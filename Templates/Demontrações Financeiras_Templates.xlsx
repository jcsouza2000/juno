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EstaPasta_de_trabalho"/>
  <bookViews>
    <workbookView visibility="visible" minimized="0" showHorizontalScroll="1" showVerticalScroll="1" showSheetTabs="1" xWindow="-120" yWindow="-120" windowWidth="29040" windowHeight="15720" tabRatio="908" firstSheet="2" activeTab="4" autoFilterDateGrouping="1"/>
  </bookViews>
  <sheets>
    <sheet xmlns:r="http://schemas.openxmlformats.org/officeDocument/2006/relationships" name="Antigo - Balanço" sheetId="1" state="hidden" r:id="rId1"/>
    <sheet xmlns:r="http://schemas.openxmlformats.org/officeDocument/2006/relationships" name="Antigo - DRE" sheetId="2" state="hidden" r:id="rId2"/>
    <sheet xmlns:r="http://schemas.openxmlformats.org/officeDocument/2006/relationships" name="1. Balanço Patrimonial" sheetId="3" state="visible" r:id="rId3"/>
    <sheet xmlns:r="http://schemas.openxmlformats.org/officeDocument/2006/relationships" name="2. DRE" sheetId="4" state="visible" r:id="rId4"/>
    <sheet xmlns:r="http://schemas.openxmlformats.org/officeDocument/2006/relationships" name="2. Fluxo de Caixa" sheetId="5" state="visible" r:id="rId5"/>
    <sheet xmlns:r="http://schemas.openxmlformats.org/officeDocument/2006/relationships" name="3. Endividamento" sheetId="6" state="visible" r:id="rId6"/>
    <sheet xmlns:r="http://schemas.openxmlformats.org/officeDocument/2006/relationships" name="4. Investimentos" sheetId="7" state="visible" r:id="rId7"/>
    <sheet xmlns:r="http://schemas.openxmlformats.org/officeDocument/2006/relationships" name="5. EBITDA" sheetId="8" state="visible" r:id="rId8"/>
    <sheet xmlns:r="http://schemas.openxmlformats.org/officeDocument/2006/relationships" name="6. Fluxo de Caixa Livre" sheetId="9" state="visible" r:id="rId9"/>
    <sheet xmlns:r="http://schemas.openxmlformats.org/officeDocument/2006/relationships" name="6. ROIC" sheetId="10" state="visible" r:id="rId10"/>
    <sheet xmlns:r="http://schemas.openxmlformats.org/officeDocument/2006/relationships" name="Antigo - Vendas" sheetId="11" state="hidden" r:id="rId11"/>
  </sheets>
  <externalReferences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</externalReferences>
  <definedNames>
    <definedName name="_____ABCNEW">#REF!</definedName>
    <definedName name="____abc">#REF!</definedName>
    <definedName name="____alpha">#REF!</definedName>
    <definedName name="____NOP">#REF!</definedName>
    <definedName name="___DEF">#REF!</definedName>
    <definedName name="___END">#REF!</definedName>
    <definedName name="___GH">#REF!</definedName>
    <definedName name="___IJ">#REF!</definedName>
    <definedName name="___KL">#REF!</definedName>
    <definedName name="___QRS">#REF!</definedName>
    <definedName name="___TUV">#REF!</definedName>
    <definedName name="___wxyz">#REF!</definedName>
    <definedName name="__abc">#REF!</definedName>
    <definedName name="__ANO98">#REF!</definedName>
    <definedName name="__B">#REF!</definedName>
    <definedName name="__C">#REF!</definedName>
    <definedName name="__FDS_HYPERLINK_TOGGLE_STATE__" hidden="1">"ON"</definedName>
    <definedName name="__JAN97">#REF!</definedName>
    <definedName name="_ANO98">#REF!</definedName>
    <definedName name="_CAIERIRAS">#REF!</definedName>
    <definedName name="_CSP2">#REF!</definedName>
    <definedName name="_JAN97">#REF!</definedName>
    <definedName name="_LAPPEENRANTA_">#REF!</definedName>
    <definedName name="_Order1" hidden="1">0</definedName>
    <definedName name="_Order2" hidden="1">255</definedName>
    <definedName name="_Rec_ME_all">#REF!</definedName>
    <definedName name="_Rec_ME_col">#REF!</definedName>
    <definedName name="_Rec_ME_lin">#REF!</definedName>
    <definedName name="_Rec_MI_all">#REF!</definedName>
    <definedName name="_Rec_MI_col">[1]QRY_MI!$A$216:$BZ$216</definedName>
    <definedName name="_Rec_MI_lin">#REF!</definedName>
    <definedName name="_TOP1">#REF!</definedName>
    <definedName name="_Vol_ME_all">#REF!</definedName>
    <definedName name="_Vol_ME_col">#REF!</definedName>
    <definedName name="_Vol_ME_lin">#REF!</definedName>
    <definedName name="_Vol_MI_all">#REF!</definedName>
    <definedName name="_Vol_MI_col">#REF!</definedName>
    <definedName name="_Vol_MI_Lin">#REF!</definedName>
    <definedName name="A">#REF!</definedName>
    <definedName name="Aanekoski">#REF!</definedName>
    <definedName name="AANEKOSKI_">'[2]By Mill'!$C$586</definedName>
    <definedName name="Aanekoski_serla">#REF!</definedName>
    <definedName name="AANEKOSKII_SERLA">#REF!</definedName>
    <definedName name="AANEKOSKII_SERLA_">#REF!</definedName>
    <definedName name="ababab">#REF!</definedName>
    <definedName name="abertura">#REF!,#REF!,#REF!,#REF!</definedName>
    <definedName name="ac_antas">#REF!</definedName>
    <definedName name="ac_antw">#REF!</definedName>
    <definedName name="ac_arg">#REF!</definedName>
    <definedName name="ac_bac">#REF!</definedName>
    <definedName name="ac_cod">#REF!</definedName>
    <definedName name="ac_comb">#REF!</definedName>
    <definedName name="ac_cons">#REF!</definedName>
    <definedName name="ac_ikp">#REF!</definedName>
    <definedName name="ac_kck">#REF!</definedName>
    <definedName name="ac_kk">#REF!</definedName>
    <definedName name="ac_klap">#REF!</definedName>
    <definedName name="ac_kppf">#REF!</definedName>
    <definedName name="ac_ksa">#REF!</definedName>
    <definedName name="ac_mirca">#REF!</definedName>
    <definedName name="ac_nsk">#REF!</definedName>
    <definedName name="ac_rioc">#REF!</definedName>
    <definedName name="ac_trade">#REF!</definedName>
    <definedName name="Acumulado">#REF!</definedName>
    <definedName name="ad10_">#REF!</definedName>
    <definedName name="ad11_">[3]GEMiner!#REF!</definedName>
    <definedName name="ad12_">#REF!</definedName>
    <definedName name="ad13_">#REF!</definedName>
    <definedName name="ad14_">#REF!</definedName>
    <definedName name="ad15_">#REF!</definedName>
    <definedName name="ad16_">#REF!</definedName>
    <definedName name="ad17_">#REF!</definedName>
    <definedName name="ad18_">#REF!</definedName>
    <definedName name="ad19_">#REF!</definedName>
    <definedName name="ad20_">#REF!</definedName>
    <definedName name="Adjusted_EBIT">#REF!</definedName>
    <definedName name="Adjusted_EBITDA">#REF!</definedName>
    <definedName name="Advance">#REF!</definedName>
    <definedName name="ADVANCE_">#REF!</definedName>
    <definedName name="Aizarnazabal">#REF!</definedName>
    <definedName name="AIZARNAZABAL_">#REF!</definedName>
    <definedName name="ALBERNI">#REF!</definedName>
    <definedName name="ALBERTAPACIFIC">#REF!</definedName>
    <definedName name="ALBERTAPACIFIC_">#REF!</definedName>
    <definedName name="Alizay">#REF!</definedName>
    <definedName name="ALIZAY_">#REF!</definedName>
    <definedName name="Amcel">#REF!</definedName>
    <definedName name="AMOTFORS_">#REF!</definedName>
    <definedName name="anderson">#REF!</definedName>
    <definedName name="ANDERSON_">#REF!</definedName>
    <definedName name="ANDOAIN_">#REF!</definedName>
    <definedName name="Andoian">#REF!</definedName>
    <definedName name="ANGELES_">#REF!</definedName>
    <definedName name="Angol">#REF!</definedName>
    <definedName name="ANGOL_">#REF!</definedName>
    <definedName name="aplicaçoes">#REF!</definedName>
    <definedName name="Appleton">#REF!</definedName>
    <definedName name="APPLETON_">#REF!</definedName>
    <definedName name="Arac">#REF!</definedName>
    <definedName name="Aracruz">#REF!</definedName>
    <definedName name="Aranguren">#REF!</definedName>
    <definedName name="ARANGUREN_">#REF!</definedName>
    <definedName name="Arauco">#REF!</definedName>
    <definedName name="ARAUCO_">#REF!</definedName>
    <definedName name="AraucoITATACap">#REF!</definedName>
    <definedName name="AraucoItataNews">#REF!</definedName>
    <definedName name="Arendal">#REF!</definedName>
    <definedName name="ARENDAL_">#REF!</definedName>
    <definedName name="Argentina">#REF!</definedName>
    <definedName name="Arkhangelsk">#REF!</definedName>
    <definedName name="ARKHANGELSK_">#REF!</definedName>
    <definedName name="Arneburg">#REF!</definedName>
    <definedName name="ARNEBURG_">#REF!</definedName>
    <definedName name="asd">#REF!</definedName>
    <definedName name="Ashdown">#REF!</definedName>
    <definedName name="ASHDOWN_">#REF!</definedName>
    <definedName name="Aspabruk">#REF!</definedName>
    <definedName name="ASPABRUK_">#REF!</definedName>
    <definedName name="ASPEN_MENOMINEE">#REF!</definedName>
    <definedName name="at10_">#REF!</definedName>
    <definedName name="at11_">#REF!</definedName>
    <definedName name="at12_">#REF!</definedName>
    <definedName name="at13_">#REF!</definedName>
    <definedName name="at14_">#REF!</definedName>
    <definedName name="at15_">#REF!</definedName>
    <definedName name="at16_">#REF!</definedName>
    <definedName name="at17_">#REF!</definedName>
    <definedName name="at18_">#REF!</definedName>
    <definedName name="at19_">#REF!</definedName>
    <definedName name="at20_">#REF!</definedName>
    <definedName name="ATHOL">#REF!</definedName>
    <definedName name="Atholville">#REF!</definedName>
    <definedName name="ATHOLVILLE_">#REF!</definedName>
    <definedName name="ativo">#REF!</definedName>
    <definedName name="augusta">#REF!</definedName>
    <definedName name="AUGUSTA_">#REF!</definedName>
    <definedName name="Australia">#REF!</definedName>
    <definedName name="Austria">#REF!</definedName>
    <definedName name="Aveiro">#REF!</definedName>
    <definedName name="AVEIRO_">#REF!</definedName>
    <definedName name="B___DEMONSTRAÇÃO_DO_RESULTADO_PROJETADA">#REF!</definedName>
    <definedName name="B_S">#REF!</definedName>
    <definedName name="Bahia">#REF!</definedName>
    <definedName name="BahiaBacell">'[2]By Mill'!$C$1241</definedName>
    <definedName name="BAHIABACELL_">#REF!</definedName>
    <definedName name="BahiaSul">#REF!</definedName>
    <definedName name="BAHIASUL_">#REF!</definedName>
    <definedName name="Baikal">#REF!</definedName>
    <definedName name="BAILAL_">#REF!</definedName>
    <definedName name="Bal">#REF!</definedName>
    <definedName name="bal_res_antas">#REF!</definedName>
    <definedName name="bal_res_antw">#REF!</definedName>
    <definedName name="bal_res_bac">#REF!</definedName>
    <definedName name="bal_res_cod">#REF!</definedName>
    <definedName name="bal_res_cons">#REF!</definedName>
    <definedName name="bal_res_ikp">#REF!</definedName>
    <definedName name="bal_res_ka">#REF!</definedName>
    <definedName name="bal_res_kck">#REF!</definedName>
    <definedName name="bal_res_kk">#REF!</definedName>
    <definedName name="bal_res_klap">#REF!</definedName>
    <definedName name="bal_res_kppf">#REF!</definedName>
    <definedName name="bal_res_ksa">#REF!</definedName>
    <definedName name="bal_res_mirca">#REF!</definedName>
    <definedName name="bal_res_nsk">#REF!</definedName>
    <definedName name="bal_res_rioc">#REF!</definedName>
    <definedName name="bal_res_rlg">#REF!</definedName>
    <definedName name="balance">#REF!</definedName>
    <definedName name="balance2">#REF!</definedName>
    <definedName name="balanceUS">#REF!</definedName>
    <definedName name="balanceUS2">#REF!</definedName>
    <definedName name="Baltic">#REF!</definedName>
    <definedName name="BALTIC_">#REF!</definedName>
    <definedName name="Barnie">#REF!</definedName>
    <definedName name="BARNIE_">#REF!</definedName>
    <definedName name="BARR4TRREF">#REF!</definedName>
    <definedName name="BARR4TRTV">#REF!</definedName>
    <definedName name="bathurst">#REF!</definedName>
    <definedName name="BATHURST_">#REF!</definedName>
    <definedName name="bb">#REF!</definedName>
    <definedName name="bd_custos_tit">#REF!</definedName>
    <definedName name="BD_Geral">#REF!</definedName>
    <definedName name="BD_GeralTit">#REF!</definedName>
    <definedName name="BD_Grupo">#REF!</definedName>
    <definedName name="bebelsurquevillon">#REF!</definedName>
    <definedName name="Belgium">#REF!</definedName>
    <definedName name="Bellingham">#REF!</definedName>
    <definedName name="BELLINGHAM_">#REF!</definedName>
    <definedName name="BeloOreiente">#REF!</definedName>
    <definedName name="BELOORIENTE_">#REF!</definedName>
    <definedName name="bennettsville">#REF!</definedName>
    <definedName name="BENNETTSVILLE_">#REF!</definedName>
    <definedName name="Berlin">#REF!</definedName>
    <definedName name="BERLIN_">#REF!</definedName>
    <definedName name="BIocellCap">#REF!</definedName>
    <definedName name="BiocellNews">#REF!</definedName>
    <definedName name="Bloom">#REF!</definedName>
    <definedName name="BLPH100" hidden="1">#REF!</definedName>
    <definedName name="BLPH101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77" hidden="1">#REF!</definedName>
    <definedName name="BLPH78" hidden="1">#REF!</definedName>
    <definedName name="BLPH79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0" hidden="1">#REF!</definedName>
    <definedName name="BLPH91">#REF!</definedName>
    <definedName name="BLPH92" hidden="1">#REF!</definedName>
    <definedName name="BLPH93" hidden="1">#REF!</definedName>
    <definedName name="BLPH94" hidden="1">#REF!</definedName>
    <definedName name="BLPH95" hidden="1">#REF!</definedName>
    <definedName name="BLPH96" hidden="1">#REF!</definedName>
    <definedName name="BLPH97" hidden="1">#REF!</definedName>
    <definedName name="BLPH98" hidden="1">#REF!</definedName>
    <definedName name="BLPH99" hidden="1">#REF!</definedName>
    <definedName name="BOEHNSDALEN_">#REF!</definedName>
    <definedName name="Boehsndalen">#REF!</definedName>
    <definedName name="Borneo">#REF!</definedName>
    <definedName name="Borneo_">#REF!</definedName>
    <definedName name="Boyle">#REF!</definedName>
    <definedName name="Bratsk">#REF!</definedName>
    <definedName name="BRATSK_">#REF!</definedName>
    <definedName name="Brazil">#REF!</definedName>
    <definedName name="breakdown">#REF!</definedName>
    <definedName name="breakdown2">#REF!</definedName>
    <definedName name="breakey">#REF!</definedName>
    <definedName name="BREAKEYVILLE_">#REF!</definedName>
    <definedName name="brewton">#REF!</definedName>
    <definedName name="BREWTON_">#REF!</definedName>
    <definedName name="BROBY_">#REF!</definedName>
    <definedName name="Brunswich">#REF!</definedName>
    <definedName name="Brunswick">#REF!</definedName>
    <definedName name="BRUNSWICK_GP">#REF!</definedName>
    <definedName name="BS_2005f_annual">#REF!,#REF!</definedName>
    <definedName name="BS_R_2005f_annual">#REF!,#REF!</definedName>
    <definedName name="BS_US_2005f_annual">#REF!,#REF!</definedName>
    <definedName name="BURE_">#REF!</definedName>
    <definedName name="Burgos">#REF!</definedName>
    <definedName name="BURGOS_">#REF!</definedName>
    <definedName name="butler">#REF!</definedName>
    <definedName name="BUTLER_">#REF!</definedName>
    <definedName name="buy">#REF!</definedName>
    <definedName name="C_F">#REF!</definedName>
    <definedName name="CaforPrinceGeorge">#REF!</definedName>
    <definedName name="Caieriras">#REF!</definedName>
    <definedName name="Calhoun">#REF!</definedName>
    <definedName name="CALHOUN_">#REF!</definedName>
    <definedName name="CAMPBELL">#REF!</definedName>
    <definedName name="CampbellRiver">#REF!</definedName>
    <definedName name="CAN">#REF!</definedName>
    <definedName name="Canada">#REF!</definedName>
    <definedName name="CANFOR_HOWE">#REF!</definedName>
    <definedName name="CANFOR_PG">#REF!</definedName>
    <definedName name="CanforInterconPG">#REF!</definedName>
    <definedName name="CanforPGPandP">#REF!</definedName>
    <definedName name="CANmillname">#REF!</definedName>
    <definedName name="CAP">#REF!</definedName>
    <definedName name="Cariboo">#REF!</definedName>
    <definedName name="CascadesFjordcell">#REF!</definedName>
    <definedName name="cash">#REF!</definedName>
    <definedName name="cash2">#REF!</definedName>
    <definedName name="cashUS">#REF!</definedName>
    <definedName name="cashUS2">#REF!</definedName>
    <definedName name="Catawba">#REF!</definedName>
    <definedName name="CATAWBA_">#REF!</definedName>
    <definedName name="cc">#REF!</definedName>
    <definedName name="Celgar">#REF!</definedName>
    <definedName name="CELGAR_BCI">#REF!</definedName>
    <definedName name="CF_2005f_annual">#REF!,#REF!</definedName>
    <definedName name="CF_R_2005f_annual">#REF!,#REF!</definedName>
    <definedName name="CF_US_2005f_annual">#REF!,#REF!</definedName>
    <definedName name="cfs">#REF!</definedName>
    <definedName name="Chihuahua">#REF!</definedName>
    <definedName name="CHIHUHUA_">#REF!</definedName>
    <definedName name="Chile">#REF!</definedName>
    <definedName name="ChinaCountry">#REF!</definedName>
    <definedName name="ChungHwa">#REF!</definedName>
    <definedName name="CHUNGHWA_">#REF!</definedName>
    <definedName name="CianodEnza">#REF!</definedName>
    <definedName name="CIANODENZE_">#REF!</definedName>
    <definedName name="clatskanie">#REF!</definedName>
    <definedName name="CLATSKANIE_">#REF!</definedName>
    <definedName name="Cloquet">#REF!</definedName>
    <definedName name="CLOQUET_">#REF!</definedName>
    <definedName name="CMPC_Arg">#REF!</definedName>
    <definedName name="CMPCnews">#REF!</definedName>
    <definedName name="CnforINTERCON">#REF!</definedName>
    <definedName name="cod_itr">#REF!</definedName>
    <definedName name="columbus">#REF!</definedName>
    <definedName name="COLUMBUS_">#REF!</definedName>
    <definedName name="COMPANY">#REF!</definedName>
    <definedName name="CONFINS">#REF!</definedName>
    <definedName name="Constancia">#REF!</definedName>
    <definedName name="CONSTANCIA_">#REF!</definedName>
    <definedName name="Constitucion">#REF!</definedName>
    <definedName name="CONSTITUCION_">#REF!</definedName>
    <definedName name="Coosa">#REF!</definedName>
    <definedName name="COOSA_">#REF!</definedName>
    <definedName name="cosmopolis">#REF!</definedName>
    <definedName name="COSMOPOLIS_">#REF!</definedName>
    <definedName name="Countrylist">#REF!</definedName>
    <definedName name="Courtland">#REF!</definedName>
    <definedName name="COURTLAND_IP">#REF!</definedName>
    <definedName name="CP">#REF!</definedName>
    <definedName name="Crofton">#REF!</definedName>
    <definedName name="CROFTONmill">#REF!</definedName>
    <definedName name="CSP">#REF!</definedName>
    <definedName name="cu102.ShareScalingFactor" hidden="1">1000000</definedName>
    <definedName name="cu103.EmployeeScalingFactor" hidden="1">1000</definedName>
    <definedName name="cu107.DPSSymbol" hidden="1">"R$"</definedName>
    <definedName name="cu107.EPSSymbol" hidden="1">"R$"</definedName>
    <definedName name="cu71.ScalingFactor" hidden="1">1000000</definedName>
    <definedName name="CurrRef">#REF!</definedName>
    <definedName name="DaishowaPeaceRiver">#REF!</definedName>
    <definedName name="data">#REF!</definedName>
    <definedName name="Data_Acum">#REF!</definedName>
    <definedName name="data_boxtodas">#REF!</definedName>
    <definedName name="Data_Titulos">#REF!</definedName>
    <definedName name="DATA103">#REF!</definedName>
    <definedName name="data2">#REF!</definedName>
    <definedName name="Datas">#REF!</definedName>
    <definedName name="Datas_A">#REF!</definedName>
    <definedName name="DatePrice">#REF!</definedName>
    <definedName name="day">#REF!</definedName>
    <definedName name="def">#REF!</definedName>
    <definedName name="DEJE_">#REF!</definedName>
    <definedName name="demopolis">#REF!</definedName>
    <definedName name="DEMOPOLIS_">#REF!</definedName>
    <definedName name="Denmark">#REF!</definedName>
    <definedName name="desbien">#REF!</definedName>
    <definedName name="DESBIENS_">#REF!</definedName>
    <definedName name="DF_GRID_1">#REF!</definedName>
    <definedName name="diversos">#REF!</definedName>
    <definedName name="DOLAR">#REF!,#REF!</definedName>
    <definedName name="Dolar_Ant">#REF!</definedName>
    <definedName name="Dolar_Fin">#REF!</definedName>
    <definedName name="Dolar_Fin1">#REF!</definedName>
    <definedName name="dolbeau">#REF!</definedName>
    <definedName name="DOLBEAU_">#REF!</definedName>
    <definedName name="dryden">#REF!</definedName>
    <definedName name="DRYDEN_">#REF!</definedName>
    <definedName name="DT_ABICOM">#REF!</definedName>
    <definedName name="DT_ABICON">#REF!</definedName>
    <definedName name="DT_ALPAC">#REF!</definedName>
    <definedName name="DT_BOW">#REF!</definedName>
    <definedName name="DT_CANFOR">#REF!</definedName>
    <definedName name="DT_CELGAR">#REF!</definedName>
    <definedName name="DT_DMIPEACERIVER">#REF!</definedName>
    <definedName name="DT_DOMTAR">#REF!</definedName>
    <definedName name="DT_GP">#REF!</definedName>
    <definedName name="DT_IP">#REF!</definedName>
    <definedName name="DT_LP">#REF!</definedName>
    <definedName name="DT_MIRAMICHI">#REF!</definedName>
    <definedName name="DT_NORSKECAN">#REF!</definedName>
    <definedName name="DT_PT">#REF!</definedName>
    <definedName name="DT_PW">#REF!</definedName>
    <definedName name="DT_SKEENA">#REF!</definedName>
    <definedName name="DT_SMURFIT">#REF!</definedName>
    <definedName name="DT_TEMBEC">#REF!</definedName>
    <definedName name="DT_UNIFORET">#REF!</definedName>
    <definedName name="DT_WESTFOREST">#REF!</definedName>
    <definedName name="DT_WESTPULP">#REF!</definedName>
    <definedName name="DT_WEYCO">#REF!</definedName>
    <definedName name="Duino">#REF!</definedName>
    <definedName name="DUINO_">#REF!</definedName>
    <definedName name="Durango">#REF!</definedName>
    <definedName name="DURANGO_">#REF!</definedName>
    <definedName name="earnings">#REF!</definedName>
    <definedName name="earnings2">#REF!</definedName>
    <definedName name="earningscel">#REF!</definedName>
    <definedName name="earningscel2">#REF!</definedName>
    <definedName name="earningscell2">#REF!</definedName>
    <definedName name="earningsUS">#REF!</definedName>
    <definedName name="earningsUS2">#REF!</definedName>
    <definedName name="eastover">#REF!</definedName>
    <definedName name="EASTOVER_">#REF!</definedName>
    <definedName name="EDSBRUK_">#REF!</definedName>
    <definedName name="Ehingen">#REF!</definedName>
    <definedName name="EHINGEN_">#REF!</definedName>
    <definedName name="Eklof">#REF!</definedName>
    <definedName name="EKLOF_">#REF!</definedName>
    <definedName name="EMPRESAS">#REF!</definedName>
    <definedName name="end_Canada">#REF!</definedName>
    <definedName name="end_Indonesia">#REF!</definedName>
    <definedName name="end_UnitedStates">#REF!</definedName>
    <definedName name="endiv">#REF!,#REF!,#REF!,#REF!,#REF!</definedName>
    <definedName name="endividamento">#REF!,#REF!,#REF!,#REF!,#REF!</definedName>
    <definedName name="Enstra">#REF!</definedName>
    <definedName name="ENSTRA_">#REF!</definedName>
    <definedName name="Erie">#REF!</definedName>
    <definedName name="ERIE_">#REF!</definedName>
    <definedName name="escalonamento">#REF!,#REF!,#REF!,#REF!</definedName>
    <definedName name="escalonamento2002">#REF!,#REF!,#REF!</definedName>
    <definedName name="Escanaba">#REF!</definedName>
    <definedName name="ESCANABA_">#REF!</definedName>
    <definedName name="espanola">#REF!</definedName>
    <definedName name="ESPANOLA_">#REF!</definedName>
    <definedName name="evadale">#REF!</definedName>
    <definedName name="EVADALE_">#REF!</definedName>
    <definedName name="everett">#REF!</definedName>
    <definedName name="EVERETT_">#REF!</definedName>
    <definedName name="EVERETT_WEY">#REF!</definedName>
    <definedName name="everett_weyco">#REF!</definedName>
    <definedName name="F.2008.12">#REF!</definedName>
    <definedName name="FAIRHAVEN_">#REF!</definedName>
    <definedName name="fbalance2">#REF!</definedName>
    <definedName name="fbalanceUS2">#REF!</definedName>
    <definedName name="fbreakdown2">#REF!</definedName>
    <definedName name="fcash2">#REF!</definedName>
    <definedName name="fcashUS2">#REF!</definedName>
    <definedName name="FCFforValuation">#REF!</definedName>
    <definedName name="fdata2">#REF!</definedName>
    <definedName name="fearnings2">#REF!</definedName>
    <definedName name="fearningscel2">#REF!</definedName>
    <definedName name="fearningsUS2">#REF!</definedName>
    <definedName name="FernandinaBeach">#REF!</definedName>
    <definedName name="FernandinaBeach_">#REF!</definedName>
    <definedName name="fiarhaven">#REF!</definedName>
    <definedName name="FibrecoSlocan">#REF!</definedName>
    <definedName name="Finland">#REF!</definedName>
    <definedName name="FJORD_JONQ">#REF!</definedName>
    <definedName name="flong2">#REF!</definedName>
    <definedName name="fnetwork2">#REF!</definedName>
    <definedName name="Foley">#REF!</definedName>
    <definedName name="FOLEY_">#REF!</definedName>
    <definedName name="Follafoss">#REF!</definedName>
    <definedName name="FOLLAFOSS_">#REF!</definedName>
    <definedName name="fortfrances">#REF!</definedName>
    <definedName name="FORTFRANCES_">#REF!</definedName>
    <definedName name="France">#REF!</definedName>
    <definedName name="Frovi">#REF!</definedName>
    <definedName name="FROVI_">#REF!</definedName>
    <definedName name="Frovifors">#REF!</definedName>
    <definedName name="gardiner">#REF!</definedName>
    <definedName name="GARDINER_">#REF!</definedName>
    <definedName name="georgetown">#REF!</definedName>
    <definedName name="GEORGETOWN_">#REF!</definedName>
    <definedName name="German">#REF!</definedName>
    <definedName name="Gertraud">#REF!</definedName>
    <definedName name="GERTRAUD_">#REF!</definedName>
    <definedName name="Gjeving">#REF!</definedName>
    <definedName name="GJEVING_">#REF!</definedName>
    <definedName name="Gjovik">#REF!</definedName>
    <definedName name="Gjovik___">#REF!</definedName>
    <definedName name="GJOVIK____">#REF!</definedName>
    <definedName name="GJOVIKMILL">#REF!</definedName>
    <definedName name="Gold">#REF!</definedName>
    <definedName name="GoldRiver">#REF!</definedName>
    <definedName name="GOTA_">#REF!</definedName>
    <definedName name="GrandPrarie">#REF!</definedName>
    <definedName name="GRANDPRARIE_">#REF!</definedName>
    <definedName name="Gratkorn">#REF!</definedName>
    <definedName name="GRATKORN_">#REF!</definedName>
    <definedName name="Greaker">#REF!</definedName>
    <definedName name="GREAKER_">#REF!</definedName>
    <definedName name="Gruvon">#REF!</definedName>
    <definedName name="GRUVON_">#REF!</definedName>
    <definedName name="Guaiba">#REF!</definedName>
    <definedName name="GUAIBA_">#REF!</definedName>
    <definedName name="Halden">#REF!</definedName>
    <definedName name="HALDEN_">#REF!</definedName>
    <definedName name="Hallein">#REF!</definedName>
    <definedName name="HALLEIN_">#REF!</definedName>
    <definedName name="halsey">#REF!</definedName>
    <definedName name="HALSEY_">#REF!</definedName>
    <definedName name="HARMAC_NANAIMO">#REF!</definedName>
    <definedName name="HarmacPandT">#REF!</definedName>
    <definedName name="Harnoncourt">#REF!</definedName>
    <definedName name="HARNONCOURT_">#REF!</definedName>
    <definedName name="hawesville">#REF!</definedName>
    <definedName name="HAWESVILLE_">#REF!</definedName>
    <definedName name="Helle">#REF!</definedName>
    <definedName name="HELLE_">#REF!</definedName>
    <definedName name="Hinton">#REF!</definedName>
    <definedName name="HINTON_WELD">#REF!</definedName>
    <definedName name="hoquaim">#REF!</definedName>
    <definedName name="HOQUAIM_">#REF!</definedName>
    <definedName name="HORNESFORS_">#REF!</definedName>
    <definedName name="HOWE">#REF!</definedName>
    <definedName name="HoweSound">#REF!</definedName>
    <definedName name="Huelva">#REF!</definedName>
    <definedName name="HUELVA_">#REF!</definedName>
    <definedName name="Hurum">#REF!</definedName>
    <definedName name="HURUM_">#REF!</definedName>
    <definedName name="Husum">#REF!</definedName>
    <definedName name="HUSUM_">#REF!</definedName>
    <definedName name="I._RENDA">#REF!</definedName>
    <definedName name="ICMS">#REF!</definedName>
    <definedName name="ictsymbol">"R$"</definedName>
    <definedName name="icusymbol">"R$"</definedName>
    <definedName name="Iggesunds">#REF!</definedName>
    <definedName name="IGGESUNDS_">#REF!</definedName>
    <definedName name="Iguaco">#REF!</definedName>
    <definedName name="IGUACO_">#REF!</definedName>
    <definedName name="IKPCDOLAR">#REF!</definedName>
    <definedName name="IKPCREAIS">#REF!</definedName>
    <definedName name="Ilim">#REF!</definedName>
    <definedName name="Img_ML_1a9i6f1a" hidden="1">"IMG_18"</definedName>
    <definedName name="Img_ML_2b1a1a6f" hidden="1">"IMG_11"</definedName>
    <definedName name="Img_ML_2b2b8h8h" hidden="1">"IMG_18"</definedName>
    <definedName name="Img_ML_2b4d2b3c" hidden="1">"IMG_18"</definedName>
    <definedName name="Img_ML_3c7g1a7g" hidden="1">"IMG_12"</definedName>
    <definedName name="Img_ML_3c9i9i4d" hidden="1">"IMG_11"</definedName>
    <definedName name="Img_ML_4d2b6f6f" hidden="1">"IMG_18"</definedName>
    <definedName name="Img_ML_4d4d7g3c" hidden="1">"IMG_11"</definedName>
    <definedName name="Img_ML_5e1a1a7g" hidden="1">"IMG_18"</definedName>
    <definedName name="Img_ML_5e7g5e5e" hidden="1">"IMG_11"</definedName>
    <definedName name="Img_ML_5h6q3g8u" hidden="1">"IMG_11"</definedName>
    <definedName name="Img_ML_6f9i2b5e" hidden="1">"IMG_18"</definedName>
    <definedName name="Img_ML_7g5e5e2b" hidden="1">"IMG_11"</definedName>
    <definedName name="Img_ML_7m5m4k3b" hidden="1">"IMG_11"</definedName>
    <definedName name="Img_ML_8h5e9i3c" hidden="1">"IMG_11"</definedName>
    <definedName name="Img_ML_8h7g3c9i" hidden="1">"IMG_11"</definedName>
    <definedName name="Img_ML_8h7g4d4d" hidden="1">"IMG_12"</definedName>
    <definedName name="impressao">#REF!,#REF!,#REF!,#REF!</definedName>
    <definedName name="IndahKiat">#REF!</definedName>
    <definedName name="India">#REF!</definedName>
    <definedName name="Indonesia">#REF!</definedName>
    <definedName name="Indonesia_millname">#REF!</definedName>
    <definedName name="Indorayon">#REF!</definedName>
    <definedName name="INDORAYON_">#REF!</definedName>
    <definedName name="Intercon_CANFOR">#REF!</definedName>
    <definedName name="inv">#REF!</definedName>
    <definedName name="inv_1">#REF!</definedName>
    <definedName name="inv_2">#REF!</definedName>
    <definedName name="inv_3">#REF!</definedName>
    <definedName name="IPI">#REF!</definedName>
    <definedName name="iQShowHideColumns" hidden="1">"iQShowQuarterlyAnnual"</definedName>
    <definedName name="IS_2005f_annual">#REF!,#REF!</definedName>
    <definedName name="IS_R_2005f_annual">#REF!,#REF!</definedName>
    <definedName name="IS_US_2005f_annual">#REF!,#REF!</definedName>
    <definedName name="ishares">#REF!</definedName>
    <definedName name="isi">#REF!</definedName>
    <definedName name="isl">#REF!</definedName>
    <definedName name="Italy">#REF!</definedName>
    <definedName name="Itata">#REF!</definedName>
    <definedName name="itr_bac">#REF!</definedName>
    <definedName name="itr_cons">#REF!</definedName>
    <definedName name="itr_kk">#REF!</definedName>
    <definedName name="itr_ksa">#REF!</definedName>
    <definedName name="itr_mirca">#REF!</definedName>
    <definedName name="itr_trade">#REF!</definedName>
    <definedName name="iue">0.00999999977648258</definedName>
    <definedName name="iuesymbol">"R$"</definedName>
    <definedName name="iunsymbol">"R$m"</definedName>
    <definedName name="ius">1000000</definedName>
    <definedName name="Jacarei">#REF!</definedName>
    <definedName name="JACAREI_">#REF!</definedName>
    <definedName name="jackson">#REF!</definedName>
    <definedName name="JACKSON_">#REF!</definedName>
    <definedName name="jacksonville">#REF!</definedName>
    <definedName name="JACKSONVILLE_">#REF!</definedName>
    <definedName name="Jamsankoski">#REF!</definedName>
    <definedName name="JAMSANKOSKI_">#REF!</definedName>
    <definedName name="Jan_Mar03_Orç">#REF!</definedName>
    <definedName name="Japan">#REF!</definedName>
    <definedName name="Jay">#REF!</definedName>
    <definedName name="JAY_">#REF!</definedName>
    <definedName name="jesup">#REF!</definedName>
    <definedName name="JESUP_">#REF!</definedName>
    <definedName name="JONKOPING_">#REF!</definedName>
    <definedName name="Joutsen">#REF!</definedName>
    <definedName name="JOUTSENO">#REF!</definedName>
    <definedName name="JOUTSENO_">#REF!</definedName>
    <definedName name="Kajaani">#REF!</definedName>
    <definedName name="KAJAANI_">#REF!</definedName>
    <definedName name="KALINGRAD_">#REF!</definedName>
    <definedName name="Kaliningrad">#REF!</definedName>
    <definedName name="Kamalapuram">#REF!</definedName>
    <definedName name="KAMALPURAM_">#REF!</definedName>
    <definedName name="kamloops">#REF!</definedName>
    <definedName name="KAMLOOPS_">#REF!</definedName>
    <definedName name="Karlsborg">#REF!</definedName>
    <definedName name="KARLSBORG_">#REF!</definedName>
    <definedName name="Kaskinen">#REF!</definedName>
    <definedName name="KASKINEN_">#REF!</definedName>
    <definedName name="kaspuskasing">#REF!</definedName>
    <definedName name="KASPUSKASING_">#REF!</definedName>
    <definedName name="Katfors">#REF!</definedName>
    <definedName name="KATFORS_">#REF!</definedName>
    <definedName name="Katfos">#REF!</definedName>
    <definedName name="KATFOS_">#REF!</definedName>
    <definedName name="Kaukauna">#REF!</definedName>
    <definedName name="KAUKAUNA_">#REF!</definedName>
    <definedName name="KC_ABERCROM">#REF!</definedName>
    <definedName name="KC_TERRACEBAY">#REF!</definedName>
    <definedName name="KCPictouAbercrombie">#REF!</definedName>
    <definedName name="KCTerraceBay">#REF!</definedName>
    <definedName name="Kemi">#REF!</definedName>
    <definedName name="KEMI_">#REF!</definedName>
    <definedName name="Kemijarvi">#REF!</definedName>
    <definedName name="KEMIJARVI_">#REF!</definedName>
    <definedName name="KERNI_">#REF!</definedName>
    <definedName name="ketchikan">#REF!</definedName>
    <definedName name="KETCHINKAN_">#REF!</definedName>
    <definedName name="KFPC">#REF!</definedName>
    <definedName name="KianiKertas">#REF!</definedName>
    <definedName name="KIANIKERTAS_">#REF!</definedName>
    <definedName name="Kinleath">#REF!</definedName>
    <definedName name="KINLEATH_">#REF!</definedName>
    <definedName name="Kjovik">#REF!</definedName>
    <definedName name="KJOVIK_">#REF!</definedName>
    <definedName name="Koge">#REF!</definedName>
    <definedName name="KOGE_">#REF!</definedName>
    <definedName name="Korea">#REF!</definedName>
    <definedName name="Kornasverken">#REF!</definedName>
    <definedName name="KORNASVERKEN_">#REF!</definedName>
    <definedName name="Kotka">#REF!</definedName>
    <definedName name="KOTKA_">#REF!</definedName>
    <definedName name="KOTLAS_">#REF!</definedName>
    <definedName name="Kragero">#REF!</definedName>
    <definedName name="KRAGERO_">#REF!</definedName>
    <definedName name="Kristineham">#REF!</definedName>
    <definedName name="KRISTINEHAMN">#REF!</definedName>
    <definedName name="Kumarpatnam">#REF!</definedName>
    <definedName name="KUMARPATNAM_">#REF!</definedName>
    <definedName name="Kuusaniemi">#REF!</definedName>
    <definedName name="KUUSANIEMI_">#REF!</definedName>
    <definedName name="Kvinesdal">#REF!</definedName>
    <definedName name="KVINESDAL_">#REF!</definedName>
    <definedName name="KYRKEBYN_">#REF!</definedName>
    <definedName name="Lages">#REF!</definedName>
    <definedName name="LAGES_">#REF!</definedName>
    <definedName name="LAGESKLABIN_">#REF!</definedName>
    <definedName name="Laja">#REF!</definedName>
    <definedName name="LAJA_">#REF!</definedName>
    <definedName name="LaMontananesa">#REF!</definedName>
    <definedName name="LAMONTANESA_">#REF!</definedName>
    <definedName name="Lappeenranta">#REF!</definedName>
    <definedName name="Larvik">#REF!</definedName>
    <definedName name="LARVIK_">#REF!</definedName>
    <definedName name="LarvikCap">#REF!</definedName>
    <definedName name="LarvikNews">#REF!</definedName>
    <definedName name="LastListUpdate">0</definedName>
    <definedName name="latuque">#REF!</definedName>
    <definedName name="LATUQUE_">#REF!</definedName>
    <definedName name="Lauvsnes">#REF!</definedName>
    <definedName name="LAUVSNES_">#REF!</definedName>
    <definedName name="LeafRiver">#REF!</definedName>
    <definedName name="LEBEL_">#REF!</definedName>
    <definedName name="Leirosa">#REF!</definedName>
    <definedName name="LEIROSA_">#REF!</definedName>
    <definedName name="LeirosaStora">#REF!</definedName>
    <definedName name="LEIROSASTORA_">#REF!</definedName>
    <definedName name="Lencois">#REF!</definedName>
    <definedName name="LENCOIS_">#REF!</definedName>
    <definedName name="Lenzing">#REF!</definedName>
    <definedName name="LENZING_">#REF!</definedName>
    <definedName name="Lewiston">#REF!</definedName>
    <definedName name="LEWISTON_">#REF!</definedName>
    <definedName name="LEWISTON_ID">#REF!</definedName>
    <definedName name="Licanten">#REF!</definedName>
    <definedName name="LICANTEN_">#REF!</definedName>
    <definedName name="Lielahti">#REF!</definedName>
    <definedName name="LIELAHTI_">#REF!</definedName>
    <definedName name="LIEVENSUORE_">#REF!</definedName>
    <definedName name="Lievestuore">#REF!</definedName>
    <definedName name="Limeira">#REF!</definedName>
    <definedName name="LIMEIRA_">#REF!</definedName>
    <definedName name="LIMPA2">#REF!</definedName>
    <definedName name="LIMPA3">#REF!</definedName>
    <definedName name="Lincoln">#REF!</definedName>
    <definedName name="LINCOLN_">#REF!</definedName>
    <definedName name="LINCOLN2_">#REF!</definedName>
    <definedName name="Lithuania">#REF!</definedName>
    <definedName name="LITHUANIA___">#REF!</definedName>
    <definedName name="long">#REF!</definedName>
    <definedName name="long2">#REF!</definedName>
    <definedName name="longview">#REF!</definedName>
    <definedName name="LONGVIEW_">#REF!</definedName>
    <definedName name="Lontar">#REF!</definedName>
    <definedName name="LONTAR_">#REF!</definedName>
    <definedName name="LP">#REF!</definedName>
    <definedName name="LPChetwynd">#REF!</definedName>
    <definedName name="LPMILLAR_CHET">#REF!</definedName>
    <definedName name="ltm">#REF!</definedName>
    <definedName name="LuizAntonio">#REF!</definedName>
    <definedName name="LUIZANTONIO_">#REF!</definedName>
    <definedName name="Luterbach">#REF!</definedName>
    <definedName name="LUTERBACH_">#REF!</definedName>
    <definedName name="m">#REF!</definedName>
    <definedName name="MacKenzie">#REF!</definedName>
    <definedName name="MACKENZIE_">#REF!</definedName>
    <definedName name="mackenzie_finlay">#REF!</definedName>
    <definedName name="Malaysia">#REF!</definedName>
    <definedName name="Mannheim">#REF!</definedName>
    <definedName name="MANNHEIM_">#REF!</definedName>
    <definedName name="Mantta">#REF!</definedName>
    <definedName name="MANTTA_">#REF!</definedName>
    <definedName name="MARATHON">#REF!</definedName>
    <definedName name="MARIANNELUNK_">#REF!</definedName>
    <definedName name="MATANE">#REF!</definedName>
    <definedName name="Mavoor">#REF!</definedName>
    <definedName name="MAVOOR_">#REF!</definedName>
    <definedName name="MeadowLake">#REF!</definedName>
    <definedName name="Menatep">#REF!</definedName>
    <definedName name="Menominee">#REF!</definedName>
    <definedName name="Mercer___Stendal">#REF!</definedName>
    <definedName name="MÊSANT">#REF!</definedName>
    <definedName name="MESES">#REF!</definedName>
    <definedName name="Mettupalayam">#REF!</definedName>
    <definedName name="METTUPALAYAM_">#REF!</definedName>
    <definedName name="Mexico">#REF!</definedName>
    <definedName name="Miklauzhof">#REF!</definedName>
    <definedName name="MIKLAUZHOF_">#REF!</definedName>
    <definedName name="MILLAR_MEADOWLAKE">#REF!</definedName>
    <definedName name="MILLAR_WHITE">#REF!</definedName>
    <definedName name="miramichi">#REF!</definedName>
    <definedName name="MIRAMICHI_">#REF!</definedName>
    <definedName name="Mizlauzhof">#REF!</definedName>
    <definedName name="Mjondalen">#REF!</definedName>
    <definedName name="MJONDALEN_">#REF!</definedName>
    <definedName name="ML_1c3d1n6n">#REF!</definedName>
    <definedName name="ML_1d9s8u7q">#REF!</definedName>
    <definedName name="ML_1e1k9n5y">#REF!</definedName>
    <definedName name="ML_1k7v5o9q">#REF!</definedName>
    <definedName name="ML_1s4z1z2q">#REF!</definedName>
    <definedName name="ML_1t5s6u1f">#REF!</definedName>
    <definedName name="ML_1y7a6c1t">#REF!</definedName>
    <definedName name="ML_2j1r9i8a">#REF!</definedName>
    <definedName name="ML_2k1r9i3a">#REF!</definedName>
    <definedName name="ML_3b3j3x9k">#REF!</definedName>
    <definedName name="ML_3c6e9c4g">#REF!</definedName>
    <definedName name="ML_3c7g1a7g">#REF!</definedName>
    <definedName name="ML_3e2q4k7i">#REF!</definedName>
    <definedName name="ML_3p5d9q5j">#REF!</definedName>
    <definedName name="ML_3u4x3z5p">#REF!</definedName>
    <definedName name="ML_3y1j4m2m">#REF!</definedName>
    <definedName name="ML_4s3t7k2l">#REF!</definedName>
    <definedName name="ML_5e7g5e5e">#REF!</definedName>
    <definedName name="ML_5j3u6k8m">#REF!</definedName>
    <definedName name="ML_5s8t7t6m">#REF!</definedName>
    <definedName name="ML_5s8y2t2m">#REF!</definedName>
    <definedName name="ML_6d9t7u7z">#REF!</definedName>
    <definedName name="ML_6f2p1m9g">#REF!</definedName>
    <definedName name="ML_6j7u6o8z">#REF!</definedName>
    <definedName name="ML_6r9u1n9k">#REF!</definedName>
    <definedName name="ML_6y9f7y3n">#REF!</definedName>
    <definedName name="ML_7g4k9d6i">#REF!</definedName>
    <definedName name="ML_7m5m4k3b">#REF!</definedName>
    <definedName name="ML_7n6h3t1t">#REF!</definedName>
    <definedName name="ML_7s4w7c6r">#REF!</definedName>
    <definedName name="ML_8b9j5t1p">#REF!</definedName>
    <definedName name="ML_8c2q5i2r">#REF!</definedName>
    <definedName name="ML_8d2v5j7j">#REF!</definedName>
    <definedName name="ML_8g2r9j4j">#REF!</definedName>
    <definedName name="ML_8h3m3i1m">#REF!</definedName>
    <definedName name="ML_8h7g4d4d">#REF!</definedName>
    <definedName name="ML_8j2r9j1j">#REF!</definedName>
    <definedName name="ML_8j3v5k8j">#REF!</definedName>
    <definedName name="ML_8j3w6p4c">#REF!</definedName>
    <definedName name="ML_8j6r9l1j">#REF!</definedName>
    <definedName name="ML_8j9r9u1j">#REF!</definedName>
    <definedName name="ML_8k8u6t3j">#REF!</definedName>
    <definedName name="ML_8r1k8t4y">#REF!</definedName>
    <definedName name="ML_8s7z1o6j">#REF!</definedName>
    <definedName name="ML_9g2t7j4w">#REF!</definedName>
    <definedName name="ML_9n1s4m5f">#REF!</definedName>
    <definedName name="ML_9u2u6j5w">#REF!</definedName>
    <definedName name="ML_Table_1">#REF!</definedName>
    <definedName name="ML_Table_2">#REF!</definedName>
    <definedName name="ML_Table_8">#REF!</definedName>
    <definedName name="Mobile">#REF!</definedName>
    <definedName name="MOBILE_">#REF!</definedName>
    <definedName name="MogiGuaco">#REF!</definedName>
    <definedName name="MOGIGUACOI_">#REF!</definedName>
    <definedName name="monroeville">#REF!</definedName>
    <definedName name="MONROEVILLE_">#REF!</definedName>
    <definedName name="monroeville_2">#REF!</definedName>
    <definedName name="MONROEVILLE2_">#REF!</definedName>
    <definedName name="Monsteras">#REF!</definedName>
    <definedName name="MONSTERSA_">#REF!</definedName>
    <definedName name="MonteDourado">#REF!</definedName>
    <definedName name="MONTEDOURADO_">#REF!</definedName>
    <definedName name="Morrum">#REF!</definedName>
    <definedName name="MORRUM_">#REF!</definedName>
    <definedName name="Moss">#REF!</definedName>
    <definedName name="MOSS_">#REF!</definedName>
    <definedName name="Muskegon">#REF!</definedName>
    <definedName name="MUSKEGON_">#REF!</definedName>
    <definedName name="N">#REF!</definedName>
    <definedName name="Nacimiento">#REF!</definedName>
    <definedName name="NACIMIENTO_">#REF!</definedName>
    <definedName name="NACKAWICH_">#REF!</definedName>
    <definedName name="NAMES">#REF!</definedName>
    <definedName name="NANAIMO">#REF!</definedName>
    <definedName name="Natchez">#REF!</definedName>
    <definedName name="NATCHEZ_IP">#REF!</definedName>
    <definedName name="NaviaCEASA">#REF!</definedName>
    <definedName name="NAVIACEASA_">#REF!</definedName>
    <definedName name="Net_Income_Adj_Earnings_PreAbnormal_Goodwill_Amort">#REF!</definedName>
    <definedName name="network">#REF!</definedName>
    <definedName name="network2">#REF!</definedName>
    <definedName name="newaugusta">#REF!</definedName>
    <definedName name="NEWAUGUSTA_">#REF!</definedName>
    <definedName name="newberg">#REF!</definedName>
    <definedName name="NEWBERG_">#REF!</definedName>
    <definedName name="newbern">#REF!</definedName>
    <definedName name="NEWBERN_">#REF!</definedName>
    <definedName name="Newcastle">#REF!</definedName>
    <definedName name="NEWCASTLE_">#REF!</definedName>
    <definedName name="NEWTOP">#REF!</definedName>
    <definedName name="NewZealand">#REF!</definedName>
    <definedName name="NITYASAPRIMA_">#REF!</definedName>
    <definedName name="nn">#REF!</definedName>
    <definedName name="Nokia">#REF!</definedName>
    <definedName name="NOKIA_">#REF!</definedName>
    <definedName name="NORRKOPING_">#REF!</definedName>
    <definedName name="Norrsundet">#REF!</definedName>
    <definedName name="NORRSUNDET_">#REF!</definedName>
    <definedName name="NORSKE_CAMPBELL">#REF!</definedName>
    <definedName name="NORSKE_CROFTON">#REF!</definedName>
    <definedName name="Northwood">#REF!</definedName>
    <definedName name="Northwood_PG">#REF!</definedName>
    <definedName name="Norway">#REF!</definedName>
    <definedName name="novo">#REF!</definedName>
    <definedName name="novomês">#REF!</definedName>
    <definedName name="oglethorpe">#REF!</definedName>
    <definedName name="OGLETHORPE_">#REF!</definedName>
    <definedName name="OHS">#REF!</definedName>
    <definedName name="OHS_">#REF!</definedName>
    <definedName name="oldtown">#REF!</definedName>
    <definedName name="OLDTOWN_">#REF!</definedName>
    <definedName name="OnSan">#REF!</definedName>
    <definedName name="ONSAN_">#REF!</definedName>
    <definedName name="origens">#REF!</definedName>
    <definedName name="ORNSKOLDBVIK_">#REF!</definedName>
    <definedName name="Ornskoldsvik">#REF!</definedName>
    <definedName name="OSWALDO_">#REF!</definedName>
    <definedName name="Oswlado">#REF!</definedName>
    <definedName name="Oulu">#REF!</definedName>
    <definedName name="OULU_">#REF!</definedName>
    <definedName name="Pakistan">#REF!</definedName>
    <definedName name="PALATAKA_">#REF!</definedName>
    <definedName name="palatka">#REF!</definedName>
    <definedName name="PANAMA_">#REF!</definedName>
    <definedName name="PanamaCity">#REF!</definedName>
    <definedName name="PanPacific">#REF!</definedName>
    <definedName name="Paraguay">#REF!</definedName>
    <definedName name="Pasadena">#REF!</definedName>
    <definedName name="PASADENA_">#REF!</definedName>
    <definedName name="Passivo">#REF!</definedName>
    <definedName name="pc_antas">#REF!</definedName>
    <definedName name="pc_antw">#REF!</definedName>
    <definedName name="pc_arg">#REF!</definedName>
    <definedName name="pc_bac">#REF!</definedName>
    <definedName name="pc_cod">#REF!</definedName>
    <definedName name="pc_comb">#REF!</definedName>
    <definedName name="pc_cons">#REF!</definedName>
    <definedName name="pc_ikp">#REF!</definedName>
    <definedName name="pc_kck">#REF!</definedName>
    <definedName name="pc_kk">#REF!</definedName>
    <definedName name="pc_klap">#REF!</definedName>
    <definedName name="pc_kppf">#REF!</definedName>
    <definedName name="pc_ksa">#REF!</definedName>
    <definedName name="pc_mirca">#REF!</definedName>
    <definedName name="pc_nsk">#REF!</definedName>
    <definedName name="pc_rioc">#REF!</definedName>
    <definedName name="pc_trade">#REF!</definedName>
    <definedName name="PEACE_RIV">#REF!</definedName>
    <definedName name="pensacola">#REF!</definedName>
    <definedName name="PENSACOLA_">#REF!</definedName>
    <definedName name="PERAWANG_">#REF!</definedName>
    <definedName name="Phoenix">#REF!</definedName>
    <definedName name="PHOENIX_">#REF!</definedName>
    <definedName name="PHOENIX1">#REF!</definedName>
    <definedName name="Pietersaari">#REF!</definedName>
    <definedName name="PIETERSAARI_">#REF!</definedName>
    <definedName name="pineville">#REF!</definedName>
    <definedName name="PINEVILLE_">#REF!</definedName>
    <definedName name="Pirna">#REF!</definedName>
    <definedName name="PIRNA_">#REF!</definedName>
    <definedName name="PIS">#REF!</definedName>
    <definedName name="PITKYARANTA_">#REF!</definedName>
    <definedName name="plymouth">#REF!</definedName>
    <definedName name="PLYMOUTH_">#REF!</definedName>
    <definedName name="Ponteverda">#REF!</definedName>
    <definedName name="PONTEVERDA_">#REF!</definedName>
    <definedName name="Pori">#REF!</definedName>
    <definedName name="PORI_">#REF!</definedName>
    <definedName name="portagedufort">#REF!</definedName>
    <definedName name="PORTAGEDURFORT_">#REF!</definedName>
    <definedName name="PortAlberni">#REF!</definedName>
    <definedName name="PORTALBERNI_">#REF!</definedName>
    <definedName name="PortAlice">#REF!</definedName>
    <definedName name="PORTALICE_">#REF!</definedName>
    <definedName name="PortAngeles">#REF!</definedName>
    <definedName name="PortCartier">#REF!</definedName>
    <definedName name="PORTCARTIER_">#REF!</definedName>
    <definedName name="porthawk_ONTA">#REF!</definedName>
    <definedName name="PORTHAWKESBURY_NS">#REF!</definedName>
    <definedName name="porthudson">#REF!</definedName>
    <definedName name="PORTHUDSON_">#REF!</definedName>
    <definedName name="porttownsend">#REF!</definedName>
    <definedName name="PORTTOWNSEND_">#REF!</definedName>
    <definedName name="Portuga">#REF!</definedName>
    <definedName name="PortWentworth">#REF!</definedName>
    <definedName name="POWELL">#REF!</definedName>
    <definedName name="powellriver">#REF!</definedName>
    <definedName name="POWELLRIVER_">#REF!</definedName>
    <definedName name="PRAZO_CLIENTES____DIAS">#REF!</definedName>
    <definedName name="Pre_Tax_Income">#REF!</definedName>
    <definedName name="PreTax_Income_Adj">#REF!</definedName>
    <definedName name="princealbert">#REF!</definedName>
    <definedName name="PRINCEALBERT_">#REF!</definedName>
    <definedName name="PT_MACKENZIE">#REF!</definedName>
    <definedName name="PtALICE">#REF!</definedName>
    <definedName name="pthawkes_ns">#REF!</definedName>
    <definedName name="PTHAWKESBURY_">#REF!</definedName>
    <definedName name="pthawkesbury_ONT">#REF!</definedName>
    <definedName name="PTTEL">#REF!</definedName>
    <definedName name="PUERTOESPERENZA_">#REF!</definedName>
    <definedName name="PuertoEsperenze">#REF!</definedName>
    <definedName name="Q1.2008.03">#REF!</definedName>
    <definedName name="Q2.2008.06">#REF!</definedName>
    <definedName name="Q3.2008.09">#REF!</definedName>
    <definedName name="Q4.2008.12">#REF!</definedName>
    <definedName name="quebeccity">#REF!</definedName>
    <definedName name="QUEBECCITY_">#REF!</definedName>
    <definedName name="QUESNEL_">#REF!</definedName>
    <definedName name="QUESNEL_cariboo">#REF!</definedName>
    <definedName name="quesnel_fraser">#REF!</definedName>
    <definedName name="QUINNESEC_">#REF!</definedName>
    <definedName name="Qunnesec">#REF!</definedName>
    <definedName name="Rauma">#REF!</definedName>
    <definedName name="RAUMA_">#REF!</definedName>
    <definedName name="REAIS">#REF!</definedName>
    <definedName name="Reais_Begin">#REF!</definedName>
    <definedName name="Reais_BeginQ">#REF!</definedName>
    <definedName name="Reais_End">#REF!</definedName>
    <definedName name="Reais_EndQ">#REF!</definedName>
    <definedName name="relatorio">#REF!,#REF!,#REF!</definedName>
    <definedName name="Report">#REF!</definedName>
    <definedName name="Reported_Net_Income">#REF!</definedName>
    <definedName name="Riaupulp">#REF!</definedName>
    <definedName name="RIAUPULP_">#REF!</definedName>
    <definedName name="RIchards">#REF!</definedName>
    <definedName name="RICHARDS_">#REF!</definedName>
    <definedName name="riegelwood">#REF!</definedName>
    <definedName name="RIEGELWOOD_">#REF!</definedName>
    <definedName name="Risor">#REF!</definedName>
    <definedName name="RISOR_">#REF!</definedName>
    <definedName name="rivduLoup">#REF!</definedName>
    <definedName name="riviereduloup">#REF!</definedName>
    <definedName name="RIVIEREDULOUP_">#REF!</definedName>
    <definedName name="ROCKHAMMARS_">#REF!</definedName>
    <definedName name="Rosenthal">#REF!</definedName>
    <definedName name="ROSENTHAL_">#REF!</definedName>
    <definedName name="Roskhammars">#REF!</definedName>
    <definedName name="Rothschild">#REF!</definedName>
    <definedName name="ROTHSCHILD_">#REF!</definedName>
    <definedName name="ROTTERNOS_">#REF!</definedName>
    <definedName name="Rottneros">#REF!</definedName>
    <definedName name="Rumford">#REF!</definedName>
    <definedName name="RUMFORD_MEAD">#REF!</definedName>
    <definedName name="Russia">#REF!</definedName>
    <definedName name="Saillat">#REF!</definedName>
    <definedName name="SAILLAT_">#REF!</definedName>
    <definedName name="SaintGaudens">#REF!</definedName>
    <definedName name="SAINTGAUDENS_">#REF!</definedName>
    <definedName name="Sakhalin">#REF!</definedName>
    <definedName name="SAKHALIN_">#REF!</definedName>
    <definedName name="Salsbruket">#REF!</definedName>
    <definedName name="SALSBRUKET_">#REF!</definedName>
    <definedName name="Samoa">#REF!</definedName>
    <definedName name="Samoa_">#REF!</definedName>
    <definedName name="Sande">#REF!</definedName>
    <definedName name="SANDE_">#REF!</definedName>
    <definedName name="SantaCatarina">#REF!</definedName>
    <definedName name="SANTACATARINA_">#REF!</definedName>
    <definedName name="Santander">#REF!</definedName>
    <definedName name="SANTANDER_">#REF!</definedName>
    <definedName name="SAOPAOLO_">#REF!</definedName>
    <definedName name="SaoPaoloZorzi">#REF!</definedName>
    <definedName name="SAOPAOLOZORZI_">#REF!</definedName>
    <definedName name="SaoPaulo">#REF!</definedName>
    <definedName name="SAOPAULO_">#REF!</definedName>
    <definedName name="SAPBEXhrIndnt" hidden="1">"Wide"</definedName>
    <definedName name="SAPBEXrevision" hidden="1">3</definedName>
    <definedName name="SAPBEXsysID" hidden="1">"B1D"</definedName>
    <definedName name="SAPBEXwbID" hidden="1">"92JLM80MZPCSJXGAFY83T8KQG"</definedName>
    <definedName name="SAPsysID" hidden="1">"708C5W7SBKP804JT78WJ0JNKI"</definedName>
    <definedName name="SAPwbID" hidden="1">"ARS"</definedName>
    <definedName name="Sarawak">#REF!</definedName>
    <definedName name="SARAWAK_">#REF!</definedName>
    <definedName name="Sarpsborg">#REF!</definedName>
    <definedName name="SARPSBORG_">#REF!</definedName>
    <definedName name="SAVANNAH_">#REF!</definedName>
    <definedName name="seguinte">#REF!</definedName>
    <definedName name="sel">#REF!</definedName>
    <definedName name="SELMA_IP">#REF!</definedName>
    <definedName name="SelmaRiverdale">#REF!</definedName>
    <definedName name="setrs">#REF!</definedName>
    <definedName name="Setubal">#REF!</definedName>
    <definedName name="SETUBAL_">#REF!</definedName>
    <definedName name="setus">#REF!</definedName>
    <definedName name="Share_price">#REF!</definedName>
    <definedName name="sheetharbour">#REF!</definedName>
    <definedName name="SHEETHARBOUR_">#REF!</definedName>
    <definedName name="sheldon">#REF!</definedName>
    <definedName name="SHELDON_">#REF!</definedName>
    <definedName name="Shotton">#REF!</definedName>
    <definedName name="SHOTTON_">#REF!</definedName>
    <definedName name="sitka">#REF!</definedName>
    <definedName name="SITKA_">#REF!</definedName>
    <definedName name="Skarblacka">#REF!</definedName>
    <definedName name="SKARBLACKA_">#REF!</definedName>
    <definedName name="SKATFOL_">#REF!</definedName>
    <definedName name="Skatfos">#REF!</definedName>
    <definedName name="SKEENA_PRRUPERT">#REF!</definedName>
    <definedName name="SkeenaPrinceRupert">#REF!</definedName>
    <definedName name="SKEEPNA">#REF!</definedName>
    <definedName name="Skien">#REF!</definedName>
    <definedName name="SKIEN_">#REF!</definedName>
    <definedName name="SKOOK">#REF!</definedName>
    <definedName name="Skowhegan">#REF!</definedName>
    <definedName name="SKOWHEGAN_">#REF!</definedName>
    <definedName name="Skutskar">#REF!</definedName>
    <definedName name="SKUTSKAR_">#REF!</definedName>
    <definedName name="slavelake">#REF!</definedName>
    <definedName name="SLAVELAKE_">#REF!</definedName>
    <definedName name="SLOTTSBRYN_">#REF!</definedName>
    <definedName name="SMOOTHROCK">#REF!</definedName>
    <definedName name="SmoothRockFalls">#REF!</definedName>
    <definedName name="Solambalsky">#REF!</definedName>
    <definedName name="SOLAMBALSKY_">#REF!</definedName>
    <definedName name="Sondeled">#REF!</definedName>
    <definedName name="SONDELED_">#REF!</definedName>
    <definedName name="SouthAfrica">#REF!</definedName>
    <definedName name="Sovetsky">#REF!</definedName>
    <definedName name="SOVETSKY_">#REF!</definedName>
    <definedName name="Spain">#REF!</definedName>
    <definedName name="Squamish">#REF!</definedName>
    <definedName name="SQUAMISH_">#REF!</definedName>
    <definedName name="SQUIAMISH">#REF!</definedName>
    <definedName name="SSCCPontiac">#REF!</definedName>
    <definedName name="stannepulp">#REF!</definedName>
    <definedName name="STATUS">#REF!</definedName>
    <definedName name="Stckfors">#REF!</definedName>
    <definedName name="Steiermark">#REF!</definedName>
    <definedName name="STEIERMARK_">#REF!</definedName>
    <definedName name="Steinkjer">#REF!</definedName>
    <definedName name="STEINKJER_">#REF!</definedName>
    <definedName name="STENDALNEWS">#REF!</definedName>
    <definedName name="STFELCIEN_">#REF!</definedName>
    <definedName name="stfelicien">#REF!</definedName>
    <definedName name="stgeorge">#REF!</definedName>
    <definedName name="STGEORGE_">#REF!</definedName>
    <definedName name="stjohn">#REF!</definedName>
    <definedName name="STJOHN_">#REF!</definedName>
    <definedName name="STOCKFORS_">#REF!</definedName>
    <definedName name="STORKVIK_">#REF!</definedName>
    <definedName name="Sumatra">#REF!</definedName>
    <definedName name="SUMATRA_">#REF!</definedName>
    <definedName name="Suzano">#REF!</definedName>
    <definedName name="SUZANO_">#REF!</definedName>
    <definedName name="svannah">#REF!</definedName>
    <definedName name="Svetogorsk">#REF!</definedName>
    <definedName name="SVETOGORSK_">#REF!</definedName>
    <definedName name="Swaziland">#REF!</definedName>
    <definedName name="Sweden">#REF!</definedName>
    <definedName name="Switzerland">#REF!</definedName>
    <definedName name="TabLocais">#REF!</definedName>
    <definedName name="TabProdCentro">#REF!</definedName>
    <definedName name="TabProdOrdem">#REF!</definedName>
    <definedName name="TabProdutos">#REF!</definedName>
    <definedName name="Tacoma">#REF!</definedName>
    <definedName name="TACOMA_">#REF!</definedName>
    <definedName name="Tainionkoski">#REF!</definedName>
    <definedName name="TAINIONKOSKI_">#REF!</definedName>
    <definedName name="Tainonkoski">#REF!</definedName>
    <definedName name="Taiwan">#REF!</definedName>
    <definedName name="TaiwanPP">#REF!</definedName>
    <definedName name="TAIWANPP_">#REF!</definedName>
    <definedName name="Tarascon">#REF!</definedName>
    <definedName name="TARASCON_">#REF!</definedName>
    <definedName name="Tartas">#REF!</definedName>
    <definedName name="TARTAS_">#REF!</definedName>
    <definedName name="Tasman">#REF!</definedName>
    <definedName name="TASMAN_">#REF!</definedName>
    <definedName name="TAXA_DISP1">#REF!</definedName>
    <definedName name="TAXA_DISP10">#REF!</definedName>
    <definedName name="TAXA_DISP11">#REF!</definedName>
    <definedName name="TAXA_DISP12">#REF!</definedName>
    <definedName name="TAXA_DISP13">#REF!</definedName>
    <definedName name="TAXA_DISP14">#REF!</definedName>
    <definedName name="TAXA_DISP15">#REF!</definedName>
    <definedName name="TAXA_DISP2">#REF!</definedName>
    <definedName name="TAXA_DISP3">#REF!</definedName>
    <definedName name="TAXA_DISP4">#REF!</definedName>
    <definedName name="TAXA_DISP5">#REF!</definedName>
    <definedName name="TAXA_DISP6">#REF!</definedName>
    <definedName name="TAXA_DISP7">#REF!</definedName>
    <definedName name="TAXA_DISP8">#REF!</definedName>
    <definedName name="TAXA_DISP9">#REF!</definedName>
    <definedName name="taxa1">#REF!</definedName>
    <definedName name="Taylor_FIBRECO">#REF!</definedName>
    <definedName name="TembecMarathon">#REF!</definedName>
    <definedName name="TembecMatane">#REF!</definedName>
    <definedName name="TembecSkookumchuck">#REF!</definedName>
    <definedName name="temiscaming">#REF!</definedName>
    <definedName name="TEMISCAMING_TEMBEC">#REF!</definedName>
    <definedName name="Tervasaari">#REF!</definedName>
    <definedName name="TERVASSARI_">#REF!</definedName>
    <definedName name="texarkana">#REF!</definedName>
    <definedName name="TEXARKANA_">#REF!</definedName>
    <definedName name="Thailand">#REF!</definedName>
    <definedName name="thepas">#REF!</definedName>
    <definedName name="THEPAS_">#REF!</definedName>
    <definedName name="thorold">#REF!</definedName>
    <definedName name="THOROLD_">#REF!</definedName>
    <definedName name="Thunder">#REF!</definedName>
    <definedName name="ThunderBay">#REF!</definedName>
    <definedName name="thurso">#REF!</definedName>
    <definedName name="THURSO_">#REF!</definedName>
    <definedName name="Tigr_Exhibit1425807c_2535_4e15_ad24_3e4c6ef2a0f1" hidden="1">#REF!</definedName>
    <definedName name="Tigr_Exhibit7ecd66fc_2a64_4e50_8718_07a213925268" hidden="1">#REF!</definedName>
    <definedName name="Tigr_Exhibitdcb3ddeb_6337_4dc2_b750_4d8444d49f7b" hidden="1">#REF!</definedName>
    <definedName name="Timra">#REF!</definedName>
    <definedName name="TIMRA_">#REF!</definedName>
    <definedName name="TitleIndustry">#REF!</definedName>
    <definedName name="TitleRegion">#REF!</definedName>
    <definedName name="Tofte">#REF!</definedName>
    <definedName name="TOFTE_">#REF!</definedName>
    <definedName name="Tolmezzo">#REF!</definedName>
    <definedName name="TOLMEZZO_">#REF!</definedName>
    <definedName name="Tomahawk">#REF!</definedName>
    <definedName name="TOMAHAWK_">#REF!</definedName>
    <definedName name="Topplia">#REF!</definedName>
    <definedName name="TOPPLIA_">#REF!</definedName>
    <definedName name="troisriviere">#REF!</definedName>
    <definedName name="TROISRIVIERE_">#REF!</definedName>
    <definedName name="troisrivierie">#REF!</definedName>
    <definedName name="Trostberg">#REF!</definedName>
    <definedName name="TROSTBERG_">#REF!</definedName>
    <definedName name="TX_DEPREC">#REF!</definedName>
    <definedName name="TX_DEPREC_1">#REF!</definedName>
    <definedName name="TX_DEPREC_MED">#REF!</definedName>
    <definedName name="TX_ECG_CR">#REF!</definedName>
    <definedName name="TX_ECG_CR__1">#REF!</definedName>
    <definedName name="TX_ECG_CR__MED">#REF!</definedName>
    <definedName name="TX_ECG_ME">#REF!</definedName>
    <definedName name="TX_ECG_ME_1">#REF!</definedName>
    <definedName name="TX_ECG_ME_MED">#REF!</definedName>
    <definedName name="TX_EMP_CR">#REF!</definedName>
    <definedName name="TX_EMP_CR__1">#REF!</definedName>
    <definedName name="TX_EMP_CR__MED">#REF!</definedName>
    <definedName name="TX_EMP_ME">#REF!</definedName>
    <definedName name="TX_EMP_ME_1">#REF!</definedName>
    <definedName name="TX_EMP_ME_MED">#REF!</definedName>
    <definedName name="TX_RLP">#REF!</definedName>
    <definedName name="TX_RLP_1">#REF!</definedName>
    <definedName name="TX_RLP_MED">#REF!</definedName>
    <definedName name="Uimaharju">#REF!</definedName>
    <definedName name="UIMAHARJU_">#REF!</definedName>
    <definedName name="UK">#REF!</definedName>
    <definedName name="Umkomaas">#REF!</definedName>
    <definedName name="UMKOMAAS_">#REF!</definedName>
    <definedName name="US">#REF!</definedName>
    <definedName name="US_Begin">#REF!</definedName>
    <definedName name="US_BeginQ">#REF!</definedName>
    <definedName name="US_End">#REF!</definedName>
    <definedName name="US_EndQ">#REF!</definedName>
    <definedName name="Usiminas">#REF!</definedName>
    <definedName name="USmillname">#REF!</definedName>
    <definedName name="UstIlimsk">#REF!</definedName>
    <definedName name="USTILIMSK_">#REF!</definedName>
    <definedName name="Utansjo">#REF!</definedName>
    <definedName name="UTANSJO_">#REF!</definedName>
    <definedName name="Vaggeryds">#REF!</definedName>
    <definedName name="VAGGERYDSCELL_">#REF!</definedName>
    <definedName name="VAGGESRYDS_">#REF!</definedName>
    <definedName name="Valdivia">#REF!</definedName>
    <definedName name="VALDIVIA_">#REF!</definedName>
    <definedName name="VALDIVIA_ARAUCO">#REF!</definedName>
    <definedName name="ValdiviaArauco">#REF!</definedName>
    <definedName name="Vallvik">#REF!</definedName>
    <definedName name="VALLVIK_">#REF!</definedName>
    <definedName name="var">#REF!</definedName>
    <definedName name="Varkaus">#REF!</definedName>
    <definedName name="VARKAUS_">#REF!</definedName>
    <definedName name="Varo">#REF!</definedName>
    <definedName name="VARO_">#REF!</definedName>
    <definedName name="VEISILUOTO_">#REF!</definedName>
    <definedName name="Veitsiluoto">#REF!</definedName>
    <definedName name="Veracel">#REF!</definedName>
    <definedName name="VERACEL_">#REF!</definedName>
    <definedName name="Vietnam">#REF!</definedName>
    <definedName name="VILAVELHA_">#REF!</definedName>
    <definedName name="VillaVelha">#REF!</definedName>
    <definedName name="volume" hidden="1">32</definedName>
    <definedName name="wallula">#REF!</definedName>
    <definedName name="WALLULA_">#REF!</definedName>
    <definedName name="WARDON_">#REF!</definedName>
    <definedName name="Westbrook">#REF!</definedName>
    <definedName name="westpoint">#REF!</definedName>
    <definedName name="WESTPOINT_">#REF!</definedName>
    <definedName name="WHIRINAKI_">#REF!</definedName>
    <definedName name="Whitecourt">#REF!</definedName>
    <definedName name="WICKLIFFE_">#REF!</definedName>
    <definedName name="wicliffe">#REF!</definedName>
    <definedName name="windsor">#REF!</definedName>
    <definedName name="WINDSOR_">#REF!</definedName>
    <definedName name="Winstone">#REF!</definedName>
    <definedName name="WINSTONE_">#REF!</definedName>
    <definedName name="Woodland">#REF!</definedName>
    <definedName name="WOODLAND_GP">#REF!</definedName>
    <definedName name="WORKBOOK_SAPBEXq0001" comment="DP_4">"DP_4"</definedName>
    <definedName name="WORKBOOK_SAPBEXq0002" comment="DP_5">"DP_5"</definedName>
    <definedName name="WORKBOOK_SAPBEXq0003" comment="DP_6">"DP_6"</definedName>
    <definedName name="WORKBOOK_SAPBEXq0004" comment="DP_7">"DP_7"</definedName>
    <definedName name="WORKBOOK_SAPBEXq0005" comment="DP_8">"DP_8"</definedName>
    <definedName name="WORKBOOK_SAPBEXq0006" comment="DP_9">"DP_9"</definedName>
    <definedName name="WORKBOOK_SAPBEXq0007" comment="DP_10">"DP_10"</definedName>
    <definedName name="WORKBOOK_SAPBEXq0008" comment="DP_11">"DP_11"</definedName>
    <definedName name="WORKBOOK_SAPBEXq0009" comment="DP_12">"DP_12"</definedName>
    <definedName name="WORKBOOK_SAPBEXq0010" comment="DP_13">"DP_13"</definedName>
    <definedName name="WORKBOOK_SAPBEXq0011" comment="DP_14">"DP_14"</definedName>
    <definedName name="YearBase">#REF!</definedName>
    <definedName name="Zachary">#REF!</definedName>
    <definedName name="Data" localSheetId="1">#REF!</definedName>
    <definedName name="_____ABCNEW" localSheetId="3">#REF!</definedName>
    <definedName name="____abc" localSheetId="3">#REF!</definedName>
    <definedName name="____alpha" localSheetId="3">#REF!</definedName>
    <definedName name="____NOP" localSheetId="3">#REF!</definedName>
    <definedName name="___DEF" localSheetId="3">#REF!</definedName>
    <definedName name="___END" localSheetId="3">#REF!</definedName>
    <definedName name="___GH" localSheetId="3">#REF!</definedName>
    <definedName name="___IJ" localSheetId="3">#REF!</definedName>
    <definedName name="___KL" localSheetId="3">#REF!</definedName>
    <definedName name="___QRS" localSheetId="3">#REF!</definedName>
    <definedName name="___TUV" localSheetId="3">#REF!</definedName>
    <definedName name="___wxyz" localSheetId="3">#REF!</definedName>
    <definedName name="__abc" localSheetId="3">#REF!</definedName>
    <definedName name="__ANO98" localSheetId="3">#REF!</definedName>
    <definedName name="__B" localSheetId="3">#REF!</definedName>
    <definedName name="__C" localSheetId="3">#REF!</definedName>
    <definedName name="__JAN97" localSheetId="3">#REF!</definedName>
    <definedName name="_ANO98" localSheetId="3">#REF!</definedName>
    <definedName name="_CSP2" localSheetId="3">#REF!</definedName>
    <definedName name="_JAN97" localSheetId="3">#REF!</definedName>
    <definedName name="_TOP1" localSheetId="3">#REF!</definedName>
    <definedName name="A" localSheetId="3">#REF!</definedName>
    <definedName name="Aanekoski" localSheetId="3">#REF!</definedName>
    <definedName name="Aanekoski_serla" localSheetId="3">#REF!</definedName>
    <definedName name="ababab" localSheetId="3">#REF!</definedName>
    <definedName name="abertura" localSheetId="3">#REF!,#REF!,#REF!,#REF!</definedName>
    <definedName name="ac_antas" localSheetId="3">#REF!</definedName>
    <definedName name="ac_antw" localSheetId="3">#REF!</definedName>
    <definedName name="ac_arg" localSheetId="3">#REF!</definedName>
    <definedName name="ac_bac" localSheetId="3">#REF!</definedName>
    <definedName name="ac_cod" localSheetId="3">#REF!</definedName>
    <definedName name="ac_comb" localSheetId="3">#REF!</definedName>
    <definedName name="ac_cons" localSheetId="3">#REF!</definedName>
    <definedName name="ac_ikp" localSheetId="3">#REF!</definedName>
    <definedName name="ac_kck" localSheetId="3">#REF!</definedName>
    <definedName name="ac_kk" localSheetId="3">#REF!</definedName>
    <definedName name="ac_klap" localSheetId="3">#REF!</definedName>
    <definedName name="ac_kppf" localSheetId="3">#REF!</definedName>
    <definedName name="ac_ksa" localSheetId="3">#REF!</definedName>
    <definedName name="ac_mirca" localSheetId="3">#REF!</definedName>
    <definedName name="ac_nsk" localSheetId="3">#REF!</definedName>
    <definedName name="ac_rioc" localSheetId="3">#REF!</definedName>
    <definedName name="ac_trade" localSheetId="3">#REF!</definedName>
    <definedName name="Acumulado" localSheetId="3">#REF!</definedName>
    <definedName name="ad10_" localSheetId="3">#REF!</definedName>
    <definedName name="ad11_" localSheetId="3">[3]GEMiner!#REF!</definedName>
    <definedName name="ad12_" localSheetId="3">#REF!</definedName>
    <definedName name="ad13_" localSheetId="3">#REF!</definedName>
    <definedName name="ad14_" localSheetId="3">#REF!</definedName>
    <definedName name="ad15_" localSheetId="3">#REF!</definedName>
    <definedName name="ad16_" localSheetId="3">#REF!</definedName>
    <definedName name="ad17_" localSheetId="3">#REF!</definedName>
    <definedName name="ad18_" localSheetId="3">#REF!</definedName>
    <definedName name="ad19_" localSheetId="3">#REF!</definedName>
    <definedName name="ad20_" localSheetId="3">[3]GEMiner!#REF!</definedName>
    <definedName name="Adjusted_EBIT" localSheetId="3">#REF!</definedName>
    <definedName name="Adjusted_EBITDA" localSheetId="3">#REF!</definedName>
    <definedName name="Advance" localSheetId="3">#REF!</definedName>
    <definedName name="Aizarnazabal" localSheetId="3">#REF!</definedName>
    <definedName name="ALBERNI" localSheetId="3">#REF!</definedName>
    <definedName name="Alizay" localSheetId="3">#REF!</definedName>
    <definedName name="Amcel" localSheetId="3">#REF!</definedName>
    <definedName name="anderson" localSheetId="3">#REF!</definedName>
    <definedName name="Andoian" localSheetId="3">#REF!</definedName>
    <definedName name="Angol" localSheetId="3">#REF!</definedName>
    <definedName name="aplicaçoes" localSheetId="3">#REF!</definedName>
    <definedName name="Appleton" localSheetId="3">#REF!</definedName>
    <definedName name="Arac" localSheetId="3">#REF!</definedName>
    <definedName name="Aranguren" localSheetId="3">#REF!</definedName>
    <definedName name="Arauco" localSheetId="3">#REF!</definedName>
    <definedName name="AraucoItataNews" localSheetId="3">#REF!</definedName>
    <definedName name="Arendal" localSheetId="3">#REF!</definedName>
    <definedName name="Argentina" localSheetId="3">#REF!</definedName>
    <definedName name="Arkhangelsk" localSheetId="3">#REF!</definedName>
    <definedName name="Arneburg" localSheetId="3">#REF!</definedName>
    <definedName name="asd" localSheetId="3">#REF!</definedName>
    <definedName name="Ashdown" localSheetId="3">#REF!</definedName>
    <definedName name="Aspabruk" localSheetId="3">#REF!</definedName>
    <definedName name="at10_" localSheetId="3">#REF!</definedName>
    <definedName name="at11_" localSheetId="3">#REF!</definedName>
    <definedName name="at12_" localSheetId="3">#REF!</definedName>
    <definedName name="at13_" localSheetId="3">#REF!</definedName>
    <definedName name="at14_" localSheetId="3">#REF!</definedName>
    <definedName name="at15_" localSheetId="3">#REF!</definedName>
    <definedName name="at16_" localSheetId="3">#REF!</definedName>
    <definedName name="at17_" localSheetId="3">#REF!</definedName>
    <definedName name="at18_" localSheetId="3">#REF!</definedName>
    <definedName name="at19_" localSheetId="3">#REF!</definedName>
    <definedName name="at20_" localSheetId="3">#REF!</definedName>
    <definedName name="ATHOL" localSheetId="3">#REF!</definedName>
    <definedName name="Atholville" localSheetId="3">#REF!</definedName>
    <definedName name="ativo" localSheetId="3">#REF!</definedName>
    <definedName name="augusta" localSheetId="3">#REF!</definedName>
    <definedName name="Australia" localSheetId="3">#REF!</definedName>
    <definedName name="Austria" localSheetId="3">#REF!</definedName>
    <definedName name="Aveiro" localSheetId="3">#REF!</definedName>
    <definedName name="Bahia" localSheetId="3">#REF!</definedName>
    <definedName name="BahiaSul" localSheetId="3">#REF!</definedName>
    <definedName name="Baikal" localSheetId="3">#REF!</definedName>
    <definedName name="Bal" localSheetId="3">[4]Tabela!$S$1</definedName>
    <definedName name="bal_res_antas" localSheetId="3">#REF!</definedName>
    <definedName name="bal_res_antw" localSheetId="3">#REF!</definedName>
    <definedName name="bal_res_bac" localSheetId="3">#REF!</definedName>
    <definedName name="bal_res_cod" localSheetId="3">#REF!</definedName>
    <definedName name="bal_res_cons" localSheetId="3">#REF!</definedName>
    <definedName name="bal_res_ikp" localSheetId="3">#REF!</definedName>
    <definedName name="bal_res_ka" localSheetId="3">#REF!</definedName>
    <definedName name="bal_res_kck" localSheetId="3">#REF!</definedName>
    <definedName name="bal_res_kk" localSheetId="3">#REF!</definedName>
    <definedName name="bal_res_klap" localSheetId="3">#REF!</definedName>
    <definedName name="bal_res_kppf" localSheetId="3">#REF!</definedName>
    <definedName name="bal_res_ksa" localSheetId="3">#REF!</definedName>
    <definedName name="bal_res_mirca" localSheetId="3">#REF!</definedName>
    <definedName name="bal_res_nsk" localSheetId="3">#REF!</definedName>
    <definedName name="bal_res_rioc" localSheetId="3">#REF!</definedName>
    <definedName name="bal_res_rlg" localSheetId="3">#REF!</definedName>
    <definedName name="balance" localSheetId="3">#REF!</definedName>
    <definedName name="balance2" localSheetId="3">#REF!</definedName>
    <definedName name="balanceUS" localSheetId="3">#REF!</definedName>
    <definedName name="balanceUS2" localSheetId="3">#REF!</definedName>
    <definedName name="BALTIC_" localSheetId="3">#REF!</definedName>
    <definedName name="Barnie" localSheetId="3">#REF!</definedName>
    <definedName name="BARR4TRREF" localSheetId="3">#REF!</definedName>
    <definedName name="BARR4TRTV" localSheetId="3">#REF!</definedName>
    <definedName name="bathurst" localSheetId="3">#REF!</definedName>
    <definedName name="bb" localSheetId="3">#REF!</definedName>
    <definedName name="bd_custos_tit" localSheetId="3">#REF!</definedName>
    <definedName name="BD_Geral" localSheetId="3">#REF!</definedName>
    <definedName name="BD_GeralTit" localSheetId="3">#REF!</definedName>
    <definedName name="BD_Grupo" localSheetId="3">#REF!</definedName>
    <definedName name="bebelsurquevillon" localSheetId="3">#REF!</definedName>
    <definedName name="Belgium" localSheetId="3">#REF!</definedName>
    <definedName name="Bellingham" localSheetId="3">#REF!</definedName>
    <definedName name="BeloOreiente" localSheetId="3">#REF!</definedName>
    <definedName name="bennettsville" localSheetId="3">#REF!</definedName>
    <definedName name="Berlin" localSheetId="3">#REF!</definedName>
    <definedName name="BiocellNews" localSheetId="3">#REF!</definedName>
    <definedName name="Bloom" localSheetId="3">#REF!</definedName>
    <definedName name="BLPH100" localSheetId="3" hidden="1">#REF!</definedName>
    <definedName name="BLPH101" localSheetId="3" hidden="1">#REF!</definedName>
    <definedName name="BLPH102" localSheetId="3" hidden="1">#REF!</definedName>
    <definedName name="BLPH103" localSheetId="3" hidden="1">#REF!</definedName>
    <definedName name="BLPH104" localSheetId="3" hidden="1">#REF!</definedName>
    <definedName name="BLPH105" localSheetId="3" hidden="1">#REF!</definedName>
    <definedName name="BLPH106" localSheetId="3" hidden="1">#REF!</definedName>
    <definedName name="BLPH107" localSheetId="3" hidden="1">#REF!</definedName>
    <definedName name="BLPH108" localSheetId="3" hidden="1">#REF!</definedName>
    <definedName name="BLPH109" localSheetId="3" hidden="1">#REF!</definedName>
    <definedName name="BLPH110" localSheetId="3" hidden="1">#REF!</definedName>
    <definedName name="BLPH111" localSheetId="3" hidden="1">#REF!</definedName>
    <definedName name="BLPH112" localSheetId="3" hidden="1">#REF!</definedName>
    <definedName name="BLPH113" localSheetId="3" hidden="1">#REF!</definedName>
    <definedName name="BLPH114" localSheetId="3" hidden="1">#REF!</definedName>
    <definedName name="BLPH115" localSheetId="3" hidden="1">#REF!</definedName>
    <definedName name="BLPH116" localSheetId="3" hidden="1">#REF!</definedName>
    <definedName name="BLPH117" localSheetId="3" hidden="1">#REF!</definedName>
    <definedName name="BLPH143" localSheetId="3" hidden="1">#REF!</definedName>
    <definedName name="BLPH92" localSheetId="3" hidden="1">#REF!</definedName>
    <definedName name="BLPH93" localSheetId="3" hidden="1">#REF!</definedName>
    <definedName name="BLPH94" localSheetId="3" hidden="1">#REF!</definedName>
    <definedName name="BLPH95" localSheetId="3" hidden="1">#REF!</definedName>
    <definedName name="BLPH96" localSheetId="3" hidden="1">#REF!</definedName>
    <definedName name="BLPH97" localSheetId="3" hidden="1">#REF!</definedName>
    <definedName name="BLPH98" localSheetId="3" hidden="1">#REF!</definedName>
    <definedName name="BLPH99" localSheetId="3" hidden="1">#REF!</definedName>
    <definedName name="Boehsndalen" localSheetId="3">#REF!</definedName>
    <definedName name="Borneo" localSheetId="3">#REF!</definedName>
    <definedName name="Boyle" localSheetId="3">#REF!</definedName>
    <definedName name="Bratsk" localSheetId="3">#REF!</definedName>
    <definedName name="Brazil" localSheetId="3">#REF!</definedName>
    <definedName name="breakdown" localSheetId="3">#REF!</definedName>
    <definedName name="breakdown2" localSheetId="3">#REF!</definedName>
    <definedName name="breakey" localSheetId="3">#REF!</definedName>
    <definedName name="brewton" localSheetId="3">#REF!</definedName>
    <definedName name="Brunswich" localSheetId="3">#REF!</definedName>
    <definedName name="Brunswick" localSheetId="3">#REF!</definedName>
    <definedName name="Burgos" localSheetId="3">#REF!</definedName>
    <definedName name="butler" localSheetId="3">#REF!</definedName>
    <definedName name="CaforPrinceGeorge" localSheetId="3">#REF!</definedName>
    <definedName name="Caieriras" localSheetId="3">#REF!</definedName>
    <definedName name="Calhoun" localSheetId="3">#REF!</definedName>
    <definedName name="CAMPBELL" localSheetId="3">#REF!</definedName>
    <definedName name="CampbellRiver" localSheetId="3">#REF!</definedName>
    <definedName name="CAN" localSheetId="3">#REF!</definedName>
    <definedName name="Canada" localSheetId="3">#REF!</definedName>
    <definedName name="CanforInterconPG" localSheetId="3">#REF!</definedName>
    <definedName name="CanforPGPandP" localSheetId="3">#REF!</definedName>
    <definedName name="CANmillname" localSheetId="3">#REF!</definedName>
    <definedName name="Cariboo" localSheetId="3">#REF!</definedName>
    <definedName name="CascadesFjordcell" localSheetId="3">#REF!</definedName>
    <definedName name="cash" localSheetId="3">#REF!</definedName>
    <definedName name="cash2" localSheetId="3">#REF!</definedName>
    <definedName name="cashUS" localSheetId="3">#REF!</definedName>
    <definedName name="cashUS2" localSheetId="3">#REF!</definedName>
    <definedName name="Catawba" localSheetId="3">#REF!</definedName>
    <definedName name="cc" localSheetId="3">#REF!</definedName>
    <definedName name="Celgar" localSheetId="3">#REF!</definedName>
    <definedName name="Chihuahua" localSheetId="3">#REF!</definedName>
    <definedName name="Chile" localSheetId="3">#REF!</definedName>
    <definedName name="ChinaCountry" localSheetId="3">#REF!</definedName>
    <definedName name="ChungHwa" localSheetId="3">#REF!</definedName>
    <definedName name="CianodEnza" localSheetId="3">#REF!</definedName>
    <definedName name="clatskanie" localSheetId="3">#REF!</definedName>
    <definedName name="Cloquet" localSheetId="3">#REF!</definedName>
    <definedName name="CMPC_Arg" localSheetId="3">#REF!</definedName>
    <definedName name="CMPCnews" localSheetId="3">#REF!</definedName>
    <definedName name="CnforINTERCON" localSheetId="3">#REF!</definedName>
    <definedName name="cod_itr" localSheetId="3">#REF!</definedName>
    <definedName name="columbus" localSheetId="3">#REF!</definedName>
    <definedName name="COMPANY" localSheetId="3">#REF!</definedName>
    <definedName name="CONFINS" localSheetId="3">#REF!</definedName>
    <definedName name="Constancia" localSheetId="3">#REF!</definedName>
    <definedName name="Constitucion" localSheetId="3">#REF!</definedName>
    <definedName name="Coosa" localSheetId="3">#REF!</definedName>
    <definedName name="cosmopolis" localSheetId="3">#REF!</definedName>
    <definedName name="Countrylist" localSheetId="3">#REF!</definedName>
    <definedName name="Courtland" localSheetId="3">#REF!</definedName>
    <definedName name="CP" localSheetId="3">#REF!</definedName>
    <definedName name="Crofton" localSheetId="3">#REF!</definedName>
    <definedName name="CROFTONmill" localSheetId="3">#REF!</definedName>
    <definedName name="CSP" localSheetId="3">#REF!</definedName>
    <definedName name="DaishowaPeaceRiver" localSheetId="3">#REF!</definedName>
    <definedName name="data" localSheetId="3">#REF!</definedName>
    <definedName name="Data_Acum" localSheetId="3">#REF!</definedName>
    <definedName name="data_boxtodas" localSheetId="3">#REF!</definedName>
    <definedName name="Data_Titulos" localSheetId="3">#REF!</definedName>
    <definedName name="DATA103" localSheetId="3">#REF!</definedName>
    <definedName name="data2" localSheetId="3">#REF!</definedName>
    <definedName name="Datas" localSheetId="3">#REF!</definedName>
    <definedName name="Datas_A" localSheetId="3">#REF!</definedName>
    <definedName name="def" localSheetId="3">#REF!</definedName>
    <definedName name="demopolis" localSheetId="3">#REF!</definedName>
    <definedName name="Denmark" localSheetId="3">#REF!</definedName>
    <definedName name="desbien" localSheetId="3">#REF!</definedName>
    <definedName name="DF_GRID_1" localSheetId="3">#REF!</definedName>
    <definedName name="diversos" localSheetId="3">#REF!</definedName>
    <definedName name="DOLAR" localSheetId="3">#REF!,#REF!</definedName>
    <definedName name="Dolar_Ant" localSheetId="3">#REF!</definedName>
    <definedName name="Dolar_Fin" localSheetId="3">#REF!</definedName>
    <definedName name="Dolar_Fin1" localSheetId="3">#REF!</definedName>
    <definedName name="dolbeau" localSheetId="3">#REF!</definedName>
    <definedName name="dryden" localSheetId="3">#REF!</definedName>
    <definedName name="DT_ABICOM" localSheetId="3">#REF!</definedName>
    <definedName name="DT_ABICON" localSheetId="3">#REF!</definedName>
    <definedName name="DT_ALPAC" localSheetId="3">#REF!</definedName>
    <definedName name="DT_BOW" localSheetId="3">#REF!</definedName>
    <definedName name="DT_CANFOR" localSheetId="3">#REF!</definedName>
    <definedName name="DT_CELGAR" localSheetId="3">#REF!</definedName>
    <definedName name="DT_DMIPEACERIVER" localSheetId="3">#REF!</definedName>
    <definedName name="DT_DOMTAR" localSheetId="3">#REF!</definedName>
    <definedName name="DT_GP" localSheetId="3">#REF!</definedName>
    <definedName name="DT_IP" localSheetId="3">#REF!</definedName>
    <definedName name="DT_LP" localSheetId="3">#REF!</definedName>
    <definedName name="DT_MIRAMICHI" localSheetId="3">#REF!</definedName>
    <definedName name="DT_NORSKECAN" localSheetId="3">#REF!</definedName>
    <definedName name="DT_PT" localSheetId="3">#REF!</definedName>
    <definedName name="DT_PW" localSheetId="3">#REF!</definedName>
    <definedName name="DT_SKEENA" localSheetId="3">#REF!</definedName>
    <definedName name="DT_SMURFIT" localSheetId="3">#REF!</definedName>
    <definedName name="DT_TEMBEC" localSheetId="3">#REF!</definedName>
    <definedName name="DT_UNIFORET" localSheetId="3">#REF!</definedName>
    <definedName name="DT_WESTFOREST" localSheetId="3">#REF!</definedName>
    <definedName name="DT_WESTPULP" localSheetId="3">#REF!</definedName>
    <definedName name="DT_WEYCO" localSheetId="3">#REF!</definedName>
    <definedName name="Duino" localSheetId="3">#REF!</definedName>
    <definedName name="Durango" localSheetId="3">#REF!</definedName>
    <definedName name="earnings" localSheetId="3">#REF!</definedName>
    <definedName name="earnings2" localSheetId="3">#REF!</definedName>
    <definedName name="earningscel" localSheetId="3">#REF!</definedName>
    <definedName name="earningscel2" localSheetId="3">#REF!</definedName>
    <definedName name="earningscell2" localSheetId="3">#REF!</definedName>
    <definedName name="earningsUS" localSheetId="3">#REF!</definedName>
    <definedName name="earningsUS2" localSheetId="3">#REF!</definedName>
    <definedName name="eastover" localSheetId="3">#REF!</definedName>
    <definedName name="Ehingen" localSheetId="3">#REF!</definedName>
    <definedName name="Eklof" localSheetId="3">#REF!</definedName>
    <definedName name="EMPRESAS" localSheetId="3">#REF!</definedName>
    <definedName name="end_Canada" localSheetId="3">#REF!</definedName>
    <definedName name="end_Indonesia" localSheetId="3">#REF!</definedName>
    <definedName name="end_UnitedStates" localSheetId="3">#REF!</definedName>
    <definedName name="endiv" localSheetId="3">#REF!,#REF!,#REF!,#REF!,#REF!</definedName>
    <definedName name="endividamento" localSheetId="3">#REF!,#REF!,#REF!,#REF!,#REF!</definedName>
    <definedName name="Enstra" localSheetId="3">#REF!</definedName>
    <definedName name="Erie" localSheetId="3">#REF!</definedName>
    <definedName name="escalonamento" localSheetId="3">#REF!,#REF!,#REF!,#REF!</definedName>
    <definedName name="escalonamento2002" localSheetId="3">#REF!,#REF!,#REF!</definedName>
    <definedName name="Escanaba" localSheetId="3">#REF!</definedName>
    <definedName name="espanola" localSheetId="3">#REF!</definedName>
    <definedName name="evadale" localSheetId="3">#REF!</definedName>
    <definedName name="everett" localSheetId="3">#REF!</definedName>
    <definedName name="everett_weyco" localSheetId="3">#REF!</definedName>
    <definedName name="F.2008.12" localSheetId="3">#REF!</definedName>
    <definedName name="fbalance2" localSheetId="3">#REF!</definedName>
    <definedName name="fbalanceUS2" localSheetId="3">#REF!</definedName>
    <definedName name="fbreakdown2" localSheetId="3">#REF!</definedName>
    <definedName name="fcash2" localSheetId="3">#REF!</definedName>
    <definedName name="fcashUS2" localSheetId="3">#REF!</definedName>
    <definedName name="fdata2" localSheetId="3">#REF!</definedName>
    <definedName name="fearnings2" localSheetId="3">#REF!</definedName>
    <definedName name="fearningscel2" localSheetId="3">#REF!</definedName>
    <definedName name="fearningsUS2" localSheetId="3">#REF!</definedName>
    <definedName name="FernandinaBeach" localSheetId="3">#REF!</definedName>
    <definedName name="fiarhaven" localSheetId="3">#REF!</definedName>
    <definedName name="FibrecoSlocan" localSheetId="3">#REF!</definedName>
    <definedName name="Finland" localSheetId="3">#REF!</definedName>
    <definedName name="flong2" localSheetId="3">#REF!</definedName>
    <definedName name="fnetwork2" localSheetId="3">#REF!</definedName>
    <definedName name="Foley" localSheetId="3">#REF!</definedName>
    <definedName name="Follafoss" localSheetId="3">#REF!</definedName>
    <definedName name="fortfrances" localSheetId="3">#REF!</definedName>
    <definedName name="France" localSheetId="3">#REF!</definedName>
    <definedName name="Frovi" localSheetId="3">#REF!</definedName>
    <definedName name="Frovifors" localSheetId="3">#REF!</definedName>
    <definedName name="gardiner" localSheetId="3">#REF!</definedName>
    <definedName name="georgetown" localSheetId="3">#REF!</definedName>
    <definedName name="German" localSheetId="3">#REF!</definedName>
    <definedName name="Gertraud" localSheetId="3">#REF!</definedName>
    <definedName name="Gjeving" localSheetId="3">#REF!</definedName>
    <definedName name="Gjovik" localSheetId="3">#REF!</definedName>
    <definedName name="Gjovik___" localSheetId="3">#REF!</definedName>
    <definedName name="GJOVIK____" localSheetId="3">#REF!</definedName>
    <definedName name="GoldRiver" localSheetId="3">#REF!</definedName>
    <definedName name="GrandPrarie" localSheetId="3">#REF!</definedName>
    <definedName name="Gratkorn" localSheetId="3">#REF!</definedName>
    <definedName name="Greaker" localSheetId="3">#REF!</definedName>
    <definedName name="Gruvon" localSheetId="3">#REF!</definedName>
    <definedName name="Guaiba" localSheetId="3">#REF!</definedName>
    <definedName name="Halden" localSheetId="3">#REF!</definedName>
    <definedName name="Hallein" localSheetId="3">#REF!</definedName>
    <definedName name="halsey" localSheetId="3">#REF!</definedName>
    <definedName name="HarmacPandT" localSheetId="3">#REF!</definedName>
    <definedName name="Harnoncourt" localSheetId="3">#REF!</definedName>
    <definedName name="hawesville" localSheetId="3">#REF!</definedName>
    <definedName name="Helle" localSheetId="3">#REF!</definedName>
    <definedName name="Hinton" localSheetId="3">#REF!</definedName>
    <definedName name="hoquaim" localSheetId="3">#REF!</definedName>
    <definedName name="HOWE" localSheetId="3">#REF!</definedName>
    <definedName name="HoweSound" localSheetId="3">#REF!</definedName>
    <definedName name="Huelva" localSheetId="3">#REF!</definedName>
    <definedName name="Hurum" localSheetId="3">#REF!</definedName>
    <definedName name="Husum" localSheetId="3">#REF!</definedName>
    <definedName name="I._RENDA" localSheetId="3">#REF!</definedName>
    <definedName name="ICMS" localSheetId="3">#REF!</definedName>
    <definedName name="Iggesunds" localSheetId="3">#REF!</definedName>
    <definedName name="Iguaco" localSheetId="3">#REF!</definedName>
    <definedName name="IKPCDOLAR" localSheetId="3">#REF!</definedName>
    <definedName name="IKPCREAIS" localSheetId="3">#REF!</definedName>
    <definedName name="Ilim" localSheetId="3">#REF!</definedName>
    <definedName name="impressao" localSheetId="3">#REF!,#REF!,#REF!,#REF!</definedName>
    <definedName name="IndahKiat" localSheetId="3">#REF!</definedName>
    <definedName name="India" localSheetId="3">#REF!</definedName>
    <definedName name="Indonesia" localSheetId="3">#REF!</definedName>
    <definedName name="Indonesia_millname" localSheetId="3">#REF!</definedName>
    <definedName name="Indorayon" localSheetId="3">#REF!</definedName>
    <definedName name="inv_1" localSheetId="3">#REF!</definedName>
    <definedName name="inv_2" localSheetId="3">#REF!</definedName>
    <definedName name="inv_3" localSheetId="3">#REF!</definedName>
    <definedName name="IPI" localSheetId="3">#REF!</definedName>
    <definedName name="ishares" localSheetId="3">#REF!</definedName>
    <definedName name="isi" localSheetId="3">#REF!</definedName>
    <definedName name="isl" localSheetId="3">#REF!</definedName>
    <definedName name="Italy" localSheetId="3">#REF!</definedName>
    <definedName name="Itata" localSheetId="3">#REF!</definedName>
    <definedName name="itr_bac" localSheetId="3">#REF!</definedName>
    <definedName name="itr_cons" localSheetId="3">#REF!</definedName>
    <definedName name="itr_kk" localSheetId="3">#REF!</definedName>
    <definedName name="itr_ksa" localSheetId="3">#REF!</definedName>
    <definedName name="itr_mirca" localSheetId="3">#REF!</definedName>
    <definedName name="itr_trade" localSheetId="3">#REF!</definedName>
    <definedName name="Jacarei" localSheetId="3">#REF!</definedName>
    <definedName name="jackson" localSheetId="3">#REF!</definedName>
    <definedName name="jacksonville" localSheetId="3">#REF!</definedName>
    <definedName name="Jamsankoski" localSheetId="3">#REF!</definedName>
    <definedName name="Jan_Mar03_Orç" localSheetId="3">#REF!</definedName>
    <definedName name="Japan" localSheetId="3">#REF!</definedName>
    <definedName name="Jay" localSheetId="3">#REF!</definedName>
    <definedName name="jesup" localSheetId="3">#REF!</definedName>
    <definedName name="Joutsen" localSheetId="3">#REF!</definedName>
    <definedName name="Kajaani" localSheetId="3">#REF!</definedName>
    <definedName name="Kaliningrad" localSheetId="3">#REF!</definedName>
    <definedName name="Kamalapuram" localSheetId="3">#REF!</definedName>
    <definedName name="kamloops" localSheetId="3">#REF!</definedName>
    <definedName name="Karlsborg" localSheetId="3">#REF!</definedName>
    <definedName name="Kaskinen" localSheetId="3">#REF!</definedName>
    <definedName name="kaspuskasing" localSheetId="3">#REF!</definedName>
    <definedName name="Katfors" localSheetId="3">#REF!</definedName>
    <definedName name="Katfos" localSheetId="3">#REF!</definedName>
    <definedName name="Kaukauna" localSheetId="3">#REF!</definedName>
    <definedName name="KCPictouAbercrombie" localSheetId="3">#REF!</definedName>
    <definedName name="KCTerraceBay" localSheetId="3">#REF!</definedName>
    <definedName name="Kemi" localSheetId="3">#REF!</definedName>
    <definedName name="Kemijarvi" localSheetId="3">#REF!</definedName>
    <definedName name="ketchikan" localSheetId="3">#REF!</definedName>
    <definedName name="KFPC" localSheetId="3">#REF!</definedName>
    <definedName name="KianiKertas" localSheetId="3">#REF!</definedName>
    <definedName name="Kinleath" localSheetId="3">#REF!</definedName>
    <definedName name="Kjovik" localSheetId="3">#REF!</definedName>
    <definedName name="KJOVIK_" localSheetId="3">#REF!</definedName>
    <definedName name="Koge" localSheetId="3">#REF!</definedName>
    <definedName name="Korea" localSheetId="3">#REF!</definedName>
    <definedName name="Kornasverken" localSheetId="3">#REF!</definedName>
    <definedName name="Kotka" localSheetId="3">#REF!</definedName>
    <definedName name="Kragero" localSheetId="3">#REF!</definedName>
    <definedName name="Kristineham" localSheetId="3">#REF!</definedName>
    <definedName name="Kumarpatnam" localSheetId="3">#REF!</definedName>
    <definedName name="Kuusaniemi" localSheetId="3">#REF!</definedName>
    <definedName name="Kvinesdal" localSheetId="3">#REF!</definedName>
    <definedName name="Lages" localSheetId="3">#REF!</definedName>
    <definedName name="Laja" localSheetId="3">#REF!</definedName>
    <definedName name="LaMontananesa" localSheetId="3">#REF!</definedName>
    <definedName name="Lappeenranta" localSheetId="3">#REF!</definedName>
    <definedName name="Larvik" localSheetId="3">#REF!</definedName>
    <definedName name="LarvikNews" localSheetId="3">#REF!</definedName>
    <definedName name="latuque" localSheetId="3">#REF!</definedName>
    <definedName name="Lauvsnes" localSheetId="3">#REF!</definedName>
    <definedName name="LeafRiver" localSheetId="3">#REF!</definedName>
    <definedName name="Leirosa" localSheetId="3">#REF!</definedName>
    <definedName name="LeirosaStora" localSheetId="3">#REF!</definedName>
    <definedName name="Lencois" localSheetId="3">#REF!</definedName>
    <definedName name="Lenzing" localSheetId="3">#REF!</definedName>
    <definedName name="Lewiston" localSheetId="3">#REF!</definedName>
    <definedName name="Licanten" localSheetId="3">#REF!</definedName>
    <definedName name="Lielahti" localSheetId="3">#REF!</definedName>
    <definedName name="Lievestuore" localSheetId="3">#REF!</definedName>
    <definedName name="Limeira" localSheetId="3">#REF!</definedName>
    <definedName name="LIMPA2" localSheetId="3">#REF!</definedName>
    <definedName name="LIMPA3" localSheetId="3">#REF!</definedName>
    <definedName name="Lincoln" localSheetId="3">#REF!</definedName>
    <definedName name="Lithuania" localSheetId="3">#REF!</definedName>
    <definedName name="long" localSheetId="3">#REF!</definedName>
    <definedName name="long2" localSheetId="3">#REF!</definedName>
    <definedName name="longview" localSheetId="3">#REF!</definedName>
    <definedName name="Lontar" localSheetId="3">#REF!</definedName>
    <definedName name="LP" localSheetId="3">#REF!</definedName>
    <definedName name="LPChetwynd" localSheetId="3">#REF!</definedName>
    <definedName name="LuizAntonio" localSheetId="3">#REF!</definedName>
    <definedName name="Luterbach" localSheetId="3">#REF!</definedName>
    <definedName name="m" localSheetId="3">#REF!</definedName>
    <definedName name="MacKenzie" localSheetId="3">#REF!</definedName>
    <definedName name="mackenzie_finlay" localSheetId="3">#REF!</definedName>
    <definedName name="Malaysia" localSheetId="3">#REF!</definedName>
    <definedName name="Mannheim" localSheetId="3">#REF!</definedName>
    <definedName name="Mantta" localSheetId="3">#REF!</definedName>
    <definedName name="Mavoor" localSheetId="3">#REF!</definedName>
    <definedName name="MeadowLake" localSheetId="3">#REF!</definedName>
    <definedName name="Menatep" localSheetId="3">#REF!</definedName>
    <definedName name="Menominee" localSheetId="3">#REF!</definedName>
    <definedName name="Mercer___Stendal" localSheetId="3">#REF!</definedName>
    <definedName name="MÊSANT" localSheetId="3">#REF!</definedName>
    <definedName name="MESES" localSheetId="3">#REF!</definedName>
    <definedName name="Mettupalayam" localSheetId="3">#REF!</definedName>
    <definedName name="Mexico" localSheetId="3">#REF!</definedName>
    <definedName name="Miklauzhof" localSheetId="3">#REF!</definedName>
    <definedName name="miramichi" localSheetId="3">#REF!</definedName>
    <definedName name="Mizlauzhof" localSheetId="3">#REF!</definedName>
    <definedName name="Mjondalen" localSheetId="3">#REF!</definedName>
    <definedName name="ML_Table_8" localSheetId="3">#REF!</definedName>
    <definedName name="Mobile" localSheetId="3">#REF!</definedName>
    <definedName name="MogiGuaco" localSheetId="3">#REF!</definedName>
    <definedName name="monroeville" localSheetId="3">#REF!</definedName>
    <definedName name="monroeville_2" localSheetId="3">#REF!</definedName>
    <definedName name="Monsteras" localSheetId="3">#REF!</definedName>
    <definedName name="MonteDourado" localSheetId="3">#REF!</definedName>
    <definedName name="Morrum" localSheetId="3">#REF!</definedName>
    <definedName name="Moss" localSheetId="3">#REF!</definedName>
    <definedName name="Muskegon" localSheetId="3">#REF!</definedName>
    <definedName name="N" localSheetId="3">#REF!</definedName>
    <definedName name="Nacimiento" localSheetId="3">#REF!</definedName>
    <definedName name="NAMES" localSheetId="3">#REF!</definedName>
    <definedName name="NANAIMO" localSheetId="3">#REF!</definedName>
    <definedName name="Natchez" localSheetId="3">#REF!</definedName>
    <definedName name="NaviaCEASA" localSheetId="3">#REF!</definedName>
    <definedName name="Net_Income_Adj_Earnings_PreAbnormal_Goodwill_Amort" localSheetId="3">#REF!</definedName>
    <definedName name="network" localSheetId="3">#REF!</definedName>
    <definedName name="network2" localSheetId="3">#REF!</definedName>
    <definedName name="newaugusta" localSheetId="3">#REF!</definedName>
    <definedName name="newberg" localSheetId="3">#REF!</definedName>
    <definedName name="newbern" localSheetId="3">#REF!</definedName>
    <definedName name="Newcastle" localSheetId="3">#REF!</definedName>
    <definedName name="NEWTOP" localSheetId="3">#REF!</definedName>
    <definedName name="NewZealand" localSheetId="3">#REF!</definedName>
    <definedName name="nn" localSheetId="3">#REF!</definedName>
    <definedName name="Nokia" localSheetId="3">#REF!</definedName>
    <definedName name="Norrsundet" localSheetId="3">#REF!</definedName>
    <definedName name="Northwood" localSheetId="3">#REF!</definedName>
    <definedName name="Norway" localSheetId="3">#REF!</definedName>
    <definedName name="novo" localSheetId="3">#REF!</definedName>
    <definedName name="novomês" localSheetId="3">#REF!</definedName>
    <definedName name="oglethorpe" localSheetId="3">#REF!</definedName>
    <definedName name="oldtown" localSheetId="3">#REF!</definedName>
    <definedName name="OnSan" localSheetId="3">#REF!</definedName>
    <definedName name="origens" localSheetId="3">#REF!</definedName>
    <definedName name="Ornskoldsvik" localSheetId="3">#REF!</definedName>
    <definedName name="Oswlado" localSheetId="3">#REF!</definedName>
    <definedName name="Oulu" localSheetId="3">#REF!</definedName>
    <definedName name="Pakistan" localSheetId="3">#REF!</definedName>
    <definedName name="palatka" localSheetId="3">#REF!</definedName>
    <definedName name="PanamaCity" localSheetId="3">#REF!</definedName>
    <definedName name="PanPacific" localSheetId="3">#REF!</definedName>
    <definedName name="Paraguay" localSheetId="3">#REF!</definedName>
    <definedName name="Pasadena" localSheetId="3">#REF!</definedName>
    <definedName name="Passivo" localSheetId="3">#REF!</definedName>
    <definedName name="pc_antas" localSheetId="3">#REF!</definedName>
    <definedName name="pc_antw" localSheetId="3">#REF!</definedName>
    <definedName name="pc_arg" localSheetId="3">#REF!</definedName>
    <definedName name="pc_bac" localSheetId="3">#REF!</definedName>
    <definedName name="pc_cod" localSheetId="3">#REF!</definedName>
    <definedName name="pc_comb" localSheetId="3">#REF!</definedName>
    <definedName name="pc_cons" localSheetId="3">#REF!</definedName>
    <definedName name="pc_ikp" localSheetId="3">#REF!</definedName>
    <definedName name="pc_kck" localSheetId="3">#REF!</definedName>
    <definedName name="pc_kk" localSheetId="3">#REF!</definedName>
    <definedName name="pc_klap" localSheetId="3">#REF!</definedName>
    <definedName name="pc_kppf" localSheetId="3">#REF!</definedName>
    <definedName name="pc_ksa" localSheetId="3">#REF!</definedName>
    <definedName name="pc_mirca" localSheetId="3">#REF!</definedName>
    <definedName name="pc_nsk" localSheetId="3">#REF!</definedName>
    <definedName name="pc_rioc" localSheetId="3">#REF!</definedName>
    <definedName name="pc_trade" localSheetId="3">#REF!</definedName>
    <definedName name="pensacola" localSheetId="3">#REF!</definedName>
    <definedName name="Phoenix" localSheetId="3">#REF!</definedName>
    <definedName name="Pietersaari" localSheetId="3">#REF!</definedName>
    <definedName name="pineville" localSheetId="3">#REF!</definedName>
    <definedName name="Pirna" localSheetId="3">#REF!</definedName>
    <definedName name="PIS" localSheetId="3">#REF!</definedName>
    <definedName name="plymouth" localSheetId="3">#REF!</definedName>
    <definedName name="Ponteverda" localSheetId="3">#REF!</definedName>
    <definedName name="Pori" localSheetId="3">#REF!</definedName>
    <definedName name="portagedufort" localSheetId="3">#REF!</definedName>
    <definedName name="PortAlberni" localSheetId="3">#REF!</definedName>
    <definedName name="PortAlice" localSheetId="3">#REF!</definedName>
    <definedName name="PortAngeles" localSheetId="3">#REF!</definedName>
    <definedName name="PortCartier" localSheetId="3">#REF!</definedName>
    <definedName name="porthawk_ONTA" localSheetId="3">#REF!</definedName>
    <definedName name="porthudson" localSheetId="3">#REF!</definedName>
    <definedName name="porttownsend" localSheetId="3">#REF!</definedName>
    <definedName name="Portuga" localSheetId="3">#REF!</definedName>
    <definedName name="PortWentworth" localSheetId="3">#REF!</definedName>
    <definedName name="POWELL" localSheetId="3">#REF!</definedName>
    <definedName name="powellriver" localSheetId="3">#REF!</definedName>
    <definedName name="PRAZO_CLIENTES____DIAS" localSheetId="3">#REF!</definedName>
    <definedName name="Pre_Tax_Income" localSheetId="3">#REF!</definedName>
    <definedName name="PreTax_Income_Adj" localSheetId="3">#REF!</definedName>
    <definedName name="princealbert" localSheetId="3">#REF!</definedName>
    <definedName name="PtALICE" localSheetId="3">#REF!</definedName>
    <definedName name="pthawkes_ns" localSheetId="3">#REF!</definedName>
    <definedName name="pthawkesbury_ONT" localSheetId="3">#REF!</definedName>
    <definedName name="PTTEL" localSheetId="3">#REF!</definedName>
    <definedName name="PuertoEsperenze" localSheetId="3">#REF!</definedName>
    <definedName name="Q1.2008.03" localSheetId="3">#REF!</definedName>
    <definedName name="Q2.2008.06" localSheetId="3">#REF!</definedName>
    <definedName name="Q3.2008.09" localSheetId="3">#REF!</definedName>
    <definedName name="Q4.2008.12" localSheetId="3">#REF!</definedName>
    <definedName name="quebeccity" localSheetId="3">#REF!</definedName>
    <definedName name="quesnel_fraser" localSheetId="3">#REF!</definedName>
    <definedName name="Qunnesec" localSheetId="3">#REF!</definedName>
    <definedName name="Rauma" localSheetId="3">#REF!</definedName>
    <definedName name="REAIS" localSheetId="3">#REF!</definedName>
    <definedName name="Reais_Begin" localSheetId="3">#REF!</definedName>
    <definedName name="Reais_BeginQ" localSheetId="3">#REF!</definedName>
    <definedName name="Reais_End" localSheetId="3">#REF!</definedName>
    <definedName name="Reais_EndQ" localSheetId="3">#REF!</definedName>
    <definedName name="relatorio" localSheetId="3">#REF!,#REF!,#REF!</definedName>
    <definedName name="Reported_Net_Income" localSheetId="3">#REF!</definedName>
    <definedName name="Riaupulp" localSheetId="3">#REF!</definedName>
    <definedName name="RIchards" localSheetId="3">#REF!</definedName>
    <definedName name="riegelwood" localSheetId="3">#REF!</definedName>
    <definedName name="Risor" localSheetId="3">#REF!</definedName>
    <definedName name="rivduLoup" localSheetId="3">#REF!</definedName>
    <definedName name="riviereduloup" localSheetId="3">#REF!</definedName>
    <definedName name="Rosenthal" localSheetId="3">#REF!</definedName>
    <definedName name="Roskhammars" localSheetId="3">#REF!</definedName>
    <definedName name="Rothschild" localSheetId="3">#REF!</definedName>
    <definedName name="Rottneros" localSheetId="3">#REF!</definedName>
    <definedName name="Rumford" localSheetId="3">#REF!</definedName>
    <definedName name="Russia" localSheetId="3">#REF!</definedName>
    <definedName name="Saillat" localSheetId="3">#REF!</definedName>
    <definedName name="SaintGaudens" localSheetId="3">#REF!</definedName>
    <definedName name="Sakhalin" localSheetId="3">#REF!</definedName>
    <definedName name="Salsbruket" localSheetId="3">#REF!</definedName>
    <definedName name="Samoa" localSheetId="3">#REF!</definedName>
    <definedName name="Sande" localSheetId="3">#REF!</definedName>
    <definedName name="SantaCatarina" localSheetId="3">#REF!</definedName>
    <definedName name="Santander" localSheetId="3">#REF!</definedName>
    <definedName name="SaoPaoloZorzi" localSheetId="3">#REF!</definedName>
    <definedName name="SaoPaulo" localSheetId="3">#REF!</definedName>
    <definedName name="Sarawak" localSheetId="3">#REF!</definedName>
    <definedName name="Sarpsborg" localSheetId="3">#REF!</definedName>
    <definedName name="seguinte" localSheetId="3">#REF!</definedName>
    <definedName name="SelmaRiverdale" localSheetId="3">#REF!</definedName>
    <definedName name="setrs" localSheetId="3">#REF!</definedName>
    <definedName name="Setubal" localSheetId="3">#REF!</definedName>
    <definedName name="setus" localSheetId="3">#REF!</definedName>
    <definedName name="Share_price" localSheetId="3">#REF!</definedName>
    <definedName name="sheetharbour" localSheetId="3">#REF!</definedName>
    <definedName name="sheldon" localSheetId="3">#REF!</definedName>
    <definedName name="Shotton" localSheetId="3">#REF!</definedName>
    <definedName name="sitka" localSheetId="3">#REF!</definedName>
    <definedName name="Skarblacka" localSheetId="3">#REF!</definedName>
    <definedName name="Skatfos" localSheetId="3">#REF!</definedName>
    <definedName name="SkeenaPrinceRupert" localSheetId="3">#REF!</definedName>
    <definedName name="SKEEPNA" localSheetId="3">#REF!</definedName>
    <definedName name="Skien" localSheetId="3">#REF!</definedName>
    <definedName name="Skowhegan" localSheetId="3">#REF!</definedName>
    <definedName name="Skutskar" localSheetId="3">#REF!</definedName>
    <definedName name="slavelake" localSheetId="3">#REF!</definedName>
    <definedName name="SmoothRockFalls" localSheetId="3">#REF!</definedName>
    <definedName name="Solambalsky" localSheetId="3">#REF!</definedName>
    <definedName name="Sondeled" localSheetId="3">#REF!</definedName>
    <definedName name="SouthAfrica" localSheetId="3">#REF!</definedName>
    <definedName name="Sovetsky" localSheetId="3">#REF!</definedName>
    <definedName name="Spain" localSheetId="3">#REF!</definedName>
    <definedName name="Squamish" localSheetId="3">#REF!</definedName>
    <definedName name="SQUIAMISH" localSheetId="3">#REF!</definedName>
    <definedName name="SSCCPontiac" localSheetId="3">#REF!</definedName>
    <definedName name="stannepulp" localSheetId="3">#REF!</definedName>
    <definedName name="STATUS" localSheetId="3">#REF!</definedName>
    <definedName name="Stckfors" localSheetId="3">#REF!</definedName>
    <definedName name="Steiermark" localSheetId="3">#REF!</definedName>
    <definedName name="Steinkjer" localSheetId="3">#REF!</definedName>
    <definedName name="STENDALNEWS" localSheetId="3">#REF!</definedName>
    <definedName name="stfelicien" localSheetId="3">#REF!</definedName>
    <definedName name="stgeorge" localSheetId="3">#REF!</definedName>
    <definedName name="stjohn" localSheetId="3">#REF!</definedName>
    <definedName name="Suzano" localSheetId="3">#REF!</definedName>
    <definedName name="svannah" localSheetId="3">#REF!</definedName>
    <definedName name="Svetogorsk" localSheetId="3">#REF!</definedName>
    <definedName name="Swaziland" localSheetId="3">#REF!</definedName>
    <definedName name="Sweden" localSheetId="3">#REF!</definedName>
    <definedName name="Switzerland" localSheetId="3">#REF!</definedName>
    <definedName name="TabLocais" localSheetId="3">#REF!</definedName>
    <definedName name="TabProdCentro" localSheetId="3">#REF!</definedName>
    <definedName name="TabProdOrdem" localSheetId="3">#REF!</definedName>
    <definedName name="TabProdutos" localSheetId="3">#REF!</definedName>
    <definedName name="Tacoma" localSheetId="3">#REF!</definedName>
    <definedName name="Tainionkoski" localSheetId="3">#REF!</definedName>
    <definedName name="Tainonkoski" localSheetId="3">#REF!</definedName>
    <definedName name="Taiwan" localSheetId="3">#REF!</definedName>
    <definedName name="TaiwanPP" localSheetId="3">#REF!</definedName>
    <definedName name="Tarascon" localSheetId="3">#REF!</definedName>
    <definedName name="Tartas" localSheetId="3">#REF!</definedName>
    <definedName name="Tasman" localSheetId="3">#REF!</definedName>
    <definedName name="TAXA_DISP1" localSheetId="3">#REF!</definedName>
    <definedName name="TAXA_DISP10" localSheetId="3">#REF!</definedName>
    <definedName name="TAXA_DISP11" localSheetId="3">#REF!</definedName>
    <definedName name="TAXA_DISP12" localSheetId="3">#REF!</definedName>
    <definedName name="TAXA_DISP13" localSheetId="3">#REF!</definedName>
    <definedName name="TAXA_DISP14" localSheetId="3">#REF!</definedName>
    <definedName name="TAXA_DISP15" localSheetId="3">#REF!</definedName>
    <definedName name="TAXA_DISP2" localSheetId="3">#REF!</definedName>
    <definedName name="TAXA_DISP3" localSheetId="3">#REF!</definedName>
    <definedName name="TAXA_DISP4" localSheetId="3">#REF!</definedName>
    <definedName name="TAXA_DISP5" localSheetId="3">#REF!</definedName>
    <definedName name="TAXA_DISP6" localSheetId="3">#REF!</definedName>
    <definedName name="TAXA_DISP7" localSheetId="3">#REF!</definedName>
    <definedName name="TAXA_DISP8" localSheetId="3">#REF!</definedName>
    <definedName name="TAXA_DISP9" localSheetId="3">#REF!</definedName>
    <definedName name="TembecMarathon" localSheetId="3">#REF!</definedName>
    <definedName name="TembecMatane" localSheetId="3">#REF!</definedName>
    <definedName name="TembecSkookumchuck" localSheetId="3">#REF!</definedName>
    <definedName name="temiscaming" localSheetId="3">#REF!</definedName>
    <definedName name="Tervasaari" localSheetId="3">#REF!</definedName>
    <definedName name="texarkana" localSheetId="3">#REF!</definedName>
    <definedName name="Thailand" localSheetId="3">#REF!</definedName>
    <definedName name="thepas" localSheetId="3">#REF!</definedName>
    <definedName name="thorold" localSheetId="3">#REF!</definedName>
    <definedName name="ThunderBay" localSheetId="3">#REF!</definedName>
    <definedName name="thurso" localSheetId="3">#REF!</definedName>
    <definedName name="Tigr_Exhibit1425807c_2535_4e15_ad24_3e4c6ef2a0f1" localSheetId="3" hidden="1">#REF!</definedName>
    <definedName name="Tigr_Exhibit7ecd66fc_2a64_4e50_8718_07a213925268" localSheetId="3" hidden="1">#REF!</definedName>
    <definedName name="Tigr_Exhibitdcb3ddeb_6337_4dc2_b750_4d8444d49f7b" localSheetId="3" hidden="1">#REF!</definedName>
    <definedName name="Timra" localSheetId="3">#REF!</definedName>
    <definedName name="Tofte" localSheetId="3">#REF!</definedName>
    <definedName name="Tolmezzo" localSheetId="3">#REF!</definedName>
    <definedName name="Tomahawk" localSheetId="3">#REF!</definedName>
    <definedName name="Topplia" localSheetId="3">#REF!</definedName>
    <definedName name="troisriviere" localSheetId="3">#REF!</definedName>
    <definedName name="troisrivierie" localSheetId="3">#REF!</definedName>
    <definedName name="Trostberg" localSheetId="3">#REF!</definedName>
    <definedName name="TX_DEPREC" localSheetId="3">#REF!</definedName>
    <definedName name="TX_DEPREC_1" localSheetId="3">#REF!</definedName>
    <definedName name="TX_DEPREC_MED" localSheetId="3">#REF!</definedName>
    <definedName name="TX_ECG_CR" localSheetId="3">#REF!</definedName>
    <definedName name="TX_ECG_CR__1" localSheetId="3">#REF!</definedName>
    <definedName name="TX_ECG_CR__MED" localSheetId="3">#REF!</definedName>
    <definedName name="TX_ECG_ME" localSheetId="3">#REF!</definedName>
    <definedName name="TX_ECG_ME_1" localSheetId="3">#REF!</definedName>
    <definedName name="TX_ECG_ME_MED" localSheetId="3">#REF!</definedName>
    <definedName name="TX_EMP_CR" localSheetId="3">#REF!</definedName>
    <definedName name="TX_EMP_CR__1" localSheetId="3">#REF!</definedName>
    <definedName name="TX_EMP_CR__MED" localSheetId="3">#REF!</definedName>
    <definedName name="TX_EMP_ME" localSheetId="3">#REF!</definedName>
    <definedName name="TX_EMP_ME_1" localSheetId="3">#REF!</definedName>
    <definedName name="TX_EMP_ME_MED" localSheetId="3">#REF!</definedName>
    <definedName name="TX_RLP" localSheetId="3">#REF!</definedName>
    <definedName name="TX_RLP_1" localSheetId="3">#REF!</definedName>
    <definedName name="TX_RLP_MED" localSheetId="3">#REF!</definedName>
    <definedName name="Uimaharju" localSheetId="3">#REF!</definedName>
    <definedName name="UK" localSheetId="3">#REF!</definedName>
    <definedName name="Umkomaas" localSheetId="3">#REF!</definedName>
    <definedName name="US" localSheetId="3">#REF!</definedName>
    <definedName name="US_Begin" localSheetId="3">#REF!</definedName>
    <definedName name="US_BeginQ" localSheetId="3">#REF!</definedName>
    <definedName name="US_End" localSheetId="3">#REF!</definedName>
    <definedName name="US_EndQ" localSheetId="3">#REF!</definedName>
    <definedName name="USmillname" localSheetId="3">#REF!</definedName>
    <definedName name="UstIlimsk" localSheetId="3">#REF!</definedName>
    <definedName name="Utansjo" localSheetId="3">#REF!</definedName>
    <definedName name="Vaggeryds" localSheetId="3">#REF!</definedName>
    <definedName name="Valdivia" localSheetId="3">#REF!</definedName>
    <definedName name="ValdiviaArauco" localSheetId="3">#REF!</definedName>
    <definedName name="Vallvik" localSheetId="3">#REF!</definedName>
    <definedName name="var" localSheetId="3">#REF!</definedName>
    <definedName name="Varkaus" localSheetId="3">#REF!</definedName>
    <definedName name="Varo" localSheetId="3">#REF!</definedName>
    <definedName name="Veitsiluoto" localSheetId="3">#REF!</definedName>
    <definedName name="Veracel" localSheetId="3">#REF!</definedName>
    <definedName name="Vietnam" localSheetId="3">#REF!</definedName>
    <definedName name="VillaVelha" localSheetId="3">#REF!</definedName>
    <definedName name="wallula" localSheetId="3">#REF!</definedName>
    <definedName name="Westbrook" localSheetId="3">#REF!</definedName>
    <definedName name="westpoint" localSheetId="3">#REF!</definedName>
    <definedName name="Whitecourt" localSheetId="3">#REF!</definedName>
    <definedName name="wicliffe" localSheetId="3">#REF!</definedName>
    <definedName name="windsor" localSheetId="3">#REF!</definedName>
    <definedName name="Winstone" localSheetId="3">#REF!</definedName>
    <definedName name="Woodland" localSheetId="3">#REF!</definedName>
    <definedName name="Zachary" localSheetId="3">#REF!</definedName>
    <definedName name="_xlnm.Print_Area" localSheetId="10">'Antigo - Vendas'!$A$4:$A$32,'Antigo - Vendas'!$AL$3:$AO$32</definedName>
  </definedNames>
  <calcPr calcId="191029" fullCalcOnLoad="1"/>
</workbook>
</file>

<file path=xl/styles.xml><?xml version="1.0" encoding="utf-8"?>
<styleSheet xmlns="http://schemas.openxmlformats.org/spreadsheetml/2006/main">
  <numFmts count="106">
    <numFmt numFmtId="164" formatCode="_(* #,##0_);_(* \(#,##0\);_(* &quot;-&quot;??_);_(@_)"/>
    <numFmt numFmtId="165" formatCode="_-* #,##0.00_-;\-* #,##0.00_-;_-* &quot;-&quot;??_-;_-@_-"/>
    <numFmt numFmtId="166" formatCode="0_);\(0\)"/>
    <numFmt numFmtId="167" formatCode="_-* #,##0_-;\-* #,##0_-;_-* &quot;-&quot;??_-;_-@_-"/>
    <numFmt numFmtId="168" formatCode="#,##0.0"/>
    <numFmt numFmtId="169" formatCode="0.0"/>
    <numFmt numFmtId="170" formatCode="_-&quot;R$&quot;\ * #,##0.00_-;\-&quot;R$&quot;\ * #,##0.00_-;_-&quot;R$&quot;\ * &quot;-&quot;??_-;_-@_-"/>
    <numFmt numFmtId="171" formatCode="#,##0_);\(#,##0\);_(&quot;-&quot;??_);_(@_)"/>
    <numFmt numFmtId="172" formatCode="[$-416]mmm\-yy;@"/>
    <numFmt numFmtId="173" formatCode="#,##0;\(#,##0\)"/>
    <numFmt numFmtId="174" formatCode="#,##0.0\ &quot;x&quot;;\-#,##0.0\ &quot;x&quot;"/>
    <numFmt numFmtId="175" formatCode="0.0%\ &quot;a.a.&quot;"/>
    <numFmt numFmtId="176" formatCode="0\ &quot;meses&quot;"/>
    <numFmt numFmtId="177" formatCode="0.0%"/>
    <numFmt numFmtId="178" formatCode="_ &quot;$&quot;* #,##0_ ;_ &quot;$&quot;* \-#,##0_ ;_ &quot;$&quot;* &quot;-&quot;_ ;_ @_ "/>
    <numFmt numFmtId="179" formatCode="0.0_)\%;\(0.0\)\%;0.0_)\%;@_)_%"/>
    <numFmt numFmtId="180" formatCode="#,##0.0_)_%;\(#,##0.0\)_%;0.0_)_%;@_)_%"/>
    <numFmt numFmtId="181" formatCode="_(* #,##0.0000000000_);_(* \(#,##0.0000000000\);_(* &quot;-&quot;??_);_(@_)"/>
    <numFmt numFmtId="182" formatCode="&quot;MR&quot;#,##0.00_);\(&quot;$&quot;#,##0.00\)"/>
    <numFmt numFmtId="183" formatCode="#,###\—_);\(#,###\—\)"/>
    <numFmt numFmtId="184" formatCode="#,##0.0_);\(#,##0.0\);#,##0.0_);@_)"/>
    <numFmt numFmtId="185" formatCode="#,###&quot;—&quot;_);\(#,###&quot;—&quot;\)"/>
    <numFmt numFmtId="186" formatCode="#,##0.0000\ \ "/>
    <numFmt numFmtId="187" formatCode="_(* #,##0.0000_);_(* \(#,##0.0000\);_(* &quot;-&quot;??_);_(@_)"/>
    <numFmt numFmtId="188" formatCode="0\ "/>
    <numFmt numFmtId="189" formatCode="0.0000"/>
    <numFmt numFmtId="190" formatCode="0&quot;%&quot;\ \ \ "/>
    <numFmt numFmtId="191" formatCode="&quot;£&quot;_(#,##0.00_);&quot;£&quot;\(#,##0.00\);&quot;£&quot;_(0.00_);@_)"/>
    <numFmt numFmtId="192" formatCode="#,##0.00_);\(#,##0.00\);0.00_);@_)"/>
    <numFmt numFmtId="193" formatCode="#,##0\ \ \ ;\(#,##0\)\ \ "/>
    <numFmt numFmtId="194" formatCode="_(* #,##0.000_);_(* \(#,##0.000\);_(* &quot;-&quot;??_);_(@_)"/>
    <numFmt numFmtId="195" formatCode="#,###\—;#,###\—"/>
    <numFmt numFmtId="196" formatCode="#,###&quot;—&quot;;#,###&quot;—&quot;"/>
    <numFmt numFmtId="197" formatCode="\€_(#,##0.00_);\€\(#,##0.00\);\€_(0.00_);@_)"/>
    <numFmt numFmtId="198" formatCode="0.0%;[Red]\(0.0\)%"/>
    <numFmt numFmtId="199" formatCode="mmmm\-yy"/>
    <numFmt numFmtId="200" formatCode="#,##0.00000"/>
    <numFmt numFmtId="201" formatCode="#,##0_)\x;\(#,##0\)\x;0_)\x;@_)_x"/>
    <numFmt numFmtId="202" formatCode="#,##0_)_x;\(#,##0\)_x;0_)_x;@_)_x"/>
    <numFmt numFmtId="203" formatCode="0.00_);\(0.00\)"/>
    <numFmt numFmtId="204" formatCode="#,##0.0_);[Red]\(#,##0.0\)"/>
    <numFmt numFmtId="205" formatCode="#,###\—\ \ \ _);\(#,##0\)"/>
    <numFmt numFmtId="206" formatCode="#,###&quot;—&quot;\ \ \ _);\(#,##0\)"/>
    <numFmt numFmtId="207" formatCode="0.\ "/>
    <numFmt numFmtId="208" formatCode="#,##0\ ;\(#,##0\)"/>
    <numFmt numFmtId="209" formatCode="&quot;$&quot;#,##0"/>
    <numFmt numFmtId="210" formatCode=".0%"/>
    <numFmt numFmtId="211" formatCode="0_)"/>
    <numFmt numFmtId="212" formatCode="dd\-mmmm"/>
    <numFmt numFmtId="213" formatCode="#,##0.000_);\(#,##0.000\)"/>
    <numFmt numFmtId="214" formatCode="&quot;$&quot;#,##0.000_);[Red]\(&quot;$&quot;#,##0.000\)"/>
    <numFmt numFmtId="215" formatCode="#,##0.0000_);[Red]\(#,##0.0000\)"/>
    <numFmt numFmtId="216" formatCode="&quot;R$ &quot;#,##0.000_);[Red]\(&quot;R$ &quot;#,##0.000\)"/>
    <numFmt numFmtId="217" formatCode="0\A"/>
    <numFmt numFmtId="218" formatCode="#,##0.0;[Red]\(#,##0.0\)"/>
    <numFmt numFmtId="219" formatCode="#,##0;[Red]\(#,##0\)"/>
    <numFmt numFmtId="220" formatCode="_$&quot;R$ &quot;#,##0.00_);[Red]_$\(&quot;R$ &quot;#,##0.00\);_$&quot;R$ &quot;0.00_);_$@_)"/>
    <numFmt numFmtId="221" formatCode=".00%"/>
    <numFmt numFmtId="222" formatCode="0.000_)"/>
    <numFmt numFmtId="223" formatCode="#,##0_%_);\(#,##0\)_%;#,##0_%_);@_%_)"/>
    <numFmt numFmtId="224" formatCode="#,##0.00_%_);\(#,##0.00\)_%;#,##0.00_%_);@_%_)"/>
    <numFmt numFmtId="225" formatCode="General_)"/>
    <numFmt numFmtId="226" formatCode="#,##0\ \ "/>
    <numFmt numFmtId="227" formatCode="_-&quot;£&quot;* #,##0_-;\-&quot;£&quot;* #,##0_-;_-&quot;£&quot;* &quot;-&quot;_-;_-@_-"/>
    <numFmt numFmtId="228" formatCode="0.00_);\(0.00\);0.00"/>
    <numFmt numFmtId="229" formatCode="&quot;R$ &quot;#,##0_%_);\(&quot;R$ &quot;#,##0\)_%;&quot;R$ &quot;#,##0_%_);@_%_)"/>
    <numFmt numFmtId="230" formatCode="&quot;R$ &quot;#,##0.00_%_);\(&quot;R$ &quot;#,##0.00\)_%;&quot;R$ &quot;#,##0.00_%_);@_%_)"/>
    <numFmt numFmtId="231" formatCode="0.0000%"/>
    <numFmt numFmtId="232" formatCode="m/d/yy_%_)"/>
    <numFmt numFmtId="233" formatCode="_ * #,##0_)_£_ ;_ * \(#,##0\)_£_ ;_ * &quot;-&quot;_)_£_ ;_ @_ "/>
    <numFmt numFmtId="234" formatCode="yyyy"/>
    <numFmt numFmtId="235" formatCode="\$0.00;\(\$0.00\)"/>
    <numFmt numFmtId="236" formatCode="0_%_);\(0\)_%;0_%_);@_%_)"/>
    <numFmt numFmtId="237" formatCode="_([$€-2]* #,##0.00_);_([$€-2]* \(#,##0.00\);_([$€-2]* &quot;-&quot;??_)"/>
    <numFmt numFmtId="238" formatCode="0.0&quot;  &quot;"/>
    <numFmt numFmtId="239" formatCode="#\ ##0.0"/>
    <numFmt numFmtId="240" formatCode="#,##0_);\(#,##0\);0_)"/>
    <numFmt numFmtId="241" formatCode="##,#00"/>
    <numFmt numFmtId="242" formatCode="#,##0.0000\ ;\(#,##0.0000\)"/>
    <numFmt numFmtId="243" formatCode="_-* #,##0_-;\(#,##0\);_-* &quot;–&quot;_-;_-@_-"/>
    <numFmt numFmtId="244" formatCode="0.0\%_);\(0.0\%\);0.0\%_);@_%_)"/>
    <numFmt numFmtId="245" formatCode="#,##0\ ;\(#,##0\);\ \-\ "/>
    <numFmt numFmtId="246" formatCode="#,##0.0_);\(#,##0.0\)"/>
    <numFmt numFmtId="247" formatCode="0.0%;0.0%;\-\ "/>
    <numFmt numFmtId="248" formatCode="#,##0;[Red]&quot;-&quot;#,##0"/>
    <numFmt numFmtId="249" formatCode="#,##0\ &quot;F&quot;;[Red]\-#,##0\ &quot;F&quot;"/>
    <numFmt numFmtId="250" formatCode="#,##0.00\ &quot;F&quot;;[Red]\-#,##0.00\ &quot;F&quot;"/>
    <numFmt numFmtId="251" formatCode="0.0\x\ "/>
    <numFmt numFmtId="252" formatCode="mm/yy"/>
    <numFmt numFmtId="253" formatCode="_ * #,##0.00_ ;_ * \-#,##0.00_ ;_ * &quot;-&quot;??_ ;_ @_ "/>
    <numFmt numFmtId="254" formatCode="&quot;$&quot;#,##0_);[Red]&quot;\&quot;&quot;\&quot;\(&quot;$&quot;#,##0&quot;\&quot;&quot;\&quot;\)"/>
    <numFmt numFmtId="255" formatCode="0.00_)"/>
    <numFmt numFmtId="256" formatCode="#,##0.0_);\(#,##0.0\);0.0_)"/>
    <numFmt numFmtId="257" formatCode="#,##0.0&quot;x&quot;;\-#,##0.0&quot;x&quot;;0.0&quot;x&quot;"/>
    <numFmt numFmtId="258" formatCode="0.00\%;\-0.00\%;0.00\%"/>
    <numFmt numFmtId="259" formatCode="0.00\x;\-0.00\x;0.00\x"/>
    <numFmt numFmtId="260" formatCode="##0.00000"/>
    <numFmt numFmtId="261" formatCode="#,##0;\(#,##0\);\–;@"/>
    <numFmt numFmtId="262" formatCode="#,##0.000\ ;\(#,##0.000\)"/>
    <numFmt numFmtId="263" formatCode="#,##0.00\ ;\(#,##0.00\)"/>
    <numFmt numFmtId="264" formatCode="&quot;$&quot;#,##0.00"/>
    <numFmt numFmtId="265" formatCode="&quot;R$ &quot;#,##0_);[Red]\(&quot;R$ &quot;#,##0\)"/>
    <numFmt numFmtId="266" formatCode="_(&quot;R$ &quot;* #,##0.00_);_(&quot;R$ &quot;* \(#,##0.00\);_(&quot;R$ &quot;* &quot;-&quot;??_);_(@_)"/>
    <numFmt numFmtId="267" formatCode="_-* #,##0.00\ _D_M_-;\-* #,##0.00\ _D_M_-;_-* &quot;-&quot;??\ _D_M_-;_-@_-"/>
    <numFmt numFmtId="268" formatCode="###,000"/>
    <numFmt numFmtId="269" formatCode="&quot;R$ &quot;#,##0_);\(&quot;R$ &quot;#,##0\)"/>
  </numFmts>
  <fonts count="261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indexed="8"/>
      <sz val="12"/>
    </font>
    <font>
      <name val="Arial"/>
      <family val="2"/>
      <b val="1"/>
      <i val="1"/>
      <color indexed="8"/>
      <sz val="12"/>
    </font>
    <font>
      <name val="Arial"/>
      <family val="2"/>
      <color indexed="8"/>
      <sz val="12"/>
    </font>
    <font>
      <name val="Arial"/>
      <family val="2"/>
      <b val="1"/>
      <color indexed="8"/>
      <sz val="10"/>
    </font>
    <font>
      <name val="Arial"/>
      <family val="2"/>
      <color indexed="8"/>
      <sz val="10"/>
    </font>
    <font>
      <name val="Arial"/>
      <family val="2"/>
      <i val="1"/>
      <color indexed="8"/>
      <sz val="12"/>
    </font>
    <font>
      <name val="Arial"/>
      <family val="2"/>
      <color indexed="8"/>
      <sz val="10"/>
    </font>
    <font>
      <name val="Arial"/>
      <family val="2"/>
      <color indexed="48"/>
      <sz val="19"/>
    </font>
    <font>
      <name val="Arial"/>
      <family val="2"/>
      <color indexed="14"/>
      <sz val="12"/>
    </font>
    <font>
      <name val="Arial"/>
      <family val="2"/>
      <sz val="8"/>
    </font>
    <font>
      <name val="Arial"/>
      <family val="2"/>
      <sz val="10"/>
    </font>
    <font>
      <name val="Verdana"/>
      <family val="2"/>
      <sz val="10"/>
    </font>
    <font>
      <name val="Verdana"/>
      <family val="2"/>
      <b val="1"/>
      <sz val="10"/>
    </font>
    <font>
      <name val="Verdana"/>
      <family val="2"/>
      <b val="1"/>
      <sz val="11"/>
    </font>
    <font>
      <name val="Verdana"/>
      <family val="2"/>
      <sz val="11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family val="2"/>
      <color indexed="16"/>
      <sz val="11"/>
    </font>
    <font>
      <name val="Calibri"/>
      <family val="2"/>
      <b val="1"/>
      <color indexed="53"/>
      <sz val="11"/>
    </font>
    <font>
      <name val="Calibri"/>
      <family val="2"/>
      <b val="1"/>
      <color indexed="9"/>
      <sz val="11"/>
    </font>
    <font>
      <name val="Calibri"/>
      <family val="2"/>
      <b val="1"/>
      <color indexed="8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color indexed="48"/>
      <sz val="11"/>
    </font>
    <font>
      <name val="Calibri"/>
      <family val="2"/>
      <color indexed="53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62"/>
      <sz val="18"/>
    </font>
    <font>
      <name val="Calibri"/>
      <family val="2"/>
      <color indexed="10"/>
      <sz val="11"/>
    </font>
    <font>
      <name val="Calibri"/>
      <family val="2"/>
      <b val="1"/>
      <color indexed="14"/>
      <sz val="11"/>
    </font>
    <font>
      <name val="Calibri"/>
      <family val="2"/>
      <color indexed="14"/>
      <sz val="11"/>
    </font>
    <font>
      <name val="Calibri"/>
      <family val="2"/>
      <color indexed="62"/>
      <sz val="11"/>
    </font>
    <font>
      <name val="Calibri"/>
      <family val="2"/>
      <color indexed="36"/>
      <sz val="11"/>
    </font>
    <font>
      <name val="Calibri"/>
      <family val="2"/>
      <i val="1"/>
      <color indexed="23"/>
      <sz val="11"/>
    </font>
    <font>
      <name val="Calibri"/>
      <family val="2"/>
      <sz val="10"/>
    </font>
    <font>
      <name val="Arial"/>
      <family val="2"/>
      <sz val="8"/>
    </font>
    <font>
      <name val="Arial"/>
      <family val="2"/>
      <sz val="9"/>
    </font>
    <font>
      <name val="Verdana"/>
      <family val="2"/>
      <sz val="8"/>
    </font>
    <font>
      <name val="Verdana"/>
      <family val="2"/>
      <b val="1"/>
      <color indexed="9"/>
      <sz val="11"/>
    </font>
    <font>
      <name val="Verdana"/>
      <family val="2"/>
      <b val="1"/>
      <color indexed="9"/>
      <sz val="10"/>
    </font>
    <font>
      <name val="Arial"/>
      <family val="2"/>
      <b val="1"/>
      <color indexed="8"/>
      <sz val="11"/>
    </font>
    <font>
      <name val="Verdana"/>
      <family val="2"/>
      <sz val="8.5"/>
    </font>
    <font>
      <name val="Verdana"/>
      <family val="2"/>
      <b val="1"/>
      <sz val="8.5"/>
    </font>
    <font>
      <name val="Arial"/>
      <family val="2"/>
      <b val="1"/>
      <sz val="12"/>
    </font>
    <font>
      <name val="Arial"/>
      <family val="2"/>
      <b val="1"/>
      <sz val="10"/>
    </font>
    <font>
      <name val="Helvetica"/>
      <family val="2"/>
      <sz val="10"/>
    </font>
    <font>
      <name val="Courier"/>
      <family val="3"/>
      <sz val="10"/>
    </font>
    <font>
      <name val="Arial"/>
      <family val="2"/>
      <color indexed="12"/>
      <sz val="9"/>
    </font>
    <font>
      <name val="MS Sans Serif"/>
      <family val="2"/>
      <color indexed="8"/>
      <sz val="10"/>
    </font>
    <font>
      <name val="Arial"/>
      <family val="2"/>
      <color indexed="12"/>
      <sz val="8.4"/>
      <u val="single"/>
    </font>
    <font>
      <name val="Helv"/>
      <sz val="10"/>
    </font>
    <font>
      <name val="Helv"/>
      <family val="2"/>
      <sz val="10"/>
    </font>
    <font>
      <name val="GS TheSans"/>
      <family val="2"/>
      <sz val="10"/>
    </font>
    <font>
      <name val="Arial"/>
      <family val="2"/>
      <b val="1"/>
      <color indexed="18"/>
      <sz val="22"/>
    </font>
    <font>
      <name val="Geneva"/>
      <family val="2"/>
      <sz val="10"/>
    </font>
    <font>
      <name val="NewCenturySchlbk"/>
      <family val="1"/>
      <sz val="10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sz val="10"/>
    </font>
    <font>
      <name val="MS Sans Serif"/>
      <family val="2"/>
      <sz val="10"/>
    </font>
    <font>
      <name val="Arial MT"/>
      <sz val="12"/>
    </font>
    <font>
      <name val="Times New Roman"/>
      <family val="1"/>
      <color indexed="8"/>
      <sz val="9"/>
    </font>
    <font>
      <name val="Times New Roman"/>
      <family val="1"/>
      <b val="1"/>
      <color indexed="8"/>
      <sz val="10"/>
    </font>
    <font>
      <name val="Arial"/>
      <family val="2"/>
      <sz val="7"/>
    </font>
    <font>
      <name val="Arial"/>
      <family val="2"/>
      <b val="1"/>
      <sz val="6"/>
    </font>
    <font>
      <name val="Arial"/>
      <family val="2"/>
      <b val="1"/>
      <sz val="8"/>
    </font>
    <font>
      <name val="Arial"/>
      <family val="2"/>
      <i val="1"/>
      <sz val="8"/>
    </font>
    <font>
      <name val="Calibri"/>
      <family val="2"/>
      <color indexed="20"/>
      <sz val="11"/>
    </font>
    <font>
      <name val="Calibri"/>
      <family val="2"/>
      <color indexed="50"/>
      <sz val="11"/>
    </font>
    <font>
      <name val="Times New Roman"/>
      <family val="1"/>
      <sz val="8"/>
    </font>
    <font>
      <name val="Times New Roman"/>
      <family val="1"/>
      <color indexed="9"/>
      <sz val="9"/>
    </font>
    <font>
      <name val="Tms Rmn"/>
      <family val="1"/>
      <color indexed="12"/>
      <sz val="8"/>
    </font>
    <font>
      <name val="Times New Roman"/>
      <family val="1"/>
      <b val="1"/>
      <sz val="12"/>
    </font>
    <font>
      <name val="Frutiger 55"/>
      <family val="2"/>
      <sz val="8"/>
    </font>
    <font>
      <name val="Helvetica"/>
      <family val="2"/>
      <color indexed="12"/>
      <sz val="10"/>
    </font>
    <font>
      <name val="Calibri"/>
      <family val="2"/>
      <b val="1"/>
      <color indexed="52"/>
      <sz val="11"/>
    </font>
    <font>
      <name val="Times New Roman"/>
      <family val="1"/>
      <color indexed="18"/>
      <sz val="10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Arial"/>
      <family val="2"/>
      <b val="1"/>
      <color indexed="8"/>
      <sz val="9"/>
    </font>
    <font>
      <name val="Tms Rmn"/>
      <family val="1"/>
      <sz val="11"/>
    </font>
    <font>
      <name val="Palatino"/>
      <family val="1"/>
      <sz val="8"/>
    </font>
    <font>
      <name val="BERNHARD"/>
      <sz val="10"/>
    </font>
    <font>
      <name val="MS Sans Serif"/>
      <family val="2"/>
      <sz val="24"/>
    </font>
    <font>
      <name val="Times New Roman"/>
      <family val="1"/>
      <b val="1"/>
      <sz val="24"/>
    </font>
    <font>
      <name val="Times New Roman"/>
      <family val="1"/>
      <b val="1"/>
      <sz val="11"/>
    </font>
    <font>
      <name val="Arial Narrow"/>
      <family val="2"/>
      <color indexed="13"/>
      <sz val="10"/>
    </font>
    <font>
      <name val="Times New Roman"/>
      <family val="1"/>
      <b val="1"/>
      <sz val="8"/>
    </font>
    <font>
      <name val="Courier"/>
      <family val="3"/>
      <color indexed="8"/>
      <sz val="1"/>
    </font>
    <font>
      <name val="Times New Roman"/>
      <family val="1"/>
      <sz val="9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MS Sans Serif"/>
      <family val="2"/>
      <sz val="9"/>
    </font>
    <font>
      <name val="Times New Roman"/>
      <family val="1"/>
      <color indexed="8"/>
      <sz val="10"/>
    </font>
    <font>
      <name val="Palatino"/>
      <family val="1"/>
      <sz val="7"/>
    </font>
    <font>
      <name val="Tms Rmn"/>
      <i val="1"/>
      <sz val="8"/>
    </font>
    <font>
      <name val="Arial"/>
      <family val="2"/>
      <b val="1"/>
      <color indexed="17"/>
      <sz val="8.5"/>
    </font>
    <font>
      <name val="Tms Rmn"/>
      <sz val="9"/>
    </font>
    <font>
      <name val="Arial"/>
      <family val="2"/>
      <b val="1"/>
      <color indexed="17"/>
      <sz val="7"/>
    </font>
    <font>
      <name val="Arial"/>
      <family val="2"/>
      <color indexed="8"/>
      <sz val="8.5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Arial Narrow"/>
      <family val="2"/>
      <b val="1"/>
      <color indexed="8"/>
      <sz val="10"/>
    </font>
    <font>
      <name val="Tms Rmn"/>
      <b val="1"/>
      <sz val="11"/>
    </font>
    <font>
      <name val="Tms Rmn"/>
      <b val="1"/>
      <sz val="12"/>
    </font>
    <font>
      <name val="Arial Narrow"/>
      <family val="2"/>
      <b val="1"/>
      <color indexed="62"/>
      <sz val="10"/>
    </font>
    <font>
      <name val="Arial"/>
      <family val="2"/>
      <color indexed="12"/>
      <sz val="6"/>
      <u val="single"/>
    </font>
    <font>
      <name val="Arial"/>
      <family val="2"/>
      <color indexed="36"/>
      <sz val="12"/>
      <u val="single"/>
    </font>
    <font>
      <name val="Arial Narrow"/>
      <family val="2"/>
      <sz val="10"/>
    </font>
    <font>
      <name val="MS Sans Serif"/>
      <family val="2"/>
      <b val="1"/>
      <sz val="10"/>
    </font>
    <font>
      <name val="Arial"/>
      <family val="2"/>
      <color indexed="16"/>
      <sz val="8"/>
    </font>
    <font>
      <name val="Calibri"/>
      <family val="2"/>
      <color indexed="52"/>
      <sz val="11"/>
    </font>
    <font>
      <name val="Arial"/>
      <family val="2"/>
      <b val="1"/>
      <sz val="14"/>
    </font>
    <font>
      <name val="MS Sans Serif"/>
      <family val="2"/>
      <sz val="8.5"/>
    </font>
    <font>
      <name val="Arial Narrow"/>
      <family val="2"/>
      <i val="1"/>
      <color indexed="20"/>
      <sz val="9"/>
    </font>
    <font>
      <name val="Small Fonts"/>
      <family val="2"/>
      <sz val="7"/>
    </font>
    <font>
      <name val="Small Fonts"/>
      <charset val="128"/>
      <family val="3"/>
      <sz val="7"/>
    </font>
    <font>
      <name val="Helv"/>
      <b val="1"/>
      <i val="1"/>
      <sz val="16"/>
    </font>
    <font>
      <name val="MS Sans Serif"/>
      <family val="2"/>
      <sz val="8"/>
    </font>
    <font>
      <name val="Tms Rmn"/>
      <sz val="10"/>
    </font>
    <font>
      <name val="Helv"/>
      <i val="1"/>
      <sz val="10"/>
    </font>
    <font>
      <name val="Arial Narrow"/>
      <family val="2"/>
      <sz val="8.5"/>
    </font>
    <font>
      <name val="MS Sans Serif"/>
      <family val="2"/>
      <b val="1"/>
      <sz val="13.5"/>
    </font>
    <font>
      <name val="Calibri"/>
      <family val="2"/>
      <b val="1"/>
      <color indexed="34"/>
      <sz val="11"/>
    </font>
    <font>
      <name val="MS Sans Serif"/>
      <family val="2"/>
      <b val="1"/>
      <color indexed="12"/>
      <sz val="24"/>
    </font>
    <font>
      <name val="Times New Roman"/>
      <family val="1"/>
      <b val="1"/>
      <sz val="14"/>
    </font>
    <font>
      <name val="Helvetica-Black"/>
      <color indexed="16"/>
      <sz val="10"/>
    </font>
    <font>
      <name val="Helvetica"/>
      <family val="2"/>
      <i val="1"/>
      <sz val="10"/>
    </font>
    <font>
      <name val="Helvetica"/>
      <family val="2"/>
      <sz val="12"/>
    </font>
    <font>
      <name val="Arial"/>
      <family val="2"/>
      <b val="1"/>
      <color indexed="9"/>
      <sz val="10"/>
    </font>
    <font>
      <name val="Geneva"/>
      <family val="2"/>
      <color indexed="17"/>
      <sz val="10"/>
    </font>
    <font>
      <name val="MS Sans Serif"/>
      <family val="2"/>
      <color indexed="17"/>
      <sz val="10"/>
    </font>
    <font>
      <name val="Times New Roman"/>
      <family val="1"/>
      <i val="1"/>
      <sz val="8"/>
    </font>
    <font>
      <name val="GillSans Light"/>
      <family val="2"/>
      <sz val="10"/>
    </font>
    <font>
      <name val="Helv"/>
      <sz val="8"/>
    </font>
    <font>
      <name val="MS Sans Serif"/>
      <family val="2"/>
      <color indexed="23"/>
      <sz val="10"/>
    </font>
    <font>
      <name val="MS Serif"/>
      <family val="1"/>
      <sz val="8"/>
    </font>
    <font>
      <name val="HelveticaNeue Condensed"/>
      <b val="1"/>
      <sz val="8"/>
    </font>
    <font>
      <name val="HelveticaNeue LightCond"/>
      <family val="2"/>
      <sz val="8"/>
    </font>
    <font>
      <name val="HelveticaNeue Condensed"/>
      <family val="2"/>
      <b val="1"/>
      <sz val="7"/>
    </font>
    <font>
      <name val="Times New Roman"/>
      <family val="1"/>
      <b val="1"/>
      <sz val="9"/>
    </font>
    <font>
      <name val="GillSans"/>
      <family val="2"/>
      <b val="1"/>
      <sz val="10"/>
    </font>
    <font>
      <name val="Symbol"/>
      <charset val="2"/>
      <family val="1"/>
      <b val="1"/>
      <color indexed="18"/>
      <sz val="10"/>
    </font>
    <font>
      <name val="Palatino"/>
      <family val="1"/>
      <b val="1"/>
      <sz val="9"/>
    </font>
    <font>
      <name val="Helvetica-Black"/>
      <color indexed="21"/>
      <sz val="9"/>
    </font>
    <font>
      <name val="Arial"/>
      <family val="2"/>
      <b val="1"/>
      <color indexed="62"/>
      <sz val="8"/>
    </font>
    <font>
      <name val="Arial"/>
      <family val="2"/>
      <b val="1"/>
      <color indexed="8"/>
      <sz val="8.5"/>
    </font>
    <font>
      <name val="Helvetica-Black"/>
      <sz val="9"/>
    </font>
    <font>
      <name val="Times New Roman"/>
      <family val="1"/>
      <b val="1"/>
      <color indexed="8"/>
      <sz val="14"/>
    </font>
    <font>
      <name val="Arial"/>
      <family val="2"/>
      <color indexed="8"/>
      <sz val="8"/>
    </font>
    <font>
      <name val="Arial"/>
      <family val="2"/>
      <b val="1"/>
      <sz val="9"/>
    </font>
    <font>
      <name val="NewsGoth BT"/>
      <sz val="7"/>
    </font>
    <font>
      <name val="Tms Rmn"/>
      <sz val="12"/>
    </font>
    <font>
      <name val="Helvetica 65"/>
      <family val="2"/>
      <b val="1"/>
      <sz val="10"/>
    </font>
    <font>
      <name val="Helvetica 65"/>
      <family val="2"/>
      <b val="1"/>
      <sz val="9"/>
    </font>
    <font>
      <name val="Arial"/>
      <family val="2"/>
      <color indexed="20"/>
      <sz val="8"/>
    </font>
    <font>
      <name val="Arial"/>
      <family val="2"/>
      <i val="1"/>
      <sz val="10"/>
    </font>
    <font>
      <name val="Wingdings"/>
      <charset val="2"/>
      <b val="1"/>
      <color indexed="8"/>
      <sz val="8"/>
    </font>
    <font>
      <name val="Wingdings"/>
      <charset val="2"/>
      <b val="1"/>
      <color indexed="10"/>
      <sz val="8"/>
    </font>
    <font>
      <name val="Wingdings"/>
      <charset val="2"/>
      <b val="1"/>
      <color indexed="9"/>
      <sz val="8"/>
    </font>
    <font>
      <name val="Times New Roman"/>
      <family val="1"/>
      <b val="1"/>
      <sz val="10"/>
    </font>
    <font>
      <name val="바탕체"/>
      <charset val="129"/>
      <family val="1"/>
      <sz val="11"/>
    </font>
    <font>
      <name val="全真楷書"/>
      <charset val="136"/>
      <family val="3"/>
      <sz val="14"/>
    </font>
    <font>
      <name val="宋体"/>
      <charset val="134"/>
      <sz val="12"/>
    </font>
    <font>
      <name val="Book Antiqua"/>
      <family val="1"/>
      <sz val="11"/>
    </font>
    <font>
      <name val="Verdana"/>
      <family val="2"/>
      <b val="1"/>
      <color indexed="8"/>
      <sz val="8.5"/>
    </font>
    <font>
      <name val="Calibri"/>
      <family val="2"/>
      <color indexed="8"/>
      <sz val="11"/>
    </font>
    <font>
      <name val="Verdana"/>
      <family val="2"/>
      <b val="1"/>
      <color indexed="8"/>
      <sz val="8"/>
    </font>
    <font>
      <name val="Verdana"/>
      <family val="2"/>
      <b val="1"/>
      <color indexed="8"/>
      <sz val="10"/>
    </font>
    <font>
      <name val="Verdana"/>
      <family val="2"/>
      <b val="1"/>
      <color indexed="8"/>
      <sz val="11"/>
    </font>
    <font>
      <name val="Verdana"/>
      <family val="2"/>
      <color indexed="8"/>
      <sz val="8.5"/>
    </font>
    <font>
      <name val="Verdana"/>
      <family val="2"/>
      <b val="1"/>
      <color indexed="8"/>
      <sz val="8.5"/>
    </font>
    <font>
      <name val="Arial"/>
      <family val="2"/>
      <color indexed="8"/>
      <sz val="10"/>
    </font>
    <font>
      <name val="Calibri"/>
      <family val="2"/>
      <color theme="1"/>
      <sz val="11"/>
      <scheme val="minor"/>
    </font>
    <font>
      <name val="Arial"/>
      <family val="2"/>
      <b val="1"/>
      <color indexed="39"/>
      <sz val="10"/>
    </font>
    <font>
      <name val="Arial"/>
      <family val="2"/>
      <color indexed="39"/>
      <sz val="10"/>
    </font>
    <font>
      <name val="Arial"/>
      <family val="2"/>
      <color indexed="10"/>
      <sz val="10"/>
    </font>
    <font>
      <name val="Calibri"/>
      <family val="2"/>
      <b val="1"/>
      <color indexed="17"/>
      <sz val="11"/>
    </font>
    <font>
      <name val="Calibri"/>
      <family val="2"/>
      <color indexed="37"/>
      <sz val="11"/>
    </font>
    <font>
      <name val="Arial"/>
      <family val="2"/>
      <color indexed="62"/>
      <sz val="8"/>
    </font>
    <font>
      <name val="Arial"/>
      <family val="2"/>
      <b val="1"/>
      <color indexed="8"/>
      <sz val="8"/>
    </font>
    <font>
      <name val="Arial"/>
      <family val="2"/>
      <sz val="19"/>
    </font>
    <font>
      <name val="Arial"/>
      <family val="2"/>
      <color indexed="14"/>
      <sz val="8"/>
    </font>
    <font>
      <name val="Arial"/>
      <family val="2"/>
      <color indexed="63"/>
      <sz val="10"/>
    </font>
    <font>
      <name val="Arial"/>
      <family val="2"/>
      <sz val="8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indexed="9"/>
      <sz val="10"/>
    </font>
    <font>
      <name val="Calibri"/>
      <family val="2"/>
      <color rgb="FF0061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Verdana"/>
      <family val="2"/>
      <b val="1"/>
      <color rgb="FF1F497D"/>
      <sz val="8"/>
    </font>
    <font>
      <name val="Verdana"/>
      <family val="2"/>
      <color rgb="FF1F497D"/>
      <sz val="8"/>
    </font>
    <font>
      <name val="Verdana"/>
      <family val="2"/>
      <color rgb="FF000000"/>
      <sz val="8"/>
    </font>
    <font>
      <name val="Verdana"/>
      <family val="2"/>
      <b val="1"/>
      <color rgb="FF00CC00"/>
      <sz val="8"/>
    </font>
    <font>
      <name val="Verdana"/>
      <family val="2"/>
      <b val="1"/>
      <color rgb="FF33CC33"/>
      <sz val="8"/>
    </font>
    <font>
      <name val="Verdana"/>
      <family val="2"/>
      <b val="1"/>
      <color rgb="FFFF9900"/>
      <sz val="8"/>
    </font>
    <font>
      <name val="Verdana"/>
      <family val="2"/>
      <b val="1"/>
      <color rgb="FFFF0000"/>
      <sz val="8"/>
    </font>
    <font>
      <name val="Arial"/>
      <family val="2"/>
      <color rgb="FF000000"/>
      <sz val="8"/>
    </font>
    <font>
      <name val="Verdana"/>
      <family val="2"/>
      <i val="1"/>
      <color rgb="FF000000"/>
      <sz val="8"/>
    </font>
    <font>
      <name val="Verdana"/>
      <family val="2"/>
      <b val="1"/>
      <i val="1"/>
      <color rgb="FF000000"/>
      <sz val="8"/>
    </font>
    <font>
      <name val="Verdana"/>
      <family val="2"/>
      <b val="1"/>
      <i val="1"/>
      <color rgb="FF1F497D"/>
      <sz val="8"/>
    </font>
    <font>
      <name val="Verdana"/>
      <family val="2"/>
      <i val="1"/>
      <color rgb="FF1F497D"/>
      <sz val="8"/>
    </font>
    <font>
      <name val="Cambria"/>
      <family val="2"/>
      <b val="1"/>
      <color theme="3"/>
      <sz val="18"/>
      <scheme val="major"/>
    </font>
    <font>
      <name val="Calibri"/>
      <family val="2"/>
      <color indexed="58"/>
      <sz val="11"/>
    </font>
    <font>
      <name val="Arial"/>
      <family val="2"/>
      <i val="1"/>
      <color indexed="23"/>
      <sz val="10"/>
    </font>
    <font>
      <name val="Arial"/>
      <family val="2"/>
      <color indexed="8"/>
      <sz val="11"/>
    </font>
    <font>
      <name val="Arial"/>
      <family val="2"/>
      <b val="1"/>
      <sz val="11"/>
    </font>
    <font>
      <name val="Arial"/>
      <family val="2"/>
      <i val="1"/>
      <color indexed="17"/>
      <sz val="19"/>
    </font>
    <font>
      <name val="Arial"/>
      <family val="2"/>
      <b val="1"/>
      <color indexed="23"/>
      <sz val="16"/>
    </font>
    <font>
      <name val="Calibri"/>
      <family val="2"/>
      <b val="1"/>
      <color indexed="32"/>
      <sz val="15"/>
    </font>
    <font>
      <name val="Calibri"/>
      <family val="2"/>
      <b val="1"/>
      <color indexed="32"/>
      <sz val="13"/>
    </font>
    <font>
      <name val="Calibri"/>
      <family val="2"/>
      <b val="1"/>
      <color indexed="32"/>
      <sz val="11"/>
    </font>
    <font>
      <name val="Cambria"/>
      <family val="2"/>
      <b val="1"/>
      <color indexed="32"/>
      <sz val="18"/>
    </font>
    <font>
      <name val="Calibri"/>
      <family val="2"/>
      <sz val="11"/>
      <scheme val="minor"/>
    </font>
    <font>
      <name val="Calibri"/>
      <family val="2"/>
      <color indexed="8"/>
      <sz val="11"/>
      <scheme val="minor"/>
    </font>
    <font>
      <name val="Arial"/>
      <family val="2"/>
      <b val="1"/>
      <color indexed="52"/>
      <sz val="12"/>
    </font>
    <font>
      <name val="Arial"/>
      <family val="2"/>
      <color indexed="12"/>
      <sz val="10"/>
    </font>
    <font>
      <name val="Verdana"/>
      <family val="2"/>
      <color rgb="FFDBE5F1"/>
      <sz val="8"/>
    </font>
    <font>
      <name val="Arial"/>
      <family val="2"/>
      <color theme="1"/>
      <sz val="10"/>
    </font>
    <font>
      <name val="Arial"/>
      <family val="2"/>
      <b val="1"/>
      <color theme="0"/>
      <sz val="10"/>
    </font>
    <font>
      <name val="Arial"/>
      <family val="2"/>
      <b val="1"/>
      <color rgb="FF4F4B4B"/>
      <sz val="10"/>
    </font>
    <font>
      <name val="Arial"/>
      <family val="2"/>
      <b val="1"/>
      <color theme="1" tint="0.249977111117893"/>
      <sz val="9"/>
    </font>
    <font>
      <name val="Arial"/>
      <family val="2"/>
      <color theme="1" tint="0.249977111117893"/>
      <sz val="9"/>
    </font>
    <font>
      <name val="Arial"/>
      <family val="2"/>
      <i val="1"/>
      <color theme="1" tint="0.249977111117893"/>
      <sz val="9"/>
    </font>
    <font>
      <name val="Arial"/>
      <family val="2"/>
      <color theme="1" tint="0.1499984740745262"/>
      <sz val="9"/>
    </font>
    <font>
      <name val="Arial"/>
      <family val="2"/>
      <b val="1"/>
      <color rgb="FF4F4B4B"/>
      <sz val="9"/>
    </font>
    <font>
      <name val="Arial"/>
      <family val="2"/>
      <color rgb="FF4F4B4B"/>
      <sz val="9"/>
    </font>
    <font>
      <name val="Arial"/>
      <family val="2"/>
      <b val="1"/>
      <i val="1"/>
      <color rgb="FF4F4B4B"/>
      <sz val="9"/>
    </font>
    <font>
      <name val="Arial"/>
      <family val="2"/>
      <b val="1"/>
      <color rgb="FF260945"/>
      <sz val="10"/>
    </font>
    <font>
      <name val="Arial"/>
      <family val="2"/>
      <color rgb="FFFF0000"/>
      <sz val="11"/>
    </font>
    <font>
      <name val="Arial"/>
      <family val="2"/>
      <color rgb="FF4F4B4B"/>
      <sz val="10"/>
    </font>
    <font>
      <name val="Arial"/>
      <family val="2"/>
      <color rgb="FF4F4B4B"/>
      <sz val="8"/>
    </font>
    <font>
      <name val="Arial"/>
      <family val="2"/>
      <b val="1"/>
      <color rgb="FF4F4B4B"/>
      <sz val="9"/>
      <vertAlign val="superscript"/>
    </font>
    <font>
      <name val="Arial"/>
      <family val="2"/>
      <b val="1"/>
      <color rgb="FFFFFFFF"/>
      <sz val="12"/>
    </font>
    <font>
      <name val="Arial"/>
      <family val="2"/>
      <color rgb="FF4F4B4B"/>
      <sz val="8"/>
      <vertAlign val="superscript"/>
    </font>
  </fonts>
  <fills count="175">
    <fill>
      <patternFill/>
    </fill>
    <fill>
      <patternFill patternType="gray125"/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14"/>
      </patternFill>
    </fill>
    <fill>
      <patternFill patternType="solid">
        <fgColor indexed="26"/>
      </patternFill>
    </fill>
    <fill>
      <patternFill patternType="solid">
        <fgColor indexed="38"/>
      </patternFill>
    </fill>
    <fill>
      <patternFill patternType="solid">
        <fgColor indexed="27"/>
      </patternFill>
    </fill>
    <fill>
      <patternFill patternType="solid">
        <fgColor indexed="10"/>
      </patternFill>
    </fill>
    <fill>
      <patternFill patternType="solid">
        <fgColor indexed="28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33"/>
      </patternFill>
    </fill>
    <fill>
      <patternFill patternType="solid">
        <fgColor indexed="48"/>
        <bgColor indexed="48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4"/>
        <bgColor indexed="24"/>
      </patternFill>
    </fill>
    <fill>
      <patternFill patternType="solid">
        <fgColor indexed="24"/>
      </patternFill>
    </fill>
    <fill>
      <patternFill patternType="solid">
        <fgColor indexed="25"/>
        <bgColor indexed="25"/>
      </patternFill>
    </fill>
    <fill>
      <patternFill patternType="solid">
        <fgColor indexed="15"/>
        <bgColor indexed="15"/>
      </patternFill>
    </fill>
    <fill>
      <patternFill patternType="solid">
        <fgColor indexed="45"/>
        <bgColor indexed="45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40"/>
        <bgColor indexed="40"/>
      </patternFill>
    </fill>
    <fill>
      <patternFill patternType="solid">
        <fgColor indexed="22"/>
        <bgColor indexed="22"/>
      </patternFill>
    </fill>
    <fill>
      <patternFill patternType="solid">
        <fgColor indexed="57"/>
      </patternFill>
    </fill>
    <fill>
      <patternFill patternType="solid">
        <fgColor indexed="23"/>
        <bgColor indexed="23"/>
      </patternFill>
    </fill>
    <fill>
      <patternFill patternType="solid">
        <fgColor indexed="54"/>
      </patternFill>
    </fill>
    <fill>
      <patternFill patternType="solid">
        <fgColor indexed="49"/>
        <bgColor indexed="49"/>
      </patternFill>
    </fill>
    <fill>
      <patternFill patternType="solid">
        <fgColor indexed="52"/>
        <bgColor indexed="52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solid">
        <fgColor indexed="20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lightGray">
        <fgColor indexed="14"/>
        <bgColor indexed="9"/>
      </patternFill>
    </fill>
    <fill>
      <patternFill patternType="solid">
        <fgColor indexed="9"/>
        <bgColor indexed="9"/>
      </patternFill>
    </fill>
    <fill>
      <patternFill patternType="solid">
        <fgColor indexed="55"/>
      </patternFill>
    </fill>
    <fill>
      <patternFill patternType="mediumGray">
        <fgColor indexed="22"/>
      </patternFill>
    </fill>
    <fill>
      <patternFill patternType="lightGray">
        <fgColor indexed="12"/>
      </patternFill>
    </fill>
    <fill>
      <patternFill patternType="solid">
        <fgColor indexed="55"/>
        <bgColor indexed="64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57"/>
      </patternFill>
    </fill>
    <fill>
      <patternFill patternType="solid">
        <fgColor indexed="19"/>
      </patternFill>
    </fill>
    <fill>
      <patternFill patternType="solid">
        <fgColor indexed="46"/>
      </patternFill>
    </fill>
    <fill>
      <patternFill patternType="gray0625">
        <fgColor indexed="13"/>
        <bgColor indexed="9"/>
      </patternFill>
    </fill>
    <fill>
      <patternFill patternType="solid">
        <fgColor indexed="31"/>
        <bgColor indexed="64"/>
      </patternFill>
    </fill>
    <fill>
      <patternFill patternType="lightGray">
        <fgColor indexed="12"/>
        <bgColor indexed="9"/>
      </patternFill>
    </fill>
    <fill>
      <patternFill patternType="solid">
        <fgColor indexed="13"/>
        <bgColor indexed="13"/>
      </patternFill>
    </fill>
    <fill>
      <patternFill patternType="solid">
        <fgColor indexed="42"/>
        <bgColor indexed="42"/>
      </patternFill>
    </fill>
    <fill>
      <patternFill patternType="solid">
        <fgColor indexed="22"/>
        <bgColor indexed="64"/>
      </patternFill>
    </fill>
    <fill>
      <patternFill patternType="mediumGray"/>
    </fill>
    <fill>
      <patternFill patternType="solid">
        <fgColor indexed="45"/>
        <bgColor indexed="64"/>
      </patternFill>
    </fill>
    <fill>
      <patternFill patternType="solid">
        <fgColor indexed="11"/>
        <bgColor indexed="9"/>
      </patternFill>
    </fill>
    <fill>
      <patternFill patternType="darkTrellis">
        <fgColor indexed="13"/>
        <bgColor indexed="9"/>
      </patternFill>
    </fill>
    <fill>
      <patternFill patternType="gray0625">
        <fgColor indexed="22"/>
      </patternFill>
    </fill>
    <fill>
      <patternFill patternType="solid">
        <fgColor indexed="13"/>
        <bgColor indexed="64"/>
      </patternFill>
    </fill>
    <fill>
      <patternFill patternType="solid">
        <fgColor indexed="13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lightGray">
        <fgColor indexed="22"/>
        <bgColor indexed="9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indexed="15"/>
      </patternFill>
    </fill>
    <fill>
      <patternFill patternType="solid">
        <fgColor indexed="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0"/>
      </patternFill>
    </fill>
    <fill>
      <patternFill patternType="solid">
        <fgColor indexed="50"/>
      </patternFill>
    </fill>
    <fill>
      <patternFill patternType="solid">
        <fgColor indexed="23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61"/>
        <bgColor indexed="61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1"/>
        <bgColor indexed="51"/>
      </patternFill>
    </fill>
    <fill>
      <patternFill patternType="solid">
        <fgColor indexed="35"/>
        <bgColor indexed="35"/>
      </patternFill>
    </fill>
    <fill>
      <patternFill patternType="solid">
        <fgColor indexed="18"/>
        <bgColor indexed="18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solid">
        <fgColor indexed="57"/>
        <bgColor indexed="57"/>
      </patternFill>
    </fill>
    <fill>
      <patternFill patternType="solid">
        <fgColor indexed="53"/>
        <bgColor indexed="53"/>
      </patternFill>
    </fill>
    <fill>
      <patternFill patternType="solid">
        <fgColor indexed="60"/>
      </patternFill>
    </fill>
    <fill>
      <patternFill patternType="solid">
        <fgColor indexed="12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DBE5F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  <fill>
      <patternFill patternType="solid">
        <fgColor indexed="21"/>
      </patternFill>
    </fill>
    <fill>
      <patternFill patternType="solid">
        <fgColor indexed="35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0"/>
        <bgColor indexed="48"/>
      </patternFill>
    </fill>
    <fill>
      <patternFill patternType="lightUp">
        <fgColor indexed="22"/>
        <bgColor indexed="35"/>
      </patternFill>
    </fill>
    <fill>
      <patternFill patternType="solid">
        <fgColor indexed="35"/>
        <bgColor indexed="64"/>
      </patternFill>
    </fill>
    <fill>
      <patternFill patternType="solid">
        <fgColor indexed="23"/>
        <bgColor indexed="64"/>
      </patternFill>
    </fill>
    <fill>
      <patternFill patternType="lightDown">
        <fgColor indexed="41"/>
        <bgColor indexed="22"/>
      </patternFill>
    </fill>
    <fill>
      <patternFill patternType="solid">
        <fgColor rgb="FF538135"/>
        <bgColor indexed="64"/>
      </patternFill>
    </fill>
    <fill>
      <patternFill patternType="solid">
        <fgColor rgb="FF538135"/>
        <bgColor rgb="FF000000"/>
      </patternFill>
    </fill>
  </fills>
  <borders count="202">
    <border>
      <left/>
      <right/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34"/>
      </left>
      <right style="double">
        <color indexed="34"/>
      </right>
      <top style="double">
        <color indexed="34"/>
      </top>
      <bottom style="double">
        <color indexed="3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medium">
        <color indexed="26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3"/>
      </left>
      <right style="thin">
        <color indexed="33"/>
      </right>
      <top style="thin">
        <color indexed="33"/>
      </top>
      <bottom style="thin">
        <color indexed="3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24"/>
      </top>
      <bottom style="double">
        <color indexed="2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medium">
        <color indexed="9"/>
      </left>
      <right style="medium">
        <color indexed="49"/>
      </right>
      <top/>
      <bottom/>
      <diagonal/>
    </border>
    <border>
      <left/>
      <right/>
      <top style="thin">
        <color indexed="9"/>
      </top>
      <bottom/>
      <diagonal/>
    </border>
    <border>
      <left/>
      <right style="medium">
        <color indexed="9"/>
      </right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 style="medium">
        <color indexed="17"/>
      </left>
      <right/>
      <top/>
      <bottom style="medium">
        <color indexed="64"/>
      </bottom>
      <diagonal/>
    </border>
    <border>
      <left style="medium">
        <color indexed="9"/>
      </left>
      <right style="medium">
        <color indexed="9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9"/>
      </right>
      <top style="medium">
        <color indexed="9"/>
      </top>
      <bottom/>
      <diagonal/>
    </border>
    <border>
      <left/>
      <right style="medium">
        <color indexed="9"/>
      </right>
      <top/>
      <bottom style="medium">
        <color indexed="9"/>
      </bottom>
      <diagonal/>
    </border>
    <border>
      <left style="medium">
        <color indexed="9"/>
      </left>
      <right/>
      <top/>
      <bottom style="medium">
        <color indexed="9"/>
      </bottom>
      <diagonal/>
    </border>
    <border>
      <left/>
      <right/>
      <top/>
      <bottom style="medium">
        <color indexed="9"/>
      </bottom>
      <diagonal/>
    </border>
    <border>
      <left style="medium">
        <color indexed="9"/>
      </left>
      <right/>
      <top style="medium">
        <color indexed="9"/>
      </top>
      <bottom style="medium">
        <color indexed="9"/>
      </bottom>
      <diagonal/>
    </border>
    <border>
      <left/>
      <right/>
      <top style="medium">
        <color indexed="9"/>
      </top>
      <bottom/>
      <diagonal/>
    </border>
    <border>
      <left/>
      <right style="medium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medium">
        <color indexed="54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/>
      <right/>
      <top/>
      <bottom style="double">
        <color indexed="17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medium">
        <color rgb="FF1AF228"/>
      </bottom>
      <diagonal/>
    </border>
    <border>
      <left/>
      <right/>
      <top/>
      <bottom style="thin">
        <color rgb="FF034D2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"/>
      </left>
      <right style="thin">
        <color theme="3" tint="-0.249946592608417"/>
      </right>
      <top style="thin">
        <color theme="3" tint="-0.249946592608417"/>
      </top>
      <bottom style="thin">
        <color theme="3" tint="-0.249946592608417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/>
      <right/>
      <top/>
      <bottom style="thick">
        <color indexed="15"/>
      </bottom>
      <diagonal/>
    </border>
    <border>
      <left/>
      <right/>
      <top/>
      <bottom style="thick">
        <color indexed="35"/>
      </bottom>
      <diagonal/>
    </border>
    <border>
      <left/>
      <right/>
      <top/>
      <bottom style="medium">
        <color indexed="35"/>
      </bottom>
      <diagonal/>
    </border>
    <border>
      <left/>
      <right/>
      <top style="thin">
        <color indexed="15"/>
      </top>
      <bottom style="double">
        <color indexed="15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15"/>
      </top>
      <bottom style="double">
        <color indexed="15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15"/>
      </top>
      <bottom style="double">
        <color indexed="15"/>
      </bottom>
      <diagonal/>
    </border>
    <border>
      <left style="thin">
        <color indexed="63"/>
      </left>
      <right style="thin">
        <color indexed="63"/>
      </right>
      <top style="thin">
        <color indexed="64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15"/>
      </top>
      <bottom style="double">
        <color indexed="15"/>
      </bottom>
      <diagonal/>
    </border>
    <border>
      <left/>
      <right/>
      <top/>
      <bottom style="medium">
        <color rgb="FF8EC044"/>
      </bottom>
      <diagonal/>
    </border>
    <border>
      <left/>
      <right/>
      <top style="medium">
        <color rgb="FF8EC044"/>
      </top>
      <bottom/>
      <diagonal/>
    </border>
    <border>
      <left/>
      <right style="thin">
        <color theme="0"/>
      </right>
      <top/>
      <bottom style="medium">
        <color rgb="FF8EC044"/>
      </bottom>
      <diagonal/>
    </border>
    <border>
      <left style="thin">
        <color theme="0"/>
      </left>
      <right style="thin">
        <color theme="0"/>
      </right>
      <top/>
      <bottom style="medium">
        <color rgb="FF8EC04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8EC044"/>
      </left>
      <right style="thin">
        <color rgb="FF8EC044"/>
      </right>
      <top style="thin">
        <color rgb="FF8EC044"/>
      </top>
      <bottom style="thin">
        <color rgb="FF8EC044"/>
      </bottom>
      <diagonal/>
    </border>
    <border>
      <left/>
      <right style="thin">
        <color theme="0"/>
      </right>
      <top style="medium">
        <color rgb="FF8EC044"/>
      </top>
      <bottom/>
      <diagonal/>
    </border>
    <border>
      <left style="thin">
        <color theme="0"/>
      </left>
      <right style="thin">
        <color theme="0"/>
      </right>
      <top style="medium">
        <color rgb="FF8EC044"/>
      </top>
      <bottom/>
      <diagonal/>
    </border>
    <border>
      <left/>
      <right/>
      <top style="medium">
        <color rgb="FF8EC044"/>
      </top>
      <bottom style="medium">
        <color rgb="FF8EC044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medium">
        <color rgb="FF8EC044"/>
      </top>
      <bottom style="medium">
        <color rgb="FF8EC044"/>
      </bottom>
      <diagonal/>
    </border>
    <border>
      <left/>
      <right style="thin">
        <color theme="0"/>
      </right>
      <top style="medium">
        <color rgb="FF8EC044"/>
      </top>
      <bottom style="medium">
        <color rgb="FF8EC044"/>
      </bottom>
      <diagonal/>
    </border>
    <border>
      <left/>
      <right style="thin">
        <color theme="0"/>
      </right>
      <top/>
      <bottom/>
      <diagonal/>
    </border>
  </borders>
  <cellStyleXfs count="45030">
    <xf numFmtId="0" fontId="0" fillId="0" borderId="0"/>
    <xf numFmtId="178" fontId="55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178" fontId="55" fillId="0" borderId="0"/>
    <xf numFmtId="178" fontId="55" fillId="0" borderId="0"/>
    <xf numFmtId="178" fontId="55" fillId="0" borderId="0"/>
    <xf numFmtId="178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7" fillId="0" borderId="0"/>
    <xf numFmtId="0" fontId="57" fillId="0" borderId="0"/>
    <xf numFmtId="0" fontId="57" fillId="0" borderId="0"/>
    <xf numFmtId="37" fontId="55" fillId="0" borderId="0"/>
    <xf numFmtId="37" fontId="55" fillId="0" borderId="0"/>
    <xf numFmtId="0" fontId="55" fillId="0" borderId="0"/>
    <xf numFmtId="0" fontId="55" fillId="0" borderId="0"/>
    <xf numFmtId="0" fontId="58" fillId="0" borderId="0"/>
    <xf numFmtId="0" fontId="58" fillId="0" borderId="0"/>
    <xf numFmtId="0" fontId="18" fillId="0" borderId="0"/>
    <xf numFmtId="0" fontId="18" fillId="0" borderId="0"/>
    <xf numFmtId="41" fontId="18" fillId="0" borderId="0"/>
    <xf numFmtId="0" fontId="59" fillId="0" borderId="0" applyAlignment="1" applyProtection="1">
      <alignment vertical="top"/>
      <protection locked="0" hidden="0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79" fontId="18" fillId="0" borderId="0"/>
    <xf numFmtId="179" fontId="18" fillId="0" borderId="0"/>
    <xf numFmtId="179" fontId="18" fillId="0" borderId="0"/>
    <xf numFmtId="180" fontId="18" fillId="0" borderId="0"/>
    <xf numFmtId="180" fontId="18" fillId="0" borderId="0"/>
    <xf numFmtId="180" fontId="18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181" fontId="55" fillId="0" borderId="0"/>
    <xf numFmtId="181" fontId="55" fillId="0" borderId="0"/>
    <xf numFmtId="181" fontId="55" fillId="0" borderId="0"/>
    <xf numFmtId="181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1" fontId="55" fillId="0" borderId="0"/>
    <xf numFmtId="181" fontId="55" fillId="0" borderId="0"/>
    <xf numFmtId="181" fontId="55" fillId="0" borderId="0"/>
    <xf numFmtId="181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0" fontId="18" fillId="0" borderId="0"/>
    <xf numFmtId="0" fontId="55" fillId="0" borderId="0"/>
    <xf numFmtId="0" fontId="18" fillId="0" borderId="0"/>
    <xf numFmtId="0" fontId="55" fillId="0" borderId="0"/>
    <xf numFmtId="0" fontId="18" fillId="0" borderId="0"/>
    <xf numFmtId="0" fontId="55" fillId="0" borderId="0"/>
    <xf numFmtId="0" fontId="18" fillId="0" borderId="0"/>
    <xf numFmtId="0" fontId="55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0" fontId="18" fillId="0" borderId="0"/>
    <xf numFmtId="0" fontId="18" fillId="0" borderId="0"/>
    <xf numFmtId="184" fontId="18" fillId="0" borderId="0"/>
    <xf numFmtId="184" fontId="18" fillId="0" borderId="0"/>
    <xf numFmtId="184" fontId="18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0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1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1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6" fillId="0" borderId="0"/>
    <xf numFmtId="0" fontId="46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191" fontId="18" fillId="0" borderId="0"/>
    <xf numFmtId="191" fontId="18" fillId="0" borderId="0"/>
    <xf numFmtId="191" fontId="18" fillId="0" borderId="0"/>
    <xf numFmtId="192" fontId="18" fillId="0" borderId="0"/>
    <xf numFmtId="192" fontId="18" fillId="0" borderId="0"/>
    <xf numFmtId="192" fontId="18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3" fontId="60" fillId="0" borderId="0"/>
    <xf numFmtId="193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3" fontId="60" fillId="0" borderId="0"/>
    <xf numFmtId="193" fontId="60" fillId="0" borderId="0"/>
    <xf numFmtId="193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3" fontId="60" fillId="0" borderId="0"/>
    <xf numFmtId="193" fontId="61" fillId="0" borderId="0"/>
    <xf numFmtId="193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3" fontId="61" fillId="0" borderId="0"/>
    <xf numFmtId="193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4" fontId="62" fillId="0" borderId="0"/>
    <xf numFmtId="194" fontId="62" fillId="0" borderId="0"/>
    <xf numFmtId="195" fontId="62" fillId="0" borderId="0"/>
    <xf numFmtId="195" fontId="62" fillId="0" borderId="0"/>
    <xf numFmtId="196" fontId="62" fillId="0" borderId="0"/>
    <xf numFmtId="0" fontId="62" fillId="0" borderId="0"/>
    <xf numFmtId="0" fontId="62" fillId="0" borderId="0"/>
    <xf numFmtId="0" fontId="62" fillId="0" borderId="0"/>
    <xf numFmtId="194" fontId="62" fillId="0" borderId="0"/>
    <xf numFmtId="194" fontId="62" fillId="0" borderId="0"/>
    <xf numFmtId="194" fontId="62" fillId="0" borderId="0"/>
    <xf numFmtId="195" fontId="62" fillId="0" borderId="0"/>
    <xf numFmtId="195" fontId="62" fillId="0" borderId="0"/>
    <xf numFmtId="196" fontId="62" fillId="0" borderId="0"/>
    <xf numFmtId="0" fontId="62" fillId="0" borderId="0"/>
    <xf numFmtId="0" fontId="62" fillId="0" borderId="0"/>
    <xf numFmtId="0" fontId="62" fillId="0" borderId="0"/>
    <xf numFmtId="194" fontId="62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182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97" fontId="18" fillId="0" borderId="0"/>
    <xf numFmtId="197" fontId="18" fillId="0" borderId="0"/>
    <xf numFmtId="197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0" fontId="46" fillId="0" borderId="0"/>
    <xf numFmtId="0" fontId="4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3" fillId="0" borderId="0"/>
    <xf numFmtId="0" fontId="18" fillId="2" borderId="0"/>
    <xf numFmtId="0" fontId="18" fillId="2" borderId="0"/>
    <xf numFmtId="0" fontId="18" fillId="2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9" fontId="55" fillId="0" borderId="0"/>
    <xf numFmtId="199" fontId="55" fillId="0" borderId="0"/>
    <xf numFmtId="199" fontId="55" fillId="0" borderId="0"/>
    <xf numFmtId="199" fontId="55" fillId="0" borderId="0"/>
    <xf numFmtId="200" fontId="55" fillId="0" borderId="0"/>
    <xf numFmtId="200" fontId="55" fillId="0" borderId="0"/>
    <xf numFmtId="200" fontId="55" fillId="0" borderId="0"/>
    <xf numFmtId="200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200" fontId="55" fillId="0" borderId="0"/>
    <xf numFmtId="200" fontId="55" fillId="0" borderId="0"/>
    <xf numFmtId="200" fontId="55" fillId="0" borderId="0"/>
    <xf numFmtId="200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9" fontId="55" fillId="0" borderId="0"/>
    <xf numFmtId="199" fontId="55" fillId="0" borderId="0"/>
    <xf numFmtId="199" fontId="55" fillId="0" borderId="0"/>
    <xf numFmtId="199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1" fontId="18" fillId="0" borderId="0"/>
    <xf numFmtId="201" fontId="18" fillId="0" borderId="0"/>
    <xf numFmtId="201" fontId="18" fillId="0" borderId="0"/>
    <xf numFmtId="202" fontId="18" fillId="0" borderId="0" applyAlignment="1">
      <alignment horizontal="right"/>
    </xf>
    <xf numFmtId="202" fontId="18" fillId="0" borderId="0" applyAlignment="1">
      <alignment horizontal="right"/>
    </xf>
    <xf numFmtId="202" fontId="18" fillId="0" borderId="0" applyAlignment="1">
      <alignment horizontal="right"/>
    </xf>
    <xf numFmtId="194" fontId="62" fillId="0" borderId="0"/>
    <xf numFmtId="194" fontId="62" fillId="0" borderId="0"/>
    <xf numFmtId="195" fontId="62" fillId="0" borderId="0"/>
    <xf numFmtId="195" fontId="62" fillId="0" borderId="0"/>
    <xf numFmtId="196" fontId="62" fillId="0" borderId="0"/>
    <xf numFmtId="0" fontId="62" fillId="0" borderId="0"/>
    <xf numFmtId="0" fontId="62" fillId="0" borderId="0"/>
    <xf numFmtId="0" fontId="62" fillId="0" borderId="0"/>
    <xf numFmtId="194" fontId="62" fillId="0" borderId="0"/>
    <xf numFmtId="194" fontId="62" fillId="0" borderId="0"/>
    <xf numFmtId="194" fontId="62" fillId="0" borderId="0"/>
    <xf numFmtId="195" fontId="62" fillId="0" borderId="0"/>
    <xf numFmtId="195" fontId="62" fillId="0" borderId="0"/>
    <xf numFmtId="196" fontId="62" fillId="0" borderId="0"/>
    <xf numFmtId="0" fontId="62" fillId="0" borderId="0"/>
    <xf numFmtId="0" fontId="62" fillId="0" borderId="0"/>
    <xf numFmtId="0" fontId="62" fillId="0" borderId="0"/>
    <xf numFmtId="194" fontId="6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7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9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188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0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0" fillId="0" borderId="0"/>
    <xf numFmtId="190" fontId="61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1" fillId="0" borderId="0"/>
    <xf numFmtId="19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86" fontId="18" fillId="0" borderId="0"/>
    <xf numFmtId="186" fontId="18" fillId="0" borderId="0"/>
    <xf numFmtId="186" fontId="18" fillId="0" borderId="0"/>
    <xf numFmtId="186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55" fillId="0" borderId="0"/>
    <xf numFmtId="0" fontId="55" fillId="0" borderId="0"/>
    <xf numFmtId="203" fontId="55" fillId="0" borderId="0"/>
    <xf numFmtId="203" fontId="55" fillId="0" borderId="0"/>
    <xf numFmtId="203" fontId="55" fillId="0" borderId="0"/>
    <xf numFmtId="203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3" fontId="55" fillId="0" borderId="0"/>
    <xf numFmtId="203" fontId="55" fillId="0" borderId="0"/>
    <xf numFmtId="203" fontId="55" fillId="0" borderId="0"/>
    <xf numFmtId="203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4" fontId="55" fillId="0" borderId="0"/>
    <xf numFmtId="204" fontId="55" fillId="0" borderId="0"/>
    <xf numFmtId="204" fontId="55" fillId="0" borderId="0"/>
    <xf numFmtId="204" fontId="55" fillId="0" borderId="0"/>
    <xf numFmtId="204" fontId="55" fillId="0" borderId="0"/>
    <xf numFmtId="204" fontId="55" fillId="0" borderId="0"/>
    <xf numFmtId="204" fontId="55" fillId="0" borderId="0"/>
    <xf numFmtId="204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3" fontId="55" fillId="0" borderId="0"/>
    <xf numFmtId="203" fontId="55" fillId="0" borderId="0"/>
    <xf numFmtId="203" fontId="55" fillId="0" borderId="0"/>
    <xf numFmtId="203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3" fontId="55" fillId="0" borderId="0"/>
    <xf numFmtId="203" fontId="55" fillId="0" borderId="0"/>
    <xf numFmtId="203" fontId="55" fillId="0" borderId="0"/>
    <xf numFmtId="203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3" fontId="55" fillId="0" borderId="0"/>
    <xf numFmtId="183" fontId="55" fillId="0" borderId="0"/>
    <xf numFmtId="183" fontId="55" fillId="0" borderId="0"/>
    <xf numFmtId="183" fontId="55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205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0" fontId="18" fillId="0" borderId="0"/>
    <xf numFmtId="0" fontId="18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90" fontId="64" fillId="0" borderId="0"/>
    <xf numFmtId="190" fontId="64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190" fontId="64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207" fontId="18" fillId="0" borderId="0"/>
    <xf numFmtId="0" fontId="65" fillId="0" borderId="0"/>
    <xf numFmtId="0" fontId="65" fillId="0" borderId="0"/>
    <xf numFmtId="0" fontId="65" fillId="0" borderId="0"/>
    <xf numFmtId="0" fontId="65" fillId="0" borderId="0"/>
    <xf numFmtId="208" fontId="60" fillId="0" borderId="0"/>
    <xf numFmtId="208" fontId="60" fillId="0" borderId="0"/>
    <xf numFmtId="208" fontId="61" fillId="0" borderId="0"/>
    <xf numFmtId="208" fontId="61" fillId="0" borderId="0"/>
    <xf numFmtId="208" fontId="60" fillId="0" borderId="0"/>
    <xf numFmtId="208" fontId="61" fillId="0" borderId="0"/>
    <xf numFmtId="208" fontId="61" fillId="0" borderId="0"/>
    <xf numFmtId="208" fontId="61" fillId="0" borderId="0"/>
    <xf numFmtId="0" fontId="18" fillId="0" borderId="0"/>
    <xf numFmtId="0" fontId="1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0" fillId="0" borderId="0"/>
    <xf numFmtId="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0" fillId="0" borderId="0"/>
    <xf numFmtId="0" fontId="60" fillId="0" borderId="0"/>
    <xf numFmtId="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0" fillId="0" borderId="0"/>
    <xf numFmtId="0" fontId="61" fillId="0" borderId="0"/>
    <xf numFmtId="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61" fillId="0" borderId="0"/>
    <xf numFmtId="0" fontId="6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5" fontId="55" fillId="0" borderId="0"/>
    <xf numFmtId="205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206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98" fontId="55" fillId="0" borderId="0"/>
    <xf numFmtId="198" fontId="55" fillId="0" borderId="0"/>
    <xf numFmtId="198" fontId="55" fillId="0" borderId="0"/>
    <xf numFmtId="19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6" fillId="0" borderId="0" applyAlignment="1">
      <alignment vertical="center"/>
    </xf>
    <xf numFmtId="185" fontId="55" fillId="0" borderId="0"/>
    <xf numFmtId="0" fontId="56" fillId="0" borderId="0" applyAlignment="1">
      <alignment vertical="center"/>
    </xf>
    <xf numFmtId="185" fontId="55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185" fontId="55" fillId="0" borderId="0"/>
    <xf numFmtId="185" fontId="55" fillId="0" borderId="0"/>
    <xf numFmtId="185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5" fontId="55" fillId="0" borderId="0"/>
    <xf numFmtId="185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85" fontId="55" fillId="0" borderId="0"/>
    <xf numFmtId="185" fontId="55" fillId="0" borderId="0"/>
    <xf numFmtId="0" fontId="18" fillId="0" borderId="0"/>
    <xf numFmtId="185" fontId="55" fillId="0" borderId="0"/>
    <xf numFmtId="0" fontId="18" fillId="0" borderId="0"/>
    <xf numFmtId="185" fontId="55" fillId="0" borderId="0"/>
    <xf numFmtId="0" fontId="18" fillId="0" borderId="0"/>
    <xf numFmtId="185" fontId="55" fillId="0" borderId="0"/>
    <xf numFmtId="0" fontId="18" fillId="0" borderId="0"/>
    <xf numFmtId="185" fontId="55" fillId="0" borderId="0"/>
    <xf numFmtId="0" fontId="18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185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0" fontId="66" fillId="0" borderId="0" applyAlignment="1">
      <alignment vertical="top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56" fillId="0" borderId="0" applyAlignment="1">
      <alignment vertical="center"/>
    </xf>
    <xf numFmtId="0" fontId="67" fillId="0" borderId="1"/>
    <xf numFmtId="0" fontId="67" fillId="0" borderId="1"/>
    <xf numFmtId="0" fontId="67" fillId="0" borderId="1"/>
    <xf numFmtId="0" fontId="67" fillId="0" borderId="1"/>
    <xf numFmtId="0" fontId="67" fillId="0" borderId="1"/>
    <xf numFmtId="0" fontId="68" fillId="0" borderId="2" applyAlignment="1">
      <alignment horizontal="center"/>
    </xf>
    <xf numFmtId="0" fontId="68" fillId="0" borderId="2" applyAlignment="1">
      <alignment horizontal="center"/>
    </xf>
    <xf numFmtId="0" fontId="68" fillId="0" borderId="2" applyAlignment="1">
      <alignment horizontal="center"/>
    </xf>
    <xf numFmtId="0" fontId="68" fillId="0" borderId="2" applyAlignment="1">
      <alignment horizontal="center"/>
    </xf>
    <xf numFmtId="0" fontId="68" fillId="0" borderId="2" applyAlignment="1">
      <alignment horizontal="center"/>
    </xf>
    <xf numFmtId="0" fontId="68" fillId="0" borderId="0" applyAlignment="1">
      <alignment horizontal="left"/>
    </xf>
    <xf numFmtId="0" fontId="69" fillId="0" borderId="0" applyAlignment="1">
      <alignment horizontal="centerContinuous"/>
    </xf>
    <xf numFmtId="0" fontId="55" fillId="0" borderId="0"/>
    <xf numFmtId="0" fontId="55" fillId="0" borderId="0"/>
    <xf numFmtId="0" fontId="55" fillId="0" borderId="0"/>
    <xf numFmtId="0" fontId="5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46" fillId="0" borderId="0"/>
    <xf numFmtId="0" fontId="46" fillId="0" borderId="0"/>
    <xf numFmtId="0" fontId="18" fillId="0" borderId="0"/>
    <xf numFmtId="0" fontId="18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18" fillId="0" borderId="0"/>
    <xf numFmtId="178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46" fillId="0" borderId="0"/>
    <xf numFmtId="0" fontId="46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178" fontId="55" fillId="0" borderId="0"/>
    <xf numFmtId="209" fontId="70" fillId="0" borderId="0"/>
    <xf numFmtId="209" fontId="70" fillId="0" borderId="0"/>
    <xf numFmtId="209" fontId="70" fillId="0" borderId="0"/>
    <xf numFmtId="210" fontId="70" fillId="0" borderId="0"/>
    <xf numFmtId="210" fontId="70" fillId="0" borderId="0"/>
    <xf numFmtId="210" fontId="70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211" fontId="71" fillId="0" borderId="0"/>
    <xf numFmtId="211" fontId="71" fillId="0" borderId="0"/>
    <xf numFmtId="211" fontId="71" fillId="0" borderId="0"/>
    <xf numFmtId="9" fontId="18" fillId="0" borderId="0"/>
    <xf numFmtId="9" fontId="55" fillId="0" borderId="0"/>
    <xf numFmtId="9" fontId="55" fillId="0" borderId="0"/>
    <xf numFmtId="9" fontId="18" fillId="0" borderId="0"/>
    <xf numFmtId="9" fontId="18" fillId="0" borderId="0"/>
    <xf numFmtId="169" fontId="71" fillId="0" borderId="0"/>
    <xf numFmtId="169" fontId="71" fillId="0" borderId="0"/>
    <xf numFmtId="169" fontId="71" fillId="0" borderId="0"/>
    <xf numFmtId="177" fontId="71" fillId="0" borderId="0"/>
    <xf numFmtId="177" fontId="55" fillId="0" borderId="0"/>
    <xf numFmtId="177" fontId="55" fillId="0" borderId="0"/>
    <xf numFmtId="177" fontId="71" fillId="0" borderId="0"/>
    <xf numFmtId="177" fontId="71" fillId="0" borderId="0"/>
    <xf numFmtId="2" fontId="71" fillId="0" borderId="0"/>
    <xf numFmtId="2" fontId="71" fillId="0" borderId="0"/>
    <xf numFmtId="2" fontId="71" fillId="0" borderId="0"/>
    <xf numFmtId="10" fontId="71" fillId="0" borderId="0"/>
    <xf numFmtId="10" fontId="55" fillId="0" borderId="0"/>
    <xf numFmtId="10" fontId="55" fillId="0" borderId="0"/>
    <xf numFmtId="10" fontId="71" fillId="0" borderId="0"/>
    <xf numFmtId="10" fontId="71" fillId="0" borderId="0"/>
    <xf numFmtId="204" fontId="55" fillId="0" borderId="0"/>
    <xf numFmtId="204" fontId="55" fillId="0" borderId="0"/>
    <xf numFmtId="3" fontId="55" fillId="0" borderId="0"/>
    <xf numFmtId="3" fontId="55" fillId="0" borderId="0"/>
    <xf numFmtId="212" fontId="55" fillId="0" borderId="0"/>
    <xf numFmtId="212" fontId="55" fillId="0" borderId="0"/>
    <xf numFmtId="39" fontId="56" fillId="0" borderId="0"/>
    <xf numFmtId="39" fontId="56" fillId="0" borderId="0"/>
    <xf numFmtId="0" fontId="180" fillId="3" borderId="0"/>
    <xf numFmtId="0" fontId="180" fillId="4" borderId="0"/>
    <xf numFmtId="0" fontId="180" fillId="5" borderId="0"/>
    <xf numFmtId="0" fontId="180" fillId="6" borderId="0"/>
    <xf numFmtId="0" fontId="180" fillId="2" borderId="0"/>
    <xf numFmtId="0" fontId="180" fillId="7" borderId="0"/>
    <xf numFmtId="0" fontId="180" fillId="8" borderId="0"/>
    <xf numFmtId="0" fontId="180" fillId="4" borderId="0"/>
    <xf numFmtId="0" fontId="180" fillId="3" borderId="0"/>
    <xf numFmtId="0" fontId="180" fillId="9" borderId="0"/>
    <xf numFmtId="0" fontId="180" fillId="5" borderId="0"/>
    <xf numFmtId="0" fontId="180" fillId="6" borderId="0"/>
    <xf numFmtId="0" fontId="180" fillId="4" borderId="0"/>
    <xf numFmtId="0" fontId="180" fillId="10" borderId="0"/>
    <xf numFmtId="0" fontId="180" fillId="10" borderId="0"/>
    <xf numFmtId="0" fontId="180" fillId="4" borderId="0"/>
    <xf numFmtId="0" fontId="180" fillId="9" borderId="0"/>
    <xf numFmtId="0" fontId="180" fillId="5" borderId="0"/>
    <xf numFmtId="213" fontId="56" fillId="0" borderId="0"/>
    <xf numFmtId="213" fontId="56" fillId="0" borderId="0"/>
    <xf numFmtId="0" fontId="180" fillId="11" borderId="0"/>
    <xf numFmtId="0" fontId="180" fillId="12" borderId="0"/>
    <xf numFmtId="0" fontId="180" fillId="5" borderId="0"/>
    <xf numFmtId="0" fontId="180" fillId="13" borderId="0"/>
    <xf numFmtId="0" fontId="180" fillId="2" borderId="0"/>
    <xf numFmtId="0" fontId="180" fillId="11" borderId="0"/>
    <xf numFmtId="0" fontId="180" fillId="12" borderId="0"/>
    <xf numFmtId="0" fontId="180" fillId="11" borderId="0"/>
    <xf numFmtId="0" fontId="180" fillId="14" borderId="0"/>
    <xf numFmtId="0" fontId="180" fillId="5" borderId="0"/>
    <xf numFmtId="0" fontId="180" fillId="12" borderId="0"/>
    <xf numFmtId="0" fontId="180" fillId="10" borderId="0"/>
    <xf numFmtId="0" fontId="180" fillId="10" borderId="0"/>
    <xf numFmtId="0" fontId="180" fillId="12" borderId="0"/>
    <xf numFmtId="0" fontId="180" fillId="14" borderId="0"/>
    <xf numFmtId="0" fontId="180" fillId="5" borderId="0"/>
    <xf numFmtId="0" fontId="23" fillId="7" borderId="0"/>
    <xf numFmtId="0" fontId="23" fillId="15" borderId="0"/>
    <xf numFmtId="0" fontId="23" fillId="5" borderId="0"/>
    <xf numFmtId="0" fontId="23" fillId="13" borderId="0"/>
    <xf numFmtId="0" fontId="23" fillId="2" borderId="0"/>
    <xf numFmtId="0" fontId="23" fillId="16" borderId="0"/>
    <xf numFmtId="0" fontId="23" fillId="12" borderId="0"/>
    <xf numFmtId="0" fontId="23" fillId="7" borderId="0"/>
    <xf numFmtId="0" fontId="23" fillId="15" borderId="0"/>
    <xf numFmtId="0" fontId="23" fillId="5" borderId="0"/>
    <xf numFmtId="0" fontId="23" fillId="15" borderId="0"/>
    <xf numFmtId="0" fontId="23" fillId="10" borderId="0"/>
    <xf numFmtId="0" fontId="23" fillId="10" borderId="0"/>
    <xf numFmtId="0" fontId="23" fillId="12" borderId="0"/>
    <xf numFmtId="0" fontId="23" fillId="15" borderId="0"/>
    <xf numFmtId="0" fontId="23" fillId="5" borderId="0"/>
    <xf numFmtId="37" fontId="72" fillId="0" borderId="0" applyAlignment="1">
      <alignment horizontal="center"/>
    </xf>
    <xf numFmtId="0" fontId="180" fillId="18" borderId="0"/>
    <xf numFmtId="0" fontId="180" fillId="19" borderId="0"/>
    <xf numFmtId="0" fontId="23" fillId="20" borderId="0"/>
    <xf numFmtId="0" fontId="23" fillId="21" borderId="0"/>
    <xf numFmtId="0" fontId="23" fillId="15" borderId="0"/>
    <xf numFmtId="0" fontId="180" fillId="23" borderId="0"/>
    <xf numFmtId="0" fontId="180" fillId="24" borderId="0"/>
    <xf numFmtId="0" fontId="23" fillId="25" borderId="0"/>
    <xf numFmtId="0" fontId="23" fillId="10" borderId="0"/>
    <xf numFmtId="0" fontId="180" fillId="26" borderId="0"/>
    <xf numFmtId="0" fontId="180" fillId="27" borderId="0"/>
    <xf numFmtId="0" fontId="23" fillId="28" borderId="0"/>
    <xf numFmtId="0" fontId="23" fillId="29" borderId="0"/>
    <xf numFmtId="0" fontId="180" fillId="27" borderId="0"/>
    <xf numFmtId="0" fontId="180" fillId="28" borderId="0"/>
    <xf numFmtId="0" fontId="23" fillId="28" borderId="0"/>
    <xf numFmtId="0" fontId="23" fillId="31" borderId="0"/>
    <xf numFmtId="0" fontId="180" fillId="18" borderId="0"/>
    <xf numFmtId="0" fontId="180" fillId="19" borderId="0"/>
    <xf numFmtId="0" fontId="23" fillId="19" borderId="0"/>
    <xf numFmtId="0" fontId="23" fillId="15" borderId="0"/>
    <xf numFmtId="0" fontId="180" fillId="34" borderId="0"/>
    <xf numFmtId="0" fontId="180" fillId="24" borderId="0"/>
    <xf numFmtId="0" fontId="23" fillId="35" borderId="0"/>
    <xf numFmtId="0" fontId="23" fillId="36" borderId="0"/>
    <xf numFmtId="214" fontId="18" fillId="0" borderId="0"/>
    <xf numFmtId="214" fontId="18" fillId="0" borderId="0"/>
    <xf numFmtId="214" fontId="18" fillId="0" borderId="0"/>
    <xf numFmtId="215" fontId="18" fillId="0" borderId="0"/>
    <xf numFmtId="215" fontId="18" fillId="0" borderId="0"/>
    <xf numFmtId="215" fontId="18" fillId="0" borderId="0"/>
    <xf numFmtId="216" fontId="18" fillId="0" borderId="0"/>
    <xf numFmtId="173" fontId="73" fillId="37" borderId="0" applyAlignment="1">
      <alignment horizontal="right"/>
    </xf>
    <xf numFmtId="173" fontId="73" fillId="37" borderId="0" applyAlignment="1">
      <alignment horizontal="right"/>
    </xf>
    <xf numFmtId="173" fontId="73" fillId="37" borderId="0" applyAlignment="1">
      <alignment horizontal="right"/>
    </xf>
    <xf numFmtId="217" fontId="74" fillId="37" borderId="3" applyAlignment="1">
      <alignment horizontal="right"/>
    </xf>
    <xf numFmtId="217" fontId="74" fillId="37" borderId="3" applyAlignment="1">
      <alignment horizontal="right"/>
    </xf>
    <xf numFmtId="217" fontId="74" fillId="37" borderId="3" applyAlignment="1">
      <alignment horizontal="right"/>
    </xf>
    <xf numFmtId="0" fontId="198" fillId="0" borderId="0"/>
    <xf numFmtId="0" fontId="198" fillId="0" borderId="0"/>
    <xf numFmtId="0" fontId="18" fillId="0" borderId="0"/>
    <xf numFmtId="0" fontId="18" fillId="0" borderId="0"/>
    <xf numFmtId="218" fontId="75" fillId="0" borderId="0"/>
    <xf numFmtId="218" fontId="75" fillId="0" borderId="0"/>
    <xf numFmtId="219" fontId="46" fillId="0" borderId="0"/>
    <xf numFmtId="219" fontId="46" fillId="0" borderId="0"/>
    <xf numFmtId="0" fontId="76" fillId="0" borderId="4"/>
    <xf numFmtId="0" fontId="18" fillId="0" borderId="4"/>
    <xf numFmtId="0" fontId="18" fillId="0" borderId="4"/>
    <xf numFmtId="0" fontId="77" fillId="0" borderId="4"/>
    <xf numFmtId="0" fontId="78" fillId="0" borderId="4"/>
    <xf numFmtId="0" fontId="198" fillId="0" borderId="4"/>
    <xf numFmtId="1" fontId="71" fillId="38" borderId="0"/>
    <xf numFmtId="1" fontId="71" fillId="38" borderId="0"/>
    <xf numFmtId="1" fontId="71" fillId="38" borderId="0"/>
    <xf numFmtId="0" fontId="79" fillId="39" borderId="0"/>
    <xf numFmtId="0" fontId="80" fillId="39" borderId="0"/>
    <xf numFmtId="0" fontId="81" fillId="0" borderId="0"/>
    <xf numFmtId="0" fontId="82" fillId="0" borderId="0"/>
    <xf numFmtId="0" fontId="83" fillId="0" borderId="0"/>
    <xf numFmtId="220" fontId="70" fillId="0" borderId="0"/>
    <xf numFmtId="0" fontId="84" fillId="0" borderId="5"/>
    <xf numFmtId="221" fontId="70" fillId="0" borderId="0"/>
    <xf numFmtId="221" fontId="70" fillId="0" borderId="0"/>
    <xf numFmtId="221" fontId="70" fillId="0" borderId="0"/>
    <xf numFmtId="0" fontId="85" fillId="41" borderId="0"/>
    <xf numFmtId="7" fontId="55" fillId="0" borderId="0" applyAlignment="1">
      <alignment horizontal="center"/>
    </xf>
    <xf numFmtId="7" fontId="55" fillId="0" borderId="0" applyAlignment="1">
      <alignment horizontal="center"/>
    </xf>
    <xf numFmtId="1" fontId="86" fillId="42" borderId="0" applyAlignment="1" applyProtection="1">
      <alignment horizontal="right"/>
      <protection locked="0" hidden="0"/>
    </xf>
    <xf numFmtId="1" fontId="86" fillId="42" borderId="0" applyAlignment="1" applyProtection="1">
      <alignment horizontal="right"/>
      <protection locked="0" hidden="0"/>
    </xf>
    <xf numFmtId="1" fontId="86" fillId="42" borderId="0" applyAlignment="1" applyProtection="1">
      <alignment horizontal="right"/>
      <protection locked="0" hidden="0"/>
    </xf>
    <xf numFmtId="2" fontId="198" fillId="43" borderId="0"/>
    <xf numFmtId="2" fontId="198" fillId="43" borderId="0"/>
    <xf numFmtId="39" fontId="18" fillId="0" borderId="0"/>
    <xf numFmtId="39" fontId="18" fillId="0" borderId="0"/>
    <xf numFmtId="39" fontId="18" fillId="0" borderId="0"/>
    <xf numFmtId="0" fontId="87" fillId="9" borderId="181"/>
    <xf numFmtId="0" fontId="87" fillId="4" borderId="181"/>
    <xf numFmtId="0" fontId="39" fillId="4" borderId="181"/>
    <xf numFmtId="1" fontId="88" fillId="0" borderId="0"/>
    <xf numFmtId="0" fontId="27" fillId="16" borderId="8"/>
    <xf numFmtId="0" fontId="27" fillId="45" borderId="7"/>
    <xf numFmtId="0" fontId="77" fillId="46" borderId="9"/>
    <xf numFmtId="0" fontId="77" fillId="46" borderId="9"/>
    <xf numFmtId="0" fontId="198" fillId="0" borderId="10"/>
    <xf numFmtId="0" fontId="198" fillId="0" borderId="10"/>
    <xf numFmtId="0" fontId="89" fillId="0" borderId="5" applyAlignment="1">
      <alignment horizontal="left" vertical="center"/>
    </xf>
    <xf numFmtId="0" fontId="18" fillId="0" borderId="0" applyAlignment="1" applyProtection="1">
      <alignment horizontal="center" wrapText="1"/>
      <protection locked="1" hidden="1"/>
    </xf>
    <xf numFmtId="0" fontId="71" fillId="0" borderId="0" applyAlignment="1" applyProtection="1">
      <alignment horizontal="center" wrapText="1"/>
      <protection locked="1" hidden="1"/>
    </xf>
    <xf numFmtId="0" fontId="71" fillId="0" borderId="0" applyAlignment="1" applyProtection="1">
      <alignment horizontal="center" wrapText="1"/>
      <protection locked="1" hidden="1"/>
    </xf>
    <xf numFmtId="0" fontId="18" fillId="0" borderId="0" applyAlignment="1" applyProtection="1">
      <alignment horizontal="center" wrapText="1"/>
      <protection locked="1" hidden="1"/>
    </xf>
    <xf numFmtId="0" fontId="18" fillId="0" borderId="0" applyAlignment="1" applyProtection="1">
      <alignment horizontal="center" wrapText="1"/>
      <protection locked="1" hidden="1"/>
    </xf>
    <xf numFmtId="0" fontId="90" fillId="0" borderId="11" applyAlignment="1">
      <alignment horizontal="center" vertical="center"/>
    </xf>
    <xf numFmtId="0" fontId="91" fillId="0" borderId="5" applyAlignment="1">
      <alignment horizontal="right" vertical="center"/>
    </xf>
    <xf numFmtId="0" fontId="91" fillId="0" borderId="5" applyAlignment="1">
      <alignment horizontal="right" vertical="center"/>
    </xf>
    <xf numFmtId="0" fontId="91" fillId="0" borderId="5" applyAlignment="1">
      <alignment horizontal="right" vertical="center"/>
    </xf>
    <xf numFmtId="0" fontId="92" fillId="42" borderId="0" applyAlignment="1">
      <alignment horizontal="right"/>
    </xf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222" fontId="93" fillId="0" borderId="0"/>
    <xf numFmtId="0" fontId="55" fillId="0" borderId="0"/>
    <xf numFmtId="0" fontId="55" fillId="0" borderId="0"/>
    <xf numFmtId="41" fontId="18" fillId="0" borderId="0"/>
    <xf numFmtId="41" fontId="18" fillId="0" borderId="0"/>
    <xf numFmtId="223" fontId="94" fillId="0" borderId="0" applyAlignment="1">
      <alignment horizontal="right"/>
    </xf>
    <xf numFmtId="224" fontId="94" fillId="0" borderId="0" applyAlignment="1">
      <alignment horizontal="right"/>
    </xf>
    <xf numFmtId="43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204" fontId="64" fillId="0" borderId="0"/>
    <xf numFmtId="204" fontId="64" fillId="0" borderId="0"/>
    <xf numFmtId="204" fontId="64" fillId="0" borderId="0"/>
    <xf numFmtId="39" fontId="18" fillId="0" borderId="0"/>
    <xf numFmtId="39" fontId="18" fillId="0" borderId="0"/>
    <xf numFmtId="0" fontId="95" fillId="0" borderId="0"/>
    <xf numFmtId="0" fontId="60" fillId="0" borderId="0"/>
    <xf numFmtId="0" fontId="95" fillId="0" borderId="0"/>
    <xf numFmtId="0" fontId="60" fillId="0" borderId="0"/>
    <xf numFmtId="0" fontId="18" fillId="47" borderId="0" applyAlignment="1">
      <alignment horizontal="center" vertical="center" wrapText="1"/>
    </xf>
    <xf numFmtId="0" fontId="96" fillId="47" borderId="0" applyAlignment="1">
      <alignment horizontal="center" vertical="center" wrapText="1"/>
    </xf>
    <xf numFmtId="0" fontId="18" fillId="47" borderId="0" applyAlignment="1">
      <alignment horizontal="center" vertical="center" wrapText="1"/>
    </xf>
    <xf numFmtId="0" fontId="18" fillId="47" borderId="0" applyAlignment="1">
      <alignment horizontal="center" vertical="center" wrapText="1"/>
    </xf>
    <xf numFmtId="0" fontId="18" fillId="47" borderId="0" applyAlignment="1">
      <alignment horizontal="center" vertical="center" wrapText="1"/>
    </xf>
    <xf numFmtId="0" fontId="97" fillId="0" borderId="0" applyAlignment="1">
      <alignment horizontal="right"/>
    </xf>
    <xf numFmtId="0" fontId="18" fillId="47" borderId="0" applyAlignment="1">
      <alignment horizontal="center" vertical="center" wrapText="1"/>
    </xf>
    <xf numFmtId="225" fontId="98" fillId="0" borderId="0" applyAlignment="1">
      <alignment horizontal="left"/>
    </xf>
    <xf numFmtId="225" fontId="98" fillId="0" borderId="0" applyAlignment="1">
      <alignment horizontal="left"/>
    </xf>
    <xf numFmtId="225" fontId="98" fillId="0" borderId="0" applyAlignment="1">
      <alignment horizontal="left"/>
    </xf>
    <xf numFmtId="226" fontId="99" fillId="48" borderId="0" applyAlignment="1">
      <alignment horizontal="left"/>
    </xf>
    <xf numFmtId="227" fontId="18" fillId="0" borderId="0"/>
    <xf numFmtId="228" fontId="18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228" fontId="18" fillId="0" borderId="0" applyAlignment="1" applyProtection="1">
      <alignment horizontal="right"/>
      <protection locked="0" hidden="0"/>
    </xf>
    <xf numFmtId="228" fontId="18" fillId="0" borderId="0" applyAlignment="1" applyProtection="1">
      <alignment horizontal="right"/>
      <protection locked="0" hidden="0"/>
    </xf>
    <xf numFmtId="8" fontId="18" fillId="0" borderId="12" applyProtection="1">
      <protection locked="0" hidden="0"/>
    </xf>
    <xf numFmtId="8" fontId="18" fillId="0" borderId="12" applyProtection="1">
      <protection locked="0" hidden="0"/>
    </xf>
    <xf numFmtId="8" fontId="18" fillId="0" borderId="12" applyProtection="1">
      <protection locked="0" hidden="0"/>
    </xf>
    <xf numFmtId="229" fontId="94" fillId="0" borderId="0" applyAlignment="1">
      <alignment horizontal="right"/>
    </xf>
    <xf numFmtId="230" fontId="94" fillId="0" borderId="0" applyAlignment="1">
      <alignment horizontal="right"/>
    </xf>
    <xf numFmtId="0" fontId="18" fillId="0" borderId="0"/>
    <xf numFmtId="0" fontId="18" fillId="0" borderId="0"/>
    <xf numFmtId="0" fontId="18" fillId="0" borderId="0"/>
    <xf numFmtId="177" fontId="18" fillId="0" borderId="0"/>
    <xf numFmtId="177" fontId="18" fillId="0" borderId="0"/>
    <xf numFmtId="177" fontId="18" fillId="0" borderId="0"/>
    <xf numFmtId="9" fontId="18" fillId="0" borderId="0"/>
    <xf numFmtId="9" fontId="18" fillId="0" borderId="0"/>
    <xf numFmtId="9" fontId="18" fillId="0" borderId="0"/>
    <xf numFmtId="231" fontId="70" fillId="0" borderId="0"/>
    <xf numFmtId="231" fontId="70" fillId="0" borderId="0"/>
    <xf numFmtId="231" fontId="70" fillId="0" borderId="0"/>
    <xf numFmtId="17" fontId="46" fillId="0" borderId="0"/>
    <xf numFmtId="17" fontId="46" fillId="0" borderId="0"/>
    <xf numFmtId="232" fontId="94" fillId="0" borderId="0"/>
    <xf numFmtId="17" fontId="46" fillId="0" borderId="0"/>
    <xf numFmtId="233" fontId="70" fillId="0" borderId="0"/>
    <xf numFmtId="233" fontId="70" fillId="0" borderId="0"/>
    <xf numFmtId="233" fontId="70" fillId="0" borderId="0"/>
    <xf numFmtId="234" fontId="100" fillId="0" borderId="0" applyAlignment="1">
      <alignment horizontal="center"/>
    </xf>
    <xf numFmtId="1" fontId="70" fillId="0" borderId="0" applyAlignment="1">
      <alignment horizontal="right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235" fontId="102" fillId="0" borderId="0" applyAlignment="1">
      <alignment horizontal="right"/>
    </xf>
    <xf numFmtId="235" fontId="102" fillId="0" borderId="0" applyAlignment="1">
      <alignment horizontal="right"/>
    </xf>
    <xf numFmtId="235" fontId="102" fillId="0" borderId="0" applyAlignment="1">
      <alignment horizontal="right"/>
    </xf>
    <xf numFmtId="5" fontId="186" fillId="0" borderId="0" applyProtection="1">
      <protection locked="0" hidden="0"/>
    </xf>
    <xf numFmtId="236" fontId="94" fillId="0" borderId="13"/>
    <xf numFmtId="177" fontId="103" fillId="0" borderId="14" applyAlignment="1">
      <alignment vertical="top"/>
    </xf>
    <xf numFmtId="0" fontId="28" fillId="49" borderId="0"/>
    <xf numFmtId="0" fontId="28" fillId="50" borderId="0"/>
    <xf numFmtId="0" fontId="28" fillId="51" borderId="0"/>
    <xf numFmtId="0" fontId="104" fillId="0" borderId="0" applyProtection="1">
      <protection locked="0" hidden="0"/>
    </xf>
    <xf numFmtId="0" fontId="104" fillId="0" borderId="0" applyProtection="1">
      <protection locked="0" hidden="0"/>
    </xf>
    <xf numFmtId="0" fontId="104" fillId="0" borderId="0" applyProtection="1">
      <protection locked="0" hidden="0"/>
    </xf>
    <xf numFmtId="0" fontId="104" fillId="0" borderId="0" applyProtection="1">
      <protection locked="0" hidden="0"/>
    </xf>
    <xf numFmtId="0" fontId="104" fillId="0" borderId="0" applyProtection="1">
      <protection locked="0" hidden="0"/>
    </xf>
    <xf numFmtId="0" fontId="104" fillId="0" borderId="0" applyProtection="1">
      <protection locked="0" hidden="0"/>
    </xf>
    <xf numFmtId="0" fontId="23" fillId="15" borderId="0"/>
    <xf numFmtId="0" fontId="23" fillId="52" borderId="0"/>
    <xf numFmtId="0" fontId="23" fillId="52" borderId="0"/>
    <xf numFmtId="0" fontId="23" fillId="31" borderId="0"/>
    <xf numFmtId="0" fontId="23" fillId="15" borderId="0"/>
    <xf numFmtId="0" fontId="23" fillId="53" borderId="0"/>
    <xf numFmtId="0" fontId="81" fillId="54" borderId="15" applyProtection="1">
      <protection locked="0" hidden="0"/>
    </xf>
    <xf numFmtId="0" fontId="81" fillId="54" borderId="15" applyProtection="1">
      <protection locked="0" hidden="0"/>
    </xf>
    <xf numFmtId="3" fontId="105" fillId="55" borderId="0"/>
    <xf numFmtId="237" fontId="18" fillId="0" borderId="0"/>
    <xf numFmtId="237" fontId="18" fillId="0" borderId="0"/>
    <xf numFmtId="237" fontId="18" fillId="0" borderId="0"/>
    <xf numFmtId="0" fontId="43" fillId="0" borderId="0"/>
    <xf numFmtId="238" fontId="198" fillId="56" borderId="16" applyAlignment="1">
      <alignment horizontal="right"/>
    </xf>
    <xf numFmtId="238" fontId="198" fillId="56" borderId="16" applyAlignment="1">
      <alignment horizontal="right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239" fontId="106" fillId="44" borderId="17" applyAlignment="1">
      <alignment horizontal="left"/>
    </xf>
    <xf numFmtId="239" fontId="106" fillId="44" borderId="17" applyAlignment="1">
      <alignment horizontal="left"/>
    </xf>
    <xf numFmtId="239" fontId="106" fillId="44" borderId="17" applyAlignment="1">
      <alignment horizontal="left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240" fontId="70" fillId="0" borderId="0" applyAlignment="1">
      <alignment horizontal="right"/>
    </xf>
    <xf numFmtId="240" fontId="70" fillId="0" borderId="0" applyAlignment="1">
      <alignment horizontal="right"/>
    </xf>
    <xf numFmtId="240" fontId="70" fillId="0" borderId="0" applyAlignment="1">
      <alignment horizontal="right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241" fontId="70" fillId="0" borderId="0"/>
    <xf numFmtId="0" fontId="46" fillId="0" borderId="0"/>
    <xf numFmtId="0" fontId="46" fillId="0" borderId="0"/>
    <xf numFmtId="241" fontId="70" fillId="0" borderId="0"/>
    <xf numFmtId="241" fontId="70" fillId="0" borderId="0"/>
    <xf numFmtId="0" fontId="107" fillId="0" borderId="0" applyAlignment="1">
      <alignment horizontal="left"/>
    </xf>
    <xf numFmtId="0" fontId="108" fillId="0" borderId="0"/>
    <xf numFmtId="1" fontId="198" fillId="0" borderId="0"/>
    <xf numFmtId="1" fontId="198" fillId="0" borderId="0"/>
    <xf numFmtId="9" fontId="55" fillId="57" borderId="0" applyProtection="1">
      <protection locked="0" hidden="0"/>
    </xf>
    <xf numFmtId="9" fontId="55" fillId="57" borderId="0" applyProtection="1">
      <protection locked="0" hidden="0"/>
    </xf>
    <xf numFmtId="9" fontId="55" fillId="57" borderId="0" applyProtection="1">
      <protection locked="0" hidden="0"/>
    </xf>
    <xf numFmtId="242" fontId="77" fillId="0" borderId="0"/>
    <xf numFmtId="243" fontId="109" fillId="0" borderId="0" applyAlignment="1">
      <alignment vertical="center"/>
    </xf>
    <xf numFmtId="0" fontId="110" fillId="0" borderId="0"/>
    <xf numFmtId="0" fontId="29" fillId="40" borderId="0"/>
    <xf numFmtId="38" fontId="198" fillId="59" borderId="0"/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75" fillId="0" borderId="0" applyAlignment="1">
      <alignment horizontal="right"/>
    </xf>
    <xf numFmtId="49" fontId="111" fillId="0" borderId="0" applyAlignment="1">
      <alignment horizontal="right"/>
    </xf>
    <xf numFmtId="243" fontId="112" fillId="0" borderId="0" applyAlignment="1">
      <alignment vertical="center"/>
    </xf>
    <xf numFmtId="244" fontId="94" fillId="0" borderId="0" applyAlignment="1">
      <alignment horizontal="right"/>
    </xf>
    <xf numFmtId="0" fontId="113" fillId="60" borderId="0" applyAlignment="1">
      <alignment horizontal="left" vertical="center"/>
    </xf>
    <xf numFmtId="0" fontId="113" fillId="60" borderId="0" applyAlignment="1">
      <alignment horizontal="left" vertical="center"/>
    </xf>
    <xf numFmtId="0" fontId="113" fillId="60" borderId="0" applyAlignment="1">
      <alignment horizontal="left" vertical="center"/>
    </xf>
    <xf numFmtId="0" fontId="114" fillId="1" borderId="0" applyAlignment="1">
      <alignment horizontal="left" vertical="center"/>
    </xf>
    <xf numFmtId="0" fontId="114" fillId="1" borderId="0" applyAlignment="1">
      <alignment horizontal="left" vertical="center"/>
    </xf>
    <xf numFmtId="0" fontId="114" fillId="1" borderId="0" applyAlignment="1">
      <alignment horizontal="left" vertical="center"/>
    </xf>
    <xf numFmtId="0" fontId="115" fillId="0" borderId="0" applyAlignment="1">
      <alignment horizontal="right"/>
    </xf>
    <xf numFmtId="0" fontId="53" fillId="0" borderId="18" applyAlignment="1">
      <alignment horizontal="left" vertical="center"/>
    </xf>
    <xf numFmtId="0" fontId="53" fillId="0" borderId="3" applyAlignment="1">
      <alignment horizontal="left" vertical="center"/>
    </xf>
    <xf numFmtId="0" fontId="116" fillId="0" borderId="3"/>
    <xf numFmtId="0" fontId="30" fillId="0" borderId="20"/>
    <xf numFmtId="0" fontId="30" fillId="0" borderId="21"/>
    <xf numFmtId="0" fontId="31" fillId="0" borderId="23"/>
    <xf numFmtId="0" fontId="31" fillId="0" borderId="22"/>
    <xf numFmtId="0" fontId="32" fillId="0" borderId="25"/>
    <xf numFmtId="0" fontId="32" fillId="0" borderId="26"/>
    <xf numFmtId="0" fontId="32" fillId="0" borderId="0"/>
    <xf numFmtId="0" fontId="53" fillId="0" borderId="0"/>
    <xf numFmtId="0" fontId="117" fillId="0" borderId="11"/>
    <xf numFmtId="0" fontId="118" fillId="0" borderId="11"/>
    <xf numFmtId="168" fontId="55" fillId="0" borderId="0" applyAlignment="1">
      <alignment horizontal="left"/>
    </xf>
    <xf numFmtId="168" fontId="55" fillId="0" borderId="0" applyAlignment="1">
      <alignment horizontal="left"/>
    </xf>
    <xf numFmtId="1" fontId="119" fillId="61" borderId="5" applyAlignment="1">
      <alignment horizontal="center"/>
    </xf>
    <xf numFmtId="0" fontId="120" fillId="0" borderId="0" applyAlignment="1" applyProtection="1">
      <alignment vertical="top"/>
      <protection locked="0" hidden="0"/>
    </xf>
    <xf numFmtId="0" fontId="120" fillId="0" borderId="0" applyAlignment="1" applyProtection="1">
      <alignment vertical="top"/>
      <protection locked="0" hidden="0"/>
    </xf>
    <xf numFmtId="0" fontId="120" fillId="0" borderId="0" applyAlignment="1" applyProtection="1">
      <alignment vertical="top"/>
      <protection locked="0" hidden="0"/>
    </xf>
    <xf numFmtId="0" fontId="121" fillId="0" borderId="0" applyAlignment="1" applyProtection="1">
      <alignment vertical="top"/>
      <protection locked="0" hidden="0"/>
    </xf>
    <xf numFmtId="0" fontId="121" fillId="0" borderId="0" applyAlignment="1" applyProtection="1">
      <alignment vertical="top"/>
      <protection locked="0" hidden="0"/>
    </xf>
    <xf numFmtId="0" fontId="81" fillId="0" borderId="0"/>
    <xf numFmtId="0" fontId="42" fillId="16" borderId="0"/>
    <xf numFmtId="10" fontId="198" fillId="42" borderId="170"/>
    <xf numFmtId="0" fontId="41" fillId="5" borderId="181"/>
    <xf numFmtId="0" fontId="71" fillId="62" borderId="0"/>
    <xf numFmtId="0" fontId="71" fillId="62" borderId="0"/>
    <xf numFmtId="0" fontId="71" fillId="62" borderId="0"/>
    <xf numFmtId="9" fontId="70" fillId="63" borderId="170" applyAlignment="1" applyProtection="1">
      <alignment horizontal="right"/>
      <protection locked="0" hidden="0"/>
    </xf>
    <xf numFmtId="9" fontId="70" fillId="63" borderId="170" applyAlignment="1" applyProtection="1">
      <alignment horizontal="right"/>
      <protection locked="0" hidden="0"/>
    </xf>
    <xf numFmtId="9" fontId="70" fillId="63" borderId="170" applyAlignment="1" applyProtection="1">
      <alignment horizontal="right"/>
      <protection locked="0" hidden="0"/>
    </xf>
    <xf numFmtId="0" fontId="18" fillId="0" borderId="0" applyAlignment="1" applyProtection="1">
      <alignment horizontal="right"/>
      <protection locked="0" hidden="0"/>
    </xf>
    <xf numFmtId="0" fontId="71" fillId="0" borderId="0" applyAlignment="1" applyProtection="1">
      <alignment horizontal="right"/>
      <protection locked="0" hidden="0"/>
    </xf>
    <xf numFmtId="0" fontId="71" fillId="0" borderId="0" applyAlignment="1" applyProtection="1">
      <alignment horizontal="right"/>
      <protection locked="0" hidden="0"/>
    </xf>
    <xf numFmtId="0" fontId="18" fillId="0" borderId="0" applyAlignment="1" applyProtection="1">
      <alignment horizontal="right"/>
      <protection locked="0" hidden="0"/>
    </xf>
    <xf numFmtId="0" fontId="18" fillId="0" borderId="0" applyAlignment="1" applyProtection="1">
      <alignment horizontal="right"/>
      <protection locked="0" hidden="0"/>
    </xf>
    <xf numFmtId="203" fontId="18" fillId="0" borderId="0" applyAlignment="1" applyProtection="1">
      <alignment horizontal="right"/>
      <protection locked="0" hidden="0"/>
    </xf>
    <xf numFmtId="0" fontId="18" fillId="0" borderId="0" applyAlignment="1" applyProtection="1">
      <alignment horizontal="right"/>
      <protection locked="0" hidden="0"/>
    </xf>
    <xf numFmtId="0" fontId="18" fillId="0" borderId="0" applyAlignment="1" applyProtection="1">
      <alignment horizontal="right"/>
      <protection locked="0" hidden="0"/>
    </xf>
    <xf numFmtId="203" fontId="18" fillId="0" borderId="0" applyAlignment="1" applyProtection="1">
      <alignment horizontal="right"/>
      <protection locked="0" hidden="0"/>
    </xf>
    <xf numFmtId="203" fontId="18" fillId="0" borderId="0" applyAlignment="1" applyProtection="1">
      <alignment horizontal="right"/>
      <protection locked="0" hidden="0"/>
    </xf>
    <xf numFmtId="245" fontId="122" fillId="64" borderId="0"/>
    <xf numFmtId="0" fontId="54" fillId="65" borderId="186" applyAlignment="1">
      <alignment horizontal="left" vertical="center" wrapText="1"/>
    </xf>
    <xf numFmtId="0" fontId="123" fillId="66" borderId="186" applyAlignment="1">
      <alignment horizontal="left" vertical="center" wrapText="1"/>
    </xf>
    <xf numFmtId="0" fontId="54" fillId="65" borderId="186" applyAlignment="1">
      <alignment horizontal="left" vertical="center" wrapText="1"/>
    </xf>
    <xf numFmtId="246" fontId="70" fillId="0" borderId="0" applyAlignment="1">
      <alignment horizontal="left"/>
    </xf>
    <xf numFmtId="246" fontId="18" fillId="0" borderId="0" applyAlignment="1">
      <alignment horizontal="left"/>
    </xf>
    <xf numFmtId="246" fontId="18" fillId="0" borderId="0" applyAlignment="1">
      <alignment horizontal="left"/>
    </xf>
    <xf numFmtId="246" fontId="70" fillId="0" borderId="0" applyAlignment="1">
      <alignment horizontal="left"/>
    </xf>
    <xf numFmtId="0" fontId="70" fillId="67" borderId="0"/>
    <xf numFmtId="37" fontId="124" fillId="0" borderId="0"/>
    <xf numFmtId="37" fontId="124" fillId="0" borderId="0"/>
    <xf numFmtId="37" fontId="124" fillId="0" borderId="0"/>
    <xf numFmtId="0" fontId="125" fillId="0" borderId="30"/>
    <xf numFmtId="0" fontId="126" fillId="0" borderId="0"/>
    <xf numFmtId="0" fontId="127" fillId="0" borderId="0"/>
    <xf numFmtId="247" fontId="128" fillId="64" borderId="0" applyAlignment="1">
      <alignment horizontal="right"/>
    </xf>
    <xf numFmtId="247" fontId="128" fillId="64" borderId="0" applyAlignment="1">
      <alignment horizontal="right"/>
    </xf>
    <xf numFmtId="247" fontId="128" fillId="64" borderId="0" applyAlignment="1">
      <alignment horizontal="right"/>
    </xf>
    <xf numFmtId="248" fontId="71" fillId="0" borderId="0"/>
    <xf numFmtId="248" fontId="71" fillId="0" borderId="0"/>
    <xf numFmtId="248" fontId="71" fillId="0" borderId="0"/>
    <xf numFmtId="0" fontId="18" fillId="0" borderId="0"/>
    <xf numFmtId="0" fontId="18" fillId="0" borderId="0"/>
    <xf numFmtId="38" fontId="71" fillId="0" borderId="0"/>
    <xf numFmtId="40" fontId="71" fillId="0" borderId="0"/>
    <xf numFmtId="0" fontId="56" fillId="0" borderId="0"/>
    <xf numFmtId="0" fontId="56" fillId="0" borderId="0"/>
    <xf numFmtId="249" fontId="71" fillId="0" borderId="0"/>
    <xf numFmtId="250" fontId="71" fillId="0" borderId="0"/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251" fontId="46" fillId="41" borderId="0"/>
    <xf numFmtId="251" fontId="46" fillId="41" borderId="0"/>
    <xf numFmtId="251" fontId="46" fillId="41" borderId="0"/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3" fontId="8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3" fontId="85" fillId="41" borderId="0" applyAlignment="1">
      <alignment horizontal="right"/>
    </xf>
    <xf numFmtId="38" fontId="61" fillId="0" borderId="0" applyAlignment="1">
      <alignment horizontal="center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3" fontId="8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0" fontId="85" fillId="41" borderId="0" applyAlignment="1">
      <alignment horizontal="right"/>
    </xf>
    <xf numFmtId="253" fontId="8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0" fontId="85" fillId="41" borderId="0" applyAlignment="1">
      <alignment horizontal="right"/>
    </xf>
    <xf numFmtId="253" fontId="85" fillId="41" borderId="0" applyAlignment="1">
      <alignment horizontal="right"/>
    </xf>
    <xf numFmtId="38" fontId="61" fillId="0" borderId="0" applyAlignment="1">
      <alignment horizontal="center"/>
    </xf>
    <xf numFmtId="38" fontId="61" fillId="0" borderId="0" applyAlignment="1">
      <alignment horizontal="center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38" fontId="61" fillId="0" borderId="0" applyAlignment="1">
      <alignment horizontal="center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252" fontId="55" fillId="41" borderId="0" applyAlignment="1">
      <alignment horizontal="right"/>
    </xf>
    <xf numFmtId="0" fontId="35" fillId="35" borderId="0"/>
    <xf numFmtId="0" fontId="35" fillId="2" borderId="0"/>
    <xf numFmtId="37" fontId="129" fillId="0" borderId="0"/>
    <xf numFmtId="37" fontId="130" fillId="0" borderId="0"/>
    <xf numFmtId="37" fontId="129" fillId="0" borderId="0"/>
    <xf numFmtId="37" fontId="129" fillId="0" borderId="0"/>
    <xf numFmtId="254" fontId="18" fillId="0" borderId="0"/>
    <xf numFmtId="254" fontId="18" fillId="0" borderId="0"/>
    <xf numFmtId="246" fontId="56" fillId="0" borderId="0"/>
    <xf numFmtId="211" fontId="131" fillId="0" borderId="0"/>
    <xf numFmtId="255" fontId="131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" fillId="0" borderId="0"/>
    <xf numFmtId="0" fontId="18" fillId="0" borderId="0"/>
    <xf numFmtId="0" fontId="18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2" fontId="71" fillId="0" borderId="0"/>
    <xf numFmtId="2" fontId="71" fillId="0" borderId="0"/>
    <xf numFmtId="2" fontId="71" fillId="0" borderId="0"/>
    <xf numFmtId="1" fontId="132" fillId="0" borderId="0"/>
    <xf numFmtId="0" fontId="133" fillId="0" borderId="0"/>
    <xf numFmtId="0" fontId="110" fillId="0" borderId="0"/>
    <xf numFmtId="38" fontId="61" fillId="0" borderId="0" applyAlignment="1">
      <alignment horizontal="center"/>
    </xf>
    <xf numFmtId="0" fontId="18" fillId="2" borderId="32"/>
    <xf numFmtId="0" fontId="18" fillId="7" borderId="182"/>
    <xf numFmtId="0" fontId="18" fillId="7" borderId="182"/>
    <xf numFmtId="0" fontId="134" fillId="0" borderId="10"/>
    <xf numFmtId="256" fontId="135" fillId="0" borderId="0"/>
    <xf numFmtId="0" fontId="55" fillId="0" borderId="0"/>
    <xf numFmtId="0" fontId="55" fillId="0" borderId="0"/>
    <xf numFmtId="257" fontId="135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36" fillId="0" borderId="0" applyAlignment="1">
      <alignment horizontal="left"/>
    </xf>
    <xf numFmtId="0" fontId="136" fillId="0" borderId="0" applyAlignment="1">
      <alignment horizontal="left"/>
    </xf>
    <xf numFmtId="0" fontId="136" fillId="0" borderId="0" applyAlignment="1">
      <alignment horizontal="left"/>
    </xf>
    <xf numFmtId="0" fontId="137" fillId="9" borderId="34"/>
    <xf numFmtId="0" fontId="36" fillId="4" borderId="187"/>
    <xf numFmtId="0" fontId="70" fillId="0" borderId="0"/>
    <xf numFmtId="0" fontId="70" fillId="0" borderId="0"/>
    <xf numFmtId="0" fontId="70" fillId="0" borderId="0"/>
    <xf numFmtId="248" fontId="138" fillId="0" borderId="0" applyAlignment="1">
      <alignment horizontal="centerContinuous"/>
    </xf>
    <xf numFmtId="248" fontId="138" fillId="0" borderId="0" applyAlignment="1">
      <alignment horizontal="centerContinuous"/>
    </xf>
    <xf numFmtId="248" fontId="138" fillId="0" borderId="0" applyAlignment="1">
      <alignment horizontal="centerContinuous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1" fontId="140" fillId="0" borderId="0" applyAlignment="1">
      <alignment horizontal="right" vertical="center"/>
    </xf>
    <xf numFmtId="169" fontId="18" fillId="0" borderId="0"/>
    <xf numFmtId="169" fontId="18" fillId="0" borderId="0"/>
    <xf numFmtId="169" fontId="18" fillId="0" borderId="0"/>
    <xf numFmtId="177" fontId="141" fillId="0" borderId="0" applyAlignment="1">
      <alignment vertical="top"/>
    </xf>
    <xf numFmtId="177" fontId="141" fillId="0" borderId="0" applyAlignment="1">
      <alignment vertical="top"/>
    </xf>
    <xf numFmtId="177" fontId="141" fillId="0" borderId="0" applyAlignment="1">
      <alignment vertical="top"/>
    </xf>
    <xf numFmtId="9" fontId="18" fillId="0" borderId="0"/>
    <xf numFmtId="9" fontId="18" fillId="0" borderId="0"/>
    <xf numFmtId="9" fontId="18" fillId="0" borderId="0"/>
    <xf numFmtId="10" fontId="18" fillId="0" borderId="0"/>
    <xf numFmtId="10" fontId="18" fillId="0" borderId="0"/>
    <xf numFmtId="10" fontId="18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" fillId="0" borderId="0"/>
    <xf numFmtId="9" fontId="18" fillId="0" borderId="0"/>
    <xf numFmtId="9" fontId="18" fillId="0" borderId="0"/>
    <xf numFmtId="9" fontId="18" fillId="0" borderId="0"/>
    <xf numFmtId="9" fontId="18" fillId="0" borderId="0"/>
    <xf numFmtId="9" fontId="18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9" fontId="180" fillId="0" borderId="0"/>
    <xf numFmtId="258" fontId="18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258" fontId="18" fillId="0" borderId="0" applyAlignment="1" applyProtection="1">
      <alignment horizontal="right"/>
      <protection locked="0" hidden="0"/>
    </xf>
    <xf numFmtId="258" fontId="18" fillId="0" borderId="0" applyAlignment="1" applyProtection="1">
      <alignment horizontal="right"/>
      <protection locked="0" hidden="0"/>
    </xf>
    <xf numFmtId="9" fontId="18" fillId="0" borderId="0"/>
    <xf numFmtId="9" fontId="18" fillId="0" borderId="0"/>
    <xf numFmtId="9" fontId="18" fillId="0" borderId="0"/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0" fontId="101" fillId="0" borderId="0" applyProtection="1">
      <protection locked="0" hidden="0"/>
    </xf>
    <xf numFmtId="177" fontId="198" fillId="0" borderId="0"/>
    <xf numFmtId="204" fontId="81" fillId="0" borderId="0"/>
    <xf numFmtId="204" fontId="81" fillId="0" borderId="0"/>
    <xf numFmtId="0" fontId="142" fillId="0" borderId="0"/>
    <xf numFmtId="0" fontId="142" fillId="0" borderId="0"/>
    <xf numFmtId="0" fontId="142" fillId="0" borderId="0"/>
    <xf numFmtId="0" fontId="143" fillId="68" borderId="0"/>
    <xf numFmtId="37" fontId="64" fillId="0" borderId="0"/>
    <xf numFmtId="37" fontId="64" fillId="0" borderId="0"/>
    <xf numFmtId="37" fontId="64" fillId="0" borderId="0"/>
    <xf numFmtId="3" fontId="144" fillId="0" borderId="0"/>
    <xf numFmtId="38" fontId="145" fillId="0" borderId="0"/>
    <xf numFmtId="3" fontId="144" fillId="0" borderId="0"/>
    <xf numFmtId="3" fontId="144" fillId="0" borderId="0"/>
    <xf numFmtId="0" fontId="18" fillId="0" borderId="35"/>
    <xf numFmtId="0" fontId="18" fillId="0" borderId="35"/>
    <xf numFmtId="0" fontId="18" fillId="0" borderId="35"/>
    <xf numFmtId="3" fontId="81" fillId="0" borderId="0" applyAlignment="1">
      <alignment horizontal="left"/>
    </xf>
    <xf numFmtId="3" fontId="81" fillId="0" borderId="0" applyAlignment="1">
      <alignment horizontal="left"/>
    </xf>
    <xf numFmtId="3" fontId="81" fillId="0" borderId="0" applyAlignment="1">
      <alignment horizontal="left"/>
    </xf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46" fillId="0" borderId="0"/>
    <xf numFmtId="0" fontId="18" fillId="0" borderId="0"/>
    <xf numFmtId="0" fontId="18" fillId="0" borderId="0"/>
    <xf numFmtId="0" fontId="18" fillId="0" borderId="0"/>
    <xf numFmtId="0" fontId="146" fillId="0" borderId="0"/>
    <xf numFmtId="0" fontId="146" fillId="0" borderId="0"/>
    <xf numFmtId="0" fontId="146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02" fillId="0" borderId="0"/>
    <xf numFmtId="0" fontId="18" fillId="0" borderId="0"/>
    <xf numFmtId="0" fontId="18" fillId="0" borderId="0"/>
    <xf numFmtId="0" fontId="18" fillId="0" borderId="0"/>
    <xf numFmtId="0" fontId="102" fillId="0" borderId="0"/>
    <xf numFmtId="0" fontId="102" fillId="0" borderId="0"/>
    <xf numFmtId="0" fontId="102" fillId="0" borderId="0"/>
    <xf numFmtId="259" fontId="18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0" fontId="55" fillId="0" borderId="0" applyAlignment="1" applyProtection="1">
      <alignment horizontal="right"/>
      <protection locked="0" hidden="0"/>
    </xf>
    <xf numFmtId="259" fontId="18" fillId="0" borderId="0" applyAlignment="1" applyProtection="1">
      <alignment horizontal="right"/>
      <protection locked="0" hidden="0"/>
    </xf>
    <xf numFmtId="259" fontId="18" fillId="0" borderId="0" applyAlignment="1" applyProtection="1">
      <alignment horizontal="right"/>
      <protection locked="0" hidden="0"/>
    </xf>
    <xf numFmtId="169" fontId="71" fillId="10" borderId="36" applyAlignment="1">
      <alignment horizontal="center"/>
    </xf>
    <xf numFmtId="169" fontId="71" fillId="10" borderId="36" applyAlignment="1">
      <alignment horizontal="center"/>
    </xf>
    <xf numFmtId="169" fontId="71" fillId="10" borderId="36" applyAlignment="1">
      <alignment horizontal="center"/>
    </xf>
    <xf numFmtId="0" fontId="147" fillId="0" borderId="0" applyAlignment="1">
      <alignment horizontal="right" vertical="center"/>
    </xf>
    <xf numFmtId="0" fontId="147" fillId="0" borderId="0" applyAlignment="1">
      <alignment horizontal="right" vertical="center"/>
    </xf>
    <xf numFmtId="0" fontId="147" fillId="0" borderId="0" applyAlignment="1">
      <alignment horizontal="right" vertical="center"/>
    </xf>
    <xf numFmtId="38" fontId="148" fillId="0" borderId="0"/>
    <xf numFmtId="0" fontId="36" fillId="4" borderId="187"/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10" fillId="70" borderId="0" applyAlignment="1">
      <alignment horizontal="left" vertical="center" indent="1"/>
    </xf>
    <xf numFmtId="4" fontId="10" fillId="70" borderId="0" applyAlignment="1">
      <alignment horizontal="left" vertical="center" indent="1"/>
    </xf>
    <xf numFmtId="4" fontId="10" fillId="70" borderId="0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8" fillId="78" borderId="38" applyAlignment="1">
      <alignment horizontal="left" vertical="center" indent="1"/>
    </xf>
    <xf numFmtId="4" fontId="8" fillId="78" borderId="38" applyAlignment="1">
      <alignment horizontal="left" vertical="center" indent="1"/>
    </xf>
    <xf numFmtId="4" fontId="8" fillId="78" borderId="38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8" fillId="70" borderId="0" applyAlignment="1">
      <alignment horizontal="left" vertical="center" indent="1"/>
    </xf>
    <xf numFmtId="4" fontId="8" fillId="70" borderId="0" applyAlignment="1">
      <alignment horizontal="left" vertical="center" indent="1"/>
    </xf>
    <xf numFmtId="4" fontId="8" fillId="70" borderId="0" applyAlignment="1">
      <alignment horizontal="left" vertical="center" indent="1"/>
    </xf>
    <xf numFmtId="4" fontId="10" fillId="79" borderId="183" applyAlignment="1">
      <alignment horizontal="right" vertical="center"/>
    </xf>
    <xf numFmtId="0" fontId="18" fillId="55" borderId="187" applyAlignment="1">
      <alignment horizontal="left" vertical="center" indent="1"/>
    </xf>
    <xf numFmtId="4" fontId="10" fillId="79" borderId="183" applyAlignment="1">
      <alignment horizontal="right" vertical="center"/>
    </xf>
    <xf numFmtId="4" fontId="186" fillId="79" borderId="0" applyAlignment="1">
      <alignment horizontal="left" vertical="center" indent="1"/>
    </xf>
    <xf numFmtId="4" fontId="186" fillId="79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4" borderId="170" applyProtection="1">
      <protection locked="0" hidden="0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50" fillId="79" borderId="183" applyAlignment="1">
      <alignment horizontal="left" vertical="center" wrapTex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260" fontId="149" fillId="0" borderId="0" applyAlignment="1" applyProtection="1">
      <alignment horizontal="right"/>
      <protection locked="1" hidden="1"/>
    </xf>
    <xf numFmtId="0" fontId="55" fillId="0" borderId="0" applyAlignment="1" applyProtection="1">
      <alignment horizontal="right"/>
      <protection locked="1" hidden="1"/>
    </xf>
    <xf numFmtId="0" fontId="55" fillId="0" borderId="0" applyAlignment="1" applyProtection="1">
      <alignment horizontal="right"/>
      <protection locked="1" hidden="1"/>
    </xf>
    <xf numFmtId="260" fontId="149" fillId="0" borderId="0" applyAlignment="1" applyProtection="1">
      <alignment horizontal="right"/>
      <protection locked="1" hidden="1"/>
    </xf>
    <xf numFmtId="260" fontId="149" fillId="0" borderId="0" applyAlignment="1" applyProtection="1">
      <alignment horizontal="right"/>
      <protection locked="1" hidden="1"/>
    </xf>
    <xf numFmtId="0" fontId="53" fillId="47" borderId="170" applyAlignment="1" applyProtection="1">
      <alignment horizontal="center" vertical="center" wrapText="1"/>
      <protection locked="1" hidden="1"/>
    </xf>
    <xf numFmtId="0" fontId="53" fillId="47" borderId="170" applyAlignment="1" applyProtection="1">
      <alignment horizontal="center" vertical="center" wrapText="1"/>
      <protection locked="1" hidden="1"/>
    </xf>
    <xf numFmtId="165" fontId="18" fillId="0" borderId="0"/>
    <xf numFmtId="165" fontId="18" fillId="0" borderId="0"/>
    <xf numFmtId="165" fontId="18" fillId="0" borderId="0"/>
    <xf numFmtId="43" fontId="47" fillId="0" borderId="0"/>
    <xf numFmtId="165" fontId="180" fillId="0" borderId="0"/>
    <xf numFmtId="43" fontId="18" fillId="0" borderId="0"/>
    <xf numFmtId="165" fontId="18" fillId="0" borderId="0"/>
    <xf numFmtId="43" fontId="18" fillId="0" borderId="0"/>
    <xf numFmtId="1" fontId="142" fillId="82" borderId="0" applyAlignment="1">
      <alignment horizontal="left"/>
    </xf>
    <xf numFmtId="168" fontId="70" fillId="0" borderId="5" applyAlignment="1">
      <alignment horizontal="right"/>
    </xf>
    <xf numFmtId="168" fontId="70" fillId="0" borderId="5" applyAlignment="1">
      <alignment horizontal="right"/>
    </xf>
    <xf numFmtId="168" fontId="70" fillId="0" borderId="5" applyAlignment="1">
      <alignment horizontal="right"/>
    </xf>
    <xf numFmtId="0" fontId="37" fillId="0" borderId="0"/>
    <xf numFmtId="0" fontId="18" fillId="0" borderId="5"/>
    <xf numFmtId="0" fontId="18" fillId="0" borderId="5"/>
    <xf numFmtId="0" fontId="18" fillId="0" borderId="5"/>
    <xf numFmtId="0" fontId="81" fillId="0" borderId="0"/>
    <xf numFmtId="0" fontId="81" fillId="0" borderId="0"/>
    <xf numFmtId="38" fontId="150" fillId="0" borderId="0" applyAlignment="1">
      <alignment horizontal="right" vertical="center"/>
    </xf>
    <xf numFmtId="0" fontId="56" fillId="0" borderId="0" applyAlignment="1">
      <alignment vertical="center"/>
    </xf>
    <xf numFmtId="0" fontId="18" fillId="0" borderId="0"/>
    <xf numFmtId="0" fontId="18" fillId="0" borderId="0"/>
    <xf numFmtId="0" fontId="56" fillId="0" borderId="0" applyAlignment="1">
      <alignment vertical="center"/>
    </xf>
    <xf numFmtId="0" fontId="56" fillId="0" borderId="0" applyAlignment="1">
      <alignment vertical="center"/>
    </xf>
    <xf numFmtId="261" fontId="151" fillId="0" borderId="0" applyAlignment="1">
      <alignment horizontal="right" vertical="center" wrapText="1"/>
    </xf>
    <xf numFmtId="0" fontId="152" fillId="0" borderId="0"/>
    <xf numFmtId="0" fontId="153" fillId="0" borderId="0" applyProtection="1">
      <protection locked="0" hidden="0"/>
    </xf>
    <xf numFmtId="0" fontId="154" fillId="0" borderId="16" applyAlignment="1">
      <alignment horizontal="right"/>
    </xf>
    <xf numFmtId="0" fontId="154" fillId="0" borderId="16" applyAlignment="1">
      <alignment horizontal="right"/>
    </xf>
    <xf numFmtId="0" fontId="154" fillId="0" borderId="16" applyAlignment="1">
      <alignment horizontal="right"/>
    </xf>
    <xf numFmtId="0" fontId="155" fillId="0" borderId="0" applyAlignment="1">
      <alignment horizontal="left" vertical="center"/>
    </xf>
    <xf numFmtId="0" fontId="155" fillId="0" borderId="0" applyAlignment="1">
      <alignment horizontal="left" vertical="center"/>
    </xf>
    <xf numFmtId="0" fontId="155" fillId="0" borderId="0" applyAlignment="1">
      <alignment horizontal="left" vertical="center"/>
    </xf>
    <xf numFmtId="166" fontId="81" fillId="0" borderId="11"/>
    <xf numFmtId="166" fontId="81" fillId="0" borderId="11"/>
    <xf numFmtId="166" fontId="81" fillId="0" borderId="11"/>
    <xf numFmtId="0" fontId="155" fillId="0" borderId="3" applyAlignment="1">
      <alignment horizontal="left" vertical="center"/>
    </xf>
    <xf numFmtId="0" fontId="156" fillId="0" borderId="4"/>
    <xf numFmtId="0" fontId="18" fillId="0" borderId="4"/>
    <xf numFmtId="0" fontId="18" fillId="0" borderId="4"/>
    <xf numFmtId="0" fontId="154" fillId="0" borderId="40" applyAlignment="1">
      <alignment horizontal="right"/>
    </xf>
    <xf numFmtId="0" fontId="154" fillId="0" borderId="40" applyAlignment="1">
      <alignment horizontal="right"/>
    </xf>
    <xf numFmtId="0" fontId="154" fillId="0" borderId="40" applyAlignment="1">
      <alignment horizontal="right"/>
    </xf>
    <xf numFmtId="0" fontId="98" fillId="0" borderId="5"/>
    <xf numFmtId="0" fontId="98" fillId="0" borderId="5"/>
    <xf numFmtId="0" fontId="98" fillId="0" borderId="5"/>
    <xf numFmtId="236" fontId="157" fillId="0" borderId="5" applyAlignment="1">
      <alignment horizontal="right" vertical="center"/>
    </xf>
    <xf numFmtId="0" fontId="158" fillId="83" borderId="0" applyAlignment="1">
      <alignment horizontal="centerContinuous" vertical="center"/>
    </xf>
    <xf numFmtId="0" fontId="158" fillId="84" borderId="5" applyAlignment="1">
      <alignment horizontal="centerContinuous" vertical="center"/>
    </xf>
    <xf numFmtId="0" fontId="157" fillId="0" borderId="0" applyAlignment="1">
      <alignment vertical="center"/>
    </xf>
    <xf numFmtId="0" fontId="159" fillId="18" borderId="41" applyAlignment="1" applyProtection="1">
      <alignment vertical="top"/>
      <protection locked="0" hidden="0"/>
    </xf>
    <xf numFmtId="0" fontId="160" fillId="0" borderId="0" applyAlignment="1">
      <alignment vertical="center"/>
    </xf>
    <xf numFmtId="0" fontId="160" fillId="0" borderId="0" applyAlignment="1">
      <alignment vertical="center"/>
    </xf>
    <xf numFmtId="0" fontId="160" fillId="0" borderId="0" applyAlignment="1">
      <alignment vertical="center"/>
    </xf>
    <xf numFmtId="0" fontId="109" fillId="0" borderId="0" applyAlignment="1">
      <alignment vertical="center"/>
    </xf>
    <xf numFmtId="0" fontId="109" fillId="0" borderId="0" applyAlignment="1">
      <alignment vertical="center"/>
    </xf>
    <xf numFmtId="0" fontId="160" fillId="0" borderId="0" applyAlignment="1">
      <alignment vertical="center"/>
    </xf>
    <xf numFmtId="0" fontId="112" fillId="0" borderId="0" applyAlignment="1">
      <alignment vertical="center"/>
    </xf>
    <xf numFmtId="0" fontId="112" fillId="0" borderId="0" applyAlignment="1">
      <alignment vertical="center"/>
    </xf>
    <xf numFmtId="0" fontId="112" fillId="0" borderId="0" applyAlignment="1">
      <alignment vertical="center"/>
    </xf>
    <xf numFmtId="0" fontId="161" fillId="0" borderId="0" applyAlignment="1">
      <alignment horizontal="left"/>
    </xf>
    <xf numFmtId="0" fontId="107" fillId="0" borderId="17" applyAlignment="1">
      <alignment horizontal="left" vertical="top"/>
    </xf>
    <xf numFmtId="166" fontId="77" fillId="0" borderId="0" applyAlignment="1">
      <alignment horizontal="centerContinuous"/>
    </xf>
    <xf numFmtId="166" fontId="77" fillId="0" borderId="0" applyAlignment="1">
      <alignment horizontal="centerContinuous"/>
    </xf>
    <xf numFmtId="0" fontId="162" fillId="0" borderId="0"/>
    <xf numFmtId="0" fontId="163" fillId="0" borderId="0"/>
    <xf numFmtId="0" fontId="163" fillId="0" borderId="0"/>
    <xf numFmtId="166" fontId="18" fillId="0" borderId="0"/>
    <xf numFmtId="166" fontId="18" fillId="0" borderId="0"/>
    <xf numFmtId="166" fontId="18" fillId="0" borderId="0"/>
    <xf numFmtId="166" fontId="164" fillId="0" borderId="0" applyAlignment="1">
      <alignment horizontal="centerContinuous"/>
    </xf>
    <xf numFmtId="166" fontId="164" fillId="0" borderId="0" applyAlignment="1">
      <alignment horizontal="centerContinuous"/>
    </xf>
    <xf numFmtId="166" fontId="164" fillId="0" borderId="0" applyAlignment="1">
      <alignment horizontal="centerContinuous"/>
    </xf>
    <xf numFmtId="0" fontId="165" fillId="0" borderId="0" applyAlignment="1">
      <alignment vertical="center"/>
    </xf>
    <xf numFmtId="0" fontId="43" fillId="0" borderId="0"/>
    <xf numFmtId="262" fontId="77" fillId="0" borderId="0" applyAlignment="1">
      <alignment horizontal="right"/>
    </xf>
    <xf numFmtId="0" fontId="166" fillId="0" borderId="0" applyAlignment="1">
      <alignment horizontal="centerContinuous"/>
    </xf>
    <xf numFmtId="0" fontId="37" fillId="0" borderId="0"/>
    <xf numFmtId="0" fontId="167" fillId="0" borderId="42"/>
    <xf numFmtId="0" fontId="168" fillId="0" borderId="3"/>
    <xf numFmtId="0" fontId="18" fillId="0" borderId="0"/>
    <xf numFmtId="0" fontId="71" fillId="0" borderId="0"/>
    <xf numFmtId="0" fontId="71" fillId="0" borderId="0"/>
    <xf numFmtId="0" fontId="18" fillId="0" borderId="0"/>
    <xf numFmtId="0" fontId="18" fillId="0" borderId="0"/>
    <xf numFmtId="1" fontId="70" fillId="85" borderId="0" applyAlignment="1">
      <alignment horizontal="left"/>
    </xf>
    <xf numFmtId="0" fontId="37" fillId="0" borderId="0"/>
    <xf numFmtId="0" fontId="30" fillId="0" borderId="21"/>
    <xf numFmtId="0" fontId="31" fillId="0" borderId="22"/>
    <xf numFmtId="0" fontId="32" fillId="0" borderId="26"/>
    <xf numFmtId="0" fontId="32" fillId="0" borderId="0"/>
    <xf numFmtId="0" fontId="73" fillId="0" borderId="0"/>
    <xf numFmtId="0" fontId="73" fillId="0" borderId="0"/>
    <xf numFmtId="0" fontId="28" fillId="0" borderId="180"/>
    <xf numFmtId="0" fontId="28" fillId="0" borderId="44"/>
    <xf numFmtId="0" fontId="28" fillId="0" borderId="45"/>
    <xf numFmtId="41" fontId="18" fillId="0" borderId="0"/>
    <xf numFmtId="43" fontId="18" fillId="0" borderId="0"/>
    <xf numFmtId="263" fontId="198" fillId="0" borderId="0" applyAlignment="1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225" fontId="18" fillId="0" borderId="0" applyAlignment="1" applyProtection="1">
      <alignment horizontal="left"/>
      <protection locked="0" hidden="0"/>
    </xf>
    <xf numFmtId="225" fontId="18" fillId="0" borderId="0" applyAlignment="1" applyProtection="1">
      <alignment horizontal="left"/>
      <protection locked="0" hidden="0"/>
    </xf>
    <xf numFmtId="225" fontId="18" fillId="0" borderId="0" applyAlignment="1" applyProtection="1">
      <alignment horizontal="left"/>
      <protection locked="0" hidden="0"/>
    </xf>
    <xf numFmtId="0" fontId="18" fillId="86" borderId="35" applyProtection="1">
      <protection locked="0" hidden="0"/>
    </xf>
    <xf numFmtId="0" fontId="18" fillId="86" borderId="35" applyProtection="1">
      <protection locked="0" hidden="0"/>
    </xf>
    <xf numFmtId="0" fontId="18" fillId="86" borderId="35" applyProtection="1">
      <protection locked="0" hidden="0"/>
    </xf>
    <xf numFmtId="38" fontId="18" fillId="0" borderId="0" applyProtection="1">
      <protection locked="0" hidden="0"/>
    </xf>
    <xf numFmtId="38" fontId="18" fillId="0" borderId="0" applyProtection="1">
      <protection locked="0" hidden="0"/>
    </xf>
    <xf numFmtId="38" fontId="18" fillId="0" borderId="0" applyProtection="1">
      <protection locked="0" hidden="0"/>
    </xf>
    <xf numFmtId="166" fontId="169" fillId="0" borderId="0"/>
    <xf numFmtId="166" fontId="169" fillId="0" borderId="0"/>
    <xf numFmtId="166" fontId="169" fillId="0" borderId="0"/>
    <xf numFmtId="264" fontId="18" fillId="0" borderId="0"/>
    <xf numFmtId="264" fontId="18" fillId="0" borderId="0"/>
    <xf numFmtId="264" fontId="18" fillId="0" borderId="0"/>
    <xf numFmtId="0" fontId="170" fillId="87" borderId="46" applyAlignment="1">
      <alignment horizontal="left"/>
    </xf>
    <xf numFmtId="265" fontId="71" fillId="0" borderId="0"/>
    <xf numFmtId="265" fontId="71" fillId="0" borderId="0"/>
    <xf numFmtId="265" fontId="71" fillId="0" borderId="0"/>
    <xf numFmtId="266" fontId="18" fillId="0" borderId="0"/>
    <xf numFmtId="0" fontId="38" fillId="0" borderId="0"/>
    <xf numFmtId="0" fontId="81" fillId="0" borderId="0"/>
    <xf numFmtId="0" fontId="81" fillId="0" borderId="0"/>
    <xf numFmtId="0" fontId="81" fillId="0" borderId="0"/>
    <xf numFmtId="0" fontId="171" fillId="0" borderId="4"/>
    <xf numFmtId="0" fontId="18" fillId="0" borderId="4"/>
    <xf numFmtId="0" fontId="18" fillId="0" borderId="4"/>
    <xf numFmtId="0" fontId="172" fillId="0" borderId="4"/>
    <xf numFmtId="0" fontId="18" fillId="0" borderId="4"/>
    <xf numFmtId="0" fontId="18" fillId="0" borderId="4"/>
    <xf numFmtId="0" fontId="173" fillId="0" borderId="4"/>
    <xf numFmtId="0" fontId="18" fillId="0" borderId="4"/>
    <xf numFmtId="0" fontId="18" fillId="0" borderId="4"/>
    <xf numFmtId="1" fontId="174" fillId="0" borderId="3" applyAlignment="1">
      <alignment horizontal="right"/>
    </xf>
    <xf numFmtId="1" fontId="174" fillId="0" borderId="3" applyAlignment="1">
      <alignment horizontal="right"/>
    </xf>
    <xf numFmtId="1" fontId="174" fillId="0" borderId="3" applyAlignment="1">
      <alignment horizontal="right"/>
    </xf>
    <xf numFmtId="0" fontId="81" fillId="0" borderId="0"/>
    <xf numFmtId="0" fontId="81" fillId="0" borderId="0"/>
    <xf numFmtId="0" fontId="81" fillId="0" borderId="0"/>
    <xf numFmtId="0" fontId="175" fillId="0" borderId="0"/>
    <xf numFmtId="0" fontId="176" fillId="0" borderId="0"/>
    <xf numFmtId="0" fontId="177" fillId="0" borderId="0" applyAlignment="1">
      <alignment vertical="center"/>
    </xf>
    <xf numFmtId="0" fontId="178" fillId="0" borderId="0"/>
    <xf numFmtId="4" fontId="8" fillId="79" borderId="183" applyAlignment="1">
      <alignment horizontal="left" vertical="center" indent="1"/>
    </xf>
    <xf numFmtId="0" fontId="33" fillId="35" borderId="181"/>
    <xf numFmtId="0" fontId="18" fillId="70" borderId="183" applyAlignment="1">
      <alignment horizontal="left" vertical="top" indent="1"/>
    </xf>
    <xf numFmtId="0" fontId="23" fillId="15" borderId="0"/>
    <xf numFmtId="4" fontId="198" fillId="89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8" fillId="34" borderId="182"/>
    <xf numFmtId="4" fontId="15" fillId="80" borderId="179" applyAlignment="1">
      <alignment horizontal="left" vertical="center" indent="1"/>
    </xf>
    <xf numFmtId="0" fontId="23" fillId="52" borderId="0"/>
    <xf numFmtId="4" fontId="50" fillId="79" borderId="183" applyAlignment="1">
      <alignment horizontal="left" vertical="center" wrapText="1"/>
    </xf>
    <xf numFmtId="0" fontId="23" fillId="15" borderId="0"/>
    <xf numFmtId="0" fontId="186" fillId="42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0" fontId="18" fillId="4" borderId="178" applyProtection="1">
      <protection locked="0" hidden="0"/>
    </xf>
    <xf numFmtId="0" fontId="18" fillId="81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18" fillId="70" borderId="183" applyAlignment="1">
      <alignment horizontal="left" vertical="top" indent="1"/>
    </xf>
    <xf numFmtId="0" fontId="18" fillId="70" borderId="183" applyAlignment="1">
      <alignment horizontal="left" vertical="center" indent="1"/>
    </xf>
    <xf numFmtId="0" fontId="18" fillId="81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9" fillId="69" borderId="183" applyAlignment="1">
      <alignment vertical="center"/>
    </xf>
    <xf numFmtId="0" fontId="23" fillId="53" borderId="0"/>
    <xf numFmtId="0" fontId="23" fillId="15" borderId="0"/>
    <xf numFmtId="0" fontId="18" fillId="4" borderId="178" applyProtection="1">
      <protection locked="0" hidden="0"/>
    </xf>
    <xf numFmtId="4" fontId="10" fillId="77" borderId="183" applyAlignment="1">
      <alignment horizontal="right" vertical="center"/>
    </xf>
    <xf numFmtId="4" fontId="8" fillId="79" borderId="179" applyAlignment="1">
      <alignment horizontal="left" vertical="center" indent="1"/>
    </xf>
    <xf numFmtId="0" fontId="39" fillId="4" borderId="181"/>
    <xf numFmtId="4" fontId="198" fillId="39" borderId="185" applyAlignment="1">
      <alignment horizontal="right" vertical="center"/>
    </xf>
    <xf numFmtId="0" fontId="18" fillId="81" borderId="183" applyAlignment="1">
      <alignment horizontal="left" vertical="top" indent="1"/>
    </xf>
    <xf numFmtId="0" fontId="26" fillId="44" borderId="181"/>
    <xf numFmtId="0" fontId="23" fillId="15" borderId="0"/>
    <xf numFmtId="0" fontId="23" fillId="52" borderId="0"/>
    <xf numFmtId="0" fontId="23" fillId="52" borderId="0"/>
    <xf numFmtId="0" fontId="23" fillId="31" borderId="0"/>
    <xf numFmtId="0" fontId="23" fillId="15" borderId="0"/>
    <xf numFmtId="0" fontId="23" fillId="53" borderId="0"/>
    <xf numFmtId="0" fontId="23" fillId="15" borderId="0"/>
    <xf numFmtId="0" fontId="42" fillId="16" borderId="0"/>
    <xf numFmtId="0" fontId="18" fillId="0" borderId="0"/>
    <xf numFmtId="0" fontId="23" fillId="15" borderId="0"/>
    <xf numFmtId="0" fontId="23" fillId="53" borderId="0"/>
    <xf numFmtId="4" fontId="193" fillId="41" borderId="185" applyAlignment="1">
      <alignment horizontal="right" vertical="center"/>
    </xf>
    <xf numFmtId="9" fontId="18" fillId="0" borderId="0"/>
    <xf numFmtId="4" fontId="8" fillId="79" borderId="179" applyAlignment="1">
      <alignment horizontal="left" vertical="center" indent="1"/>
    </xf>
    <xf numFmtId="0" fontId="18" fillId="31" borderId="183" applyAlignment="1">
      <alignment horizontal="left" vertical="top" indent="1"/>
    </xf>
    <xf numFmtId="4" fontId="10" fillId="81" borderId="183" applyAlignment="1">
      <alignment horizontal="right" vertical="center"/>
    </xf>
    <xf numFmtId="0" fontId="23" fillId="52" borderId="0"/>
    <xf numFmtId="4" fontId="198" fillId="10" borderId="186" applyAlignment="1">
      <alignment horizontal="right" vertical="center"/>
    </xf>
    <xf numFmtId="4" fontId="10" fillId="74" borderId="183" applyAlignment="1">
      <alignment horizontal="right" vertical="center"/>
    </xf>
    <xf numFmtId="0" fontId="23" fillId="53" borderId="0"/>
    <xf numFmtId="0" fontId="23" fillId="15" borderId="0"/>
    <xf numFmtId="0" fontId="23" fillId="31" borderId="0"/>
    <xf numFmtId="0" fontId="23" fillId="52" borderId="0"/>
    <xf numFmtId="0" fontId="23" fillId="52" borderId="0"/>
    <xf numFmtId="0" fontId="23" fillId="15" borderId="0"/>
    <xf numFmtId="4" fontId="10" fillId="81" borderId="183" applyAlignment="1">
      <alignment horizontal="right" vertical="center"/>
    </xf>
    <xf numFmtId="0" fontId="23" fillId="31" borderId="0"/>
    <xf numFmtId="4" fontId="198" fillId="15" borderId="185" applyAlignment="1">
      <alignment horizontal="left" vertical="center" indent="1"/>
    </xf>
    <xf numFmtId="0" fontId="39" fillId="4" borderId="181"/>
    <xf numFmtId="0" fontId="11" fillId="2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23" fillId="53" borderId="0"/>
    <xf numFmtId="0" fontId="18" fillId="70" borderId="183" applyAlignment="1">
      <alignment horizontal="left" vertical="center" indent="1"/>
    </xf>
    <xf numFmtId="0" fontId="18" fillId="4" borderId="170" applyProtection="1">
      <protection locked="0" hidden="0"/>
    </xf>
    <xf numFmtId="4" fontId="195" fillId="86" borderId="186" applyAlignment="1">
      <alignment horizontal="left" vertical="center" indent="1"/>
    </xf>
    <xf numFmtId="4" fontId="10" fillId="79" borderId="183" applyAlignment="1">
      <alignment horizontal="right" vertical="center"/>
    </xf>
    <xf numFmtId="0" fontId="41" fillId="5" borderId="181"/>
    <xf numFmtId="4" fontId="10" fillId="68" borderId="183" applyAlignment="1">
      <alignment horizontal="right" vertical="center"/>
    </xf>
    <xf numFmtId="0" fontId="23" fillId="15" borderId="0"/>
    <xf numFmtId="0" fontId="23" fillId="52" borderId="0"/>
    <xf numFmtId="0" fontId="23" fillId="31" borderId="0"/>
    <xf numFmtId="0" fontId="18" fillId="4" borderId="178" applyProtection="1">
      <protection locked="0" hidden="0"/>
    </xf>
    <xf numFmtId="0" fontId="18" fillId="4" borderId="170" applyProtection="1">
      <protection locked="0" hidden="0"/>
    </xf>
    <xf numFmtId="0" fontId="191" fillId="104" borderId="185"/>
    <xf numFmtId="4" fontId="10" fillId="71" borderId="183" applyAlignment="1">
      <alignment horizontal="right" vertical="center"/>
    </xf>
    <xf numFmtId="0" fontId="186" fillId="42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0" fillId="79" borderId="183" applyAlignment="1">
      <alignment horizontal="right" vertical="center"/>
    </xf>
    <xf numFmtId="4" fontId="13" fillId="81" borderId="183" applyAlignment="1">
      <alignment horizontal="right" vertical="center"/>
    </xf>
    <xf numFmtId="0" fontId="23" fillId="31" borderId="0"/>
    <xf numFmtId="0" fontId="186" fillId="80" borderId="183" applyAlignment="1">
      <alignment horizontal="left" vertical="top" indent="1"/>
    </xf>
    <xf numFmtId="4" fontId="13" fillId="81" borderId="183" applyAlignment="1">
      <alignment vertical="center"/>
    </xf>
    <xf numFmtId="0" fontId="18" fillId="0" borderId="0"/>
    <xf numFmtId="0" fontId="18" fillId="70" borderId="183" applyAlignment="1">
      <alignment horizontal="left" vertical="top" indent="1"/>
    </xf>
    <xf numFmtId="165" fontId="18" fillId="0" borderId="0"/>
    <xf numFmtId="165" fontId="47" fillId="0" borderId="0"/>
    <xf numFmtId="165" fontId="18" fillId="0" borderId="0"/>
    <xf numFmtId="4" fontId="198" fillId="92" borderId="185" applyAlignment="1">
      <alignment horizontal="right" vertical="center"/>
    </xf>
    <xf numFmtId="0" fontId="11" fillId="2" borderId="183" applyAlignment="1">
      <alignment horizontal="left" vertical="top" indent="1"/>
    </xf>
    <xf numFmtId="4" fontId="10" fillId="76" borderId="183" applyAlignment="1">
      <alignment horizontal="right" vertical="center"/>
    </xf>
    <xf numFmtId="0" fontId="23" fillId="53" borderId="0"/>
    <xf numFmtId="4" fontId="8" fillId="69" borderId="183" applyAlignment="1">
      <alignment vertical="center"/>
    </xf>
    <xf numFmtId="0" fontId="23" fillId="52" borderId="0"/>
    <xf numFmtId="0" fontId="11" fillId="69" borderId="183" applyAlignment="1">
      <alignment horizontal="left" vertical="top" indent="1"/>
    </xf>
    <xf numFmtId="0" fontId="27" fillId="25" borderId="7"/>
    <xf numFmtId="0" fontId="29" fillId="58" borderId="0"/>
    <xf numFmtId="0" fontId="33" fillId="35" borderId="181"/>
    <xf numFmtId="0" fontId="34" fillId="0" borderId="29"/>
    <xf numFmtId="0" fontId="35" fillId="35" borderId="0"/>
    <xf numFmtId="0" fontId="18" fillId="34" borderId="182"/>
    <xf numFmtId="0" fontId="38" fillId="0" borderId="0"/>
    <xf numFmtId="9" fontId="18" fillId="0" borderId="0"/>
    <xf numFmtId="165" fontId="18" fillId="0" borderId="0"/>
    <xf numFmtId="165" fontId="18" fillId="0" borderId="0"/>
    <xf numFmtId="0" fontId="180" fillId="89" borderId="0"/>
    <xf numFmtId="0" fontId="180" fillId="13" borderId="0"/>
    <xf numFmtId="0" fontId="180" fillId="7" borderId="0"/>
    <xf numFmtId="0" fontId="180" fillId="14" borderId="0"/>
    <xf numFmtId="0" fontId="180" fillId="39" borderId="0"/>
    <xf numFmtId="0" fontId="180" fillId="31" borderId="0"/>
    <xf numFmtId="0" fontId="180" fillId="13" borderId="0"/>
    <xf numFmtId="0" fontId="180" fillId="29" borderId="0"/>
    <xf numFmtId="0" fontId="180" fillId="31" borderId="0"/>
    <xf numFmtId="0" fontId="23" fillId="31" borderId="0"/>
    <xf numFmtId="0" fontId="23" fillId="13" borderId="0"/>
    <xf numFmtId="0" fontId="23" fillId="29" borderId="0"/>
    <xf numFmtId="0" fontId="23" fillId="31" borderId="0"/>
    <xf numFmtId="0" fontId="23" fillId="17" borderId="0"/>
    <xf numFmtId="0" fontId="23" fillId="22" borderId="0"/>
    <xf numFmtId="0" fontId="23" fillId="25" borderId="0"/>
    <xf numFmtId="0" fontId="23" fillId="33" borderId="0"/>
    <xf numFmtId="0" fontId="23" fillId="30" borderId="0"/>
    <xf numFmtId="0" fontId="23" fillId="32" borderId="0"/>
    <xf numFmtId="0" fontId="23" fillId="32" borderId="0"/>
    <xf numFmtId="0" fontId="23" fillId="33" borderId="0"/>
    <xf numFmtId="0" fontId="23" fillId="30" borderId="0"/>
    <xf numFmtId="0" fontId="25" fillId="24" borderId="0"/>
    <xf numFmtId="0" fontId="29" fillId="90" borderId="0"/>
    <xf numFmtId="0" fontId="26" fillId="44" borderId="181"/>
    <xf numFmtId="0" fontId="26" fillId="4" borderId="181"/>
    <xf numFmtId="0" fontId="27" fillId="45" borderId="7"/>
    <xf numFmtId="0" fontId="23" fillId="25" borderId="0"/>
    <xf numFmtId="0" fontId="23" fillId="15" borderId="0"/>
    <xf numFmtId="0" fontId="23" fillId="10" borderId="0"/>
    <xf numFmtId="0" fontId="23" fillId="29" borderId="0"/>
    <xf numFmtId="0" fontId="23" fillId="91" borderId="0"/>
    <xf numFmtId="0" fontId="23" fillId="15" borderId="0"/>
    <xf numFmtId="0" fontId="23" fillId="92" borderId="0"/>
    <xf numFmtId="0" fontId="41" fillId="5" borderId="181"/>
    <xf numFmtId="0" fontId="23" fillId="22" borderId="0"/>
    <xf numFmtId="0" fontId="30" fillId="0" borderId="19"/>
    <xf numFmtId="0" fontId="32" fillId="0" borderId="24"/>
    <xf numFmtId="0" fontId="79" fillId="53" borderId="0"/>
    <xf numFmtId="0" fontId="33" fillId="35" borderId="181"/>
    <xf numFmtId="0" fontId="23" fillId="17" borderId="0"/>
    <xf numFmtId="0" fontId="35" fillId="5" borderId="0"/>
    <xf numFmtId="0" fontId="18" fillId="0" borderId="0"/>
    <xf numFmtId="0" fontId="18" fillId="7" borderId="182"/>
    <xf numFmtId="0" fontId="18" fillId="34" borderId="182"/>
    <xf numFmtId="0" fontId="36" fillId="44" borderId="187"/>
    <xf numFmtId="0" fontId="36" fillId="4" borderId="187"/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11" fillId="2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88" fillId="2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11" fillId="2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0" fontId="18" fillId="0" borderId="0"/>
    <xf numFmtId="4" fontId="11" fillId="89" borderId="0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86" fillId="39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86" fillId="13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86" fillId="10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86" fillId="9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86" fillId="36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86" fillId="29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86" fillId="94" borderId="183" applyAlignment="1">
      <alignment horizontal="right" vertical="center"/>
    </xf>
    <xf numFmtId="0" fontId="18" fillId="70" borderId="183" applyAlignment="1">
      <alignment horizontal="left" vertical="top" indent="1"/>
    </xf>
    <xf numFmtId="4" fontId="11" fillId="95" borderId="38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186" fillId="96" borderId="0" applyAlignment="1">
      <alignment horizontal="left" vertical="center" indent="1"/>
    </xf>
    <xf numFmtId="4" fontId="193" fillId="42" borderId="170" applyAlignment="1">
      <alignment vertical="center"/>
    </xf>
    <xf numFmtId="4" fontId="8" fillId="31" borderId="0" applyAlignment="1">
      <alignment horizontal="left" vertical="center" indent="1"/>
    </xf>
    <xf numFmtId="4" fontId="10" fillId="7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0" fontId="18" fillId="0" borderId="0"/>
    <xf numFmtId="4" fontId="186" fillId="96" borderId="0" applyAlignment="1">
      <alignment horizontal="left" vertical="center" indent="1"/>
    </xf>
    <xf numFmtId="4" fontId="10" fillId="73" borderId="183" applyAlignment="1">
      <alignment horizontal="right" vertical="center"/>
    </xf>
    <xf numFmtId="4" fontId="186" fillId="89" borderId="0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0" borderId="0"/>
    <xf numFmtId="0" fontId="18" fillId="31" borderId="183" applyAlignment="1">
      <alignment horizontal="left" vertical="top" indent="1"/>
    </xf>
    <xf numFmtId="0" fontId="18" fillId="0" borderId="0"/>
    <xf numFmtId="0" fontId="18" fillId="80" borderId="183" applyAlignment="1">
      <alignment horizontal="left" vertical="center" indent="1"/>
    </xf>
    <xf numFmtId="0" fontId="18" fillId="0" borderId="0"/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0" borderId="0"/>
    <xf numFmtId="0" fontId="18" fillId="79" borderId="183" applyAlignment="1">
      <alignment horizontal="left" vertical="center" indent="1"/>
    </xf>
    <xf numFmtId="0" fontId="18" fillId="0" borderId="0"/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0" borderId="0"/>
    <xf numFmtId="0" fontId="18" fillId="96" borderId="183" applyAlignment="1">
      <alignment horizontal="left" vertical="center" indent="1"/>
    </xf>
    <xf numFmtId="0" fontId="18" fillId="0" borderId="0"/>
    <xf numFmtId="0" fontId="18" fillId="96" borderId="183" applyAlignment="1">
      <alignment horizontal="left" vertical="top" indent="1"/>
    </xf>
    <xf numFmtId="0" fontId="18" fillId="0" borderId="0"/>
    <xf numFmtId="0" fontId="18" fillId="4" borderId="178" applyProtection="1">
      <protection locked="0" hidden="0"/>
    </xf>
    <xf numFmtId="0" fontId="18" fillId="0" borderId="0"/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86" fillId="7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189" fillId="7" borderId="183" applyAlignment="1">
      <alignment vertical="center"/>
    </xf>
    <xf numFmtId="4" fontId="8" fillId="79" borderId="179" applyAlignment="1">
      <alignment horizontal="left" vertical="center" indent="1"/>
    </xf>
    <xf numFmtId="4" fontId="196" fillId="4" borderId="185" applyAlignment="1">
      <alignment horizontal="right" vertical="center"/>
    </xf>
    <xf numFmtId="4" fontId="186" fillId="7" borderId="183" applyAlignment="1">
      <alignment horizontal="left" vertical="center" indent="1"/>
    </xf>
    <xf numFmtId="0" fontId="186" fillId="7" borderId="183" applyAlignment="1">
      <alignment horizontal="left" vertical="top" indent="1"/>
    </xf>
    <xf numFmtId="0" fontId="18" fillId="0" borderId="0"/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89" fillId="96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0" fontId="18" fillId="0" borderId="0"/>
    <xf numFmtId="0" fontId="186" fillId="89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5" fillId="86" borderId="0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90" fillId="96" borderId="183" applyAlignment="1">
      <alignment horizontal="right" vertical="center"/>
    </xf>
    <xf numFmtId="0" fontId="30" fillId="0" borderId="21"/>
    <xf numFmtId="0" fontId="31" fillId="0" borderId="64"/>
    <xf numFmtId="0" fontId="32" fillId="0" borderId="65"/>
    <xf numFmtId="0" fontId="32" fillId="0" borderId="0"/>
    <xf numFmtId="0" fontId="28" fillId="0" borderId="180"/>
    <xf numFmtId="267" fontId="18" fillId="0" borderId="0"/>
    <xf numFmtId="9" fontId="18" fillId="0" borderId="0"/>
    <xf numFmtId="0" fontId="187" fillId="0" borderId="0"/>
    <xf numFmtId="267" fontId="18" fillId="0" borderId="0"/>
    <xf numFmtId="9" fontId="18" fillId="0" borderId="0"/>
    <xf numFmtId="267" fontId="18" fillId="0" borderId="0"/>
    <xf numFmtId="0" fontId="23" fillId="15" borderId="0"/>
    <xf numFmtId="267" fontId="18" fillId="0" borderId="0"/>
    <xf numFmtId="9" fontId="18" fillId="0" borderId="0"/>
    <xf numFmtId="267" fontId="18" fillId="0" borderId="0"/>
    <xf numFmtId="9" fontId="18" fillId="0" borderId="0"/>
    <xf numFmtId="267" fontId="18" fillId="0" borderId="0"/>
    <xf numFmtId="9" fontId="18" fillId="0" borderId="0"/>
    <xf numFmtId="0" fontId="77" fillId="31" borderId="184"/>
    <xf numFmtId="0" fontId="198" fillId="38" borderId="178"/>
    <xf numFmtId="267" fontId="18" fillId="0" borderId="0"/>
    <xf numFmtId="267" fontId="18" fillId="0" borderId="0"/>
    <xf numFmtId="9" fontId="18" fillId="0" borderId="0"/>
    <xf numFmtId="4" fontId="10" fillId="74" borderId="183" applyAlignment="1">
      <alignment horizontal="right" vertical="center"/>
    </xf>
    <xf numFmtId="0" fontId="18" fillId="34" borderId="182"/>
    <xf numFmtId="4" fontId="8" fillId="31" borderId="0" applyAlignment="1">
      <alignment horizontal="left" vertical="center" indent="1"/>
    </xf>
    <xf numFmtId="4" fontId="186" fillId="96" borderId="0" applyAlignment="1">
      <alignment horizontal="left" vertical="center" indent="1"/>
    </xf>
    <xf numFmtId="4" fontId="186" fillId="89" borderId="0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8" applyProtection="1">
      <protection locked="0" hidden="0"/>
    </xf>
    <xf numFmtId="0" fontId="180" fillId="97" borderId="0"/>
    <xf numFmtId="0" fontId="180" fillId="28" borderId="0"/>
    <xf numFmtId="0" fontId="23" fillId="98" borderId="0"/>
    <xf numFmtId="0" fontId="180" fillId="99" borderId="0"/>
    <xf numFmtId="0" fontId="180" fillId="27" borderId="0"/>
    <xf numFmtId="0" fontId="23" fillId="24" borderId="0"/>
    <xf numFmtId="0" fontId="180" fillId="100" borderId="0"/>
    <xf numFmtId="0" fontId="180" fillId="101" borderId="0"/>
    <xf numFmtId="0" fontId="23" fillId="102" borderId="0"/>
    <xf numFmtId="0" fontId="180" fillId="99" borderId="0"/>
    <xf numFmtId="0" fontId="180" fillId="25" borderId="0"/>
    <xf numFmtId="0" fontId="23" fillId="27" borderId="0"/>
    <xf numFmtId="0" fontId="180" fillId="26" borderId="0"/>
    <xf numFmtId="0" fontId="23" fillId="98" borderId="0"/>
    <xf numFmtId="0" fontId="180" fillId="35" borderId="0"/>
    <xf numFmtId="0" fontId="23" fillId="103" borderId="0"/>
    <xf numFmtId="0" fontId="180" fillId="101" borderId="0"/>
    <xf numFmtId="0" fontId="191" fillId="104" borderId="185"/>
    <xf numFmtId="0" fontId="27" fillId="105" borderId="7"/>
    <xf numFmtId="0" fontId="29" fillId="0" borderId="68"/>
    <xf numFmtId="0" fontId="28" fillId="106" borderId="0"/>
    <xf numFmtId="0" fontId="28" fillId="107" borderId="0"/>
    <xf numFmtId="0" fontId="23" fillId="17" borderId="0"/>
    <xf numFmtId="0" fontId="23" fillId="22" borderId="0"/>
    <xf numFmtId="0" fontId="23" fillId="108" borderId="0"/>
    <xf numFmtId="0" fontId="23" fillId="105" borderId="0"/>
    <xf numFmtId="0" fontId="23" fillId="98" borderId="0"/>
    <xf numFmtId="0" fontId="23" fillId="109" borderId="0"/>
    <xf numFmtId="0" fontId="33" fillId="35" borderId="185"/>
    <xf numFmtId="0" fontId="192" fillId="34" borderId="0"/>
    <xf numFmtId="0" fontId="29" fillId="35" borderId="0"/>
    <xf numFmtId="0" fontId="198" fillId="110" borderId="0"/>
    <xf numFmtId="0" fontId="198" fillId="34" borderId="185"/>
    <xf numFmtId="0" fontId="36" fillId="104" borderId="187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63" fillId="7" borderId="183" applyAlignment="1">
      <alignment vertical="center"/>
    </xf>
    <xf numFmtId="4" fontId="193" fillId="42" borderId="178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40" fillId="0" borderId="0"/>
    <xf numFmtId="0" fontId="30" fillId="0" borderId="19"/>
    <xf numFmtId="0" fontId="31" fillId="0" borderId="70"/>
    <xf numFmtId="0" fontId="32" fillId="0" borderId="71"/>
    <xf numFmtId="0" fontId="32" fillId="0" borderId="0"/>
    <xf numFmtId="0" fontId="28" fillId="0" borderId="180"/>
    <xf numFmtId="267" fontId="18" fillId="0" borderId="0"/>
    <xf numFmtId="267" fontId="18" fillId="0" borderId="0"/>
    <xf numFmtId="9" fontId="18" fillId="0" borderId="0"/>
    <xf numFmtId="267" fontId="18" fillId="0" borderId="0"/>
    <xf numFmtId="9" fontId="18" fillId="0" borderId="0"/>
    <xf numFmtId="267" fontId="18" fillId="0" borderId="0"/>
    <xf numFmtId="9" fontId="18" fillId="0" borderId="0"/>
    <xf numFmtId="0" fontId="36" fillId="44" borderId="187"/>
    <xf numFmtId="0" fontId="36" fillId="4" borderId="187"/>
    <xf numFmtId="0" fontId="23" fillId="33" borderId="0"/>
    <xf numFmtId="0" fontId="23" fillId="30" borderId="0"/>
    <xf numFmtId="0" fontId="23" fillId="22" borderId="0"/>
    <xf numFmtId="0" fontId="23" fillId="17" borderId="0"/>
    <xf numFmtId="0" fontId="23" fillId="25" borderId="0"/>
    <xf numFmtId="0" fontId="23" fillId="32" borderId="0"/>
    <xf numFmtId="0" fontId="36" fillId="104" borderId="187"/>
    <xf numFmtId="0" fontId="18" fillId="70" borderId="183" applyAlignment="1">
      <alignment horizontal="left" vertical="center" indent="1"/>
    </xf>
    <xf numFmtId="4" fontId="16" fillId="81" borderId="183" applyAlignment="1">
      <alignment horizontal="right" vertical="center"/>
    </xf>
    <xf numFmtId="4" fontId="10" fillId="75" borderId="183" applyAlignment="1">
      <alignment horizontal="right" vertical="center"/>
    </xf>
    <xf numFmtId="0" fontId="18" fillId="7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6" fillId="80" borderId="183" applyAlignment="1">
      <alignment horizontal="left" vertical="top" indent="1"/>
    </xf>
    <xf numFmtId="0" fontId="33" fillId="35" borderId="181"/>
    <xf numFmtId="0" fontId="23" fillId="15" borderId="0"/>
    <xf numFmtId="0" fontId="23" fillId="52" borderId="0"/>
    <xf numFmtId="0" fontId="28" fillId="0" borderId="180"/>
    <xf numFmtId="0" fontId="18" fillId="34" borderId="182"/>
    <xf numFmtId="0" fontId="26" fillId="4" borderId="181"/>
    <xf numFmtId="0" fontId="26" fillId="44" borderId="181"/>
    <xf numFmtId="4" fontId="13" fillId="81" borderId="183" applyAlignment="1">
      <alignment vertical="center"/>
    </xf>
    <xf numFmtId="0" fontId="23" fillId="52" borderId="0"/>
    <xf numFmtId="0" fontId="23" fillId="31" borderId="0"/>
    <xf numFmtId="0" fontId="18" fillId="34" borderId="182"/>
    <xf numFmtId="0" fontId="77" fillId="31" borderId="184"/>
    <xf numFmtId="0" fontId="23" fillId="15" borderId="0"/>
    <xf numFmtId="0" fontId="23" fillId="53" borderId="0"/>
    <xf numFmtId="4" fontId="198" fillId="36" borderId="185" applyAlignment="1">
      <alignment horizontal="right" vertical="center"/>
    </xf>
    <xf numFmtId="0" fontId="18" fillId="89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4" fontId="10" fillId="76" borderId="183" applyAlignment="1">
      <alignment horizontal="right" vertical="center"/>
    </xf>
    <xf numFmtId="0" fontId="18" fillId="81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23" fillId="52" borderId="0"/>
    <xf numFmtId="0" fontId="23" fillId="31" borderId="0"/>
    <xf numFmtId="4" fontId="13" fillId="81" borderId="183" applyAlignment="1">
      <alignment vertical="center"/>
    </xf>
    <xf numFmtId="0" fontId="23" fillId="52" borderId="0"/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33" fillId="35" borderId="185"/>
    <xf numFmtId="0" fontId="26" fillId="44" borderId="181"/>
    <xf numFmtId="0" fontId="26" fillId="4" borderId="181"/>
    <xf numFmtId="0" fontId="18" fillId="96" borderId="183" applyAlignment="1">
      <alignment horizontal="left" vertical="top" indent="1"/>
    </xf>
    <xf numFmtId="4" fontId="10" fillId="69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8" fillId="81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10" fillId="81" borderId="183" applyAlignment="1">
      <alignment vertical="center"/>
    </xf>
    <xf numFmtId="0" fontId="18" fillId="89" borderId="183" applyAlignment="1">
      <alignment horizontal="left" vertical="top" indent="1"/>
    </xf>
    <xf numFmtId="0" fontId="23" fillId="52" borderId="0"/>
    <xf numFmtId="0" fontId="41" fillId="5" borderId="181"/>
    <xf numFmtId="0" fontId="18" fillId="34" borderId="182"/>
    <xf numFmtId="4" fontId="196" fillId="4" borderId="185" applyAlignment="1">
      <alignment horizontal="right" vertical="center"/>
    </xf>
    <xf numFmtId="4" fontId="13" fillId="81" borderId="183" applyAlignment="1">
      <alignment horizontal="right" vertical="center"/>
    </xf>
    <xf numFmtId="0" fontId="33" fillId="35" borderId="181"/>
    <xf numFmtId="4" fontId="198" fillId="94" borderId="185" applyAlignment="1">
      <alignment horizontal="right" vertical="center"/>
    </xf>
    <xf numFmtId="0" fontId="18" fillId="14" borderId="183" applyAlignment="1">
      <alignment horizontal="left" vertical="top" indent="1"/>
    </xf>
    <xf numFmtId="0" fontId="18" fillId="0" borderId="0"/>
    <xf numFmtId="0" fontId="18" fillId="7" borderId="182"/>
    <xf numFmtId="0" fontId="18" fillId="34" borderId="182"/>
    <xf numFmtId="4" fontId="10" fillId="73" borderId="183" applyAlignment="1">
      <alignment horizontal="right" vertical="center"/>
    </xf>
    <xf numFmtId="0" fontId="18" fillId="31" borderId="183" applyAlignment="1">
      <alignment horizontal="left" vertical="center" indent="1"/>
    </xf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4" fontId="10" fillId="76" borderId="183" applyAlignment="1">
      <alignment horizontal="right" vertical="center"/>
    </xf>
    <xf numFmtId="0" fontId="18" fillId="31" borderId="183" applyAlignment="1">
      <alignment horizontal="left" vertical="top" indent="1"/>
    </xf>
    <xf numFmtId="4" fontId="8" fillId="7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8" fillId="79" borderId="179" applyAlignment="1">
      <alignment horizontal="left" vertical="center" indent="1"/>
    </xf>
    <xf numFmtId="0" fontId="186" fillId="42" borderId="183" applyAlignment="1">
      <alignment horizontal="left" vertical="top" indent="1"/>
    </xf>
    <xf numFmtId="0" fontId="163" fillId="89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0" fillId="71" borderId="183" applyAlignment="1">
      <alignment horizontal="right" vertical="center"/>
    </xf>
    <xf numFmtId="0" fontId="18" fillId="31" borderId="183" applyAlignment="1">
      <alignment horizontal="left" vertical="top" indent="1"/>
    </xf>
    <xf numFmtId="4" fontId="10" fillId="79" borderId="183" applyAlignment="1">
      <alignment horizontal="right" vertical="center"/>
    </xf>
    <xf numFmtId="4" fontId="10" fillId="79" borderId="183" applyAlignment="1">
      <alignment horizontal="right" vertical="center"/>
    </xf>
    <xf numFmtId="0" fontId="23" fillId="53" borderId="0"/>
    <xf numFmtId="4" fontId="10" fillId="77" borderId="183" applyAlignment="1">
      <alignment horizontal="right" vertical="center"/>
    </xf>
    <xf numFmtId="4" fontId="10" fillId="72" borderId="183" applyAlignment="1">
      <alignment horizontal="right" vertical="center"/>
    </xf>
    <xf numFmtId="0" fontId="23" fillId="31" borderId="0"/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33" fillId="35" borderId="185"/>
    <xf numFmtId="0" fontId="18" fillId="80" borderId="183" applyAlignment="1">
      <alignment horizontal="left" vertical="center" indent="1"/>
    </xf>
    <xf numFmtId="4" fontId="10" fillId="79" borderId="183" applyAlignment="1">
      <alignment horizontal="right" vertical="center"/>
    </xf>
    <xf numFmtId="0" fontId="18" fillId="89" borderId="183" applyAlignment="1">
      <alignment horizontal="left" vertical="top" indent="1"/>
    </xf>
    <xf numFmtId="4" fontId="13" fillId="81" borderId="183" applyAlignment="1">
      <alignment vertical="center"/>
    </xf>
    <xf numFmtId="0" fontId="18" fillId="79" borderId="183" applyAlignment="1">
      <alignment horizontal="left" vertical="center" indent="1"/>
    </xf>
    <xf numFmtId="0" fontId="36" fillId="4" borderId="187"/>
    <xf numFmtId="0" fontId="18" fillId="14" borderId="183" applyAlignment="1">
      <alignment horizontal="left" vertical="top" indent="1"/>
    </xf>
    <xf numFmtId="4" fontId="198" fillId="29" borderId="185" applyAlignment="1">
      <alignment horizontal="right" vertical="center"/>
    </xf>
    <xf numFmtId="0" fontId="18" fillId="96" borderId="183" applyAlignment="1">
      <alignment horizontal="left" vertical="center" indent="1"/>
    </xf>
    <xf numFmtId="0" fontId="36" fillId="44" borderId="187"/>
    <xf numFmtId="0" fontId="18" fillId="96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0" fontId="18" fillId="4" borderId="178" applyProtection="1">
      <protection locked="0" hidden="0"/>
    </xf>
    <xf numFmtId="0" fontId="23" fillId="15" borderId="0"/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0" fontId="33" fillId="35" borderId="181"/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0" fontId="23" fillId="52" borderId="0"/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98" fillId="92" borderId="185" applyAlignment="1">
      <alignment horizontal="right" vertical="center"/>
    </xf>
    <xf numFmtId="4" fontId="10" fillId="72" borderId="183" applyAlignment="1">
      <alignment horizontal="right" vertical="center"/>
    </xf>
    <xf numFmtId="0" fontId="23" fillId="53" borderId="0"/>
    <xf numFmtId="4" fontId="8" fillId="69" borderId="183" applyAlignment="1">
      <alignment vertical="center"/>
    </xf>
    <xf numFmtId="4" fontId="10" fillId="69" borderId="183" applyAlignment="1">
      <alignment horizontal="left" vertical="center" indent="1"/>
    </xf>
    <xf numFmtId="0" fontId="39" fillId="4" borderId="181"/>
    <xf numFmtId="0" fontId="18" fillId="4" borderId="178" applyProtection="1">
      <protection locked="0" hidden="0"/>
    </xf>
    <xf numFmtId="4" fontId="15" fillId="80" borderId="179" applyAlignment="1">
      <alignment horizontal="left" vertical="center" indent="1"/>
    </xf>
    <xf numFmtId="0" fontId="33" fillId="35" borderId="181"/>
    <xf numFmtId="4" fontId="9" fillId="69" borderId="183" applyAlignment="1">
      <alignment vertical="center"/>
    </xf>
    <xf numFmtId="4" fontId="8" fillId="79" borderId="179" applyAlignment="1">
      <alignment horizontal="left" vertical="center" indent="1"/>
    </xf>
    <xf numFmtId="0" fontId="18" fillId="7" borderId="182"/>
    <xf numFmtId="0" fontId="23" fillId="15" borderId="0"/>
    <xf numFmtId="4" fontId="10" fillId="75" borderId="183" applyAlignment="1">
      <alignment horizontal="right" vertical="center"/>
    </xf>
    <xf numFmtId="0" fontId="23" fillId="52" borderId="0"/>
    <xf numFmtId="0" fontId="18" fillId="96" borderId="183" applyAlignment="1">
      <alignment horizontal="left" vertical="top" indent="1"/>
    </xf>
    <xf numFmtId="4" fontId="10" fillId="72" borderId="183" applyAlignment="1">
      <alignment horizontal="right" vertical="center"/>
    </xf>
    <xf numFmtId="0" fontId="198" fillId="38" borderId="178"/>
    <xf numFmtId="0" fontId="23" fillId="52" borderId="0"/>
    <xf numFmtId="0" fontId="23" fillId="15" borderId="0"/>
    <xf numFmtId="0" fontId="18" fillId="34" borderId="182"/>
    <xf numFmtId="4" fontId="10" fillId="81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8" applyProtection="1">
      <protection locked="0" hidden="0"/>
    </xf>
    <xf numFmtId="0" fontId="18" fillId="89" borderId="183" applyAlignment="1">
      <alignment horizontal="left" vertical="top" indent="1"/>
    </xf>
    <xf numFmtId="4" fontId="8" fillId="69" borderId="183" applyAlignment="1">
      <alignment vertical="center"/>
    </xf>
    <xf numFmtId="0" fontId="18" fillId="70" borderId="183" applyAlignment="1">
      <alignment horizontal="left" vertical="center" indent="1"/>
    </xf>
    <xf numFmtId="0" fontId="198" fillId="38" borderId="178"/>
    <xf numFmtId="0" fontId="198" fillId="34" borderId="185"/>
    <xf numFmtId="4" fontId="10" fillId="81" borderId="183" applyAlignment="1">
      <alignment horizontal="right" vertical="center"/>
    </xf>
    <xf numFmtId="0" fontId="23" fillId="15" borderId="0"/>
    <xf numFmtId="4" fontId="9" fillId="69" borderId="183" applyAlignment="1">
      <alignment vertical="center"/>
    </xf>
    <xf numFmtId="4" fontId="8" fillId="69" borderId="183" applyAlignment="1">
      <alignment vertical="center"/>
    </xf>
    <xf numFmtId="0" fontId="18" fillId="80" borderId="183" applyAlignment="1">
      <alignment horizontal="left" vertical="center" indent="1"/>
    </xf>
    <xf numFmtId="4" fontId="163" fillId="12" borderId="183" applyAlignment="1">
      <alignment horizontal="left" vertical="center" indent="1"/>
    </xf>
    <xf numFmtId="0" fontId="198" fillId="38" borderId="178"/>
    <xf numFmtId="4" fontId="10" fillId="68" borderId="183" applyAlignment="1">
      <alignment horizontal="right" vertical="center"/>
    </xf>
    <xf numFmtId="0" fontId="36" fillId="104" borderId="187"/>
    <xf numFmtId="4" fontId="163" fillId="12" borderId="183" applyAlignment="1">
      <alignment horizontal="left" vertical="center" indent="1"/>
    </xf>
    <xf numFmtId="4" fontId="163" fillId="7" borderId="183" applyAlignment="1">
      <alignment vertical="center"/>
    </xf>
    <xf numFmtId="0" fontId="41" fillId="5" borderId="181"/>
    <xf numFmtId="0" fontId="18" fillId="89" borderId="183" applyAlignment="1">
      <alignment horizontal="left" vertical="top" indent="1"/>
    </xf>
    <xf numFmtId="0" fontId="23" fillId="15" borderId="0"/>
    <xf numFmtId="0" fontId="18" fillId="0" borderId="0"/>
    <xf numFmtId="0" fontId="26" fillId="4" borderId="181"/>
    <xf numFmtId="4" fontId="198" fillId="15" borderId="185" applyAlignment="1">
      <alignment horizontal="left" vertical="center" indent="1"/>
    </xf>
    <xf numFmtId="0" fontId="18" fillId="4" borderId="170" applyProtection="1">
      <protection locked="0" hidden="0"/>
    </xf>
    <xf numFmtId="4" fontId="13" fillId="81" borderId="183" applyAlignment="1">
      <alignment vertical="center"/>
    </xf>
    <xf numFmtId="0" fontId="18" fillId="89" borderId="183" applyAlignment="1">
      <alignment horizontal="left" vertical="top" indent="1"/>
    </xf>
    <xf numFmtId="4" fontId="10" fillId="61" borderId="183" applyAlignment="1">
      <alignment horizontal="right" vertical="center"/>
    </xf>
    <xf numFmtId="0" fontId="18" fillId="0" borderId="0"/>
    <xf numFmtId="4" fontId="198" fillId="95" borderId="186" applyAlignment="1">
      <alignment horizontal="left" vertical="center" indent="1"/>
    </xf>
    <xf numFmtId="4" fontId="50" fillId="79" borderId="183" applyAlignment="1">
      <alignment horizontal="left" vertical="center" wrapText="1"/>
    </xf>
    <xf numFmtId="0" fontId="26" fillId="44" borderId="181"/>
    <xf numFmtId="0" fontId="23" fillId="15" borderId="0"/>
    <xf numFmtId="0" fontId="18" fillId="14" borderId="183" applyAlignment="1">
      <alignment horizontal="left" vertical="center" indent="1"/>
    </xf>
    <xf numFmtId="4" fontId="10" fillId="74" borderId="183" applyAlignment="1">
      <alignment horizontal="right" vertical="center"/>
    </xf>
    <xf numFmtId="0" fontId="194" fillId="2" borderId="183" applyAlignment="1">
      <alignment horizontal="left" vertical="top" indent="1"/>
    </xf>
    <xf numFmtId="0" fontId="18" fillId="0" borderId="0"/>
    <xf numFmtId="0" fontId="18" fillId="14" borderId="183" applyAlignment="1">
      <alignment horizontal="left" vertical="top" indent="1"/>
    </xf>
    <xf numFmtId="4" fontId="198" fillId="111" borderId="185" applyAlignment="1">
      <alignment horizontal="right" vertical="center"/>
    </xf>
    <xf numFmtId="0" fontId="18" fillId="4" borderId="170" applyProtection="1">
      <protection locked="0" hidden="0"/>
    </xf>
    <xf numFmtId="4" fontId="10" fillId="71" borderId="183" applyAlignment="1">
      <alignment horizontal="right" vertical="center"/>
    </xf>
    <xf numFmtId="0" fontId="23" fillId="52" borderId="0"/>
    <xf numFmtId="4" fontId="10" fillId="69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4" fontId="9" fillId="69" borderId="183" applyAlignment="1">
      <alignment vertical="center"/>
    </xf>
    <xf numFmtId="4" fontId="195" fillId="86" borderId="186" applyAlignment="1">
      <alignment horizontal="left" vertical="center" indent="1"/>
    </xf>
    <xf numFmtId="4" fontId="163" fillId="7" borderId="183" applyAlignment="1">
      <alignment vertical="center"/>
    </xf>
    <xf numFmtId="4" fontId="193" fillId="42" borderId="178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0" fontId="23" fillId="53" borderId="0"/>
    <xf numFmtId="0" fontId="23" fillId="31" borderId="0"/>
    <xf numFmtId="0" fontId="163" fillId="89" borderId="183" applyAlignment="1">
      <alignment horizontal="left" vertical="top" indent="1"/>
    </xf>
    <xf numFmtId="0" fontId="23" fillId="15" borderId="0"/>
    <xf numFmtId="4" fontId="18" fillId="31" borderId="186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0" fillId="74" borderId="183" applyAlignment="1">
      <alignment horizontal="right" vertical="center"/>
    </xf>
    <xf numFmtId="0" fontId="18" fillId="34" borderId="182"/>
    <xf numFmtId="4" fontId="16" fillId="81" borderId="183" applyAlignment="1">
      <alignment horizontal="right" vertical="center"/>
    </xf>
    <xf numFmtId="0" fontId="18" fillId="79" borderId="183" applyAlignment="1">
      <alignment horizontal="left" vertical="top" indent="1"/>
    </xf>
    <xf numFmtId="4" fontId="193" fillId="69" borderId="185" applyAlignment="1">
      <alignment vertical="center"/>
    </xf>
    <xf numFmtId="0" fontId="23" fillId="15" borderId="0"/>
    <xf numFmtId="0" fontId="18" fillId="79" borderId="183" applyAlignment="1">
      <alignment horizontal="left" vertical="top" indent="1"/>
    </xf>
    <xf numFmtId="0" fontId="23" fillId="15" borderId="0"/>
    <xf numFmtId="0" fontId="18" fillId="0" borderId="0"/>
    <xf numFmtId="0" fontId="23" fillId="31" borderId="0"/>
    <xf numFmtId="4" fontId="198" fillId="89" borderId="185" applyAlignment="1">
      <alignment horizontal="right" vertical="center"/>
    </xf>
    <xf numFmtId="0" fontId="18" fillId="31" borderId="183" applyAlignment="1">
      <alignment horizontal="left" vertical="center" indent="1"/>
    </xf>
    <xf numFmtId="4" fontId="10" fillId="61" borderId="183" applyAlignment="1">
      <alignment horizontal="right" vertical="center"/>
    </xf>
    <xf numFmtId="0" fontId="39" fillId="4" borderId="181"/>
    <xf numFmtId="4" fontId="18" fillId="31" borderId="186" applyAlignment="1">
      <alignment horizontal="left" vertical="center" indent="1"/>
    </xf>
    <xf numFmtId="0" fontId="28" fillId="0" borderId="180"/>
    <xf numFmtId="4" fontId="16" fillId="81" borderId="183" applyAlignment="1">
      <alignment horizontal="right" vertical="center"/>
    </xf>
    <xf numFmtId="0" fontId="23" fillId="52" borderId="0"/>
    <xf numFmtId="0" fontId="23" fillId="15" borderId="0"/>
    <xf numFmtId="4" fontId="10" fillId="68" borderId="183" applyAlignment="1">
      <alignment horizontal="right" vertical="center"/>
    </xf>
    <xf numFmtId="0" fontId="18" fillId="0" borderId="0"/>
    <xf numFmtId="4" fontId="163" fillId="7" borderId="183" applyAlignment="1">
      <alignment vertical="center"/>
    </xf>
    <xf numFmtId="4" fontId="10" fillId="81" borderId="183" applyAlignment="1">
      <alignment vertical="center"/>
    </xf>
    <xf numFmtId="0" fontId="23" fillId="52" borderId="0"/>
    <xf numFmtId="0" fontId="36" fillId="4" borderId="187"/>
    <xf numFmtId="4" fontId="10" fillId="69" borderId="183" applyAlignment="1">
      <alignment horizontal="left" vertical="center" indent="1"/>
    </xf>
    <xf numFmtId="0" fontId="191" fillId="104" borderId="185"/>
    <xf numFmtId="4" fontId="10" fillId="77" borderId="183" applyAlignment="1">
      <alignment horizontal="right" vertical="center"/>
    </xf>
    <xf numFmtId="4" fontId="198" fillId="95" borderId="186" applyAlignment="1">
      <alignment horizontal="left" vertical="center" indent="1"/>
    </xf>
    <xf numFmtId="4" fontId="10" fillId="74" borderId="183" applyAlignment="1">
      <alignment horizontal="right" vertical="center"/>
    </xf>
    <xf numFmtId="4" fontId="10" fillId="61" borderId="183" applyAlignment="1">
      <alignment horizontal="right" vertical="center"/>
    </xf>
    <xf numFmtId="0" fontId="28" fillId="0" borderId="180"/>
    <xf numFmtId="0" fontId="18" fillId="34" borderId="182"/>
    <xf numFmtId="0" fontId="23" fillId="31" borderId="0"/>
    <xf numFmtId="0" fontId="18" fillId="14" borderId="183" applyAlignment="1">
      <alignment horizontal="left" vertical="top" indent="1"/>
    </xf>
    <xf numFmtId="0" fontId="194" fillId="2" borderId="183" applyAlignment="1">
      <alignment horizontal="left" vertical="top" indent="1"/>
    </xf>
    <xf numFmtId="0" fontId="198" fillId="38" borderId="170"/>
    <xf numFmtId="4" fontId="193" fillId="69" borderId="185" applyAlignment="1">
      <alignment vertical="center"/>
    </xf>
    <xf numFmtId="4" fontId="198" fillId="0" borderId="185" applyAlignment="1">
      <alignment horizontal="right" vertical="center"/>
    </xf>
    <xf numFmtId="0" fontId="33" fillId="35" borderId="181"/>
    <xf numFmtId="4" fontId="198" fillId="93" borderId="185" applyAlignment="1">
      <alignment horizontal="right" vertical="center"/>
    </xf>
    <xf numFmtId="4" fontId="8" fillId="69" borderId="183" applyAlignment="1">
      <alignment vertical="center"/>
    </xf>
    <xf numFmtId="0" fontId="18" fillId="0" borderId="0"/>
    <xf numFmtId="0" fontId="18" fillId="34" borderId="182"/>
    <xf numFmtId="0" fontId="39" fillId="4" borderId="181"/>
    <xf numFmtId="4" fontId="198" fillId="89" borderId="185" applyAlignment="1">
      <alignment horizontal="right" vertical="center"/>
    </xf>
    <xf numFmtId="4" fontId="18" fillId="31" borderId="186" applyAlignment="1">
      <alignment horizontal="left" vertical="center" indent="1"/>
    </xf>
    <xf numFmtId="4" fontId="10" fillId="68" borderId="183" applyAlignment="1">
      <alignment horizontal="right" vertical="center"/>
    </xf>
    <xf numFmtId="0" fontId="186" fillId="80" borderId="183" applyAlignment="1">
      <alignment horizontal="left" vertical="top" indent="1"/>
    </xf>
    <xf numFmtId="0" fontId="18" fillId="4" borderId="170" applyProtection="1">
      <protection locked="0" hidden="0"/>
    </xf>
    <xf numFmtId="0" fontId="18" fillId="34" borderId="182"/>
    <xf numFmtId="4" fontId="8" fillId="79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4" fontId="9" fillId="69" borderId="183" applyAlignment="1">
      <alignment vertical="center"/>
    </xf>
    <xf numFmtId="4" fontId="8" fillId="69" borderId="183" applyAlignment="1">
      <alignment vertical="center"/>
    </xf>
    <xf numFmtId="0" fontId="36" fillId="4" borderId="187"/>
    <xf numFmtId="0" fontId="23" fillId="31" borderId="0"/>
    <xf numFmtId="4" fontId="8" fillId="79" borderId="179" applyAlignment="1">
      <alignment horizontal="left" vertical="center" indent="1"/>
    </xf>
    <xf numFmtId="4" fontId="198" fillId="90" borderId="185" applyAlignment="1">
      <alignment horizontal="right" vertical="center"/>
    </xf>
    <xf numFmtId="0" fontId="18" fillId="80" borderId="183" applyAlignment="1">
      <alignment horizontal="left" vertical="top" indent="1"/>
    </xf>
    <xf numFmtId="4" fontId="10" fillId="61" borderId="183" applyAlignment="1">
      <alignment horizontal="right" vertical="center"/>
    </xf>
    <xf numFmtId="4" fontId="10" fillId="73" borderId="183" applyAlignment="1">
      <alignment horizontal="right" vertical="center"/>
    </xf>
    <xf numFmtId="0" fontId="186" fillId="42" borderId="183" applyAlignment="1">
      <alignment horizontal="left" vertical="top" indent="1"/>
    </xf>
    <xf numFmtId="0" fontId="33" fillId="35" borderId="181"/>
    <xf numFmtId="4" fontId="10" fillId="77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0" fontId="23" fillId="15" borderId="0"/>
    <xf numFmtId="4" fontId="198" fillId="90" borderId="185" applyAlignment="1">
      <alignment horizontal="right" vertical="center"/>
    </xf>
    <xf numFmtId="0" fontId="23" fillId="15" borderId="0"/>
    <xf numFmtId="0" fontId="23" fillId="31" borderId="0"/>
    <xf numFmtId="4" fontId="10" fillId="79" borderId="183" applyAlignment="1">
      <alignment horizontal="right" vertical="center"/>
    </xf>
    <xf numFmtId="0" fontId="163" fillId="7" borderId="183" applyAlignment="1">
      <alignment horizontal="left" vertical="top" indent="1"/>
    </xf>
    <xf numFmtId="0" fontId="23" fillId="52" borderId="0"/>
    <xf numFmtId="0" fontId="23" fillId="52" borderId="0"/>
    <xf numFmtId="4" fontId="193" fillId="41" borderId="185" applyAlignment="1">
      <alignment horizontal="right" vertical="center"/>
    </xf>
    <xf numFmtId="4" fontId="10" fillId="69" borderId="183" applyAlignment="1">
      <alignment horizontal="left" vertical="center" indent="1"/>
    </xf>
    <xf numFmtId="4" fontId="198" fillId="92" borderId="185" applyAlignment="1">
      <alignment horizontal="right" vertical="center"/>
    </xf>
    <xf numFmtId="4" fontId="9" fillId="69" borderId="183" applyAlignment="1">
      <alignment vertical="center"/>
    </xf>
    <xf numFmtId="0" fontId="18" fillId="7" borderId="182"/>
    <xf numFmtId="4" fontId="10" fillId="68" borderId="183" applyAlignment="1">
      <alignment horizontal="right" vertical="center"/>
    </xf>
    <xf numFmtId="4" fontId="10" fillId="81" borderId="183" applyAlignment="1">
      <alignment vertical="center"/>
    </xf>
    <xf numFmtId="0" fontId="18" fillId="31" borderId="183" applyAlignment="1">
      <alignment horizontal="left" vertical="center" indent="1"/>
    </xf>
    <xf numFmtId="4" fontId="198" fillId="10" borderId="186" applyAlignment="1">
      <alignment horizontal="right" vertical="center"/>
    </xf>
    <xf numFmtId="0" fontId="23" fillId="52" borderId="0"/>
    <xf numFmtId="4" fontId="10" fillId="68" borderId="183" applyAlignment="1">
      <alignment horizontal="right" vertical="center"/>
    </xf>
    <xf numFmtId="0" fontId="23" fillId="31" borderId="0"/>
    <xf numFmtId="4" fontId="10" fillId="76" borderId="183" applyAlignment="1">
      <alignment horizontal="right" vertical="center"/>
    </xf>
    <xf numFmtId="4" fontId="198" fillId="2" borderId="185" applyAlignment="1">
      <alignment vertical="center"/>
    </xf>
    <xf numFmtId="4" fontId="15" fillId="80" borderId="179" applyAlignment="1">
      <alignment horizontal="left" vertical="center" indent="1"/>
    </xf>
    <xf numFmtId="4" fontId="193" fillId="42" borderId="170" applyAlignment="1">
      <alignment vertical="center"/>
    </xf>
    <xf numFmtId="4" fontId="198" fillId="2" borderId="185" applyAlignment="1">
      <alignment vertical="center"/>
    </xf>
    <xf numFmtId="0" fontId="18" fillId="80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0" fontId="23" fillId="52" borderId="0"/>
    <xf numFmtId="4" fontId="10" fillId="71" borderId="183" applyAlignment="1">
      <alignment horizontal="right" vertical="center"/>
    </xf>
    <xf numFmtId="0" fontId="23" fillId="15" borderId="0"/>
    <xf numFmtId="4" fontId="10" fillId="79" borderId="183" applyAlignment="1">
      <alignment horizontal="right" vertical="center"/>
    </xf>
    <xf numFmtId="0" fontId="33" fillId="35" borderId="185"/>
    <xf numFmtId="0" fontId="18" fillId="4" borderId="178" applyProtection="1">
      <protection locked="0" hidden="0"/>
    </xf>
    <xf numFmtId="0" fontId="23" fillId="31" borderId="0"/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69" borderId="185" applyAlignment="1">
      <alignment horizontal="left" vertical="center" indent="1"/>
    </xf>
    <xf numFmtId="0" fontId="18" fillId="0" borderId="0"/>
    <xf numFmtId="0" fontId="186" fillId="42" borderId="183" applyAlignment="1">
      <alignment horizontal="left" vertical="top" indent="1"/>
    </xf>
    <xf numFmtId="0" fontId="11" fillId="69" borderId="183" applyAlignment="1">
      <alignment horizontal="left" vertical="top" indent="1"/>
    </xf>
    <xf numFmtId="0" fontId="39" fillId="4" borderId="181"/>
    <xf numFmtId="4" fontId="10" fillId="77" borderId="183" applyAlignment="1">
      <alignment horizontal="right" vertical="center"/>
    </xf>
    <xf numFmtId="4" fontId="10" fillId="81" borderId="183" applyAlignment="1">
      <alignment horizontal="right" vertical="center"/>
    </xf>
    <xf numFmtId="0" fontId="18" fillId="89" borderId="183" applyAlignment="1">
      <alignment horizontal="left" vertical="center" indent="1"/>
    </xf>
    <xf numFmtId="0" fontId="191" fillId="104" borderId="185"/>
    <xf numFmtId="0" fontId="18" fillId="0" borderId="0"/>
    <xf numFmtId="4" fontId="10" fillId="76" borderId="183" applyAlignment="1">
      <alignment horizontal="right" vertical="center"/>
    </xf>
    <xf numFmtId="4" fontId="50" fillId="79" borderId="183" applyAlignment="1">
      <alignment horizontal="left" vertical="center" wrapText="1"/>
    </xf>
    <xf numFmtId="0" fontId="186" fillId="7" borderId="183" applyAlignment="1">
      <alignment horizontal="left" vertical="top" indent="1"/>
    </xf>
    <xf numFmtId="4" fontId="13" fillId="81" borderId="183" applyAlignment="1">
      <alignment horizontal="right" vertical="center"/>
    </xf>
    <xf numFmtId="4" fontId="198" fillId="94" borderId="185" applyAlignment="1">
      <alignment horizontal="right" vertical="center"/>
    </xf>
    <xf numFmtId="4" fontId="15" fillId="80" borderId="179" applyAlignment="1">
      <alignment horizontal="left" vertical="center" indent="1"/>
    </xf>
    <xf numFmtId="0" fontId="23" fillId="52" borderId="0"/>
    <xf numFmtId="4" fontId="10" fillId="61" borderId="183" applyAlignment="1">
      <alignment horizontal="right" vertical="center"/>
    </xf>
    <xf numFmtId="4" fontId="10" fillId="73" borderId="183" applyAlignment="1">
      <alignment horizontal="right" vertical="center"/>
    </xf>
    <xf numFmtId="0" fontId="18" fillId="80" borderId="183" applyAlignment="1">
      <alignment horizontal="left" vertical="center" indent="1"/>
    </xf>
    <xf numFmtId="0" fontId="23" fillId="52" borderId="0"/>
    <xf numFmtId="4" fontId="10" fillId="77" borderId="183" applyAlignment="1">
      <alignment horizontal="right" vertical="center"/>
    </xf>
    <xf numFmtId="0" fontId="41" fillId="5" borderId="181"/>
    <xf numFmtId="0" fontId="36" fillId="44" borderId="187"/>
    <xf numFmtId="4" fontId="198" fillId="93" borderId="185" applyAlignment="1">
      <alignment horizontal="right" vertical="center"/>
    </xf>
    <xf numFmtId="0" fontId="23" fillId="52" borderId="0"/>
    <xf numFmtId="4" fontId="198" fillId="10" borderId="186" applyAlignment="1">
      <alignment horizontal="right" vertical="center"/>
    </xf>
    <xf numFmtId="0" fontId="18" fillId="34" borderId="182"/>
    <xf numFmtId="4" fontId="198" fillId="69" borderId="185" applyAlignment="1">
      <alignment horizontal="left" vertical="center" indent="1"/>
    </xf>
    <xf numFmtId="0" fontId="23" fillId="31" borderId="0"/>
    <xf numFmtId="0" fontId="198" fillId="38" borderId="170"/>
    <xf numFmtId="0" fontId="18" fillId="34" borderId="182"/>
    <xf numFmtId="4" fontId="10" fillId="75" borderId="183" applyAlignment="1">
      <alignment horizontal="right" vertical="center"/>
    </xf>
    <xf numFmtId="0" fontId="18" fillId="31" borderId="183" applyAlignment="1">
      <alignment horizontal="left" vertical="top" indent="1"/>
    </xf>
    <xf numFmtId="0" fontId="26" fillId="4" borderId="181"/>
    <xf numFmtId="4" fontId="50" fillId="79" borderId="183" applyAlignment="1">
      <alignment horizontal="left" vertical="center" wrapText="1"/>
    </xf>
    <xf numFmtId="4" fontId="15" fillId="80" borderId="179" applyAlignment="1">
      <alignment horizontal="left" vertical="center" indent="1"/>
    </xf>
    <xf numFmtId="0" fontId="18" fillId="81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4" fontId="10" fillId="81" borderId="183" applyAlignment="1">
      <alignment vertical="center"/>
    </xf>
    <xf numFmtId="4" fontId="10" fillId="75" borderId="183" applyAlignment="1">
      <alignment horizontal="right" vertical="center"/>
    </xf>
    <xf numFmtId="4" fontId="10" fillId="61" borderId="183" applyAlignment="1">
      <alignment horizontal="right" vertical="center"/>
    </xf>
    <xf numFmtId="4" fontId="8" fillId="69" borderId="183" applyAlignment="1">
      <alignment vertical="center"/>
    </xf>
    <xf numFmtId="0" fontId="23" fillId="53" borderId="0"/>
    <xf numFmtId="0" fontId="23" fillId="53" borderId="0"/>
    <xf numFmtId="4" fontId="50" fillId="79" borderId="183" applyAlignment="1">
      <alignment horizontal="left" vertical="center" wrapText="1"/>
    </xf>
    <xf numFmtId="0" fontId="33" fillId="35" borderId="181"/>
    <xf numFmtId="0" fontId="18" fillId="7" borderId="182"/>
    <xf numFmtId="0" fontId="36" fillId="4" borderId="187"/>
    <xf numFmtId="4" fontId="9" fillId="69" borderId="183" applyAlignment="1">
      <alignment vertical="center"/>
    </xf>
    <xf numFmtId="4" fontId="10" fillId="6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1" borderId="183" applyAlignment="1">
      <alignment horizontal="right" vertical="center"/>
    </xf>
    <xf numFmtId="0" fontId="18" fillId="14" borderId="183" applyAlignment="1">
      <alignment horizontal="left" vertical="top" indent="1"/>
    </xf>
    <xf numFmtId="0" fontId="18" fillId="0" borderId="0"/>
    <xf numFmtId="0" fontId="18" fillId="96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98" fillId="34" borderId="185"/>
    <xf numFmtId="0" fontId="18" fillId="96" borderId="183" applyAlignment="1">
      <alignment horizontal="left" vertical="center" indent="1"/>
    </xf>
    <xf numFmtId="0" fontId="23" fillId="52" borderId="0"/>
    <xf numFmtId="0" fontId="36" fillId="44" borderId="187"/>
    <xf numFmtId="0" fontId="36" fillId="4" borderId="187"/>
    <xf numFmtId="0" fontId="11" fillId="69" borderId="183" applyAlignment="1">
      <alignment horizontal="left" vertical="top" indent="1"/>
    </xf>
    <xf numFmtId="4" fontId="10" fillId="81" borderId="183" applyAlignment="1">
      <alignment vertical="center"/>
    </xf>
    <xf numFmtId="0" fontId="18" fillId="4" borderId="178" applyProtection="1">
      <protection locked="0" hidden="0"/>
    </xf>
    <xf numFmtId="4" fontId="198" fillId="111" borderId="185" applyAlignment="1">
      <alignment horizontal="right" vertical="center"/>
    </xf>
    <xf numFmtId="0" fontId="36" fillId="104" borderId="187"/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81" borderId="183" applyAlignment="1">
      <alignment horizontal="left" vertical="top" indent="1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5" fillId="80" borderId="179" applyAlignment="1">
      <alignment horizontal="left" vertical="center" indent="1"/>
    </xf>
    <xf numFmtId="0" fontId="18" fillId="31" borderId="183" applyAlignment="1">
      <alignment horizontal="left" vertical="center" indent="1"/>
    </xf>
    <xf numFmtId="4" fontId="198" fillId="111" borderId="185" applyAlignment="1">
      <alignment horizontal="right" vertical="center"/>
    </xf>
    <xf numFmtId="0" fontId="18" fillId="31" borderId="183" applyAlignment="1">
      <alignment horizontal="left" vertical="center" indent="1"/>
    </xf>
    <xf numFmtId="4" fontId="198" fillId="92" borderId="185" applyAlignment="1">
      <alignment horizontal="right" vertical="center"/>
    </xf>
    <xf numFmtId="0" fontId="18" fillId="31" borderId="183" applyAlignment="1">
      <alignment horizontal="left" vertical="top" indent="1"/>
    </xf>
    <xf numFmtId="4" fontId="198" fillId="94" borderId="185" applyAlignment="1">
      <alignment horizontal="right" vertical="center"/>
    </xf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4" fontId="198" fillId="36" borderId="185" applyAlignment="1">
      <alignment horizontal="right" vertical="center"/>
    </xf>
    <xf numFmtId="0" fontId="18" fillId="79" borderId="183" applyAlignment="1">
      <alignment horizontal="left" vertical="center" indent="1"/>
    </xf>
    <xf numFmtId="0" fontId="26" fillId="44" borderId="181"/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4" fontId="16" fillId="81" borderId="183" applyAlignment="1">
      <alignment horizontal="right" vertical="center"/>
    </xf>
    <xf numFmtId="0" fontId="18" fillId="96" borderId="183" applyAlignment="1">
      <alignment horizontal="left" vertical="top" indent="1"/>
    </xf>
    <xf numFmtId="0" fontId="23" fillId="53" borderId="0"/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0" fontId="23" fillId="15" borderId="0"/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0" fontId="11" fillId="69" borderId="183" applyAlignment="1">
      <alignment horizontal="left" vertical="top" indent="1"/>
    </xf>
    <xf numFmtId="0" fontId="186" fillId="80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4" fontId="10" fillId="72" borderId="183" applyAlignment="1">
      <alignment horizontal="right" vertical="center"/>
    </xf>
    <xf numFmtId="0" fontId="28" fillId="0" borderId="180"/>
    <xf numFmtId="4" fontId="10" fillId="69" borderId="183" applyAlignment="1">
      <alignment horizontal="left" vertical="center" indent="1"/>
    </xf>
    <xf numFmtId="0" fontId="33" fillId="35" borderId="181"/>
    <xf numFmtId="4" fontId="10" fillId="61" borderId="183" applyAlignment="1">
      <alignment horizontal="right" vertical="center"/>
    </xf>
    <xf numFmtId="0" fontId="23" fillId="31" borderId="0"/>
    <xf numFmtId="4" fontId="13" fillId="81" borderId="183" applyAlignment="1">
      <alignment horizontal="right" vertical="center"/>
    </xf>
    <xf numFmtId="0" fontId="18" fillId="0" borderId="0"/>
    <xf numFmtId="4" fontId="198" fillId="94" borderId="185" applyAlignment="1">
      <alignment horizontal="right" vertical="center"/>
    </xf>
    <xf numFmtId="0" fontId="194" fillId="2" borderId="183" applyAlignment="1">
      <alignment horizontal="left" vertical="top" indent="1"/>
    </xf>
    <xf numFmtId="4" fontId="198" fillId="95" borderId="186" applyAlignment="1">
      <alignment horizontal="left" vertical="center" indent="1"/>
    </xf>
    <xf numFmtId="4" fontId="195" fillId="86" borderId="186" applyAlignment="1">
      <alignment horizontal="left" vertical="center" indent="1"/>
    </xf>
    <xf numFmtId="0" fontId="33" fillId="35" borderId="181"/>
    <xf numFmtId="0" fontId="77" fillId="31" borderId="184"/>
    <xf numFmtId="0" fontId="18" fillId="34" borderId="182"/>
    <xf numFmtId="4" fontId="10" fillId="75" borderId="183" applyAlignment="1">
      <alignment horizontal="right" vertical="center"/>
    </xf>
    <xf numFmtId="0" fontId="18" fillId="34" borderId="182"/>
    <xf numFmtId="0" fontId="18" fillId="31" borderId="183" applyAlignment="1">
      <alignment horizontal="left" vertical="top" indent="1"/>
    </xf>
    <xf numFmtId="0" fontId="194" fillId="2" borderId="183" applyAlignment="1">
      <alignment horizontal="left" vertical="top" indent="1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23" fillId="31" borderId="0"/>
    <xf numFmtId="4" fontId="10" fillId="76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9" fillId="69" borderId="183" applyAlignment="1">
      <alignment vertical="center"/>
    </xf>
    <xf numFmtId="0" fontId="23" fillId="52" borderId="0"/>
    <xf numFmtId="0" fontId="18" fillId="7" borderId="182"/>
    <xf numFmtId="0" fontId="191" fillId="104" borderId="185"/>
    <xf numFmtId="0" fontId="26" fillId="4" borderId="181"/>
    <xf numFmtId="4" fontId="10" fillId="61" borderId="183" applyAlignment="1">
      <alignment horizontal="right" vertical="center"/>
    </xf>
    <xf numFmtId="4" fontId="10" fillId="72" borderId="183" applyAlignment="1">
      <alignment horizontal="right" vertical="center"/>
    </xf>
    <xf numFmtId="0" fontId="18" fillId="96" borderId="183" applyAlignment="1">
      <alignment horizontal="left" vertical="top" indent="1"/>
    </xf>
    <xf numFmtId="0" fontId="18" fillId="31" borderId="183" applyAlignment="1">
      <alignment horizontal="left" vertical="center" indent="1"/>
    </xf>
    <xf numFmtId="4" fontId="16" fillId="81" borderId="183" applyAlignment="1">
      <alignment horizontal="right" vertical="center"/>
    </xf>
    <xf numFmtId="4" fontId="10" fillId="72" borderId="183" applyAlignment="1">
      <alignment horizontal="right" vertical="center"/>
    </xf>
    <xf numFmtId="4" fontId="9" fillId="69" borderId="183" applyAlignment="1">
      <alignment vertical="center"/>
    </xf>
    <xf numFmtId="0" fontId="33" fillId="35" borderId="185"/>
    <xf numFmtId="4" fontId="10" fillId="81" borderId="183" applyAlignment="1">
      <alignment vertical="center"/>
    </xf>
    <xf numFmtId="0" fontId="198" fillId="34" borderId="185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63" fillId="7" borderId="183" applyAlignment="1">
      <alignment vertical="center"/>
    </xf>
    <xf numFmtId="0" fontId="23" fillId="52" borderId="0"/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23" fillId="15" borderId="0"/>
    <xf numFmtId="4" fontId="10" fillId="71" borderId="183" applyAlignment="1">
      <alignment horizontal="right" vertical="center"/>
    </xf>
    <xf numFmtId="0" fontId="28" fillId="0" borderId="180"/>
    <xf numFmtId="0" fontId="11" fillId="2" borderId="183" applyAlignment="1">
      <alignment horizontal="left" vertical="top" indent="1"/>
    </xf>
    <xf numFmtId="0" fontId="18" fillId="7" borderId="182"/>
    <xf numFmtId="0" fontId="36" fillId="44" borderId="187"/>
    <xf numFmtId="0" fontId="36" fillId="4" borderId="187"/>
    <xf numFmtId="0" fontId="18" fillId="89" borderId="183" applyAlignment="1">
      <alignment horizontal="left" vertical="center" indent="1"/>
    </xf>
    <xf numFmtId="4" fontId="8" fillId="69" borderId="183" applyAlignment="1">
      <alignment vertical="center"/>
    </xf>
    <xf numFmtId="4" fontId="10" fillId="71" borderId="183" applyAlignment="1">
      <alignment horizontal="right" vertical="center"/>
    </xf>
    <xf numFmtId="4" fontId="10" fillId="74" borderId="183" applyAlignment="1">
      <alignment horizontal="right" vertical="center"/>
    </xf>
    <xf numFmtId="4" fontId="198" fillId="39" borderId="185" applyAlignment="1">
      <alignment horizontal="right" vertical="center"/>
    </xf>
    <xf numFmtId="0" fontId="36" fillId="104" borderId="187"/>
    <xf numFmtId="0" fontId="18" fillId="96" borderId="183" applyAlignment="1">
      <alignment horizontal="left" vertical="top" indent="1"/>
    </xf>
    <xf numFmtId="4" fontId="9" fillId="69" borderId="183" applyAlignment="1">
      <alignment vertical="center"/>
    </xf>
    <xf numFmtId="0" fontId="18" fillId="4" borderId="178" applyProtection="1">
      <protection locked="0" hidden="0"/>
    </xf>
    <xf numFmtId="4" fontId="10" fillId="71" borderId="183" applyAlignment="1">
      <alignment horizontal="right" vertical="center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0" fontId="186" fillId="7" borderId="183" applyAlignment="1">
      <alignment horizontal="left" vertical="top" indent="1"/>
    </xf>
    <xf numFmtId="0" fontId="23" fillId="15" borderId="0"/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3" fillId="81" borderId="183" applyAlignment="1">
      <alignment horizontal="right" vertical="center"/>
    </xf>
    <xf numFmtId="4" fontId="10" fillId="77" borderId="183" applyAlignment="1">
      <alignment horizontal="right" vertical="center"/>
    </xf>
    <xf numFmtId="0" fontId="39" fillId="4" borderId="181"/>
    <xf numFmtId="0" fontId="18" fillId="89" borderId="183" applyAlignment="1">
      <alignment horizontal="left" vertical="top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3" fillId="81" borderId="183" applyAlignment="1">
      <alignment vertical="center"/>
    </xf>
    <xf numFmtId="4" fontId="10" fillId="79" borderId="183" applyAlignment="1">
      <alignment horizontal="right" vertical="center"/>
    </xf>
    <xf numFmtId="4" fontId="10" fillId="73" borderId="183" applyAlignment="1">
      <alignment horizontal="right" vertical="center"/>
    </xf>
    <xf numFmtId="0" fontId="18" fillId="80" borderId="183" applyAlignment="1">
      <alignment horizontal="left" vertical="center" indent="1"/>
    </xf>
    <xf numFmtId="0" fontId="18" fillId="34" borderId="182"/>
    <xf numFmtId="0" fontId="23" fillId="52" borderId="0"/>
    <xf numFmtId="0" fontId="18" fillId="96" borderId="183" applyAlignment="1">
      <alignment horizontal="left" vertical="center" indent="1"/>
    </xf>
    <xf numFmtId="0" fontId="18" fillId="0" borderId="0"/>
    <xf numFmtId="0" fontId="18" fillId="4" borderId="178" applyProtection="1">
      <protection locked="0" hidden="0"/>
    </xf>
    <xf numFmtId="0" fontId="23" fillId="52" borderId="0"/>
    <xf numFmtId="0" fontId="18" fillId="81" borderId="183" applyAlignment="1">
      <alignment horizontal="left" vertical="center" indent="1"/>
    </xf>
    <xf numFmtId="0" fontId="33" fillId="35" borderId="181"/>
    <xf numFmtId="0" fontId="26" fillId="4" borderId="181"/>
    <xf numFmtId="0" fontId="198" fillId="38" borderId="178"/>
    <xf numFmtId="4" fontId="10" fillId="68" borderId="183" applyAlignment="1">
      <alignment horizontal="right" vertical="center"/>
    </xf>
    <xf numFmtId="0" fontId="191" fillId="104" borderId="185"/>
    <xf numFmtId="4" fontId="9" fillId="69" borderId="183" applyAlignment="1">
      <alignment vertical="center"/>
    </xf>
    <xf numFmtId="4" fontId="13" fillId="81" borderId="183" applyAlignment="1">
      <alignment horizontal="right" vertical="center"/>
    </xf>
    <xf numFmtId="0" fontId="18" fillId="34" borderId="182"/>
    <xf numFmtId="0" fontId="18" fillId="79" borderId="183" applyAlignment="1">
      <alignment horizontal="left" vertical="top" indent="1"/>
    </xf>
    <xf numFmtId="4" fontId="13" fillId="81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8" applyProtection="1">
      <protection locked="0" hidden="0"/>
    </xf>
    <xf numFmtId="0" fontId="23" fillId="52" borderId="0"/>
    <xf numFmtId="0" fontId="186" fillId="7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4" fontId="198" fillId="0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23" fillId="15" borderId="0"/>
    <xf numFmtId="4" fontId="10" fillId="81" borderId="183" applyAlignment="1">
      <alignment vertical="center"/>
    </xf>
    <xf numFmtId="0" fontId="186" fillId="80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4" fontId="10" fillId="75" borderId="183" applyAlignment="1">
      <alignment horizontal="right" vertical="center"/>
    </xf>
    <xf numFmtId="0" fontId="191" fillId="104" borderId="185"/>
    <xf numFmtId="4" fontId="9" fillId="69" borderId="183" applyAlignment="1">
      <alignment vertical="center"/>
    </xf>
    <xf numFmtId="0" fontId="18" fillId="55" borderId="187" applyAlignment="1">
      <alignment horizontal="left" vertical="center" indent="1"/>
    </xf>
    <xf numFmtId="4" fontId="198" fillId="0" borderId="185" applyAlignment="1">
      <alignment horizontal="right" vertical="center"/>
    </xf>
    <xf numFmtId="4" fontId="193" fillId="42" borderId="178" applyAlignment="1">
      <alignment vertical="center"/>
    </xf>
    <xf numFmtId="0" fontId="198" fillId="38" borderId="178"/>
    <xf numFmtId="0" fontId="23" fillId="31" borderId="0"/>
    <xf numFmtId="4" fontId="198" fillId="15" borderId="185" applyAlignment="1">
      <alignment horizontal="left" vertical="center" indent="1"/>
    </xf>
    <xf numFmtId="0" fontId="33" fillId="35" borderId="185"/>
    <xf numFmtId="0" fontId="11" fillId="69" borderId="183" applyAlignment="1">
      <alignment horizontal="left" vertical="top" indent="1"/>
    </xf>
    <xf numFmtId="0" fontId="198" fillId="34" borderId="185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63" fillId="7" borderId="183" applyAlignment="1">
      <alignment vertical="center"/>
    </xf>
    <xf numFmtId="4" fontId="193" fillId="42" borderId="178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18" fillId="34" borderId="182"/>
    <xf numFmtId="4" fontId="8" fillId="79" borderId="183" applyAlignment="1">
      <alignment horizontal="left" vertical="center" indent="1"/>
    </xf>
    <xf numFmtId="4" fontId="10" fillId="76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10" fillId="74" borderId="183" applyAlignment="1">
      <alignment horizontal="right" vertical="center"/>
    </xf>
    <xf numFmtId="4" fontId="198" fillId="2" borderId="185" applyAlignment="1">
      <alignment vertical="center"/>
    </xf>
    <xf numFmtId="0" fontId="41" fillId="5" borderId="181"/>
    <xf numFmtId="4" fontId="10" fillId="71" borderId="183" applyAlignment="1">
      <alignment horizontal="right" vertical="center"/>
    </xf>
    <xf numFmtId="0" fontId="23" fillId="52" borderId="0"/>
    <xf numFmtId="0" fontId="18" fillId="14" borderId="183" applyAlignment="1">
      <alignment horizontal="left" vertical="top" indent="1"/>
    </xf>
    <xf numFmtId="0" fontId="23" fillId="31" borderId="0"/>
    <xf numFmtId="0" fontId="23" fillId="53" borderId="0"/>
    <xf numFmtId="0" fontId="23" fillId="52" borderId="0"/>
    <xf numFmtId="4" fontId="10" fillId="68" borderId="183" applyAlignment="1">
      <alignment horizontal="right" vertical="center"/>
    </xf>
    <xf numFmtId="0" fontId="23" fillId="15" borderId="0"/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3" fillId="81" borderId="183" applyAlignment="1">
      <alignment horizontal="right" vertical="center"/>
    </xf>
    <xf numFmtId="4" fontId="16" fillId="81" borderId="183" applyAlignment="1">
      <alignment horizontal="right" vertical="center"/>
    </xf>
    <xf numFmtId="0" fontId="18" fillId="96" borderId="183" applyAlignment="1">
      <alignment horizontal="left" vertical="center" indent="1"/>
    </xf>
    <xf numFmtId="0" fontId="18" fillId="80" borderId="183" applyAlignment="1">
      <alignment horizontal="left" vertical="center" indent="1"/>
    </xf>
    <xf numFmtId="4" fontId="193" fillId="42" borderId="178" applyAlignment="1">
      <alignment vertical="center"/>
    </xf>
    <xf numFmtId="4" fontId="193" fillId="41" borderId="185" applyAlignment="1">
      <alignment horizontal="right" vertical="center"/>
    </xf>
    <xf numFmtId="4" fontId="196" fillId="4" borderId="185" applyAlignment="1">
      <alignment horizontal="right" vertical="center"/>
    </xf>
    <xf numFmtId="0" fontId="18" fillId="0" borderId="0"/>
    <xf numFmtId="0" fontId="26" fillId="4" borderId="181"/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8" fillId="69" borderId="183" applyAlignment="1">
      <alignment vertical="center"/>
    </xf>
    <xf numFmtId="0" fontId="23" fillId="15" borderId="0"/>
    <xf numFmtId="0" fontId="18" fillId="31" borderId="183" applyAlignment="1">
      <alignment horizontal="left" vertical="center" indent="1"/>
    </xf>
    <xf numFmtId="0" fontId="198" fillId="34" borderId="185"/>
    <xf numFmtId="4" fontId="198" fillId="69" borderId="185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" fillId="31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5" fillId="80" borderId="179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0" fillId="73" borderId="183" applyAlignment="1">
      <alignment horizontal="right" vertical="center"/>
    </xf>
    <xf numFmtId="4" fontId="10" fillId="75" borderId="183" applyAlignment="1">
      <alignment horizontal="right" vertical="center"/>
    </xf>
    <xf numFmtId="0" fontId="23" fillId="53" borderId="0"/>
    <xf numFmtId="0" fontId="23" fillId="15" borderId="0"/>
    <xf numFmtId="0" fontId="186" fillId="7" borderId="183" applyAlignment="1">
      <alignment horizontal="left" vertical="top" indent="1"/>
    </xf>
    <xf numFmtId="0" fontId="18" fillId="4" borderId="178" applyProtection="1">
      <protection locked="0" hidden="0"/>
    </xf>
    <xf numFmtId="4" fontId="10" fillId="74" borderId="183" applyAlignment="1">
      <alignment horizontal="right" vertical="center"/>
    </xf>
    <xf numFmtId="0" fontId="39" fillId="4" borderId="181"/>
    <xf numFmtId="4" fontId="10" fillId="72" borderId="183" applyAlignment="1">
      <alignment horizontal="right" vertical="center"/>
    </xf>
    <xf numFmtId="0" fontId="23" fillId="53" borderId="0"/>
    <xf numFmtId="0" fontId="18" fillId="34" borderId="182"/>
    <xf numFmtId="4" fontId="9" fillId="69" borderId="183" applyAlignment="1">
      <alignment vertical="center"/>
    </xf>
    <xf numFmtId="0" fontId="18" fillId="70" borderId="183" applyAlignment="1">
      <alignment horizontal="left" vertical="center" indent="1"/>
    </xf>
    <xf numFmtId="4" fontId="195" fillId="86" borderId="186" applyAlignment="1">
      <alignment horizontal="left" vertical="center" indent="1"/>
    </xf>
    <xf numFmtId="4" fontId="198" fillId="2" borderId="185" applyAlignment="1">
      <alignment vertical="center"/>
    </xf>
    <xf numFmtId="4" fontId="10" fillId="76" borderId="183" applyAlignment="1">
      <alignment horizontal="right" vertical="center"/>
    </xf>
    <xf numFmtId="0" fontId="23" fillId="15" borderId="0"/>
    <xf numFmtId="0" fontId="23" fillId="53" borderId="0"/>
    <xf numFmtId="0" fontId="36" fillId="4" borderId="187"/>
    <xf numFmtId="4" fontId="10" fillId="69" borderId="183" applyAlignment="1">
      <alignment horizontal="left" vertical="center" indent="1"/>
    </xf>
    <xf numFmtId="4" fontId="198" fillId="95" borderId="186" applyAlignment="1">
      <alignment horizontal="left" vertical="center" indent="1"/>
    </xf>
    <xf numFmtId="4" fontId="198" fillId="93" borderId="185" applyAlignment="1">
      <alignment horizontal="right" vertical="center"/>
    </xf>
    <xf numFmtId="0" fontId="18" fillId="81" borderId="183" applyAlignment="1">
      <alignment horizontal="left" vertical="top" indent="1"/>
    </xf>
    <xf numFmtId="4" fontId="10" fillId="71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4" fontId="13" fillId="81" borderId="183" applyAlignment="1">
      <alignment vertical="center"/>
    </xf>
    <xf numFmtId="0" fontId="18" fillId="34" borderId="182"/>
    <xf numFmtId="4" fontId="8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7" borderId="183" applyAlignment="1">
      <alignment horizontal="right" vertical="center"/>
    </xf>
    <xf numFmtId="0" fontId="23" fillId="52" borderId="0"/>
    <xf numFmtId="4" fontId="8" fillId="79" borderId="183" applyAlignment="1">
      <alignment horizontal="left" vertical="center" indent="1"/>
    </xf>
    <xf numFmtId="0" fontId="33" fillId="35" borderId="181"/>
    <xf numFmtId="0" fontId="18" fillId="14" borderId="183" applyAlignment="1">
      <alignment horizontal="left" vertical="center" indent="1"/>
    </xf>
    <xf numFmtId="4" fontId="198" fillId="29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8" fillId="69" borderId="183" applyAlignment="1">
      <alignment vertical="center"/>
    </xf>
    <xf numFmtId="0" fontId="23" fillId="53" borderId="0"/>
    <xf numFmtId="4" fontId="10" fillId="68" borderId="183" applyAlignment="1">
      <alignment horizontal="right" vertical="center"/>
    </xf>
    <xf numFmtId="0" fontId="18" fillId="79" borderId="183" applyAlignment="1">
      <alignment horizontal="left" vertical="center" indent="1"/>
    </xf>
    <xf numFmtId="4" fontId="10" fillId="81" borderId="183" applyAlignment="1">
      <alignment vertical="center"/>
    </xf>
    <xf numFmtId="0" fontId="23" fillId="15" borderId="0"/>
    <xf numFmtId="0" fontId="23" fillId="52" borderId="0"/>
    <xf numFmtId="0" fontId="18" fillId="96" borderId="183" applyAlignment="1">
      <alignment horizontal="left" vertical="top" indent="1"/>
    </xf>
    <xf numFmtId="4" fontId="198" fillId="90" borderId="185" applyAlignment="1">
      <alignment horizontal="right" vertical="center"/>
    </xf>
    <xf numFmtId="4" fontId="198" fillId="89" borderId="185" applyAlignment="1">
      <alignment horizontal="right" vertical="center"/>
    </xf>
    <xf numFmtId="0" fontId="163" fillId="7" borderId="183" applyAlignment="1">
      <alignment horizontal="left" vertical="top" indent="1"/>
    </xf>
    <xf numFmtId="0" fontId="163" fillId="89" borderId="183" applyAlignment="1">
      <alignment horizontal="left" vertical="top" indent="1"/>
    </xf>
    <xf numFmtId="4" fontId="10" fillId="73" borderId="183" applyAlignment="1">
      <alignment horizontal="right" vertical="center"/>
    </xf>
    <xf numFmtId="0" fontId="186" fillId="42" borderId="183" applyAlignment="1">
      <alignment horizontal="left" vertical="top" indent="1"/>
    </xf>
    <xf numFmtId="0" fontId="23" fillId="31" borderId="0"/>
    <xf numFmtId="0" fontId="36" fillId="44" borderId="187"/>
    <xf numFmtId="4" fontId="10" fillId="77" borderId="183" applyAlignment="1">
      <alignment horizontal="right" vertical="center"/>
    </xf>
    <xf numFmtId="4" fontId="193" fillId="69" borderId="185" applyAlignment="1">
      <alignment vertical="center"/>
    </xf>
    <xf numFmtId="0" fontId="18" fillId="4" borderId="178" applyProtection="1">
      <protection locked="0" hidden="0"/>
    </xf>
    <xf numFmtId="0" fontId="18" fillId="96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4" fontId="10" fillId="68" borderId="183" applyAlignment="1">
      <alignment horizontal="right" vertical="center"/>
    </xf>
    <xf numFmtId="4" fontId="198" fillId="10" borderId="186" applyAlignment="1">
      <alignment horizontal="right" vertical="center"/>
    </xf>
    <xf numFmtId="4" fontId="198" fillId="36" borderId="185" applyAlignment="1">
      <alignment horizontal="right" vertical="center"/>
    </xf>
    <xf numFmtId="4" fontId="10" fillId="61" borderId="183" applyAlignment="1">
      <alignment horizontal="right" vertical="center"/>
    </xf>
    <xf numFmtId="0" fontId="23" fillId="52" borderId="0"/>
    <xf numFmtId="0" fontId="18" fillId="79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4" fontId="10" fillId="68" borderId="183" applyAlignment="1">
      <alignment horizontal="right" vertical="center"/>
    </xf>
    <xf numFmtId="4" fontId="10" fillId="79" borderId="183" applyAlignment="1">
      <alignment horizontal="right" vertical="center"/>
    </xf>
    <xf numFmtId="0" fontId="23" fillId="53" borderId="0"/>
    <xf numFmtId="4" fontId="10" fillId="79" borderId="183" applyAlignment="1">
      <alignment horizontal="right" vertical="center"/>
    </xf>
    <xf numFmtId="0" fontId="23" fillId="15" borderId="0"/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4" borderId="178" applyProtection="1">
      <protection locked="0" hidden="0"/>
    </xf>
    <xf numFmtId="0" fontId="23" fillId="52" borderId="0"/>
    <xf numFmtId="4" fontId="8" fillId="79" borderId="179" applyAlignment="1">
      <alignment horizontal="left" vertical="center" indent="1"/>
    </xf>
    <xf numFmtId="0" fontId="33" fillId="35" borderId="185"/>
    <xf numFmtId="0" fontId="18" fillId="89" borderId="183" applyAlignment="1">
      <alignment horizontal="left" vertical="center" indent="1"/>
    </xf>
    <xf numFmtId="4" fontId="10" fillId="81" borderId="183" applyAlignment="1">
      <alignment horizontal="right" vertical="center"/>
    </xf>
    <xf numFmtId="4" fontId="10" fillId="72" borderId="183" applyAlignment="1">
      <alignment horizontal="right" vertical="center"/>
    </xf>
    <xf numFmtId="0" fontId="23" fillId="52" borderId="0"/>
    <xf numFmtId="0" fontId="18" fillId="4" borderId="178" applyProtection="1">
      <protection locked="0" hidden="0"/>
    </xf>
    <xf numFmtId="0" fontId="18" fillId="14" borderId="183" applyAlignment="1">
      <alignment horizontal="left" vertical="top" indent="1"/>
    </xf>
    <xf numFmtId="0" fontId="23" fillId="15" borderId="0"/>
    <xf numFmtId="0" fontId="23" fillId="15" borderId="0"/>
    <xf numFmtId="0" fontId="23" fillId="52" borderId="0"/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18" fillId="0" borderId="0"/>
    <xf numFmtId="0" fontId="18" fillId="14" borderId="183" applyAlignment="1">
      <alignment horizontal="left" vertical="center" indent="1"/>
    </xf>
    <xf numFmtId="4" fontId="163" fillId="12" borderId="183" applyAlignment="1">
      <alignment horizontal="left" vertical="center" indent="1"/>
    </xf>
    <xf numFmtId="4" fontId="193" fillId="41" borderId="185" applyAlignment="1">
      <alignment horizontal="right" vertical="center"/>
    </xf>
    <xf numFmtId="4" fontId="196" fillId="4" borderId="185" applyAlignment="1">
      <alignment horizontal="right" vertical="center"/>
    </xf>
    <xf numFmtId="4" fontId="16" fillId="81" borderId="183" applyAlignment="1">
      <alignment horizontal="right" vertical="center"/>
    </xf>
    <xf numFmtId="0" fontId="18" fillId="0" borderId="0"/>
    <xf numFmtId="0" fontId="26" fillId="44" borderId="181"/>
    <xf numFmtId="0" fontId="18" fillId="34" borderId="182"/>
    <xf numFmtId="4" fontId="10" fillId="69" borderId="183" applyAlignment="1">
      <alignment horizontal="left" vertical="center" indent="1"/>
    </xf>
    <xf numFmtId="0" fontId="41" fillId="5" borderId="181"/>
    <xf numFmtId="4" fontId="198" fillId="69" borderId="185" applyAlignment="1">
      <alignment horizontal="left" vertical="center" indent="1"/>
    </xf>
    <xf numFmtId="4" fontId="10" fillId="76" borderId="183" applyAlignment="1">
      <alignment horizontal="right" vertical="center"/>
    </xf>
    <xf numFmtId="4" fontId="10" fillId="73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0" fillId="74" borderId="183" applyAlignment="1">
      <alignment horizontal="right" vertical="center"/>
    </xf>
    <xf numFmtId="0" fontId="23" fillId="15" borderId="0"/>
    <xf numFmtId="0" fontId="18" fillId="34" borderId="182"/>
    <xf numFmtId="0" fontId="18" fillId="89" borderId="183" applyAlignment="1">
      <alignment horizontal="left" vertical="top" indent="1"/>
    </xf>
    <xf numFmtId="0" fontId="23" fillId="15" borderId="0"/>
    <xf numFmtId="4" fontId="8" fillId="69" borderId="183" applyAlignment="1">
      <alignment vertical="center"/>
    </xf>
    <xf numFmtId="4" fontId="198" fillId="39" borderId="185" applyAlignment="1">
      <alignment horizontal="right" vertical="center"/>
    </xf>
    <xf numFmtId="4" fontId="10" fillId="61" borderId="183" applyAlignment="1">
      <alignment horizontal="right" vertical="center"/>
    </xf>
    <xf numFmtId="4" fontId="10" fillId="76" borderId="183" applyAlignment="1">
      <alignment horizontal="right" vertical="center"/>
    </xf>
    <xf numFmtId="0" fontId="18" fillId="0" borderId="0"/>
    <xf numFmtId="0" fontId="23" fillId="53" borderId="0"/>
    <xf numFmtId="4" fontId="10" fillId="71" borderId="183" applyAlignment="1">
      <alignment horizontal="right" vertical="center"/>
    </xf>
    <xf numFmtId="0" fontId="23" fillId="52" borderId="0"/>
    <xf numFmtId="4" fontId="10" fillId="74" borderId="183" applyAlignment="1">
      <alignment horizontal="right" vertical="center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70" borderId="183" applyAlignment="1">
      <alignment horizontal="left" vertical="top" indent="1"/>
    </xf>
    <xf numFmtId="0" fontId="23" fillId="31" borderId="0"/>
    <xf numFmtId="0" fontId="33" fillId="35" borderId="181"/>
    <xf numFmtId="0" fontId="11" fillId="2" borderId="183" applyAlignment="1">
      <alignment horizontal="left" vertical="top" indent="1"/>
    </xf>
    <xf numFmtId="4" fontId="10" fillId="75" borderId="183" applyAlignment="1">
      <alignment horizontal="right" vertical="center"/>
    </xf>
    <xf numFmtId="4" fontId="50" fillId="79" borderId="183" applyAlignment="1">
      <alignment horizontal="left" vertical="center" wrapText="1"/>
    </xf>
    <xf numFmtId="4" fontId="8" fillId="79" borderId="183" applyAlignment="1">
      <alignment horizontal="left" vertical="center" indent="1"/>
    </xf>
    <xf numFmtId="0" fontId="23" fillId="15" borderId="0"/>
    <xf numFmtId="4" fontId="198" fillId="29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10" fillId="79" borderId="183" applyAlignment="1">
      <alignment horizontal="right" vertical="center"/>
    </xf>
    <xf numFmtId="0" fontId="186" fillId="7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4" fontId="10" fillId="72" borderId="183" applyAlignment="1">
      <alignment horizontal="right" vertical="center"/>
    </xf>
    <xf numFmtId="0" fontId="18" fillId="14" borderId="183" applyAlignment="1">
      <alignment horizontal="left" vertical="top" indent="1"/>
    </xf>
    <xf numFmtId="0" fontId="186" fillId="80" borderId="183" applyAlignment="1">
      <alignment horizontal="left" vertical="top" indent="1"/>
    </xf>
    <xf numFmtId="0" fontId="23" fillId="52" borderId="0"/>
    <xf numFmtId="0" fontId="18" fillId="14" borderId="183" applyAlignment="1">
      <alignment horizontal="left" vertical="top" indent="1"/>
    </xf>
    <xf numFmtId="4" fontId="198" fillId="90" borderId="185" applyAlignment="1">
      <alignment horizontal="right" vertical="center"/>
    </xf>
    <xf numFmtId="4" fontId="163" fillId="7" borderId="183" applyAlignment="1">
      <alignment vertical="center"/>
    </xf>
    <xf numFmtId="0" fontId="163" fillId="7" borderId="183" applyAlignment="1">
      <alignment horizontal="left" vertical="top" indent="1"/>
    </xf>
    <xf numFmtId="0" fontId="163" fillId="89" borderId="183" applyAlignment="1">
      <alignment horizontal="left" vertical="top" indent="1"/>
    </xf>
    <xf numFmtId="0" fontId="18" fillId="34" borderId="182"/>
    <xf numFmtId="4" fontId="193" fillId="69" borderId="185" applyAlignment="1">
      <alignment vertical="center"/>
    </xf>
    <xf numFmtId="0" fontId="18" fillId="31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0" fontId="23" fillId="52" borderId="0"/>
    <xf numFmtId="0" fontId="23" fillId="52" borderId="0"/>
    <xf numFmtId="4" fontId="10" fillId="79" borderId="183" applyAlignment="1">
      <alignment horizontal="right" vertical="center"/>
    </xf>
    <xf numFmtId="0" fontId="26" fillId="44" borderId="181"/>
    <xf numFmtId="4" fontId="8" fillId="69" borderId="183" applyAlignment="1">
      <alignment vertical="center"/>
    </xf>
    <xf numFmtId="0" fontId="18" fillId="70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4" fontId="10" fillId="79" borderId="183" applyAlignment="1">
      <alignment horizontal="right" vertical="center"/>
    </xf>
    <xf numFmtId="0" fontId="18" fillId="80" borderId="183" applyAlignment="1">
      <alignment horizontal="left" vertical="top" indent="1"/>
    </xf>
    <xf numFmtId="0" fontId="198" fillId="34" borderId="185"/>
    <xf numFmtId="0" fontId="18" fillId="96" borderId="183" applyAlignment="1">
      <alignment horizontal="left" vertical="center" indent="1"/>
    </xf>
    <xf numFmtId="0" fontId="18" fillId="0" borderId="0"/>
    <xf numFmtId="4" fontId="10" fillId="75" borderId="183" applyAlignment="1">
      <alignment horizontal="right" vertical="center"/>
    </xf>
    <xf numFmtId="0" fontId="28" fillId="0" borderId="180"/>
    <xf numFmtId="4" fontId="10" fillId="75" borderId="183" applyAlignment="1">
      <alignment horizontal="right" vertical="center"/>
    </xf>
    <xf numFmtId="4" fontId="10" fillId="81" borderId="183" applyAlignment="1">
      <alignment vertical="center"/>
    </xf>
    <xf numFmtId="4" fontId="50" fillId="79" borderId="183" applyAlignment="1">
      <alignment horizontal="left" vertical="center" wrapText="1"/>
    </xf>
    <xf numFmtId="0" fontId="18" fillId="96" borderId="183" applyAlignment="1">
      <alignment horizontal="left" vertical="center" indent="1"/>
    </xf>
    <xf numFmtId="0" fontId="23" fillId="52" borderId="0"/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23" fillId="15" borderId="0"/>
    <xf numFmtId="0" fontId="18" fillId="89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" fillId="14" borderId="183" applyAlignment="1">
      <alignment horizontal="left" vertical="center" indent="1"/>
    </xf>
    <xf numFmtId="0" fontId="39" fillId="4" borderId="181"/>
    <xf numFmtId="4" fontId="163" fillId="7" borderId="183" applyAlignment="1">
      <alignment vertical="center"/>
    </xf>
    <xf numFmtId="0" fontId="163" fillId="7" borderId="183" applyAlignment="1">
      <alignment horizontal="left" vertical="top" indent="1"/>
    </xf>
    <xf numFmtId="0" fontId="163" fillId="89" borderId="183" applyAlignment="1">
      <alignment horizontal="left" vertical="top" indent="1"/>
    </xf>
    <xf numFmtId="0" fontId="28" fillId="0" borderId="180"/>
    <xf numFmtId="0" fontId="41" fillId="5" borderId="181"/>
    <xf numFmtId="0" fontId="77" fillId="31" borderId="184"/>
    <xf numFmtId="0" fontId="186" fillId="42" borderId="183" applyAlignment="1">
      <alignment horizontal="left" vertical="top" indent="1"/>
    </xf>
    <xf numFmtId="0" fontId="23" fillId="15" borderId="0"/>
    <xf numFmtId="4" fontId="13" fillId="81" borderId="183" applyAlignment="1">
      <alignment horizontal="right" vertical="center"/>
    </xf>
    <xf numFmtId="0" fontId="23" fillId="52" borderId="0"/>
    <xf numFmtId="0" fontId="23" fillId="31" borderId="0"/>
    <xf numFmtId="0" fontId="23" fillId="52" borderId="0"/>
    <xf numFmtId="0" fontId="18" fillId="31" borderId="183" applyAlignment="1">
      <alignment horizontal="left" vertical="top" indent="1"/>
    </xf>
    <xf numFmtId="4" fontId="13" fillId="81" borderId="183" applyAlignment="1">
      <alignment vertical="center"/>
    </xf>
    <xf numFmtId="0" fontId="23" fillId="15" borderId="0"/>
    <xf numFmtId="0" fontId="18" fillId="81" borderId="183" applyAlignment="1">
      <alignment horizontal="left" vertical="top" indent="1"/>
    </xf>
    <xf numFmtId="4" fontId="10" fillId="61" borderId="183" applyAlignment="1">
      <alignment horizontal="right" vertical="center"/>
    </xf>
    <xf numFmtId="4" fontId="10" fillId="73" borderId="183" applyAlignment="1">
      <alignment horizontal="right" vertical="center"/>
    </xf>
    <xf numFmtId="0" fontId="18" fillId="96" borderId="183" applyAlignment="1">
      <alignment horizontal="left" vertical="top" indent="1"/>
    </xf>
    <xf numFmtId="4" fontId="10" fillId="81" borderId="183" applyAlignment="1">
      <alignment horizontal="right" vertical="center"/>
    </xf>
    <xf numFmtId="0" fontId="18" fillId="96" borderId="183" applyAlignment="1">
      <alignment horizontal="left" vertical="top" indent="1"/>
    </xf>
    <xf numFmtId="4" fontId="193" fillId="42" borderId="178" applyAlignment="1">
      <alignment vertical="center"/>
    </xf>
    <xf numFmtId="0" fontId="18" fillId="4" borderId="178" applyProtection="1">
      <protection locked="0" hidden="0"/>
    </xf>
    <xf numFmtId="0" fontId="18" fillId="7" borderId="182"/>
    <xf numFmtId="0" fontId="36" fillId="4" borderId="187"/>
    <xf numFmtId="4" fontId="13" fillId="81" borderId="183" applyAlignment="1">
      <alignment vertical="center"/>
    </xf>
    <xf numFmtId="0" fontId="23" fillId="15" borderId="0"/>
    <xf numFmtId="0" fontId="23" fillId="52" borderId="0"/>
    <xf numFmtId="4" fontId="8" fillId="79" borderId="179" applyAlignment="1">
      <alignment horizontal="left" vertical="center" indent="1"/>
    </xf>
    <xf numFmtId="4" fontId="163" fillId="12" borderId="183" applyAlignment="1">
      <alignment horizontal="left" vertical="center" indent="1"/>
    </xf>
    <xf numFmtId="0" fontId="23" fillId="53" borderId="0"/>
    <xf numFmtId="0" fontId="28" fillId="0" borderId="180"/>
    <xf numFmtId="0" fontId="33" fillId="35" borderId="181"/>
    <xf numFmtId="0" fontId="18" fillId="0" borderId="0"/>
    <xf numFmtId="0" fontId="36" fillId="44" borderId="187"/>
    <xf numFmtId="0" fontId="36" fillId="4" borderId="187"/>
    <xf numFmtId="0" fontId="194" fillId="2" borderId="183" applyAlignment="1">
      <alignment horizontal="left" vertical="top" indent="1"/>
    </xf>
    <xf numFmtId="0" fontId="33" fillId="35" borderId="181"/>
    <xf numFmtId="0" fontId="36" fillId="104" borderId="187"/>
    <xf numFmtId="0" fontId="23" fillId="53" borderId="0"/>
    <xf numFmtId="0" fontId="23" fillId="53" borderId="0"/>
    <xf numFmtId="0" fontId="18" fillId="0" borderId="0"/>
    <xf numFmtId="0" fontId="18" fillId="31" borderId="183" applyAlignment="1">
      <alignment horizontal="left" vertical="center" indent="1"/>
    </xf>
    <xf numFmtId="0" fontId="18" fillId="0" borderId="0"/>
    <xf numFmtId="0" fontId="18" fillId="4" borderId="178" applyProtection="1">
      <protection locked="0" hidden="0"/>
    </xf>
    <xf numFmtId="4" fontId="15" fillId="80" borderId="179" applyAlignment="1">
      <alignment horizontal="left" vertical="center" indent="1"/>
    </xf>
    <xf numFmtId="0" fontId="18" fillId="96" borderId="183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23" fillId="53" borderId="0"/>
    <xf numFmtId="0" fontId="18" fillId="79" borderId="183" applyAlignment="1">
      <alignment horizontal="left" vertical="top" indent="1"/>
    </xf>
    <xf numFmtId="0" fontId="191" fillId="104" borderId="185"/>
    <xf numFmtId="0" fontId="23" fillId="15" borderId="0"/>
    <xf numFmtId="4" fontId="8" fillId="79" borderId="179" applyAlignment="1">
      <alignment horizontal="left" vertical="center" indent="1"/>
    </xf>
    <xf numFmtId="0" fontId="33" fillId="35" borderId="185"/>
    <xf numFmtId="0" fontId="198" fillId="34" borderId="185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0" fontId="18" fillId="70" borderId="183" applyAlignment="1">
      <alignment horizontal="left" vertical="center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23" fillId="15" borderId="0"/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18" fillId="0" borderId="0"/>
    <xf numFmtId="0" fontId="23" fillId="31" borderId="0"/>
    <xf numFmtId="0" fontId="23" fillId="15" borderId="0"/>
    <xf numFmtId="0" fontId="180" fillId="89" borderId="0"/>
    <xf numFmtId="0" fontId="180" fillId="13" borderId="0"/>
    <xf numFmtId="0" fontId="180" fillId="14" borderId="0"/>
    <xf numFmtId="0" fontId="180" fillId="39" borderId="0"/>
    <xf numFmtId="0" fontId="180" fillId="31" borderId="0"/>
    <xf numFmtId="0" fontId="180" fillId="29" borderId="0"/>
    <xf numFmtId="0" fontId="180" fillId="31" borderId="0"/>
    <xf numFmtId="0" fontId="23" fillId="31" borderId="0"/>
    <xf numFmtId="0" fontId="23" fillId="29" borderId="0"/>
    <xf numFmtId="0" fontId="23" fillId="31" borderId="0"/>
    <xf numFmtId="0" fontId="26" fillId="4" borderId="181"/>
    <xf numFmtId="0" fontId="23" fillId="10" borderId="0"/>
    <xf numFmtId="0" fontId="23" fillId="29" borderId="0"/>
    <xf numFmtId="0" fontId="23" fillId="91" borderId="0"/>
    <xf numFmtId="0" fontId="23" fillId="92" borderId="0"/>
    <xf numFmtId="0" fontId="79" fillId="53" borderId="0"/>
    <xf numFmtId="0" fontId="33" fillId="35" borderId="181"/>
    <xf numFmtId="0" fontId="31" fillId="0" borderId="64"/>
    <xf numFmtId="0" fontId="32" fillId="0" borderId="65"/>
    <xf numFmtId="0" fontId="187" fillId="0" borderId="0"/>
    <xf numFmtId="267" fontId="18" fillId="0" borderId="0"/>
    <xf numFmtId="9" fontId="18" fillId="0" borderId="0"/>
    <xf numFmtId="267" fontId="18" fillId="0" borderId="0"/>
    <xf numFmtId="9" fontId="18" fillId="0" borderId="0"/>
    <xf numFmtId="0" fontId="187" fillId="0" borderId="0"/>
    <xf numFmtId="0" fontId="197" fillId="112" borderId="17"/>
    <xf numFmtId="9" fontId="187" fillId="0" borderId="0"/>
    <xf numFmtId="0" fontId="187" fillId="0" borderId="0"/>
    <xf numFmtId="9" fontId="187" fillId="0" borderId="0"/>
    <xf numFmtId="0" fontId="18" fillId="70" borderId="183" applyAlignment="1">
      <alignment horizontal="left" vertical="top" indent="1"/>
    </xf>
    <xf numFmtId="0" fontId="33" fillId="35" borderId="181"/>
    <xf numFmtId="4" fontId="10" fillId="77" borderId="183" applyAlignment="1">
      <alignment horizontal="right" vertical="center"/>
    </xf>
    <xf numFmtId="4" fontId="13" fillId="81" borderId="183" applyAlignment="1">
      <alignment horizontal="right" vertical="center"/>
    </xf>
    <xf numFmtId="0" fontId="18" fillId="4" borderId="178" applyProtection="1">
      <protection locked="0" hidden="0"/>
    </xf>
    <xf numFmtId="4" fontId="10" fillId="77" borderId="183" applyAlignment="1">
      <alignment horizontal="right" vertical="center"/>
    </xf>
    <xf numFmtId="0" fontId="18" fillId="96" borderId="183" applyAlignment="1">
      <alignment horizontal="left" vertical="center" inden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4" fontId="10" fillId="75" borderId="183" applyAlignment="1">
      <alignment horizontal="right" vertical="center"/>
    </xf>
    <xf numFmtId="165" fontId="18" fillId="0" borderId="0"/>
    <xf numFmtId="165" fontId="18" fillId="0" borderId="0"/>
    <xf numFmtId="4" fontId="10" fillId="76" borderId="183" applyAlignment="1">
      <alignment horizontal="right" vertical="center"/>
    </xf>
    <xf numFmtId="4" fontId="10" fillId="79" borderId="183" applyAlignment="1">
      <alignment horizontal="right" vertical="center"/>
    </xf>
    <xf numFmtId="4" fontId="9" fillId="69" borderId="183" applyAlignment="1">
      <alignment vertical="center"/>
    </xf>
    <xf numFmtId="4" fontId="10" fillId="75" borderId="183" applyAlignment="1">
      <alignment horizontal="right" vertical="center"/>
    </xf>
    <xf numFmtId="4" fontId="186" fillId="42" borderId="187" applyAlignment="1">
      <alignment horizontal="left" vertical="center" indent="1"/>
    </xf>
    <xf numFmtId="4" fontId="67" fillId="77" borderId="183" applyAlignment="1">
      <alignment horizontal="right" vertical="center"/>
    </xf>
    <xf numFmtId="4" fontId="10" fillId="61" borderId="183" applyAlignment="1">
      <alignment horizontal="right" vertical="center"/>
    </xf>
    <xf numFmtId="0" fontId="186" fillId="42" borderId="183" applyAlignment="1">
      <alignment horizontal="left" vertical="top" indent="1"/>
    </xf>
    <xf numFmtId="0" fontId="11" fillId="2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10" fillId="77" borderId="183" applyAlignment="1">
      <alignment horizontal="right" vertical="center"/>
    </xf>
    <xf numFmtId="0" fontId="187" fillId="0" borderId="0"/>
    <xf numFmtId="4" fontId="163" fillId="12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5" fillId="80" borderId="179" applyAlignment="1">
      <alignment horizontal="left" vertical="center" indent="1"/>
    </xf>
    <xf numFmtId="4" fontId="10" fillId="68" borderId="183" applyAlignment="1">
      <alignment horizontal="right" vertical="center"/>
    </xf>
    <xf numFmtId="0" fontId="18" fillId="96" borderId="183" applyAlignment="1">
      <alignment horizontal="left" vertical="center" indent="1"/>
    </xf>
    <xf numFmtId="4" fontId="13" fillId="81" borderId="183" applyAlignment="1">
      <alignment vertical="center"/>
    </xf>
    <xf numFmtId="0" fontId="18" fillId="34" borderId="182"/>
    <xf numFmtId="4" fontId="186" fillId="42" borderId="187" applyAlignment="1">
      <alignment horizontal="left" vertical="center" indent="1"/>
    </xf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267" fontId="18" fillId="0" borderId="0"/>
    <xf numFmtId="0" fontId="187" fillId="0" borderId="0"/>
    <xf numFmtId="165" fontId="18" fillId="0" borderId="0"/>
    <xf numFmtId="165" fontId="70" fillId="0" borderId="0"/>
    <xf numFmtId="267" fontId="18" fillId="0" borderId="0"/>
    <xf numFmtId="0" fontId="39" fillId="4" borderId="181"/>
    <xf numFmtId="0" fontId="36" fillId="4" borderId="187"/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0" fontId="33" fillId="35" borderId="181"/>
    <xf numFmtId="0" fontId="18" fillId="34" borderId="182"/>
    <xf numFmtId="165" fontId="18" fillId="0" borderId="0"/>
    <xf numFmtId="165" fontId="18" fillId="0" borderId="0"/>
    <xf numFmtId="0" fontId="36" fillId="44" borderId="187"/>
    <xf numFmtId="0" fontId="36" fillId="4" borderId="187"/>
    <xf numFmtId="0" fontId="187" fillId="0" borderId="0"/>
    <xf numFmtId="267" fontId="18" fillId="0" borderId="0"/>
    <xf numFmtId="9" fontId="18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207" fillId="0" borderId="0"/>
    <xf numFmtId="0" fontId="187" fillId="0" borderId="0"/>
    <xf numFmtId="9" fontId="187" fillId="0" borderId="0"/>
    <xf numFmtId="165" fontId="18" fillId="0" borderId="0"/>
    <xf numFmtId="9" fontId="18" fillId="0" borderId="0"/>
    <xf numFmtId="165" fontId="18" fillId="0" borderId="0"/>
    <xf numFmtId="0" fontId="187" fillId="0" borderId="0"/>
    <xf numFmtId="0" fontId="27" fillId="25" borderId="7"/>
    <xf numFmtId="0" fontId="29" fillId="58" borderId="0"/>
    <xf numFmtId="0" fontId="31" fillId="0" borderId="22"/>
    <xf numFmtId="0" fontId="34" fillId="0" borderId="29"/>
    <xf numFmtId="0" fontId="35" fillId="35" borderId="0"/>
    <xf numFmtId="0" fontId="187" fillId="0" borderId="0"/>
    <xf numFmtId="165" fontId="18" fillId="0" borderId="0"/>
    <xf numFmtId="4" fontId="18" fillId="31" borderId="186" applyAlignment="1">
      <alignment horizontal="left" vertical="center" indent="1"/>
    </xf>
    <xf numFmtId="4" fontId="198" fillId="96" borderId="186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98" fillId="4" borderId="138" applyProtection="1">
      <protection locked="0" hidden="0"/>
    </xf>
    <xf numFmtId="0" fontId="187" fillId="0" borderId="0"/>
    <xf numFmtId="0" fontId="18" fillId="0" borderId="0"/>
    <xf numFmtId="0" fontId="180" fillId="4" borderId="0"/>
    <xf numFmtId="0" fontId="180" fillId="10" borderId="0"/>
    <xf numFmtId="0" fontId="180" fillId="10" borderId="0"/>
    <xf numFmtId="0" fontId="180" fillId="4" borderId="0"/>
    <xf numFmtId="0" fontId="180" fillId="9" borderId="0"/>
    <xf numFmtId="0" fontId="180" fillId="12" borderId="0"/>
    <xf numFmtId="0" fontId="180" fillId="10" borderId="0"/>
    <xf numFmtId="0" fontId="180" fillId="10" borderId="0"/>
    <xf numFmtId="0" fontId="180" fillId="12" borderId="0"/>
    <xf numFmtId="0" fontId="180" fillId="14" borderId="0"/>
    <xf numFmtId="4" fontId="10" fillId="61" borderId="183" applyAlignment="1">
      <alignment horizontal="right" vertical="center"/>
    </xf>
    <xf numFmtId="0" fontId="23" fillId="15" borderId="0"/>
    <xf numFmtId="0" fontId="23" fillId="10" borderId="0"/>
    <xf numFmtId="0" fontId="23" fillId="10" borderId="0"/>
    <xf numFmtId="0" fontId="23" fillId="12" borderId="0"/>
    <xf numFmtId="0" fontId="23" fillId="15" borderId="0"/>
    <xf numFmtId="4" fontId="198" fillId="95" borderId="186" applyAlignment="1">
      <alignment horizontal="left" vertical="center" indent="1"/>
    </xf>
    <xf numFmtId="0" fontId="42" fillId="16" borderId="0"/>
    <xf numFmtId="0" fontId="18" fillId="0" borderId="0"/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4" borderId="178" applyProtection="1">
      <protection locked="0" hidden="0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0" fontId="28" fillId="0" borderId="180"/>
    <xf numFmtId="0" fontId="18" fillId="34" borderId="182"/>
    <xf numFmtId="165" fontId="18" fillId="0" borderId="0"/>
    <xf numFmtId="165" fontId="18" fillId="0" borderId="0"/>
    <xf numFmtId="4" fontId="8" fillId="31" borderId="0" applyAlignment="1">
      <alignment horizontal="left" vertical="center" indent="1"/>
    </xf>
    <xf numFmtId="4" fontId="186" fillId="96" borderId="0" applyAlignment="1">
      <alignment horizontal="left" vertical="center" indent="1"/>
    </xf>
    <xf numFmtId="4" fontId="186" fillId="89" borderId="0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39" fillId="4" borderId="181"/>
    <xf numFmtId="0" fontId="36" fillId="4" borderId="187"/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80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33" fillId="35" borderId="181"/>
    <xf numFmtId="0" fontId="18" fillId="34" borderId="182"/>
    <xf numFmtId="0" fontId="18" fillId="4" borderId="170" applyProtection="1">
      <protection locked="0" hidden="0"/>
    </xf>
    <xf numFmtId="0" fontId="198" fillId="38" borderId="170"/>
    <xf numFmtId="0" fontId="18" fillId="4" borderId="170" applyProtection="1">
      <protection locked="0" hidden="0"/>
    </xf>
    <xf numFmtId="0" fontId="36" fillId="104" borderId="187"/>
    <xf numFmtId="4" fontId="198" fillId="10" borderId="186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3" fillId="42" borderId="170" applyAlignment="1">
      <alignment vertical="center"/>
    </xf>
    <xf numFmtId="4" fontId="195" fillId="86" borderId="186" applyAlignment="1">
      <alignment horizontal="left" vertical="center" indent="1"/>
    </xf>
    <xf numFmtId="0" fontId="216" fillId="146" borderId="143" applyAlignment="1">
      <alignment horizontal="left" vertical="center" indent="1"/>
    </xf>
    <xf numFmtId="268" fontId="217" fillId="0" borderId="144" applyAlignment="1">
      <alignment horizontal="right" vertical="center"/>
    </xf>
    <xf numFmtId="268" fontId="216" fillId="0" borderId="145" applyAlignment="1">
      <alignment horizontal="right" vertical="center"/>
    </xf>
    <xf numFmtId="0" fontId="218" fillId="147" borderId="145" applyAlignment="1">
      <alignment horizontal="left" vertical="center" indent="1"/>
    </xf>
    <xf numFmtId="0" fontId="218" fillId="148" borderId="145" applyAlignment="1">
      <alignment horizontal="left" vertical="center" indent="1"/>
    </xf>
    <xf numFmtId="268" fontId="217" fillId="149" borderId="144" applyAlignment="1">
      <alignment horizontal="right" vertical="center"/>
    </xf>
    <xf numFmtId="0" fontId="218" fillId="147" borderId="145" applyAlignment="1">
      <alignment horizontal="left" vertical="center" indent="1"/>
    </xf>
    <xf numFmtId="268" fontId="216" fillId="148" borderId="145" applyAlignment="1">
      <alignment horizontal="right" vertical="center"/>
    </xf>
    <xf numFmtId="268" fontId="216" fillId="149" borderId="145" applyAlignment="1">
      <alignment horizontal="right" vertical="center"/>
    </xf>
    <xf numFmtId="268" fontId="219" fillId="150" borderId="146" applyAlignment="1">
      <alignment horizontal="right" vertical="center" indent="1"/>
    </xf>
    <xf numFmtId="268" fontId="220" fillId="151" borderId="146" applyAlignment="1">
      <alignment horizontal="right" vertical="center" indent="1"/>
    </xf>
    <xf numFmtId="268" fontId="220" fillId="152" borderId="146" applyAlignment="1">
      <alignment horizontal="right" vertical="center" indent="1"/>
    </xf>
    <xf numFmtId="268" fontId="221" fillId="153" borderId="146" applyAlignment="1">
      <alignment horizontal="right" vertical="center" indent="1"/>
    </xf>
    <xf numFmtId="268" fontId="221" fillId="154" borderId="146" applyAlignment="1">
      <alignment horizontal="right" vertical="center" indent="1"/>
    </xf>
    <xf numFmtId="268" fontId="221" fillId="155" borderId="146" applyAlignment="1">
      <alignment horizontal="right" vertical="center" indent="1"/>
    </xf>
    <xf numFmtId="268" fontId="222" fillId="156" borderId="146" applyAlignment="1">
      <alignment horizontal="right" vertical="center" indent="1"/>
    </xf>
    <xf numFmtId="268" fontId="222" fillId="157" borderId="146" applyAlignment="1">
      <alignment horizontal="right" vertical="center" indent="1"/>
    </xf>
    <xf numFmtId="268" fontId="222" fillId="158" borderId="146" applyAlignment="1">
      <alignment horizontal="right" vertical="center" indent="1"/>
    </xf>
    <xf numFmtId="0" fontId="223" fillId="0" borderId="143"/>
    <xf numFmtId="268" fontId="217" fillId="159" borderId="143" applyAlignment="1">
      <alignment horizontal="left" vertical="center" indent="1"/>
    </xf>
    <xf numFmtId="0" fontId="216" fillId="146" borderId="145" applyAlignment="1">
      <alignment horizontal="left" vertical="center" indent="1"/>
    </xf>
    <xf numFmtId="0" fontId="218" fillId="160" borderId="143" applyAlignment="1">
      <alignment horizontal="left" vertical="center" indent="1"/>
    </xf>
    <xf numFmtId="0" fontId="218" fillId="161" borderId="143" applyAlignment="1">
      <alignment horizontal="left" vertical="center" indent="1"/>
    </xf>
    <xf numFmtId="0" fontId="218" fillId="162" borderId="143" applyAlignment="1">
      <alignment horizontal="left" vertical="center" indent="1"/>
    </xf>
    <xf numFmtId="0" fontId="218" fillId="149" borderId="143" applyAlignment="1">
      <alignment horizontal="left" vertical="center" indent="1"/>
    </xf>
    <xf numFmtId="0" fontId="218" fillId="148" borderId="145" applyAlignment="1">
      <alignment horizontal="left" vertical="center" indent="1"/>
    </xf>
    <xf numFmtId="0" fontId="224" fillId="0" borderId="147"/>
    <xf numFmtId="0" fontId="225" fillId="0" borderId="147"/>
    <xf numFmtId="0" fontId="224" fillId="147" borderId="145" applyAlignment="1">
      <alignment horizontal="left" vertical="center" indent="1"/>
    </xf>
    <xf numFmtId="0" fontId="224" fillId="147" borderId="145" applyAlignment="1">
      <alignment horizontal="left" vertical="center" indent="1"/>
    </xf>
    <xf numFmtId="0" fontId="224" fillId="148" borderId="145" applyAlignment="1">
      <alignment horizontal="left" vertical="center" indent="1"/>
    </xf>
    <xf numFmtId="268" fontId="226" fillId="148" borderId="145" applyAlignment="1">
      <alignment horizontal="right" vertical="center"/>
    </xf>
    <xf numFmtId="268" fontId="227" fillId="149" borderId="144" applyAlignment="1">
      <alignment horizontal="right" vertical="center"/>
    </xf>
    <xf numFmtId="268" fontId="226" fillId="149" borderId="145" applyAlignment="1">
      <alignment horizontal="right" vertical="center"/>
    </xf>
    <xf numFmtId="165" fontId="187" fillId="0" borderId="0"/>
    <xf numFmtId="165" fontId="70" fillId="0" borderId="0"/>
    <xf numFmtId="0" fontId="70" fillId="0" borderId="0"/>
    <xf numFmtId="9" fontId="70" fillId="0" borderId="0"/>
    <xf numFmtId="0" fontId="186" fillId="89" borderId="0"/>
    <xf numFmtId="0" fontId="186" fillId="13" borderId="0"/>
    <xf numFmtId="0" fontId="186" fillId="7" borderId="0"/>
    <xf numFmtId="0" fontId="186" fillId="4" borderId="0"/>
    <xf numFmtId="0" fontId="186" fillId="14" borderId="0"/>
    <xf numFmtId="0" fontId="186" fillId="39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0" fillId="89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0" fillId="14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0" fillId="13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0" fillId="10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0" fillId="7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0" fillId="163" borderId="0"/>
    <xf numFmtId="0" fontId="187" fillId="134" borderId="0"/>
    <xf numFmtId="0" fontId="187" fillId="134" borderId="0"/>
    <xf numFmtId="0" fontId="187" fillId="134" borderId="0"/>
    <xf numFmtId="0" fontId="180" fillId="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0" fillId="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0" fillId="4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0" fillId="14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0" fillId="14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0" fillId="39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0" fillId="5" borderId="0"/>
    <xf numFmtId="0" fontId="187" fillId="143" borderId="0"/>
    <xf numFmtId="0" fontId="187" fillId="143" borderId="0"/>
    <xf numFmtId="0" fontId="187" fillId="143" borderId="0"/>
    <xf numFmtId="0" fontId="186" fillId="31" borderId="0"/>
    <xf numFmtId="0" fontId="186" fillId="13" borderId="0"/>
    <xf numFmtId="0" fontId="186" fillId="29" borderId="0"/>
    <xf numFmtId="0" fontId="186" fillId="12" borderId="0"/>
    <xf numFmtId="0" fontId="186" fillId="31" borderId="0"/>
    <xf numFmtId="0" fontId="186" fillId="5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0" fillId="31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0" fillId="31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0" fillId="13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0" fillId="10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0" fillId="29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0" fillId="163" borderId="0"/>
    <xf numFmtId="0" fontId="187" fillId="135" borderId="0"/>
    <xf numFmtId="0" fontId="187" fillId="135" borderId="0"/>
    <xf numFmtId="0" fontId="187" fillId="135" borderId="0"/>
    <xf numFmtId="0" fontId="180" fillId="12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0" fillId="12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0" fillId="12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0" fillId="3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0" fillId="31" borderId="0"/>
    <xf numFmtId="0" fontId="187" fillId="141" borderId="0"/>
    <xf numFmtId="0" fontId="187" fillId="141" borderId="0"/>
    <xf numFmtId="0" fontId="187" fillId="141" borderId="0"/>
    <xf numFmtId="0" fontId="180" fillId="5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0" fillId="5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0" fillId="5" borderId="0"/>
    <xf numFmtId="0" fontId="187" fillId="144" borderId="0"/>
    <xf numFmtId="0" fontId="187" fillId="144" borderId="0"/>
    <xf numFmtId="0" fontId="187" fillId="144" borderId="0"/>
    <xf numFmtId="0" fontId="208" fillId="31" borderId="0"/>
    <xf numFmtId="0" fontId="208" fillId="13" borderId="0"/>
    <xf numFmtId="0" fontId="208" fillId="29" borderId="0"/>
    <xf numFmtId="0" fontId="208" fillId="12" borderId="0"/>
    <xf numFmtId="0" fontId="208" fillId="31" borderId="0"/>
    <xf numFmtId="0" fontId="208" fillId="5" borderId="0"/>
    <xf numFmtId="0" fontId="205" fillId="130" borderId="0"/>
    <xf numFmtId="0" fontId="23" fillId="164" borderId="0"/>
    <xf numFmtId="0" fontId="205" fillId="133" borderId="0"/>
    <xf numFmtId="0" fontId="23" fillId="52" borderId="0"/>
    <xf numFmtId="0" fontId="205" fillId="136" borderId="0"/>
    <xf numFmtId="0" fontId="23" fillId="40" borderId="0"/>
    <xf numFmtId="0" fontId="23" fillId="12" borderId="0"/>
    <xf numFmtId="0" fontId="205" fillId="139" borderId="0"/>
    <xf numFmtId="0" fontId="23" fillId="53" borderId="0"/>
    <xf numFmtId="0" fontId="205" fillId="142" borderId="0"/>
    <xf numFmtId="0" fontId="23" fillId="164" borderId="0"/>
    <xf numFmtId="0" fontId="23" fillId="5" borderId="0"/>
    <xf numFmtId="0" fontId="205" fillId="145" borderId="0"/>
    <xf numFmtId="0" fontId="23" fillId="5" borderId="0"/>
    <xf numFmtId="0" fontId="23" fillId="17" borderId="0"/>
    <xf numFmtId="0" fontId="180" fillId="18" borderId="0"/>
    <xf numFmtId="0" fontId="180" fillId="19" borderId="0"/>
    <xf numFmtId="0" fontId="23" fillId="20" borderId="0"/>
    <xf numFmtId="0" fontId="23" fillId="22" borderId="0"/>
    <xf numFmtId="0" fontId="180" fillId="23" borderId="0"/>
    <xf numFmtId="0" fontId="180" fillId="24" borderId="0"/>
    <xf numFmtId="0" fontId="23" fillId="25" borderId="0"/>
    <xf numFmtId="0" fontId="23" fillId="25" borderId="0"/>
    <xf numFmtId="0" fontId="180" fillId="26" borderId="0"/>
    <xf numFmtId="0" fontId="180" fillId="27" borderId="0"/>
    <xf numFmtId="0" fontId="23" fillId="28" borderId="0"/>
    <xf numFmtId="0" fontId="23" fillId="108" borderId="0"/>
    <xf numFmtId="0" fontId="23" fillId="108" borderId="0"/>
    <xf numFmtId="0" fontId="23" fillId="30" borderId="0"/>
    <xf numFmtId="0" fontId="180" fillId="27" borderId="0"/>
    <xf numFmtId="0" fontId="180" fillId="28" borderId="0"/>
    <xf numFmtId="0" fontId="23" fillId="28" borderId="0"/>
    <xf numFmtId="0" fontId="23" fillId="105" borderId="0"/>
    <xf numFmtId="0" fontId="23" fillId="105" borderId="0"/>
    <xf numFmtId="0" fontId="23" fillId="32" borderId="0"/>
    <xf numFmtId="0" fontId="180" fillId="18" borderId="0"/>
    <xf numFmtId="0" fontId="23" fillId="19" borderId="0"/>
    <xf numFmtId="0" fontId="23" fillId="98" borderId="0"/>
    <xf numFmtId="0" fontId="23" fillId="98" borderId="0"/>
    <xf numFmtId="0" fontId="23" fillId="33" borderId="0"/>
    <xf numFmtId="0" fontId="180" fillId="24" borderId="0"/>
    <xf numFmtId="0" fontId="23" fillId="35" borderId="0"/>
    <xf numFmtId="0" fontId="23" fillId="109" borderId="0"/>
    <xf numFmtId="0" fontId="23" fillId="109" borderId="0"/>
    <xf numFmtId="0" fontId="192" fillId="34" borderId="0"/>
    <xf numFmtId="0" fontId="29" fillId="90" borderId="0"/>
    <xf numFmtId="0" fontId="209" fillId="123" borderId="0"/>
    <xf numFmtId="0" fontId="29" fillId="90" borderId="0"/>
    <xf numFmtId="0" fontId="180" fillId="101" borderId="0"/>
    <xf numFmtId="0" fontId="229" fillId="29" borderId="0"/>
    <xf numFmtId="0" fontId="26" fillId="44" borderId="181"/>
    <xf numFmtId="0" fontId="191" fillId="104" borderId="185"/>
    <xf numFmtId="0" fontId="26" fillId="4" borderId="181"/>
    <xf numFmtId="0" fontId="204" fillId="116" borderId="137"/>
    <xf numFmtId="0" fontId="26" fillId="4" borderId="181"/>
    <xf numFmtId="0" fontId="191" fillId="104" borderId="185"/>
    <xf numFmtId="0" fontId="87" fillId="4" borderId="181"/>
    <xf numFmtId="0" fontId="27" fillId="45" borderId="7"/>
    <xf numFmtId="0" fontId="213" fillId="126" borderId="140"/>
    <xf numFmtId="0" fontId="27" fillId="45" borderId="7"/>
    <xf numFmtId="0" fontId="27" fillId="105" borderId="7"/>
    <xf numFmtId="0" fontId="27" fillId="45" borderId="7"/>
    <xf numFmtId="0" fontId="34" fillId="0" borderId="29"/>
    <xf numFmtId="0" fontId="212" fillId="0" borderId="139"/>
    <xf numFmtId="0" fontId="34" fillId="0" borderId="29"/>
    <xf numFmtId="0" fontId="29" fillId="0" borderId="68"/>
    <xf numFmtId="0" fontId="125" fillId="0" borderId="30"/>
    <xf numFmtId="0" fontId="27" fillId="105" borderId="7"/>
    <xf numFmtId="0" fontId="28" fillId="49" borderId="0"/>
    <xf numFmtId="0" fontId="28" fillId="50" borderId="0"/>
    <xf numFmtId="0" fontId="23" fillId="15" borderId="0"/>
    <xf numFmtId="0" fontId="205" fillId="117" borderId="0"/>
    <xf numFmtId="0" fontId="23" fillId="15" borderId="0"/>
    <xf numFmtId="0" fontId="23" fillId="17" borderId="0"/>
    <xf numFmtId="0" fontId="23" fillId="86" borderId="0"/>
    <xf numFmtId="0" fontId="23" fillId="10" borderId="0"/>
    <xf numFmtId="0" fontId="205" fillId="118" borderId="0"/>
    <xf numFmtId="0" fontId="23" fillId="10" borderId="0"/>
    <xf numFmtId="0" fontId="23" fillId="22" borderId="0"/>
    <xf numFmtId="0" fontId="23" fillId="52" borderId="0"/>
    <xf numFmtId="0" fontId="23" fillId="29" borderId="0"/>
    <xf numFmtId="0" fontId="205" fillId="119" borderId="0"/>
    <xf numFmtId="0" fontId="23" fillId="29" borderId="0"/>
    <xf numFmtId="0" fontId="23" fillId="108" borderId="0"/>
    <xf numFmtId="0" fontId="23" fillId="52" borderId="0"/>
    <xf numFmtId="0" fontId="23" fillId="91" borderId="0"/>
    <xf numFmtId="0" fontId="205" fillId="120" borderId="0"/>
    <xf numFmtId="0" fontId="23" fillId="91" borderId="0"/>
    <xf numFmtId="0" fontId="23" fillId="105" borderId="0"/>
    <xf numFmtId="0" fontId="23" fillId="53" borderId="0"/>
    <xf numFmtId="0" fontId="23" fillId="15" borderId="0"/>
    <xf numFmtId="0" fontId="205" fillId="121" borderId="0"/>
    <xf numFmtId="0" fontId="23" fillId="15" borderId="0"/>
    <xf numFmtId="0" fontId="23" fillId="98" borderId="0"/>
    <xf numFmtId="0" fontId="23" fillId="86" borderId="0"/>
    <xf numFmtId="0" fontId="23" fillId="92" borderId="0"/>
    <xf numFmtId="0" fontId="205" fillId="122" borderId="0"/>
    <xf numFmtId="0" fontId="23" fillId="92" borderId="0"/>
    <xf numFmtId="0" fontId="23" fillId="109" borderId="0"/>
    <xf numFmtId="0" fontId="23" fillId="36" borderId="0"/>
    <xf numFmtId="0" fontId="41" fillId="5" borderId="181"/>
    <xf numFmtId="0" fontId="211" fillId="125" borderId="137"/>
    <xf numFmtId="0" fontId="41" fillId="5" borderId="181"/>
    <xf numFmtId="0" fontId="33" fillId="35" borderId="185"/>
    <xf numFmtId="0" fontId="33" fillId="5" borderId="181"/>
    <xf numFmtId="0" fontId="230" fillId="0" borderId="0"/>
    <xf numFmtId="0" fontId="180" fillId="101" borderId="0"/>
    <xf numFmtId="0" fontId="31" fillId="0" borderId="70"/>
    <xf numFmtId="0" fontId="32" fillId="0" borderId="71"/>
    <xf numFmtId="0" fontId="79" fillId="53" borderId="0"/>
    <xf numFmtId="0" fontId="202" fillId="115" borderId="0"/>
    <xf numFmtId="0" fontId="79" fillId="53" borderId="0"/>
    <xf numFmtId="0" fontId="192" fillId="34" borderId="0"/>
    <xf numFmtId="0" fontId="42" fillId="16" borderId="0"/>
    <xf numFmtId="0" fontId="33" fillId="35" borderId="185"/>
    <xf numFmtId="0" fontId="29" fillId="0" borderId="68"/>
    <xf numFmtId="0" fontId="35" fillId="5" borderId="0"/>
    <xf numFmtId="0" fontId="210" fillId="124" borderId="0"/>
    <xf numFmtId="0" fontId="35" fillId="5" borderId="0"/>
    <xf numFmtId="0" fontId="29" fillId="35" borderId="0"/>
    <xf numFmtId="0" fontId="25" fillId="66" borderId="0"/>
    <xf numFmtId="0" fontId="29" fillId="35" borderId="0"/>
    <xf numFmtId="0" fontId="198" fillId="110" borderId="0"/>
    <xf numFmtId="0" fontId="198" fillId="110" borderId="0"/>
    <xf numFmtId="0" fontId="18" fillId="0" borderId="0"/>
    <xf numFmtId="0" fontId="198" fillId="110" borderId="0"/>
    <xf numFmtId="0" fontId="18" fillId="0" borderId="0"/>
    <xf numFmtId="0" fontId="47" fillId="0" borderId="0"/>
    <xf numFmtId="0" fontId="47" fillId="0" borderId="0"/>
    <xf numFmtId="0" fontId="70" fillId="0" borderId="0"/>
    <xf numFmtId="0" fontId="47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46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98" fillId="110" borderId="0"/>
    <xf numFmtId="0" fontId="18" fillId="0" borderId="0"/>
    <xf numFmtId="0" fontId="198" fillId="110" borderId="0"/>
    <xf numFmtId="0" fontId="187" fillId="0" borderId="0"/>
    <xf numFmtId="0" fontId="70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70" fillId="0" borderId="0"/>
    <xf numFmtId="0" fontId="187" fillId="0" borderId="0"/>
    <xf numFmtId="0" fontId="187" fillId="0" borderId="0"/>
    <xf numFmtId="0" fontId="187" fillId="0" borderId="0"/>
    <xf numFmtId="0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47" fillId="0" borderId="0"/>
    <xf numFmtId="0" fontId="70" fillId="0" borderId="0"/>
    <xf numFmtId="0" fontId="70" fillId="0" borderId="0"/>
    <xf numFmtId="0" fontId="47" fillId="0" borderId="0"/>
    <xf numFmtId="0" fontId="18" fillId="7" borderId="182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" fillId="7" borderId="182"/>
    <xf numFmtId="0" fontId="187" fillId="127" borderId="141"/>
    <xf numFmtId="0" fontId="187" fillId="127" borderId="141"/>
    <xf numFmtId="0" fontId="187" fillId="127" borderId="141"/>
    <xf numFmtId="0" fontId="198" fillId="34" borderId="185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98" fillId="34" borderId="185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" fillId="7" borderId="182"/>
    <xf numFmtId="0" fontId="18" fillId="34" borderId="182"/>
    <xf numFmtId="0" fontId="18" fillId="34" borderId="182"/>
    <xf numFmtId="0" fontId="18" fillId="34" borderId="182"/>
    <xf numFmtId="0" fontId="198" fillId="34" borderId="185"/>
    <xf numFmtId="0" fontId="36" fillId="104" borderId="187"/>
    <xf numFmtId="9" fontId="47" fillId="0" borderId="0"/>
    <xf numFmtId="9" fontId="18" fillId="0" borderId="0"/>
    <xf numFmtId="9" fontId="47" fillId="0" borderId="0"/>
    <xf numFmtId="9" fontId="47" fillId="0" borderId="0"/>
    <xf numFmtId="9" fontId="198" fillId="0" borderId="0"/>
    <xf numFmtId="9" fontId="70" fillId="0" borderId="0"/>
    <xf numFmtId="9" fontId="47" fillId="0" borderId="0"/>
    <xf numFmtId="9" fontId="18" fillId="0" borderId="0"/>
    <xf numFmtId="9" fontId="18" fillId="0" borderId="0"/>
    <xf numFmtId="9" fontId="47" fillId="0" borderId="0"/>
    <xf numFmtId="9" fontId="47" fillId="0" borderId="0"/>
    <xf numFmtId="9" fontId="47" fillId="0" borderId="0"/>
    <xf numFmtId="0" fontId="36" fillId="4" borderId="187"/>
    <xf numFmtId="0" fontId="203" fillId="116" borderId="136"/>
    <xf numFmtId="0" fontId="36" fillId="4" borderId="187"/>
    <xf numFmtId="0" fontId="36" fillId="104" borderId="187"/>
    <xf numFmtId="0" fontId="36" fillId="4" borderId="187"/>
    <xf numFmtId="4" fontId="11" fillId="69" borderId="183" applyAlignment="1">
      <alignment vertical="center"/>
    </xf>
    <xf numFmtId="4" fontId="198" fillId="2" borderId="185" applyAlignment="1">
      <alignment vertical="center"/>
    </xf>
    <xf numFmtId="4" fontId="11" fillId="69" borderId="183" applyAlignment="1">
      <alignment vertical="center"/>
    </xf>
    <xf numFmtId="4" fontId="50" fillId="66" borderId="183" applyAlignment="1">
      <alignment vertical="center"/>
    </xf>
    <xf numFmtId="4" fontId="11" fillId="2" borderId="183" applyAlignment="1">
      <alignment vertical="center"/>
    </xf>
    <xf numFmtId="4" fontId="8" fillId="69" borderId="183" applyAlignment="1">
      <alignment vertical="center"/>
    </xf>
    <xf numFmtId="4" fontId="11" fillId="2" borderId="183" applyAlignment="1">
      <alignment vertical="center"/>
    </xf>
    <xf numFmtId="4" fontId="50" fillId="66" borderId="183" applyAlignment="1">
      <alignment vertical="center"/>
    </xf>
    <xf numFmtId="4" fontId="8" fillId="69" borderId="183" applyAlignment="1">
      <alignment vertical="center"/>
    </xf>
    <xf numFmtId="4" fontId="198" fillId="2" borderId="185" applyAlignment="1">
      <alignment vertical="center"/>
    </xf>
    <xf numFmtId="4" fontId="186" fillId="69" borderId="187" applyAlignment="1">
      <alignment vertical="center"/>
    </xf>
    <xf numFmtId="4" fontId="11" fillId="69" borderId="183" applyAlignment="1">
      <alignment vertical="center"/>
    </xf>
    <xf numFmtId="0" fontId="70" fillId="0" borderId="0"/>
    <xf numFmtId="4" fontId="188" fillId="69" borderId="183" applyAlignment="1">
      <alignment vertical="center"/>
    </xf>
    <xf numFmtId="4" fontId="9" fillId="69" borderId="183" applyAlignment="1">
      <alignment vertical="center"/>
    </xf>
    <xf numFmtId="4" fontId="188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93" fillId="69" borderId="185" applyAlignment="1">
      <alignment vertical="center"/>
    </xf>
    <xf numFmtId="4" fontId="189" fillId="69" borderId="187" applyAlignment="1">
      <alignment vertical="center"/>
    </xf>
    <xf numFmtId="0" fontId="70" fillId="0" borderId="0"/>
    <xf numFmtId="0" fontId="70" fillId="0" borderId="0"/>
    <xf numFmtId="4" fontId="67" fillId="14" borderId="183" applyAlignment="1">
      <alignment horizontal="left" vertical="center" indent="1"/>
    </xf>
    <xf numFmtId="4" fontId="198" fillId="69" borderId="185" applyAlignment="1">
      <alignment horizontal="left" vertical="center" indent="1"/>
    </xf>
    <xf numFmtId="4" fontId="67" fillId="14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4" fontId="10" fillId="69" borderId="183" applyAlignment="1">
      <alignment horizontal="left"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/>
    </xf>
    <xf numFmtId="4" fontId="198" fillId="69" borderId="185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70" fillId="0" borderId="0"/>
    <xf numFmtId="0" fontId="70" fillId="0" borderId="0"/>
    <xf numFmtId="0" fontId="11" fillId="69" borderId="183" applyAlignment="1">
      <alignment horizontal="left" vertical="top" indent="1"/>
    </xf>
    <xf numFmtId="0" fontId="18" fillId="0" borderId="0"/>
    <xf numFmtId="0" fontId="11" fillId="69" borderId="183" applyAlignment="1">
      <alignment horizontal="left" vertical="top" indent="1"/>
    </xf>
    <xf numFmtId="0" fontId="194" fillId="2" borderId="183" applyAlignment="1">
      <alignment horizontal="left" vertical="top" indent="1"/>
    </xf>
    <xf numFmtId="4" fontId="186" fillId="69" borderId="187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4" fontId="67" fillId="70" borderId="0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67" fillId="70" borderId="0" applyAlignment="1">
      <alignment horizontal="left" vertical="center" indent="1"/>
    </xf>
    <xf numFmtId="4" fontId="10" fillId="70" borderId="0" applyAlignment="1">
      <alignment horizontal="left" vertical="center" indent="1"/>
    </xf>
    <xf numFmtId="4" fontId="11" fillId="80" borderId="0" applyAlignment="1">
      <alignment horizontal="left" vertical="center" indent="1"/>
    </xf>
    <xf numFmtId="4" fontId="10" fillId="70" borderId="0" applyAlignment="1">
      <alignment horizontal="left" vertical="center" indent="1"/>
    </xf>
    <xf numFmtId="4" fontId="11" fillId="80" borderId="0" applyAlignment="1">
      <alignment horizontal="left" vertical="center" indent="1"/>
    </xf>
    <xf numFmtId="4" fontId="10" fillId="70" borderId="0" applyAlignment="1">
      <alignment horizontal="left" vertical="center" wrapText="1" indent="1"/>
    </xf>
    <xf numFmtId="4" fontId="10" fillId="70" borderId="0" applyAlignment="1">
      <alignment horizontal="left" vertical="center" indent="1"/>
    </xf>
    <xf numFmtId="4" fontId="231" fillId="70" borderId="0" applyAlignment="1">
      <alignment horizontal="left" vertical="center" wrapText="1" indent="1"/>
    </xf>
    <xf numFmtId="4" fontId="198" fillId="15" borderId="185" applyAlignment="1">
      <alignment horizontal="left" vertical="center" indent="1"/>
    </xf>
    <xf numFmtId="4" fontId="231" fillId="70" borderId="0" applyAlignment="1">
      <alignment horizontal="left" vertical="center" wrapText="1" indent="1"/>
    </xf>
    <xf numFmtId="0" fontId="18" fillId="55" borderId="187" applyAlignment="1">
      <alignment horizontal="left" vertical="center" indent="1"/>
    </xf>
    <xf numFmtId="0" fontId="70" fillId="0" borderId="0"/>
    <xf numFmtId="0" fontId="70" fillId="0" borderId="0"/>
    <xf numFmtId="4" fontId="67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67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86" fillId="39" borderId="183" applyAlignment="1">
      <alignment horizontal="right" vertical="center"/>
    </xf>
    <xf numFmtId="4" fontId="10" fillId="68" borderId="183" applyAlignment="1">
      <alignment horizontal="right" vertical="center"/>
    </xf>
    <xf numFmtId="4" fontId="198" fillId="39" borderId="185" applyAlignment="1">
      <alignment horizontal="right" vertical="center"/>
    </xf>
    <xf numFmtId="4" fontId="186" fillId="61" borderId="187" applyAlignment="1">
      <alignment horizontal="right" vertical="center"/>
    </xf>
    <xf numFmtId="0" fontId="70" fillId="0" borderId="0"/>
    <xf numFmtId="0" fontId="70" fillId="0" borderId="0"/>
    <xf numFmtId="4" fontId="186" fillId="13" borderId="183" applyAlignment="1">
      <alignment horizontal="right" vertical="center"/>
    </xf>
    <xf numFmtId="4" fontId="10" fillId="61" borderId="183" applyAlignment="1">
      <alignment horizontal="right" vertical="center"/>
    </xf>
    <xf numFmtId="4" fontId="186" fillId="13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98" fillId="111" borderId="185" applyAlignment="1">
      <alignment horizontal="right" vertical="center"/>
    </xf>
    <xf numFmtId="4" fontId="186" fillId="71" borderId="187" applyAlignment="1">
      <alignment horizontal="right" vertical="center"/>
    </xf>
    <xf numFmtId="0" fontId="70" fillId="0" borderId="0"/>
    <xf numFmtId="0" fontId="70" fillId="0" borderId="0"/>
    <xf numFmtId="4" fontId="67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67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86" fillId="10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8" fillId="10" borderId="186" applyAlignment="1">
      <alignment horizontal="right" vertical="center"/>
    </xf>
    <xf numFmtId="4" fontId="186" fillId="68" borderId="187" applyAlignment="1">
      <alignment horizontal="right" vertical="center"/>
    </xf>
    <xf numFmtId="0" fontId="70" fillId="0" borderId="0"/>
    <xf numFmtId="0" fontId="70" fillId="0" borderId="0"/>
    <xf numFmtId="4" fontId="186" fillId="9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98" fillId="92" borderId="185" applyAlignment="1">
      <alignment horizontal="right" vertical="center"/>
    </xf>
    <xf numFmtId="4" fontId="186" fillId="73" borderId="187" applyAlignment="1">
      <alignment horizontal="right" vertical="center"/>
    </xf>
    <xf numFmtId="0" fontId="70" fillId="0" borderId="0"/>
    <xf numFmtId="0" fontId="70" fillId="0" borderId="0"/>
    <xf numFmtId="4" fontId="67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67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86" fillId="9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98" fillId="93" borderId="185" applyAlignment="1">
      <alignment horizontal="right" vertical="center"/>
    </xf>
    <xf numFmtId="4" fontId="186" fillId="165" borderId="187" applyAlignment="1">
      <alignment horizontal="right" vertical="center"/>
    </xf>
    <xf numFmtId="0" fontId="70" fillId="0" borderId="0"/>
    <xf numFmtId="0" fontId="70" fillId="0" borderId="0"/>
    <xf numFmtId="4" fontId="186" fillId="36" borderId="183" applyAlignment="1">
      <alignment horizontal="right" vertical="center"/>
    </xf>
    <xf numFmtId="4" fontId="10" fillId="74" borderId="183" applyAlignment="1">
      <alignment horizontal="right" vertical="center"/>
    </xf>
    <xf numFmtId="4" fontId="186" fillId="36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98" fillId="36" borderId="185" applyAlignment="1">
      <alignment horizontal="right" vertical="center"/>
    </xf>
    <xf numFmtId="4" fontId="186" fillId="166" borderId="187" applyAlignment="1">
      <alignment horizontal="right" vertical="center"/>
    </xf>
    <xf numFmtId="0" fontId="70" fillId="0" borderId="0"/>
    <xf numFmtId="0" fontId="70" fillId="0" borderId="0"/>
    <xf numFmtId="4" fontId="67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67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86" fillId="29" borderId="183" applyAlignment="1">
      <alignment horizontal="right" vertical="center"/>
    </xf>
    <xf numFmtId="4" fontId="10" fillId="75" borderId="183" applyAlignment="1">
      <alignment horizontal="right" vertical="center"/>
    </xf>
    <xf numFmtId="4" fontId="198" fillId="29" borderId="185" applyAlignment="1">
      <alignment horizontal="right" vertical="center"/>
    </xf>
    <xf numFmtId="4" fontId="186" fillId="76" borderId="187" applyAlignment="1">
      <alignment horizontal="right" vertical="center"/>
    </xf>
    <xf numFmtId="0" fontId="70" fillId="0" borderId="0"/>
    <xf numFmtId="0" fontId="70" fillId="0" borderId="0"/>
    <xf numFmtId="4" fontId="186" fillId="90" borderId="183" applyAlignment="1">
      <alignment horizontal="right" vertical="center"/>
    </xf>
    <xf numFmtId="4" fontId="10" fillId="76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98" fillId="90" borderId="185" applyAlignment="1">
      <alignment horizontal="right" vertical="center"/>
    </xf>
    <xf numFmtId="4" fontId="186" fillId="75" borderId="187" applyAlignment="1">
      <alignment horizontal="right" vertical="center"/>
    </xf>
    <xf numFmtId="0" fontId="70" fillId="0" borderId="0"/>
    <xf numFmtId="0" fontId="70" fillId="0" borderId="0"/>
    <xf numFmtId="4" fontId="67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67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86" fillId="94" borderId="183" applyAlignment="1">
      <alignment horizontal="right" vertical="center"/>
    </xf>
    <xf numFmtId="4" fontId="10" fillId="77" borderId="183" applyAlignment="1">
      <alignment horizontal="right" vertical="center"/>
    </xf>
    <xf numFmtId="4" fontId="198" fillId="94" borderId="185" applyAlignment="1">
      <alignment horizontal="right" vertical="center"/>
    </xf>
    <xf numFmtId="4" fontId="186" fillId="167" borderId="187" applyAlignment="1">
      <alignment horizontal="right" vertical="center"/>
    </xf>
    <xf numFmtId="0" fontId="70" fillId="0" borderId="0"/>
    <xf numFmtId="0" fontId="70" fillId="0" borderId="0"/>
    <xf numFmtId="4" fontId="67" fillId="168" borderId="38" applyAlignment="1">
      <alignment horizontal="left" vertical="center" indent="1"/>
    </xf>
    <xf numFmtId="4" fontId="67" fillId="168" borderId="38" applyAlignment="1">
      <alignment horizontal="left" vertical="center" indent="1"/>
    </xf>
    <xf numFmtId="4" fontId="8" fillId="78" borderId="38" applyAlignment="1">
      <alignment horizontal="left" vertical="center" indent="1"/>
    </xf>
    <xf numFmtId="4" fontId="11" fillId="95" borderId="38" applyAlignment="1">
      <alignment horizontal="left" vertical="center" indent="1"/>
    </xf>
    <xf numFmtId="4" fontId="8" fillId="78" borderId="38" applyAlignment="1">
      <alignment horizontal="left" vertical="center" indent="1"/>
    </xf>
    <xf numFmtId="4" fontId="198" fillId="95" borderId="186" applyAlignment="1">
      <alignment horizontal="left" vertical="center" indent="1"/>
    </xf>
    <xf numFmtId="4" fontId="11" fillId="169" borderId="187" applyAlignment="1">
      <alignment horizontal="left" vertical="center" indent="1"/>
    </xf>
    <xf numFmtId="0" fontId="70" fillId="0" borderId="0"/>
    <xf numFmtId="0" fontId="70" fillId="0" borderId="0"/>
    <xf numFmtId="4" fontId="67" fillId="79" borderId="0" applyAlignment="1">
      <alignment horizontal="left" vertical="center" indent="1"/>
    </xf>
    <xf numFmtId="4" fontId="67" fillId="79" borderId="0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186" fillId="96" borderId="0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86" fillId="170" borderId="177" applyAlignment="1">
      <alignment horizontal="left" vertical="center" indent="1"/>
    </xf>
    <xf numFmtId="0" fontId="70" fillId="0" borderId="0"/>
    <xf numFmtId="0" fontId="70" fillId="0" borderId="0"/>
    <xf numFmtId="4" fontId="18" fillId="31" borderId="186" applyAlignment="1">
      <alignment horizontal="left" vertical="center" indent="1"/>
    </xf>
    <xf numFmtId="0" fontId="70" fillId="0" borderId="0"/>
    <xf numFmtId="0" fontId="70" fillId="0" borderId="0"/>
    <xf numFmtId="4" fontId="67" fillId="79" borderId="183" applyAlignment="1">
      <alignment horizontal="right" vertical="center"/>
    </xf>
    <xf numFmtId="4" fontId="198" fillId="89" borderId="185" applyAlignment="1">
      <alignment horizontal="right" vertical="center"/>
    </xf>
    <xf numFmtId="4" fontId="67" fillId="79" borderId="183" applyAlignment="1">
      <alignment horizontal="right" vertical="center"/>
    </xf>
    <xf numFmtId="4" fontId="10" fillId="53" borderId="183" applyAlignment="1">
      <alignment horizontal="right" vertical="center"/>
    </xf>
    <xf numFmtId="4" fontId="186" fillId="8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4" fontId="10" fillId="53" borderId="183" applyAlignment="1">
      <alignment horizontal="right" vertical="center"/>
    </xf>
    <xf numFmtId="4" fontId="10" fillId="79" borderId="183" applyAlignment="1">
      <alignment horizontal="right" vertical="center"/>
    </xf>
    <xf numFmtId="4" fontId="198" fillId="89" borderId="185" applyAlignment="1">
      <alignment horizontal="right" vertical="center"/>
    </xf>
    <xf numFmtId="0" fontId="18" fillId="55" borderId="187" applyAlignment="1">
      <alignment horizontal="left" vertical="center" indent="1"/>
    </xf>
    <xf numFmtId="0" fontId="70" fillId="0" borderId="0"/>
    <xf numFmtId="0" fontId="70" fillId="0" borderId="0"/>
    <xf numFmtId="4" fontId="67" fillId="79" borderId="0" applyAlignment="1">
      <alignment horizontal="left" vertical="center" indent="1"/>
    </xf>
    <xf numFmtId="4" fontId="186" fillId="79" borderId="0" applyAlignment="1">
      <alignment horizontal="left" vertical="center" indent="1"/>
    </xf>
    <xf numFmtId="4" fontId="67" fillId="79" borderId="0" applyAlignment="1">
      <alignment horizontal="left" vertical="center" indent="1"/>
    </xf>
    <xf numFmtId="4" fontId="186" fillId="79" borderId="0" applyAlignment="1">
      <alignment horizontal="left" vertical="center" indent="1"/>
    </xf>
    <xf numFmtId="4" fontId="186" fillId="79" borderId="0" applyAlignment="1">
      <alignment horizontal="left" vertical="center" indent="1"/>
    </xf>
    <xf numFmtId="4" fontId="198" fillId="96" borderId="186" applyAlignment="1">
      <alignment horizontal="left" vertical="center" indent="1"/>
    </xf>
    <xf numFmtId="4" fontId="186" fillId="170" borderId="187" applyAlignment="1">
      <alignment horizontal="left" vertical="center" indent="1"/>
    </xf>
    <xf numFmtId="0" fontId="70" fillId="0" borderId="0"/>
    <xf numFmtId="0" fontId="70" fillId="0" borderId="0"/>
    <xf numFmtId="4" fontId="67" fillId="70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4" fontId="67" fillId="70" borderId="0" applyAlignment="1">
      <alignment horizontal="left" vertical="center" indent="1"/>
    </xf>
    <xf numFmtId="4" fontId="186" fillId="80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4" fontId="198" fillId="89" borderId="186" applyAlignment="1">
      <alignment horizontal="left" vertical="center" indent="1"/>
    </xf>
    <xf numFmtId="4" fontId="186" fillId="171" borderId="187" applyAlignment="1">
      <alignment horizontal="left" vertical="center" indent="1"/>
    </xf>
    <xf numFmtId="0" fontId="70" fillId="0" borderId="0"/>
    <xf numFmtId="0" fontId="70" fillId="0" borderId="0"/>
    <xf numFmtId="0" fontId="18" fillId="70" borderId="183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8" fillId="0" borderId="0"/>
    <xf numFmtId="0" fontId="18" fillId="70" borderId="183" applyAlignment="1">
      <alignment horizontal="left" vertical="center" indent="1"/>
    </xf>
    <xf numFmtId="0" fontId="18" fillId="0" borderId="0"/>
    <xf numFmtId="0" fontId="18" fillId="31" borderId="183" applyAlignment="1">
      <alignment horizontal="left" vertical="center" indent="1"/>
    </xf>
    <xf numFmtId="0" fontId="18" fillId="0" borderId="0"/>
    <xf numFmtId="0" fontId="18" fillId="31" borderId="183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232" fillId="40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232" fillId="40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0" fontId="18" fillId="70" borderId="183" applyAlignment="1">
      <alignment horizontal="left" vertical="top" indent="1"/>
    </xf>
    <xf numFmtId="0" fontId="18" fillId="0" borderId="0"/>
    <xf numFmtId="0" fontId="18" fillId="70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171" borderId="187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8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0" fontId="18" fillId="80" borderId="183" applyAlignment="1">
      <alignment horizontal="left" vertical="center" indent="1"/>
    </xf>
    <xf numFmtId="0" fontId="198" fillId="91" borderId="185" applyAlignment="1">
      <alignment horizontal="left" vertical="center" indent="1"/>
    </xf>
    <xf numFmtId="0" fontId="18" fillId="0" borderId="0"/>
    <xf numFmtId="0" fontId="18" fillId="80" borderId="183" applyAlignment="1">
      <alignment horizontal="left" vertical="center" indent="1"/>
    </xf>
    <xf numFmtId="0" fontId="18" fillId="0" borderId="0"/>
    <xf numFmtId="0" fontId="198" fillId="91" borderId="185" applyAlignment="1">
      <alignment horizontal="left" vertical="center" indent="1"/>
    </xf>
    <xf numFmtId="0" fontId="18" fillId="0" borderId="0"/>
    <xf numFmtId="0" fontId="198" fillId="91" borderId="185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70" fillId="0" borderId="0"/>
    <xf numFmtId="0" fontId="232" fillId="66" borderId="187" applyAlignment="1">
      <alignment horizontal="left" vertical="center" indent="1"/>
    </xf>
    <xf numFmtId="0" fontId="18" fillId="0" borderId="0"/>
    <xf numFmtId="0" fontId="70" fillId="0" borderId="0"/>
    <xf numFmtId="0" fontId="18" fillId="80" borderId="183" applyAlignment="1">
      <alignment horizontal="left" vertical="top" indent="1"/>
    </xf>
    <xf numFmtId="0" fontId="18" fillId="0" borderId="0"/>
    <xf numFmtId="0" fontId="18" fillId="80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0" fontId="18" fillId="79" borderId="183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8" fillId="0" borderId="0"/>
    <xf numFmtId="0" fontId="18" fillId="79" borderId="183" applyAlignment="1">
      <alignment horizontal="left" vertical="center" indent="1"/>
    </xf>
    <xf numFmtId="0" fontId="18" fillId="0" borderId="0"/>
    <xf numFmtId="0" fontId="198" fillId="14" borderId="185" applyAlignment="1">
      <alignment horizontal="left" vertical="center" indent="1"/>
    </xf>
    <xf numFmtId="0" fontId="18" fillId="0" borderId="0"/>
    <xf numFmtId="0" fontId="198" fillId="14" borderId="185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70" fillId="0" borderId="0"/>
    <xf numFmtId="0" fontId="18" fillId="0" borderId="0"/>
    <xf numFmtId="0" fontId="70" fillId="0" borderId="0"/>
    <xf numFmtId="0" fontId="18" fillId="79" borderId="183" applyAlignment="1">
      <alignment horizontal="left" vertical="top" indent="1"/>
    </xf>
    <xf numFmtId="0" fontId="18" fillId="0" borderId="0"/>
    <xf numFmtId="0" fontId="18" fillId="79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59" borderId="187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0" fontId="18" fillId="81" borderId="183" applyAlignment="1">
      <alignment horizontal="left" vertical="center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81" borderId="183" applyAlignment="1">
      <alignment horizontal="left" vertical="center" indent="1"/>
    </xf>
    <xf numFmtId="0" fontId="18" fillId="0" borderId="0"/>
    <xf numFmtId="0" fontId="18" fillId="96" borderId="183" applyAlignment="1">
      <alignment horizontal="left" vertical="center" indent="1"/>
    </xf>
    <xf numFmtId="0" fontId="18" fillId="0" borderId="0"/>
    <xf numFmtId="0" fontId="18" fillId="96" borderId="183" applyAlignment="1">
      <alignment horizontal="left" vertical="center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70" fillId="0" borderId="0"/>
    <xf numFmtId="0" fontId="54" fillId="7" borderId="187" applyAlignment="1">
      <alignment horizontal="left" vertical="center" indent="1"/>
    </xf>
    <xf numFmtId="0" fontId="18" fillId="0" borderId="0"/>
    <xf numFmtId="0" fontId="18" fillId="0" borderId="0"/>
    <xf numFmtId="0" fontId="70" fillId="0" borderId="0"/>
    <xf numFmtId="0" fontId="18" fillId="81" borderId="183" applyAlignment="1">
      <alignment horizontal="left" vertical="top" indent="1"/>
    </xf>
    <xf numFmtId="0" fontId="18" fillId="0" borderId="0"/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0" fontId="18" fillId="0" borderId="0"/>
    <xf numFmtId="0" fontId="47" fillId="0" borderId="0"/>
    <xf numFmtId="0" fontId="198" fillId="4" borderId="138" applyProtection="1">
      <protection locked="0" hidden="0"/>
    </xf>
    <xf numFmtId="0" fontId="47" fillId="0" borderId="0"/>
    <xf numFmtId="0" fontId="18" fillId="0" borderId="0"/>
    <xf numFmtId="0" fontId="47" fillId="0" borderId="0"/>
    <xf numFmtId="0" fontId="70" fillId="0" borderId="0"/>
    <xf numFmtId="0" fontId="18" fillId="0" borderId="0"/>
    <xf numFmtId="0" fontId="18" fillId="0" borderId="0"/>
    <xf numFmtId="0" fontId="70" fillId="0" borderId="0"/>
    <xf numFmtId="4" fontId="186" fillId="42" borderId="183" applyAlignment="1">
      <alignment vertical="center"/>
    </xf>
    <xf numFmtId="4" fontId="10" fillId="81" borderId="183" applyAlignment="1">
      <alignment vertical="center"/>
    </xf>
    <xf numFmtId="4" fontId="186" fillId="42" borderId="183" applyAlignment="1">
      <alignment vertical="center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63" fillId="7" borderId="183" applyAlignment="1">
      <alignment vertical="center"/>
    </xf>
    <xf numFmtId="4" fontId="186" fillId="42" borderId="187" applyAlignment="1">
      <alignment vertical="center"/>
    </xf>
    <xf numFmtId="0" fontId="70" fillId="0" borderId="0"/>
    <xf numFmtId="0" fontId="70" fillId="0" borderId="0"/>
    <xf numFmtId="4" fontId="189" fillId="42" borderId="183" applyAlignment="1">
      <alignment vertical="center"/>
    </xf>
    <xf numFmtId="4" fontId="13" fillId="81" borderId="183" applyAlignment="1">
      <alignment vertical="center"/>
    </xf>
    <xf numFmtId="4" fontId="189" fillId="42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193" fillId="42" borderId="170" applyAlignment="1">
      <alignment vertical="center"/>
    </xf>
    <xf numFmtId="4" fontId="189" fillId="42" borderId="187" applyAlignment="1">
      <alignment vertical="center"/>
    </xf>
    <xf numFmtId="0" fontId="70" fillId="0" borderId="0"/>
    <xf numFmtId="0" fontId="70" fillId="0" borderId="0"/>
    <xf numFmtId="4" fontId="186" fillId="42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186" fillId="42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163" fillId="12" borderId="183" applyAlignment="1">
      <alignment horizontal="left" vertical="center" indent="1"/>
    </xf>
    <xf numFmtId="4" fontId="186" fillId="42" borderId="187" applyAlignment="1">
      <alignment horizontal="left" vertical="center" indent="1"/>
    </xf>
    <xf numFmtId="0" fontId="70" fillId="0" borderId="0"/>
    <xf numFmtId="0" fontId="70" fillId="0" borderId="0"/>
    <xf numFmtId="0" fontId="186" fillId="42" borderId="183" applyAlignment="1">
      <alignment horizontal="left" vertical="top" indent="1"/>
    </xf>
    <xf numFmtId="0" fontId="18" fillId="0" borderId="0"/>
    <xf numFmtId="0" fontId="186" fillId="42" borderId="183" applyAlignment="1">
      <alignment horizontal="left" vertical="top" indent="1"/>
    </xf>
    <xf numFmtId="0" fontId="186" fillId="7" borderId="183" applyAlignment="1">
      <alignment horizontal="left" vertical="top" indent="1"/>
    </xf>
    <xf numFmtId="4" fontId="186" fillId="42" borderId="187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86" fillId="42" borderId="187" applyAlignment="1">
      <alignment horizontal="left" vertical="center" indent="1"/>
    </xf>
    <xf numFmtId="0" fontId="70" fillId="0" borderId="0"/>
    <xf numFmtId="0" fontId="18" fillId="0" borderId="0"/>
    <xf numFmtId="0" fontId="18" fillId="0" borderId="0"/>
    <xf numFmtId="0" fontId="70" fillId="0" borderId="0"/>
    <xf numFmtId="4" fontId="67" fillId="4" borderId="183" applyAlignment="1">
      <alignment horizontal="right" vertical="center"/>
    </xf>
    <xf numFmtId="4" fontId="198" fillId="0" borderId="185" applyAlignment="1">
      <alignment horizontal="right" vertical="center"/>
    </xf>
    <xf numFmtId="4" fontId="67" fillId="4" borderId="183" applyAlignment="1">
      <alignment horizontal="right" vertical="center"/>
    </xf>
    <xf numFmtId="4" fontId="231" fillId="96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0" fillId="81" borderId="183" applyAlignment="1">
      <alignment horizontal="right" vertical="center"/>
    </xf>
    <xf numFmtId="4" fontId="186" fillId="96" borderId="183" applyAlignment="1">
      <alignment horizontal="right" vertical="center"/>
    </xf>
    <xf numFmtId="4" fontId="231" fillId="96" borderId="183" applyAlignment="1">
      <alignment horizontal="right" vertical="center"/>
    </xf>
    <xf numFmtId="4" fontId="10" fillId="81" borderId="183" applyAlignment="1">
      <alignment horizontal="right" vertical="center"/>
    </xf>
    <xf numFmtId="4" fontId="198" fillId="0" borderId="185" applyAlignment="1">
      <alignment horizontal="right" vertical="center"/>
    </xf>
    <xf numFmtId="4" fontId="186" fillId="170" borderId="187" applyAlignment="1">
      <alignment horizontal="right" vertical="center"/>
    </xf>
    <xf numFmtId="0" fontId="70" fillId="0" borderId="0"/>
    <xf numFmtId="0" fontId="70" fillId="0" borderId="0"/>
    <xf numFmtId="4" fontId="189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189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93" fillId="41" borderId="185" applyAlignment="1">
      <alignment horizontal="right" vertical="center"/>
    </xf>
    <xf numFmtId="4" fontId="189" fillId="170" borderId="187" applyAlignment="1">
      <alignment horizontal="right" vertical="center"/>
    </xf>
    <xf numFmtId="0" fontId="70" fillId="0" borderId="0"/>
    <xf numFmtId="0" fontId="70" fillId="0" borderId="0"/>
    <xf numFmtId="4" fontId="92" fillId="96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92" fillId="96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4" fontId="8" fillId="79" borderId="183" applyAlignment="1">
      <alignment horizontal="left" vertical="center" wrapText="1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wrapText="1"/>
    </xf>
    <xf numFmtId="4" fontId="198" fillId="15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70" fillId="0" borderId="0"/>
    <xf numFmtId="0" fontId="70" fillId="0" borderId="0"/>
    <xf numFmtId="0" fontId="186" fillId="80" borderId="183" applyAlignment="1">
      <alignment horizontal="left" vertical="top" indent="1"/>
    </xf>
    <xf numFmtId="0" fontId="18" fillId="0" borderId="0"/>
    <xf numFmtId="0" fontId="186" fillId="80" borderId="183" applyAlignment="1">
      <alignment horizontal="left" vertical="top" indent="1"/>
    </xf>
    <xf numFmtId="0" fontId="163" fillId="8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232" fillId="55" borderId="187" applyAlignment="1">
      <alignment horizontal="left" vertical="center" indent="1"/>
    </xf>
    <xf numFmtId="0" fontId="70" fillId="0" borderId="0"/>
    <xf numFmtId="0" fontId="232" fillId="55" borderId="187" applyAlignment="1">
      <alignment horizontal="left" vertical="center" indent="1"/>
    </xf>
    <xf numFmtId="0" fontId="18" fillId="0" borderId="0"/>
    <xf numFmtId="0" fontId="70" fillId="0" borderId="0"/>
    <xf numFmtId="4" fontId="233" fillId="0" borderId="0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233" fillId="0" borderId="0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5" fillId="86" borderId="0" applyAlignment="1">
      <alignment horizontal="left" vertical="center" indent="1"/>
    </xf>
    <xf numFmtId="4" fontId="195" fillId="86" borderId="186" applyAlignment="1">
      <alignment horizontal="left" vertical="center" indent="1"/>
    </xf>
    <xf numFmtId="0" fontId="234" fillId="0" borderId="0"/>
    <xf numFmtId="0" fontId="70" fillId="0" borderId="0"/>
    <xf numFmtId="0" fontId="70" fillId="0" borderId="0"/>
    <xf numFmtId="4" fontId="190" fillId="96" borderId="183" applyAlignment="1">
      <alignment horizontal="right" vertical="center"/>
    </xf>
    <xf numFmtId="4" fontId="16" fillId="81" borderId="183" applyAlignment="1">
      <alignment horizontal="right" vertical="center"/>
    </xf>
    <xf numFmtId="4" fontId="190" fillId="96" borderId="183" applyAlignment="1">
      <alignment horizontal="right" vertical="center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4" fontId="196" fillId="4" borderId="185" applyAlignment="1">
      <alignment horizontal="right" vertical="center"/>
    </xf>
    <xf numFmtId="4" fontId="190" fillId="170" borderId="187" applyAlignment="1">
      <alignment horizontal="right" vertical="center"/>
    </xf>
    <xf numFmtId="0" fontId="70" fillId="0" borderId="0"/>
    <xf numFmtId="269" fontId="70" fillId="0" borderId="0"/>
    <xf numFmtId="165" fontId="198" fillId="0" borderId="0"/>
    <xf numFmtId="165" fontId="198" fillId="0" borderId="0"/>
    <xf numFmtId="165" fontId="47" fillId="0" borderId="0"/>
    <xf numFmtId="269" fontId="70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269" fontId="70" fillId="0" borderId="0"/>
    <xf numFmtId="165" fontId="18" fillId="0" borderId="0"/>
    <xf numFmtId="165" fontId="18" fillId="0" borderId="0"/>
    <xf numFmtId="165" fontId="18" fillId="0" borderId="0"/>
    <xf numFmtId="269" fontId="70" fillId="0" borderId="0"/>
    <xf numFmtId="2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0" fontId="38" fillId="0" borderId="0"/>
    <xf numFmtId="0" fontId="214" fillId="0" borderId="0"/>
    <xf numFmtId="0" fontId="38" fillId="0" borderId="0"/>
    <xf numFmtId="0" fontId="40" fillId="0" borderId="0"/>
    <xf numFmtId="0" fontId="34" fillId="0" borderId="0"/>
    <xf numFmtId="0" fontId="43" fillId="0" borderId="0"/>
    <xf numFmtId="0" fontId="215" fillId="0" borderId="0"/>
    <xf numFmtId="0" fontId="43" fillId="0" borderId="0"/>
    <xf numFmtId="0" fontId="30" fillId="0" borderId="21"/>
    <xf numFmtId="0" fontId="199" fillId="0" borderId="133"/>
    <xf numFmtId="0" fontId="30" fillId="0" borderId="21"/>
    <xf numFmtId="0" fontId="30" fillId="0" borderId="19"/>
    <xf numFmtId="0" fontId="235" fillId="0" borderId="149"/>
    <xf numFmtId="0" fontId="31" fillId="0" borderId="64"/>
    <xf numFmtId="0" fontId="200" fillId="0" borderId="134"/>
    <xf numFmtId="0" fontId="31" fillId="0" borderId="64"/>
    <xf numFmtId="0" fontId="31" fillId="0" borderId="70"/>
    <xf numFmtId="0" fontId="236" fillId="0" borderId="150"/>
    <xf numFmtId="0" fontId="32" fillId="0" borderId="65"/>
    <xf numFmtId="0" fontId="201" fillId="0" borderId="135"/>
    <xf numFmtId="0" fontId="32" fillId="0" borderId="65"/>
    <xf numFmtId="0" fontId="32" fillId="0" borderId="71"/>
    <xf numFmtId="0" fontId="237" fillId="0" borderId="151"/>
    <xf numFmtId="0" fontId="201" fillId="0" borderId="0"/>
    <xf numFmtId="0" fontId="32" fillId="0" borderId="0"/>
    <xf numFmtId="0" fontId="237" fillId="0" borderId="0"/>
    <xf numFmtId="0" fontId="37" fillId="0" borderId="0"/>
    <xf numFmtId="0" fontId="228" fillId="0" borderId="0"/>
    <xf numFmtId="0" fontId="238" fillId="0" borderId="0"/>
    <xf numFmtId="0" fontId="206" fillId="0" borderId="142"/>
    <xf numFmtId="0" fontId="28" fillId="0" borderId="180"/>
    <xf numFmtId="0" fontId="28" fillId="0" borderId="188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0" fontId="40" fillId="0" borderId="0"/>
    <xf numFmtId="0" fontId="23" fillId="17" borderId="0"/>
    <xf numFmtId="0" fontId="23" fillId="17" borderId="0"/>
    <xf numFmtId="0" fontId="23" fillId="22" borderId="0"/>
    <xf numFmtId="0" fontId="23" fillId="22" borderId="0"/>
    <xf numFmtId="0" fontId="23" fillId="33" borderId="0"/>
    <xf numFmtId="0" fontId="23" fillId="25" borderId="0"/>
    <xf numFmtId="0" fontId="23" fillId="25" borderId="0"/>
    <xf numFmtId="0" fontId="23" fillId="32" borderId="0"/>
    <xf numFmtId="0" fontId="23" fillId="30" borderId="0"/>
    <xf numFmtId="0" fontId="23" fillId="30" borderId="0"/>
    <xf numFmtId="0" fontId="23" fillId="30" borderId="0"/>
    <xf numFmtId="0" fontId="23" fillId="32" borderId="0"/>
    <xf numFmtId="0" fontId="23" fillId="32" borderId="0"/>
    <xf numFmtId="0" fontId="23" fillId="25" borderId="0"/>
    <xf numFmtId="0" fontId="23" fillId="33" borderId="0"/>
    <xf numFmtId="0" fontId="23" fillId="33" borderId="0"/>
    <xf numFmtId="0" fontId="23" fillId="22" borderId="0"/>
    <xf numFmtId="0" fontId="23" fillId="17" borderId="0"/>
    <xf numFmtId="165" fontId="187" fillId="0" borderId="0"/>
    <xf numFmtId="0" fontId="23" fillId="17" borderId="0"/>
    <xf numFmtId="0" fontId="23" fillId="22" borderId="0"/>
    <xf numFmtId="0" fontId="23" fillId="33" borderId="0"/>
    <xf numFmtId="0" fontId="23" fillId="25" borderId="0"/>
    <xf numFmtId="0" fontId="23" fillId="32" borderId="0"/>
    <xf numFmtId="0" fontId="23" fillId="30" borderId="0"/>
    <xf numFmtId="0" fontId="23" fillId="30" borderId="0"/>
    <xf numFmtId="0" fontId="23" fillId="17" borderId="0"/>
    <xf numFmtId="0" fontId="23" fillId="32" borderId="0"/>
    <xf numFmtId="0" fontId="23" fillId="22" borderId="0"/>
    <xf numFmtId="0" fontId="23" fillId="25" borderId="0"/>
    <xf numFmtId="0" fontId="23" fillId="25" borderId="0"/>
    <xf numFmtId="0" fontId="23" fillId="33" borderId="0"/>
    <xf numFmtId="0" fontId="23" fillId="22" borderId="0"/>
    <xf numFmtId="0" fontId="23" fillId="30" borderId="0"/>
    <xf numFmtId="0" fontId="23" fillId="17" borderId="0"/>
    <xf numFmtId="0" fontId="23" fillId="32" borderId="0"/>
    <xf numFmtId="0" fontId="23" fillId="33" borderId="0"/>
    <xf numFmtId="165" fontId="187" fillId="0" borderId="0"/>
    <xf numFmtId="0" fontId="23" fillId="17" borderId="0"/>
    <xf numFmtId="0" fontId="23" fillId="17" borderId="0"/>
    <xf numFmtId="0" fontId="23" fillId="22" borderId="0"/>
    <xf numFmtId="0" fontId="23" fillId="33" borderId="0"/>
    <xf numFmtId="0" fontId="23" fillId="22" borderId="0"/>
    <xf numFmtId="0" fontId="23" fillId="33" borderId="0"/>
    <xf numFmtId="0" fontId="23" fillId="25" borderId="0"/>
    <xf numFmtId="0" fontId="23" fillId="33" borderId="0"/>
    <xf numFmtId="0" fontId="23" fillId="25" borderId="0"/>
    <xf numFmtId="0" fontId="23" fillId="32" borderId="0"/>
    <xf numFmtId="0" fontId="23" fillId="32" borderId="0"/>
    <xf numFmtId="0" fontId="23" fillId="32" borderId="0"/>
    <xf numFmtId="0" fontId="23" fillId="30" borderId="0"/>
    <xf numFmtId="0" fontId="23" fillId="30" borderId="0"/>
    <xf numFmtId="0" fontId="23" fillId="30" borderId="0"/>
    <xf numFmtId="0" fontId="23" fillId="17" borderId="0"/>
    <xf numFmtId="0" fontId="23" fillId="30" borderId="0"/>
    <xf numFmtId="0" fontId="23" fillId="30" borderId="0"/>
    <xf numFmtId="0" fontId="23" fillId="32" borderId="0"/>
    <xf numFmtId="0" fontId="23" fillId="32" borderId="0"/>
    <xf numFmtId="0" fontId="23" fillId="22" borderId="0"/>
    <xf numFmtId="0" fontId="23" fillId="25" borderId="0"/>
    <xf numFmtId="0" fontId="23" fillId="25" borderId="0"/>
    <xf numFmtId="0" fontId="23" fillId="25" borderId="0"/>
    <xf numFmtId="0" fontId="23" fillId="33" borderId="0"/>
    <xf numFmtId="0" fontId="23" fillId="25" borderId="0"/>
    <xf numFmtId="0" fontId="23" fillId="22" borderId="0"/>
    <xf numFmtId="0" fontId="23" fillId="33" borderId="0"/>
    <xf numFmtId="0" fontId="23" fillId="22" borderId="0"/>
    <xf numFmtId="0" fontId="23" fillId="30" borderId="0"/>
    <xf numFmtId="0" fontId="23" fillId="17" borderId="0"/>
    <xf numFmtId="0" fontId="23" fillId="22" borderId="0"/>
    <xf numFmtId="0" fontId="23" fillId="17" borderId="0"/>
    <xf numFmtId="0" fontId="23" fillId="32" borderId="0"/>
    <xf numFmtId="0" fontId="23" fillId="17" borderId="0"/>
    <xf numFmtId="0" fontId="23" fillId="33" borderId="0"/>
    <xf numFmtId="165" fontId="187" fillId="0" borderId="0"/>
    <xf numFmtId="0" fontId="23" fillId="17" borderId="0"/>
    <xf numFmtId="0" fontId="23" fillId="22" borderId="0"/>
    <xf numFmtId="0" fontId="23" fillId="33" borderId="0"/>
    <xf numFmtId="0" fontId="23" fillId="33" borderId="0"/>
    <xf numFmtId="0" fontId="23" fillId="25" borderId="0"/>
    <xf numFmtId="0" fontId="23" fillId="32" borderId="0"/>
    <xf numFmtId="0" fontId="23" fillId="32" borderId="0"/>
    <xf numFmtId="0" fontId="23" fillId="30" borderId="0"/>
    <xf numFmtId="0" fontId="23" fillId="30" borderId="0"/>
    <xf numFmtId="0" fontId="23" fillId="17" borderId="0"/>
    <xf numFmtId="0" fontId="23" fillId="30" borderId="0"/>
    <xf numFmtId="0" fontId="23" fillId="32" borderId="0"/>
    <xf numFmtId="0" fontId="23" fillId="22" borderId="0"/>
    <xf numFmtId="0" fontId="23" fillId="25" borderId="0"/>
    <xf numFmtId="0" fontId="23" fillId="25" borderId="0"/>
    <xf numFmtId="0" fontId="23" fillId="25" borderId="0"/>
    <xf numFmtId="0" fontId="23" fillId="33" borderId="0"/>
    <xf numFmtId="0" fontId="23" fillId="22" borderId="0"/>
    <xf numFmtId="0" fontId="23" fillId="22" borderId="0"/>
    <xf numFmtId="0" fontId="23" fillId="30" borderId="0"/>
    <xf numFmtId="0" fontId="23" fillId="17" borderId="0"/>
    <xf numFmtId="0" fontId="23" fillId="17" borderId="0"/>
    <xf numFmtId="0" fontId="23" fillId="32" borderId="0"/>
    <xf numFmtId="0" fontId="23" fillId="33" borderId="0"/>
    <xf numFmtId="165" fontId="187" fillId="0" borderId="0"/>
    <xf numFmtId="0" fontId="23" fillId="17" borderId="0"/>
    <xf numFmtId="0" fontId="23" fillId="22" borderId="0"/>
    <xf numFmtId="0" fontId="23" fillId="33" borderId="0"/>
    <xf numFmtId="0" fontId="23" fillId="33" borderId="0"/>
    <xf numFmtId="0" fontId="23" fillId="25" borderId="0"/>
    <xf numFmtId="0" fontId="23" fillId="32" borderId="0"/>
    <xf numFmtId="0" fontId="23" fillId="32" borderId="0"/>
    <xf numFmtId="0" fontId="23" fillId="30" borderId="0"/>
    <xf numFmtId="0" fontId="23" fillId="30" borderId="0"/>
    <xf numFmtId="0" fontId="23" fillId="17" borderId="0"/>
    <xf numFmtId="0" fontId="23" fillId="30" borderId="0"/>
    <xf numFmtId="0" fontId="23" fillId="32" borderId="0"/>
    <xf numFmtId="0" fontId="23" fillId="22" borderId="0"/>
    <xf numFmtId="0" fontId="23" fillId="25" borderId="0"/>
    <xf numFmtId="0" fontId="23" fillId="25" borderId="0"/>
    <xf numFmtId="0" fontId="23" fillId="25" borderId="0"/>
    <xf numFmtId="0" fontId="23" fillId="33" borderId="0"/>
    <xf numFmtId="0" fontId="23" fillId="22" borderId="0"/>
    <xf numFmtId="0" fontId="23" fillId="22" borderId="0"/>
    <xf numFmtId="0" fontId="23" fillId="30" borderId="0"/>
    <xf numFmtId="0" fontId="23" fillId="17" borderId="0"/>
    <xf numFmtId="0" fontId="23" fillId="17" borderId="0"/>
    <xf numFmtId="0" fontId="23" fillId="32" borderId="0"/>
    <xf numFmtId="0" fontId="23" fillId="33" borderId="0"/>
    <xf numFmtId="165" fontId="187" fillId="0" borderId="0"/>
    <xf numFmtId="0" fontId="186" fillId="89" borderId="0"/>
    <xf numFmtId="0" fontId="186" fillId="13" borderId="0"/>
    <xf numFmtId="0" fontId="186" fillId="7" borderId="0"/>
    <xf numFmtId="0" fontId="186" fillId="4" borderId="0"/>
    <xf numFmtId="0" fontId="186" fillId="14" borderId="0"/>
    <xf numFmtId="0" fontId="186" fillId="39" borderId="0"/>
    <xf numFmtId="0" fontId="186" fillId="31" borderId="0"/>
    <xf numFmtId="0" fontId="186" fillId="13" borderId="0"/>
    <xf numFmtId="0" fontId="186" fillId="29" borderId="0"/>
    <xf numFmtId="0" fontId="186" fillId="12" borderId="0"/>
    <xf numFmtId="0" fontId="186" fillId="31" borderId="0"/>
    <xf numFmtId="0" fontId="186" fillId="5" borderId="0"/>
    <xf numFmtId="0" fontId="208" fillId="31" borderId="0"/>
    <xf numFmtId="0" fontId="208" fillId="13" borderId="0"/>
    <xf numFmtId="0" fontId="208" fillId="29" borderId="0"/>
    <xf numFmtId="0" fontId="208" fillId="12" borderId="0"/>
    <xf numFmtId="0" fontId="208" fillId="31" borderId="0"/>
    <xf numFmtId="0" fontId="208" fillId="5" borderId="0"/>
    <xf numFmtId="0" fontId="23" fillId="17" borderId="0"/>
    <xf numFmtId="0" fontId="23" fillId="22" borderId="0"/>
    <xf numFmtId="0" fontId="23" fillId="25" borderId="0"/>
    <xf numFmtId="0" fontId="23" fillId="30" borderId="0"/>
    <xf numFmtId="0" fontId="23" fillId="32" borderId="0"/>
    <xf numFmtId="0" fontId="23" fillId="33" borderId="0"/>
    <xf numFmtId="0" fontId="230" fillId="0" borderId="0"/>
    <xf numFmtId="0" fontId="3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0" fontId="207" fillId="0" borderId="0"/>
    <xf numFmtId="9" fontId="187" fillId="0" borderId="0"/>
    <xf numFmtId="0" fontId="187" fillId="0" borderId="0"/>
    <xf numFmtId="9" fontId="187" fillId="0" borderId="0"/>
    <xf numFmtId="0" fontId="23" fillId="17" borderId="0"/>
    <xf numFmtId="0" fontId="23" fillId="22" borderId="0"/>
    <xf numFmtId="0" fontId="23" fillId="25" borderId="0"/>
    <xf numFmtId="0" fontId="23" fillId="30" borderId="0"/>
    <xf numFmtId="0" fontId="23" fillId="32" borderId="0"/>
    <xf numFmtId="0" fontId="23" fillId="33" borderId="0"/>
    <xf numFmtId="0" fontId="27" fillId="25" borderId="7"/>
    <xf numFmtId="0" fontId="29" fillId="58" borderId="0"/>
    <xf numFmtId="0" fontId="79" fillId="53" borderId="0"/>
    <xf numFmtId="0" fontId="33" fillId="35" borderId="181"/>
    <xf numFmtId="0" fontId="34" fillId="0" borderId="29"/>
    <xf numFmtId="0" fontId="35" fillId="5" borderId="0"/>
    <xf numFmtId="0" fontId="18" fillId="34" borderId="182"/>
    <xf numFmtId="0" fontId="23" fillId="33" borderId="0"/>
    <xf numFmtId="0" fontId="38" fillId="0" borderId="0"/>
    <xf numFmtId="0" fontId="187" fillId="0" borderId="0"/>
    <xf numFmtId="0" fontId="23" fillId="17" borderId="0"/>
    <xf numFmtId="267" fontId="18" fillId="0" borderId="0"/>
    <xf numFmtId="9" fontId="18" fillId="0" borderId="0"/>
    <xf numFmtId="267" fontId="18" fillId="0" borderId="0"/>
    <xf numFmtId="165" fontId="18" fillId="0" borderId="0"/>
    <xf numFmtId="0" fontId="70" fillId="0" borderId="0"/>
    <xf numFmtId="0" fontId="180" fillId="14" borderId="0"/>
    <xf numFmtId="0" fontId="180" fillId="10" borderId="0"/>
    <xf numFmtId="0" fontId="180" fillId="163" borderId="0"/>
    <xf numFmtId="0" fontId="180" fillId="5" borderId="0"/>
    <xf numFmtId="0" fontId="180" fillId="10" borderId="0"/>
    <xf numFmtId="0" fontId="180" fillId="163" borderId="0"/>
    <xf numFmtId="0" fontId="23" fillId="164" borderId="0"/>
    <xf numFmtId="0" fontId="23" fillId="52" borderId="0"/>
    <xf numFmtId="0" fontId="23" fillId="40" borderId="0"/>
    <xf numFmtId="0" fontId="23" fillId="53" borderId="0"/>
    <xf numFmtId="0" fontId="23" fillId="164" borderId="0"/>
    <xf numFmtId="0" fontId="229" fillId="29" borderId="0"/>
    <xf numFmtId="0" fontId="87" fillId="4" borderId="181"/>
    <xf numFmtId="0" fontId="125" fillId="0" borderId="30"/>
    <xf numFmtId="0" fontId="23" fillId="86" borderId="0"/>
    <xf numFmtId="0" fontId="23" fillId="52" borderId="0"/>
    <xf numFmtId="0" fontId="23" fillId="52" borderId="0"/>
    <xf numFmtId="0" fontId="23" fillId="53" borderId="0"/>
    <xf numFmtId="0" fontId="23" fillId="86" borderId="0"/>
    <xf numFmtId="0" fontId="23" fillId="36" borderId="0"/>
    <xf numFmtId="0" fontId="33" fillId="5" borderId="181"/>
    <xf numFmtId="0" fontId="42" fillId="16" borderId="0"/>
    <xf numFmtId="0" fontId="25" fillId="66" borderId="0"/>
    <xf numFmtId="0" fontId="187" fillId="0" borderId="0"/>
    <xf numFmtId="0" fontId="18" fillId="7" borderId="182"/>
    <xf numFmtId="9" fontId="70" fillId="0" borderId="0"/>
    <xf numFmtId="4" fontId="11" fillId="69" borderId="183" applyAlignment="1">
      <alignment vertical="center"/>
    </xf>
    <xf numFmtId="4" fontId="186" fillId="10" borderId="183" applyAlignment="1">
      <alignment horizontal="right" vertical="center"/>
    </xf>
    <xf numFmtId="0" fontId="23" fillId="22" borderId="0"/>
    <xf numFmtId="4" fontId="11" fillId="95" borderId="38" applyAlignment="1">
      <alignment horizontal="left" vertical="center" indent="1"/>
    </xf>
    <xf numFmtId="4" fontId="186" fillId="96" borderId="0" applyAlignment="1">
      <alignment horizontal="left" vertical="center" indent="1"/>
    </xf>
    <xf numFmtId="4" fontId="8" fillId="70" borderId="0" applyAlignment="1">
      <alignment horizontal="left" vertical="center" indent="1"/>
    </xf>
    <xf numFmtId="0" fontId="18" fillId="0" borderId="0"/>
    <xf numFmtId="4" fontId="13" fillId="81" borderId="183" applyAlignment="1">
      <alignment vertical="center"/>
    </xf>
    <xf numFmtId="4" fontId="15" fillId="86" borderId="0" applyAlignment="1">
      <alignment horizontal="left" vertical="center" indent="1"/>
    </xf>
    <xf numFmtId="0" fontId="34" fillId="0" borderId="0"/>
    <xf numFmtId="0" fontId="238" fillId="0" borderId="0"/>
    <xf numFmtId="0" fontId="235" fillId="0" borderId="149"/>
    <xf numFmtId="0" fontId="236" fillId="0" borderId="150"/>
    <xf numFmtId="0" fontId="237" fillId="0" borderId="151"/>
    <xf numFmtId="0" fontId="237" fillId="0" borderId="0"/>
    <xf numFmtId="0" fontId="28" fillId="0" borderId="188"/>
    <xf numFmtId="0" fontId="23" fillId="25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23" fillId="32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23" fillId="22" borderId="0"/>
    <xf numFmtId="0" fontId="23" fillId="17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23" fillId="25" borderId="0"/>
    <xf numFmtId="0" fontId="23" fillId="30" borderId="0"/>
    <xf numFmtId="0" fontId="23" fillId="32" borderId="0"/>
    <xf numFmtId="0" fontId="23" fillId="33" borderId="0"/>
    <xf numFmtId="0" fontId="187" fillId="0" borderId="0"/>
    <xf numFmtId="9" fontId="18" fillId="0" borderId="0"/>
    <xf numFmtId="165" fontId="47" fillId="0" borderId="0"/>
    <xf numFmtId="0" fontId="23" fillId="33" borderId="0"/>
    <xf numFmtId="267" fontId="18" fillId="0" borderId="0"/>
    <xf numFmtId="9" fontId="18" fillId="0" borderId="0"/>
    <xf numFmtId="267" fontId="18" fillId="0" borderId="0"/>
    <xf numFmtId="9" fontId="18" fillId="0" borderId="0"/>
    <xf numFmtId="0" fontId="23" fillId="30" borderId="0"/>
    <xf numFmtId="9" fontId="18" fillId="0" borderId="0"/>
    <xf numFmtId="267" fontId="18" fillId="0" borderId="0"/>
    <xf numFmtId="9" fontId="18" fillId="0" borderId="0"/>
    <xf numFmtId="9" fontId="18" fillId="0" borderId="0"/>
    <xf numFmtId="0" fontId="23" fillId="25" borderId="0"/>
    <xf numFmtId="0" fontId="23" fillId="32" borderId="0"/>
    <xf numFmtId="0" fontId="23" fillId="3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0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23" fillId="17" borderId="0"/>
    <xf numFmtId="0" fontId="23" fillId="22" borderId="0"/>
    <xf numFmtId="0" fontId="23" fillId="25" borderId="0"/>
    <xf numFmtId="0" fontId="23" fillId="30" borderId="0"/>
    <xf numFmtId="0" fontId="23" fillId="32" borderId="0"/>
    <xf numFmtId="0" fontId="23" fillId="33" borderId="0"/>
    <xf numFmtId="0" fontId="26" fillId="44" borderId="181"/>
    <xf numFmtId="0" fontId="26" fillId="4" borderId="181"/>
    <xf numFmtId="0" fontId="41" fillId="5" borderId="181"/>
    <xf numFmtId="0" fontId="33" fillId="35" borderId="181"/>
    <xf numFmtId="0" fontId="18" fillId="7" borderId="182"/>
    <xf numFmtId="0" fontId="18" fillId="34" borderId="182"/>
    <xf numFmtId="0" fontId="36" fillId="44" borderId="187"/>
    <xf numFmtId="0" fontId="36" fillId="4" borderId="187"/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0" fontId="28" fillId="0" borderId="180"/>
    <xf numFmtId="0" fontId="187" fillId="0" borderId="0"/>
    <xf numFmtId="0" fontId="77" fillId="31" borderId="184"/>
    <xf numFmtId="0" fontId="198" fillId="38" borderId="170"/>
    <xf numFmtId="0" fontId="18" fillId="34" borderId="182"/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0" fontId="191" fillId="104" borderId="185"/>
    <xf numFmtId="0" fontId="33" fillId="35" borderId="185"/>
    <xf numFmtId="0" fontId="198" fillId="34" borderId="185"/>
    <xf numFmtId="0" fontId="36" fillId="104" borderId="187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63" fillId="7" borderId="183" applyAlignment="1">
      <alignment vertical="center"/>
    </xf>
    <xf numFmtId="4" fontId="193" fillId="42" borderId="170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28" fillId="0" borderId="180"/>
    <xf numFmtId="0" fontId="87" fillId="4" borderId="181"/>
    <xf numFmtId="0" fontId="26" fillId="4" borderId="181"/>
    <xf numFmtId="0" fontId="33" fillId="5" borderId="181"/>
    <xf numFmtId="0" fontId="41" fillId="5" borderId="181"/>
    <xf numFmtId="0" fontId="187" fillId="0" borderId="0"/>
    <xf numFmtId="0" fontId="18" fillId="7" borderId="182"/>
    <xf numFmtId="0" fontId="18" fillId="7" borderId="182"/>
    <xf numFmtId="0" fontId="18" fillId="34" borderId="182"/>
    <xf numFmtId="0" fontId="36" fillId="4" borderId="187"/>
    <xf numFmtId="4" fontId="11" fillId="69" borderId="183" applyAlignment="1">
      <alignment vertical="center"/>
    </xf>
    <xf numFmtId="4" fontId="11" fillId="69" borderId="183" applyAlignment="1">
      <alignment vertical="center"/>
    </xf>
    <xf numFmtId="4" fontId="11" fillId="2" borderId="183" applyAlignment="1">
      <alignment vertical="center"/>
    </xf>
    <xf numFmtId="4" fontId="8" fillId="69" borderId="183" applyAlignment="1">
      <alignment vertical="center"/>
    </xf>
    <xf numFmtId="4" fontId="188" fillId="69" borderId="183" applyAlignment="1">
      <alignment vertical="center"/>
    </xf>
    <xf numFmtId="4" fontId="9" fillId="69" borderId="183" applyAlignment="1">
      <alignment vertical="center"/>
    </xf>
    <xf numFmtId="4" fontId="67" fillId="14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67" fillId="68" borderId="183" applyAlignment="1">
      <alignment horizontal="right" vertical="center"/>
    </xf>
    <xf numFmtId="4" fontId="186" fillId="39" borderId="183" applyAlignment="1">
      <alignment horizontal="right" vertical="center"/>
    </xf>
    <xf numFmtId="4" fontId="10" fillId="68" borderId="183" applyAlignment="1">
      <alignment horizontal="right" vertical="center"/>
    </xf>
    <xf numFmtId="4" fontId="186" fillId="13" borderId="183" applyAlignment="1">
      <alignment horizontal="right" vertical="center"/>
    </xf>
    <xf numFmtId="4" fontId="10" fillId="61" borderId="183" applyAlignment="1">
      <alignment horizontal="right" vertical="center"/>
    </xf>
    <xf numFmtId="4" fontId="67" fillId="71" borderId="183" applyAlignment="1">
      <alignment horizontal="right" vertical="center"/>
    </xf>
    <xf numFmtId="4" fontId="186" fillId="10" borderId="183" applyAlignment="1">
      <alignment horizontal="right" vertical="center"/>
    </xf>
    <xf numFmtId="4" fontId="10" fillId="71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0" fillId="72" borderId="183" applyAlignment="1">
      <alignment horizontal="right" vertical="center"/>
    </xf>
    <xf numFmtId="4" fontId="67" fillId="73" borderId="183" applyAlignment="1">
      <alignment horizontal="right" vertical="center"/>
    </xf>
    <xf numFmtId="4" fontId="186" fillId="9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86" fillId="36" borderId="183" applyAlignment="1">
      <alignment horizontal="right" vertical="center"/>
    </xf>
    <xf numFmtId="4" fontId="10" fillId="74" borderId="183" applyAlignment="1">
      <alignment horizontal="right" vertical="center"/>
    </xf>
    <xf numFmtId="4" fontId="67" fillId="75" borderId="183" applyAlignment="1">
      <alignment horizontal="right" vertical="center"/>
    </xf>
    <xf numFmtId="4" fontId="186" fillId="29" borderId="183" applyAlignment="1">
      <alignment horizontal="right" vertical="center"/>
    </xf>
    <xf numFmtId="4" fontId="10" fillId="75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76" borderId="183" applyAlignment="1">
      <alignment horizontal="right" vertical="center"/>
    </xf>
    <xf numFmtId="4" fontId="67" fillId="77" borderId="183" applyAlignment="1">
      <alignment horizontal="right" vertical="center"/>
    </xf>
    <xf numFmtId="4" fontId="186" fillId="94" borderId="183" applyAlignment="1">
      <alignment horizontal="right" vertical="center"/>
    </xf>
    <xf numFmtId="4" fontId="10" fillId="77" borderId="183" applyAlignment="1">
      <alignment horizontal="right" vertical="center"/>
    </xf>
    <xf numFmtId="4" fontId="67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70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86" fillId="42" borderId="183" applyAlignment="1">
      <alignment vertical="center"/>
    </xf>
    <xf numFmtId="4" fontId="10" fillId="81" borderId="183" applyAlignment="1">
      <alignment vertical="center"/>
    </xf>
    <xf numFmtId="4" fontId="189" fillId="42" borderId="183" applyAlignment="1">
      <alignment vertical="center"/>
    </xf>
    <xf numFmtId="4" fontId="13" fillId="81" borderId="183" applyAlignment="1">
      <alignment vertical="center"/>
    </xf>
    <xf numFmtId="4" fontId="186" fillId="42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42" borderId="183" applyAlignment="1">
      <alignment horizontal="left" vertical="top" indent="1"/>
    </xf>
    <xf numFmtId="0" fontId="186" fillId="7" borderId="183" applyAlignment="1">
      <alignment horizontal="left" vertical="top" indent="1"/>
    </xf>
    <xf numFmtId="4" fontId="67" fillId="4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0" fillId="81" borderId="183" applyAlignment="1">
      <alignment horizontal="right" vertical="center"/>
    </xf>
    <xf numFmtId="4" fontId="189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92" fillId="96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90" fillId="96" borderId="183" applyAlignment="1">
      <alignment horizontal="right" vertical="center"/>
    </xf>
    <xf numFmtId="4" fontId="16" fillId="81" borderId="183" applyAlignment="1">
      <alignment horizontal="right" vertical="center"/>
    </xf>
    <xf numFmtId="0" fontId="28" fillId="0" borderId="188"/>
    <xf numFmtId="0" fontId="191" fillId="104" borderId="185"/>
    <xf numFmtId="0" fontId="33" fillId="35" borderId="185"/>
    <xf numFmtId="0" fontId="198" fillId="34" borderId="185"/>
    <xf numFmtId="0" fontId="36" fillId="104" borderId="187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98" fillId="96" borderId="186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98" fillId="96" borderId="183" applyAlignment="1">
      <alignment horizontal="left" vertical="top" indent="1"/>
    </xf>
    <xf numFmtId="4" fontId="163" fillId="7" borderId="183" applyAlignment="1">
      <alignment vertical="center"/>
    </xf>
    <xf numFmtId="4" fontId="193" fillId="42" borderId="170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4" fontId="198" fillId="2" borderId="185" applyAlignment="1">
      <alignment vertical="center"/>
    </xf>
    <xf numFmtId="4" fontId="198" fillId="69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89" borderId="185" applyAlignment="1">
      <alignment horizontal="right" vertical="center"/>
    </xf>
    <xf numFmtId="0" fontId="198" fillId="12" borderId="185" applyAlignment="1">
      <alignment horizontal="left" vertical="center" indent="1"/>
    </xf>
    <xf numFmtId="0" fontId="198" fillId="91" borderId="185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98" fillId="96" borderId="185" applyAlignment="1">
      <alignment horizontal="left" vertical="center" indent="1"/>
    </xf>
    <xf numFmtId="4" fontId="198" fillId="0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186" fillId="69" borderId="187" applyAlignment="1">
      <alignment vertical="center"/>
    </xf>
    <xf numFmtId="4" fontId="189" fillId="69" borderId="187" applyAlignment="1">
      <alignment vertical="center"/>
    </xf>
    <xf numFmtId="4" fontId="186" fillId="69" borderId="187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61" borderId="187" applyAlignment="1">
      <alignment horizontal="right" vertical="center"/>
    </xf>
    <xf numFmtId="4" fontId="186" fillId="71" borderId="187" applyAlignment="1">
      <alignment horizontal="right" vertical="center"/>
    </xf>
    <xf numFmtId="4" fontId="186" fillId="68" borderId="187" applyAlignment="1">
      <alignment horizontal="right" vertical="center"/>
    </xf>
    <xf numFmtId="4" fontId="186" fillId="73" borderId="187" applyAlignment="1">
      <alignment horizontal="right" vertical="center"/>
    </xf>
    <xf numFmtId="4" fontId="186" fillId="165" borderId="187" applyAlignment="1">
      <alignment horizontal="right" vertical="center"/>
    </xf>
    <xf numFmtId="4" fontId="186" fillId="166" borderId="187" applyAlignment="1">
      <alignment horizontal="right" vertical="center"/>
    </xf>
    <xf numFmtId="4" fontId="186" fillId="76" borderId="187" applyAlignment="1">
      <alignment horizontal="right" vertical="center"/>
    </xf>
    <xf numFmtId="4" fontId="186" fillId="75" borderId="187" applyAlignment="1">
      <alignment horizontal="right" vertical="center"/>
    </xf>
    <xf numFmtId="4" fontId="186" fillId="167" borderId="187" applyAlignment="1">
      <alignment horizontal="right" vertical="center"/>
    </xf>
    <xf numFmtId="4" fontId="11" fillId="169" borderId="187" applyAlignment="1">
      <alignment horizontal="left" vertical="center" indent="1"/>
    </xf>
    <xf numFmtId="4" fontId="186" fillId="170" borderId="17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170" borderId="187" applyAlignment="1">
      <alignment horizontal="left" vertical="center" indent="1"/>
    </xf>
    <xf numFmtId="4" fontId="186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42" borderId="187" applyAlignment="1">
      <alignment vertical="center"/>
    </xf>
    <xf numFmtId="4" fontId="189" fillId="42" borderId="187" applyAlignment="1">
      <alignment vertical="center"/>
    </xf>
    <xf numFmtId="4" fontId="186" fillId="42" borderId="187" applyAlignment="1">
      <alignment horizontal="left" vertical="center" indent="1"/>
    </xf>
    <xf numFmtId="4" fontId="186" fillId="42" borderId="187" applyAlignment="1">
      <alignment horizontal="left" vertical="center" indent="1"/>
    </xf>
    <xf numFmtId="4" fontId="186" fillId="170" borderId="187" applyAlignment="1">
      <alignment horizontal="right" vertical="center"/>
    </xf>
    <xf numFmtId="4" fontId="189" fillId="170" borderId="187" applyAlignment="1">
      <alignment horizontal="right" vertical="center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90" fillId="170" borderId="187" applyAlignment="1">
      <alignment horizontal="right" vertical="center"/>
    </xf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87" fillId="4" borderId="181"/>
    <xf numFmtId="0" fontId="26" fillId="4" borderId="181"/>
    <xf numFmtId="0" fontId="33" fillId="5" borderId="181"/>
    <xf numFmtId="0" fontId="41" fillId="5" borderId="181"/>
    <xf numFmtId="0" fontId="187" fillId="0" borderId="0"/>
    <xf numFmtId="0" fontId="18" fillId="7" borderId="182"/>
    <xf numFmtId="0" fontId="18" fillId="7" borderId="182"/>
    <xf numFmtId="0" fontId="18" fillId="34" borderId="182"/>
    <xf numFmtId="0" fontId="18" fillId="34" borderId="182"/>
    <xf numFmtId="0" fontId="36" fillId="4" borderId="187"/>
    <xf numFmtId="0" fontId="36" fillId="4" borderId="187"/>
    <xf numFmtId="4" fontId="11" fillId="69" borderId="183" applyAlignment="1">
      <alignment vertical="center"/>
    </xf>
    <xf numFmtId="4" fontId="11" fillId="69" borderId="183" applyAlignment="1">
      <alignment vertical="center"/>
    </xf>
    <xf numFmtId="4" fontId="11" fillId="2" borderId="183" applyAlignment="1">
      <alignment vertical="center"/>
    </xf>
    <xf numFmtId="4" fontId="188" fillId="69" borderId="183" applyAlignment="1">
      <alignment vertical="center"/>
    </xf>
    <xf numFmtId="4" fontId="67" fillId="14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67" fillId="68" borderId="183" applyAlignment="1">
      <alignment horizontal="right" vertical="center"/>
    </xf>
    <xf numFmtId="4" fontId="186" fillId="13" borderId="183" applyAlignment="1">
      <alignment horizontal="right" vertical="center"/>
    </xf>
    <xf numFmtId="4" fontId="67" fillId="71" borderId="183" applyAlignment="1">
      <alignment horizontal="right" vertical="center"/>
    </xf>
    <xf numFmtId="4" fontId="186" fillId="92" borderId="183" applyAlignment="1">
      <alignment horizontal="right" vertical="center"/>
    </xf>
    <xf numFmtId="4" fontId="67" fillId="73" borderId="183" applyAlignment="1">
      <alignment horizontal="right" vertical="center"/>
    </xf>
    <xf numFmtId="4" fontId="186" fillId="36" borderId="183" applyAlignment="1">
      <alignment horizontal="right" vertical="center"/>
    </xf>
    <xf numFmtId="4" fontId="67" fillId="75" borderId="183" applyAlignment="1">
      <alignment horizontal="right" vertical="center"/>
    </xf>
    <xf numFmtId="4" fontId="186" fillId="90" borderId="183" applyAlignment="1">
      <alignment horizontal="right" vertical="center"/>
    </xf>
    <xf numFmtId="4" fontId="67" fillId="77" borderId="183" applyAlignment="1">
      <alignment horizontal="right" vertical="center"/>
    </xf>
    <xf numFmtId="4" fontId="67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0" fontId="18" fillId="70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86" fillId="42" borderId="183" applyAlignment="1">
      <alignment vertical="center"/>
    </xf>
    <xf numFmtId="4" fontId="189" fillId="42" borderId="183" applyAlignment="1">
      <alignment vertical="center"/>
    </xf>
    <xf numFmtId="4" fontId="186" fillId="42" borderId="183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67" fillId="4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89" fillId="96" borderId="183" applyAlignment="1">
      <alignment horizontal="right" vertical="center"/>
    </xf>
    <xf numFmtId="4" fontId="92" fillId="96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90" fillId="96" borderId="183" applyAlignment="1">
      <alignment horizontal="right" vertical="center"/>
    </xf>
    <xf numFmtId="0" fontId="28" fillId="0" borderId="188"/>
    <xf numFmtId="0" fontId="198" fillId="34" borderId="185"/>
    <xf numFmtId="0" fontId="198" fillId="91" borderId="185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98" fillId="38" borderId="170"/>
    <xf numFmtId="0" fontId="28" fillId="0" borderId="18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91" fillId="104" borderId="185"/>
    <xf numFmtId="0" fontId="33" fillId="35" borderId="185"/>
    <xf numFmtId="0" fontId="187" fillId="0" borderId="0"/>
    <xf numFmtId="0" fontId="198" fillId="34" borderId="185"/>
    <xf numFmtId="0" fontId="36" fillId="104" borderId="187"/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/>
    </xf>
    <xf numFmtId="4" fontId="186" fillId="69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42" borderId="187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wrapText="1"/>
    </xf>
    <xf numFmtId="0" fontId="18" fillId="55" borderId="187" applyAlignment="1">
      <alignment horizontal="left" vertical="center" indent="1"/>
    </xf>
    <xf numFmtId="4" fontId="50" fillId="66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53" borderId="183" applyAlignment="1">
      <alignment horizontal="right" vertical="center"/>
    </xf>
    <xf numFmtId="0" fontId="232" fillId="40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231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wrapText="1"/>
    </xf>
    <xf numFmtId="0" fontId="232" fillId="55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50" fillId="66" borderId="183" applyAlignment="1">
      <alignment vertical="center"/>
    </xf>
    <xf numFmtId="4" fontId="10" fillId="53" borderId="183" applyAlignment="1">
      <alignment horizontal="right" vertical="center"/>
    </xf>
    <xf numFmtId="0" fontId="232" fillId="40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4" fontId="231" fillId="96" borderId="183" applyAlignment="1">
      <alignment horizontal="right" vertical="center"/>
    </xf>
    <xf numFmtId="0" fontId="232" fillId="55" borderId="187" applyAlignment="1">
      <alignment horizontal="left" vertical="center" indent="1"/>
    </xf>
    <xf numFmtId="0" fontId="239" fillId="0" borderId="0"/>
    <xf numFmtId="0" fontId="70" fillId="0" borderId="0"/>
    <xf numFmtId="165" fontId="70" fillId="0" borderId="0"/>
    <xf numFmtId="0" fontId="70" fillId="0" borderId="0"/>
    <xf numFmtId="0" fontId="187" fillId="0" borderId="0"/>
    <xf numFmtId="4" fontId="67" fillId="168" borderId="38" applyAlignment="1">
      <alignment horizontal="left" vertical="center" indent="1"/>
    </xf>
    <xf numFmtId="4" fontId="8" fillId="78" borderId="38" applyAlignment="1">
      <alignment horizontal="left" vertical="center" indent="1"/>
    </xf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4" fontId="8" fillId="78" borderId="38" applyAlignment="1">
      <alignment horizontal="left" vertical="center" indent="1"/>
    </xf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4" fontId="67" fillId="168" borderId="38" applyAlignment="1">
      <alignment horizontal="left" vertical="center" indent="1"/>
    </xf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7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4" fontId="8" fillId="78" borderId="38" applyAlignment="1">
      <alignment horizontal="left" vertical="center" indent="1"/>
    </xf>
    <xf numFmtId="165" fontId="47" fillId="0" borderId="0"/>
    <xf numFmtId="165" fontId="18" fillId="0" borderId="0"/>
    <xf numFmtId="0" fontId="198" fillId="11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170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" fillId="0" borderId="0"/>
    <xf numFmtId="0" fontId="18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0" fontId="47" fillId="0" borderId="0"/>
    <xf numFmtId="4" fontId="9" fillId="69" borderId="183" applyAlignment="1">
      <alignment vertical="center"/>
    </xf>
    <xf numFmtId="4" fontId="10" fillId="69" borderId="183" applyAlignment="1">
      <alignment horizontal="left" vertical="center"/>
    </xf>
    <xf numFmtId="4" fontId="231" fillId="70" borderId="0" applyAlignment="1">
      <alignment horizontal="left" vertical="center" wrapText="1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8" fillId="78" borderId="38" applyAlignment="1">
      <alignment horizontal="left" vertical="center" indent="1"/>
    </xf>
    <xf numFmtId="4" fontId="8" fillId="79" borderId="0" applyAlignment="1">
      <alignment horizontal="left" vertical="center" indent="1"/>
    </xf>
    <xf numFmtId="4" fontId="8" fillId="70" borderId="0" applyAlignment="1">
      <alignment horizontal="left" vertical="center" indent="1"/>
    </xf>
    <xf numFmtId="4" fontId="10" fillId="53" borderId="183" applyAlignment="1">
      <alignment horizontal="right" vertical="center"/>
    </xf>
    <xf numFmtId="4" fontId="186" fillId="79" borderId="0" applyAlignment="1">
      <alignment horizontal="left" vertical="center" indent="1"/>
    </xf>
    <xf numFmtId="4" fontId="186" fillId="70" borderId="0" applyAlignment="1">
      <alignment horizontal="left" vertical="center" indent="1"/>
    </xf>
    <xf numFmtId="0" fontId="232" fillId="40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231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wrapText="1"/>
    </xf>
    <xf numFmtId="0" fontId="232" fillId="55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165" fontId="47" fillId="0" borderId="0"/>
    <xf numFmtId="4" fontId="50" fillId="66" borderId="183" applyAlignment="1">
      <alignment vertical="center"/>
    </xf>
    <xf numFmtId="165" fontId="18" fillId="0" borderId="0"/>
    <xf numFmtId="0" fontId="198" fillId="11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240" fillId="0" borderId="0"/>
    <xf numFmtId="0" fontId="187" fillId="0" borderId="0"/>
    <xf numFmtId="0" fontId="187" fillId="0" borderId="0"/>
    <xf numFmtId="0" fontId="70" fillId="0" borderId="0"/>
    <xf numFmtId="0" fontId="18" fillId="0" borderId="0"/>
    <xf numFmtId="0" fontId="18" fillId="0" borderId="0"/>
    <xf numFmtId="0" fontId="187" fillId="0" borderId="0"/>
    <xf numFmtId="0" fontId="187" fillId="0" borderId="0"/>
    <xf numFmtId="9" fontId="187" fillId="0" borderId="0"/>
    <xf numFmtId="4" fontId="92" fillId="69" borderId="187" applyAlignment="1">
      <alignment vertical="center"/>
    </xf>
    <xf numFmtId="4" fontId="92" fillId="69" borderId="187" applyAlignment="1">
      <alignment horizontal="left" vertical="center" indent="1"/>
    </xf>
    <xf numFmtId="0" fontId="46" fillId="45" borderId="187" applyAlignment="1">
      <alignment horizontal="left" vertical="center" indent="1"/>
    </xf>
    <xf numFmtId="4" fontId="11" fillId="172" borderId="187" applyAlignment="1">
      <alignment horizontal="left" vertical="center" indent="1"/>
    </xf>
    <xf numFmtId="4" fontId="242" fillId="170" borderId="177" applyAlignment="1">
      <alignment horizontal="left" vertical="center" indent="1"/>
    </xf>
    <xf numFmtId="0" fontId="46" fillId="171" borderId="187" applyAlignment="1">
      <alignment horizontal="left" vertical="center" indent="1"/>
    </xf>
    <xf numFmtId="0" fontId="46" fillId="164" borderId="187" applyAlignment="1">
      <alignment horizontal="left" vertical="center" indent="1"/>
    </xf>
    <xf numFmtId="0" fontId="164" fillId="164" borderId="187" applyAlignment="1">
      <alignment horizontal="left" vertical="center" indent="1"/>
    </xf>
    <xf numFmtId="0" fontId="46" fillId="12" borderId="187" applyAlignment="1">
      <alignment horizontal="left" vertical="center" indent="1"/>
    </xf>
    <xf numFmtId="4" fontId="67" fillId="42" borderId="187" applyAlignment="1">
      <alignment horizontal="left" vertical="center" indent="1"/>
    </xf>
    <xf numFmtId="4" fontId="67" fillId="164" borderId="187" applyAlignment="1">
      <alignment horizontal="right" vertical="center"/>
    </xf>
    <xf numFmtId="0" fontId="18" fillId="12" borderId="187" applyAlignment="1">
      <alignment horizontal="left" vertical="center" indent="1"/>
    </xf>
    <xf numFmtId="0" fontId="164" fillId="96" borderId="187" applyAlignment="1">
      <alignment horizontal="left" vertical="center" indent="1"/>
    </xf>
    <xf numFmtId="0" fontId="241" fillId="0" borderId="0"/>
    <xf numFmtId="0" fontId="225" fillId="0" borderId="147"/>
    <xf numFmtId="165" fontId="70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165" fontId="187" fillId="0" borderId="0"/>
    <xf numFmtId="0" fontId="70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268" fontId="217" fillId="159" borderId="143" applyAlignment="1">
      <alignment horizontal="left" vertical="center" indent="1"/>
    </xf>
    <xf numFmtId="268" fontId="243" fillId="159" borderId="0" applyAlignment="1">
      <alignment horizontal="left" vertical="center" indent="1"/>
    </xf>
    <xf numFmtId="0" fontId="223" fillId="0" borderId="165"/>
    <xf numFmtId="268" fontId="217" fillId="0" borderId="144" applyAlignment="1">
      <alignment horizontal="right" vertical="center"/>
    </xf>
    <xf numFmtId="0" fontId="39" fillId="4" borderId="181"/>
    <xf numFmtId="0" fontId="36" fillId="4" borderId="187"/>
    <xf numFmtId="0" fontId="18" fillId="55" borderId="187" applyAlignment="1">
      <alignment horizontal="left" vertical="center" indent="1"/>
    </xf>
    <xf numFmtId="4" fontId="50" fillId="79" borderId="183" applyAlignment="1">
      <alignment horizontal="left" vertical="center" wrapTex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0" fontId="33" fillId="35" borderId="181"/>
    <xf numFmtId="0" fontId="18" fillId="34" borderId="182"/>
    <xf numFmtId="165" fontId="18" fillId="0" borderId="0"/>
    <xf numFmtId="165" fontId="18" fillId="0" borderId="0"/>
    <xf numFmtId="0" fontId="26" fillId="44" borderId="181"/>
    <xf numFmtId="0" fontId="26" fillId="4" borderId="181"/>
    <xf numFmtId="0" fontId="41" fillId="5" borderId="181"/>
    <xf numFmtId="0" fontId="33" fillId="35" borderId="181"/>
    <xf numFmtId="0" fontId="18" fillId="7" borderId="182"/>
    <xf numFmtId="0" fontId="36" fillId="44" borderId="187"/>
    <xf numFmtId="0" fontId="36" fillId="4" borderId="187"/>
    <xf numFmtId="4" fontId="9" fillId="69" borderId="183" applyAlignment="1">
      <alignment vertical="center"/>
    </xf>
    <xf numFmtId="0" fontId="11" fillId="2" borderId="183" applyAlignment="1">
      <alignment horizontal="left" vertical="top" indent="1"/>
    </xf>
    <xf numFmtId="4" fontId="10" fillId="6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28" fillId="0" borderId="180"/>
    <xf numFmtId="0" fontId="187" fillId="0" borderId="0"/>
    <xf numFmtId="0" fontId="36" fillId="44" borderId="187"/>
    <xf numFmtId="0" fontId="36" fillId="104" borderId="187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39" fillId="4" borderId="181"/>
    <xf numFmtId="0" fontId="36" fillId="4" borderId="187"/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0" fontId="33" fillId="35" borderId="181"/>
    <xf numFmtId="0" fontId="18" fillId="34" borderId="182"/>
    <xf numFmtId="165" fontId="18" fillId="0" borderId="0"/>
    <xf numFmtId="165" fontId="18" fillId="0" borderId="0"/>
    <xf numFmtId="0" fontId="36" fillId="44" borderId="187"/>
    <xf numFmtId="0" fontId="36" fillId="4" borderId="187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4" fontId="18" fillId="31" borderId="186" applyAlignment="1">
      <alignment horizontal="left" vertical="center" indent="1"/>
    </xf>
    <xf numFmtId="4" fontId="198" fillId="96" borderId="186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87" fillId="0" borderId="0"/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0" fontId="28" fillId="0" borderId="180"/>
    <xf numFmtId="0" fontId="33" fillId="35" borderId="181"/>
    <xf numFmtId="0" fontId="18" fillId="34" borderId="182"/>
    <xf numFmtId="165" fontId="18" fillId="0" borderId="0"/>
    <xf numFmtId="165" fontId="18" fillId="0" borderId="0"/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39" fillId="4" borderId="181"/>
    <xf numFmtId="0" fontId="36" fillId="4" borderId="187"/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80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33" fillId="35" borderId="181"/>
    <xf numFmtId="0" fontId="18" fillId="34" borderId="182"/>
    <xf numFmtId="0" fontId="18" fillId="4" borderId="170" applyProtection="1">
      <protection locked="0" hidden="0"/>
    </xf>
    <xf numFmtId="0" fontId="36" fillId="104" borderId="187"/>
    <xf numFmtId="4" fontId="198" fillId="10" borderId="186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3" fillId="42" borderId="170" applyAlignment="1">
      <alignment vertical="center"/>
    </xf>
    <xf numFmtId="4" fontId="195" fillId="86" borderId="186" applyAlignment="1">
      <alignment horizontal="left" vertical="center" indent="1"/>
    </xf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26" fillId="44" borderId="181"/>
    <xf numFmtId="0" fontId="191" fillId="104" borderId="185"/>
    <xf numFmtId="0" fontId="191" fillId="104" borderId="185"/>
    <xf numFmtId="0" fontId="33" fillId="35" borderId="185"/>
    <xf numFmtId="0" fontId="33" fillId="5" borderId="181"/>
    <xf numFmtId="0" fontId="33" fillId="35" borderId="185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98" fillId="34" borderId="185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" fillId="34" borderId="182"/>
    <xf numFmtId="0" fontId="198" fillId="34" borderId="185"/>
    <xf numFmtId="0" fontId="36" fillId="104" borderId="187"/>
    <xf numFmtId="0" fontId="36" fillId="4" borderId="187"/>
    <xf numFmtId="0" fontId="36" fillId="104" borderId="187"/>
    <xf numFmtId="0" fontId="36" fillId="4" borderId="187"/>
    <xf numFmtId="4" fontId="8" fillId="69" borderId="183" applyAlignment="1">
      <alignment vertical="center"/>
    </xf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89" fillId="69" borderId="187" applyAlignment="1">
      <alignment vertical="center"/>
    </xf>
    <xf numFmtId="4" fontId="10" fillId="69" borderId="183" applyAlignment="1">
      <alignment horizontal="left" vertical="center" indent="1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86" fillId="69" borderId="187" applyAlignment="1">
      <alignment horizontal="left" vertical="center" indent="1"/>
    </xf>
    <xf numFmtId="4" fontId="10" fillId="68" borderId="183" applyAlignment="1">
      <alignment horizontal="right" vertical="center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86" fillId="71" borderId="187" applyAlignment="1">
      <alignment horizontal="right" vertical="center"/>
    </xf>
    <xf numFmtId="4" fontId="186" fillId="10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86" fillId="73" borderId="187" applyAlignment="1">
      <alignment horizontal="right" vertical="center"/>
    </xf>
    <xf numFmtId="4" fontId="10" fillId="73" borderId="183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86" fillId="166" borderId="187" applyAlignment="1">
      <alignment horizontal="right" vertical="center"/>
    </xf>
    <xf numFmtId="4" fontId="10" fillId="75" borderId="183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86" fillId="75" borderId="187" applyAlignment="1">
      <alignment horizontal="right" vertical="center"/>
    </xf>
    <xf numFmtId="4" fontId="10" fillId="77" borderId="183" applyAlignment="1">
      <alignment horizontal="right" vertical="center"/>
    </xf>
    <xf numFmtId="4" fontId="198" fillId="94" borderId="185" applyAlignment="1">
      <alignment horizontal="right" vertical="center"/>
    </xf>
    <xf numFmtId="4" fontId="198" fillId="89" borderId="185" applyAlignment="1">
      <alignment horizontal="right" vertical="center"/>
    </xf>
    <xf numFmtId="4" fontId="67" fillId="7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98" fillId="89" borderId="185" applyAlignment="1">
      <alignment horizontal="right" vertical="center"/>
    </xf>
    <xf numFmtId="0" fontId="198" fillId="12" borderId="185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8" fillId="59" borderId="187" applyAlignment="1">
      <alignment horizontal="left" vertical="center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63" fillId="7" borderId="183" applyAlignment="1">
      <alignment vertical="center"/>
    </xf>
    <xf numFmtId="4" fontId="186" fillId="42" borderId="187" applyAlignment="1">
      <alignment vertical="center"/>
    </xf>
    <xf numFmtId="4" fontId="13" fillId="81" borderId="183" applyAlignment="1">
      <alignment vertical="center"/>
    </xf>
    <xf numFmtId="4" fontId="193" fillId="42" borderId="170" applyAlignment="1">
      <alignment vertical="center"/>
    </xf>
    <xf numFmtId="4" fontId="189" fillId="42" borderId="187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86" fillId="42" borderId="187" applyAlignment="1">
      <alignment horizontal="left" vertical="center" indent="1"/>
    </xf>
    <xf numFmtId="4" fontId="10" fillId="81" borderId="183" applyAlignment="1">
      <alignment horizontal="right" vertical="center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89" fillId="170" borderId="187" applyAlignment="1">
      <alignment horizontal="right" vertical="center"/>
    </xf>
    <xf numFmtId="4" fontId="198" fillId="15" borderId="185" applyAlignment="1">
      <alignment horizontal="left" vertical="center" indent="1"/>
    </xf>
    <xf numFmtId="4" fontId="92" fillId="96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96" fillId="4" borderId="185" applyAlignment="1">
      <alignment horizontal="right" vertical="center"/>
    </xf>
    <xf numFmtId="4" fontId="190" fillId="170" borderId="187" applyAlignment="1">
      <alignment horizontal="right" vertical="center"/>
    </xf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0" fontId="28" fillId="0" borderId="188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4" fontId="186" fillId="10" borderId="183" applyAlignment="1">
      <alignment horizontal="right" vertical="center"/>
    </xf>
    <xf numFmtId="4" fontId="13" fillId="81" borderId="183" applyAlignment="1">
      <alignment vertical="center"/>
    </xf>
    <xf numFmtId="0" fontId="28" fillId="0" borderId="188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70" fontId="18" fillId="0" borderId="0"/>
    <xf numFmtId="0" fontId="187" fillId="0" borderId="0"/>
    <xf numFmtId="165" fontId="18" fillId="0" borderId="0"/>
    <xf numFmtId="4" fontId="10" fillId="81" borderId="183" applyAlignment="1">
      <alignment vertical="center"/>
    </xf>
    <xf numFmtId="0" fontId="41" fillId="5" borderId="181"/>
    <xf numFmtId="0" fontId="18" fillId="59" borderId="187" applyAlignment="1">
      <alignment horizontal="left" vertical="center" indent="1"/>
    </xf>
    <xf numFmtId="0" fontId="198" fillId="91" borderId="185" applyAlignment="1">
      <alignment horizontal="left" vertical="center" indent="1"/>
    </xf>
    <xf numFmtId="4" fontId="186" fillId="171" borderId="187" applyAlignment="1">
      <alignment horizontal="left" vertical="center" indent="1"/>
    </xf>
    <xf numFmtId="0" fontId="33" fillId="35" borderId="181"/>
    <xf numFmtId="4" fontId="186" fillId="94" borderId="183" applyAlignment="1">
      <alignment horizontal="right" vertical="center"/>
    </xf>
    <xf numFmtId="0" fontId="36" fillId="4" borderId="187"/>
    <xf numFmtId="4" fontId="198" fillId="10" borderId="186" applyAlignment="1">
      <alignment horizontal="right" vertical="center"/>
    </xf>
    <xf numFmtId="4" fontId="10" fillId="79" borderId="183" applyAlignment="1">
      <alignment horizontal="right" vertical="center"/>
    </xf>
    <xf numFmtId="4" fontId="186" fillId="42" borderId="183" applyAlignment="1">
      <alignment vertical="center"/>
    </xf>
    <xf numFmtId="0" fontId="198" fillId="14" borderId="185" applyAlignment="1">
      <alignment horizontal="left" vertical="center" indent="1"/>
    </xf>
    <xf numFmtId="0" fontId="18" fillId="80" borderId="183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26" fillId="4" borderId="181"/>
    <xf numFmtId="4" fontId="189" fillId="42" borderId="183" applyAlignment="1">
      <alignment vertical="center"/>
    </xf>
    <xf numFmtId="4" fontId="186" fillId="42" borderId="183" applyAlignment="1">
      <alignment horizontal="left" vertical="center" indent="1"/>
    </xf>
    <xf numFmtId="0" fontId="163" fillId="89" borderId="183" applyAlignment="1">
      <alignment horizontal="left" vertical="top" indent="1"/>
    </xf>
    <xf numFmtId="0" fontId="33" fillId="35" borderId="185"/>
    <xf numFmtId="0" fontId="18" fillId="14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3" fillId="81" borderId="183" applyAlignment="1">
      <alignment vertical="center"/>
    </xf>
    <xf numFmtId="0" fontId="33" fillId="35" borderId="181"/>
    <xf numFmtId="4" fontId="10" fillId="73" borderId="183" applyAlignment="1">
      <alignment horizontal="right" vertical="center"/>
    </xf>
    <xf numFmtId="0" fontId="18" fillId="89" borderId="183" applyAlignment="1">
      <alignment horizontal="left" vertical="top" indent="1"/>
    </xf>
    <xf numFmtId="0" fontId="18" fillId="70" borderId="183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12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81" borderId="183" applyAlignment="1">
      <alignment horizontal="right" vertical="center"/>
    </xf>
    <xf numFmtId="0" fontId="18" fillId="55" borderId="187" applyAlignment="1">
      <alignment horizontal="left" vertical="center" indent="1"/>
    </xf>
    <xf numFmtId="4" fontId="67" fillId="79" borderId="183" applyAlignment="1">
      <alignment horizontal="right" vertical="center"/>
    </xf>
    <xf numFmtId="4" fontId="186" fillId="75" borderId="187" applyAlignment="1">
      <alignment horizontal="right" vertical="center"/>
    </xf>
    <xf numFmtId="4" fontId="198" fillId="90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0" fillId="71" borderId="183" applyAlignment="1">
      <alignment horizontal="right" vertical="center"/>
    </xf>
    <xf numFmtId="0" fontId="36" fillId="104" borderId="187"/>
    <xf numFmtId="4" fontId="195" fillId="86" borderId="186" applyAlignment="1">
      <alignment horizontal="left" vertical="center" indent="1"/>
    </xf>
    <xf numFmtId="4" fontId="16" fillId="81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9" fillId="69" borderId="183" applyAlignment="1">
      <alignment vertical="center"/>
    </xf>
    <xf numFmtId="0" fontId="18" fillId="8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98" fillId="14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0" fontId="186" fillId="42" borderId="183" applyAlignment="1">
      <alignment horizontal="left" vertical="top" indent="1"/>
    </xf>
    <xf numFmtId="0" fontId="18" fillId="81" borderId="183" applyAlignment="1">
      <alignment horizontal="left" vertical="top" indent="1"/>
    </xf>
    <xf numFmtId="0" fontId="39" fillId="4" borderId="181"/>
    <xf numFmtId="4" fontId="8" fillId="79" borderId="183" applyAlignment="1">
      <alignment horizontal="left" vertical="center" indent="1"/>
    </xf>
    <xf numFmtId="4" fontId="10" fillId="61" borderId="183" applyAlignment="1">
      <alignment horizontal="right" vertical="center"/>
    </xf>
    <xf numFmtId="0" fontId="11" fillId="2" borderId="183" applyAlignment="1">
      <alignment horizontal="left" vertical="top" indent="1"/>
    </xf>
    <xf numFmtId="0" fontId="232" fillId="55" borderId="187" applyAlignment="1">
      <alignment horizontal="left" vertical="center" indent="1"/>
    </xf>
    <xf numFmtId="4" fontId="10" fillId="53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53" borderId="183" applyAlignment="1">
      <alignment horizontal="right" vertical="center"/>
    </xf>
    <xf numFmtId="0" fontId="18" fillId="171" borderId="187" applyAlignment="1">
      <alignment horizontal="left" vertical="center" indent="1"/>
    </xf>
    <xf numFmtId="4" fontId="10" fillId="71" borderId="183" applyAlignment="1">
      <alignment horizontal="right" vertical="center"/>
    </xf>
    <xf numFmtId="4" fontId="186" fillId="69" borderId="187" applyAlignment="1">
      <alignment horizontal="left" vertical="center" indent="1"/>
    </xf>
    <xf numFmtId="4" fontId="10" fillId="69" borderId="183" applyAlignment="1">
      <alignment horizontal="left" vertical="center"/>
    </xf>
    <xf numFmtId="0" fontId="186" fillId="42" borderId="183" applyAlignment="1">
      <alignment horizontal="left" vertical="top" indent="1"/>
    </xf>
    <xf numFmtId="4" fontId="186" fillId="42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4" fontId="67" fillId="68" borderId="183" applyAlignment="1">
      <alignment horizontal="right" vertical="center"/>
    </xf>
    <xf numFmtId="0" fontId="11" fillId="69" borderId="183" applyAlignment="1">
      <alignment horizontal="left" vertical="top" indent="1"/>
    </xf>
    <xf numFmtId="0" fontId="18" fillId="34" borderId="182"/>
    <xf numFmtId="4" fontId="10" fillId="81" borderId="183" applyAlignment="1">
      <alignment horizontal="right" vertical="center"/>
    </xf>
    <xf numFmtId="4" fontId="189" fillId="42" borderId="187" applyAlignment="1">
      <alignment vertical="center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2" borderId="185" applyAlignment="1">
      <alignment vertical="center"/>
    </xf>
    <xf numFmtId="4" fontId="163" fillId="7" borderId="183" applyAlignment="1">
      <alignment vertical="center"/>
    </xf>
    <xf numFmtId="4" fontId="198" fillId="36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92" borderId="185" applyAlignment="1">
      <alignment horizontal="right" vertical="center"/>
    </xf>
    <xf numFmtId="0" fontId="198" fillId="34" borderId="185"/>
    <xf numFmtId="0" fontId="186" fillId="42" borderId="183" applyAlignment="1">
      <alignment horizontal="left" vertical="top" indent="1"/>
    </xf>
    <xf numFmtId="0" fontId="18" fillId="81" borderId="183" applyAlignment="1">
      <alignment horizontal="left" vertical="top" indent="1"/>
    </xf>
    <xf numFmtId="4" fontId="10" fillId="76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75" borderId="183" applyAlignment="1">
      <alignment horizontal="right" vertical="center"/>
    </xf>
    <xf numFmtId="4" fontId="186" fillId="92" borderId="183" applyAlignment="1">
      <alignment horizontal="right" vertical="center"/>
    </xf>
    <xf numFmtId="0" fontId="36" fillId="4" borderId="187"/>
    <xf numFmtId="0" fontId="41" fillId="5" borderId="181"/>
    <xf numFmtId="0" fontId="33" fillId="5" borderId="181"/>
    <xf numFmtId="4" fontId="198" fillId="0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3" fillId="81" borderId="183" applyAlignment="1">
      <alignment vertical="center"/>
    </xf>
    <xf numFmtId="4" fontId="10" fillId="75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61" borderId="183" applyAlignment="1">
      <alignment horizontal="right" vertical="center"/>
    </xf>
    <xf numFmtId="0" fontId="26" fillId="44" borderId="181"/>
    <xf numFmtId="4" fontId="186" fillId="10" borderId="183" applyAlignment="1">
      <alignment horizontal="right" vertical="center"/>
    </xf>
    <xf numFmtId="4" fontId="11" fillId="69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6" fillId="81" borderId="183" applyAlignment="1">
      <alignment horizontal="right" vertical="center"/>
    </xf>
    <xf numFmtId="4" fontId="186" fillId="170" borderId="187" applyAlignment="1">
      <alignment horizontal="right" vertical="center"/>
    </xf>
    <xf numFmtId="4" fontId="198" fillId="0" borderId="185" applyAlignment="1">
      <alignment horizontal="right" vertical="center"/>
    </xf>
    <xf numFmtId="4" fontId="8" fillId="79" borderId="179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98" fillId="96" borderId="183" applyAlignment="1">
      <alignment horizontal="left" vertical="top" indent="1"/>
    </xf>
    <xf numFmtId="4" fontId="10" fillId="81" borderId="183" applyAlignment="1">
      <alignment vertical="center"/>
    </xf>
    <xf numFmtId="0" fontId="18" fillId="81" borderId="183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98" fillId="12" borderId="185" applyAlignment="1">
      <alignment horizontal="left" vertical="center" indent="1"/>
    </xf>
    <xf numFmtId="4" fontId="10" fillId="53" borderId="183" applyAlignment="1">
      <alignment horizontal="right" vertical="center"/>
    </xf>
    <xf numFmtId="4" fontId="67" fillId="77" borderId="183" applyAlignment="1">
      <alignment horizontal="right" vertical="center"/>
    </xf>
    <xf numFmtId="4" fontId="186" fillId="75" borderId="187" applyAlignment="1">
      <alignment horizontal="right" vertical="center"/>
    </xf>
    <xf numFmtId="4" fontId="186" fillId="76" borderId="187" applyAlignment="1">
      <alignment horizontal="right" vertical="center"/>
    </xf>
    <xf numFmtId="4" fontId="67" fillId="73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0" fillId="61" borderId="183" applyAlignment="1">
      <alignment horizontal="right" vertical="center"/>
    </xf>
    <xf numFmtId="4" fontId="186" fillId="13" borderId="183" applyAlignment="1">
      <alignment horizontal="right" vertical="center"/>
    </xf>
    <xf numFmtId="4" fontId="67" fillId="68" borderId="183" applyAlignment="1">
      <alignment horizontal="right" vertical="center"/>
    </xf>
    <xf numFmtId="4" fontId="9" fillId="69" borderId="183" applyAlignment="1">
      <alignment vertical="center"/>
    </xf>
    <xf numFmtId="4" fontId="188" fillId="69" borderId="183" applyAlignment="1">
      <alignment vertical="center"/>
    </xf>
    <xf numFmtId="4" fontId="9" fillId="69" borderId="183" applyAlignment="1">
      <alignment vertical="center"/>
    </xf>
    <xf numFmtId="4" fontId="8" fillId="69" borderId="183" applyAlignment="1">
      <alignment vertical="center"/>
    </xf>
    <xf numFmtId="0" fontId="36" fillId="104" borderId="187"/>
    <xf numFmtId="0" fontId="18" fillId="7" borderId="182"/>
    <xf numFmtId="0" fontId="33" fillId="35" borderId="185"/>
    <xf numFmtId="0" fontId="191" fillId="104" borderId="185"/>
    <xf numFmtId="0" fontId="26" fillId="4" borderId="181"/>
    <xf numFmtId="4" fontId="13" fillId="81" borderId="183" applyAlignment="1">
      <alignment horizontal="right" vertical="center"/>
    </xf>
    <xf numFmtId="4" fontId="18" fillId="31" borderId="186" applyAlignment="1">
      <alignment horizontal="left" vertical="center" indent="1"/>
    </xf>
    <xf numFmtId="4" fontId="195" fillId="86" borderId="186" applyAlignment="1">
      <alignment horizontal="left" vertical="center" indent="1"/>
    </xf>
    <xf numFmtId="4" fontId="198" fillId="10" borderId="186" applyAlignment="1">
      <alignment horizontal="right" vertical="center"/>
    </xf>
    <xf numFmtId="0" fontId="36" fillId="104" borderId="187"/>
    <xf numFmtId="0" fontId="18" fillId="34" borderId="182"/>
    <xf numFmtId="4" fontId="16" fillId="81" borderId="183" applyAlignment="1">
      <alignment horizontal="right" vertical="center"/>
    </xf>
    <xf numFmtId="0" fontId="186" fillId="80" borderId="183" applyAlignment="1">
      <alignment horizontal="left" vertical="top" indent="1"/>
    </xf>
    <xf numFmtId="4" fontId="8" fillId="79" borderId="183" applyAlignment="1">
      <alignment horizontal="left" vertical="center" indent="1"/>
    </xf>
    <xf numFmtId="4" fontId="10" fillId="61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81" borderId="183" applyAlignment="1">
      <alignment vertical="center"/>
    </xf>
    <xf numFmtId="0" fontId="18" fillId="79" borderId="183" applyAlignment="1">
      <alignment horizontal="left" vertical="center" indent="1"/>
    </xf>
    <xf numFmtId="0" fontId="18" fillId="80" borderId="183" applyAlignment="1">
      <alignment horizontal="left" vertical="center" indent="1"/>
    </xf>
    <xf numFmtId="4" fontId="10" fillId="76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1" borderId="183" applyAlignment="1">
      <alignment horizontal="right" vertical="center"/>
    </xf>
    <xf numFmtId="4" fontId="8" fillId="69" borderId="183" applyAlignment="1">
      <alignment vertical="center"/>
    </xf>
    <xf numFmtId="0" fontId="18" fillId="96" borderId="183" applyAlignment="1">
      <alignment horizontal="left" vertical="top" indent="1"/>
    </xf>
    <xf numFmtId="0" fontId="39" fillId="4" borderId="181"/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31" borderId="183" applyAlignment="1">
      <alignment horizontal="left" vertical="center" indent="1"/>
    </xf>
    <xf numFmtId="4" fontId="50" fillId="79" borderId="183" applyAlignment="1">
      <alignment horizontal="left" vertical="center" wrapText="1"/>
    </xf>
    <xf numFmtId="0" fontId="18" fillId="34" borderId="182"/>
    <xf numFmtId="0" fontId="28" fillId="0" borderId="180"/>
    <xf numFmtId="0" fontId="18" fillId="80" borderId="183" applyAlignment="1">
      <alignment horizontal="left" vertical="top" indent="1"/>
    </xf>
    <xf numFmtId="0" fontId="18" fillId="81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1" fillId="69" borderId="183" applyAlignment="1">
      <alignment horizontal="left" vertical="top" indent="1"/>
    </xf>
    <xf numFmtId="0" fontId="39" fillId="4" borderId="181"/>
    <xf numFmtId="0" fontId="36" fillId="44" borderId="187"/>
    <xf numFmtId="0" fontId="186" fillId="42" borderId="183" applyAlignment="1">
      <alignment horizontal="left" vertical="top" indent="1"/>
    </xf>
    <xf numFmtId="0" fontId="18" fillId="70" borderId="183" applyAlignment="1">
      <alignment horizontal="left" vertical="top" indent="1"/>
    </xf>
    <xf numFmtId="0" fontId="36" fillId="4" borderId="187"/>
    <xf numFmtId="4" fontId="198" fillId="90" borderId="185" applyAlignment="1">
      <alignment horizontal="right" vertical="center"/>
    </xf>
    <xf numFmtId="4" fontId="163" fillId="7" borderId="183" applyAlignment="1">
      <alignment vertical="center"/>
    </xf>
    <xf numFmtId="4" fontId="198" fillId="111" borderId="185" applyAlignment="1">
      <alignment horizontal="right" vertical="center"/>
    </xf>
    <xf numFmtId="0" fontId="28" fillId="0" borderId="180"/>
    <xf numFmtId="0" fontId="186" fillId="7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80" borderId="183" applyAlignment="1">
      <alignment horizontal="left" vertical="center" indent="1"/>
    </xf>
    <xf numFmtId="4" fontId="10" fillId="79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68" borderId="183" applyAlignment="1">
      <alignment horizontal="right" vertical="center"/>
    </xf>
    <xf numFmtId="0" fontId="28" fillId="0" borderId="180"/>
    <xf numFmtId="4" fontId="8" fillId="79" borderId="179" applyAlignment="1">
      <alignment horizontal="left" vertical="center" indent="1"/>
    </xf>
    <xf numFmtId="0" fontId="18" fillId="31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9" fillId="69" borderId="183" applyAlignment="1">
      <alignment vertical="center"/>
    </xf>
    <xf numFmtId="4" fontId="13" fillId="81" borderId="183" applyAlignment="1">
      <alignment vertical="center"/>
    </xf>
    <xf numFmtId="0" fontId="33" fillId="35" borderId="181"/>
    <xf numFmtId="0" fontId="18" fillId="7" borderId="182"/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89" borderId="183" applyAlignment="1">
      <alignment horizontal="left" vertical="top" indent="1"/>
    </xf>
    <xf numFmtId="4" fontId="10" fillId="74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9" borderId="183" applyAlignment="1">
      <alignment horizontal="right" vertical="center"/>
    </xf>
    <xf numFmtId="4" fontId="198" fillId="89" borderId="186" applyAlignment="1">
      <alignment horizontal="left" vertical="center" indent="1"/>
    </xf>
    <xf numFmtId="0" fontId="18" fillId="48" borderId="187" applyAlignment="1">
      <alignment horizontal="left" vertical="center" indent="1"/>
    </xf>
    <xf numFmtId="4" fontId="189" fillId="42" borderId="183" applyAlignment="1">
      <alignment vertical="center"/>
    </xf>
    <xf numFmtId="4" fontId="10" fillId="73" borderId="183" applyAlignment="1">
      <alignment horizontal="right" vertical="center"/>
    </xf>
    <xf numFmtId="4" fontId="11" fillId="69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4" fontId="186" fillId="42" borderId="187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34" borderId="182"/>
    <xf numFmtId="0" fontId="18" fillId="79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1" fillId="69" borderId="183" applyAlignment="1">
      <alignment horizontal="left" vertical="top" indent="1"/>
    </xf>
    <xf numFmtId="0" fontId="186" fillId="7" borderId="183" applyAlignment="1">
      <alignment horizontal="left" vertical="top" indent="1"/>
    </xf>
    <xf numFmtId="4" fontId="8" fillId="69" borderId="183" applyAlignment="1">
      <alignment vertical="center"/>
    </xf>
    <xf numFmtId="0" fontId="18" fillId="31" borderId="183" applyAlignment="1">
      <alignment horizontal="left" vertical="center" indent="1"/>
    </xf>
    <xf numFmtId="0" fontId="33" fillId="35" borderId="185"/>
    <xf numFmtId="0" fontId="18" fillId="59" borderId="187" applyAlignment="1">
      <alignment horizontal="left" vertical="center" indent="1"/>
    </xf>
    <xf numFmtId="4" fontId="186" fillId="68" borderId="187" applyAlignment="1">
      <alignment horizontal="right" vertical="center"/>
    </xf>
    <xf numFmtId="4" fontId="50" fillId="79" borderId="183" applyAlignment="1">
      <alignment horizontal="left" vertical="center" wrapText="1"/>
    </xf>
    <xf numFmtId="0" fontId="18" fillId="80" borderId="183" applyAlignment="1">
      <alignment horizontal="left" vertical="center" indent="1"/>
    </xf>
    <xf numFmtId="0" fontId="18" fillId="48" borderId="187" applyAlignment="1">
      <alignment horizontal="left" vertical="center" indent="1"/>
    </xf>
    <xf numFmtId="4" fontId="186" fillId="89" borderId="183" applyAlignment="1">
      <alignment horizontal="right" vertical="center"/>
    </xf>
    <xf numFmtId="4" fontId="186" fillId="89" borderId="183" applyAlignment="1">
      <alignment horizontal="left" vertical="center" indent="1"/>
    </xf>
    <xf numFmtId="4" fontId="13" fillId="81" borderId="183" applyAlignment="1">
      <alignment vertical="center"/>
    </xf>
    <xf numFmtId="4" fontId="198" fillId="90" borderId="185" applyAlignment="1">
      <alignment horizontal="right" vertical="center"/>
    </xf>
    <xf numFmtId="0" fontId="18" fillId="81" borderId="183" applyAlignment="1">
      <alignment horizontal="left" vertical="top" indent="1"/>
    </xf>
    <xf numFmtId="4" fontId="10" fillId="69" borderId="183" applyAlignment="1">
      <alignment horizontal="left" vertical="center" indent="1"/>
    </xf>
    <xf numFmtId="4" fontId="198" fillId="0" borderId="185" applyAlignment="1">
      <alignment horizontal="right" vertical="center"/>
    </xf>
    <xf numFmtId="0" fontId="163" fillId="89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4" fontId="8" fillId="79" borderId="179" applyAlignment="1">
      <alignment horizontal="left" vertical="center" indent="1"/>
    </xf>
    <xf numFmtId="0" fontId="232" fillId="55" borderId="187" applyAlignment="1">
      <alignment horizontal="left" vertical="center" indent="1"/>
    </xf>
    <xf numFmtId="0" fontId="232" fillId="40" borderId="187" applyAlignment="1">
      <alignment horizontal="left" vertical="center" indent="1"/>
    </xf>
    <xf numFmtId="0" fontId="194" fillId="2" borderId="183" applyAlignment="1">
      <alignment horizontal="left" vertical="top" indent="1"/>
    </xf>
    <xf numFmtId="0" fontId="54" fillId="7" borderId="187" applyAlignment="1">
      <alignment horizontal="left" vertical="center" indent="1"/>
    </xf>
    <xf numFmtId="0" fontId="198" fillId="34" borderId="185"/>
    <xf numFmtId="4" fontId="188" fillId="69" borderId="183" applyAlignment="1">
      <alignment vertical="center"/>
    </xf>
    <xf numFmtId="4" fontId="186" fillId="29" borderId="183" applyAlignment="1">
      <alignment horizontal="right" vertical="center"/>
    </xf>
    <xf numFmtId="4" fontId="198" fillId="0" borderId="185" applyAlignment="1">
      <alignment horizontal="right" vertical="center"/>
    </xf>
    <xf numFmtId="4" fontId="10" fillId="74" borderId="183" applyAlignment="1">
      <alignment horizontal="right" vertical="center"/>
    </xf>
    <xf numFmtId="0" fontId="18" fillId="171" borderId="187" applyAlignment="1">
      <alignment horizontal="left" vertical="center" indent="1"/>
    </xf>
    <xf numFmtId="4" fontId="11" fillId="69" borderId="183" applyAlignment="1">
      <alignment horizontal="left" vertical="center" indent="1"/>
    </xf>
    <xf numFmtId="4" fontId="198" fillId="90" borderId="185" applyAlignment="1">
      <alignment horizontal="right" vertical="center"/>
    </xf>
    <xf numFmtId="0" fontId="198" fillId="34" borderId="185"/>
    <xf numFmtId="0" fontId="18" fillId="59" borderId="187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9" fillId="69" borderId="183" applyAlignment="1">
      <alignment vertical="center"/>
    </xf>
    <xf numFmtId="4" fontId="13" fillId="81" borderId="183" applyAlignment="1">
      <alignment horizontal="right" vertical="center"/>
    </xf>
    <xf numFmtId="4" fontId="189" fillId="42" borderId="183" applyAlignment="1">
      <alignment vertical="center"/>
    </xf>
    <xf numFmtId="4" fontId="8" fillId="69" borderId="183" applyAlignment="1">
      <alignment vertical="center"/>
    </xf>
    <xf numFmtId="4" fontId="198" fillId="10" borderId="186" applyAlignment="1">
      <alignment horizontal="right" vertical="center"/>
    </xf>
    <xf numFmtId="0" fontId="18" fillId="81" borderId="183" applyAlignment="1">
      <alignment horizontal="left" vertical="center" indent="1"/>
    </xf>
    <xf numFmtId="0" fontId="26" fillId="4" borderId="181"/>
    <xf numFmtId="4" fontId="186" fillId="42" borderId="183" applyAlignment="1">
      <alignment vertical="center"/>
    </xf>
    <xf numFmtId="4" fontId="10" fillId="75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6" fillId="4" borderId="185" applyAlignment="1">
      <alignment horizontal="right" vertical="center"/>
    </xf>
    <xf numFmtId="4" fontId="186" fillId="42" borderId="187" applyAlignment="1">
      <alignment horizontal="left" vertical="center" indent="1"/>
    </xf>
    <xf numFmtId="4" fontId="10" fillId="53" borderId="183" applyAlignment="1">
      <alignment horizontal="right" vertical="center"/>
    </xf>
    <xf numFmtId="4" fontId="8" fillId="79" borderId="179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41" fillId="5" borderId="181"/>
    <xf numFmtId="4" fontId="10" fillId="61" borderId="183" applyAlignment="1">
      <alignment horizontal="right" vertical="center"/>
    </xf>
    <xf numFmtId="4" fontId="13" fillId="81" borderId="183" applyAlignment="1">
      <alignment horizontal="right" vertical="center"/>
    </xf>
    <xf numFmtId="0" fontId="1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1" fillId="2" borderId="183" applyAlignment="1">
      <alignment vertical="center"/>
    </xf>
    <xf numFmtId="4" fontId="10" fillId="71" borderId="183" applyAlignment="1">
      <alignment horizontal="right" vertical="center"/>
    </xf>
    <xf numFmtId="4" fontId="67" fillId="4" borderId="183" applyAlignment="1">
      <alignment horizontal="right" vertical="center"/>
    </xf>
    <xf numFmtId="0" fontId="164" fillId="96" borderId="187" applyAlignment="1">
      <alignment horizontal="left" vertical="center" indent="1"/>
    </xf>
    <xf numFmtId="4" fontId="10" fillId="68" borderId="183" applyAlignment="1">
      <alignment horizontal="right" vertical="center"/>
    </xf>
    <xf numFmtId="0" fontId="18" fillId="70" borderId="183" applyAlignment="1">
      <alignment horizontal="left" vertical="top" indent="1"/>
    </xf>
    <xf numFmtId="0" fontId="18" fillId="34" borderId="182"/>
    <xf numFmtId="4" fontId="8" fillId="79" borderId="183" applyAlignment="1">
      <alignment horizontal="left" vertical="center" wrapText="1"/>
    </xf>
    <xf numFmtId="4" fontId="198" fillId="29" borderId="185" applyAlignment="1">
      <alignment horizontal="right" vertical="center"/>
    </xf>
    <xf numFmtId="4" fontId="10" fillId="81" borderId="183" applyAlignment="1">
      <alignment vertical="center"/>
    </xf>
    <xf numFmtId="0" fontId="18" fillId="48" borderId="187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33" fillId="35" borderId="185"/>
    <xf numFmtId="4" fontId="16" fillId="81" borderId="183" applyAlignment="1">
      <alignment horizontal="right" vertical="center"/>
    </xf>
    <xf numFmtId="4" fontId="50" fillId="66" borderId="183" applyAlignment="1">
      <alignment vertical="center"/>
    </xf>
    <xf numFmtId="0" fontId="163" fillId="7" borderId="183" applyAlignment="1">
      <alignment horizontal="left" vertical="top" indent="1"/>
    </xf>
    <xf numFmtId="4" fontId="186" fillId="10" borderId="183" applyAlignment="1">
      <alignment horizontal="right" vertical="center"/>
    </xf>
    <xf numFmtId="0" fontId="186" fillId="80" borderId="183" applyAlignment="1">
      <alignment horizontal="left" vertical="top" indent="1"/>
    </xf>
    <xf numFmtId="0" fontId="198" fillId="96" borderId="183" applyAlignment="1">
      <alignment horizontal="left" vertical="top" indent="1"/>
    </xf>
    <xf numFmtId="0" fontId="198" fillId="96" borderId="183" applyAlignment="1">
      <alignment horizontal="left" vertical="top" indent="1"/>
    </xf>
    <xf numFmtId="4" fontId="13" fillId="81" borderId="183" applyAlignment="1">
      <alignment horizontal="right" vertical="center"/>
    </xf>
    <xf numFmtId="0" fontId="18" fillId="3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4" fontId="198" fillId="0" borderId="185" applyAlignment="1">
      <alignment horizontal="right" vertical="center"/>
    </xf>
    <xf numFmtId="0" fontId="18" fillId="31" borderId="183" applyAlignment="1">
      <alignment horizontal="left" vertical="center" indent="1"/>
    </xf>
    <xf numFmtId="4" fontId="10" fillId="81" borderId="183" applyAlignment="1">
      <alignment vertical="center"/>
    </xf>
    <xf numFmtId="4" fontId="189" fillId="42" borderId="187" applyAlignment="1">
      <alignment vertical="center"/>
    </xf>
    <xf numFmtId="4" fontId="186" fillId="42" borderId="187" applyAlignment="1">
      <alignment vertical="center"/>
    </xf>
    <xf numFmtId="4" fontId="198" fillId="94" borderId="185" applyAlignment="1">
      <alignment horizontal="right" vertical="center"/>
    </xf>
    <xf numFmtId="0" fontId="198" fillId="91" borderId="185" applyAlignment="1">
      <alignment horizontal="left" vertical="center" indent="1"/>
    </xf>
    <xf numFmtId="0" fontId="198" fillId="12" borderId="185" applyAlignment="1">
      <alignment horizontal="left" vertical="center" indent="1"/>
    </xf>
    <xf numFmtId="4" fontId="198" fillId="69" borderId="185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36" fillId="44" borderId="187"/>
    <xf numFmtId="4" fontId="13" fillId="81" borderId="183" applyAlignment="1">
      <alignment horizontal="right" vertical="center"/>
    </xf>
    <xf numFmtId="0" fontId="18" fillId="31" borderId="183" applyAlignment="1">
      <alignment horizontal="left" vertical="top" indent="1"/>
    </xf>
    <xf numFmtId="0" fontId="26" fillId="44" borderId="181"/>
    <xf numFmtId="4" fontId="198" fillId="15" borderId="185" applyAlignment="1">
      <alignment horizontal="left" vertical="center" indent="1"/>
    </xf>
    <xf numFmtId="0" fontId="18" fillId="14" borderId="183" applyAlignment="1">
      <alignment horizontal="left" vertical="center" indent="1"/>
    </xf>
    <xf numFmtId="4" fontId="198" fillId="89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4" fontId="8" fillId="69" borderId="183" applyAlignment="1">
      <alignment vertical="center"/>
    </xf>
    <xf numFmtId="4" fontId="10" fillId="73" borderId="183" applyAlignment="1">
      <alignment horizontal="right" vertical="center"/>
    </xf>
    <xf numFmtId="4" fontId="10" fillId="68" borderId="183" applyAlignment="1">
      <alignment horizontal="right" vertical="center"/>
    </xf>
    <xf numFmtId="0" fontId="191" fillId="104" borderId="185"/>
    <xf numFmtId="4" fontId="10" fillId="73" borderId="183" applyAlignment="1">
      <alignment horizontal="right" vertical="center"/>
    </xf>
    <xf numFmtId="0" fontId="36" fillId="104" borderId="187"/>
    <xf numFmtId="4" fontId="13" fillId="81" borderId="183" applyAlignment="1">
      <alignment vertical="center"/>
    </xf>
    <xf numFmtId="4" fontId="50" fillId="79" borderId="183" applyAlignment="1">
      <alignment horizontal="left" vertical="center" wrapText="1"/>
    </xf>
    <xf numFmtId="0" fontId="18" fillId="96" borderId="183" applyAlignment="1">
      <alignment horizontal="left" vertical="center" indent="1"/>
    </xf>
    <xf numFmtId="0" fontId="18" fillId="34" borderId="182"/>
    <xf numFmtId="0" fontId="11" fillId="69" borderId="183" applyAlignment="1">
      <alignment horizontal="left" vertical="top" indent="1"/>
    </xf>
    <xf numFmtId="0" fontId="198" fillId="12" borderId="185" applyAlignment="1">
      <alignment horizontal="left" vertical="center" indent="1"/>
    </xf>
    <xf numFmtId="0" fontId="36" fillId="44" borderId="187"/>
    <xf numFmtId="0" fontId="18" fillId="31" borderId="183" applyAlignment="1">
      <alignment horizontal="left" vertical="center" indent="1"/>
    </xf>
    <xf numFmtId="0" fontId="18" fillId="70" borderId="183" applyAlignment="1">
      <alignment horizontal="left" vertical="center" indent="1"/>
    </xf>
    <xf numFmtId="4" fontId="10" fillId="81" borderId="183" applyAlignment="1">
      <alignment vertical="center"/>
    </xf>
    <xf numFmtId="0" fontId="33" fillId="35" borderId="181"/>
    <xf numFmtId="4" fontId="92" fillId="69" borderId="187" applyAlignment="1">
      <alignment vertical="center"/>
    </xf>
    <xf numFmtId="0" fontId="46" fillId="12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4" fontId="50" fillId="66" borderId="183" applyAlignment="1">
      <alignment vertical="center"/>
    </xf>
    <xf numFmtId="4" fontId="13" fillId="81" borderId="183" applyAlignment="1">
      <alignment vertical="center"/>
    </xf>
    <xf numFmtId="4" fontId="10" fillId="76" borderId="183" applyAlignment="1">
      <alignment horizontal="right" vertical="center"/>
    </xf>
    <xf numFmtId="4" fontId="10" fillId="69" borderId="183" applyAlignment="1">
      <alignment horizontal="left" vertical="center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4" fontId="231" fillId="96" borderId="183" applyAlignment="1">
      <alignment horizontal="right" vertical="center"/>
    </xf>
    <xf numFmtId="4" fontId="8" fillId="79" borderId="183" applyAlignment="1">
      <alignment horizontal="left" vertical="center" wrapText="1"/>
    </xf>
    <xf numFmtId="4" fontId="10" fillId="75" borderId="183" applyAlignment="1">
      <alignment horizontal="right" vertical="center"/>
    </xf>
    <xf numFmtId="4" fontId="50" fillId="66" borderId="183" applyAlignment="1">
      <alignment vertical="center"/>
    </xf>
    <xf numFmtId="0" fontId="33" fillId="35" borderId="185"/>
    <xf numFmtId="4" fontId="186" fillId="89" borderId="183" applyAlignment="1">
      <alignment horizontal="left" vertical="center" indent="1"/>
    </xf>
    <xf numFmtId="4" fontId="186" fillId="36" borderId="183" applyAlignment="1">
      <alignment horizontal="right" vertical="center"/>
    </xf>
    <xf numFmtId="0" fontId="18" fillId="81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4" fontId="11" fillId="69" borderId="183" applyAlignment="1">
      <alignment vertical="center"/>
    </xf>
    <xf numFmtId="0" fontId="41" fillId="5" borderId="181"/>
    <xf numFmtId="4" fontId="10" fillId="69" borderId="183" applyAlignment="1">
      <alignment horizontal="left" vertical="center" indent="1"/>
    </xf>
    <xf numFmtId="4" fontId="16" fillId="81" borderId="183" applyAlignment="1">
      <alignment horizontal="right" vertical="center"/>
    </xf>
    <xf numFmtId="4" fontId="10" fillId="77" borderId="183" applyAlignment="1">
      <alignment horizontal="right" vertical="center"/>
    </xf>
    <xf numFmtId="4" fontId="198" fillId="95" borderId="186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4" fontId="186" fillId="76" borderId="187" applyAlignment="1">
      <alignment horizontal="right" vertical="center"/>
    </xf>
    <xf numFmtId="0" fontId="198" fillId="12" borderId="185" applyAlignment="1">
      <alignment horizontal="left" vertical="center" indent="1"/>
    </xf>
    <xf numFmtId="4" fontId="198" fillId="0" borderId="185" applyAlignment="1">
      <alignment horizontal="right" vertical="center"/>
    </xf>
    <xf numFmtId="0" fontId="198" fillId="89" borderId="183" applyAlignment="1">
      <alignment horizontal="left" vertical="top" indent="1"/>
    </xf>
    <xf numFmtId="4" fontId="186" fillId="89" borderId="183" applyAlignment="1">
      <alignment horizontal="right" vertical="center"/>
    </xf>
    <xf numFmtId="4" fontId="10" fillId="81" borderId="183" applyAlignment="1">
      <alignment horizontal="right" vertical="center"/>
    </xf>
    <xf numFmtId="4" fontId="198" fillId="69" borderId="185" applyAlignment="1">
      <alignment horizontal="left" vertical="center" indent="1"/>
    </xf>
    <xf numFmtId="4" fontId="190" fillId="96" borderId="183" applyAlignment="1">
      <alignment horizontal="right" vertical="center"/>
    </xf>
    <xf numFmtId="4" fontId="10" fillId="81" borderId="183" applyAlignment="1">
      <alignment vertical="center"/>
    </xf>
    <xf numFmtId="0" fontId="18" fillId="79" borderId="183" applyAlignment="1">
      <alignment horizontal="left" vertical="center" indent="1"/>
    </xf>
    <xf numFmtId="4" fontId="9" fillId="69" borderId="183" applyAlignment="1">
      <alignment vertical="center"/>
    </xf>
    <xf numFmtId="4" fontId="10" fillId="73" borderId="183" applyAlignment="1">
      <alignment horizontal="right" vertical="center"/>
    </xf>
    <xf numFmtId="4" fontId="186" fillId="13" borderId="183" applyAlignment="1">
      <alignment horizontal="right" vertical="center"/>
    </xf>
    <xf numFmtId="4" fontId="16" fillId="81" borderId="183" applyAlignment="1">
      <alignment horizontal="right" vertical="center"/>
    </xf>
    <xf numFmtId="4" fontId="198" fillId="92" borderId="185" applyAlignment="1">
      <alignment horizontal="right" vertical="center"/>
    </xf>
    <xf numFmtId="4" fontId="195" fillId="86" borderId="186" applyAlignment="1">
      <alignment horizontal="left" vertical="center" indent="1"/>
    </xf>
    <xf numFmtId="4" fontId="198" fillId="89" borderId="185" applyAlignment="1">
      <alignment horizontal="right" vertical="center"/>
    </xf>
    <xf numFmtId="0" fontId="36" fillId="104" borderId="187"/>
    <xf numFmtId="0" fontId="18" fillId="89" borderId="183" applyAlignment="1">
      <alignment horizontal="left" vertical="top" indent="1"/>
    </xf>
    <xf numFmtId="4" fontId="10" fillId="77" borderId="183" applyAlignment="1">
      <alignment horizontal="right" vertical="center"/>
    </xf>
    <xf numFmtId="0" fontId="186" fillId="7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7" borderId="182"/>
    <xf numFmtId="4" fontId="10" fillId="72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13" fillId="81" borderId="183" applyAlignment="1">
      <alignment vertical="center"/>
    </xf>
    <xf numFmtId="0" fontId="87" fillId="4" borderId="181"/>
    <xf numFmtId="0" fontId="28" fillId="0" borderId="188"/>
    <xf numFmtId="4" fontId="92" fillId="96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8" fillId="79" borderId="183" applyAlignment="1">
      <alignment horizontal="left" vertical="center" wrapText="1"/>
    </xf>
    <xf numFmtId="4" fontId="10" fillId="81" borderId="183" applyAlignment="1">
      <alignment horizontal="right" vertical="center"/>
    </xf>
    <xf numFmtId="0" fontId="198" fillId="14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71" borderId="187" applyAlignment="1">
      <alignment horizontal="left" vertical="center" indent="1"/>
    </xf>
    <xf numFmtId="4" fontId="186" fillId="89" borderId="183" applyAlignment="1">
      <alignment horizontal="right" vertical="center"/>
    </xf>
    <xf numFmtId="4" fontId="198" fillId="111" borderId="185" applyAlignment="1">
      <alignment horizontal="right" vertical="center"/>
    </xf>
    <xf numFmtId="4" fontId="10" fillId="74" borderId="183" applyAlignment="1">
      <alignment horizontal="right" vertical="center"/>
    </xf>
    <xf numFmtId="4" fontId="10" fillId="76" borderId="183" applyAlignment="1">
      <alignment horizontal="right" vertical="center"/>
    </xf>
    <xf numFmtId="4" fontId="67" fillId="75" borderId="183" applyAlignment="1">
      <alignment horizontal="right" vertical="center"/>
    </xf>
    <xf numFmtId="4" fontId="186" fillId="93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1" borderId="183" applyAlignment="1">
      <alignment horizontal="right" vertical="center"/>
    </xf>
    <xf numFmtId="4" fontId="186" fillId="39" borderId="183" applyAlignment="1">
      <alignment horizontal="right" vertical="center"/>
    </xf>
    <xf numFmtId="4" fontId="198" fillId="15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0" fillId="69" borderId="183" applyAlignment="1">
      <alignment horizontal="left" vertical="center" indent="1"/>
    </xf>
    <xf numFmtId="4" fontId="198" fillId="2" borderId="185" applyAlignment="1">
      <alignment vertical="center"/>
    </xf>
    <xf numFmtId="4" fontId="11" fillId="69" borderId="183" applyAlignment="1">
      <alignment vertical="center"/>
    </xf>
    <xf numFmtId="0" fontId="18" fillId="7" borderId="182"/>
    <xf numFmtId="0" fontId="18" fillId="81" borderId="183" applyAlignment="1">
      <alignment horizontal="left" vertical="top" indent="1"/>
    </xf>
    <xf numFmtId="0" fontId="18" fillId="70" borderId="183" applyAlignment="1">
      <alignment horizontal="left" vertical="center" indent="1"/>
    </xf>
    <xf numFmtId="0" fontId="198" fillId="34" borderId="185"/>
    <xf numFmtId="4" fontId="198" fillId="29" borderId="185" applyAlignment="1">
      <alignment horizontal="right" vertical="center"/>
    </xf>
    <xf numFmtId="4" fontId="198" fillId="89" borderId="185" applyAlignment="1">
      <alignment horizontal="right" vertical="center"/>
    </xf>
    <xf numFmtId="4" fontId="198" fillId="39" borderId="185" applyAlignment="1">
      <alignment horizontal="right" vertical="center"/>
    </xf>
    <xf numFmtId="4" fontId="16" fillId="81" borderId="183" applyAlignment="1">
      <alignment horizontal="right" vertical="center"/>
    </xf>
    <xf numFmtId="4" fontId="10" fillId="69" borderId="183" applyAlignment="1">
      <alignment horizontal="left" vertical="center" indent="1"/>
    </xf>
    <xf numFmtId="4" fontId="67" fillId="71" borderId="183" applyAlignment="1">
      <alignment horizontal="right" vertical="center"/>
    </xf>
    <xf numFmtId="4" fontId="10" fillId="77" borderId="183" applyAlignment="1">
      <alignment horizontal="right" vertical="center"/>
    </xf>
    <xf numFmtId="4" fontId="198" fillId="96" borderId="186" applyAlignment="1">
      <alignment horizontal="left" vertical="center" indent="1"/>
    </xf>
    <xf numFmtId="0" fontId="18" fillId="171" borderId="187" applyAlignment="1">
      <alignment horizontal="left" vertical="center" indent="1"/>
    </xf>
    <xf numFmtId="4" fontId="10" fillId="72" borderId="183" applyAlignment="1">
      <alignment horizontal="right" vertical="center"/>
    </xf>
    <xf numFmtId="4" fontId="10" fillId="69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4" fontId="189" fillId="170" borderId="187" applyAlignment="1">
      <alignment horizontal="right" vertical="center"/>
    </xf>
    <xf numFmtId="0" fontId="18" fillId="55" borderId="187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98" fillId="34" borderId="185"/>
    <xf numFmtId="0" fontId="36" fillId="4" borderId="187"/>
    <xf numFmtId="4" fontId="10" fillId="69" borderId="183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11" fillId="172" borderId="187" applyAlignment="1">
      <alignment horizontal="left" vertical="center" indent="1"/>
    </xf>
    <xf numFmtId="0" fontId="36" fillId="4" borderId="187"/>
    <xf numFmtId="0" fontId="33" fillId="5" borderId="181"/>
    <xf numFmtId="0" fontId="18" fillId="59" borderId="187" applyAlignment="1">
      <alignment horizontal="left" vertical="center" indent="1"/>
    </xf>
    <xf numFmtId="4" fontId="186" fillId="166" borderId="187" applyAlignment="1">
      <alignment horizontal="right" vertical="center"/>
    </xf>
    <xf numFmtId="4" fontId="186" fillId="71" borderId="187" applyAlignment="1">
      <alignment horizontal="right" vertical="center"/>
    </xf>
    <xf numFmtId="0" fontId="18" fillId="55" borderId="187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4" fontId="67" fillId="79" borderId="183" applyAlignment="1">
      <alignment horizontal="right" vertical="center"/>
    </xf>
    <xf numFmtId="4" fontId="92" fillId="96" borderId="183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0" fillId="81" borderId="183" applyAlignment="1">
      <alignment vertical="center"/>
    </xf>
    <xf numFmtId="4" fontId="198" fillId="29" borderId="185" applyAlignment="1">
      <alignment horizontal="right" vertical="center"/>
    </xf>
    <xf numFmtId="4" fontId="189" fillId="69" borderId="187" applyAlignment="1">
      <alignment vertical="center"/>
    </xf>
    <xf numFmtId="4" fontId="186" fillId="165" borderId="187" applyAlignment="1">
      <alignment horizontal="right" vertical="center"/>
    </xf>
    <xf numFmtId="0" fontId="198" fillId="96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0" fontId="18" fillId="70" borderId="183" applyAlignment="1">
      <alignment horizontal="left" vertical="top" indent="1"/>
    </xf>
    <xf numFmtId="4" fontId="186" fillId="42" borderId="183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53" borderId="183" applyAlignment="1">
      <alignment horizontal="right" vertical="center"/>
    </xf>
    <xf numFmtId="4" fontId="198" fillId="69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34" borderId="182"/>
    <xf numFmtId="0" fontId="18" fillId="7" borderId="182"/>
    <xf numFmtId="4" fontId="67" fillId="75" borderId="183" applyAlignment="1">
      <alignment horizontal="right" vertical="center"/>
    </xf>
    <xf numFmtId="4" fontId="10" fillId="81" borderId="183" applyAlignment="1">
      <alignment horizontal="right" vertical="center"/>
    </xf>
    <xf numFmtId="0" fontId="26" fillId="4" borderId="181"/>
    <xf numFmtId="4" fontId="10" fillId="73" borderId="183" applyAlignment="1">
      <alignment horizontal="right" vertical="center"/>
    </xf>
    <xf numFmtId="0" fontId="18" fillId="171" borderId="187" applyAlignment="1">
      <alignment horizontal="left" vertical="center" indent="1"/>
    </xf>
    <xf numFmtId="4" fontId="67" fillId="14" borderId="183" applyAlignment="1">
      <alignment horizontal="left" vertical="center" indent="1"/>
    </xf>
    <xf numFmtId="4" fontId="10" fillId="76" borderId="183" applyAlignment="1">
      <alignment horizontal="right" vertical="center"/>
    </xf>
    <xf numFmtId="0" fontId="18" fillId="34" borderId="182"/>
    <xf numFmtId="0" fontId="18" fillId="34" borderId="182"/>
    <xf numFmtId="0" fontId="18" fillId="59" borderId="187" applyAlignment="1">
      <alignment horizontal="left" vertical="center" indent="1"/>
    </xf>
    <xf numFmtId="0" fontId="36" fillId="104" borderId="187"/>
    <xf numFmtId="0" fontId="36" fillId="4" borderId="187"/>
    <xf numFmtId="4" fontId="13" fillId="81" borderId="183" applyAlignment="1">
      <alignment horizontal="right" vertical="center"/>
    </xf>
    <xf numFmtId="0" fontId="198" fillId="14" borderId="185" applyAlignment="1">
      <alignment horizontal="left" vertical="center" indent="1"/>
    </xf>
    <xf numFmtId="4" fontId="186" fillId="42" borderId="183" applyAlignment="1">
      <alignment vertical="center"/>
    </xf>
    <xf numFmtId="4" fontId="186" fillId="61" borderId="187" applyAlignment="1">
      <alignment horizontal="right" vertical="center"/>
    </xf>
    <xf numFmtId="0" fontId="36" fillId="4" borderId="187"/>
    <xf numFmtId="4" fontId="198" fillId="111" borderId="185" applyAlignment="1">
      <alignment horizontal="right" vertical="center"/>
    </xf>
    <xf numFmtId="0" fontId="18" fillId="79" borderId="183" applyAlignment="1">
      <alignment horizontal="left" vertical="top" indent="1"/>
    </xf>
    <xf numFmtId="0" fontId="87" fillId="4" borderId="181"/>
    <xf numFmtId="4" fontId="186" fillId="166" borderId="187" applyAlignment="1">
      <alignment horizontal="right" vertical="center"/>
    </xf>
    <xf numFmtId="4" fontId="10" fillId="61" borderId="183" applyAlignment="1">
      <alignment horizontal="right" vertical="center"/>
    </xf>
    <xf numFmtId="4" fontId="18" fillId="31" borderId="186" applyAlignment="1">
      <alignment horizontal="left" vertical="center" indent="1"/>
    </xf>
    <xf numFmtId="4" fontId="195" fillId="86" borderId="186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67" fillId="79" borderId="183" applyAlignment="1">
      <alignment horizontal="right" vertical="center"/>
    </xf>
    <xf numFmtId="4" fontId="13" fillId="81" borderId="183" applyAlignment="1">
      <alignment vertical="center"/>
    </xf>
    <xf numFmtId="4" fontId="186" fillId="69" borderId="187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0" fillId="68" borderId="183" applyAlignment="1">
      <alignment horizontal="right" vertical="center"/>
    </xf>
    <xf numFmtId="0" fontId="186" fillId="7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98" fillId="96" borderId="185" applyAlignment="1">
      <alignment horizontal="left" vertical="center" indent="1"/>
    </xf>
    <xf numFmtId="4" fontId="50" fillId="66" borderId="183" applyAlignment="1">
      <alignment vertical="center"/>
    </xf>
    <xf numFmtId="4" fontId="186" fillId="10" borderId="183" applyAlignment="1">
      <alignment horizontal="right" vertical="center"/>
    </xf>
    <xf numFmtId="0" fontId="18" fillId="12" borderId="187" applyAlignment="1">
      <alignment horizontal="left" vertical="center" indent="1"/>
    </xf>
    <xf numFmtId="4" fontId="10" fillId="68" borderId="183" applyAlignment="1">
      <alignment horizontal="right" vertical="center"/>
    </xf>
    <xf numFmtId="0" fontId="18" fillId="7" borderId="182"/>
    <xf numFmtId="4" fontId="13" fillId="81" borderId="183" applyAlignment="1">
      <alignment horizontal="right" vertical="center"/>
    </xf>
    <xf numFmtId="4" fontId="10" fillId="75" borderId="183" applyAlignment="1">
      <alignment horizontal="right" vertical="center"/>
    </xf>
    <xf numFmtId="4" fontId="11" fillId="169" borderId="187" applyAlignment="1">
      <alignment horizontal="left" vertical="center" indent="1"/>
    </xf>
    <xf numFmtId="0" fontId="18" fillId="34" borderId="182"/>
    <xf numFmtId="4" fontId="10" fillId="81" borderId="183" applyAlignment="1">
      <alignment vertical="center"/>
    </xf>
    <xf numFmtId="0" fontId="198" fillId="89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31" borderId="183" applyAlignment="1">
      <alignment horizontal="left" vertical="center" indent="1"/>
    </xf>
    <xf numFmtId="0" fontId="191" fillId="104" borderId="185"/>
    <xf numFmtId="4" fontId="190" fillId="96" borderId="183" applyAlignment="1">
      <alignment horizontal="right" vertical="center"/>
    </xf>
    <xf numFmtId="4" fontId="16" fillId="81" borderId="183" applyAlignment="1">
      <alignment horizontal="right" vertical="center"/>
    </xf>
    <xf numFmtId="4" fontId="163" fillId="12" borderId="183" applyAlignment="1">
      <alignment horizontal="left" vertical="center" indent="1"/>
    </xf>
    <xf numFmtId="4" fontId="186" fillId="71" borderId="187" applyAlignment="1">
      <alignment horizontal="right" vertical="center"/>
    </xf>
    <xf numFmtId="4" fontId="8" fillId="79" borderId="183" applyAlignment="1">
      <alignment horizontal="left" vertical="center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26" fillId="44" borderId="181"/>
    <xf numFmtId="0" fontId="26" fillId="4" borderId="181"/>
    <xf numFmtId="0" fontId="41" fillId="5" borderId="181"/>
    <xf numFmtId="0" fontId="33" fillId="35" borderId="181"/>
    <xf numFmtId="0" fontId="18" fillId="7" borderId="182"/>
    <xf numFmtId="0" fontId="18" fillId="34" borderId="182"/>
    <xf numFmtId="0" fontId="36" fillId="44" borderId="187"/>
    <xf numFmtId="0" fontId="36" fillId="4" borderId="187"/>
    <xf numFmtId="4" fontId="8" fillId="69" borderId="183" applyAlignment="1">
      <alignment vertical="center"/>
    </xf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2" borderId="183" applyAlignment="1">
      <alignment horizontal="left" vertical="top" indent="1"/>
    </xf>
    <xf numFmtId="4" fontId="10" fillId="68" borderId="183" applyAlignment="1">
      <alignment horizontal="righ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0" fillId="81" borderId="183" applyAlignment="1">
      <alignment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4" fontId="10" fillId="81" borderId="183" applyAlignment="1">
      <alignment horizontal="right"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16" fillId="81" borderId="183" applyAlignment="1">
      <alignment horizontal="right" vertical="center"/>
    </xf>
    <xf numFmtId="0" fontId="28" fillId="0" borderId="180"/>
    <xf numFmtId="0" fontId="77" fillId="31" borderId="184"/>
    <xf numFmtId="0" fontId="198" fillId="38" borderId="170"/>
    <xf numFmtId="0" fontId="18" fillId="34" borderId="182"/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0" fontId="191" fillId="104" borderId="185"/>
    <xf numFmtId="0" fontId="33" fillId="35" borderId="185"/>
    <xf numFmtId="0" fontId="198" fillId="34" borderId="185"/>
    <xf numFmtId="0" fontId="36" fillId="104" borderId="187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63" fillId="7" borderId="183" applyAlignment="1">
      <alignment vertical="center"/>
    </xf>
    <xf numFmtId="4" fontId="193" fillId="42" borderId="170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0" fontId="28" fillId="0" borderId="180"/>
    <xf numFmtId="0" fontId="87" fillId="4" borderId="181"/>
    <xf numFmtId="0" fontId="26" fillId="4" borderId="181"/>
    <xf numFmtId="0" fontId="33" fillId="5" borderId="181"/>
    <xf numFmtId="0" fontId="41" fillId="5" borderId="181"/>
    <xf numFmtId="0" fontId="18" fillId="7" borderId="182"/>
    <xf numFmtId="0" fontId="18" fillId="7" borderId="182"/>
    <xf numFmtId="0" fontId="18" fillId="34" borderId="182"/>
    <xf numFmtId="0" fontId="36" fillId="4" borderId="187"/>
    <xf numFmtId="4" fontId="11" fillId="69" borderId="183" applyAlignment="1">
      <alignment vertical="center"/>
    </xf>
    <xf numFmtId="4" fontId="11" fillId="69" borderId="183" applyAlignment="1">
      <alignment vertical="center"/>
    </xf>
    <xf numFmtId="4" fontId="11" fillId="2" borderId="183" applyAlignment="1">
      <alignment vertical="center"/>
    </xf>
    <xf numFmtId="4" fontId="8" fillId="69" borderId="183" applyAlignment="1">
      <alignment vertical="center"/>
    </xf>
    <xf numFmtId="4" fontId="188" fillId="69" borderId="183" applyAlignment="1">
      <alignment vertical="center"/>
    </xf>
    <xf numFmtId="4" fontId="9" fillId="69" borderId="183" applyAlignment="1">
      <alignment vertical="center"/>
    </xf>
    <xf numFmtId="4" fontId="67" fillId="14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4" fontId="10" fillId="69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67" fillId="68" borderId="183" applyAlignment="1">
      <alignment horizontal="right" vertical="center"/>
    </xf>
    <xf numFmtId="4" fontId="186" fillId="39" borderId="183" applyAlignment="1">
      <alignment horizontal="right" vertical="center"/>
    </xf>
    <xf numFmtId="4" fontId="10" fillId="68" borderId="183" applyAlignment="1">
      <alignment horizontal="right" vertical="center"/>
    </xf>
    <xf numFmtId="4" fontId="186" fillId="13" borderId="183" applyAlignment="1">
      <alignment horizontal="right" vertical="center"/>
    </xf>
    <xf numFmtId="4" fontId="10" fillId="61" borderId="183" applyAlignment="1">
      <alignment horizontal="right" vertical="center"/>
    </xf>
    <xf numFmtId="4" fontId="67" fillId="71" borderId="183" applyAlignment="1">
      <alignment horizontal="right" vertical="center"/>
    </xf>
    <xf numFmtId="4" fontId="186" fillId="10" borderId="183" applyAlignment="1">
      <alignment horizontal="right" vertical="center"/>
    </xf>
    <xf numFmtId="4" fontId="10" fillId="71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0" fillId="72" borderId="183" applyAlignment="1">
      <alignment horizontal="right" vertical="center"/>
    </xf>
    <xf numFmtId="4" fontId="67" fillId="73" borderId="183" applyAlignment="1">
      <alignment horizontal="right" vertical="center"/>
    </xf>
    <xf numFmtId="4" fontId="186" fillId="93" borderId="183" applyAlignment="1">
      <alignment horizontal="right" vertical="center"/>
    </xf>
    <xf numFmtId="4" fontId="10" fillId="73" borderId="183" applyAlignment="1">
      <alignment horizontal="right" vertical="center"/>
    </xf>
    <xf numFmtId="4" fontId="186" fillId="36" borderId="183" applyAlignment="1">
      <alignment horizontal="right" vertical="center"/>
    </xf>
    <xf numFmtId="4" fontId="10" fillId="74" borderId="183" applyAlignment="1">
      <alignment horizontal="right" vertical="center"/>
    </xf>
    <xf numFmtId="4" fontId="67" fillId="75" borderId="183" applyAlignment="1">
      <alignment horizontal="right" vertical="center"/>
    </xf>
    <xf numFmtId="4" fontId="186" fillId="29" borderId="183" applyAlignment="1">
      <alignment horizontal="right" vertical="center"/>
    </xf>
    <xf numFmtId="4" fontId="10" fillId="75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76" borderId="183" applyAlignment="1">
      <alignment horizontal="right" vertical="center"/>
    </xf>
    <xf numFmtId="4" fontId="67" fillId="77" borderId="183" applyAlignment="1">
      <alignment horizontal="right" vertical="center"/>
    </xf>
    <xf numFmtId="4" fontId="186" fillId="94" borderId="183" applyAlignment="1">
      <alignment horizontal="right" vertical="center"/>
    </xf>
    <xf numFmtId="4" fontId="10" fillId="77" borderId="183" applyAlignment="1">
      <alignment horizontal="right" vertical="center"/>
    </xf>
    <xf numFmtId="4" fontId="67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70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86" fillId="42" borderId="183" applyAlignment="1">
      <alignment vertical="center"/>
    </xf>
    <xf numFmtId="4" fontId="10" fillId="81" borderId="183" applyAlignment="1">
      <alignment vertical="center"/>
    </xf>
    <xf numFmtId="4" fontId="189" fillId="42" borderId="183" applyAlignment="1">
      <alignment vertical="center"/>
    </xf>
    <xf numFmtId="4" fontId="13" fillId="81" borderId="183" applyAlignment="1">
      <alignment vertical="center"/>
    </xf>
    <xf numFmtId="4" fontId="186" fillId="42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0" fontId="186" fillId="42" borderId="183" applyAlignment="1">
      <alignment horizontal="left" vertical="top" indent="1"/>
    </xf>
    <xf numFmtId="0" fontId="186" fillId="7" borderId="183" applyAlignment="1">
      <alignment horizontal="left" vertical="top" indent="1"/>
    </xf>
    <xf numFmtId="4" fontId="67" fillId="4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0" fillId="81" borderId="183" applyAlignment="1">
      <alignment horizontal="right" vertical="center"/>
    </xf>
    <xf numFmtId="4" fontId="189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92" fillId="96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5" fillId="80" borderId="179" applyAlignment="1">
      <alignment horizontal="left" vertical="center" indent="1"/>
    </xf>
    <xf numFmtId="4" fontId="190" fillId="96" borderId="183" applyAlignment="1">
      <alignment horizontal="right" vertical="center"/>
    </xf>
    <xf numFmtId="4" fontId="16" fillId="81" borderId="183" applyAlignment="1">
      <alignment horizontal="right" vertical="center"/>
    </xf>
    <xf numFmtId="0" fontId="28" fillId="0" borderId="188"/>
    <xf numFmtId="0" fontId="191" fillId="104" borderId="185"/>
    <xf numFmtId="0" fontId="33" fillId="35" borderId="185"/>
    <xf numFmtId="0" fontId="198" fillId="34" borderId="185"/>
    <xf numFmtId="0" fontId="36" fillId="104" borderId="187"/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98" fillId="69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98" fillId="94" borderId="185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89" borderId="185" applyAlignment="1">
      <alignment horizontal="right" vertical="center"/>
    </xf>
    <xf numFmtId="4" fontId="198" fillId="96" borderId="186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98" fillId="96" borderId="183" applyAlignment="1">
      <alignment horizontal="left" vertical="top" indent="1"/>
    </xf>
    <xf numFmtId="4" fontId="163" fillId="7" borderId="183" applyAlignment="1">
      <alignment vertical="center"/>
    </xf>
    <xf numFmtId="4" fontId="193" fillId="42" borderId="170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195" fillId="86" borderId="186" applyAlignment="1">
      <alignment horizontal="left" vertical="center" indent="1"/>
    </xf>
    <xf numFmtId="4" fontId="196" fillId="4" borderId="185" applyAlignment="1">
      <alignment horizontal="right" vertical="center"/>
    </xf>
    <xf numFmtId="4" fontId="198" fillId="2" borderId="185" applyAlignment="1">
      <alignment vertical="center"/>
    </xf>
    <xf numFmtId="4" fontId="198" fillId="69" borderId="185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98" fillId="89" borderId="185" applyAlignment="1">
      <alignment horizontal="right" vertical="center"/>
    </xf>
    <xf numFmtId="0" fontId="198" fillId="12" borderId="185" applyAlignment="1">
      <alignment horizontal="left" vertical="center" indent="1"/>
    </xf>
    <xf numFmtId="0" fontId="198" fillId="91" borderId="185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98" fillId="96" borderId="185" applyAlignment="1">
      <alignment horizontal="left" vertical="center" indent="1"/>
    </xf>
    <xf numFmtId="4" fontId="198" fillId="0" borderId="185" applyAlignment="1">
      <alignment horizontal="right" vertical="center"/>
    </xf>
    <xf numFmtId="4" fontId="198" fillId="15" borderId="185" applyAlignment="1">
      <alignment horizontal="left" vertical="center" indent="1"/>
    </xf>
    <xf numFmtId="4" fontId="186" fillId="69" borderId="187" applyAlignment="1">
      <alignment vertical="center"/>
    </xf>
    <xf numFmtId="4" fontId="189" fillId="69" borderId="187" applyAlignment="1">
      <alignment vertical="center"/>
    </xf>
    <xf numFmtId="4" fontId="186" fillId="69" borderId="187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61" borderId="187" applyAlignment="1">
      <alignment horizontal="right" vertical="center"/>
    </xf>
    <xf numFmtId="4" fontId="186" fillId="71" borderId="187" applyAlignment="1">
      <alignment horizontal="right" vertical="center"/>
    </xf>
    <xf numFmtId="4" fontId="186" fillId="68" borderId="187" applyAlignment="1">
      <alignment horizontal="right" vertical="center"/>
    </xf>
    <xf numFmtId="4" fontId="186" fillId="73" borderId="187" applyAlignment="1">
      <alignment horizontal="right" vertical="center"/>
    </xf>
    <xf numFmtId="4" fontId="186" fillId="165" borderId="187" applyAlignment="1">
      <alignment horizontal="right" vertical="center"/>
    </xf>
    <xf numFmtId="4" fontId="186" fillId="166" borderId="187" applyAlignment="1">
      <alignment horizontal="right" vertical="center"/>
    </xf>
    <xf numFmtId="4" fontId="186" fillId="76" borderId="187" applyAlignment="1">
      <alignment horizontal="right" vertical="center"/>
    </xf>
    <xf numFmtId="4" fontId="186" fillId="75" borderId="187" applyAlignment="1">
      <alignment horizontal="right" vertical="center"/>
    </xf>
    <xf numFmtId="4" fontId="186" fillId="167" borderId="187" applyAlignment="1">
      <alignment horizontal="right" vertical="center"/>
    </xf>
    <xf numFmtId="4" fontId="11" fillId="169" borderId="187" applyAlignment="1">
      <alignment horizontal="left" vertical="center" indent="1"/>
    </xf>
    <xf numFmtId="4" fontId="186" fillId="170" borderId="17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170" borderId="187" applyAlignment="1">
      <alignment horizontal="left" vertical="center" indent="1"/>
    </xf>
    <xf numFmtId="4" fontId="186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42" borderId="187" applyAlignment="1">
      <alignment vertical="center"/>
    </xf>
    <xf numFmtId="4" fontId="189" fillId="42" borderId="187" applyAlignment="1">
      <alignment vertical="center"/>
    </xf>
    <xf numFmtId="4" fontId="186" fillId="42" borderId="187" applyAlignment="1">
      <alignment horizontal="left" vertical="center" indent="1"/>
    </xf>
    <xf numFmtId="4" fontId="186" fillId="42" borderId="187" applyAlignment="1">
      <alignment horizontal="left" vertical="center" indent="1"/>
    </xf>
    <xf numFmtId="4" fontId="186" fillId="170" borderId="187" applyAlignment="1">
      <alignment horizontal="right" vertical="center"/>
    </xf>
    <xf numFmtId="4" fontId="189" fillId="170" borderId="187" applyAlignment="1">
      <alignment horizontal="right" vertical="center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90" fillId="170" borderId="187" applyAlignment="1">
      <alignment horizontal="right" vertical="center"/>
    </xf>
    <xf numFmtId="4" fontId="186" fillId="13" borderId="183" applyAlignment="1">
      <alignment horizontal="right" vertical="center"/>
    </xf>
    <xf numFmtId="4" fontId="10" fillId="61" borderId="183" applyAlignment="1">
      <alignment horizontal="right" vertical="center"/>
    </xf>
    <xf numFmtId="4" fontId="198" fillId="29" borderId="185" applyAlignment="1">
      <alignment horizontal="right" vertical="center"/>
    </xf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0" fontId="18" fillId="7" borderId="182"/>
    <xf numFmtId="4" fontId="163" fillId="7" borderId="183" applyAlignment="1">
      <alignment vertical="center"/>
    </xf>
    <xf numFmtId="4" fontId="198" fillId="94" borderId="185" applyAlignment="1">
      <alignment horizontal="right" vertical="center"/>
    </xf>
    <xf numFmtId="4" fontId="193" fillId="69" borderId="185" applyAlignment="1">
      <alignment vertical="center"/>
    </xf>
    <xf numFmtId="4" fontId="186" fillId="94" borderId="183" applyAlignment="1">
      <alignment horizontal="right" vertical="center"/>
    </xf>
    <xf numFmtId="4" fontId="13" fillId="81" borderId="183" applyAlignment="1">
      <alignment horizontal="right" vertical="center"/>
    </xf>
    <xf numFmtId="0" fontId="18" fillId="171" borderId="187" applyAlignment="1">
      <alignment horizontal="left" vertical="center" indent="1"/>
    </xf>
    <xf numFmtId="4" fontId="10" fillId="74" borderId="183" applyAlignment="1">
      <alignment horizontal="right" vertical="center"/>
    </xf>
    <xf numFmtId="4" fontId="15" fillId="80" borderId="179" applyAlignment="1">
      <alignment horizontal="left" vertical="center" indent="1"/>
    </xf>
    <xf numFmtId="0" fontId="18" fillId="59" borderId="187" applyAlignment="1">
      <alignment horizontal="left" vertical="center" indent="1"/>
    </xf>
    <xf numFmtId="4" fontId="186" fillId="96" borderId="183" applyAlignment="1">
      <alignment horizontal="right" vertical="center"/>
    </xf>
    <xf numFmtId="4" fontId="190" fillId="170" borderId="187" applyAlignment="1">
      <alignment horizontal="right" vertical="center"/>
    </xf>
    <xf numFmtId="4" fontId="8" fillId="69" borderId="183" applyAlignment="1">
      <alignment vertical="center"/>
    </xf>
    <xf numFmtId="4" fontId="186" fillId="42" borderId="187" applyAlignment="1">
      <alignment horizontal="left" vertical="center" indent="1"/>
    </xf>
    <xf numFmtId="4" fontId="190" fillId="170" borderId="187" applyAlignment="1">
      <alignment horizontal="right" vertical="center"/>
    </xf>
    <xf numFmtId="0" fontId="41" fillId="5" borderId="181"/>
    <xf numFmtId="0" fontId="18" fillId="70" borderId="183" applyAlignment="1">
      <alignment horizontal="left" vertical="center" indent="1"/>
    </xf>
    <xf numFmtId="0" fontId="87" fillId="4" borderId="181"/>
    <xf numFmtId="0" fontId="26" fillId="4" borderId="181"/>
    <xf numFmtId="0" fontId="33" fillId="5" borderId="181"/>
    <xf numFmtId="0" fontId="41" fillId="5" borderId="181"/>
    <xf numFmtId="0" fontId="18" fillId="7" borderId="182"/>
    <xf numFmtId="0" fontId="18" fillId="7" borderId="182"/>
    <xf numFmtId="0" fontId="18" fillId="34" borderId="182"/>
    <xf numFmtId="0" fontId="18" fillId="34" borderId="182"/>
    <xf numFmtId="0" fontId="36" fillId="4" borderId="187"/>
    <xf numFmtId="0" fontId="36" fillId="4" borderId="187"/>
    <xf numFmtId="4" fontId="11" fillId="69" borderId="183" applyAlignment="1">
      <alignment vertical="center"/>
    </xf>
    <xf numFmtId="4" fontId="11" fillId="69" borderId="183" applyAlignment="1">
      <alignment vertical="center"/>
    </xf>
    <xf numFmtId="4" fontId="11" fillId="2" borderId="183" applyAlignment="1">
      <alignment vertical="center"/>
    </xf>
    <xf numFmtId="4" fontId="188" fillId="69" borderId="183" applyAlignment="1">
      <alignment vertical="center"/>
    </xf>
    <xf numFmtId="4" fontId="67" fillId="14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67" fillId="68" borderId="183" applyAlignment="1">
      <alignment horizontal="right" vertical="center"/>
    </xf>
    <xf numFmtId="4" fontId="186" fillId="13" borderId="183" applyAlignment="1">
      <alignment horizontal="right" vertical="center"/>
    </xf>
    <xf numFmtId="4" fontId="67" fillId="71" borderId="183" applyAlignment="1">
      <alignment horizontal="right" vertical="center"/>
    </xf>
    <xf numFmtId="4" fontId="186" fillId="92" borderId="183" applyAlignment="1">
      <alignment horizontal="right" vertical="center"/>
    </xf>
    <xf numFmtId="4" fontId="67" fillId="73" borderId="183" applyAlignment="1">
      <alignment horizontal="right" vertical="center"/>
    </xf>
    <xf numFmtId="4" fontId="186" fillId="36" borderId="183" applyAlignment="1">
      <alignment horizontal="right" vertical="center"/>
    </xf>
    <xf numFmtId="4" fontId="67" fillId="75" borderId="183" applyAlignment="1">
      <alignment horizontal="right" vertical="center"/>
    </xf>
    <xf numFmtId="4" fontId="186" fillId="90" borderId="183" applyAlignment="1">
      <alignment horizontal="right" vertical="center"/>
    </xf>
    <xf numFmtId="4" fontId="67" fillId="77" borderId="183" applyAlignment="1">
      <alignment horizontal="right" vertical="center"/>
    </xf>
    <xf numFmtId="4" fontId="67" fillId="79" borderId="183" applyAlignment="1">
      <alignment horizontal="right" vertical="center"/>
    </xf>
    <xf numFmtId="4" fontId="186" fillId="89" borderId="183" applyAlignment="1">
      <alignment horizontal="right" vertical="center"/>
    </xf>
    <xf numFmtId="0" fontId="18" fillId="70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79" borderId="183" applyAlignment="1">
      <alignment horizontal="left" vertical="top" indent="1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96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86" fillId="42" borderId="183" applyAlignment="1">
      <alignment vertical="center"/>
    </xf>
    <xf numFmtId="4" fontId="189" fillId="42" borderId="183" applyAlignment="1">
      <alignment vertical="center"/>
    </xf>
    <xf numFmtId="4" fontId="186" fillId="42" borderId="183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67" fillId="4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89" fillId="96" borderId="183" applyAlignment="1">
      <alignment horizontal="right" vertical="center"/>
    </xf>
    <xf numFmtId="4" fontId="92" fillId="96" borderId="183" applyAlignment="1">
      <alignment horizontal="left" vertical="center" indent="1"/>
    </xf>
    <xf numFmtId="4" fontId="186" fillId="8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90" fillId="96" borderId="183" applyAlignment="1">
      <alignment horizontal="right" vertical="center"/>
    </xf>
    <xf numFmtId="0" fontId="28" fillId="0" borderId="188"/>
    <xf numFmtId="0" fontId="198" fillId="34" borderId="185"/>
    <xf numFmtId="0" fontId="198" fillId="91" borderId="185" applyAlignment="1">
      <alignment horizontal="left" vertical="center" indent="1"/>
    </xf>
    <xf numFmtId="0" fontId="198" fillId="14" borderId="185" applyAlignment="1">
      <alignment horizontal="left" vertical="center" indent="1"/>
    </xf>
    <xf numFmtId="0" fontId="198" fillId="38" borderId="170"/>
    <xf numFmtId="0" fontId="28" fillId="0" borderId="180"/>
    <xf numFmtId="4" fontId="10" fillId="74" borderId="183" applyAlignment="1">
      <alignment horizontal="right" vertical="center"/>
    </xf>
    <xf numFmtId="4" fontId="189" fillId="69" borderId="187" applyAlignment="1">
      <alignment vertical="center"/>
    </xf>
    <xf numFmtId="4" fontId="10" fillId="76" borderId="183" applyAlignment="1">
      <alignment horizontal="right" vertical="center"/>
    </xf>
    <xf numFmtId="0" fontId="18" fillId="80" borderId="183" applyAlignment="1">
      <alignment horizontal="left" vertical="center" indent="1"/>
    </xf>
    <xf numFmtId="4" fontId="67" fillId="71" borderId="183" applyAlignment="1">
      <alignment horizontal="right" vertical="center"/>
    </xf>
    <xf numFmtId="0" fontId="18" fillId="81" borderId="183" applyAlignment="1">
      <alignment horizontal="left" vertical="top" indent="1"/>
    </xf>
    <xf numFmtId="4" fontId="67" fillId="4" borderId="183" applyAlignment="1">
      <alignment horizontal="right" vertical="center"/>
    </xf>
    <xf numFmtId="0" fontId="33" fillId="35" borderId="185"/>
    <xf numFmtId="0" fontId="18" fillId="48" borderId="187" applyAlignment="1">
      <alignment horizontal="left" vertical="center" indent="1"/>
    </xf>
    <xf numFmtId="4" fontId="198" fillId="111" borderId="185" applyAlignment="1">
      <alignment horizontal="right" vertical="center"/>
    </xf>
    <xf numFmtId="0" fontId="36" fillId="104" borderId="187"/>
    <xf numFmtId="4" fontId="10" fillId="74" borderId="183" applyAlignment="1">
      <alignment horizontal="right" vertical="center"/>
    </xf>
    <xf numFmtId="4" fontId="67" fillId="73" borderId="183" applyAlignment="1">
      <alignment horizontal="right" vertical="center"/>
    </xf>
    <xf numFmtId="4" fontId="198" fillId="15" borderId="185" applyAlignment="1">
      <alignment horizontal="left" vertical="center" indent="1"/>
    </xf>
    <xf numFmtId="4" fontId="193" fillId="41" borderId="185" applyAlignment="1">
      <alignment horizontal="right" vertical="center"/>
    </xf>
    <xf numFmtId="0" fontId="18" fillId="55" borderId="187" applyAlignment="1">
      <alignment horizontal="left" vertical="center" indent="1"/>
    </xf>
    <xf numFmtId="4" fontId="8" fillId="79" borderId="183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86" fillId="80" borderId="183" applyAlignment="1">
      <alignment horizontal="left" vertical="top" indent="1"/>
    </xf>
    <xf numFmtId="4" fontId="10" fillId="73" borderId="183" applyAlignment="1">
      <alignment horizontal="right" vertical="center"/>
    </xf>
    <xf numFmtId="4" fontId="16" fillId="81" borderId="183" applyAlignment="1">
      <alignment horizontal="right" vertical="center"/>
    </xf>
    <xf numFmtId="0" fontId="33" fillId="35" borderId="185"/>
    <xf numFmtId="0" fontId="18" fillId="96" borderId="183" applyAlignment="1">
      <alignment horizontal="left" vertical="center" indent="1"/>
    </xf>
    <xf numFmtId="4" fontId="50" fillId="66" borderId="183" applyAlignment="1">
      <alignment vertical="center"/>
    </xf>
    <xf numFmtId="4" fontId="67" fillId="73" borderId="183" applyAlignment="1">
      <alignment horizontal="right" vertical="center"/>
    </xf>
    <xf numFmtId="4" fontId="231" fillId="96" borderId="183" applyAlignment="1">
      <alignment horizontal="right" vertical="center"/>
    </xf>
    <xf numFmtId="4" fontId="10" fillId="71" borderId="183" applyAlignment="1">
      <alignment horizontal="right" vertical="center"/>
    </xf>
    <xf numFmtId="0" fontId="18" fillId="31" borderId="183" applyAlignment="1">
      <alignment horizontal="left" vertical="top" indent="1"/>
    </xf>
    <xf numFmtId="0" fontId="36" fillId="4" borderId="187"/>
    <xf numFmtId="4" fontId="16" fillId="81" borderId="183" applyAlignment="1">
      <alignment horizontal="right" vertical="center"/>
    </xf>
    <xf numFmtId="4" fontId="186" fillId="171" borderId="187" applyAlignment="1">
      <alignment horizontal="left" vertical="center" indent="1"/>
    </xf>
    <xf numFmtId="0" fontId="26" fillId="4" borderId="181"/>
    <xf numFmtId="4" fontId="8" fillId="79" borderId="179" applyAlignment="1">
      <alignment horizontal="left" vertical="center" indent="1"/>
    </xf>
    <xf numFmtId="0" fontId="18" fillId="81" borderId="183" applyAlignment="1">
      <alignment horizontal="left" vertical="center" indent="1"/>
    </xf>
    <xf numFmtId="4" fontId="67" fillId="68" borderId="183" applyAlignment="1">
      <alignment horizontal="right" vertical="center"/>
    </xf>
    <xf numFmtId="0" fontId="18" fillId="14" borderId="183" applyAlignment="1">
      <alignment horizontal="left" vertical="center" indent="1"/>
    </xf>
    <xf numFmtId="4" fontId="198" fillId="2" borderId="185" applyAlignment="1">
      <alignment vertical="center"/>
    </xf>
    <xf numFmtId="4" fontId="190" fillId="170" borderId="187" applyAlignment="1">
      <alignment horizontal="right" vertical="center"/>
    </xf>
    <xf numFmtId="0" fontId="232" fillId="66" borderId="187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4" fontId="198" fillId="92" borderId="185" applyAlignment="1">
      <alignment horizontal="right" vertical="center"/>
    </xf>
    <xf numFmtId="4" fontId="186" fillId="92" borderId="183" applyAlignment="1">
      <alignment horizontal="right" vertical="center"/>
    </xf>
    <xf numFmtId="0" fontId="18" fillId="34" borderId="182"/>
    <xf numFmtId="4" fontId="163" fillId="12" borderId="183" applyAlignment="1">
      <alignment horizontal="left" vertical="center" indent="1"/>
    </xf>
    <xf numFmtId="4" fontId="186" fillId="42" borderId="187" applyAlignment="1">
      <alignment vertical="center"/>
    </xf>
    <xf numFmtId="4" fontId="10" fillId="75" borderId="183" applyAlignment="1">
      <alignment horizontal="right" vertical="center"/>
    </xf>
    <xf numFmtId="4" fontId="11" fillId="69" borderId="183" applyAlignment="1">
      <alignment horizontal="left" vertical="center" indent="1"/>
    </xf>
    <xf numFmtId="4" fontId="198" fillId="96" borderId="186" applyAlignment="1">
      <alignment horizontal="left" vertical="center" indent="1"/>
    </xf>
    <xf numFmtId="0" fontId="18" fillId="80" borderId="183" applyAlignment="1">
      <alignment horizontal="left" vertical="top" indent="1"/>
    </xf>
    <xf numFmtId="4" fontId="8" fillId="79" borderId="183" applyAlignment="1">
      <alignment horizontal="left" vertical="center" indent="1"/>
    </xf>
    <xf numFmtId="4" fontId="13" fillId="81" borderId="183" applyAlignment="1">
      <alignment vertical="center"/>
    </xf>
    <xf numFmtId="4" fontId="8" fillId="79" borderId="183" applyAlignment="1">
      <alignment horizontal="left" vertical="center" wrapText="1"/>
    </xf>
    <xf numFmtId="0" fontId="18" fillId="96" borderId="183" applyAlignment="1">
      <alignment horizontal="left" vertical="top" indent="1"/>
    </xf>
    <xf numFmtId="0" fontId="18" fillId="31" borderId="183" applyAlignment="1">
      <alignment horizontal="left" vertical="top" indent="1"/>
    </xf>
    <xf numFmtId="0" fontId="36" fillId="104" borderId="187"/>
    <xf numFmtId="4" fontId="186" fillId="39" borderId="183" applyAlignment="1">
      <alignment horizontal="right" vertical="center"/>
    </xf>
    <xf numFmtId="0" fontId="163" fillId="7" borderId="183" applyAlignment="1">
      <alignment horizontal="left" vertical="top" indent="1"/>
    </xf>
    <xf numFmtId="0" fontId="46" fillId="164" borderId="187" applyAlignment="1">
      <alignment horizontal="left" vertical="center" indent="1"/>
    </xf>
    <xf numFmtId="4" fontId="9" fillId="69" borderId="183" applyAlignment="1">
      <alignment vertical="center"/>
    </xf>
    <xf numFmtId="0" fontId="18" fillId="171" borderId="187" applyAlignment="1">
      <alignment horizontal="left" vertical="center" indent="1"/>
    </xf>
    <xf numFmtId="0" fontId="26" fillId="4" borderId="181"/>
    <xf numFmtId="0" fontId="18" fillId="55" borderId="187" applyAlignment="1">
      <alignment horizontal="left" vertical="center" indent="1"/>
    </xf>
    <xf numFmtId="4" fontId="67" fillId="75" borderId="183" applyAlignment="1">
      <alignment horizontal="right" vertical="center"/>
    </xf>
    <xf numFmtId="4" fontId="186" fillId="165" borderId="187" applyAlignment="1">
      <alignment horizontal="right" vertical="center"/>
    </xf>
    <xf numFmtId="0" fontId="18" fillId="79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0" fontId="28" fillId="0" borderId="180"/>
    <xf numFmtId="0" fontId="186" fillId="80" borderId="183" applyAlignment="1">
      <alignment horizontal="left" vertical="top" indent="1"/>
    </xf>
    <xf numFmtId="4" fontId="231" fillId="96" borderId="183" applyAlignment="1">
      <alignment horizontal="right" vertical="center"/>
    </xf>
    <xf numFmtId="4" fontId="198" fillId="95" borderId="186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0" fillId="71" borderId="183" applyAlignment="1">
      <alignment horizontal="right" vertical="center"/>
    </xf>
    <xf numFmtId="0" fontId="18" fillId="79" borderId="183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0" fontId="191" fillId="104" borderId="185"/>
    <xf numFmtId="0" fontId="33" fillId="35" borderId="185"/>
    <xf numFmtId="0" fontId="198" fillId="34" borderId="185"/>
    <xf numFmtId="0" fontId="36" fillId="104" borderId="187"/>
    <xf numFmtId="4" fontId="10" fillId="69" borderId="183" applyAlignment="1">
      <alignment horizontal="left" vertical="center" indent="1"/>
    </xf>
    <xf numFmtId="4" fontId="10" fillId="69" borderId="183" applyAlignment="1">
      <alignment horizontal="left" vertical="center"/>
    </xf>
    <xf numFmtId="4" fontId="186" fillId="69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6" fillId="42" borderId="187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8" fillId="79" borderId="183" applyAlignment="1">
      <alignment horizontal="left" vertical="center" wrapText="1"/>
    </xf>
    <xf numFmtId="0" fontId="18" fillId="55" borderId="187" applyAlignment="1">
      <alignment horizontal="left" vertical="center" indent="1"/>
    </xf>
    <xf numFmtId="4" fontId="50" fillId="66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53" borderId="183" applyAlignment="1">
      <alignment horizontal="right" vertical="center"/>
    </xf>
    <xf numFmtId="0" fontId="232" fillId="40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231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wrapText="1"/>
    </xf>
    <xf numFmtId="0" fontId="232" fillId="55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50" fillId="66" borderId="183" applyAlignment="1">
      <alignment vertical="center"/>
    </xf>
    <xf numFmtId="4" fontId="10" fillId="53" borderId="183" applyAlignment="1">
      <alignment horizontal="right" vertical="center"/>
    </xf>
    <xf numFmtId="0" fontId="232" fillId="40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4" fontId="231" fillId="96" borderId="183" applyAlignment="1">
      <alignment horizontal="right" vertical="center"/>
    </xf>
    <xf numFmtId="0" fontId="232" fillId="55" borderId="187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8" fillId="90" borderId="185" applyAlignment="1">
      <alignment horizontal="right" vertical="center"/>
    </xf>
    <xf numFmtId="0" fontId="18" fillId="34" borderId="182"/>
    <xf numFmtId="4" fontId="13" fillId="81" borderId="183" applyAlignment="1">
      <alignment vertical="center"/>
    </xf>
    <xf numFmtId="4" fontId="198" fillId="89" borderId="185" applyAlignment="1">
      <alignment horizontal="right" vertical="center"/>
    </xf>
    <xf numFmtId="4" fontId="8" fillId="69" borderId="183" applyAlignment="1">
      <alignment vertical="center"/>
    </xf>
    <xf numFmtId="4" fontId="189" fillId="69" borderId="187" applyAlignment="1">
      <alignment vertical="center"/>
    </xf>
    <xf numFmtId="4" fontId="10" fillId="77" borderId="183" applyAlignment="1">
      <alignment horizontal="right" vertical="center"/>
    </xf>
    <xf numFmtId="4" fontId="189" fillId="96" borderId="183" applyAlignment="1">
      <alignment horizontal="right" vertical="center"/>
    </xf>
    <xf numFmtId="0" fontId="18" fillId="48" borderId="187" applyAlignment="1">
      <alignment horizontal="left" vertical="center" indent="1"/>
    </xf>
    <xf numFmtId="4" fontId="10" fillId="76" borderId="183" applyAlignment="1">
      <alignment horizontal="right" vertical="center"/>
    </xf>
    <xf numFmtId="4" fontId="15" fillId="80" borderId="179" applyAlignment="1">
      <alignment horizontal="left" vertical="center" indent="1"/>
    </xf>
    <xf numFmtId="4" fontId="189" fillId="96" borderId="183" applyAlignment="1">
      <alignment horizontal="right" vertical="center"/>
    </xf>
    <xf numFmtId="4" fontId="188" fillId="69" borderId="183" applyAlignment="1">
      <alignment vertical="center"/>
    </xf>
    <xf numFmtId="0" fontId="33" fillId="35" borderId="181"/>
    <xf numFmtId="0" fontId="18" fillId="70" borderId="183" applyAlignment="1">
      <alignment horizontal="left" vertical="center" indent="1"/>
    </xf>
    <xf numFmtId="0" fontId="26" fillId="44" borderId="181"/>
    <xf numFmtId="0" fontId="232" fillId="40" borderId="187" applyAlignment="1">
      <alignment horizontal="left" vertical="center" indent="1"/>
    </xf>
    <xf numFmtId="4" fontId="186" fillId="36" borderId="183" applyAlignment="1">
      <alignment horizontal="right" vertical="center"/>
    </xf>
    <xf numFmtId="4" fontId="186" fillId="69" borderId="187" applyAlignment="1">
      <alignment horizontal="left" vertical="center" indent="1"/>
    </xf>
    <xf numFmtId="4" fontId="10" fillId="76" borderId="183" applyAlignment="1">
      <alignment horizontal="right" vertical="center"/>
    </xf>
    <xf numFmtId="4" fontId="186" fillId="92" borderId="183" applyAlignment="1">
      <alignment horizontal="right" vertical="center"/>
    </xf>
    <xf numFmtId="4" fontId="198" fillId="15" borderId="185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186" fillId="96" borderId="183" applyAlignment="1">
      <alignment horizontal="right" vertical="center"/>
    </xf>
    <xf numFmtId="0" fontId="18" fillId="59" borderId="187" applyAlignment="1">
      <alignment horizontal="left" vertical="center" indent="1"/>
    </xf>
    <xf numFmtId="4" fontId="198" fillId="10" borderId="186" applyAlignment="1">
      <alignment horizontal="right" vertical="center"/>
    </xf>
    <xf numFmtId="0" fontId="18" fillId="81" borderId="183" applyAlignment="1">
      <alignment horizontal="left" vertical="top" indent="1"/>
    </xf>
    <xf numFmtId="0" fontId="36" fillId="4" borderId="187"/>
    <xf numFmtId="4" fontId="198" fillId="92" borderId="185" applyAlignment="1">
      <alignment horizontal="right" vertical="center"/>
    </xf>
    <xf numFmtId="4" fontId="10" fillId="75" borderId="183" applyAlignment="1">
      <alignment horizontal="right" vertical="center"/>
    </xf>
    <xf numFmtId="4" fontId="10" fillId="73" borderId="183" applyAlignment="1">
      <alignment horizontal="right" vertical="center"/>
    </xf>
    <xf numFmtId="4" fontId="198" fillId="89" borderId="185" applyAlignment="1">
      <alignment horizontal="right" vertical="center"/>
    </xf>
    <xf numFmtId="4" fontId="189" fillId="170" borderId="187" applyAlignment="1">
      <alignment horizontal="right" vertical="center"/>
    </xf>
    <xf numFmtId="4" fontId="186" fillId="170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11" fillId="69" borderId="183" applyAlignment="1">
      <alignment horizontal="left" vertical="top" indent="1"/>
    </xf>
    <xf numFmtId="4" fontId="186" fillId="42" borderId="183" applyAlignment="1">
      <alignment vertical="center"/>
    </xf>
    <xf numFmtId="4" fontId="10" fillId="74" borderId="183" applyAlignment="1">
      <alignment horizontal="right" vertical="center"/>
    </xf>
    <xf numFmtId="0" fontId="28" fillId="0" borderId="180"/>
    <xf numFmtId="0" fontId="198" fillId="34" borderId="185"/>
    <xf numFmtId="0" fontId="33" fillId="5" borderId="181"/>
    <xf numFmtId="4" fontId="8" fillId="69" borderId="183" applyAlignment="1">
      <alignment vertical="center"/>
    </xf>
    <xf numFmtId="4" fontId="186" fillId="93" borderId="183" applyAlignment="1">
      <alignment horizontal="right" vertical="center"/>
    </xf>
    <xf numFmtId="4" fontId="186" fillId="96" borderId="183" applyAlignment="1">
      <alignment horizontal="right" vertical="center"/>
    </xf>
    <xf numFmtId="4" fontId="10" fillId="71" borderId="183" applyAlignment="1">
      <alignment horizontal="right" vertical="center"/>
    </xf>
    <xf numFmtId="0" fontId="198" fillId="31" borderId="183" applyAlignment="1">
      <alignment horizontal="left" vertical="top" indent="1"/>
    </xf>
    <xf numFmtId="4" fontId="11" fillId="69" borderId="183" applyAlignment="1">
      <alignment vertical="center"/>
    </xf>
    <xf numFmtId="4" fontId="186" fillId="90" borderId="183" applyAlignment="1">
      <alignment horizontal="right" vertical="center"/>
    </xf>
    <xf numFmtId="0" fontId="33" fillId="35" borderId="181"/>
    <xf numFmtId="0" fontId="18" fillId="171" borderId="187" applyAlignment="1">
      <alignment horizontal="left" vertical="center" indent="1"/>
    </xf>
    <xf numFmtId="0" fontId="191" fillId="104" borderId="185"/>
    <xf numFmtId="0" fontId="41" fillId="5" borderId="181"/>
    <xf numFmtId="4" fontId="8" fillId="79" borderId="179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8" fillId="96" borderId="183" applyAlignment="1">
      <alignment horizontal="left" vertical="center" indent="1"/>
    </xf>
    <xf numFmtId="4" fontId="10" fillId="68" borderId="183" applyAlignment="1">
      <alignment horizontal="right" vertical="center"/>
    </xf>
    <xf numFmtId="0" fontId="18" fillId="14" borderId="183" applyAlignment="1">
      <alignment horizontal="left" vertical="top" indent="1"/>
    </xf>
    <xf numFmtId="4" fontId="193" fillId="69" borderId="185" applyAlignment="1">
      <alignment vertical="center"/>
    </xf>
    <xf numFmtId="0" fontId="54" fillId="7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63" fillId="89" borderId="183" applyAlignment="1">
      <alignment horizontal="left" vertical="top" indent="1"/>
    </xf>
    <xf numFmtId="4" fontId="186" fillId="73" borderId="187" applyAlignment="1">
      <alignment horizontal="right" vertical="center"/>
    </xf>
    <xf numFmtId="4" fontId="9" fillId="69" borderId="183" applyAlignment="1">
      <alignment vertical="center"/>
    </xf>
    <xf numFmtId="4" fontId="10" fillId="72" borderId="183" applyAlignment="1">
      <alignment horizontal="right" vertical="center"/>
    </xf>
    <xf numFmtId="0" fontId="198" fillId="34" borderId="185"/>
    <xf numFmtId="0" fontId="163" fillId="7" borderId="183" applyAlignment="1">
      <alignment horizontal="left" vertical="top" indent="1"/>
    </xf>
    <xf numFmtId="4" fontId="13" fillId="81" borderId="183" applyAlignment="1">
      <alignment vertical="center"/>
    </xf>
    <xf numFmtId="4" fontId="198" fillId="89" borderId="185" applyAlignment="1">
      <alignment horizontal="right" vertical="center"/>
    </xf>
    <xf numFmtId="4" fontId="10" fillId="76" borderId="183" applyAlignment="1">
      <alignment horizontal="right" vertical="center"/>
    </xf>
    <xf numFmtId="0" fontId="28" fillId="0" borderId="188"/>
    <xf numFmtId="4" fontId="10" fillId="69" borderId="183" applyAlignment="1">
      <alignment horizontal="left" vertical="center"/>
    </xf>
    <xf numFmtId="4" fontId="198" fillId="89" borderId="186" applyAlignment="1">
      <alignment horizontal="left" vertical="center" indent="1"/>
    </xf>
    <xf numFmtId="0" fontId="18" fillId="89" borderId="183" applyAlignment="1">
      <alignment horizontal="left" vertical="top" indent="1"/>
    </xf>
    <xf numFmtId="4" fontId="186" fillId="89" borderId="183" applyAlignment="1">
      <alignment horizontal="left" vertical="center" indent="1"/>
    </xf>
    <xf numFmtId="0" fontId="28" fillId="0" borderId="188"/>
    <xf numFmtId="0" fontId="18" fillId="55" borderId="187" applyAlignment="1">
      <alignment horizontal="left" vertical="center" indent="1"/>
    </xf>
    <xf numFmtId="0" fontId="18" fillId="89" borderId="183" applyAlignment="1">
      <alignment horizontal="left" vertical="center" indent="1"/>
    </xf>
    <xf numFmtId="0" fontId="28" fillId="0" borderId="180"/>
    <xf numFmtId="0" fontId="36" fillId="4" borderId="187"/>
    <xf numFmtId="4" fontId="10" fillId="68" borderId="183" applyAlignment="1">
      <alignment horizontal="right" vertical="center"/>
    </xf>
    <xf numFmtId="4" fontId="186" fillId="42" borderId="187" applyAlignment="1">
      <alignment horizontal="left" vertical="center" indent="1"/>
    </xf>
    <xf numFmtId="0" fontId="164" fillId="164" borderId="187" applyAlignment="1">
      <alignment horizontal="left" vertical="center" indent="1"/>
    </xf>
    <xf numFmtId="4" fontId="9" fillId="69" borderId="183" applyAlignment="1">
      <alignment vertical="center"/>
    </xf>
    <xf numFmtId="0" fontId="232" fillId="40" borderId="187" applyAlignment="1">
      <alignment horizontal="left" vertical="center" indent="1"/>
    </xf>
    <xf numFmtId="0" fontId="33" fillId="5" borderId="181"/>
    <xf numFmtId="4" fontId="10" fillId="81" borderId="183" applyAlignment="1">
      <alignment vertical="center"/>
    </xf>
    <xf numFmtId="4" fontId="10" fillId="75" borderId="183" applyAlignment="1">
      <alignment horizontal="right" vertical="center"/>
    </xf>
    <xf numFmtId="4" fontId="186" fillId="166" borderId="187" applyAlignment="1">
      <alignment horizontal="right" vertical="center"/>
    </xf>
    <xf numFmtId="0" fontId="28" fillId="0" borderId="180"/>
    <xf numFmtId="0" fontId="18" fillId="14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0" borderId="183" applyAlignment="1">
      <alignment horizontal="left" vertical="top" indent="1"/>
    </xf>
    <xf numFmtId="0" fontId="33" fillId="35" borderId="181"/>
    <xf numFmtId="4" fontId="15" fillId="80" borderId="179" applyAlignment="1">
      <alignment horizontal="left" vertical="center" indent="1"/>
    </xf>
    <xf numFmtId="4" fontId="13" fillId="81" borderId="183" applyAlignment="1">
      <alignment horizontal="right" vertical="center"/>
    </xf>
    <xf numFmtId="4" fontId="18" fillId="31" borderId="186" applyAlignment="1">
      <alignment horizontal="left" vertical="center" indent="1"/>
    </xf>
    <xf numFmtId="4" fontId="186" fillId="69" borderId="187" applyAlignment="1">
      <alignment horizontal="left" vertical="center" indent="1"/>
    </xf>
    <xf numFmtId="4" fontId="186" fillId="10" borderId="183" applyAlignment="1">
      <alignment horizontal="right" vertical="center"/>
    </xf>
    <xf numFmtId="4" fontId="10" fillId="81" borderId="183" applyAlignment="1">
      <alignment vertical="center"/>
    </xf>
    <xf numFmtId="0" fontId="198" fillId="91" borderId="185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1" fillId="69" borderId="183" applyAlignment="1">
      <alignment horizontal="left" vertical="top" indent="1"/>
    </xf>
    <xf numFmtId="0" fontId="33" fillId="35" borderId="181"/>
    <xf numFmtId="0" fontId="18" fillId="79" borderId="183" applyAlignment="1">
      <alignment horizontal="left" vertical="top" indent="1"/>
    </xf>
    <xf numFmtId="4" fontId="193" fillId="69" borderId="185" applyAlignment="1">
      <alignment vertical="center"/>
    </xf>
    <xf numFmtId="4" fontId="198" fillId="95" borderId="186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8" applyProtection="1">
      <protection locked="0" hidden="0"/>
    </xf>
    <xf numFmtId="4" fontId="195" fillId="86" borderId="186" applyAlignment="1">
      <alignment horizontal="left" vertical="center" indent="1"/>
    </xf>
    <xf numFmtId="4" fontId="8" fillId="69" borderId="183" applyAlignment="1">
      <alignment vertical="center"/>
    </xf>
    <xf numFmtId="4" fontId="186" fillId="170" borderId="187" applyAlignment="1">
      <alignment horizontal="right" vertical="center"/>
    </xf>
    <xf numFmtId="0" fontId="33" fillId="35" borderId="181"/>
    <xf numFmtId="4" fontId="11" fillId="69" borderId="183" applyAlignment="1">
      <alignment vertical="center"/>
    </xf>
    <xf numFmtId="4" fontId="8" fillId="79" borderId="179" applyAlignment="1">
      <alignment horizontal="left" vertical="center" indent="1"/>
    </xf>
    <xf numFmtId="0" fontId="18" fillId="171" borderId="187" applyAlignment="1">
      <alignment horizontal="left" vertical="center" indent="1"/>
    </xf>
    <xf numFmtId="4" fontId="11" fillId="169" borderId="187" applyAlignment="1">
      <alignment horizontal="left" vertical="center" indent="1"/>
    </xf>
    <xf numFmtId="0" fontId="18" fillId="89" borderId="183" applyAlignment="1">
      <alignment horizontal="left" vertical="center" indent="1"/>
    </xf>
    <xf numFmtId="4" fontId="10" fillId="75" borderId="183" applyAlignment="1">
      <alignment horizontal="right" vertical="center"/>
    </xf>
    <xf numFmtId="4" fontId="18" fillId="31" borderId="186" applyAlignment="1">
      <alignment horizontal="left" vertical="center" indent="1"/>
    </xf>
    <xf numFmtId="0" fontId="39" fillId="4" borderId="181"/>
    <xf numFmtId="4" fontId="10" fillId="79" borderId="183" applyAlignment="1">
      <alignment horizontal="right" vertical="center"/>
    </xf>
    <xf numFmtId="4" fontId="186" fillId="90" borderId="183" applyAlignment="1">
      <alignment horizontal="right" vertical="center"/>
    </xf>
    <xf numFmtId="4" fontId="10" fillId="61" borderId="183" applyAlignment="1">
      <alignment horizontal="right" vertical="center"/>
    </xf>
    <xf numFmtId="4" fontId="198" fillId="69" borderId="185" applyAlignment="1">
      <alignment horizontal="left" vertical="center" indent="1"/>
    </xf>
    <xf numFmtId="0" fontId="18" fillId="70" borderId="183" applyAlignment="1">
      <alignment horizontal="left" vertical="center" indent="1"/>
    </xf>
    <xf numFmtId="4" fontId="92" fillId="96" borderId="183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80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4" fontId="190" fillId="96" borderId="183" applyAlignment="1">
      <alignment horizontal="right" vertical="center"/>
    </xf>
    <xf numFmtId="4" fontId="10" fillId="61" borderId="183" applyAlignment="1">
      <alignment horizontal="right" vertical="center"/>
    </xf>
    <xf numFmtId="0" fontId="18" fillId="7" borderId="182"/>
    <xf numFmtId="4" fontId="10" fillId="72" borderId="183" applyAlignment="1">
      <alignment horizontal="right" vertical="center"/>
    </xf>
    <xf numFmtId="4" fontId="198" fillId="94" borderId="185" applyAlignment="1">
      <alignment horizontal="right" vertical="center"/>
    </xf>
    <xf numFmtId="4" fontId="10" fillId="79" borderId="183" applyAlignment="1">
      <alignment horizontal="right" vertical="center"/>
    </xf>
    <xf numFmtId="4" fontId="13" fillId="81" borderId="183" applyAlignment="1">
      <alignment vertical="center"/>
    </xf>
    <xf numFmtId="4" fontId="9" fillId="69" borderId="183" applyAlignment="1">
      <alignment vertical="center"/>
    </xf>
    <xf numFmtId="4" fontId="67" fillId="79" borderId="183" applyAlignment="1">
      <alignment horizontal="right" vertical="center"/>
    </xf>
    <xf numFmtId="4" fontId="193" fillId="41" borderId="185" applyAlignment="1">
      <alignment horizontal="right" vertical="center"/>
    </xf>
    <xf numFmtId="0" fontId="18" fillId="48" borderId="187" applyAlignment="1">
      <alignment horizontal="left" vertical="center" indent="1"/>
    </xf>
    <xf numFmtId="4" fontId="10" fillId="79" borderId="183" applyAlignment="1">
      <alignment horizontal="right" vertical="center"/>
    </xf>
    <xf numFmtId="4" fontId="16" fillId="81" borderId="183" applyAlignment="1">
      <alignment horizontal="right" vertical="center"/>
    </xf>
    <xf numFmtId="0" fontId="18" fillId="79" borderId="183" applyAlignment="1">
      <alignment horizontal="left" vertical="top" indent="1"/>
    </xf>
    <xf numFmtId="4" fontId="92" fillId="96" borderId="183" applyAlignment="1">
      <alignment horizontal="left" vertical="center" indent="1"/>
    </xf>
    <xf numFmtId="4" fontId="11" fillId="69" borderId="183" applyAlignment="1">
      <alignment horizontal="left" vertical="center" indent="1"/>
    </xf>
    <xf numFmtId="0" fontId="46" fillId="45" borderId="187" applyAlignment="1">
      <alignment horizontal="left" vertical="center" indent="1"/>
    </xf>
    <xf numFmtId="0" fontId="36" fillId="44" borderId="187"/>
    <xf numFmtId="0" fontId="18" fillId="31" borderId="183" applyAlignment="1">
      <alignment horizontal="left" vertical="center" indent="1"/>
    </xf>
    <xf numFmtId="0" fontId="33" fillId="35" borderId="185"/>
    <xf numFmtId="0" fontId="18" fillId="48" borderId="187" applyAlignment="1">
      <alignment horizontal="left" vertical="center" indent="1"/>
    </xf>
    <xf numFmtId="4" fontId="198" fillId="36" borderId="185" applyAlignment="1">
      <alignment horizontal="right" vertical="center"/>
    </xf>
    <xf numFmtId="4" fontId="186" fillId="61" borderId="187" applyAlignment="1">
      <alignment horizontal="right" vertical="center"/>
    </xf>
    <xf numFmtId="4" fontId="10" fillId="77" borderId="183" applyAlignment="1">
      <alignment horizontal="right" vertical="center"/>
    </xf>
    <xf numFmtId="0" fontId="198" fillId="91" borderId="185" applyAlignment="1">
      <alignment horizontal="left" vertical="center" indent="1"/>
    </xf>
    <xf numFmtId="4" fontId="67" fillId="73" borderId="183" applyAlignment="1">
      <alignment horizontal="right" vertical="center"/>
    </xf>
    <xf numFmtId="4" fontId="13" fillId="81" borderId="183" applyAlignment="1">
      <alignment horizontal="right" vertical="center"/>
    </xf>
    <xf numFmtId="0" fontId="18" fillId="55" borderId="187" applyAlignment="1">
      <alignment horizontal="left" vertical="center" indent="1"/>
    </xf>
    <xf numFmtId="4" fontId="198" fillId="36" borderId="185" applyAlignment="1">
      <alignment horizontal="right" vertical="center"/>
    </xf>
    <xf numFmtId="0" fontId="18" fillId="96" borderId="183" applyAlignment="1">
      <alignment horizontal="left" vertical="top" indent="1"/>
    </xf>
    <xf numFmtId="4" fontId="193" fillId="69" borderId="185" applyAlignment="1">
      <alignment vertical="center"/>
    </xf>
    <xf numFmtId="4" fontId="198" fillId="36" borderId="185" applyAlignment="1">
      <alignment horizontal="right" vertical="center"/>
    </xf>
    <xf numFmtId="4" fontId="198" fillId="93" borderId="185" applyAlignment="1">
      <alignment horizontal="right" vertical="center"/>
    </xf>
    <xf numFmtId="0" fontId="198" fillId="14" borderId="185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4" fontId="13" fillId="81" borderId="183" applyAlignment="1">
      <alignment vertical="center"/>
    </xf>
    <xf numFmtId="0" fontId="18" fillId="55" borderId="187" applyAlignment="1">
      <alignment horizontal="left" vertical="center" indent="1"/>
    </xf>
    <xf numFmtId="4" fontId="10" fillId="77" borderId="183" applyAlignment="1">
      <alignment horizontal="right" vertical="center"/>
    </xf>
    <xf numFmtId="0" fontId="36" fillId="104" borderId="187"/>
    <xf numFmtId="4" fontId="193" fillId="69" borderId="185" applyAlignment="1">
      <alignment vertical="center"/>
    </xf>
    <xf numFmtId="0" fontId="18" fillId="55" borderId="187" applyAlignment="1">
      <alignment horizontal="left" vertical="center" indent="1"/>
    </xf>
    <xf numFmtId="4" fontId="11" fillId="69" borderId="183" applyAlignment="1">
      <alignment vertical="center"/>
    </xf>
    <xf numFmtId="4" fontId="10" fillId="74" borderId="183" applyAlignment="1">
      <alignment horizontal="right" vertical="center"/>
    </xf>
    <xf numFmtId="4" fontId="231" fillId="96" borderId="183" applyAlignment="1">
      <alignment horizontal="right" vertical="center"/>
    </xf>
    <xf numFmtId="0" fontId="191" fillId="104" borderId="185"/>
    <xf numFmtId="4" fontId="10" fillId="73" borderId="183" applyAlignment="1">
      <alignment horizontal="right" vertical="center"/>
    </xf>
    <xf numFmtId="4" fontId="188" fillId="69" borderId="183" applyAlignment="1">
      <alignment vertical="center"/>
    </xf>
    <xf numFmtId="0" fontId="191" fillId="104" borderId="185"/>
    <xf numFmtId="4" fontId="10" fillId="76" borderId="183" applyAlignment="1">
      <alignment horizontal="right" vertical="center"/>
    </xf>
    <xf numFmtId="0" fontId="18" fillId="34" borderId="182"/>
    <xf numFmtId="0" fontId="18" fillId="48" borderId="187" applyAlignment="1">
      <alignment horizontal="left" vertical="center" indent="1"/>
    </xf>
    <xf numFmtId="0" fontId="198" fillId="34" borderId="185"/>
    <xf numFmtId="0" fontId="36" fillId="44" borderId="187"/>
    <xf numFmtId="4" fontId="10" fillId="81" borderId="183" applyAlignment="1">
      <alignment horizontal="right" vertical="center"/>
    </xf>
    <xf numFmtId="4" fontId="198" fillId="39" borderId="185" applyAlignment="1">
      <alignment horizontal="right" vertical="center"/>
    </xf>
    <xf numFmtId="0" fontId="39" fillId="4" borderId="181"/>
    <xf numFmtId="4" fontId="198" fillId="39" borderId="185" applyAlignment="1">
      <alignment horizontal="right" vertical="center"/>
    </xf>
    <xf numFmtId="0" fontId="18" fillId="80" borderId="183" applyAlignment="1">
      <alignment horizontal="left" vertical="top" indent="1"/>
    </xf>
    <xf numFmtId="0" fontId="28" fillId="0" borderId="180"/>
    <xf numFmtId="4" fontId="198" fillId="36" borderId="185" applyAlignment="1">
      <alignment horizontal="right" vertical="center"/>
    </xf>
    <xf numFmtId="4" fontId="10" fillId="68" borderId="183" applyAlignment="1">
      <alignment horizontal="right" vertical="center"/>
    </xf>
    <xf numFmtId="4" fontId="186" fillId="73" borderId="187" applyAlignment="1">
      <alignment horizontal="right" vertical="center"/>
    </xf>
    <xf numFmtId="4" fontId="198" fillId="95" borderId="186" applyAlignment="1">
      <alignment horizontal="left" vertical="center" indent="1"/>
    </xf>
    <xf numFmtId="4" fontId="198" fillId="15" borderId="185" applyAlignment="1">
      <alignment horizontal="left" vertical="center" indent="1"/>
    </xf>
    <xf numFmtId="4" fontId="163" fillId="12" borderId="183" applyAlignment="1">
      <alignment horizontal="left" vertical="center" indent="1"/>
    </xf>
    <xf numFmtId="4" fontId="10" fillId="79" borderId="183" applyAlignment="1">
      <alignment horizontal="right" vertical="center"/>
    </xf>
    <xf numFmtId="4" fontId="10" fillId="81" borderId="183" applyAlignment="1">
      <alignment vertical="center"/>
    </xf>
    <xf numFmtId="4" fontId="198" fillId="69" borderId="185" applyAlignment="1">
      <alignment horizontal="left" vertical="center" indent="1"/>
    </xf>
    <xf numFmtId="0" fontId="198" fillId="91" borderId="185" applyAlignment="1">
      <alignment horizontal="left" vertical="center" indent="1"/>
    </xf>
    <xf numFmtId="0" fontId="18" fillId="14" borderId="183" applyAlignment="1">
      <alignment horizontal="left" vertical="top" indent="1"/>
    </xf>
    <xf numFmtId="4" fontId="8" fillId="79" borderId="183" applyAlignment="1">
      <alignment horizontal="left" vertical="center" wrapText="1"/>
    </xf>
    <xf numFmtId="0" fontId="41" fillId="5" borderId="181"/>
    <xf numFmtId="4" fontId="10" fillId="69" borderId="183" applyAlignment="1">
      <alignment horizontal="left" vertical="center"/>
    </xf>
    <xf numFmtId="4" fontId="8" fillId="79" borderId="179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4" fontId="11" fillId="69" borderId="183" applyAlignment="1">
      <alignment vertical="center"/>
    </xf>
    <xf numFmtId="4" fontId="67" fillId="71" borderId="183" applyAlignment="1">
      <alignment horizontal="right" vertical="center"/>
    </xf>
    <xf numFmtId="4" fontId="67" fillId="164" borderId="187" applyAlignment="1">
      <alignment horizontal="right" vertical="center"/>
    </xf>
    <xf numFmtId="0" fontId="11" fillId="2" borderId="183" applyAlignment="1">
      <alignment horizontal="left" vertical="top" indent="1"/>
    </xf>
    <xf numFmtId="0" fontId="18" fillId="7" borderId="182"/>
    <xf numFmtId="4" fontId="231" fillId="96" borderId="183" applyAlignment="1">
      <alignment horizontal="right" vertical="center"/>
    </xf>
    <xf numFmtId="4" fontId="186" fillId="29" borderId="183" applyAlignment="1">
      <alignment horizontal="right" vertical="center"/>
    </xf>
    <xf numFmtId="4" fontId="186" fillId="167" borderId="187" applyAlignment="1">
      <alignment horizontal="right" vertical="center"/>
    </xf>
    <xf numFmtId="0" fontId="33" fillId="35" borderId="181"/>
    <xf numFmtId="0" fontId="18" fillId="48" borderId="187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28" fillId="0" borderId="188"/>
    <xf numFmtId="4" fontId="16" fillId="81" borderId="183" applyAlignment="1">
      <alignment horizontal="right" vertical="center"/>
    </xf>
    <xf numFmtId="4" fontId="15" fillId="80" borderId="179" applyAlignment="1">
      <alignment horizontal="left" vertical="center" indent="1"/>
    </xf>
    <xf numFmtId="4" fontId="198" fillId="111" borderId="185" applyAlignment="1">
      <alignment horizontal="right" vertical="center"/>
    </xf>
    <xf numFmtId="4" fontId="186" fillId="68" borderId="187" applyAlignment="1">
      <alignment horizontal="right" vertical="center"/>
    </xf>
    <xf numFmtId="4" fontId="13" fillId="81" borderId="183" applyAlignment="1">
      <alignment horizontal="right" vertical="center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34" borderId="182"/>
    <xf numFmtId="0" fontId="18" fillId="81" borderId="183" applyAlignment="1">
      <alignment horizontal="left" vertical="center" indent="1"/>
    </xf>
    <xf numFmtId="0" fontId="28" fillId="0" borderId="180"/>
    <xf numFmtId="4" fontId="198" fillId="15" borderId="185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0" fillId="81" borderId="183" applyAlignment="1">
      <alignment horizontal="right"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53" borderId="183" applyAlignment="1">
      <alignment horizontal="right" vertical="center"/>
    </xf>
    <xf numFmtId="0" fontId="232" fillId="40" borderId="187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4" fontId="231" fillId="96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wrapText="1"/>
    </xf>
    <xf numFmtId="0" fontId="232" fillId="55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4" fontId="16" fillId="81" borderId="183" applyAlignment="1">
      <alignment horizontal="right" vertical="center"/>
    </xf>
    <xf numFmtId="4" fontId="50" fillId="66" borderId="183" applyAlignment="1">
      <alignment vertical="center"/>
    </xf>
    <xf numFmtId="4" fontId="196" fillId="4" borderId="185" applyAlignment="1">
      <alignment horizontal="right" vertical="center"/>
    </xf>
    <xf numFmtId="4" fontId="189" fillId="170" borderId="187" applyAlignment="1">
      <alignment horizontal="right" vertical="center"/>
    </xf>
    <xf numFmtId="4" fontId="11" fillId="69" borderId="183" applyAlignment="1">
      <alignment vertical="center"/>
    </xf>
    <xf numFmtId="4" fontId="186" fillId="42" borderId="183" applyAlignment="1">
      <alignment horizontal="left" vertical="center" indent="1"/>
    </xf>
    <xf numFmtId="0" fontId="198" fillId="31" borderId="183" applyAlignment="1">
      <alignment horizontal="left" vertical="top" indent="1"/>
    </xf>
    <xf numFmtId="4" fontId="186" fillId="167" borderId="187" applyAlignment="1">
      <alignment horizontal="right" vertical="center"/>
    </xf>
    <xf numFmtId="0" fontId="18" fillId="89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36" fillId="104" borderId="187"/>
    <xf numFmtId="0" fontId="198" fillId="34" borderId="185"/>
    <xf numFmtId="4" fontId="10" fillId="76" borderId="183" applyAlignment="1">
      <alignment horizontal="right" vertical="center"/>
    </xf>
    <xf numFmtId="4" fontId="198" fillId="89" borderId="185" applyAlignment="1">
      <alignment horizontal="right" vertical="center"/>
    </xf>
    <xf numFmtId="0" fontId="36" fillId="4" borderId="187"/>
    <xf numFmtId="0" fontId="18" fillId="31" borderId="183" applyAlignment="1">
      <alignment horizontal="left" vertical="center" indent="1"/>
    </xf>
    <xf numFmtId="0" fontId="232" fillId="66" borderId="187" applyAlignment="1">
      <alignment horizontal="left" vertical="center" indent="1"/>
    </xf>
    <xf numFmtId="4" fontId="67" fillId="77" borderId="183" applyAlignment="1">
      <alignment horizontal="right" vertical="center"/>
    </xf>
    <xf numFmtId="4" fontId="10" fillId="71" borderId="183" applyAlignment="1">
      <alignment horizontal="right" vertical="center"/>
    </xf>
    <xf numFmtId="4" fontId="67" fillId="14" borderId="183" applyAlignment="1">
      <alignment horizontal="left" vertical="center" indent="1"/>
    </xf>
    <xf numFmtId="0" fontId="18" fillId="31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77" fillId="31" borderId="184"/>
    <xf numFmtId="0" fontId="18" fillId="59" borderId="187" applyAlignment="1">
      <alignment horizontal="left" vertical="center" indent="1"/>
    </xf>
    <xf numFmtId="0" fontId="28" fillId="0" borderId="188"/>
    <xf numFmtId="4" fontId="92" fillId="69" borderId="187" applyAlignment="1">
      <alignment vertical="center"/>
    </xf>
    <xf numFmtId="4" fontId="92" fillId="69" borderId="187" applyAlignment="1">
      <alignment horizontal="left" vertical="center" indent="1"/>
    </xf>
    <xf numFmtId="0" fontId="46" fillId="45" borderId="187" applyAlignment="1">
      <alignment horizontal="left" vertical="center" indent="1"/>
    </xf>
    <xf numFmtId="4" fontId="11" fillId="172" borderId="187" applyAlignment="1">
      <alignment horizontal="left" vertical="center" indent="1"/>
    </xf>
    <xf numFmtId="4" fontId="242" fillId="170" borderId="177" applyAlignment="1">
      <alignment horizontal="left" vertical="center" indent="1"/>
    </xf>
    <xf numFmtId="0" fontId="46" fillId="171" borderId="187" applyAlignment="1">
      <alignment horizontal="left" vertical="center" indent="1"/>
    </xf>
    <xf numFmtId="0" fontId="46" fillId="164" borderId="187" applyAlignment="1">
      <alignment horizontal="left" vertical="center" indent="1"/>
    </xf>
    <xf numFmtId="0" fontId="164" fillId="164" borderId="187" applyAlignment="1">
      <alignment horizontal="left" vertical="center" indent="1"/>
    </xf>
    <xf numFmtId="0" fontId="46" fillId="12" borderId="187" applyAlignment="1">
      <alignment horizontal="left" vertical="center" indent="1"/>
    </xf>
    <xf numFmtId="4" fontId="67" fillId="42" borderId="187" applyAlignment="1">
      <alignment horizontal="left" vertical="center" indent="1"/>
    </xf>
    <xf numFmtId="4" fontId="67" fillId="164" borderId="187" applyAlignment="1">
      <alignment horizontal="right" vertical="center"/>
    </xf>
    <xf numFmtId="0" fontId="18" fillId="12" borderId="187" applyAlignment="1">
      <alignment horizontal="left" vertical="center" indent="1"/>
    </xf>
    <xf numFmtId="0" fontId="164" fillId="96" borderId="187" applyAlignment="1">
      <alignment horizontal="left" vertical="center" indent="1"/>
    </xf>
    <xf numFmtId="4" fontId="198" fillId="96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0" fontId="39" fillId="4" borderId="181"/>
    <xf numFmtId="0" fontId="36" fillId="4" borderId="187"/>
    <xf numFmtId="0" fontId="18" fillId="55" borderId="187" applyAlignment="1">
      <alignment horizontal="left" vertical="center" indent="1"/>
    </xf>
    <xf numFmtId="4" fontId="50" fillId="79" borderId="183" applyAlignment="1">
      <alignment horizontal="left" vertical="center" wrapText="1"/>
    </xf>
    <xf numFmtId="0" fontId="163" fillId="7" borderId="183" applyAlignment="1">
      <alignment horizontal="left" vertical="top" indent="1"/>
    </xf>
    <xf numFmtId="0" fontId="33" fillId="35" borderId="181"/>
    <xf numFmtId="0" fontId="18" fillId="34" borderId="182"/>
    <xf numFmtId="4" fontId="8" fillId="79" borderId="183" applyAlignment="1">
      <alignment horizontal="left" vertical="center" indent="1"/>
    </xf>
    <xf numFmtId="0" fontId="26" fillId="44" borderId="181"/>
    <xf numFmtId="0" fontId="26" fillId="4" borderId="181"/>
    <xf numFmtId="0" fontId="41" fillId="5" borderId="181"/>
    <xf numFmtId="0" fontId="33" fillId="35" borderId="181"/>
    <xf numFmtId="0" fontId="18" fillId="7" borderId="182"/>
    <xf numFmtId="0" fontId="36" fillId="44" borderId="187"/>
    <xf numFmtId="0" fontId="36" fillId="4" borderId="187"/>
    <xf numFmtId="4" fontId="9" fillId="69" borderId="183" applyAlignment="1">
      <alignment vertical="center"/>
    </xf>
    <xf numFmtId="0" fontId="11" fillId="2" borderId="183" applyAlignment="1">
      <alignment horizontal="left" vertical="top" indent="1"/>
    </xf>
    <xf numFmtId="4" fontId="10" fillId="6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79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4" borderId="170" applyProtection="1">
      <protection locked="0" hidden="0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8" fillId="79" borderId="179" applyAlignment="1">
      <alignment horizontal="left" vertical="center" indent="1"/>
    </xf>
    <xf numFmtId="0" fontId="186" fillId="7" borderId="183" applyAlignment="1">
      <alignment horizontal="left" vertical="top" indent="1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28" fillId="0" borderId="180"/>
    <xf numFmtId="0" fontId="36" fillId="44" borderId="187"/>
    <xf numFmtId="0" fontId="36" fillId="104" borderId="187"/>
    <xf numFmtId="4" fontId="10" fillId="81" borderId="183" applyAlignment="1">
      <alignment vertical="center"/>
    </xf>
    <xf numFmtId="4" fontId="10" fillId="77" borderId="183" applyAlignment="1">
      <alignment horizontal="right" vertical="center"/>
    </xf>
    <xf numFmtId="0" fontId="18" fillId="59" borderId="187" applyAlignment="1">
      <alignment horizontal="left" vertical="center" indent="1"/>
    </xf>
    <xf numFmtId="4" fontId="198" fillId="89" borderId="185" applyAlignment="1">
      <alignment horizontal="right" vertical="center"/>
    </xf>
    <xf numFmtId="0" fontId="39" fillId="4" borderId="181"/>
    <xf numFmtId="0" fontId="36" fillId="4" borderId="187"/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0" fontId="36" fillId="4" borderId="187"/>
    <xf numFmtId="4" fontId="198" fillId="2" borderId="185" applyAlignment="1">
      <alignment vertical="center"/>
    </xf>
    <xf numFmtId="0" fontId="33" fillId="35" borderId="181"/>
    <xf numFmtId="0" fontId="18" fillId="34" borderId="182"/>
    <xf numFmtId="4" fontId="13" fillId="81" borderId="183" applyAlignment="1">
      <alignment vertical="center"/>
    </xf>
    <xf numFmtId="0" fontId="36" fillId="44" borderId="187"/>
    <xf numFmtId="0" fontId="36" fillId="4" borderId="187"/>
    <xf numFmtId="4" fontId="189" fillId="96" borderId="183" applyAlignment="1">
      <alignment horizontal="right" vertical="center"/>
    </xf>
    <xf numFmtId="4" fontId="18" fillId="31" borderId="186" applyAlignment="1">
      <alignment horizontal="left" vertical="center" indent="1"/>
    </xf>
    <xf numFmtId="0" fontId="54" fillId="7" borderId="187" applyAlignment="1">
      <alignment horizontal="left" vertical="center" indent="1"/>
    </xf>
    <xf numFmtId="0" fontId="18" fillId="70" borderId="183" applyAlignment="1">
      <alignment horizontal="left" vertical="top" indent="1"/>
    </xf>
    <xf numFmtId="4" fontId="198" fillId="96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8" fillId="96" borderId="186" applyAlignment="1">
      <alignment horizontal="left" vertical="center" indent="1"/>
    </xf>
    <xf numFmtId="4" fontId="198" fillId="89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98" fillId="91" borderId="185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98" fillId="14" borderId="185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1" fillId="6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70" borderId="183" applyAlignment="1">
      <alignment horizontal="left" vertical="center" indent="1"/>
    </xf>
    <xf numFmtId="0" fontId="18" fillId="70" borderId="183" applyAlignment="1">
      <alignment horizontal="left" vertical="top" indent="1"/>
    </xf>
    <xf numFmtId="0" fontId="18" fillId="80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0" fontId="18" fillId="81" borderId="183" applyAlignment="1">
      <alignment horizontal="left" vertical="center" indent="1"/>
    </xf>
    <xf numFmtId="0" fontId="18" fillId="81" borderId="183" applyAlignment="1">
      <alignment horizontal="left" vertical="top" indent="1"/>
    </xf>
    <xf numFmtId="0" fontId="186" fillId="42" borderId="183" applyAlignment="1">
      <alignment horizontal="left" vertical="top" indent="1"/>
    </xf>
    <xf numFmtId="4" fontId="50" fillId="79" borderId="183" applyAlignment="1">
      <alignment horizontal="left" vertical="center" wrapText="1"/>
    </xf>
    <xf numFmtId="4" fontId="193" fillId="41" borderId="185" applyAlignment="1">
      <alignment horizontal="right" vertical="center"/>
    </xf>
    <xf numFmtId="0" fontId="18" fillId="31" borderId="183" applyAlignment="1">
      <alignment horizontal="left" vertical="top" indent="1"/>
    </xf>
    <xf numFmtId="0" fontId="28" fillId="0" borderId="180"/>
    <xf numFmtId="0" fontId="33" fillId="35" borderId="181"/>
    <xf numFmtId="0" fontId="18" fillId="34" borderId="182"/>
    <xf numFmtId="0" fontId="186" fillId="80" borderId="183" applyAlignment="1">
      <alignment horizontal="left" vertical="top" indent="1"/>
    </xf>
    <xf numFmtId="4" fontId="10" fillId="81" borderId="183" applyAlignment="1">
      <alignment vertical="center"/>
    </xf>
    <xf numFmtId="0" fontId="18" fillId="31" borderId="183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18" fillId="89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8" fillId="14" borderId="183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39" fillId="4" borderId="181"/>
    <xf numFmtId="0" fontId="36" fillId="4" borderId="187"/>
    <xf numFmtId="4" fontId="8" fillId="69" borderId="183" applyAlignment="1">
      <alignment vertical="center"/>
    </xf>
    <xf numFmtId="4" fontId="9" fillId="69" borderId="183" applyAlignment="1">
      <alignment vertical="center"/>
    </xf>
    <xf numFmtId="4" fontId="10" fillId="69" borderId="183" applyAlignment="1">
      <alignment horizontal="left" vertical="center" indent="1"/>
    </xf>
    <xf numFmtId="4" fontId="10" fillId="68" borderId="183" applyAlignment="1">
      <alignment horizontal="right" vertical="center"/>
    </xf>
    <xf numFmtId="4" fontId="10" fillId="61" borderId="183" applyAlignment="1">
      <alignment horizontal="right" vertical="center"/>
    </xf>
    <xf numFmtId="4" fontId="10" fillId="71" borderId="183" applyAlignment="1">
      <alignment horizontal="right" vertical="center"/>
    </xf>
    <xf numFmtId="4" fontId="10" fillId="72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4" borderId="183" applyAlignment="1">
      <alignment horizontal="right" vertical="center"/>
    </xf>
    <xf numFmtId="4" fontId="10" fillId="75" borderId="183" applyAlignment="1">
      <alignment horizontal="right" vertical="center"/>
    </xf>
    <xf numFmtId="4" fontId="10" fillId="76" borderId="183" applyAlignment="1">
      <alignment horizontal="right" vertical="center"/>
    </xf>
    <xf numFmtId="4" fontId="10" fillId="77" borderId="183" applyAlignment="1">
      <alignment horizontal="right" vertical="center"/>
    </xf>
    <xf numFmtId="4" fontId="10" fillId="79" borderId="183" applyAlignment="1">
      <alignment horizontal="right" vertical="center"/>
    </xf>
    <xf numFmtId="0" fontId="18" fillId="80" borderId="183" applyAlignment="1">
      <alignment horizontal="left" vertical="center" indent="1"/>
    </xf>
    <xf numFmtId="0" fontId="18" fillId="79" borderId="183" applyAlignment="1">
      <alignment horizontal="left" vertical="center" indent="1"/>
    </xf>
    <xf numFmtId="4" fontId="10" fillId="81" borderId="183" applyAlignment="1">
      <alignment vertical="center"/>
    </xf>
    <xf numFmtId="4" fontId="13" fillId="81" borderId="183" applyAlignment="1">
      <alignment vertical="center"/>
    </xf>
    <xf numFmtId="4" fontId="10" fillId="81" borderId="183" applyAlignment="1">
      <alignment horizontal="right" vertical="center"/>
    </xf>
    <xf numFmtId="4" fontId="13" fillId="81" borderId="183" applyAlignment="1">
      <alignment horizontal="right" vertical="center"/>
    </xf>
    <xf numFmtId="4" fontId="8" fillId="79" borderId="183" applyAlignment="1">
      <alignment horizontal="left" vertical="center" indent="1"/>
    </xf>
    <xf numFmtId="0" fontId="186" fillId="80" borderId="183" applyAlignment="1">
      <alignment horizontal="left" vertical="top" indent="1"/>
    </xf>
    <xf numFmtId="4" fontId="16" fillId="81" borderId="183" applyAlignment="1">
      <alignment horizontal="right" vertical="center"/>
    </xf>
    <xf numFmtId="0" fontId="33" fillId="35" borderId="181"/>
    <xf numFmtId="0" fontId="18" fillId="34" borderId="182"/>
    <xf numFmtId="0" fontId="18" fillId="4" borderId="170" applyProtection="1">
      <protection locked="0" hidden="0"/>
    </xf>
    <xf numFmtId="0" fontId="36" fillId="104" borderId="187"/>
    <xf numFmtId="4" fontId="198" fillId="10" borderId="186" applyAlignment="1">
      <alignment horizontal="right" vertical="center"/>
    </xf>
    <xf numFmtId="4" fontId="198" fillId="95" borderId="186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93" fillId="42" borderId="170" applyAlignment="1">
      <alignment vertical="center"/>
    </xf>
    <xf numFmtId="4" fontId="195" fillId="86" borderId="186" applyAlignment="1">
      <alignment horizontal="left" vertical="center" indent="1"/>
    </xf>
    <xf numFmtId="4" fontId="186" fillId="10" borderId="183" applyAlignment="1">
      <alignment horizontal="right" vertical="center"/>
    </xf>
    <xf numFmtId="0" fontId="28" fillId="0" borderId="188"/>
    <xf numFmtId="4" fontId="196" fillId="4" borderId="185" applyAlignment="1">
      <alignment horizontal="right" vertical="center"/>
    </xf>
    <xf numFmtId="4" fontId="198" fillId="0" borderId="185" applyAlignment="1">
      <alignment horizontal="right" vertical="center"/>
    </xf>
    <xf numFmtId="4" fontId="163" fillId="7" borderId="183" applyAlignment="1">
      <alignment vertical="center"/>
    </xf>
    <xf numFmtId="0" fontId="198" fillId="89" borderId="183" applyAlignment="1">
      <alignment horizontal="left" vertical="top" indent="1"/>
    </xf>
    <xf numFmtId="4" fontId="10" fillId="77" borderId="183" applyAlignment="1">
      <alignment horizontal="right" vertical="center"/>
    </xf>
    <xf numFmtId="0" fontId="36" fillId="4" borderId="187"/>
    <xf numFmtId="4" fontId="198" fillId="10" borderId="186" applyAlignment="1">
      <alignment horizontal="right" vertical="center"/>
    </xf>
    <xf numFmtId="4" fontId="198" fillId="69" borderId="185" applyAlignment="1">
      <alignment horizontal="left" vertical="center" indent="1"/>
    </xf>
    <xf numFmtId="0" fontId="33" fillId="35" borderId="181"/>
    <xf numFmtId="0" fontId="18" fillId="80" borderId="183" applyAlignment="1">
      <alignment horizontal="left" vertical="center" indent="1"/>
    </xf>
    <xf numFmtId="0" fontId="18" fillId="81" borderId="183" applyAlignment="1">
      <alignment horizontal="left" vertical="center" indent="1"/>
    </xf>
    <xf numFmtId="0" fontId="18" fillId="89" borderId="183" applyAlignment="1">
      <alignment horizontal="left" vertical="top" indent="1"/>
    </xf>
    <xf numFmtId="0" fontId="198" fillId="96" borderId="185" applyAlignment="1">
      <alignment horizontal="left" vertical="center" indent="1"/>
    </xf>
    <xf numFmtId="4" fontId="18" fillId="31" borderId="186" applyAlignment="1">
      <alignment horizontal="left" vertical="center" indent="1"/>
    </xf>
    <xf numFmtId="0" fontId="18" fillId="34" borderId="182"/>
    <xf numFmtId="4" fontId="10" fillId="72" borderId="183" applyAlignment="1">
      <alignment horizontal="right" vertical="center"/>
    </xf>
    <xf numFmtId="0" fontId="36" fillId="4" borderId="187"/>
    <xf numFmtId="0" fontId="186" fillId="80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0" fontId="26" fillId="44" borderId="181"/>
    <xf numFmtId="0" fontId="46" fillId="171" borderId="187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54" fillId="7" borderId="187" applyAlignment="1">
      <alignment horizontal="left" vertical="center" indent="1"/>
    </xf>
    <xf numFmtId="4" fontId="10" fillId="73" borderId="183" applyAlignment="1">
      <alignment horizontal="right" vertical="center"/>
    </xf>
    <xf numFmtId="0" fontId="18" fillId="171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232" fillId="40" borderId="187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10" fillId="72" borderId="183" applyAlignment="1">
      <alignment horizontal="right" vertical="center"/>
    </xf>
    <xf numFmtId="4" fontId="8" fillId="79" borderId="183" applyAlignment="1">
      <alignment horizontal="left" vertical="center" indent="1"/>
    </xf>
    <xf numFmtId="4" fontId="67" fillId="4" borderId="183" applyAlignment="1">
      <alignment horizontal="right" vertical="center"/>
    </xf>
    <xf numFmtId="0" fontId="198" fillId="14" borderId="185" applyAlignment="1">
      <alignment horizontal="left" vertical="center" indent="1"/>
    </xf>
    <xf numFmtId="4" fontId="186" fillId="13" borderId="183" applyAlignment="1">
      <alignment horizontal="right" vertical="center"/>
    </xf>
    <xf numFmtId="0" fontId="18" fillId="14" borderId="183" applyAlignment="1">
      <alignment horizontal="left" vertical="top" indent="1"/>
    </xf>
    <xf numFmtId="0" fontId="18" fillId="70" borderId="183" applyAlignment="1">
      <alignment horizontal="left" vertical="center" indent="1"/>
    </xf>
    <xf numFmtId="0" fontId="36" fillId="4" borderId="187"/>
    <xf numFmtId="0" fontId="87" fillId="4" borderId="181"/>
    <xf numFmtId="4" fontId="13" fillId="81" borderId="183" applyAlignment="1">
      <alignment horizontal="right" vertical="center"/>
    </xf>
    <xf numFmtId="4" fontId="10" fillId="74" borderId="183" applyAlignment="1">
      <alignment horizontal="right" vertical="center"/>
    </xf>
    <xf numFmtId="0" fontId="18" fillId="55" borderId="187" applyAlignment="1">
      <alignment horizontal="left" vertical="center" indent="1"/>
    </xf>
    <xf numFmtId="4" fontId="186" fillId="42" borderId="187" applyAlignment="1">
      <alignment vertical="center"/>
    </xf>
    <xf numFmtId="4" fontId="186" fillId="69" borderId="187" applyAlignment="1">
      <alignment vertical="center"/>
    </xf>
    <xf numFmtId="4" fontId="186" fillId="170" borderId="187" applyAlignment="1">
      <alignment horizontal="left" vertical="center" indent="1"/>
    </xf>
    <xf numFmtId="4" fontId="186" fillId="73" borderId="187" applyAlignment="1">
      <alignment horizontal="right" vertical="center"/>
    </xf>
    <xf numFmtId="4" fontId="198" fillId="69" borderId="185" applyAlignment="1">
      <alignment horizontal="left" vertical="center" indent="1"/>
    </xf>
    <xf numFmtId="0" fontId="198" fillId="12" borderId="185" applyAlignment="1">
      <alignment horizontal="left" vertical="center" indent="1"/>
    </xf>
    <xf numFmtId="4" fontId="67" fillId="77" borderId="183" applyAlignment="1">
      <alignment horizontal="right" vertical="center"/>
    </xf>
    <xf numFmtId="0" fontId="186" fillId="7" borderId="183" applyAlignment="1">
      <alignment horizontal="left" vertical="top" indent="1"/>
    </xf>
    <xf numFmtId="0" fontId="36" fillId="104" borderId="187"/>
    <xf numFmtId="4" fontId="8" fillId="79" borderId="183" applyAlignment="1">
      <alignment horizontal="left" vertical="center" indent="1"/>
    </xf>
    <xf numFmtId="0" fontId="18" fillId="96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4" fontId="11" fillId="2" borderId="183" applyAlignment="1">
      <alignment vertical="center"/>
    </xf>
    <xf numFmtId="4" fontId="10" fillId="72" borderId="183" applyAlignment="1">
      <alignment horizontal="right" vertical="center"/>
    </xf>
    <xf numFmtId="4" fontId="67" fillId="68" borderId="183" applyAlignment="1">
      <alignment horizontal="right" vertical="center"/>
    </xf>
    <xf numFmtId="0" fontId="18" fillId="7" borderId="182"/>
    <xf numFmtId="0" fontId="186" fillId="80" borderId="183" applyAlignment="1">
      <alignment horizontal="left" vertical="top" indent="1"/>
    </xf>
    <xf numFmtId="4" fontId="198" fillId="39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98" fillId="94" borderId="185" applyAlignment="1">
      <alignment horizontal="right" vertical="center"/>
    </xf>
    <xf numFmtId="0" fontId="191" fillId="104" borderId="185"/>
    <xf numFmtId="0" fontId="18" fillId="31" borderId="183" applyAlignment="1">
      <alignment horizontal="left" vertical="center" indent="1"/>
    </xf>
    <xf numFmtId="4" fontId="10" fillId="75" borderId="183" applyAlignment="1">
      <alignment horizontal="right" vertical="center"/>
    </xf>
    <xf numFmtId="4" fontId="13" fillId="81" borderId="183" applyAlignment="1">
      <alignment vertical="center"/>
    </xf>
    <xf numFmtId="0" fontId="18" fillId="89" borderId="183" applyAlignment="1">
      <alignment horizontal="left" vertical="top" indent="1"/>
    </xf>
    <xf numFmtId="0" fontId="26" fillId="4" borderId="181"/>
    <xf numFmtId="4" fontId="10" fillId="61" borderId="183" applyAlignment="1">
      <alignment horizontal="right" vertical="center"/>
    </xf>
    <xf numFmtId="4" fontId="8" fillId="69" borderId="183" applyAlignment="1">
      <alignment vertical="center"/>
    </xf>
    <xf numFmtId="0" fontId="26" fillId="44" borderId="181"/>
    <xf numFmtId="0" fontId="191" fillId="104" borderId="185"/>
    <xf numFmtId="0" fontId="191" fillId="104" borderId="185"/>
    <xf numFmtId="0" fontId="33" fillId="35" borderId="185"/>
    <xf numFmtId="0" fontId="33" fillId="5" borderId="181"/>
    <xf numFmtId="0" fontId="33" fillId="35" borderId="185"/>
    <xf numFmtId="0" fontId="232" fillId="55" borderId="187" applyAlignment="1">
      <alignment horizontal="left" vertical="center" indent="1"/>
    </xf>
    <xf numFmtId="4" fontId="196" fillId="4" borderId="185" applyAlignment="1">
      <alignment horizontal="right" vertical="center"/>
    </xf>
    <xf numFmtId="4" fontId="195" fillId="86" borderId="186" applyAlignment="1">
      <alignment horizontal="left" vertical="center" indent="1"/>
    </xf>
    <xf numFmtId="4" fontId="186" fillId="89" borderId="183" applyAlignment="1">
      <alignment horizontal="left" vertical="center" indent="1"/>
    </xf>
    <xf numFmtId="4" fontId="163" fillId="12" borderId="183" applyAlignment="1">
      <alignment horizontal="left" vertical="center" indent="1"/>
    </xf>
    <xf numFmtId="4" fontId="67" fillId="4" borderId="183" applyAlignment="1">
      <alignment horizontal="right" vertical="center"/>
    </xf>
    <xf numFmtId="4" fontId="186" fillId="42" borderId="187" applyAlignment="1">
      <alignment horizontal="left" vertical="center" indent="1"/>
    </xf>
    <xf numFmtId="4" fontId="198" fillId="95" borderId="186" applyAlignment="1">
      <alignment horizontal="left" vertical="center" indent="1"/>
    </xf>
    <xf numFmtId="0" fontId="18" fillId="14" borderId="183" applyAlignment="1">
      <alignment horizontal="left" vertical="top" indent="1"/>
    </xf>
    <xf numFmtId="0" fontId="1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232" fillId="66" borderId="187" applyAlignment="1">
      <alignment horizontal="left" vertical="center" indent="1"/>
    </xf>
    <xf numFmtId="0" fontId="18" fillId="79" borderId="183" applyAlignment="1">
      <alignment horizontal="left" vertical="center" indent="1"/>
    </xf>
    <xf numFmtId="0" fontId="18" fillId="80" borderId="183" applyAlignment="1">
      <alignment horizontal="left" vertical="top" indent="1"/>
    </xf>
    <xf numFmtId="0" fontId="232" fillId="40" borderId="187" applyAlignment="1">
      <alignment horizontal="left" vertical="center" indent="1"/>
    </xf>
    <xf numFmtId="4" fontId="186" fillId="89" borderId="183" applyAlignment="1">
      <alignment horizontal="right" vertical="center"/>
    </xf>
    <xf numFmtId="4" fontId="186" fillId="36" borderId="183" applyAlignment="1">
      <alignment horizontal="right" vertical="center"/>
    </xf>
    <xf numFmtId="4" fontId="10" fillId="73" borderId="183" applyAlignment="1">
      <alignment horizontal="right" vertical="center"/>
    </xf>
    <xf numFmtId="4" fontId="10" fillId="72" borderId="183" applyAlignment="1">
      <alignment horizontal="right" vertical="center"/>
    </xf>
    <xf numFmtId="4" fontId="67" fillId="71" borderId="183" applyAlignment="1">
      <alignment horizontal="right" vertical="center"/>
    </xf>
    <xf numFmtId="4" fontId="9" fillId="69" borderId="183" applyAlignment="1">
      <alignment vertical="center"/>
    </xf>
    <xf numFmtId="4" fontId="10" fillId="68" borderId="183" applyAlignment="1">
      <alignment horizontal="right" vertical="center"/>
    </xf>
    <xf numFmtId="0" fontId="11" fillId="69" borderId="183" applyAlignment="1">
      <alignment horizontal="left" vertical="top" indent="1"/>
    </xf>
    <xf numFmtId="4" fontId="10" fillId="69" borderId="183" applyAlignment="1">
      <alignment horizontal="left" vertical="center" indent="1"/>
    </xf>
    <xf numFmtId="4" fontId="11" fillId="2" borderId="183" applyAlignment="1">
      <alignment vertical="center"/>
    </xf>
    <xf numFmtId="0" fontId="36" fillId="4" borderId="187"/>
    <xf numFmtId="0" fontId="198" fillId="34" borderId="185"/>
    <xf numFmtId="0" fontId="33" fillId="5" borderId="181"/>
    <xf numFmtId="0" fontId="87" fillId="4" borderId="181"/>
    <xf numFmtId="0" fontId="18" fillId="34" borderId="182"/>
    <xf numFmtId="0" fontId="198" fillId="34" borderId="185"/>
    <xf numFmtId="0" fontId="36" fillId="104" borderId="187"/>
    <xf numFmtId="0" fontId="36" fillId="4" borderId="187"/>
    <xf numFmtId="0" fontId="36" fillId="104" borderId="187"/>
    <xf numFmtId="0" fontId="36" fillId="4" borderId="187"/>
    <xf numFmtId="4" fontId="8" fillId="69" borderId="183" applyAlignment="1">
      <alignment vertical="center"/>
    </xf>
    <xf numFmtId="4" fontId="198" fillId="2" borderId="185" applyAlignment="1">
      <alignment vertical="center"/>
    </xf>
    <xf numFmtId="4" fontId="193" fillId="69" borderId="185" applyAlignment="1">
      <alignment vertical="center"/>
    </xf>
    <xf numFmtId="4" fontId="189" fillId="69" borderId="187" applyAlignment="1">
      <alignment vertical="center"/>
    </xf>
    <xf numFmtId="4" fontId="10" fillId="69" borderId="183" applyAlignment="1">
      <alignment horizontal="left" vertical="center" indent="1"/>
    </xf>
    <xf numFmtId="4" fontId="198" fillId="69" borderId="185" applyAlignment="1">
      <alignment horizontal="left" vertical="center" indent="1"/>
    </xf>
    <xf numFmtId="0" fontId="194" fillId="2" borderId="183" applyAlignment="1">
      <alignment horizontal="left" vertical="top" indent="1"/>
    </xf>
    <xf numFmtId="4" fontId="186" fillId="69" borderId="187" applyAlignment="1">
      <alignment horizontal="left" vertical="center" indent="1"/>
    </xf>
    <xf numFmtId="4" fontId="10" fillId="68" borderId="183" applyAlignment="1">
      <alignment horizontal="right" vertical="center"/>
    </xf>
    <xf numFmtId="4" fontId="198" fillId="39" borderId="185" applyAlignment="1">
      <alignment horizontal="right" vertical="center"/>
    </xf>
    <xf numFmtId="4" fontId="198" fillId="111" borderId="185" applyAlignment="1">
      <alignment horizontal="right" vertical="center"/>
    </xf>
    <xf numFmtId="4" fontId="186" fillId="71" borderId="187" applyAlignment="1">
      <alignment horizontal="right" vertical="center"/>
    </xf>
    <xf numFmtId="4" fontId="186" fillId="10" borderId="183" applyAlignment="1">
      <alignment horizontal="right" vertical="center"/>
    </xf>
    <xf numFmtId="4" fontId="10" fillId="71" borderId="183" applyAlignment="1">
      <alignment horizontal="right" vertical="center"/>
    </xf>
    <xf numFmtId="4" fontId="198" fillId="10" borderId="186" applyAlignment="1">
      <alignment horizontal="right" vertical="center"/>
    </xf>
    <xf numFmtId="4" fontId="198" fillId="92" borderId="185" applyAlignment="1">
      <alignment horizontal="right" vertical="center"/>
    </xf>
    <xf numFmtId="4" fontId="186" fillId="73" borderId="187" applyAlignment="1">
      <alignment horizontal="right" vertical="center"/>
    </xf>
    <xf numFmtId="4" fontId="10" fillId="73" borderId="183" applyAlignment="1">
      <alignment horizontal="right" vertical="center"/>
    </xf>
    <xf numFmtId="4" fontId="198" fillId="93" borderId="185" applyAlignment="1">
      <alignment horizontal="right" vertical="center"/>
    </xf>
    <xf numFmtId="4" fontId="198" fillId="36" borderId="185" applyAlignment="1">
      <alignment horizontal="right" vertical="center"/>
    </xf>
    <xf numFmtId="4" fontId="186" fillId="166" borderId="187" applyAlignment="1">
      <alignment horizontal="right" vertical="center"/>
    </xf>
    <xf numFmtId="4" fontId="10" fillId="75" borderId="183" applyAlignment="1">
      <alignment horizontal="right" vertical="center"/>
    </xf>
    <xf numFmtId="4" fontId="198" fillId="29" borderId="185" applyAlignment="1">
      <alignment horizontal="right" vertical="center"/>
    </xf>
    <xf numFmtId="4" fontId="198" fillId="90" borderId="185" applyAlignment="1">
      <alignment horizontal="right" vertical="center"/>
    </xf>
    <xf numFmtId="4" fontId="186" fillId="75" borderId="187" applyAlignment="1">
      <alignment horizontal="right" vertical="center"/>
    </xf>
    <xf numFmtId="4" fontId="10" fillId="77" borderId="183" applyAlignment="1">
      <alignment horizontal="right" vertical="center"/>
    </xf>
    <xf numFmtId="4" fontId="198" fillId="94" borderId="185" applyAlignment="1">
      <alignment horizontal="right" vertical="center"/>
    </xf>
    <xf numFmtId="4" fontId="198" fillId="89" borderId="185" applyAlignment="1">
      <alignment horizontal="right" vertical="center"/>
    </xf>
    <xf numFmtId="4" fontId="67" fillId="7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98" fillId="89" borderId="185" applyAlignment="1">
      <alignment horizontal="right" vertical="center"/>
    </xf>
    <xf numFmtId="0" fontId="198" fillId="12" borderId="185" applyAlignment="1">
      <alignment horizontal="left" vertical="center" indent="1"/>
    </xf>
    <xf numFmtId="0" fontId="18" fillId="171" borderId="187" applyAlignment="1">
      <alignment horizontal="left" vertical="center" indent="1"/>
    </xf>
    <xf numFmtId="0" fontId="198" fillId="31" borderId="183" applyAlignment="1">
      <alignment horizontal="left" vertical="top" indent="1"/>
    </xf>
    <xf numFmtId="0" fontId="18" fillId="171" borderId="187" applyAlignment="1">
      <alignment horizontal="left" vertical="center" indent="1"/>
    </xf>
    <xf numFmtId="0" fontId="18" fillId="48" borderId="187" applyAlignment="1">
      <alignment horizontal="left" vertical="center" indent="1"/>
    </xf>
    <xf numFmtId="0" fontId="198" fillId="89" borderId="183" applyAlignment="1">
      <alignment horizontal="left" vertical="top" indent="1"/>
    </xf>
    <xf numFmtId="0" fontId="18" fillId="48" borderId="187" applyAlignment="1">
      <alignment horizontal="left" vertical="center" indent="1"/>
    </xf>
    <xf numFmtId="0" fontId="18" fillId="59" borderId="187" applyAlignment="1">
      <alignment horizontal="left" vertical="center" indent="1"/>
    </xf>
    <xf numFmtId="0" fontId="198" fillId="14" borderId="183" applyAlignment="1">
      <alignment horizontal="left" vertical="top" indent="1"/>
    </xf>
    <xf numFmtId="0" fontId="18" fillId="59" borderId="187" applyAlignment="1">
      <alignment horizontal="left" vertical="center" indent="1"/>
    </xf>
    <xf numFmtId="0" fontId="198" fillId="96" borderId="185" applyAlignment="1">
      <alignment horizontal="left" vertical="center" indent="1"/>
    </xf>
    <xf numFmtId="0" fontId="18" fillId="55" borderId="187" applyAlignment="1">
      <alignment horizontal="left" vertical="center" indent="1"/>
    </xf>
    <xf numFmtId="0" fontId="198" fillId="96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63" fillId="7" borderId="183" applyAlignment="1">
      <alignment vertical="center"/>
    </xf>
    <xf numFmtId="4" fontId="186" fillId="42" borderId="187" applyAlignment="1">
      <alignment vertical="center"/>
    </xf>
    <xf numFmtId="4" fontId="13" fillId="81" borderId="183" applyAlignment="1">
      <alignment vertical="center"/>
    </xf>
    <xf numFmtId="4" fontId="193" fillId="42" borderId="170" applyAlignment="1">
      <alignment vertical="center"/>
    </xf>
    <xf numFmtId="4" fontId="189" fillId="42" borderId="187" applyAlignment="1">
      <alignment vertical="center"/>
    </xf>
    <xf numFmtId="4" fontId="163" fillId="12" borderId="183" applyAlignment="1">
      <alignment horizontal="left" vertical="center" indent="1"/>
    </xf>
    <xf numFmtId="0" fontId="163" fillId="7" borderId="183" applyAlignment="1">
      <alignment horizontal="left" vertical="top" indent="1"/>
    </xf>
    <xf numFmtId="4" fontId="186" fillId="42" borderId="187" applyAlignment="1">
      <alignment horizontal="left" vertical="center" indent="1"/>
    </xf>
    <xf numFmtId="4" fontId="10" fillId="81" borderId="183" applyAlignment="1">
      <alignment horizontal="right" vertical="center"/>
    </xf>
    <xf numFmtId="4" fontId="198" fillId="0" borderId="185" applyAlignment="1">
      <alignment horizontal="right" vertical="center"/>
    </xf>
    <xf numFmtId="4" fontId="193" fillId="41" borderId="185" applyAlignment="1">
      <alignment horizontal="right" vertical="center"/>
    </xf>
    <xf numFmtId="4" fontId="189" fillId="170" borderId="187" applyAlignment="1">
      <alignment horizontal="right" vertical="center"/>
    </xf>
    <xf numFmtId="4" fontId="198" fillId="15" borderId="185" applyAlignment="1">
      <alignment horizontal="left" vertical="center" indent="1"/>
    </xf>
    <xf numFmtId="4" fontId="92" fillId="96" borderId="183" applyAlignment="1">
      <alignment horizontal="left" vertical="center" indent="1"/>
    </xf>
    <xf numFmtId="4" fontId="8" fillId="79" borderId="183" applyAlignment="1">
      <alignment horizontal="left" vertical="center" indent="1"/>
    </xf>
    <xf numFmtId="4" fontId="198" fillId="15" borderId="185" applyAlignment="1">
      <alignment horizontal="left" vertical="center" indent="1"/>
    </xf>
    <xf numFmtId="0" fontId="163" fillId="89" borderId="183" applyAlignment="1">
      <alignment horizontal="left" vertical="top" indent="1"/>
    </xf>
    <xf numFmtId="0" fontId="18" fillId="55" borderId="187" applyAlignment="1">
      <alignment horizontal="left" vertical="center" indent="1"/>
    </xf>
    <xf numFmtId="4" fontId="196" fillId="4" borderId="185" applyAlignment="1">
      <alignment horizontal="right" vertical="center"/>
    </xf>
    <xf numFmtId="4" fontId="190" fillId="170" borderId="187" applyAlignment="1">
      <alignment horizontal="right" vertical="center"/>
    </xf>
    <xf numFmtId="4" fontId="50" fillId="79" borderId="183" applyAlignment="1">
      <alignment horizontal="left" vertical="center" wrapText="1"/>
    </xf>
    <xf numFmtId="0" fontId="18" fillId="80" borderId="183" applyAlignment="1">
      <alignment horizontal="left" vertical="top" indent="1"/>
    </xf>
    <xf numFmtId="0" fontId="36" fillId="4" borderId="187"/>
    <xf numFmtId="4" fontId="198" fillId="93" borderId="185" applyAlignment="1">
      <alignment horizontal="right" vertical="center"/>
    </xf>
    <xf numFmtId="4" fontId="198" fillId="94" borderId="185" applyAlignment="1">
      <alignment horizontal="right" vertical="center"/>
    </xf>
    <xf numFmtId="0" fontId="194" fillId="2" borderId="183" applyAlignment="1">
      <alignment horizontal="left" vertical="top" indent="1"/>
    </xf>
    <xf numFmtId="0" fontId="18" fillId="96" borderId="183" applyAlignment="1">
      <alignment horizontal="left" vertical="center" indent="1"/>
    </xf>
    <xf numFmtId="4" fontId="15" fillId="80" borderId="179" applyAlignment="1">
      <alignment horizontal="left" vertical="center" indent="1"/>
    </xf>
    <xf numFmtId="0" fontId="77" fillId="31" borderId="184"/>
    <xf numFmtId="4" fontId="8" fillId="79" borderId="179" applyAlignment="1">
      <alignment horizontal="left" vertical="center" indent="1"/>
    </xf>
    <xf numFmtId="0" fontId="28" fillId="0" borderId="188"/>
    <xf numFmtId="0" fontId="18" fillId="34" borderId="182"/>
    <xf numFmtId="4" fontId="9" fillId="69" borderId="183" applyAlignment="1">
      <alignment vertical="center"/>
    </xf>
    <xf numFmtId="4" fontId="8" fillId="69" borderId="183" applyAlignment="1">
      <alignment vertical="center"/>
    </xf>
    <xf numFmtId="4" fontId="186" fillId="10" borderId="183" applyAlignment="1">
      <alignment horizontal="right" vertical="center"/>
    </xf>
    <xf numFmtId="4" fontId="13" fillId="81" borderId="183" applyAlignment="1">
      <alignment vertical="center"/>
    </xf>
    <xf numFmtId="0" fontId="28" fillId="0" borderId="188"/>
    <xf numFmtId="4" fontId="186" fillId="71" borderId="187" applyAlignment="1">
      <alignment horizontal="right" vertical="center"/>
    </xf>
    <xf numFmtId="4" fontId="10" fillId="74" borderId="183" applyAlignment="1">
      <alignment horizontal="right" vertical="center"/>
    </xf>
    <xf numFmtId="4" fontId="18" fillId="31" borderId="186" applyAlignment="1">
      <alignment horizontal="left" vertical="center" indent="1"/>
    </xf>
    <xf numFmtId="0" fontId="198" fillId="12" borderId="185" applyAlignment="1">
      <alignment horizontal="left" vertical="center" indent="1"/>
    </xf>
    <xf numFmtId="4" fontId="10" fillId="68" borderId="183" applyAlignment="1">
      <alignment horizontal="right" vertical="center"/>
    </xf>
    <xf numFmtId="4" fontId="67" fillId="14" borderId="183" applyAlignment="1">
      <alignment horizontal="left" vertical="center" indent="1"/>
    </xf>
    <xf numFmtId="4" fontId="10" fillId="79" borderId="183" applyAlignment="1">
      <alignment horizontal="right" vertical="center"/>
    </xf>
    <xf numFmtId="4" fontId="13" fillId="81" borderId="183" applyAlignment="1">
      <alignment horizontal="right" vertical="center"/>
    </xf>
    <xf numFmtId="0" fontId="18" fillId="59" borderId="187" applyAlignment="1">
      <alignment horizontal="left" vertical="center" indent="1"/>
    </xf>
    <xf numFmtId="0" fontId="18" fillId="31" borderId="183" applyAlignment="1">
      <alignment horizontal="left" vertical="top" indent="1"/>
    </xf>
    <xf numFmtId="0" fontId="28" fillId="0" borderId="180"/>
    <xf numFmtId="0" fontId="186" fillId="80" borderId="183" applyAlignment="1">
      <alignment horizontal="left" vertical="top" indent="1"/>
    </xf>
    <xf numFmtId="0" fontId="36" fillId="4" borderId="187"/>
    <xf numFmtId="4" fontId="67" fillId="14" borderId="183" applyAlignment="1">
      <alignment horizontal="left" vertical="center" indent="1"/>
    </xf>
    <xf numFmtId="0" fontId="186" fillId="42" borderId="183" applyAlignment="1">
      <alignment horizontal="left" vertical="top" indent="1"/>
    </xf>
    <xf numFmtId="4" fontId="92" fillId="69" borderId="187" applyAlignment="1">
      <alignment horizontal="left" vertical="center" indent="1"/>
    </xf>
    <xf numFmtId="0" fontId="18" fillId="34" borderId="182"/>
    <xf numFmtId="0" fontId="191" fillId="104" borderId="185"/>
    <xf numFmtId="0" fontId="232" fillId="66" borderId="187" applyAlignment="1">
      <alignment horizontal="left" vertical="center" indent="1"/>
    </xf>
    <xf numFmtId="4" fontId="10" fillId="74" borderId="183" applyAlignment="1">
      <alignment horizontal="right" vertical="center"/>
    </xf>
    <xf numFmtId="0" fontId="18" fillId="55" borderId="187" applyAlignment="1">
      <alignment horizontal="left" vertical="center" indent="1"/>
    </xf>
    <xf numFmtId="4" fontId="10" fillId="79" borderId="183" applyAlignment="1">
      <alignment horizontal="right" vertical="center"/>
    </xf>
    <xf numFmtId="0" fontId="198" fillId="34" borderId="185"/>
    <xf numFmtId="4" fontId="67" fillId="75" borderId="183" applyAlignment="1">
      <alignment horizontal="right" vertical="center"/>
    </xf>
    <xf numFmtId="4" fontId="189" fillId="96" borderId="183" applyAlignment="1">
      <alignment horizontal="right" vertical="center"/>
    </xf>
    <xf numFmtId="4" fontId="15" fillId="80" borderId="179" applyAlignment="1">
      <alignment horizontal="left" vertical="center" indent="1"/>
    </xf>
    <xf numFmtId="0" fontId="54" fillId="7" borderId="187" applyAlignment="1">
      <alignment horizontal="left" vertical="center" indent="1"/>
    </xf>
    <xf numFmtId="4" fontId="198" fillId="93" borderId="185" applyAlignment="1">
      <alignment horizontal="right" vertical="center"/>
    </xf>
    <xf numFmtId="4" fontId="198" fillId="2" borderId="185" applyAlignment="1">
      <alignment vertical="center"/>
    </xf>
    <xf numFmtId="4" fontId="10" fillId="77" borderId="183" applyAlignment="1">
      <alignment horizontal="right" vertical="center"/>
    </xf>
    <xf numFmtId="4" fontId="10" fillId="73" borderId="183" applyAlignment="1">
      <alignment horizontal="right" vertical="center"/>
    </xf>
    <xf numFmtId="0" fontId="198" fillId="91" borderId="185" applyAlignment="1">
      <alignment horizontal="left" vertical="center" indent="1"/>
    </xf>
    <xf numFmtId="4" fontId="92" fillId="96" borderId="183" applyAlignment="1">
      <alignment horizontal="left" vertical="center" indent="1"/>
    </xf>
    <xf numFmtId="4" fontId="186" fillId="69" borderId="187" applyAlignment="1">
      <alignment horizontal="left" vertical="center" indent="1"/>
    </xf>
    <xf numFmtId="0" fontId="18" fillId="55" borderId="187" applyAlignment="1">
      <alignment horizontal="left" vertical="center" indent="1"/>
    </xf>
    <xf numFmtId="4" fontId="189" fillId="42" borderId="183" applyAlignment="1">
      <alignment vertical="center"/>
    </xf>
    <xf numFmtId="0" fontId="163" fillId="89" borderId="183" applyAlignment="1">
      <alignment horizontal="left" vertical="top" indent="1"/>
    </xf>
    <xf numFmtId="4" fontId="10" fillId="76" borderId="183" applyAlignment="1">
      <alignment horizontal="right" vertical="center"/>
    </xf>
    <xf numFmtId="0" fontId="36" fillId="44" borderId="187"/>
    <xf numFmtId="4" fontId="198" fillId="2" borderId="185" applyAlignment="1">
      <alignment vertical="center"/>
    </xf>
    <xf numFmtId="0" fontId="198" fillId="96" borderId="185" applyAlignment="1">
      <alignment horizontal="left" vertical="center" indent="1"/>
    </xf>
    <xf numFmtId="4" fontId="186" fillId="69" borderId="187" applyAlignment="1">
      <alignment vertical="center"/>
    </xf>
    <xf numFmtId="4" fontId="186" fillId="36" borderId="183" applyAlignment="1">
      <alignment horizontal="right" vertical="center"/>
    </xf>
    <xf numFmtId="4" fontId="186" fillId="96" borderId="183" applyAlignment="1">
      <alignment horizontal="right" vertical="center"/>
    </xf>
    <xf numFmtId="0" fontId="26" fillId="44" borderId="181"/>
    <xf numFmtId="4" fontId="10" fillId="72" borderId="183" applyAlignment="1">
      <alignment horizontal="right" vertical="center"/>
    </xf>
    <xf numFmtId="0" fontId="18" fillId="171" borderId="187" applyAlignment="1">
      <alignment horizontal="left" vertical="center" indent="1"/>
    </xf>
    <xf numFmtId="4" fontId="11" fillId="2" borderId="183" applyAlignment="1">
      <alignment vertical="center"/>
    </xf>
    <xf numFmtId="4" fontId="186" fillId="90" borderId="183" applyAlignment="1">
      <alignment horizontal="right" vertical="center"/>
    </xf>
    <xf numFmtId="0" fontId="18" fillId="34" borderId="182"/>
    <xf numFmtId="0" fontId="18" fillId="48" borderId="187" applyAlignment="1">
      <alignment horizontal="left" vertical="center" indent="1"/>
    </xf>
    <xf numFmtId="0" fontId="18" fillId="7" borderId="182"/>
    <xf numFmtId="4" fontId="10" fillId="81" borderId="183" applyAlignment="1">
      <alignment horizontal="right" vertical="center"/>
    </xf>
    <xf numFmtId="0" fontId="18" fillId="96" borderId="183" applyAlignment="1">
      <alignment horizontal="left" vertical="top" indent="1"/>
    </xf>
    <xf numFmtId="4" fontId="10" fillId="68" borderId="183" applyAlignment="1">
      <alignment horizontal="right" vertical="center"/>
    </xf>
    <xf numFmtId="0" fontId="18" fillId="96" borderId="183" applyAlignment="1">
      <alignment horizontal="left" vertical="top" indent="1"/>
    </xf>
    <xf numFmtId="4" fontId="198" fillId="15" borderId="185" applyAlignment="1">
      <alignment horizontal="left" vertical="center" indent="1"/>
    </xf>
    <xf numFmtId="0" fontId="232" fillId="55" borderId="187" applyAlignment="1">
      <alignment horizontal="left" vertical="center" indent="1"/>
    </xf>
    <xf numFmtId="0" fontId="18" fillId="70" borderId="183" applyAlignment="1">
      <alignment horizontal="left" vertical="top" indent="1"/>
    </xf>
    <xf numFmtId="4" fontId="196" fillId="4" borderId="185" applyAlignment="1">
      <alignment horizontal="right" vertical="center"/>
    </xf>
    <xf numFmtId="4" fontId="198" fillId="93" borderId="185" applyAlignment="1">
      <alignment horizontal="right" vertical="center"/>
    </xf>
    <xf numFmtId="4" fontId="198" fillId="92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93" fillId="41" borderId="185" applyAlignment="1">
      <alignment horizontal="right" vertical="center"/>
    </xf>
    <xf numFmtId="4" fontId="189" fillId="42" borderId="187" applyAlignment="1">
      <alignment vertical="center"/>
    </xf>
    <xf numFmtId="4" fontId="67" fillId="79" borderId="183" applyAlignment="1">
      <alignment horizontal="right" vertical="center"/>
    </xf>
    <xf numFmtId="4" fontId="10" fillId="79" borderId="183" applyAlignment="1">
      <alignment horizontal="right" vertical="center"/>
    </xf>
    <xf numFmtId="4" fontId="10" fillId="69" borderId="183" applyAlignment="1">
      <alignment horizontal="left" vertical="center"/>
    </xf>
    <xf numFmtId="0" fontId="198" fillId="31" borderId="183" applyAlignment="1">
      <alignment horizontal="left" vertical="top" indent="1"/>
    </xf>
    <xf numFmtId="0" fontId="18" fillId="79" borderId="183" applyAlignment="1">
      <alignment horizontal="left" vertical="top" indent="1"/>
    </xf>
    <xf numFmtId="4" fontId="8" fillId="79" borderId="183" applyAlignment="1">
      <alignment horizontal="left" vertical="center" indent="1"/>
    </xf>
    <xf numFmtId="4" fontId="9" fillId="69" borderId="183" applyAlignment="1">
      <alignment vertical="center"/>
    </xf>
    <xf numFmtId="4" fontId="13" fillId="81" borderId="183" applyAlignment="1">
      <alignment vertical="center"/>
    </xf>
    <xf numFmtId="0" fontId="18" fillId="14" borderId="183" applyAlignment="1">
      <alignment horizontal="left" vertical="center" indent="1"/>
    </xf>
    <xf numFmtId="4" fontId="198" fillId="2" borderId="185" applyAlignment="1">
      <alignment vertical="center"/>
    </xf>
    <xf numFmtId="4" fontId="10" fillId="61" borderId="183" applyAlignment="1">
      <alignment horizontal="right" vertical="center"/>
    </xf>
    <xf numFmtId="4" fontId="67" fillId="42" borderId="187" applyAlignment="1">
      <alignment horizontal="left" vertical="center" indent="1"/>
    </xf>
    <xf numFmtId="4" fontId="10" fillId="69" borderId="183" applyAlignment="1">
      <alignment horizontal="left" vertical="center" indent="1"/>
    </xf>
    <xf numFmtId="4" fontId="8" fillId="79" borderId="179" applyAlignment="1">
      <alignment horizontal="left" vertical="center" indent="1"/>
    </xf>
    <xf numFmtId="4" fontId="10" fillId="75" borderId="183" applyAlignment="1">
      <alignment horizontal="right" vertical="center"/>
    </xf>
    <xf numFmtId="4" fontId="186" fillId="75" borderId="187" applyAlignment="1">
      <alignment horizontal="right" vertical="center"/>
    </xf>
    <xf numFmtId="0" fontId="18" fillId="96" borderId="183" applyAlignment="1">
      <alignment horizontal="left" vertical="top" indent="1"/>
    </xf>
    <xf numFmtId="0" fontId="18" fillId="89" borderId="183" applyAlignment="1">
      <alignment horizontal="left" vertical="top" indent="1"/>
    </xf>
    <xf numFmtId="0" fontId="18" fillId="80" borderId="183" applyAlignment="1">
      <alignment horizontal="left" vertical="center" indent="1"/>
    </xf>
    <xf numFmtId="4" fontId="16" fillId="81" borderId="183" applyAlignment="1">
      <alignment horizontal="right" vertical="center"/>
    </xf>
    <xf numFmtId="4" fontId="190" fillId="96" borderId="183" applyAlignment="1">
      <alignment horizontal="right" vertical="center"/>
    </xf>
    <xf numFmtId="0" fontId="232" fillId="55" borderId="187" applyAlignment="1">
      <alignment horizontal="left" vertical="center" indent="1"/>
    </xf>
    <xf numFmtId="4" fontId="163" fillId="7" borderId="183" applyAlignment="1">
      <alignment vertical="center"/>
    </xf>
    <xf numFmtId="4" fontId="198" fillId="39" borderId="185" applyAlignment="1">
      <alignment horizontal="right" vertical="center"/>
    </xf>
    <xf numFmtId="4" fontId="198" fillId="10" borderId="186" applyAlignment="1">
      <alignment horizontal="right" vertical="center"/>
    </xf>
    <xf numFmtId="4" fontId="10" fillId="81" borderId="183" applyAlignment="1">
      <alignment horizontal="right" vertical="center"/>
    </xf>
    <xf numFmtId="0" fontId="198" fillId="14" borderId="185" applyAlignment="1">
      <alignment horizontal="left" vertical="center" indent="1"/>
    </xf>
    <xf numFmtId="0" fontId="18" fillId="59" borderId="187" applyAlignment="1">
      <alignment horizontal="left" vertical="center" indent="1"/>
    </xf>
    <xf numFmtId="4" fontId="18" fillId="31" borderId="186" applyAlignment="1">
      <alignment horizontal="left" vertical="center" indent="1"/>
    </xf>
    <xf numFmtId="4" fontId="10" fillId="81" borderId="183" applyAlignment="1">
      <alignment horizontal="right" vertical="center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33" fillId="35" borderId="181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0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7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170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7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9" fontId="187" fillId="0" borderId="0"/>
    <xf numFmtId="165" fontId="70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70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65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0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7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170" fontId="70" fillId="0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70" fillId="0" borderId="0"/>
    <xf numFmtId="0" fontId="187" fillId="0" borderId="0"/>
    <xf numFmtId="165" fontId="1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98" fillId="0" borderId="0"/>
    <xf numFmtId="165" fontId="18" fillId="0" borderId="0"/>
    <xf numFmtId="165" fontId="19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165" fontId="18" fillId="0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98" fillId="0" borderId="0"/>
    <xf numFmtId="165" fontId="18" fillId="0" borderId="0"/>
    <xf numFmtId="165" fontId="198" fillId="0" borderId="0"/>
    <xf numFmtId="165" fontId="18" fillId="0" borderId="0"/>
    <xf numFmtId="165" fontId="18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9" fontId="187" fillId="0" borderId="0"/>
    <xf numFmtId="165" fontId="70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70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65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218" fillId="147" borderId="145" applyAlignment="1" applyProtection="1">
      <alignment horizontal="left" vertical="center" indent="1"/>
      <protection locked="0" hidden="0"/>
    </xf>
    <xf numFmtId="268" fontId="217" fillId="149" borderId="144" applyAlignment="1" applyProtection="1">
      <alignment horizontal="right" vertical="center"/>
      <protection locked="0" hidden="0"/>
    </xf>
    <xf numFmtId="0" fontId="218" fillId="147" borderId="145" applyAlignment="1" applyProtection="1">
      <alignment horizontal="left" vertical="center" indent="1"/>
      <protection locked="0" hidden="0"/>
    </xf>
    <xf numFmtId="268" fontId="216" fillId="149" borderId="145" applyAlignment="1" applyProtection="1">
      <alignment horizontal="right" vertical="center"/>
      <protection locked="0" hidden="0"/>
    </xf>
    <xf numFmtId="0" fontId="224" fillId="147" borderId="145" applyAlignment="1" applyProtection="1">
      <alignment horizontal="left" vertical="center" indent="1"/>
      <protection locked="0" hidden="0"/>
    </xf>
    <xf numFmtId="0" fontId="224" fillId="147" borderId="145" applyAlignment="1" applyProtection="1">
      <alignment horizontal="left" vertical="center" indent="1"/>
      <protection locked="0" hidden="0"/>
    </xf>
    <xf numFmtId="268" fontId="227" fillId="149" borderId="144" applyAlignment="1" applyProtection="1">
      <alignment horizontal="right" vertical="center"/>
      <protection locked="0" hidden="0"/>
    </xf>
    <xf numFmtId="268" fontId="226" fillId="149" borderId="145" applyAlignment="1" applyProtection="1">
      <alignment horizontal="right" vertical="center"/>
      <protection locked="0" hidden="0"/>
    </xf>
    <xf numFmtId="268" fontId="217" fillId="0" borderId="144" applyAlignment="1">
      <alignment horizontal="right" vertical="center"/>
    </xf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7" fillId="0" borderId="0"/>
    <xf numFmtId="9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165" fontId="187" fillId="0" borderId="0"/>
    <xf numFmtId="0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165" fontId="18" fillId="0" borderId="0"/>
    <xf numFmtId="165" fontId="70" fillId="0" borderId="0"/>
    <xf numFmtId="0" fontId="187" fillId="0" borderId="0"/>
    <xf numFmtId="0" fontId="187" fillId="0" borderId="0"/>
    <xf numFmtId="9" fontId="187" fillId="0" borderId="0"/>
    <xf numFmtId="165" fontId="18" fillId="0" borderId="0"/>
    <xf numFmtId="165" fontId="18" fillId="0" borderId="0"/>
    <xf numFmtId="0" fontId="187" fillId="0" borderId="0"/>
    <xf numFmtId="0" fontId="187" fillId="0" borderId="0"/>
    <xf numFmtId="165" fontId="18" fillId="0" borderId="0"/>
    <xf numFmtId="0" fontId="187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7" fillId="0" borderId="0"/>
    <xf numFmtId="165" fontId="70" fillId="0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28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1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4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37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0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43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29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2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5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38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1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144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0" borderId="0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0" fontId="187" fillId="127" borderId="141"/>
    <xf numFmtId="165" fontId="198" fillId="0" borderId="0"/>
    <xf numFmtId="165" fontId="198" fillId="0" borderId="0"/>
    <xf numFmtId="165" fontId="47" fillId="0" borderId="0"/>
    <xf numFmtId="165" fontId="47" fillId="0" borderId="0"/>
    <xf numFmtId="165" fontId="47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47" fillId="0" borderId="0"/>
    <xf numFmtId="165" fontId="70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47" fillId="0" borderId="0"/>
    <xf numFmtId="165" fontId="70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47" fillId="0" borderId="0"/>
    <xf numFmtId="165" fontId="198" fillId="0" borderId="0"/>
    <xf numFmtId="165" fontId="198" fillId="0" borderId="0"/>
    <xf numFmtId="165" fontId="47" fillId="0" borderId="0"/>
    <xf numFmtId="165" fontId="18" fillId="0" borderId="0"/>
    <xf numFmtId="165" fontId="18" fillId="0" borderId="0"/>
    <xf numFmtId="165" fontId="18" fillId="0" borderId="0"/>
    <xf numFmtId="165" fontId="18" fillId="0" borderId="0"/>
    <xf numFmtId="165" fontId="70" fillId="0" borderId="0"/>
    <xf numFmtId="165" fontId="70" fillId="0" borderId="0"/>
    <xf numFmtId="165" fontId="70" fillId="0" borderId="0"/>
    <xf numFmtId="165" fontId="18" fillId="0" borderId="0"/>
    <xf numFmtId="165" fontId="18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7" fillId="0" borderId="0"/>
    <xf numFmtId="165" fontId="18" fillId="0" borderId="0"/>
    <xf numFmtId="165" fontId="187" fillId="0" borderId="0"/>
    <xf numFmtId="165" fontId="187" fillId="0" borderId="0"/>
    <xf numFmtId="165" fontId="18" fillId="0" borderId="0"/>
    <xf numFmtId="9" fontId="187" fillId="0" borderId="0"/>
    <xf numFmtId="0" fontId="187" fillId="0" borderId="0"/>
    <xf numFmtId="9" fontId="187" fillId="0" borderId="0"/>
    <xf numFmtId="0" fontId="187" fillId="0" borderId="0"/>
    <xf numFmtId="165" fontId="18" fillId="0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0" fontId="187" fillId="127" borderId="141"/>
    <xf numFmtId="0" fontId="187" fillId="128" borderId="0"/>
    <xf numFmtId="0" fontId="187" fillId="129" borderId="0"/>
    <xf numFmtId="0" fontId="187" fillId="131" borderId="0"/>
    <xf numFmtId="0" fontId="187" fillId="132" borderId="0"/>
    <xf numFmtId="0" fontId="187" fillId="134" borderId="0"/>
    <xf numFmtId="0" fontId="187" fillId="135" borderId="0"/>
    <xf numFmtId="0" fontId="187" fillId="137" borderId="0"/>
    <xf numFmtId="0" fontId="187" fillId="138" borderId="0"/>
    <xf numFmtId="0" fontId="187" fillId="140" borderId="0"/>
    <xf numFmtId="0" fontId="187" fillId="141" borderId="0"/>
    <xf numFmtId="0" fontId="187" fillId="143" borderId="0"/>
    <xf numFmtId="0" fontId="187" fillId="144" borderId="0"/>
    <xf numFmtId="0" fontId="187" fillId="0" borderId="0"/>
    <xf numFmtId="165" fontId="47" fillId="0" borderId="0"/>
    <xf numFmtId="0" fontId="187" fillId="0" borderId="0"/>
    <xf numFmtId="165" fontId="187" fillId="0" borderId="0"/>
    <xf numFmtId="9" fontId="187" fillId="0" borderId="0"/>
    <xf numFmtId="0" fontId="187" fillId="0" borderId="0"/>
    <xf numFmtId="0" fontId="239" fillId="0" borderId="0"/>
    <xf numFmtId="0" fontId="187" fillId="0" borderId="0"/>
    <xf numFmtId="0" fontId="187" fillId="0" borderId="0"/>
    <xf numFmtId="0" fontId="187" fillId="0" borderId="0"/>
  </cellStyleXfs>
  <cellXfs count="307">
    <xf numFmtId="0" fontId="0" fillId="0" borderId="0" pivotButton="0" quotePrefix="0" xfId="0"/>
    <xf numFmtId="0" fontId="22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3" fontId="20" fillId="0" borderId="0" applyAlignment="1" pivotButton="0" quotePrefix="1" xfId="0">
      <alignment vertical="center"/>
    </xf>
    <xf numFmtId="0" fontId="21" fillId="0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left" vertical="center"/>
    </xf>
    <xf numFmtId="0" fontId="21" fillId="0" borderId="0" applyAlignment="1" pivotButton="0" quotePrefix="1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vertical="center"/>
    </xf>
    <xf numFmtId="0" fontId="20" fillId="41" borderId="0" applyAlignment="1" pivotButton="0" quotePrefix="0" xfId="0">
      <alignment horizontal="left" vertical="center"/>
    </xf>
    <xf numFmtId="0" fontId="19" fillId="41" borderId="0" applyAlignment="1" pivotButton="0" quotePrefix="0" xfId="0">
      <alignment vertical="center"/>
    </xf>
    <xf numFmtId="3" fontId="19" fillId="41" borderId="0" applyAlignment="1" pivotButton="0" quotePrefix="0" xfId="0">
      <alignment vertical="center"/>
    </xf>
    <xf numFmtId="3" fontId="20" fillId="0" borderId="0" applyAlignment="1" pivotButton="0" quotePrefix="1" xfId="0">
      <alignment horizontal="left" vertical="center"/>
    </xf>
    <xf numFmtId="3" fontId="20" fillId="41" borderId="0" applyAlignment="1" pivotButton="0" quotePrefix="0" xfId="0">
      <alignment vertical="center"/>
    </xf>
    <xf numFmtId="164" fontId="51" fillId="41" borderId="0" applyAlignment="1" pivotButton="0" quotePrefix="0" xfId="0">
      <alignment vertical="center"/>
    </xf>
    <xf numFmtId="164" fontId="52" fillId="41" borderId="47" applyAlignment="1" pivotButton="0" quotePrefix="0" xfId="0">
      <alignment vertical="center"/>
    </xf>
    <xf numFmtId="164" fontId="52" fillId="41" borderId="0" applyAlignment="1" pivotButton="0" quotePrefix="0" xfId="0">
      <alignment vertical="center"/>
    </xf>
    <xf numFmtId="0" fontId="46" fillId="41" borderId="0" pivotButton="0" quotePrefix="0" xfId="0"/>
    <xf numFmtId="0" fontId="0" fillId="41" borderId="0" pivotButton="0" quotePrefix="0" xfId="0"/>
    <xf numFmtId="0" fontId="19" fillId="41" borderId="0" applyAlignment="1" pivotButton="0" quotePrefix="0" xfId="0">
      <alignment horizontal="left" vertical="center"/>
    </xf>
    <xf numFmtId="0" fontId="19" fillId="41" borderId="0" applyAlignment="1" pivotButton="0" quotePrefix="1" xfId="0">
      <alignment horizontal="left" vertical="center"/>
    </xf>
    <xf numFmtId="0" fontId="44" fillId="41" borderId="0" pivotButton="0" quotePrefix="0" xfId="0"/>
    <xf numFmtId="0" fontId="19" fillId="0" borderId="0" applyAlignment="1" pivotButton="0" quotePrefix="1" xfId="0">
      <alignment horizontal="left" vertical="center"/>
    </xf>
    <xf numFmtId="3" fontId="20" fillId="41" borderId="0" applyAlignment="1" pivotButton="0" quotePrefix="0" xfId="0">
      <alignment horizontal="left" vertical="center"/>
    </xf>
    <xf numFmtId="164" fontId="0" fillId="41" borderId="0" pivotButton="0" quotePrefix="0" xfId="0"/>
    <xf numFmtId="164" fontId="0" fillId="0" borderId="0" pivotButton="0" quotePrefix="0" xfId="0"/>
    <xf numFmtId="165" fontId="19" fillId="41" borderId="0" applyAlignment="1" pivotButton="0" quotePrefix="1" xfId="3104">
      <alignment horizontal="left" vertical="center"/>
    </xf>
    <xf numFmtId="165" fontId="0" fillId="41" borderId="0" pivotButton="0" quotePrefix="0" xfId="3104"/>
    <xf numFmtId="164" fontId="21" fillId="0" borderId="0" applyAlignment="1" pivotButton="0" quotePrefix="0" xfId="3104">
      <alignment horizontal="right"/>
    </xf>
    <xf numFmtId="164" fontId="21" fillId="0" borderId="0" applyAlignment="1" pivotButton="0" quotePrefix="0" xfId="3109">
      <alignment horizontal="right"/>
    </xf>
    <xf numFmtId="164" fontId="22" fillId="0" borderId="0" applyAlignment="1" pivotButton="0" quotePrefix="0" xfId="3109">
      <alignment horizontal="right"/>
    </xf>
    <xf numFmtId="9" fontId="22" fillId="0" borderId="0" applyAlignment="1" pivotButton="0" quotePrefix="0" xfId="0">
      <alignment vertical="center"/>
    </xf>
    <xf numFmtId="9" fontId="22" fillId="0" borderId="0" applyAlignment="1" pivotButton="0" quotePrefix="0" xfId="2799">
      <alignment horizontal="right"/>
    </xf>
    <xf numFmtId="165" fontId="22" fillId="0" borderId="0" applyAlignment="1" pivotButton="0" quotePrefix="0" xfId="3104">
      <alignment vertical="center"/>
    </xf>
    <xf numFmtId="164" fontId="22" fillId="0" borderId="0" applyAlignment="1" pivotButton="0" quotePrefix="0" xfId="3110">
      <alignment horizontal="left"/>
    </xf>
    <xf numFmtId="164" fontId="22" fillId="0" borderId="0" applyAlignment="1" pivotButton="0" quotePrefix="0" xfId="3111">
      <alignment horizontal="right"/>
    </xf>
    <xf numFmtId="164" fontId="21" fillId="0" borderId="0" applyAlignment="1" pivotButton="0" quotePrefix="0" xfId="3111">
      <alignment horizontal="right"/>
    </xf>
    <xf numFmtId="166" fontId="21" fillId="0" borderId="0" applyAlignment="1" pivotButton="0" quotePrefix="0" xfId="3104">
      <alignment horizontal="right"/>
    </xf>
    <xf numFmtId="165" fontId="21" fillId="0" borderId="0" applyAlignment="1" pivotButton="0" quotePrefix="0" xfId="3104">
      <alignment horizontal="right"/>
    </xf>
    <xf numFmtId="167" fontId="22" fillId="0" borderId="0" applyAlignment="1" pivotButton="0" quotePrefix="0" xfId="3104">
      <alignment horizontal="right"/>
    </xf>
    <xf numFmtId="164" fontId="21" fillId="0" borderId="0" applyAlignment="1" pivotButton="0" quotePrefix="0" xfId="3110">
      <alignment horizontal="left"/>
    </xf>
    <xf numFmtId="0" fontId="49" fillId="41" borderId="0" applyAlignment="1" pivotButton="0" quotePrefix="0" xfId="0">
      <alignment horizontal="center"/>
    </xf>
    <xf numFmtId="0" fontId="181" fillId="41" borderId="48" applyAlignment="1" pivotButton="0" quotePrefix="0" xfId="0">
      <alignment horizontal="center" vertical="center"/>
    </xf>
    <xf numFmtId="0" fontId="182" fillId="41" borderId="0" applyAlignment="1" pivotButton="0" quotePrefix="0" xfId="0">
      <alignment horizontal="center"/>
    </xf>
    <xf numFmtId="0" fontId="183" fillId="41" borderId="48" applyAlignment="1" pivotButton="0" quotePrefix="0" xfId="0">
      <alignment horizontal="center" vertical="center"/>
    </xf>
    <xf numFmtId="0" fontId="183" fillId="41" borderId="49" applyAlignment="1" pivotButton="0" quotePrefix="0" xfId="0">
      <alignment horizontal="center" vertical="center"/>
    </xf>
    <xf numFmtId="164" fontId="52" fillId="41" borderId="0" applyAlignment="1" pivotButton="0" quotePrefix="0" xfId="3108">
      <alignment horizontal="centerContinuous"/>
    </xf>
    <xf numFmtId="164" fontId="51" fillId="41" borderId="0" applyAlignment="1" pivotButton="0" quotePrefix="0" xfId="3108">
      <alignment horizontal="centerContinuous"/>
    </xf>
    <xf numFmtId="0" fontId="51" fillId="41" borderId="0" pivotButton="0" quotePrefix="0" xfId="2695"/>
    <xf numFmtId="164" fontId="51" fillId="41" borderId="0" pivotButton="0" quotePrefix="0" xfId="3108"/>
    <xf numFmtId="0" fontId="184" fillId="41" borderId="0" pivotButton="0" quotePrefix="0" xfId="2695"/>
    <xf numFmtId="164" fontId="51" fillId="41" borderId="50" pivotButton="0" quotePrefix="0" xfId="3108"/>
    <xf numFmtId="49" fontId="52" fillId="41" borderId="51" applyAlignment="1" pivotButton="0" quotePrefix="1" xfId="3108">
      <alignment horizontal="center" vertical="center"/>
    </xf>
    <xf numFmtId="49" fontId="52" fillId="41" borderId="51" applyAlignment="1" pivotButton="0" quotePrefix="0" xfId="3108">
      <alignment horizontal="center" vertical="center"/>
    </xf>
    <xf numFmtId="0" fontId="184" fillId="41" borderId="52" pivotButton="0" quotePrefix="0" xfId="2695"/>
    <xf numFmtId="0" fontId="184" fillId="0" borderId="52" pivotButton="0" quotePrefix="0" xfId="2695"/>
    <xf numFmtId="164" fontId="52" fillId="41" borderId="0" applyAlignment="1" pivotButton="0" quotePrefix="1" xfId="3108">
      <alignment horizontal="left"/>
    </xf>
    <xf numFmtId="168" fontId="51" fillId="41" borderId="0" pivotButton="0" quotePrefix="0" xfId="3108"/>
    <xf numFmtId="168" fontId="52" fillId="41" borderId="0" pivotButton="0" quotePrefix="0" xfId="3108"/>
    <xf numFmtId="0" fontId="185" fillId="41" borderId="0" pivotButton="0" quotePrefix="0" xfId="2695"/>
    <xf numFmtId="164" fontId="51" fillId="41" borderId="0" applyAlignment="1" pivotButton="0" quotePrefix="0" xfId="3108">
      <alignment horizontal="left"/>
    </xf>
    <xf numFmtId="164" fontId="52" fillId="41" borderId="0" applyAlignment="1" pivotButton="0" quotePrefix="0" xfId="3108">
      <alignment horizontal="left"/>
    </xf>
    <xf numFmtId="168" fontId="179" fillId="41" borderId="0" pivotButton="0" quotePrefix="0" xfId="3108"/>
    <xf numFmtId="164" fontId="51" fillId="41" borderId="0" applyAlignment="1" pivotButton="0" quotePrefix="1" xfId="3108">
      <alignment horizontal="left"/>
    </xf>
    <xf numFmtId="0" fontId="184" fillId="0" borderId="0" pivotButton="0" quotePrefix="0" xfId="2695"/>
    <xf numFmtId="164" fontId="21" fillId="41" borderId="0" applyAlignment="1" pivotButton="0" quotePrefix="0" xfId="3104">
      <alignment horizontal="right"/>
    </xf>
    <xf numFmtId="164" fontId="22" fillId="41" borderId="0" applyAlignment="1" pivotButton="0" quotePrefix="0" xfId="3109">
      <alignment horizontal="right"/>
    </xf>
    <xf numFmtId="9" fontId="22" fillId="41" borderId="0" applyAlignment="1" pivotButton="0" quotePrefix="0" xfId="2799">
      <alignment horizontal="right"/>
    </xf>
    <xf numFmtId="164" fontId="22" fillId="41" borderId="0" applyAlignment="1" pivotButton="0" quotePrefix="0" xfId="3111">
      <alignment horizontal="right"/>
    </xf>
    <xf numFmtId="164" fontId="21" fillId="41" borderId="0" applyAlignment="1" pivotButton="0" quotePrefix="0" xfId="3109">
      <alignment horizontal="right"/>
    </xf>
    <xf numFmtId="164" fontId="21" fillId="41" borderId="0" applyAlignment="1" pivotButton="0" quotePrefix="0" xfId="3111">
      <alignment horizontal="right"/>
    </xf>
    <xf numFmtId="169" fontId="185" fillId="41" borderId="0" pivotButton="0" quotePrefix="0" xfId="2695"/>
    <xf numFmtId="169" fontId="184" fillId="41" borderId="0" pivotButton="0" quotePrefix="0" xfId="2695"/>
    <xf numFmtId="0" fontId="183" fillId="41" borderId="59" applyAlignment="1" pivotButton="0" quotePrefix="0" xfId="0">
      <alignment horizontal="center" vertical="center"/>
    </xf>
    <xf numFmtId="169" fontId="179" fillId="41" borderId="0" pivotButton="0" quotePrefix="0" xfId="3108"/>
    <xf numFmtId="164" fontId="22" fillId="41" borderId="0" applyAlignment="1" pivotButton="0" quotePrefix="0" xfId="3104">
      <alignment horizontal="right"/>
    </xf>
    <xf numFmtId="0" fontId="22" fillId="0" borderId="0" applyAlignment="1" pivotButton="0" quotePrefix="0" xfId="0">
      <alignment horizontal="left" vertical="center" indent="2"/>
    </xf>
    <xf numFmtId="164" fontId="22" fillId="0" borderId="0" applyAlignment="1" pivotButton="0" quotePrefix="0" xfId="3104">
      <alignment horizontal="right"/>
    </xf>
    <xf numFmtId="0" fontId="7" fillId="0" borderId="0" pivotButton="0" quotePrefix="0" xfId="0"/>
    <xf numFmtId="0" fontId="179" fillId="41" borderId="0" pivotButton="0" quotePrefix="0" xfId="2695"/>
    <xf numFmtId="168" fontId="185" fillId="41" borderId="0" pivotButton="0" quotePrefix="0" xfId="2695"/>
    <xf numFmtId="168" fontId="184" fillId="41" borderId="0" pivotButton="0" quotePrefix="0" xfId="2695"/>
    <xf numFmtId="0" fontId="54" fillId="41" borderId="0" pivotButton="0" quotePrefix="0" xfId="0"/>
    <xf numFmtId="0" fontId="0" fillId="0" borderId="56" pivotButton="0" quotePrefix="0" xfId="0"/>
    <xf numFmtId="0" fontId="0" fillId="0" borderId="0" applyAlignment="1" pivotButton="0" quotePrefix="0" xfId="0">
      <alignment horizontal="left"/>
    </xf>
    <xf numFmtId="170" fontId="183" fillId="41" borderId="55" applyAlignment="1" pivotButton="0" quotePrefix="0" xfId="0">
      <alignment vertical="center"/>
    </xf>
    <xf numFmtId="170" fontId="186" fillId="41" borderId="56" applyAlignment="1" pivotButton="0" quotePrefix="0" xfId="0">
      <alignment vertical="center"/>
    </xf>
    <xf numFmtId="0" fontId="186" fillId="41" borderId="56" applyAlignment="1" pivotButton="0" quotePrefix="0" xfId="0">
      <alignment vertical="center"/>
    </xf>
    <xf numFmtId="0" fontId="46" fillId="0" borderId="0" pivotButton="0" quotePrefix="0" xfId="0"/>
    <xf numFmtId="171" fontId="46" fillId="0" borderId="0" pivotButton="0" quotePrefix="0" xfId="0"/>
    <xf numFmtId="9" fontId="46" fillId="0" borderId="0" pivotButton="0" quotePrefix="0" xfId="2799"/>
    <xf numFmtId="0" fontId="17" fillId="0" borderId="0" pivotButton="0" quotePrefix="0" xfId="0"/>
    <xf numFmtId="0" fontId="245" fillId="173" borderId="0" applyAlignment="1" pivotButton="0" quotePrefix="0" xfId="0">
      <alignment horizontal="left" vertical="center" indent="1"/>
    </xf>
    <xf numFmtId="0" fontId="207" fillId="0" borderId="0" pivotButton="0" quotePrefix="0" xfId="4595"/>
    <xf numFmtId="0" fontId="245" fillId="173" borderId="189" applyAlignment="1" pivotButton="0" quotePrefix="0" xfId="0">
      <alignment horizontal="left" vertical="center" indent="1"/>
    </xf>
    <xf numFmtId="172" fontId="246" fillId="0" borderId="189" applyAlignment="1" pivotButton="0" quotePrefix="0" xfId="0">
      <alignment horizontal="center" vertical="center"/>
    </xf>
    <xf numFmtId="0" fontId="246" fillId="0" borderId="189" applyAlignment="1" pivotButton="0" quotePrefix="0" xfId="0">
      <alignment horizontal="center" vertical="center"/>
    </xf>
    <xf numFmtId="0" fontId="247" fillId="0" borderId="0" applyAlignment="1" pivotButton="0" quotePrefix="0" xfId="4595">
      <alignment horizontal="left" vertical="center"/>
    </xf>
    <xf numFmtId="173" fontId="247" fillId="0" borderId="0" applyAlignment="1" pivotButton="0" quotePrefix="0" xfId="4595">
      <alignment horizontal="center" vertical="center"/>
    </xf>
    <xf numFmtId="173" fontId="247" fillId="114" borderId="0" applyAlignment="1" pivotButton="0" quotePrefix="0" xfId="4595">
      <alignment horizontal="center" vertical="center"/>
    </xf>
    <xf numFmtId="0" fontId="248" fillId="0" borderId="0" pivotButton="0" quotePrefix="0" xfId="4595"/>
    <xf numFmtId="0" fontId="248" fillId="0" borderId="0" applyAlignment="1" pivotButton="0" quotePrefix="0" xfId="4593">
      <alignment horizontal="left" indent="1"/>
    </xf>
    <xf numFmtId="173" fontId="248" fillId="0" borderId="0" applyAlignment="1" pivotButton="0" quotePrefix="0" xfId="4595">
      <alignment horizontal="center" vertical="center"/>
    </xf>
    <xf numFmtId="173" fontId="248" fillId="114" borderId="0" applyAlignment="1" pivotButton="0" quotePrefix="0" xfId="4595">
      <alignment horizontal="center" vertical="center"/>
    </xf>
    <xf numFmtId="0" fontId="248" fillId="0" borderId="0" applyAlignment="1" pivotButton="0" quotePrefix="0" xfId="4593">
      <alignment horizontal="left" indent="2"/>
    </xf>
    <xf numFmtId="9" fontId="249" fillId="0" borderId="0" applyAlignment="1" pivotButton="0" quotePrefix="0" xfId="4596">
      <alignment horizontal="right" vertical="center"/>
    </xf>
    <xf numFmtId="9" fontId="249" fillId="114" borderId="0" applyAlignment="1" pivotButton="0" quotePrefix="0" xfId="4596">
      <alignment horizontal="right" vertical="center"/>
    </xf>
    <xf numFmtId="0" fontId="247" fillId="0" borderId="0" applyAlignment="1" pivotButton="0" quotePrefix="0" xfId="4593">
      <alignment horizontal="left" vertical="center"/>
    </xf>
    <xf numFmtId="0" fontId="248" fillId="0" borderId="0" applyAlignment="1" pivotButton="0" quotePrefix="0" xfId="4595">
      <alignment vertical="center"/>
    </xf>
    <xf numFmtId="0" fontId="244" fillId="0" borderId="0" pivotButton="0" quotePrefix="0" xfId="4595"/>
    <xf numFmtId="0" fontId="247" fillId="88" borderId="0" applyAlignment="1" pivotButton="0" quotePrefix="0" xfId="4595">
      <alignment horizontal="left" vertical="center"/>
    </xf>
    <xf numFmtId="173" fontId="247" fillId="88" borderId="0" applyAlignment="1" pivotButton="0" quotePrefix="0" xfId="4595">
      <alignment horizontal="center" vertical="center"/>
    </xf>
    <xf numFmtId="0" fontId="251" fillId="0" borderId="0" applyAlignment="1" pivotButton="0" quotePrefix="0" xfId="0">
      <alignment horizontal="left" vertical="center" indent="1"/>
    </xf>
    <xf numFmtId="171" fontId="251" fillId="0" borderId="0" applyAlignment="1" pivotButton="0" quotePrefix="0" xfId="0">
      <alignment horizontal="center" vertical="center"/>
    </xf>
    <xf numFmtId="171" fontId="251" fillId="114" borderId="0" applyAlignment="1" pivotButton="0" quotePrefix="0" xfId="0">
      <alignment horizontal="center" vertical="center"/>
    </xf>
    <xf numFmtId="171" fontId="252" fillId="0" borderId="0" applyAlignment="1" pivotButton="0" quotePrefix="0" xfId="0">
      <alignment horizontal="center" vertical="center"/>
    </xf>
    <xf numFmtId="171" fontId="252" fillId="114" borderId="0" applyAlignment="1" pivotButton="0" quotePrefix="0" xfId="0">
      <alignment horizontal="center" vertical="center"/>
    </xf>
    <xf numFmtId="0" fontId="252" fillId="0" borderId="0" applyAlignment="1" pivotButton="0" quotePrefix="0" xfId="0">
      <alignment horizontal="left" vertical="center" indent="1"/>
    </xf>
    <xf numFmtId="0" fontId="254" fillId="0" borderId="0" applyAlignment="1" pivotButton="0" quotePrefix="0" xfId="0">
      <alignment horizontal="center" vertical="center"/>
    </xf>
    <xf numFmtId="173" fontId="246" fillId="0" borderId="0" applyAlignment="1" pivotButton="0" quotePrefix="0" xfId="0">
      <alignment horizontal="center" vertical="center"/>
    </xf>
    <xf numFmtId="173" fontId="254" fillId="0" borderId="0" applyAlignment="1" pivotButton="0" quotePrefix="0" xfId="0">
      <alignment horizontal="center" vertical="center"/>
    </xf>
    <xf numFmtId="0" fontId="248" fillId="0" borderId="0" applyAlignment="1" pivotButton="0" quotePrefix="0" xfId="4595">
      <alignment horizontal="left" vertical="center" indent="1"/>
    </xf>
    <xf numFmtId="173" fontId="248" fillId="88" borderId="0" applyAlignment="1" pivotButton="0" quotePrefix="0" xfId="4595">
      <alignment horizontal="center" vertical="center"/>
    </xf>
    <xf numFmtId="0" fontId="248" fillId="88" borderId="0" applyAlignment="1" pivotButton="0" quotePrefix="0" xfId="4593">
      <alignment horizontal="left" indent="1"/>
    </xf>
    <xf numFmtId="0" fontId="248" fillId="88" borderId="0" pivotButton="0" quotePrefix="0" xfId="4595"/>
    <xf numFmtId="0" fontId="248" fillId="0" borderId="0" applyAlignment="1" pivotButton="0" quotePrefix="0" xfId="4593">
      <alignment horizontal="left" indent="8"/>
    </xf>
    <xf numFmtId="0" fontId="247" fillId="0" borderId="0" applyAlignment="1" pivotButton="0" quotePrefix="0" xfId="4593">
      <alignment horizontal="left" indent="1"/>
    </xf>
    <xf numFmtId="0" fontId="247" fillId="0" borderId="0" applyAlignment="1" pivotButton="0" quotePrefix="0" xfId="4593">
      <alignment horizontal="left" indent="2"/>
    </xf>
    <xf numFmtId="0" fontId="250" fillId="0" borderId="0" pivotButton="0" quotePrefix="0" xfId="4595"/>
    <xf numFmtId="167" fontId="248" fillId="0" borderId="0" applyAlignment="1" pivotButton="0" quotePrefix="0" xfId="3104">
      <alignment horizontal="center" vertical="center"/>
    </xf>
    <xf numFmtId="165" fontId="248" fillId="0" borderId="0" applyAlignment="1" pivotButton="0" quotePrefix="0" xfId="3104">
      <alignment horizontal="center" vertical="center"/>
    </xf>
    <xf numFmtId="1" fontId="248" fillId="0" borderId="0" pivotButton="0" quotePrefix="0" xfId="4595"/>
    <xf numFmtId="37" fontId="248" fillId="114" borderId="0" applyAlignment="1" pivotButton="0" quotePrefix="0" xfId="4595">
      <alignment horizontal="center" vertical="center"/>
    </xf>
    <xf numFmtId="0" fontId="248" fillId="0" borderId="0" applyAlignment="1" pivotButton="0" quotePrefix="0" xfId="4593">
      <alignment horizontal="left"/>
    </xf>
    <xf numFmtId="0" fontId="247" fillId="0" borderId="0" applyAlignment="1" pivotButton="0" quotePrefix="0" xfId="4593">
      <alignment horizontal="left"/>
    </xf>
    <xf numFmtId="0" fontId="250" fillId="114" borderId="0" pivotButton="0" quotePrefix="0" xfId="4595"/>
    <xf numFmtId="0" fontId="247" fillId="0" borderId="0" applyAlignment="1" pivotButton="0" quotePrefix="0" xfId="4595">
      <alignment horizontal="left" vertical="center" indent="1"/>
    </xf>
    <xf numFmtId="0" fontId="255" fillId="0" borderId="0" applyAlignment="1" pivotButton="0" quotePrefix="0" xfId="4595">
      <alignment horizontal="right"/>
    </xf>
    <xf numFmtId="165" fontId="207" fillId="0" borderId="0" pivotButton="0" quotePrefix="0" xfId="3104"/>
    <xf numFmtId="0" fontId="7" fillId="0" borderId="0" pivotButton="0" quotePrefix="0" xfId="2643"/>
    <xf numFmtId="0" fontId="247" fillId="88" borderId="0" applyAlignment="1" pivotButton="0" quotePrefix="0" xfId="0">
      <alignment horizontal="left" vertical="center"/>
    </xf>
    <xf numFmtId="171" fontId="247" fillId="0" borderId="0" applyAlignment="1" pivotButton="0" quotePrefix="0" xfId="0">
      <alignment horizontal="center" vertical="center"/>
    </xf>
    <xf numFmtId="171" fontId="247" fillId="114" borderId="0" applyAlignment="1" pivotButton="0" quotePrefix="0" xfId="0">
      <alignment horizontal="center" vertical="center"/>
    </xf>
    <xf numFmtId="0" fontId="248" fillId="88" borderId="0" applyAlignment="1" pivotButton="0" quotePrefix="0" xfId="0">
      <alignment horizontal="left" vertical="center" indent="1"/>
    </xf>
    <xf numFmtId="171" fontId="248" fillId="0" borderId="0" applyAlignment="1" pivotButton="0" quotePrefix="0" xfId="0">
      <alignment horizontal="center" vertical="center"/>
    </xf>
    <xf numFmtId="171" fontId="248" fillId="114" borderId="0" applyAlignment="1" pivotButton="0" quotePrefix="0" xfId="0">
      <alignment horizontal="center" vertical="center"/>
    </xf>
    <xf numFmtId="0" fontId="256" fillId="113" borderId="189" applyAlignment="1" pivotButton="0" quotePrefix="0" xfId="0">
      <alignment horizontal="center" vertical="center" wrapText="1"/>
    </xf>
    <xf numFmtId="164" fontId="251" fillId="0" borderId="0" applyAlignment="1" pivotButton="0" quotePrefix="0" xfId="3104">
      <alignment horizontal="center" vertical="center"/>
    </xf>
    <xf numFmtId="0" fontId="251" fillId="0" borderId="0" applyAlignment="1" pivotButton="0" quotePrefix="0" xfId="0">
      <alignment horizontal="center" vertical="center"/>
    </xf>
    <xf numFmtId="9" fontId="252" fillId="0" borderId="0" applyAlignment="1" pivotButton="0" quotePrefix="0" xfId="2799">
      <alignment horizontal="center" vertical="center"/>
    </xf>
    <xf numFmtId="9" fontId="252" fillId="0" borderId="0" pivotButton="0" quotePrefix="0" xfId="0"/>
    <xf numFmtId="9" fontId="251" fillId="0" borderId="0" applyAlignment="1" pivotButton="0" quotePrefix="0" xfId="2799">
      <alignment horizontal="center" vertical="center"/>
    </xf>
    <xf numFmtId="9" fontId="251" fillId="0" borderId="0" pivotButton="0" quotePrefix="0" xfId="0"/>
    <xf numFmtId="0" fontId="252" fillId="0" borderId="0" applyAlignment="1" pivotButton="0" quotePrefix="0" xfId="0">
      <alignment vertical="center"/>
    </xf>
    <xf numFmtId="0" fontId="252" fillId="0" borderId="0" applyAlignment="1" pivotButton="0" quotePrefix="0" xfId="0">
      <alignment horizontal="center" vertical="center"/>
    </xf>
    <xf numFmtId="9" fontId="252" fillId="0" borderId="0" applyAlignment="1" pivotButton="0" quotePrefix="0" xfId="0">
      <alignment horizontal="center" vertical="center"/>
    </xf>
    <xf numFmtId="9" fontId="251" fillId="0" borderId="0" applyAlignment="1" pivotButton="0" quotePrefix="0" xfId="0">
      <alignment horizontal="center" vertical="center"/>
    </xf>
    <xf numFmtId="0" fontId="252" fillId="0" borderId="0" pivotButton="0" quotePrefix="0" xfId="0"/>
    <xf numFmtId="0" fontId="251" fillId="88" borderId="0" applyAlignment="1" pivotButton="0" quotePrefix="0" xfId="0">
      <alignment horizontal="left" vertical="center" indent="1"/>
    </xf>
    <xf numFmtId="174" fontId="251" fillId="88" borderId="0" applyAlignment="1" pivotButton="0" quotePrefix="0" xfId="3104">
      <alignment horizontal="center" vertical="center"/>
    </xf>
    <xf numFmtId="9" fontId="251" fillId="88" borderId="0" applyAlignment="1" pivotButton="0" quotePrefix="0" xfId="2799">
      <alignment horizontal="center" vertical="center"/>
    </xf>
    <xf numFmtId="174" fontId="251" fillId="0" borderId="0" applyAlignment="1" pivotButton="0" quotePrefix="0" xfId="3104">
      <alignment horizontal="center" vertical="center"/>
    </xf>
    <xf numFmtId="0" fontId="257" fillId="0" borderId="0" applyAlignment="1" pivotButton="0" quotePrefix="0" xfId="0">
      <alignment horizontal="left" vertical="center" indent="1"/>
    </xf>
    <xf numFmtId="9" fontId="251" fillId="88" borderId="189" applyAlignment="1" pivotButton="0" quotePrefix="0" xfId="2799">
      <alignment horizontal="center" vertical="center"/>
    </xf>
    <xf numFmtId="0" fontId="46" fillId="88" borderId="189" pivotButton="0" quotePrefix="0" xfId="0"/>
    <xf numFmtId="0" fontId="254" fillId="0" borderId="191" applyAlignment="1" pivotButton="0" quotePrefix="0" xfId="0">
      <alignment horizontal="center" vertical="center"/>
    </xf>
    <xf numFmtId="0" fontId="246" fillId="0" borderId="192" applyAlignment="1" pivotButton="0" quotePrefix="0" xfId="0">
      <alignment horizontal="center" vertical="center"/>
    </xf>
    <xf numFmtId="0" fontId="246" fillId="0" borderId="191" applyAlignment="1" pivotButton="0" quotePrefix="0" xfId="0">
      <alignment horizontal="center" vertical="center"/>
    </xf>
    <xf numFmtId="175" fontId="252" fillId="0" borderId="0" applyAlignment="1" pivotButton="0" quotePrefix="0" xfId="0">
      <alignment horizontal="center" vertical="center"/>
    </xf>
    <xf numFmtId="176" fontId="251" fillId="0" borderId="0" applyAlignment="1" pivotButton="0" quotePrefix="0" xfId="0">
      <alignment horizontal="center" vertical="center"/>
    </xf>
    <xf numFmtId="164" fontId="251" fillId="114" borderId="0" applyAlignment="1" pivotButton="0" quotePrefix="0" xfId="3104">
      <alignment horizontal="right" vertical="center"/>
    </xf>
    <xf numFmtId="9" fontId="252" fillId="114" borderId="0" applyAlignment="1" pivotButton="0" quotePrefix="0" xfId="0">
      <alignment horizontal="center" vertical="center"/>
    </xf>
    <xf numFmtId="171" fontId="7" fillId="0" borderId="0" pivotButton="0" quotePrefix="0" xfId="0"/>
    <xf numFmtId="171" fontId="252" fillId="0" borderId="0" pivotButton="0" quotePrefix="0" xfId="0"/>
    <xf numFmtId="177" fontId="259" fillId="0" borderId="0" applyAlignment="1" pivotButton="0" quotePrefix="0" xfId="3104">
      <alignment horizontal="center" vertical="center"/>
    </xf>
    <xf numFmtId="177" fontId="259" fillId="174" borderId="194" applyAlignment="1" pivotButton="0" quotePrefix="0" xfId="3104">
      <alignment horizontal="center" vertical="center"/>
    </xf>
    <xf numFmtId="0" fontId="252" fillId="0" borderId="0" applyAlignment="1" pivotButton="0" quotePrefix="0" xfId="3403">
      <alignment horizontal="left" vertical="center" indent="3"/>
    </xf>
    <xf numFmtId="171" fontId="252" fillId="0" borderId="0" applyAlignment="1" pivotButton="0" quotePrefix="0" xfId="3403">
      <alignment horizontal="center" vertical="center"/>
    </xf>
    <xf numFmtId="0" fontId="251" fillId="0" borderId="0" applyAlignment="1" pivotButton="0" quotePrefix="0" xfId="3403">
      <alignment horizontal="left" vertical="center" indent="1"/>
    </xf>
    <xf numFmtId="171" fontId="251" fillId="0" borderId="0" applyAlignment="1" pivotButton="0" quotePrefix="0" xfId="3403">
      <alignment horizontal="center" vertical="center"/>
    </xf>
    <xf numFmtId="0" fontId="251" fillId="0" borderId="132" applyAlignment="1" pivotButton="0" quotePrefix="0" xfId="3403">
      <alignment horizontal="left" vertical="center" indent="1"/>
    </xf>
    <xf numFmtId="171" fontId="251" fillId="0" borderId="132" applyAlignment="1" pivotButton="0" quotePrefix="0" xfId="3403">
      <alignment horizontal="center" vertical="center"/>
    </xf>
    <xf numFmtId="171" fontId="251" fillId="88" borderId="0" applyAlignment="1" pivotButton="0" quotePrefix="0" xfId="3403">
      <alignment horizontal="center" vertical="center"/>
    </xf>
    <xf numFmtId="177" fontId="251" fillId="0" borderId="0" applyAlignment="1" pivotButton="0" quotePrefix="0" xfId="3104">
      <alignment horizontal="left" vertical="center" indent="1"/>
    </xf>
    <xf numFmtId="177" fontId="251" fillId="0" borderId="0" applyAlignment="1" pivotButton="0" quotePrefix="0" xfId="3104">
      <alignment horizontal="center" vertical="center"/>
    </xf>
    <xf numFmtId="0" fontId="257" fillId="0" borderId="0" pivotButton="0" quotePrefix="0" xfId="2719"/>
    <xf numFmtId="0" fontId="257" fillId="0" borderId="0" applyAlignment="1" pivotButton="0" quotePrefix="0" xfId="3403">
      <alignment horizontal="left" vertical="top" wrapText="1"/>
    </xf>
    <xf numFmtId="0" fontId="181" fillId="59" borderId="57" applyAlignment="1" pivotButton="0" quotePrefix="0" xfId="0">
      <alignment horizontal="center" vertical="center"/>
    </xf>
    <xf numFmtId="0" fontId="186" fillId="59" borderId="49" applyAlignment="1" pivotButton="0" quotePrefix="0" xfId="0">
      <alignment horizontal="center" vertical="center"/>
    </xf>
    <xf numFmtId="0" fontId="181" fillId="41" borderId="0" applyAlignment="1" pivotButton="0" quotePrefix="0" xfId="0">
      <alignment horizontal="center" vertical="center"/>
    </xf>
    <xf numFmtId="0" fontId="186" fillId="41" borderId="0" applyAlignment="1" pivotButton="0" quotePrefix="0" xfId="0">
      <alignment horizontal="center" vertical="center"/>
    </xf>
    <xf numFmtId="0" fontId="0" fillId="0" borderId="0" pivotButton="0" quotePrefix="0" xfId="0"/>
    <xf numFmtId="0" fontId="182" fillId="41" borderId="58" applyAlignment="1" pivotButton="0" quotePrefix="0" xfId="0">
      <alignment horizontal="center"/>
    </xf>
    <xf numFmtId="0" fontId="186" fillId="41" borderId="58" applyAlignment="1" pivotButton="0" quotePrefix="0" xfId="0">
      <alignment horizontal="center"/>
    </xf>
    <xf numFmtId="0" fontId="0" fillId="0" borderId="58" pivotButton="0" quotePrefix="0" xfId="0"/>
    <xf numFmtId="0" fontId="48" fillId="41" borderId="53" applyAlignment="1" pivotButton="0" quotePrefix="0" xfId="0">
      <alignment horizontal="center" vertical="center"/>
    </xf>
    <xf numFmtId="0" fontId="48" fillId="41" borderId="54" applyAlignment="1" pivotButton="0" quotePrefix="0" xfId="0">
      <alignment horizontal="center" vertical="center"/>
    </xf>
    <xf numFmtId="0" fontId="246" fillId="0" borderId="0" applyAlignment="1" pivotButton="0" quotePrefix="0" xfId="0">
      <alignment horizontal="center" vertical="center"/>
    </xf>
    <xf numFmtId="0" fontId="246" fillId="0" borderId="189" applyAlignment="1" pivotButton="0" quotePrefix="0" xfId="0">
      <alignment horizontal="center" vertical="center"/>
    </xf>
    <xf numFmtId="0" fontId="245" fillId="173" borderId="0" applyAlignment="1" pivotButton="0" quotePrefix="0" xfId="0">
      <alignment horizontal="left" vertical="center" indent="1"/>
    </xf>
    <xf numFmtId="0" fontId="245" fillId="173" borderId="189" applyAlignment="1" pivotButton="0" quotePrefix="0" xfId="0">
      <alignment horizontal="left" vertical="center" indent="1"/>
    </xf>
    <xf numFmtId="0" fontId="246" fillId="114" borderId="0" applyAlignment="1" pivotButton="0" quotePrefix="0" xfId="0">
      <alignment horizontal="center" vertical="center"/>
    </xf>
    <xf numFmtId="0" fontId="246" fillId="114" borderId="189" applyAlignment="1" pivotButton="0" quotePrefix="0" xfId="0">
      <alignment horizontal="center" vertical="center"/>
    </xf>
    <xf numFmtId="0" fontId="246" fillId="114" borderId="190" applyAlignment="1" pivotButton="0" quotePrefix="0" xfId="0">
      <alignment horizontal="center" vertical="center"/>
    </xf>
    <xf numFmtId="0" fontId="246" fillId="0" borderId="190" applyAlignment="1" pivotButton="0" quotePrefix="0" xfId="0">
      <alignment horizontal="center" vertical="center"/>
    </xf>
    <xf numFmtId="0" fontId="245" fillId="173" borderId="190" applyAlignment="1" pivotButton="0" quotePrefix="0" xfId="0">
      <alignment horizontal="left" vertical="center" indent="1"/>
    </xf>
    <xf numFmtId="0" fontId="246" fillId="0" borderId="193" applyAlignment="1" pivotButton="0" quotePrefix="0" xfId="0">
      <alignment horizontal="center" vertical="center"/>
    </xf>
    <xf numFmtId="0" fontId="246" fillId="0" borderId="192" applyAlignment="1" pivotButton="0" quotePrefix="0" xfId="0">
      <alignment horizontal="center" vertical="center"/>
    </xf>
    <xf numFmtId="0" fontId="245" fillId="173" borderId="131" applyAlignment="1" pivotButton="0" quotePrefix="0" xfId="0">
      <alignment horizontal="left" vertical="center" indent="1"/>
    </xf>
    <xf numFmtId="0" fontId="246" fillId="114" borderId="193" applyAlignment="1" pivotButton="0" quotePrefix="0" xfId="0">
      <alignment horizontal="center" vertical="center"/>
    </xf>
    <xf numFmtId="0" fontId="246" fillId="114" borderId="192" applyAlignment="1" pivotButton="0" quotePrefix="0" xfId="0">
      <alignment horizontal="center" vertical="center"/>
    </xf>
    <xf numFmtId="0" fontId="246" fillId="0" borderId="196" applyAlignment="1" pivotButton="0" quotePrefix="0" xfId="0">
      <alignment horizontal="center" vertical="center" wrapText="1"/>
    </xf>
    <xf numFmtId="0" fontId="246" fillId="0" borderId="196" applyAlignment="1" pivotButton="0" quotePrefix="0" xfId="0">
      <alignment horizontal="center" vertical="center"/>
    </xf>
    <xf numFmtId="0" fontId="246" fillId="114" borderId="196" applyAlignment="1" pivotButton="0" quotePrefix="0" xfId="0">
      <alignment horizontal="center" vertical="center" wrapText="1"/>
    </xf>
    <xf numFmtId="0" fontId="246" fillId="114" borderId="192" applyAlignment="1" pivotButton="0" quotePrefix="0" xfId="0">
      <alignment horizontal="center" vertical="center" wrapText="1"/>
    </xf>
    <xf numFmtId="0" fontId="245" fillId="173" borderId="195" applyAlignment="1" pivotButton="0" quotePrefix="0" xfId="0">
      <alignment horizontal="left" vertical="center" indent="1"/>
    </xf>
    <xf numFmtId="0" fontId="245" fillId="173" borderId="191" applyAlignment="1" pivotButton="0" quotePrefix="0" xfId="0">
      <alignment horizontal="left" vertical="center" indent="1"/>
    </xf>
    <xf numFmtId="0" fontId="0" fillId="0" borderId="49" pivotButton="0" quotePrefix="0" xfId="0"/>
    <xf numFmtId="164" fontId="52" fillId="41" borderId="47" applyAlignment="1" pivotButton="0" quotePrefix="0" xfId="0">
      <alignment vertical="center"/>
    </xf>
    <xf numFmtId="164" fontId="51" fillId="41" borderId="0" applyAlignment="1" pivotButton="0" quotePrefix="0" xfId="0">
      <alignment vertical="center"/>
    </xf>
    <xf numFmtId="164" fontId="0" fillId="41" borderId="0" pivotButton="0" quotePrefix="0" xfId="0"/>
    <xf numFmtId="164" fontId="52" fillId="41" borderId="0" applyAlignment="1" pivotButton="0" quotePrefix="0" xfId="0">
      <alignment vertical="center"/>
    </xf>
    <xf numFmtId="0" fontId="48" fillId="41" borderId="48" applyAlignment="1" pivotButton="0" quotePrefix="0" xfId="0">
      <alignment horizontal="center" vertical="center"/>
    </xf>
    <xf numFmtId="170" fontId="183" fillId="41" borderId="55" applyAlignment="1" pivotButton="0" quotePrefix="0" xfId="0">
      <alignment vertical="center"/>
    </xf>
    <xf numFmtId="170" fontId="186" fillId="41" borderId="56" applyAlignment="1" pivotButton="0" quotePrefix="0" xfId="0">
      <alignment vertical="center"/>
    </xf>
    <xf numFmtId="0" fontId="0" fillId="0" borderId="54" pivotButton="0" quotePrefix="0" xfId="0"/>
    <xf numFmtId="164" fontId="21" fillId="0" borderId="0" applyAlignment="1" pivotButton="0" quotePrefix="0" xfId="3104">
      <alignment horizontal="right"/>
    </xf>
    <xf numFmtId="164" fontId="21" fillId="0" borderId="0" applyAlignment="1" pivotButton="0" quotePrefix="0" xfId="3109">
      <alignment horizontal="right"/>
    </xf>
    <xf numFmtId="164" fontId="21" fillId="41" borderId="0" applyAlignment="1" pivotButton="0" quotePrefix="0" xfId="3104">
      <alignment horizontal="right"/>
    </xf>
    <xf numFmtId="164" fontId="22" fillId="0" borderId="0" applyAlignment="1" pivotButton="0" quotePrefix="0" xfId="0">
      <alignment vertical="center"/>
    </xf>
    <xf numFmtId="164" fontId="22" fillId="0" borderId="0" applyAlignment="1" pivotButton="0" quotePrefix="0" xfId="3109">
      <alignment horizontal="right"/>
    </xf>
    <xf numFmtId="164" fontId="22" fillId="41" borderId="0" applyAlignment="1" pivotButton="0" quotePrefix="0" xfId="3109">
      <alignment horizontal="right"/>
    </xf>
    <xf numFmtId="164" fontId="22" fillId="41" borderId="0" applyAlignment="1" pivotButton="0" quotePrefix="0" xfId="3104">
      <alignment horizontal="right"/>
    </xf>
    <xf numFmtId="164" fontId="22" fillId="0" borderId="0" applyAlignment="1" pivotButton="0" quotePrefix="0" xfId="3110">
      <alignment horizontal="left"/>
    </xf>
    <xf numFmtId="164" fontId="22" fillId="0" borderId="0" applyAlignment="1" pivotButton="0" quotePrefix="0" xfId="3111">
      <alignment horizontal="right"/>
    </xf>
    <xf numFmtId="164" fontId="22" fillId="41" borderId="0" applyAlignment="1" pivotButton="0" quotePrefix="0" xfId="3111">
      <alignment horizontal="right"/>
    </xf>
    <xf numFmtId="164" fontId="21" fillId="41" borderId="0" applyAlignment="1" pivotButton="0" quotePrefix="0" xfId="3109">
      <alignment horizontal="right"/>
    </xf>
    <xf numFmtId="164" fontId="22" fillId="0" borderId="0" applyAlignment="1" pivotButton="0" quotePrefix="0" xfId="3104">
      <alignment horizontal="right"/>
    </xf>
    <xf numFmtId="164" fontId="21" fillId="0" borderId="0" applyAlignment="1" pivotButton="0" quotePrefix="0" xfId="3111">
      <alignment horizontal="right"/>
    </xf>
    <xf numFmtId="164" fontId="21" fillId="41" borderId="0" applyAlignment="1" pivotButton="0" quotePrefix="0" xfId="3111">
      <alignment horizontal="right"/>
    </xf>
    <xf numFmtId="166" fontId="21" fillId="0" borderId="0" applyAlignment="1" pivotButton="0" quotePrefix="0" xfId="3104">
      <alignment horizontal="right"/>
    </xf>
    <xf numFmtId="167" fontId="22" fillId="0" borderId="0" applyAlignment="1" pivotButton="0" quotePrefix="0" xfId="3104">
      <alignment horizontal="right"/>
    </xf>
    <xf numFmtId="164" fontId="21" fillId="0" borderId="0" applyAlignment="1" pivotButton="0" quotePrefix="0" xfId="3110">
      <alignment horizontal="left"/>
    </xf>
    <xf numFmtId="164" fontId="0" fillId="0" borderId="0" pivotButton="0" quotePrefix="0" xfId="0"/>
    <xf numFmtId="0" fontId="0" fillId="0" borderId="189" pivotButton="0" quotePrefix="0" xfId="0"/>
    <xf numFmtId="173" fontId="246" fillId="0" borderId="0" applyAlignment="1" pivotButton="0" quotePrefix="0" xfId="0">
      <alignment horizontal="center" vertical="center"/>
    </xf>
    <xf numFmtId="173" fontId="254" fillId="0" borderId="0" applyAlignment="1" pivotButton="0" quotePrefix="0" xfId="0">
      <alignment horizontal="center" vertical="center"/>
    </xf>
    <xf numFmtId="173" fontId="247" fillId="88" borderId="0" applyAlignment="1" pivotButton="0" quotePrefix="0" xfId="4595">
      <alignment horizontal="center" vertical="center"/>
    </xf>
    <xf numFmtId="173" fontId="248" fillId="88" borderId="0" applyAlignment="1" pivotButton="0" quotePrefix="0" xfId="4595">
      <alignment horizontal="center" vertical="center"/>
    </xf>
    <xf numFmtId="173" fontId="248" fillId="0" borderId="0" applyAlignment="1" pivotButton="0" quotePrefix="0" xfId="4595">
      <alignment horizontal="center" vertical="center"/>
    </xf>
    <xf numFmtId="173" fontId="247" fillId="0" borderId="0" applyAlignment="1" pivotButton="0" quotePrefix="0" xfId="4595">
      <alignment horizontal="center" vertical="center"/>
    </xf>
    <xf numFmtId="167" fontId="248" fillId="0" borderId="0" applyAlignment="1" pivotButton="0" quotePrefix="0" xfId="3104">
      <alignment horizontal="center" vertical="center"/>
    </xf>
    <xf numFmtId="173" fontId="247" fillId="114" borderId="0" applyAlignment="1" pivotButton="0" quotePrefix="0" xfId="4595">
      <alignment horizontal="center" vertical="center"/>
    </xf>
    <xf numFmtId="173" fontId="248" fillId="114" borderId="0" applyAlignment="1" pivotButton="0" quotePrefix="0" xfId="4595">
      <alignment horizontal="center" vertical="center"/>
    </xf>
    <xf numFmtId="0" fontId="245" fillId="173" borderId="197" applyAlignment="1" pivotButton="0" quotePrefix="0" xfId="0">
      <alignment horizontal="left" vertical="center" indent="1"/>
    </xf>
    <xf numFmtId="0" fontId="246" fillId="0" borderId="197" applyAlignment="1" pivotButton="0" quotePrefix="0" xfId="0">
      <alignment horizontal="center" vertical="center"/>
    </xf>
    <xf numFmtId="0" fontId="246" fillId="114" borderId="197" applyAlignment="1" pivotButton="0" quotePrefix="0" xfId="0">
      <alignment horizontal="center" vertical="center"/>
    </xf>
    <xf numFmtId="171" fontId="247" fillId="0" borderId="0" applyAlignment="1" pivotButton="0" quotePrefix="0" xfId="0">
      <alignment horizontal="center" vertical="center"/>
    </xf>
    <xf numFmtId="171" fontId="247" fillId="114" borderId="0" applyAlignment="1" pivotButton="0" quotePrefix="0" xfId="0">
      <alignment horizontal="center" vertical="center"/>
    </xf>
    <xf numFmtId="171" fontId="248" fillId="0" borderId="0" applyAlignment="1" pivotButton="0" quotePrefix="0" xfId="0">
      <alignment horizontal="center" vertical="center"/>
    </xf>
    <xf numFmtId="171" fontId="248" fillId="114" borderId="0" applyAlignment="1" pivotButton="0" quotePrefix="0" xfId="0">
      <alignment horizontal="center" vertical="center"/>
    </xf>
    <xf numFmtId="172" fontId="246" fillId="0" borderId="189" applyAlignment="1" pivotButton="0" quotePrefix="0" xfId="0">
      <alignment horizontal="center" vertical="center"/>
    </xf>
    <xf numFmtId="164" fontId="251" fillId="0" borderId="0" applyAlignment="1" pivotButton="0" quotePrefix="0" xfId="3104">
      <alignment horizontal="center" vertical="center"/>
    </xf>
    <xf numFmtId="171" fontId="252" fillId="0" borderId="0" applyAlignment="1" pivotButton="0" quotePrefix="0" xfId="0">
      <alignment horizontal="center" vertical="center"/>
    </xf>
    <xf numFmtId="171" fontId="251" fillId="0" borderId="0" applyAlignment="1" pivotButton="0" quotePrefix="0" xfId="0">
      <alignment horizontal="center" vertical="center"/>
    </xf>
    <xf numFmtId="171" fontId="46" fillId="0" borderId="0" pivotButton="0" quotePrefix="0" xfId="0"/>
    <xf numFmtId="174" fontId="251" fillId="88" borderId="0" applyAlignment="1" pivotButton="0" quotePrefix="0" xfId="3104">
      <alignment horizontal="center" vertical="center"/>
    </xf>
    <xf numFmtId="174" fontId="251" fillId="0" borderId="0" applyAlignment="1" pivotButton="0" quotePrefix="0" xfId="3104">
      <alignment horizontal="center" vertical="center"/>
    </xf>
    <xf numFmtId="175" fontId="252" fillId="0" borderId="0" applyAlignment="1" pivotButton="0" quotePrefix="0" xfId="0">
      <alignment horizontal="center" vertical="center"/>
    </xf>
    <xf numFmtId="176" fontId="251" fillId="0" borderId="0" applyAlignment="1" pivotButton="0" quotePrefix="0" xfId="0">
      <alignment horizontal="center" vertical="center"/>
    </xf>
    <xf numFmtId="171" fontId="252" fillId="114" borderId="0" applyAlignment="1" pivotButton="0" quotePrefix="0" xfId="0">
      <alignment horizontal="center" vertical="center"/>
    </xf>
    <xf numFmtId="171" fontId="251" fillId="114" borderId="0" applyAlignment="1" pivotButton="0" quotePrefix="0" xfId="0">
      <alignment horizontal="center" vertical="center"/>
    </xf>
    <xf numFmtId="0" fontId="0" fillId="0" borderId="131" pivotButton="0" quotePrefix="0" xfId="0"/>
    <xf numFmtId="0" fontId="0" fillId="0" borderId="192" pivotButton="0" quotePrefix="0" xfId="0"/>
    <xf numFmtId="164" fontId="251" fillId="114" borderId="0" applyAlignment="1" pivotButton="0" quotePrefix="0" xfId="3104">
      <alignment horizontal="right" vertical="center"/>
    </xf>
    <xf numFmtId="0" fontId="246" fillId="0" borderId="199" applyAlignment="1" pivotButton="0" quotePrefix="0" xfId="0">
      <alignment horizontal="center" vertical="center"/>
    </xf>
    <xf numFmtId="0" fontId="246" fillId="114" borderId="199" applyAlignment="1" pivotButton="0" quotePrefix="0" xfId="0">
      <alignment horizontal="center" vertical="center" wrapText="1"/>
    </xf>
    <xf numFmtId="0" fontId="246" fillId="0" borderId="199" applyAlignment="1" pivotButton="0" quotePrefix="0" xfId="0">
      <alignment horizontal="center" vertical="center" wrapText="1"/>
    </xf>
    <xf numFmtId="171" fontId="252" fillId="0" borderId="0" pivotButton="0" quotePrefix="0" xfId="0"/>
    <xf numFmtId="177" fontId="259" fillId="0" borderId="0" applyAlignment="1" pivotButton="0" quotePrefix="0" xfId="3104">
      <alignment horizontal="center" vertical="center"/>
    </xf>
    <xf numFmtId="177" fontId="259" fillId="174" borderId="194" applyAlignment="1" pivotButton="0" quotePrefix="0" xfId="3104">
      <alignment horizontal="center" vertical="center"/>
    </xf>
    <xf numFmtId="0" fontId="245" fillId="173" borderId="200" applyAlignment="1" pivotButton="0" quotePrefix="0" xfId="0">
      <alignment horizontal="left" vertical="center" indent="1"/>
    </xf>
    <xf numFmtId="0" fontId="0" fillId="0" borderId="191" pivotButton="0" quotePrefix="0" xfId="0"/>
    <xf numFmtId="171" fontId="252" fillId="0" borderId="0" applyAlignment="1" pivotButton="0" quotePrefix="0" xfId="3403">
      <alignment horizontal="center" vertical="center"/>
    </xf>
    <xf numFmtId="171" fontId="251" fillId="0" borderId="0" applyAlignment="1" pivotButton="0" quotePrefix="0" xfId="3403">
      <alignment horizontal="center" vertical="center"/>
    </xf>
    <xf numFmtId="171" fontId="251" fillId="0" borderId="132" applyAlignment="1" pivotButton="0" quotePrefix="0" xfId="3403">
      <alignment horizontal="center" vertical="center"/>
    </xf>
    <xf numFmtId="171" fontId="251" fillId="88" borderId="0" applyAlignment="1" pivotButton="0" quotePrefix="0" xfId="3403">
      <alignment horizontal="center" vertical="center"/>
    </xf>
    <xf numFmtId="177" fontId="251" fillId="0" borderId="0" applyAlignment="1" pivotButton="0" quotePrefix="0" xfId="3104">
      <alignment horizontal="left" vertical="center" indent="1"/>
    </xf>
    <xf numFmtId="177" fontId="251" fillId="0" borderId="0" applyAlignment="1" pivotButton="0" quotePrefix="0" xfId="3104">
      <alignment horizontal="center" vertical="center"/>
    </xf>
    <xf numFmtId="171" fontId="7" fillId="0" borderId="0" pivotButton="0" quotePrefix="0" xfId="0"/>
    <xf numFmtId="164" fontId="52" fillId="41" borderId="0" applyAlignment="1" pivotButton="0" quotePrefix="0" xfId="3108">
      <alignment horizontal="centerContinuous"/>
    </xf>
    <xf numFmtId="164" fontId="51" fillId="41" borderId="0" applyAlignment="1" pivotButton="0" quotePrefix="0" xfId="3108">
      <alignment horizontal="centerContinuous"/>
    </xf>
    <xf numFmtId="164" fontId="51" fillId="41" borderId="0" pivotButton="0" quotePrefix="0" xfId="3108"/>
    <xf numFmtId="164" fontId="51" fillId="41" borderId="50" pivotButton="0" quotePrefix="0" xfId="3108"/>
    <xf numFmtId="164" fontId="52" fillId="41" borderId="0" applyAlignment="1" pivotButton="0" quotePrefix="1" xfId="3108">
      <alignment horizontal="left"/>
    </xf>
    <xf numFmtId="168" fontId="51" fillId="41" borderId="0" pivotButton="0" quotePrefix="0" xfId="3108"/>
    <xf numFmtId="168" fontId="52" fillId="41" borderId="0" pivotButton="0" quotePrefix="0" xfId="3108"/>
    <xf numFmtId="169" fontId="185" fillId="41" borderId="0" pivotButton="0" quotePrefix="0" xfId="2695"/>
    <xf numFmtId="164" fontId="51" fillId="41" borderId="0" applyAlignment="1" pivotButton="0" quotePrefix="0" xfId="3108">
      <alignment horizontal="left"/>
    </xf>
    <xf numFmtId="169" fontId="184" fillId="41" borderId="0" pivotButton="0" quotePrefix="0" xfId="2695"/>
    <xf numFmtId="168" fontId="185" fillId="41" borderId="0" pivotButton="0" quotePrefix="0" xfId="2695"/>
    <xf numFmtId="168" fontId="184" fillId="41" borderId="0" pivotButton="0" quotePrefix="0" xfId="2695"/>
    <xf numFmtId="164" fontId="52" fillId="41" borderId="0" applyAlignment="1" pivotButton="0" quotePrefix="0" xfId="3108">
      <alignment horizontal="left"/>
    </xf>
    <xf numFmtId="168" fontId="179" fillId="41" borderId="0" pivotButton="0" quotePrefix="0" xfId="3108"/>
    <xf numFmtId="169" fontId="179" fillId="41" borderId="0" pivotButton="0" quotePrefix="0" xfId="3108"/>
    <xf numFmtId="164" fontId="51" fillId="41" borderId="0" applyAlignment="1" pivotButton="0" quotePrefix="1" xfId="3108">
      <alignment horizontal="left"/>
    </xf>
  </cellXfs>
  <cellStyles count="45030">
    <cellStyle name="Normal" xfId="0" builtinId="0"/>
    <cellStyle name="—" xfId="1"/>
    <cellStyle name=" 1" xfId="2"/>
    <cellStyle name=" 1 2" xfId="3"/>
    <cellStyle name=" 1 2 2" xfId="4"/>
    <cellStyle name="— 2" xfId="5"/>
    <cellStyle name="— 3" xfId="6"/>
    <cellStyle name="— 4" xfId="7"/>
    <cellStyle name="— 5" xfId="8"/>
    <cellStyle name="_x000a_386grabber=M" xfId="9"/>
    <cellStyle name="_x000a_386grabber=M 2" xfId="10"/>
    <cellStyle name="_x000a_bidires=100_x000d_" xfId="11"/>
    <cellStyle name="_x000a_bidires=100_x000d_ 2" xfId="12"/>
    <cellStyle name="$currency" xfId="13"/>
    <cellStyle name="$currency 2" xfId="14"/>
    <cellStyle name="$currency 2 2" xfId="15"/>
    <cellStyle name="(1,000)" xfId="16"/>
    <cellStyle name="(1,000) 2" xfId="17"/>
    <cellStyle name="(1,000)x" xfId="18"/>
    <cellStyle name="(1,000)x 2" xfId="19"/>
    <cellStyle name="******************************************" xfId="20"/>
    <cellStyle name="****************************************** 2" xfId="21"/>
    <cellStyle name="?" xfId="22"/>
    <cellStyle name="? 2" xfId="23"/>
    <cellStyle name="?? [0]_VERA" xfId="24"/>
    <cellStyle name="?????_VERA" xfId="25"/>
    <cellStyle name="??_1951_0006" xfId="26"/>
    <cellStyle name="?_20080805174037339" xfId="27"/>
    <cellStyle name="?_20080805174037339 2" xfId="28"/>
    <cellStyle name="?_Banpu_Charts" xfId="29"/>
    <cellStyle name="?_Banpu_Charts 2" xfId="30"/>
    <cellStyle name="?_CEIC_cement(updated)" xfId="31"/>
    <cellStyle name="?_CEIC_cement(updated) 2" xfId="32"/>
    <cellStyle name="?_cement data &amp; chart" xfId="33"/>
    <cellStyle name="?_cement data &amp; chart 2" xfId="34"/>
    <cellStyle name="?_Cementpx_by_city" xfId="35"/>
    <cellStyle name="?_Cementpx_by_city 2" xfId="36"/>
    <cellStyle name="?_ChinaCoalCHARTS" xfId="37"/>
    <cellStyle name="?_ChinaCoalCHARTS 2" xfId="38"/>
    <cellStyle name="?_Putnam_EfiShabtai_RegionalCementData_20070719" xfId="39"/>
    <cellStyle name="?_Putnam_EfiShabtai_RegionalCementData_20070719 2" xfId="40"/>
    <cellStyle name="?_WeeklyUpdate-20080929" xfId="41"/>
    <cellStyle name="?_WeeklyUpdate-20080929 2" xfId="42"/>
    <cellStyle name="—_&quot;History" xfId="43"/>
    <cellStyle name="—_&quot;History 2" xfId="44"/>
    <cellStyle name="—_&quot;History_Banpu_Charts" xfId="45"/>
    <cellStyle name="—_&quot;History_Banpu_Charts 2" xfId="46"/>
    <cellStyle name="—_&quot;History_Delay Projects" xfId="47"/>
    <cellStyle name="—_&quot;History_Delay Projects 2" xfId="48"/>
    <cellStyle name="—_&quot;History_Delay Projects_Banpu_Charts" xfId="49"/>
    <cellStyle name="—_&quot;History_Delay Projects_Banpu_Charts 2" xfId="50"/>
    <cellStyle name="—_&quot;History_Delay Projects_ShenhuaPower(report tables)" xfId="51"/>
    <cellStyle name="—_&quot;History_Delay Projects_ShenhuaPower(report tables) 2" xfId="52"/>
    <cellStyle name="—_&quot;History_Model" xfId="53"/>
    <cellStyle name="—_&quot;History_Model 2" xfId="54"/>
    <cellStyle name="—_&quot;History_Model_Banpu_Charts" xfId="55"/>
    <cellStyle name="—_&quot;History_Model_Banpu_Charts 2" xfId="56"/>
    <cellStyle name="—_&quot;History_Model_ShenhuaPower(report tables)" xfId="57"/>
    <cellStyle name="—_&quot;History_Model_ShenhuaPower(report tables) 2" xfId="58"/>
    <cellStyle name="—_&quot;History_ShenhuaPower(report tables)" xfId="59"/>
    <cellStyle name="—_&quot;History_ShenhuaPower(report tables) 2" xfId="60"/>
    <cellStyle name="_%(SignOnly)" xfId="61"/>
    <cellStyle name="_%(SignOnly) 2" xfId="62"/>
    <cellStyle name="_%(SignOnly) 2 2" xfId="63"/>
    <cellStyle name="_%(SignSpaceOnly)" xfId="64"/>
    <cellStyle name="_%(SignSpaceOnly) 2" xfId="65"/>
    <cellStyle name="_%(SignSpaceOnly) 2 2" xfId="66"/>
    <cellStyle name="—_0405 Coal Trans" xfId="67"/>
    <cellStyle name="—_0405 Coal Trans 2" xfId="68"/>
    <cellStyle name="—_0405 Coal Trans_ferrous &amp; non-ferrous" xfId="69"/>
    <cellStyle name="—_0405 Coal Trans_ferrous &amp; non-ferrous 2" xfId="70"/>
    <cellStyle name="_AluminaPriceCut20070913" xfId="71"/>
    <cellStyle name="_AluminaPriceCut20070913 2" xfId="72"/>
    <cellStyle name="—_AngangModel" xfId="73"/>
    <cellStyle name="—_AngangModel 2" xfId="74"/>
    <cellStyle name="—_AngangModel_ferrous &amp; non-ferrous" xfId="75"/>
    <cellStyle name="—_AngangModel_ferrous &amp; non-ferrous 2" xfId="76"/>
    <cellStyle name="_Assumptions" xfId="77"/>
    <cellStyle name="_Assumptions 2" xfId="78"/>
    <cellStyle name="_Banpu_Charts" xfId="79"/>
    <cellStyle name="—_Banpu_Charts" xfId="80"/>
    <cellStyle name="_Banpu_Charts 2" xfId="81"/>
    <cellStyle name="—_Banpu_Charts 2" xfId="82"/>
    <cellStyle name="_Banpu_Charts 3" xfId="83"/>
    <cellStyle name="—_Banpu_Charts 3" xfId="84"/>
    <cellStyle name="_Banpu_Charts 4" xfId="85"/>
    <cellStyle name="—_Banpu_Charts 4" xfId="86"/>
    <cellStyle name="_Banpu_Charts 5" xfId="87"/>
    <cellStyle name="—_Banpu_Charts 5" xfId="88"/>
    <cellStyle name="—_Book2" xfId="89"/>
    <cellStyle name="—_Book2 2" xfId="90"/>
    <cellStyle name="—_Book2_Banpu_Charts" xfId="91"/>
    <cellStyle name="—_Book2_Banpu_Charts 2" xfId="92"/>
    <cellStyle name="—_Book2_CSC PBV data" xfId="93"/>
    <cellStyle name="—_Book2_CSC PBV data 2" xfId="94"/>
    <cellStyle name="—_Book2_Freeport-PBVData" xfId="95"/>
    <cellStyle name="—_Book2_Freeport-PBVData 2" xfId="96"/>
    <cellStyle name="—_Book2_PhelpsDolge-PBVData" xfId="97"/>
    <cellStyle name="—_Book2_PhelpsDolge-PBVData 2" xfId="98"/>
    <cellStyle name="—_Book2_POSCO PBV data" xfId="99"/>
    <cellStyle name="—_Book2_POSCO PBV data 2" xfId="100"/>
    <cellStyle name="—_Book2_Resources comp - quantum" xfId="101"/>
    <cellStyle name="—_Book2_Resources comp - quantum 2" xfId="102"/>
    <cellStyle name="—_Book2_Resources comp - quantum_Banpu_Charts" xfId="103"/>
    <cellStyle name="—_Book2_Resources comp - quantum_Banpu_Charts 2" xfId="104"/>
    <cellStyle name="—_Book2_Resources comp - quantum_ShenhuaPower(report tables)" xfId="105"/>
    <cellStyle name="—_Book2_Resources comp - quantum_ShenhuaPower(report tables) 2" xfId="106"/>
    <cellStyle name="—_Book2_Resources comp - quantum_ShenhuaPower(report tables)_ferrous &amp; non-ferrous" xfId="107"/>
    <cellStyle name="—_Book2_Resources comp - quantum_ShenhuaPower(report tables)_ferrous &amp; non-ferrous 2" xfId="108"/>
    <cellStyle name="—_Book2_ShenhuaPower(report tables)" xfId="109"/>
    <cellStyle name="—_Book2_ShenhuaPower(report tables) 2" xfId="110"/>
    <cellStyle name="—_Book2_ShenhuaPower(report tables)_ferrous &amp; non-ferrous" xfId="111"/>
    <cellStyle name="—_Book2_ShenhuaPower(report tables)_ferrous &amp; non-ferrous 2" xfId="112"/>
    <cellStyle name="—_Book2_Vedenta-PBVData" xfId="113"/>
    <cellStyle name="—_Book2_Vedenta-PBVData 2" xfId="114"/>
    <cellStyle name="—_Book2_Xstrata-PBVData" xfId="115"/>
    <cellStyle name="—_Book2_Xstrata-PBVData 2" xfId="116"/>
    <cellStyle name="_Book3 (2)" xfId="117"/>
    <cellStyle name="_Book3 (2) 2" xfId="118"/>
    <cellStyle name="_Book3 (2) 2 2" xfId="119"/>
    <cellStyle name="—_Book7" xfId="120"/>
    <cellStyle name="—_Book7 2" xfId="121"/>
    <cellStyle name="—_Book7_Banpu_Charts" xfId="122"/>
    <cellStyle name="—_Book7_Banpu_Charts 2" xfId="123"/>
    <cellStyle name="—_Book7_ShenhuaPower(report tables)" xfId="124"/>
    <cellStyle name="—_Book7_ShenhuaPower(report tables) 2" xfId="125"/>
    <cellStyle name="—_Book7_ShenhuaPower(report tables)_ferrous &amp; non-ferrous" xfId="126"/>
    <cellStyle name="—_Book7_ShenhuaPower(report tables)_ferrous &amp; non-ferrous 2" xfId="127"/>
    <cellStyle name="_cement data &amp; chart" xfId="128"/>
    <cellStyle name="—_cement data &amp; chart" xfId="129"/>
    <cellStyle name="_cement data &amp; chart 2" xfId="130"/>
    <cellStyle name="—_cement data &amp; chart 2" xfId="131"/>
    <cellStyle name="_cement data &amp; chart 3" xfId="132"/>
    <cellStyle name="—_cement data &amp; chart 3" xfId="133"/>
    <cellStyle name="_cement data &amp; chart 4" xfId="134"/>
    <cellStyle name="—_cement data &amp; chart 4" xfId="135"/>
    <cellStyle name="_cement data &amp; chart 5" xfId="136"/>
    <cellStyle name="—_cement data &amp; chart 5" xfId="137"/>
    <cellStyle name="—_cement data &amp; chart_ferrous &amp; non-ferrous" xfId="138"/>
    <cellStyle name="—_cement data &amp; chart_ferrous &amp; non-ferrous 2" xfId="139"/>
    <cellStyle name="—_China steel sector initiation morning call handout Dec 10, 2004" xfId="140"/>
    <cellStyle name="—_China steel sector initiation morning call handout Dec 10, 2004 2" xfId="141"/>
    <cellStyle name="—_China steel sector initiation morning call handout Dec 10, 2004_ferrous &amp; non-ferrous" xfId="142"/>
    <cellStyle name="—_China steel sector initiation morning call handout Dec 10, 2004_ferrous &amp; non-ferrous 2" xfId="143"/>
    <cellStyle name="_Coal_Price" xfId="144"/>
    <cellStyle name="_Coal_Price 2" xfId="145"/>
    <cellStyle name="_Comma" xfId="146"/>
    <cellStyle name="_Comma 2" xfId="147"/>
    <cellStyle name="_Comma 2 2" xfId="148"/>
    <cellStyle name="—_CPI1" xfId="149"/>
    <cellStyle name="—_CPI1 2" xfId="150"/>
    <cellStyle name="—_CPI1_ferrous &amp; non-ferrous" xfId="151"/>
    <cellStyle name="—_CPI1_ferrous &amp; non-ferrous 2" xfId="152"/>
    <cellStyle name="—_Crib sheet" xfId="153"/>
    <cellStyle name="—_Crib sheet 2" xfId="154"/>
    <cellStyle name="—_Crib sheet_0405 Coal Trans" xfId="155"/>
    <cellStyle name="—_Crib sheet_0405 Coal Trans 2" xfId="156"/>
    <cellStyle name="—_Crib sheet_AngangModel" xfId="157"/>
    <cellStyle name="—_Crib sheet_AngangModel 2" xfId="158"/>
    <cellStyle name="—_Crib sheet_Banpu_Charts" xfId="159"/>
    <cellStyle name="—_Crib sheet_Banpu_Charts 2" xfId="160"/>
    <cellStyle name="—_Crib sheet_China steel sector initiation morning call handout Dec 10, 2004" xfId="161"/>
    <cellStyle name="—_Crib sheet_China steel sector initiation morning call handout Dec 10, 2004 2" xfId="162"/>
    <cellStyle name="—_Crib sheet_CPI1" xfId="163"/>
    <cellStyle name="—_Crib sheet_CPI1 2" xfId="164"/>
    <cellStyle name="—_Crib sheet_DATANG" xfId="165"/>
    <cellStyle name="—_Crib sheet_DATANG 2" xfId="166"/>
    <cellStyle name="—_Crib sheet_DATANG_Banpu_Charts" xfId="167"/>
    <cellStyle name="—_Crib sheet_DATANG_Banpu_Charts 2" xfId="168"/>
    <cellStyle name="—_Crib sheet_DATANG_CPI1" xfId="169"/>
    <cellStyle name="—_Crib sheet_DATANG_CPI1 2" xfId="170"/>
    <cellStyle name="—_Crib sheet_DATANG_CPI1_ferrous &amp; non-ferrous" xfId="171"/>
    <cellStyle name="—_Crib sheet_DATANG_CPI1_ferrous &amp; non-ferrous 2" xfId="172"/>
    <cellStyle name="—_Crib sheet_DATANG_Sheet1" xfId="173"/>
    <cellStyle name="—_Crib sheet_DATANG_Sheet1 2" xfId="174"/>
    <cellStyle name="—_Crib sheet_DATANG_Sheet1_ferrous &amp; non-ferrous" xfId="175"/>
    <cellStyle name="—_Crib sheet_DATANG_Sheet1_ferrous &amp; non-ferrous 2" xfId="176"/>
    <cellStyle name="—_Crib sheet_DATANG_Shenhua-coal P&amp;L" xfId="177"/>
    <cellStyle name="—_Crib sheet_DATANG_Shenhua-coal P&amp;L 2" xfId="178"/>
    <cellStyle name="—_Crib sheet_DATANG_Shenhua-coal P&amp;L_ShenhuaPower(report tables)" xfId="179"/>
    <cellStyle name="—_Crib sheet_DATANG_Shenhua-coal P&amp;L_ShenhuaPower(report tables) 2" xfId="180"/>
    <cellStyle name="—_Crib sheet_DATANG_Shenhua-coal P&amp;L_ShenhuaPower(report tables)_ferrous &amp; non-ferrous" xfId="181"/>
    <cellStyle name="—_Crib sheet_DATANG_Shenhua-coal P&amp;L_ShenhuaPower(report tables)_ferrous &amp; non-ferrous 2" xfId="182"/>
    <cellStyle name="—_Crib sheet_DATANG_Shenhua-power" xfId="183"/>
    <cellStyle name="—_Crib sheet_DATANG_Shenhua-power 2" xfId="184"/>
    <cellStyle name="—_Crib sheet_DATANG_ShenhuaPower(report tables)" xfId="185"/>
    <cellStyle name="—_Crib sheet_DATANG_ShenhuaPower(report tables) 2" xfId="186"/>
    <cellStyle name="—_Crib sheet_DATANG_ShenhuaPower(report tables)_ferrous &amp; non-ferrous" xfId="187"/>
    <cellStyle name="—_Crib sheet_DATANG_ShenhuaPower(report tables)_ferrous &amp; non-ferrous 2" xfId="188"/>
    <cellStyle name="—_Crib sheet_DATANG_Shenhua-power_ferrous &amp; non-ferrous" xfId="189"/>
    <cellStyle name="—_Crib sheet_DATANG_Shenhua-power_ferrous &amp; non-ferrous 2" xfId="190"/>
    <cellStyle name="—_Crib sheet_DCF ANALYSIS" xfId="191"/>
    <cellStyle name="—_Crib sheet_DCF ANALYSIS 2" xfId="192"/>
    <cellStyle name="—_Crib sheet_DCF ANALYSIS_Banpu_Charts" xfId="193"/>
    <cellStyle name="—_Crib sheet_DCF ANALYSIS_Banpu_Charts 2" xfId="194"/>
    <cellStyle name="—_Crib sheet_DCF ANALYSIS_CL&amp;P" xfId="195"/>
    <cellStyle name="—_Crib sheet_DCF ANALYSIS_CL&amp;P 2" xfId="196"/>
    <cellStyle name="—_Crib sheet_DCF ANALYSIS_CL&amp;P_Banpu_Charts" xfId="197"/>
    <cellStyle name="—_Crib sheet_DCF ANALYSIS_CL&amp;P_Banpu_Charts 2" xfId="198"/>
    <cellStyle name="—_Crib sheet_DCF ANALYSIS_CL&amp;P_CPI1" xfId="199"/>
    <cellStyle name="—_Crib sheet_DCF ANALYSIS_CL&amp;P_CPI1 2" xfId="200"/>
    <cellStyle name="—_Crib sheet_DCF ANALYSIS_CL&amp;P_CPI1_ferrous &amp; non-ferrous" xfId="201"/>
    <cellStyle name="—_Crib sheet_DCF ANALYSIS_CL&amp;P_CPI1_ferrous &amp; non-ferrous 2" xfId="202"/>
    <cellStyle name="—_Crib sheet_DCF ANALYSIS_CL&amp;P_Sheet1" xfId="203"/>
    <cellStyle name="—_Crib sheet_DCF ANALYSIS_CL&amp;P_Sheet1 2" xfId="204"/>
    <cellStyle name="—_Crib sheet_DCF ANALYSIS_CL&amp;P_Sheet1_ferrous &amp; non-ferrous" xfId="205"/>
    <cellStyle name="—_Crib sheet_DCF ANALYSIS_CL&amp;P_Sheet1_ferrous &amp; non-ferrous 2" xfId="206"/>
    <cellStyle name="—_Crib sheet_DCF ANALYSIS_CL&amp;P_Shenhua-coal P&amp;L" xfId="207"/>
    <cellStyle name="—_Crib sheet_DCF ANALYSIS_CL&amp;P_Shenhua-coal P&amp;L 2" xfId="208"/>
    <cellStyle name="—_Crib sheet_DCF ANALYSIS_CL&amp;P_Shenhua-coal P&amp;L_ShenhuaPower(report tables)" xfId="209"/>
    <cellStyle name="—_Crib sheet_DCF ANALYSIS_CL&amp;P_Shenhua-coal P&amp;L_ShenhuaPower(report tables) 2" xfId="210"/>
    <cellStyle name="—_Crib sheet_DCF ANALYSIS_CL&amp;P_Shenhua-coal P&amp;L_ShenhuaPower(report tables)_ferrous &amp; non-ferrous" xfId="211"/>
    <cellStyle name="—_Crib sheet_DCF ANALYSIS_CL&amp;P_Shenhua-coal P&amp;L_ShenhuaPower(report tables)_ferrous &amp; non-ferrous 2" xfId="212"/>
    <cellStyle name="—_Crib sheet_DCF ANALYSIS_CL&amp;P_Shenhua-power" xfId="213"/>
    <cellStyle name="—_Crib sheet_DCF ANALYSIS_CL&amp;P_Shenhua-power 2" xfId="214"/>
    <cellStyle name="—_Crib sheet_DCF ANALYSIS_CL&amp;P_ShenhuaPower(report tables)" xfId="215"/>
    <cellStyle name="—_Crib sheet_DCF ANALYSIS_CL&amp;P_ShenhuaPower(report tables) 2" xfId="216"/>
    <cellStyle name="—_Crib sheet_DCF ANALYSIS_CL&amp;P_ShenhuaPower(report tables)_ferrous &amp; non-ferrous" xfId="217"/>
    <cellStyle name="—_Crib sheet_DCF ANALYSIS_CL&amp;P_ShenhuaPower(report tables)_ferrous &amp; non-ferrous 2" xfId="218"/>
    <cellStyle name="—_Crib sheet_DCF ANALYSIS_CL&amp;P_Shenhua-power_ferrous &amp; non-ferrous" xfId="219"/>
    <cellStyle name="—_Crib sheet_DCF ANALYSIS_CL&amp;P_Shenhua-power_ferrous &amp; non-ferrous 2" xfId="220"/>
    <cellStyle name="—_Crib sheet_DCF ANALYSIS_CPI1" xfId="221"/>
    <cellStyle name="—_Crib sheet_DCF ANALYSIS_CPI1 2" xfId="222"/>
    <cellStyle name="—_Crib sheet_DCF ANALYSIS_CPI1_ferrous &amp; non-ferrous" xfId="223"/>
    <cellStyle name="—_Crib sheet_DCF ANALYSIS_CPI1_ferrous &amp; non-ferrous 2" xfId="224"/>
    <cellStyle name="—_Crib sheet_DCF ANALYSIS_Sheet1" xfId="225"/>
    <cellStyle name="—_Crib sheet_DCF ANALYSIS_Sheet1 2" xfId="226"/>
    <cellStyle name="—_Crib sheet_DCF ANALYSIS_Sheet1_ferrous &amp; non-ferrous" xfId="227"/>
    <cellStyle name="—_Crib sheet_DCF ANALYSIS_Sheet1_ferrous &amp; non-ferrous 2" xfId="228"/>
    <cellStyle name="—_Crib sheet_DCF ANALYSIS_Shenhua-coal P&amp;L" xfId="229"/>
    <cellStyle name="—_Crib sheet_DCF ANALYSIS_Shenhua-coal P&amp;L 2" xfId="230"/>
    <cellStyle name="—_Crib sheet_DCF ANALYSIS_Shenhua-coal P&amp;L_ShenhuaPower(report tables)" xfId="231"/>
    <cellStyle name="—_Crib sheet_DCF ANALYSIS_Shenhua-coal P&amp;L_ShenhuaPower(report tables) 2" xfId="232"/>
    <cellStyle name="—_Crib sheet_DCF ANALYSIS_Shenhua-coal P&amp;L_ShenhuaPower(report tables)_ferrous &amp; non-ferrous" xfId="233"/>
    <cellStyle name="—_Crib sheet_DCF ANALYSIS_Shenhua-coal P&amp;L_ShenhuaPower(report tables)_ferrous &amp; non-ferrous 2" xfId="234"/>
    <cellStyle name="—_Crib sheet_DCF ANALYSIS_Shenhua-power" xfId="235"/>
    <cellStyle name="—_Crib sheet_DCF ANALYSIS_Shenhua-power 2" xfId="236"/>
    <cellStyle name="—_Crib sheet_DCF ANALYSIS_ShenhuaPower(report tables)" xfId="237"/>
    <cellStyle name="—_Crib sheet_DCF ANALYSIS_ShenhuaPower(report tables) 2" xfId="238"/>
    <cellStyle name="—_Crib sheet_DCF ANALYSIS_ShenhuaPower(report tables)_ferrous &amp; non-ferrous" xfId="239"/>
    <cellStyle name="—_Crib sheet_DCF ANALYSIS_ShenhuaPower(report tables)_ferrous &amp; non-ferrous 2" xfId="240"/>
    <cellStyle name="—_Crib sheet_DCF ANALYSIS_Shenhua-power_ferrous &amp; non-ferrous" xfId="241"/>
    <cellStyle name="—_Crib sheet_DCF ANALYSIS_Shenhua-power_ferrous &amp; non-ferrous 2" xfId="242"/>
    <cellStyle name="—_Crib sheet_Delay Projects" xfId="243"/>
    <cellStyle name="—_Crib sheet_Delay Projects 2" xfId="244"/>
    <cellStyle name="—_Crib sheet_Delay Projects_Banpu_Charts" xfId="245"/>
    <cellStyle name="—_Crib sheet_Delay Projects_Banpu_Charts 2" xfId="246"/>
    <cellStyle name="—_Crib sheet_Delay Projects_ShenhuaPower(report tables)" xfId="247"/>
    <cellStyle name="—_Crib sheet_Delay Projects_ShenhuaPower(report tables) 2" xfId="248"/>
    <cellStyle name="—_Crib sheet_HKG" xfId="249"/>
    <cellStyle name="—_Crib sheet_HKG 2" xfId="250"/>
    <cellStyle name="—_Crib sheet_HKG_Banpu_Charts" xfId="251"/>
    <cellStyle name="—_Crib sheet_HKG_Banpu_Charts 2" xfId="252"/>
    <cellStyle name="—_Crib sheet_HKG_CPI1" xfId="253"/>
    <cellStyle name="—_Crib sheet_HKG_CPI1 2" xfId="254"/>
    <cellStyle name="—_Crib sheet_HKG_Sheet1" xfId="255"/>
    <cellStyle name="—_Crib sheet_HKG_Sheet1 2" xfId="256"/>
    <cellStyle name="—_Crib sheet_HKG_Shenhua-coal P&amp;L" xfId="257"/>
    <cellStyle name="—_Crib sheet_HKG_Shenhua-coal P&amp;L 2" xfId="258"/>
    <cellStyle name="—_Crib sheet_HKG_Shenhua-coal P&amp;L_ShenhuaPower(report tables)" xfId="259"/>
    <cellStyle name="—_Crib sheet_HKG_Shenhua-coal P&amp;L_ShenhuaPower(report tables) 2" xfId="260"/>
    <cellStyle name="—_Crib sheet_HKG_Shenhua-power" xfId="261"/>
    <cellStyle name="—_Crib sheet_HKG_Shenhua-power 2" xfId="262"/>
    <cellStyle name="—_Crib sheet_HKG_ShenhuaPower(report tables)" xfId="263"/>
    <cellStyle name="—_Crib sheet_HKG_ShenhuaPower(report tables) 2" xfId="264"/>
    <cellStyle name="—_Crib sheet_JiangxiCopperModel" xfId="265"/>
    <cellStyle name="—_Crib sheet_JiangxiCopperModel 2" xfId="266"/>
    <cellStyle name="—_Crib sheet_JiangxiCopperModel_Banpu_Charts" xfId="267"/>
    <cellStyle name="—_Crib sheet_JiangxiCopperModel_Banpu_Charts 2" xfId="268"/>
    <cellStyle name="—_Crib sheet_JiangxiCopperModel_ShenhuaPower(report tables)" xfId="269"/>
    <cellStyle name="—_Crib sheet_JiangxiCopperModel_ShenhuaPower(report tables) 2" xfId="270"/>
    <cellStyle name="—_Crib sheet_MaGangModel" xfId="271"/>
    <cellStyle name="—_Crib sheet_MaGangModel 2" xfId="272"/>
    <cellStyle name="—_Crib sheet_marketing charts" xfId="273"/>
    <cellStyle name="—_Crib sheet_marketing charts 2" xfId="274"/>
    <cellStyle name="—_Crib sheet_MERB" xfId="275"/>
    <cellStyle name="—_Crib sheet_MERB 2" xfId="276"/>
    <cellStyle name="—_Crib sheet_MERB_0405 Coal Trans" xfId="277"/>
    <cellStyle name="—_Crib sheet_MERB_0405 Coal Trans 2" xfId="278"/>
    <cellStyle name="—_Crib sheet_MERB_0405 Coal Trans_ferrous &amp; non-ferrous" xfId="279"/>
    <cellStyle name="—_Crib sheet_MERB_0405 Coal Trans_ferrous &amp; non-ferrous 2" xfId="280"/>
    <cellStyle name="—_Crib sheet_MERB_AngangModel" xfId="281"/>
    <cellStyle name="—_Crib sheet_MERB_AngangModel 2" xfId="282"/>
    <cellStyle name="—_Crib sheet_MERB_Banpu_Charts" xfId="283"/>
    <cellStyle name="—_Crib sheet_MERB_Banpu_Charts 2" xfId="284"/>
    <cellStyle name="—_Crib sheet_MERB_China steel sector initiation morning call handout Dec 10, 2004" xfId="285"/>
    <cellStyle name="—_Crib sheet_MERB_CPI1" xfId="286"/>
    <cellStyle name="—_Crib sheet_MERB_Delay Projects" xfId="287"/>
    <cellStyle name="—_Crib sheet_MERB_Delay Projects 2" xfId="288"/>
    <cellStyle name="—_Crib sheet_MERB_Delay Projects_Banpu_Charts" xfId="289"/>
    <cellStyle name="—_Crib sheet_MERB_Delay Projects_Banpu_Charts 2" xfId="290"/>
    <cellStyle name="—_Crib sheet_MERB_Delay Projects_ShenhuaPower(report tables)" xfId="291"/>
    <cellStyle name="—_Crib sheet_MERB_Delay Projects_ShenhuaPower(report tables) 2" xfId="292"/>
    <cellStyle name="—_Crib sheet_MERB_Delay Projects_ShenhuaPower(report tables)_ferrous &amp; non-ferrous" xfId="293"/>
    <cellStyle name="—_Crib sheet_MERB_Delay Projects_ShenhuaPower(report tables)_ferrous &amp; non-ferrous 2" xfId="294"/>
    <cellStyle name="—_Crib sheet_MERB_JiangxiCopperModel" xfId="295"/>
    <cellStyle name="—_Crib sheet_MERB_JiangxiCopperModel_Banpu_Charts" xfId="296"/>
    <cellStyle name="—_Crib sheet_MERB_JiangxiCopperModel_ShenhuaPower(report tables)" xfId="297"/>
    <cellStyle name="—_Crib sheet_MERB_MaGangModel" xfId="298"/>
    <cellStyle name="—_Crib sheet_MERB_MaGangModel 2" xfId="299"/>
    <cellStyle name="—_Crib sheet_MERB_marketing charts" xfId="300"/>
    <cellStyle name="—_Crib sheet_MERB_marketing charts 2" xfId="301"/>
    <cellStyle name="—_Crib sheet_MERB_marketing charts_ferrous &amp; non-ferrous" xfId="302"/>
    <cellStyle name="—_Crib sheet_MERB_marketing charts_ferrous &amp; non-ferrous 2" xfId="303"/>
    <cellStyle name="—_Crib sheet_MERB_Model" xfId="304"/>
    <cellStyle name="—_Crib sheet_MERB_Model 2" xfId="305"/>
    <cellStyle name="—_Crib sheet_MERB_Model_Banpu_Charts" xfId="306"/>
    <cellStyle name="—_Crib sheet_MERB_Model_Banpu_Charts 2" xfId="307"/>
    <cellStyle name="—_Crib sheet_MERB_Model_ShenhuaPower(report tables)" xfId="308"/>
    <cellStyle name="—_Crib sheet_MERB_Model_ShenhuaPower(report tables) 2" xfId="309"/>
    <cellStyle name="—_Crib sheet_MERB_Model_ShenhuaPower(report tables)_ferrous &amp; non-ferrous" xfId="310"/>
    <cellStyle name="—_Crib sheet_MERB_Model_ShenhuaPower(report tables)_ferrous &amp; non-ferrous 2" xfId="311"/>
    <cellStyle name="—_Crib sheet_MERB_Resources  valuation comp" xfId="312"/>
    <cellStyle name="—_Crib sheet_MERB_Resources  valuation comp_ShenhuaPower(report tables)" xfId="313"/>
    <cellStyle name="—_Crib sheet_MERB_Sheet1" xfId="314"/>
    <cellStyle name="—_Crib sheet_MERB_Sheet1_1" xfId="315"/>
    <cellStyle name="—_Crib sheet_MERB_Sheet1_1 2" xfId="316"/>
    <cellStyle name="—_Crib sheet_MERB_Sheet1_1_ferrous &amp; non-ferrous" xfId="317"/>
    <cellStyle name="—_Crib sheet_MERB_Sheet1_1_ferrous &amp; non-ferrous 2" xfId="318"/>
    <cellStyle name="—_Crib sheet_MERB_Shenhua-coal P&amp;L" xfId="319"/>
    <cellStyle name="—_Crib sheet_MERB_Shenhua-coal P&amp;L 2" xfId="320"/>
    <cellStyle name="—_Crib sheet_MERB_Shenhua-coal P&amp;L_ShenhuaPower(report tables)" xfId="321"/>
    <cellStyle name="—_Crib sheet_MERB_Shenhua-coal P&amp;L_ShenhuaPower(report tables) 2" xfId="322"/>
    <cellStyle name="—_Crib sheet_MERB_Shenhua-coal P&amp;L_ShenhuaPower(report tables)_ferrous &amp; non-ferrous" xfId="323"/>
    <cellStyle name="—_Crib sheet_MERB_Shenhua-coal P&amp;L_ShenhuaPower(report tables)_ferrous &amp; non-ferrous 2" xfId="324"/>
    <cellStyle name="—_Crib sheet_MERB_ShenhuaModel" xfId="325"/>
    <cellStyle name="—_Crib sheet_MERB_ShenhuaModel 2" xfId="326"/>
    <cellStyle name="—_Crib sheet_MERB_ShenhuaModel_ferrous &amp; non-ferrous" xfId="327"/>
    <cellStyle name="—_Crib sheet_MERB_ShenhuaModel_ferrous &amp; non-ferrous 2" xfId="328"/>
    <cellStyle name="—_Crib sheet_MERB_Shenhua-power" xfId="329"/>
    <cellStyle name="—_Crib sheet_MERB_ShenhuaPower(report tables)" xfId="330"/>
    <cellStyle name="—_Crib sheet_MERB_StandardPacificChenLei020806" xfId="331"/>
    <cellStyle name="—_Crib sheet_MERB_StandardPacificChenLei020806 2" xfId="332"/>
    <cellStyle name="—_Crib sheet_MERB_StandardPacificChenLei020806_ferrous &amp; non-ferrous" xfId="333"/>
    <cellStyle name="—_Crib sheet_MERB_StandardPacificChenLei020806_ferrous &amp; non-ferrous 2" xfId="334"/>
    <cellStyle name="—_Crib sheet_MERB_YanzhouCoalModel" xfId="335"/>
    <cellStyle name="—_Crib sheet_MERB_YanzhouCoalModel 2" xfId="336"/>
    <cellStyle name="—_Crib sheet_MERB_YanzhouCoalModel_Banpu_Charts" xfId="337"/>
    <cellStyle name="—_Crib sheet_MERB_YanzhouCoalModel_Banpu_Charts 2" xfId="338"/>
    <cellStyle name="—_Crib sheet_MERB_YanzhouCoalModel_ShenhuaPower(report tables)" xfId="339"/>
    <cellStyle name="—_Crib sheet_MERB_YanzhouCoalModel_ShenhuaPower(report tables) 2" xfId="340"/>
    <cellStyle name="—_Crib sheet_MERB_YanzhouCoalModel_ShenhuaPower(report tables)_ferrous &amp; non-ferrous" xfId="341"/>
    <cellStyle name="—_Crib sheet_MERB_YanzhouCoalModel_ShenhuaPower(report tables)_ferrous &amp; non-ferrous 2" xfId="342"/>
    <cellStyle name="—_Crib sheet_Model" xfId="343"/>
    <cellStyle name="—_Crib sheet_Model 2" xfId="344"/>
    <cellStyle name="—_Crib sheet_Model_Banpu_Charts" xfId="345"/>
    <cellStyle name="—_Crib sheet_Model_Banpu_Charts 2" xfId="346"/>
    <cellStyle name="—_Crib sheet_Model_ShenhuaPower(report tables)" xfId="347"/>
    <cellStyle name="—_Crib sheet_Model_ShenhuaPower(report tables) 2" xfId="348"/>
    <cellStyle name="—_Crib sheet_Resources  valuation comp" xfId="349"/>
    <cellStyle name="—_Crib sheet_Resources  valuation comp 2" xfId="350"/>
    <cellStyle name="—_Crib sheet_Resources  valuation comp_ShenhuaPower(report tables)" xfId="351"/>
    <cellStyle name="—_Crib sheet_Resources  valuation comp_ShenhuaPower(report tables) 2" xfId="352"/>
    <cellStyle name="—_Crib sheet_Sheet1" xfId="353"/>
    <cellStyle name="—_Crib sheet_Sheet1 2" xfId="354"/>
    <cellStyle name="—_Crib sheet_Sheet1_1" xfId="355"/>
    <cellStyle name="—_Crib sheet_Sheet1_1 2" xfId="356"/>
    <cellStyle name="—_Crib sheet_Shenhua-coal P&amp;L" xfId="357"/>
    <cellStyle name="—_Crib sheet_Shenhua-coal P&amp;L 2" xfId="358"/>
    <cellStyle name="—_Crib sheet_Shenhua-coal P&amp;L_ShenhuaPower(report tables)" xfId="359"/>
    <cellStyle name="—_Crib sheet_Shenhua-coal P&amp;L_ShenhuaPower(report tables) 2" xfId="360"/>
    <cellStyle name="—_Crib sheet_ShenhuaModel" xfId="361"/>
    <cellStyle name="—_Crib sheet_ShenhuaModel 2" xfId="362"/>
    <cellStyle name="—_Crib sheet_Shenhua-power" xfId="363"/>
    <cellStyle name="—_Crib sheet_Shenhua-power 2" xfId="364"/>
    <cellStyle name="—_Crib sheet_ShenhuaPower(report tables)" xfId="365"/>
    <cellStyle name="—_Crib sheet_ShenhuaPower(report tables) 2" xfId="366"/>
    <cellStyle name="—_Crib sheet_StandardPacificChenLei020806" xfId="367"/>
    <cellStyle name="—_Crib sheet_StandardPacificChenLei020806 2" xfId="368"/>
    <cellStyle name="—_Crib sheet_Valuation (2)" xfId="369"/>
    <cellStyle name="—_Crib sheet_Valuation (2) 2" xfId="370"/>
    <cellStyle name="—_Crib sheet_Valuation (2)_Banpu_Charts" xfId="371"/>
    <cellStyle name="—_Crib sheet_Valuation (2)_Banpu_Charts 2" xfId="372"/>
    <cellStyle name="—_Crib sheet_Valuation (2)_CPI1" xfId="373"/>
    <cellStyle name="—_Crib sheet_Valuation (2)_CPI1 2" xfId="374"/>
    <cellStyle name="—_Crib sheet_Valuation (2)_Sheet1" xfId="375"/>
    <cellStyle name="—_Crib sheet_Valuation (2)_Sheet1 2" xfId="376"/>
    <cellStyle name="—_Crib sheet_Valuation (2)_Shenhua-coal P&amp;L" xfId="377"/>
    <cellStyle name="—_Crib sheet_Valuation (2)_Shenhua-coal P&amp;L 2" xfId="378"/>
    <cellStyle name="—_Crib sheet_Valuation (2)_Shenhua-coal P&amp;L_ShenhuaPower(report tables)" xfId="379"/>
    <cellStyle name="—_Crib sheet_Valuation (2)_Shenhua-coal P&amp;L_ShenhuaPower(report tables) 2" xfId="380"/>
    <cellStyle name="—_Crib sheet_Valuation (2)_Shenhua-power" xfId="381"/>
    <cellStyle name="—_Crib sheet_Valuation (2)_Shenhua-power 2" xfId="382"/>
    <cellStyle name="—_Crib sheet_Valuation (2)_ShenhuaPower(report tables)" xfId="383"/>
    <cellStyle name="—_Crib sheet_Valuation (2)_ShenhuaPower(report tables) 2" xfId="384"/>
    <cellStyle name="—_Crib sheet_YanzhouCoalModel" xfId="385"/>
    <cellStyle name="—_Crib sheet_YanzhouCoalModel 2" xfId="386"/>
    <cellStyle name="—_Crib sheet_YanzhouCoalModel_Banpu_Charts" xfId="387"/>
    <cellStyle name="—_Crib sheet_YanzhouCoalModel_Banpu_Charts 2" xfId="388"/>
    <cellStyle name="—_Crib sheet_YanzhouCoalModel_ShenhuaPower(report tables)" xfId="389"/>
    <cellStyle name="—_Crib sheet_YanzhouCoalModel_ShenhuaPower(report tables) 2" xfId="390"/>
    <cellStyle name="—_CSC PBV data" xfId="391"/>
    <cellStyle name="—_CSC PBV data 2" xfId="392"/>
    <cellStyle name="_CSN_GS" xfId="393"/>
    <cellStyle name="_CSN_GS 2" xfId="394"/>
    <cellStyle name="_CSN_GS 2 2" xfId="395"/>
    <cellStyle name="_CSN_upgrade_Jan06" xfId="396"/>
    <cellStyle name="_CSN_upgrade_Jan06 2" xfId="397"/>
    <cellStyle name="_CSN_upgrade_Jan06 2 2" xfId="398"/>
    <cellStyle name="_Currency" xfId="399"/>
    <cellStyle name="_Currency 2" xfId="400"/>
    <cellStyle name="_Currency 2 2" xfId="401"/>
    <cellStyle name="_CurrencySpace" xfId="402"/>
    <cellStyle name="_CurrencySpace 2" xfId="403"/>
    <cellStyle name="_CurrencySpace 2 2" xfId="404"/>
    <cellStyle name="_DCF" xfId="405"/>
    <cellStyle name="_DCF 2" xfId="406"/>
    <cellStyle name="_DCF 2 2" xfId="407"/>
    <cellStyle name="—_DCF ANALYSIS" xfId="408"/>
    <cellStyle name="—_DCF ANALYSIS 2" xfId="409"/>
    <cellStyle name="—_DCF ANALYSIS_0405 Coal Trans" xfId="410"/>
    <cellStyle name="—_DCF ANALYSIS_0405 Coal Trans 2" xfId="411"/>
    <cellStyle name="—_DCF ANALYSIS_0405 Coal Trans_ferrous &amp; non-ferrous" xfId="412"/>
    <cellStyle name="—_DCF ANALYSIS_0405 Coal Trans_ferrous &amp; non-ferrous 2" xfId="413"/>
    <cellStyle name="—_DCF ANALYSIS_AngangModel" xfId="414"/>
    <cellStyle name="—_DCF ANALYSIS_AngangModel 2" xfId="415"/>
    <cellStyle name="—_DCF ANALYSIS_Banpu_Charts" xfId="416"/>
    <cellStyle name="—_DCF ANALYSIS_Banpu_Charts 2" xfId="417"/>
    <cellStyle name="—_DCF ANALYSIS_China steel sector initiation morning call handout Dec 10, 2004" xfId="418"/>
    <cellStyle name="—_DCF ANALYSIS_CPI1" xfId="419"/>
    <cellStyle name="—_DCF ANALYSIS_Delay Projects" xfId="420"/>
    <cellStyle name="—_DCF ANALYSIS_Delay Projects 2" xfId="421"/>
    <cellStyle name="—_DCF ANALYSIS_Delay Projects_Banpu_Charts" xfId="422"/>
    <cellStyle name="—_DCF ANALYSIS_Delay Projects_Banpu_Charts 2" xfId="423"/>
    <cellStyle name="—_DCF ANALYSIS_Delay Projects_ShenhuaPower(report tables)" xfId="424"/>
    <cellStyle name="—_DCF ANALYSIS_Delay Projects_ShenhuaPower(report tables) 2" xfId="425"/>
    <cellStyle name="—_DCF ANALYSIS_Delay Projects_ShenhuaPower(report tables)_ferrous &amp; non-ferrous" xfId="426"/>
    <cellStyle name="—_DCF ANALYSIS_Delay Projects_ShenhuaPower(report tables)_ferrous &amp; non-ferrous 2" xfId="427"/>
    <cellStyle name="—_DCF ANALYSIS_JiangxiCopperModel" xfId="428"/>
    <cellStyle name="—_DCF ANALYSIS_JiangxiCopperModel_Banpu_Charts" xfId="429"/>
    <cellStyle name="—_DCF ANALYSIS_JiangxiCopperModel_ShenhuaPower(report tables)" xfId="430"/>
    <cellStyle name="—_DCF ANALYSIS_MaGangModel" xfId="431"/>
    <cellStyle name="—_DCF ANALYSIS_MaGangModel 2" xfId="432"/>
    <cellStyle name="—_DCF ANALYSIS_marketing charts" xfId="433"/>
    <cellStyle name="—_DCF ANALYSIS_marketing charts 2" xfId="434"/>
    <cellStyle name="—_DCF ANALYSIS_marketing charts_ferrous &amp; non-ferrous" xfId="435"/>
    <cellStyle name="—_DCF ANALYSIS_marketing charts_ferrous &amp; non-ferrous 2" xfId="436"/>
    <cellStyle name="—_DCF ANALYSIS_Model" xfId="437"/>
    <cellStyle name="—_DCF ANALYSIS_Model 2" xfId="438"/>
    <cellStyle name="—_DCF ANALYSIS_Model_Banpu_Charts" xfId="439"/>
    <cellStyle name="—_DCF ANALYSIS_Model_Banpu_Charts 2" xfId="440"/>
    <cellStyle name="—_DCF ANALYSIS_Model_ShenhuaPower(report tables)" xfId="441"/>
    <cellStyle name="—_DCF ANALYSIS_Model_ShenhuaPower(report tables) 2" xfId="442"/>
    <cellStyle name="—_DCF ANALYSIS_Model_ShenhuaPower(report tables)_ferrous &amp; non-ferrous" xfId="443"/>
    <cellStyle name="—_DCF ANALYSIS_Model_ShenhuaPower(report tables)_ferrous &amp; non-ferrous 2" xfId="444"/>
    <cellStyle name="—_DCF ANALYSIS_Resources  valuation comp" xfId="445"/>
    <cellStyle name="—_DCF ANALYSIS_Resources  valuation comp_ShenhuaPower(report tables)" xfId="446"/>
    <cellStyle name="—_DCF ANALYSIS_Sheet1" xfId="447"/>
    <cellStyle name="—_DCF ANALYSIS_Sheet1_1" xfId="448"/>
    <cellStyle name="—_DCF ANALYSIS_Sheet1_1 2" xfId="449"/>
    <cellStyle name="—_DCF ANALYSIS_Sheet1_1_ferrous &amp; non-ferrous" xfId="450"/>
    <cellStyle name="—_DCF ANALYSIS_Sheet1_1_ferrous &amp; non-ferrous 2" xfId="451"/>
    <cellStyle name="—_DCF ANALYSIS_Shenhua-coal P&amp;L" xfId="452"/>
    <cellStyle name="—_DCF ANALYSIS_Shenhua-coal P&amp;L 2" xfId="453"/>
    <cellStyle name="—_DCF ANALYSIS_Shenhua-coal P&amp;L_ShenhuaPower(report tables)" xfId="454"/>
    <cellStyle name="—_DCF ANALYSIS_Shenhua-coal P&amp;L_ShenhuaPower(report tables) 2" xfId="455"/>
    <cellStyle name="—_DCF ANALYSIS_Shenhua-coal P&amp;L_ShenhuaPower(report tables)_ferrous &amp; non-ferrous" xfId="456"/>
    <cellStyle name="—_DCF ANALYSIS_Shenhua-coal P&amp;L_ShenhuaPower(report tables)_ferrous &amp; non-ferrous 2" xfId="457"/>
    <cellStyle name="—_DCF ANALYSIS_ShenhuaModel" xfId="458"/>
    <cellStyle name="—_DCF ANALYSIS_ShenhuaModel 2" xfId="459"/>
    <cellStyle name="—_DCF ANALYSIS_ShenhuaModel_ferrous &amp; non-ferrous" xfId="460"/>
    <cellStyle name="—_DCF ANALYSIS_ShenhuaModel_ferrous &amp; non-ferrous 2" xfId="461"/>
    <cellStyle name="—_DCF ANALYSIS_Shenhua-power" xfId="462"/>
    <cellStyle name="—_DCF ANALYSIS_ShenhuaPower(report tables)" xfId="463"/>
    <cellStyle name="—_DCF ANALYSIS_StandardPacificChenLei020806" xfId="464"/>
    <cellStyle name="—_DCF ANALYSIS_StandardPacificChenLei020806 2" xfId="465"/>
    <cellStyle name="—_DCF ANALYSIS_StandardPacificChenLei020806_ferrous &amp; non-ferrous" xfId="466"/>
    <cellStyle name="—_DCF ANALYSIS_StandardPacificChenLei020806_ferrous &amp; non-ferrous 2" xfId="467"/>
    <cellStyle name="—_DCF ANALYSIS_YanzhouCoalModel" xfId="468"/>
    <cellStyle name="—_DCF ANALYSIS_YanzhouCoalModel 2" xfId="469"/>
    <cellStyle name="—_DCF ANALYSIS_YanzhouCoalModel_Banpu_Charts" xfId="470"/>
    <cellStyle name="—_DCF ANALYSIS_YanzhouCoalModel_Banpu_Charts 2" xfId="471"/>
    <cellStyle name="—_DCF ANALYSIS_YanzhouCoalModel_ShenhuaPower(report tables)" xfId="472"/>
    <cellStyle name="—_DCF ANALYSIS_YanzhouCoalModel_ShenhuaPower(report tables) 2" xfId="473"/>
    <cellStyle name="—_DCF ANALYSIS_YanzhouCoalModel_ShenhuaPower(report tables)_ferrous &amp; non-ferrous" xfId="474"/>
    <cellStyle name="—_DCF ANALYSIS_YanzhouCoalModel_ShenhuaPower(report tables)_ferrous &amp; non-ferrous 2" xfId="475"/>
    <cellStyle name="—_Delay Projects" xfId="476"/>
    <cellStyle name="—_Delay Projects 2" xfId="477"/>
    <cellStyle name="—_Delay Projects_ferrous &amp; non-ferrous" xfId="478"/>
    <cellStyle name="—_Delay Projects_ferrous &amp; non-ferrous 2" xfId="479"/>
    <cellStyle name="—_EM_CMHKconsolidatednew_WIP.xls Chart 1" xfId="480"/>
    <cellStyle name="—_EM_CMHKconsolidatednew_WIP.xls Chart 1_Banpu_Charts" xfId="481"/>
    <cellStyle name="—_EM_CMHKconsolidatednew_WIP.xls Chart 1_Book8" xfId="482"/>
    <cellStyle name="—_EM_CMHKconsolidatednew_WIP.xls Chart 1_Book8_Banpu_Charts" xfId="483"/>
    <cellStyle name="—_EM_CMHKconsolidatednew_WIP.xls Chart 1_Book8_ShenhuaPower(report tables)" xfId="484"/>
    <cellStyle name="—_EM_CMHKconsolidatednew_WIP.xls Chart 1_EM-LGT_Published" xfId="485"/>
    <cellStyle name="—_EM_CMHKconsolidatednew_WIP.xls Chart 1_EM-LGT_Published_Banpu_Charts" xfId="486"/>
    <cellStyle name="—_EM_CMHKconsolidatednew_WIP.xls Chart 1_EM-LGT_Published_ShenhuaPower(report tables)" xfId="487"/>
    <cellStyle name="—_EM_CMHKconsolidatednew_WIP.xls Chart 1_ShenhuaPower(report tables)" xfId="488"/>
    <cellStyle name="—_EM_CMHKconsolidatednew_WIP.xls Chart 1_Telecom quarterly_final" xfId="489"/>
    <cellStyle name="—_EM_CMHKconsolidatednew_WIP.xls Chart 1_Telecom quarterly_final_Banpu_Charts" xfId="490"/>
    <cellStyle name="—_EM_CMHKconsolidatednew_WIP.xls Chart 1_Telecom quarterly_final_Book8" xfId="491"/>
    <cellStyle name="—_EM_CMHKconsolidatednew_WIP.xls Chart 1_Telecom quarterly_final_Book8_Banpu_Charts" xfId="492"/>
    <cellStyle name="—_EM_CMHKconsolidatednew_WIP.xls Chart 1_Telecom quarterly_final_Book8_ShenhuaPower(report tables)" xfId="493"/>
    <cellStyle name="—_EM_CMHKconsolidatednew_WIP.xls Chart 1_Telecom quarterly_final_EM-LGT_Published" xfId="494"/>
    <cellStyle name="—_EM_CMHKconsolidatednew_WIP.xls Chart 1_Telecom quarterly_final_EM-LGT_Published_Banpu_Charts" xfId="495"/>
    <cellStyle name="—_EM_CMHKconsolidatednew_WIP.xls Chart 1_Telecom quarterly_final_EM-LGT_Published_ShenhuaPower(report tables)" xfId="496"/>
    <cellStyle name="—_EM_CMHKconsolidatednew_WIP.xls Chart 1_Telecom quarterly_final_ShenhuaPower(report tables)" xfId="497"/>
    <cellStyle name="—_EM-KT.xls Chart 1" xfId="498"/>
    <cellStyle name="—_EM-KT.xls Chart 1 2" xfId="499"/>
    <cellStyle name="—_EM-KT.xls Chart 1_Banpu_Charts" xfId="500"/>
    <cellStyle name="—_EM-KT.xls Chart 1_Banpu_Charts 2" xfId="501"/>
    <cellStyle name="—_EM-KT.xls Chart 1_ShenhuaPower(report tables)" xfId="502"/>
    <cellStyle name="—_EM-KT.xls Chart 1_ShenhuaPower(report tables) 2" xfId="503"/>
    <cellStyle name="—_EM-KT.xls Chart 1_ShenhuaPower(report tables)_ferrous &amp; non-ferrous" xfId="504"/>
    <cellStyle name="—_EM-KT.xls Chart 1_ShenhuaPower(report tables)_ferrous &amp; non-ferrous 2" xfId="505"/>
    <cellStyle name="—_EM-KT.xls Chart 2" xfId="506"/>
    <cellStyle name="—_EM-KT.xls Chart 2 2" xfId="507"/>
    <cellStyle name="—_EM-KT.xls Chart 2_Banpu_Charts" xfId="508"/>
    <cellStyle name="—_EM-KT.xls Chart 2_Banpu_Charts 2" xfId="509"/>
    <cellStyle name="—_EM-KT.xls Chart 2_ShenhuaPower(report tables)" xfId="510"/>
    <cellStyle name="—_EM-KT.xls Chart 2_ShenhuaPower(report tables) 2" xfId="511"/>
    <cellStyle name="—_EM-KT.xls Chart 2_ShenhuaPower(report tables)_ferrous &amp; non-ferrous" xfId="512"/>
    <cellStyle name="—_EM-KT.xls Chart 2_ShenhuaPower(report tables)_ferrous &amp; non-ferrous 2" xfId="513"/>
    <cellStyle name="—_EM-KT.xls Chart 3" xfId="514"/>
    <cellStyle name="—_EM-KT.xls Chart 3 2" xfId="515"/>
    <cellStyle name="—_EM-KT.xls Chart 3_Banpu_Charts" xfId="516"/>
    <cellStyle name="—_EM-KT.xls Chart 3_Banpu_Charts 2" xfId="517"/>
    <cellStyle name="—_EM-KT.xls Chart 3_ShenhuaPower(report tables)" xfId="518"/>
    <cellStyle name="—_EM-KT.xls Chart 3_ShenhuaPower(report tables) 2" xfId="519"/>
    <cellStyle name="—_EM-KT.xls Chart 3_ShenhuaPower(report tables)_ferrous &amp; non-ferrous" xfId="520"/>
    <cellStyle name="—_EM-KT.xls Chart 3_ShenhuaPower(report tables)_ferrous &amp; non-ferrous 2" xfId="521"/>
    <cellStyle name="—_EM-KTnew" xfId="522"/>
    <cellStyle name="—_EM-KTnew 2" xfId="523"/>
    <cellStyle name="—_EM-KTnew_Banpu_Charts" xfId="524"/>
    <cellStyle name="—_EM-KTnew_Banpu_Charts 2" xfId="525"/>
    <cellStyle name="—_EM-KTnew_ShenhuaPower(report tables)" xfId="526"/>
    <cellStyle name="—_EM-KTnew_ShenhuaPower(report tables) 2" xfId="527"/>
    <cellStyle name="—_EM-KTnew_ShenhuaPower(report tables)_ferrous &amp; non-ferrous" xfId="528"/>
    <cellStyle name="—_EM-KTnew_ShenhuaPower(report tables)_ferrous &amp; non-ferrous 2" xfId="529"/>
    <cellStyle name="—_EM-PLDT" xfId="530"/>
    <cellStyle name="—_EM-PLDT 2" xfId="531"/>
    <cellStyle name="—_EM-PLDT_Banpu_Charts" xfId="532"/>
    <cellStyle name="—_EM-PLDT_Banpu_Charts 2" xfId="533"/>
    <cellStyle name="—_EM-PLDT_ShenhuaPower(report tables)" xfId="534"/>
    <cellStyle name="—_EM-PLDT_ShenhuaPower(report tables) 2" xfId="535"/>
    <cellStyle name="—_EM-PLDT_ShenhuaPower(report tables)_ferrous &amp; non-ferrous" xfId="536"/>
    <cellStyle name="—_EM-PLDT_ShenhuaPower(report tables)_ferrous &amp; non-ferrous 2" xfId="537"/>
    <cellStyle name="—_EM-SKTelecom_old" xfId="538"/>
    <cellStyle name="—_EM-SKTelecom_old 2" xfId="539"/>
    <cellStyle name="—_EM-SKTelecom_old_Banpu_Charts" xfId="540"/>
    <cellStyle name="—_EM-SKTelecom_old_Banpu_Charts 2" xfId="541"/>
    <cellStyle name="—_EM-SKTelecom_old_Book7" xfId="542"/>
    <cellStyle name="—_EM-SKTelecom_old_Book7 2" xfId="543"/>
    <cellStyle name="—_EM-SKTelecom_old_Book7_Banpu_Charts" xfId="544"/>
    <cellStyle name="—_EM-SKTelecom_old_Book7_Banpu_Charts 2" xfId="545"/>
    <cellStyle name="—_EM-SKTelecom_old_Book7_ShenhuaPower(report tables)" xfId="546"/>
    <cellStyle name="—_EM-SKTelecom_old_Book7_ShenhuaPower(report tables) 2" xfId="547"/>
    <cellStyle name="—_EM-SKTelecom_old_Book7_ShenhuaPower(report tables)_ferrous &amp; non-ferrous" xfId="548"/>
    <cellStyle name="—_EM-SKTelecom_old_Book7_ShenhuaPower(report tables)_ferrous &amp; non-ferrous 2" xfId="549"/>
    <cellStyle name="—_EM-SKTelecom_old_EM-KT.xls Chart 1" xfId="550"/>
    <cellStyle name="—_EM-SKTelecom_old_EM-KT.xls Chart 1 2" xfId="551"/>
    <cellStyle name="—_EM-SKTelecom_old_EM-KT.xls Chart 1_Banpu_Charts" xfId="552"/>
    <cellStyle name="—_EM-SKTelecom_old_EM-KT.xls Chart 1_Banpu_Charts 2" xfId="553"/>
    <cellStyle name="—_EM-SKTelecom_old_EM-KT.xls Chart 1_ShenhuaPower(report tables)" xfId="554"/>
    <cellStyle name="—_EM-SKTelecom_old_EM-KT.xls Chart 1_ShenhuaPower(report tables) 2" xfId="555"/>
    <cellStyle name="—_EM-SKTelecom_old_EM-KT.xls Chart 1_ShenhuaPower(report tables)_ferrous &amp; non-ferrous" xfId="556"/>
    <cellStyle name="—_EM-SKTelecom_old_EM-KT.xls Chart 1_ShenhuaPower(report tables)_ferrous &amp; non-ferrous 2" xfId="557"/>
    <cellStyle name="—_EM-SKTelecom_old_EM-KT.xls Chart 2" xfId="558"/>
    <cellStyle name="—_EM-SKTelecom_old_EM-KT.xls Chart 2 2" xfId="559"/>
    <cellStyle name="—_EM-SKTelecom_old_EM-KT.xls Chart 2_Banpu_Charts" xfId="560"/>
    <cellStyle name="—_EM-SKTelecom_old_EM-KT.xls Chart 2_Banpu_Charts 2" xfId="561"/>
    <cellStyle name="—_EM-SKTelecom_old_EM-KT.xls Chart 2_ShenhuaPower(report tables)" xfId="562"/>
    <cellStyle name="—_EM-SKTelecom_old_EM-KT.xls Chart 2_ShenhuaPower(report tables) 2" xfId="563"/>
    <cellStyle name="—_EM-SKTelecom_old_EM-KT.xls Chart 2_ShenhuaPower(report tables)_ferrous &amp; non-ferrous" xfId="564"/>
    <cellStyle name="—_EM-SKTelecom_old_EM-KT.xls Chart 2_ShenhuaPower(report tables)_ferrous &amp; non-ferrous 2" xfId="565"/>
    <cellStyle name="—_EM-SKTelecom_old_EM-KT.xls Chart 3" xfId="566"/>
    <cellStyle name="—_EM-SKTelecom_old_EM-KT.xls Chart 3 2" xfId="567"/>
    <cellStyle name="—_EM-SKTelecom_old_EM-KT.xls Chart 3_Banpu_Charts" xfId="568"/>
    <cellStyle name="—_EM-SKTelecom_old_EM-KT.xls Chart 3_Banpu_Charts 2" xfId="569"/>
    <cellStyle name="—_EM-SKTelecom_old_EM-KT.xls Chart 3_ShenhuaPower(report tables)" xfId="570"/>
    <cellStyle name="—_EM-SKTelecom_old_EM-KT.xls Chart 3_ShenhuaPower(report tables) 2" xfId="571"/>
    <cellStyle name="—_EM-SKTelecom_old_EM-KT.xls Chart 3_ShenhuaPower(report tables)_ferrous &amp; non-ferrous" xfId="572"/>
    <cellStyle name="—_EM-SKTelecom_old_EM-KT.xls Chart 3_ShenhuaPower(report tables)_ferrous &amp; non-ferrous 2" xfId="573"/>
    <cellStyle name="—_EM-SKTelecom_old_EM-KTnew" xfId="574"/>
    <cellStyle name="—_EM-SKTelecom_old_EM-KTnew 2" xfId="575"/>
    <cellStyle name="—_EM-SKTelecom_old_EM-KTnew_Banpu_Charts" xfId="576"/>
    <cellStyle name="—_EM-SKTelecom_old_EM-KTnew_Banpu_Charts 2" xfId="577"/>
    <cellStyle name="—_EM-SKTelecom_old_EM-KTnew_ShenhuaPower(report tables)" xfId="578"/>
    <cellStyle name="—_EM-SKTelecom_old_EM-KTnew_ShenhuaPower(report tables) 2" xfId="579"/>
    <cellStyle name="—_EM-SKTelecom_old_EM-KTnew_ShenhuaPower(report tables)_ferrous &amp; non-ferrous" xfId="580"/>
    <cellStyle name="—_EM-SKTelecom_old_EM-KTnew_ShenhuaPower(report tables)_ferrous &amp; non-ferrous 2" xfId="581"/>
    <cellStyle name="—_EM-SKTelecom_old_qrtly" xfId="582"/>
    <cellStyle name="—_EM-SKTelecom_old_qrtly 2" xfId="583"/>
    <cellStyle name="—_EM-SKTelecom_old_qrtly_Banpu_Charts" xfId="584"/>
    <cellStyle name="—_EM-SKTelecom_old_qrtly_Banpu_Charts 2" xfId="585"/>
    <cellStyle name="—_EM-SKTelecom_old_qrtly_ShenhuaPower(report tables)" xfId="586"/>
    <cellStyle name="—_EM-SKTelecom_old_qrtly_ShenhuaPower(report tables) 2" xfId="587"/>
    <cellStyle name="—_EM-SKTelecom_old_qrtly_ShenhuaPower(report tables)_ferrous &amp; non-ferrous" xfId="588"/>
    <cellStyle name="—_EM-SKTelecom_old_qrtly_ShenhuaPower(report tables)_ferrous &amp; non-ferrous 2" xfId="589"/>
    <cellStyle name="—_EM-SKTelecom_old_ShenhuaPower(report tables)" xfId="590"/>
    <cellStyle name="—_EM-SKTelecom_old_ShenhuaPower(report tables) 2" xfId="591"/>
    <cellStyle name="—_EM-SKTelecom_old_ShenhuaPower(report tables)_ferrous &amp; non-ferrous" xfId="592"/>
    <cellStyle name="—_EM-SKTelecom_old_ShenhuaPower(report tables)_ferrous &amp; non-ferrous 2" xfId="593"/>
    <cellStyle name="_Euro" xfId="594"/>
    <cellStyle name="_Euro 2" xfId="595"/>
    <cellStyle name="_Euro 2 2" xfId="596"/>
    <cellStyle name="—_Fidelity_wireless_May27_2002" xfId="597"/>
    <cellStyle name="—_Fidelity_wireless_May27_2002 2" xfId="598"/>
    <cellStyle name="—_Fidelity_wireless_May27_2002_ferrous &amp; non-ferrous" xfId="599"/>
    <cellStyle name="—_Fidelity_wireless_May27_2002_ferrous &amp; non-ferrous 2" xfId="600"/>
    <cellStyle name="_Financial instruments" xfId="601"/>
    <cellStyle name="_Financial instruments 2" xfId="602"/>
    <cellStyle name="—_Freeport-PBVData" xfId="603"/>
    <cellStyle name="—_Freeport-PBVData 2" xfId="604"/>
    <cellStyle name="_Global Comps - Full Service - 12 Jan  2001" xfId="605"/>
    <cellStyle name="_Global Comps - Full Service - 12 Jan  2001 2" xfId="606"/>
    <cellStyle name="_Global Comps - Full Service - 18 June 2001" xfId="607"/>
    <cellStyle name="_Global Comps - Full Service - 18 June 2001 2" xfId="608"/>
    <cellStyle name="_Global Comps - Full Service - 20 June 2001" xfId="609"/>
    <cellStyle name="_Global Comps - Full Service - 20 June 2001 2" xfId="610"/>
    <cellStyle name="—_GS Assumptions-F" xfId="611"/>
    <cellStyle name="—_GS Assumptions-F 2" xfId="612"/>
    <cellStyle name="—_GS Assumptions-F_Banpu_Charts" xfId="613"/>
    <cellStyle name="—_GS Assumptions-F_Banpu_Charts 2" xfId="614"/>
    <cellStyle name="—_GS Assumptions-F_CSC PBV data" xfId="615"/>
    <cellStyle name="—_GS Assumptions-F_CSC PBV data 2" xfId="616"/>
    <cellStyle name="—_GS Assumptions-F_Freeport-PBVData" xfId="617"/>
    <cellStyle name="—_GS Assumptions-F_Freeport-PBVData 2" xfId="618"/>
    <cellStyle name="—_GS Assumptions-F_PhelpsDolge-PBVData" xfId="619"/>
    <cellStyle name="—_GS Assumptions-F_PhelpsDolge-PBVData 2" xfId="620"/>
    <cellStyle name="—_GS Assumptions-F_POSCO PBV data" xfId="621"/>
    <cellStyle name="—_GS Assumptions-F_POSCO PBV data 2" xfId="622"/>
    <cellStyle name="—_GS Assumptions-F_Resources comp - quantum" xfId="623"/>
    <cellStyle name="—_GS Assumptions-F_Resources comp - quantum 2" xfId="624"/>
    <cellStyle name="—_GS Assumptions-F_Resources comp - quantum_Banpu_Charts" xfId="625"/>
    <cellStyle name="—_GS Assumptions-F_Resources comp - quantum_Banpu_Charts 2" xfId="626"/>
    <cellStyle name="—_GS Assumptions-F_Resources comp - quantum_ShenhuaPower(report tables)" xfId="627"/>
    <cellStyle name="—_GS Assumptions-F_Resources comp - quantum_ShenhuaPower(report tables) 2" xfId="628"/>
    <cellStyle name="—_GS Assumptions-F_Resources comp - quantum_ShenhuaPower(report tables)_ferrous &amp; non-ferrous" xfId="629"/>
    <cellStyle name="—_GS Assumptions-F_Resources comp - quantum_ShenhuaPower(report tables)_ferrous &amp; non-ferrous 2" xfId="630"/>
    <cellStyle name="—_GS Assumptions-F_ShenhuaPower(report tables)" xfId="631"/>
    <cellStyle name="—_GS Assumptions-F_ShenhuaPower(report tables) 2" xfId="632"/>
    <cellStyle name="—_GS Assumptions-F_ShenhuaPower(report tables)_ferrous &amp; non-ferrous" xfId="633"/>
    <cellStyle name="—_GS Assumptions-F_ShenhuaPower(report tables)_ferrous &amp; non-ferrous 2" xfId="634"/>
    <cellStyle name="—_GS Assumptions-F_Vedenta-PBVData" xfId="635"/>
    <cellStyle name="—_GS Assumptions-F_Vedenta-PBVData 2" xfId="636"/>
    <cellStyle name="—_GS Assumptions-F_Xstrata-PBVData" xfId="637"/>
    <cellStyle name="—_GS Assumptions-F_Xstrata-PBVData 2" xfId="638"/>
    <cellStyle name="—_GS_Balance" xfId="639"/>
    <cellStyle name="—_GS_Balance 2" xfId="640"/>
    <cellStyle name="—_GS_Balance_Banpu_Charts" xfId="641"/>
    <cellStyle name="—_GS_Balance_Banpu_Charts 2" xfId="642"/>
    <cellStyle name="—_GS_Balance_CSC PBV data" xfId="643"/>
    <cellStyle name="—_GS_Balance_CSC PBV data 2" xfId="644"/>
    <cellStyle name="—_GS_Balance_Freeport-PBVData" xfId="645"/>
    <cellStyle name="—_GS_Balance_Freeport-PBVData 2" xfId="646"/>
    <cellStyle name="—_GS_Balance_PhelpsDolge-PBVData" xfId="647"/>
    <cellStyle name="—_GS_Balance_PhelpsDolge-PBVData 2" xfId="648"/>
    <cellStyle name="—_GS_Balance_POSCO PBV data" xfId="649"/>
    <cellStyle name="—_GS_Balance_POSCO PBV data 2" xfId="650"/>
    <cellStyle name="—_GS_Balance_Resources comp - quantum" xfId="651"/>
    <cellStyle name="—_GS_Balance_Resources comp - quantum 2" xfId="652"/>
    <cellStyle name="—_GS_Balance_Resources comp - quantum_Banpu_Charts" xfId="653"/>
    <cellStyle name="—_GS_Balance_Resources comp - quantum_Banpu_Charts 2" xfId="654"/>
    <cellStyle name="—_GS_Balance_Resources comp - quantum_ShenhuaPower(report tables)" xfId="655"/>
    <cellStyle name="—_GS_Balance_Resources comp - quantum_ShenhuaPower(report tables) 2" xfId="656"/>
    <cellStyle name="—_GS_Balance_Resources comp - quantum_ShenhuaPower(report tables)_ferrous &amp; non-ferrous" xfId="657"/>
    <cellStyle name="—_GS_Balance_Resources comp - quantum_ShenhuaPower(report tables)_ferrous &amp; non-ferrous 2" xfId="658"/>
    <cellStyle name="—_GS_Balance_ShenhuaPower(report tables)" xfId="659"/>
    <cellStyle name="—_GS_Balance_ShenhuaPower(report tables) 2" xfId="660"/>
    <cellStyle name="—_GS_Balance_ShenhuaPower(report tables)_ferrous &amp; non-ferrous" xfId="661"/>
    <cellStyle name="—_GS_Balance_ShenhuaPower(report tables)_ferrous &amp; non-ferrous 2" xfId="662"/>
    <cellStyle name="—_GS_Balance_Vedenta-PBVData" xfId="663"/>
    <cellStyle name="—_GS_Balance_Vedenta-PBVData 2" xfId="664"/>
    <cellStyle name="—_GS_Balance_Xstrata-PBVData" xfId="665"/>
    <cellStyle name="—_GS_Balance_Xstrata-PBVData 2" xfId="666"/>
    <cellStyle name="—_GS_Cash " xfId="667"/>
    <cellStyle name="—_GS_Cash  (2)" xfId="668"/>
    <cellStyle name="—_GS_Cash  (2) 2" xfId="669"/>
    <cellStyle name="—_GS_Cash  (2)_Banpu_Charts" xfId="670"/>
    <cellStyle name="—_GS_Cash  (2)_Banpu_Charts 2" xfId="671"/>
    <cellStyle name="—_GS_Cash  (2)_CSC PBV data" xfId="672"/>
    <cellStyle name="—_GS_Cash  (2)_CSC PBV data 2" xfId="673"/>
    <cellStyle name="—_GS_Cash  (2)_Freeport-PBVData" xfId="674"/>
    <cellStyle name="—_GS_Cash  (2)_Freeport-PBVData 2" xfId="675"/>
    <cellStyle name="—_GS_Cash  (2)_PhelpsDolge-PBVData" xfId="676"/>
    <cellStyle name="—_GS_Cash  (2)_PhelpsDolge-PBVData 2" xfId="677"/>
    <cellStyle name="—_GS_Cash  (2)_POSCO PBV data" xfId="678"/>
    <cellStyle name="—_GS_Cash  (2)_POSCO PBV data 2" xfId="679"/>
    <cellStyle name="—_GS_Cash  (2)_Resources comp - quantum" xfId="680"/>
    <cellStyle name="—_GS_Cash  (2)_Resources comp - quantum 2" xfId="681"/>
    <cellStyle name="—_GS_Cash  (2)_Resources comp - quantum_Banpu_Charts" xfId="682"/>
    <cellStyle name="—_GS_Cash  (2)_Resources comp - quantum_Banpu_Charts 2" xfId="683"/>
    <cellStyle name="—_GS_Cash  (2)_Resources comp - quantum_ShenhuaPower(report tables)" xfId="684"/>
    <cellStyle name="—_GS_Cash  (2)_Resources comp - quantum_ShenhuaPower(report tables) 2" xfId="685"/>
    <cellStyle name="—_GS_Cash  (2)_Resources comp - quantum_ShenhuaPower(report tables)_ferrous &amp; non-ferrous" xfId="686"/>
    <cellStyle name="—_GS_Cash  (2)_Resources comp - quantum_ShenhuaPower(report tables)_ferrous &amp; non-ferrous 2" xfId="687"/>
    <cellStyle name="—_GS_Cash  (2)_ShenhuaPower(report tables)" xfId="688"/>
    <cellStyle name="—_GS_Cash  (2)_ShenhuaPower(report tables) 2" xfId="689"/>
    <cellStyle name="—_GS_Cash  (2)_ShenhuaPower(report tables)_ferrous &amp; non-ferrous" xfId="690"/>
    <cellStyle name="—_GS_Cash  (2)_ShenhuaPower(report tables)_ferrous &amp; non-ferrous 2" xfId="691"/>
    <cellStyle name="—_GS_Cash  (2)_Vedenta-PBVData" xfId="692"/>
    <cellStyle name="—_GS_Cash  (2)_Vedenta-PBVData 2" xfId="693"/>
    <cellStyle name="—_GS_Cash  (2)_Xstrata-PBVData" xfId="694"/>
    <cellStyle name="—_GS_Cash  (2)_Xstrata-PBVData 2" xfId="695"/>
    <cellStyle name="—_GS_Cash  2" xfId="696"/>
    <cellStyle name="—_GS_Cash  3" xfId="697"/>
    <cellStyle name="—_GS_Cash  4" xfId="698"/>
    <cellStyle name="—_GS_Cash  5" xfId="699"/>
    <cellStyle name="—_GS_Cash _AluminaPriceCut20070913" xfId="700"/>
    <cellStyle name="—_GS_Cash _AluminaPriceCut20070913 2" xfId="701"/>
    <cellStyle name="—_GS_Cash _Banpu_Charts" xfId="702"/>
    <cellStyle name="—_GS_Cash _Banpu_Charts 2" xfId="703"/>
    <cellStyle name="—_GS_Cash _cement data &amp; chart" xfId="704"/>
    <cellStyle name="—_GS_Cash _cement data &amp; chart 2" xfId="705"/>
    <cellStyle name="—_GS_Cash _CSC PBV data" xfId="706"/>
    <cellStyle name="—_GS_Cash _CSC PBV data 2" xfId="707"/>
    <cellStyle name="—_GS_Cash _Freeport-PBVData" xfId="708"/>
    <cellStyle name="—_GS_Cash _Freeport-PBVData 2" xfId="709"/>
    <cellStyle name="—_GS_Cash _PhelpsDolge-PBVData" xfId="710"/>
    <cellStyle name="—_GS_Cash _PhelpsDolge-PBVData 2" xfId="711"/>
    <cellStyle name="—_GS_Cash _POSCO PBV data" xfId="712"/>
    <cellStyle name="—_GS_Cash _POSCO PBV data 2" xfId="713"/>
    <cellStyle name="—_GS_Cash _Resources comp - quantum" xfId="714"/>
    <cellStyle name="—_GS_Cash _Resources comp - quantum 2" xfId="715"/>
    <cellStyle name="—_GS_Cash _Resources comp - quantum_Banpu_Charts" xfId="716"/>
    <cellStyle name="—_GS_Cash _Resources comp - quantum_Banpu_Charts 2" xfId="717"/>
    <cellStyle name="—_GS_Cash _Resources comp - quantum_ShenhuaPower(report tables)" xfId="718"/>
    <cellStyle name="—_GS_Cash _Resources comp - quantum_ShenhuaPower(report tables) 2" xfId="719"/>
    <cellStyle name="—_GS_Cash _Resources comp - quantum_ShenhuaPower(report tables)_ferrous &amp; non-ferrous" xfId="720"/>
    <cellStyle name="—_GS_Cash _Resources comp - quantum_ShenhuaPower(report tables)_ferrous &amp; non-ferrous 2" xfId="721"/>
    <cellStyle name="—_GS_Cash _ShenhuaPower(report tables)" xfId="722"/>
    <cellStyle name="—_GS_Cash _ShenhuaPower(report tables) 2" xfId="723"/>
    <cellStyle name="—_GS_Cash _ShenhuaPower(report tables)_ferrous &amp; non-ferrous" xfId="724"/>
    <cellStyle name="—_GS_Cash _ShenhuaPower(report tables)_ferrous &amp; non-ferrous 2" xfId="725"/>
    <cellStyle name="—_GS_Cash _Vedenta-PBVData" xfId="726"/>
    <cellStyle name="—_GS_Cash _Vedenta-PBVData 2" xfId="727"/>
    <cellStyle name="—_GS_Cash _Weekly_ChineseCoking Coal Price" xfId="728"/>
    <cellStyle name="—_GS_Cash _Weekly_ChineseCoking Coal Price 2" xfId="729"/>
    <cellStyle name="—_GS_Cash _Weekly_ChineseCoking Coal Price_ferrous &amp; non-ferrous" xfId="730"/>
    <cellStyle name="—_GS_Cash _Weekly_ChineseCoking Coal Price_ferrous &amp; non-ferrous 2" xfId="731"/>
    <cellStyle name="—_GS_Cash _WeeklyUpdate-20080929" xfId="732"/>
    <cellStyle name="—_GS_Cash _WeeklyUpdate-20080929 2" xfId="733"/>
    <cellStyle name="—_GS_Cash _WeeklyUpdate-20080929_ferrous &amp; non-ferrous" xfId="734"/>
    <cellStyle name="—_GS_Cash _WeeklyUpdate-20080929_ferrous &amp; non-ferrous 2" xfId="735"/>
    <cellStyle name="—_GS_Cash _Xstrata-PBVData" xfId="736"/>
    <cellStyle name="—_GS_Cash _Xstrata-PBVData 2" xfId="737"/>
    <cellStyle name="—_GS_DCF" xfId="738"/>
    <cellStyle name="—_GS_DCF 2" xfId="739"/>
    <cellStyle name="—_GS_DCF_Banpu_Charts" xfId="740"/>
    <cellStyle name="—_GS_DCF_Banpu_Charts 2" xfId="741"/>
    <cellStyle name="—_GS_DCF_CSC PBV data" xfId="742"/>
    <cellStyle name="—_GS_DCF_CSC PBV data 2" xfId="743"/>
    <cellStyle name="—_GS_DCF_Freeport-PBVData" xfId="744"/>
    <cellStyle name="—_GS_DCF_Freeport-PBVData 2" xfId="745"/>
    <cellStyle name="—_GS_DCF_PhelpsDolge-PBVData" xfId="746"/>
    <cellStyle name="—_GS_DCF_PhelpsDolge-PBVData 2" xfId="747"/>
    <cellStyle name="—_GS_DCF_POSCO PBV data" xfId="748"/>
    <cellStyle name="—_GS_DCF_POSCO PBV data 2" xfId="749"/>
    <cellStyle name="—_GS_DCF_Resources comp - quantum" xfId="750"/>
    <cellStyle name="—_GS_DCF_Resources comp - quantum 2" xfId="751"/>
    <cellStyle name="—_GS_DCF_Resources comp - quantum_Banpu_Charts" xfId="752"/>
    <cellStyle name="—_GS_DCF_Resources comp - quantum_Banpu_Charts 2" xfId="753"/>
    <cellStyle name="—_GS_DCF_Resources comp - quantum_ShenhuaPower(report tables)" xfId="754"/>
    <cellStyle name="—_GS_DCF_Resources comp - quantum_ShenhuaPower(report tables) 2" xfId="755"/>
    <cellStyle name="—_GS_DCF_Resources comp - quantum_ShenhuaPower(report tables)_ferrous &amp; non-ferrous" xfId="756"/>
    <cellStyle name="—_GS_DCF_Resources comp - quantum_ShenhuaPower(report tables)_ferrous &amp; non-ferrous 2" xfId="757"/>
    <cellStyle name="—_GS_DCF_ShenhuaPower(report tables)" xfId="758"/>
    <cellStyle name="—_GS_DCF_ShenhuaPower(report tables) 2" xfId="759"/>
    <cellStyle name="—_GS_DCF_ShenhuaPower(report tables)_ferrous &amp; non-ferrous" xfId="760"/>
    <cellStyle name="—_GS_DCF_ShenhuaPower(report tables)_ferrous &amp; non-ferrous 2" xfId="761"/>
    <cellStyle name="—_GS_DCF_Vedenta-PBVData" xfId="762"/>
    <cellStyle name="—_GS_DCF_Vedenta-PBVData 2" xfId="763"/>
    <cellStyle name="—_GS_DCF_Xstrata-PBVData" xfId="764"/>
    <cellStyle name="—_GS_DCF_Xstrata-PBVData 2" xfId="765"/>
    <cellStyle name="—_GS_PNL" xfId="766"/>
    <cellStyle name="—_GS_PNL 2" xfId="767"/>
    <cellStyle name="—_GS_PNL_Banpu_Charts" xfId="768"/>
    <cellStyle name="—_GS_PNL_Banpu_Charts 2" xfId="769"/>
    <cellStyle name="—_GS_PNL_CSC PBV data" xfId="770"/>
    <cellStyle name="—_GS_PNL_CSC PBV data 2" xfId="771"/>
    <cellStyle name="—_GS_PNL_Freeport-PBVData" xfId="772"/>
    <cellStyle name="—_GS_PNL_Freeport-PBVData 2" xfId="773"/>
    <cellStyle name="—_GS_PNL_PhelpsDolge-PBVData" xfId="774"/>
    <cellStyle name="—_GS_PNL_PhelpsDolge-PBVData 2" xfId="775"/>
    <cellStyle name="—_GS_PNL_POSCO PBV data" xfId="776"/>
    <cellStyle name="—_GS_PNL_POSCO PBV data 2" xfId="777"/>
    <cellStyle name="—_GS_PNL_Resources comp - quantum" xfId="778"/>
    <cellStyle name="—_GS_PNL_Resources comp - quantum 2" xfId="779"/>
    <cellStyle name="—_GS_PNL_Resources comp - quantum_Banpu_Charts" xfId="780"/>
    <cellStyle name="—_GS_PNL_Resources comp - quantum_Banpu_Charts 2" xfId="781"/>
    <cellStyle name="—_GS_PNL_Resources comp - quantum_ShenhuaPower(report tables)" xfId="782"/>
    <cellStyle name="—_GS_PNL_Resources comp - quantum_ShenhuaPower(report tables) 2" xfId="783"/>
    <cellStyle name="—_GS_PNL_Resources comp - quantum_ShenhuaPower(report tables)_ferrous &amp; non-ferrous" xfId="784"/>
    <cellStyle name="—_GS_PNL_Resources comp - quantum_ShenhuaPower(report tables)_ferrous &amp; non-ferrous 2" xfId="785"/>
    <cellStyle name="—_GS_PNL_ShenhuaPower(report tables)" xfId="786"/>
    <cellStyle name="—_GS_PNL_ShenhuaPower(report tables) 2" xfId="787"/>
    <cellStyle name="—_GS_PNL_ShenhuaPower(report tables)_ferrous &amp; non-ferrous" xfId="788"/>
    <cellStyle name="—_GS_PNL_ShenhuaPower(report tables)_ferrous &amp; non-ferrous 2" xfId="789"/>
    <cellStyle name="—_GS_PNL_Vedenta-PBVData" xfId="790"/>
    <cellStyle name="—_GS_PNL_Vedenta-PBVData 2" xfId="791"/>
    <cellStyle name="—_GS_PNL_Xstrata-PBVData" xfId="792"/>
    <cellStyle name="—_GS_PNL_Xstrata-PBVData 2" xfId="793"/>
    <cellStyle name="_Heading" xfId="794"/>
    <cellStyle name="_Highlight" xfId="795"/>
    <cellStyle name="_Highlight 2" xfId="796"/>
    <cellStyle name="_Highlight 2 2" xfId="797"/>
    <cellStyle name="—_HKG" xfId="798"/>
    <cellStyle name="—_HKG 2" xfId="799"/>
    <cellStyle name="—_HKG_Banpu_Charts" xfId="800"/>
    <cellStyle name="—_HKG_Banpu_Charts 2" xfId="801"/>
    <cellStyle name="—_HKG_Banpu_Charts_ferrous &amp; non-ferrous" xfId="802"/>
    <cellStyle name="—_HKG_Banpu_Charts_ferrous &amp; non-ferrous 2" xfId="803"/>
    <cellStyle name="—_HKG_ferrous &amp; non-ferrous" xfId="804"/>
    <cellStyle name="—_HKG_ferrous &amp; non-ferrous 2" xfId="805"/>
    <cellStyle name="—_HKG_ShenhuaPower(report tables)" xfId="806"/>
    <cellStyle name="—_HKG_ShenhuaPower(report tables) 2" xfId="807"/>
    <cellStyle name="—_HKG_ShenhuaPower(report tables)_ferrous &amp; non-ferrous" xfId="808"/>
    <cellStyle name="—_HKG_ShenhuaPower(report tables)_ferrous &amp; non-ferrous 2" xfId="809"/>
    <cellStyle name="—_Huaneng" xfId="810"/>
    <cellStyle name="—_Huaneng 2" xfId="811"/>
    <cellStyle name="—_Huaneng_ferrous &amp; non-ferrous" xfId="812"/>
    <cellStyle name="—_Huaneng_ferrous &amp; non-ferrous 2" xfId="813"/>
    <cellStyle name="—_I&amp;O Report Tables" xfId="814"/>
    <cellStyle name="—_I&amp;O Report Tables 2" xfId="815"/>
    <cellStyle name="—_I&amp;O Report Tables_Banpu_Charts" xfId="816"/>
    <cellStyle name="—_I&amp;O Report Tables_Banpu_Charts 2" xfId="817"/>
    <cellStyle name="—_I&amp;O Report Tables_candicetables" xfId="818"/>
    <cellStyle name="—_I&amp;O Report Tables_candicetables 2" xfId="819"/>
    <cellStyle name="—_I&amp;O Report Tables_candicetables_Banpu_Charts" xfId="820"/>
    <cellStyle name="—_I&amp;O Report Tables_candicetables_Banpu_Charts 2" xfId="821"/>
    <cellStyle name="—_I&amp;O Report Tables_candicetables_CSC PBV data" xfId="822"/>
    <cellStyle name="—_I&amp;O Report Tables_candicetables_CSC PBV data 2" xfId="823"/>
    <cellStyle name="—_I&amp;O Report Tables_candicetables_Freeport-PBVData" xfId="824"/>
    <cellStyle name="—_I&amp;O Report Tables_candicetables_Freeport-PBVData 2" xfId="825"/>
    <cellStyle name="—_I&amp;O Report Tables_candicetables_PhelpsDolge-PBVData" xfId="826"/>
    <cellStyle name="—_I&amp;O Report Tables_candicetables_PhelpsDolge-PBVData 2" xfId="827"/>
    <cellStyle name="—_I&amp;O Report Tables_candicetables_POSCO PBV data" xfId="828"/>
    <cellStyle name="—_I&amp;O Report Tables_candicetables_POSCO PBV data 2" xfId="829"/>
    <cellStyle name="—_I&amp;O Report Tables_candicetables_Resources comp - quantum" xfId="830"/>
    <cellStyle name="—_I&amp;O Report Tables_candicetables_Resources comp - quantum 2" xfId="831"/>
    <cellStyle name="—_I&amp;O Report Tables_candicetables_Resources comp - quantum_Banpu_Charts" xfId="832"/>
    <cellStyle name="—_I&amp;O Report Tables_candicetables_Resources comp - quantum_Banpu_Charts 2" xfId="833"/>
    <cellStyle name="—_I&amp;O Report Tables_candicetables_Resources comp - quantum_ShenhuaPower(report tables)" xfId="834"/>
    <cellStyle name="—_I&amp;O Report Tables_candicetables_Resources comp - quantum_ShenhuaPower(report tables) 2" xfId="835"/>
    <cellStyle name="—_I&amp;O Report Tables_candicetables_ShenhuaPower(report tables)" xfId="836"/>
    <cellStyle name="—_I&amp;O Report Tables_candicetables_ShenhuaPower(report tables) 2" xfId="837"/>
    <cellStyle name="—_I&amp;O Report Tables_candicetables_ShenhuaPower(report tables)_ferrous &amp; non-ferrous" xfId="838"/>
    <cellStyle name="—_I&amp;O Report Tables_candicetables_ShenhuaPower(report tables)_ferrous &amp; non-ferrous 2" xfId="839"/>
    <cellStyle name="—_I&amp;O Report Tables_candicetables_Vedenta-PBVData" xfId="840"/>
    <cellStyle name="—_I&amp;O Report Tables_candicetables_Vedenta-PBVData 2" xfId="841"/>
    <cellStyle name="—_I&amp;O Report Tables_candicetables_Xstrata-PBVData" xfId="842"/>
    <cellStyle name="—_I&amp;O Report Tables_candicetables_Xstrata-PBVData 2" xfId="843"/>
    <cellStyle name="—_I&amp;O Report Tables_CSC PBV data" xfId="844"/>
    <cellStyle name="—_I&amp;O Report Tables_CSC PBV data 2" xfId="845"/>
    <cellStyle name="—_I&amp;O Report Tables_Freeport-PBVData" xfId="846"/>
    <cellStyle name="—_I&amp;O Report Tables_Freeport-PBVData 2" xfId="847"/>
    <cellStyle name="—_I&amp;O Report Tables_PhelpsDolge-PBVData" xfId="848"/>
    <cellStyle name="—_I&amp;O Report Tables_PhelpsDolge-PBVData 2" xfId="849"/>
    <cellStyle name="—_I&amp;O Report Tables_POSCO PBV data" xfId="850"/>
    <cellStyle name="—_I&amp;O Report Tables_POSCO PBV data 2" xfId="851"/>
    <cellStyle name="—_I&amp;O Report Tables_Resources comp - quantum" xfId="852"/>
    <cellStyle name="—_I&amp;O Report Tables_Resources comp - quantum 2" xfId="853"/>
    <cellStyle name="—_I&amp;O Report Tables_Resources comp - quantum_Banpu_Charts" xfId="854"/>
    <cellStyle name="—_I&amp;O Report Tables_Resources comp - quantum_Banpu_Charts 2" xfId="855"/>
    <cellStyle name="—_I&amp;O Report Tables_Resources comp - quantum_ShenhuaPower(report tables)" xfId="856"/>
    <cellStyle name="—_I&amp;O Report Tables_Resources comp - quantum_ShenhuaPower(report tables) 2" xfId="857"/>
    <cellStyle name="—_I&amp;O Report Tables_Resources comp - quantum_ShenhuaPower(report tables)_ferrous &amp; non-ferrous" xfId="858"/>
    <cellStyle name="—_I&amp;O Report Tables_Resources comp - quantum_ShenhuaPower(report tables)_ferrous &amp; non-ferrous 2" xfId="859"/>
    <cellStyle name="—_I&amp;O Report Tables_ShenhuaPower(report tables)" xfId="860"/>
    <cellStyle name="—_I&amp;O Report Tables_ShenhuaPower(report tables) 2" xfId="861"/>
    <cellStyle name="—_I&amp;O Report Tables_ShenhuaPower(report tables)_ferrous &amp; non-ferrous" xfId="862"/>
    <cellStyle name="—_I&amp;O Report Tables_ShenhuaPower(report tables)_ferrous &amp; non-ferrous 2" xfId="863"/>
    <cellStyle name="—_I&amp;O Report Tables_Vedenta-PBVData" xfId="864"/>
    <cellStyle name="—_I&amp;O Report Tables_Vedenta-PBVData 2" xfId="865"/>
    <cellStyle name="—_I&amp;O Report Tables_Xstrata-PBVData" xfId="866"/>
    <cellStyle name="—_I&amp;O Report Tables_Xstrata-PBVData 2" xfId="867"/>
    <cellStyle name="—_JiangxiCopperModel" xfId="868"/>
    <cellStyle name="—_JiangxiCopperModel 2" xfId="869"/>
    <cellStyle name="—_JiangxiCopperModel_Banpu_Charts" xfId="870"/>
    <cellStyle name="—_JiangxiCopperModel_Banpu_Charts 2" xfId="871"/>
    <cellStyle name="—_JiangxiCopperModel_Banpu_Charts_ferrous &amp; non-ferrous" xfId="872"/>
    <cellStyle name="—_JiangxiCopperModel_Banpu_Charts_ferrous &amp; non-ferrous 2" xfId="873"/>
    <cellStyle name="—_JiangxiCopperModel_ferrous &amp; non-ferrous" xfId="874"/>
    <cellStyle name="—_JiangxiCopperModel_ferrous &amp; non-ferrous 2" xfId="875"/>
    <cellStyle name="—_JiangxiCopperModel_ShenhuaPower(report tables)" xfId="876"/>
    <cellStyle name="—_JiangxiCopperModel_ShenhuaPower(report tables) 2" xfId="877"/>
    <cellStyle name="—_JiangxiCopperModel_ShenhuaPower(report tables)_ferrous &amp; non-ferrous" xfId="878"/>
    <cellStyle name="—_JiangxiCopperModel_ShenhuaPower(report tables)_ferrous &amp; non-ferrous 2" xfId="879"/>
    <cellStyle name="—_KEPCO" xfId="880"/>
    <cellStyle name="—_KEPCO 2" xfId="881"/>
    <cellStyle name="—_KEPCO_Banpu_Charts" xfId="882"/>
    <cellStyle name="—_KEPCO_Banpu_Charts 2" xfId="883"/>
    <cellStyle name="—_KEPCO_CPI1" xfId="884"/>
    <cellStyle name="—_KEPCO_CPI1 2" xfId="885"/>
    <cellStyle name="—_KEPCO_Sheet1" xfId="886"/>
    <cellStyle name="—_KEPCO_Sheet1 2" xfId="887"/>
    <cellStyle name="—_KEPCO_Shenhua-coal P&amp;L" xfId="888"/>
    <cellStyle name="—_KEPCO_Shenhua-coal P&amp;L 2" xfId="889"/>
    <cellStyle name="—_KEPCO_Shenhua-coal P&amp;L_ShenhuaPower(report tables)" xfId="890"/>
    <cellStyle name="—_KEPCO_Shenhua-coal P&amp;L_ShenhuaPower(report tables) 2" xfId="891"/>
    <cellStyle name="—_KEPCO_Shenhua-power" xfId="892"/>
    <cellStyle name="—_KEPCO_Shenhua-power 2" xfId="893"/>
    <cellStyle name="—_KEPCO_ShenhuaPower(report tables)" xfId="894"/>
    <cellStyle name="—_KEPCO_ShenhuaPower(report tables) 2" xfId="895"/>
    <cellStyle name="—_MaGangModel" xfId="896"/>
    <cellStyle name="—_MaGangModel 2" xfId="897"/>
    <cellStyle name="—_MaGangModel_ferrous &amp; non-ferrous" xfId="898"/>
    <cellStyle name="—_MaGangModel_ferrous &amp; non-ferrous 2" xfId="899"/>
    <cellStyle name="—_marketing charts" xfId="900"/>
    <cellStyle name="—_marketing charts 2" xfId="901"/>
    <cellStyle name="—_marketing charts_Banpu_Charts" xfId="902"/>
    <cellStyle name="—_marketing charts_Banpu_Charts 2" xfId="903"/>
    <cellStyle name="—_marketing charts_ShenhuaPower(report tables)" xfId="904"/>
    <cellStyle name="—_marketing charts_ShenhuaPower(report tables) 2" xfId="905"/>
    <cellStyle name="—_marketing charts_ShenhuaPower(report tables)_ferrous &amp; non-ferrous" xfId="906"/>
    <cellStyle name="—_marketing charts_ShenhuaPower(report tables)_ferrous &amp; non-ferrous 2" xfId="907"/>
    <cellStyle name="_MCIT" xfId="908"/>
    <cellStyle name="_MCIT 2" xfId="909"/>
    <cellStyle name="—_MERB" xfId="910"/>
    <cellStyle name="—_MERB 2" xfId="911"/>
    <cellStyle name="—_MERB_Banpu_Charts" xfId="912"/>
    <cellStyle name="—_MERB_Banpu_Charts 2" xfId="913"/>
    <cellStyle name="—_MERB_CPI1" xfId="914"/>
    <cellStyle name="—_MERB_CPI1 2" xfId="915"/>
    <cellStyle name="—_MERB_Delay Projects" xfId="916"/>
    <cellStyle name="—_MERB_Delay Projects 2" xfId="917"/>
    <cellStyle name="—_MERB_Delay Projects_Banpu_Charts" xfId="918"/>
    <cellStyle name="—_MERB_Delay Projects_Banpu_Charts 2" xfId="919"/>
    <cellStyle name="—_MERB_Delay Projects_ShenhuaPower(report tables)" xfId="920"/>
    <cellStyle name="—_MERB_Delay Projects_ShenhuaPower(report tables) 2" xfId="921"/>
    <cellStyle name="—_MERB_Model" xfId="922"/>
    <cellStyle name="—_MERB_Model 2" xfId="923"/>
    <cellStyle name="—_MERB_Model_Banpu_Charts" xfId="924"/>
    <cellStyle name="—_MERB_Model_Banpu_Charts 2" xfId="925"/>
    <cellStyle name="—_MERB_Model_ShenhuaPower(report tables)" xfId="926"/>
    <cellStyle name="—_MERB_Model_ShenhuaPower(report tables) 2" xfId="927"/>
    <cellStyle name="—_MERB_Sheet1" xfId="928"/>
    <cellStyle name="—_MERB_Sheet1 2" xfId="929"/>
    <cellStyle name="—_MERB_Shenhua-coal P&amp;L" xfId="930"/>
    <cellStyle name="—_MERB_Shenhua-coal P&amp;L 2" xfId="931"/>
    <cellStyle name="—_MERB_Shenhua-coal P&amp;L_ShenhuaPower(report tables)" xfId="932"/>
    <cellStyle name="—_MERB_Shenhua-coal P&amp;L_ShenhuaPower(report tables) 2" xfId="933"/>
    <cellStyle name="—_MERB_Shenhua-power" xfId="934"/>
    <cellStyle name="—_MERB_Shenhua-power 2" xfId="935"/>
    <cellStyle name="—_MERB_ShenhuaPower(report tables)" xfId="936"/>
    <cellStyle name="—_MERB_ShenhuaPower(report tables) 2" xfId="937"/>
    <cellStyle name="—_Model" xfId="938"/>
    <cellStyle name="—_Model 2" xfId="939"/>
    <cellStyle name="—_Model_ferrous &amp; non-ferrous" xfId="940"/>
    <cellStyle name="—_Model_ferrous &amp; non-ferrous 2" xfId="941"/>
    <cellStyle name="_Multiple" xfId="942"/>
    <cellStyle name="_Multiple 2" xfId="943"/>
    <cellStyle name="_Multiple 2 2" xfId="944"/>
    <cellStyle name="_MultipleSpace" xfId="945"/>
    <cellStyle name="_MultipleSpace 2" xfId="946"/>
    <cellStyle name="_MultipleSpace 2 2" xfId="947"/>
    <cellStyle name="—_new format1" xfId="948"/>
    <cellStyle name="—_new format1_Banpu_Charts" xfId="949"/>
    <cellStyle name="—_new format1_Book8" xfId="950"/>
    <cellStyle name="—_new format1_Book8_Banpu_Charts" xfId="951"/>
    <cellStyle name="—_new format1_Book8_ShenhuaPower(report tables)" xfId="952"/>
    <cellStyle name="—_new format1_EM-LGT_Published" xfId="953"/>
    <cellStyle name="—_new format1_EM-LGT_Published_Banpu_Charts" xfId="954"/>
    <cellStyle name="—_new format1_EM-LGT_Published_ShenhuaPower(report tables)" xfId="955"/>
    <cellStyle name="—_new format1_ShenhuaPower(report tables)" xfId="956"/>
    <cellStyle name="—_new format1_Telecom quarterly_final" xfId="957"/>
    <cellStyle name="—_new format1_Telecom quarterly_final_Banpu_Charts" xfId="958"/>
    <cellStyle name="—_new format1_Telecom quarterly_final_Book8" xfId="959"/>
    <cellStyle name="—_new format1_Telecom quarterly_final_Book8_Banpu_Charts" xfId="960"/>
    <cellStyle name="—_new format1_Telecom quarterly_final_Book8_ShenhuaPower(report tables)" xfId="961"/>
    <cellStyle name="—_new format1_Telecom quarterly_final_EM-LGT_Published" xfId="962"/>
    <cellStyle name="—_new format1_Telecom quarterly_final_EM-LGT_Published_Banpu_Charts" xfId="963"/>
    <cellStyle name="—_new format1_Telecom quarterly_final_EM-LGT_Published_ShenhuaPower(report tables)" xfId="964"/>
    <cellStyle name="—_new format1_Telecom quarterly_final_ShenhuaPower(report tables)" xfId="965"/>
    <cellStyle name="_New WCOM" xfId="966"/>
    <cellStyle name="_New WCOM 2" xfId="967"/>
    <cellStyle name="—_Performance" xfId="968"/>
    <cellStyle name="—_Performance 2" xfId="969"/>
    <cellStyle name="—_Performance_0405 Coal Trans" xfId="970"/>
    <cellStyle name="—_Performance_0405 Coal Trans 2" xfId="971"/>
    <cellStyle name="—_Performance_AngangModel" xfId="972"/>
    <cellStyle name="—_Performance_AngangModel 2" xfId="973"/>
    <cellStyle name="—_Performance_Banpu_Charts" xfId="974"/>
    <cellStyle name="—_Performance_Banpu_Charts 2" xfId="975"/>
    <cellStyle name="—_Performance_China steel sector initiation morning call handout Dec 10, 2004" xfId="976"/>
    <cellStyle name="—_Performance_China steel sector initiation morning call handout Dec 10, 2004 2" xfId="977"/>
    <cellStyle name="—_Performance_CPI1" xfId="978"/>
    <cellStyle name="—_Performance_CPI1 2" xfId="979"/>
    <cellStyle name="—_Performance_DATANG" xfId="980"/>
    <cellStyle name="—_Performance_DATANG 2" xfId="981"/>
    <cellStyle name="—_Performance_DATANG_Banpu_Charts" xfId="982"/>
    <cellStyle name="—_Performance_DATANG_Banpu_Charts 2" xfId="983"/>
    <cellStyle name="—_Performance_DATANG_CPI1" xfId="984"/>
    <cellStyle name="—_Performance_DATANG_CPI1 2" xfId="985"/>
    <cellStyle name="—_Performance_DATANG_CPI1_ferrous &amp; non-ferrous" xfId="986"/>
    <cellStyle name="—_Performance_DATANG_CPI1_ferrous &amp; non-ferrous 2" xfId="987"/>
    <cellStyle name="—_Performance_DATANG_Sheet1" xfId="988"/>
    <cellStyle name="—_Performance_DATANG_Sheet1 2" xfId="989"/>
    <cellStyle name="—_Performance_DATANG_Sheet1_ferrous &amp; non-ferrous" xfId="990"/>
    <cellStyle name="—_Performance_DATANG_Sheet1_ferrous &amp; non-ferrous 2" xfId="991"/>
    <cellStyle name="—_Performance_DATANG_Shenhua-coal P&amp;L" xfId="992"/>
    <cellStyle name="—_Performance_DATANG_Shenhua-coal P&amp;L 2" xfId="993"/>
    <cellStyle name="—_Performance_DATANG_Shenhua-coal P&amp;L_ShenhuaPower(report tables)" xfId="994"/>
    <cellStyle name="—_Performance_DATANG_Shenhua-coal P&amp;L_ShenhuaPower(report tables) 2" xfId="995"/>
    <cellStyle name="—_Performance_DATANG_Shenhua-coal P&amp;L_ShenhuaPower(report tables)_ferrous &amp; non-ferrous" xfId="996"/>
    <cellStyle name="—_Performance_DATANG_Shenhua-coal P&amp;L_ShenhuaPower(report tables)_ferrous &amp; non-ferrous 2" xfId="997"/>
    <cellStyle name="—_Performance_DATANG_Shenhua-power" xfId="998"/>
    <cellStyle name="—_Performance_DATANG_Shenhua-power 2" xfId="999"/>
    <cellStyle name="—_Performance_DATANG_ShenhuaPower(report tables)" xfId="1000"/>
    <cellStyle name="—_Performance_DATANG_ShenhuaPower(report tables) 2" xfId="1001"/>
    <cellStyle name="—_Performance_DATANG_ShenhuaPower(report tables)_ferrous &amp; non-ferrous" xfId="1002"/>
    <cellStyle name="—_Performance_DATANG_ShenhuaPower(report tables)_ferrous &amp; non-ferrous 2" xfId="1003"/>
    <cellStyle name="—_Performance_DATANG_Shenhua-power_ferrous &amp; non-ferrous" xfId="1004"/>
    <cellStyle name="—_Performance_DATANG_Shenhua-power_ferrous &amp; non-ferrous 2" xfId="1005"/>
    <cellStyle name="—_Performance_DCF ANALYSIS" xfId="1006"/>
    <cellStyle name="—_Performance_DCF ANALYSIS 2" xfId="1007"/>
    <cellStyle name="—_Performance_DCF ANALYSIS_Banpu_Charts" xfId="1008"/>
    <cellStyle name="—_Performance_DCF ANALYSIS_Banpu_Charts 2" xfId="1009"/>
    <cellStyle name="—_Performance_DCF ANALYSIS_CL&amp;P" xfId="1010"/>
    <cellStyle name="—_Performance_DCF ANALYSIS_CL&amp;P 2" xfId="1011"/>
    <cellStyle name="—_Performance_DCF ANALYSIS_CL&amp;P_Banpu_Charts" xfId="1012"/>
    <cellStyle name="—_Performance_DCF ANALYSIS_CL&amp;P_Banpu_Charts 2" xfId="1013"/>
    <cellStyle name="—_Performance_DCF ANALYSIS_CL&amp;P_CPI1" xfId="1014"/>
    <cellStyle name="—_Performance_DCF ANALYSIS_CL&amp;P_CPI1 2" xfId="1015"/>
    <cellStyle name="—_Performance_DCF ANALYSIS_CL&amp;P_CPI1_ferrous &amp; non-ferrous" xfId="1016"/>
    <cellStyle name="—_Performance_DCF ANALYSIS_CL&amp;P_CPI1_ferrous &amp; non-ferrous 2" xfId="1017"/>
    <cellStyle name="—_Performance_DCF ANALYSIS_CL&amp;P_Sheet1" xfId="1018"/>
    <cellStyle name="—_Performance_DCF ANALYSIS_CL&amp;P_Sheet1 2" xfId="1019"/>
    <cellStyle name="—_Performance_DCF ANALYSIS_CL&amp;P_Sheet1_ferrous &amp; non-ferrous" xfId="1020"/>
    <cellStyle name="—_Performance_DCF ANALYSIS_CL&amp;P_Sheet1_ferrous &amp; non-ferrous 2" xfId="1021"/>
    <cellStyle name="—_Performance_DCF ANALYSIS_CL&amp;P_Shenhua-coal P&amp;L" xfId="1022"/>
    <cellStyle name="—_Performance_DCF ANALYSIS_CL&amp;P_Shenhua-coal P&amp;L 2" xfId="1023"/>
    <cellStyle name="—_Performance_DCF ANALYSIS_CL&amp;P_Shenhua-coal P&amp;L_ShenhuaPower(report tables)" xfId="1024"/>
    <cellStyle name="—_Performance_DCF ANALYSIS_CL&amp;P_Shenhua-coal P&amp;L_ShenhuaPower(report tables) 2" xfId="1025"/>
    <cellStyle name="—_Performance_DCF ANALYSIS_CL&amp;P_Shenhua-coal P&amp;L_ShenhuaPower(report tables)_ferrous &amp; non-ferrous" xfId="1026"/>
    <cellStyle name="—_Performance_DCF ANALYSIS_CL&amp;P_Shenhua-coal P&amp;L_ShenhuaPower(report tables)_ferrous &amp; non-ferrous 2" xfId="1027"/>
    <cellStyle name="—_Performance_DCF ANALYSIS_CL&amp;P_Shenhua-power" xfId="1028"/>
    <cellStyle name="—_Performance_DCF ANALYSIS_CL&amp;P_Shenhua-power 2" xfId="1029"/>
    <cellStyle name="—_Performance_DCF ANALYSIS_CL&amp;P_ShenhuaPower(report tables)" xfId="1030"/>
    <cellStyle name="—_Performance_DCF ANALYSIS_CL&amp;P_ShenhuaPower(report tables) 2" xfId="1031"/>
    <cellStyle name="—_Performance_DCF ANALYSIS_CL&amp;P_ShenhuaPower(report tables)_ferrous &amp; non-ferrous" xfId="1032"/>
    <cellStyle name="—_Performance_DCF ANALYSIS_CL&amp;P_ShenhuaPower(report tables)_ferrous &amp; non-ferrous 2" xfId="1033"/>
    <cellStyle name="—_Performance_DCF ANALYSIS_CL&amp;P_Shenhua-power_ferrous &amp; non-ferrous" xfId="1034"/>
    <cellStyle name="—_Performance_DCF ANALYSIS_CL&amp;P_Shenhua-power_ferrous &amp; non-ferrous 2" xfId="1035"/>
    <cellStyle name="—_Performance_DCF ANALYSIS_CPI1" xfId="1036"/>
    <cellStyle name="—_Performance_DCF ANALYSIS_CPI1 2" xfId="1037"/>
    <cellStyle name="—_Performance_DCF ANALYSIS_CPI1_ferrous &amp; non-ferrous" xfId="1038"/>
    <cellStyle name="—_Performance_DCF ANALYSIS_CPI1_ferrous &amp; non-ferrous 2" xfId="1039"/>
    <cellStyle name="—_Performance_DCF ANALYSIS_Sheet1" xfId="1040"/>
    <cellStyle name="—_Performance_DCF ANALYSIS_Sheet1 2" xfId="1041"/>
    <cellStyle name="—_Performance_DCF ANALYSIS_Sheet1_ferrous &amp; non-ferrous" xfId="1042"/>
    <cellStyle name="—_Performance_DCF ANALYSIS_Sheet1_ferrous &amp; non-ferrous 2" xfId="1043"/>
    <cellStyle name="—_Performance_DCF ANALYSIS_Shenhua-coal P&amp;L" xfId="1044"/>
    <cellStyle name="—_Performance_DCF ANALYSIS_Shenhua-coal P&amp;L 2" xfId="1045"/>
    <cellStyle name="—_Performance_DCF ANALYSIS_Shenhua-coal P&amp;L_ShenhuaPower(report tables)" xfId="1046"/>
    <cellStyle name="—_Performance_DCF ANALYSIS_Shenhua-coal P&amp;L_ShenhuaPower(report tables) 2" xfId="1047"/>
    <cellStyle name="—_Performance_DCF ANALYSIS_Shenhua-coal P&amp;L_ShenhuaPower(report tables)_ferrous &amp; non-ferrous" xfId="1048"/>
    <cellStyle name="—_Performance_DCF ANALYSIS_Shenhua-coal P&amp;L_ShenhuaPower(report tables)_ferrous &amp; non-ferrous 2" xfId="1049"/>
    <cellStyle name="—_Performance_DCF ANALYSIS_Shenhua-power" xfId="1050"/>
    <cellStyle name="—_Performance_DCF ANALYSIS_Shenhua-power 2" xfId="1051"/>
    <cellStyle name="—_Performance_DCF ANALYSIS_ShenhuaPower(report tables)" xfId="1052"/>
    <cellStyle name="—_Performance_DCF ANALYSIS_ShenhuaPower(report tables) 2" xfId="1053"/>
    <cellStyle name="—_Performance_DCF ANALYSIS_ShenhuaPower(report tables)_ferrous &amp; non-ferrous" xfId="1054"/>
    <cellStyle name="—_Performance_DCF ANALYSIS_ShenhuaPower(report tables)_ferrous &amp; non-ferrous 2" xfId="1055"/>
    <cellStyle name="—_Performance_DCF ANALYSIS_Shenhua-power_ferrous &amp; non-ferrous" xfId="1056"/>
    <cellStyle name="—_Performance_DCF ANALYSIS_Shenhua-power_ferrous &amp; non-ferrous 2" xfId="1057"/>
    <cellStyle name="—_Performance_Delay Projects" xfId="1058"/>
    <cellStyle name="—_Performance_Delay Projects 2" xfId="1059"/>
    <cellStyle name="—_Performance_Delay Projects_Banpu_Charts" xfId="1060"/>
    <cellStyle name="—_Performance_Delay Projects_Banpu_Charts 2" xfId="1061"/>
    <cellStyle name="—_Performance_Delay Projects_ShenhuaPower(report tables)" xfId="1062"/>
    <cellStyle name="—_Performance_Delay Projects_ShenhuaPower(report tables) 2" xfId="1063"/>
    <cellStyle name="—_Performance_HKG" xfId="1064"/>
    <cellStyle name="—_Performance_HKG 2" xfId="1065"/>
    <cellStyle name="—_Performance_HKG_Banpu_Charts" xfId="1066"/>
    <cellStyle name="—_Performance_HKG_Banpu_Charts 2" xfId="1067"/>
    <cellStyle name="—_Performance_HKG_CPI1" xfId="1068"/>
    <cellStyle name="—_Performance_HKG_CPI1 2" xfId="1069"/>
    <cellStyle name="—_Performance_HKG_Sheet1" xfId="1070"/>
    <cellStyle name="—_Performance_HKG_Sheet1 2" xfId="1071"/>
    <cellStyle name="—_Performance_HKG_Shenhua-coal P&amp;L" xfId="1072"/>
    <cellStyle name="—_Performance_HKG_Shenhua-coal P&amp;L 2" xfId="1073"/>
    <cellStyle name="—_Performance_HKG_Shenhua-coal P&amp;L_ShenhuaPower(report tables)" xfId="1074"/>
    <cellStyle name="—_Performance_HKG_Shenhua-coal P&amp;L_ShenhuaPower(report tables) 2" xfId="1075"/>
    <cellStyle name="—_Performance_HKG_Shenhua-power" xfId="1076"/>
    <cellStyle name="—_Performance_HKG_Shenhua-power 2" xfId="1077"/>
    <cellStyle name="—_Performance_HKG_ShenhuaPower(report tables)" xfId="1078"/>
    <cellStyle name="—_Performance_HKG_ShenhuaPower(report tables) 2" xfId="1079"/>
    <cellStyle name="—_Performance_JiangxiCopperModel" xfId="1080"/>
    <cellStyle name="—_Performance_JiangxiCopperModel 2" xfId="1081"/>
    <cellStyle name="—_Performance_JiangxiCopperModel_Banpu_Charts" xfId="1082"/>
    <cellStyle name="—_Performance_JiangxiCopperModel_Banpu_Charts 2" xfId="1083"/>
    <cellStyle name="—_Performance_JiangxiCopperModel_ShenhuaPower(report tables)" xfId="1084"/>
    <cellStyle name="—_Performance_JiangxiCopperModel_ShenhuaPower(report tables) 2" xfId="1085"/>
    <cellStyle name="—_Performance_MaGangModel" xfId="1086"/>
    <cellStyle name="—_Performance_MaGangModel 2" xfId="1087"/>
    <cellStyle name="—_Performance_marketing charts" xfId="1088"/>
    <cellStyle name="—_Performance_marketing charts 2" xfId="1089"/>
    <cellStyle name="—_Performance_MERB" xfId="1090"/>
    <cellStyle name="—_Performance_MERB 2" xfId="1091"/>
    <cellStyle name="—_Performance_MERB_0405 Coal Trans" xfId="1092"/>
    <cellStyle name="—_Performance_MERB_0405 Coal Trans 2" xfId="1093"/>
    <cellStyle name="—_Performance_MERB_0405 Coal Trans_ferrous &amp; non-ferrous" xfId="1094"/>
    <cellStyle name="—_Performance_MERB_0405 Coal Trans_ferrous &amp; non-ferrous 2" xfId="1095"/>
    <cellStyle name="—_Performance_MERB_AngangModel" xfId="1096"/>
    <cellStyle name="—_Performance_MERB_AngangModel 2" xfId="1097"/>
    <cellStyle name="—_Performance_MERB_Banpu_Charts" xfId="1098"/>
    <cellStyle name="—_Performance_MERB_Banpu_Charts 2" xfId="1099"/>
    <cellStyle name="—_Performance_MERB_China steel sector initiation morning call handout Dec 10, 2004" xfId="1100"/>
    <cellStyle name="—_Performance_MERB_CPI1" xfId="1101"/>
    <cellStyle name="—_Performance_MERB_Delay Projects" xfId="1102"/>
    <cellStyle name="—_Performance_MERB_Delay Projects 2" xfId="1103"/>
    <cellStyle name="—_Performance_MERB_Delay Projects_Banpu_Charts" xfId="1104"/>
    <cellStyle name="—_Performance_MERB_Delay Projects_Banpu_Charts 2" xfId="1105"/>
    <cellStyle name="—_Performance_MERB_Delay Projects_ShenhuaPower(report tables)" xfId="1106"/>
    <cellStyle name="—_Performance_MERB_Delay Projects_ShenhuaPower(report tables) 2" xfId="1107"/>
    <cellStyle name="—_Performance_MERB_Delay Projects_ShenhuaPower(report tables)_ferrous &amp; non-ferrous" xfId="1108"/>
    <cellStyle name="—_Performance_MERB_Delay Projects_ShenhuaPower(report tables)_ferrous &amp; non-ferrous 2" xfId="1109"/>
    <cellStyle name="—_Performance_MERB_JiangxiCopperModel" xfId="1110"/>
    <cellStyle name="—_Performance_MERB_JiangxiCopperModel_Banpu_Charts" xfId="1111"/>
    <cellStyle name="—_Performance_MERB_JiangxiCopperModel_ShenhuaPower(report tables)" xfId="1112"/>
    <cellStyle name="—_Performance_MERB_MaGangModel" xfId="1113"/>
    <cellStyle name="—_Performance_MERB_MaGangModel 2" xfId="1114"/>
    <cellStyle name="—_Performance_MERB_marketing charts" xfId="1115"/>
    <cellStyle name="—_Performance_MERB_marketing charts 2" xfId="1116"/>
    <cellStyle name="—_Performance_MERB_marketing charts_ferrous &amp; non-ferrous" xfId="1117"/>
    <cellStyle name="—_Performance_MERB_marketing charts_ferrous &amp; non-ferrous 2" xfId="1118"/>
    <cellStyle name="—_Performance_MERB_Model" xfId="1119"/>
    <cellStyle name="—_Performance_MERB_Model 2" xfId="1120"/>
    <cellStyle name="—_Performance_MERB_Model_Banpu_Charts" xfId="1121"/>
    <cellStyle name="—_Performance_MERB_Model_Banpu_Charts 2" xfId="1122"/>
    <cellStyle name="—_Performance_MERB_Model_ShenhuaPower(report tables)" xfId="1123"/>
    <cellStyle name="—_Performance_MERB_Model_ShenhuaPower(report tables) 2" xfId="1124"/>
    <cellStyle name="—_Performance_MERB_Model_ShenhuaPower(report tables)_ferrous &amp; non-ferrous" xfId="1125"/>
    <cellStyle name="—_Performance_MERB_Model_ShenhuaPower(report tables)_ferrous &amp; non-ferrous 2" xfId="1126"/>
    <cellStyle name="—_Performance_MERB_Resources  valuation comp" xfId="1127"/>
    <cellStyle name="—_Performance_MERB_Resources  valuation comp_ShenhuaPower(report tables)" xfId="1128"/>
    <cellStyle name="—_Performance_MERB_Sheet1" xfId="1129"/>
    <cellStyle name="—_Performance_MERB_Sheet1_1" xfId="1130"/>
    <cellStyle name="—_Performance_MERB_Sheet1_1 2" xfId="1131"/>
    <cellStyle name="—_Performance_MERB_Sheet1_1_ferrous &amp; non-ferrous" xfId="1132"/>
    <cellStyle name="—_Performance_MERB_Sheet1_1_ferrous &amp; non-ferrous 2" xfId="1133"/>
    <cellStyle name="—_Performance_MERB_Shenhua-coal P&amp;L" xfId="1134"/>
    <cellStyle name="—_Performance_MERB_Shenhua-coal P&amp;L 2" xfId="1135"/>
    <cellStyle name="—_Performance_MERB_Shenhua-coal P&amp;L_ShenhuaPower(report tables)" xfId="1136"/>
    <cellStyle name="—_Performance_MERB_Shenhua-coal P&amp;L_ShenhuaPower(report tables) 2" xfId="1137"/>
    <cellStyle name="—_Performance_MERB_Shenhua-coal P&amp;L_ShenhuaPower(report tables)_ferrous &amp; non-ferrous" xfId="1138"/>
    <cellStyle name="—_Performance_MERB_Shenhua-coal P&amp;L_ShenhuaPower(report tables)_ferrous &amp; non-ferrous 2" xfId="1139"/>
    <cellStyle name="—_Performance_MERB_ShenhuaModel" xfId="1140"/>
    <cellStyle name="—_Performance_MERB_ShenhuaModel 2" xfId="1141"/>
    <cellStyle name="—_Performance_MERB_ShenhuaModel_ferrous &amp; non-ferrous" xfId="1142"/>
    <cellStyle name="—_Performance_MERB_ShenhuaModel_ferrous &amp; non-ferrous 2" xfId="1143"/>
    <cellStyle name="—_Performance_MERB_Shenhua-power" xfId="1144"/>
    <cellStyle name="—_Performance_MERB_ShenhuaPower(report tables)" xfId="1145"/>
    <cellStyle name="—_Performance_MERB_StandardPacificChenLei020806" xfId="1146"/>
    <cellStyle name="—_Performance_MERB_StandardPacificChenLei020806 2" xfId="1147"/>
    <cellStyle name="—_Performance_MERB_StandardPacificChenLei020806_ferrous &amp; non-ferrous" xfId="1148"/>
    <cellStyle name="—_Performance_MERB_StandardPacificChenLei020806_ferrous &amp; non-ferrous 2" xfId="1149"/>
    <cellStyle name="—_Performance_MERB_YanzhouCoalModel" xfId="1150"/>
    <cellStyle name="—_Performance_MERB_YanzhouCoalModel 2" xfId="1151"/>
    <cellStyle name="—_Performance_MERB_YanzhouCoalModel_Banpu_Charts" xfId="1152"/>
    <cellStyle name="—_Performance_MERB_YanzhouCoalModel_Banpu_Charts 2" xfId="1153"/>
    <cellStyle name="—_Performance_MERB_YanzhouCoalModel_ShenhuaPower(report tables)" xfId="1154"/>
    <cellStyle name="—_Performance_MERB_YanzhouCoalModel_ShenhuaPower(report tables) 2" xfId="1155"/>
    <cellStyle name="—_Performance_MERB_YanzhouCoalModel_ShenhuaPower(report tables)_ferrous &amp; non-ferrous" xfId="1156"/>
    <cellStyle name="—_Performance_MERB_YanzhouCoalModel_ShenhuaPower(report tables)_ferrous &amp; non-ferrous 2" xfId="1157"/>
    <cellStyle name="—_Performance_Model" xfId="1158"/>
    <cellStyle name="—_Performance_Model 2" xfId="1159"/>
    <cellStyle name="—_Performance_Model_Banpu_Charts" xfId="1160"/>
    <cellStyle name="—_Performance_Model_Banpu_Charts 2" xfId="1161"/>
    <cellStyle name="—_Performance_Model_ShenhuaPower(report tables)" xfId="1162"/>
    <cellStyle name="—_Performance_Model_ShenhuaPower(report tables) 2" xfId="1163"/>
    <cellStyle name="—_Performance_Resources  valuation comp" xfId="1164"/>
    <cellStyle name="—_Performance_Resources  valuation comp 2" xfId="1165"/>
    <cellStyle name="—_Performance_Resources  valuation comp_ShenhuaPower(report tables)" xfId="1166"/>
    <cellStyle name="—_Performance_Resources  valuation comp_ShenhuaPower(report tables) 2" xfId="1167"/>
    <cellStyle name="—_Performance_Sheet1" xfId="1168"/>
    <cellStyle name="—_Performance_Sheet1 2" xfId="1169"/>
    <cellStyle name="—_Performance_Sheet1_1" xfId="1170"/>
    <cellStyle name="—_Performance_Sheet1_1 2" xfId="1171"/>
    <cellStyle name="—_Performance_Shenhua-coal P&amp;L" xfId="1172"/>
    <cellStyle name="—_Performance_Shenhua-coal P&amp;L 2" xfId="1173"/>
    <cellStyle name="—_Performance_Shenhua-coal P&amp;L_ShenhuaPower(report tables)" xfId="1174"/>
    <cellStyle name="—_Performance_Shenhua-coal P&amp;L_ShenhuaPower(report tables) 2" xfId="1175"/>
    <cellStyle name="—_Performance_ShenhuaModel" xfId="1176"/>
    <cellStyle name="—_Performance_ShenhuaModel 2" xfId="1177"/>
    <cellStyle name="—_Performance_Shenhua-power" xfId="1178"/>
    <cellStyle name="—_Performance_Shenhua-power 2" xfId="1179"/>
    <cellStyle name="—_Performance_ShenhuaPower(report tables)" xfId="1180"/>
    <cellStyle name="—_Performance_ShenhuaPower(report tables) 2" xfId="1181"/>
    <cellStyle name="—_Performance_StandardPacificChenLei020806" xfId="1182"/>
    <cellStyle name="—_Performance_StandardPacificChenLei020806 2" xfId="1183"/>
    <cellStyle name="—_Performance_Valuation (2)" xfId="1184"/>
    <cellStyle name="—_Performance_Valuation (2) 2" xfId="1185"/>
    <cellStyle name="—_Performance_Valuation (2)_Banpu_Charts" xfId="1186"/>
    <cellStyle name="—_Performance_Valuation (2)_Banpu_Charts 2" xfId="1187"/>
    <cellStyle name="—_Performance_Valuation (2)_CPI1" xfId="1188"/>
    <cellStyle name="—_Performance_Valuation (2)_CPI1 2" xfId="1189"/>
    <cellStyle name="—_Performance_Valuation (2)_Sheet1" xfId="1190"/>
    <cellStyle name="—_Performance_Valuation (2)_Sheet1 2" xfId="1191"/>
    <cellStyle name="—_Performance_Valuation (2)_Shenhua-coal P&amp;L" xfId="1192"/>
    <cellStyle name="—_Performance_Valuation (2)_Shenhua-coal P&amp;L 2" xfId="1193"/>
    <cellStyle name="—_Performance_Valuation (2)_Shenhua-coal P&amp;L_ShenhuaPower(report tables)" xfId="1194"/>
    <cellStyle name="—_Performance_Valuation (2)_Shenhua-coal P&amp;L_ShenhuaPower(report tables) 2" xfId="1195"/>
    <cellStyle name="—_Performance_Valuation (2)_Shenhua-power" xfId="1196"/>
    <cellStyle name="—_Performance_Valuation (2)_Shenhua-power 2" xfId="1197"/>
    <cellStyle name="—_Performance_Valuation (2)_ShenhuaPower(report tables)" xfId="1198"/>
    <cellStyle name="—_Performance_Valuation (2)_ShenhuaPower(report tables) 2" xfId="1199"/>
    <cellStyle name="—_Performance_YanzhouCoalModel" xfId="1200"/>
    <cellStyle name="—_Performance_YanzhouCoalModel 2" xfId="1201"/>
    <cellStyle name="—_Performance_YanzhouCoalModel_Banpu_Charts" xfId="1202"/>
    <cellStyle name="—_Performance_YanzhouCoalModel_Banpu_Charts 2" xfId="1203"/>
    <cellStyle name="—_Performance_YanzhouCoalModel_ShenhuaPower(report tables)" xfId="1204"/>
    <cellStyle name="—_Performance_YanzhouCoalModel_ShenhuaPower(report tables) 2" xfId="1205"/>
    <cellStyle name="—_PhelpsDolge-PBVData" xfId="1206"/>
    <cellStyle name="—_PhelpsDolge-PBVData 2" xfId="1207"/>
    <cellStyle name="—_POSCO PBV data" xfId="1208"/>
    <cellStyle name="—_POSCO PBV data 2" xfId="1209"/>
    <cellStyle name="_premisses" xfId="1210"/>
    <cellStyle name="_premisses 2" xfId="1211"/>
    <cellStyle name="_premisses 2 2" xfId="1212"/>
    <cellStyle name="—_qrtly" xfId="1213"/>
    <cellStyle name="—_qrtly 2" xfId="1214"/>
    <cellStyle name="—_qrtly_Banpu_Charts" xfId="1215"/>
    <cellStyle name="—_qrtly_Banpu_Charts 2" xfId="1216"/>
    <cellStyle name="—_qrtly_ShenhuaPower(report tables)" xfId="1217"/>
    <cellStyle name="—_qrtly_ShenhuaPower(report tables) 2" xfId="1218"/>
    <cellStyle name="—_qrtly_ShenhuaPower(report tables)_ferrous &amp; non-ferrous" xfId="1219"/>
    <cellStyle name="—_qrtly_ShenhuaPower(report tables)_ferrous &amp; non-ferrous 2" xfId="1220"/>
    <cellStyle name="—_report1198tables" xfId="1221"/>
    <cellStyle name="—_report1198tables 2" xfId="1222"/>
    <cellStyle name="—_report1198tables_anne" xfId="1223"/>
    <cellStyle name="—_report1198tables_anne 2" xfId="1224"/>
    <cellStyle name="—_report1198tables_anne_Banpu_Charts" xfId="1225"/>
    <cellStyle name="—_report1198tables_anne_Banpu_Charts 2" xfId="1226"/>
    <cellStyle name="—_report1198tables_anne_CSC PBV data" xfId="1227"/>
    <cellStyle name="—_report1198tables_anne_CSC PBV data 2" xfId="1228"/>
    <cellStyle name="—_report1198tables_anne_Freeport-PBVData" xfId="1229"/>
    <cellStyle name="—_report1198tables_anne_Freeport-PBVData 2" xfId="1230"/>
    <cellStyle name="—_report1198tables_anne_PhelpsDolge-PBVData" xfId="1231"/>
    <cellStyle name="—_report1198tables_anne_PhelpsDolge-PBVData 2" xfId="1232"/>
    <cellStyle name="—_report1198tables_anne_POSCO PBV data" xfId="1233"/>
    <cellStyle name="—_report1198tables_anne_POSCO PBV data 2" xfId="1234"/>
    <cellStyle name="—_report1198tables_anne_Resources comp - quantum" xfId="1235"/>
    <cellStyle name="—_report1198tables_anne_Resources comp - quantum 2" xfId="1236"/>
    <cellStyle name="—_report1198tables_anne_Resources comp - quantum_Banpu_Charts" xfId="1237"/>
    <cellStyle name="—_report1198tables_anne_Resources comp - quantum_Banpu_Charts 2" xfId="1238"/>
    <cellStyle name="—_report1198tables_anne_Resources comp - quantum_ShenhuaPower(report tables)" xfId="1239"/>
    <cellStyle name="—_report1198tables_anne_Resources comp - quantum_ShenhuaPower(report tables) 2" xfId="1240"/>
    <cellStyle name="—_report1198tables_anne_Resources comp - quantum_ShenhuaPower(report tables)_ferrous &amp; non-ferrous" xfId="1241"/>
    <cellStyle name="—_report1198tables_anne_Resources comp - quantum_ShenhuaPower(report tables)_ferrous &amp; non-ferrous 2" xfId="1242"/>
    <cellStyle name="—_report1198tables_anne_ShenhuaPower(report tables)" xfId="1243"/>
    <cellStyle name="—_report1198tables_anne_ShenhuaPower(report tables) 2" xfId="1244"/>
    <cellStyle name="—_report1198tables_anne_ShenhuaPower(report tables)_ferrous &amp; non-ferrous" xfId="1245"/>
    <cellStyle name="—_report1198tables_anne_ShenhuaPower(report tables)_ferrous &amp; non-ferrous 2" xfId="1246"/>
    <cellStyle name="—_report1198tables_anne_Vedenta-PBVData" xfId="1247"/>
    <cellStyle name="—_report1198tables_anne_Vedenta-PBVData 2" xfId="1248"/>
    <cellStyle name="—_report1198tables_anne_Xstrata-PBVData" xfId="1249"/>
    <cellStyle name="—_report1198tables_anne_Xstrata-PBVData 2" xfId="1250"/>
    <cellStyle name="—_report1198tables_Banpu_Charts" xfId="1251"/>
    <cellStyle name="—_report1198tables_Banpu_Charts 2" xfId="1252"/>
    <cellStyle name="—_report1198tables_CNOOC Master" xfId="1253"/>
    <cellStyle name="—_report1198tables_CNOOC Master 2" xfId="1254"/>
    <cellStyle name="—_report1198tables_CNOOC Master_Banpu_Charts" xfId="1255"/>
    <cellStyle name="—_report1198tables_CNOOC Master_Banpu_Charts 2" xfId="1256"/>
    <cellStyle name="—_report1198tables_CNOOC Master_ShenhuaPower(report tables)" xfId="1257"/>
    <cellStyle name="—_report1198tables_CNOOC Master_ShenhuaPower(report tables) 2" xfId="1258"/>
    <cellStyle name="—_report1198tables_CNOOC Master_ShenhuaPower(report tables)_ferrous &amp; non-ferrous" xfId="1259"/>
    <cellStyle name="—_report1198tables_CNOOC Master_ShenhuaPower(report tables)_ferrous &amp; non-ferrous 2" xfId="1260"/>
    <cellStyle name="—_report1198tables_ShenhuaPower(report tables)" xfId="1261"/>
    <cellStyle name="—_report1198tables_ShenhuaPower(report tables) 2" xfId="1262"/>
    <cellStyle name="—_report1198tables_ShenhuaPower(report tables)_ferrous &amp; non-ferrous" xfId="1263"/>
    <cellStyle name="—_report1198tables_ShenhuaPower(report tables)_ferrous &amp; non-ferrous 2" xfId="1264"/>
    <cellStyle name="—_report1198tables_tables_99" xfId="1265"/>
    <cellStyle name="—_report1198tables_tables_99 2" xfId="1266"/>
    <cellStyle name="—_report1198tables_tables_99_Banpu_Charts" xfId="1267"/>
    <cellStyle name="—_report1198tables_tables_99_Banpu_Charts 2" xfId="1268"/>
    <cellStyle name="—_report1198tables_tables_99_CSC PBV data" xfId="1269"/>
    <cellStyle name="—_report1198tables_tables_99_CSC PBV data 2" xfId="1270"/>
    <cellStyle name="—_report1198tables_tables_99_Freeport-PBVData" xfId="1271"/>
    <cellStyle name="—_report1198tables_tables_99_Freeport-PBVData 2" xfId="1272"/>
    <cellStyle name="—_report1198tables_tables_99_PhelpsDolge-PBVData" xfId="1273"/>
    <cellStyle name="—_report1198tables_tables_99_PhelpsDolge-PBVData 2" xfId="1274"/>
    <cellStyle name="—_report1198tables_tables_99_POSCO PBV data" xfId="1275"/>
    <cellStyle name="—_report1198tables_tables_99_POSCO PBV data 2" xfId="1276"/>
    <cellStyle name="—_report1198tables_tables_99_Resources comp - quantum" xfId="1277"/>
    <cellStyle name="—_report1198tables_tables_99_Resources comp - quantum 2" xfId="1278"/>
    <cellStyle name="—_report1198tables_tables_99_Resources comp - quantum_Banpu_Charts" xfId="1279"/>
    <cellStyle name="—_report1198tables_tables_99_Resources comp - quantum_Banpu_Charts 2" xfId="1280"/>
    <cellStyle name="—_report1198tables_tables_99_Resources comp - quantum_ShenhuaPower(report tables)" xfId="1281"/>
    <cellStyle name="—_report1198tables_tables_99_Resources comp - quantum_ShenhuaPower(report tables) 2" xfId="1282"/>
    <cellStyle name="—_report1198tables_tables_99_Resources comp - quantum_ShenhuaPower(report tables)_ferrous &amp; non-ferrous" xfId="1283"/>
    <cellStyle name="—_report1198tables_tables_99_Resources comp - quantum_ShenhuaPower(report tables)_ferrous &amp; non-ferrous 2" xfId="1284"/>
    <cellStyle name="—_report1198tables_tables_99_ShenhuaPower(report tables)" xfId="1285"/>
    <cellStyle name="—_report1198tables_tables_99_ShenhuaPower(report tables) 2" xfId="1286"/>
    <cellStyle name="—_report1198tables_tables_99_ShenhuaPower(report tables)_ferrous &amp; non-ferrous" xfId="1287"/>
    <cellStyle name="—_report1198tables_tables_99_ShenhuaPower(report tables)_ferrous &amp; non-ferrous 2" xfId="1288"/>
    <cellStyle name="—_report1198tables_tables_99_Vedenta-PBVData" xfId="1289"/>
    <cellStyle name="—_report1198tables_tables_99_Vedenta-PBVData 2" xfId="1290"/>
    <cellStyle name="—_report1198tables_tables_99_Xstrata-PBVData" xfId="1291"/>
    <cellStyle name="—_report1198tables_tables_99_Xstrata-PBVData 2" xfId="1292"/>
    <cellStyle name="—_Resources  valuation comp" xfId="1293"/>
    <cellStyle name="—_Resources  valuation comp 2" xfId="1294"/>
    <cellStyle name="—_Resources  valuation comp_ferrous &amp; non-ferrous" xfId="1295"/>
    <cellStyle name="—_Resources  valuation comp_ferrous &amp; non-ferrous 2" xfId="1296"/>
    <cellStyle name="—_Resources  valuation comp_ShenhuaPower(report tables)" xfId="1297"/>
    <cellStyle name="—_Resources  valuation comp_ShenhuaPower(report tables) 2" xfId="1298"/>
    <cellStyle name="—_Resources  valuation comp_ShenhuaPower(report tables)_ferrous &amp; non-ferrous" xfId="1299"/>
    <cellStyle name="—_Resources  valuation comp_ShenhuaPower(report tables)_ferrous &amp; non-ferrous 2" xfId="1300"/>
    <cellStyle name="—_Resources comp - quantum" xfId="1301"/>
    <cellStyle name="—_Resources comp - quantum 2" xfId="1302"/>
    <cellStyle name="—_Resources comp - quantum_Banpu_Charts" xfId="1303"/>
    <cellStyle name="—_Resources comp - quantum_Banpu_Charts 2" xfId="1304"/>
    <cellStyle name="—_Resources comp - quantum_ShenhuaPower(report tables)" xfId="1305"/>
    <cellStyle name="—_Resources comp - quantum_ShenhuaPower(report tables) 2" xfId="1306"/>
    <cellStyle name="—_Resources comp - quantum_ShenhuaPower(report tables)_ferrous &amp; non-ferrous" xfId="1307"/>
    <cellStyle name="—_Resources comp - quantum_ShenhuaPower(report tables)_ferrous &amp; non-ferrous 2" xfId="1308"/>
    <cellStyle name="—_Results" xfId="1309"/>
    <cellStyle name="—_Results 2" xfId="1310"/>
    <cellStyle name="—_Results_&quot;History" xfId="1311"/>
    <cellStyle name="—_Results_&quot;History 2" xfId="1312"/>
    <cellStyle name="—_Results_&quot;History_Banpu_Charts" xfId="1313"/>
    <cellStyle name="—_Results_&quot;History_Banpu_Charts 2" xfId="1314"/>
    <cellStyle name="—_Results_&quot;History_Delay Projects" xfId="1315"/>
    <cellStyle name="—_Results_&quot;History_Delay Projects 2" xfId="1316"/>
    <cellStyle name="—_Results_&quot;History_Delay Projects_Banpu_Charts" xfId="1317"/>
    <cellStyle name="—_Results_&quot;History_Delay Projects_Banpu_Charts 2" xfId="1318"/>
    <cellStyle name="—_Results_&quot;History_Delay Projects_ShenhuaPower(report tables)" xfId="1319"/>
    <cellStyle name="—_Results_&quot;History_Delay Projects_ShenhuaPower(report tables) 2" xfId="1320"/>
    <cellStyle name="—_Results_&quot;History_Delay Projects_ShenhuaPower(report tables)_ferrous &amp; non-ferrous" xfId="1321"/>
    <cellStyle name="—_Results_&quot;History_Delay Projects_ShenhuaPower(report tables)_ferrous &amp; non-ferrous 2" xfId="1322"/>
    <cellStyle name="—_Results_&quot;History_Model" xfId="1323"/>
    <cellStyle name="—_Results_&quot;History_Model 2" xfId="1324"/>
    <cellStyle name="—_Results_&quot;History_Model_Banpu_Charts" xfId="1325"/>
    <cellStyle name="—_Results_&quot;History_Model_Banpu_Charts 2" xfId="1326"/>
    <cellStyle name="—_Results_&quot;History_Model_ShenhuaPower(report tables)" xfId="1327"/>
    <cellStyle name="—_Results_&quot;History_Model_ShenhuaPower(report tables) 2" xfId="1328"/>
    <cellStyle name="—_Results_&quot;History_Model_ShenhuaPower(report tables)_ferrous &amp; non-ferrous" xfId="1329"/>
    <cellStyle name="—_Results_&quot;History_Model_ShenhuaPower(report tables)_ferrous &amp; non-ferrous 2" xfId="1330"/>
    <cellStyle name="—_Results_&quot;History_ShenhuaPower(report tables)" xfId="1331"/>
    <cellStyle name="—_Results_&quot;History_ShenhuaPower(report tables) 2" xfId="1332"/>
    <cellStyle name="—_Results_&quot;History_ShenhuaPower(report tables)_ferrous &amp; non-ferrous" xfId="1333"/>
    <cellStyle name="—_Results_&quot;History_ShenhuaPower(report tables)_ferrous &amp; non-ferrous 2" xfId="1334"/>
    <cellStyle name="—_Results_Banpu_Charts" xfId="1335"/>
    <cellStyle name="—_Results_Banpu_Charts 2" xfId="1336"/>
    <cellStyle name="—_Results_BS" xfId="1337"/>
    <cellStyle name="—_Results_BS &amp; CF" xfId="1338"/>
    <cellStyle name="—_Results_BS &amp; CF 2" xfId="1339"/>
    <cellStyle name="—_Results_BS &amp; CF_Banpu_Charts" xfId="1340"/>
    <cellStyle name="—_Results_BS &amp; CF_Banpu_Charts 2" xfId="1341"/>
    <cellStyle name="—_Results_BS &amp; CF_Delay Projects" xfId="1342"/>
    <cellStyle name="—_Results_BS &amp; CF_Delay Projects 2" xfId="1343"/>
    <cellStyle name="—_Results_BS &amp; CF_Delay Projects_Banpu_Charts" xfId="1344"/>
    <cellStyle name="—_Results_BS &amp; CF_Delay Projects_Banpu_Charts 2" xfId="1345"/>
    <cellStyle name="—_Results_BS &amp; CF_Delay Projects_ShenhuaPower(report tables)" xfId="1346"/>
    <cellStyle name="—_Results_BS &amp; CF_Delay Projects_ShenhuaPower(report tables) 2" xfId="1347"/>
    <cellStyle name="—_Results_BS &amp; CF_Delay Projects_ShenhuaPower(report tables)_ferrous &amp; non-ferrous" xfId="1348"/>
    <cellStyle name="—_Results_BS &amp; CF_Delay Projects_ShenhuaPower(report tables)_ferrous &amp; non-ferrous 2" xfId="1349"/>
    <cellStyle name="—_Results_BS &amp; CF_Model" xfId="1350"/>
    <cellStyle name="—_Results_BS &amp; CF_Model 2" xfId="1351"/>
    <cellStyle name="—_Results_BS &amp; CF_Model_Banpu_Charts" xfId="1352"/>
    <cellStyle name="—_Results_BS &amp; CF_Model_Banpu_Charts 2" xfId="1353"/>
    <cellStyle name="—_Results_BS &amp; CF_Model_ShenhuaPower(report tables)" xfId="1354"/>
    <cellStyle name="—_Results_BS &amp; CF_Model_ShenhuaPower(report tables) 2" xfId="1355"/>
    <cellStyle name="—_Results_BS &amp; CF_Model_ShenhuaPower(report tables)_ferrous &amp; non-ferrous" xfId="1356"/>
    <cellStyle name="—_Results_BS &amp; CF_Model_ShenhuaPower(report tables)_ferrous &amp; non-ferrous 2" xfId="1357"/>
    <cellStyle name="—_Results_BS &amp; CF_ShenhuaPower(report tables)" xfId="1358"/>
    <cellStyle name="—_Results_BS &amp; CF_ShenhuaPower(report tables) 2" xfId="1359"/>
    <cellStyle name="—_Results_BS &amp; CF_ShenhuaPower(report tables)_ferrous &amp; non-ferrous" xfId="1360"/>
    <cellStyle name="—_Results_BS &amp; CF_ShenhuaPower(report tables)_ferrous &amp; non-ferrous 2" xfId="1361"/>
    <cellStyle name="—_Results_BS 2" xfId="1362"/>
    <cellStyle name="—_Results_BS 3" xfId="1363"/>
    <cellStyle name="—_Results_BS 4" xfId="1364"/>
    <cellStyle name="—_Results_BS 5" xfId="1365"/>
    <cellStyle name="—_Results_BS_Banpu_Charts" xfId="1366"/>
    <cellStyle name="—_Results_BS_Banpu_Charts 2" xfId="1367"/>
    <cellStyle name="—_Results_BS_CPI1" xfId="1368"/>
    <cellStyle name="—_Results_BS_CPI1 2" xfId="1369"/>
    <cellStyle name="—_Results_BS_CPI1_ferrous &amp; non-ferrous" xfId="1370"/>
    <cellStyle name="—_Results_BS_CPI1_ferrous &amp; non-ferrous 2" xfId="1371"/>
    <cellStyle name="—_Results_BS_Sheet1" xfId="1372"/>
    <cellStyle name="—_Results_BS_Sheet1 2" xfId="1373"/>
    <cellStyle name="—_Results_BS_Sheet1_ferrous &amp; non-ferrous" xfId="1374"/>
    <cellStyle name="—_Results_BS_Sheet1_ferrous &amp; non-ferrous 2" xfId="1375"/>
    <cellStyle name="—_Results_BS_Shenhua-coal P&amp;L" xfId="1376"/>
    <cellStyle name="—_Results_BS_Shenhua-coal P&amp;L 2" xfId="1377"/>
    <cellStyle name="—_Results_BS_Shenhua-coal P&amp;L_ShenhuaPower(report tables)" xfId="1378"/>
    <cellStyle name="—_Results_BS_Shenhua-coal P&amp;L_ShenhuaPower(report tables) 2" xfId="1379"/>
    <cellStyle name="—_Results_BS_Shenhua-coal P&amp;L_ShenhuaPower(report tables)_ferrous &amp; non-ferrous" xfId="1380"/>
    <cellStyle name="—_Results_BS_Shenhua-coal P&amp;L_ShenhuaPower(report tables)_ferrous &amp; non-ferrous 2" xfId="1381"/>
    <cellStyle name="—_Results_BS_Shenhua-power" xfId="1382"/>
    <cellStyle name="—_Results_BS_Shenhua-power 2" xfId="1383"/>
    <cellStyle name="—_Results_BS_ShenhuaPower(report tables)" xfId="1384"/>
    <cellStyle name="—_Results_BS_ShenhuaPower(report tables) 2" xfId="1385"/>
    <cellStyle name="—_Results_BS_ShenhuaPower(report tables)_ferrous &amp; non-ferrous" xfId="1386"/>
    <cellStyle name="—_Results_BS_ShenhuaPower(report tables)_ferrous &amp; non-ferrous 2" xfId="1387"/>
    <cellStyle name="—_Results_BS_Shenhua-power_ferrous &amp; non-ferrous" xfId="1388"/>
    <cellStyle name="—_Results_BS_Shenhua-power_ferrous &amp; non-ferrous 2" xfId="1389"/>
    <cellStyle name="—_Results_CF" xfId="1390"/>
    <cellStyle name="—_Results_CF 2" xfId="1391"/>
    <cellStyle name="—_Results_CF_Banpu_Charts" xfId="1392"/>
    <cellStyle name="—_Results_CF_Banpu_Charts 2" xfId="1393"/>
    <cellStyle name="—_Results_CF_ShenhuaPower(report tables)" xfId="1394"/>
    <cellStyle name="—_Results_CF_ShenhuaPower(report tables) 2" xfId="1395"/>
    <cellStyle name="—_Results_CF_ShenhuaPower(report tables)_ferrous &amp; non-ferrous" xfId="1396"/>
    <cellStyle name="—_Results_CF_ShenhuaPower(report tables)_ferrous &amp; non-ferrous 2" xfId="1397"/>
    <cellStyle name="—_Results_CPI report table" xfId="1398"/>
    <cellStyle name="—_Results_CPI report table 2" xfId="1399"/>
    <cellStyle name="—_Results_CPI1" xfId="1400"/>
    <cellStyle name="—_Results_CPI1 2" xfId="1401"/>
    <cellStyle name="—_Results_CPI1_ferrous &amp; non-ferrous" xfId="1402"/>
    <cellStyle name="—_Results_CPI1_ferrous &amp; non-ferrous 2" xfId="1403"/>
    <cellStyle name="—_Results_CRPower1" xfId="1404"/>
    <cellStyle name="—_Results_CRPower1 2" xfId="1405"/>
    <cellStyle name="—_Results_CRPower1_CPI report table" xfId="1406"/>
    <cellStyle name="—_Results_CRPower1_CPI report table 2" xfId="1407"/>
    <cellStyle name="—_Results_CRPower1_CPI report table_ferrous &amp; non-ferrous" xfId="1408"/>
    <cellStyle name="—_Results_CRPower1_CPI report table_ferrous &amp; non-ferrous 2" xfId="1409"/>
    <cellStyle name="—_Results_CRPower1_ferrous &amp; non-ferrous" xfId="1410"/>
    <cellStyle name="—_Results_CRPower1_ferrous &amp; non-ferrous 2" xfId="1411"/>
    <cellStyle name="—_Results_CRPower1_ShenhuaModel" xfId="1412"/>
    <cellStyle name="—_Results_CRPower1_ShenhuaModel 2" xfId="1413"/>
    <cellStyle name="—_Results_CRPower1_ShenhuaModel_ferrous &amp; non-ferrous" xfId="1414"/>
    <cellStyle name="—_Results_CRPower1_ShenhuaModel_ferrous &amp; non-ferrous 2" xfId="1415"/>
    <cellStyle name="—_Results_CRPower7" xfId="1416"/>
    <cellStyle name="—_Results_CRPower7 2" xfId="1417"/>
    <cellStyle name="—_Results_CRPower7_ferrous &amp; non-ferrous" xfId="1418"/>
    <cellStyle name="—_Results_CRPower7_ferrous &amp; non-ferrous 2" xfId="1419"/>
    <cellStyle name="—_Results_CRPower8" xfId="1420"/>
    <cellStyle name="—_Results_CRPower8 2" xfId="1421"/>
    <cellStyle name="—_Results_CRPower8_ferrous &amp; non-ferrous" xfId="1422"/>
    <cellStyle name="—_Results_CRPower8_ferrous &amp; non-ferrous 2" xfId="1423"/>
    <cellStyle name="—_Results_CRPower9" xfId="1424"/>
    <cellStyle name="—_Results_CRPower9 2" xfId="1425"/>
    <cellStyle name="—_Results_CRPower9_ferrous &amp; non-ferrous" xfId="1426"/>
    <cellStyle name="—_Results_CRPower9_ferrous &amp; non-ferrous 2" xfId="1427"/>
    <cellStyle name="—_Results_Datang21" xfId="1428"/>
    <cellStyle name="—_Results_Datang21 2" xfId="1429"/>
    <cellStyle name="—_Results_Datang21_Banpu_Charts" xfId="1430"/>
    <cellStyle name="—_Results_Datang21_Banpu_Charts 2" xfId="1431"/>
    <cellStyle name="—_Results_Datang21_China Power Int Initiation 012705" xfId="1432"/>
    <cellStyle name="—_Results_Datang21_China Power Int Initiation 012705 2" xfId="1433"/>
    <cellStyle name="—_Results_Datang21_CPI report table" xfId="1434"/>
    <cellStyle name="—_Results_Datang21_CPI report table 2" xfId="1435"/>
    <cellStyle name="—_Results_Datang21_CPI1" xfId="1436"/>
    <cellStyle name="—_Results_Datang21_CPI1 2" xfId="1437"/>
    <cellStyle name="—_Results_Datang21_Shenhua-coal P&amp;L" xfId="1438"/>
    <cellStyle name="—_Results_Datang21_Shenhua-coal P&amp;L 2" xfId="1439"/>
    <cellStyle name="—_Results_Datang21_Shenhua-coal P&amp;L_ShenhuaPower(report tables)" xfId="1440"/>
    <cellStyle name="—_Results_Datang21_Shenhua-coal P&amp;L_ShenhuaPower(report tables) 2" xfId="1441"/>
    <cellStyle name="—_Results_Datang21_Shenhua-power" xfId="1442"/>
    <cellStyle name="—_Results_Datang21_Shenhua-power 2" xfId="1443"/>
    <cellStyle name="—_Results_Datang21_ShenhuaPower(report tables)" xfId="1444"/>
    <cellStyle name="—_Results_Datang21_ShenhuaPower(report tables) 2" xfId="1445"/>
    <cellStyle name="—_Results_DCF" xfId="1446"/>
    <cellStyle name="—_Results_DCF 2" xfId="1447"/>
    <cellStyle name="—_Results_DCF ANALYSIS" xfId="1448"/>
    <cellStyle name="—_Results_DCF ANALYSIS 2" xfId="1449"/>
    <cellStyle name="—_Results_DCF ANALYSIS_Banpu_Charts" xfId="1450"/>
    <cellStyle name="—_Results_DCF ANALYSIS_Banpu_Charts 2" xfId="1451"/>
    <cellStyle name="—_Results_DCF ANALYSIS_Delay Projects" xfId="1452"/>
    <cellStyle name="—_Results_DCF ANALYSIS_Delay Projects 2" xfId="1453"/>
    <cellStyle name="—_Results_DCF ANALYSIS_Delay Projects_Banpu_Charts" xfId="1454"/>
    <cellStyle name="—_Results_DCF ANALYSIS_Delay Projects_Banpu_Charts 2" xfId="1455"/>
    <cellStyle name="—_Results_DCF ANALYSIS_Delay Projects_ShenhuaPower(report tables)" xfId="1456"/>
    <cellStyle name="—_Results_DCF ANALYSIS_Delay Projects_ShenhuaPower(report tables) 2" xfId="1457"/>
    <cellStyle name="—_Results_DCF ANALYSIS_Delay Projects_ShenhuaPower(report tables)_ferrous &amp; non-ferrous" xfId="1458"/>
    <cellStyle name="—_Results_DCF ANALYSIS_Delay Projects_ShenhuaPower(report tables)_ferrous &amp; non-ferrous 2" xfId="1459"/>
    <cellStyle name="—_Results_DCF ANALYSIS_Huaneng" xfId="1460"/>
    <cellStyle name="—_Results_DCF ANALYSIS_Huaneng 2" xfId="1461"/>
    <cellStyle name="—_Results_DCF ANALYSIS_Huaneng_Banpu_Charts" xfId="1462"/>
    <cellStyle name="—_Results_DCF ANALYSIS_Huaneng_Banpu_Charts 2" xfId="1463"/>
    <cellStyle name="—_Results_DCF ANALYSIS_Huaneng_ShenhuaPower(report tables)" xfId="1464"/>
    <cellStyle name="—_Results_DCF ANALYSIS_Huaneng_ShenhuaPower(report tables) 2" xfId="1465"/>
    <cellStyle name="—_Results_DCF ANALYSIS_Huaneng_ShenhuaPower(report tables)_ferrous &amp; non-ferrous" xfId="1466"/>
    <cellStyle name="—_Results_DCF ANALYSIS_Huaneng_ShenhuaPower(report tables)_ferrous &amp; non-ferrous 2" xfId="1467"/>
    <cellStyle name="—_Results_DCF ANALYSIS_Huaneng-1" xfId="1468"/>
    <cellStyle name="—_Results_DCF ANALYSIS_Huaneng-1 2" xfId="1469"/>
    <cellStyle name="—_Results_DCF ANALYSIS_Huaneng-1_Banpu_Charts" xfId="1470"/>
    <cellStyle name="—_Results_DCF ANALYSIS_Huaneng-1_Banpu_Charts 2" xfId="1471"/>
    <cellStyle name="—_Results_DCF ANALYSIS_Huaneng-1_ShenhuaPower(report tables)" xfId="1472"/>
    <cellStyle name="—_Results_DCF ANALYSIS_Huaneng-1_ShenhuaPower(report tables) 2" xfId="1473"/>
    <cellStyle name="—_Results_DCF ANALYSIS_Huaneng-1_ShenhuaPower(report tables)_ferrous &amp; non-ferrous" xfId="1474"/>
    <cellStyle name="—_Results_DCF ANALYSIS_Huaneng-1_ShenhuaPower(report tables)_ferrous &amp; non-ferrous 2" xfId="1475"/>
    <cellStyle name="—_Results_DCF ANALYSIS_Huaneng14" xfId="1476"/>
    <cellStyle name="—_Results_DCF ANALYSIS_Huaneng14 2" xfId="1477"/>
    <cellStyle name="—_Results_DCF ANALYSIS_Huaneng14_Banpu_Charts" xfId="1478"/>
    <cellStyle name="—_Results_DCF ANALYSIS_Huaneng14_Banpu_Charts 2" xfId="1479"/>
    <cellStyle name="—_Results_DCF ANALYSIS_Huaneng14_ShenhuaPower(report tables)" xfId="1480"/>
    <cellStyle name="—_Results_DCF ANALYSIS_Huaneng14_ShenhuaPower(report tables) 2" xfId="1481"/>
    <cellStyle name="—_Results_DCF ANALYSIS_Huaneng14_ShenhuaPower(report tables)_ferrous &amp; non-ferrous" xfId="1482"/>
    <cellStyle name="—_Results_DCF ANALYSIS_Huaneng14_ShenhuaPower(report tables)_ferrous &amp; non-ferrous 2" xfId="1483"/>
    <cellStyle name="—_Results_DCF ANALYSIS_Huaneng22" xfId="1484"/>
    <cellStyle name="—_Results_DCF ANALYSIS_Huaneng22 2" xfId="1485"/>
    <cellStyle name="—_Results_DCF ANALYSIS_Huaneng22_Banpu_Charts" xfId="1486"/>
    <cellStyle name="—_Results_DCF ANALYSIS_Huaneng22_Banpu_Charts 2" xfId="1487"/>
    <cellStyle name="—_Results_DCF ANALYSIS_Huaneng22_ShenhuaPower(report tables)" xfId="1488"/>
    <cellStyle name="—_Results_DCF ANALYSIS_Huaneng22_ShenhuaPower(report tables) 2" xfId="1489"/>
    <cellStyle name="—_Results_DCF ANALYSIS_Huaneng22_ShenhuaPower(report tables)_ferrous &amp; non-ferrous" xfId="1490"/>
    <cellStyle name="—_Results_DCF ANALYSIS_Huaneng22_ShenhuaPower(report tables)_ferrous &amp; non-ferrous 2" xfId="1491"/>
    <cellStyle name="—_Results_DCF ANALYSIS_Huaneng45" xfId="1492"/>
    <cellStyle name="—_Results_DCF ANALYSIS_Huaneng45 2" xfId="1493"/>
    <cellStyle name="—_Results_DCF ANALYSIS_Huaneng45_ferrous &amp; non-ferrous" xfId="1494"/>
    <cellStyle name="—_Results_DCF ANALYSIS_Huaneng45_ferrous &amp; non-ferrous 2" xfId="1495"/>
    <cellStyle name="—_Results_DCF ANALYSIS_Interim" xfId="1496"/>
    <cellStyle name="—_Results_DCF ANALYSIS_Interim 2" xfId="1497"/>
    <cellStyle name="—_Results_DCF ANALYSIS_Interim_Banpu_Charts" xfId="1498"/>
    <cellStyle name="—_Results_DCF ANALYSIS_Interim_Banpu_Charts 2" xfId="1499"/>
    <cellStyle name="—_Results_DCF ANALYSIS_Interim_ShenhuaPower(report tables)" xfId="1500"/>
    <cellStyle name="—_Results_DCF ANALYSIS_Interim_ShenhuaPower(report tables) 2" xfId="1501"/>
    <cellStyle name="—_Results_DCF ANALYSIS_Interim_ShenhuaPower(report tables)_ferrous &amp; non-ferrous" xfId="1502"/>
    <cellStyle name="—_Results_DCF ANALYSIS_Interim_ShenhuaPower(report tables)_ferrous &amp; non-ferrous 2" xfId="1503"/>
    <cellStyle name="—_Results_DCF ANALYSIS_Model" xfId="1504"/>
    <cellStyle name="—_Results_DCF ANALYSIS_Model 2" xfId="1505"/>
    <cellStyle name="—_Results_DCF ANALYSIS_Model_Banpu_Charts" xfId="1506"/>
    <cellStyle name="—_Results_DCF ANALYSIS_Model_Banpu_Charts 2" xfId="1507"/>
    <cellStyle name="—_Results_DCF ANALYSIS_Model_ShenhuaPower(report tables)" xfId="1508"/>
    <cellStyle name="—_Results_DCF ANALYSIS_Model_ShenhuaPower(report tables) 2" xfId="1509"/>
    <cellStyle name="—_Results_DCF ANALYSIS_Model_ShenhuaPower(report tables)_ferrous &amp; non-ferrous" xfId="1510"/>
    <cellStyle name="—_Results_DCF ANALYSIS_Model_ShenhuaPower(report tables)_ferrous &amp; non-ferrous 2" xfId="1511"/>
    <cellStyle name="—_Results_DCF ANALYSIS_Projects" xfId="1512"/>
    <cellStyle name="—_Results_DCF ANALYSIS_Projects 2" xfId="1513"/>
    <cellStyle name="—_Results_DCF ANALYSIS_Projects_Banpu_Charts" xfId="1514"/>
    <cellStyle name="—_Results_DCF ANALYSIS_Projects_Banpu_Charts 2" xfId="1515"/>
    <cellStyle name="—_Results_DCF ANALYSIS_Projects_ShenhuaPower(report tables)" xfId="1516"/>
    <cellStyle name="—_Results_DCF ANALYSIS_Projects_ShenhuaPower(report tables) 2" xfId="1517"/>
    <cellStyle name="—_Results_DCF ANALYSIS_Projects_ShenhuaPower(report tables)_ferrous &amp; non-ferrous" xfId="1518"/>
    <cellStyle name="—_Results_DCF ANALYSIS_Projects_ShenhuaPower(report tables)_ferrous &amp; non-ferrous 2" xfId="1519"/>
    <cellStyle name="—_Results_DCF ANALYSIS_ShenhuaPower(report tables)" xfId="1520"/>
    <cellStyle name="—_Results_DCF ANALYSIS_ShenhuaPower(report tables) 2" xfId="1521"/>
    <cellStyle name="—_Results_DCF ANALYSIS_ShenhuaPower(report tables)_ferrous &amp; non-ferrous" xfId="1522"/>
    <cellStyle name="—_Results_DCF ANALYSIS_ShenhuaPower(report tables)_ferrous &amp; non-ferrous 2" xfId="1523"/>
    <cellStyle name="—_Results_DCF_Banpu_Charts" xfId="1524"/>
    <cellStyle name="—_Results_DCF_Banpu_Charts 2" xfId="1525"/>
    <cellStyle name="—_Results_DCF_CPI1" xfId="1526"/>
    <cellStyle name="—_Results_DCF_CPI1 2" xfId="1527"/>
    <cellStyle name="—_Results_DCF_CPI1_ferrous &amp; non-ferrous" xfId="1528"/>
    <cellStyle name="—_Results_DCF_CPI1_ferrous &amp; non-ferrous 2" xfId="1529"/>
    <cellStyle name="—_Results_DCF_Sheet1" xfId="1530"/>
    <cellStyle name="—_Results_DCF_Sheet1 2" xfId="1531"/>
    <cellStyle name="—_Results_DCF_Sheet1_ferrous &amp; non-ferrous" xfId="1532"/>
    <cellStyle name="—_Results_DCF_Sheet1_ferrous &amp; non-ferrous 2" xfId="1533"/>
    <cellStyle name="—_Results_DCF_Shenhua-coal P&amp;L" xfId="1534"/>
    <cellStyle name="—_Results_DCF_Shenhua-coal P&amp;L 2" xfId="1535"/>
    <cellStyle name="—_Results_DCF_Shenhua-coal P&amp;L_ShenhuaPower(report tables)" xfId="1536"/>
    <cellStyle name="—_Results_DCF_Shenhua-coal P&amp;L_ShenhuaPower(report tables) 2" xfId="1537"/>
    <cellStyle name="—_Results_DCF_Shenhua-coal P&amp;L_ShenhuaPower(report tables)_ferrous &amp; non-ferrous" xfId="1538"/>
    <cellStyle name="—_Results_DCF_Shenhua-coal P&amp;L_ShenhuaPower(report tables)_ferrous &amp; non-ferrous 2" xfId="1539"/>
    <cellStyle name="—_Results_DCF_Shenhua-power" xfId="1540"/>
    <cellStyle name="—_Results_DCF_Shenhua-power 2" xfId="1541"/>
    <cellStyle name="—_Results_DCF_ShenhuaPower(report tables)" xfId="1542"/>
    <cellStyle name="—_Results_DCF_ShenhuaPower(report tables) 2" xfId="1543"/>
    <cellStyle name="—_Results_DCF_ShenhuaPower(report tables)_ferrous &amp; non-ferrous" xfId="1544"/>
    <cellStyle name="—_Results_DCF_ShenhuaPower(report tables)_ferrous &amp; non-ferrous 2" xfId="1545"/>
    <cellStyle name="—_Results_DCF_Shenhua-power_ferrous &amp; non-ferrous" xfId="1546"/>
    <cellStyle name="—_Results_DCF_Shenhua-power_ferrous &amp; non-ferrous 2" xfId="1547"/>
    <cellStyle name="—_Results_Delay Projects" xfId="1548"/>
    <cellStyle name="—_Results_Delay Projects 2" xfId="1549"/>
    <cellStyle name="—_Results_Delay Projects_Banpu_Charts" xfId="1550"/>
    <cellStyle name="—_Results_Delay Projects_Banpu_Charts 2" xfId="1551"/>
    <cellStyle name="—_Results_Delay Projects_ShenhuaPower(report tables)" xfId="1552"/>
    <cellStyle name="—_Results_Delay Projects_ShenhuaPower(report tables) 2" xfId="1553"/>
    <cellStyle name="—_Results_Delay Projects_ShenhuaPower(report tables)_ferrous &amp; non-ferrous" xfId="1554"/>
    <cellStyle name="—_Results_Delay Projects_ShenhuaPower(report tables)_ferrous &amp; non-ferrous 2" xfId="1555"/>
    <cellStyle name="—_Results_HKG" xfId="1556"/>
    <cellStyle name="—_Results_HKG 2" xfId="1557"/>
    <cellStyle name="—_Results_HKG_Banpu_Charts" xfId="1558"/>
    <cellStyle name="—_Results_HKG_Banpu_Charts 2" xfId="1559"/>
    <cellStyle name="—_Results_HKG_CPI1" xfId="1560"/>
    <cellStyle name="—_Results_HKG_CPI1 2" xfId="1561"/>
    <cellStyle name="—_Results_HKG_Sheet1" xfId="1562"/>
    <cellStyle name="—_Results_HKG_Sheet1 2" xfId="1563"/>
    <cellStyle name="—_Results_HKG_Shenhua-coal P&amp;L" xfId="1564"/>
    <cellStyle name="—_Results_HKG_Shenhua-coal P&amp;L 2" xfId="1565"/>
    <cellStyle name="—_Results_HKG_Shenhua-coal P&amp;L_ShenhuaPower(report tables)" xfId="1566"/>
    <cellStyle name="—_Results_HKG_Shenhua-coal P&amp;L_ShenhuaPower(report tables) 2" xfId="1567"/>
    <cellStyle name="—_Results_HKG_Shenhua-power" xfId="1568"/>
    <cellStyle name="—_Results_HKG_Shenhua-power 2" xfId="1569"/>
    <cellStyle name="—_Results_HKG_ShenhuaPower(report tables)" xfId="1570"/>
    <cellStyle name="—_Results_HKG_ShenhuaPower(report tables) 2" xfId="1571"/>
    <cellStyle name="—_Results_HNP-REP" xfId="1572"/>
    <cellStyle name="—_Results_HNP-REP_Banpu_Charts" xfId="1573"/>
    <cellStyle name="—_Results_HNP-REP_ShenhuaPower(report tables)" xfId="1574"/>
    <cellStyle name="—_Results_HNP-REP_ShenhuaPower(report tables)_ferrous &amp; non-ferrous" xfId="1575"/>
    <cellStyle name="—_Results_KEPCO" xfId="1576"/>
    <cellStyle name="—_Results_KEPCO_Banpu_Charts" xfId="1577"/>
    <cellStyle name="—_Results_KEPCO_CPI1" xfId="1578"/>
    <cellStyle name="—_Results_KEPCO_Sheet1" xfId="1579"/>
    <cellStyle name="—_Results_KEPCO_Shenhua-coal P&amp;L" xfId="1580"/>
    <cellStyle name="—_Results_KEPCO_Shenhua-coal P&amp;L_ShenhuaPower(report tables)" xfId="1581"/>
    <cellStyle name="—_Results_KEPCO_Shenhua-power" xfId="1582"/>
    <cellStyle name="—_Results_KEPCO_ShenhuaPower(report tables)" xfId="1583"/>
    <cellStyle name="—_Results_marketing charts" xfId="1584"/>
    <cellStyle name="—_Results_marketing charts 2" xfId="1585"/>
    <cellStyle name="—_Results_MERB" xfId="1586"/>
    <cellStyle name="—_Results_MERB 2" xfId="1587"/>
    <cellStyle name="—_Results_MERB_0405 Coal Trans" xfId="1588"/>
    <cellStyle name="—_Results_MERB_0405 Coal Trans 2" xfId="1589"/>
    <cellStyle name="—_Results_MERB_0405 Coal Trans_ferrous &amp; non-ferrous" xfId="1590"/>
    <cellStyle name="—_Results_MERB_0405 Coal Trans_ferrous &amp; non-ferrous 2" xfId="1591"/>
    <cellStyle name="—_Results_MERB_AngangModel" xfId="1592"/>
    <cellStyle name="—_Results_MERB_AngangModel 2" xfId="1593"/>
    <cellStyle name="—_Results_MERB_Banpu_Charts" xfId="1594"/>
    <cellStyle name="—_Results_MERB_Banpu_Charts 2" xfId="1595"/>
    <cellStyle name="—_Results_MERB_China steel sector initiation morning call handout Dec 10, 2004" xfId="1596"/>
    <cellStyle name="—_Results_MERB_CPI1" xfId="1597"/>
    <cellStyle name="—_Results_MERB_Delay Projects" xfId="1598"/>
    <cellStyle name="—_Results_MERB_Delay Projects 2" xfId="1599"/>
    <cellStyle name="—_Results_MERB_Delay Projects_Banpu_Charts" xfId="1600"/>
    <cellStyle name="—_Results_MERB_Delay Projects_Banpu_Charts 2" xfId="1601"/>
    <cellStyle name="—_Results_MERB_Delay Projects_ShenhuaPower(report tables)" xfId="1602"/>
    <cellStyle name="—_Results_MERB_Delay Projects_ShenhuaPower(report tables) 2" xfId="1603"/>
    <cellStyle name="—_Results_MERB_Delay Projects_ShenhuaPower(report tables)_ferrous &amp; non-ferrous" xfId="1604"/>
    <cellStyle name="—_Results_MERB_Delay Projects_ShenhuaPower(report tables)_ferrous &amp; non-ferrous 2" xfId="1605"/>
    <cellStyle name="—_Results_MERB_JiangxiCopperModel" xfId="1606"/>
    <cellStyle name="—_Results_MERB_JiangxiCopperModel_Banpu_Charts" xfId="1607"/>
    <cellStyle name="—_Results_MERB_JiangxiCopperModel_ShenhuaPower(report tables)" xfId="1608"/>
    <cellStyle name="—_Results_MERB_MaGangModel" xfId="1609"/>
    <cellStyle name="—_Results_MERB_MaGangModel 2" xfId="1610"/>
    <cellStyle name="—_Results_MERB_marketing charts" xfId="1611"/>
    <cellStyle name="—_Results_MERB_marketing charts 2" xfId="1612"/>
    <cellStyle name="—_Results_MERB_marketing charts_ferrous &amp; non-ferrous" xfId="1613"/>
    <cellStyle name="—_Results_MERB_marketing charts_ferrous &amp; non-ferrous 2" xfId="1614"/>
    <cellStyle name="—_Results_MERB_Model" xfId="1615"/>
    <cellStyle name="—_Results_MERB_Model 2" xfId="1616"/>
    <cellStyle name="—_Results_MERB_Model_Banpu_Charts" xfId="1617"/>
    <cellStyle name="—_Results_MERB_Model_Banpu_Charts 2" xfId="1618"/>
    <cellStyle name="—_Results_MERB_Model_ShenhuaPower(report tables)" xfId="1619"/>
    <cellStyle name="—_Results_MERB_Model_ShenhuaPower(report tables) 2" xfId="1620"/>
    <cellStyle name="—_Results_MERB_Model_ShenhuaPower(report tables)_ferrous &amp; non-ferrous" xfId="1621"/>
    <cellStyle name="—_Results_MERB_Model_ShenhuaPower(report tables)_ferrous &amp; non-ferrous 2" xfId="1622"/>
    <cellStyle name="—_Results_MERB_Resources  valuation comp" xfId="1623"/>
    <cellStyle name="—_Results_MERB_Resources  valuation comp_ShenhuaPower(report tables)" xfId="1624"/>
    <cellStyle name="—_Results_MERB_Sheet1" xfId="1625"/>
    <cellStyle name="—_Results_MERB_Sheet1_1" xfId="1626"/>
    <cellStyle name="—_Results_MERB_Sheet1_1 2" xfId="1627"/>
    <cellStyle name="—_Results_MERB_Sheet1_1_ferrous &amp; non-ferrous" xfId="1628"/>
    <cellStyle name="—_Results_MERB_Sheet1_1_ferrous &amp; non-ferrous 2" xfId="1629"/>
    <cellStyle name="—_Results_MERB_Shenhua-coal P&amp;L" xfId="1630"/>
    <cellStyle name="—_Results_MERB_Shenhua-coal P&amp;L 2" xfId="1631"/>
    <cellStyle name="—_Results_MERB_Shenhua-coal P&amp;L_ShenhuaPower(report tables)" xfId="1632"/>
    <cellStyle name="—_Results_MERB_Shenhua-coal P&amp;L_ShenhuaPower(report tables) 2" xfId="1633"/>
    <cellStyle name="—_Results_MERB_Shenhua-coal P&amp;L_ShenhuaPower(report tables)_ferrous &amp; non-ferrous" xfId="1634"/>
    <cellStyle name="—_Results_MERB_Shenhua-coal P&amp;L_ShenhuaPower(report tables)_ferrous &amp; non-ferrous 2" xfId="1635"/>
    <cellStyle name="—_Results_MERB_ShenhuaModel" xfId="1636"/>
    <cellStyle name="—_Results_MERB_ShenhuaModel 2" xfId="1637"/>
    <cellStyle name="—_Results_MERB_ShenhuaModel_ferrous &amp; non-ferrous" xfId="1638"/>
    <cellStyle name="—_Results_MERB_ShenhuaModel_ferrous &amp; non-ferrous 2" xfId="1639"/>
    <cellStyle name="—_Results_MERB_Shenhua-power" xfId="1640"/>
    <cellStyle name="—_Results_MERB_ShenhuaPower(report tables)" xfId="1641"/>
    <cellStyle name="—_Results_MERB_StandardPacificChenLei020806" xfId="1642"/>
    <cellStyle name="—_Results_MERB_StandardPacificChenLei020806 2" xfId="1643"/>
    <cellStyle name="—_Results_MERB_StandardPacificChenLei020806_ferrous &amp; non-ferrous" xfId="1644"/>
    <cellStyle name="—_Results_MERB_StandardPacificChenLei020806_ferrous &amp; non-ferrous 2" xfId="1645"/>
    <cellStyle name="—_Results_MERB_YanzhouCoalModel" xfId="1646"/>
    <cellStyle name="—_Results_MERB_YanzhouCoalModel 2" xfId="1647"/>
    <cellStyle name="—_Results_MERB_YanzhouCoalModel_Banpu_Charts" xfId="1648"/>
    <cellStyle name="—_Results_MERB_YanzhouCoalModel_Banpu_Charts 2" xfId="1649"/>
    <cellStyle name="—_Results_MERB_YanzhouCoalModel_ShenhuaPower(report tables)" xfId="1650"/>
    <cellStyle name="—_Results_MERB_YanzhouCoalModel_ShenhuaPower(report tables) 2" xfId="1651"/>
    <cellStyle name="—_Results_MERB_YanzhouCoalModel_ShenhuaPower(report tables)_ferrous &amp; non-ferrous" xfId="1652"/>
    <cellStyle name="—_Results_MERB_YanzhouCoalModel_ShenhuaPower(report tables)_ferrous &amp; non-ferrous 2" xfId="1653"/>
    <cellStyle name="—_Results_Model" xfId="1654"/>
    <cellStyle name="—_Results_Model 2" xfId="1655"/>
    <cellStyle name="—_Results_Model_Banpu_Charts" xfId="1656"/>
    <cellStyle name="—_Results_Model_Banpu_Charts 2" xfId="1657"/>
    <cellStyle name="—_Results_Model_ShenhuaPower(report tables)" xfId="1658"/>
    <cellStyle name="—_Results_Model_ShenhuaPower(report tables) 2" xfId="1659"/>
    <cellStyle name="—_Results_Model_ShenhuaPower(report tables)_ferrous &amp; non-ferrous" xfId="1660"/>
    <cellStyle name="—_Results_Model_ShenhuaPower(report tables)_ferrous &amp; non-ferrous 2" xfId="1661"/>
    <cellStyle name="—_Results_Projects" xfId="1662"/>
    <cellStyle name="—_Results_Projects 2" xfId="1663"/>
    <cellStyle name="—_Results_Projects_Banpu_Charts" xfId="1664"/>
    <cellStyle name="—_Results_Projects_Banpu_Charts 2" xfId="1665"/>
    <cellStyle name="—_Results_Projects_ShenhuaPower(report tables)" xfId="1666"/>
    <cellStyle name="—_Results_Projects_ShenhuaPower(report tables) 2" xfId="1667"/>
    <cellStyle name="—_Results_Projects_ShenhuaPower(report tables)_ferrous &amp; non-ferrous" xfId="1668"/>
    <cellStyle name="—_Results_Projects_ShenhuaPower(report tables)_ferrous &amp; non-ferrous 2" xfId="1669"/>
    <cellStyle name="—_Results_Rmb" xfId="1670"/>
    <cellStyle name="—_Results_Rmb 2" xfId="1671"/>
    <cellStyle name="—_Results_Rmb_Banpu_Charts" xfId="1672"/>
    <cellStyle name="—_Results_Rmb_Banpu_Charts 2" xfId="1673"/>
    <cellStyle name="—_Results_Rmb_Huaneng" xfId="1674"/>
    <cellStyle name="—_Results_Rmb_Huaneng 2" xfId="1675"/>
    <cellStyle name="—_Results_Rmb_Huaneng_Banpu_Charts" xfId="1676"/>
    <cellStyle name="—_Results_Rmb_Huaneng_Banpu_Charts 2" xfId="1677"/>
    <cellStyle name="—_Results_Rmb_Huaneng_ShenhuaPower(report tables)" xfId="1678"/>
    <cellStyle name="—_Results_Rmb_Huaneng_ShenhuaPower(report tables) 2" xfId="1679"/>
    <cellStyle name="—_Results_Rmb_Huaneng_ShenhuaPower(report tables)_ferrous &amp; non-ferrous" xfId="1680"/>
    <cellStyle name="—_Results_Rmb_Huaneng_ShenhuaPower(report tables)_ferrous &amp; non-ferrous 2" xfId="1681"/>
    <cellStyle name="—_Results_Rmb_Huaneng-1" xfId="1682"/>
    <cellStyle name="—_Results_Rmb_Huaneng-1 2" xfId="1683"/>
    <cellStyle name="—_Results_Rmb_Huaneng-1_Banpu_Charts" xfId="1684"/>
    <cellStyle name="—_Results_Rmb_Huaneng-1_Banpu_Charts 2" xfId="1685"/>
    <cellStyle name="—_Results_Rmb_Huaneng-1_ShenhuaPower(report tables)" xfId="1686"/>
    <cellStyle name="—_Results_Rmb_Huaneng-1_ShenhuaPower(report tables) 2" xfId="1687"/>
    <cellStyle name="—_Results_Rmb_Huaneng-1_ShenhuaPower(report tables)_ferrous &amp; non-ferrous" xfId="1688"/>
    <cellStyle name="—_Results_Rmb_Huaneng-1_ShenhuaPower(report tables)_ferrous &amp; non-ferrous 2" xfId="1689"/>
    <cellStyle name="—_Results_Rmb_Huaneng14" xfId="1690"/>
    <cellStyle name="—_Results_Rmb_Huaneng14 2" xfId="1691"/>
    <cellStyle name="—_Results_Rmb_Huaneng14_Banpu_Charts" xfId="1692"/>
    <cellStyle name="—_Results_Rmb_Huaneng14_Banpu_Charts 2" xfId="1693"/>
    <cellStyle name="—_Results_Rmb_Huaneng14_ShenhuaPower(report tables)" xfId="1694"/>
    <cellStyle name="—_Results_Rmb_Huaneng14_ShenhuaPower(report tables) 2" xfId="1695"/>
    <cellStyle name="—_Results_Rmb_Huaneng14_ShenhuaPower(report tables)_ferrous &amp; non-ferrous" xfId="1696"/>
    <cellStyle name="—_Results_Rmb_Huaneng14_ShenhuaPower(report tables)_ferrous &amp; non-ferrous 2" xfId="1697"/>
    <cellStyle name="—_Results_Rmb_Huaneng22" xfId="1698"/>
    <cellStyle name="—_Results_Rmb_Huaneng22 2" xfId="1699"/>
    <cellStyle name="—_Results_Rmb_Huaneng22_Banpu_Charts" xfId="1700"/>
    <cellStyle name="—_Results_Rmb_Huaneng22_Banpu_Charts 2" xfId="1701"/>
    <cellStyle name="—_Results_Rmb_Huaneng22_ShenhuaPower(report tables)" xfId="1702"/>
    <cellStyle name="—_Results_Rmb_Huaneng22_ShenhuaPower(report tables) 2" xfId="1703"/>
    <cellStyle name="—_Results_Rmb_Huaneng22_ShenhuaPower(report tables)_ferrous &amp; non-ferrous" xfId="1704"/>
    <cellStyle name="—_Results_Rmb_Huaneng22_ShenhuaPower(report tables)_ferrous &amp; non-ferrous 2" xfId="1705"/>
    <cellStyle name="—_Results_Rmb_Huaneng45" xfId="1706"/>
    <cellStyle name="—_Results_Rmb_Huaneng45 2" xfId="1707"/>
    <cellStyle name="—_Results_Rmb_Huaneng45_ferrous &amp; non-ferrous" xfId="1708"/>
    <cellStyle name="—_Results_Rmb_Huaneng45_ferrous &amp; non-ferrous 2" xfId="1709"/>
    <cellStyle name="—_Results_Rmb_Interim" xfId="1710"/>
    <cellStyle name="—_Results_Rmb_Interim 2" xfId="1711"/>
    <cellStyle name="—_Results_Rmb_Interim_Banpu_Charts" xfId="1712"/>
    <cellStyle name="—_Results_Rmb_Interim_Banpu_Charts 2" xfId="1713"/>
    <cellStyle name="—_Results_Rmb_Interim_ShenhuaPower(report tables)" xfId="1714"/>
    <cellStyle name="—_Results_Rmb_Interim_ShenhuaPower(report tables) 2" xfId="1715"/>
    <cellStyle name="—_Results_Rmb_Interim_ShenhuaPower(report tables)_ferrous &amp; non-ferrous" xfId="1716"/>
    <cellStyle name="—_Results_Rmb_Interim_ShenhuaPower(report tables)_ferrous &amp; non-ferrous 2" xfId="1717"/>
    <cellStyle name="—_Results_Rmb_ShenhuaPower(report tables)" xfId="1718"/>
    <cellStyle name="—_Results_Rmb_ShenhuaPower(report tables) 2" xfId="1719"/>
    <cellStyle name="—_Results_Rmb_ShenhuaPower(report tables)_ferrous &amp; non-ferrous" xfId="1720"/>
    <cellStyle name="—_Results_Rmb_ShenhuaPower(report tables)_ferrous &amp; non-ferrous 2" xfId="1721"/>
    <cellStyle name="—_Results_SH" xfId="1722"/>
    <cellStyle name="—_Results_SH 2" xfId="1723"/>
    <cellStyle name="—_Results_SH_Banpu_Charts" xfId="1724"/>
    <cellStyle name="—_Results_SH_Banpu_Charts 2" xfId="1725"/>
    <cellStyle name="—_Results_SH_Huaneng" xfId="1726"/>
    <cellStyle name="—_Results_SH_Huaneng 2" xfId="1727"/>
    <cellStyle name="—_Results_SH_Huaneng_Banpu_Charts" xfId="1728"/>
    <cellStyle name="—_Results_SH_Huaneng_Banpu_Charts 2" xfId="1729"/>
    <cellStyle name="—_Results_SH_Huaneng_ShenhuaPower(report tables)" xfId="1730"/>
    <cellStyle name="—_Results_SH_Huaneng_ShenhuaPower(report tables) 2" xfId="1731"/>
    <cellStyle name="—_Results_SH_Huaneng_ShenhuaPower(report tables)_ferrous &amp; non-ferrous" xfId="1732"/>
    <cellStyle name="—_Results_SH_Huaneng_ShenhuaPower(report tables)_ferrous &amp; non-ferrous 2" xfId="1733"/>
    <cellStyle name="—_Results_SH_Huaneng-1" xfId="1734"/>
    <cellStyle name="—_Results_SH_Huaneng-1 2" xfId="1735"/>
    <cellStyle name="—_Results_SH_Huaneng-1_Banpu_Charts" xfId="1736"/>
    <cellStyle name="—_Results_SH_Huaneng-1_Banpu_Charts 2" xfId="1737"/>
    <cellStyle name="—_Results_SH_Huaneng-1_ShenhuaPower(report tables)" xfId="1738"/>
    <cellStyle name="—_Results_SH_Huaneng-1_ShenhuaPower(report tables) 2" xfId="1739"/>
    <cellStyle name="—_Results_SH_Huaneng-1_ShenhuaPower(report tables)_ferrous &amp; non-ferrous" xfId="1740"/>
    <cellStyle name="—_Results_SH_Huaneng-1_ShenhuaPower(report tables)_ferrous &amp; non-ferrous 2" xfId="1741"/>
    <cellStyle name="—_Results_SH_Huaneng14" xfId="1742"/>
    <cellStyle name="—_Results_SH_Huaneng14 2" xfId="1743"/>
    <cellStyle name="—_Results_SH_Huaneng14_Banpu_Charts" xfId="1744"/>
    <cellStyle name="—_Results_SH_Huaneng14_Banpu_Charts 2" xfId="1745"/>
    <cellStyle name="—_Results_SH_Huaneng14_ShenhuaPower(report tables)" xfId="1746"/>
    <cellStyle name="—_Results_SH_Huaneng14_ShenhuaPower(report tables) 2" xfId="1747"/>
    <cellStyle name="—_Results_SH_Huaneng14_ShenhuaPower(report tables)_ferrous &amp; non-ferrous" xfId="1748"/>
    <cellStyle name="—_Results_SH_Huaneng14_ShenhuaPower(report tables)_ferrous &amp; non-ferrous 2" xfId="1749"/>
    <cellStyle name="—_Results_SH_Huaneng22" xfId="1750"/>
    <cellStyle name="—_Results_SH_Huaneng22 2" xfId="1751"/>
    <cellStyle name="—_Results_SH_Huaneng22_Banpu_Charts" xfId="1752"/>
    <cellStyle name="—_Results_SH_Huaneng22_Banpu_Charts 2" xfId="1753"/>
    <cellStyle name="—_Results_SH_Huaneng22_ShenhuaPower(report tables)" xfId="1754"/>
    <cellStyle name="—_Results_SH_Huaneng22_ShenhuaPower(report tables) 2" xfId="1755"/>
    <cellStyle name="—_Results_SH_Huaneng22_ShenhuaPower(report tables)_ferrous &amp; non-ferrous" xfId="1756"/>
    <cellStyle name="—_Results_SH_Huaneng22_ShenhuaPower(report tables)_ferrous &amp; non-ferrous 2" xfId="1757"/>
    <cellStyle name="—_Results_SH_Huaneng45" xfId="1758"/>
    <cellStyle name="—_Results_SH_Huaneng45 2" xfId="1759"/>
    <cellStyle name="—_Results_SH_Huaneng45_ferrous &amp; non-ferrous" xfId="1760"/>
    <cellStyle name="—_Results_SH_Huaneng45_ferrous &amp; non-ferrous 2" xfId="1761"/>
    <cellStyle name="—_Results_SH_Interim" xfId="1762"/>
    <cellStyle name="—_Results_SH_Interim 2" xfId="1763"/>
    <cellStyle name="—_Results_SH_Interim_Banpu_Charts" xfId="1764"/>
    <cellStyle name="—_Results_SH_Interim_Banpu_Charts 2" xfId="1765"/>
    <cellStyle name="—_Results_SH_Interim_ShenhuaPower(report tables)" xfId="1766"/>
    <cellStyle name="—_Results_SH_Interim_ShenhuaPower(report tables) 2" xfId="1767"/>
    <cellStyle name="—_Results_SH_Interim_ShenhuaPower(report tables)_ferrous &amp; non-ferrous" xfId="1768"/>
    <cellStyle name="—_Results_SH_Interim_ShenhuaPower(report tables)_ferrous &amp; non-ferrous 2" xfId="1769"/>
    <cellStyle name="—_Results_SH_ShenhuaPower(report tables)" xfId="1770"/>
    <cellStyle name="—_Results_SH_ShenhuaPower(report tables) 2" xfId="1771"/>
    <cellStyle name="—_Results_SH_ShenhuaPower(report tables)_ferrous &amp; non-ferrous" xfId="1772"/>
    <cellStyle name="—_Results_SH_ShenhuaPower(report tables)_ferrous &amp; non-ferrous 2" xfId="1773"/>
    <cellStyle name="—_Results_Sheet1" xfId="1774"/>
    <cellStyle name="—_Results_Sheet1 2" xfId="1775"/>
    <cellStyle name="—_Results_Sheet1_ferrous &amp; non-ferrous" xfId="1776"/>
    <cellStyle name="—_Results_Sheet1_ferrous &amp; non-ferrous 2" xfId="1777"/>
    <cellStyle name="—_Results_Shenhua-coal P&amp;L" xfId="1778"/>
    <cellStyle name="—_Results_Shenhua-coal P&amp;L 2" xfId="1779"/>
    <cellStyle name="—_Results_Shenhua-coal P&amp;L_ShenhuaPower(report tables)" xfId="1780"/>
    <cellStyle name="—_Results_Shenhua-coal P&amp;L_ShenhuaPower(report tables) 2" xfId="1781"/>
    <cellStyle name="—_Results_ShenhuaModel" xfId="1782"/>
    <cellStyle name="—_Results_ShenhuaModel 2" xfId="1783"/>
    <cellStyle name="—_Results_Shenhua-power" xfId="1784"/>
    <cellStyle name="—_Results_Shenhua-power 2" xfId="1785"/>
    <cellStyle name="—_Results_ShenhuaPower(report tables)" xfId="1786"/>
    <cellStyle name="—_Results_ShenhuaPower(report tables) 2" xfId="1787"/>
    <cellStyle name="—_Results_ShenhuaPower(report tables)_ferrous &amp; non-ferrous" xfId="1788"/>
    <cellStyle name="—_Results_ShenhuaPower(report tables)_ferrous &amp; non-ferrous 2" xfId="1789"/>
    <cellStyle name="—_Results_Shenhua-power_ferrous &amp; non-ferrous" xfId="1790"/>
    <cellStyle name="—_Results_Shenhua-power_ferrous &amp; non-ferrous 2" xfId="1791"/>
    <cellStyle name="—_Results_SIPD" xfId="1792"/>
    <cellStyle name="—_Results_SIPD 2" xfId="1793"/>
    <cellStyle name="—_Results_SIPD_Banpu_Charts" xfId="1794"/>
    <cellStyle name="—_Results_SIPD_Banpu_Charts 2" xfId="1795"/>
    <cellStyle name="—_Results_SIPD_CPI1" xfId="1796"/>
    <cellStyle name="—_Results_SIPD_CPI1 2" xfId="1797"/>
    <cellStyle name="—_Results_SIPD_CPI1_ferrous &amp; non-ferrous" xfId="1798"/>
    <cellStyle name="—_Results_SIPD_CPI1_ferrous &amp; non-ferrous 2" xfId="1799"/>
    <cellStyle name="—_Results_SIPD_Sheet1" xfId="1800"/>
    <cellStyle name="—_Results_SIPD_Sheet1 2" xfId="1801"/>
    <cellStyle name="—_Results_SIPD_Sheet1_ferrous &amp; non-ferrous" xfId="1802"/>
    <cellStyle name="—_Results_SIPD_Sheet1_ferrous &amp; non-ferrous 2" xfId="1803"/>
    <cellStyle name="—_Results_SIPD_Shenhua-coal P&amp;L" xfId="1804"/>
    <cellStyle name="—_Results_SIPD_Shenhua-coal P&amp;L 2" xfId="1805"/>
    <cellStyle name="—_Results_SIPD_Shenhua-coal P&amp;L_ShenhuaPower(report tables)" xfId="1806"/>
    <cellStyle name="—_Results_SIPD_Shenhua-coal P&amp;L_ShenhuaPower(report tables) 2" xfId="1807"/>
    <cellStyle name="—_Results_SIPD_Shenhua-coal P&amp;L_ShenhuaPower(report tables)_ferrous &amp; non-ferrous" xfId="1808"/>
    <cellStyle name="—_Results_SIPD_Shenhua-coal P&amp;L_ShenhuaPower(report tables)_ferrous &amp; non-ferrous 2" xfId="1809"/>
    <cellStyle name="—_Results_SIPD_Shenhua-power" xfId="1810"/>
    <cellStyle name="—_Results_SIPD_Shenhua-power 2" xfId="1811"/>
    <cellStyle name="—_Results_SIPD_ShenhuaPower(report tables)" xfId="1812"/>
    <cellStyle name="—_Results_SIPD_ShenhuaPower(report tables) 2" xfId="1813"/>
    <cellStyle name="—_Results_SIPD_ShenhuaPower(report tables)_ferrous &amp; non-ferrous" xfId="1814"/>
    <cellStyle name="—_Results_SIPD_ShenhuaPower(report tables)_ferrous &amp; non-ferrous 2" xfId="1815"/>
    <cellStyle name="—_Results_SIPD_Shenhua-power_ferrous &amp; non-ferrous" xfId="1816"/>
    <cellStyle name="—_Results_SIPD_Shenhua-power_ferrous &amp; non-ferrous 2" xfId="1817"/>
    <cellStyle name="—_Results_SIPD16" xfId="1818"/>
    <cellStyle name="—_Results_SIPD16 2" xfId="1819"/>
    <cellStyle name="—_Results_SIPD16_Banpu_Charts" xfId="1820"/>
    <cellStyle name="—_Results_SIPD16_Banpu_Charts 2" xfId="1821"/>
    <cellStyle name="—_Results_SIPD16_CPI1" xfId="1822"/>
    <cellStyle name="—_Results_SIPD16_CPI1 2" xfId="1823"/>
    <cellStyle name="—_Results_SIPD16_CPI1_ferrous &amp; non-ferrous" xfId="1824"/>
    <cellStyle name="—_Results_SIPD16_CPI1_ferrous &amp; non-ferrous 2" xfId="1825"/>
    <cellStyle name="—_Results_SIPD16_Sheet1" xfId="1826"/>
    <cellStyle name="—_Results_SIPD16_Sheet1 2" xfId="1827"/>
    <cellStyle name="—_Results_SIPD16_Sheet1_ferrous &amp; non-ferrous" xfId="1828"/>
    <cellStyle name="—_Results_SIPD16_Sheet1_ferrous &amp; non-ferrous 2" xfId="1829"/>
    <cellStyle name="—_Results_SIPD16_Shenhua-coal P&amp;L" xfId="1830"/>
    <cellStyle name="—_Results_SIPD16_Shenhua-coal P&amp;L 2" xfId="1831"/>
    <cellStyle name="—_Results_SIPD16_Shenhua-coal P&amp;L_ShenhuaPower(report tables)" xfId="1832"/>
    <cellStyle name="—_Results_SIPD16_Shenhua-coal P&amp;L_ShenhuaPower(report tables) 2" xfId="1833"/>
    <cellStyle name="—_Results_SIPD16_Shenhua-coal P&amp;L_ShenhuaPower(report tables)_ferrous &amp; non-ferrous" xfId="1834"/>
    <cellStyle name="—_Results_SIPD16_Shenhua-coal P&amp;L_ShenhuaPower(report tables)_ferrous &amp; non-ferrous 2" xfId="1835"/>
    <cellStyle name="—_Results_SIPD16_Shenhua-power" xfId="1836"/>
    <cellStyle name="—_Results_SIPD16_Shenhua-power 2" xfId="1837"/>
    <cellStyle name="—_Results_SIPD16_ShenhuaPower(report tables)" xfId="1838"/>
    <cellStyle name="—_Results_SIPD16_ShenhuaPower(report tables) 2" xfId="1839"/>
    <cellStyle name="—_Results_SIPD16_ShenhuaPower(report tables)_ferrous &amp; non-ferrous" xfId="1840"/>
    <cellStyle name="—_Results_SIPD16_ShenhuaPower(report tables)_ferrous &amp; non-ferrous 2" xfId="1841"/>
    <cellStyle name="—_Results_SIPD16_Shenhua-power_ferrous &amp; non-ferrous" xfId="1842"/>
    <cellStyle name="—_Results_SIPD16_Shenhua-power_ferrous &amp; non-ferrous 2" xfId="1843"/>
    <cellStyle name="—_Results_SIPD19" xfId="1844"/>
    <cellStyle name="—_Results_SIPD19 2" xfId="1845"/>
    <cellStyle name="—_Results_SIPD19_Banpu_Charts" xfId="1846"/>
    <cellStyle name="—_Results_SIPD19_Banpu_Charts 2" xfId="1847"/>
    <cellStyle name="—_Results_SIPD19_CPI1" xfId="1848"/>
    <cellStyle name="—_Results_SIPD19_CPI1 2" xfId="1849"/>
    <cellStyle name="—_Results_SIPD19_CPI1_ferrous &amp; non-ferrous" xfId="1850"/>
    <cellStyle name="—_Results_SIPD19_CPI1_ferrous &amp; non-ferrous 2" xfId="1851"/>
    <cellStyle name="—_Results_SIPD19_Sheet1" xfId="1852"/>
    <cellStyle name="—_Results_SIPD19_Sheet1 2" xfId="1853"/>
    <cellStyle name="—_Results_SIPD19_Sheet1_ferrous &amp; non-ferrous" xfId="1854"/>
    <cellStyle name="—_Results_SIPD19_Sheet1_ferrous &amp; non-ferrous 2" xfId="1855"/>
    <cellStyle name="—_Results_SIPD19_Shenhua-coal P&amp;L" xfId="1856"/>
    <cellStyle name="—_Results_SIPD19_Shenhua-coal P&amp;L 2" xfId="1857"/>
    <cellStyle name="—_Results_SIPD19_Shenhua-coal P&amp;L_ShenhuaPower(report tables)" xfId="1858"/>
    <cellStyle name="—_Results_SIPD19_Shenhua-coal P&amp;L_ShenhuaPower(report tables) 2" xfId="1859"/>
    <cellStyle name="—_Results_SIPD19_Shenhua-coal P&amp;L_ShenhuaPower(report tables)_ferrous &amp; non-ferrous" xfId="1860"/>
    <cellStyle name="—_Results_SIPD19_Shenhua-coal P&amp;L_ShenhuaPower(report tables)_ferrous &amp; non-ferrous 2" xfId="1861"/>
    <cellStyle name="—_Results_SIPD19_Shenhua-power" xfId="1862"/>
    <cellStyle name="—_Results_SIPD19_Shenhua-power 2" xfId="1863"/>
    <cellStyle name="—_Results_SIPD19_ShenhuaPower(report tables)" xfId="1864"/>
    <cellStyle name="—_Results_SIPD19_ShenhuaPower(report tables) 2" xfId="1865"/>
    <cellStyle name="—_Results_SIPD19_ShenhuaPower(report tables)_ferrous &amp; non-ferrous" xfId="1866"/>
    <cellStyle name="—_Results_SIPD19_ShenhuaPower(report tables)_ferrous &amp; non-ferrous 2" xfId="1867"/>
    <cellStyle name="—_Results_SIPD19_Shenhua-power_ferrous &amp; non-ferrous" xfId="1868"/>
    <cellStyle name="—_Results_SIPD19_Shenhua-power_ferrous &amp; non-ferrous 2" xfId="1869"/>
    <cellStyle name="—_Results_SIPD20" xfId="1870"/>
    <cellStyle name="—_Results_SIPD20 2" xfId="1871"/>
    <cellStyle name="—_Results_SIPD20_Banpu_Charts" xfId="1872"/>
    <cellStyle name="—_Results_SIPD20_Banpu_Charts 2" xfId="1873"/>
    <cellStyle name="—_Results_SIPD20_CPI1" xfId="1874"/>
    <cellStyle name="—_Results_SIPD20_CPI1 2" xfId="1875"/>
    <cellStyle name="—_Results_SIPD20_CPI1_ferrous &amp; non-ferrous" xfId="1876"/>
    <cellStyle name="—_Results_SIPD20_CPI1_ferrous &amp; non-ferrous 2" xfId="1877"/>
    <cellStyle name="—_Results_SIPD20_Sheet1" xfId="1878"/>
    <cellStyle name="—_Results_SIPD20_Sheet1 2" xfId="1879"/>
    <cellStyle name="—_Results_SIPD20_Sheet1_ferrous &amp; non-ferrous" xfId="1880"/>
    <cellStyle name="—_Results_SIPD20_Sheet1_ferrous &amp; non-ferrous 2" xfId="1881"/>
    <cellStyle name="—_Results_SIPD20_Shenhua-coal P&amp;L" xfId="1882"/>
    <cellStyle name="—_Results_SIPD20_Shenhua-coal P&amp;L 2" xfId="1883"/>
    <cellStyle name="—_Results_SIPD20_Shenhua-coal P&amp;L_ShenhuaPower(report tables)" xfId="1884"/>
    <cellStyle name="—_Results_SIPD20_Shenhua-coal P&amp;L_ShenhuaPower(report tables) 2" xfId="1885"/>
    <cellStyle name="—_Results_SIPD20_Shenhua-coal P&amp;L_ShenhuaPower(report tables)_ferrous &amp; non-ferrous" xfId="1886"/>
    <cellStyle name="—_Results_SIPD20_Shenhua-coal P&amp;L_ShenhuaPower(report tables)_ferrous &amp; non-ferrous 2" xfId="1887"/>
    <cellStyle name="—_Results_SIPD20_Shenhua-power" xfId="1888"/>
    <cellStyle name="—_Results_SIPD20_Shenhua-power 2" xfId="1889"/>
    <cellStyle name="—_Results_SIPD20_ShenhuaPower(report tables)" xfId="1890"/>
    <cellStyle name="—_Results_SIPD20_ShenhuaPower(report tables) 2" xfId="1891"/>
    <cellStyle name="—_Results_SIPD20_ShenhuaPower(report tables)_ferrous &amp; non-ferrous" xfId="1892"/>
    <cellStyle name="—_Results_SIPD20_ShenhuaPower(report tables)_ferrous &amp; non-ferrous 2" xfId="1893"/>
    <cellStyle name="—_Results_SIPD20_Shenhua-power_ferrous &amp; non-ferrous" xfId="1894"/>
    <cellStyle name="—_Results_SIPD20_Shenhua-power_ferrous &amp; non-ferrous 2" xfId="1895"/>
    <cellStyle name="—_Results_SIPD20a" xfId="1896"/>
    <cellStyle name="—_Results_SIPD20a 2" xfId="1897"/>
    <cellStyle name="—_Results_SIPD20a_Banpu_Charts" xfId="1898"/>
    <cellStyle name="—_Results_SIPD20a_Banpu_Charts 2" xfId="1899"/>
    <cellStyle name="—_Results_SIPD20a_CPI1" xfId="1900"/>
    <cellStyle name="—_Results_SIPD20a_CPI1 2" xfId="1901"/>
    <cellStyle name="—_Results_SIPD20a_CPI1_ferrous &amp; non-ferrous" xfId="1902"/>
    <cellStyle name="—_Results_SIPD20a_CPI1_ferrous &amp; non-ferrous 2" xfId="1903"/>
    <cellStyle name="—_Results_SIPD20a_Sheet1" xfId="1904"/>
    <cellStyle name="—_Results_SIPD20a_Sheet1 2" xfId="1905"/>
    <cellStyle name="—_Results_SIPD20a_Sheet1_ferrous &amp; non-ferrous" xfId="1906"/>
    <cellStyle name="—_Results_SIPD20a_Sheet1_ferrous &amp; non-ferrous 2" xfId="1907"/>
    <cellStyle name="—_Results_SIPD20a_Shenhua-coal P&amp;L" xfId="1908"/>
    <cellStyle name="—_Results_SIPD20a_Shenhua-coal P&amp;L 2" xfId="1909"/>
    <cellStyle name="—_Results_SIPD20a_Shenhua-coal P&amp;L_ShenhuaPower(report tables)" xfId="1910"/>
    <cellStyle name="—_Results_SIPD20a_Shenhua-coal P&amp;L_ShenhuaPower(report tables) 2" xfId="1911"/>
    <cellStyle name="—_Results_SIPD20a_Shenhua-coal P&amp;L_ShenhuaPower(report tables)_ferrous &amp; non-ferrous" xfId="1912"/>
    <cellStyle name="—_Results_SIPD20a_Shenhua-coal P&amp;L_ShenhuaPower(report tables)_ferrous &amp; non-ferrous 2" xfId="1913"/>
    <cellStyle name="—_Results_SIPD20a_Shenhua-power" xfId="1914"/>
    <cellStyle name="—_Results_SIPD20a_Shenhua-power 2" xfId="1915"/>
    <cellStyle name="—_Results_SIPD20a_ShenhuaPower(report tables)" xfId="1916"/>
    <cellStyle name="—_Results_SIPD20a_ShenhuaPower(report tables) 2" xfId="1917"/>
    <cellStyle name="—_Results_SIPD20a_ShenhuaPower(report tables)_ferrous &amp; non-ferrous" xfId="1918"/>
    <cellStyle name="—_Results_SIPD20a_ShenhuaPower(report tables)_ferrous &amp; non-ferrous 2" xfId="1919"/>
    <cellStyle name="—_Results_SIPD20a_Shenhua-power_ferrous &amp; non-ferrous" xfId="1920"/>
    <cellStyle name="—_Results_SIPD20a_Shenhua-power_ferrous &amp; non-ferrous 2" xfId="1921"/>
    <cellStyle name="—_Results_StandardPacificChenLei020806" xfId="1922"/>
    <cellStyle name="—_Results_StandardPacificChenLei020806 2" xfId="1923"/>
    <cellStyle name="_Revised Comps Template" xfId="1924"/>
    <cellStyle name="_Revised Comps Template 2" xfId="1925"/>
    <cellStyle name="—_RSA" xfId="1926"/>
    <cellStyle name="—_RSA 2" xfId="1927"/>
    <cellStyle name="—_RSA_Banpu_Charts" xfId="1928"/>
    <cellStyle name="—_RSA_Banpu_Charts 2" xfId="1929"/>
    <cellStyle name="—_RSA_CSC PBV data" xfId="1930"/>
    <cellStyle name="—_RSA_CSC PBV data 2" xfId="1931"/>
    <cellStyle name="—_RSA_Freeport-PBVData" xfId="1932"/>
    <cellStyle name="—_RSA_Freeport-PBVData 2" xfId="1933"/>
    <cellStyle name="—_RSA_PhelpsDolge-PBVData" xfId="1934"/>
    <cellStyle name="—_RSA_PhelpsDolge-PBVData 2" xfId="1935"/>
    <cellStyle name="—_RSA_POSCO PBV data" xfId="1936"/>
    <cellStyle name="—_RSA_POSCO PBV data 2" xfId="1937"/>
    <cellStyle name="—_RSA_Resources comp - quantum" xfId="1938"/>
    <cellStyle name="—_RSA_Resources comp - quantum 2" xfId="1939"/>
    <cellStyle name="—_RSA_Resources comp - quantum_Banpu_Charts" xfId="1940"/>
    <cellStyle name="—_RSA_Resources comp - quantum_Banpu_Charts 2" xfId="1941"/>
    <cellStyle name="—_RSA_Resources comp - quantum_ShenhuaPower(report tables)" xfId="1942"/>
    <cellStyle name="—_RSA_Resources comp - quantum_ShenhuaPower(report tables) 2" xfId="1943"/>
    <cellStyle name="—_RSA_Resources comp - quantum_ShenhuaPower(report tables)_ferrous &amp; non-ferrous" xfId="1944"/>
    <cellStyle name="—_RSA_Resources comp - quantum_ShenhuaPower(report tables)_ferrous &amp; non-ferrous 2" xfId="1945"/>
    <cellStyle name="—_RSA_ShenhuaPower(report tables)" xfId="1946"/>
    <cellStyle name="—_RSA_ShenhuaPower(report tables) 2" xfId="1947"/>
    <cellStyle name="—_RSA_ShenhuaPower(report tables)_ferrous &amp; non-ferrous" xfId="1948"/>
    <cellStyle name="—_RSA_ShenhuaPower(report tables)_ferrous &amp; non-ferrous 2" xfId="1949"/>
    <cellStyle name="—_RSA_Vedenta-PBVData" xfId="1950"/>
    <cellStyle name="—_RSA_Vedenta-PBVData 2" xfId="1951"/>
    <cellStyle name="—_RSA_Xstrata-PBVData" xfId="1952"/>
    <cellStyle name="—_RSA_Xstrata-PBVData 2" xfId="1953"/>
    <cellStyle name="_Sheet1" xfId="1954"/>
    <cellStyle name="—_Sheet1" xfId="1955"/>
    <cellStyle name="_Sheet1 2" xfId="1956"/>
    <cellStyle name="—_Sheet1 2" xfId="1957"/>
    <cellStyle name="_Sheet1 2 2" xfId="1958"/>
    <cellStyle name="_Sheet1 2 3" xfId="1959"/>
    <cellStyle name="_Sheet1 2 4" xfId="1960"/>
    <cellStyle name="_Sheet1 2 5" xfId="1961"/>
    <cellStyle name="—_Sheet1 3" xfId="1962"/>
    <cellStyle name="—_Sheet1 4" xfId="1963"/>
    <cellStyle name="—_Sheet1 5" xfId="1964"/>
    <cellStyle name="—_Sheet1_1" xfId="1965"/>
    <cellStyle name="—_Sheet1_1 2" xfId="1966"/>
    <cellStyle name="—_Sheet1_1_ferrous &amp; non-ferrous" xfId="1967"/>
    <cellStyle name="—_Sheet1_1_ferrous &amp; non-ferrous 2" xfId="1968"/>
    <cellStyle name="—_Sheet1_ferrous &amp; non-ferrous" xfId="1969"/>
    <cellStyle name="—_Sheet1_ferrous &amp; non-ferrous 2" xfId="1970"/>
    <cellStyle name="—_Shenhua-coal P&amp;L" xfId="1971"/>
    <cellStyle name="—_Shenhua-coal P&amp;L 2" xfId="1972"/>
    <cellStyle name="—_Shenhua-coal P&amp;L_ferrous &amp; non-ferrous" xfId="1973"/>
    <cellStyle name="—_Shenhua-coal P&amp;L_ferrous &amp; non-ferrous 2" xfId="1974"/>
    <cellStyle name="—_ShenhuaModel" xfId="1975"/>
    <cellStyle name="—_ShenhuaModel 2" xfId="1976"/>
    <cellStyle name="—_ShenhuaModel_ferrous &amp; non-ferrous" xfId="1977"/>
    <cellStyle name="—_ShenhuaModel_ferrous &amp; non-ferrous 2" xfId="1978"/>
    <cellStyle name="—_Shenhua-power" xfId="1979"/>
    <cellStyle name="—_Shenhua-power 2" xfId="1980"/>
    <cellStyle name="_ShenhuaPower(report tables)" xfId="1981"/>
    <cellStyle name="—_ShenhuaPower(report tables)" xfId="1982"/>
    <cellStyle name="_ShenhuaPower(report tables) 2" xfId="1983"/>
    <cellStyle name="—_ShenhuaPower(report tables) 2" xfId="1984"/>
    <cellStyle name="_ShenhuaPower(report tables) 3" xfId="1985"/>
    <cellStyle name="—_ShenhuaPower(report tables) 3" xfId="1986"/>
    <cellStyle name="_ShenhuaPower(report tables) 4" xfId="1987"/>
    <cellStyle name="—_ShenhuaPower(report tables) 4" xfId="1988"/>
    <cellStyle name="_ShenhuaPower(report tables) 5" xfId="1989"/>
    <cellStyle name="—_ShenhuaPower(report tables) 5" xfId="1990"/>
    <cellStyle name="—_ShenhuaPower(report tables)_ferrous &amp; non-ferrous" xfId="1991"/>
    <cellStyle name="—_ShenhuaPower(report tables)_ferrous &amp; non-ferrous 2" xfId="1992"/>
    <cellStyle name="—_Shenhua-power_ferrous &amp; non-ferrous" xfId="1993"/>
    <cellStyle name="—_Shenhua-power_ferrous &amp; non-ferrous 2" xfId="1994"/>
    <cellStyle name="_Shipbuilding Stock Prices" xfId="1995"/>
    <cellStyle name="_Shipbuilding Stock Prices 2" xfId="1996"/>
    <cellStyle name="_Shipbuilding Stock Prices_Banpu_Charts" xfId="1997"/>
    <cellStyle name="_Shipbuilding Stock Prices_Banpu_Charts 2" xfId="1998"/>
    <cellStyle name="—_StandardPacificChenLei020806" xfId="1999"/>
    <cellStyle name="—_StandardPacificChenLei020806 2" xfId="2000"/>
    <cellStyle name="—_StandardPacificChenLei020806_ferrous &amp; non-ferrous" xfId="2001"/>
    <cellStyle name="—_StandardPacificChenLei020806_ferrous &amp; non-ferrous 2" xfId="2002"/>
    <cellStyle name="—_StandardPacific-ChenLei-AngangMagang-20060220" xfId="2003"/>
    <cellStyle name="—_StandardPacific-ChenLei-AngangMagang-20060220 2" xfId="2004"/>
    <cellStyle name="_SubHeading" xfId="2005"/>
    <cellStyle name="_Summary_Land" xfId="2006"/>
    <cellStyle name="_Summary_Land 2" xfId="2007"/>
    <cellStyle name="_Summary_Land 2 2" xfId="2008"/>
    <cellStyle name="_Table" xfId="2009"/>
    <cellStyle name="_Table_Sheet1" xfId="2010"/>
    <cellStyle name="_Table_Sheet1_premisses" xfId="2011"/>
    <cellStyle name="_Table_Sheet2" xfId="2012"/>
    <cellStyle name="_Table_Sheet2_premisses" xfId="2013"/>
    <cellStyle name="_TableHead" xfId="2014"/>
    <cellStyle name="_TableHead_Sheet1" xfId="2015"/>
    <cellStyle name="_TableHead_Sheet1_premisses" xfId="2016"/>
    <cellStyle name="_TableHead_Sheet2" xfId="2017"/>
    <cellStyle name="_TableHead_Sheet2_premisses" xfId="2018"/>
    <cellStyle name="_TableRowHead" xfId="2019"/>
    <cellStyle name="_TableSuperHead" xfId="2020"/>
    <cellStyle name="—_Telecom quarterly_final" xfId="2021"/>
    <cellStyle name="—_Telecom quarterly_final 2" xfId="2022"/>
    <cellStyle name="—_Telecom quarterly_final_ferrous &amp; non-ferrous" xfId="2023"/>
    <cellStyle name="—_Telecom quarterly_final_ferrous &amp; non-ferrous 2" xfId="2024"/>
    <cellStyle name="_Ternium_client" xfId="2025"/>
    <cellStyle name="_Ternium_client 2" xfId="2026"/>
    <cellStyle name="_Ternium_GS_New" xfId="2027"/>
    <cellStyle name="_Ternium_GS_New 2" xfId="2028"/>
    <cellStyle name="—_Valuation (2)" xfId="2029"/>
    <cellStyle name="—_Valuation (2) 2" xfId="2030"/>
    <cellStyle name="—_Valuation (2)_Banpu_Charts" xfId="2031"/>
    <cellStyle name="—_Valuation (2)_Banpu_Charts 2" xfId="2032"/>
    <cellStyle name="—_Valuation (2)_CPI1" xfId="2033"/>
    <cellStyle name="—_Valuation (2)_CPI1 2" xfId="2034"/>
    <cellStyle name="—_Valuation (2)_Delay Projects" xfId="2035"/>
    <cellStyle name="—_Valuation (2)_Delay Projects 2" xfId="2036"/>
    <cellStyle name="—_Valuation (2)_Delay Projects_Banpu_Charts" xfId="2037"/>
    <cellStyle name="—_Valuation (2)_Delay Projects_Banpu_Charts 2" xfId="2038"/>
    <cellStyle name="—_Valuation (2)_Delay Projects_ShenhuaPower(report tables)" xfId="2039"/>
    <cellStyle name="—_Valuation (2)_Delay Projects_ShenhuaPower(report tables) 2" xfId="2040"/>
    <cellStyle name="—_Valuation (2)_Model" xfId="2041"/>
    <cellStyle name="—_Valuation (2)_Model 2" xfId="2042"/>
    <cellStyle name="—_Valuation (2)_Model_Banpu_Charts" xfId="2043"/>
    <cellStyle name="—_Valuation (2)_Model_Banpu_Charts 2" xfId="2044"/>
    <cellStyle name="—_Valuation (2)_Model_ShenhuaPower(report tables)" xfId="2045"/>
    <cellStyle name="—_Valuation (2)_Model_ShenhuaPower(report tables) 2" xfId="2046"/>
    <cellStyle name="—_Valuation (2)_Sheet1" xfId="2047"/>
    <cellStyle name="—_Valuation (2)_Sheet1 2" xfId="2048"/>
    <cellStyle name="—_Valuation (2)_Shenhua-coal P&amp;L" xfId="2049"/>
    <cellStyle name="—_Valuation (2)_Shenhua-coal P&amp;L 2" xfId="2050"/>
    <cellStyle name="—_Valuation (2)_Shenhua-coal P&amp;L_ShenhuaPower(report tables)" xfId="2051"/>
    <cellStyle name="—_Valuation (2)_Shenhua-coal P&amp;L_ShenhuaPower(report tables) 2" xfId="2052"/>
    <cellStyle name="—_Valuation (2)_Shenhua-power" xfId="2053"/>
    <cellStyle name="—_Valuation (2)_Shenhua-power 2" xfId="2054"/>
    <cellStyle name="—_Valuation (2)_ShenhuaPower(report tables)" xfId="2055"/>
    <cellStyle name="—_Valuation (2)_ShenhuaPower(report tables) 2" xfId="2056"/>
    <cellStyle name="—_Vedenta-PBVData" xfId="2057"/>
    <cellStyle name="—_Vedenta-PBVData 2" xfId="2058"/>
    <cellStyle name="_VNTModellastestimates" xfId="2059"/>
    <cellStyle name="_VNTModellastestimates 2" xfId="2060"/>
    <cellStyle name="_WeeklyUpdate-20080929" xfId="2061"/>
    <cellStyle name="—_WeeklyUpdate-20080929" xfId="2062"/>
    <cellStyle name="_WeeklyUpdate-20080929 2" xfId="2063"/>
    <cellStyle name="—_WeeklyUpdate-20080929 2" xfId="2064"/>
    <cellStyle name="_WeeklyUpdate-20080929 3" xfId="2065"/>
    <cellStyle name="—_WeeklyUpdate-20080929 3" xfId="2066"/>
    <cellStyle name="_WeeklyUpdate-20080929 4" xfId="2067"/>
    <cellStyle name="—_WeeklyUpdate-20080929 4" xfId="2068"/>
    <cellStyle name="_WeeklyUpdate-20080929 5" xfId="2069"/>
    <cellStyle name="—_WeeklyUpdate-20080929 5" xfId="2070"/>
    <cellStyle name="—_Wugang-charts" xfId="2071"/>
    <cellStyle name="—_Wugang-charts 2" xfId="2072"/>
    <cellStyle name="—_Wugang-charts_ferrous &amp; non-ferrous" xfId="2073"/>
    <cellStyle name="—_Wugang-charts_ferrous &amp; non-ferrous 2" xfId="2074"/>
    <cellStyle name="—_Xstrata-PBVData" xfId="2075"/>
    <cellStyle name="—_Xstrata-PBVData 2" xfId="2076"/>
    <cellStyle name="—_YanzhouCoalModel" xfId="2077"/>
    <cellStyle name="—_YanzhouCoalModel 2" xfId="2078"/>
    <cellStyle name="—_YanzhouCoalModel_Banpu_Charts" xfId="2079"/>
    <cellStyle name="—_YanzhouCoalModel_Banpu_Charts 2" xfId="2080"/>
    <cellStyle name="—_YanzhouCoalModel_ShenhuaPower(report tables)" xfId="2081"/>
    <cellStyle name="—_YanzhouCoalModel_ShenhuaPower(report tables) 2" xfId="2082"/>
    <cellStyle name="—_YanzhouCoalModel_ShenhuaPower(report tables)_ferrous &amp; non-ferrous" xfId="2083"/>
    <cellStyle name="—_YanzhouCoalModel_ShenhuaPower(report tables)_ferrous &amp; non-ferrous 2" xfId="2084"/>
    <cellStyle name="£ BP" xfId="2085"/>
    <cellStyle name="£ BP 2" xfId="2086"/>
    <cellStyle name="£ BP 2 2" xfId="2087"/>
    <cellStyle name="¥ JY" xfId="2088"/>
    <cellStyle name="¥ JY 2" xfId="2089"/>
    <cellStyle name="¥ JY 2 2" xfId="2090"/>
    <cellStyle name="=C:\WINNT35\SYSTEM32\COMMAND.COM" xfId="2091"/>
    <cellStyle name="=C:\WINNT35\SYSTEM32\COMMAND.COM 2" xfId="2092"/>
    <cellStyle name="§Q\?1@" xfId="2093"/>
    <cellStyle name="§Q\?1@ 2" xfId="2094"/>
    <cellStyle name="0" xfId="2095"/>
    <cellStyle name="0 2" xfId="2096"/>
    <cellStyle name="0 2 2" xfId="2097"/>
    <cellStyle name="0%" xfId="2098"/>
    <cellStyle name="0% 2" xfId="2099"/>
    <cellStyle name="0% 2 2" xfId="2100"/>
    <cellStyle name="0% 3" xfId="2101"/>
    <cellStyle name="0% 3 2" xfId="2102"/>
    <cellStyle name="0.0" xfId="2103"/>
    <cellStyle name="0.0 2" xfId="2104"/>
    <cellStyle name="0.0 2 2" xfId="2105"/>
    <cellStyle name="0.0%" xfId="2106"/>
    <cellStyle name="0.0% 2" xfId="2107"/>
    <cellStyle name="0.0% 2 2" xfId="2108"/>
    <cellStyle name="0.0% 3" xfId="2109"/>
    <cellStyle name="0.0% 3 2" xfId="2110"/>
    <cellStyle name="0.00" xfId="2111"/>
    <cellStyle name="0.00 2" xfId="2112"/>
    <cellStyle name="0.00 2 2" xfId="2113"/>
    <cellStyle name="0.00%" xfId="2114"/>
    <cellStyle name="0.00% 2" xfId="2115"/>
    <cellStyle name="0.00% 2 2" xfId="2116"/>
    <cellStyle name="0.00% 3" xfId="2117"/>
    <cellStyle name="0.00% 3 2" xfId="2118"/>
    <cellStyle name="1 Decimal" xfId="2119"/>
    <cellStyle name="1 Decimal 2" xfId="2120"/>
    <cellStyle name="1,000" xfId="2121"/>
    <cellStyle name="1,000 2" xfId="2122"/>
    <cellStyle name="1,000x" xfId="2123"/>
    <cellStyle name="1,000x 2" xfId="2124"/>
    <cellStyle name="2 Decimals" xfId="2125"/>
    <cellStyle name="2 Decimals 2" xfId="2126"/>
    <cellStyle name="20% - Accent1 2" xfId="2127"/>
    <cellStyle name="20% - Accent1 3" xfId="2128"/>
    <cellStyle name="20% - Accent2 2" xfId="2129"/>
    <cellStyle name="20% - Accent2 3" xfId="2130"/>
    <cellStyle name="20% - Accent3 2" xfId="2131"/>
    <cellStyle name="20% - Accent3 3" xfId="2132"/>
    <cellStyle name="20% - Accent4 2" xfId="2133"/>
    <cellStyle name="20% - Accent4 3" xfId="2134"/>
    <cellStyle name="20% - Accent5 2" xfId="2135"/>
    <cellStyle name="20% - Accent5 3" xfId="2136"/>
    <cellStyle name="20% - Accent6 2" xfId="2137"/>
    <cellStyle name="20% - Accent6 3" xfId="2138"/>
    <cellStyle name="20% - Accent1" xfId="2139"/>
    <cellStyle name="20% - Accent2" xfId="2140"/>
    <cellStyle name="20% - Accent3" xfId="2141"/>
    <cellStyle name="20% - Accent4" xfId="2142"/>
    <cellStyle name="20% - Accent5" xfId="2143"/>
    <cellStyle name="20% - Accent6" xfId="2144"/>
    <cellStyle name="3 Decimals" xfId="2145"/>
    <cellStyle name="3 Decimals 2" xfId="2146"/>
    <cellStyle name="40% - Accent1 2" xfId="2147"/>
    <cellStyle name="40% - Accent1 3" xfId="2148"/>
    <cellStyle name="40% - Accent2 2" xfId="2149"/>
    <cellStyle name="40% - Accent2 3" xfId="2150"/>
    <cellStyle name="40% - Accent3 2" xfId="2151"/>
    <cellStyle name="40% - Accent4 2" xfId="2152"/>
    <cellStyle name="40% - Accent4 3" xfId="2153"/>
    <cellStyle name="40% - Accent5 2" xfId="2154"/>
    <cellStyle name="40% - Accent5 3" xfId="2155"/>
    <cellStyle name="40% - Accent6 2" xfId="2156"/>
    <cellStyle name="40% - Accent1" xfId="2157"/>
    <cellStyle name="40% - Accent2" xfId="2158"/>
    <cellStyle name="40% - Accent3" xfId="2159"/>
    <cellStyle name="40% - Accent4" xfId="2160"/>
    <cellStyle name="40% - Accent5" xfId="2161"/>
    <cellStyle name="40% - Accent6" xfId="2162"/>
    <cellStyle name="60% - Accent1 2" xfId="2163"/>
    <cellStyle name="60% - Accent1 3" xfId="2164"/>
    <cellStyle name="60% - Accent2 2" xfId="2165"/>
    <cellStyle name="60% - Accent2 3" xfId="2166"/>
    <cellStyle name="60% - Accent3 2" xfId="2167"/>
    <cellStyle name="60% - Accent4 2" xfId="2168"/>
    <cellStyle name="60% - Accent4 3" xfId="2169"/>
    <cellStyle name="60% - Accent5 2" xfId="2170"/>
    <cellStyle name="60% - Accent5 3" xfId="2171"/>
    <cellStyle name="60% - Accent6 2" xfId="2172"/>
    <cellStyle name="60% - Accent1" xfId="2173"/>
    <cellStyle name="60% - Accent2" xfId="2174"/>
    <cellStyle name="60% - Accent3" xfId="2175"/>
    <cellStyle name="60% - Accent4" xfId="2176"/>
    <cellStyle name="60% - Accent5" xfId="2177"/>
    <cellStyle name="60% - Accent6" xfId="2178"/>
    <cellStyle name="752131" xfId="2179"/>
    <cellStyle name="Accent1 - 20%" xfId="2180"/>
    <cellStyle name="Accent1 - 40%" xfId="2181"/>
    <cellStyle name="Accent1 - 60%" xfId="2182"/>
    <cellStyle name="Accent1 2" xfId="2183"/>
    <cellStyle name="Accent1 3" xfId="2184"/>
    <cellStyle name="Accent2 - 20%" xfId="2185"/>
    <cellStyle name="Accent2 - 40%" xfId="2186"/>
    <cellStyle name="Accent2 - 60%" xfId="2187"/>
    <cellStyle name="Accent2 2" xfId="2188"/>
    <cellStyle name="Accent3 - 20%" xfId="2189"/>
    <cellStyle name="Accent3 - 40%" xfId="2190"/>
    <cellStyle name="Accent3 - 60%" xfId="2191"/>
    <cellStyle name="Accent3 2" xfId="2192"/>
    <cellStyle name="Accent4 - 20%" xfId="2193"/>
    <cellStyle name="Accent4 - 40%" xfId="2194"/>
    <cellStyle name="Accent4 - 60%" xfId="2195"/>
    <cellStyle name="Accent4 2" xfId="2196"/>
    <cellStyle name="Accent5 - 20%" xfId="2197"/>
    <cellStyle name="Accent5 - 40%" xfId="2198"/>
    <cellStyle name="Accent5 - 60%" xfId="2199"/>
    <cellStyle name="Accent5 2" xfId="2200"/>
    <cellStyle name="Accent6 - 20%" xfId="2201"/>
    <cellStyle name="Accent6 - 40%" xfId="2202"/>
    <cellStyle name="Accent6 - 60%" xfId="2203"/>
    <cellStyle name="Accent6 2" xfId="2204"/>
    <cellStyle name="Acctg" xfId="2205"/>
    <cellStyle name="Acctg 2" xfId="2206"/>
    <cellStyle name="Acctg 2 2" xfId="2207"/>
    <cellStyle name="Acctg$" xfId="2208"/>
    <cellStyle name="Acctg$ 2" xfId="2209"/>
    <cellStyle name="Acctg$ 2 2" xfId="2210"/>
    <cellStyle name="Acctg_Assumptions" xfId="2211"/>
    <cellStyle name="Actual data" xfId="2212"/>
    <cellStyle name="Actual data 2" xfId="2213"/>
    <cellStyle name="Actual data 2 2" xfId="2214"/>
    <cellStyle name="Actual year" xfId="2215"/>
    <cellStyle name="Actual year 2" xfId="2216"/>
    <cellStyle name="Actual year 2 2" xfId="2217"/>
    <cellStyle name="Actuals Cells" xfId="2218"/>
    <cellStyle name="Actuals Cells 2" xfId="2219"/>
    <cellStyle name="AFE" xfId="2220"/>
    <cellStyle name="AFE 2" xfId="2221"/>
    <cellStyle name="Arial 7" xfId="2222"/>
    <cellStyle name="Arial 7 2" xfId="2223"/>
    <cellStyle name="Arial 9" xfId="2224"/>
    <cellStyle name="Arial 9 2" xfId="2225"/>
    <cellStyle name="Arial6Bold" xfId="2226"/>
    <cellStyle name="Arial6Bold 2" xfId="2227"/>
    <cellStyle name="Arial6Bold 2 2" xfId="2228"/>
    <cellStyle name="Arial8Bold" xfId="2229"/>
    <cellStyle name="Arial8Italic" xfId="2230"/>
    <cellStyle name="ArialNormal" xfId="2231"/>
    <cellStyle name="Årstal" xfId="2232"/>
    <cellStyle name="Årstal 2" xfId="2233"/>
    <cellStyle name="Årstal 2 2" xfId="2234"/>
    <cellStyle name="Bad 2" xfId="2235"/>
    <cellStyle name="Bad 3" xfId="2236"/>
    <cellStyle name="BalanceSheet_XLNXOUT" xfId="2237"/>
    <cellStyle name="Blank" xfId="2238"/>
    <cellStyle name="Blue" xfId="2239"/>
    <cellStyle name="Body_$Dollars" xfId="2240"/>
    <cellStyle name="Bold/Border" xfId="2241"/>
    <cellStyle name="Bullet" xfId="2242"/>
    <cellStyle name="Bullet 2" xfId="2243"/>
    <cellStyle name="Bullet 2 2" xfId="2244"/>
    <cellStyle name="C" xfId="2245"/>
    <cellStyle name="C2" xfId="2246"/>
    <cellStyle name="C2 2" xfId="2247"/>
    <cellStyle name="Calc [0]" xfId="2248"/>
    <cellStyle name="Calc [0] 2" xfId="2249"/>
    <cellStyle name="Calc [0] 2 2" xfId="2250"/>
    <cellStyle name="Calc Cells" xfId="2251"/>
    <cellStyle name="Calc Cells 2" xfId="2252"/>
    <cellStyle name="Calc Currency (0)" xfId="2253"/>
    <cellStyle name="Calc Currency (0) 2" xfId="2254"/>
    <cellStyle name="Calc Currency (0) 2 2" xfId="2255"/>
    <cellStyle name="Calculation 2" xfId="2256"/>
    <cellStyle name="Calculation 3" xfId="2257"/>
    <cellStyle name="Calculation" xfId="2258"/>
    <cellStyle name="Changeable" xfId="2259"/>
    <cellStyle name="Check Cell 2" xfId="2260"/>
    <cellStyle name="Check Cell 3" xfId="2261"/>
    <cellStyle name="Code" xfId="2262"/>
    <cellStyle name="Code 2" xfId="2263"/>
    <cellStyle name="Code Section" xfId="2264"/>
    <cellStyle name="Code Section 2" xfId="2265"/>
    <cellStyle name="Colhead_left" xfId="2266"/>
    <cellStyle name="ColHeading" xfId="2267"/>
    <cellStyle name="ColHeading 2" xfId="2268"/>
    <cellStyle name="ColHeading 2 2" xfId="2269"/>
    <cellStyle name="ColHeading 3" xfId="2270"/>
    <cellStyle name="ColHeading 3 2" xfId="2271"/>
    <cellStyle name="colheadleft" xfId="2272"/>
    <cellStyle name="colheadright" xfId="2273"/>
    <cellStyle name="colheadright 2" xfId="2274"/>
    <cellStyle name="colheadright 2 2" xfId="2275"/>
    <cellStyle name="Column" xfId="2276"/>
    <cellStyle name="Comma  - Style1" xfId="2277"/>
    <cellStyle name="Comma  - Style1 2" xfId="2278"/>
    <cellStyle name="Comma  - Style1 2 2" xfId="2279"/>
    <cellStyle name="Comma  - Style2" xfId="2280"/>
    <cellStyle name="Comma  - Style2 2" xfId="2281"/>
    <cellStyle name="Comma  - Style2 2 2" xfId="2282"/>
    <cellStyle name="Comma  - Style3" xfId="2283"/>
    <cellStyle name="Comma  - Style3 2" xfId="2284"/>
    <cellStyle name="Comma  - Style3 2 2" xfId="2285"/>
    <cellStyle name="Comma  - Style4" xfId="2286"/>
    <cellStyle name="Comma  - Style4 2" xfId="2287"/>
    <cellStyle name="Comma  - Style4 2 2" xfId="2288"/>
    <cellStyle name="Comma  - Style5" xfId="2289"/>
    <cellStyle name="Comma  - Style5 2" xfId="2290"/>
    <cellStyle name="Comma  - Style5 2 2" xfId="2291"/>
    <cellStyle name="Comma  - Style6" xfId="2292"/>
    <cellStyle name="Comma  - Style6 2" xfId="2293"/>
    <cellStyle name="Comma  - Style6 2 2" xfId="2294"/>
    <cellStyle name="Comma  - Style7" xfId="2295"/>
    <cellStyle name="Comma  - Style7 2" xfId="2296"/>
    <cellStyle name="Comma  - Style7 2 2" xfId="2297"/>
    <cellStyle name="Comma  - Style8" xfId="2298"/>
    <cellStyle name="Comma  - Style8 2" xfId="2299"/>
    <cellStyle name="Comma  - Style8 2 2" xfId="2300"/>
    <cellStyle name="Comma [0] 2" xfId="2301"/>
    <cellStyle name="Comma [0] 2 2" xfId="2302"/>
    <cellStyle name="Comma 0" xfId="2303"/>
    <cellStyle name="Comma 2" xfId="2304"/>
    <cellStyle name="Comma 3" xfId="2305"/>
    <cellStyle name="Comma 3 2" xfId="2306"/>
    <cellStyle name="Comma 4" xfId="2307"/>
    <cellStyle name="Comma 4 2" xfId="2308"/>
    <cellStyle name="Comma 5" xfId="2309"/>
    <cellStyle name="Comma 5 2" xfId="2310"/>
    <cellStyle name="Comma(1)" xfId="2311"/>
    <cellStyle name="Comma(1) 2" xfId="2312"/>
    <cellStyle name="Comma(1) 2 2" xfId="2313"/>
    <cellStyle name="Comma.2" xfId="2314"/>
    <cellStyle name="Comma.2 2" xfId="2315"/>
    <cellStyle name="Comma0 - Modelo1" xfId="2316"/>
    <cellStyle name="Comma0 - Style1" xfId="2317"/>
    <cellStyle name="Comma1 - Modelo2" xfId="2318"/>
    <cellStyle name="Comma1 - Style2" xfId="2319"/>
    <cellStyle name="Company" xfId="2320"/>
    <cellStyle name="Company 2" xfId="2321"/>
    <cellStyle name="Company 3" xfId="2322"/>
    <cellStyle name="Company 3 2" xfId="2323"/>
    <cellStyle name="Company 4" xfId="2324"/>
    <cellStyle name="Company name" xfId="2325"/>
    <cellStyle name="Company_ project" xfId="2326"/>
    <cellStyle name="CompanyName" xfId="2327"/>
    <cellStyle name="CompanyName 2" xfId="2328"/>
    <cellStyle name="CompanyName 2 2" xfId="2329"/>
    <cellStyle name="ControlFormular" xfId="2330"/>
    <cellStyle name="Cur૲ency [0]_CASHCARR" xfId="2331"/>
    <cellStyle name="CurRatio" xfId="2332"/>
    <cellStyle name="CurRatio 2" xfId="2333"/>
    <cellStyle name="CurRatio 2 2" xfId="2334"/>
    <cellStyle name="CurRatio 3" xfId="2335"/>
    <cellStyle name="CurRatio 3 2" xfId="2336"/>
    <cellStyle name="Currency [2]" xfId="2337"/>
    <cellStyle name="Currency [2] 2" xfId="2338"/>
    <cellStyle name="Currency [2] 2 2" xfId="2339"/>
    <cellStyle name="Currency 0" xfId="2340"/>
    <cellStyle name="Currency 2" xfId="2341"/>
    <cellStyle name="CustomStyle1" xfId="2342"/>
    <cellStyle name="CustomStyle1 2" xfId="2343"/>
    <cellStyle name="CustomStyle1 2 2" xfId="2344"/>
    <cellStyle name="CustomStyle6" xfId="2345"/>
    <cellStyle name="CustomStyle6 2" xfId="2346"/>
    <cellStyle name="CustomStyle6 2 2" xfId="2347"/>
    <cellStyle name="CustomStyle7" xfId="2348"/>
    <cellStyle name="CustomStyle7 2" xfId="2349"/>
    <cellStyle name="CustomStyle7 2 2" xfId="2350"/>
    <cellStyle name="Dash" xfId="2351"/>
    <cellStyle name="Dash 2" xfId="2352"/>
    <cellStyle name="Dash 2 2" xfId="2353"/>
    <cellStyle name="date" xfId="2354"/>
    <cellStyle name="date 2" xfId="2355"/>
    <cellStyle name="Date Aligned" xfId="2356"/>
    <cellStyle name="date_Book3 (2)" xfId="2357"/>
    <cellStyle name="Date2" xfId="2358"/>
    <cellStyle name="Date2 2" xfId="2359"/>
    <cellStyle name="Date2 2 2" xfId="2360"/>
    <cellStyle name="DateYear" xfId="2361"/>
    <cellStyle name="Dec_0" xfId="2362"/>
    <cellStyle name="Dia" xfId="2363"/>
    <cellStyle name="Dia 2" xfId="2364"/>
    <cellStyle name="Dia 2 2" xfId="2365"/>
    <cellStyle name="Dollar" xfId="2366"/>
    <cellStyle name="Dollar 2" xfId="2367"/>
    <cellStyle name="Dollar 2 2" xfId="2368"/>
    <cellStyle name="Dollars" xfId="2369"/>
    <cellStyle name="Dotted Line" xfId="2370"/>
    <cellStyle name="Driver" xfId="2371"/>
    <cellStyle name="Emphasis 1" xfId="2372"/>
    <cellStyle name="Emphasis 2" xfId="2373"/>
    <cellStyle name="Emphasis 3" xfId="2374"/>
    <cellStyle name="Encabez1" xfId="2375"/>
    <cellStyle name="Encabez1 2" xfId="2376"/>
    <cellStyle name="Encabez1 2 2" xfId="2377"/>
    <cellStyle name="Encabez2" xfId="2378"/>
    <cellStyle name="Encabez2 2" xfId="2379"/>
    <cellStyle name="Encabez2 2 2" xfId="2380"/>
    <cellStyle name="Accent1" xfId="2381"/>
    <cellStyle name="Accent2" xfId="2382"/>
    <cellStyle name="Accent3" xfId="2383"/>
    <cellStyle name="Accent4" xfId="2384"/>
    <cellStyle name="Accent5" xfId="2385"/>
    <cellStyle name="Accent6" xfId="2386"/>
    <cellStyle name="Entry" xfId="2387"/>
    <cellStyle name="Entry 2" xfId="2388"/>
    <cellStyle name="Estimat" xfId="2389"/>
    <cellStyle name="Euro" xfId="2390"/>
    <cellStyle name="Euro 2" xfId="2391"/>
    <cellStyle name="Euro 2 2" xfId="2392"/>
    <cellStyle name="Explanatory Text 2" xfId="2393"/>
    <cellStyle name="External File Cells" xfId="2394"/>
    <cellStyle name="External File Cells 2" xfId="2395"/>
    <cellStyle name="F2" xfId="2396"/>
    <cellStyle name="F2 2" xfId="2397"/>
    <cellStyle name="F2 2 2" xfId="2398"/>
    <cellStyle name="F3" xfId="2399"/>
    <cellStyle name="F3 2" xfId="2400"/>
    <cellStyle name="F3 2 2" xfId="2401"/>
    <cellStyle name="F4" xfId="2402"/>
    <cellStyle name="F4 2" xfId="2403"/>
    <cellStyle name="F4 2 2" xfId="2404"/>
    <cellStyle name="F5" xfId="2405"/>
    <cellStyle name="F5 2" xfId="2406"/>
    <cellStyle name="F5 2 2" xfId="2407"/>
    <cellStyle name="F6" xfId="2408"/>
    <cellStyle name="F6 2" xfId="2409"/>
    <cellStyle name="F6 2 2" xfId="2410"/>
    <cellStyle name="F7" xfId="2411"/>
    <cellStyle name="F7 2" xfId="2412"/>
    <cellStyle name="F7 2 2" xfId="2413"/>
    <cellStyle name="F8" xfId="2414"/>
    <cellStyle name="F8 2" xfId="2415"/>
    <cellStyle name="F8 2 2" xfId="2416"/>
    <cellStyle name="fact" xfId="2417"/>
    <cellStyle name="fact 2" xfId="2418"/>
    <cellStyle name="fact 2 2" xfId="2419"/>
    <cellStyle name="Fijo" xfId="2420"/>
    <cellStyle name="Fijo 2" xfId="2421"/>
    <cellStyle name="Fijo 2 2" xfId="2422"/>
    <cellStyle name="Financial" xfId="2423"/>
    <cellStyle name="Financial 2" xfId="2424"/>
    <cellStyle name="Financial 2 2" xfId="2425"/>
    <cellStyle name="Financiero" xfId="2426"/>
    <cellStyle name="Financiero 2" xfId="2427"/>
    <cellStyle name="Financiero 2 2" xfId="2428"/>
    <cellStyle name="Fixed" xfId="2429"/>
    <cellStyle name="Fixed 2" xfId="2430"/>
    <cellStyle name="Fixed 2 2" xfId="2431"/>
    <cellStyle name="Fixed 3" xfId="2432"/>
    <cellStyle name="Fixed 3 2" xfId="2433"/>
    <cellStyle name="Footnote" xfId="2434"/>
    <cellStyle name="Footnote8ital" xfId="2435"/>
    <cellStyle name="Forecast Cells" xfId="2436"/>
    <cellStyle name="Forecast Cells 2" xfId="2437"/>
    <cellStyle name="Forudsætning" xfId="2438"/>
    <cellStyle name="Forudsætning 2" xfId="2439"/>
    <cellStyle name="Forudsætning 2 2" xfId="2440"/>
    <cellStyle name="fourdecplace" xfId="2441"/>
    <cellStyle name="G1_1999 figures" xfId="2442"/>
    <cellStyle name="General" xfId="2443"/>
    <cellStyle name="Good 2" xfId="2444"/>
    <cellStyle name="Grey" xfId="2445"/>
    <cellStyle name="H_1998_col_head" xfId="2446"/>
    <cellStyle name="H_1998_col_head 2" xfId="2447"/>
    <cellStyle name="H_1998_col_head 2 2" xfId="2448"/>
    <cellStyle name="H_1998_col_head_Banpu_Charts" xfId="2449"/>
    <cellStyle name="H_1998_col_head_Banpu_Charts 2" xfId="2450"/>
    <cellStyle name="H_1998_col_head_ShenhuaPower(report tables)" xfId="2451"/>
    <cellStyle name="H_1998_col_head_ShenhuaPower(report tables) 2" xfId="2452"/>
    <cellStyle name="H_1998_col_head_ShenhuaPower(report tables)_ferrous &amp; non-ferrous" xfId="2453"/>
    <cellStyle name="H_1998_col_head_ShenhuaPower(report tables)_ferrous &amp; non-ferrous 2" xfId="2454"/>
    <cellStyle name="H_1999_col_head" xfId="2455"/>
    <cellStyle name="H1_1998 figures" xfId="2456"/>
    <cellStyle name="Hard Percent" xfId="2457"/>
    <cellStyle name="head1" xfId="2458"/>
    <cellStyle name="head1 2" xfId="2459"/>
    <cellStyle name="head1 2 2" xfId="2460"/>
    <cellStyle name="head2" xfId="2461"/>
    <cellStyle name="head2 2" xfId="2462"/>
    <cellStyle name="head2 2 2" xfId="2463"/>
    <cellStyle name="Header" xfId="2464"/>
    <cellStyle name="Header1" xfId="2465"/>
    <cellStyle name="Header2" xfId="2466"/>
    <cellStyle name="Heading" xfId="2467"/>
    <cellStyle name="Heading 1 2" xfId="2468"/>
    <cellStyle name="Heading 1 3" xfId="2469"/>
    <cellStyle name="Heading 2 2" xfId="2470"/>
    <cellStyle name="Heading 2 3" xfId="2471"/>
    <cellStyle name="Heading 3 2" xfId="2472"/>
    <cellStyle name="Heading 3 3" xfId="2473"/>
    <cellStyle name="Heading 4 2" xfId="2474"/>
    <cellStyle name="Heading1" xfId="2475"/>
    <cellStyle name="Heading11Bold" xfId="2476"/>
    <cellStyle name="Heading12Bold" xfId="2477"/>
    <cellStyle name="Helv" xfId="2478"/>
    <cellStyle name="Helv 2" xfId="2479"/>
    <cellStyle name="Hidden" xfId="2480"/>
    <cellStyle name="Hyperlänk" xfId="2481"/>
    <cellStyle name="Hyperlänk 2" xfId="2482"/>
    <cellStyle name="Hyperlänk 2 2" xfId="2483"/>
    <cellStyle name="Hyperlink seguido 2" xfId="2484"/>
    <cellStyle name="Hyperlink seguido 2 2" xfId="2485"/>
    <cellStyle name="IncomeStatement_XLNXOUT" xfId="2486"/>
    <cellStyle name="Bad" xfId="2487"/>
    <cellStyle name="Input [yellow]" xfId="2488"/>
    <cellStyle name="Input 2" xfId="2489"/>
    <cellStyle name="Input Cells" xfId="2490"/>
    <cellStyle name="Input Cells 2" xfId="2491"/>
    <cellStyle name="Input Cells 2 2" xfId="2492"/>
    <cellStyle name="InputPct" xfId="2493"/>
    <cellStyle name="InputPct 2" xfId="2494"/>
    <cellStyle name="InputPct 2 2" xfId="2495"/>
    <cellStyle name="Integer" xfId="2496"/>
    <cellStyle name="Integer 2" xfId="2497"/>
    <cellStyle name="Integer 2 2" xfId="2498"/>
    <cellStyle name="Integer 3" xfId="2499"/>
    <cellStyle name="Integer 3 2" xfId="2500"/>
    <cellStyle name="Item" xfId="2501"/>
    <cellStyle name="Item 2" xfId="2502"/>
    <cellStyle name="Item 2 2" xfId="2503"/>
    <cellStyle name="Item 3" xfId="2504"/>
    <cellStyle name="Item 3 2" xfId="2505"/>
    <cellStyle name="Items_Optional" xfId="2506"/>
    <cellStyle name="ItemTypeClass" xfId="2507"/>
    <cellStyle name="ItemTypeClass 2" xfId="2508"/>
    <cellStyle name="ItemTypeClass 3" xfId="2509"/>
    <cellStyle name="LEVERS69" xfId="2510"/>
    <cellStyle name="LEVERS69 2" xfId="2511"/>
    <cellStyle name="LEVERS69 2 2" xfId="2512"/>
    <cellStyle name="LEVERS69 3" xfId="2513"/>
    <cellStyle name="ligne_detail" xfId="2514"/>
    <cellStyle name="Link" xfId="2515"/>
    <cellStyle name="Link 2" xfId="2516"/>
    <cellStyle name="Link 2 2" xfId="2517"/>
    <cellStyle name="Linked Cell 2" xfId="2518"/>
    <cellStyle name="Mainhead" xfId="2519"/>
    <cellStyle name="Makro" xfId="2520"/>
    <cellStyle name="Margin" xfId="2521"/>
    <cellStyle name="Margin 2" xfId="2522"/>
    <cellStyle name="Margin 2 2" xfId="2523"/>
    <cellStyle name="Migliaia (0)" xfId="2524"/>
    <cellStyle name="Migliaia (0) 2" xfId="2525"/>
    <cellStyle name="Migliaia (0) 2 2" xfId="2526"/>
    <cellStyle name="Millares [0]_10 AVERIAS MASIVAS + ANT" xfId="2527"/>
    <cellStyle name="Millares_10 AVERIAS MASIVAS + ANT" xfId="2528"/>
    <cellStyle name="Milliers [0]_F" xfId="2529"/>
    <cellStyle name="Milliers_F" xfId="2530"/>
    <cellStyle name="Moneda [0]_10 AVERIAS MASIVAS + ANT" xfId="2531"/>
    <cellStyle name="Moneda_10 AVERIAS MASIVAS + ANT" xfId="2532"/>
    <cellStyle name="Monétaire [0]_F" xfId="2533"/>
    <cellStyle name="Monétaire_F" xfId="2534"/>
    <cellStyle name="Monetario" xfId="2535"/>
    <cellStyle name="Monetario 2" xfId="2536"/>
    <cellStyle name="Monetario 2 2" xfId="2537"/>
    <cellStyle name="multiple" xfId="2538"/>
    <cellStyle name="multiple 2" xfId="2539"/>
    <cellStyle name="multiple 2 2" xfId="2540"/>
    <cellStyle name="n" xfId="2541"/>
    <cellStyle name="n 2" xfId="2542"/>
    <cellStyle name="n 2 2" xfId="2543"/>
    <cellStyle name="n_ project" xfId="2544"/>
    <cellStyle name="n_Addon_Main" xfId="2545"/>
    <cellStyle name="n_ARACRUZ_Clients" xfId="2546"/>
    <cellStyle name="n_ARACRUZ_Clients 2" xfId="2547"/>
    <cellStyle name="n_ARACRUZ_Clients 2 2" xfId="2548"/>
    <cellStyle name="n_Aracruz_GS" xfId="2549"/>
    <cellStyle name="n_Carlsberg_29th July" xfId="2550"/>
    <cellStyle name="n_Cover" xfId="2551"/>
    <cellStyle name="n_DCF" xfId="2552"/>
    <cellStyle name="n_DCF_ project" xfId="2553"/>
    <cellStyle name="n_DCF_ project 2" xfId="2554"/>
    <cellStyle name="n_DCF_ project 2 2" xfId="2555"/>
    <cellStyle name="n_DCF_Aracruz_GS" xfId="2556"/>
    <cellStyle name="n_DCF_Aracruz_GS 2" xfId="2557"/>
    <cellStyle name="n_DCF_Aracruz_GS 2 2" xfId="2558"/>
    <cellStyle name="n_DCF_Cover" xfId="2559"/>
    <cellStyle name="n_DCF_Cover 2" xfId="2560"/>
    <cellStyle name="n_DCF_Cover 2 2" xfId="2561"/>
    <cellStyle name="n_DCF_Financial instruments" xfId="2562"/>
    <cellStyle name="n_DCF_premisses" xfId="2563"/>
    <cellStyle name="n_DCF_premisses 2" xfId="2564"/>
    <cellStyle name="n_DCF_premisses 2 2" xfId="2565"/>
    <cellStyle name="n_DCF_R$" xfId="2566"/>
    <cellStyle name="n_DCF_R$ 2" xfId="2567"/>
    <cellStyle name="n_DCF_R$ 2 2" xfId="2568"/>
    <cellStyle name="n_DCF_Repalcement" xfId="2569"/>
    <cellStyle name="n_DCF_Repalcement 2" xfId="2570"/>
    <cellStyle name="n_DCF_Repalcement 2 2" xfId="2571"/>
    <cellStyle name="n_DCF_Replacement" xfId="2572"/>
    <cellStyle name="n_DCF_Replacement 2" xfId="2573"/>
    <cellStyle name="n_DCF_Replacement 2 2" xfId="2574"/>
    <cellStyle name="n_DCF_Summary_QoQ" xfId="2575"/>
    <cellStyle name="n_DCF_Summary_QoQ " xfId="2576"/>
    <cellStyle name="n_DCF_Summary_QoQ  2" xfId="2577"/>
    <cellStyle name="n_DCF_Summary_QoQ  2 2" xfId="2578"/>
    <cellStyle name="n_DCF_VCP_GS" xfId="2579"/>
    <cellStyle name="n_Definition Comparison Industrials April 20 2006 Modified" xfId="2580"/>
    <cellStyle name="n_Financial instruments" xfId="2581"/>
    <cellStyle name="n_Financial instruments 2" xfId="2582"/>
    <cellStyle name="n_Financial instruments 2 2" xfId="2583"/>
    <cellStyle name="n_IS (functional) and BS " xfId="2584"/>
    <cellStyle name="n_IS (traditional) and BS " xfId="2585"/>
    <cellStyle name="n_Klabin_GS" xfId="2586"/>
    <cellStyle name="n_Klabin_GS 2" xfId="2587"/>
    <cellStyle name="n_Klabin_GS 2 2" xfId="2588"/>
    <cellStyle name="n_Model template April 7 2006" xfId="2589"/>
    <cellStyle name="n_Model template April 7 2006 2" xfId="2590"/>
    <cellStyle name="n_Model template April 7 2006 2 2" xfId="2591"/>
    <cellStyle name="n_page 1" xfId="2592"/>
    <cellStyle name="n_page 1_IS (functional) and BS " xfId="2593"/>
    <cellStyle name="n_Ratios" xfId="2594"/>
    <cellStyle name="n_Repalcement" xfId="2595"/>
    <cellStyle name="n_Replacement" xfId="2596"/>
    <cellStyle name="n_Summary_QoQ" xfId="2597"/>
    <cellStyle name="n_Summary_QoQ " xfId="2598"/>
    <cellStyle name="n_Summary_QoQ 2" xfId="2599"/>
    <cellStyle name="n_Summary_QoQ 2 2" xfId="2600"/>
    <cellStyle name="n_Suzano_GS" xfId="2601"/>
    <cellStyle name="n_Suzano_GS 2" xfId="2602"/>
    <cellStyle name="n_Suzano_GS 2 2" xfId="2603"/>
    <cellStyle name="n_Vale" xfId="2604"/>
    <cellStyle name="n_VCP_GS" xfId="2605"/>
    <cellStyle name="n_VCP_GS 2" xfId="2606"/>
    <cellStyle name="n_VCP_GS 2 2" xfId="2607"/>
    <cellStyle name="Neutral" xfId="2608"/>
    <cellStyle name="Neutral 2" xfId="2609"/>
    <cellStyle name="no dec" xfId="2610"/>
    <cellStyle name="no dec 2" xfId="2611"/>
    <cellStyle name="no dec 3" xfId="2612"/>
    <cellStyle name="no dec 3 2" xfId="2613"/>
    <cellStyle name="No Decimal" xfId="2614"/>
    <cellStyle name="No Decimal 2" xfId="2615"/>
    <cellStyle name="Normaali_Etusivu" xfId="2616"/>
    <cellStyle name="Normal - Style1" xfId="2617"/>
    <cellStyle name="Normal - Style1 2" xfId="2618"/>
    <cellStyle name="Normal 10" xfId="2619"/>
    <cellStyle name="Normal 10 2" xfId="2620"/>
    <cellStyle name="Normal 10 2 2" xfId="2621"/>
    <cellStyle name="Normal 10 2 3" xfId="2622"/>
    <cellStyle name="Normal 10 3" xfId="2623"/>
    <cellStyle name="Normal 10 4" xfId="2624"/>
    <cellStyle name="Normal 11" xfId="2625"/>
    <cellStyle name="Normal 11 2" xfId="2626"/>
    <cellStyle name="Normal 11 2 2" xfId="2627"/>
    <cellStyle name="Normal 11 2 3" xfId="2628"/>
    <cellStyle name="Normal 11 3" xfId="2629"/>
    <cellStyle name="Normal 11 4" xfId="2630"/>
    <cellStyle name="Normal 12" xfId="2631"/>
    <cellStyle name="Normal 12 2" xfId="2632"/>
    <cellStyle name="Normal 12 2 2" xfId="2633"/>
    <cellStyle name="Normal 12 2 3" xfId="2634"/>
    <cellStyle name="Normal 12 3" xfId="2635"/>
    <cellStyle name="Normal 12 4" xfId="2636"/>
    <cellStyle name="Normal 13" xfId="2637"/>
    <cellStyle name="Normal 13 2" xfId="2638"/>
    <cellStyle name="Normal 13 2 2" xfId="2639"/>
    <cellStyle name="Normal 13 2 3" xfId="2640"/>
    <cellStyle name="Normal 13 3" xfId="2641"/>
    <cellStyle name="Normal 13 4" xfId="2642"/>
    <cellStyle name="Normal 14" xfId="2643"/>
    <cellStyle name="Normal 15" xfId="2644"/>
    <cellStyle name="Normal 16" xfId="2645"/>
    <cellStyle name="Normal 17" xfId="2646"/>
    <cellStyle name="Normal 18" xfId="2647"/>
    <cellStyle name="Normal 19" xfId="2648"/>
    <cellStyle name="Normal 2" xfId="2649"/>
    <cellStyle name="Normal 20" xfId="2650"/>
    <cellStyle name="Normal 20 2" xfId="2651"/>
    <cellStyle name="Normal 20 2 2" xfId="2652"/>
    <cellStyle name="Normal 20 2 3" xfId="2653"/>
    <cellStyle name="Normal 20 3" xfId="2654"/>
    <cellStyle name="Normal 20 4" xfId="2655"/>
    <cellStyle name="Normal 21" xfId="2656"/>
    <cellStyle name="Normal 21 2" xfId="2657"/>
    <cellStyle name="Normal 21 2 2" xfId="2658"/>
    <cellStyle name="Normal 21 2 3" xfId="2659"/>
    <cellStyle name="Normal 21 3" xfId="2660"/>
    <cellStyle name="Normal 21 4" xfId="2661"/>
    <cellStyle name="Normal 22" xfId="2662"/>
    <cellStyle name="Normal 22 2" xfId="2663"/>
    <cellStyle name="Normal 22 2 2" xfId="2664"/>
    <cellStyle name="Normal 22 2 3" xfId="2665"/>
    <cellStyle name="Normal 22 3" xfId="2666"/>
    <cellStyle name="Normal 22 4" xfId="2667"/>
    <cellStyle name="Normal 23" xfId="2668"/>
    <cellStyle name="Normal 23 2" xfId="2669"/>
    <cellStyle name="Normal 23 2 2" xfId="2670"/>
    <cellStyle name="Normal 23 2 3" xfId="2671"/>
    <cellStyle name="Normal 23 3" xfId="2672"/>
    <cellStyle name="Normal 23 4" xfId="2673"/>
    <cellStyle name="Normal 24" xfId="2674"/>
    <cellStyle name="Normal 24 2" xfId="2675"/>
    <cellStyle name="Normal 24 2 2" xfId="2676"/>
    <cellStyle name="Normal 24 2 3" xfId="2677"/>
    <cellStyle name="Normal 24 3" xfId="2678"/>
    <cellStyle name="Normal 24 4" xfId="2679"/>
    <cellStyle name="Normal 25" xfId="2680"/>
    <cellStyle name="Normal 25 2" xfId="2681"/>
    <cellStyle name="Normal 25 2 2" xfId="2682"/>
    <cellStyle name="Normal 25 2 3" xfId="2683"/>
    <cellStyle name="Normal 25 3" xfId="2684"/>
    <cellStyle name="Normal 25 4" xfId="2685"/>
    <cellStyle name="Normal 26" xfId="2686"/>
    <cellStyle name="Normal 26 2" xfId="2687"/>
    <cellStyle name="Normal 26 2 2" xfId="2688"/>
    <cellStyle name="Normal 26 2 3" xfId="2689"/>
    <cellStyle name="Normal 26 3" xfId="2690"/>
    <cellStyle name="Normal 26 4" xfId="2691"/>
    <cellStyle name="Normal 27" xfId="2692"/>
    <cellStyle name="Normal 28" xfId="2693"/>
    <cellStyle name="Normal 29" xfId="2694"/>
    <cellStyle name="Normal 3" xfId="2695"/>
    <cellStyle name="Normal 3 2" xfId="2696"/>
    <cellStyle name="Normal 30" xfId="2697"/>
    <cellStyle name="Normal 4" xfId="2698"/>
    <cellStyle name="Normal 4 2" xfId="2699"/>
    <cellStyle name="Normal 5" xfId="2700"/>
    <cellStyle name="Normal 5 2" xfId="2701"/>
    <cellStyle name="Normal 6" xfId="2702"/>
    <cellStyle name="Normal 6 2" xfId="2703"/>
    <cellStyle name="Normal 6 2 2" xfId="2704"/>
    <cellStyle name="Normal 6 2 3" xfId="2705"/>
    <cellStyle name="Normal 6 3" xfId="2706"/>
    <cellStyle name="Normal 6 4" xfId="2707"/>
    <cellStyle name="Normal 7" xfId="2708"/>
    <cellStyle name="Normal 7 2" xfId="2709"/>
    <cellStyle name="Normal 7 2 2" xfId="2710"/>
    <cellStyle name="Normal 7 2 3" xfId="2711"/>
    <cellStyle name="Normal 7 3" xfId="2712"/>
    <cellStyle name="Normal 7 4" xfId="2713"/>
    <cellStyle name="Normal 8" xfId="2714"/>
    <cellStyle name="Normal 8 2" xfId="2715"/>
    <cellStyle name="Normal 8 2 2" xfId="2716"/>
    <cellStyle name="Normal 8 2 3" xfId="2717"/>
    <cellStyle name="Normal 8 3" xfId="2718"/>
    <cellStyle name="Normal 8 4" xfId="2719"/>
    <cellStyle name="Normal 9" xfId="2720"/>
    <cellStyle name="Normal 9 2" xfId="2721"/>
    <cellStyle name="Normal 9 2 2" xfId="2722"/>
    <cellStyle name="Normal 9 2 3" xfId="2723"/>
    <cellStyle name="Normal 9 3" xfId="2724"/>
    <cellStyle name="Normal 9 4" xfId="2725"/>
    <cellStyle name="Normal Cells" xfId="2726"/>
    <cellStyle name="Normal Cells 2" xfId="2727"/>
    <cellStyle name="Normal Cells 2 2" xfId="2728"/>
    <cellStyle name="Normal no digit" xfId="2729"/>
    <cellStyle name="Normal10pt" xfId="2730"/>
    <cellStyle name="Normal9pt" xfId="2731"/>
    <cellStyle name="normL" xfId="2732"/>
    <cellStyle name="Note 2" xfId="2733"/>
    <cellStyle name="Note 3" xfId="2734"/>
    <cellStyle name="Note 3 2" xfId="2735"/>
    <cellStyle name="Notes" xfId="2736"/>
    <cellStyle name="Number" xfId="2737"/>
    <cellStyle name="Number 2" xfId="2738"/>
    <cellStyle name="Number 2 2" xfId="2739"/>
    <cellStyle name="NumberX" xfId="2740"/>
    <cellStyle name="Œ…?æ??? [0.00]_GE 3 MINIMUM_x001a_" xfId="2741"/>
    <cellStyle name="Œ…?æ???_GE 3 MINIMUMMINIM" xfId="2742"/>
    <cellStyle name="Œ…‹æØ‚è [0.00]_GE 3 MINIMUM" xfId="2743"/>
    <cellStyle name="Œ…‹æØ‚è_GE 3 MINIMUM" xfId="2744"/>
    <cellStyle name="outh America" xfId="2745"/>
    <cellStyle name="outh America 2" xfId="2746"/>
    <cellStyle name="outh America 2 2" xfId="2747"/>
    <cellStyle name="Output 2" xfId="2748"/>
    <cellStyle name="Output 3" xfId="2749"/>
    <cellStyle name="Output Labels" xfId="2750"/>
    <cellStyle name="Output Labels 2" xfId="2751"/>
    <cellStyle name="Output Labels 2 2" xfId="2752"/>
    <cellStyle name="Overskrift" xfId="2753"/>
    <cellStyle name="Overskrift 2" xfId="2754"/>
    <cellStyle name="Overskrift 2 2" xfId="2755"/>
    <cellStyle name="Page header" xfId="2756"/>
    <cellStyle name="Page header 2" xfId="2757"/>
    <cellStyle name="Page header 2 2" xfId="2758"/>
    <cellStyle name="Page Number" xfId="2759"/>
    <cellStyle name="patterns" xfId="2760"/>
    <cellStyle name="patterns 2" xfId="2761"/>
    <cellStyle name="patterns 2 2" xfId="2762"/>
    <cellStyle name="PctLine" xfId="2763"/>
    <cellStyle name="PctLine 2" xfId="2764"/>
    <cellStyle name="PctLine 2 2" xfId="2765"/>
    <cellStyle name="Percent [0]" xfId="2766"/>
    <cellStyle name="Percent [0] 2" xfId="2767"/>
    <cellStyle name="Percent [0] 2 2" xfId="2768"/>
    <cellStyle name="Percent [2]" xfId="2769"/>
    <cellStyle name="Percent [2] 2" xfId="2770"/>
    <cellStyle name="Percent [2] 2 2" xfId="2771"/>
    <cellStyle name="Percent 10" xfId="2772"/>
    <cellStyle name="Percent 10 2" xfId="2773"/>
    <cellStyle name="Percent 11" xfId="2774"/>
    <cellStyle name="Percent 11 2" xfId="2775"/>
    <cellStyle name="Percent 12" xfId="2776"/>
    <cellStyle name="Percent 12 2" xfId="2777"/>
    <cellStyle name="Percent 2" xfId="2778"/>
    <cellStyle name="Percent 2 2" xfId="2779"/>
    <cellStyle name="Percent 3" xfId="2780"/>
    <cellStyle name="Percent 3 2" xfId="2781"/>
    <cellStyle name="Percent 4" xfId="2782"/>
    <cellStyle name="Percent 4 2" xfId="2783"/>
    <cellStyle name="Percent 5" xfId="2784"/>
    <cellStyle name="Percent 5 2" xfId="2785"/>
    <cellStyle name="Percent 6" xfId="2786"/>
    <cellStyle name="Percent 6 2" xfId="2787"/>
    <cellStyle name="Percent 7" xfId="2788"/>
    <cellStyle name="Percent 7 2" xfId="2789"/>
    <cellStyle name="Percent 8" xfId="2790"/>
    <cellStyle name="Percent 8 2" xfId="2791"/>
    <cellStyle name="Percent 9" xfId="2792"/>
    <cellStyle name="Percent 9 2" xfId="2793"/>
    <cellStyle name="PercentChange" xfId="2794"/>
    <cellStyle name="PercentChange 2" xfId="2795"/>
    <cellStyle name="PercentChange 2 2" xfId="2796"/>
    <cellStyle name="PercentChange 3" xfId="2797"/>
    <cellStyle name="PercentChange 3 2" xfId="2798"/>
    <cellStyle name="Percent" xfId="2799" builtinId="5"/>
    <cellStyle name="Porcentagem 2" xfId="2800"/>
    <cellStyle name="Porcentagem 3" xfId="2801"/>
    <cellStyle name="Porcentaje" xfId="2802"/>
    <cellStyle name="Porcentaje 2" xfId="2803"/>
    <cellStyle name="Porcentaje 2 2" xfId="2804"/>
    <cellStyle name="Porcentual_Chivor" xfId="2805"/>
    <cellStyle name="Presentation" xfId="2806"/>
    <cellStyle name="Presentation 2" xfId="2807"/>
    <cellStyle name="Price" xfId="2808"/>
    <cellStyle name="Price 2" xfId="2809"/>
    <cellStyle name="Price 2 2" xfId="2810"/>
    <cellStyle name="Problem" xfId="2811"/>
    <cellStyle name="proj" xfId="2812"/>
    <cellStyle name="proj 2" xfId="2813"/>
    <cellStyle name="proj 2 2" xfId="2814"/>
    <cellStyle name="projection" xfId="2815"/>
    <cellStyle name="projection 2" xfId="2816"/>
    <cellStyle name="projection 3" xfId="2817"/>
    <cellStyle name="projection 3 2" xfId="2818"/>
    <cellStyle name="Protec" xfId="2819"/>
    <cellStyle name="Protec 2" xfId="2820"/>
    <cellStyle name="Protec 2 2" xfId="2821"/>
    <cellStyle name="r" xfId="2822"/>
    <cellStyle name="r 2" xfId="2823"/>
    <cellStyle name="r 2 2" xfId="2824"/>
    <cellStyle name="R_BUSINESS AREA" xfId="2825"/>
    <cellStyle name="R_BUSINESS AREA 2" xfId="2826"/>
    <cellStyle name="R_BUSINESS AREA 2 2" xfId="2827"/>
    <cellStyle name="R_BUSINESS AREA_ project" xfId="2828"/>
    <cellStyle name="R_BUSINESS AREA_ project 2" xfId="2829"/>
    <cellStyle name="R_BUSINESS AREA_ project 2 2" xfId="2830"/>
    <cellStyle name="R_BUSINESS AREA_ARACRUZ_Clients" xfId="2831"/>
    <cellStyle name="R_BUSINESS AREA_ARACRUZ_Clients 2" xfId="2832"/>
    <cellStyle name="R_BUSINESS AREA_ARACRUZ_Clients 2 2" xfId="2833"/>
    <cellStyle name="R_BUSINESS AREA_Aracruz_GS" xfId="2834"/>
    <cellStyle name="R_BUSINESS AREA_Aracruz_GS 2" xfId="2835"/>
    <cellStyle name="R_BUSINESS AREA_Aracruz_GS 2 2" xfId="2836"/>
    <cellStyle name="R_BUSINESS AREA_asbru" xfId="2837"/>
    <cellStyle name="R_BUSINESS AREA_asbru 2" xfId="2838"/>
    <cellStyle name="R_BUSINESS AREA_asbru 2 2" xfId="2839"/>
    <cellStyle name="R_BUSINESS AREA_Cover" xfId="2840"/>
    <cellStyle name="R_BUSINESS AREA_Cover 2" xfId="2841"/>
    <cellStyle name="R_BUSINESS AREA_Cover 2 2" xfId="2842"/>
    <cellStyle name="R_BUSINESS AREA_DCF" xfId="2843"/>
    <cellStyle name="R_BUSINESS AREA_DCF 2" xfId="2844"/>
    <cellStyle name="R_BUSINESS AREA_DCF 2 2" xfId="2845"/>
    <cellStyle name="R_BUSINESS AREA_DCF_ project" xfId="2846"/>
    <cellStyle name="R_BUSINESS AREA_DCF_ project 2" xfId="2847"/>
    <cellStyle name="R_BUSINESS AREA_DCF_ project 2 2" xfId="2848"/>
    <cellStyle name="R_BUSINESS AREA_DCF_Aracruz_GS" xfId="2849"/>
    <cellStyle name="R_BUSINESS AREA_DCF_Aracruz_GS 2" xfId="2850"/>
    <cellStyle name="R_BUSINESS AREA_DCF_Aracruz_GS 2 2" xfId="2851"/>
    <cellStyle name="R_BUSINESS AREA_DCF_Cover" xfId="2852"/>
    <cellStyle name="R_BUSINESS AREA_DCF_Cover 2" xfId="2853"/>
    <cellStyle name="R_BUSINESS AREA_DCF_Cover 2 2" xfId="2854"/>
    <cellStyle name="R_BUSINESS AREA_DCF_Financial instruments" xfId="2855"/>
    <cellStyle name="R_BUSINESS AREA_DCF_Financial instruments 2" xfId="2856"/>
    <cellStyle name="R_BUSINESS AREA_DCF_Financial instruments 2 2" xfId="2857"/>
    <cellStyle name="R_BUSINESS AREA_DCF_premisses" xfId="2858"/>
    <cellStyle name="R_BUSINESS AREA_DCF_premisses 2" xfId="2859"/>
    <cellStyle name="R_BUSINESS AREA_DCF_premisses 2 2" xfId="2860"/>
    <cellStyle name="R_BUSINESS AREA_DCF_R$" xfId="2861"/>
    <cellStyle name="R_BUSINESS AREA_DCF_R$ 2" xfId="2862"/>
    <cellStyle name="R_BUSINESS AREA_DCF_R$ 2 2" xfId="2863"/>
    <cellStyle name="R_BUSINESS AREA_DCF_Repalcement" xfId="2864"/>
    <cellStyle name="R_BUSINESS AREA_DCF_Repalcement 2" xfId="2865"/>
    <cellStyle name="R_BUSINESS AREA_DCF_Repalcement 2 2" xfId="2866"/>
    <cellStyle name="R_BUSINESS AREA_DCF_Replacement" xfId="2867"/>
    <cellStyle name="R_BUSINESS AREA_DCF_Replacement 2" xfId="2868"/>
    <cellStyle name="R_BUSINESS AREA_DCF_Replacement 2 2" xfId="2869"/>
    <cellStyle name="R_BUSINESS AREA_DCF_Summary_QoQ" xfId="2870"/>
    <cellStyle name="R_BUSINESS AREA_DCF_Summary_QoQ " xfId="2871"/>
    <cellStyle name="R_BUSINESS AREA_DCF_Summary_QoQ  2" xfId="2872"/>
    <cellStyle name="R_BUSINESS AREA_DCF_Summary_QoQ  2 2" xfId="2873"/>
    <cellStyle name="R_BUSINESS AREA_DCF_Summary_QoQ 2" xfId="2874"/>
    <cellStyle name="R_BUSINESS AREA_DCF_Summary_QoQ 2 2" xfId="2875"/>
    <cellStyle name="R_BUSINESS AREA_DCF_VCP_GS" xfId="2876"/>
    <cellStyle name="R_BUSINESS AREA_DCF_VCP_GS 2" xfId="2877"/>
    <cellStyle name="R_BUSINESS AREA_DCF_VCP_GS 2 2" xfId="2878"/>
    <cellStyle name="R_BUSINESS AREA_Financial instruments" xfId="2879"/>
    <cellStyle name="R_BUSINESS AREA_Financial instruments 2" xfId="2880"/>
    <cellStyle name="R_BUSINESS AREA_Financial instruments 2 2" xfId="2881"/>
    <cellStyle name="R_BUSINESS AREA_Klabin_GS" xfId="2882"/>
    <cellStyle name="R_BUSINESS AREA_Klabin_GS 2" xfId="2883"/>
    <cellStyle name="R_BUSINESS AREA_Klabin_GS 2 2" xfId="2884"/>
    <cellStyle name="R_BUSINESS AREA_Ratios" xfId="2885"/>
    <cellStyle name="R_BUSINESS AREA_Ratios 2" xfId="2886"/>
    <cellStyle name="R_BUSINESS AREA_Ratios 2 2" xfId="2887"/>
    <cellStyle name="R_BUSINESS AREA_Repalcement" xfId="2888"/>
    <cellStyle name="R_BUSINESS AREA_Repalcement 2" xfId="2889"/>
    <cellStyle name="R_BUSINESS AREA_Repalcement 2 2" xfId="2890"/>
    <cellStyle name="R_BUSINESS AREA_Replacement" xfId="2891"/>
    <cellStyle name="R_BUSINESS AREA_Replacement 2" xfId="2892"/>
    <cellStyle name="R_BUSINESS AREA_Replacement 2 2" xfId="2893"/>
    <cellStyle name="R_BUSINESS AREA_Summary_QoQ" xfId="2894"/>
    <cellStyle name="R_BUSINESS AREA_Summary_QoQ " xfId="2895"/>
    <cellStyle name="R_BUSINESS AREA_Summary_QoQ  2" xfId="2896"/>
    <cellStyle name="R_BUSINESS AREA_Summary_QoQ  2 2" xfId="2897"/>
    <cellStyle name="R_BUSINESS AREA_Summary_QoQ 2" xfId="2898"/>
    <cellStyle name="R_BUSINESS AREA_Summary_QoQ 2 2" xfId="2899"/>
    <cellStyle name="R_BUSINESS AREA_Suzano_GS" xfId="2900"/>
    <cellStyle name="R_BUSINESS AREA_Suzano_GS 2" xfId="2901"/>
    <cellStyle name="R_BUSINESS AREA_Suzano_GS 2 2" xfId="2902"/>
    <cellStyle name="R_BUSINESS AREA_Vale" xfId="2903"/>
    <cellStyle name="R_BUSINESS AREA_Vale 2" xfId="2904"/>
    <cellStyle name="R_BUSINESS AREA_Vale 2 2" xfId="2905"/>
    <cellStyle name="R_BUSINESS AREA_VCP_GS" xfId="2906"/>
    <cellStyle name="R_BUSINESS AREA_VCP_GS 2" xfId="2907"/>
    <cellStyle name="R_BUSINESS AREA_VCP_GS 2 2" xfId="2908"/>
    <cellStyle name="r_LAYOUTS bank" xfId="2909"/>
    <cellStyle name="r_LAYOUTS bank 2" xfId="2910"/>
    <cellStyle name="r_LAYOUTS bank 2 2" xfId="2911"/>
    <cellStyle name="r_LAYOUTS bank_ project" xfId="2912"/>
    <cellStyle name="r_LAYOUTS bank_ project 2" xfId="2913"/>
    <cellStyle name="r_LAYOUTS bank_ project 2 2" xfId="2914"/>
    <cellStyle name="r_LAYOUTS bank_ARACRUZ_Clients" xfId="2915"/>
    <cellStyle name="r_LAYOUTS bank_ARACRUZ_Clients 2" xfId="2916"/>
    <cellStyle name="r_LAYOUTS bank_ARACRUZ_Clients 2 2" xfId="2917"/>
    <cellStyle name="r_LAYOUTS bank_Aracruz_GS" xfId="2918"/>
    <cellStyle name="r_LAYOUTS bank_Aracruz_GS 2" xfId="2919"/>
    <cellStyle name="r_LAYOUTS bank_Aracruz_GS 2 2" xfId="2920"/>
    <cellStyle name="r_LAYOUTS bank_asbru" xfId="2921"/>
    <cellStyle name="r_LAYOUTS bank_asbru 2" xfId="2922"/>
    <cellStyle name="r_LAYOUTS bank_asbru 2 2" xfId="2923"/>
    <cellStyle name="r_LAYOUTS bank_Cover" xfId="2924"/>
    <cellStyle name="r_LAYOUTS bank_Cover 2" xfId="2925"/>
    <cellStyle name="r_LAYOUTS bank_Cover 2 2" xfId="2926"/>
    <cellStyle name="r_LAYOUTS bank_DCF" xfId="2927"/>
    <cellStyle name="r_LAYOUTS bank_DCF 2" xfId="2928"/>
    <cellStyle name="r_LAYOUTS bank_DCF 2 2" xfId="2929"/>
    <cellStyle name="r_LAYOUTS bank_DCF_ project" xfId="2930"/>
    <cellStyle name="r_LAYOUTS bank_DCF_ project 2" xfId="2931"/>
    <cellStyle name="r_LAYOUTS bank_DCF_ project 2 2" xfId="2932"/>
    <cellStyle name="r_LAYOUTS bank_DCF_Aracruz_GS" xfId="2933"/>
    <cellStyle name="r_LAYOUTS bank_DCF_Aracruz_GS 2" xfId="2934"/>
    <cellStyle name="r_LAYOUTS bank_DCF_Aracruz_GS 2 2" xfId="2935"/>
    <cellStyle name="r_LAYOUTS bank_DCF_Cover" xfId="2936"/>
    <cellStyle name="r_LAYOUTS bank_DCF_Cover 2" xfId="2937"/>
    <cellStyle name="r_LAYOUTS bank_DCF_Cover 2 2" xfId="2938"/>
    <cellStyle name="r_LAYOUTS bank_DCF_Financial instruments" xfId="2939"/>
    <cellStyle name="r_LAYOUTS bank_DCF_Financial instruments 2" xfId="2940"/>
    <cellStyle name="r_LAYOUTS bank_DCF_Financial instruments 2 2" xfId="2941"/>
    <cellStyle name="r_LAYOUTS bank_DCF_premisses" xfId="2942"/>
    <cellStyle name="r_LAYOUTS bank_DCF_premisses 2" xfId="2943"/>
    <cellStyle name="r_LAYOUTS bank_DCF_premisses 2 2" xfId="2944"/>
    <cellStyle name="r_LAYOUTS bank_DCF_R$" xfId="2945"/>
    <cellStyle name="r_LAYOUTS bank_DCF_R$ 2" xfId="2946"/>
    <cellStyle name="r_LAYOUTS bank_DCF_R$ 2 2" xfId="2947"/>
    <cellStyle name="r_LAYOUTS bank_DCF_Repalcement" xfId="2948"/>
    <cellStyle name="r_LAYOUTS bank_DCF_Repalcement 2" xfId="2949"/>
    <cellStyle name="r_LAYOUTS bank_DCF_Repalcement 2 2" xfId="2950"/>
    <cellStyle name="r_LAYOUTS bank_DCF_Replacement" xfId="2951"/>
    <cellStyle name="r_LAYOUTS bank_DCF_Replacement 2" xfId="2952"/>
    <cellStyle name="r_LAYOUTS bank_DCF_Replacement 2 2" xfId="2953"/>
    <cellStyle name="r_LAYOUTS bank_DCF_Summary_QoQ" xfId="2954"/>
    <cellStyle name="r_LAYOUTS bank_DCF_Summary_QoQ " xfId="2955"/>
    <cellStyle name="r_LAYOUTS bank_DCF_Summary_QoQ  2" xfId="2956"/>
    <cellStyle name="r_LAYOUTS bank_DCF_Summary_QoQ  2 2" xfId="2957"/>
    <cellStyle name="r_LAYOUTS bank_DCF_Summary_QoQ 2" xfId="2958"/>
    <cellStyle name="r_LAYOUTS bank_DCF_Summary_QoQ 2 2" xfId="2959"/>
    <cellStyle name="r_LAYOUTS bank_DCF_VCP_GS" xfId="2960"/>
    <cellStyle name="r_LAYOUTS bank_DCF_VCP_GS 2" xfId="2961"/>
    <cellStyle name="r_LAYOUTS bank_DCF_VCP_GS 2 2" xfId="2962"/>
    <cellStyle name="r_LAYOUTS bank_Financial instruments" xfId="2963"/>
    <cellStyle name="r_LAYOUTS bank_Financial instruments 2" xfId="2964"/>
    <cellStyle name="r_LAYOUTS bank_Financial instruments 2 2" xfId="2965"/>
    <cellStyle name="r_LAYOUTS bank_Klabin_GS" xfId="2966"/>
    <cellStyle name="r_LAYOUTS bank_Klabin_GS 2" xfId="2967"/>
    <cellStyle name="r_LAYOUTS bank_Klabin_GS 2 2" xfId="2968"/>
    <cellStyle name="r_LAYOUTS bank_Ratios" xfId="2969"/>
    <cellStyle name="r_LAYOUTS bank_Ratios 2" xfId="2970"/>
    <cellStyle name="r_LAYOUTS bank_Ratios 2 2" xfId="2971"/>
    <cellStyle name="r_LAYOUTS bank_Repalcement" xfId="2972"/>
    <cellStyle name="r_LAYOUTS bank_Repalcement 2" xfId="2973"/>
    <cellStyle name="r_LAYOUTS bank_Repalcement 2 2" xfId="2974"/>
    <cellStyle name="r_LAYOUTS bank_Replacement" xfId="2975"/>
    <cellStyle name="r_LAYOUTS bank_Replacement 2" xfId="2976"/>
    <cellStyle name="r_LAYOUTS bank_Replacement 2 2" xfId="2977"/>
    <cellStyle name="r_LAYOUTS bank_Summary_QoQ" xfId="2978"/>
    <cellStyle name="r_LAYOUTS bank_Summary_QoQ " xfId="2979"/>
    <cellStyle name="r_LAYOUTS bank_Summary_QoQ  2" xfId="2980"/>
    <cellStyle name="r_LAYOUTS bank_Summary_QoQ  2 2" xfId="2981"/>
    <cellStyle name="r_LAYOUTS bank_Summary_QoQ 2" xfId="2982"/>
    <cellStyle name="r_LAYOUTS bank_Summary_QoQ 2 2" xfId="2983"/>
    <cellStyle name="r_LAYOUTS bank_Suzano_GS" xfId="2984"/>
    <cellStyle name="r_LAYOUTS bank_Suzano_GS 2" xfId="2985"/>
    <cellStyle name="r_LAYOUTS bank_Suzano_GS 2 2" xfId="2986"/>
    <cellStyle name="r_LAYOUTS bank_Vale" xfId="2987"/>
    <cellStyle name="r_LAYOUTS bank_Vale 2" xfId="2988"/>
    <cellStyle name="r_LAYOUTS bank_Vale 2 2" xfId="2989"/>
    <cellStyle name="r_LAYOUTS bank_VCP_GS" xfId="2990"/>
    <cellStyle name="r_LAYOUTS bank_VCP_GS 2" xfId="2991"/>
    <cellStyle name="r_LAYOUTS bank_VCP_GS 2 2" xfId="2992"/>
    <cellStyle name="RatioX" xfId="2993"/>
    <cellStyle name="RatioX 2" xfId="2994"/>
    <cellStyle name="RatioX 2 2" xfId="2995"/>
    <cellStyle name="RatioX 3" xfId="2996"/>
    <cellStyle name="RatioX 3 2" xfId="2997"/>
    <cellStyle name="Reuters Cells" xfId="2998"/>
    <cellStyle name="Reuters Cells 2" xfId="2999"/>
    <cellStyle name="Reuters Cells 2 2" xfId="3000"/>
    <cellStyle name="Right" xfId="3001"/>
    <cellStyle name="Right 2" xfId="3002"/>
    <cellStyle name="Right 2 2" xfId="3003"/>
    <cellStyle name="RM" xfId="3004"/>
    <cellStyle name="Output" xfId="3005"/>
    <cellStyle name="SAPBEXaggData" xfId="3006"/>
    <cellStyle name="SAPBEXaggData 2" xfId="3007"/>
    <cellStyle name="SAPBEXaggData 2 2" xfId="3008"/>
    <cellStyle name="SAPBEXaggDataEmph" xfId="3009"/>
    <cellStyle name="SAPBEXaggDataEmph 2" xfId="3010"/>
    <cellStyle name="SAPBEXaggDataEmph 2 2" xfId="3011"/>
    <cellStyle name="SAPBEXaggItem" xfId="3012"/>
    <cellStyle name="SAPBEXaggItem 2" xfId="3013"/>
    <cellStyle name="SAPBEXaggItem 2 2" xfId="3014"/>
    <cellStyle name="SAPBEXaggItemX" xfId="3015"/>
    <cellStyle name="SAPBEXchaText" xfId="3016"/>
    <cellStyle name="SAPBEXchaText 2" xfId="3017"/>
    <cellStyle name="SAPBEXchaText 2 2" xfId="3018"/>
    <cellStyle name="SAPBEXexcBad7" xfId="3019"/>
    <cellStyle name="SAPBEXexcBad7 2" xfId="3020"/>
    <cellStyle name="SAPBEXexcBad7 2 2" xfId="3021"/>
    <cellStyle name="SAPBEXexcBad8" xfId="3022"/>
    <cellStyle name="SAPBEXexcBad8 2" xfId="3023"/>
    <cellStyle name="SAPBEXexcBad8 2 2" xfId="3024"/>
    <cellStyle name="SAPBEXexcBad9" xfId="3025"/>
    <cellStyle name="SAPBEXexcBad9 2" xfId="3026"/>
    <cellStyle name="SAPBEXexcBad9 2 2" xfId="3027"/>
    <cellStyle name="SAPBEXexcCritical4" xfId="3028"/>
    <cellStyle name="SAPBEXexcCritical4 2" xfId="3029"/>
    <cellStyle name="SAPBEXexcCritical4 2 2" xfId="3030"/>
    <cellStyle name="SAPBEXexcCritical5" xfId="3031"/>
    <cellStyle name="SAPBEXexcCritical5 2" xfId="3032"/>
    <cellStyle name="SAPBEXexcCritical5 2 2" xfId="3033"/>
    <cellStyle name="SAPBEXexcCritical6" xfId="3034"/>
    <cellStyle name="SAPBEXexcCritical6 2" xfId="3035"/>
    <cellStyle name="SAPBEXexcCritical6 2 2" xfId="3036"/>
    <cellStyle name="SAPBEXexcGood1" xfId="3037"/>
    <cellStyle name="SAPBEXexcGood1 2" xfId="3038"/>
    <cellStyle name="SAPBEXexcGood1 2 2" xfId="3039"/>
    <cellStyle name="SAPBEXexcGood2" xfId="3040"/>
    <cellStyle name="SAPBEXexcGood2 2" xfId="3041"/>
    <cellStyle name="SAPBEXexcGood2 2 2" xfId="3042"/>
    <cellStyle name="SAPBEXexcGood3" xfId="3043"/>
    <cellStyle name="SAPBEXexcGood3 2" xfId="3044"/>
    <cellStyle name="SAPBEXexcGood3 2 2" xfId="3045"/>
    <cellStyle name="SAPBEXfilterDrill" xfId="3046"/>
    <cellStyle name="SAPBEXfilterDrill 2" xfId="3047"/>
    <cellStyle name="SAPBEXfilterDrill 2 2" xfId="3048"/>
    <cellStyle name="SAPBEXfilterItem" xfId="3049"/>
    <cellStyle name="SAPBEXfilterItem 2" xfId="3050"/>
    <cellStyle name="SAPBEXfilterItem 2 2" xfId="3051"/>
    <cellStyle name="SAPBEXfilterText" xfId="3052"/>
    <cellStyle name="SAPBEXfilterText 2" xfId="3053"/>
    <cellStyle name="SAPBEXfilterText 2 2" xfId="3054"/>
    <cellStyle name="SAPBEXformats" xfId="3055"/>
    <cellStyle name="SAPBEXformats 2" xfId="3056"/>
    <cellStyle name="SAPBEXformats 2 2" xfId="3057"/>
    <cellStyle name="SAPBEXheaderItem" xfId="3058"/>
    <cellStyle name="SAPBEXheaderItem 2" xfId="3059"/>
    <cellStyle name="SAPBEXheaderText" xfId="3060"/>
    <cellStyle name="SAPBEXheaderText 2" xfId="3061"/>
    <cellStyle name="SAPBEXHLevel0" xfId="3062"/>
    <cellStyle name="SAPBEXHLevel0X" xfId="3063"/>
    <cellStyle name="SAPBEXHLevel1" xfId="3064"/>
    <cellStyle name="SAPBEXHLevel1X" xfId="3065"/>
    <cellStyle name="SAPBEXHLevel2" xfId="3066"/>
    <cellStyle name="SAPBEXHLevel2X" xfId="3067"/>
    <cellStyle name="SAPBEXHLevel3" xfId="3068"/>
    <cellStyle name="SAPBEXHLevel3X" xfId="3069"/>
    <cellStyle name="SAPBEXinputData" xfId="3070"/>
    <cellStyle name="SAPBEXresData" xfId="3071"/>
    <cellStyle name="SAPBEXresData 2" xfId="3072"/>
    <cellStyle name="SAPBEXresData 2 2" xfId="3073"/>
    <cellStyle name="SAPBEXresDataEmph" xfId="3074"/>
    <cellStyle name="SAPBEXresDataEmph 2" xfId="3075"/>
    <cellStyle name="SAPBEXresDataEmph 2 2" xfId="3076"/>
    <cellStyle name="SAPBEXresItem" xfId="3077"/>
    <cellStyle name="SAPBEXresItem 2" xfId="3078"/>
    <cellStyle name="SAPBEXresItem 2 2" xfId="3079"/>
    <cellStyle name="SAPBEXresItemX" xfId="3080"/>
    <cellStyle name="SAPBEXstdData" xfId="3081"/>
    <cellStyle name="SAPBEXstdData 2" xfId="3082"/>
    <cellStyle name="SAPBEXstdData 2 2" xfId="3083"/>
    <cellStyle name="SAPBEXstdDataEmph" xfId="3084"/>
    <cellStyle name="SAPBEXstdDataEmph 2" xfId="3085"/>
    <cellStyle name="SAPBEXstdDataEmph 2 2" xfId="3086"/>
    <cellStyle name="SAPBEXstdItem" xfId="3087"/>
    <cellStyle name="SAPBEXstdItem 2" xfId="3088"/>
    <cellStyle name="SAPBEXstdItem 2 2" xfId="3089"/>
    <cellStyle name="SAPBEXstdItemX" xfId="3090"/>
    <cellStyle name="SAPBEXtitle" xfId="3091"/>
    <cellStyle name="SAPBEXtitle 2" xfId="3092"/>
    <cellStyle name="SAPBEXtitle 2 2" xfId="3093"/>
    <cellStyle name="SAPBEXundefined" xfId="3094"/>
    <cellStyle name="SAPBEXundefined 2" xfId="3095"/>
    <cellStyle name="SAPBEXundefined 2 2" xfId="3096"/>
    <cellStyle name="ScripFactor" xfId="3097"/>
    <cellStyle name="ScripFactor 2" xfId="3098"/>
    <cellStyle name="ScripFactor 2 2" xfId="3099"/>
    <cellStyle name="ScripFactor 3" xfId="3100"/>
    <cellStyle name="ScripFactor 3 2" xfId="3101"/>
    <cellStyle name="SectionHeading" xfId="3102"/>
    <cellStyle name="SectionHeading 2" xfId="3103"/>
    <cellStyle name="Comma" xfId="3104" builtinId="3"/>
    <cellStyle name="Separador de milhares 2" xfId="3105"/>
    <cellStyle name="Separador de milhares 3" xfId="3106"/>
    <cellStyle name="Separador de milhares 4" xfId="3107"/>
    <cellStyle name="Separador de milhares 5" xfId="3108"/>
    <cellStyle name="Separador de milhares_BD_RI_3T11" xfId="3109"/>
    <cellStyle name="Separador de milhares_DADOS1ITR2000" xfId="3110"/>
    <cellStyle name="Separador de milhares_DADOS1ITR2000_BD_RI_3T11" xfId="3111"/>
    <cellStyle name="ShadedCells_Database" xfId="3112"/>
    <cellStyle name="Share" xfId="3113"/>
    <cellStyle name="Share 2" xfId="3114"/>
    <cellStyle name="Share 2 2" xfId="3115"/>
    <cellStyle name="Sheet Title" xfId="3116"/>
    <cellStyle name="Source" xfId="3117"/>
    <cellStyle name="Source 2" xfId="3118"/>
    <cellStyle name="Source 2 2" xfId="3119"/>
    <cellStyle name="Standard" xfId="3120"/>
    <cellStyle name="Standard 2" xfId="3121"/>
    <cellStyle name="Std Number" xfId="3122"/>
    <cellStyle name="Style 1" xfId="3123"/>
    <cellStyle name="Style 1 2" xfId="3124"/>
    <cellStyle name="Style 1 2 2" xfId="3125"/>
    <cellStyle name="Style 1 3" xfId="3126"/>
    <cellStyle name="Style 1 3 2" xfId="3127"/>
    <cellStyle name="Style D green" xfId="3128"/>
    <cellStyle name="Style E" xfId="3129"/>
    <cellStyle name="Style H" xfId="3130"/>
    <cellStyle name="Sub total" xfId="3131"/>
    <cellStyle name="Sub total 2" xfId="3132"/>
    <cellStyle name="Sub total 2 2" xfId="3133"/>
    <cellStyle name="Subhead" xfId="3134"/>
    <cellStyle name="Subhead 2" xfId="3135"/>
    <cellStyle name="Subhead 2 2" xfId="3136"/>
    <cellStyle name="Subtitle" xfId="3137"/>
    <cellStyle name="Subtitle 2" xfId="3138"/>
    <cellStyle name="Subtitle 2 2" xfId="3139"/>
    <cellStyle name="Subtotal_left" xfId="3140"/>
    <cellStyle name="SymbolBlue" xfId="3141"/>
    <cellStyle name="SymbolBlue 2" xfId="3142"/>
    <cellStyle name="SymbolBlue 2 2" xfId="3143"/>
    <cellStyle name="Table end" xfId="3144"/>
    <cellStyle name="Table end 2" xfId="3145"/>
    <cellStyle name="Table end 2 2" xfId="3146"/>
    <cellStyle name="Table head" xfId="3147"/>
    <cellStyle name="Table head 2" xfId="3148"/>
    <cellStyle name="Table head 2 2" xfId="3149"/>
    <cellStyle name="Table Head Aligned" xfId="3150"/>
    <cellStyle name="Table Head Blue" xfId="3151"/>
    <cellStyle name="Table Head Green" xfId="3152"/>
    <cellStyle name="Table Head_Capacity" xfId="3153"/>
    <cellStyle name="Table Header" xfId="3154"/>
    <cellStyle name="table text bold" xfId="3155"/>
    <cellStyle name="table text bold 2" xfId="3156"/>
    <cellStyle name="table text bold 2 2" xfId="3157"/>
    <cellStyle name="table text bold green" xfId="3158"/>
    <cellStyle name="table text bold green 2" xfId="3159"/>
    <cellStyle name="table text bold_Banpu_Charts" xfId="3160"/>
    <cellStyle name="table text light" xfId="3161"/>
    <cellStyle name="table text light 2" xfId="3162"/>
    <cellStyle name="table text light 2 2" xfId="3163"/>
    <cellStyle name="Table Title" xfId="3164"/>
    <cellStyle name="Table Units" xfId="3165"/>
    <cellStyle name="Table-#" xfId="3166"/>
    <cellStyle name="Table-# 2" xfId="3167"/>
    <cellStyle name="Table_Title" xfId="3168"/>
    <cellStyle name="Table-Body" xfId="3169"/>
    <cellStyle name="Table-Body 2" xfId="3170"/>
    <cellStyle name="Table-Headings" xfId="3171"/>
    <cellStyle name="Table-Headings 2" xfId="3172"/>
    <cellStyle name="Table-Headings 2 2" xfId="3173"/>
    <cellStyle name="Table-Titles" xfId="3174"/>
    <cellStyle name="Table-Titles 2" xfId="3175"/>
    <cellStyle name="Table-Titles 2 2" xfId="3176"/>
    <cellStyle name="Taulukko" xfId="3177"/>
    <cellStyle name="Explanatory Text" xfId="3178"/>
    <cellStyle name="threedecplace" xfId="3179"/>
    <cellStyle name="Times" xfId="3180"/>
    <cellStyle name="Title 2" xfId="3181"/>
    <cellStyle name="Title1" xfId="3182"/>
    <cellStyle name="Title2" xfId="3183"/>
    <cellStyle name="Titles" xfId="3184"/>
    <cellStyle name="Titles 2" xfId="3185"/>
    <cellStyle name="Titles 2 2" xfId="3186"/>
    <cellStyle name="Titles 3" xfId="3187"/>
    <cellStyle name="Titles 3 2" xfId="3188"/>
    <cellStyle name="titre_col" xfId="3189"/>
    <cellStyle name="Title" xfId="3190"/>
    <cellStyle name="Heading 1" xfId="3191"/>
    <cellStyle name="Heading 2" xfId="3192"/>
    <cellStyle name="Heading 3" xfId="3193"/>
    <cellStyle name="Heading 4" xfId="3194"/>
    <cellStyle name="TNR-9F-BLACK" xfId="3195"/>
    <cellStyle name="TNR-9F-BLACK 2" xfId="3196"/>
    <cellStyle name="Total" xfId="3197" builtinId="25"/>
    <cellStyle name="Total 2" xfId="3198"/>
    <cellStyle name="Total 3" xfId="3199"/>
    <cellStyle name="Tusental (0)_1998-Q3" xfId="3200"/>
    <cellStyle name="Tusental_1998-Q3" xfId="3201"/>
    <cellStyle name="twodecplace" xfId="3202"/>
    <cellStyle name="u" xfId="3203"/>
    <cellStyle name="u 2" xfId="3204"/>
    <cellStyle name="u_Banpu_Charts" xfId="3205"/>
    <cellStyle name="u_Banpu_Charts 2" xfId="3206"/>
    <cellStyle name="u_ShenhuaPower(report tables)" xfId="3207"/>
    <cellStyle name="u_ShenhuaPower(report tables) 2" xfId="3208"/>
    <cellStyle name="u_ShenhuaPower(report tables)_ferrous &amp; non-ferrous" xfId="3209"/>
    <cellStyle name="u_ShenhuaPower(report tables)_ferrous &amp; non-ferrous 2" xfId="3210"/>
    <cellStyle name="ubordinated Debt" xfId="3211"/>
    <cellStyle name="ubordinated Debt 2" xfId="3212"/>
    <cellStyle name="ubordinated Debt 2 2" xfId="3213"/>
    <cellStyle name="Unproc" xfId="3214"/>
    <cellStyle name="Unproc 2" xfId="3215"/>
    <cellStyle name="Unproc 2 2" xfId="3216"/>
    <cellStyle name="Unprotect" xfId="3217"/>
    <cellStyle name="Unprotect 2" xfId="3218"/>
    <cellStyle name="Unprotect 2 2" xfId="3219"/>
    <cellStyle name="Unsure" xfId="3220"/>
    <cellStyle name="Unsure 2" xfId="3221"/>
    <cellStyle name="Unsure 2 2" xfId="3222"/>
    <cellStyle name="Upload Only" xfId="3223"/>
    <cellStyle name="Upload Only 2" xfId="3224"/>
    <cellStyle name="Upload Only 2 2" xfId="3225"/>
    <cellStyle name="Validation" xfId="3226"/>
    <cellStyle name="Valuta (0)" xfId="3227"/>
    <cellStyle name="Valuta (0) 2" xfId="3228"/>
    <cellStyle name="Valuta (0) 2 2" xfId="3229"/>
    <cellStyle name="Valuta_1998-Q3" xfId="3230"/>
    <cellStyle name="Warning Text 2" xfId="3231"/>
    <cellStyle name="weden" xfId="3232"/>
    <cellStyle name="weden 2" xfId="3233"/>
    <cellStyle name="weden 2 2" xfId="3234"/>
    <cellStyle name="WingdingsBlack" xfId="3235"/>
    <cellStyle name="WingdingsBlack 2" xfId="3236"/>
    <cellStyle name="WingdingsBlack 2 2" xfId="3237"/>
    <cellStyle name="WingdingsRed" xfId="3238"/>
    <cellStyle name="WingdingsRed 2" xfId="3239"/>
    <cellStyle name="WingdingsRed 2 2" xfId="3240"/>
    <cellStyle name="WingdingsWhite" xfId="3241"/>
    <cellStyle name="WingdingsWhite 2" xfId="3242"/>
    <cellStyle name="WingdingsWhite 2 2" xfId="3243"/>
    <cellStyle name="Year" xfId="3244"/>
    <cellStyle name="Year 2" xfId="3245"/>
    <cellStyle name="Year 2 2" xfId="3246"/>
    <cellStyle name="ynergos" xfId="3247"/>
    <cellStyle name="ynergos 2" xfId="3248"/>
    <cellStyle name="ynergos 2 2" xfId="3249"/>
    <cellStyle name="표준_02월매출" xfId="3250"/>
    <cellStyle name="一般_主要產品各季產銷量值表" xfId="3251"/>
    <cellStyle name="常规_Sheet1" xfId="3252"/>
    <cellStyle name="標準_1951_0006" xfId="3253"/>
    <cellStyle name="SAPBEXstdItem 2 2 4" xfId="3254"/>
    <cellStyle name="Entrada 6" xfId="3255"/>
    <cellStyle name="SAPBEXHLevel0X 7" xfId="3256"/>
    <cellStyle name="Accent5 16" xfId="3257"/>
    <cellStyle name="SAPBEXformats 3 3" xfId="3258"/>
    <cellStyle name="SAPBEXstdItem 3 3" xfId="3259"/>
    <cellStyle name="Note 3 6" xfId="3260"/>
    <cellStyle name="SAPBEXtitle 5" xfId="3261"/>
    <cellStyle name="Accent3 7" xfId="3262"/>
    <cellStyle name="SAPBEXstdItem 2 3" xfId="3263"/>
    <cellStyle name="Accent5 7" xfId="3264"/>
    <cellStyle name="SAPBEXresItemX 6" xfId="3265"/>
    <cellStyle name="SAPBEXresItem 5" xfId="3266"/>
    <cellStyle name="SAPBEXinputData 6" xfId="3267"/>
    <cellStyle name="SAPBEXHLevel3X 5" xfId="3268"/>
    <cellStyle name="SAPBEXHLevel3 5" xfId="3269"/>
    <cellStyle name="SAPBEXHLevel2X 5" xfId="3270"/>
    <cellStyle name="SAPBEXHLevel1X 5" xfId="3271"/>
    <cellStyle name="SAPBEXundefined 4 6" xfId="3272"/>
    <cellStyle name="SAPBEXHLevel0X 5" xfId="3273"/>
    <cellStyle name="SAPBEXHLevel0 5" xfId="3274"/>
    <cellStyle name="SAPBEXHLevel3 7" xfId="3275"/>
    <cellStyle name="SAPBEXexcBad7 5" xfId="3276"/>
    <cellStyle name="SAPBEXaggDataEmph 4 3" xfId="3277"/>
    <cellStyle name="Accent6 10" xfId="3278"/>
    <cellStyle name="Accent1 10" xfId="3279"/>
    <cellStyle name="SAPBEXinputData 4 7" xfId="3280"/>
    <cellStyle name="SAPBEXexcGood3 5" xfId="3281"/>
    <cellStyle name="SAPBEXresItem 2 4" xfId="3282"/>
    <cellStyle name="Calculation 4" xfId="3283"/>
    <cellStyle name="SAPBEXexcBad7 3 2" xfId="3284"/>
    <cellStyle name="SAPBEXHLevel3X 6" xfId="3285"/>
    <cellStyle name="Calculation 2 5" xfId="3286"/>
    <cellStyle name="Accent1 5" xfId="3287"/>
    <cellStyle name="Accent2 5" xfId="3288"/>
    <cellStyle name="Accent3 5" xfId="3289"/>
    <cellStyle name="Accent4 5" xfId="3290"/>
    <cellStyle name="Accent5 5" xfId="3291"/>
    <cellStyle name="Accent6 5" xfId="3292"/>
    <cellStyle name="Accent1 17" xfId="3293"/>
    <cellStyle name="Bad 4" xfId="3294"/>
    <cellStyle name="Normal 2 3" xfId="3295"/>
    <cellStyle name="Accent5 10" xfId="3296"/>
    <cellStyle name="Accent6 9" xfId="3297"/>
    <cellStyle name="SAPBEXstdDataEmph 3 2" xfId="3298"/>
    <cellStyle name="Porcentagem 3 3" xfId="3299"/>
    <cellStyle name="SAPBEXresItem 4 3" xfId="3300"/>
    <cellStyle name="SAPBEXHLevel0X 4 5" xfId="3301"/>
    <cellStyle name="SAPBEXstdData 2 9" xfId="3302"/>
    <cellStyle name="Accent2 16" xfId="3303"/>
    <cellStyle name="SAPBEXexcBad9 3 3" xfId="3304"/>
    <cellStyle name="SAPBEXexcCritical6 2 7" xfId="3305"/>
    <cellStyle name="Accent6 6" xfId="3306"/>
    <cellStyle name="Accent5 6" xfId="3307"/>
    <cellStyle name="Accent4 6" xfId="3308"/>
    <cellStyle name="Accent3 6" xfId="3309"/>
    <cellStyle name="Accent2 6" xfId="3310"/>
    <cellStyle name="Accent1 6" xfId="3311"/>
    <cellStyle name="SAPBEXstdData 2 5" xfId="3312"/>
    <cellStyle name="Accent4 16" xfId="3313"/>
    <cellStyle name="SAPBEXstdItem 3 2" xfId="3314"/>
    <cellStyle name="Calculation 5" xfId="3315"/>
    <cellStyle name="SAPBEXaggItemX 4 3" xfId="3316"/>
    <cellStyle name="SAPBEXHLevel1X 6" xfId="3317"/>
    <cellStyle name="Accent6 15" xfId="3318"/>
    <cellStyle name="SAPBEXHLevel0 8" xfId="3319"/>
    <cellStyle name="SAPBEXinputData 4 4" xfId="3320"/>
    <cellStyle name="SAPBEXtitle 3 2" xfId="3321"/>
    <cellStyle name="SAPBEXformats 2 2 6" xfId="3322"/>
    <cellStyle name="Entrada 3 3" xfId="3323"/>
    <cellStyle name="SAPBEXexcBad7 4 6" xfId="3324"/>
    <cellStyle name="Accent1 13" xfId="3325"/>
    <cellStyle name="Accent2 9" xfId="3326"/>
    <cellStyle name="Accent4 12" xfId="3327"/>
    <cellStyle name="SAPBEXinputData 5" xfId="3328"/>
    <cellStyle name="SAPBEXinputData 4 3" xfId="3329"/>
    <cellStyle name="Cálculo 2 2" xfId="3330"/>
    <cellStyle name="SAPBEXexcBad9 5" xfId="3331"/>
    <cellStyle name="SAPBEXresItemX 5" xfId="3332"/>
    <cellStyle name="SAPBEXformats 2 4" xfId="3333"/>
    <cellStyle name="SAPBEXformats 2 2 4" xfId="3334"/>
    <cellStyle name="SAPBEXstdDataEmph 5" xfId="3335"/>
    <cellStyle name="Accent4 11" xfId="3336"/>
    <cellStyle name="SAPBEXstdItemX 5" xfId="3337"/>
    <cellStyle name="SAPBEXresDataEmph 4 7" xfId="3338"/>
    <cellStyle name="Normal 31" xfId="3339"/>
    <cellStyle name="SAPBEXHLevel0X 9" xfId="3340"/>
    <cellStyle name="Separador de milhares 3 3" xfId="3341"/>
    <cellStyle name="Separador de milhares 4 3" xfId="3342"/>
    <cellStyle name="Separador de milhares 5 3" xfId="3343"/>
    <cellStyle name="SAPBEXexcCritical4 3 2" xfId="3344"/>
    <cellStyle name="SAPBEXaggItemX 4 4" xfId="3345"/>
    <cellStyle name="SAPBEXexcGood2 4 6" xfId="3346"/>
    <cellStyle name="Accent6 8" xfId="3347"/>
    <cellStyle name="SAPBEXaggData 2 5" xfId="3348"/>
    <cellStyle name="Accent3 17" xfId="3349"/>
    <cellStyle name="SAPBEXaggItemX 5" xfId="3350"/>
    <cellStyle name="Célula de Verificação 4" xfId="3351"/>
    <cellStyle name="Bom 4" xfId="3352"/>
    <cellStyle name="Entrada 4" xfId="3353"/>
    <cellStyle name="Célula Vinculada 3" xfId="3354"/>
    <cellStyle name="Neutra 4" xfId="3355"/>
    <cellStyle name="Nota 4" xfId="3356"/>
    <cellStyle name="Texto de Aviso 3" xfId="3357"/>
    <cellStyle name="Porcentagem 4" xfId="3358"/>
    <cellStyle name="Separador de milhares 6" xfId="3359"/>
    <cellStyle name="Separador de milhares 7" xfId="3360"/>
    <cellStyle name="20% - Ênfase1 2" xfId="3361"/>
    <cellStyle name="20% - Ênfase2 2" xfId="3362"/>
    <cellStyle name="20% - Ênfase3 2" xfId="3363"/>
    <cellStyle name="20% - Ênfase5 2" xfId="3364"/>
    <cellStyle name="20% - Ênfase6 2" xfId="3365"/>
    <cellStyle name="40% - Ênfase1 2" xfId="3366"/>
    <cellStyle name="40% - Ênfase2 2" xfId="3367"/>
    <cellStyle name="40% - Ênfase3 2" xfId="3368"/>
    <cellStyle name="40% - Ênfase5 2" xfId="3369"/>
    <cellStyle name="60% - Ênfase1 2" xfId="3370"/>
    <cellStyle name="60% - Ênfase2 2" xfId="3371"/>
    <cellStyle name="60% - Ênfase3 2" xfId="3372"/>
    <cellStyle name="60% - Ênfase5 2" xfId="3373"/>
    <cellStyle name="Accent1 2 2" xfId="3374"/>
    <cellStyle name="Accent2 2 2" xfId="3375"/>
    <cellStyle name="Accent3 2 2" xfId="3376"/>
    <cellStyle name="Accent6 3" xfId="3377"/>
    <cellStyle name="Accent4 2 2" xfId="3378"/>
    <cellStyle name="Accent5 3" xfId="3379"/>
    <cellStyle name="Accent5 2 2" xfId="3380"/>
    <cellStyle name="Accent6 2 2" xfId="3381"/>
    <cellStyle name="Accent4 3" xfId="3382"/>
    <cellStyle name="Bad 2 2" xfId="3383"/>
    <cellStyle name="Bom 3" xfId="3384"/>
    <cellStyle name="Calculation 2 2" xfId="3385"/>
    <cellStyle name="Cálculo 3" xfId="3386"/>
    <cellStyle name="Célula de Verificação 3" xfId="3387"/>
    <cellStyle name="Accent3 3" xfId="3388"/>
    <cellStyle name="Ênfase1 3" xfId="3389"/>
    <cellStyle name="Ênfase2 3" xfId="3390"/>
    <cellStyle name="Ênfase3 3" xfId="3391"/>
    <cellStyle name="Ênfase4 3" xfId="3392"/>
    <cellStyle name="Ênfase5 3" xfId="3393"/>
    <cellStyle name="Ênfase6 3" xfId="3394"/>
    <cellStyle name="Entrada 3" xfId="3395"/>
    <cellStyle name="Accent2 3" xfId="3396"/>
    <cellStyle name="Heading 1 2 2" xfId="3397"/>
    <cellStyle name="Heading 3 2 2" xfId="3398"/>
    <cellStyle name="Incorreto 3" xfId="3399"/>
    <cellStyle name="Input 2 2" xfId="3400"/>
    <cellStyle name="Accent1 3 2" xfId="3401"/>
    <cellStyle name="Neutra 3" xfId="3402"/>
    <cellStyle name="Normal 2 2" xfId="3403"/>
    <cellStyle name="Nota 3" xfId="3404"/>
    <cellStyle name="Note 3 3" xfId="3405"/>
    <cellStyle name="Output 2 2" xfId="3406"/>
    <cellStyle name="Saída 3" xfId="3407"/>
    <cellStyle name="SAPBEXaggData 4" xfId="3408"/>
    <cellStyle name="SAPBEXaggData 2 3" xfId="3409"/>
    <cellStyle name="SAPBEXaggData_Endividamento Jun 14 (2)" xfId="3410"/>
    <cellStyle name="SAPBEXaggDataEmph 4" xfId="3411"/>
    <cellStyle name="SAPBEXaggDataEmph 2 3" xfId="3412"/>
    <cellStyle name="SAPBEXaggDataEmph_Endividamento Jun 14 (2)" xfId="3413"/>
    <cellStyle name="SAPBEXaggItem 4" xfId="3414"/>
    <cellStyle name="SAPBEXaggItem 2 3" xfId="3415"/>
    <cellStyle name="SAPBEXaggItem_Endividamento Jun 14 (2)" xfId="3416"/>
    <cellStyle name="SAPBEXaggItemX 4" xfId="3417"/>
    <cellStyle name="SAPBEXaggItemX 2" xfId="3418"/>
    <cellStyle name="SAPBEXchaText_Endividamento Jun 14 (2)" xfId="3419"/>
    <cellStyle name="SAPBEXexcBad7 4" xfId="3420"/>
    <cellStyle name="SAPBEXexcBad7 2 3" xfId="3421"/>
    <cellStyle name="SAPBEXexcBad7_Endividamento Jun 14 (2)" xfId="3422"/>
    <cellStyle name="SAPBEXexcBad8 4" xfId="3423"/>
    <cellStyle name="SAPBEXexcBad8 2 3" xfId="3424"/>
    <cellStyle name="SAPBEXexcBad8_Endividamento Jun 14 (2)" xfId="3425"/>
    <cellStyle name="SAPBEXexcBad9 4" xfId="3426"/>
    <cellStyle name="SAPBEXexcBad9 2 3" xfId="3427"/>
    <cellStyle name="SAPBEXexcBad9_Endividamento Jun 14 (2)" xfId="3428"/>
    <cellStyle name="SAPBEXexcCritical4 4" xfId="3429"/>
    <cellStyle name="SAPBEXexcCritical4 2 3" xfId="3430"/>
    <cellStyle name="SAPBEXexcCritical4_Endividamento Jun 14 (2)" xfId="3431"/>
    <cellStyle name="SAPBEXexcCritical5 4" xfId="3432"/>
    <cellStyle name="SAPBEXexcCritical5 2 3" xfId="3433"/>
    <cellStyle name="SAPBEXexcCritical5_Endividamento Jun 14 (2)" xfId="3434"/>
    <cellStyle name="SAPBEXexcCritical6 4" xfId="3435"/>
    <cellStyle name="SAPBEXexcCritical6 2 3" xfId="3436"/>
    <cellStyle name="SAPBEXexcCritical6_Endividamento Jun 14 (2)" xfId="3437"/>
    <cellStyle name="SAPBEXexcGood1 4" xfId="3438"/>
    <cellStyle name="SAPBEXexcGood1 2 3" xfId="3439"/>
    <cellStyle name="SAPBEXexcGood1_Endividamento Jun 14 (2)" xfId="3440"/>
    <cellStyle name="SAPBEXexcGood2 4" xfId="3441"/>
    <cellStyle name="SAPBEXexcGood2 2 3" xfId="3442"/>
    <cellStyle name="SAPBEXexcGood2_Endividamento Jun 14 (2)" xfId="3443"/>
    <cellStyle name="SAPBEXexcGood3 4" xfId="3444"/>
    <cellStyle name="SAPBEXexcGood3 2 3" xfId="3445"/>
    <cellStyle name="SAPBEXexcGood3_Endividamento Jun 14 (2)" xfId="3446"/>
    <cellStyle name="SAPBEXHLevel0X 6" xfId="3447"/>
    <cellStyle name="SAPBEXfilterDrill_Endividamento Jun 14 (2)" xfId="3448"/>
    <cellStyle name="SAPBEXresItemX 9" xfId="3449"/>
    <cellStyle name="SAPBEXfilterItem_Endividamento Jun 14 (2)" xfId="3450"/>
    <cellStyle name="SAPBEXresDataEmph 3 4" xfId="3451"/>
    <cellStyle name="SAPBEXfilterText_Endividamento Jun 14 (2)" xfId="3452"/>
    <cellStyle name="SAPBEXformats 4" xfId="3453"/>
    <cellStyle name="SAPBEXformats 2 2 2" xfId="3454"/>
    <cellStyle name="SAPBEXformats_Endividamento Jun 14 (2)" xfId="3455"/>
    <cellStyle name="Normal 37" xfId="3456"/>
    <cellStyle name="SAPBEXheaderItem_Endividamento Jun 14 (2)" xfId="3457"/>
    <cellStyle name="SAPBEXexcCritical5 4 3" xfId="3458"/>
    <cellStyle name="SAPBEXheaderText_Endividamento Jun 14 (2)" xfId="3459"/>
    <cellStyle name="SAPBEXHLevel0 4" xfId="3460"/>
    <cellStyle name="SAPBEXHLevel0 2" xfId="3461"/>
    <cellStyle name="SAPBEXHLevel0X 4" xfId="3462"/>
    <cellStyle name="SAPBEXHLevel0X 2" xfId="3463"/>
    <cellStyle name="SAPBEXHLevel1 4" xfId="3464"/>
    <cellStyle name="SAPBEXHLevel1 2" xfId="3465"/>
    <cellStyle name="SAPBEXHLevel1_Endividamento Jun 14 (2)" xfId="3466"/>
    <cellStyle name="SAPBEXHLevel1X 4" xfId="3467"/>
    <cellStyle name="SAPBEXHLevel1X 2" xfId="3468"/>
    <cellStyle name="SAPBEXHLevel2 4" xfId="3469"/>
    <cellStyle name="SAPBEXHLevel2 2" xfId="3470"/>
    <cellStyle name="SAPBEXHLevel2_Endividamento Jun 14 (2)" xfId="3471"/>
    <cellStyle name="SAPBEXHLevel2X 4" xfId="3472"/>
    <cellStyle name="SAPBEXHLevel2X 2" xfId="3473"/>
    <cellStyle name="SAPBEXHLevel3 4" xfId="3474"/>
    <cellStyle name="SAPBEXHLevel3 2" xfId="3475"/>
    <cellStyle name="SAPBEXHLevel3X 4" xfId="3476"/>
    <cellStyle name="SAPBEXHLevel3X 2" xfId="3477"/>
    <cellStyle name="SAPBEXinputData 4" xfId="3478"/>
    <cellStyle name="SAPBEXinputData 2" xfId="3479"/>
    <cellStyle name="SAPBEXresData 4" xfId="3480"/>
    <cellStyle name="SAPBEXresData 2 3" xfId="3481"/>
    <cellStyle name="SAPBEXresData_Endividamento Jun 14 (2)" xfId="3482"/>
    <cellStyle name="SAPBEXresDataEmph 4" xfId="3483"/>
    <cellStyle name="SAPBEXresDataEmph 2 3" xfId="3484"/>
    <cellStyle name="SAPBEXresDataEmph_Endividamento Jun 14 (2)" xfId="3485"/>
    <cellStyle name="SAPBEXresItem 4" xfId="3486"/>
    <cellStyle name="SAPBEXundefined 3 3" xfId="3487"/>
    <cellStyle name="SAPBEXresItem_Endividamento Jun 14 (2)" xfId="3488"/>
    <cellStyle name="SAPBEXresItemX 4" xfId="3489"/>
    <cellStyle name="SAPBEXresItemX 2" xfId="3490"/>
    <cellStyle name="SAPBEXstdData 4" xfId="3491"/>
    <cellStyle name="SAPBEXstdData 2 3" xfId="3492"/>
    <cellStyle name="SAPBEXstdData_Endividamento Jun 14 (2)" xfId="3493"/>
    <cellStyle name="SAPBEXstdDataEmph 4" xfId="3494"/>
    <cellStyle name="SAPBEXstdDataEmph 2 3" xfId="3495"/>
    <cellStyle name="SAPBEXstdDataEmph_Endividamento Jun 14 (2)" xfId="3496"/>
    <cellStyle name="SAPBEXstdItem 4" xfId="3497"/>
    <cellStyle name="SAPBEXstdItem 2 2 2" xfId="3498"/>
    <cellStyle name="SAPBEXstdItem_Endividamento Jun 14 (2)" xfId="3499"/>
    <cellStyle name="SAPBEXstdItemX 4" xfId="3500"/>
    <cellStyle name="SAPBEXstdItemX 2" xfId="3501"/>
    <cellStyle name="SAPBEXstdItemX_Endividamento Jun 14 (2)" xfId="3502"/>
    <cellStyle name="SAPBEXtitle 4" xfId="3503"/>
    <cellStyle name="SAPBEXtitle_Endividamento Jun 14 (2)" xfId="3504"/>
    <cellStyle name="SAPBEXundefined 4" xfId="3505"/>
    <cellStyle name="SAPBEXundefined 2 3" xfId="3506"/>
    <cellStyle name="SAPBEXundefined_Endividamento Jun 14 (2)" xfId="3507"/>
    <cellStyle name="Título 1 3" xfId="3508"/>
    <cellStyle name="Título 2 3" xfId="3509"/>
    <cellStyle name="Título 3 3" xfId="3510"/>
    <cellStyle name="Título 4 3" xfId="3511"/>
    <cellStyle name="Total 3 2" xfId="3512"/>
    <cellStyle name="Vírgula 2" xfId="3513"/>
    <cellStyle name="Porcentagem 3 2" xfId="3514"/>
    <cellStyle name="Normal 3 2 2" xfId="3515"/>
    <cellStyle name="Vírgula 3" xfId="3516"/>
    <cellStyle name="Porcentagem 4 2" xfId="3517"/>
    <cellStyle name="Vírgula 4" xfId="3518"/>
    <cellStyle name="Accent1 12" xfId="3519"/>
    <cellStyle name="Separador de milhares 3 2" xfId="3520"/>
    <cellStyle name="Porcentagem 5" xfId="3521"/>
    <cellStyle name="Separador de milhares 4 2" xfId="3522"/>
    <cellStyle name="Porcentagem 6" xfId="3523"/>
    <cellStyle name="Separador de milhares 5 2" xfId="3524"/>
    <cellStyle name="Porcentagem 7" xfId="3525"/>
    <cellStyle name="SAPBEXItemHeader" xfId="3526"/>
    <cellStyle name="SAPBEXunassignedItem" xfId="3527"/>
    <cellStyle name="Separador de milhares 6 2" xfId="3528"/>
    <cellStyle name="Separador de milhares 7 2" xfId="3529"/>
    <cellStyle name="Porcentagem 8" xfId="3530"/>
    <cellStyle name="SAPBEXexcCritical6 4 3" xfId="3531"/>
    <cellStyle name="Note 2 2" xfId="3532"/>
    <cellStyle name="SAPBEXfilterText 3" xfId="3533"/>
    <cellStyle name="SAPBEXheaderItem 3" xfId="3534"/>
    <cellStyle name="SAPBEXheaderText 3" xfId="3535"/>
    <cellStyle name="SAPBEXHLevel0 3" xfId="3536"/>
    <cellStyle name="SAPBEXHLevel0X 3" xfId="3537"/>
    <cellStyle name="SAPBEXHLevel1 3" xfId="3538"/>
    <cellStyle name="SAPBEXHLevel1X 3" xfId="3539"/>
    <cellStyle name="SAPBEXHLevel2 3" xfId="3540"/>
    <cellStyle name="SAPBEXHLevel2X 3" xfId="3541"/>
    <cellStyle name="SAPBEXHLevel3 3" xfId="3542"/>
    <cellStyle name="SAPBEXHLevel3X 3" xfId="3543"/>
    <cellStyle name="SAPBEXinputData 3" xfId="3544"/>
    <cellStyle name="Accent1 - 20% 2" xfId="3545"/>
    <cellStyle name="Accent1 - 40% 2" xfId="3546"/>
    <cellStyle name="Accent1 - 60% 2" xfId="3547"/>
    <cellStyle name="Accent2 - 20% 2" xfId="3548"/>
    <cellStyle name="Accent2 - 40% 2" xfId="3549"/>
    <cellStyle name="Accent2 - 60% 2" xfId="3550"/>
    <cellStyle name="Accent3 - 20% 2" xfId="3551"/>
    <cellStyle name="Accent3 - 40% 2" xfId="3552"/>
    <cellStyle name="Accent3 - 60% 2" xfId="3553"/>
    <cellStyle name="Accent4 - 20% 2" xfId="3554"/>
    <cellStyle name="Accent4 - 40% 2" xfId="3555"/>
    <cellStyle name="Accent4 - 60% 2" xfId="3556"/>
    <cellStyle name="Accent5 - 20% 2" xfId="3557"/>
    <cellStyle name="Accent5 - 60% 2" xfId="3558"/>
    <cellStyle name="Accent6 - 40% 2" xfId="3559"/>
    <cellStyle name="Accent6 - 60% 2" xfId="3560"/>
    <cellStyle name="Bom 2" xfId="3561"/>
    <cellStyle name="Cálculo 2" xfId="3562"/>
    <cellStyle name="Célula de Verificação 2" xfId="3563"/>
    <cellStyle name="Célula Vinculada 2" xfId="3564"/>
    <cellStyle name="Emphasis 1 2" xfId="3565"/>
    <cellStyle name="Emphasis 2 2" xfId="3566"/>
    <cellStyle name="Ênfase1 2" xfId="3567"/>
    <cellStyle name="Ênfase2 2" xfId="3568"/>
    <cellStyle name="Ênfase3 2" xfId="3569"/>
    <cellStyle name="Ênfase4 2" xfId="3570"/>
    <cellStyle name="Ênfase5 2" xfId="3571"/>
    <cellStyle name="Ênfase6 2" xfId="3572"/>
    <cellStyle name="Entrada 2" xfId="3573"/>
    <cellStyle name="Incorreto 2" xfId="3574"/>
    <cellStyle name="Neutra 2" xfId="3575"/>
    <cellStyle name="Normal 5 3" xfId="3576"/>
    <cellStyle name="Nota 2" xfId="3577"/>
    <cellStyle name="Saída 2" xfId="3578"/>
    <cellStyle name="SAPBEXaggData 3" xfId="3579"/>
    <cellStyle name="SAPBEXaggDataEmph 3" xfId="3580"/>
    <cellStyle name="SAPBEXaggItem 3" xfId="3581"/>
    <cellStyle name="SAPBEXaggItemX 3" xfId="3582"/>
    <cellStyle name="SAPBEXchaText 3" xfId="3583"/>
    <cellStyle name="SAPBEXexcBad7 3" xfId="3584"/>
    <cellStyle name="SAPBEXexcBad8 3" xfId="3585"/>
    <cellStyle name="SAPBEXexcBad9 3" xfId="3586"/>
    <cellStyle name="SAPBEXexcCritical4 3" xfId="3587"/>
    <cellStyle name="SAPBEXexcCritical5 3" xfId="3588"/>
    <cellStyle name="SAPBEXexcCritical6 3" xfId="3589"/>
    <cellStyle name="SAPBEXexcGood1 3" xfId="3590"/>
    <cellStyle name="SAPBEXexcGood2 3" xfId="3591"/>
    <cellStyle name="SAPBEXexcGood3 3" xfId="3592"/>
    <cellStyle name="SAPBEXfilterDrill 3" xfId="3593"/>
    <cellStyle name="SAPBEXfilterItem 3" xfId="3594"/>
    <cellStyle name="SAPBEXformats 3" xfId="3595"/>
    <cellStyle name="SAPBEXresData 3" xfId="3596"/>
    <cellStyle name="SAPBEXresDataEmph 3" xfId="3597"/>
    <cellStyle name="SAPBEXresItem 3" xfId="3598"/>
    <cellStyle name="SAPBEXresItemX 3" xfId="3599"/>
    <cellStyle name="SAPBEXstdData 3" xfId="3600"/>
    <cellStyle name="SAPBEXstdDataEmph 3" xfId="3601"/>
    <cellStyle name="SAPBEXstdItem 3" xfId="3602"/>
    <cellStyle name="SAPBEXstdItemX 3" xfId="3603"/>
    <cellStyle name="SAPBEXtitle 3" xfId="3604"/>
    <cellStyle name="SAPBEXundefined 3" xfId="3605"/>
    <cellStyle name="Texto de Aviso 2" xfId="3606"/>
    <cellStyle name="Título 1 2" xfId="3607"/>
    <cellStyle name="Título 2 2" xfId="3608"/>
    <cellStyle name="Título 3 2" xfId="3609"/>
    <cellStyle name="Título 4 2" xfId="3610"/>
    <cellStyle name="Total 2 2" xfId="3611"/>
    <cellStyle name="Vírgula 5" xfId="3612"/>
    <cellStyle name="Vírgula 6" xfId="3613"/>
    <cellStyle name="Porcentagem 9" xfId="3614"/>
    <cellStyle name="Vírgula 7" xfId="3615"/>
    <cellStyle name="Porcentagem 10" xfId="3616"/>
    <cellStyle name="Vírgula 8" xfId="3617"/>
    <cellStyle name="Porcentagem 11" xfId="3618"/>
    <cellStyle name="Output 3 2" xfId="3619"/>
    <cellStyle name="Saída 4" xfId="3620"/>
    <cellStyle name="Accent6 4" xfId="3621"/>
    <cellStyle name="Accent4 4" xfId="3622"/>
    <cellStyle name="Accent2 4" xfId="3623"/>
    <cellStyle name="Accent1 4" xfId="3624"/>
    <cellStyle name="Accent3 4" xfId="3625"/>
    <cellStyle name="Accent5 4" xfId="3626"/>
    <cellStyle name="Saída 2 2" xfId="3627"/>
    <cellStyle name="SAPBEXHLevel0 6" xfId="3628"/>
    <cellStyle name="SAPBEXundefined 4 3" xfId="3629"/>
    <cellStyle name="SAPBEXexcGood1 4 3" xfId="3630"/>
    <cellStyle name="SAPBEXHLevel2X 6" xfId="3631"/>
    <cellStyle name="SAPBEXformats 2 3" xfId="3632"/>
    <cellStyle name="SAPBEXstdItemX 6" xfId="3633"/>
    <cellStyle name="Entrada 5" xfId="3634"/>
    <cellStyle name="Accent1 15" xfId="3635"/>
    <cellStyle name="Accent3 9" xfId="3636"/>
    <cellStyle name="Total 2 3" xfId="3637"/>
    <cellStyle name="Nota 5" xfId="3638"/>
    <cellStyle name="Cálculo 3 8" xfId="3639"/>
    <cellStyle name="Calculation 2 4" xfId="3640"/>
    <cellStyle name="SAPBEXresDataEmph 4 6" xfId="3641"/>
    <cellStyle name="Accent3 8" xfId="3642"/>
    <cellStyle name="Accent4 8" xfId="3643"/>
    <cellStyle name="Note 3 7" xfId="3644"/>
    <cellStyle name="SAPBEXItemHeader 2" xfId="3645"/>
    <cellStyle name="Accent5 15" xfId="3646"/>
    <cellStyle name="Accent6 11" xfId="3647"/>
    <cellStyle name="SAPBEXexcCritical6 3 3" xfId="3648"/>
    <cellStyle name="SAPBEXHLevel1X 4 3" xfId="3649"/>
    <cellStyle name="SAPBEXresItem 4 6" xfId="3650"/>
    <cellStyle name="SAPBEXexcGood2 4 3" xfId="3651"/>
    <cellStyle name="SAPBEXHLevel3 8" xfId="3652"/>
    <cellStyle name="SAPBEXaggItem 4 4" xfId="3653"/>
    <cellStyle name="Accent2 15" xfId="3654"/>
    <cellStyle name="Accent4 10" xfId="3655"/>
    <cellStyle name="SAPBEXresDataEmph 4 3" xfId="3656"/>
    <cellStyle name="Accent3 20" xfId="3657"/>
    <cellStyle name="SAPBEXHLevel3X 7" xfId="3658"/>
    <cellStyle name="SAPBEXHLevel3 4 5" xfId="3659"/>
    <cellStyle name="Entrada 2 2" xfId="3660"/>
    <cellStyle name="Calculation 2 3" xfId="3661"/>
    <cellStyle name="Cálculo 3 2" xfId="3662"/>
    <cellStyle name="SAPBEXHLevel3X 4 3" xfId="3663"/>
    <cellStyle name="SAPBEXaggItem 2 5" xfId="3664"/>
    <cellStyle name="SAPBEXHLevel2 4 3" xfId="3665"/>
    <cellStyle name="SAPBEXHLevel3 6" xfId="3666"/>
    <cellStyle name="SAPBEXaggItemX 6" xfId="3667"/>
    <cellStyle name="SAPBEXresData 5" xfId="3668"/>
    <cellStyle name="SAPBEXHLevel1X 3 3" xfId="3669"/>
    <cellStyle name="Accent2 12" xfId="3670"/>
    <cellStyle name="Entrada 3 2" xfId="3671"/>
    <cellStyle name="Nota 7" xfId="3672"/>
    <cellStyle name="SAPBEXundefined 3 2" xfId="3673"/>
    <cellStyle name="SAPBEXstdDataEmph 2 5" xfId="3674"/>
    <cellStyle name="Input 2 3" xfId="3675"/>
    <cellStyle name="SAPBEXexcGood3 3 3" xfId="3676"/>
    <cellStyle name="SAPBEXHLevel2X 3 6" xfId="3677"/>
    <cellStyle name="Normal 36" xfId="3678"/>
    <cellStyle name="Nota 3 2" xfId="3679"/>
    <cellStyle name="Note 3 4" xfId="3680"/>
    <cellStyle name="SAPBEXexcCritical5 5" xfId="3681"/>
    <cellStyle name="SAPBEXHLevel0 3 3" xfId="3682"/>
    <cellStyle name="SAPBEXaggData 4 2" xfId="3683"/>
    <cellStyle name="SAPBEXaggData 2 4" xfId="3684"/>
    <cellStyle name="SAPBEXaggDataEmph 4 2" xfId="3685"/>
    <cellStyle name="SAPBEXaggDataEmph 2 4" xfId="3686"/>
    <cellStyle name="SAPBEXaggItem 4 2" xfId="3687"/>
    <cellStyle name="SAPBEXaggItem 2 4" xfId="3688"/>
    <cellStyle name="SAPBEXaggItemX 4 2" xfId="3689"/>
    <cellStyle name="SAPBEXexcGood2 2 5" xfId="3690"/>
    <cellStyle name="SAPBEXHLevel0X 3 3" xfId="3691"/>
    <cellStyle name="SAPBEXstdItem 5" xfId="3692"/>
    <cellStyle name="SAPBEXexcBad7 4 2" xfId="3693"/>
    <cellStyle name="SAPBEXexcBad7 2 4" xfId="3694"/>
    <cellStyle name="SAPBEXexcBad8 4 2" xfId="3695"/>
    <cellStyle name="SAPBEXexcBad8 2 4" xfId="3696"/>
    <cellStyle name="SAPBEXexcBad9 4 2" xfId="3697"/>
    <cellStyle name="SAPBEXexcBad9 2 4" xfId="3698"/>
    <cellStyle name="SAPBEXexcCritical4 4 2" xfId="3699"/>
    <cellStyle name="SAPBEXexcCritical4 2 4" xfId="3700"/>
    <cellStyle name="SAPBEXexcCritical5 4 2" xfId="3701"/>
    <cellStyle name="SAPBEXexcCritical5 2 4" xfId="3702"/>
    <cellStyle name="SAPBEXexcCritical6 4 2" xfId="3703"/>
    <cellStyle name="SAPBEXexcCritical6 2 4" xfId="3704"/>
    <cellStyle name="SAPBEXexcGood1 4 2" xfId="3705"/>
    <cellStyle name="SAPBEXexcGood1 2 4" xfId="3706"/>
    <cellStyle name="SAPBEXexcGood2 4 2" xfId="3707"/>
    <cellStyle name="SAPBEXexcGood2 2 4" xfId="3708"/>
    <cellStyle name="SAPBEXexcGood3 4 2" xfId="3709"/>
    <cellStyle name="SAPBEXexcGood3 2 4" xfId="3710"/>
    <cellStyle name="SAPBEXresItem 4 7" xfId="3711"/>
    <cellStyle name="SAPBEXresItemX 8" xfId="3712"/>
    <cellStyle name="SAPBEXstdItemX 3 3" xfId="3713"/>
    <cellStyle name="SAPBEXstdData 5" xfId="3714"/>
    <cellStyle name="SAPBEXexcBad9 4 3" xfId="3715"/>
    <cellStyle name="SAPBEXHLevel0X 4 6" xfId="3716"/>
    <cellStyle name="SAPBEXformats 4 2" xfId="3717"/>
    <cellStyle name="SAPBEXformats 2 2 3" xfId="3718"/>
    <cellStyle name="Accent6 13" xfId="3719"/>
    <cellStyle name="SAPBEXexcGood3 4 3" xfId="3720"/>
    <cellStyle name="SAPBEXexcCritical4 4 3" xfId="3721"/>
    <cellStyle name="Accent4 13" xfId="3722"/>
    <cellStyle name="SAPBEXHLevel0 4 2" xfId="3723"/>
    <cellStyle name="SAPBEXHLevel0X 4 2" xfId="3724"/>
    <cellStyle name="Entrada 2 3" xfId="3725"/>
    <cellStyle name="SAPBEXHLevel1 4 2" xfId="3726"/>
    <cellStyle name="SAPBEXformats 5" xfId="3727"/>
    <cellStyle name="SAPBEXHLevel1X 4 2" xfId="3728"/>
    <cellStyle name="SAPBEXresDataEmph 5" xfId="3729"/>
    <cellStyle name="SAPBEXHLevel2 4 2" xfId="3730"/>
    <cellStyle name="Output 5" xfId="3731"/>
    <cellStyle name="SAPBEXHLevel2X 4 2" xfId="3732"/>
    <cellStyle name="SAPBEXexcGood1 3 3" xfId="3733"/>
    <cellStyle name="SAPBEXHLevel3 4 2" xfId="3734"/>
    <cellStyle name="Output 2 3" xfId="3735"/>
    <cellStyle name="SAPBEXHLevel3X 4 2" xfId="3736"/>
    <cellStyle name="SAPBEXresItem 7" xfId="3737"/>
    <cellStyle name="SAPBEXinputData 4 2" xfId="3738"/>
    <cellStyle name="Accent1 11" xfId="3739"/>
    <cellStyle name="SAPBEXresData 4 2" xfId="3740"/>
    <cellStyle name="SAPBEXresData 2 4" xfId="3741"/>
    <cellStyle name="SAPBEXresDataEmph 4 2" xfId="3742"/>
    <cellStyle name="SAPBEXresDataEmph 2 4" xfId="3743"/>
    <cellStyle name="SAPBEXresItem 4 2" xfId="3744"/>
    <cellStyle name="SAPBEXresItem 2 3" xfId="3745"/>
    <cellStyle name="SAPBEXresItemX 4 2" xfId="3746"/>
    <cellStyle name="Input 2 4" xfId="3747"/>
    <cellStyle name="SAPBEXstdData 4 2" xfId="3748"/>
    <cellStyle name="SAPBEXstdData 2 4" xfId="3749"/>
    <cellStyle name="SAPBEXstdDataEmph 4 2" xfId="3750"/>
    <cellStyle name="SAPBEXstdDataEmph 2 4" xfId="3751"/>
    <cellStyle name="SAPBEXstdItem 4 2" xfId="3752"/>
    <cellStyle name="SAPBEXstdItem 2 2 3" xfId="3753"/>
    <cellStyle name="SAPBEXstdItemX 4 2" xfId="3754"/>
    <cellStyle name="Accent2 7" xfId="3755"/>
    <cellStyle name="SAPBEXtitle 4 2" xfId="3756"/>
    <cellStyle name="SAPBEXtitle 2 3" xfId="3757"/>
    <cellStyle name="SAPBEXundefined 4 2" xfId="3758"/>
    <cellStyle name="SAPBEXundefined 2 4" xfId="3759"/>
    <cellStyle name="SAPBEXundefined 5" xfId="3760"/>
    <cellStyle name="SAPBEXexcCritical4 3 3" xfId="3761"/>
    <cellStyle name="SAPBEXexcCritical4 2 5" xfId="3762"/>
    <cellStyle name="Accent6 12" xfId="3763"/>
    <cellStyle name="SAPBEXaggData 2 6" xfId="3764"/>
    <cellStyle name="SAPBEXaggItem 4 3" xfId="3765"/>
    <cellStyle name="Calculation 8" xfId="3766"/>
    <cellStyle name="SAPBEXinputData 9" xfId="3767"/>
    <cellStyle name="SAPBEXtitle 6" xfId="3768"/>
    <cellStyle name="Entrada 7" xfId="3769"/>
    <cellStyle name="SAPBEXaggDataEmph 4 4" xfId="3770"/>
    <cellStyle name="SAPBEXresItem 2 6" xfId="3771"/>
    <cellStyle name="Nota 3 3" xfId="3772"/>
    <cellStyle name="Accent5 20" xfId="3773"/>
    <cellStyle name="SAPBEXexcGood1 2 5" xfId="3774"/>
    <cellStyle name="Accent2 14" xfId="3775"/>
    <cellStyle name="SAPBEXHLevel3X 4 6" xfId="3776"/>
    <cellStyle name="SAPBEXexcCritical4 5" xfId="3777"/>
    <cellStyle name="SAPBEXunassignedItem 2" xfId="3778"/>
    <cellStyle name="Accent3 10" xfId="3779"/>
    <cellStyle name="Accent5 13" xfId="3780"/>
    <cellStyle name="Note 2 3" xfId="3781"/>
    <cellStyle name="SAPBEXstdData 4 3" xfId="3782"/>
    <cellStyle name="SAPBEXHLevel0 3 2" xfId="3783"/>
    <cellStyle name="SAPBEXHLevel0X 3 2" xfId="3784"/>
    <cellStyle name="SAPBEXHLevel1 3 2" xfId="3785"/>
    <cellStyle name="SAPBEXHLevel1X 3 2" xfId="3786"/>
    <cellStyle name="SAPBEXHLevel2 3 2" xfId="3787"/>
    <cellStyle name="SAPBEXHLevel2X 3 2" xfId="3788"/>
    <cellStyle name="SAPBEXHLevel3 3 2" xfId="3789"/>
    <cellStyle name="SAPBEXHLevel3X 3 2" xfId="3790"/>
    <cellStyle name="SAPBEXinputData 3 2" xfId="3791"/>
    <cellStyle name="SAPBEXHLevel1X 4 5" xfId="3792"/>
    <cellStyle name="SAPBEXaggData 4 5" xfId="3793"/>
    <cellStyle name="SAPBEXHLevel0 7" xfId="3794"/>
    <cellStyle name="SAPBEXunassignedItem 6" xfId="3795"/>
    <cellStyle name="Nota 2 2" xfId="3796"/>
    <cellStyle name="SAPBEXstdData 2 8" xfId="3797"/>
    <cellStyle name="Accent5 11" xfId="3798"/>
    <cellStyle name="SAPBEXaggDataEmph 2 5" xfId="3799"/>
    <cellStyle name="SAPBEXaggData 4 3" xfId="3800"/>
    <cellStyle name="SAPBEXHLevel1 4 3" xfId="3801"/>
    <cellStyle name="SAPBEXresItem 3 6" xfId="3802"/>
    <cellStyle name="SAPBEXunassignedItem 7" xfId="3803"/>
    <cellStyle name="SAPBEXexcBad7 2 5" xfId="3804"/>
    <cellStyle name="Saída 2 3" xfId="3805"/>
    <cellStyle name="SAPBEXresItem 3 3" xfId="3806"/>
    <cellStyle name="SAPBEXresData 3 3" xfId="3807"/>
    <cellStyle name="Entrada 3 4" xfId="3808"/>
    <cellStyle name="SAPBEXHLevel1X 4 7" xfId="3809"/>
    <cellStyle name="Accent5 12" xfId="3810"/>
    <cellStyle name="Normal 38" xfId="3811"/>
    <cellStyle name="Cálculo 3 3" xfId="3812"/>
    <cellStyle name="SAPBEXchaText 3 3" xfId="3813"/>
    <cellStyle name="SAPBEXinputData 8" xfId="3814"/>
    <cellStyle name="SAPBEXresDataEmph 2 5" xfId="3815"/>
    <cellStyle name="SAPBEXHLevel1X 4 8" xfId="3816"/>
    <cellStyle name="SAPBEXexcBad8 4 3" xfId="3817"/>
    <cellStyle name="Normal 45" xfId="3818"/>
    <cellStyle name="SAPBEXfilterDrill 3 2" xfId="3819"/>
    <cellStyle name="SAPBEXstdItem 2 4" xfId="3820"/>
    <cellStyle name="Calculation 2 6" xfId="3821"/>
    <cellStyle name="Accent5 9" xfId="3822"/>
    <cellStyle name="SAPBEXHLevel2 3 3" xfId="3823"/>
    <cellStyle name="SAPBEXexcCritical6 5" xfId="3824"/>
    <cellStyle name="SAPBEXaggItemX 3 2" xfId="3825"/>
    <cellStyle name="Normal 40" xfId="3826"/>
    <cellStyle name="SAPBEXHLevel2X 4 5" xfId="3827"/>
    <cellStyle name="SAPBEXexcBad8 3 3" xfId="3828"/>
    <cellStyle name="SAPBEXinputData 3 4" xfId="3829"/>
    <cellStyle name="SAPBEXexcBad9 2 5" xfId="3830"/>
    <cellStyle name="Accent2 8" xfId="3831"/>
    <cellStyle name="SAPBEXaggItem 2 6" xfId="3832"/>
    <cellStyle name="SAPBEXaggItemX 4 6" xfId="3833"/>
    <cellStyle name="SAPBEXHLevel2 4 5" xfId="3834"/>
    <cellStyle name="SAPBEXHLevel0 4 5" xfId="3835"/>
    <cellStyle name="SAPBEXaggDataEmph 2 10" xfId="3836"/>
    <cellStyle name="SAPBEXtitle 3 3" xfId="3837"/>
    <cellStyle name="SAPBEXresData 3 2" xfId="3838"/>
    <cellStyle name="SAPBEXresDataEmph 3 2" xfId="3839"/>
    <cellStyle name="SAPBEXresItem 3 2" xfId="3840"/>
    <cellStyle name="SAPBEXresItemX 3 2" xfId="3841"/>
    <cellStyle name="SAPBEXstdData 3 3" xfId="3842"/>
    <cellStyle name="Accent6 7" xfId="3843"/>
    <cellStyle name="Accent4 7" xfId="3844"/>
    <cellStyle name="SAPBEXstdItemX 3 2" xfId="3845"/>
    <cellStyle name="Accent1 7" xfId="3846"/>
    <cellStyle name="SAPBEXfilterItem 3 2" xfId="3847"/>
    <cellStyle name="SAPBEXaggItemX 7" xfId="3848"/>
    <cellStyle name="SAPBEXtitle 4 3" xfId="3849"/>
    <cellStyle name="SAPBEXexcCritical6 4 6" xfId="3850"/>
    <cellStyle name="Nota 8" xfId="3851"/>
    <cellStyle name="SAPBEXundefined 2 5" xfId="3852"/>
    <cellStyle name="SAPBEXHLevel2X 7" xfId="3853"/>
    <cellStyle name="SAPBEXaggDataEmph 3 2" xfId="3854"/>
    <cellStyle name="Accent5 14" xfId="3855"/>
    <cellStyle name="SAPBEXHLevel2X 9" xfId="3856"/>
    <cellStyle name="Accent5 19" xfId="3857"/>
    <cellStyle name="Normal 32" xfId="3858"/>
    <cellStyle name="Accent4 15" xfId="3859"/>
    <cellStyle name="SAPBEXformats 3 2" xfId="3860"/>
    <cellStyle name="SAPBEXHLevel0 3 8" xfId="3861"/>
    <cellStyle name="SAPBEXexcBad8 2 5" xfId="3862"/>
    <cellStyle name="Calculation 6" xfId="3863"/>
    <cellStyle name="SAPBEXfilterItem 3 3" xfId="3864"/>
    <cellStyle name="Total 4" xfId="3865"/>
    <cellStyle name="SAPBEXundefined 4 7" xfId="3866"/>
    <cellStyle name="Accent3 13" xfId="3867"/>
    <cellStyle name="Accent1 8" xfId="3868"/>
    <cellStyle name="SAPBEXexcBad7 2 6" xfId="3869"/>
    <cellStyle name="Normal 44" xfId="3870"/>
    <cellStyle name="SAPBEXresData 3 6" xfId="3871"/>
    <cellStyle name="SAPBEXresData 4 3" xfId="3872"/>
    <cellStyle name="Accent2 18" xfId="3873"/>
    <cellStyle name="Output 4" xfId="3874"/>
    <cellStyle name="SAPBEXaggItem 4 8" xfId="3875"/>
    <cellStyle name="Cálculo 2 3" xfId="3876"/>
    <cellStyle name="SAPBEXexcGood3 2 7" xfId="3877"/>
    <cellStyle name="SAPBEXfilterDrill 3 3" xfId="3878"/>
    <cellStyle name="SAPBEXexcCritical6 2 5" xfId="3879"/>
    <cellStyle name="SAPBEXexcBad8 4 5" xfId="3880"/>
    <cellStyle name="Total 3 3" xfId="3881"/>
    <cellStyle name="Note 3 5" xfId="3882"/>
    <cellStyle name="Accent4 23" xfId="3883"/>
    <cellStyle name="SAPBEXHLevel2X 3 3" xfId="3884"/>
    <cellStyle name="SAPBEXaggItemX 3 3" xfId="3885"/>
    <cellStyle name="SAPBEXunassignedItem 3" xfId="3886"/>
    <cellStyle name="SAPBEXaggDataEmph 3 3" xfId="3887"/>
    <cellStyle name="SAPBEXstdData 3 2" xfId="3888"/>
    <cellStyle name="Input 2 6" xfId="3889"/>
    <cellStyle name="SAPBEXexcCritical5 3 2" xfId="3890"/>
    <cellStyle name="SAPBEXaggData 2 8" xfId="3891"/>
    <cellStyle name="Normal 35" xfId="3892"/>
    <cellStyle name="Note 2 4" xfId="3893"/>
    <cellStyle name="Calculation 7" xfId="3894"/>
    <cellStyle name="SAPBEXformats 3 7" xfId="3895"/>
    <cellStyle name="SAPBEXfilterItem 3 6" xfId="3896"/>
    <cellStyle name="SAPBEXexcBad7 4 4" xfId="3897"/>
    <cellStyle name="SAPBEXstdItemX 4 3" xfId="3898"/>
    <cellStyle name="SAPBEXinputData 3 3" xfId="3899"/>
    <cellStyle name="Note 2 7" xfId="3900"/>
    <cellStyle name="SAPBEXstdItem 4 3" xfId="3901"/>
    <cellStyle name="SAPBEXHLevel3X 3 3" xfId="3902"/>
    <cellStyle name="SAPBEXaggDataEmph 5" xfId="3903"/>
    <cellStyle name="SAPBEXaggData 4 4" xfId="3904"/>
    <cellStyle name="Saída 3 2" xfId="3905"/>
    <cellStyle name="Accent4 17" xfId="3906"/>
    <cellStyle name="SAPBEXresItem 6" xfId="3907"/>
    <cellStyle name="SAPBEXexcGood2 3 2" xfId="3908"/>
    <cellStyle name="SAPBEXHLevel1X 7" xfId="3909"/>
    <cellStyle name="SAPBEXexcBad8 4 4" xfId="3910"/>
    <cellStyle name="SAPBEXexcCritical5 4 5" xfId="3911"/>
    <cellStyle name="SAPBEXresItemX 10" xfId="3912"/>
    <cellStyle name="Entrada 8" xfId="3913"/>
    <cellStyle name="SAPBEXexcGood3 4 5" xfId="3914"/>
    <cellStyle name="SAPBEXexcBad9 4 7" xfId="3915"/>
    <cellStyle name="SAPBEXexcCritical6 3 2" xfId="3916"/>
    <cellStyle name="SAPBEXexcGood1 3 2" xfId="3917"/>
    <cellStyle name="Accent1 14" xfId="3918"/>
    <cellStyle name="SAPBEXexcGood2 3 3" xfId="3919"/>
    <cellStyle name="Accent1 9" xfId="3920"/>
    <cellStyle name="Accent4 9" xfId="3921"/>
    <cellStyle name="SAPBEXformats 4 5" xfId="3922"/>
    <cellStyle name="SAPBEXresItemX 3 3" xfId="3923"/>
    <cellStyle name="Accent3 14" xfId="3924"/>
    <cellStyle name="Accent2 10" xfId="3925"/>
    <cellStyle name="SAPBEXstdDataEmph 3 3" xfId="3926"/>
    <cellStyle name="SAPBEXaggItem 5" xfId="3927"/>
    <cellStyle name="SAPBEXexcCritical4 3 7" xfId="3928"/>
    <cellStyle name="SAPBEXaggDataEmph 4 5" xfId="3929"/>
    <cellStyle name="Nota 3 6" xfId="3930"/>
    <cellStyle name="SAPBEXexcBad7 4 3" xfId="3931"/>
    <cellStyle name="SAPBEXresData 2 5" xfId="3932"/>
    <cellStyle name="SAPBEXHLevel0 4 3" xfId="3933"/>
    <cellStyle name="SAPBEXexcBad9 3 6" xfId="3934"/>
    <cellStyle name="Accent3 15" xfId="3935"/>
    <cellStyle name="SAPBEXexcBad7 2 7" xfId="3936"/>
    <cellStyle name="Accent4 19" xfId="3937"/>
    <cellStyle name="SAPBEXexcGood2 4 5" xfId="3938"/>
    <cellStyle name="SAPBEXaggData 3 2" xfId="3939"/>
    <cellStyle name="SAPBEXtitle 2 4" xfId="3940"/>
    <cellStyle name="SAPBEXresDataEmph 3 3" xfId="3941"/>
    <cellStyle name="SAPBEXaggData 3 3" xfId="3942"/>
    <cellStyle name="SAPBEXHLevel1 4 5" xfId="3943"/>
    <cellStyle name="SAPBEXchaText 3 2" xfId="3944"/>
    <cellStyle name="Accent2 11" xfId="3945"/>
    <cellStyle name="SAPBEXexcBad9 2 7" xfId="3946"/>
    <cellStyle name="Accent5 8" xfId="3947"/>
    <cellStyle name="SAPBEXformats 4 3" xfId="3948"/>
    <cellStyle name="Entrada 2 7" xfId="3949"/>
    <cellStyle name="SAPBEXinputData 7" xfId="3950"/>
    <cellStyle name="Accent4 27" xfId="3951"/>
    <cellStyle name="SAPBEXexcBad7 3 3" xfId="3952"/>
    <cellStyle name="SAPBEXexcBad8 3 2" xfId="3953"/>
    <cellStyle name="SAPBEXaggItem 3 3" xfId="3954"/>
    <cellStyle name="Normal 33" xfId="3955"/>
    <cellStyle name="SAPBEXresItemX 7" xfId="3956"/>
    <cellStyle name="SAPBEXaggItemX 10" xfId="3957"/>
    <cellStyle name="Calculation 10" xfId="3958"/>
    <cellStyle name="SAPBEXexcGood3 4 8" xfId="3959"/>
    <cellStyle name="SAPBEXstdData 4 7" xfId="3960"/>
    <cellStyle name="SAPBEXHLevel1 3 3" xfId="3961"/>
    <cellStyle name="Cálculo 2 7" xfId="3962"/>
    <cellStyle name="Normal 34" xfId="3963"/>
    <cellStyle name="SAPBEXexcGood2 5" xfId="3964"/>
    <cellStyle name="SAPBEXstdItem 2 7" xfId="3965"/>
    <cellStyle name="SAPBEXresItemX 4 3" xfId="3966"/>
    <cellStyle name="SAPBEXstdDataEmph 4 3" xfId="3967"/>
    <cellStyle name="SAPBEXexcGood3 3 2" xfId="3968"/>
    <cellStyle name="SAPBEXtitle 2 9" xfId="3969"/>
    <cellStyle name="Accent3 11" xfId="3970"/>
    <cellStyle name="SAPBEXexcBad8 4 7" xfId="3971"/>
    <cellStyle name="SAPBEXexcCritical5 2 5" xfId="3972"/>
    <cellStyle name="SAPBEXHLevel1 5" xfId="3973"/>
    <cellStyle name="Accent3 12" xfId="3974"/>
    <cellStyle name="SAPBEXexcGood3 2 5" xfId="3975"/>
    <cellStyle name="Entrada 3 5" xfId="3976"/>
    <cellStyle name="Output 2 4" xfId="3977"/>
    <cellStyle name="SAPBEXexcCritical5 3 3" xfId="3978"/>
    <cellStyle name="Accent2 13" xfId="3979"/>
    <cellStyle name="SAPBEXexcBad9 3 2" xfId="3980"/>
    <cellStyle name="Note 3 8" xfId="3981"/>
    <cellStyle name="SAPBEXaggItem 3 2" xfId="3982"/>
    <cellStyle name="Accent4 14" xfId="3983"/>
    <cellStyle name="SAPBEXunassignedItem 4" xfId="3984"/>
    <cellStyle name="Nota 6" xfId="3985"/>
    <cellStyle name="SAPBEXexcGood1 2 7" xfId="3986"/>
    <cellStyle name="SAPBEXHLevel0X 4 3" xfId="3987"/>
    <cellStyle name="Cálculo 3 4" xfId="3988"/>
    <cellStyle name="SAPBEXstdItem 2 6" xfId="3989"/>
    <cellStyle name="SAPBEXtitle 8" xfId="3990"/>
    <cellStyle name="SAPBEXHLevel3 9" xfId="3991"/>
    <cellStyle name="SAPBEXHLevel2 5" xfId="3992"/>
    <cellStyle name="SAPBEXaggItemX 4 5" xfId="3993"/>
    <cellStyle name="SAPBEXresData 2 8" xfId="3994"/>
    <cellStyle name="SAPBEXexcGood1 5" xfId="3995"/>
    <cellStyle name="SAPBEXexcBad8 5" xfId="3996"/>
    <cellStyle name="SAPBEXaggData 5" xfId="3997"/>
    <cellStyle name="Accent6 17" xfId="3998"/>
    <cellStyle name="Accent6 14" xfId="3999"/>
    <cellStyle name="SAPBEXstdItem 2 5" xfId="4000"/>
    <cellStyle name="Input 2 5" xfId="4001"/>
    <cellStyle name="Nota 3 4" xfId="4002"/>
    <cellStyle name="Saída 3 3" xfId="4003"/>
    <cellStyle name="SAPBEXaggDataEmph 2 6" xfId="4004"/>
    <cellStyle name="SAPBEXexcBad8 2 6" xfId="4005"/>
    <cellStyle name="SAPBEXexcCritical4 2 7" xfId="4006"/>
    <cellStyle name="SAPBEXexcBad9 4 4" xfId="4007"/>
    <cellStyle name="SAPBEXHLevel2X 4 3" xfId="4008"/>
    <cellStyle name="Normal 39" xfId="4009"/>
    <cellStyle name="SAPBEXHLevel3 4 3" xfId="4010"/>
    <cellStyle name="SAPBEXaggItem 2 7" xfId="4011"/>
    <cellStyle name="Nota 2 3" xfId="4012"/>
    <cellStyle name="SAPBEXHLevel3 3 3" xfId="4013"/>
    <cellStyle name="Accent2 17" xfId="4014"/>
    <cellStyle name="Output 3 3" xfId="4015"/>
    <cellStyle name="Saída 4 2" xfId="4016"/>
    <cellStyle name="SAPBEXaggItemX 8" xfId="4017"/>
    <cellStyle name="SAPBEXresData 4 7" xfId="4018"/>
    <cellStyle name="SAPBEXinputData 3 8" xfId="4019"/>
    <cellStyle name="SAPBEXexcBad8 3 7" xfId="4020"/>
    <cellStyle name="Saída 2 2 2" xfId="4021"/>
    <cellStyle name="SAPBEXexcBad9 2 6" xfId="4022"/>
    <cellStyle name="SAPBEXexcCritical4 4 4" xfId="4023"/>
    <cellStyle name="SAPBEXexcCritical4 2 6" xfId="4024"/>
    <cellStyle name="SAPBEXexcCritical5 4 4" xfId="4025"/>
    <cellStyle name="SAPBEXexcCritical5 2 6" xfId="4026"/>
    <cellStyle name="SAPBEXexcCritical6 4 4" xfId="4027"/>
    <cellStyle name="SAPBEXexcCritical6 2 6" xfId="4028"/>
    <cellStyle name="SAPBEXexcGood1 4 4" xfId="4029"/>
    <cellStyle name="SAPBEXexcGood1 2 6" xfId="4030"/>
    <cellStyle name="SAPBEXexcGood2 4 4" xfId="4031"/>
    <cellStyle name="SAPBEXexcGood2 2 6" xfId="4032"/>
    <cellStyle name="SAPBEXexcGood3 4 4" xfId="4033"/>
    <cellStyle name="SAPBEXexcGood3 2 6" xfId="4034"/>
    <cellStyle name="SAPBEXHLevel0X 8" xfId="4035"/>
    <cellStyle name="SAPBEXHLevel1X 8" xfId="4036"/>
    <cellStyle name="SAPBEXHLevel3X 8" xfId="4037"/>
    <cellStyle name="SAPBEXexcGood3 4 6" xfId="4038"/>
    <cellStyle name="SAPBEXformats 4 4" xfId="4039"/>
    <cellStyle name="SAPBEXformats 2 2 5" xfId="4040"/>
    <cellStyle name="SAPBEXtitle 7" xfId="4041"/>
    <cellStyle name="SAPBEXHLevel0 3 7" xfId="4042"/>
    <cellStyle name="SAPBEXexcBad8 3 6" xfId="4043"/>
    <cellStyle name="SAPBEXHLevel0 4 4" xfId="4044"/>
    <cellStyle name="SAPBEXexcCritical4 3 6" xfId="4045"/>
    <cellStyle name="SAPBEXHLevel0X 4 4" xfId="4046"/>
    <cellStyle name="SAPBEXexcGood3 3 6" xfId="4047"/>
    <cellStyle name="SAPBEXHLevel1 4 4" xfId="4048"/>
    <cellStyle name="SAPBEXHLevel1X 4 4" xfId="4049"/>
    <cellStyle name="SAPBEXexcCritical6 3 6" xfId="4050"/>
    <cellStyle name="SAPBEXHLevel2 4 4" xfId="4051"/>
    <cellStyle name="Calculation 2 7" xfId="4052"/>
    <cellStyle name="SAPBEXHLevel2X 4 4" xfId="4053"/>
    <cellStyle name="SAPBEXHLevel3 4 4" xfId="4054"/>
    <cellStyle name="SAPBEXundefined 2 8" xfId="4055"/>
    <cellStyle name="SAPBEXHLevel3X 4 4" xfId="4056"/>
    <cellStyle name="Accent6 16" xfId="4057"/>
    <cellStyle name="SAPBEXresData 4 4" xfId="4058"/>
    <cellStyle name="SAPBEXresData 2 6" xfId="4059"/>
    <cellStyle name="SAPBEXresDataEmph 4 4" xfId="4060"/>
    <cellStyle name="SAPBEXresDataEmph 2 6" xfId="4061"/>
    <cellStyle name="SAPBEXresItem 4 4" xfId="4062"/>
    <cellStyle name="SAPBEXresItem 2 5" xfId="4063"/>
    <cellStyle name="SAPBEXresItemX 4 4" xfId="4064"/>
    <cellStyle name="Accent1 16" xfId="4065"/>
    <cellStyle name="SAPBEXstdData 4 4" xfId="4066"/>
    <cellStyle name="SAPBEXstdData 2 6" xfId="4067"/>
    <cellStyle name="SAPBEXstdDataEmph 4 4" xfId="4068"/>
    <cellStyle name="SAPBEXstdDataEmph 2 6" xfId="4069"/>
    <cellStyle name="SAPBEXstdItem 4 4" xfId="4070"/>
    <cellStyle name="SAPBEXstdItem 2 2 5" xfId="4071"/>
    <cellStyle name="SAPBEXstdItemX 4 4" xfId="4072"/>
    <cellStyle name="SAPBEXtitle 4 4" xfId="4073"/>
    <cellStyle name="SAPBEXtitle 2 5" xfId="4074"/>
    <cellStyle name="SAPBEXundefined 4 4" xfId="4075"/>
    <cellStyle name="SAPBEXundefined 2 6" xfId="4076"/>
    <cellStyle name="SAPBEXaggItemX 11" xfId="4077"/>
    <cellStyle name="SAPBEXstdItemX 4 8" xfId="4078"/>
    <cellStyle name="SAPBEXresItem 4 5" xfId="4079"/>
    <cellStyle name="SAPBEXexcCritical4 2 8" xfId="4080"/>
    <cellStyle name="Total 3 4" xfId="4081"/>
    <cellStyle name="SAPBEXaggItem 2 9" xfId="4082"/>
    <cellStyle name="Entrada 11" xfId="4083"/>
    <cellStyle name="SAPBEXexcBad8 2 8" xfId="4084"/>
    <cellStyle name="Accent4 18" xfId="4085"/>
    <cellStyle name="SAPBEXstdDataEmph 2 8" xfId="4086"/>
    <cellStyle name="Normal 41" xfId="4087"/>
    <cellStyle name="SAPBEXexcGood3 3 7" xfId="4088"/>
    <cellStyle name="SAPBEXaggItemX 3 7" xfId="4089"/>
    <cellStyle name="SAPBEXfilterDrill 3 6" xfId="4090"/>
    <cellStyle name="SAPBEXtitle 3 6" xfId="4091"/>
    <cellStyle name="Input 2 7" xfId="4092"/>
    <cellStyle name="SAPBEXItemHeader 3" xfId="4093"/>
    <cellStyle name="Note 2 8" xfId="4094"/>
    <cellStyle name="SAPBEXexcGood1 2 8" xfId="4095"/>
    <cellStyle name="Note 2 5" xfId="4096"/>
    <cellStyle name="SAPBEXHLevel0X 3 6" xfId="4097"/>
    <cellStyle name="SAPBEXaggItemX 3 6" xfId="4098"/>
    <cellStyle name="SAPBEXHLevel0 3 4" xfId="4099"/>
    <cellStyle name="SAPBEXHLevel0X 3 4" xfId="4100"/>
    <cellStyle name="SAPBEXHLevel1 3 4" xfId="4101"/>
    <cellStyle name="SAPBEXHLevel1X 3 4" xfId="4102"/>
    <cellStyle name="SAPBEXHLevel2 3 4" xfId="4103"/>
    <cellStyle name="SAPBEXHLevel2X 3 4" xfId="4104"/>
    <cellStyle name="SAPBEXHLevel3 3 4" xfId="4105"/>
    <cellStyle name="SAPBEXHLevel3X 3 4" xfId="4106"/>
    <cellStyle name="Accent4 25" xfId="4107"/>
    <cellStyle name="SAPBEXexcGood2 2 7" xfId="4108"/>
    <cellStyle name="SAPBEXexcGood1 4 5" xfId="4109"/>
    <cellStyle name="SAPBEXexcCritical5 2 7" xfId="4110"/>
    <cellStyle name="SAPBEXexcCritical4 4 5" xfId="4111"/>
    <cellStyle name="SAPBEXexcBad8 2 7" xfId="4112"/>
    <cellStyle name="SAPBEXexcBad7 4 5" xfId="4113"/>
    <cellStyle name="SAPBEXaggItem 4 5" xfId="4114"/>
    <cellStyle name="SAPBEXaggDataEmph 2 7" xfId="4115"/>
    <cellStyle name="Accent2 20" xfId="4116"/>
    <cellStyle name="Nota 3 5" xfId="4117"/>
    <cellStyle name="Cálculo 2 4" xfId="4118"/>
    <cellStyle name="Cálculo 3 5" xfId="4119"/>
    <cellStyle name="SAPBEXexcBad8 4 6" xfId="4120"/>
    <cellStyle name="SAPBEXexcCritical4 4 6" xfId="4121"/>
    <cellStyle name="SAPBEXHLevel3X 4 7" xfId="4122"/>
    <cellStyle name="SAPBEXHLevel0 4 6" xfId="4123"/>
    <cellStyle name="SAPBEXundefined 2 9" xfId="4124"/>
    <cellStyle name="SAPBEXexcCritical4 4 8" xfId="4125"/>
    <cellStyle name="SAPBEXaggDataEmph 2 8" xfId="4126"/>
    <cellStyle name="Entrada 2 4" xfId="4127"/>
    <cellStyle name="SAPBEXresData 2 9" xfId="4128"/>
    <cellStyle name="Nota 2 4" xfId="4129"/>
    <cellStyle name="SAPBEXaggData 3 4" xfId="4130"/>
    <cellStyle name="SAPBEXaggDataEmph 3 4" xfId="4131"/>
    <cellStyle name="SAPBEXaggItem 3 4" xfId="4132"/>
    <cellStyle name="SAPBEXaggItemX 3 4" xfId="4133"/>
    <cellStyle name="SAPBEXchaText 3 4" xfId="4134"/>
    <cellStyle name="SAPBEXexcBad7 3 4" xfId="4135"/>
    <cellStyle name="SAPBEXexcBad8 3 4" xfId="4136"/>
    <cellStyle name="SAPBEXexcBad9 3 4" xfId="4137"/>
    <cellStyle name="SAPBEXexcCritical4 3 4" xfId="4138"/>
    <cellStyle name="SAPBEXexcCritical5 3 4" xfId="4139"/>
    <cellStyle name="SAPBEXexcCritical6 3 4" xfId="4140"/>
    <cellStyle name="SAPBEXexcGood1 3 4" xfId="4141"/>
    <cellStyle name="SAPBEXexcGood2 3 4" xfId="4142"/>
    <cellStyle name="SAPBEXexcGood3 3 4" xfId="4143"/>
    <cellStyle name="SAPBEXfilterDrill 3 4" xfId="4144"/>
    <cellStyle name="SAPBEXfilterItem 3 4" xfId="4145"/>
    <cellStyle name="SAPBEXformats 3 4" xfId="4146"/>
    <cellStyle name="SAPBEXresData 3 4" xfId="4147"/>
    <cellStyle name="Accent3 16" xfId="4148"/>
    <cellStyle name="SAPBEXresItem 3 4" xfId="4149"/>
    <cellStyle name="SAPBEXresItemX 3 4" xfId="4150"/>
    <cellStyle name="SAPBEXstdData 3 4" xfId="4151"/>
    <cellStyle name="SAPBEXstdDataEmph 3 4" xfId="4152"/>
    <cellStyle name="SAPBEXstdItem 3 4" xfId="4153"/>
    <cellStyle name="SAPBEXstdItemX 3 4" xfId="4154"/>
    <cellStyle name="SAPBEXtitle 3 4" xfId="4155"/>
    <cellStyle name="SAPBEXundefined 3 4" xfId="4156"/>
    <cellStyle name="Accent1 20" xfId="4157"/>
    <cellStyle name="SAPBEXexcBad9 4 6" xfId="4158"/>
    <cellStyle name="Total 2 4" xfId="4159"/>
    <cellStyle name="SAPBEXaggItemX 4 8" xfId="4160"/>
    <cellStyle name="Nota 3 7" xfId="4161"/>
    <cellStyle name="Output 3 4" xfId="4162"/>
    <cellStyle name="Saída 4 3" xfId="4163"/>
    <cellStyle name="SAPBEXHLevel1 3 7" xfId="4164"/>
    <cellStyle name="SAPBEXaggData 2 7" xfId="4165"/>
    <cellStyle name="SAPBEXexcBad9 4 5" xfId="4166"/>
    <cellStyle name="SAPBEXexcCritical6 4 5" xfId="4167"/>
    <cellStyle name="SAPBEXexcBad7 3 6" xfId="4168"/>
    <cellStyle name="Saída 2 2 3" xfId="4169"/>
    <cellStyle name="SAPBEXHLevel3X 4 5" xfId="4170"/>
    <cellStyle name="SAPBEXaggDataEmph 4 7" xfId="4171"/>
    <cellStyle name="SAPBEXinputData 4 5" xfId="4172"/>
    <cellStyle name="SAPBEXexcBad9 2 9" xfId="4173"/>
    <cellStyle name="SAPBEXresData 4 5" xfId="4174"/>
    <cellStyle name="SAPBEXresData 2 7" xfId="4175"/>
    <cellStyle name="SAPBEXresDataEmph 4 5" xfId="4176"/>
    <cellStyle name="SAPBEXresDataEmph 2 7" xfId="4177"/>
    <cellStyle name="SAPBEXresItemX 4 5" xfId="4178"/>
    <cellStyle name="Accent5 17" xfId="4179"/>
    <cellStyle name="SAPBEXstdData 4 5" xfId="4180"/>
    <cellStyle name="SAPBEXstdData 2 7" xfId="4181"/>
    <cellStyle name="SAPBEXstdDataEmph 4 5" xfId="4182"/>
    <cellStyle name="SAPBEXstdDataEmph 2 7" xfId="4183"/>
    <cellStyle name="SAPBEXstdItem 4 5" xfId="4184"/>
    <cellStyle name="SAPBEXstdItem 2 2 6" xfId="4185"/>
    <cellStyle name="SAPBEXstdItemX 4 5" xfId="4186"/>
    <cellStyle name="SAPBEXstdDataEmph 4 8" xfId="4187"/>
    <cellStyle name="SAPBEXexcGood3 2 10" xfId="4188"/>
    <cellStyle name="Calculation 9" xfId="4189"/>
    <cellStyle name="SAPBEXHLevel1X 3 8" xfId="4190"/>
    <cellStyle name="SAPBEXundefined 4 5" xfId="4191"/>
    <cellStyle name="SAPBEXundefined 2 7" xfId="4192"/>
    <cellStyle name="SAPBEXresDataEmph 2 8" xfId="4193"/>
    <cellStyle name="SAPBEXformats 4 6" xfId="4194"/>
    <cellStyle name="SAPBEXexcCritical5 4 6" xfId="4195"/>
    <cellStyle name="SAPBEXHLevel1 4 8" xfId="4196"/>
    <cellStyle name="Nota 9" xfId="4197"/>
    <cellStyle name="Accent3 26" xfId="4198"/>
    <cellStyle name="SAPBEXHLevel3 4 7" xfId="4199"/>
    <cellStyle name="Normal 42" xfId="4200"/>
    <cellStyle name="SAPBEXinputData 11" xfId="4201"/>
    <cellStyle name="Accent2 19" xfId="4202"/>
    <cellStyle name="SAPBEXHLevel3 10" xfId="4203"/>
    <cellStyle name="Entrada 9" xfId="4204"/>
    <cellStyle name="Cálculo 3 7" xfId="4205"/>
    <cellStyle name="SAPBEXunassignedItem 5" xfId="4206"/>
    <cellStyle name="SAPBEXexcBad7 2 9" xfId="4207"/>
    <cellStyle name="Cálculo 2 6" xfId="4208"/>
    <cellStyle name="SAPBEXaggDataEmph 2 9" xfId="4209"/>
    <cellStyle name="SAPBEXstdDataEmph 4 7" xfId="4210"/>
    <cellStyle name="Note 2 6" xfId="4211"/>
    <cellStyle name="SAPBEXHLevel2X 8" xfId="4212"/>
    <cellStyle name="SAPBEXstdDataEmph 4 6" xfId="4213"/>
    <cellStyle name="SAPBEXHLevel0 3 5" xfId="4214"/>
    <cellStyle name="SAPBEXHLevel0X 3 5" xfId="4215"/>
    <cellStyle name="SAPBEXHLevel1 3 5" xfId="4216"/>
    <cellStyle name="SAPBEXHLevel1X 3 5" xfId="4217"/>
    <cellStyle name="SAPBEXHLevel2 3 5" xfId="4218"/>
    <cellStyle name="SAPBEXHLevel2X 3 5" xfId="4219"/>
    <cellStyle name="SAPBEXHLevel3 3 5" xfId="4220"/>
    <cellStyle name="SAPBEXHLevel3X 3 5" xfId="4221"/>
    <cellStyle name="SAPBEXinputData 3 5" xfId="4222"/>
    <cellStyle name="Accent2 28" xfId="4223"/>
    <cellStyle name="SAPBEXresItemX 4 6" xfId="4224"/>
    <cellStyle name="SAPBEXHLevel3 4 6" xfId="4225"/>
    <cellStyle name="SAPBEXstdData 3 6" xfId="4226"/>
    <cellStyle name="SAPBEXexcCritical5 3 6" xfId="4227"/>
    <cellStyle name="SAPBEXchaText 3 6" xfId="4228"/>
    <cellStyle name="SAPBEXHLevel1X 3 6" xfId="4229"/>
    <cellStyle name="Accent5 22" xfId="4230"/>
    <cellStyle name="SAPBEXresData 2 10" xfId="4231"/>
    <cellStyle name="SAPBEXstdItemX 4 6" xfId="4232"/>
    <cellStyle name="SAPBEXresItem 8" xfId="4233"/>
    <cellStyle name="SAPBEXexcGood1 4 6" xfId="4234"/>
    <cellStyle name="Cálculo 2 5" xfId="4235"/>
    <cellStyle name="SAPBEXaggDataEmph 4 6" xfId="4236"/>
    <cellStyle name="SAPBEXformats 2 5" xfId="4237"/>
    <cellStyle name="SAPBEXstdData 3 7" xfId="4238"/>
    <cellStyle name="SAPBEXresDataEmph 3 7" xfId="4239"/>
    <cellStyle name="SAPBEXunassignedItem 8" xfId="4240"/>
    <cellStyle name="Accent4 21" xfId="4241"/>
    <cellStyle name="SAPBEXchaText 3 7" xfId="4242"/>
    <cellStyle name="Entrada 2 5" xfId="4243"/>
    <cellStyle name="SAPBEXaggItemX 9" xfId="4244"/>
    <cellStyle name="Nota 2 5" xfId="4245"/>
    <cellStyle name="SAPBEXaggData 3 5" xfId="4246"/>
    <cellStyle name="SAPBEXaggDataEmph 3 5" xfId="4247"/>
    <cellStyle name="SAPBEXaggItem 3 5" xfId="4248"/>
    <cellStyle name="SAPBEXaggItemX 3 5" xfId="4249"/>
    <cellStyle name="SAPBEXchaText 3 5" xfId="4250"/>
    <cellStyle name="SAPBEXexcBad7 3 5" xfId="4251"/>
    <cellStyle name="SAPBEXexcBad8 3 5" xfId="4252"/>
    <cellStyle name="SAPBEXexcBad9 3 5" xfId="4253"/>
    <cellStyle name="SAPBEXexcCritical4 3 5" xfId="4254"/>
    <cellStyle name="SAPBEXexcCritical5 3 5" xfId="4255"/>
    <cellStyle name="SAPBEXexcCritical6 3 5" xfId="4256"/>
    <cellStyle name="SAPBEXexcGood1 3 5" xfId="4257"/>
    <cellStyle name="SAPBEXexcGood2 3 5" xfId="4258"/>
    <cellStyle name="SAPBEXexcGood3 3 5" xfId="4259"/>
    <cellStyle name="SAPBEXfilterDrill 3 5" xfId="4260"/>
    <cellStyle name="SAPBEXfilterItem 3 5" xfId="4261"/>
    <cellStyle name="SAPBEXformats 3 5" xfId="4262"/>
    <cellStyle name="SAPBEXresData 3 5" xfId="4263"/>
    <cellStyle name="SAPBEXresDataEmph 3 5" xfId="4264"/>
    <cellStyle name="SAPBEXresItem 3 5" xfId="4265"/>
    <cellStyle name="SAPBEXresItemX 3 5" xfId="4266"/>
    <cellStyle name="SAPBEXstdData 3 5" xfId="4267"/>
    <cellStyle name="SAPBEXstdDataEmph 3 5" xfId="4268"/>
    <cellStyle name="SAPBEXstdItem 3 5" xfId="4269"/>
    <cellStyle name="SAPBEXstdItemX 3 5" xfId="4270"/>
    <cellStyle name="SAPBEXtitle 3 5" xfId="4271"/>
    <cellStyle name="SAPBEXundefined 3 5" xfId="4272"/>
    <cellStyle name="Nota 10" xfId="4273"/>
    <cellStyle name="SAPBEXstdItem 2 2 7" xfId="4274"/>
    <cellStyle name="SAPBEXexcGood2 2 8" xfId="4275"/>
    <cellStyle name="SAPBEXaggItem 2 8" xfId="4276"/>
    <cellStyle name="SAPBEXexcCritical6 2 9" xfId="4277"/>
    <cellStyle name="SAPBEXaggData 3 6" xfId="4278"/>
    <cellStyle name="Entrada 3 6" xfId="4279"/>
    <cellStyle name="SAPBEXexcBad9 2 8" xfId="4280"/>
    <cellStyle name="Accent3 25" xfId="4281"/>
    <cellStyle name="SAPBEXHLevel2X 4 6" xfId="4282"/>
    <cellStyle name="Accent4 20" xfId="4283"/>
    <cellStyle name="Accent6 18" xfId="4284"/>
    <cellStyle name="Accent3 18" xfId="4285"/>
    <cellStyle name="SAPBEXexcBad7 4 8" xfId="4286"/>
    <cellStyle name="Accent1 18" xfId="4287"/>
    <cellStyle name="SAPBEXtitle 4 5" xfId="4288"/>
    <cellStyle name="SAPBEXtitle 2 6" xfId="4289"/>
    <cellStyle name="SAPBEXstdDataEmph 2 9" xfId="4290"/>
    <cellStyle name="SAPBEXundefined 4 8" xfId="4291"/>
    <cellStyle name="SAPBEXHLevel3 3 6" xfId="4292"/>
    <cellStyle name="SAPBEXHLevel1 4 7" xfId="4293"/>
    <cellStyle name="SAPBEXresDataEmph 3 6" xfId="4294"/>
    <cellStyle name="SAPBEXstdDataEmph 3 6" xfId="4295"/>
    <cellStyle name="SAPBEXundefined 3 6" xfId="4296"/>
    <cellStyle name="Normal 43" xfId="4297"/>
    <cellStyle name="Cálculo 3 6" xfId="4298"/>
    <cellStyle name="SAPBEXexcGood2 4 7" xfId="4299"/>
    <cellStyle name="SAPBEXexcGood3 2 9" xfId="4300"/>
    <cellStyle name="SAPBEXaggData 4 7" xfId="4301"/>
    <cellStyle name="Accent5 23" xfId="4302"/>
    <cellStyle name="SAPBEXHLevel0 3 6" xfId="4303"/>
    <cellStyle name="Nota 2 6" xfId="4304"/>
    <cellStyle name="SAPBEXaggItem 3 6" xfId="4305"/>
    <cellStyle name="SAPBEXresItem 2 7" xfId="4306"/>
    <cellStyle name="SAPBEXHLevel0X 4 8" xfId="4307"/>
    <cellStyle name="SAPBEXstdData 4 6" xfId="4308"/>
    <cellStyle name="SAPBEXtitle 9" xfId="4309"/>
    <cellStyle name="SAPBEXfilterItem 3 7" xfId="4310"/>
    <cellStyle name="SAPBEXexcCritical5 4 7" xfId="4311"/>
    <cellStyle name="SAPBEXexcGood1 4 7" xfId="4312"/>
    <cellStyle name="Accent6 20" xfId="4313"/>
    <cellStyle name="Accent1 22" xfId="4314"/>
    <cellStyle name="SAPBEXresItemX 4 8" xfId="4315"/>
    <cellStyle name="SAPBEXinputData 3 6" xfId="4316"/>
    <cellStyle name="SAPBEXexcCritical6 4 7" xfId="4317"/>
    <cellStyle name="Calculation 11" xfId="4318"/>
    <cellStyle name="SAPBEXexcCritical4 2 10" xfId="4319"/>
    <cellStyle name="Accent6 22" xfId="4320"/>
    <cellStyle name="Note 3 10" xfId="4321"/>
    <cellStyle name="SAPBEXaggDataEmph 4 8" xfId="4322"/>
    <cellStyle name="SAPBEXHLevel0 9" xfId="4323"/>
    <cellStyle name="SAPBEXtitle 3 7" xfId="4324"/>
    <cellStyle name="SAPBEXaggData 3 7" xfId="4325"/>
    <cellStyle name="SAPBEXexcGood2 2 9" xfId="4326"/>
    <cellStyle name="Accent1 19" xfId="4327"/>
    <cellStyle name="Accent6 19" xfId="4328"/>
    <cellStyle name="Saída 3 4" xfId="4329"/>
    <cellStyle name="SAPBEXaggItem 4 7" xfId="4330"/>
    <cellStyle name="SAPBEXfilterDrill 3 7" xfId="4331"/>
    <cellStyle name="SAPBEXexcCritical5 3 7" xfId="4332"/>
    <cellStyle name="SAPBEXHLevel3X 9" xfId="4333"/>
    <cellStyle name="SAPBEXexcBad9 4 8" xfId="4334"/>
    <cellStyle name="SAPBEXHLevel0 4 7" xfId="4335"/>
    <cellStyle name="SAPBEXHLevel0X 3 7" xfId="4336"/>
    <cellStyle name="SAPBEXresDataEmph 2 9" xfId="4337"/>
    <cellStyle name="Nota 12" xfId="4338"/>
    <cellStyle name="SAPBEXaggData 4 6" xfId="4339"/>
    <cellStyle name="SAPBEXaggItem 4 6" xfId="4340"/>
    <cellStyle name="SAPBEXexcCritical5 2 8" xfId="4341"/>
    <cellStyle name="SAPBEXexcCritical6 2 8" xfId="4342"/>
    <cellStyle name="SAPBEXexcGood3 2 8" xfId="4343"/>
    <cellStyle name="Accent2 27" xfId="4344"/>
    <cellStyle name="SAPBEXstdItem 4 6" xfId="4345"/>
    <cellStyle name="Entrada 10" xfId="4346"/>
    <cellStyle name="SAPBEXHLevel2 3 6" xfId="4347"/>
    <cellStyle name="SAPBEXexcGood1 3 6" xfId="4348"/>
    <cellStyle name="SAPBEXstdItem 3 6" xfId="4349"/>
    <cellStyle name="SAPBEXaggData 2 9" xfId="4350"/>
    <cellStyle name="Accent6 23" xfId="4351"/>
    <cellStyle name="SAPBEXexcBad7 2 8" xfId="4352"/>
    <cellStyle name="SAPBEXHLevel2 4 6" xfId="4353"/>
    <cellStyle name="SAPBEXresData 4 6" xfId="4354"/>
    <cellStyle name="Accent5 18" xfId="4355"/>
    <cellStyle name="Accent2 23" xfId="4356"/>
    <cellStyle name="SAPBEXHLevel3X 3 6" xfId="4357"/>
    <cellStyle name="SAPBEXexcGood2 3 6" xfId="4358"/>
    <cellStyle name="SAPBEXformats 3 6" xfId="4359"/>
    <cellStyle name="SAPBEXresItemX 3 6" xfId="4360"/>
    <cellStyle name="SAPBEXstdItemX 3 6" xfId="4361"/>
    <cellStyle name="SAPBEXexcCritical5 2 9" xfId="4362"/>
    <cellStyle name="SAPBEXresItemX 11" xfId="4363"/>
    <cellStyle name="Accent4 22" xfId="4364"/>
    <cellStyle name="Output 2 5" xfId="4365"/>
    <cellStyle name="SAPBEXexcGood3 4 7" xfId="4366"/>
    <cellStyle name="SAPBEXaggDataEmph 3 6" xfId="4367"/>
    <cellStyle name="SAPBEXinputData 4 6" xfId="4368"/>
    <cellStyle name="SAPBEXHLevel3X 3 7" xfId="4369"/>
    <cellStyle name="SAPBEXHLevel1X 9" xfId="4370"/>
    <cellStyle name="SAPBEXexcBad7 2 10" xfId="4371"/>
    <cellStyle name="SAPBEXexcBad9 3 7" xfId="4372"/>
    <cellStyle name="SAPBEXexcCritical6 3 7" xfId="4373"/>
    <cellStyle name="SAPBEXexcBad8 2 9" xfId="4374"/>
    <cellStyle name="Accent3 19" xfId="4375"/>
    <cellStyle name="SAPBEXHLevel2 4 8" xfId="4376"/>
    <cellStyle name="SAPBEXHLevel0X 11" xfId="4377"/>
    <cellStyle name="SAPBEXexcBad7 4 7" xfId="4378"/>
    <cellStyle name="SAPBEXformats 4 7" xfId="4379"/>
    <cellStyle name="Accent6 21" xfId="4380"/>
    <cellStyle name="SAPBEXformats 2 2 7" xfId="4381"/>
    <cellStyle name="Accent1 23" xfId="4382"/>
    <cellStyle name="SAPBEXHLevel1 4 6" xfId="4383"/>
    <cellStyle name="SAPBEXHLevel1X 4 6" xfId="4384"/>
    <cellStyle name="SAPBEXinputData 10" xfId="4385"/>
    <cellStyle name="Accent3 27" xfId="4386"/>
    <cellStyle name="SAPBEXresItem 2 8" xfId="4387"/>
    <cellStyle name="Entrada 2 6" xfId="4388"/>
    <cellStyle name="SAPBEXHLevel1 3 6" xfId="4389"/>
    <cellStyle name="SAPBEXstdData 2 10" xfId="4390"/>
    <cellStyle name="SAPBEXexcCritical4 4 7" xfId="4391"/>
    <cellStyle name="Accent3 23" xfId="4392"/>
    <cellStyle name="SAPBEXinputData 3 7" xfId="4393"/>
    <cellStyle name="SAPBEXHLevel2X 4 7" xfId="4394"/>
    <cellStyle name="Accent5 21" xfId="4395"/>
    <cellStyle name="Accent1 21" xfId="4396"/>
    <cellStyle name="Accent3 21" xfId="4397"/>
    <cellStyle name="SAPBEXtitle 4 6" xfId="4398"/>
    <cellStyle name="SAPBEXtitle 2 7" xfId="4399"/>
    <cellStyle name="Normal 51" xfId="4400"/>
    <cellStyle name="SAPBEXHLevel2 3 7" xfId="4401"/>
    <cellStyle name="SAPBEXresItem 3 7" xfId="4402"/>
    <cellStyle name="SAPBEXstdDataEmph 3 7" xfId="4403"/>
    <cellStyle name="SAPBEXundefined 3 7" xfId="4404"/>
    <cellStyle name="SAPBEXundefined 2 10" xfId="4405"/>
    <cellStyle name="Normal 46" xfId="4406"/>
    <cellStyle name="Calculation 2 8" xfId="4407"/>
    <cellStyle name="Note 2 9" xfId="4408"/>
    <cellStyle name="SAPBEXaggItem 2 10" xfId="4409"/>
    <cellStyle name="Entrada 3 7" xfId="4410"/>
    <cellStyle name="SAPBEXaggItem 3 7" xfId="4411"/>
    <cellStyle name="SAPBEXexcGood2 4 8" xfId="4412"/>
    <cellStyle name="SAPBEXexcCritical5 2 10" xfId="4413"/>
    <cellStyle name="SAPBEXstdItem 2 2 8" xfId="4414"/>
    <cellStyle name="SAPBEXstdItem 2 2 9" xfId="4415"/>
    <cellStyle name="SAPBEXstdItem 4 8" xfId="4416"/>
    <cellStyle name="SAPBEXexcCritical6 4 8" xfId="4417"/>
    <cellStyle name="Accent1 25" xfId="4418"/>
    <cellStyle name="Nota 11" xfId="4419"/>
    <cellStyle name="SAPBEXHLevel1X 3 7" xfId="4420"/>
    <cellStyle name="Accent1 26" xfId="4421"/>
    <cellStyle name="SAPBEXaggData 4 8" xfId="4422"/>
    <cellStyle name="SAPBEXexcBad7 3 7" xfId="4423"/>
    <cellStyle name="SAPBEXexcBad8 4 8" xfId="4424"/>
    <cellStyle name="SAPBEXexcGood2 2 10" xfId="4425"/>
    <cellStyle name="Normal 47" xfId="4426"/>
    <cellStyle name="Accent6 24" xfId="4427"/>
    <cellStyle name="SAPBEXexcBad9 2 10" xfId="4428"/>
    <cellStyle name="Accent3 22" xfId="4429"/>
    <cellStyle name="SAPBEXexcCritical6 2 10" xfId="4430"/>
    <cellStyle name="SAPBEXHLevel2X 3 8" xfId="4431"/>
    <cellStyle name="SAPBEXHLevel3X 10" xfId="4432"/>
    <cellStyle name="SAPBEXHLevel2X 10" xfId="4433"/>
    <cellStyle name="SAPBEXHLevel0X 10" xfId="4434"/>
    <cellStyle name="Accent4 24" xfId="4435"/>
    <cellStyle name="Input 2 8" xfId="4436"/>
    <cellStyle name="SAPBEXaggItemX 4 7" xfId="4437"/>
    <cellStyle name="SAPBEXexcGood1 2 9" xfId="4438"/>
    <cellStyle name="SAPBEXstdItem 2 8" xfId="4439"/>
    <cellStyle name="SAPBEXstdItem 4 7" xfId="4440"/>
    <cellStyle name="Accent1 27" xfId="4441"/>
    <cellStyle name="SAPBEXexcGood1 3 7" xfId="4442"/>
    <cellStyle name="SAPBEXstdItem 3 7" xfId="4443"/>
    <cellStyle name="SAPBEXformats 2 2 9" xfId="4444"/>
    <cellStyle name="SAPBEXresItemX 4 7" xfId="4445"/>
    <cellStyle name="SAPBEXHLevel3 11" xfId="4446"/>
    <cellStyle name="SAPBEXexcCritical4 2 9" xfId="4447"/>
    <cellStyle name="SAPBEXHLevel2X 4 8" xfId="4448"/>
    <cellStyle name="SAPBEXstdItemX 4 7" xfId="4449"/>
    <cellStyle name="Accent2 21" xfId="4450"/>
    <cellStyle name="SAPBEXHLevel2X 3 7" xfId="4451"/>
    <cellStyle name="SAPBEXexcGood2 3 7" xfId="4452"/>
    <cellStyle name="SAPBEXresData 3 7" xfId="4453"/>
    <cellStyle name="SAPBEXresItemX 3 7" xfId="4454"/>
    <cellStyle name="SAPBEXstdItemX 3 7" xfId="4455"/>
    <cellStyle name="Note 3 9" xfId="4456"/>
    <cellStyle name="SAPBEXaggDataEmph 3 7" xfId="4457"/>
    <cellStyle name="SAPBEXHLevel0X 4 7" xfId="4458"/>
    <cellStyle name="SAPBEXresItem 9" xfId="4459"/>
    <cellStyle name="Accent2 26" xfId="4460"/>
    <cellStyle name="Accent2 22" xfId="4461"/>
    <cellStyle name="SAPBEXformats 4 8" xfId="4462"/>
    <cellStyle name="Calculation 2 9" xfId="4463"/>
    <cellStyle name="SAPBEXaggData 2 10" xfId="4464"/>
    <cellStyle name="SAPBEXHLevel0 10" xfId="4465"/>
    <cellStyle name="SAPBEXHLevel2 4 7" xfId="4466"/>
    <cellStyle name="SAPBEXformats 2 2 8" xfId="4467"/>
    <cellStyle name="SAPBEXHLevel1X 10" xfId="4468"/>
    <cellStyle name="Nota 2 7" xfId="4469"/>
    <cellStyle name="SAPBEXHLevel3 3 7" xfId="4470"/>
    <cellStyle name="Normal 48" xfId="4471"/>
    <cellStyle name="SAPBEXexcGood1 2 10" xfId="4472"/>
    <cellStyle name="Total 5" xfId="4473"/>
    <cellStyle name="SAPBEXexcGood1 4 8" xfId="4474"/>
    <cellStyle name="SAPBEXresData 4 8" xfId="4475"/>
    <cellStyle name="SAPBEXstdItem 2 9" xfId="4476"/>
    <cellStyle name="SAPBEXHLevel3 4 8" xfId="4477"/>
    <cellStyle name="Accent3 24" xfId="4478"/>
    <cellStyle name="SAPBEXtitle 4 7" xfId="4479"/>
    <cellStyle name="SAPBEXtitle 2 8" xfId="4480"/>
    <cellStyle name="Accent1 24" xfId="4481"/>
    <cellStyle name="SAPBEXHLevel1 3 8" xfId="4482"/>
    <cellStyle name="SAPBEXresItem 2 9" xfId="4483"/>
    <cellStyle name="SAPBEXHLevel2 3 8" xfId="4484"/>
    <cellStyle name="Calculation 12" xfId="4485"/>
    <cellStyle name="SAPBEXresData 3 8" xfId="4486"/>
    <cellStyle name="SAPBEXresItemX 3 8" xfId="4487"/>
    <cellStyle name="SAPBEXstdItemX 3 8" xfId="4488"/>
    <cellStyle name="Total 3 5" xfId="4489"/>
    <cellStyle name="Entrada 3 8" xfId="4490"/>
    <cellStyle name="SAPBEXItemHeader 4" xfId="4491"/>
    <cellStyle name="SAPBEXresItemX 12" xfId="4492"/>
    <cellStyle name="Accent5 26" xfId="4493"/>
    <cellStyle name="SAPBEXstdDataEmph 2 10" xfId="4494"/>
    <cellStyle name="Accent2 25" xfId="4495"/>
    <cellStyle name="Accent4 26" xfId="4496"/>
    <cellStyle name="Accent3 28" xfId="4497"/>
    <cellStyle name="SAPBEXHLevel0X 3 8" xfId="4498"/>
    <cellStyle name="SAPBEXresDataEmph 4 8" xfId="4499"/>
    <cellStyle name="Accent5 25" xfId="4500"/>
    <cellStyle name="SAPBEXHLevel3X 11" xfId="4501"/>
    <cellStyle name="SAPBEXexcBad8 2 10" xfId="4502"/>
    <cellStyle name="SAPBEXexcCritical5 4 8" xfId="4503"/>
    <cellStyle name="SAPBEXHLevel3X 4 8" xfId="4504"/>
    <cellStyle name="SAPBEXstdData 4 8" xfId="4505"/>
    <cellStyle name="SAPBEXHLevel3X 3 8" xfId="4506"/>
    <cellStyle name="SAPBEXresDataEmph 3 8" xfId="4507"/>
    <cellStyle name="SAPBEXinputData 4 8" xfId="4508"/>
    <cellStyle name="Nota 3 8" xfId="4509"/>
    <cellStyle name="Output 6" xfId="4510"/>
    <cellStyle name="SAPBEXresDataEmph 2 10" xfId="4511"/>
    <cellStyle name="Accent5 24" xfId="4512"/>
    <cellStyle name="Accent2 24" xfId="4513"/>
    <cellStyle name="SAPBEXresItem 10" xfId="4514"/>
    <cellStyle name="SAPBEXresItem 3 8" xfId="4515"/>
    <cellStyle name="Accent6 26" xfId="4516"/>
    <cellStyle name="Total 2 5" xfId="4517"/>
    <cellStyle name="Input 2 9" xfId="4518"/>
    <cellStyle name="Normal 49" xfId="4519"/>
    <cellStyle name="Output 3 5" xfId="4520"/>
    <cellStyle name="Saída 4 4" xfId="4521"/>
    <cellStyle name="SAPBEXaggItemX 3 8" xfId="4522"/>
    <cellStyle name="Entrada 12" xfId="4523"/>
    <cellStyle name="Saída 2 2 4" xfId="4524"/>
    <cellStyle name="Accent6 25" xfId="4525"/>
    <cellStyle name="Accent6 27" xfId="4526"/>
    <cellStyle name="Normal 52" xfId="4527"/>
    <cellStyle name="SAPBEXHLevel0 4 8" xfId="4528"/>
    <cellStyle name="Normal 50" xfId="4529"/>
    <cellStyle name="SAPBEXinputData 12" xfId="4530"/>
    <cellStyle name="SAPBEXtitle 4 8" xfId="4531"/>
    <cellStyle name="SAPBEXHLevel3 3 8" xfId="4532"/>
    <cellStyle name="SAPBEXtitle 10" xfId="4533"/>
    <cellStyle name="SAPBEXHLevel1X 11" xfId="4534"/>
    <cellStyle name="Accent6 28" xfId="4535"/>
    <cellStyle name="SAPBEXHLevel2X 11" xfId="4536"/>
    <cellStyle name="Cálculo 2 8" xfId="4537"/>
    <cellStyle name="Accent5 28" xfId="4538"/>
    <cellStyle name="SAPBEXresItem 4 8" xfId="4539"/>
    <cellStyle name="Entrada 2 8" xfId="4540"/>
    <cellStyle name="Nota 2 8" xfId="4541"/>
    <cellStyle name="SAPBEXaggData 3 8" xfId="4542"/>
    <cellStyle name="SAPBEXaggDataEmph 3 8" xfId="4543"/>
    <cellStyle name="SAPBEXaggItem 3 8" xfId="4544"/>
    <cellStyle name="SAPBEXchaText 3 8" xfId="4545"/>
    <cellStyle name="SAPBEXexcBad7 3 8" xfId="4546"/>
    <cellStyle name="SAPBEXexcBad8 3 8" xfId="4547"/>
    <cellStyle name="SAPBEXexcBad9 3 8" xfId="4548"/>
    <cellStyle name="SAPBEXexcCritical4 3 8" xfId="4549"/>
    <cellStyle name="SAPBEXexcCritical5 3 8" xfId="4550"/>
    <cellStyle name="SAPBEXexcCritical6 3 8" xfId="4551"/>
    <cellStyle name="SAPBEXexcGood1 3 8" xfId="4552"/>
    <cellStyle name="SAPBEXexcGood2 3 8" xfId="4553"/>
    <cellStyle name="SAPBEXexcGood3 3 8" xfId="4554"/>
    <cellStyle name="SAPBEXfilterDrill 3 8" xfId="4555"/>
    <cellStyle name="SAPBEXfilterItem 3 8" xfId="4556"/>
    <cellStyle name="SAPBEXformats 3 8" xfId="4557"/>
    <cellStyle name="SAPBEXHLevel0 11" xfId="4558"/>
    <cellStyle name="SAPBEXstdData 3 8" xfId="4559"/>
    <cellStyle name="SAPBEXstdDataEmph 3 8" xfId="4560"/>
    <cellStyle name="SAPBEXstdItem 3 8" xfId="4561"/>
    <cellStyle name="Accent5 27" xfId="4562"/>
    <cellStyle name="SAPBEXtitle 3 8" xfId="4563"/>
    <cellStyle name="SAPBEXundefined 3 8" xfId="4564"/>
    <cellStyle name="Normal 53" xfId="4565"/>
    <cellStyle name="Accent4 28" xfId="4566"/>
    <cellStyle name="Accent1 28" xfId="4567"/>
    <cellStyle name="20% - Accent1 4" xfId="4568"/>
    <cellStyle name="20% - Accent2 4" xfId="4569"/>
    <cellStyle name="20% - Accent5 4" xfId="4570"/>
    <cellStyle name="20% - Accent6 4" xfId="4571"/>
    <cellStyle name="40% - Accent1 4" xfId="4572"/>
    <cellStyle name="40% - Accent3 3" xfId="4573"/>
    <cellStyle name="40% - Accent5 4" xfId="4574"/>
    <cellStyle name="60% - Accent1 4" xfId="4575"/>
    <cellStyle name="60% - Accent3 3" xfId="4576"/>
    <cellStyle name="60% - Accent5 4" xfId="4577"/>
    <cellStyle name="Calculation 13" xfId="4578"/>
    <cellStyle name="Accent2 29" xfId="4579"/>
    <cellStyle name="Accent3 29" xfId="4580"/>
    <cellStyle name="Accent4 29" xfId="4581"/>
    <cellStyle name="Accent6 29" xfId="4582"/>
    <cellStyle name="Bad 5" xfId="4583"/>
    <cellStyle name="Input 3" xfId="4584"/>
    <cellStyle name="Heading 2 4" xfId="4585"/>
    <cellStyle name="Heading 3 4" xfId="4586"/>
    <cellStyle name="Normal 3 3" xfId="4587"/>
    <cellStyle name="Vírgula 9" xfId="4588"/>
    <cellStyle name="Porcentagem 12" xfId="4589"/>
    <cellStyle name="Vírgula 10" xfId="4590"/>
    <cellStyle name="Porcentagem 13" xfId="4591"/>
    <cellStyle name="Normal 54" xfId="4592"/>
    <cellStyle name="fa_row_header_standard 2" xfId="4593"/>
    <cellStyle name="Percent 13" xfId="4594"/>
    <cellStyle name="Normal 55" xfId="4595"/>
    <cellStyle name="Percent 14" xfId="4596"/>
    <cellStyle name="SAPBEXHLevel0X 9 4" xfId="4597"/>
    <cellStyle name="Input 3 3" xfId="4598"/>
    <cellStyle name="SAPBEXexcGood3 5 6" xfId="4599"/>
    <cellStyle name="SAPBEXstdDataEmph 2 11" xfId="4600"/>
    <cellStyle name="SAPBEXinputData 9 3" xfId="4601"/>
    <cellStyle name="SAPBEXexcGood3 2 2 4" xfId="4602"/>
    <cellStyle name="SAPBEXHLevel3 4 9" xfId="4603"/>
    <cellStyle name="Vírgula 22" xfId="4604"/>
    <cellStyle name="Separador de milhares 2 12" xfId="4605"/>
    <cellStyle name="Separador de milhares 3 9" xfId="4606"/>
    <cellStyle name="Separador de milhares 4 8" xfId="4607"/>
    <cellStyle name="Separador de milhares 5 9" xfId="4608"/>
    <cellStyle name="SAPBEXexcGood1 4 9" xfId="4609"/>
    <cellStyle name="Separador de milhares 6 9" xfId="4610"/>
    <cellStyle name="Separador de milhares 7 7" xfId="4611"/>
    <cellStyle name="SAPBEXexcGood2 2 11" xfId="4612"/>
    <cellStyle name="SAPBEXformats 2 2 10" xfId="4613"/>
    <cellStyle name="SAPBEXaggDataEmph 5 6" xfId="4614"/>
    <cellStyle name="SAPBEXexcGood1 5 6" xfId="4615"/>
    <cellStyle name="SAPBEXresItem 5 2 3" xfId="4616"/>
    <cellStyle name="SAPBEXexcGood3 2 3 4" xfId="4617"/>
    <cellStyle name="SAPBEXexcBad8 2 11" xfId="4618"/>
    <cellStyle name="SAPBEXresItemX 9 4" xfId="4619"/>
    <cellStyle name="SAPBEXaggItemX 4 9" xfId="4620"/>
    <cellStyle name="SAPBEXstdData 5 6" xfId="4621"/>
    <cellStyle name="SAPBEXaggItem 5 6" xfId="4622"/>
    <cellStyle name="SAPBEXexcGood3 2 4 5" xfId="4623"/>
    <cellStyle name="Normal 3 2 6" xfId="4624"/>
    <cellStyle name="SAPBEXresItem 3 9" xfId="4625"/>
    <cellStyle name="SAPBEXexcBad7 5 6" xfId="4626"/>
    <cellStyle name="SAPBEXtitle 11" xfId="4627"/>
    <cellStyle name="SAPBEXexcBad7 4 9" xfId="4628"/>
    <cellStyle name="SAPBEXHLevel3 3 5 4" xfId="4629"/>
    <cellStyle name="SAPBEXresDataEmph 5 6" xfId="4630"/>
    <cellStyle name="Note 2 10" xfId="4631"/>
    <cellStyle name="SAPBEXresItemX 5 3 3" xfId="4632"/>
    <cellStyle name="Normal 6 10" xfId="4633"/>
    <cellStyle name="Comma 2 7" xfId="4634"/>
    <cellStyle name="Percent 2 7" xfId="4635"/>
    <cellStyle name="Separador de milhares 3 3 6" xfId="4636"/>
    <cellStyle name="Normal 6 2 6" xfId="4637"/>
    <cellStyle name="Comma 2 2" xfId="4638"/>
    <cellStyle name="Percent 2 2 5" xfId="4639"/>
    <cellStyle name="Normal 7 11" xfId="4640"/>
    <cellStyle name="Comma 3 4" xfId="4641"/>
    <cellStyle name="Normal 8 16" xfId="4642"/>
    <cellStyle name="Comma 4 6" xfId="4643"/>
    <cellStyle name="Percent 3 6" xfId="4644"/>
    <cellStyle name="Normal 9 7" xfId="4645"/>
    <cellStyle name="Comma 5 6" xfId="4646"/>
    <cellStyle name="Normal 8 2 10" xfId="4647"/>
    <cellStyle name="Vírgula 13" xfId="4648"/>
    <cellStyle name="Vírgula 4 2" xfId="4649"/>
    <cellStyle name="Normal 8 3 9" xfId="4650"/>
    <cellStyle name="Normal 8 4 9" xfId="4651"/>
    <cellStyle name="Normal 8 5" xfId="4652"/>
    <cellStyle name="Normal 8 5 2" xfId="4653"/>
    <cellStyle name="Vírgula 16" xfId="4654"/>
    <cellStyle name="Normal 7 2 11" xfId="4655"/>
    <cellStyle name="Vírgula 18" xfId="4656"/>
    <cellStyle name="Vírgula 12" xfId="4657"/>
    <cellStyle name="Vírgula 19" xfId="4658"/>
    <cellStyle name="Calculation 3 3" xfId="4659"/>
    <cellStyle name="Output 4 3" xfId="4660"/>
    <cellStyle name="SAPBEXaggItemX 5 4" xfId="4661"/>
    <cellStyle name="SAPBEXformats 2 3 5" xfId="4662"/>
    <cellStyle name="SAPBEXHLevel0 5 6" xfId="4663"/>
    <cellStyle name="SAPBEXHLevel0X 5 5" xfId="4664"/>
    <cellStyle name="SAPBEXHLevel1X 5 5" xfId="4665"/>
    <cellStyle name="SAPBEXHLevel2X 5 5" xfId="4666"/>
    <cellStyle name="SAPBEXHLevel3 5 6" xfId="4667"/>
    <cellStyle name="SAPBEXHLevel3X 5 5" xfId="4668"/>
    <cellStyle name="SAPBEXresItemX 5 5" xfId="4669"/>
    <cellStyle name="SAPBEXstdItem 2 3 5" xfId="4670"/>
    <cellStyle name="Vírgula 9 6" xfId="4671"/>
    <cellStyle name="Separador de milhares 2 2" xfId="4672"/>
    <cellStyle name="Separador de milhares 3 4" xfId="4673"/>
    <cellStyle name="Separador de milhares 4 3 5" xfId="4674"/>
    <cellStyle name="Separador de milhares 5 3 5" xfId="4675"/>
    <cellStyle name="Entrada 4 5" xfId="4676"/>
    <cellStyle name="Nota 4 13" xfId="4677"/>
    <cellStyle name="Separador de milhares 6 3" xfId="4678"/>
    <cellStyle name="Separador de milhares 7 3" xfId="4679"/>
    <cellStyle name="Output 2 2 3" xfId="4680"/>
    <cellStyle name="Saída 3 2 3" xfId="4681"/>
    <cellStyle name="Normal 3 2 2 5" xfId="4682"/>
    <cellStyle name="Vírgula 8 2" xfId="4683"/>
    <cellStyle name="Porcentagem 11 2" xfId="4684"/>
    <cellStyle name="Normal 6 3 5" xfId="4685"/>
    <cellStyle name="Comma 2 3" xfId="4686"/>
    <cellStyle name="Percent 2 3" xfId="4687"/>
    <cellStyle name="Separador de milhares 3 3 2" xfId="4688"/>
    <cellStyle name="Normal 6 2 2 4" xfId="4689"/>
    <cellStyle name="Comma 2 2 2" xfId="4690"/>
    <cellStyle name="Percent 2 2 2" xfId="4691"/>
    <cellStyle name="Normal 7 3 10" xfId="4692"/>
    <cellStyle name="Comma 3 2 4" xfId="4693"/>
    <cellStyle name="Normal 8 6" xfId="4694"/>
    <cellStyle name="Comma 4 2 4" xfId="4695"/>
    <cellStyle name="Percent 3 2 4" xfId="4696"/>
    <cellStyle name="Normal 9 2 5" xfId="4697"/>
    <cellStyle name="Comma 5 2 4" xfId="4698"/>
    <cellStyle name="Normal 8 2 2 9" xfId="4699"/>
    <cellStyle name="Vírgula 13 2" xfId="4700"/>
    <cellStyle name="Vírgula 4 2 2" xfId="4701"/>
    <cellStyle name="Normal 8 3 2" xfId="4702"/>
    <cellStyle name="Normal 8 4 2" xfId="4703"/>
    <cellStyle name="Normal 8 5 3" xfId="4704"/>
    <cellStyle name="Normal 8 5 2 2" xfId="4705"/>
    <cellStyle name="Normal 7 2 2 9" xfId="4706"/>
    <cellStyle name="Vírgula 18 2" xfId="4707"/>
    <cellStyle name="Vírgula 12 2" xfId="4708"/>
    <cellStyle name="Normal 12 5" xfId="4709"/>
    <cellStyle name="Normal 8 11" xfId="4710"/>
    <cellStyle name="Normal 3 8" xfId="4711"/>
    <cellStyle name="Percent 3 3" xfId="4712"/>
    <cellStyle name="Comma 2 4" xfId="4713"/>
    <cellStyle name="Percent 2 4" xfId="4714"/>
    <cellStyle name="Comma 2 2 3" xfId="4715"/>
    <cellStyle name="Normal 6 7" xfId="4716"/>
    <cellStyle name="Check Cell 2 3" xfId="4717"/>
    <cellStyle name="Good 2 3" xfId="4718"/>
    <cellStyle name="Heading 2 2 3" xfId="4719"/>
    <cellStyle name="Linked Cell 2 3" xfId="4720"/>
    <cellStyle name="Neutral 2 3" xfId="4721"/>
    <cellStyle name="Normal 3 2 3" xfId="4722"/>
    <cellStyle name="Separador de milhares 2 9" xfId="4723"/>
    <cellStyle name="SAPBEXfilterText 3 4" xfId="4724"/>
    <cellStyle name="SAPBEXheaderItem 3 4" xfId="4725"/>
    <cellStyle name="SAPBEXheaderText 3 5" xfId="4726"/>
    <cellStyle name="SAPBEXHLevel0 3 7 3" xfId="4727"/>
    <cellStyle name="SAPBEXHLevel0X 3 6 3" xfId="4728"/>
    <cellStyle name="SAPBEXHLevel1 3 7 3" xfId="4729"/>
    <cellStyle name="SAPBEXHLevel1X 3 6 3" xfId="4730"/>
    <cellStyle name="SAPBEXHLevel2 3 7 3" xfId="4731"/>
    <cellStyle name="SAPBEXHLevel2X 3 6 3" xfId="4732"/>
    <cellStyle name="SAPBEXHLevel3 3 6 3" xfId="4733"/>
    <cellStyle name="SAPBEXHLevel3X 3 6 3" xfId="4734"/>
    <cellStyle name="SAPBEXinputData 3 5 2" xfId="4735"/>
    <cellStyle name="Normal 7 8" xfId="4736"/>
    <cellStyle name="Normal 6 6" xfId="4737"/>
    <cellStyle name="20% - Accent1 2 2" xfId="4738"/>
    <cellStyle name="20% - Accent2 2 2" xfId="4739"/>
    <cellStyle name="20% - Accent3 2 2" xfId="4740"/>
    <cellStyle name="20% - Accent4 2 2" xfId="4741"/>
    <cellStyle name="20% - Accent5 2 2" xfId="4742"/>
    <cellStyle name="40% - Accent1 2 2" xfId="4743"/>
    <cellStyle name="40% - Accent2 2 2" xfId="4744"/>
    <cellStyle name="40% - Accent3 2 2" xfId="4745"/>
    <cellStyle name="40% - Accent4 2 2" xfId="4746"/>
    <cellStyle name="40% - Accent5 2 2" xfId="4747"/>
    <cellStyle name="SAPBEXexcBad8 4 9" xfId="4748"/>
    <cellStyle name="60% - Accent1 2 2" xfId="4749"/>
    <cellStyle name="60% - Accent2 2 2" xfId="4750"/>
    <cellStyle name="60% - Accent3 2 2" xfId="4751"/>
    <cellStyle name="60% - Accent4 2 2" xfId="4752"/>
    <cellStyle name="60% - Accent5 2 2" xfId="4753"/>
    <cellStyle name="SAPBEXfilterDrill 3 2 5" xfId="4754"/>
    <cellStyle name="Bad 3 2" xfId="4755"/>
    <cellStyle name="Normal 3 7" xfId="4756"/>
    <cellStyle name="SAPBEXaggItemX 8 3" xfId="4757"/>
    <cellStyle name="SAPBEXformats 2 6" xfId="4758"/>
    <cellStyle name="SAPBEXHLevel0 9 4" xfId="4759"/>
    <cellStyle name="SAPBEXHLevel0X 9 3" xfId="4760"/>
    <cellStyle name="SAPBEXHLevel1X 9 3" xfId="4761"/>
    <cellStyle name="SAPBEXHLevel2X 9 3" xfId="4762"/>
    <cellStyle name="SAPBEXHLevel3 9 4" xfId="4763"/>
    <cellStyle name="SAPBEXHLevel3X 9 3" xfId="4764"/>
    <cellStyle name="SAPBEXinputData 9 2" xfId="4765"/>
    <cellStyle name="SAPBEXresItemX 9 3" xfId="4766"/>
    <cellStyle name="SAPBEXstdItem 2 6 3" xfId="4767"/>
    <cellStyle name="Comma 2 3 2" xfId="4768"/>
    <cellStyle name="Separador de milhares 2 8" xfId="4769"/>
    <cellStyle name="Separador de milhares 3 6" xfId="4770"/>
    <cellStyle name="Separador de milhares 4 5" xfId="4771"/>
    <cellStyle name="Separador de milhares 5 5" xfId="4772"/>
    <cellStyle name="Total 4 5" xfId="4773"/>
    <cellStyle name="Note 4" xfId="4774"/>
    <cellStyle name="Separador de milhares 6 6" xfId="4775"/>
    <cellStyle name="Separador de milhares 7 4" xfId="4776"/>
    <cellStyle name="SAPBEXfilterText 3 3" xfId="4777"/>
    <cellStyle name="SAPBEXheaderItem 3 3" xfId="4778"/>
    <cellStyle name="SAPBEXheaderText 3 4" xfId="4779"/>
    <cellStyle name="SAPBEXHLevel0 3 6 3" xfId="4780"/>
    <cellStyle name="SAPBEXHLevel0X 3 5 3" xfId="4781"/>
    <cellStyle name="SAPBEXHLevel1 3 6 3" xfId="4782"/>
    <cellStyle name="SAPBEXHLevel1X 3 5 3" xfId="4783"/>
    <cellStyle name="SAPBEXHLevel2 3 6 3" xfId="4784"/>
    <cellStyle name="SAPBEXHLevel2X 3 5 3" xfId="4785"/>
    <cellStyle name="SAPBEXHLevel3 3 5 3" xfId="4786"/>
    <cellStyle name="SAPBEXHLevel3X 3 5 3" xfId="4787"/>
    <cellStyle name="Calculation 4 3" xfId="4788"/>
    <cellStyle name="Output 5 3" xfId="4789"/>
    <cellStyle name="SAPBEXaggData 5 5" xfId="4790"/>
    <cellStyle name="SAPBEXaggDataEmph 5 5" xfId="4791"/>
    <cellStyle name="SAPBEXaggItem 5 5" xfId="4792"/>
    <cellStyle name="SAPBEXexcBad7 5 5" xfId="4793"/>
    <cellStyle name="SAPBEXexcBad8 5 5" xfId="4794"/>
    <cellStyle name="SAPBEXexcBad9 5 5" xfId="4795"/>
    <cellStyle name="SAPBEXexcCritical4 5 5" xfId="4796"/>
    <cellStyle name="SAPBEXexcCritical5 5 5" xfId="4797"/>
    <cellStyle name="SAPBEXexcCritical6 5 5" xfId="4798"/>
    <cellStyle name="SAPBEXexcGood1 5 5" xfId="4799"/>
    <cellStyle name="SAPBEXexcGood2 5 5" xfId="4800"/>
    <cellStyle name="SAPBEXexcGood3 5 5" xfId="4801"/>
    <cellStyle name="SAPBEXformats 5 5" xfId="4802"/>
    <cellStyle name="SAPBEXHLevel1 5 5" xfId="4803"/>
    <cellStyle name="SAPBEXHLevel2 5 4" xfId="4804"/>
    <cellStyle name="SAPBEXresData 5 5" xfId="4805"/>
    <cellStyle name="SAPBEXresDataEmph 5 5" xfId="4806"/>
    <cellStyle name="SAPBEXstdData 5 5" xfId="4807"/>
    <cellStyle name="SAPBEXstdDataEmph 5 5" xfId="4808"/>
    <cellStyle name="SAPBEXstdItem 5 5" xfId="4809"/>
    <cellStyle name="SAPBEXstdItemX 5 5" xfId="4810"/>
    <cellStyle name="SAPBEXundefined 5 5" xfId="4811"/>
    <cellStyle name="Input 4" xfId="4812"/>
    <cellStyle name="Note 5" xfId="4813"/>
    <cellStyle name="SAPBEXinputData 4 2 4" xfId="4814"/>
    <cellStyle name="SAPBEXunassignedItem 2 3" xfId="4815"/>
    <cellStyle name="SAPBEXinputData 3 2 3" xfId="4816"/>
    <cellStyle name="Saída 2 3 5" xfId="4817"/>
    <cellStyle name="SAPBEXexcBad9 3 2 5" xfId="4818"/>
    <cellStyle name="SAPBEXfilterDrill 3 2 4" xfId="4819"/>
    <cellStyle name="SAPBEXfilterItem 3 2 4" xfId="4820"/>
    <cellStyle name="SAPBEXresDataEmph 3 2 5" xfId="4821"/>
    <cellStyle name="SAPBEXtitle 3 2 4" xfId="4822"/>
    <cellStyle name="SAPDimensionCell" xfId="4823"/>
    <cellStyle name="SAPDataCell" xfId="4824"/>
    <cellStyle name="SAPDataTotalCell" xfId="4825"/>
    <cellStyle name="SAPEditableDataCell" xfId="4826"/>
    <cellStyle name="SAPReadonlyDataCell" xfId="4827"/>
    <cellStyle name="SAPLockedDataCell" xfId="4828"/>
    <cellStyle name="SAPEditableDataTotalCell" xfId="4829"/>
    <cellStyle name="SAPReadonlyDataTotalCell" xfId="4830"/>
    <cellStyle name="SAPLockedDataTotalCell" xfId="4831"/>
    <cellStyle name="SAPExceptionLevel1" xfId="4832"/>
    <cellStyle name="SAPExceptionLevel2" xfId="4833"/>
    <cellStyle name="SAPExceptionLevel3" xfId="4834"/>
    <cellStyle name="SAPExceptionLevel4" xfId="4835"/>
    <cellStyle name="SAPExceptionLevel5" xfId="4836"/>
    <cellStyle name="SAPExceptionLevel6" xfId="4837"/>
    <cellStyle name="SAPExceptionLevel7" xfId="4838"/>
    <cellStyle name="SAPExceptionLevel8" xfId="4839"/>
    <cellStyle name="SAPExceptionLevel9" xfId="4840"/>
    <cellStyle name="SAPBorder" xfId="4841"/>
    <cellStyle name="SAPMemberCell" xfId="4842"/>
    <cellStyle name="SAPMemberTotalCell" xfId="4843"/>
    <cellStyle name="SAPHierarchyCell0" xfId="4844"/>
    <cellStyle name="SAPHierarchyCell1" xfId="4845"/>
    <cellStyle name="SAPHierarchyCell2" xfId="4846"/>
    <cellStyle name="SAPHierarchyCell3" xfId="4847"/>
    <cellStyle name="SAPHierarchyCell4" xfId="4848"/>
    <cellStyle name="SAPEmphasized" xfId="4849"/>
    <cellStyle name="SAPEmphasizedTotal" xfId="4850"/>
    <cellStyle name="SAPEmphasizedEditableDataCell" xfId="4851"/>
    <cellStyle name="SAPEmphasizedEditableDataTotalCell" xfId="4852"/>
    <cellStyle name="SAPEmphasizedReadonlyDataCell" xfId="4853"/>
    <cellStyle name="SAPEmphasizedReadonlyDataTotalCell" xfId="4854"/>
    <cellStyle name="SAPEmphasizedLockedDataCell" xfId="4855"/>
    <cellStyle name="SAPEmphasizedLockedDataTotalCell" xfId="4856"/>
    <cellStyle name="Comma 3 3" xfId="4857"/>
    <cellStyle name="Vírgula 7 2" xfId="4858"/>
    <cellStyle name="Normal 2 5" xfId="4859"/>
    <cellStyle name="Porcentagem 5 3" xfId="4860"/>
    <cellStyle name="20% - Accent1 3 2" xfId="4861"/>
    <cellStyle name="20% - Accent2 3 2" xfId="4862"/>
    <cellStyle name="20% - Accent3 3 2" xfId="4863"/>
    <cellStyle name="20% - Accent4 3 2" xfId="4864"/>
    <cellStyle name="20% - Accent5 3 2" xfId="4865"/>
    <cellStyle name="20% - Accent6 3 2" xfId="4866"/>
    <cellStyle name="20% - Ênfase1 2 2" xfId="4867"/>
    <cellStyle name="20% - Ênfase1 2 2 2" xfId="4868"/>
    <cellStyle name="20% - Ênfase1 2 2 2 2" xfId="4869"/>
    <cellStyle name="20% - Ênfase1 2 2 2 3" xfId="4870"/>
    <cellStyle name="20% - Ênfase1 2 2 3" xfId="4871"/>
    <cellStyle name="20% - Ênfase1 2 2 4" xfId="4872"/>
    <cellStyle name="20% - Ênfase1 2 2 5" xfId="4873"/>
    <cellStyle name="20% - Ênfase1 2 3" xfId="4874"/>
    <cellStyle name="20% - Ênfase1 2 3 2" xfId="4875"/>
    <cellStyle name="20% - Ênfase1 2 3 2 2" xfId="4876"/>
    <cellStyle name="20% - Ênfase1 2 3 2 3" xfId="4877"/>
    <cellStyle name="20% - Ênfase1 2 3 3" xfId="4878"/>
    <cellStyle name="20% - Ênfase1 2 3 4" xfId="4879"/>
    <cellStyle name="20% - Ênfase1 2 4" xfId="4880"/>
    <cellStyle name="20% - Ênfase1 2 5" xfId="4881"/>
    <cellStyle name="20% - Ênfase1 2 5 2" xfId="4882"/>
    <cellStyle name="20% - Ênfase1 2 5 3" xfId="4883"/>
    <cellStyle name="20% - Ênfase1 3" xfId="4884"/>
    <cellStyle name="20% - Ênfase1 3 2" xfId="4885"/>
    <cellStyle name="20% - Ênfase1 3 2 2" xfId="4886"/>
    <cellStyle name="20% - Ênfase1 3 2 2 2" xfId="4887"/>
    <cellStyle name="20% - Ênfase1 3 2 2 3" xfId="4888"/>
    <cellStyle name="20% - Ênfase1 3 2 3" xfId="4889"/>
    <cellStyle name="20% - Ênfase1 3 2 4" xfId="4890"/>
    <cellStyle name="20% - Ênfase1 3 3" xfId="4891"/>
    <cellStyle name="20% - Ênfase1 3 3 2" xfId="4892"/>
    <cellStyle name="20% - Ênfase1 3 3 3" xfId="4893"/>
    <cellStyle name="20% - Ênfase1 3 4" xfId="4894"/>
    <cellStyle name="20% - Ênfase1 3 4 2" xfId="4895"/>
    <cellStyle name="20% - Ênfase1 3 4 3" xfId="4896"/>
    <cellStyle name="20% - Ênfase1 3 5" xfId="4897"/>
    <cellStyle name="20% - Ênfase1 3 6" xfId="4898"/>
    <cellStyle name="20% - Ênfase1 3 7" xfId="4899"/>
    <cellStyle name="20% - Ênfase1 4" xfId="4900"/>
    <cellStyle name="20% - Ênfase1 4 2" xfId="4901"/>
    <cellStyle name="20% - Ênfase1 4 2 2" xfId="4902"/>
    <cellStyle name="20% - Ênfase1 4 2 2 2" xfId="4903"/>
    <cellStyle name="20% - Ênfase1 4 2 2 3" xfId="4904"/>
    <cellStyle name="20% - Ênfase1 4 2 3" xfId="4905"/>
    <cellStyle name="20% - Ênfase1 4 2 4" xfId="4906"/>
    <cellStyle name="20% - Ênfase1 4 3" xfId="4907"/>
    <cellStyle name="20% - Ênfase1 4 3 2" xfId="4908"/>
    <cellStyle name="20% - Ênfase1 4 3 3" xfId="4909"/>
    <cellStyle name="20% - Ênfase1 4 4" xfId="4910"/>
    <cellStyle name="20% - Ênfase1 4 4 2" xfId="4911"/>
    <cellStyle name="20% - Ênfase1 4 4 3" xfId="4912"/>
    <cellStyle name="20% - Ênfase1 4 5" xfId="4913"/>
    <cellStyle name="20% - Ênfase1 4 6" xfId="4914"/>
    <cellStyle name="20% - Ênfase1 4 7" xfId="4915"/>
    <cellStyle name="20% - Ênfase1 5" xfId="4916"/>
    <cellStyle name="20% - Ênfase1 5 2" xfId="4917"/>
    <cellStyle name="20% - Ênfase1 5 2 2" xfId="4918"/>
    <cellStyle name="20% - Ênfase1 5 2 3" xfId="4919"/>
    <cellStyle name="20% - Ênfase1 5 3" xfId="4920"/>
    <cellStyle name="20% - Ênfase1 5 4" xfId="4921"/>
    <cellStyle name="20% - Ênfase1 5 5" xfId="4922"/>
    <cellStyle name="20% - Ênfase1 6" xfId="4923"/>
    <cellStyle name="20% - Ênfase1 6 2" xfId="4924"/>
    <cellStyle name="20% - Ênfase1 6 2 2" xfId="4925"/>
    <cellStyle name="20% - Ênfase1 6 2 3" xfId="4926"/>
    <cellStyle name="20% - Ênfase1 6 3" xfId="4927"/>
    <cellStyle name="20% - Ênfase1 6 4" xfId="4928"/>
    <cellStyle name="20% - Ênfase1 7" xfId="4929"/>
    <cellStyle name="20% - Ênfase1 8" xfId="4930"/>
    <cellStyle name="20% - Ênfase1 8 2" xfId="4931"/>
    <cellStyle name="20% - Ênfase1 8 3" xfId="4932"/>
    <cellStyle name="20% - Ênfase2 2 2" xfId="4933"/>
    <cellStyle name="20% - Ênfase2 2 2 2" xfId="4934"/>
    <cellStyle name="20% - Ênfase2 2 2 2 2" xfId="4935"/>
    <cellStyle name="20% - Ênfase2 2 2 2 3" xfId="4936"/>
    <cellStyle name="20% - Ênfase2 2 2 3" xfId="4937"/>
    <cellStyle name="20% - Ênfase2 2 2 4" xfId="4938"/>
    <cellStyle name="20% - Ênfase2 2 2 5" xfId="4939"/>
    <cellStyle name="20% - Ênfase2 2 3" xfId="4940"/>
    <cellStyle name="20% - Ênfase2 2 3 2" xfId="4941"/>
    <cellStyle name="20% - Ênfase2 2 3 2 2" xfId="4942"/>
    <cellStyle name="20% - Ênfase2 2 3 2 3" xfId="4943"/>
    <cellStyle name="20% - Ênfase2 2 3 3" xfId="4944"/>
    <cellStyle name="20% - Ênfase2 2 3 4" xfId="4945"/>
    <cellStyle name="20% - Ênfase2 2 4" xfId="4946"/>
    <cellStyle name="20% - Ênfase2 2 5" xfId="4947"/>
    <cellStyle name="20% - Ênfase2 2 5 2" xfId="4948"/>
    <cellStyle name="20% - Ênfase2 2 5 3" xfId="4949"/>
    <cellStyle name="20% - Ênfase2 3" xfId="4950"/>
    <cellStyle name="20% - Ênfase2 3 2" xfId="4951"/>
    <cellStyle name="20% - Ênfase2 3 2 2" xfId="4952"/>
    <cellStyle name="20% - Ênfase2 3 2 2 2" xfId="4953"/>
    <cellStyle name="20% - Ênfase2 3 2 2 3" xfId="4954"/>
    <cellStyle name="20% - Ênfase2 3 2 3" xfId="4955"/>
    <cellStyle name="20% - Ênfase2 3 2 4" xfId="4956"/>
    <cellStyle name="20% - Ênfase2 3 3" xfId="4957"/>
    <cellStyle name="20% - Ênfase2 3 3 2" xfId="4958"/>
    <cellStyle name="20% - Ênfase2 3 3 3" xfId="4959"/>
    <cellStyle name="20% - Ênfase2 3 4" xfId="4960"/>
    <cellStyle name="20% - Ênfase2 3 4 2" xfId="4961"/>
    <cellStyle name="20% - Ênfase2 3 4 3" xfId="4962"/>
    <cellStyle name="20% - Ênfase2 3 5" xfId="4963"/>
    <cellStyle name="20% - Ênfase2 3 6" xfId="4964"/>
    <cellStyle name="20% - Ênfase2 3 7" xfId="4965"/>
    <cellStyle name="20% - Ênfase2 4" xfId="4966"/>
    <cellStyle name="20% - Ênfase2 4 2" xfId="4967"/>
    <cellStyle name="20% - Ênfase2 4 2 2" xfId="4968"/>
    <cellStyle name="20% - Ênfase2 4 2 2 2" xfId="4969"/>
    <cellStyle name="20% - Ênfase2 4 2 2 3" xfId="4970"/>
    <cellStyle name="20% - Ênfase2 4 2 3" xfId="4971"/>
    <cellStyle name="20% - Ênfase2 4 2 4" xfId="4972"/>
    <cellStyle name="20% - Ênfase2 4 3" xfId="4973"/>
    <cellStyle name="20% - Ênfase2 4 3 2" xfId="4974"/>
    <cellStyle name="20% - Ênfase2 4 3 3" xfId="4975"/>
    <cellStyle name="20% - Ênfase2 4 4" xfId="4976"/>
    <cellStyle name="20% - Ênfase2 4 4 2" xfId="4977"/>
    <cellStyle name="20% - Ênfase2 4 4 3" xfId="4978"/>
    <cellStyle name="20% - Ênfase2 4 5" xfId="4979"/>
    <cellStyle name="20% - Ênfase2 4 6" xfId="4980"/>
    <cellStyle name="20% - Ênfase2 4 7" xfId="4981"/>
    <cellStyle name="20% - Ênfase2 5" xfId="4982"/>
    <cellStyle name="20% - Ênfase2 5 2" xfId="4983"/>
    <cellStyle name="20% - Ênfase2 5 2 2" xfId="4984"/>
    <cellStyle name="20% - Ênfase2 5 2 3" xfId="4985"/>
    <cellStyle name="20% - Ênfase2 5 3" xfId="4986"/>
    <cellStyle name="20% - Ênfase2 5 4" xfId="4987"/>
    <cellStyle name="20% - Ênfase2 5 5" xfId="4988"/>
    <cellStyle name="20% - Ênfase2 6" xfId="4989"/>
    <cellStyle name="20% - Ênfase2 6 2" xfId="4990"/>
    <cellStyle name="20% - Ênfase2 6 2 2" xfId="4991"/>
    <cellStyle name="20% - Ênfase2 6 2 3" xfId="4992"/>
    <cellStyle name="20% - Ênfase2 6 3" xfId="4993"/>
    <cellStyle name="20% - Ênfase2 6 4" xfId="4994"/>
    <cellStyle name="20% - Ênfase2 7" xfId="4995"/>
    <cellStyle name="20% - Ênfase2 8" xfId="4996"/>
    <cellStyle name="20% - Ênfase2 8 2" xfId="4997"/>
    <cellStyle name="20% - Ênfase2 8 3" xfId="4998"/>
    <cellStyle name="20% - Ênfase3 2 2" xfId="4999"/>
    <cellStyle name="20% - Ênfase3 2 2 2" xfId="5000"/>
    <cellStyle name="20% - Ênfase3 2 2 2 2" xfId="5001"/>
    <cellStyle name="20% - Ênfase3 2 2 2 3" xfId="5002"/>
    <cellStyle name="20% - Ênfase3 2 2 3" xfId="5003"/>
    <cellStyle name="20% - Ênfase3 2 2 4" xfId="5004"/>
    <cellStyle name="20% - Ênfase3 2 2 5" xfId="5005"/>
    <cellStyle name="20% - Ênfase3 2 3" xfId="5006"/>
    <cellStyle name="20% - Ênfase3 2 3 2" xfId="5007"/>
    <cellStyle name="20% - Ênfase3 2 3 2 2" xfId="5008"/>
    <cellStyle name="20% - Ênfase3 2 3 2 3" xfId="5009"/>
    <cellStyle name="20% - Ênfase3 2 3 3" xfId="5010"/>
    <cellStyle name="20% - Ênfase3 2 3 4" xfId="5011"/>
    <cellStyle name="20% - Ênfase3 2 4" xfId="5012"/>
    <cellStyle name="20% - Ênfase3 2 5" xfId="5013"/>
    <cellStyle name="20% - Ênfase3 2 5 2" xfId="5014"/>
    <cellStyle name="20% - Ênfase3 2 5 3" xfId="5015"/>
    <cellStyle name="20% - Ênfase3 3" xfId="5016"/>
    <cellStyle name="20% - Ênfase3 3 2" xfId="5017"/>
    <cellStyle name="20% - Ênfase3 3 2 2" xfId="5018"/>
    <cellStyle name="20% - Ênfase3 3 2 2 2" xfId="5019"/>
    <cellStyle name="20% - Ênfase3 3 2 2 3" xfId="5020"/>
    <cellStyle name="20% - Ênfase3 3 2 3" xfId="5021"/>
    <cellStyle name="20% - Ênfase3 3 2 4" xfId="5022"/>
    <cellStyle name="20% - Ênfase3 3 3" xfId="5023"/>
    <cellStyle name="20% - Ênfase3 3 3 2" xfId="5024"/>
    <cellStyle name="20% - Ênfase3 3 3 3" xfId="5025"/>
    <cellStyle name="20% - Ênfase3 3 4" xfId="5026"/>
    <cellStyle name="20% - Ênfase3 3 4 2" xfId="5027"/>
    <cellStyle name="20% - Ênfase3 3 4 3" xfId="5028"/>
    <cellStyle name="20% - Ênfase3 3 5" xfId="5029"/>
    <cellStyle name="20% - Ênfase3 3 6" xfId="5030"/>
    <cellStyle name="20% - Ênfase3 3 7" xfId="5031"/>
    <cellStyle name="20% - Ênfase3 4" xfId="5032"/>
    <cellStyle name="20% - Ênfase3 4 2" xfId="5033"/>
    <cellStyle name="20% - Ênfase3 4 2 2" xfId="5034"/>
    <cellStyle name="20% - Ênfase3 4 2 2 2" xfId="5035"/>
    <cellStyle name="20% - Ênfase3 4 2 2 3" xfId="5036"/>
    <cellStyle name="20% - Ênfase3 4 2 3" xfId="5037"/>
    <cellStyle name="20% - Ênfase3 4 2 4" xfId="5038"/>
    <cellStyle name="20% - Ênfase3 4 3" xfId="5039"/>
    <cellStyle name="20% - Ênfase3 4 3 2" xfId="5040"/>
    <cellStyle name="20% - Ênfase3 4 3 3" xfId="5041"/>
    <cellStyle name="20% - Ênfase3 4 4" xfId="5042"/>
    <cellStyle name="20% - Ênfase3 4 4 2" xfId="5043"/>
    <cellStyle name="20% - Ênfase3 4 4 3" xfId="5044"/>
    <cellStyle name="20% - Ênfase3 4 5" xfId="5045"/>
    <cellStyle name="20% - Ênfase3 4 6" xfId="5046"/>
    <cellStyle name="20% - Ênfase3 4 7" xfId="5047"/>
    <cellStyle name="20% - Ênfase3 5" xfId="5048"/>
    <cellStyle name="20% - Ênfase3 5 2" xfId="5049"/>
    <cellStyle name="20% - Ênfase3 5 2 2" xfId="5050"/>
    <cellStyle name="20% - Ênfase3 5 2 3" xfId="5051"/>
    <cellStyle name="20% - Ênfase3 5 3" xfId="5052"/>
    <cellStyle name="20% - Ênfase3 5 4" xfId="5053"/>
    <cellStyle name="20% - Ênfase3 5 5" xfId="5054"/>
    <cellStyle name="20% - Ênfase3 6" xfId="5055"/>
    <cellStyle name="20% - Ênfase3 6 2" xfId="5056"/>
    <cellStyle name="20% - Ênfase3 6 2 2" xfId="5057"/>
    <cellStyle name="20% - Ênfase3 6 2 3" xfId="5058"/>
    <cellStyle name="20% - Ênfase3 6 3" xfId="5059"/>
    <cellStyle name="20% - Ênfase3 6 4" xfId="5060"/>
    <cellStyle name="20% - Ênfase3 7" xfId="5061"/>
    <cellStyle name="20% - Ênfase3 8" xfId="5062"/>
    <cellStyle name="20% - Ênfase3 8 2" xfId="5063"/>
    <cellStyle name="20% - Ênfase3 8 3" xfId="5064"/>
    <cellStyle name="20% - Ênfase4 2" xfId="5065"/>
    <cellStyle name="20% - Ênfase4 2 2" xfId="5066"/>
    <cellStyle name="20% - Ênfase4 2 2 2" xfId="5067"/>
    <cellStyle name="20% - Ênfase4 2 2 2 2" xfId="5068"/>
    <cellStyle name="20% - Ênfase4 2 2 2 3" xfId="5069"/>
    <cellStyle name="20% - Ênfase4 2 2 3" xfId="5070"/>
    <cellStyle name="20% - Ênfase4 2 2 4" xfId="5071"/>
    <cellStyle name="20% - Ênfase4 2 2 5" xfId="5072"/>
    <cellStyle name="20% - Ênfase4 2 3" xfId="5073"/>
    <cellStyle name="20% - Ênfase4 2 3 2" xfId="5074"/>
    <cellStyle name="20% - Ênfase4 2 3 2 2" xfId="5075"/>
    <cellStyle name="20% - Ênfase4 2 3 2 3" xfId="5076"/>
    <cellStyle name="20% - Ênfase4 2 3 3" xfId="5077"/>
    <cellStyle name="20% - Ênfase4 2 3 4" xfId="5078"/>
    <cellStyle name="20% - Ênfase4 2 4" xfId="5079"/>
    <cellStyle name="20% - Ênfase4 2 5" xfId="5080"/>
    <cellStyle name="20% - Ênfase4 2 5 2" xfId="5081"/>
    <cellStyle name="20% - Ênfase4 2 5 3" xfId="5082"/>
    <cellStyle name="20% - Ênfase4 3" xfId="5083"/>
    <cellStyle name="20% - Ênfase4 3 2" xfId="5084"/>
    <cellStyle name="20% - Ênfase4 3 2 2" xfId="5085"/>
    <cellStyle name="20% - Ênfase4 3 2 2 2" xfId="5086"/>
    <cellStyle name="20% - Ênfase4 3 2 2 3" xfId="5087"/>
    <cellStyle name="20% - Ênfase4 3 2 3" xfId="5088"/>
    <cellStyle name="20% - Ênfase4 3 2 4" xfId="5089"/>
    <cellStyle name="20% - Ênfase4 3 3" xfId="5090"/>
    <cellStyle name="20% - Ênfase4 3 3 2" xfId="5091"/>
    <cellStyle name="20% - Ênfase4 3 3 3" xfId="5092"/>
    <cellStyle name="20% - Ênfase4 3 4" xfId="5093"/>
    <cellStyle name="20% - Ênfase4 3 4 2" xfId="5094"/>
    <cellStyle name="20% - Ênfase4 3 4 3" xfId="5095"/>
    <cellStyle name="20% - Ênfase4 3 5" xfId="5096"/>
    <cellStyle name="20% - Ênfase4 3 6" xfId="5097"/>
    <cellStyle name="20% - Ênfase4 3 7" xfId="5098"/>
    <cellStyle name="20% - Ênfase4 4" xfId="5099"/>
    <cellStyle name="20% - Ênfase4 4 2" xfId="5100"/>
    <cellStyle name="20% - Ênfase4 4 2 2" xfId="5101"/>
    <cellStyle name="20% - Ênfase4 4 2 2 2" xfId="5102"/>
    <cellStyle name="20% - Ênfase4 4 2 2 3" xfId="5103"/>
    <cellStyle name="20% - Ênfase4 4 2 3" xfId="5104"/>
    <cellStyle name="20% - Ênfase4 4 2 4" xfId="5105"/>
    <cellStyle name="20% - Ênfase4 4 3" xfId="5106"/>
    <cellStyle name="20% - Ênfase4 4 3 2" xfId="5107"/>
    <cellStyle name="20% - Ênfase4 4 3 3" xfId="5108"/>
    <cellStyle name="20% - Ênfase4 4 4" xfId="5109"/>
    <cellStyle name="20% - Ênfase4 4 4 2" xfId="5110"/>
    <cellStyle name="20% - Ênfase4 4 4 3" xfId="5111"/>
    <cellStyle name="20% - Ênfase4 4 5" xfId="5112"/>
    <cellStyle name="20% - Ênfase4 4 6" xfId="5113"/>
    <cellStyle name="20% - Ênfase4 4 7" xfId="5114"/>
    <cellStyle name="20% - Ênfase4 5" xfId="5115"/>
    <cellStyle name="20% - Ênfase4 5 2" xfId="5116"/>
    <cellStyle name="20% - Ênfase4 5 2 2" xfId="5117"/>
    <cellStyle name="20% - Ênfase4 5 2 3" xfId="5118"/>
    <cellStyle name="20% - Ênfase4 5 3" xfId="5119"/>
    <cellStyle name="20% - Ênfase4 5 4" xfId="5120"/>
    <cellStyle name="20% - Ênfase4 5 5" xfId="5121"/>
    <cellStyle name="20% - Ênfase4 6" xfId="5122"/>
    <cellStyle name="20% - Ênfase4 6 2" xfId="5123"/>
    <cellStyle name="20% - Ênfase4 6 2 2" xfId="5124"/>
    <cellStyle name="20% - Ênfase4 6 2 3" xfId="5125"/>
    <cellStyle name="20% - Ênfase4 6 3" xfId="5126"/>
    <cellStyle name="20% - Ênfase4 6 4" xfId="5127"/>
    <cellStyle name="20% - Ênfase4 7" xfId="5128"/>
    <cellStyle name="20% - Ênfase4 8" xfId="5129"/>
    <cellStyle name="20% - Ênfase4 8 2" xfId="5130"/>
    <cellStyle name="20% - Ênfase4 8 3" xfId="5131"/>
    <cellStyle name="20% - Ênfase5 2 2" xfId="5132"/>
    <cellStyle name="20% - Ênfase5 2 2 2" xfId="5133"/>
    <cellStyle name="20% - Ênfase5 2 2 2 2" xfId="5134"/>
    <cellStyle name="20% - Ênfase5 2 2 2 3" xfId="5135"/>
    <cellStyle name="20% - Ênfase5 2 2 3" xfId="5136"/>
    <cellStyle name="20% - Ênfase5 2 2 4" xfId="5137"/>
    <cellStyle name="20% - Ênfase5 2 2 5" xfId="5138"/>
    <cellStyle name="20% - Ênfase5 2 3" xfId="5139"/>
    <cellStyle name="20% - Ênfase5 2 3 2" xfId="5140"/>
    <cellStyle name="20% - Ênfase5 2 3 2 2" xfId="5141"/>
    <cellStyle name="20% - Ênfase5 2 3 2 3" xfId="5142"/>
    <cellStyle name="20% - Ênfase5 2 3 3" xfId="5143"/>
    <cellStyle name="20% - Ênfase5 2 3 4" xfId="5144"/>
    <cellStyle name="20% - Ênfase5 2 4" xfId="5145"/>
    <cellStyle name="20% - Ênfase5 2 5" xfId="5146"/>
    <cellStyle name="20% - Ênfase5 2 5 2" xfId="5147"/>
    <cellStyle name="20% - Ênfase5 2 5 3" xfId="5148"/>
    <cellStyle name="20% - Ênfase5 3" xfId="5149"/>
    <cellStyle name="20% - Ênfase5 3 2" xfId="5150"/>
    <cellStyle name="20% - Ênfase5 3 2 2" xfId="5151"/>
    <cellStyle name="20% - Ênfase5 3 2 2 2" xfId="5152"/>
    <cellStyle name="20% - Ênfase5 3 2 2 3" xfId="5153"/>
    <cellStyle name="20% - Ênfase5 3 2 3" xfId="5154"/>
    <cellStyle name="20% - Ênfase5 3 2 4" xfId="5155"/>
    <cellStyle name="20% - Ênfase5 3 3" xfId="5156"/>
    <cellStyle name="20% - Ênfase5 3 3 2" xfId="5157"/>
    <cellStyle name="20% - Ênfase5 3 3 3" xfId="5158"/>
    <cellStyle name="20% - Ênfase5 3 4" xfId="5159"/>
    <cellStyle name="20% - Ênfase5 3 4 2" xfId="5160"/>
    <cellStyle name="20% - Ênfase5 3 4 3" xfId="5161"/>
    <cellStyle name="20% - Ênfase5 3 5" xfId="5162"/>
    <cellStyle name="20% - Ênfase5 3 6" xfId="5163"/>
    <cellStyle name="20% - Ênfase5 3 7" xfId="5164"/>
    <cellStyle name="20% - Ênfase5 4" xfId="5165"/>
    <cellStyle name="20% - Ênfase5 4 2" xfId="5166"/>
    <cellStyle name="20% - Ênfase5 4 2 2" xfId="5167"/>
    <cellStyle name="20% - Ênfase5 4 2 2 2" xfId="5168"/>
    <cellStyle name="20% - Ênfase5 4 2 2 3" xfId="5169"/>
    <cellStyle name="20% - Ênfase5 4 2 3" xfId="5170"/>
    <cellStyle name="20% - Ênfase5 4 2 4" xfId="5171"/>
    <cellStyle name="20% - Ênfase5 4 3" xfId="5172"/>
    <cellStyle name="20% - Ênfase5 4 3 2" xfId="5173"/>
    <cellStyle name="20% - Ênfase5 4 3 3" xfId="5174"/>
    <cellStyle name="20% - Ênfase5 4 4" xfId="5175"/>
    <cellStyle name="20% - Ênfase5 4 4 2" xfId="5176"/>
    <cellStyle name="20% - Ênfase5 4 4 3" xfId="5177"/>
    <cellStyle name="20% - Ênfase5 4 5" xfId="5178"/>
    <cellStyle name="20% - Ênfase5 4 6" xfId="5179"/>
    <cellStyle name="20% - Ênfase5 4 7" xfId="5180"/>
    <cellStyle name="20% - Ênfase5 5" xfId="5181"/>
    <cellStyle name="20% - Ênfase5 5 2" xfId="5182"/>
    <cellStyle name="20% - Ênfase5 5 2 2" xfId="5183"/>
    <cellStyle name="20% - Ênfase5 5 2 3" xfId="5184"/>
    <cellStyle name="20% - Ênfase5 5 3" xfId="5185"/>
    <cellStyle name="20% - Ênfase5 5 4" xfId="5186"/>
    <cellStyle name="20% - Ênfase5 5 5" xfId="5187"/>
    <cellStyle name="20% - Ênfase5 6" xfId="5188"/>
    <cellStyle name="20% - Ênfase5 6 2" xfId="5189"/>
    <cellStyle name="20% - Ênfase5 6 2 2" xfId="5190"/>
    <cellStyle name="20% - Ênfase5 6 2 3" xfId="5191"/>
    <cellStyle name="20% - Ênfase5 6 3" xfId="5192"/>
    <cellStyle name="20% - Ênfase5 6 4" xfId="5193"/>
    <cellStyle name="20% - Ênfase5 7" xfId="5194"/>
    <cellStyle name="20% - Ênfase5 8" xfId="5195"/>
    <cellStyle name="20% - Ênfase5 8 2" xfId="5196"/>
    <cellStyle name="20% - Ênfase5 8 3" xfId="5197"/>
    <cellStyle name="20% - Ênfase6 2 2" xfId="5198"/>
    <cellStyle name="20% - Ênfase6 2 2 2" xfId="5199"/>
    <cellStyle name="20% - Ênfase6 2 2 2 2" xfId="5200"/>
    <cellStyle name="20% - Ênfase6 2 2 2 3" xfId="5201"/>
    <cellStyle name="20% - Ênfase6 2 2 3" xfId="5202"/>
    <cellStyle name="20% - Ênfase6 2 2 4" xfId="5203"/>
    <cellStyle name="20% - Ênfase6 2 2 5" xfId="5204"/>
    <cellStyle name="20% - Ênfase6 2 3" xfId="5205"/>
    <cellStyle name="20% - Ênfase6 2 3 2" xfId="5206"/>
    <cellStyle name="20% - Ênfase6 2 3 2 2" xfId="5207"/>
    <cellStyle name="20% - Ênfase6 2 3 2 3" xfId="5208"/>
    <cellStyle name="20% - Ênfase6 2 3 3" xfId="5209"/>
    <cellStyle name="20% - Ênfase6 2 3 4" xfId="5210"/>
    <cellStyle name="20% - Ênfase6 2 4" xfId="5211"/>
    <cellStyle name="20% - Ênfase6 2 5" xfId="5212"/>
    <cellStyle name="20% - Ênfase6 2 5 2" xfId="5213"/>
    <cellStyle name="20% - Ênfase6 2 5 3" xfId="5214"/>
    <cellStyle name="20% - Ênfase6 3" xfId="5215"/>
    <cellStyle name="20% - Ênfase6 3 2" xfId="5216"/>
    <cellStyle name="20% - Ênfase6 3 2 2" xfId="5217"/>
    <cellStyle name="20% - Ênfase6 3 2 2 2" xfId="5218"/>
    <cellStyle name="20% - Ênfase6 3 2 2 3" xfId="5219"/>
    <cellStyle name="20% - Ênfase6 3 2 3" xfId="5220"/>
    <cellStyle name="20% - Ênfase6 3 2 4" xfId="5221"/>
    <cellStyle name="20% - Ênfase6 3 3" xfId="5222"/>
    <cellStyle name="20% - Ênfase6 3 3 2" xfId="5223"/>
    <cellStyle name="20% - Ênfase6 3 3 3" xfId="5224"/>
    <cellStyle name="20% - Ênfase6 3 4" xfId="5225"/>
    <cellStyle name="20% - Ênfase6 3 4 2" xfId="5226"/>
    <cellStyle name="20% - Ênfase6 3 4 3" xfId="5227"/>
    <cellStyle name="20% - Ênfase6 3 5" xfId="5228"/>
    <cellStyle name="20% - Ênfase6 3 6" xfId="5229"/>
    <cellStyle name="20% - Ênfase6 3 7" xfId="5230"/>
    <cellStyle name="20% - Ênfase6 4" xfId="5231"/>
    <cellStyle name="20% - Ênfase6 4 2" xfId="5232"/>
    <cellStyle name="20% - Ênfase6 4 2 2" xfId="5233"/>
    <cellStyle name="20% - Ênfase6 4 2 2 2" xfId="5234"/>
    <cellStyle name="20% - Ênfase6 4 2 2 3" xfId="5235"/>
    <cellStyle name="20% - Ênfase6 4 2 3" xfId="5236"/>
    <cellStyle name="20% - Ênfase6 4 2 4" xfId="5237"/>
    <cellStyle name="20% - Ênfase6 4 3" xfId="5238"/>
    <cellStyle name="20% - Ênfase6 4 3 2" xfId="5239"/>
    <cellStyle name="20% - Ênfase6 4 3 3" xfId="5240"/>
    <cellStyle name="20% - Ênfase6 4 4" xfId="5241"/>
    <cellStyle name="20% - Ênfase6 4 4 2" xfId="5242"/>
    <cellStyle name="20% - Ênfase6 4 4 3" xfId="5243"/>
    <cellStyle name="20% - Ênfase6 4 5" xfId="5244"/>
    <cellStyle name="20% - Ênfase6 4 6" xfId="5245"/>
    <cellStyle name="20% - Ênfase6 4 7" xfId="5246"/>
    <cellStyle name="20% - Ênfase6 5" xfId="5247"/>
    <cellStyle name="20% - Ênfase6 5 2" xfId="5248"/>
    <cellStyle name="20% - Ênfase6 5 2 2" xfId="5249"/>
    <cellStyle name="20% - Ênfase6 5 2 3" xfId="5250"/>
    <cellStyle name="20% - Ênfase6 5 3" xfId="5251"/>
    <cellStyle name="20% - Ênfase6 5 4" xfId="5252"/>
    <cellStyle name="20% - Ênfase6 5 5" xfId="5253"/>
    <cellStyle name="20% - Ênfase6 6" xfId="5254"/>
    <cellStyle name="20% - Ênfase6 6 2" xfId="5255"/>
    <cellStyle name="20% - Ênfase6 6 2 2" xfId="5256"/>
    <cellStyle name="20% - Ênfase6 6 2 3" xfId="5257"/>
    <cellStyle name="20% - Ênfase6 6 3" xfId="5258"/>
    <cellStyle name="20% - Ênfase6 6 4" xfId="5259"/>
    <cellStyle name="20% - Ênfase6 7" xfId="5260"/>
    <cellStyle name="20% - Ênfase6 8" xfId="5261"/>
    <cellStyle name="20% - Ênfase6 8 2" xfId="5262"/>
    <cellStyle name="20% - Ênfase6 8 3" xfId="5263"/>
    <cellStyle name="40% - Accent1 3 2" xfId="5264"/>
    <cellStyle name="40% - Accent2 3 2" xfId="5265"/>
    <cellStyle name="40% - Accent3 3 2" xfId="5266"/>
    <cellStyle name="40% - Accent4 3 2" xfId="5267"/>
    <cellStyle name="40% - Accent5 3 2" xfId="5268"/>
    <cellStyle name="40% - Accent6 3" xfId="5269"/>
    <cellStyle name="40% - Ênfase1 2 2" xfId="5270"/>
    <cellStyle name="40% - Ênfase1 2 2 2" xfId="5271"/>
    <cellStyle name="40% - Ênfase1 2 2 2 2" xfId="5272"/>
    <cellStyle name="40% - Ênfase1 2 2 2 3" xfId="5273"/>
    <cellStyle name="40% - Ênfase1 2 2 3" xfId="5274"/>
    <cellStyle name="40% - Ênfase1 2 2 4" xfId="5275"/>
    <cellStyle name="40% - Ênfase1 2 2 5" xfId="5276"/>
    <cellStyle name="40% - Ênfase1 2 3" xfId="5277"/>
    <cellStyle name="40% - Ênfase1 2 3 2" xfId="5278"/>
    <cellStyle name="40% - Ênfase1 2 3 2 2" xfId="5279"/>
    <cellStyle name="40% - Ênfase1 2 3 2 3" xfId="5280"/>
    <cellStyle name="40% - Ênfase1 2 3 3" xfId="5281"/>
    <cellStyle name="40% - Ênfase1 2 3 4" xfId="5282"/>
    <cellStyle name="40% - Ênfase1 2 4" xfId="5283"/>
    <cellStyle name="40% - Ênfase1 2 5" xfId="5284"/>
    <cellStyle name="40% - Ênfase1 2 5 2" xfId="5285"/>
    <cellStyle name="40% - Ênfase1 2 5 3" xfId="5286"/>
    <cellStyle name="40% - Ênfase1 3" xfId="5287"/>
    <cellStyle name="40% - Ênfase1 3 2" xfId="5288"/>
    <cellStyle name="40% - Ênfase1 3 2 2" xfId="5289"/>
    <cellStyle name="40% - Ênfase1 3 2 2 2" xfId="5290"/>
    <cellStyle name="40% - Ênfase1 3 2 2 3" xfId="5291"/>
    <cellStyle name="40% - Ênfase1 3 2 3" xfId="5292"/>
    <cellStyle name="40% - Ênfase1 3 2 4" xfId="5293"/>
    <cellStyle name="40% - Ênfase1 3 3" xfId="5294"/>
    <cellStyle name="40% - Ênfase1 3 3 2" xfId="5295"/>
    <cellStyle name="40% - Ênfase1 3 3 3" xfId="5296"/>
    <cellStyle name="40% - Ênfase1 3 4" xfId="5297"/>
    <cellStyle name="40% - Ênfase1 3 4 2" xfId="5298"/>
    <cellStyle name="40% - Ênfase1 3 4 3" xfId="5299"/>
    <cellStyle name="40% - Ênfase1 3 5" xfId="5300"/>
    <cellStyle name="40% - Ênfase1 3 6" xfId="5301"/>
    <cellStyle name="40% - Ênfase1 3 7" xfId="5302"/>
    <cellStyle name="40% - Ênfase1 4" xfId="5303"/>
    <cellStyle name="40% - Ênfase1 4 2" xfId="5304"/>
    <cellStyle name="40% - Ênfase1 4 2 2" xfId="5305"/>
    <cellStyle name="40% - Ênfase1 4 2 2 2" xfId="5306"/>
    <cellStyle name="40% - Ênfase1 4 2 2 3" xfId="5307"/>
    <cellStyle name="40% - Ênfase1 4 2 3" xfId="5308"/>
    <cellStyle name="40% - Ênfase1 4 2 4" xfId="5309"/>
    <cellStyle name="40% - Ênfase1 4 3" xfId="5310"/>
    <cellStyle name="40% - Ênfase1 4 3 2" xfId="5311"/>
    <cellStyle name="40% - Ênfase1 4 3 3" xfId="5312"/>
    <cellStyle name="40% - Ênfase1 4 4" xfId="5313"/>
    <cellStyle name="40% - Ênfase1 4 4 2" xfId="5314"/>
    <cellStyle name="40% - Ênfase1 4 4 3" xfId="5315"/>
    <cellStyle name="40% - Ênfase1 4 5" xfId="5316"/>
    <cellStyle name="40% - Ênfase1 4 6" xfId="5317"/>
    <cellStyle name="40% - Ênfase1 4 7" xfId="5318"/>
    <cellStyle name="40% - Ênfase1 5" xfId="5319"/>
    <cellStyle name="40% - Ênfase1 5 2" xfId="5320"/>
    <cellStyle name="40% - Ênfase1 5 2 2" xfId="5321"/>
    <cellStyle name="40% - Ênfase1 5 2 3" xfId="5322"/>
    <cellStyle name="40% - Ênfase1 5 3" xfId="5323"/>
    <cellStyle name="40% - Ênfase1 5 4" xfId="5324"/>
    <cellStyle name="40% - Ênfase1 5 5" xfId="5325"/>
    <cellStyle name="40% - Ênfase1 6" xfId="5326"/>
    <cellStyle name="40% - Ênfase1 6 2" xfId="5327"/>
    <cellStyle name="40% - Ênfase1 6 2 2" xfId="5328"/>
    <cellStyle name="40% - Ênfase1 6 2 3" xfId="5329"/>
    <cellStyle name="40% - Ênfase1 6 3" xfId="5330"/>
    <cellStyle name="40% - Ênfase1 6 4" xfId="5331"/>
    <cellStyle name="40% - Ênfase1 7" xfId="5332"/>
    <cellStyle name="40% - Ênfase1 8" xfId="5333"/>
    <cellStyle name="40% - Ênfase1 8 2" xfId="5334"/>
    <cellStyle name="40% - Ênfase1 8 3" xfId="5335"/>
    <cellStyle name="40% - Ênfase2 2 2" xfId="5336"/>
    <cellStyle name="40% - Ênfase2 2 2 2" xfId="5337"/>
    <cellStyle name="40% - Ênfase2 2 2 2 2" xfId="5338"/>
    <cellStyle name="40% - Ênfase2 2 2 2 3" xfId="5339"/>
    <cellStyle name="40% - Ênfase2 2 2 3" xfId="5340"/>
    <cellStyle name="40% - Ênfase2 2 2 4" xfId="5341"/>
    <cellStyle name="40% - Ênfase2 2 2 5" xfId="5342"/>
    <cellStyle name="40% - Ênfase2 2 3" xfId="5343"/>
    <cellStyle name="40% - Ênfase2 2 3 2" xfId="5344"/>
    <cellStyle name="40% - Ênfase2 2 3 2 2" xfId="5345"/>
    <cellStyle name="40% - Ênfase2 2 3 2 3" xfId="5346"/>
    <cellStyle name="40% - Ênfase2 2 3 3" xfId="5347"/>
    <cellStyle name="40% - Ênfase2 2 3 4" xfId="5348"/>
    <cellStyle name="40% - Ênfase2 2 4" xfId="5349"/>
    <cellStyle name="40% - Ênfase2 2 5" xfId="5350"/>
    <cellStyle name="40% - Ênfase2 2 5 2" xfId="5351"/>
    <cellStyle name="40% - Ênfase2 2 5 3" xfId="5352"/>
    <cellStyle name="40% - Ênfase2 3" xfId="5353"/>
    <cellStyle name="40% - Ênfase2 3 2" xfId="5354"/>
    <cellStyle name="40% - Ênfase2 3 2 2" xfId="5355"/>
    <cellStyle name="40% - Ênfase2 3 2 2 2" xfId="5356"/>
    <cellStyle name="40% - Ênfase2 3 2 2 3" xfId="5357"/>
    <cellStyle name="40% - Ênfase2 3 2 3" xfId="5358"/>
    <cellStyle name="40% - Ênfase2 3 2 4" xfId="5359"/>
    <cellStyle name="40% - Ênfase2 3 3" xfId="5360"/>
    <cellStyle name="40% - Ênfase2 3 3 2" xfId="5361"/>
    <cellStyle name="40% - Ênfase2 3 3 3" xfId="5362"/>
    <cellStyle name="40% - Ênfase2 3 4" xfId="5363"/>
    <cellStyle name="40% - Ênfase2 3 4 2" xfId="5364"/>
    <cellStyle name="40% - Ênfase2 3 4 3" xfId="5365"/>
    <cellStyle name="40% - Ênfase2 3 5" xfId="5366"/>
    <cellStyle name="40% - Ênfase2 3 6" xfId="5367"/>
    <cellStyle name="40% - Ênfase2 3 7" xfId="5368"/>
    <cellStyle name="40% - Ênfase2 4" xfId="5369"/>
    <cellStyle name="40% - Ênfase2 4 2" xfId="5370"/>
    <cellStyle name="40% - Ênfase2 4 2 2" xfId="5371"/>
    <cellStyle name="40% - Ênfase2 4 2 2 2" xfId="5372"/>
    <cellStyle name="40% - Ênfase2 4 2 2 3" xfId="5373"/>
    <cellStyle name="40% - Ênfase2 4 2 3" xfId="5374"/>
    <cellStyle name="40% - Ênfase2 4 2 4" xfId="5375"/>
    <cellStyle name="40% - Ênfase2 4 3" xfId="5376"/>
    <cellStyle name="40% - Ênfase2 4 3 2" xfId="5377"/>
    <cellStyle name="40% - Ênfase2 4 3 3" xfId="5378"/>
    <cellStyle name="40% - Ênfase2 4 4" xfId="5379"/>
    <cellStyle name="40% - Ênfase2 4 4 2" xfId="5380"/>
    <cellStyle name="40% - Ênfase2 4 4 3" xfId="5381"/>
    <cellStyle name="40% - Ênfase2 4 5" xfId="5382"/>
    <cellStyle name="40% - Ênfase2 4 6" xfId="5383"/>
    <cellStyle name="40% - Ênfase2 4 7" xfId="5384"/>
    <cellStyle name="40% - Ênfase2 5" xfId="5385"/>
    <cellStyle name="40% - Ênfase2 5 2" xfId="5386"/>
    <cellStyle name="40% - Ênfase2 5 2 2" xfId="5387"/>
    <cellStyle name="40% - Ênfase2 5 2 3" xfId="5388"/>
    <cellStyle name="40% - Ênfase2 5 3" xfId="5389"/>
    <cellStyle name="40% - Ênfase2 5 4" xfId="5390"/>
    <cellStyle name="40% - Ênfase2 5 5" xfId="5391"/>
    <cellStyle name="40% - Ênfase2 6" xfId="5392"/>
    <cellStyle name="40% - Ênfase2 6 2" xfId="5393"/>
    <cellStyle name="40% - Ênfase2 6 2 2" xfId="5394"/>
    <cellStyle name="40% - Ênfase2 6 2 3" xfId="5395"/>
    <cellStyle name="40% - Ênfase2 6 3" xfId="5396"/>
    <cellStyle name="40% - Ênfase2 6 4" xfId="5397"/>
    <cellStyle name="40% - Ênfase2 7" xfId="5398"/>
    <cellStyle name="40% - Ênfase2 8" xfId="5399"/>
    <cellStyle name="40% - Ênfase2 8 2" xfId="5400"/>
    <cellStyle name="40% - Ênfase2 8 3" xfId="5401"/>
    <cellStyle name="40% - Ênfase3 2 2" xfId="5402"/>
    <cellStyle name="40% - Ênfase3 2 2 2" xfId="5403"/>
    <cellStyle name="40% - Ênfase3 2 2 2 2" xfId="5404"/>
    <cellStyle name="40% - Ênfase3 2 2 2 3" xfId="5405"/>
    <cellStyle name="40% - Ênfase3 2 2 3" xfId="5406"/>
    <cellStyle name="40% - Ênfase3 2 2 4" xfId="5407"/>
    <cellStyle name="40% - Ênfase3 2 2 5" xfId="5408"/>
    <cellStyle name="40% - Ênfase3 2 3" xfId="5409"/>
    <cellStyle name="40% - Ênfase3 2 3 2" xfId="5410"/>
    <cellStyle name="40% - Ênfase3 2 3 2 2" xfId="5411"/>
    <cellStyle name="40% - Ênfase3 2 3 2 3" xfId="5412"/>
    <cellStyle name="40% - Ênfase3 2 3 3" xfId="5413"/>
    <cellStyle name="40% - Ênfase3 2 3 4" xfId="5414"/>
    <cellStyle name="40% - Ênfase3 2 4" xfId="5415"/>
    <cellStyle name="40% - Ênfase3 2 5" xfId="5416"/>
    <cellStyle name="40% - Ênfase3 2 5 2" xfId="5417"/>
    <cellStyle name="40% - Ênfase3 2 5 3" xfId="5418"/>
    <cellStyle name="40% - Ênfase3 3" xfId="5419"/>
    <cellStyle name="40% - Ênfase3 3 2" xfId="5420"/>
    <cellStyle name="40% - Ênfase3 3 2 2" xfId="5421"/>
    <cellStyle name="40% - Ênfase3 3 2 2 2" xfId="5422"/>
    <cellStyle name="40% - Ênfase3 3 2 2 3" xfId="5423"/>
    <cellStyle name="40% - Ênfase3 3 2 3" xfId="5424"/>
    <cellStyle name="40% - Ênfase3 3 2 4" xfId="5425"/>
    <cellStyle name="40% - Ênfase3 3 3" xfId="5426"/>
    <cellStyle name="40% - Ênfase3 3 3 2" xfId="5427"/>
    <cellStyle name="40% - Ênfase3 3 3 3" xfId="5428"/>
    <cellStyle name="40% - Ênfase3 3 4" xfId="5429"/>
    <cellStyle name="40% - Ênfase3 3 4 2" xfId="5430"/>
    <cellStyle name="40% - Ênfase3 3 4 3" xfId="5431"/>
    <cellStyle name="40% - Ênfase3 3 5" xfId="5432"/>
    <cellStyle name="40% - Ênfase3 3 6" xfId="5433"/>
    <cellStyle name="40% - Ênfase3 3 7" xfId="5434"/>
    <cellStyle name="40% - Ênfase3 4" xfId="5435"/>
    <cellStyle name="40% - Ênfase3 4 2" xfId="5436"/>
    <cellStyle name="40% - Ênfase3 4 2 2" xfId="5437"/>
    <cellStyle name="40% - Ênfase3 4 2 2 2" xfId="5438"/>
    <cellStyle name="40% - Ênfase3 4 2 2 3" xfId="5439"/>
    <cellStyle name="40% - Ênfase3 4 2 3" xfId="5440"/>
    <cellStyle name="40% - Ênfase3 4 2 4" xfId="5441"/>
    <cellStyle name="40% - Ênfase3 4 3" xfId="5442"/>
    <cellStyle name="40% - Ênfase3 4 3 2" xfId="5443"/>
    <cellStyle name="40% - Ênfase3 4 3 3" xfId="5444"/>
    <cellStyle name="40% - Ênfase3 4 4" xfId="5445"/>
    <cellStyle name="40% - Ênfase3 4 4 2" xfId="5446"/>
    <cellStyle name="40% - Ênfase3 4 4 3" xfId="5447"/>
    <cellStyle name="40% - Ênfase3 4 5" xfId="5448"/>
    <cellStyle name="40% - Ênfase3 4 6" xfId="5449"/>
    <cellStyle name="40% - Ênfase3 4 7" xfId="5450"/>
    <cellStyle name="40% - Ênfase3 5" xfId="5451"/>
    <cellStyle name="40% - Ênfase3 5 2" xfId="5452"/>
    <cellStyle name="40% - Ênfase3 5 2 2" xfId="5453"/>
    <cellStyle name="40% - Ênfase3 5 2 3" xfId="5454"/>
    <cellStyle name="40% - Ênfase3 5 3" xfId="5455"/>
    <cellStyle name="40% - Ênfase3 5 4" xfId="5456"/>
    <cellStyle name="40% - Ênfase3 5 5" xfId="5457"/>
    <cellStyle name="40% - Ênfase3 6" xfId="5458"/>
    <cellStyle name="40% - Ênfase3 6 2" xfId="5459"/>
    <cellStyle name="40% - Ênfase3 6 2 2" xfId="5460"/>
    <cellStyle name="40% - Ênfase3 6 2 3" xfId="5461"/>
    <cellStyle name="40% - Ênfase3 6 3" xfId="5462"/>
    <cellStyle name="40% - Ênfase3 6 4" xfId="5463"/>
    <cellStyle name="40% - Ênfase3 7" xfId="5464"/>
    <cellStyle name="40% - Ênfase3 8" xfId="5465"/>
    <cellStyle name="40% - Ênfase3 8 2" xfId="5466"/>
    <cellStyle name="40% - Ênfase3 8 3" xfId="5467"/>
    <cellStyle name="40% - Ênfase4 2" xfId="5468"/>
    <cellStyle name="40% - Ênfase4 2 2" xfId="5469"/>
    <cellStyle name="40% - Ênfase4 2 2 2" xfId="5470"/>
    <cellStyle name="40% - Ênfase4 2 2 2 2" xfId="5471"/>
    <cellStyle name="40% - Ênfase4 2 2 2 3" xfId="5472"/>
    <cellStyle name="40% - Ênfase4 2 2 3" xfId="5473"/>
    <cellStyle name="40% - Ênfase4 2 2 4" xfId="5474"/>
    <cellStyle name="40% - Ênfase4 2 2 5" xfId="5475"/>
    <cellStyle name="40% - Ênfase4 2 3" xfId="5476"/>
    <cellStyle name="40% - Ênfase4 2 3 2" xfId="5477"/>
    <cellStyle name="40% - Ênfase4 2 3 2 2" xfId="5478"/>
    <cellStyle name="40% - Ênfase4 2 3 2 3" xfId="5479"/>
    <cellStyle name="40% - Ênfase4 2 3 3" xfId="5480"/>
    <cellStyle name="40% - Ênfase4 2 3 4" xfId="5481"/>
    <cellStyle name="40% - Ênfase4 2 4" xfId="5482"/>
    <cellStyle name="40% - Ênfase4 2 5" xfId="5483"/>
    <cellStyle name="40% - Ênfase4 2 5 2" xfId="5484"/>
    <cellStyle name="40% - Ênfase4 2 5 3" xfId="5485"/>
    <cellStyle name="40% - Ênfase4 3" xfId="5486"/>
    <cellStyle name="40% - Ênfase4 3 2" xfId="5487"/>
    <cellStyle name="40% - Ênfase4 3 2 2" xfId="5488"/>
    <cellStyle name="40% - Ênfase4 3 2 2 2" xfId="5489"/>
    <cellStyle name="40% - Ênfase4 3 2 2 3" xfId="5490"/>
    <cellStyle name="40% - Ênfase4 3 2 3" xfId="5491"/>
    <cellStyle name="40% - Ênfase4 3 2 4" xfId="5492"/>
    <cellStyle name="40% - Ênfase4 3 3" xfId="5493"/>
    <cellStyle name="40% - Ênfase4 3 3 2" xfId="5494"/>
    <cellStyle name="40% - Ênfase4 3 3 3" xfId="5495"/>
    <cellStyle name="40% - Ênfase4 3 4" xfId="5496"/>
    <cellStyle name="40% - Ênfase4 3 4 2" xfId="5497"/>
    <cellStyle name="40% - Ênfase4 3 4 3" xfId="5498"/>
    <cellStyle name="40% - Ênfase4 3 5" xfId="5499"/>
    <cellStyle name="40% - Ênfase4 3 6" xfId="5500"/>
    <cellStyle name="40% - Ênfase4 3 7" xfId="5501"/>
    <cellStyle name="40% - Ênfase4 4" xfId="5502"/>
    <cellStyle name="40% - Ênfase4 4 2" xfId="5503"/>
    <cellStyle name="40% - Ênfase4 4 2 2" xfId="5504"/>
    <cellStyle name="40% - Ênfase4 4 2 2 2" xfId="5505"/>
    <cellStyle name="40% - Ênfase4 4 2 2 3" xfId="5506"/>
    <cellStyle name="40% - Ênfase4 4 2 3" xfId="5507"/>
    <cellStyle name="40% - Ênfase4 4 2 4" xfId="5508"/>
    <cellStyle name="40% - Ênfase4 4 3" xfId="5509"/>
    <cellStyle name="40% - Ênfase4 4 3 2" xfId="5510"/>
    <cellStyle name="40% - Ênfase4 4 3 3" xfId="5511"/>
    <cellStyle name="40% - Ênfase4 4 4" xfId="5512"/>
    <cellStyle name="40% - Ênfase4 4 4 2" xfId="5513"/>
    <cellStyle name="40% - Ênfase4 4 4 3" xfId="5514"/>
    <cellStyle name="40% - Ênfase4 4 5" xfId="5515"/>
    <cellStyle name="40% - Ênfase4 4 6" xfId="5516"/>
    <cellStyle name="40% - Ênfase4 4 7" xfId="5517"/>
    <cellStyle name="40% - Ênfase4 5" xfId="5518"/>
    <cellStyle name="40% - Ênfase4 5 2" xfId="5519"/>
    <cellStyle name="40% - Ênfase4 5 2 2" xfId="5520"/>
    <cellStyle name="40% - Ênfase4 5 2 3" xfId="5521"/>
    <cellStyle name="40% - Ênfase4 5 3" xfId="5522"/>
    <cellStyle name="40% - Ênfase4 5 4" xfId="5523"/>
    <cellStyle name="40% - Ênfase4 5 5" xfId="5524"/>
    <cellStyle name="40% - Ênfase4 6" xfId="5525"/>
    <cellStyle name="40% - Ênfase4 6 2" xfId="5526"/>
    <cellStyle name="40% - Ênfase4 6 2 2" xfId="5527"/>
    <cellStyle name="40% - Ênfase4 6 2 3" xfId="5528"/>
    <cellStyle name="40% - Ênfase4 6 3" xfId="5529"/>
    <cellStyle name="40% - Ênfase4 6 4" xfId="5530"/>
    <cellStyle name="40% - Ênfase4 7" xfId="5531"/>
    <cellStyle name="40% - Ênfase4 8" xfId="5532"/>
    <cellStyle name="40% - Ênfase4 8 2" xfId="5533"/>
    <cellStyle name="40% - Ênfase4 8 3" xfId="5534"/>
    <cellStyle name="40% - Ênfase5 2 2" xfId="5535"/>
    <cellStyle name="40% - Ênfase5 2 2 2" xfId="5536"/>
    <cellStyle name="40% - Ênfase5 2 2 2 2" xfId="5537"/>
    <cellStyle name="40% - Ênfase5 2 2 2 3" xfId="5538"/>
    <cellStyle name="40% - Ênfase5 2 2 3" xfId="5539"/>
    <cellStyle name="40% - Ênfase5 2 2 4" xfId="5540"/>
    <cellStyle name="40% - Ênfase5 2 2 5" xfId="5541"/>
    <cellStyle name="40% - Ênfase5 2 3" xfId="5542"/>
    <cellStyle name="40% - Ênfase5 2 3 2" xfId="5543"/>
    <cellStyle name="40% - Ênfase5 2 3 2 2" xfId="5544"/>
    <cellStyle name="40% - Ênfase5 2 3 2 3" xfId="5545"/>
    <cellStyle name="40% - Ênfase5 2 3 3" xfId="5546"/>
    <cellStyle name="40% - Ênfase5 2 3 4" xfId="5547"/>
    <cellStyle name="40% - Ênfase5 2 4" xfId="5548"/>
    <cellStyle name="40% - Ênfase5 2 5" xfId="5549"/>
    <cellStyle name="40% - Ênfase5 2 5 2" xfId="5550"/>
    <cellStyle name="40% - Ênfase5 2 5 3" xfId="5551"/>
    <cellStyle name="40% - Ênfase5 3" xfId="5552"/>
    <cellStyle name="40% - Ênfase5 3 2" xfId="5553"/>
    <cellStyle name="40% - Ênfase5 3 2 2" xfId="5554"/>
    <cellStyle name="40% - Ênfase5 3 2 2 2" xfId="5555"/>
    <cellStyle name="40% - Ênfase5 3 2 2 3" xfId="5556"/>
    <cellStyle name="40% - Ênfase5 3 2 3" xfId="5557"/>
    <cellStyle name="40% - Ênfase5 3 2 4" xfId="5558"/>
    <cellStyle name="40% - Ênfase5 3 3" xfId="5559"/>
    <cellStyle name="40% - Ênfase5 3 3 2" xfId="5560"/>
    <cellStyle name="40% - Ênfase5 3 3 3" xfId="5561"/>
    <cellStyle name="40% - Ênfase5 3 4" xfId="5562"/>
    <cellStyle name="40% - Ênfase5 3 4 2" xfId="5563"/>
    <cellStyle name="40% - Ênfase5 3 4 3" xfId="5564"/>
    <cellStyle name="40% - Ênfase5 3 5" xfId="5565"/>
    <cellStyle name="40% - Ênfase5 3 6" xfId="5566"/>
    <cellStyle name="40% - Ênfase5 3 7" xfId="5567"/>
    <cellStyle name="40% - Ênfase5 4" xfId="5568"/>
    <cellStyle name="40% - Ênfase5 4 2" xfId="5569"/>
    <cellStyle name="40% - Ênfase5 4 2 2" xfId="5570"/>
    <cellStyle name="40% - Ênfase5 4 2 2 2" xfId="5571"/>
    <cellStyle name="40% - Ênfase5 4 2 2 3" xfId="5572"/>
    <cellStyle name="40% - Ênfase5 4 2 3" xfId="5573"/>
    <cellStyle name="40% - Ênfase5 4 2 4" xfId="5574"/>
    <cellStyle name="40% - Ênfase5 4 3" xfId="5575"/>
    <cellStyle name="40% - Ênfase5 4 3 2" xfId="5576"/>
    <cellStyle name="40% - Ênfase5 4 3 3" xfId="5577"/>
    <cellStyle name="40% - Ênfase5 4 4" xfId="5578"/>
    <cellStyle name="40% - Ênfase5 4 4 2" xfId="5579"/>
    <cellStyle name="40% - Ênfase5 4 4 3" xfId="5580"/>
    <cellStyle name="40% - Ênfase5 4 5" xfId="5581"/>
    <cellStyle name="40% - Ênfase5 4 6" xfId="5582"/>
    <cellStyle name="40% - Ênfase5 4 7" xfId="5583"/>
    <cellStyle name="40% - Ênfase5 5" xfId="5584"/>
    <cellStyle name="40% - Ênfase5 5 2" xfId="5585"/>
    <cellStyle name="40% - Ênfase5 5 2 2" xfId="5586"/>
    <cellStyle name="40% - Ênfase5 5 2 3" xfId="5587"/>
    <cellStyle name="40% - Ênfase5 5 3" xfId="5588"/>
    <cellStyle name="40% - Ênfase5 5 4" xfId="5589"/>
    <cellStyle name="40% - Ênfase5 5 5" xfId="5590"/>
    <cellStyle name="40% - Ênfase5 6" xfId="5591"/>
    <cellStyle name="40% - Ênfase5 6 2" xfId="5592"/>
    <cellStyle name="40% - Ênfase5 6 2 2" xfId="5593"/>
    <cellStyle name="40% - Ênfase5 6 2 3" xfId="5594"/>
    <cellStyle name="40% - Ênfase5 6 3" xfId="5595"/>
    <cellStyle name="40% - Ênfase5 6 4" xfId="5596"/>
    <cellStyle name="40% - Ênfase5 7" xfId="5597"/>
    <cellStyle name="40% - Ênfase5 8" xfId="5598"/>
    <cellStyle name="40% - Ênfase5 8 2" xfId="5599"/>
    <cellStyle name="40% - Ênfase5 8 3" xfId="5600"/>
    <cellStyle name="40% - Ênfase6 2" xfId="5601"/>
    <cellStyle name="40% - Ênfase6 2 2" xfId="5602"/>
    <cellStyle name="40% - Ênfase6 2 2 2" xfId="5603"/>
    <cellStyle name="40% - Ênfase6 2 2 2 2" xfId="5604"/>
    <cellStyle name="40% - Ênfase6 2 2 2 3" xfId="5605"/>
    <cellStyle name="40% - Ênfase6 2 2 3" xfId="5606"/>
    <cellStyle name="40% - Ênfase6 2 2 4" xfId="5607"/>
    <cellStyle name="40% - Ênfase6 2 2 5" xfId="5608"/>
    <cellStyle name="40% - Ênfase6 2 3" xfId="5609"/>
    <cellStyle name="40% - Ênfase6 2 3 2" xfId="5610"/>
    <cellStyle name="40% - Ênfase6 2 3 2 2" xfId="5611"/>
    <cellStyle name="40% - Ênfase6 2 3 2 3" xfId="5612"/>
    <cellStyle name="40% - Ênfase6 2 3 3" xfId="5613"/>
    <cellStyle name="40% - Ênfase6 2 3 4" xfId="5614"/>
    <cellStyle name="40% - Ênfase6 2 4" xfId="5615"/>
    <cellStyle name="40% - Ênfase6 2 5" xfId="5616"/>
    <cellStyle name="40% - Ênfase6 2 5 2" xfId="5617"/>
    <cellStyle name="40% - Ênfase6 2 5 3" xfId="5618"/>
    <cellStyle name="40% - Ênfase6 3" xfId="5619"/>
    <cellStyle name="40% - Ênfase6 3 2" xfId="5620"/>
    <cellStyle name="40% - Ênfase6 3 2 2" xfId="5621"/>
    <cellStyle name="40% - Ênfase6 3 2 2 2" xfId="5622"/>
    <cellStyle name="40% - Ênfase6 3 2 2 3" xfId="5623"/>
    <cellStyle name="40% - Ênfase6 3 2 3" xfId="5624"/>
    <cellStyle name="40% - Ênfase6 3 2 4" xfId="5625"/>
    <cellStyle name="40% - Ênfase6 3 3" xfId="5626"/>
    <cellStyle name="40% - Ênfase6 3 3 2" xfId="5627"/>
    <cellStyle name="40% - Ênfase6 3 3 3" xfId="5628"/>
    <cellStyle name="40% - Ênfase6 3 4" xfId="5629"/>
    <cellStyle name="40% - Ênfase6 3 4 2" xfId="5630"/>
    <cellStyle name="40% - Ênfase6 3 4 3" xfId="5631"/>
    <cellStyle name="40% - Ênfase6 3 5" xfId="5632"/>
    <cellStyle name="40% - Ênfase6 3 6" xfId="5633"/>
    <cellStyle name="40% - Ênfase6 3 7" xfId="5634"/>
    <cellStyle name="40% - Ênfase6 4" xfId="5635"/>
    <cellStyle name="40% - Ênfase6 4 2" xfId="5636"/>
    <cellStyle name="40% - Ênfase6 4 2 2" xfId="5637"/>
    <cellStyle name="40% - Ênfase6 4 2 2 2" xfId="5638"/>
    <cellStyle name="40% - Ênfase6 4 2 2 3" xfId="5639"/>
    <cellStyle name="40% - Ênfase6 4 2 3" xfId="5640"/>
    <cellStyle name="40% - Ênfase6 4 2 4" xfId="5641"/>
    <cellStyle name="40% - Ênfase6 4 3" xfId="5642"/>
    <cellStyle name="40% - Ênfase6 4 3 2" xfId="5643"/>
    <cellStyle name="40% - Ênfase6 4 3 3" xfId="5644"/>
    <cellStyle name="40% - Ênfase6 4 4" xfId="5645"/>
    <cellStyle name="40% - Ênfase6 4 4 2" xfId="5646"/>
    <cellStyle name="40% - Ênfase6 4 4 3" xfId="5647"/>
    <cellStyle name="40% - Ênfase6 4 5" xfId="5648"/>
    <cellStyle name="40% - Ênfase6 4 6" xfId="5649"/>
    <cellStyle name="40% - Ênfase6 4 7" xfId="5650"/>
    <cellStyle name="40% - Ênfase6 5" xfId="5651"/>
    <cellStyle name="40% - Ênfase6 5 2" xfId="5652"/>
    <cellStyle name="40% - Ênfase6 5 2 2" xfId="5653"/>
    <cellStyle name="40% - Ênfase6 5 2 3" xfId="5654"/>
    <cellStyle name="40% - Ênfase6 5 3" xfId="5655"/>
    <cellStyle name="40% - Ênfase6 5 4" xfId="5656"/>
    <cellStyle name="40% - Ênfase6 5 5" xfId="5657"/>
    <cellStyle name="40% - Ênfase6 6" xfId="5658"/>
    <cellStyle name="40% - Ênfase6 6 2" xfId="5659"/>
    <cellStyle name="40% - Ênfase6 6 2 2" xfId="5660"/>
    <cellStyle name="40% - Ênfase6 6 2 3" xfId="5661"/>
    <cellStyle name="40% - Ênfase6 6 3" xfId="5662"/>
    <cellStyle name="40% - Ênfase6 6 4" xfId="5663"/>
    <cellStyle name="40% - Ênfase6 7" xfId="5664"/>
    <cellStyle name="40% - Ênfase6 8" xfId="5665"/>
    <cellStyle name="40% - Ênfase6 8 2" xfId="5666"/>
    <cellStyle name="40% - Ênfase6 8 3" xfId="5667"/>
    <cellStyle name="60% - Accent1 3 2" xfId="5668"/>
    <cellStyle name="60% - Accent2 3 2" xfId="5669"/>
    <cellStyle name="60% - Accent3 3 2" xfId="5670"/>
    <cellStyle name="60% - Accent4 3 2" xfId="5671"/>
    <cellStyle name="60% - Accent5 3 2" xfId="5672"/>
    <cellStyle name="60% - Accent6 3" xfId="5673"/>
    <cellStyle name="60% - Ênfase1 3" xfId="5674"/>
    <cellStyle name="60% - Ênfase1 4" xfId="5675"/>
    <cellStyle name="60% - Ênfase2 3" xfId="5676"/>
    <cellStyle name="60% - Ênfase2 4" xfId="5677"/>
    <cellStyle name="60% - Ênfase3 3" xfId="5678"/>
    <cellStyle name="60% - Ênfase3 4" xfId="5679"/>
    <cellStyle name="60% - Ênfase4 2" xfId="5680"/>
    <cellStyle name="60% - Ênfase4 3" xfId="5681"/>
    <cellStyle name="60% - Ênfase4 4" xfId="5682"/>
    <cellStyle name="60% - Ênfase5 3" xfId="5683"/>
    <cellStyle name="60% - Ênfase5 4" xfId="5684"/>
    <cellStyle name="60% - Ênfase6 2" xfId="5685"/>
    <cellStyle name="60% - Ênfase6 3" xfId="5686"/>
    <cellStyle name="60% - Ênfase6 4" xfId="5687"/>
    <cellStyle name="Accent1 7 2" xfId="5688"/>
    <cellStyle name="Accent1 - 20% 3" xfId="5689"/>
    <cellStyle name="Accent1 - 40% 3" xfId="5690"/>
    <cellStyle name="Accent1 - 60% 3" xfId="5691"/>
    <cellStyle name="Accent2 7 2" xfId="5692"/>
    <cellStyle name="Accent2 - 20% 3" xfId="5693"/>
    <cellStyle name="Accent2 - 40% 3" xfId="5694"/>
    <cellStyle name="Accent2 - 60% 3" xfId="5695"/>
    <cellStyle name="Accent3 7 2" xfId="5696"/>
    <cellStyle name="Accent3 - 20% 3" xfId="5697"/>
    <cellStyle name="Accent3 - 40% 3" xfId="5698"/>
    <cellStyle name="Accent3 - 60% 3" xfId="5699"/>
    <cellStyle name="Accent3 2 2 2" xfId="5700"/>
    <cellStyle name="Accent3 3 2" xfId="5701"/>
    <cellStyle name="Accent4 7 2" xfId="5702"/>
    <cellStyle name="Accent4 - 20% 3" xfId="5703"/>
    <cellStyle name="Accent4 - 40% 3" xfId="5704"/>
    <cellStyle name="Accent4 - 60% 3" xfId="5705"/>
    <cellStyle name="Accent4 2 2 2" xfId="5706"/>
    <cellStyle name="Accent4 3 2" xfId="5707"/>
    <cellStyle name="Accent5 7 2" xfId="5708"/>
    <cellStyle name="Accent5 - 20% 3" xfId="5709"/>
    <cellStyle name="Accent5 - 60% 3" xfId="5710"/>
    <cellStyle name="Accent5 2 2 2" xfId="5711"/>
    <cellStyle name="Accent5 3 2" xfId="5712"/>
    <cellStyle name="Accent6 7 2" xfId="5713"/>
    <cellStyle name="Accent6 - 40% 3" xfId="5714"/>
    <cellStyle name="Accent6 - 60% 3" xfId="5715"/>
    <cellStyle name="Accent6 2 2 2" xfId="5716"/>
    <cellStyle name="Accent6 3 2" xfId="5717"/>
    <cellStyle name="Bad 2 2 2" xfId="5718"/>
    <cellStyle name="Bom 2 4" xfId="5719"/>
    <cellStyle name="Bom 2 2" xfId="5720"/>
    <cellStyle name="Bom 2 3" xfId="5721"/>
    <cellStyle name="Bom 3 2" xfId="5722"/>
    <cellStyle name="Bom 4 2" xfId="5723"/>
    <cellStyle name="Calculation 5 3" xfId="5724"/>
    <cellStyle name="Calculation 2 2 3" xfId="5725"/>
    <cellStyle name="Cálculo 2 4 3" xfId="5726"/>
    <cellStyle name="Cálculo 2 2 2" xfId="5727"/>
    <cellStyle name="Cálculo 2 3 3" xfId="5728"/>
    <cellStyle name="Cálculo 3 2 3" xfId="5729"/>
    <cellStyle name="Cálculo 4" xfId="5730"/>
    <cellStyle name="Célula de Verificação 2 4" xfId="5731"/>
    <cellStyle name="Célula de Verificação 2 2" xfId="5732"/>
    <cellStyle name="Célula de Verificação 2 3" xfId="5733"/>
    <cellStyle name="Célula de Verificação 3 2" xfId="5734"/>
    <cellStyle name="Célula de Verificação 4 2" xfId="5735"/>
    <cellStyle name="Célula Vinculada 2 4" xfId="5736"/>
    <cellStyle name="Célula Vinculada 2 2" xfId="5737"/>
    <cellStyle name="Célula Vinculada 2 3" xfId="5738"/>
    <cellStyle name="Célula Vinculada 3 2" xfId="5739"/>
    <cellStyle name="Célula Vinculada 4" xfId="5740"/>
    <cellStyle name="Check Cell 2 2" xfId="5741"/>
    <cellStyle name="Emphasis 1 3" xfId="5742"/>
    <cellStyle name="Emphasis 2 3" xfId="5743"/>
    <cellStyle name="Ênfase1 2 4" xfId="5744"/>
    <cellStyle name="Ênfase1 2 2" xfId="5745"/>
    <cellStyle name="Ênfase1 2 3" xfId="5746"/>
    <cellStyle name="Ênfase1 3 2" xfId="5747"/>
    <cellStyle name="Ênfase1 4" xfId="5748"/>
    <cellStyle name="Ênfase2 2 4" xfId="5749"/>
    <cellStyle name="Ênfase2 2 2" xfId="5750"/>
    <cellStyle name="Ênfase2 2 3" xfId="5751"/>
    <cellStyle name="Ênfase2 3 2" xfId="5752"/>
    <cellStyle name="Ênfase2 4" xfId="5753"/>
    <cellStyle name="Ênfase3 2 4" xfId="5754"/>
    <cellStyle name="Ênfase3 2 2" xfId="5755"/>
    <cellStyle name="Ênfase3 2 3" xfId="5756"/>
    <cellStyle name="Ênfase3 3 2" xfId="5757"/>
    <cellStyle name="Ênfase3 4" xfId="5758"/>
    <cellStyle name="Ênfase4 2 4" xfId="5759"/>
    <cellStyle name="Ênfase4 2 2" xfId="5760"/>
    <cellStyle name="Ênfase4 2 3" xfId="5761"/>
    <cellStyle name="Ênfase4 3 2" xfId="5762"/>
    <cellStyle name="Ênfase4 4" xfId="5763"/>
    <cellStyle name="Ênfase5 2 4" xfId="5764"/>
    <cellStyle name="Ênfase5 2 2" xfId="5765"/>
    <cellStyle name="Ênfase5 2 3" xfId="5766"/>
    <cellStyle name="Ênfase5 3 2" xfId="5767"/>
    <cellStyle name="Ênfase5 4" xfId="5768"/>
    <cellStyle name="Ênfase6 2 4" xfId="5769"/>
    <cellStyle name="Ênfase6 2 2" xfId="5770"/>
    <cellStyle name="Ênfase6 2 3" xfId="5771"/>
    <cellStyle name="Ênfase6 3 2" xfId="5772"/>
    <cellStyle name="Ênfase6 4" xfId="5773"/>
    <cellStyle name="Entrada 2 4 3" xfId="5774"/>
    <cellStyle name="Entrada 2 2 2" xfId="5775"/>
    <cellStyle name="Entrada 2 3 3" xfId="5776"/>
    <cellStyle name="Entrada 3 2 3" xfId="5777"/>
    <cellStyle name="Entrada 4 2" xfId="5778"/>
    <cellStyle name="Explanatory Text 3" xfId="5779"/>
    <cellStyle name="Good 2 2" xfId="5780"/>
    <cellStyle name="Heading 2 2 2" xfId="5781"/>
    <cellStyle name="Heading 3 2 2 2" xfId="5782"/>
    <cellStyle name="Incorreto 2 4" xfId="5783"/>
    <cellStyle name="Incorreto 2 2" xfId="5784"/>
    <cellStyle name="Incorreto 2 3" xfId="5785"/>
    <cellStyle name="Incorreto 3 2" xfId="5786"/>
    <cellStyle name="Incorreto 4" xfId="5787"/>
    <cellStyle name="Input 2 2 3" xfId="5788"/>
    <cellStyle name="Linked Cell 2 2" xfId="5789"/>
    <cellStyle name="Neutra 2 4" xfId="5790"/>
    <cellStyle name="Neutra 2 2" xfId="5791"/>
    <cellStyle name="Neutra 2 3" xfId="5792"/>
    <cellStyle name="Neutra 3 2" xfId="5793"/>
    <cellStyle name="Neutra 4 2" xfId="5794"/>
    <cellStyle name="Neutral 2 2" xfId="5795"/>
    <cellStyle name="Normal 10 5" xfId="5796"/>
    <cellStyle name="Normal 10 2 4" xfId="5797"/>
    <cellStyle name="Normal 11 5" xfId="5798"/>
    <cellStyle name="Normal 2 2 4" xfId="5799"/>
    <cellStyle name="Normal 2 2 2" xfId="5800"/>
    <cellStyle name="Normal 2 2 3" xfId="5801"/>
    <cellStyle name="Normal 2 3 2" xfId="5802"/>
    <cellStyle name="Normal 2 4" xfId="5803"/>
    <cellStyle name="Normal 2 4 2" xfId="5804"/>
    <cellStyle name="Normal 3 2 2 2" xfId="5805"/>
    <cellStyle name="Normal 3 3 9" xfId="5806"/>
    <cellStyle name="Normal 3 3 2" xfId="5807"/>
    <cellStyle name="Normal 3 3 3" xfId="5808"/>
    <cellStyle name="Normal 3 4" xfId="5809"/>
    <cellStyle name="Normal 3 5" xfId="5810"/>
    <cellStyle name="Normal 3 6" xfId="5811"/>
    <cellStyle name="Normal 4 2 11" xfId="5812"/>
    <cellStyle name="Normal 4 2 2" xfId="5813"/>
    <cellStyle name="Normal 4 2 2 2" xfId="5814"/>
    <cellStyle name="Normal 4 2 2 3" xfId="5815"/>
    <cellStyle name="Normal 4 2 3" xfId="5816"/>
    <cellStyle name="Normal 4 2 4" xfId="5817"/>
    <cellStyle name="Normal 4 2 5" xfId="5818"/>
    <cellStyle name="Normal 4 3" xfId="5819"/>
    <cellStyle name="Normal 4 3 2" xfId="5820"/>
    <cellStyle name="Normal 4 3 2 2" xfId="5821"/>
    <cellStyle name="Normal 4 3 2 3" xfId="5822"/>
    <cellStyle name="Normal 4 3 3" xfId="5823"/>
    <cellStyle name="Normal 4 3 4" xfId="5824"/>
    <cellStyle name="Normal 4 4" xfId="5825"/>
    <cellStyle name="Normal 4 5" xfId="5826"/>
    <cellStyle name="Normal 4 5 2" xfId="5827"/>
    <cellStyle name="Normal 4 5 3" xfId="5828"/>
    <cellStyle name="Normal 4 6" xfId="5829"/>
    <cellStyle name="Normal 5 6" xfId="5830"/>
    <cellStyle name="Normal 5 2 12" xfId="5831"/>
    <cellStyle name="Normal 5 2 2" xfId="5832"/>
    <cellStyle name="Normal 5 2 2 2" xfId="5833"/>
    <cellStyle name="Normal 5 2 2 3" xfId="5834"/>
    <cellStyle name="Normal 5 2 3" xfId="5835"/>
    <cellStyle name="Normal 5 2 4" xfId="5836"/>
    <cellStyle name="Normal 5 2 5" xfId="5837"/>
    <cellStyle name="Normal 5 2 6" xfId="5838"/>
    <cellStyle name="Normal 5 3 10" xfId="5839"/>
    <cellStyle name="Normal 5 3 2" xfId="5840"/>
    <cellStyle name="Normal 5 3 2 2" xfId="5841"/>
    <cellStyle name="Normal 5 3 2 3" xfId="5842"/>
    <cellStyle name="Normal 5 3 3" xfId="5843"/>
    <cellStyle name="Normal 5 3 4" xfId="5844"/>
    <cellStyle name="Normal 5 4" xfId="5845"/>
    <cellStyle name="Normal 5 5" xfId="5846"/>
    <cellStyle name="Normal 5 5 2" xfId="5847"/>
    <cellStyle name="Normal 5 5 3" xfId="5848"/>
    <cellStyle name="Normal 6 5" xfId="5849"/>
    <cellStyle name="Normal 6 2 3 2" xfId="5850"/>
    <cellStyle name="Normal 6 3 2" xfId="5851"/>
    <cellStyle name="Normal 6 4 6" xfId="5852"/>
    <cellStyle name="Normal 7 7" xfId="5853"/>
    <cellStyle name="Normal 7 2 6" xfId="5854"/>
    <cellStyle name="Normal 7 2 2 4" xfId="5855"/>
    <cellStyle name="Normal 7 2 2 2" xfId="5856"/>
    <cellStyle name="Normal 7 2 2 3" xfId="5857"/>
    <cellStyle name="Normal 7 2 3 6" xfId="5858"/>
    <cellStyle name="Normal 7 2 4" xfId="5859"/>
    <cellStyle name="Normal 7 2 5" xfId="5860"/>
    <cellStyle name="Normal 7 3 5" xfId="5861"/>
    <cellStyle name="Normal 7 3 2" xfId="5862"/>
    <cellStyle name="Normal 7 3 2 2" xfId="5863"/>
    <cellStyle name="Normal 7 3 2 3" xfId="5864"/>
    <cellStyle name="Normal 7 3 3" xfId="5865"/>
    <cellStyle name="Normal 7 3 4" xfId="5866"/>
    <cellStyle name="Normal 7 4 2" xfId="5867"/>
    <cellStyle name="Normal 7 5" xfId="5868"/>
    <cellStyle name="Normal 7 5 2" xfId="5869"/>
    <cellStyle name="Normal 7 5 3" xfId="5870"/>
    <cellStyle name="Normal 7 6" xfId="5871"/>
    <cellStyle name="Normal 8 9" xfId="5872"/>
    <cellStyle name="Normal 8 2 5" xfId="5873"/>
    <cellStyle name="Normal 8 2 2 4" xfId="5874"/>
    <cellStyle name="Normal 8 2 2 2" xfId="5875"/>
    <cellStyle name="Normal 8 2 2 3" xfId="5876"/>
    <cellStyle name="Normal 8 2 3 6" xfId="5877"/>
    <cellStyle name="Normal 8 2 4" xfId="5878"/>
    <cellStyle name="Normal 8 3 4" xfId="5879"/>
    <cellStyle name="Normal 8 3 2 2" xfId="5880"/>
    <cellStyle name="Normal 8 3 3" xfId="5881"/>
    <cellStyle name="Normal 8 4 4" xfId="5882"/>
    <cellStyle name="Normal 8 4 2 2" xfId="5883"/>
    <cellStyle name="Normal 8 4 3" xfId="5884"/>
    <cellStyle name="Normal 8 5 4" xfId="5885"/>
    <cellStyle name="Normal 8 6 2" xfId="5886"/>
    <cellStyle name="Normal 8 7" xfId="5887"/>
    <cellStyle name="Normal 8 8" xfId="5888"/>
    <cellStyle name="Normal 9 4 3" xfId="5889"/>
    <cellStyle name="Normal 9 2 2 2" xfId="5890"/>
    <cellStyle name="Normal 9 3 3" xfId="5891"/>
    <cellStyle name="Nota 2 6 5" xfId="5892"/>
    <cellStyle name="Nota 2 2 11" xfId="5893"/>
    <cellStyle name="Nota 2 2 2" xfId="5894"/>
    <cellStyle name="Nota 2 2 2 2" xfId="5895"/>
    <cellStyle name="Nota 2 2 2 3" xfId="5896"/>
    <cellStyle name="Nota 2 2 3" xfId="5897"/>
    <cellStyle name="Nota 2 2 4" xfId="5898"/>
    <cellStyle name="Nota 2 2 5" xfId="5899"/>
    <cellStyle name="Nota 2 3 10" xfId="5900"/>
    <cellStyle name="Nota 2 3 2" xfId="5901"/>
    <cellStyle name="Nota 2 3 2 2" xfId="5902"/>
    <cellStyle name="Nota 2 3 2 3" xfId="5903"/>
    <cellStyle name="Nota 2 3 3" xfId="5904"/>
    <cellStyle name="Nota 2 3 4" xfId="5905"/>
    <cellStyle name="Nota 2 4 3" xfId="5906"/>
    <cellStyle name="Nota 2 5 8" xfId="5907"/>
    <cellStyle name="Nota 2 5 2" xfId="5908"/>
    <cellStyle name="Nota 2 5 3" xfId="5909"/>
    <cellStyle name="Nota 3 6 5" xfId="5910"/>
    <cellStyle name="Nota 3 2 11" xfId="5911"/>
    <cellStyle name="Nota 3 2 2" xfId="5912"/>
    <cellStyle name="Nota 3 2 2 2" xfId="5913"/>
    <cellStyle name="Nota 3 2 2 3" xfId="5914"/>
    <cellStyle name="Nota 3 2 3" xfId="5915"/>
    <cellStyle name="Nota 3 2 4" xfId="5916"/>
    <cellStyle name="Nota 3 2 5" xfId="5917"/>
    <cellStyle name="Nota 3 3 10" xfId="5918"/>
    <cellStyle name="Nota 3 3 2" xfId="5919"/>
    <cellStyle name="Nota 3 3 2 2" xfId="5920"/>
    <cellStyle name="Nota 3 3 2 3" xfId="5921"/>
    <cellStyle name="Nota 3 3 3" xfId="5922"/>
    <cellStyle name="Nota 3 3 4" xfId="5923"/>
    <cellStyle name="Nota 3 4 3" xfId="5924"/>
    <cellStyle name="Nota 3 5 8" xfId="5925"/>
    <cellStyle name="Nota 3 5 2" xfId="5926"/>
    <cellStyle name="Nota 3 5 3" xfId="5927"/>
    <cellStyle name="Nota 4 8" xfId="5928"/>
    <cellStyle name="Nota 4 2" xfId="5929"/>
    <cellStyle name="Nota 4 2 2" xfId="5930"/>
    <cellStyle name="Nota 4 2 2 2" xfId="5931"/>
    <cellStyle name="Nota 4 2 2 3" xfId="5932"/>
    <cellStyle name="Nota 4 2 3" xfId="5933"/>
    <cellStyle name="Nota 4 2 4" xfId="5934"/>
    <cellStyle name="Nota 4 3" xfId="5935"/>
    <cellStyle name="Nota 4 3 2" xfId="5936"/>
    <cellStyle name="Nota 4 3 3" xfId="5937"/>
    <cellStyle name="Nota 4 4" xfId="5938"/>
    <cellStyle name="Nota 4 4 2" xfId="5939"/>
    <cellStyle name="Nota 4 4 3" xfId="5940"/>
    <cellStyle name="Nota 4 5" xfId="5941"/>
    <cellStyle name="Nota 4 6" xfId="5942"/>
    <cellStyle name="Nota 4 7" xfId="5943"/>
    <cellStyle name="Nota 5 13" xfId="5944"/>
    <cellStyle name="Nota 5 2" xfId="5945"/>
    <cellStyle name="Nota 5 2 2" xfId="5946"/>
    <cellStyle name="Nota 5 2 2 2" xfId="5947"/>
    <cellStyle name="Nota 5 2 2 3" xfId="5948"/>
    <cellStyle name="Nota 5 2 3" xfId="5949"/>
    <cellStyle name="Nota 5 2 4" xfId="5950"/>
    <cellStyle name="Nota 5 3" xfId="5951"/>
    <cellStyle name="Nota 5 3 2" xfId="5952"/>
    <cellStyle name="Nota 5 3 3" xfId="5953"/>
    <cellStyle name="Nota 5 4" xfId="5954"/>
    <cellStyle name="Nota 5 4 2" xfId="5955"/>
    <cellStyle name="Nota 5 4 3" xfId="5956"/>
    <cellStyle name="Nota 5 5" xfId="5957"/>
    <cellStyle name="Nota 5 6" xfId="5958"/>
    <cellStyle name="Nota 5 7" xfId="5959"/>
    <cellStyle name="Nota 6 3" xfId="5960"/>
    <cellStyle name="Note 2 3 3" xfId="5961"/>
    <cellStyle name="Note 2 2 3" xfId="5962"/>
    <cellStyle name="Note 3 2 3" xfId="5963"/>
    <cellStyle name="Note 4 2" xfId="5964"/>
    <cellStyle name="Output 2 3 3" xfId="5965"/>
    <cellStyle name="Porcentagem 2 2" xfId="5966"/>
    <cellStyle name="Porcentagem 2 2 2" xfId="5967"/>
    <cellStyle name="Porcentagem 2 3" xfId="5968"/>
    <cellStyle name="Porcentagem 2 4" xfId="5969"/>
    <cellStyle name="Porcentagem 3 4" xfId="5970"/>
    <cellStyle name="Porcentagem 4 4" xfId="5971"/>
    <cellStyle name="Porcentagem 4 2 2" xfId="5972"/>
    <cellStyle name="Porcentagem 4 3" xfId="5973"/>
    <cellStyle name="Porcentagem 5 2" xfId="5974"/>
    <cellStyle name="Porcentagem 6 2" xfId="5975"/>
    <cellStyle name="Porcentagem 7 2" xfId="5976"/>
    <cellStyle name="Porcentagem 8 2" xfId="5977"/>
    <cellStyle name="Saída 2 4" xfId="5978"/>
    <cellStyle name="Saída 2 2 2 2" xfId="5979"/>
    <cellStyle name="Saída 2 3 2" xfId="5980"/>
    <cellStyle name="Saída 3 3 3" xfId="5981"/>
    <cellStyle name="Saída 4 2 3" xfId="5982"/>
    <cellStyle name="SAPBEXaggData 2 5 3" xfId="5983"/>
    <cellStyle name="SAPBEXaggData 2 2 3" xfId="5984"/>
    <cellStyle name="SAPBEXaggData 2 3 3" xfId="5985"/>
    <cellStyle name="SAPBEXaggData 2 4 3" xfId="5986"/>
    <cellStyle name="SAPBEXaggData 3 5 3" xfId="5987"/>
    <cellStyle name="SAPBEXaggData 3 2 3" xfId="5988"/>
    <cellStyle name="SAPBEXaggData 3 3 3" xfId="5989"/>
    <cellStyle name="SAPBEXaggData 3 4 4" xfId="5990"/>
    <cellStyle name="SAPBEXaggData 4 2 3" xfId="5991"/>
    <cellStyle name="SAPBEXaggData 5 2" xfId="5992"/>
    <cellStyle name="SAPBEXaggData 6" xfId="5993"/>
    <cellStyle name="SAPBEXaggData 7" xfId="5994"/>
    <cellStyle name="SAPBEXaggDataEmph 7" xfId="5995"/>
    <cellStyle name="SAPBEXaggDataEmph 2 5 3" xfId="5996"/>
    <cellStyle name="SAPBEXaggDataEmph 2 2 3" xfId="5997"/>
    <cellStyle name="SAPBEXaggDataEmph 2 3 3" xfId="5998"/>
    <cellStyle name="SAPBEXaggDataEmph 2 4 4" xfId="5999"/>
    <cellStyle name="SAPBEXaggDataEmph 3 2 3" xfId="6000"/>
    <cellStyle name="SAPBEXaggDataEmph 4 2 3" xfId="6001"/>
    <cellStyle name="SAPBEXaggDataEmph 5 2" xfId="6002"/>
    <cellStyle name="SAPBEXaggDataEmph 6" xfId="6003"/>
    <cellStyle name="SAPBEXaggItem 8" xfId="6004"/>
    <cellStyle name="SAPBEXaggItem 2 5 3" xfId="6005"/>
    <cellStyle name="SAPBEXaggItem 2 2 3" xfId="6006"/>
    <cellStyle name="SAPBEXaggItem 2 3 3" xfId="6007"/>
    <cellStyle name="SAPBEXaggItem 2 4 3" xfId="6008"/>
    <cellStyle name="SAPBEXaggItem 3 5 3" xfId="6009"/>
    <cellStyle name="SAPBEXaggItem 3 2 3" xfId="6010"/>
    <cellStyle name="SAPBEXaggItem 3 3 3" xfId="6011"/>
    <cellStyle name="SAPBEXaggItem 3 4 3" xfId="6012"/>
    <cellStyle name="SAPBEXaggItem 4 3 3" xfId="6013"/>
    <cellStyle name="SAPBEXaggItem 4 2 4" xfId="6014"/>
    <cellStyle name="SAPBEXaggItem 5 2" xfId="6015"/>
    <cellStyle name="SAPBEXaggItem 6" xfId="6016"/>
    <cellStyle name="SAPBEXaggItem 7" xfId="6017"/>
    <cellStyle name="SAPBEXaggItemX 7 2" xfId="6018"/>
    <cellStyle name="SAPBEXaggItemX 2 4" xfId="6019"/>
    <cellStyle name="SAPBEXaggItemX 2 2" xfId="6020"/>
    <cellStyle name="SAPBEXaggItemX 2 3" xfId="6021"/>
    <cellStyle name="SAPBEXaggItemX 3 3 3" xfId="6022"/>
    <cellStyle name="SAPBEXaggItemX 3 2 3" xfId="6023"/>
    <cellStyle name="SAPBEXaggItemX 4 2 3" xfId="6024"/>
    <cellStyle name="SAPBEXaggItemX 5 2" xfId="6025"/>
    <cellStyle name="SAPBEXaggItemX 6 3" xfId="6026"/>
    <cellStyle name="SAPBEXaggItemX_GRADE JUN13" xfId="6027"/>
    <cellStyle name="SAPBEXchaText 8" xfId="6028"/>
    <cellStyle name="SAPBEXchaText 2 5" xfId="6029"/>
    <cellStyle name="SAPBEXchaText 2 2 3" xfId="6030"/>
    <cellStyle name="SAPBEXchaText 2 3" xfId="6031"/>
    <cellStyle name="SAPBEXchaText 2 4" xfId="6032"/>
    <cellStyle name="SAPBEXchaText 3 5 2" xfId="6033"/>
    <cellStyle name="SAPBEXchaText 3 2 2" xfId="6034"/>
    <cellStyle name="SAPBEXchaText 3 3 2" xfId="6035"/>
    <cellStyle name="SAPBEXchaText 3 4 2" xfId="6036"/>
    <cellStyle name="SAPBEXchaText 4" xfId="6037"/>
    <cellStyle name="SAPBEXchaText 4 2" xfId="6038"/>
    <cellStyle name="SAPBEXchaText 5" xfId="6039"/>
    <cellStyle name="SAPBEXchaText 5 2" xfId="6040"/>
    <cellStyle name="SAPBEXchaText 6" xfId="6041"/>
    <cellStyle name="SAPBEXchaText 7" xfId="6042"/>
    <cellStyle name="SAPBEXexcBad7 8" xfId="6043"/>
    <cellStyle name="SAPBEXexcBad7 2 5 3" xfId="6044"/>
    <cellStyle name="SAPBEXexcBad7 2 2 3" xfId="6045"/>
    <cellStyle name="SAPBEXexcBad7 2 3 3" xfId="6046"/>
    <cellStyle name="SAPBEXexcBad7 2 4 4" xfId="6047"/>
    <cellStyle name="SAPBEXexcBad7 3 2 3" xfId="6048"/>
    <cellStyle name="SAPBEXexcBad7 4 2 3" xfId="6049"/>
    <cellStyle name="SAPBEXexcBad7 5 2" xfId="6050"/>
    <cellStyle name="SAPBEXexcBad7 6" xfId="6051"/>
    <cellStyle name="SAPBEXexcBad7 7" xfId="6052"/>
    <cellStyle name="SAPBEXexcBad8 7" xfId="6053"/>
    <cellStyle name="SAPBEXexcBad8 2 5 3" xfId="6054"/>
    <cellStyle name="SAPBEXexcBad8 2 2 3" xfId="6055"/>
    <cellStyle name="SAPBEXexcBad8 2 3 3" xfId="6056"/>
    <cellStyle name="SAPBEXexcBad8 2 4 4" xfId="6057"/>
    <cellStyle name="SAPBEXexcBad8 3 2 3" xfId="6058"/>
    <cellStyle name="SAPBEXexcBad8 4 2 3" xfId="6059"/>
    <cellStyle name="SAPBEXexcBad8 5 2" xfId="6060"/>
    <cellStyle name="SAPBEXexcBad8 6" xfId="6061"/>
    <cellStyle name="SAPBEXexcBad9 8" xfId="6062"/>
    <cellStyle name="SAPBEXexcBad9 2 5 3" xfId="6063"/>
    <cellStyle name="SAPBEXexcBad9 2 2 3" xfId="6064"/>
    <cellStyle name="SAPBEXexcBad9 2 3 3" xfId="6065"/>
    <cellStyle name="SAPBEXexcBad9 2 4 4" xfId="6066"/>
    <cellStyle name="SAPBEXexcBad9 3 3 3" xfId="6067"/>
    <cellStyle name="SAPBEXexcBad9 4 2 3" xfId="6068"/>
    <cellStyle name="SAPBEXexcBad9 5 2" xfId="6069"/>
    <cellStyle name="SAPBEXexcBad9 6" xfId="6070"/>
    <cellStyle name="SAPBEXexcBad9 7" xfId="6071"/>
    <cellStyle name="SAPBEXexcCritical4 7" xfId="6072"/>
    <cellStyle name="SAPBEXexcCritical4 2 5 3" xfId="6073"/>
    <cellStyle name="SAPBEXexcCritical4 2 2 3" xfId="6074"/>
    <cellStyle name="SAPBEXexcCritical4 2 3 3" xfId="6075"/>
    <cellStyle name="SAPBEXexcCritical4 2 4 4" xfId="6076"/>
    <cellStyle name="SAPBEXexcCritical4 3 2 3" xfId="6077"/>
    <cellStyle name="SAPBEXexcCritical4 4 2 3" xfId="6078"/>
    <cellStyle name="SAPBEXexcCritical4 5 2" xfId="6079"/>
    <cellStyle name="SAPBEXexcCritical4 6" xfId="6080"/>
    <cellStyle name="SAPBEXexcCritical5 8" xfId="6081"/>
    <cellStyle name="SAPBEXexcCritical5 2 5 3" xfId="6082"/>
    <cellStyle name="SAPBEXexcCritical5 2 2 3" xfId="6083"/>
    <cellStyle name="SAPBEXexcCritical5 2 3 3" xfId="6084"/>
    <cellStyle name="SAPBEXexcCritical5 2 4 4" xfId="6085"/>
    <cellStyle name="SAPBEXexcCritical5 3 2 3" xfId="6086"/>
    <cellStyle name="SAPBEXexcCritical5 4 2 3" xfId="6087"/>
    <cellStyle name="SAPBEXexcCritical5 5 2" xfId="6088"/>
    <cellStyle name="SAPBEXexcCritical5 6" xfId="6089"/>
    <cellStyle name="SAPBEXexcCritical5 7" xfId="6090"/>
    <cellStyle name="SAPBEXexcCritical6 7" xfId="6091"/>
    <cellStyle name="SAPBEXexcCritical6 2 5 3" xfId="6092"/>
    <cellStyle name="SAPBEXexcCritical6 2 2 3" xfId="6093"/>
    <cellStyle name="SAPBEXexcCritical6 2 3 3" xfId="6094"/>
    <cellStyle name="SAPBEXexcCritical6 2 4 4" xfId="6095"/>
    <cellStyle name="SAPBEXexcCritical6 3 2 3" xfId="6096"/>
    <cellStyle name="SAPBEXexcCritical6 4 2 3" xfId="6097"/>
    <cellStyle name="SAPBEXexcCritical6 5 2" xfId="6098"/>
    <cellStyle name="SAPBEXexcCritical6 6" xfId="6099"/>
    <cellStyle name="SAPBEXexcGood1 8" xfId="6100"/>
    <cellStyle name="SAPBEXexcGood1 2 5 3" xfId="6101"/>
    <cellStyle name="SAPBEXexcGood1 2 2 3" xfId="6102"/>
    <cellStyle name="SAPBEXexcGood1 2 3 3" xfId="6103"/>
    <cellStyle name="SAPBEXexcGood1 2 4 4" xfId="6104"/>
    <cellStyle name="SAPBEXexcGood1 3 2 3" xfId="6105"/>
    <cellStyle name="SAPBEXexcGood1 4 2 3" xfId="6106"/>
    <cellStyle name="SAPBEXexcGood1 5 2" xfId="6107"/>
    <cellStyle name="SAPBEXexcGood1 6" xfId="6108"/>
    <cellStyle name="SAPBEXexcGood1 7" xfId="6109"/>
    <cellStyle name="SAPBEXexcGood2 7" xfId="6110"/>
    <cellStyle name="SAPBEXexcGood2 2 5 3" xfId="6111"/>
    <cellStyle name="SAPBEXexcGood2 2 2 3" xfId="6112"/>
    <cellStyle name="SAPBEXexcGood2 2 3 3" xfId="6113"/>
    <cellStyle name="SAPBEXexcGood2 2 4 4" xfId="6114"/>
    <cellStyle name="SAPBEXexcGood2 3 2 3" xfId="6115"/>
    <cellStyle name="SAPBEXexcGood2 4 2 3" xfId="6116"/>
    <cellStyle name="SAPBEXexcGood2 5 2" xfId="6117"/>
    <cellStyle name="SAPBEXexcGood2 6" xfId="6118"/>
    <cellStyle name="SAPBEXexcGood3 8" xfId="6119"/>
    <cellStyle name="SAPBEXexcGood3 2 5 3" xfId="6120"/>
    <cellStyle name="SAPBEXexcGood3 2 2 3" xfId="6121"/>
    <cellStyle name="SAPBEXexcGood3 2 3 3" xfId="6122"/>
    <cellStyle name="SAPBEXexcGood3 2 4 4" xfId="6123"/>
    <cellStyle name="SAPBEXexcGood3 3 2 3" xfId="6124"/>
    <cellStyle name="SAPBEXexcGood3 4 2 3" xfId="6125"/>
    <cellStyle name="SAPBEXexcGood3 5 2" xfId="6126"/>
    <cellStyle name="SAPBEXexcGood3 6" xfId="6127"/>
    <cellStyle name="SAPBEXexcGood3 7" xfId="6128"/>
    <cellStyle name="SAPBEXfilterDrill 8" xfId="6129"/>
    <cellStyle name="SAPBEXfilterDrill 2 5" xfId="6130"/>
    <cellStyle name="SAPBEXfilterDrill 2 3" xfId="6131"/>
    <cellStyle name="SAPBEXfilterDrill 2 4" xfId="6132"/>
    <cellStyle name="SAPBEXfilterDrill 3 3 2" xfId="6133"/>
    <cellStyle name="SAPBEXfilterDrill 4" xfId="6134"/>
    <cellStyle name="SAPBEXfilterDrill 5" xfId="6135"/>
    <cellStyle name="SAPBEXfilterDrill 6" xfId="6136"/>
    <cellStyle name="SAPBEXfilterDrill 7" xfId="6137"/>
    <cellStyle name="SAPBEXfilterItem 8" xfId="6138"/>
    <cellStyle name="SAPBEXfilterItem 2 5" xfId="6139"/>
    <cellStyle name="SAPBEXfilterItem 2 3" xfId="6140"/>
    <cellStyle name="SAPBEXfilterItem 2 4" xfId="6141"/>
    <cellStyle name="SAPBEXfilterItem 3 3 2" xfId="6142"/>
    <cellStyle name="SAPBEXfilterItem 4" xfId="6143"/>
    <cellStyle name="SAPBEXfilterItem 5" xfId="6144"/>
    <cellStyle name="SAPBEXfilterItem 6" xfId="6145"/>
    <cellStyle name="SAPBEXfilterItem 7" xfId="6146"/>
    <cellStyle name="SAPBEXfilterText 5" xfId="6147"/>
    <cellStyle name="SAPBEXfilterText 3 2" xfId="6148"/>
    <cellStyle name="SAPBEXfilterText 4" xfId="6149"/>
    <cellStyle name="SAPBEXformats 8" xfId="6150"/>
    <cellStyle name="SAPBEXformats 2 5 3" xfId="6151"/>
    <cellStyle name="SAPBEXformats 2 2 2 3" xfId="6152"/>
    <cellStyle name="SAPBEXformats 2 3 2" xfId="6153"/>
    <cellStyle name="SAPBEXformats 2 4 4" xfId="6154"/>
    <cellStyle name="SAPBEXformats 3 5 3" xfId="6155"/>
    <cellStyle name="SAPBEXformats 3 2 3" xfId="6156"/>
    <cellStyle name="SAPBEXformats 3 3 3" xfId="6157"/>
    <cellStyle name="SAPBEXformats 3 4 3" xfId="6158"/>
    <cellStyle name="SAPBEXformats 4 2 3" xfId="6159"/>
    <cellStyle name="SAPBEXformats 5 2" xfId="6160"/>
    <cellStyle name="SAPBEXformats 6" xfId="6161"/>
    <cellStyle name="SAPBEXformats 7" xfId="6162"/>
    <cellStyle name="SAPBEXheaderItem 8" xfId="6163"/>
    <cellStyle name="SAPBEXheaderItem 2 4" xfId="6164"/>
    <cellStyle name="SAPBEXheaderItem 2 2" xfId="6165"/>
    <cellStyle name="SAPBEXheaderItem 2 3" xfId="6166"/>
    <cellStyle name="SAPBEXheaderItem 3 2" xfId="6167"/>
    <cellStyle name="SAPBEXheaderItem 4" xfId="6168"/>
    <cellStyle name="SAPBEXheaderItem 5" xfId="6169"/>
    <cellStyle name="SAPBEXheaderItem 6" xfId="6170"/>
    <cellStyle name="SAPBEXheaderItem 7" xfId="6171"/>
    <cellStyle name="SAPBEXheaderText 8" xfId="6172"/>
    <cellStyle name="SAPBEXheaderText 2 4" xfId="6173"/>
    <cellStyle name="SAPBEXheaderText 2 2" xfId="6174"/>
    <cellStyle name="SAPBEXheaderText 2 3" xfId="6175"/>
    <cellStyle name="SAPBEXheaderText 3 3" xfId="6176"/>
    <cellStyle name="SAPBEXheaderText 3 2" xfId="6177"/>
    <cellStyle name="SAPBEXheaderText 4" xfId="6178"/>
    <cellStyle name="SAPBEXheaderText 5" xfId="6179"/>
    <cellStyle name="SAPBEXheaderText 6" xfId="6180"/>
    <cellStyle name="SAPBEXheaderText 7" xfId="6181"/>
    <cellStyle name="SAPBEXHLevel0 8 2" xfId="6182"/>
    <cellStyle name="SAPBEXHLevel0 2 5" xfId="6183"/>
    <cellStyle name="SAPBEXHLevel0 2 2" xfId="6184"/>
    <cellStyle name="SAPBEXHLevel0 2 2 2" xfId="6185"/>
    <cellStyle name="SAPBEXHLevel0 2 3" xfId="6186"/>
    <cellStyle name="SAPBEXHLevel0 2 4" xfId="6187"/>
    <cellStyle name="SAPBEXHLevel0 3 5 3" xfId="6188"/>
    <cellStyle name="SAPBEXHLevel0 3 2 2" xfId="6189"/>
    <cellStyle name="SAPBEXHLevel0 3 3 3" xfId="6190"/>
    <cellStyle name="SAPBEXHLevel0 3 4 3" xfId="6191"/>
    <cellStyle name="SAPBEXHLevel0 4 3 3" xfId="6192"/>
    <cellStyle name="SAPBEXHLevel0 4 2 4" xfId="6193"/>
    <cellStyle name="SAPBEXHLevel0 5 3" xfId="6194"/>
    <cellStyle name="SAPBEXHLevel0 5 2" xfId="6195"/>
    <cellStyle name="SAPBEXHLevel0 6 2" xfId="6196"/>
    <cellStyle name="SAPBEXHLevel0 7 3" xfId="6197"/>
    <cellStyle name="SAPBEXHLevel0_GRADE JUN13" xfId="6198"/>
    <cellStyle name="SAPBEXHLevel0X 8 2" xfId="6199"/>
    <cellStyle name="SAPBEXHLevel0X 2 4" xfId="6200"/>
    <cellStyle name="SAPBEXHLevel0X 2 2" xfId="6201"/>
    <cellStyle name="SAPBEXHLevel0X 2 3" xfId="6202"/>
    <cellStyle name="SAPBEXHLevel0X 3 4 3" xfId="6203"/>
    <cellStyle name="SAPBEXHLevel0X 3 2 3" xfId="6204"/>
    <cellStyle name="SAPBEXHLevel0X 3 3 3" xfId="6205"/>
    <cellStyle name="SAPBEXHLevel0X 4 3 3" xfId="6206"/>
    <cellStyle name="SAPBEXHLevel0X 4 2 4" xfId="6207"/>
    <cellStyle name="SAPBEXHLevel0X 5 2" xfId="6208"/>
    <cellStyle name="SAPBEXHLevel0X 6 2" xfId="6209"/>
    <cellStyle name="SAPBEXHLevel0X 7 3" xfId="6210"/>
    <cellStyle name="SAPBEXHLevel0X_GRADE JUN13" xfId="6211"/>
    <cellStyle name="SAPBEXHLevel1 7" xfId="6212"/>
    <cellStyle name="SAPBEXHLevel1 2 5" xfId="6213"/>
    <cellStyle name="SAPBEXHLevel1 2 2" xfId="6214"/>
    <cellStyle name="SAPBEXHLevel1 2 2 2" xfId="6215"/>
    <cellStyle name="SAPBEXHLevel1 2 3" xfId="6216"/>
    <cellStyle name="SAPBEXHLevel1 2 4" xfId="6217"/>
    <cellStyle name="SAPBEXHLevel1 3 5 3" xfId="6218"/>
    <cellStyle name="SAPBEXHLevel1 3 2 2" xfId="6219"/>
    <cellStyle name="SAPBEXHLevel1 3 3 3" xfId="6220"/>
    <cellStyle name="SAPBEXHLevel1 3 4 3" xfId="6221"/>
    <cellStyle name="SAPBEXHLevel1 4 3 3" xfId="6222"/>
    <cellStyle name="SAPBEXHLevel1 4 2 4" xfId="6223"/>
    <cellStyle name="SAPBEXHLevel1 5 3" xfId="6224"/>
    <cellStyle name="SAPBEXHLevel1 5 2" xfId="6225"/>
    <cellStyle name="SAPBEXHLevel1 6" xfId="6226"/>
    <cellStyle name="SAPBEXHLevel1X 8 2" xfId="6227"/>
    <cellStyle name="SAPBEXHLevel1X 2 4" xfId="6228"/>
    <cellStyle name="SAPBEXHLevel1X 2 2" xfId="6229"/>
    <cellStyle name="SAPBEXHLevel1X 2 3" xfId="6230"/>
    <cellStyle name="SAPBEXHLevel1X 3 4 3" xfId="6231"/>
    <cellStyle name="SAPBEXHLevel1X 3 2 3" xfId="6232"/>
    <cellStyle name="SAPBEXHLevel1X 3 3 3" xfId="6233"/>
    <cellStyle name="SAPBEXHLevel1X 4 3 3" xfId="6234"/>
    <cellStyle name="SAPBEXHLevel1X 4 2 4" xfId="6235"/>
    <cellStyle name="SAPBEXHLevel1X 5 2" xfId="6236"/>
    <cellStyle name="SAPBEXHLevel1X 6 2" xfId="6237"/>
    <cellStyle name="SAPBEXHLevel1X 7 3" xfId="6238"/>
    <cellStyle name="SAPBEXHLevel1X_GRADE JUN13" xfId="6239"/>
    <cellStyle name="SAPBEXHLevel2 7" xfId="6240"/>
    <cellStyle name="SAPBEXHLevel2 2 5" xfId="6241"/>
    <cellStyle name="SAPBEXHLevel2 2 2" xfId="6242"/>
    <cellStyle name="SAPBEXHLevel2 2 2 2" xfId="6243"/>
    <cellStyle name="SAPBEXHLevel2 2 3" xfId="6244"/>
    <cellStyle name="SAPBEXHLevel2 2 4" xfId="6245"/>
    <cellStyle name="SAPBEXHLevel2 3 5 3" xfId="6246"/>
    <cellStyle name="SAPBEXHLevel2 3 2 2" xfId="6247"/>
    <cellStyle name="SAPBEXHLevel2 3 3 3" xfId="6248"/>
    <cellStyle name="SAPBEXHLevel2 3 4 3" xfId="6249"/>
    <cellStyle name="SAPBEXHLevel2 4 3 3" xfId="6250"/>
    <cellStyle name="SAPBEXHLevel2 4 2 4" xfId="6251"/>
    <cellStyle name="SAPBEXHLevel2 5 2" xfId="6252"/>
    <cellStyle name="SAPBEXHLevel2 6" xfId="6253"/>
    <cellStyle name="SAPBEXHLevel2X 8 2" xfId="6254"/>
    <cellStyle name="SAPBEXHLevel2X 2 4" xfId="6255"/>
    <cellStyle name="SAPBEXHLevel2X 2 2" xfId="6256"/>
    <cellStyle name="SAPBEXHLevel2X 2 3" xfId="6257"/>
    <cellStyle name="SAPBEXHLevel2X 3 4 3" xfId="6258"/>
    <cellStyle name="SAPBEXHLevel2X 3 2 3" xfId="6259"/>
    <cellStyle name="SAPBEXHLevel2X 3 3 3" xfId="6260"/>
    <cellStyle name="SAPBEXHLevel2X 4 3 3" xfId="6261"/>
    <cellStyle name="SAPBEXHLevel2X 4 2 4" xfId="6262"/>
    <cellStyle name="SAPBEXHLevel2X 5 2" xfId="6263"/>
    <cellStyle name="SAPBEXHLevel2X 6 2" xfId="6264"/>
    <cellStyle name="SAPBEXHLevel2X 7 3" xfId="6265"/>
    <cellStyle name="SAPBEXHLevel2X_GRADE JUN13" xfId="6266"/>
    <cellStyle name="SAPBEXHLevel3 8 2" xfId="6267"/>
    <cellStyle name="SAPBEXHLevel3 2 5" xfId="6268"/>
    <cellStyle name="SAPBEXHLevel3 2 2" xfId="6269"/>
    <cellStyle name="SAPBEXHLevel3 2 2 2" xfId="6270"/>
    <cellStyle name="SAPBEXHLevel3 2 3" xfId="6271"/>
    <cellStyle name="SAPBEXHLevel3 2 4" xfId="6272"/>
    <cellStyle name="SAPBEXHLevel3 3 4 3" xfId="6273"/>
    <cellStyle name="SAPBEXHLevel3 3 2 2" xfId="6274"/>
    <cellStyle name="SAPBEXHLevel3 3 3 3" xfId="6275"/>
    <cellStyle name="SAPBEXHLevel3 4 3 3" xfId="6276"/>
    <cellStyle name="SAPBEXHLevel3 4 2 3" xfId="6277"/>
    <cellStyle name="SAPBEXHLevel3 5 3" xfId="6278"/>
    <cellStyle name="SAPBEXHLevel3 5 2" xfId="6279"/>
    <cellStyle name="SAPBEXHLevel3 6 3" xfId="6280"/>
    <cellStyle name="SAPBEXHLevel3 6 2" xfId="6281"/>
    <cellStyle name="SAPBEXHLevel3 7 3" xfId="6282"/>
    <cellStyle name="SAPBEXHLevel3_GRADE JUN13" xfId="6283"/>
    <cellStyle name="SAPBEXHLevel3X 8 2" xfId="6284"/>
    <cellStyle name="SAPBEXHLevel3X 2 4" xfId="6285"/>
    <cellStyle name="SAPBEXHLevel3X 2 2" xfId="6286"/>
    <cellStyle name="SAPBEXHLevel3X 2 3" xfId="6287"/>
    <cellStyle name="SAPBEXHLevel3X 3 4 3" xfId="6288"/>
    <cellStyle name="SAPBEXHLevel3X 3 2 3" xfId="6289"/>
    <cellStyle name="SAPBEXHLevel3X 3 3 3" xfId="6290"/>
    <cellStyle name="SAPBEXHLevel3X 4 3 3" xfId="6291"/>
    <cellStyle name="SAPBEXHLevel3X 4 2 4" xfId="6292"/>
    <cellStyle name="SAPBEXHLevel3X 5 2" xfId="6293"/>
    <cellStyle name="SAPBEXHLevel3X 6 2" xfId="6294"/>
    <cellStyle name="SAPBEXHLevel3X 7 3" xfId="6295"/>
    <cellStyle name="SAPBEXHLevel3X_GRADE JUN13" xfId="6296"/>
    <cellStyle name="SAPBEXinputData 8 2" xfId="6297"/>
    <cellStyle name="SAPBEXinputData 2 2" xfId="6298"/>
    <cellStyle name="SAPBEXinputData 3 3 2" xfId="6299"/>
    <cellStyle name="SAPBEXinputData 4 3 2" xfId="6300"/>
    <cellStyle name="SAPBEXinputData 4 2 2" xfId="6301"/>
    <cellStyle name="SAPBEXinputData 5 3" xfId="6302"/>
    <cellStyle name="SAPBEXinputData 5 2" xfId="6303"/>
    <cellStyle name="SAPBEXinputData 6 2" xfId="6304"/>
    <cellStyle name="SAPBEXinputData 7 3" xfId="6305"/>
    <cellStyle name="SAPBEXinputData_GRADE JUN13" xfId="6306"/>
    <cellStyle name="SAPBEXresData 7" xfId="6307"/>
    <cellStyle name="SAPBEXresData 2 5 3" xfId="6308"/>
    <cellStyle name="SAPBEXresData 2 2 3" xfId="6309"/>
    <cellStyle name="SAPBEXresData 2 3 3" xfId="6310"/>
    <cellStyle name="SAPBEXresData 2 4 4" xfId="6311"/>
    <cellStyle name="SAPBEXresData 3 2 3" xfId="6312"/>
    <cellStyle name="SAPBEXresData 4 2 3" xfId="6313"/>
    <cellStyle name="SAPBEXresData 5 2" xfId="6314"/>
    <cellStyle name="SAPBEXresData 6" xfId="6315"/>
    <cellStyle name="SAPBEXresDataEmph 7" xfId="6316"/>
    <cellStyle name="SAPBEXresDataEmph 2 5 3" xfId="6317"/>
    <cellStyle name="SAPBEXresDataEmph 2 2 3" xfId="6318"/>
    <cellStyle name="SAPBEXresDataEmph 2 3 3" xfId="6319"/>
    <cellStyle name="SAPBEXresDataEmph 2 4 4" xfId="6320"/>
    <cellStyle name="SAPBEXresDataEmph 3 3 3" xfId="6321"/>
    <cellStyle name="SAPBEXresDataEmph 4 2 3" xfId="6322"/>
    <cellStyle name="SAPBEXresDataEmph 5 2" xfId="6323"/>
    <cellStyle name="SAPBEXresDataEmph 6" xfId="6324"/>
    <cellStyle name="SAPBEXresItem 7 2" xfId="6325"/>
    <cellStyle name="SAPBEXresItem 2 5 3" xfId="6326"/>
    <cellStyle name="SAPBEXresItem 2 2 3" xfId="6327"/>
    <cellStyle name="SAPBEXresItem 2 3 3" xfId="6328"/>
    <cellStyle name="SAPBEXresItem 2 4 4" xfId="6329"/>
    <cellStyle name="SAPBEXresItem 3 2 3" xfId="6330"/>
    <cellStyle name="SAPBEXresItem 4 2 3" xfId="6331"/>
    <cellStyle name="SAPBEXresItem 5 3" xfId="6332"/>
    <cellStyle name="SAPBEXresItem 6 2" xfId="6333"/>
    <cellStyle name="SAPBEXresItemX 8 2" xfId="6334"/>
    <cellStyle name="SAPBEXresItemX 2 4" xfId="6335"/>
    <cellStyle name="SAPBEXresItemX 2 2" xfId="6336"/>
    <cellStyle name="SAPBEXresItemX 2 3" xfId="6337"/>
    <cellStyle name="SAPBEXresItemX 3 3 3" xfId="6338"/>
    <cellStyle name="SAPBEXresItemX 3 2 3" xfId="6339"/>
    <cellStyle name="SAPBEXresItemX 4 2 3" xfId="6340"/>
    <cellStyle name="SAPBEXresItemX 5 2" xfId="6341"/>
    <cellStyle name="SAPBEXresItemX 6 2" xfId="6342"/>
    <cellStyle name="SAPBEXresItemX 7 3" xfId="6343"/>
    <cellStyle name="SAPBEXresItemX_GRADE JUN13" xfId="6344"/>
    <cellStyle name="SAPBEXstdData 8" xfId="6345"/>
    <cellStyle name="SAPBEXstdData 2 5 3" xfId="6346"/>
    <cellStyle name="SAPBEXstdData 2 2 3" xfId="6347"/>
    <cellStyle name="SAPBEXstdData 2 3 3" xfId="6348"/>
    <cellStyle name="SAPBEXstdData 2 4 4" xfId="6349"/>
    <cellStyle name="SAPBEXstdData 3 5 3" xfId="6350"/>
    <cellStyle name="SAPBEXstdData 3 2 3" xfId="6351"/>
    <cellStyle name="SAPBEXstdData 3 3 3" xfId="6352"/>
    <cellStyle name="SAPBEXstdData 3 4 3" xfId="6353"/>
    <cellStyle name="SAPBEXstdData 4 2 3" xfId="6354"/>
    <cellStyle name="SAPBEXstdData 5 2" xfId="6355"/>
    <cellStyle name="SAPBEXstdData 6" xfId="6356"/>
    <cellStyle name="SAPBEXstdData 7" xfId="6357"/>
    <cellStyle name="SAPBEXstdDataEmph 7" xfId="6358"/>
    <cellStyle name="SAPBEXstdDataEmph 2 5 3" xfId="6359"/>
    <cellStyle name="SAPBEXstdDataEmph 2 2 3" xfId="6360"/>
    <cellStyle name="SAPBEXstdDataEmph 2 3 3" xfId="6361"/>
    <cellStyle name="SAPBEXstdDataEmph 2 4 4" xfId="6362"/>
    <cellStyle name="SAPBEXstdDataEmph 3 2 3" xfId="6363"/>
    <cellStyle name="SAPBEXstdDataEmph 4 2 3" xfId="6364"/>
    <cellStyle name="SAPBEXstdDataEmph 5 2" xfId="6365"/>
    <cellStyle name="SAPBEXstdDataEmph 6" xfId="6366"/>
    <cellStyle name="SAPBEXstdItem 8" xfId="6367"/>
    <cellStyle name="SAPBEXstdItem 2 5 3" xfId="6368"/>
    <cellStyle name="SAPBEXstdItem 2 2 2 3" xfId="6369"/>
    <cellStyle name="SAPBEXstdItem 2 3 2" xfId="6370"/>
    <cellStyle name="SAPBEXstdItem 2 4 3" xfId="6371"/>
    <cellStyle name="SAPBEXstdItem 3 5 3" xfId="6372"/>
    <cellStyle name="SAPBEXstdItem 3 2 3" xfId="6373"/>
    <cellStyle name="SAPBEXstdItem 3 3 3" xfId="6374"/>
    <cellStyle name="SAPBEXstdItem 3 4 3" xfId="6375"/>
    <cellStyle name="SAPBEXstdItem 4 3 3" xfId="6376"/>
    <cellStyle name="SAPBEXstdItem 4 2 4" xfId="6377"/>
    <cellStyle name="SAPBEXstdItem 5 2" xfId="6378"/>
    <cellStyle name="SAPBEXstdItem 6" xfId="6379"/>
    <cellStyle name="SAPBEXstdItem 7" xfId="6380"/>
    <cellStyle name="SAPBEXstdItemX 7" xfId="6381"/>
    <cellStyle name="SAPBEXstdItemX 2 4" xfId="6382"/>
    <cellStyle name="SAPBEXstdItemX 2 2" xfId="6383"/>
    <cellStyle name="SAPBEXstdItemX 2 3" xfId="6384"/>
    <cellStyle name="SAPBEXstdItemX 3 3 3" xfId="6385"/>
    <cellStyle name="SAPBEXstdItemX 3 2 3" xfId="6386"/>
    <cellStyle name="SAPBEXstdItemX 4 3 3" xfId="6387"/>
    <cellStyle name="SAPBEXstdItemX 4 2 4" xfId="6388"/>
    <cellStyle name="SAPBEXstdItemX 5 3" xfId="6389"/>
    <cellStyle name="SAPBEXstdItemX 5 2" xfId="6390"/>
    <cellStyle name="SAPBEXstdItemX 6 3" xfId="6391"/>
    <cellStyle name="SAPBEXtitle 8 2" xfId="6392"/>
    <cellStyle name="SAPBEXtitle 2 5 2" xfId="6393"/>
    <cellStyle name="SAPBEXtitle 2 2 3" xfId="6394"/>
    <cellStyle name="SAPBEXtitle 2 3 2" xfId="6395"/>
    <cellStyle name="SAPBEXtitle 2 4 4" xfId="6396"/>
    <cellStyle name="SAPBEXtitle 3 3 2" xfId="6397"/>
    <cellStyle name="SAPBEXtitle 5 3" xfId="6398"/>
    <cellStyle name="SAPBEXtitle 6 2" xfId="6399"/>
    <cellStyle name="SAPBEXtitle 7 2" xfId="6400"/>
    <cellStyle name="SAPBEXundefined 7" xfId="6401"/>
    <cellStyle name="SAPBEXundefined 2 5 3" xfId="6402"/>
    <cellStyle name="SAPBEXundefined 2 2 3" xfId="6403"/>
    <cellStyle name="SAPBEXundefined 2 3 3" xfId="6404"/>
    <cellStyle name="SAPBEXundefined 2 4 4" xfId="6405"/>
    <cellStyle name="SAPBEXundefined 3 2 3" xfId="6406"/>
    <cellStyle name="SAPBEXundefined 4 2 3" xfId="6407"/>
    <cellStyle name="SAPBEXundefined 5 2" xfId="6408"/>
    <cellStyle name="SAPBEXundefined 6" xfId="6409"/>
    <cellStyle name="Separador de milhares 2 7" xfId="6410"/>
    <cellStyle name="Separador de milhares 2 2 4" xfId="6411"/>
    <cellStyle name="Separador de milhares 2 2 2" xfId="6412"/>
    <cellStyle name="Separador de milhares 2 2 3" xfId="6413"/>
    <cellStyle name="Separador de milhares 2 3" xfId="6414"/>
    <cellStyle name="Separador de milhares 2 3 2" xfId="6415"/>
    <cellStyle name="Separador de milhares 2 4" xfId="6416"/>
    <cellStyle name="Separador de milhares 2 5" xfId="6417"/>
    <cellStyle name="Separador de milhares 2 6" xfId="6418"/>
    <cellStyle name="Separador de milhares 3 5" xfId="6419"/>
    <cellStyle name="Separador de milhares 3 2 4" xfId="6420"/>
    <cellStyle name="Separador de milhares 3 2 2" xfId="6421"/>
    <cellStyle name="Separador de milhares 3 2 3" xfId="6422"/>
    <cellStyle name="Separador de milhares 3 3 3" xfId="6423"/>
    <cellStyle name="Separador de milhares 3 3 2 2" xfId="6424"/>
    <cellStyle name="Separador de milhares 3 4 2" xfId="6425"/>
    <cellStyle name="Separador de milhares 4 4" xfId="6426"/>
    <cellStyle name="Separador de milhares 4 2 3" xfId="6427"/>
    <cellStyle name="Separador de milhares 4 2 2" xfId="6428"/>
    <cellStyle name="Separador de milhares 4 3 2" xfId="6429"/>
    <cellStyle name="Separador de milhares 5 2 3" xfId="6430"/>
    <cellStyle name="Separador de milhares 5 2 2" xfId="6431"/>
    <cellStyle name="Separador de milhares 5 3 2" xfId="6432"/>
    <cellStyle name="Separador de milhares 5 4" xfId="6433"/>
    <cellStyle name="Separador de milhares 6 5" xfId="6434"/>
    <cellStyle name="Separador de milhares 6 2 3" xfId="6435"/>
    <cellStyle name="Separador de milhares 6 2 2" xfId="6436"/>
    <cellStyle name="Separador de milhares 6 3 2" xfId="6437"/>
    <cellStyle name="Separador de milhares 6 4" xfId="6438"/>
    <cellStyle name="Separador de milhares 7 3 2" xfId="6439"/>
    <cellStyle name="Texto de Aviso 2 4" xfId="6440"/>
    <cellStyle name="Texto de Aviso 2 2" xfId="6441"/>
    <cellStyle name="Texto de Aviso 2 3" xfId="6442"/>
    <cellStyle name="Texto de Aviso 3 2" xfId="6443"/>
    <cellStyle name="Texto de Aviso 4" xfId="6444"/>
    <cellStyle name="Texto Explicativo 2" xfId="6445"/>
    <cellStyle name="Texto Explicativo 3" xfId="6446"/>
    <cellStyle name="Texto Explicativo 4" xfId="6447"/>
    <cellStyle name="Título 1 2 4" xfId="6448"/>
    <cellStyle name="Título 1 2 2" xfId="6449"/>
    <cellStyle name="Título 1 2 3" xfId="6450"/>
    <cellStyle name="Título 1 3 2" xfId="6451"/>
    <cellStyle name="Título 1 4" xfId="6452"/>
    <cellStyle name="Título 2 2 4" xfId="6453"/>
    <cellStyle name="Título 2 2 2" xfId="6454"/>
    <cellStyle name="Título 2 2 3" xfId="6455"/>
    <cellStyle name="Título 2 3 2" xfId="6456"/>
    <cellStyle name="Título 2 4" xfId="6457"/>
    <cellStyle name="Título 3 2 4" xfId="6458"/>
    <cellStyle name="Título 3 2 2" xfId="6459"/>
    <cellStyle name="Título 3 2 3" xfId="6460"/>
    <cellStyle name="Título 3 3 2" xfId="6461"/>
    <cellStyle name="Título 3 4" xfId="6462"/>
    <cellStyle name="Título 4 2 2" xfId="6463"/>
    <cellStyle name="Título 4 2 3" xfId="6464"/>
    <cellStyle name="Título 4 3 2" xfId="6465"/>
    <cellStyle name="Título 5" xfId="6466"/>
    <cellStyle name="Título 6" xfId="6467"/>
    <cellStyle name="Título 7" xfId="6468"/>
    <cellStyle name="Total 2 2 2" xfId="6469"/>
    <cellStyle name="Total 2 3 3" xfId="6470"/>
    <cellStyle name="Total 3 2 3" xfId="6471"/>
    <cellStyle name="Vírgula 2 6" xfId="6472"/>
    <cellStyle name="Vírgula 2 2" xfId="6473"/>
    <cellStyle name="Vírgula 2 2 2" xfId="6474"/>
    <cellStyle name="Vírgula 2 3" xfId="6475"/>
    <cellStyle name="Vírgula 2 3 2" xfId="6476"/>
    <cellStyle name="Vírgula 2 4" xfId="6477"/>
    <cellStyle name="Vírgula 2 5" xfId="6478"/>
    <cellStyle name="Vírgula 3 4" xfId="6479"/>
    <cellStyle name="Vírgula 3 2" xfId="6480"/>
    <cellStyle name="Vírgula 3 3" xfId="6481"/>
    <cellStyle name="Vírgula 4 4" xfId="6482"/>
    <cellStyle name="Vírgula 4 2 3" xfId="6483"/>
    <cellStyle name="Vírgula 4 2 2 2" xfId="6484"/>
    <cellStyle name="Vírgula 4 3" xfId="6485"/>
    <cellStyle name="Vírgula 5 3" xfId="6486"/>
    <cellStyle name="Vírgula 5 2" xfId="6487"/>
    <cellStyle name="Vírgula 6 2" xfId="6488"/>
    <cellStyle name="Vírgula 8 2 2" xfId="6489"/>
    <cellStyle name="Vírgula 9 2" xfId="6490"/>
    <cellStyle name="Warning Text 2 2" xfId="6491"/>
    <cellStyle name="Accent1 10 2" xfId="6492"/>
    <cellStyle name="Accent1 8 2" xfId="6493"/>
    <cellStyle name="Accent2 10 2" xfId="6494"/>
    <cellStyle name="Accent2 8 2" xfId="6495"/>
    <cellStyle name="Accent6 9 2" xfId="6496"/>
    <cellStyle name="Accent3 10 2" xfId="6497"/>
    <cellStyle name="Accent3 8 2" xfId="6498"/>
    <cellStyle name="Accent5 9 2" xfId="6499"/>
    <cellStyle name="Accent4 10 2" xfId="6500"/>
    <cellStyle name="Accent4 8 2" xfId="6501"/>
    <cellStyle name="Accent4 9 2" xfId="6502"/>
    <cellStyle name="Accent5 8 2" xfId="6503"/>
    <cellStyle name="Accent5 10 2" xfId="6504"/>
    <cellStyle name="Accent3 9 2" xfId="6505"/>
    <cellStyle name="Accent6 8 2" xfId="6506"/>
    <cellStyle name="Accent6 10 2" xfId="6507"/>
    <cellStyle name="Accent2 9 2" xfId="6508"/>
    <cellStyle name="Accent1 9 2" xfId="6509"/>
    <cellStyle name="Comma 4 3" xfId="6510"/>
    <cellStyle name="Accent1 13 2" xfId="6511"/>
    <cellStyle name="Accent2 13 2" xfId="6512"/>
    <cellStyle name="Accent6 12 2" xfId="6513"/>
    <cellStyle name="Accent3 13 2" xfId="6514"/>
    <cellStyle name="Accent5 12 2" xfId="6515"/>
    <cellStyle name="Accent4 13 2" xfId="6516"/>
    <cellStyle name="Accent4 12 2" xfId="6517"/>
    <cellStyle name="Accent1 11 2" xfId="6518"/>
    <cellStyle name="Accent5 13 2" xfId="6519"/>
    <cellStyle name="Accent2 11 2" xfId="6520"/>
    <cellStyle name="Accent3 12 2" xfId="6521"/>
    <cellStyle name="Accent3 11 2" xfId="6522"/>
    <cellStyle name="Accent6 13 2" xfId="6523"/>
    <cellStyle name="Accent2 12 2" xfId="6524"/>
    <cellStyle name="Accent4 11 2" xfId="6525"/>
    <cellStyle name="Accent1 12 2" xfId="6526"/>
    <cellStyle name="Accent5 11 2" xfId="6527"/>
    <cellStyle name="Accent6 11 2" xfId="6528"/>
    <cellStyle name="Comma 5 3" xfId="6529"/>
    <cellStyle name="Accent1 18 2" xfId="6530"/>
    <cellStyle name="Accent1 16 2" xfId="6531"/>
    <cellStyle name="Accent2 18 2" xfId="6532"/>
    <cellStyle name="Accent6 19 2" xfId="6533"/>
    <cellStyle name="Accent2 16 2" xfId="6534"/>
    <cellStyle name="Accent6 17 2" xfId="6535"/>
    <cellStyle name="Accent3 18 2" xfId="6536"/>
    <cellStyle name="Accent6 15 2" xfId="6537"/>
    <cellStyle name="Accent3 16 2" xfId="6538"/>
    <cellStyle name="Accent5 19 2" xfId="6539"/>
    <cellStyle name="Accent5 17 2" xfId="6540"/>
    <cellStyle name="Accent5 15 2" xfId="6541"/>
    <cellStyle name="Accent4 18 2" xfId="6542"/>
    <cellStyle name="Accent4 16 2" xfId="6543"/>
    <cellStyle name="Accent4 15 2" xfId="6544"/>
    <cellStyle name="Accent1 14 2" xfId="6545"/>
    <cellStyle name="Accent4 17 2" xfId="6546"/>
    <cellStyle name="Accent4 19 2" xfId="6547"/>
    <cellStyle name="Accent5 16 2" xfId="6548"/>
    <cellStyle name="Accent5 18 2" xfId="6549"/>
    <cellStyle name="Accent2 14 2" xfId="6550"/>
    <cellStyle name="Accent3 15 2" xfId="6551"/>
    <cellStyle name="Accent3 17 2" xfId="6552"/>
    <cellStyle name="Accent3 14 2" xfId="6553"/>
    <cellStyle name="Accent6 16 2" xfId="6554"/>
    <cellStyle name="Accent3 19 2" xfId="6555"/>
    <cellStyle name="Accent2 15 2" xfId="6556"/>
    <cellStyle name="Accent6 18 2" xfId="6557"/>
    <cellStyle name="Accent2 17 2" xfId="6558"/>
    <cellStyle name="Accent4 14 2" xfId="6559"/>
    <cellStyle name="Accent1 15 2" xfId="6560"/>
    <cellStyle name="Accent2 19 2" xfId="6561"/>
    <cellStyle name="Accent1 17 2" xfId="6562"/>
    <cellStyle name="Accent5 14 2" xfId="6563"/>
    <cellStyle name="Accent1 19 2" xfId="6564"/>
    <cellStyle name="Accent6 14 2" xfId="6565"/>
    <cellStyle name="Comma 6" xfId="6566"/>
    <cellStyle name="Accent1 22 2" xfId="6567"/>
    <cellStyle name="Accent2 22 2" xfId="6568"/>
    <cellStyle name="Accent6 23 2" xfId="6569"/>
    <cellStyle name="Accent6 21 2" xfId="6570"/>
    <cellStyle name="Accent3 22 2" xfId="6571"/>
    <cellStyle name="Accent5 23 2" xfId="6572"/>
    <cellStyle name="Accent5 21 2" xfId="6573"/>
    <cellStyle name="Accent4 22 2" xfId="6574"/>
    <cellStyle name="Accent4 21 2" xfId="6575"/>
    <cellStyle name="Accent1 20 2" xfId="6576"/>
    <cellStyle name="Accent4 23 2" xfId="6577"/>
    <cellStyle name="Accent5 22 2" xfId="6578"/>
    <cellStyle name="Accent2 20 2" xfId="6579"/>
    <cellStyle name="Accent3 21 2" xfId="6580"/>
    <cellStyle name="Accent3 23 2" xfId="6581"/>
    <cellStyle name="Accent3 20 2" xfId="6582"/>
    <cellStyle name="Accent6 22 2" xfId="6583"/>
    <cellStyle name="Accent2 21 2" xfId="6584"/>
    <cellStyle name="Accent2 23 2" xfId="6585"/>
    <cellStyle name="Accent4 20 2" xfId="6586"/>
    <cellStyle name="Accent1 21 2" xfId="6587"/>
    <cellStyle name="Accent1 23 2" xfId="6588"/>
    <cellStyle name="Accent5 20 2" xfId="6589"/>
    <cellStyle name="Accent6 20 2" xfId="6590"/>
    <cellStyle name="Comma 7" xfId="6591"/>
    <cellStyle name="Accent1 26 2" xfId="6592"/>
    <cellStyle name="Accent2 26 2" xfId="6593"/>
    <cellStyle name="Accent6 27 2" xfId="6594"/>
    <cellStyle name="Accent6 25 2" xfId="6595"/>
    <cellStyle name="Accent3 26 2" xfId="6596"/>
    <cellStyle name="Accent5 27 2" xfId="6597"/>
    <cellStyle name="Accent5 25 2" xfId="6598"/>
    <cellStyle name="Accent4 26 2" xfId="6599"/>
    <cellStyle name="Accent4 25 2" xfId="6600"/>
    <cellStyle name="Accent1 24 2" xfId="6601"/>
    <cellStyle name="Accent4 27 2" xfId="6602"/>
    <cellStyle name="Accent5 26 2" xfId="6603"/>
    <cellStyle name="Accent2 24 2" xfId="6604"/>
    <cellStyle name="Accent3 25 2" xfId="6605"/>
    <cellStyle name="Accent3 27 2" xfId="6606"/>
    <cellStyle name="Accent3 24 2" xfId="6607"/>
    <cellStyle name="Accent6 26 2" xfId="6608"/>
    <cellStyle name="Accent2 25 2" xfId="6609"/>
    <cellStyle name="Accent2 27 2" xfId="6610"/>
    <cellStyle name="Accent4 24 2" xfId="6611"/>
    <cellStyle name="Accent1 25 2" xfId="6612"/>
    <cellStyle name="Accent1 27 2" xfId="6613"/>
    <cellStyle name="Accent5 24 2" xfId="6614"/>
    <cellStyle name="Accent6 24 2" xfId="6615"/>
    <cellStyle name="Vírgula 10 7" xfId="6616"/>
    <cellStyle name="20% - Accent1 4 2" xfId="6617"/>
    <cellStyle name="20% - Accent2 4 2" xfId="6618"/>
    <cellStyle name="20% - Accent3 4" xfId="6619"/>
    <cellStyle name="20% - Accent4 4" xfId="6620"/>
    <cellStyle name="20% - Accent5 4 2" xfId="6621"/>
    <cellStyle name="20% - Accent6 4 2" xfId="6622"/>
    <cellStyle name="40% - Accent1 4 2" xfId="6623"/>
    <cellStyle name="40% - Accent2 4" xfId="6624"/>
    <cellStyle name="40% - Accent3 4" xfId="6625"/>
    <cellStyle name="40% - Accent4 4" xfId="6626"/>
    <cellStyle name="40% - Accent5 4 2" xfId="6627"/>
    <cellStyle name="40% - Accent6 4" xfId="6628"/>
    <cellStyle name="60% - Accent1 4 2" xfId="6629"/>
    <cellStyle name="60% - Accent2 4" xfId="6630"/>
    <cellStyle name="60% - Accent3 4" xfId="6631"/>
    <cellStyle name="60% - Accent4 4" xfId="6632"/>
    <cellStyle name="60% - Accent5 4 2" xfId="6633"/>
    <cellStyle name="60% - Accent6 4" xfId="6634"/>
    <cellStyle name="Accent1 28 2" xfId="6635"/>
    <cellStyle name="Accent2 28 2" xfId="6636"/>
    <cellStyle name="Accent3 28 2" xfId="6637"/>
    <cellStyle name="Accent4 28 2" xfId="6638"/>
    <cellStyle name="Accent5 28 2" xfId="6639"/>
    <cellStyle name="Accent6 28 2" xfId="6640"/>
    <cellStyle name="Explanatory Text 4" xfId="6641"/>
    <cellStyle name="Title 3" xfId="6642"/>
    <cellStyle name="Comma 8" xfId="6643"/>
    <cellStyle name="Comma 9" xfId="6644"/>
    <cellStyle name="Comma 10" xfId="6645"/>
    <cellStyle name="Vírgula 10 2" xfId="6646"/>
    <cellStyle name="Separador de milhares 2 7 2" xfId="6647"/>
    <cellStyle name="Comma 11" xfId="6648"/>
    <cellStyle name="Vírgula 10 3" xfId="6649"/>
    <cellStyle name="Separador de milhares 2 7 3" xfId="6650"/>
    <cellStyle name="Normal 8 10" xfId="6651"/>
    <cellStyle name="Porcentagem 12 5" xfId="6652"/>
    <cellStyle name="Normal 55 4" xfId="6653"/>
    <cellStyle name="Percent 14 4" xfId="6654"/>
    <cellStyle name="Accent1 29" xfId="6655"/>
    <cellStyle name="Accent2 29 2" xfId="6656"/>
    <cellStyle name="Accent3 29 2" xfId="6657"/>
    <cellStyle name="Accent4 29 2" xfId="6658"/>
    <cellStyle name="Accent5 29" xfId="6659"/>
    <cellStyle name="Accent6 29 2" xfId="6660"/>
    <cellStyle name="Check Cell" xfId="6661" builtinId="23"/>
    <cellStyle name="Good" xfId="6662" builtinId="26"/>
    <cellStyle name="Ruim 2" xfId="6663"/>
    <cellStyle name="Input" xfId="6664" builtinId="20"/>
    <cellStyle name="Linked Cell" xfId="6665" builtinId="24"/>
    <cellStyle name="Neutro 2" xfId="6666"/>
    <cellStyle name="Note" xfId="6667" builtinId="10"/>
    <cellStyle name="Accent6 30" xfId="6668"/>
    <cellStyle name="Warning Text" xfId="6669" builtinId="11"/>
    <cellStyle name="Normal 3 9" xfId="6670"/>
    <cellStyle name="Accent1 31" xfId="6671"/>
    <cellStyle name="Vírgula 9 3" xfId="6672"/>
    <cellStyle name="Porcentagem 12 2" xfId="6673"/>
    <cellStyle name="Vírgula 10 4" xfId="6674"/>
    <cellStyle name="Vírgula 11" xfId="6675"/>
    <cellStyle name="Normal 12 2 4" xfId="6676"/>
    <cellStyle name="20% - Ênfase1 9" xfId="6677"/>
    <cellStyle name="20% - Ênfase2 9" xfId="6678"/>
    <cellStyle name="20% - Ênfase3 9" xfId="6679"/>
    <cellStyle name="20% - Ênfase6 9" xfId="6680"/>
    <cellStyle name="40% - Ênfase2 9" xfId="6681"/>
    <cellStyle name="40% - Ênfase3 9" xfId="6682"/>
    <cellStyle name="60% - Ênfase1 5" xfId="6683"/>
    <cellStyle name="60% - Ênfase2 5" xfId="6684"/>
    <cellStyle name="60% - Ênfase3 5" xfId="6685"/>
    <cellStyle name="60% - Ênfase4 5" xfId="6686"/>
    <cellStyle name="60% - Ênfase5 5" xfId="6687"/>
    <cellStyle name="Bom 5" xfId="6688"/>
    <cellStyle name="Cálculo 5" xfId="6689"/>
    <cellStyle name="Célula Vinculada 5" xfId="6690"/>
    <cellStyle name="Ênfase1 5" xfId="6691"/>
    <cellStyle name="Ênfase2 5" xfId="6692"/>
    <cellStyle name="Ênfase3 5" xfId="6693"/>
    <cellStyle name="Ênfase4 5" xfId="6694"/>
    <cellStyle name="Ênfase5 5" xfId="6695"/>
    <cellStyle name="Ênfase6 5" xfId="6696"/>
    <cellStyle name="Entrada 5 3" xfId="6697"/>
    <cellStyle name="Incorreto 5" xfId="6698"/>
    <cellStyle name="Neutra 5" xfId="6699"/>
    <cellStyle name="Normal 3 7 2" xfId="6700"/>
    <cellStyle name="Nota 7 3" xfId="6701"/>
    <cellStyle name="Porcentagem 14" xfId="6702"/>
    <cellStyle name="SAPBEXaggData 8" xfId="6703"/>
    <cellStyle name="SAPBEXexcBad9 3 2 2" xfId="6704"/>
    <cellStyle name="Accent2 31" xfId="6705"/>
    <cellStyle name="SAPBEXfilterDrill 3 2 2" xfId="6706"/>
    <cellStyle name="SAPBEXfilterItem 3 2 2" xfId="6707"/>
    <cellStyle name="SAPBEXfilterText 2 3" xfId="6708"/>
    <cellStyle name="SAPBEXinputData 2 3" xfId="6709"/>
    <cellStyle name="SAPBEXresDataEmph 3 2 2" xfId="6710"/>
    <cellStyle name="SAPBEXtitle 3 2 2" xfId="6711"/>
    <cellStyle name="Texto de Aviso 5" xfId="6712"/>
    <cellStyle name="Título 8" xfId="6713"/>
    <cellStyle name="Título 1 5" xfId="6714"/>
    <cellStyle name="Título 2 5" xfId="6715"/>
    <cellStyle name="Título 3 5" xfId="6716"/>
    <cellStyle name="Título 4 4" xfId="6717"/>
    <cellStyle name="Total 4 2" xfId="6718"/>
    <cellStyle name="Accent3 30" xfId="6719"/>
    <cellStyle name="20% - Ênfase1 5 6" xfId="6720"/>
    <cellStyle name="40% - Ênfase1 5 6" xfId="6721"/>
    <cellStyle name="20% - Ênfase2 5 6" xfId="6722"/>
    <cellStyle name="40% - Ênfase2 5 6" xfId="6723"/>
    <cellStyle name="20% - Ênfase3 5 6" xfId="6724"/>
    <cellStyle name="40% - Ênfase3 5 6" xfId="6725"/>
    <cellStyle name="20% - Ênfase4 5 6" xfId="6726"/>
    <cellStyle name="40% - Ênfase4 5 6" xfId="6727"/>
    <cellStyle name="20% - Ênfase5 5 6" xfId="6728"/>
    <cellStyle name="40% - Ênfase5 5 6" xfId="6729"/>
    <cellStyle name="20% - Ênfase6 5 6" xfId="6730"/>
    <cellStyle name="40% - Ênfase6 5 6" xfId="6731"/>
    <cellStyle name="Normal 4 2 6" xfId="6732"/>
    <cellStyle name="Nota 2 2 6" xfId="6733"/>
    <cellStyle name="Normal 5 2 7" xfId="6734"/>
    <cellStyle name="Nota 3 2 6" xfId="6735"/>
    <cellStyle name="20% - Ênfase1 2 2 6" xfId="6736"/>
    <cellStyle name="40% - Ênfase1 2 2 6" xfId="6737"/>
    <cellStyle name="20% - Ênfase2 2 2 6" xfId="6738"/>
    <cellStyle name="40% - Ênfase2 2 2 6" xfId="6739"/>
    <cellStyle name="20% - Ênfase3 2 2 6" xfId="6740"/>
    <cellStyle name="40% - Ênfase3 2 2 6" xfId="6741"/>
    <cellStyle name="20% - Ênfase4 2 2 6" xfId="6742"/>
    <cellStyle name="40% - Ênfase4 2 2 6" xfId="6743"/>
    <cellStyle name="20% - Ênfase5 2 2 6" xfId="6744"/>
    <cellStyle name="40% - Ênfase5 2 2 6" xfId="6745"/>
    <cellStyle name="20% - Ênfase6 2 2 6" xfId="6746"/>
    <cellStyle name="40% - Ênfase6 2 2 6" xfId="6747"/>
    <cellStyle name="Normal 7 2 7" xfId="6748"/>
    <cellStyle name="Nota 4 9" xfId="6749"/>
    <cellStyle name="20% - Ênfase1 3 8" xfId="6750"/>
    <cellStyle name="40% - Ênfase1 3 8" xfId="6751"/>
    <cellStyle name="20% - Ênfase2 3 8" xfId="6752"/>
    <cellStyle name="40% - Ênfase2 3 8" xfId="6753"/>
    <cellStyle name="20% - Ênfase3 3 8" xfId="6754"/>
    <cellStyle name="40% - Ênfase3 3 8" xfId="6755"/>
    <cellStyle name="20% - Ênfase4 3 8" xfId="6756"/>
    <cellStyle name="40% - Ênfase4 3 8" xfId="6757"/>
    <cellStyle name="20% - Ênfase5 3 8" xfId="6758"/>
    <cellStyle name="40% - Ênfase5 3 8" xfId="6759"/>
    <cellStyle name="20% - Ênfase6 3 8" xfId="6760"/>
    <cellStyle name="40% - Ênfase6 3 8" xfId="6761"/>
    <cellStyle name="Normal 8 12" xfId="6762"/>
    <cellStyle name="Nota 5 8" xfId="6763"/>
    <cellStyle name="20% - Ênfase1 4 8" xfId="6764"/>
    <cellStyle name="40% - Ênfase1 4 8" xfId="6765"/>
    <cellStyle name="20% - Ênfase2 4 8" xfId="6766"/>
    <cellStyle name="40% - Ênfase2 4 8" xfId="6767"/>
    <cellStyle name="20% - Ênfase3 4 8" xfId="6768"/>
    <cellStyle name="40% - Ênfase3 4 8" xfId="6769"/>
    <cellStyle name="20% - Ênfase4 4 8" xfId="6770"/>
    <cellStyle name="40% - Ênfase4 4 8" xfId="6771"/>
    <cellStyle name="20% - Ênfase5 4 8" xfId="6772"/>
    <cellStyle name="40% - Ênfase5 4 8" xfId="6773"/>
    <cellStyle name="20% - Ênfase6 4 8" xfId="6774"/>
    <cellStyle name="40% - Ênfase6 4 8" xfId="6775"/>
    <cellStyle name="20% - Ênfase1 6 5" xfId="6776"/>
    <cellStyle name="40% - Ênfase1 6 5" xfId="6777"/>
    <cellStyle name="20% - Ênfase2 6 5" xfId="6778"/>
    <cellStyle name="40% - Ênfase2 6 5" xfId="6779"/>
    <cellStyle name="20% - Ênfase3 6 5" xfId="6780"/>
    <cellStyle name="40% - Ênfase3 6 5" xfId="6781"/>
    <cellStyle name="20% - Ênfase4 6 5" xfId="6782"/>
    <cellStyle name="40% - Ênfase4 6 5" xfId="6783"/>
    <cellStyle name="20% - Ênfase5 6 5" xfId="6784"/>
    <cellStyle name="40% - Ênfase5 6 5" xfId="6785"/>
    <cellStyle name="20% - Ênfase6 6 5" xfId="6786"/>
    <cellStyle name="40% - Ênfase6 6 5" xfId="6787"/>
    <cellStyle name="Normal 4 3 5" xfId="6788"/>
    <cellStyle name="Nota 2 3 5" xfId="6789"/>
    <cellStyle name="Normal 5 3 5" xfId="6790"/>
    <cellStyle name="Nota 3 3 5" xfId="6791"/>
    <cellStyle name="20% - Ênfase1 2 3 5" xfId="6792"/>
    <cellStyle name="40% - Ênfase1 2 3 5" xfId="6793"/>
    <cellStyle name="20% - Ênfase2 2 3 5" xfId="6794"/>
    <cellStyle name="40% - Ênfase2 2 3 5" xfId="6795"/>
    <cellStyle name="20% - Ênfase3 2 3 5" xfId="6796"/>
    <cellStyle name="40% - Ênfase3 2 3 5" xfId="6797"/>
    <cellStyle name="20% - Ênfase4 2 3 5" xfId="6798"/>
    <cellStyle name="40% - Ênfase4 2 3 5" xfId="6799"/>
    <cellStyle name="20% - Ênfase5 2 3 5" xfId="6800"/>
    <cellStyle name="40% - Ênfase5 2 3 5" xfId="6801"/>
    <cellStyle name="20% - Ênfase6 2 3 5" xfId="6802"/>
    <cellStyle name="40% - Ênfase6 2 3 5" xfId="6803"/>
    <cellStyle name="Normal 7 3 6" xfId="6804"/>
    <cellStyle name="Nota 4 2 5" xfId="6805"/>
    <cellStyle name="20% - Ênfase1 3 2 5" xfId="6806"/>
    <cellStyle name="40% - Ênfase1 3 2 5" xfId="6807"/>
    <cellStyle name="20% - Ênfase2 3 2 5" xfId="6808"/>
    <cellStyle name="40% - Ênfase2 3 2 5" xfId="6809"/>
    <cellStyle name="20% - Ênfase3 3 2 5" xfId="6810"/>
    <cellStyle name="40% - Ênfase3 3 2 5" xfId="6811"/>
    <cellStyle name="20% - Ênfase4 3 2 5" xfId="6812"/>
    <cellStyle name="40% - Ênfase4 3 2 5" xfId="6813"/>
    <cellStyle name="20% - Ênfase5 3 2 5" xfId="6814"/>
    <cellStyle name="40% - Ênfase5 3 2 5" xfId="6815"/>
    <cellStyle name="20% - Ênfase6 3 2 5" xfId="6816"/>
    <cellStyle name="40% - Ênfase6 3 2 5" xfId="6817"/>
    <cellStyle name="Normal 8 2 6" xfId="6818"/>
    <cellStyle name="Nota 5 2 5" xfId="6819"/>
    <cellStyle name="20% - Ênfase1 4 2 5" xfId="6820"/>
    <cellStyle name="40% - Ênfase1 4 2 5" xfId="6821"/>
    <cellStyle name="20% - Ênfase2 4 2 5" xfId="6822"/>
    <cellStyle name="40% - Ênfase2 4 2 5" xfId="6823"/>
    <cellStyle name="20% - Ênfase3 4 2 5" xfId="6824"/>
    <cellStyle name="40% - Ênfase3 4 2 5" xfId="6825"/>
    <cellStyle name="20% - Ênfase4 4 2 5" xfId="6826"/>
    <cellStyle name="40% - Ênfase4 4 2 5" xfId="6827"/>
    <cellStyle name="20% - Ênfase5 4 2 5" xfId="6828"/>
    <cellStyle name="40% - Ênfase5 4 2 5" xfId="6829"/>
    <cellStyle name="20% - Ênfase6 4 2 5" xfId="6830"/>
    <cellStyle name="40% - Ênfase6 4 2 5" xfId="6831"/>
    <cellStyle name="20% - Ênfase1 8 4" xfId="6832"/>
    <cellStyle name="40% - Ênfase1 8 4" xfId="6833"/>
    <cellStyle name="20% - Ênfase2 8 4" xfId="6834"/>
    <cellStyle name="40% - Ênfase2 8 4" xfId="6835"/>
    <cellStyle name="20% - Ênfase3 8 4" xfId="6836"/>
    <cellStyle name="40% - Ênfase3 8 4" xfId="6837"/>
    <cellStyle name="20% - Ênfase4 8 4" xfId="6838"/>
    <cellStyle name="40% - Ênfase4 8 4" xfId="6839"/>
    <cellStyle name="20% - Ênfase5 8 4" xfId="6840"/>
    <cellStyle name="40% - Ênfase5 8 4" xfId="6841"/>
    <cellStyle name="20% - Ênfase6 8 4" xfId="6842"/>
    <cellStyle name="40% - Ênfase6 8 4" xfId="6843"/>
    <cellStyle name="Normal 4 5 4" xfId="6844"/>
    <cellStyle name="Nota 2 5 4" xfId="6845"/>
    <cellStyle name="Normal 5 5 4" xfId="6846"/>
    <cellStyle name="Nota 3 5 4" xfId="6847"/>
    <cellStyle name="20% - Ênfase1 2 5 4" xfId="6848"/>
    <cellStyle name="40% - Ênfase1 2 5 4" xfId="6849"/>
    <cellStyle name="20% - Ênfase2 2 5 4" xfId="6850"/>
    <cellStyle name="40% - Ênfase2 2 5 4" xfId="6851"/>
    <cellStyle name="20% - Ênfase3 2 5 4" xfId="6852"/>
    <cellStyle name="40% - Ênfase3 2 5 4" xfId="6853"/>
    <cellStyle name="20% - Ênfase4 2 5 4" xfId="6854"/>
    <cellStyle name="40% - Ênfase4 2 5 4" xfId="6855"/>
    <cellStyle name="20% - Ênfase5 2 5 4" xfId="6856"/>
    <cellStyle name="40% - Ênfase5 2 5 4" xfId="6857"/>
    <cellStyle name="20% - Ênfase6 2 5 4" xfId="6858"/>
    <cellStyle name="40% - Ênfase6 2 5 4" xfId="6859"/>
    <cellStyle name="Normal 7 5 4" xfId="6860"/>
    <cellStyle name="Nota 4 4 4" xfId="6861"/>
    <cellStyle name="20% - Ênfase1 3 4 4" xfId="6862"/>
    <cellStyle name="40% - Ênfase1 3 4 4" xfId="6863"/>
    <cellStyle name="20% - Ênfase2 3 4 4" xfId="6864"/>
    <cellStyle name="40% - Ênfase2 3 4 4" xfId="6865"/>
    <cellStyle name="20% - Ênfase3 3 4 4" xfId="6866"/>
    <cellStyle name="40% - Ênfase3 3 4 4" xfId="6867"/>
    <cellStyle name="20% - Ênfase4 3 4 4" xfId="6868"/>
    <cellStyle name="40% - Ênfase4 3 4 4" xfId="6869"/>
    <cellStyle name="20% - Ênfase5 3 4 4" xfId="6870"/>
    <cellStyle name="40% - Ênfase5 3 4 4" xfId="6871"/>
    <cellStyle name="20% - Ênfase6 3 4 4" xfId="6872"/>
    <cellStyle name="40% - Ênfase6 3 4 4" xfId="6873"/>
    <cellStyle name="Normal 8 4 5" xfId="6874"/>
    <cellStyle name="Nota 5 4 4" xfId="6875"/>
    <cellStyle name="20% - Ênfase1 4 4 4" xfId="6876"/>
    <cellStyle name="40% - Ênfase1 4 4 4" xfId="6877"/>
    <cellStyle name="20% - Ênfase2 4 4 4" xfId="6878"/>
    <cellStyle name="40% - Ênfase2 4 4 4" xfId="6879"/>
    <cellStyle name="20% - Ênfase3 4 4 4" xfId="6880"/>
    <cellStyle name="40% - Ênfase3 4 4 4" xfId="6881"/>
    <cellStyle name="20% - Ênfase4 4 4 4" xfId="6882"/>
    <cellStyle name="40% - Ênfase4 4 4 4" xfId="6883"/>
    <cellStyle name="20% - Ênfase5 4 4 4" xfId="6884"/>
    <cellStyle name="40% - Ênfase5 4 4 4" xfId="6885"/>
    <cellStyle name="20% - Ênfase6 4 4 4" xfId="6886"/>
    <cellStyle name="40% - Ênfase6 4 4 4" xfId="6887"/>
    <cellStyle name="Normal 3 3 4" xfId="6888"/>
    <cellStyle name="Accent5 30" xfId="6889"/>
    <cellStyle name="20% - Ênfase1 5 2 4" xfId="6890"/>
    <cellStyle name="40% - Ênfase1 5 2 4" xfId="6891"/>
    <cellStyle name="20% - Ênfase2 5 2 4" xfId="6892"/>
    <cellStyle name="40% - Ênfase2 5 2 4" xfId="6893"/>
    <cellStyle name="20% - Ênfase3 5 2 4" xfId="6894"/>
    <cellStyle name="40% - Ênfase3 5 2 4" xfId="6895"/>
    <cellStyle name="20% - Ênfase4 5 2 4" xfId="6896"/>
    <cellStyle name="40% - Ênfase4 5 2 4" xfId="6897"/>
    <cellStyle name="20% - Ênfase5 5 2 4" xfId="6898"/>
    <cellStyle name="40% - Ênfase5 5 2 4" xfId="6899"/>
    <cellStyle name="20% - Ênfase6 5 2 4" xfId="6900"/>
    <cellStyle name="40% - Ênfase6 5 2 4" xfId="6901"/>
    <cellStyle name="Normal 4 2 2 4" xfId="6902"/>
    <cellStyle name="Nota 2 2 2 4" xfId="6903"/>
    <cellStyle name="Normal 5 2 2 4" xfId="6904"/>
    <cellStyle name="Nota 3 2 2 4" xfId="6905"/>
    <cellStyle name="20% - Ênfase1 2 2 2 4" xfId="6906"/>
    <cellStyle name="40% - Ênfase1 2 2 2 4" xfId="6907"/>
    <cellStyle name="20% - Ênfase2 2 2 2 4" xfId="6908"/>
    <cellStyle name="40% - Ênfase2 2 2 2 4" xfId="6909"/>
    <cellStyle name="20% - Ênfase3 2 2 2 4" xfId="6910"/>
    <cellStyle name="40% - Ênfase3 2 2 2 4" xfId="6911"/>
    <cellStyle name="20% - Ênfase4 2 2 2 4" xfId="6912"/>
    <cellStyle name="40% - Ênfase4 2 2 2 4" xfId="6913"/>
    <cellStyle name="20% - Ênfase5 2 2 2 4" xfId="6914"/>
    <cellStyle name="40% - Ênfase5 2 2 2 4" xfId="6915"/>
    <cellStyle name="20% - Ênfase6 2 2 2 4" xfId="6916"/>
    <cellStyle name="40% - Ênfase6 2 2 2 4" xfId="6917"/>
    <cellStyle name="Normal 7 2 2 5" xfId="6918"/>
    <cellStyle name="Nota 4 3 4" xfId="6919"/>
    <cellStyle name="20% - Ênfase1 3 3 4" xfId="6920"/>
    <cellStyle name="40% - Ênfase1 3 3 4" xfId="6921"/>
    <cellStyle name="20% - Ênfase2 3 3 4" xfId="6922"/>
    <cellStyle name="40% - Ênfase2 3 3 4" xfId="6923"/>
    <cellStyle name="20% - Ênfase3 3 3 4" xfId="6924"/>
    <cellStyle name="40% - Ênfase3 3 3 4" xfId="6925"/>
    <cellStyle name="20% - Ênfase4 3 3 4" xfId="6926"/>
    <cellStyle name="40% - Ênfase4 3 3 4" xfId="6927"/>
    <cellStyle name="20% - Ênfase5 3 3 4" xfId="6928"/>
    <cellStyle name="40% - Ênfase5 3 3 4" xfId="6929"/>
    <cellStyle name="20% - Ênfase6 3 3 4" xfId="6930"/>
    <cellStyle name="40% - Ênfase6 3 3 4" xfId="6931"/>
    <cellStyle name="Normal 8 3 5" xfId="6932"/>
    <cellStyle name="Nota 5 3 4" xfId="6933"/>
    <cellStyle name="20% - Ênfase1 4 3 4" xfId="6934"/>
    <cellStyle name="40% - Ênfase1 4 3 4" xfId="6935"/>
    <cellStyle name="20% - Ênfase2 4 3 4" xfId="6936"/>
    <cellStyle name="40% - Ênfase2 4 3 4" xfId="6937"/>
    <cellStyle name="20% - Ênfase3 4 3 4" xfId="6938"/>
    <cellStyle name="40% - Ênfase3 4 3 4" xfId="6939"/>
    <cellStyle name="20% - Ênfase4 4 3 4" xfId="6940"/>
    <cellStyle name="40% - Ênfase4 4 3 4" xfId="6941"/>
    <cellStyle name="20% - Ênfase5 4 3 4" xfId="6942"/>
    <cellStyle name="40% - Ênfase5 4 3 4" xfId="6943"/>
    <cellStyle name="20% - Ênfase6 4 3 4" xfId="6944"/>
    <cellStyle name="40% - Ênfase6 4 3 4" xfId="6945"/>
    <cellStyle name="20% - Ênfase1 6 2 4" xfId="6946"/>
    <cellStyle name="40% - Ênfase1 6 2 4" xfId="6947"/>
    <cellStyle name="20% - Ênfase2 6 2 4" xfId="6948"/>
    <cellStyle name="40% - Ênfase2 6 2 4" xfId="6949"/>
    <cellStyle name="20% - Ênfase3 6 2 4" xfId="6950"/>
    <cellStyle name="40% - Ênfase3 6 2 4" xfId="6951"/>
    <cellStyle name="20% - Ênfase4 6 2 4" xfId="6952"/>
    <cellStyle name="40% - Ênfase4 6 2 4" xfId="6953"/>
    <cellStyle name="20% - Ênfase5 6 2 4" xfId="6954"/>
    <cellStyle name="40% - Ênfase5 6 2 4" xfId="6955"/>
    <cellStyle name="20% - Ênfase6 6 2 4" xfId="6956"/>
    <cellStyle name="40% - Ênfase6 6 2 4" xfId="6957"/>
    <cellStyle name="Normal 4 3 2 4" xfId="6958"/>
    <cellStyle name="Nota 2 3 2 4" xfId="6959"/>
    <cellStyle name="Normal 5 3 2 4" xfId="6960"/>
    <cellStyle name="Nota 3 3 2 4" xfId="6961"/>
    <cellStyle name="20% - Ênfase1 2 3 2 4" xfId="6962"/>
    <cellStyle name="40% - Ênfase1 2 3 2 4" xfId="6963"/>
    <cellStyle name="20% - Ênfase2 2 3 2 4" xfId="6964"/>
    <cellStyle name="40% - Ênfase2 2 3 2 4" xfId="6965"/>
    <cellStyle name="20% - Ênfase3 2 3 2 4" xfId="6966"/>
    <cellStyle name="40% - Ênfase3 2 3 2 4" xfId="6967"/>
    <cellStyle name="20% - Ênfase4 2 3 2 4" xfId="6968"/>
    <cellStyle name="40% - Ênfase4 2 3 2 4" xfId="6969"/>
    <cellStyle name="20% - Ênfase5 2 3 2 4" xfId="6970"/>
    <cellStyle name="40% - Ênfase5 2 3 2 4" xfId="6971"/>
    <cellStyle name="20% - Ênfase6 2 3 2 4" xfId="6972"/>
    <cellStyle name="40% - Ênfase6 2 3 2 4" xfId="6973"/>
    <cellStyle name="Normal 7 3 2 4" xfId="6974"/>
    <cellStyle name="Nota 4 2 2 4" xfId="6975"/>
    <cellStyle name="20% - Ênfase1 3 2 2 4" xfId="6976"/>
    <cellStyle name="40% - Ênfase1 3 2 2 4" xfId="6977"/>
    <cellStyle name="20% - Ênfase2 3 2 2 4" xfId="6978"/>
    <cellStyle name="40% - Ênfase2 3 2 2 4" xfId="6979"/>
    <cellStyle name="20% - Ênfase3 3 2 2 4" xfId="6980"/>
    <cellStyle name="40% - Ênfase3 3 2 2 4" xfId="6981"/>
    <cellStyle name="20% - Ênfase4 3 2 2 4" xfId="6982"/>
    <cellStyle name="40% - Ênfase4 3 2 2 4" xfId="6983"/>
    <cellStyle name="20% - Ênfase5 3 2 2 4" xfId="6984"/>
    <cellStyle name="40% - Ênfase5 3 2 2 4" xfId="6985"/>
    <cellStyle name="20% - Ênfase6 3 2 2 4" xfId="6986"/>
    <cellStyle name="40% - Ênfase6 3 2 2 4" xfId="6987"/>
    <cellStyle name="Normal 8 2 2 5" xfId="6988"/>
    <cellStyle name="Nota 5 2 2 4" xfId="6989"/>
    <cellStyle name="20% - Ênfase1 4 2 2 4" xfId="6990"/>
    <cellStyle name="40% - Ênfase1 4 2 2 4" xfId="6991"/>
    <cellStyle name="20% - Ênfase2 4 2 2 4" xfId="6992"/>
    <cellStyle name="40% - Ênfase2 4 2 2 4" xfId="6993"/>
    <cellStyle name="20% - Ênfase3 4 2 2 4" xfId="6994"/>
    <cellStyle name="40% - Ênfase3 4 2 2 4" xfId="6995"/>
    <cellStyle name="20% - Ênfase4 4 2 2 4" xfId="6996"/>
    <cellStyle name="40% - Ênfase4 4 2 2 4" xfId="6997"/>
    <cellStyle name="20% - Ênfase5 4 2 2 4" xfId="6998"/>
    <cellStyle name="40% - Ênfase5 4 2 2 4" xfId="6999"/>
    <cellStyle name="20% - Ênfase6 4 2 2 4" xfId="7000"/>
    <cellStyle name="40% - Ênfase6 4 2 2 4" xfId="7001"/>
    <cellStyle name="Normal 3 4 2" xfId="7002"/>
    <cellStyle name="Accent2 30" xfId="7003"/>
    <cellStyle name="Accent1 30" xfId="7004"/>
    <cellStyle name="20% - Ênfase1 5 3 2" xfId="7005"/>
    <cellStyle name="40% - Ênfase1 5 3 2" xfId="7006"/>
    <cellStyle name="20% - Ênfase2 5 3 2" xfId="7007"/>
    <cellStyle name="40% - Ênfase2 5 3 2" xfId="7008"/>
    <cellStyle name="20% - Ênfase3 5 3 2" xfId="7009"/>
    <cellStyle name="40% - Ênfase3 5 3 2" xfId="7010"/>
    <cellStyle name="20% - Ênfase4 5 3 2" xfId="7011"/>
    <cellStyle name="40% - Ênfase4 5 3 2" xfId="7012"/>
    <cellStyle name="20% - Ênfase5 5 3 2" xfId="7013"/>
    <cellStyle name="40% - Ênfase5 5 3 2" xfId="7014"/>
    <cellStyle name="20% - Ênfase6 5 3 2" xfId="7015"/>
    <cellStyle name="40% - Ênfase6 5 3 2" xfId="7016"/>
    <cellStyle name="Normal 4 2 3 2" xfId="7017"/>
    <cellStyle name="Nota 2 2 3 2" xfId="7018"/>
    <cellStyle name="Normal 5 2 3 2" xfId="7019"/>
    <cellStyle name="Nota 3 2 3 2" xfId="7020"/>
    <cellStyle name="20% - Ênfase1 2 2 3 2" xfId="7021"/>
    <cellStyle name="40% - Ênfase1 2 2 3 2" xfId="7022"/>
    <cellStyle name="20% - Ênfase2 2 2 3 2" xfId="7023"/>
    <cellStyle name="40% - Ênfase2 2 2 3 2" xfId="7024"/>
    <cellStyle name="20% - Ênfase3 2 2 3 2" xfId="7025"/>
    <cellStyle name="40% - Ênfase3 2 2 3 2" xfId="7026"/>
    <cellStyle name="20% - Ênfase4 2 2 3 2" xfId="7027"/>
    <cellStyle name="40% - Ênfase4 2 2 3 2" xfId="7028"/>
    <cellStyle name="20% - Ênfase5 2 2 3 2" xfId="7029"/>
    <cellStyle name="40% - Ênfase5 2 2 3 2" xfId="7030"/>
    <cellStyle name="20% - Ênfase6 2 2 3 2" xfId="7031"/>
    <cellStyle name="40% - Ênfase6 2 2 3 2" xfId="7032"/>
    <cellStyle name="Normal 7 2 3 2" xfId="7033"/>
    <cellStyle name="Nota 4 5 2" xfId="7034"/>
    <cellStyle name="20% - Ênfase1 3 5 2" xfId="7035"/>
    <cellStyle name="40% - Ênfase1 3 5 2" xfId="7036"/>
    <cellStyle name="20% - Ênfase2 3 5 2" xfId="7037"/>
    <cellStyle name="40% - Ênfase2 3 5 2" xfId="7038"/>
    <cellStyle name="20% - Ênfase3 3 5 2" xfId="7039"/>
    <cellStyle name="40% - Ênfase3 3 5 2" xfId="7040"/>
    <cellStyle name="20% - Ênfase4 3 5 2" xfId="7041"/>
    <cellStyle name="40% - Ênfase4 3 5 2" xfId="7042"/>
    <cellStyle name="20% - Ênfase5 3 5 2" xfId="7043"/>
    <cellStyle name="40% - Ênfase5 3 5 2" xfId="7044"/>
    <cellStyle name="20% - Ênfase6 3 5 2" xfId="7045"/>
    <cellStyle name="40% - Ênfase6 3 5 2" xfId="7046"/>
    <cellStyle name="Normal 8 5 5" xfId="7047"/>
    <cellStyle name="Nota 5 5 2" xfId="7048"/>
    <cellStyle name="20% - Ênfase1 4 5 2" xfId="7049"/>
    <cellStyle name="40% - Ênfase1 4 5 2" xfId="7050"/>
    <cellStyle name="20% - Ênfase2 4 5 2" xfId="7051"/>
    <cellStyle name="40% - Ênfase2 4 5 2" xfId="7052"/>
    <cellStyle name="20% - Ênfase3 4 5 2" xfId="7053"/>
    <cellStyle name="40% - Ênfase3 4 5 2" xfId="7054"/>
    <cellStyle name="20% - Ênfase4 4 5 2" xfId="7055"/>
    <cellStyle name="40% - Ênfase4 4 5 2" xfId="7056"/>
    <cellStyle name="20% - Ênfase5 4 5 2" xfId="7057"/>
    <cellStyle name="40% - Ênfase5 4 5 2" xfId="7058"/>
    <cellStyle name="20% - Ênfase6 4 5 2" xfId="7059"/>
    <cellStyle name="40% - Ênfase6 4 5 2" xfId="7060"/>
    <cellStyle name="20% - Ênfase1 6 3 2" xfId="7061"/>
    <cellStyle name="40% - Ênfase1 6 3 2" xfId="7062"/>
    <cellStyle name="20% - Ênfase2 6 3 2" xfId="7063"/>
    <cellStyle name="40% - Ênfase2 6 3 2" xfId="7064"/>
    <cellStyle name="20% - Ênfase3 6 3 2" xfId="7065"/>
    <cellStyle name="40% - Ênfase3 6 3 2" xfId="7066"/>
    <cellStyle name="20% - Ênfase4 6 3 2" xfId="7067"/>
    <cellStyle name="40% - Ênfase4 6 3 2" xfId="7068"/>
    <cellStyle name="20% - Ênfase5 6 3 2" xfId="7069"/>
    <cellStyle name="40% - Ênfase5 6 3 2" xfId="7070"/>
    <cellStyle name="20% - Ênfase6 6 3 2" xfId="7071"/>
    <cellStyle name="40% - Ênfase6 6 3 2" xfId="7072"/>
    <cellStyle name="Normal 4 3 3 2" xfId="7073"/>
    <cellStyle name="Nota 2 3 3 2" xfId="7074"/>
    <cellStyle name="Normal 5 3 3 2" xfId="7075"/>
    <cellStyle name="Nota 3 3 3 2" xfId="7076"/>
    <cellStyle name="20% - Ênfase1 2 3 3 2" xfId="7077"/>
    <cellStyle name="40% - Ênfase1 2 3 3 2" xfId="7078"/>
    <cellStyle name="20% - Ênfase2 2 3 3 2" xfId="7079"/>
    <cellStyle name="40% - Ênfase2 2 3 3 2" xfId="7080"/>
    <cellStyle name="20% - Ênfase3 2 3 3 2" xfId="7081"/>
    <cellStyle name="40% - Ênfase3 2 3 3 2" xfId="7082"/>
    <cellStyle name="20% - Ênfase4 2 3 3 2" xfId="7083"/>
    <cellStyle name="40% - Ênfase4 2 3 3 2" xfId="7084"/>
    <cellStyle name="20% - Ênfase5 2 3 3 2" xfId="7085"/>
    <cellStyle name="40% - Ênfase5 2 3 3 2" xfId="7086"/>
    <cellStyle name="20% - Ênfase6 2 3 3 2" xfId="7087"/>
    <cellStyle name="40% - Ênfase6 2 3 3 2" xfId="7088"/>
    <cellStyle name="Normal 7 3 3 2" xfId="7089"/>
    <cellStyle name="Nota 4 2 3 2" xfId="7090"/>
    <cellStyle name="20% - Ênfase1 3 2 3 2" xfId="7091"/>
    <cellStyle name="40% - Ênfase1 3 2 3 2" xfId="7092"/>
    <cellStyle name="20% - Ênfase2 3 2 3 2" xfId="7093"/>
    <cellStyle name="40% - Ênfase2 3 2 3 2" xfId="7094"/>
    <cellStyle name="20% - Ênfase3 3 2 3 2" xfId="7095"/>
    <cellStyle name="40% - Ênfase3 3 2 3 2" xfId="7096"/>
    <cellStyle name="20% - Ênfase4 3 2 3 2" xfId="7097"/>
    <cellStyle name="40% - Ênfase4 3 2 3 2" xfId="7098"/>
    <cellStyle name="20% - Ênfase5 3 2 3 2" xfId="7099"/>
    <cellStyle name="40% - Ênfase5 3 2 3 2" xfId="7100"/>
    <cellStyle name="20% - Ênfase6 3 2 3 2" xfId="7101"/>
    <cellStyle name="40% - Ênfase6 3 2 3 2" xfId="7102"/>
    <cellStyle name="Normal 8 2 3 2" xfId="7103"/>
    <cellStyle name="Nota 5 2 3 2" xfId="7104"/>
    <cellStyle name="20% - Ênfase1 4 2 3 2" xfId="7105"/>
    <cellStyle name="40% - Ênfase1 4 2 3 2" xfId="7106"/>
    <cellStyle name="20% - Ênfase2 4 2 3 2" xfId="7107"/>
    <cellStyle name="40% - Ênfase2 4 2 3 2" xfId="7108"/>
    <cellStyle name="20% - Ênfase3 4 2 3 2" xfId="7109"/>
    <cellStyle name="40% - Ênfase3 4 2 3 2" xfId="7110"/>
    <cellStyle name="20% - Ênfase4 4 2 3 2" xfId="7111"/>
    <cellStyle name="40% - Ênfase4 4 2 3 2" xfId="7112"/>
    <cellStyle name="20% - Ênfase5 4 2 3 2" xfId="7113"/>
    <cellStyle name="40% - Ênfase5 4 2 3 2" xfId="7114"/>
    <cellStyle name="20% - Ênfase6 4 2 3 2" xfId="7115"/>
    <cellStyle name="40% - Ênfase6 4 2 3 2" xfId="7116"/>
    <cellStyle name="20% - Ênfase1 8 2 2" xfId="7117"/>
    <cellStyle name="40% - Ênfase1 8 2 2" xfId="7118"/>
    <cellStyle name="20% - Ênfase2 8 2 2" xfId="7119"/>
    <cellStyle name="40% - Ênfase2 8 2 2" xfId="7120"/>
    <cellStyle name="20% - Ênfase3 8 2 2" xfId="7121"/>
    <cellStyle name="40% - Ênfase3 8 2 2" xfId="7122"/>
    <cellStyle name="20% - Ênfase4 8 2 2" xfId="7123"/>
    <cellStyle name="40% - Ênfase4 8 2 2" xfId="7124"/>
    <cellStyle name="20% - Ênfase5 8 2 2" xfId="7125"/>
    <cellStyle name="40% - Ênfase5 8 2 2" xfId="7126"/>
    <cellStyle name="20% - Ênfase6 8 2 2" xfId="7127"/>
    <cellStyle name="40% - Ênfase6 8 2 2" xfId="7128"/>
    <cellStyle name="Normal 4 5 2 2" xfId="7129"/>
    <cellStyle name="Nota 2 5 2 2" xfId="7130"/>
    <cellStyle name="Normal 5 5 2 2" xfId="7131"/>
    <cellStyle name="Nota 3 5 2 2" xfId="7132"/>
    <cellStyle name="20% - Ênfase1 2 5 2 2" xfId="7133"/>
    <cellStyle name="40% - Ênfase1 2 5 2 2" xfId="7134"/>
    <cellStyle name="20% - Ênfase2 2 5 2 2" xfId="7135"/>
    <cellStyle name="40% - Ênfase2 2 5 2 2" xfId="7136"/>
    <cellStyle name="20% - Ênfase3 2 5 2 2" xfId="7137"/>
    <cellStyle name="40% - Ênfase3 2 5 2 2" xfId="7138"/>
    <cellStyle name="20% - Ênfase4 2 5 2 2" xfId="7139"/>
    <cellStyle name="40% - Ênfase4 2 5 2 2" xfId="7140"/>
    <cellStyle name="20% - Ênfase5 2 5 2 2" xfId="7141"/>
    <cellStyle name="40% - Ênfase5 2 5 2 2" xfId="7142"/>
    <cellStyle name="20% - Ênfase6 2 5 2 2" xfId="7143"/>
    <cellStyle name="40% - Ênfase6 2 5 2 2" xfId="7144"/>
    <cellStyle name="Normal 7 5 2 2" xfId="7145"/>
    <cellStyle name="Nota 4 4 2 2" xfId="7146"/>
    <cellStyle name="20% - Ênfase1 3 4 2 2" xfId="7147"/>
    <cellStyle name="40% - Ênfase1 3 4 2 2" xfId="7148"/>
    <cellStyle name="20% - Ênfase2 3 4 2 2" xfId="7149"/>
    <cellStyle name="40% - Ênfase2 3 4 2 2" xfId="7150"/>
    <cellStyle name="20% - Ênfase3 3 4 2 2" xfId="7151"/>
    <cellStyle name="40% - Ênfase3 3 4 2 2" xfId="7152"/>
    <cellStyle name="20% - Ênfase4 3 4 2 2" xfId="7153"/>
    <cellStyle name="40% - Ênfase4 3 4 2 2" xfId="7154"/>
    <cellStyle name="20% - Ênfase5 3 4 2 2" xfId="7155"/>
    <cellStyle name="40% - Ênfase5 3 4 2 2" xfId="7156"/>
    <cellStyle name="20% - Ênfase6 3 4 2 2" xfId="7157"/>
    <cellStyle name="40% - Ênfase6 3 4 2 2" xfId="7158"/>
    <cellStyle name="Normal 8 4 2 3" xfId="7159"/>
    <cellStyle name="Nota 5 4 2 2" xfId="7160"/>
    <cellStyle name="20% - Ênfase1 4 4 2 2" xfId="7161"/>
    <cellStyle name="40% - Ênfase1 4 4 2 2" xfId="7162"/>
    <cellStyle name="20% - Ênfase2 4 4 2 2" xfId="7163"/>
    <cellStyle name="40% - Ênfase2 4 4 2 2" xfId="7164"/>
    <cellStyle name="20% - Ênfase3 4 4 2 2" xfId="7165"/>
    <cellStyle name="40% - Ênfase3 4 4 2 2" xfId="7166"/>
    <cellStyle name="20% - Ênfase4 4 4 2 2" xfId="7167"/>
    <cellStyle name="40% - Ênfase4 4 4 2 2" xfId="7168"/>
    <cellStyle name="20% - Ênfase5 4 4 2 2" xfId="7169"/>
    <cellStyle name="40% - Ênfase5 4 4 2 2" xfId="7170"/>
    <cellStyle name="20% - Ênfase6 4 4 2 2" xfId="7171"/>
    <cellStyle name="40% - Ênfase6 4 4 2 2" xfId="7172"/>
    <cellStyle name="Normal 3 3 2 2" xfId="7173"/>
    <cellStyle name="20% - Ênfase1 5 2 2 2" xfId="7174"/>
    <cellStyle name="40% - Ênfase1 5 2 2 2" xfId="7175"/>
    <cellStyle name="20% - Ênfase2 5 2 2 2" xfId="7176"/>
    <cellStyle name="40% - Ênfase2 5 2 2 2" xfId="7177"/>
    <cellStyle name="20% - Ênfase3 5 2 2 2" xfId="7178"/>
    <cellStyle name="40% - Ênfase3 5 2 2 2" xfId="7179"/>
    <cellStyle name="20% - Ênfase4 5 2 2 2" xfId="7180"/>
    <cellStyle name="40% - Ênfase4 5 2 2 2" xfId="7181"/>
    <cellStyle name="20% - Ênfase5 5 2 2 2" xfId="7182"/>
    <cellStyle name="40% - Ênfase5 5 2 2 2" xfId="7183"/>
    <cellStyle name="20% - Ênfase6 5 2 2 2" xfId="7184"/>
    <cellStyle name="40% - Ênfase6 5 2 2 2" xfId="7185"/>
    <cellStyle name="Normal 4 2 2 2 2" xfId="7186"/>
    <cellStyle name="Nota 2 2 2 2 2" xfId="7187"/>
    <cellStyle name="Normal 5 2 2 2 2" xfId="7188"/>
    <cellStyle name="Nota 3 2 2 2 2" xfId="7189"/>
    <cellStyle name="20% - Ênfase1 2 2 2 2 2" xfId="7190"/>
    <cellStyle name="40% - Ênfase1 2 2 2 2 2" xfId="7191"/>
    <cellStyle name="20% - Ênfase2 2 2 2 2 2" xfId="7192"/>
    <cellStyle name="40% - Ênfase2 2 2 2 2 2" xfId="7193"/>
    <cellStyle name="20% - Ênfase3 2 2 2 2 2" xfId="7194"/>
    <cellStyle name="40% - Ênfase3 2 2 2 2 2" xfId="7195"/>
    <cellStyle name="20% - Ênfase4 2 2 2 2 2" xfId="7196"/>
    <cellStyle name="40% - Ênfase4 2 2 2 2 2" xfId="7197"/>
    <cellStyle name="20% - Ênfase5 2 2 2 2 2" xfId="7198"/>
    <cellStyle name="40% - Ênfase5 2 2 2 2 2" xfId="7199"/>
    <cellStyle name="20% - Ênfase6 2 2 2 2 2" xfId="7200"/>
    <cellStyle name="40% - Ênfase6 2 2 2 2 2" xfId="7201"/>
    <cellStyle name="Normal 7 2 2 2 2" xfId="7202"/>
    <cellStyle name="Nota 4 3 2 2" xfId="7203"/>
    <cellStyle name="20% - Ênfase1 3 3 2 2" xfId="7204"/>
    <cellStyle name="40% - Ênfase1 3 3 2 2" xfId="7205"/>
    <cellStyle name="20% - Ênfase2 3 3 2 2" xfId="7206"/>
    <cellStyle name="40% - Ênfase2 3 3 2 2" xfId="7207"/>
    <cellStyle name="20% - Ênfase3 3 3 2 2" xfId="7208"/>
    <cellStyle name="40% - Ênfase3 3 3 2 2" xfId="7209"/>
    <cellStyle name="20% - Ênfase4 3 3 2 2" xfId="7210"/>
    <cellStyle name="40% - Ênfase4 3 3 2 2" xfId="7211"/>
    <cellStyle name="20% - Ênfase5 3 3 2 2" xfId="7212"/>
    <cellStyle name="40% - Ênfase5 3 3 2 2" xfId="7213"/>
    <cellStyle name="20% - Ênfase6 3 3 2 2" xfId="7214"/>
    <cellStyle name="40% - Ênfase6 3 3 2 2" xfId="7215"/>
    <cellStyle name="Normal 8 3 2 3" xfId="7216"/>
    <cellStyle name="Nota 5 3 2 2" xfId="7217"/>
    <cellStyle name="20% - Ênfase1 4 3 2 2" xfId="7218"/>
    <cellStyle name="40% - Ênfase1 4 3 2 2" xfId="7219"/>
    <cellStyle name="20% - Ênfase2 4 3 2 2" xfId="7220"/>
    <cellStyle name="40% - Ênfase2 4 3 2 2" xfId="7221"/>
    <cellStyle name="20% - Ênfase3 4 3 2 2" xfId="7222"/>
    <cellStyle name="40% - Ênfase3 4 3 2 2" xfId="7223"/>
    <cellStyle name="20% - Ênfase4 4 3 2 2" xfId="7224"/>
    <cellStyle name="40% - Ênfase4 4 3 2 2" xfId="7225"/>
    <cellStyle name="20% - Ênfase5 4 3 2 2" xfId="7226"/>
    <cellStyle name="40% - Ênfase5 4 3 2 2" xfId="7227"/>
    <cellStyle name="20% - Ênfase6 4 3 2 2" xfId="7228"/>
    <cellStyle name="40% - Ênfase6 4 3 2 2" xfId="7229"/>
    <cellStyle name="20% - Ênfase1 6 2 2 2" xfId="7230"/>
    <cellStyle name="40% - Ênfase1 6 2 2 2" xfId="7231"/>
    <cellStyle name="20% - Ênfase2 6 2 2 2" xfId="7232"/>
    <cellStyle name="40% - Ênfase2 6 2 2 2" xfId="7233"/>
    <cellStyle name="20% - Ênfase3 6 2 2 2" xfId="7234"/>
    <cellStyle name="40% - Ênfase3 6 2 2 2" xfId="7235"/>
    <cellStyle name="20% - Ênfase4 6 2 2 2" xfId="7236"/>
    <cellStyle name="40% - Ênfase4 6 2 2 2" xfId="7237"/>
    <cellStyle name="20% - Ênfase5 6 2 2 2" xfId="7238"/>
    <cellStyle name="40% - Ênfase5 6 2 2 2" xfId="7239"/>
    <cellStyle name="20% - Ênfase6 6 2 2 2" xfId="7240"/>
    <cellStyle name="40% - Ênfase6 6 2 2 2" xfId="7241"/>
    <cellStyle name="Normal 4 3 2 2 2" xfId="7242"/>
    <cellStyle name="Nota 2 3 2 2 2" xfId="7243"/>
    <cellStyle name="Normal 5 3 2 2 2" xfId="7244"/>
    <cellStyle name="Nota 3 3 2 2 2" xfId="7245"/>
    <cellStyle name="20% - Ênfase1 2 3 2 2 2" xfId="7246"/>
    <cellStyle name="40% - Ênfase1 2 3 2 2 2" xfId="7247"/>
    <cellStyle name="20% - Ênfase2 2 3 2 2 2" xfId="7248"/>
    <cellStyle name="40% - Ênfase2 2 3 2 2 2" xfId="7249"/>
    <cellStyle name="20% - Ênfase3 2 3 2 2 2" xfId="7250"/>
    <cellStyle name="40% - Ênfase3 2 3 2 2 2" xfId="7251"/>
    <cellStyle name="20% - Ênfase4 2 3 2 2 2" xfId="7252"/>
    <cellStyle name="40% - Ênfase4 2 3 2 2 2" xfId="7253"/>
    <cellStyle name="20% - Ênfase5 2 3 2 2 2" xfId="7254"/>
    <cellStyle name="40% - Ênfase5 2 3 2 2 2" xfId="7255"/>
    <cellStyle name="20% - Ênfase6 2 3 2 2 2" xfId="7256"/>
    <cellStyle name="40% - Ênfase6 2 3 2 2 2" xfId="7257"/>
    <cellStyle name="Normal 7 3 2 2 2" xfId="7258"/>
    <cellStyle name="Nota 4 2 2 2 2" xfId="7259"/>
    <cellStyle name="20% - Ênfase1 3 2 2 2 2" xfId="7260"/>
    <cellStyle name="40% - Ênfase1 3 2 2 2 2" xfId="7261"/>
    <cellStyle name="20% - Ênfase2 3 2 2 2 2" xfId="7262"/>
    <cellStyle name="40% - Ênfase2 3 2 2 2 2" xfId="7263"/>
    <cellStyle name="20% - Ênfase3 3 2 2 2 2" xfId="7264"/>
    <cellStyle name="40% - Ênfase3 3 2 2 2 2" xfId="7265"/>
    <cellStyle name="20% - Ênfase4 3 2 2 2 2" xfId="7266"/>
    <cellStyle name="40% - Ênfase4 3 2 2 2 2" xfId="7267"/>
    <cellStyle name="20% - Ênfase5 3 2 2 2 2" xfId="7268"/>
    <cellStyle name="40% - Ênfase5 3 2 2 2 2" xfId="7269"/>
    <cellStyle name="20% - Ênfase6 3 2 2 2 2" xfId="7270"/>
    <cellStyle name="40% - Ênfase6 3 2 2 2 2" xfId="7271"/>
    <cellStyle name="Normal 8 2 2 2 2" xfId="7272"/>
    <cellStyle name="Nota 5 2 2 2 2" xfId="7273"/>
    <cellStyle name="20% - Ênfase1 4 2 2 2 2" xfId="7274"/>
    <cellStyle name="40% - Ênfase1 4 2 2 2 2" xfId="7275"/>
    <cellStyle name="20% - Ênfase2 4 2 2 2 2" xfId="7276"/>
    <cellStyle name="40% - Ênfase2 4 2 2 2 2" xfId="7277"/>
    <cellStyle name="20% - Ênfase3 4 2 2 2 2" xfId="7278"/>
    <cellStyle name="40% - Ênfase3 4 2 2 2 2" xfId="7279"/>
    <cellStyle name="20% - Ênfase4 4 2 2 2 2" xfId="7280"/>
    <cellStyle name="40% - Ênfase4 4 2 2 2 2" xfId="7281"/>
    <cellStyle name="20% - Ênfase5 4 2 2 2 2" xfId="7282"/>
    <cellStyle name="40% - Ênfase5 4 2 2 2 2" xfId="7283"/>
    <cellStyle name="20% - Ênfase6 4 2 2 2 2" xfId="7284"/>
    <cellStyle name="40% - Ênfase6 4 2 2 2 2" xfId="7285"/>
    <cellStyle name="Normal 3 5 2" xfId="7286"/>
    <cellStyle name="20% - Ênfase1 5 4 2" xfId="7287"/>
    <cellStyle name="40% - Ênfase1 5 4 2" xfId="7288"/>
    <cellStyle name="20% - Ênfase2 5 4 2" xfId="7289"/>
    <cellStyle name="40% - Ênfase2 5 4 2" xfId="7290"/>
    <cellStyle name="20% - Ênfase3 5 4 2" xfId="7291"/>
    <cellStyle name="40% - Ênfase3 5 4 2" xfId="7292"/>
    <cellStyle name="20% - Ênfase4 5 4 2" xfId="7293"/>
    <cellStyle name="40% - Ênfase4 5 4 2" xfId="7294"/>
    <cellStyle name="20% - Ênfase5 5 4 2" xfId="7295"/>
    <cellStyle name="40% - Ênfase5 5 4 2" xfId="7296"/>
    <cellStyle name="20% - Ênfase6 5 4 2" xfId="7297"/>
    <cellStyle name="40% - Ênfase6 5 4 2" xfId="7298"/>
    <cellStyle name="Normal 4 2 4 2" xfId="7299"/>
    <cellStyle name="Nota 2 2 4 2" xfId="7300"/>
    <cellStyle name="Normal 5 2 4 2" xfId="7301"/>
    <cellStyle name="Nota 3 2 4 2" xfId="7302"/>
    <cellStyle name="20% - Ênfase1 2 2 4 2" xfId="7303"/>
    <cellStyle name="40% - Ênfase1 2 2 4 2" xfId="7304"/>
    <cellStyle name="20% - Ênfase2 2 2 4 2" xfId="7305"/>
    <cellStyle name="40% - Ênfase2 2 2 4 2" xfId="7306"/>
    <cellStyle name="20% - Ênfase3 2 2 4 2" xfId="7307"/>
    <cellStyle name="40% - Ênfase3 2 2 4 2" xfId="7308"/>
    <cellStyle name="20% - Ênfase4 2 2 4 2" xfId="7309"/>
    <cellStyle name="40% - Ênfase4 2 2 4 2" xfId="7310"/>
    <cellStyle name="20% - Ênfase5 2 2 4 2" xfId="7311"/>
    <cellStyle name="40% - Ênfase5 2 2 4 2" xfId="7312"/>
    <cellStyle name="20% - Ênfase6 2 2 4 2" xfId="7313"/>
    <cellStyle name="40% - Ênfase6 2 2 4 2" xfId="7314"/>
    <cellStyle name="Normal 7 2 4 2" xfId="7315"/>
    <cellStyle name="Nota 4 6 2" xfId="7316"/>
    <cellStyle name="20% - Ênfase1 3 6 2" xfId="7317"/>
    <cellStyle name="40% - Ênfase1 3 6 2" xfId="7318"/>
    <cellStyle name="20% - Ênfase2 3 6 2" xfId="7319"/>
    <cellStyle name="40% - Ênfase2 3 6 2" xfId="7320"/>
    <cellStyle name="20% - Ênfase3 3 6 2" xfId="7321"/>
    <cellStyle name="40% - Ênfase3 3 6 2" xfId="7322"/>
    <cellStyle name="20% - Ênfase4 3 6 2" xfId="7323"/>
    <cellStyle name="40% - Ênfase4 3 6 2" xfId="7324"/>
    <cellStyle name="20% - Ênfase5 3 6 2" xfId="7325"/>
    <cellStyle name="40% - Ênfase5 3 6 2" xfId="7326"/>
    <cellStyle name="20% - Ênfase6 3 6 2" xfId="7327"/>
    <cellStyle name="40% - Ênfase6 3 6 2" xfId="7328"/>
    <cellStyle name="Normal 8 6 3" xfId="7329"/>
    <cellStyle name="Nota 5 6 2" xfId="7330"/>
    <cellStyle name="20% - Ênfase1 4 6 2" xfId="7331"/>
    <cellStyle name="40% - Ênfase1 4 6 2" xfId="7332"/>
    <cellStyle name="20% - Ênfase2 4 6 2" xfId="7333"/>
    <cellStyle name="40% - Ênfase2 4 6 2" xfId="7334"/>
    <cellStyle name="20% - Ênfase3 4 6 2" xfId="7335"/>
    <cellStyle name="40% - Ênfase3 4 6 2" xfId="7336"/>
    <cellStyle name="20% - Ênfase4 4 6 2" xfId="7337"/>
    <cellStyle name="40% - Ênfase4 4 6 2" xfId="7338"/>
    <cellStyle name="20% - Ênfase5 4 6 2" xfId="7339"/>
    <cellStyle name="40% - Ênfase5 4 6 2" xfId="7340"/>
    <cellStyle name="20% - Ênfase6 4 6 2" xfId="7341"/>
    <cellStyle name="40% - Ênfase6 4 6 2" xfId="7342"/>
    <cellStyle name="20% - Ênfase1 6 4 2" xfId="7343"/>
    <cellStyle name="40% - Ênfase1 6 4 2" xfId="7344"/>
    <cellStyle name="20% - Ênfase2 6 4 2" xfId="7345"/>
    <cellStyle name="40% - Ênfase2 6 4 2" xfId="7346"/>
    <cellStyle name="20% - Ênfase3 6 4 2" xfId="7347"/>
    <cellStyle name="40% - Ênfase3 6 4 2" xfId="7348"/>
    <cellStyle name="20% - Ênfase4 6 4 2" xfId="7349"/>
    <cellStyle name="40% - Ênfase4 6 4 2" xfId="7350"/>
    <cellStyle name="20% - Ênfase5 6 4 2" xfId="7351"/>
    <cellStyle name="40% - Ênfase5 6 4 2" xfId="7352"/>
    <cellStyle name="20% - Ênfase6 6 4 2" xfId="7353"/>
    <cellStyle name="40% - Ênfase6 6 4 2" xfId="7354"/>
    <cellStyle name="Normal 4 3 4 2" xfId="7355"/>
    <cellStyle name="Nota 2 3 4 2" xfId="7356"/>
    <cellStyle name="Normal 5 3 4 2" xfId="7357"/>
    <cellStyle name="Nota 3 3 4 2" xfId="7358"/>
    <cellStyle name="20% - Ênfase1 2 3 4 2" xfId="7359"/>
    <cellStyle name="40% - Ênfase1 2 3 4 2" xfId="7360"/>
    <cellStyle name="20% - Ênfase2 2 3 4 2" xfId="7361"/>
    <cellStyle name="40% - Ênfase2 2 3 4 2" xfId="7362"/>
    <cellStyle name="20% - Ênfase3 2 3 4 2" xfId="7363"/>
    <cellStyle name="40% - Ênfase3 2 3 4 2" xfId="7364"/>
    <cellStyle name="20% - Ênfase4 2 3 4 2" xfId="7365"/>
    <cellStyle name="40% - Ênfase4 2 3 4 2" xfId="7366"/>
    <cellStyle name="20% - Ênfase5 2 3 4 2" xfId="7367"/>
    <cellStyle name="40% - Ênfase5 2 3 4 2" xfId="7368"/>
    <cellStyle name="20% - Ênfase6 2 3 4 2" xfId="7369"/>
    <cellStyle name="40% - Ênfase6 2 3 4 2" xfId="7370"/>
    <cellStyle name="Normal 7 3 4 2" xfId="7371"/>
    <cellStyle name="Nota 4 2 4 2" xfId="7372"/>
    <cellStyle name="20% - Ênfase1 3 2 4 2" xfId="7373"/>
    <cellStyle name="40% - Ênfase1 3 2 4 2" xfId="7374"/>
    <cellStyle name="20% - Ênfase2 3 2 4 2" xfId="7375"/>
    <cellStyle name="40% - Ênfase2 3 2 4 2" xfId="7376"/>
    <cellStyle name="20% - Ênfase3 3 2 4 2" xfId="7377"/>
    <cellStyle name="40% - Ênfase3 3 2 4 2" xfId="7378"/>
    <cellStyle name="20% - Ênfase4 3 2 4 2" xfId="7379"/>
    <cellStyle name="40% - Ênfase4 3 2 4 2" xfId="7380"/>
    <cellStyle name="20% - Ênfase5 3 2 4 2" xfId="7381"/>
    <cellStyle name="40% - Ênfase5 3 2 4 2" xfId="7382"/>
    <cellStyle name="20% - Ênfase6 3 2 4 2" xfId="7383"/>
    <cellStyle name="40% - Ênfase6 3 2 4 2" xfId="7384"/>
    <cellStyle name="Normal 8 2 4 2" xfId="7385"/>
    <cellStyle name="Nota 5 2 4 2" xfId="7386"/>
    <cellStyle name="20% - Ênfase1 4 2 4 2" xfId="7387"/>
    <cellStyle name="40% - Ênfase1 4 2 4 2" xfId="7388"/>
    <cellStyle name="20% - Ênfase2 4 2 4 2" xfId="7389"/>
    <cellStyle name="40% - Ênfase2 4 2 4 2" xfId="7390"/>
    <cellStyle name="20% - Ênfase3 4 2 4 2" xfId="7391"/>
    <cellStyle name="40% - Ênfase3 4 2 4 2" xfId="7392"/>
    <cellStyle name="20% - Ênfase4 4 2 4 2" xfId="7393"/>
    <cellStyle name="40% - Ênfase4 4 2 4 2" xfId="7394"/>
    <cellStyle name="20% - Ênfase5 4 2 4 2" xfId="7395"/>
    <cellStyle name="40% - Ênfase5 4 2 4 2" xfId="7396"/>
    <cellStyle name="20% - Ênfase6 4 2 4 2" xfId="7397"/>
    <cellStyle name="40% - Ênfase6 4 2 4 2" xfId="7398"/>
    <cellStyle name="20% - Ênfase1 8 3 2" xfId="7399"/>
    <cellStyle name="40% - Ênfase1 8 3 2" xfId="7400"/>
    <cellStyle name="20% - Ênfase2 8 3 2" xfId="7401"/>
    <cellStyle name="40% - Ênfase2 8 3 2" xfId="7402"/>
    <cellStyle name="20% - Ênfase3 8 3 2" xfId="7403"/>
    <cellStyle name="40% - Ênfase3 8 3 2" xfId="7404"/>
    <cellStyle name="20% - Ênfase4 8 3 2" xfId="7405"/>
    <cellStyle name="40% - Ênfase4 8 3 2" xfId="7406"/>
    <cellStyle name="20% - Ênfase5 8 3 2" xfId="7407"/>
    <cellStyle name="40% - Ênfase5 8 3 2" xfId="7408"/>
    <cellStyle name="20% - Ênfase6 8 3 2" xfId="7409"/>
    <cellStyle name="40% - Ênfase6 8 3 2" xfId="7410"/>
    <cellStyle name="Normal 4 5 3 2" xfId="7411"/>
    <cellStyle name="Nota 2 5 3 2" xfId="7412"/>
    <cellStyle name="Normal 5 5 3 2" xfId="7413"/>
    <cellStyle name="Nota 3 5 3 2" xfId="7414"/>
    <cellStyle name="20% - Ênfase1 2 5 3 2" xfId="7415"/>
    <cellStyle name="40% - Ênfase1 2 5 3 2" xfId="7416"/>
    <cellStyle name="20% - Ênfase2 2 5 3 2" xfId="7417"/>
    <cellStyle name="40% - Ênfase2 2 5 3 2" xfId="7418"/>
    <cellStyle name="20% - Ênfase3 2 5 3 2" xfId="7419"/>
    <cellStyle name="40% - Ênfase3 2 5 3 2" xfId="7420"/>
    <cellStyle name="20% - Ênfase4 2 5 3 2" xfId="7421"/>
    <cellStyle name="40% - Ênfase4 2 5 3 2" xfId="7422"/>
    <cellStyle name="20% - Ênfase5 2 5 3 2" xfId="7423"/>
    <cellStyle name="40% - Ênfase5 2 5 3 2" xfId="7424"/>
    <cellStyle name="20% - Ênfase6 2 5 3 2" xfId="7425"/>
    <cellStyle name="40% - Ênfase6 2 5 3 2" xfId="7426"/>
    <cellStyle name="Normal 7 5 3 2" xfId="7427"/>
    <cellStyle name="Nota 4 4 3 2" xfId="7428"/>
    <cellStyle name="20% - Ênfase1 3 4 3 2" xfId="7429"/>
    <cellStyle name="40% - Ênfase1 3 4 3 2" xfId="7430"/>
    <cellStyle name="20% - Ênfase2 3 4 3 2" xfId="7431"/>
    <cellStyle name="40% - Ênfase2 3 4 3 2" xfId="7432"/>
    <cellStyle name="20% - Ênfase3 3 4 3 2" xfId="7433"/>
    <cellStyle name="40% - Ênfase3 3 4 3 2" xfId="7434"/>
    <cellStyle name="20% - Ênfase4 3 4 3 2" xfId="7435"/>
    <cellStyle name="40% - Ênfase4 3 4 3 2" xfId="7436"/>
    <cellStyle name="20% - Ênfase5 3 4 3 2" xfId="7437"/>
    <cellStyle name="40% - Ênfase5 3 4 3 2" xfId="7438"/>
    <cellStyle name="20% - Ênfase6 3 4 3 2" xfId="7439"/>
    <cellStyle name="40% - Ênfase6 3 4 3 2" xfId="7440"/>
    <cellStyle name="Normal 8 4 3 2" xfId="7441"/>
    <cellStyle name="Nota 5 4 3 2" xfId="7442"/>
    <cellStyle name="20% - Ênfase1 4 4 3 2" xfId="7443"/>
    <cellStyle name="40% - Ênfase1 4 4 3 2" xfId="7444"/>
    <cellStyle name="20% - Ênfase2 4 4 3 2" xfId="7445"/>
    <cellStyle name="40% - Ênfase2 4 4 3 2" xfId="7446"/>
    <cellStyle name="20% - Ênfase3 4 4 3 2" xfId="7447"/>
    <cellStyle name="40% - Ênfase3 4 4 3 2" xfId="7448"/>
    <cellStyle name="20% - Ênfase4 4 4 3 2" xfId="7449"/>
    <cellStyle name="40% - Ênfase4 4 4 3 2" xfId="7450"/>
    <cellStyle name="20% - Ênfase5 4 4 3 2" xfId="7451"/>
    <cellStyle name="40% - Ênfase5 4 4 3 2" xfId="7452"/>
    <cellStyle name="20% - Ênfase6 4 4 3 2" xfId="7453"/>
    <cellStyle name="40% - Ênfase6 4 4 3 2" xfId="7454"/>
    <cellStyle name="Normal 3 3 3 2" xfId="7455"/>
    <cellStyle name="20% - Ênfase1 5 2 3 2" xfId="7456"/>
    <cellStyle name="40% - Ênfase1 5 2 3 2" xfId="7457"/>
    <cellStyle name="20% - Ênfase2 5 2 3 2" xfId="7458"/>
    <cellStyle name="40% - Ênfase2 5 2 3 2" xfId="7459"/>
    <cellStyle name="20% - Ênfase3 5 2 3 2" xfId="7460"/>
    <cellStyle name="40% - Ênfase3 5 2 3 2" xfId="7461"/>
    <cellStyle name="20% - Ênfase4 5 2 3 2" xfId="7462"/>
    <cellStyle name="40% - Ênfase4 5 2 3 2" xfId="7463"/>
    <cellStyle name="20% - Ênfase5 5 2 3 2" xfId="7464"/>
    <cellStyle name="40% - Ênfase5 5 2 3 2" xfId="7465"/>
    <cellStyle name="20% - Ênfase6 5 2 3 2" xfId="7466"/>
    <cellStyle name="40% - Ênfase6 5 2 3 2" xfId="7467"/>
    <cellStyle name="Normal 4 2 2 3 2" xfId="7468"/>
    <cellStyle name="Nota 2 2 2 3 2" xfId="7469"/>
    <cellStyle name="Normal 5 2 2 3 2" xfId="7470"/>
    <cellStyle name="Nota 3 2 2 3 2" xfId="7471"/>
    <cellStyle name="20% - Ênfase1 2 2 2 3 2" xfId="7472"/>
    <cellStyle name="40% - Ênfase1 2 2 2 3 2" xfId="7473"/>
    <cellStyle name="20% - Ênfase2 2 2 2 3 2" xfId="7474"/>
    <cellStyle name="40% - Ênfase2 2 2 2 3 2" xfId="7475"/>
    <cellStyle name="20% - Ênfase3 2 2 2 3 2" xfId="7476"/>
    <cellStyle name="40% - Ênfase3 2 2 2 3 2" xfId="7477"/>
    <cellStyle name="20% - Ênfase4 2 2 2 3 2" xfId="7478"/>
    <cellStyle name="40% - Ênfase4 2 2 2 3 2" xfId="7479"/>
    <cellStyle name="20% - Ênfase5 2 2 2 3 2" xfId="7480"/>
    <cellStyle name="40% - Ênfase5 2 2 2 3 2" xfId="7481"/>
    <cellStyle name="20% - Ênfase6 2 2 2 3 2" xfId="7482"/>
    <cellStyle name="40% - Ênfase6 2 2 2 3 2" xfId="7483"/>
    <cellStyle name="Normal 7 2 2 3 2" xfId="7484"/>
    <cellStyle name="Nota 4 3 3 2" xfId="7485"/>
    <cellStyle name="20% - Ênfase1 3 3 3 2" xfId="7486"/>
    <cellStyle name="40% - Ênfase1 3 3 3 2" xfId="7487"/>
    <cellStyle name="20% - Ênfase2 3 3 3 2" xfId="7488"/>
    <cellStyle name="40% - Ênfase2 3 3 3 2" xfId="7489"/>
    <cellStyle name="20% - Ênfase3 3 3 3 2" xfId="7490"/>
    <cellStyle name="40% - Ênfase3 3 3 3 2" xfId="7491"/>
    <cellStyle name="20% - Ênfase4 3 3 3 2" xfId="7492"/>
    <cellStyle name="40% - Ênfase4 3 3 3 2" xfId="7493"/>
    <cellStyle name="20% - Ênfase5 3 3 3 2" xfId="7494"/>
    <cellStyle name="40% - Ênfase5 3 3 3 2" xfId="7495"/>
    <cellStyle name="20% - Ênfase6 3 3 3 2" xfId="7496"/>
    <cellStyle name="40% - Ênfase6 3 3 3 2" xfId="7497"/>
    <cellStyle name="Normal 8 3 3 2" xfId="7498"/>
    <cellStyle name="Nota 5 3 3 2" xfId="7499"/>
    <cellStyle name="20% - Ênfase1 4 3 3 2" xfId="7500"/>
    <cellStyle name="40% - Ênfase1 4 3 3 2" xfId="7501"/>
    <cellStyle name="20% - Ênfase2 4 3 3 2" xfId="7502"/>
    <cellStyle name="40% - Ênfase2 4 3 3 2" xfId="7503"/>
    <cellStyle name="20% - Ênfase3 4 3 3 2" xfId="7504"/>
    <cellStyle name="40% - Ênfase3 4 3 3 2" xfId="7505"/>
    <cellStyle name="20% - Ênfase4 4 3 3 2" xfId="7506"/>
    <cellStyle name="40% - Ênfase4 4 3 3 2" xfId="7507"/>
    <cellStyle name="20% - Ênfase5 4 3 3 2" xfId="7508"/>
    <cellStyle name="40% - Ênfase5 4 3 3 2" xfId="7509"/>
    <cellStyle name="20% - Ênfase6 4 3 3 2" xfId="7510"/>
    <cellStyle name="40% - Ênfase6 4 3 3 2" xfId="7511"/>
    <cellStyle name="20% - Ênfase1 6 2 3 2" xfId="7512"/>
    <cellStyle name="40% - Ênfase1 6 2 3 2" xfId="7513"/>
    <cellStyle name="20% - Ênfase2 6 2 3 2" xfId="7514"/>
    <cellStyle name="40% - Ênfase2 6 2 3 2" xfId="7515"/>
    <cellStyle name="20% - Ênfase3 6 2 3 2" xfId="7516"/>
    <cellStyle name="40% - Ênfase3 6 2 3 2" xfId="7517"/>
    <cellStyle name="20% - Ênfase4 6 2 3 2" xfId="7518"/>
    <cellStyle name="40% - Ênfase4 6 2 3 2" xfId="7519"/>
    <cellStyle name="20% - Ênfase5 6 2 3 2" xfId="7520"/>
    <cellStyle name="40% - Ênfase5 6 2 3 2" xfId="7521"/>
    <cellStyle name="20% - Ênfase6 6 2 3 2" xfId="7522"/>
    <cellStyle name="40% - Ênfase6 6 2 3 2" xfId="7523"/>
    <cellStyle name="Normal 4 3 2 3 2" xfId="7524"/>
    <cellStyle name="Nota 2 3 2 3 2" xfId="7525"/>
    <cellStyle name="Normal 5 3 2 3 2" xfId="7526"/>
    <cellStyle name="Nota 3 3 2 3 2" xfId="7527"/>
    <cellStyle name="20% - Ênfase1 2 3 2 3 2" xfId="7528"/>
    <cellStyle name="40% - Ênfase1 2 3 2 3 2" xfId="7529"/>
    <cellStyle name="20% - Ênfase2 2 3 2 3 2" xfId="7530"/>
    <cellStyle name="40% - Ênfase2 2 3 2 3 2" xfId="7531"/>
    <cellStyle name="20% - Ênfase3 2 3 2 3 2" xfId="7532"/>
    <cellStyle name="40% - Ênfase3 2 3 2 3 2" xfId="7533"/>
    <cellStyle name="20% - Ênfase4 2 3 2 3 2" xfId="7534"/>
    <cellStyle name="40% - Ênfase4 2 3 2 3 2" xfId="7535"/>
    <cellStyle name="20% - Ênfase5 2 3 2 3 2" xfId="7536"/>
    <cellStyle name="40% - Ênfase5 2 3 2 3 2" xfId="7537"/>
    <cellStyle name="20% - Ênfase6 2 3 2 3 2" xfId="7538"/>
    <cellStyle name="40% - Ênfase6 2 3 2 3 2" xfId="7539"/>
    <cellStyle name="Normal 7 3 2 3 2" xfId="7540"/>
    <cellStyle name="Nota 4 2 2 3 2" xfId="7541"/>
    <cellStyle name="20% - Ênfase1 3 2 2 3 2" xfId="7542"/>
    <cellStyle name="40% - Ênfase1 3 2 2 3 2" xfId="7543"/>
    <cellStyle name="20% - Ênfase2 3 2 2 3 2" xfId="7544"/>
    <cellStyle name="40% - Ênfase2 3 2 2 3 2" xfId="7545"/>
    <cellStyle name="20% - Ênfase3 3 2 2 3 2" xfId="7546"/>
    <cellStyle name="40% - Ênfase3 3 2 2 3 2" xfId="7547"/>
    <cellStyle name="20% - Ênfase4 3 2 2 3 2" xfId="7548"/>
    <cellStyle name="40% - Ênfase4 3 2 2 3 2" xfId="7549"/>
    <cellStyle name="20% - Ênfase5 3 2 2 3 2" xfId="7550"/>
    <cellStyle name="40% - Ênfase5 3 2 2 3 2" xfId="7551"/>
    <cellStyle name="20% - Ênfase6 3 2 2 3 2" xfId="7552"/>
    <cellStyle name="40% - Ênfase6 3 2 2 3 2" xfId="7553"/>
    <cellStyle name="Normal 8 2 2 3 2" xfId="7554"/>
    <cellStyle name="Nota 5 2 2 3 2" xfId="7555"/>
    <cellStyle name="20% - Ênfase1 4 2 2 3 2" xfId="7556"/>
    <cellStyle name="40% - Ênfase1 4 2 2 3 2" xfId="7557"/>
    <cellStyle name="20% - Ênfase2 4 2 2 3 2" xfId="7558"/>
    <cellStyle name="40% - Ênfase2 4 2 2 3 2" xfId="7559"/>
    <cellStyle name="20% - Ênfase3 4 2 2 3 2" xfId="7560"/>
    <cellStyle name="40% - Ênfase3 4 2 2 3 2" xfId="7561"/>
    <cellStyle name="20% - Ênfase4 4 2 2 3 2" xfId="7562"/>
    <cellStyle name="40% - Ênfase4 4 2 2 3 2" xfId="7563"/>
    <cellStyle name="20% - Ênfase5 4 2 2 3 2" xfId="7564"/>
    <cellStyle name="40% - Ênfase5 4 2 2 3 2" xfId="7565"/>
    <cellStyle name="20% - Ênfase6 4 2 2 3 2" xfId="7566"/>
    <cellStyle name="40% - Ênfase6 4 2 2 3 2" xfId="7567"/>
    <cellStyle name="Normal 3 6 2" xfId="7568"/>
    <cellStyle name="20% - Ênfase1 5 5 2" xfId="7569"/>
    <cellStyle name="40% - Ênfase1 5 5 2" xfId="7570"/>
    <cellStyle name="20% - Ênfase2 5 5 2" xfId="7571"/>
    <cellStyle name="40% - Ênfase2 5 5 2" xfId="7572"/>
    <cellStyle name="20% - Ênfase3 5 5 2" xfId="7573"/>
    <cellStyle name="40% - Ênfase3 5 5 2" xfId="7574"/>
    <cellStyle name="20% - Ênfase4 5 5 2" xfId="7575"/>
    <cellStyle name="40% - Ênfase4 5 5 2" xfId="7576"/>
    <cellStyle name="20% - Ênfase5 5 5 2" xfId="7577"/>
    <cellStyle name="40% - Ênfase5 5 5 2" xfId="7578"/>
    <cellStyle name="20% - Ênfase6 5 5 2" xfId="7579"/>
    <cellStyle name="40% - Ênfase6 5 5 2" xfId="7580"/>
    <cellStyle name="Normal 4 2 5 2" xfId="7581"/>
    <cellStyle name="Nota 2 2 5 2" xfId="7582"/>
    <cellStyle name="Normal 5 2 5 2" xfId="7583"/>
    <cellStyle name="Nota 3 2 5 2" xfId="7584"/>
    <cellStyle name="20% - Ênfase1 2 2 5 2" xfId="7585"/>
    <cellStyle name="40% - Ênfase1 2 2 5 2" xfId="7586"/>
    <cellStyle name="20% - Ênfase2 2 2 5 2" xfId="7587"/>
    <cellStyle name="40% - Ênfase2 2 2 5 2" xfId="7588"/>
    <cellStyle name="20% - Ênfase3 2 2 5 2" xfId="7589"/>
    <cellStyle name="40% - Ênfase3 2 2 5 2" xfId="7590"/>
    <cellStyle name="20% - Ênfase4 2 2 5 2" xfId="7591"/>
    <cellStyle name="40% - Ênfase4 2 2 5 2" xfId="7592"/>
    <cellStyle name="20% - Ênfase5 2 2 5 2" xfId="7593"/>
    <cellStyle name="40% - Ênfase5 2 2 5 2" xfId="7594"/>
    <cellStyle name="20% - Ênfase6 2 2 5 2" xfId="7595"/>
    <cellStyle name="40% - Ênfase6 2 2 5 2" xfId="7596"/>
    <cellStyle name="Normal 7 2 5 2" xfId="7597"/>
    <cellStyle name="Nota 4 7 2" xfId="7598"/>
    <cellStyle name="20% - Ênfase1 3 7 2" xfId="7599"/>
    <cellStyle name="40% - Ênfase1 3 7 2" xfId="7600"/>
    <cellStyle name="20% - Ênfase2 3 7 2" xfId="7601"/>
    <cellStyle name="40% - Ênfase2 3 7 2" xfId="7602"/>
    <cellStyle name="20% - Ênfase3 3 7 2" xfId="7603"/>
    <cellStyle name="40% - Ênfase3 3 7 2" xfId="7604"/>
    <cellStyle name="20% - Ênfase4 3 7 2" xfId="7605"/>
    <cellStyle name="40% - Ênfase4 3 7 2" xfId="7606"/>
    <cellStyle name="20% - Ênfase5 3 7 2" xfId="7607"/>
    <cellStyle name="40% - Ênfase5 3 7 2" xfId="7608"/>
    <cellStyle name="20% - Ênfase6 3 7 2" xfId="7609"/>
    <cellStyle name="40% - Ênfase6 3 7 2" xfId="7610"/>
    <cellStyle name="Normal 8 7 2" xfId="7611"/>
    <cellStyle name="Nota 5 7 2" xfId="7612"/>
    <cellStyle name="20% - Ênfase1 4 7 2" xfId="7613"/>
    <cellStyle name="40% - Ênfase1 4 7 2" xfId="7614"/>
    <cellStyle name="20% - Ênfase2 4 7 2" xfId="7615"/>
    <cellStyle name="40% - Ênfase2 4 7 2" xfId="7616"/>
    <cellStyle name="20% - Ênfase3 4 7 2" xfId="7617"/>
    <cellStyle name="40% - Ênfase3 4 7 2" xfId="7618"/>
    <cellStyle name="20% - Ênfase4 4 7 2" xfId="7619"/>
    <cellStyle name="40% - Ênfase4 4 7 2" xfId="7620"/>
    <cellStyle name="20% - Ênfase5 4 7 2" xfId="7621"/>
    <cellStyle name="40% - Ênfase5 4 7 2" xfId="7622"/>
    <cellStyle name="20% - Ênfase6 4 7 2" xfId="7623"/>
    <cellStyle name="40% - Ênfase6 4 7 2" xfId="7624"/>
    <cellStyle name="Accent3_0808" xfId="7625"/>
    <cellStyle name="Accent4_0808" xfId="7626"/>
    <cellStyle name="Accent5_0808" xfId="7627"/>
    <cellStyle name="Accent6_0808" xfId="7628"/>
    <cellStyle name="Normal 6 4 2" xfId="7629"/>
    <cellStyle name="Porcentagem 9 2" xfId="7630"/>
    <cellStyle name="Separador de milhares 7 2 2" xfId="7631"/>
    <cellStyle name="Accent6 31" xfId="7632"/>
    <cellStyle name="Vírgula 14" xfId="7633"/>
    <cellStyle name="Porcentagem 15" xfId="7634"/>
    <cellStyle name="Vírgula 15" xfId="7635"/>
    <cellStyle name="Porcentagem 16" xfId="7636"/>
    <cellStyle name="Accent4 30" xfId="7637"/>
    <cellStyle name="Porcentagem 17" xfId="7638"/>
    <cellStyle name="Vírgula 17" xfId="7639"/>
    <cellStyle name="Porcentagem 18" xfId="7640"/>
    <cellStyle name="Porcentagem 19" xfId="7641"/>
    <cellStyle name="Accent3 31" xfId="7642"/>
    <cellStyle name="Accent5 31" xfId="7643"/>
    <cellStyle name="Accent4 31" xfId="7644"/>
    <cellStyle name="Normal 8 5 2 3" xfId="7645"/>
    <cellStyle name="Vírgula 20" xfId="7646"/>
    <cellStyle name="Separador de milhares 2 10" xfId="7647"/>
    <cellStyle name="Separador de milhares 3 7" xfId="7648"/>
    <cellStyle name="Separador de milhares 4 6" xfId="7649"/>
    <cellStyle name="Separador de milhares 5 6" xfId="7650"/>
    <cellStyle name="Separador de milhares 6 7" xfId="7651"/>
    <cellStyle name="Separador de milhares 7 5" xfId="7652"/>
    <cellStyle name="Normal 3 2 4" xfId="7653"/>
    <cellStyle name="Normal 6 8" xfId="7654"/>
    <cellStyle name="Comma 2 5" xfId="7655"/>
    <cellStyle name="Percent 2 5" xfId="7656"/>
    <cellStyle name="Separador de milhares 3 3 4" xfId="7657"/>
    <cellStyle name="Normal 6 2 4" xfId="7658"/>
    <cellStyle name="Comma 2 2 4" xfId="7659"/>
    <cellStyle name="Percent 2 2 3" xfId="7660"/>
    <cellStyle name="Normal 7 9" xfId="7661"/>
    <cellStyle name="Normal 8 13" xfId="7662"/>
    <cellStyle name="Comma 4 4" xfId="7663"/>
    <cellStyle name="Percent 3 4" xfId="7664"/>
    <cellStyle name="Normal 9 5" xfId="7665"/>
    <cellStyle name="Comma 5 4" xfId="7666"/>
    <cellStyle name="Normal 8 2 7" xfId="7667"/>
    <cellStyle name="Normal 8 3 6" xfId="7668"/>
    <cellStyle name="Normal 8 4 6" xfId="7669"/>
    <cellStyle name="Normal 8 5 6" xfId="7670"/>
    <cellStyle name="Normal 8 5 2 4" xfId="7671"/>
    <cellStyle name="Normal 7 2 8" xfId="7672"/>
    <cellStyle name="Vírgula 9 4" xfId="7673"/>
    <cellStyle name="Separador de milhares 2 2 5" xfId="7674"/>
    <cellStyle name="Separador de milhares 3 4 3" xfId="7675"/>
    <cellStyle name="Separador de milhares 4 3 3" xfId="7676"/>
    <cellStyle name="Separador de milhares 5 3 3" xfId="7677"/>
    <cellStyle name="Separador de milhares 6 3 3" xfId="7678"/>
    <cellStyle name="Separador de milhares 7 3 3" xfId="7679"/>
    <cellStyle name="Normal 3 2 2 3" xfId="7680"/>
    <cellStyle name="Normal 6 3 3" xfId="7681"/>
    <cellStyle name="Comma 2 3 3" xfId="7682"/>
    <cellStyle name="Percent 2 3 2" xfId="7683"/>
    <cellStyle name="Separador de milhares 3 3 2 3" xfId="7684"/>
    <cellStyle name="Normal 6 2 2 2" xfId="7685"/>
    <cellStyle name="Comma 2 2 2 2" xfId="7686"/>
    <cellStyle name="Percent 2 2 2 2" xfId="7687"/>
    <cellStyle name="Normal 7 3 7" xfId="7688"/>
    <cellStyle name="Comma 3 2 2" xfId="7689"/>
    <cellStyle name="Normal 8 6 4" xfId="7690"/>
    <cellStyle name="Comma 4 2 2" xfId="7691"/>
    <cellStyle name="Percent 3 2 2" xfId="7692"/>
    <cellStyle name="Normal 9 2 3 2" xfId="7693"/>
    <cellStyle name="Comma 5 2 2" xfId="7694"/>
    <cellStyle name="Normal 8 2 2 6" xfId="7695"/>
    <cellStyle name="Vírgula 13 2 2" xfId="7696"/>
    <cellStyle name="Vírgula 4 2 2 3" xfId="7697"/>
    <cellStyle name="Normal 8 3 2 4" xfId="7698"/>
    <cellStyle name="Normal 8 4 2 4" xfId="7699"/>
    <cellStyle name="Normal 8 5 3 2" xfId="7700"/>
    <cellStyle name="Normal 8 5 2 2 2" xfId="7701"/>
    <cellStyle name="Normal 7 2 2 6" xfId="7702"/>
    <cellStyle name="Vírgula 18 2 2" xfId="7703"/>
    <cellStyle name="Vírgula 12 2 2" xfId="7704"/>
    <cellStyle name="Normal 12 3 3" xfId="7705"/>
    <cellStyle name="Normal 3 8 2" xfId="7706"/>
    <cellStyle name="Percent 3 3 2" xfId="7707"/>
    <cellStyle name="Comma 2 4 2" xfId="7708"/>
    <cellStyle name="Comma 2 2 3 2" xfId="7709"/>
    <cellStyle name="Normal 6 7 2" xfId="7710"/>
    <cellStyle name="Normal 3 2 3 2" xfId="7711"/>
    <cellStyle name="Separador de milhares 2 9 2" xfId="7712"/>
    <cellStyle name="Normal 7 8 2" xfId="7713"/>
    <cellStyle name="Comma 2 3 2 2" xfId="7714"/>
    <cellStyle name="Separador de milhares 2 8 2" xfId="7715"/>
    <cellStyle name="Separador de milhares 3 6 2" xfId="7716"/>
    <cellStyle name="Separador de milhares 4 5 2" xfId="7717"/>
    <cellStyle name="Separador de milhares 5 5 2" xfId="7718"/>
    <cellStyle name="Separador de milhares 6 6 2" xfId="7719"/>
    <cellStyle name="Separador de milhares 7 4 2" xfId="7720"/>
    <cellStyle name="Comma 3 3 2" xfId="7721"/>
    <cellStyle name="Vírgula 7 2 2" xfId="7722"/>
    <cellStyle name="20% - Ênfase1 2 2 7" xfId="7723"/>
    <cellStyle name="20% - Ênfase1 2 2 2 5" xfId="7724"/>
    <cellStyle name="20% - Ênfase1 2 2 2 2 3" xfId="7725"/>
    <cellStyle name="20% - Ênfase1 2 2 2 3 3" xfId="7726"/>
    <cellStyle name="20% - Ênfase1 2 2 3 3" xfId="7727"/>
    <cellStyle name="20% - Ênfase1 2 2 4 3" xfId="7728"/>
    <cellStyle name="20% - Ênfase1 2 2 5 3" xfId="7729"/>
    <cellStyle name="20% - Ênfase1 2 3 6" xfId="7730"/>
    <cellStyle name="20% - Ênfase1 2 3 2 5" xfId="7731"/>
    <cellStyle name="20% - Ênfase1 2 3 2 2 3" xfId="7732"/>
    <cellStyle name="20% - Ênfase1 2 3 2 3 3" xfId="7733"/>
    <cellStyle name="20% - Ênfase1 2 3 3 3" xfId="7734"/>
    <cellStyle name="20% - Ênfase1 2 3 4 3" xfId="7735"/>
    <cellStyle name="20% - Ênfase1 2 5 5" xfId="7736"/>
    <cellStyle name="20% - Ênfase1 2 5 2 3" xfId="7737"/>
    <cellStyle name="20% - Ênfase1 2 5 3 3" xfId="7738"/>
    <cellStyle name="20% - Ênfase1 3 9" xfId="7739"/>
    <cellStyle name="20% - Ênfase1 3 2 6" xfId="7740"/>
    <cellStyle name="20% - Ênfase1 3 2 2 5" xfId="7741"/>
    <cellStyle name="20% - Ênfase1 3 2 2 2 3" xfId="7742"/>
    <cellStyle name="20% - Ênfase1 3 2 2 3 3" xfId="7743"/>
    <cellStyle name="20% - Ênfase1 3 2 3 3" xfId="7744"/>
    <cellStyle name="20% - Ênfase1 3 2 4 3" xfId="7745"/>
    <cellStyle name="20% - Ênfase1 3 3 5" xfId="7746"/>
    <cellStyle name="20% - Ênfase1 3 3 2 3" xfId="7747"/>
    <cellStyle name="20% - Ênfase1 3 3 3 3" xfId="7748"/>
    <cellStyle name="20% - Ênfase1 3 4 5" xfId="7749"/>
    <cellStyle name="20% - Ênfase1 3 4 2 3" xfId="7750"/>
    <cellStyle name="20% - Ênfase1 3 4 3 3" xfId="7751"/>
    <cellStyle name="20% - Ênfase1 3 5 3" xfId="7752"/>
    <cellStyle name="20% - Ênfase1 3 6 3" xfId="7753"/>
    <cellStyle name="20% - Ênfase1 3 7 3" xfId="7754"/>
    <cellStyle name="20% - Ênfase1 4 9" xfId="7755"/>
    <cellStyle name="20% - Ênfase1 4 2 6" xfId="7756"/>
    <cellStyle name="20% - Ênfase1 4 2 2 5" xfId="7757"/>
    <cellStyle name="20% - Ênfase1 4 2 2 2 3" xfId="7758"/>
    <cellStyle name="20% - Ênfase1 4 2 2 3 3" xfId="7759"/>
    <cellStyle name="20% - Ênfase1 4 2 3 3" xfId="7760"/>
    <cellStyle name="20% - Ênfase1 4 2 4 3" xfId="7761"/>
    <cellStyle name="20% - Ênfase1 4 3 5" xfId="7762"/>
    <cellStyle name="20% - Ênfase1 4 3 2 3" xfId="7763"/>
    <cellStyle name="20% - Ênfase1 4 3 3 3" xfId="7764"/>
    <cellStyle name="20% - Ênfase1 4 4 5" xfId="7765"/>
    <cellStyle name="20% - Ênfase1 4 4 2 3" xfId="7766"/>
    <cellStyle name="20% - Ênfase1 4 4 3 3" xfId="7767"/>
    <cellStyle name="20% - Ênfase1 4 5 3" xfId="7768"/>
    <cellStyle name="20% - Ênfase1 4 6 3" xfId="7769"/>
    <cellStyle name="20% - Ênfase1 4 7 3" xfId="7770"/>
    <cellStyle name="20% - Ênfase1 5 7" xfId="7771"/>
    <cellStyle name="20% - Ênfase1 5 2 5" xfId="7772"/>
    <cellStyle name="20% - Ênfase1 5 2 2 3" xfId="7773"/>
    <cellStyle name="20% - Ênfase1 5 2 3 3" xfId="7774"/>
    <cellStyle name="20% - Ênfase1 5 3 3" xfId="7775"/>
    <cellStyle name="20% - Ênfase1 5 4 3" xfId="7776"/>
    <cellStyle name="20% - Ênfase1 5 5 3" xfId="7777"/>
    <cellStyle name="20% - Ênfase1 6 6" xfId="7778"/>
    <cellStyle name="20% - Ênfase1 6 2 5" xfId="7779"/>
    <cellStyle name="20% - Ênfase1 6 2 2 3" xfId="7780"/>
    <cellStyle name="20% - Ênfase1 6 2 3 3" xfId="7781"/>
    <cellStyle name="20% - Ênfase1 6 3 3" xfId="7782"/>
    <cellStyle name="20% - Ênfase1 6 4 3" xfId="7783"/>
    <cellStyle name="20% - Ênfase1 8 5" xfId="7784"/>
    <cellStyle name="20% - Ênfase1 8 2 3" xfId="7785"/>
    <cellStyle name="20% - Ênfase1 8 3 3" xfId="7786"/>
    <cellStyle name="20% - Ênfase2 2 2 7" xfId="7787"/>
    <cellStyle name="20% - Ênfase2 2 2 2 5" xfId="7788"/>
    <cellStyle name="20% - Ênfase2 2 2 2 2 3" xfId="7789"/>
    <cellStyle name="20% - Ênfase2 2 2 2 3 3" xfId="7790"/>
    <cellStyle name="20% - Ênfase2 2 2 3 3" xfId="7791"/>
    <cellStyle name="20% - Ênfase2 2 2 4 3" xfId="7792"/>
    <cellStyle name="20% - Ênfase2 2 2 5 3" xfId="7793"/>
    <cellStyle name="20% - Ênfase2 2 3 6" xfId="7794"/>
    <cellStyle name="20% - Ênfase2 2 3 2 5" xfId="7795"/>
    <cellStyle name="20% - Ênfase2 2 3 2 2 3" xfId="7796"/>
    <cellStyle name="20% - Ênfase2 2 3 2 3 3" xfId="7797"/>
    <cellStyle name="20% - Ênfase2 2 3 3 3" xfId="7798"/>
    <cellStyle name="20% - Ênfase2 2 3 4 3" xfId="7799"/>
    <cellStyle name="20% - Ênfase2 2 5 5" xfId="7800"/>
    <cellStyle name="20% - Ênfase2 2 5 2 3" xfId="7801"/>
    <cellStyle name="20% - Ênfase2 2 5 3 3" xfId="7802"/>
    <cellStyle name="20% - Ênfase2 3 9" xfId="7803"/>
    <cellStyle name="20% - Ênfase2 3 2 6" xfId="7804"/>
    <cellStyle name="20% - Ênfase2 3 2 2 5" xfId="7805"/>
    <cellStyle name="20% - Ênfase2 3 2 2 2 3" xfId="7806"/>
    <cellStyle name="20% - Ênfase2 3 2 2 3 3" xfId="7807"/>
    <cellStyle name="20% - Ênfase2 3 2 3 3" xfId="7808"/>
    <cellStyle name="20% - Ênfase2 3 2 4 3" xfId="7809"/>
    <cellStyle name="20% - Ênfase2 3 3 5" xfId="7810"/>
    <cellStyle name="20% - Ênfase2 3 3 2 3" xfId="7811"/>
    <cellStyle name="20% - Ênfase2 3 3 3 3" xfId="7812"/>
    <cellStyle name="20% - Ênfase2 3 4 5" xfId="7813"/>
    <cellStyle name="20% - Ênfase2 3 4 2 3" xfId="7814"/>
    <cellStyle name="20% - Ênfase2 3 4 3 3" xfId="7815"/>
    <cellStyle name="20% - Ênfase2 3 5 3" xfId="7816"/>
    <cellStyle name="20% - Ênfase2 3 6 3" xfId="7817"/>
    <cellStyle name="20% - Ênfase2 3 7 3" xfId="7818"/>
    <cellStyle name="20% - Ênfase2 4 9" xfId="7819"/>
    <cellStyle name="20% - Ênfase2 4 2 6" xfId="7820"/>
    <cellStyle name="20% - Ênfase2 4 2 2 5" xfId="7821"/>
    <cellStyle name="20% - Ênfase2 4 2 2 2 3" xfId="7822"/>
    <cellStyle name="20% - Ênfase2 4 2 2 3 3" xfId="7823"/>
    <cellStyle name="20% - Ênfase2 4 2 3 3" xfId="7824"/>
    <cellStyle name="20% - Ênfase2 4 2 4 3" xfId="7825"/>
    <cellStyle name="20% - Ênfase2 4 3 5" xfId="7826"/>
    <cellStyle name="20% - Ênfase2 4 3 2 3" xfId="7827"/>
    <cellStyle name="20% - Ênfase2 4 3 3 3" xfId="7828"/>
    <cellStyle name="20% - Ênfase2 4 4 5" xfId="7829"/>
    <cellStyle name="20% - Ênfase2 4 4 2 3" xfId="7830"/>
    <cellStyle name="20% - Ênfase2 4 4 3 3" xfId="7831"/>
    <cellStyle name="20% - Ênfase2 4 5 3" xfId="7832"/>
    <cellStyle name="20% - Ênfase2 4 6 3" xfId="7833"/>
    <cellStyle name="20% - Ênfase2 4 7 3" xfId="7834"/>
    <cellStyle name="20% - Ênfase2 5 7" xfId="7835"/>
    <cellStyle name="20% - Ênfase2 5 2 5" xfId="7836"/>
    <cellStyle name="20% - Ênfase2 5 2 2 3" xfId="7837"/>
    <cellStyle name="20% - Ênfase2 5 2 3 3" xfId="7838"/>
    <cellStyle name="20% - Ênfase2 5 3 3" xfId="7839"/>
    <cellStyle name="20% - Ênfase2 5 4 3" xfId="7840"/>
    <cellStyle name="20% - Ênfase2 5 5 3" xfId="7841"/>
    <cellStyle name="20% - Ênfase2 6 6" xfId="7842"/>
    <cellStyle name="20% - Ênfase2 6 2 5" xfId="7843"/>
    <cellStyle name="20% - Ênfase2 6 2 2 3" xfId="7844"/>
    <cellStyle name="20% - Ênfase2 6 2 3 3" xfId="7845"/>
    <cellStyle name="20% - Ênfase2 6 3 3" xfId="7846"/>
    <cellStyle name="20% - Ênfase2 6 4 3" xfId="7847"/>
    <cellStyle name="20% - Ênfase2 8 5" xfId="7848"/>
    <cellStyle name="20% - Ênfase2 8 2 3" xfId="7849"/>
    <cellStyle name="20% - Ênfase2 8 3 3" xfId="7850"/>
    <cellStyle name="20% - Ênfase3 2 2 7" xfId="7851"/>
    <cellStyle name="20% - Ênfase3 2 2 2 5" xfId="7852"/>
    <cellStyle name="20% - Ênfase3 2 2 2 2 3" xfId="7853"/>
    <cellStyle name="20% - Ênfase3 2 2 2 3 3" xfId="7854"/>
    <cellStyle name="20% - Ênfase3 2 2 3 3" xfId="7855"/>
    <cellStyle name="20% - Ênfase3 2 2 4 3" xfId="7856"/>
    <cellStyle name="20% - Ênfase3 2 2 5 3" xfId="7857"/>
    <cellStyle name="20% - Ênfase3 2 3 6" xfId="7858"/>
    <cellStyle name="20% - Ênfase3 2 3 2 5" xfId="7859"/>
    <cellStyle name="20% - Ênfase3 2 3 2 2 3" xfId="7860"/>
    <cellStyle name="20% - Ênfase3 2 3 2 3 3" xfId="7861"/>
    <cellStyle name="20% - Ênfase3 2 3 3 3" xfId="7862"/>
    <cellStyle name="20% - Ênfase3 2 3 4 3" xfId="7863"/>
    <cellStyle name="20% - Ênfase3 2 5 5" xfId="7864"/>
    <cellStyle name="20% - Ênfase3 2 5 2 3" xfId="7865"/>
    <cellStyle name="20% - Ênfase3 2 5 3 3" xfId="7866"/>
    <cellStyle name="20% - Ênfase3 3 9" xfId="7867"/>
    <cellStyle name="20% - Ênfase3 3 2 6" xfId="7868"/>
    <cellStyle name="20% - Ênfase3 3 2 2 5" xfId="7869"/>
    <cellStyle name="20% - Ênfase3 3 2 2 2 3" xfId="7870"/>
    <cellStyle name="20% - Ênfase3 3 2 2 3 3" xfId="7871"/>
    <cellStyle name="20% - Ênfase3 3 2 3 3" xfId="7872"/>
    <cellStyle name="20% - Ênfase3 3 2 4 3" xfId="7873"/>
    <cellStyle name="20% - Ênfase3 3 3 5" xfId="7874"/>
    <cellStyle name="20% - Ênfase3 3 3 2 3" xfId="7875"/>
    <cellStyle name="20% - Ênfase3 3 3 3 3" xfId="7876"/>
    <cellStyle name="20% - Ênfase3 3 4 5" xfId="7877"/>
    <cellStyle name="20% - Ênfase3 3 4 2 3" xfId="7878"/>
    <cellStyle name="20% - Ênfase3 3 4 3 3" xfId="7879"/>
    <cellStyle name="20% - Ênfase3 3 5 3" xfId="7880"/>
    <cellStyle name="20% - Ênfase3 3 6 3" xfId="7881"/>
    <cellStyle name="20% - Ênfase3 3 7 3" xfId="7882"/>
    <cellStyle name="20% - Ênfase3 4 9" xfId="7883"/>
    <cellStyle name="20% - Ênfase3 4 2 6" xfId="7884"/>
    <cellStyle name="20% - Ênfase3 4 2 2 5" xfId="7885"/>
    <cellStyle name="20% - Ênfase3 4 2 2 2 3" xfId="7886"/>
    <cellStyle name="20% - Ênfase3 4 2 2 3 3" xfId="7887"/>
    <cellStyle name="20% - Ênfase3 4 2 3 3" xfId="7888"/>
    <cellStyle name="20% - Ênfase3 4 2 4 3" xfId="7889"/>
    <cellStyle name="20% - Ênfase3 4 3 5" xfId="7890"/>
    <cellStyle name="20% - Ênfase3 4 3 2 3" xfId="7891"/>
    <cellStyle name="20% - Ênfase3 4 3 3 3" xfId="7892"/>
    <cellStyle name="20% - Ênfase3 4 4 5" xfId="7893"/>
    <cellStyle name="20% - Ênfase3 4 4 2 3" xfId="7894"/>
    <cellStyle name="20% - Ênfase3 4 4 3 3" xfId="7895"/>
    <cellStyle name="20% - Ênfase3 4 5 3" xfId="7896"/>
    <cellStyle name="20% - Ênfase3 4 6 3" xfId="7897"/>
    <cellStyle name="20% - Ênfase3 4 7 3" xfId="7898"/>
    <cellStyle name="20% - Ênfase3 5 7" xfId="7899"/>
    <cellStyle name="20% - Ênfase3 5 2 5" xfId="7900"/>
    <cellStyle name="20% - Ênfase3 5 2 2 3" xfId="7901"/>
    <cellStyle name="20% - Ênfase3 5 2 3 3" xfId="7902"/>
    <cellStyle name="20% - Ênfase3 5 3 3" xfId="7903"/>
    <cellStyle name="20% - Ênfase3 5 4 3" xfId="7904"/>
    <cellStyle name="20% - Ênfase3 5 5 3" xfId="7905"/>
    <cellStyle name="20% - Ênfase3 6 6" xfId="7906"/>
    <cellStyle name="20% - Ênfase3 6 2 5" xfId="7907"/>
    <cellStyle name="20% - Ênfase3 6 2 2 3" xfId="7908"/>
    <cellStyle name="20% - Ênfase3 6 2 3 3" xfId="7909"/>
    <cellStyle name="20% - Ênfase3 6 3 3" xfId="7910"/>
    <cellStyle name="20% - Ênfase3 6 4 3" xfId="7911"/>
    <cellStyle name="20% - Ênfase3 8 5" xfId="7912"/>
    <cellStyle name="20% - Ênfase3 8 2 3" xfId="7913"/>
    <cellStyle name="20% - Ênfase3 8 3 3" xfId="7914"/>
    <cellStyle name="20% - Ênfase4 2 2 7" xfId="7915"/>
    <cellStyle name="20% - Ênfase4 2 2 2 5" xfId="7916"/>
    <cellStyle name="20% - Ênfase4 2 2 2 2 3" xfId="7917"/>
    <cellStyle name="20% - Ênfase4 2 2 2 3 3" xfId="7918"/>
    <cellStyle name="20% - Ênfase4 2 2 3 3" xfId="7919"/>
    <cellStyle name="20% - Ênfase4 2 2 4 3" xfId="7920"/>
    <cellStyle name="20% - Ênfase4 2 2 5 3" xfId="7921"/>
    <cellStyle name="20% - Ênfase4 2 3 6" xfId="7922"/>
    <cellStyle name="20% - Ênfase4 2 3 2 5" xfId="7923"/>
    <cellStyle name="20% - Ênfase4 2 3 2 2 3" xfId="7924"/>
    <cellStyle name="20% - Ênfase4 2 3 2 3 3" xfId="7925"/>
    <cellStyle name="20% - Ênfase4 2 3 3 3" xfId="7926"/>
    <cellStyle name="20% - Ênfase4 2 3 4 3" xfId="7927"/>
    <cellStyle name="20% - Ênfase4 2 5 5" xfId="7928"/>
    <cellStyle name="20% - Ênfase4 2 5 2 3" xfId="7929"/>
    <cellStyle name="20% - Ênfase4 2 5 3 3" xfId="7930"/>
    <cellStyle name="20% - Ênfase4 3 9" xfId="7931"/>
    <cellStyle name="20% - Ênfase4 3 2 6" xfId="7932"/>
    <cellStyle name="20% - Ênfase4 3 2 2 5" xfId="7933"/>
    <cellStyle name="20% - Ênfase4 3 2 2 2 3" xfId="7934"/>
    <cellStyle name="20% - Ênfase4 3 2 2 3 3" xfId="7935"/>
    <cellStyle name="20% - Ênfase4 3 2 3 3" xfId="7936"/>
    <cellStyle name="20% - Ênfase4 3 2 4 3" xfId="7937"/>
    <cellStyle name="20% - Ênfase4 3 3 5" xfId="7938"/>
    <cellStyle name="20% - Ênfase4 3 3 2 3" xfId="7939"/>
    <cellStyle name="20% - Ênfase4 3 3 3 3" xfId="7940"/>
    <cellStyle name="20% - Ênfase4 3 4 5" xfId="7941"/>
    <cellStyle name="20% - Ênfase4 3 4 2 3" xfId="7942"/>
    <cellStyle name="20% - Ênfase4 3 4 3 3" xfId="7943"/>
    <cellStyle name="20% - Ênfase4 3 5 3" xfId="7944"/>
    <cellStyle name="20% - Ênfase4 3 6 3" xfId="7945"/>
    <cellStyle name="20% - Ênfase4 3 7 3" xfId="7946"/>
    <cellStyle name="20% - Ênfase4 4 9" xfId="7947"/>
    <cellStyle name="20% - Ênfase4 4 2 6" xfId="7948"/>
    <cellStyle name="20% - Ênfase4 4 2 2 5" xfId="7949"/>
    <cellStyle name="20% - Ênfase4 4 2 2 2 3" xfId="7950"/>
    <cellStyle name="20% - Ênfase4 4 2 2 3 3" xfId="7951"/>
    <cellStyle name="20% - Ênfase4 4 2 3 3" xfId="7952"/>
    <cellStyle name="20% - Ênfase4 4 2 4 3" xfId="7953"/>
    <cellStyle name="20% - Ênfase4 4 3 5" xfId="7954"/>
    <cellStyle name="20% - Ênfase4 4 3 2 3" xfId="7955"/>
    <cellStyle name="20% - Ênfase4 4 3 3 3" xfId="7956"/>
    <cellStyle name="20% - Ênfase4 4 4 5" xfId="7957"/>
    <cellStyle name="20% - Ênfase4 4 4 2 3" xfId="7958"/>
    <cellStyle name="20% - Ênfase4 4 4 3 3" xfId="7959"/>
    <cellStyle name="20% - Ênfase4 4 5 3" xfId="7960"/>
    <cellStyle name="20% - Ênfase4 4 6 3" xfId="7961"/>
    <cellStyle name="20% - Ênfase4 4 7 3" xfId="7962"/>
    <cellStyle name="20% - Ênfase4 5 7" xfId="7963"/>
    <cellStyle name="20% - Ênfase4 5 2 5" xfId="7964"/>
    <cellStyle name="20% - Ênfase4 5 2 2 3" xfId="7965"/>
    <cellStyle name="20% - Ênfase4 5 2 3 3" xfId="7966"/>
    <cellStyle name="20% - Ênfase4 5 3 3" xfId="7967"/>
    <cellStyle name="20% - Ênfase4 5 4 3" xfId="7968"/>
    <cellStyle name="20% - Ênfase4 5 5 3" xfId="7969"/>
    <cellStyle name="20% - Ênfase4 6 6" xfId="7970"/>
    <cellStyle name="20% - Ênfase4 6 2 5" xfId="7971"/>
    <cellStyle name="20% - Ênfase4 6 2 2 3" xfId="7972"/>
    <cellStyle name="20% - Ênfase4 6 2 3 3" xfId="7973"/>
    <cellStyle name="20% - Ênfase4 6 3 3" xfId="7974"/>
    <cellStyle name="20% - Ênfase4 6 4 3" xfId="7975"/>
    <cellStyle name="20% - Ênfase4 8 5" xfId="7976"/>
    <cellStyle name="20% - Ênfase4 8 2 3" xfId="7977"/>
    <cellStyle name="20% - Ênfase4 8 3 3" xfId="7978"/>
    <cellStyle name="20% - Ênfase5 2 2 7" xfId="7979"/>
    <cellStyle name="20% - Ênfase5 2 2 2 5" xfId="7980"/>
    <cellStyle name="20% - Ênfase5 2 2 2 2 3" xfId="7981"/>
    <cellStyle name="20% - Ênfase5 2 2 2 3 3" xfId="7982"/>
    <cellStyle name="20% - Ênfase5 2 2 3 3" xfId="7983"/>
    <cellStyle name="20% - Ênfase5 2 2 4 3" xfId="7984"/>
    <cellStyle name="20% - Ênfase5 2 2 5 3" xfId="7985"/>
    <cellStyle name="20% - Ênfase5 2 3 6" xfId="7986"/>
    <cellStyle name="20% - Ênfase5 2 3 2 5" xfId="7987"/>
    <cellStyle name="20% - Ênfase5 2 3 2 2 3" xfId="7988"/>
    <cellStyle name="20% - Ênfase5 2 3 2 3 3" xfId="7989"/>
    <cellStyle name="20% - Ênfase5 2 3 3 3" xfId="7990"/>
    <cellStyle name="20% - Ênfase5 2 3 4 3" xfId="7991"/>
    <cellStyle name="20% - Ênfase5 2 5 5" xfId="7992"/>
    <cellStyle name="20% - Ênfase5 2 5 2 3" xfId="7993"/>
    <cellStyle name="20% - Ênfase5 2 5 3 3" xfId="7994"/>
    <cellStyle name="20% - Ênfase5 3 9" xfId="7995"/>
    <cellStyle name="20% - Ênfase5 3 2 6" xfId="7996"/>
    <cellStyle name="20% - Ênfase5 3 2 2 5" xfId="7997"/>
    <cellStyle name="20% - Ênfase5 3 2 2 2 3" xfId="7998"/>
    <cellStyle name="20% - Ênfase5 3 2 2 3 3" xfId="7999"/>
    <cellStyle name="20% - Ênfase5 3 2 3 3" xfId="8000"/>
    <cellStyle name="20% - Ênfase5 3 2 4 3" xfId="8001"/>
    <cellStyle name="20% - Ênfase5 3 3 5" xfId="8002"/>
    <cellStyle name="20% - Ênfase5 3 3 2 3" xfId="8003"/>
    <cellStyle name="20% - Ênfase5 3 3 3 3" xfId="8004"/>
    <cellStyle name="20% - Ênfase5 3 4 5" xfId="8005"/>
    <cellStyle name="20% - Ênfase5 3 4 2 3" xfId="8006"/>
    <cellStyle name="20% - Ênfase5 3 4 3 3" xfId="8007"/>
    <cellStyle name="20% - Ênfase5 3 5 3" xfId="8008"/>
    <cellStyle name="20% - Ênfase5 3 6 3" xfId="8009"/>
    <cellStyle name="20% - Ênfase5 3 7 3" xfId="8010"/>
    <cellStyle name="20% - Ênfase5 4 9" xfId="8011"/>
    <cellStyle name="20% - Ênfase5 4 2 6" xfId="8012"/>
    <cellStyle name="20% - Ênfase5 4 2 2 5" xfId="8013"/>
    <cellStyle name="20% - Ênfase5 4 2 2 2 3" xfId="8014"/>
    <cellStyle name="20% - Ênfase5 4 2 2 3 3" xfId="8015"/>
    <cellStyle name="20% - Ênfase5 4 2 3 3" xfId="8016"/>
    <cellStyle name="20% - Ênfase5 4 2 4 3" xfId="8017"/>
    <cellStyle name="20% - Ênfase5 4 3 5" xfId="8018"/>
    <cellStyle name="20% - Ênfase5 4 3 2 3" xfId="8019"/>
    <cellStyle name="20% - Ênfase5 4 3 3 3" xfId="8020"/>
    <cellStyle name="20% - Ênfase5 4 4 5" xfId="8021"/>
    <cellStyle name="20% - Ênfase5 4 4 2 3" xfId="8022"/>
    <cellStyle name="20% - Ênfase5 4 4 3 3" xfId="8023"/>
    <cellStyle name="20% - Ênfase5 4 5 3" xfId="8024"/>
    <cellStyle name="20% - Ênfase5 4 6 3" xfId="8025"/>
    <cellStyle name="20% - Ênfase5 4 7 3" xfId="8026"/>
    <cellStyle name="20% - Ênfase5 5 7" xfId="8027"/>
    <cellStyle name="20% - Ênfase5 5 2 5" xfId="8028"/>
    <cellStyle name="20% - Ênfase5 5 2 2 3" xfId="8029"/>
    <cellStyle name="20% - Ênfase5 5 2 3 3" xfId="8030"/>
    <cellStyle name="20% - Ênfase5 5 3 3" xfId="8031"/>
    <cellStyle name="20% - Ênfase5 5 4 3" xfId="8032"/>
    <cellStyle name="20% - Ênfase5 5 5 3" xfId="8033"/>
    <cellStyle name="20% - Ênfase5 6 6" xfId="8034"/>
    <cellStyle name="20% - Ênfase5 6 2 5" xfId="8035"/>
    <cellStyle name="20% - Ênfase5 6 2 2 3" xfId="8036"/>
    <cellStyle name="20% - Ênfase5 6 2 3 3" xfId="8037"/>
    <cellStyle name="20% - Ênfase5 6 3 3" xfId="8038"/>
    <cellStyle name="20% - Ênfase5 6 4 3" xfId="8039"/>
    <cellStyle name="20% - Ênfase5 8 5" xfId="8040"/>
    <cellStyle name="20% - Ênfase5 8 2 3" xfId="8041"/>
    <cellStyle name="20% - Ênfase5 8 3 3" xfId="8042"/>
    <cellStyle name="20% - Ênfase6 2 2 7" xfId="8043"/>
    <cellStyle name="20% - Ênfase6 2 2 2 5" xfId="8044"/>
    <cellStyle name="20% - Ênfase6 2 2 2 2 3" xfId="8045"/>
    <cellStyle name="20% - Ênfase6 2 2 2 3 3" xfId="8046"/>
    <cellStyle name="20% - Ênfase6 2 2 3 3" xfId="8047"/>
    <cellStyle name="20% - Ênfase6 2 2 4 3" xfId="8048"/>
    <cellStyle name="20% - Ênfase6 2 2 5 3" xfId="8049"/>
    <cellStyle name="20% - Ênfase6 2 3 6" xfId="8050"/>
    <cellStyle name="20% - Ênfase6 2 3 2 5" xfId="8051"/>
    <cellStyle name="20% - Ênfase6 2 3 2 2 3" xfId="8052"/>
    <cellStyle name="20% - Ênfase6 2 3 2 3 3" xfId="8053"/>
    <cellStyle name="20% - Ênfase6 2 3 3 3" xfId="8054"/>
    <cellStyle name="20% - Ênfase6 2 3 4 3" xfId="8055"/>
    <cellStyle name="20% - Ênfase6 2 5 5" xfId="8056"/>
    <cellStyle name="20% - Ênfase6 2 5 2 3" xfId="8057"/>
    <cellStyle name="20% - Ênfase6 2 5 3 3" xfId="8058"/>
    <cellStyle name="20% - Ênfase6 3 9" xfId="8059"/>
    <cellStyle name="20% - Ênfase6 3 2 6" xfId="8060"/>
    <cellStyle name="20% - Ênfase6 3 2 2 5" xfId="8061"/>
    <cellStyle name="20% - Ênfase6 3 2 2 2 3" xfId="8062"/>
    <cellStyle name="20% - Ênfase6 3 2 2 3 3" xfId="8063"/>
    <cellStyle name="20% - Ênfase6 3 2 3 3" xfId="8064"/>
    <cellStyle name="20% - Ênfase6 3 2 4 3" xfId="8065"/>
    <cellStyle name="20% - Ênfase6 3 3 5" xfId="8066"/>
    <cellStyle name="20% - Ênfase6 3 3 2 3" xfId="8067"/>
    <cellStyle name="20% - Ênfase6 3 3 3 3" xfId="8068"/>
    <cellStyle name="20% - Ênfase6 3 4 5" xfId="8069"/>
    <cellStyle name="20% - Ênfase6 3 4 2 3" xfId="8070"/>
    <cellStyle name="20% - Ênfase6 3 4 3 3" xfId="8071"/>
    <cellStyle name="20% - Ênfase6 3 5 3" xfId="8072"/>
    <cellStyle name="20% - Ênfase6 3 6 3" xfId="8073"/>
    <cellStyle name="20% - Ênfase6 3 7 3" xfId="8074"/>
    <cellStyle name="20% - Ênfase6 4 9" xfId="8075"/>
    <cellStyle name="20% - Ênfase6 4 2 6" xfId="8076"/>
    <cellStyle name="20% - Ênfase6 4 2 2 5" xfId="8077"/>
    <cellStyle name="20% - Ênfase6 4 2 2 2 3" xfId="8078"/>
    <cellStyle name="20% - Ênfase6 4 2 2 3 3" xfId="8079"/>
    <cellStyle name="20% - Ênfase6 4 2 3 3" xfId="8080"/>
    <cellStyle name="20% - Ênfase6 4 2 4 3" xfId="8081"/>
    <cellStyle name="20% - Ênfase6 4 3 5" xfId="8082"/>
    <cellStyle name="20% - Ênfase6 4 3 2 3" xfId="8083"/>
    <cellStyle name="20% - Ênfase6 4 3 3 3" xfId="8084"/>
    <cellStyle name="20% - Ênfase6 4 4 5" xfId="8085"/>
    <cellStyle name="20% - Ênfase6 4 4 2 3" xfId="8086"/>
    <cellStyle name="20% - Ênfase6 4 4 3 3" xfId="8087"/>
    <cellStyle name="20% - Ênfase6 4 5 3" xfId="8088"/>
    <cellStyle name="20% - Ênfase6 4 6 3" xfId="8089"/>
    <cellStyle name="20% - Ênfase6 4 7 3" xfId="8090"/>
    <cellStyle name="20% - Ênfase6 5 7" xfId="8091"/>
    <cellStyle name="20% - Ênfase6 5 2 5" xfId="8092"/>
    <cellStyle name="20% - Ênfase6 5 2 2 3" xfId="8093"/>
    <cellStyle name="20% - Ênfase6 5 2 3 3" xfId="8094"/>
    <cellStyle name="20% - Ênfase6 5 3 3" xfId="8095"/>
    <cellStyle name="20% - Ênfase6 5 4 3" xfId="8096"/>
    <cellStyle name="20% - Ênfase6 5 5 3" xfId="8097"/>
    <cellStyle name="20% - Ênfase6 6 6" xfId="8098"/>
    <cellStyle name="20% - Ênfase6 6 2 5" xfId="8099"/>
    <cellStyle name="20% - Ênfase6 6 2 2 3" xfId="8100"/>
    <cellStyle name="20% - Ênfase6 6 2 3 3" xfId="8101"/>
    <cellStyle name="20% - Ênfase6 6 3 3" xfId="8102"/>
    <cellStyle name="20% - Ênfase6 6 4 3" xfId="8103"/>
    <cellStyle name="20% - Ênfase6 8 5" xfId="8104"/>
    <cellStyle name="20% - Ênfase6 8 2 3" xfId="8105"/>
    <cellStyle name="20% - Ênfase6 8 3 3" xfId="8106"/>
    <cellStyle name="40% - Ênfase1 2 2 7" xfId="8107"/>
    <cellStyle name="40% - Ênfase1 2 2 2 5" xfId="8108"/>
    <cellStyle name="40% - Ênfase1 2 2 2 2 3" xfId="8109"/>
    <cellStyle name="40% - Ênfase1 2 2 2 3 3" xfId="8110"/>
    <cellStyle name="40% - Ênfase1 2 2 3 3" xfId="8111"/>
    <cellStyle name="40% - Ênfase1 2 2 4 3" xfId="8112"/>
    <cellStyle name="40% - Ênfase1 2 2 5 3" xfId="8113"/>
    <cellStyle name="40% - Ênfase1 2 3 6" xfId="8114"/>
    <cellStyle name="40% - Ênfase1 2 3 2 5" xfId="8115"/>
    <cellStyle name="40% - Ênfase1 2 3 2 2 3" xfId="8116"/>
    <cellStyle name="40% - Ênfase1 2 3 2 3 3" xfId="8117"/>
    <cellStyle name="40% - Ênfase1 2 3 3 3" xfId="8118"/>
    <cellStyle name="40% - Ênfase1 2 3 4 3" xfId="8119"/>
    <cellStyle name="40% - Ênfase1 2 5 5" xfId="8120"/>
    <cellStyle name="40% - Ênfase1 2 5 2 3" xfId="8121"/>
    <cellStyle name="40% - Ênfase1 2 5 3 3" xfId="8122"/>
    <cellStyle name="40% - Ênfase1 3 9" xfId="8123"/>
    <cellStyle name="40% - Ênfase1 3 2 6" xfId="8124"/>
    <cellStyle name="40% - Ênfase1 3 2 2 5" xfId="8125"/>
    <cellStyle name="40% - Ênfase1 3 2 2 2 3" xfId="8126"/>
    <cellStyle name="40% - Ênfase1 3 2 2 3 3" xfId="8127"/>
    <cellStyle name="40% - Ênfase1 3 2 3 3" xfId="8128"/>
    <cellStyle name="40% - Ênfase1 3 2 4 3" xfId="8129"/>
    <cellStyle name="40% - Ênfase1 3 3 5" xfId="8130"/>
    <cellStyle name="40% - Ênfase1 3 3 2 3" xfId="8131"/>
    <cellStyle name="40% - Ênfase1 3 3 3 3" xfId="8132"/>
    <cellStyle name="40% - Ênfase1 3 4 5" xfId="8133"/>
    <cellStyle name="40% - Ênfase1 3 4 2 3" xfId="8134"/>
    <cellStyle name="40% - Ênfase1 3 4 3 3" xfId="8135"/>
    <cellStyle name="40% - Ênfase1 3 5 3" xfId="8136"/>
    <cellStyle name="40% - Ênfase1 3 6 3" xfId="8137"/>
    <cellStyle name="40% - Ênfase1 3 7 3" xfId="8138"/>
    <cellStyle name="40% - Ênfase1 4 9" xfId="8139"/>
    <cellStyle name="40% - Ênfase1 4 2 6" xfId="8140"/>
    <cellStyle name="40% - Ênfase1 4 2 2 5" xfId="8141"/>
    <cellStyle name="40% - Ênfase1 4 2 2 2 3" xfId="8142"/>
    <cellStyle name="40% - Ênfase1 4 2 2 3 3" xfId="8143"/>
    <cellStyle name="40% - Ênfase1 4 2 3 3" xfId="8144"/>
    <cellStyle name="40% - Ênfase1 4 2 4 3" xfId="8145"/>
    <cellStyle name="40% - Ênfase1 4 3 5" xfId="8146"/>
    <cellStyle name="40% - Ênfase1 4 3 2 3" xfId="8147"/>
    <cellStyle name="40% - Ênfase1 4 3 3 3" xfId="8148"/>
    <cellStyle name="40% - Ênfase1 4 4 5" xfId="8149"/>
    <cellStyle name="40% - Ênfase1 4 4 2 3" xfId="8150"/>
    <cellStyle name="40% - Ênfase1 4 4 3 3" xfId="8151"/>
    <cellStyle name="40% - Ênfase1 4 5 3" xfId="8152"/>
    <cellStyle name="40% - Ênfase1 4 6 3" xfId="8153"/>
    <cellStyle name="40% - Ênfase1 4 7 3" xfId="8154"/>
    <cellStyle name="40% - Ênfase1 5 7" xfId="8155"/>
    <cellStyle name="40% - Ênfase1 5 2 5" xfId="8156"/>
    <cellStyle name="40% - Ênfase1 5 2 2 3" xfId="8157"/>
    <cellStyle name="40% - Ênfase1 5 2 3 3" xfId="8158"/>
    <cellStyle name="40% - Ênfase1 5 3 3" xfId="8159"/>
    <cellStyle name="40% - Ênfase1 5 4 3" xfId="8160"/>
    <cellStyle name="40% - Ênfase1 5 5 3" xfId="8161"/>
    <cellStyle name="40% - Ênfase1 6 6" xfId="8162"/>
    <cellStyle name="40% - Ênfase1 6 2 5" xfId="8163"/>
    <cellStyle name="40% - Ênfase1 6 2 2 3" xfId="8164"/>
    <cellStyle name="40% - Ênfase1 6 2 3 3" xfId="8165"/>
    <cellStyle name="40% - Ênfase1 6 3 3" xfId="8166"/>
    <cellStyle name="40% - Ênfase1 6 4 3" xfId="8167"/>
    <cellStyle name="40% - Ênfase1 8 5" xfId="8168"/>
    <cellStyle name="40% - Ênfase1 8 2 3" xfId="8169"/>
    <cellStyle name="40% - Ênfase1 8 3 3" xfId="8170"/>
    <cellStyle name="40% - Ênfase2 2 2 7" xfId="8171"/>
    <cellStyle name="40% - Ênfase2 2 2 2 5" xfId="8172"/>
    <cellStyle name="40% - Ênfase2 2 2 2 2 3" xfId="8173"/>
    <cellStyle name="40% - Ênfase2 2 2 2 3 3" xfId="8174"/>
    <cellStyle name="40% - Ênfase2 2 2 3 3" xfId="8175"/>
    <cellStyle name="40% - Ênfase2 2 2 4 3" xfId="8176"/>
    <cellStyle name="40% - Ênfase2 2 2 5 3" xfId="8177"/>
    <cellStyle name="40% - Ênfase2 2 3 6" xfId="8178"/>
    <cellStyle name="40% - Ênfase2 2 3 2 5" xfId="8179"/>
    <cellStyle name="40% - Ênfase2 2 3 2 2 3" xfId="8180"/>
    <cellStyle name="40% - Ênfase2 2 3 2 3 3" xfId="8181"/>
    <cellStyle name="40% - Ênfase2 2 3 3 3" xfId="8182"/>
    <cellStyle name="40% - Ênfase2 2 3 4 3" xfId="8183"/>
    <cellStyle name="40% - Ênfase2 2 5 5" xfId="8184"/>
    <cellStyle name="40% - Ênfase2 2 5 2 3" xfId="8185"/>
    <cellStyle name="40% - Ênfase2 2 5 3 3" xfId="8186"/>
    <cellStyle name="40% - Ênfase2 3 9" xfId="8187"/>
    <cellStyle name="40% - Ênfase2 3 2 6" xfId="8188"/>
    <cellStyle name="40% - Ênfase2 3 2 2 5" xfId="8189"/>
    <cellStyle name="40% - Ênfase2 3 2 2 2 3" xfId="8190"/>
    <cellStyle name="40% - Ênfase2 3 2 2 3 3" xfId="8191"/>
    <cellStyle name="40% - Ênfase2 3 2 3 3" xfId="8192"/>
    <cellStyle name="40% - Ênfase2 3 2 4 3" xfId="8193"/>
    <cellStyle name="40% - Ênfase2 3 3 5" xfId="8194"/>
    <cellStyle name="40% - Ênfase2 3 3 2 3" xfId="8195"/>
    <cellStyle name="40% - Ênfase2 3 3 3 3" xfId="8196"/>
    <cellStyle name="40% - Ênfase2 3 4 5" xfId="8197"/>
    <cellStyle name="40% - Ênfase2 3 4 2 3" xfId="8198"/>
    <cellStyle name="40% - Ênfase2 3 4 3 3" xfId="8199"/>
    <cellStyle name="40% - Ênfase2 3 5 3" xfId="8200"/>
    <cellStyle name="40% - Ênfase2 3 6 3" xfId="8201"/>
    <cellStyle name="40% - Ênfase2 3 7 3" xfId="8202"/>
    <cellStyle name="40% - Ênfase2 4 9" xfId="8203"/>
    <cellStyle name="40% - Ênfase2 4 2 6" xfId="8204"/>
    <cellStyle name="40% - Ênfase2 4 2 2 5" xfId="8205"/>
    <cellStyle name="40% - Ênfase2 4 2 2 2 3" xfId="8206"/>
    <cellStyle name="40% - Ênfase2 4 2 2 3 3" xfId="8207"/>
    <cellStyle name="40% - Ênfase2 4 2 3 3" xfId="8208"/>
    <cellStyle name="40% - Ênfase2 4 2 4 3" xfId="8209"/>
    <cellStyle name="40% - Ênfase2 4 3 5" xfId="8210"/>
    <cellStyle name="40% - Ênfase2 4 3 2 3" xfId="8211"/>
    <cellStyle name="40% - Ênfase2 4 3 3 3" xfId="8212"/>
    <cellStyle name="40% - Ênfase2 4 4 5" xfId="8213"/>
    <cellStyle name="40% - Ênfase2 4 4 2 3" xfId="8214"/>
    <cellStyle name="40% - Ênfase2 4 4 3 3" xfId="8215"/>
    <cellStyle name="40% - Ênfase2 4 5 3" xfId="8216"/>
    <cellStyle name="40% - Ênfase2 4 6 3" xfId="8217"/>
    <cellStyle name="40% - Ênfase2 4 7 3" xfId="8218"/>
    <cellStyle name="40% - Ênfase2 5 7" xfId="8219"/>
    <cellStyle name="40% - Ênfase2 5 2 5" xfId="8220"/>
    <cellStyle name="40% - Ênfase2 5 2 2 3" xfId="8221"/>
    <cellStyle name="40% - Ênfase2 5 2 3 3" xfId="8222"/>
    <cellStyle name="40% - Ênfase2 5 3 3" xfId="8223"/>
    <cellStyle name="40% - Ênfase2 5 4 3" xfId="8224"/>
    <cellStyle name="40% - Ênfase2 5 5 3" xfId="8225"/>
    <cellStyle name="40% - Ênfase2 6 6" xfId="8226"/>
    <cellStyle name="40% - Ênfase2 6 2 5" xfId="8227"/>
    <cellStyle name="40% - Ênfase2 6 2 2 3" xfId="8228"/>
    <cellStyle name="40% - Ênfase2 6 2 3 3" xfId="8229"/>
    <cellStyle name="40% - Ênfase2 6 3 3" xfId="8230"/>
    <cellStyle name="40% - Ênfase2 6 4 3" xfId="8231"/>
    <cellStyle name="40% - Ênfase2 8 5" xfId="8232"/>
    <cellStyle name="40% - Ênfase2 8 2 3" xfId="8233"/>
    <cellStyle name="40% - Ênfase2 8 3 3" xfId="8234"/>
    <cellStyle name="40% - Ênfase3 2 2 7" xfId="8235"/>
    <cellStyle name="40% - Ênfase3 2 2 2 5" xfId="8236"/>
    <cellStyle name="40% - Ênfase3 2 2 2 2 3" xfId="8237"/>
    <cellStyle name="40% - Ênfase3 2 2 2 3 3" xfId="8238"/>
    <cellStyle name="40% - Ênfase3 2 2 3 3" xfId="8239"/>
    <cellStyle name="40% - Ênfase3 2 2 4 3" xfId="8240"/>
    <cellStyle name="40% - Ênfase3 2 2 5 3" xfId="8241"/>
    <cellStyle name="40% - Ênfase3 2 3 6" xfId="8242"/>
    <cellStyle name="40% - Ênfase3 2 3 2 5" xfId="8243"/>
    <cellStyle name="40% - Ênfase3 2 3 2 2 3" xfId="8244"/>
    <cellStyle name="40% - Ênfase3 2 3 2 3 3" xfId="8245"/>
    <cellStyle name="40% - Ênfase3 2 3 3 3" xfId="8246"/>
    <cellStyle name="40% - Ênfase3 2 3 4 3" xfId="8247"/>
    <cellStyle name="40% - Ênfase3 2 5 5" xfId="8248"/>
    <cellStyle name="40% - Ênfase3 2 5 2 3" xfId="8249"/>
    <cellStyle name="40% - Ênfase3 2 5 3 3" xfId="8250"/>
    <cellStyle name="40% - Ênfase3 3 9" xfId="8251"/>
    <cellStyle name="40% - Ênfase3 3 2 6" xfId="8252"/>
    <cellStyle name="40% - Ênfase3 3 2 2 5" xfId="8253"/>
    <cellStyle name="40% - Ênfase3 3 2 2 2 3" xfId="8254"/>
    <cellStyle name="40% - Ênfase3 3 2 2 3 3" xfId="8255"/>
    <cellStyle name="40% - Ênfase3 3 2 3 3" xfId="8256"/>
    <cellStyle name="40% - Ênfase3 3 2 4 3" xfId="8257"/>
    <cellStyle name="40% - Ênfase3 3 3 5" xfId="8258"/>
    <cellStyle name="40% - Ênfase3 3 3 2 3" xfId="8259"/>
    <cellStyle name="40% - Ênfase3 3 3 3 3" xfId="8260"/>
    <cellStyle name="40% - Ênfase3 3 4 5" xfId="8261"/>
    <cellStyle name="40% - Ênfase3 3 4 2 3" xfId="8262"/>
    <cellStyle name="40% - Ênfase3 3 4 3 3" xfId="8263"/>
    <cellStyle name="40% - Ênfase3 3 5 3" xfId="8264"/>
    <cellStyle name="40% - Ênfase3 3 6 3" xfId="8265"/>
    <cellStyle name="40% - Ênfase3 3 7 3" xfId="8266"/>
    <cellStyle name="40% - Ênfase3 4 9" xfId="8267"/>
    <cellStyle name="40% - Ênfase3 4 2 6" xfId="8268"/>
    <cellStyle name="40% - Ênfase3 4 2 2 5" xfId="8269"/>
    <cellStyle name="40% - Ênfase3 4 2 2 2 3" xfId="8270"/>
    <cellStyle name="40% - Ênfase3 4 2 2 3 3" xfId="8271"/>
    <cellStyle name="40% - Ênfase3 4 2 3 3" xfId="8272"/>
    <cellStyle name="40% - Ênfase3 4 2 4 3" xfId="8273"/>
    <cellStyle name="40% - Ênfase3 4 3 5" xfId="8274"/>
    <cellStyle name="40% - Ênfase3 4 3 2 3" xfId="8275"/>
    <cellStyle name="40% - Ênfase3 4 3 3 3" xfId="8276"/>
    <cellStyle name="40% - Ênfase3 4 4 5" xfId="8277"/>
    <cellStyle name="40% - Ênfase3 4 4 2 3" xfId="8278"/>
    <cellStyle name="40% - Ênfase3 4 4 3 3" xfId="8279"/>
    <cellStyle name="40% - Ênfase3 4 5 3" xfId="8280"/>
    <cellStyle name="40% - Ênfase3 4 6 3" xfId="8281"/>
    <cellStyle name="40% - Ênfase3 4 7 3" xfId="8282"/>
    <cellStyle name="40% - Ênfase3 5 7" xfId="8283"/>
    <cellStyle name="40% - Ênfase3 5 2 5" xfId="8284"/>
    <cellStyle name="40% - Ênfase3 5 2 2 3" xfId="8285"/>
    <cellStyle name="40% - Ênfase3 5 2 3 3" xfId="8286"/>
    <cellStyle name="40% - Ênfase3 5 3 3" xfId="8287"/>
    <cellStyle name="40% - Ênfase3 5 4 3" xfId="8288"/>
    <cellStyle name="40% - Ênfase3 5 5 3" xfId="8289"/>
    <cellStyle name="40% - Ênfase3 6 6" xfId="8290"/>
    <cellStyle name="40% - Ênfase3 6 2 5" xfId="8291"/>
    <cellStyle name="40% - Ênfase3 6 2 2 3" xfId="8292"/>
    <cellStyle name="40% - Ênfase3 6 2 3 3" xfId="8293"/>
    <cellStyle name="40% - Ênfase3 6 3 3" xfId="8294"/>
    <cellStyle name="40% - Ênfase3 6 4 3" xfId="8295"/>
    <cellStyle name="40% - Ênfase3 8 5" xfId="8296"/>
    <cellStyle name="40% - Ênfase3 8 2 3" xfId="8297"/>
    <cellStyle name="40% - Ênfase3 8 3 3" xfId="8298"/>
    <cellStyle name="40% - Ênfase4 2 2 7" xfId="8299"/>
    <cellStyle name="40% - Ênfase4 2 2 2 5" xfId="8300"/>
    <cellStyle name="40% - Ênfase4 2 2 2 2 3" xfId="8301"/>
    <cellStyle name="40% - Ênfase4 2 2 2 3 3" xfId="8302"/>
    <cellStyle name="40% - Ênfase4 2 2 3 3" xfId="8303"/>
    <cellStyle name="40% - Ênfase4 2 2 4 3" xfId="8304"/>
    <cellStyle name="40% - Ênfase4 2 2 5 3" xfId="8305"/>
    <cellStyle name="40% - Ênfase4 2 3 6" xfId="8306"/>
    <cellStyle name="40% - Ênfase4 2 3 2 5" xfId="8307"/>
    <cellStyle name="40% - Ênfase4 2 3 2 2 3" xfId="8308"/>
    <cellStyle name="40% - Ênfase4 2 3 2 3 3" xfId="8309"/>
    <cellStyle name="40% - Ênfase4 2 3 3 3" xfId="8310"/>
    <cellStyle name="40% - Ênfase4 2 3 4 3" xfId="8311"/>
    <cellStyle name="40% - Ênfase4 2 5 5" xfId="8312"/>
    <cellStyle name="40% - Ênfase4 2 5 2 3" xfId="8313"/>
    <cellStyle name="40% - Ênfase4 2 5 3 3" xfId="8314"/>
    <cellStyle name="40% - Ênfase4 3 9" xfId="8315"/>
    <cellStyle name="40% - Ênfase4 3 2 6" xfId="8316"/>
    <cellStyle name="40% - Ênfase4 3 2 2 5" xfId="8317"/>
    <cellStyle name="40% - Ênfase4 3 2 2 2 3" xfId="8318"/>
    <cellStyle name="40% - Ênfase4 3 2 2 3 3" xfId="8319"/>
    <cellStyle name="40% - Ênfase4 3 2 3 3" xfId="8320"/>
    <cellStyle name="40% - Ênfase4 3 2 4 3" xfId="8321"/>
    <cellStyle name="40% - Ênfase4 3 3 5" xfId="8322"/>
    <cellStyle name="40% - Ênfase4 3 3 2 3" xfId="8323"/>
    <cellStyle name="40% - Ênfase4 3 3 3 3" xfId="8324"/>
    <cellStyle name="40% - Ênfase4 3 4 5" xfId="8325"/>
    <cellStyle name="40% - Ênfase4 3 4 2 3" xfId="8326"/>
    <cellStyle name="40% - Ênfase4 3 4 3 3" xfId="8327"/>
    <cellStyle name="40% - Ênfase4 3 5 3" xfId="8328"/>
    <cellStyle name="40% - Ênfase4 3 6 3" xfId="8329"/>
    <cellStyle name="40% - Ênfase4 3 7 3" xfId="8330"/>
    <cellStyle name="40% - Ênfase4 4 9" xfId="8331"/>
    <cellStyle name="40% - Ênfase4 4 2 6" xfId="8332"/>
    <cellStyle name="40% - Ênfase4 4 2 2 5" xfId="8333"/>
    <cellStyle name="40% - Ênfase4 4 2 2 2 3" xfId="8334"/>
    <cellStyle name="40% - Ênfase4 4 2 2 3 3" xfId="8335"/>
    <cellStyle name="40% - Ênfase4 4 2 3 3" xfId="8336"/>
    <cellStyle name="40% - Ênfase4 4 2 4 3" xfId="8337"/>
    <cellStyle name="40% - Ênfase4 4 3 5" xfId="8338"/>
    <cellStyle name="40% - Ênfase4 4 3 2 3" xfId="8339"/>
    <cellStyle name="40% - Ênfase4 4 3 3 3" xfId="8340"/>
    <cellStyle name="40% - Ênfase4 4 4 5" xfId="8341"/>
    <cellStyle name="40% - Ênfase4 4 4 2 3" xfId="8342"/>
    <cellStyle name="40% - Ênfase4 4 4 3 3" xfId="8343"/>
    <cellStyle name="40% - Ênfase4 4 5 3" xfId="8344"/>
    <cellStyle name="40% - Ênfase4 4 6 3" xfId="8345"/>
    <cellStyle name="40% - Ênfase4 4 7 3" xfId="8346"/>
    <cellStyle name="40% - Ênfase4 5 7" xfId="8347"/>
    <cellStyle name="40% - Ênfase4 5 2 5" xfId="8348"/>
    <cellStyle name="40% - Ênfase4 5 2 2 3" xfId="8349"/>
    <cellStyle name="40% - Ênfase4 5 2 3 3" xfId="8350"/>
    <cellStyle name="40% - Ênfase4 5 3 3" xfId="8351"/>
    <cellStyle name="40% - Ênfase4 5 4 3" xfId="8352"/>
    <cellStyle name="40% - Ênfase4 5 5 3" xfId="8353"/>
    <cellStyle name="40% - Ênfase4 6 6" xfId="8354"/>
    <cellStyle name="40% - Ênfase4 6 2 5" xfId="8355"/>
    <cellStyle name="40% - Ênfase4 6 2 2 3" xfId="8356"/>
    <cellStyle name="40% - Ênfase4 6 2 3 3" xfId="8357"/>
    <cellStyle name="40% - Ênfase4 6 3 3" xfId="8358"/>
    <cellStyle name="40% - Ênfase4 6 4 3" xfId="8359"/>
    <cellStyle name="40% - Ênfase4 8 5" xfId="8360"/>
    <cellStyle name="40% - Ênfase4 8 2 3" xfId="8361"/>
    <cellStyle name="40% - Ênfase4 8 3 3" xfId="8362"/>
    <cellStyle name="40% - Ênfase5 2 2 7" xfId="8363"/>
    <cellStyle name="40% - Ênfase5 2 2 2 5" xfId="8364"/>
    <cellStyle name="40% - Ênfase5 2 2 2 2 3" xfId="8365"/>
    <cellStyle name="40% - Ênfase5 2 2 2 3 3" xfId="8366"/>
    <cellStyle name="40% - Ênfase5 2 2 3 3" xfId="8367"/>
    <cellStyle name="40% - Ênfase5 2 2 4 3" xfId="8368"/>
    <cellStyle name="40% - Ênfase5 2 2 5 3" xfId="8369"/>
    <cellStyle name="40% - Ênfase5 2 3 6" xfId="8370"/>
    <cellStyle name="40% - Ênfase5 2 3 2 5" xfId="8371"/>
    <cellStyle name="40% - Ênfase5 2 3 2 2 3" xfId="8372"/>
    <cellStyle name="40% - Ênfase5 2 3 2 3 3" xfId="8373"/>
    <cellStyle name="40% - Ênfase5 2 3 3 3" xfId="8374"/>
    <cellStyle name="40% - Ênfase5 2 3 4 3" xfId="8375"/>
    <cellStyle name="40% - Ênfase5 2 5 5" xfId="8376"/>
    <cellStyle name="40% - Ênfase5 2 5 2 3" xfId="8377"/>
    <cellStyle name="40% - Ênfase5 2 5 3 3" xfId="8378"/>
    <cellStyle name="40% - Ênfase5 3 9" xfId="8379"/>
    <cellStyle name="40% - Ênfase5 3 2 6" xfId="8380"/>
    <cellStyle name="40% - Ênfase5 3 2 2 5" xfId="8381"/>
    <cellStyle name="40% - Ênfase5 3 2 2 2 3" xfId="8382"/>
    <cellStyle name="40% - Ênfase5 3 2 2 3 3" xfId="8383"/>
    <cellStyle name="40% - Ênfase5 3 2 3 3" xfId="8384"/>
    <cellStyle name="40% - Ênfase5 3 2 4 3" xfId="8385"/>
    <cellStyle name="40% - Ênfase5 3 3 5" xfId="8386"/>
    <cellStyle name="40% - Ênfase5 3 3 2 3" xfId="8387"/>
    <cellStyle name="40% - Ênfase5 3 3 3 3" xfId="8388"/>
    <cellStyle name="40% - Ênfase5 3 4 5" xfId="8389"/>
    <cellStyle name="40% - Ênfase5 3 4 2 3" xfId="8390"/>
    <cellStyle name="40% - Ênfase5 3 4 3 3" xfId="8391"/>
    <cellStyle name="40% - Ênfase5 3 5 3" xfId="8392"/>
    <cellStyle name="40% - Ênfase5 3 6 3" xfId="8393"/>
    <cellStyle name="40% - Ênfase5 3 7 3" xfId="8394"/>
    <cellStyle name="40% - Ênfase5 4 9" xfId="8395"/>
    <cellStyle name="40% - Ênfase5 4 2 6" xfId="8396"/>
    <cellStyle name="40% - Ênfase5 4 2 2 5" xfId="8397"/>
    <cellStyle name="40% - Ênfase5 4 2 2 2 3" xfId="8398"/>
    <cellStyle name="40% - Ênfase5 4 2 2 3 3" xfId="8399"/>
    <cellStyle name="40% - Ênfase5 4 2 3 3" xfId="8400"/>
    <cellStyle name="40% - Ênfase5 4 2 4 3" xfId="8401"/>
    <cellStyle name="40% - Ênfase5 4 3 5" xfId="8402"/>
    <cellStyle name="40% - Ênfase5 4 3 2 3" xfId="8403"/>
    <cellStyle name="40% - Ênfase5 4 3 3 3" xfId="8404"/>
    <cellStyle name="40% - Ênfase5 4 4 5" xfId="8405"/>
    <cellStyle name="40% - Ênfase5 4 4 2 3" xfId="8406"/>
    <cellStyle name="40% - Ênfase5 4 4 3 3" xfId="8407"/>
    <cellStyle name="40% - Ênfase5 4 5 3" xfId="8408"/>
    <cellStyle name="40% - Ênfase5 4 6 3" xfId="8409"/>
    <cellStyle name="40% - Ênfase5 4 7 3" xfId="8410"/>
    <cellStyle name="40% - Ênfase5 5 7" xfId="8411"/>
    <cellStyle name="40% - Ênfase5 5 2 5" xfId="8412"/>
    <cellStyle name="40% - Ênfase5 5 2 2 3" xfId="8413"/>
    <cellStyle name="40% - Ênfase5 5 2 3 3" xfId="8414"/>
    <cellStyle name="40% - Ênfase5 5 3 3" xfId="8415"/>
    <cellStyle name="40% - Ênfase5 5 4 3" xfId="8416"/>
    <cellStyle name="40% - Ênfase5 5 5 3" xfId="8417"/>
    <cellStyle name="40% - Ênfase5 6 6" xfId="8418"/>
    <cellStyle name="40% - Ênfase5 6 2 5" xfId="8419"/>
    <cellStyle name="40% - Ênfase5 6 2 2 3" xfId="8420"/>
    <cellStyle name="40% - Ênfase5 6 2 3 3" xfId="8421"/>
    <cellStyle name="40% - Ênfase5 6 3 3" xfId="8422"/>
    <cellStyle name="40% - Ênfase5 6 4 3" xfId="8423"/>
    <cellStyle name="40% - Ênfase5 8 5" xfId="8424"/>
    <cellStyle name="40% - Ênfase5 8 2 3" xfId="8425"/>
    <cellStyle name="40% - Ênfase5 8 3 3" xfId="8426"/>
    <cellStyle name="40% - Ênfase6 2 2 7" xfId="8427"/>
    <cellStyle name="40% - Ênfase6 2 2 2 5" xfId="8428"/>
    <cellStyle name="40% - Ênfase6 2 2 2 2 3" xfId="8429"/>
    <cellStyle name="40% - Ênfase6 2 2 2 3 3" xfId="8430"/>
    <cellStyle name="40% - Ênfase6 2 2 3 3" xfId="8431"/>
    <cellStyle name="40% - Ênfase6 2 2 4 3" xfId="8432"/>
    <cellStyle name="40% - Ênfase6 2 2 5 3" xfId="8433"/>
    <cellStyle name="40% - Ênfase6 2 3 6" xfId="8434"/>
    <cellStyle name="40% - Ênfase6 2 3 2 5" xfId="8435"/>
    <cellStyle name="40% - Ênfase6 2 3 2 2 3" xfId="8436"/>
    <cellStyle name="40% - Ênfase6 2 3 2 3 3" xfId="8437"/>
    <cellStyle name="40% - Ênfase6 2 3 3 3" xfId="8438"/>
    <cellStyle name="40% - Ênfase6 2 3 4 3" xfId="8439"/>
    <cellStyle name="40% - Ênfase6 2 5 5" xfId="8440"/>
    <cellStyle name="40% - Ênfase6 2 5 2 3" xfId="8441"/>
    <cellStyle name="40% - Ênfase6 2 5 3 3" xfId="8442"/>
    <cellStyle name="40% - Ênfase6 3 9" xfId="8443"/>
    <cellStyle name="40% - Ênfase6 3 2 6" xfId="8444"/>
    <cellStyle name="40% - Ênfase6 3 2 2 5" xfId="8445"/>
    <cellStyle name="40% - Ênfase6 3 2 2 2 3" xfId="8446"/>
    <cellStyle name="40% - Ênfase6 3 2 2 3 3" xfId="8447"/>
    <cellStyle name="40% - Ênfase6 3 2 3 3" xfId="8448"/>
    <cellStyle name="40% - Ênfase6 3 2 4 3" xfId="8449"/>
    <cellStyle name="40% - Ênfase6 3 3 5" xfId="8450"/>
    <cellStyle name="40% - Ênfase6 3 3 2 3" xfId="8451"/>
    <cellStyle name="40% - Ênfase6 3 3 3 3" xfId="8452"/>
    <cellStyle name="40% - Ênfase6 3 4 5" xfId="8453"/>
    <cellStyle name="40% - Ênfase6 3 4 2 3" xfId="8454"/>
    <cellStyle name="40% - Ênfase6 3 4 3 3" xfId="8455"/>
    <cellStyle name="40% - Ênfase6 3 5 3" xfId="8456"/>
    <cellStyle name="40% - Ênfase6 3 6 3" xfId="8457"/>
    <cellStyle name="40% - Ênfase6 3 7 3" xfId="8458"/>
    <cellStyle name="40% - Ênfase6 4 9" xfId="8459"/>
    <cellStyle name="40% - Ênfase6 4 2 6" xfId="8460"/>
    <cellStyle name="40% - Ênfase6 4 2 2 5" xfId="8461"/>
    <cellStyle name="40% - Ênfase6 4 2 2 2 3" xfId="8462"/>
    <cellStyle name="40% - Ênfase6 4 2 2 3 3" xfId="8463"/>
    <cellStyle name="40% - Ênfase6 4 2 3 3" xfId="8464"/>
    <cellStyle name="40% - Ênfase6 4 2 4 3" xfId="8465"/>
    <cellStyle name="40% - Ênfase6 4 3 5" xfId="8466"/>
    <cellStyle name="40% - Ênfase6 4 3 2 3" xfId="8467"/>
    <cellStyle name="40% - Ênfase6 4 3 3 3" xfId="8468"/>
    <cellStyle name="40% - Ênfase6 4 4 5" xfId="8469"/>
    <cellStyle name="40% - Ênfase6 4 4 2 3" xfId="8470"/>
    <cellStyle name="40% - Ênfase6 4 4 3 3" xfId="8471"/>
    <cellStyle name="40% - Ênfase6 4 5 3" xfId="8472"/>
    <cellStyle name="40% - Ênfase6 4 6 3" xfId="8473"/>
    <cellStyle name="40% - Ênfase6 4 7 3" xfId="8474"/>
    <cellStyle name="40% - Ênfase6 5 7" xfId="8475"/>
    <cellStyle name="40% - Ênfase6 5 2 5" xfId="8476"/>
    <cellStyle name="40% - Ênfase6 5 2 2 3" xfId="8477"/>
    <cellStyle name="40% - Ênfase6 5 2 3 3" xfId="8478"/>
    <cellStyle name="40% - Ênfase6 5 3 3" xfId="8479"/>
    <cellStyle name="40% - Ênfase6 5 4 3" xfId="8480"/>
    <cellStyle name="40% - Ênfase6 5 5 3" xfId="8481"/>
    <cellStyle name="40% - Ênfase6 6 6" xfId="8482"/>
    <cellStyle name="40% - Ênfase6 6 2 5" xfId="8483"/>
    <cellStyle name="40% - Ênfase6 6 2 2 3" xfId="8484"/>
    <cellStyle name="40% - Ênfase6 6 2 3 3" xfId="8485"/>
    <cellStyle name="40% - Ênfase6 6 3 3" xfId="8486"/>
    <cellStyle name="40% - Ênfase6 6 4 3" xfId="8487"/>
    <cellStyle name="40% - Ênfase6 8 5" xfId="8488"/>
    <cellStyle name="40% - Ênfase6 8 2 3" xfId="8489"/>
    <cellStyle name="40% - Ênfase6 8 3 3" xfId="8490"/>
    <cellStyle name="Normal 3 3 5" xfId="8491"/>
    <cellStyle name="Normal 3 3 2 3" xfId="8492"/>
    <cellStyle name="Normal 3 3 3 3" xfId="8493"/>
    <cellStyle name="Normal 3 4 3" xfId="8494"/>
    <cellStyle name="Normal 3 5 3" xfId="8495"/>
    <cellStyle name="Normal 3 6 3" xfId="8496"/>
    <cellStyle name="Normal 4 2 7" xfId="8497"/>
    <cellStyle name="Normal 4 2 2 5" xfId="8498"/>
    <cellStyle name="Normal 4 2 2 2 3" xfId="8499"/>
    <cellStyle name="Normal 4 2 2 3 3" xfId="8500"/>
    <cellStyle name="Normal 4 2 3 3" xfId="8501"/>
    <cellStyle name="Normal 4 2 4 3" xfId="8502"/>
    <cellStyle name="Normal 4 2 5 3" xfId="8503"/>
    <cellStyle name="Normal 4 3 6" xfId="8504"/>
    <cellStyle name="Normal 4 3 2 5" xfId="8505"/>
    <cellStyle name="Normal 4 3 2 2 3" xfId="8506"/>
    <cellStyle name="Normal 4 3 2 3 3" xfId="8507"/>
    <cellStyle name="Normal 4 3 3 3" xfId="8508"/>
    <cellStyle name="Normal 4 3 4 3" xfId="8509"/>
    <cellStyle name="Normal 4 5 5" xfId="8510"/>
    <cellStyle name="Normal 4 5 2 3" xfId="8511"/>
    <cellStyle name="Normal 4 5 3 3" xfId="8512"/>
    <cellStyle name="Normal 5 2 8" xfId="8513"/>
    <cellStyle name="Normal 5 2 2 5" xfId="8514"/>
    <cellStyle name="Normal 5 2 2 2 3" xfId="8515"/>
    <cellStyle name="Normal 5 2 2 3 3" xfId="8516"/>
    <cellStyle name="Normal 5 2 3 3" xfId="8517"/>
    <cellStyle name="Normal 5 2 4 3" xfId="8518"/>
    <cellStyle name="Normal 5 2 5 3" xfId="8519"/>
    <cellStyle name="Normal 5 3 6" xfId="8520"/>
    <cellStyle name="Normal 5 3 2 5" xfId="8521"/>
    <cellStyle name="Normal 5 3 2 2 3" xfId="8522"/>
    <cellStyle name="Normal 5 3 2 3 3" xfId="8523"/>
    <cellStyle name="Normal 5 3 3 3" xfId="8524"/>
    <cellStyle name="Normal 5 3 4 3" xfId="8525"/>
    <cellStyle name="Normal 5 5 5" xfId="8526"/>
    <cellStyle name="Normal 5 5 2 3" xfId="8527"/>
    <cellStyle name="Normal 5 5 3 3" xfId="8528"/>
    <cellStyle name="Normal 6 4 3" xfId="8529"/>
    <cellStyle name="Normal 7 2 6 2" xfId="8530"/>
    <cellStyle name="Normal 7 2 2 4 2" xfId="8531"/>
    <cellStyle name="Normal 7 2 2 2 3" xfId="8532"/>
    <cellStyle name="Normal 7 2 2 3 3" xfId="8533"/>
    <cellStyle name="Normal 7 2 3 3" xfId="8534"/>
    <cellStyle name="Normal 7 2 4 3" xfId="8535"/>
    <cellStyle name="Normal 7 2 5 3" xfId="8536"/>
    <cellStyle name="Normal 7 3 5 2" xfId="8537"/>
    <cellStyle name="Normal 7 3 2 5" xfId="8538"/>
    <cellStyle name="Normal 7 3 2 2 3" xfId="8539"/>
    <cellStyle name="Normal 7 3 2 3 3" xfId="8540"/>
    <cellStyle name="Normal 7 3 3 3" xfId="8541"/>
    <cellStyle name="Normal 7 3 4 3" xfId="8542"/>
    <cellStyle name="Normal 7 5 5" xfId="8543"/>
    <cellStyle name="Normal 7 5 2 3" xfId="8544"/>
    <cellStyle name="Normal 7 5 3 3" xfId="8545"/>
    <cellStyle name="Normal 8 9 2" xfId="8546"/>
    <cellStyle name="Normal 8 2 5 2" xfId="8547"/>
    <cellStyle name="Normal 8 2 2 4 2" xfId="8548"/>
    <cellStyle name="Normal 8 2 2 2 3" xfId="8549"/>
    <cellStyle name="Normal 8 2 2 3 3" xfId="8550"/>
    <cellStyle name="Normal 8 2 3 3" xfId="8551"/>
    <cellStyle name="Normal 8 2 4 3" xfId="8552"/>
    <cellStyle name="Normal 8 3 4 2" xfId="8553"/>
    <cellStyle name="Normal 8 3 2 2 2" xfId="8554"/>
    <cellStyle name="Normal 8 3 3 3" xfId="8555"/>
    <cellStyle name="Normal 8 4 4 2" xfId="8556"/>
    <cellStyle name="Normal 8 4 2 2 2" xfId="8557"/>
    <cellStyle name="Normal 8 4 3 3" xfId="8558"/>
    <cellStyle name="Normal 8 5 4 2" xfId="8559"/>
    <cellStyle name="Normal 8 6 2 2" xfId="8560"/>
    <cellStyle name="Normal 8 7 3" xfId="8561"/>
    <cellStyle name="Nota 2 2 7" xfId="8562"/>
    <cellStyle name="Nota 2 2 2 5" xfId="8563"/>
    <cellStyle name="Nota 2 2 2 2 3" xfId="8564"/>
    <cellStyle name="Nota 2 2 2 3 3" xfId="8565"/>
    <cellStyle name="Nota 2 2 3 3" xfId="8566"/>
    <cellStyle name="Nota 2 2 4 3" xfId="8567"/>
    <cellStyle name="Nota 2 2 5 3" xfId="8568"/>
    <cellStyle name="Nota 2 3 6" xfId="8569"/>
    <cellStyle name="Nota 2 3 2 5" xfId="8570"/>
    <cellStyle name="Nota 2 3 2 2 3" xfId="8571"/>
    <cellStyle name="Nota 2 3 2 3 3" xfId="8572"/>
    <cellStyle name="Nota 2 3 3 3" xfId="8573"/>
    <cellStyle name="Nota 2 3 4 3" xfId="8574"/>
    <cellStyle name="Nota 2 5 5" xfId="8575"/>
    <cellStyle name="Nota 2 5 2 3" xfId="8576"/>
    <cellStyle name="Nota 2 5 3 3" xfId="8577"/>
    <cellStyle name="Nota 3 2 7" xfId="8578"/>
    <cellStyle name="Nota 3 2 2 5" xfId="8579"/>
    <cellStyle name="Nota 3 2 2 2 3" xfId="8580"/>
    <cellStyle name="Nota 3 2 2 3 3" xfId="8581"/>
    <cellStyle name="Nota 3 2 3 3" xfId="8582"/>
    <cellStyle name="Nota 3 2 4 3" xfId="8583"/>
    <cellStyle name="Nota 3 2 5 3" xfId="8584"/>
    <cellStyle name="Nota 3 3 6" xfId="8585"/>
    <cellStyle name="Nota 3 3 2 5" xfId="8586"/>
    <cellStyle name="Nota 3 3 2 2 3" xfId="8587"/>
    <cellStyle name="Nota 3 3 2 3 3" xfId="8588"/>
    <cellStyle name="Nota 3 3 3 3" xfId="8589"/>
    <cellStyle name="Nota 3 3 4 3" xfId="8590"/>
    <cellStyle name="Nota 3 5 5" xfId="8591"/>
    <cellStyle name="Nota 3 5 2 3" xfId="8592"/>
    <cellStyle name="Nota 3 5 3 3" xfId="8593"/>
    <cellStyle name="Nota 4 8 2" xfId="8594"/>
    <cellStyle name="Nota 4 2 6" xfId="8595"/>
    <cellStyle name="Nota 4 2 2 5" xfId="8596"/>
    <cellStyle name="Nota 4 2 2 2 3" xfId="8597"/>
    <cellStyle name="Nota 4 2 2 3 3" xfId="8598"/>
    <cellStyle name="Nota 4 2 3 3" xfId="8599"/>
    <cellStyle name="Nota 4 2 4 3" xfId="8600"/>
    <cellStyle name="Nota 4 3 5" xfId="8601"/>
    <cellStyle name="Nota 4 3 2 3" xfId="8602"/>
    <cellStyle name="Nota 4 3 3 3" xfId="8603"/>
    <cellStyle name="Nota 4 4 5" xfId="8604"/>
    <cellStyle name="Nota 4 4 2 3" xfId="8605"/>
    <cellStyle name="Nota 4 4 3 3" xfId="8606"/>
    <cellStyle name="Nota 4 5 3" xfId="8607"/>
    <cellStyle name="Nota 4 6 3" xfId="8608"/>
    <cellStyle name="Nota 4 7 3" xfId="8609"/>
    <cellStyle name="Nota 5 9" xfId="8610"/>
    <cellStyle name="Nota 5 2 6" xfId="8611"/>
    <cellStyle name="Nota 5 2 2 5" xfId="8612"/>
    <cellStyle name="Nota 5 2 2 2 3" xfId="8613"/>
    <cellStyle name="Nota 5 2 2 3 3" xfId="8614"/>
    <cellStyle name="Nota 5 2 3 3" xfId="8615"/>
    <cellStyle name="Nota 5 2 4 3" xfId="8616"/>
    <cellStyle name="Nota 5 3 5" xfId="8617"/>
    <cellStyle name="Nota 5 3 2 3" xfId="8618"/>
    <cellStyle name="Nota 5 3 3 3" xfId="8619"/>
    <cellStyle name="Nota 5 4 5" xfId="8620"/>
    <cellStyle name="Nota 5 4 2 3" xfId="8621"/>
    <cellStyle name="Nota 5 4 3 3" xfId="8622"/>
    <cellStyle name="Nota 5 5 3" xfId="8623"/>
    <cellStyle name="Nota 5 6 3" xfId="8624"/>
    <cellStyle name="Nota 5 7 3" xfId="8625"/>
    <cellStyle name="Separador de milhares 2 2 4 2" xfId="8626"/>
    <cellStyle name="Separador de milhares 2 2 2 2" xfId="8627"/>
    <cellStyle name="Separador de milhares 2 2 3 2" xfId="8628"/>
    <cellStyle name="Separador de milhares 2 3 2 2" xfId="8629"/>
    <cellStyle name="Separador de milhares 2 4 2" xfId="8630"/>
    <cellStyle name="Separador de milhares 2 5 2" xfId="8631"/>
    <cellStyle name="Separador de milhares 2 6 2" xfId="8632"/>
    <cellStyle name="Separador de milhares 3 2 4 2" xfId="8633"/>
    <cellStyle name="Separador de milhares 3 2 2 2" xfId="8634"/>
    <cellStyle name="Separador de milhares 3 2 3 2" xfId="8635"/>
    <cellStyle name="Separador de milhares 3 4 2 2" xfId="8636"/>
    <cellStyle name="Separador de milhares 4 4 2" xfId="8637"/>
    <cellStyle name="Separador de milhares 4 2 3 2" xfId="8638"/>
    <cellStyle name="Separador de milhares 4 2 2 2" xfId="8639"/>
    <cellStyle name="Separador de milhares 4 3 2 2" xfId="8640"/>
    <cellStyle name="Separador de milhares 5 2 3 2" xfId="8641"/>
    <cellStyle name="Separador de milhares 5 2 2 2" xfId="8642"/>
    <cellStyle name="Separador de milhares 5 3 2 2" xfId="8643"/>
    <cellStyle name="Separador de milhares 5 4 2" xfId="8644"/>
    <cellStyle name="Separador de milhares 6 5 2" xfId="8645"/>
    <cellStyle name="Separador de milhares 6 2 3 2" xfId="8646"/>
    <cellStyle name="Separador de milhares 6 2 2 2" xfId="8647"/>
    <cellStyle name="Separador de milhares 6 3 2 2" xfId="8648"/>
    <cellStyle name="Separador de milhares 6 4 2" xfId="8649"/>
    <cellStyle name="Separador de milhares 7 3 2 2" xfId="8650"/>
    <cellStyle name="Vírgula 2 6 2" xfId="8651"/>
    <cellStyle name="Vírgula 2 2 3" xfId="8652"/>
    <cellStyle name="Vírgula 2 2 2 2" xfId="8653"/>
    <cellStyle name="Vírgula 2 3 3" xfId="8654"/>
    <cellStyle name="Vírgula 2 3 2 2" xfId="8655"/>
    <cellStyle name="Vírgula 2 4 2" xfId="8656"/>
    <cellStyle name="Vírgula 2 5 2" xfId="8657"/>
    <cellStyle name="Vírgula 3 4 2" xfId="8658"/>
    <cellStyle name="Vírgula 3 2 2" xfId="8659"/>
    <cellStyle name="Vírgula 3 3 2" xfId="8660"/>
    <cellStyle name="Vírgula 4 4 2" xfId="8661"/>
    <cellStyle name="Vírgula 4 2 3 2" xfId="8662"/>
    <cellStyle name="Vírgula 4 2 2 2 2" xfId="8663"/>
    <cellStyle name="Vírgula 4 3 2" xfId="8664"/>
    <cellStyle name="Vírgula 5 3 2" xfId="8665"/>
    <cellStyle name="Vírgula 5 2 2" xfId="8666"/>
    <cellStyle name="Vírgula 6 2 2" xfId="8667"/>
    <cellStyle name="Vírgula 8 2 2 2" xfId="8668"/>
    <cellStyle name="Vírgula 9 2 2" xfId="8669"/>
    <cellStyle name="Comma 4 3 2" xfId="8670"/>
    <cellStyle name="Normal 13 5" xfId="8671"/>
    <cellStyle name="Comma 5 3 2" xfId="8672"/>
    <cellStyle name="Comma 6 2" xfId="8673"/>
    <cellStyle name="Comma 7 2" xfId="8674"/>
    <cellStyle name="Vírgula 10 5" xfId="8675"/>
    <cellStyle name="Comma 8 2" xfId="8676"/>
    <cellStyle name="Comma 9 2" xfId="8677"/>
    <cellStyle name="Comma 10 2" xfId="8678"/>
    <cellStyle name="Vírgula 10 2 2" xfId="8679"/>
    <cellStyle name="Separador de milhares 2 7 2 2" xfId="8680"/>
    <cellStyle name="Comma 11 2" xfId="8681"/>
    <cellStyle name="Vírgula 10 3 2" xfId="8682"/>
    <cellStyle name="Separador de milhares 2 7 3 2" xfId="8683"/>
    <cellStyle name="Porcentagem 12 3" xfId="8684"/>
    <cellStyle name="Normal 55 2" xfId="8685"/>
    <cellStyle name="Percent 14 2" xfId="8686"/>
    <cellStyle name="Normal 3 9 2" xfId="8687"/>
    <cellStyle name="Vírgula 11 2" xfId="8688"/>
    <cellStyle name="Normal 3 7 2 2" xfId="8689"/>
    <cellStyle name="20% - Ênfase1 5 6 2" xfId="8690"/>
    <cellStyle name="40% - Ênfase1 5 6 2" xfId="8691"/>
    <cellStyle name="20% - Ênfase2 5 6 2" xfId="8692"/>
    <cellStyle name="40% - Ênfase2 5 6 2" xfId="8693"/>
    <cellStyle name="20% - Ênfase3 5 6 2" xfId="8694"/>
    <cellStyle name="40% - Ênfase3 5 6 2" xfId="8695"/>
    <cellStyle name="20% - Ênfase4 5 6 2" xfId="8696"/>
    <cellStyle name="40% - Ênfase4 5 6 2" xfId="8697"/>
    <cellStyle name="20% - Ênfase5 5 6 2" xfId="8698"/>
    <cellStyle name="40% - Ênfase5 5 6 2" xfId="8699"/>
    <cellStyle name="20% - Ênfase6 5 6 2" xfId="8700"/>
    <cellStyle name="40% - Ênfase6 5 6 2" xfId="8701"/>
    <cellStyle name="Normal 4 2 6 2" xfId="8702"/>
    <cellStyle name="Nota 2 2 6 2" xfId="8703"/>
    <cellStyle name="Normal 5 2 7 2" xfId="8704"/>
    <cellStyle name="Nota 3 2 6 2" xfId="8705"/>
    <cellStyle name="20% - Ênfase1 2 2 6 2" xfId="8706"/>
    <cellStyle name="40% - Ênfase1 2 2 6 2" xfId="8707"/>
    <cellStyle name="20% - Ênfase2 2 2 6 2" xfId="8708"/>
    <cellStyle name="40% - Ênfase2 2 2 6 2" xfId="8709"/>
    <cellStyle name="20% - Ênfase3 2 2 6 2" xfId="8710"/>
    <cellStyle name="40% - Ênfase3 2 2 6 2" xfId="8711"/>
    <cellStyle name="20% - Ênfase4 2 2 6 2" xfId="8712"/>
    <cellStyle name="40% - Ênfase4 2 2 6 2" xfId="8713"/>
    <cellStyle name="20% - Ênfase5 2 2 6 2" xfId="8714"/>
    <cellStyle name="40% - Ênfase5 2 2 6 2" xfId="8715"/>
    <cellStyle name="20% - Ênfase6 2 2 6 2" xfId="8716"/>
    <cellStyle name="40% - Ênfase6 2 2 6 2" xfId="8717"/>
    <cellStyle name="Normal 7 2 7 2" xfId="8718"/>
    <cellStyle name="Nota 4 9 2" xfId="8719"/>
    <cellStyle name="20% - Ênfase1 3 8 2" xfId="8720"/>
    <cellStyle name="40% - Ênfase1 3 8 2" xfId="8721"/>
    <cellStyle name="20% - Ênfase2 3 8 2" xfId="8722"/>
    <cellStyle name="40% - Ênfase2 3 8 2" xfId="8723"/>
    <cellStyle name="20% - Ênfase3 3 8 2" xfId="8724"/>
    <cellStyle name="40% - Ênfase3 3 8 2" xfId="8725"/>
    <cellStyle name="20% - Ênfase4 3 8 2" xfId="8726"/>
    <cellStyle name="40% - Ênfase4 3 8 2" xfId="8727"/>
    <cellStyle name="20% - Ênfase5 3 8 2" xfId="8728"/>
    <cellStyle name="40% - Ênfase5 3 8 2" xfId="8729"/>
    <cellStyle name="20% - Ênfase6 3 8 2" xfId="8730"/>
    <cellStyle name="40% - Ênfase6 3 8 2" xfId="8731"/>
    <cellStyle name="Normal 8 12 2" xfId="8732"/>
    <cellStyle name="Nota 5 8 2" xfId="8733"/>
    <cellStyle name="20% - Ênfase1 4 8 2" xfId="8734"/>
    <cellStyle name="40% - Ênfase1 4 8 2" xfId="8735"/>
    <cellStyle name="20% - Ênfase2 4 8 2" xfId="8736"/>
    <cellStyle name="40% - Ênfase2 4 8 2" xfId="8737"/>
    <cellStyle name="20% - Ênfase3 4 8 2" xfId="8738"/>
    <cellStyle name="40% - Ênfase3 4 8 2" xfId="8739"/>
    <cellStyle name="20% - Ênfase4 4 8 2" xfId="8740"/>
    <cellStyle name="40% - Ênfase4 4 8 2" xfId="8741"/>
    <cellStyle name="20% - Ênfase5 4 8 2" xfId="8742"/>
    <cellStyle name="40% - Ênfase5 4 8 2" xfId="8743"/>
    <cellStyle name="20% - Ênfase6 4 8 2" xfId="8744"/>
    <cellStyle name="40% - Ênfase6 4 8 2" xfId="8745"/>
    <cellStyle name="20% - Ênfase1 6 5 2" xfId="8746"/>
    <cellStyle name="40% - Ênfase1 6 5 2" xfId="8747"/>
    <cellStyle name="20% - Ênfase2 6 5 2" xfId="8748"/>
    <cellStyle name="40% - Ênfase2 6 5 2" xfId="8749"/>
    <cellStyle name="20% - Ênfase3 6 5 2" xfId="8750"/>
    <cellStyle name="40% - Ênfase3 6 5 2" xfId="8751"/>
    <cellStyle name="20% - Ênfase4 6 5 2" xfId="8752"/>
    <cellStyle name="40% - Ênfase4 6 5 2" xfId="8753"/>
    <cellStyle name="20% - Ênfase5 6 5 2" xfId="8754"/>
    <cellStyle name="40% - Ênfase5 6 5 2" xfId="8755"/>
    <cellStyle name="20% - Ênfase6 6 5 2" xfId="8756"/>
    <cellStyle name="40% - Ênfase6 6 5 2" xfId="8757"/>
    <cellStyle name="Normal 4 3 5 2" xfId="8758"/>
    <cellStyle name="Nota 2 3 5 2" xfId="8759"/>
    <cellStyle name="Normal 5 3 5 2" xfId="8760"/>
    <cellStyle name="Nota 3 3 5 2" xfId="8761"/>
    <cellStyle name="20% - Ênfase1 2 3 5 2" xfId="8762"/>
    <cellStyle name="40% - Ênfase1 2 3 5 2" xfId="8763"/>
    <cellStyle name="20% - Ênfase2 2 3 5 2" xfId="8764"/>
    <cellStyle name="40% - Ênfase2 2 3 5 2" xfId="8765"/>
    <cellStyle name="20% - Ênfase3 2 3 5 2" xfId="8766"/>
    <cellStyle name="40% - Ênfase3 2 3 5 2" xfId="8767"/>
    <cellStyle name="20% - Ênfase4 2 3 5 2" xfId="8768"/>
    <cellStyle name="40% - Ênfase4 2 3 5 2" xfId="8769"/>
    <cellStyle name="20% - Ênfase5 2 3 5 2" xfId="8770"/>
    <cellStyle name="40% - Ênfase5 2 3 5 2" xfId="8771"/>
    <cellStyle name="20% - Ênfase6 2 3 5 2" xfId="8772"/>
    <cellStyle name="40% - Ênfase6 2 3 5 2" xfId="8773"/>
    <cellStyle name="Normal 7 3 6 2" xfId="8774"/>
    <cellStyle name="Nota 4 2 5 2" xfId="8775"/>
    <cellStyle name="20% - Ênfase1 3 2 5 2" xfId="8776"/>
    <cellStyle name="40% - Ênfase1 3 2 5 2" xfId="8777"/>
    <cellStyle name="20% - Ênfase2 3 2 5 2" xfId="8778"/>
    <cellStyle name="40% - Ênfase2 3 2 5 2" xfId="8779"/>
    <cellStyle name="20% - Ênfase3 3 2 5 2" xfId="8780"/>
    <cellStyle name="40% - Ênfase3 3 2 5 2" xfId="8781"/>
    <cellStyle name="20% - Ênfase4 3 2 5 2" xfId="8782"/>
    <cellStyle name="40% - Ênfase4 3 2 5 2" xfId="8783"/>
    <cellStyle name="20% - Ênfase5 3 2 5 2" xfId="8784"/>
    <cellStyle name="40% - Ênfase5 3 2 5 2" xfId="8785"/>
    <cellStyle name="20% - Ênfase6 3 2 5 2" xfId="8786"/>
    <cellStyle name="40% - Ênfase6 3 2 5 2" xfId="8787"/>
    <cellStyle name="Normal 8 2 6 2" xfId="8788"/>
    <cellStyle name="Nota 5 2 5 2" xfId="8789"/>
    <cellStyle name="20% - Ênfase1 4 2 5 2" xfId="8790"/>
    <cellStyle name="40% - Ênfase1 4 2 5 2" xfId="8791"/>
    <cellStyle name="20% - Ênfase2 4 2 5 2" xfId="8792"/>
    <cellStyle name="40% - Ênfase2 4 2 5 2" xfId="8793"/>
    <cellStyle name="20% - Ênfase3 4 2 5 2" xfId="8794"/>
    <cellStyle name="40% - Ênfase3 4 2 5 2" xfId="8795"/>
    <cellStyle name="20% - Ênfase4 4 2 5 2" xfId="8796"/>
    <cellStyle name="40% - Ênfase4 4 2 5 2" xfId="8797"/>
    <cellStyle name="20% - Ênfase5 4 2 5 2" xfId="8798"/>
    <cellStyle name="40% - Ênfase5 4 2 5 2" xfId="8799"/>
    <cellStyle name="20% - Ênfase6 4 2 5 2" xfId="8800"/>
    <cellStyle name="40% - Ênfase6 4 2 5 2" xfId="8801"/>
    <cellStyle name="20% - Ênfase1 8 4 2" xfId="8802"/>
    <cellStyle name="40% - Ênfase1 8 4 2" xfId="8803"/>
    <cellStyle name="20% - Ênfase2 8 4 2" xfId="8804"/>
    <cellStyle name="40% - Ênfase2 8 4 2" xfId="8805"/>
    <cellStyle name="20% - Ênfase3 8 4 2" xfId="8806"/>
    <cellStyle name="40% - Ênfase3 8 4 2" xfId="8807"/>
    <cellStyle name="20% - Ênfase4 8 4 2" xfId="8808"/>
    <cellStyle name="40% - Ênfase4 8 4 2" xfId="8809"/>
    <cellStyle name="20% - Ênfase5 8 4 2" xfId="8810"/>
    <cellStyle name="40% - Ênfase5 8 4 2" xfId="8811"/>
    <cellStyle name="20% - Ênfase6 8 4 2" xfId="8812"/>
    <cellStyle name="40% - Ênfase6 8 4 2" xfId="8813"/>
    <cellStyle name="Normal 4 5 4 2" xfId="8814"/>
    <cellStyle name="Nota 2 5 4 2" xfId="8815"/>
    <cellStyle name="Normal 5 5 4 2" xfId="8816"/>
    <cellStyle name="Nota 3 5 4 2" xfId="8817"/>
    <cellStyle name="20% - Ênfase1 2 5 4 2" xfId="8818"/>
    <cellStyle name="40% - Ênfase1 2 5 4 2" xfId="8819"/>
    <cellStyle name="20% - Ênfase2 2 5 4 2" xfId="8820"/>
    <cellStyle name="40% - Ênfase2 2 5 4 2" xfId="8821"/>
    <cellStyle name="20% - Ênfase3 2 5 4 2" xfId="8822"/>
    <cellStyle name="40% - Ênfase3 2 5 4 2" xfId="8823"/>
    <cellStyle name="20% - Ênfase4 2 5 4 2" xfId="8824"/>
    <cellStyle name="40% - Ênfase4 2 5 4 2" xfId="8825"/>
    <cellStyle name="20% - Ênfase5 2 5 4 2" xfId="8826"/>
    <cellStyle name="40% - Ênfase5 2 5 4 2" xfId="8827"/>
    <cellStyle name="20% - Ênfase6 2 5 4 2" xfId="8828"/>
    <cellStyle name="40% - Ênfase6 2 5 4 2" xfId="8829"/>
    <cellStyle name="Normal 7 5 4 2" xfId="8830"/>
    <cellStyle name="Nota 4 4 4 2" xfId="8831"/>
    <cellStyle name="20% - Ênfase1 3 4 4 2" xfId="8832"/>
    <cellStyle name="40% - Ênfase1 3 4 4 2" xfId="8833"/>
    <cellStyle name="20% - Ênfase2 3 4 4 2" xfId="8834"/>
    <cellStyle name="40% - Ênfase2 3 4 4 2" xfId="8835"/>
    <cellStyle name="20% - Ênfase3 3 4 4 2" xfId="8836"/>
    <cellStyle name="40% - Ênfase3 3 4 4 2" xfId="8837"/>
    <cellStyle name="20% - Ênfase4 3 4 4 2" xfId="8838"/>
    <cellStyle name="40% - Ênfase4 3 4 4 2" xfId="8839"/>
    <cellStyle name="20% - Ênfase5 3 4 4 2" xfId="8840"/>
    <cellStyle name="40% - Ênfase5 3 4 4 2" xfId="8841"/>
    <cellStyle name="20% - Ênfase6 3 4 4 2" xfId="8842"/>
    <cellStyle name="40% - Ênfase6 3 4 4 2" xfId="8843"/>
    <cellStyle name="Normal 8 4 5 2" xfId="8844"/>
    <cellStyle name="Nota 5 4 4 2" xfId="8845"/>
    <cellStyle name="20% - Ênfase1 4 4 4 2" xfId="8846"/>
    <cellStyle name="40% - Ênfase1 4 4 4 2" xfId="8847"/>
    <cellStyle name="20% - Ênfase2 4 4 4 2" xfId="8848"/>
    <cellStyle name="40% - Ênfase2 4 4 4 2" xfId="8849"/>
    <cellStyle name="20% - Ênfase3 4 4 4 2" xfId="8850"/>
    <cellStyle name="40% - Ênfase3 4 4 4 2" xfId="8851"/>
    <cellStyle name="20% - Ênfase4 4 4 4 2" xfId="8852"/>
    <cellStyle name="40% - Ênfase4 4 4 4 2" xfId="8853"/>
    <cellStyle name="20% - Ênfase5 4 4 4 2" xfId="8854"/>
    <cellStyle name="40% - Ênfase5 4 4 4 2" xfId="8855"/>
    <cellStyle name="20% - Ênfase6 4 4 4 2" xfId="8856"/>
    <cellStyle name="40% - Ênfase6 4 4 4 2" xfId="8857"/>
    <cellStyle name="Normal 3 3 4 2" xfId="8858"/>
    <cellStyle name="20% - Ênfase1 5 2 4 2" xfId="8859"/>
    <cellStyle name="40% - Ênfase1 5 2 4 2" xfId="8860"/>
    <cellStyle name="20% - Ênfase2 5 2 4 2" xfId="8861"/>
    <cellStyle name="40% - Ênfase2 5 2 4 2" xfId="8862"/>
    <cellStyle name="20% - Ênfase3 5 2 4 2" xfId="8863"/>
    <cellStyle name="40% - Ênfase3 5 2 4 2" xfId="8864"/>
    <cellStyle name="20% - Ênfase4 5 2 4 2" xfId="8865"/>
    <cellStyle name="40% - Ênfase4 5 2 4 2" xfId="8866"/>
    <cellStyle name="20% - Ênfase5 5 2 4 2" xfId="8867"/>
    <cellStyle name="40% - Ênfase5 5 2 4 2" xfId="8868"/>
    <cellStyle name="20% - Ênfase6 5 2 4 2" xfId="8869"/>
    <cellStyle name="40% - Ênfase6 5 2 4 2" xfId="8870"/>
    <cellStyle name="Normal 4 2 2 4 2" xfId="8871"/>
    <cellStyle name="Nota 2 2 2 4 2" xfId="8872"/>
    <cellStyle name="Normal 5 2 2 4 2" xfId="8873"/>
    <cellStyle name="Nota 3 2 2 4 2" xfId="8874"/>
    <cellStyle name="20% - Ênfase1 2 2 2 4 2" xfId="8875"/>
    <cellStyle name="40% - Ênfase1 2 2 2 4 2" xfId="8876"/>
    <cellStyle name="20% - Ênfase2 2 2 2 4 2" xfId="8877"/>
    <cellStyle name="40% - Ênfase2 2 2 2 4 2" xfId="8878"/>
    <cellStyle name="20% - Ênfase3 2 2 2 4 2" xfId="8879"/>
    <cellStyle name="40% - Ênfase3 2 2 2 4 2" xfId="8880"/>
    <cellStyle name="20% - Ênfase4 2 2 2 4 2" xfId="8881"/>
    <cellStyle name="40% - Ênfase4 2 2 2 4 2" xfId="8882"/>
    <cellStyle name="20% - Ênfase5 2 2 2 4 2" xfId="8883"/>
    <cellStyle name="40% - Ênfase5 2 2 2 4 2" xfId="8884"/>
    <cellStyle name="20% - Ênfase6 2 2 2 4 2" xfId="8885"/>
    <cellStyle name="40% - Ênfase6 2 2 2 4 2" xfId="8886"/>
    <cellStyle name="Normal 7 2 2 5 2" xfId="8887"/>
    <cellStyle name="Nota 4 3 4 2" xfId="8888"/>
    <cellStyle name="20% - Ênfase1 3 3 4 2" xfId="8889"/>
    <cellStyle name="40% - Ênfase1 3 3 4 2" xfId="8890"/>
    <cellStyle name="20% - Ênfase2 3 3 4 2" xfId="8891"/>
    <cellStyle name="40% - Ênfase2 3 3 4 2" xfId="8892"/>
    <cellStyle name="20% - Ênfase3 3 3 4 2" xfId="8893"/>
    <cellStyle name="40% - Ênfase3 3 3 4 2" xfId="8894"/>
    <cellStyle name="20% - Ênfase4 3 3 4 2" xfId="8895"/>
    <cellStyle name="40% - Ênfase4 3 3 4 2" xfId="8896"/>
    <cellStyle name="20% - Ênfase5 3 3 4 2" xfId="8897"/>
    <cellStyle name="40% - Ênfase5 3 3 4 2" xfId="8898"/>
    <cellStyle name="20% - Ênfase6 3 3 4 2" xfId="8899"/>
    <cellStyle name="40% - Ênfase6 3 3 4 2" xfId="8900"/>
    <cellStyle name="Normal 8 3 5 2" xfId="8901"/>
    <cellStyle name="Nota 5 3 4 2" xfId="8902"/>
    <cellStyle name="20% - Ênfase1 4 3 4 2" xfId="8903"/>
    <cellStyle name="40% - Ênfase1 4 3 4 2" xfId="8904"/>
    <cellStyle name="20% - Ênfase2 4 3 4 2" xfId="8905"/>
    <cellStyle name="40% - Ênfase2 4 3 4 2" xfId="8906"/>
    <cellStyle name="20% - Ênfase3 4 3 4 2" xfId="8907"/>
    <cellStyle name="40% - Ênfase3 4 3 4 2" xfId="8908"/>
    <cellStyle name="20% - Ênfase4 4 3 4 2" xfId="8909"/>
    <cellStyle name="40% - Ênfase4 4 3 4 2" xfId="8910"/>
    <cellStyle name="20% - Ênfase5 4 3 4 2" xfId="8911"/>
    <cellStyle name="40% - Ênfase5 4 3 4 2" xfId="8912"/>
    <cellStyle name="20% - Ênfase6 4 3 4 2" xfId="8913"/>
    <cellStyle name="40% - Ênfase6 4 3 4 2" xfId="8914"/>
    <cellStyle name="20% - Ênfase1 6 2 4 2" xfId="8915"/>
    <cellStyle name="40% - Ênfase1 6 2 4 2" xfId="8916"/>
    <cellStyle name="20% - Ênfase2 6 2 4 2" xfId="8917"/>
    <cellStyle name="40% - Ênfase2 6 2 4 2" xfId="8918"/>
    <cellStyle name="20% - Ênfase3 6 2 4 2" xfId="8919"/>
    <cellStyle name="40% - Ênfase3 6 2 4 2" xfId="8920"/>
    <cellStyle name="20% - Ênfase4 6 2 4 2" xfId="8921"/>
    <cellStyle name="40% - Ênfase4 6 2 4 2" xfId="8922"/>
    <cellStyle name="20% - Ênfase5 6 2 4 2" xfId="8923"/>
    <cellStyle name="40% - Ênfase5 6 2 4 2" xfId="8924"/>
    <cellStyle name="20% - Ênfase6 6 2 4 2" xfId="8925"/>
    <cellStyle name="40% - Ênfase6 6 2 4 2" xfId="8926"/>
    <cellStyle name="Normal 4 3 2 4 2" xfId="8927"/>
    <cellStyle name="Nota 2 3 2 4 2" xfId="8928"/>
    <cellStyle name="Normal 5 3 2 4 2" xfId="8929"/>
    <cellStyle name="Nota 3 3 2 4 2" xfId="8930"/>
    <cellStyle name="20% - Ênfase1 2 3 2 4 2" xfId="8931"/>
    <cellStyle name="40% - Ênfase1 2 3 2 4 2" xfId="8932"/>
    <cellStyle name="20% - Ênfase2 2 3 2 4 2" xfId="8933"/>
    <cellStyle name="40% - Ênfase2 2 3 2 4 2" xfId="8934"/>
    <cellStyle name="20% - Ênfase3 2 3 2 4 2" xfId="8935"/>
    <cellStyle name="40% - Ênfase3 2 3 2 4 2" xfId="8936"/>
    <cellStyle name="20% - Ênfase4 2 3 2 4 2" xfId="8937"/>
    <cellStyle name="40% - Ênfase4 2 3 2 4 2" xfId="8938"/>
    <cellStyle name="20% - Ênfase5 2 3 2 4 2" xfId="8939"/>
    <cellStyle name="40% - Ênfase5 2 3 2 4 2" xfId="8940"/>
    <cellStyle name="20% - Ênfase6 2 3 2 4 2" xfId="8941"/>
    <cellStyle name="40% - Ênfase6 2 3 2 4 2" xfId="8942"/>
    <cellStyle name="Normal 7 3 2 4 2" xfId="8943"/>
    <cellStyle name="Nota 4 2 2 4 2" xfId="8944"/>
    <cellStyle name="20% - Ênfase1 3 2 2 4 2" xfId="8945"/>
    <cellStyle name="40% - Ênfase1 3 2 2 4 2" xfId="8946"/>
    <cellStyle name="20% - Ênfase2 3 2 2 4 2" xfId="8947"/>
    <cellStyle name="40% - Ênfase2 3 2 2 4 2" xfId="8948"/>
    <cellStyle name="20% - Ênfase3 3 2 2 4 2" xfId="8949"/>
    <cellStyle name="40% - Ênfase3 3 2 2 4 2" xfId="8950"/>
    <cellStyle name="20% - Ênfase4 3 2 2 4 2" xfId="8951"/>
    <cellStyle name="40% - Ênfase4 3 2 2 4 2" xfId="8952"/>
    <cellStyle name="20% - Ênfase5 3 2 2 4 2" xfId="8953"/>
    <cellStyle name="40% - Ênfase5 3 2 2 4 2" xfId="8954"/>
    <cellStyle name="20% - Ênfase6 3 2 2 4 2" xfId="8955"/>
    <cellStyle name="40% - Ênfase6 3 2 2 4 2" xfId="8956"/>
    <cellStyle name="Normal 8 2 2 5 2" xfId="8957"/>
    <cellStyle name="Nota 5 2 2 4 2" xfId="8958"/>
    <cellStyle name="20% - Ênfase1 4 2 2 4 2" xfId="8959"/>
    <cellStyle name="40% - Ênfase1 4 2 2 4 2" xfId="8960"/>
    <cellStyle name="20% - Ênfase2 4 2 2 4 2" xfId="8961"/>
    <cellStyle name="40% - Ênfase2 4 2 2 4 2" xfId="8962"/>
    <cellStyle name="20% - Ênfase3 4 2 2 4 2" xfId="8963"/>
    <cellStyle name="40% - Ênfase3 4 2 2 4 2" xfId="8964"/>
    <cellStyle name="20% - Ênfase4 4 2 2 4 2" xfId="8965"/>
    <cellStyle name="40% - Ênfase4 4 2 2 4 2" xfId="8966"/>
    <cellStyle name="20% - Ênfase5 4 2 2 4 2" xfId="8967"/>
    <cellStyle name="40% - Ênfase5 4 2 2 4 2" xfId="8968"/>
    <cellStyle name="20% - Ênfase6 4 2 2 4 2" xfId="8969"/>
    <cellStyle name="40% - Ênfase6 4 2 2 4 2" xfId="8970"/>
    <cellStyle name="Normal 3 4 2 2" xfId="8971"/>
    <cellStyle name="20% - Ênfase1 5 3 2 2" xfId="8972"/>
    <cellStyle name="40% - Ênfase1 5 3 2 2" xfId="8973"/>
    <cellStyle name="20% - Ênfase2 5 3 2 2" xfId="8974"/>
    <cellStyle name="40% - Ênfase2 5 3 2 2" xfId="8975"/>
    <cellStyle name="20% - Ênfase3 5 3 2 2" xfId="8976"/>
    <cellStyle name="40% - Ênfase3 5 3 2 2" xfId="8977"/>
    <cellStyle name="20% - Ênfase4 5 3 2 2" xfId="8978"/>
    <cellStyle name="40% - Ênfase4 5 3 2 2" xfId="8979"/>
    <cellStyle name="20% - Ênfase5 5 3 2 2" xfId="8980"/>
    <cellStyle name="40% - Ênfase5 5 3 2 2" xfId="8981"/>
    <cellStyle name="20% - Ênfase6 5 3 2 2" xfId="8982"/>
    <cellStyle name="40% - Ênfase6 5 3 2 2" xfId="8983"/>
    <cellStyle name="Normal 4 2 3 2 2" xfId="8984"/>
    <cellStyle name="Nota 2 2 3 2 2" xfId="8985"/>
    <cellStyle name="Normal 5 2 3 2 2" xfId="8986"/>
    <cellStyle name="Nota 3 2 3 2 2" xfId="8987"/>
    <cellStyle name="20% - Ênfase1 2 2 3 2 2" xfId="8988"/>
    <cellStyle name="40% - Ênfase1 2 2 3 2 2" xfId="8989"/>
    <cellStyle name="20% - Ênfase2 2 2 3 2 2" xfId="8990"/>
    <cellStyle name="40% - Ênfase2 2 2 3 2 2" xfId="8991"/>
    <cellStyle name="20% - Ênfase3 2 2 3 2 2" xfId="8992"/>
    <cellStyle name="40% - Ênfase3 2 2 3 2 2" xfId="8993"/>
    <cellStyle name="20% - Ênfase4 2 2 3 2 2" xfId="8994"/>
    <cellStyle name="40% - Ênfase4 2 2 3 2 2" xfId="8995"/>
    <cellStyle name="20% - Ênfase5 2 2 3 2 2" xfId="8996"/>
    <cellStyle name="40% - Ênfase5 2 2 3 2 2" xfId="8997"/>
    <cellStyle name="20% - Ênfase6 2 2 3 2 2" xfId="8998"/>
    <cellStyle name="40% - Ênfase6 2 2 3 2 2" xfId="8999"/>
    <cellStyle name="Normal 7 2 3 2 2" xfId="9000"/>
    <cellStyle name="Nota 4 5 2 2" xfId="9001"/>
    <cellStyle name="20% - Ênfase1 3 5 2 2" xfId="9002"/>
    <cellStyle name="40% - Ênfase1 3 5 2 2" xfId="9003"/>
    <cellStyle name="20% - Ênfase2 3 5 2 2" xfId="9004"/>
    <cellStyle name="40% - Ênfase2 3 5 2 2" xfId="9005"/>
    <cellStyle name="20% - Ênfase3 3 5 2 2" xfId="9006"/>
    <cellStyle name="40% - Ênfase3 3 5 2 2" xfId="9007"/>
    <cellStyle name="20% - Ênfase4 3 5 2 2" xfId="9008"/>
    <cellStyle name="40% - Ênfase4 3 5 2 2" xfId="9009"/>
    <cellStyle name="20% - Ênfase5 3 5 2 2" xfId="9010"/>
    <cellStyle name="40% - Ênfase5 3 5 2 2" xfId="9011"/>
    <cellStyle name="20% - Ênfase6 3 5 2 2" xfId="9012"/>
    <cellStyle name="40% - Ênfase6 3 5 2 2" xfId="9013"/>
    <cellStyle name="Normal 8 5 5 2" xfId="9014"/>
    <cellStyle name="Nota 5 5 2 2" xfId="9015"/>
    <cellStyle name="20% - Ênfase1 4 5 2 2" xfId="9016"/>
    <cellStyle name="40% - Ênfase1 4 5 2 2" xfId="9017"/>
    <cellStyle name="20% - Ênfase2 4 5 2 2" xfId="9018"/>
    <cellStyle name="40% - Ênfase2 4 5 2 2" xfId="9019"/>
    <cellStyle name="20% - Ênfase3 4 5 2 2" xfId="9020"/>
    <cellStyle name="40% - Ênfase3 4 5 2 2" xfId="9021"/>
    <cellStyle name="20% - Ênfase4 4 5 2 2" xfId="9022"/>
    <cellStyle name="40% - Ênfase4 4 5 2 2" xfId="9023"/>
    <cellStyle name="20% - Ênfase5 4 5 2 2" xfId="9024"/>
    <cellStyle name="40% - Ênfase5 4 5 2 2" xfId="9025"/>
    <cellStyle name="20% - Ênfase6 4 5 2 2" xfId="9026"/>
    <cellStyle name="40% - Ênfase6 4 5 2 2" xfId="9027"/>
    <cellStyle name="20% - Ênfase1 6 3 2 2" xfId="9028"/>
    <cellStyle name="40% - Ênfase1 6 3 2 2" xfId="9029"/>
    <cellStyle name="20% - Ênfase2 6 3 2 2" xfId="9030"/>
    <cellStyle name="40% - Ênfase2 6 3 2 2" xfId="9031"/>
    <cellStyle name="20% - Ênfase3 6 3 2 2" xfId="9032"/>
    <cellStyle name="40% - Ênfase3 6 3 2 2" xfId="9033"/>
    <cellStyle name="20% - Ênfase4 6 3 2 2" xfId="9034"/>
    <cellStyle name="40% - Ênfase4 6 3 2 2" xfId="9035"/>
    <cellStyle name="20% - Ênfase5 6 3 2 2" xfId="9036"/>
    <cellStyle name="40% - Ênfase5 6 3 2 2" xfId="9037"/>
    <cellStyle name="20% - Ênfase6 6 3 2 2" xfId="9038"/>
    <cellStyle name="40% - Ênfase6 6 3 2 2" xfId="9039"/>
    <cellStyle name="Normal 4 3 3 2 2" xfId="9040"/>
    <cellStyle name="Nota 2 3 3 2 2" xfId="9041"/>
    <cellStyle name="Normal 5 3 3 2 2" xfId="9042"/>
    <cellStyle name="Nota 3 3 3 2 2" xfId="9043"/>
    <cellStyle name="20% - Ênfase1 2 3 3 2 2" xfId="9044"/>
    <cellStyle name="40% - Ênfase1 2 3 3 2 2" xfId="9045"/>
    <cellStyle name="20% - Ênfase2 2 3 3 2 2" xfId="9046"/>
    <cellStyle name="40% - Ênfase2 2 3 3 2 2" xfId="9047"/>
    <cellStyle name="20% - Ênfase3 2 3 3 2 2" xfId="9048"/>
    <cellStyle name="40% - Ênfase3 2 3 3 2 2" xfId="9049"/>
    <cellStyle name="20% - Ênfase4 2 3 3 2 2" xfId="9050"/>
    <cellStyle name="40% - Ênfase4 2 3 3 2 2" xfId="9051"/>
    <cellStyle name="20% - Ênfase5 2 3 3 2 2" xfId="9052"/>
    <cellStyle name="40% - Ênfase5 2 3 3 2 2" xfId="9053"/>
    <cellStyle name="20% - Ênfase6 2 3 3 2 2" xfId="9054"/>
    <cellStyle name="40% - Ênfase6 2 3 3 2 2" xfId="9055"/>
    <cellStyle name="Normal 7 3 3 2 2" xfId="9056"/>
    <cellStyle name="Nota 4 2 3 2 2" xfId="9057"/>
    <cellStyle name="20% - Ênfase1 3 2 3 2 2" xfId="9058"/>
    <cellStyle name="40% - Ênfase1 3 2 3 2 2" xfId="9059"/>
    <cellStyle name="20% - Ênfase2 3 2 3 2 2" xfId="9060"/>
    <cellStyle name="40% - Ênfase2 3 2 3 2 2" xfId="9061"/>
    <cellStyle name="20% - Ênfase3 3 2 3 2 2" xfId="9062"/>
    <cellStyle name="40% - Ênfase3 3 2 3 2 2" xfId="9063"/>
    <cellStyle name="20% - Ênfase4 3 2 3 2 2" xfId="9064"/>
    <cellStyle name="40% - Ênfase4 3 2 3 2 2" xfId="9065"/>
    <cellStyle name="20% - Ênfase5 3 2 3 2 2" xfId="9066"/>
    <cellStyle name="40% - Ênfase5 3 2 3 2 2" xfId="9067"/>
    <cellStyle name="20% - Ênfase6 3 2 3 2 2" xfId="9068"/>
    <cellStyle name="40% - Ênfase6 3 2 3 2 2" xfId="9069"/>
    <cellStyle name="Normal 8 2 3 2 2" xfId="9070"/>
    <cellStyle name="Nota 5 2 3 2 2" xfId="9071"/>
    <cellStyle name="20% - Ênfase1 4 2 3 2 2" xfId="9072"/>
    <cellStyle name="40% - Ênfase1 4 2 3 2 2" xfId="9073"/>
    <cellStyle name="20% - Ênfase2 4 2 3 2 2" xfId="9074"/>
    <cellStyle name="40% - Ênfase2 4 2 3 2 2" xfId="9075"/>
    <cellStyle name="20% - Ênfase3 4 2 3 2 2" xfId="9076"/>
    <cellStyle name="40% - Ênfase3 4 2 3 2 2" xfId="9077"/>
    <cellStyle name="20% - Ênfase4 4 2 3 2 2" xfId="9078"/>
    <cellStyle name="40% - Ênfase4 4 2 3 2 2" xfId="9079"/>
    <cellStyle name="20% - Ênfase5 4 2 3 2 2" xfId="9080"/>
    <cellStyle name="40% - Ênfase5 4 2 3 2 2" xfId="9081"/>
    <cellStyle name="20% - Ênfase6 4 2 3 2 2" xfId="9082"/>
    <cellStyle name="40% - Ênfase6 4 2 3 2 2" xfId="9083"/>
    <cellStyle name="20% - Ênfase1 8 2 2 2" xfId="9084"/>
    <cellStyle name="40% - Ênfase1 8 2 2 2" xfId="9085"/>
    <cellStyle name="20% - Ênfase2 8 2 2 2" xfId="9086"/>
    <cellStyle name="40% - Ênfase2 8 2 2 2" xfId="9087"/>
    <cellStyle name="20% - Ênfase3 8 2 2 2" xfId="9088"/>
    <cellStyle name="40% - Ênfase3 8 2 2 2" xfId="9089"/>
    <cellStyle name="20% - Ênfase4 8 2 2 2" xfId="9090"/>
    <cellStyle name="40% - Ênfase4 8 2 2 2" xfId="9091"/>
    <cellStyle name="20% - Ênfase5 8 2 2 2" xfId="9092"/>
    <cellStyle name="40% - Ênfase5 8 2 2 2" xfId="9093"/>
    <cellStyle name="20% - Ênfase6 8 2 2 2" xfId="9094"/>
    <cellStyle name="40% - Ênfase6 8 2 2 2" xfId="9095"/>
    <cellStyle name="Normal 4 5 2 2 2" xfId="9096"/>
    <cellStyle name="Nota 2 5 2 2 2" xfId="9097"/>
    <cellStyle name="Normal 5 5 2 2 2" xfId="9098"/>
    <cellStyle name="Nota 3 5 2 2 2" xfId="9099"/>
    <cellStyle name="20% - Ênfase1 2 5 2 2 2" xfId="9100"/>
    <cellStyle name="40% - Ênfase1 2 5 2 2 2" xfId="9101"/>
    <cellStyle name="20% - Ênfase2 2 5 2 2 2" xfId="9102"/>
    <cellStyle name="40% - Ênfase2 2 5 2 2 2" xfId="9103"/>
    <cellStyle name="20% - Ênfase3 2 5 2 2 2" xfId="9104"/>
    <cellStyle name="40% - Ênfase3 2 5 2 2 2" xfId="9105"/>
    <cellStyle name="20% - Ênfase4 2 5 2 2 2" xfId="9106"/>
    <cellStyle name="40% - Ênfase4 2 5 2 2 2" xfId="9107"/>
    <cellStyle name="20% - Ênfase5 2 5 2 2 2" xfId="9108"/>
    <cellStyle name="40% - Ênfase5 2 5 2 2 2" xfId="9109"/>
    <cellStyle name="20% - Ênfase6 2 5 2 2 2" xfId="9110"/>
    <cellStyle name="40% - Ênfase6 2 5 2 2 2" xfId="9111"/>
    <cellStyle name="Normal 7 5 2 2 2" xfId="9112"/>
    <cellStyle name="Nota 4 4 2 2 2" xfId="9113"/>
    <cellStyle name="20% - Ênfase1 3 4 2 2 2" xfId="9114"/>
    <cellStyle name="40% - Ênfase1 3 4 2 2 2" xfId="9115"/>
    <cellStyle name="20% - Ênfase2 3 4 2 2 2" xfId="9116"/>
    <cellStyle name="40% - Ênfase2 3 4 2 2 2" xfId="9117"/>
    <cellStyle name="20% - Ênfase3 3 4 2 2 2" xfId="9118"/>
    <cellStyle name="40% - Ênfase3 3 4 2 2 2" xfId="9119"/>
    <cellStyle name="20% - Ênfase4 3 4 2 2 2" xfId="9120"/>
    <cellStyle name="40% - Ênfase4 3 4 2 2 2" xfId="9121"/>
    <cellStyle name="20% - Ênfase5 3 4 2 2 2" xfId="9122"/>
    <cellStyle name="40% - Ênfase5 3 4 2 2 2" xfId="9123"/>
    <cellStyle name="20% - Ênfase6 3 4 2 2 2" xfId="9124"/>
    <cellStyle name="40% - Ênfase6 3 4 2 2 2" xfId="9125"/>
    <cellStyle name="Normal 8 4 2 3 2" xfId="9126"/>
    <cellStyle name="Nota 5 4 2 2 2" xfId="9127"/>
    <cellStyle name="20% - Ênfase1 4 4 2 2 2" xfId="9128"/>
    <cellStyle name="40% - Ênfase1 4 4 2 2 2" xfId="9129"/>
    <cellStyle name="20% - Ênfase2 4 4 2 2 2" xfId="9130"/>
    <cellStyle name="40% - Ênfase2 4 4 2 2 2" xfId="9131"/>
    <cellStyle name="20% - Ênfase3 4 4 2 2 2" xfId="9132"/>
    <cellStyle name="40% - Ênfase3 4 4 2 2 2" xfId="9133"/>
    <cellStyle name="20% - Ênfase4 4 4 2 2 2" xfId="9134"/>
    <cellStyle name="40% - Ênfase4 4 4 2 2 2" xfId="9135"/>
    <cellStyle name="20% - Ênfase5 4 4 2 2 2" xfId="9136"/>
    <cellStyle name="40% - Ênfase5 4 4 2 2 2" xfId="9137"/>
    <cellStyle name="20% - Ênfase6 4 4 2 2 2" xfId="9138"/>
    <cellStyle name="40% - Ênfase6 4 4 2 2 2" xfId="9139"/>
    <cellStyle name="Normal 3 3 2 2 2" xfId="9140"/>
    <cellStyle name="20% - Ênfase1 5 2 2 2 2" xfId="9141"/>
    <cellStyle name="40% - Ênfase1 5 2 2 2 2" xfId="9142"/>
    <cellStyle name="20% - Ênfase2 5 2 2 2 2" xfId="9143"/>
    <cellStyle name="40% - Ênfase2 5 2 2 2 2" xfId="9144"/>
    <cellStyle name="20% - Ênfase3 5 2 2 2 2" xfId="9145"/>
    <cellStyle name="40% - Ênfase3 5 2 2 2 2" xfId="9146"/>
    <cellStyle name="20% - Ênfase4 5 2 2 2 2" xfId="9147"/>
    <cellStyle name="40% - Ênfase4 5 2 2 2 2" xfId="9148"/>
    <cellStyle name="20% - Ênfase5 5 2 2 2 2" xfId="9149"/>
    <cellStyle name="40% - Ênfase5 5 2 2 2 2" xfId="9150"/>
    <cellStyle name="20% - Ênfase6 5 2 2 2 2" xfId="9151"/>
    <cellStyle name="40% - Ênfase6 5 2 2 2 2" xfId="9152"/>
    <cellStyle name="Normal 4 2 2 2 2 2" xfId="9153"/>
    <cellStyle name="Nota 2 2 2 2 2 2" xfId="9154"/>
    <cellStyle name="Normal 5 2 2 2 2 2" xfId="9155"/>
    <cellStyle name="Nota 3 2 2 2 2 2" xfId="9156"/>
    <cellStyle name="20% - Ênfase1 2 2 2 2 2 2" xfId="9157"/>
    <cellStyle name="40% - Ênfase1 2 2 2 2 2 2" xfId="9158"/>
    <cellStyle name="20% - Ênfase2 2 2 2 2 2 2" xfId="9159"/>
    <cellStyle name="40% - Ênfase2 2 2 2 2 2 2" xfId="9160"/>
    <cellStyle name="20% - Ênfase3 2 2 2 2 2 2" xfId="9161"/>
    <cellStyle name="40% - Ênfase3 2 2 2 2 2 2" xfId="9162"/>
    <cellStyle name="20% - Ênfase4 2 2 2 2 2 2" xfId="9163"/>
    <cellStyle name="40% - Ênfase4 2 2 2 2 2 2" xfId="9164"/>
    <cellStyle name="20% - Ênfase5 2 2 2 2 2 2" xfId="9165"/>
    <cellStyle name="40% - Ênfase5 2 2 2 2 2 2" xfId="9166"/>
    <cellStyle name="20% - Ênfase6 2 2 2 2 2 2" xfId="9167"/>
    <cellStyle name="40% - Ênfase6 2 2 2 2 2 2" xfId="9168"/>
    <cellStyle name="Normal 7 2 2 2 2 2" xfId="9169"/>
    <cellStyle name="Nota 4 3 2 2 2" xfId="9170"/>
    <cellStyle name="20% - Ênfase1 3 3 2 2 2" xfId="9171"/>
    <cellStyle name="40% - Ênfase1 3 3 2 2 2" xfId="9172"/>
    <cellStyle name="20% - Ênfase2 3 3 2 2 2" xfId="9173"/>
    <cellStyle name="40% - Ênfase2 3 3 2 2 2" xfId="9174"/>
    <cellStyle name="20% - Ênfase3 3 3 2 2 2" xfId="9175"/>
    <cellStyle name="40% - Ênfase3 3 3 2 2 2" xfId="9176"/>
    <cellStyle name="20% - Ênfase4 3 3 2 2 2" xfId="9177"/>
    <cellStyle name="40% - Ênfase4 3 3 2 2 2" xfId="9178"/>
    <cellStyle name="20% - Ênfase5 3 3 2 2 2" xfId="9179"/>
    <cellStyle name="40% - Ênfase5 3 3 2 2 2" xfId="9180"/>
    <cellStyle name="20% - Ênfase6 3 3 2 2 2" xfId="9181"/>
    <cellStyle name="40% - Ênfase6 3 3 2 2 2" xfId="9182"/>
    <cellStyle name="Normal 8 3 2 3 2" xfId="9183"/>
    <cellStyle name="Nota 5 3 2 2 2" xfId="9184"/>
    <cellStyle name="20% - Ênfase1 4 3 2 2 2" xfId="9185"/>
    <cellStyle name="40% - Ênfase1 4 3 2 2 2" xfId="9186"/>
    <cellStyle name="20% - Ênfase2 4 3 2 2 2" xfId="9187"/>
    <cellStyle name="40% - Ênfase2 4 3 2 2 2" xfId="9188"/>
    <cellStyle name="20% - Ênfase3 4 3 2 2 2" xfId="9189"/>
    <cellStyle name="40% - Ênfase3 4 3 2 2 2" xfId="9190"/>
    <cellStyle name="20% - Ênfase4 4 3 2 2 2" xfId="9191"/>
    <cellStyle name="40% - Ênfase4 4 3 2 2 2" xfId="9192"/>
    <cellStyle name="20% - Ênfase5 4 3 2 2 2" xfId="9193"/>
    <cellStyle name="40% - Ênfase5 4 3 2 2 2" xfId="9194"/>
    <cellStyle name="20% - Ênfase6 4 3 2 2 2" xfId="9195"/>
    <cellStyle name="40% - Ênfase6 4 3 2 2 2" xfId="9196"/>
    <cellStyle name="20% - Ênfase1 6 2 2 2 2" xfId="9197"/>
    <cellStyle name="40% - Ênfase1 6 2 2 2 2" xfId="9198"/>
    <cellStyle name="20% - Ênfase2 6 2 2 2 2" xfId="9199"/>
    <cellStyle name="40% - Ênfase2 6 2 2 2 2" xfId="9200"/>
    <cellStyle name="20% - Ênfase3 6 2 2 2 2" xfId="9201"/>
    <cellStyle name="40% - Ênfase3 6 2 2 2 2" xfId="9202"/>
    <cellStyle name="20% - Ênfase4 6 2 2 2 2" xfId="9203"/>
    <cellStyle name="40% - Ênfase4 6 2 2 2 2" xfId="9204"/>
    <cellStyle name="20% - Ênfase5 6 2 2 2 2" xfId="9205"/>
    <cellStyle name="40% - Ênfase5 6 2 2 2 2" xfId="9206"/>
    <cellStyle name="20% - Ênfase6 6 2 2 2 2" xfId="9207"/>
    <cellStyle name="40% - Ênfase6 6 2 2 2 2" xfId="9208"/>
    <cellStyle name="Normal 4 3 2 2 2 2" xfId="9209"/>
    <cellStyle name="Nota 2 3 2 2 2 2" xfId="9210"/>
    <cellStyle name="Normal 5 3 2 2 2 2" xfId="9211"/>
    <cellStyle name="Nota 3 3 2 2 2 2" xfId="9212"/>
    <cellStyle name="20% - Ênfase1 2 3 2 2 2 2" xfId="9213"/>
    <cellStyle name="40% - Ênfase1 2 3 2 2 2 2" xfId="9214"/>
    <cellStyle name="20% - Ênfase2 2 3 2 2 2 2" xfId="9215"/>
    <cellStyle name="40% - Ênfase2 2 3 2 2 2 2" xfId="9216"/>
    <cellStyle name="20% - Ênfase3 2 3 2 2 2 2" xfId="9217"/>
    <cellStyle name="40% - Ênfase3 2 3 2 2 2 2" xfId="9218"/>
    <cellStyle name="20% - Ênfase4 2 3 2 2 2 2" xfId="9219"/>
    <cellStyle name="40% - Ênfase4 2 3 2 2 2 2" xfId="9220"/>
    <cellStyle name="20% - Ênfase5 2 3 2 2 2 2" xfId="9221"/>
    <cellStyle name="40% - Ênfase5 2 3 2 2 2 2" xfId="9222"/>
    <cellStyle name="20% - Ênfase6 2 3 2 2 2 2" xfId="9223"/>
    <cellStyle name="40% - Ênfase6 2 3 2 2 2 2" xfId="9224"/>
    <cellStyle name="Normal 7 3 2 2 2 2" xfId="9225"/>
    <cellStyle name="Nota 4 2 2 2 2 2" xfId="9226"/>
    <cellStyle name="20% - Ênfase1 3 2 2 2 2 2" xfId="9227"/>
    <cellStyle name="40% - Ênfase1 3 2 2 2 2 2" xfId="9228"/>
    <cellStyle name="20% - Ênfase2 3 2 2 2 2 2" xfId="9229"/>
    <cellStyle name="40% - Ênfase2 3 2 2 2 2 2" xfId="9230"/>
    <cellStyle name="20% - Ênfase3 3 2 2 2 2 2" xfId="9231"/>
    <cellStyle name="40% - Ênfase3 3 2 2 2 2 2" xfId="9232"/>
    <cellStyle name="20% - Ênfase4 3 2 2 2 2 2" xfId="9233"/>
    <cellStyle name="40% - Ênfase4 3 2 2 2 2 2" xfId="9234"/>
    <cellStyle name="20% - Ênfase5 3 2 2 2 2 2" xfId="9235"/>
    <cellStyle name="40% - Ênfase5 3 2 2 2 2 2" xfId="9236"/>
    <cellStyle name="20% - Ênfase6 3 2 2 2 2 2" xfId="9237"/>
    <cellStyle name="40% - Ênfase6 3 2 2 2 2 2" xfId="9238"/>
    <cellStyle name="Normal 8 2 2 2 2 2" xfId="9239"/>
    <cellStyle name="Nota 5 2 2 2 2 2" xfId="9240"/>
    <cellStyle name="20% - Ênfase1 4 2 2 2 2 2" xfId="9241"/>
    <cellStyle name="40% - Ênfase1 4 2 2 2 2 2" xfId="9242"/>
    <cellStyle name="20% - Ênfase2 4 2 2 2 2 2" xfId="9243"/>
    <cellStyle name="40% - Ênfase2 4 2 2 2 2 2" xfId="9244"/>
    <cellStyle name="20% - Ênfase3 4 2 2 2 2 2" xfId="9245"/>
    <cellStyle name="40% - Ênfase3 4 2 2 2 2 2" xfId="9246"/>
    <cellStyle name="20% - Ênfase4 4 2 2 2 2 2" xfId="9247"/>
    <cellStyle name="40% - Ênfase4 4 2 2 2 2 2" xfId="9248"/>
    <cellStyle name="20% - Ênfase5 4 2 2 2 2 2" xfId="9249"/>
    <cellStyle name="40% - Ênfase5 4 2 2 2 2 2" xfId="9250"/>
    <cellStyle name="20% - Ênfase6 4 2 2 2 2 2" xfId="9251"/>
    <cellStyle name="40% - Ênfase6 4 2 2 2 2 2" xfId="9252"/>
    <cellStyle name="Normal 3 5 2 2" xfId="9253"/>
    <cellStyle name="20% - Ênfase1 5 4 2 2" xfId="9254"/>
    <cellStyle name="40% - Ênfase1 5 4 2 2" xfId="9255"/>
    <cellStyle name="20% - Ênfase2 5 4 2 2" xfId="9256"/>
    <cellStyle name="40% - Ênfase2 5 4 2 2" xfId="9257"/>
    <cellStyle name="20% - Ênfase3 5 4 2 2" xfId="9258"/>
    <cellStyle name="40% - Ênfase3 5 4 2 2" xfId="9259"/>
    <cellStyle name="20% - Ênfase4 5 4 2 2" xfId="9260"/>
    <cellStyle name="40% - Ênfase4 5 4 2 2" xfId="9261"/>
    <cellStyle name="20% - Ênfase5 5 4 2 2" xfId="9262"/>
    <cellStyle name="40% - Ênfase5 5 4 2 2" xfId="9263"/>
    <cellStyle name="20% - Ênfase6 5 4 2 2" xfId="9264"/>
    <cellStyle name="40% - Ênfase6 5 4 2 2" xfId="9265"/>
    <cellStyle name="Normal 4 2 4 2 2" xfId="9266"/>
    <cellStyle name="Nota 2 2 4 2 2" xfId="9267"/>
    <cellStyle name="Normal 5 2 4 2 2" xfId="9268"/>
    <cellStyle name="Nota 3 2 4 2 2" xfId="9269"/>
    <cellStyle name="20% - Ênfase1 2 2 4 2 2" xfId="9270"/>
    <cellStyle name="40% - Ênfase1 2 2 4 2 2" xfId="9271"/>
    <cellStyle name="20% - Ênfase2 2 2 4 2 2" xfId="9272"/>
    <cellStyle name="40% - Ênfase2 2 2 4 2 2" xfId="9273"/>
    <cellStyle name="20% - Ênfase3 2 2 4 2 2" xfId="9274"/>
    <cellStyle name="40% - Ênfase3 2 2 4 2 2" xfId="9275"/>
    <cellStyle name="20% - Ênfase4 2 2 4 2 2" xfId="9276"/>
    <cellStyle name="40% - Ênfase4 2 2 4 2 2" xfId="9277"/>
    <cellStyle name="20% - Ênfase5 2 2 4 2 2" xfId="9278"/>
    <cellStyle name="40% - Ênfase5 2 2 4 2 2" xfId="9279"/>
    <cellStyle name="20% - Ênfase6 2 2 4 2 2" xfId="9280"/>
    <cellStyle name="40% - Ênfase6 2 2 4 2 2" xfId="9281"/>
    <cellStyle name="Normal 7 2 4 2 2" xfId="9282"/>
    <cellStyle name="Nota 4 6 2 2" xfId="9283"/>
    <cellStyle name="20% - Ênfase1 3 6 2 2" xfId="9284"/>
    <cellStyle name="40% - Ênfase1 3 6 2 2" xfId="9285"/>
    <cellStyle name="20% - Ênfase2 3 6 2 2" xfId="9286"/>
    <cellStyle name="40% - Ênfase2 3 6 2 2" xfId="9287"/>
    <cellStyle name="20% - Ênfase3 3 6 2 2" xfId="9288"/>
    <cellStyle name="40% - Ênfase3 3 6 2 2" xfId="9289"/>
    <cellStyle name="20% - Ênfase4 3 6 2 2" xfId="9290"/>
    <cellStyle name="40% - Ênfase4 3 6 2 2" xfId="9291"/>
    <cellStyle name="20% - Ênfase5 3 6 2 2" xfId="9292"/>
    <cellStyle name="40% - Ênfase5 3 6 2 2" xfId="9293"/>
    <cellStyle name="20% - Ênfase6 3 6 2 2" xfId="9294"/>
    <cellStyle name="40% - Ênfase6 3 6 2 2" xfId="9295"/>
    <cellStyle name="Normal 8 6 3 2" xfId="9296"/>
    <cellStyle name="Nota 5 6 2 2" xfId="9297"/>
    <cellStyle name="20% - Ênfase1 4 6 2 2" xfId="9298"/>
    <cellStyle name="40% - Ênfase1 4 6 2 2" xfId="9299"/>
    <cellStyle name="20% - Ênfase2 4 6 2 2" xfId="9300"/>
    <cellStyle name="40% - Ênfase2 4 6 2 2" xfId="9301"/>
    <cellStyle name="20% - Ênfase3 4 6 2 2" xfId="9302"/>
    <cellStyle name="40% - Ênfase3 4 6 2 2" xfId="9303"/>
    <cellStyle name="20% - Ênfase4 4 6 2 2" xfId="9304"/>
    <cellStyle name="40% - Ênfase4 4 6 2 2" xfId="9305"/>
    <cellStyle name="20% - Ênfase5 4 6 2 2" xfId="9306"/>
    <cellStyle name="40% - Ênfase5 4 6 2 2" xfId="9307"/>
    <cellStyle name="20% - Ênfase6 4 6 2 2" xfId="9308"/>
    <cellStyle name="40% - Ênfase6 4 6 2 2" xfId="9309"/>
    <cellStyle name="20% - Ênfase1 6 4 2 2" xfId="9310"/>
    <cellStyle name="40% - Ênfase1 6 4 2 2" xfId="9311"/>
    <cellStyle name="20% - Ênfase2 6 4 2 2" xfId="9312"/>
    <cellStyle name="40% - Ênfase2 6 4 2 2" xfId="9313"/>
    <cellStyle name="20% - Ênfase3 6 4 2 2" xfId="9314"/>
    <cellStyle name="40% - Ênfase3 6 4 2 2" xfId="9315"/>
    <cellStyle name="20% - Ênfase4 6 4 2 2" xfId="9316"/>
    <cellStyle name="40% - Ênfase4 6 4 2 2" xfId="9317"/>
    <cellStyle name="20% - Ênfase5 6 4 2 2" xfId="9318"/>
    <cellStyle name="40% - Ênfase5 6 4 2 2" xfId="9319"/>
    <cellStyle name="20% - Ênfase6 6 4 2 2" xfId="9320"/>
    <cellStyle name="40% - Ênfase6 6 4 2 2" xfId="9321"/>
    <cellStyle name="Normal 4 3 4 2 2" xfId="9322"/>
    <cellStyle name="Nota 2 3 4 2 2" xfId="9323"/>
    <cellStyle name="Normal 5 3 4 2 2" xfId="9324"/>
    <cellStyle name="Nota 3 3 4 2 2" xfId="9325"/>
    <cellStyle name="20% - Ênfase1 2 3 4 2 2" xfId="9326"/>
    <cellStyle name="40% - Ênfase1 2 3 4 2 2" xfId="9327"/>
    <cellStyle name="20% - Ênfase2 2 3 4 2 2" xfId="9328"/>
    <cellStyle name="40% - Ênfase2 2 3 4 2 2" xfId="9329"/>
    <cellStyle name="20% - Ênfase3 2 3 4 2 2" xfId="9330"/>
    <cellStyle name="40% - Ênfase3 2 3 4 2 2" xfId="9331"/>
    <cellStyle name="20% - Ênfase4 2 3 4 2 2" xfId="9332"/>
    <cellStyle name="40% - Ênfase4 2 3 4 2 2" xfId="9333"/>
    <cellStyle name="20% - Ênfase5 2 3 4 2 2" xfId="9334"/>
    <cellStyle name="40% - Ênfase5 2 3 4 2 2" xfId="9335"/>
    <cellStyle name="20% - Ênfase6 2 3 4 2 2" xfId="9336"/>
    <cellStyle name="40% - Ênfase6 2 3 4 2 2" xfId="9337"/>
    <cellStyle name="Normal 7 3 4 2 2" xfId="9338"/>
    <cellStyle name="Nota 4 2 4 2 2" xfId="9339"/>
    <cellStyle name="20% - Ênfase1 3 2 4 2 2" xfId="9340"/>
    <cellStyle name="40% - Ênfase1 3 2 4 2 2" xfId="9341"/>
    <cellStyle name="20% - Ênfase2 3 2 4 2 2" xfId="9342"/>
    <cellStyle name="40% - Ênfase2 3 2 4 2 2" xfId="9343"/>
    <cellStyle name="20% - Ênfase3 3 2 4 2 2" xfId="9344"/>
    <cellStyle name="40% - Ênfase3 3 2 4 2 2" xfId="9345"/>
    <cellStyle name="20% - Ênfase4 3 2 4 2 2" xfId="9346"/>
    <cellStyle name="40% - Ênfase4 3 2 4 2 2" xfId="9347"/>
    <cellStyle name="20% - Ênfase5 3 2 4 2 2" xfId="9348"/>
    <cellStyle name="40% - Ênfase5 3 2 4 2 2" xfId="9349"/>
    <cellStyle name="20% - Ênfase6 3 2 4 2 2" xfId="9350"/>
    <cellStyle name="40% - Ênfase6 3 2 4 2 2" xfId="9351"/>
    <cellStyle name="Normal 8 2 4 2 2" xfId="9352"/>
    <cellStyle name="Nota 5 2 4 2 2" xfId="9353"/>
    <cellStyle name="20% - Ênfase1 4 2 4 2 2" xfId="9354"/>
    <cellStyle name="40% - Ênfase1 4 2 4 2 2" xfId="9355"/>
    <cellStyle name="20% - Ênfase2 4 2 4 2 2" xfId="9356"/>
    <cellStyle name="40% - Ênfase2 4 2 4 2 2" xfId="9357"/>
    <cellStyle name="20% - Ênfase3 4 2 4 2 2" xfId="9358"/>
    <cellStyle name="40% - Ênfase3 4 2 4 2 2" xfId="9359"/>
    <cellStyle name="20% - Ênfase4 4 2 4 2 2" xfId="9360"/>
    <cellStyle name="40% - Ênfase4 4 2 4 2 2" xfId="9361"/>
    <cellStyle name="20% - Ênfase5 4 2 4 2 2" xfId="9362"/>
    <cellStyle name="40% - Ênfase5 4 2 4 2 2" xfId="9363"/>
    <cellStyle name="20% - Ênfase6 4 2 4 2 2" xfId="9364"/>
    <cellStyle name="40% - Ênfase6 4 2 4 2 2" xfId="9365"/>
    <cellStyle name="20% - Ênfase1 8 3 2 2" xfId="9366"/>
    <cellStyle name="40% - Ênfase1 8 3 2 2" xfId="9367"/>
    <cellStyle name="20% - Ênfase2 8 3 2 2" xfId="9368"/>
    <cellStyle name="40% - Ênfase2 8 3 2 2" xfId="9369"/>
    <cellStyle name="20% - Ênfase3 8 3 2 2" xfId="9370"/>
    <cellStyle name="40% - Ênfase3 8 3 2 2" xfId="9371"/>
    <cellStyle name="20% - Ênfase4 8 3 2 2" xfId="9372"/>
    <cellStyle name="40% - Ênfase4 8 3 2 2" xfId="9373"/>
    <cellStyle name="20% - Ênfase5 8 3 2 2" xfId="9374"/>
    <cellStyle name="40% - Ênfase5 8 3 2 2" xfId="9375"/>
    <cellStyle name="20% - Ênfase6 8 3 2 2" xfId="9376"/>
    <cellStyle name="40% - Ênfase6 8 3 2 2" xfId="9377"/>
    <cellStyle name="Normal 4 5 3 2 2" xfId="9378"/>
    <cellStyle name="Nota 2 5 3 2 2" xfId="9379"/>
    <cellStyle name="Normal 5 5 3 2 2" xfId="9380"/>
    <cellStyle name="Nota 3 5 3 2 2" xfId="9381"/>
    <cellStyle name="20% - Ênfase1 2 5 3 2 2" xfId="9382"/>
    <cellStyle name="40% - Ênfase1 2 5 3 2 2" xfId="9383"/>
    <cellStyle name="20% - Ênfase2 2 5 3 2 2" xfId="9384"/>
    <cellStyle name="40% - Ênfase2 2 5 3 2 2" xfId="9385"/>
    <cellStyle name="20% - Ênfase3 2 5 3 2 2" xfId="9386"/>
    <cellStyle name="40% - Ênfase3 2 5 3 2 2" xfId="9387"/>
    <cellStyle name="20% - Ênfase4 2 5 3 2 2" xfId="9388"/>
    <cellStyle name="40% - Ênfase4 2 5 3 2 2" xfId="9389"/>
    <cellStyle name="20% - Ênfase5 2 5 3 2 2" xfId="9390"/>
    <cellStyle name="40% - Ênfase5 2 5 3 2 2" xfId="9391"/>
    <cellStyle name="20% - Ênfase6 2 5 3 2 2" xfId="9392"/>
    <cellStyle name="40% - Ênfase6 2 5 3 2 2" xfId="9393"/>
    <cellStyle name="Normal 7 5 3 2 2" xfId="9394"/>
    <cellStyle name="Nota 4 4 3 2 2" xfId="9395"/>
    <cellStyle name="20% - Ênfase1 3 4 3 2 2" xfId="9396"/>
    <cellStyle name="40% - Ênfase1 3 4 3 2 2" xfId="9397"/>
    <cellStyle name="20% - Ênfase2 3 4 3 2 2" xfId="9398"/>
    <cellStyle name="40% - Ênfase2 3 4 3 2 2" xfId="9399"/>
    <cellStyle name="20% - Ênfase3 3 4 3 2 2" xfId="9400"/>
    <cellStyle name="40% - Ênfase3 3 4 3 2 2" xfId="9401"/>
    <cellStyle name="20% - Ênfase4 3 4 3 2 2" xfId="9402"/>
    <cellStyle name="40% - Ênfase4 3 4 3 2 2" xfId="9403"/>
    <cellStyle name="20% - Ênfase5 3 4 3 2 2" xfId="9404"/>
    <cellStyle name="40% - Ênfase5 3 4 3 2 2" xfId="9405"/>
    <cellStyle name="20% - Ênfase6 3 4 3 2 2" xfId="9406"/>
    <cellStyle name="40% - Ênfase6 3 4 3 2 2" xfId="9407"/>
    <cellStyle name="Normal 8 4 3 2 2" xfId="9408"/>
    <cellStyle name="Nota 5 4 3 2 2" xfId="9409"/>
    <cellStyle name="20% - Ênfase1 4 4 3 2 2" xfId="9410"/>
    <cellStyle name="40% - Ênfase1 4 4 3 2 2" xfId="9411"/>
    <cellStyle name="20% - Ênfase2 4 4 3 2 2" xfId="9412"/>
    <cellStyle name="40% - Ênfase2 4 4 3 2 2" xfId="9413"/>
    <cellStyle name="20% - Ênfase3 4 4 3 2 2" xfId="9414"/>
    <cellStyle name="40% - Ênfase3 4 4 3 2 2" xfId="9415"/>
    <cellStyle name="20% - Ênfase4 4 4 3 2 2" xfId="9416"/>
    <cellStyle name="40% - Ênfase4 4 4 3 2 2" xfId="9417"/>
    <cellStyle name="20% - Ênfase5 4 4 3 2 2" xfId="9418"/>
    <cellStyle name="40% - Ênfase5 4 4 3 2 2" xfId="9419"/>
    <cellStyle name="20% - Ênfase6 4 4 3 2 2" xfId="9420"/>
    <cellStyle name="40% - Ênfase6 4 4 3 2 2" xfId="9421"/>
    <cellStyle name="Normal 3 3 3 2 2" xfId="9422"/>
    <cellStyle name="20% - Ênfase1 5 2 3 2 2" xfId="9423"/>
    <cellStyle name="40% - Ênfase1 5 2 3 2 2" xfId="9424"/>
    <cellStyle name="20% - Ênfase2 5 2 3 2 2" xfId="9425"/>
    <cellStyle name="40% - Ênfase2 5 2 3 2 2" xfId="9426"/>
    <cellStyle name="20% - Ênfase3 5 2 3 2 2" xfId="9427"/>
    <cellStyle name="40% - Ênfase3 5 2 3 2 2" xfId="9428"/>
    <cellStyle name="20% - Ênfase4 5 2 3 2 2" xfId="9429"/>
    <cellStyle name="40% - Ênfase4 5 2 3 2 2" xfId="9430"/>
    <cellStyle name="20% - Ênfase5 5 2 3 2 2" xfId="9431"/>
    <cellStyle name="40% - Ênfase5 5 2 3 2 2" xfId="9432"/>
    <cellStyle name="20% - Ênfase6 5 2 3 2 2" xfId="9433"/>
    <cellStyle name="40% - Ênfase6 5 2 3 2 2" xfId="9434"/>
    <cellStyle name="Normal 4 2 2 3 2 2" xfId="9435"/>
    <cellStyle name="Nota 2 2 2 3 2 2" xfId="9436"/>
    <cellStyle name="Normal 5 2 2 3 2 2" xfId="9437"/>
    <cellStyle name="Nota 3 2 2 3 2 2" xfId="9438"/>
    <cellStyle name="20% - Ênfase1 2 2 2 3 2 2" xfId="9439"/>
    <cellStyle name="40% - Ênfase1 2 2 2 3 2 2" xfId="9440"/>
    <cellStyle name="20% - Ênfase2 2 2 2 3 2 2" xfId="9441"/>
    <cellStyle name="40% - Ênfase2 2 2 2 3 2 2" xfId="9442"/>
    <cellStyle name="20% - Ênfase3 2 2 2 3 2 2" xfId="9443"/>
    <cellStyle name="40% - Ênfase3 2 2 2 3 2 2" xfId="9444"/>
    <cellStyle name="20% - Ênfase4 2 2 2 3 2 2" xfId="9445"/>
    <cellStyle name="40% - Ênfase4 2 2 2 3 2 2" xfId="9446"/>
    <cellStyle name="20% - Ênfase5 2 2 2 3 2 2" xfId="9447"/>
    <cellStyle name="40% - Ênfase5 2 2 2 3 2 2" xfId="9448"/>
    <cellStyle name="20% - Ênfase6 2 2 2 3 2 2" xfId="9449"/>
    <cellStyle name="40% - Ênfase6 2 2 2 3 2 2" xfId="9450"/>
    <cellStyle name="Normal 7 2 2 3 2 2" xfId="9451"/>
    <cellStyle name="Nota 4 3 3 2 2" xfId="9452"/>
    <cellStyle name="20% - Ênfase1 3 3 3 2 2" xfId="9453"/>
    <cellStyle name="40% - Ênfase1 3 3 3 2 2" xfId="9454"/>
    <cellStyle name="20% - Ênfase2 3 3 3 2 2" xfId="9455"/>
    <cellStyle name="40% - Ênfase2 3 3 3 2 2" xfId="9456"/>
    <cellStyle name="20% - Ênfase3 3 3 3 2 2" xfId="9457"/>
    <cellStyle name="40% - Ênfase3 3 3 3 2 2" xfId="9458"/>
    <cellStyle name="20% - Ênfase4 3 3 3 2 2" xfId="9459"/>
    <cellStyle name="40% - Ênfase4 3 3 3 2 2" xfId="9460"/>
    <cellStyle name="20% - Ênfase5 3 3 3 2 2" xfId="9461"/>
    <cellStyle name="40% - Ênfase5 3 3 3 2 2" xfId="9462"/>
    <cellStyle name="20% - Ênfase6 3 3 3 2 2" xfId="9463"/>
    <cellStyle name="40% - Ênfase6 3 3 3 2 2" xfId="9464"/>
    <cellStyle name="Normal 8 3 3 2 2" xfId="9465"/>
    <cellStyle name="Nota 5 3 3 2 2" xfId="9466"/>
    <cellStyle name="20% - Ênfase1 4 3 3 2 2" xfId="9467"/>
    <cellStyle name="40% - Ênfase1 4 3 3 2 2" xfId="9468"/>
    <cellStyle name="20% - Ênfase2 4 3 3 2 2" xfId="9469"/>
    <cellStyle name="40% - Ênfase2 4 3 3 2 2" xfId="9470"/>
    <cellStyle name="20% - Ênfase3 4 3 3 2 2" xfId="9471"/>
    <cellStyle name="40% - Ênfase3 4 3 3 2 2" xfId="9472"/>
    <cellStyle name="20% - Ênfase4 4 3 3 2 2" xfId="9473"/>
    <cellStyle name="40% - Ênfase4 4 3 3 2 2" xfId="9474"/>
    <cellStyle name="20% - Ênfase5 4 3 3 2 2" xfId="9475"/>
    <cellStyle name="40% - Ênfase5 4 3 3 2 2" xfId="9476"/>
    <cellStyle name="20% - Ênfase6 4 3 3 2 2" xfId="9477"/>
    <cellStyle name="40% - Ênfase6 4 3 3 2 2" xfId="9478"/>
    <cellStyle name="20% - Ênfase1 6 2 3 2 2" xfId="9479"/>
    <cellStyle name="40% - Ênfase1 6 2 3 2 2" xfId="9480"/>
    <cellStyle name="20% - Ênfase2 6 2 3 2 2" xfId="9481"/>
    <cellStyle name="40% - Ênfase2 6 2 3 2 2" xfId="9482"/>
    <cellStyle name="20% - Ênfase3 6 2 3 2 2" xfId="9483"/>
    <cellStyle name="40% - Ênfase3 6 2 3 2 2" xfId="9484"/>
    <cellStyle name="20% - Ênfase4 6 2 3 2 2" xfId="9485"/>
    <cellStyle name="40% - Ênfase4 6 2 3 2 2" xfId="9486"/>
    <cellStyle name="20% - Ênfase5 6 2 3 2 2" xfId="9487"/>
    <cellStyle name="40% - Ênfase5 6 2 3 2 2" xfId="9488"/>
    <cellStyle name="20% - Ênfase6 6 2 3 2 2" xfId="9489"/>
    <cellStyle name="40% - Ênfase6 6 2 3 2 2" xfId="9490"/>
    <cellStyle name="Normal 4 3 2 3 2 2" xfId="9491"/>
    <cellStyle name="Nota 2 3 2 3 2 2" xfId="9492"/>
    <cellStyle name="Normal 5 3 2 3 2 2" xfId="9493"/>
    <cellStyle name="Nota 3 3 2 3 2 2" xfId="9494"/>
    <cellStyle name="20% - Ênfase1 2 3 2 3 2 2" xfId="9495"/>
    <cellStyle name="40% - Ênfase1 2 3 2 3 2 2" xfId="9496"/>
    <cellStyle name="20% - Ênfase2 2 3 2 3 2 2" xfId="9497"/>
    <cellStyle name="40% - Ênfase2 2 3 2 3 2 2" xfId="9498"/>
    <cellStyle name="20% - Ênfase3 2 3 2 3 2 2" xfId="9499"/>
    <cellStyle name="40% - Ênfase3 2 3 2 3 2 2" xfId="9500"/>
    <cellStyle name="20% - Ênfase4 2 3 2 3 2 2" xfId="9501"/>
    <cellStyle name="40% - Ênfase4 2 3 2 3 2 2" xfId="9502"/>
    <cellStyle name="20% - Ênfase5 2 3 2 3 2 2" xfId="9503"/>
    <cellStyle name="40% - Ênfase5 2 3 2 3 2 2" xfId="9504"/>
    <cellStyle name="20% - Ênfase6 2 3 2 3 2 2" xfId="9505"/>
    <cellStyle name="40% - Ênfase6 2 3 2 3 2 2" xfId="9506"/>
    <cellStyle name="Normal 7 3 2 3 2 2" xfId="9507"/>
    <cellStyle name="Nota 4 2 2 3 2 2" xfId="9508"/>
    <cellStyle name="20% - Ênfase1 3 2 2 3 2 2" xfId="9509"/>
    <cellStyle name="40% - Ênfase1 3 2 2 3 2 2" xfId="9510"/>
    <cellStyle name="20% - Ênfase2 3 2 2 3 2 2" xfId="9511"/>
    <cellStyle name="40% - Ênfase2 3 2 2 3 2 2" xfId="9512"/>
    <cellStyle name="20% - Ênfase3 3 2 2 3 2 2" xfId="9513"/>
    <cellStyle name="40% - Ênfase3 3 2 2 3 2 2" xfId="9514"/>
    <cellStyle name="20% - Ênfase4 3 2 2 3 2 2" xfId="9515"/>
    <cellStyle name="40% - Ênfase4 3 2 2 3 2 2" xfId="9516"/>
    <cellStyle name="20% - Ênfase5 3 2 2 3 2 2" xfId="9517"/>
    <cellStyle name="40% - Ênfase5 3 2 2 3 2 2" xfId="9518"/>
    <cellStyle name="20% - Ênfase6 3 2 2 3 2 2" xfId="9519"/>
    <cellStyle name="40% - Ênfase6 3 2 2 3 2 2" xfId="9520"/>
    <cellStyle name="Normal 8 2 2 3 2 2" xfId="9521"/>
    <cellStyle name="Nota 5 2 2 3 2 2" xfId="9522"/>
    <cellStyle name="20% - Ênfase1 4 2 2 3 2 2" xfId="9523"/>
    <cellStyle name="40% - Ênfase1 4 2 2 3 2 2" xfId="9524"/>
    <cellStyle name="20% - Ênfase2 4 2 2 3 2 2" xfId="9525"/>
    <cellStyle name="40% - Ênfase2 4 2 2 3 2 2" xfId="9526"/>
    <cellStyle name="20% - Ênfase3 4 2 2 3 2 2" xfId="9527"/>
    <cellStyle name="40% - Ênfase3 4 2 2 3 2 2" xfId="9528"/>
    <cellStyle name="20% - Ênfase4 4 2 2 3 2 2" xfId="9529"/>
    <cellStyle name="40% - Ênfase4 4 2 2 3 2 2" xfId="9530"/>
    <cellStyle name="20% - Ênfase5 4 2 2 3 2 2" xfId="9531"/>
    <cellStyle name="40% - Ênfase5 4 2 2 3 2 2" xfId="9532"/>
    <cellStyle name="20% - Ênfase6 4 2 2 3 2 2" xfId="9533"/>
    <cellStyle name="40% - Ênfase6 4 2 2 3 2 2" xfId="9534"/>
    <cellStyle name="Normal 3 6 2 2" xfId="9535"/>
    <cellStyle name="20% - Ênfase1 5 5 2 2" xfId="9536"/>
    <cellStyle name="40% - Ênfase1 5 5 2 2" xfId="9537"/>
    <cellStyle name="20% - Ênfase2 5 5 2 2" xfId="9538"/>
    <cellStyle name="40% - Ênfase2 5 5 2 2" xfId="9539"/>
    <cellStyle name="20% - Ênfase3 5 5 2 2" xfId="9540"/>
    <cellStyle name="40% - Ênfase3 5 5 2 2" xfId="9541"/>
    <cellStyle name="20% - Ênfase4 5 5 2 2" xfId="9542"/>
    <cellStyle name="40% - Ênfase4 5 5 2 2" xfId="9543"/>
    <cellStyle name="20% - Ênfase5 5 5 2 2" xfId="9544"/>
    <cellStyle name="40% - Ênfase5 5 5 2 2" xfId="9545"/>
    <cellStyle name="20% - Ênfase6 5 5 2 2" xfId="9546"/>
    <cellStyle name="40% - Ênfase6 5 5 2 2" xfId="9547"/>
    <cellStyle name="Normal 4 2 5 2 2" xfId="9548"/>
    <cellStyle name="Nota 2 2 5 2 2" xfId="9549"/>
    <cellStyle name="Normal 5 2 5 2 2" xfId="9550"/>
    <cellStyle name="Nota 3 2 5 2 2" xfId="9551"/>
    <cellStyle name="20% - Ênfase1 2 2 5 2 2" xfId="9552"/>
    <cellStyle name="40% - Ênfase1 2 2 5 2 2" xfId="9553"/>
    <cellStyle name="20% - Ênfase2 2 2 5 2 2" xfId="9554"/>
    <cellStyle name="40% - Ênfase2 2 2 5 2 2" xfId="9555"/>
    <cellStyle name="20% - Ênfase3 2 2 5 2 2" xfId="9556"/>
    <cellStyle name="40% - Ênfase3 2 2 5 2 2" xfId="9557"/>
    <cellStyle name="20% - Ênfase4 2 2 5 2 2" xfId="9558"/>
    <cellStyle name="40% - Ênfase4 2 2 5 2 2" xfId="9559"/>
    <cellStyle name="20% - Ênfase5 2 2 5 2 2" xfId="9560"/>
    <cellStyle name="40% - Ênfase5 2 2 5 2 2" xfId="9561"/>
    <cellStyle name="20% - Ênfase6 2 2 5 2 2" xfId="9562"/>
    <cellStyle name="40% - Ênfase6 2 2 5 2 2" xfId="9563"/>
    <cellStyle name="Normal 7 2 5 2 2" xfId="9564"/>
    <cellStyle name="Nota 4 7 2 2" xfId="9565"/>
    <cellStyle name="20% - Ênfase1 3 7 2 2" xfId="9566"/>
    <cellStyle name="40% - Ênfase1 3 7 2 2" xfId="9567"/>
    <cellStyle name="20% - Ênfase2 3 7 2 2" xfId="9568"/>
    <cellStyle name="40% - Ênfase2 3 7 2 2" xfId="9569"/>
    <cellStyle name="20% - Ênfase3 3 7 2 2" xfId="9570"/>
    <cellStyle name="40% - Ênfase3 3 7 2 2" xfId="9571"/>
    <cellStyle name="20% - Ênfase4 3 7 2 2" xfId="9572"/>
    <cellStyle name="40% - Ênfase4 3 7 2 2" xfId="9573"/>
    <cellStyle name="20% - Ênfase5 3 7 2 2" xfId="9574"/>
    <cellStyle name="40% - Ênfase5 3 7 2 2" xfId="9575"/>
    <cellStyle name="20% - Ênfase6 3 7 2 2" xfId="9576"/>
    <cellStyle name="40% - Ênfase6 3 7 2 2" xfId="9577"/>
    <cellStyle name="Normal 8 7 2 2" xfId="9578"/>
    <cellStyle name="Nota 5 7 2 2" xfId="9579"/>
    <cellStyle name="20% - Ênfase1 4 7 2 2" xfId="9580"/>
    <cellStyle name="40% - Ênfase1 4 7 2 2" xfId="9581"/>
    <cellStyle name="20% - Ênfase2 4 7 2 2" xfId="9582"/>
    <cellStyle name="40% - Ênfase2 4 7 2 2" xfId="9583"/>
    <cellStyle name="20% - Ênfase3 4 7 2 2" xfId="9584"/>
    <cellStyle name="40% - Ênfase3 4 7 2 2" xfId="9585"/>
    <cellStyle name="20% - Ênfase4 4 7 2 2" xfId="9586"/>
    <cellStyle name="40% - Ênfase4 4 7 2 2" xfId="9587"/>
    <cellStyle name="20% - Ênfase5 4 7 2 2" xfId="9588"/>
    <cellStyle name="40% - Ênfase5 4 7 2 2" xfId="9589"/>
    <cellStyle name="20% - Ênfase6 4 7 2 2" xfId="9590"/>
    <cellStyle name="40% - Ênfase6 4 7 2 2" xfId="9591"/>
    <cellStyle name="Normal 6 4 2 2" xfId="9592"/>
    <cellStyle name="Separador de milhares 7 2 2 2" xfId="9593"/>
    <cellStyle name="Accent1 32" xfId="9594"/>
    <cellStyle name="Accent2 32" xfId="9595"/>
    <cellStyle name="Accent3 32" xfId="9596"/>
    <cellStyle name="Accent4 32" xfId="9597"/>
    <cellStyle name="Accent5 32" xfId="9598"/>
    <cellStyle name="Accent6 32" xfId="9599"/>
    <cellStyle name="Calculation 6 2" xfId="9600"/>
    <cellStyle name="Cálculo 6" xfId="9601"/>
    <cellStyle name="Entrada 6 2" xfId="9602"/>
    <cellStyle name="Input 5" xfId="9603"/>
    <cellStyle name="Nota 8 2" xfId="9604"/>
    <cellStyle name="Note 6" xfId="9605"/>
    <cellStyle name="Output 6 2" xfId="9606"/>
    <cellStyle name="Saída 5" xfId="9607"/>
    <cellStyle name="SAPBEXaggData 10" xfId="9608"/>
    <cellStyle name="SAPBEXaggData 2 6 2" xfId="9609"/>
    <cellStyle name="SAPBEXaggDataEmph 8" xfId="9610"/>
    <cellStyle name="SAPBEXaggDataEmph 2 6 2" xfId="9611"/>
    <cellStyle name="SAPBEXaggItem 10" xfId="9612"/>
    <cellStyle name="SAPBEXaggItem 2 6 2" xfId="9613"/>
    <cellStyle name="SAPBEXaggItemX 9 2" xfId="9614"/>
    <cellStyle name="SAPBEXexcBad7 9" xfId="9615"/>
    <cellStyle name="SAPBEXexcBad7 2 6 2" xfId="9616"/>
    <cellStyle name="SAPBEXexcBad8 8" xfId="9617"/>
    <cellStyle name="SAPBEXexcBad8 2 6 2" xfId="9618"/>
    <cellStyle name="SAPBEXexcBad9 9" xfId="9619"/>
    <cellStyle name="SAPBEXexcBad9 2 6 2" xfId="9620"/>
    <cellStyle name="SAPBEXexcCritical4 8" xfId="9621"/>
    <cellStyle name="SAPBEXexcCritical4 2 6 2" xfId="9622"/>
    <cellStyle name="SAPBEXexcCritical5 9" xfId="9623"/>
    <cellStyle name="SAPBEXexcCritical5 2 6 2" xfId="9624"/>
    <cellStyle name="SAPBEXexcCritical6 8" xfId="9625"/>
    <cellStyle name="SAPBEXexcCritical6 2 6 2" xfId="9626"/>
    <cellStyle name="SAPBEXexcGood1 9" xfId="9627"/>
    <cellStyle name="SAPBEXexcGood1 2 6 2" xfId="9628"/>
    <cellStyle name="SAPBEXexcGood2 8" xfId="9629"/>
    <cellStyle name="SAPBEXexcGood2 2 6 2" xfId="9630"/>
    <cellStyle name="SAPBEXexcGood3 9" xfId="9631"/>
    <cellStyle name="SAPBEXexcGood3 2 6 2" xfId="9632"/>
    <cellStyle name="SAPBEXformats 9" xfId="9633"/>
    <cellStyle name="SAPBEXformats 2 7" xfId="9634"/>
    <cellStyle name="SAPBEXHLevel0 10 2" xfId="9635"/>
    <cellStyle name="SAPBEXHLevel0X 10 2" xfId="9636"/>
    <cellStyle name="SAPBEXHLevel1 9" xfId="9637"/>
    <cellStyle name="SAPBEXHLevel1X 10 2" xfId="9638"/>
    <cellStyle name="SAPBEXHLevel2 9" xfId="9639"/>
    <cellStyle name="SAPBEXHLevel2X 10 2" xfId="9640"/>
    <cellStyle name="SAPBEXHLevel3 10 2" xfId="9641"/>
    <cellStyle name="SAPBEXHLevel3X 10 2" xfId="9642"/>
    <cellStyle name="SAPBEXinputData 10 2" xfId="9643"/>
    <cellStyle name="SAPBEXresData 8" xfId="9644"/>
    <cellStyle name="SAPBEXresData 2 6 2" xfId="9645"/>
    <cellStyle name="SAPBEXresDataEmph 8" xfId="9646"/>
    <cellStyle name="SAPBEXresDataEmph 2 6 2" xfId="9647"/>
    <cellStyle name="SAPBEXresItem 9 2" xfId="9648"/>
    <cellStyle name="SAPBEXresItem 2 6 2" xfId="9649"/>
    <cellStyle name="SAPBEXresItemX 10 2" xfId="9650"/>
    <cellStyle name="SAPBEXstdData 10" xfId="9651"/>
    <cellStyle name="SAPBEXstdData 2 6 2" xfId="9652"/>
    <cellStyle name="SAPBEXstdDataEmph 8" xfId="9653"/>
    <cellStyle name="SAPBEXstdDataEmph 2 6 2" xfId="9654"/>
    <cellStyle name="SAPBEXstdItem 10" xfId="9655"/>
    <cellStyle name="SAPBEXstdItem 2 7 2" xfId="9656"/>
    <cellStyle name="SAPBEXstdItemX 9" xfId="9657"/>
    <cellStyle name="SAPBEXtitle 10 2" xfId="9658"/>
    <cellStyle name="SAPBEXtitle 2 6 2" xfId="9659"/>
    <cellStyle name="SAPBEXundefined 8" xfId="9660"/>
    <cellStyle name="SAPBEXundefined 2 6 2" xfId="9661"/>
    <cellStyle name="Total 5 2" xfId="9662"/>
    <cellStyle name="Normal 3 10" xfId="9663"/>
    <cellStyle name="SAPBEXItemHeader 2 2" xfId="9664"/>
    <cellStyle name="SAPBEXunassignedItem 3 2" xfId="9665"/>
    <cellStyle name="Note 2 4 2" xfId="9666"/>
    <cellStyle name="SAPBEXHLevel0 3 8 2" xfId="9667"/>
    <cellStyle name="SAPBEXHLevel0X 3 7 2" xfId="9668"/>
    <cellStyle name="SAPBEXHLevel1 3 8 2" xfId="9669"/>
    <cellStyle name="SAPBEXHLevel1X 3 7 2" xfId="9670"/>
    <cellStyle name="SAPBEXHLevel2 3 8 2" xfId="9671"/>
    <cellStyle name="SAPBEXHLevel2X 3 7 2" xfId="9672"/>
    <cellStyle name="SAPBEXHLevel3 3 7 2" xfId="9673"/>
    <cellStyle name="SAPBEXHLevel3X 3 7 2" xfId="9674"/>
    <cellStyle name="SAPBEXinputData 3 6 2" xfId="9675"/>
    <cellStyle name="Cálculo 2 5 2" xfId="9676"/>
    <cellStyle name="Entrada 2 5 2" xfId="9677"/>
    <cellStyle name="Nota 2 7 2" xfId="9678"/>
    <cellStyle name="Saída 2 5" xfId="9679"/>
    <cellStyle name="SAPBEXaggData 3 6 2" xfId="9680"/>
    <cellStyle name="SAPBEXaggDataEmph 3 3 2" xfId="9681"/>
    <cellStyle name="SAPBEXaggItem 3 6 2" xfId="9682"/>
    <cellStyle name="SAPBEXaggItemX 3 4 2" xfId="9683"/>
    <cellStyle name="SAPBEXchaText 3 6 2" xfId="9684"/>
    <cellStyle name="SAPBEXexcBad7 3 3 2" xfId="9685"/>
    <cellStyle name="SAPBEXexcBad8 3 3 2" xfId="9686"/>
    <cellStyle name="SAPBEXexcBad9 3 4 2" xfId="9687"/>
    <cellStyle name="SAPBEXexcCritical4 3 3 2" xfId="9688"/>
    <cellStyle name="SAPBEXexcCritical5 3 3 2" xfId="9689"/>
    <cellStyle name="SAPBEXexcCritical6 3 3 2" xfId="9690"/>
    <cellStyle name="SAPBEXexcGood1 3 3 2" xfId="9691"/>
    <cellStyle name="SAPBEXexcGood2 3 3 2" xfId="9692"/>
    <cellStyle name="SAPBEXexcGood3 3 3 2" xfId="9693"/>
    <cellStyle name="SAPBEXfilterDrill 3 4 2" xfId="9694"/>
    <cellStyle name="SAPBEXfilterItem 3 4 2" xfId="9695"/>
    <cellStyle name="SAPBEXformats 3 6 2" xfId="9696"/>
    <cellStyle name="SAPBEXresData 3 3 2" xfId="9697"/>
    <cellStyle name="SAPBEXresDataEmph 3 4 2" xfId="9698"/>
    <cellStyle name="SAPBEXresItem 3 3 2" xfId="9699"/>
    <cellStyle name="SAPBEXresItemX 3 4 2" xfId="9700"/>
    <cellStyle name="SAPBEXstdData 3 6 2" xfId="9701"/>
    <cellStyle name="SAPBEXstdDataEmph 3 3 2" xfId="9702"/>
    <cellStyle name="SAPBEXstdItem 3 6 2" xfId="9703"/>
    <cellStyle name="SAPBEXstdItemX 3 4 2" xfId="9704"/>
    <cellStyle name="SAPBEXtitle 3 4 2" xfId="9705"/>
    <cellStyle name="SAPBEXundefined 3 3 2" xfId="9706"/>
    <cellStyle name="Total 2 4 2" xfId="9707"/>
    <cellStyle name="Cálculo 5 2" xfId="9708"/>
    <cellStyle name="Cálculo 2 4 2" xfId="9709"/>
    <cellStyle name="Entrada 5 2" xfId="9710"/>
    <cellStyle name="Entrada 2 4 2" xfId="9711"/>
    <cellStyle name="Normal 3 7 3" xfId="9712"/>
    <cellStyle name="Nota 7 2" xfId="9713"/>
    <cellStyle name="Nota 2 6 4" xfId="9714"/>
    <cellStyle name="Note 2 3 2" xfId="9715"/>
    <cellStyle name="Saída 2 4 2" xfId="9716"/>
    <cellStyle name="SAPBEXaggData 8 2" xfId="9717"/>
    <cellStyle name="SAPBEXaggData 2 5 2" xfId="9718"/>
    <cellStyle name="SAPBEXaggData 3 5 2" xfId="9719"/>
    <cellStyle name="SAPBEXaggData 4 3 2" xfId="9720"/>
    <cellStyle name="SAPBEXaggDataEmph 2 5 2" xfId="9721"/>
    <cellStyle name="SAPBEXaggDataEmph 3 2 2" xfId="9722"/>
    <cellStyle name="SAPBEXaggItem 2 5 2" xfId="9723"/>
    <cellStyle name="SAPBEXaggItem 3 5 2" xfId="9724"/>
    <cellStyle name="SAPBEXaggItem 4 4 2" xfId="9725"/>
    <cellStyle name="SAPBEXaggItemX 2 4 2" xfId="9726"/>
    <cellStyle name="SAPBEXexcBad7 2 5 2" xfId="9727"/>
    <cellStyle name="SAPBEXexcBad7 3 2 2" xfId="9728"/>
    <cellStyle name="SAPBEXexcBad7 4 3 2" xfId="9729"/>
    <cellStyle name="SAPBEXexcBad8 2 5 2" xfId="9730"/>
    <cellStyle name="SAPBEXexcBad8 3 2 2" xfId="9731"/>
    <cellStyle name="SAPBEXexcBad9 2 5 2" xfId="9732"/>
    <cellStyle name="SAPBEXexcBad9 3 2 3" xfId="9733"/>
    <cellStyle name="SAPBEXexcBad9 4 3 2" xfId="9734"/>
    <cellStyle name="SAPBEXexcCritical4 2 5 2" xfId="9735"/>
    <cellStyle name="SAPBEXexcCritical4 3 2 2" xfId="9736"/>
    <cellStyle name="SAPBEXexcCritical5 2 5 2" xfId="9737"/>
    <cellStyle name="SAPBEXexcCritical5 3 2 2" xfId="9738"/>
    <cellStyle name="SAPBEXexcCritical5 4 3 2" xfId="9739"/>
    <cellStyle name="SAPBEXexcCritical6 2 5 2" xfId="9740"/>
    <cellStyle name="SAPBEXexcCritical6 3 2 2" xfId="9741"/>
    <cellStyle name="SAPBEXexcGood1 2 5 2" xfId="9742"/>
    <cellStyle name="SAPBEXexcGood1 3 2 2" xfId="9743"/>
    <cellStyle name="SAPBEXexcGood1 4 3 2" xfId="9744"/>
    <cellStyle name="SAPBEXexcGood2 2 5 2" xfId="9745"/>
    <cellStyle name="SAPBEXexcGood2 3 2 2" xfId="9746"/>
    <cellStyle name="SAPBEXexcGood3 2 5 2" xfId="9747"/>
    <cellStyle name="SAPBEXexcGood3 3 2 2" xfId="9748"/>
    <cellStyle name="SAPBEXexcGood3 4 3 2" xfId="9749"/>
    <cellStyle name="SAPBEXformats 2 5 2" xfId="9750"/>
    <cellStyle name="SAPBEXformats 3 5 2" xfId="9751"/>
    <cellStyle name="SAPBEXformats 4 3 2" xfId="9752"/>
    <cellStyle name="SAPBEXHLevel0 2 5 2" xfId="9753"/>
    <cellStyle name="SAPBEXHLevel0 3 5 2" xfId="9754"/>
    <cellStyle name="SAPBEXHLevel0X 2 4 2" xfId="9755"/>
    <cellStyle name="SAPBEXHLevel0X 3 4 2" xfId="9756"/>
    <cellStyle name="SAPBEXHLevel1 2 5 2" xfId="9757"/>
    <cellStyle name="SAPBEXHLevel1X 2 4 2" xfId="9758"/>
    <cellStyle name="SAPBEXHLevel1X 3 4 2" xfId="9759"/>
    <cellStyle name="SAPBEXHLevel2 2 5 2" xfId="9760"/>
    <cellStyle name="SAPBEXHLevel2X 2 4 2" xfId="9761"/>
    <cellStyle name="SAPBEXHLevel2X 3 4 2" xfId="9762"/>
    <cellStyle name="SAPBEXHLevel3 2 5 2" xfId="9763"/>
    <cellStyle name="SAPBEXHLevel3 3 4 2" xfId="9764"/>
    <cellStyle name="SAPBEXHLevel3X 2 4 2" xfId="9765"/>
    <cellStyle name="SAPBEXHLevel3X 3 4 2" xfId="9766"/>
    <cellStyle name="SAPBEXinputData 3 4 2" xfId="9767"/>
    <cellStyle name="SAPBEXresData 2 5 2" xfId="9768"/>
    <cellStyle name="SAPBEXresData 3 2 2" xfId="9769"/>
    <cellStyle name="SAPBEXresDataEmph 2 5 2" xfId="9770"/>
    <cellStyle name="SAPBEXresDataEmph 3 2 3" xfId="9771"/>
    <cellStyle name="SAPBEXresItem 2 5 2" xfId="9772"/>
    <cellStyle name="SAPBEXresItem 3 2 2" xfId="9773"/>
    <cellStyle name="SAPBEXresItemX 2 4 2" xfId="9774"/>
    <cellStyle name="SAPBEXresItemX 3 3 2" xfId="9775"/>
    <cellStyle name="SAPBEXstdData 2 5 2" xfId="9776"/>
    <cellStyle name="SAPBEXstdData 3 5 2" xfId="9777"/>
    <cellStyle name="SAPBEXstdData 4 3 2" xfId="9778"/>
    <cellStyle name="SAPBEXstdDataEmph 2 5 2" xfId="9779"/>
    <cellStyle name="SAPBEXstdDataEmph 3 2 2" xfId="9780"/>
    <cellStyle name="SAPBEXstdItem 2 5 2" xfId="9781"/>
    <cellStyle name="SAPBEXstdItem 3 5 2" xfId="9782"/>
    <cellStyle name="SAPBEXstdItem 4 4 2" xfId="9783"/>
    <cellStyle name="SAPBEXstdItemX 2 4 2" xfId="9784"/>
    <cellStyle name="SAPBEXtitle 4 2 2" xfId="9785"/>
    <cellStyle name="SAPBEXundefined 2 5 2" xfId="9786"/>
    <cellStyle name="SAPBEXundefined 3 2 2" xfId="9787"/>
    <cellStyle name="Total 4 3" xfId="9788"/>
    <cellStyle name="Cálculo 3 3 2" xfId="9789"/>
    <cellStyle name="Entrada 3 3 2" xfId="9790"/>
    <cellStyle name="Nota 3 7 2" xfId="9791"/>
    <cellStyle name="Saída 3 4 2" xfId="9792"/>
    <cellStyle name="SAPBEXaggData 5 3" xfId="9793"/>
    <cellStyle name="SAPBEXaggDataEmph 4 3 2" xfId="9794"/>
    <cellStyle name="SAPBEXaggItem 5 3" xfId="9795"/>
    <cellStyle name="SAPBEXchaText 5 3" xfId="9796"/>
    <cellStyle name="SAPBEXexcBad7 5 3" xfId="9797"/>
    <cellStyle name="SAPBEXexcBad8 4 3 2" xfId="9798"/>
    <cellStyle name="SAPBEXexcBad9 5 3" xfId="9799"/>
    <cellStyle name="SAPBEXexcCritical4 4 3 2" xfId="9800"/>
    <cellStyle name="SAPBEXexcCritical5 5 3" xfId="9801"/>
    <cellStyle name="SAPBEXexcCritical6 4 3 2" xfId="9802"/>
    <cellStyle name="SAPBEXexcGood1 5 3" xfId="9803"/>
    <cellStyle name="SAPBEXexcGood2 4 3 2" xfId="9804"/>
    <cellStyle name="SAPBEXexcGood3 5 3" xfId="9805"/>
    <cellStyle name="SAPBEXfilterDrill 5 2" xfId="9806"/>
    <cellStyle name="SAPBEXfilterItem 5 2" xfId="9807"/>
    <cellStyle name="SAPBEXfilterText 3 2 2" xfId="9808"/>
    <cellStyle name="SAPBEXformats 5 3" xfId="9809"/>
    <cellStyle name="SAPBEXheaderItem 5 2" xfId="9810"/>
    <cellStyle name="SAPBEXheaderText 5 2" xfId="9811"/>
    <cellStyle name="SAPBEXHLevel0 4 4 2" xfId="9812"/>
    <cellStyle name="SAPBEXHLevel0X 4 4 2" xfId="9813"/>
    <cellStyle name="SAPBEXHLevel1 3 5 2" xfId="9814"/>
    <cellStyle name="SAPBEXHLevel1X 4 4 2" xfId="9815"/>
    <cellStyle name="SAPBEXHLevel2 3 5 2" xfId="9816"/>
    <cellStyle name="SAPBEXHLevel2X 4 4 2" xfId="9817"/>
    <cellStyle name="SAPBEXHLevel3 4 4 2" xfId="9818"/>
    <cellStyle name="SAPBEXHLevel3X 4 4 2" xfId="9819"/>
    <cellStyle name="SAPBEXresData 4 3 2" xfId="9820"/>
    <cellStyle name="SAPBEXresDataEmph 4 3 2" xfId="9821"/>
    <cellStyle name="SAPBEXresItem 4 3 2" xfId="9822"/>
    <cellStyle name="SAPBEXresItemX 4 3 2" xfId="9823"/>
    <cellStyle name="SAPBEXstdData 5 3" xfId="9824"/>
    <cellStyle name="SAPBEXstdDataEmph 4 3 2" xfId="9825"/>
    <cellStyle name="SAPBEXstdItem 5 3" xfId="9826"/>
    <cellStyle name="SAPBEXtitle 5 2" xfId="9827"/>
    <cellStyle name="SAPBEXundefined 4 3 2" xfId="9828"/>
    <cellStyle name="SAPBEXaggData 2 2 2" xfId="9829"/>
    <cellStyle name="SAPBEXaggItem 2 2 2" xfId="9830"/>
    <cellStyle name="SAPBEXchaText 2 2 2" xfId="9831"/>
    <cellStyle name="SAPBEXformats 2 2 3 2" xfId="9832"/>
    <cellStyle name="SAPBEXHLevel0 2 2 3" xfId="9833"/>
    <cellStyle name="SAPBEXHLevel1 2 2 3" xfId="9834"/>
    <cellStyle name="SAPBEXHLevel2 2 2 3" xfId="9835"/>
    <cellStyle name="SAPBEXHLevel3 2 2 3" xfId="9836"/>
    <cellStyle name="SAPBEXstdData 2 2 2" xfId="9837"/>
    <cellStyle name="SAPBEXstdItem 2 2 3 2" xfId="9838"/>
    <cellStyle name="SAPBEXaggData 6 2" xfId="9839"/>
    <cellStyle name="SAPBEXaggDataEmph 5 3" xfId="9840"/>
    <cellStyle name="SAPBEXaggItem 6 2" xfId="9841"/>
    <cellStyle name="SAPBEXaggItemX 4 3 2" xfId="9842"/>
    <cellStyle name="SAPBEXchaText 6 2" xfId="9843"/>
    <cellStyle name="SAPBEXexcBad7 6 2" xfId="9844"/>
    <cellStyle name="SAPBEXexcBad8 5 3" xfId="9845"/>
    <cellStyle name="SAPBEXexcBad9 6 2" xfId="9846"/>
    <cellStyle name="SAPBEXexcCritical4 5 3" xfId="9847"/>
    <cellStyle name="SAPBEXexcCritical5 6 2" xfId="9848"/>
    <cellStyle name="SAPBEXexcCritical6 5 3" xfId="9849"/>
    <cellStyle name="SAPBEXexcGood1 6 2" xfId="9850"/>
    <cellStyle name="SAPBEXexcGood2 5 3" xfId="9851"/>
    <cellStyle name="SAPBEXexcGood3 6 2" xfId="9852"/>
    <cellStyle name="SAPBEXfilterDrill 6 2" xfId="9853"/>
    <cellStyle name="SAPBEXfilterItem 6 2" xfId="9854"/>
    <cellStyle name="SAPBEXformats 6 2" xfId="9855"/>
    <cellStyle name="SAPBEXheaderItem 6 2" xfId="9856"/>
    <cellStyle name="SAPBEXheaderText 6 2" xfId="9857"/>
    <cellStyle name="SAPBEXHLevel0 5 4" xfId="9858"/>
    <cellStyle name="SAPBEXHLevel0X 5 3" xfId="9859"/>
    <cellStyle name="SAPBEXHLevel1 4 4 2" xfId="9860"/>
    <cellStyle name="SAPBEXHLevel1X 5 3" xfId="9861"/>
    <cellStyle name="SAPBEXHLevel2 4 4 2" xfId="9862"/>
    <cellStyle name="SAPBEXHLevel2X 5 3" xfId="9863"/>
    <cellStyle name="SAPBEXHLevel3 5 4" xfId="9864"/>
    <cellStyle name="SAPBEXHLevel3X 5 3" xfId="9865"/>
    <cellStyle name="SAPBEXresData 5 3" xfId="9866"/>
    <cellStyle name="SAPBEXresDataEmph 5 3" xfId="9867"/>
    <cellStyle name="SAPBEXresItem 5 2" xfId="9868"/>
    <cellStyle name="SAPBEXresItemX 5 3" xfId="9869"/>
    <cellStyle name="SAPBEXstdData 6 2" xfId="9870"/>
    <cellStyle name="SAPBEXstdDataEmph 5 3" xfId="9871"/>
    <cellStyle name="SAPBEXstdItem 6 2" xfId="9872"/>
    <cellStyle name="SAPBEXstdItemX 4 4 2" xfId="9873"/>
    <cellStyle name="SAPBEXundefined 5 3" xfId="9874"/>
    <cellStyle name="20% - Ênfase1 5 9" xfId="9875"/>
    <cellStyle name="40% - Ênfase1 5 9" xfId="9876"/>
    <cellStyle name="20% - Ênfase2 5 9" xfId="9877"/>
    <cellStyle name="40% - Ênfase2 5 9" xfId="9878"/>
    <cellStyle name="20% - Ênfase3 5 9" xfId="9879"/>
    <cellStyle name="40% - Ênfase3 5 9" xfId="9880"/>
    <cellStyle name="20% - Ênfase4 5 9" xfId="9881"/>
    <cellStyle name="40% - Ênfase4 5 9" xfId="9882"/>
    <cellStyle name="20% - Ênfase5 5 9" xfId="9883"/>
    <cellStyle name="40% - Ênfase5 5 9" xfId="9884"/>
    <cellStyle name="20% - Ênfase6 5 9" xfId="9885"/>
    <cellStyle name="40% - Ênfase6 5 9" xfId="9886"/>
    <cellStyle name="Normal 4 2 9" xfId="9887"/>
    <cellStyle name="Nota 2 2 9" xfId="9888"/>
    <cellStyle name="Normal 5 2 10" xfId="9889"/>
    <cellStyle name="Nota 3 2 9" xfId="9890"/>
    <cellStyle name="20% - Ênfase1 2 2 9" xfId="9891"/>
    <cellStyle name="40% - Ênfase1 2 2 9" xfId="9892"/>
    <cellStyle name="20% - Ênfase2 2 2 9" xfId="9893"/>
    <cellStyle name="40% - Ênfase2 2 2 9" xfId="9894"/>
    <cellStyle name="20% - Ênfase3 2 2 9" xfId="9895"/>
    <cellStyle name="40% - Ênfase3 2 2 9" xfId="9896"/>
    <cellStyle name="20% - Ênfase4 2 2 9" xfId="9897"/>
    <cellStyle name="40% - Ênfase4 2 2 9" xfId="9898"/>
    <cellStyle name="20% - Ênfase5 2 2 9" xfId="9899"/>
    <cellStyle name="40% - Ênfase5 2 2 9" xfId="9900"/>
    <cellStyle name="20% - Ênfase6 2 2 9" xfId="9901"/>
    <cellStyle name="40% - Ênfase6 2 2 9" xfId="9902"/>
    <cellStyle name="SAPBEXaggData 3 2 2" xfId="9903"/>
    <cellStyle name="SAPBEXaggDataEmph 2 2 2" xfId="9904"/>
    <cellStyle name="SAPBEXaggItem 3 2 2" xfId="9905"/>
    <cellStyle name="SAPBEXexcBad7 2 2 2" xfId="9906"/>
    <cellStyle name="SAPBEXexcBad8 2 2 2" xfId="9907"/>
    <cellStyle name="SAPBEXexcBad9 2 2 2" xfId="9908"/>
    <cellStyle name="SAPBEXexcCritical4 2 2 2" xfId="9909"/>
    <cellStyle name="SAPBEXexcCritical5 2 2 2" xfId="9910"/>
    <cellStyle name="SAPBEXexcCritical6 2 2 2" xfId="9911"/>
    <cellStyle name="SAPBEXexcGood1 2 2 2" xfId="9912"/>
    <cellStyle name="SAPBEXexcGood2 2 2 2" xfId="9913"/>
    <cellStyle name="SAPBEXexcGood3 2 2 2" xfId="9914"/>
    <cellStyle name="SAPBEXformats 3 2 2" xfId="9915"/>
    <cellStyle name="SAPBEXresData 2 2 2" xfId="9916"/>
    <cellStyle name="SAPBEXresDataEmph 2 2 2" xfId="9917"/>
    <cellStyle name="SAPBEXresItem 2 2 2" xfId="9918"/>
    <cellStyle name="SAPBEXstdData 3 2 2" xfId="9919"/>
    <cellStyle name="SAPBEXstdDataEmph 2 2 2" xfId="9920"/>
    <cellStyle name="SAPBEXstdItem 3 2 2" xfId="9921"/>
    <cellStyle name="SAPBEXtitle 2 2 2" xfId="9922"/>
    <cellStyle name="SAPBEXundefined 2 2 2" xfId="9923"/>
    <cellStyle name="Normal 7 2 9" xfId="9924"/>
    <cellStyle name="Nota 4 11" xfId="9925"/>
    <cellStyle name="20% - Ênfase1 3 11" xfId="9926"/>
    <cellStyle name="40% - Ênfase1 3 11" xfId="9927"/>
    <cellStyle name="20% - Ênfase2 3 11" xfId="9928"/>
    <cellStyle name="40% - Ênfase2 3 11" xfId="9929"/>
    <cellStyle name="20% - Ênfase3 3 11" xfId="9930"/>
    <cellStyle name="40% - Ênfase3 3 11" xfId="9931"/>
    <cellStyle name="20% - Ênfase4 3 11" xfId="9932"/>
    <cellStyle name="40% - Ênfase4 3 11" xfId="9933"/>
    <cellStyle name="20% - Ênfase5 3 11" xfId="9934"/>
    <cellStyle name="40% - Ênfase5 3 11" xfId="9935"/>
    <cellStyle name="20% - Ênfase6 3 11" xfId="9936"/>
    <cellStyle name="40% - Ênfase6 3 11" xfId="9937"/>
    <cellStyle name="Normal 8 14" xfId="9938"/>
    <cellStyle name="Nota 5 11" xfId="9939"/>
    <cellStyle name="20% - Ênfase1 4 11" xfId="9940"/>
    <cellStyle name="40% - Ênfase1 4 11" xfId="9941"/>
    <cellStyle name="20% - Ênfase2 4 11" xfId="9942"/>
    <cellStyle name="40% - Ênfase2 4 11" xfId="9943"/>
    <cellStyle name="20% - Ênfase3 4 11" xfId="9944"/>
    <cellStyle name="40% - Ênfase3 4 11" xfId="9945"/>
    <cellStyle name="20% - Ênfase4 4 11" xfId="9946"/>
    <cellStyle name="40% - Ênfase4 4 11" xfId="9947"/>
    <cellStyle name="20% - Ênfase5 4 11" xfId="9948"/>
    <cellStyle name="40% - Ênfase5 4 11" xfId="9949"/>
    <cellStyle name="20% - Ênfase6 4 11" xfId="9950"/>
    <cellStyle name="40% - Ênfase6 4 11" xfId="9951"/>
    <cellStyle name="20% - Ênfase1 6 8" xfId="9952"/>
    <cellStyle name="40% - Ênfase1 6 8" xfId="9953"/>
    <cellStyle name="20% - Ênfase2 6 8" xfId="9954"/>
    <cellStyle name="40% - Ênfase2 6 8" xfId="9955"/>
    <cellStyle name="20% - Ênfase3 6 8" xfId="9956"/>
    <cellStyle name="40% - Ênfase3 6 8" xfId="9957"/>
    <cellStyle name="20% - Ênfase4 6 8" xfId="9958"/>
    <cellStyle name="40% - Ênfase4 6 8" xfId="9959"/>
    <cellStyle name="20% - Ênfase5 6 8" xfId="9960"/>
    <cellStyle name="40% - Ênfase5 6 8" xfId="9961"/>
    <cellStyle name="20% - Ênfase6 6 8" xfId="9962"/>
    <cellStyle name="40% - Ênfase6 6 8" xfId="9963"/>
    <cellStyle name="Normal 4 3 8" xfId="9964"/>
    <cellStyle name="Nota 2 3 8" xfId="9965"/>
    <cellStyle name="Normal 5 3 8" xfId="9966"/>
    <cellStyle name="Nota 3 3 8" xfId="9967"/>
    <cellStyle name="20% - Ênfase1 2 3 8" xfId="9968"/>
    <cellStyle name="40% - Ênfase1 2 3 8" xfId="9969"/>
    <cellStyle name="20% - Ênfase2 2 3 8" xfId="9970"/>
    <cellStyle name="40% - Ênfase2 2 3 8" xfId="9971"/>
    <cellStyle name="20% - Ênfase3 2 3 8" xfId="9972"/>
    <cellStyle name="40% - Ênfase3 2 3 8" xfId="9973"/>
    <cellStyle name="20% - Ênfase4 2 3 8" xfId="9974"/>
    <cellStyle name="40% - Ênfase4 2 3 8" xfId="9975"/>
    <cellStyle name="20% - Ênfase5 2 3 8" xfId="9976"/>
    <cellStyle name="40% - Ênfase5 2 3 8" xfId="9977"/>
    <cellStyle name="20% - Ênfase6 2 3 8" xfId="9978"/>
    <cellStyle name="40% - Ênfase6 2 3 8" xfId="9979"/>
    <cellStyle name="Normal 7 3 8" xfId="9980"/>
    <cellStyle name="Nota 4 2 8" xfId="9981"/>
    <cellStyle name="20% - Ênfase1 3 2 8" xfId="9982"/>
    <cellStyle name="40% - Ênfase1 3 2 8" xfId="9983"/>
    <cellStyle name="20% - Ênfase2 3 2 8" xfId="9984"/>
    <cellStyle name="40% - Ênfase2 3 2 8" xfId="9985"/>
    <cellStyle name="20% - Ênfase3 3 2 8" xfId="9986"/>
    <cellStyle name="40% - Ênfase3 3 2 8" xfId="9987"/>
    <cellStyle name="20% - Ênfase4 3 2 8" xfId="9988"/>
    <cellStyle name="40% - Ênfase4 3 2 8" xfId="9989"/>
    <cellStyle name="20% - Ênfase5 3 2 8" xfId="9990"/>
    <cellStyle name="40% - Ênfase5 3 2 8" xfId="9991"/>
    <cellStyle name="20% - Ênfase6 3 2 8" xfId="9992"/>
    <cellStyle name="40% - Ênfase6 3 2 8" xfId="9993"/>
    <cellStyle name="Normal 8 2 8" xfId="9994"/>
    <cellStyle name="Nota 5 2 8" xfId="9995"/>
    <cellStyle name="20% - Ênfase1 4 2 8" xfId="9996"/>
    <cellStyle name="40% - Ênfase1 4 2 8" xfId="9997"/>
    <cellStyle name="20% - Ênfase2 4 2 8" xfId="9998"/>
    <cellStyle name="40% - Ênfase2 4 2 8" xfId="9999"/>
    <cellStyle name="20% - Ênfase3 4 2 8" xfId="10000"/>
    <cellStyle name="40% - Ênfase3 4 2 8" xfId="10001"/>
    <cellStyle name="20% - Ênfase4 4 2 8" xfId="10002"/>
    <cellStyle name="40% - Ênfase4 4 2 8" xfId="10003"/>
    <cellStyle name="20% - Ênfase5 4 2 8" xfId="10004"/>
    <cellStyle name="40% - Ênfase5 4 2 8" xfId="10005"/>
    <cellStyle name="20% - Ênfase6 4 2 8" xfId="10006"/>
    <cellStyle name="40% - Ênfase6 4 2 8" xfId="10007"/>
    <cellStyle name="20% - Ênfase1 8 6" xfId="10008"/>
    <cellStyle name="40% - Ênfase1 8 6" xfId="10009"/>
    <cellStyle name="20% - Ênfase2 8 6" xfId="10010"/>
    <cellStyle name="40% - Ênfase2 8 6" xfId="10011"/>
    <cellStyle name="20% - Ênfase3 8 6" xfId="10012"/>
    <cellStyle name="40% - Ênfase3 8 6" xfId="10013"/>
    <cellStyle name="20% - Ênfase4 8 6" xfId="10014"/>
    <cellStyle name="40% - Ênfase4 8 6" xfId="10015"/>
    <cellStyle name="20% - Ênfase5 8 6" xfId="10016"/>
    <cellStyle name="40% - Ênfase5 8 6" xfId="10017"/>
    <cellStyle name="20% - Ênfase6 8 6" xfId="10018"/>
    <cellStyle name="40% - Ênfase6 8 6" xfId="10019"/>
    <cellStyle name="Normal 4 5 6" xfId="10020"/>
    <cellStyle name="Nota 2 5 6" xfId="10021"/>
    <cellStyle name="Normal 5 5 6" xfId="10022"/>
    <cellStyle name="Nota 3 5 6" xfId="10023"/>
    <cellStyle name="20% - Ênfase1 2 5 6" xfId="10024"/>
    <cellStyle name="40% - Ênfase1 2 5 6" xfId="10025"/>
    <cellStyle name="20% - Ênfase2 2 5 6" xfId="10026"/>
    <cellStyle name="40% - Ênfase2 2 5 6" xfId="10027"/>
    <cellStyle name="20% - Ênfase3 2 5 6" xfId="10028"/>
    <cellStyle name="40% - Ênfase3 2 5 6" xfId="10029"/>
    <cellStyle name="20% - Ênfase4 2 5 6" xfId="10030"/>
    <cellStyle name="40% - Ênfase4 2 5 6" xfId="10031"/>
    <cellStyle name="20% - Ênfase5 2 5 6" xfId="10032"/>
    <cellStyle name="40% - Ênfase5 2 5 6" xfId="10033"/>
    <cellStyle name="20% - Ênfase6 2 5 6" xfId="10034"/>
    <cellStyle name="40% - Ênfase6 2 5 6" xfId="10035"/>
    <cellStyle name="Normal 7 5 6" xfId="10036"/>
    <cellStyle name="Nota 4 4 6" xfId="10037"/>
    <cellStyle name="20% - Ênfase1 3 4 6" xfId="10038"/>
    <cellStyle name="40% - Ênfase1 3 4 6" xfId="10039"/>
    <cellStyle name="20% - Ênfase2 3 4 6" xfId="10040"/>
    <cellStyle name="40% - Ênfase2 3 4 6" xfId="10041"/>
    <cellStyle name="20% - Ênfase3 3 4 6" xfId="10042"/>
    <cellStyle name="40% - Ênfase3 3 4 6" xfId="10043"/>
    <cellStyle name="20% - Ênfase4 3 4 6" xfId="10044"/>
    <cellStyle name="40% - Ênfase4 3 4 6" xfId="10045"/>
    <cellStyle name="20% - Ênfase5 3 4 6" xfId="10046"/>
    <cellStyle name="40% - Ênfase5 3 4 6" xfId="10047"/>
    <cellStyle name="20% - Ênfase6 3 4 6" xfId="10048"/>
    <cellStyle name="40% - Ênfase6 3 4 6" xfId="10049"/>
    <cellStyle name="Normal 8 4 7" xfId="10050"/>
    <cellStyle name="Nota 5 4 6" xfId="10051"/>
    <cellStyle name="20% - Ênfase1 4 4 6" xfId="10052"/>
    <cellStyle name="40% - Ênfase1 4 4 6" xfId="10053"/>
    <cellStyle name="20% - Ênfase2 4 4 6" xfId="10054"/>
    <cellStyle name="40% - Ênfase2 4 4 6" xfId="10055"/>
    <cellStyle name="20% - Ênfase3 4 4 6" xfId="10056"/>
    <cellStyle name="40% - Ênfase3 4 4 6" xfId="10057"/>
    <cellStyle name="20% - Ênfase4 4 4 6" xfId="10058"/>
    <cellStyle name="40% - Ênfase4 4 4 6" xfId="10059"/>
    <cellStyle name="20% - Ênfase5 4 4 6" xfId="10060"/>
    <cellStyle name="40% - Ênfase5 4 4 6" xfId="10061"/>
    <cellStyle name="20% - Ênfase6 4 4 6" xfId="10062"/>
    <cellStyle name="40% - Ênfase6 4 4 6" xfId="10063"/>
    <cellStyle name="Cálculo 4 2" xfId="10064"/>
    <cellStyle name="Cálculo 2 3 2" xfId="10065"/>
    <cellStyle name="Entrada 4 3" xfId="10066"/>
    <cellStyle name="Entrada 2 3 2" xfId="10067"/>
    <cellStyle name="Normal 3 3 7" xfId="10068"/>
    <cellStyle name="Nota 6 2" xfId="10069"/>
    <cellStyle name="Nota 2 4 2" xfId="10070"/>
    <cellStyle name="Note 3 3 2" xfId="10071"/>
    <cellStyle name="Note 2 2 2" xfId="10072"/>
    <cellStyle name="Saída 4 3 2" xfId="10073"/>
    <cellStyle name="Saída 2 3 3" xfId="10074"/>
    <cellStyle name="SAPBEXaggData 7 2" xfId="10075"/>
    <cellStyle name="SAPBEXaggData 2 3 2" xfId="10076"/>
    <cellStyle name="SAPBEXaggData 3 3 2" xfId="10077"/>
    <cellStyle name="SAPBEXaggDataEmph 2 3 2" xfId="10078"/>
    <cellStyle name="SAPBEXaggItem 2 3 2" xfId="10079"/>
    <cellStyle name="SAPBEXaggItem 3 3 2" xfId="10080"/>
    <cellStyle name="SAPBEXaggItemX 2 3 2" xfId="10081"/>
    <cellStyle name="SAPBEXexcBad7 2 3 2" xfId="10082"/>
    <cellStyle name="SAPBEXexcBad8 2 3 2" xfId="10083"/>
    <cellStyle name="SAPBEXexcBad9 2 3 2" xfId="10084"/>
    <cellStyle name="SAPBEXexcCritical4 2 3 2" xfId="10085"/>
    <cellStyle name="SAPBEXexcCritical5 2 3 2" xfId="10086"/>
    <cellStyle name="SAPBEXexcCritical6 2 3 2" xfId="10087"/>
    <cellStyle name="SAPBEXexcGood1 2 3 2" xfId="10088"/>
    <cellStyle name="SAPBEXexcGood2 2 3 2" xfId="10089"/>
    <cellStyle name="SAPBEXexcGood3 2 3 2" xfId="10090"/>
    <cellStyle name="SAPBEXformats 2 3 3" xfId="10091"/>
    <cellStyle name="SAPBEXformats 3 3 2" xfId="10092"/>
    <cellStyle name="SAPBEXHLevel0 2 3 2" xfId="10093"/>
    <cellStyle name="SAPBEXHLevel0 3 3 2" xfId="10094"/>
    <cellStyle name="SAPBEXHLevel0X 2 3 2" xfId="10095"/>
    <cellStyle name="SAPBEXHLevel0X 3 2 2" xfId="10096"/>
    <cellStyle name="SAPBEXHLevel1 2 3 2" xfId="10097"/>
    <cellStyle name="SAPBEXHLevel1X 2 3 2" xfId="10098"/>
    <cellStyle name="SAPBEXHLevel1X 3 2 2" xfId="10099"/>
    <cellStyle name="SAPBEXHLevel2 2 3 2" xfId="10100"/>
    <cellStyle name="SAPBEXHLevel2X 2 3 2" xfId="10101"/>
    <cellStyle name="SAPBEXHLevel2X 3 2 2" xfId="10102"/>
    <cellStyle name="SAPBEXHLevel3 2 3 2" xfId="10103"/>
    <cellStyle name="SAPBEXHLevel3 3 3 2" xfId="10104"/>
    <cellStyle name="SAPBEXHLevel3X 2 3 2" xfId="10105"/>
    <cellStyle name="SAPBEXHLevel3X 3 2 2" xfId="10106"/>
    <cellStyle name="SAPBEXinputData 3 2 2" xfId="10107"/>
    <cellStyle name="SAPBEXresData 2 3 2" xfId="10108"/>
    <cellStyle name="SAPBEXresDataEmph 2 3 2" xfId="10109"/>
    <cellStyle name="SAPBEXresItem 2 3 2" xfId="10110"/>
    <cellStyle name="SAPBEXresItemX 2 3 2" xfId="10111"/>
    <cellStyle name="SAPBEXstdData 2 3 2" xfId="10112"/>
    <cellStyle name="SAPBEXstdData 3 3 2" xfId="10113"/>
    <cellStyle name="SAPBEXstdDataEmph 2 3 2" xfId="10114"/>
    <cellStyle name="SAPBEXstdItem 2 3 3" xfId="10115"/>
    <cellStyle name="SAPBEXstdItem 3 3 2" xfId="10116"/>
    <cellStyle name="SAPBEXstdItemX 2 3 2" xfId="10117"/>
    <cellStyle name="SAPBEXundefined 2 3 2" xfId="10118"/>
    <cellStyle name="Total 3 3 2" xfId="10119"/>
    <cellStyle name="Nota 3 4 2" xfId="10120"/>
    <cellStyle name="SAPBEXHLevel1 3 3 2" xfId="10121"/>
    <cellStyle name="SAPBEXHLevel2 3 3 2" xfId="10122"/>
    <cellStyle name="SAPBEXunassignedItem 2 2" xfId="10123"/>
    <cellStyle name="Total 2 3 2" xfId="10124"/>
    <cellStyle name="20% - Ênfase1 5 2 6" xfId="10125"/>
    <cellStyle name="40% - Ênfase1 5 2 6" xfId="10126"/>
    <cellStyle name="20% - Ênfase2 5 2 6" xfId="10127"/>
    <cellStyle name="40% - Ênfase2 5 2 6" xfId="10128"/>
    <cellStyle name="20% - Ênfase3 5 2 6" xfId="10129"/>
    <cellStyle name="40% - Ênfase3 5 2 6" xfId="10130"/>
    <cellStyle name="20% - Ênfase4 5 2 6" xfId="10131"/>
    <cellStyle name="40% - Ênfase4 5 2 6" xfId="10132"/>
    <cellStyle name="20% - Ênfase5 5 2 6" xfId="10133"/>
    <cellStyle name="40% - Ênfase5 5 2 6" xfId="10134"/>
    <cellStyle name="20% - Ênfase6 5 2 6" xfId="10135"/>
    <cellStyle name="40% - Ênfase6 5 2 6" xfId="10136"/>
    <cellStyle name="Normal 4 2 2 6" xfId="10137"/>
    <cellStyle name="Nota 2 2 2 6" xfId="10138"/>
    <cellStyle name="Normal 5 2 2 6" xfId="10139"/>
    <cellStyle name="Nota 3 2 2 6" xfId="10140"/>
    <cellStyle name="20% - Ênfase1 2 2 2 6" xfId="10141"/>
    <cellStyle name="40% - Ênfase1 2 2 2 6" xfId="10142"/>
    <cellStyle name="20% - Ênfase2 2 2 2 6" xfId="10143"/>
    <cellStyle name="40% - Ênfase2 2 2 2 6" xfId="10144"/>
    <cellStyle name="20% - Ênfase3 2 2 2 6" xfId="10145"/>
    <cellStyle name="40% - Ênfase3 2 2 2 6" xfId="10146"/>
    <cellStyle name="20% - Ênfase4 2 2 2 6" xfId="10147"/>
    <cellStyle name="40% - Ênfase4 2 2 2 6" xfId="10148"/>
    <cellStyle name="20% - Ênfase5 2 2 2 6" xfId="10149"/>
    <cellStyle name="40% - Ênfase5 2 2 2 6" xfId="10150"/>
    <cellStyle name="20% - Ênfase6 2 2 2 6" xfId="10151"/>
    <cellStyle name="40% - Ênfase6 2 2 2 6" xfId="10152"/>
    <cellStyle name="Normal 7 2 2 7" xfId="10153"/>
    <cellStyle name="Nota 4 3 7" xfId="10154"/>
    <cellStyle name="20% - Ênfase1 3 3 7" xfId="10155"/>
    <cellStyle name="40% - Ênfase1 3 3 7" xfId="10156"/>
    <cellStyle name="20% - Ênfase2 3 3 7" xfId="10157"/>
    <cellStyle name="40% - Ênfase2 3 3 7" xfId="10158"/>
    <cellStyle name="20% - Ênfase3 3 3 7" xfId="10159"/>
    <cellStyle name="40% - Ênfase3 3 3 7" xfId="10160"/>
    <cellStyle name="20% - Ênfase4 3 3 7" xfId="10161"/>
    <cellStyle name="40% - Ênfase4 3 3 7" xfId="10162"/>
    <cellStyle name="20% - Ênfase5 3 3 7" xfId="10163"/>
    <cellStyle name="40% - Ênfase5 3 3 7" xfId="10164"/>
    <cellStyle name="20% - Ênfase6 3 3 7" xfId="10165"/>
    <cellStyle name="40% - Ênfase6 3 3 7" xfId="10166"/>
    <cellStyle name="Normal 8 3 7" xfId="10167"/>
    <cellStyle name="Nota 5 3 7" xfId="10168"/>
    <cellStyle name="20% - Ênfase1 4 3 7" xfId="10169"/>
    <cellStyle name="40% - Ênfase1 4 3 7" xfId="10170"/>
    <cellStyle name="20% - Ênfase2 4 3 7" xfId="10171"/>
    <cellStyle name="40% - Ênfase2 4 3 7" xfId="10172"/>
    <cellStyle name="20% - Ênfase3 4 3 7" xfId="10173"/>
    <cellStyle name="40% - Ênfase3 4 3 7" xfId="10174"/>
    <cellStyle name="20% - Ênfase4 4 3 7" xfId="10175"/>
    <cellStyle name="40% - Ênfase4 4 3 7" xfId="10176"/>
    <cellStyle name="20% - Ênfase5 4 3 7" xfId="10177"/>
    <cellStyle name="40% - Ênfase5 4 3 7" xfId="10178"/>
    <cellStyle name="20% - Ênfase6 4 3 7" xfId="10179"/>
    <cellStyle name="40% - Ênfase6 4 3 7" xfId="10180"/>
    <cellStyle name="20% - Ênfase1 6 2 6" xfId="10181"/>
    <cellStyle name="40% - Ênfase1 6 2 6" xfId="10182"/>
    <cellStyle name="20% - Ênfase2 6 2 6" xfId="10183"/>
    <cellStyle name="40% - Ênfase2 6 2 6" xfId="10184"/>
    <cellStyle name="20% - Ênfase3 6 2 6" xfId="10185"/>
    <cellStyle name="40% - Ênfase3 6 2 6" xfId="10186"/>
    <cellStyle name="20% - Ênfase4 6 2 6" xfId="10187"/>
    <cellStyle name="40% - Ênfase4 6 2 6" xfId="10188"/>
    <cellStyle name="20% - Ênfase5 6 2 6" xfId="10189"/>
    <cellStyle name="40% - Ênfase5 6 2 6" xfId="10190"/>
    <cellStyle name="20% - Ênfase6 6 2 6" xfId="10191"/>
    <cellStyle name="40% - Ênfase6 6 2 6" xfId="10192"/>
    <cellStyle name="Normal 4 3 2 6" xfId="10193"/>
    <cellStyle name="Nota 2 3 2 6" xfId="10194"/>
    <cellStyle name="Normal 5 3 2 6" xfId="10195"/>
    <cellStyle name="Nota 3 3 2 6" xfId="10196"/>
    <cellStyle name="20% - Ênfase1 2 3 2 6" xfId="10197"/>
    <cellStyle name="40% - Ênfase1 2 3 2 6" xfId="10198"/>
    <cellStyle name="20% - Ênfase2 2 3 2 6" xfId="10199"/>
    <cellStyle name="40% - Ênfase2 2 3 2 6" xfId="10200"/>
    <cellStyle name="20% - Ênfase3 2 3 2 6" xfId="10201"/>
    <cellStyle name="40% - Ênfase3 2 3 2 6" xfId="10202"/>
    <cellStyle name="20% - Ênfase4 2 3 2 6" xfId="10203"/>
    <cellStyle name="40% - Ênfase4 2 3 2 6" xfId="10204"/>
    <cellStyle name="20% - Ênfase5 2 3 2 6" xfId="10205"/>
    <cellStyle name="40% - Ênfase5 2 3 2 6" xfId="10206"/>
    <cellStyle name="20% - Ênfase6 2 3 2 6" xfId="10207"/>
    <cellStyle name="40% - Ênfase6 2 3 2 6" xfId="10208"/>
    <cellStyle name="Normal 7 3 2 6" xfId="10209"/>
    <cellStyle name="Nota 4 2 2 6" xfId="10210"/>
    <cellStyle name="20% - Ênfase1 3 2 2 6" xfId="10211"/>
    <cellStyle name="40% - Ênfase1 3 2 2 6" xfId="10212"/>
    <cellStyle name="20% - Ênfase2 3 2 2 6" xfId="10213"/>
    <cellStyle name="40% - Ênfase2 3 2 2 6" xfId="10214"/>
    <cellStyle name="20% - Ênfase3 3 2 2 6" xfId="10215"/>
    <cellStyle name="40% - Ênfase3 3 2 2 6" xfId="10216"/>
    <cellStyle name="20% - Ênfase4 3 2 2 6" xfId="10217"/>
    <cellStyle name="40% - Ênfase4 3 2 2 6" xfId="10218"/>
    <cellStyle name="20% - Ênfase5 3 2 2 6" xfId="10219"/>
    <cellStyle name="40% - Ênfase5 3 2 2 6" xfId="10220"/>
    <cellStyle name="20% - Ênfase6 3 2 2 6" xfId="10221"/>
    <cellStyle name="40% - Ênfase6 3 2 2 6" xfId="10222"/>
    <cellStyle name="Normal 8 2 2 7" xfId="10223"/>
    <cellStyle name="Nota 5 2 2 6" xfId="10224"/>
    <cellStyle name="20% - Ênfase1 4 2 2 6" xfId="10225"/>
    <cellStyle name="40% - Ênfase1 4 2 2 6" xfId="10226"/>
    <cellStyle name="20% - Ênfase2 4 2 2 6" xfId="10227"/>
    <cellStyle name="40% - Ênfase2 4 2 2 6" xfId="10228"/>
    <cellStyle name="20% - Ênfase3 4 2 2 6" xfId="10229"/>
    <cellStyle name="40% - Ênfase3 4 2 2 6" xfId="10230"/>
    <cellStyle name="20% - Ênfase4 4 2 2 6" xfId="10231"/>
    <cellStyle name="40% - Ênfase4 4 2 2 6" xfId="10232"/>
    <cellStyle name="20% - Ênfase5 4 2 2 6" xfId="10233"/>
    <cellStyle name="40% - Ênfase5 4 2 2 6" xfId="10234"/>
    <cellStyle name="20% - Ênfase6 4 2 2 6" xfId="10235"/>
    <cellStyle name="40% - Ênfase6 4 2 2 6" xfId="10236"/>
    <cellStyle name="Normal 3 4 4" xfId="10237"/>
    <cellStyle name="20% - Ênfase1 5 3 4" xfId="10238"/>
    <cellStyle name="40% - Ênfase1 5 3 4" xfId="10239"/>
    <cellStyle name="20% - Ênfase2 5 3 4" xfId="10240"/>
    <cellStyle name="40% - Ênfase2 5 3 4" xfId="10241"/>
    <cellStyle name="20% - Ênfase3 5 3 4" xfId="10242"/>
    <cellStyle name="40% - Ênfase3 5 3 4" xfId="10243"/>
    <cellStyle name="20% - Ênfase4 5 3 4" xfId="10244"/>
    <cellStyle name="40% - Ênfase4 5 3 4" xfId="10245"/>
    <cellStyle name="20% - Ênfase5 5 3 4" xfId="10246"/>
    <cellStyle name="40% - Ênfase5 5 3 4" xfId="10247"/>
    <cellStyle name="20% - Ênfase6 5 3 4" xfId="10248"/>
    <cellStyle name="40% - Ênfase6 5 3 4" xfId="10249"/>
    <cellStyle name="Normal 4 2 3 4" xfId="10250"/>
    <cellStyle name="Nota 2 2 3 4" xfId="10251"/>
    <cellStyle name="Normal 5 2 3 4" xfId="10252"/>
    <cellStyle name="Nota 3 2 3 4" xfId="10253"/>
    <cellStyle name="20% - Ênfase1 2 2 3 4" xfId="10254"/>
    <cellStyle name="40% - Ênfase1 2 2 3 4" xfId="10255"/>
    <cellStyle name="20% - Ênfase2 2 2 3 4" xfId="10256"/>
    <cellStyle name="40% - Ênfase2 2 2 3 4" xfId="10257"/>
    <cellStyle name="20% - Ênfase3 2 2 3 4" xfId="10258"/>
    <cellStyle name="40% - Ênfase3 2 2 3 4" xfId="10259"/>
    <cellStyle name="20% - Ênfase4 2 2 3 4" xfId="10260"/>
    <cellStyle name="40% - Ênfase4 2 2 3 4" xfId="10261"/>
    <cellStyle name="20% - Ênfase5 2 2 3 4" xfId="10262"/>
    <cellStyle name="40% - Ênfase5 2 2 3 4" xfId="10263"/>
    <cellStyle name="20% - Ênfase6 2 2 3 4" xfId="10264"/>
    <cellStyle name="40% - Ênfase6 2 2 3 4" xfId="10265"/>
    <cellStyle name="Normal 7 2 3 4" xfId="10266"/>
    <cellStyle name="Nota 4 5 4" xfId="10267"/>
    <cellStyle name="20% - Ênfase1 3 5 4" xfId="10268"/>
    <cellStyle name="40% - Ênfase1 3 5 4" xfId="10269"/>
    <cellStyle name="20% - Ênfase2 3 5 4" xfId="10270"/>
    <cellStyle name="40% - Ênfase2 3 5 4" xfId="10271"/>
    <cellStyle name="20% - Ênfase3 3 5 4" xfId="10272"/>
    <cellStyle name="40% - Ênfase3 3 5 4" xfId="10273"/>
    <cellStyle name="20% - Ênfase4 3 5 4" xfId="10274"/>
    <cellStyle name="40% - Ênfase4 3 5 4" xfId="10275"/>
    <cellStyle name="20% - Ênfase5 3 5 4" xfId="10276"/>
    <cellStyle name="40% - Ênfase5 3 5 4" xfId="10277"/>
    <cellStyle name="20% - Ênfase6 3 5 4" xfId="10278"/>
    <cellStyle name="40% - Ênfase6 3 5 4" xfId="10279"/>
    <cellStyle name="Normal 8 5 7" xfId="10280"/>
    <cellStyle name="Nota 5 5 4" xfId="10281"/>
    <cellStyle name="20% - Ênfase1 4 5 4" xfId="10282"/>
    <cellStyle name="40% - Ênfase1 4 5 4" xfId="10283"/>
    <cellStyle name="20% - Ênfase2 4 5 4" xfId="10284"/>
    <cellStyle name="40% - Ênfase2 4 5 4" xfId="10285"/>
    <cellStyle name="20% - Ênfase3 4 5 4" xfId="10286"/>
    <cellStyle name="40% - Ênfase3 4 5 4" xfId="10287"/>
    <cellStyle name="20% - Ênfase4 4 5 4" xfId="10288"/>
    <cellStyle name="40% - Ênfase4 4 5 4" xfId="10289"/>
    <cellStyle name="20% - Ênfase5 4 5 4" xfId="10290"/>
    <cellStyle name="40% - Ênfase5 4 5 4" xfId="10291"/>
    <cellStyle name="20% - Ênfase6 4 5 4" xfId="10292"/>
    <cellStyle name="40% - Ênfase6 4 5 4" xfId="10293"/>
    <cellStyle name="20% - Ênfase1 6 3 4" xfId="10294"/>
    <cellStyle name="40% - Ênfase1 6 3 4" xfId="10295"/>
    <cellStyle name="20% - Ênfase2 6 3 4" xfId="10296"/>
    <cellStyle name="40% - Ênfase2 6 3 4" xfId="10297"/>
    <cellStyle name="20% - Ênfase3 6 3 4" xfId="10298"/>
    <cellStyle name="40% - Ênfase3 6 3 4" xfId="10299"/>
    <cellStyle name="20% - Ênfase4 6 3 4" xfId="10300"/>
    <cellStyle name="40% - Ênfase4 6 3 4" xfId="10301"/>
    <cellStyle name="20% - Ênfase5 6 3 4" xfId="10302"/>
    <cellStyle name="40% - Ênfase5 6 3 4" xfId="10303"/>
    <cellStyle name="20% - Ênfase6 6 3 4" xfId="10304"/>
    <cellStyle name="40% - Ênfase6 6 3 4" xfId="10305"/>
    <cellStyle name="Normal 4 3 3 4" xfId="10306"/>
    <cellStyle name="Nota 2 3 3 4" xfId="10307"/>
    <cellStyle name="Normal 5 3 3 4" xfId="10308"/>
    <cellStyle name="Nota 3 3 3 4" xfId="10309"/>
    <cellStyle name="20% - Ênfase1 2 3 3 4" xfId="10310"/>
    <cellStyle name="40% - Ênfase1 2 3 3 4" xfId="10311"/>
    <cellStyle name="20% - Ênfase2 2 3 3 4" xfId="10312"/>
    <cellStyle name="40% - Ênfase2 2 3 3 4" xfId="10313"/>
    <cellStyle name="20% - Ênfase3 2 3 3 4" xfId="10314"/>
    <cellStyle name="40% - Ênfase3 2 3 3 4" xfId="10315"/>
    <cellStyle name="20% - Ênfase4 2 3 3 4" xfId="10316"/>
    <cellStyle name="40% - Ênfase4 2 3 3 4" xfId="10317"/>
    <cellStyle name="20% - Ênfase5 2 3 3 4" xfId="10318"/>
    <cellStyle name="40% - Ênfase5 2 3 3 4" xfId="10319"/>
    <cellStyle name="20% - Ênfase6 2 3 3 4" xfId="10320"/>
    <cellStyle name="40% - Ênfase6 2 3 3 4" xfId="10321"/>
    <cellStyle name="Normal 7 3 3 4" xfId="10322"/>
    <cellStyle name="Nota 4 2 3 4" xfId="10323"/>
    <cellStyle name="20% - Ênfase1 3 2 3 4" xfId="10324"/>
    <cellStyle name="40% - Ênfase1 3 2 3 4" xfId="10325"/>
    <cellStyle name="20% - Ênfase2 3 2 3 4" xfId="10326"/>
    <cellStyle name="40% - Ênfase2 3 2 3 4" xfId="10327"/>
    <cellStyle name="20% - Ênfase3 3 2 3 4" xfId="10328"/>
    <cellStyle name="40% - Ênfase3 3 2 3 4" xfId="10329"/>
    <cellStyle name="20% - Ênfase4 3 2 3 4" xfId="10330"/>
    <cellStyle name="40% - Ênfase4 3 2 3 4" xfId="10331"/>
    <cellStyle name="20% - Ênfase5 3 2 3 4" xfId="10332"/>
    <cellStyle name="40% - Ênfase5 3 2 3 4" xfId="10333"/>
    <cellStyle name="20% - Ênfase6 3 2 3 4" xfId="10334"/>
    <cellStyle name="40% - Ênfase6 3 2 3 4" xfId="10335"/>
    <cellStyle name="Normal 8 2 3 4" xfId="10336"/>
    <cellStyle name="Nota 5 2 3 4" xfId="10337"/>
    <cellStyle name="20% - Ênfase1 4 2 3 4" xfId="10338"/>
    <cellStyle name="40% - Ênfase1 4 2 3 4" xfId="10339"/>
    <cellStyle name="20% - Ênfase2 4 2 3 4" xfId="10340"/>
    <cellStyle name="40% - Ênfase2 4 2 3 4" xfId="10341"/>
    <cellStyle name="20% - Ênfase3 4 2 3 4" xfId="10342"/>
    <cellStyle name="40% - Ênfase3 4 2 3 4" xfId="10343"/>
    <cellStyle name="20% - Ênfase4 4 2 3 4" xfId="10344"/>
    <cellStyle name="40% - Ênfase4 4 2 3 4" xfId="10345"/>
    <cellStyle name="20% - Ênfase5 4 2 3 4" xfId="10346"/>
    <cellStyle name="40% - Ênfase5 4 2 3 4" xfId="10347"/>
    <cellStyle name="20% - Ênfase6 4 2 3 4" xfId="10348"/>
    <cellStyle name="40% - Ênfase6 4 2 3 4" xfId="10349"/>
    <cellStyle name="20% - Ênfase1 8 2 4" xfId="10350"/>
    <cellStyle name="40% - Ênfase1 8 2 4" xfId="10351"/>
    <cellStyle name="20% - Ênfase2 8 2 4" xfId="10352"/>
    <cellStyle name="40% - Ênfase2 8 2 4" xfId="10353"/>
    <cellStyle name="20% - Ênfase3 8 2 4" xfId="10354"/>
    <cellStyle name="40% - Ênfase3 8 2 4" xfId="10355"/>
    <cellStyle name="20% - Ênfase4 8 2 4" xfId="10356"/>
    <cellStyle name="40% - Ênfase4 8 2 4" xfId="10357"/>
    <cellStyle name="20% - Ênfase5 8 2 4" xfId="10358"/>
    <cellStyle name="40% - Ênfase5 8 2 4" xfId="10359"/>
    <cellStyle name="20% - Ênfase6 8 2 4" xfId="10360"/>
    <cellStyle name="40% - Ênfase6 8 2 4" xfId="10361"/>
    <cellStyle name="Normal 4 5 2 4" xfId="10362"/>
    <cellStyle name="Nota 2 5 2 4" xfId="10363"/>
    <cellStyle name="Normal 5 5 2 4" xfId="10364"/>
    <cellStyle name="Nota 3 5 2 4" xfId="10365"/>
    <cellStyle name="20% - Ênfase1 2 5 2 4" xfId="10366"/>
    <cellStyle name="40% - Ênfase1 2 5 2 4" xfId="10367"/>
    <cellStyle name="20% - Ênfase2 2 5 2 4" xfId="10368"/>
    <cellStyle name="40% - Ênfase2 2 5 2 4" xfId="10369"/>
    <cellStyle name="20% - Ênfase3 2 5 2 4" xfId="10370"/>
    <cellStyle name="40% - Ênfase3 2 5 2 4" xfId="10371"/>
    <cellStyle name="20% - Ênfase4 2 5 2 4" xfId="10372"/>
    <cellStyle name="40% - Ênfase4 2 5 2 4" xfId="10373"/>
    <cellStyle name="20% - Ênfase5 2 5 2 4" xfId="10374"/>
    <cellStyle name="40% - Ênfase5 2 5 2 4" xfId="10375"/>
    <cellStyle name="20% - Ênfase6 2 5 2 4" xfId="10376"/>
    <cellStyle name="40% - Ênfase6 2 5 2 4" xfId="10377"/>
    <cellStyle name="Normal 7 5 2 4" xfId="10378"/>
    <cellStyle name="Nota 4 4 2 4" xfId="10379"/>
    <cellStyle name="20% - Ênfase1 3 4 2 4" xfId="10380"/>
    <cellStyle name="40% - Ênfase1 3 4 2 4" xfId="10381"/>
    <cellStyle name="20% - Ênfase2 3 4 2 4" xfId="10382"/>
    <cellStyle name="40% - Ênfase2 3 4 2 4" xfId="10383"/>
    <cellStyle name="20% - Ênfase3 3 4 2 4" xfId="10384"/>
    <cellStyle name="40% - Ênfase3 3 4 2 4" xfId="10385"/>
    <cellStyle name="20% - Ênfase4 3 4 2 4" xfId="10386"/>
    <cellStyle name="40% - Ênfase4 3 4 2 4" xfId="10387"/>
    <cellStyle name="20% - Ênfase5 3 4 2 4" xfId="10388"/>
    <cellStyle name="40% - Ênfase5 3 4 2 4" xfId="10389"/>
    <cellStyle name="20% - Ênfase6 3 4 2 4" xfId="10390"/>
    <cellStyle name="40% - Ênfase6 3 4 2 4" xfId="10391"/>
    <cellStyle name="Normal 8 4 2 5" xfId="10392"/>
    <cellStyle name="Nota 5 4 2 4" xfId="10393"/>
    <cellStyle name="20% - Ênfase1 4 4 2 4" xfId="10394"/>
    <cellStyle name="40% - Ênfase1 4 4 2 4" xfId="10395"/>
    <cellStyle name="20% - Ênfase2 4 4 2 4" xfId="10396"/>
    <cellStyle name="40% - Ênfase2 4 4 2 4" xfId="10397"/>
    <cellStyle name="20% - Ênfase3 4 4 2 4" xfId="10398"/>
    <cellStyle name="40% - Ênfase3 4 4 2 4" xfId="10399"/>
    <cellStyle name="20% - Ênfase4 4 4 2 4" xfId="10400"/>
    <cellStyle name="40% - Ênfase4 4 4 2 4" xfId="10401"/>
    <cellStyle name="20% - Ênfase5 4 4 2 4" xfId="10402"/>
    <cellStyle name="40% - Ênfase5 4 4 2 4" xfId="10403"/>
    <cellStyle name="20% - Ênfase6 4 4 2 4" xfId="10404"/>
    <cellStyle name="40% - Ênfase6 4 4 2 4" xfId="10405"/>
    <cellStyle name="Normal 3 3 2 4" xfId="10406"/>
    <cellStyle name="20% - Ênfase1 5 2 2 4" xfId="10407"/>
    <cellStyle name="40% - Ênfase1 5 2 2 4" xfId="10408"/>
    <cellStyle name="20% - Ênfase2 5 2 2 4" xfId="10409"/>
    <cellStyle name="40% - Ênfase2 5 2 2 4" xfId="10410"/>
    <cellStyle name="20% - Ênfase3 5 2 2 4" xfId="10411"/>
    <cellStyle name="40% - Ênfase3 5 2 2 4" xfId="10412"/>
    <cellStyle name="20% - Ênfase4 5 2 2 4" xfId="10413"/>
    <cellStyle name="40% - Ênfase4 5 2 2 4" xfId="10414"/>
    <cellStyle name="20% - Ênfase5 5 2 2 4" xfId="10415"/>
    <cellStyle name="40% - Ênfase5 5 2 2 4" xfId="10416"/>
    <cellStyle name="20% - Ênfase6 5 2 2 4" xfId="10417"/>
    <cellStyle name="40% - Ênfase6 5 2 2 4" xfId="10418"/>
    <cellStyle name="Normal 4 2 2 2 4" xfId="10419"/>
    <cellStyle name="Nota 2 2 2 2 4" xfId="10420"/>
    <cellStyle name="Normal 5 2 2 2 4" xfId="10421"/>
    <cellStyle name="Nota 3 2 2 2 4" xfId="10422"/>
    <cellStyle name="20% - Ênfase1 2 2 2 2 4" xfId="10423"/>
    <cellStyle name="40% - Ênfase1 2 2 2 2 4" xfId="10424"/>
    <cellStyle name="20% - Ênfase2 2 2 2 2 4" xfId="10425"/>
    <cellStyle name="40% - Ênfase2 2 2 2 2 4" xfId="10426"/>
    <cellStyle name="20% - Ênfase3 2 2 2 2 4" xfId="10427"/>
    <cellStyle name="40% - Ênfase3 2 2 2 2 4" xfId="10428"/>
    <cellStyle name="20% - Ênfase4 2 2 2 2 4" xfId="10429"/>
    <cellStyle name="40% - Ênfase4 2 2 2 2 4" xfId="10430"/>
    <cellStyle name="20% - Ênfase5 2 2 2 2 4" xfId="10431"/>
    <cellStyle name="40% - Ênfase5 2 2 2 2 4" xfId="10432"/>
    <cellStyle name="20% - Ênfase6 2 2 2 2 4" xfId="10433"/>
    <cellStyle name="40% - Ênfase6 2 2 2 2 4" xfId="10434"/>
    <cellStyle name="Normal 7 2 2 2 4" xfId="10435"/>
    <cellStyle name="Nota 4 3 2 4" xfId="10436"/>
    <cellStyle name="20% - Ênfase1 3 3 2 4" xfId="10437"/>
    <cellStyle name="40% - Ênfase1 3 3 2 4" xfId="10438"/>
    <cellStyle name="20% - Ênfase2 3 3 2 4" xfId="10439"/>
    <cellStyle name="40% - Ênfase2 3 3 2 4" xfId="10440"/>
    <cellStyle name="20% - Ênfase3 3 3 2 4" xfId="10441"/>
    <cellStyle name="40% - Ênfase3 3 3 2 4" xfId="10442"/>
    <cellStyle name="20% - Ênfase4 3 3 2 4" xfId="10443"/>
    <cellStyle name="40% - Ênfase4 3 3 2 4" xfId="10444"/>
    <cellStyle name="20% - Ênfase5 3 3 2 4" xfId="10445"/>
    <cellStyle name="40% - Ênfase5 3 3 2 4" xfId="10446"/>
    <cellStyle name="20% - Ênfase6 3 3 2 4" xfId="10447"/>
    <cellStyle name="40% - Ênfase6 3 3 2 4" xfId="10448"/>
    <cellStyle name="Normal 8 3 2 5" xfId="10449"/>
    <cellStyle name="Nota 5 3 2 4" xfId="10450"/>
    <cellStyle name="20% - Ênfase1 4 3 2 4" xfId="10451"/>
    <cellStyle name="40% - Ênfase1 4 3 2 4" xfId="10452"/>
    <cellStyle name="20% - Ênfase2 4 3 2 4" xfId="10453"/>
    <cellStyle name="40% - Ênfase2 4 3 2 4" xfId="10454"/>
    <cellStyle name="20% - Ênfase3 4 3 2 4" xfId="10455"/>
    <cellStyle name="40% - Ênfase3 4 3 2 4" xfId="10456"/>
    <cellStyle name="20% - Ênfase4 4 3 2 4" xfId="10457"/>
    <cellStyle name="40% - Ênfase4 4 3 2 4" xfId="10458"/>
    <cellStyle name="20% - Ênfase5 4 3 2 4" xfId="10459"/>
    <cellStyle name="40% - Ênfase5 4 3 2 4" xfId="10460"/>
    <cellStyle name="20% - Ênfase6 4 3 2 4" xfId="10461"/>
    <cellStyle name="40% - Ênfase6 4 3 2 4" xfId="10462"/>
    <cellStyle name="20% - Ênfase1 6 2 2 4" xfId="10463"/>
    <cellStyle name="40% - Ênfase1 6 2 2 4" xfId="10464"/>
    <cellStyle name="20% - Ênfase2 6 2 2 4" xfId="10465"/>
    <cellStyle name="40% - Ênfase2 6 2 2 4" xfId="10466"/>
    <cellStyle name="20% - Ênfase3 6 2 2 4" xfId="10467"/>
    <cellStyle name="40% - Ênfase3 6 2 2 4" xfId="10468"/>
    <cellStyle name="20% - Ênfase4 6 2 2 4" xfId="10469"/>
    <cellStyle name="40% - Ênfase4 6 2 2 4" xfId="10470"/>
    <cellStyle name="20% - Ênfase5 6 2 2 4" xfId="10471"/>
    <cellStyle name="40% - Ênfase5 6 2 2 4" xfId="10472"/>
    <cellStyle name="20% - Ênfase6 6 2 2 4" xfId="10473"/>
    <cellStyle name="40% - Ênfase6 6 2 2 4" xfId="10474"/>
    <cellStyle name="Normal 4 3 2 2 4" xfId="10475"/>
    <cellStyle name="Nota 2 3 2 2 4" xfId="10476"/>
    <cellStyle name="Normal 5 3 2 2 4" xfId="10477"/>
    <cellStyle name="Nota 3 3 2 2 4" xfId="10478"/>
    <cellStyle name="20% - Ênfase1 2 3 2 2 4" xfId="10479"/>
    <cellStyle name="40% - Ênfase1 2 3 2 2 4" xfId="10480"/>
    <cellStyle name="20% - Ênfase2 2 3 2 2 4" xfId="10481"/>
    <cellStyle name="40% - Ênfase2 2 3 2 2 4" xfId="10482"/>
    <cellStyle name="20% - Ênfase3 2 3 2 2 4" xfId="10483"/>
    <cellStyle name="40% - Ênfase3 2 3 2 2 4" xfId="10484"/>
    <cellStyle name="20% - Ênfase4 2 3 2 2 4" xfId="10485"/>
    <cellStyle name="40% - Ênfase4 2 3 2 2 4" xfId="10486"/>
    <cellStyle name="20% - Ênfase5 2 3 2 2 4" xfId="10487"/>
    <cellStyle name="40% - Ênfase5 2 3 2 2 4" xfId="10488"/>
    <cellStyle name="20% - Ênfase6 2 3 2 2 4" xfId="10489"/>
    <cellStyle name="40% - Ênfase6 2 3 2 2 4" xfId="10490"/>
    <cellStyle name="Normal 7 3 2 2 4" xfId="10491"/>
    <cellStyle name="Nota 4 2 2 2 4" xfId="10492"/>
    <cellStyle name="20% - Ênfase1 3 2 2 2 4" xfId="10493"/>
    <cellStyle name="40% - Ênfase1 3 2 2 2 4" xfId="10494"/>
    <cellStyle name="20% - Ênfase2 3 2 2 2 4" xfId="10495"/>
    <cellStyle name="40% - Ênfase2 3 2 2 2 4" xfId="10496"/>
    <cellStyle name="20% - Ênfase3 3 2 2 2 4" xfId="10497"/>
    <cellStyle name="40% - Ênfase3 3 2 2 2 4" xfId="10498"/>
    <cellStyle name="20% - Ênfase4 3 2 2 2 4" xfId="10499"/>
    <cellStyle name="40% - Ênfase4 3 2 2 2 4" xfId="10500"/>
    <cellStyle name="20% - Ênfase5 3 2 2 2 4" xfId="10501"/>
    <cellStyle name="40% - Ênfase5 3 2 2 2 4" xfId="10502"/>
    <cellStyle name="20% - Ênfase6 3 2 2 2 4" xfId="10503"/>
    <cellStyle name="40% - Ênfase6 3 2 2 2 4" xfId="10504"/>
    <cellStyle name="Normal 8 2 2 2 4" xfId="10505"/>
    <cellStyle name="Nota 5 2 2 2 4" xfId="10506"/>
    <cellStyle name="20% - Ênfase1 4 2 2 2 4" xfId="10507"/>
    <cellStyle name="40% - Ênfase1 4 2 2 2 4" xfId="10508"/>
    <cellStyle name="20% - Ênfase2 4 2 2 2 4" xfId="10509"/>
    <cellStyle name="40% - Ênfase2 4 2 2 2 4" xfId="10510"/>
    <cellStyle name="20% - Ênfase3 4 2 2 2 4" xfId="10511"/>
    <cellStyle name="40% - Ênfase3 4 2 2 2 4" xfId="10512"/>
    <cellStyle name="20% - Ênfase4 4 2 2 2 4" xfId="10513"/>
    <cellStyle name="40% - Ênfase4 4 2 2 2 4" xfId="10514"/>
    <cellStyle name="20% - Ênfase5 4 2 2 2 4" xfId="10515"/>
    <cellStyle name="40% - Ênfase5 4 2 2 2 4" xfId="10516"/>
    <cellStyle name="20% - Ênfase6 4 2 2 2 4" xfId="10517"/>
    <cellStyle name="40% - Ênfase6 4 2 2 2 4" xfId="10518"/>
    <cellStyle name="Normal 3 5 4" xfId="10519"/>
    <cellStyle name="20% - Ênfase1 5 4 4" xfId="10520"/>
    <cellStyle name="40% - Ênfase1 5 4 4" xfId="10521"/>
    <cellStyle name="20% - Ênfase2 5 4 4" xfId="10522"/>
    <cellStyle name="40% - Ênfase2 5 4 4" xfId="10523"/>
    <cellStyle name="20% - Ênfase3 5 4 4" xfId="10524"/>
    <cellStyle name="40% - Ênfase3 5 4 4" xfId="10525"/>
    <cellStyle name="20% - Ênfase4 5 4 4" xfId="10526"/>
    <cellStyle name="40% - Ênfase4 5 4 4" xfId="10527"/>
    <cellStyle name="20% - Ênfase5 5 4 4" xfId="10528"/>
    <cellStyle name="40% - Ênfase5 5 4 4" xfId="10529"/>
    <cellStyle name="20% - Ênfase6 5 4 4" xfId="10530"/>
    <cellStyle name="40% - Ênfase6 5 4 4" xfId="10531"/>
    <cellStyle name="Normal 4 2 4 4" xfId="10532"/>
    <cellStyle name="Nota 2 2 4 4" xfId="10533"/>
    <cellStyle name="Normal 5 2 4 4" xfId="10534"/>
    <cellStyle name="Nota 3 2 4 4" xfId="10535"/>
    <cellStyle name="20% - Ênfase1 2 2 4 4" xfId="10536"/>
    <cellStyle name="40% - Ênfase1 2 2 4 4" xfId="10537"/>
    <cellStyle name="20% - Ênfase2 2 2 4 4" xfId="10538"/>
    <cellStyle name="40% - Ênfase2 2 2 4 4" xfId="10539"/>
    <cellStyle name="20% - Ênfase3 2 2 4 4" xfId="10540"/>
    <cellStyle name="40% - Ênfase3 2 2 4 4" xfId="10541"/>
    <cellStyle name="20% - Ênfase4 2 2 4 4" xfId="10542"/>
    <cellStyle name="40% - Ênfase4 2 2 4 4" xfId="10543"/>
    <cellStyle name="20% - Ênfase5 2 2 4 4" xfId="10544"/>
    <cellStyle name="40% - Ênfase5 2 2 4 4" xfId="10545"/>
    <cellStyle name="20% - Ênfase6 2 2 4 4" xfId="10546"/>
    <cellStyle name="40% - Ênfase6 2 2 4 4" xfId="10547"/>
    <cellStyle name="Normal 7 2 4 4" xfId="10548"/>
    <cellStyle name="Nota 4 6 4" xfId="10549"/>
    <cellStyle name="20% - Ênfase1 3 6 4" xfId="10550"/>
    <cellStyle name="40% - Ênfase1 3 6 4" xfId="10551"/>
    <cellStyle name="20% - Ênfase2 3 6 4" xfId="10552"/>
    <cellStyle name="40% - Ênfase2 3 6 4" xfId="10553"/>
    <cellStyle name="20% - Ênfase3 3 6 4" xfId="10554"/>
    <cellStyle name="40% - Ênfase3 3 6 4" xfId="10555"/>
    <cellStyle name="20% - Ênfase4 3 6 4" xfId="10556"/>
    <cellStyle name="40% - Ênfase4 3 6 4" xfId="10557"/>
    <cellStyle name="20% - Ênfase5 3 6 4" xfId="10558"/>
    <cellStyle name="40% - Ênfase5 3 6 4" xfId="10559"/>
    <cellStyle name="20% - Ênfase6 3 6 4" xfId="10560"/>
    <cellStyle name="40% - Ênfase6 3 6 4" xfId="10561"/>
    <cellStyle name="Normal 8 6 5" xfId="10562"/>
    <cellStyle name="Nota 5 6 4" xfId="10563"/>
    <cellStyle name="20% - Ênfase1 4 6 4" xfId="10564"/>
    <cellStyle name="40% - Ênfase1 4 6 4" xfId="10565"/>
    <cellStyle name="20% - Ênfase2 4 6 4" xfId="10566"/>
    <cellStyle name="40% - Ênfase2 4 6 4" xfId="10567"/>
    <cellStyle name="20% - Ênfase3 4 6 4" xfId="10568"/>
    <cellStyle name="40% - Ênfase3 4 6 4" xfId="10569"/>
    <cellStyle name="20% - Ênfase4 4 6 4" xfId="10570"/>
    <cellStyle name="40% - Ênfase4 4 6 4" xfId="10571"/>
    <cellStyle name="20% - Ênfase5 4 6 4" xfId="10572"/>
    <cellStyle name="40% - Ênfase5 4 6 4" xfId="10573"/>
    <cellStyle name="20% - Ênfase6 4 6 4" xfId="10574"/>
    <cellStyle name="40% - Ênfase6 4 6 4" xfId="10575"/>
    <cellStyle name="20% - Ênfase1 6 4 4" xfId="10576"/>
    <cellStyle name="40% - Ênfase1 6 4 4" xfId="10577"/>
    <cellStyle name="20% - Ênfase2 6 4 4" xfId="10578"/>
    <cellStyle name="40% - Ênfase2 6 4 4" xfId="10579"/>
    <cellStyle name="20% - Ênfase3 6 4 4" xfId="10580"/>
    <cellStyle name="40% - Ênfase3 6 4 4" xfId="10581"/>
    <cellStyle name="20% - Ênfase4 6 4 4" xfId="10582"/>
    <cellStyle name="40% - Ênfase4 6 4 4" xfId="10583"/>
    <cellStyle name="20% - Ênfase5 6 4 4" xfId="10584"/>
    <cellStyle name="40% - Ênfase5 6 4 4" xfId="10585"/>
    <cellStyle name="20% - Ênfase6 6 4 4" xfId="10586"/>
    <cellStyle name="40% - Ênfase6 6 4 4" xfId="10587"/>
    <cellStyle name="Normal 4 3 4 4" xfId="10588"/>
    <cellStyle name="Nota 2 3 4 4" xfId="10589"/>
    <cellStyle name="Normal 5 3 4 4" xfId="10590"/>
    <cellStyle name="Nota 3 3 4 4" xfId="10591"/>
    <cellStyle name="20% - Ênfase1 2 3 4 4" xfId="10592"/>
    <cellStyle name="40% - Ênfase1 2 3 4 4" xfId="10593"/>
    <cellStyle name="20% - Ênfase2 2 3 4 4" xfId="10594"/>
    <cellStyle name="40% - Ênfase2 2 3 4 4" xfId="10595"/>
    <cellStyle name="20% - Ênfase3 2 3 4 4" xfId="10596"/>
    <cellStyle name="40% - Ênfase3 2 3 4 4" xfId="10597"/>
    <cellStyle name="20% - Ênfase4 2 3 4 4" xfId="10598"/>
    <cellStyle name="40% - Ênfase4 2 3 4 4" xfId="10599"/>
    <cellStyle name="20% - Ênfase5 2 3 4 4" xfId="10600"/>
    <cellStyle name="40% - Ênfase5 2 3 4 4" xfId="10601"/>
    <cellStyle name="20% - Ênfase6 2 3 4 4" xfId="10602"/>
    <cellStyle name="40% - Ênfase6 2 3 4 4" xfId="10603"/>
    <cellStyle name="Normal 7 3 4 4" xfId="10604"/>
    <cellStyle name="Nota 4 2 4 4" xfId="10605"/>
    <cellStyle name="20% - Ênfase1 3 2 4 4" xfId="10606"/>
    <cellStyle name="40% - Ênfase1 3 2 4 4" xfId="10607"/>
    <cellStyle name="20% - Ênfase2 3 2 4 4" xfId="10608"/>
    <cellStyle name="40% - Ênfase2 3 2 4 4" xfId="10609"/>
    <cellStyle name="20% - Ênfase3 3 2 4 4" xfId="10610"/>
    <cellStyle name="40% - Ênfase3 3 2 4 4" xfId="10611"/>
    <cellStyle name="20% - Ênfase4 3 2 4 4" xfId="10612"/>
    <cellStyle name="40% - Ênfase4 3 2 4 4" xfId="10613"/>
    <cellStyle name="20% - Ênfase5 3 2 4 4" xfId="10614"/>
    <cellStyle name="40% - Ênfase5 3 2 4 4" xfId="10615"/>
    <cellStyle name="20% - Ênfase6 3 2 4 4" xfId="10616"/>
    <cellStyle name="40% - Ênfase6 3 2 4 4" xfId="10617"/>
    <cellStyle name="Normal 8 2 4 4" xfId="10618"/>
    <cellStyle name="Nota 5 2 4 4" xfId="10619"/>
    <cellStyle name="20% - Ênfase1 4 2 4 4" xfId="10620"/>
    <cellStyle name="40% - Ênfase1 4 2 4 4" xfId="10621"/>
    <cellStyle name="20% - Ênfase2 4 2 4 4" xfId="10622"/>
    <cellStyle name="40% - Ênfase2 4 2 4 4" xfId="10623"/>
    <cellStyle name="20% - Ênfase3 4 2 4 4" xfId="10624"/>
    <cellStyle name="40% - Ênfase3 4 2 4 4" xfId="10625"/>
    <cellStyle name="20% - Ênfase4 4 2 4 4" xfId="10626"/>
    <cellStyle name="40% - Ênfase4 4 2 4 4" xfId="10627"/>
    <cellStyle name="20% - Ênfase5 4 2 4 4" xfId="10628"/>
    <cellStyle name="40% - Ênfase5 4 2 4 4" xfId="10629"/>
    <cellStyle name="20% - Ênfase6 4 2 4 4" xfId="10630"/>
    <cellStyle name="40% - Ênfase6 4 2 4 4" xfId="10631"/>
    <cellStyle name="20% - Ênfase1 8 3 4" xfId="10632"/>
    <cellStyle name="40% - Ênfase1 8 3 4" xfId="10633"/>
    <cellStyle name="20% - Ênfase2 8 3 4" xfId="10634"/>
    <cellStyle name="40% - Ênfase2 8 3 4" xfId="10635"/>
    <cellStyle name="20% - Ênfase3 8 3 4" xfId="10636"/>
    <cellStyle name="40% - Ênfase3 8 3 4" xfId="10637"/>
    <cellStyle name="20% - Ênfase4 8 3 4" xfId="10638"/>
    <cellStyle name="40% - Ênfase4 8 3 4" xfId="10639"/>
    <cellStyle name="20% - Ênfase5 8 3 4" xfId="10640"/>
    <cellStyle name="40% - Ênfase5 8 3 4" xfId="10641"/>
    <cellStyle name="20% - Ênfase6 8 3 4" xfId="10642"/>
    <cellStyle name="40% - Ênfase6 8 3 4" xfId="10643"/>
    <cellStyle name="Normal 4 5 3 4" xfId="10644"/>
    <cellStyle name="Nota 2 5 3 4" xfId="10645"/>
    <cellStyle name="Normal 5 5 3 4" xfId="10646"/>
    <cellStyle name="Nota 3 5 3 4" xfId="10647"/>
    <cellStyle name="20% - Ênfase1 2 5 3 4" xfId="10648"/>
    <cellStyle name="40% - Ênfase1 2 5 3 4" xfId="10649"/>
    <cellStyle name="20% - Ênfase2 2 5 3 4" xfId="10650"/>
    <cellStyle name="40% - Ênfase2 2 5 3 4" xfId="10651"/>
    <cellStyle name="20% - Ênfase3 2 5 3 4" xfId="10652"/>
    <cellStyle name="40% - Ênfase3 2 5 3 4" xfId="10653"/>
    <cellStyle name="20% - Ênfase4 2 5 3 4" xfId="10654"/>
    <cellStyle name="40% - Ênfase4 2 5 3 4" xfId="10655"/>
    <cellStyle name="20% - Ênfase5 2 5 3 4" xfId="10656"/>
    <cellStyle name="40% - Ênfase5 2 5 3 4" xfId="10657"/>
    <cellStyle name="20% - Ênfase6 2 5 3 4" xfId="10658"/>
    <cellStyle name="40% - Ênfase6 2 5 3 4" xfId="10659"/>
    <cellStyle name="Normal 7 5 3 4" xfId="10660"/>
    <cellStyle name="Nota 4 4 3 4" xfId="10661"/>
    <cellStyle name="20% - Ênfase1 3 4 3 4" xfId="10662"/>
    <cellStyle name="40% - Ênfase1 3 4 3 4" xfId="10663"/>
    <cellStyle name="20% - Ênfase2 3 4 3 4" xfId="10664"/>
    <cellStyle name="40% - Ênfase2 3 4 3 4" xfId="10665"/>
    <cellStyle name="20% - Ênfase3 3 4 3 4" xfId="10666"/>
    <cellStyle name="40% - Ênfase3 3 4 3 4" xfId="10667"/>
    <cellStyle name="20% - Ênfase4 3 4 3 4" xfId="10668"/>
    <cellStyle name="40% - Ênfase4 3 4 3 4" xfId="10669"/>
    <cellStyle name="20% - Ênfase5 3 4 3 4" xfId="10670"/>
    <cellStyle name="40% - Ênfase5 3 4 3 4" xfId="10671"/>
    <cellStyle name="20% - Ênfase6 3 4 3 4" xfId="10672"/>
    <cellStyle name="40% - Ênfase6 3 4 3 4" xfId="10673"/>
    <cellStyle name="Normal 8 4 3 4" xfId="10674"/>
    <cellStyle name="Nota 5 4 3 4" xfId="10675"/>
    <cellStyle name="20% - Ênfase1 4 4 3 4" xfId="10676"/>
    <cellStyle name="40% - Ênfase1 4 4 3 4" xfId="10677"/>
    <cellStyle name="20% - Ênfase2 4 4 3 4" xfId="10678"/>
    <cellStyle name="40% - Ênfase2 4 4 3 4" xfId="10679"/>
    <cellStyle name="20% - Ênfase3 4 4 3 4" xfId="10680"/>
    <cellStyle name="40% - Ênfase3 4 4 3 4" xfId="10681"/>
    <cellStyle name="20% - Ênfase4 4 4 3 4" xfId="10682"/>
    <cellStyle name="40% - Ênfase4 4 4 3 4" xfId="10683"/>
    <cellStyle name="20% - Ênfase5 4 4 3 4" xfId="10684"/>
    <cellStyle name="40% - Ênfase5 4 4 3 4" xfId="10685"/>
    <cellStyle name="20% - Ênfase6 4 4 3 4" xfId="10686"/>
    <cellStyle name="40% - Ênfase6 4 4 3 4" xfId="10687"/>
    <cellStyle name="Normal 3 3 3 4" xfId="10688"/>
    <cellStyle name="20% - Ênfase1 5 2 3 4" xfId="10689"/>
    <cellStyle name="40% - Ênfase1 5 2 3 4" xfId="10690"/>
    <cellStyle name="20% - Ênfase2 5 2 3 4" xfId="10691"/>
    <cellStyle name="40% - Ênfase2 5 2 3 4" xfId="10692"/>
    <cellStyle name="20% - Ênfase3 5 2 3 4" xfId="10693"/>
    <cellStyle name="40% - Ênfase3 5 2 3 4" xfId="10694"/>
    <cellStyle name="20% - Ênfase4 5 2 3 4" xfId="10695"/>
    <cellStyle name="40% - Ênfase4 5 2 3 4" xfId="10696"/>
    <cellStyle name="20% - Ênfase5 5 2 3 4" xfId="10697"/>
    <cellStyle name="40% - Ênfase5 5 2 3 4" xfId="10698"/>
    <cellStyle name="20% - Ênfase6 5 2 3 4" xfId="10699"/>
    <cellStyle name="40% - Ênfase6 5 2 3 4" xfId="10700"/>
    <cellStyle name="Normal 4 2 2 3 4" xfId="10701"/>
    <cellStyle name="Nota 2 2 2 3 4" xfId="10702"/>
    <cellStyle name="Normal 5 2 2 3 4" xfId="10703"/>
    <cellStyle name="Nota 3 2 2 3 4" xfId="10704"/>
    <cellStyle name="20% - Ênfase1 2 2 2 3 4" xfId="10705"/>
    <cellStyle name="40% - Ênfase1 2 2 2 3 4" xfId="10706"/>
    <cellStyle name="20% - Ênfase2 2 2 2 3 4" xfId="10707"/>
    <cellStyle name="40% - Ênfase2 2 2 2 3 4" xfId="10708"/>
    <cellStyle name="20% - Ênfase3 2 2 2 3 4" xfId="10709"/>
    <cellStyle name="40% - Ênfase3 2 2 2 3 4" xfId="10710"/>
    <cellStyle name="20% - Ênfase4 2 2 2 3 4" xfId="10711"/>
    <cellStyle name="40% - Ênfase4 2 2 2 3 4" xfId="10712"/>
    <cellStyle name="20% - Ênfase5 2 2 2 3 4" xfId="10713"/>
    <cellStyle name="40% - Ênfase5 2 2 2 3 4" xfId="10714"/>
    <cellStyle name="20% - Ênfase6 2 2 2 3 4" xfId="10715"/>
    <cellStyle name="40% - Ênfase6 2 2 2 3 4" xfId="10716"/>
    <cellStyle name="Normal 7 2 2 3 4" xfId="10717"/>
    <cellStyle name="Nota 4 3 3 4" xfId="10718"/>
    <cellStyle name="20% - Ênfase1 3 3 3 4" xfId="10719"/>
    <cellStyle name="40% - Ênfase1 3 3 3 4" xfId="10720"/>
    <cellStyle name="20% - Ênfase2 3 3 3 4" xfId="10721"/>
    <cellStyle name="40% - Ênfase2 3 3 3 4" xfId="10722"/>
    <cellStyle name="20% - Ênfase3 3 3 3 4" xfId="10723"/>
    <cellStyle name="40% - Ênfase3 3 3 3 4" xfId="10724"/>
    <cellStyle name="20% - Ênfase4 3 3 3 4" xfId="10725"/>
    <cellStyle name="40% - Ênfase4 3 3 3 4" xfId="10726"/>
    <cellStyle name="20% - Ênfase5 3 3 3 4" xfId="10727"/>
    <cellStyle name="40% - Ênfase5 3 3 3 4" xfId="10728"/>
    <cellStyle name="20% - Ênfase6 3 3 3 4" xfId="10729"/>
    <cellStyle name="40% - Ênfase6 3 3 3 4" xfId="10730"/>
    <cellStyle name="Normal 8 3 3 4" xfId="10731"/>
    <cellStyle name="Nota 5 3 3 4" xfId="10732"/>
    <cellStyle name="20% - Ênfase1 4 3 3 4" xfId="10733"/>
    <cellStyle name="40% - Ênfase1 4 3 3 4" xfId="10734"/>
    <cellStyle name="20% - Ênfase2 4 3 3 4" xfId="10735"/>
    <cellStyle name="40% - Ênfase2 4 3 3 4" xfId="10736"/>
    <cellStyle name="20% - Ênfase3 4 3 3 4" xfId="10737"/>
    <cellStyle name="40% - Ênfase3 4 3 3 4" xfId="10738"/>
    <cellStyle name="20% - Ênfase4 4 3 3 4" xfId="10739"/>
    <cellStyle name="40% - Ênfase4 4 3 3 4" xfId="10740"/>
    <cellStyle name="20% - Ênfase5 4 3 3 4" xfId="10741"/>
    <cellStyle name="40% - Ênfase5 4 3 3 4" xfId="10742"/>
    <cellStyle name="20% - Ênfase6 4 3 3 4" xfId="10743"/>
    <cellStyle name="40% - Ênfase6 4 3 3 4" xfId="10744"/>
    <cellStyle name="20% - Ênfase1 6 2 3 4" xfId="10745"/>
    <cellStyle name="40% - Ênfase1 6 2 3 4" xfId="10746"/>
    <cellStyle name="20% - Ênfase2 6 2 3 4" xfId="10747"/>
    <cellStyle name="40% - Ênfase2 6 2 3 4" xfId="10748"/>
    <cellStyle name="20% - Ênfase3 6 2 3 4" xfId="10749"/>
    <cellStyle name="40% - Ênfase3 6 2 3 4" xfId="10750"/>
    <cellStyle name="20% - Ênfase4 6 2 3 4" xfId="10751"/>
    <cellStyle name="40% - Ênfase4 6 2 3 4" xfId="10752"/>
    <cellStyle name="20% - Ênfase5 6 2 3 4" xfId="10753"/>
    <cellStyle name="40% - Ênfase5 6 2 3 4" xfId="10754"/>
    <cellStyle name="20% - Ênfase6 6 2 3 4" xfId="10755"/>
    <cellStyle name="40% - Ênfase6 6 2 3 4" xfId="10756"/>
    <cellStyle name="Normal 4 3 2 3 4" xfId="10757"/>
    <cellStyle name="Nota 2 3 2 3 4" xfId="10758"/>
    <cellStyle name="Normal 5 3 2 3 4" xfId="10759"/>
    <cellStyle name="Nota 3 3 2 3 4" xfId="10760"/>
    <cellStyle name="20% - Ênfase1 2 3 2 3 4" xfId="10761"/>
    <cellStyle name="40% - Ênfase1 2 3 2 3 4" xfId="10762"/>
    <cellStyle name="20% - Ênfase2 2 3 2 3 4" xfId="10763"/>
    <cellStyle name="40% - Ênfase2 2 3 2 3 4" xfId="10764"/>
    <cellStyle name="20% - Ênfase3 2 3 2 3 4" xfId="10765"/>
    <cellStyle name="40% - Ênfase3 2 3 2 3 4" xfId="10766"/>
    <cellStyle name="20% - Ênfase4 2 3 2 3 4" xfId="10767"/>
    <cellStyle name="40% - Ênfase4 2 3 2 3 4" xfId="10768"/>
    <cellStyle name="20% - Ênfase5 2 3 2 3 4" xfId="10769"/>
    <cellStyle name="40% - Ênfase5 2 3 2 3 4" xfId="10770"/>
    <cellStyle name="20% - Ênfase6 2 3 2 3 4" xfId="10771"/>
    <cellStyle name="40% - Ênfase6 2 3 2 3 4" xfId="10772"/>
    <cellStyle name="Normal 7 3 2 3 4" xfId="10773"/>
    <cellStyle name="Nota 4 2 2 3 4" xfId="10774"/>
    <cellStyle name="20% - Ênfase1 3 2 2 3 4" xfId="10775"/>
    <cellStyle name="40% - Ênfase1 3 2 2 3 4" xfId="10776"/>
    <cellStyle name="20% - Ênfase2 3 2 2 3 4" xfId="10777"/>
    <cellStyle name="40% - Ênfase2 3 2 2 3 4" xfId="10778"/>
    <cellStyle name="20% - Ênfase3 3 2 2 3 4" xfId="10779"/>
    <cellStyle name="40% - Ênfase3 3 2 2 3 4" xfId="10780"/>
    <cellStyle name="20% - Ênfase4 3 2 2 3 4" xfId="10781"/>
    <cellStyle name="40% - Ênfase4 3 2 2 3 4" xfId="10782"/>
    <cellStyle name="20% - Ênfase5 3 2 2 3 4" xfId="10783"/>
    <cellStyle name="40% - Ênfase5 3 2 2 3 4" xfId="10784"/>
    <cellStyle name="20% - Ênfase6 3 2 2 3 4" xfId="10785"/>
    <cellStyle name="40% - Ênfase6 3 2 2 3 4" xfId="10786"/>
    <cellStyle name="Normal 8 2 2 3 4" xfId="10787"/>
    <cellStyle name="Nota 5 2 2 3 4" xfId="10788"/>
    <cellStyle name="20% - Ênfase1 4 2 2 3 4" xfId="10789"/>
    <cellStyle name="40% - Ênfase1 4 2 2 3 4" xfId="10790"/>
    <cellStyle name="20% - Ênfase2 4 2 2 3 4" xfId="10791"/>
    <cellStyle name="40% - Ênfase2 4 2 2 3 4" xfId="10792"/>
    <cellStyle name="20% - Ênfase3 4 2 2 3 4" xfId="10793"/>
    <cellStyle name="40% - Ênfase3 4 2 2 3 4" xfId="10794"/>
    <cellStyle name="20% - Ênfase4 4 2 2 3 4" xfId="10795"/>
    <cellStyle name="40% - Ênfase4 4 2 2 3 4" xfId="10796"/>
    <cellStyle name="20% - Ênfase5 4 2 2 3 4" xfId="10797"/>
    <cellStyle name="40% - Ênfase5 4 2 2 3 4" xfId="10798"/>
    <cellStyle name="20% - Ênfase6 4 2 2 3 4" xfId="10799"/>
    <cellStyle name="40% - Ênfase6 4 2 2 3 4" xfId="10800"/>
    <cellStyle name="Normal 3 6 4" xfId="10801"/>
    <cellStyle name="20% - Ênfase1 5 5 4" xfId="10802"/>
    <cellStyle name="40% - Ênfase1 5 5 4" xfId="10803"/>
    <cellStyle name="20% - Ênfase2 5 5 4" xfId="10804"/>
    <cellStyle name="40% - Ênfase2 5 5 4" xfId="10805"/>
    <cellStyle name="20% - Ênfase3 5 5 4" xfId="10806"/>
    <cellStyle name="40% - Ênfase3 5 5 4" xfId="10807"/>
    <cellStyle name="20% - Ênfase4 5 5 4" xfId="10808"/>
    <cellStyle name="40% - Ênfase4 5 5 4" xfId="10809"/>
    <cellStyle name="20% - Ênfase5 5 5 4" xfId="10810"/>
    <cellStyle name="40% - Ênfase5 5 5 4" xfId="10811"/>
    <cellStyle name="20% - Ênfase6 5 5 4" xfId="10812"/>
    <cellStyle name="40% - Ênfase6 5 5 4" xfId="10813"/>
    <cellStyle name="Normal 4 2 5 4" xfId="10814"/>
    <cellStyle name="Nota 2 2 5 4" xfId="10815"/>
    <cellStyle name="Normal 5 2 5 4" xfId="10816"/>
    <cellStyle name="Nota 3 2 5 4" xfId="10817"/>
    <cellStyle name="20% - Ênfase1 2 2 5 4" xfId="10818"/>
    <cellStyle name="40% - Ênfase1 2 2 5 4" xfId="10819"/>
    <cellStyle name="20% - Ênfase2 2 2 5 4" xfId="10820"/>
    <cellStyle name="40% - Ênfase2 2 2 5 4" xfId="10821"/>
    <cellStyle name="20% - Ênfase3 2 2 5 4" xfId="10822"/>
    <cellStyle name="40% - Ênfase3 2 2 5 4" xfId="10823"/>
    <cellStyle name="20% - Ênfase4 2 2 5 4" xfId="10824"/>
    <cellStyle name="40% - Ênfase4 2 2 5 4" xfId="10825"/>
    <cellStyle name="20% - Ênfase5 2 2 5 4" xfId="10826"/>
    <cellStyle name="40% - Ênfase5 2 2 5 4" xfId="10827"/>
    <cellStyle name="20% - Ênfase6 2 2 5 4" xfId="10828"/>
    <cellStyle name="40% - Ênfase6 2 2 5 4" xfId="10829"/>
    <cellStyle name="Normal 7 2 5 4" xfId="10830"/>
    <cellStyle name="Nota 4 7 4" xfId="10831"/>
    <cellStyle name="20% - Ênfase1 3 7 4" xfId="10832"/>
    <cellStyle name="40% - Ênfase1 3 7 4" xfId="10833"/>
    <cellStyle name="20% - Ênfase2 3 7 4" xfId="10834"/>
    <cellStyle name="40% - Ênfase2 3 7 4" xfId="10835"/>
    <cellStyle name="20% - Ênfase3 3 7 4" xfId="10836"/>
    <cellStyle name="40% - Ênfase3 3 7 4" xfId="10837"/>
    <cellStyle name="20% - Ênfase4 3 7 4" xfId="10838"/>
    <cellStyle name="40% - Ênfase4 3 7 4" xfId="10839"/>
    <cellStyle name="20% - Ênfase5 3 7 4" xfId="10840"/>
    <cellStyle name="40% - Ênfase5 3 7 4" xfId="10841"/>
    <cellStyle name="20% - Ênfase6 3 7 4" xfId="10842"/>
    <cellStyle name="40% - Ênfase6 3 7 4" xfId="10843"/>
    <cellStyle name="Normal 8 7 4" xfId="10844"/>
    <cellStyle name="Nota 5 7 4" xfId="10845"/>
    <cellStyle name="20% - Ênfase1 4 7 4" xfId="10846"/>
    <cellStyle name="40% - Ênfase1 4 7 4" xfId="10847"/>
    <cellStyle name="20% - Ênfase2 4 7 4" xfId="10848"/>
    <cellStyle name="40% - Ênfase2 4 7 4" xfId="10849"/>
    <cellStyle name="20% - Ênfase3 4 7 4" xfId="10850"/>
    <cellStyle name="40% - Ênfase3 4 7 4" xfId="10851"/>
    <cellStyle name="20% - Ênfase4 4 7 4" xfId="10852"/>
    <cellStyle name="40% - Ênfase4 4 7 4" xfId="10853"/>
    <cellStyle name="20% - Ênfase5 4 7 4" xfId="10854"/>
    <cellStyle name="40% - Ênfase5 4 7 4" xfId="10855"/>
    <cellStyle name="20% - Ênfase6 4 7 4" xfId="10856"/>
    <cellStyle name="40% - Ênfase6 4 7 4" xfId="10857"/>
    <cellStyle name="Calculation 2 3 2" xfId="10858"/>
    <cellStyle name="Input 2 3 2" xfId="10859"/>
    <cellStyle name="Normal 6 4 4" xfId="10860"/>
    <cellStyle name="Note 4 3" xfId="10861"/>
    <cellStyle name="Output 2 4 2" xfId="10862"/>
    <cellStyle name="SAPBEXaggItem 2 4 2" xfId="10863"/>
    <cellStyle name="SAPBEXaggItem 3 4 2" xfId="10864"/>
    <cellStyle name="SAPBEXaggItemX 3 2 2" xfId="10865"/>
    <cellStyle name="SAPBEXHLevel0 3 4 2" xfId="10866"/>
    <cellStyle name="SAPBEXHLevel0X 3 3 2" xfId="10867"/>
    <cellStyle name="SAPBEXHLevel1 3 4 2" xfId="10868"/>
    <cellStyle name="SAPBEXHLevel1X 3 3 2" xfId="10869"/>
    <cellStyle name="SAPBEXHLevel2 3 4 2" xfId="10870"/>
    <cellStyle name="SAPBEXHLevel2X 3 3 2" xfId="10871"/>
    <cellStyle name="SAPBEXHLevel3 2 2 2 2" xfId="10872"/>
    <cellStyle name="SAPBEXHLevel3 4 2 2" xfId="10873"/>
    <cellStyle name="SAPBEXHLevel3X 3 3 2" xfId="10874"/>
    <cellStyle name="SAPBEXresItemX 3 2 2" xfId="10875"/>
    <cellStyle name="SAPBEXstdItem 2 4 2" xfId="10876"/>
    <cellStyle name="SAPBEXstdItem 3 4 2" xfId="10877"/>
    <cellStyle name="SAPBEXstdItemX 3 2 2" xfId="10878"/>
    <cellStyle name="SAPBEXaggData 2 4 2" xfId="10879"/>
    <cellStyle name="SAPBEXaggDataEmph 2 4 3" xfId="10880"/>
    <cellStyle name="SAPBEXaggItem 4 2 3" xfId="10881"/>
    <cellStyle name="SAPBEXexcBad7 2 4 3" xfId="10882"/>
    <cellStyle name="SAPBEXexcBad8 2 4 3" xfId="10883"/>
    <cellStyle name="SAPBEXexcBad9 2 4 3" xfId="10884"/>
    <cellStyle name="SAPBEXexcCritical4 2 4 3" xfId="10885"/>
    <cellStyle name="SAPBEXexcCritical5 2 4 3" xfId="10886"/>
    <cellStyle name="SAPBEXexcCritical6 2 4 3" xfId="10887"/>
    <cellStyle name="SAPBEXexcGood1 2 4 3" xfId="10888"/>
    <cellStyle name="SAPBEXexcGood2 2 4 3" xfId="10889"/>
    <cellStyle name="SAPBEXexcGood3 2 4 3" xfId="10890"/>
    <cellStyle name="SAPBEXformats 2 4 3" xfId="10891"/>
    <cellStyle name="SAPBEXHLevel0 4 2 3" xfId="10892"/>
    <cellStyle name="SAPBEXHLevel0X 4 2 3" xfId="10893"/>
    <cellStyle name="SAPBEXHLevel1 4 2 3" xfId="10894"/>
    <cellStyle name="SAPBEXHLevel1X 4 2 3" xfId="10895"/>
    <cellStyle name="SAPBEXHLevel2 4 2 3" xfId="10896"/>
    <cellStyle name="SAPBEXHLevel2X 4 2 3" xfId="10897"/>
    <cellStyle name="SAPBEXHLevel3 5 2 3" xfId="10898"/>
    <cellStyle name="SAPBEXHLevel3X 4 2 3" xfId="10899"/>
    <cellStyle name="SAPBEXresData 2 4 3" xfId="10900"/>
    <cellStyle name="SAPBEXresDataEmph 2 4 3" xfId="10901"/>
    <cellStyle name="SAPBEXresItem 2 4 3" xfId="10902"/>
    <cellStyle name="SAPBEXstdData 2 4 3" xfId="10903"/>
    <cellStyle name="SAPBEXstdDataEmph 2 4 3" xfId="10904"/>
    <cellStyle name="SAPBEXstdItem 4 2 3" xfId="10905"/>
    <cellStyle name="SAPBEXstdItemX 4 2 3" xfId="10906"/>
    <cellStyle name="SAPBEXtitle 2 4 3" xfId="10907"/>
    <cellStyle name="SAPBEXundefined 2 4 3" xfId="10908"/>
    <cellStyle name="SAPBEXaggData 3 4 3" xfId="10909"/>
    <cellStyle name="SAPBEXformats 3 4 2" xfId="10910"/>
    <cellStyle name="SAPBEXHLevel0 5 2 2" xfId="10911"/>
    <cellStyle name="SAPBEXHLevel1 5 2 2" xfId="10912"/>
    <cellStyle name="SAPBEXHLevel3 6 2 2" xfId="10913"/>
    <cellStyle name="SAPBEXstdData 3 4 2" xfId="10914"/>
    <cellStyle name="SAPBEXstdItemX 5 2 2" xfId="10915"/>
    <cellStyle name="Normal 13 3 2" xfId="10916"/>
    <cellStyle name="Normal 14 2" xfId="10917"/>
    <cellStyle name="Vírgula 11 2 2" xfId="10918"/>
    <cellStyle name="Normal 15 2" xfId="10919"/>
    <cellStyle name="Normal 3 8 3" xfId="10920"/>
    <cellStyle name="SAPBEXfilterDrill 2 6" xfId="10921"/>
    <cellStyle name="SAPBEXfilterDrill 4 2" xfId="10922"/>
    <cellStyle name="Separador de milhares 4 6 2" xfId="10923"/>
    <cellStyle name="Separador de milhares 5 7" xfId="10924"/>
    <cellStyle name="Separador de milhares 6 7 2" xfId="10925"/>
    <cellStyle name="Vírgula 2 8" xfId="10926"/>
    <cellStyle name="Separador de milhares 2 2 6" xfId="10927"/>
    <cellStyle name="Separador de milhares 3 2 6" xfId="10928"/>
    <cellStyle name="Vírgula 3 6" xfId="10929"/>
    <cellStyle name="Vírgula 4 6" xfId="10930"/>
    <cellStyle name="Vírgula 2 2 5" xfId="10931"/>
    <cellStyle name="20% - Ênfase1 5 8" xfId="10932"/>
    <cellStyle name="40% - Ênfase1 5 8" xfId="10933"/>
    <cellStyle name="20% - Ênfase2 5 8" xfId="10934"/>
    <cellStyle name="40% - Ênfase2 5 8" xfId="10935"/>
    <cellStyle name="20% - Ênfase3 5 8" xfId="10936"/>
    <cellStyle name="40% - Ênfase3 5 8" xfId="10937"/>
    <cellStyle name="20% - Ênfase4 5 8" xfId="10938"/>
    <cellStyle name="40% - Ênfase4 5 8" xfId="10939"/>
    <cellStyle name="20% - Ênfase5 5 8" xfId="10940"/>
    <cellStyle name="40% - Ênfase5 5 8" xfId="10941"/>
    <cellStyle name="20% - Ênfase6 5 8" xfId="10942"/>
    <cellStyle name="40% - Ênfase6 5 8" xfId="10943"/>
    <cellStyle name="Normal 4 2 8" xfId="10944"/>
    <cellStyle name="Nota 2 2 8" xfId="10945"/>
    <cellStyle name="Normal 5 2 9" xfId="10946"/>
    <cellStyle name="Nota 3 2 8" xfId="10947"/>
    <cellStyle name="20% - Ênfase1 2 2 8" xfId="10948"/>
    <cellStyle name="40% - Ênfase1 2 2 8" xfId="10949"/>
    <cellStyle name="20% - Ênfase2 2 2 8" xfId="10950"/>
    <cellStyle name="40% - Ênfase2 2 2 8" xfId="10951"/>
    <cellStyle name="20% - Ênfase3 2 2 8" xfId="10952"/>
    <cellStyle name="40% - Ênfase3 2 2 8" xfId="10953"/>
    <cellStyle name="20% - Ênfase4 2 2 8" xfId="10954"/>
    <cellStyle name="40% - Ênfase4 2 2 8" xfId="10955"/>
    <cellStyle name="20% - Ênfase5 2 2 8" xfId="10956"/>
    <cellStyle name="40% - Ênfase5 2 2 8" xfId="10957"/>
    <cellStyle name="20% - Ênfase6 2 2 8" xfId="10958"/>
    <cellStyle name="40% - Ênfase6 2 2 8" xfId="10959"/>
    <cellStyle name="SAPBEXfilterDrill 2 2 2" xfId="10960"/>
    <cellStyle name="Normal 7 2 8 2" xfId="10961"/>
    <cellStyle name="Nota 4 10" xfId="10962"/>
    <cellStyle name="20% - Ênfase1 3 10" xfId="10963"/>
    <cellStyle name="40% - Ênfase1 3 10" xfId="10964"/>
    <cellStyle name="20% - Ênfase2 3 10" xfId="10965"/>
    <cellStyle name="40% - Ênfase2 3 10" xfId="10966"/>
    <cellStyle name="20% - Ênfase3 3 10" xfId="10967"/>
    <cellStyle name="40% - Ênfase3 3 10" xfId="10968"/>
    <cellStyle name="20% - Ênfase4 3 10" xfId="10969"/>
    <cellStyle name="40% - Ênfase4 3 10" xfId="10970"/>
    <cellStyle name="20% - Ênfase5 3 10" xfId="10971"/>
    <cellStyle name="40% - Ênfase5 3 10" xfId="10972"/>
    <cellStyle name="20% - Ênfase6 3 10" xfId="10973"/>
    <cellStyle name="40% - Ênfase6 3 10" xfId="10974"/>
    <cellStyle name="Normal 8 11 2" xfId="10975"/>
    <cellStyle name="Nota 5 10" xfId="10976"/>
    <cellStyle name="20% - Ênfase1 4 10" xfId="10977"/>
    <cellStyle name="40% - Ênfase1 4 10" xfId="10978"/>
    <cellStyle name="20% - Ênfase2 4 10" xfId="10979"/>
    <cellStyle name="40% - Ênfase2 4 10" xfId="10980"/>
    <cellStyle name="20% - Ênfase3 4 10" xfId="10981"/>
    <cellStyle name="40% - Ênfase3 4 10" xfId="10982"/>
    <cellStyle name="20% - Ênfase4 4 10" xfId="10983"/>
    <cellStyle name="40% - Ênfase4 4 10" xfId="10984"/>
    <cellStyle name="20% - Ênfase5 4 10" xfId="10985"/>
    <cellStyle name="40% - Ênfase5 4 10" xfId="10986"/>
    <cellStyle name="20% - Ênfase6 4 10" xfId="10987"/>
    <cellStyle name="40% - Ênfase6 4 10" xfId="10988"/>
    <cellStyle name="20% - Ênfase1 6 7" xfId="10989"/>
    <cellStyle name="40% - Ênfase1 6 7" xfId="10990"/>
    <cellStyle name="20% - Ênfase2 6 7" xfId="10991"/>
    <cellStyle name="40% - Ênfase2 6 7" xfId="10992"/>
    <cellStyle name="20% - Ênfase3 6 7" xfId="10993"/>
    <cellStyle name="40% - Ênfase3 6 7" xfId="10994"/>
    <cellStyle name="20% - Ênfase4 6 7" xfId="10995"/>
    <cellStyle name="40% - Ênfase4 6 7" xfId="10996"/>
    <cellStyle name="20% - Ênfase5 6 7" xfId="10997"/>
    <cellStyle name="40% - Ênfase5 6 7" xfId="10998"/>
    <cellStyle name="20% - Ênfase6 6 7" xfId="10999"/>
    <cellStyle name="40% - Ênfase6 6 7" xfId="11000"/>
    <cellStyle name="Normal 4 3 7" xfId="11001"/>
    <cellStyle name="Nota 2 3 7" xfId="11002"/>
    <cellStyle name="Normal 5 3 7" xfId="11003"/>
    <cellStyle name="Nota 3 3 7" xfId="11004"/>
    <cellStyle name="20% - Ênfase1 2 3 7" xfId="11005"/>
    <cellStyle name="40% - Ênfase1 2 3 7" xfId="11006"/>
    <cellStyle name="20% - Ênfase2 2 3 7" xfId="11007"/>
    <cellStyle name="40% - Ênfase2 2 3 7" xfId="11008"/>
    <cellStyle name="20% - Ênfase3 2 3 7" xfId="11009"/>
    <cellStyle name="40% - Ênfase3 2 3 7" xfId="11010"/>
    <cellStyle name="20% - Ênfase4 2 3 7" xfId="11011"/>
    <cellStyle name="40% - Ênfase4 2 3 7" xfId="11012"/>
    <cellStyle name="20% - Ênfase5 2 3 7" xfId="11013"/>
    <cellStyle name="40% - Ênfase5 2 3 7" xfId="11014"/>
    <cellStyle name="20% - Ênfase6 2 3 7" xfId="11015"/>
    <cellStyle name="40% - Ênfase6 2 3 7" xfId="11016"/>
    <cellStyle name="Normal 7 3 7 2" xfId="11017"/>
    <cellStyle name="Nota 4 2 7" xfId="11018"/>
    <cellStyle name="20% - Ênfase1 3 2 7" xfId="11019"/>
    <cellStyle name="40% - Ênfase1 3 2 7" xfId="11020"/>
    <cellStyle name="20% - Ênfase2 3 2 7" xfId="11021"/>
    <cellStyle name="40% - Ênfase2 3 2 7" xfId="11022"/>
    <cellStyle name="20% - Ênfase3 3 2 7" xfId="11023"/>
    <cellStyle name="40% - Ênfase3 3 2 7" xfId="11024"/>
    <cellStyle name="20% - Ênfase4 3 2 7" xfId="11025"/>
    <cellStyle name="40% - Ênfase4 3 2 7" xfId="11026"/>
    <cellStyle name="20% - Ênfase5 3 2 7" xfId="11027"/>
    <cellStyle name="40% - Ênfase5 3 2 7" xfId="11028"/>
    <cellStyle name="20% - Ênfase6 3 2 7" xfId="11029"/>
    <cellStyle name="40% - Ênfase6 3 2 7" xfId="11030"/>
    <cellStyle name="Normal 8 2 7 2" xfId="11031"/>
    <cellStyle name="Nota 5 2 7" xfId="11032"/>
    <cellStyle name="20% - Ênfase1 4 2 7" xfId="11033"/>
    <cellStyle name="40% - Ênfase1 4 2 7" xfId="11034"/>
    <cellStyle name="20% - Ênfase2 4 2 7" xfId="11035"/>
    <cellStyle name="40% - Ênfase2 4 2 7" xfId="11036"/>
    <cellStyle name="20% - Ênfase3 4 2 7" xfId="11037"/>
    <cellStyle name="40% - Ênfase3 4 2 7" xfId="11038"/>
    <cellStyle name="20% - Ênfase4 4 2 7" xfId="11039"/>
    <cellStyle name="40% - Ênfase4 4 2 7" xfId="11040"/>
    <cellStyle name="20% - Ênfase5 4 2 7" xfId="11041"/>
    <cellStyle name="40% - Ênfase5 4 2 7" xfId="11042"/>
    <cellStyle name="20% - Ênfase6 4 2 7" xfId="11043"/>
    <cellStyle name="40% - Ênfase6 4 2 7" xfId="11044"/>
    <cellStyle name="20% - Ênfase1 8 5 2" xfId="11045"/>
    <cellStyle name="40% - Ênfase1 8 5 2" xfId="11046"/>
    <cellStyle name="20% - Ênfase2 8 5 2" xfId="11047"/>
    <cellStyle name="40% - Ênfase2 8 5 2" xfId="11048"/>
    <cellStyle name="20% - Ênfase3 8 5 2" xfId="11049"/>
    <cellStyle name="40% - Ênfase3 8 5 2" xfId="11050"/>
    <cellStyle name="20% - Ênfase4 8 5 2" xfId="11051"/>
    <cellStyle name="40% - Ênfase4 8 5 2" xfId="11052"/>
    <cellStyle name="20% - Ênfase5 8 5 2" xfId="11053"/>
    <cellStyle name="40% - Ênfase5 8 5 2" xfId="11054"/>
    <cellStyle name="20% - Ênfase6 8 5 2" xfId="11055"/>
    <cellStyle name="40% - Ênfase6 8 5 2" xfId="11056"/>
    <cellStyle name="Normal 4 5 5 2" xfId="11057"/>
    <cellStyle name="Nota 2 5 5 2" xfId="11058"/>
    <cellStyle name="Normal 5 5 5 2" xfId="11059"/>
    <cellStyle name="Nota 3 5 5 2" xfId="11060"/>
    <cellStyle name="20% - Ênfase1 2 5 5 2" xfId="11061"/>
    <cellStyle name="40% - Ênfase1 2 5 5 2" xfId="11062"/>
    <cellStyle name="20% - Ênfase2 2 5 5 2" xfId="11063"/>
    <cellStyle name="40% - Ênfase2 2 5 5 2" xfId="11064"/>
    <cellStyle name="20% - Ênfase3 2 5 5 2" xfId="11065"/>
    <cellStyle name="40% - Ênfase3 2 5 5 2" xfId="11066"/>
    <cellStyle name="20% - Ênfase4 2 5 5 2" xfId="11067"/>
    <cellStyle name="40% - Ênfase4 2 5 5 2" xfId="11068"/>
    <cellStyle name="20% - Ênfase5 2 5 5 2" xfId="11069"/>
    <cellStyle name="40% - Ênfase5 2 5 5 2" xfId="11070"/>
    <cellStyle name="20% - Ênfase6 2 5 5 2" xfId="11071"/>
    <cellStyle name="40% - Ênfase6 2 5 5 2" xfId="11072"/>
    <cellStyle name="Normal 7 5 5 2" xfId="11073"/>
    <cellStyle name="Nota 4 4 5 2" xfId="11074"/>
    <cellStyle name="20% - Ênfase1 3 4 5 2" xfId="11075"/>
    <cellStyle name="40% - Ênfase1 3 4 5 2" xfId="11076"/>
    <cellStyle name="20% - Ênfase2 3 4 5 2" xfId="11077"/>
    <cellStyle name="40% - Ênfase2 3 4 5 2" xfId="11078"/>
    <cellStyle name="20% - Ênfase3 3 4 5 2" xfId="11079"/>
    <cellStyle name="40% - Ênfase3 3 4 5 2" xfId="11080"/>
    <cellStyle name="20% - Ênfase4 3 4 5 2" xfId="11081"/>
    <cellStyle name="40% - Ênfase4 3 4 5 2" xfId="11082"/>
    <cellStyle name="20% - Ênfase5 3 4 5 2" xfId="11083"/>
    <cellStyle name="40% - Ênfase5 3 4 5 2" xfId="11084"/>
    <cellStyle name="20% - Ênfase6 3 4 5 2" xfId="11085"/>
    <cellStyle name="40% - Ênfase6 3 4 5 2" xfId="11086"/>
    <cellStyle name="Normal 8 4 5 3" xfId="11087"/>
    <cellStyle name="Nota 5 4 5 2" xfId="11088"/>
    <cellStyle name="20% - Ênfase1 4 4 5 2" xfId="11089"/>
    <cellStyle name="40% - Ênfase1 4 4 5 2" xfId="11090"/>
    <cellStyle name="20% - Ênfase2 4 4 5 2" xfId="11091"/>
    <cellStyle name="40% - Ênfase2 4 4 5 2" xfId="11092"/>
    <cellStyle name="20% - Ênfase3 4 4 5 2" xfId="11093"/>
    <cellStyle name="40% - Ênfase3 4 4 5 2" xfId="11094"/>
    <cellStyle name="20% - Ênfase4 4 4 5 2" xfId="11095"/>
    <cellStyle name="40% - Ênfase4 4 4 5 2" xfId="11096"/>
    <cellStyle name="20% - Ênfase5 4 4 5 2" xfId="11097"/>
    <cellStyle name="40% - Ênfase5 4 4 5 2" xfId="11098"/>
    <cellStyle name="20% - Ênfase6 4 4 5 2" xfId="11099"/>
    <cellStyle name="40% - Ênfase6 4 4 5 2" xfId="11100"/>
    <cellStyle name="Normal 3 3 6" xfId="11101"/>
    <cellStyle name="SAPBEXfilterDrill 2 3 2" xfId="11102"/>
    <cellStyle name="Separador de milhares 5 2 4" xfId="11103"/>
    <cellStyle name="Separador de milhares 6 2 4" xfId="11104"/>
    <cellStyle name="Vírgula 5 5" xfId="11105"/>
    <cellStyle name="Vírgula 2 3 5" xfId="11106"/>
    <cellStyle name="20% - Ênfase1 5 2 5 2" xfId="11107"/>
    <cellStyle name="40% - Ênfase1 5 2 5 2" xfId="11108"/>
    <cellStyle name="20% - Ênfase2 5 2 5 2" xfId="11109"/>
    <cellStyle name="40% - Ênfase2 5 2 5 2" xfId="11110"/>
    <cellStyle name="20% - Ênfase3 5 2 5 2" xfId="11111"/>
    <cellStyle name="40% - Ênfase3 5 2 5 2" xfId="11112"/>
    <cellStyle name="20% - Ênfase4 5 2 5 2" xfId="11113"/>
    <cellStyle name="40% - Ênfase4 5 2 5 2" xfId="11114"/>
    <cellStyle name="20% - Ênfase5 5 2 5 2" xfId="11115"/>
    <cellStyle name="40% - Ênfase5 5 2 5 2" xfId="11116"/>
    <cellStyle name="20% - Ênfase6 5 2 5 2" xfId="11117"/>
    <cellStyle name="40% - Ênfase6 5 2 5 2" xfId="11118"/>
    <cellStyle name="Normal 4 2 2 5 2" xfId="11119"/>
    <cellStyle name="Nota 2 2 2 5 2" xfId="11120"/>
    <cellStyle name="Normal 5 2 2 5 2" xfId="11121"/>
    <cellStyle name="Nota 3 2 2 5 2" xfId="11122"/>
    <cellStyle name="20% - Ênfase1 2 2 2 5 2" xfId="11123"/>
    <cellStyle name="40% - Ênfase1 2 2 2 5 2" xfId="11124"/>
    <cellStyle name="20% - Ênfase2 2 2 2 5 2" xfId="11125"/>
    <cellStyle name="40% - Ênfase2 2 2 2 5 2" xfId="11126"/>
    <cellStyle name="20% - Ênfase3 2 2 2 5 2" xfId="11127"/>
    <cellStyle name="40% - Ênfase3 2 2 2 5 2" xfId="11128"/>
    <cellStyle name="20% - Ênfase4 2 2 2 5 2" xfId="11129"/>
    <cellStyle name="40% - Ênfase4 2 2 2 5 2" xfId="11130"/>
    <cellStyle name="20% - Ênfase5 2 2 2 5 2" xfId="11131"/>
    <cellStyle name="40% - Ênfase5 2 2 2 5 2" xfId="11132"/>
    <cellStyle name="20% - Ênfase6 2 2 2 5 2" xfId="11133"/>
    <cellStyle name="40% - Ênfase6 2 2 2 5 2" xfId="11134"/>
    <cellStyle name="Normal 7 2 2 5 3" xfId="11135"/>
    <cellStyle name="Nota 4 3 6" xfId="11136"/>
    <cellStyle name="20% - Ênfase1 3 3 6" xfId="11137"/>
    <cellStyle name="40% - Ênfase1 3 3 6" xfId="11138"/>
    <cellStyle name="20% - Ênfase2 3 3 6" xfId="11139"/>
    <cellStyle name="40% - Ênfase2 3 3 6" xfId="11140"/>
    <cellStyle name="20% - Ênfase3 3 3 6" xfId="11141"/>
    <cellStyle name="40% - Ênfase3 3 3 6" xfId="11142"/>
    <cellStyle name="20% - Ênfase4 3 3 6" xfId="11143"/>
    <cellStyle name="40% - Ênfase4 3 3 6" xfId="11144"/>
    <cellStyle name="20% - Ênfase5 3 3 6" xfId="11145"/>
    <cellStyle name="40% - Ênfase5 3 3 6" xfId="11146"/>
    <cellStyle name="20% - Ênfase6 3 3 6" xfId="11147"/>
    <cellStyle name="40% - Ênfase6 3 3 6" xfId="11148"/>
    <cellStyle name="Normal 8 3 6 2" xfId="11149"/>
    <cellStyle name="Nota 5 3 6" xfId="11150"/>
    <cellStyle name="20% - Ênfase1 4 3 6" xfId="11151"/>
    <cellStyle name="40% - Ênfase1 4 3 6" xfId="11152"/>
    <cellStyle name="20% - Ênfase2 4 3 6" xfId="11153"/>
    <cellStyle name="40% - Ênfase2 4 3 6" xfId="11154"/>
    <cellStyle name="20% - Ênfase3 4 3 6" xfId="11155"/>
    <cellStyle name="40% - Ênfase3 4 3 6" xfId="11156"/>
    <cellStyle name="20% - Ênfase4 4 3 6" xfId="11157"/>
    <cellStyle name="40% - Ênfase4 4 3 6" xfId="11158"/>
    <cellStyle name="20% - Ênfase5 4 3 6" xfId="11159"/>
    <cellStyle name="40% - Ênfase5 4 3 6" xfId="11160"/>
    <cellStyle name="20% - Ênfase6 4 3 6" xfId="11161"/>
    <cellStyle name="40% - Ênfase6 4 3 6" xfId="11162"/>
    <cellStyle name="20% - Ênfase1 6 2 5 2" xfId="11163"/>
    <cellStyle name="40% - Ênfase1 6 2 5 2" xfId="11164"/>
    <cellStyle name="20% - Ênfase2 6 2 5 2" xfId="11165"/>
    <cellStyle name="40% - Ênfase2 6 2 5 2" xfId="11166"/>
    <cellStyle name="20% - Ênfase3 6 2 5 2" xfId="11167"/>
    <cellStyle name="40% - Ênfase3 6 2 5 2" xfId="11168"/>
    <cellStyle name="20% - Ênfase4 6 2 5 2" xfId="11169"/>
    <cellStyle name="40% - Ênfase4 6 2 5 2" xfId="11170"/>
    <cellStyle name="20% - Ênfase5 6 2 5 2" xfId="11171"/>
    <cellStyle name="40% - Ênfase5 6 2 5 2" xfId="11172"/>
    <cellStyle name="20% - Ênfase6 6 2 5 2" xfId="11173"/>
    <cellStyle name="40% - Ênfase6 6 2 5 2" xfId="11174"/>
    <cellStyle name="Normal 4 3 2 5 2" xfId="11175"/>
    <cellStyle name="Nota 2 3 2 5 2" xfId="11176"/>
    <cellStyle name="Normal 5 3 2 5 2" xfId="11177"/>
    <cellStyle name="Nota 3 3 2 5 2" xfId="11178"/>
    <cellStyle name="20% - Ênfase1 2 3 2 5 2" xfId="11179"/>
    <cellStyle name="40% - Ênfase1 2 3 2 5 2" xfId="11180"/>
    <cellStyle name="20% - Ênfase2 2 3 2 5 2" xfId="11181"/>
    <cellStyle name="40% - Ênfase2 2 3 2 5 2" xfId="11182"/>
    <cellStyle name="20% - Ênfase3 2 3 2 5 2" xfId="11183"/>
    <cellStyle name="40% - Ênfase3 2 3 2 5 2" xfId="11184"/>
    <cellStyle name="20% - Ênfase4 2 3 2 5 2" xfId="11185"/>
    <cellStyle name="40% - Ênfase4 2 3 2 5 2" xfId="11186"/>
    <cellStyle name="20% - Ênfase5 2 3 2 5 2" xfId="11187"/>
    <cellStyle name="40% - Ênfase5 2 3 2 5 2" xfId="11188"/>
    <cellStyle name="20% - Ênfase6 2 3 2 5 2" xfId="11189"/>
    <cellStyle name="40% - Ênfase6 2 3 2 5 2" xfId="11190"/>
    <cellStyle name="Normal 7 3 2 5 2" xfId="11191"/>
    <cellStyle name="Nota 4 2 2 5 2" xfId="11192"/>
    <cellStyle name="20% - Ênfase1 3 2 2 5 2" xfId="11193"/>
    <cellStyle name="40% - Ênfase1 3 2 2 5 2" xfId="11194"/>
    <cellStyle name="20% - Ênfase2 3 2 2 5 2" xfId="11195"/>
    <cellStyle name="40% - Ênfase2 3 2 2 5 2" xfId="11196"/>
    <cellStyle name="20% - Ênfase3 3 2 2 5 2" xfId="11197"/>
    <cellStyle name="40% - Ênfase3 3 2 2 5 2" xfId="11198"/>
    <cellStyle name="20% - Ênfase4 3 2 2 5 2" xfId="11199"/>
    <cellStyle name="40% - Ênfase4 3 2 2 5 2" xfId="11200"/>
    <cellStyle name="20% - Ênfase5 3 2 2 5 2" xfId="11201"/>
    <cellStyle name="40% - Ênfase5 3 2 2 5 2" xfId="11202"/>
    <cellStyle name="20% - Ênfase6 3 2 2 5 2" xfId="11203"/>
    <cellStyle name="40% - Ênfase6 3 2 2 5 2" xfId="11204"/>
    <cellStyle name="Normal 8 2 2 5 3" xfId="11205"/>
    <cellStyle name="Nota 5 2 2 5 2" xfId="11206"/>
    <cellStyle name="20% - Ênfase1 4 2 2 5 2" xfId="11207"/>
    <cellStyle name="40% - Ênfase1 4 2 2 5 2" xfId="11208"/>
    <cellStyle name="20% - Ênfase2 4 2 2 5 2" xfId="11209"/>
    <cellStyle name="40% - Ênfase2 4 2 2 5 2" xfId="11210"/>
    <cellStyle name="20% - Ênfase3 4 2 2 5 2" xfId="11211"/>
    <cellStyle name="40% - Ênfase3 4 2 2 5 2" xfId="11212"/>
    <cellStyle name="20% - Ênfase4 4 2 2 5 2" xfId="11213"/>
    <cellStyle name="40% - Ênfase4 4 2 2 5 2" xfId="11214"/>
    <cellStyle name="20% - Ênfase5 4 2 2 5 2" xfId="11215"/>
    <cellStyle name="40% - Ênfase5 4 2 2 5 2" xfId="11216"/>
    <cellStyle name="20% - Ênfase6 4 2 2 5 2" xfId="11217"/>
    <cellStyle name="40% - Ênfase6 4 2 2 5 2" xfId="11218"/>
    <cellStyle name="Normal 3 4 3 2" xfId="11219"/>
    <cellStyle name="Separador de milhares 4 2 4" xfId="11220"/>
    <cellStyle name="Separador de milhares 5 3 3 2" xfId="11221"/>
    <cellStyle name="Separador de milhares 6 3 3 2" xfId="11222"/>
    <cellStyle name="Vírgula 6 3" xfId="11223"/>
    <cellStyle name="Vírgula 2 4 3" xfId="11224"/>
    <cellStyle name="Separador de milhares 2 2 2 3" xfId="11225"/>
    <cellStyle name="Separador de milhares 3 2 2 3" xfId="11226"/>
    <cellStyle name="Vírgula 3 2 3" xfId="11227"/>
    <cellStyle name="Vírgula 4 2 4" xfId="11228"/>
    <cellStyle name="Vírgula 2 2 2 3" xfId="11229"/>
    <cellStyle name="20% - Ênfase1 5 3 3 2" xfId="11230"/>
    <cellStyle name="40% - Ênfase1 5 3 3 2" xfId="11231"/>
    <cellStyle name="20% - Ênfase2 5 3 3 2" xfId="11232"/>
    <cellStyle name="40% - Ênfase2 5 3 3 2" xfId="11233"/>
    <cellStyle name="20% - Ênfase3 5 3 3 2" xfId="11234"/>
    <cellStyle name="40% - Ênfase3 5 3 3 2" xfId="11235"/>
    <cellStyle name="20% - Ênfase4 5 3 3 2" xfId="11236"/>
    <cellStyle name="40% - Ênfase4 5 3 3 2" xfId="11237"/>
    <cellStyle name="20% - Ênfase5 5 3 3 2" xfId="11238"/>
    <cellStyle name="40% - Ênfase5 5 3 3 2" xfId="11239"/>
    <cellStyle name="20% - Ênfase6 5 3 3 2" xfId="11240"/>
    <cellStyle name="40% - Ênfase6 5 3 3 2" xfId="11241"/>
    <cellStyle name="Normal 4 2 3 3 2" xfId="11242"/>
    <cellStyle name="Nota 2 2 3 3 2" xfId="11243"/>
    <cellStyle name="Normal 5 2 3 3 2" xfId="11244"/>
    <cellStyle name="Nota 3 2 3 3 2" xfId="11245"/>
    <cellStyle name="20% - Ênfase1 2 2 3 3 2" xfId="11246"/>
    <cellStyle name="40% - Ênfase1 2 2 3 3 2" xfId="11247"/>
    <cellStyle name="20% - Ênfase2 2 2 3 3 2" xfId="11248"/>
    <cellStyle name="40% - Ênfase2 2 2 3 3 2" xfId="11249"/>
    <cellStyle name="20% - Ênfase3 2 2 3 3 2" xfId="11250"/>
    <cellStyle name="40% - Ênfase3 2 2 3 3 2" xfId="11251"/>
    <cellStyle name="20% - Ênfase4 2 2 3 3 2" xfId="11252"/>
    <cellStyle name="40% - Ênfase4 2 2 3 3 2" xfId="11253"/>
    <cellStyle name="20% - Ênfase5 2 2 3 3 2" xfId="11254"/>
    <cellStyle name="40% - Ênfase5 2 2 3 3 2" xfId="11255"/>
    <cellStyle name="20% - Ênfase6 2 2 3 3 2" xfId="11256"/>
    <cellStyle name="40% - Ênfase6 2 2 3 3 2" xfId="11257"/>
    <cellStyle name="Normal 7 2 3 3 2" xfId="11258"/>
    <cellStyle name="Nota 4 5 3 2" xfId="11259"/>
    <cellStyle name="20% - Ênfase1 3 5 3 2" xfId="11260"/>
    <cellStyle name="40% - Ênfase1 3 5 3 2" xfId="11261"/>
    <cellStyle name="20% - Ênfase2 3 5 3 2" xfId="11262"/>
    <cellStyle name="40% - Ênfase2 3 5 3 2" xfId="11263"/>
    <cellStyle name="20% - Ênfase3 3 5 3 2" xfId="11264"/>
    <cellStyle name="40% - Ênfase3 3 5 3 2" xfId="11265"/>
    <cellStyle name="20% - Ênfase4 3 5 3 2" xfId="11266"/>
    <cellStyle name="40% - Ênfase4 3 5 3 2" xfId="11267"/>
    <cellStyle name="20% - Ênfase5 3 5 3 2" xfId="11268"/>
    <cellStyle name="40% - Ênfase5 3 5 3 2" xfId="11269"/>
    <cellStyle name="20% - Ênfase6 3 5 3 2" xfId="11270"/>
    <cellStyle name="40% - Ênfase6 3 5 3 2" xfId="11271"/>
    <cellStyle name="Normal 8 5 3 3" xfId="11272"/>
    <cellStyle name="Nota 5 5 3 2" xfId="11273"/>
    <cellStyle name="20% - Ênfase1 4 5 3 2" xfId="11274"/>
    <cellStyle name="40% - Ênfase1 4 5 3 2" xfId="11275"/>
    <cellStyle name="20% - Ênfase2 4 5 3 2" xfId="11276"/>
    <cellStyle name="40% - Ênfase2 4 5 3 2" xfId="11277"/>
    <cellStyle name="20% - Ênfase3 4 5 3 2" xfId="11278"/>
    <cellStyle name="40% - Ênfase3 4 5 3 2" xfId="11279"/>
    <cellStyle name="20% - Ênfase4 4 5 3 2" xfId="11280"/>
    <cellStyle name="40% - Ênfase4 4 5 3 2" xfId="11281"/>
    <cellStyle name="20% - Ênfase5 4 5 3 2" xfId="11282"/>
    <cellStyle name="40% - Ênfase5 4 5 3 2" xfId="11283"/>
    <cellStyle name="20% - Ênfase6 4 5 3 2" xfId="11284"/>
    <cellStyle name="40% - Ênfase6 4 5 3 2" xfId="11285"/>
    <cellStyle name="20% - Ênfase1 6 3 3 2" xfId="11286"/>
    <cellStyle name="40% - Ênfase1 6 3 3 2" xfId="11287"/>
    <cellStyle name="20% - Ênfase2 6 3 3 2" xfId="11288"/>
    <cellStyle name="40% - Ênfase2 6 3 3 2" xfId="11289"/>
    <cellStyle name="20% - Ênfase3 6 3 3 2" xfId="11290"/>
    <cellStyle name="40% - Ênfase3 6 3 3 2" xfId="11291"/>
    <cellStyle name="20% - Ênfase4 6 3 3 2" xfId="11292"/>
    <cellStyle name="40% - Ênfase4 6 3 3 2" xfId="11293"/>
    <cellStyle name="20% - Ênfase5 6 3 3 2" xfId="11294"/>
    <cellStyle name="40% - Ênfase5 6 3 3 2" xfId="11295"/>
    <cellStyle name="20% - Ênfase6 6 3 3 2" xfId="11296"/>
    <cellStyle name="40% - Ênfase6 6 3 3 2" xfId="11297"/>
    <cellStyle name="Normal 4 3 3 3 2" xfId="11298"/>
    <cellStyle name="Nota 2 3 3 3 2" xfId="11299"/>
    <cellStyle name="Normal 5 3 3 3 2" xfId="11300"/>
    <cellStyle name="Nota 3 3 3 3 2" xfId="11301"/>
    <cellStyle name="20% - Ênfase1 2 3 3 3 2" xfId="11302"/>
    <cellStyle name="40% - Ênfase1 2 3 3 3 2" xfId="11303"/>
    <cellStyle name="20% - Ênfase2 2 3 3 3 2" xfId="11304"/>
    <cellStyle name="40% - Ênfase2 2 3 3 3 2" xfId="11305"/>
    <cellStyle name="20% - Ênfase3 2 3 3 3 2" xfId="11306"/>
    <cellStyle name="40% - Ênfase3 2 3 3 3 2" xfId="11307"/>
    <cellStyle name="20% - Ênfase4 2 3 3 3 2" xfId="11308"/>
    <cellStyle name="40% - Ênfase4 2 3 3 3 2" xfId="11309"/>
    <cellStyle name="20% - Ênfase5 2 3 3 3 2" xfId="11310"/>
    <cellStyle name="40% - Ênfase5 2 3 3 3 2" xfId="11311"/>
    <cellStyle name="20% - Ênfase6 2 3 3 3 2" xfId="11312"/>
    <cellStyle name="40% - Ênfase6 2 3 3 3 2" xfId="11313"/>
    <cellStyle name="Normal 7 3 3 3 2" xfId="11314"/>
    <cellStyle name="Nota 4 2 3 3 2" xfId="11315"/>
    <cellStyle name="20% - Ênfase1 3 2 3 3 2" xfId="11316"/>
    <cellStyle name="40% - Ênfase1 3 2 3 3 2" xfId="11317"/>
    <cellStyle name="20% - Ênfase2 3 2 3 3 2" xfId="11318"/>
    <cellStyle name="40% - Ênfase2 3 2 3 3 2" xfId="11319"/>
    <cellStyle name="20% - Ênfase3 3 2 3 3 2" xfId="11320"/>
    <cellStyle name="40% - Ênfase3 3 2 3 3 2" xfId="11321"/>
    <cellStyle name="20% - Ênfase4 3 2 3 3 2" xfId="11322"/>
    <cellStyle name="40% - Ênfase4 3 2 3 3 2" xfId="11323"/>
    <cellStyle name="20% - Ênfase5 3 2 3 3 2" xfId="11324"/>
    <cellStyle name="40% - Ênfase5 3 2 3 3 2" xfId="11325"/>
    <cellStyle name="20% - Ênfase6 3 2 3 3 2" xfId="11326"/>
    <cellStyle name="40% - Ênfase6 3 2 3 3 2" xfId="11327"/>
    <cellStyle name="Normal 8 2 3 3 2" xfId="11328"/>
    <cellStyle name="Nota 5 2 3 3 2" xfId="11329"/>
    <cellStyle name="20% - Ênfase1 4 2 3 3 2" xfId="11330"/>
    <cellStyle name="40% - Ênfase1 4 2 3 3 2" xfId="11331"/>
    <cellStyle name="20% - Ênfase2 4 2 3 3 2" xfId="11332"/>
    <cellStyle name="40% - Ênfase2 4 2 3 3 2" xfId="11333"/>
    <cellStyle name="20% - Ênfase3 4 2 3 3 2" xfId="11334"/>
    <cellStyle name="40% - Ênfase3 4 2 3 3 2" xfId="11335"/>
    <cellStyle name="20% - Ênfase4 4 2 3 3 2" xfId="11336"/>
    <cellStyle name="40% - Ênfase4 4 2 3 3 2" xfId="11337"/>
    <cellStyle name="20% - Ênfase5 4 2 3 3 2" xfId="11338"/>
    <cellStyle name="40% - Ênfase5 4 2 3 3 2" xfId="11339"/>
    <cellStyle name="20% - Ênfase6 4 2 3 3 2" xfId="11340"/>
    <cellStyle name="40% - Ênfase6 4 2 3 3 2" xfId="11341"/>
    <cellStyle name="20% - Ênfase1 8 2 3 2" xfId="11342"/>
    <cellStyle name="40% - Ênfase1 8 2 3 2" xfId="11343"/>
    <cellStyle name="20% - Ênfase2 8 2 3 2" xfId="11344"/>
    <cellStyle name="40% - Ênfase2 8 2 3 2" xfId="11345"/>
    <cellStyle name="20% - Ênfase3 8 2 3 2" xfId="11346"/>
    <cellStyle name="40% - Ênfase3 8 2 3 2" xfId="11347"/>
    <cellStyle name="20% - Ênfase4 8 2 3 2" xfId="11348"/>
    <cellStyle name="40% - Ênfase4 8 2 3 2" xfId="11349"/>
    <cellStyle name="20% - Ênfase5 8 2 3 2" xfId="11350"/>
    <cellStyle name="40% - Ênfase5 8 2 3 2" xfId="11351"/>
    <cellStyle name="20% - Ênfase6 8 2 3 2" xfId="11352"/>
    <cellStyle name="40% - Ênfase6 8 2 3 2" xfId="11353"/>
    <cellStyle name="Normal 4 5 2 3 2" xfId="11354"/>
    <cellStyle name="Nota 2 5 2 3 2" xfId="11355"/>
    <cellStyle name="Normal 5 5 2 3 2" xfId="11356"/>
    <cellStyle name="Nota 3 5 2 3 2" xfId="11357"/>
    <cellStyle name="20% - Ênfase1 2 5 2 3 2" xfId="11358"/>
    <cellStyle name="40% - Ênfase1 2 5 2 3 2" xfId="11359"/>
    <cellStyle name="20% - Ênfase2 2 5 2 3 2" xfId="11360"/>
    <cellStyle name="40% - Ênfase2 2 5 2 3 2" xfId="11361"/>
    <cellStyle name="20% - Ênfase3 2 5 2 3 2" xfId="11362"/>
    <cellStyle name="40% - Ênfase3 2 5 2 3 2" xfId="11363"/>
    <cellStyle name="20% - Ênfase4 2 5 2 3 2" xfId="11364"/>
    <cellStyle name="40% - Ênfase4 2 5 2 3 2" xfId="11365"/>
    <cellStyle name="20% - Ênfase5 2 5 2 3 2" xfId="11366"/>
    <cellStyle name="40% - Ênfase5 2 5 2 3 2" xfId="11367"/>
    <cellStyle name="20% - Ênfase6 2 5 2 3 2" xfId="11368"/>
    <cellStyle name="40% - Ênfase6 2 5 2 3 2" xfId="11369"/>
    <cellStyle name="Normal 7 5 2 3 2" xfId="11370"/>
    <cellStyle name="Nota 4 4 2 3 2" xfId="11371"/>
    <cellStyle name="20% - Ênfase1 3 4 2 3 2" xfId="11372"/>
    <cellStyle name="40% - Ênfase1 3 4 2 3 2" xfId="11373"/>
    <cellStyle name="20% - Ênfase2 3 4 2 3 2" xfId="11374"/>
    <cellStyle name="40% - Ênfase2 3 4 2 3 2" xfId="11375"/>
    <cellStyle name="20% - Ênfase3 3 4 2 3 2" xfId="11376"/>
    <cellStyle name="40% - Ênfase3 3 4 2 3 2" xfId="11377"/>
    <cellStyle name="20% - Ênfase4 3 4 2 3 2" xfId="11378"/>
    <cellStyle name="40% - Ênfase4 3 4 2 3 2" xfId="11379"/>
    <cellStyle name="20% - Ênfase5 3 4 2 3 2" xfId="11380"/>
    <cellStyle name="40% - Ênfase5 3 4 2 3 2" xfId="11381"/>
    <cellStyle name="20% - Ênfase6 3 4 2 3 2" xfId="11382"/>
    <cellStyle name="40% - Ênfase6 3 4 2 3 2" xfId="11383"/>
    <cellStyle name="Normal 8 4 2 3 3" xfId="11384"/>
    <cellStyle name="Nota 5 4 2 3 2" xfId="11385"/>
    <cellStyle name="20% - Ênfase1 4 4 2 3 2" xfId="11386"/>
    <cellStyle name="40% - Ênfase1 4 4 2 3 2" xfId="11387"/>
    <cellStyle name="20% - Ênfase2 4 4 2 3 2" xfId="11388"/>
    <cellStyle name="40% - Ênfase2 4 4 2 3 2" xfId="11389"/>
    <cellStyle name="20% - Ênfase3 4 4 2 3 2" xfId="11390"/>
    <cellStyle name="40% - Ênfase3 4 4 2 3 2" xfId="11391"/>
    <cellStyle name="20% - Ênfase4 4 4 2 3 2" xfId="11392"/>
    <cellStyle name="40% - Ênfase4 4 4 2 3 2" xfId="11393"/>
    <cellStyle name="20% - Ênfase5 4 4 2 3 2" xfId="11394"/>
    <cellStyle name="40% - Ênfase5 4 4 2 3 2" xfId="11395"/>
    <cellStyle name="20% - Ênfase6 4 4 2 3 2" xfId="11396"/>
    <cellStyle name="40% - Ênfase6 4 4 2 3 2" xfId="11397"/>
    <cellStyle name="Normal 3 3 2 3 2" xfId="11398"/>
    <cellStyle name="Separador de milhares 5 2 2 3" xfId="11399"/>
    <cellStyle name="Separador de milhares 6 2 2 3" xfId="11400"/>
    <cellStyle name="Vírgula 5 2 3" xfId="11401"/>
    <cellStyle name="Vírgula 2 3 2 3" xfId="11402"/>
    <cellStyle name="20% - Ênfase1 5 2 2 3 2" xfId="11403"/>
    <cellStyle name="40% - Ênfase1 5 2 2 3 2" xfId="11404"/>
    <cellStyle name="20% - Ênfase2 5 2 2 3 2" xfId="11405"/>
    <cellStyle name="40% - Ênfase2 5 2 2 3 2" xfId="11406"/>
    <cellStyle name="20% - Ênfase3 5 2 2 3 2" xfId="11407"/>
    <cellStyle name="40% - Ênfase3 5 2 2 3 2" xfId="11408"/>
    <cellStyle name="20% - Ênfase4 5 2 2 3 2" xfId="11409"/>
    <cellStyle name="40% - Ênfase4 5 2 2 3 2" xfId="11410"/>
    <cellStyle name="20% - Ênfase5 5 2 2 3 2" xfId="11411"/>
    <cellStyle name="40% - Ênfase5 5 2 2 3 2" xfId="11412"/>
    <cellStyle name="20% - Ênfase6 5 2 2 3 2" xfId="11413"/>
    <cellStyle name="40% - Ênfase6 5 2 2 3 2" xfId="11414"/>
    <cellStyle name="Normal 4 2 2 2 3 2" xfId="11415"/>
    <cellStyle name="Nota 2 2 2 2 3 2" xfId="11416"/>
    <cellStyle name="Normal 5 2 2 2 3 2" xfId="11417"/>
    <cellStyle name="Nota 3 2 2 2 3 2" xfId="11418"/>
    <cellStyle name="20% - Ênfase1 2 2 2 2 3 2" xfId="11419"/>
    <cellStyle name="40% - Ênfase1 2 2 2 2 3 2" xfId="11420"/>
    <cellStyle name="20% - Ênfase2 2 2 2 2 3 2" xfId="11421"/>
    <cellStyle name="40% - Ênfase2 2 2 2 2 3 2" xfId="11422"/>
    <cellStyle name="20% - Ênfase3 2 2 2 2 3 2" xfId="11423"/>
    <cellStyle name="40% - Ênfase3 2 2 2 2 3 2" xfId="11424"/>
    <cellStyle name="20% - Ênfase4 2 2 2 2 3 2" xfId="11425"/>
    <cellStyle name="40% - Ênfase4 2 2 2 2 3 2" xfId="11426"/>
    <cellStyle name="20% - Ênfase5 2 2 2 2 3 2" xfId="11427"/>
    <cellStyle name="40% - Ênfase5 2 2 2 2 3 2" xfId="11428"/>
    <cellStyle name="20% - Ênfase6 2 2 2 2 3 2" xfId="11429"/>
    <cellStyle name="40% - Ênfase6 2 2 2 2 3 2" xfId="11430"/>
    <cellStyle name="Normal 7 2 2 2 3 2" xfId="11431"/>
    <cellStyle name="Nota 4 3 2 3 2" xfId="11432"/>
    <cellStyle name="20% - Ênfase1 3 3 2 3 2" xfId="11433"/>
    <cellStyle name="40% - Ênfase1 3 3 2 3 2" xfId="11434"/>
    <cellStyle name="20% - Ênfase2 3 3 2 3 2" xfId="11435"/>
    <cellStyle name="40% - Ênfase2 3 3 2 3 2" xfId="11436"/>
    <cellStyle name="20% - Ênfase3 3 3 2 3 2" xfId="11437"/>
    <cellStyle name="40% - Ênfase3 3 3 2 3 2" xfId="11438"/>
    <cellStyle name="20% - Ênfase4 3 3 2 3 2" xfId="11439"/>
    <cellStyle name="40% - Ênfase4 3 3 2 3 2" xfId="11440"/>
    <cellStyle name="20% - Ênfase5 3 3 2 3 2" xfId="11441"/>
    <cellStyle name="40% - Ênfase5 3 3 2 3 2" xfId="11442"/>
    <cellStyle name="20% - Ênfase6 3 3 2 3 2" xfId="11443"/>
    <cellStyle name="40% - Ênfase6 3 3 2 3 2" xfId="11444"/>
    <cellStyle name="Normal 8 3 2 3 3" xfId="11445"/>
    <cellStyle name="Nota 5 3 2 3 2" xfId="11446"/>
    <cellStyle name="20% - Ênfase1 4 3 2 3 2" xfId="11447"/>
    <cellStyle name="40% - Ênfase1 4 3 2 3 2" xfId="11448"/>
    <cellStyle name="20% - Ênfase2 4 3 2 3 2" xfId="11449"/>
    <cellStyle name="40% - Ênfase2 4 3 2 3 2" xfId="11450"/>
    <cellStyle name="20% - Ênfase3 4 3 2 3 2" xfId="11451"/>
    <cellStyle name="40% - Ênfase3 4 3 2 3 2" xfId="11452"/>
    <cellStyle name="20% - Ênfase4 4 3 2 3 2" xfId="11453"/>
    <cellStyle name="40% - Ênfase4 4 3 2 3 2" xfId="11454"/>
    <cellStyle name="20% - Ênfase5 4 3 2 3 2" xfId="11455"/>
    <cellStyle name="40% - Ênfase5 4 3 2 3 2" xfId="11456"/>
    <cellStyle name="20% - Ênfase6 4 3 2 3 2" xfId="11457"/>
    <cellStyle name="40% - Ênfase6 4 3 2 3 2" xfId="11458"/>
    <cellStyle name="20% - Ênfase1 6 2 2 3 2" xfId="11459"/>
    <cellStyle name="40% - Ênfase1 6 2 2 3 2" xfId="11460"/>
    <cellStyle name="20% - Ênfase2 6 2 2 3 2" xfId="11461"/>
    <cellStyle name="40% - Ênfase2 6 2 2 3 2" xfId="11462"/>
    <cellStyle name="20% - Ênfase3 6 2 2 3 2" xfId="11463"/>
    <cellStyle name="40% - Ênfase3 6 2 2 3 2" xfId="11464"/>
    <cellStyle name="20% - Ênfase4 6 2 2 3 2" xfId="11465"/>
    <cellStyle name="40% - Ênfase4 6 2 2 3 2" xfId="11466"/>
    <cellStyle name="20% - Ênfase5 6 2 2 3 2" xfId="11467"/>
    <cellStyle name="40% - Ênfase5 6 2 2 3 2" xfId="11468"/>
    <cellStyle name="20% - Ênfase6 6 2 2 3 2" xfId="11469"/>
    <cellStyle name="40% - Ênfase6 6 2 2 3 2" xfId="11470"/>
    <cellStyle name="Normal 4 3 2 2 3 2" xfId="11471"/>
    <cellStyle name="Nota 2 3 2 2 3 2" xfId="11472"/>
    <cellStyle name="Normal 5 3 2 2 3 2" xfId="11473"/>
    <cellStyle name="Nota 3 3 2 2 3 2" xfId="11474"/>
    <cellStyle name="20% - Ênfase1 2 3 2 2 3 2" xfId="11475"/>
    <cellStyle name="40% - Ênfase1 2 3 2 2 3 2" xfId="11476"/>
    <cellStyle name="20% - Ênfase2 2 3 2 2 3 2" xfId="11477"/>
    <cellStyle name="40% - Ênfase2 2 3 2 2 3 2" xfId="11478"/>
    <cellStyle name="20% - Ênfase3 2 3 2 2 3 2" xfId="11479"/>
    <cellStyle name="40% - Ênfase3 2 3 2 2 3 2" xfId="11480"/>
    <cellStyle name="20% - Ênfase4 2 3 2 2 3 2" xfId="11481"/>
    <cellStyle name="40% - Ênfase4 2 3 2 2 3 2" xfId="11482"/>
    <cellStyle name="20% - Ênfase5 2 3 2 2 3 2" xfId="11483"/>
    <cellStyle name="40% - Ênfase5 2 3 2 2 3 2" xfId="11484"/>
    <cellStyle name="20% - Ênfase6 2 3 2 2 3 2" xfId="11485"/>
    <cellStyle name="40% - Ênfase6 2 3 2 2 3 2" xfId="11486"/>
    <cellStyle name="Normal 7 3 2 2 3 2" xfId="11487"/>
    <cellStyle name="Nota 4 2 2 2 3 2" xfId="11488"/>
    <cellStyle name="20% - Ênfase1 3 2 2 2 3 2" xfId="11489"/>
    <cellStyle name="40% - Ênfase1 3 2 2 2 3 2" xfId="11490"/>
    <cellStyle name="20% - Ênfase2 3 2 2 2 3 2" xfId="11491"/>
    <cellStyle name="40% - Ênfase2 3 2 2 2 3 2" xfId="11492"/>
    <cellStyle name="20% - Ênfase3 3 2 2 2 3 2" xfId="11493"/>
    <cellStyle name="40% - Ênfase3 3 2 2 2 3 2" xfId="11494"/>
    <cellStyle name="20% - Ênfase4 3 2 2 2 3 2" xfId="11495"/>
    <cellStyle name="40% - Ênfase4 3 2 2 2 3 2" xfId="11496"/>
    <cellStyle name="20% - Ênfase5 3 2 2 2 3 2" xfId="11497"/>
    <cellStyle name="40% - Ênfase5 3 2 2 2 3 2" xfId="11498"/>
    <cellStyle name="20% - Ênfase6 3 2 2 2 3 2" xfId="11499"/>
    <cellStyle name="40% - Ênfase6 3 2 2 2 3 2" xfId="11500"/>
    <cellStyle name="Normal 8 2 2 2 3 2" xfId="11501"/>
    <cellStyle name="Nota 5 2 2 2 3 2" xfId="11502"/>
    <cellStyle name="20% - Ênfase1 4 2 2 2 3 2" xfId="11503"/>
    <cellStyle name="40% - Ênfase1 4 2 2 2 3 2" xfId="11504"/>
    <cellStyle name="20% - Ênfase2 4 2 2 2 3 2" xfId="11505"/>
    <cellStyle name="40% - Ênfase2 4 2 2 2 3 2" xfId="11506"/>
    <cellStyle name="20% - Ênfase3 4 2 2 2 3 2" xfId="11507"/>
    <cellStyle name="40% - Ênfase3 4 2 2 2 3 2" xfId="11508"/>
    <cellStyle name="20% - Ênfase4 4 2 2 2 3 2" xfId="11509"/>
    <cellStyle name="40% - Ênfase4 4 2 2 2 3 2" xfId="11510"/>
    <cellStyle name="20% - Ênfase5 4 2 2 2 3 2" xfId="11511"/>
    <cellStyle name="40% - Ênfase5 4 2 2 2 3 2" xfId="11512"/>
    <cellStyle name="20% - Ênfase6 4 2 2 2 3 2" xfId="11513"/>
    <cellStyle name="40% - Ênfase6 4 2 2 2 3 2" xfId="11514"/>
    <cellStyle name="Normal 3 5 3 2" xfId="11515"/>
    <cellStyle name="20% - Ênfase1 5 4 3 2" xfId="11516"/>
    <cellStyle name="40% - Ênfase1 5 4 3 2" xfId="11517"/>
    <cellStyle name="20% - Ênfase2 5 4 3 2" xfId="11518"/>
    <cellStyle name="40% - Ênfase2 5 4 3 2" xfId="11519"/>
    <cellStyle name="20% - Ênfase3 5 4 3 2" xfId="11520"/>
    <cellStyle name="40% - Ênfase3 5 4 3 2" xfId="11521"/>
    <cellStyle name="20% - Ênfase4 5 4 3 2" xfId="11522"/>
    <cellStyle name="40% - Ênfase4 5 4 3 2" xfId="11523"/>
    <cellStyle name="20% - Ênfase5 5 4 3 2" xfId="11524"/>
    <cellStyle name="40% - Ênfase5 5 4 3 2" xfId="11525"/>
    <cellStyle name="20% - Ênfase6 5 4 3 2" xfId="11526"/>
    <cellStyle name="40% - Ênfase6 5 4 3 2" xfId="11527"/>
    <cellStyle name="Normal 4 2 4 3 2" xfId="11528"/>
    <cellStyle name="Nota 2 2 4 3 2" xfId="11529"/>
    <cellStyle name="Normal 5 2 4 3 2" xfId="11530"/>
    <cellStyle name="Nota 3 2 4 3 2" xfId="11531"/>
    <cellStyle name="20% - Ênfase1 2 2 4 3 2" xfId="11532"/>
    <cellStyle name="40% - Ênfase1 2 2 4 3 2" xfId="11533"/>
    <cellStyle name="20% - Ênfase2 2 2 4 3 2" xfId="11534"/>
    <cellStyle name="40% - Ênfase2 2 2 4 3 2" xfId="11535"/>
    <cellStyle name="20% - Ênfase3 2 2 4 3 2" xfId="11536"/>
    <cellStyle name="40% - Ênfase3 2 2 4 3 2" xfId="11537"/>
    <cellStyle name="20% - Ênfase4 2 2 4 3 2" xfId="11538"/>
    <cellStyle name="40% - Ênfase4 2 2 4 3 2" xfId="11539"/>
    <cellStyle name="20% - Ênfase5 2 2 4 3 2" xfId="11540"/>
    <cellStyle name="40% - Ênfase5 2 2 4 3 2" xfId="11541"/>
    <cellStyle name="20% - Ênfase6 2 2 4 3 2" xfId="11542"/>
    <cellStyle name="40% - Ênfase6 2 2 4 3 2" xfId="11543"/>
    <cellStyle name="Normal 7 2 4 3 2" xfId="11544"/>
    <cellStyle name="Nota 4 6 3 2" xfId="11545"/>
    <cellStyle name="20% - Ênfase1 3 6 3 2" xfId="11546"/>
    <cellStyle name="40% - Ênfase1 3 6 3 2" xfId="11547"/>
    <cellStyle name="20% - Ênfase2 3 6 3 2" xfId="11548"/>
    <cellStyle name="40% - Ênfase2 3 6 3 2" xfId="11549"/>
    <cellStyle name="20% - Ênfase3 3 6 3 2" xfId="11550"/>
    <cellStyle name="40% - Ênfase3 3 6 3 2" xfId="11551"/>
    <cellStyle name="20% - Ênfase4 3 6 3 2" xfId="11552"/>
    <cellStyle name="40% - Ênfase4 3 6 3 2" xfId="11553"/>
    <cellStyle name="20% - Ênfase5 3 6 3 2" xfId="11554"/>
    <cellStyle name="40% - Ênfase5 3 6 3 2" xfId="11555"/>
    <cellStyle name="20% - Ênfase6 3 6 3 2" xfId="11556"/>
    <cellStyle name="40% - Ênfase6 3 6 3 2" xfId="11557"/>
    <cellStyle name="Normal 8 6 3 3" xfId="11558"/>
    <cellStyle name="Nota 5 6 3 2" xfId="11559"/>
    <cellStyle name="20% - Ênfase1 4 6 3 2" xfId="11560"/>
    <cellStyle name="40% - Ênfase1 4 6 3 2" xfId="11561"/>
    <cellStyle name="20% - Ênfase2 4 6 3 2" xfId="11562"/>
    <cellStyle name="40% - Ênfase2 4 6 3 2" xfId="11563"/>
    <cellStyle name="20% - Ênfase3 4 6 3 2" xfId="11564"/>
    <cellStyle name="40% - Ênfase3 4 6 3 2" xfId="11565"/>
    <cellStyle name="20% - Ênfase4 4 6 3 2" xfId="11566"/>
    <cellStyle name="40% - Ênfase4 4 6 3 2" xfId="11567"/>
    <cellStyle name="20% - Ênfase5 4 6 3 2" xfId="11568"/>
    <cellStyle name="40% - Ênfase5 4 6 3 2" xfId="11569"/>
    <cellStyle name="20% - Ênfase6 4 6 3 2" xfId="11570"/>
    <cellStyle name="40% - Ênfase6 4 6 3 2" xfId="11571"/>
    <cellStyle name="20% - Ênfase1 6 4 3 2" xfId="11572"/>
    <cellStyle name="40% - Ênfase1 6 4 3 2" xfId="11573"/>
    <cellStyle name="20% - Ênfase2 6 4 3 2" xfId="11574"/>
    <cellStyle name="40% - Ênfase2 6 4 3 2" xfId="11575"/>
    <cellStyle name="20% - Ênfase3 6 4 3 2" xfId="11576"/>
    <cellStyle name="40% - Ênfase3 6 4 3 2" xfId="11577"/>
    <cellStyle name="20% - Ênfase4 6 4 3 2" xfId="11578"/>
    <cellStyle name="40% - Ênfase4 6 4 3 2" xfId="11579"/>
    <cellStyle name="20% - Ênfase5 6 4 3 2" xfId="11580"/>
    <cellStyle name="40% - Ênfase5 6 4 3 2" xfId="11581"/>
    <cellStyle name="20% - Ênfase6 6 4 3 2" xfId="11582"/>
    <cellStyle name="40% - Ênfase6 6 4 3 2" xfId="11583"/>
    <cellStyle name="Normal 4 3 4 3 2" xfId="11584"/>
    <cellStyle name="Nota 2 3 4 3 2" xfId="11585"/>
    <cellStyle name="Normal 5 3 4 3 2" xfId="11586"/>
    <cellStyle name="Nota 3 3 4 3 2" xfId="11587"/>
    <cellStyle name="20% - Ênfase1 2 3 4 3 2" xfId="11588"/>
    <cellStyle name="40% - Ênfase1 2 3 4 3 2" xfId="11589"/>
    <cellStyle name="20% - Ênfase2 2 3 4 3 2" xfId="11590"/>
    <cellStyle name="40% - Ênfase2 2 3 4 3 2" xfId="11591"/>
    <cellStyle name="20% - Ênfase3 2 3 4 3 2" xfId="11592"/>
    <cellStyle name="40% - Ênfase3 2 3 4 3 2" xfId="11593"/>
    <cellStyle name="20% - Ênfase4 2 3 4 3 2" xfId="11594"/>
    <cellStyle name="40% - Ênfase4 2 3 4 3 2" xfId="11595"/>
    <cellStyle name="20% - Ênfase5 2 3 4 3 2" xfId="11596"/>
    <cellStyle name="40% - Ênfase5 2 3 4 3 2" xfId="11597"/>
    <cellStyle name="20% - Ênfase6 2 3 4 3 2" xfId="11598"/>
    <cellStyle name="40% - Ênfase6 2 3 4 3 2" xfId="11599"/>
    <cellStyle name="Normal 7 3 4 3 2" xfId="11600"/>
    <cellStyle name="Nota 4 2 4 3 2" xfId="11601"/>
    <cellStyle name="20% - Ênfase1 3 2 4 3 2" xfId="11602"/>
    <cellStyle name="40% - Ênfase1 3 2 4 3 2" xfId="11603"/>
    <cellStyle name="20% - Ênfase2 3 2 4 3 2" xfId="11604"/>
    <cellStyle name="40% - Ênfase2 3 2 4 3 2" xfId="11605"/>
    <cellStyle name="20% - Ênfase3 3 2 4 3 2" xfId="11606"/>
    <cellStyle name="40% - Ênfase3 3 2 4 3 2" xfId="11607"/>
    <cellStyle name="20% - Ênfase4 3 2 4 3 2" xfId="11608"/>
    <cellStyle name="40% - Ênfase4 3 2 4 3 2" xfId="11609"/>
    <cellStyle name="20% - Ênfase5 3 2 4 3 2" xfId="11610"/>
    <cellStyle name="40% - Ênfase5 3 2 4 3 2" xfId="11611"/>
    <cellStyle name="20% - Ênfase6 3 2 4 3 2" xfId="11612"/>
    <cellStyle name="40% - Ênfase6 3 2 4 3 2" xfId="11613"/>
    <cellStyle name="Normal 8 2 4 3 2" xfId="11614"/>
    <cellStyle name="Nota 5 2 4 3 2" xfId="11615"/>
    <cellStyle name="20% - Ênfase1 4 2 4 3 2" xfId="11616"/>
    <cellStyle name="40% - Ênfase1 4 2 4 3 2" xfId="11617"/>
    <cellStyle name="20% - Ênfase2 4 2 4 3 2" xfId="11618"/>
    <cellStyle name="40% - Ênfase2 4 2 4 3 2" xfId="11619"/>
    <cellStyle name="20% - Ênfase3 4 2 4 3 2" xfId="11620"/>
    <cellStyle name="40% - Ênfase3 4 2 4 3 2" xfId="11621"/>
    <cellStyle name="20% - Ênfase4 4 2 4 3 2" xfId="11622"/>
    <cellStyle name="40% - Ênfase4 4 2 4 3 2" xfId="11623"/>
    <cellStyle name="20% - Ênfase5 4 2 4 3 2" xfId="11624"/>
    <cellStyle name="40% - Ênfase5 4 2 4 3 2" xfId="11625"/>
    <cellStyle name="20% - Ênfase6 4 2 4 3 2" xfId="11626"/>
    <cellStyle name="40% - Ênfase6 4 2 4 3 2" xfId="11627"/>
    <cellStyle name="20% - Ênfase1 8 3 3 2" xfId="11628"/>
    <cellStyle name="40% - Ênfase1 8 3 3 2" xfId="11629"/>
    <cellStyle name="20% - Ênfase2 8 3 3 2" xfId="11630"/>
    <cellStyle name="40% - Ênfase2 8 3 3 2" xfId="11631"/>
    <cellStyle name="20% - Ênfase3 8 3 3 2" xfId="11632"/>
    <cellStyle name="40% - Ênfase3 8 3 3 2" xfId="11633"/>
    <cellStyle name="20% - Ênfase4 8 3 3 2" xfId="11634"/>
    <cellStyle name="40% - Ênfase4 8 3 3 2" xfId="11635"/>
    <cellStyle name="20% - Ênfase5 8 3 3 2" xfId="11636"/>
    <cellStyle name="40% - Ênfase5 8 3 3 2" xfId="11637"/>
    <cellStyle name="20% - Ênfase6 8 3 3 2" xfId="11638"/>
    <cellStyle name="40% - Ênfase6 8 3 3 2" xfId="11639"/>
    <cellStyle name="Normal 4 5 3 3 2" xfId="11640"/>
    <cellStyle name="Nota 2 5 3 3 2" xfId="11641"/>
    <cellStyle name="Normal 5 5 3 3 2" xfId="11642"/>
    <cellStyle name="Nota 3 5 3 3 2" xfId="11643"/>
    <cellStyle name="20% - Ênfase1 2 5 3 3 2" xfId="11644"/>
    <cellStyle name="40% - Ênfase1 2 5 3 3 2" xfId="11645"/>
    <cellStyle name="20% - Ênfase2 2 5 3 3 2" xfId="11646"/>
    <cellStyle name="40% - Ênfase2 2 5 3 3 2" xfId="11647"/>
    <cellStyle name="20% - Ênfase3 2 5 3 3 2" xfId="11648"/>
    <cellStyle name="40% - Ênfase3 2 5 3 3 2" xfId="11649"/>
    <cellStyle name="20% - Ênfase4 2 5 3 3 2" xfId="11650"/>
    <cellStyle name="40% - Ênfase4 2 5 3 3 2" xfId="11651"/>
    <cellStyle name="20% - Ênfase5 2 5 3 3 2" xfId="11652"/>
    <cellStyle name="40% - Ênfase5 2 5 3 3 2" xfId="11653"/>
    <cellStyle name="20% - Ênfase6 2 5 3 3 2" xfId="11654"/>
    <cellStyle name="40% - Ênfase6 2 5 3 3 2" xfId="11655"/>
    <cellStyle name="Normal 7 5 3 3 2" xfId="11656"/>
    <cellStyle name="Nota 4 4 3 3 2" xfId="11657"/>
    <cellStyle name="20% - Ênfase1 3 4 3 3 2" xfId="11658"/>
    <cellStyle name="40% - Ênfase1 3 4 3 3 2" xfId="11659"/>
    <cellStyle name="20% - Ênfase2 3 4 3 3 2" xfId="11660"/>
    <cellStyle name="40% - Ênfase2 3 4 3 3 2" xfId="11661"/>
    <cellStyle name="20% - Ênfase3 3 4 3 3 2" xfId="11662"/>
    <cellStyle name="40% - Ênfase3 3 4 3 3 2" xfId="11663"/>
    <cellStyle name="20% - Ênfase4 3 4 3 3 2" xfId="11664"/>
    <cellStyle name="40% - Ênfase4 3 4 3 3 2" xfId="11665"/>
    <cellStyle name="20% - Ênfase5 3 4 3 3 2" xfId="11666"/>
    <cellStyle name="40% - Ênfase5 3 4 3 3 2" xfId="11667"/>
    <cellStyle name="20% - Ênfase6 3 4 3 3 2" xfId="11668"/>
    <cellStyle name="40% - Ênfase6 3 4 3 3 2" xfId="11669"/>
    <cellStyle name="Normal 8 4 3 3 2" xfId="11670"/>
    <cellStyle name="Nota 5 4 3 3 2" xfId="11671"/>
    <cellStyle name="20% - Ênfase1 4 4 3 3 2" xfId="11672"/>
    <cellStyle name="40% - Ênfase1 4 4 3 3 2" xfId="11673"/>
    <cellStyle name="20% - Ênfase2 4 4 3 3 2" xfId="11674"/>
    <cellStyle name="40% - Ênfase2 4 4 3 3 2" xfId="11675"/>
    <cellStyle name="20% - Ênfase3 4 4 3 3 2" xfId="11676"/>
    <cellStyle name="40% - Ênfase3 4 4 3 3 2" xfId="11677"/>
    <cellStyle name="20% - Ênfase4 4 4 3 3 2" xfId="11678"/>
    <cellStyle name="40% - Ênfase4 4 4 3 3 2" xfId="11679"/>
    <cellStyle name="20% - Ênfase5 4 4 3 3 2" xfId="11680"/>
    <cellStyle name="40% - Ênfase5 4 4 3 3 2" xfId="11681"/>
    <cellStyle name="20% - Ênfase6 4 4 3 3 2" xfId="11682"/>
    <cellStyle name="40% - Ênfase6 4 4 3 3 2" xfId="11683"/>
    <cellStyle name="Normal 3 3 3 3 2" xfId="11684"/>
    <cellStyle name="20% - Ênfase1 5 2 3 3 2" xfId="11685"/>
    <cellStyle name="40% - Ênfase1 5 2 3 3 2" xfId="11686"/>
    <cellStyle name="20% - Ênfase2 5 2 3 3 2" xfId="11687"/>
    <cellStyle name="40% - Ênfase2 5 2 3 3 2" xfId="11688"/>
    <cellStyle name="20% - Ênfase3 5 2 3 3 2" xfId="11689"/>
    <cellStyle name="40% - Ênfase3 5 2 3 3 2" xfId="11690"/>
    <cellStyle name="20% - Ênfase4 5 2 3 3 2" xfId="11691"/>
    <cellStyle name="40% - Ênfase4 5 2 3 3 2" xfId="11692"/>
    <cellStyle name="20% - Ênfase5 5 2 3 3 2" xfId="11693"/>
    <cellStyle name="40% - Ênfase5 5 2 3 3 2" xfId="11694"/>
    <cellStyle name="20% - Ênfase6 5 2 3 3 2" xfId="11695"/>
    <cellStyle name="40% - Ênfase6 5 2 3 3 2" xfId="11696"/>
    <cellStyle name="Normal 4 2 2 3 3 2" xfId="11697"/>
    <cellStyle name="Nota 2 2 2 3 3 2" xfId="11698"/>
    <cellStyle name="Normal 5 2 2 3 3 2" xfId="11699"/>
    <cellStyle name="Nota 3 2 2 3 3 2" xfId="11700"/>
    <cellStyle name="20% - Ênfase1 2 2 2 3 3 2" xfId="11701"/>
    <cellStyle name="40% - Ênfase1 2 2 2 3 3 2" xfId="11702"/>
    <cellStyle name="20% - Ênfase2 2 2 2 3 3 2" xfId="11703"/>
    <cellStyle name="40% - Ênfase2 2 2 2 3 3 2" xfId="11704"/>
    <cellStyle name="20% - Ênfase3 2 2 2 3 3 2" xfId="11705"/>
    <cellStyle name="40% - Ênfase3 2 2 2 3 3 2" xfId="11706"/>
    <cellStyle name="20% - Ênfase4 2 2 2 3 3 2" xfId="11707"/>
    <cellStyle name="40% - Ênfase4 2 2 2 3 3 2" xfId="11708"/>
    <cellStyle name="20% - Ênfase5 2 2 2 3 3 2" xfId="11709"/>
    <cellStyle name="40% - Ênfase5 2 2 2 3 3 2" xfId="11710"/>
    <cellStyle name="20% - Ênfase6 2 2 2 3 3 2" xfId="11711"/>
    <cellStyle name="40% - Ênfase6 2 2 2 3 3 2" xfId="11712"/>
    <cellStyle name="Normal 7 2 2 3 3 2" xfId="11713"/>
    <cellStyle name="Nota 4 3 3 3 2" xfId="11714"/>
    <cellStyle name="20% - Ênfase1 3 3 3 3 2" xfId="11715"/>
    <cellStyle name="40% - Ênfase1 3 3 3 3 2" xfId="11716"/>
    <cellStyle name="20% - Ênfase2 3 3 3 3 2" xfId="11717"/>
    <cellStyle name="40% - Ênfase2 3 3 3 3 2" xfId="11718"/>
    <cellStyle name="20% - Ênfase3 3 3 3 3 2" xfId="11719"/>
    <cellStyle name="40% - Ênfase3 3 3 3 3 2" xfId="11720"/>
    <cellStyle name="20% - Ênfase4 3 3 3 3 2" xfId="11721"/>
    <cellStyle name="40% - Ênfase4 3 3 3 3 2" xfId="11722"/>
    <cellStyle name="20% - Ênfase5 3 3 3 3 2" xfId="11723"/>
    <cellStyle name="40% - Ênfase5 3 3 3 3 2" xfId="11724"/>
    <cellStyle name="20% - Ênfase6 3 3 3 3 2" xfId="11725"/>
    <cellStyle name="40% - Ênfase6 3 3 3 3 2" xfId="11726"/>
    <cellStyle name="Normal 8 3 3 3 2" xfId="11727"/>
    <cellStyle name="Nota 5 3 3 3 2" xfId="11728"/>
    <cellStyle name="20% - Ênfase1 4 3 3 3 2" xfId="11729"/>
    <cellStyle name="40% - Ênfase1 4 3 3 3 2" xfId="11730"/>
    <cellStyle name="20% - Ênfase2 4 3 3 3 2" xfId="11731"/>
    <cellStyle name="40% - Ênfase2 4 3 3 3 2" xfId="11732"/>
    <cellStyle name="20% - Ênfase3 4 3 3 3 2" xfId="11733"/>
    <cellStyle name="40% - Ênfase3 4 3 3 3 2" xfId="11734"/>
    <cellStyle name="20% - Ênfase4 4 3 3 3 2" xfId="11735"/>
    <cellStyle name="40% - Ênfase4 4 3 3 3 2" xfId="11736"/>
    <cellStyle name="20% - Ênfase5 4 3 3 3 2" xfId="11737"/>
    <cellStyle name="40% - Ênfase5 4 3 3 3 2" xfId="11738"/>
    <cellStyle name="20% - Ênfase6 4 3 3 3 2" xfId="11739"/>
    <cellStyle name="40% - Ênfase6 4 3 3 3 2" xfId="11740"/>
    <cellStyle name="20% - Ênfase1 6 2 3 3 2" xfId="11741"/>
    <cellStyle name="40% - Ênfase1 6 2 3 3 2" xfId="11742"/>
    <cellStyle name="20% - Ênfase2 6 2 3 3 2" xfId="11743"/>
    <cellStyle name="40% - Ênfase2 6 2 3 3 2" xfId="11744"/>
    <cellStyle name="20% - Ênfase3 6 2 3 3 2" xfId="11745"/>
    <cellStyle name="40% - Ênfase3 6 2 3 3 2" xfId="11746"/>
    <cellStyle name="20% - Ênfase4 6 2 3 3 2" xfId="11747"/>
    <cellStyle name="40% - Ênfase4 6 2 3 3 2" xfId="11748"/>
    <cellStyle name="20% - Ênfase5 6 2 3 3 2" xfId="11749"/>
    <cellStyle name="40% - Ênfase5 6 2 3 3 2" xfId="11750"/>
    <cellStyle name="20% - Ênfase6 6 2 3 3 2" xfId="11751"/>
    <cellStyle name="40% - Ênfase6 6 2 3 3 2" xfId="11752"/>
    <cellStyle name="Normal 4 3 2 3 3 2" xfId="11753"/>
    <cellStyle name="Nota 2 3 2 3 3 2" xfId="11754"/>
    <cellStyle name="Normal 5 3 2 3 3 2" xfId="11755"/>
    <cellStyle name="Nota 3 3 2 3 3 2" xfId="11756"/>
    <cellStyle name="20% - Ênfase1 2 3 2 3 3 2" xfId="11757"/>
    <cellStyle name="40% - Ênfase1 2 3 2 3 3 2" xfId="11758"/>
    <cellStyle name="20% - Ênfase2 2 3 2 3 3 2" xfId="11759"/>
    <cellStyle name="40% - Ênfase2 2 3 2 3 3 2" xfId="11760"/>
    <cellStyle name="20% - Ênfase3 2 3 2 3 3 2" xfId="11761"/>
    <cellStyle name="40% - Ênfase3 2 3 2 3 3 2" xfId="11762"/>
    <cellStyle name="20% - Ênfase4 2 3 2 3 3 2" xfId="11763"/>
    <cellStyle name="40% - Ênfase4 2 3 2 3 3 2" xfId="11764"/>
    <cellStyle name="20% - Ênfase5 2 3 2 3 3 2" xfId="11765"/>
    <cellStyle name="40% - Ênfase5 2 3 2 3 3 2" xfId="11766"/>
    <cellStyle name="20% - Ênfase6 2 3 2 3 3 2" xfId="11767"/>
    <cellStyle name="40% - Ênfase6 2 3 2 3 3 2" xfId="11768"/>
    <cellStyle name="Normal 7 3 2 3 3 2" xfId="11769"/>
    <cellStyle name="Nota 4 2 2 3 3 2" xfId="11770"/>
    <cellStyle name="20% - Ênfase1 3 2 2 3 3 2" xfId="11771"/>
    <cellStyle name="40% - Ênfase1 3 2 2 3 3 2" xfId="11772"/>
    <cellStyle name="20% - Ênfase2 3 2 2 3 3 2" xfId="11773"/>
    <cellStyle name="40% - Ênfase2 3 2 2 3 3 2" xfId="11774"/>
    <cellStyle name="20% - Ênfase3 3 2 2 3 3 2" xfId="11775"/>
    <cellStyle name="40% - Ênfase3 3 2 2 3 3 2" xfId="11776"/>
    <cellStyle name="20% - Ênfase4 3 2 2 3 3 2" xfId="11777"/>
    <cellStyle name="40% - Ênfase4 3 2 2 3 3 2" xfId="11778"/>
    <cellStyle name="20% - Ênfase5 3 2 2 3 3 2" xfId="11779"/>
    <cellStyle name="40% - Ênfase5 3 2 2 3 3 2" xfId="11780"/>
    <cellStyle name="20% - Ênfase6 3 2 2 3 3 2" xfId="11781"/>
    <cellStyle name="40% - Ênfase6 3 2 2 3 3 2" xfId="11782"/>
    <cellStyle name="Normal 8 2 2 3 3 2" xfId="11783"/>
    <cellStyle name="Nota 5 2 2 3 3 2" xfId="11784"/>
    <cellStyle name="20% - Ênfase1 4 2 2 3 3 2" xfId="11785"/>
    <cellStyle name="40% - Ênfase1 4 2 2 3 3 2" xfId="11786"/>
    <cellStyle name="20% - Ênfase2 4 2 2 3 3 2" xfId="11787"/>
    <cellStyle name="40% - Ênfase2 4 2 2 3 3 2" xfId="11788"/>
    <cellStyle name="20% - Ênfase3 4 2 2 3 3 2" xfId="11789"/>
    <cellStyle name="40% - Ênfase3 4 2 2 3 3 2" xfId="11790"/>
    <cellStyle name="20% - Ênfase4 4 2 2 3 3 2" xfId="11791"/>
    <cellStyle name="40% - Ênfase4 4 2 2 3 3 2" xfId="11792"/>
    <cellStyle name="20% - Ênfase5 4 2 2 3 3 2" xfId="11793"/>
    <cellStyle name="40% - Ênfase5 4 2 2 3 3 2" xfId="11794"/>
    <cellStyle name="20% - Ênfase6 4 2 2 3 3 2" xfId="11795"/>
    <cellStyle name="40% - Ênfase6 4 2 2 3 3 2" xfId="11796"/>
    <cellStyle name="Normal 3 6 3 2" xfId="11797"/>
    <cellStyle name="20% - Ênfase1 5 5 3 2" xfId="11798"/>
    <cellStyle name="40% - Ênfase1 5 5 3 2" xfId="11799"/>
    <cellStyle name="20% - Ênfase2 5 5 3 2" xfId="11800"/>
    <cellStyle name="40% - Ênfase2 5 5 3 2" xfId="11801"/>
    <cellStyle name="20% - Ênfase3 5 5 3 2" xfId="11802"/>
    <cellStyle name="40% - Ênfase3 5 5 3 2" xfId="11803"/>
    <cellStyle name="20% - Ênfase4 5 5 3 2" xfId="11804"/>
    <cellStyle name="40% - Ênfase4 5 5 3 2" xfId="11805"/>
    <cellStyle name="20% - Ênfase5 5 5 3 2" xfId="11806"/>
    <cellStyle name="40% - Ênfase5 5 5 3 2" xfId="11807"/>
    <cellStyle name="20% - Ênfase6 5 5 3 2" xfId="11808"/>
    <cellStyle name="40% - Ênfase6 5 5 3 2" xfId="11809"/>
    <cellStyle name="Normal 4 2 5 3 2" xfId="11810"/>
    <cellStyle name="Nota 2 2 5 3 2" xfId="11811"/>
    <cellStyle name="Normal 5 2 5 3 2" xfId="11812"/>
    <cellStyle name="Nota 3 2 5 3 2" xfId="11813"/>
    <cellStyle name="20% - Ênfase1 2 2 5 3 2" xfId="11814"/>
    <cellStyle name="40% - Ênfase1 2 2 5 3 2" xfId="11815"/>
    <cellStyle name="20% - Ênfase2 2 2 5 3 2" xfId="11816"/>
    <cellStyle name="40% - Ênfase2 2 2 5 3 2" xfId="11817"/>
    <cellStyle name="20% - Ênfase3 2 2 5 3 2" xfId="11818"/>
    <cellStyle name="40% - Ênfase3 2 2 5 3 2" xfId="11819"/>
    <cellStyle name="20% - Ênfase4 2 2 5 3 2" xfId="11820"/>
    <cellStyle name="40% - Ênfase4 2 2 5 3 2" xfId="11821"/>
    <cellStyle name="20% - Ênfase5 2 2 5 3 2" xfId="11822"/>
    <cellStyle name="40% - Ênfase5 2 2 5 3 2" xfId="11823"/>
    <cellStyle name="20% - Ênfase6 2 2 5 3 2" xfId="11824"/>
    <cellStyle name="40% - Ênfase6 2 2 5 3 2" xfId="11825"/>
    <cellStyle name="Normal 7 2 5 3 2" xfId="11826"/>
    <cellStyle name="Nota 4 7 3 2" xfId="11827"/>
    <cellStyle name="20% - Ênfase1 3 7 3 2" xfId="11828"/>
    <cellStyle name="40% - Ênfase1 3 7 3 2" xfId="11829"/>
    <cellStyle name="20% - Ênfase2 3 7 3 2" xfId="11830"/>
    <cellStyle name="40% - Ênfase2 3 7 3 2" xfId="11831"/>
    <cellStyle name="20% - Ênfase3 3 7 3 2" xfId="11832"/>
    <cellStyle name="40% - Ênfase3 3 7 3 2" xfId="11833"/>
    <cellStyle name="20% - Ênfase4 3 7 3 2" xfId="11834"/>
    <cellStyle name="40% - Ênfase4 3 7 3 2" xfId="11835"/>
    <cellStyle name="20% - Ênfase5 3 7 3 2" xfId="11836"/>
    <cellStyle name="40% - Ênfase5 3 7 3 2" xfId="11837"/>
    <cellStyle name="20% - Ênfase6 3 7 3 2" xfId="11838"/>
    <cellStyle name="40% - Ênfase6 3 7 3 2" xfId="11839"/>
    <cellStyle name="Normal 8 7 3 2" xfId="11840"/>
    <cellStyle name="Nota 5 7 3 2" xfId="11841"/>
    <cellStyle name="20% - Ênfase1 4 7 3 2" xfId="11842"/>
    <cellStyle name="40% - Ênfase1 4 7 3 2" xfId="11843"/>
    <cellStyle name="20% - Ênfase2 4 7 3 2" xfId="11844"/>
    <cellStyle name="40% - Ênfase2 4 7 3 2" xfId="11845"/>
    <cellStyle name="20% - Ênfase3 4 7 3 2" xfId="11846"/>
    <cellStyle name="40% - Ênfase3 4 7 3 2" xfId="11847"/>
    <cellStyle name="20% - Ênfase4 4 7 3 2" xfId="11848"/>
    <cellStyle name="40% - Ênfase4 4 7 3 2" xfId="11849"/>
    <cellStyle name="20% - Ênfase5 4 7 3 2" xfId="11850"/>
    <cellStyle name="40% - Ênfase5 4 7 3 2" xfId="11851"/>
    <cellStyle name="20% - Ênfase6 4 7 3 2" xfId="11852"/>
    <cellStyle name="40% - Ênfase6 4 7 3 2" xfId="11853"/>
    <cellStyle name="Vírgula 7 3" xfId="11854"/>
    <cellStyle name="Normal 6 4 3 2" xfId="11855"/>
    <cellStyle name="Separador de milhares 2 6 3" xfId="11856"/>
    <cellStyle name="Separador de milhares 2 2 3 3" xfId="11857"/>
    <cellStyle name="Separador de milhares 2 3 2 3" xfId="11858"/>
    <cellStyle name="Separador de milhares 2 4 3" xfId="11859"/>
    <cellStyle name="Separador de milhares 2 5 3" xfId="11860"/>
    <cellStyle name="Separador de milhares 3 4 3 2" xfId="11861"/>
    <cellStyle name="Separador de milhares 3 2 3 3" xfId="11862"/>
    <cellStyle name="Separador de milhares 4 3 3 2" xfId="11863"/>
    <cellStyle name="Separador de milhares 4 2 2 3" xfId="11864"/>
    <cellStyle name="Separador de milhares 5 4 3" xfId="11865"/>
    <cellStyle name="Separador de milhares 6 4 3" xfId="11866"/>
    <cellStyle name="Separador de milhares 7 3 4" xfId="11867"/>
    <cellStyle name="Vírgula 8 3" xfId="11868"/>
    <cellStyle name="Vírgula 2 5 3" xfId="11869"/>
    <cellStyle name="Vírgula 4 3 3" xfId="11870"/>
    <cellStyle name="Vírgula 4 2 2 3 2" xfId="11871"/>
    <cellStyle name="SAPBEXfilterDrill 2 4 3" xfId="11872"/>
    <cellStyle name="Vírgula 3 3 3" xfId="11873"/>
    <cellStyle name="Vírgula 9 3 2" xfId="11874"/>
    <cellStyle name="Normal 12 3 2" xfId="11875"/>
    <cellStyle name="Separador de milhares 2 7 3 3" xfId="11876"/>
    <cellStyle name="Separador de milhares 3 5 3" xfId="11877"/>
    <cellStyle name="Vírgula 10 3 3" xfId="11878"/>
    <cellStyle name="20% - Ênfase1 9 3" xfId="11879"/>
    <cellStyle name="40% - Ênfase1 9" xfId="11880"/>
    <cellStyle name="20% - Ênfase2 9 3" xfId="11881"/>
    <cellStyle name="40% - Ênfase2 9 3" xfId="11882"/>
    <cellStyle name="20% - Ênfase3 9 3" xfId="11883"/>
    <cellStyle name="40% - Ênfase3 9 3" xfId="11884"/>
    <cellStyle name="20% - Ênfase4 9" xfId="11885"/>
    <cellStyle name="40% - Ênfase4 9" xfId="11886"/>
    <cellStyle name="20% - Ênfase5 9" xfId="11887"/>
    <cellStyle name="40% - Ênfase5 9" xfId="11888"/>
    <cellStyle name="20% - Ênfase6 9 3" xfId="11889"/>
    <cellStyle name="40% - Ênfase6 9" xfId="11890"/>
    <cellStyle name="Normal 4 7" xfId="11891"/>
    <cellStyle name="Nota 2 6 3" xfId="11892"/>
    <cellStyle name="Normal 5 6 3" xfId="11893"/>
    <cellStyle name="Nota 3 6 3" xfId="11894"/>
    <cellStyle name="20% - Ênfase1 2 6" xfId="11895"/>
    <cellStyle name="40% - Ênfase1 2 6" xfId="11896"/>
    <cellStyle name="20% - Ênfase2 2 6" xfId="11897"/>
    <cellStyle name="40% - Ênfase2 2 6" xfId="11898"/>
    <cellStyle name="20% - Ênfase3 2 6" xfId="11899"/>
    <cellStyle name="40% - Ênfase3 2 6" xfId="11900"/>
    <cellStyle name="20% - Ênfase4 2 6" xfId="11901"/>
    <cellStyle name="40% - Ênfase4 2 6" xfId="11902"/>
    <cellStyle name="20% - Ênfase5 2 6" xfId="11903"/>
    <cellStyle name="40% - Ênfase5 2 6" xfId="11904"/>
    <cellStyle name="20% - Ênfase6 2 6" xfId="11905"/>
    <cellStyle name="40% - Ênfase6 2 6" xfId="11906"/>
    <cellStyle name="Vírgula 2 6 3" xfId="11907"/>
    <cellStyle name="Normal 7 7 3" xfId="11908"/>
    <cellStyle name="Nota 4 8 3" xfId="11909"/>
    <cellStyle name="20% - Ênfase1 3 8 3" xfId="11910"/>
    <cellStyle name="40% - Ênfase1 3 8 3" xfId="11911"/>
    <cellStyle name="20% - Ênfase2 3 8 3" xfId="11912"/>
    <cellStyle name="40% - Ênfase2 3 8 3" xfId="11913"/>
    <cellStyle name="20% - Ênfase3 3 8 3" xfId="11914"/>
    <cellStyle name="40% - Ênfase3 3 8 3" xfId="11915"/>
    <cellStyle name="20% - Ênfase4 3 8 3" xfId="11916"/>
    <cellStyle name="40% - Ênfase4 3 8 3" xfId="11917"/>
    <cellStyle name="20% - Ênfase5 3 8 3" xfId="11918"/>
    <cellStyle name="40% - Ênfase5 3 8 3" xfId="11919"/>
    <cellStyle name="20% - Ênfase6 3 8 3" xfId="11920"/>
    <cellStyle name="40% - Ênfase6 3 8 3" xfId="11921"/>
    <cellStyle name="Normal 8 9 3" xfId="11922"/>
    <cellStyle name="Nota 5 8 3" xfId="11923"/>
    <cellStyle name="20% - Ênfase1 4 8 3" xfId="11924"/>
    <cellStyle name="40% - Ênfase1 4 8 3" xfId="11925"/>
    <cellStyle name="20% - Ênfase2 4 8 3" xfId="11926"/>
    <cellStyle name="40% - Ênfase2 4 8 3" xfId="11927"/>
    <cellStyle name="20% - Ênfase3 4 8 3" xfId="11928"/>
    <cellStyle name="40% - Ênfase3 4 8 3" xfId="11929"/>
    <cellStyle name="20% - Ênfase4 4 8 3" xfId="11930"/>
    <cellStyle name="40% - Ênfase4 4 8 3" xfId="11931"/>
    <cellStyle name="20% - Ênfase5 4 8 3" xfId="11932"/>
    <cellStyle name="40% - Ênfase5 4 8 3" xfId="11933"/>
    <cellStyle name="20% - Ênfase6 4 8 3" xfId="11934"/>
    <cellStyle name="40% - Ênfase6 4 8 3" xfId="11935"/>
    <cellStyle name="Normal 3 3 4 3" xfId="11936"/>
    <cellStyle name="Separador de milhares 4 4 3" xfId="11937"/>
    <cellStyle name="Separador de milhares 5 5 3" xfId="11938"/>
    <cellStyle name="Separador de milhares 6 5 3" xfId="11939"/>
    <cellStyle name="Vírgula 5 3 3" xfId="11940"/>
    <cellStyle name="Vírgula 2 3 3 3" xfId="11941"/>
    <cellStyle name="Separador de milhares 2 2 4 3" xfId="11942"/>
    <cellStyle name="Separador de milhares 3 2 4 3" xfId="11943"/>
    <cellStyle name="Vírgula 3 4 3" xfId="11944"/>
    <cellStyle name="Vírgula 4 4 3" xfId="11945"/>
    <cellStyle name="Vírgula 2 2 3 3" xfId="11946"/>
    <cellStyle name="20% - Ênfase1 5 6 3" xfId="11947"/>
    <cellStyle name="40% - Ênfase1 5 6 3" xfId="11948"/>
    <cellStyle name="20% - Ênfase2 5 6 3" xfId="11949"/>
    <cellStyle name="40% - Ênfase2 5 6 3" xfId="11950"/>
    <cellStyle name="20% - Ênfase3 5 6 3" xfId="11951"/>
    <cellStyle name="40% - Ênfase3 5 6 3" xfId="11952"/>
    <cellStyle name="20% - Ênfase4 5 6 3" xfId="11953"/>
    <cellStyle name="40% - Ênfase4 5 6 3" xfId="11954"/>
    <cellStyle name="20% - Ênfase5 5 6 3" xfId="11955"/>
    <cellStyle name="40% - Ênfase5 5 6 3" xfId="11956"/>
    <cellStyle name="20% - Ênfase6 5 6 3" xfId="11957"/>
    <cellStyle name="40% - Ênfase6 5 6 3" xfId="11958"/>
    <cellStyle name="Normal 4 2 6 3" xfId="11959"/>
    <cellStyle name="Nota 2 2 6 3" xfId="11960"/>
    <cellStyle name="Normal 5 2 7 3" xfId="11961"/>
    <cellStyle name="Nota 3 2 6 3" xfId="11962"/>
    <cellStyle name="20% - Ênfase1 2 2 6 3" xfId="11963"/>
    <cellStyle name="40% - Ênfase1 2 2 6 3" xfId="11964"/>
    <cellStyle name="20% - Ênfase2 2 2 6 3" xfId="11965"/>
    <cellStyle name="40% - Ênfase2 2 2 6 3" xfId="11966"/>
    <cellStyle name="20% - Ênfase3 2 2 6 3" xfId="11967"/>
    <cellStyle name="40% - Ênfase3 2 2 6 3" xfId="11968"/>
    <cellStyle name="20% - Ênfase4 2 2 6 3" xfId="11969"/>
    <cellStyle name="40% - Ênfase4 2 2 6 3" xfId="11970"/>
    <cellStyle name="20% - Ênfase5 2 2 6 3" xfId="11971"/>
    <cellStyle name="40% - Ênfase5 2 2 6 3" xfId="11972"/>
    <cellStyle name="20% - Ênfase6 2 2 6 3" xfId="11973"/>
    <cellStyle name="40% - Ênfase6 2 2 6 3" xfId="11974"/>
    <cellStyle name="Normal 7 2 6 3" xfId="11975"/>
    <cellStyle name="Nota 4 3 4 3" xfId="11976"/>
    <cellStyle name="20% - Ênfase1 3 3 4 3" xfId="11977"/>
    <cellStyle name="40% - Ênfase1 3 3 4 3" xfId="11978"/>
    <cellStyle name="20% - Ênfase2 3 3 4 3" xfId="11979"/>
    <cellStyle name="40% - Ênfase2 3 3 4 3" xfId="11980"/>
    <cellStyle name="20% - Ênfase3 3 3 4 3" xfId="11981"/>
    <cellStyle name="40% - Ênfase3 3 3 4 3" xfId="11982"/>
    <cellStyle name="20% - Ênfase4 3 3 4 3" xfId="11983"/>
    <cellStyle name="40% - Ênfase4 3 3 4 3" xfId="11984"/>
    <cellStyle name="20% - Ênfase5 3 3 4 3" xfId="11985"/>
    <cellStyle name="40% - Ênfase5 3 3 4 3" xfId="11986"/>
    <cellStyle name="20% - Ênfase6 3 3 4 3" xfId="11987"/>
    <cellStyle name="40% - Ênfase6 3 3 4 3" xfId="11988"/>
    <cellStyle name="Normal 8 3 4 3" xfId="11989"/>
    <cellStyle name="Nota 5 3 4 3" xfId="11990"/>
    <cellStyle name="20% - Ênfase1 4 3 4 3" xfId="11991"/>
    <cellStyle name="40% - Ênfase1 4 3 4 3" xfId="11992"/>
    <cellStyle name="20% - Ênfase2 4 3 4 3" xfId="11993"/>
    <cellStyle name="40% - Ênfase2 4 3 4 3" xfId="11994"/>
    <cellStyle name="20% - Ênfase3 4 3 4 3" xfId="11995"/>
    <cellStyle name="40% - Ênfase3 4 3 4 3" xfId="11996"/>
    <cellStyle name="20% - Ênfase4 4 3 4 3" xfId="11997"/>
    <cellStyle name="40% - Ênfase4 4 3 4 3" xfId="11998"/>
    <cellStyle name="20% - Ênfase5 4 3 4 3" xfId="11999"/>
    <cellStyle name="40% - Ênfase5 4 3 4 3" xfId="12000"/>
    <cellStyle name="20% - Ênfase6 4 3 4 3" xfId="12001"/>
    <cellStyle name="40% - Ênfase6 4 3 4 3" xfId="12002"/>
    <cellStyle name="20% - Ênfase1 6 5 3" xfId="12003"/>
    <cellStyle name="40% - Ênfase1 6 5 3" xfId="12004"/>
    <cellStyle name="20% - Ênfase2 6 5 3" xfId="12005"/>
    <cellStyle name="40% - Ênfase2 6 5 3" xfId="12006"/>
    <cellStyle name="20% - Ênfase3 6 5 3" xfId="12007"/>
    <cellStyle name="40% - Ênfase3 6 5 3" xfId="12008"/>
    <cellStyle name="20% - Ênfase4 6 5 3" xfId="12009"/>
    <cellStyle name="40% - Ênfase4 6 5 3" xfId="12010"/>
    <cellStyle name="20% - Ênfase5 6 5 3" xfId="12011"/>
    <cellStyle name="40% - Ênfase5 6 5 3" xfId="12012"/>
    <cellStyle name="20% - Ênfase6 6 5 3" xfId="12013"/>
    <cellStyle name="40% - Ênfase6 6 5 3" xfId="12014"/>
    <cellStyle name="Normal 4 3 5 3" xfId="12015"/>
    <cellStyle name="Nota 2 3 5 3" xfId="12016"/>
    <cellStyle name="Normal 5 3 5 3" xfId="12017"/>
    <cellStyle name="Nota 3 3 5 3" xfId="12018"/>
    <cellStyle name="20% - Ênfase1 2 3 5 3" xfId="12019"/>
    <cellStyle name="40% - Ênfase1 2 3 5 3" xfId="12020"/>
    <cellStyle name="20% - Ênfase2 2 3 5 3" xfId="12021"/>
    <cellStyle name="40% - Ênfase2 2 3 5 3" xfId="12022"/>
    <cellStyle name="20% - Ênfase3 2 3 5 3" xfId="12023"/>
    <cellStyle name="40% - Ênfase3 2 3 5 3" xfId="12024"/>
    <cellStyle name="20% - Ênfase4 2 3 5 3" xfId="12025"/>
    <cellStyle name="40% - Ênfase4 2 3 5 3" xfId="12026"/>
    <cellStyle name="20% - Ênfase5 2 3 5 3" xfId="12027"/>
    <cellStyle name="40% - Ênfase5 2 3 5 3" xfId="12028"/>
    <cellStyle name="20% - Ênfase6 2 3 5 3" xfId="12029"/>
    <cellStyle name="40% - Ênfase6 2 3 5 3" xfId="12030"/>
    <cellStyle name="Normal 7 3 5 3" xfId="12031"/>
    <cellStyle name="Nota 4 2 5 3" xfId="12032"/>
    <cellStyle name="20% - Ênfase1 3 2 5 3" xfId="12033"/>
    <cellStyle name="40% - Ênfase1 3 2 5 3" xfId="12034"/>
    <cellStyle name="20% - Ênfase2 3 2 5 3" xfId="12035"/>
    <cellStyle name="40% - Ênfase2 3 2 5 3" xfId="12036"/>
    <cellStyle name="20% - Ênfase3 3 2 5 3" xfId="12037"/>
    <cellStyle name="40% - Ênfase3 3 2 5 3" xfId="12038"/>
    <cellStyle name="20% - Ênfase4 3 2 5 3" xfId="12039"/>
    <cellStyle name="40% - Ênfase4 3 2 5 3" xfId="12040"/>
    <cellStyle name="20% - Ênfase5 3 2 5 3" xfId="12041"/>
    <cellStyle name="40% - Ênfase5 3 2 5 3" xfId="12042"/>
    <cellStyle name="20% - Ênfase6 3 2 5 3" xfId="12043"/>
    <cellStyle name="40% - Ênfase6 3 2 5 3" xfId="12044"/>
    <cellStyle name="Normal 8 2 5 3" xfId="12045"/>
    <cellStyle name="Nota 5 2 5 3" xfId="12046"/>
    <cellStyle name="20% - Ênfase1 4 2 5 3" xfId="12047"/>
    <cellStyle name="40% - Ênfase1 4 2 5 3" xfId="12048"/>
    <cellStyle name="20% - Ênfase2 4 2 5 3" xfId="12049"/>
    <cellStyle name="40% - Ênfase2 4 2 5 3" xfId="12050"/>
    <cellStyle name="20% - Ênfase3 4 2 5 3" xfId="12051"/>
    <cellStyle name="40% - Ênfase3 4 2 5 3" xfId="12052"/>
    <cellStyle name="20% - Ênfase4 4 2 5 3" xfId="12053"/>
    <cellStyle name="40% - Ênfase4 4 2 5 3" xfId="12054"/>
    <cellStyle name="20% - Ênfase5 4 2 5 3" xfId="12055"/>
    <cellStyle name="40% - Ênfase5 4 2 5 3" xfId="12056"/>
    <cellStyle name="20% - Ênfase6 4 2 5 3" xfId="12057"/>
    <cellStyle name="40% - Ênfase6 4 2 5 3" xfId="12058"/>
    <cellStyle name="Vírgula 12 2 3" xfId="12059"/>
    <cellStyle name="Moeda 2" xfId="12060"/>
    <cellStyle name="Normal 3 7 2 3" xfId="12061"/>
    <cellStyle name="Separador de milhares 4 5 3" xfId="12062"/>
    <cellStyle name="Separador de milhares 5 6 2" xfId="12063"/>
    <cellStyle name="Separador de milhares 6 6 3" xfId="12064"/>
    <cellStyle name="Vírgula 2 7" xfId="12065"/>
    <cellStyle name="Separador de milhares 2 2 5 2" xfId="12066"/>
    <cellStyle name="Separador de milhares 3 2 5" xfId="12067"/>
    <cellStyle name="Vírgula 3 5" xfId="12068"/>
    <cellStyle name="Vírgula 4 5" xfId="12069"/>
    <cellStyle name="Vírgula 2 2 4" xfId="12070"/>
    <cellStyle name="20% - Ênfase1 5 7 2" xfId="12071"/>
    <cellStyle name="40% - Ênfase1 5 7 2" xfId="12072"/>
    <cellStyle name="20% - Ênfase2 5 7 2" xfId="12073"/>
    <cellStyle name="40% - Ênfase2 5 7 2" xfId="12074"/>
    <cellStyle name="20% - Ênfase3 5 7 2" xfId="12075"/>
    <cellStyle name="40% - Ênfase3 5 7 2" xfId="12076"/>
    <cellStyle name="20% - Ênfase4 5 7 2" xfId="12077"/>
    <cellStyle name="40% - Ênfase4 5 7 2" xfId="12078"/>
    <cellStyle name="20% - Ênfase5 5 7 2" xfId="12079"/>
    <cellStyle name="40% - Ênfase5 5 7 2" xfId="12080"/>
    <cellStyle name="20% - Ênfase6 5 7 2" xfId="12081"/>
    <cellStyle name="40% - Ênfase6 5 7 2" xfId="12082"/>
    <cellStyle name="Normal 4 2 7 2" xfId="12083"/>
    <cellStyle name="Nota 2 2 7 2" xfId="12084"/>
    <cellStyle name="Normal 5 2 8 2" xfId="12085"/>
    <cellStyle name="Nota 3 2 7 2" xfId="12086"/>
    <cellStyle name="20% - Ênfase1 2 2 7 2" xfId="12087"/>
    <cellStyle name="40% - Ênfase1 2 2 7 2" xfId="12088"/>
    <cellStyle name="20% - Ênfase2 2 2 7 2" xfId="12089"/>
    <cellStyle name="40% - Ênfase2 2 2 7 2" xfId="12090"/>
    <cellStyle name="20% - Ênfase3 2 2 7 2" xfId="12091"/>
    <cellStyle name="40% - Ênfase3 2 2 7 2" xfId="12092"/>
    <cellStyle name="20% - Ênfase4 2 2 7 2" xfId="12093"/>
    <cellStyle name="40% - Ênfase4 2 2 7 2" xfId="12094"/>
    <cellStyle name="20% - Ênfase5 2 2 7 2" xfId="12095"/>
    <cellStyle name="40% - Ênfase5 2 2 7 2" xfId="12096"/>
    <cellStyle name="20% - Ênfase6 2 2 7 2" xfId="12097"/>
    <cellStyle name="40% - Ênfase6 2 2 7 2" xfId="12098"/>
    <cellStyle name="Normal 7 2 7 3" xfId="12099"/>
    <cellStyle name="Nota 4 9 3" xfId="12100"/>
    <cellStyle name="20% - Ênfase1 3 9 2" xfId="12101"/>
    <cellStyle name="40% - Ênfase1 3 9 2" xfId="12102"/>
    <cellStyle name="20% - Ênfase2 3 9 2" xfId="12103"/>
    <cellStyle name="40% - Ênfase2 3 9 2" xfId="12104"/>
    <cellStyle name="20% - Ênfase3 3 9 2" xfId="12105"/>
    <cellStyle name="40% - Ênfase3 3 9 2" xfId="12106"/>
    <cellStyle name="20% - Ênfase4 3 9 2" xfId="12107"/>
    <cellStyle name="40% - Ênfase4 3 9 2" xfId="12108"/>
    <cellStyle name="20% - Ênfase5 3 9 2" xfId="12109"/>
    <cellStyle name="40% - Ênfase5 3 9 2" xfId="12110"/>
    <cellStyle name="20% - Ênfase6 3 9 2" xfId="12111"/>
    <cellStyle name="40% - Ênfase6 3 9 2" xfId="12112"/>
    <cellStyle name="Normal 8 10 2" xfId="12113"/>
    <cellStyle name="Nota 5 9 2" xfId="12114"/>
    <cellStyle name="20% - Ênfase1 4 9 2" xfId="12115"/>
    <cellStyle name="40% - Ênfase1 4 9 2" xfId="12116"/>
    <cellStyle name="20% - Ênfase2 4 9 2" xfId="12117"/>
    <cellStyle name="40% - Ênfase2 4 9 2" xfId="12118"/>
    <cellStyle name="20% - Ênfase3 4 9 2" xfId="12119"/>
    <cellStyle name="40% - Ênfase3 4 9 2" xfId="12120"/>
    <cellStyle name="20% - Ênfase4 4 9 2" xfId="12121"/>
    <cellStyle name="40% - Ênfase4 4 9 2" xfId="12122"/>
    <cellStyle name="20% - Ênfase5 4 9 2" xfId="12123"/>
    <cellStyle name="40% - Ênfase5 4 9 2" xfId="12124"/>
    <cellStyle name="20% - Ênfase6 4 9 2" xfId="12125"/>
    <cellStyle name="40% - Ênfase6 4 9 2" xfId="12126"/>
    <cellStyle name="20% - Ênfase1 6 6 2" xfId="12127"/>
    <cellStyle name="40% - Ênfase1 6 6 2" xfId="12128"/>
    <cellStyle name="20% - Ênfase2 6 6 2" xfId="12129"/>
    <cellStyle name="40% - Ênfase2 6 6 2" xfId="12130"/>
    <cellStyle name="20% - Ênfase3 6 6 2" xfId="12131"/>
    <cellStyle name="40% - Ênfase3 6 6 2" xfId="12132"/>
    <cellStyle name="20% - Ênfase4 6 6 2" xfId="12133"/>
    <cellStyle name="40% - Ênfase4 6 6 2" xfId="12134"/>
    <cellStyle name="20% - Ênfase5 6 6 2" xfId="12135"/>
    <cellStyle name="40% - Ênfase5 6 6 2" xfId="12136"/>
    <cellStyle name="20% - Ênfase6 6 6 2" xfId="12137"/>
    <cellStyle name="40% - Ênfase6 6 6 2" xfId="12138"/>
    <cellStyle name="Normal 4 3 6 2" xfId="12139"/>
    <cellStyle name="Nota 2 3 6 2" xfId="12140"/>
    <cellStyle name="Normal 5 3 6 2" xfId="12141"/>
    <cellStyle name="Nota 3 3 6 2" xfId="12142"/>
    <cellStyle name="20% - Ênfase1 2 3 6 2" xfId="12143"/>
    <cellStyle name="40% - Ênfase1 2 3 6 2" xfId="12144"/>
    <cellStyle name="20% - Ênfase2 2 3 6 2" xfId="12145"/>
    <cellStyle name="40% - Ênfase2 2 3 6 2" xfId="12146"/>
    <cellStyle name="20% - Ênfase3 2 3 6 2" xfId="12147"/>
    <cellStyle name="40% - Ênfase3 2 3 6 2" xfId="12148"/>
    <cellStyle name="20% - Ênfase4 2 3 6 2" xfId="12149"/>
    <cellStyle name="40% - Ênfase4 2 3 6 2" xfId="12150"/>
    <cellStyle name="20% - Ênfase5 2 3 6 2" xfId="12151"/>
    <cellStyle name="40% - Ênfase5 2 3 6 2" xfId="12152"/>
    <cellStyle name="20% - Ênfase6 2 3 6 2" xfId="12153"/>
    <cellStyle name="40% - Ênfase6 2 3 6 2" xfId="12154"/>
    <cellStyle name="Normal 7 3 6 3" xfId="12155"/>
    <cellStyle name="Nota 4 2 6 2" xfId="12156"/>
    <cellStyle name="20% - Ênfase1 3 2 6 2" xfId="12157"/>
    <cellStyle name="40% - Ênfase1 3 2 6 2" xfId="12158"/>
    <cellStyle name="20% - Ênfase2 3 2 6 2" xfId="12159"/>
    <cellStyle name="40% - Ênfase2 3 2 6 2" xfId="12160"/>
    <cellStyle name="20% - Ênfase3 3 2 6 2" xfId="12161"/>
    <cellStyle name="40% - Ênfase3 3 2 6 2" xfId="12162"/>
    <cellStyle name="20% - Ênfase4 3 2 6 2" xfId="12163"/>
    <cellStyle name="40% - Ênfase4 3 2 6 2" xfId="12164"/>
    <cellStyle name="20% - Ênfase5 3 2 6 2" xfId="12165"/>
    <cellStyle name="40% - Ênfase5 3 2 6 2" xfId="12166"/>
    <cellStyle name="20% - Ênfase6 3 2 6 2" xfId="12167"/>
    <cellStyle name="40% - Ênfase6 3 2 6 2" xfId="12168"/>
    <cellStyle name="Normal 8 2 6 3" xfId="12169"/>
    <cellStyle name="Nota 5 2 6 2" xfId="12170"/>
    <cellStyle name="20% - Ênfase1 4 2 6 2" xfId="12171"/>
    <cellStyle name="40% - Ênfase1 4 2 6 2" xfId="12172"/>
    <cellStyle name="20% - Ênfase2 4 2 6 2" xfId="12173"/>
    <cellStyle name="40% - Ênfase2 4 2 6 2" xfId="12174"/>
    <cellStyle name="20% - Ênfase3 4 2 6 2" xfId="12175"/>
    <cellStyle name="40% - Ênfase3 4 2 6 2" xfId="12176"/>
    <cellStyle name="20% - Ênfase4 4 2 6 2" xfId="12177"/>
    <cellStyle name="40% - Ênfase4 4 2 6 2" xfId="12178"/>
    <cellStyle name="20% - Ênfase5 4 2 6 2" xfId="12179"/>
    <cellStyle name="40% - Ênfase5 4 2 6 2" xfId="12180"/>
    <cellStyle name="20% - Ênfase6 4 2 6 2" xfId="12181"/>
    <cellStyle name="40% - Ênfase6 4 2 6 2" xfId="12182"/>
    <cellStyle name="20% - Ênfase1 8 4 3" xfId="12183"/>
    <cellStyle name="40% - Ênfase1 8 4 3" xfId="12184"/>
    <cellStyle name="20% - Ênfase2 8 4 3" xfId="12185"/>
    <cellStyle name="40% - Ênfase2 8 4 3" xfId="12186"/>
    <cellStyle name="20% - Ênfase3 8 4 3" xfId="12187"/>
    <cellStyle name="40% - Ênfase3 8 4 3" xfId="12188"/>
    <cellStyle name="20% - Ênfase4 8 4 3" xfId="12189"/>
    <cellStyle name="40% - Ênfase4 8 4 3" xfId="12190"/>
    <cellStyle name="20% - Ênfase5 8 4 3" xfId="12191"/>
    <cellStyle name="40% - Ênfase5 8 4 3" xfId="12192"/>
    <cellStyle name="20% - Ênfase6 8 4 3" xfId="12193"/>
    <cellStyle name="40% - Ênfase6 8 4 3" xfId="12194"/>
    <cellStyle name="Normal 4 5 4 3" xfId="12195"/>
    <cellStyle name="Nota 2 5 4 3" xfId="12196"/>
    <cellStyle name="Normal 5 5 4 3" xfId="12197"/>
    <cellStyle name="Nota 3 5 4 3" xfId="12198"/>
    <cellStyle name="20% - Ênfase1 2 5 4 3" xfId="12199"/>
    <cellStyle name="40% - Ênfase1 2 5 4 3" xfId="12200"/>
    <cellStyle name="20% - Ênfase2 2 5 4 3" xfId="12201"/>
    <cellStyle name="40% - Ênfase2 2 5 4 3" xfId="12202"/>
    <cellStyle name="20% - Ênfase3 2 5 4 3" xfId="12203"/>
    <cellStyle name="40% - Ênfase3 2 5 4 3" xfId="12204"/>
    <cellStyle name="20% - Ênfase4 2 5 4 3" xfId="12205"/>
    <cellStyle name="40% - Ênfase4 2 5 4 3" xfId="12206"/>
    <cellStyle name="20% - Ênfase5 2 5 4 3" xfId="12207"/>
    <cellStyle name="40% - Ênfase5 2 5 4 3" xfId="12208"/>
    <cellStyle name="20% - Ênfase6 2 5 4 3" xfId="12209"/>
    <cellStyle name="40% - Ênfase6 2 5 4 3" xfId="12210"/>
    <cellStyle name="Normal 7 5 4 3" xfId="12211"/>
    <cellStyle name="Nota 4 4 4 3" xfId="12212"/>
    <cellStyle name="20% - Ênfase1 3 4 4 3" xfId="12213"/>
    <cellStyle name="40% - Ênfase1 3 4 4 3" xfId="12214"/>
    <cellStyle name="20% - Ênfase2 3 4 4 3" xfId="12215"/>
    <cellStyle name="40% - Ênfase2 3 4 4 3" xfId="12216"/>
    <cellStyle name="20% - Ênfase3 3 4 4 3" xfId="12217"/>
    <cellStyle name="40% - Ênfase3 3 4 4 3" xfId="12218"/>
    <cellStyle name="20% - Ênfase4 3 4 4 3" xfId="12219"/>
    <cellStyle name="40% - Ênfase4 3 4 4 3" xfId="12220"/>
    <cellStyle name="20% - Ênfase5 3 4 4 3" xfId="12221"/>
    <cellStyle name="40% - Ênfase5 3 4 4 3" xfId="12222"/>
    <cellStyle name="20% - Ênfase6 3 4 4 3" xfId="12223"/>
    <cellStyle name="40% - Ênfase6 3 4 4 3" xfId="12224"/>
    <cellStyle name="Normal 8 4 4 3" xfId="12225"/>
    <cellStyle name="Nota 5 4 4 3" xfId="12226"/>
    <cellStyle name="20% - Ênfase1 4 4 4 3" xfId="12227"/>
    <cellStyle name="40% - Ênfase1 4 4 4 3" xfId="12228"/>
    <cellStyle name="20% - Ênfase2 4 4 4 3" xfId="12229"/>
    <cellStyle name="40% - Ênfase2 4 4 4 3" xfId="12230"/>
    <cellStyle name="20% - Ênfase3 4 4 4 3" xfId="12231"/>
    <cellStyle name="40% - Ênfase3 4 4 4 3" xfId="12232"/>
    <cellStyle name="20% - Ênfase4 4 4 4 3" xfId="12233"/>
    <cellStyle name="40% - Ênfase4 4 4 4 3" xfId="12234"/>
    <cellStyle name="20% - Ênfase5 4 4 4 3" xfId="12235"/>
    <cellStyle name="40% - Ênfase5 4 4 4 3" xfId="12236"/>
    <cellStyle name="20% - Ênfase6 4 4 4 3" xfId="12237"/>
    <cellStyle name="40% - Ênfase6 4 4 4 3" xfId="12238"/>
    <cellStyle name="Normal 3 3 5 2" xfId="12239"/>
    <cellStyle name="Separador de milhares 5 2 3 3" xfId="12240"/>
    <cellStyle name="Separador de milhares 6 2 3 3" xfId="12241"/>
    <cellStyle name="Vírgula 5 4" xfId="12242"/>
    <cellStyle name="Vírgula 2 3 4" xfId="12243"/>
    <cellStyle name="20% - Ênfase1 5 2 4 3" xfId="12244"/>
    <cellStyle name="40% - Ênfase1 5 2 4 3" xfId="12245"/>
    <cellStyle name="20% - Ênfase2 5 2 4 3" xfId="12246"/>
    <cellStyle name="40% - Ênfase2 5 2 4 3" xfId="12247"/>
    <cellStyle name="20% - Ênfase3 5 2 4 3" xfId="12248"/>
    <cellStyle name="40% - Ênfase3 5 2 4 3" xfId="12249"/>
    <cellStyle name="20% - Ênfase4 5 2 4 3" xfId="12250"/>
    <cellStyle name="40% - Ênfase4 5 2 4 3" xfId="12251"/>
    <cellStyle name="20% - Ênfase5 5 2 4 3" xfId="12252"/>
    <cellStyle name="40% - Ênfase5 5 2 4 3" xfId="12253"/>
    <cellStyle name="20% - Ênfase6 5 2 4 3" xfId="12254"/>
    <cellStyle name="40% - Ênfase6 5 2 4 3" xfId="12255"/>
    <cellStyle name="Normal 4 2 2 4 3" xfId="12256"/>
    <cellStyle name="Nota 2 2 2 4 3" xfId="12257"/>
    <cellStyle name="Normal 5 2 2 4 3" xfId="12258"/>
    <cellStyle name="Nota 3 2 2 4 3" xfId="12259"/>
    <cellStyle name="20% - Ênfase1 2 2 2 4 3" xfId="12260"/>
    <cellStyle name="40% - Ênfase1 2 2 2 4 3" xfId="12261"/>
    <cellStyle name="20% - Ênfase2 2 2 2 4 3" xfId="12262"/>
    <cellStyle name="40% - Ênfase2 2 2 2 4 3" xfId="12263"/>
    <cellStyle name="20% - Ênfase3 2 2 2 4 3" xfId="12264"/>
    <cellStyle name="40% - Ênfase3 2 2 2 4 3" xfId="12265"/>
    <cellStyle name="20% - Ênfase4 2 2 2 4 3" xfId="12266"/>
    <cellStyle name="40% - Ênfase4 2 2 2 4 3" xfId="12267"/>
    <cellStyle name="20% - Ênfase5 2 2 2 4 3" xfId="12268"/>
    <cellStyle name="40% - Ênfase5 2 2 2 4 3" xfId="12269"/>
    <cellStyle name="20% - Ênfase6 2 2 2 4 3" xfId="12270"/>
    <cellStyle name="40% - Ênfase6 2 2 2 4 3" xfId="12271"/>
    <cellStyle name="Normal 7 2 2 4 3" xfId="12272"/>
    <cellStyle name="Nota 4 3 5 2" xfId="12273"/>
    <cellStyle name="20% - Ênfase1 3 3 5 2" xfId="12274"/>
    <cellStyle name="40% - Ênfase1 3 3 5 2" xfId="12275"/>
    <cellStyle name="20% - Ênfase2 3 3 5 2" xfId="12276"/>
    <cellStyle name="40% - Ênfase2 3 3 5 2" xfId="12277"/>
    <cellStyle name="20% - Ênfase3 3 3 5 2" xfId="12278"/>
    <cellStyle name="40% - Ênfase3 3 3 5 2" xfId="12279"/>
    <cellStyle name="20% - Ênfase4 3 3 5 2" xfId="12280"/>
    <cellStyle name="40% - Ênfase4 3 3 5 2" xfId="12281"/>
    <cellStyle name="20% - Ênfase5 3 3 5 2" xfId="12282"/>
    <cellStyle name="40% - Ênfase5 3 3 5 2" xfId="12283"/>
    <cellStyle name="20% - Ênfase6 3 3 5 2" xfId="12284"/>
    <cellStyle name="40% - Ênfase6 3 3 5 2" xfId="12285"/>
    <cellStyle name="Normal 8 3 5 3" xfId="12286"/>
    <cellStyle name="Nota 5 3 5 2" xfId="12287"/>
    <cellStyle name="20% - Ênfase1 4 3 5 2" xfId="12288"/>
    <cellStyle name="40% - Ênfase1 4 3 5 2" xfId="12289"/>
    <cellStyle name="20% - Ênfase2 4 3 5 2" xfId="12290"/>
    <cellStyle name="40% - Ênfase2 4 3 5 2" xfId="12291"/>
    <cellStyle name="20% - Ênfase3 4 3 5 2" xfId="12292"/>
    <cellStyle name="40% - Ênfase3 4 3 5 2" xfId="12293"/>
    <cellStyle name="20% - Ênfase4 4 3 5 2" xfId="12294"/>
    <cellStyle name="40% - Ênfase4 4 3 5 2" xfId="12295"/>
    <cellStyle name="20% - Ênfase5 4 3 5 2" xfId="12296"/>
    <cellStyle name="40% - Ênfase5 4 3 5 2" xfId="12297"/>
    <cellStyle name="20% - Ênfase6 4 3 5 2" xfId="12298"/>
    <cellStyle name="40% - Ênfase6 4 3 5 2" xfId="12299"/>
    <cellStyle name="20% - Ênfase1 6 2 4 3" xfId="12300"/>
    <cellStyle name="40% - Ênfase1 6 2 4 3" xfId="12301"/>
    <cellStyle name="20% - Ênfase2 6 2 4 3" xfId="12302"/>
    <cellStyle name="40% - Ênfase2 6 2 4 3" xfId="12303"/>
    <cellStyle name="20% - Ênfase3 6 2 4 3" xfId="12304"/>
    <cellStyle name="40% - Ênfase3 6 2 4 3" xfId="12305"/>
    <cellStyle name="20% - Ênfase4 6 2 4 3" xfId="12306"/>
    <cellStyle name="40% - Ênfase4 6 2 4 3" xfId="12307"/>
    <cellStyle name="20% - Ênfase5 6 2 4 3" xfId="12308"/>
    <cellStyle name="40% - Ênfase5 6 2 4 3" xfId="12309"/>
    <cellStyle name="20% - Ênfase6 6 2 4 3" xfId="12310"/>
    <cellStyle name="40% - Ênfase6 6 2 4 3" xfId="12311"/>
    <cellStyle name="Normal 4 3 2 4 3" xfId="12312"/>
    <cellStyle name="Nota 2 3 2 4 3" xfId="12313"/>
    <cellStyle name="Normal 5 3 2 4 3" xfId="12314"/>
    <cellStyle name="Nota 3 3 2 4 3" xfId="12315"/>
    <cellStyle name="20% - Ênfase1 2 3 2 4 3" xfId="12316"/>
    <cellStyle name="40% - Ênfase1 2 3 2 4 3" xfId="12317"/>
    <cellStyle name="20% - Ênfase2 2 3 2 4 3" xfId="12318"/>
    <cellStyle name="40% - Ênfase2 2 3 2 4 3" xfId="12319"/>
    <cellStyle name="20% - Ênfase3 2 3 2 4 3" xfId="12320"/>
    <cellStyle name="40% - Ênfase3 2 3 2 4 3" xfId="12321"/>
    <cellStyle name="20% - Ênfase4 2 3 2 4 3" xfId="12322"/>
    <cellStyle name="40% - Ênfase4 2 3 2 4 3" xfId="12323"/>
    <cellStyle name="20% - Ênfase5 2 3 2 4 3" xfId="12324"/>
    <cellStyle name="40% - Ênfase5 2 3 2 4 3" xfId="12325"/>
    <cellStyle name="20% - Ênfase6 2 3 2 4 3" xfId="12326"/>
    <cellStyle name="40% - Ênfase6 2 3 2 4 3" xfId="12327"/>
    <cellStyle name="Normal 7 3 2 4 3" xfId="12328"/>
    <cellStyle name="Nota 4 2 2 4 3" xfId="12329"/>
    <cellStyle name="20% - Ênfase1 3 2 2 4 3" xfId="12330"/>
    <cellStyle name="40% - Ênfase1 3 2 2 4 3" xfId="12331"/>
    <cellStyle name="20% - Ênfase2 3 2 2 4 3" xfId="12332"/>
    <cellStyle name="40% - Ênfase2 3 2 2 4 3" xfId="12333"/>
    <cellStyle name="20% - Ênfase3 3 2 2 4 3" xfId="12334"/>
    <cellStyle name="40% - Ênfase3 3 2 2 4 3" xfId="12335"/>
    <cellStyle name="20% - Ênfase4 3 2 2 4 3" xfId="12336"/>
    <cellStyle name="40% - Ênfase4 3 2 2 4 3" xfId="12337"/>
    <cellStyle name="20% - Ênfase5 3 2 2 4 3" xfId="12338"/>
    <cellStyle name="40% - Ênfase5 3 2 2 4 3" xfId="12339"/>
    <cellStyle name="20% - Ênfase6 3 2 2 4 3" xfId="12340"/>
    <cellStyle name="40% - Ênfase6 3 2 2 4 3" xfId="12341"/>
    <cellStyle name="Normal 8 2 2 4 3" xfId="12342"/>
    <cellStyle name="Nota 5 2 2 4 3" xfId="12343"/>
    <cellStyle name="20% - Ênfase1 4 2 2 4 3" xfId="12344"/>
    <cellStyle name="40% - Ênfase1 4 2 2 4 3" xfId="12345"/>
    <cellStyle name="20% - Ênfase2 4 2 2 4 3" xfId="12346"/>
    <cellStyle name="40% - Ênfase2 4 2 2 4 3" xfId="12347"/>
    <cellStyle name="20% - Ênfase3 4 2 2 4 3" xfId="12348"/>
    <cellStyle name="40% - Ênfase3 4 2 2 4 3" xfId="12349"/>
    <cellStyle name="20% - Ênfase4 4 2 2 4 3" xfId="12350"/>
    <cellStyle name="40% - Ênfase4 4 2 2 4 3" xfId="12351"/>
    <cellStyle name="20% - Ênfase5 4 2 2 4 3" xfId="12352"/>
    <cellStyle name="40% - Ênfase5 4 2 2 4 3" xfId="12353"/>
    <cellStyle name="20% - Ênfase6 4 2 2 4 3" xfId="12354"/>
    <cellStyle name="40% - Ênfase6 4 2 2 4 3" xfId="12355"/>
    <cellStyle name="Normal 3 4 2 3" xfId="12356"/>
    <cellStyle name="Separador de milhares 4 2 3 3" xfId="12357"/>
    <cellStyle name="Separador de milhares 5 3 2 3" xfId="12358"/>
    <cellStyle name="Separador de milhares 6 3 2 3" xfId="12359"/>
    <cellStyle name="Vírgula 6 2 2 2" xfId="12360"/>
    <cellStyle name="Vírgula 2 4 2 2" xfId="12361"/>
    <cellStyle name="Separador de milhares 2 2 2 2 2" xfId="12362"/>
    <cellStyle name="Separador de milhares 3 2 2 2 2" xfId="12363"/>
    <cellStyle name="Vírgula 3 2 2 2" xfId="12364"/>
    <cellStyle name="Vírgula 4 2 3 2 2" xfId="12365"/>
    <cellStyle name="Vírgula 2 2 2 2 2" xfId="12366"/>
    <cellStyle name="20% - Ênfase1 5 3 2 3" xfId="12367"/>
    <cellStyle name="40% - Ênfase1 5 3 2 3" xfId="12368"/>
    <cellStyle name="20% - Ênfase2 5 3 2 3" xfId="12369"/>
    <cellStyle name="40% - Ênfase2 5 3 2 3" xfId="12370"/>
    <cellStyle name="20% - Ênfase3 5 3 2 3" xfId="12371"/>
    <cellStyle name="40% - Ênfase3 5 3 2 3" xfId="12372"/>
    <cellStyle name="20% - Ênfase4 5 3 2 3" xfId="12373"/>
    <cellStyle name="40% - Ênfase4 5 3 2 3" xfId="12374"/>
    <cellStyle name="20% - Ênfase5 5 3 2 3" xfId="12375"/>
    <cellStyle name="40% - Ênfase5 5 3 2 3" xfId="12376"/>
    <cellStyle name="20% - Ênfase6 5 3 2 3" xfId="12377"/>
    <cellStyle name="40% - Ênfase6 5 3 2 3" xfId="12378"/>
    <cellStyle name="Normal 4 2 3 2 3" xfId="12379"/>
    <cellStyle name="Nota 2 2 3 2 3" xfId="12380"/>
    <cellStyle name="Normal 5 2 3 2 3" xfId="12381"/>
    <cellStyle name="Nota 3 2 3 2 3" xfId="12382"/>
    <cellStyle name="20% - Ênfase1 2 2 3 2 3" xfId="12383"/>
    <cellStyle name="40% - Ênfase1 2 2 3 2 3" xfId="12384"/>
    <cellStyle name="20% - Ênfase2 2 2 3 2 3" xfId="12385"/>
    <cellStyle name="40% - Ênfase2 2 2 3 2 3" xfId="12386"/>
    <cellStyle name="20% - Ênfase3 2 2 3 2 3" xfId="12387"/>
    <cellStyle name="40% - Ênfase3 2 2 3 2 3" xfId="12388"/>
    <cellStyle name="20% - Ênfase4 2 2 3 2 3" xfId="12389"/>
    <cellStyle name="40% - Ênfase4 2 2 3 2 3" xfId="12390"/>
    <cellStyle name="20% - Ênfase5 2 2 3 2 3" xfId="12391"/>
    <cellStyle name="40% - Ênfase5 2 2 3 2 3" xfId="12392"/>
    <cellStyle name="20% - Ênfase6 2 2 3 2 3" xfId="12393"/>
    <cellStyle name="40% - Ênfase6 2 2 3 2 3" xfId="12394"/>
    <cellStyle name="Normal 7 2 3 2 3" xfId="12395"/>
    <cellStyle name="Nota 4 5 2 3" xfId="12396"/>
    <cellStyle name="20% - Ênfase1 3 5 2 3" xfId="12397"/>
    <cellStyle name="40% - Ênfase1 3 5 2 3" xfId="12398"/>
    <cellStyle name="20% - Ênfase2 3 5 2 3" xfId="12399"/>
    <cellStyle name="40% - Ênfase2 3 5 2 3" xfId="12400"/>
    <cellStyle name="20% - Ênfase3 3 5 2 3" xfId="12401"/>
    <cellStyle name="40% - Ênfase3 3 5 2 3" xfId="12402"/>
    <cellStyle name="20% - Ênfase4 3 5 2 3" xfId="12403"/>
    <cellStyle name="40% - Ênfase4 3 5 2 3" xfId="12404"/>
    <cellStyle name="20% - Ênfase5 3 5 2 3" xfId="12405"/>
    <cellStyle name="40% - Ênfase5 3 5 2 3" xfId="12406"/>
    <cellStyle name="20% - Ênfase6 3 5 2 3" xfId="12407"/>
    <cellStyle name="40% - Ênfase6 3 5 2 3" xfId="12408"/>
    <cellStyle name="Normal 8 5 2 5" xfId="12409"/>
    <cellStyle name="Nota 5 5 2 3" xfId="12410"/>
    <cellStyle name="20% - Ênfase1 4 5 2 3" xfId="12411"/>
    <cellStyle name="40% - Ênfase1 4 5 2 3" xfId="12412"/>
    <cellStyle name="20% - Ênfase2 4 5 2 3" xfId="12413"/>
    <cellStyle name="40% - Ênfase2 4 5 2 3" xfId="12414"/>
    <cellStyle name="20% - Ênfase3 4 5 2 3" xfId="12415"/>
    <cellStyle name="40% - Ênfase3 4 5 2 3" xfId="12416"/>
    <cellStyle name="20% - Ênfase4 4 5 2 3" xfId="12417"/>
    <cellStyle name="40% - Ênfase4 4 5 2 3" xfId="12418"/>
    <cellStyle name="20% - Ênfase5 4 5 2 3" xfId="12419"/>
    <cellStyle name="40% - Ênfase5 4 5 2 3" xfId="12420"/>
    <cellStyle name="20% - Ênfase6 4 5 2 3" xfId="12421"/>
    <cellStyle name="40% - Ênfase6 4 5 2 3" xfId="12422"/>
    <cellStyle name="20% - Ênfase1 6 3 2 3" xfId="12423"/>
    <cellStyle name="40% - Ênfase1 6 3 2 3" xfId="12424"/>
    <cellStyle name="20% - Ênfase2 6 3 2 3" xfId="12425"/>
    <cellStyle name="40% - Ênfase2 6 3 2 3" xfId="12426"/>
    <cellStyle name="20% - Ênfase3 6 3 2 3" xfId="12427"/>
    <cellStyle name="40% - Ênfase3 6 3 2 3" xfId="12428"/>
    <cellStyle name="20% - Ênfase4 6 3 2 3" xfId="12429"/>
    <cellStyle name="40% - Ênfase4 6 3 2 3" xfId="12430"/>
    <cellStyle name="20% - Ênfase5 6 3 2 3" xfId="12431"/>
    <cellStyle name="40% - Ênfase5 6 3 2 3" xfId="12432"/>
    <cellStyle name="20% - Ênfase6 6 3 2 3" xfId="12433"/>
    <cellStyle name="40% - Ênfase6 6 3 2 3" xfId="12434"/>
    <cellStyle name="Normal 4 3 3 2 3" xfId="12435"/>
    <cellStyle name="Nota 2 3 3 2 3" xfId="12436"/>
    <cellStyle name="Normal 5 3 3 2 3" xfId="12437"/>
    <cellStyle name="Nota 3 3 3 2 3" xfId="12438"/>
    <cellStyle name="20% - Ênfase1 2 3 3 2 3" xfId="12439"/>
    <cellStyle name="40% - Ênfase1 2 3 3 2 3" xfId="12440"/>
    <cellStyle name="20% - Ênfase2 2 3 3 2 3" xfId="12441"/>
    <cellStyle name="40% - Ênfase2 2 3 3 2 3" xfId="12442"/>
    <cellStyle name="20% - Ênfase3 2 3 3 2 3" xfId="12443"/>
    <cellStyle name="40% - Ênfase3 2 3 3 2 3" xfId="12444"/>
    <cellStyle name="20% - Ênfase4 2 3 3 2 3" xfId="12445"/>
    <cellStyle name="40% - Ênfase4 2 3 3 2 3" xfId="12446"/>
    <cellStyle name="20% - Ênfase5 2 3 3 2 3" xfId="12447"/>
    <cellStyle name="40% - Ênfase5 2 3 3 2 3" xfId="12448"/>
    <cellStyle name="20% - Ênfase6 2 3 3 2 3" xfId="12449"/>
    <cellStyle name="40% - Ênfase6 2 3 3 2 3" xfId="12450"/>
    <cellStyle name="Normal 7 3 3 2 3" xfId="12451"/>
    <cellStyle name="Nota 4 2 3 2 3" xfId="12452"/>
    <cellStyle name="20% - Ênfase1 3 2 3 2 3" xfId="12453"/>
    <cellStyle name="40% - Ênfase1 3 2 3 2 3" xfId="12454"/>
    <cellStyle name="20% - Ênfase2 3 2 3 2 3" xfId="12455"/>
    <cellStyle name="40% - Ênfase2 3 2 3 2 3" xfId="12456"/>
    <cellStyle name="20% - Ênfase3 3 2 3 2 3" xfId="12457"/>
    <cellStyle name="40% - Ênfase3 3 2 3 2 3" xfId="12458"/>
    <cellStyle name="20% - Ênfase4 3 2 3 2 3" xfId="12459"/>
    <cellStyle name="40% - Ênfase4 3 2 3 2 3" xfId="12460"/>
    <cellStyle name="20% - Ênfase5 3 2 3 2 3" xfId="12461"/>
    <cellStyle name="40% - Ênfase5 3 2 3 2 3" xfId="12462"/>
    <cellStyle name="20% - Ênfase6 3 2 3 2 3" xfId="12463"/>
    <cellStyle name="40% - Ênfase6 3 2 3 2 3" xfId="12464"/>
    <cellStyle name="Normal 8 2 3 2 3" xfId="12465"/>
    <cellStyle name="Nota 5 2 3 2 3" xfId="12466"/>
    <cellStyle name="20% - Ênfase1 4 2 3 2 3" xfId="12467"/>
    <cellStyle name="40% - Ênfase1 4 2 3 2 3" xfId="12468"/>
    <cellStyle name="20% - Ênfase2 4 2 3 2 3" xfId="12469"/>
    <cellStyle name="40% - Ênfase2 4 2 3 2 3" xfId="12470"/>
    <cellStyle name="20% - Ênfase3 4 2 3 2 3" xfId="12471"/>
    <cellStyle name="40% - Ênfase3 4 2 3 2 3" xfId="12472"/>
    <cellStyle name="20% - Ênfase4 4 2 3 2 3" xfId="12473"/>
    <cellStyle name="40% - Ênfase4 4 2 3 2 3" xfId="12474"/>
    <cellStyle name="20% - Ênfase5 4 2 3 2 3" xfId="12475"/>
    <cellStyle name="40% - Ênfase5 4 2 3 2 3" xfId="12476"/>
    <cellStyle name="20% - Ênfase6 4 2 3 2 3" xfId="12477"/>
    <cellStyle name="40% - Ênfase6 4 2 3 2 3" xfId="12478"/>
    <cellStyle name="20% - Ênfase1 8 2 2 3" xfId="12479"/>
    <cellStyle name="40% - Ênfase1 8 2 2 3" xfId="12480"/>
    <cellStyle name="20% - Ênfase2 8 2 2 3" xfId="12481"/>
    <cellStyle name="40% - Ênfase2 8 2 2 3" xfId="12482"/>
    <cellStyle name="20% - Ênfase3 8 2 2 3" xfId="12483"/>
    <cellStyle name="40% - Ênfase3 8 2 2 3" xfId="12484"/>
    <cellStyle name="20% - Ênfase4 8 2 2 3" xfId="12485"/>
    <cellStyle name="40% - Ênfase4 8 2 2 3" xfId="12486"/>
    <cellStyle name="20% - Ênfase5 8 2 2 3" xfId="12487"/>
    <cellStyle name="40% - Ênfase5 8 2 2 3" xfId="12488"/>
    <cellStyle name="20% - Ênfase6 8 2 2 3" xfId="12489"/>
    <cellStyle name="40% - Ênfase6 8 2 2 3" xfId="12490"/>
    <cellStyle name="Normal 4 5 2 2 3" xfId="12491"/>
    <cellStyle name="Nota 2 5 2 2 3" xfId="12492"/>
    <cellStyle name="Normal 5 5 2 2 3" xfId="12493"/>
    <cellStyle name="Nota 3 5 2 2 3" xfId="12494"/>
    <cellStyle name="20% - Ênfase1 2 5 2 2 3" xfId="12495"/>
    <cellStyle name="40% - Ênfase1 2 5 2 2 3" xfId="12496"/>
    <cellStyle name="20% - Ênfase2 2 5 2 2 3" xfId="12497"/>
    <cellStyle name="40% - Ênfase2 2 5 2 2 3" xfId="12498"/>
    <cellStyle name="20% - Ênfase3 2 5 2 2 3" xfId="12499"/>
    <cellStyle name="40% - Ênfase3 2 5 2 2 3" xfId="12500"/>
    <cellStyle name="20% - Ênfase4 2 5 2 2 3" xfId="12501"/>
    <cellStyle name="40% - Ênfase4 2 5 2 2 3" xfId="12502"/>
    <cellStyle name="20% - Ênfase5 2 5 2 2 3" xfId="12503"/>
    <cellStyle name="40% - Ênfase5 2 5 2 2 3" xfId="12504"/>
    <cellStyle name="20% - Ênfase6 2 5 2 2 3" xfId="12505"/>
    <cellStyle name="40% - Ênfase6 2 5 2 2 3" xfId="12506"/>
    <cellStyle name="Normal 7 5 2 2 3" xfId="12507"/>
    <cellStyle name="Nota 4 4 2 2 3" xfId="12508"/>
    <cellStyle name="20% - Ênfase1 3 4 2 2 3" xfId="12509"/>
    <cellStyle name="40% - Ênfase1 3 4 2 2 3" xfId="12510"/>
    <cellStyle name="20% - Ênfase2 3 4 2 2 3" xfId="12511"/>
    <cellStyle name="40% - Ênfase2 3 4 2 2 3" xfId="12512"/>
    <cellStyle name="20% - Ênfase3 3 4 2 2 3" xfId="12513"/>
    <cellStyle name="40% - Ênfase3 3 4 2 2 3" xfId="12514"/>
    <cellStyle name="20% - Ênfase4 3 4 2 2 3" xfId="12515"/>
    <cellStyle name="40% - Ênfase4 3 4 2 2 3" xfId="12516"/>
    <cellStyle name="20% - Ênfase5 3 4 2 2 3" xfId="12517"/>
    <cellStyle name="40% - Ênfase5 3 4 2 2 3" xfId="12518"/>
    <cellStyle name="20% - Ênfase6 3 4 2 2 3" xfId="12519"/>
    <cellStyle name="40% - Ênfase6 3 4 2 2 3" xfId="12520"/>
    <cellStyle name="Normal 8 4 2 2 3" xfId="12521"/>
    <cellStyle name="Nota 5 4 2 2 3" xfId="12522"/>
    <cellStyle name="20% - Ênfase1 4 4 2 2 3" xfId="12523"/>
    <cellStyle name="40% - Ênfase1 4 4 2 2 3" xfId="12524"/>
    <cellStyle name="20% - Ênfase2 4 4 2 2 3" xfId="12525"/>
    <cellStyle name="40% - Ênfase2 4 4 2 2 3" xfId="12526"/>
    <cellStyle name="20% - Ênfase3 4 4 2 2 3" xfId="12527"/>
    <cellStyle name="40% - Ênfase3 4 4 2 2 3" xfId="12528"/>
    <cellStyle name="20% - Ênfase4 4 4 2 2 3" xfId="12529"/>
    <cellStyle name="40% - Ênfase4 4 4 2 2 3" xfId="12530"/>
    <cellStyle name="20% - Ênfase5 4 4 2 2 3" xfId="12531"/>
    <cellStyle name="40% - Ênfase5 4 4 2 2 3" xfId="12532"/>
    <cellStyle name="20% - Ênfase6 4 4 2 2 3" xfId="12533"/>
    <cellStyle name="40% - Ênfase6 4 4 2 2 3" xfId="12534"/>
    <cellStyle name="Normal 3 3 2 2 3" xfId="12535"/>
    <cellStyle name="Separador de milhares 5 2 2 2 2" xfId="12536"/>
    <cellStyle name="Separador de milhares 6 2 2 2 2" xfId="12537"/>
    <cellStyle name="Vírgula 5 2 2 2" xfId="12538"/>
    <cellStyle name="Vírgula 2 3 2 2 2" xfId="12539"/>
    <cellStyle name="20% - Ênfase1 5 2 2 2 3" xfId="12540"/>
    <cellStyle name="40% - Ênfase1 5 2 2 2 3" xfId="12541"/>
    <cellStyle name="20% - Ênfase2 5 2 2 2 3" xfId="12542"/>
    <cellStyle name="40% - Ênfase2 5 2 2 2 3" xfId="12543"/>
    <cellStyle name="20% - Ênfase3 5 2 2 2 3" xfId="12544"/>
    <cellStyle name="40% - Ênfase3 5 2 2 2 3" xfId="12545"/>
    <cellStyle name="20% - Ênfase4 5 2 2 2 3" xfId="12546"/>
    <cellStyle name="40% - Ênfase4 5 2 2 2 3" xfId="12547"/>
    <cellStyle name="20% - Ênfase5 5 2 2 2 3" xfId="12548"/>
    <cellStyle name="40% - Ênfase5 5 2 2 2 3" xfId="12549"/>
    <cellStyle name="20% - Ênfase6 5 2 2 2 3" xfId="12550"/>
    <cellStyle name="40% - Ênfase6 5 2 2 2 3" xfId="12551"/>
    <cellStyle name="Normal 4 2 2 2 2 3" xfId="12552"/>
    <cellStyle name="Nota 2 2 2 2 2 3" xfId="12553"/>
    <cellStyle name="Normal 5 2 2 2 2 3" xfId="12554"/>
    <cellStyle name="Nota 3 2 2 2 2 3" xfId="12555"/>
    <cellStyle name="20% - Ênfase1 2 2 2 2 2 3" xfId="12556"/>
    <cellStyle name="40% - Ênfase1 2 2 2 2 2 3" xfId="12557"/>
    <cellStyle name="20% - Ênfase2 2 2 2 2 2 3" xfId="12558"/>
    <cellStyle name="40% - Ênfase2 2 2 2 2 2 3" xfId="12559"/>
    <cellStyle name="20% - Ênfase3 2 2 2 2 2 3" xfId="12560"/>
    <cellStyle name="40% - Ênfase3 2 2 2 2 2 3" xfId="12561"/>
    <cellStyle name="20% - Ênfase4 2 2 2 2 2 3" xfId="12562"/>
    <cellStyle name="40% - Ênfase4 2 2 2 2 2 3" xfId="12563"/>
    <cellStyle name="20% - Ênfase5 2 2 2 2 2 3" xfId="12564"/>
    <cellStyle name="40% - Ênfase5 2 2 2 2 2 3" xfId="12565"/>
    <cellStyle name="20% - Ênfase6 2 2 2 2 2 3" xfId="12566"/>
    <cellStyle name="40% - Ênfase6 2 2 2 2 2 3" xfId="12567"/>
    <cellStyle name="Normal 7 2 2 2 2 3" xfId="12568"/>
    <cellStyle name="Nota 4 3 2 2 3" xfId="12569"/>
    <cellStyle name="20% - Ênfase1 3 3 2 2 3" xfId="12570"/>
    <cellStyle name="40% - Ênfase1 3 3 2 2 3" xfId="12571"/>
    <cellStyle name="20% - Ênfase2 3 3 2 2 3" xfId="12572"/>
    <cellStyle name="40% - Ênfase2 3 3 2 2 3" xfId="12573"/>
    <cellStyle name="20% - Ênfase3 3 3 2 2 3" xfId="12574"/>
    <cellStyle name="40% - Ênfase3 3 3 2 2 3" xfId="12575"/>
    <cellStyle name="20% - Ênfase4 3 3 2 2 3" xfId="12576"/>
    <cellStyle name="40% - Ênfase4 3 3 2 2 3" xfId="12577"/>
    <cellStyle name="20% - Ênfase5 3 3 2 2 3" xfId="12578"/>
    <cellStyle name="40% - Ênfase5 3 3 2 2 3" xfId="12579"/>
    <cellStyle name="20% - Ênfase6 3 3 2 2 3" xfId="12580"/>
    <cellStyle name="40% - Ênfase6 3 3 2 2 3" xfId="12581"/>
    <cellStyle name="Normal 8 3 2 2 3" xfId="12582"/>
    <cellStyle name="Nota 5 3 2 2 3" xfId="12583"/>
    <cellStyle name="20% - Ênfase1 4 3 2 2 3" xfId="12584"/>
    <cellStyle name="40% - Ênfase1 4 3 2 2 3" xfId="12585"/>
    <cellStyle name="20% - Ênfase2 4 3 2 2 3" xfId="12586"/>
    <cellStyle name="40% - Ênfase2 4 3 2 2 3" xfId="12587"/>
    <cellStyle name="20% - Ênfase3 4 3 2 2 3" xfId="12588"/>
    <cellStyle name="40% - Ênfase3 4 3 2 2 3" xfId="12589"/>
    <cellStyle name="20% - Ênfase4 4 3 2 2 3" xfId="12590"/>
    <cellStyle name="40% - Ênfase4 4 3 2 2 3" xfId="12591"/>
    <cellStyle name="20% - Ênfase5 4 3 2 2 3" xfId="12592"/>
    <cellStyle name="40% - Ênfase5 4 3 2 2 3" xfId="12593"/>
    <cellStyle name="20% - Ênfase6 4 3 2 2 3" xfId="12594"/>
    <cellStyle name="40% - Ênfase6 4 3 2 2 3" xfId="12595"/>
    <cellStyle name="20% - Ênfase1 6 2 2 2 3" xfId="12596"/>
    <cellStyle name="40% - Ênfase1 6 2 2 2 3" xfId="12597"/>
    <cellStyle name="20% - Ênfase2 6 2 2 2 3" xfId="12598"/>
    <cellStyle name="40% - Ênfase2 6 2 2 2 3" xfId="12599"/>
    <cellStyle name="20% - Ênfase3 6 2 2 2 3" xfId="12600"/>
    <cellStyle name="40% - Ênfase3 6 2 2 2 3" xfId="12601"/>
    <cellStyle name="20% - Ênfase4 6 2 2 2 3" xfId="12602"/>
    <cellStyle name="40% - Ênfase4 6 2 2 2 3" xfId="12603"/>
    <cellStyle name="20% - Ênfase5 6 2 2 2 3" xfId="12604"/>
    <cellStyle name="40% - Ênfase5 6 2 2 2 3" xfId="12605"/>
    <cellStyle name="20% - Ênfase6 6 2 2 2 3" xfId="12606"/>
    <cellStyle name="40% - Ênfase6 6 2 2 2 3" xfId="12607"/>
    <cellStyle name="Normal 4 3 2 2 2 3" xfId="12608"/>
    <cellStyle name="Nota 2 3 2 2 2 3" xfId="12609"/>
    <cellStyle name="Normal 5 3 2 2 2 3" xfId="12610"/>
    <cellStyle name="Nota 3 3 2 2 2 3" xfId="12611"/>
    <cellStyle name="20% - Ênfase1 2 3 2 2 2 3" xfId="12612"/>
    <cellStyle name="40% - Ênfase1 2 3 2 2 2 3" xfId="12613"/>
    <cellStyle name="20% - Ênfase2 2 3 2 2 2 3" xfId="12614"/>
    <cellStyle name="40% - Ênfase2 2 3 2 2 2 3" xfId="12615"/>
    <cellStyle name="20% - Ênfase3 2 3 2 2 2 3" xfId="12616"/>
    <cellStyle name="40% - Ênfase3 2 3 2 2 2 3" xfId="12617"/>
    <cellStyle name="20% - Ênfase4 2 3 2 2 2 3" xfId="12618"/>
    <cellStyle name="40% - Ênfase4 2 3 2 2 2 3" xfId="12619"/>
    <cellStyle name="20% - Ênfase5 2 3 2 2 2 3" xfId="12620"/>
    <cellStyle name="40% - Ênfase5 2 3 2 2 2 3" xfId="12621"/>
    <cellStyle name="20% - Ênfase6 2 3 2 2 2 3" xfId="12622"/>
    <cellStyle name="40% - Ênfase6 2 3 2 2 2 3" xfId="12623"/>
    <cellStyle name="Normal 7 3 2 2 2 3" xfId="12624"/>
    <cellStyle name="Nota 4 2 2 2 2 3" xfId="12625"/>
    <cellStyle name="20% - Ênfase1 3 2 2 2 2 3" xfId="12626"/>
    <cellStyle name="40% - Ênfase1 3 2 2 2 2 3" xfId="12627"/>
    <cellStyle name="20% - Ênfase2 3 2 2 2 2 3" xfId="12628"/>
    <cellStyle name="40% - Ênfase2 3 2 2 2 2 3" xfId="12629"/>
    <cellStyle name="20% - Ênfase3 3 2 2 2 2 3" xfId="12630"/>
    <cellStyle name="40% - Ênfase3 3 2 2 2 2 3" xfId="12631"/>
    <cellStyle name="20% - Ênfase4 3 2 2 2 2 3" xfId="12632"/>
    <cellStyle name="40% - Ênfase4 3 2 2 2 2 3" xfId="12633"/>
    <cellStyle name="20% - Ênfase5 3 2 2 2 2 3" xfId="12634"/>
    <cellStyle name="40% - Ênfase5 3 2 2 2 2 3" xfId="12635"/>
    <cellStyle name="20% - Ênfase6 3 2 2 2 2 3" xfId="12636"/>
    <cellStyle name="40% - Ênfase6 3 2 2 2 2 3" xfId="12637"/>
    <cellStyle name="Normal 8 2 2 2 2 3" xfId="12638"/>
    <cellStyle name="Nota 5 2 2 2 2 3" xfId="12639"/>
    <cellStyle name="20% - Ênfase1 4 2 2 2 2 3" xfId="12640"/>
    <cellStyle name="40% - Ênfase1 4 2 2 2 2 3" xfId="12641"/>
    <cellStyle name="20% - Ênfase2 4 2 2 2 2 3" xfId="12642"/>
    <cellStyle name="40% - Ênfase2 4 2 2 2 2 3" xfId="12643"/>
    <cellStyle name="20% - Ênfase3 4 2 2 2 2 3" xfId="12644"/>
    <cellStyle name="40% - Ênfase3 4 2 2 2 2 3" xfId="12645"/>
    <cellStyle name="20% - Ênfase4 4 2 2 2 2 3" xfId="12646"/>
    <cellStyle name="40% - Ênfase4 4 2 2 2 2 3" xfId="12647"/>
    <cellStyle name="20% - Ênfase5 4 2 2 2 2 3" xfId="12648"/>
    <cellStyle name="40% - Ênfase5 4 2 2 2 2 3" xfId="12649"/>
    <cellStyle name="20% - Ênfase6 4 2 2 2 2 3" xfId="12650"/>
    <cellStyle name="40% - Ênfase6 4 2 2 2 2 3" xfId="12651"/>
    <cellStyle name="Normal 3 5 2 3" xfId="12652"/>
    <cellStyle name="20% - Ênfase1 5 4 2 3" xfId="12653"/>
    <cellStyle name="40% - Ênfase1 5 4 2 3" xfId="12654"/>
    <cellStyle name="20% - Ênfase2 5 4 2 3" xfId="12655"/>
    <cellStyle name="40% - Ênfase2 5 4 2 3" xfId="12656"/>
    <cellStyle name="20% - Ênfase3 5 4 2 3" xfId="12657"/>
    <cellStyle name="40% - Ênfase3 5 4 2 3" xfId="12658"/>
    <cellStyle name="20% - Ênfase4 5 4 2 3" xfId="12659"/>
    <cellStyle name="40% - Ênfase4 5 4 2 3" xfId="12660"/>
    <cellStyle name="20% - Ênfase5 5 4 2 3" xfId="12661"/>
    <cellStyle name="40% - Ênfase5 5 4 2 3" xfId="12662"/>
    <cellStyle name="20% - Ênfase6 5 4 2 3" xfId="12663"/>
    <cellStyle name="40% - Ênfase6 5 4 2 3" xfId="12664"/>
    <cellStyle name="Normal 4 2 4 2 3" xfId="12665"/>
    <cellStyle name="Nota 2 2 4 2 3" xfId="12666"/>
    <cellStyle name="Normal 5 2 4 2 3" xfId="12667"/>
    <cellStyle name="Nota 3 2 4 2 3" xfId="12668"/>
    <cellStyle name="20% - Ênfase1 2 2 4 2 3" xfId="12669"/>
    <cellStyle name="40% - Ênfase1 2 2 4 2 3" xfId="12670"/>
    <cellStyle name="20% - Ênfase2 2 2 4 2 3" xfId="12671"/>
    <cellStyle name="40% - Ênfase2 2 2 4 2 3" xfId="12672"/>
    <cellStyle name="20% - Ênfase3 2 2 4 2 3" xfId="12673"/>
    <cellStyle name="40% - Ênfase3 2 2 4 2 3" xfId="12674"/>
    <cellStyle name="20% - Ênfase4 2 2 4 2 3" xfId="12675"/>
    <cellStyle name="40% - Ênfase4 2 2 4 2 3" xfId="12676"/>
    <cellStyle name="20% - Ênfase5 2 2 4 2 3" xfId="12677"/>
    <cellStyle name="40% - Ênfase5 2 2 4 2 3" xfId="12678"/>
    <cellStyle name="20% - Ênfase6 2 2 4 2 3" xfId="12679"/>
    <cellStyle name="40% - Ênfase6 2 2 4 2 3" xfId="12680"/>
    <cellStyle name="Normal 7 2 4 2 3" xfId="12681"/>
    <cellStyle name="Nota 4 6 2 3" xfId="12682"/>
    <cellStyle name="20% - Ênfase1 3 6 2 3" xfId="12683"/>
    <cellStyle name="40% - Ênfase1 3 6 2 3" xfId="12684"/>
    <cellStyle name="20% - Ênfase2 3 6 2 3" xfId="12685"/>
    <cellStyle name="40% - Ênfase2 3 6 2 3" xfId="12686"/>
    <cellStyle name="20% - Ênfase3 3 6 2 3" xfId="12687"/>
    <cellStyle name="40% - Ênfase3 3 6 2 3" xfId="12688"/>
    <cellStyle name="20% - Ênfase4 3 6 2 3" xfId="12689"/>
    <cellStyle name="40% - Ênfase4 3 6 2 3" xfId="12690"/>
    <cellStyle name="20% - Ênfase5 3 6 2 3" xfId="12691"/>
    <cellStyle name="40% - Ênfase5 3 6 2 3" xfId="12692"/>
    <cellStyle name="20% - Ênfase6 3 6 2 3" xfId="12693"/>
    <cellStyle name="40% - Ênfase6 3 6 2 3" xfId="12694"/>
    <cellStyle name="Normal 8 6 2 3" xfId="12695"/>
    <cellStyle name="Nota 5 6 2 3" xfId="12696"/>
    <cellStyle name="20% - Ênfase1 4 6 2 3" xfId="12697"/>
    <cellStyle name="40% - Ênfase1 4 6 2 3" xfId="12698"/>
    <cellStyle name="20% - Ênfase2 4 6 2 3" xfId="12699"/>
    <cellStyle name="40% - Ênfase2 4 6 2 3" xfId="12700"/>
    <cellStyle name="20% - Ênfase3 4 6 2 3" xfId="12701"/>
    <cellStyle name="40% - Ênfase3 4 6 2 3" xfId="12702"/>
    <cellStyle name="20% - Ênfase4 4 6 2 3" xfId="12703"/>
    <cellStyle name="40% - Ênfase4 4 6 2 3" xfId="12704"/>
    <cellStyle name="20% - Ênfase5 4 6 2 3" xfId="12705"/>
    <cellStyle name="40% - Ênfase5 4 6 2 3" xfId="12706"/>
    <cellStyle name="20% - Ênfase6 4 6 2 3" xfId="12707"/>
    <cellStyle name="40% - Ênfase6 4 6 2 3" xfId="12708"/>
    <cellStyle name="20% - Ênfase1 6 4 2 3" xfId="12709"/>
    <cellStyle name="40% - Ênfase1 6 4 2 3" xfId="12710"/>
    <cellStyle name="20% - Ênfase2 6 4 2 3" xfId="12711"/>
    <cellStyle name="40% - Ênfase2 6 4 2 3" xfId="12712"/>
    <cellStyle name="20% - Ênfase3 6 4 2 3" xfId="12713"/>
    <cellStyle name="40% - Ênfase3 6 4 2 3" xfId="12714"/>
    <cellStyle name="20% - Ênfase4 6 4 2 3" xfId="12715"/>
    <cellStyle name="40% - Ênfase4 6 4 2 3" xfId="12716"/>
    <cellStyle name="20% - Ênfase5 6 4 2 3" xfId="12717"/>
    <cellStyle name="40% - Ênfase5 6 4 2 3" xfId="12718"/>
    <cellStyle name="20% - Ênfase6 6 4 2 3" xfId="12719"/>
    <cellStyle name="40% - Ênfase6 6 4 2 3" xfId="12720"/>
    <cellStyle name="Normal 4 3 4 2 3" xfId="12721"/>
    <cellStyle name="Nota 2 3 4 2 3" xfId="12722"/>
    <cellStyle name="Normal 5 3 4 2 3" xfId="12723"/>
    <cellStyle name="Nota 3 3 4 2 3" xfId="12724"/>
    <cellStyle name="20% - Ênfase1 2 3 4 2 3" xfId="12725"/>
    <cellStyle name="40% - Ênfase1 2 3 4 2 3" xfId="12726"/>
    <cellStyle name="20% - Ênfase2 2 3 4 2 3" xfId="12727"/>
    <cellStyle name="40% - Ênfase2 2 3 4 2 3" xfId="12728"/>
    <cellStyle name="20% - Ênfase3 2 3 4 2 3" xfId="12729"/>
    <cellStyle name="40% - Ênfase3 2 3 4 2 3" xfId="12730"/>
    <cellStyle name="20% - Ênfase4 2 3 4 2 3" xfId="12731"/>
    <cellStyle name="40% - Ênfase4 2 3 4 2 3" xfId="12732"/>
    <cellStyle name="20% - Ênfase5 2 3 4 2 3" xfId="12733"/>
    <cellStyle name="40% - Ênfase5 2 3 4 2 3" xfId="12734"/>
    <cellStyle name="20% - Ênfase6 2 3 4 2 3" xfId="12735"/>
    <cellStyle name="40% - Ênfase6 2 3 4 2 3" xfId="12736"/>
    <cellStyle name="Normal 7 3 4 2 3" xfId="12737"/>
    <cellStyle name="Nota 4 2 4 2 3" xfId="12738"/>
    <cellStyle name="20% - Ênfase1 3 2 4 2 3" xfId="12739"/>
    <cellStyle name="40% - Ênfase1 3 2 4 2 3" xfId="12740"/>
    <cellStyle name="20% - Ênfase2 3 2 4 2 3" xfId="12741"/>
    <cellStyle name="40% - Ênfase2 3 2 4 2 3" xfId="12742"/>
    <cellStyle name="20% - Ênfase3 3 2 4 2 3" xfId="12743"/>
    <cellStyle name="40% - Ênfase3 3 2 4 2 3" xfId="12744"/>
    <cellStyle name="20% - Ênfase4 3 2 4 2 3" xfId="12745"/>
    <cellStyle name="40% - Ênfase4 3 2 4 2 3" xfId="12746"/>
    <cellStyle name="20% - Ênfase5 3 2 4 2 3" xfId="12747"/>
    <cellStyle name="40% - Ênfase5 3 2 4 2 3" xfId="12748"/>
    <cellStyle name="20% - Ênfase6 3 2 4 2 3" xfId="12749"/>
    <cellStyle name="40% - Ênfase6 3 2 4 2 3" xfId="12750"/>
    <cellStyle name="Normal 8 2 4 2 3" xfId="12751"/>
    <cellStyle name="Nota 5 2 4 2 3" xfId="12752"/>
    <cellStyle name="20% - Ênfase1 4 2 4 2 3" xfId="12753"/>
    <cellStyle name="40% - Ênfase1 4 2 4 2 3" xfId="12754"/>
    <cellStyle name="20% - Ênfase2 4 2 4 2 3" xfId="12755"/>
    <cellStyle name="40% - Ênfase2 4 2 4 2 3" xfId="12756"/>
    <cellStyle name="20% - Ênfase3 4 2 4 2 3" xfId="12757"/>
    <cellStyle name="40% - Ênfase3 4 2 4 2 3" xfId="12758"/>
    <cellStyle name="20% - Ênfase4 4 2 4 2 3" xfId="12759"/>
    <cellStyle name="40% - Ênfase4 4 2 4 2 3" xfId="12760"/>
    <cellStyle name="20% - Ênfase5 4 2 4 2 3" xfId="12761"/>
    <cellStyle name="40% - Ênfase5 4 2 4 2 3" xfId="12762"/>
    <cellStyle name="20% - Ênfase6 4 2 4 2 3" xfId="12763"/>
    <cellStyle name="40% - Ênfase6 4 2 4 2 3" xfId="12764"/>
    <cellStyle name="20% - Ênfase1 8 3 2 3" xfId="12765"/>
    <cellStyle name="40% - Ênfase1 8 3 2 3" xfId="12766"/>
    <cellStyle name="20% - Ênfase2 8 3 2 3" xfId="12767"/>
    <cellStyle name="40% - Ênfase2 8 3 2 3" xfId="12768"/>
    <cellStyle name="20% - Ênfase3 8 3 2 3" xfId="12769"/>
    <cellStyle name="40% - Ênfase3 8 3 2 3" xfId="12770"/>
    <cellStyle name="20% - Ênfase4 8 3 2 3" xfId="12771"/>
    <cellStyle name="40% - Ênfase4 8 3 2 3" xfId="12772"/>
    <cellStyle name="20% - Ênfase5 8 3 2 3" xfId="12773"/>
    <cellStyle name="40% - Ênfase5 8 3 2 3" xfId="12774"/>
    <cellStyle name="20% - Ênfase6 8 3 2 3" xfId="12775"/>
    <cellStyle name="40% - Ênfase6 8 3 2 3" xfId="12776"/>
    <cellStyle name="Normal 4 5 3 2 3" xfId="12777"/>
    <cellStyle name="Nota 2 5 3 2 3" xfId="12778"/>
    <cellStyle name="Normal 5 5 3 2 3" xfId="12779"/>
    <cellStyle name="Nota 3 5 3 2 3" xfId="12780"/>
    <cellStyle name="20% - Ênfase1 2 5 3 2 3" xfId="12781"/>
    <cellStyle name="40% - Ênfase1 2 5 3 2 3" xfId="12782"/>
    <cellStyle name="20% - Ênfase2 2 5 3 2 3" xfId="12783"/>
    <cellStyle name="40% - Ênfase2 2 5 3 2 3" xfId="12784"/>
    <cellStyle name="20% - Ênfase3 2 5 3 2 3" xfId="12785"/>
    <cellStyle name="40% - Ênfase3 2 5 3 2 3" xfId="12786"/>
    <cellStyle name="20% - Ênfase4 2 5 3 2 3" xfId="12787"/>
    <cellStyle name="40% - Ênfase4 2 5 3 2 3" xfId="12788"/>
    <cellStyle name="20% - Ênfase5 2 5 3 2 3" xfId="12789"/>
    <cellStyle name="40% - Ênfase5 2 5 3 2 3" xfId="12790"/>
    <cellStyle name="20% - Ênfase6 2 5 3 2 3" xfId="12791"/>
    <cellStyle name="40% - Ênfase6 2 5 3 2 3" xfId="12792"/>
    <cellStyle name="Normal 7 5 3 2 3" xfId="12793"/>
    <cellStyle name="Nota 4 4 3 2 3" xfId="12794"/>
    <cellStyle name="20% - Ênfase1 3 4 3 2 3" xfId="12795"/>
    <cellStyle name="40% - Ênfase1 3 4 3 2 3" xfId="12796"/>
    <cellStyle name="20% - Ênfase2 3 4 3 2 3" xfId="12797"/>
    <cellStyle name="40% - Ênfase2 3 4 3 2 3" xfId="12798"/>
    <cellStyle name="20% - Ênfase3 3 4 3 2 3" xfId="12799"/>
    <cellStyle name="40% - Ênfase3 3 4 3 2 3" xfId="12800"/>
    <cellStyle name="20% - Ênfase4 3 4 3 2 3" xfId="12801"/>
    <cellStyle name="40% - Ênfase4 3 4 3 2 3" xfId="12802"/>
    <cellStyle name="20% - Ênfase5 3 4 3 2 3" xfId="12803"/>
    <cellStyle name="40% - Ênfase5 3 4 3 2 3" xfId="12804"/>
    <cellStyle name="20% - Ênfase6 3 4 3 2 3" xfId="12805"/>
    <cellStyle name="40% - Ênfase6 3 4 3 2 3" xfId="12806"/>
    <cellStyle name="Normal 8 4 3 2 3" xfId="12807"/>
    <cellStyle name="Nota 5 4 3 2 3" xfId="12808"/>
    <cellStyle name="20% - Ênfase1 4 4 3 2 3" xfId="12809"/>
    <cellStyle name="40% - Ênfase1 4 4 3 2 3" xfId="12810"/>
    <cellStyle name="20% - Ênfase2 4 4 3 2 3" xfId="12811"/>
    <cellStyle name="40% - Ênfase2 4 4 3 2 3" xfId="12812"/>
    <cellStyle name="20% - Ênfase3 4 4 3 2 3" xfId="12813"/>
    <cellStyle name="40% - Ênfase3 4 4 3 2 3" xfId="12814"/>
    <cellStyle name="20% - Ênfase4 4 4 3 2 3" xfId="12815"/>
    <cellStyle name="40% - Ênfase4 4 4 3 2 3" xfId="12816"/>
    <cellStyle name="20% - Ênfase5 4 4 3 2 3" xfId="12817"/>
    <cellStyle name="40% - Ênfase5 4 4 3 2 3" xfId="12818"/>
    <cellStyle name="20% - Ênfase6 4 4 3 2 3" xfId="12819"/>
    <cellStyle name="40% - Ênfase6 4 4 3 2 3" xfId="12820"/>
    <cellStyle name="Normal 3 3 3 2 3" xfId="12821"/>
    <cellStyle name="20% - Ênfase1 5 2 3 2 3" xfId="12822"/>
    <cellStyle name="40% - Ênfase1 5 2 3 2 3" xfId="12823"/>
    <cellStyle name="20% - Ênfase2 5 2 3 2 3" xfId="12824"/>
    <cellStyle name="40% - Ênfase2 5 2 3 2 3" xfId="12825"/>
    <cellStyle name="20% - Ênfase3 5 2 3 2 3" xfId="12826"/>
    <cellStyle name="40% - Ênfase3 5 2 3 2 3" xfId="12827"/>
    <cellStyle name="20% - Ênfase4 5 2 3 2 3" xfId="12828"/>
    <cellStyle name="40% - Ênfase4 5 2 3 2 3" xfId="12829"/>
    <cellStyle name="20% - Ênfase5 5 2 3 2 3" xfId="12830"/>
    <cellStyle name="40% - Ênfase5 5 2 3 2 3" xfId="12831"/>
    <cellStyle name="20% - Ênfase6 5 2 3 2 3" xfId="12832"/>
    <cellStyle name="40% - Ênfase6 5 2 3 2 3" xfId="12833"/>
    <cellStyle name="Normal 4 2 2 3 2 3" xfId="12834"/>
    <cellStyle name="Nota 2 2 2 3 2 3" xfId="12835"/>
    <cellStyle name="Normal 5 2 2 3 2 3" xfId="12836"/>
    <cellStyle name="Nota 3 2 2 3 2 3" xfId="12837"/>
    <cellStyle name="20% - Ênfase1 2 2 2 3 2 3" xfId="12838"/>
    <cellStyle name="40% - Ênfase1 2 2 2 3 2 3" xfId="12839"/>
    <cellStyle name="20% - Ênfase2 2 2 2 3 2 3" xfId="12840"/>
    <cellStyle name="40% - Ênfase2 2 2 2 3 2 3" xfId="12841"/>
    <cellStyle name="20% - Ênfase3 2 2 2 3 2 3" xfId="12842"/>
    <cellStyle name="40% - Ênfase3 2 2 2 3 2 3" xfId="12843"/>
    <cellStyle name="20% - Ênfase4 2 2 2 3 2 3" xfId="12844"/>
    <cellStyle name="40% - Ênfase4 2 2 2 3 2 3" xfId="12845"/>
    <cellStyle name="20% - Ênfase5 2 2 2 3 2 3" xfId="12846"/>
    <cellStyle name="40% - Ênfase5 2 2 2 3 2 3" xfId="12847"/>
    <cellStyle name="20% - Ênfase6 2 2 2 3 2 3" xfId="12848"/>
    <cellStyle name="40% - Ênfase6 2 2 2 3 2 3" xfId="12849"/>
    <cellStyle name="Normal 7 2 2 3 2 3" xfId="12850"/>
    <cellStyle name="Nota 4 3 3 2 3" xfId="12851"/>
    <cellStyle name="20% - Ênfase1 3 3 3 2 3" xfId="12852"/>
    <cellStyle name="40% - Ênfase1 3 3 3 2 3" xfId="12853"/>
    <cellStyle name="20% - Ênfase2 3 3 3 2 3" xfId="12854"/>
    <cellStyle name="40% - Ênfase2 3 3 3 2 3" xfId="12855"/>
    <cellStyle name="20% - Ênfase3 3 3 3 2 3" xfId="12856"/>
    <cellStyle name="40% - Ênfase3 3 3 3 2 3" xfId="12857"/>
    <cellStyle name="20% - Ênfase4 3 3 3 2 3" xfId="12858"/>
    <cellStyle name="40% - Ênfase4 3 3 3 2 3" xfId="12859"/>
    <cellStyle name="20% - Ênfase5 3 3 3 2 3" xfId="12860"/>
    <cellStyle name="40% - Ênfase5 3 3 3 2 3" xfId="12861"/>
    <cellStyle name="20% - Ênfase6 3 3 3 2 3" xfId="12862"/>
    <cellStyle name="40% - Ênfase6 3 3 3 2 3" xfId="12863"/>
    <cellStyle name="Normal 8 3 3 2 3" xfId="12864"/>
    <cellStyle name="Nota 5 3 3 2 3" xfId="12865"/>
    <cellStyle name="20% - Ênfase1 4 3 3 2 3" xfId="12866"/>
    <cellStyle name="40% - Ênfase1 4 3 3 2 3" xfId="12867"/>
    <cellStyle name="20% - Ênfase2 4 3 3 2 3" xfId="12868"/>
    <cellStyle name="40% - Ênfase2 4 3 3 2 3" xfId="12869"/>
    <cellStyle name="20% - Ênfase3 4 3 3 2 3" xfId="12870"/>
    <cellStyle name="40% - Ênfase3 4 3 3 2 3" xfId="12871"/>
    <cellStyle name="20% - Ênfase4 4 3 3 2 3" xfId="12872"/>
    <cellStyle name="40% - Ênfase4 4 3 3 2 3" xfId="12873"/>
    <cellStyle name="20% - Ênfase5 4 3 3 2 3" xfId="12874"/>
    <cellStyle name="40% - Ênfase5 4 3 3 2 3" xfId="12875"/>
    <cellStyle name="20% - Ênfase6 4 3 3 2 3" xfId="12876"/>
    <cellStyle name="40% - Ênfase6 4 3 3 2 3" xfId="12877"/>
    <cellStyle name="20% - Ênfase1 6 2 3 2 3" xfId="12878"/>
    <cellStyle name="40% - Ênfase1 6 2 3 2 3" xfId="12879"/>
    <cellStyle name="20% - Ênfase2 6 2 3 2 3" xfId="12880"/>
    <cellStyle name="40% - Ênfase2 6 2 3 2 3" xfId="12881"/>
    <cellStyle name="20% - Ênfase3 6 2 3 2 3" xfId="12882"/>
    <cellStyle name="40% - Ênfase3 6 2 3 2 3" xfId="12883"/>
    <cellStyle name="20% - Ênfase4 6 2 3 2 3" xfId="12884"/>
    <cellStyle name="40% - Ênfase4 6 2 3 2 3" xfId="12885"/>
    <cellStyle name="20% - Ênfase5 6 2 3 2 3" xfId="12886"/>
    <cellStyle name="40% - Ênfase5 6 2 3 2 3" xfId="12887"/>
    <cellStyle name="20% - Ênfase6 6 2 3 2 3" xfId="12888"/>
    <cellStyle name="40% - Ênfase6 6 2 3 2 3" xfId="12889"/>
    <cellStyle name="Normal 4 3 2 3 2 3" xfId="12890"/>
    <cellStyle name="Nota 2 3 2 3 2 3" xfId="12891"/>
    <cellStyle name="Normal 5 3 2 3 2 3" xfId="12892"/>
    <cellStyle name="Nota 3 3 2 3 2 3" xfId="12893"/>
    <cellStyle name="20% - Ênfase1 2 3 2 3 2 3" xfId="12894"/>
    <cellStyle name="40% - Ênfase1 2 3 2 3 2 3" xfId="12895"/>
    <cellStyle name="20% - Ênfase2 2 3 2 3 2 3" xfId="12896"/>
    <cellStyle name="40% - Ênfase2 2 3 2 3 2 3" xfId="12897"/>
    <cellStyle name="20% - Ênfase3 2 3 2 3 2 3" xfId="12898"/>
    <cellStyle name="40% - Ênfase3 2 3 2 3 2 3" xfId="12899"/>
    <cellStyle name="20% - Ênfase4 2 3 2 3 2 3" xfId="12900"/>
    <cellStyle name="40% - Ênfase4 2 3 2 3 2 3" xfId="12901"/>
    <cellStyle name="20% - Ênfase5 2 3 2 3 2 3" xfId="12902"/>
    <cellStyle name="40% - Ênfase5 2 3 2 3 2 3" xfId="12903"/>
    <cellStyle name="20% - Ênfase6 2 3 2 3 2 3" xfId="12904"/>
    <cellStyle name="40% - Ênfase6 2 3 2 3 2 3" xfId="12905"/>
    <cellStyle name="Normal 7 3 2 3 2 3" xfId="12906"/>
    <cellStyle name="Nota 4 2 2 3 2 3" xfId="12907"/>
    <cellStyle name="20% - Ênfase1 3 2 2 3 2 3" xfId="12908"/>
    <cellStyle name="40% - Ênfase1 3 2 2 3 2 3" xfId="12909"/>
    <cellStyle name="20% - Ênfase2 3 2 2 3 2 3" xfId="12910"/>
    <cellStyle name="40% - Ênfase2 3 2 2 3 2 3" xfId="12911"/>
    <cellStyle name="20% - Ênfase3 3 2 2 3 2 3" xfId="12912"/>
    <cellStyle name="40% - Ênfase3 3 2 2 3 2 3" xfId="12913"/>
    <cellStyle name="20% - Ênfase4 3 2 2 3 2 3" xfId="12914"/>
    <cellStyle name="40% - Ênfase4 3 2 2 3 2 3" xfId="12915"/>
    <cellStyle name="20% - Ênfase5 3 2 2 3 2 3" xfId="12916"/>
    <cellStyle name="40% - Ênfase5 3 2 2 3 2 3" xfId="12917"/>
    <cellStyle name="20% - Ênfase6 3 2 2 3 2 3" xfId="12918"/>
    <cellStyle name="40% - Ênfase6 3 2 2 3 2 3" xfId="12919"/>
    <cellStyle name="Normal 8 2 2 3 2 3" xfId="12920"/>
    <cellStyle name="Nota 5 2 2 3 2 3" xfId="12921"/>
    <cellStyle name="20% - Ênfase1 4 2 2 3 2 3" xfId="12922"/>
    <cellStyle name="40% - Ênfase1 4 2 2 3 2 3" xfId="12923"/>
    <cellStyle name="20% - Ênfase2 4 2 2 3 2 3" xfId="12924"/>
    <cellStyle name="40% - Ênfase2 4 2 2 3 2 3" xfId="12925"/>
    <cellStyle name="20% - Ênfase3 4 2 2 3 2 3" xfId="12926"/>
    <cellStyle name="40% - Ênfase3 4 2 2 3 2 3" xfId="12927"/>
    <cellStyle name="20% - Ênfase4 4 2 2 3 2 3" xfId="12928"/>
    <cellStyle name="40% - Ênfase4 4 2 2 3 2 3" xfId="12929"/>
    <cellStyle name="20% - Ênfase5 4 2 2 3 2 3" xfId="12930"/>
    <cellStyle name="40% - Ênfase5 4 2 2 3 2 3" xfId="12931"/>
    <cellStyle name="20% - Ênfase6 4 2 2 3 2 3" xfId="12932"/>
    <cellStyle name="40% - Ênfase6 4 2 2 3 2 3" xfId="12933"/>
    <cellStyle name="Normal 3 6 2 3" xfId="12934"/>
    <cellStyle name="20% - Ênfase1 5 5 2 3" xfId="12935"/>
    <cellStyle name="40% - Ênfase1 5 5 2 3" xfId="12936"/>
    <cellStyle name="20% - Ênfase2 5 5 2 3" xfId="12937"/>
    <cellStyle name="40% - Ênfase2 5 5 2 3" xfId="12938"/>
    <cellStyle name="20% - Ênfase3 5 5 2 3" xfId="12939"/>
    <cellStyle name="40% - Ênfase3 5 5 2 3" xfId="12940"/>
    <cellStyle name="20% - Ênfase4 5 5 2 3" xfId="12941"/>
    <cellStyle name="40% - Ênfase4 5 5 2 3" xfId="12942"/>
    <cellStyle name="20% - Ênfase5 5 5 2 3" xfId="12943"/>
    <cellStyle name="40% - Ênfase5 5 5 2 3" xfId="12944"/>
    <cellStyle name="20% - Ênfase6 5 5 2 3" xfId="12945"/>
    <cellStyle name="40% - Ênfase6 5 5 2 3" xfId="12946"/>
    <cellStyle name="Normal 4 2 5 2 3" xfId="12947"/>
    <cellStyle name="Nota 2 2 5 2 3" xfId="12948"/>
    <cellStyle name="Normal 5 2 5 2 3" xfId="12949"/>
    <cellStyle name="Nota 3 2 5 2 3" xfId="12950"/>
    <cellStyle name="20% - Ênfase1 2 2 5 2 3" xfId="12951"/>
    <cellStyle name="40% - Ênfase1 2 2 5 2 3" xfId="12952"/>
    <cellStyle name="20% - Ênfase2 2 2 5 2 3" xfId="12953"/>
    <cellStyle name="40% - Ênfase2 2 2 5 2 3" xfId="12954"/>
    <cellStyle name="20% - Ênfase3 2 2 5 2 3" xfId="12955"/>
    <cellStyle name="40% - Ênfase3 2 2 5 2 3" xfId="12956"/>
    <cellStyle name="20% - Ênfase4 2 2 5 2 3" xfId="12957"/>
    <cellStyle name="40% - Ênfase4 2 2 5 2 3" xfId="12958"/>
    <cellStyle name="20% - Ênfase5 2 2 5 2 3" xfId="12959"/>
    <cellStyle name="40% - Ênfase5 2 2 5 2 3" xfId="12960"/>
    <cellStyle name="20% - Ênfase6 2 2 5 2 3" xfId="12961"/>
    <cellStyle name="40% - Ênfase6 2 2 5 2 3" xfId="12962"/>
    <cellStyle name="Normal 7 2 5 2 3" xfId="12963"/>
    <cellStyle name="Nota 4 7 2 3" xfId="12964"/>
    <cellStyle name="20% - Ênfase1 3 7 2 3" xfId="12965"/>
    <cellStyle name="40% - Ênfase1 3 7 2 3" xfId="12966"/>
    <cellStyle name="20% - Ênfase2 3 7 2 3" xfId="12967"/>
    <cellStyle name="40% - Ênfase2 3 7 2 3" xfId="12968"/>
    <cellStyle name="20% - Ênfase3 3 7 2 3" xfId="12969"/>
    <cellStyle name="40% - Ênfase3 3 7 2 3" xfId="12970"/>
    <cellStyle name="20% - Ênfase4 3 7 2 3" xfId="12971"/>
    <cellStyle name="40% - Ênfase4 3 7 2 3" xfId="12972"/>
    <cellStyle name="20% - Ênfase5 3 7 2 3" xfId="12973"/>
    <cellStyle name="40% - Ênfase5 3 7 2 3" xfId="12974"/>
    <cellStyle name="20% - Ênfase6 3 7 2 3" xfId="12975"/>
    <cellStyle name="40% - Ênfase6 3 7 2 3" xfId="12976"/>
    <cellStyle name="Normal 8 7 2 3" xfId="12977"/>
    <cellStyle name="Nota 5 7 2 3" xfId="12978"/>
    <cellStyle name="20% - Ênfase1 4 7 2 3" xfId="12979"/>
    <cellStyle name="40% - Ênfase1 4 7 2 3" xfId="12980"/>
    <cellStyle name="20% - Ênfase2 4 7 2 3" xfId="12981"/>
    <cellStyle name="40% - Ênfase2 4 7 2 3" xfId="12982"/>
    <cellStyle name="20% - Ênfase3 4 7 2 3" xfId="12983"/>
    <cellStyle name="40% - Ênfase3 4 7 2 3" xfId="12984"/>
    <cellStyle name="20% - Ênfase4 4 7 2 3" xfId="12985"/>
    <cellStyle name="40% - Ênfase4 4 7 2 3" xfId="12986"/>
    <cellStyle name="20% - Ênfase5 4 7 2 3" xfId="12987"/>
    <cellStyle name="40% - Ênfase5 4 7 2 3" xfId="12988"/>
    <cellStyle name="20% - Ênfase6 4 7 2 3" xfId="12989"/>
    <cellStyle name="40% - Ênfase6 4 7 2 3" xfId="12990"/>
    <cellStyle name="Vírgula 7 2 2 2" xfId="12991"/>
    <cellStyle name="Normal 11 2 4" xfId="12992"/>
    <cellStyle name="Normal 6 4 2 3" xfId="12993"/>
    <cellStyle name="SAPBEXaggItemX 6 2" xfId="12994"/>
    <cellStyle name="SAPBEXHLevel0 7 2" xfId="12995"/>
    <cellStyle name="SAPBEXHLevel0X 7 2" xfId="12996"/>
    <cellStyle name="SAPBEXHLevel1 6 2" xfId="12997"/>
    <cellStyle name="SAPBEXHLevel1X 7 2" xfId="12998"/>
    <cellStyle name="SAPBEXHLevel2 6 2" xfId="12999"/>
    <cellStyle name="SAPBEXHLevel2X 7 2" xfId="13000"/>
    <cellStyle name="SAPBEXHLevel3 7 2" xfId="13001"/>
    <cellStyle name="SAPBEXHLevel3X 7 2" xfId="13002"/>
    <cellStyle name="SAPBEXinputData 7 2" xfId="13003"/>
    <cellStyle name="SAPBEXresItemX 7 2" xfId="13004"/>
    <cellStyle name="SAPBEXstdItemX 6 2" xfId="13005"/>
    <cellStyle name="Separador de milhares 2 6 2 2" xfId="13006"/>
    <cellStyle name="Separador de milhares 2 2 3 2 2" xfId="13007"/>
    <cellStyle name="Separador de milhares 2 3 2 2 2" xfId="13008"/>
    <cellStyle name="Separador de milhares 2 4 2 2" xfId="13009"/>
    <cellStyle name="Separador de milhares 2 5 2 2" xfId="13010"/>
    <cellStyle name="Separador de milhares 3 4 2 3" xfId="13011"/>
    <cellStyle name="Separador de milhares 3 2 3 2 2" xfId="13012"/>
    <cellStyle name="Separador de milhares 4 3 2 3" xfId="13013"/>
    <cellStyle name="Separador de milhares 4 2 2 2 2" xfId="13014"/>
    <cellStyle name="Separador de milhares 5 4 2 2" xfId="13015"/>
    <cellStyle name="Separador de milhares 6 4 2 2" xfId="13016"/>
    <cellStyle name="Separador de milhares 7 2 2 3" xfId="13017"/>
    <cellStyle name="Vírgula 8 2 2 3" xfId="13018"/>
    <cellStyle name="Vírgula 2 5 2 2" xfId="13019"/>
    <cellStyle name="Vírgula 4 3 2 2" xfId="13020"/>
    <cellStyle name="Vírgula 4 2 2 2 3" xfId="13021"/>
    <cellStyle name="Normal 9 3 2" xfId="13022"/>
    <cellStyle name="SAPBEXaggDataEmph 2 4 2" xfId="13023"/>
    <cellStyle name="SAPBEXaggItem 4 2 2" xfId="13024"/>
    <cellStyle name="SAPBEXchaText 4 2 2" xfId="13025"/>
    <cellStyle name="SAPBEXexcBad7 2 4 2" xfId="13026"/>
    <cellStyle name="SAPBEXexcBad8 2 4 2" xfId="13027"/>
    <cellStyle name="SAPBEXexcBad9 2 4 2" xfId="13028"/>
    <cellStyle name="SAPBEXexcCritical4 2 4 2" xfId="13029"/>
    <cellStyle name="SAPBEXexcCritical5 2 4 2" xfId="13030"/>
    <cellStyle name="SAPBEXexcCritical6 2 4 2" xfId="13031"/>
    <cellStyle name="SAPBEXexcGood1 2 4 2" xfId="13032"/>
    <cellStyle name="SAPBEXexcGood2 2 4 2" xfId="13033"/>
    <cellStyle name="SAPBEXexcGood3 2 4 2" xfId="13034"/>
    <cellStyle name="SAPBEXfilterDrill 2 4 2" xfId="13035"/>
    <cellStyle name="SAPBEXfilterItem 2 4 2" xfId="13036"/>
    <cellStyle name="SAPBEXfilterText 2 2 2" xfId="13037"/>
    <cellStyle name="SAPBEXformats 2 4 2" xfId="13038"/>
    <cellStyle name="SAPBEXheaderItem 3 2 2" xfId="13039"/>
    <cellStyle name="SAPBEXheaderText 3 2 2" xfId="13040"/>
    <cellStyle name="SAPBEXHLevel0 4 2 2" xfId="13041"/>
    <cellStyle name="SAPBEXHLevel0X 4 2 2" xfId="13042"/>
    <cellStyle name="SAPBEXHLevel1 4 2 2" xfId="13043"/>
    <cellStyle name="SAPBEXHLevel1X 4 2 2" xfId="13044"/>
    <cellStyle name="SAPBEXHLevel2 4 2 2" xfId="13045"/>
    <cellStyle name="SAPBEXHLevel2X 4 2 2" xfId="13046"/>
    <cellStyle name="SAPBEXHLevel3 5 2 2" xfId="13047"/>
    <cellStyle name="SAPBEXHLevel3X 4 2 2" xfId="13048"/>
    <cellStyle name="SAPBEXresData 2 4 2" xfId="13049"/>
    <cellStyle name="SAPBEXresDataEmph 2 4 2" xfId="13050"/>
    <cellStyle name="SAPBEXresItem 2 4 2" xfId="13051"/>
    <cellStyle name="SAPBEXstdData 2 4 2" xfId="13052"/>
    <cellStyle name="SAPBEXstdDataEmph 2 4 2" xfId="13053"/>
    <cellStyle name="SAPBEXstdItem 4 2 2" xfId="13054"/>
    <cellStyle name="SAPBEXstdItemX 4 2 2" xfId="13055"/>
    <cellStyle name="SAPBEXtitle 2 4 2" xfId="13056"/>
    <cellStyle name="SAPBEXundefined 2 4 2" xfId="13057"/>
    <cellStyle name="Vírgula 3 3 2 2" xfId="13058"/>
    <cellStyle name="SAPBEXaggData 3 4 2" xfId="13059"/>
    <cellStyle name="Vírgula 9 2 2 2" xfId="13060"/>
    <cellStyle name="Normal 12 2 2 2" xfId="13061"/>
    <cellStyle name="Separador de milhares 2 7 2 3" xfId="13062"/>
    <cellStyle name="Separador de milhares 3 5 2" xfId="13063"/>
    <cellStyle name="Vírgula 10 2 3" xfId="13064"/>
    <cellStyle name="20% - Ênfase1 9 2" xfId="13065"/>
    <cellStyle name="40% - Ênfase1 9 2" xfId="13066"/>
    <cellStyle name="20% - Ênfase2 9 2" xfId="13067"/>
    <cellStyle name="40% - Ênfase2 9 2" xfId="13068"/>
    <cellStyle name="20% - Ênfase3 9 2" xfId="13069"/>
    <cellStyle name="40% - Ênfase3 9 2" xfId="13070"/>
    <cellStyle name="20% - Ênfase4 9 2" xfId="13071"/>
    <cellStyle name="40% - Ênfase4 9 2" xfId="13072"/>
    <cellStyle name="20% - Ênfase5 9 2" xfId="13073"/>
    <cellStyle name="40% - Ênfase5 9 2" xfId="13074"/>
    <cellStyle name="20% - Ênfase6 9 2" xfId="13075"/>
    <cellStyle name="40% - Ênfase6 9 2" xfId="13076"/>
    <cellStyle name="Normal 4 7 2" xfId="13077"/>
    <cellStyle name="Nota 2 6 2" xfId="13078"/>
    <cellStyle name="Normal 5 6 2" xfId="13079"/>
    <cellStyle name="Nota 3 6 2" xfId="13080"/>
    <cellStyle name="20% - Ênfase1 2 6 2" xfId="13081"/>
    <cellStyle name="40% - Ênfase1 2 6 2" xfId="13082"/>
    <cellStyle name="20% - Ênfase2 2 6 2" xfId="13083"/>
    <cellStyle name="40% - Ênfase2 2 6 2" xfId="13084"/>
    <cellStyle name="20% - Ênfase3 2 6 2" xfId="13085"/>
    <cellStyle name="40% - Ênfase3 2 6 2" xfId="13086"/>
    <cellStyle name="20% - Ênfase4 2 6 2" xfId="13087"/>
    <cellStyle name="40% - Ênfase4 2 6 2" xfId="13088"/>
    <cellStyle name="20% - Ênfase5 2 6 2" xfId="13089"/>
    <cellStyle name="40% - Ênfase5 2 6 2" xfId="13090"/>
    <cellStyle name="20% - Ênfase6 2 6 2" xfId="13091"/>
    <cellStyle name="40% - Ênfase6 2 6 2" xfId="13092"/>
    <cellStyle name="Vírgula 2 6 2 2" xfId="13093"/>
    <cellStyle name="Normal 7 7 2" xfId="13094"/>
    <cellStyle name="Nota 4 8 2 2" xfId="13095"/>
    <cellStyle name="20% - Ênfase1 3 8 2 2" xfId="13096"/>
    <cellStyle name="40% - Ênfase1 3 8 2 2" xfId="13097"/>
    <cellStyle name="20% - Ênfase2 3 8 2 2" xfId="13098"/>
    <cellStyle name="40% - Ênfase2 3 8 2 2" xfId="13099"/>
    <cellStyle name="20% - Ênfase3 3 8 2 2" xfId="13100"/>
    <cellStyle name="40% - Ênfase3 3 8 2 2" xfId="13101"/>
    <cellStyle name="20% - Ênfase4 3 8 2 2" xfId="13102"/>
    <cellStyle name="40% - Ênfase4 3 8 2 2" xfId="13103"/>
    <cellStyle name="20% - Ênfase5 3 8 2 2" xfId="13104"/>
    <cellStyle name="40% - Ênfase5 3 8 2 2" xfId="13105"/>
    <cellStyle name="20% - Ênfase6 3 8 2 2" xfId="13106"/>
    <cellStyle name="40% - Ênfase6 3 8 2 2" xfId="13107"/>
    <cellStyle name="Normal 8 9 2 2" xfId="13108"/>
    <cellStyle name="Nota 5 8 2 2" xfId="13109"/>
    <cellStyle name="20% - Ênfase1 4 8 2 2" xfId="13110"/>
    <cellStyle name="40% - Ênfase1 4 8 2 2" xfId="13111"/>
    <cellStyle name="20% - Ênfase2 4 8 2 2" xfId="13112"/>
    <cellStyle name="40% - Ênfase2 4 8 2 2" xfId="13113"/>
    <cellStyle name="20% - Ênfase3 4 8 2 2" xfId="13114"/>
    <cellStyle name="40% - Ênfase3 4 8 2 2" xfId="13115"/>
    <cellStyle name="20% - Ênfase4 4 8 2 2" xfId="13116"/>
    <cellStyle name="40% - Ênfase4 4 8 2 2" xfId="13117"/>
    <cellStyle name="20% - Ênfase5 4 8 2 2" xfId="13118"/>
    <cellStyle name="40% - Ênfase5 4 8 2 2" xfId="13119"/>
    <cellStyle name="20% - Ênfase6 4 8 2 2" xfId="13120"/>
    <cellStyle name="40% - Ênfase6 4 8 2 2" xfId="13121"/>
    <cellStyle name="Normal 9 4 2" xfId="13122"/>
    <cellStyle name="Normal 3 3 4 2 2" xfId="13123"/>
    <cellStyle name="Separador de milhares 4 4 2 2" xfId="13124"/>
    <cellStyle name="Separador de milhares 5 5 2 2" xfId="13125"/>
    <cellStyle name="Separador de milhares 6 5 2 2" xfId="13126"/>
    <cellStyle name="Vírgula 5 3 2 2" xfId="13127"/>
    <cellStyle name="Vírgula 2 3 3 2" xfId="13128"/>
    <cellStyle name="Separador de milhares 2 2 4 2 2" xfId="13129"/>
    <cellStyle name="Separador de milhares 3 2 4 2 2" xfId="13130"/>
    <cellStyle name="Vírgula 3 4 2 2" xfId="13131"/>
    <cellStyle name="Vírgula 4 4 2 2" xfId="13132"/>
    <cellStyle name="Vírgula 2 2 3 2" xfId="13133"/>
    <cellStyle name="20% - Ênfase1 5 6 2 2" xfId="13134"/>
    <cellStyle name="40% - Ênfase1 5 6 2 2" xfId="13135"/>
    <cellStyle name="20% - Ênfase2 5 6 2 2" xfId="13136"/>
    <cellStyle name="40% - Ênfase2 5 6 2 2" xfId="13137"/>
    <cellStyle name="20% - Ênfase3 5 6 2 2" xfId="13138"/>
    <cellStyle name="40% - Ênfase3 5 6 2 2" xfId="13139"/>
    <cellStyle name="20% - Ênfase4 5 6 2 2" xfId="13140"/>
    <cellStyle name="40% - Ênfase4 5 6 2 2" xfId="13141"/>
    <cellStyle name="20% - Ênfase5 5 6 2 2" xfId="13142"/>
    <cellStyle name="40% - Ênfase5 5 6 2 2" xfId="13143"/>
    <cellStyle name="20% - Ênfase6 5 6 2 2" xfId="13144"/>
    <cellStyle name="40% - Ênfase6 5 6 2 2" xfId="13145"/>
    <cellStyle name="Normal 4 2 6 2 2" xfId="13146"/>
    <cellStyle name="Nota 2 2 6 2 2" xfId="13147"/>
    <cellStyle name="Normal 5 2 7 2 2" xfId="13148"/>
    <cellStyle name="Nota 3 2 6 2 2" xfId="13149"/>
    <cellStyle name="20% - Ênfase1 2 2 6 2 2" xfId="13150"/>
    <cellStyle name="40% - Ênfase1 2 2 6 2 2" xfId="13151"/>
    <cellStyle name="20% - Ênfase2 2 2 6 2 2" xfId="13152"/>
    <cellStyle name="40% - Ênfase2 2 2 6 2 2" xfId="13153"/>
    <cellStyle name="20% - Ênfase3 2 2 6 2 2" xfId="13154"/>
    <cellStyle name="40% - Ênfase3 2 2 6 2 2" xfId="13155"/>
    <cellStyle name="20% - Ênfase4 2 2 6 2 2" xfId="13156"/>
    <cellStyle name="40% - Ênfase4 2 2 6 2 2" xfId="13157"/>
    <cellStyle name="20% - Ênfase5 2 2 6 2 2" xfId="13158"/>
    <cellStyle name="40% - Ênfase5 2 2 6 2 2" xfId="13159"/>
    <cellStyle name="20% - Ênfase6 2 2 6 2 2" xfId="13160"/>
    <cellStyle name="40% - Ênfase6 2 2 6 2 2" xfId="13161"/>
    <cellStyle name="Normal 7 2 6 2 2" xfId="13162"/>
    <cellStyle name="Nota 4 3 4 2 2" xfId="13163"/>
    <cellStyle name="20% - Ênfase1 3 3 4 2 2" xfId="13164"/>
    <cellStyle name="40% - Ênfase1 3 3 4 2 2" xfId="13165"/>
    <cellStyle name="20% - Ênfase2 3 3 4 2 2" xfId="13166"/>
    <cellStyle name="40% - Ênfase2 3 3 4 2 2" xfId="13167"/>
    <cellStyle name="20% - Ênfase3 3 3 4 2 2" xfId="13168"/>
    <cellStyle name="40% - Ênfase3 3 3 4 2 2" xfId="13169"/>
    <cellStyle name="20% - Ênfase4 3 3 4 2 2" xfId="13170"/>
    <cellStyle name="40% - Ênfase4 3 3 4 2 2" xfId="13171"/>
    <cellStyle name="20% - Ênfase5 3 3 4 2 2" xfId="13172"/>
    <cellStyle name="40% - Ênfase5 3 3 4 2 2" xfId="13173"/>
    <cellStyle name="20% - Ênfase6 3 3 4 2 2" xfId="13174"/>
    <cellStyle name="40% - Ênfase6 3 3 4 2 2" xfId="13175"/>
    <cellStyle name="Normal 8 3 4 2 2" xfId="13176"/>
    <cellStyle name="Nota 5 3 4 2 2" xfId="13177"/>
    <cellStyle name="20% - Ênfase1 4 3 4 2 2" xfId="13178"/>
    <cellStyle name="40% - Ênfase1 4 3 4 2 2" xfId="13179"/>
    <cellStyle name="20% - Ênfase2 4 3 4 2 2" xfId="13180"/>
    <cellStyle name="40% - Ênfase2 4 3 4 2 2" xfId="13181"/>
    <cellStyle name="20% - Ênfase3 4 3 4 2 2" xfId="13182"/>
    <cellStyle name="40% - Ênfase3 4 3 4 2 2" xfId="13183"/>
    <cellStyle name="20% - Ênfase4 4 3 4 2 2" xfId="13184"/>
    <cellStyle name="40% - Ênfase4 4 3 4 2 2" xfId="13185"/>
    <cellStyle name="20% - Ênfase5 4 3 4 2 2" xfId="13186"/>
    <cellStyle name="40% - Ênfase5 4 3 4 2 2" xfId="13187"/>
    <cellStyle name="20% - Ênfase6 4 3 4 2 2" xfId="13188"/>
    <cellStyle name="40% - Ênfase6 4 3 4 2 2" xfId="13189"/>
    <cellStyle name="20% - Ênfase1 6 5 2 2" xfId="13190"/>
    <cellStyle name="40% - Ênfase1 6 5 2 2" xfId="13191"/>
    <cellStyle name="20% - Ênfase2 6 5 2 2" xfId="13192"/>
    <cellStyle name="40% - Ênfase2 6 5 2 2" xfId="13193"/>
    <cellStyle name="20% - Ênfase3 6 5 2 2" xfId="13194"/>
    <cellStyle name="40% - Ênfase3 6 5 2 2" xfId="13195"/>
    <cellStyle name="20% - Ênfase4 6 5 2 2" xfId="13196"/>
    <cellStyle name="40% - Ênfase4 6 5 2 2" xfId="13197"/>
    <cellStyle name="20% - Ênfase5 6 5 2 2" xfId="13198"/>
    <cellStyle name="40% - Ênfase5 6 5 2 2" xfId="13199"/>
    <cellStyle name="20% - Ênfase6 6 5 2 2" xfId="13200"/>
    <cellStyle name="40% - Ênfase6 6 5 2 2" xfId="13201"/>
    <cellStyle name="Normal 4 3 5 2 2" xfId="13202"/>
    <cellStyle name="Nota 2 3 5 2 2" xfId="13203"/>
    <cellStyle name="Normal 5 3 5 2 2" xfId="13204"/>
    <cellStyle name="Nota 3 3 5 2 2" xfId="13205"/>
    <cellStyle name="20% - Ênfase1 2 3 5 2 2" xfId="13206"/>
    <cellStyle name="40% - Ênfase1 2 3 5 2 2" xfId="13207"/>
    <cellStyle name="20% - Ênfase2 2 3 5 2 2" xfId="13208"/>
    <cellStyle name="40% - Ênfase2 2 3 5 2 2" xfId="13209"/>
    <cellStyle name="20% - Ênfase3 2 3 5 2 2" xfId="13210"/>
    <cellStyle name="40% - Ênfase3 2 3 5 2 2" xfId="13211"/>
    <cellStyle name="20% - Ênfase4 2 3 5 2 2" xfId="13212"/>
    <cellStyle name="40% - Ênfase4 2 3 5 2 2" xfId="13213"/>
    <cellStyle name="20% - Ênfase5 2 3 5 2 2" xfId="13214"/>
    <cellStyle name="40% - Ênfase5 2 3 5 2 2" xfId="13215"/>
    <cellStyle name="20% - Ênfase6 2 3 5 2 2" xfId="13216"/>
    <cellStyle name="40% - Ênfase6 2 3 5 2 2" xfId="13217"/>
    <cellStyle name="Normal 7 3 5 2 2" xfId="13218"/>
    <cellStyle name="Nota 4 2 5 2 2" xfId="13219"/>
    <cellStyle name="20% - Ênfase1 3 2 5 2 2" xfId="13220"/>
    <cellStyle name="40% - Ênfase1 3 2 5 2 2" xfId="13221"/>
    <cellStyle name="20% - Ênfase2 3 2 5 2 2" xfId="13222"/>
    <cellStyle name="40% - Ênfase2 3 2 5 2 2" xfId="13223"/>
    <cellStyle name="20% - Ênfase3 3 2 5 2 2" xfId="13224"/>
    <cellStyle name="40% - Ênfase3 3 2 5 2 2" xfId="13225"/>
    <cellStyle name="20% - Ênfase4 3 2 5 2 2" xfId="13226"/>
    <cellStyle name="40% - Ênfase4 3 2 5 2 2" xfId="13227"/>
    <cellStyle name="20% - Ênfase5 3 2 5 2 2" xfId="13228"/>
    <cellStyle name="40% - Ênfase5 3 2 5 2 2" xfId="13229"/>
    <cellStyle name="20% - Ênfase6 3 2 5 2 2" xfId="13230"/>
    <cellStyle name="40% - Ênfase6 3 2 5 2 2" xfId="13231"/>
    <cellStyle name="Normal 8 2 5 2 2" xfId="13232"/>
    <cellStyle name="Nota 5 2 5 2 2" xfId="13233"/>
    <cellStyle name="20% - Ênfase1 4 2 5 2 2" xfId="13234"/>
    <cellStyle name="40% - Ênfase1 4 2 5 2 2" xfId="13235"/>
    <cellStyle name="20% - Ênfase2 4 2 5 2 2" xfId="13236"/>
    <cellStyle name="40% - Ênfase2 4 2 5 2 2" xfId="13237"/>
    <cellStyle name="20% - Ênfase3 4 2 5 2 2" xfId="13238"/>
    <cellStyle name="40% - Ênfase3 4 2 5 2 2" xfId="13239"/>
    <cellStyle name="20% - Ênfase4 4 2 5 2 2" xfId="13240"/>
    <cellStyle name="40% - Ênfase4 4 2 5 2 2" xfId="13241"/>
    <cellStyle name="20% - Ênfase5 4 2 5 2 2" xfId="13242"/>
    <cellStyle name="40% - Ênfase5 4 2 5 2 2" xfId="13243"/>
    <cellStyle name="20% - Ênfase6 4 2 5 2 2" xfId="13244"/>
    <cellStyle name="40% - Ênfase6 4 2 5 2 2" xfId="13245"/>
    <cellStyle name="Normal 2 5 2" xfId="13246"/>
    <cellStyle name="Normal 13 2 4" xfId="13247"/>
    <cellStyle name="Normal 16 2" xfId="13248"/>
    <cellStyle name="Normal 4 8" xfId="13249"/>
    <cellStyle name="0,0_x000d__x000a_NA_x000d__x000a_" xfId="13250"/>
    <cellStyle name="0,0_x000d__x000a_NA_x000d__x000a_ 3" xfId="13251"/>
    <cellStyle name="Normal 2 6" xfId="13252"/>
    <cellStyle name="Normal 3 9 3" xfId="13253"/>
    <cellStyle name="Porcentagem 2 5" xfId="13254"/>
    <cellStyle name="SAPBEXaggData 9" xfId="13255"/>
    <cellStyle name="SAPBEXaggItem 9" xfId="13256"/>
    <cellStyle name="SAPBEXchaText 9" xfId="13257"/>
    <cellStyle name="SAPBEXfilterDrill 9" xfId="13258"/>
    <cellStyle name="SAPBEXfilterItem 9" xfId="13259"/>
    <cellStyle name="SAPBEXHLevel0 9 2" xfId="13260"/>
    <cellStyle name="SAPBEXHLevel1 8" xfId="13261"/>
    <cellStyle name="SAPBEXHLevel2 8" xfId="13262"/>
    <cellStyle name="SAPBEXHLevel3 9 2" xfId="13263"/>
    <cellStyle name="SAPBEXresItem 8 2" xfId="13264"/>
    <cellStyle name="SAPBEXstdData 9" xfId="13265"/>
    <cellStyle name="SAPBEXstdItem 9" xfId="13266"/>
    <cellStyle name="SAPBEXstdItemX 8" xfId="13267"/>
    <cellStyle name="SAPBEXtitle 9 2" xfId="13268"/>
    <cellStyle name="SAPEmphasizedTotal 2" xfId="13269"/>
    <cellStyle name="Vírgula 5 6" xfId="13270"/>
    <cellStyle name="Vírgula 2 9" xfId="13271"/>
    <cellStyle name="Vírgula 3 7" xfId="13272"/>
    <cellStyle name="Vírgula 4 7" xfId="13273"/>
    <cellStyle name="Vírgula 4 2 5" xfId="13274"/>
    <cellStyle name="Vírgula 20 2" xfId="13275"/>
    <cellStyle name="SAPBEXinputData 2 4" xfId="13276"/>
    <cellStyle name="Vírgula 2 2 6" xfId="13277"/>
    <cellStyle name="Vírgula 3 2 4" xfId="13278"/>
    <cellStyle name="Vírgula 4 3 4" xfId="13279"/>
    <cellStyle name="Vírgula 4 2 2 4" xfId="13280"/>
    <cellStyle name="SAPGroupingFillCell" xfId="13281"/>
    <cellStyle name="SAPDataRemoved" xfId="13282"/>
    <cellStyle name="SAPError" xfId="13283"/>
    <cellStyle name="SAPMessageText" xfId="13284"/>
    <cellStyle name="Calculation 7 2" xfId="13285"/>
    <cellStyle name="Output 7" xfId="13286"/>
    <cellStyle name="SAPBEXformats 2 8" xfId="13287"/>
    <cellStyle name="SAPBEXstdItem 2 8 2" xfId="13288"/>
    <cellStyle name="Vírgula 21" xfId="13289"/>
    <cellStyle name="Separador de milhares 2 11" xfId="13290"/>
    <cellStyle name="Separador de milhares 3 8" xfId="13291"/>
    <cellStyle name="Separador de milhares 4 7" xfId="13292"/>
    <cellStyle name="Separador de milhares 5 8" xfId="13293"/>
    <cellStyle name="Entrada 7 2" xfId="13294"/>
    <cellStyle name="Nota 9 2" xfId="13295"/>
    <cellStyle name="Separador de milhares 6 8" xfId="13296"/>
    <cellStyle name="Separador de milhares 7 6" xfId="13297"/>
    <cellStyle name="Calculation 2 4 2" xfId="13298"/>
    <cellStyle name="Cálculo 3 4 2" xfId="13299"/>
    <cellStyle name="Entrada 3 4 2" xfId="13300"/>
    <cellStyle name="Input 2 4 2" xfId="13301"/>
    <cellStyle name="Nota 3 8 2" xfId="13302"/>
    <cellStyle name="Output 2 5 2" xfId="13303"/>
    <cellStyle name="Saída 3 5" xfId="13304"/>
    <cellStyle name="SAPBEXaggDataEmph 4 4 2" xfId="13305"/>
    <cellStyle name="SAPBEXaggItemX 4 4 2" xfId="13306"/>
    <cellStyle name="SAPBEXexcBad8 4 4 2" xfId="13307"/>
    <cellStyle name="SAPBEXexcCritical4 4 4 2" xfId="13308"/>
    <cellStyle name="SAPBEXexcCritical6 4 4 2" xfId="13309"/>
    <cellStyle name="SAPBEXexcGood2 4 4 2" xfId="13310"/>
    <cellStyle name="SAPBEXformats 2 2 4 2" xfId="13311"/>
    <cellStyle name="SAPBEXHLevel0 4 5 2" xfId="13312"/>
    <cellStyle name="SAPBEXHLevel0X 4 5 2" xfId="13313"/>
    <cellStyle name="SAPBEXHLevel1 4 5 2" xfId="13314"/>
    <cellStyle name="SAPBEXHLevel1X 4 5 2" xfId="13315"/>
    <cellStyle name="SAPBEXHLevel2 4 5 2" xfId="13316"/>
    <cellStyle name="SAPBEXHLevel2X 4 5 2" xfId="13317"/>
    <cellStyle name="SAPBEXHLevel3 4 5 2" xfId="13318"/>
    <cellStyle name="SAPBEXHLevel3X 4 5 2" xfId="13319"/>
    <cellStyle name="SAPBEXinputData 4 4 2" xfId="13320"/>
    <cellStyle name="SAPBEXresData 4 4 2" xfId="13321"/>
    <cellStyle name="SAPBEXresDataEmph 4 4 2" xfId="13322"/>
    <cellStyle name="SAPBEXresItem 4 4 2" xfId="13323"/>
    <cellStyle name="SAPBEXresItemX 4 4 2" xfId="13324"/>
    <cellStyle name="SAPBEXstdDataEmph 4 4 2" xfId="13325"/>
    <cellStyle name="SAPBEXstdItem 2 2 4 2" xfId="13326"/>
    <cellStyle name="SAPBEXstdItemX 4 5 2" xfId="13327"/>
    <cellStyle name="SAPBEXundefined 4 4 2" xfId="13328"/>
    <cellStyle name="Total 3 4 2" xfId="13329"/>
    <cellStyle name="Normal 3 2 5" xfId="13330"/>
    <cellStyle name="Output 3 2 2" xfId="13331"/>
    <cellStyle name="Saída 2 2 3 2" xfId="13332"/>
    <cellStyle name="Normal 6 9" xfId="13333"/>
    <cellStyle name="Comma 2 6" xfId="13334"/>
    <cellStyle name="Percent 2 6" xfId="13335"/>
    <cellStyle name="Separador de milhares 3 3 5" xfId="13336"/>
    <cellStyle name="Normal 6 2 5" xfId="13337"/>
    <cellStyle name="Comma 2 2 5" xfId="13338"/>
    <cellStyle name="Percent 2 2 4" xfId="13339"/>
    <cellStyle name="Normal 7 10" xfId="13340"/>
    <cellStyle name="Normal 8 15" xfId="13341"/>
    <cellStyle name="Comma 4 5" xfId="13342"/>
    <cellStyle name="Percent 3 5" xfId="13343"/>
    <cellStyle name="Normal 9 6" xfId="13344"/>
    <cellStyle name="Comma 5 5" xfId="13345"/>
    <cellStyle name="Normal 8 2 9" xfId="13346"/>
    <cellStyle name="Normal 8 3 8" xfId="13347"/>
    <cellStyle name="Normal 8 4 8" xfId="13348"/>
    <cellStyle name="Normal 8 5 8" xfId="13349"/>
    <cellStyle name="Normal 8 5 2 6" xfId="13350"/>
    <cellStyle name="Normal 7 2 10" xfId="13351"/>
    <cellStyle name="Calculation 3 2" xfId="13352"/>
    <cellStyle name="Output 4 2" xfId="13353"/>
    <cellStyle name="SAPBEXaggItemX 5 3" xfId="13354"/>
    <cellStyle name="SAPBEXformats 2 3 4" xfId="13355"/>
    <cellStyle name="SAPBEXHLevel0 5 5" xfId="13356"/>
    <cellStyle name="SAPBEXHLevel0X 5 4" xfId="13357"/>
    <cellStyle name="SAPBEXHLevel1X 5 4" xfId="13358"/>
    <cellStyle name="SAPBEXHLevel2X 5 4" xfId="13359"/>
    <cellStyle name="SAPBEXHLevel3 5 5" xfId="13360"/>
    <cellStyle name="SAPBEXHLevel3X 5 4" xfId="13361"/>
    <cellStyle name="SAPBEXresItemX 5 4" xfId="13362"/>
    <cellStyle name="SAPBEXstdItem 2 3 4" xfId="13363"/>
    <cellStyle name="Vírgula 9 5" xfId="13364"/>
    <cellStyle name="Separador de milhares 2 2 7" xfId="13365"/>
    <cellStyle name="Separador de milhares 3 4 4" xfId="13366"/>
    <cellStyle name="Separador de milhares 4 3 4" xfId="13367"/>
    <cellStyle name="Separador de milhares 5 3 4" xfId="13368"/>
    <cellStyle name="Entrada 4 4" xfId="13369"/>
    <cellStyle name="Nota 4 12" xfId="13370"/>
    <cellStyle name="Separador de milhares 6 3 4" xfId="13371"/>
    <cellStyle name="Separador de milhares 7 3 5" xfId="13372"/>
    <cellStyle name="Output 2 2 2" xfId="13373"/>
    <cellStyle name="Saída 3 2 2" xfId="13374"/>
    <cellStyle name="Normal 3 2 2 4" xfId="13375"/>
    <cellStyle name="Normal 6 3 4" xfId="13376"/>
    <cellStyle name="Comma 2 3 4" xfId="13377"/>
    <cellStyle name="Percent 2 3 3" xfId="13378"/>
    <cellStyle name="Separador de milhares 3 3 2 4" xfId="13379"/>
    <cellStyle name="Normal 6 2 2 3" xfId="13380"/>
    <cellStyle name="Comma 2 2 2 3" xfId="13381"/>
    <cellStyle name="Percent 2 2 2 3" xfId="13382"/>
    <cellStyle name="Normal 7 3 9" xfId="13383"/>
    <cellStyle name="Comma 3 2 3" xfId="13384"/>
    <cellStyle name="Normal 8 6 6" xfId="13385"/>
    <cellStyle name="Comma 4 2 3" xfId="13386"/>
    <cellStyle name="Percent 3 2 3" xfId="13387"/>
    <cellStyle name="Normal 9 2 4" xfId="13388"/>
    <cellStyle name="Comma 5 2 3" xfId="13389"/>
    <cellStyle name="Normal 8 2 2 8" xfId="13390"/>
    <cellStyle name="Vírgula 13 2 3" xfId="13391"/>
    <cellStyle name="Vírgula 4 2 2 5" xfId="13392"/>
    <cellStyle name="Normal 8 3 2 6" xfId="13393"/>
    <cellStyle name="Normal 8 4 2 6" xfId="13394"/>
    <cellStyle name="Normal 8 5 3 4" xfId="13395"/>
    <cellStyle name="Normal 8 5 2 2 3" xfId="13396"/>
    <cellStyle name="Normal 7 2 2 8" xfId="13397"/>
    <cellStyle name="Vírgula 18 2 3" xfId="13398"/>
    <cellStyle name="Vírgula 12 2 4" xfId="13399"/>
    <cellStyle name="Normal 12 4 2" xfId="13400"/>
    <cellStyle name="Normal 3 8 4" xfId="13401"/>
    <cellStyle name="Percent 3 3 3" xfId="13402"/>
    <cellStyle name="Comma 2 4 3" xfId="13403"/>
    <cellStyle name="Comma 2 2 3 3" xfId="13404"/>
    <cellStyle name="Normal 6 7 3" xfId="13405"/>
    <cellStyle name="Normal 3 2 3 3" xfId="13406"/>
    <cellStyle name="Separador de milhares 2 9 3" xfId="13407"/>
    <cellStyle name="SAPBEXfilterText 3 4 2" xfId="13408"/>
    <cellStyle name="SAPBEXheaderItem 3 4 2" xfId="13409"/>
    <cellStyle name="SAPBEXheaderText 3 5 2" xfId="13410"/>
    <cellStyle name="SAPBEXHLevel0 3 7 2" xfId="13411"/>
    <cellStyle name="SAPBEXHLevel0X 3 6 2" xfId="13412"/>
    <cellStyle name="SAPBEXHLevel1 3 7 2" xfId="13413"/>
    <cellStyle name="SAPBEXHLevel1X 3 6 2" xfId="13414"/>
    <cellStyle name="SAPBEXHLevel2 3 7 2" xfId="13415"/>
    <cellStyle name="SAPBEXHLevel2X 3 6 2" xfId="13416"/>
    <cellStyle name="SAPBEXHLevel3 3 6 2" xfId="13417"/>
    <cellStyle name="SAPBEXHLevel3X 3 6 2" xfId="13418"/>
    <cellStyle name="Normal 7 8 3" xfId="13419"/>
    <cellStyle name="SAPBEXaggItemX 8 2" xfId="13420"/>
    <cellStyle name="SAPBEXformats 2 6 2" xfId="13421"/>
    <cellStyle name="SAPBEXHLevel0 9 3" xfId="13422"/>
    <cellStyle name="SAPBEXHLevel0X 9 2" xfId="13423"/>
    <cellStyle name="SAPBEXHLevel1X 9 2" xfId="13424"/>
    <cellStyle name="SAPBEXHLevel2X 9 2" xfId="13425"/>
    <cellStyle name="SAPBEXHLevel3 9 3" xfId="13426"/>
    <cellStyle name="SAPBEXHLevel3X 9 2" xfId="13427"/>
    <cellStyle name="SAPBEXresItemX 9 2" xfId="13428"/>
    <cellStyle name="SAPBEXstdItem 2 6 2" xfId="13429"/>
    <cellStyle name="Comma 2 3 2 3" xfId="13430"/>
    <cellStyle name="Separador de milhares 2 8 3" xfId="13431"/>
    <cellStyle name="Separador de milhares 3 6 3" xfId="13432"/>
    <cellStyle name="Separador de milhares 4 5 4" xfId="13433"/>
    <cellStyle name="Separador de milhares 5 5 4" xfId="13434"/>
    <cellStyle name="Total 4 4" xfId="13435"/>
    <cellStyle name="Input 3 2" xfId="13436"/>
    <cellStyle name="Note 4 4" xfId="13437"/>
    <cellStyle name="Separador de milhares 6 6 4" xfId="13438"/>
    <cellStyle name="Separador de milhares 7 4 3" xfId="13439"/>
    <cellStyle name="SAPBEXHLevel0 3 6 2" xfId="13440"/>
    <cellStyle name="SAPBEXHLevel0X 3 5 2" xfId="13441"/>
    <cellStyle name="SAPBEXHLevel1 3 6 2" xfId="13442"/>
    <cellStyle name="SAPBEXHLevel1X 3 5 2" xfId="13443"/>
    <cellStyle name="SAPBEXHLevel2 3 6 2" xfId="13444"/>
    <cellStyle name="SAPBEXHLevel2X 3 5 2" xfId="13445"/>
    <cellStyle name="SAPBEXHLevel3 3 5 2" xfId="13446"/>
    <cellStyle name="SAPBEXHLevel3X 3 5 2" xfId="13447"/>
    <cellStyle name="Calculation 4 2" xfId="13448"/>
    <cellStyle name="Output 5 2" xfId="13449"/>
    <cellStyle name="SAPBEXaggData 5 4" xfId="13450"/>
    <cellStyle name="SAPBEXaggDataEmph 5 4" xfId="13451"/>
    <cellStyle name="SAPBEXaggItem 5 4" xfId="13452"/>
    <cellStyle name="SAPBEXexcBad7 5 4" xfId="13453"/>
    <cellStyle name="SAPBEXexcBad8 5 4" xfId="13454"/>
    <cellStyle name="SAPBEXexcBad9 5 4" xfId="13455"/>
    <cellStyle name="SAPBEXexcCritical4 5 4" xfId="13456"/>
    <cellStyle name="SAPBEXexcCritical5 5 4" xfId="13457"/>
    <cellStyle name="SAPBEXexcCritical6 5 4" xfId="13458"/>
    <cellStyle name="SAPBEXexcGood1 5 4" xfId="13459"/>
    <cellStyle name="SAPBEXexcGood2 5 4" xfId="13460"/>
    <cellStyle name="SAPBEXexcGood3 5 4" xfId="13461"/>
    <cellStyle name="SAPBEXformats 5 4" xfId="13462"/>
    <cellStyle name="SAPBEXHLevel1 5 4" xfId="13463"/>
    <cellStyle name="SAPBEXHLevel2 5 3" xfId="13464"/>
    <cellStyle name="SAPBEXresData 5 4" xfId="13465"/>
    <cellStyle name="SAPBEXresDataEmph 5 4" xfId="13466"/>
    <cellStyle name="SAPBEXstdData 5 4" xfId="13467"/>
    <cellStyle name="SAPBEXstdDataEmph 5 4" xfId="13468"/>
    <cellStyle name="SAPBEXstdItem 5 4" xfId="13469"/>
    <cellStyle name="SAPBEXstdItemX 5 4" xfId="13470"/>
    <cellStyle name="SAPBEXundefined 5 4" xfId="13471"/>
    <cellStyle name="Input 4 2" xfId="13472"/>
    <cellStyle name="Note 5 2" xfId="13473"/>
    <cellStyle name="SAPBEXinputData 4 2 3" xfId="13474"/>
    <cellStyle name="Saída 2 3 4" xfId="13475"/>
    <cellStyle name="SAPBEXexcBad9 3 2 4" xfId="13476"/>
    <cellStyle name="SAPBEXfilterDrill 3 2 3" xfId="13477"/>
    <cellStyle name="SAPBEXfilterItem 3 2 3" xfId="13478"/>
    <cellStyle name="SAPBEXresDataEmph 3 2 4" xfId="13479"/>
    <cellStyle name="SAPBEXtitle 3 2 3" xfId="13480"/>
    <cellStyle name="Comma 3 3 3" xfId="13481"/>
    <cellStyle name="Vírgula 7 2 3" xfId="13482"/>
    <cellStyle name="20% - Ênfase1 2 2 10" xfId="13483"/>
    <cellStyle name="20% - Ênfase1 2 2 2 7" xfId="13484"/>
    <cellStyle name="20% - Ênfase1 2 2 2 2 5" xfId="13485"/>
    <cellStyle name="20% - Ênfase1 2 2 2 3 5" xfId="13486"/>
    <cellStyle name="20% - Ênfase1 2 2 3 5" xfId="13487"/>
    <cellStyle name="20% - Ênfase1 2 2 4 5" xfId="13488"/>
    <cellStyle name="20% - Ênfase1 2 2 5 5" xfId="13489"/>
    <cellStyle name="20% - Ênfase1 2 3 9" xfId="13490"/>
    <cellStyle name="20% - Ênfase1 2 3 2 7" xfId="13491"/>
    <cellStyle name="20% - Ênfase1 2 3 2 2 5" xfId="13492"/>
    <cellStyle name="20% - Ênfase1 2 3 2 3 5" xfId="13493"/>
    <cellStyle name="20% - Ênfase1 2 3 3 5" xfId="13494"/>
    <cellStyle name="20% - Ênfase1 2 3 4 5" xfId="13495"/>
    <cellStyle name="20% - Ênfase1 2 5 7" xfId="13496"/>
    <cellStyle name="20% - Ênfase1 2 5 2 5" xfId="13497"/>
    <cellStyle name="20% - Ênfase1 2 5 3 5" xfId="13498"/>
    <cellStyle name="20% - Ênfase1 3 12" xfId="13499"/>
    <cellStyle name="20% - Ênfase1 3 2 9" xfId="13500"/>
    <cellStyle name="20% - Ênfase1 3 2 2 7" xfId="13501"/>
    <cellStyle name="20% - Ênfase1 3 2 2 2 5" xfId="13502"/>
    <cellStyle name="20% - Ênfase1 3 2 2 3 5" xfId="13503"/>
    <cellStyle name="20% - Ênfase1 3 2 3 5" xfId="13504"/>
    <cellStyle name="20% - Ênfase1 3 2 4 5" xfId="13505"/>
    <cellStyle name="20% - Ênfase1 3 3 8" xfId="13506"/>
    <cellStyle name="20% - Ênfase1 3 3 2 5" xfId="13507"/>
    <cellStyle name="20% - Ênfase1 3 3 3 5" xfId="13508"/>
    <cellStyle name="20% - Ênfase1 3 4 7" xfId="13509"/>
    <cellStyle name="20% - Ênfase1 3 4 2 5" xfId="13510"/>
    <cellStyle name="20% - Ênfase1 3 4 3 5" xfId="13511"/>
    <cellStyle name="20% - Ênfase1 3 5 5" xfId="13512"/>
    <cellStyle name="20% - Ênfase1 3 6 5" xfId="13513"/>
    <cellStyle name="20% - Ênfase1 3 7 5" xfId="13514"/>
    <cellStyle name="20% - Ênfase1 4 12" xfId="13515"/>
    <cellStyle name="20% - Ênfase1 4 2 9" xfId="13516"/>
    <cellStyle name="20% - Ênfase1 4 2 2 7" xfId="13517"/>
    <cellStyle name="20% - Ênfase1 4 2 2 2 5" xfId="13518"/>
    <cellStyle name="20% - Ênfase1 4 2 2 3 5" xfId="13519"/>
    <cellStyle name="20% - Ênfase1 4 2 3 5" xfId="13520"/>
    <cellStyle name="20% - Ênfase1 4 2 4 5" xfId="13521"/>
    <cellStyle name="20% - Ênfase1 4 3 8" xfId="13522"/>
    <cellStyle name="20% - Ênfase1 4 3 2 5" xfId="13523"/>
    <cellStyle name="20% - Ênfase1 4 3 3 5" xfId="13524"/>
    <cellStyle name="20% - Ênfase1 4 4 7" xfId="13525"/>
    <cellStyle name="20% - Ênfase1 4 4 2 5" xfId="13526"/>
    <cellStyle name="20% - Ênfase1 4 4 3 5" xfId="13527"/>
    <cellStyle name="20% - Ênfase1 4 5 5" xfId="13528"/>
    <cellStyle name="20% - Ênfase1 4 6 5" xfId="13529"/>
    <cellStyle name="20% - Ênfase1 4 7 5" xfId="13530"/>
    <cellStyle name="20% - Ênfase1 5 10" xfId="13531"/>
    <cellStyle name="20% - Ênfase1 5 2 7" xfId="13532"/>
    <cellStyle name="20% - Ênfase1 5 2 2 5" xfId="13533"/>
    <cellStyle name="20% - Ênfase1 5 2 3 5" xfId="13534"/>
    <cellStyle name="20% - Ênfase1 5 3 5" xfId="13535"/>
    <cellStyle name="20% - Ênfase1 5 4 5" xfId="13536"/>
    <cellStyle name="20% - Ênfase1 5 5 5" xfId="13537"/>
    <cellStyle name="20% - Ênfase1 6 9" xfId="13538"/>
    <cellStyle name="20% - Ênfase1 6 2 7" xfId="13539"/>
    <cellStyle name="20% - Ênfase1 6 2 2 5" xfId="13540"/>
    <cellStyle name="20% - Ênfase1 6 2 3 5" xfId="13541"/>
    <cellStyle name="20% - Ênfase1 6 3 5" xfId="13542"/>
    <cellStyle name="20% - Ênfase1 6 4 5" xfId="13543"/>
    <cellStyle name="20% - Ênfase1 8 7" xfId="13544"/>
    <cellStyle name="20% - Ênfase1 8 2 5" xfId="13545"/>
    <cellStyle name="20% - Ênfase1 8 3 5" xfId="13546"/>
    <cellStyle name="20% - Ênfase2 2 2 10" xfId="13547"/>
    <cellStyle name="20% - Ênfase2 2 2 2 7" xfId="13548"/>
    <cellStyle name="20% - Ênfase2 2 2 2 2 5" xfId="13549"/>
    <cellStyle name="20% - Ênfase2 2 2 2 3 5" xfId="13550"/>
    <cellStyle name="20% - Ênfase2 2 2 3 5" xfId="13551"/>
    <cellStyle name="20% - Ênfase2 2 2 4 5" xfId="13552"/>
    <cellStyle name="20% - Ênfase2 2 2 5 5" xfId="13553"/>
    <cellStyle name="20% - Ênfase2 2 3 9" xfId="13554"/>
    <cellStyle name="20% - Ênfase2 2 3 2 7" xfId="13555"/>
    <cellStyle name="20% - Ênfase2 2 3 2 2 5" xfId="13556"/>
    <cellStyle name="20% - Ênfase2 2 3 2 3 5" xfId="13557"/>
    <cellStyle name="20% - Ênfase2 2 3 3 5" xfId="13558"/>
    <cellStyle name="20% - Ênfase2 2 3 4 5" xfId="13559"/>
    <cellStyle name="20% - Ênfase2 2 5 7" xfId="13560"/>
    <cellStyle name="20% - Ênfase2 2 5 2 5" xfId="13561"/>
    <cellStyle name="20% - Ênfase2 2 5 3 5" xfId="13562"/>
    <cellStyle name="20% - Ênfase2 3 12" xfId="13563"/>
    <cellStyle name="20% - Ênfase2 3 2 9" xfId="13564"/>
    <cellStyle name="20% - Ênfase2 3 2 2 7" xfId="13565"/>
    <cellStyle name="20% - Ênfase2 3 2 2 2 5" xfId="13566"/>
    <cellStyle name="20% - Ênfase2 3 2 2 3 5" xfId="13567"/>
    <cellStyle name="20% - Ênfase2 3 2 3 5" xfId="13568"/>
    <cellStyle name="20% - Ênfase2 3 2 4 5" xfId="13569"/>
    <cellStyle name="20% - Ênfase2 3 3 8" xfId="13570"/>
    <cellStyle name="20% - Ênfase2 3 3 2 5" xfId="13571"/>
    <cellStyle name="20% - Ênfase2 3 3 3 5" xfId="13572"/>
    <cellStyle name="20% - Ênfase2 3 4 7" xfId="13573"/>
    <cellStyle name="20% - Ênfase2 3 4 2 5" xfId="13574"/>
    <cellStyle name="20% - Ênfase2 3 4 3 5" xfId="13575"/>
    <cellStyle name="20% - Ênfase2 3 5 5" xfId="13576"/>
    <cellStyle name="20% - Ênfase2 3 6 5" xfId="13577"/>
    <cellStyle name="20% - Ênfase2 3 7 5" xfId="13578"/>
    <cellStyle name="20% - Ênfase2 4 12" xfId="13579"/>
    <cellStyle name="20% - Ênfase2 4 2 9" xfId="13580"/>
    <cellStyle name="20% - Ênfase2 4 2 2 7" xfId="13581"/>
    <cellStyle name="20% - Ênfase2 4 2 2 2 5" xfId="13582"/>
    <cellStyle name="20% - Ênfase2 4 2 2 3 5" xfId="13583"/>
    <cellStyle name="20% - Ênfase2 4 2 3 5" xfId="13584"/>
    <cellStyle name="20% - Ênfase2 4 2 4 5" xfId="13585"/>
    <cellStyle name="20% - Ênfase2 4 3 8" xfId="13586"/>
    <cellStyle name="20% - Ênfase2 4 3 2 5" xfId="13587"/>
    <cellStyle name="20% - Ênfase2 4 3 3 5" xfId="13588"/>
    <cellStyle name="20% - Ênfase2 4 4 7" xfId="13589"/>
    <cellStyle name="20% - Ênfase2 4 4 2 5" xfId="13590"/>
    <cellStyle name="20% - Ênfase2 4 4 3 5" xfId="13591"/>
    <cellStyle name="20% - Ênfase2 4 5 5" xfId="13592"/>
    <cellStyle name="20% - Ênfase2 4 6 5" xfId="13593"/>
    <cellStyle name="20% - Ênfase2 4 7 5" xfId="13594"/>
    <cellStyle name="20% - Ênfase2 5 10" xfId="13595"/>
    <cellStyle name="20% - Ênfase2 5 2 7" xfId="13596"/>
    <cellStyle name="20% - Ênfase2 5 2 2 5" xfId="13597"/>
    <cellStyle name="20% - Ênfase2 5 2 3 5" xfId="13598"/>
    <cellStyle name="20% - Ênfase2 5 3 5" xfId="13599"/>
    <cellStyle name="20% - Ênfase2 5 4 5" xfId="13600"/>
    <cellStyle name="20% - Ênfase2 5 5 5" xfId="13601"/>
    <cellStyle name="20% - Ênfase2 6 9" xfId="13602"/>
    <cellStyle name="20% - Ênfase2 6 2 7" xfId="13603"/>
    <cellStyle name="20% - Ênfase2 6 2 2 5" xfId="13604"/>
    <cellStyle name="20% - Ênfase2 6 2 3 5" xfId="13605"/>
    <cellStyle name="20% - Ênfase2 6 3 5" xfId="13606"/>
    <cellStyle name="20% - Ênfase2 6 4 5" xfId="13607"/>
    <cellStyle name="20% - Ênfase2 8 7" xfId="13608"/>
    <cellStyle name="20% - Ênfase2 8 2 5" xfId="13609"/>
    <cellStyle name="20% - Ênfase2 8 3 5" xfId="13610"/>
    <cellStyle name="20% - Ênfase3 2 2 10" xfId="13611"/>
    <cellStyle name="20% - Ênfase3 2 2 2 7" xfId="13612"/>
    <cellStyle name="20% - Ênfase3 2 2 2 2 5" xfId="13613"/>
    <cellStyle name="20% - Ênfase3 2 2 2 3 5" xfId="13614"/>
    <cellStyle name="20% - Ênfase3 2 2 3 5" xfId="13615"/>
    <cellStyle name="20% - Ênfase3 2 2 4 5" xfId="13616"/>
    <cellStyle name="20% - Ênfase3 2 2 5 5" xfId="13617"/>
    <cellStyle name="20% - Ênfase3 2 3 9" xfId="13618"/>
    <cellStyle name="20% - Ênfase3 2 3 2 7" xfId="13619"/>
    <cellStyle name="20% - Ênfase3 2 3 2 2 5" xfId="13620"/>
    <cellStyle name="20% - Ênfase3 2 3 2 3 5" xfId="13621"/>
    <cellStyle name="20% - Ênfase3 2 3 3 5" xfId="13622"/>
    <cellStyle name="20% - Ênfase3 2 3 4 5" xfId="13623"/>
    <cellStyle name="20% - Ênfase3 2 5 7" xfId="13624"/>
    <cellStyle name="20% - Ênfase3 2 5 2 5" xfId="13625"/>
    <cellStyle name="20% - Ênfase3 2 5 3 5" xfId="13626"/>
    <cellStyle name="20% - Ênfase3 3 12" xfId="13627"/>
    <cellStyle name="20% - Ênfase3 3 2 9" xfId="13628"/>
    <cellStyle name="20% - Ênfase3 3 2 2 7" xfId="13629"/>
    <cellStyle name="20% - Ênfase3 3 2 2 2 5" xfId="13630"/>
    <cellStyle name="20% - Ênfase3 3 2 2 3 5" xfId="13631"/>
    <cellStyle name="20% - Ênfase3 3 2 3 5" xfId="13632"/>
    <cellStyle name="20% - Ênfase3 3 2 4 5" xfId="13633"/>
    <cellStyle name="20% - Ênfase3 3 3 8" xfId="13634"/>
    <cellStyle name="20% - Ênfase3 3 3 2 5" xfId="13635"/>
    <cellStyle name="20% - Ênfase3 3 3 3 5" xfId="13636"/>
    <cellStyle name="20% - Ênfase3 3 4 7" xfId="13637"/>
    <cellStyle name="20% - Ênfase3 3 4 2 5" xfId="13638"/>
    <cellStyle name="20% - Ênfase3 3 4 3 5" xfId="13639"/>
    <cellStyle name="20% - Ênfase3 3 5 5" xfId="13640"/>
    <cellStyle name="20% - Ênfase3 3 6 5" xfId="13641"/>
    <cellStyle name="20% - Ênfase3 3 7 5" xfId="13642"/>
    <cellStyle name="20% - Ênfase3 4 12" xfId="13643"/>
    <cellStyle name="20% - Ênfase3 4 2 9" xfId="13644"/>
    <cellStyle name="20% - Ênfase3 4 2 2 7" xfId="13645"/>
    <cellStyle name="20% - Ênfase3 4 2 2 2 5" xfId="13646"/>
    <cellStyle name="20% - Ênfase3 4 2 2 3 5" xfId="13647"/>
    <cellStyle name="20% - Ênfase3 4 2 3 5" xfId="13648"/>
    <cellStyle name="20% - Ênfase3 4 2 4 5" xfId="13649"/>
    <cellStyle name="20% - Ênfase3 4 3 8" xfId="13650"/>
    <cellStyle name="20% - Ênfase3 4 3 2 5" xfId="13651"/>
    <cellStyle name="20% - Ênfase3 4 3 3 5" xfId="13652"/>
    <cellStyle name="20% - Ênfase3 4 4 7" xfId="13653"/>
    <cellStyle name="20% - Ênfase3 4 4 2 5" xfId="13654"/>
    <cellStyle name="20% - Ênfase3 4 4 3 5" xfId="13655"/>
    <cellStyle name="20% - Ênfase3 4 5 5" xfId="13656"/>
    <cellStyle name="20% - Ênfase3 4 6 5" xfId="13657"/>
    <cellStyle name="20% - Ênfase3 4 7 5" xfId="13658"/>
    <cellStyle name="20% - Ênfase3 5 10" xfId="13659"/>
    <cellStyle name="20% - Ênfase3 5 2 7" xfId="13660"/>
    <cellStyle name="20% - Ênfase3 5 2 2 5" xfId="13661"/>
    <cellStyle name="20% - Ênfase3 5 2 3 5" xfId="13662"/>
    <cellStyle name="20% - Ênfase3 5 3 5" xfId="13663"/>
    <cellStyle name="20% - Ênfase3 5 4 5" xfId="13664"/>
    <cellStyle name="20% - Ênfase3 5 5 5" xfId="13665"/>
    <cellStyle name="20% - Ênfase3 6 9" xfId="13666"/>
    <cellStyle name="20% - Ênfase3 6 2 7" xfId="13667"/>
    <cellStyle name="20% - Ênfase3 6 2 2 5" xfId="13668"/>
    <cellStyle name="20% - Ênfase3 6 2 3 5" xfId="13669"/>
    <cellStyle name="20% - Ênfase3 6 3 5" xfId="13670"/>
    <cellStyle name="20% - Ênfase3 6 4 5" xfId="13671"/>
    <cellStyle name="20% - Ênfase3 8 7" xfId="13672"/>
    <cellStyle name="20% - Ênfase3 8 2 5" xfId="13673"/>
    <cellStyle name="20% - Ênfase3 8 3 5" xfId="13674"/>
    <cellStyle name="20% - Ênfase4 2 2 10" xfId="13675"/>
    <cellStyle name="20% - Ênfase4 2 2 2 7" xfId="13676"/>
    <cellStyle name="20% - Ênfase4 2 2 2 2 5" xfId="13677"/>
    <cellStyle name="20% - Ênfase4 2 2 2 3 5" xfId="13678"/>
    <cellStyle name="20% - Ênfase4 2 2 3 5" xfId="13679"/>
    <cellStyle name="20% - Ênfase4 2 2 4 5" xfId="13680"/>
    <cellStyle name="20% - Ênfase4 2 2 5 5" xfId="13681"/>
    <cellStyle name="20% - Ênfase4 2 3 9" xfId="13682"/>
    <cellStyle name="20% - Ênfase4 2 3 2 7" xfId="13683"/>
    <cellStyle name="20% - Ênfase4 2 3 2 2 5" xfId="13684"/>
    <cellStyle name="20% - Ênfase4 2 3 2 3 5" xfId="13685"/>
    <cellStyle name="20% - Ênfase4 2 3 3 5" xfId="13686"/>
    <cellStyle name="20% - Ênfase4 2 3 4 5" xfId="13687"/>
    <cellStyle name="20% - Ênfase4 2 5 7" xfId="13688"/>
    <cellStyle name="20% - Ênfase4 2 5 2 5" xfId="13689"/>
    <cellStyle name="20% - Ênfase4 2 5 3 5" xfId="13690"/>
    <cellStyle name="20% - Ênfase4 3 12" xfId="13691"/>
    <cellStyle name="20% - Ênfase4 3 2 9" xfId="13692"/>
    <cellStyle name="20% - Ênfase4 3 2 2 7" xfId="13693"/>
    <cellStyle name="20% - Ênfase4 3 2 2 2 5" xfId="13694"/>
    <cellStyle name="20% - Ênfase4 3 2 2 3 5" xfId="13695"/>
    <cellStyle name="20% - Ênfase4 3 2 3 5" xfId="13696"/>
    <cellStyle name="20% - Ênfase4 3 2 4 5" xfId="13697"/>
    <cellStyle name="20% - Ênfase4 3 3 8" xfId="13698"/>
    <cellStyle name="20% - Ênfase4 3 3 2 5" xfId="13699"/>
    <cellStyle name="20% - Ênfase4 3 3 3 5" xfId="13700"/>
    <cellStyle name="20% - Ênfase4 3 4 7" xfId="13701"/>
    <cellStyle name="20% - Ênfase4 3 4 2 5" xfId="13702"/>
    <cellStyle name="20% - Ênfase4 3 4 3 5" xfId="13703"/>
    <cellStyle name="20% - Ênfase4 3 5 5" xfId="13704"/>
    <cellStyle name="20% - Ênfase4 3 6 5" xfId="13705"/>
    <cellStyle name="20% - Ênfase4 3 7 5" xfId="13706"/>
    <cellStyle name="20% - Ênfase4 4 12" xfId="13707"/>
    <cellStyle name="20% - Ênfase4 4 2 9" xfId="13708"/>
    <cellStyle name="20% - Ênfase4 4 2 2 7" xfId="13709"/>
    <cellStyle name="20% - Ênfase4 4 2 2 2 5" xfId="13710"/>
    <cellStyle name="20% - Ênfase4 4 2 2 3 5" xfId="13711"/>
    <cellStyle name="20% - Ênfase4 4 2 3 5" xfId="13712"/>
    <cellStyle name="20% - Ênfase4 4 2 4 5" xfId="13713"/>
    <cellStyle name="20% - Ênfase4 4 3 8" xfId="13714"/>
    <cellStyle name="20% - Ênfase4 4 3 2 5" xfId="13715"/>
    <cellStyle name="20% - Ênfase4 4 3 3 5" xfId="13716"/>
    <cellStyle name="20% - Ênfase4 4 4 7" xfId="13717"/>
    <cellStyle name="20% - Ênfase4 4 4 2 5" xfId="13718"/>
    <cellStyle name="20% - Ênfase4 4 4 3 5" xfId="13719"/>
    <cellStyle name="20% - Ênfase4 4 5 5" xfId="13720"/>
    <cellStyle name="20% - Ênfase4 4 6 5" xfId="13721"/>
    <cellStyle name="20% - Ênfase4 4 7 5" xfId="13722"/>
    <cellStyle name="20% - Ênfase4 5 10" xfId="13723"/>
    <cellStyle name="20% - Ênfase4 5 2 7" xfId="13724"/>
    <cellStyle name="20% - Ênfase4 5 2 2 5" xfId="13725"/>
    <cellStyle name="20% - Ênfase4 5 2 3 5" xfId="13726"/>
    <cellStyle name="20% - Ênfase4 5 3 5" xfId="13727"/>
    <cellStyle name="20% - Ênfase4 5 4 5" xfId="13728"/>
    <cellStyle name="20% - Ênfase4 5 5 5" xfId="13729"/>
    <cellStyle name="20% - Ênfase4 6 9" xfId="13730"/>
    <cellStyle name="20% - Ênfase4 6 2 7" xfId="13731"/>
    <cellStyle name="20% - Ênfase4 6 2 2 5" xfId="13732"/>
    <cellStyle name="20% - Ênfase4 6 2 3 5" xfId="13733"/>
    <cellStyle name="20% - Ênfase4 6 3 5" xfId="13734"/>
    <cellStyle name="20% - Ênfase4 6 4 5" xfId="13735"/>
    <cellStyle name="20% - Ênfase4 8 7" xfId="13736"/>
    <cellStyle name="20% - Ênfase4 8 2 5" xfId="13737"/>
    <cellStyle name="20% - Ênfase4 8 3 5" xfId="13738"/>
    <cellStyle name="20% - Ênfase5 2 2 10" xfId="13739"/>
    <cellStyle name="20% - Ênfase5 2 2 2 7" xfId="13740"/>
    <cellStyle name="20% - Ênfase5 2 2 2 2 5" xfId="13741"/>
    <cellStyle name="20% - Ênfase5 2 2 2 3 5" xfId="13742"/>
    <cellStyle name="20% - Ênfase5 2 2 3 5" xfId="13743"/>
    <cellStyle name="20% - Ênfase5 2 2 4 5" xfId="13744"/>
    <cellStyle name="20% - Ênfase5 2 2 5 5" xfId="13745"/>
    <cellStyle name="20% - Ênfase5 2 3 9" xfId="13746"/>
    <cellStyle name="20% - Ênfase5 2 3 2 7" xfId="13747"/>
    <cellStyle name="20% - Ênfase5 2 3 2 2 5" xfId="13748"/>
    <cellStyle name="20% - Ênfase5 2 3 2 3 5" xfId="13749"/>
    <cellStyle name="20% - Ênfase5 2 3 3 5" xfId="13750"/>
    <cellStyle name="20% - Ênfase5 2 3 4 5" xfId="13751"/>
    <cellStyle name="20% - Ênfase5 2 5 7" xfId="13752"/>
    <cellStyle name="20% - Ênfase5 2 5 2 5" xfId="13753"/>
    <cellStyle name="20% - Ênfase5 2 5 3 5" xfId="13754"/>
    <cellStyle name="20% - Ênfase5 3 12" xfId="13755"/>
    <cellStyle name="20% - Ênfase5 3 2 9" xfId="13756"/>
    <cellStyle name="20% - Ênfase5 3 2 2 7" xfId="13757"/>
    <cellStyle name="20% - Ênfase5 3 2 2 2 5" xfId="13758"/>
    <cellStyle name="20% - Ênfase5 3 2 2 3 5" xfId="13759"/>
    <cellStyle name="20% - Ênfase5 3 2 3 5" xfId="13760"/>
    <cellStyle name="20% - Ênfase5 3 2 4 5" xfId="13761"/>
    <cellStyle name="20% - Ênfase5 3 3 8" xfId="13762"/>
    <cellStyle name="20% - Ênfase5 3 3 2 5" xfId="13763"/>
    <cellStyle name="20% - Ênfase5 3 3 3 5" xfId="13764"/>
    <cellStyle name="20% - Ênfase5 3 4 7" xfId="13765"/>
    <cellStyle name="20% - Ênfase5 3 4 2 5" xfId="13766"/>
    <cellStyle name="20% - Ênfase5 3 4 3 5" xfId="13767"/>
    <cellStyle name="20% - Ênfase5 3 5 5" xfId="13768"/>
    <cellStyle name="20% - Ênfase5 3 6 5" xfId="13769"/>
    <cellStyle name="20% - Ênfase5 3 7 5" xfId="13770"/>
    <cellStyle name="20% - Ênfase5 4 12" xfId="13771"/>
    <cellStyle name="20% - Ênfase5 4 2 9" xfId="13772"/>
    <cellStyle name="20% - Ênfase5 4 2 2 7" xfId="13773"/>
    <cellStyle name="20% - Ênfase5 4 2 2 2 5" xfId="13774"/>
    <cellStyle name="20% - Ênfase5 4 2 2 3 5" xfId="13775"/>
    <cellStyle name="20% - Ênfase5 4 2 3 5" xfId="13776"/>
    <cellStyle name="20% - Ênfase5 4 2 4 5" xfId="13777"/>
    <cellStyle name="20% - Ênfase5 4 3 8" xfId="13778"/>
    <cellStyle name="20% - Ênfase5 4 3 2 5" xfId="13779"/>
    <cellStyle name="20% - Ênfase5 4 3 3 5" xfId="13780"/>
    <cellStyle name="20% - Ênfase5 4 4 7" xfId="13781"/>
    <cellStyle name="20% - Ênfase5 4 4 2 5" xfId="13782"/>
    <cellStyle name="20% - Ênfase5 4 4 3 5" xfId="13783"/>
    <cellStyle name="20% - Ênfase5 4 5 5" xfId="13784"/>
    <cellStyle name="20% - Ênfase5 4 6 5" xfId="13785"/>
    <cellStyle name="20% - Ênfase5 4 7 5" xfId="13786"/>
    <cellStyle name="20% - Ênfase5 5 10" xfId="13787"/>
    <cellStyle name="20% - Ênfase5 5 2 7" xfId="13788"/>
    <cellStyle name="20% - Ênfase5 5 2 2 5" xfId="13789"/>
    <cellStyle name="20% - Ênfase5 5 2 3 5" xfId="13790"/>
    <cellStyle name="20% - Ênfase5 5 3 5" xfId="13791"/>
    <cellStyle name="20% - Ênfase5 5 4 5" xfId="13792"/>
    <cellStyle name="20% - Ênfase5 5 5 5" xfId="13793"/>
    <cellStyle name="20% - Ênfase5 6 9" xfId="13794"/>
    <cellStyle name="20% - Ênfase5 6 2 7" xfId="13795"/>
    <cellStyle name="20% - Ênfase5 6 2 2 5" xfId="13796"/>
    <cellStyle name="20% - Ênfase5 6 2 3 5" xfId="13797"/>
    <cellStyle name="20% - Ênfase5 6 3 5" xfId="13798"/>
    <cellStyle name="20% - Ênfase5 6 4 5" xfId="13799"/>
    <cellStyle name="20% - Ênfase5 8 7" xfId="13800"/>
    <cellStyle name="20% - Ênfase5 8 2 5" xfId="13801"/>
    <cellStyle name="20% - Ênfase5 8 3 5" xfId="13802"/>
    <cellStyle name="20% - Ênfase6 2 2 10" xfId="13803"/>
    <cellStyle name="20% - Ênfase6 2 2 2 7" xfId="13804"/>
    <cellStyle name="20% - Ênfase6 2 2 2 2 5" xfId="13805"/>
    <cellStyle name="20% - Ênfase6 2 2 2 3 5" xfId="13806"/>
    <cellStyle name="20% - Ênfase6 2 2 3 5" xfId="13807"/>
    <cellStyle name="20% - Ênfase6 2 2 4 5" xfId="13808"/>
    <cellStyle name="20% - Ênfase6 2 2 5 5" xfId="13809"/>
    <cellStyle name="20% - Ênfase6 2 3 9" xfId="13810"/>
    <cellStyle name="20% - Ênfase6 2 3 2 7" xfId="13811"/>
    <cellStyle name="20% - Ênfase6 2 3 2 2 5" xfId="13812"/>
    <cellStyle name="20% - Ênfase6 2 3 2 3 5" xfId="13813"/>
    <cellStyle name="20% - Ênfase6 2 3 3 5" xfId="13814"/>
    <cellStyle name="20% - Ênfase6 2 3 4 5" xfId="13815"/>
    <cellStyle name="20% - Ênfase6 2 5 7" xfId="13816"/>
    <cellStyle name="20% - Ênfase6 2 5 2 5" xfId="13817"/>
    <cellStyle name="20% - Ênfase6 2 5 3 5" xfId="13818"/>
    <cellStyle name="20% - Ênfase6 3 12" xfId="13819"/>
    <cellStyle name="20% - Ênfase6 3 2 9" xfId="13820"/>
    <cellStyle name="20% - Ênfase6 3 2 2 7" xfId="13821"/>
    <cellStyle name="20% - Ênfase6 3 2 2 2 5" xfId="13822"/>
    <cellStyle name="20% - Ênfase6 3 2 2 3 5" xfId="13823"/>
    <cellStyle name="20% - Ênfase6 3 2 3 5" xfId="13824"/>
    <cellStyle name="20% - Ênfase6 3 2 4 5" xfId="13825"/>
    <cellStyle name="20% - Ênfase6 3 3 8" xfId="13826"/>
    <cellStyle name="20% - Ênfase6 3 3 2 5" xfId="13827"/>
    <cellStyle name="20% - Ênfase6 3 3 3 5" xfId="13828"/>
    <cellStyle name="20% - Ênfase6 3 4 7" xfId="13829"/>
    <cellStyle name="20% - Ênfase6 3 4 2 5" xfId="13830"/>
    <cellStyle name="20% - Ênfase6 3 4 3 5" xfId="13831"/>
    <cellStyle name="20% - Ênfase6 3 5 5" xfId="13832"/>
    <cellStyle name="20% - Ênfase6 3 6 5" xfId="13833"/>
    <cellStyle name="20% - Ênfase6 3 7 5" xfId="13834"/>
    <cellStyle name="20% - Ênfase6 4 12" xfId="13835"/>
    <cellStyle name="20% - Ênfase6 4 2 9" xfId="13836"/>
    <cellStyle name="20% - Ênfase6 4 2 2 7" xfId="13837"/>
    <cellStyle name="20% - Ênfase6 4 2 2 2 5" xfId="13838"/>
    <cellStyle name="20% - Ênfase6 4 2 2 3 5" xfId="13839"/>
    <cellStyle name="20% - Ênfase6 4 2 3 5" xfId="13840"/>
    <cellStyle name="20% - Ênfase6 4 2 4 5" xfId="13841"/>
    <cellStyle name="20% - Ênfase6 4 3 8" xfId="13842"/>
    <cellStyle name="20% - Ênfase6 4 3 2 5" xfId="13843"/>
    <cellStyle name="20% - Ênfase6 4 3 3 5" xfId="13844"/>
    <cellStyle name="20% - Ênfase6 4 4 7" xfId="13845"/>
    <cellStyle name="20% - Ênfase6 4 4 2 5" xfId="13846"/>
    <cellStyle name="20% - Ênfase6 4 4 3 5" xfId="13847"/>
    <cellStyle name="20% - Ênfase6 4 5 5" xfId="13848"/>
    <cellStyle name="20% - Ênfase6 4 6 5" xfId="13849"/>
    <cellStyle name="20% - Ênfase6 4 7 5" xfId="13850"/>
    <cellStyle name="20% - Ênfase6 5 10" xfId="13851"/>
    <cellStyle name="20% - Ênfase6 5 2 7" xfId="13852"/>
    <cellStyle name="20% - Ênfase6 5 2 2 5" xfId="13853"/>
    <cellStyle name="20% - Ênfase6 5 2 3 5" xfId="13854"/>
    <cellStyle name="20% - Ênfase6 5 3 5" xfId="13855"/>
    <cellStyle name="20% - Ênfase6 5 4 5" xfId="13856"/>
    <cellStyle name="20% - Ênfase6 5 5 5" xfId="13857"/>
    <cellStyle name="20% - Ênfase6 6 9" xfId="13858"/>
    <cellStyle name="20% - Ênfase6 6 2 7" xfId="13859"/>
    <cellStyle name="20% - Ênfase6 6 2 2 5" xfId="13860"/>
    <cellStyle name="20% - Ênfase6 6 2 3 5" xfId="13861"/>
    <cellStyle name="20% - Ênfase6 6 3 5" xfId="13862"/>
    <cellStyle name="20% - Ênfase6 6 4 5" xfId="13863"/>
    <cellStyle name="20% - Ênfase6 8 7" xfId="13864"/>
    <cellStyle name="20% - Ênfase6 8 2 5" xfId="13865"/>
    <cellStyle name="20% - Ênfase6 8 3 5" xfId="13866"/>
    <cellStyle name="40% - Ênfase1 2 2 10" xfId="13867"/>
    <cellStyle name="40% - Ênfase1 2 2 2 7" xfId="13868"/>
    <cellStyle name="40% - Ênfase1 2 2 2 2 5" xfId="13869"/>
    <cellStyle name="40% - Ênfase1 2 2 2 3 5" xfId="13870"/>
    <cellStyle name="40% - Ênfase1 2 2 3 5" xfId="13871"/>
    <cellStyle name="40% - Ênfase1 2 2 4 5" xfId="13872"/>
    <cellStyle name="40% - Ênfase1 2 2 5 5" xfId="13873"/>
    <cellStyle name="40% - Ênfase1 2 3 9" xfId="13874"/>
    <cellStyle name="40% - Ênfase1 2 3 2 7" xfId="13875"/>
    <cellStyle name="40% - Ênfase1 2 3 2 2 5" xfId="13876"/>
    <cellStyle name="40% - Ênfase1 2 3 2 3 5" xfId="13877"/>
    <cellStyle name="40% - Ênfase1 2 3 3 5" xfId="13878"/>
    <cellStyle name="40% - Ênfase1 2 3 4 5" xfId="13879"/>
    <cellStyle name="40% - Ênfase1 2 5 7" xfId="13880"/>
    <cellStyle name="40% - Ênfase1 2 5 2 5" xfId="13881"/>
    <cellStyle name="40% - Ênfase1 2 5 3 5" xfId="13882"/>
    <cellStyle name="40% - Ênfase1 3 12" xfId="13883"/>
    <cellStyle name="40% - Ênfase1 3 2 9" xfId="13884"/>
    <cellStyle name="40% - Ênfase1 3 2 2 7" xfId="13885"/>
    <cellStyle name="40% - Ênfase1 3 2 2 2 5" xfId="13886"/>
    <cellStyle name="40% - Ênfase1 3 2 2 3 5" xfId="13887"/>
    <cellStyle name="40% - Ênfase1 3 2 3 5" xfId="13888"/>
    <cellStyle name="40% - Ênfase1 3 2 4 5" xfId="13889"/>
    <cellStyle name="40% - Ênfase1 3 3 8" xfId="13890"/>
    <cellStyle name="40% - Ênfase1 3 3 2 5" xfId="13891"/>
    <cellStyle name="40% - Ênfase1 3 3 3 5" xfId="13892"/>
    <cellStyle name="40% - Ênfase1 3 4 7" xfId="13893"/>
    <cellStyle name="40% - Ênfase1 3 4 2 5" xfId="13894"/>
    <cellStyle name="40% - Ênfase1 3 4 3 5" xfId="13895"/>
    <cellStyle name="40% - Ênfase1 3 5 5" xfId="13896"/>
    <cellStyle name="40% - Ênfase1 3 6 5" xfId="13897"/>
    <cellStyle name="40% - Ênfase1 3 7 5" xfId="13898"/>
    <cellStyle name="40% - Ênfase1 4 12" xfId="13899"/>
    <cellStyle name="40% - Ênfase1 4 2 9" xfId="13900"/>
    <cellStyle name="40% - Ênfase1 4 2 2 7" xfId="13901"/>
    <cellStyle name="40% - Ênfase1 4 2 2 2 5" xfId="13902"/>
    <cellStyle name="40% - Ênfase1 4 2 2 3 5" xfId="13903"/>
    <cellStyle name="40% - Ênfase1 4 2 3 5" xfId="13904"/>
    <cellStyle name="40% - Ênfase1 4 2 4 5" xfId="13905"/>
    <cellStyle name="40% - Ênfase1 4 3 8" xfId="13906"/>
    <cellStyle name="40% - Ênfase1 4 3 2 5" xfId="13907"/>
    <cellStyle name="40% - Ênfase1 4 3 3 5" xfId="13908"/>
    <cellStyle name="40% - Ênfase1 4 4 7" xfId="13909"/>
    <cellStyle name="40% - Ênfase1 4 4 2 5" xfId="13910"/>
    <cellStyle name="40% - Ênfase1 4 4 3 5" xfId="13911"/>
    <cellStyle name="40% - Ênfase1 4 5 5" xfId="13912"/>
    <cellStyle name="40% - Ênfase1 4 6 5" xfId="13913"/>
    <cellStyle name="40% - Ênfase1 4 7 5" xfId="13914"/>
    <cellStyle name="40% - Ênfase1 5 10" xfId="13915"/>
    <cellStyle name="40% - Ênfase1 5 2 7" xfId="13916"/>
    <cellStyle name="40% - Ênfase1 5 2 2 5" xfId="13917"/>
    <cellStyle name="40% - Ênfase1 5 2 3 5" xfId="13918"/>
    <cellStyle name="40% - Ênfase1 5 3 5" xfId="13919"/>
    <cellStyle name="40% - Ênfase1 5 4 5" xfId="13920"/>
    <cellStyle name="40% - Ênfase1 5 5 5" xfId="13921"/>
    <cellStyle name="40% - Ênfase1 6 9" xfId="13922"/>
    <cellStyle name="40% - Ênfase1 6 2 7" xfId="13923"/>
    <cellStyle name="40% - Ênfase1 6 2 2 5" xfId="13924"/>
    <cellStyle name="40% - Ênfase1 6 2 3 5" xfId="13925"/>
    <cellStyle name="40% - Ênfase1 6 3 5" xfId="13926"/>
    <cellStyle name="40% - Ênfase1 6 4 5" xfId="13927"/>
    <cellStyle name="40% - Ênfase1 8 7" xfId="13928"/>
    <cellStyle name="40% - Ênfase1 8 2 5" xfId="13929"/>
    <cellStyle name="40% - Ênfase1 8 3 5" xfId="13930"/>
    <cellStyle name="40% - Ênfase2 2 2 10" xfId="13931"/>
    <cellStyle name="40% - Ênfase2 2 2 2 7" xfId="13932"/>
    <cellStyle name="40% - Ênfase2 2 2 2 2 5" xfId="13933"/>
    <cellStyle name="40% - Ênfase2 2 2 2 3 5" xfId="13934"/>
    <cellStyle name="40% - Ênfase2 2 2 3 5" xfId="13935"/>
    <cellStyle name="40% - Ênfase2 2 2 4 5" xfId="13936"/>
    <cellStyle name="40% - Ênfase2 2 2 5 5" xfId="13937"/>
    <cellStyle name="40% - Ênfase2 2 3 9" xfId="13938"/>
    <cellStyle name="40% - Ênfase2 2 3 2 7" xfId="13939"/>
    <cellStyle name="40% - Ênfase2 2 3 2 2 5" xfId="13940"/>
    <cellStyle name="40% - Ênfase2 2 3 2 3 5" xfId="13941"/>
    <cellStyle name="40% - Ênfase2 2 3 3 5" xfId="13942"/>
    <cellStyle name="40% - Ênfase2 2 3 4 5" xfId="13943"/>
    <cellStyle name="40% - Ênfase2 2 5 7" xfId="13944"/>
    <cellStyle name="40% - Ênfase2 2 5 2 5" xfId="13945"/>
    <cellStyle name="40% - Ênfase2 2 5 3 5" xfId="13946"/>
    <cellStyle name="40% - Ênfase2 3 12" xfId="13947"/>
    <cellStyle name="40% - Ênfase2 3 2 9" xfId="13948"/>
    <cellStyle name="40% - Ênfase2 3 2 2 7" xfId="13949"/>
    <cellStyle name="40% - Ênfase2 3 2 2 2 5" xfId="13950"/>
    <cellStyle name="40% - Ênfase2 3 2 2 3 5" xfId="13951"/>
    <cellStyle name="40% - Ênfase2 3 2 3 5" xfId="13952"/>
    <cellStyle name="40% - Ênfase2 3 2 4 5" xfId="13953"/>
    <cellStyle name="40% - Ênfase2 3 3 8" xfId="13954"/>
    <cellStyle name="40% - Ênfase2 3 3 2 5" xfId="13955"/>
    <cellStyle name="40% - Ênfase2 3 3 3 5" xfId="13956"/>
    <cellStyle name="40% - Ênfase2 3 4 7" xfId="13957"/>
    <cellStyle name="40% - Ênfase2 3 4 2 5" xfId="13958"/>
    <cellStyle name="40% - Ênfase2 3 4 3 5" xfId="13959"/>
    <cellStyle name="40% - Ênfase2 3 5 5" xfId="13960"/>
    <cellStyle name="40% - Ênfase2 3 6 5" xfId="13961"/>
    <cellStyle name="40% - Ênfase2 3 7 5" xfId="13962"/>
    <cellStyle name="40% - Ênfase2 4 12" xfId="13963"/>
    <cellStyle name="40% - Ênfase2 4 2 9" xfId="13964"/>
    <cellStyle name="40% - Ênfase2 4 2 2 7" xfId="13965"/>
    <cellStyle name="40% - Ênfase2 4 2 2 2 5" xfId="13966"/>
    <cellStyle name="40% - Ênfase2 4 2 2 3 5" xfId="13967"/>
    <cellStyle name="40% - Ênfase2 4 2 3 5" xfId="13968"/>
    <cellStyle name="40% - Ênfase2 4 2 4 5" xfId="13969"/>
    <cellStyle name="40% - Ênfase2 4 3 8" xfId="13970"/>
    <cellStyle name="40% - Ênfase2 4 3 2 5" xfId="13971"/>
    <cellStyle name="40% - Ênfase2 4 3 3 5" xfId="13972"/>
    <cellStyle name="40% - Ênfase2 4 4 7" xfId="13973"/>
    <cellStyle name="40% - Ênfase2 4 4 2 5" xfId="13974"/>
    <cellStyle name="40% - Ênfase2 4 4 3 5" xfId="13975"/>
    <cellStyle name="40% - Ênfase2 4 5 5" xfId="13976"/>
    <cellStyle name="40% - Ênfase2 4 6 5" xfId="13977"/>
    <cellStyle name="40% - Ênfase2 4 7 5" xfId="13978"/>
    <cellStyle name="40% - Ênfase2 5 10" xfId="13979"/>
    <cellStyle name="40% - Ênfase2 5 2 7" xfId="13980"/>
    <cellStyle name="40% - Ênfase2 5 2 2 5" xfId="13981"/>
    <cellStyle name="40% - Ênfase2 5 2 3 5" xfId="13982"/>
    <cellStyle name="40% - Ênfase2 5 3 5" xfId="13983"/>
    <cellStyle name="40% - Ênfase2 5 4 5" xfId="13984"/>
    <cellStyle name="40% - Ênfase2 5 5 5" xfId="13985"/>
    <cellStyle name="40% - Ênfase2 6 9" xfId="13986"/>
    <cellStyle name="40% - Ênfase2 6 2 7" xfId="13987"/>
    <cellStyle name="40% - Ênfase2 6 2 2 5" xfId="13988"/>
    <cellStyle name="40% - Ênfase2 6 2 3 5" xfId="13989"/>
    <cellStyle name="40% - Ênfase2 6 3 5" xfId="13990"/>
    <cellStyle name="40% - Ênfase2 6 4 5" xfId="13991"/>
    <cellStyle name="40% - Ênfase2 8 7" xfId="13992"/>
    <cellStyle name="40% - Ênfase2 8 2 5" xfId="13993"/>
    <cellStyle name="40% - Ênfase2 8 3 5" xfId="13994"/>
    <cellStyle name="40% - Ênfase3 2 2 10" xfId="13995"/>
    <cellStyle name="40% - Ênfase3 2 2 2 7" xfId="13996"/>
    <cellStyle name="40% - Ênfase3 2 2 2 2 5" xfId="13997"/>
    <cellStyle name="40% - Ênfase3 2 2 2 3 5" xfId="13998"/>
    <cellStyle name="40% - Ênfase3 2 2 3 5" xfId="13999"/>
    <cellStyle name="40% - Ênfase3 2 2 4 5" xfId="14000"/>
    <cellStyle name="40% - Ênfase3 2 2 5 5" xfId="14001"/>
    <cellStyle name="40% - Ênfase3 2 3 9" xfId="14002"/>
    <cellStyle name="40% - Ênfase3 2 3 2 7" xfId="14003"/>
    <cellStyle name="40% - Ênfase3 2 3 2 2 5" xfId="14004"/>
    <cellStyle name="40% - Ênfase3 2 3 2 3 5" xfId="14005"/>
    <cellStyle name="40% - Ênfase3 2 3 3 5" xfId="14006"/>
    <cellStyle name="40% - Ênfase3 2 3 4 5" xfId="14007"/>
    <cellStyle name="40% - Ênfase3 2 5 7" xfId="14008"/>
    <cellStyle name="40% - Ênfase3 2 5 2 5" xfId="14009"/>
    <cellStyle name="40% - Ênfase3 2 5 3 5" xfId="14010"/>
    <cellStyle name="40% - Ênfase3 3 12" xfId="14011"/>
    <cellStyle name="40% - Ênfase3 3 2 9" xfId="14012"/>
    <cellStyle name="40% - Ênfase3 3 2 2 7" xfId="14013"/>
    <cellStyle name="40% - Ênfase3 3 2 2 2 5" xfId="14014"/>
    <cellStyle name="40% - Ênfase3 3 2 2 3 5" xfId="14015"/>
    <cellStyle name="40% - Ênfase3 3 2 3 5" xfId="14016"/>
    <cellStyle name="40% - Ênfase3 3 2 4 5" xfId="14017"/>
    <cellStyle name="40% - Ênfase3 3 3 8" xfId="14018"/>
    <cellStyle name="40% - Ênfase3 3 3 2 5" xfId="14019"/>
    <cellStyle name="40% - Ênfase3 3 3 3 5" xfId="14020"/>
    <cellStyle name="40% - Ênfase3 3 4 7" xfId="14021"/>
    <cellStyle name="40% - Ênfase3 3 4 2 5" xfId="14022"/>
    <cellStyle name="40% - Ênfase3 3 4 3 5" xfId="14023"/>
    <cellStyle name="40% - Ênfase3 3 5 5" xfId="14024"/>
    <cellStyle name="40% - Ênfase3 3 6 5" xfId="14025"/>
    <cellStyle name="40% - Ênfase3 3 7 5" xfId="14026"/>
    <cellStyle name="40% - Ênfase3 4 12" xfId="14027"/>
    <cellStyle name="40% - Ênfase3 4 2 9" xfId="14028"/>
    <cellStyle name="40% - Ênfase3 4 2 2 7" xfId="14029"/>
    <cellStyle name="40% - Ênfase3 4 2 2 2 5" xfId="14030"/>
    <cellStyle name="40% - Ênfase3 4 2 2 3 5" xfId="14031"/>
    <cellStyle name="40% - Ênfase3 4 2 3 5" xfId="14032"/>
    <cellStyle name="40% - Ênfase3 4 2 4 5" xfId="14033"/>
    <cellStyle name="40% - Ênfase3 4 3 8" xfId="14034"/>
    <cellStyle name="40% - Ênfase3 4 3 2 5" xfId="14035"/>
    <cellStyle name="40% - Ênfase3 4 3 3 5" xfId="14036"/>
    <cellStyle name="40% - Ênfase3 4 4 7" xfId="14037"/>
    <cellStyle name="40% - Ênfase3 4 4 2 5" xfId="14038"/>
    <cellStyle name="40% - Ênfase3 4 4 3 5" xfId="14039"/>
    <cellStyle name="40% - Ênfase3 4 5 5" xfId="14040"/>
    <cellStyle name="40% - Ênfase3 4 6 5" xfId="14041"/>
    <cellStyle name="40% - Ênfase3 4 7 5" xfId="14042"/>
    <cellStyle name="40% - Ênfase3 5 10" xfId="14043"/>
    <cellStyle name="40% - Ênfase3 5 2 7" xfId="14044"/>
    <cellStyle name="40% - Ênfase3 5 2 2 5" xfId="14045"/>
    <cellStyle name="40% - Ênfase3 5 2 3 5" xfId="14046"/>
    <cellStyle name="40% - Ênfase3 5 3 5" xfId="14047"/>
    <cellStyle name="40% - Ênfase3 5 4 5" xfId="14048"/>
    <cellStyle name="40% - Ênfase3 5 5 5" xfId="14049"/>
    <cellStyle name="40% - Ênfase3 6 9" xfId="14050"/>
    <cellStyle name="40% - Ênfase3 6 2 7" xfId="14051"/>
    <cellStyle name="40% - Ênfase3 6 2 2 5" xfId="14052"/>
    <cellStyle name="40% - Ênfase3 6 2 3 5" xfId="14053"/>
    <cellStyle name="40% - Ênfase3 6 3 5" xfId="14054"/>
    <cellStyle name="40% - Ênfase3 6 4 5" xfId="14055"/>
    <cellStyle name="40% - Ênfase3 8 7" xfId="14056"/>
    <cellStyle name="40% - Ênfase3 8 2 5" xfId="14057"/>
    <cellStyle name="40% - Ênfase3 8 3 5" xfId="14058"/>
    <cellStyle name="40% - Ênfase4 2 2 10" xfId="14059"/>
    <cellStyle name="40% - Ênfase4 2 2 2 7" xfId="14060"/>
    <cellStyle name="40% - Ênfase4 2 2 2 2 5" xfId="14061"/>
    <cellStyle name="40% - Ênfase4 2 2 2 3 5" xfId="14062"/>
    <cellStyle name="40% - Ênfase4 2 2 3 5" xfId="14063"/>
    <cellStyle name="40% - Ênfase4 2 2 4 5" xfId="14064"/>
    <cellStyle name="40% - Ênfase4 2 2 5 5" xfId="14065"/>
    <cellStyle name="40% - Ênfase4 2 3 9" xfId="14066"/>
    <cellStyle name="40% - Ênfase4 2 3 2 7" xfId="14067"/>
    <cellStyle name="40% - Ênfase4 2 3 2 2 5" xfId="14068"/>
    <cellStyle name="40% - Ênfase4 2 3 2 3 5" xfId="14069"/>
    <cellStyle name="40% - Ênfase4 2 3 3 5" xfId="14070"/>
    <cellStyle name="40% - Ênfase4 2 3 4 5" xfId="14071"/>
    <cellStyle name="40% - Ênfase4 2 5 7" xfId="14072"/>
    <cellStyle name="40% - Ênfase4 2 5 2 5" xfId="14073"/>
    <cellStyle name="40% - Ênfase4 2 5 3 5" xfId="14074"/>
    <cellStyle name="40% - Ênfase4 3 12" xfId="14075"/>
    <cellStyle name="40% - Ênfase4 3 2 9" xfId="14076"/>
    <cellStyle name="40% - Ênfase4 3 2 2 7" xfId="14077"/>
    <cellStyle name="40% - Ênfase4 3 2 2 2 5" xfId="14078"/>
    <cellStyle name="40% - Ênfase4 3 2 2 3 5" xfId="14079"/>
    <cellStyle name="40% - Ênfase4 3 2 3 5" xfId="14080"/>
    <cellStyle name="40% - Ênfase4 3 2 4 5" xfId="14081"/>
    <cellStyle name="40% - Ênfase4 3 3 8" xfId="14082"/>
    <cellStyle name="40% - Ênfase4 3 3 2 5" xfId="14083"/>
    <cellStyle name="40% - Ênfase4 3 3 3 5" xfId="14084"/>
    <cellStyle name="40% - Ênfase4 3 4 7" xfId="14085"/>
    <cellStyle name="40% - Ênfase4 3 4 2 5" xfId="14086"/>
    <cellStyle name="40% - Ênfase4 3 4 3 5" xfId="14087"/>
    <cellStyle name="40% - Ênfase4 3 5 5" xfId="14088"/>
    <cellStyle name="40% - Ênfase4 3 6 5" xfId="14089"/>
    <cellStyle name="40% - Ênfase4 3 7 5" xfId="14090"/>
    <cellStyle name="40% - Ênfase4 4 12" xfId="14091"/>
    <cellStyle name="40% - Ênfase4 4 2 9" xfId="14092"/>
    <cellStyle name="40% - Ênfase4 4 2 2 7" xfId="14093"/>
    <cellStyle name="40% - Ênfase4 4 2 2 2 5" xfId="14094"/>
    <cellStyle name="40% - Ênfase4 4 2 2 3 5" xfId="14095"/>
    <cellStyle name="40% - Ênfase4 4 2 3 5" xfId="14096"/>
    <cellStyle name="40% - Ênfase4 4 2 4 5" xfId="14097"/>
    <cellStyle name="40% - Ênfase4 4 3 8" xfId="14098"/>
    <cellStyle name="40% - Ênfase4 4 3 2 5" xfId="14099"/>
    <cellStyle name="40% - Ênfase4 4 3 3 5" xfId="14100"/>
    <cellStyle name="40% - Ênfase4 4 4 7" xfId="14101"/>
    <cellStyle name="40% - Ênfase4 4 4 2 5" xfId="14102"/>
    <cellStyle name="40% - Ênfase4 4 4 3 5" xfId="14103"/>
    <cellStyle name="40% - Ênfase4 4 5 5" xfId="14104"/>
    <cellStyle name="40% - Ênfase4 4 6 5" xfId="14105"/>
    <cellStyle name="40% - Ênfase4 4 7 5" xfId="14106"/>
    <cellStyle name="40% - Ênfase4 5 10" xfId="14107"/>
    <cellStyle name="40% - Ênfase4 5 2 7" xfId="14108"/>
    <cellStyle name="40% - Ênfase4 5 2 2 5" xfId="14109"/>
    <cellStyle name="40% - Ênfase4 5 2 3 5" xfId="14110"/>
    <cellStyle name="40% - Ênfase4 5 3 5" xfId="14111"/>
    <cellStyle name="40% - Ênfase4 5 4 5" xfId="14112"/>
    <cellStyle name="40% - Ênfase4 5 5 5" xfId="14113"/>
    <cellStyle name="40% - Ênfase4 6 9" xfId="14114"/>
    <cellStyle name="40% - Ênfase4 6 2 7" xfId="14115"/>
    <cellStyle name="40% - Ênfase4 6 2 2 5" xfId="14116"/>
    <cellStyle name="40% - Ênfase4 6 2 3 5" xfId="14117"/>
    <cellStyle name="40% - Ênfase4 6 3 5" xfId="14118"/>
    <cellStyle name="40% - Ênfase4 6 4 5" xfId="14119"/>
    <cellStyle name="40% - Ênfase4 8 7" xfId="14120"/>
    <cellStyle name="40% - Ênfase4 8 2 5" xfId="14121"/>
    <cellStyle name="40% - Ênfase4 8 3 5" xfId="14122"/>
    <cellStyle name="40% - Ênfase5 2 2 10" xfId="14123"/>
    <cellStyle name="40% - Ênfase5 2 2 2 7" xfId="14124"/>
    <cellStyle name="40% - Ênfase5 2 2 2 2 5" xfId="14125"/>
    <cellStyle name="40% - Ênfase5 2 2 2 3 5" xfId="14126"/>
    <cellStyle name="40% - Ênfase5 2 2 3 5" xfId="14127"/>
    <cellStyle name="40% - Ênfase5 2 2 4 5" xfId="14128"/>
    <cellStyle name="40% - Ênfase5 2 2 5 5" xfId="14129"/>
    <cellStyle name="40% - Ênfase5 2 3 9" xfId="14130"/>
    <cellStyle name="40% - Ênfase5 2 3 2 7" xfId="14131"/>
    <cellStyle name="40% - Ênfase5 2 3 2 2 5" xfId="14132"/>
    <cellStyle name="40% - Ênfase5 2 3 2 3 5" xfId="14133"/>
    <cellStyle name="40% - Ênfase5 2 3 3 5" xfId="14134"/>
    <cellStyle name="40% - Ênfase5 2 3 4 5" xfId="14135"/>
    <cellStyle name="40% - Ênfase5 2 5 7" xfId="14136"/>
    <cellStyle name="40% - Ênfase5 2 5 2 5" xfId="14137"/>
    <cellStyle name="40% - Ênfase5 2 5 3 5" xfId="14138"/>
    <cellStyle name="40% - Ênfase5 3 12" xfId="14139"/>
    <cellStyle name="40% - Ênfase5 3 2 9" xfId="14140"/>
    <cellStyle name="40% - Ênfase5 3 2 2 7" xfId="14141"/>
    <cellStyle name="40% - Ênfase5 3 2 2 2 5" xfId="14142"/>
    <cellStyle name="40% - Ênfase5 3 2 2 3 5" xfId="14143"/>
    <cellStyle name="40% - Ênfase5 3 2 3 5" xfId="14144"/>
    <cellStyle name="40% - Ênfase5 3 2 4 5" xfId="14145"/>
    <cellStyle name="40% - Ênfase5 3 3 8" xfId="14146"/>
    <cellStyle name="40% - Ênfase5 3 3 2 5" xfId="14147"/>
    <cellStyle name="40% - Ênfase5 3 3 3 5" xfId="14148"/>
    <cellStyle name="40% - Ênfase5 3 4 7" xfId="14149"/>
    <cellStyle name="40% - Ênfase5 3 4 2 5" xfId="14150"/>
    <cellStyle name="40% - Ênfase5 3 4 3 5" xfId="14151"/>
    <cellStyle name="40% - Ênfase5 3 5 5" xfId="14152"/>
    <cellStyle name="40% - Ênfase5 3 6 5" xfId="14153"/>
    <cellStyle name="40% - Ênfase5 3 7 5" xfId="14154"/>
    <cellStyle name="40% - Ênfase5 4 12" xfId="14155"/>
    <cellStyle name="40% - Ênfase5 4 2 9" xfId="14156"/>
    <cellStyle name="40% - Ênfase5 4 2 2 7" xfId="14157"/>
    <cellStyle name="40% - Ênfase5 4 2 2 2 5" xfId="14158"/>
    <cellStyle name="40% - Ênfase5 4 2 2 3 5" xfId="14159"/>
    <cellStyle name="40% - Ênfase5 4 2 3 5" xfId="14160"/>
    <cellStyle name="40% - Ênfase5 4 2 4 5" xfId="14161"/>
    <cellStyle name="40% - Ênfase5 4 3 8" xfId="14162"/>
    <cellStyle name="40% - Ênfase5 4 3 2 5" xfId="14163"/>
    <cellStyle name="40% - Ênfase5 4 3 3 5" xfId="14164"/>
    <cellStyle name="40% - Ênfase5 4 4 7" xfId="14165"/>
    <cellStyle name="40% - Ênfase5 4 4 2 5" xfId="14166"/>
    <cellStyle name="40% - Ênfase5 4 4 3 5" xfId="14167"/>
    <cellStyle name="40% - Ênfase5 4 5 5" xfId="14168"/>
    <cellStyle name="40% - Ênfase5 4 6 5" xfId="14169"/>
    <cellStyle name="40% - Ênfase5 4 7 5" xfId="14170"/>
    <cellStyle name="40% - Ênfase5 5 10" xfId="14171"/>
    <cellStyle name="40% - Ênfase5 5 2 7" xfId="14172"/>
    <cellStyle name="40% - Ênfase5 5 2 2 5" xfId="14173"/>
    <cellStyle name="40% - Ênfase5 5 2 3 5" xfId="14174"/>
    <cellStyle name="40% - Ênfase5 5 3 5" xfId="14175"/>
    <cellStyle name="40% - Ênfase5 5 4 5" xfId="14176"/>
    <cellStyle name="40% - Ênfase5 5 5 5" xfId="14177"/>
    <cellStyle name="40% - Ênfase5 6 9" xfId="14178"/>
    <cellStyle name="40% - Ênfase5 6 2 7" xfId="14179"/>
    <cellStyle name="40% - Ênfase5 6 2 2 5" xfId="14180"/>
    <cellStyle name="40% - Ênfase5 6 2 3 5" xfId="14181"/>
    <cellStyle name="40% - Ênfase5 6 3 5" xfId="14182"/>
    <cellStyle name="40% - Ênfase5 6 4 5" xfId="14183"/>
    <cellStyle name="40% - Ênfase5 8 7" xfId="14184"/>
    <cellStyle name="40% - Ênfase5 8 2 5" xfId="14185"/>
    <cellStyle name="40% - Ênfase5 8 3 5" xfId="14186"/>
    <cellStyle name="40% - Ênfase6 2 2 10" xfId="14187"/>
    <cellStyle name="40% - Ênfase6 2 2 2 7" xfId="14188"/>
    <cellStyle name="40% - Ênfase6 2 2 2 2 5" xfId="14189"/>
    <cellStyle name="40% - Ênfase6 2 2 2 3 5" xfId="14190"/>
    <cellStyle name="40% - Ênfase6 2 2 3 5" xfId="14191"/>
    <cellStyle name="40% - Ênfase6 2 2 4 5" xfId="14192"/>
    <cellStyle name="40% - Ênfase6 2 2 5 5" xfId="14193"/>
    <cellStyle name="40% - Ênfase6 2 3 9" xfId="14194"/>
    <cellStyle name="40% - Ênfase6 2 3 2 7" xfId="14195"/>
    <cellStyle name="40% - Ênfase6 2 3 2 2 5" xfId="14196"/>
    <cellStyle name="40% - Ênfase6 2 3 2 3 5" xfId="14197"/>
    <cellStyle name="40% - Ênfase6 2 3 3 5" xfId="14198"/>
    <cellStyle name="40% - Ênfase6 2 3 4 5" xfId="14199"/>
    <cellStyle name="40% - Ênfase6 2 5 7" xfId="14200"/>
    <cellStyle name="40% - Ênfase6 2 5 2 5" xfId="14201"/>
    <cellStyle name="40% - Ênfase6 2 5 3 5" xfId="14202"/>
    <cellStyle name="40% - Ênfase6 3 12" xfId="14203"/>
    <cellStyle name="40% - Ênfase6 3 2 9" xfId="14204"/>
    <cellStyle name="40% - Ênfase6 3 2 2 7" xfId="14205"/>
    <cellStyle name="40% - Ênfase6 3 2 2 2 5" xfId="14206"/>
    <cellStyle name="40% - Ênfase6 3 2 2 3 5" xfId="14207"/>
    <cellStyle name="40% - Ênfase6 3 2 3 5" xfId="14208"/>
    <cellStyle name="40% - Ênfase6 3 2 4 5" xfId="14209"/>
    <cellStyle name="40% - Ênfase6 3 3 8" xfId="14210"/>
    <cellStyle name="40% - Ênfase6 3 3 2 5" xfId="14211"/>
    <cellStyle name="40% - Ênfase6 3 3 3 5" xfId="14212"/>
    <cellStyle name="40% - Ênfase6 3 4 7" xfId="14213"/>
    <cellStyle name="40% - Ênfase6 3 4 2 5" xfId="14214"/>
    <cellStyle name="40% - Ênfase6 3 4 3 5" xfId="14215"/>
    <cellStyle name="40% - Ênfase6 3 5 5" xfId="14216"/>
    <cellStyle name="40% - Ênfase6 3 6 5" xfId="14217"/>
    <cellStyle name="40% - Ênfase6 3 7 5" xfId="14218"/>
    <cellStyle name="40% - Ênfase6 4 12" xfId="14219"/>
    <cellStyle name="40% - Ênfase6 4 2 9" xfId="14220"/>
    <cellStyle name="40% - Ênfase6 4 2 2 7" xfId="14221"/>
    <cellStyle name="40% - Ênfase6 4 2 2 2 5" xfId="14222"/>
    <cellStyle name="40% - Ênfase6 4 2 2 3 5" xfId="14223"/>
    <cellStyle name="40% - Ênfase6 4 2 3 5" xfId="14224"/>
    <cellStyle name="40% - Ênfase6 4 2 4 5" xfId="14225"/>
    <cellStyle name="40% - Ênfase6 4 3 8" xfId="14226"/>
    <cellStyle name="40% - Ênfase6 4 3 2 5" xfId="14227"/>
    <cellStyle name="40% - Ênfase6 4 3 3 5" xfId="14228"/>
    <cellStyle name="40% - Ênfase6 4 4 7" xfId="14229"/>
    <cellStyle name="40% - Ênfase6 4 4 2 5" xfId="14230"/>
    <cellStyle name="40% - Ênfase6 4 4 3 5" xfId="14231"/>
    <cellStyle name="40% - Ênfase6 4 5 5" xfId="14232"/>
    <cellStyle name="40% - Ênfase6 4 6 5" xfId="14233"/>
    <cellStyle name="40% - Ênfase6 4 7 5" xfId="14234"/>
    <cellStyle name="40% - Ênfase6 5 10" xfId="14235"/>
    <cellStyle name="40% - Ênfase6 5 2 7" xfId="14236"/>
    <cellStyle name="40% - Ênfase6 5 2 2 5" xfId="14237"/>
    <cellStyle name="40% - Ênfase6 5 2 3 5" xfId="14238"/>
    <cellStyle name="40% - Ênfase6 5 3 5" xfId="14239"/>
    <cellStyle name="40% - Ênfase6 5 4 5" xfId="14240"/>
    <cellStyle name="40% - Ênfase6 5 5 5" xfId="14241"/>
    <cellStyle name="40% - Ênfase6 6 9" xfId="14242"/>
    <cellStyle name="40% - Ênfase6 6 2 7" xfId="14243"/>
    <cellStyle name="40% - Ênfase6 6 2 2 5" xfId="14244"/>
    <cellStyle name="40% - Ênfase6 6 2 3 5" xfId="14245"/>
    <cellStyle name="40% - Ênfase6 6 3 5" xfId="14246"/>
    <cellStyle name="40% - Ênfase6 6 4 5" xfId="14247"/>
    <cellStyle name="40% - Ênfase6 8 7" xfId="14248"/>
    <cellStyle name="40% - Ênfase6 8 2 5" xfId="14249"/>
    <cellStyle name="40% - Ênfase6 8 3 5" xfId="14250"/>
    <cellStyle name="Calculation 5 2" xfId="14251"/>
    <cellStyle name="Calculation 2 2 2" xfId="14252"/>
    <cellStyle name="Cálculo 3 2 2" xfId="14253"/>
    <cellStyle name="Entrada 3 2 2" xfId="14254"/>
    <cellStyle name="Entrada 4 2 2" xfId="14255"/>
    <cellStyle name="Input 2 2 2" xfId="14256"/>
    <cellStyle name="Normal 3 3 8" xfId="14257"/>
    <cellStyle name="Normal 3 3 2 5" xfId="14258"/>
    <cellStyle name="Normal 3 3 3 5" xfId="14259"/>
    <cellStyle name="Normal 3 4 5" xfId="14260"/>
    <cellStyle name="Normal 3 5 5" xfId="14261"/>
    <cellStyle name="Normal 3 6 5" xfId="14262"/>
    <cellStyle name="Normal 4 2 10" xfId="14263"/>
    <cellStyle name="Normal 4 2 2 7" xfId="14264"/>
    <cellStyle name="Normal 4 2 2 2 5" xfId="14265"/>
    <cellStyle name="Normal 4 2 2 3 5" xfId="14266"/>
    <cellStyle name="Normal 4 2 3 5" xfId="14267"/>
    <cellStyle name="Normal 4 2 4 5" xfId="14268"/>
    <cellStyle name="Normal 4 2 5 5" xfId="14269"/>
    <cellStyle name="Normal 4 3 9" xfId="14270"/>
    <cellStyle name="Normal 4 3 2 7" xfId="14271"/>
    <cellStyle name="Normal 4 3 2 2 5" xfId="14272"/>
    <cellStyle name="Normal 4 3 2 3 5" xfId="14273"/>
    <cellStyle name="Normal 4 3 3 5" xfId="14274"/>
    <cellStyle name="Normal 4 3 4 5" xfId="14275"/>
    <cellStyle name="Normal 4 5 7" xfId="14276"/>
    <cellStyle name="Normal 4 5 2 5" xfId="14277"/>
    <cellStyle name="Normal 4 5 3 5" xfId="14278"/>
    <cellStyle name="Normal 5 2 11" xfId="14279"/>
    <cellStyle name="Normal 5 2 2 7" xfId="14280"/>
    <cellStyle name="Normal 5 2 2 2 5" xfId="14281"/>
    <cellStyle name="Normal 5 2 2 3 5" xfId="14282"/>
    <cellStyle name="Normal 5 2 3 5" xfId="14283"/>
    <cellStyle name="Normal 5 2 4 5" xfId="14284"/>
    <cellStyle name="Normal 5 2 5 5" xfId="14285"/>
    <cellStyle name="Normal 5 3 9" xfId="14286"/>
    <cellStyle name="Normal 5 3 2 7" xfId="14287"/>
    <cellStyle name="Normal 5 3 2 2 5" xfId="14288"/>
    <cellStyle name="Normal 5 3 2 3 5" xfId="14289"/>
    <cellStyle name="Normal 5 3 3 5" xfId="14290"/>
    <cellStyle name="Normal 5 3 4 5" xfId="14291"/>
    <cellStyle name="Normal 5 5 7" xfId="14292"/>
    <cellStyle name="Normal 5 5 2 5" xfId="14293"/>
    <cellStyle name="Normal 5 5 3 5" xfId="14294"/>
    <cellStyle name="Normal 6 4 5" xfId="14295"/>
    <cellStyle name="Normal 7 2 6 4" xfId="14296"/>
    <cellStyle name="Normal 7 2 2 4 4" xfId="14297"/>
    <cellStyle name="Normal 7 2 2 2 5" xfId="14298"/>
    <cellStyle name="Normal 7 2 2 3 5" xfId="14299"/>
    <cellStyle name="Normal 7 2 3 5" xfId="14300"/>
    <cellStyle name="Normal 7 2 4 5" xfId="14301"/>
    <cellStyle name="Normal 7 2 5 5" xfId="14302"/>
    <cellStyle name="Normal 7 3 5 4" xfId="14303"/>
    <cellStyle name="Normal 7 3 2 7" xfId="14304"/>
    <cellStyle name="Normal 7 3 2 2 5" xfId="14305"/>
    <cellStyle name="Normal 7 3 2 3 5" xfId="14306"/>
    <cellStyle name="Normal 7 3 3 5" xfId="14307"/>
    <cellStyle name="Normal 7 3 4 5" xfId="14308"/>
    <cellStyle name="Normal 7 5 7" xfId="14309"/>
    <cellStyle name="Normal 7 5 2 5" xfId="14310"/>
    <cellStyle name="Normal 7 5 3 5" xfId="14311"/>
    <cellStyle name="Normal 8 9 4" xfId="14312"/>
    <cellStyle name="Normal 8 2 5 4" xfId="14313"/>
    <cellStyle name="Normal 8 2 2 4 4" xfId="14314"/>
    <cellStyle name="Normal 8 2 2 2 5" xfId="14315"/>
    <cellStyle name="Normal 8 2 2 3 5" xfId="14316"/>
    <cellStyle name="Normal 8 2 3 5" xfId="14317"/>
    <cellStyle name="Normal 8 2 4 5" xfId="14318"/>
    <cellStyle name="Normal 8 3 4 4" xfId="14319"/>
    <cellStyle name="Normal 8 3 2 2 4" xfId="14320"/>
    <cellStyle name="Normal 8 3 3 5" xfId="14321"/>
    <cellStyle name="Normal 8 4 4 4" xfId="14322"/>
    <cellStyle name="Normal 8 4 2 2 4" xfId="14323"/>
    <cellStyle name="Normal 8 4 3 5" xfId="14324"/>
    <cellStyle name="Normal 8 5 4 3" xfId="14325"/>
    <cellStyle name="Normal 8 6 2 4" xfId="14326"/>
    <cellStyle name="Normal 8 7 5" xfId="14327"/>
    <cellStyle name="Nota 2 2 10" xfId="14328"/>
    <cellStyle name="Nota 2 2 2 7" xfId="14329"/>
    <cellStyle name="Nota 2 2 2 2 5" xfId="14330"/>
    <cellStyle name="Nota 2 2 2 3 5" xfId="14331"/>
    <cellStyle name="Nota 2 2 3 5" xfId="14332"/>
    <cellStyle name="Nota 2 2 4 5" xfId="14333"/>
    <cellStyle name="Nota 2 2 5 5" xfId="14334"/>
    <cellStyle name="Nota 2 3 9" xfId="14335"/>
    <cellStyle name="Nota 2 3 2 7" xfId="14336"/>
    <cellStyle name="Nota 2 3 2 2 5" xfId="14337"/>
    <cellStyle name="Nota 2 3 2 3 5" xfId="14338"/>
    <cellStyle name="Nota 2 3 3 5" xfId="14339"/>
    <cellStyle name="Nota 2 3 4 5" xfId="14340"/>
    <cellStyle name="Nota 2 5 7" xfId="14341"/>
    <cellStyle name="Nota 2 5 2 5" xfId="14342"/>
    <cellStyle name="Nota 2 5 3 5" xfId="14343"/>
    <cellStyle name="Nota 3 6 4" xfId="14344"/>
    <cellStyle name="Nota 3 2 10" xfId="14345"/>
    <cellStyle name="Nota 3 2 2 7" xfId="14346"/>
    <cellStyle name="Nota 3 2 2 2 5" xfId="14347"/>
    <cellStyle name="Nota 3 2 2 3 5" xfId="14348"/>
    <cellStyle name="Nota 3 2 3 5" xfId="14349"/>
    <cellStyle name="Nota 3 2 4 5" xfId="14350"/>
    <cellStyle name="Nota 3 2 5 5" xfId="14351"/>
    <cellStyle name="Nota 3 3 9" xfId="14352"/>
    <cellStyle name="Nota 3 3 2 7" xfId="14353"/>
    <cellStyle name="Nota 3 3 2 2 5" xfId="14354"/>
    <cellStyle name="Nota 3 3 2 3 5" xfId="14355"/>
    <cellStyle name="Nota 3 3 3 5" xfId="14356"/>
    <cellStyle name="Nota 3 3 4 5" xfId="14357"/>
    <cellStyle name="Nota 3 5 7" xfId="14358"/>
    <cellStyle name="Nota 3 5 2 5" xfId="14359"/>
    <cellStyle name="Nota 3 5 3 5" xfId="14360"/>
    <cellStyle name="Nota 4 8 4" xfId="14361"/>
    <cellStyle name="Nota 4 2 9" xfId="14362"/>
    <cellStyle name="Nota 4 2 2 7" xfId="14363"/>
    <cellStyle name="Nota 4 2 2 2 5" xfId="14364"/>
    <cellStyle name="Nota 4 2 2 3 5" xfId="14365"/>
    <cellStyle name="Nota 4 2 3 5" xfId="14366"/>
    <cellStyle name="Nota 4 2 4 5" xfId="14367"/>
    <cellStyle name="Nota 4 3 8" xfId="14368"/>
    <cellStyle name="Nota 4 3 2 5" xfId="14369"/>
    <cellStyle name="Nota 4 3 3 5" xfId="14370"/>
    <cellStyle name="Nota 4 4 7" xfId="14371"/>
    <cellStyle name="Nota 4 4 2 5" xfId="14372"/>
    <cellStyle name="Nota 4 4 3 5" xfId="14373"/>
    <cellStyle name="Nota 4 5 5" xfId="14374"/>
    <cellStyle name="Nota 4 6 5" xfId="14375"/>
    <cellStyle name="Nota 4 7 5" xfId="14376"/>
    <cellStyle name="Nota 5 12" xfId="14377"/>
    <cellStyle name="Nota 5 2 9" xfId="14378"/>
    <cellStyle name="Nota 5 2 2 7" xfId="14379"/>
    <cellStyle name="Nota 5 2 2 2 5" xfId="14380"/>
    <cellStyle name="Nota 5 2 2 3 5" xfId="14381"/>
    <cellStyle name="Nota 5 2 3 5" xfId="14382"/>
    <cellStyle name="Nota 5 2 4 5" xfId="14383"/>
    <cellStyle name="Nota 5 3 8" xfId="14384"/>
    <cellStyle name="Nota 5 3 2 5" xfId="14385"/>
    <cellStyle name="Nota 5 3 3 5" xfId="14386"/>
    <cellStyle name="Nota 5 4 7" xfId="14387"/>
    <cellStyle name="Nota 5 4 2 5" xfId="14388"/>
    <cellStyle name="Nota 5 4 3 5" xfId="14389"/>
    <cellStyle name="Nota 5 5 5" xfId="14390"/>
    <cellStyle name="Nota 5 6 5" xfId="14391"/>
    <cellStyle name="Nota 5 7 5" xfId="14392"/>
    <cellStyle name="Note 3 2 2" xfId="14393"/>
    <cellStyle name="Note 4 2 2" xfId="14394"/>
    <cellStyle name="Output 2 3 2" xfId="14395"/>
    <cellStyle name="Saída 2 3 2 2" xfId="14396"/>
    <cellStyle name="Saída 3 3 2" xfId="14397"/>
    <cellStyle name="Saída 4 2 2" xfId="14398"/>
    <cellStyle name="SAPBEXaggData 4 2 2" xfId="14399"/>
    <cellStyle name="SAPBEXaggData 5 2 2" xfId="14400"/>
    <cellStyle name="SAPBEXaggDataEmph 4 2 2" xfId="14401"/>
    <cellStyle name="SAPBEXaggDataEmph 5 2 2" xfId="14402"/>
    <cellStyle name="SAPBEXaggItem 4 3 2" xfId="14403"/>
    <cellStyle name="SAPBEXaggItem 5 2 2" xfId="14404"/>
    <cellStyle name="SAPBEXaggItemX 3 3 2" xfId="14405"/>
    <cellStyle name="SAPBEXaggItemX 4 2 2" xfId="14406"/>
    <cellStyle name="SAPBEXexcBad7 4 2 2" xfId="14407"/>
    <cellStyle name="SAPBEXexcBad7 5 2 2" xfId="14408"/>
    <cellStyle name="SAPBEXexcBad8 4 2 2" xfId="14409"/>
    <cellStyle name="SAPBEXexcBad8 5 2 2" xfId="14410"/>
    <cellStyle name="SAPBEXexcBad9 3 3 2" xfId="14411"/>
    <cellStyle name="SAPBEXexcBad9 4 2 2" xfId="14412"/>
    <cellStyle name="SAPBEXexcBad9 5 2 2" xfId="14413"/>
    <cellStyle name="SAPBEXexcCritical4 4 2 2" xfId="14414"/>
    <cellStyle name="SAPBEXexcCritical4 5 2 2" xfId="14415"/>
    <cellStyle name="SAPBEXexcCritical5 4 2 2" xfId="14416"/>
    <cellStyle name="SAPBEXexcCritical5 5 2 2" xfId="14417"/>
    <cellStyle name="SAPBEXexcCritical6 4 2 2" xfId="14418"/>
    <cellStyle name="SAPBEXexcCritical6 5 2 2" xfId="14419"/>
    <cellStyle name="SAPBEXexcGood1 4 2 2" xfId="14420"/>
    <cellStyle name="SAPBEXexcGood1 5 2 2" xfId="14421"/>
    <cellStyle name="SAPBEXexcGood2 4 2 2" xfId="14422"/>
    <cellStyle name="SAPBEXexcGood2 5 2 2" xfId="14423"/>
    <cellStyle name="SAPBEXexcGood3 4 2 2" xfId="14424"/>
    <cellStyle name="SAPBEXexcGood3 5 2 2" xfId="14425"/>
    <cellStyle name="SAPBEXformats 2 2 2 2" xfId="14426"/>
    <cellStyle name="SAPBEXformats 2 3 2 2" xfId="14427"/>
    <cellStyle name="SAPBEXformats 4 2 2" xfId="14428"/>
    <cellStyle name="SAPBEXformats 5 2 2" xfId="14429"/>
    <cellStyle name="SAPBEXHLevel0 4 3 2" xfId="14430"/>
    <cellStyle name="SAPBEXHLevel0 5 3 2" xfId="14431"/>
    <cellStyle name="SAPBEXHLevel0X 4 3 2" xfId="14432"/>
    <cellStyle name="SAPBEXHLevel0X 5 2 2" xfId="14433"/>
    <cellStyle name="SAPBEXHLevel1 4 3 2" xfId="14434"/>
    <cellStyle name="SAPBEXHLevel1X 4 3 2" xfId="14435"/>
    <cellStyle name="SAPBEXHLevel1X 5 2 2" xfId="14436"/>
    <cellStyle name="SAPBEXHLevel2 4 3 2" xfId="14437"/>
    <cellStyle name="SAPBEXHLevel2X 4 3 2" xfId="14438"/>
    <cellStyle name="SAPBEXHLevel2X 5 2 2" xfId="14439"/>
    <cellStyle name="SAPBEXHLevel3 4 3 2" xfId="14440"/>
    <cellStyle name="SAPBEXHLevel3 5 3 2" xfId="14441"/>
    <cellStyle name="SAPBEXHLevel3X 4 3 2" xfId="14442"/>
    <cellStyle name="SAPBEXHLevel3X 5 2 2" xfId="14443"/>
    <cellStyle name="SAPBEXresData 4 2 2" xfId="14444"/>
    <cellStyle name="SAPBEXresData 5 2 2" xfId="14445"/>
    <cellStyle name="SAPBEXresDataEmph 3 3 2" xfId="14446"/>
    <cellStyle name="SAPBEXresDataEmph 4 2 2" xfId="14447"/>
    <cellStyle name="SAPBEXresDataEmph 5 2 2" xfId="14448"/>
    <cellStyle name="SAPBEXresItem 4 2 2" xfId="14449"/>
    <cellStyle name="SAPBEXresItemX 4 2 2" xfId="14450"/>
    <cellStyle name="SAPBEXresItemX 5 2 2" xfId="14451"/>
    <cellStyle name="SAPBEXstdData 4 2 2" xfId="14452"/>
    <cellStyle name="SAPBEXstdData 5 2 2" xfId="14453"/>
    <cellStyle name="SAPBEXstdDataEmph 4 2 2" xfId="14454"/>
    <cellStyle name="SAPBEXstdDataEmph 5 2 2" xfId="14455"/>
    <cellStyle name="SAPBEXstdItem 2 2 2 2" xfId="14456"/>
    <cellStyle name="SAPBEXstdItem 2 3 2 2" xfId="14457"/>
    <cellStyle name="SAPBEXstdItem 4 3 2" xfId="14458"/>
    <cellStyle name="SAPBEXstdItem 5 2 2" xfId="14459"/>
    <cellStyle name="SAPBEXstdItemX 3 3 2" xfId="14460"/>
    <cellStyle name="SAPBEXstdItemX 4 3 2" xfId="14461"/>
    <cellStyle name="SAPBEXundefined 4 2 2" xfId="14462"/>
    <cellStyle name="SAPBEXundefined 5 2 2" xfId="14463"/>
    <cellStyle name="Separador de milhares 2 2 4 4" xfId="14464"/>
    <cellStyle name="Separador de milhares 2 2 2 4" xfId="14465"/>
    <cellStyle name="Separador de milhares 2 2 3 4" xfId="14466"/>
    <cellStyle name="Separador de milhares 2 3 2 4" xfId="14467"/>
    <cellStyle name="Separador de milhares 2 4 4" xfId="14468"/>
    <cellStyle name="Separador de milhares 2 5 4" xfId="14469"/>
    <cellStyle name="Separador de milhares 2 6 4" xfId="14470"/>
    <cellStyle name="Separador de milhares 3 2 4 4" xfId="14471"/>
    <cellStyle name="Separador de milhares 3 2 2 4" xfId="14472"/>
    <cellStyle name="Separador de milhares 3 2 3 4" xfId="14473"/>
    <cellStyle name="Separador de milhares 3 4 2 4" xfId="14474"/>
    <cellStyle name="Separador de milhares 4 4 4" xfId="14475"/>
    <cellStyle name="Separador de milhares 4 2 3 4" xfId="14476"/>
    <cellStyle name="Separador de milhares 4 2 2 4" xfId="14477"/>
    <cellStyle name="Separador de milhares 4 3 2 4" xfId="14478"/>
    <cellStyle name="Separador de milhares 5 2 3 4" xfId="14479"/>
    <cellStyle name="Separador de milhares 5 2 2 4" xfId="14480"/>
    <cellStyle name="Separador de milhares 5 3 2 4" xfId="14481"/>
    <cellStyle name="Separador de milhares 5 4 4" xfId="14482"/>
    <cellStyle name="Separador de milhares 6 5 4" xfId="14483"/>
    <cellStyle name="Separador de milhares 6 2 3 4" xfId="14484"/>
    <cellStyle name="Separador de milhares 6 2 2 4" xfId="14485"/>
    <cellStyle name="Separador de milhares 6 3 2 4" xfId="14486"/>
    <cellStyle name="Separador de milhares 6 4 4" xfId="14487"/>
    <cellStyle name="Separador de milhares 7 3 2 3" xfId="14488"/>
    <cellStyle name="Total 3 2 2" xfId="14489"/>
    <cellStyle name="Vírgula 2 6 4" xfId="14490"/>
    <cellStyle name="Vírgula 2 2 7" xfId="14491"/>
    <cellStyle name="Vírgula 2 2 2 4" xfId="14492"/>
    <cellStyle name="Vírgula 2 3 6" xfId="14493"/>
    <cellStyle name="Vírgula 2 3 2 4" xfId="14494"/>
    <cellStyle name="Vírgula 2 4 4" xfId="14495"/>
    <cellStyle name="Vírgula 2 5 4" xfId="14496"/>
    <cellStyle name="Vírgula 3 4 4" xfId="14497"/>
    <cellStyle name="Vírgula 3 2 5" xfId="14498"/>
    <cellStyle name="Vírgula 3 3 4" xfId="14499"/>
    <cellStyle name="Vírgula 4 4 4" xfId="14500"/>
    <cellStyle name="Vírgula 4 2 3 3" xfId="14501"/>
    <cellStyle name="Vírgula 4 2 2 2 4" xfId="14502"/>
    <cellStyle name="Vírgula 4 3 5" xfId="14503"/>
    <cellStyle name="Vírgula 5 3 4" xfId="14504"/>
    <cellStyle name="Vírgula 5 2 4" xfId="14505"/>
    <cellStyle name="Vírgula 6 2 3" xfId="14506"/>
    <cellStyle name="Vírgula 8 2 2 4" xfId="14507"/>
    <cellStyle name="Vírgula 9 2 3" xfId="14508"/>
    <cellStyle name="Comma 4 3 3" xfId="14509"/>
    <cellStyle name="Comma 5 3 3" xfId="14510"/>
    <cellStyle name="Comma 6 3" xfId="14511"/>
    <cellStyle name="Comma 7 3" xfId="14512"/>
    <cellStyle name="Vírgula 10 6" xfId="14513"/>
    <cellStyle name="Comma 8 3" xfId="14514"/>
    <cellStyle name="Comma 9 3" xfId="14515"/>
    <cellStyle name="Comma 10 3" xfId="14516"/>
    <cellStyle name="Vírgula 10 2 4" xfId="14517"/>
    <cellStyle name="Separador de milhares 2 7 2 4" xfId="14518"/>
    <cellStyle name="Comma 11 3" xfId="14519"/>
    <cellStyle name="Vírgula 10 3 4" xfId="14520"/>
    <cellStyle name="Separador de milhares 2 7 3 4" xfId="14521"/>
    <cellStyle name="Porcentagem 12 4" xfId="14522"/>
    <cellStyle name="Normal 55 3" xfId="14523"/>
    <cellStyle name="Percent 14 3" xfId="14524"/>
    <cellStyle name="Normal 3 9 4" xfId="14525"/>
    <cellStyle name="Vírgula 11 3" xfId="14526"/>
    <cellStyle name="Normal 3 7 2 4" xfId="14527"/>
    <cellStyle name="SAPBEXexcBad9 3 2 2 2" xfId="14528"/>
    <cellStyle name="SAPBEXresDataEmph 3 2 2 2" xfId="14529"/>
    <cellStyle name="Total 4 2 2" xfId="14530"/>
    <cellStyle name="20% - Ênfase1 5 6 4" xfId="14531"/>
    <cellStyle name="40% - Ênfase1 5 6 4" xfId="14532"/>
    <cellStyle name="20% - Ênfase2 5 6 4" xfId="14533"/>
    <cellStyle name="40% - Ênfase2 5 6 4" xfId="14534"/>
    <cellStyle name="20% - Ênfase3 5 6 4" xfId="14535"/>
    <cellStyle name="40% - Ênfase3 5 6 4" xfId="14536"/>
    <cellStyle name="20% - Ênfase4 5 6 4" xfId="14537"/>
    <cellStyle name="40% - Ênfase4 5 6 4" xfId="14538"/>
    <cellStyle name="20% - Ênfase5 5 6 4" xfId="14539"/>
    <cellStyle name="40% - Ênfase5 5 6 4" xfId="14540"/>
    <cellStyle name="20% - Ênfase6 5 6 4" xfId="14541"/>
    <cellStyle name="40% - Ênfase6 5 6 4" xfId="14542"/>
    <cellStyle name="Normal 4 2 6 4" xfId="14543"/>
    <cellStyle name="Nota 2 2 6 4" xfId="14544"/>
    <cellStyle name="Normal 5 2 7 4" xfId="14545"/>
    <cellStyle name="Nota 3 2 6 4" xfId="14546"/>
    <cellStyle name="20% - Ênfase1 2 2 6 4" xfId="14547"/>
    <cellStyle name="40% - Ênfase1 2 2 6 4" xfId="14548"/>
    <cellStyle name="20% - Ênfase2 2 2 6 4" xfId="14549"/>
    <cellStyle name="40% - Ênfase2 2 2 6 4" xfId="14550"/>
    <cellStyle name="20% - Ênfase3 2 2 6 4" xfId="14551"/>
    <cellStyle name="40% - Ênfase3 2 2 6 4" xfId="14552"/>
    <cellStyle name="20% - Ênfase4 2 2 6 4" xfId="14553"/>
    <cellStyle name="40% - Ênfase4 2 2 6 4" xfId="14554"/>
    <cellStyle name="20% - Ênfase5 2 2 6 4" xfId="14555"/>
    <cellStyle name="40% - Ênfase5 2 2 6 4" xfId="14556"/>
    <cellStyle name="20% - Ênfase6 2 2 6 4" xfId="14557"/>
    <cellStyle name="40% - Ênfase6 2 2 6 4" xfId="14558"/>
    <cellStyle name="Normal 7 2 7 4" xfId="14559"/>
    <cellStyle name="Nota 4 9 4" xfId="14560"/>
    <cellStyle name="20% - Ênfase1 3 8 4" xfId="14561"/>
    <cellStyle name="40% - Ênfase1 3 8 4" xfId="14562"/>
    <cellStyle name="20% - Ênfase2 3 8 4" xfId="14563"/>
    <cellStyle name="40% - Ênfase2 3 8 4" xfId="14564"/>
    <cellStyle name="20% - Ênfase3 3 8 4" xfId="14565"/>
    <cellStyle name="40% - Ênfase3 3 8 4" xfId="14566"/>
    <cellStyle name="20% - Ênfase4 3 8 4" xfId="14567"/>
    <cellStyle name="40% - Ênfase4 3 8 4" xfId="14568"/>
    <cellStyle name="20% - Ênfase5 3 8 4" xfId="14569"/>
    <cellStyle name="40% - Ênfase5 3 8 4" xfId="14570"/>
    <cellStyle name="20% - Ênfase6 3 8 4" xfId="14571"/>
    <cellStyle name="40% - Ênfase6 3 8 4" xfId="14572"/>
    <cellStyle name="Normal 8 12 3" xfId="14573"/>
    <cellStyle name="Nota 5 8 4" xfId="14574"/>
    <cellStyle name="20% - Ênfase1 4 8 4" xfId="14575"/>
    <cellStyle name="40% - Ênfase1 4 8 4" xfId="14576"/>
    <cellStyle name="20% - Ênfase2 4 8 4" xfId="14577"/>
    <cellStyle name="40% - Ênfase2 4 8 4" xfId="14578"/>
    <cellStyle name="20% - Ênfase3 4 8 4" xfId="14579"/>
    <cellStyle name="40% - Ênfase3 4 8 4" xfId="14580"/>
    <cellStyle name="20% - Ênfase4 4 8 4" xfId="14581"/>
    <cellStyle name="40% - Ênfase4 4 8 4" xfId="14582"/>
    <cellStyle name="20% - Ênfase5 4 8 4" xfId="14583"/>
    <cellStyle name="40% - Ênfase5 4 8 4" xfId="14584"/>
    <cellStyle name="20% - Ênfase6 4 8 4" xfId="14585"/>
    <cellStyle name="40% - Ênfase6 4 8 4" xfId="14586"/>
    <cellStyle name="20% - Ênfase1 6 5 4" xfId="14587"/>
    <cellStyle name="40% - Ênfase1 6 5 4" xfId="14588"/>
    <cellStyle name="20% - Ênfase2 6 5 4" xfId="14589"/>
    <cellStyle name="40% - Ênfase2 6 5 4" xfId="14590"/>
    <cellStyle name="20% - Ênfase3 6 5 4" xfId="14591"/>
    <cellStyle name="40% - Ênfase3 6 5 4" xfId="14592"/>
    <cellStyle name="20% - Ênfase4 6 5 4" xfId="14593"/>
    <cellStyle name="40% - Ênfase4 6 5 4" xfId="14594"/>
    <cellStyle name="20% - Ênfase5 6 5 4" xfId="14595"/>
    <cellStyle name="40% - Ênfase5 6 5 4" xfId="14596"/>
    <cellStyle name="20% - Ênfase6 6 5 4" xfId="14597"/>
    <cellStyle name="40% - Ênfase6 6 5 4" xfId="14598"/>
    <cellStyle name="Normal 4 3 5 4" xfId="14599"/>
    <cellStyle name="Nota 2 3 5 4" xfId="14600"/>
    <cellStyle name="Normal 5 3 5 4" xfId="14601"/>
    <cellStyle name="Nota 3 3 5 4" xfId="14602"/>
    <cellStyle name="20% - Ênfase1 2 3 5 4" xfId="14603"/>
    <cellStyle name="40% - Ênfase1 2 3 5 4" xfId="14604"/>
    <cellStyle name="20% - Ênfase2 2 3 5 4" xfId="14605"/>
    <cellStyle name="40% - Ênfase2 2 3 5 4" xfId="14606"/>
    <cellStyle name="20% - Ênfase3 2 3 5 4" xfId="14607"/>
    <cellStyle name="40% - Ênfase3 2 3 5 4" xfId="14608"/>
    <cellStyle name="20% - Ênfase4 2 3 5 4" xfId="14609"/>
    <cellStyle name="40% - Ênfase4 2 3 5 4" xfId="14610"/>
    <cellStyle name="20% - Ênfase5 2 3 5 4" xfId="14611"/>
    <cellStyle name="40% - Ênfase5 2 3 5 4" xfId="14612"/>
    <cellStyle name="20% - Ênfase6 2 3 5 4" xfId="14613"/>
    <cellStyle name="40% - Ênfase6 2 3 5 4" xfId="14614"/>
    <cellStyle name="Normal 7 3 6 4" xfId="14615"/>
    <cellStyle name="Nota 4 2 5 4" xfId="14616"/>
    <cellStyle name="20% - Ênfase1 3 2 5 4" xfId="14617"/>
    <cellStyle name="40% - Ênfase1 3 2 5 4" xfId="14618"/>
    <cellStyle name="20% - Ênfase2 3 2 5 4" xfId="14619"/>
    <cellStyle name="40% - Ênfase2 3 2 5 4" xfId="14620"/>
    <cellStyle name="20% - Ênfase3 3 2 5 4" xfId="14621"/>
    <cellStyle name="40% - Ênfase3 3 2 5 4" xfId="14622"/>
    <cellStyle name="20% - Ênfase4 3 2 5 4" xfId="14623"/>
    <cellStyle name="40% - Ênfase4 3 2 5 4" xfId="14624"/>
    <cellStyle name="20% - Ênfase5 3 2 5 4" xfId="14625"/>
    <cellStyle name="40% - Ênfase5 3 2 5 4" xfId="14626"/>
    <cellStyle name="20% - Ênfase6 3 2 5 4" xfId="14627"/>
    <cellStyle name="40% - Ênfase6 3 2 5 4" xfId="14628"/>
    <cellStyle name="Normal 8 2 6 4" xfId="14629"/>
    <cellStyle name="Nota 5 2 5 4" xfId="14630"/>
    <cellStyle name="20% - Ênfase1 4 2 5 4" xfId="14631"/>
    <cellStyle name="40% - Ênfase1 4 2 5 4" xfId="14632"/>
    <cellStyle name="20% - Ênfase2 4 2 5 4" xfId="14633"/>
    <cellStyle name="40% - Ênfase2 4 2 5 4" xfId="14634"/>
    <cellStyle name="20% - Ênfase3 4 2 5 4" xfId="14635"/>
    <cellStyle name="40% - Ênfase3 4 2 5 4" xfId="14636"/>
    <cellStyle name="20% - Ênfase4 4 2 5 4" xfId="14637"/>
    <cellStyle name="40% - Ênfase4 4 2 5 4" xfId="14638"/>
    <cellStyle name="20% - Ênfase5 4 2 5 4" xfId="14639"/>
    <cellStyle name="40% - Ênfase5 4 2 5 4" xfId="14640"/>
    <cellStyle name="20% - Ênfase6 4 2 5 4" xfId="14641"/>
    <cellStyle name="40% - Ênfase6 4 2 5 4" xfId="14642"/>
    <cellStyle name="20% - Ênfase1 8 4 4" xfId="14643"/>
    <cellStyle name="40% - Ênfase1 8 4 4" xfId="14644"/>
    <cellStyle name="20% - Ênfase2 8 4 4" xfId="14645"/>
    <cellStyle name="40% - Ênfase2 8 4 4" xfId="14646"/>
    <cellStyle name="20% - Ênfase3 8 4 4" xfId="14647"/>
    <cellStyle name="40% - Ênfase3 8 4 4" xfId="14648"/>
    <cellStyle name="20% - Ênfase4 8 4 4" xfId="14649"/>
    <cellStyle name="40% - Ênfase4 8 4 4" xfId="14650"/>
    <cellStyle name="20% - Ênfase5 8 4 4" xfId="14651"/>
    <cellStyle name="40% - Ênfase5 8 4 4" xfId="14652"/>
    <cellStyle name="20% - Ênfase6 8 4 4" xfId="14653"/>
    <cellStyle name="40% - Ênfase6 8 4 4" xfId="14654"/>
    <cellStyle name="Normal 4 5 4 4" xfId="14655"/>
    <cellStyle name="Nota 2 5 4 4" xfId="14656"/>
    <cellStyle name="Normal 5 5 4 4" xfId="14657"/>
    <cellStyle name="Nota 3 5 4 4" xfId="14658"/>
    <cellStyle name="20% - Ênfase1 2 5 4 4" xfId="14659"/>
    <cellStyle name="40% - Ênfase1 2 5 4 4" xfId="14660"/>
    <cellStyle name="20% - Ênfase2 2 5 4 4" xfId="14661"/>
    <cellStyle name="40% - Ênfase2 2 5 4 4" xfId="14662"/>
    <cellStyle name="20% - Ênfase3 2 5 4 4" xfId="14663"/>
    <cellStyle name="40% - Ênfase3 2 5 4 4" xfId="14664"/>
    <cellStyle name="20% - Ênfase4 2 5 4 4" xfId="14665"/>
    <cellStyle name="40% - Ênfase4 2 5 4 4" xfId="14666"/>
    <cellStyle name="20% - Ênfase5 2 5 4 4" xfId="14667"/>
    <cellStyle name="40% - Ênfase5 2 5 4 4" xfId="14668"/>
    <cellStyle name="20% - Ênfase6 2 5 4 4" xfId="14669"/>
    <cellStyle name="40% - Ênfase6 2 5 4 4" xfId="14670"/>
    <cellStyle name="Normal 7 5 4 4" xfId="14671"/>
    <cellStyle name="Nota 4 4 4 4" xfId="14672"/>
    <cellStyle name="20% - Ênfase1 3 4 4 4" xfId="14673"/>
    <cellStyle name="40% - Ênfase1 3 4 4 4" xfId="14674"/>
    <cellStyle name="20% - Ênfase2 3 4 4 4" xfId="14675"/>
    <cellStyle name="40% - Ênfase2 3 4 4 4" xfId="14676"/>
    <cellStyle name="20% - Ênfase3 3 4 4 4" xfId="14677"/>
    <cellStyle name="40% - Ênfase3 3 4 4 4" xfId="14678"/>
    <cellStyle name="20% - Ênfase4 3 4 4 4" xfId="14679"/>
    <cellStyle name="40% - Ênfase4 3 4 4 4" xfId="14680"/>
    <cellStyle name="20% - Ênfase5 3 4 4 4" xfId="14681"/>
    <cellStyle name="40% - Ênfase5 3 4 4 4" xfId="14682"/>
    <cellStyle name="20% - Ênfase6 3 4 4 4" xfId="14683"/>
    <cellStyle name="40% - Ênfase6 3 4 4 4" xfId="14684"/>
    <cellStyle name="Normal 8 4 5 4" xfId="14685"/>
    <cellStyle name="Nota 5 4 4 4" xfId="14686"/>
    <cellStyle name="20% - Ênfase1 4 4 4 4" xfId="14687"/>
    <cellStyle name="40% - Ênfase1 4 4 4 4" xfId="14688"/>
    <cellStyle name="20% - Ênfase2 4 4 4 4" xfId="14689"/>
    <cellStyle name="40% - Ênfase2 4 4 4 4" xfId="14690"/>
    <cellStyle name="20% - Ênfase3 4 4 4 4" xfId="14691"/>
    <cellStyle name="40% - Ênfase3 4 4 4 4" xfId="14692"/>
    <cellStyle name="20% - Ênfase4 4 4 4 4" xfId="14693"/>
    <cellStyle name="40% - Ênfase4 4 4 4 4" xfId="14694"/>
    <cellStyle name="20% - Ênfase5 4 4 4 4" xfId="14695"/>
    <cellStyle name="40% - Ênfase5 4 4 4 4" xfId="14696"/>
    <cellStyle name="20% - Ênfase6 4 4 4 4" xfId="14697"/>
    <cellStyle name="40% - Ênfase6 4 4 4 4" xfId="14698"/>
    <cellStyle name="Normal 3 3 4 4" xfId="14699"/>
    <cellStyle name="20% - Ênfase1 5 2 4 4" xfId="14700"/>
    <cellStyle name="40% - Ênfase1 5 2 4 4" xfId="14701"/>
    <cellStyle name="20% - Ênfase2 5 2 4 4" xfId="14702"/>
    <cellStyle name="40% - Ênfase2 5 2 4 4" xfId="14703"/>
    <cellStyle name="20% - Ênfase3 5 2 4 4" xfId="14704"/>
    <cellStyle name="40% - Ênfase3 5 2 4 4" xfId="14705"/>
    <cellStyle name="20% - Ênfase4 5 2 4 4" xfId="14706"/>
    <cellStyle name="40% - Ênfase4 5 2 4 4" xfId="14707"/>
    <cellStyle name="20% - Ênfase5 5 2 4 4" xfId="14708"/>
    <cellStyle name="40% - Ênfase5 5 2 4 4" xfId="14709"/>
    <cellStyle name="20% - Ênfase6 5 2 4 4" xfId="14710"/>
    <cellStyle name="40% - Ênfase6 5 2 4 4" xfId="14711"/>
    <cellStyle name="Normal 4 2 2 4 4" xfId="14712"/>
    <cellStyle name="Nota 2 2 2 4 4" xfId="14713"/>
    <cellStyle name="Normal 5 2 2 4 4" xfId="14714"/>
    <cellStyle name="Nota 3 2 2 4 4" xfId="14715"/>
    <cellStyle name="20% - Ênfase1 2 2 2 4 4" xfId="14716"/>
    <cellStyle name="40% - Ênfase1 2 2 2 4 4" xfId="14717"/>
    <cellStyle name="20% - Ênfase2 2 2 2 4 4" xfId="14718"/>
    <cellStyle name="40% - Ênfase2 2 2 2 4 4" xfId="14719"/>
    <cellStyle name="20% - Ênfase3 2 2 2 4 4" xfId="14720"/>
    <cellStyle name="40% - Ênfase3 2 2 2 4 4" xfId="14721"/>
    <cellStyle name="20% - Ênfase4 2 2 2 4 4" xfId="14722"/>
    <cellStyle name="40% - Ênfase4 2 2 2 4 4" xfId="14723"/>
    <cellStyle name="20% - Ênfase5 2 2 2 4 4" xfId="14724"/>
    <cellStyle name="40% - Ênfase5 2 2 2 4 4" xfId="14725"/>
    <cellStyle name="20% - Ênfase6 2 2 2 4 4" xfId="14726"/>
    <cellStyle name="40% - Ênfase6 2 2 2 4 4" xfId="14727"/>
    <cellStyle name="Normal 7 2 2 5 4" xfId="14728"/>
    <cellStyle name="Nota 4 3 4 4" xfId="14729"/>
    <cellStyle name="20% - Ênfase1 3 3 4 4" xfId="14730"/>
    <cellStyle name="40% - Ênfase1 3 3 4 4" xfId="14731"/>
    <cellStyle name="20% - Ênfase2 3 3 4 4" xfId="14732"/>
    <cellStyle name="40% - Ênfase2 3 3 4 4" xfId="14733"/>
    <cellStyle name="20% - Ênfase3 3 3 4 4" xfId="14734"/>
    <cellStyle name="40% - Ênfase3 3 3 4 4" xfId="14735"/>
    <cellStyle name="20% - Ênfase4 3 3 4 4" xfId="14736"/>
    <cellStyle name="40% - Ênfase4 3 3 4 4" xfId="14737"/>
    <cellStyle name="20% - Ênfase5 3 3 4 4" xfId="14738"/>
    <cellStyle name="40% - Ênfase5 3 3 4 4" xfId="14739"/>
    <cellStyle name="20% - Ênfase6 3 3 4 4" xfId="14740"/>
    <cellStyle name="40% - Ênfase6 3 3 4 4" xfId="14741"/>
    <cellStyle name="Normal 8 3 5 4" xfId="14742"/>
    <cellStyle name="Nota 5 3 4 4" xfId="14743"/>
    <cellStyle name="20% - Ênfase1 4 3 4 4" xfId="14744"/>
    <cellStyle name="40% - Ênfase1 4 3 4 4" xfId="14745"/>
    <cellStyle name="20% - Ênfase2 4 3 4 4" xfId="14746"/>
    <cellStyle name="40% - Ênfase2 4 3 4 4" xfId="14747"/>
    <cellStyle name="20% - Ênfase3 4 3 4 4" xfId="14748"/>
    <cellStyle name="40% - Ênfase3 4 3 4 4" xfId="14749"/>
    <cellStyle name="20% - Ênfase4 4 3 4 4" xfId="14750"/>
    <cellStyle name="40% - Ênfase4 4 3 4 4" xfId="14751"/>
    <cellStyle name="20% - Ênfase5 4 3 4 4" xfId="14752"/>
    <cellStyle name="40% - Ênfase5 4 3 4 4" xfId="14753"/>
    <cellStyle name="20% - Ênfase6 4 3 4 4" xfId="14754"/>
    <cellStyle name="40% - Ênfase6 4 3 4 4" xfId="14755"/>
    <cellStyle name="20% - Ênfase1 6 2 4 4" xfId="14756"/>
    <cellStyle name="40% - Ênfase1 6 2 4 4" xfId="14757"/>
    <cellStyle name="20% - Ênfase2 6 2 4 4" xfId="14758"/>
    <cellStyle name="40% - Ênfase2 6 2 4 4" xfId="14759"/>
    <cellStyle name="20% - Ênfase3 6 2 4 4" xfId="14760"/>
    <cellStyle name="40% - Ênfase3 6 2 4 4" xfId="14761"/>
    <cellStyle name="20% - Ênfase4 6 2 4 4" xfId="14762"/>
    <cellStyle name="40% - Ênfase4 6 2 4 4" xfId="14763"/>
    <cellStyle name="20% - Ênfase5 6 2 4 4" xfId="14764"/>
    <cellStyle name="40% - Ênfase5 6 2 4 4" xfId="14765"/>
    <cellStyle name="20% - Ênfase6 6 2 4 4" xfId="14766"/>
    <cellStyle name="40% - Ênfase6 6 2 4 4" xfId="14767"/>
    <cellStyle name="Normal 4 3 2 4 4" xfId="14768"/>
    <cellStyle name="Nota 2 3 2 4 4" xfId="14769"/>
    <cellStyle name="Normal 5 3 2 4 4" xfId="14770"/>
    <cellStyle name="Nota 3 3 2 4 4" xfId="14771"/>
    <cellStyle name="20% - Ênfase1 2 3 2 4 4" xfId="14772"/>
    <cellStyle name="40% - Ênfase1 2 3 2 4 4" xfId="14773"/>
    <cellStyle name="20% - Ênfase2 2 3 2 4 4" xfId="14774"/>
    <cellStyle name="40% - Ênfase2 2 3 2 4 4" xfId="14775"/>
    <cellStyle name="20% - Ênfase3 2 3 2 4 4" xfId="14776"/>
    <cellStyle name="40% - Ênfase3 2 3 2 4 4" xfId="14777"/>
    <cellStyle name="20% - Ênfase4 2 3 2 4 4" xfId="14778"/>
    <cellStyle name="40% - Ênfase4 2 3 2 4 4" xfId="14779"/>
    <cellStyle name="20% - Ênfase5 2 3 2 4 4" xfId="14780"/>
    <cellStyle name="40% - Ênfase5 2 3 2 4 4" xfId="14781"/>
    <cellStyle name="20% - Ênfase6 2 3 2 4 4" xfId="14782"/>
    <cellStyle name="40% - Ênfase6 2 3 2 4 4" xfId="14783"/>
    <cellStyle name="Normal 7 3 2 4 4" xfId="14784"/>
    <cellStyle name="Nota 4 2 2 4 4" xfId="14785"/>
    <cellStyle name="20% - Ênfase1 3 2 2 4 4" xfId="14786"/>
    <cellStyle name="40% - Ênfase1 3 2 2 4 4" xfId="14787"/>
    <cellStyle name="20% - Ênfase2 3 2 2 4 4" xfId="14788"/>
    <cellStyle name="40% - Ênfase2 3 2 2 4 4" xfId="14789"/>
    <cellStyle name="20% - Ênfase3 3 2 2 4 4" xfId="14790"/>
    <cellStyle name="40% - Ênfase3 3 2 2 4 4" xfId="14791"/>
    <cellStyle name="20% - Ênfase4 3 2 2 4 4" xfId="14792"/>
    <cellStyle name="40% - Ênfase4 3 2 2 4 4" xfId="14793"/>
    <cellStyle name="20% - Ênfase5 3 2 2 4 4" xfId="14794"/>
    <cellStyle name="40% - Ênfase5 3 2 2 4 4" xfId="14795"/>
    <cellStyle name="20% - Ênfase6 3 2 2 4 4" xfId="14796"/>
    <cellStyle name="40% - Ênfase6 3 2 2 4 4" xfId="14797"/>
    <cellStyle name="Normal 8 2 2 5 4" xfId="14798"/>
    <cellStyle name="Nota 5 2 2 4 4" xfId="14799"/>
    <cellStyle name="20% - Ênfase1 4 2 2 4 4" xfId="14800"/>
    <cellStyle name="40% - Ênfase1 4 2 2 4 4" xfId="14801"/>
    <cellStyle name="20% - Ênfase2 4 2 2 4 4" xfId="14802"/>
    <cellStyle name="40% - Ênfase2 4 2 2 4 4" xfId="14803"/>
    <cellStyle name="20% - Ênfase3 4 2 2 4 4" xfId="14804"/>
    <cellStyle name="40% - Ênfase3 4 2 2 4 4" xfId="14805"/>
    <cellStyle name="20% - Ênfase4 4 2 2 4 4" xfId="14806"/>
    <cellStyle name="40% - Ênfase4 4 2 2 4 4" xfId="14807"/>
    <cellStyle name="20% - Ênfase5 4 2 2 4 4" xfId="14808"/>
    <cellStyle name="40% - Ênfase5 4 2 2 4 4" xfId="14809"/>
    <cellStyle name="20% - Ênfase6 4 2 2 4 4" xfId="14810"/>
    <cellStyle name="40% - Ênfase6 4 2 2 4 4" xfId="14811"/>
    <cellStyle name="Normal 3 4 2 4" xfId="14812"/>
    <cellStyle name="20% - Ênfase1 5 3 2 4" xfId="14813"/>
    <cellStyle name="40% - Ênfase1 5 3 2 4" xfId="14814"/>
    <cellStyle name="20% - Ênfase2 5 3 2 4" xfId="14815"/>
    <cellStyle name="40% - Ênfase2 5 3 2 4" xfId="14816"/>
    <cellStyle name="20% - Ênfase3 5 3 2 4" xfId="14817"/>
    <cellStyle name="40% - Ênfase3 5 3 2 4" xfId="14818"/>
    <cellStyle name="20% - Ênfase4 5 3 2 4" xfId="14819"/>
    <cellStyle name="40% - Ênfase4 5 3 2 4" xfId="14820"/>
    <cellStyle name="20% - Ênfase5 5 3 2 4" xfId="14821"/>
    <cellStyle name="40% - Ênfase5 5 3 2 4" xfId="14822"/>
    <cellStyle name="20% - Ênfase6 5 3 2 4" xfId="14823"/>
    <cellStyle name="40% - Ênfase6 5 3 2 4" xfId="14824"/>
    <cellStyle name="Normal 4 2 3 2 4" xfId="14825"/>
    <cellStyle name="Nota 2 2 3 2 4" xfId="14826"/>
    <cellStyle name="Normal 5 2 3 2 4" xfId="14827"/>
    <cellStyle name="Nota 3 2 3 2 4" xfId="14828"/>
    <cellStyle name="20% - Ênfase1 2 2 3 2 4" xfId="14829"/>
    <cellStyle name="40% - Ênfase1 2 2 3 2 4" xfId="14830"/>
    <cellStyle name="20% - Ênfase2 2 2 3 2 4" xfId="14831"/>
    <cellStyle name="40% - Ênfase2 2 2 3 2 4" xfId="14832"/>
    <cellStyle name="20% - Ênfase3 2 2 3 2 4" xfId="14833"/>
    <cellStyle name="40% - Ênfase3 2 2 3 2 4" xfId="14834"/>
    <cellStyle name="20% - Ênfase4 2 2 3 2 4" xfId="14835"/>
    <cellStyle name="40% - Ênfase4 2 2 3 2 4" xfId="14836"/>
    <cellStyle name="20% - Ênfase5 2 2 3 2 4" xfId="14837"/>
    <cellStyle name="40% - Ênfase5 2 2 3 2 4" xfId="14838"/>
    <cellStyle name="20% - Ênfase6 2 2 3 2 4" xfId="14839"/>
    <cellStyle name="40% - Ênfase6 2 2 3 2 4" xfId="14840"/>
    <cellStyle name="Normal 7 2 3 2 4" xfId="14841"/>
    <cellStyle name="Nota 4 5 2 4" xfId="14842"/>
    <cellStyle name="20% - Ênfase1 3 5 2 4" xfId="14843"/>
    <cellStyle name="40% - Ênfase1 3 5 2 4" xfId="14844"/>
    <cellStyle name="20% - Ênfase2 3 5 2 4" xfId="14845"/>
    <cellStyle name="40% - Ênfase2 3 5 2 4" xfId="14846"/>
    <cellStyle name="20% - Ênfase3 3 5 2 4" xfId="14847"/>
    <cellStyle name="40% - Ênfase3 3 5 2 4" xfId="14848"/>
    <cellStyle name="20% - Ênfase4 3 5 2 4" xfId="14849"/>
    <cellStyle name="40% - Ênfase4 3 5 2 4" xfId="14850"/>
    <cellStyle name="20% - Ênfase5 3 5 2 4" xfId="14851"/>
    <cellStyle name="40% - Ênfase5 3 5 2 4" xfId="14852"/>
    <cellStyle name="20% - Ênfase6 3 5 2 4" xfId="14853"/>
    <cellStyle name="40% - Ênfase6 3 5 2 4" xfId="14854"/>
    <cellStyle name="Normal 8 5 5 3" xfId="14855"/>
    <cellStyle name="Nota 5 5 2 4" xfId="14856"/>
    <cellStyle name="20% - Ênfase1 4 5 2 4" xfId="14857"/>
    <cellStyle name="40% - Ênfase1 4 5 2 4" xfId="14858"/>
    <cellStyle name="20% - Ênfase2 4 5 2 4" xfId="14859"/>
    <cellStyle name="40% - Ênfase2 4 5 2 4" xfId="14860"/>
    <cellStyle name="20% - Ênfase3 4 5 2 4" xfId="14861"/>
    <cellStyle name="40% - Ênfase3 4 5 2 4" xfId="14862"/>
    <cellStyle name="20% - Ênfase4 4 5 2 4" xfId="14863"/>
    <cellStyle name="40% - Ênfase4 4 5 2 4" xfId="14864"/>
    <cellStyle name="20% - Ênfase5 4 5 2 4" xfId="14865"/>
    <cellStyle name="40% - Ênfase5 4 5 2 4" xfId="14866"/>
    <cellStyle name="20% - Ênfase6 4 5 2 4" xfId="14867"/>
    <cellStyle name="40% - Ênfase6 4 5 2 4" xfId="14868"/>
    <cellStyle name="20% - Ênfase1 6 3 2 4" xfId="14869"/>
    <cellStyle name="40% - Ênfase1 6 3 2 4" xfId="14870"/>
    <cellStyle name="20% - Ênfase2 6 3 2 4" xfId="14871"/>
    <cellStyle name="40% - Ênfase2 6 3 2 4" xfId="14872"/>
    <cellStyle name="20% - Ênfase3 6 3 2 4" xfId="14873"/>
    <cellStyle name="40% - Ênfase3 6 3 2 4" xfId="14874"/>
    <cellStyle name="20% - Ênfase4 6 3 2 4" xfId="14875"/>
    <cellStyle name="40% - Ênfase4 6 3 2 4" xfId="14876"/>
    <cellStyle name="20% - Ênfase5 6 3 2 4" xfId="14877"/>
    <cellStyle name="40% - Ênfase5 6 3 2 4" xfId="14878"/>
    <cellStyle name="20% - Ênfase6 6 3 2 4" xfId="14879"/>
    <cellStyle name="40% - Ênfase6 6 3 2 4" xfId="14880"/>
    <cellStyle name="Normal 4 3 3 2 4" xfId="14881"/>
    <cellStyle name="Nota 2 3 3 2 4" xfId="14882"/>
    <cellStyle name="Normal 5 3 3 2 4" xfId="14883"/>
    <cellStyle name="Nota 3 3 3 2 4" xfId="14884"/>
    <cellStyle name="20% - Ênfase1 2 3 3 2 4" xfId="14885"/>
    <cellStyle name="40% - Ênfase1 2 3 3 2 4" xfId="14886"/>
    <cellStyle name="20% - Ênfase2 2 3 3 2 4" xfId="14887"/>
    <cellStyle name="40% - Ênfase2 2 3 3 2 4" xfId="14888"/>
    <cellStyle name="20% - Ênfase3 2 3 3 2 4" xfId="14889"/>
    <cellStyle name="40% - Ênfase3 2 3 3 2 4" xfId="14890"/>
    <cellStyle name="20% - Ênfase4 2 3 3 2 4" xfId="14891"/>
    <cellStyle name="40% - Ênfase4 2 3 3 2 4" xfId="14892"/>
    <cellStyle name="20% - Ênfase5 2 3 3 2 4" xfId="14893"/>
    <cellStyle name="40% - Ênfase5 2 3 3 2 4" xfId="14894"/>
    <cellStyle name="20% - Ênfase6 2 3 3 2 4" xfId="14895"/>
    <cellStyle name="40% - Ênfase6 2 3 3 2 4" xfId="14896"/>
    <cellStyle name="Normal 7 3 3 2 4" xfId="14897"/>
    <cellStyle name="Nota 4 2 3 2 4" xfId="14898"/>
    <cellStyle name="20% - Ênfase1 3 2 3 2 4" xfId="14899"/>
    <cellStyle name="40% - Ênfase1 3 2 3 2 4" xfId="14900"/>
    <cellStyle name="20% - Ênfase2 3 2 3 2 4" xfId="14901"/>
    <cellStyle name="40% - Ênfase2 3 2 3 2 4" xfId="14902"/>
    <cellStyle name="20% - Ênfase3 3 2 3 2 4" xfId="14903"/>
    <cellStyle name="40% - Ênfase3 3 2 3 2 4" xfId="14904"/>
    <cellStyle name="20% - Ênfase4 3 2 3 2 4" xfId="14905"/>
    <cellStyle name="40% - Ênfase4 3 2 3 2 4" xfId="14906"/>
    <cellStyle name="20% - Ênfase5 3 2 3 2 4" xfId="14907"/>
    <cellStyle name="40% - Ênfase5 3 2 3 2 4" xfId="14908"/>
    <cellStyle name="20% - Ênfase6 3 2 3 2 4" xfId="14909"/>
    <cellStyle name="40% - Ênfase6 3 2 3 2 4" xfId="14910"/>
    <cellStyle name="Normal 8 2 3 2 4" xfId="14911"/>
    <cellStyle name="Nota 5 2 3 2 4" xfId="14912"/>
    <cellStyle name="20% - Ênfase1 4 2 3 2 4" xfId="14913"/>
    <cellStyle name="40% - Ênfase1 4 2 3 2 4" xfId="14914"/>
    <cellStyle name="20% - Ênfase2 4 2 3 2 4" xfId="14915"/>
    <cellStyle name="40% - Ênfase2 4 2 3 2 4" xfId="14916"/>
    <cellStyle name="20% - Ênfase3 4 2 3 2 4" xfId="14917"/>
    <cellStyle name="40% - Ênfase3 4 2 3 2 4" xfId="14918"/>
    <cellStyle name="20% - Ênfase4 4 2 3 2 4" xfId="14919"/>
    <cellStyle name="40% - Ênfase4 4 2 3 2 4" xfId="14920"/>
    <cellStyle name="20% - Ênfase5 4 2 3 2 4" xfId="14921"/>
    <cellStyle name="40% - Ênfase5 4 2 3 2 4" xfId="14922"/>
    <cellStyle name="20% - Ênfase6 4 2 3 2 4" xfId="14923"/>
    <cellStyle name="40% - Ênfase6 4 2 3 2 4" xfId="14924"/>
    <cellStyle name="20% - Ênfase1 8 2 2 4" xfId="14925"/>
    <cellStyle name="40% - Ênfase1 8 2 2 4" xfId="14926"/>
    <cellStyle name="20% - Ênfase2 8 2 2 4" xfId="14927"/>
    <cellStyle name="40% - Ênfase2 8 2 2 4" xfId="14928"/>
    <cellStyle name="20% - Ênfase3 8 2 2 4" xfId="14929"/>
    <cellStyle name="40% - Ênfase3 8 2 2 4" xfId="14930"/>
    <cellStyle name="20% - Ênfase4 8 2 2 4" xfId="14931"/>
    <cellStyle name="40% - Ênfase4 8 2 2 4" xfId="14932"/>
    <cellStyle name="20% - Ênfase5 8 2 2 4" xfId="14933"/>
    <cellStyle name="40% - Ênfase5 8 2 2 4" xfId="14934"/>
    <cellStyle name="20% - Ênfase6 8 2 2 4" xfId="14935"/>
    <cellStyle name="40% - Ênfase6 8 2 2 4" xfId="14936"/>
    <cellStyle name="Normal 4 5 2 2 4" xfId="14937"/>
    <cellStyle name="Nota 2 5 2 2 4" xfId="14938"/>
    <cellStyle name="Normal 5 5 2 2 4" xfId="14939"/>
    <cellStyle name="Nota 3 5 2 2 4" xfId="14940"/>
    <cellStyle name="20% - Ênfase1 2 5 2 2 4" xfId="14941"/>
    <cellStyle name="40% - Ênfase1 2 5 2 2 4" xfId="14942"/>
    <cellStyle name="20% - Ênfase2 2 5 2 2 4" xfId="14943"/>
    <cellStyle name="40% - Ênfase2 2 5 2 2 4" xfId="14944"/>
    <cellStyle name="20% - Ênfase3 2 5 2 2 4" xfId="14945"/>
    <cellStyle name="40% - Ênfase3 2 5 2 2 4" xfId="14946"/>
    <cellStyle name="20% - Ênfase4 2 5 2 2 4" xfId="14947"/>
    <cellStyle name="40% - Ênfase4 2 5 2 2 4" xfId="14948"/>
    <cellStyle name="20% - Ênfase5 2 5 2 2 4" xfId="14949"/>
    <cellStyle name="40% - Ênfase5 2 5 2 2 4" xfId="14950"/>
    <cellStyle name="20% - Ênfase6 2 5 2 2 4" xfId="14951"/>
    <cellStyle name="40% - Ênfase6 2 5 2 2 4" xfId="14952"/>
    <cellStyle name="Normal 7 5 2 2 4" xfId="14953"/>
    <cellStyle name="Nota 4 4 2 2 4" xfId="14954"/>
    <cellStyle name="20% - Ênfase1 3 4 2 2 4" xfId="14955"/>
    <cellStyle name="40% - Ênfase1 3 4 2 2 4" xfId="14956"/>
    <cellStyle name="20% - Ênfase2 3 4 2 2 4" xfId="14957"/>
    <cellStyle name="40% - Ênfase2 3 4 2 2 4" xfId="14958"/>
    <cellStyle name="20% - Ênfase3 3 4 2 2 4" xfId="14959"/>
    <cellStyle name="40% - Ênfase3 3 4 2 2 4" xfId="14960"/>
    <cellStyle name="20% - Ênfase4 3 4 2 2 4" xfId="14961"/>
    <cellStyle name="40% - Ênfase4 3 4 2 2 4" xfId="14962"/>
    <cellStyle name="20% - Ênfase5 3 4 2 2 4" xfId="14963"/>
    <cellStyle name="40% - Ênfase5 3 4 2 2 4" xfId="14964"/>
    <cellStyle name="20% - Ênfase6 3 4 2 2 4" xfId="14965"/>
    <cellStyle name="40% - Ênfase6 3 4 2 2 4" xfId="14966"/>
    <cellStyle name="Normal 8 4 2 3 4" xfId="14967"/>
    <cellStyle name="Nota 5 4 2 2 4" xfId="14968"/>
    <cellStyle name="20% - Ênfase1 4 4 2 2 4" xfId="14969"/>
    <cellStyle name="40% - Ênfase1 4 4 2 2 4" xfId="14970"/>
    <cellStyle name="20% - Ênfase2 4 4 2 2 4" xfId="14971"/>
    <cellStyle name="40% - Ênfase2 4 4 2 2 4" xfId="14972"/>
    <cellStyle name="20% - Ênfase3 4 4 2 2 4" xfId="14973"/>
    <cellStyle name="40% - Ênfase3 4 4 2 2 4" xfId="14974"/>
    <cellStyle name="20% - Ênfase4 4 4 2 2 4" xfId="14975"/>
    <cellStyle name="40% - Ênfase4 4 4 2 2 4" xfId="14976"/>
    <cellStyle name="20% - Ênfase5 4 4 2 2 4" xfId="14977"/>
    <cellStyle name="40% - Ênfase5 4 4 2 2 4" xfId="14978"/>
    <cellStyle name="20% - Ênfase6 4 4 2 2 4" xfId="14979"/>
    <cellStyle name="40% - Ênfase6 4 4 2 2 4" xfId="14980"/>
    <cellStyle name="Normal 3 3 2 2 4" xfId="14981"/>
    <cellStyle name="20% - Ênfase1 5 2 2 2 4" xfId="14982"/>
    <cellStyle name="40% - Ênfase1 5 2 2 2 4" xfId="14983"/>
    <cellStyle name="20% - Ênfase2 5 2 2 2 4" xfId="14984"/>
    <cellStyle name="40% - Ênfase2 5 2 2 2 4" xfId="14985"/>
    <cellStyle name="20% - Ênfase3 5 2 2 2 4" xfId="14986"/>
    <cellStyle name="40% - Ênfase3 5 2 2 2 4" xfId="14987"/>
    <cellStyle name="20% - Ênfase4 5 2 2 2 4" xfId="14988"/>
    <cellStyle name="40% - Ênfase4 5 2 2 2 4" xfId="14989"/>
    <cellStyle name="20% - Ênfase5 5 2 2 2 4" xfId="14990"/>
    <cellStyle name="40% - Ênfase5 5 2 2 2 4" xfId="14991"/>
    <cellStyle name="20% - Ênfase6 5 2 2 2 4" xfId="14992"/>
    <cellStyle name="40% - Ênfase6 5 2 2 2 4" xfId="14993"/>
    <cellStyle name="Normal 4 2 2 2 2 4" xfId="14994"/>
    <cellStyle name="Nota 2 2 2 2 2 4" xfId="14995"/>
    <cellStyle name="Normal 5 2 2 2 2 4" xfId="14996"/>
    <cellStyle name="Nota 3 2 2 2 2 4" xfId="14997"/>
    <cellStyle name="20% - Ênfase1 2 2 2 2 2 4" xfId="14998"/>
    <cellStyle name="40% - Ênfase1 2 2 2 2 2 4" xfId="14999"/>
    <cellStyle name="20% - Ênfase2 2 2 2 2 2 4" xfId="15000"/>
    <cellStyle name="40% - Ênfase2 2 2 2 2 2 4" xfId="15001"/>
    <cellStyle name="20% - Ênfase3 2 2 2 2 2 4" xfId="15002"/>
    <cellStyle name="40% - Ênfase3 2 2 2 2 2 4" xfId="15003"/>
    <cellStyle name="20% - Ênfase4 2 2 2 2 2 4" xfId="15004"/>
    <cellStyle name="40% - Ênfase4 2 2 2 2 2 4" xfId="15005"/>
    <cellStyle name="20% - Ênfase5 2 2 2 2 2 4" xfId="15006"/>
    <cellStyle name="40% - Ênfase5 2 2 2 2 2 4" xfId="15007"/>
    <cellStyle name="20% - Ênfase6 2 2 2 2 2 4" xfId="15008"/>
    <cellStyle name="40% - Ênfase6 2 2 2 2 2 4" xfId="15009"/>
    <cellStyle name="Normal 7 2 2 2 2 4" xfId="15010"/>
    <cellStyle name="Nota 4 3 2 2 4" xfId="15011"/>
    <cellStyle name="20% - Ênfase1 3 3 2 2 4" xfId="15012"/>
    <cellStyle name="40% - Ênfase1 3 3 2 2 4" xfId="15013"/>
    <cellStyle name="20% - Ênfase2 3 3 2 2 4" xfId="15014"/>
    <cellStyle name="40% - Ênfase2 3 3 2 2 4" xfId="15015"/>
    <cellStyle name="20% - Ênfase3 3 3 2 2 4" xfId="15016"/>
    <cellStyle name="40% - Ênfase3 3 3 2 2 4" xfId="15017"/>
    <cellStyle name="20% - Ênfase4 3 3 2 2 4" xfId="15018"/>
    <cellStyle name="40% - Ênfase4 3 3 2 2 4" xfId="15019"/>
    <cellStyle name="20% - Ênfase5 3 3 2 2 4" xfId="15020"/>
    <cellStyle name="40% - Ênfase5 3 3 2 2 4" xfId="15021"/>
    <cellStyle name="20% - Ênfase6 3 3 2 2 4" xfId="15022"/>
    <cellStyle name="40% - Ênfase6 3 3 2 2 4" xfId="15023"/>
    <cellStyle name="Normal 8 3 2 3 4" xfId="15024"/>
    <cellStyle name="Nota 5 3 2 2 4" xfId="15025"/>
    <cellStyle name="20% - Ênfase1 4 3 2 2 4" xfId="15026"/>
    <cellStyle name="40% - Ênfase1 4 3 2 2 4" xfId="15027"/>
    <cellStyle name="20% - Ênfase2 4 3 2 2 4" xfId="15028"/>
    <cellStyle name="40% - Ênfase2 4 3 2 2 4" xfId="15029"/>
    <cellStyle name="20% - Ênfase3 4 3 2 2 4" xfId="15030"/>
    <cellStyle name="40% - Ênfase3 4 3 2 2 4" xfId="15031"/>
    <cellStyle name="20% - Ênfase4 4 3 2 2 4" xfId="15032"/>
    <cellStyle name="40% - Ênfase4 4 3 2 2 4" xfId="15033"/>
    <cellStyle name="20% - Ênfase5 4 3 2 2 4" xfId="15034"/>
    <cellStyle name="40% - Ênfase5 4 3 2 2 4" xfId="15035"/>
    <cellStyle name="20% - Ênfase6 4 3 2 2 4" xfId="15036"/>
    <cellStyle name="40% - Ênfase6 4 3 2 2 4" xfId="15037"/>
    <cellStyle name="20% - Ênfase1 6 2 2 2 4" xfId="15038"/>
    <cellStyle name="40% - Ênfase1 6 2 2 2 4" xfId="15039"/>
    <cellStyle name="20% - Ênfase2 6 2 2 2 4" xfId="15040"/>
    <cellStyle name="40% - Ênfase2 6 2 2 2 4" xfId="15041"/>
    <cellStyle name="20% - Ênfase3 6 2 2 2 4" xfId="15042"/>
    <cellStyle name="40% - Ênfase3 6 2 2 2 4" xfId="15043"/>
    <cellStyle name="20% - Ênfase4 6 2 2 2 4" xfId="15044"/>
    <cellStyle name="40% - Ênfase4 6 2 2 2 4" xfId="15045"/>
    <cellStyle name="20% - Ênfase5 6 2 2 2 4" xfId="15046"/>
    <cellStyle name="40% - Ênfase5 6 2 2 2 4" xfId="15047"/>
    <cellStyle name="20% - Ênfase6 6 2 2 2 4" xfId="15048"/>
    <cellStyle name="40% - Ênfase6 6 2 2 2 4" xfId="15049"/>
    <cellStyle name="Normal 4 3 2 2 2 4" xfId="15050"/>
    <cellStyle name="Nota 2 3 2 2 2 4" xfId="15051"/>
    <cellStyle name="Normal 5 3 2 2 2 4" xfId="15052"/>
    <cellStyle name="Nota 3 3 2 2 2 4" xfId="15053"/>
    <cellStyle name="20% - Ênfase1 2 3 2 2 2 4" xfId="15054"/>
    <cellStyle name="40% - Ênfase1 2 3 2 2 2 4" xfId="15055"/>
    <cellStyle name="20% - Ênfase2 2 3 2 2 2 4" xfId="15056"/>
    <cellStyle name="40% - Ênfase2 2 3 2 2 2 4" xfId="15057"/>
    <cellStyle name="20% - Ênfase3 2 3 2 2 2 4" xfId="15058"/>
    <cellStyle name="40% - Ênfase3 2 3 2 2 2 4" xfId="15059"/>
    <cellStyle name="20% - Ênfase4 2 3 2 2 2 4" xfId="15060"/>
    <cellStyle name="40% - Ênfase4 2 3 2 2 2 4" xfId="15061"/>
    <cellStyle name="20% - Ênfase5 2 3 2 2 2 4" xfId="15062"/>
    <cellStyle name="40% - Ênfase5 2 3 2 2 2 4" xfId="15063"/>
    <cellStyle name="20% - Ênfase6 2 3 2 2 2 4" xfId="15064"/>
    <cellStyle name="40% - Ênfase6 2 3 2 2 2 4" xfId="15065"/>
    <cellStyle name="Normal 7 3 2 2 2 4" xfId="15066"/>
    <cellStyle name="Nota 4 2 2 2 2 4" xfId="15067"/>
    <cellStyle name="20% - Ênfase1 3 2 2 2 2 4" xfId="15068"/>
    <cellStyle name="40% - Ênfase1 3 2 2 2 2 4" xfId="15069"/>
    <cellStyle name="20% - Ênfase2 3 2 2 2 2 4" xfId="15070"/>
    <cellStyle name="40% - Ênfase2 3 2 2 2 2 4" xfId="15071"/>
    <cellStyle name="20% - Ênfase3 3 2 2 2 2 4" xfId="15072"/>
    <cellStyle name="40% - Ênfase3 3 2 2 2 2 4" xfId="15073"/>
    <cellStyle name="20% - Ênfase4 3 2 2 2 2 4" xfId="15074"/>
    <cellStyle name="40% - Ênfase4 3 2 2 2 2 4" xfId="15075"/>
    <cellStyle name="20% - Ênfase5 3 2 2 2 2 4" xfId="15076"/>
    <cellStyle name="40% - Ênfase5 3 2 2 2 2 4" xfId="15077"/>
    <cellStyle name="20% - Ênfase6 3 2 2 2 2 4" xfId="15078"/>
    <cellStyle name="40% - Ênfase6 3 2 2 2 2 4" xfId="15079"/>
    <cellStyle name="Normal 8 2 2 2 2 4" xfId="15080"/>
    <cellStyle name="Nota 5 2 2 2 2 4" xfId="15081"/>
    <cellStyle name="20% - Ênfase1 4 2 2 2 2 4" xfId="15082"/>
    <cellStyle name="40% - Ênfase1 4 2 2 2 2 4" xfId="15083"/>
    <cellStyle name="20% - Ênfase2 4 2 2 2 2 4" xfId="15084"/>
    <cellStyle name="40% - Ênfase2 4 2 2 2 2 4" xfId="15085"/>
    <cellStyle name="20% - Ênfase3 4 2 2 2 2 4" xfId="15086"/>
    <cellStyle name="40% - Ênfase3 4 2 2 2 2 4" xfId="15087"/>
    <cellStyle name="20% - Ênfase4 4 2 2 2 2 4" xfId="15088"/>
    <cellStyle name="40% - Ênfase4 4 2 2 2 2 4" xfId="15089"/>
    <cellStyle name="20% - Ênfase5 4 2 2 2 2 4" xfId="15090"/>
    <cellStyle name="40% - Ênfase5 4 2 2 2 2 4" xfId="15091"/>
    <cellStyle name="20% - Ênfase6 4 2 2 2 2 4" xfId="15092"/>
    <cellStyle name="40% - Ênfase6 4 2 2 2 2 4" xfId="15093"/>
    <cellStyle name="Normal 3 5 2 4" xfId="15094"/>
    <cellStyle name="20% - Ênfase1 5 4 2 4" xfId="15095"/>
    <cellStyle name="40% - Ênfase1 5 4 2 4" xfId="15096"/>
    <cellStyle name="20% - Ênfase2 5 4 2 4" xfId="15097"/>
    <cellStyle name="40% - Ênfase2 5 4 2 4" xfId="15098"/>
    <cellStyle name="20% - Ênfase3 5 4 2 4" xfId="15099"/>
    <cellStyle name="40% - Ênfase3 5 4 2 4" xfId="15100"/>
    <cellStyle name="20% - Ênfase4 5 4 2 4" xfId="15101"/>
    <cellStyle name="40% - Ênfase4 5 4 2 4" xfId="15102"/>
    <cellStyle name="20% - Ênfase5 5 4 2 4" xfId="15103"/>
    <cellStyle name="40% - Ênfase5 5 4 2 4" xfId="15104"/>
    <cellStyle name="20% - Ênfase6 5 4 2 4" xfId="15105"/>
    <cellStyle name="40% - Ênfase6 5 4 2 4" xfId="15106"/>
    <cellStyle name="Normal 4 2 4 2 4" xfId="15107"/>
    <cellStyle name="Nota 2 2 4 2 4" xfId="15108"/>
    <cellStyle name="Normal 5 2 4 2 4" xfId="15109"/>
    <cellStyle name="Nota 3 2 4 2 4" xfId="15110"/>
    <cellStyle name="20% - Ênfase1 2 2 4 2 4" xfId="15111"/>
    <cellStyle name="40% - Ênfase1 2 2 4 2 4" xfId="15112"/>
    <cellStyle name="20% - Ênfase2 2 2 4 2 4" xfId="15113"/>
    <cellStyle name="40% - Ênfase2 2 2 4 2 4" xfId="15114"/>
    <cellStyle name="20% - Ênfase3 2 2 4 2 4" xfId="15115"/>
    <cellStyle name="40% - Ênfase3 2 2 4 2 4" xfId="15116"/>
    <cellStyle name="20% - Ênfase4 2 2 4 2 4" xfId="15117"/>
    <cellStyle name="40% - Ênfase4 2 2 4 2 4" xfId="15118"/>
    <cellStyle name="20% - Ênfase5 2 2 4 2 4" xfId="15119"/>
    <cellStyle name="40% - Ênfase5 2 2 4 2 4" xfId="15120"/>
    <cellStyle name="20% - Ênfase6 2 2 4 2 4" xfId="15121"/>
    <cellStyle name="40% - Ênfase6 2 2 4 2 4" xfId="15122"/>
    <cellStyle name="Normal 7 2 4 2 4" xfId="15123"/>
    <cellStyle name="Nota 4 6 2 4" xfId="15124"/>
    <cellStyle name="20% - Ênfase1 3 6 2 4" xfId="15125"/>
    <cellStyle name="40% - Ênfase1 3 6 2 4" xfId="15126"/>
    <cellStyle name="20% - Ênfase2 3 6 2 4" xfId="15127"/>
    <cellStyle name="40% - Ênfase2 3 6 2 4" xfId="15128"/>
    <cellStyle name="20% - Ênfase3 3 6 2 4" xfId="15129"/>
    <cellStyle name="40% - Ênfase3 3 6 2 4" xfId="15130"/>
    <cellStyle name="20% - Ênfase4 3 6 2 4" xfId="15131"/>
    <cellStyle name="40% - Ênfase4 3 6 2 4" xfId="15132"/>
    <cellStyle name="20% - Ênfase5 3 6 2 4" xfId="15133"/>
    <cellStyle name="40% - Ênfase5 3 6 2 4" xfId="15134"/>
    <cellStyle name="20% - Ênfase6 3 6 2 4" xfId="15135"/>
    <cellStyle name="40% - Ênfase6 3 6 2 4" xfId="15136"/>
    <cellStyle name="Normal 8 6 3 4" xfId="15137"/>
    <cellStyle name="Nota 5 6 2 4" xfId="15138"/>
    <cellStyle name="20% - Ênfase1 4 6 2 4" xfId="15139"/>
    <cellStyle name="40% - Ênfase1 4 6 2 4" xfId="15140"/>
    <cellStyle name="20% - Ênfase2 4 6 2 4" xfId="15141"/>
    <cellStyle name="40% - Ênfase2 4 6 2 4" xfId="15142"/>
    <cellStyle name="20% - Ênfase3 4 6 2 4" xfId="15143"/>
    <cellStyle name="40% - Ênfase3 4 6 2 4" xfId="15144"/>
    <cellStyle name="20% - Ênfase4 4 6 2 4" xfId="15145"/>
    <cellStyle name="40% - Ênfase4 4 6 2 4" xfId="15146"/>
    <cellStyle name="20% - Ênfase5 4 6 2 4" xfId="15147"/>
    <cellStyle name="40% - Ênfase5 4 6 2 4" xfId="15148"/>
    <cellStyle name="20% - Ênfase6 4 6 2 4" xfId="15149"/>
    <cellStyle name="40% - Ênfase6 4 6 2 4" xfId="15150"/>
    <cellStyle name="20% - Ênfase1 6 4 2 4" xfId="15151"/>
    <cellStyle name="40% - Ênfase1 6 4 2 4" xfId="15152"/>
    <cellStyle name="20% - Ênfase2 6 4 2 4" xfId="15153"/>
    <cellStyle name="40% - Ênfase2 6 4 2 4" xfId="15154"/>
    <cellStyle name="20% - Ênfase3 6 4 2 4" xfId="15155"/>
    <cellStyle name="40% - Ênfase3 6 4 2 4" xfId="15156"/>
    <cellStyle name="20% - Ênfase4 6 4 2 4" xfId="15157"/>
    <cellStyle name="40% - Ênfase4 6 4 2 4" xfId="15158"/>
    <cellStyle name="20% - Ênfase5 6 4 2 4" xfId="15159"/>
    <cellStyle name="40% - Ênfase5 6 4 2 4" xfId="15160"/>
    <cellStyle name="20% - Ênfase6 6 4 2 4" xfId="15161"/>
    <cellStyle name="40% - Ênfase6 6 4 2 4" xfId="15162"/>
    <cellStyle name="Normal 4 3 4 2 4" xfId="15163"/>
    <cellStyle name="Nota 2 3 4 2 4" xfId="15164"/>
    <cellStyle name="Normal 5 3 4 2 4" xfId="15165"/>
    <cellStyle name="Nota 3 3 4 2 4" xfId="15166"/>
    <cellStyle name="20% - Ênfase1 2 3 4 2 4" xfId="15167"/>
    <cellStyle name="40% - Ênfase1 2 3 4 2 4" xfId="15168"/>
    <cellStyle name="20% - Ênfase2 2 3 4 2 4" xfId="15169"/>
    <cellStyle name="40% - Ênfase2 2 3 4 2 4" xfId="15170"/>
    <cellStyle name="20% - Ênfase3 2 3 4 2 4" xfId="15171"/>
    <cellStyle name="40% - Ênfase3 2 3 4 2 4" xfId="15172"/>
    <cellStyle name="20% - Ênfase4 2 3 4 2 4" xfId="15173"/>
    <cellStyle name="40% - Ênfase4 2 3 4 2 4" xfId="15174"/>
    <cellStyle name="20% - Ênfase5 2 3 4 2 4" xfId="15175"/>
    <cellStyle name="40% - Ênfase5 2 3 4 2 4" xfId="15176"/>
    <cellStyle name="20% - Ênfase6 2 3 4 2 4" xfId="15177"/>
    <cellStyle name="40% - Ênfase6 2 3 4 2 4" xfId="15178"/>
    <cellStyle name="Normal 7 3 4 2 4" xfId="15179"/>
    <cellStyle name="Nota 4 2 4 2 4" xfId="15180"/>
    <cellStyle name="20% - Ênfase1 3 2 4 2 4" xfId="15181"/>
    <cellStyle name="40% - Ênfase1 3 2 4 2 4" xfId="15182"/>
    <cellStyle name="20% - Ênfase2 3 2 4 2 4" xfId="15183"/>
    <cellStyle name="40% - Ênfase2 3 2 4 2 4" xfId="15184"/>
    <cellStyle name="20% - Ênfase3 3 2 4 2 4" xfId="15185"/>
    <cellStyle name="40% - Ênfase3 3 2 4 2 4" xfId="15186"/>
    <cellStyle name="20% - Ênfase4 3 2 4 2 4" xfId="15187"/>
    <cellStyle name="40% - Ênfase4 3 2 4 2 4" xfId="15188"/>
    <cellStyle name="20% - Ênfase5 3 2 4 2 4" xfId="15189"/>
    <cellStyle name="40% - Ênfase5 3 2 4 2 4" xfId="15190"/>
    <cellStyle name="20% - Ênfase6 3 2 4 2 4" xfId="15191"/>
    <cellStyle name="40% - Ênfase6 3 2 4 2 4" xfId="15192"/>
    <cellStyle name="Normal 8 2 4 2 4" xfId="15193"/>
    <cellStyle name="Nota 5 2 4 2 4" xfId="15194"/>
    <cellStyle name="20% - Ênfase1 4 2 4 2 4" xfId="15195"/>
    <cellStyle name="40% - Ênfase1 4 2 4 2 4" xfId="15196"/>
    <cellStyle name="20% - Ênfase2 4 2 4 2 4" xfId="15197"/>
    <cellStyle name="40% - Ênfase2 4 2 4 2 4" xfId="15198"/>
    <cellStyle name="20% - Ênfase3 4 2 4 2 4" xfId="15199"/>
    <cellStyle name="40% - Ênfase3 4 2 4 2 4" xfId="15200"/>
    <cellStyle name="20% - Ênfase4 4 2 4 2 4" xfId="15201"/>
    <cellStyle name="40% - Ênfase4 4 2 4 2 4" xfId="15202"/>
    <cellStyle name="20% - Ênfase5 4 2 4 2 4" xfId="15203"/>
    <cellStyle name="40% - Ênfase5 4 2 4 2 4" xfId="15204"/>
    <cellStyle name="20% - Ênfase6 4 2 4 2 4" xfId="15205"/>
    <cellStyle name="40% - Ênfase6 4 2 4 2 4" xfId="15206"/>
    <cellStyle name="20% - Ênfase1 8 3 2 4" xfId="15207"/>
    <cellStyle name="40% - Ênfase1 8 3 2 4" xfId="15208"/>
    <cellStyle name="20% - Ênfase2 8 3 2 4" xfId="15209"/>
    <cellStyle name="40% - Ênfase2 8 3 2 4" xfId="15210"/>
    <cellStyle name="20% - Ênfase3 8 3 2 4" xfId="15211"/>
    <cellStyle name="40% - Ênfase3 8 3 2 4" xfId="15212"/>
    <cellStyle name="20% - Ênfase4 8 3 2 4" xfId="15213"/>
    <cellStyle name="40% - Ênfase4 8 3 2 4" xfId="15214"/>
    <cellStyle name="20% - Ênfase5 8 3 2 4" xfId="15215"/>
    <cellStyle name="40% - Ênfase5 8 3 2 4" xfId="15216"/>
    <cellStyle name="20% - Ênfase6 8 3 2 4" xfId="15217"/>
    <cellStyle name="40% - Ênfase6 8 3 2 4" xfId="15218"/>
    <cellStyle name="Normal 4 5 3 2 4" xfId="15219"/>
    <cellStyle name="Nota 2 5 3 2 4" xfId="15220"/>
    <cellStyle name="Normal 5 5 3 2 4" xfId="15221"/>
    <cellStyle name="Nota 3 5 3 2 4" xfId="15222"/>
    <cellStyle name="20% - Ênfase1 2 5 3 2 4" xfId="15223"/>
    <cellStyle name="40% - Ênfase1 2 5 3 2 4" xfId="15224"/>
    <cellStyle name="20% - Ênfase2 2 5 3 2 4" xfId="15225"/>
    <cellStyle name="40% - Ênfase2 2 5 3 2 4" xfId="15226"/>
    <cellStyle name="20% - Ênfase3 2 5 3 2 4" xfId="15227"/>
    <cellStyle name="40% - Ênfase3 2 5 3 2 4" xfId="15228"/>
    <cellStyle name="20% - Ênfase4 2 5 3 2 4" xfId="15229"/>
    <cellStyle name="40% - Ênfase4 2 5 3 2 4" xfId="15230"/>
    <cellStyle name="20% - Ênfase5 2 5 3 2 4" xfId="15231"/>
    <cellStyle name="40% - Ênfase5 2 5 3 2 4" xfId="15232"/>
    <cellStyle name="20% - Ênfase6 2 5 3 2 4" xfId="15233"/>
    <cellStyle name="40% - Ênfase6 2 5 3 2 4" xfId="15234"/>
    <cellStyle name="Normal 7 5 3 2 4" xfId="15235"/>
    <cellStyle name="Nota 4 4 3 2 4" xfId="15236"/>
    <cellStyle name="20% - Ênfase1 3 4 3 2 4" xfId="15237"/>
    <cellStyle name="40% - Ênfase1 3 4 3 2 4" xfId="15238"/>
    <cellStyle name="20% - Ênfase2 3 4 3 2 4" xfId="15239"/>
    <cellStyle name="40% - Ênfase2 3 4 3 2 4" xfId="15240"/>
    <cellStyle name="20% - Ênfase3 3 4 3 2 4" xfId="15241"/>
    <cellStyle name="40% - Ênfase3 3 4 3 2 4" xfId="15242"/>
    <cellStyle name="20% - Ênfase4 3 4 3 2 4" xfId="15243"/>
    <cellStyle name="40% - Ênfase4 3 4 3 2 4" xfId="15244"/>
    <cellStyle name="20% - Ênfase5 3 4 3 2 4" xfId="15245"/>
    <cellStyle name="40% - Ênfase5 3 4 3 2 4" xfId="15246"/>
    <cellStyle name="20% - Ênfase6 3 4 3 2 4" xfId="15247"/>
    <cellStyle name="40% - Ênfase6 3 4 3 2 4" xfId="15248"/>
    <cellStyle name="Normal 8 4 3 2 4" xfId="15249"/>
    <cellStyle name="Nota 5 4 3 2 4" xfId="15250"/>
    <cellStyle name="20% - Ênfase1 4 4 3 2 4" xfId="15251"/>
    <cellStyle name="40% - Ênfase1 4 4 3 2 4" xfId="15252"/>
    <cellStyle name="20% - Ênfase2 4 4 3 2 4" xfId="15253"/>
    <cellStyle name="40% - Ênfase2 4 4 3 2 4" xfId="15254"/>
    <cellStyle name="20% - Ênfase3 4 4 3 2 4" xfId="15255"/>
    <cellStyle name="40% - Ênfase3 4 4 3 2 4" xfId="15256"/>
    <cellStyle name="20% - Ênfase4 4 4 3 2 4" xfId="15257"/>
    <cellStyle name="40% - Ênfase4 4 4 3 2 4" xfId="15258"/>
    <cellStyle name="20% - Ênfase5 4 4 3 2 4" xfId="15259"/>
    <cellStyle name="40% - Ênfase5 4 4 3 2 4" xfId="15260"/>
    <cellStyle name="20% - Ênfase6 4 4 3 2 4" xfId="15261"/>
    <cellStyle name="40% - Ênfase6 4 4 3 2 4" xfId="15262"/>
    <cellStyle name="Normal 3 3 3 2 4" xfId="15263"/>
    <cellStyle name="20% - Ênfase1 5 2 3 2 4" xfId="15264"/>
    <cellStyle name="40% - Ênfase1 5 2 3 2 4" xfId="15265"/>
    <cellStyle name="20% - Ênfase2 5 2 3 2 4" xfId="15266"/>
    <cellStyle name="40% - Ênfase2 5 2 3 2 4" xfId="15267"/>
    <cellStyle name="20% - Ênfase3 5 2 3 2 4" xfId="15268"/>
    <cellStyle name="40% - Ênfase3 5 2 3 2 4" xfId="15269"/>
    <cellStyle name="20% - Ênfase4 5 2 3 2 4" xfId="15270"/>
    <cellStyle name="40% - Ênfase4 5 2 3 2 4" xfId="15271"/>
    <cellStyle name="20% - Ênfase5 5 2 3 2 4" xfId="15272"/>
    <cellStyle name="40% - Ênfase5 5 2 3 2 4" xfId="15273"/>
    <cellStyle name="20% - Ênfase6 5 2 3 2 4" xfId="15274"/>
    <cellStyle name="40% - Ênfase6 5 2 3 2 4" xfId="15275"/>
    <cellStyle name="Normal 4 2 2 3 2 4" xfId="15276"/>
    <cellStyle name="Nota 2 2 2 3 2 4" xfId="15277"/>
    <cellStyle name="Normal 5 2 2 3 2 4" xfId="15278"/>
    <cellStyle name="Nota 3 2 2 3 2 4" xfId="15279"/>
    <cellStyle name="20% - Ênfase1 2 2 2 3 2 4" xfId="15280"/>
    <cellStyle name="40% - Ênfase1 2 2 2 3 2 4" xfId="15281"/>
    <cellStyle name="20% - Ênfase2 2 2 2 3 2 4" xfId="15282"/>
    <cellStyle name="40% - Ênfase2 2 2 2 3 2 4" xfId="15283"/>
    <cellStyle name="20% - Ênfase3 2 2 2 3 2 4" xfId="15284"/>
    <cellStyle name="40% - Ênfase3 2 2 2 3 2 4" xfId="15285"/>
    <cellStyle name="20% - Ênfase4 2 2 2 3 2 4" xfId="15286"/>
    <cellStyle name="40% - Ênfase4 2 2 2 3 2 4" xfId="15287"/>
    <cellStyle name="20% - Ênfase5 2 2 2 3 2 4" xfId="15288"/>
    <cellStyle name="40% - Ênfase5 2 2 2 3 2 4" xfId="15289"/>
    <cellStyle name="20% - Ênfase6 2 2 2 3 2 4" xfId="15290"/>
    <cellStyle name="40% - Ênfase6 2 2 2 3 2 4" xfId="15291"/>
    <cellStyle name="Normal 7 2 2 3 2 4" xfId="15292"/>
    <cellStyle name="Nota 4 3 3 2 4" xfId="15293"/>
    <cellStyle name="20% - Ênfase1 3 3 3 2 4" xfId="15294"/>
    <cellStyle name="40% - Ênfase1 3 3 3 2 4" xfId="15295"/>
    <cellStyle name="20% - Ênfase2 3 3 3 2 4" xfId="15296"/>
    <cellStyle name="40% - Ênfase2 3 3 3 2 4" xfId="15297"/>
    <cellStyle name="20% - Ênfase3 3 3 3 2 4" xfId="15298"/>
    <cellStyle name="40% - Ênfase3 3 3 3 2 4" xfId="15299"/>
    <cellStyle name="20% - Ênfase4 3 3 3 2 4" xfId="15300"/>
    <cellStyle name="40% - Ênfase4 3 3 3 2 4" xfId="15301"/>
    <cellStyle name="20% - Ênfase5 3 3 3 2 4" xfId="15302"/>
    <cellStyle name="40% - Ênfase5 3 3 3 2 4" xfId="15303"/>
    <cellStyle name="20% - Ênfase6 3 3 3 2 4" xfId="15304"/>
    <cellStyle name="40% - Ênfase6 3 3 3 2 4" xfId="15305"/>
    <cellStyle name="Normal 8 3 3 2 4" xfId="15306"/>
    <cellStyle name="Nota 5 3 3 2 4" xfId="15307"/>
    <cellStyle name="20% - Ênfase1 4 3 3 2 4" xfId="15308"/>
    <cellStyle name="40% - Ênfase1 4 3 3 2 4" xfId="15309"/>
    <cellStyle name="20% - Ênfase2 4 3 3 2 4" xfId="15310"/>
    <cellStyle name="40% - Ênfase2 4 3 3 2 4" xfId="15311"/>
    <cellStyle name="20% - Ênfase3 4 3 3 2 4" xfId="15312"/>
    <cellStyle name="40% - Ênfase3 4 3 3 2 4" xfId="15313"/>
    <cellStyle name="20% - Ênfase4 4 3 3 2 4" xfId="15314"/>
    <cellStyle name="40% - Ênfase4 4 3 3 2 4" xfId="15315"/>
    <cellStyle name="20% - Ênfase5 4 3 3 2 4" xfId="15316"/>
    <cellStyle name="40% - Ênfase5 4 3 3 2 4" xfId="15317"/>
    <cellStyle name="20% - Ênfase6 4 3 3 2 4" xfId="15318"/>
    <cellStyle name="40% - Ênfase6 4 3 3 2 4" xfId="15319"/>
    <cellStyle name="20% - Ênfase1 6 2 3 2 4" xfId="15320"/>
    <cellStyle name="40% - Ênfase1 6 2 3 2 4" xfId="15321"/>
    <cellStyle name="20% - Ênfase2 6 2 3 2 4" xfId="15322"/>
    <cellStyle name="40% - Ênfase2 6 2 3 2 4" xfId="15323"/>
    <cellStyle name="20% - Ênfase3 6 2 3 2 4" xfId="15324"/>
    <cellStyle name="40% - Ênfase3 6 2 3 2 4" xfId="15325"/>
    <cellStyle name="20% - Ênfase4 6 2 3 2 4" xfId="15326"/>
    <cellStyle name="40% - Ênfase4 6 2 3 2 4" xfId="15327"/>
    <cellStyle name="20% - Ênfase5 6 2 3 2 4" xfId="15328"/>
    <cellStyle name="40% - Ênfase5 6 2 3 2 4" xfId="15329"/>
    <cellStyle name="20% - Ênfase6 6 2 3 2 4" xfId="15330"/>
    <cellStyle name="40% - Ênfase6 6 2 3 2 4" xfId="15331"/>
    <cellStyle name="Normal 4 3 2 3 2 4" xfId="15332"/>
    <cellStyle name="Nota 2 3 2 3 2 4" xfId="15333"/>
    <cellStyle name="Normal 5 3 2 3 2 4" xfId="15334"/>
    <cellStyle name="Nota 3 3 2 3 2 4" xfId="15335"/>
    <cellStyle name="20% - Ênfase1 2 3 2 3 2 4" xfId="15336"/>
    <cellStyle name="40% - Ênfase1 2 3 2 3 2 4" xfId="15337"/>
    <cellStyle name="20% - Ênfase2 2 3 2 3 2 4" xfId="15338"/>
    <cellStyle name="40% - Ênfase2 2 3 2 3 2 4" xfId="15339"/>
    <cellStyle name="20% - Ênfase3 2 3 2 3 2 4" xfId="15340"/>
    <cellStyle name="40% - Ênfase3 2 3 2 3 2 4" xfId="15341"/>
    <cellStyle name="20% - Ênfase4 2 3 2 3 2 4" xfId="15342"/>
    <cellStyle name="40% - Ênfase4 2 3 2 3 2 4" xfId="15343"/>
    <cellStyle name="20% - Ênfase5 2 3 2 3 2 4" xfId="15344"/>
    <cellStyle name="40% - Ênfase5 2 3 2 3 2 4" xfId="15345"/>
    <cellStyle name="20% - Ênfase6 2 3 2 3 2 4" xfId="15346"/>
    <cellStyle name="40% - Ênfase6 2 3 2 3 2 4" xfId="15347"/>
    <cellStyle name="Normal 7 3 2 3 2 4" xfId="15348"/>
    <cellStyle name="Nota 4 2 2 3 2 4" xfId="15349"/>
    <cellStyle name="20% - Ênfase1 3 2 2 3 2 4" xfId="15350"/>
    <cellStyle name="40% - Ênfase1 3 2 2 3 2 4" xfId="15351"/>
    <cellStyle name="20% - Ênfase2 3 2 2 3 2 4" xfId="15352"/>
    <cellStyle name="40% - Ênfase2 3 2 2 3 2 4" xfId="15353"/>
    <cellStyle name="20% - Ênfase3 3 2 2 3 2 4" xfId="15354"/>
    <cellStyle name="40% - Ênfase3 3 2 2 3 2 4" xfId="15355"/>
    <cellStyle name="20% - Ênfase4 3 2 2 3 2 4" xfId="15356"/>
    <cellStyle name="40% - Ênfase4 3 2 2 3 2 4" xfId="15357"/>
    <cellStyle name="20% - Ênfase5 3 2 2 3 2 4" xfId="15358"/>
    <cellStyle name="40% - Ênfase5 3 2 2 3 2 4" xfId="15359"/>
    <cellStyle name="20% - Ênfase6 3 2 2 3 2 4" xfId="15360"/>
    <cellStyle name="40% - Ênfase6 3 2 2 3 2 4" xfId="15361"/>
    <cellStyle name="Normal 8 2 2 3 2 4" xfId="15362"/>
    <cellStyle name="Nota 5 2 2 3 2 4" xfId="15363"/>
    <cellStyle name="20% - Ênfase1 4 2 2 3 2 4" xfId="15364"/>
    <cellStyle name="40% - Ênfase1 4 2 2 3 2 4" xfId="15365"/>
    <cellStyle name="20% - Ênfase2 4 2 2 3 2 4" xfId="15366"/>
    <cellStyle name="40% - Ênfase2 4 2 2 3 2 4" xfId="15367"/>
    <cellStyle name="20% - Ênfase3 4 2 2 3 2 4" xfId="15368"/>
    <cellStyle name="40% - Ênfase3 4 2 2 3 2 4" xfId="15369"/>
    <cellStyle name="20% - Ênfase4 4 2 2 3 2 4" xfId="15370"/>
    <cellStyle name="40% - Ênfase4 4 2 2 3 2 4" xfId="15371"/>
    <cellStyle name="20% - Ênfase5 4 2 2 3 2 4" xfId="15372"/>
    <cellStyle name="40% - Ênfase5 4 2 2 3 2 4" xfId="15373"/>
    <cellStyle name="20% - Ênfase6 4 2 2 3 2 4" xfId="15374"/>
    <cellStyle name="40% - Ênfase6 4 2 2 3 2 4" xfId="15375"/>
    <cellStyle name="Normal 3 6 2 4" xfId="15376"/>
    <cellStyle name="20% - Ênfase1 5 5 2 4" xfId="15377"/>
    <cellStyle name="40% - Ênfase1 5 5 2 4" xfId="15378"/>
    <cellStyle name="20% - Ênfase2 5 5 2 4" xfId="15379"/>
    <cellStyle name="40% - Ênfase2 5 5 2 4" xfId="15380"/>
    <cellStyle name="20% - Ênfase3 5 5 2 4" xfId="15381"/>
    <cellStyle name="40% - Ênfase3 5 5 2 4" xfId="15382"/>
    <cellStyle name="20% - Ênfase4 5 5 2 4" xfId="15383"/>
    <cellStyle name="40% - Ênfase4 5 5 2 4" xfId="15384"/>
    <cellStyle name="20% - Ênfase5 5 5 2 4" xfId="15385"/>
    <cellStyle name="40% - Ênfase5 5 5 2 4" xfId="15386"/>
    <cellStyle name="20% - Ênfase6 5 5 2 4" xfId="15387"/>
    <cellStyle name="40% - Ênfase6 5 5 2 4" xfId="15388"/>
    <cellStyle name="Normal 4 2 5 2 4" xfId="15389"/>
    <cellStyle name="Nota 2 2 5 2 4" xfId="15390"/>
    <cellStyle name="Normal 5 2 5 2 4" xfId="15391"/>
    <cellStyle name="Nota 3 2 5 2 4" xfId="15392"/>
    <cellStyle name="20% - Ênfase1 2 2 5 2 4" xfId="15393"/>
    <cellStyle name="40% - Ênfase1 2 2 5 2 4" xfId="15394"/>
    <cellStyle name="20% - Ênfase2 2 2 5 2 4" xfId="15395"/>
    <cellStyle name="40% - Ênfase2 2 2 5 2 4" xfId="15396"/>
    <cellStyle name="20% - Ênfase3 2 2 5 2 4" xfId="15397"/>
    <cellStyle name="40% - Ênfase3 2 2 5 2 4" xfId="15398"/>
    <cellStyle name="20% - Ênfase4 2 2 5 2 4" xfId="15399"/>
    <cellStyle name="40% - Ênfase4 2 2 5 2 4" xfId="15400"/>
    <cellStyle name="20% - Ênfase5 2 2 5 2 4" xfId="15401"/>
    <cellStyle name="40% - Ênfase5 2 2 5 2 4" xfId="15402"/>
    <cellStyle name="20% - Ênfase6 2 2 5 2 4" xfId="15403"/>
    <cellStyle name="40% - Ênfase6 2 2 5 2 4" xfId="15404"/>
    <cellStyle name="Normal 7 2 5 2 4" xfId="15405"/>
    <cellStyle name="Nota 4 7 2 4" xfId="15406"/>
    <cellStyle name="20% - Ênfase1 3 7 2 4" xfId="15407"/>
    <cellStyle name="40% - Ênfase1 3 7 2 4" xfId="15408"/>
    <cellStyle name="20% - Ênfase2 3 7 2 4" xfId="15409"/>
    <cellStyle name="40% - Ênfase2 3 7 2 4" xfId="15410"/>
    <cellStyle name="20% - Ênfase3 3 7 2 4" xfId="15411"/>
    <cellStyle name="40% - Ênfase3 3 7 2 4" xfId="15412"/>
    <cellStyle name="20% - Ênfase4 3 7 2 4" xfId="15413"/>
    <cellStyle name="40% - Ênfase4 3 7 2 4" xfId="15414"/>
    <cellStyle name="20% - Ênfase5 3 7 2 4" xfId="15415"/>
    <cellStyle name="40% - Ênfase5 3 7 2 4" xfId="15416"/>
    <cellStyle name="20% - Ênfase6 3 7 2 4" xfId="15417"/>
    <cellStyle name="40% - Ênfase6 3 7 2 4" xfId="15418"/>
    <cellStyle name="Normal 8 7 2 4" xfId="15419"/>
    <cellStyle name="Nota 5 7 2 4" xfId="15420"/>
    <cellStyle name="20% - Ênfase1 4 7 2 4" xfId="15421"/>
    <cellStyle name="40% - Ênfase1 4 7 2 4" xfId="15422"/>
    <cellStyle name="20% - Ênfase2 4 7 2 4" xfId="15423"/>
    <cellStyle name="40% - Ênfase2 4 7 2 4" xfId="15424"/>
    <cellStyle name="20% - Ênfase3 4 7 2 4" xfId="15425"/>
    <cellStyle name="40% - Ênfase3 4 7 2 4" xfId="15426"/>
    <cellStyle name="20% - Ênfase4 4 7 2 4" xfId="15427"/>
    <cellStyle name="40% - Ênfase4 4 7 2 4" xfId="15428"/>
    <cellStyle name="20% - Ênfase5 4 7 2 4" xfId="15429"/>
    <cellStyle name="40% - Ênfase5 4 7 2 4" xfId="15430"/>
    <cellStyle name="20% - Ênfase6 4 7 2 4" xfId="15431"/>
    <cellStyle name="40% - Ênfase6 4 7 2 4" xfId="15432"/>
    <cellStyle name="Normal 6 4 2 4" xfId="15433"/>
    <cellStyle name="Separador de milhares 7 2 2 4" xfId="15434"/>
    <cellStyle name="Moeda 3" xfId="15435"/>
    <cellStyle name="Normal 17 2" xfId="15436"/>
    <cellStyle name="Vírgula 2 10" xfId="15437"/>
    <cellStyle name="SAPBEXresData 2 4 5" xfId="15438"/>
    <cellStyle name="Entrada 3 9" xfId="15439"/>
    <cellStyle name="SAPBEXHLevel2 3 4 4" xfId="15440"/>
    <cellStyle name="SAPBEXHLevel1 2 2 4" xfId="15441"/>
    <cellStyle name="SAPBEXheaderText 6 3" xfId="15442"/>
    <cellStyle name="Input 2 10" xfId="15443"/>
    <cellStyle name="SAPBEXexcGood3 3 2 4" xfId="15444"/>
    <cellStyle name="Output 5 4" xfId="15445"/>
    <cellStyle name="SAPBEXexcBad9 3 9" xfId="15446"/>
    <cellStyle name="SAPBEXformats 4 2 4" xfId="15447"/>
    <cellStyle name="SAPBEXresData 2 3 4" xfId="15448"/>
    <cellStyle name="SAPBEXHLevel2 3 3 4" xfId="15449"/>
    <cellStyle name="SAPBEXHLevel1 2 5 3" xfId="15450"/>
    <cellStyle name="SAPBEXheaderText 5 3" xfId="15451"/>
    <cellStyle name="Cálculo 3 9" xfId="15452"/>
    <cellStyle name="SAPBEXresDataEmph 2 3 4" xfId="15453"/>
    <cellStyle name="SAPBEXresItem 2 5 4" xfId="15454"/>
    <cellStyle name="SAPBEXstdItemX 3 9" xfId="15455"/>
    <cellStyle name="Entrada 2 9" xfId="15456"/>
    <cellStyle name="SAPBEXHLevel2X 3 9" xfId="15457"/>
    <cellStyle name="SAPBEXtitle 4 9" xfId="15458"/>
    <cellStyle name="SAPBEXresDataEmph 4 9" xfId="15459"/>
    <cellStyle name="Input 4 3" xfId="15460"/>
    <cellStyle name="SAPBEXexcCritical5 5 6" xfId="15461"/>
    <cellStyle name="SAPBEXHLevel1X 3 5 4" xfId="15462"/>
    <cellStyle name="SAPBEXHLevel0 9 5" xfId="15463"/>
    <cellStyle name="SAPBEXHLevel3X 3 6 4" xfId="15464"/>
    <cellStyle name="SAPBEXHLevel3 3 6 4" xfId="15465"/>
    <cellStyle name="SAPBEXheaderText 3 5 3" xfId="15466"/>
    <cellStyle name="SAPBEXHLevel2X 3 6 4" xfId="15467"/>
    <cellStyle name="SAPBEXHLevel2 3 7 4" xfId="15468"/>
    <cellStyle name="SAPBEXHLevel0X 3 6 4" xfId="15469"/>
    <cellStyle name="SAPBEXHLevel0 3 7 4" xfId="15470"/>
    <cellStyle name="SAPBEXHLevel1X 3 6 4" xfId="15471"/>
    <cellStyle name="SAPBEXHLevel1 3 7 4" xfId="15472"/>
    <cellStyle name="SAPBEXstdItemX 4 3 2 3" xfId="15473"/>
    <cellStyle name="SAPBEXstdData 4 2 2 3" xfId="15474"/>
    <cellStyle name="SAPBEXHLevel3X 5 2 2 3" xfId="15475"/>
    <cellStyle name="SAPBEXformats 2 3 2 2 3" xfId="15476"/>
    <cellStyle name="SAPBEXexcGood2 5 2 2 3" xfId="15477"/>
    <cellStyle name="SAPBEXexcGood2 4 2 2 3" xfId="15478"/>
    <cellStyle name="SAPBEXexcGood1 5 2 2 3" xfId="15479"/>
    <cellStyle name="SAPBEXexcBad9 4 2 2 3" xfId="15480"/>
    <cellStyle name="Output 2 3 2 3" xfId="15481"/>
    <cellStyle name="SAPBEXtitle 3 2 3 3" xfId="15482"/>
    <cellStyle name="SAPBEXundefined 5 4 3" xfId="15483"/>
    <cellStyle name="SAPBEXexcBad7 5 4 3" xfId="15484"/>
    <cellStyle name="SAPBEXaggItem 5 4 3" xfId="15485"/>
    <cellStyle name="SAPBEXaggDataEmph 5 4 3" xfId="15486"/>
    <cellStyle name="SAPBEXHLevel1 3 6 2 3" xfId="15487"/>
    <cellStyle name="SAPBEXHLevel2X 9 2 3" xfId="15488"/>
    <cellStyle name="SAPBEXHLevel2X 3 6 2 3" xfId="15489"/>
    <cellStyle name="SAPBEXstdItem 2 3 4 3" xfId="15490"/>
    <cellStyle name="SAPBEXresItemX 5 4 3" xfId="15491"/>
    <cellStyle name="SAPBEXHLevel3X 5 4 3" xfId="15492"/>
    <cellStyle name="Calculation 3 2 3" xfId="15493"/>
    <cellStyle name="SAPBEXstdItem 2 2 4 4" xfId="15494"/>
    <cellStyle name="SAPBEXexcBad8 4 4 4" xfId="15495"/>
    <cellStyle name="SAPBEXaggItemX 4 4 4" xfId="15496"/>
    <cellStyle name="SAPBEXstdItemX 4 2 2 3" xfId="15497"/>
    <cellStyle name="SAPBEXformats 2 4 2 3" xfId="15498"/>
    <cellStyle name="SAPBEXexcCritical4 2 4 2 3" xfId="15499"/>
    <cellStyle name="SAPBEXformats 3 4 2 3" xfId="15500"/>
    <cellStyle name="SAPBEXHLevel0X 4 2 3 3" xfId="15501"/>
    <cellStyle name="SAPBEXexcBad9 2 4 3 3" xfId="15502"/>
    <cellStyle name="SAPBEXaggItemX 3 2 2 3" xfId="15503"/>
    <cellStyle name="SAPBEXaggItem 3 4 2 3" xfId="15504"/>
    <cellStyle name="SAPBEXresItemX 2 3 2 3" xfId="15505"/>
    <cellStyle name="SAPBEXresItem 2 3 2 3" xfId="15506"/>
    <cellStyle name="SAPBEXHLevel2X 2 3 2 3" xfId="15507"/>
    <cellStyle name="SAPBEXexcBad7 2 3 2 3" xfId="15508"/>
    <cellStyle name="SAPBEXaggItemX 2 3 2 3" xfId="15509"/>
    <cellStyle name="Note 2 2 2 3" xfId="15510"/>
    <cellStyle name="SAPBEXstdData 3 2 2 3" xfId="15511"/>
    <cellStyle name="SAPBEXresDataEmph 5 3 3" xfId="15512"/>
    <cellStyle name="SAPBEXHLevel3X 5 3 3" xfId="15513"/>
    <cellStyle name="SAPBEXHLevel3 5 4 3" xfId="15514"/>
    <cellStyle name="SAPBEXformats 6 2 3" xfId="15515"/>
    <cellStyle name="SAPBEXstdItem 2 2 3 4" xfId="15516"/>
    <cellStyle name="SAPBEXaggData 2 2 2 3" xfId="15517"/>
    <cellStyle name="SAPBEXresData 4 3 4" xfId="15518"/>
    <cellStyle name="SAPBEXexcCritical6 4 3 4" xfId="15519"/>
    <cellStyle name="SAPBEXexcCritical5 5 3 3" xfId="15520"/>
    <cellStyle name="SAPBEXexcCritical4 4 3 4" xfId="15521"/>
    <cellStyle name="Nota 3 7 4" xfId="15522"/>
    <cellStyle name="SAPBEXresItemX 2 4 2 3" xfId="15523"/>
    <cellStyle name="SAPBEXHLevel3X 2 4 2 3" xfId="15524"/>
    <cellStyle name="SAPBEXexcGood2 3 2 2 3" xfId="15525"/>
    <cellStyle name="SAPBEXexcGood2 2 5 2 3" xfId="15526"/>
    <cellStyle name="SAPBEXexcGood1 4 3 4" xfId="15527"/>
    <cellStyle name="SAPBEXexcCritical4 2 5 2 3" xfId="15528"/>
    <cellStyle name="Saída 2 4 2 3" xfId="15529"/>
    <cellStyle name="Entrada 2 4 2 3" xfId="15530"/>
    <cellStyle name="Entrada 5 2 3" xfId="15531"/>
    <cellStyle name="SAPBEXstdData 3 6 4" xfId="15532"/>
    <cellStyle name="SAPBEXchaText 3 6 4" xfId="15533"/>
    <cellStyle name="SAPBEXstdItem 2 7 4" xfId="15534"/>
    <cellStyle name="SAPBEXstdItem 10 3" xfId="15535"/>
    <cellStyle name="SAPBEXresDataEmph 8 3" xfId="15536"/>
    <cellStyle name="SAPBEXexcGood1 9 3" xfId="15537"/>
    <cellStyle name="SAPBEXexcCritical6 2 6 4" xfId="15538"/>
    <cellStyle name="SAPBEXexcBad8 8 3" xfId="15539"/>
    <cellStyle name="Calculation 6 4" xfId="15540"/>
    <cellStyle name="SAPBEXexcBad9 3 2 2 3" xfId="15541"/>
    <cellStyle name="SAPBEXaggData 8 3" xfId="15542"/>
    <cellStyle name="SAPBEXresItem 2 4 5" xfId="15543"/>
    <cellStyle name="SAPBEXstdItem 2 4 4" xfId="15544"/>
    <cellStyle name="SAPBEXundefined 3 2 4" xfId="15545"/>
    <cellStyle name="SAPBEXstdData 6 3" xfId="15546"/>
    <cellStyle name="SAPBEXstdData 2 2 4" xfId="15547"/>
    <cellStyle name="SAPBEXresItem 3 2 4" xfId="15548"/>
    <cellStyle name="SAPBEXHLevel2X 4 2 5" xfId="15549"/>
    <cellStyle name="SAPBEXHLevel3X 4 3 4" xfId="15550"/>
    <cellStyle name="SAPBEXresData 2 2 4" xfId="15551"/>
    <cellStyle name="SAPBEXHLevel3 2 3 3" xfId="15552"/>
    <cellStyle name="SAPBEXHLevel1X 5 2 3" xfId="15553"/>
    <cellStyle name="SAPBEXHLevel0 4 3 4" xfId="15554"/>
    <cellStyle name="SAPBEXformats 3 4 4" xfId="15555"/>
    <cellStyle name="SAPBEXexcGood3 2 5 4" xfId="15556"/>
    <cellStyle name="SAPBEXexcGood2 5 2 3" xfId="15557"/>
    <cellStyle name="SAPBEXexcGood1 6 3" xfId="15558"/>
    <cellStyle name="SAPBEXexcCritical5 2 5 4" xfId="15559"/>
    <cellStyle name="SAPBEXexcCritical4 2 5 4" xfId="15560"/>
    <cellStyle name="SAPBEXexcBad8 2 2 4" xfId="15561"/>
    <cellStyle name="SAPBEXexcBad8 2 5 4" xfId="15562"/>
    <cellStyle name="SAPBEXexcBad7 2 5 4" xfId="15563"/>
    <cellStyle name="SAPBEXaggDataEmph 2 4 5" xfId="15564"/>
    <cellStyle name="SAPBEXaggDataEmph 2 3 4" xfId="15565"/>
    <cellStyle name="SAPBEXaggDataEmph 2 2 4" xfId="15566"/>
    <cellStyle name="SAPBEXaggData 3 2 4" xfId="15567"/>
    <cellStyle name="Output 2 3 4" xfId="15568"/>
    <cellStyle name="Nota 2 6 6" xfId="15569"/>
    <cellStyle name="Entrada 3 2 4" xfId="15570"/>
    <cellStyle name="Cálculo 3 2 4" xfId="15571"/>
    <cellStyle name="Cálculo 2 3 4" xfId="15572"/>
    <cellStyle name="SAPBEXstdDataEmph 5 6" xfId="15573"/>
    <cellStyle name="SAPBEXfilterItem 3 2 5" xfId="15574"/>
    <cellStyle name="SAPBEXtitle 3 2 5" xfId="15575"/>
    <cellStyle name="SAPBEXexcBad9 3 2 6" xfId="15576"/>
    <cellStyle name="Saída 2 3 6" xfId="15577"/>
    <cellStyle name="Note 5 3" xfId="15578"/>
    <cellStyle name="SAPBEXundefined 5 6" xfId="15579"/>
    <cellStyle name="SAPBEXstdItemX 5 6" xfId="15580"/>
    <cellStyle name="SAPBEXstdItem 5 6" xfId="15581"/>
    <cellStyle name="SAPBEXexcBad8 5 6" xfId="15582"/>
    <cellStyle name="SAPBEXformats 5 6" xfId="15583"/>
    <cellStyle name="SAPBEXresData 5 6" xfId="15584"/>
    <cellStyle name="SAPBEXHLevel2 5 5" xfId="15585"/>
    <cellStyle name="SAPBEXHLevel1 5 6" xfId="15586"/>
    <cellStyle name="SAPBEXexcGood2 5 6" xfId="15587"/>
    <cellStyle name="SAPBEXexcCritical6 5 6" xfId="15588"/>
    <cellStyle name="SAPBEXexcCritical4 5 6" xfId="15589"/>
    <cellStyle name="SAPBEXexcBad9 5 6" xfId="15590"/>
    <cellStyle name="SAPBEXaggData 5 6" xfId="15591"/>
    <cellStyle name="SAPBEXHLevel3X 3 5 4" xfId="15592"/>
    <cellStyle name="Calculation 4 4" xfId="15593"/>
    <cellStyle name="SAPBEXHLevel2 3 6 4" xfId="15594"/>
    <cellStyle name="SAPBEXHLevel2X 3 5 4" xfId="15595"/>
    <cellStyle name="SAPBEXHLevel1 3 6 4" xfId="15596"/>
    <cellStyle name="SAPBEXHLevel0X 3 5 4" xfId="15597"/>
    <cellStyle name="SAPBEXHLevel0 3 6 4" xfId="15598"/>
    <cellStyle name="SAPBEXstdItem 2 6 4" xfId="15599"/>
    <cellStyle name="Note 4 5" xfId="15600"/>
    <cellStyle name="Total 4 6" xfId="15601"/>
    <cellStyle name="SAPBEXHLevel1X 9 4" xfId="15602"/>
    <cellStyle name="SAPBEXHLevel3X 9 4" xfId="15603"/>
    <cellStyle name="SAPBEXHLevel3 9 5" xfId="15604"/>
    <cellStyle name="SAPBEXHLevel2X 9 4" xfId="15605"/>
    <cellStyle name="SAPBEXaggItemX 8 4" xfId="15606"/>
    <cellStyle name="Calculation 3 4" xfId="15607"/>
    <cellStyle name="Output 2 2 4" xfId="15608"/>
    <cellStyle name="SAPBEXresItemX 5 6" xfId="15609"/>
    <cellStyle name="SAPBEXHLevel0X 5 6" xfId="15610"/>
    <cellStyle name="Saída 4 5" xfId="15611"/>
    <cellStyle name="SAPBEXexcGood2 3 9" xfId="15612"/>
    <cellStyle name="SAPBEXresData 3 9" xfId="15613"/>
    <cellStyle name="SAPBEXexcBad8 3 9" xfId="15614"/>
    <cellStyle name="Total 3 6" xfId="15615"/>
    <cellStyle name="SAPBEXresItemX 4 9" xfId="15616"/>
    <cellStyle name="SAPBEXHLevel2X 4 9" xfId="15617"/>
    <cellStyle name="SAPBEXHLevel2 4 9" xfId="15618"/>
    <cellStyle name="SAPBEXHLevel1 4 9" xfId="15619"/>
    <cellStyle name="SAPBEXformats 4 9" xfId="15620"/>
    <cellStyle name="SAPBEXexcGood3 2 11" xfId="15621"/>
    <cellStyle name="SAPBEXexcGood3 4 9" xfId="15622"/>
    <cellStyle name="SAPBEXexcGood1 2 11" xfId="15623"/>
    <cellStyle name="SAPBEXexcGood2 4 9" xfId="15624"/>
    <cellStyle name="SAPBEXexcCritical6 2 11" xfId="15625"/>
    <cellStyle name="SAPBEXexcCritical5 2 11" xfId="15626"/>
    <cellStyle name="SAPBEXexcCritical5 4 9" xfId="15627"/>
    <cellStyle name="SAPBEXexcCritical4 2 11" xfId="15628"/>
    <cellStyle name="SAPBEXexcBad9 2 11" xfId="15629"/>
    <cellStyle name="SAPBEXexcBad9 4 9" xfId="15630"/>
    <cellStyle name="SAPBEXexcBad7 2 11" xfId="15631"/>
    <cellStyle name="Total 6" xfId="15632"/>
    <cellStyle name="SAPBEXresItem 11" xfId="15633"/>
    <cellStyle name="SAPBEXHLevel0 4 9" xfId="15634"/>
    <cellStyle name="SAPBEXaggItem 2 11" xfId="15635"/>
    <cellStyle name="SAPBEXaggDataEmph 4 9" xfId="15636"/>
    <cellStyle name="SAPBEXresDataEmph 3 3 4" xfId="15637"/>
    <cellStyle name="Input 6" xfId="15638"/>
    <cellStyle name="Nota 3 9" xfId="15639"/>
    <cellStyle name="SAPBEXstdItem 6 2 3" xfId="15640"/>
    <cellStyle name="SAPBEXformats 2 6 3" xfId="15641"/>
    <cellStyle name="SAPBEXHLevel1X 4 9" xfId="15642"/>
    <cellStyle name="SAPBEXexcCritical6 4 9" xfId="15643"/>
    <cellStyle name="SAPBEXexcCritical4 4 9" xfId="15644"/>
    <cellStyle name="SAPBEXexcBad9 2 2 4" xfId="15645"/>
    <cellStyle name="SAPBEXformats 5 4 3" xfId="15646"/>
    <cellStyle name="SAPBEXheaderText 5 2 3" xfId="15647"/>
    <cellStyle name="SAPBEXHLevel1 4 3 2 3" xfId="15648"/>
    <cellStyle name="SAPBEXresDataEmph 2 5 4" xfId="15649"/>
    <cellStyle name="SAPBEXexcCritical5 2 2 2 3" xfId="15650"/>
    <cellStyle name="SAPBEXaggItem 3 5 4" xfId="15651"/>
    <cellStyle name="SAPBEXHLevel0X 3 4 2 3" xfId="15652"/>
    <cellStyle name="SAPBEXresItemX 3 2 2 3" xfId="15653"/>
    <cellStyle name="SAPBEXHLevel2X 4 5 4" xfId="15654"/>
    <cellStyle name="Note 2 4 4" xfId="15655"/>
    <cellStyle name="SAPBEXHLevel2X 2 3 3" xfId="15656"/>
    <cellStyle name="SAPBEXHLevel1 3 3 2 3" xfId="15657"/>
    <cellStyle name="SAPBEXaggItemX 2 4 2 3" xfId="15658"/>
    <cellStyle name="SAPBEXresItemX 3 3 4" xfId="15659"/>
    <cellStyle name="SAPBEXaggData 10 3" xfId="15660"/>
    <cellStyle name="SAPBEXHLevel0 3 5 4" xfId="15661"/>
    <cellStyle name="Input 2 2 2 3" xfId="15662"/>
    <cellStyle name="SAPBEXHLevel2X 4 2 2 3" xfId="15663"/>
    <cellStyle name="SAPBEXexcBad9 6 2 3" xfId="15664"/>
    <cellStyle name="SAPBEXstdItem 2 8 4" xfId="15665"/>
    <cellStyle name="SAPBEXHLevel1 9 3" xfId="15666"/>
    <cellStyle name="SAPBEXHLevel1 4 3 4" xfId="15667"/>
    <cellStyle name="SAPBEXformats 3 3 2 3" xfId="15668"/>
    <cellStyle name="SAPBEXstdItem 3 5 2 3" xfId="15669"/>
    <cellStyle name="SAPBEXresDataEmph 2 4 3 3" xfId="15670"/>
    <cellStyle name="SAPBEXexcGood2 3 3 4" xfId="15671"/>
    <cellStyle name="SAPBEXHLevel3X 2 3 3" xfId="15672"/>
    <cellStyle name="SAPBEXaggItem 4 3 2 3" xfId="15673"/>
    <cellStyle name="SAPBEXstdData 2 2 2 3" xfId="15674"/>
    <cellStyle name="SAPBEXstdItemX 3 3 2 3" xfId="15675"/>
    <cellStyle name="SAPBEXHLevel1X 9 2 3" xfId="15676"/>
    <cellStyle name="SAPBEXresItem 3 2 2 3" xfId="15677"/>
    <cellStyle name="SAPBEXstdItemX 4 2 5" xfId="15678"/>
    <cellStyle name="SAPBEXHLevel0 4 2 3 3" xfId="15679"/>
    <cellStyle name="SAPBEXaggItemX 3 4 4" xfId="15680"/>
    <cellStyle name="SAPBEXHLevel3 5 2 4" xfId="15681"/>
    <cellStyle name="Note 4 2 2 3" xfId="15682"/>
    <cellStyle name="SAPBEXaggDataEmph 2 5 4" xfId="15683"/>
    <cellStyle name="SAPBEXexcGood1 3 2 2 3" xfId="15684"/>
    <cellStyle name="SAPBEXstdData 5 2 3" xfId="15685"/>
    <cellStyle name="SAPBEXexcCritical6 8 3" xfId="15686"/>
    <cellStyle name="SAPBEXHLevel0X 5 2 3" xfId="15687"/>
    <cellStyle name="SAPBEXaggItem 3 3 2 3" xfId="15688"/>
    <cellStyle name="SAPBEXexcGood2 4 2 4" xfId="15689"/>
    <cellStyle name="Note 4 2 3" xfId="15690"/>
    <cellStyle name="SAPBEXHLevel2X 5 3 3" xfId="15691"/>
    <cellStyle name="SAPBEXaggItem 2 4 2 3" xfId="15692"/>
    <cellStyle name="SAPBEXaggDataEmph 4 4 4" xfId="15693"/>
    <cellStyle name="SAPBEXstdDataEmph 2 6 4" xfId="15694"/>
    <cellStyle name="SAPBEXresDataEmph 2 3 2 3" xfId="15695"/>
    <cellStyle name="SAPBEXaggData 5 4 3" xfId="15696"/>
    <cellStyle name="SAPBEXexcBad9 5 3 3" xfId="15697"/>
    <cellStyle name="SAPBEXHLevel3 5 5 3" xfId="15698"/>
    <cellStyle name="Cálculo 2 4 2 3" xfId="15699"/>
    <cellStyle name="SAPBEXresData 2 5 4" xfId="15700"/>
    <cellStyle name="SAPBEXexcGood1 4 2 2 3" xfId="15701"/>
    <cellStyle name="SAPBEXexcBad9 2 4 2 3" xfId="15702"/>
    <cellStyle name="SAPBEXundefined 4 3 4" xfId="15703"/>
    <cellStyle name="SAPBEXresItemX 5 2 2 3" xfId="15704"/>
    <cellStyle name="SAPBEXformats 2 4 5" xfId="15705"/>
    <cellStyle name="SAPBEXresItem 2 2 2 3" xfId="15706"/>
    <cellStyle name="SAPBEXHLevel2 3 7 2 3" xfId="15707"/>
    <cellStyle name="SAPBEXHLevel3 3 4 2 3" xfId="15708"/>
    <cellStyle name="SAPBEXstdItem 6 3" xfId="15709"/>
    <cellStyle name="Entrada 2 3 4" xfId="15710"/>
    <cellStyle name="SAPBEXexcBad8 2 4 3 3" xfId="15711"/>
    <cellStyle name="SAPBEXstdDataEmph 4 4 4" xfId="15712"/>
    <cellStyle name="SAPBEXHLevel3X 3 7 4" xfId="15713"/>
    <cellStyle name="SAPBEXHLevel3 2 2 2 3" xfId="15714"/>
    <cellStyle name="SAPBEXaggData 3 5 4" xfId="15715"/>
    <cellStyle name="SAPBEXexcBad9 4 3 4" xfId="15716"/>
    <cellStyle name="SAPBEXstdData 2 5 4" xfId="15717"/>
    <cellStyle name="SAPBEXstdItemX 8 3" xfId="15718"/>
    <cellStyle name="SAPBEXexcBad7 2 6 4" xfId="15719"/>
    <cellStyle name="SAPBEXHLevel0X 2 4 3" xfId="15720"/>
    <cellStyle name="Note 3 3 4" xfId="15721"/>
    <cellStyle name="SAPBEXstdItem 4 2 2 3" xfId="15722"/>
    <cellStyle name="SAPBEXexcGood1 5 2 3" xfId="15723"/>
    <cellStyle name="SAPBEXresData 2 6 4" xfId="15724"/>
    <cellStyle name="SAPBEXHLevel1X 4 2 5" xfId="15725"/>
    <cellStyle name="SAPBEXHLevel2 2 3 2 3" xfId="15726"/>
    <cellStyle name="SAPBEXHLevel0X 3 5 2 3" xfId="15727"/>
    <cellStyle name="Entrada 3 3 4" xfId="15728"/>
    <cellStyle name="SAPBEXundefined 2 4 5" xfId="15729"/>
    <cellStyle name="SAPBEXaggData 3 4 3 3" xfId="15730"/>
    <cellStyle name="SAPBEXresItemX 3 4 4" xfId="15731"/>
    <cellStyle name="SAPBEXexcBad9 3 3 2 3" xfId="15732"/>
    <cellStyle name="SAPBEXstdItemX 5 4 3" xfId="15733"/>
    <cellStyle name="SAPBEXHLevel3X 4 4 4" xfId="15734"/>
    <cellStyle name="SAPBEXHLevel3X 4 3 2 3" xfId="15735"/>
    <cellStyle name="SAPBEXstdDataEmph 4 9" xfId="15736"/>
    <cellStyle name="SAPBEXHLevel0X 4 9" xfId="15737"/>
    <cellStyle name="SAPBEXHLevel3X 4 9" xfId="15738"/>
    <cellStyle name="SAPBEXstdData 3 9" xfId="15739"/>
    <cellStyle name="SAPBEXHLevel0 3 9" xfId="15740"/>
    <cellStyle name="SAPBEXresData 4 9" xfId="15741"/>
    <cellStyle name="SAPBEXresDataEmph 5 2 3" xfId="15742"/>
    <cellStyle name="SAPBEXresData 5 2 3" xfId="15743"/>
    <cellStyle name="SAPBEXexcGood3 5 2 3" xfId="15744"/>
    <cellStyle name="SAPBEXHLevel1 3 5 4" xfId="15745"/>
    <cellStyle name="SAPBEXHLevel0 2 2 4" xfId="15746"/>
    <cellStyle name="SAPBEXaggItem 3 9" xfId="15747"/>
    <cellStyle name="SAPBEXresItem 4 9" xfId="15748"/>
    <cellStyle name="Output 3 6" xfId="15749"/>
    <cellStyle name="SAPBEXstdDataEmph 2 4 5" xfId="15750"/>
    <cellStyle name="SAPBEXHLevel0X 3 2 4" xfId="15751"/>
    <cellStyle name="Calculation 2 10" xfId="15752"/>
    <cellStyle name="SAPBEXstdItem 3 9" xfId="15753"/>
    <cellStyle name="SAPBEXHLevel2 3 9" xfId="15754"/>
    <cellStyle name="SAPBEXformats 5 2 2 3" xfId="15755"/>
    <cellStyle name="SAPBEXstdItem 2 2 2 2 3" xfId="15756"/>
    <cellStyle name="SAPBEXHLevel2X 4 3 2 3" xfId="15757"/>
    <cellStyle name="SAPBEXaggData 4 2 2 3" xfId="15758"/>
    <cellStyle name="SAPBEXexcCritical5 4 2 2 3" xfId="15759"/>
    <cellStyle name="SAPBEXexcBad7 4 2 2 3" xfId="15760"/>
    <cellStyle name="Calculation 2 2 2 3" xfId="15761"/>
    <cellStyle name="SAPBEXexcCritical5 5 4 3" xfId="15762"/>
    <cellStyle name="Saída 2 3 4 3" xfId="15763"/>
    <cellStyle name="SAPBEXresDataEmph 5 4 3" xfId="15764"/>
    <cellStyle name="SAPBEXstdItem 2 6 2 3" xfId="15765"/>
    <cellStyle name="SAPBEXHLevel3 3 5 2 3" xfId="15766"/>
    <cellStyle name="Note 4 4 3" xfId="15767"/>
    <cellStyle name="SAPBEXaggItemX 8 2 3" xfId="15768"/>
    <cellStyle name="SAPBEXHLevel0 3 7 2 3" xfId="15769"/>
    <cellStyle name="Output 2 2 2 3" xfId="15770"/>
    <cellStyle name="SAPBEXHLevel0 4 5 4" xfId="15771"/>
    <cellStyle name="SAPBEXHLevel0 5 5 3" xfId="15772"/>
    <cellStyle name="SAPBEXresData 4 4 4" xfId="15773"/>
    <cellStyle name="Input 2 4 4" xfId="15774"/>
    <cellStyle name="SAPBEXaggData 9 3" xfId="15775"/>
    <cellStyle name="SAPBEXHLevel3 9 2 3" xfId="15776"/>
    <cellStyle name="SAPBEXHLevel0X 4 2 2 3" xfId="15777"/>
    <cellStyle name="SAPBEXaggData 3 4 2 3" xfId="15778"/>
    <cellStyle name="SAPBEXresDataEmph 2 4 2 3" xfId="15779"/>
    <cellStyle name="SAPBEXexcGood2 2 4 2 3" xfId="15780"/>
    <cellStyle name="SAPBEXaggItem 4 2 2 3" xfId="15781"/>
    <cellStyle name="SAPBEXHLevel2 3 4 2 3" xfId="15782"/>
    <cellStyle name="SAPBEXHLevel2X 4 2 3 3" xfId="15783"/>
    <cellStyle name="SAPBEXstdData 3 4 2 3" xfId="15784"/>
    <cellStyle name="SAPBEXstdItem 4 2 3 3" xfId="15785"/>
    <cellStyle name="SAPBEXexcGood1 2 4 3 3" xfId="15786"/>
    <cellStyle name="SAPBEXaggData 2 4 2 3" xfId="15787"/>
    <cellStyle name="Input 2 3 4" xfId="15788"/>
    <cellStyle name="SAPBEXstdItem 3 3 2 3" xfId="15789"/>
    <cellStyle name="SAPBEXexcCritical6 2 3 2 3" xfId="15790"/>
    <cellStyle name="SAPBEXHLevel3X 2 3 2 3" xfId="15791"/>
    <cellStyle name="SAPBEXHLevel0X 3 2 2 3" xfId="15792"/>
    <cellStyle name="SAPBEXaggData 2 3 2 3" xfId="15793"/>
    <cellStyle name="Entrada 2 3 2 3" xfId="15794"/>
    <cellStyle name="SAPBEXaggItem 3 2 2 3" xfId="15795"/>
    <cellStyle name="SAPBEXundefined 2 2 2 3" xfId="15796"/>
    <cellStyle name="SAPBEXexcGood3 2 2 2 3" xfId="15797"/>
    <cellStyle name="SAPBEXfilterDrill 5 2 3" xfId="15798"/>
    <cellStyle name="SAPBEXaggItemX 4 3 4" xfId="15799"/>
    <cellStyle name="SAPBEXHLevel0X 5 3 3" xfId="15800"/>
    <cellStyle name="SAPBEXexcGood1 6 2 3" xfId="15801"/>
    <cellStyle name="SAPBEXHLevel0 2 2 3 3" xfId="15802"/>
    <cellStyle name="SAPBEXstdData 5 3 3" xfId="15803"/>
    <cellStyle name="SAPBEXHLevel1X 4 4 4" xfId="15804"/>
    <cellStyle name="SAPBEXformats 3 5 2 3" xfId="15805"/>
    <cellStyle name="SAPBEXstdData 4 3 4" xfId="15806"/>
    <cellStyle name="SAPBEXaggItem 5 3 3" xfId="15807"/>
    <cellStyle name="SAPBEXundefined 2 5 2 3" xfId="15808"/>
    <cellStyle name="SAPBEXresData 3 2 2 3" xfId="15809"/>
    <cellStyle name="SAPBEXHLevel2 2 5 2 3" xfId="15810"/>
    <cellStyle name="SAPBEXaggDataEmph 3 2 2 3" xfId="15811"/>
    <cellStyle name="SAPBEXexcCritical5 4 3 4" xfId="15812"/>
    <cellStyle name="SAPBEXexcBad8 2 5 2 3" xfId="15813"/>
    <cellStyle name="SAPBEXundefined 2 6 4" xfId="15814"/>
    <cellStyle name="SAPBEXexcCritical4 3 3 4" xfId="15815"/>
    <cellStyle name="SAPBEXtitle 3 4 4" xfId="15816"/>
    <cellStyle name="SAPBEXformats 3 6 4" xfId="15817"/>
    <cellStyle name="Saída 2 5 3" xfId="15818"/>
    <cellStyle name="SAPBEXHLevel1X 3 7 4" xfId="15819"/>
    <cellStyle name="SAPBEXexcGood3 2 6 4" xfId="15820"/>
    <cellStyle name="SAPBEXresItemX 10 4" xfId="15821"/>
    <cellStyle name="SAPBEXHLevel3 10 4" xfId="15822"/>
    <cellStyle name="Nota 8 4" xfId="15823"/>
    <cellStyle name="SAPBEXexcCritical4 8 3" xfId="15824"/>
    <cellStyle name="SAPBEXaggItem 10 3" xfId="15825"/>
    <cellStyle name="SAPBEXresDataEmph 3 2 2 3" xfId="15826"/>
    <cellStyle name="Cálculo 5 3" xfId="15827"/>
    <cellStyle name="Total 3 2 4" xfId="15828"/>
    <cellStyle name="SAPBEXstdItem 2 3 2 3" xfId="15829"/>
    <cellStyle name="SAPBEXstdItemX 2 3 3" xfId="15830"/>
    <cellStyle name="SAPBEXstdItem 3 4 4" xfId="15831"/>
    <cellStyle name="SAPBEXstdData 3 2 4" xfId="15832"/>
    <cellStyle name="SAPBEXHLevel2X 4 3 4" xfId="15833"/>
    <cellStyle name="SAPBEXHLevel3X 3 3 4" xfId="15834"/>
    <cellStyle name="SAPBEXHLevel3 3 3 4" xfId="15835"/>
    <cellStyle name="SAPBEXHLevel2 3 5 4" xfId="15836"/>
    <cellStyle name="SAPBEXHLevel1X 3 4 4" xfId="15837"/>
    <cellStyle name="SAPBEXHLevel0 3 4 4" xfId="15838"/>
    <cellStyle name="SAPBEXformats 3 3 4" xfId="15839"/>
    <cellStyle name="SAPBEXexcBad8 4 2 4" xfId="15840"/>
    <cellStyle name="SAPBEXexcCritical6 2 4 5" xfId="15841"/>
    <cellStyle name="SAPBEXexcGood2 2 2 4" xfId="15842"/>
    <cellStyle name="SAPBEXexcGood1 2 3 4" xfId="15843"/>
    <cellStyle name="SAPBEXexcCritical5 3 2 4" xfId="15844"/>
    <cellStyle name="SAPBEXexcCritical4 3 2 4" xfId="15845"/>
    <cellStyle name="SAPBEXexcBad9 4 2 4" xfId="15846"/>
    <cellStyle name="SAPBEXexcBad7 3 2 4" xfId="15847"/>
    <cellStyle name="SAPBEXchaText 5 4" xfId="15848"/>
    <cellStyle name="SAPBEXaggItemX 3 3 4" xfId="15849"/>
    <cellStyle name="SAPBEXaggItem 4 3 4" xfId="15850"/>
    <cellStyle name="SAPBEXaggData 5 2 3" xfId="15851"/>
    <cellStyle name="SAPBEXaggData 2 5 4" xfId="15852"/>
    <cellStyle name="Nota 6 4" xfId="15853"/>
    <cellStyle name="SAPBEXHLevel3X 5 6" xfId="15854"/>
    <cellStyle name="SAPBEXHLevel0 5 7" xfId="15855"/>
    <cellStyle name="Nota 2 9" xfId="15856"/>
    <cellStyle name="SAPBEXexcGood1 3 9" xfId="15857"/>
    <cellStyle name="SAPBEXformats 3 9" xfId="15858"/>
    <cellStyle name="SAPBEXexcBad7 3 9" xfId="15859"/>
    <cellStyle name="SAPBEXundefined 2 11" xfId="15860"/>
    <cellStyle name="SAPBEXaggItem 4 9" xfId="15861"/>
    <cellStyle name="SAPBEXexcBad9 2 5 4" xfId="15862"/>
    <cellStyle name="SAPBEXexcGood3 5 4 3" xfId="15863"/>
    <cellStyle name="SAPBEXheaderItem 5 2 3" xfId="15864"/>
    <cellStyle name="SAPBEXHLevel0X 5 2 2 3" xfId="15865"/>
    <cellStyle name="SAPBEXexcCritical4 2 2 2 3" xfId="15866"/>
    <cellStyle name="SAPBEXaggItem 2 4 4" xfId="15867"/>
    <cellStyle name="SAPBEXHLevel0X 2 4 2 3" xfId="15868"/>
    <cellStyle name="SAPBEXstdDataEmph 5 2 3" xfId="15869"/>
    <cellStyle name="SAPBEXHLevel3X 3 3 2 3" xfId="15870"/>
    <cellStyle name="SAPBEXHLevel2 4 5 4" xfId="15871"/>
    <cellStyle name="Nota 3 4 2 3" xfId="15872"/>
    <cellStyle name="Saída 2 4 3" xfId="15873"/>
    <cellStyle name="SAPBEXaggItem 4 4 4" xfId="15874"/>
    <cellStyle name="SAPBEXresItemX 2 3 3" xfId="15875"/>
    <cellStyle name="SAPBEXfilterDrill 9 3" xfId="15876"/>
    <cellStyle name="Saída 5 3" xfId="15877"/>
    <cellStyle name="Entrada 4 2 2 3" xfId="15878"/>
    <cellStyle name="SAPBEXHLevel2 4 2 2 3" xfId="15879"/>
    <cellStyle name="SAPBEXexcCritical6 5 2 3" xfId="15880"/>
    <cellStyle name="SAPBEXexcBad8 5 3 3" xfId="15881"/>
    <cellStyle name="SAPBEXformats 2 8 3" xfId="15882"/>
    <cellStyle name="SAPBEXHLevel0X 10 4" xfId="15883"/>
    <cellStyle name="SAPBEXHLevel1 3 4 4" xfId="15884"/>
    <cellStyle name="SAPBEXformats 2 3 3 3" xfId="15885"/>
    <cellStyle name="SAPBEXstdItem 2 5 2 3" xfId="15886"/>
    <cellStyle name="SAPBEXtitle 2 4 5" xfId="15887"/>
    <cellStyle name="SAPBEXresData 2 4 3 3" xfId="15888"/>
    <cellStyle name="SAPBEXexcGood1 3 3 4" xfId="15889"/>
    <cellStyle name="SAPBEXaggDataEmph 5 2 2 3" xfId="15890"/>
    <cellStyle name="SAPBEXexcCritical5 6 3" xfId="15891"/>
    <cellStyle name="SAPBEXHLevel3 2 2 3 3" xfId="15892"/>
    <cellStyle name="SAPBEXstdItem 5 2 2 3" xfId="15893"/>
    <cellStyle name="SAPBEXHLevel0X 9 2 3" xfId="15894"/>
    <cellStyle name="SAPBEXresItem 2 5 2 3" xfId="15895"/>
    <cellStyle name="SAPBEXstdItemX 4 3 4" xfId="15896"/>
    <cellStyle name="SAPBEXformats 2 4 3 3" xfId="15897"/>
    <cellStyle name="SAPBEXaggItem 3 6 4" xfId="15898"/>
    <cellStyle name="SAPBEXHLevel3 5 3 3" xfId="15899"/>
    <cellStyle name="Note 3 2 2 3" xfId="15900"/>
    <cellStyle name="Nota 7 4" xfId="15901"/>
    <cellStyle name="SAPBEXexcGood1 2 5 2 3" xfId="15902"/>
    <cellStyle name="SAPBEXstdData 4 2 4" xfId="15903"/>
    <cellStyle name="Cálculo 2 4 4" xfId="15904"/>
    <cellStyle name="SAPBEXexcCritical5 2 6 4" xfId="15905"/>
    <cellStyle name="SAPBEXHLevel0X 4 2 5" xfId="15906"/>
    <cellStyle name="SAPBEXaggItem 2 3 2 3" xfId="15907"/>
    <cellStyle name="SAPBEXexcGood2 3 2 4" xfId="15908"/>
    <cellStyle name="Note 7" xfId="15909"/>
    <cellStyle name="Note 3 2 4" xfId="15910"/>
    <cellStyle name="SAPBEXHLevel2 4 4 4" xfId="15911"/>
    <cellStyle name="Output 2 4 4" xfId="15912"/>
    <cellStyle name="Saída 3 5 3" xfId="15913"/>
    <cellStyle name="SAPBEXstdDataEmph 8 3" xfId="15914"/>
    <cellStyle name="SAPBEXHLevel2 2 2 4" xfId="15915"/>
    <cellStyle name="SAPBEXresData 2 3 2 3" xfId="15916"/>
    <cellStyle name="SAPBEXexcBad7 6 3" xfId="15917"/>
    <cellStyle name="Output 5 2 3" xfId="15918"/>
    <cellStyle name="SAPBEXexcBad8 4 3 4" xfId="15919"/>
    <cellStyle name="SAPBEXHLevel2X 5 4 3" xfId="15920"/>
    <cellStyle name="Cálculo 5 2 3" xfId="15921"/>
    <cellStyle name="SAPBEXexcCritical6 5 2 2 3" xfId="15922"/>
    <cellStyle name="SAPBEXexcBad8 2 4 2 3" xfId="15923"/>
    <cellStyle name="SAPBEXfilterItem 3 2 3 3" xfId="15924"/>
    <cellStyle name="SAPBEXtitle 5 2 3" xfId="15925"/>
    <cellStyle name="SAPBEXresItemX 4 2 2 3" xfId="15926"/>
    <cellStyle name="SAPBEXformats 2 3 2 3" xfId="15927"/>
    <cellStyle name="SAPBEXresDataEmph 2 2 2 3" xfId="15928"/>
    <cellStyle name="SAPBEXaggItem 6 3" xfId="15929"/>
    <cellStyle name="SAPBEXHLevel1X 3 6 2 3" xfId="15930"/>
    <cellStyle name="SAPBEXHLevel3 2 5 2 3" xfId="15931"/>
    <cellStyle name="SAPBEXstdItem 5 2 3" xfId="15932"/>
    <cellStyle name="SAPBEXexcBad7 2 4 3 3" xfId="15933"/>
    <cellStyle name="SAPBEXresItemX 4 4 4" xfId="15934"/>
    <cellStyle name="SAPBEXHLevel3 3 7 4" xfId="15935"/>
    <cellStyle name="SAPBEXHLevel3 2 2 4" xfId="15936"/>
    <cellStyle name="SAPBEXaggData 2 4 4" xfId="15937"/>
    <cellStyle name="SAPBEXexcBad9 3 2 3 3" xfId="15938"/>
    <cellStyle name="SAPBEXstdItem 9 3" xfId="15939"/>
    <cellStyle name="SAPBEXexcBad7 9 3" xfId="15940"/>
    <cellStyle name="Nota 2 4 2 3" xfId="15941"/>
    <cellStyle name="SAPBEXstdDataEmph 2 4 2 3" xfId="15942"/>
    <cellStyle name="SAPBEXexcGood1 4 2 4" xfId="15943"/>
    <cellStyle name="SAPBEXfilterDrill 6 2 3" xfId="15944"/>
    <cellStyle name="Nota 9 4" xfId="15945"/>
    <cellStyle name="SAPBEXresData 8 3" xfId="15946"/>
    <cellStyle name="SAPBEXHLevel1X 4 3 4" xfId="15947"/>
    <cellStyle name="SAPBEXHLevel1X 3 2 2 3" xfId="15948"/>
    <cellStyle name="SAPBEXHLevel0 3 6 2 3" xfId="15949"/>
    <cellStyle name="Cálculo 3 3 4" xfId="15950"/>
    <cellStyle name="SAPBEXundefined 2 3 4" xfId="15951"/>
    <cellStyle name="SAPBEXundefined 2 4 3 3" xfId="15952"/>
    <cellStyle name="SAPBEXresItem 3 3 4" xfId="15953"/>
    <cellStyle name="SAPBEXexcBad8 5 2 2 3" xfId="15954"/>
    <cellStyle name="SAPBEXstdItem 5 4 3" xfId="15955"/>
    <cellStyle name="SAPBEXHLevel3 4 4 4" xfId="15956"/>
    <cellStyle name="SAPBEXHLevel3 5 3 2 3" xfId="15957"/>
    <cellStyle name="Calculation 6 3" xfId="15958"/>
    <cellStyle name="Cálculo 6 2" xfId="15959"/>
    <cellStyle name="Entrada 6 3" xfId="15960"/>
    <cellStyle name="Input 5 2" xfId="15961"/>
    <cellStyle name="Nota 8 3" xfId="15962"/>
    <cellStyle name="Note 6 2" xfId="15963"/>
    <cellStyle name="Output 6 3" xfId="15964"/>
    <cellStyle name="Saída 5 2" xfId="15965"/>
    <cellStyle name="SAPBEXaggData 10 2" xfId="15966"/>
    <cellStyle name="SAPBEXaggData 2 6 3" xfId="15967"/>
    <cellStyle name="SAPBEXaggDataEmph 8 2" xfId="15968"/>
    <cellStyle name="SAPBEXaggDataEmph 2 6 3" xfId="15969"/>
    <cellStyle name="SAPBEXaggItem 10 2" xfId="15970"/>
    <cellStyle name="SAPBEXaggItem 2 6 3" xfId="15971"/>
    <cellStyle name="SAPBEXaggItemX 9 3" xfId="15972"/>
    <cellStyle name="SAPBEXexcBad7 9 2" xfId="15973"/>
    <cellStyle name="SAPBEXexcBad7 2 6 3" xfId="15974"/>
    <cellStyle name="SAPBEXexcBad8 8 2" xfId="15975"/>
    <cellStyle name="SAPBEXexcBad8 2 6 3" xfId="15976"/>
    <cellStyle name="SAPBEXexcBad9 9 2" xfId="15977"/>
    <cellStyle name="SAPBEXexcBad9 2 6 3" xfId="15978"/>
    <cellStyle name="SAPBEXexcCritical4 8 2" xfId="15979"/>
    <cellStyle name="SAPBEXexcCritical4 2 6 3" xfId="15980"/>
    <cellStyle name="SAPBEXexcCritical5 9 2" xfId="15981"/>
    <cellStyle name="SAPBEXexcCritical5 2 6 3" xfId="15982"/>
    <cellStyle name="SAPBEXexcCritical6 8 2" xfId="15983"/>
    <cellStyle name="SAPBEXexcCritical6 2 6 3" xfId="15984"/>
    <cellStyle name="SAPBEXexcGood1 9 2" xfId="15985"/>
    <cellStyle name="SAPBEXexcGood1 2 6 3" xfId="15986"/>
    <cellStyle name="SAPBEXexcGood2 8 2" xfId="15987"/>
    <cellStyle name="SAPBEXexcGood2 2 6 3" xfId="15988"/>
    <cellStyle name="SAPBEXexcGood3 9 2" xfId="15989"/>
    <cellStyle name="SAPBEXexcGood3 2 6 3" xfId="15990"/>
    <cellStyle name="SAPBEXformats 9 2" xfId="15991"/>
    <cellStyle name="SAPBEXformats 2 7 2" xfId="15992"/>
    <cellStyle name="SAPBEXHLevel0 10 3" xfId="15993"/>
    <cellStyle name="SAPBEXHLevel0X 10 3" xfId="15994"/>
    <cellStyle name="SAPBEXHLevel1 9 2" xfId="15995"/>
    <cellStyle name="SAPBEXHLevel1X 10 3" xfId="15996"/>
    <cellStyle name="SAPBEXHLevel2 9 2" xfId="15997"/>
    <cellStyle name="SAPBEXHLevel2X 10 3" xfId="15998"/>
    <cellStyle name="SAPBEXHLevel3 10 3" xfId="15999"/>
    <cellStyle name="SAPBEXHLevel3X 10 3" xfId="16000"/>
    <cellStyle name="SAPBEXinputData 10 3" xfId="16001"/>
    <cellStyle name="SAPBEXresData 8 2" xfId="16002"/>
    <cellStyle name="SAPBEXresData 2 6 3" xfId="16003"/>
    <cellStyle name="SAPBEXresDataEmph 8 2" xfId="16004"/>
    <cellStyle name="SAPBEXresDataEmph 2 6 3" xfId="16005"/>
    <cellStyle name="SAPBEXresItem 9 3" xfId="16006"/>
    <cellStyle name="SAPBEXresItem 2 6 3" xfId="16007"/>
    <cellStyle name="SAPBEXresItemX 10 3" xfId="16008"/>
    <cellStyle name="SAPBEXstdData 10 2" xfId="16009"/>
    <cellStyle name="SAPBEXstdData 2 6 3" xfId="16010"/>
    <cellStyle name="SAPBEXstdDataEmph 8 2" xfId="16011"/>
    <cellStyle name="SAPBEXstdDataEmph 2 6 3" xfId="16012"/>
    <cellStyle name="SAPBEXstdItem 10 2" xfId="16013"/>
    <cellStyle name="SAPBEXstdItem 2 7 3" xfId="16014"/>
    <cellStyle name="SAPBEXstdItemX 9 2" xfId="16015"/>
    <cellStyle name="SAPBEXtitle 10 3" xfId="16016"/>
    <cellStyle name="SAPBEXtitle 2 6 3" xfId="16017"/>
    <cellStyle name="SAPBEXundefined 8 2" xfId="16018"/>
    <cellStyle name="SAPBEXundefined 2 6 3" xfId="16019"/>
    <cellStyle name="Total 5 3" xfId="16020"/>
    <cellStyle name="SAPBEXItemHeader 2 3" xfId="16021"/>
    <cellStyle name="SAPBEXunassignedItem 3 3" xfId="16022"/>
    <cellStyle name="Note 2 4 3" xfId="16023"/>
    <cellStyle name="SAPBEXHLevel0 3 8 3" xfId="16024"/>
    <cellStyle name="SAPBEXHLevel0X 3 7 3" xfId="16025"/>
    <cellStyle name="SAPBEXHLevel1 3 8 3" xfId="16026"/>
    <cellStyle name="SAPBEXHLevel1X 3 7 3" xfId="16027"/>
    <cellStyle name="SAPBEXHLevel2 3 8 3" xfId="16028"/>
    <cellStyle name="SAPBEXHLevel2X 3 7 3" xfId="16029"/>
    <cellStyle name="SAPBEXHLevel3 3 7 3" xfId="16030"/>
    <cellStyle name="SAPBEXHLevel3X 3 7 3" xfId="16031"/>
    <cellStyle name="SAPBEXinputData 3 6 3" xfId="16032"/>
    <cellStyle name="Cálculo 2 5 3" xfId="16033"/>
    <cellStyle name="Entrada 2 5 3" xfId="16034"/>
    <cellStyle name="Nota 2 7 3" xfId="16035"/>
    <cellStyle name="Saída 2 5 2" xfId="16036"/>
    <cellStyle name="SAPBEXaggData 3 6 3" xfId="16037"/>
    <cellStyle name="SAPBEXaggDataEmph 3 3 3" xfId="16038"/>
    <cellStyle name="SAPBEXaggItem 3 6 3" xfId="16039"/>
    <cellStyle name="SAPBEXaggItemX 3 4 3" xfId="16040"/>
    <cellStyle name="SAPBEXchaText 3 6 3" xfId="16041"/>
    <cellStyle name="SAPBEXexcBad7 3 3 3" xfId="16042"/>
    <cellStyle name="SAPBEXexcBad8 3 3 3" xfId="16043"/>
    <cellStyle name="SAPBEXexcBad9 3 4 3" xfId="16044"/>
    <cellStyle name="SAPBEXexcCritical4 3 3 3" xfId="16045"/>
    <cellStyle name="SAPBEXexcCritical5 3 3 3" xfId="16046"/>
    <cellStyle name="SAPBEXexcCritical6 3 3 3" xfId="16047"/>
    <cellStyle name="SAPBEXexcGood1 3 3 3" xfId="16048"/>
    <cellStyle name="SAPBEXexcGood2 3 3 3" xfId="16049"/>
    <cellStyle name="SAPBEXexcGood3 3 3 3" xfId="16050"/>
    <cellStyle name="SAPBEXfilterDrill 3 4 3" xfId="16051"/>
    <cellStyle name="SAPBEXfilterItem 3 4 3" xfId="16052"/>
    <cellStyle name="SAPBEXformats 3 6 3" xfId="16053"/>
    <cellStyle name="SAPBEXresData 3 3 3" xfId="16054"/>
    <cellStyle name="SAPBEXresDataEmph 3 4 3" xfId="16055"/>
    <cellStyle name="SAPBEXresItem 3 3 3" xfId="16056"/>
    <cellStyle name="SAPBEXresItemX 3 4 3" xfId="16057"/>
    <cellStyle name="SAPBEXstdData 3 6 3" xfId="16058"/>
    <cellStyle name="SAPBEXstdDataEmph 3 3 3" xfId="16059"/>
    <cellStyle name="SAPBEXstdItem 3 6 3" xfId="16060"/>
    <cellStyle name="SAPBEXstdItemX 3 4 3" xfId="16061"/>
    <cellStyle name="SAPBEXtitle 3 4 3" xfId="16062"/>
    <cellStyle name="SAPBEXundefined 3 3 3" xfId="16063"/>
    <cellStyle name="Total 2 4 3" xfId="16064"/>
    <cellStyle name="Cálculo 5 2 2" xfId="16065"/>
    <cellStyle name="Cálculo 2 4 2 2" xfId="16066"/>
    <cellStyle name="Entrada 5 2 2" xfId="16067"/>
    <cellStyle name="Entrada 2 4 2 2" xfId="16068"/>
    <cellStyle name="Nota 7 2 2" xfId="16069"/>
    <cellStyle name="Nota 2 6 4 2" xfId="16070"/>
    <cellStyle name="Note 2 3 2 2" xfId="16071"/>
    <cellStyle name="Saída 2 4 2 2" xfId="16072"/>
    <cellStyle name="SAPBEXaggData 8 2 2" xfId="16073"/>
    <cellStyle name="SAPBEXaggData 2 5 2 2" xfId="16074"/>
    <cellStyle name="SAPBEXaggData 3 5 2 2" xfId="16075"/>
    <cellStyle name="SAPBEXaggData 4 3 3" xfId="16076"/>
    <cellStyle name="SAPBEXaggDataEmph 2 5 2 2" xfId="16077"/>
    <cellStyle name="SAPBEXaggDataEmph 3 2 2 2" xfId="16078"/>
    <cellStyle name="SAPBEXaggItem 2 5 2 2" xfId="16079"/>
    <cellStyle name="SAPBEXaggItem 3 5 2 2" xfId="16080"/>
    <cellStyle name="SAPBEXaggItem 4 4 3" xfId="16081"/>
    <cellStyle name="SAPBEXaggItemX 2 4 2 2" xfId="16082"/>
    <cellStyle name="SAPBEXexcBad7 2 5 2 2" xfId="16083"/>
    <cellStyle name="SAPBEXexcBad7 3 2 2 2" xfId="16084"/>
    <cellStyle name="SAPBEXexcBad7 4 3 3" xfId="16085"/>
    <cellStyle name="SAPBEXexcBad8 2 5 2 2" xfId="16086"/>
    <cellStyle name="SAPBEXexcBad8 3 2 2 2" xfId="16087"/>
    <cellStyle name="SAPBEXexcBad9 2 5 2 2" xfId="16088"/>
    <cellStyle name="SAPBEXexcBad9 3 2 3 2" xfId="16089"/>
    <cellStyle name="SAPBEXexcBad9 4 3 3" xfId="16090"/>
    <cellStyle name="SAPBEXexcCritical4 2 5 2 2" xfId="16091"/>
    <cellStyle name="SAPBEXexcCritical4 3 2 2 2" xfId="16092"/>
    <cellStyle name="SAPBEXexcCritical5 2 5 2 2" xfId="16093"/>
    <cellStyle name="SAPBEXexcCritical5 3 2 2 2" xfId="16094"/>
    <cellStyle name="SAPBEXexcCritical5 4 3 3" xfId="16095"/>
    <cellStyle name="SAPBEXexcCritical6 2 5 2 2" xfId="16096"/>
    <cellStyle name="SAPBEXexcCritical6 3 2 2 2" xfId="16097"/>
    <cellStyle name="SAPBEXexcGood1 2 5 2 2" xfId="16098"/>
    <cellStyle name="SAPBEXexcGood1 3 2 2 2" xfId="16099"/>
    <cellStyle name="SAPBEXexcGood1 4 3 3" xfId="16100"/>
    <cellStyle name="SAPBEXexcGood2 2 5 2 2" xfId="16101"/>
    <cellStyle name="SAPBEXexcGood2 3 2 2 2" xfId="16102"/>
    <cellStyle name="SAPBEXexcGood3 2 5 2 2" xfId="16103"/>
    <cellStyle name="SAPBEXexcGood3 3 2 2 2" xfId="16104"/>
    <cellStyle name="SAPBEXexcGood3 4 3 3" xfId="16105"/>
    <cellStyle name="SAPBEXformats 2 5 2 2" xfId="16106"/>
    <cellStyle name="SAPBEXformats 3 5 2 2" xfId="16107"/>
    <cellStyle name="SAPBEXformats 4 3 3" xfId="16108"/>
    <cellStyle name="SAPBEXHLevel0 2 5 2 2" xfId="16109"/>
    <cellStyle name="SAPBEXHLevel0 3 5 2 2" xfId="16110"/>
    <cellStyle name="SAPBEXHLevel0X 2 4 2 2" xfId="16111"/>
    <cellStyle name="SAPBEXHLevel0X 3 4 2 2" xfId="16112"/>
    <cellStyle name="SAPBEXHLevel1 2 5 2 2" xfId="16113"/>
    <cellStyle name="SAPBEXHLevel1X 2 4 2 2" xfId="16114"/>
    <cellStyle name="SAPBEXHLevel1X 3 4 2 2" xfId="16115"/>
    <cellStyle name="SAPBEXHLevel2 2 5 2 2" xfId="16116"/>
    <cellStyle name="SAPBEXHLevel2X 2 4 2 2" xfId="16117"/>
    <cellStyle name="SAPBEXHLevel2X 3 4 2 2" xfId="16118"/>
    <cellStyle name="SAPBEXHLevel3 2 5 2 2" xfId="16119"/>
    <cellStyle name="SAPBEXHLevel3 3 4 2 2" xfId="16120"/>
    <cellStyle name="SAPBEXHLevel3X 2 4 2 2" xfId="16121"/>
    <cellStyle name="SAPBEXHLevel3X 3 4 2 2" xfId="16122"/>
    <cellStyle name="SAPBEXinputData 3 4 2 2" xfId="16123"/>
    <cellStyle name="SAPBEXresData 2 5 2 2" xfId="16124"/>
    <cellStyle name="SAPBEXresData 3 2 2 2" xfId="16125"/>
    <cellStyle name="SAPBEXresDataEmph 2 5 2 2" xfId="16126"/>
    <cellStyle name="SAPBEXresDataEmph 3 2 3 2" xfId="16127"/>
    <cellStyle name="SAPBEXresItem 2 5 2 2" xfId="16128"/>
    <cellStyle name="SAPBEXresItem 3 2 2 2" xfId="16129"/>
    <cellStyle name="SAPBEXresItemX 2 4 2 2" xfId="16130"/>
    <cellStyle name="SAPBEXresItemX 3 3 2 2" xfId="16131"/>
    <cellStyle name="SAPBEXstdData 2 5 2 2" xfId="16132"/>
    <cellStyle name="SAPBEXstdData 3 5 2 2" xfId="16133"/>
    <cellStyle name="SAPBEXstdData 4 3 3" xfId="16134"/>
    <cellStyle name="SAPBEXstdDataEmph 2 5 2 2" xfId="16135"/>
    <cellStyle name="SAPBEXstdDataEmph 3 2 2 2" xfId="16136"/>
    <cellStyle name="SAPBEXstdItem 2 5 2 2" xfId="16137"/>
    <cellStyle name="SAPBEXstdItem 3 5 2 2" xfId="16138"/>
    <cellStyle name="SAPBEXstdItem 4 4 3" xfId="16139"/>
    <cellStyle name="SAPBEXstdItemX 2 4 2 2" xfId="16140"/>
    <cellStyle name="SAPBEXtitle 4 2 3" xfId="16141"/>
    <cellStyle name="SAPBEXundefined 2 5 2 2" xfId="16142"/>
    <cellStyle name="SAPBEXundefined 3 2 2 2" xfId="16143"/>
    <cellStyle name="Total 4 3 2" xfId="16144"/>
    <cellStyle name="Cálculo 3 3 3" xfId="16145"/>
    <cellStyle name="Entrada 3 3 3" xfId="16146"/>
    <cellStyle name="Nota 3 7 3" xfId="16147"/>
    <cellStyle name="Saída 3 4 3" xfId="16148"/>
    <cellStyle name="SAPBEXaggData 5 3 2" xfId="16149"/>
    <cellStyle name="SAPBEXaggDataEmph 4 3 3" xfId="16150"/>
    <cellStyle name="SAPBEXaggItem 5 3 2" xfId="16151"/>
    <cellStyle name="SAPBEXchaText 5 3 2" xfId="16152"/>
    <cellStyle name="SAPBEXexcBad7 5 3 2" xfId="16153"/>
    <cellStyle name="SAPBEXexcBad8 4 3 3" xfId="16154"/>
    <cellStyle name="SAPBEXexcBad9 5 3 2" xfId="16155"/>
    <cellStyle name="SAPBEXexcCritical4 4 3 3" xfId="16156"/>
    <cellStyle name="SAPBEXexcCritical5 5 3 2" xfId="16157"/>
    <cellStyle name="SAPBEXexcCritical6 4 3 3" xfId="16158"/>
    <cellStyle name="SAPBEXexcGood1 5 3 2" xfId="16159"/>
    <cellStyle name="SAPBEXexcGood2 4 3 3" xfId="16160"/>
    <cellStyle name="SAPBEXexcGood3 5 3 2" xfId="16161"/>
    <cellStyle name="SAPBEXfilterDrill 5 2 2" xfId="16162"/>
    <cellStyle name="SAPBEXfilterItem 5 2 2" xfId="16163"/>
    <cellStyle name="SAPBEXfilterText 3 2 2 2" xfId="16164"/>
    <cellStyle name="SAPBEXformats 5 3 2" xfId="16165"/>
    <cellStyle name="SAPBEXheaderItem 5 2 2" xfId="16166"/>
    <cellStyle name="SAPBEXheaderText 5 2 2" xfId="16167"/>
    <cellStyle name="SAPBEXHLevel0 4 4 3" xfId="16168"/>
    <cellStyle name="SAPBEXHLevel0X 4 4 3" xfId="16169"/>
    <cellStyle name="SAPBEXHLevel1 3 5 2 2" xfId="16170"/>
    <cellStyle name="SAPBEXHLevel1X 4 4 3" xfId="16171"/>
    <cellStyle name="SAPBEXHLevel2 3 5 2 2" xfId="16172"/>
    <cellStyle name="SAPBEXHLevel2X 4 4 3" xfId="16173"/>
    <cellStyle name="SAPBEXHLevel3 4 4 3" xfId="16174"/>
    <cellStyle name="SAPBEXHLevel3X 4 4 3" xfId="16175"/>
    <cellStyle name="SAPBEXresData 4 3 3" xfId="16176"/>
    <cellStyle name="SAPBEXresDataEmph 4 3 3" xfId="16177"/>
    <cellStyle name="SAPBEXresItem 4 3 3" xfId="16178"/>
    <cellStyle name="SAPBEXresItemX 4 3 3" xfId="16179"/>
    <cellStyle name="SAPBEXstdData 5 3 2" xfId="16180"/>
    <cellStyle name="SAPBEXstdDataEmph 4 3 3" xfId="16181"/>
    <cellStyle name="SAPBEXstdItem 5 3 2" xfId="16182"/>
    <cellStyle name="SAPBEXtitle 5 2 2" xfId="16183"/>
    <cellStyle name="SAPBEXundefined 4 3 3" xfId="16184"/>
    <cellStyle name="SAPBEXaggData 2 2 2 2" xfId="16185"/>
    <cellStyle name="SAPBEXaggItem 2 2 2 2" xfId="16186"/>
    <cellStyle name="SAPBEXchaText 2 2 2 2" xfId="16187"/>
    <cellStyle name="SAPBEXformats 2 2 3 3" xfId="16188"/>
    <cellStyle name="SAPBEXHLevel0 2 2 3 2" xfId="16189"/>
    <cellStyle name="SAPBEXHLevel1 2 2 3 2" xfId="16190"/>
    <cellStyle name="SAPBEXHLevel2 2 2 3 2" xfId="16191"/>
    <cellStyle name="SAPBEXHLevel3 2 2 3 2" xfId="16192"/>
    <cellStyle name="SAPBEXstdData 2 2 2 2" xfId="16193"/>
    <cellStyle name="SAPBEXstdItem 2 2 3 3" xfId="16194"/>
    <cellStyle name="SAPBEXaggData 6 2 2" xfId="16195"/>
    <cellStyle name="SAPBEXaggDataEmph 5 3 2" xfId="16196"/>
    <cellStyle name="SAPBEXaggItem 6 2 2" xfId="16197"/>
    <cellStyle name="SAPBEXaggItemX 4 3 3" xfId="16198"/>
    <cellStyle name="SAPBEXchaText 6 2 2" xfId="16199"/>
    <cellStyle name="SAPBEXexcBad7 6 2 2" xfId="16200"/>
    <cellStyle name="SAPBEXexcBad8 5 3 2" xfId="16201"/>
    <cellStyle name="SAPBEXexcBad9 6 2 2" xfId="16202"/>
    <cellStyle name="SAPBEXexcCritical4 5 3 2" xfId="16203"/>
    <cellStyle name="SAPBEXexcCritical5 6 2 2" xfId="16204"/>
    <cellStyle name="SAPBEXexcCritical6 5 3 2" xfId="16205"/>
    <cellStyle name="SAPBEXexcGood1 6 2 2" xfId="16206"/>
    <cellStyle name="SAPBEXexcGood2 5 3 2" xfId="16207"/>
    <cellStyle name="SAPBEXexcGood3 6 2 2" xfId="16208"/>
    <cellStyle name="SAPBEXfilterDrill 6 2 2" xfId="16209"/>
    <cellStyle name="SAPBEXfilterItem 6 2 2" xfId="16210"/>
    <cellStyle name="SAPBEXformats 6 2 2" xfId="16211"/>
    <cellStyle name="SAPBEXheaderItem 6 2 2" xfId="16212"/>
    <cellStyle name="SAPBEXheaderText 6 2 2" xfId="16213"/>
    <cellStyle name="SAPBEXHLevel0 5 4 2" xfId="16214"/>
    <cellStyle name="SAPBEXHLevel0X 5 3 2" xfId="16215"/>
    <cellStyle name="SAPBEXHLevel1 4 4 3" xfId="16216"/>
    <cellStyle name="SAPBEXHLevel1X 5 3 2" xfId="16217"/>
    <cellStyle name="SAPBEXHLevel2 4 4 3" xfId="16218"/>
    <cellStyle name="SAPBEXHLevel2X 5 3 2" xfId="16219"/>
    <cellStyle name="SAPBEXHLevel3 5 4 2" xfId="16220"/>
    <cellStyle name="SAPBEXHLevel3X 5 3 2" xfId="16221"/>
    <cellStyle name="SAPBEXresData 5 3 2" xfId="16222"/>
    <cellStyle name="SAPBEXresDataEmph 5 3 2" xfId="16223"/>
    <cellStyle name="SAPBEXresItem 5 2 2" xfId="16224"/>
    <cellStyle name="SAPBEXresItemX 5 3 2" xfId="16225"/>
    <cellStyle name="SAPBEXstdData 6 2 2" xfId="16226"/>
    <cellStyle name="SAPBEXstdDataEmph 5 3 2" xfId="16227"/>
    <cellStyle name="SAPBEXstdItem 6 2 2" xfId="16228"/>
    <cellStyle name="SAPBEXstdItemX 4 4 3" xfId="16229"/>
    <cellStyle name="SAPBEXundefined 5 3 2" xfId="16230"/>
    <cellStyle name="SAPBEXexcBad8 2 3 4" xfId="16231"/>
    <cellStyle name="SAPBEXexcBad8 5 4 3" xfId="16232"/>
    <cellStyle name="SAPBEXexcGood1 5 3 3" xfId="16233"/>
    <cellStyle name="SAPBEXaggData 3 2 2 2" xfId="16234"/>
    <cellStyle name="SAPBEXaggDataEmph 2 2 2 2" xfId="16235"/>
    <cellStyle name="SAPBEXaggItem 3 2 2 2" xfId="16236"/>
    <cellStyle name="SAPBEXexcBad7 2 2 2 2" xfId="16237"/>
    <cellStyle name="SAPBEXexcBad8 2 2 2 2" xfId="16238"/>
    <cellStyle name="SAPBEXexcBad9 2 2 2 2" xfId="16239"/>
    <cellStyle name="SAPBEXexcCritical4 2 2 2 2" xfId="16240"/>
    <cellStyle name="SAPBEXexcCritical5 2 2 2 2" xfId="16241"/>
    <cellStyle name="SAPBEXexcCritical6 2 2 2 2" xfId="16242"/>
    <cellStyle name="SAPBEXexcGood1 2 2 2 2" xfId="16243"/>
    <cellStyle name="SAPBEXexcGood2 2 2 2 2" xfId="16244"/>
    <cellStyle name="SAPBEXexcGood3 2 2 2 2" xfId="16245"/>
    <cellStyle name="SAPBEXformats 3 2 2 2" xfId="16246"/>
    <cellStyle name="SAPBEXresData 2 2 2 2" xfId="16247"/>
    <cellStyle name="SAPBEXresDataEmph 2 2 2 2" xfId="16248"/>
    <cellStyle name="SAPBEXresItem 2 2 2 2" xfId="16249"/>
    <cellStyle name="SAPBEXstdData 3 2 2 2" xfId="16250"/>
    <cellStyle name="SAPBEXstdDataEmph 2 2 2 2" xfId="16251"/>
    <cellStyle name="SAPBEXstdItem 3 2 2 2" xfId="16252"/>
    <cellStyle name="SAPBEXtitle 2 2 2 2" xfId="16253"/>
    <cellStyle name="SAPBEXundefined 2 2 2 2" xfId="16254"/>
    <cellStyle name="Nota 2 6 4 3" xfId="16255"/>
    <cellStyle name="SAPBEXresData 4 2 4" xfId="16256"/>
    <cellStyle name="SAPBEXexcGood3 5 2 2 3" xfId="16257"/>
    <cellStyle name="SAPBEXaggDataEmph 4 2 4" xfId="16258"/>
    <cellStyle name="SAPBEXexcGood3 3 2 2 3" xfId="16259"/>
    <cellStyle name="SAPBEXstdDataEmph 2 2 4" xfId="16260"/>
    <cellStyle name="SAPBEXHLevel0X 3 3 2 3" xfId="16261"/>
    <cellStyle name="SAPBEXexcCritical6 4 4 4" xfId="16262"/>
    <cellStyle name="SAPBEXtitle 10 4" xfId="16263"/>
    <cellStyle name="SAPBEXHLevel2 4 2 5" xfId="16264"/>
    <cellStyle name="SAPBEXstdData 3 3 2 3" xfId="16265"/>
    <cellStyle name="SAPBEXundefined 5 3 3" xfId="16266"/>
    <cellStyle name="SAPBEXaggData 4 3 4" xfId="16267"/>
    <cellStyle name="SAPBEXresItem 5 4" xfId="16268"/>
    <cellStyle name="SAPBEXundefined 5 2 2 3" xfId="16269"/>
    <cellStyle name="Entrada 6 4" xfId="16270"/>
    <cellStyle name="SAPBEXHLevel0 2 5 3" xfId="16271"/>
    <cellStyle name="Cálculo 4 2 2" xfId="16272"/>
    <cellStyle name="Cálculo 2 3 2 2" xfId="16273"/>
    <cellStyle name="Entrada 4 3 2" xfId="16274"/>
    <cellStyle name="Entrada 2 3 2 2" xfId="16275"/>
    <cellStyle name="Nota 6 2 2" xfId="16276"/>
    <cellStyle name="Nota 2 4 2 2" xfId="16277"/>
    <cellStyle name="Note 3 3 3" xfId="16278"/>
    <cellStyle name="Note 2 2 2 2" xfId="16279"/>
    <cellStyle name="Saída 4 3 3" xfId="16280"/>
    <cellStyle name="Saída 2 3 3 2" xfId="16281"/>
    <cellStyle name="SAPBEXaggData 7 2 2" xfId="16282"/>
    <cellStyle name="SAPBEXaggData 2 3 2 2" xfId="16283"/>
    <cellStyle name="SAPBEXaggData 3 3 2 2" xfId="16284"/>
    <cellStyle name="SAPBEXaggDataEmph 2 3 2 2" xfId="16285"/>
    <cellStyle name="SAPBEXaggItem 2 3 2 2" xfId="16286"/>
    <cellStyle name="SAPBEXaggItem 3 3 2 2" xfId="16287"/>
    <cellStyle name="SAPBEXaggItemX 2 3 2 2" xfId="16288"/>
    <cellStyle name="SAPBEXexcBad7 2 3 2 2" xfId="16289"/>
    <cellStyle name="SAPBEXexcBad8 2 3 2 2" xfId="16290"/>
    <cellStyle name="SAPBEXexcBad9 2 3 2 2" xfId="16291"/>
    <cellStyle name="SAPBEXexcCritical4 2 3 2 2" xfId="16292"/>
    <cellStyle name="SAPBEXexcCritical5 2 3 2 2" xfId="16293"/>
    <cellStyle name="SAPBEXexcCritical6 2 3 2 2" xfId="16294"/>
    <cellStyle name="SAPBEXexcGood1 2 3 2 2" xfId="16295"/>
    <cellStyle name="SAPBEXexcGood2 2 3 2 2" xfId="16296"/>
    <cellStyle name="SAPBEXexcGood3 2 3 2 2" xfId="16297"/>
    <cellStyle name="SAPBEXformats 2 3 3 2" xfId="16298"/>
    <cellStyle name="SAPBEXformats 3 3 2 2" xfId="16299"/>
    <cellStyle name="SAPBEXHLevel0 2 3 2 2" xfId="16300"/>
    <cellStyle name="SAPBEXHLevel0 3 3 2 2" xfId="16301"/>
    <cellStyle name="SAPBEXHLevel0X 2 3 2 2" xfId="16302"/>
    <cellStyle name="SAPBEXHLevel0X 3 2 2 2" xfId="16303"/>
    <cellStyle name="SAPBEXHLevel1 2 3 2 2" xfId="16304"/>
    <cellStyle name="SAPBEXHLevel1X 2 3 2 2" xfId="16305"/>
    <cellStyle name="SAPBEXHLevel1X 3 2 2 2" xfId="16306"/>
    <cellStyle name="SAPBEXHLevel2 2 3 2 2" xfId="16307"/>
    <cellStyle name="SAPBEXHLevel2X 2 3 2 2" xfId="16308"/>
    <cellStyle name="SAPBEXHLevel2X 3 2 2 2" xfId="16309"/>
    <cellStyle name="SAPBEXHLevel3 2 3 2 2" xfId="16310"/>
    <cellStyle name="SAPBEXHLevel3 3 3 2 2" xfId="16311"/>
    <cellStyle name="SAPBEXHLevel3X 2 3 2 2" xfId="16312"/>
    <cellStyle name="SAPBEXHLevel3X 3 2 2 2" xfId="16313"/>
    <cellStyle name="SAPBEXinputData 3 2 2 2" xfId="16314"/>
    <cellStyle name="SAPBEXresData 2 3 2 2" xfId="16315"/>
    <cellStyle name="SAPBEXresDataEmph 2 3 2 2" xfId="16316"/>
    <cellStyle name="SAPBEXresItem 2 3 2 2" xfId="16317"/>
    <cellStyle name="SAPBEXresItemX 2 3 2 2" xfId="16318"/>
    <cellStyle name="SAPBEXstdData 2 3 2 2" xfId="16319"/>
    <cellStyle name="SAPBEXstdData 3 3 2 2" xfId="16320"/>
    <cellStyle name="SAPBEXstdDataEmph 2 3 2 2" xfId="16321"/>
    <cellStyle name="SAPBEXstdItem 2 3 3 2" xfId="16322"/>
    <cellStyle name="SAPBEXstdItem 3 3 2 2" xfId="16323"/>
    <cellStyle name="SAPBEXstdItemX 2 3 2 2" xfId="16324"/>
    <cellStyle name="SAPBEXundefined 2 3 2 2" xfId="16325"/>
    <cellStyle name="Total 3 3 3" xfId="16326"/>
    <cellStyle name="Nota 3 4 2 2" xfId="16327"/>
    <cellStyle name="SAPBEXHLevel1 3 3 2 2" xfId="16328"/>
    <cellStyle name="SAPBEXHLevel2 3 3 2 2" xfId="16329"/>
    <cellStyle name="SAPBEXunassignedItem 2 2 2" xfId="16330"/>
    <cellStyle name="Total 2 3 2 2" xfId="16331"/>
    <cellStyle name="SAPBEXexcCritical6 2 2 4" xfId="16332"/>
    <cellStyle name="SAPBEXaggDataEmph 5 3 3" xfId="16333"/>
    <cellStyle name="SAPBEXexcGood2 8 3" xfId="16334"/>
    <cellStyle name="SAPBEXHLevel1 2 3 3" xfId="16335"/>
    <cellStyle name="SAPBEXexcBad9 2 3 2 3" xfId="16336"/>
    <cellStyle name="SAPBEXHLevel3X 9 2 3" xfId="16337"/>
    <cellStyle name="SAPBEXstdData 2 5 2 3" xfId="16338"/>
    <cellStyle name="Input 2 2 4" xfId="16339"/>
    <cellStyle name="SAPBEXHLevel1X 4 2 3 3" xfId="16340"/>
    <cellStyle name="SAPBEXexcBad8 3 3 4" xfId="16341"/>
    <cellStyle name="Saída 3 3 2 3" xfId="16342"/>
    <cellStyle name="SAPBEXexcCritical6 2 4 2 3" xfId="16343"/>
    <cellStyle name="SAPBEXexcCritical5 2 3 4" xfId="16344"/>
    <cellStyle name="SAPBEXchaText 2 2 2 3" xfId="16345"/>
    <cellStyle name="SAPBEXstdDataEmph 4 2 2 3" xfId="16346"/>
    <cellStyle name="SAPBEXformats 6 3" xfId="16347"/>
    <cellStyle name="SAPBEXstdItem 3 2 2 3" xfId="16348"/>
    <cellStyle name="SAPBEXHLevel3X 3 6 2 3" xfId="16349"/>
    <cellStyle name="SAPBEXstdItemX 2 4 3" xfId="16350"/>
    <cellStyle name="SAPBEXexcCritical5 2 4 3 3" xfId="16351"/>
    <cellStyle name="SAPBEXundefined 4 4 4" xfId="16352"/>
    <cellStyle name="Entrada 2 5 4" xfId="16353"/>
    <cellStyle name="SAPBEXHLevel3 3 4 4" xfId="16354"/>
    <cellStyle name="SAPBEXaggData 3 4 5" xfId="16355"/>
    <cellStyle name="SAPBEXexcCritical5 2 5 2 3" xfId="16356"/>
    <cellStyle name="SAPBEXstdData 2 4 5" xfId="16357"/>
    <cellStyle name="SAPBEXexcBad9 9 3" xfId="16358"/>
    <cellStyle name="SAPBEXHLevel0X 3 4 4" xfId="16359"/>
    <cellStyle name="Saída 2 3 3 3" xfId="16360"/>
    <cellStyle name="SAPBEXundefined 2 4 2 3" xfId="16361"/>
    <cellStyle name="SAPBEXheaderText 6 2 3" xfId="16362"/>
    <cellStyle name="Cálculo 3 4 4" xfId="16363"/>
    <cellStyle name="SAPBEXresItem 9 4" xfId="16364"/>
    <cellStyle name="SAPBEXHLevel3 2 3 2 3" xfId="16365"/>
    <cellStyle name="SAPBEXexcBad7 2 3 4" xfId="16366"/>
    <cellStyle name="SAPBEXHLevel2 3 6 2 3" xfId="16367"/>
    <cellStyle name="SAPBEXaggData 5 3 3" xfId="16368"/>
    <cellStyle name="SAPBEXundefined 5 2 3" xfId="16369"/>
    <cellStyle name="SAPBEXHLevel1 5 2 2 3" xfId="16370"/>
    <cellStyle name="SAPBEXaggItemX 5 3 3" xfId="16371"/>
    <cellStyle name="SAPBEXstdItem 3 6 4" xfId="16372"/>
    <cellStyle name="SAPBEXexcCritical4 4 2 2 3" xfId="16373"/>
    <cellStyle name="SAPBEXexcCritical4 2 3 4" xfId="16374"/>
    <cellStyle name="Note 5 2 3" xfId="16375"/>
    <cellStyle name="SAPBEXresItem 4 3 4" xfId="16376"/>
    <cellStyle name="SAPBEXresData 5 2 2 3" xfId="16377"/>
    <cellStyle name="SAPBEXexcGood1 2 2 2 3" xfId="16378"/>
    <cellStyle name="SAPBEXaggItem 3 3 4" xfId="16379"/>
    <cellStyle name="SAPBEXheaderItem 3 4 2 3" xfId="16380"/>
    <cellStyle name="SAPBEXHLevel1X 2 4 2 3" xfId="16381"/>
    <cellStyle name="SAPBEXstdItem 3 2 4" xfId="16382"/>
    <cellStyle name="SAPBEXresDataEmph 3 2 2 2 3" xfId="16383"/>
    <cellStyle name="SAPBEXstdItem 3 4 2 3" xfId="16384"/>
    <cellStyle name="SAPBEXHLevel3X 4 5 4" xfId="16385"/>
    <cellStyle name="SAPBEXHLevel0X 3 7 4" xfId="16386"/>
    <cellStyle name="Saída 3 3 4" xfId="16387"/>
    <cellStyle name="SAPBEXexcBad7 3 2 2 3" xfId="16388"/>
    <cellStyle name="SAPBEXresItemX 4 2 4" xfId="16389"/>
    <cellStyle name="SAPBEXHLevel1 8 3" xfId="16390"/>
    <cellStyle name="SAPBEXaggDataEmph 8 3" xfId="16391"/>
    <cellStyle name="SAPBEXHLevel0 5 3 3" xfId="16392"/>
    <cellStyle name="Cálculo 2 3 2 3" xfId="16393"/>
    <cellStyle name="SAPBEXHLevel3X 4 2 2 3" xfId="16394"/>
    <cellStyle name="SAPBEXexcGood1 2 5 4" xfId="16395"/>
    <cellStyle name="SAPBEXexcCritical5 6 2 3" xfId="16396"/>
    <cellStyle name="SAPBEXHLevel2 9 3" xfId="16397"/>
    <cellStyle name="SAPBEXHLevel0 3 3 2 3" xfId="16398"/>
    <cellStyle name="Total 4 4 3" xfId="16399"/>
    <cellStyle name="SAPBEXstdItemX 2 4 2 3" xfId="16400"/>
    <cellStyle name="SAPBEXstdData 2 4 3 3" xfId="16401"/>
    <cellStyle name="SAPBEXfilterDrill 3 4 4" xfId="16402"/>
    <cellStyle name="SAPBEXHLevel3X 5 2 3" xfId="16403"/>
    <cellStyle name="SAPBEXaggItemX 3 3 2 3" xfId="16404"/>
    <cellStyle name="SAPBEXexcBad9 2 4 5" xfId="16405"/>
    <cellStyle name="SAPBEXHLevel2 5 3 3" xfId="16406"/>
    <cellStyle name="SAPBEXHLevel0X 4 4 4" xfId="16407"/>
    <cellStyle name="SAPBEXHLevel1X 5 2 2 3" xfId="16408"/>
    <cellStyle name="Calculation 2 3 3" xfId="16409"/>
    <cellStyle name="Input 2 3 3" xfId="16410"/>
    <cellStyle name="Note 4 3 2" xfId="16411"/>
    <cellStyle name="Output 2 4 3" xfId="16412"/>
    <cellStyle name="SAPBEXaggItem 2 4 2 2" xfId="16413"/>
    <cellStyle name="SAPBEXaggItem 3 4 2 2" xfId="16414"/>
    <cellStyle name="SAPBEXaggItemX 3 2 2 2" xfId="16415"/>
    <cellStyle name="SAPBEXHLevel0 3 4 2 2" xfId="16416"/>
    <cellStyle name="SAPBEXHLevel0X 3 3 2 2" xfId="16417"/>
    <cellStyle name="SAPBEXHLevel1 3 4 2 2" xfId="16418"/>
    <cellStyle name="SAPBEXHLevel1X 3 3 2 2" xfId="16419"/>
    <cellStyle name="SAPBEXHLevel2 3 4 2 2" xfId="16420"/>
    <cellStyle name="SAPBEXHLevel2X 3 3 2 2" xfId="16421"/>
    <cellStyle name="SAPBEXHLevel3 2 2 2 2 2" xfId="16422"/>
    <cellStyle name="SAPBEXHLevel3 4 2 2 2" xfId="16423"/>
    <cellStyle name="SAPBEXHLevel3X 3 3 2 2" xfId="16424"/>
    <cellStyle name="SAPBEXresItemX 3 2 2 2" xfId="16425"/>
    <cellStyle name="SAPBEXstdItem 2 4 2 2" xfId="16426"/>
    <cellStyle name="SAPBEXstdItem 3 4 2 2" xfId="16427"/>
    <cellStyle name="SAPBEXstdItemX 3 2 2 2" xfId="16428"/>
    <cellStyle name="SAPBEXaggData 2 4 2 2" xfId="16429"/>
    <cellStyle name="SAPBEXaggDataEmph 2 4 3 2" xfId="16430"/>
    <cellStyle name="SAPBEXaggItem 4 2 3 2" xfId="16431"/>
    <cellStyle name="SAPBEXexcBad7 2 4 3 2" xfId="16432"/>
    <cellStyle name="SAPBEXexcBad8 2 4 3 2" xfId="16433"/>
    <cellStyle name="SAPBEXexcBad9 2 4 3 2" xfId="16434"/>
    <cellStyle name="SAPBEXexcCritical4 2 4 3 2" xfId="16435"/>
    <cellStyle name="SAPBEXexcCritical5 2 4 3 2" xfId="16436"/>
    <cellStyle name="SAPBEXexcCritical6 2 4 3 2" xfId="16437"/>
    <cellStyle name="SAPBEXexcGood1 2 4 3 2" xfId="16438"/>
    <cellStyle name="SAPBEXexcGood2 2 4 3 2" xfId="16439"/>
    <cellStyle name="SAPBEXexcGood3 2 4 3 2" xfId="16440"/>
    <cellStyle name="SAPBEXformats 2 4 3 2" xfId="16441"/>
    <cellStyle name="SAPBEXHLevel0 4 2 3 2" xfId="16442"/>
    <cellStyle name="SAPBEXHLevel0X 4 2 3 2" xfId="16443"/>
    <cellStyle name="SAPBEXHLevel1 4 2 3 2" xfId="16444"/>
    <cellStyle name="SAPBEXHLevel1X 4 2 3 2" xfId="16445"/>
    <cellStyle name="SAPBEXHLevel2 4 2 3 2" xfId="16446"/>
    <cellStyle name="SAPBEXHLevel2X 4 2 3 2" xfId="16447"/>
    <cellStyle name="SAPBEXHLevel3 5 2 3 2" xfId="16448"/>
    <cellStyle name="SAPBEXHLevel3X 4 2 3 2" xfId="16449"/>
    <cellStyle name="SAPBEXresData 2 4 3 2" xfId="16450"/>
    <cellStyle name="SAPBEXresDataEmph 2 4 3 2" xfId="16451"/>
    <cellStyle name="SAPBEXresItem 2 4 3 2" xfId="16452"/>
    <cellStyle name="SAPBEXstdData 2 4 3 2" xfId="16453"/>
    <cellStyle name="SAPBEXstdDataEmph 2 4 3 2" xfId="16454"/>
    <cellStyle name="SAPBEXstdItem 4 2 3 2" xfId="16455"/>
    <cellStyle name="SAPBEXstdItemX 4 2 3 2" xfId="16456"/>
    <cellStyle name="SAPBEXtitle 2 4 3 2" xfId="16457"/>
    <cellStyle name="SAPBEXundefined 2 4 3 2" xfId="16458"/>
    <cellStyle name="SAPBEXaggData 3 4 3 2" xfId="16459"/>
    <cellStyle name="SAPBEXformats 3 4 2 2" xfId="16460"/>
    <cellStyle name="SAPBEXHLevel0 5 2 2 2" xfId="16461"/>
    <cellStyle name="SAPBEXHLevel1 5 2 2 2" xfId="16462"/>
    <cellStyle name="SAPBEXHLevel3 6 2 2 2" xfId="16463"/>
    <cellStyle name="SAPBEXstdData 3 4 2 2" xfId="16464"/>
    <cellStyle name="SAPBEXstdItemX 5 2 2 2" xfId="16465"/>
    <cellStyle name="SAPBEXstdItem 2 2 10" xfId="16466"/>
    <cellStyle name="SAPBEXexcBad8 2 4 5" xfId="16467"/>
    <cellStyle name="SAPBEXexcBad9 5 4 3" xfId="16468"/>
    <cellStyle name="SAPBEXexcGood2 4 3 4" xfId="16469"/>
    <cellStyle name="Note 2 3 2 3" xfId="16470"/>
    <cellStyle name="SAPBEXresDataEmph 2 2 4" xfId="16471"/>
    <cellStyle name="SAPBEXformats 2 2 2 2 3" xfId="16472"/>
    <cellStyle name="SAPBEXaggData 3 2 2 3" xfId="16473"/>
    <cellStyle name="SAPBEXaggDataEmph 5 2 3" xfId="16474"/>
    <cellStyle name="SAPBEXexcGood3 4 3 4" xfId="16475"/>
    <cellStyle name="SAPBEXstdDataEmph 2 3 4" xfId="16476"/>
    <cellStyle name="SAPBEXHLevel1 3 4 2 3" xfId="16477"/>
    <cellStyle name="SAPBEXexcGood2 4 4 4" xfId="16478"/>
    <cellStyle name="SAPBEXtitle 2 6 4" xfId="16479"/>
    <cellStyle name="SAPBEXstdDataEmph 2 3 2 3" xfId="16480"/>
    <cellStyle name="SAPBEXaggDataEmph 2 5 2 3" xfId="16481"/>
    <cellStyle name="Input 5 3" xfId="16482"/>
    <cellStyle name="SAPBEXHLevel0 2 3 3" xfId="16483"/>
    <cellStyle name="Calculation 5 2 3" xfId="16484"/>
    <cellStyle name="SAPBEXHLevel0 4 2 2 3" xfId="16485"/>
    <cellStyle name="SAPBEXexcCritical6 2 3 4" xfId="16486"/>
    <cellStyle name="SAPBEXaggItem 6 2 3" xfId="16487"/>
    <cellStyle name="SAPBEXexcGood2 2 6 4" xfId="16488"/>
    <cellStyle name="SAPBEXexcCritical4 2 3 2 3" xfId="16489"/>
    <cellStyle name="SAPBEXchaText 2 2 4" xfId="16490"/>
    <cellStyle name="SAPBEXresItemX 9 2 3" xfId="16491"/>
    <cellStyle name="SAPBEXstdData 3 5 2 3" xfId="16492"/>
    <cellStyle name="SAPBEXHLevel2 4 2 3 3" xfId="16493"/>
    <cellStyle name="SAPBEXexcBad9 3 4 4" xfId="16494"/>
    <cellStyle name="SAPBEXHLevel3X 2 4 3" xfId="16495"/>
    <cellStyle name="Saída 4 2 2 3" xfId="16496"/>
    <cellStyle name="SAPBEXexcCritical4 3 9" xfId="16497"/>
    <cellStyle name="SAPBEXexcGood1 2 4 2 3" xfId="16498"/>
    <cellStyle name="SAPBEXexcCritical5 2 4 5" xfId="16499"/>
    <cellStyle name="SAPBEXformats 2 2 3 4" xfId="16500"/>
    <cellStyle name="SAPBEXstdDataEmph 5 2 2 3" xfId="16501"/>
    <cellStyle name="SAPBEXheaderItem 6 3" xfId="16502"/>
    <cellStyle name="SAPBEXtitle 2 2 2 3" xfId="16503"/>
    <cellStyle name="SAPBEXaggItemX 2 3 3" xfId="16504"/>
    <cellStyle name="SAPBEXresData 2 5 2 3" xfId="16505"/>
    <cellStyle name="SAPBEXexcCritical6 2 4 3 3" xfId="16506"/>
    <cellStyle name="Total 3 4 4" xfId="16507"/>
    <cellStyle name="Nota 2 7 4" xfId="16508"/>
    <cellStyle name="Entrada 5 4" xfId="16509"/>
    <cellStyle name="SAPBEXaggData 4 2 4" xfId="16510"/>
    <cellStyle name="SAPBEXexcCritical5 3 2 2 3" xfId="16511"/>
    <cellStyle name="SAPBEXstdData 3 5 4" xfId="16512"/>
    <cellStyle name="SAPBEXexcBad9 2 6 4" xfId="16513"/>
    <cellStyle name="SAPBEXHLevel0X 4 3 4" xfId="16514"/>
    <cellStyle name="SAPBEXaggData 7 2 3" xfId="16515"/>
    <cellStyle name="SAPBEXexcGood2 2 5 4" xfId="16516"/>
    <cellStyle name="Input 7" xfId="16517"/>
    <cellStyle name="SAPBEXHLevel0 5 4 3" xfId="16518"/>
    <cellStyle name="Calculation 2 3 4" xfId="16519"/>
    <cellStyle name="Entrada 3 4 4" xfId="16520"/>
    <cellStyle name="SAPBEXresItem 2 6 4" xfId="16521"/>
    <cellStyle name="SAPBEXHLevel2 2 5 3" xfId="16522"/>
    <cellStyle name="SAPBEXHLevel3 3 3 2 3" xfId="16523"/>
    <cellStyle name="SAPBEXexcBad7 2 4 5" xfId="16524"/>
    <cellStyle name="SAPBEXHLevel2X 3 5 2 3" xfId="16525"/>
    <cellStyle name="SAPBEXaggDataEmph 4 3 4" xfId="16526"/>
    <cellStyle name="SAPBEXHLevel3 6 2 2 3" xfId="16527"/>
    <cellStyle name="SAPBEXformats 2 3 4 3" xfId="16528"/>
    <cellStyle name="SAPBEXstdItemX 3 4 4" xfId="16529"/>
    <cellStyle name="SAPBEXexcCritical4 5 2 2 3" xfId="16530"/>
    <cellStyle name="SAPBEXaggDataEmph 2 4 2 3" xfId="16531"/>
    <cellStyle name="SAPBEXexcCritical4 2 4 5" xfId="16532"/>
    <cellStyle name="Nota 3 4 4" xfId="16533"/>
    <cellStyle name="SAPBEXresItemX 4 3 4" xfId="16534"/>
    <cellStyle name="SAPBEXresDataEmph 3 3 2 3" xfId="16535"/>
    <cellStyle name="SAPBEXformats 2 2 2 4" xfId="16536"/>
    <cellStyle name="SAPBEXexcGood2 2 2 2 3" xfId="16537"/>
    <cellStyle name="Total 4 2 3" xfId="16538"/>
    <cellStyle name="SAPBEXaggItem 3 4 4" xfId="16539"/>
    <cellStyle name="SAPBEXheaderText 3 5 2 3" xfId="16540"/>
    <cellStyle name="SAPBEXHLevel1X 3 4 2 3" xfId="16541"/>
    <cellStyle name="SAPBEXstdItem 3 3 4" xfId="16542"/>
    <cellStyle name="Total 4 2 2 3" xfId="16543"/>
    <cellStyle name="SAPBEXstdItemX 3 2 2 3" xfId="16544"/>
    <cellStyle name="SAPBEXHLevel1 3 8 4" xfId="16545"/>
    <cellStyle name="Total 2 3 2 3" xfId="16546"/>
    <cellStyle name="Saída 4 2 4" xfId="16547"/>
    <cellStyle name="SAPBEXexcBad7 4 3 4" xfId="16548"/>
    <cellStyle name="SAPBEXresItemX 5 2 3" xfId="16549"/>
    <cellStyle name="SAPBEXHLevel2 8 3" xfId="16550"/>
    <cellStyle name="SAPBEXaggDataEmph 2 6 4" xfId="16551"/>
    <cellStyle name="SAPBEXHLevel0 5 2 3" xfId="16552"/>
    <cellStyle name="Entrada 4 3 3" xfId="16553"/>
    <cellStyle name="SAPBEXresData 2 4 2 3" xfId="16554"/>
    <cellStyle name="SAPBEXexcGood1 2 2 4" xfId="16555"/>
    <cellStyle name="SAPBEXexcCritical6 5 3 3" xfId="16556"/>
    <cellStyle name="Total 2 3 4" xfId="16557"/>
    <cellStyle name="SAPBEXHLevel2X 10 4" xfId="16558"/>
    <cellStyle name="SAPBEXHLevel1X 2 3 3" xfId="16559"/>
    <cellStyle name="SAPBEXHLevel0X 2 3 2 3" xfId="16560"/>
    <cellStyle name="Input 3 2 3" xfId="16561"/>
    <cellStyle name="SAPBEXtitle 4 2 4" xfId="16562"/>
    <cellStyle name="SAPBEXstdDataEmph 2 4 3 3" xfId="16563"/>
    <cellStyle name="SAPBEXfilterItem 3 4 4" xfId="16564"/>
    <cellStyle name="SAPBEXaggItemX 4 2 2 3" xfId="16565"/>
    <cellStyle name="SAPBEXexcBad9 3 3 4" xfId="16566"/>
    <cellStyle name="SAPBEXresData 5 4 3" xfId="16567"/>
    <cellStyle name="SAPBEXHLevel1 3 5 2 3" xfId="16568"/>
    <cellStyle name="SAPBEXHLevel2 4 3 2 3" xfId="16569"/>
    <cellStyle name="SAPBEXaggItemX 5 5" xfId="16570"/>
    <cellStyle name="Entrada 4 6" xfId="16571"/>
    <cellStyle name="SAPBEXHLevel2X 5 6" xfId="16572"/>
    <cellStyle name="SAPBEXaggDataEmph 3 9" xfId="16573"/>
    <cellStyle name="SAPBEXfilterDrill 3 9" xfId="16574"/>
    <cellStyle name="SAPBEXHLevel3X 3 9" xfId="16575"/>
    <cellStyle name="SAPBEXinputData 13" xfId="16576"/>
    <cellStyle name="SAPBEXtitle 3 9" xfId="16577"/>
    <cellStyle name="SAPBEXaggData 2 11" xfId="16578"/>
    <cellStyle name="SAPBEXstdData 6 2 3" xfId="16579"/>
    <cellStyle name="Entrada 4 4 3" xfId="16580"/>
    <cellStyle name="SAPBEXaggData 2 5 2 3" xfId="16581"/>
    <cellStyle name="SAPBEXresItem 2 2 4" xfId="16582"/>
    <cellStyle name="SAPBEXHLevel0 5 3 2 3" xfId="16583"/>
    <cellStyle name="SAPBEXfilterDrill 6 3" xfId="16584"/>
    <cellStyle name="SAPBEXHLevel1 3 9" xfId="16585"/>
    <cellStyle name="SAPBEXexcGood1 5 4 3" xfId="16586"/>
    <cellStyle name="SAPBEXfilterText 3 2 2 3" xfId="16587"/>
    <cellStyle name="Calculation 7 4" xfId="16588"/>
    <cellStyle name="SAPBEXformats 2 7 3" xfId="16589"/>
    <cellStyle name="SAPBEXexcGood2 2 3 2 3" xfId="16590"/>
    <cellStyle name="SAPBEXexcBad8 2 2 2 3" xfId="16591"/>
    <cellStyle name="SAPBEXaggItem 2 2 4" xfId="16592"/>
    <cellStyle name="SAPBEXHLevel0 2 5 2 3" xfId="16593"/>
    <cellStyle name="SAPBEXstdItem 2 5 4" xfId="16594"/>
    <cellStyle name="SAPBEXHLevel3 2 2 2 2 3" xfId="16595"/>
    <cellStyle name="SAPBEXHLevel1 4 5 4" xfId="16596"/>
    <cellStyle name="SAPBEXHLevel2X 3 2 4" xfId="16597"/>
    <cellStyle name="SAPBEXundefined 2 3 2 3" xfId="16598"/>
    <cellStyle name="SAPBEXexcBad8 3 2 4" xfId="16599"/>
    <cellStyle name="Nota 2 4 4" xfId="16600"/>
    <cellStyle name="SAPBEXexcCritical4 5 4 3" xfId="16601"/>
    <cellStyle name="SAPBEXexcGood3 5 3 3" xfId="16602"/>
    <cellStyle name="SAPBEXformats 4 2 2 3" xfId="16603"/>
    <cellStyle name="SAPBEXresDataEmph 2 4 5" xfId="16604"/>
    <cellStyle name="SAPBEXaggDataEmph 2 2 2 3" xfId="16605"/>
    <cellStyle name="SAPBEXformats 2 5 2 3" xfId="16606"/>
    <cellStyle name="SAPBEXstdDataEmph 4 2 4" xfId="16607"/>
    <cellStyle name="SAPBEXHLevel1X 3 3 2 3" xfId="16608"/>
    <cellStyle name="SAPBEXformats 2 2 4 4" xfId="16609"/>
    <cellStyle name="SAPBEXundefined 8 3" xfId="16610"/>
    <cellStyle name="SAPBEXHLevel2X 2 4 3" xfId="16611"/>
    <cellStyle name="SAPBEXstdItem 2 3 3 3" xfId="16612"/>
    <cellStyle name="SAPBEXaggItem 3 5 2 3" xfId="16613"/>
    <cellStyle name="SAPBEXchaText 9 3" xfId="16614"/>
    <cellStyle name="Output 6 4" xfId="16615"/>
    <cellStyle name="SAPBEXHLevel0 3 3 4" xfId="16616"/>
    <cellStyle name="Entrada 3 2 2 3" xfId="16617"/>
    <cellStyle name="SAPBEXHLevel1X 4 2 2 3" xfId="16618"/>
    <cellStyle name="SAPBEXexcCritical6 4 2 4" xfId="16619"/>
    <cellStyle name="SAPBEXexcBad7 6 2 3" xfId="16620"/>
    <cellStyle name="SAPBEXexcGood3 9 3" xfId="16621"/>
    <cellStyle name="SAPBEXHLevel1 3 3 4" xfId="16622"/>
    <cellStyle name="SAPBEXexcCritical5 2 3 2 3" xfId="16623"/>
    <cellStyle name="SAPBEXstdDataEmph 3 2 2 3" xfId="16624"/>
    <cellStyle name="SAPBEXHLevel3X 4 2 3 3" xfId="16625"/>
    <cellStyle name="SAPBEXexcCritical6 3 3 4" xfId="16626"/>
    <cellStyle name="SAPBEXHLevel3X 3 2 4" xfId="16627"/>
    <cellStyle name="SAPBEXaggDataEmph 4 2 2 3" xfId="16628"/>
    <cellStyle name="SAPBEXexcCritical6 3 9" xfId="16629"/>
    <cellStyle name="SAPBEXexcCritical5 5 2 3" xfId="16630"/>
    <cellStyle name="SAPBEXHLevel2 2 2 3 3" xfId="16631"/>
    <cellStyle name="SAPBEXstdItem 4 3 2 3" xfId="16632"/>
    <cellStyle name="SAPBEXaggItemX 4 2 4" xfId="16633"/>
    <cellStyle name="SAPBEXHLevel0 9 3 3" xfId="16634"/>
    <cellStyle name="SAPBEXresDataEmph 3 2 3 3" xfId="16635"/>
    <cellStyle name="SAPBEXstdItemX 3 2 4" xfId="16636"/>
    <cellStyle name="SAPBEXexcGood3 2 4 3 3" xfId="16637"/>
    <cellStyle name="Saída 2 2 3 4" xfId="16638"/>
    <cellStyle name="SAPBEXaggDataEmph 3 3 4" xfId="16639"/>
    <cellStyle name="SAPBEXHLevel3 4 2 4" xfId="16640"/>
    <cellStyle name="SAPBEXaggData 7 3" xfId="16641"/>
    <cellStyle name="SAPBEXexcCritical6 3 2 2 3" xfId="16642"/>
    <cellStyle name="SAPBEXstdData 3 4 4" xfId="16643"/>
    <cellStyle name="Calculation 2 2 4" xfId="16644"/>
    <cellStyle name="SAPBEXexcCritical5 9 3" xfId="16645"/>
    <cellStyle name="SAPBEXaggDataEmph 2 3 2 3" xfId="16646"/>
    <cellStyle name="Cálculo 2 9" xfId="16647"/>
    <cellStyle name="SAPBEXexcGood2 2 4 5" xfId="16648"/>
    <cellStyle name="Note 2 2 4" xfId="16649"/>
    <cellStyle name="SAPBEXHLevel1X 5 3 3" xfId="16650"/>
    <cellStyle name="Note 4 3 3" xfId="16651"/>
    <cellStyle name="Output 2 5 4" xfId="16652"/>
    <cellStyle name="SAPBEXstdData 2 6 4" xfId="16653"/>
    <cellStyle name="SAPBEXexcBad7 5 2 3" xfId="16654"/>
    <cellStyle name="Calculation 4 2 3" xfId="16655"/>
    <cellStyle name="SAPBEXexcBad7 5 3 3" xfId="16656"/>
    <cellStyle name="SAPBEXHLevel1X 5 4 3" xfId="16657"/>
    <cellStyle name="Total 2 4 4" xfId="16658"/>
    <cellStyle name="SAPBEXexcCritical6 4 2 2 3" xfId="16659"/>
    <cellStyle name="SAPBEXexcBad7 2 4 2 3" xfId="16660"/>
    <cellStyle name="SAPBEXexcCritical4 5 2 3" xfId="16661"/>
    <cellStyle name="SAPBEXfilterDrill 3 2 3 3" xfId="16662"/>
    <cellStyle name="SAPBEXstdItem 5 3 3" xfId="16663"/>
    <cellStyle name="SAPBEXresItem 4 2 2 3" xfId="16664"/>
    <cellStyle name="SAPBEXformats 3 2 4" xfId="16665"/>
    <cellStyle name="SAPBEXresData 2 2 2 3" xfId="16666"/>
    <cellStyle name="SAPBEXaggItem 5 2 3" xfId="16667"/>
    <cellStyle name="SAPBEXHLevel1 3 7 2 3" xfId="16668"/>
    <cellStyle name="SAPBEXHLevel2X 3 4 2 3" xfId="16669"/>
    <cellStyle name="SAPBEXstdItem 4 2 5" xfId="16670"/>
    <cellStyle name="Entrada 2 4 4" xfId="16671"/>
    <cellStyle name="SAPBEXaggItem 4 2 3 3" xfId="16672"/>
    <cellStyle name="SAPBEXresItem 4 4 4" xfId="16673"/>
    <cellStyle name="SAPBEXHLevel2X 3 7 4" xfId="16674"/>
    <cellStyle name="SAPBEXHLevel3 2 5 3" xfId="16675"/>
    <cellStyle name="SAPBEXaggData 2 3 4" xfId="16676"/>
    <cellStyle name="SAPBEXexcBad9 2 5 2 3" xfId="16677"/>
    <cellStyle name="SAPBEXstdData 9 3" xfId="16678"/>
    <cellStyle name="SAPBEXaggItemX 9 4" xfId="16679"/>
    <cellStyle name="Nota 6 2 3" xfId="16680"/>
    <cellStyle name="SAPBEXstdData 2 4 2 3" xfId="16681"/>
    <cellStyle name="SAPBEXexcGood1 3 2 4" xfId="16682"/>
    <cellStyle name="SAPBEXexcGood3 6 2 3" xfId="16683"/>
    <cellStyle name="Entrada 7 4" xfId="16684"/>
    <cellStyle name="SAPBEXHLevel1X 3 3 4" xfId="16685"/>
    <cellStyle name="SAPBEXHLevel1X 2 3 2 3" xfId="16686"/>
    <cellStyle name="SAPBEXchaText 6 3" xfId="16687"/>
    <cellStyle name="Total 4 3 3" xfId="16688"/>
    <cellStyle name="SAPBEXundefined 2 2 4" xfId="16689"/>
    <cellStyle name="SAPBEXtitle 2 4 3 3" xfId="16690"/>
    <cellStyle name="SAPBEXexcBad8 4 2 2 3" xfId="16691"/>
    <cellStyle name="SAPBEXexcBad9 6 3" xfId="16692"/>
    <cellStyle name="SAPBEXstdDataEmph 5 4 3" xfId="16693"/>
    <cellStyle name="SAPBEXHLevel2X 4 4 4" xfId="16694"/>
    <cellStyle name="SAPBEXHLevel3 4 3 2 3" xfId="16695"/>
    <cellStyle name="SAPBEXformats 2 3 6" xfId="16696"/>
    <cellStyle name="Nota 4 14" xfId="16697"/>
    <cellStyle name="SAPBEXHLevel3 5 7" xfId="16698"/>
    <cellStyle name="Total 2 6" xfId="16699"/>
    <cellStyle name="SAPBEXchaText 3 9" xfId="16700"/>
    <cellStyle name="SAPBEXfilterItem 3 9" xfId="16701"/>
    <cellStyle name="SAPBEXstdData 2 11" xfId="16702"/>
    <cellStyle name="SAPBEXaggDataEmph 2 4 2 2" xfId="16703"/>
    <cellStyle name="SAPBEXaggItem 4 2 2 2" xfId="16704"/>
    <cellStyle name="SAPBEXexcBad7 2 4 2 2" xfId="16705"/>
    <cellStyle name="SAPBEXexcBad8 2 4 2 2" xfId="16706"/>
    <cellStyle name="SAPBEXexcBad9 2 4 2 2" xfId="16707"/>
    <cellStyle name="SAPBEXexcCritical4 2 4 2 2" xfId="16708"/>
    <cellStyle name="SAPBEXexcCritical5 2 4 2 2" xfId="16709"/>
    <cellStyle name="SAPBEXexcCritical6 2 4 2 2" xfId="16710"/>
    <cellStyle name="SAPBEXexcGood1 2 4 2 2" xfId="16711"/>
    <cellStyle name="SAPBEXexcGood2 2 4 2 2" xfId="16712"/>
    <cellStyle name="SAPBEXexcGood3 2 4 2 2" xfId="16713"/>
    <cellStyle name="SAPBEXformats 2 4 2 2" xfId="16714"/>
    <cellStyle name="SAPBEXHLevel0 4 2 2 2" xfId="16715"/>
    <cellStyle name="SAPBEXHLevel0X 4 2 2 2" xfId="16716"/>
    <cellStyle name="SAPBEXHLevel1 4 2 2 2" xfId="16717"/>
    <cellStyle name="SAPBEXHLevel1X 4 2 2 2" xfId="16718"/>
    <cellStyle name="SAPBEXHLevel2 4 2 2 2" xfId="16719"/>
    <cellStyle name="SAPBEXHLevel2X 4 2 2 2" xfId="16720"/>
    <cellStyle name="SAPBEXHLevel3 5 2 2 2" xfId="16721"/>
    <cellStyle name="SAPBEXHLevel3X 4 2 2 2" xfId="16722"/>
    <cellStyle name="SAPBEXresData 2 4 2 2" xfId="16723"/>
    <cellStyle name="SAPBEXresDataEmph 2 4 2 2" xfId="16724"/>
    <cellStyle name="SAPBEXresItem 2 4 2 2" xfId="16725"/>
    <cellStyle name="SAPBEXstdData 2 4 2 2" xfId="16726"/>
    <cellStyle name="SAPBEXstdDataEmph 2 4 2 2" xfId="16727"/>
    <cellStyle name="SAPBEXstdItem 4 2 2 2" xfId="16728"/>
    <cellStyle name="SAPBEXstdItemX 4 2 2 2" xfId="16729"/>
    <cellStyle name="SAPBEXtitle 2 4 2 2" xfId="16730"/>
    <cellStyle name="SAPBEXundefined 2 4 2 2" xfId="16731"/>
    <cellStyle name="SAPBEXaggData 3 4 2 2" xfId="16732"/>
    <cellStyle name="SAPBEXundefined 3 9" xfId="16733"/>
    <cellStyle name="SAPBEXstdDataEmph 5 3 3" xfId="16734"/>
    <cellStyle name="SAPBEXaggData 8 2 3" xfId="16735"/>
    <cellStyle name="SAPBEXresItem 2 3 4" xfId="16736"/>
    <cellStyle name="SAPBEXHLevel0X 4 3 2 3" xfId="16737"/>
    <cellStyle name="SAPBEXexcGood3 6 3" xfId="16738"/>
    <cellStyle name="SAPBEXHLevel1X 3 9" xfId="16739"/>
    <cellStyle name="SAPBEXundefined 4 9" xfId="16740"/>
    <cellStyle name="Saída 2 2 5" xfId="16741"/>
    <cellStyle name="Nota 3 6 6" xfId="16742"/>
    <cellStyle name="SAPBEXexcGood2 5 4 3" xfId="16743"/>
    <cellStyle name="SAPBEXformats 5 3 3" xfId="16744"/>
    <cellStyle name="Output 7 3" xfId="16745"/>
    <cellStyle name="SAPBEXHLevel0 10 4" xfId="16746"/>
    <cellStyle name="SAPBEXHLevel1 5 2 3" xfId="16747"/>
    <cellStyle name="SAPBEXexcGood3 2 3 2 3" xfId="16748"/>
    <cellStyle name="SAPBEXexcBad9 2 2 2 3" xfId="16749"/>
    <cellStyle name="SAPBEXaggItem 2 3 4" xfId="16750"/>
    <cellStyle name="SAPBEXHLevel0 3 5 2 3" xfId="16751"/>
    <cellStyle name="SAPBEXstdItem 2 2 2 4" xfId="16752"/>
    <cellStyle name="SAPBEXHLevel3 4 2 2 3" xfId="16753"/>
    <cellStyle name="SAPBEXHLevel1X 4 5 4" xfId="16754"/>
    <cellStyle name="SAPBEXItemHeader 2 4" xfId="16755"/>
    <cellStyle name="SAPBEXHLevel2X 3 3 4" xfId="16756"/>
    <cellStyle name="Total 3 3 4" xfId="16757"/>
    <cellStyle name="SAPBEXaggData 9 2" xfId="16758"/>
    <cellStyle name="SAPBEXaggItem 9 2" xfId="16759"/>
    <cellStyle name="SAPBEXchaText 9 2" xfId="16760"/>
    <cellStyle name="SAPBEXfilterDrill 9 2" xfId="16761"/>
    <cellStyle name="SAPBEXfilterItem 9 2" xfId="16762"/>
    <cellStyle name="SAPBEXHLevel0 9 2 2" xfId="16763"/>
    <cellStyle name="SAPBEXHLevel1 8 2" xfId="16764"/>
    <cellStyle name="SAPBEXHLevel2 8 2" xfId="16765"/>
    <cellStyle name="SAPBEXHLevel3 9 2 2" xfId="16766"/>
    <cellStyle name="SAPBEXresItem 8 3" xfId="16767"/>
    <cellStyle name="SAPBEXstdData 9 2" xfId="16768"/>
    <cellStyle name="SAPBEXstdItem 9 2" xfId="16769"/>
    <cellStyle name="SAPBEXstdItemX 8 2" xfId="16770"/>
    <cellStyle name="SAPBEXheaderItem 3 4 3" xfId="16771"/>
    <cellStyle name="SAPBEXfilterText 3 4 3" xfId="16772"/>
    <cellStyle name="Calculation 7 3" xfId="16773"/>
    <cellStyle name="Output 7 2" xfId="16774"/>
    <cellStyle name="SAPBEXformats 2 8 2" xfId="16775"/>
    <cellStyle name="SAPBEXstdItem 2 8 3" xfId="16776"/>
    <cellStyle name="SAPBEXresItemX 3 9" xfId="16777"/>
    <cellStyle name="Entrada 7 3" xfId="16778"/>
    <cellStyle name="Nota 9 3" xfId="16779"/>
    <cellStyle name="SAPBEXstdItem 4 9" xfId="16780"/>
    <cellStyle name="Calculation 2 4 3" xfId="16781"/>
    <cellStyle name="Cálculo 3 4 3" xfId="16782"/>
    <cellStyle name="Entrada 3 4 3" xfId="16783"/>
    <cellStyle name="Input 2 4 3" xfId="16784"/>
    <cellStyle name="Nota 3 8 3" xfId="16785"/>
    <cellStyle name="Output 2 5 3" xfId="16786"/>
    <cellStyle name="Saída 3 5 2" xfId="16787"/>
    <cellStyle name="SAPBEXaggDataEmph 4 4 3" xfId="16788"/>
    <cellStyle name="SAPBEXaggItemX 4 4 3" xfId="16789"/>
    <cellStyle name="SAPBEXexcBad8 4 4 3" xfId="16790"/>
    <cellStyle name="SAPBEXexcCritical4 4 4 3" xfId="16791"/>
    <cellStyle name="SAPBEXexcCritical6 4 4 3" xfId="16792"/>
    <cellStyle name="SAPBEXexcGood2 4 4 3" xfId="16793"/>
    <cellStyle name="SAPBEXformats 2 2 4 3" xfId="16794"/>
    <cellStyle name="SAPBEXHLevel0 4 5 3" xfId="16795"/>
    <cellStyle name="SAPBEXHLevel0X 4 5 3" xfId="16796"/>
    <cellStyle name="SAPBEXHLevel1 4 5 3" xfId="16797"/>
    <cellStyle name="SAPBEXHLevel1X 4 5 3" xfId="16798"/>
    <cellStyle name="SAPBEXHLevel2 4 5 3" xfId="16799"/>
    <cellStyle name="SAPBEXHLevel2X 4 5 3" xfId="16800"/>
    <cellStyle name="SAPBEXHLevel3 4 5 3" xfId="16801"/>
    <cellStyle name="SAPBEXHLevel3X 4 5 3" xfId="16802"/>
    <cellStyle name="SAPBEXinputData 4 4 3" xfId="16803"/>
    <cellStyle name="SAPBEXresData 4 4 3" xfId="16804"/>
    <cellStyle name="SAPBEXresDataEmph 4 4 3" xfId="16805"/>
    <cellStyle name="SAPBEXresItem 4 4 3" xfId="16806"/>
    <cellStyle name="SAPBEXresItemX 4 4 3" xfId="16807"/>
    <cellStyle name="SAPBEXstdDataEmph 4 4 3" xfId="16808"/>
    <cellStyle name="SAPBEXstdItem 2 2 4 3" xfId="16809"/>
    <cellStyle name="SAPBEXstdItemX 4 5 3" xfId="16810"/>
    <cellStyle name="SAPBEXundefined 4 4 3" xfId="16811"/>
    <cellStyle name="Total 3 4 3" xfId="16812"/>
    <cellStyle name="Output 3 2 3" xfId="16813"/>
    <cellStyle name="Saída 2 2 3 3" xfId="16814"/>
    <cellStyle name="SAPBEXresData 3 2 4" xfId="16815"/>
    <cellStyle name="SAPBEXexcGood3 4 2 4" xfId="16816"/>
    <cellStyle name="SAPBEXHLevel2 4 3 4" xfId="16817"/>
    <cellStyle name="SAPBEXformats 5 2 3" xfId="16818"/>
    <cellStyle name="Calculation 3 2 2" xfId="16819"/>
    <cellStyle name="Output 4 2 2" xfId="16820"/>
    <cellStyle name="SAPBEXaggItemX 5 3 2" xfId="16821"/>
    <cellStyle name="SAPBEXformats 2 3 4 2" xfId="16822"/>
    <cellStyle name="SAPBEXHLevel0 5 5 2" xfId="16823"/>
    <cellStyle name="SAPBEXHLevel0X 5 4 2" xfId="16824"/>
    <cellStyle name="SAPBEXHLevel1X 5 4 2" xfId="16825"/>
    <cellStyle name="SAPBEXHLevel2X 5 4 2" xfId="16826"/>
    <cellStyle name="SAPBEXHLevel3 5 5 2" xfId="16827"/>
    <cellStyle name="SAPBEXHLevel3X 5 4 2" xfId="16828"/>
    <cellStyle name="SAPBEXresItemX 5 4 2" xfId="16829"/>
    <cellStyle name="SAPBEXstdItem 2 3 4 2" xfId="16830"/>
    <cellStyle name="Saída 3 2 4" xfId="16831"/>
    <cellStyle name="SAPBEXaggData 3 9" xfId="16832"/>
    <cellStyle name="Entrada 4 4 2" xfId="16833"/>
    <cellStyle name="Nota 4 12 2" xfId="16834"/>
    <cellStyle name="SAPBEXresDataEmph 2 11" xfId="16835"/>
    <cellStyle name="Output 2 2 2 2" xfId="16836"/>
    <cellStyle name="Saída 3 2 2 2" xfId="16837"/>
    <cellStyle name="SAPBEXstdDataEmph 2 5 4" xfId="16838"/>
    <cellStyle name="SAPBEXfilterText 3 2 3" xfId="16839"/>
    <cellStyle name="SAPBEXHLevel3 6 2 3" xfId="16840"/>
    <cellStyle name="SAPBEXHLevel0X 2 3 3" xfId="16841"/>
    <cellStyle name="SAPBEXheaderItem 5 3" xfId="16842"/>
    <cellStyle name="SAPBEXfilterText 3 4 2 2" xfId="16843"/>
    <cellStyle name="SAPBEXheaderItem 3 4 2 2" xfId="16844"/>
    <cellStyle name="SAPBEXheaderText 3 5 2 2" xfId="16845"/>
    <cellStyle name="SAPBEXHLevel0 3 7 2 2" xfId="16846"/>
    <cellStyle name="SAPBEXHLevel0X 3 6 2 2" xfId="16847"/>
    <cellStyle name="SAPBEXHLevel1 3 7 2 2" xfId="16848"/>
    <cellStyle name="SAPBEXHLevel1X 3 6 2 2" xfId="16849"/>
    <cellStyle name="SAPBEXHLevel2 3 7 2 2" xfId="16850"/>
    <cellStyle name="SAPBEXHLevel2X 3 6 2 2" xfId="16851"/>
    <cellStyle name="SAPBEXHLevel3 3 6 2 2" xfId="16852"/>
    <cellStyle name="SAPBEXHLevel3X 3 6 2 2" xfId="16853"/>
    <cellStyle name="SAPBEXaggItemX 8 2 2" xfId="16854"/>
    <cellStyle name="SAPBEXformats 2 6 2 2" xfId="16855"/>
    <cellStyle name="SAPBEXHLevel0 9 3 2" xfId="16856"/>
    <cellStyle name="SAPBEXHLevel0X 9 2 2" xfId="16857"/>
    <cellStyle name="SAPBEXHLevel1X 9 2 2" xfId="16858"/>
    <cellStyle name="SAPBEXHLevel2X 9 2 2" xfId="16859"/>
    <cellStyle name="SAPBEXHLevel3 9 3 2" xfId="16860"/>
    <cellStyle name="SAPBEXHLevel3X 9 2 2" xfId="16861"/>
    <cellStyle name="SAPBEXresItemX 9 2 2" xfId="16862"/>
    <cellStyle name="SAPBEXstdItem 2 6 2 2" xfId="16863"/>
    <cellStyle name="SAPBEXstdDataEmph 3 9" xfId="16864"/>
    <cellStyle name="SAPBEXHLevel0X 3 9" xfId="16865"/>
    <cellStyle name="Total 4 4 2" xfId="16866"/>
    <cellStyle name="Input 3 2 2" xfId="16867"/>
    <cellStyle name="Note 4 4 2" xfId="16868"/>
    <cellStyle name="SAPBEXstdItemX 4 9" xfId="16869"/>
    <cellStyle name="SAPBEXresData 2 11" xfId="16870"/>
    <cellStyle name="SAPBEXHLevel0 3 6 2 2" xfId="16871"/>
    <cellStyle name="SAPBEXHLevel0X 3 5 2 2" xfId="16872"/>
    <cellStyle name="SAPBEXHLevel1 3 6 2 2" xfId="16873"/>
    <cellStyle name="SAPBEXHLevel1X 3 5 2 2" xfId="16874"/>
    <cellStyle name="SAPBEXHLevel2 3 6 2 2" xfId="16875"/>
    <cellStyle name="SAPBEXHLevel2X 3 5 2 2" xfId="16876"/>
    <cellStyle name="SAPBEXHLevel3 3 5 2 2" xfId="16877"/>
    <cellStyle name="SAPBEXHLevel3X 3 5 2 2" xfId="16878"/>
    <cellStyle name="Calculation 4 2 2" xfId="16879"/>
    <cellStyle name="Output 5 2 2" xfId="16880"/>
    <cellStyle name="SAPBEXaggData 5 4 2" xfId="16881"/>
    <cellStyle name="SAPBEXaggDataEmph 5 4 2" xfId="16882"/>
    <cellStyle name="SAPBEXaggItem 5 4 2" xfId="16883"/>
    <cellStyle name="SAPBEXexcBad7 5 4 2" xfId="16884"/>
    <cellStyle name="SAPBEXexcBad8 5 4 2" xfId="16885"/>
    <cellStyle name="SAPBEXexcBad9 5 4 2" xfId="16886"/>
    <cellStyle name="SAPBEXexcCritical4 5 4 2" xfId="16887"/>
    <cellStyle name="SAPBEXexcCritical5 5 4 2" xfId="16888"/>
    <cellStyle name="SAPBEXexcCritical6 5 4 2" xfId="16889"/>
    <cellStyle name="SAPBEXexcGood1 5 4 2" xfId="16890"/>
    <cellStyle name="SAPBEXexcGood2 5 4 2" xfId="16891"/>
    <cellStyle name="SAPBEXexcGood3 5 4 2" xfId="16892"/>
    <cellStyle name="SAPBEXformats 5 4 2" xfId="16893"/>
    <cellStyle name="SAPBEXHLevel1 5 4 2" xfId="16894"/>
    <cellStyle name="SAPBEXHLevel2 5 3 2" xfId="16895"/>
    <cellStyle name="SAPBEXresData 5 4 2" xfId="16896"/>
    <cellStyle name="SAPBEXresDataEmph 5 4 2" xfId="16897"/>
    <cellStyle name="SAPBEXstdData 5 4 2" xfId="16898"/>
    <cellStyle name="SAPBEXstdDataEmph 5 4 2" xfId="16899"/>
    <cellStyle name="SAPBEXstdItem 5 4 2" xfId="16900"/>
    <cellStyle name="SAPBEXstdItemX 5 4 2" xfId="16901"/>
    <cellStyle name="SAPBEXundefined 5 4 2" xfId="16902"/>
    <cellStyle name="Input 4 2 2" xfId="16903"/>
    <cellStyle name="Note 5 2 2" xfId="16904"/>
    <cellStyle name="SAPBEXinputData 4 2 3 2" xfId="16905"/>
    <cellStyle name="Saída 2 3 4 2" xfId="16906"/>
    <cellStyle name="SAPBEXexcBad9 3 2 4 2" xfId="16907"/>
    <cellStyle name="SAPBEXfilterDrill 3 2 3 2" xfId="16908"/>
    <cellStyle name="SAPBEXfilterItem 3 2 3 2" xfId="16909"/>
    <cellStyle name="SAPBEXresDataEmph 3 2 4 2" xfId="16910"/>
    <cellStyle name="SAPBEXtitle 3 2 3 2" xfId="16911"/>
    <cellStyle name="SAPBEXexcBad9 3 2 2 2 3" xfId="16912"/>
    <cellStyle name="Total 3 2 2 3" xfId="16913"/>
    <cellStyle name="SAPBEXundefined 4 2 2 3" xfId="16914"/>
    <cellStyle name="SAPBEXstdData 5 2 2 3" xfId="16915"/>
    <cellStyle name="SAPBEXresData 4 2 2 3" xfId="16916"/>
    <cellStyle name="SAPBEXHLevel1X 4 3 2 3" xfId="16917"/>
    <cellStyle name="SAPBEXexcGood3 4 2 2 3" xfId="16918"/>
    <cellStyle name="Saída 2 3 2 2 3" xfId="16919"/>
    <cellStyle name="SAPBEXexcBad9 5 2 2 3" xfId="16920"/>
    <cellStyle name="SAPBEXaggItem 5 2 2 3" xfId="16921"/>
    <cellStyle name="Input 4 2 3" xfId="16922"/>
    <cellStyle name="SAPBEXHLevel1 5 4 3" xfId="16923"/>
    <cellStyle name="SAPBEXHLevel3 9 3 3" xfId="16924"/>
    <cellStyle name="SAPBEXHLevel1X 3 5 2 3" xfId="16925"/>
    <cellStyle name="SAPBEXHLevel3 3 6 2 3" xfId="16926"/>
    <cellStyle name="SAPBEXfilterText 3 4 2 3" xfId="16927"/>
    <cellStyle name="Nota 4 12 3" xfId="16928"/>
    <cellStyle name="SAPBEXexcCritical4 4 4 4" xfId="16929"/>
    <cellStyle name="Output 4 2 3" xfId="16930"/>
    <cellStyle name="SAPBEXstdItemX 4 5 4" xfId="16931"/>
    <cellStyle name="SAPBEXHLevel3 4 5 4" xfId="16932"/>
    <cellStyle name="Calculation 2 4 4" xfId="16933"/>
    <cellStyle name="SAPBEXHLevel0 9 2 3" xfId="16934"/>
    <cellStyle name="SAPBEXtitle 2 4 2 3" xfId="16935"/>
    <cellStyle name="SAPBEXHLevel3 5 2 2 3" xfId="16936"/>
    <cellStyle name="SAPBEXexcCritical5 2 4 2 3" xfId="16937"/>
    <cellStyle name="SAPBEXHLevel0 3 4 2 3" xfId="16938"/>
    <cellStyle name="SAPBEXHLevel1 4 2 3 3" xfId="16939"/>
    <cellStyle name="SAPBEXHLevel0 5 2 2 3" xfId="16940"/>
    <cellStyle name="SAPBEXresItem 2 4 3 3" xfId="16941"/>
    <cellStyle name="SAPBEXexcCritical4 2 4 3 3" xfId="16942"/>
    <cellStyle name="SAPBEXstdItem 2 4 2 3" xfId="16943"/>
    <cellStyle name="SAPBEXstdData 2 3 2 3" xfId="16944"/>
    <cellStyle name="SAPBEXHLevel2 3 3 2 3" xfId="16945"/>
    <cellStyle name="SAPBEXexcBad8 2 3 2 3" xfId="16946"/>
    <cellStyle name="SAPBEXHLevel2X 3 2 2 3" xfId="16947"/>
    <cellStyle name="SAPBEXHLevel0 2 3 2 3" xfId="16948"/>
    <cellStyle name="Saída 4 3 4" xfId="16949"/>
    <cellStyle name="Cálculo 4 2 3" xfId="16950"/>
    <cellStyle name="SAPBEXstdDataEmph 2 2 2 3" xfId="16951"/>
    <cellStyle name="SAPBEXexcCritical6 2 2 2 3" xfId="16952"/>
    <cellStyle name="SAPBEXstdItemX 4 4 4" xfId="16953"/>
    <cellStyle name="SAPBEXresData 5 3 3" xfId="16954"/>
    <cellStyle name="SAPBEXaggData 6 2 3" xfId="16955"/>
    <cellStyle name="SAPBEXheaderItem 6 2 3" xfId="16956"/>
    <cellStyle name="SAPBEXexcCritical4 5 3 3" xfId="16957"/>
    <cellStyle name="SAPBEXaggItem 2 2 2 3" xfId="16958"/>
    <cellStyle name="SAPBEXHLevel0 4 4 4" xfId="16959"/>
    <cellStyle name="SAPBEXexcGood3 2 5 2 3" xfId="16960"/>
    <cellStyle name="SAPBEXresItemX 3 3 2 3" xfId="16961"/>
    <cellStyle name="Saída 3 4 4" xfId="16962"/>
    <cellStyle name="SAPBEXstdItem 4 4 4" xfId="16963"/>
    <cellStyle name="SAPBEXHLevel3X 3 4 2 3" xfId="16964"/>
    <cellStyle name="SAPBEXHLevel1 2 5 2 3" xfId="16965"/>
    <cellStyle name="SAPBEXaggData 3 5 2 3" xfId="16966"/>
    <cellStyle name="SAPBEXexcCritical4 3 2 2 3" xfId="16967"/>
    <cellStyle name="SAPBEXexcBad7 2 5 2 3" xfId="16968"/>
    <cellStyle name="Nota 7 2 3" xfId="16969"/>
    <cellStyle name="SAPBEXstdItemX 9 3" xfId="16970"/>
    <cellStyle name="SAPBEXexcBad7 3 3 4" xfId="16971"/>
    <cellStyle name="SAPBEXstdDataEmph 3 3 4" xfId="16972"/>
    <cellStyle name="SAPBEXexcGood3 3 3 4" xfId="16973"/>
    <cellStyle name="Cálculo 2 5 4" xfId="16974"/>
    <cellStyle name="SAPBEXHLevel0 3 8 4" xfId="16975"/>
    <cellStyle name="SAPBEXexcGood1 2 6 4" xfId="16976"/>
    <cellStyle name="SAPBEXresDataEmph 2 6 4" xfId="16977"/>
    <cellStyle name="SAPBEXHLevel1X 10 4" xfId="16978"/>
    <cellStyle name="Cálculo 6 3" xfId="16979"/>
    <cellStyle name="SAPBEXexcBad8 2 6 4" xfId="16980"/>
    <cellStyle name="SAPBEXaggData 2 6 4" xfId="16981"/>
    <cellStyle name="Calculation 5 2 2" xfId="16982"/>
    <cellStyle name="Calculation 2 2 2 2" xfId="16983"/>
    <cellStyle name="Cálculo 3 2 2 2" xfId="16984"/>
    <cellStyle name="Entrada 3 2 2 2" xfId="16985"/>
    <cellStyle name="Entrada 4 2 2 2" xfId="16986"/>
    <cellStyle name="Input 2 2 2 2" xfId="16987"/>
    <cellStyle name="SAPBEXstdItemX 5 2 3" xfId="16988"/>
    <cellStyle name="SAPBEXundefined 4 2 4" xfId="16989"/>
    <cellStyle name="SAPBEXtitle 5 4" xfId="16990"/>
    <cellStyle name="SAPBEXstdItem 3 5 4" xfId="16991"/>
    <cellStyle name="SAPBEXresItem 4 2 4" xfId="16992"/>
    <cellStyle name="SAPBEXstdData 2 3 4" xfId="16993"/>
    <cellStyle name="SAPBEXresItemX 3 2 4" xfId="16994"/>
    <cellStyle name="SAPBEXfilterDrill 5 3" xfId="16995"/>
    <cellStyle name="SAPBEXHLevel2X 3 4 4" xfId="16996"/>
    <cellStyle name="SAPBEXHLevel3X 3 4 4" xfId="16997"/>
    <cellStyle name="SAPBEXHLevel3X 4 2 5" xfId="16998"/>
    <cellStyle name="SAPBEXHLevel2X 5 2 3" xfId="16999"/>
    <cellStyle name="SAPBEXHLevel1 4 2 5" xfId="17000"/>
    <cellStyle name="SAPBEXHLevel2 2 3 3" xfId="17001"/>
    <cellStyle name="SAPBEXHLevel1X 2 4 3" xfId="17002"/>
    <cellStyle name="SAPBEXHLevel0 4 2 5" xfId="17003"/>
    <cellStyle name="SAPBEXformats 3 5 4" xfId="17004"/>
    <cellStyle name="SAPBEXexcCritical6 2 5 4" xfId="17005"/>
    <cellStyle name="SAPBEXexcCritical5 2 2 4" xfId="17006"/>
    <cellStyle name="SAPBEXexcCritical4 2 2 4" xfId="17007"/>
    <cellStyle name="SAPBEXexcBad9 2 3 4" xfId="17008"/>
    <cellStyle name="SAPBEXaggDataEmph 3 2 4" xfId="17009"/>
    <cellStyle name="SAPBEXexcBad7 2 2 4" xfId="17010"/>
    <cellStyle name="SAPBEXaggItemX 2 4 3" xfId="17011"/>
    <cellStyle name="SAPBEXaggItem 3 2 4" xfId="17012"/>
    <cellStyle name="SAPBEXaggData 3 3 4" xfId="17013"/>
    <cellStyle name="Saída 2 3 2 3" xfId="17014"/>
    <cellStyle name="Nota 3 6 4 2" xfId="17015"/>
    <cellStyle name="Entrada 4 2 3" xfId="17016"/>
    <cellStyle name="Cálculo 4 3" xfId="17017"/>
    <cellStyle name="Note 3 2 2 2" xfId="17018"/>
    <cellStyle name="Note 4 2 2 2" xfId="17019"/>
    <cellStyle name="Output 2 3 2 2" xfId="17020"/>
    <cellStyle name="Saída 2 3 2 2 2" xfId="17021"/>
    <cellStyle name="Saída 3 3 2 2" xfId="17022"/>
    <cellStyle name="Saída 4 2 2 2" xfId="17023"/>
    <cellStyle name="SAPBEXaggData 4 2 2 2" xfId="17024"/>
    <cellStyle name="SAPBEXaggData 5 2 2 2" xfId="17025"/>
    <cellStyle name="SAPBEXaggDataEmph 4 2 2 2" xfId="17026"/>
    <cellStyle name="SAPBEXaggDataEmph 5 2 2 2" xfId="17027"/>
    <cellStyle name="SAPBEXaggItem 4 3 2 2" xfId="17028"/>
    <cellStyle name="SAPBEXaggItem 5 2 2 2" xfId="17029"/>
    <cellStyle name="SAPBEXaggItemX 3 3 2 2" xfId="17030"/>
    <cellStyle name="SAPBEXaggItemX 4 2 2 2" xfId="17031"/>
    <cellStyle name="SAPBEXexcBad7 4 2 2 2" xfId="17032"/>
    <cellStyle name="SAPBEXexcBad7 5 2 2 2" xfId="17033"/>
    <cellStyle name="SAPBEXexcBad8 4 2 2 2" xfId="17034"/>
    <cellStyle name="SAPBEXexcBad8 5 2 2 2" xfId="17035"/>
    <cellStyle name="SAPBEXexcBad9 3 3 2 2" xfId="17036"/>
    <cellStyle name="SAPBEXexcBad9 4 2 2 2" xfId="17037"/>
    <cellStyle name="SAPBEXexcBad9 5 2 2 2" xfId="17038"/>
    <cellStyle name="SAPBEXexcCritical4 4 2 2 2" xfId="17039"/>
    <cellStyle name="SAPBEXexcCritical4 5 2 2 2" xfId="17040"/>
    <cellStyle name="SAPBEXexcCritical5 4 2 2 2" xfId="17041"/>
    <cellStyle name="SAPBEXexcCritical5 5 2 2 2" xfId="17042"/>
    <cellStyle name="SAPBEXexcCritical6 4 2 2 2" xfId="17043"/>
    <cellStyle name="SAPBEXexcCritical6 5 2 2 2" xfId="17044"/>
    <cellStyle name="SAPBEXexcGood1 4 2 2 2" xfId="17045"/>
    <cellStyle name="SAPBEXexcGood1 5 2 2 2" xfId="17046"/>
    <cellStyle name="SAPBEXexcGood2 4 2 2 2" xfId="17047"/>
    <cellStyle name="SAPBEXexcGood2 5 2 2 2" xfId="17048"/>
    <cellStyle name="SAPBEXexcGood3 4 2 2 2" xfId="17049"/>
    <cellStyle name="SAPBEXexcGood3 5 2 2 2" xfId="17050"/>
    <cellStyle name="SAPBEXformats 2 2 2 2 2" xfId="17051"/>
    <cellStyle name="SAPBEXformats 2 3 2 2 2" xfId="17052"/>
    <cellStyle name="SAPBEXformats 4 2 2 2" xfId="17053"/>
    <cellStyle name="SAPBEXformats 5 2 2 2" xfId="17054"/>
    <cellStyle name="SAPBEXHLevel0 4 3 2 2" xfId="17055"/>
    <cellStyle name="SAPBEXHLevel0 5 3 2 2" xfId="17056"/>
    <cellStyle name="SAPBEXHLevel0X 4 3 2 2" xfId="17057"/>
    <cellStyle name="SAPBEXHLevel0X 5 2 2 2" xfId="17058"/>
    <cellStyle name="SAPBEXHLevel1 4 3 2 2" xfId="17059"/>
    <cellStyle name="SAPBEXHLevel1X 4 3 2 2" xfId="17060"/>
    <cellStyle name="SAPBEXHLevel1X 5 2 2 2" xfId="17061"/>
    <cellStyle name="SAPBEXHLevel2 4 3 2 2" xfId="17062"/>
    <cellStyle name="SAPBEXHLevel2X 4 3 2 2" xfId="17063"/>
    <cellStyle name="SAPBEXHLevel2X 5 2 2 2" xfId="17064"/>
    <cellStyle name="SAPBEXHLevel3 4 3 2 2" xfId="17065"/>
    <cellStyle name="SAPBEXHLevel3 5 3 2 2" xfId="17066"/>
    <cellStyle name="SAPBEXHLevel3X 4 3 2 2" xfId="17067"/>
    <cellStyle name="SAPBEXHLevel3X 5 2 2 2" xfId="17068"/>
    <cellStyle name="SAPBEXresData 4 2 2 2" xfId="17069"/>
    <cellStyle name="SAPBEXresData 5 2 2 2" xfId="17070"/>
    <cellStyle name="SAPBEXresDataEmph 3 3 2 2" xfId="17071"/>
    <cellStyle name="SAPBEXresDataEmph 4 2 2 2" xfId="17072"/>
    <cellStyle name="SAPBEXresDataEmph 5 2 2 2" xfId="17073"/>
    <cellStyle name="SAPBEXresItem 4 2 2 2" xfId="17074"/>
    <cellStyle name="SAPBEXresItemX 4 2 2 2" xfId="17075"/>
    <cellStyle name="SAPBEXresItemX 5 2 2 2" xfId="17076"/>
    <cellStyle name="SAPBEXstdData 4 2 2 2" xfId="17077"/>
    <cellStyle name="SAPBEXstdData 5 2 2 2" xfId="17078"/>
    <cellStyle name="SAPBEXstdDataEmph 4 2 2 2" xfId="17079"/>
    <cellStyle name="SAPBEXstdDataEmph 5 2 2 2" xfId="17080"/>
    <cellStyle name="SAPBEXstdItem 2 2 2 2 2" xfId="17081"/>
    <cellStyle name="SAPBEXstdItem 2 3 2 2 2" xfId="17082"/>
    <cellStyle name="SAPBEXstdItem 4 3 2 2" xfId="17083"/>
    <cellStyle name="SAPBEXstdItem 5 2 2 2" xfId="17084"/>
    <cellStyle name="SAPBEXstdItemX 3 3 2 2" xfId="17085"/>
    <cellStyle name="SAPBEXstdItemX 4 3 2 2" xfId="17086"/>
    <cellStyle name="SAPBEXundefined 4 2 2 2" xfId="17087"/>
    <cellStyle name="SAPBEXundefined 5 2 2 2" xfId="17088"/>
    <cellStyle name="SAPBEXstdItem 2 3 6" xfId="17089"/>
    <cellStyle name="SAPBEXHLevel1X 5 6" xfId="17090"/>
    <cellStyle name="Output 4 4" xfId="17091"/>
    <cellStyle name="SAPBEXexcCritical5 3 9" xfId="17092"/>
    <cellStyle name="SAPBEXexcGood3 3 9" xfId="17093"/>
    <cellStyle name="SAPBEXaggItemX 3 9" xfId="17094"/>
    <cellStyle name="SAPBEXHLevel3 3 9" xfId="17095"/>
    <cellStyle name="SAPBEXtitle 2 10" xfId="17096"/>
    <cellStyle name="SAPBEXItemHeader 5" xfId="17097"/>
    <cellStyle name="SAPBEXresItem 2 10" xfId="17098"/>
    <cellStyle name="Total 3 2 2 2" xfId="17099"/>
    <cellStyle name="Note 3 11" xfId="17100"/>
    <cellStyle name="SAPBEXaggDataEmph 2 11" xfId="17101"/>
    <cellStyle name="SAPBEXaggData 4 9" xfId="17102"/>
    <cellStyle name="SAPBEXexcBad9 3 2 2 2 2" xfId="17103"/>
    <cellStyle name="SAPBEXresDataEmph 3 2 2 2 2" xfId="17104"/>
    <cellStyle name="Total 4 2 2 2" xfId="17105"/>
    <cellStyle name="SAPBEXexcBad8 5 2 3" xfId="17106"/>
    <cellStyle name="SAPBEXexcCritical6 5 4 3" xfId="17107"/>
    <cellStyle name="SAPBEXfilterItem 5 2 3" xfId="17108"/>
    <cellStyle name="SAPBEXHLevel0 4 3 2 3" xfId="17109"/>
    <cellStyle name="SAPBEXexcBad7 2 2 2 3" xfId="17110"/>
    <cellStyle name="SAPBEXaggItem 2 5 4" xfId="17111"/>
    <cellStyle name="SAPBEXformats 4 3 4" xfId="17112"/>
    <cellStyle name="SAPBEXstdDataEmph 3 2 4" xfId="17113"/>
    <cellStyle name="SAPBEXHLevel2X 3 3 2 3" xfId="17114"/>
    <cellStyle name="SAPBEXHLevel0X 4 5 4" xfId="17115"/>
    <cellStyle name="Total 5 4" xfId="17116"/>
    <cellStyle name="SAPBEXstdItemX 2 3 2 3" xfId="17117"/>
    <cellStyle name="Saída 3 2 2 3" xfId="17118"/>
    <cellStyle name="SAPBEXaggItem 2 5 2 3" xfId="17119"/>
    <cellStyle name="SAPBEXresItemX 2 4 3" xfId="17120"/>
    <cellStyle name="SAPBEXaggItem 9 3" xfId="17121"/>
    <cellStyle name="Note 6 3" xfId="17122"/>
    <cellStyle name="Cálculo 3 2 2 3" xfId="17123"/>
    <cellStyle name="SAPBEXHLevel1 4 2 2 3" xfId="17124"/>
    <cellStyle name="SAPBEXexcCritical6 3 2 4" xfId="17125"/>
    <cellStyle name="SAPBEXchaText 6 2 3" xfId="17126"/>
    <cellStyle name="SAPBEXformats 9 3" xfId="17127"/>
    <cellStyle name="Nota 3 6 4 3" xfId="17128"/>
    <cellStyle name="SAPBEXexcGood1 2 3 2 3" xfId="17129"/>
    <cellStyle name="SAPBEXstdDataEmph 2 5 2 3" xfId="17130"/>
    <cellStyle name="SAPBEXtitle 2 2 4" xfId="17131"/>
    <cellStyle name="SAPBEXHLevel3 5 2 3 3" xfId="17132"/>
    <cellStyle name="SAPBEXexcCritical5 3 3 4" xfId="17133"/>
    <cellStyle name="SAPBEXaggData 5 2 2 3" xfId="17134"/>
    <cellStyle name="SAPBEXexcGood3 2 4 2 3" xfId="17135"/>
    <cellStyle name="SAPBEXexcCritical5 4 2 4" xfId="17136"/>
    <cellStyle name="SAPBEXHLevel1 2 2 3 3" xfId="17137"/>
    <cellStyle name="SAPBEXstdItem 2 3 2 2 3" xfId="17138"/>
    <cellStyle name="SAPBEXaggItemX 3 2 4" xfId="17139"/>
    <cellStyle name="SAPBEXformats 2 6 2 3" xfId="17140"/>
    <cellStyle name="SAPBEXresDataEmph 2 5 2 3" xfId="17141"/>
    <cellStyle name="SAPBEXstdItemX 3 3 4" xfId="17142"/>
    <cellStyle name="SAPBEXexcGood2 2 4 3 3" xfId="17143"/>
    <cellStyle name="Output 3 2 4" xfId="17144"/>
    <cellStyle name="SAPBEXaggData 3 6 4" xfId="17145"/>
    <cellStyle name="SAPBEXHLevel3 4 3 4" xfId="17146"/>
    <cellStyle name="SAPBEXaggData 6 3" xfId="17147"/>
    <cellStyle name="SAPBEXexcCritical6 2 5 2 3" xfId="17148"/>
    <cellStyle name="SAPBEXstdData 3 3 4" xfId="17149"/>
    <cellStyle name="Calculation 5 4" xfId="17150"/>
    <cellStyle name="SAPBEXexcCritical4 2 6 4" xfId="17151"/>
    <cellStyle name="SAPBEXHLevel0X 3 3 4" xfId="17152"/>
    <cellStyle name="SAPBEXaggData 3 3 2 3" xfId="17153"/>
    <cellStyle name="SAPBEXexcGood2 2 3 4" xfId="17154"/>
    <cellStyle name="Note 2 3 4" xfId="17155"/>
    <cellStyle name="SAPBEXHLevel1 4 4 4" xfId="17156"/>
    <cellStyle name="Nota 3 8 4" xfId="17157"/>
    <cellStyle name="SAPBEXstdData 10 3" xfId="17158"/>
    <cellStyle name="SAPBEXHLevel3X 3 2 2 3" xfId="17159"/>
    <cellStyle name="SAPBEXexcBad7 4 2 4" xfId="17160"/>
    <cellStyle name="SAPBEXHLevel3X 3 5 2 3" xfId="17161"/>
    <cellStyle name="SAPBEXchaText 5 3 3" xfId="17162"/>
    <cellStyle name="SAPBEXstdItemX 5 2 2 3" xfId="17163"/>
    <cellStyle name="SAPBEXHLevel0X 5 4 3" xfId="17164"/>
    <cellStyle name="SAPBEXundefined 3 3 4" xfId="17165"/>
    <cellStyle name="SAPBEXexcCritical5 5 2 2 3" xfId="17166"/>
    <cellStyle name="SAPBEXexcCritical4 4 2 4" xfId="17167"/>
    <cellStyle name="SAPBEXexcBad9 3 2 4 3" xfId="17168"/>
    <cellStyle name="SAPBEXstdDataEmph 4 3 4" xfId="17169"/>
    <cellStyle name="SAPBEXresDataEmph 5 2 2 3" xfId="17170"/>
    <cellStyle name="SAPBEXformats 2 5 4" xfId="17171"/>
    <cellStyle name="SAPBEXformats 3 2 2 3" xfId="17172"/>
    <cellStyle name="SAPBEXaggItem 4 2 5" xfId="17173"/>
    <cellStyle name="SAPBEXHLevel0X 3 6 2 3" xfId="17174"/>
    <cellStyle name="SAPBEXHLevel2X 2 4 2 3" xfId="17175"/>
    <cellStyle name="SAPBEXstdItem 4 3 4" xfId="17176"/>
    <cellStyle name="SAPBEXaggDataEmph 2 4 3 3" xfId="17177"/>
    <cellStyle name="SAPBEXresDataEmph 4 4 4" xfId="17178"/>
    <cellStyle name="SAPBEXHLevel2 3 8 4" xfId="17179"/>
    <cellStyle name="SAPBEXaggData 2 2 4" xfId="17180"/>
    <cellStyle name="SAPBEXexcBad8 3 2 2 3" xfId="17181"/>
    <cellStyle name="SAPBEXresItem 8 4" xfId="17182"/>
    <cellStyle name="SAPBEXaggItem 2 6 4" xfId="17183"/>
    <cellStyle name="SAPBEXresItem 2 4 2 3" xfId="17184"/>
    <cellStyle name="SAPBEXexcGood1 2 4 5" xfId="17185"/>
    <cellStyle name="SAPBEXexcGood2 5 3 3" xfId="17186"/>
    <cellStyle name="SAPBEXHLevel3X 10 4" xfId="17187"/>
    <cellStyle name="SAPBEXHLevel1X 3 2 4" xfId="17188"/>
    <cellStyle name="SAPBEXHLevel1 2 3 2 3" xfId="17189"/>
    <cellStyle name="SAPBEXundefined 3 2 2 3" xfId="17190"/>
    <cellStyle name="SAPBEXundefined 2 5 4" xfId="17191"/>
    <cellStyle name="SAPBEXstdItemX 4 2 3 3" xfId="17192"/>
    <cellStyle name="SAPBEXresData 3 3 4" xfId="17193"/>
    <cellStyle name="SAPBEXexcBad7 5 2 2 3" xfId="17194"/>
    <cellStyle name="SAPBEXexcBad9 5 2 3" xfId="17195"/>
    <cellStyle name="SAPBEXstdData 5 4 3" xfId="17196"/>
    <cellStyle name="SAPBEXHLevel2 3 5 2 3" xfId="17197"/>
    <cellStyle name="SAPBEXHLevel2X 5 2 2 3" xfId="17198"/>
    <cellStyle name="SAPBEXfilterItem 5 3" xfId="17199"/>
    <cellStyle name="SAPBEXstdData 4 9" xfId="17200"/>
    <cellStyle name="Vírgula 27" xfId="17201"/>
    <cellStyle name="Separador de milhares 2 17" xfId="17202"/>
    <cellStyle name="Separador de milhares 3 14" xfId="17203"/>
    <cellStyle name="Separador de milhares 4 13" xfId="17204"/>
    <cellStyle name="Separador de milhares 5 14" xfId="17205"/>
    <cellStyle name="Separador de milhares 6 14" xfId="17206"/>
    <cellStyle name="Separador de milhares 7 12" xfId="17207"/>
    <cellStyle name="Normal 3 2 11" xfId="17208"/>
    <cellStyle name="Normal 6 15" xfId="17209"/>
    <cellStyle name="Comma 2 12" xfId="17210"/>
    <cellStyle name="Percent 2 12" xfId="17211"/>
    <cellStyle name="Separador de milhares 3 3 11" xfId="17212"/>
    <cellStyle name="Normal 6 2 11" xfId="17213"/>
    <cellStyle name="Comma 2 2 11" xfId="17214"/>
    <cellStyle name="Percent 2 2 10" xfId="17215"/>
    <cellStyle name="Normal 7 16" xfId="17216"/>
    <cellStyle name="Normal 8 21" xfId="17217"/>
    <cellStyle name="Comma 4 11" xfId="17218"/>
    <cellStyle name="Percent 3 11" xfId="17219"/>
    <cellStyle name="Normal 9 12" xfId="17220"/>
    <cellStyle name="Comma 5 11" xfId="17221"/>
    <cellStyle name="Normal 8 2 15" xfId="17222"/>
    <cellStyle name="Normal 8 3 14" xfId="17223"/>
    <cellStyle name="Normal 8 4 14" xfId="17224"/>
    <cellStyle name="Normal 8 5 14" xfId="17225"/>
    <cellStyle name="Normal 8 5 2 12" xfId="17226"/>
    <cellStyle name="Normal 7 2 16" xfId="17227"/>
    <cellStyle name="Vírgula 9 11" xfId="17228"/>
    <cellStyle name="Separador de milhares 2 2 13" xfId="17229"/>
    <cellStyle name="Separador de milhares 3 4 10" xfId="17230"/>
    <cellStyle name="Separador de milhares 4 3 10" xfId="17231"/>
    <cellStyle name="Separador de milhares 5 3 10" xfId="17232"/>
    <cellStyle name="Separador de milhares 6 3 10" xfId="17233"/>
    <cellStyle name="Separador de milhares 7 3 11" xfId="17234"/>
    <cellStyle name="Normal 3 2 2 10" xfId="17235"/>
    <cellStyle name="Normal 6 3 10" xfId="17236"/>
    <cellStyle name="Comma 2 3 10" xfId="17237"/>
    <cellStyle name="Percent 2 3 9" xfId="17238"/>
    <cellStyle name="Separador de milhares 3 3 2 10" xfId="17239"/>
    <cellStyle name="Normal 6 2 2 9" xfId="17240"/>
    <cellStyle name="Comma 2 2 2 9" xfId="17241"/>
    <cellStyle name="Percent 2 2 2 9" xfId="17242"/>
    <cellStyle name="Normal 7 3 15" xfId="17243"/>
    <cellStyle name="Comma 3 2 9" xfId="17244"/>
    <cellStyle name="Normal 8 6 12" xfId="17245"/>
    <cellStyle name="Comma 4 2 9" xfId="17246"/>
    <cellStyle name="Percent 3 2 9" xfId="17247"/>
    <cellStyle name="Normal 9 2 10" xfId="17248"/>
    <cellStyle name="Comma 5 2 9" xfId="17249"/>
    <cellStyle name="Normal 8 2 2 14" xfId="17250"/>
    <cellStyle name="Vírgula 13 2 9" xfId="17251"/>
    <cellStyle name="Vírgula 4 2 2 11" xfId="17252"/>
    <cellStyle name="Normal 8 3 2 12" xfId="17253"/>
    <cellStyle name="Normal 8 4 2 12" xfId="17254"/>
    <cellStyle name="Normal 8 5 3 10" xfId="17255"/>
    <cellStyle name="Normal 8 5 2 2 9" xfId="17256"/>
    <cellStyle name="Normal 7 2 2 14" xfId="17257"/>
    <cellStyle name="Vírgula 18 2 9" xfId="17258"/>
    <cellStyle name="Vírgula 12 2 10" xfId="17259"/>
    <cellStyle name="Normal 12 10" xfId="17260"/>
    <cellStyle name="Normal 3 8 10" xfId="17261"/>
    <cellStyle name="Percent 3 3 9" xfId="17262"/>
    <cellStyle name="Comma 2 4 9" xfId="17263"/>
    <cellStyle name="Comma 2 2 3 9" xfId="17264"/>
    <cellStyle name="Normal 6 7 9" xfId="17265"/>
    <cellStyle name="Normal 3 2 3 9" xfId="17266"/>
    <cellStyle name="Separador de milhares 2 9 9" xfId="17267"/>
    <cellStyle name="Normal 7 8 9" xfId="17268"/>
    <cellStyle name="Comma 2 3 2 9" xfId="17269"/>
    <cellStyle name="Separador de milhares 2 8 9" xfId="17270"/>
    <cellStyle name="Separador de milhares 3 6 9" xfId="17271"/>
    <cellStyle name="Separador de milhares 4 5 10" xfId="17272"/>
    <cellStyle name="Separador de milhares 5 5 10" xfId="17273"/>
    <cellStyle name="Separador de milhares 6 6 10" xfId="17274"/>
    <cellStyle name="Separador de milhares 7 4 9" xfId="17275"/>
    <cellStyle name="Comma 3 3 9" xfId="17276"/>
    <cellStyle name="Vírgula 7 2 9" xfId="17277"/>
    <cellStyle name="20% - Ênfase1 2 2 16" xfId="17278"/>
    <cellStyle name="20% - Ênfase1 2 2 2 13" xfId="17279"/>
    <cellStyle name="20% - Ênfase1 2 2 2 2 11" xfId="17280"/>
    <cellStyle name="20% - Ênfase1 2 2 2 3 11" xfId="17281"/>
    <cellStyle name="20% - Ênfase1 2 2 3 11" xfId="17282"/>
    <cellStyle name="20% - Ênfase1 2 2 4 11" xfId="17283"/>
    <cellStyle name="20% - Ênfase1 2 2 5 11" xfId="17284"/>
    <cellStyle name="20% - Ênfase1 2 3 15" xfId="17285"/>
    <cellStyle name="20% - Ênfase1 2 3 2 13" xfId="17286"/>
    <cellStyle name="20% - Ênfase1 2 3 2 2 11" xfId="17287"/>
    <cellStyle name="20% - Ênfase1 2 3 2 3 11" xfId="17288"/>
    <cellStyle name="20% - Ênfase1 2 3 3 11" xfId="17289"/>
    <cellStyle name="20% - Ênfase1 2 3 4 11" xfId="17290"/>
    <cellStyle name="20% - Ênfase1 2 5 13" xfId="17291"/>
    <cellStyle name="20% - Ênfase1 2 5 2 11" xfId="17292"/>
    <cellStyle name="20% - Ênfase1 2 5 3 11" xfId="17293"/>
    <cellStyle name="20% - Ênfase1 3 18" xfId="17294"/>
    <cellStyle name="20% - Ênfase1 3 2 15" xfId="17295"/>
    <cellStyle name="20% - Ênfase1 3 2 2 13" xfId="17296"/>
    <cellStyle name="20% - Ênfase1 3 2 2 2 11" xfId="17297"/>
    <cellStyle name="20% - Ênfase1 3 2 2 3 11" xfId="17298"/>
    <cellStyle name="20% - Ênfase1 3 2 3 11" xfId="17299"/>
    <cellStyle name="20% - Ênfase1 3 2 4 11" xfId="17300"/>
    <cellStyle name="20% - Ênfase1 3 3 14" xfId="17301"/>
    <cellStyle name="20% - Ênfase1 3 3 2 11" xfId="17302"/>
    <cellStyle name="20% - Ênfase1 3 3 3 11" xfId="17303"/>
    <cellStyle name="20% - Ênfase1 3 4 13" xfId="17304"/>
    <cellStyle name="20% - Ênfase1 3 4 2 11" xfId="17305"/>
    <cellStyle name="20% - Ênfase1 3 4 3 11" xfId="17306"/>
    <cellStyle name="20% - Ênfase1 3 5 11" xfId="17307"/>
    <cellStyle name="20% - Ênfase1 3 6 11" xfId="17308"/>
    <cellStyle name="20% - Ênfase1 3 7 11" xfId="17309"/>
    <cellStyle name="20% - Ênfase1 4 18" xfId="17310"/>
    <cellStyle name="20% - Ênfase1 4 2 15" xfId="17311"/>
    <cellStyle name="20% - Ênfase1 4 2 2 13" xfId="17312"/>
    <cellStyle name="20% - Ênfase1 4 2 2 2 11" xfId="17313"/>
    <cellStyle name="20% - Ênfase1 4 2 2 3 11" xfId="17314"/>
    <cellStyle name="20% - Ênfase1 4 2 3 11" xfId="17315"/>
    <cellStyle name="20% - Ênfase1 4 2 4 11" xfId="17316"/>
    <cellStyle name="20% - Ênfase1 4 3 14" xfId="17317"/>
    <cellStyle name="20% - Ênfase1 4 3 2 11" xfId="17318"/>
    <cellStyle name="20% - Ênfase1 4 3 3 11" xfId="17319"/>
    <cellStyle name="20% - Ênfase1 4 4 13" xfId="17320"/>
    <cellStyle name="20% - Ênfase1 4 4 2 11" xfId="17321"/>
    <cellStyle name="20% - Ênfase1 4 4 3 11" xfId="17322"/>
    <cellStyle name="20% - Ênfase1 4 5 11" xfId="17323"/>
    <cellStyle name="20% - Ênfase1 4 6 11" xfId="17324"/>
    <cellStyle name="20% - Ênfase1 4 7 11" xfId="17325"/>
    <cellStyle name="20% - Ênfase1 5 16" xfId="17326"/>
    <cellStyle name="20% - Ênfase1 5 2 13" xfId="17327"/>
    <cellStyle name="20% - Ênfase1 5 2 2 11" xfId="17328"/>
    <cellStyle name="20% - Ênfase1 5 2 3 11" xfId="17329"/>
    <cellStyle name="20% - Ênfase1 5 3 11" xfId="17330"/>
    <cellStyle name="20% - Ênfase1 5 4 11" xfId="17331"/>
    <cellStyle name="20% - Ênfase1 5 5 11" xfId="17332"/>
    <cellStyle name="20% - Ênfase1 6 15" xfId="17333"/>
    <cellStyle name="20% - Ênfase1 6 2 13" xfId="17334"/>
    <cellStyle name="20% - Ênfase1 6 2 2 11" xfId="17335"/>
    <cellStyle name="20% - Ênfase1 6 2 3 11" xfId="17336"/>
    <cellStyle name="20% - Ênfase1 6 3 11" xfId="17337"/>
    <cellStyle name="20% - Ênfase1 6 4 11" xfId="17338"/>
    <cellStyle name="20% - Ênfase1 8 13" xfId="17339"/>
    <cellStyle name="20% - Ênfase1 8 2 11" xfId="17340"/>
    <cellStyle name="20% - Ênfase1 8 3 11" xfId="17341"/>
    <cellStyle name="20% - Ênfase2 2 2 16" xfId="17342"/>
    <cellStyle name="20% - Ênfase2 2 2 2 13" xfId="17343"/>
    <cellStyle name="20% - Ênfase2 2 2 2 2 11" xfId="17344"/>
    <cellStyle name="20% - Ênfase2 2 2 2 3 11" xfId="17345"/>
    <cellStyle name="20% - Ênfase2 2 2 3 11" xfId="17346"/>
    <cellStyle name="20% - Ênfase2 2 2 4 11" xfId="17347"/>
    <cellStyle name="20% - Ênfase2 2 2 5 11" xfId="17348"/>
    <cellStyle name="20% - Ênfase2 2 3 15" xfId="17349"/>
    <cellStyle name="20% - Ênfase2 2 3 2 13" xfId="17350"/>
    <cellStyle name="20% - Ênfase2 2 3 2 2 11" xfId="17351"/>
    <cellStyle name="20% - Ênfase2 2 3 2 3 11" xfId="17352"/>
    <cellStyle name="20% - Ênfase2 2 3 3 11" xfId="17353"/>
    <cellStyle name="20% - Ênfase2 2 3 4 11" xfId="17354"/>
    <cellStyle name="20% - Ênfase2 2 5 13" xfId="17355"/>
    <cellStyle name="20% - Ênfase2 2 5 2 11" xfId="17356"/>
    <cellStyle name="20% - Ênfase2 2 5 3 11" xfId="17357"/>
    <cellStyle name="20% - Ênfase2 3 18" xfId="17358"/>
    <cellStyle name="20% - Ênfase2 3 2 15" xfId="17359"/>
    <cellStyle name="20% - Ênfase2 3 2 2 13" xfId="17360"/>
    <cellStyle name="20% - Ênfase2 3 2 2 2 11" xfId="17361"/>
    <cellStyle name="20% - Ênfase2 3 2 2 3 11" xfId="17362"/>
    <cellStyle name="20% - Ênfase2 3 2 3 11" xfId="17363"/>
    <cellStyle name="20% - Ênfase2 3 2 4 11" xfId="17364"/>
    <cellStyle name="20% - Ênfase2 3 3 14" xfId="17365"/>
    <cellStyle name="20% - Ênfase2 3 3 2 11" xfId="17366"/>
    <cellStyle name="20% - Ênfase2 3 3 3 11" xfId="17367"/>
    <cellStyle name="20% - Ênfase2 3 4 13" xfId="17368"/>
    <cellStyle name="20% - Ênfase2 3 4 2 11" xfId="17369"/>
    <cellStyle name="20% - Ênfase2 3 4 3 11" xfId="17370"/>
    <cellStyle name="20% - Ênfase2 3 5 11" xfId="17371"/>
    <cellStyle name="20% - Ênfase2 3 6 11" xfId="17372"/>
    <cellStyle name="20% - Ênfase2 3 7 11" xfId="17373"/>
    <cellStyle name="20% - Ênfase2 4 18" xfId="17374"/>
    <cellStyle name="20% - Ênfase2 4 2 15" xfId="17375"/>
    <cellStyle name="20% - Ênfase2 4 2 2 13" xfId="17376"/>
    <cellStyle name="20% - Ênfase2 4 2 2 2 11" xfId="17377"/>
    <cellStyle name="20% - Ênfase2 4 2 2 3 11" xfId="17378"/>
    <cellStyle name="20% - Ênfase2 4 2 3 11" xfId="17379"/>
    <cellStyle name="20% - Ênfase2 4 2 4 11" xfId="17380"/>
    <cellStyle name="20% - Ênfase2 4 3 14" xfId="17381"/>
    <cellStyle name="20% - Ênfase2 4 3 2 11" xfId="17382"/>
    <cellStyle name="20% - Ênfase2 4 3 3 11" xfId="17383"/>
    <cellStyle name="20% - Ênfase2 4 4 13" xfId="17384"/>
    <cellStyle name="20% - Ênfase2 4 4 2 11" xfId="17385"/>
    <cellStyle name="20% - Ênfase2 4 4 3 11" xfId="17386"/>
    <cellStyle name="20% - Ênfase2 4 5 11" xfId="17387"/>
    <cellStyle name="20% - Ênfase2 4 6 11" xfId="17388"/>
    <cellStyle name="20% - Ênfase2 4 7 11" xfId="17389"/>
    <cellStyle name="20% - Ênfase2 5 16" xfId="17390"/>
    <cellStyle name="20% - Ênfase2 5 2 13" xfId="17391"/>
    <cellStyle name="20% - Ênfase2 5 2 2 11" xfId="17392"/>
    <cellStyle name="20% - Ênfase2 5 2 3 11" xfId="17393"/>
    <cellStyle name="20% - Ênfase2 5 3 11" xfId="17394"/>
    <cellStyle name="20% - Ênfase2 5 4 11" xfId="17395"/>
    <cellStyle name="20% - Ênfase2 5 5 11" xfId="17396"/>
    <cellStyle name="20% - Ênfase2 6 15" xfId="17397"/>
    <cellStyle name="20% - Ênfase2 6 2 13" xfId="17398"/>
    <cellStyle name="20% - Ênfase2 6 2 2 11" xfId="17399"/>
    <cellStyle name="20% - Ênfase2 6 2 3 11" xfId="17400"/>
    <cellStyle name="20% - Ênfase2 6 3 11" xfId="17401"/>
    <cellStyle name="20% - Ênfase2 6 4 11" xfId="17402"/>
    <cellStyle name="20% - Ênfase2 8 13" xfId="17403"/>
    <cellStyle name="20% - Ênfase2 8 2 11" xfId="17404"/>
    <cellStyle name="20% - Ênfase2 8 3 11" xfId="17405"/>
    <cellStyle name="20% - Ênfase3 2 2 16" xfId="17406"/>
    <cellStyle name="20% - Ênfase3 2 2 2 13" xfId="17407"/>
    <cellStyle name="20% - Ênfase3 2 2 2 2 11" xfId="17408"/>
    <cellStyle name="20% - Ênfase3 2 2 2 3 11" xfId="17409"/>
    <cellStyle name="20% - Ênfase3 2 2 3 11" xfId="17410"/>
    <cellStyle name="20% - Ênfase3 2 2 4 11" xfId="17411"/>
    <cellStyle name="20% - Ênfase3 2 2 5 11" xfId="17412"/>
    <cellStyle name="20% - Ênfase3 2 3 15" xfId="17413"/>
    <cellStyle name="20% - Ênfase3 2 3 2 13" xfId="17414"/>
    <cellStyle name="20% - Ênfase3 2 3 2 2 11" xfId="17415"/>
    <cellStyle name="20% - Ênfase3 2 3 2 3 11" xfId="17416"/>
    <cellStyle name="20% - Ênfase3 2 3 3 11" xfId="17417"/>
    <cellStyle name="20% - Ênfase3 2 3 4 11" xfId="17418"/>
    <cellStyle name="20% - Ênfase3 2 5 13" xfId="17419"/>
    <cellStyle name="20% - Ênfase3 2 5 2 11" xfId="17420"/>
    <cellStyle name="20% - Ênfase3 2 5 3 11" xfId="17421"/>
    <cellStyle name="20% - Ênfase3 3 18" xfId="17422"/>
    <cellStyle name="20% - Ênfase3 3 2 15" xfId="17423"/>
    <cellStyle name="20% - Ênfase3 3 2 2 13" xfId="17424"/>
    <cellStyle name="20% - Ênfase3 3 2 2 2 11" xfId="17425"/>
    <cellStyle name="20% - Ênfase3 3 2 2 3 11" xfId="17426"/>
    <cellStyle name="20% - Ênfase3 3 2 3 11" xfId="17427"/>
    <cellStyle name="20% - Ênfase3 3 2 4 11" xfId="17428"/>
    <cellStyle name="20% - Ênfase3 3 3 14" xfId="17429"/>
    <cellStyle name="20% - Ênfase3 3 3 2 11" xfId="17430"/>
    <cellStyle name="20% - Ênfase3 3 3 3 11" xfId="17431"/>
    <cellStyle name="20% - Ênfase3 3 4 13" xfId="17432"/>
    <cellStyle name="20% - Ênfase3 3 4 2 11" xfId="17433"/>
    <cellStyle name="20% - Ênfase3 3 4 3 11" xfId="17434"/>
    <cellStyle name="20% - Ênfase3 3 5 11" xfId="17435"/>
    <cellStyle name="20% - Ênfase3 3 6 11" xfId="17436"/>
    <cellStyle name="20% - Ênfase3 3 7 11" xfId="17437"/>
    <cellStyle name="20% - Ênfase3 4 18" xfId="17438"/>
    <cellStyle name="20% - Ênfase3 4 2 15" xfId="17439"/>
    <cellStyle name="20% - Ênfase3 4 2 2 13" xfId="17440"/>
    <cellStyle name="20% - Ênfase3 4 2 2 2 11" xfId="17441"/>
    <cellStyle name="20% - Ênfase3 4 2 2 3 11" xfId="17442"/>
    <cellStyle name="20% - Ênfase3 4 2 3 11" xfId="17443"/>
    <cellStyle name="20% - Ênfase3 4 2 4 11" xfId="17444"/>
    <cellStyle name="20% - Ênfase3 4 3 14" xfId="17445"/>
    <cellStyle name="20% - Ênfase3 4 3 2 11" xfId="17446"/>
    <cellStyle name="20% - Ênfase3 4 3 3 11" xfId="17447"/>
    <cellStyle name="20% - Ênfase3 4 4 13" xfId="17448"/>
    <cellStyle name="20% - Ênfase3 4 4 2 11" xfId="17449"/>
    <cellStyle name="20% - Ênfase3 4 4 3 11" xfId="17450"/>
    <cellStyle name="20% - Ênfase3 4 5 11" xfId="17451"/>
    <cellStyle name="20% - Ênfase3 4 6 11" xfId="17452"/>
    <cellStyle name="20% - Ênfase3 4 7 11" xfId="17453"/>
    <cellStyle name="20% - Ênfase3 5 16" xfId="17454"/>
    <cellStyle name="20% - Ênfase3 5 2 13" xfId="17455"/>
    <cellStyle name="20% - Ênfase3 5 2 2 11" xfId="17456"/>
    <cellStyle name="20% - Ênfase3 5 2 3 11" xfId="17457"/>
    <cellStyle name="20% - Ênfase3 5 3 11" xfId="17458"/>
    <cellStyle name="20% - Ênfase3 5 4 11" xfId="17459"/>
    <cellStyle name="20% - Ênfase3 5 5 11" xfId="17460"/>
    <cellStyle name="20% - Ênfase3 6 15" xfId="17461"/>
    <cellStyle name="20% - Ênfase3 6 2 13" xfId="17462"/>
    <cellStyle name="20% - Ênfase3 6 2 2 11" xfId="17463"/>
    <cellStyle name="20% - Ênfase3 6 2 3 11" xfId="17464"/>
    <cellStyle name="20% - Ênfase3 6 3 11" xfId="17465"/>
    <cellStyle name="20% - Ênfase3 6 4 11" xfId="17466"/>
    <cellStyle name="20% - Ênfase3 8 13" xfId="17467"/>
    <cellStyle name="20% - Ênfase3 8 2 11" xfId="17468"/>
    <cellStyle name="20% - Ênfase3 8 3 11" xfId="17469"/>
    <cellStyle name="20% - Ênfase4 2 2 16" xfId="17470"/>
    <cellStyle name="20% - Ênfase4 2 2 2 13" xfId="17471"/>
    <cellStyle name="20% - Ênfase4 2 2 2 2 11" xfId="17472"/>
    <cellStyle name="20% - Ênfase4 2 2 2 3 11" xfId="17473"/>
    <cellStyle name="20% - Ênfase4 2 2 3 11" xfId="17474"/>
    <cellStyle name="20% - Ênfase4 2 2 4 11" xfId="17475"/>
    <cellStyle name="20% - Ênfase4 2 2 5 11" xfId="17476"/>
    <cellStyle name="20% - Ênfase4 2 3 15" xfId="17477"/>
    <cellStyle name="20% - Ênfase4 2 3 2 13" xfId="17478"/>
    <cellStyle name="20% - Ênfase4 2 3 2 2 11" xfId="17479"/>
    <cellStyle name="20% - Ênfase4 2 3 2 3 11" xfId="17480"/>
    <cellStyle name="20% - Ênfase4 2 3 3 11" xfId="17481"/>
    <cellStyle name="20% - Ênfase4 2 3 4 11" xfId="17482"/>
    <cellStyle name="20% - Ênfase4 2 5 13" xfId="17483"/>
    <cellStyle name="20% - Ênfase4 2 5 2 11" xfId="17484"/>
    <cellStyle name="20% - Ênfase4 2 5 3 11" xfId="17485"/>
    <cellStyle name="20% - Ênfase4 3 18" xfId="17486"/>
    <cellStyle name="20% - Ênfase4 3 2 15" xfId="17487"/>
    <cellStyle name="20% - Ênfase4 3 2 2 13" xfId="17488"/>
    <cellStyle name="20% - Ênfase4 3 2 2 2 11" xfId="17489"/>
    <cellStyle name="20% - Ênfase4 3 2 2 3 11" xfId="17490"/>
    <cellStyle name="20% - Ênfase4 3 2 3 11" xfId="17491"/>
    <cellStyle name="20% - Ênfase4 3 2 4 11" xfId="17492"/>
    <cellStyle name="20% - Ênfase4 3 3 14" xfId="17493"/>
    <cellStyle name="20% - Ênfase4 3 3 2 11" xfId="17494"/>
    <cellStyle name="20% - Ênfase4 3 3 3 11" xfId="17495"/>
    <cellStyle name="20% - Ênfase4 3 4 13" xfId="17496"/>
    <cellStyle name="20% - Ênfase4 3 4 2 11" xfId="17497"/>
    <cellStyle name="20% - Ênfase4 3 4 3 11" xfId="17498"/>
    <cellStyle name="20% - Ênfase4 3 5 11" xfId="17499"/>
    <cellStyle name="20% - Ênfase4 3 6 11" xfId="17500"/>
    <cellStyle name="20% - Ênfase4 3 7 11" xfId="17501"/>
    <cellStyle name="20% - Ênfase4 4 18" xfId="17502"/>
    <cellStyle name="20% - Ênfase4 4 2 15" xfId="17503"/>
    <cellStyle name="20% - Ênfase4 4 2 2 13" xfId="17504"/>
    <cellStyle name="20% - Ênfase4 4 2 2 2 11" xfId="17505"/>
    <cellStyle name="20% - Ênfase4 4 2 2 3 11" xfId="17506"/>
    <cellStyle name="20% - Ênfase4 4 2 3 11" xfId="17507"/>
    <cellStyle name="20% - Ênfase4 4 2 4 11" xfId="17508"/>
    <cellStyle name="20% - Ênfase4 4 3 14" xfId="17509"/>
    <cellStyle name="20% - Ênfase4 4 3 2 11" xfId="17510"/>
    <cellStyle name="20% - Ênfase4 4 3 3 11" xfId="17511"/>
    <cellStyle name="20% - Ênfase4 4 4 13" xfId="17512"/>
    <cellStyle name="20% - Ênfase4 4 4 2 11" xfId="17513"/>
    <cellStyle name="20% - Ênfase4 4 4 3 11" xfId="17514"/>
    <cellStyle name="20% - Ênfase4 4 5 11" xfId="17515"/>
    <cellStyle name="20% - Ênfase4 4 6 11" xfId="17516"/>
    <cellStyle name="20% - Ênfase4 4 7 11" xfId="17517"/>
    <cellStyle name="20% - Ênfase4 5 16" xfId="17518"/>
    <cellStyle name="20% - Ênfase4 5 2 13" xfId="17519"/>
    <cellStyle name="20% - Ênfase4 5 2 2 11" xfId="17520"/>
    <cellStyle name="20% - Ênfase4 5 2 3 11" xfId="17521"/>
    <cellStyle name="20% - Ênfase4 5 3 11" xfId="17522"/>
    <cellStyle name="20% - Ênfase4 5 4 11" xfId="17523"/>
    <cellStyle name="20% - Ênfase4 5 5 11" xfId="17524"/>
    <cellStyle name="20% - Ênfase4 6 15" xfId="17525"/>
    <cellStyle name="20% - Ênfase4 6 2 13" xfId="17526"/>
    <cellStyle name="20% - Ênfase4 6 2 2 11" xfId="17527"/>
    <cellStyle name="20% - Ênfase4 6 2 3 11" xfId="17528"/>
    <cellStyle name="20% - Ênfase4 6 3 11" xfId="17529"/>
    <cellStyle name="20% - Ênfase4 6 4 11" xfId="17530"/>
    <cellStyle name="20% - Ênfase4 8 13" xfId="17531"/>
    <cellStyle name="20% - Ênfase4 8 2 11" xfId="17532"/>
    <cellStyle name="20% - Ênfase4 8 3 11" xfId="17533"/>
    <cellStyle name="20% - Ênfase5 2 2 16" xfId="17534"/>
    <cellStyle name="20% - Ênfase5 2 2 2 13" xfId="17535"/>
    <cellStyle name="20% - Ênfase5 2 2 2 2 11" xfId="17536"/>
    <cellStyle name="20% - Ênfase5 2 2 2 3 11" xfId="17537"/>
    <cellStyle name="20% - Ênfase5 2 2 3 11" xfId="17538"/>
    <cellStyle name="20% - Ênfase5 2 2 4 11" xfId="17539"/>
    <cellStyle name="20% - Ênfase5 2 2 5 11" xfId="17540"/>
    <cellStyle name="20% - Ênfase5 2 3 15" xfId="17541"/>
    <cellStyle name="20% - Ênfase5 2 3 2 13" xfId="17542"/>
    <cellStyle name="20% - Ênfase5 2 3 2 2 11" xfId="17543"/>
    <cellStyle name="20% - Ênfase5 2 3 2 3 11" xfId="17544"/>
    <cellStyle name="20% - Ênfase5 2 3 3 11" xfId="17545"/>
    <cellStyle name="20% - Ênfase5 2 3 4 11" xfId="17546"/>
    <cellStyle name="20% - Ênfase5 2 5 13" xfId="17547"/>
    <cellStyle name="20% - Ênfase5 2 5 2 11" xfId="17548"/>
    <cellStyle name="20% - Ênfase5 2 5 3 11" xfId="17549"/>
    <cellStyle name="20% - Ênfase5 3 18" xfId="17550"/>
    <cellStyle name="20% - Ênfase5 3 2 15" xfId="17551"/>
    <cellStyle name="20% - Ênfase5 3 2 2 13" xfId="17552"/>
    <cellStyle name="20% - Ênfase5 3 2 2 2 11" xfId="17553"/>
    <cellStyle name="20% - Ênfase5 3 2 2 3 11" xfId="17554"/>
    <cellStyle name="20% - Ênfase5 3 2 3 11" xfId="17555"/>
    <cellStyle name="20% - Ênfase5 3 2 4 11" xfId="17556"/>
    <cellStyle name="20% - Ênfase5 3 3 14" xfId="17557"/>
    <cellStyle name="20% - Ênfase5 3 3 2 11" xfId="17558"/>
    <cellStyle name="20% - Ênfase5 3 3 3 11" xfId="17559"/>
    <cellStyle name="20% - Ênfase5 3 4 13" xfId="17560"/>
    <cellStyle name="20% - Ênfase5 3 4 2 11" xfId="17561"/>
    <cellStyle name="20% - Ênfase5 3 4 3 11" xfId="17562"/>
    <cellStyle name="20% - Ênfase5 3 5 11" xfId="17563"/>
    <cellStyle name="20% - Ênfase5 3 6 11" xfId="17564"/>
    <cellStyle name="20% - Ênfase5 3 7 11" xfId="17565"/>
    <cellStyle name="20% - Ênfase5 4 18" xfId="17566"/>
    <cellStyle name="20% - Ênfase5 4 2 15" xfId="17567"/>
    <cellStyle name="20% - Ênfase5 4 2 2 13" xfId="17568"/>
    <cellStyle name="20% - Ênfase5 4 2 2 2 11" xfId="17569"/>
    <cellStyle name="20% - Ênfase5 4 2 2 3 11" xfId="17570"/>
    <cellStyle name="20% - Ênfase5 4 2 3 11" xfId="17571"/>
    <cellStyle name="20% - Ênfase5 4 2 4 11" xfId="17572"/>
    <cellStyle name="20% - Ênfase5 4 3 14" xfId="17573"/>
    <cellStyle name="20% - Ênfase5 4 3 2 11" xfId="17574"/>
    <cellStyle name="20% - Ênfase5 4 3 3 11" xfId="17575"/>
    <cellStyle name="20% - Ênfase5 4 4 13" xfId="17576"/>
    <cellStyle name="20% - Ênfase5 4 4 2 11" xfId="17577"/>
    <cellStyle name="20% - Ênfase5 4 4 3 11" xfId="17578"/>
    <cellStyle name="20% - Ênfase5 4 5 11" xfId="17579"/>
    <cellStyle name="20% - Ênfase5 4 6 11" xfId="17580"/>
    <cellStyle name="20% - Ênfase5 4 7 11" xfId="17581"/>
    <cellStyle name="20% - Ênfase5 5 16" xfId="17582"/>
    <cellStyle name="20% - Ênfase5 5 2 13" xfId="17583"/>
    <cellStyle name="20% - Ênfase5 5 2 2 11" xfId="17584"/>
    <cellStyle name="20% - Ênfase5 5 2 3 11" xfId="17585"/>
    <cellStyle name="20% - Ênfase5 5 3 11" xfId="17586"/>
    <cellStyle name="20% - Ênfase5 5 4 11" xfId="17587"/>
    <cellStyle name="20% - Ênfase5 5 5 11" xfId="17588"/>
    <cellStyle name="20% - Ênfase5 6 15" xfId="17589"/>
    <cellStyle name="20% - Ênfase5 6 2 13" xfId="17590"/>
    <cellStyle name="20% - Ênfase5 6 2 2 11" xfId="17591"/>
    <cellStyle name="20% - Ênfase5 6 2 3 11" xfId="17592"/>
    <cellStyle name="20% - Ênfase5 6 3 11" xfId="17593"/>
    <cellStyle name="20% - Ênfase5 6 4 11" xfId="17594"/>
    <cellStyle name="20% - Ênfase5 8 13" xfId="17595"/>
    <cellStyle name="20% - Ênfase5 8 2 11" xfId="17596"/>
    <cellStyle name="20% - Ênfase5 8 3 11" xfId="17597"/>
    <cellStyle name="20% - Ênfase6 2 2 16" xfId="17598"/>
    <cellStyle name="20% - Ênfase6 2 2 2 13" xfId="17599"/>
    <cellStyle name="20% - Ênfase6 2 2 2 2 11" xfId="17600"/>
    <cellStyle name="20% - Ênfase6 2 2 2 3 11" xfId="17601"/>
    <cellStyle name="20% - Ênfase6 2 2 3 11" xfId="17602"/>
    <cellStyle name="20% - Ênfase6 2 2 4 11" xfId="17603"/>
    <cellStyle name="20% - Ênfase6 2 2 5 11" xfId="17604"/>
    <cellStyle name="20% - Ênfase6 2 3 15" xfId="17605"/>
    <cellStyle name="20% - Ênfase6 2 3 2 13" xfId="17606"/>
    <cellStyle name="20% - Ênfase6 2 3 2 2 11" xfId="17607"/>
    <cellStyle name="20% - Ênfase6 2 3 2 3 11" xfId="17608"/>
    <cellStyle name="20% - Ênfase6 2 3 3 11" xfId="17609"/>
    <cellStyle name="20% - Ênfase6 2 3 4 11" xfId="17610"/>
    <cellStyle name="20% - Ênfase6 2 5 13" xfId="17611"/>
    <cellStyle name="20% - Ênfase6 2 5 2 11" xfId="17612"/>
    <cellStyle name="20% - Ênfase6 2 5 3 11" xfId="17613"/>
    <cellStyle name="20% - Ênfase6 3 18" xfId="17614"/>
    <cellStyle name="20% - Ênfase6 3 2 15" xfId="17615"/>
    <cellStyle name="20% - Ênfase6 3 2 2 13" xfId="17616"/>
    <cellStyle name="20% - Ênfase6 3 2 2 2 11" xfId="17617"/>
    <cellStyle name="20% - Ênfase6 3 2 2 3 11" xfId="17618"/>
    <cellStyle name="20% - Ênfase6 3 2 3 11" xfId="17619"/>
    <cellStyle name="20% - Ênfase6 3 2 4 11" xfId="17620"/>
    <cellStyle name="20% - Ênfase6 3 3 14" xfId="17621"/>
    <cellStyle name="20% - Ênfase6 3 3 2 11" xfId="17622"/>
    <cellStyle name="20% - Ênfase6 3 3 3 11" xfId="17623"/>
    <cellStyle name="20% - Ênfase6 3 4 13" xfId="17624"/>
    <cellStyle name="20% - Ênfase6 3 4 2 11" xfId="17625"/>
    <cellStyle name="20% - Ênfase6 3 4 3 11" xfId="17626"/>
    <cellStyle name="20% - Ênfase6 3 5 11" xfId="17627"/>
    <cellStyle name="20% - Ênfase6 3 6 11" xfId="17628"/>
    <cellStyle name="20% - Ênfase6 3 7 11" xfId="17629"/>
    <cellStyle name="20% - Ênfase6 4 18" xfId="17630"/>
    <cellStyle name="20% - Ênfase6 4 2 15" xfId="17631"/>
    <cellStyle name="20% - Ênfase6 4 2 2 13" xfId="17632"/>
    <cellStyle name="20% - Ênfase6 4 2 2 2 11" xfId="17633"/>
    <cellStyle name="20% - Ênfase6 4 2 2 3 11" xfId="17634"/>
    <cellStyle name="20% - Ênfase6 4 2 3 11" xfId="17635"/>
    <cellStyle name="20% - Ênfase6 4 2 4 11" xfId="17636"/>
    <cellStyle name="20% - Ênfase6 4 3 14" xfId="17637"/>
    <cellStyle name="20% - Ênfase6 4 3 2 11" xfId="17638"/>
    <cellStyle name="20% - Ênfase6 4 3 3 11" xfId="17639"/>
    <cellStyle name="20% - Ênfase6 4 4 13" xfId="17640"/>
    <cellStyle name="20% - Ênfase6 4 4 2 11" xfId="17641"/>
    <cellStyle name="20% - Ênfase6 4 4 3 11" xfId="17642"/>
    <cellStyle name="20% - Ênfase6 4 5 11" xfId="17643"/>
    <cellStyle name="20% - Ênfase6 4 6 11" xfId="17644"/>
    <cellStyle name="20% - Ênfase6 4 7 11" xfId="17645"/>
    <cellStyle name="20% - Ênfase6 5 16" xfId="17646"/>
    <cellStyle name="20% - Ênfase6 5 2 13" xfId="17647"/>
    <cellStyle name="20% - Ênfase6 5 2 2 11" xfId="17648"/>
    <cellStyle name="20% - Ênfase6 5 2 3 11" xfId="17649"/>
    <cellStyle name="20% - Ênfase6 5 3 11" xfId="17650"/>
    <cellStyle name="20% - Ênfase6 5 4 11" xfId="17651"/>
    <cellStyle name="20% - Ênfase6 5 5 11" xfId="17652"/>
    <cellStyle name="20% - Ênfase6 6 15" xfId="17653"/>
    <cellStyle name="20% - Ênfase6 6 2 13" xfId="17654"/>
    <cellStyle name="20% - Ênfase6 6 2 2 11" xfId="17655"/>
    <cellStyle name="20% - Ênfase6 6 2 3 11" xfId="17656"/>
    <cellStyle name="20% - Ênfase6 6 3 11" xfId="17657"/>
    <cellStyle name="20% - Ênfase6 6 4 11" xfId="17658"/>
    <cellStyle name="20% - Ênfase6 8 13" xfId="17659"/>
    <cellStyle name="20% - Ênfase6 8 2 11" xfId="17660"/>
    <cellStyle name="20% - Ênfase6 8 3 11" xfId="17661"/>
    <cellStyle name="40% - Ênfase1 2 2 16" xfId="17662"/>
    <cellStyle name="40% - Ênfase1 2 2 2 13" xfId="17663"/>
    <cellStyle name="40% - Ênfase1 2 2 2 2 11" xfId="17664"/>
    <cellStyle name="40% - Ênfase1 2 2 2 3 11" xfId="17665"/>
    <cellStyle name="40% - Ênfase1 2 2 3 11" xfId="17666"/>
    <cellStyle name="40% - Ênfase1 2 2 4 11" xfId="17667"/>
    <cellStyle name="40% - Ênfase1 2 2 5 11" xfId="17668"/>
    <cellStyle name="40% - Ênfase1 2 3 15" xfId="17669"/>
    <cellStyle name="40% - Ênfase1 2 3 2 13" xfId="17670"/>
    <cellStyle name="40% - Ênfase1 2 3 2 2 11" xfId="17671"/>
    <cellStyle name="40% - Ênfase1 2 3 2 3 11" xfId="17672"/>
    <cellStyle name="40% - Ênfase1 2 3 3 11" xfId="17673"/>
    <cellStyle name="40% - Ênfase1 2 3 4 11" xfId="17674"/>
    <cellStyle name="40% - Ênfase1 2 5 13" xfId="17675"/>
    <cellStyle name="40% - Ênfase1 2 5 2 11" xfId="17676"/>
    <cellStyle name="40% - Ênfase1 2 5 3 11" xfId="17677"/>
    <cellStyle name="40% - Ênfase1 3 18" xfId="17678"/>
    <cellStyle name="40% - Ênfase1 3 2 15" xfId="17679"/>
    <cellStyle name="40% - Ênfase1 3 2 2 13" xfId="17680"/>
    <cellStyle name="40% - Ênfase1 3 2 2 2 11" xfId="17681"/>
    <cellStyle name="40% - Ênfase1 3 2 2 3 11" xfId="17682"/>
    <cellStyle name="40% - Ênfase1 3 2 3 11" xfId="17683"/>
    <cellStyle name="40% - Ênfase1 3 2 4 11" xfId="17684"/>
    <cellStyle name="40% - Ênfase1 3 3 14" xfId="17685"/>
    <cellStyle name="40% - Ênfase1 3 3 2 11" xfId="17686"/>
    <cellStyle name="40% - Ênfase1 3 3 3 11" xfId="17687"/>
    <cellStyle name="40% - Ênfase1 3 4 13" xfId="17688"/>
    <cellStyle name="40% - Ênfase1 3 4 2 11" xfId="17689"/>
    <cellStyle name="40% - Ênfase1 3 4 3 11" xfId="17690"/>
    <cellStyle name="40% - Ênfase1 3 5 11" xfId="17691"/>
    <cellStyle name="40% - Ênfase1 3 6 11" xfId="17692"/>
    <cellStyle name="40% - Ênfase1 3 7 11" xfId="17693"/>
    <cellStyle name="40% - Ênfase1 4 18" xfId="17694"/>
    <cellStyle name="40% - Ênfase1 4 2 15" xfId="17695"/>
    <cellStyle name="40% - Ênfase1 4 2 2 13" xfId="17696"/>
    <cellStyle name="40% - Ênfase1 4 2 2 2 11" xfId="17697"/>
    <cellStyle name="40% - Ênfase1 4 2 2 3 11" xfId="17698"/>
    <cellStyle name="40% - Ênfase1 4 2 3 11" xfId="17699"/>
    <cellStyle name="40% - Ênfase1 4 2 4 11" xfId="17700"/>
    <cellStyle name="40% - Ênfase1 4 3 14" xfId="17701"/>
    <cellStyle name="40% - Ênfase1 4 3 2 11" xfId="17702"/>
    <cellStyle name="40% - Ênfase1 4 3 3 11" xfId="17703"/>
    <cellStyle name="40% - Ênfase1 4 4 13" xfId="17704"/>
    <cellStyle name="40% - Ênfase1 4 4 2 11" xfId="17705"/>
    <cellStyle name="40% - Ênfase1 4 4 3 11" xfId="17706"/>
    <cellStyle name="40% - Ênfase1 4 5 11" xfId="17707"/>
    <cellStyle name="40% - Ênfase1 4 6 11" xfId="17708"/>
    <cellStyle name="40% - Ênfase1 4 7 11" xfId="17709"/>
    <cellStyle name="40% - Ênfase1 5 16" xfId="17710"/>
    <cellStyle name="40% - Ênfase1 5 2 13" xfId="17711"/>
    <cellStyle name="40% - Ênfase1 5 2 2 11" xfId="17712"/>
    <cellStyle name="40% - Ênfase1 5 2 3 11" xfId="17713"/>
    <cellStyle name="40% - Ênfase1 5 3 11" xfId="17714"/>
    <cellStyle name="40% - Ênfase1 5 4 11" xfId="17715"/>
    <cellStyle name="40% - Ênfase1 5 5 11" xfId="17716"/>
    <cellStyle name="40% - Ênfase1 6 15" xfId="17717"/>
    <cellStyle name="40% - Ênfase1 6 2 13" xfId="17718"/>
    <cellStyle name="40% - Ênfase1 6 2 2 11" xfId="17719"/>
    <cellStyle name="40% - Ênfase1 6 2 3 11" xfId="17720"/>
    <cellStyle name="40% - Ênfase1 6 3 11" xfId="17721"/>
    <cellStyle name="40% - Ênfase1 6 4 11" xfId="17722"/>
    <cellStyle name="40% - Ênfase1 8 13" xfId="17723"/>
    <cellStyle name="40% - Ênfase1 8 2 11" xfId="17724"/>
    <cellStyle name="40% - Ênfase1 8 3 11" xfId="17725"/>
    <cellStyle name="40% - Ênfase2 2 2 16" xfId="17726"/>
    <cellStyle name="40% - Ênfase2 2 2 2 13" xfId="17727"/>
    <cellStyle name="40% - Ênfase2 2 2 2 2 11" xfId="17728"/>
    <cellStyle name="40% - Ênfase2 2 2 2 3 11" xfId="17729"/>
    <cellStyle name="40% - Ênfase2 2 2 3 11" xfId="17730"/>
    <cellStyle name="40% - Ênfase2 2 2 4 11" xfId="17731"/>
    <cellStyle name="40% - Ênfase2 2 2 5 11" xfId="17732"/>
    <cellStyle name="40% - Ênfase2 2 3 15" xfId="17733"/>
    <cellStyle name="40% - Ênfase2 2 3 2 13" xfId="17734"/>
    <cellStyle name="40% - Ênfase2 2 3 2 2 11" xfId="17735"/>
    <cellStyle name="40% - Ênfase2 2 3 2 3 11" xfId="17736"/>
    <cellStyle name="40% - Ênfase2 2 3 3 11" xfId="17737"/>
    <cellStyle name="40% - Ênfase2 2 3 4 11" xfId="17738"/>
    <cellStyle name="40% - Ênfase2 2 5 13" xfId="17739"/>
    <cellStyle name="40% - Ênfase2 2 5 2 11" xfId="17740"/>
    <cellStyle name="40% - Ênfase2 2 5 3 11" xfId="17741"/>
    <cellStyle name="40% - Ênfase2 3 18" xfId="17742"/>
    <cellStyle name="40% - Ênfase2 3 2 15" xfId="17743"/>
    <cellStyle name="40% - Ênfase2 3 2 2 13" xfId="17744"/>
    <cellStyle name="40% - Ênfase2 3 2 2 2 11" xfId="17745"/>
    <cellStyle name="40% - Ênfase2 3 2 2 3 11" xfId="17746"/>
    <cellStyle name="40% - Ênfase2 3 2 3 11" xfId="17747"/>
    <cellStyle name="40% - Ênfase2 3 2 4 11" xfId="17748"/>
    <cellStyle name="40% - Ênfase2 3 3 14" xfId="17749"/>
    <cellStyle name="40% - Ênfase2 3 3 2 11" xfId="17750"/>
    <cellStyle name="40% - Ênfase2 3 3 3 11" xfId="17751"/>
    <cellStyle name="40% - Ênfase2 3 4 13" xfId="17752"/>
    <cellStyle name="40% - Ênfase2 3 4 2 11" xfId="17753"/>
    <cellStyle name="40% - Ênfase2 3 4 3 11" xfId="17754"/>
    <cellStyle name="40% - Ênfase2 3 5 11" xfId="17755"/>
    <cellStyle name="40% - Ênfase2 3 6 11" xfId="17756"/>
    <cellStyle name="40% - Ênfase2 3 7 11" xfId="17757"/>
    <cellStyle name="40% - Ênfase2 4 18" xfId="17758"/>
    <cellStyle name="40% - Ênfase2 4 2 15" xfId="17759"/>
    <cellStyle name="40% - Ênfase2 4 2 2 13" xfId="17760"/>
    <cellStyle name="40% - Ênfase2 4 2 2 2 11" xfId="17761"/>
    <cellStyle name="40% - Ênfase2 4 2 2 3 11" xfId="17762"/>
    <cellStyle name="40% - Ênfase2 4 2 3 11" xfId="17763"/>
    <cellStyle name="40% - Ênfase2 4 2 4 11" xfId="17764"/>
    <cellStyle name="40% - Ênfase2 4 3 14" xfId="17765"/>
    <cellStyle name="40% - Ênfase2 4 3 2 11" xfId="17766"/>
    <cellStyle name="40% - Ênfase2 4 3 3 11" xfId="17767"/>
    <cellStyle name="40% - Ênfase2 4 4 13" xfId="17768"/>
    <cellStyle name="40% - Ênfase2 4 4 2 11" xfId="17769"/>
    <cellStyle name="40% - Ênfase2 4 4 3 11" xfId="17770"/>
    <cellStyle name="40% - Ênfase2 4 5 11" xfId="17771"/>
    <cellStyle name="40% - Ênfase2 4 6 11" xfId="17772"/>
    <cellStyle name="40% - Ênfase2 4 7 11" xfId="17773"/>
    <cellStyle name="40% - Ênfase2 5 16" xfId="17774"/>
    <cellStyle name="40% - Ênfase2 5 2 13" xfId="17775"/>
    <cellStyle name="40% - Ênfase2 5 2 2 11" xfId="17776"/>
    <cellStyle name="40% - Ênfase2 5 2 3 11" xfId="17777"/>
    <cellStyle name="40% - Ênfase2 5 3 11" xfId="17778"/>
    <cellStyle name="40% - Ênfase2 5 4 11" xfId="17779"/>
    <cellStyle name="40% - Ênfase2 5 5 11" xfId="17780"/>
    <cellStyle name="40% - Ênfase2 6 15" xfId="17781"/>
    <cellStyle name="40% - Ênfase2 6 2 13" xfId="17782"/>
    <cellStyle name="40% - Ênfase2 6 2 2 11" xfId="17783"/>
    <cellStyle name="40% - Ênfase2 6 2 3 11" xfId="17784"/>
    <cellStyle name="40% - Ênfase2 6 3 11" xfId="17785"/>
    <cellStyle name="40% - Ênfase2 6 4 11" xfId="17786"/>
    <cellStyle name="40% - Ênfase2 8 13" xfId="17787"/>
    <cellStyle name="40% - Ênfase2 8 2 11" xfId="17788"/>
    <cellStyle name="40% - Ênfase2 8 3 11" xfId="17789"/>
    <cellStyle name="40% - Ênfase3 2 2 16" xfId="17790"/>
    <cellStyle name="40% - Ênfase3 2 2 2 13" xfId="17791"/>
    <cellStyle name="40% - Ênfase3 2 2 2 2 11" xfId="17792"/>
    <cellStyle name="40% - Ênfase3 2 2 2 3 11" xfId="17793"/>
    <cellStyle name="40% - Ênfase3 2 2 3 11" xfId="17794"/>
    <cellStyle name="40% - Ênfase3 2 2 4 11" xfId="17795"/>
    <cellStyle name="40% - Ênfase3 2 2 5 11" xfId="17796"/>
    <cellStyle name="40% - Ênfase3 2 3 15" xfId="17797"/>
    <cellStyle name="40% - Ênfase3 2 3 2 13" xfId="17798"/>
    <cellStyle name="40% - Ênfase3 2 3 2 2 11" xfId="17799"/>
    <cellStyle name="40% - Ênfase3 2 3 2 3 11" xfId="17800"/>
    <cellStyle name="40% - Ênfase3 2 3 3 11" xfId="17801"/>
    <cellStyle name="40% - Ênfase3 2 3 4 11" xfId="17802"/>
    <cellStyle name="40% - Ênfase3 2 5 13" xfId="17803"/>
    <cellStyle name="40% - Ênfase3 2 5 2 11" xfId="17804"/>
    <cellStyle name="40% - Ênfase3 2 5 3 11" xfId="17805"/>
    <cellStyle name="40% - Ênfase3 3 18" xfId="17806"/>
    <cellStyle name="40% - Ênfase3 3 2 15" xfId="17807"/>
    <cellStyle name="40% - Ênfase3 3 2 2 13" xfId="17808"/>
    <cellStyle name="40% - Ênfase3 3 2 2 2 11" xfId="17809"/>
    <cellStyle name="40% - Ênfase3 3 2 2 3 11" xfId="17810"/>
    <cellStyle name="40% - Ênfase3 3 2 3 11" xfId="17811"/>
    <cellStyle name="40% - Ênfase3 3 2 4 11" xfId="17812"/>
    <cellStyle name="40% - Ênfase3 3 3 14" xfId="17813"/>
    <cellStyle name="40% - Ênfase3 3 3 2 11" xfId="17814"/>
    <cellStyle name="40% - Ênfase3 3 3 3 11" xfId="17815"/>
    <cellStyle name="40% - Ênfase3 3 4 13" xfId="17816"/>
    <cellStyle name="40% - Ênfase3 3 4 2 11" xfId="17817"/>
    <cellStyle name="40% - Ênfase3 3 4 3 11" xfId="17818"/>
    <cellStyle name="40% - Ênfase3 3 5 11" xfId="17819"/>
    <cellStyle name="40% - Ênfase3 3 6 11" xfId="17820"/>
    <cellStyle name="40% - Ênfase3 3 7 11" xfId="17821"/>
    <cellStyle name="40% - Ênfase3 4 18" xfId="17822"/>
    <cellStyle name="40% - Ênfase3 4 2 15" xfId="17823"/>
    <cellStyle name="40% - Ênfase3 4 2 2 13" xfId="17824"/>
    <cellStyle name="40% - Ênfase3 4 2 2 2 11" xfId="17825"/>
    <cellStyle name="40% - Ênfase3 4 2 2 3 11" xfId="17826"/>
    <cellStyle name="40% - Ênfase3 4 2 3 11" xfId="17827"/>
    <cellStyle name="40% - Ênfase3 4 2 4 11" xfId="17828"/>
    <cellStyle name="40% - Ênfase3 4 3 14" xfId="17829"/>
    <cellStyle name="40% - Ênfase3 4 3 2 11" xfId="17830"/>
    <cellStyle name="40% - Ênfase3 4 3 3 11" xfId="17831"/>
    <cellStyle name="40% - Ênfase3 4 4 13" xfId="17832"/>
    <cellStyle name="40% - Ênfase3 4 4 2 11" xfId="17833"/>
    <cellStyle name="40% - Ênfase3 4 4 3 11" xfId="17834"/>
    <cellStyle name="40% - Ênfase3 4 5 11" xfId="17835"/>
    <cellStyle name="40% - Ênfase3 4 6 11" xfId="17836"/>
    <cellStyle name="40% - Ênfase3 4 7 11" xfId="17837"/>
    <cellStyle name="40% - Ênfase3 5 16" xfId="17838"/>
    <cellStyle name="40% - Ênfase3 5 2 13" xfId="17839"/>
    <cellStyle name="40% - Ênfase3 5 2 2 11" xfId="17840"/>
    <cellStyle name="40% - Ênfase3 5 2 3 11" xfId="17841"/>
    <cellStyle name="40% - Ênfase3 5 3 11" xfId="17842"/>
    <cellStyle name="40% - Ênfase3 5 4 11" xfId="17843"/>
    <cellStyle name="40% - Ênfase3 5 5 11" xfId="17844"/>
    <cellStyle name="40% - Ênfase3 6 15" xfId="17845"/>
    <cellStyle name="40% - Ênfase3 6 2 13" xfId="17846"/>
    <cellStyle name="40% - Ênfase3 6 2 2 11" xfId="17847"/>
    <cellStyle name="40% - Ênfase3 6 2 3 11" xfId="17848"/>
    <cellStyle name="40% - Ênfase3 6 3 11" xfId="17849"/>
    <cellStyle name="40% - Ênfase3 6 4 11" xfId="17850"/>
    <cellStyle name="40% - Ênfase3 8 13" xfId="17851"/>
    <cellStyle name="40% - Ênfase3 8 2 11" xfId="17852"/>
    <cellStyle name="40% - Ênfase3 8 3 11" xfId="17853"/>
    <cellStyle name="40% - Ênfase4 2 2 16" xfId="17854"/>
    <cellStyle name="40% - Ênfase4 2 2 2 13" xfId="17855"/>
    <cellStyle name="40% - Ênfase4 2 2 2 2 11" xfId="17856"/>
    <cellStyle name="40% - Ênfase4 2 2 2 3 11" xfId="17857"/>
    <cellStyle name="40% - Ênfase4 2 2 3 11" xfId="17858"/>
    <cellStyle name="40% - Ênfase4 2 2 4 11" xfId="17859"/>
    <cellStyle name="40% - Ênfase4 2 2 5 11" xfId="17860"/>
    <cellStyle name="40% - Ênfase4 2 3 15" xfId="17861"/>
    <cellStyle name="40% - Ênfase4 2 3 2 13" xfId="17862"/>
    <cellStyle name="40% - Ênfase4 2 3 2 2 11" xfId="17863"/>
    <cellStyle name="40% - Ênfase4 2 3 2 3 11" xfId="17864"/>
    <cellStyle name="40% - Ênfase4 2 3 3 11" xfId="17865"/>
    <cellStyle name="40% - Ênfase4 2 3 4 11" xfId="17866"/>
    <cellStyle name="40% - Ênfase4 2 5 13" xfId="17867"/>
    <cellStyle name="40% - Ênfase4 2 5 2 11" xfId="17868"/>
    <cellStyle name="40% - Ênfase4 2 5 3 11" xfId="17869"/>
    <cellStyle name="40% - Ênfase4 3 18" xfId="17870"/>
    <cellStyle name="40% - Ênfase4 3 2 15" xfId="17871"/>
    <cellStyle name="40% - Ênfase4 3 2 2 13" xfId="17872"/>
    <cellStyle name="40% - Ênfase4 3 2 2 2 11" xfId="17873"/>
    <cellStyle name="40% - Ênfase4 3 2 2 3 11" xfId="17874"/>
    <cellStyle name="40% - Ênfase4 3 2 3 11" xfId="17875"/>
    <cellStyle name="40% - Ênfase4 3 2 4 11" xfId="17876"/>
    <cellStyle name="40% - Ênfase4 3 3 14" xfId="17877"/>
    <cellStyle name="40% - Ênfase4 3 3 2 11" xfId="17878"/>
    <cellStyle name="40% - Ênfase4 3 3 3 11" xfId="17879"/>
    <cellStyle name="40% - Ênfase4 3 4 13" xfId="17880"/>
    <cellStyle name="40% - Ênfase4 3 4 2 11" xfId="17881"/>
    <cellStyle name="40% - Ênfase4 3 4 3 11" xfId="17882"/>
    <cellStyle name="40% - Ênfase4 3 5 11" xfId="17883"/>
    <cellStyle name="40% - Ênfase4 3 6 11" xfId="17884"/>
    <cellStyle name="40% - Ênfase4 3 7 11" xfId="17885"/>
    <cellStyle name="40% - Ênfase4 4 18" xfId="17886"/>
    <cellStyle name="40% - Ênfase4 4 2 15" xfId="17887"/>
    <cellStyle name="40% - Ênfase4 4 2 2 13" xfId="17888"/>
    <cellStyle name="40% - Ênfase4 4 2 2 2 11" xfId="17889"/>
    <cellStyle name="40% - Ênfase4 4 2 2 3 11" xfId="17890"/>
    <cellStyle name="40% - Ênfase4 4 2 3 11" xfId="17891"/>
    <cellStyle name="40% - Ênfase4 4 2 4 11" xfId="17892"/>
    <cellStyle name="40% - Ênfase4 4 3 14" xfId="17893"/>
    <cellStyle name="40% - Ênfase4 4 3 2 11" xfId="17894"/>
    <cellStyle name="40% - Ênfase4 4 3 3 11" xfId="17895"/>
    <cellStyle name="40% - Ênfase4 4 4 13" xfId="17896"/>
    <cellStyle name="40% - Ênfase4 4 4 2 11" xfId="17897"/>
    <cellStyle name="40% - Ênfase4 4 4 3 11" xfId="17898"/>
    <cellStyle name="40% - Ênfase4 4 5 11" xfId="17899"/>
    <cellStyle name="40% - Ênfase4 4 6 11" xfId="17900"/>
    <cellStyle name="40% - Ênfase4 4 7 11" xfId="17901"/>
    <cellStyle name="40% - Ênfase4 5 16" xfId="17902"/>
    <cellStyle name="40% - Ênfase4 5 2 13" xfId="17903"/>
    <cellStyle name="40% - Ênfase4 5 2 2 11" xfId="17904"/>
    <cellStyle name="40% - Ênfase4 5 2 3 11" xfId="17905"/>
    <cellStyle name="40% - Ênfase4 5 3 11" xfId="17906"/>
    <cellStyle name="40% - Ênfase4 5 4 11" xfId="17907"/>
    <cellStyle name="40% - Ênfase4 5 5 11" xfId="17908"/>
    <cellStyle name="40% - Ênfase4 6 15" xfId="17909"/>
    <cellStyle name="40% - Ênfase4 6 2 13" xfId="17910"/>
    <cellStyle name="40% - Ênfase4 6 2 2 11" xfId="17911"/>
    <cellStyle name="40% - Ênfase4 6 2 3 11" xfId="17912"/>
    <cellStyle name="40% - Ênfase4 6 3 11" xfId="17913"/>
    <cellStyle name="40% - Ênfase4 6 4 11" xfId="17914"/>
    <cellStyle name="40% - Ênfase4 8 13" xfId="17915"/>
    <cellStyle name="40% - Ênfase4 8 2 11" xfId="17916"/>
    <cellStyle name="40% - Ênfase4 8 3 11" xfId="17917"/>
    <cellStyle name="40% - Ênfase5 2 2 16" xfId="17918"/>
    <cellStyle name="40% - Ênfase5 2 2 2 13" xfId="17919"/>
    <cellStyle name="40% - Ênfase5 2 2 2 2 11" xfId="17920"/>
    <cellStyle name="40% - Ênfase5 2 2 2 3 11" xfId="17921"/>
    <cellStyle name="40% - Ênfase5 2 2 3 11" xfId="17922"/>
    <cellStyle name="40% - Ênfase5 2 2 4 11" xfId="17923"/>
    <cellStyle name="40% - Ênfase5 2 2 5 11" xfId="17924"/>
    <cellStyle name="40% - Ênfase5 2 3 15" xfId="17925"/>
    <cellStyle name="40% - Ênfase5 2 3 2 13" xfId="17926"/>
    <cellStyle name="40% - Ênfase5 2 3 2 2 11" xfId="17927"/>
    <cellStyle name="40% - Ênfase5 2 3 2 3 11" xfId="17928"/>
    <cellStyle name="40% - Ênfase5 2 3 3 11" xfId="17929"/>
    <cellStyle name="40% - Ênfase5 2 3 4 11" xfId="17930"/>
    <cellStyle name="40% - Ênfase5 2 5 13" xfId="17931"/>
    <cellStyle name="40% - Ênfase5 2 5 2 11" xfId="17932"/>
    <cellStyle name="40% - Ênfase5 2 5 3 11" xfId="17933"/>
    <cellStyle name="40% - Ênfase5 3 18" xfId="17934"/>
    <cellStyle name="40% - Ênfase5 3 2 15" xfId="17935"/>
    <cellStyle name="40% - Ênfase5 3 2 2 13" xfId="17936"/>
    <cellStyle name="40% - Ênfase5 3 2 2 2 11" xfId="17937"/>
    <cellStyle name="40% - Ênfase5 3 2 2 3 11" xfId="17938"/>
    <cellStyle name="40% - Ênfase5 3 2 3 11" xfId="17939"/>
    <cellStyle name="40% - Ênfase5 3 2 4 11" xfId="17940"/>
    <cellStyle name="40% - Ênfase5 3 3 14" xfId="17941"/>
    <cellStyle name="40% - Ênfase5 3 3 2 11" xfId="17942"/>
    <cellStyle name="40% - Ênfase5 3 3 3 11" xfId="17943"/>
    <cellStyle name="40% - Ênfase5 3 4 13" xfId="17944"/>
    <cellStyle name="40% - Ênfase5 3 4 2 11" xfId="17945"/>
    <cellStyle name="40% - Ênfase5 3 4 3 11" xfId="17946"/>
    <cellStyle name="40% - Ênfase5 3 5 11" xfId="17947"/>
    <cellStyle name="40% - Ênfase5 3 6 11" xfId="17948"/>
    <cellStyle name="40% - Ênfase5 3 7 11" xfId="17949"/>
    <cellStyle name="40% - Ênfase5 4 18" xfId="17950"/>
    <cellStyle name="40% - Ênfase5 4 2 15" xfId="17951"/>
    <cellStyle name="40% - Ênfase5 4 2 2 13" xfId="17952"/>
    <cellStyle name="40% - Ênfase5 4 2 2 2 11" xfId="17953"/>
    <cellStyle name="40% - Ênfase5 4 2 2 3 11" xfId="17954"/>
    <cellStyle name="40% - Ênfase5 4 2 3 11" xfId="17955"/>
    <cellStyle name="40% - Ênfase5 4 2 4 11" xfId="17956"/>
    <cellStyle name="40% - Ênfase5 4 3 14" xfId="17957"/>
    <cellStyle name="40% - Ênfase5 4 3 2 11" xfId="17958"/>
    <cellStyle name="40% - Ênfase5 4 3 3 11" xfId="17959"/>
    <cellStyle name="40% - Ênfase5 4 4 13" xfId="17960"/>
    <cellStyle name="40% - Ênfase5 4 4 2 11" xfId="17961"/>
    <cellStyle name="40% - Ênfase5 4 4 3 11" xfId="17962"/>
    <cellStyle name="40% - Ênfase5 4 5 11" xfId="17963"/>
    <cellStyle name="40% - Ênfase5 4 6 11" xfId="17964"/>
    <cellStyle name="40% - Ênfase5 4 7 11" xfId="17965"/>
    <cellStyle name="40% - Ênfase5 5 16" xfId="17966"/>
    <cellStyle name="40% - Ênfase5 5 2 13" xfId="17967"/>
    <cellStyle name="40% - Ênfase5 5 2 2 11" xfId="17968"/>
    <cellStyle name="40% - Ênfase5 5 2 3 11" xfId="17969"/>
    <cellStyle name="40% - Ênfase5 5 3 11" xfId="17970"/>
    <cellStyle name="40% - Ênfase5 5 4 11" xfId="17971"/>
    <cellStyle name="40% - Ênfase5 5 5 11" xfId="17972"/>
    <cellStyle name="40% - Ênfase5 6 15" xfId="17973"/>
    <cellStyle name="40% - Ênfase5 6 2 13" xfId="17974"/>
    <cellStyle name="40% - Ênfase5 6 2 2 11" xfId="17975"/>
    <cellStyle name="40% - Ênfase5 6 2 3 11" xfId="17976"/>
    <cellStyle name="40% - Ênfase5 6 3 11" xfId="17977"/>
    <cellStyle name="40% - Ênfase5 6 4 11" xfId="17978"/>
    <cellStyle name="40% - Ênfase5 8 13" xfId="17979"/>
    <cellStyle name="40% - Ênfase5 8 2 11" xfId="17980"/>
    <cellStyle name="40% - Ênfase5 8 3 11" xfId="17981"/>
    <cellStyle name="40% - Ênfase6 2 2 16" xfId="17982"/>
    <cellStyle name="40% - Ênfase6 2 2 2 13" xfId="17983"/>
    <cellStyle name="40% - Ênfase6 2 2 2 2 11" xfId="17984"/>
    <cellStyle name="40% - Ênfase6 2 2 2 3 11" xfId="17985"/>
    <cellStyle name="40% - Ênfase6 2 2 3 11" xfId="17986"/>
    <cellStyle name="40% - Ênfase6 2 2 4 11" xfId="17987"/>
    <cellStyle name="40% - Ênfase6 2 2 5 11" xfId="17988"/>
    <cellStyle name="40% - Ênfase6 2 3 15" xfId="17989"/>
    <cellStyle name="40% - Ênfase6 2 3 2 13" xfId="17990"/>
    <cellStyle name="40% - Ênfase6 2 3 2 2 11" xfId="17991"/>
    <cellStyle name="40% - Ênfase6 2 3 2 3 11" xfId="17992"/>
    <cellStyle name="40% - Ênfase6 2 3 3 11" xfId="17993"/>
    <cellStyle name="40% - Ênfase6 2 3 4 11" xfId="17994"/>
    <cellStyle name="40% - Ênfase6 2 5 13" xfId="17995"/>
    <cellStyle name="40% - Ênfase6 2 5 2 11" xfId="17996"/>
    <cellStyle name="40% - Ênfase6 2 5 3 11" xfId="17997"/>
    <cellStyle name="40% - Ênfase6 3 18" xfId="17998"/>
    <cellStyle name="40% - Ênfase6 3 2 15" xfId="17999"/>
    <cellStyle name="40% - Ênfase6 3 2 2 13" xfId="18000"/>
    <cellStyle name="40% - Ênfase6 3 2 2 2 11" xfId="18001"/>
    <cellStyle name="40% - Ênfase6 3 2 2 3 11" xfId="18002"/>
    <cellStyle name="40% - Ênfase6 3 2 3 11" xfId="18003"/>
    <cellStyle name="40% - Ênfase6 3 2 4 11" xfId="18004"/>
    <cellStyle name="40% - Ênfase6 3 3 14" xfId="18005"/>
    <cellStyle name="40% - Ênfase6 3 3 2 11" xfId="18006"/>
    <cellStyle name="40% - Ênfase6 3 3 3 11" xfId="18007"/>
    <cellStyle name="40% - Ênfase6 3 4 13" xfId="18008"/>
    <cellStyle name="40% - Ênfase6 3 4 2 11" xfId="18009"/>
    <cellStyle name="40% - Ênfase6 3 4 3 11" xfId="18010"/>
    <cellStyle name="40% - Ênfase6 3 5 11" xfId="18011"/>
    <cellStyle name="40% - Ênfase6 3 6 11" xfId="18012"/>
    <cellStyle name="40% - Ênfase6 3 7 11" xfId="18013"/>
    <cellStyle name="40% - Ênfase6 4 18" xfId="18014"/>
    <cellStyle name="40% - Ênfase6 4 2 15" xfId="18015"/>
    <cellStyle name="40% - Ênfase6 4 2 2 13" xfId="18016"/>
    <cellStyle name="40% - Ênfase6 4 2 2 2 11" xfId="18017"/>
    <cellStyle name="40% - Ênfase6 4 2 2 3 11" xfId="18018"/>
    <cellStyle name="40% - Ênfase6 4 2 3 11" xfId="18019"/>
    <cellStyle name="40% - Ênfase6 4 2 4 11" xfId="18020"/>
    <cellStyle name="40% - Ênfase6 4 3 14" xfId="18021"/>
    <cellStyle name="40% - Ênfase6 4 3 2 11" xfId="18022"/>
    <cellStyle name="40% - Ênfase6 4 3 3 11" xfId="18023"/>
    <cellStyle name="40% - Ênfase6 4 4 13" xfId="18024"/>
    <cellStyle name="40% - Ênfase6 4 4 2 11" xfId="18025"/>
    <cellStyle name="40% - Ênfase6 4 4 3 11" xfId="18026"/>
    <cellStyle name="40% - Ênfase6 4 5 11" xfId="18027"/>
    <cellStyle name="40% - Ênfase6 4 6 11" xfId="18028"/>
    <cellStyle name="40% - Ênfase6 4 7 11" xfId="18029"/>
    <cellStyle name="40% - Ênfase6 5 16" xfId="18030"/>
    <cellStyle name="40% - Ênfase6 5 2 13" xfId="18031"/>
    <cellStyle name="40% - Ênfase6 5 2 2 11" xfId="18032"/>
    <cellStyle name="40% - Ênfase6 5 2 3 11" xfId="18033"/>
    <cellStyle name="40% - Ênfase6 5 3 11" xfId="18034"/>
    <cellStyle name="40% - Ênfase6 5 4 11" xfId="18035"/>
    <cellStyle name="40% - Ênfase6 5 5 11" xfId="18036"/>
    <cellStyle name="40% - Ênfase6 6 15" xfId="18037"/>
    <cellStyle name="40% - Ênfase6 6 2 13" xfId="18038"/>
    <cellStyle name="40% - Ênfase6 6 2 2 11" xfId="18039"/>
    <cellStyle name="40% - Ênfase6 6 2 3 11" xfId="18040"/>
    <cellStyle name="40% - Ênfase6 6 3 11" xfId="18041"/>
    <cellStyle name="40% - Ênfase6 6 4 11" xfId="18042"/>
    <cellStyle name="40% - Ênfase6 8 13" xfId="18043"/>
    <cellStyle name="40% - Ênfase6 8 2 11" xfId="18044"/>
    <cellStyle name="40% - Ênfase6 8 3 11" xfId="18045"/>
    <cellStyle name="Normal 3 3 14" xfId="18046"/>
    <cellStyle name="Normal 3 3 2 11" xfId="18047"/>
    <cellStyle name="Normal 3 3 3 11" xfId="18048"/>
    <cellStyle name="Normal 3 4 11" xfId="18049"/>
    <cellStyle name="Normal 3 5 11" xfId="18050"/>
    <cellStyle name="Normal 3 6 11" xfId="18051"/>
    <cellStyle name="Normal 4 2 16" xfId="18052"/>
    <cellStyle name="Normal 4 2 2 13" xfId="18053"/>
    <cellStyle name="Normal 4 2 2 2 11" xfId="18054"/>
    <cellStyle name="Normal 4 2 2 3 11" xfId="18055"/>
    <cellStyle name="Normal 4 2 3 11" xfId="18056"/>
    <cellStyle name="Normal 4 2 4 11" xfId="18057"/>
    <cellStyle name="Normal 4 2 5 11" xfId="18058"/>
    <cellStyle name="Normal 4 3 15" xfId="18059"/>
    <cellStyle name="Normal 4 3 2 13" xfId="18060"/>
    <cellStyle name="Normal 4 3 2 2 11" xfId="18061"/>
    <cellStyle name="Normal 4 3 2 3 11" xfId="18062"/>
    <cellStyle name="Normal 4 3 3 11" xfId="18063"/>
    <cellStyle name="Normal 4 3 4 11" xfId="18064"/>
    <cellStyle name="Normal 4 5 13" xfId="18065"/>
    <cellStyle name="Normal 4 5 2 11" xfId="18066"/>
    <cellStyle name="Normal 4 5 3 11" xfId="18067"/>
    <cellStyle name="Normal 5 2 17" xfId="18068"/>
    <cellStyle name="Normal 5 2 2 13" xfId="18069"/>
    <cellStyle name="Normal 5 2 2 2 11" xfId="18070"/>
    <cellStyle name="Normal 5 2 2 3 11" xfId="18071"/>
    <cellStyle name="Normal 5 2 3 11" xfId="18072"/>
    <cellStyle name="Normal 5 2 4 11" xfId="18073"/>
    <cellStyle name="Normal 5 2 5 11" xfId="18074"/>
    <cellStyle name="Normal 5 3 15" xfId="18075"/>
    <cellStyle name="Normal 5 3 2 13" xfId="18076"/>
    <cellStyle name="Normal 5 3 2 2 11" xfId="18077"/>
    <cellStyle name="Normal 5 3 2 3 11" xfId="18078"/>
    <cellStyle name="Normal 5 3 3 11" xfId="18079"/>
    <cellStyle name="Normal 5 3 4 11" xfId="18080"/>
    <cellStyle name="Normal 5 5 13" xfId="18081"/>
    <cellStyle name="Normal 5 5 2 11" xfId="18082"/>
    <cellStyle name="Normal 5 5 3 11" xfId="18083"/>
    <cellStyle name="Normal 6 4 11" xfId="18084"/>
    <cellStyle name="Normal 7 2 6 10" xfId="18085"/>
    <cellStyle name="Normal 7 2 2 4 10" xfId="18086"/>
    <cellStyle name="Normal 7 2 2 2 11" xfId="18087"/>
    <cellStyle name="Normal 7 2 2 3 11" xfId="18088"/>
    <cellStyle name="Normal 7 2 3 11" xfId="18089"/>
    <cellStyle name="Normal 7 2 4 11" xfId="18090"/>
    <cellStyle name="Normal 7 2 5 11" xfId="18091"/>
    <cellStyle name="Normal 7 3 5 10" xfId="18092"/>
    <cellStyle name="Normal 7 3 2 13" xfId="18093"/>
    <cellStyle name="Normal 7 3 2 2 11" xfId="18094"/>
    <cellStyle name="Normal 7 3 2 3 11" xfId="18095"/>
    <cellStyle name="Normal 7 3 3 11" xfId="18096"/>
    <cellStyle name="Normal 7 3 4 11" xfId="18097"/>
    <cellStyle name="Normal 7 5 13" xfId="18098"/>
    <cellStyle name="Normal 7 5 2 11" xfId="18099"/>
    <cellStyle name="Normal 7 5 3 11" xfId="18100"/>
    <cellStyle name="Normal 8 9 10" xfId="18101"/>
    <cellStyle name="Normal 8 2 5 10" xfId="18102"/>
    <cellStyle name="Normal 8 2 2 4 10" xfId="18103"/>
    <cellStyle name="Normal 8 2 2 2 11" xfId="18104"/>
    <cellStyle name="Normal 8 2 2 3 11" xfId="18105"/>
    <cellStyle name="Normal 8 2 3 11" xfId="18106"/>
    <cellStyle name="Normal 8 2 4 11" xfId="18107"/>
    <cellStyle name="Normal 8 3 4 10" xfId="18108"/>
    <cellStyle name="Normal 8 3 2 2 10" xfId="18109"/>
    <cellStyle name="Normal 8 3 3 11" xfId="18110"/>
    <cellStyle name="Normal 8 4 4 10" xfId="18111"/>
    <cellStyle name="Normal 8 4 2 2 10" xfId="18112"/>
    <cellStyle name="Normal 8 4 3 11" xfId="18113"/>
    <cellStyle name="Normal 8 5 4 9" xfId="18114"/>
    <cellStyle name="Normal 8 6 2 10" xfId="18115"/>
    <cellStyle name="Normal 8 7 11" xfId="18116"/>
    <cellStyle name="Nota 2 2 16" xfId="18117"/>
    <cellStyle name="Nota 2 2 2 13" xfId="18118"/>
    <cellStyle name="Nota 2 2 2 2 11" xfId="18119"/>
    <cellStyle name="Nota 2 2 2 3 11" xfId="18120"/>
    <cellStyle name="Nota 2 2 3 11" xfId="18121"/>
    <cellStyle name="Nota 2 2 4 11" xfId="18122"/>
    <cellStyle name="Nota 2 2 5 11" xfId="18123"/>
    <cellStyle name="Nota 2 3 15" xfId="18124"/>
    <cellStyle name="Nota 2 3 2 13" xfId="18125"/>
    <cellStyle name="Nota 2 3 2 2 11" xfId="18126"/>
    <cellStyle name="Nota 2 3 2 3 11" xfId="18127"/>
    <cellStyle name="Nota 2 3 3 11" xfId="18128"/>
    <cellStyle name="Nota 2 3 4 11" xfId="18129"/>
    <cellStyle name="Nota 2 5 13" xfId="18130"/>
    <cellStyle name="Nota 2 5 2 11" xfId="18131"/>
    <cellStyle name="Nota 2 5 3 11" xfId="18132"/>
    <cellStyle name="Nota 3 2 16" xfId="18133"/>
    <cellStyle name="Nota 3 2 2 13" xfId="18134"/>
    <cellStyle name="Nota 3 2 2 2 11" xfId="18135"/>
    <cellStyle name="Nota 3 2 2 3 11" xfId="18136"/>
    <cellStyle name="Nota 3 2 3 11" xfId="18137"/>
    <cellStyle name="Nota 3 2 4 11" xfId="18138"/>
    <cellStyle name="Nota 3 2 5 11" xfId="18139"/>
    <cellStyle name="Nota 3 3 15" xfId="18140"/>
    <cellStyle name="Nota 3 3 2 13" xfId="18141"/>
    <cellStyle name="Nota 3 3 2 2 11" xfId="18142"/>
    <cellStyle name="Nota 3 3 2 3 11" xfId="18143"/>
    <cellStyle name="Nota 3 3 3 11" xfId="18144"/>
    <cellStyle name="Nota 3 3 4 11" xfId="18145"/>
    <cellStyle name="Nota 3 5 13" xfId="18146"/>
    <cellStyle name="Nota 3 5 2 11" xfId="18147"/>
    <cellStyle name="Nota 3 5 3 11" xfId="18148"/>
    <cellStyle name="Nota 4 8 10" xfId="18149"/>
    <cellStyle name="Nota 4 2 15" xfId="18150"/>
    <cellStyle name="Nota 4 2 2 13" xfId="18151"/>
    <cellStyle name="Nota 4 2 2 2 11" xfId="18152"/>
    <cellStyle name="Nota 4 2 2 3 11" xfId="18153"/>
    <cellStyle name="Nota 4 2 3 11" xfId="18154"/>
    <cellStyle name="Nota 4 2 4 11" xfId="18155"/>
    <cellStyle name="Nota 4 3 14" xfId="18156"/>
    <cellStyle name="Nota 4 3 2 11" xfId="18157"/>
    <cellStyle name="Nota 4 3 3 11" xfId="18158"/>
    <cellStyle name="Nota 4 4 13" xfId="18159"/>
    <cellStyle name="Nota 4 4 2 11" xfId="18160"/>
    <cellStyle name="Nota 4 4 3 11" xfId="18161"/>
    <cellStyle name="Nota 4 5 11" xfId="18162"/>
    <cellStyle name="Nota 4 6 11" xfId="18163"/>
    <cellStyle name="Nota 4 7 11" xfId="18164"/>
    <cellStyle name="Nota 5 18" xfId="18165"/>
    <cellStyle name="Nota 5 2 15" xfId="18166"/>
    <cellStyle name="Nota 5 2 2 13" xfId="18167"/>
    <cellStyle name="Nota 5 2 2 2 11" xfId="18168"/>
    <cellStyle name="Nota 5 2 2 3 11" xfId="18169"/>
    <cellStyle name="Nota 5 2 3 11" xfId="18170"/>
    <cellStyle name="Nota 5 2 4 11" xfId="18171"/>
    <cellStyle name="Nota 5 3 14" xfId="18172"/>
    <cellStyle name="Nota 5 3 2 11" xfId="18173"/>
    <cellStyle name="Nota 5 3 3 11" xfId="18174"/>
    <cellStyle name="Nota 5 4 13" xfId="18175"/>
    <cellStyle name="Nota 5 4 2 11" xfId="18176"/>
    <cellStyle name="Nota 5 4 3 11" xfId="18177"/>
    <cellStyle name="Nota 5 5 11" xfId="18178"/>
    <cellStyle name="Nota 5 6 11" xfId="18179"/>
    <cellStyle name="Nota 5 7 11" xfId="18180"/>
    <cellStyle name="Separador de milhares 2 2 4 10" xfId="18181"/>
    <cellStyle name="Separador de milhares 2 2 2 10" xfId="18182"/>
    <cellStyle name="Separador de milhares 2 2 3 10" xfId="18183"/>
    <cellStyle name="Separador de milhares 2 3 2 10" xfId="18184"/>
    <cellStyle name="Separador de milhares 2 4 10" xfId="18185"/>
    <cellStyle name="Separador de milhares 2 5 10" xfId="18186"/>
    <cellStyle name="Separador de milhares 2 6 10" xfId="18187"/>
    <cellStyle name="Separador de milhares 3 2 4 10" xfId="18188"/>
    <cellStyle name="Separador de milhares 3 2 2 10" xfId="18189"/>
    <cellStyle name="Separador de milhares 3 2 3 10" xfId="18190"/>
    <cellStyle name="Separador de milhares 3 4 2 10" xfId="18191"/>
    <cellStyle name="Separador de milhares 4 4 10" xfId="18192"/>
    <cellStyle name="Separador de milhares 4 2 3 10" xfId="18193"/>
    <cellStyle name="Separador de milhares 4 2 2 10" xfId="18194"/>
    <cellStyle name="Separador de milhares 4 3 2 10" xfId="18195"/>
    <cellStyle name="Separador de milhares 5 2 3 10" xfId="18196"/>
    <cellStyle name="Separador de milhares 5 2 2 10" xfId="18197"/>
    <cellStyle name="Separador de milhares 5 3 2 10" xfId="18198"/>
    <cellStyle name="Separador de milhares 5 4 10" xfId="18199"/>
    <cellStyle name="Separador de milhares 6 5 10" xfId="18200"/>
    <cellStyle name="Separador de milhares 6 2 3 10" xfId="18201"/>
    <cellStyle name="Separador de milhares 6 2 2 10" xfId="18202"/>
    <cellStyle name="Separador de milhares 6 3 2 10" xfId="18203"/>
    <cellStyle name="Separador de milhares 6 4 10" xfId="18204"/>
    <cellStyle name="Separador de milhares 7 3 2 9" xfId="18205"/>
    <cellStyle name="Vírgula 2 6 10" xfId="18206"/>
    <cellStyle name="Vírgula 2 2 13" xfId="18207"/>
    <cellStyle name="Vírgula 2 2 2 10" xfId="18208"/>
    <cellStyle name="Vírgula 2 3 12" xfId="18209"/>
    <cellStyle name="Vírgula 2 3 2 10" xfId="18210"/>
    <cellStyle name="Vírgula 2 4 10" xfId="18211"/>
    <cellStyle name="Vírgula 2 5 10" xfId="18212"/>
    <cellStyle name="Vírgula 3 4 10" xfId="18213"/>
    <cellStyle name="Vírgula 3 2 11" xfId="18214"/>
    <cellStyle name="Vírgula 3 3 10" xfId="18215"/>
    <cellStyle name="Vírgula 4 4 10" xfId="18216"/>
    <cellStyle name="Vírgula 4 2 3 9" xfId="18217"/>
    <cellStyle name="Vírgula 4 2 2 2 10" xfId="18218"/>
    <cellStyle name="Vírgula 4 3 11" xfId="18219"/>
    <cellStyle name="Vírgula 5 3 10" xfId="18220"/>
    <cellStyle name="Vírgula 5 2 10" xfId="18221"/>
    <cellStyle name="Vírgula 6 2 9" xfId="18222"/>
    <cellStyle name="Vírgula 8 2 2 10" xfId="18223"/>
    <cellStyle name="Vírgula 9 2 9" xfId="18224"/>
    <cellStyle name="Comma 4 3 9" xfId="18225"/>
    <cellStyle name="Comma 5 3 9" xfId="18226"/>
    <cellStyle name="Comma 6 9" xfId="18227"/>
    <cellStyle name="Comma 7 9" xfId="18228"/>
    <cellStyle name="Vírgula 10 12" xfId="18229"/>
    <cellStyle name="Comma 8 9" xfId="18230"/>
    <cellStyle name="Comma 9 9" xfId="18231"/>
    <cellStyle name="Comma 10 9" xfId="18232"/>
    <cellStyle name="Vírgula 10 2 10" xfId="18233"/>
    <cellStyle name="Separador de milhares 2 7 2 10" xfId="18234"/>
    <cellStyle name="Comma 11 9" xfId="18235"/>
    <cellStyle name="Vírgula 10 3 10" xfId="18236"/>
    <cellStyle name="Separador de milhares 2 7 3 10" xfId="18237"/>
    <cellStyle name="Porcentagem 12 10" xfId="18238"/>
    <cellStyle name="Normal 55 9" xfId="18239"/>
    <cellStyle name="Percent 14 9" xfId="18240"/>
    <cellStyle name="Input 8" xfId="18241"/>
    <cellStyle name="Normal 3 9 10" xfId="18242"/>
    <cellStyle name="Vírgula 11 9" xfId="18243"/>
    <cellStyle name="Normal 3 7 2 10" xfId="18244"/>
    <cellStyle name="20% - Ênfase1 5 6 10" xfId="18245"/>
    <cellStyle name="40% - Ênfase1 5 6 10" xfId="18246"/>
    <cellStyle name="20% - Ênfase2 5 6 10" xfId="18247"/>
    <cellStyle name="40% - Ênfase2 5 6 10" xfId="18248"/>
    <cellStyle name="20% - Ênfase3 5 6 10" xfId="18249"/>
    <cellStyle name="40% - Ênfase3 5 6 10" xfId="18250"/>
    <cellStyle name="20% - Ênfase4 5 6 10" xfId="18251"/>
    <cellStyle name="40% - Ênfase4 5 6 10" xfId="18252"/>
    <cellStyle name="20% - Ênfase5 5 6 10" xfId="18253"/>
    <cellStyle name="40% - Ênfase5 5 6 10" xfId="18254"/>
    <cellStyle name="20% - Ênfase6 5 6 10" xfId="18255"/>
    <cellStyle name="40% - Ênfase6 5 6 10" xfId="18256"/>
    <cellStyle name="Normal 4 2 6 10" xfId="18257"/>
    <cellStyle name="Nota 2 2 6 10" xfId="18258"/>
    <cellStyle name="Normal 5 2 7 10" xfId="18259"/>
    <cellStyle name="Nota 3 2 6 10" xfId="18260"/>
    <cellStyle name="20% - Ênfase1 2 2 6 10" xfId="18261"/>
    <cellStyle name="40% - Ênfase1 2 2 6 10" xfId="18262"/>
    <cellStyle name="20% - Ênfase2 2 2 6 10" xfId="18263"/>
    <cellStyle name="40% - Ênfase2 2 2 6 10" xfId="18264"/>
    <cellStyle name="20% - Ênfase3 2 2 6 10" xfId="18265"/>
    <cellStyle name="40% - Ênfase3 2 2 6 10" xfId="18266"/>
    <cellStyle name="20% - Ênfase4 2 2 6 10" xfId="18267"/>
    <cellStyle name="40% - Ênfase4 2 2 6 10" xfId="18268"/>
    <cellStyle name="20% - Ênfase5 2 2 6 10" xfId="18269"/>
    <cellStyle name="40% - Ênfase5 2 2 6 10" xfId="18270"/>
    <cellStyle name="20% - Ênfase6 2 2 6 10" xfId="18271"/>
    <cellStyle name="40% - Ênfase6 2 2 6 10" xfId="18272"/>
    <cellStyle name="Normal 7 2 7 10" xfId="18273"/>
    <cellStyle name="Nota 4 9 10" xfId="18274"/>
    <cellStyle name="20% - Ênfase1 3 8 10" xfId="18275"/>
    <cellStyle name="40% - Ênfase1 3 8 10" xfId="18276"/>
    <cellStyle name="20% - Ênfase2 3 8 10" xfId="18277"/>
    <cellStyle name="40% - Ênfase2 3 8 10" xfId="18278"/>
    <cellStyle name="20% - Ênfase3 3 8 10" xfId="18279"/>
    <cellStyle name="40% - Ênfase3 3 8 10" xfId="18280"/>
    <cellStyle name="20% - Ênfase4 3 8 10" xfId="18281"/>
    <cellStyle name="40% - Ênfase4 3 8 10" xfId="18282"/>
    <cellStyle name="20% - Ênfase5 3 8 10" xfId="18283"/>
    <cellStyle name="40% - Ênfase5 3 8 10" xfId="18284"/>
    <cellStyle name="20% - Ênfase6 3 8 10" xfId="18285"/>
    <cellStyle name="40% - Ênfase6 3 8 10" xfId="18286"/>
    <cellStyle name="Normal 8 12 9" xfId="18287"/>
    <cellStyle name="Nota 5 8 10" xfId="18288"/>
    <cellStyle name="20% - Ênfase1 4 8 10" xfId="18289"/>
    <cellStyle name="40% - Ênfase1 4 8 10" xfId="18290"/>
    <cellStyle name="20% - Ênfase2 4 8 10" xfId="18291"/>
    <cellStyle name="40% - Ênfase2 4 8 10" xfId="18292"/>
    <cellStyle name="20% - Ênfase3 4 8 10" xfId="18293"/>
    <cellStyle name="40% - Ênfase3 4 8 10" xfId="18294"/>
    <cellStyle name="20% - Ênfase4 4 8 10" xfId="18295"/>
    <cellStyle name="40% - Ênfase4 4 8 10" xfId="18296"/>
    <cellStyle name="20% - Ênfase5 4 8 10" xfId="18297"/>
    <cellStyle name="40% - Ênfase5 4 8 10" xfId="18298"/>
    <cellStyle name="20% - Ênfase6 4 8 10" xfId="18299"/>
    <cellStyle name="40% - Ênfase6 4 8 10" xfId="18300"/>
    <cellStyle name="20% - Ênfase1 6 5 10" xfId="18301"/>
    <cellStyle name="40% - Ênfase1 6 5 10" xfId="18302"/>
    <cellStyle name="20% - Ênfase2 6 5 10" xfId="18303"/>
    <cellStyle name="40% - Ênfase2 6 5 10" xfId="18304"/>
    <cellStyle name="20% - Ênfase3 6 5 10" xfId="18305"/>
    <cellStyle name="40% - Ênfase3 6 5 10" xfId="18306"/>
    <cellStyle name="20% - Ênfase4 6 5 10" xfId="18307"/>
    <cellStyle name="40% - Ênfase4 6 5 10" xfId="18308"/>
    <cellStyle name="20% - Ênfase5 6 5 10" xfId="18309"/>
    <cellStyle name="40% - Ênfase5 6 5 10" xfId="18310"/>
    <cellStyle name="20% - Ênfase6 6 5 10" xfId="18311"/>
    <cellStyle name="40% - Ênfase6 6 5 10" xfId="18312"/>
    <cellStyle name="Normal 4 3 5 10" xfId="18313"/>
    <cellStyle name="Nota 2 3 5 10" xfId="18314"/>
    <cellStyle name="Normal 5 3 5 10" xfId="18315"/>
    <cellStyle name="Nota 3 3 5 10" xfId="18316"/>
    <cellStyle name="20% - Ênfase1 2 3 5 10" xfId="18317"/>
    <cellStyle name="40% - Ênfase1 2 3 5 10" xfId="18318"/>
    <cellStyle name="20% - Ênfase2 2 3 5 10" xfId="18319"/>
    <cellStyle name="40% - Ênfase2 2 3 5 10" xfId="18320"/>
    <cellStyle name="20% - Ênfase3 2 3 5 10" xfId="18321"/>
    <cellStyle name="40% - Ênfase3 2 3 5 10" xfId="18322"/>
    <cellStyle name="20% - Ênfase4 2 3 5 10" xfId="18323"/>
    <cellStyle name="40% - Ênfase4 2 3 5 10" xfId="18324"/>
    <cellStyle name="20% - Ênfase5 2 3 5 10" xfId="18325"/>
    <cellStyle name="40% - Ênfase5 2 3 5 10" xfId="18326"/>
    <cellStyle name="20% - Ênfase6 2 3 5 10" xfId="18327"/>
    <cellStyle name="40% - Ênfase6 2 3 5 10" xfId="18328"/>
    <cellStyle name="Normal 7 3 6 10" xfId="18329"/>
    <cellStyle name="Nota 4 2 5 10" xfId="18330"/>
    <cellStyle name="20% - Ênfase1 3 2 5 10" xfId="18331"/>
    <cellStyle name="40% - Ênfase1 3 2 5 10" xfId="18332"/>
    <cellStyle name="20% - Ênfase2 3 2 5 10" xfId="18333"/>
    <cellStyle name="40% - Ênfase2 3 2 5 10" xfId="18334"/>
    <cellStyle name="20% - Ênfase3 3 2 5 10" xfId="18335"/>
    <cellStyle name="40% - Ênfase3 3 2 5 10" xfId="18336"/>
    <cellStyle name="20% - Ênfase4 3 2 5 10" xfId="18337"/>
    <cellStyle name="40% - Ênfase4 3 2 5 10" xfId="18338"/>
    <cellStyle name="20% - Ênfase5 3 2 5 10" xfId="18339"/>
    <cellStyle name="40% - Ênfase5 3 2 5 10" xfId="18340"/>
    <cellStyle name="20% - Ênfase6 3 2 5 10" xfId="18341"/>
    <cellStyle name="40% - Ênfase6 3 2 5 10" xfId="18342"/>
    <cellStyle name="Normal 8 2 6 10" xfId="18343"/>
    <cellStyle name="Nota 5 2 5 10" xfId="18344"/>
    <cellStyle name="20% - Ênfase1 4 2 5 10" xfId="18345"/>
    <cellStyle name="40% - Ênfase1 4 2 5 10" xfId="18346"/>
    <cellStyle name="20% - Ênfase2 4 2 5 10" xfId="18347"/>
    <cellStyle name="40% - Ênfase2 4 2 5 10" xfId="18348"/>
    <cellStyle name="20% - Ênfase3 4 2 5 10" xfId="18349"/>
    <cellStyle name="40% - Ênfase3 4 2 5 10" xfId="18350"/>
    <cellStyle name="20% - Ênfase4 4 2 5 10" xfId="18351"/>
    <cellStyle name="40% - Ênfase4 4 2 5 10" xfId="18352"/>
    <cellStyle name="20% - Ênfase5 4 2 5 10" xfId="18353"/>
    <cellStyle name="40% - Ênfase5 4 2 5 10" xfId="18354"/>
    <cellStyle name="20% - Ênfase6 4 2 5 10" xfId="18355"/>
    <cellStyle name="40% - Ênfase6 4 2 5 10" xfId="18356"/>
    <cellStyle name="20% - Ênfase1 8 4 10" xfId="18357"/>
    <cellStyle name="40% - Ênfase1 8 4 10" xfId="18358"/>
    <cellStyle name="20% - Ênfase2 8 4 10" xfId="18359"/>
    <cellStyle name="40% - Ênfase2 8 4 10" xfId="18360"/>
    <cellStyle name="20% - Ênfase3 8 4 10" xfId="18361"/>
    <cellStyle name="40% - Ênfase3 8 4 10" xfId="18362"/>
    <cellStyle name="20% - Ênfase4 8 4 10" xfId="18363"/>
    <cellStyle name="40% - Ênfase4 8 4 10" xfId="18364"/>
    <cellStyle name="20% - Ênfase5 8 4 10" xfId="18365"/>
    <cellStyle name="40% - Ênfase5 8 4 10" xfId="18366"/>
    <cellStyle name="20% - Ênfase6 8 4 10" xfId="18367"/>
    <cellStyle name="40% - Ênfase6 8 4 10" xfId="18368"/>
    <cellStyle name="Normal 4 5 4 10" xfId="18369"/>
    <cellStyle name="Nota 2 5 4 10" xfId="18370"/>
    <cellStyle name="Normal 5 5 4 10" xfId="18371"/>
    <cellStyle name="Nota 3 5 4 10" xfId="18372"/>
    <cellStyle name="20% - Ênfase1 2 5 4 10" xfId="18373"/>
    <cellStyle name="40% - Ênfase1 2 5 4 10" xfId="18374"/>
    <cellStyle name="20% - Ênfase2 2 5 4 10" xfId="18375"/>
    <cellStyle name="40% - Ênfase2 2 5 4 10" xfId="18376"/>
    <cellStyle name="20% - Ênfase3 2 5 4 10" xfId="18377"/>
    <cellStyle name="40% - Ênfase3 2 5 4 10" xfId="18378"/>
    <cellStyle name="20% - Ênfase4 2 5 4 10" xfId="18379"/>
    <cellStyle name="40% - Ênfase4 2 5 4 10" xfId="18380"/>
    <cellStyle name="20% - Ênfase5 2 5 4 10" xfId="18381"/>
    <cellStyle name="40% - Ênfase5 2 5 4 10" xfId="18382"/>
    <cellStyle name="20% - Ênfase6 2 5 4 10" xfId="18383"/>
    <cellStyle name="40% - Ênfase6 2 5 4 10" xfId="18384"/>
    <cellStyle name="Normal 7 5 4 10" xfId="18385"/>
    <cellStyle name="Nota 4 4 4 10" xfId="18386"/>
    <cellStyle name="20% - Ênfase1 3 4 4 10" xfId="18387"/>
    <cellStyle name="40% - Ênfase1 3 4 4 10" xfId="18388"/>
    <cellStyle name="20% - Ênfase2 3 4 4 10" xfId="18389"/>
    <cellStyle name="40% - Ênfase2 3 4 4 10" xfId="18390"/>
    <cellStyle name="20% - Ênfase3 3 4 4 10" xfId="18391"/>
    <cellStyle name="40% - Ênfase3 3 4 4 10" xfId="18392"/>
    <cellStyle name="20% - Ênfase4 3 4 4 10" xfId="18393"/>
    <cellStyle name="40% - Ênfase4 3 4 4 10" xfId="18394"/>
    <cellStyle name="20% - Ênfase5 3 4 4 10" xfId="18395"/>
    <cellStyle name="40% - Ênfase5 3 4 4 10" xfId="18396"/>
    <cellStyle name="20% - Ênfase6 3 4 4 10" xfId="18397"/>
    <cellStyle name="40% - Ênfase6 3 4 4 10" xfId="18398"/>
    <cellStyle name="Normal 8 4 5 10" xfId="18399"/>
    <cellStyle name="Nota 5 4 4 10" xfId="18400"/>
    <cellStyle name="20% - Ênfase1 4 4 4 10" xfId="18401"/>
    <cellStyle name="40% - Ênfase1 4 4 4 10" xfId="18402"/>
    <cellStyle name="20% - Ênfase2 4 4 4 10" xfId="18403"/>
    <cellStyle name="40% - Ênfase2 4 4 4 10" xfId="18404"/>
    <cellStyle name="20% - Ênfase3 4 4 4 10" xfId="18405"/>
    <cellStyle name="40% - Ênfase3 4 4 4 10" xfId="18406"/>
    <cellStyle name="20% - Ênfase4 4 4 4 10" xfId="18407"/>
    <cellStyle name="40% - Ênfase4 4 4 4 10" xfId="18408"/>
    <cellStyle name="20% - Ênfase5 4 4 4 10" xfId="18409"/>
    <cellStyle name="40% - Ênfase5 4 4 4 10" xfId="18410"/>
    <cellStyle name="20% - Ênfase6 4 4 4 10" xfId="18411"/>
    <cellStyle name="40% - Ênfase6 4 4 4 10" xfId="18412"/>
    <cellStyle name="Normal 3 3 4 10" xfId="18413"/>
    <cellStyle name="20% - Ênfase1 5 2 4 10" xfId="18414"/>
    <cellStyle name="40% - Ênfase1 5 2 4 10" xfId="18415"/>
    <cellStyle name="20% - Ênfase2 5 2 4 10" xfId="18416"/>
    <cellStyle name="40% - Ênfase2 5 2 4 10" xfId="18417"/>
    <cellStyle name="20% - Ênfase3 5 2 4 10" xfId="18418"/>
    <cellStyle name="40% - Ênfase3 5 2 4 10" xfId="18419"/>
    <cellStyle name="20% - Ênfase4 5 2 4 10" xfId="18420"/>
    <cellStyle name="40% - Ênfase4 5 2 4 10" xfId="18421"/>
    <cellStyle name="20% - Ênfase5 5 2 4 10" xfId="18422"/>
    <cellStyle name="40% - Ênfase5 5 2 4 10" xfId="18423"/>
    <cellStyle name="20% - Ênfase6 5 2 4 10" xfId="18424"/>
    <cellStyle name="40% - Ênfase6 5 2 4 10" xfId="18425"/>
    <cellStyle name="Normal 4 2 2 4 10" xfId="18426"/>
    <cellStyle name="Nota 2 2 2 4 10" xfId="18427"/>
    <cellStyle name="Normal 5 2 2 4 10" xfId="18428"/>
    <cellStyle name="Nota 3 2 2 4 10" xfId="18429"/>
    <cellStyle name="20% - Ênfase1 2 2 2 4 10" xfId="18430"/>
    <cellStyle name="40% - Ênfase1 2 2 2 4 10" xfId="18431"/>
    <cellStyle name="20% - Ênfase2 2 2 2 4 10" xfId="18432"/>
    <cellStyle name="40% - Ênfase2 2 2 2 4 10" xfId="18433"/>
    <cellStyle name="20% - Ênfase3 2 2 2 4 10" xfId="18434"/>
    <cellStyle name="40% - Ênfase3 2 2 2 4 10" xfId="18435"/>
    <cellStyle name="20% - Ênfase4 2 2 2 4 10" xfId="18436"/>
    <cellStyle name="40% - Ênfase4 2 2 2 4 10" xfId="18437"/>
    <cellStyle name="20% - Ênfase5 2 2 2 4 10" xfId="18438"/>
    <cellStyle name="40% - Ênfase5 2 2 2 4 10" xfId="18439"/>
    <cellStyle name="20% - Ênfase6 2 2 2 4 10" xfId="18440"/>
    <cellStyle name="40% - Ênfase6 2 2 2 4 10" xfId="18441"/>
    <cellStyle name="Normal 7 2 2 5 10" xfId="18442"/>
    <cellStyle name="Nota 4 3 4 10" xfId="18443"/>
    <cellStyle name="20% - Ênfase1 3 3 4 10" xfId="18444"/>
    <cellStyle name="40% - Ênfase1 3 3 4 10" xfId="18445"/>
    <cellStyle name="20% - Ênfase2 3 3 4 10" xfId="18446"/>
    <cellStyle name="40% - Ênfase2 3 3 4 10" xfId="18447"/>
    <cellStyle name="20% - Ênfase3 3 3 4 10" xfId="18448"/>
    <cellStyle name="40% - Ênfase3 3 3 4 10" xfId="18449"/>
    <cellStyle name="20% - Ênfase4 3 3 4 10" xfId="18450"/>
    <cellStyle name="40% - Ênfase4 3 3 4 10" xfId="18451"/>
    <cellStyle name="20% - Ênfase5 3 3 4 10" xfId="18452"/>
    <cellStyle name="40% - Ênfase5 3 3 4 10" xfId="18453"/>
    <cellStyle name="20% - Ênfase6 3 3 4 10" xfId="18454"/>
    <cellStyle name="40% - Ênfase6 3 3 4 10" xfId="18455"/>
    <cellStyle name="Normal 8 3 5 10" xfId="18456"/>
    <cellStyle name="Nota 5 3 4 10" xfId="18457"/>
    <cellStyle name="20% - Ênfase1 4 3 4 10" xfId="18458"/>
    <cellStyle name="40% - Ênfase1 4 3 4 10" xfId="18459"/>
    <cellStyle name="20% - Ênfase2 4 3 4 10" xfId="18460"/>
    <cellStyle name="40% - Ênfase2 4 3 4 10" xfId="18461"/>
    <cellStyle name="20% - Ênfase3 4 3 4 10" xfId="18462"/>
    <cellStyle name="40% - Ênfase3 4 3 4 10" xfId="18463"/>
    <cellStyle name="20% - Ênfase4 4 3 4 10" xfId="18464"/>
    <cellStyle name="40% - Ênfase4 4 3 4 10" xfId="18465"/>
    <cellStyle name="20% - Ênfase5 4 3 4 10" xfId="18466"/>
    <cellStyle name="40% - Ênfase5 4 3 4 10" xfId="18467"/>
    <cellStyle name="20% - Ênfase6 4 3 4 10" xfId="18468"/>
    <cellStyle name="40% - Ênfase6 4 3 4 10" xfId="18469"/>
    <cellStyle name="20% - Ênfase1 6 2 4 10" xfId="18470"/>
    <cellStyle name="40% - Ênfase1 6 2 4 10" xfId="18471"/>
    <cellStyle name="20% - Ênfase2 6 2 4 10" xfId="18472"/>
    <cellStyle name="40% - Ênfase2 6 2 4 10" xfId="18473"/>
    <cellStyle name="20% - Ênfase3 6 2 4 10" xfId="18474"/>
    <cellStyle name="40% - Ênfase3 6 2 4 10" xfId="18475"/>
    <cellStyle name="20% - Ênfase4 6 2 4 10" xfId="18476"/>
    <cellStyle name="40% - Ênfase4 6 2 4 10" xfId="18477"/>
    <cellStyle name="20% - Ênfase5 6 2 4 10" xfId="18478"/>
    <cellStyle name="40% - Ênfase5 6 2 4 10" xfId="18479"/>
    <cellStyle name="20% - Ênfase6 6 2 4 10" xfId="18480"/>
    <cellStyle name="40% - Ênfase6 6 2 4 10" xfId="18481"/>
    <cellStyle name="Normal 4 3 2 4 10" xfId="18482"/>
    <cellStyle name="Nota 2 3 2 4 10" xfId="18483"/>
    <cellStyle name="Normal 5 3 2 4 10" xfId="18484"/>
    <cellStyle name="Nota 3 3 2 4 10" xfId="18485"/>
    <cellStyle name="20% - Ênfase1 2 3 2 4 10" xfId="18486"/>
    <cellStyle name="40% - Ênfase1 2 3 2 4 10" xfId="18487"/>
    <cellStyle name="20% - Ênfase2 2 3 2 4 10" xfId="18488"/>
    <cellStyle name="40% - Ênfase2 2 3 2 4 10" xfId="18489"/>
    <cellStyle name="20% - Ênfase3 2 3 2 4 10" xfId="18490"/>
    <cellStyle name="40% - Ênfase3 2 3 2 4 10" xfId="18491"/>
    <cellStyle name="20% - Ênfase4 2 3 2 4 10" xfId="18492"/>
    <cellStyle name="40% - Ênfase4 2 3 2 4 10" xfId="18493"/>
    <cellStyle name="20% - Ênfase5 2 3 2 4 10" xfId="18494"/>
    <cellStyle name="40% - Ênfase5 2 3 2 4 10" xfId="18495"/>
    <cellStyle name="20% - Ênfase6 2 3 2 4 10" xfId="18496"/>
    <cellStyle name="40% - Ênfase6 2 3 2 4 10" xfId="18497"/>
    <cellStyle name="Normal 7 3 2 4 10" xfId="18498"/>
    <cellStyle name="Nota 4 2 2 4 10" xfId="18499"/>
    <cellStyle name="20% - Ênfase1 3 2 2 4 10" xfId="18500"/>
    <cellStyle name="40% - Ênfase1 3 2 2 4 10" xfId="18501"/>
    <cellStyle name="20% - Ênfase2 3 2 2 4 10" xfId="18502"/>
    <cellStyle name="40% - Ênfase2 3 2 2 4 10" xfId="18503"/>
    <cellStyle name="20% - Ênfase3 3 2 2 4 10" xfId="18504"/>
    <cellStyle name="40% - Ênfase3 3 2 2 4 10" xfId="18505"/>
    <cellStyle name="20% - Ênfase4 3 2 2 4 10" xfId="18506"/>
    <cellStyle name="40% - Ênfase4 3 2 2 4 10" xfId="18507"/>
    <cellStyle name="20% - Ênfase5 3 2 2 4 10" xfId="18508"/>
    <cellStyle name="40% - Ênfase5 3 2 2 4 10" xfId="18509"/>
    <cellStyle name="20% - Ênfase6 3 2 2 4 10" xfId="18510"/>
    <cellStyle name="40% - Ênfase6 3 2 2 4 10" xfId="18511"/>
    <cellStyle name="Normal 8 2 2 5 10" xfId="18512"/>
    <cellStyle name="Nota 5 2 2 4 10" xfId="18513"/>
    <cellStyle name="20% - Ênfase1 4 2 2 4 10" xfId="18514"/>
    <cellStyle name="40% - Ênfase1 4 2 2 4 10" xfId="18515"/>
    <cellStyle name="20% - Ênfase2 4 2 2 4 10" xfId="18516"/>
    <cellStyle name="40% - Ênfase2 4 2 2 4 10" xfId="18517"/>
    <cellStyle name="20% - Ênfase3 4 2 2 4 10" xfId="18518"/>
    <cellStyle name="40% - Ênfase3 4 2 2 4 10" xfId="18519"/>
    <cellStyle name="20% - Ênfase4 4 2 2 4 10" xfId="18520"/>
    <cellStyle name="40% - Ênfase4 4 2 2 4 10" xfId="18521"/>
    <cellStyle name="20% - Ênfase5 4 2 2 4 10" xfId="18522"/>
    <cellStyle name="40% - Ênfase5 4 2 2 4 10" xfId="18523"/>
    <cellStyle name="20% - Ênfase6 4 2 2 4 10" xfId="18524"/>
    <cellStyle name="40% - Ênfase6 4 2 2 4 10" xfId="18525"/>
    <cellStyle name="Normal 3 4 2 10" xfId="18526"/>
    <cellStyle name="20% - Ênfase1 5 3 2 10" xfId="18527"/>
    <cellStyle name="40% - Ênfase1 5 3 2 10" xfId="18528"/>
    <cellStyle name="20% - Ênfase2 5 3 2 10" xfId="18529"/>
    <cellStyle name="40% - Ênfase2 5 3 2 10" xfId="18530"/>
    <cellStyle name="20% - Ênfase3 5 3 2 10" xfId="18531"/>
    <cellStyle name="40% - Ênfase3 5 3 2 10" xfId="18532"/>
    <cellStyle name="20% - Ênfase4 5 3 2 10" xfId="18533"/>
    <cellStyle name="40% - Ênfase4 5 3 2 10" xfId="18534"/>
    <cellStyle name="20% - Ênfase5 5 3 2 10" xfId="18535"/>
    <cellStyle name="40% - Ênfase5 5 3 2 10" xfId="18536"/>
    <cellStyle name="20% - Ênfase6 5 3 2 10" xfId="18537"/>
    <cellStyle name="40% - Ênfase6 5 3 2 10" xfId="18538"/>
    <cellStyle name="Normal 4 2 3 2 10" xfId="18539"/>
    <cellStyle name="Nota 2 2 3 2 10" xfId="18540"/>
    <cellStyle name="Normal 5 2 3 2 10" xfId="18541"/>
    <cellStyle name="Nota 3 2 3 2 10" xfId="18542"/>
    <cellStyle name="20% - Ênfase1 2 2 3 2 10" xfId="18543"/>
    <cellStyle name="40% - Ênfase1 2 2 3 2 10" xfId="18544"/>
    <cellStyle name="20% - Ênfase2 2 2 3 2 10" xfId="18545"/>
    <cellStyle name="40% - Ênfase2 2 2 3 2 10" xfId="18546"/>
    <cellStyle name="20% - Ênfase3 2 2 3 2 10" xfId="18547"/>
    <cellStyle name="40% - Ênfase3 2 2 3 2 10" xfId="18548"/>
    <cellStyle name="20% - Ênfase4 2 2 3 2 10" xfId="18549"/>
    <cellStyle name="40% - Ênfase4 2 2 3 2 10" xfId="18550"/>
    <cellStyle name="20% - Ênfase5 2 2 3 2 10" xfId="18551"/>
    <cellStyle name="40% - Ênfase5 2 2 3 2 10" xfId="18552"/>
    <cellStyle name="20% - Ênfase6 2 2 3 2 10" xfId="18553"/>
    <cellStyle name="40% - Ênfase6 2 2 3 2 10" xfId="18554"/>
    <cellStyle name="Normal 7 2 3 2 10" xfId="18555"/>
    <cellStyle name="Nota 4 5 2 10" xfId="18556"/>
    <cellStyle name="20% - Ênfase1 3 5 2 10" xfId="18557"/>
    <cellStyle name="40% - Ênfase1 3 5 2 10" xfId="18558"/>
    <cellStyle name="20% - Ênfase2 3 5 2 10" xfId="18559"/>
    <cellStyle name="40% - Ênfase2 3 5 2 10" xfId="18560"/>
    <cellStyle name="20% - Ênfase3 3 5 2 10" xfId="18561"/>
    <cellStyle name="40% - Ênfase3 3 5 2 10" xfId="18562"/>
    <cellStyle name="20% - Ênfase4 3 5 2 10" xfId="18563"/>
    <cellStyle name="40% - Ênfase4 3 5 2 10" xfId="18564"/>
    <cellStyle name="20% - Ênfase5 3 5 2 10" xfId="18565"/>
    <cellStyle name="40% - Ênfase5 3 5 2 10" xfId="18566"/>
    <cellStyle name="20% - Ênfase6 3 5 2 10" xfId="18567"/>
    <cellStyle name="40% - Ênfase6 3 5 2 10" xfId="18568"/>
    <cellStyle name="Normal 8 5 5 9" xfId="18569"/>
    <cellStyle name="Nota 5 5 2 10" xfId="18570"/>
    <cellStyle name="20% - Ênfase1 4 5 2 10" xfId="18571"/>
    <cellStyle name="40% - Ênfase1 4 5 2 10" xfId="18572"/>
    <cellStyle name="20% - Ênfase2 4 5 2 10" xfId="18573"/>
    <cellStyle name="40% - Ênfase2 4 5 2 10" xfId="18574"/>
    <cellStyle name="20% - Ênfase3 4 5 2 10" xfId="18575"/>
    <cellStyle name="40% - Ênfase3 4 5 2 10" xfId="18576"/>
    <cellStyle name="20% - Ênfase4 4 5 2 10" xfId="18577"/>
    <cellStyle name="40% - Ênfase4 4 5 2 10" xfId="18578"/>
    <cellStyle name="20% - Ênfase5 4 5 2 10" xfId="18579"/>
    <cellStyle name="40% - Ênfase5 4 5 2 10" xfId="18580"/>
    <cellStyle name="20% - Ênfase6 4 5 2 10" xfId="18581"/>
    <cellStyle name="40% - Ênfase6 4 5 2 10" xfId="18582"/>
    <cellStyle name="20% - Ênfase1 6 3 2 10" xfId="18583"/>
    <cellStyle name="40% - Ênfase1 6 3 2 10" xfId="18584"/>
    <cellStyle name="20% - Ênfase2 6 3 2 10" xfId="18585"/>
    <cellStyle name="40% - Ênfase2 6 3 2 10" xfId="18586"/>
    <cellStyle name="20% - Ênfase3 6 3 2 10" xfId="18587"/>
    <cellStyle name="40% - Ênfase3 6 3 2 10" xfId="18588"/>
    <cellStyle name="20% - Ênfase4 6 3 2 10" xfId="18589"/>
    <cellStyle name="40% - Ênfase4 6 3 2 10" xfId="18590"/>
    <cellStyle name="20% - Ênfase5 6 3 2 10" xfId="18591"/>
    <cellStyle name="40% - Ênfase5 6 3 2 10" xfId="18592"/>
    <cellStyle name="20% - Ênfase6 6 3 2 10" xfId="18593"/>
    <cellStyle name="40% - Ênfase6 6 3 2 10" xfId="18594"/>
    <cellStyle name="Normal 4 3 3 2 10" xfId="18595"/>
    <cellStyle name="Nota 2 3 3 2 10" xfId="18596"/>
    <cellStyle name="Normal 5 3 3 2 10" xfId="18597"/>
    <cellStyle name="Nota 3 3 3 2 10" xfId="18598"/>
    <cellStyle name="20% - Ênfase1 2 3 3 2 10" xfId="18599"/>
    <cellStyle name="40% - Ênfase1 2 3 3 2 10" xfId="18600"/>
    <cellStyle name="20% - Ênfase2 2 3 3 2 10" xfId="18601"/>
    <cellStyle name="40% - Ênfase2 2 3 3 2 10" xfId="18602"/>
    <cellStyle name="20% - Ênfase3 2 3 3 2 10" xfId="18603"/>
    <cellStyle name="40% - Ênfase3 2 3 3 2 10" xfId="18604"/>
    <cellStyle name="20% - Ênfase4 2 3 3 2 10" xfId="18605"/>
    <cellStyle name="40% - Ênfase4 2 3 3 2 10" xfId="18606"/>
    <cellStyle name="20% - Ênfase5 2 3 3 2 10" xfId="18607"/>
    <cellStyle name="40% - Ênfase5 2 3 3 2 10" xfId="18608"/>
    <cellStyle name="20% - Ênfase6 2 3 3 2 10" xfId="18609"/>
    <cellStyle name="40% - Ênfase6 2 3 3 2 10" xfId="18610"/>
    <cellStyle name="Normal 7 3 3 2 10" xfId="18611"/>
    <cellStyle name="Nota 4 2 3 2 10" xfId="18612"/>
    <cellStyle name="20% - Ênfase1 3 2 3 2 10" xfId="18613"/>
    <cellStyle name="40% - Ênfase1 3 2 3 2 10" xfId="18614"/>
    <cellStyle name="20% - Ênfase2 3 2 3 2 10" xfId="18615"/>
    <cellStyle name="40% - Ênfase2 3 2 3 2 10" xfId="18616"/>
    <cellStyle name="20% - Ênfase3 3 2 3 2 10" xfId="18617"/>
    <cellStyle name="40% - Ênfase3 3 2 3 2 10" xfId="18618"/>
    <cellStyle name="20% - Ênfase4 3 2 3 2 10" xfId="18619"/>
    <cellStyle name="40% - Ênfase4 3 2 3 2 10" xfId="18620"/>
    <cellStyle name="20% - Ênfase5 3 2 3 2 10" xfId="18621"/>
    <cellStyle name="40% - Ênfase5 3 2 3 2 10" xfId="18622"/>
    <cellStyle name="20% - Ênfase6 3 2 3 2 10" xfId="18623"/>
    <cellStyle name="40% - Ênfase6 3 2 3 2 10" xfId="18624"/>
    <cellStyle name="Normal 8 2 3 2 10" xfId="18625"/>
    <cellStyle name="Nota 5 2 3 2 10" xfId="18626"/>
    <cellStyle name="20% - Ênfase1 4 2 3 2 10" xfId="18627"/>
    <cellStyle name="40% - Ênfase1 4 2 3 2 10" xfId="18628"/>
    <cellStyle name="20% - Ênfase2 4 2 3 2 10" xfId="18629"/>
    <cellStyle name="40% - Ênfase2 4 2 3 2 10" xfId="18630"/>
    <cellStyle name="20% - Ênfase3 4 2 3 2 10" xfId="18631"/>
    <cellStyle name="40% - Ênfase3 4 2 3 2 10" xfId="18632"/>
    <cellStyle name="20% - Ênfase4 4 2 3 2 10" xfId="18633"/>
    <cellStyle name="40% - Ênfase4 4 2 3 2 10" xfId="18634"/>
    <cellStyle name="20% - Ênfase5 4 2 3 2 10" xfId="18635"/>
    <cellStyle name="40% - Ênfase5 4 2 3 2 10" xfId="18636"/>
    <cellStyle name="20% - Ênfase6 4 2 3 2 10" xfId="18637"/>
    <cellStyle name="40% - Ênfase6 4 2 3 2 10" xfId="18638"/>
    <cellStyle name="20% - Ênfase1 8 2 2 10" xfId="18639"/>
    <cellStyle name="40% - Ênfase1 8 2 2 10" xfId="18640"/>
    <cellStyle name="20% - Ênfase2 8 2 2 10" xfId="18641"/>
    <cellStyle name="40% - Ênfase2 8 2 2 10" xfId="18642"/>
    <cellStyle name="20% - Ênfase3 8 2 2 10" xfId="18643"/>
    <cellStyle name="40% - Ênfase3 8 2 2 10" xfId="18644"/>
    <cellStyle name="20% - Ênfase4 8 2 2 10" xfId="18645"/>
    <cellStyle name="40% - Ênfase4 8 2 2 10" xfId="18646"/>
    <cellStyle name="20% - Ênfase5 8 2 2 10" xfId="18647"/>
    <cellStyle name="40% - Ênfase5 8 2 2 10" xfId="18648"/>
    <cellStyle name="20% - Ênfase6 8 2 2 10" xfId="18649"/>
    <cellStyle name="40% - Ênfase6 8 2 2 10" xfId="18650"/>
    <cellStyle name="Normal 4 5 2 2 10" xfId="18651"/>
    <cellStyle name="Nota 2 5 2 2 10" xfId="18652"/>
    <cellStyle name="Normal 5 5 2 2 10" xfId="18653"/>
    <cellStyle name="Nota 3 5 2 2 10" xfId="18654"/>
    <cellStyle name="20% - Ênfase1 2 5 2 2 10" xfId="18655"/>
    <cellStyle name="40% - Ênfase1 2 5 2 2 10" xfId="18656"/>
    <cellStyle name="20% - Ênfase2 2 5 2 2 10" xfId="18657"/>
    <cellStyle name="40% - Ênfase2 2 5 2 2 10" xfId="18658"/>
    <cellStyle name="20% - Ênfase3 2 5 2 2 10" xfId="18659"/>
    <cellStyle name="40% - Ênfase3 2 5 2 2 10" xfId="18660"/>
    <cellStyle name="20% - Ênfase4 2 5 2 2 10" xfId="18661"/>
    <cellStyle name="40% - Ênfase4 2 5 2 2 10" xfId="18662"/>
    <cellStyle name="20% - Ênfase5 2 5 2 2 10" xfId="18663"/>
    <cellStyle name="40% - Ênfase5 2 5 2 2 10" xfId="18664"/>
    <cellStyle name="20% - Ênfase6 2 5 2 2 10" xfId="18665"/>
    <cellStyle name="40% - Ênfase6 2 5 2 2 10" xfId="18666"/>
    <cellStyle name="Normal 7 5 2 2 10" xfId="18667"/>
    <cellStyle name="Nota 4 4 2 2 10" xfId="18668"/>
    <cellStyle name="20% - Ênfase1 3 4 2 2 10" xfId="18669"/>
    <cellStyle name="40% - Ênfase1 3 4 2 2 10" xfId="18670"/>
    <cellStyle name="20% - Ênfase2 3 4 2 2 10" xfId="18671"/>
    <cellStyle name="40% - Ênfase2 3 4 2 2 10" xfId="18672"/>
    <cellStyle name="20% - Ênfase3 3 4 2 2 10" xfId="18673"/>
    <cellStyle name="40% - Ênfase3 3 4 2 2 10" xfId="18674"/>
    <cellStyle name="20% - Ênfase4 3 4 2 2 10" xfId="18675"/>
    <cellStyle name="40% - Ênfase4 3 4 2 2 10" xfId="18676"/>
    <cellStyle name="20% - Ênfase5 3 4 2 2 10" xfId="18677"/>
    <cellStyle name="40% - Ênfase5 3 4 2 2 10" xfId="18678"/>
    <cellStyle name="20% - Ênfase6 3 4 2 2 10" xfId="18679"/>
    <cellStyle name="40% - Ênfase6 3 4 2 2 10" xfId="18680"/>
    <cellStyle name="Normal 8 4 2 3 10" xfId="18681"/>
    <cellStyle name="Nota 5 4 2 2 10" xfId="18682"/>
    <cellStyle name="20% - Ênfase1 4 4 2 2 10" xfId="18683"/>
    <cellStyle name="40% - Ênfase1 4 4 2 2 10" xfId="18684"/>
    <cellStyle name="20% - Ênfase2 4 4 2 2 10" xfId="18685"/>
    <cellStyle name="40% - Ênfase2 4 4 2 2 10" xfId="18686"/>
    <cellStyle name="20% - Ênfase3 4 4 2 2 10" xfId="18687"/>
    <cellStyle name="40% - Ênfase3 4 4 2 2 10" xfId="18688"/>
    <cellStyle name="20% - Ênfase4 4 4 2 2 10" xfId="18689"/>
    <cellStyle name="40% - Ênfase4 4 4 2 2 10" xfId="18690"/>
    <cellStyle name="20% - Ênfase5 4 4 2 2 10" xfId="18691"/>
    <cellStyle name="40% - Ênfase5 4 4 2 2 10" xfId="18692"/>
    <cellStyle name="20% - Ênfase6 4 4 2 2 10" xfId="18693"/>
    <cellStyle name="40% - Ênfase6 4 4 2 2 10" xfId="18694"/>
    <cellStyle name="Normal 3 3 2 2 10" xfId="18695"/>
    <cellStyle name="20% - Ênfase1 5 2 2 2 10" xfId="18696"/>
    <cellStyle name="40% - Ênfase1 5 2 2 2 10" xfId="18697"/>
    <cellStyle name="20% - Ênfase2 5 2 2 2 10" xfId="18698"/>
    <cellStyle name="40% - Ênfase2 5 2 2 2 10" xfId="18699"/>
    <cellStyle name="20% - Ênfase3 5 2 2 2 10" xfId="18700"/>
    <cellStyle name="40% - Ênfase3 5 2 2 2 10" xfId="18701"/>
    <cellStyle name="20% - Ênfase4 5 2 2 2 10" xfId="18702"/>
    <cellStyle name="40% - Ênfase4 5 2 2 2 10" xfId="18703"/>
    <cellStyle name="20% - Ênfase5 5 2 2 2 10" xfId="18704"/>
    <cellStyle name="40% - Ênfase5 5 2 2 2 10" xfId="18705"/>
    <cellStyle name="20% - Ênfase6 5 2 2 2 10" xfId="18706"/>
    <cellStyle name="40% - Ênfase6 5 2 2 2 10" xfId="18707"/>
    <cellStyle name="Normal 4 2 2 2 2 10" xfId="18708"/>
    <cellStyle name="Nota 2 2 2 2 2 10" xfId="18709"/>
    <cellStyle name="Normal 5 2 2 2 2 10" xfId="18710"/>
    <cellStyle name="Nota 3 2 2 2 2 10" xfId="18711"/>
    <cellStyle name="20% - Ênfase1 2 2 2 2 2 10" xfId="18712"/>
    <cellStyle name="40% - Ênfase1 2 2 2 2 2 10" xfId="18713"/>
    <cellStyle name="20% - Ênfase2 2 2 2 2 2 10" xfId="18714"/>
    <cellStyle name="40% - Ênfase2 2 2 2 2 2 10" xfId="18715"/>
    <cellStyle name="20% - Ênfase3 2 2 2 2 2 10" xfId="18716"/>
    <cellStyle name="40% - Ênfase3 2 2 2 2 2 10" xfId="18717"/>
    <cellStyle name="20% - Ênfase4 2 2 2 2 2 10" xfId="18718"/>
    <cellStyle name="40% - Ênfase4 2 2 2 2 2 10" xfId="18719"/>
    <cellStyle name="20% - Ênfase5 2 2 2 2 2 10" xfId="18720"/>
    <cellStyle name="40% - Ênfase5 2 2 2 2 2 10" xfId="18721"/>
    <cellStyle name="20% - Ênfase6 2 2 2 2 2 10" xfId="18722"/>
    <cellStyle name="40% - Ênfase6 2 2 2 2 2 10" xfId="18723"/>
    <cellStyle name="Normal 7 2 2 2 2 10" xfId="18724"/>
    <cellStyle name="Nota 4 3 2 2 10" xfId="18725"/>
    <cellStyle name="20% - Ênfase1 3 3 2 2 10" xfId="18726"/>
    <cellStyle name="40% - Ênfase1 3 3 2 2 10" xfId="18727"/>
    <cellStyle name="20% - Ênfase2 3 3 2 2 10" xfId="18728"/>
    <cellStyle name="40% - Ênfase2 3 3 2 2 10" xfId="18729"/>
    <cellStyle name="20% - Ênfase3 3 3 2 2 10" xfId="18730"/>
    <cellStyle name="40% - Ênfase3 3 3 2 2 10" xfId="18731"/>
    <cellStyle name="20% - Ênfase4 3 3 2 2 10" xfId="18732"/>
    <cellStyle name="40% - Ênfase4 3 3 2 2 10" xfId="18733"/>
    <cellStyle name="20% - Ênfase5 3 3 2 2 10" xfId="18734"/>
    <cellStyle name="40% - Ênfase5 3 3 2 2 10" xfId="18735"/>
    <cellStyle name="20% - Ênfase6 3 3 2 2 10" xfId="18736"/>
    <cellStyle name="40% - Ênfase6 3 3 2 2 10" xfId="18737"/>
    <cellStyle name="Normal 8 3 2 3 10" xfId="18738"/>
    <cellStyle name="Nota 5 3 2 2 10" xfId="18739"/>
    <cellStyle name="20% - Ênfase1 4 3 2 2 10" xfId="18740"/>
    <cellStyle name="40% - Ênfase1 4 3 2 2 10" xfId="18741"/>
    <cellStyle name="20% - Ênfase2 4 3 2 2 10" xfId="18742"/>
    <cellStyle name="40% - Ênfase2 4 3 2 2 10" xfId="18743"/>
    <cellStyle name="20% - Ênfase3 4 3 2 2 10" xfId="18744"/>
    <cellStyle name="40% - Ênfase3 4 3 2 2 10" xfId="18745"/>
    <cellStyle name="20% - Ênfase4 4 3 2 2 10" xfId="18746"/>
    <cellStyle name="40% - Ênfase4 4 3 2 2 10" xfId="18747"/>
    <cellStyle name="20% - Ênfase5 4 3 2 2 10" xfId="18748"/>
    <cellStyle name="40% - Ênfase5 4 3 2 2 10" xfId="18749"/>
    <cellStyle name="20% - Ênfase6 4 3 2 2 10" xfId="18750"/>
    <cellStyle name="40% - Ênfase6 4 3 2 2 10" xfId="18751"/>
    <cellStyle name="20% - Ênfase1 6 2 2 2 10" xfId="18752"/>
    <cellStyle name="40% - Ênfase1 6 2 2 2 10" xfId="18753"/>
    <cellStyle name="20% - Ênfase2 6 2 2 2 10" xfId="18754"/>
    <cellStyle name="40% - Ênfase2 6 2 2 2 10" xfId="18755"/>
    <cellStyle name="20% - Ênfase3 6 2 2 2 10" xfId="18756"/>
    <cellStyle name="40% - Ênfase3 6 2 2 2 10" xfId="18757"/>
    <cellStyle name="20% - Ênfase4 6 2 2 2 10" xfId="18758"/>
    <cellStyle name="40% - Ênfase4 6 2 2 2 10" xfId="18759"/>
    <cellStyle name="20% - Ênfase5 6 2 2 2 10" xfId="18760"/>
    <cellStyle name="40% - Ênfase5 6 2 2 2 10" xfId="18761"/>
    <cellStyle name="20% - Ênfase6 6 2 2 2 10" xfId="18762"/>
    <cellStyle name="40% - Ênfase6 6 2 2 2 10" xfId="18763"/>
    <cellStyle name="Normal 4 3 2 2 2 10" xfId="18764"/>
    <cellStyle name="Nota 2 3 2 2 2 10" xfId="18765"/>
    <cellStyle name="Normal 5 3 2 2 2 10" xfId="18766"/>
    <cellStyle name="Nota 3 3 2 2 2 10" xfId="18767"/>
    <cellStyle name="20% - Ênfase1 2 3 2 2 2 10" xfId="18768"/>
    <cellStyle name="40% - Ênfase1 2 3 2 2 2 10" xfId="18769"/>
    <cellStyle name="20% - Ênfase2 2 3 2 2 2 10" xfId="18770"/>
    <cellStyle name="40% - Ênfase2 2 3 2 2 2 10" xfId="18771"/>
    <cellStyle name="20% - Ênfase3 2 3 2 2 2 10" xfId="18772"/>
    <cellStyle name="40% - Ênfase3 2 3 2 2 2 10" xfId="18773"/>
    <cellStyle name="20% - Ênfase4 2 3 2 2 2 10" xfId="18774"/>
    <cellStyle name="40% - Ênfase4 2 3 2 2 2 10" xfId="18775"/>
    <cellStyle name="20% - Ênfase5 2 3 2 2 2 10" xfId="18776"/>
    <cellStyle name="40% - Ênfase5 2 3 2 2 2 10" xfId="18777"/>
    <cellStyle name="20% - Ênfase6 2 3 2 2 2 10" xfId="18778"/>
    <cellStyle name="40% - Ênfase6 2 3 2 2 2 10" xfId="18779"/>
    <cellStyle name="Normal 7 3 2 2 2 10" xfId="18780"/>
    <cellStyle name="Nota 4 2 2 2 2 10" xfId="18781"/>
    <cellStyle name="20% - Ênfase1 3 2 2 2 2 10" xfId="18782"/>
    <cellStyle name="40% - Ênfase1 3 2 2 2 2 10" xfId="18783"/>
    <cellStyle name="20% - Ênfase2 3 2 2 2 2 10" xfId="18784"/>
    <cellStyle name="40% - Ênfase2 3 2 2 2 2 10" xfId="18785"/>
    <cellStyle name="20% - Ênfase3 3 2 2 2 2 10" xfId="18786"/>
    <cellStyle name="40% - Ênfase3 3 2 2 2 2 10" xfId="18787"/>
    <cellStyle name="20% - Ênfase4 3 2 2 2 2 10" xfId="18788"/>
    <cellStyle name="40% - Ênfase4 3 2 2 2 2 10" xfId="18789"/>
    <cellStyle name="20% - Ênfase5 3 2 2 2 2 10" xfId="18790"/>
    <cellStyle name="40% - Ênfase5 3 2 2 2 2 10" xfId="18791"/>
    <cellStyle name="20% - Ênfase6 3 2 2 2 2 10" xfId="18792"/>
    <cellStyle name="40% - Ênfase6 3 2 2 2 2 10" xfId="18793"/>
    <cellStyle name="Normal 8 2 2 2 2 10" xfId="18794"/>
    <cellStyle name="Nota 5 2 2 2 2 10" xfId="18795"/>
    <cellStyle name="20% - Ênfase1 4 2 2 2 2 10" xfId="18796"/>
    <cellStyle name="40% - Ênfase1 4 2 2 2 2 10" xfId="18797"/>
    <cellStyle name="20% - Ênfase2 4 2 2 2 2 10" xfId="18798"/>
    <cellStyle name="40% - Ênfase2 4 2 2 2 2 10" xfId="18799"/>
    <cellStyle name="20% - Ênfase3 4 2 2 2 2 10" xfId="18800"/>
    <cellStyle name="40% - Ênfase3 4 2 2 2 2 10" xfId="18801"/>
    <cellStyle name="20% - Ênfase4 4 2 2 2 2 10" xfId="18802"/>
    <cellStyle name="40% - Ênfase4 4 2 2 2 2 10" xfId="18803"/>
    <cellStyle name="20% - Ênfase5 4 2 2 2 2 10" xfId="18804"/>
    <cellStyle name="40% - Ênfase5 4 2 2 2 2 10" xfId="18805"/>
    <cellStyle name="20% - Ênfase6 4 2 2 2 2 10" xfId="18806"/>
    <cellStyle name="40% - Ênfase6 4 2 2 2 2 10" xfId="18807"/>
    <cellStyle name="Normal 3 5 2 10" xfId="18808"/>
    <cellStyle name="20% - Ênfase1 5 4 2 10" xfId="18809"/>
    <cellStyle name="40% - Ênfase1 5 4 2 10" xfId="18810"/>
    <cellStyle name="20% - Ênfase2 5 4 2 10" xfId="18811"/>
    <cellStyle name="40% - Ênfase2 5 4 2 10" xfId="18812"/>
    <cellStyle name="20% - Ênfase3 5 4 2 10" xfId="18813"/>
    <cellStyle name="40% - Ênfase3 5 4 2 10" xfId="18814"/>
    <cellStyle name="20% - Ênfase4 5 4 2 10" xfId="18815"/>
    <cellStyle name="40% - Ênfase4 5 4 2 10" xfId="18816"/>
    <cellStyle name="20% - Ênfase5 5 4 2 10" xfId="18817"/>
    <cellStyle name="40% - Ênfase5 5 4 2 10" xfId="18818"/>
    <cellStyle name="20% - Ênfase6 5 4 2 10" xfId="18819"/>
    <cellStyle name="40% - Ênfase6 5 4 2 10" xfId="18820"/>
    <cellStyle name="Normal 4 2 4 2 10" xfId="18821"/>
    <cellStyle name="Nota 2 2 4 2 10" xfId="18822"/>
    <cellStyle name="Normal 5 2 4 2 10" xfId="18823"/>
    <cellStyle name="Nota 3 2 4 2 10" xfId="18824"/>
    <cellStyle name="20% - Ênfase1 2 2 4 2 10" xfId="18825"/>
    <cellStyle name="40% - Ênfase1 2 2 4 2 10" xfId="18826"/>
    <cellStyle name="20% - Ênfase2 2 2 4 2 10" xfId="18827"/>
    <cellStyle name="40% - Ênfase2 2 2 4 2 10" xfId="18828"/>
    <cellStyle name="20% - Ênfase3 2 2 4 2 10" xfId="18829"/>
    <cellStyle name="40% - Ênfase3 2 2 4 2 10" xfId="18830"/>
    <cellStyle name="20% - Ênfase4 2 2 4 2 10" xfId="18831"/>
    <cellStyle name="40% - Ênfase4 2 2 4 2 10" xfId="18832"/>
    <cellStyle name="20% - Ênfase5 2 2 4 2 10" xfId="18833"/>
    <cellStyle name="40% - Ênfase5 2 2 4 2 10" xfId="18834"/>
    <cellStyle name="20% - Ênfase6 2 2 4 2 10" xfId="18835"/>
    <cellStyle name="40% - Ênfase6 2 2 4 2 10" xfId="18836"/>
    <cellStyle name="Normal 7 2 4 2 10" xfId="18837"/>
    <cellStyle name="Nota 4 6 2 10" xfId="18838"/>
    <cellStyle name="20% - Ênfase1 3 6 2 10" xfId="18839"/>
    <cellStyle name="40% - Ênfase1 3 6 2 10" xfId="18840"/>
    <cellStyle name="20% - Ênfase2 3 6 2 10" xfId="18841"/>
    <cellStyle name="40% - Ênfase2 3 6 2 10" xfId="18842"/>
    <cellStyle name="20% - Ênfase3 3 6 2 10" xfId="18843"/>
    <cellStyle name="40% - Ênfase3 3 6 2 10" xfId="18844"/>
    <cellStyle name="20% - Ênfase4 3 6 2 10" xfId="18845"/>
    <cellStyle name="40% - Ênfase4 3 6 2 10" xfId="18846"/>
    <cellStyle name="20% - Ênfase5 3 6 2 10" xfId="18847"/>
    <cellStyle name="40% - Ênfase5 3 6 2 10" xfId="18848"/>
    <cellStyle name="20% - Ênfase6 3 6 2 10" xfId="18849"/>
    <cellStyle name="40% - Ênfase6 3 6 2 10" xfId="18850"/>
    <cellStyle name="Normal 8 6 3 10" xfId="18851"/>
    <cellStyle name="Nota 5 6 2 10" xfId="18852"/>
    <cellStyle name="20% - Ênfase1 4 6 2 10" xfId="18853"/>
    <cellStyle name="40% - Ênfase1 4 6 2 10" xfId="18854"/>
    <cellStyle name="20% - Ênfase2 4 6 2 10" xfId="18855"/>
    <cellStyle name="40% - Ênfase2 4 6 2 10" xfId="18856"/>
    <cellStyle name="20% - Ênfase3 4 6 2 10" xfId="18857"/>
    <cellStyle name="40% - Ênfase3 4 6 2 10" xfId="18858"/>
    <cellStyle name="20% - Ênfase4 4 6 2 10" xfId="18859"/>
    <cellStyle name="40% - Ênfase4 4 6 2 10" xfId="18860"/>
    <cellStyle name="20% - Ênfase5 4 6 2 10" xfId="18861"/>
    <cellStyle name="40% - Ênfase5 4 6 2 10" xfId="18862"/>
    <cellStyle name="20% - Ênfase6 4 6 2 10" xfId="18863"/>
    <cellStyle name="40% - Ênfase6 4 6 2 10" xfId="18864"/>
    <cellStyle name="20% - Ênfase1 6 4 2 10" xfId="18865"/>
    <cellStyle name="40% - Ênfase1 6 4 2 10" xfId="18866"/>
    <cellStyle name="20% - Ênfase2 6 4 2 10" xfId="18867"/>
    <cellStyle name="40% - Ênfase2 6 4 2 10" xfId="18868"/>
    <cellStyle name="20% - Ênfase3 6 4 2 10" xfId="18869"/>
    <cellStyle name="40% - Ênfase3 6 4 2 10" xfId="18870"/>
    <cellStyle name="20% - Ênfase4 6 4 2 10" xfId="18871"/>
    <cellStyle name="40% - Ênfase4 6 4 2 10" xfId="18872"/>
    <cellStyle name="20% - Ênfase5 6 4 2 10" xfId="18873"/>
    <cellStyle name="40% - Ênfase5 6 4 2 10" xfId="18874"/>
    <cellStyle name="20% - Ênfase6 6 4 2 10" xfId="18875"/>
    <cellStyle name="40% - Ênfase6 6 4 2 10" xfId="18876"/>
    <cellStyle name="Normal 4 3 4 2 10" xfId="18877"/>
    <cellStyle name="Nota 2 3 4 2 10" xfId="18878"/>
    <cellStyle name="Normal 5 3 4 2 10" xfId="18879"/>
    <cellStyle name="Nota 3 3 4 2 10" xfId="18880"/>
    <cellStyle name="20% - Ênfase1 2 3 4 2 10" xfId="18881"/>
    <cellStyle name="40% - Ênfase1 2 3 4 2 10" xfId="18882"/>
    <cellStyle name="20% - Ênfase2 2 3 4 2 10" xfId="18883"/>
    <cellStyle name="40% - Ênfase2 2 3 4 2 10" xfId="18884"/>
    <cellStyle name="20% - Ênfase3 2 3 4 2 10" xfId="18885"/>
    <cellStyle name="40% - Ênfase3 2 3 4 2 10" xfId="18886"/>
    <cellStyle name="20% - Ênfase4 2 3 4 2 10" xfId="18887"/>
    <cellStyle name="40% - Ênfase4 2 3 4 2 10" xfId="18888"/>
    <cellStyle name="20% - Ênfase5 2 3 4 2 10" xfId="18889"/>
    <cellStyle name="40% - Ênfase5 2 3 4 2 10" xfId="18890"/>
    <cellStyle name="20% - Ênfase6 2 3 4 2 10" xfId="18891"/>
    <cellStyle name="40% - Ênfase6 2 3 4 2 10" xfId="18892"/>
    <cellStyle name="Normal 7 3 4 2 10" xfId="18893"/>
    <cellStyle name="Nota 4 2 4 2 10" xfId="18894"/>
    <cellStyle name="20% - Ênfase1 3 2 4 2 10" xfId="18895"/>
    <cellStyle name="40% - Ênfase1 3 2 4 2 10" xfId="18896"/>
    <cellStyle name="20% - Ênfase2 3 2 4 2 10" xfId="18897"/>
    <cellStyle name="40% - Ênfase2 3 2 4 2 10" xfId="18898"/>
    <cellStyle name="20% - Ênfase3 3 2 4 2 10" xfId="18899"/>
    <cellStyle name="40% - Ênfase3 3 2 4 2 10" xfId="18900"/>
    <cellStyle name="20% - Ênfase4 3 2 4 2 10" xfId="18901"/>
    <cellStyle name="40% - Ênfase4 3 2 4 2 10" xfId="18902"/>
    <cellStyle name="20% - Ênfase5 3 2 4 2 10" xfId="18903"/>
    <cellStyle name="40% - Ênfase5 3 2 4 2 10" xfId="18904"/>
    <cellStyle name="20% - Ênfase6 3 2 4 2 10" xfId="18905"/>
    <cellStyle name="40% - Ênfase6 3 2 4 2 10" xfId="18906"/>
    <cellStyle name="Normal 8 2 4 2 10" xfId="18907"/>
    <cellStyle name="Nota 5 2 4 2 10" xfId="18908"/>
    <cellStyle name="20% - Ênfase1 4 2 4 2 10" xfId="18909"/>
    <cellStyle name="40% - Ênfase1 4 2 4 2 10" xfId="18910"/>
    <cellStyle name="20% - Ênfase2 4 2 4 2 10" xfId="18911"/>
    <cellStyle name="40% - Ênfase2 4 2 4 2 10" xfId="18912"/>
    <cellStyle name="20% - Ênfase3 4 2 4 2 10" xfId="18913"/>
    <cellStyle name="40% - Ênfase3 4 2 4 2 10" xfId="18914"/>
    <cellStyle name="20% - Ênfase4 4 2 4 2 10" xfId="18915"/>
    <cellStyle name="40% - Ênfase4 4 2 4 2 10" xfId="18916"/>
    <cellStyle name="20% - Ênfase5 4 2 4 2 10" xfId="18917"/>
    <cellStyle name="40% - Ênfase5 4 2 4 2 10" xfId="18918"/>
    <cellStyle name="20% - Ênfase6 4 2 4 2 10" xfId="18919"/>
    <cellStyle name="40% - Ênfase6 4 2 4 2 10" xfId="18920"/>
    <cellStyle name="20% - Ênfase1 8 3 2 10" xfId="18921"/>
    <cellStyle name="40% - Ênfase1 8 3 2 10" xfId="18922"/>
    <cellStyle name="20% - Ênfase2 8 3 2 10" xfId="18923"/>
    <cellStyle name="40% - Ênfase2 8 3 2 10" xfId="18924"/>
    <cellStyle name="20% - Ênfase3 8 3 2 10" xfId="18925"/>
    <cellStyle name="40% - Ênfase3 8 3 2 10" xfId="18926"/>
    <cellStyle name="20% - Ênfase4 8 3 2 10" xfId="18927"/>
    <cellStyle name="40% - Ênfase4 8 3 2 10" xfId="18928"/>
    <cellStyle name="20% - Ênfase5 8 3 2 10" xfId="18929"/>
    <cellStyle name="40% - Ênfase5 8 3 2 10" xfId="18930"/>
    <cellStyle name="20% - Ênfase6 8 3 2 10" xfId="18931"/>
    <cellStyle name="40% - Ênfase6 8 3 2 10" xfId="18932"/>
    <cellStyle name="Normal 4 5 3 2 10" xfId="18933"/>
    <cellStyle name="Nota 2 5 3 2 10" xfId="18934"/>
    <cellStyle name="Normal 5 5 3 2 10" xfId="18935"/>
    <cellStyle name="Nota 3 5 3 2 10" xfId="18936"/>
    <cellStyle name="20% - Ênfase1 2 5 3 2 10" xfId="18937"/>
    <cellStyle name="40% - Ênfase1 2 5 3 2 10" xfId="18938"/>
    <cellStyle name="20% - Ênfase2 2 5 3 2 10" xfId="18939"/>
    <cellStyle name="40% - Ênfase2 2 5 3 2 10" xfId="18940"/>
    <cellStyle name="20% - Ênfase3 2 5 3 2 10" xfId="18941"/>
    <cellStyle name="40% - Ênfase3 2 5 3 2 10" xfId="18942"/>
    <cellStyle name="20% - Ênfase4 2 5 3 2 10" xfId="18943"/>
    <cellStyle name="40% - Ênfase4 2 5 3 2 10" xfId="18944"/>
    <cellStyle name="20% - Ênfase5 2 5 3 2 10" xfId="18945"/>
    <cellStyle name="40% - Ênfase5 2 5 3 2 10" xfId="18946"/>
    <cellStyle name="20% - Ênfase6 2 5 3 2 10" xfId="18947"/>
    <cellStyle name="40% - Ênfase6 2 5 3 2 10" xfId="18948"/>
    <cellStyle name="Normal 7 5 3 2 10" xfId="18949"/>
    <cellStyle name="Nota 4 4 3 2 10" xfId="18950"/>
    <cellStyle name="20% - Ênfase1 3 4 3 2 10" xfId="18951"/>
    <cellStyle name="40% - Ênfase1 3 4 3 2 10" xfId="18952"/>
    <cellStyle name="20% - Ênfase2 3 4 3 2 10" xfId="18953"/>
    <cellStyle name="40% - Ênfase2 3 4 3 2 10" xfId="18954"/>
    <cellStyle name="20% - Ênfase3 3 4 3 2 10" xfId="18955"/>
    <cellStyle name="40% - Ênfase3 3 4 3 2 10" xfId="18956"/>
    <cellStyle name="20% - Ênfase4 3 4 3 2 10" xfId="18957"/>
    <cellStyle name="40% - Ênfase4 3 4 3 2 10" xfId="18958"/>
    <cellStyle name="20% - Ênfase5 3 4 3 2 10" xfId="18959"/>
    <cellStyle name="40% - Ênfase5 3 4 3 2 10" xfId="18960"/>
    <cellStyle name="20% - Ênfase6 3 4 3 2 10" xfId="18961"/>
    <cellStyle name="40% - Ênfase6 3 4 3 2 10" xfId="18962"/>
    <cellStyle name="Normal 8 4 3 2 10" xfId="18963"/>
    <cellStyle name="Nota 5 4 3 2 10" xfId="18964"/>
    <cellStyle name="20% - Ênfase1 4 4 3 2 10" xfId="18965"/>
    <cellStyle name="40% - Ênfase1 4 4 3 2 10" xfId="18966"/>
    <cellStyle name="20% - Ênfase2 4 4 3 2 10" xfId="18967"/>
    <cellStyle name="40% - Ênfase2 4 4 3 2 10" xfId="18968"/>
    <cellStyle name="20% - Ênfase3 4 4 3 2 10" xfId="18969"/>
    <cellStyle name="40% - Ênfase3 4 4 3 2 10" xfId="18970"/>
    <cellStyle name="20% - Ênfase4 4 4 3 2 10" xfId="18971"/>
    <cellStyle name="40% - Ênfase4 4 4 3 2 10" xfId="18972"/>
    <cellStyle name="20% - Ênfase5 4 4 3 2 10" xfId="18973"/>
    <cellStyle name="40% - Ênfase5 4 4 3 2 10" xfId="18974"/>
    <cellStyle name="20% - Ênfase6 4 4 3 2 10" xfId="18975"/>
    <cellStyle name="40% - Ênfase6 4 4 3 2 10" xfId="18976"/>
    <cellStyle name="Normal 3 3 3 2 10" xfId="18977"/>
    <cellStyle name="20% - Ênfase1 5 2 3 2 10" xfId="18978"/>
    <cellStyle name="40% - Ênfase1 5 2 3 2 10" xfId="18979"/>
    <cellStyle name="20% - Ênfase2 5 2 3 2 10" xfId="18980"/>
    <cellStyle name="40% - Ênfase2 5 2 3 2 10" xfId="18981"/>
    <cellStyle name="20% - Ênfase3 5 2 3 2 10" xfId="18982"/>
    <cellStyle name="40% - Ênfase3 5 2 3 2 10" xfId="18983"/>
    <cellStyle name="20% - Ênfase4 5 2 3 2 10" xfId="18984"/>
    <cellStyle name="40% - Ênfase4 5 2 3 2 10" xfId="18985"/>
    <cellStyle name="20% - Ênfase5 5 2 3 2 10" xfId="18986"/>
    <cellStyle name="40% - Ênfase5 5 2 3 2 10" xfId="18987"/>
    <cellStyle name="20% - Ênfase6 5 2 3 2 10" xfId="18988"/>
    <cellStyle name="40% - Ênfase6 5 2 3 2 10" xfId="18989"/>
    <cellStyle name="Normal 4 2 2 3 2 10" xfId="18990"/>
    <cellStyle name="Nota 2 2 2 3 2 10" xfId="18991"/>
    <cellStyle name="Normal 5 2 2 3 2 10" xfId="18992"/>
    <cellStyle name="Nota 3 2 2 3 2 10" xfId="18993"/>
    <cellStyle name="20% - Ênfase1 2 2 2 3 2 10" xfId="18994"/>
    <cellStyle name="40% - Ênfase1 2 2 2 3 2 10" xfId="18995"/>
    <cellStyle name="20% - Ênfase2 2 2 2 3 2 10" xfId="18996"/>
    <cellStyle name="40% - Ênfase2 2 2 2 3 2 10" xfId="18997"/>
    <cellStyle name="20% - Ênfase3 2 2 2 3 2 10" xfId="18998"/>
    <cellStyle name="40% - Ênfase3 2 2 2 3 2 10" xfId="18999"/>
    <cellStyle name="20% - Ênfase4 2 2 2 3 2 10" xfId="19000"/>
    <cellStyle name="40% - Ênfase4 2 2 2 3 2 10" xfId="19001"/>
    <cellStyle name="20% - Ênfase5 2 2 2 3 2 10" xfId="19002"/>
    <cellStyle name="40% - Ênfase5 2 2 2 3 2 10" xfId="19003"/>
    <cellStyle name="20% - Ênfase6 2 2 2 3 2 10" xfId="19004"/>
    <cellStyle name="40% - Ênfase6 2 2 2 3 2 10" xfId="19005"/>
    <cellStyle name="Normal 7 2 2 3 2 10" xfId="19006"/>
    <cellStyle name="Nota 4 3 3 2 10" xfId="19007"/>
    <cellStyle name="20% - Ênfase1 3 3 3 2 10" xfId="19008"/>
    <cellStyle name="40% - Ênfase1 3 3 3 2 10" xfId="19009"/>
    <cellStyle name="20% - Ênfase2 3 3 3 2 10" xfId="19010"/>
    <cellStyle name="40% - Ênfase2 3 3 3 2 10" xfId="19011"/>
    <cellStyle name="20% - Ênfase3 3 3 3 2 10" xfId="19012"/>
    <cellStyle name="40% - Ênfase3 3 3 3 2 10" xfId="19013"/>
    <cellStyle name="20% - Ênfase4 3 3 3 2 10" xfId="19014"/>
    <cellStyle name="40% - Ênfase4 3 3 3 2 10" xfId="19015"/>
    <cellStyle name="20% - Ênfase5 3 3 3 2 10" xfId="19016"/>
    <cellStyle name="40% - Ênfase5 3 3 3 2 10" xfId="19017"/>
    <cellStyle name="20% - Ênfase6 3 3 3 2 10" xfId="19018"/>
    <cellStyle name="40% - Ênfase6 3 3 3 2 10" xfId="19019"/>
    <cellStyle name="Normal 8 3 3 2 10" xfId="19020"/>
    <cellStyle name="Nota 5 3 3 2 10" xfId="19021"/>
    <cellStyle name="20% - Ênfase1 4 3 3 2 10" xfId="19022"/>
    <cellStyle name="40% - Ênfase1 4 3 3 2 10" xfId="19023"/>
    <cellStyle name="20% - Ênfase2 4 3 3 2 10" xfId="19024"/>
    <cellStyle name="40% - Ênfase2 4 3 3 2 10" xfId="19025"/>
    <cellStyle name="20% - Ênfase3 4 3 3 2 10" xfId="19026"/>
    <cellStyle name="40% - Ênfase3 4 3 3 2 10" xfId="19027"/>
    <cellStyle name="20% - Ênfase4 4 3 3 2 10" xfId="19028"/>
    <cellStyle name="40% - Ênfase4 4 3 3 2 10" xfId="19029"/>
    <cellStyle name="20% - Ênfase5 4 3 3 2 10" xfId="19030"/>
    <cellStyle name="40% - Ênfase5 4 3 3 2 10" xfId="19031"/>
    <cellStyle name="20% - Ênfase6 4 3 3 2 10" xfId="19032"/>
    <cellStyle name="40% - Ênfase6 4 3 3 2 10" xfId="19033"/>
    <cellStyle name="20% - Ênfase1 6 2 3 2 10" xfId="19034"/>
    <cellStyle name="40% - Ênfase1 6 2 3 2 10" xfId="19035"/>
    <cellStyle name="20% - Ênfase2 6 2 3 2 10" xfId="19036"/>
    <cellStyle name="40% - Ênfase2 6 2 3 2 10" xfId="19037"/>
    <cellStyle name="20% - Ênfase3 6 2 3 2 10" xfId="19038"/>
    <cellStyle name="40% - Ênfase3 6 2 3 2 10" xfId="19039"/>
    <cellStyle name="20% - Ênfase4 6 2 3 2 10" xfId="19040"/>
    <cellStyle name="40% - Ênfase4 6 2 3 2 10" xfId="19041"/>
    <cellStyle name="20% - Ênfase5 6 2 3 2 10" xfId="19042"/>
    <cellStyle name="40% - Ênfase5 6 2 3 2 10" xfId="19043"/>
    <cellStyle name="20% - Ênfase6 6 2 3 2 10" xfId="19044"/>
    <cellStyle name="40% - Ênfase6 6 2 3 2 10" xfId="19045"/>
    <cellStyle name="Normal 4 3 2 3 2 10" xfId="19046"/>
    <cellStyle name="Nota 2 3 2 3 2 10" xfId="19047"/>
    <cellStyle name="Normal 5 3 2 3 2 10" xfId="19048"/>
    <cellStyle name="Nota 3 3 2 3 2 10" xfId="19049"/>
    <cellStyle name="20% - Ênfase1 2 3 2 3 2 10" xfId="19050"/>
    <cellStyle name="40% - Ênfase1 2 3 2 3 2 10" xfId="19051"/>
    <cellStyle name="20% - Ênfase2 2 3 2 3 2 10" xfId="19052"/>
    <cellStyle name="40% - Ênfase2 2 3 2 3 2 10" xfId="19053"/>
    <cellStyle name="20% - Ênfase3 2 3 2 3 2 10" xfId="19054"/>
    <cellStyle name="40% - Ênfase3 2 3 2 3 2 10" xfId="19055"/>
    <cellStyle name="20% - Ênfase4 2 3 2 3 2 10" xfId="19056"/>
    <cellStyle name="40% - Ênfase4 2 3 2 3 2 10" xfId="19057"/>
    <cellStyle name="20% - Ênfase5 2 3 2 3 2 10" xfId="19058"/>
    <cellStyle name="40% - Ênfase5 2 3 2 3 2 10" xfId="19059"/>
    <cellStyle name="20% - Ênfase6 2 3 2 3 2 10" xfId="19060"/>
    <cellStyle name="40% - Ênfase6 2 3 2 3 2 10" xfId="19061"/>
    <cellStyle name="Normal 7 3 2 3 2 10" xfId="19062"/>
    <cellStyle name="Nota 4 2 2 3 2 10" xfId="19063"/>
    <cellStyle name="20% - Ênfase1 3 2 2 3 2 10" xfId="19064"/>
    <cellStyle name="40% - Ênfase1 3 2 2 3 2 10" xfId="19065"/>
    <cellStyle name="20% - Ênfase2 3 2 2 3 2 10" xfId="19066"/>
    <cellStyle name="40% - Ênfase2 3 2 2 3 2 10" xfId="19067"/>
    <cellStyle name="20% - Ênfase3 3 2 2 3 2 10" xfId="19068"/>
    <cellStyle name="40% - Ênfase3 3 2 2 3 2 10" xfId="19069"/>
    <cellStyle name="20% - Ênfase4 3 2 2 3 2 10" xfId="19070"/>
    <cellStyle name="40% - Ênfase4 3 2 2 3 2 10" xfId="19071"/>
    <cellStyle name="20% - Ênfase5 3 2 2 3 2 10" xfId="19072"/>
    <cellStyle name="40% - Ênfase5 3 2 2 3 2 10" xfId="19073"/>
    <cellStyle name="20% - Ênfase6 3 2 2 3 2 10" xfId="19074"/>
    <cellStyle name="40% - Ênfase6 3 2 2 3 2 10" xfId="19075"/>
    <cellStyle name="Normal 8 2 2 3 2 10" xfId="19076"/>
    <cellStyle name="Nota 5 2 2 3 2 10" xfId="19077"/>
    <cellStyle name="20% - Ênfase1 4 2 2 3 2 10" xfId="19078"/>
    <cellStyle name="40% - Ênfase1 4 2 2 3 2 10" xfId="19079"/>
    <cellStyle name="20% - Ênfase2 4 2 2 3 2 10" xfId="19080"/>
    <cellStyle name="40% - Ênfase2 4 2 2 3 2 10" xfId="19081"/>
    <cellStyle name="20% - Ênfase3 4 2 2 3 2 10" xfId="19082"/>
    <cellStyle name="40% - Ênfase3 4 2 2 3 2 10" xfId="19083"/>
    <cellStyle name="20% - Ênfase4 4 2 2 3 2 10" xfId="19084"/>
    <cellStyle name="40% - Ênfase4 4 2 2 3 2 10" xfId="19085"/>
    <cellStyle name="20% - Ênfase5 4 2 2 3 2 10" xfId="19086"/>
    <cellStyle name="40% - Ênfase5 4 2 2 3 2 10" xfId="19087"/>
    <cellStyle name="20% - Ênfase6 4 2 2 3 2 10" xfId="19088"/>
    <cellStyle name="40% - Ênfase6 4 2 2 3 2 10" xfId="19089"/>
    <cellStyle name="Normal 3 6 2 10" xfId="19090"/>
    <cellStyle name="20% - Ênfase1 5 5 2 10" xfId="19091"/>
    <cellStyle name="40% - Ênfase1 5 5 2 10" xfId="19092"/>
    <cellStyle name="20% - Ênfase2 5 5 2 10" xfId="19093"/>
    <cellStyle name="40% - Ênfase2 5 5 2 10" xfId="19094"/>
    <cellStyle name="20% - Ênfase3 5 5 2 10" xfId="19095"/>
    <cellStyle name="40% - Ênfase3 5 5 2 10" xfId="19096"/>
    <cellStyle name="20% - Ênfase4 5 5 2 10" xfId="19097"/>
    <cellStyle name="40% - Ênfase4 5 5 2 10" xfId="19098"/>
    <cellStyle name="20% - Ênfase5 5 5 2 10" xfId="19099"/>
    <cellStyle name="40% - Ênfase5 5 5 2 10" xfId="19100"/>
    <cellStyle name="20% - Ênfase6 5 5 2 10" xfId="19101"/>
    <cellStyle name="40% - Ênfase6 5 5 2 10" xfId="19102"/>
    <cellStyle name="Normal 4 2 5 2 10" xfId="19103"/>
    <cellStyle name="Nota 2 2 5 2 10" xfId="19104"/>
    <cellStyle name="Normal 5 2 5 2 10" xfId="19105"/>
    <cellStyle name="Nota 3 2 5 2 10" xfId="19106"/>
    <cellStyle name="20% - Ênfase1 2 2 5 2 10" xfId="19107"/>
    <cellStyle name="40% - Ênfase1 2 2 5 2 10" xfId="19108"/>
    <cellStyle name="20% - Ênfase2 2 2 5 2 10" xfId="19109"/>
    <cellStyle name="40% - Ênfase2 2 2 5 2 10" xfId="19110"/>
    <cellStyle name="20% - Ênfase3 2 2 5 2 10" xfId="19111"/>
    <cellStyle name="40% - Ênfase3 2 2 5 2 10" xfId="19112"/>
    <cellStyle name="20% - Ênfase4 2 2 5 2 10" xfId="19113"/>
    <cellStyle name="40% - Ênfase4 2 2 5 2 10" xfId="19114"/>
    <cellStyle name="20% - Ênfase5 2 2 5 2 10" xfId="19115"/>
    <cellStyle name="40% - Ênfase5 2 2 5 2 10" xfId="19116"/>
    <cellStyle name="20% - Ênfase6 2 2 5 2 10" xfId="19117"/>
    <cellStyle name="40% - Ênfase6 2 2 5 2 10" xfId="19118"/>
    <cellStyle name="Normal 7 2 5 2 10" xfId="19119"/>
    <cellStyle name="Nota 4 7 2 10" xfId="19120"/>
    <cellStyle name="20% - Ênfase1 3 7 2 10" xfId="19121"/>
    <cellStyle name="40% - Ênfase1 3 7 2 10" xfId="19122"/>
    <cellStyle name="20% - Ênfase2 3 7 2 10" xfId="19123"/>
    <cellStyle name="40% - Ênfase2 3 7 2 10" xfId="19124"/>
    <cellStyle name="20% - Ênfase3 3 7 2 10" xfId="19125"/>
    <cellStyle name="40% - Ênfase3 3 7 2 10" xfId="19126"/>
    <cellStyle name="20% - Ênfase4 3 7 2 10" xfId="19127"/>
    <cellStyle name="40% - Ênfase4 3 7 2 10" xfId="19128"/>
    <cellStyle name="20% - Ênfase5 3 7 2 10" xfId="19129"/>
    <cellStyle name="40% - Ênfase5 3 7 2 10" xfId="19130"/>
    <cellStyle name="20% - Ênfase6 3 7 2 10" xfId="19131"/>
    <cellStyle name="40% - Ênfase6 3 7 2 10" xfId="19132"/>
    <cellStyle name="Normal 8 7 2 10" xfId="19133"/>
    <cellStyle name="Nota 5 7 2 10" xfId="19134"/>
    <cellStyle name="20% - Ênfase1 4 7 2 10" xfId="19135"/>
    <cellStyle name="40% - Ênfase1 4 7 2 10" xfId="19136"/>
    <cellStyle name="20% - Ênfase2 4 7 2 10" xfId="19137"/>
    <cellStyle name="40% - Ênfase2 4 7 2 10" xfId="19138"/>
    <cellStyle name="20% - Ênfase3 4 7 2 10" xfId="19139"/>
    <cellStyle name="40% - Ênfase3 4 7 2 10" xfId="19140"/>
    <cellStyle name="20% - Ênfase4 4 7 2 10" xfId="19141"/>
    <cellStyle name="40% - Ênfase4 4 7 2 10" xfId="19142"/>
    <cellStyle name="20% - Ênfase5 4 7 2 10" xfId="19143"/>
    <cellStyle name="40% - Ênfase5 4 7 2 10" xfId="19144"/>
    <cellStyle name="20% - Ênfase6 4 7 2 10" xfId="19145"/>
    <cellStyle name="40% - Ênfase6 4 7 2 10" xfId="19146"/>
    <cellStyle name="Normal 6 4 2 10" xfId="19147"/>
    <cellStyle name="Separador de milhares 7 2 2 10" xfId="19148"/>
    <cellStyle name="Normal 8 5 2 3 3" xfId="19149"/>
    <cellStyle name="Vírgula 20 6" xfId="19150"/>
    <cellStyle name="Separador de milhares 2 10 3" xfId="19151"/>
    <cellStyle name="Separador de milhares 3 7 3" xfId="19152"/>
    <cellStyle name="Separador de milhares 4 6 4" xfId="19153"/>
    <cellStyle name="Separador de milhares 5 6 4" xfId="19154"/>
    <cellStyle name="Separador de milhares 6 7 4" xfId="19155"/>
    <cellStyle name="Separador de milhares 7 5 3" xfId="19156"/>
    <cellStyle name="Normal 3 2 4 3" xfId="19157"/>
    <cellStyle name="Normal 6 8 4" xfId="19158"/>
    <cellStyle name="Comma 2 5 3" xfId="19159"/>
    <cellStyle name="Percent 2 5 3" xfId="19160"/>
    <cellStyle name="Separador de milhares 3 3 4 3" xfId="19161"/>
    <cellStyle name="Normal 6 2 4 3" xfId="19162"/>
    <cellStyle name="Comma 2 2 4 3" xfId="19163"/>
    <cellStyle name="Percent 2 2 3 3" xfId="19164"/>
    <cellStyle name="Normal 7 9 3" xfId="19165"/>
    <cellStyle name="Normal 8 13 3" xfId="19166"/>
    <cellStyle name="Comma 4 4 3" xfId="19167"/>
    <cellStyle name="Percent 3 4 3" xfId="19168"/>
    <cellStyle name="Normal 9 5 3" xfId="19169"/>
    <cellStyle name="Comma 5 4 3" xfId="19170"/>
    <cellStyle name="Normal 8 2 7 4" xfId="19171"/>
    <cellStyle name="Normal 8 3 6 4" xfId="19172"/>
    <cellStyle name="Normal 8 4 6 3" xfId="19173"/>
    <cellStyle name="Normal 8 5 6 3" xfId="19174"/>
    <cellStyle name="Normal 8 5 2 4 3" xfId="19175"/>
    <cellStyle name="Normal 7 2 8 4" xfId="19176"/>
    <cellStyle name="Vírgula 9 4 3" xfId="19177"/>
    <cellStyle name="Separador de milhares 2 2 5 4" xfId="19178"/>
    <cellStyle name="Separador de milhares 3 4 3 4" xfId="19179"/>
    <cellStyle name="Separador de milhares 4 3 3 4" xfId="19180"/>
    <cellStyle name="Separador de milhares 5 3 3 4" xfId="19181"/>
    <cellStyle name="Separador de milhares 6 3 3 4" xfId="19182"/>
    <cellStyle name="Separador de milhares 7 3 3 3" xfId="19183"/>
    <cellStyle name="Normal 3 2 2 3 3" xfId="19184"/>
    <cellStyle name="Normal 6 3 3 3" xfId="19185"/>
    <cellStyle name="Comma 2 3 3 3" xfId="19186"/>
    <cellStyle name="Percent 2 3 2 3" xfId="19187"/>
    <cellStyle name="Separador de milhares 3 3 2 3 3" xfId="19188"/>
    <cellStyle name="Normal 6 2 2 2 3" xfId="19189"/>
    <cellStyle name="Comma 2 2 2 2 3" xfId="19190"/>
    <cellStyle name="Percent 2 2 2 2 3" xfId="19191"/>
    <cellStyle name="Normal 7 3 7 4" xfId="19192"/>
    <cellStyle name="Comma 3 2 2 3" xfId="19193"/>
    <cellStyle name="Normal 8 6 4 3" xfId="19194"/>
    <cellStyle name="Comma 4 2 2 3" xfId="19195"/>
    <cellStyle name="Percent 3 2 2 3" xfId="19196"/>
    <cellStyle name="Normal 9 2 3 3" xfId="19197"/>
    <cellStyle name="Comma 5 2 2 3" xfId="19198"/>
    <cellStyle name="Normal 8 2 2 6 3" xfId="19199"/>
    <cellStyle name="Vírgula 13 2 2 3" xfId="19200"/>
    <cellStyle name="Vírgula 4 2 2 3 4" xfId="19201"/>
    <cellStyle name="Normal 8 3 2 4 3" xfId="19202"/>
    <cellStyle name="Normal 8 4 2 4 3" xfId="19203"/>
    <cellStyle name="Normal 8 5 3 2 3" xfId="19204"/>
    <cellStyle name="Normal 8 5 2 2 2 3" xfId="19205"/>
    <cellStyle name="Normal 7 2 2 6 3" xfId="19206"/>
    <cellStyle name="Vírgula 18 2 2 3" xfId="19207"/>
    <cellStyle name="Vírgula 12 2 2 3" xfId="19208"/>
    <cellStyle name="Normal 12 3 4" xfId="19209"/>
    <cellStyle name="Normal 3 8 2 3" xfId="19210"/>
    <cellStyle name="Percent 3 3 2 3" xfId="19211"/>
    <cellStyle name="Comma 2 4 2 3" xfId="19212"/>
    <cellStyle name="Comma 2 2 3 2 3" xfId="19213"/>
    <cellStyle name="Normal 6 7 2 3" xfId="19214"/>
    <cellStyle name="Normal 3 2 3 2 3" xfId="19215"/>
    <cellStyle name="Separador de milhares 2 9 2 3" xfId="19216"/>
    <cellStyle name="Normal 7 8 2 3" xfId="19217"/>
    <cellStyle name="Comma 2 3 2 2 3" xfId="19218"/>
    <cellStyle name="Separador de milhares 2 8 2 3" xfId="19219"/>
    <cellStyle name="Separador de milhares 3 6 2 3" xfId="19220"/>
    <cellStyle name="Separador de milhares 4 5 2 3" xfId="19221"/>
    <cellStyle name="Separador de milhares 5 5 2 4" xfId="19222"/>
    <cellStyle name="Separador de milhares 6 6 2 3" xfId="19223"/>
    <cellStyle name="Separador de milhares 7 4 2 3" xfId="19224"/>
    <cellStyle name="Comma 3 3 2 3" xfId="19225"/>
    <cellStyle name="Vírgula 7 2 2 4" xfId="19226"/>
    <cellStyle name="20% - Ênfase1 2 2 7 4" xfId="19227"/>
    <cellStyle name="20% - Ênfase1 2 2 2 5 4" xfId="19228"/>
    <cellStyle name="20% - Ênfase1 2 2 2 2 3 4" xfId="19229"/>
    <cellStyle name="20% - Ênfase1 2 2 2 3 3 4" xfId="19230"/>
    <cellStyle name="20% - Ênfase1 2 2 3 3 4" xfId="19231"/>
    <cellStyle name="20% - Ênfase1 2 2 4 3 4" xfId="19232"/>
    <cellStyle name="20% - Ênfase1 2 2 5 3 4" xfId="19233"/>
    <cellStyle name="20% - Ênfase1 2 3 6 4" xfId="19234"/>
    <cellStyle name="20% - Ênfase1 2 3 2 5 4" xfId="19235"/>
    <cellStyle name="20% - Ênfase1 2 3 2 2 3 4" xfId="19236"/>
    <cellStyle name="20% - Ênfase1 2 3 2 3 3 4" xfId="19237"/>
    <cellStyle name="20% - Ênfase1 2 3 3 3 4" xfId="19238"/>
    <cellStyle name="20% - Ênfase1 2 3 4 3 4" xfId="19239"/>
    <cellStyle name="20% - Ênfase1 2 5 5 4" xfId="19240"/>
    <cellStyle name="20% - Ênfase1 2 5 2 3 4" xfId="19241"/>
    <cellStyle name="20% - Ênfase1 2 5 3 3 4" xfId="19242"/>
    <cellStyle name="20% - Ênfase1 3 9 4" xfId="19243"/>
    <cellStyle name="20% - Ênfase1 3 2 6 4" xfId="19244"/>
    <cellStyle name="20% - Ênfase1 3 2 2 5 4" xfId="19245"/>
    <cellStyle name="20% - Ênfase1 3 2 2 2 3 4" xfId="19246"/>
    <cellStyle name="20% - Ênfase1 3 2 2 3 3 4" xfId="19247"/>
    <cellStyle name="20% - Ênfase1 3 2 3 3 4" xfId="19248"/>
    <cellStyle name="20% - Ênfase1 3 2 4 3 4" xfId="19249"/>
    <cellStyle name="20% - Ênfase1 3 3 5 4" xfId="19250"/>
    <cellStyle name="20% - Ênfase1 3 3 2 3 4" xfId="19251"/>
    <cellStyle name="20% - Ênfase1 3 3 3 3 4" xfId="19252"/>
    <cellStyle name="20% - Ênfase1 3 4 5 4" xfId="19253"/>
    <cellStyle name="20% - Ênfase1 3 4 2 3 4" xfId="19254"/>
    <cellStyle name="20% - Ênfase1 3 4 3 3 4" xfId="19255"/>
    <cellStyle name="20% - Ênfase1 3 5 3 4" xfId="19256"/>
    <cellStyle name="20% - Ênfase1 3 6 3 4" xfId="19257"/>
    <cellStyle name="20% - Ênfase1 3 7 3 4" xfId="19258"/>
    <cellStyle name="20% - Ênfase1 4 9 4" xfId="19259"/>
    <cellStyle name="20% - Ênfase1 4 2 6 4" xfId="19260"/>
    <cellStyle name="20% - Ênfase1 4 2 2 5 4" xfId="19261"/>
    <cellStyle name="20% - Ênfase1 4 2 2 2 3 4" xfId="19262"/>
    <cellStyle name="20% - Ênfase1 4 2 2 3 3 4" xfId="19263"/>
    <cellStyle name="20% - Ênfase1 4 2 3 3 4" xfId="19264"/>
    <cellStyle name="20% - Ênfase1 4 2 4 3 4" xfId="19265"/>
    <cellStyle name="20% - Ênfase1 4 3 5 4" xfId="19266"/>
    <cellStyle name="20% - Ênfase1 4 3 2 3 4" xfId="19267"/>
    <cellStyle name="20% - Ênfase1 4 3 3 3 4" xfId="19268"/>
    <cellStyle name="20% - Ênfase1 4 4 5 4" xfId="19269"/>
    <cellStyle name="20% - Ênfase1 4 4 2 3 4" xfId="19270"/>
    <cellStyle name="20% - Ênfase1 4 4 3 3 4" xfId="19271"/>
    <cellStyle name="20% - Ênfase1 4 5 3 4" xfId="19272"/>
    <cellStyle name="20% - Ênfase1 4 6 3 4" xfId="19273"/>
    <cellStyle name="20% - Ênfase1 4 7 3 4" xfId="19274"/>
    <cellStyle name="20% - Ênfase1 5 7 4" xfId="19275"/>
    <cellStyle name="20% - Ênfase1 5 2 5 4" xfId="19276"/>
    <cellStyle name="20% - Ênfase1 5 2 2 3 4" xfId="19277"/>
    <cellStyle name="20% - Ênfase1 5 2 3 3 4" xfId="19278"/>
    <cellStyle name="20% - Ênfase1 5 3 3 4" xfId="19279"/>
    <cellStyle name="20% - Ênfase1 5 4 3 4" xfId="19280"/>
    <cellStyle name="20% - Ênfase1 5 5 3 4" xfId="19281"/>
    <cellStyle name="20% - Ênfase1 6 6 4" xfId="19282"/>
    <cellStyle name="20% - Ênfase1 6 2 5 4" xfId="19283"/>
    <cellStyle name="20% - Ênfase1 6 2 2 3 4" xfId="19284"/>
    <cellStyle name="20% - Ênfase1 6 2 3 3 4" xfId="19285"/>
    <cellStyle name="20% - Ênfase1 6 3 3 4" xfId="19286"/>
    <cellStyle name="20% - Ênfase1 6 4 3 4" xfId="19287"/>
    <cellStyle name="20% - Ênfase1 8 5 4" xfId="19288"/>
    <cellStyle name="20% - Ênfase1 8 2 3 4" xfId="19289"/>
    <cellStyle name="20% - Ênfase1 8 3 3 4" xfId="19290"/>
    <cellStyle name="20% - Ênfase2 2 2 7 4" xfId="19291"/>
    <cellStyle name="20% - Ênfase2 2 2 2 5 4" xfId="19292"/>
    <cellStyle name="20% - Ênfase2 2 2 2 2 3 4" xfId="19293"/>
    <cellStyle name="20% - Ênfase2 2 2 2 3 3 4" xfId="19294"/>
    <cellStyle name="20% - Ênfase2 2 2 3 3 4" xfId="19295"/>
    <cellStyle name="20% - Ênfase2 2 2 4 3 4" xfId="19296"/>
    <cellStyle name="20% - Ênfase2 2 2 5 3 4" xfId="19297"/>
    <cellStyle name="20% - Ênfase2 2 3 6 4" xfId="19298"/>
    <cellStyle name="20% - Ênfase2 2 3 2 5 4" xfId="19299"/>
    <cellStyle name="20% - Ênfase2 2 3 2 2 3 4" xfId="19300"/>
    <cellStyle name="20% - Ênfase2 2 3 2 3 3 4" xfId="19301"/>
    <cellStyle name="20% - Ênfase2 2 3 3 3 4" xfId="19302"/>
    <cellStyle name="20% - Ênfase2 2 3 4 3 4" xfId="19303"/>
    <cellStyle name="20% - Ênfase2 2 5 5 4" xfId="19304"/>
    <cellStyle name="20% - Ênfase2 2 5 2 3 4" xfId="19305"/>
    <cellStyle name="20% - Ênfase2 2 5 3 3 4" xfId="19306"/>
    <cellStyle name="20% - Ênfase2 3 9 4" xfId="19307"/>
    <cellStyle name="20% - Ênfase2 3 2 6 4" xfId="19308"/>
    <cellStyle name="20% - Ênfase2 3 2 2 5 4" xfId="19309"/>
    <cellStyle name="20% - Ênfase2 3 2 2 2 3 4" xfId="19310"/>
    <cellStyle name="20% - Ênfase2 3 2 2 3 3 4" xfId="19311"/>
    <cellStyle name="20% - Ênfase2 3 2 3 3 4" xfId="19312"/>
    <cellStyle name="20% - Ênfase2 3 2 4 3 4" xfId="19313"/>
    <cellStyle name="20% - Ênfase2 3 3 5 4" xfId="19314"/>
    <cellStyle name="20% - Ênfase2 3 3 2 3 4" xfId="19315"/>
    <cellStyle name="20% - Ênfase2 3 3 3 3 4" xfId="19316"/>
    <cellStyle name="20% - Ênfase2 3 4 5 4" xfId="19317"/>
    <cellStyle name="20% - Ênfase2 3 4 2 3 4" xfId="19318"/>
    <cellStyle name="20% - Ênfase2 3 4 3 3 4" xfId="19319"/>
    <cellStyle name="20% - Ênfase2 3 5 3 4" xfId="19320"/>
    <cellStyle name="20% - Ênfase2 3 6 3 4" xfId="19321"/>
    <cellStyle name="20% - Ênfase2 3 7 3 4" xfId="19322"/>
    <cellStyle name="20% - Ênfase2 4 9 4" xfId="19323"/>
    <cellStyle name="20% - Ênfase2 4 2 6 4" xfId="19324"/>
    <cellStyle name="20% - Ênfase2 4 2 2 5 4" xfId="19325"/>
    <cellStyle name="20% - Ênfase2 4 2 2 2 3 4" xfId="19326"/>
    <cellStyle name="20% - Ênfase2 4 2 2 3 3 4" xfId="19327"/>
    <cellStyle name="20% - Ênfase2 4 2 3 3 4" xfId="19328"/>
    <cellStyle name="20% - Ênfase2 4 2 4 3 4" xfId="19329"/>
    <cellStyle name="20% - Ênfase2 4 3 5 4" xfId="19330"/>
    <cellStyle name="20% - Ênfase2 4 3 2 3 4" xfId="19331"/>
    <cellStyle name="20% - Ênfase2 4 3 3 3 4" xfId="19332"/>
    <cellStyle name="20% - Ênfase2 4 4 5 4" xfId="19333"/>
    <cellStyle name="20% - Ênfase2 4 4 2 3 4" xfId="19334"/>
    <cellStyle name="20% - Ênfase2 4 4 3 3 4" xfId="19335"/>
    <cellStyle name="20% - Ênfase2 4 5 3 4" xfId="19336"/>
    <cellStyle name="20% - Ênfase2 4 6 3 4" xfId="19337"/>
    <cellStyle name="20% - Ênfase2 4 7 3 4" xfId="19338"/>
    <cellStyle name="20% - Ênfase2 5 7 4" xfId="19339"/>
    <cellStyle name="20% - Ênfase2 5 2 5 4" xfId="19340"/>
    <cellStyle name="20% - Ênfase2 5 2 2 3 4" xfId="19341"/>
    <cellStyle name="20% - Ênfase2 5 2 3 3 4" xfId="19342"/>
    <cellStyle name="20% - Ênfase2 5 3 3 4" xfId="19343"/>
    <cellStyle name="20% - Ênfase2 5 4 3 4" xfId="19344"/>
    <cellStyle name="20% - Ênfase2 5 5 3 4" xfId="19345"/>
    <cellStyle name="20% - Ênfase2 6 6 4" xfId="19346"/>
    <cellStyle name="20% - Ênfase2 6 2 5 4" xfId="19347"/>
    <cellStyle name="20% - Ênfase2 6 2 2 3 4" xfId="19348"/>
    <cellStyle name="20% - Ênfase2 6 2 3 3 4" xfId="19349"/>
    <cellStyle name="20% - Ênfase2 6 3 3 4" xfId="19350"/>
    <cellStyle name="20% - Ênfase2 6 4 3 4" xfId="19351"/>
    <cellStyle name="20% - Ênfase2 8 5 4" xfId="19352"/>
    <cellStyle name="20% - Ênfase2 8 2 3 4" xfId="19353"/>
    <cellStyle name="20% - Ênfase2 8 3 3 4" xfId="19354"/>
    <cellStyle name="20% - Ênfase3 2 2 7 4" xfId="19355"/>
    <cellStyle name="20% - Ênfase3 2 2 2 5 4" xfId="19356"/>
    <cellStyle name="20% - Ênfase3 2 2 2 2 3 4" xfId="19357"/>
    <cellStyle name="20% - Ênfase3 2 2 2 3 3 4" xfId="19358"/>
    <cellStyle name="20% - Ênfase3 2 2 3 3 4" xfId="19359"/>
    <cellStyle name="20% - Ênfase3 2 2 4 3 4" xfId="19360"/>
    <cellStyle name="20% - Ênfase3 2 2 5 3 4" xfId="19361"/>
    <cellStyle name="20% - Ênfase3 2 3 6 4" xfId="19362"/>
    <cellStyle name="20% - Ênfase3 2 3 2 5 4" xfId="19363"/>
    <cellStyle name="20% - Ênfase3 2 3 2 2 3 4" xfId="19364"/>
    <cellStyle name="20% - Ênfase3 2 3 2 3 3 4" xfId="19365"/>
    <cellStyle name="20% - Ênfase3 2 3 3 3 4" xfId="19366"/>
    <cellStyle name="20% - Ênfase3 2 3 4 3 4" xfId="19367"/>
    <cellStyle name="20% - Ênfase3 2 5 5 4" xfId="19368"/>
    <cellStyle name="20% - Ênfase3 2 5 2 3 4" xfId="19369"/>
    <cellStyle name="20% - Ênfase3 2 5 3 3 4" xfId="19370"/>
    <cellStyle name="20% - Ênfase3 3 9 4" xfId="19371"/>
    <cellStyle name="20% - Ênfase3 3 2 6 4" xfId="19372"/>
    <cellStyle name="20% - Ênfase3 3 2 2 5 4" xfId="19373"/>
    <cellStyle name="20% - Ênfase3 3 2 2 2 3 4" xfId="19374"/>
    <cellStyle name="20% - Ênfase3 3 2 2 3 3 4" xfId="19375"/>
    <cellStyle name="20% - Ênfase3 3 2 3 3 4" xfId="19376"/>
    <cellStyle name="20% - Ênfase3 3 2 4 3 4" xfId="19377"/>
    <cellStyle name="20% - Ênfase3 3 3 5 4" xfId="19378"/>
    <cellStyle name="20% - Ênfase3 3 3 2 3 4" xfId="19379"/>
    <cellStyle name="20% - Ênfase3 3 3 3 3 4" xfId="19380"/>
    <cellStyle name="20% - Ênfase3 3 4 5 4" xfId="19381"/>
    <cellStyle name="20% - Ênfase3 3 4 2 3 4" xfId="19382"/>
    <cellStyle name="20% - Ênfase3 3 4 3 3 4" xfId="19383"/>
    <cellStyle name="20% - Ênfase3 3 5 3 4" xfId="19384"/>
    <cellStyle name="20% - Ênfase3 3 6 3 4" xfId="19385"/>
    <cellStyle name="20% - Ênfase3 3 7 3 4" xfId="19386"/>
    <cellStyle name="20% - Ênfase3 4 9 4" xfId="19387"/>
    <cellStyle name="20% - Ênfase3 4 2 6 4" xfId="19388"/>
    <cellStyle name="20% - Ênfase3 4 2 2 5 4" xfId="19389"/>
    <cellStyle name="20% - Ênfase3 4 2 2 2 3 4" xfId="19390"/>
    <cellStyle name="20% - Ênfase3 4 2 2 3 3 4" xfId="19391"/>
    <cellStyle name="20% - Ênfase3 4 2 3 3 4" xfId="19392"/>
    <cellStyle name="20% - Ênfase3 4 2 4 3 4" xfId="19393"/>
    <cellStyle name="20% - Ênfase3 4 3 5 4" xfId="19394"/>
    <cellStyle name="20% - Ênfase3 4 3 2 3 4" xfId="19395"/>
    <cellStyle name="20% - Ênfase3 4 3 3 3 4" xfId="19396"/>
    <cellStyle name="20% - Ênfase3 4 4 5 4" xfId="19397"/>
    <cellStyle name="20% - Ênfase3 4 4 2 3 4" xfId="19398"/>
    <cellStyle name="20% - Ênfase3 4 4 3 3 4" xfId="19399"/>
    <cellStyle name="20% - Ênfase3 4 5 3 4" xfId="19400"/>
    <cellStyle name="20% - Ênfase3 4 6 3 4" xfId="19401"/>
    <cellStyle name="20% - Ênfase3 4 7 3 4" xfId="19402"/>
    <cellStyle name="20% - Ênfase3 5 7 4" xfId="19403"/>
    <cellStyle name="20% - Ênfase3 5 2 5 4" xfId="19404"/>
    <cellStyle name="20% - Ênfase3 5 2 2 3 4" xfId="19405"/>
    <cellStyle name="20% - Ênfase3 5 2 3 3 4" xfId="19406"/>
    <cellStyle name="20% - Ênfase3 5 3 3 4" xfId="19407"/>
    <cellStyle name="20% - Ênfase3 5 4 3 4" xfId="19408"/>
    <cellStyle name="20% - Ênfase3 5 5 3 4" xfId="19409"/>
    <cellStyle name="20% - Ênfase3 6 6 4" xfId="19410"/>
    <cellStyle name="20% - Ênfase3 6 2 5 4" xfId="19411"/>
    <cellStyle name="20% - Ênfase3 6 2 2 3 4" xfId="19412"/>
    <cellStyle name="20% - Ênfase3 6 2 3 3 4" xfId="19413"/>
    <cellStyle name="20% - Ênfase3 6 3 3 4" xfId="19414"/>
    <cellStyle name="20% - Ênfase3 6 4 3 4" xfId="19415"/>
    <cellStyle name="20% - Ênfase3 8 5 4" xfId="19416"/>
    <cellStyle name="20% - Ênfase3 8 2 3 4" xfId="19417"/>
    <cellStyle name="20% - Ênfase3 8 3 3 4" xfId="19418"/>
    <cellStyle name="20% - Ênfase4 2 2 7 4" xfId="19419"/>
    <cellStyle name="20% - Ênfase4 2 2 2 5 4" xfId="19420"/>
    <cellStyle name="20% - Ênfase4 2 2 2 2 3 4" xfId="19421"/>
    <cellStyle name="20% - Ênfase4 2 2 2 3 3 4" xfId="19422"/>
    <cellStyle name="20% - Ênfase4 2 2 3 3 4" xfId="19423"/>
    <cellStyle name="20% - Ênfase4 2 2 4 3 4" xfId="19424"/>
    <cellStyle name="20% - Ênfase4 2 2 5 3 4" xfId="19425"/>
    <cellStyle name="20% - Ênfase4 2 3 6 4" xfId="19426"/>
    <cellStyle name="20% - Ênfase4 2 3 2 5 4" xfId="19427"/>
    <cellStyle name="20% - Ênfase4 2 3 2 2 3 4" xfId="19428"/>
    <cellStyle name="20% - Ênfase4 2 3 2 3 3 4" xfId="19429"/>
    <cellStyle name="20% - Ênfase4 2 3 3 3 4" xfId="19430"/>
    <cellStyle name="20% - Ênfase4 2 3 4 3 4" xfId="19431"/>
    <cellStyle name="20% - Ênfase4 2 5 5 4" xfId="19432"/>
    <cellStyle name="20% - Ênfase4 2 5 2 3 4" xfId="19433"/>
    <cellStyle name="20% - Ênfase4 2 5 3 3 4" xfId="19434"/>
    <cellStyle name="20% - Ênfase4 3 9 4" xfId="19435"/>
    <cellStyle name="20% - Ênfase4 3 2 6 4" xfId="19436"/>
    <cellStyle name="20% - Ênfase4 3 2 2 5 4" xfId="19437"/>
    <cellStyle name="20% - Ênfase4 3 2 2 2 3 4" xfId="19438"/>
    <cellStyle name="20% - Ênfase4 3 2 2 3 3 4" xfId="19439"/>
    <cellStyle name="20% - Ênfase4 3 2 3 3 4" xfId="19440"/>
    <cellStyle name="20% - Ênfase4 3 2 4 3 4" xfId="19441"/>
    <cellStyle name="20% - Ênfase4 3 3 5 4" xfId="19442"/>
    <cellStyle name="20% - Ênfase4 3 3 2 3 4" xfId="19443"/>
    <cellStyle name="20% - Ênfase4 3 3 3 3 4" xfId="19444"/>
    <cellStyle name="20% - Ênfase4 3 4 5 4" xfId="19445"/>
    <cellStyle name="20% - Ênfase4 3 4 2 3 4" xfId="19446"/>
    <cellStyle name="20% - Ênfase4 3 4 3 3 4" xfId="19447"/>
    <cellStyle name="20% - Ênfase4 3 5 3 4" xfId="19448"/>
    <cellStyle name="20% - Ênfase4 3 6 3 4" xfId="19449"/>
    <cellStyle name="20% - Ênfase4 3 7 3 4" xfId="19450"/>
    <cellStyle name="20% - Ênfase4 4 9 4" xfId="19451"/>
    <cellStyle name="20% - Ênfase4 4 2 6 4" xfId="19452"/>
    <cellStyle name="20% - Ênfase4 4 2 2 5 4" xfId="19453"/>
    <cellStyle name="20% - Ênfase4 4 2 2 2 3 4" xfId="19454"/>
    <cellStyle name="20% - Ênfase4 4 2 2 3 3 4" xfId="19455"/>
    <cellStyle name="20% - Ênfase4 4 2 3 3 4" xfId="19456"/>
    <cellStyle name="20% - Ênfase4 4 2 4 3 4" xfId="19457"/>
    <cellStyle name="20% - Ênfase4 4 3 5 4" xfId="19458"/>
    <cellStyle name="20% - Ênfase4 4 3 2 3 4" xfId="19459"/>
    <cellStyle name="20% - Ênfase4 4 3 3 3 4" xfId="19460"/>
    <cellStyle name="20% - Ênfase4 4 4 5 4" xfId="19461"/>
    <cellStyle name="20% - Ênfase4 4 4 2 3 4" xfId="19462"/>
    <cellStyle name="20% - Ênfase4 4 4 3 3 4" xfId="19463"/>
    <cellStyle name="20% - Ênfase4 4 5 3 4" xfId="19464"/>
    <cellStyle name="20% - Ênfase4 4 6 3 4" xfId="19465"/>
    <cellStyle name="20% - Ênfase4 4 7 3 4" xfId="19466"/>
    <cellStyle name="20% - Ênfase4 5 7 4" xfId="19467"/>
    <cellStyle name="20% - Ênfase4 5 2 5 4" xfId="19468"/>
    <cellStyle name="20% - Ênfase4 5 2 2 3 4" xfId="19469"/>
    <cellStyle name="20% - Ênfase4 5 2 3 3 4" xfId="19470"/>
    <cellStyle name="20% - Ênfase4 5 3 3 4" xfId="19471"/>
    <cellStyle name="20% - Ênfase4 5 4 3 4" xfId="19472"/>
    <cellStyle name="20% - Ênfase4 5 5 3 4" xfId="19473"/>
    <cellStyle name="20% - Ênfase4 6 6 4" xfId="19474"/>
    <cellStyle name="20% - Ênfase4 6 2 5 4" xfId="19475"/>
    <cellStyle name="20% - Ênfase4 6 2 2 3 4" xfId="19476"/>
    <cellStyle name="20% - Ênfase4 6 2 3 3 4" xfId="19477"/>
    <cellStyle name="20% - Ênfase4 6 3 3 4" xfId="19478"/>
    <cellStyle name="20% - Ênfase4 6 4 3 4" xfId="19479"/>
    <cellStyle name="20% - Ênfase4 8 5 4" xfId="19480"/>
    <cellStyle name="20% - Ênfase4 8 2 3 4" xfId="19481"/>
    <cellStyle name="20% - Ênfase4 8 3 3 4" xfId="19482"/>
    <cellStyle name="20% - Ênfase5 2 2 7 4" xfId="19483"/>
    <cellStyle name="20% - Ênfase5 2 2 2 5 4" xfId="19484"/>
    <cellStyle name="20% - Ênfase5 2 2 2 2 3 4" xfId="19485"/>
    <cellStyle name="20% - Ênfase5 2 2 2 3 3 4" xfId="19486"/>
    <cellStyle name="20% - Ênfase5 2 2 3 3 4" xfId="19487"/>
    <cellStyle name="20% - Ênfase5 2 2 4 3 4" xfId="19488"/>
    <cellStyle name="20% - Ênfase5 2 2 5 3 4" xfId="19489"/>
    <cellStyle name="20% - Ênfase5 2 3 6 4" xfId="19490"/>
    <cellStyle name="20% - Ênfase5 2 3 2 5 4" xfId="19491"/>
    <cellStyle name="20% - Ênfase5 2 3 2 2 3 4" xfId="19492"/>
    <cellStyle name="20% - Ênfase5 2 3 2 3 3 4" xfId="19493"/>
    <cellStyle name="20% - Ênfase5 2 3 3 3 4" xfId="19494"/>
    <cellStyle name="20% - Ênfase5 2 3 4 3 4" xfId="19495"/>
    <cellStyle name="20% - Ênfase5 2 5 5 4" xfId="19496"/>
    <cellStyle name="20% - Ênfase5 2 5 2 3 4" xfId="19497"/>
    <cellStyle name="20% - Ênfase5 2 5 3 3 4" xfId="19498"/>
    <cellStyle name="20% - Ênfase5 3 9 4" xfId="19499"/>
    <cellStyle name="20% - Ênfase5 3 2 6 4" xfId="19500"/>
    <cellStyle name="20% - Ênfase5 3 2 2 5 4" xfId="19501"/>
    <cellStyle name="20% - Ênfase5 3 2 2 2 3 4" xfId="19502"/>
    <cellStyle name="20% - Ênfase5 3 2 2 3 3 4" xfId="19503"/>
    <cellStyle name="20% - Ênfase5 3 2 3 3 4" xfId="19504"/>
    <cellStyle name="20% - Ênfase5 3 2 4 3 4" xfId="19505"/>
    <cellStyle name="20% - Ênfase5 3 3 5 4" xfId="19506"/>
    <cellStyle name="20% - Ênfase5 3 3 2 3 4" xfId="19507"/>
    <cellStyle name="20% - Ênfase5 3 3 3 3 4" xfId="19508"/>
    <cellStyle name="20% - Ênfase5 3 4 5 4" xfId="19509"/>
    <cellStyle name="20% - Ênfase5 3 4 2 3 4" xfId="19510"/>
    <cellStyle name="20% - Ênfase5 3 4 3 3 4" xfId="19511"/>
    <cellStyle name="20% - Ênfase5 3 5 3 4" xfId="19512"/>
    <cellStyle name="20% - Ênfase5 3 6 3 4" xfId="19513"/>
    <cellStyle name="20% - Ênfase5 3 7 3 4" xfId="19514"/>
    <cellStyle name="20% - Ênfase5 4 9 4" xfId="19515"/>
    <cellStyle name="20% - Ênfase5 4 2 6 4" xfId="19516"/>
    <cellStyle name="20% - Ênfase5 4 2 2 5 4" xfId="19517"/>
    <cellStyle name="20% - Ênfase5 4 2 2 2 3 4" xfId="19518"/>
    <cellStyle name="20% - Ênfase5 4 2 2 3 3 4" xfId="19519"/>
    <cellStyle name="20% - Ênfase5 4 2 3 3 4" xfId="19520"/>
    <cellStyle name="20% - Ênfase5 4 2 4 3 4" xfId="19521"/>
    <cellStyle name="20% - Ênfase5 4 3 5 4" xfId="19522"/>
    <cellStyle name="20% - Ênfase5 4 3 2 3 4" xfId="19523"/>
    <cellStyle name="20% - Ênfase5 4 3 3 3 4" xfId="19524"/>
    <cellStyle name="20% - Ênfase5 4 4 5 4" xfId="19525"/>
    <cellStyle name="20% - Ênfase5 4 4 2 3 4" xfId="19526"/>
    <cellStyle name="20% - Ênfase5 4 4 3 3 4" xfId="19527"/>
    <cellStyle name="20% - Ênfase5 4 5 3 4" xfId="19528"/>
    <cellStyle name="20% - Ênfase5 4 6 3 4" xfId="19529"/>
    <cellStyle name="20% - Ênfase5 4 7 3 4" xfId="19530"/>
    <cellStyle name="20% - Ênfase5 5 7 4" xfId="19531"/>
    <cellStyle name="20% - Ênfase5 5 2 5 4" xfId="19532"/>
    <cellStyle name="20% - Ênfase5 5 2 2 3 4" xfId="19533"/>
    <cellStyle name="20% - Ênfase5 5 2 3 3 4" xfId="19534"/>
    <cellStyle name="20% - Ênfase5 5 3 3 4" xfId="19535"/>
    <cellStyle name="20% - Ênfase5 5 4 3 4" xfId="19536"/>
    <cellStyle name="20% - Ênfase5 5 5 3 4" xfId="19537"/>
    <cellStyle name="20% - Ênfase5 6 6 4" xfId="19538"/>
    <cellStyle name="20% - Ênfase5 6 2 5 4" xfId="19539"/>
    <cellStyle name="20% - Ênfase5 6 2 2 3 4" xfId="19540"/>
    <cellStyle name="20% - Ênfase5 6 2 3 3 4" xfId="19541"/>
    <cellStyle name="20% - Ênfase5 6 3 3 4" xfId="19542"/>
    <cellStyle name="20% - Ênfase5 6 4 3 4" xfId="19543"/>
    <cellStyle name="20% - Ênfase5 8 5 4" xfId="19544"/>
    <cellStyle name="20% - Ênfase5 8 2 3 4" xfId="19545"/>
    <cellStyle name="20% - Ênfase5 8 3 3 4" xfId="19546"/>
    <cellStyle name="20% - Ênfase6 2 2 7 4" xfId="19547"/>
    <cellStyle name="20% - Ênfase6 2 2 2 5 4" xfId="19548"/>
    <cellStyle name="20% - Ênfase6 2 2 2 2 3 4" xfId="19549"/>
    <cellStyle name="20% - Ênfase6 2 2 2 3 3 4" xfId="19550"/>
    <cellStyle name="20% - Ênfase6 2 2 3 3 4" xfId="19551"/>
    <cellStyle name="20% - Ênfase6 2 2 4 3 4" xfId="19552"/>
    <cellStyle name="20% - Ênfase6 2 2 5 3 4" xfId="19553"/>
    <cellStyle name="20% - Ênfase6 2 3 6 4" xfId="19554"/>
    <cellStyle name="20% - Ênfase6 2 3 2 5 4" xfId="19555"/>
    <cellStyle name="20% - Ênfase6 2 3 2 2 3 4" xfId="19556"/>
    <cellStyle name="20% - Ênfase6 2 3 2 3 3 4" xfId="19557"/>
    <cellStyle name="20% - Ênfase6 2 3 3 3 4" xfId="19558"/>
    <cellStyle name="20% - Ênfase6 2 3 4 3 4" xfId="19559"/>
    <cellStyle name="20% - Ênfase6 2 5 5 4" xfId="19560"/>
    <cellStyle name="20% - Ênfase6 2 5 2 3 4" xfId="19561"/>
    <cellStyle name="20% - Ênfase6 2 5 3 3 4" xfId="19562"/>
    <cellStyle name="20% - Ênfase6 3 9 4" xfId="19563"/>
    <cellStyle name="20% - Ênfase6 3 2 6 4" xfId="19564"/>
    <cellStyle name="20% - Ênfase6 3 2 2 5 4" xfId="19565"/>
    <cellStyle name="20% - Ênfase6 3 2 2 2 3 4" xfId="19566"/>
    <cellStyle name="20% - Ênfase6 3 2 2 3 3 4" xfId="19567"/>
    <cellStyle name="20% - Ênfase6 3 2 3 3 4" xfId="19568"/>
    <cellStyle name="20% - Ênfase6 3 2 4 3 4" xfId="19569"/>
    <cellStyle name="20% - Ênfase6 3 3 5 4" xfId="19570"/>
    <cellStyle name="20% - Ênfase6 3 3 2 3 4" xfId="19571"/>
    <cellStyle name="20% - Ênfase6 3 3 3 3 4" xfId="19572"/>
    <cellStyle name="20% - Ênfase6 3 4 5 4" xfId="19573"/>
    <cellStyle name="20% - Ênfase6 3 4 2 3 4" xfId="19574"/>
    <cellStyle name="20% - Ênfase6 3 4 3 3 4" xfId="19575"/>
    <cellStyle name="20% - Ênfase6 3 5 3 4" xfId="19576"/>
    <cellStyle name="20% - Ênfase6 3 6 3 4" xfId="19577"/>
    <cellStyle name="20% - Ênfase6 3 7 3 4" xfId="19578"/>
    <cellStyle name="20% - Ênfase6 4 9 4" xfId="19579"/>
    <cellStyle name="20% - Ênfase6 4 2 6 4" xfId="19580"/>
    <cellStyle name="20% - Ênfase6 4 2 2 5 4" xfId="19581"/>
    <cellStyle name="20% - Ênfase6 4 2 2 2 3 4" xfId="19582"/>
    <cellStyle name="20% - Ênfase6 4 2 2 3 3 4" xfId="19583"/>
    <cellStyle name="20% - Ênfase6 4 2 3 3 4" xfId="19584"/>
    <cellStyle name="20% - Ênfase6 4 2 4 3 4" xfId="19585"/>
    <cellStyle name="20% - Ênfase6 4 3 5 4" xfId="19586"/>
    <cellStyle name="20% - Ênfase6 4 3 2 3 4" xfId="19587"/>
    <cellStyle name="20% - Ênfase6 4 3 3 3 4" xfId="19588"/>
    <cellStyle name="20% - Ênfase6 4 4 5 4" xfId="19589"/>
    <cellStyle name="20% - Ênfase6 4 4 2 3 4" xfId="19590"/>
    <cellStyle name="20% - Ênfase6 4 4 3 3 4" xfId="19591"/>
    <cellStyle name="20% - Ênfase6 4 5 3 4" xfId="19592"/>
    <cellStyle name="20% - Ênfase6 4 6 3 4" xfId="19593"/>
    <cellStyle name="20% - Ênfase6 4 7 3 4" xfId="19594"/>
    <cellStyle name="20% - Ênfase6 5 7 4" xfId="19595"/>
    <cellStyle name="20% - Ênfase6 5 2 5 4" xfId="19596"/>
    <cellStyle name="20% - Ênfase6 5 2 2 3 4" xfId="19597"/>
    <cellStyle name="20% - Ênfase6 5 2 3 3 4" xfId="19598"/>
    <cellStyle name="20% - Ênfase6 5 3 3 4" xfId="19599"/>
    <cellStyle name="20% - Ênfase6 5 4 3 4" xfId="19600"/>
    <cellStyle name="20% - Ênfase6 5 5 3 4" xfId="19601"/>
    <cellStyle name="20% - Ênfase6 6 6 4" xfId="19602"/>
    <cellStyle name="20% - Ênfase6 6 2 5 4" xfId="19603"/>
    <cellStyle name="20% - Ênfase6 6 2 2 3 4" xfId="19604"/>
    <cellStyle name="20% - Ênfase6 6 2 3 3 4" xfId="19605"/>
    <cellStyle name="20% - Ênfase6 6 3 3 4" xfId="19606"/>
    <cellStyle name="20% - Ênfase6 6 4 3 4" xfId="19607"/>
    <cellStyle name="20% - Ênfase6 8 5 4" xfId="19608"/>
    <cellStyle name="20% - Ênfase6 8 2 3 4" xfId="19609"/>
    <cellStyle name="20% - Ênfase6 8 3 3 4" xfId="19610"/>
    <cellStyle name="40% - Ênfase1 2 2 7 4" xfId="19611"/>
    <cellStyle name="40% - Ênfase1 2 2 2 5 4" xfId="19612"/>
    <cellStyle name="40% - Ênfase1 2 2 2 2 3 4" xfId="19613"/>
    <cellStyle name="40% - Ênfase1 2 2 2 3 3 4" xfId="19614"/>
    <cellStyle name="40% - Ênfase1 2 2 3 3 4" xfId="19615"/>
    <cellStyle name="40% - Ênfase1 2 2 4 3 4" xfId="19616"/>
    <cellStyle name="40% - Ênfase1 2 2 5 3 4" xfId="19617"/>
    <cellStyle name="40% - Ênfase1 2 3 6 4" xfId="19618"/>
    <cellStyle name="40% - Ênfase1 2 3 2 5 4" xfId="19619"/>
    <cellStyle name="40% - Ênfase1 2 3 2 2 3 4" xfId="19620"/>
    <cellStyle name="40% - Ênfase1 2 3 2 3 3 4" xfId="19621"/>
    <cellStyle name="40% - Ênfase1 2 3 3 3 4" xfId="19622"/>
    <cellStyle name="40% - Ênfase1 2 3 4 3 4" xfId="19623"/>
    <cellStyle name="40% - Ênfase1 2 5 5 4" xfId="19624"/>
    <cellStyle name="40% - Ênfase1 2 5 2 3 4" xfId="19625"/>
    <cellStyle name="40% - Ênfase1 2 5 3 3 4" xfId="19626"/>
    <cellStyle name="40% - Ênfase1 3 9 4" xfId="19627"/>
    <cellStyle name="40% - Ênfase1 3 2 6 4" xfId="19628"/>
    <cellStyle name="40% - Ênfase1 3 2 2 5 4" xfId="19629"/>
    <cellStyle name="40% - Ênfase1 3 2 2 2 3 4" xfId="19630"/>
    <cellStyle name="40% - Ênfase1 3 2 2 3 3 4" xfId="19631"/>
    <cellStyle name="40% - Ênfase1 3 2 3 3 4" xfId="19632"/>
    <cellStyle name="40% - Ênfase1 3 2 4 3 4" xfId="19633"/>
    <cellStyle name="40% - Ênfase1 3 3 5 4" xfId="19634"/>
    <cellStyle name="40% - Ênfase1 3 3 2 3 4" xfId="19635"/>
    <cellStyle name="40% - Ênfase1 3 3 3 3 4" xfId="19636"/>
    <cellStyle name="40% - Ênfase1 3 4 5 4" xfId="19637"/>
    <cellStyle name="40% - Ênfase1 3 4 2 3 4" xfId="19638"/>
    <cellStyle name="40% - Ênfase1 3 4 3 3 4" xfId="19639"/>
    <cellStyle name="40% - Ênfase1 3 5 3 4" xfId="19640"/>
    <cellStyle name="40% - Ênfase1 3 6 3 4" xfId="19641"/>
    <cellStyle name="40% - Ênfase1 3 7 3 4" xfId="19642"/>
    <cellStyle name="40% - Ênfase1 4 9 4" xfId="19643"/>
    <cellStyle name="40% - Ênfase1 4 2 6 4" xfId="19644"/>
    <cellStyle name="40% - Ênfase1 4 2 2 5 4" xfId="19645"/>
    <cellStyle name="40% - Ênfase1 4 2 2 2 3 4" xfId="19646"/>
    <cellStyle name="40% - Ênfase1 4 2 2 3 3 4" xfId="19647"/>
    <cellStyle name="40% - Ênfase1 4 2 3 3 4" xfId="19648"/>
    <cellStyle name="40% - Ênfase1 4 2 4 3 4" xfId="19649"/>
    <cellStyle name="40% - Ênfase1 4 3 5 4" xfId="19650"/>
    <cellStyle name="40% - Ênfase1 4 3 2 3 4" xfId="19651"/>
    <cellStyle name="40% - Ênfase1 4 3 3 3 4" xfId="19652"/>
    <cellStyle name="40% - Ênfase1 4 4 5 4" xfId="19653"/>
    <cellStyle name="40% - Ênfase1 4 4 2 3 4" xfId="19654"/>
    <cellStyle name="40% - Ênfase1 4 4 3 3 4" xfId="19655"/>
    <cellStyle name="40% - Ênfase1 4 5 3 4" xfId="19656"/>
    <cellStyle name="40% - Ênfase1 4 6 3 4" xfId="19657"/>
    <cellStyle name="40% - Ênfase1 4 7 3 4" xfId="19658"/>
    <cellStyle name="40% - Ênfase1 5 7 4" xfId="19659"/>
    <cellStyle name="40% - Ênfase1 5 2 5 4" xfId="19660"/>
    <cellStyle name="40% - Ênfase1 5 2 2 3 4" xfId="19661"/>
    <cellStyle name="40% - Ênfase1 5 2 3 3 4" xfId="19662"/>
    <cellStyle name="40% - Ênfase1 5 3 3 4" xfId="19663"/>
    <cellStyle name="40% - Ênfase1 5 4 3 4" xfId="19664"/>
    <cellStyle name="40% - Ênfase1 5 5 3 4" xfId="19665"/>
    <cellStyle name="40% - Ênfase1 6 6 4" xfId="19666"/>
    <cellStyle name="40% - Ênfase1 6 2 5 4" xfId="19667"/>
    <cellStyle name="40% - Ênfase1 6 2 2 3 4" xfId="19668"/>
    <cellStyle name="40% - Ênfase1 6 2 3 3 4" xfId="19669"/>
    <cellStyle name="40% - Ênfase1 6 3 3 4" xfId="19670"/>
    <cellStyle name="40% - Ênfase1 6 4 3 4" xfId="19671"/>
    <cellStyle name="40% - Ênfase1 8 5 4" xfId="19672"/>
    <cellStyle name="40% - Ênfase1 8 2 3 4" xfId="19673"/>
    <cellStyle name="40% - Ênfase1 8 3 3 4" xfId="19674"/>
    <cellStyle name="40% - Ênfase2 2 2 7 4" xfId="19675"/>
    <cellStyle name="40% - Ênfase2 2 2 2 5 4" xfId="19676"/>
    <cellStyle name="40% - Ênfase2 2 2 2 2 3 4" xfId="19677"/>
    <cellStyle name="40% - Ênfase2 2 2 2 3 3 4" xfId="19678"/>
    <cellStyle name="40% - Ênfase2 2 2 3 3 4" xfId="19679"/>
    <cellStyle name="40% - Ênfase2 2 2 4 3 4" xfId="19680"/>
    <cellStyle name="40% - Ênfase2 2 2 5 3 4" xfId="19681"/>
    <cellStyle name="40% - Ênfase2 2 3 6 4" xfId="19682"/>
    <cellStyle name="40% - Ênfase2 2 3 2 5 4" xfId="19683"/>
    <cellStyle name="40% - Ênfase2 2 3 2 2 3 4" xfId="19684"/>
    <cellStyle name="40% - Ênfase2 2 3 2 3 3 4" xfId="19685"/>
    <cellStyle name="40% - Ênfase2 2 3 3 3 4" xfId="19686"/>
    <cellStyle name="40% - Ênfase2 2 3 4 3 4" xfId="19687"/>
    <cellStyle name="40% - Ênfase2 2 5 5 4" xfId="19688"/>
    <cellStyle name="40% - Ênfase2 2 5 2 3 4" xfId="19689"/>
    <cellStyle name="40% - Ênfase2 2 5 3 3 4" xfId="19690"/>
    <cellStyle name="40% - Ênfase2 3 9 4" xfId="19691"/>
    <cellStyle name="40% - Ênfase2 3 2 6 4" xfId="19692"/>
    <cellStyle name="40% - Ênfase2 3 2 2 5 4" xfId="19693"/>
    <cellStyle name="40% - Ênfase2 3 2 2 2 3 4" xfId="19694"/>
    <cellStyle name="40% - Ênfase2 3 2 2 3 3 4" xfId="19695"/>
    <cellStyle name="40% - Ênfase2 3 2 3 3 4" xfId="19696"/>
    <cellStyle name="40% - Ênfase2 3 2 4 3 4" xfId="19697"/>
    <cellStyle name="40% - Ênfase2 3 3 5 4" xfId="19698"/>
    <cellStyle name="40% - Ênfase2 3 3 2 3 4" xfId="19699"/>
    <cellStyle name="40% - Ênfase2 3 3 3 3 4" xfId="19700"/>
    <cellStyle name="40% - Ênfase2 3 4 5 4" xfId="19701"/>
    <cellStyle name="40% - Ênfase2 3 4 2 3 4" xfId="19702"/>
    <cellStyle name="40% - Ênfase2 3 4 3 3 4" xfId="19703"/>
    <cellStyle name="40% - Ênfase2 3 5 3 4" xfId="19704"/>
    <cellStyle name="40% - Ênfase2 3 6 3 4" xfId="19705"/>
    <cellStyle name="40% - Ênfase2 3 7 3 4" xfId="19706"/>
    <cellStyle name="40% - Ênfase2 4 9 4" xfId="19707"/>
    <cellStyle name="40% - Ênfase2 4 2 6 4" xfId="19708"/>
    <cellStyle name="40% - Ênfase2 4 2 2 5 4" xfId="19709"/>
    <cellStyle name="40% - Ênfase2 4 2 2 2 3 4" xfId="19710"/>
    <cellStyle name="40% - Ênfase2 4 2 2 3 3 4" xfId="19711"/>
    <cellStyle name="40% - Ênfase2 4 2 3 3 4" xfId="19712"/>
    <cellStyle name="40% - Ênfase2 4 2 4 3 4" xfId="19713"/>
    <cellStyle name="40% - Ênfase2 4 3 5 4" xfId="19714"/>
    <cellStyle name="40% - Ênfase2 4 3 2 3 4" xfId="19715"/>
    <cellStyle name="40% - Ênfase2 4 3 3 3 4" xfId="19716"/>
    <cellStyle name="40% - Ênfase2 4 4 5 4" xfId="19717"/>
    <cellStyle name="40% - Ênfase2 4 4 2 3 4" xfId="19718"/>
    <cellStyle name="40% - Ênfase2 4 4 3 3 4" xfId="19719"/>
    <cellStyle name="40% - Ênfase2 4 5 3 4" xfId="19720"/>
    <cellStyle name="40% - Ênfase2 4 6 3 4" xfId="19721"/>
    <cellStyle name="40% - Ênfase2 4 7 3 4" xfId="19722"/>
    <cellStyle name="40% - Ênfase2 5 7 4" xfId="19723"/>
    <cellStyle name="40% - Ênfase2 5 2 5 4" xfId="19724"/>
    <cellStyle name="40% - Ênfase2 5 2 2 3 4" xfId="19725"/>
    <cellStyle name="40% - Ênfase2 5 2 3 3 4" xfId="19726"/>
    <cellStyle name="40% - Ênfase2 5 3 3 4" xfId="19727"/>
    <cellStyle name="40% - Ênfase2 5 4 3 4" xfId="19728"/>
    <cellStyle name="40% - Ênfase2 5 5 3 4" xfId="19729"/>
    <cellStyle name="40% - Ênfase2 6 6 4" xfId="19730"/>
    <cellStyle name="40% - Ênfase2 6 2 5 4" xfId="19731"/>
    <cellStyle name="40% - Ênfase2 6 2 2 3 4" xfId="19732"/>
    <cellStyle name="40% - Ênfase2 6 2 3 3 4" xfId="19733"/>
    <cellStyle name="40% - Ênfase2 6 3 3 4" xfId="19734"/>
    <cellStyle name="40% - Ênfase2 6 4 3 4" xfId="19735"/>
    <cellStyle name="40% - Ênfase2 8 5 4" xfId="19736"/>
    <cellStyle name="40% - Ênfase2 8 2 3 4" xfId="19737"/>
    <cellStyle name="40% - Ênfase2 8 3 3 4" xfId="19738"/>
    <cellStyle name="40% - Ênfase3 2 2 7 4" xfId="19739"/>
    <cellStyle name="40% - Ênfase3 2 2 2 5 4" xfId="19740"/>
    <cellStyle name="40% - Ênfase3 2 2 2 2 3 4" xfId="19741"/>
    <cellStyle name="40% - Ênfase3 2 2 2 3 3 4" xfId="19742"/>
    <cellStyle name="40% - Ênfase3 2 2 3 3 4" xfId="19743"/>
    <cellStyle name="40% - Ênfase3 2 2 4 3 4" xfId="19744"/>
    <cellStyle name="40% - Ênfase3 2 2 5 3 4" xfId="19745"/>
    <cellStyle name="40% - Ênfase3 2 3 6 4" xfId="19746"/>
    <cellStyle name="40% - Ênfase3 2 3 2 5 4" xfId="19747"/>
    <cellStyle name="40% - Ênfase3 2 3 2 2 3 4" xfId="19748"/>
    <cellStyle name="40% - Ênfase3 2 3 2 3 3 4" xfId="19749"/>
    <cellStyle name="40% - Ênfase3 2 3 3 3 4" xfId="19750"/>
    <cellStyle name="40% - Ênfase3 2 3 4 3 4" xfId="19751"/>
    <cellStyle name="40% - Ênfase3 2 5 5 4" xfId="19752"/>
    <cellStyle name="40% - Ênfase3 2 5 2 3 4" xfId="19753"/>
    <cellStyle name="40% - Ênfase3 2 5 3 3 4" xfId="19754"/>
    <cellStyle name="40% - Ênfase3 3 9 4" xfId="19755"/>
    <cellStyle name="40% - Ênfase3 3 2 6 4" xfId="19756"/>
    <cellStyle name="40% - Ênfase3 3 2 2 5 4" xfId="19757"/>
    <cellStyle name="40% - Ênfase3 3 2 2 2 3 4" xfId="19758"/>
    <cellStyle name="40% - Ênfase3 3 2 2 3 3 4" xfId="19759"/>
    <cellStyle name="40% - Ênfase3 3 2 3 3 4" xfId="19760"/>
    <cellStyle name="40% - Ênfase3 3 2 4 3 4" xfId="19761"/>
    <cellStyle name="40% - Ênfase3 3 3 5 4" xfId="19762"/>
    <cellStyle name="40% - Ênfase3 3 3 2 3 4" xfId="19763"/>
    <cellStyle name="40% - Ênfase3 3 3 3 3 4" xfId="19764"/>
    <cellStyle name="40% - Ênfase3 3 4 5 4" xfId="19765"/>
    <cellStyle name="40% - Ênfase3 3 4 2 3 4" xfId="19766"/>
    <cellStyle name="40% - Ênfase3 3 4 3 3 4" xfId="19767"/>
    <cellStyle name="40% - Ênfase3 3 5 3 4" xfId="19768"/>
    <cellStyle name="40% - Ênfase3 3 6 3 4" xfId="19769"/>
    <cellStyle name="40% - Ênfase3 3 7 3 4" xfId="19770"/>
    <cellStyle name="40% - Ênfase3 4 9 4" xfId="19771"/>
    <cellStyle name="40% - Ênfase3 4 2 6 4" xfId="19772"/>
    <cellStyle name="40% - Ênfase3 4 2 2 5 4" xfId="19773"/>
    <cellStyle name="40% - Ênfase3 4 2 2 2 3 4" xfId="19774"/>
    <cellStyle name="40% - Ênfase3 4 2 2 3 3 4" xfId="19775"/>
    <cellStyle name="40% - Ênfase3 4 2 3 3 4" xfId="19776"/>
    <cellStyle name="40% - Ênfase3 4 2 4 3 4" xfId="19777"/>
    <cellStyle name="40% - Ênfase3 4 3 5 4" xfId="19778"/>
    <cellStyle name="40% - Ênfase3 4 3 2 3 4" xfId="19779"/>
    <cellStyle name="40% - Ênfase3 4 3 3 3 4" xfId="19780"/>
    <cellStyle name="40% - Ênfase3 4 4 5 4" xfId="19781"/>
    <cellStyle name="40% - Ênfase3 4 4 2 3 4" xfId="19782"/>
    <cellStyle name="40% - Ênfase3 4 4 3 3 4" xfId="19783"/>
    <cellStyle name="40% - Ênfase3 4 5 3 4" xfId="19784"/>
    <cellStyle name="40% - Ênfase3 4 6 3 4" xfId="19785"/>
    <cellStyle name="40% - Ênfase3 4 7 3 4" xfId="19786"/>
    <cellStyle name="40% - Ênfase3 5 7 4" xfId="19787"/>
    <cellStyle name="40% - Ênfase3 5 2 5 4" xfId="19788"/>
    <cellStyle name="40% - Ênfase3 5 2 2 3 4" xfId="19789"/>
    <cellStyle name="40% - Ênfase3 5 2 3 3 4" xfId="19790"/>
    <cellStyle name="40% - Ênfase3 5 3 3 4" xfId="19791"/>
    <cellStyle name="40% - Ênfase3 5 4 3 4" xfId="19792"/>
    <cellStyle name="40% - Ênfase3 5 5 3 4" xfId="19793"/>
    <cellStyle name="40% - Ênfase3 6 6 4" xfId="19794"/>
    <cellStyle name="40% - Ênfase3 6 2 5 4" xfId="19795"/>
    <cellStyle name="40% - Ênfase3 6 2 2 3 4" xfId="19796"/>
    <cellStyle name="40% - Ênfase3 6 2 3 3 4" xfId="19797"/>
    <cellStyle name="40% - Ênfase3 6 3 3 4" xfId="19798"/>
    <cellStyle name="40% - Ênfase3 6 4 3 4" xfId="19799"/>
    <cellStyle name="40% - Ênfase3 8 5 4" xfId="19800"/>
    <cellStyle name="40% - Ênfase3 8 2 3 4" xfId="19801"/>
    <cellStyle name="40% - Ênfase3 8 3 3 4" xfId="19802"/>
    <cellStyle name="40% - Ênfase4 2 2 7 4" xfId="19803"/>
    <cellStyle name="40% - Ênfase4 2 2 2 5 4" xfId="19804"/>
    <cellStyle name="40% - Ênfase4 2 2 2 2 3 4" xfId="19805"/>
    <cellStyle name="40% - Ênfase4 2 2 2 3 3 4" xfId="19806"/>
    <cellStyle name="40% - Ênfase4 2 2 3 3 4" xfId="19807"/>
    <cellStyle name="40% - Ênfase4 2 2 4 3 4" xfId="19808"/>
    <cellStyle name="40% - Ênfase4 2 2 5 3 4" xfId="19809"/>
    <cellStyle name="40% - Ênfase4 2 3 6 4" xfId="19810"/>
    <cellStyle name="40% - Ênfase4 2 3 2 5 4" xfId="19811"/>
    <cellStyle name="40% - Ênfase4 2 3 2 2 3 4" xfId="19812"/>
    <cellStyle name="40% - Ênfase4 2 3 2 3 3 4" xfId="19813"/>
    <cellStyle name="40% - Ênfase4 2 3 3 3 4" xfId="19814"/>
    <cellStyle name="40% - Ênfase4 2 3 4 3 4" xfId="19815"/>
    <cellStyle name="40% - Ênfase4 2 5 5 4" xfId="19816"/>
    <cellStyle name="40% - Ênfase4 2 5 2 3 4" xfId="19817"/>
    <cellStyle name="40% - Ênfase4 2 5 3 3 4" xfId="19818"/>
    <cellStyle name="40% - Ênfase4 3 9 4" xfId="19819"/>
    <cellStyle name="40% - Ênfase4 3 2 6 4" xfId="19820"/>
    <cellStyle name="40% - Ênfase4 3 2 2 5 4" xfId="19821"/>
    <cellStyle name="40% - Ênfase4 3 2 2 2 3 4" xfId="19822"/>
    <cellStyle name="40% - Ênfase4 3 2 2 3 3 4" xfId="19823"/>
    <cellStyle name="40% - Ênfase4 3 2 3 3 4" xfId="19824"/>
    <cellStyle name="40% - Ênfase4 3 2 4 3 4" xfId="19825"/>
    <cellStyle name="40% - Ênfase4 3 3 5 4" xfId="19826"/>
    <cellStyle name="40% - Ênfase4 3 3 2 3 4" xfId="19827"/>
    <cellStyle name="40% - Ênfase4 3 3 3 3 4" xfId="19828"/>
    <cellStyle name="40% - Ênfase4 3 4 5 4" xfId="19829"/>
    <cellStyle name="40% - Ênfase4 3 4 2 3 4" xfId="19830"/>
    <cellStyle name="40% - Ênfase4 3 4 3 3 4" xfId="19831"/>
    <cellStyle name="40% - Ênfase4 3 5 3 4" xfId="19832"/>
    <cellStyle name="40% - Ênfase4 3 6 3 4" xfId="19833"/>
    <cellStyle name="40% - Ênfase4 3 7 3 4" xfId="19834"/>
    <cellStyle name="40% - Ênfase4 4 9 4" xfId="19835"/>
    <cellStyle name="40% - Ênfase4 4 2 6 4" xfId="19836"/>
    <cellStyle name="40% - Ênfase4 4 2 2 5 4" xfId="19837"/>
    <cellStyle name="40% - Ênfase4 4 2 2 2 3 4" xfId="19838"/>
    <cellStyle name="40% - Ênfase4 4 2 2 3 3 4" xfId="19839"/>
    <cellStyle name="40% - Ênfase4 4 2 3 3 4" xfId="19840"/>
    <cellStyle name="40% - Ênfase4 4 2 4 3 4" xfId="19841"/>
    <cellStyle name="40% - Ênfase4 4 3 5 4" xfId="19842"/>
    <cellStyle name="40% - Ênfase4 4 3 2 3 4" xfId="19843"/>
    <cellStyle name="40% - Ênfase4 4 3 3 3 4" xfId="19844"/>
    <cellStyle name="40% - Ênfase4 4 4 5 4" xfId="19845"/>
    <cellStyle name="40% - Ênfase4 4 4 2 3 4" xfId="19846"/>
    <cellStyle name="40% - Ênfase4 4 4 3 3 4" xfId="19847"/>
    <cellStyle name="40% - Ênfase4 4 5 3 4" xfId="19848"/>
    <cellStyle name="40% - Ênfase4 4 6 3 4" xfId="19849"/>
    <cellStyle name="40% - Ênfase4 4 7 3 4" xfId="19850"/>
    <cellStyle name="40% - Ênfase4 5 7 4" xfId="19851"/>
    <cellStyle name="40% - Ênfase4 5 2 5 4" xfId="19852"/>
    <cellStyle name="40% - Ênfase4 5 2 2 3 4" xfId="19853"/>
    <cellStyle name="40% - Ênfase4 5 2 3 3 4" xfId="19854"/>
    <cellStyle name="40% - Ênfase4 5 3 3 4" xfId="19855"/>
    <cellStyle name="40% - Ênfase4 5 4 3 4" xfId="19856"/>
    <cellStyle name="40% - Ênfase4 5 5 3 4" xfId="19857"/>
    <cellStyle name="40% - Ênfase4 6 6 4" xfId="19858"/>
    <cellStyle name="40% - Ênfase4 6 2 5 4" xfId="19859"/>
    <cellStyle name="40% - Ênfase4 6 2 2 3 4" xfId="19860"/>
    <cellStyle name="40% - Ênfase4 6 2 3 3 4" xfId="19861"/>
    <cellStyle name="40% - Ênfase4 6 3 3 4" xfId="19862"/>
    <cellStyle name="40% - Ênfase4 6 4 3 4" xfId="19863"/>
    <cellStyle name="40% - Ênfase4 8 5 4" xfId="19864"/>
    <cellStyle name="40% - Ênfase4 8 2 3 4" xfId="19865"/>
    <cellStyle name="40% - Ênfase4 8 3 3 4" xfId="19866"/>
    <cellStyle name="40% - Ênfase5 2 2 7 4" xfId="19867"/>
    <cellStyle name="40% - Ênfase5 2 2 2 5 4" xfId="19868"/>
    <cellStyle name="40% - Ênfase5 2 2 2 2 3 4" xfId="19869"/>
    <cellStyle name="40% - Ênfase5 2 2 2 3 3 4" xfId="19870"/>
    <cellStyle name="40% - Ênfase5 2 2 3 3 4" xfId="19871"/>
    <cellStyle name="40% - Ênfase5 2 2 4 3 4" xfId="19872"/>
    <cellStyle name="40% - Ênfase5 2 2 5 3 4" xfId="19873"/>
    <cellStyle name="40% - Ênfase5 2 3 6 4" xfId="19874"/>
    <cellStyle name="40% - Ênfase5 2 3 2 5 4" xfId="19875"/>
    <cellStyle name="40% - Ênfase5 2 3 2 2 3 4" xfId="19876"/>
    <cellStyle name="40% - Ênfase5 2 3 2 3 3 4" xfId="19877"/>
    <cellStyle name="40% - Ênfase5 2 3 3 3 4" xfId="19878"/>
    <cellStyle name="40% - Ênfase5 2 3 4 3 4" xfId="19879"/>
    <cellStyle name="40% - Ênfase5 2 5 5 4" xfId="19880"/>
    <cellStyle name="40% - Ênfase5 2 5 2 3 4" xfId="19881"/>
    <cellStyle name="40% - Ênfase5 2 5 3 3 4" xfId="19882"/>
    <cellStyle name="40% - Ênfase5 3 9 4" xfId="19883"/>
    <cellStyle name="40% - Ênfase5 3 2 6 4" xfId="19884"/>
    <cellStyle name="40% - Ênfase5 3 2 2 5 4" xfId="19885"/>
    <cellStyle name="40% - Ênfase5 3 2 2 2 3 4" xfId="19886"/>
    <cellStyle name="40% - Ênfase5 3 2 2 3 3 4" xfId="19887"/>
    <cellStyle name="40% - Ênfase5 3 2 3 3 4" xfId="19888"/>
    <cellStyle name="40% - Ênfase5 3 2 4 3 4" xfId="19889"/>
    <cellStyle name="40% - Ênfase5 3 3 5 4" xfId="19890"/>
    <cellStyle name="40% - Ênfase5 3 3 2 3 4" xfId="19891"/>
    <cellStyle name="40% - Ênfase5 3 3 3 3 4" xfId="19892"/>
    <cellStyle name="40% - Ênfase5 3 4 5 4" xfId="19893"/>
    <cellStyle name="40% - Ênfase5 3 4 2 3 4" xfId="19894"/>
    <cellStyle name="40% - Ênfase5 3 4 3 3 4" xfId="19895"/>
    <cellStyle name="40% - Ênfase5 3 5 3 4" xfId="19896"/>
    <cellStyle name="40% - Ênfase5 3 6 3 4" xfId="19897"/>
    <cellStyle name="40% - Ênfase5 3 7 3 4" xfId="19898"/>
    <cellStyle name="40% - Ênfase5 4 9 4" xfId="19899"/>
    <cellStyle name="40% - Ênfase5 4 2 6 4" xfId="19900"/>
    <cellStyle name="40% - Ênfase5 4 2 2 5 4" xfId="19901"/>
    <cellStyle name="40% - Ênfase5 4 2 2 2 3 4" xfId="19902"/>
    <cellStyle name="40% - Ênfase5 4 2 2 3 3 4" xfId="19903"/>
    <cellStyle name="40% - Ênfase5 4 2 3 3 4" xfId="19904"/>
    <cellStyle name="40% - Ênfase5 4 2 4 3 4" xfId="19905"/>
    <cellStyle name="40% - Ênfase5 4 3 5 4" xfId="19906"/>
    <cellStyle name="40% - Ênfase5 4 3 2 3 4" xfId="19907"/>
    <cellStyle name="40% - Ênfase5 4 3 3 3 4" xfId="19908"/>
    <cellStyle name="40% - Ênfase5 4 4 5 4" xfId="19909"/>
    <cellStyle name="40% - Ênfase5 4 4 2 3 4" xfId="19910"/>
    <cellStyle name="40% - Ênfase5 4 4 3 3 4" xfId="19911"/>
    <cellStyle name="40% - Ênfase5 4 5 3 4" xfId="19912"/>
    <cellStyle name="40% - Ênfase5 4 6 3 4" xfId="19913"/>
    <cellStyle name="40% - Ênfase5 4 7 3 4" xfId="19914"/>
    <cellStyle name="40% - Ênfase5 5 7 4" xfId="19915"/>
    <cellStyle name="40% - Ênfase5 5 2 5 4" xfId="19916"/>
    <cellStyle name="40% - Ênfase5 5 2 2 3 4" xfId="19917"/>
    <cellStyle name="40% - Ênfase5 5 2 3 3 4" xfId="19918"/>
    <cellStyle name="40% - Ênfase5 5 3 3 4" xfId="19919"/>
    <cellStyle name="40% - Ênfase5 5 4 3 4" xfId="19920"/>
    <cellStyle name="40% - Ênfase5 5 5 3 4" xfId="19921"/>
    <cellStyle name="40% - Ênfase5 6 6 4" xfId="19922"/>
    <cellStyle name="40% - Ênfase5 6 2 5 4" xfId="19923"/>
    <cellStyle name="40% - Ênfase5 6 2 2 3 4" xfId="19924"/>
    <cellStyle name="40% - Ênfase5 6 2 3 3 4" xfId="19925"/>
    <cellStyle name="40% - Ênfase5 6 3 3 4" xfId="19926"/>
    <cellStyle name="40% - Ênfase5 6 4 3 4" xfId="19927"/>
    <cellStyle name="40% - Ênfase5 8 5 4" xfId="19928"/>
    <cellStyle name="40% - Ênfase5 8 2 3 4" xfId="19929"/>
    <cellStyle name="40% - Ênfase5 8 3 3 4" xfId="19930"/>
    <cellStyle name="40% - Ênfase6 2 2 7 4" xfId="19931"/>
    <cellStyle name="40% - Ênfase6 2 2 2 5 4" xfId="19932"/>
    <cellStyle name="40% - Ênfase6 2 2 2 2 3 4" xfId="19933"/>
    <cellStyle name="40% - Ênfase6 2 2 2 3 3 4" xfId="19934"/>
    <cellStyle name="40% - Ênfase6 2 2 3 3 4" xfId="19935"/>
    <cellStyle name="40% - Ênfase6 2 2 4 3 4" xfId="19936"/>
    <cellStyle name="40% - Ênfase6 2 2 5 3 4" xfId="19937"/>
    <cellStyle name="40% - Ênfase6 2 3 6 4" xfId="19938"/>
    <cellStyle name="40% - Ênfase6 2 3 2 5 4" xfId="19939"/>
    <cellStyle name="40% - Ênfase6 2 3 2 2 3 4" xfId="19940"/>
    <cellStyle name="40% - Ênfase6 2 3 2 3 3 4" xfId="19941"/>
    <cellStyle name="40% - Ênfase6 2 3 3 3 4" xfId="19942"/>
    <cellStyle name="40% - Ênfase6 2 3 4 3 4" xfId="19943"/>
    <cellStyle name="40% - Ênfase6 2 5 5 4" xfId="19944"/>
    <cellStyle name="40% - Ênfase6 2 5 2 3 4" xfId="19945"/>
    <cellStyle name="40% - Ênfase6 2 5 3 3 4" xfId="19946"/>
    <cellStyle name="40% - Ênfase6 3 9 4" xfId="19947"/>
    <cellStyle name="40% - Ênfase6 3 2 6 4" xfId="19948"/>
    <cellStyle name="40% - Ênfase6 3 2 2 5 4" xfId="19949"/>
    <cellStyle name="40% - Ênfase6 3 2 2 2 3 4" xfId="19950"/>
    <cellStyle name="40% - Ênfase6 3 2 2 3 3 4" xfId="19951"/>
    <cellStyle name="40% - Ênfase6 3 2 3 3 4" xfId="19952"/>
    <cellStyle name="40% - Ênfase6 3 2 4 3 4" xfId="19953"/>
    <cellStyle name="40% - Ênfase6 3 3 5 4" xfId="19954"/>
    <cellStyle name="40% - Ênfase6 3 3 2 3 4" xfId="19955"/>
    <cellStyle name="40% - Ênfase6 3 3 3 3 4" xfId="19956"/>
    <cellStyle name="40% - Ênfase6 3 4 5 4" xfId="19957"/>
    <cellStyle name="40% - Ênfase6 3 4 2 3 4" xfId="19958"/>
    <cellStyle name="40% - Ênfase6 3 4 3 3 4" xfId="19959"/>
    <cellStyle name="40% - Ênfase6 3 5 3 4" xfId="19960"/>
    <cellStyle name="40% - Ênfase6 3 6 3 4" xfId="19961"/>
    <cellStyle name="40% - Ênfase6 3 7 3 4" xfId="19962"/>
    <cellStyle name="40% - Ênfase6 4 9 4" xfId="19963"/>
    <cellStyle name="40% - Ênfase6 4 2 6 4" xfId="19964"/>
    <cellStyle name="40% - Ênfase6 4 2 2 5 4" xfId="19965"/>
    <cellStyle name="40% - Ênfase6 4 2 2 2 3 4" xfId="19966"/>
    <cellStyle name="40% - Ênfase6 4 2 2 3 3 4" xfId="19967"/>
    <cellStyle name="40% - Ênfase6 4 2 3 3 4" xfId="19968"/>
    <cellStyle name="40% - Ênfase6 4 2 4 3 4" xfId="19969"/>
    <cellStyle name="40% - Ênfase6 4 3 5 4" xfId="19970"/>
    <cellStyle name="40% - Ênfase6 4 3 2 3 4" xfId="19971"/>
    <cellStyle name="40% - Ênfase6 4 3 3 3 4" xfId="19972"/>
    <cellStyle name="40% - Ênfase6 4 4 5 4" xfId="19973"/>
    <cellStyle name="40% - Ênfase6 4 4 2 3 4" xfId="19974"/>
    <cellStyle name="40% - Ênfase6 4 4 3 3 4" xfId="19975"/>
    <cellStyle name="40% - Ênfase6 4 5 3 4" xfId="19976"/>
    <cellStyle name="40% - Ênfase6 4 6 3 4" xfId="19977"/>
    <cellStyle name="40% - Ênfase6 4 7 3 4" xfId="19978"/>
    <cellStyle name="40% - Ênfase6 5 7 4" xfId="19979"/>
    <cellStyle name="40% - Ênfase6 5 2 5 4" xfId="19980"/>
    <cellStyle name="40% - Ênfase6 5 2 2 3 4" xfId="19981"/>
    <cellStyle name="40% - Ênfase6 5 2 3 3 4" xfId="19982"/>
    <cellStyle name="40% - Ênfase6 5 3 3 4" xfId="19983"/>
    <cellStyle name="40% - Ênfase6 5 4 3 4" xfId="19984"/>
    <cellStyle name="40% - Ênfase6 5 5 3 4" xfId="19985"/>
    <cellStyle name="40% - Ênfase6 6 6 4" xfId="19986"/>
    <cellStyle name="40% - Ênfase6 6 2 5 4" xfId="19987"/>
    <cellStyle name="40% - Ênfase6 6 2 2 3 4" xfId="19988"/>
    <cellStyle name="40% - Ênfase6 6 2 3 3 4" xfId="19989"/>
    <cellStyle name="40% - Ênfase6 6 3 3 4" xfId="19990"/>
    <cellStyle name="40% - Ênfase6 6 4 3 4" xfId="19991"/>
    <cellStyle name="40% - Ênfase6 8 5 4" xfId="19992"/>
    <cellStyle name="40% - Ênfase6 8 2 3 4" xfId="19993"/>
    <cellStyle name="40% - Ênfase6 8 3 3 4" xfId="19994"/>
    <cellStyle name="Normal 3 3 5 4" xfId="19995"/>
    <cellStyle name="Normal 3 3 2 3 4" xfId="19996"/>
    <cellStyle name="Normal 3 3 3 3 4" xfId="19997"/>
    <cellStyle name="Normal 3 4 3 4" xfId="19998"/>
    <cellStyle name="Normal 3 5 3 4" xfId="19999"/>
    <cellStyle name="Normal 3 6 3 4" xfId="20000"/>
    <cellStyle name="Normal 4 2 7 4" xfId="20001"/>
    <cellStyle name="Normal 4 2 2 5 4" xfId="20002"/>
    <cellStyle name="Normal 4 2 2 2 3 4" xfId="20003"/>
    <cellStyle name="Normal 4 2 2 3 3 4" xfId="20004"/>
    <cellStyle name="Normal 4 2 3 3 4" xfId="20005"/>
    <cellStyle name="Normal 4 2 4 3 4" xfId="20006"/>
    <cellStyle name="Normal 4 2 5 3 4" xfId="20007"/>
    <cellStyle name="Normal 4 3 6 4" xfId="20008"/>
    <cellStyle name="Normal 4 3 2 5 4" xfId="20009"/>
    <cellStyle name="Normal 4 3 2 2 3 4" xfId="20010"/>
    <cellStyle name="Normal 4 3 2 3 3 4" xfId="20011"/>
    <cellStyle name="Normal 4 3 3 3 4" xfId="20012"/>
    <cellStyle name="Normal 4 3 4 3 4" xfId="20013"/>
    <cellStyle name="Normal 4 5 5 4" xfId="20014"/>
    <cellStyle name="Normal 4 5 2 3 4" xfId="20015"/>
    <cellStyle name="Normal 4 5 3 3 4" xfId="20016"/>
    <cellStyle name="Normal 5 2 8 4" xfId="20017"/>
    <cellStyle name="Normal 5 2 2 5 4" xfId="20018"/>
    <cellStyle name="Normal 5 2 2 2 3 4" xfId="20019"/>
    <cellStyle name="Normal 5 2 2 3 3 4" xfId="20020"/>
    <cellStyle name="Normal 5 2 3 3 4" xfId="20021"/>
    <cellStyle name="Normal 5 2 4 3 4" xfId="20022"/>
    <cellStyle name="Normal 5 2 5 3 4" xfId="20023"/>
    <cellStyle name="Normal 5 3 6 4" xfId="20024"/>
    <cellStyle name="Normal 5 3 2 5 4" xfId="20025"/>
    <cellStyle name="Normal 5 3 2 2 3 4" xfId="20026"/>
    <cellStyle name="Normal 5 3 2 3 3 4" xfId="20027"/>
    <cellStyle name="Normal 5 3 3 3 4" xfId="20028"/>
    <cellStyle name="Normal 5 3 4 3 4" xfId="20029"/>
    <cellStyle name="Normal 5 5 5 4" xfId="20030"/>
    <cellStyle name="Normal 5 5 2 3 4" xfId="20031"/>
    <cellStyle name="Normal 5 5 3 3 4" xfId="20032"/>
    <cellStyle name="Normal 6 4 3 4" xfId="20033"/>
    <cellStyle name="Normal 7 2 6 2 4" xfId="20034"/>
    <cellStyle name="Normal 7 2 2 4 2 3" xfId="20035"/>
    <cellStyle name="Normal 7 2 2 2 3 4" xfId="20036"/>
    <cellStyle name="Normal 7 2 2 3 3 4" xfId="20037"/>
    <cellStyle name="Normal 7 2 3 3 4" xfId="20038"/>
    <cellStyle name="Normal 7 2 4 3 4" xfId="20039"/>
    <cellStyle name="Normal 7 2 5 3 4" xfId="20040"/>
    <cellStyle name="Normal 7 3 5 2 4" xfId="20041"/>
    <cellStyle name="Normal 7 3 2 5 4" xfId="20042"/>
    <cellStyle name="Normal 7 3 2 2 3 4" xfId="20043"/>
    <cellStyle name="Normal 7 3 2 3 3 4" xfId="20044"/>
    <cellStyle name="Normal 7 3 3 3 4" xfId="20045"/>
    <cellStyle name="Normal 7 3 4 3 4" xfId="20046"/>
    <cellStyle name="Normal 7 5 5 4" xfId="20047"/>
    <cellStyle name="Normal 7 5 2 3 4" xfId="20048"/>
    <cellStyle name="Normal 7 5 3 3 4" xfId="20049"/>
    <cellStyle name="Normal 8 9 2 4" xfId="20050"/>
    <cellStyle name="Normal 8 2 5 2 4" xfId="20051"/>
    <cellStyle name="Normal 8 2 2 4 2 3" xfId="20052"/>
    <cellStyle name="Normal 8 2 2 2 3 4" xfId="20053"/>
    <cellStyle name="Normal 8 2 2 3 3 4" xfId="20054"/>
    <cellStyle name="Normal 8 2 3 3 4" xfId="20055"/>
    <cellStyle name="Normal 8 2 4 3 4" xfId="20056"/>
    <cellStyle name="Normal 8 3 4 2 4" xfId="20057"/>
    <cellStyle name="Normal 8 3 2 2 2 3" xfId="20058"/>
    <cellStyle name="Normal 8 3 3 3 4" xfId="20059"/>
    <cellStyle name="Normal 8 4 4 2 3" xfId="20060"/>
    <cellStyle name="Normal 8 4 2 2 2 3" xfId="20061"/>
    <cellStyle name="Normal 8 4 3 3 4" xfId="20062"/>
    <cellStyle name="Normal 8 5 4 2 3" xfId="20063"/>
    <cellStyle name="Normal 8 6 2 2 3" xfId="20064"/>
    <cellStyle name="Normal 8 7 3 4" xfId="20065"/>
    <cellStyle name="Nota 2 2 7 4" xfId="20066"/>
    <cellStyle name="Nota 2 2 2 5 4" xfId="20067"/>
    <cellStyle name="Nota 2 2 2 2 3 4" xfId="20068"/>
    <cellStyle name="Nota 2 2 2 3 3 4" xfId="20069"/>
    <cellStyle name="Nota 2 2 3 3 4" xfId="20070"/>
    <cellStyle name="Nota 2 2 4 3 4" xfId="20071"/>
    <cellStyle name="Nota 2 2 5 3 4" xfId="20072"/>
    <cellStyle name="Nota 2 3 6 4" xfId="20073"/>
    <cellStyle name="Nota 2 3 2 5 4" xfId="20074"/>
    <cellStyle name="Nota 2 3 2 2 3 4" xfId="20075"/>
    <cellStyle name="Nota 2 3 2 3 3 4" xfId="20076"/>
    <cellStyle name="Nota 2 3 3 3 4" xfId="20077"/>
    <cellStyle name="Nota 2 3 4 3 4" xfId="20078"/>
    <cellStyle name="Nota 2 5 5 4" xfId="20079"/>
    <cellStyle name="Nota 2 5 2 3 4" xfId="20080"/>
    <cellStyle name="Nota 2 5 3 3 4" xfId="20081"/>
    <cellStyle name="Nota 3 2 7 4" xfId="20082"/>
    <cellStyle name="Nota 3 2 2 5 4" xfId="20083"/>
    <cellStyle name="Nota 3 2 2 2 3 4" xfId="20084"/>
    <cellStyle name="Nota 3 2 2 3 3 4" xfId="20085"/>
    <cellStyle name="Nota 3 2 3 3 4" xfId="20086"/>
    <cellStyle name="Nota 3 2 4 3 4" xfId="20087"/>
    <cellStyle name="Nota 3 2 5 3 4" xfId="20088"/>
    <cellStyle name="Nota 3 3 6 4" xfId="20089"/>
    <cellStyle name="Nota 3 3 2 5 4" xfId="20090"/>
    <cellStyle name="Nota 3 3 2 2 3 4" xfId="20091"/>
    <cellStyle name="Nota 3 3 2 3 3 4" xfId="20092"/>
    <cellStyle name="Nota 3 3 3 3 4" xfId="20093"/>
    <cellStyle name="Nota 3 3 4 3 4" xfId="20094"/>
    <cellStyle name="Nota 3 5 5 4" xfId="20095"/>
    <cellStyle name="Nota 3 5 2 3 4" xfId="20096"/>
    <cellStyle name="Nota 3 5 3 3 4" xfId="20097"/>
    <cellStyle name="Nota 4 8 2 4" xfId="20098"/>
    <cellStyle name="Nota 4 2 6 4" xfId="20099"/>
    <cellStyle name="Nota 4 2 2 5 4" xfId="20100"/>
    <cellStyle name="Nota 4 2 2 2 3 4" xfId="20101"/>
    <cellStyle name="Nota 4 2 2 3 3 4" xfId="20102"/>
    <cellStyle name="Nota 4 2 3 3 4" xfId="20103"/>
    <cellStyle name="Nota 4 2 4 3 4" xfId="20104"/>
    <cellStyle name="Nota 4 3 5 4" xfId="20105"/>
    <cellStyle name="Nota 4 3 2 3 4" xfId="20106"/>
    <cellStyle name="Nota 4 3 3 3 4" xfId="20107"/>
    <cellStyle name="Nota 4 4 5 4" xfId="20108"/>
    <cellStyle name="Nota 4 4 2 3 4" xfId="20109"/>
    <cellStyle name="Nota 4 4 3 3 4" xfId="20110"/>
    <cellStyle name="Nota 4 5 3 4" xfId="20111"/>
    <cellStyle name="Nota 4 6 3 4" xfId="20112"/>
    <cellStyle name="Nota 4 7 3 4" xfId="20113"/>
    <cellStyle name="Nota 5 9 4" xfId="20114"/>
    <cellStyle name="Nota 5 2 6 4" xfId="20115"/>
    <cellStyle name="Nota 5 2 2 5 4" xfId="20116"/>
    <cellStyle name="Nota 5 2 2 2 3 4" xfId="20117"/>
    <cellStyle name="Nota 5 2 2 3 3 4" xfId="20118"/>
    <cellStyle name="Nota 5 2 3 3 4" xfId="20119"/>
    <cellStyle name="Nota 5 2 4 3 4" xfId="20120"/>
    <cellStyle name="Nota 5 3 5 4" xfId="20121"/>
    <cellStyle name="Nota 5 3 2 3 4" xfId="20122"/>
    <cellStyle name="Nota 5 3 3 3 4" xfId="20123"/>
    <cellStyle name="Nota 5 4 5 4" xfId="20124"/>
    <cellStyle name="Nota 5 4 2 3 4" xfId="20125"/>
    <cellStyle name="Nota 5 4 3 3 4" xfId="20126"/>
    <cellStyle name="Nota 5 5 3 4" xfId="20127"/>
    <cellStyle name="Nota 5 6 3 4" xfId="20128"/>
    <cellStyle name="Nota 5 7 3 4" xfId="20129"/>
    <cellStyle name="Separador de milhares 2 2 4 2 4" xfId="20130"/>
    <cellStyle name="Separador de milhares 2 2 2 2 4" xfId="20131"/>
    <cellStyle name="Separador de milhares 2 2 3 2 4" xfId="20132"/>
    <cellStyle name="Separador de milhares 2 3 2 2 4" xfId="20133"/>
    <cellStyle name="Separador de milhares 2 4 2 4" xfId="20134"/>
    <cellStyle name="Separador de milhares 2 5 2 4" xfId="20135"/>
    <cellStyle name="Separador de milhares 2 6 2 4" xfId="20136"/>
    <cellStyle name="Separador de milhares 3 2 4 2 4" xfId="20137"/>
    <cellStyle name="Separador de milhares 3 2 2 2 4" xfId="20138"/>
    <cellStyle name="Separador de milhares 3 2 3 2 4" xfId="20139"/>
    <cellStyle name="Separador de milhares 3 4 2 2 3" xfId="20140"/>
    <cellStyle name="Separador de milhares 4 4 2 4" xfId="20141"/>
    <cellStyle name="Separador de milhares 4 2 3 2 3" xfId="20142"/>
    <cellStyle name="Separador de milhares 4 2 2 2 4" xfId="20143"/>
    <cellStyle name="Separador de milhares 4 3 2 2 3" xfId="20144"/>
    <cellStyle name="Separador de milhares 5 2 3 2 3" xfId="20145"/>
    <cellStyle name="Separador de milhares 5 2 2 2 4" xfId="20146"/>
    <cellStyle name="Separador de milhares 5 3 2 2 3" xfId="20147"/>
    <cellStyle name="Separador de milhares 5 4 2 4" xfId="20148"/>
    <cellStyle name="Separador de milhares 6 5 2 4" xfId="20149"/>
    <cellStyle name="Separador de milhares 6 2 3 2 3" xfId="20150"/>
    <cellStyle name="Separador de milhares 6 2 2 2 4" xfId="20151"/>
    <cellStyle name="Separador de milhares 6 3 2 2 3" xfId="20152"/>
    <cellStyle name="Separador de milhares 6 4 2 4" xfId="20153"/>
    <cellStyle name="Separador de milhares 7 3 2 2 3" xfId="20154"/>
    <cellStyle name="Vírgula 2 6 2 4" xfId="20155"/>
    <cellStyle name="Vírgula 2 2 3 5" xfId="20156"/>
    <cellStyle name="Vírgula 2 2 2 2 4" xfId="20157"/>
    <cellStyle name="Vírgula 2 3 3 5" xfId="20158"/>
    <cellStyle name="Vírgula 2 3 2 2 4" xfId="20159"/>
    <cellStyle name="Vírgula 2 4 2 4" xfId="20160"/>
    <cellStyle name="Vírgula 2 5 2 4" xfId="20161"/>
    <cellStyle name="Vírgula 3 4 2 4" xfId="20162"/>
    <cellStyle name="Vírgula 3 2 2 4" xfId="20163"/>
    <cellStyle name="Vírgula 3 3 2 4" xfId="20164"/>
    <cellStyle name="Vírgula 4 4 2 4" xfId="20165"/>
    <cellStyle name="Vírgula 4 2 3 2 4" xfId="20166"/>
    <cellStyle name="Vírgula 4 2 2 2 2 3" xfId="20167"/>
    <cellStyle name="Vírgula 4 3 2 4" xfId="20168"/>
    <cellStyle name="Vírgula 5 3 2 4" xfId="20169"/>
    <cellStyle name="Vírgula 5 2 2 4" xfId="20170"/>
    <cellStyle name="Vírgula 6 2 2 4" xfId="20171"/>
    <cellStyle name="Vírgula 8 2 2 2 3" xfId="20172"/>
    <cellStyle name="Vírgula 9 2 2 4" xfId="20173"/>
    <cellStyle name="Comma 4 3 2 3" xfId="20174"/>
    <cellStyle name="Normal 13 7" xfId="20175"/>
    <cellStyle name="Comma 5 3 2 3" xfId="20176"/>
    <cellStyle name="Comma 6 2 3" xfId="20177"/>
    <cellStyle name="Comma 7 2 3" xfId="20178"/>
    <cellStyle name="Vírgula 10 5 3" xfId="20179"/>
    <cellStyle name="Comma 8 2 3" xfId="20180"/>
    <cellStyle name="Comma 9 2 3" xfId="20181"/>
    <cellStyle name="Comma 10 2 3" xfId="20182"/>
    <cellStyle name="Vírgula 10 2 2 3" xfId="20183"/>
    <cellStyle name="Separador de milhares 2 7 2 2 3" xfId="20184"/>
    <cellStyle name="Comma 11 2 3" xfId="20185"/>
    <cellStyle name="Vírgula 10 3 2 3" xfId="20186"/>
    <cellStyle name="Separador de milhares 2 7 3 2 3" xfId="20187"/>
    <cellStyle name="Porcentagem 12 3 3" xfId="20188"/>
    <cellStyle name="Normal 55 2 3" xfId="20189"/>
    <cellStyle name="Percent 14 2 3" xfId="20190"/>
    <cellStyle name="Normal 3 9 2 3" xfId="20191"/>
    <cellStyle name="Vírgula 11 2 4" xfId="20192"/>
    <cellStyle name="Normal 3 7 2 2 3" xfId="20193"/>
    <cellStyle name="20% - Ênfase1 5 6 2 4" xfId="20194"/>
    <cellStyle name="40% - Ênfase1 5 6 2 4" xfId="20195"/>
    <cellStyle name="20% - Ênfase2 5 6 2 4" xfId="20196"/>
    <cellStyle name="40% - Ênfase2 5 6 2 4" xfId="20197"/>
    <cellStyle name="20% - Ênfase3 5 6 2 4" xfId="20198"/>
    <cellStyle name="40% - Ênfase3 5 6 2 4" xfId="20199"/>
    <cellStyle name="20% - Ênfase4 5 6 2 4" xfId="20200"/>
    <cellStyle name="40% - Ênfase4 5 6 2 4" xfId="20201"/>
    <cellStyle name="20% - Ênfase5 5 6 2 4" xfId="20202"/>
    <cellStyle name="40% - Ênfase5 5 6 2 4" xfId="20203"/>
    <cellStyle name="20% - Ênfase6 5 6 2 4" xfId="20204"/>
    <cellStyle name="40% - Ênfase6 5 6 2 4" xfId="20205"/>
    <cellStyle name="Normal 4 2 6 2 4" xfId="20206"/>
    <cellStyle name="Nota 2 2 6 2 4" xfId="20207"/>
    <cellStyle name="Normal 5 2 7 2 4" xfId="20208"/>
    <cellStyle name="Nota 3 2 6 2 4" xfId="20209"/>
    <cellStyle name="20% - Ênfase1 2 2 6 2 4" xfId="20210"/>
    <cellStyle name="40% - Ênfase1 2 2 6 2 4" xfId="20211"/>
    <cellStyle name="20% - Ênfase2 2 2 6 2 4" xfId="20212"/>
    <cellStyle name="40% - Ênfase2 2 2 6 2 4" xfId="20213"/>
    <cellStyle name="20% - Ênfase3 2 2 6 2 4" xfId="20214"/>
    <cellStyle name="40% - Ênfase3 2 2 6 2 4" xfId="20215"/>
    <cellStyle name="20% - Ênfase4 2 2 6 2 4" xfId="20216"/>
    <cellStyle name="40% - Ênfase4 2 2 6 2 4" xfId="20217"/>
    <cellStyle name="20% - Ênfase5 2 2 6 2 4" xfId="20218"/>
    <cellStyle name="40% - Ênfase5 2 2 6 2 4" xfId="20219"/>
    <cellStyle name="20% - Ênfase6 2 2 6 2 4" xfId="20220"/>
    <cellStyle name="40% - Ênfase6 2 2 6 2 4" xfId="20221"/>
    <cellStyle name="Normal 7 2 7 2 3" xfId="20222"/>
    <cellStyle name="Nota 4 9 2 3" xfId="20223"/>
    <cellStyle name="20% - Ênfase1 3 8 2 4" xfId="20224"/>
    <cellStyle name="40% - Ênfase1 3 8 2 4" xfId="20225"/>
    <cellStyle name="20% - Ênfase2 3 8 2 4" xfId="20226"/>
    <cellStyle name="40% - Ênfase2 3 8 2 4" xfId="20227"/>
    <cellStyle name="20% - Ênfase3 3 8 2 4" xfId="20228"/>
    <cellStyle name="40% - Ênfase3 3 8 2 4" xfId="20229"/>
    <cellStyle name="20% - Ênfase4 3 8 2 4" xfId="20230"/>
    <cellStyle name="40% - Ênfase4 3 8 2 4" xfId="20231"/>
    <cellStyle name="20% - Ênfase5 3 8 2 4" xfId="20232"/>
    <cellStyle name="40% - Ênfase5 3 8 2 4" xfId="20233"/>
    <cellStyle name="20% - Ênfase6 3 8 2 4" xfId="20234"/>
    <cellStyle name="40% - Ênfase6 3 8 2 4" xfId="20235"/>
    <cellStyle name="Normal 8 12 2 3" xfId="20236"/>
    <cellStyle name="Nota 5 8 2 4" xfId="20237"/>
    <cellStyle name="20% - Ênfase1 4 8 2 4" xfId="20238"/>
    <cellStyle name="40% - Ênfase1 4 8 2 4" xfId="20239"/>
    <cellStyle name="20% - Ênfase2 4 8 2 4" xfId="20240"/>
    <cellStyle name="40% - Ênfase2 4 8 2 4" xfId="20241"/>
    <cellStyle name="20% - Ênfase3 4 8 2 4" xfId="20242"/>
    <cellStyle name="40% - Ênfase3 4 8 2 4" xfId="20243"/>
    <cellStyle name="20% - Ênfase4 4 8 2 4" xfId="20244"/>
    <cellStyle name="40% - Ênfase4 4 8 2 4" xfId="20245"/>
    <cellStyle name="20% - Ênfase5 4 8 2 4" xfId="20246"/>
    <cellStyle name="40% - Ênfase5 4 8 2 4" xfId="20247"/>
    <cellStyle name="20% - Ênfase6 4 8 2 4" xfId="20248"/>
    <cellStyle name="40% - Ênfase6 4 8 2 4" xfId="20249"/>
    <cellStyle name="20% - Ênfase1 6 5 2 4" xfId="20250"/>
    <cellStyle name="40% - Ênfase1 6 5 2 4" xfId="20251"/>
    <cellStyle name="20% - Ênfase2 6 5 2 4" xfId="20252"/>
    <cellStyle name="40% - Ênfase2 6 5 2 4" xfId="20253"/>
    <cellStyle name="20% - Ênfase3 6 5 2 4" xfId="20254"/>
    <cellStyle name="40% - Ênfase3 6 5 2 4" xfId="20255"/>
    <cellStyle name="20% - Ênfase4 6 5 2 4" xfId="20256"/>
    <cellStyle name="40% - Ênfase4 6 5 2 4" xfId="20257"/>
    <cellStyle name="20% - Ênfase5 6 5 2 4" xfId="20258"/>
    <cellStyle name="40% - Ênfase5 6 5 2 4" xfId="20259"/>
    <cellStyle name="20% - Ênfase6 6 5 2 4" xfId="20260"/>
    <cellStyle name="40% - Ênfase6 6 5 2 4" xfId="20261"/>
    <cellStyle name="Normal 4 3 5 2 4" xfId="20262"/>
    <cellStyle name="Nota 2 3 5 2 4" xfId="20263"/>
    <cellStyle name="Normal 5 3 5 2 4" xfId="20264"/>
    <cellStyle name="Nota 3 3 5 2 4" xfId="20265"/>
    <cellStyle name="20% - Ênfase1 2 3 5 2 4" xfId="20266"/>
    <cellStyle name="40% - Ênfase1 2 3 5 2 4" xfId="20267"/>
    <cellStyle name="20% - Ênfase2 2 3 5 2 4" xfId="20268"/>
    <cellStyle name="40% - Ênfase2 2 3 5 2 4" xfId="20269"/>
    <cellStyle name="20% - Ênfase3 2 3 5 2 4" xfId="20270"/>
    <cellStyle name="40% - Ênfase3 2 3 5 2 4" xfId="20271"/>
    <cellStyle name="20% - Ênfase4 2 3 5 2 4" xfId="20272"/>
    <cellStyle name="40% - Ênfase4 2 3 5 2 4" xfId="20273"/>
    <cellStyle name="20% - Ênfase5 2 3 5 2 4" xfId="20274"/>
    <cellStyle name="40% - Ênfase5 2 3 5 2 4" xfId="20275"/>
    <cellStyle name="20% - Ênfase6 2 3 5 2 4" xfId="20276"/>
    <cellStyle name="40% - Ênfase6 2 3 5 2 4" xfId="20277"/>
    <cellStyle name="Normal 7 3 6 2 3" xfId="20278"/>
    <cellStyle name="Nota 4 2 5 2 4" xfId="20279"/>
    <cellStyle name="20% - Ênfase1 3 2 5 2 4" xfId="20280"/>
    <cellStyle name="40% - Ênfase1 3 2 5 2 4" xfId="20281"/>
    <cellStyle name="20% - Ênfase2 3 2 5 2 4" xfId="20282"/>
    <cellStyle name="40% - Ênfase2 3 2 5 2 4" xfId="20283"/>
    <cellStyle name="20% - Ênfase3 3 2 5 2 4" xfId="20284"/>
    <cellStyle name="40% - Ênfase3 3 2 5 2 4" xfId="20285"/>
    <cellStyle name="20% - Ênfase4 3 2 5 2 4" xfId="20286"/>
    <cellStyle name="40% - Ênfase4 3 2 5 2 4" xfId="20287"/>
    <cellStyle name="20% - Ênfase5 3 2 5 2 4" xfId="20288"/>
    <cellStyle name="40% - Ênfase5 3 2 5 2 4" xfId="20289"/>
    <cellStyle name="20% - Ênfase6 3 2 5 2 4" xfId="20290"/>
    <cellStyle name="40% - Ênfase6 3 2 5 2 4" xfId="20291"/>
    <cellStyle name="Normal 8 2 6 2 3" xfId="20292"/>
    <cellStyle name="Nota 5 2 5 2 4" xfId="20293"/>
    <cellStyle name="20% - Ênfase1 4 2 5 2 4" xfId="20294"/>
    <cellStyle name="40% - Ênfase1 4 2 5 2 4" xfId="20295"/>
    <cellStyle name="20% - Ênfase2 4 2 5 2 4" xfId="20296"/>
    <cellStyle name="40% - Ênfase2 4 2 5 2 4" xfId="20297"/>
    <cellStyle name="20% - Ênfase3 4 2 5 2 4" xfId="20298"/>
    <cellStyle name="40% - Ênfase3 4 2 5 2 4" xfId="20299"/>
    <cellStyle name="20% - Ênfase4 4 2 5 2 4" xfId="20300"/>
    <cellStyle name="40% - Ênfase4 4 2 5 2 4" xfId="20301"/>
    <cellStyle name="20% - Ênfase5 4 2 5 2 4" xfId="20302"/>
    <cellStyle name="40% - Ênfase5 4 2 5 2 4" xfId="20303"/>
    <cellStyle name="20% - Ênfase6 4 2 5 2 4" xfId="20304"/>
    <cellStyle name="40% - Ênfase6 4 2 5 2 4" xfId="20305"/>
    <cellStyle name="20% - Ênfase1 8 4 2 3" xfId="20306"/>
    <cellStyle name="40% - Ênfase1 8 4 2 3" xfId="20307"/>
    <cellStyle name="20% - Ênfase2 8 4 2 3" xfId="20308"/>
    <cellStyle name="40% - Ênfase2 8 4 2 3" xfId="20309"/>
    <cellStyle name="20% - Ênfase3 8 4 2 3" xfId="20310"/>
    <cellStyle name="40% - Ênfase3 8 4 2 3" xfId="20311"/>
    <cellStyle name="20% - Ênfase4 8 4 2 3" xfId="20312"/>
    <cellStyle name="40% - Ênfase4 8 4 2 3" xfId="20313"/>
    <cellStyle name="20% - Ênfase5 8 4 2 3" xfId="20314"/>
    <cellStyle name="40% - Ênfase5 8 4 2 3" xfId="20315"/>
    <cellStyle name="20% - Ênfase6 8 4 2 3" xfId="20316"/>
    <cellStyle name="40% - Ênfase6 8 4 2 3" xfId="20317"/>
    <cellStyle name="Normal 4 5 4 2 3" xfId="20318"/>
    <cellStyle name="Nota 2 5 4 2 3" xfId="20319"/>
    <cellStyle name="Normal 5 5 4 2 3" xfId="20320"/>
    <cellStyle name="Nota 3 5 4 2 3" xfId="20321"/>
    <cellStyle name="20% - Ênfase1 2 5 4 2 3" xfId="20322"/>
    <cellStyle name="40% - Ênfase1 2 5 4 2 3" xfId="20323"/>
    <cellStyle name="20% - Ênfase2 2 5 4 2 3" xfId="20324"/>
    <cellStyle name="40% - Ênfase2 2 5 4 2 3" xfId="20325"/>
    <cellStyle name="20% - Ênfase3 2 5 4 2 3" xfId="20326"/>
    <cellStyle name="40% - Ênfase3 2 5 4 2 3" xfId="20327"/>
    <cellStyle name="20% - Ênfase4 2 5 4 2 3" xfId="20328"/>
    <cellStyle name="40% - Ênfase4 2 5 4 2 3" xfId="20329"/>
    <cellStyle name="20% - Ênfase5 2 5 4 2 3" xfId="20330"/>
    <cellStyle name="40% - Ênfase5 2 5 4 2 3" xfId="20331"/>
    <cellStyle name="20% - Ênfase6 2 5 4 2 3" xfId="20332"/>
    <cellStyle name="40% - Ênfase6 2 5 4 2 3" xfId="20333"/>
    <cellStyle name="Normal 7 5 4 2 3" xfId="20334"/>
    <cellStyle name="Nota 4 4 4 2 3" xfId="20335"/>
    <cellStyle name="20% - Ênfase1 3 4 4 2 3" xfId="20336"/>
    <cellStyle name="40% - Ênfase1 3 4 4 2 3" xfId="20337"/>
    <cellStyle name="20% - Ênfase2 3 4 4 2 3" xfId="20338"/>
    <cellStyle name="40% - Ênfase2 3 4 4 2 3" xfId="20339"/>
    <cellStyle name="20% - Ênfase3 3 4 4 2 3" xfId="20340"/>
    <cellStyle name="40% - Ênfase3 3 4 4 2 3" xfId="20341"/>
    <cellStyle name="20% - Ênfase4 3 4 4 2 3" xfId="20342"/>
    <cellStyle name="40% - Ênfase4 3 4 4 2 3" xfId="20343"/>
    <cellStyle name="20% - Ênfase5 3 4 4 2 3" xfId="20344"/>
    <cellStyle name="40% - Ênfase5 3 4 4 2 3" xfId="20345"/>
    <cellStyle name="20% - Ênfase6 3 4 4 2 3" xfId="20346"/>
    <cellStyle name="40% - Ênfase6 3 4 4 2 3" xfId="20347"/>
    <cellStyle name="Normal 8 4 5 2 3" xfId="20348"/>
    <cellStyle name="Nota 5 4 4 2 3" xfId="20349"/>
    <cellStyle name="20% - Ênfase1 4 4 4 2 3" xfId="20350"/>
    <cellStyle name="40% - Ênfase1 4 4 4 2 3" xfId="20351"/>
    <cellStyle name="20% - Ênfase2 4 4 4 2 3" xfId="20352"/>
    <cellStyle name="40% - Ênfase2 4 4 4 2 3" xfId="20353"/>
    <cellStyle name="20% - Ênfase3 4 4 4 2 3" xfId="20354"/>
    <cellStyle name="40% - Ênfase3 4 4 4 2 3" xfId="20355"/>
    <cellStyle name="20% - Ênfase4 4 4 4 2 3" xfId="20356"/>
    <cellStyle name="40% - Ênfase4 4 4 4 2 3" xfId="20357"/>
    <cellStyle name="20% - Ênfase5 4 4 4 2 3" xfId="20358"/>
    <cellStyle name="40% - Ênfase5 4 4 4 2 3" xfId="20359"/>
    <cellStyle name="20% - Ênfase6 4 4 4 2 3" xfId="20360"/>
    <cellStyle name="40% - Ênfase6 4 4 4 2 3" xfId="20361"/>
    <cellStyle name="Normal 3 3 4 2 4" xfId="20362"/>
    <cellStyle name="20% - Ênfase1 5 2 4 2 3" xfId="20363"/>
    <cellStyle name="40% - Ênfase1 5 2 4 2 3" xfId="20364"/>
    <cellStyle name="20% - Ênfase2 5 2 4 2 3" xfId="20365"/>
    <cellStyle name="40% - Ênfase2 5 2 4 2 3" xfId="20366"/>
    <cellStyle name="20% - Ênfase3 5 2 4 2 3" xfId="20367"/>
    <cellStyle name="40% - Ênfase3 5 2 4 2 3" xfId="20368"/>
    <cellStyle name="20% - Ênfase4 5 2 4 2 3" xfId="20369"/>
    <cellStyle name="40% - Ênfase4 5 2 4 2 3" xfId="20370"/>
    <cellStyle name="20% - Ênfase5 5 2 4 2 3" xfId="20371"/>
    <cellStyle name="40% - Ênfase5 5 2 4 2 3" xfId="20372"/>
    <cellStyle name="20% - Ênfase6 5 2 4 2 3" xfId="20373"/>
    <cellStyle name="40% - Ênfase6 5 2 4 2 3" xfId="20374"/>
    <cellStyle name="Normal 4 2 2 4 2 3" xfId="20375"/>
    <cellStyle name="Nota 2 2 2 4 2 3" xfId="20376"/>
    <cellStyle name="Normal 5 2 2 4 2 3" xfId="20377"/>
    <cellStyle name="Nota 3 2 2 4 2 3" xfId="20378"/>
    <cellStyle name="20% - Ênfase1 2 2 2 4 2 3" xfId="20379"/>
    <cellStyle name="40% - Ênfase1 2 2 2 4 2 3" xfId="20380"/>
    <cellStyle name="20% - Ênfase2 2 2 2 4 2 3" xfId="20381"/>
    <cellStyle name="40% - Ênfase2 2 2 2 4 2 3" xfId="20382"/>
    <cellStyle name="20% - Ênfase3 2 2 2 4 2 3" xfId="20383"/>
    <cellStyle name="40% - Ênfase3 2 2 2 4 2 3" xfId="20384"/>
    <cellStyle name="20% - Ênfase4 2 2 2 4 2 3" xfId="20385"/>
    <cellStyle name="40% - Ênfase4 2 2 2 4 2 3" xfId="20386"/>
    <cellStyle name="20% - Ênfase5 2 2 2 4 2 3" xfId="20387"/>
    <cellStyle name="40% - Ênfase5 2 2 2 4 2 3" xfId="20388"/>
    <cellStyle name="20% - Ênfase6 2 2 2 4 2 3" xfId="20389"/>
    <cellStyle name="40% - Ênfase6 2 2 2 4 2 3" xfId="20390"/>
    <cellStyle name="Normal 7 2 2 5 2 3" xfId="20391"/>
    <cellStyle name="Nota 4 3 4 2 4" xfId="20392"/>
    <cellStyle name="20% - Ênfase1 3 3 4 2 4" xfId="20393"/>
    <cellStyle name="40% - Ênfase1 3 3 4 2 4" xfId="20394"/>
    <cellStyle name="20% - Ênfase2 3 3 4 2 4" xfId="20395"/>
    <cellStyle name="40% - Ênfase2 3 3 4 2 4" xfId="20396"/>
    <cellStyle name="20% - Ênfase3 3 3 4 2 4" xfId="20397"/>
    <cellStyle name="40% - Ênfase3 3 3 4 2 4" xfId="20398"/>
    <cellStyle name="20% - Ênfase4 3 3 4 2 4" xfId="20399"/>
    <cellStyle name="40% - Ênfase4 3 3 4 2 4" xfId="20400"/>
    <cellStyle name="20% - Ênfase5 3 3 4 2 4" xfId="20401"/>
    <cellStyle name="40% - Ênfase5 3 3 4 2 4" xfId="20402"/>
    <cellStyle name="20% - Ênfase6 3 3 4 2 4" xfId="20403"/>
    <cellStyle name="40% - Ênfase6 3 3 4 2 4" xfId="20404"/>
    <cellStyle name="Normal 8 3 5 2 3" xfId="20405"/>
    <cellStyle name="Nota 5 3 4 2 4" xfId="20406"/>
    <cellStyle name="20% - Ênfase1 4 3 4 2 4" xfId="20407"/>
    <cellStyle name="40% - Ênfase1 4 3 4 2 4" xfId="20408"/>
    <cellStyle name="20% - Ênfase2 4 3 4 2 4" xfId="20409"/>
    <cellStyle name="40% - Ênfase2 4 3 4 2 4" xfId="20410"/>
    <cellStyle name="20% - Ênfase3 4 3 4 2 4" xfId="20411"/>
    <cellStyle name="40% - Ênfase3 4 3 4 2 4" xfId="20412"/>
    <cellStyle name="20% - Ênfase4 4 3 4 2 4" xfId="20413"/>
    <cellStyle name="40% - Ênfase4 4 3 4 2 4" xfId="20414"/>
    <cellStyle name="20% - Ênfase5 4 3 4 2 4" xfId="20415"/>
    <cellStyle name="40% - Ênfase5 4 3 4 2 4" xfId="20416"/>
    <cellStyle name="20% - Ênfase6 4 3 4 2 4" xfId="20417"/>
    <cellStyle name="40% - Ênfase6 4 3 4 2 4" xfId="20418"/>
    <cellStyle name="20% - Ênfase1 6 2 4 2 3" xfId="20419"/>
    <cellStyle name="40% - Ênfase1 6 2 4 2 3" xfId="20420"/>
    <cellStyle name="20% - Ênfase2 6 2 4 2 3" xfId="20421"/>
    <cellStyle name="40% - Ênfase2 6 2 4 2 3" xfId="20422"/>
    <cellStyle name="20% - Ênfase3 6 2 4 2 3" xfId="20423"/>
    <cellStyle name="40% - Ênfase3 6 2 4 2 3" xfId="20424"/>
    <cellStyle name="20% - Ênfase4 6 2 4 2 3" xfId="20425"/>
    <cellStyle name="40% - Ênfase4 6 2 4 2 3" xfId="20426"/>
    <cellStyle name="20% - Ênfase5 6 2 4 2 3" xfId="20427"/>
    <cellStyle name="40% - Ênfase5 6 2 4 2 3" xfId="20428"/>
    <cellStyle name="20% - Ênfase6 6 2 4 2 3" xfId="20429"/>
    <cellStyle name="40% - Ênfase6 6 2 4 2 3" xfId="20430"/>
    <cellStyle name="Normal 4 3 2 4 2 3" xfId="20431"/>
    <cellStyle name="Nota 2 3 2 4 2 3" xfId="20432"/>
    <cellStyle name="Normal 5 3 2 4 2 3" xfId="20433"/>
    <cellStyle name="Nota 3 3 2 4 2 3" xfId="20434"/>
    <cellStyle name="20% - Ênfase1 2 3 2 4 2 3" xfId="20435"/>
    <cellStyle name="40% - Ênfase1 2 3 2 4 2 3" xfId="20436"/>
    <cellStyle name="20% - Ênfase2 2 3 2 4 2 3" xfId="20437"/>
    <cellStyle name="40% - Ênfase2 2 3 2 4 2 3" xfId="20438"/>
    <cellStyle name="20% - Ênfase3 2 3 2 4 2 3" xfId="20439"/>
    <cellStyle name="40% - Ênfase3 2 3 2 4 2 3" xfId="20440"/>
    <cellStyle name="20% - Ênfase4 2 3 2 4 2 3" xfId="20441"/>
    <cellStyle name="40% - Ênfase4 2 3 2 4 2 3" xfId="20442"/>
    <cellStyle name="20% - Ênfase5 2 3 2 4 2 3" xfId="20443"/>
    <cellStyle name="40% - Ênfase5 2 3 2 4 2 3" xfId="20444"/>
    <cellStyle name="20% - Ênfase6 2 3 2 4 2 3" xfId="20445"/>
    <cellStyle name="40% - Ênfase6 2 3 2 4 2 3" xfId="20446"/>
    <cellStyle name="Normal 7 3 2 4 2 3" xfId="20447"/>
    <cellStyle name="Nota 4 2 2 4 2 3" xfId="20448"/>
    <cellStyle name="20% - Ênfase1 3 2 2 4 2 3" xfId="20449"/>
    <cellStyle name="40% - Ênfase1 3 2 2 4 2 3" xfId="20450"/>
    <cellStyle name="20% - Ênfase2 3 2 2 4 2 3" xfId="20451"/>
    <cellStyle name="40% - Ênfase2 3 2 2 4 2 3" xfId="20452"/>
    <cellStyle name="20% - Ênfase3 3 2 2 4 2 3" xfId="20453"/>
    <cellStyle name="40% - Ênfase3 3 2 2 4 2 3" xfId="20454"/>
    <cellStyle name="20% - Ênfase4 3 2 2 4 2 3" xfId="20455"/>
    <cellStyle name="40% - Ênfase4 3 2 2 4 2 3" xfId="20456"/>
    <cellStyle name="20% - Ênfase5 3 2 2 4 2 3" xfId="20457"/>
    <cellStyle name="40% - Ênfase5 3 2 2 4 2 3" xfId="20458"/>
    <cellStyle name="20% - Ênfase6 3 2 2 4 2 3" xfId="20459"/>
    <cellStyle name="40% - Ênfase6 3 2 2 4 2 3" xfId="20460"/>
    <cellStyle name="Normal 8 2 2 5 2 3" xfId="20461"/>
    <cellStyle name="Nota 5 2 2 4 2 3" xfId="20462"/>
    <cellStyle name="20% - Ênfase1 4 2 2 4 2 3" xfId="20463"/>
    <cellStyle name="40% - Ênfase1 4 2 2 4 2 3" xfId="20464"/>
    <cellStyle name="20% - Ênfase2 4 2 2 4 2 3" xfId="20465"/>
    <cellStyle name="40% - Ênfase2 4 2 2 4 2 3" xfId="20466"/>
    <cellStyle name="20% - Ênfase3 4 2 2 4 2 3" xfId="20467"/>
    <cellStyle name="40% - Ênfase3 4 2 2 4 2 3" xfId="20468"/>
    <cellStyle name="20% - Ênfase4 4 2 2 4 2 3" xfId="20469"/>
    <cellStyle name="40% - Ênfase4 4 2 2 4 2 3" xfId="20470"/>
    <cellStyle name="20% - Ênfase5 4 2 2 4 2 3" xfId="20471"/>
    <cellStyle name="40% - Ênfase5 4 2 2 4 2 3" xfId="20472"/>
    <cellStyle name="20% - Ênfase6 4 2 2 4 2 3" xfId="20473"/>
    <cellStyle name="40% - Ênfase6 4 2 2 4 2 3" xfId="20474"/>
    <cellStyle name="Normal 3 4 2 2 3" xfId="20475"/>
    <cellStyle name="20% - Ênfase1 5 3 2 2 3" xfId="20476"/>
    <cellStyle name="40% - Ênfase1 5 3 2 2 3" xfId="20477"/>
    <cellStyle name="20% - Ênfase2 5 3 2 2 3" xfId="20478"/>
    <cellStyle name="40% - Ênfase2 5 3 2 2 3" xfId="20479"/>
    <cellStyle name="20% - Ênfase3 5 3 2 2 3" xfId="20480"/>
    <cellStyle name="40% - Ênfase3 5 3 2 2 3" xfId="20481"/>
    <cellStyle name="20% - Ênfase4 5 3 2 2 3" xfId="20482"/>
    <cellStyle name="40% - Ênfase4 5 3 2 2 3" xfId="20483"/>
    <cellStyle name="20% - Ênfase5 5 3 2 2 3" xfId="20484"/>
    <cellStyle name="40% - Ênfase5 5 3 2 2 3" xfId="20485"/>
    <cellStyle name="20% - Ênfase6 5 3 2 2 3" xfId="20486"/>
    <cellStyle name="40% - Ênfase6 5 3 2 2 3" xfId="20487"/>
    <cellStyle name="Normal 4 2 3 2 2 3" xfId="20488"/>
    <cellStyle name="Nota 2 2 3 2 2 3" xfId="20489"/>
    <cellStyle name="Normal 5 2 3 2 2 3" xfId="20490"/>
    <cellStyle name="Nota 3 2 3 2 2 3" xfId="20491"/>
    <cellStyle name="20% - Ênfase1 2 2 3 2 2 3" xfId="20492"/>
    <cellStyle name="40% - Ênfase1 2 2 3 2 2 3" xfId="20493"/>
    <cellStyle name="20% - Ênfase2 2 2 3 2 2 3" xfId="20494"/>
    <cellStyle name="40% - Ênfase2 2 2 3 2 2 3" xfId="20495"/>
    <cellStyle name="20% - Ênfase3 2 2 3 2 2 3" xfId="20496"/>
    <cellStyle name="40% - Ênfase3 2 2 3 2 2 3" xfId="20497"/>
    <cellStyle name="20% - Ênfase4 2 2 3 2 2 3" xfId="20498"/>
    <cellStyle name="40% - Ênfase4 2 2 3 2 2 3" xfId="20499"/>
    <cellStyle name="20% - Ênfase5 2 2 3 2 2 3" xfId="20500"/>
    <cellStyle name="40% - Ênfase5 2 2 3 2 2 3" xfId="20501"/>
    <cellStyle name="20% - Ênfase6 2 2 3 2 2 3" xfId="20502"/>
    <cellStyle name="40% - Ênfase6 2 2 3 2 2 3" xfId="20503"/>
    <cellStyle name="Normal 7 2 3 2 2 3" xfId="20504"/>
    <cellStyle name="Nota 4 5 2 2 3" xfId="20505"/>
    <cellStyle name="20% - Ênfase1 3 5 2 2 3" xfId="20506"/>
    <cellStyle name="40% - Ênfase1 3 5 2 2 3" xfId="20507"/>
    <cellStyle name="20% - Ênfase2 3 5 2 2 3" xfId="20508"/>
    <cellStyle name="40% - Ênfase2 3 5 2 2 3" xfId="20509"/>
    <cellStyle name="20% - Ênfase3 3 5 2 2 3" xfId="20510"/>
    <cellStyle name="40% - Ênfase3 3 5 2 2 3" xfId="20511"/>
    <cellStyle name="20% - Ênfase4 3 5 2 2 3" xfId="20512"/>
    <cellStyle name="40% - Ênfase4 3 5 2 2 3" xfId="20513"/>
    <cellStyle name="20% - Ênfase5 3 5 2 2 3" xfId="20514"/>
    <cellStyle name="40% - Ênfase5 3 5 2 2 3" xfId="20515"/>
    <cellStyle name="20% - Ênfase6 3 5 2 2 3" xfId="20516"/>
    <cellStyle name="40% - Ênfase6 3 5 2 2 3" xfId="20517"/>
    <cellStyle name="Normal 8 5 5 2 3" xfId="20518"/>
    <cellStyle name="Nota 5 5 2 2 3" xfId="20519"/>
    <cellStyle name="20% - Ênfase1 4 5 2 2 3" xfId="20520"/>
    <cellStyle name="40% - Ênfase1 4 5 2 2 3" xfId="20521"/>
    <cellStyle name="20% - Ênfase2 4 5 2 2 3" xfId="20522"/>
    <cellStyle name="40% - Ênfase2 4 5 2 2 3" xfId="20523"/>
    <cellStyle name="20% - Ênfase3 4 5 2 2 3" xfId="20524"/>
    <cellStyle name="40% - Ênfase3 4 5 2 2 3" xfId="20525"/>
    <cellStyle name="20% - Ênfase4 4 5 2 2 3" xfId="20526"/>
    <cellStyle name="40% - Ênfase4 4 5 2 2 3" xfId="20527"/>
    <cellStyle name="20% - Ênfase5 4 5 2 2 3" xfId="20528"/>
    <cellStyle name="40% - Ênfase5 4 5 2 2 3" xfId="20529"/>
    <cellStyle name="20% - Ênfase6 4 5 2 2 3" xfId="20530"/>
    <cellStyle name="40% - Ênfase6 4 5 2 2 3" xfId="20531"/>
    <cellStyle name="20% - Ênfase1 6 3 2 2 3" xfId="20532"/>
    <cellStyle name="40% - Ênfase1 6 3 2 2 3" xfId="20533"/>
    <cellStyle name="20% - Ênfase2 6 3 2 2 3" xfId="20534"/>
    <cellStyle name="40% - Ênfase2 6 3 2 2 3" xfId="20535"/>
    <cellStyle name="20% - Ênfase3 6 3 2 2 3" xfId="20536"/>
    <cellStyle name="40% - Ênfase3 6 3 2 2 3" xfId="20537"/>
    <cellStyle name="20% - Ênfase4 6 3 2 2 3" xfId="20538"/>
    <cellStyle name="40% - Ênfase4 6 3 2 2 3" xfId="20539"/>
    <cellStyle name="20% - Ênfase5 6 3 2 2 3" xfId="20540"/>
    <cellStyle name="40% - Ênfase5 6 3 2 2 3" xfId="20541"/>
    <cellStyle name="20% - Ênfase6 6 3 2 2 3" xfId="20542"/>
    <cellStyle name="40% - Ênfase6 6 3 2 2 3" xfId="20543"/>
    <cellStyle name="Normal 4 3 3 2 2 3" xfId="20544"/>
    <cellStyle name="Nota 2 3 3 2 2 3" xfId="20545"/>
    <cellStyle name="Normal 5 3 3 2 2 3" xfId="20546"/>
    <cellStyle name="Nota 3 3 3 2 2 3" xfId="20547"/>
    <cellStyle name="20% - Ênfase1 2 3 3 2 2 3" xfId="20548"/>
    <cellStyle name="40% - Ênfase1 2 3 3 2 2 3" xfId="20549"/>
    <cellStyle name="20% - Ênfase2 2 3 3 2 2 3" xfId="20550"/>
    <cellStyle name="40% - Ênfase2 2 3 3 2 2 3" xfId="20551"/>
    <cellStyle name="20% - Ênfase3 2 3 3 2 2 3" xfId="20552"/>
    <cellStyle name="40% - Ênfase3 2 3 3 2 2 3" xfId="20553"/>
    <cellStyle name="20% - Ênfase4 2 3 3 2 2 3" xfId="20554"/>
    <cellStyle name="40% - Ênfase4 2 3 3 2 2 3" xfId="20555"/>
    <cellStyle name="20% - Ênfase5 2 3 3 2 2 3" xfId="20556"/>
    <cellStyle name="40% - Ênfase5 2 3 3 2 2 3" xfId="20557"/>
    <cellStyle name="20% - Ênfase6 2 3 3 2 2 3" xfId="20558"/>
    <cellStyle name="40% - Ênfase6 2 3 3 2 2 3" xfId="20559"/>
    <cellStyle name="Normal 7 3 3 2 2 3" xfId="20560"/>
    <cellStyle name="Nota 4 2 3 2 2 3" xfId="20561"/>
    <cellStyle name="20% - Ênfase1 3 2 3 2 2 3" xfId="20562"/>
    <cellStyle name="40% - Ênfase1 3 2 3 2 2 3" xfId="20563"/>
    <cellStyle name="20% - Ênfase2 3 2 3 2 2 3" xfId="20564"/>
    <cellStyle name="40% - Ênfase2 3 2 3 2 2 3" xfId="20565"/>
    <cellStyle name="20% - Ênfase3 3 2 3 2 2 3" xfId="20566"/>
    <cellStyle name="40% - Ênfase3 3 2 3 2 2 3" xfId="20567"/>
    <cellStyle name="20% - Ênfase4 3 2 3 2 2 3" xfId="20568"/>
    <cellStyle name="40% - Ênfase4 3 2 3 2 2 3" xfId="20569"/>
    <cellStyle name="20% - Ênfase5 3 2 3 2 2 3" xfId="20570"/>
    <cellStyle name="40% - Ênfase5 3 2 3 2 2 3" xfId="20571"/>
    <cellStyle name="20% - Ênfase6 3 2 3 2 2 3" xfId="20572"/>
    <cellStyle name="40% - Ênfase6 3 2 3 2 2 3" xfId="20573"/>
    <cellStyle name="Normal 8 2 3 2 2 3" xfId="20574"/>
    <cellStyle name="Nota 5 2 3 2 2 3" xfId="20575"/>
    <cellStyle name="20% - Ênfase1 4 2 3 2 2 3" xfId="20576"/>
    <cellStyle name="40% - Ênfase1 4 2 3 2 2 3" xfId="20577"/>
    <cellStyle name="20% - Ênfase2 4 2 3 2 2 3" xfId="20578"/>
    <cellStyle name="40% - Ênfase2 4 2 3 2 2 3" xfId="20579"/>
    <cellStyle name="20% - Ênfase3 4 2 3 2 2 3" xfId="20580"/>
    <cellStyle name="40% - Ênfase3 4 2 3 2 2 3" xfId="20581"/>
    <cellStyle name="20% - Ênfase4 4 2 3 2 2 3" xfId="20582"/>
    <cellStyle name="40% - Ênfase4 4 2 3 2 2 3" xfId="20583"/>
    <cellStyle name="20% - Ênfase5 4 2 3 2 2 3" xfId="20584"/>
    <cellStyle name="40% - Ênfase5 4 2 3 2 2 3" xfId="20585"/>
    <cellStyle name="20% - Ênfase6 4 2 3 2 2 3" xfId="20586"/>
    <cellStyle name="40% - Ênfase6 4 2 3 2 2 3" xfId="20587"/>
    <cellStyle name="20% - Ênfase1 8 2 2 2 3" xfId="20588"/>
    <cellStyle name="40% - Ênfase1 8 2 2 2 3" xfId="20589"/>
    <cellStyle name="20% - Ênfase2 8 2 2 2 3" xfId="20590"/>
    <cellStyle name="40% - Ênfase2 8 2 2 2 3" xfId="20591"/>
    <cellStyle name="20% - Ênfase3 8 2 2 2 3" xfId="20592"/>
    <cellStyle name="40% - Ênfase3 8 2 2 2 3" xfId="20593"/>
    <cellStyle name="20% - Ênfase4 8 2 2 2 3" xfId="20594"/>
    <cellStyle name="40% - Ênfase4 8 2 2 2 3" xfId="20595"/>
    <cellStyle name="20% - Ênfase5 8 2 2 2 3" xfId="20596"/>
    <cellStyle name="40% - Ênfase5 8 2 2 2 3" xfId="20597"/>
    <cellStyle name="20% - Ênfase6 8 2 2 2 3" xfId="20598"/>
    <cellStyle name="40% - Ênfase6 8 2 2 2 3" xfId="20599"/>
    <cellStyle name="Normal 4 5 2 2 2 3" xfId="20600"/>
    <cellStyle name="Nota 2 5 2 2 2 3" xfId="20601"/>
    <cellStyle name="Normal 5 5 2 2 2 3" xfId="20602"/>
    <cellStyle name="Nota 3 5 2 2 2 3" xfId="20603"/>
    <cellStyle name="20% - Ênfase1 2 5 2 2 2 3" xfId="20604"/>
    <cellStyle name="40% - Ênfase1 2 5 2 2 2 3" xfId="20605"/>
    <cellStyle name="20% - Ênfase2 2 5 2 2 2 3" xfId="20606"/>
    <cellStyle name="40% - Ênfase2 2 5 2 2 2 3" xfId="20607"/>
    <cellStyle name="20% - Ênfase3 2 5 2 2 2 3" xfId="20608"/>
    <cellStyle name="40% - Ênfase3 2 5 2 2 2 3" xfId="20609"/>
    <cellStyle name="20% - Ênfase4 2 5 2 2 2 3" xfId="20610"/>
    <cellStyle name="40% - Ênfase4 2 5 2 2 2 3" xfId="20611"/>
    <cellStyle name="20% - Ênfase5 2 5 2 2 2 3" xfId="20612"/>
    <cellStyle name="40% - Ênfase5 2 5 2 2 2 3" xfId="20613"/>
    <cellStyle name="20% - Ênfase6 2 5 2 2 2 3" xfId="20614"/>
    <cellStyle name="40% - Ênfase6 2 5 2 2 2 3" xfId="20615"/>
    <cellStyle name="Normal 7 5 2 2 2 3" xfId="20616"/>
    <cellStyle name="Nota 4 4 2 2 2 3" xfId="20617"/>
    <cellStyle name="20% - Ênfase1 3 4 2 2 2 3" xfId="20618"/>
    <cellStyle name="40% - Ênfase1 3 4 2 2 2 3" xfId="20619"/>
    <cellStyle name="20% - Ênfase2 3 4 2 2 2 3" xfId="20620"/>
    <cellStyle name="40% - Ênfase2 3 4 2 2 2 3" xfId="20621"/>
    <cellStyle name="20% - Ênfase3 3 4 2 2 2 3" xfId="20622"/>
    <cellStyle name="40% - Ênfase3 3 4 2 2 2 3" xfId="20623"/>
    <cellStyle name="20% - Ênfase4 3 4 2 2 2 3" xfId="20624"/>
    <cellStyle name="40% - Ênfase4 3 4 2 2 2 3" xfId="20625"/>
    <cellStyle name="20% - Ênfase5 3 4 2 2 2 3" xfId="20626"/>
    <cellStyle name="40% - Ênfase5 3 4 2 2 2 3" xfId="20627"/>
    <cellStyle name="20% - Ênfase6 3 4 2 2 2 3" xfId="20628"/>
    <cellStyle name="40% - Ênfase6 3 4 2 2 2 3" xfId="20629"/>
    <cellStyle name="Normal 8 4 2 3 2 3" xfId="20630"/>
    <cellStyle name="Nota 5 4 2 2 2 3" xfId="20631"/>
    <cellStyle name="20% - Ênfase1 4 4 2 2 2 3" xfId="20632"/>
    <cellStyle name="40% - Ênfase1 4 4 2 2 2 3" xfId="20633"/>
    <cellStyle name="20% - Ênfase2 4 4 2 2 2 3" xfId="20634"/>
    <cellStyle name="40% - Ênfase2 4 4 2 2 2 3" xfId="20635"/>
    <cellStyle name="20% - Ênfase3 4 4 2 2 2 3" xfId="20636"/>
    <cellStyle name="40% - Ênfase3 4 4 2 2 2 3" xfId="20637"/>
    <cellStyle name="20% - Ênfase4 4 4 2 2 2 3" xfId="20638"/>
    <cellStyle name="40% - Ênfase4 4 4 2 2 2 3" xfId="20639"/>
    <cellStyle name="20% - Ênfase5 4 4 2 2 2 3" xfId="20640"/>
    <cellStyle name="40% - Ênfase5 4 4 2 2 2 3" xfId="20641"/>
    <cellStyle name="20% - Ênfase6 4 4 2 2 2 3" xfId="20642"/>
    <cellStyle name="40% - Ênfase6 4 4 2 2 2 3" xfId="20643"/>
    <cellStyle name="Normal 3 3 2 2 2 3" xfId="20644"/>
    <cellStyle name="20% - Ênfase1 5 2 2 2 2 3" xfId="20645"/>
    <cellStyle name="40% - Ênfase1 5 2 2 2 2 3" xfId="20646"/>
    <cellStyle name="20% - Ênfase2 5 2 2 2 2 3" xfId="20647"/>
    <cellStyle name="40% - Ênfase2 5 2 2 2 2 3" xfId="20648"/>
    <cellStyle name="20% - Ênfase3 5 2 2 2 2 3" xfId="20649"/>
    <cellStyle name="40% - Ênfase3 5 2 2 2 2 3" xfId="20650"/>
    <cellStyle name="20% - Ênfase4 5 2 2 2 2 3" xfId="20651"/>
    <cellStyle name="40% - Ênfase4 5 2 2 2 2 3" xfId="20652"/>
    <cellStyle name="20% - Ênfase5 5 2 2 2 2 3" xfId="20653"/>
    <cellStyle name="40% - Ênfase5 5 2 2 2 2 3" xfId="20654"/>
    <cellStyle name="20% - Ênfase6 5 2 2 2 2 3" xfId="20655"/>
    <cellStyle name="40% - Ênfase6 5 2 2 2 2 3" xfId="20656"/>
    <cellStyle name="Normal 4 2 2 2 2 2 3" xfId="20657"/>
    <cellStyle name="Nota 2 2 2 2 2 2 3" xfId="20658"/>
    <cellStyle name="Normal 5 2 2 2 2 2 3" xfId="20659"/>
    <cellStyle name="Nota 3 2 2 2 2 2 3" xfId="20660"/>
    <cellStyle name="20% - Ênfase1 2 2 2 2 2 2 3" xfId="20661"/>
    <cellStyle name="40% - Ênfase1 2 2 2 2 2 2 3" xfId="20662"/>
    <cellStyle name="20% - Ênfase2 2 2 2 2 2 2 3" xfId="20663"/>
    <cellStyle name="40% - Ênfase2 2 2 2 2 2 2 3" xfId="20664"/>
    <cellStyle name="20% - Ênfase3 2 2 2 2 2 2 3" xfId="20665"/>
    <cellStyle name="40% - Ênfase3 2 2 2 2 2 2 3" xfId="20666"/>
    <cellStyle name="20% - Ênfase4 2 2 2 2 2 2 3" xfId="20667"/>
    <cellStyle name="40% - Ênfase4 2 2 2 2 2 2 3" xfId="20668"/>
    <cellStyle name="20% - Ênfase5 2 2 2 2 2 2 3" xfId="20669"/>
    <cellStyle name="40% - Ênfase5 2 2 2 2 2 2 3" xfId="20670"/>
    <cellStyle name="20% - Ênfase6 2 2 2 2 2 2 3" xfId="20671"/>
    <cellStyle name="40% - Ênfase6 2 2 2 2 2 2 3" xfId="20672"/>
    <cellStyle name="Normal 7 2 2 2 2 2 3" xfId="20673"/>
    <cellStyle name="Nota 4 3 2 2 2 3" xfId="20674"/>
    <cellStyle name="20% - Ênfase1 3 3 2 2 2 3" xfId="20675"/>
    <cellStyle name="40% - Ênfase1 3 3 2 2 2 3" xfId="20676"/>
    <cellStyle name="20% - Ênfase2 3 3 2 2 2 3" xfId="20677"/>
    <cellStyle name="40% - Ênfase2 3 3 2 2 2 3" xfId="20678"/>
    <cellStyle name="20% - Ênfase3 3 3 2 2 2 3" xfId="20679"/>
    <cellStyle name="40% - Ênfase3 3 3 2 2 2 3" xfId="20680"/>
    <cellStyle name="20% - Ênfase4 3 3 2 2 2 3" xfId="20681"/>
    <cellStyle name="40% - Ênfase4 3 3 2 2 2 3" xfId="20682"/>
    <cellStyle name="20% - Ênfase5 3 3 2 2 2 3" xfId="20683"/>
    <cellStyle name="40% - Ênfase5 3 3 2 2 2 3" xfId="20684"/>
    <cellStyle name="20% - Ênfase6 3 3 2 2 2 3" xfId="20685"/>
    <cellStyle name="40% - Ênfase6 3 3 2 2 2 3" xfId="20686"/>
    <cellStyle name="Normal 8 3 2 3 2 3" xfId="20687"/>
    <cellStyle name="Nota 5 3 2 2 2 3" xfId="20688"/>
    <cellStyle name="20% - Ênfase1 4 3 2 2 2 3" xfId="20689"/>
    <cellStyle name="40% - Ênfase1 4 3 2 2 2 3" xfId="20690"/>
    <cellStyle name="20% - Ênfase2 4 3 2 2 2 3" xfId="20691"/>
    <cellStyle name="40% - Ênfase2 4 3 2 2 2 3" xfId="20692"/>
    <cellStyle name="20% - Ênfase3 4 3 2 2 2 3" xfId="20693"/>
    <cellStyle name="40% - Ênfase3 4 3 2 2 2 3" xfId="20694"/>
    <cellStyle name="20% - Ênfase4 4 3 2 2 2 3" xfId="20695"/>
    <cellStyle name="40% - Ênfase4 4 3 2 2 2 3" xfId="20696"/>
    <cellStyle name="20% - Ênfase5 4 3 2 2 2 3" xfId="20697"/>
    <cellStyle name="40% - Ênfase5 4 3 2 2 2 3" xfId="20698"/>
    <cellStyle name="20% - Ênfase6 4 3 2 2 2 3" xfId="20699"/>
    <cellStyle name="40% - Ênfase6 4 3 2 2 2 3" xfId="20700"/>
    <cellStyle name="20% - Ênfase1 6 2 2 2 2 3" xfId="20701"/>
    <cellStyle name="40% - Ênfase1 6 2 2 2 2 3" xfId="20702"/>
    <cellStyle name="20% - Ênfase2 6 2 2 2 2 3" xfId="20703"/>
    <cellStyle name="40% - Ênfase2 6 2 2 2 2 3" xfId="20704"/>
    <cellStyle name="20% - Ênfase3 6 2 2 2 2 3" xfId="20705"/>
    <cellStyle name="40% - Ênfase3 6 2 2 2 2 3" xfId="20706"/>
    <cellStyle name="20% - Ênfase4 6 2 2 2 2 3" xfId="20707"/>
    <cellStyle name="40% - Ênfase4 6 2 2 2 2 3" xfId="20708"/>
    <cellStyle name="20% - Ênfase5 6 2 2 2 2 3" xfId="20709"/>
    <cellStyle name="40% - Ênfase5 6 2 2 2 2 3" xfId="20710"/>
    <cellStyle name="20% - Ênfase6 6 2 2 2 2 3" xfId="20711"/>
    <cellStyle name="40% - Ênfase6 6 2 2 2 2 3" xfId="20712"/>
    <cellStyle name="Normal 4 3 2 2 2 2 3" xfId="20713"/>
    <cellStyle name="Nota 2 3 2 2 2 2 3" xfId="20714"/>
    <cellStyle name="Normal 5 3 2 2 2 2 3" xfId="20715"/>
    <cellStyle name="Nota 3 3 2 2 2 2 3" xfId="20716"/>
    <cellStyle name="20% - Ênfase1 2 3 2 2 2 2 3" xfId="20717"/>
    <cellStyle name="40% - Ênfase1 2 3 2 2 2 2 3" xfId="20718"/>
    <cellStyle name="20% - Ênfase2 2 3 2 2 2 2 3" xfId="20719"/>
    <cellStyle name="40% - Ênfase2 2 3 2 2 2 2 3" xfId="20720"/>
    <cellStyle name="20% - Ênfase3 2 3 2 2 2 2 3" xfId="20721"/>
    <cellStyle name="40% - Ênfase3 2 3 2 2 2 2 3" xfId="20722"/>
    <cellStyle name="20% - Ênfase4 2 3 2 2 2 2 3" xfId="20723"/>
    <cellStyle name="40% - Ênfase4 2 3 2 2 2 2 3" xfId="20724"/>
    <cellStyle name="20% - Ênfase5 2 3 2 2 2 2 3" xfId="20725"/>
    <cellStyle name="40% - Ênfase5 2 3 2 2 2 2 3" xfId="20726"/>
    <cellStyle name="20% - Ênfase6 2 3 2 2 2 2 3" xfId="20727"/>
    <cellStyle name="40% - Ênfase6 2 3 2 2 2 2 3" xfId="20728"/>
    <cellStyle name="Normal 7 3 2 2 2 2 3" xfId="20729"/>
    <cellStyle name="Nota 4 2 2 2 2 2 3" xfId="20730"/>
    <cellStyle name="20% - Ênfase1 3 2 2 2 2 2 3" xfId="20731"/>
    <cellStyle name="40% - Ênfase1 3 2 2 2 2 2 3" xfId="20732"/>
    <cellStyle name="20% - Ênfase2 3 2 2 2 2 2 3" xfId="20733"/>
    <cellStyle name="40% - Ênfase2 3 2 2 2 2 2 3" xfId="20734"/>
    <cellStyle name="20% - Ênfase3 3 2 2 2 2 2 3" xfId="20735"/>
    <cellStyle name="40% - Ênfase3 3 2 2 2 2 2 3" xfId="20736"/>
    <cellStyle name="20% - Ênfase4 3 2 2 2 2 2 3" xfId="20737"/>
    <cellStyle name="40% - Ênfase4 3 2 2 2 2 2 3" xfId="20738"/>
    <cellStyle name="20% - Ênfase5 3 2 2 2 2 2 3" xfId="20739"/>
    <cellStyle name="40% - Ênfase5 3 2 2 2 2 2 3" xfId="20740"/>
    <cellStyle name="20% - Ênfase6 3 2 2 2 2 2 3" xfId="20741"/>
    <cellStyle name="40% - Ênfase6 3 2 2 2 2 2 3" xfId="20742"/>
    <cellStyle name="Normal 8 2 2 2 2 2 3" xfId="20743"/>
    <cellStyle name="Nota 5 2 2 2 2 2 3" xfId="20744"/>
    <cellStyle name="20% - Ênfase1 4 2 2 2 2 2 3" xfId="20745"/>
    <cellStyle name="40% - Ênfase1 4 2 2 2 2 2 3" xfId="20746"/>
    <cellStyle name="20% - Ênfase2 4 2 2 2 2 2 3" xfId="20747"/>
    <cellStyle name="40% - Ênfase2 4 2 2 2 2 2 3" xfId="20748"/>
    <cellStyle name="20% - Ênfase3 4 2 2 2 2 2 3" xfId="20749"/>
    <cellStyle name="40% - Ênfase3 4 2 2 2 2 2 3" xfId="20750"/>
    <cellStyle name="20% - Ênfase4 4 2 2 2 2 2 3" xfId="20751"/>
    <cellStyle name="40% - Ênfase4 4 2 2 2 2 2 3" xfId="20752"/>
    <cellStyle name="20% - Ênfase5 4 2 2 2 2 2 3" xfId="20753"/>
    <cellStyle name="40% - Ênfase5 4 2 2 2 2 2 3" xfId="20754"/>
    <cellStyle name="20% - Ênfase6 4 2 2 2 2 2 3" xfId="20755"/>
    <cellStyle name="40% - Ênfase6 4 2 2 2 2 2 3" xfId="20756"/>
    <cellStyle name="Normal 3 5 2 2 3" xfId="20757"/>
    <cellStyle name="20% - Ênfase1 5 4 2 2 3" xfId="20758"/>
    <cellStyle name="40% - Ênfase1 5 4 2 2 3" xfId="20759"/>
    <cellStyle name="20% - Ênfase2 5 4 2 2 3" xfId="20760"/>
    <cellStyle name="40% - Ênfase2 5 4 2 2 3" xfId="20761"/>
    <cellStyle name="20% - Ênfase3 5 4 2 2 3" xfId="20762"/>
    <cellStyle name="40% - Ênfase3 5 4 2 2 3" xfId="20763"/>
    <cellStyle name="20% - Ênfase4 5 4 2 2 3" xfId="20764"/>
    <cellStyle name="40% - Ênfase4 5 4 2 2 3" xfId="20765"/>
    <cellStyle name="20% - Ênfase5 5 4 2 2 3" xfId="20766"/>
    <cellStyle name="40% - Ênfase5 5 4 2 2 3" xfId="20767"/>
    <cellStyle name="20% - Ênfase6 5 4 2 2 3" xfId="20768"/>
    <cellStyle name="40% - Ênfase6 5 4 2 2 3" xfId="20769"/>
    <cellStyle name="Normal 4 2 4 2 2 3" xfId="20770"/>
    <cellStyle name="Nota 2 2 4 2 2 3" xfId="20771"/>
    <cellStyle name="Normal 5 2 4 2 2 3" xfId="20772"/>
    <cellStyle name="Nota 3 2 4 2 2 3" xfId="20773"/>
    <cellStyle name="20% - Ênfase1 2 2 4 2 2 3" xfId="20774"/>
    <cellStyle name="40% - Ênfase1 2 2 4 2 2 3" xfId="20775"/>
    <cellStyle name="20% - Ênfase2 2 2 4 2 2 3" xfId="20776"/>
    <cellStyle name="40% - Ênfase2 2 2 4 2 2 3" xfId="20777"/>
    <cellStyle name="20% - Ênfase3 2 2 4 2 2 3" xfId="20778"/>
    <cellStyle name="40% - Ênfase3 2 2 4 2 2 3" xfId="20779"/>
    <cellStyle name="20% - Ênfase4 2 2 4 2 2 3" xfId="20780"/>
    <cellStyle name="40% - Ênfase4 2 2 4 2 2 3" xfId="20781"/>
    <cellStyle name="20% - Ênfase5 2 2 4 2 2 3" xfId="20782"/>
    <cellStyle name="40% - Ênfase5 2 2 4 2 2 3" xfId="20783"/>
    <cellStyle name="20% - Ênfase6 2 2 4 2 2 3" xfId="20784"/>
    <cellStyle name="40% - Ênfase6 2 2 4 2 2 3" xfId="20785"/>
    <cellStyle name="Normal 7 2 4 2 2 3" xfId="20786"/>
    <cellStyle name="Nota 4 6 2 2 3" xfId="20787"/>
    <cellStyle name="20% - Ênfase1 3 6 2 2 3" xfId="20788"/>
    <cellStyle name="40% - Ênfase1 3 6 2 2 3" xfId="20789"/>
    <cellStyle name="20% - Ênfase2 3 6 2 2 3" xfId="20790"/>
    <cellStyle name="40% - Ênfase2 3 6 2 2 3" xfId="20791"/>
    <cellStyle name="20% - Ênfase3 3 6 2 2 3" xfId="20792"/>
    <cellStyle name="40% - Ênfase3 3 6 2 2 3" xfId="20793"/>
    <cellStyle name="20% - Ênfase4 3 6 2 2 3" xfId="20794"/>
    <cellStyle name="40% - Ênfase4 3 6 2 2 3" xfId="20795"/>
    <cellStyle name="20% - Ênfase5 3 6 2 2 3" xfId="20796"/>
    <cellStyle name="40% - Ênfase5 3 6 2 2 3" xfId="20797"/>
    <cellStyle name="20% - Ênfase6 3 6 2 2 3" xfId="20798"/>
    <cellStyle name="40% - Ênfase6 3 6 2 2 3" xfId="20799"/>
    <cellStyle name="Normal 8 6 3 2 3" xfId="20800"/>
    <cellStyle name="Nota 5 6 2 2 3" xfId="20801"/>
    <cellStyle name="20% - Ênfase1 4 6 2 2 3" xfId="20802"/>
    <cellStyle name="40% - Ênfase1 4 6 2 2 3" xfId="20803"/>
    <cellStyle name="20% - Ênfase2 4 6 2 2 3" xfId="20804"/>
    <cellStyle name="40% - Ênfase2 4 6 2 2 3" xfId="20805"/>
    <cellStyle name="20% - Ênfase3 4 6 2 2 3" xfId="20806"/>
    <cellStyle name="40% - Ênfase3 4 6 2 2 3" xfId="20807"/>
    <cellStyle name="20% - Ênfase4 4 6 2 2 3" xfId="20808"/>
    <cellStyle name="40% - Ênfase4 4 6 2 2 3" xfId="20809"/>
    <cellStyle name="20% - Ênfase5 4 6 2 2 3" xfId="20810"/>
    <cellStyle name="40% - Ênfase5 4 6 2 2 3" xfId="20811"/>
    <cellStyle name="20% - Ênfase6 4 6 2 2 3" xfId="20812"/>
    <cellStyle name="40% - Ênfase6 4 6 2 2 3" xfId="20813"/>
    <cellStyle name="20% - Ênfase1 6 4 2 2 3" xfId="20814"/>
    <cellStyle name="40% - Ênfase1 6 4 2 2 3" xfId="20815"/>
    <cellStyle name="20% - Ênfase2 6 4 2 2 3" xfId="20816"/>
    <cellStyle name="40% - Ênfase2 6 4 2 2 3" xfId="20817"/>
    <cellStyle name="20% - Ênfase3 6 4 2 2 3" xfId="20818"/>
    <cellStyle name="40% - Ênfase3 6 4 2 2 3" xfId="20819"/>
    <cellStyle name="20% - Ênfase4 6 4 2 2 3" xfId="20820"/>
    <cellStyle name="40% - Ênfase4 6 4 2 2 3" xfId="20821"/>
    <cellStyle name="20% - Ênfase5 6 4 2 2 3" xfId="20822"/>
    <cellStyle name="40% - Ênfase5 6 4 2 2 3" xfId="20823"/>
    <cellStyle name="20% - Ênfase6 6 4 2 2 3" xfId="20824"/>
    <cellStyle name="40% - Ênfase6 6 4 2 2 3" xfId="20825"/>
    <cellStyle name="Normal 4 3 4 2 2 3" xfId="20826"/>
    <cellStyle name="Nota 2 3 4 2 2 3" xfId="20827"/>
    <cellStyle name="Normal 5 3 4 2 2 3" xfId="20828"/>
    <cellStyle name="Nota 3 3 4 2 2 3" xfId="20829"/>
    <cellStyle name="20% - Ênfase1 2 3 4 2 2 3" xfId="20830"/>
    <cellStyle name="40% - Ênfase1 2 3 4 2 2 3" xfId="20831"/>
    <cellStyle name="20% - Ênfase2 2 3 4 2 2 3" xfId="20832"/>
    <cellStyle name="40% - Ênfase2 2 3 4 2 2 3" xfId="20833"/>
    <cellStyle name="20% - Ênfase3 2 3 4 2 2 3" xfId="20834"/>
    <cellStyle name="40% - Ênfase3 2 3 4 2 2 3" xfId="20835"/>
    <cellStyle name="20% - Ênfase4 2 3 4 2 2 3" xfId="20836"/>
    <cellStyle name="40% - Ênfase4 2 3 4 2 2 3" xfId="20837"/>
    <cellStyle name="20% - Ênfase5 2 3 4 2 2 3" xfId="20838"/>
    <cellStyle name="40% - Ênfase5 2 3 4 2 2 3" xfId="20839"/>
    <cellStyle name="20% - Ênfase6 2 3 4 2 2 3" xfId="20840"/>
    <cellStyle name="40% - Ênfase6 2 3 4 2 2 3" xfId="20841"/>
    <cellStyle name="Normal 7 3 4 2 2 3" xfId="20842"/>
    <cellStyle name="Nota 4 2 4 2 2 3" xfId="20843"/>
    <cellStyle name="20% - Ênfase1 3 2 4 2 2 3" xfId="20844"/>
    <cellStyle name="40% - Ênfase1 3 2 4 2 2 3" xfId="20845"/>
    <cellStyle name="20% - Ênfase2 3 2 4 2 2 3" xfId="20846"/>
    <cellStyle name="40% - Ênfase2 3 2 4 2 2 3" xfId="20847"/>
    <cellStyle name="20% - Ênfase3 3 2 4 2 2 3" xfId="20848"/>
    <cellStyle name="40% - Ênfase3 3 2 4 2 2 3" xfId="20849"/>
    <cellStyle name="20% - Ênfase4 3 2 4 2 2 3" xfId="20850"/>
    <cellStyle name="40% - Ênfase4 3 2 4 2 2 3" xfId="20851"/>
    <cellStyle name="20% - Ênfase5 3 2 4 2 2 3" xfId="20852"/>
    <cellStyle name="40% - Ênfase5 3 2 4 2 2 3" xfId="20853"/>
    <cellStyle name="20% - Ênfase6 3 2 4 2 2 3" xfId="20854"/>
    <cellStyle name="40% - Ênfase6 3 2 4 2 2 3" xfId="20855"/>
    <cellStyle name="Normal 8 2 4 2 2 3" xfId="20856"/>
    <cellStyle name="Nota 5 2 4 2 2 3" xfId="20857"/>
    <cellStyle name="20% - Ênfase1 4 2 4 2 2 3" xfId="20858"/>
    <cellStyle name="40% - Ênfase1 4 2 4 2 2 3" xfId="20859"/>
    <cellStyle name="20% - Ênfase2 4 2 4 2 2 3" xfId="20860"/>
    <cellStyle name="40% - Ênfase2 4 2 4 2 2 3" xfId="20861"/>
    <cellStyle name="20% - Ênfase3 4 2 4 2 2 3" xfId="20862"/>
    <cellStyle name="40% - Ênfase3 4 2 4 2 2 3" xfId="20863"/>
    <cellStyle name="20% - Ênfase4 4 2 4 2 2 3" xfId="20864"/>
    <cellStyle name="40% - Ênfase4 4 2 4 2 2 3" xfId="20865"/>
    <cellStyle name="20% - Ênfase5 4 2 4 2 2 3" xfId="20866"/>
    <cellStyle name="40% - Ênfase5 4 2 4 2 2 3" xfId="20867"/>
    <cellStyle name="20% - Ênfase6 4 2 4 2 2 3" xfId="20868"/>
    <cellStyle name="40% - Ênfase6 4 2 4 2 2 3" xfId="20869"/>
    <cellStyle name="20% - Ênfase1 8 3 2 2 3" xfId="20870"/>
    <cellStyle name="40% - Ênfase1 8 3 2 2 3" xfId="20871"/>
    <cellStyle name="20% - Ênfase2 8 3 2 2 3" xfId="20872"/>
    <cellStyle name="40% - Ênfase2 8 3 2 2 3" xfId="20873"/>
    <cellStyle name="20% - Ênfase3 8 3 2 2 3" xfId="20874"/>
    <cellStyle name="40% - Ênfase3 8 3 2 2 3" xfId="20875"/>
    <cellStyle name="20% - Ênfase4 8 3 2 2 3" xfId="20876"/>
    <cellStyle name="40% - Ênfase4 8 3 2 2 3" xfId="20877"/>
    <cellStyle name="20% - Ênfase5 8 3 2 2 3" xfId="20878"/>
    <cellStyle name="40% - Ênfase5 8 3 2 2 3" xfId="20879"/>
    <cellStyle name="20% - Ênfase6 8 3 2 2 3" xfId="20880"/>
    <cellStyle name="40% - Ênfase6 8 3 2 2 3" xfId="20881"/>
    <cellStyle name="Normal 4 5 3 2 2 3" xfId="20882"/>
    <cellStyle name="Nota 2 5 3 2 2 3" xfId="20883"/>
    <cellStyle name="Normal 5 5 3 2 2 3" xfId="20884"/>
    <cellStyle name="Nota 3 5 3 2 2 3" xfId="20885"/>
    <cellStyle name="20% - Ênfase1 2 5 3 2 2 3" xfId="20886"/>
    <cellStyle name="40% - Ênfase1 2 5 3 2 2 3" xfId="20887"/>
    <cellStyle name="20% - Ênfase2 2 5 3 2 2 3" xfId="20888"/>
    <cellStyle name="40% - Ênfase2 2 5 3 2 2 3" xfId="20889"/>
    <cellStyle name="20% - Ênfase3 2 5 3 2 2 3" xfId="20890"/>
    <cellStyle name="40% - Ênfase3 2 5 3 2 2 3" xfId="20891"/>
    <cellStyle name="20% - Ênfase4 2 5 3 2 2 3" xfId="20892"/>
    <cellStyle name="40% - Ênfase4 2 5 3 2 2 3" xfId="20893"/>
    <cellStyle name="20% - Ênfase5 2 5 3 2 2 3" xfId="20894"/>
    <cellStyle name="40% - Ênfase5 2 5 3 2 2 3" xfId="20895"/>
    <cellStyle name="20% - Ênfase6 2 5 3 2 2 3" xfId="20896"/>
    <cellStyle name="40% - Ênfase6 2 5 3 2 2 3" xfId="20897"/>
    <cellStyle name="Normal 7 5 3 2 2 3" xfId="20898"/>
    <cellStyle name="Nota 4 4 3 2 2 3" xfId="20899"/>
    <cellStyle name="20% - Ênfase1 3 4 3 2 2 3" xfId="20900"/>
    <cellStyle name="40% - Ênfase1 3 4 3 2 2 3" xfId="20901"/>
    <cellStyle name="20% - Ênfase2 3 4 3 2 2 3" xfId="20902"/>
    <cellStyle name="40% - Ênfase2 3 4 3 2 2 3" xfId="20903"/>
    <cellStyle name="20% - Ênfase3 3 4 3 2 2 3" xfId="20904"/>
    <cellStyle name="40% - Ênfase3 3 4 3 2 2 3" xfId="20905"/>
    <cellStyle name="20% - Ênfase4 3 4 3 2 2 3" xfId="20906"/>
    <cellStyle name="40% - Ênfase4 3 4 3 2 2 3" xfId="20907"/>
    <cellStyle name="20% - Ênfase5 3 4 3 2 2 3" xfId="20908"/>
    <cellStyle name="40% - Ênfase5 3 4 3 2 2 3" xfId="20909"/>
    <cellStyle name="20% - Ênfase6 3 4 3 2 2 3" xfId="20910"/>
    <cellStyle name="40% - Ênfase6 3 4 3 2 2 3" xfId="20911"/>
    <cellStyle name="Normal 8 4 3 2 2 3" xfId="20912"/>
    <cellStyle name="Nota 5 4 3 2 2 3" xfId="20913"/>
    <cellStyle name="20% - Ênfase1 4 4 3 2 2 3" xfId="20914"/>
    <cellStyle name="40% - Ênfase1 4 4 3 2 2 3" xfId="20915"/>
    <cellStyle name="20% - Ênfase2 4 4 3 2 2 3" xfId="20916"/>
    <cellStyle name="40% - Ênfase2 4 4 3 2 2 3" xfId="20917"/>
    <cellStyle name="20% - Ênfase3 4 4 3 2 2 3" xfId="20918"/>
    <cellStyle name="40% - Ênfase3 4 4 3 2 2 3" xfId="20919"/>
    <cellStyle name="20% - Ênfase4 4 4 3 2 2 3" xfId="20920"/>
    <cellStyle name="40% - Ênfase4 4 4 3 2 2 3" xfId="20921"/>
    <cellStyle name="20% - Ênfase5 4 4 3 2 2 3" xfId="20922"/>
    <cellStyle name="40% - Ênfase5 4 4 3 2 2 3" xfId="20923"/>
    <cellStyle name="20% - Ênfase6 4 4 3 2 2 3" xfId="20924"/>
    <cellStyle name="40% - Ênfase6 4 4 3 2 2 3" xfId="20925"/>
    <cellStyle name="Normal 3 3 3 2 2 3" xfId="20926"/>
    <cellStyle name="20% - Ênfase1 5 2 3 2 2 3" xfId="20927"/>
    <cellStyle name="40% - Ênfase1 5 2 3 2 2 3" xfId="20928"/>
    <cellStyle name="20% - Ênfase2 5 2 3 2 2 3" xfId="20929"/>
    <cellStyle name="40% - Ênfase2 5 2 3 2 2 3" xfId="20930"/>
    <cellStyle name="20% - Ênfase3 5 2 3 2 2 3" xfId="20931"/>
    <cellStyle name="40% - Ênfase3 5 2 3 2 2 3" xfId="20932"/>
    <cellStyle name="20% - Ênfase4 5 2 3 2 2 3" xfId="20933"/>
    <cellStyle name="40% - Ênfase4 5 2 3 2 2 3" xfId="20934"/>
    <cellStyle name="20% - Ênfase5 5 2 3 2 2 3" xfId="20935"/>
    <cellStyle name="40% - Ênfase5 5 2 3 2 2 3" xfId="20936"/>
    <cellStyle name="20% - Ênfase6 5 2 3 2 2 3" xfId="20937"/>
    <cellStyle name="40% - Ênfase6 5 2 3 2 2 3" xfId="20938"/>
    <cellStyle name="Normal 4 2 2 3 2 2 3" xfId="20939"/>
    <cellStyle name="Nota 2 2 2 3 2 2 3" xfId="20940"/>
    <cellStyle name="Normal 5 2 2 3 2 2 3" xfId="20941"/>
    <cellStyle name="Nota 3 2 2 3 2 2 3" xfId="20942"/>
    <cellStyle name="20% - Ênfase1 2 2 2 3 2 2 3" xfId="20943"/>
    <cellStyle name="40% - Ênfase1 2 2 2 3 2 2 3" xfId="20944"/>
    <cellStyle name="20% - Ênfase2 2 2 2 3 2 2 3" xfId="20945"/>
    <cellStyle name="40% - Ênfase2 2 2 2 3 2 2 3" xfId="20946"/>
    <cellStyle name="20% - Ênfase3 2 2 2 3 2 2 3" xfId="20947"/>
    <cellStyle name="40% - Ênfase3 2 2 2 3 2 2 3" xfId="20948"/>
    <cellStyle name="20% - Ênfase4 2 2 2 3 2 2 3" xfId="20949"/>
    <cellStyle name="40% - Ênfase4 2 2 2 3 2 2 3" xfId="20950"/>
    <cellStyle name="20% - Ênfase5 2 2 2 3 2 2 3" xfId="20951"/>
    <cellStyle name="40% - Ênfase5 2 2 2 3 2 2 3" xfId="20952"/>
    <cellStyle name="20% - Ênfase6 2 2 2 3 2 2 3" xfId="20953"/>
    <cellStyle name="40% - Ênfase6 2 2 2 3 2 2 3" xfId="20954"/>
    <cellStyle name="Normal 7 2 2 3 2 2 3" xfId="20955"/>
    <cellStyle name="Nota 4 3 3 2 2 3" xfId="20956"/>
    <cellStyle name="20% - Ênfase1 3 3 3 2 2 3" xfId="20957"/>
    <cellStyle name="40% - Ênfase1 3 3 3 2 2 3" xfId="20958"/>
    <cellStyle name="20% - Ênfase2 3 3 3 2 2 3" xfId="20959"/>
    <cellStyle name="40% - Ênfase2 3 3 3 2 2 3" xfId="20960"/>
    <cellStyle name="20% - Ênfase3 3 3 3 2 2 3" xfId="20961"/>
    <cellStyle name="40% - Ênfase3 3 3 3 2 2 3" xfId="20962"/>
    <cellStyle name="20% - Ênfase4 3 3 3 2 2 3" xfId="20963"/>
    <cellStyle name="40% - Ênfase4 3 3 3 2 2 3" xfId="20964"/>
    <cellStyle name="20% - Ênfase5 3 3 3 2 2 3" xfId="20965"/>
    <cellStyle name="40% - Ênfase5 3 3 3 2 2 3" xfId="20966"/>
    <cellStyle name="20% - Ênfase6 3 3 3 2 2 3" xfId="20967"/>
    <cellStyle name="40% - Ênfase6 3 3 3 2 2 3" xfId="20968"/>
    <cellStyle name="Normal 8 3 3 2 2 3" xfId="20969"/>
    <cellStyle name="Nota 5 3 3 2 2 3" xfId="20970"/>
    <cellStyle name="20% - Ênfase1 4 3 3 2 2 3" xfId="20971"/>
    <cellStyle name="40% - Ênfase1 4 3 3 2 2 3" xfId="20972"/>
    <cellStyle name="20% - Ênfase2 4 3 3 2 2 3" xfId="20973"/>
    <cellStyle name="40% - Ênfase2 4 3 3 2 2 3" xfId="20974"/>
    <cellStyle name="20% - Ênfase3 4 3 3 2 2 3" xfId="20975"/>
    <cellStyle name="40% - Ênfase3 4 3 3 2 2 3" xfId="20976"/>
    <cellStyle name="20% - Ênfase4 4 3 3 2 2 3" xfId="20977"/>
    <cellStyle name="40% - Ênfase4 4 3 3 2 2 3" xfId="20978"/>
    <cellStyle name="20% - Ênfase5 4 3 3 2 2 3" xfId="20979"/>
    <cellStyle name="40% - Ênfase5 4 3 3 2 2 3" xfId="20980"/>
    <cellStyle name="20% - Ênfase6 4 3 3 2 2 3" xfId="20981"/>
    <cellStyle name="40% - Ênfase6 4 3 3 2 2 3" xfId="20982"/>
    <cellStyle name="20% - Ênfase1 6 2 3 2 2 3" xfId="20983"/>
    <cellStyle name="40% - Ênfase1 6 2 3 2 2 3" xfId="20984"/>
    <cellStyle name="20% - Ênfase2 6 2 3 2 2 3" xfId="20985"/>
    <cellStyle name="40% - Ênfase2 6 2 3 2 2 3" xfId="20986"/>
    <cellStyle name="20% - Ênfase3 6 2 3 2 2 3" xfId="20987"/>
    <cellStyle name="40% - Ênfase3 6 2 3 2 2 3" xfId="20988"/>
    <cellStyle name="20% - Ênfase4 6 2 3 2 2 3" xfId="20989"/>
    <cellStyle name="40% - Ênfase4 6 2 3 2 2 3" xfId="20990"/>
    <cellStyle name="20% - Ênfase5 6 2 3 2 2 3" xfId="20991"/>
    <cellStyle name="40% - Ênfase5 6 2 3 2 2 3" xfId="20992"/>
    <cellStyle name="20% - Ênfase6 6 2 3 2 2 3" xfId="20993"/>
    <cellStyle name="40% - Ênfase6 6 2 3 2 2 3" xfId="20994"/>
    <cellStyle name="Normal 4 3 2 3 2 2 3" xfId="20995"/>
    <cellStyle name="Nota 2 3 2 3 2 2 3" xfId="20996"/>
    <cellStyle name="Normal 5 3 2 3 2 2 3" xfId="20997"/>
    <cellStyle name="Nota 3 3 2 3 2 2 3" xfId="20998"/>
    <cellStyle name="20% - Ênfase1 2 3 2 3 2 2 3" xfId="20999"/>
    <cellStyle name="40% - Ênfase1 2 3 2 3 2 2 3" xfId="21000"/>
    <cellStyle name="20% - Ênfase2 2 3 2 3 2 2 3" xfId="21001"/>
    <cellStyle name="40% - Ênfase2 2 3 2 3 2 2 3" xfId="21002"/>
    <cellStyle name="20% - Ênfase3 2 3 2 3 2 2 3" xfId="21003"/>
    <cellStyle name="40% - Ênfase3 2 3 2 3 2 2 3" xfId="21004"/>
    <cellStyle name="20% - Ênfase4 2 3 2 3 2 2 3" xfId="21005"/>
    <cellStyle name="40% - Ênfase4 2 3 2 3 2 2 3" xfId="21006"/>
    <cellStyle name="20% - Ênfase5 2 3 2 3 2 2 3" xfId="21007"/>
    <cellStyle name="40% - Ênfase5 2 3 2 3 2 2 3" xfId="21008"/>
    <cellStyle name="20% - Ênfase6 2 3 2 3 2 2 3" xfId="21009"/>
    <cellStyle name="40% - Ênfase6 2 3 2 3 2 2 3" xfId="21010"/>
    <cellStyle name="Normal 7 3 2 3 2 2 3" xfId="21011"/>
    <cellStyle name="Nota 4 2 2 3 2 2 3" xfId="21012"/>
    <cellStyle name="20% - Ênfase1 3 2 2 3 2 2 3" xfId="21013"/>
    <cellStyle name="40% - Ênfase1 3 2 2 3 2 2 3" xfId="21014"/>
    <cellStyle name="20% - Ênfase2 3 2 2 3 2 2 3" xfId="21015"/>
    <cellStyle name="40% - Ênfase2 3 2 2 3 2 2 3" xfId="21016"/>
    <cellStyle name="20% - Ênfase3 3 2 2 3 2 2 3" xfId="21017"/>
    <cellStyle name="40% - Ênfase3 3 2 2 3 2 2 3" xfId="21018"/>
    <cellStyle name="20% - Ênfase4 3 2 2 3 2 2 3" xfId="21019"/>
    <cellStyle name="40% - Ênfase4 3 2 2 3 2 2 3" xfId="21020"/>
    <cellStyle name="20% - Ênfase5 3 2 2 3 2 2 3" xfId="21021"/>
    <cellStyle name="40% - Ênfase5 3 2 2 3 2 2 3" xfId="21022"/>
    <cellStyle name="20% - Ênfase6 3 2 2 3 2 2 3" xfId="21023"/>
    <cellStyle name="40% - Ênfase6 3 2 2 3 2 2 3" xfId="21024"/>
    <cellStyle name="Normal 8 2 2 3 2 2 3" xfId="21025"/>
    <cellStyle name="Nota 5 2 2 3 2 2 3" xfId="21026"/>
    <cellStyle name="20% - Ênfase1 4 2 2 3 2 2 3" xfId="21027"/>
    <cellStyle name="40% - Ênfase1 4 2 2 3 2 2 3" xfId="21028"/>
    <cellStyle name="20% - Ênfase2 4 2 2 3 2 2 3" xfId="21029"/>
    <cellStyle name="40% - Ênfase2 4 2 2 3 2 2 3" xfId="21030"/>
    <cellStyle name="20% - Ênfase3 4 2 2 3 2 2 3" xfId="21031"/>
    <cellStyle name="40% - Ênfase3 4 2 2 3 2 2 3" xfId="21032"/>
    <cellStyle name="20% - Ênfase4 4 2 2 3 2 2 3" xfId="21033"/>
    <cellStyle name="40% - Ênfase4 4 2 2 3 2 2 3" xfId="21034"/>
    <cellStyle name="20% - Ênfase5 4 2 2 3 2 2 3" xfId="21035"/>
    <cellStyle name="40% - Ênfase5 4 2 2 3 2 2 3" xfId="21036"/>
    <cellStyle name="20% - Ênfase6 4 2 2 3 2 2 3" xfId="21037"/>
    <cellStyle name="40% - Ênfase6 4 2 2 3 2 2 3" xfId="21038"/>
    <cellStyle name="Normal 3 6 2 2 3" xfId="21039"/>
    <cellStyle name="20% - Ênfase1 5 5 2 2 3" xfId="21040"/>
    <cellStyle name="40% - Ênfase1 5 5 2 2 3" xfId="21041"/>
    <cellStyle name="20% - Ênfase2 5 5 2 2 3" xfId="21042"/>
    <cellStyle name="40% - Ênfase2 5 5 2 2 3" xfId="21043"/>
    <cellStyle name="20% - Ênfase3 5 5 2 2 3" xfId="21044"/>
    <cellStyle name="40% - Ênfase3 5 5 2 2 3" xfId="21045"/>
    <cellStyle name="20% - Ênfase4 5 5 2 2 3" xfId="21046"/>
    <cellStyle name="40% - Ênfase4 5 5 2 2 3" xfId="21047"/>
    <cellStyle name="20% - Ênfase5 5 5 2 2 3" xfId="21048"/>
    <cellStyle name="40% - Ênfase5 5 5 2 2 3" xfId="21049"/>
    <cellStyle name="20% - Ênfase6 5 5 2 2 3" xfId="21050"/>
    <cellStyle name="40% - Ênfase6 5 5 2 2 3" xfId="21051"/>
    <cellStyle name="Normal 4 2 5 2 2 3" xfId="21052"/>
    <cellStyle name="Nota 2 2 5 2 2 3" xfId="21053"/>
    <cellStyle name="Normal 5 2 5 2 2 3" xfId="21054"/>
    <cellStyle name="Nota 3 2 5 2 2 3" xfId="21055"/>
    <cellStyle name="20% - Ênfase1 2 2 5 2 2 3" xfId="21056"/>
    <cellStyle name="40% - Ênfase1 2 2 5 2 2 3" xfId="21057"/>
    <cellStyle name="20% - Ênfase2 2 2 5 2 2 3" xfId="21058"/>
    <cellStyle name="40% - Ênfase2 2 2 5 2 2 3" xfId="21059"/>
    <cellStyle name="20% - Ênfase3 2 2 5 2 2 3" xfId="21060"/>
    <cellStyle name="40% - Ênfase3 2 2 5 2 2 3" xfId="21061"/>
    <cellStyle name="20% - Ênfase4 2 2 5 2 2 3" xfId="21062"/>
    <cellStyle name="40% - Ênfase4 2 2 5 2 2 3" xfId="21063"/>
    <cellStyle name="20% - Ênfase5 2 2 5 2 2 3" xfId="21064"/>
    <cellStyle name="40% - Ênfase5 2 2 5 2 2 3" xfId="21065"/>
    <cellStyle name="20% - Ênfase6 2 2 5 2 2 3" xfId="21066"/>
    <cellStyle name="40% - Ênfase6 2 2 5 2 2 3" xfId="21067"/>
    <cellStyle name="Normal 7 2 5 2 2 3" xfId="21068"/>
    <cellStyle name="Nota 4 7 2 2 3" xfId="21069"/>
    <cellStyle name="20% - Ênfase1 3 7 2 2 3" xfId="21070"/>
    <cellStyle name="40% - Ênfase1 3 7 2 2 3" xfId="21071"/>
    <cellStyle name="20% - Ênfase2 3 7 2 2 3" xfId="21072"/>
    <cellStyle name="40% - Ênfase2 3 7 2 2 3" xfId="21073"/>
    <cellStyle name="20% - Ênfase3 3 7 2 2 3" xfId="21074"/>
    <cellStyle name="40% - Ênfase3 3 7 2 2 3" xfId="21075"/>
    <cellStyle name="20% - Ênfase4 3 7 2 2 3" xfId="21076"/>
    <cellStyle name="40% - Ênfase4 3 7 2 2 3" xfId="21077"/>
    <cellStyle name="20% - Ênfase5 3 7 2 2 3" xfId="21078"/>
    <cellStyle name="40% - Ênfase5 3 7 2 2 3" xfId="21079"/>
    <cellStyle name="20% - Ênfase6 3 7 2 2 3" xfId="21080"/>
    <cellStyle name="40% - Ênfase6 3 7 2 2 3" xfId="21081"/>
    <cellStyle name="Normal 8 7 2 2 3" xfId="21082"/>
    <cellStyle name="Nota 5 7 2 2 3" xfId="21083"/>
    <cellStyle name="20% - Ênfase1 4 7 2 2 3" xfId="21084"/>
    <cellStyle name="40% - Ênfase1 4 7 2 2 3" xfId="21085"/>
    <cellStyle name="20% - Ênfase2 4 7 2 2 3" xfId="21086"/>
    <cellStyle name="40% - Ênfase2 4 7 2 2 3" xfId="21087"/>
    <cellStyle name="20% - Ênfase3 4 7 2 2 3" xfId="21088"/>
    <cellStyle name="40% - Ênfase3 4 7 2 2 3" xfId="21089"/>
    <cellStyle name="20% - Ênfase4 4 7 2 2 3" xfId="21090"/>
    <cellStyle name="40% - Ênfase4 4 7 2 2 3" xfId="21091"/>
    <cellStyle name="20% - Ênfase5 4 7 2 2 3" xfId="21092"/>
    <cellStyle name="40% - Ênfase5 4 7 2 2 3" xfId="21093"/>
    <cellStyle name="20% - Ênfase6 4 7 2 2 3" xfId="21094"/>
    <cellStyle name="40% - Ênfase6 4 7 2 2 3" xfId="21095"/>
    <cellStyle name="Normal 6 4 2 2 3" xfId="21096"/>
    <cellStyle name="Separador de milhares 7 2 2 2 3" xfId="21097"/>
    <cellStyle name="Normal 3 10 3" xfId="21098"/>
    <cellStyle name="Normal 3 7 3 3" xfId="21099"/>
    <cellStyle name="20% - Ênfase1 5 9 3" xfId="21100"/>
    <cellStyle name="40% - Ênfase1 5 9 3" xfId="21101"/>
    <cellStyle name="20% - Ênfase2 5 9 3" xfId="21102"/>
    <cellStyle name="40% - Ênfase2 5 9 3" xfId="21103"/>
    <cellStyle name="20% - Ênfase3 5 9 3" xfId="21104"/>
    <cellStyle name="40% - Ênfase3 5 9 3" xfId="21105"/>
    <cellStyle name="20% - Ênfase4 5 9 3" xfId="21106"/>
    <cellStyle name="40% - Ênfase4 5 9 3" xfId="21107"/>
    <cellStyle name="20% - Ênfase5 5 9 3" xfId="21108"/>
    <cellStyle name="40% - Ênfase5 5 9 3" xfId="21109"/>
    <cellStyle name="20% - Ênfase6 5 9 3" xfId="21110"/>
    <cellStyle name="40% - Ênfase6 5 9 3" xfId="21111"/>
    <cellStyle name="Normal 4 2 9 3" xfId="21112"/>
    <cellStyle name="Nota 2 2 9 3" xfId="21113"/>
    <cellStyle name="Normal 5 2 10 3" xfId="21114"/>
    <cellStyle name="Nota 3 2 9 3" xfId="21115"/>
    <cellStyle name="20% - Ênfase1 2 2 9 3" xfId="21116"/>
    <cellStyle name="40% - Ênfase1 2 2 9 3" xfId="21117"/>
    <cellStyle name="20% - Ênfase2 2 2 9 3" xfId="21118"/>
    <cellStyle name="40% - Ênfase2 2 2 9 3" xfId="21119"/>
    <cellStyle name="20% - Ênfase3 2 2 9 3" xfId="21120"/>
    <cellStyle name="40% - Ênfase3 2 2 9 3" xfId="21121"/>
    <cellStyle name="20% - Ênfase4 2 2 9 3" xfId="21122"/>
    <cellStyle name="40% - Ênfase4 2 2 9 3" xfId="21123"/>
    <cellStyle name="20% - Ênfase5 2 2 9 3" xfId="21124"/>
    <cellStyle name="40% - Ênfase5 2 2 9 3" xfId="21125"/>
    <cellStyle name="20% - Ênfase6 2 2 9 3" xfId="21126"/>
    <cellStyle name="40% - Ênfase6 2 2 9 3" xfId="21127"/>
    <cellStyle name="Normal 7 2 9 3" xfId="21128"/>
    <cellStyle name="Nota 4 11 3" xfId="21129"/>
    <cellStyle name="20% - Ênfase1 3 11 3" xfId="21130"/>
    <cellStyle name="40% - Ênfase1 3 11 3" xfId="21131"/>
    <cellStyle name="20% - Ênfase2 3 11 3" xfId="21132"/>
    <cellStyle name="40% - Ênfase2 3 11 3" xfId="21133"/>
    <cellStyle name="20% - Ênfase3 3 11 3" xfId="21134"/>
    <cellStyle name="40% - Ênfase3 3 11 3" xfId="21135"/>
    <cellStyle name="20% - Ênfase4 3 11 3" xfId="21136"/>
    <cellStyle name="40% - Ênfase4 3 11 3" xfId="21137"/>
    <cellStyle name="20% - Ênfase5 3 11 3" xfId="21138"/>
    <cellStyle name="40% - Ênfase5 3 11 3" xfId="21139"/>
    <cellStyle name="20% - Ênfase6 3 11 3" xfId="21140"/>
    <cellStyle name="40% - Ênfase6 3 11 3" xfId="21141"/>
    <cellStyle name="Normal 8 14 3" xfId="21142"/>
    <cellStyle name="Nota 5 11 3" xfId="21143"/>
    <cellStyle name="20% - Ênfase1 4 11 3" xfId="21144"/>
    <cellStyle name="40% - Ênfase1 4 11 3" xfId="21145"/>
    <cellStyle name="20% - Ênfase2 4 11 3" xfId="21146"/>
    <cellStyle name="40% - Ênfase2 4 11 3" xfId="21147"/>
    <cellStyle name="20% - Ênfase3 4 11 3" xfId="21148"/>
    <cellStyle name="40% - Ênfase3 4 11 3" xfId="21149"/>
    <cellStyle name="20% - Ênfase4 4 11 3" xfId="21150"/>
    <cellStyle name="40% - Ênfase4 4 11 3" xfId="21151"/>
    <cellStyle name="20% - Ênfase5 4 11 3" xfId="21152"/>
    <cellStyle name="40% - Ênfase5 4 11 3" xfId="21153"/>
    <cellStyle name="20% - Ênfase6 4 11 3" xfId="21154"/>
    <cellStyle name="40% - Ênfase6 4 11 3" xfId="21155"/>
    <cellStyle name="20% - Ênfase1 6 8 3" xfId="21156"/>
    <cellStyle name="40% - Ênfase1 6 8 3" xfId="21157"/>
    <cellStyle name="20% - Ênfase2 6 8 3" xfId="21158"/>
    <cellStyle name="40% - Ênfase2 6 8 3" xfId="21159"/>
    <cellStyle name="20% - Ênfase3 6 8 3" xfId="21160"/>
    <cellStyle name="40% - Ênfase3 6 8 3" xfId="21161"/>
    <cellStyle name="20% - Ênfase4 6 8 3" xfId="21162"/>
    <cellStyle name="40% - Ênfase4 6 8 3" xfId="21163"/>
    <cellStyle name="20% - Ênfase5 6 8 3" xfId="21164"/>
    <cellStyle name="40% - Ênfase5 6 8 3" xfId="21165"/>
    <cellStyle name="20% - Ênfase6 6 8 3" xfId="21166"/>
    <cellStyle name="40% - Ênfase6 6 8 3" xfId="21167"/>
    <cellStyle name="Normal 4 3 8 3" xfId="21168"/>
    <cellStyle name="Nota 2 3 8 3" xfId="21169"/>
    <cellStyle name="Normal 5 3 8 3" xfId="21170"/>
    <cellStyle name="Nota 3 3 8 3" xfId="21171"/>
    <cellStyle name="20% - Ênfase1 2 3 8 3" xfId="21172"/>
    <cellStyle name="40% - Ênfase1 2 3 8 3" xfId="21173"/>
    <cellStyle name="20% - Ênfase2 2 3 8 3" xfId="21174"/>
    <cellStyle name="40% - Ênfase2 2 3 8 3" xfId="21175"/>
    <cellStyle name="20% - Ênfase3 2 3 8 3" xfId="21176"/>
    <cellStyle name="40% - Ênfase3 2 3 8 3" xfId="21177"/>
    <cellStyle name="20% - Ênfase4 2 3 8 3" xfId="21178"/>
    <cellStyle name="40% - Ênfase4 2 3 8 3" xfId="21179"/>
    <cellStyle name="20% - Ênfase5 2 3 8 3" xfId="21180"/>
    <cellStyle name="40% - Ênfase5 2 3 8 3" xfId="21181"/>
    <cellStyle name="20% - Ênfase6 2 3 8 3" xfId="21182"/>
    <cellStyle name="40% - Ênfase6 2 3 8 3" xfId="21183"/>
    <cellStyle name="Normal 7 3 8 3" xfId="21184"/>
    <cellStyle name="Nota 4 2 8 3" xfId="21185"/>
    <cellStyle name="20% - Ênfase1 3 2 8 3" xfId="21186"/>
    <cellStyle name="40% - Ênfase1 3 2 8 3" xfId="21187"/>
    <cellStyle name="20% - Ênfase2 3 2 8 3" xfId="21188"/>
    <cellStyle name="40% - Ênfase2 3 2 8 3" xfId="21189"/>
    <cellStyle name="20% - Ênfase3 3 2 8 3" xfId="21190"/>
    <cellStyle name="40% - Ênfase3 3 2 8 3" xfId="21191"/>
    <cellStyle name="20% - Ênfase4 3 2 8 3" xfId="21192"/>
    <cellStyle name="40% - Ênfase4 3 2 8 3" xfId="21193"/>
    <cellStyle name="20% - Ênfase5 3 2 8 3" xfId="21194"/>
    <cellStyle name="40% - Ênfase5 3 2 8 3" xfId="21195"/>
    <cellStyle name="20% - Ênfase6 3 2 8 3" xfId="21196"/>
    <cellStyle name="40% - Ênfase6 3 2 8 3" xfId="21197"/>
    <cellStyle name="Normal 8 2 8 3" xfId="21198"/>
    <cellStyle name="Nota 5 2 8 3" xfId="21199"/>
    <cellStyle name="20% - Ênfase1 4 2 8 3" xfId="21200"/>
    <cellStyle name="40% - Ênfase1 4 2 8 3" xfId="21201"/>
    <cellStyle name="20% - Ênfase2 4 2 8 3" xfId="21202"/>
    <cellStyle name="40% - Ênfase2 4 2 8 3" xfId="21203"/>
    <cellStyle name="20% - Ênfase3 4 2 8 3" xfId="21204"/>
    <cellStyle name="40% - Ênfase3 4 2 8 3" xfId="21205"/>
    <cellStyle name="20% - Ênfase4 4 2 8 3" xfId="21206"/>
    <cellStyle name="40% - Ênfase4 4 2 8 3" xfId="21207"/>
    <cellStyle name="20% - Ênfase5 4 2 8 3" xfId="21208"/>
    <cellStyle name="40% - Ênfase5 4 2 8 3" xfId="21209"/>
    <cellStyle name="20% - Ênfase6 4 2 8 3" xfId="21210"/>
    <cellStyle name="40% - Ênfase6 4 2 8 3" xfId="21211"/>
    <cellStyle name="20% - Ênfase1 8 6 3" xfId="21212"/>
    <cellStyle name="40% - Ênfase1 8 6 3" xfId="21213"/>
    <cellStyle name="20% - Ênfase2 8 6 3" xfId="21214"/>
    <cellStyle name="40% - Ênfase2 8 6 3" xfId="21215"/>
    <cellStyle name="20% - Ênfase3 8 6 3" xfId="21216"/>
    <cellStyle name="40% - Ênfase3 8 6 3" xfId="21217"/>
    <cellStyle name="20% - Ênfase4 8 6 3" xfId="21218"/>
    <cellStyle name="40% - Ênfase4 8 6 3" xfId="21219"/>
    <cellStyle name="20% - Ênfase5 8 6 3" xfId="21220"/>
    <cellStyle name="40% - Ênfase5 8 6 3" xfId="21221"/>
    <cellStyle name="20% - Ênfase6 8 6 3" xfId="21222"/>
    <cellStyle name="40% - Ênfase6 8 6 3" xfId="21223"/>
    <cellStyle name="Normal 4 5 6 3" xfId="21224"/>
    <cellStyle name="Nota 2 5 6 3" xfId="21225"/>
    <cellStyle name="Normal 5 5 6 3" xfId="21226"/>
    <cellStyle name="Nota 3 5 6 3" xfId="21227"/>
    <cellStyle name="20% - Ênfase1 2 5 6 3" xfId="21228"/>
    <cellStyle name="40% - Ênfase1 2 5 6 3" xfId="21229"/>
    <cellStyle name="20% - Ênfase2 2 5 6 3" xfId="21230"/>
    <cellStyle name="40% - Ênfase2 2 5 6 3" xfId="21231"/>
    <cellStyle name="20% - Ênfase3 2 5 6 3" xfId="21232"/>
    <cellStyle name="40% - Ênfase3 2 5 6 3" xfId="21233"/>
    <cellStyle name="20% - Ênfase4 2 5 6 3" xfId="21234"/>
    <cellStyle name="40% - Ênfase4 2 5 6 3" xfId="21235"/>
    <cellStyle name="20% - Ênfase5 2 5 6 3" xfId="21236"/>
    <cellStyle name="40% - Ênfase5 2 5 6 3" xfId="21237"/>
    <cellStyle name="20% - Ênfase6 2 5 6 3" xfId="21238"/>
    <cellStyle name="40% - Ênfase6 2 5 6 3" xfId="21239"/>
    <cellStyle name="Normal 7 5 6 3" xfId="21240"/>
    <cellStyle name="Nota 4 4 6 3" xfId="21241"/>
    <cellStyle name="20% - Ênfase1 3 4 6 3" xfId="21242"/>
    <cellStyle name="40% - Ênfase1 3 4 6 3" xfId="21243"/>
    <cellStyle name="20% - Ênfase2 3 4 6 3" xfId="21244"/>
    <cellStyle name="40% - Ênfase2 3 4 6 3" xfId="21245"/>
    <cellStyle name="20% - Ênfase3 3 4 6 3" xfId="21246"/>
    <cellStyle name="40% - Ênfase3 3 4 6 3" xfId="21247"/>
    <cellStyle name="20% - Ênfase4 3 4 6 3" xfId="21248"/>
    <cellStyle name="40% - Ênfase4 3 4 6 3" xfId="21249"/>
    <cellStyle name="20% - Ênfase5 3 4 6 3" xfId="21250"/>
    <cellStyle name="40% - Ênfase5 3 4 6 3" xfId="21251"/>
    <cellStyle name="20% - Ênfase6 3 4 6 3" xfId="21252"/>
    <cellStyle name="40% - Ênfase6 3 4 6 3" xfId="21253"/>
    <cellStyle name="Normal 8 4 7 3" xfId="21254"/>
    <cellStyle name="Nota 5 4 6 3" xfId="21255"/>
    <cellStyle name="20% - Ênfase1 4 4 6 3" xfId="21256"/>
    <cellStyle name="40% - Ênfase1 4 4 6 3" xfId="21257"/>
    <cellStyle name="20% - Ênfase2 4 4 6 3" xfId="21258"/>
    <cellStyle name="40% - Ênfase2 4 4 6 3" xfId="21259"/>
    <cellStyle name="20% - Ênfase3 4 4 6 3" xfId="21260"/>
    <cellStyle name="40% - Ênfase3 4 4 6 3" xfId="21261"/>
    <cellStyle name="20% - Ênfase4 4 4 6 3" xfId="21262"/>
    <cellStyle name="40% - Ênfase4 4 4 6 3" xfId="21263"/>
    <cellStyle name="20% - Ênfase5 4 4 6 3" xfId="21264"/>
    <cellStyle name="40% - Ênfase5 4 4 6 3" xfId="21265"/>
    <cellStyle name="20% - Ênfase6 4 4 6 3" xfId="21266"/>
    <cellStyle name="40% - Ênfase6 4 4 6 3" xfId="21267"/>
    <cellStyle name="Normal 3 3 7 3" xfId="21268"/>
    <cellStyle name="20% - Ênfase1 5 2 6 3" xfId="21269"/>
    <cellStyle name="40% - Ênfase1 5 2 6 3" xfId="21270"/>
    <cellStyle name="20% - Ênfase2 5 2 6 3" xfId="21271"/>
    <cellStyle name="40% - Ênfase2 5 2 6 3" xfId="21272"/>
    <cellStyle name="20% - Ênfase3 5 2 6 3" xfId="21273"/>
    <cellStyle name="40% - Ênfase3 5 2 6 3" xfId="21274"/>
    <cellStyle name="20% - Ênfase4 5 2 6 3" xfId="21275"/>
    <cellStyle name="40% - Ênfase4 5 2 6 3" xfId="21276"/>
    <cellStyle name="20% - Ênfase5 5 2 6 3" xfId="21277"/>
    <cellStyle name="40% - Ênfase5 5 2 6 3" xfId="21278"/>
    <cellStyle name="20% - Ênfase6 5 2 6 3" xfId="21279"/>
    <cellStyle name="40% - Ênfase6 5 2 6 3" xfId="21280"/>
    <cellStyle name="Normal 4 2 2 6 3" xfId="21281"/>
    <cellStyle name="Nota 2 2 2 6 3" xfId="21282"/>
    <cellStyle name="Normal 5 2 2 6 3" xfId="21283"/>
    <cellStyle name="Nota 3 2 2 6 3" xfId="21284"/>
    <cellStyle name="20% - Ênfase1 2 2 2 6 3" xfId="21285"/>
    <cellStyle name="40% - Ênfase1 2 2 2 6 3" xfId="21286"/>
    <cellStyle name="20% - Ênfase2 2 2 2 6 3" xfId="21287"/>
    <cellStyle name="40% - Ênfase2 2 2 2 6 3" xfId="21288"/>
    <cellStyle name="20% - Ênfase3 2 2 2 6 3" xfId="21289"/>
    <cellStyle name="40% - Ênfase3 2 2 2 6 3" xfId="21290"/>
    <cellStyle name="20% - Ênfase4 2 2 2 6 3" xfId="21291"/>
    <cellStyle name="40% - Ênfase4 2 2 2 6 3" xfId="21292"/>
    <cellStyle name="20% - Ênfase5 2 2 2 6 3" xfId="21293"/>
    <cellStyle name="40% - Ênfase5 2 2 2 6 3" xfId="21294"/>
    <cellStyle name="20% - Ênfase6 2 2 2 6 3" xfId="21295"/>
    <cellStyle name="40% - Ênfase6 2 2 2 6 3" xfId="21296"/>
    <cellStyle name="Normal 7 2 2 7 3" xfId="21297"/>
    <cellStyle name="Nota 4 3 7 3" xfId="21298"/>
    <cellStyle name="20% - Ênfase1 3 3 7 3" xfId="21299"/>
    <cellStyle name="40% - Ênfase1 3 3 7 3" xfId="21300"/>
    <cellStyle name="20% - Ênfase2 3 3 7 3" xfId="21301"/>
    <cellStyle name="40% - Ênfase2 3 3 7 3" xfId="21302"/>
    <cellStyle name="20% - Ênfase3 3 3 7 3" xfId="21303"/>
    <cellStyle name="40% - Ênfase3 3 3 7 3" xfId="21304"/>
    <cellStyle name="20% - Ênfase4 3 3 7 3" xfId="21305"/>
    <cellStyle name="40% - Ênfase4 3 3 7 3" xfId="21306"/>
    <cellStyle name="20% - Ênfase5 3 3 7 3" xfId="21307"/>
    <cellStyle name="40% - Ênfase5 3 3 7 3" xfId="21308"/>
    <cellStyle name="20% - Ênfase6 3 3 7 3" xfId="21309"/>
    <cellStyle name="40% - Ênfase6 3 3 7 3" xfId="21310"/>
    <cellStyle name="Normal 8 3 7 3" xfId="21311"/>
    <cellStyle name="Nota 5 3 7 3" xfId="21312"/>
    <cellStyle name="20% - Ênfase1 4 3 7 3" xfId="21313"/>
    <cellStyle name="40% - Ênfase1 4 3 7 3" xfId="21314"/>
    <cellStyle name="20% - Ênfase2 4 3 7 3" xfId="21315"/>
    <cellStyle name="40% - Ênfase2 4 3 7 3" xfId="21316"/>
    <cellStyle name="20% - Ênfase3 4 3 7 3" xfId="21317"/>
    <cellStyle name="40% - Ênfase3 4 3 7 3" xfId="21318"/>
    <cellStyle name="20% - Ênfase4 4 3 7 3" xfId="21319"/>
    <cellStyle name="40% - Ênfase4 4 3 7 3" xfId="21320"/>
    <cellStyle name="20% - Ênfase5 4 3 7 3" xfId="21321"/>
    <cellStyle name="40% - Ênfase5 4 3 7 3" xfId="21322"/>
    <cellStyle name="20% - Ênfase6 4 3 7 3" xfId="21323"/>
    <cellStyle name="40% - Ênfase6 4 3 7 3" xfId="21324"/>
    <cellStyle name="20% - Ênfase1 6 2 6 3" xfId="21325"/>
    <cellStyle name="40% - Ênfase1 6 2 6 3" xfId="21326"/>
    <cellStyle name="20% - Ênfase2 6 2 6 3" xfId="21327"/>
    <cellStyle name="40% - Ênfase2 6 2 6 3" xfId="21328"/>
    <cellStyle name="20% - Ênfase3 6 2 6 3" xfId="21329"/>
    <cellStyle name="40% - Ênfase3 6 2 6 3" xfId="21330"/>
    <cellStyle name="20% - Ênfase4 6 2 6 3" xfId="21331"/>
    <cellStyle name="40% - Ênfase4 6 2 6 3" xfId="21332"/>
    <cellStyle name="20% - Ênfase5 6 2 6 3" xfId="21333"/>
    <cellStyle name="40% - Ênfase5 6 2 6 3" xfId="21334"/>
    <cellStyle name="20% - Ênfase6 6 2 6 3" xfId="21335"/>
    <cellStyle name="40% - Ênfase6 6 2 6 3" xfId="21336"/>
    <cellStyle name="Normal 4 3 2 6 3" xfId="21337"/>
    <cellStyle name="Nota 2 3 2 6 3" xfId="21338"/>
    <cellStyle name="Normal 5 3 2 6 3" xfId="21339"/>
    <cellStyle name="Nota 3 3 2 6 3" xfId="21340"/>
    <cellStyle name="20% - Ênfase1 2 3 2 6 3" xfId="21341"/>
    <cellStyle name="40% - Ênfase1 2 3 2 6 3" xfId="21342"/>
    <cellStyle name="20% - Ênfase2 2 3 2 6 3" xfId="21343"/>
    <cellStyle name="40% - Ênfase2 2 3 2 6 3" xfId="21344"/>
    <cellStyle name="20% - Ênfase3 2 3 2 6 3" xfId="21345"/>
    <cellStyle name="40% - Ênfase3 2 3 2 6 3" xfId="21346"/>
    <cellStyle name="20% - Ênfase4 2 3 2 6 3" xfId="21347"/>
    <cellStyle name="40% - Ênfase4 2 3 2 6 3" xfId="21348"/>
    <cellStyle name="20% - Ênfase5 2 3 2 6 3" xfId="21349"/>
    <cellStyle name="40% - Ênfase5 2 3 2 6 3" xfId="21350"/>
    <cellStyle name="20% - Ênfase6 2 3 2 6 3" xfId="21351"/>
    <cellStyle name="40% - Ênfase6 2 3 2 6 3" xfId="21352"/>
    <cellStyle name="Normal 7 3 2 6 3" xfId="21353"/>
    <cellStyle name="Nota 4 2 2 6 3" xfId="21354"/>
    <cellStyle name="20% - Ênfase1 3 2 2 6 3" xfId="21355"/>
    <cellStyle name="40% - Ênfase1 3 2 2 6 3" xfId="21356"/>
    <cellStyle name="20% - Ênfase2 3 2 2 6 3" xfId="21357"/>
    <cellStyle name="40% - Ênfase2 3 2 2 6 3" xfId="21358"/>
    <cellStyle name="20% - Ênfase3 3 2 2 6 3" xfId="21359"/>
    <cellStyle name="40% - Ênfase3 3 2 2 6 3" xfId="21360"/>
    <cellStyle name="20% - Ênfase4 3 2 2 6 3" xfId="21361"/>
    <cellStyle name="40% - Ênfase4 3 2 2 6 3" xfId="21362"/>
    <cellStyle name="20% - Ênfase5 3 2 2 6 3" xfId="21363"/>
    <cellStyle name="40% - Ênfase5 3 2 2 6 3" xfId="21364"/>
    <cellStyle name="20% - Ênfase6 3 2 2 6 3" xfId="21365"/>
    <cellStyle name="40% - Ênfase6 3 2 2 6 3" xfId="21366"/>
    <cellStyle name="Normal 8 2 2 7 3" xfId="21367"/>
    <cellStyle name="Nota 5 2 2 6 3" xfId="21368"/>
    <cellStyle name="20% - Ênfase1 4 2 2 6 3" xfId="21369"/>
    <cellStyle name="40% - Ênfase1 4 2 2 6 3" xfId="21370"/>
    <cellStyle name="20% - Ênfase2 4 2 2 6 3" xfId="21371"/>
    <cellStyle name="40% - Ênfase2 4 2 2 6 3" xfId="21372"/>
    <cellStyle name="20% - Ênfase3 4 2 2 6 3" xfId="21373"/>
    <cellStyle name="40% - Ênfase3 4 2 2 6 3" xfId="21374"/>
    <cellStyle name="20% - Ênfase4 4 2 2 6 3" xfId="21375"/>
    <cellStyle name="40% - Ênfase4 4 2 2 6 3" xfId="21376"/>
    <cellStyle name="20% - Ênfase5 4 2 2 6 3" xfId="21377"/>
    <cellStyle name="40% - Ênfase5 4 2 2 6 3" xfId="21378"/>
    <cellStyle name="20% - Ênfase6 4 2 2 6 3" xfId="21379"/>
    <cellStyle name="40% - Ênfase6 4 2 2 6 3" xfId="21380"/>
    <cellStyle name="Normal 3 4 4 3" xfId="21381"/>
    <cellStyle name="20% - Ênfase1 5 3 4 3" xfId="21382"/>
    <cellStyle name="40% - Ênfase1 5 3 4 3" xfId="21383"/>
    <cellStyle name="20% - Ênfase2 5 3 4 3" xfId="21384"/>
    <cellStyle name="40% - Ênfase2 5 3 4 3" xfId="21385"/>
    <cellStyle name="20% - Ênfase3 5 3 4 3" xfId="21386"/>
    <cellStyle name="40% - Ênfase3 5 3 4 3" xfId="21387"/>
    <cellStyle name="20% - Ênfase4 5 3 4 3" xfId="21388"/>
    <cellStyle name="40% - Ênfase4 5 3 4 3" xfId="21389"/>
    <cellStyle name="20% - Ênfase5 5 3 4 3" xfId="21390"/>
    <cellStyle name="40% - Ênfase5 5 3 4 3" xfId="21391"/>
    <cellStyle name="20% - Ênfase6 5 3 4 3" xfId="21392"/>
    <cellStyle name="40% - Ênfase6 5 3 4 3" xfId="21393"/>
    <cellStyle name="Normal 4 2 3 4 3" xfId="21394"/>
    <cellStyle name="Nota 2 2 3 4 3" xfId="21395"/>
    <cellStyle name="Normal 5 2 3 4 3" xfId="21396"/>
    <cellStyle name="Nota 3 2 3 4 3" xfId="21397"/>
    <cellStyle name="20% - Ênfase1 2 2 3 4 3" xfId="21398"/>
    <cellStyle name="40% - Ênfase1 2 2 3 4 3" xfId="21399"/>
    <cellStyle name="20% - Ênfase2 2 2 3 4 3" xfId="21400"/>
    <cellStyle name="40% - Ênfase2 2 2 3 4 3" xfId="21401"/>
    <cellStyle name="20% - Ênfase3 2 2 3 4 3" xfId="21402"/>
    <cellStyle name="40% - Ênfase3 2 2 3 4 3" xfId="21403"/>
    <cellStyle name="20% - Ênfase4 2 2 3 4 3" xfId="21404"/>
    <cellStyle name="40% - Ênfase4 2 2 3 4 3" xfId="21405"/>
    <cellStyle name="20% - Ênfase5 2 2 3 4 3" xfId="21406"/>
    <cellStyle name="40% - Ênfase5 2 2 3 4 3" xfId="21407"/>
    <cellStyle name="20% - Ênfase6 2 2 3 4 3" xfId="21408"/>
    <cellStyle name="40% - Ênfase6 2 2 3 4 3" xfId="21409"/>
    <cellStyle name="Normal 7 2 3 4 3" xfId="21410"/>
    <cellStyle name="Nota 4 5 4 3" xfId="21411"/>
    <cellStyle name="20% - Ênfase1 3 5 4 3" xfId="21412"/>
    <cellStyle name="40% - Ênfase1 3 5 4 3" xfId="21413"/>
    <cellStyle name="20% - Ênfase2 3 5 4 3" xfId="21414"/>
    <cellStyle name="40% - Ênfase2 3 5 4 3" xfId="21415"/>
    <cellStyle name="20% - Ênfase3 3 5 4 3" xfId="21416"/>
    <cellStyle name="40% - Ênfase3 3 5 4 3" xfId="21417"/>
    <cellStyle name="20% - Ênfase4 3 5 4 3" xfId="21418"/>
    <cellStyle name="40% - Ênfase4 3 5 4 3" xfId="21419"/>
    <cellStyle name="20% - Ênfase5 3 5 4 3" xfId="21420"/>
    <cellStyle name="40% - Ênfase5 3 5 4 3" xfId="21421"/>
    <cellStyle name="20% - Ênfase6 3 5 4 3" xfId="21422"/>
    <cellStyle name="40% - Ênfase6 3 5 4 3" xfId="21423"/>
    <cellStyle name="Normal 8 5 7 3" xfId="21424"/>
    <cellStyle name="Nota 5 5 4 3" xfId="21425"/>
    <cellStyle name="20% - Ênfase1 4 5 4 3" xfId="21426"/>
    <cellStyle name="40% - Ênfase1 4 5 4 3" xfId="21427"/>
    <cellStyle name="20% - Ênfase2 4 5 4 3" xfId="21428"/>
    <cellStyle name="40% - Ênfase2 4 5 4 3" xfId="21429"/>
    <cellStyle name="20% - Ênfase3 4 5 4 3" xfId="21430"/>
    <cellStyle name="40% - Ênfase3 4 5 4 3" xfId="21431"/>
    <cellStyle name="20% - Ênfase4 4 5 4 3" xfId="21432"/>
    <cellStyle name="40% - Ênfase4 4 5 4 3" xfId="21433"/>
    <cellStyle name="20% - Ênfase5 4 5 4 3" xfId="21434"/>
    <cellStyle name="40% - Ênfase5 4 5 4 3" xfId="21435"/>
    <cellStyle name="20% - Ênfase6 4 5 4 3" xfId="21436"/>
    <cellStyle name="40% - Ênfase6 4 5 4 3" xfId="21437"/>
    <cellStyle name="20% - Ênfase1 6 3 4 3" xfId="21438"/>
    <cellStyle name="40% - Ênfase1 6 3 4 3" xfId="21439"/>
    <cellStyle name="20% - Ênfase2 6 3 4 3" xfId="21440"/>
    <cellStyle name="40% - Ênfase2 6 3 4 3" xfId="21441"/>
    <cellStyle name="20% - Ênfase3 6 3 4 3" xfId="21442"/>
    <cellStyle name="40% - Ênfase3 6 3 4 3" xfId="21443"/>
    <cellStyle name="20% - Ênfase4 6 3 4 3" xfId="21444"/>
    <cellStyle name="40% - Ênfase4 6 3 4 3" xfId="21445"/>
    <cellStyle name="20% - Ênfase5 6 3 4 3" xfId="21446"/>
    <cellStyle name="40% - Ênfase5 6 3 4 3" xfId="21447"/>
    <cellStyle name="20% - Ênfase6 6 3 4 3" xfId="21448"/>
    <cellStyle name="40% - Ênfase6 6 3 4 3" xfId="21449"/>
    <cellStyle name="Normal 4 3 3 4 3" xfId="21450"/>
    <cellStyle name="Nota 2 3 3 4 3" xfId="21451"/>
    <cellStyle name="Normal 5 3 3 4 3" xfId="21452"/>
    <cellStyle name="Nota 3 3 3 4 3" xfId="21453"/>
    <cellStyle name="20% - Ênfase1 2 3 3 4 3" xfId="21454"/>
    <cellStyle name="40% - Ênfase1 2 3 3 4 3" xfId="21455"/>
    <cellStyle name="20% - Ênfase2 2 3 3 4 3" xfId="21456"/>
    <cellStyle name="40% - Ênfase2 2 3 3 4 3" xfId="21457"/>
    <cellStyle name="20% - Ênfase3 2 3 3 4 3" xfId="21458"/>
    <cellStyle name="40% - Ênfase3 2 3 3 4 3" xfId="21459"/>
    <cellStyle name="20% - Ênfase4 2 3 3 4 3" xfId="21460"/>
    <cellStyle name="40% - Ênfase4 2 3 3 4 3" xfId="21461"/>
    <cellStyle name="20% - Ênfase5 2 3 3 4 3" xfId="21462"/>
    <cellStyle name="40% - Ênfase5 2 3 3 4 3" xfId="21463"/>
    <cellStyle name="20% - Ênfase6 2 3 3 4 3" xfId="21464"/>
    <cellStyle name="40% - Ênfase6 2 3 3 4 3" xfId="21465"/>
    <cellStyle name="Normal 7 3 3 4 3" xfId="21466"/>
    <cellStyle name="Nota 4 2 3 4 3" xfId="21467"/>
    <cellStyle name="20% - Ênfase1 3 2 3 4 3" xfId="21468"/>
    <cellStyle name="40% - Ênfase1 3 2 3 4 3" xfId="21469"/>
    <cellStyle name="20% - Ênfase2 3 2 3 4 3" xfId="21470"/>
    <cellStyle name="40% - Ênfase2 3 2 3 4 3" xfId="21471"/>
    <cellStyle name="20% - Ênfase3 3 2 3 4 3" xfId="21472"/>
    <cellStyle name="40% - Ênfase3 3 2 3 4 3" xfId="21473"/>
    <cellStyle name="20% - Ênfase4 3 2 3 4 3" xfId="21474"/>
    <cellStyle name="40% - Ênfase4 3 2 3 4 3" xfId="21475"/>
    <cellStyle name="20% - Ênfase5 3 2 3 4 3" xfId="21476"/>
    <cellStyle name="40% - Ênfase5 3 2 3 4 3" xfId="21477"/>
    <cellStyle name="20% - Ênfase6 3 2 3 4 3" xfId="21478"/>
    <cellStyle name="40% - Ênfase6 3 2 3 4 3" xfId="21479"/>
    <cellStyle name="Normal 8 2 3 4 3" xfId="21480"/>
    <cellStyle name="Nota 5 2 3 4 3" xfId="21481"/>
    <cellStyle name="20% - Ênfase1 4 2 3 4 3" xfId="21482"/>
    <cellStyle name="40% - Ênfase1 4 2 3 4 3" xfId="21483"/>
    <cellStyle name="20% - Ênfase2 4 2 3 4 3" xfId="21484"/>
    <cellStyle name="40% - Ênfase2 4 2 3 4 3" xfId="21485"/>
    <cellStyle name="20% - Ênfase3 4 2 3 4 3" xfId="21486"/>
    <cellStyle name="40% - Ênfase3 4 2 3 4 3" xfId="21487"/>
    <cellStyle name="20% - Ênfase4 4 2 3 4 3" xfId="21488"/>
    <cellStyle name="40% - Ênfase4 4 2 3 4 3" xfId="21489"/>
    <cellStyle name="20% - Ênfase5 4 2 3 4 3" xfId="21490"/>
    <cellStyle name="40% - Ênfase5 4 2 3 4 3" xfId="21491"/>
    <cellStyle name="20% - Ênfase6 4 2 3 4 3" xfId="21492"/>
    <cellStyle name="40% - Ênfase6 4 2 3 4 3" xfId="21493"/>
    <cellStyle name="20% - Ênfase1 8 2 4 3" xfId="21494"/>
    <cellStyle name="40% - Ênfase1 8 2 4 3" xfId="21495"/>
    <cellStyle name="20% - Ênfase2 8 2 4 3" xfId="21496"/>
    <cellStyle name="40% - Ênfase2 8 2 4 3" xfId="21497"/>
    <cellStyle name="20% - Ênfase3 8 2 4 3" xfId="21498"/>
    <cellStyle name="40% - Ênfase3 8 2 4 3" xfId="21499"/>
    <cellStyle name="20% - Ênfase4 8 2 4 3" xfId="21500"/>
    <cellStyle name="40% - Ênfase4 8 2 4 3" xfId="21501"/>
    <cellStyle name="20% - Ênfase5 8 2 4 3" xfId="21502"/>
    <cellStyle name="40% - Ênfase5 8 2 4 3" xfId="21503"/>
    <cellStyle name="20% - Ênfase6 8 2 4 3" xfId="21504"/>
    <cellStyle name="40% - Ênfase6 8 2 4 3" xfId="21505"/>
    <cellStyle name="Normal 4 5 2 4 3" xfId="21506"/>
    <cellStyle name="Nota 2 5 2 4 3" xfId="21507"/>
    <cellStyle name="Normal 5 5 2 4 3" xfId="21508"/>
    <cellStyle name="Nota 3 5 2 4 3" xfId="21509"/>
    <cellStyle name="20% - Ênfase1 2 5 2 4 3" xfId="21510"/>
    <cellStyle name="40% - Ênfase1 2 5 2 4 3" xfId="21511"/>
    <cellStyle name="20% - Ênfase2 2 5 2 4 3" xfId="21512"/>
    <cellStyle name="40% - Ênfase2 2 5 2 4 3" xfId="21513"/>
    <cellStyle name="20% - Ênfase3 2 5 2 4 3" xfId="21514"/>
    <cellStyle name="40% - Ênfase3 2 5 2 4 3" xfId="21515"/>
    <cellStyle name="20% - Ênfase4 2 5 2 4 3" xfId="21516"/>
    <cellStyle name="40% - Ênfase4 2 5 2 4 3" xfId="21517"/>
    <cellStyle name="20% - Ênfase5 2 5 2 4 3" xfId="21518"/>
    <cellStyle name="40% - Ênfase5 2 5 2 4 3" xfId="21519"/>
    <cellStyle name="20% - Ênfase6 2 5 2 4 3" xfId="21520"/>
    <cellStyle name="40% - Ênfase6 2 5 2 4 3" xfId="21521"/>
    <cellStyle name="Normal 7 5 2 4 3" xfId="21522"/>
    <cellStyle name="Nota 4 4 2 4 3" xfId="21523"/>
    <cellStyle name="20% - Ênfase1 3 4 2 4 3" xfId="21524"/>
    <cellStyle name="40% - Ênfase1 3 4 2 4 3" xfId="21525"/>
    <cellStyle name="20% - Ênfase2 3 4 2 4 3" xfId="21526"/>
    <cellStyle name="40% - Ênfase2 3 4 2 4 3" xfId="21527"/>
    <cellStyle name="20% - Ênfase3 3 4 2 4 3" xfId="21528"/>
    <cellStyle name="40% - Ênfase3 3 4 2 4 3" xfId="21529"/>
    <cellStyle name="20% - Ênfase4 3 4 2 4 3" xfId="21530"/>
    <cellStyle name="40% - Ênfase4 3 4 2 4 3" xfId="21531"/>
    <cellStyle name="20% - Ênfase5 3 4 2 4 3" xfId="21532"/>
    <cellStyle name="40% - Ênfase5 3 4 2 4 3" xfId="21533"/>
    <cellStyle name="20% - Ênfase6 3 4 2 4 3" xfId="21534"/>
    <cellStyle name="40% - Ênfase6 3 4 2 4 3" xfId="21535"/>
    <cellStyle name="Normal 8 4 2 5 3" xfId="21536"/>
    <cellStyle name="Nota 5 4 2 4 3" xfId="21537"/>
    <cellStyle name="20% - Ênfase1 4 4 2 4 3" xfId="21538"/>
    <cellStyle name="40% - Ênfase1 4 4 2 4 3" xfId="21539"/>
    <cellStyle name="20% - Ênfase2 4 4 2 4 3" xfId="21540"/>
    <cellStyle name="40% - Ênfase2 4 4 2 4 3" xfId="21541"/>
    <cellStyle name="20% - Ênfase3 4 4 2 4 3" xfId="21542"/>
    <cellStyle name="40% - Ênfase3 4 4 2 4 3" xfId="21543"/>
    <cellStyle name="20% - Ênfase4 4 4 2 4 3" xfId="21544"/>
    <cellStyle name="40% - Ênfase4 4 4 2 4 3" xfId="21545"/>
    <cellStyle name="20% - Ênfase5 4 4 2 4 3" xfId="21546"/>
    <cellStyle name="40% - Ênfase5 4 4 2 4 3" xfId="21547"/>
    <cellStyle name="20% - Ênfase6 4 4 2 4 3" xfId="21548"/>
    <cellStyle name="40% - Ênfase6 4 4 2 4 3" xfId="21549"/>
    <cellStyle name="Normal 3 3 2 4 3" xfId="21550"/>
    <cellStyle name="20% - Ênfase1 5 2 2 4 3" xfId="21551"/>
    <cellStyle name="40% - Ênfase1 5 2 2 4 3" xfId="21552"/>
    <cellStyle name="20% - Ênfase2 5 2 2 4 3" xfId="21553"/>
    <cellStyle name="40% - Ênfase2 5 2 2 4 3" xfId="21554"/>
    <cellStyle name="20% - Ênfase3 5 2 2 4 3" xfId="21555"/>
    <cellStyle name="40% - Ênfase3 5 2 2 4 3" xfId="21556"/>
    <cellStyle name="20% - Ênfase4 5 2 2 4 3" xfId="21557"/>
    <cellStyle name="40% - Ênfase4 5 2 2 4 3" xfId="21558"/>
    <cellStyle name="20% - Ênfase5 5 2 2 4 3" xfId="21559"/>
    <cellStyle name="40% - Ênfase5 5 2 2 4 3" xfId="21560"/>
    <cellStyle name="20% - Ênfase6 5 2 2 4 3" xfId="21561"/>
    <cellStyle name="40% - Ênfase6 5 2 2 4 3" xfId="21562"/>
    <cellStyle name="Normal 4 2 2 2 4 3" xfId="21563"/>
    <cellStyle name="Nota 2 2 2 2 4 3" xfId="21564"/>
    <cellStyle name="Normal 5 2 2 2 4 3" xfId="21565"/>
    <cellStyle name="Nota 3 2 2 2 4 3" xfId="21566"/>
    <cellStyle name="20% - Ênfase1 2 2 2 2 4 3" xfId="21567"/>
    <cellStyle name="40% - Ênfase1 2 2 2 2 4 3" xfId="21568"/>
    <cellStyle name="20% - Ênfase2 2 2 2 2 4 3" xfId="21569"/>
    <cellStyle name="40% - Ênfase2 2 2 2 2 4 3" xfId="21570"/>
    <cellStyle name="20% - Ênfase3 2 2 2 2 4 3" xfId="21571"/>
    <cellStyle name="40% - Ênfase3 2 2 2 2 4 3" xfId="21572"/>
    <cellStyle name="20% - Ênfase4 2 2 2 2 4 3" xfId="21573"/>
    <cellStyle name="40% - Ênfase4 2 2 2 2 4 3" xfId="21574"/>
    <cellStyle name="20% - Ênfase5 2 2 2 2 4 3" xfId="21575"/>
    <cellStyle name="40% - Ênfase5 2 2 2 2 4 3" xfId="21576"/>
    <cellStyle name="20% - Ênfase6 2 2 2 2 4 3" xfId="21577"/>
    <cellStyle name="40% - Ênfase6 2 2 2 2 4 3" xfId="21578"/>
    <cellStyle name="Normal 7 2 2 2 4 3" xfId="21579"/>
    <cellStyle name="Nota 4 3 2 4 3" xfId="21580"/>
    <cellStyle name="20% - Ênfase1 3 3 2 4 3" xfId="21581"/>
    <cellStyle name="40% - Ênfase1 3 3 2 4 3" xfId="21582"/>
    <cellStyle name="20% - Ênfase2 3 3 2 4 3" xfId="21583"/>
    <cellStyle name="40% - Ênfase2 3 3 2 4 3" xfId="21584"/>
    <cellStyle name="20% - Ênfase3 3 3 2 4 3" xfId="21585"/>
    <cellStyle name="40% - Ênfase3 3 3 2 4 3" xfId="21586"/>
    <cellStyle name="20% - Ênfase4 3 3 2 4 3" xfId="21587"/>
    <cellStyle name="40% - Ênfase4 3 3 2 4 3" xfId="21588"/>
    <cellStyle name="20% - Ênfase5 3 3 2 4 3" xfId="21589"/>
    <cellStyle name="40% - Ênfase5 3 3 2 4 3" xfId="21590"/>
    <cellStyle name="20% - Ênfase6 3 3 2 4 3" xfId="21591"/>
    <cellStyle name="40% - Ênfase6 3 3 2 4 3" xfId="21592"/>
    <cellStyle name="Normal 8 3 2 5 3" xfId="21593"/>
    <cellStyle name="Nota 5 3 2 4 3" xfId="21594"/>
    <cellStyle name="20% - Ênfase1 4 3 2 4 3" xfId="21595"/>
    <cellStyle name="40% - Ênfase1 4 3 2 4 3" xfId="21596"/>
    <cellStyle name="20% - Ênfase2 4 3 2 4 3" xfId="21597"/>
    <cellStyle name="40% - Ênfase2 4 3 2 4 3" xfId="21598"/>
    <cellStyle name="20% - Ênfase3 4 3 2 4 3" xfId="21599"/>
    <cellStyle name="40% - Ênfase3 4 3 2 4 3" xfId="21600"/>
    <cellStyle name="20% - Ênfase4 4 3 2 4 3" xfId="21601"/>
    <cellStyle name="40% - Ênfase4 4 3 2 4 3" xfId="21602"/>
    <cellStyle name="20% - Ênfase5 4 3 2 4 3" xfId="21603"/>
    <cellStyle name="40% - Ênfase5 4 3 2 4 3" xfId="21604"/>
    <cellStyle name="20% - Ênfase6 4 3 2 4 3" xfId="21605"/>
    <cellStyle name="40% - Ênfase6 4 3 2 4 3" xfId="21606"/>
    <cellStyle name="20% - Ênfase1 6 2 2 4 3" xfId="21607"/>
    <cellStyle name="40% - Ênfase1 6 2 2 4 3" xfId="21608"/>
    <cellStyle name="20% - Ênfase2 6 2 2 4 3" xfId="21609"/>
    <cellStyle name="40% - Ênfase2 6 2 2 4 3" xfId="21610"/>
    <cellStyle name="20% - Ênfase3 6 2 2 4 3" xfId="21611"/>
    <cellStyle name="40% - Ênfase3 6 2 2 4 3" xfId="21612"/>
    <cellStyle name="20% - Ênfase4 6 2 2 4 3" xfId="21613"/>
    <cellStyle name="40% - Ênfase4 6 2 2 4 3" xfId="21614"/>
    <cellStyle name="20% - Ênfase5 6 2 2 4 3" xfId="21615"/>
    <cellStyle name="40% - Ênfase5 6 2 2 4 3" xfId="21616"/>
    <cellStyle name="20% - Ênfase6 6 2 2 4 3" xfId="21617"/>
    <cellStyle name="40% - Ênfase6 6 2 2 4 3" xfId="21618"/>
    <cellStyle name="Normal 4 3 2 2 4 3" xfId="21619"/>
    <cellStyle name="Nota 2 3 2 2 4 3" xfId="21620"/>
    <cellStyle name="Normal 5 3 2 2 4 3" xfId="21621"/>
    <cellStyle name="Nota 3 3 2 2 4 3" xfId="21622"/>
    <cellStyle name="20% - Ênfase1 2 3 2 2 4 3" xfId="21623"/>
    <cellStyle name="40% - Ênfase1 2 3 2 2 4 3" xfId="21624"/>
    <cellStyle name="20% - Ênfase2 2 3 2 2 4 3" xfId="21625"/>
    <cellStyle name="40% - Ênfase2 2 3 2 2 4 3" xfId="21626"/>
    <cellStyle name="20% - Ênfase3 2 3 2 2 4 3" xfId="21627"/>
    <cellStyle name="40% - Ênfase3 2 3 2 2 4 3" xfId="21628"/>
    <cellStyle name="20% - Ênfase4 2 3 2 2 4 3" xfId="21629"/>
    <cellStyle name="40% - Ênfase4 2 3 2 2 4 3" xfId="21630"/>
    <cellStyle name="20% - Ênfase5 2 3 2 2 4 3" xfId="21631"/>
    <cellStyle name="40% - Ênfase5 2 3 2 2 4 3" xfId="21632"/>
    <cellStyle name="20% - Ênfase6 2 3 2 2 4 3" xfId="21633"/>
    <cellStyle name="40% - Ênfase6 2 3 2 2 4 3" xfId="21634"/>
    <cellStyle name="Normal 7 3 2 2 4 3" xfId="21635"/>
    <cellStyle name="Nota 4 2 2 2 4 3" xfId="21636"/>
    <cellStyle name="20% - Ênfase1 3 2 2 2 4 3" xfId="21637"/>
    <cellStyle name="40% - Ênfase1 3 2 2 2 4 3" xfId="21638"/>
    <cellStyle name="20% - Ênfase2 3 2 2 2 4 3" xfId="21639"/>
    <cellStyle name="40% - Ênfase2 3 2 2 2 4 3" xfId="21640"/>
    <cellStyle name="20% - Ênfase3 3 2 2 2 4 3" xfId="21641"/>
    <cellStyle name="40% - Ênfase3 3 2 2 2 4 3" xfId="21642"/>
    <cellStyle name="20% - Ênfase4 3 2 2 2 4 3" xfId="21643"/>
    <cellStyle name="40% - Ênfase4 3 2 2 2 4 3" xfId="21644"/>
    <cellStyle name="20% - Ênfase5 3 2 2 2 4 3" xfId="21645"/>
    <cellStyle name="40% - Ênfase5 3 2 2 2 4 3" xfId="21646"/>
    <cellStyle name="20% - Ênfase6 3 2 2 2 4 3" xfId="21647"/>
    <cellStyle name="40% - Ênfase6 3 2 2 2 4 3" xfId="21648"/>
    <cellStyle name="Normal 8 2 2 2 4 3" xfId="21649"/>
    <cellStyle name="Nota 5 2 2 2 4 3" xfId="21650"/>
    <cellStyle name="20% - Ênfase1 4 2 2 2 4 3" xfId="21651"/>
    <cellStyle name="40% - Ênfase1 4 2 2 2 4 3" xfId="21652"/>
    <cellStyle name="20% - Ênfase2 4 2 2 2 4 3" xfId="21653"/>
    <cellStyle name="40% - Ênfase2 4 2 2 2 4 3" xfId="21654"/>
    <cellStyle name="20% - Ênfase3 4 2 2 2 4 3" xfId="21655"/>
    <cellStyle name="40% - Ênfase3 4 2 2 2 4 3" xfId="21656"/>
    <cellStyle name="20% - Ênfase4 4 2 2 2 4 3" xfId="21657"/>
    <cellStyle name="40% - Ênfase4 4 2 2 2 4 3" xfId="21658"/>
    <cellStyle name="20% - Ênfase5 4 2 2 2 4 3" xfId="21659"/>
    <cellStyle name="40% - Ênfase5 4 2 2 2 4 3" xfId="21660"/>
    <cellStyle name="20% - Ênfase6 4 2 2 2 4 3" xfId="21661"/>
    <cellStyle name="40% - Ênfase6 4 2 2 2 4 3" xfId="21662"/>
    <cellStyle name="Normal 3 5 4 3" xfId="21663"/>
    <cellStyle name="20% - Ênfase1 5 4 4 3" xfId="21664"/>
    <cellStyle name="40% - Ênfase1 5 4 4 3" xfId="21665"/>
    <cellStyle name="20% - Ênfase2 5 4 4 3" xfId="21666"/>
    <cellStyle name="40% - Ênfase2 5 4 4 3" xfId="21667"/>
    <cellStyle name="20% - Ênfase3 5 4 4 3" xfId="21668"/>
    <cellStyle name="40% - Ênfase3 5 4 4 3" xfId="21669"/>
    <cellStyle name="20% - Ênfase4 5 4 4 3" xfId="21670"/>
    <cellStyle name="40% - Ênfase4 5 4 4 3" xfId="21671"/>
    <cellStyle name="20% - Ênfase5 5 4 4 3" xfId="21672"/>
    <cellStyle name="40% - Ênfase5 5 4 4 3" xfId="21673"/>
    <cellStyle name="20% - Ênfase6 5 4 4 3" xfId="21674"/>
    <cellStyle name="40% - Ênfase6 5 4 4 3" xfId="21675"/>
    <cellStyle name="Normal 4 2 4 4 3" xfId="21676"/>
    <cellStyle name="Nota 2 2 4 4 3" xfId="21677"/>
    <cellStyle name="Normal 5 2 4 4 3" xfId="21678"/>
    <cellStyle name="Nota 3 2 4 4 3" xfId="21679"/>
    <cellStyle name="20% - Ênfase1 2 2 4 4 3" xfId="21680"/>
    <cellStyle name="40% - Ênfase1 2 2 4 4 3" xfId="21681"/>
    <cellStyle name="20% - Ênfase2 2 2 4 4 3" xfId="21682"/>
    <cellStyle name="40% - Ênfase2 2 2 4 4 3" xfId="21683"/>
    <cellStyle name="20% - Ênfase3 2 2 4 4 3" xfId="21684"/>
    <cellStyle name="40% - Ênfase3 2 2 4 4 3" xfId="21685"/>
    <cellStyle name="20% - Ênfase4 2 2 4 4 3" xfId="21686"/>
    <cellStyle name="40% - Ênfase4 2 2 4 4 3" xfId="21687"/>
    <cellStyle name="20% - Ênfase5 2 2 4 4 3" xfId="21688"/>
    <cellStyle name="40% - Ênfase5 2 2 4 4 3" xfId="21689"/>
    <cellStyle name="20% - Ênfase6 2 2 4 4 3" xfId="21690"/>
    <cellStyle name="40% - Ênfase6 2 2 4 4 3" xfId="21691"/>
    <cellStyle name="Normal 7 2 4 4 3" xfId="21692"/>
    <cellStyle name="Nota 4 6 4 3" xfId="21693"/>
    <cellStyle name="20% - Ênfase1 3 6 4 3" xfId="21694"/>
    <cellStyle name="40% - Ênfase1 3 6 4 3" xfId="21695"/>
    <cellStyle name="20% - Ênfase2 3 6 4 3" xfId="21696"/>
    <cellStyle name="40% - Ênfase2 3 6 4 3" xfId="21697"/>
    <cellStyle name="20% - Ênfase3 3 6 4 3" xfId="21698"/>
    <cellStyle name="40% - Ênfase3 3 6 4 3" xfId="21699"/>
    <cellStyle name="20% - Ênfase4 3 6 4 3" xfId="21700"/>
    <cellStyle name="40% - Ênfase4 3 6 4 3" xfId="21701"/>
    <cellStyle name="20% - Ênfase5 3 6 4 3" xfId="21702"/>
    <cellStyle name="40% - Ênfase5 3 6 4 3" xfId="21703"/>
    <cellStyle name="20% - Ênfase6 3 6 4 3" xfId="21704"/>
    <cellStyle name="40% - Ênfase6 3 6 4 3" xfId="21705"/>
    <cellStyle name="Normal 8 6 5 3" xfId="21706"/>
    <cellStyle name="Nota 5 6 4 3" xfId="21707"/>
    <cellStyle name="20% - Ênfase1 4 6 4 3" xfId="21708"/>
    <cellStyle name="40% - Ênfase1 4 6 4 3" xfId="21709"/>
    <cellStyle name="20% - Ênfase2 4 6 4 3" xfId="21710"/>
    <cellStyle name="40% - Ênfase2 4 6 4 3" xfId="21711"/>
    <cellStyle name="20% - Ênfase3 4 6 4 3" xfId="21712"/>
    <cellStyle name="40% - Ênfase3 4 6 4 3" xfId="21713"/>
    <cellStyle name="20% - Ênfase4 4 6 4 3" xfId="21714"/>
    <cellStyle name="40% - Ênfase4 4 6 4 3" xfId="21715"/>
    <cellStyle name="20% - Ênfase5 4 6 4 3" xfId="21716"/>
    <cellStyle name="40% - Ênfase5 4 6 4 3" xfId="21717"/>
    <cellStyle name="20% - Ênfase6 4 6 4 3" xfId="21718"/>
    <cellStyle name="40% - Ênfase6 4 6 4 3" xfId="21719"/>
    <cellStyle name="20% - Ênfase1 6 4 4 3" xfId="21720"/>
    <cellStyle name="40% - Ênfase1 6 4 4 3" xfId="21721"/>
    <cellStyle name="20% - Ênfase2 6 4 4 3" xfId="21722"/>
    <cellStyle name="40% - Ênfase2 6 4 4 3" xfId="21723"/>
    <cellStyle name="20% - Ênfase3 6 4 4 3" xfId="21724"/>
    <cellStyle name="40% - Ênfase3 6 4 4 3" xfId="21725"/>
    <cellStyle name="20% - Ênfase4 6 4 4 3" xfId="21726"/>
    <cellStyle name="40% - Ênfase4 6 4 4 3" xfId="21727"/>
    <cellStyle name="20% - Ênfase5 6 4 4 3" xfId="21728"/>
    <cellStyle name="40% - Ênfase5 6 4 4 3" xfId="21729"/>
    <cellStyle name="20% - Ênfase6 6 4 4 3" xfId="21730"/>
    <cellStyle name="40% - Ênfase6 6 4 4 3" xfId="21731"/>
    <cellStyle name="Normal 4 3 4 4 3" xfId="21732"/>
    <cellStyle name="Nota 2 3 4 4 3" xfId="21733"/>
    <cellStyle name="Normal 5 3 4 4 3" xfId="21734"/>
    <cellStyle name="Nota 3 3 4 4 3" xfId="21735"/>
    <cellStyle name="20% - Ênfase1 2 3 4 4 3" xfId="21736"/>
    <cellStyle name="40% - Ênfase1 2 3 4 4 3" xfId="21737"/>
    <cellStyle name="20% - Ênfase2 2 3 4 4 3" xfId="21738"/>
    <cellStyle name="40% - Ênfase2 2 3 4 4 3" xfId="21739"/>
    <cellStyle name="20% - Ênfase3 2 3 4 4 3" xfId="21740"/>
    <cellStyle name="40% - Ênfase3 2 3 4 4 3" xfId="21741"/>
    <cellStyle name="20% - Ênfase4 2 3 4 4 3" xfId="21742"/>
    <cellStyle name="40% - Ênfase4 2 3 4 4 3" xfId="21743"/>
    <cellStyle name="20% - Ênfase5 2 3 4 4 3" xfId="21744"/>
    <cellStyle name="40% - Ênfase5 2 3 4 4 3" xfId="21745"/>
    <cellStyle name="20% - Ênfase6 2 3 4 4 3" xfId="21746"/>
    <cellStyle name="40% - Ênfase6 2 3 4 4 3" xfId="21747"/>
    <cellStyle name="Normal 7 3 4 4 3" xfId="21748"/>
    <cellStyle name="Nota 4 2 4 4 3" xfId="21749"/>
    <cellStyle name="20% - Ênfase1 3 2 4 4 3" xfId="21750"/>
    <cellStyle name="40% - Ênfase1 3 2 4 4 3" xfId="21751"/>
    <cellStyle name="20% - Ênfase2 3 2 4 4 3" xfId="21752"/>
    <cellStyle name="40% - Ênfase2 3 2 4 4 3" xfId="21753"/>
    <cellStyle name="20% - Ênfase3 3 2 4 4 3" xfId="21754"/>
    <cellStyle name="40% - Ênfase3 3 2 4 4 3" xfId="21755"/>
    <cellStyle name="20% - Ênfase4 3 2 4 4 3" xfId="21756"/>
    <cellStyle name="40% - Ênfase4 3 2 4 4 3" xfId="21757"/>
    <cellStyle name="20% - Ênfase5 3 2 4 4 3" xfId="21758"/>
    <cellStyle name="40% - Ênfase5 3 2 4 4 3" xfId="21759"/>
    <cellStyle name="20% - Ênfase6 3 2 4 4 3" xfId="21760"/>
    <cellStyle name="40% - Ênfase6 3 2 4 4 3" xfId="21761"/>
    <cellStyle name="Normal 8 2 4 4 3" xfId="21762"/>
    <cellStyle name="Nota 5 2 4 4 3" xfId="21763"/>
    <cellStyle name="20% - Ênfase1 4 2 4 4 3" xfId="21764"/>
    <cellStyle name="40% - Ênfase1 4 2 4 4 3" xfId="21765"/>
    <cellStyle name="20% - Ênfase2 4 2 4 4 3" xfId="21766"/>
    <cellStyle name="40% - Ênfase2 4 2 4 4 3" xfId="21767"/>
    <cellStyle name="20% - Ênfase3 4 2 4 4 3" xfId="21768"/>
    <cellStyle name="40% - Ênfase3 4 2 4 4 3" xfId="21769"/>
    <cellStyle name="20% - Ênfase4 4 2 4 4 3" xfId="21770"/>
    <cellStyle name="40% - Ênfase4 4 2 4 4 3" xfId="21771"/>
    <cellStyle name="20% - Ênfase5 4 2 4 4 3" xfId="21772"/>
    <cellStyle name="40% - Ênfase5 4 2 4 4 3" xfId="21773"/>
    <cellStyle name="20% - Ênfase6 4 2 4 4 3" xfId="21774"/>
    <cellStyle name="40% - Ênfase6 4 2 4 4 3" xfId="21775"/>
    <cellStyle name="20% - Ênfase1 8 3 4 3" xfId="21776"/>
    <cellStyle name="40% - Ênfase1 8 3 4 3" xfId="21777"/>
    <cellStyle name="20% - Ênfase2 8 3 4 3" xfId="21778"/>
    <cellStyle name="40% - Ênfase2 8 3 4 3" xfId="21779"/>
    <cellStyle name="20% - Ênfase3 8 3 4 3" xfId="21780"/>
    <cellStyle name="40% - Ênfase3 8 3 4 3" xfId="21781"/>
    <cellStyle name="20% - Ênfase4 8 3 4 3" xfId="21782"/>
    <cellStyle name="40% - Ênfase4 8 3 4 3" xfId="21783"/>
    <cellStyle name="20% - Ênfase5 8 3 4 3" xfId="21784"/>
    <cellStyle name="40% - Ênfase5 8 3 4 3" xfId="21785"/>
    <cellStyle name="20% - Ênfase6 8 3 4 3" xfId="21786"/>
    <cellStyle name="40% - Ênfase6 8 3 4 3" xfId="21787"/>
    <cellStyle name="Normal 4 5 3 4 3" xfId="21788"/>
    <cellStyle name="Nota 2 5 3 4 3" xfId="21789"/>
    <cellStyle name="Normal 5 5 3 4 3" xfId="21790"/>
    <cellStyle name="Nota 3 5 3 4 3" xfId="21791"/>
    <cellStyle name="20% - Ênfase1 2 5 3 4 3" xfId="21792"/>
    <cellStyle name="40% - Ênfase1 2 5 3 4 3" xfId="21793"/>
    <cellStyle name="20% - Ênfase2 2 5 3 4 3" xfId="21794"/>
    <cellStyle name="40% - Ênfase2 2 5 3 4 3" xfId="21795"/>
    <cellStyle name="20% - Ênfase3 2 5 3 4 3" xfId="21796"/>
    <cellStyle name="40% - Ênfase3 2 5 3 4 3" xfId="21797"/>
    <cellStyle name="20% - Ênfase4 2 5 3 4 3" xfId="21798"/>
    <cellStyle name="40% - Ênfase4 2 5 3 4 3" xfId="21799"/>
    <cellStyle name="20% - Ênfase5 2 5 3 4 3" xfId="21800"/>
    <cellStyle name="40% - Ênfase5 2 5 3 4 3" xfId="21801"/>
    <cellStyle name="20% - Ênfase6 2 5 3 4 3" xfId="21802"/>
    <cellStyle name="40% - Ênfase6 2 5 3 4 3" xfId="21803"/>
    <cellStyle name="Normal 7 5 3 4 3" xfId="21804"/>
    <cellStyle name="Nota 4 4 3 4 3" xfId="21805"/>
    <cellStyle name="20% - Ênfase1 3 4 3 4 3" xfId="21806"/>
    <cellStyle name="40% - Ênfase1 3 4 3 4 3" xfId="21807"/>
    <cellStyle name="20% - Ênfase2 3 4 3 4 3" xfId="21808"/>
    <cellStyle name="40% - Ênfase2 3 4 3 4 3" xfId="21809"/>
    <cellStyle name="20% - Ênfase3 3 4 3 4 3" xfId="21810"/>
    <cellStyle name="40% - Ênfase3 3 4 3 4 3" xfId="21811"/>
    <cellStyle name="20% - Ênfase4 3 4 3 4 3" xfId="21812"/>
    <cellStyle name="40% - Ênfase4 3 4 3 4 3" xfId="21813"/>
    <cellStyle name="20% - Ênfase5 3 4 3 4 3" xfId="21814"/>
    <cellStyle name="40% - Ênfase5 3 4 3 4 3" xfId="21815"/>
    <cellStyle name="20% - Ênfase6 3 4 3 4 3" xfId="21816"/>
    <cellStyle name="40% - Ênfase6 3 4 3 4 3" xfId="21817"/>
    <cellStyle name="Normal 8 4 3 4 3" xfId="21818"/>
    <cellStyle name="Nota 5 4 3 4 3" xfId="21819"/>
    <cellStyle name="20% - Ênfase1 4 4 3 4 3" xfId="21820"/>
    <cellStyle name="40% - Ênfase1 4 4 3 4 3" xfId="21821"/>
    <cellStyle name="20% - Ênfase2 4 4 3 4 3" xfId="21822"/>
    <cellStyle name="40% - Ênfase2 4 4 3 4 3" xfId="21823"/>
    <cellStyle name="20% - Ênfase3 4 4 3 4 3" xfId="21824"/>
    <cellStyle name="40% - Ênfase3 4 4 3 4 3" xfId="21825"/>
    <cellStyle name="20% - Ênfase4 4 4 3 4 3" xfId="21826"/>
    <cellStyle name="40% - Ênfase4 4 4 3 4 3" xfId="21827"/>
    <cellStyle name="20% - Ênfase5 4 4 3 4 3" xfId="21828"/>
    <cellStyle name="40% - Ênfase5 4 4 3 4 3" xfId="21829"/>
    <cellStyle name="20% - Ênfase6 4 4 3 4 3" xfId="21830"/>
    <cellStyle name="40% - Ênfase6 4 4 3 4 3" xfId="21831"/>
    <cellStyle name="Normal 3 3 3 4 3" xfId="21832"/>
    <cellStyle name="20% - Ênfase1 5 2 3 4 3" xfId="21833"/>
    <cellStyle name="40% - Ênfase1 5 2 3 4 3" xfId="21834"/>
    <cellStyle name="20% - Ênfase2 5 2 3 4 3" xfId="21835"/>
    <cellStyle name="40% - Ênfase2 5 2 3 4 3" xfId="21836"/>
    <cellStyle name="20% - Ênfase3 5 2 3 4 3" xfId="21837"/>
    <cellStyle name="40% - Ênfase3 5 2 3 4 3" xfId="21838"/>
    <cellStyle name="20% - Ênfase4 5 2 3 4 3" xfId="21839"/>
    <cellStyle name="40% - Ênfase4 5 2 3 4 3" xfId="21840"/>
    <cellStyle name="20% - Ênfase5 5 2 3 4 3" xfId="21841"/>
    <cellStyle name="40% - Ênfase5 5 2 3 4 3" xfId="21842"/>
    <cellStyle name="20% - Ênfase6 5 2 3 4 3" xfId="21843"/>
    <cellStyle name="40% - Ênfase6 5 2 3 4 3" xfId="21844"/>
    <cellStyle name="Normal 4 2 2 3 4 3" xfId="21845"/>
    <cellStyle name="Nota 2 2 2 3 4 3" xfId="21846"/>
    <cellStyle name="Normal 5 2 2 3 4 3" xfId="21847"/>
    <cellStyle name="Nota 3 2 2 3 4 3" xfId="21848"/>
    <cellStyle name="20% - Ênfase1 2 2 2 3 4 3" xfId="21849"/>
    <cellStyle name="40% - Ênfase1 2 2 2 3 4 3" xfId="21850"/>
    <cellStyle name="20% - Ênfase2 2 2 2 3 4 3" xfId="21851"/>
    <cellStyle name="40% - Ênfase2 2 2 2 3 4 3" xfId="21852"/>
    <cellStyle name="20% - Ênfase3 2 2 2 3 4 3" xfId="21853"/>
    <cellStyle name="40% - Ênfase3 2 2 2 3 4 3" xfId="21854"/>
    <cellStyle name="20% - Ênfase4 2 2 2 3 4 3" xfId="21855"/>
    <cellStyle name="40% - Ênfase4 2 2 2 3 4 3" xfId="21856"/>
    <cellStyle name="20% - Ênfase5 2 2 2 3 4 3" xfId="21857"/>
    <cellStyle name="40% - Ênfase5 2 2 2 3 4 3" xfId="21858"/>
    <cellStyle name="20% - Ênfase6 2 2 2 3 4 3" xfId="21859"/>
    <cellStyle name="40% - Ênfase6 2 2 2 3 4 3" xfId="21860"/>
    <cellStyle name="Normal 7 2 2 3 4 3" xfId="21861"/>
    <cellStyle name="Nota 4 3 3 4 3" xfId="21862"/>
    <cellStyle name="20% - Ênfase1 3 3 3 4 3" xfId="21863"/>
    <cellStyle name="40% - Ênfase1 3 3 3 4 3" xfId="21864"/>
    <cellStyle name="20% - Ênfase2 3 3 3 4 3" xfId="21865"/>
    <cellStyle name="40% - Ênfase2 3 3 3 4 3" xfId="21866"/>
    <cellStyle name="20% - Ênfase3 3 3 3 4 3" xfId="21867"/>
    <cellStyle name="40% - Ênfase3 3 3 3 4 3" xfId="21868"/>
    <cellStyle name="20% - Ênfase4 3 3 3 4 3" xfId="21869"/>
    <cellStyle name="40% - Ênfase4 3 3 3 4 3" xfId="21870"/>
    <cellStyle name="20% - Ênfase5 3 3 3 4 3" xfId="21871"/>
    <cellStyle name="40% - Ênfase5 3 3 3 4 3" xfId="21872"/>
    <cellStyle name="20% - Ênfase6 3 3 3 4 3" xfId="21873"/>
    <cellStyle name="40% - Ênfase6 3 3 3 4 3" xfId="21874"/>
    <cellStyle name="Normal 8 3 3 4 3" xfId="21875"/>
    <cellStyle name="Nota 5 3 3 4 3" xfId="21876"/>
    <cellStyle name="20% - Ênfase1 4 3 3 4 3" xfId="21877"/>
    <cellStyle name="40% - Ênfase1 4 3 3 4 3" xfId="21878"/>
    <cellStyle name="20% - Ênfase2 4 3 3 4 3" xfId="21879"/>
    <cellStyle name="40% - Ênfase2 4 3 3 4 3" xfId="21880"/>
    <cellStyle name="20% - Ênfase3 4 3 3 4 3" xfId="21881"/>
    <cellStyle name="40% - Ênfase3 4 3 3 4 3" xfId="21882"/>
    <cellStyle name="20% - Ênfase4 4 3 3 4 3" xfId="21883"/>
    <cellStyle name="40% - Ênfase4 4 3 3 4 3" xfId="21884"/>
    <cellStyle name="20% - Ênfase5 4 3 3 4 3" xfId="21885"/>
    <cellStyle name="40% - Ênfase5 4 3 3 4 3" xfId="21886"/>
    <cellStyle name="20% - Ênfase6 4 3 3 4 3" xfId="21887"/>
    <cellStyle name="40% - Ênfase6 4 3 3 4 3" xfId="21888"/>
    <cellStyle name="20% - Ênfase1 6 2 3 4 3" xfId="21889"/>
    <cellStyle name="40% - Ênfase1 6 2 3 4 3" xfId="21890"/>
    <cellStyle name="20% - Ênfase2 6 2 3 4 3" xfId="21891"/>
    <cellStyle name="40% - Ênfase2 6 2 3 4 3" xfId="21892"/>
    <cellStyle name="20% - Ênfase3 6 2 3 4 3" xfId="21893"/>
    <cellStyle name="40% - Ênfase3 6 2 3 4 3" xfId="21894"/>
    <cellStyle name="20% - Ênfase4 6 2 3 4 3" xfId="21895"/>
    <cellStyle name="40% - Ênfase4 6 2 3 4 3" xfId="21896"/>
    <cellStyle name="20% - Ênfase5 6 2 3 4 3" xfId="21897"/>
    <cellStyle name="40% - Ênfase5 6 2 3 4 3" xfId="21898"/>
    <cellStyle name="20% - Ênfase6 6 2 3 4 3" xfId="21899"/>
    <cellStyle name="40% - Ênfase6 6 2 3 4 3" xfId="21900"/>
    <cellStyle name="Normal 4 3 2 3 4 3" xfId="21901"/>
    <cellStyle name="Nota 2 3 2 3 4 3" xfId="21902"/>
    <cellStyle name="Normal 5 3 2 3 4 3" xfId="21903"/>
    <cellStyle name="Nota 3 3 2 3 4 3" xfId="21904"/>
    <cellStyle name="20% - Ênfase1 2 3 2 3 4 3" xfId="21905"/>
    <cellStyle name="40% - Ênfase1 2 3 2 3 4 3" xfId="21906"/>
    <cellStyle name="20% - Ênfase2 2 3 2 3 4 3" xfId="21907"/>
    <cellStyle name="40% - Ênfase2 2 3 2 3 4 3" xfId="21908"/>
    <cellStyle name="20% - Ênfase3 2 3 2 3 4 3" xfId="21909"/>
    <cellStyle name="40% - Ênfase3 2 3 2 3 4 3" xfId="21910"/>
    <cellStyle name="20% - Ênfase4 2 3 2 3 4 3" xfId="21911"/>
    <cellStyle name="40% - Ênfase4 2 3 2 3 4 3" xfId="21912"/>
    <cellStyle name="20% - Ênfase5 2 3 2 3 4 3" xfId="21913"/>
    <cellStyle name="40% - Ênfase5 2 3 2 3 4 3" xfId="21914"/>
    <cellStyle name="20% - Ênfase6 2 3 2 3 4 3" xfId="21915"/>
    <cellStyle name="40% - Ênfase6 2 3 2 3 4 3" xfId="21916"/>
    <cellStyle name="Normal 7 3 2 3 4 3" xfId="21917"/>
    <cellStyle name="Nota 4 2 2 3 4 3" xfId="21918"/>
    <cellStyle name="20% - Ênfase1 3 2 2 3 4 3" xfId="21919"/>
    <cellStyle name="40% - Ênfase1 3 2 2 3 4 3" xfId="21920"/>
    <cellStyle name="20% - Ênfase2 3 2 2 3 4 3" xfId="21921"/>
    <cellStyle name="40% - Ênfase2 3 2 2 3 4 3" xfId="21922"/>
    <cellStyle name="20% - Ênfase3 3 2 2 3 4 3" xfId="21923"/>
    <cellStyle name="40% - Ênfase3 3 2 2 3 4 3" xfId="21924"/>
    <cellStyle name="20% - Ênfase4 3 2 2 3 4 3" xfId="21925"/>
    <cellStyle name="40% - Ênfase4 3 2 2 3 4 3" xfId="21926"/>
    <cellStyle name="20% - Ênfase5 3 2 2 3 4 3" xfId="21927"/>
    <cellStyle name="40% - Ênfase5 3 2 2 3 4 3" xfId="21928"/>
    <cellStyle name="20% - Ênfase6 3 2 2 3 4 3" xfId="21929"/>
    <cellStyle name="40% - Ênfase6 3 2 2 3 4 3" xfId="21930"/>
    <cellStyle name="Normal 8 2 2 3 4 3" xfId="21931"/>
    <cellStyle name="Nota 5 2 2 3 4 3" xfId="21932"/>
    <cellStyle name="20% - Ênfase1 4 2 2 3 4 3" xfId="21933"/>
    <cellStyle name="40% - Ênfase1 4 2 2 3 4 3" xfId="21934"/>
    <cellStyle name="20% - Ênfase2 4 2 2 3 4 3" xfId="21935"/>
    <cellStyle name="40% - Ênfase2 4 2 2 3 4 3" xfId="21936"/>
    <cellStyle name="20% - Ênfase3 4 2 2 3 4 3" xfId="21937"/>
    <cellStyle name="40% - Ênfase3 4 2 2 3 4 3" xfId="21938"/>
    <cellStyle name="20% - Ênfase4 4 2 2 3 4 3" xfId="21939"/>
    <cellStyle name="40% - Ênfase4 4 2 2 3 4 3" xfId="21940"/>
    <cellStyle name="20% - Ênfase5 4 2 2 3 4 3" xfId="21941"/>
    <cellStyle name="40% - Ênfase5 4 2 2 3 4 3" xfId="21942"/>
    <cellStyle name="20% - Ênfase6 4 2 2 3 4 3" xfId="21943"/>
    <cellStyle name="40% - Ênfase6 4 2 2 3 4 3" xfId="21944"/>
    <cellStyle name="Normal 3 6 4 3" xfId="21945"/>
    <cellStyle name="20% - Ênfase1 5 5 4 3" xfId="21946"/>
    <cellStyle name="40% - Ênfase1 5 5 4 3" xfId="21947"/>
    <cellStyle name="20% - Ênfase2 5 5 4 3" xfId="21948"/>
    <cellStyle name="40% - Ênfase2 5 5 4 3" xfId="21949"/>
    <cellStyle name="20% - Ênfase3 5 5 4 3" xfId="21950"/>
    <cellStyle name="40% - Ênfase3 5 5 4 3" xfId="21951"/>
    <cellStyle name="20% - Ênfase4 5 5 4 3" xfId="21952"/>
    <cellStyle name="40% - Ênfase4 5 5 4 3" xfId="21953"/>
    <cellStyle name="20% - Ênfase5 5 5 4 3" xfId="21954"/>
    <cellStyle name="40% - Ênfase5 5 5 4 3" xfId="21955"/>
    <cellStyle name="20% - Ênfase6 5 5 4 3" xfId="21956"/>
    <cellStyle name="40% - Ênfase6 5 5 4 3" xfId="21957"/>
    <cellStyle name="Normal 4 2 5 4 3" xfId="21958"/>
    <cellStyle name="Nota 2 2 5 4 3" xfId="21959"/>
    <cellStyle name="Normal 5 2 5 4 3" xfId="21960"/>
    <cellStyle name="Nota 3 2 5 4 3" xfId="21961"/>
    <cellStyle name="20% - Ênfase1 2 2 5 4 3" xfId="21962"/>
    <cellStyle name="40% - Ênfase1 2 2 5 4 3" xfId="21963"/>
    <cellStyle name="20% - Ênfase2 2 2 5 4 3" xfId="21964"/>
    <cellStyle name="40% - Ênfase2 2 2 5 4 3" xfId="21965"/>
    <cellStyle name="20% - Ênfase3 2 2 5 4 3" xfId="21966"/>
    <cellStyle name="40% - Ênfase3 2 2 5 4 3" xfId="21967"/>
    <cellStyle name="20% - Ênfase4 2 2 5 4 3" xfId="21968"/>
    <cellStyle name="40% - Ênfase4 2 2 5 4 3" xfId="21969"/>
    <cellStyle name="20% - Ênfase5 2 2 5 4 3" xfId="21970"/>
    <cellStyle name="40% - Ênfase5 2 2 5 4 3" xfId="21971"/>
    <cellStyle name="20% - Ênfase6 2 2 5 4 3" xfId="21972"/>
    <cellStyle name="40% - Ênfase6 2 2 5 4 3" xfId="21973"/>
    <cellStyle name="Normal 7 2 5 4 3" xfId="21974"/>
    <cellStyle name="Nota 4 7 4 3" xfId="21975"/>
    <cellStyle name="20% - Ênfase1 3 7 4 3" xfId="21976"/>
    <cellStyle name="40% - Ênfase1 3 7 4 3" xfId="21977"/>
    <cellStyle name="20% - Ênfase2 3 7 4 3" xfId="21978"/>
    <cellStyle name="40% - Ênfase2 3 7 4 3" xfId="21979"/>
    <cellStyle name="20% - Ênfase3 3 7 4 3" xfId="21980"/>
    <cellStyle name="40% - Ênfase3 3 7 4 3" xfId="21981"/>
    <cellStyle name="20% - Ênfase4 3 7 4 3" xfId="21982"/>
    <cellStyle name="40% - Ênfase4 3 7 4 3" xfId="21983"/>
    <cellStyle name="20% - Ênfase5 3 7 4 3" xfId="21984"/>
    <cellStyle name="40% - Ênfase5 3 7 4 3" xfId="21985"/>
    <cellStyle name="20% - Ênfase6 3 7 4 3" xfId="21986"/>
    <cellStyle name="40% - Ênfase6 3 7 4 3" xfId="21987"/>
    <cellStyle name="Normal 8 7 4 3" xfId="21988"/>
    <cellStyle name="Nota 5 7 4 3" xfId="21989"/>
    <cellStyle name="20% - Ênfase1 4 7 4 3" xfId="21990"/>
    <cellStyle name="40% - Ênfase1 4 7 4 3" xfId="21991"/>
    <cellStyle name="20% - Ênfase2 4 7 4 3" xfId="21992"/>
    <cellStyle name="40% - Ênfase2 4 7 4 3" xfId="21993"/>
    <cellStyle name="20% - Ênfase3 4 7 4 3" xfId="21994"/>
    <cellStyle name="40% - Ênfase3 4 7 4 3" xfId="21995"/>
    <cellStyle name="20% - Ênfase4 4 7 4 3" xfId="21996"/>
    <cellStyle name="40% - Ênfase4 4 7 4 3" xfId="21997"/>
    <cellStyle name="20% - Ênfase5 4 7 4 3" xfId="21998"/>
    <cellStyle name="40% - Ênfase5 4 7 4 3" xfId="21999"/>
    <cellStyle name="20% - Ênfase6 4 7 4 3" xfId="22000"/>
    <cellStyle name="40% - Ênfase6 4 7 4 3" xfId="22001"/>
    <cellStyle name="Normal 6 4 4 3" xfId="22002"/>
    <cellStyle name="Vírgula 11 2 2 3" xfId="22003"/>
    <cellStyle name="Normal 3 8 3 3" xfId="22004"/>
    <cellStyle name="Separador de milhares 4 6 2 3" xfId="22005"/>
    <cellStyle name="Separador de milhares 5 7 3" xfId="22006"/>
    <cellStyle name="Separador de milhares 6 7 2 3" xfId="22007"/>
    <cellStyle name="Vírgula 2 8 3" xfId="22008"/>
    <cellStyle name="Separador de milhares 2 2 6 3" xfId="22009"/>
    <cellStyle name="Separador de milhares 3 2 6 3" xfId="22010"/>
    <cellStyle name="Vírgula 3 6 3" xfId="22011"/>
    <cellStyle name="Vírgula 4 6 3" xfId="22012"/>
    <cellStyle name="Vírgula 2 2 5 3" xfId="22013"/>
    <cellStyle name="20% - Ênfase1 5 8 3" xfId="22014"/>
    <cellStyle name="40% - Ênfase1 5 8 3" xfId="22015"/>
    <cellStyle name="20% - Ênfase2 5 8 3" xfId="22016"/>
    <cellStyle name="40% - Ênfase2 5 8 3" xfId="22017"/>
    <cellStyle name="20% - Ênfase3 5 8 3" xfId="22018"/>
    <cellStyle name="40% - Ênfase3 5 8 3" xfId="22019"/>
    <cellStyle name="20% - Ênfase4 5 8 3" xfId="22020"/>
    <cellStyle name="40% - Ênfase4 5 8 3" xfId="22021"/>
    <cellStyle name="20% - Ênfase5 5 8 3" xfId="22022"/>
    <cellStyle name="40% - Ênfase5 5 8 3" xfId="22023"/>
    <cellStyle name="20% - Ênfase6 5 8 3" xfId="22024"/>
    <cellStyle name="40% - Ênfase6 5 8 3" xfId="22025"/>
    <cellStyle name="Normal 4 2 8 3" xfId="22026"/>
    <cellStyle name="Nota 2 2 8 3" xfId="22027"/>
    <cellStyle name="Normal 5 2 9 3" xfId="22028"/>
    <cellStyle name="Nota 3 2 8 3" xfId="22029"/>
    <cellStyle name="20% - Ênfase1 2 2 8 3" xfId="22030"/>
    <cellStyle name="40% - Ênfase1 2 2 8 3" xfId="22031"/>
    <cellStyle name="20% - Ênfase2 2 2 8 3" xfId="22032"/>
    <cellStyle name="40% - Ênfase2 2 2 8 3" xfId="22033"/>
    <cellStyle name="20% - Ênfase3 2 2 8 3" xfId="22034"/>
    <cellStyle name="40% - Ênfase3 2 2 8 3" xfId="22035"/>
    <cellStyle name="20% - Ênfase4 2 2 8 3" xfId="22036"/>
    <cellStyle name="40% - Ênfase4 2 2 8 3" xfId="22037"/>
    <cellStyle name="20% - Ênfase5 2 2 8 3" xfId="22038"/>
    <cellStyle name="40% - Ênfase5 2 2 8 3" xfId="22039"/>
    <cellStyle name="20% - Ênfase6 2 2 8 3" xfId="22040"/>
    <cellStyle name="40% - Ênfase6 2 2 8 3" xfId="22041"/>
    <cellStyle name="Normal 7 2 8 2 3" xfId="22042"/>
    <cellStyle name="Nota 4 10 3" xfId="22043"/>
    <cellStyle name="20% - Ênfase1 3 10 3" xfId="22044"/>
    <cellStyle name="40% - Ênfase1 3 10 3" xfId="22045"/>
    <cellStyle name="20% - Ênfase2 3 10 3" xfId="22046"/>
    <cellStyle name="40% - Ênfase2 3 10 3" xfId="22047"/>
    <cellStyle name="20% - Ênfase3 3 10 3" xfId="22048"/>
    <cellStyle name="40% - Ênfase3 3 10 3" xfId="22049"/>
    <cellStyle name="20% - Ênfase4 3 10 3" xfId="22050"/>
    <cellStyle name="40% - Ênfase4 3 10 3" xfId="22051"/>
    <cellStyle name="20% - Ênfase5 3 10 3" xfId="22052"/>
    <cellStyle name="40% - Ênfase5 3 10 3" xfId="22053"/>
    <cellStyle name="20% - Ênfase6 3 10 3" xfId="22054"/>
    <cellStyle name="40% - Ênfase6 3 10 3" xfId="22055"/>
    <cellStyle name="Normal 8 11 2 3" xfId="22056"/>
    <cellStyle name="Nota 5 10 3" xfId="22057"/>
    <cellStyle name="20% - Ênfase1 4 10 3" xfId="22058"/>
    <cellStyle name="40% - Ênfase1 4 10 3" xfId="22059"/>
    <cellStyle name="20% - Ênfase2 4 10 3" xfId="22060"/>
    <cellStyle name="40% - Ênfase2 4 10 3" xfId="22061"/>
    <cellStyle name="20% - Ênfase3 4 10 3" xfId="22062"/>
    <cellStyle name="40% - Ênfase3 4 10 3" xfId="22063"/>
    <cellStyle name="20% - Ênfase4 4 10 3" xfId="22064"/>
    <cellStyle name="40% - Ênfase4 4 10 3" xfId="22065"/>
    <cellStyle name="20% - Ênfase5 4 10 3" xfId="22066"/>
    <cellStyle name="40% - Ênfase5 4 10 3" xfId="22067"/>
    <cellStyle name="20% - Ênfase6 4 10 3" xfId="22068"/>
    <cellStyle name="40% - Ênfase6 4 10 3" xfId="22069"/>
    <cellStyle name="20% - Ênfase1 6 7 3" xfId="22070"/>
    <cellStyle name="40% - Ênfase1 6 7 3" xfId="22071"/>
    <cellStyle name="20% - Ênfase2 6 7 3" xfId="22072"/>
    <cellStyle name="40% - Ênfase2 6 7 3" xfId="22073"/>
    <cellStyle name="20% - Ênfase3 6 7 3" xfId="22074"/>
    <cellStyle name="40% - Ênfase3 6 7 3" xfId="22075"/>
    <cellStyle name="20% - Ênfase4 6 7 3" xfId="22076"/>
    <cellStyle name="40% - Ênfase4 6 7 3" xfId="22077"/>
    <cellStyle name="20% - Ênfase5 6 7 3" xfId="22078"/>
    <cellStyle name="40% - Ênfase5 6 7 3" xfId="22079"/>
    <cellStyle name="20% - Ênfase6 6 7 3" xfId="22080"/>
    <cellStyle name="40% - Ênfase6 6 7 3" xfId="22081"/>
    <cellStyle name="Normal 4 3 7 3" xfId="22082"/>
    <cellStyle name="Nota 2 3 7 3" xfId="22083"/>
    <cellStyle name="Normal 5 3 7 3" xfId="22084"/>
    <cellStyle name="Nota 3 3 7 3" xfId="22085"/>
    <cellStyle name="20% - Ênfase1 2 3 7 3" xfId="22086"/>
    <cellStyle name="40% - Ênfase1 2 3 7 3" xfId="22087"/>
    <cellStyle name="20% - Ênfase2 2 3 7 3" xfId="22088"/>
    <cellStyle name="40% - Ênfase2 2 3 7 3" xfId="22089"/>
    <cellStyle name="20% - Ênfase3 2 3 7 3" xfId="22090"/>
    <cellStyle name="40% - Ênfase3 2 3 7 3" xfId="22091"/>
    <cellStyle name="20% - Ênfase4 2 3 7 3" xfId="22092"/>
    <cellStyle name="40% - Ênfase4 2 3 7 3" xfId="22093"/>
    <cellStyle name="20% - Ênfase5 2 3 7 3" xfId="22094"/>
    <cellStyle name="40% - Ênfase5 2 3 7 3" xfId="22095"/>
    <cellStyle name="20% - Ênfase6 2 3 7 3" xfId="22096"/>
    <cellStyle name="40% - Ênfase6 2 3 7 3" xfId="22097"/>
    <cellStyle name="Normal 7 3 7 2 3" xfId="22098"/>
    <cellStyle name="Nota 4 2 7 3" xfId="22099"/>
    <cellStyle name="20% - Ênfase1 3 2 7 3" xfId="22100"/>
    <cellStyle name="40% - Ênfase1 3 2 7 3" xfId="22101"/>
    <cellStyle name="20% - Ênfase2 3 2 7 3" xfId="22102"/>
    <cellStyle name="40% - Ênfase2 3 2 7 3" xfId="22103"/>
    <cellStyle name="20% - Ênfase3 3 2 7 3" xfId="22104"/>
    <cellStyle name="40% - Ênfase3 3 2 7 3" xfId="22105"/>
    <cellStyle name="20% - Ênfase4 3 2 7 3" xfId="22106"/>
    <cellStyle name="40% - Ênfase4 3 2 7 3" xfId="22107"/>
    <cellStyle name="20% - Ênfase5 3 2 7 3" xfId="22108"/>
    <cellStyle name="40% - Ênfase5 3 2 7 3" xfId="22109"/>
    <cellStyle name="20% - Ênfase6 3 2 7 3" xfId="22110"/>
    <cellStyle name="40% - Ênfase6 3 2 7 3" xfId="22111"/>
    <cellStyle name="Normal 8 2 7 2 3" xfId="22112"/>
    <cellStyle name="Nota 5 2 7 3" xfId="22113"/>
    <cellStyle name="20% - Ênfase1 4 2 7 3" xfId="22114"/>
    <cellStyle name="40% - Ênfase1 4 2 7 3" xfId="22115"/>
    <cellStyle name="20% - Ênfase2 4 2 7 3" xfId="22116"/>
    <cellStyle name="40% - Ênfase2 4 2 7 3" xfId="22117"/>
    <cellStyle name="20% - Ênfase3 4 2 7 3" xfId="22118"/>
    <cellStyle name="40% - Ênfase3 4 2 7 3" xfId="22119"/>
    <cellStyle name="20% - Ênfase4 4 2 7 3" xfId="22120"/>
    <cellStyle name="40% - Ênfase4 4 2 7 3" xfId="22121"/>
    <cellStyle name="20% - Ênfase5 4 2 7 3" xfId="22122"/>
    <cellStyle name="40% - Ênfase5 4 2 7 3" xfId="22123"/>
    <cellStyle name="20% - Ênfase6 4 2 7 3" xfId="22124"/>
    <cellStyle name="40% - Ênfase6 4 2 7 3" xfId="22125"/>
    <cellStyle name="20% - Ênfase1 8 5 2 3" xfId="22126"/>
    <cellStyle name="40% - Ênfase1 8 5 2 3" xfId="22127"/>
    <cellStyle name="20% - Ênfase2 8 5 2 3" xfId="22128"/>
    <cellStyle name="40% - Ênfase2 8 5 2 3" xfId="22129"/>
    <cellStyle name="20% - Ênfase3 8 5 2 3" xfId="22130"/>
    <cellStyle name="40% - Ênfase3 8 5 2 3" xfId="22131"/>
    <cellStyle name="20% - Ênfase4 8 5 2 3" xfId="22132"/>
    <cellStyle name="40% - Ênfase4 8 5 2 3" xfId="22133"/>
    <cellStyle name="20% - Ênfase5 8 5 2 3" xfId="22134"/>
    <cellStyle name="40% - Ênfase5 8 5 2 3" xfId="22135"/>
    <cellStyle name="20% - Ênfase6 8 5 2 3" xfId="22136"/>
    <cellStyle name="40% - Ênfase6 8 5 2 3" xfId="22137"/>
    <cellStyle name="Normal 4 5 5 2 3" xfId="22138"/>
    <cellStyle name="Nota 2 5 5 2 3" xfId="22139"/>
    <cellStyle name="Normal 5 5 5 2 3" xfId="22140"/>
    <cellStyle name="Nota 3 5 5 2 3" xfId="22141"/>
    <cellStyle name="20% - Ênfase1 2 5 5 2 3" xfId="22142"/>
    <cellStyle name="40% - Ênfase1 2 5 5 2 3" xfId="22143"/>
    <cellStyle name="20% - Ênfase2 2 5 5 2 3" xfId="22144"/>
    <cellStyle name="40% - Ênfase2 2 5 5 2 3" xfId="22145"/>
    <cellStyle name="20% - Ênfase3 2 5 5 2 3" xfId="22146"/>
    <cellStyle name="40% - Ênfase3 2 5 5 2 3" xfId="22147"/>
    <cellStyle name="20% - Ênfase4 2 5 5 2 3" xfId="22148"/>
    <cellStyle name="40% - Ênfase4 2 5 5 2 3" xfId="22149"/>
    <cellStyle name="20% - Ênfase5 2 5 5 2 3" xfId="22150"/>
    <cellStyle name="40% - Ênfase5 2 5 5 2 3" xfId="22151"/>
    <cellStyle name="20% - Ênfase6 2 5 5 2 3" xfId="22152"/>
    <cellStyle name="40% - Ênfase6 2 5 5 2 3" xfId="22153"/>
    <cellStyle name="Normal 7 5 5 2 3" xfId="22154"/>
    <cellStyle name="Nota 4 4 5 2 3" xfId="22155"/>
    <cellStyle name="20% - Ênfase1 3 4 5 2 3" xfId="22156"/>
    <cellStyle name="40% - Ênfase1 3 4 5 2 3" xfId="22157"/>
    <cellStyle name="20% - Ênfase2 3 4 5 2 3" xfId="22158"/>
    <cellStyle name="40% - Ênfase2 3 4 5 2 3" xfId="22159"/>
    <cellStyle name="20% - Ênfase3 3 4 5 2 3" xfId="22160"/>
    <cellStyle name="40% - Ênfase3 3 4 5 2 3" xfId="22161"/>
    <cellStyle name="20% - Ênfase4 3 4 5 2 3" xfId="22162"/>
    <cellStyle name="40% - Ênfase4 3 4 5 2 3" xfId="22163"/>
    <cellStyle name="20% - Ênfase5 3 4 5 2 3" xfId="22164"/>
    <cellStyle name="40% - Ênfase5 3 4 5 2 3" xfId="22165"/>
    <cellStyle name="20% - Ênfase6 3 4 5 2 3" xfId="22166"/>
    <cellStyle name="40% - Ênfase6 3 4 5 2 3" xfId="22167"/>
    <cellStyle name="Normal 8 4 5 3 3" xfId="22168"/>
    <cellStyle name="Nota 5 4 5 2 3" xfId="22169"/>
    <cellStyle name="20% - Ênfase1 4 4 5 2 3" xfId="22170"/>
    <cellStyle name="40% - Ênfase1 4 4 5 2 3" xfId="22171"/>
    <cellStyle name="20% - Ênfase2 4 4 5 2 3" xfId="22172"/>
    <cellStyle name="40% - Ênfase2 4 4 5 2 3" xfId="22173"/>
    <cellStyle name="20% - Ênfase3 4 4 5 2 3" xfId="22174"/>
    <cellStyle name="40% - Ênfase3 4 4 5 2 3" xfId="22175"/>
    <cellStyle name="20% - Ênfase4 4 4 5 2 3" xfId="22176"/>
    <cellStyle name="40% - Ênfase4 4 4 5 2 3" xfId="22177"/>
    <cellStyle name="20% - Ênfase5 4 4 5 2 3" xfId="22178"/>
    <cellStyle name="40% - Ênfase5 4 4 5 2 3" xfId="22179"/>
    <cellStyle name="20% - Ênfase6 4 4 5 2 3" xfId="22180"/>
    <cellStyle name="40% - Ênfase6 4 4 5 2 3" xfId="22181"/>
    <cellStyle name="Normal 3 3 6 3" xfId="22182"/>
    <cellStyle name="Separador de milhares 5 2 4 3" xfId="22183"/>
    <cellStyle name="Separador de milhares 6 2 4 3" xfId="22184"/>
    <cellStyle name="Vírgula 5 5 3" xfId="22185"/>
    <cellStyle name="Vírgula 2 3 5 3" xfId="22186"/>
    <cellStyle name="20% - Ênfase1 5 2 5 2 3" xfId="22187"/>
    <cellStyle name="40% - Ênfase1 5 2 5 2 3" xfId="22188"/>
    <cellStyle name="20% - Ênfase2 5 2 5 2 3" xfId="22189"/>
    <cellStyle name="40% - Ênfase2 5 2 5 2 3" xfId="22190"/>
    <cellStyle name="20% - Ênfase3 5 2 5 2 3" xfId="22191"/>
    <cellStyle name="40% - Ênfase3 5 2 5 2 3" xfId="22192"/>
    <cellStyle name="20% - Ênfase4 5 2 5 2 3" xfId="22193"/>
    <cellStyle name="40% - Ênfase4 5 2 5 2 3" xfId="22194"/>
    <cellStyle name="20% - Ênfase5 5 2 5 2 3" xfId="22195"/>
    <cellStyle name="40% - Ênfase5 5 2 5 2 3" xfId="22196"/>
    <cellStyle name="20% - Ênfase6 5 2 5 2 3" xfId="22197"/>
    <cellStyle name="40% - Ênfase6 5 2 5 2 3" xfId="22198"/>
    <cellStyle name="Normal 4 2 2 5 2 3" xfId="22199"/>
    <cellStyle name="Nota 2 2 2 5 2 3" xfId="22200"/>
    <cellStyle name="Normal 5 2 2 5 2 3" xfId="22201"/>
    <cellStyle name="Nota 3 2 2 5 2 3" xfId="22202"/>
    <cellStyle name="20% - Ênfase1 2 2 2 5 2 3" xfId="22203"/>
    <cellStyle name="40% - Ênfase1 2 2 2 5 2 3" xfId="22204"/>
    <cellStyle name="20% - Ênfase2 2 2 2 5 2 3" xfId="22205"/>
    <cellStyle name="40% - Ênfase2 2 2 2 5 2 3" xfId="22206"/>
    <cellStyle name="20% - Ênfase3 2 2 2 5 2 3" xfId="22207"/>
    <cellStyle name="40% - Ênfase3 2 2 2 5 2 3" xfId="22208"/>
    <cellStyle name="20% - Ênfase4 2 2 2 5 2 3" xfId="22209"/>
    <cellStyle name="40% - Ênfase4 2 2 2 5 2 3" xfId="22210"/>
    <cellStyle name="20% - Ênfase5 2 2 2 5 2 3" xfId="22211"/>
    <cellStyle name="40% - Ênfase5 2 2 2 5 2 3" xfId="22212"/>
    <cellStyle name="20% - Ênfase6 2 2 2 5 2 3" xfId="22213"/>
    <cellStyle name="40% - Ênfase6 2 2 2 5 2 3" xfId="22214"/>
    <cellStyle name="Normal 7 2 2 5 3 3" xfId="22215"/>
    <cellStyle name="Nota 4 3 6 3" xfId="22216"/>
    <cellStyle name="20% - Ênfase1 3 3 6 3" xfId="22217"/>
    <cellStyle name="40% - Ênfase1 3 3 6 3" xfId="22218"/>
    <cellStyle name="20% - Ênfase2 3 3 6 3" xfId="22219"/>
    <cellStyle name="40% - Ênfase2 3 3 6 3" xfId="22220"/>
    <cellStyle name="20% - Ênfase3 3 3 6 3" xfId="22221"/>
    <cellStyle name="40% - Ênfase3 3 3 6 3" xfId="22222"/>
    <cellStyle name="20% - Ênfase4 3 3 6 3" xfId="22223"/>
    <cellStyle name="40% - Ênfase4 3 3 6 3" xfId="22224"/>
    <cellStyle name="20% - Ênfase5 3 3 6 3" xfId="22225"/>
    <cellStyle name="40% - Ênfase5 3 3 6 3" xfId="22226"/>
    <cellStyle name="20% - Ênfase6 3 3 6 3" xfId="22227"/>
    <cellStyle name="40% - Ênfase6 3 3 6 3" xfId="22228"/>
    <cellStyle name="Normal 8 3 6 2 3" xfId="22229"/>
    <cellStyle name="Nota 5 3 6 3" xfId="22230"/>
    <cellStyle name="20% - Ênfase1 4 3 6 3" xfId="22231"/>
    <cellStyle name="40% - Ênfase1 4 3 6 3" xfId="22232"/>
    <cellStyle name="20% - Ênfase2 4 3 6 3" xfId="22233"/>
    <cellStyle name="40% - Ênfase2 4 3 6 3" xfId="22234"/>
    <cellStyle name="20% - Ênfase3 4 3 6 3" xfId="22235"/>
    <cellStyle name="40% - Ênfase3 4 3 6 3" xfId="22236"/>
    <cellStyle name="20% - Ênfase4 4 3 6 3" xfId="22237"/>
    <cellStyle name="40% - Ênfase4 4 3 6 3" xfId="22238"/>
    <cellStyle name="20% - Ênfase5 4 3 6 3" xfId="22239"/>
    <cellStyle name="40% - Ênfase5 4 3 6 3" xfId="22240"/>
    <cellStyle name="20% - Ênfase6 4 3 6 3" xfId="22241"/>
    <cellStyle name="40% - Ênfase6 4 3 6 3" xfId="22242"/>
    <cellStyle name="20% - Ênfase1 6 2 5 2 3" xfId="22243"/>
    <cellStyle name="40% - Ênfase1 6 2 5 2 3" xfId="22244"/>
    <cellStyle name="20% - Ênfase2 6 2 5 2 3" xfId="22245"/>
    <cellStyle name="40% - Ênfase2 6 2 5 2 3" xfId="22246"/>
    <cellStyle name="20% - Ênfase3 6 2 5 2 3" xfId="22247"/>
    <cellStyle name="40% - Ênfase3 6 2 5 2 3" xfId="22248"/>
    <cellStyle name="20% - Ênfase4 6 2 5 2 3" xfId="22249"/>
    <cellStyle name="40% - Ênfase4 6 2 5 2 3" xfId="22250"/>
    <cellStyle name="20% - Ênfase5 6 2 5 2 3" xfId="22251"/>
    <cellStyle name="40% - Ênfase5 6 2 5 2 3" xfId="22252"/>
    <cellStyle name="20% - Ênfase6 6 2 5 2 3" xfId="22253"/>
    <cellStyle name="40% - Ênfase6 6 2 5 2 3" xfId="22254"/>
    <cellStyle name="Normal 4 3 2 5 2 3" xfId="22255"/>
    <cellStyle name="Nota 2 3 2 5 2 3" xfId="22256"/>
    <cellStyle name="Normal 5 3 2 5 2 3" xfId="22257"/>
    <cellStyle name="Nota 3 3 2 5 2 3" xfId="22258"/>
    <cellStyle name="20% - Ênfase1 2 3 2 5 2 3" xfId="22259"/>
    <cellStyle name="40% - Ênfase1 2 3 2 5 2 3" xfId="22260"/>
    <cellStyle name="20% - Ênfase2 2 3 2 5 2 3" xfId="22261"/>
    <cellStyle name="40% - Ênfase2 2 3 2 5 2 3" xfId="22262"/>
    <cellStyle name="20% - Ênfase3 2 3 2 5 2 3" xfId="22263"/>
    <cellStyle name="40% - Ênfase3 2 3 2 5 2 3" xfId="22264"/>
    <cellStyle name="20% - Ênfase4 2 3 2 5 2 3" xfId="22265"/>
    <cellStyle name="40% - Ênfase4 2 3 2 5 2 3" xfId="22266"/>
    <cellStyle name="20% - Ênfase5 2 3 2 5 2 3" xfId="22267"/>
    <cellStyle name="40% - Ênfase5 2 3 2 5 2 3" xfId="22268"/>
    <cellStyle name="20% - Ênfase6 2 3 2 5 2 3" xfId="22269"/>
    <cellStyle name="40% - Ênfase6 2 3 2 5 2 3" xfId="22270"/>
    <cellStyle name="Normal 7 3 2 5 2 3" xfId="22271"/>
    <cellStyle name="Nota 4 2 2 5 2 3" xfId="22272"/>
    <cellStyle name="20% - Ênfase1 3 2 2 5 2 3" xfId="22273"/>
    <cellStyle name="40% - Ênfase1 3 2 2 5 2 3" xfId="22274"/>
    <cellStyle name="20% - Ênfase2 3 2 2 5 2 3" xfId="22275"/>
    <cellStyle name="40% - Ênfase2 3 2 2 5 2 3" xfId="22276"/>
    <cellStyle name="20% - Ênfase3 3 2 2 5 2 3" xfId="22277"/>
    <cellStyle name="40% - Ênfase3 3 2 2 5 2 3" xfId="22278"/>
    <cellStyle name="20% - Ênfase4 3 2 2 5 2 3" xfId="22279"/>
    <cellStyle name="40% - Ênfase4 3 2 2 5 2 3" xfId="22280"/>
    <cellStyle name="20% - Ênfase5 3 2 2 5 2 3" xfId="22281"/>
    <cellStyle name="40% - Ênfase5 3 2 2 5 2 3" xfId="22282"/>
    <cellStyle name="20% - Ênfase6 3 2 2 5 2 3" xfId="22283"/>
    <cellStyle name="40% - Ênfase6 3 2 2 5 2 3" xfId="22284"/>
    <cellStyle name="Normal 8 2 2 5 3 3" xfId="22285"/>
    <cellStyle name="Nota 5 2 2 5 2 3" xfId="22286"/>
    <cellStyle name="20% - Ênfase1 4 2 2 5 2 3" xfId="22287"/>
    <cellStyle name="40% - Ênfase1 4 2 2 5 2 3" xfId="22288"/>
    <cellStyle name="20% - Ênfase2 4 2 2 5 2 3" xfId="22289"/>
    <cellStyle name="40% - Ênfase2 4 2 2 5 2 3" xfId="22290"/>
    <cellStyle name="20% - Ênfase3 4 2 2 5 2 3" xfId="22291"/>
    <cellStyle name="40% - Ênfase3 4 2 2 5 2 3" xfId="22292"/>
    <cellStyle name="20% - Ênfase4 4 2 2 5 2 3" xfId="22293"/>
    <cellStyle name="40% - Ênfase4 4 2 2 5 2 3" xfId="22294"/>
    <cellStyle name="20% - Ênfase5 4 2 2 5 2 3" xfId="22295"/>
    <cellStyle name="40% - Ênfase5 4 2 2 5 2 3" xfId="22296"/>
    <cellStyle name="20% - Ênfase6 4 2 2 5 2 3" xfId="22297"/>
    <cellStyle name="40% - Ênfase6 4 2 2 5 2 3" xfId="22298"/>
    <cellStyle name="Normal 3 4 3 2 3" xfId="22299"/>
    <cellStyle name="Separador de milhares 4 2 4 3" xfId="22300"/>
    <cellStyle name="Separador de milhares 5 3 3 2 3" xfId="22301"/>
    <cellStyle name="Separador de milhares 6 3 3 2 3" xfId="22302"/>
    <cellStyle name="Vírgula 6 3 3" xfId="22303"/>
    <cellStyle name="Vírgula 2 4 3 3" xfId="22304"/>
    <cellStyle name="Separador de milhares 2 2 2 3 3" xfId="22305"/>
    <cellStyle name="Separador de milhares 3 2 2 3 3" xfId="22306"/>
    <cellStyle name="Vírgula 3 2 3 3" xfId="22307"/>
    <cellStyle name="Vírgula 4 2 4 3" xfId="22308"/>
    <cellStyle name="Vírgula 2 2 2 3 3" xfId="22309"/>
    <cellStyle name="20% - Ênfase1 5 3 3 2 3" xfId="22310"/>
    <cellStyle name="40% - Ênfase1 5 3 3 2 3" xfId="22311"/>
    <cellStyle name="20% - Ênfase2 5 3 3 2 3" xfId="22312"/>
    <cellStyle name="40% - Ênfase2 5 3 3 2 3" xfId="22313"/>
    <cellStyle name="20% - Ênfase3 5 3 3 2 3" xfId="22314"/>
    <cellStyle name="40% - Ênfase3 5 3 3 2 3" xfId="22315"/>
    <cellStyle name="20% - Ênfase4 5 3 3 2 3" xfId="22316"/>
    <cellStyle name="40% - Ênfase4 5 3 3 2 3" xfId="22317"/>
    <cellStyle name="20% - Ênfase5 5 3 3 2 3" xfId="22318"/>
    <cellStyle name="40% - Ênfase5 5 3 3 2 3" xfId="22319"/>
    <cellStyle name="20% - Ênfase6 5 3 3 2 3" xfId="22320"/>
    <cellStyle name="40% - Ênfase6 5 3 3 2 3" xfId="22321"/>
    <cellStyle name="Normal 4 2 3 3 2 3" xfId="22322"/>
    <cellStyle name="Nota 2 2 3 3 2 3" xfId="22323"/>
    <cellStyle name="Normal 5 2 3 3 2 3" xfId="22324"/>
    <cellStyle name="Nota 3 2 3 3 2 3" xfId="22325"/>
    <cellStyle name="20% - Ênfase1 2 2 3 3 2 3" xfId="22326"/>
    <cellStyle name="40% - Ênfase1 2 2 3 3 2 3" xfId="22327"/>
    <cellStyle name="20% - Ênfase2 2 2 3 3 2 3" xfId="22328"/>
    <cellStyle name="40% - Ênfase2 2 2 3 3 2 3" xfId="22329"/>
    <cellStyle name="20% - Ênfase3 2 2 3 3 2 3" xfId="22330"/>
    <cellStyle name="40% - Ênfase3 2 2 3 3 2 3" xfId="22331"/>
    <cellStyle name="20% - Ênfase4 2 2 3 3 2 3" xfId="22332"/>
    <cellStyle name="40% - Ênfase4 2 2 3 3 2 3" xfId="22333"/>
    <cellStyle name="20% - Ênfase5 2 2 3 3 2 3" xfId="22334"/>
    <cellStyle name="40% - Ênfase5 2 2 3 3 2 3" xfId="22335"/>
    <cellStyle name="20% - Ênfase6 2 2 3 3 2 3" xfId="22336"/>
    <cellStyle name="40% - Ênfase6 2 2 3 3 2 3" xfId="22337"/>
    <cellStyle name="Normal 7 2 3 3 2 3" xfId="22338"/>
    <cellStyle name="Nota 4 5 3 2 3" xfId="22339"/>
    <cellStyle name="20% - Ênfase1 3 5 3 2 3" xfId="22340"/>
    <cellStyle name="40% - Ênfase1 3 5 3 2 3" xfId="22341"/>
    <cellStyle name="20% - Ênfase2 3 5 3 2 3" xfId="22342"/>
    <cellStyle name="40% - Ênfase2 3 5 3 2 3" xfId="22343"/>
    <cellStyle name="20% - Ênfase3 3 5 3 2 3" xfId="22344"/>
    <cellStyle name="40% - Ênfase3 3 5 3 2 3" xfId="22345"/>
    <cellStyle name="20% - Ênfase4 3 5 3 2 3" xfId="22346"/>
    <cellStyle name="40% - Ênfase4 3 5 3 2 3" xfId="22347"/>
    <cellStyle name="20% - Ênfase5 3 5 3 2 3" xfId="22348"/>
    <cellStyle name="40% - Ênfase5 3 5 3 2 3" xfId="22349"/>
    <cellStyle name="20% - Ênfase6 3 5 3 2 3" xfId="22350"/>
    <cellStyle name="40% - Ênfase6 3 5 3 2 3" xfId="22351"/>
    <cellStyle name="Normal 8 5 3 3 3" xfId="22352"/>
    <cellStyle name="Nota 5 5 3 2 3" xfId="22353"/>
    <cellStyle name="20% - Ênfase1 4 5 3 2 3" xfId="22354"/>
    <cellStyle name="40% - Ênfase1 4 5 3 2 3" xfId="22355"/>
    <cellStyle name="20% - Ênfase2 4 5 3 2 3" xfId="22356"/>
    <cellStyle name="40% - Ênfase2 4 5 3 2 3" xfId="22357"/>
    <cellStyle name="20% - Ênfase3 4 5 3 2 3" xfId="22358"/>
    <cellStyle name="40% - Ênfase3 4 5 3 2 3" xfId="22359"/>
    <cellStyle name="20% - Ênfase4 4 5 3 2 3" xfId="22360"/>
    <cellStyle name="40% - Ênfase4 4 5 3 2 3" xfId="22361"/>
    <cellStyle name="20% - Ênfase5 4 5 3 2 3" xfId="22362"/>
    <cellStyle name="40% - Ênfase5 4 5 3 2 3" xfId="22363"/>
    <cellStyle name="20% - Ênfase6 4 5 3 2 3" xfId="22364"/>
    <cellStyle name="40% - Ênfase6 4 5 3 2 3" xfId="22365"/>
    <cellStyle name="20% - Ênfase1 6 3 3 2 3" xfId="22366"/>
    <cellStyle name="40% - Ênfase1 6 3 3 2 3" xfId="22367"/>
    <cellStyle name="20% - Ênfase2 6 3 3 2 3" xfId="22368"/>
    <cellStyle name="40% - Ênfase2 6 3 3 2 3" xfId="22369"/>
    <cellStyle name="20% - Ênfase3 6 3 3 2 3" xfId="22370"/>
    <cellStyle name="40% - Ênfase3 6 3 3 2 3" xfId="22371"/>
    <cellStyle name="20% - Ênfase4 6 3 3 2 3" xfId="22372"/>
    <cellStyle name="40% - Ênfase4 6 3 3 2 3" xfId="22373"/>
    <cellStyle name="20% - Ênfase5 6 3 3 2 3" xfId="22374"/>
    <cellStyle name="40% - Ênfase5 6 3 3 2 3" xfId="22375"/>
    <cellStyle name="20% - Ênfase6 6 3 3 2 3" xfId="22376"/>
    <cellStyle name="40% - Ênfase6 6 3 3 2 3" xfId="22377"/>
    <cellStyle name="Normal 4 3 3 3 2 3" xfId="22378"/>
    <cellStyle name="Nota 2 3 3 3 2 3" xfId="22379"/>
    <cellStyle name="Normal 5 3 3 3 2 3" xfId="22380"/>
    <cellStyle name="Nota 3 3 3 3 2 3" xfId="22381"/>
    <cellStyle name="20% - Ênfase1 2 3 3 3 2 3" xfId="22382"/>
    <cellStyle name="40% - Ênfase1 2 3 3 3 2 3" xfId="22383"/>
    <cellStyle name="20% - Ênfase2 2 3 3 3 2 3" xfId="22384"/>
    <cellStyle name="40% - Ênfase2 2 3 3 3 2 3" xfId="22385"/>
    <cellStyle name="20% - Ênfase3 2 3 3 3 2 3" xfId="22386"/>
    <cellStyle name="40% - Ênfase3 2 3 3 3 2 3" xfId="22387"/>
    <cellStyle name="20% - Ênfase4 2 3 3 3 2 3" xfId="22388"/>
    <cellStyle name="40% - Ênfase4 2 3 3 3 2 3" xfId="22389"/>
    <cellStyle name="20% - Ênfase5 2 3 3 3 2 3" xfId="22390"/>
    <cellStyle name="40% - Ênfase5 2 3 3 3 2 3" xfId="22391"/>
    <cellStyle name="20% - Ênfase6 2 3 3 3 2 3" xfId="22392"/>
    <cellStyle name="40% - Ênfase6 2 3 3 3 2 3" xfId="22393"/>
    <cellStyle name="Normal 7 3 3 3 2 3" xfId="22394"/>
    <cellStyle name="Nota 4 2 3 3 2 3" xfId="22395"/>
    <cellStyle name="20% - Ênfase1 3 2 3 3 2 3" xfId="22396"/>
    <cellStyle name="40% - Ênfase1 3 2 3 3 2 3" xfId="22397"/>
    <cellStyle name="20% - Ênfase2 3 2 3 3 2 3" xfId="22398"/>
    <cellStyle name="40% - Ênfase2 3 2 3 3 2 3" xfId="22399"/>
    <cellStyle name="20% - Ênfase3 3 2 3 3 2 3" xfId="22400"/>
    <cellStyle name="40% - Ênfase3 3 2 3 3 2 3" xfId="22401"/>
    <cellStyle name="20% - Ênfase4 3 2 3 3 2 3" xfId="22402"/>
    <cellStyle name="40% - Ênfase4 3 2 3 3 2 3" xfId="22403"/>
    <cellStyle name="20% - Ênfase5 3 2 3 3 2 3" xfId="22404"/>
    <cellStyle name="40% - Ênfase5 3 2 3 3 2 3" xfId="22405"/>
    <cellStyle name="20% - Ênfase6 3 2 3 3 2 3" xfId="22406"/>
    <cellStyle name="40% - Ênfase6 3 2 3 3 2 3" xfId="22407"/>
    <cellStyle name="Normal 8 2 3 3 2 3" xfId="22408"/>
    <cellStyle name="Nota 5 2 3 3 2 3" xfId="22409"/>
    <cellStyle name="20% - Ênfase1 4 2 3 3 2 3" xfId="22410"/>
    <cellStyle name="40% - Ênfase1 4 2 3 3 2 3" xfId="22411"/>
    <cellStyle name="20% - Ênfase2 4 2 3 3 2 3" xfId="22412"/>
    <cellStyle name="40% - Ênfase2 4 2 3 3 2 3" xfId="22413"/>
    <cellStyle name="20% - Ênfase3 4 2 3 3 2 3" xfId="22414"/>
    <cellStyle name="40% - Ênfase3 4 2 3 3 2 3" xfId="22415"/>
    <cellStyle name="20% - Ênfase4 4 2 3 3 2 3" xfId="22416"/>
    <cellStyle name="40% - Ênfase4 4 2 3 3 2 3" xfId="22417"/>
    <cellStyle name="20% - Ênfase5 4 2 3 3 2 3" xfId="22418"/>
    <cellStyle name="40% - Ênfase5 4 2 3 3 2 3" xfId="22419"/>
    <cellStyle name="20% - Ênfase6 4 2 3 3 2 3" xfId="22420"/>
    <cellStyle name="40% - Ênfase6 4 2 3 3 2 3" xfId="22421"/>
    <cellStyle name="20% - Ênfase1 8 2 3 2 3" xfId="22422"/>
    <cellStyle name="40% - Ênfase1 8 2 3 2 3" xfId="22423"/>
    <cellStyle name="20% - Ênfase2 8 2 3 2 3" xfId="22424"/>
    <cellStyle name="40% - Ênfase2 8 2 3 2 3" xfId="22425"/>
    <cellStyle name="20% - Ênfase3 8 2 3 2 3" xfId="22426"/>
    <cellStyle name="40% - Ênfase3 8 2 3 2 3" xfId="22427"/>
    <cellStyle name="20% - Ênfase4 8 2 3 2 3" xfId="22428"/>
    <cellStyle name="40% - Ênfase4 8 2 3 2 3" xfId="22429"/>
    <cellStyle name="20% - Ênfase5 8 2 3 2 3" xfId="22430"/>
    <cellStyle name="40% - Ênfase5 8 2 3 2 3" xfId="22431"/>
    <cellStyle name="20% - Ênfase6 8 2 3 2 3" xfId="22432"/>
    <cellStyle name="40% - Ênfase6 8 2 3 2 3" xfId="22433"/>
    <cellStyle name="Normal 4 5 2 3 2 3" xfId="22434"/>
    <cellStyle name="Nota 2 5 2 3 2 3" xfId="22435"/>
    <cellStyle name="Normal 5 5 2 3 2 3" xfId="22436"/>
    <cellStyle name="Nota 3 5 2 3 2 3" xfId="22437"/>
    <cellStyle name="20% - Ênfase1 2 5 2 3 2 3" xfId="22438"/>
    <cellStyle name="40% - Ênfase1 2 5 2 3 2 3" xfId="22439"/>
    <cellStyle name="20% - Ênfase2 2 5 2 3 2 3" xfId="22440"/>
    <cellStyle name="40% - Ênfase2 2 5 2 3 2 3" xfId="22441"/>
    <cellStyle name="20% - Ênfase3 2 5 2 3 2 3" xfId="22442"/>
    <cellStyle name="40% - Ênfase3 2 5 2 3 2 3" xfId="22443"/>
    <cellStyle name="20% - Ênfase4 2 5 2 3 2 3" xfId="22444"/>
    <cellStyle name="40% - Ênfase4 2 5 2 3 2 3" xfId="22445"/>
    <cellStyle name="20% - Ênfase5 2 5 2 3 2 3" xfId="22446"/>
    <cellStyle name="40% - Ênfase5 2 5 2 3 2 3" xfId="22447"/>
    <cellStyle name="20% - Ênfase6 2 5 2 3 2 3" xfId="22448"/>
    <cellStyle name="40% - Ênfase6 2 5 2 3 2 3" xfId="22449"/>
    <cellStyle name="Normal 7 5 2 3 2 3" xfId="22450"/>
    <cellStyle name="Nota 4 4 2 3 2 3" xfId="22451"/>
    <cellStyle name="20% - Ênfase1 3 4 2 3 2 3" xfId="22452"/>
    <cellStyle name="40% - Ênfase1 3 4 2 3 2 3" xfId="22453"/>
    <cellStyle name="20% - Ênfase2 3 4 2 3 2 3" xfId="22454"/>
    <cellStyle name="40% - Ênfase2 3 4 2 3 2 3" xfId="22455"/>
    <cellStyle name="20% - Ênfase3 3 4 2 3 2 3" xfId="22456"/>
    <cellStyle name="40% - Ênfase3 3 4 2 3 2 3" xfId="22457"/>
    <cellStyle name="20% - Ênfase4 3 4 2 3 2 3" xfId="22458"/>
    <cellStyle name="40% - Ênfase4 3 4 2 3 2 3" xfId="22459"/>
    <cellStyle name="20% - Ênfase5 3 4 2 3 2 3" xfId="22460"/>
    <cellStyle name="40% - Ênfase5 3 4 2 3 2 3" xfId="22461"/>
    <cellStyle name="20% - Ênfase6 3 4 2 3 2 3" xfId="22462"/>
    <cellStyle name="40% - Ênfase6 3 4 2 3 2 3" xfId="22463"/>
    <cellStyle name="Normal 8 4 2 3 3 3" xfId="22464"/>
    <cellStyle name="Nota 5 4 2 3 2 3" xfId="22465"/>
    <cellStyle name="20% - Ênfase1 4 4 2 3 2 3" xfId="22466"/>
    <cellStyle name="40% - Ênfase1 4 4 2 3 2 3" xfId="22467"/>
    <cellStyle name="20% - Ênfase2 4 4 2 3 2 3" xfId="22468"/>
    <cellStyle name="40% - Ênfase2 4 4 2 3 2 3" xfId="22469"/>
    <cellStyle name="20% - Ênfase3 4 4 2 3 2 3" xfId="22470"/>
    <cellStyle name="40% - Ênfase3 4 4 2 3 2 3" xfId="22471"/>
    <cellStyle name="20% - Ênfase4 4 4 2 3 2 3" xfId="22472"/>
    <cellStyle name="40% - Ênfase4 4 4 2 3 2 3" xfId="22473"/>
    <cellStyle name="20% - Ênfase5 4 4 2 3 2 3" xfId="22474"/>
    <cellStyle name="40% - Ênfase5 4 4 2 3 2 3" xfId="22475"/>
    <cellStyle name="20% - Ênfase6 4 4 2 3 2 3" xfId="22476"/>
    <cellStyle name="40% - Ênfase6 4 4 2 3 2 3" xfId="22477"/>
    <cellStyle name="Normal 3 3 2 3 2 3" xfId="22478"/>
    <cellStyle name="Separador de milhares 5 2 2 3 3" xfId="22479"/>
    <cellStyle name="Separador de milhares 6 2 2 3 3" xfId="22480"/>
    <cellStyle name="Vírgula 5 2 3 3" xfId="22481"/>
    <cellStyle name="Vírgula 2 3 2 3 3" xfId="22482"/>
    <cellStyle name="20% - Ênfase1 5 2 2 3 2 3" xfId="22483"/>
    <cellStyle name="40% - Ênfase1 5 2 2 3 2 3" xfId="22484"/>
    <cellStyle name="20% - Ênfase2 5 2 2 3 2 3" xfId="22485"/>
    <cellStyle name="40% - Ênfase2 5 2 2 3 2 3" xfId="22486"/>
    <cellStyle name="20% - Ênfase3 5 2 2 3 2 3" xfId="22487"/>
    <cellStyle name="40% - Ênfase3 5 2 2 3 2 3" xfId="22488"/>
    <cellStyle name="20% - Ênfase4 5 2 2 3 2 3" xfId="22489"/>
    <cellStyle name="40% - Ênfase4 5 2 2 3 2 3" xfId="22490"/>
    <cellStyle name="20% - Ênfase5 5 2 2 3 2 3" xfId="22491"/>
    <cellStyle name="40% - Ênfase5 5 2 2 3 2 3" xfId="22492"/>
    <cellStyle name="20% - Ênfase6 5 2 2 3 2 3" xfId="22493"/>
    <cellStyle name="40% - Ênfase6 5 2 2 3 2 3" xfId="22494"/>
    <cellStyle name="Normal 4 2 2 2 3 2 3" xfId="22495"/>
    <cellStyle name="Nota 2 2 2 2 3 2 3" xfId="22496"/>
    <cellStyle name="Normal 5 2 2 2 3 2 3" xfId="22497"/>
    <cellStyle name="Nota 3 2 2 2 3 2 3" xfId="22498"/>
    <cellStyle name="20% - Ênfase1 2 2 2 2 3 2 3" xfId="22499"/>
    <cellStyle name="40% - Ênfase1 2 2 2 2 3 2 3" xfId="22500"/>
    <cellStyle name="20% - Ênfase2 2 2 2 2 3 2 3" xfId="22501"/>
    <cellStyle name="40% - Ênfase2 2 2 2 2 3 2 3" xfId="22502"/>
    <cellStyle name="20% - Ênfase3 2 2 2 2 3 2 3" xfId="22503"/>
    <cellStyle name="40% - Ênfase3 2 2 2 2 3 2 3" xfId="22504"/>
    <cellStyle name="20% - Ênfase4 2 2 2 2 3 2 3" xfId="22505"/>
    <cellStyle name="40% - Ênfase4 2 2 2 2 3 2 3" xfId="22506"/>
    <cellStyle name="20% - Ênfase5 2 2 2 2 3 2 3" xfId="22507"/>
    <cellStyle name="40% - Ênfase5 2 2 2 2 3 2 3" xfId="22508"/>
    <cellStyle name="20% - Ênfase6 2 2 2 2 3 2 3" xfId="22509"/>
    <cellStyle name="40% - Ênfase6 2 2 2 2 3 2 3" xfId="22510"/>
    <cellStyle name="Normal 7 2 2 2 3 2 3" xfId="22511"/>
    <cellStyle name="Nota 4 3 2 3 2 3" xfId="22512"/>
    <cellStyle name="20% - Ênfase1 3 3 2 3 2 3" xfId="22513"/>
    <cellStyle name="40% - Ênfase1 3 3 2 3 2 3" xfId="22514"/>
    <cellStyle name="20% - Ênfase2 3 3 2 3 2 3" xfId="22515"/>
    <cellStyle name="40% - Ênfase2 3 3 2 3 2 3" xfId="22516"/>
    <cellStyle name="20% - Ênfase3 3 3 2 3 2 3" xfId="22517"/>
    <cellStyle name="40% - Ênfase3 3 3 2 3 2 3" xfId="22518"/>
    <cellStyle name="20% - Ênfase4 3 3 2 3 2 3" xfId="22519"/>
    <cellStyle name="40% - Ênfase4 3 3 2 3 2 3" xfId="22520"/>
    <cellStyle name="20% - Ênfase5 3 3 2 3 2 3" xfId="22521"/>
    <cellStyle name="40% - Ênfase5 3 3 2 3 2 3" xfId="22522"/>
    <cellStyle name="20% - Ênfase6 3 3 2 3 2 3" xfId="22523"/>
    <cellStyle name="40% - Ênfase6 3 3 2 3 2 3" xfId="22524"/>
    <cellStyle name="Normal 8 3 2 3 3 3" xfId="22525"/>
    <cellStyle name="Nota 5 3 2 3 2 3" xfId="22526"/>
    <cellStyle name="20% - Ênfase1 4 3 2 3 2 3" xfId="22527"/>
    <cellStyle name="40% - Ênfase1 4 3 2 3 2 3" xfId="22528"/>
    <cellStyle name="20% - Ênfase2 4 3 2 3 2 3" xfId="22529"/>
    <cellStyle name="40% - Ênfase2 4 3 2 3 2 3" xfId="22530"/>
    <cellStyle name="20% - Ênfase3 4 3 2 3 2 3" xfId="22531"/>
    <cellStyle name="40% - Ênfase3 4 3 2 3 2 3" xfId="22532"/>
    <cellStyle name="20% - Ênfase4 4 3 2 3 2 3" xfId="22533"/>
    <cellStyle name="40% - Ênfase4 4 3 2 3 2 3" xfId="22534"/>
    <cellStyle name="20% - Ênfase5 4 3 2 3 2 3" xfId="22535"/>
    <cellStyle name="40% - Ênfase5 4 3 2 3 2 3" xfId="22536"/>
    <cellStyle name="20% - Ênfase6 4 3 2 3 2 3" xfId="22537"/>
    <cellStyle name="40% - Ênfase6 4 3 2 3 2 3" xfId="22538"/>
    <cellStyle name="20% - Ênfase1 6 2 2 3 2 3" xfId="22539"/>
    <cellStyle name="40% - Ênfase1 6 2 2 3 2 3" xfId="22540"/>
    <cellStyle name="20% - Ênfase2 6 2 2 3 2 3" xfId="22541"/>
    <cellStyle name="40% - Ênfase2 6 2 2 3 2 3" xfId="22542"/>
    <cellStyle name="20% - Ênfase3 6 2 2 3 2 3" xfId="22543"/>
    <cellStyle name="40% - Ênfase3 6 2 2 3 2 3" xfId="22544"/>
    <cellStyle name="20% - Ênfase4 6 2 2 3 2 3" xfId="22545"/>
    <cellStyle name="40% - Ênfase4 6 2 2 3 2 3" xfId="22546"/>
    <cellStyle name="20% - Ênfase5 6 2 2 3 2 3" xfId="22547"/>
    <cellStyle name="40% - Ênfase5 6 2 2 3 2 3" xfId="22548"/>
    <cellStyle name="20% - Ênfase6 6 2 2 3 2 3" xfId="22549"/>
    <cellStyle name="40% - Ênfase6 6 2 2 3 2 3" xfId="22550"/>
    <cellStyle name="Normal 4 3 2 2 3 2 3" xfId="22551"/>
    <cellStyle name="Nota 2 3 2 2 3 2 3" xfId="22552"/>
    <cellStyle name="Normal 5 3 2 2 3 2 3" xfId="22553"/>
    <cellStyle name="Nota 3 3 2 2 3 2 3" xfId="22554"/>
    <cellStyle name="20% - Ênfase1 2 3 2 2 3 2 3" xfId="22555"/>
    <cellStyle name="40% - Ênfase1 2 3 2 2 3 2 3" xfId="22556"/>
    <cellStyle name="20% - Ênfase2 2 3 2 2 3 2 3" xfId="22557"/>
    <cellStyle name="40% - Ênfase2 2 3 2 2 3 2 3" xfId="22558"/>
    <cellStyle name="20% - Ênfase3 2 3 2 2 3 2 3" xfId="22559"/>
    <cellStyle name="40% - Ênfase3 2 3 2 2 3 2 3" xfId="22560"/>
    <cellStyle name="20% - Ênfase4 2 3 2 2 3 2 3" xfId="22561"/>
    <cellStyle name="40% - Ênfase4 2 3 2 2 3 2 3" xfId="22562"/>
    <cellStyle name="20% - Ênfase5 2 3 2 2 3 2 3" xfId="22563"/>
    <cellStyle name="40% - Ênfase5 2 3 2 2 3 2 3" xfId="22564"/>
    <cellStyle name="20% - Ênfase6 2 3 2 2 3 2 3" xfId="22565"/>
    <cellStyle name="40% - Ênfase6 2 3 2 2 3 2 3" xfId="22566"/>
    <cellStyle name="Normal 7 3 2 2 3 2 3" xfId="22567"/>
    <cellStyle name="Nota 4 2 2 2 3 2 3" xfId="22568"/>
    <cellStyle name="20% - Ênfase1 3 2 2 2 3 2 3" xfId="22569"/>
    <cellStyle name="40% - Ênfase1 3 2 2 2 3 2 3" xfId="22570"/>
    <cellStyle name="20% - Ênfase2 3 2 2 2 3 2 3" xfId="22571"/>
    <cellStyle name="40% - Ênfase2 3 2 2 2 3 2 3" xfId="22572"/>
    <cellStyle name="20% - Ênfase3 3 2 2 2 3 2 3" xfId="22573"/>
    <cellStyle name="40% - Ênfase3 3 2 2 2 3 2 3" xfId="22574"/>
    <cellStyle name="20% - Ênfase4 3 2 2 2 3 2 3" xfId="22575"/>
    <cellStyle name="40% - Ênfase4 3 2 2 2 3 2 3" xfId="22576"/>
    <cellStyle name="20% - Ênfase5 3 2 2 2 3 2 3" xfId="22577"/>
    <cellStyle name="40% - Ênfase5 3 2 2 2 3 2 3" xfId="22578"/>
    <cellStyle name="20% - Ênfase6 3 2 2 2 3 2 3" xfId="22579"/>
    <cellStyle name="40% - Ênfase6 3 2 2 2 3 2 3" xfId="22580"/>
    <cellStyle name="Normal 8 2 2 2 3 2 3" xfId="22581"/>
    <cellStyle name="Nota 5 2 2 2 3 2 3" xfId="22582"/>
    <cellStyle name="20% - Ênfase1 4 2 2 2 3 2 3" xfId="22583"/>
    <cellStyle name="40% - Ênfase1 4 2 2 2 3 2 3" xfId="22584"/>
    <cellStyle name="20% - Ênfase2 4 2 2 2 3 2 3" xfId="22585"/>
    <cellStyle name="40% - Ênfase2 4 2 2 2 3 2 3" xfId="22586"/>
    <cellStyle name="20% - Ênfase3 4 2 2 2 3 2 3" xfId="22587"/>
    <cellStyle name="40% - Ênfase3 4 2 2 2 3 2 3" xfId="22588"/>
    <cellStyle name="20% - Ênfase4 4 2 2 2 3 2 3" xfId="22589"/>
    <cellStyle name="40% - Ênfase4 4 2 2 2 3 2 3" xfId="22590"/>
    <cellStyle name="20% - Ênfase5 4 2 2 2 3 2 3" xfId="22591"/>
    <cellStyle name="40% - Ênfase5 4 2 2 2 3 2 3" xfId="22592"/>
    <cellStyle name="20% - Ênfase6 4 2 2 2 3 2 3" xfId="22593"/>
    <cellStyle name="40% - Ênfase6 4 2 2 2 3 2 3" xfId="22594"/>
    <cellStyle name="Normal 3 5 3 2 3" xfId="22595"/>
    <cellStyle name="20% - Ênfase1 5 4 3 2 3" xfId="22596"/>
    <cellStyle name="40% - Ênfase1 5 4 3 2 3" xfId="22597"/>
    <cellStyle name="20% - Ênfase2 5 4 3 2 3" xfId="22598"/>
    <cellStyle name="40% - Ênfase2 5 4 3 2 3" xfId="22599"/>
    <cellStyle name="20% - Ênfase3 5 4 3 2 3" xfId="22600"/>
    <cellStyle name="40% - Ênfase3 5 4 3 2 3" xfId="22601"/>
    <cellStyle name="20% - Ênfase4 5 4 3 2 3" xfId="22602"/>
    <cellStyle name="40% - Ênfase4 5 4 3 2 3" xfId="22603"/>
    <cellStyle name="20% - Ênfase5 5 4 3 2 3" xfId="22604"/>
    <cellStyle name="40% - Ênfase5 5 4 3 2 3" xfId="22605"/>
    <cellStyle name="20% - Ênfase6 5 4 3 2 3" xfId="22606"/>
    <cellStyle name="40% - Ênfase6 5 4 3 2 3" xfId="22607"/>
    <cellStyle name="Normal 4 2 4 3 2 3" xfId="22608"/>
    <cellStyle name="Nota 2 2 4 3 2 3" xfId="22609"/>
    <cellStyle name="Normal 5 2 4 3 2 3" xfId="22610"/>
    <cellStyle name="Nota 3 2 4 3 2 3" xfId="22611"/>
    <cellStyle name="20% - Ênfase1 2 2 4 3 2 3" xfId="22612"/>
    <cellStyle name="40% - Ênfase1 2 2 4 3 2 3" xfId="22613"/>
    <cellStyle name="20% - Ênfase2 2 2 4 3 2 3" xfId="22614"/>
    <cellStyle name="40% - Ênfase2 2 2 4 3 2 3" xfId="22615"/>
    <cellStyle name="20% - Ênfase3 2 2 4 3 2 3" xfId="22616"/>
    <cellStyle name="40% - Ênfase3 2 2 4 3 2 3" xfId="22617"/>
    <cellStyle name="20% - Ênfase4 2 2 4 3 2 3" xfId="22618"/>
    <cellStyle name="40% - Ênfase4 2 2 4 3 2 3" xfId="22619"/>
    <cellStyle name="20% - Ênfase5 2 2 4 3 2 3" xfId="22620"/>
    <cellStyle name="40% - Ênfase5 2 2 4 3 2 3" xfId="22621"/>
    <cellStyle name="20% - Ênfase6 2 2 4 3 2 3" xfId="22622"/>
    <cellStyle name="40% - Ênfase6 2 2 4 3 2 3" xfId="22623"/>
    <cellStyle name="Normal 7 2 4 3 2 3" xfId="22624"/>
    <cellStyle name="Nota 4 6 3 2 3" xfId="22625"/>
    <cellStyle name="20% - Ênfase1 3 6 3 2 3" xfId="22626"/>
    <cellStyle name="40% - Ênfase1 3 6 3 2 3" xfId="22627"/>
    <cellStyle name="20% - Ênfase2 3 6 3 2 3" xfId="22628"/>
    <cellStyle name="40% - Ênfase2 3 6 3 2 3" xfId="22629"/>
    <cellStyle name="20% - Ênfase3 3 6 3 2 3" xfId="22630"/>
    <cellStyle name="40% - Ênfase3 3 6 3 2 3" xfId="22631"/>
    <cellStyle name="20% - Ênfase4 3 6 3 2 3" xfId="22632"/>
    <cellStyle name="40% - Ênfase4 3 6 3 2 3" xfId="22633"/>
    <cellStyle name="20% - Ênfase5 3 6 3 2 3" xfId="22634"/>
    <cellStyle name="40% - Ênfase5 3 6 3 2 3" xfId="22635"/>
    <cellStyle name="20% - Ênfase6 3 6 3 2 3" xfId="22636"/>
    <cellStyle name="40% - Ênfase6 3 6 3 2 3" xfId="22637"/>
    <cellStyle name="Normal 8 6 3 3 3" xfId="22638"/>
    <cellStyle name="Nota 5 6 3 2 3" xfId="22639"/>
    <cellStyle name="20% - Ênfase1 4 6 3 2 3" xfId="22640"/>
    <cellStyle name="40% - Ênfase1 4 6 3 2 3" xfId="22641"/>
    <cellStyle name="20% - Ênfase2 4 6 3 2 3" xfId="22642"/>
    <cellStyle name="40% - Ênfase2 4 6 3 2 3" xfId="22643"/>
    <cellStyle name="20% - Ênfase3 4 6 3 2 3" xfId="22644"/>
    <cellStyle name="40% - Ênfase3 4 6 3 2 3" xfId="22645"/>
    <cellStyle name="20% - Ênfase4 4 6 3 2 3" xfId="22646"/>
    <cellStyle name="40% - Ênfase4 4 6 3 2 3" xfId="22647"/>
    <cellStyle name="20% - Ênfase5 4 6 3 2 3" xfId="22648"/>
    <cellStyle name="40% - Ênfase5 4 6 3 2 3" xfId="22649"/>
    <cellStyle name="20% - Ênfase6 4 6 3 2 3" xfId="22650"/>
    <cellStyle name="40% - Ênfase6 4 6 3 2 3" xfId="22651"/>
    <cellStyle name="20% - Ênfase1 6 4 3 2 3" xfId="22652"/>
    <cellStyle name="40% - Ênfase1 6 4 3 2 3" xfId="22653"/>
    <cellStyle name="20% - Ênfase2 6 4 3 2 3" xfId="22654"/>
    <cellStyle name="40% - Ênfase2 6 4 3 2 3" xfId="22655"/>
    <cellStyle name="20% - Ênfase3 6 4 3 2 3" xfId="22656"/>
    <cellStyle name="40% - Ênfase3 6 4 3 2 3" xfId="22657"/>
    <cellStyle name="20% - Ênfase4 6 4 3 2 3" xfId="22658"/>
    <cellStyle name="40% - Ênfase4 6 4 3 2 3" xfId="22659"/>
    <cellStyle name="20% - Ênfase5 6 4 3 2 3" xfId="22660"/>
    <cellStyle name="40% - Ênfase5 6 4 3 2 3" xfId="22661"/>
    <cellStyle name="20% - Ênfase6 6 4 3 2 3" xfId="22662"/>
    <cellStyle name="40% - Ênfase6 6 4 3 2 3" xfId="22663"/>
    <cellStyle name="Normal 4 3 4 3 2 3" xfId="22664"/>
    <cellStyle name="Nota 2 3 4 3 2 3" xfId="22665"/>
    <cellStyle name="Normal 5 3 4 3 2 3" xfId="22666"/>
    <cellStyle name="Nota 3 3 4 3 2 3" xfId="22667"/>
    <cellStyle name="20% - Ênfase1 2 3 4 3 2 3" xfId="22668"/>
    <cellStyle name="40% - Ênfase1 2 3 4 3 2 3" xfId="22669"/>
    <cellStyle name="20% - Ênfase2 2 3 4 3 2 3" xfId="22670"/>
    <cellStyle name="40% - Ênfase2 2 3 4 3 2 3" xfId="22671"/>
    <cellStyle name="20% - Ênfase3 2 3 4 3 2 3" xfId="22672"/>
    <cellStyle name="40% - Ênfase3 2 3 4 3 2 3" xfId="22673"/>
    <cellStyle name="20% - Ênfase4 2 3 4 3 2 3" xfId="22674"/>
    <cellStyle name="40% - Ênfase4 2 3 4 3 2 3" xfId="22675"/>
    <cellStyle name="20% - Ênfase5 2 3 4 3 2 3" xfId="22676"/>
    <cellStyle name="40% - Ênfase5 2 3 4 3 2 3" xfId="22677"/>
    <cellStyle name="20% - Ênfase6 2 3 4 3 2 3" xfId="22678"/>
    <cellStyle name="40% - Ênfase6 2 3 4 3 2 3" xfId="22679"/>
    <cellStyle name="Normal 7 3 4 3 2 3" xfId="22680"/>
    <cellStyle name="Nota 4 2 4 3 2 3" xfId="22681"/>
    <cellStyle name="20% - Ênfase1 3 2 4 3 2 3" xfId="22682"/>
    <cellStyle name="40% - Ênfase1 3 2 4 3 2 3" xfId="22683"/>
    <cellStyle name="20% - Ênfase2 3 2 4 3 2 3" xfId="22684"/>
    <cellStyle name="40% - Ênfase2 3 2 4 3 2 3" xfId="22685"/>
    <cellStyle name="20% - Ênfase3 3 2 4 3 2 3" xfId="22686"/>
    <cellStyle name="40% - Ênfase3 3 2 4 3 2 3" xfId="22687"/>
    <cellStyle name="20% - Ênfase4 3 2 4 3 2 3" xfId="22688"/>
    <cellStyle name="40% - Ênfase4 3 2 4 3 2 3" xfId="22689"/>
    <cellStyle name="20% - Ênfase5 3 2 4 3 2 3" xfId="22690"/>
    <cellStyle name="40% - Ênfase5 3 2 4 3 2 3" xfId="22691"/>
    <cellStyle name="20% - Ênfase6 3 2 4 3 2 3" xfId="22692"/>
    <cellStyle name="40% - Ênfase6 3 2 4 3 2 3" xfId="22693"/>
    <cellStyle name="Normal 8 2 4 3 2 3" xfId="22694"/>
    <cellStyle name="Nota 5 2 4 3 2 3" xfId="22695"/>
    <cellStyle name="20% - Ênfase1 4 2 4 3 2 3" xfId="22696"/>
    <cellStyle name="40% - Ênfase1 4 2 4 3 2 3" xfId="22697"/>
    <cellStyle name="20% - Ênfase2 4 2 4 3 2 3" xfId="22698"/>
    <cellStyle name="40% - Ênfase2 4 2 4 3 2 3" xfId="22699"/>
    <cellStyle name="20% - Ênfase3 4 2 4 3 2 3" xfId="22700"/>
    <cellStyle name="40% - Ênfase3 4 2 4 3 2 3" xfId="22701"/>
    <cellStyle name="20% - Ênfase4 4 2 4 3 2 3" xfId="22702"/>
    <cellStyle name="40% - Ênfase4 4 2 4 3 2 3" xfId="22703"/>
    <cellStyle name="20% - Ênfase5 4 2 4 3 2 3" xfId="22704"/>
    <cellStyle name="40% - Ênfase5 4 2 4 3 2 3" xfId="22705"/>
    <cellStyle name="20% - Ênfase6 4 2 4 3 2 3" xfId="22706"/>
    <cellStyle name="40% - Ênfase6 4 2 4 3 2 3" xfId="22707"/>
    <cellStyle name="20% - Ênfase1 8 3 3 2 3" xfId="22708"/>
    <cellStyle name="40% - Ênfase1 8 3 3 2 3" xfId="22709"/>
    <cellStyle name="20% - Ênfase2 8 3 3 2 3" xfId="22710"/>
    <cellStyle name="40% - Ênfase2 8 3 3 2 3" xfId="22711"/>
    <cellStyle name="20% - Ênfase3 8 3 3 2 3" xfId="22712"/>
    <cellStyle name="40% - Ênfase3 8 3 3 2 3" xfId="22713"/>
    <cellStyle name="20% - Ênfase4 8 3 3 2 3" xfId="22714"/>
    <cellStyle name="40% - Ênfase4 8 3 3 2 3" xfId="22715"/>
    <cellStyle name="20% - Ênfase5 8 3 3 2 3" xfId="22716"/>
    <cellStyle name="40% - Ênfase5 8 3 3 2 3" xfId="22717"/>
    <cellStyle name="20% - Ênfase6 8 3 3 2 3" xfId="22718"/>
    <cellStyle name="40% - Ênfase6 8 3 3 2 3" xfId="22719"/>
    <cellStyle name="Normal 4 5 3 3 2 3" xfId="22720"/>
    <cellStyle name="Nota 2 5 3 3 2 3" xfId="22721"/>
    <cellStyle name="Normal 5 5 3 3 2 3" xfId="22722"/>
    <cellStyle name="Nota 3 5 3 3 2 3" xfId="22723"/>
    <cellStyle name="20% - Ênfase1 2 5 3 3 2 3" xfId="22724"/>
    <cellStyle name="40% - Ênfase1 2 5 3 3 2 3" xfId="22725"/>
    <cellStyle name="20% - Ênfase2 2 5 3 3 2 3" xfId="22726"/>
    <cellStyle name="40% - Ênfase2 2 5 3 3 2 3" xfId="22727"/>
    <cellStyle name="20% - Ênfase3 2 5 3 3 2 3" xfId="22728"/>
    <cellStyle name="40% - Ênfase3 2 5 3 3 2 3" xfId="22729"/>
    <cellStyle name="20% - Ênfase4 2 5 3 3 2 3" xfId="22730"/>
    <cellStyle name="40% - Ênfase4 2 5 3 3 2 3" xfId="22731"/>
    <cellStyle name="20% - Ênfase5 2 5 3 3 2 3" xfId="22732"/>
    <cellStyle name="40% - Ênfase5 2 5 3 3 2 3" xfId="22733"/>
    <cellStyle name="20% - Ênfase6 2 5 3 3 2 3" xfId="22734"/>
    <cellStyle name="40% - Ênfase6 2 5 3 3 2 3" xfId="22735"/>
    <cellStyle name="Normal 7 5 3 3 2 3" xfId="22736"/>
    <cellStyle name="Nota 4 4 3 3 2 3" xfId="22737"/>
    <cellStyle name="20% - Ênfase1 3 4 3 3 2 3" xfId="22738"/>
    <cellStyle name="40% - Ênfase1 3 4 3 3 2 3" xfId="22739"/>
    <cellStyle name="20% - Ênfase2 3 4 3 3 2 3" xfId="22740"/>
    <cellStyle name="40% - Ênfase2 3 4 3 3 2 3" xfId="22741"/>
    <cellStyle name="20% - Ênfase3 3 4 3 3 2 3" xfId="22742"/>
    <cellStyle name="40% - Ênfase3 3 4 3 3 2 3" xfId="22743"/>
    <cellStyle name="20% - Ênfase4 3 4 3 3 2 3" xfId="22744"/>
    <cellStyle name="40% - Ênfase4 3 4 3 3 2 3" xfId="22745"/>
    <cellStyle name="20% - Ênfase5 3 4 3 3 2 3" xfId="22746"/>
    <cellStyle name="40% - Ênfase5 3 4 3 3 2 3" xfId="22747"/>
    <cellStyle name="20% - Ênfase6 3 4 3 3 2 3" xfId="22748"/>
    <cellStyle name="40% - Ênfase6 3 4 3 3 2 3" xfId="22749"/>
    <cellStyle name="Normal 8 4 3 3 2 3" xfId="22750"/>
    <cellStyle name="Nota 5 4 3 3 2 3" xfId="22751"/>
    <cellStyle name="20% - Ênfase1 4 4 3 3 2 3" xfId="22752"/>
    <cellStyle name="40% - Ênfase1 4 4 3 3 2 3" xfId="22753"/>
    <cellStyle name="20% - Ênfase2 4 4 3 3 2 3" xfId="22754"/>
    <cellStyle name="40% - Ênfase2 4 4 3 3 2 3" xfId="22755"/>
    <cellStyle name="20% - Ênfase3 4 4 3 3 2 3" xfId="22756"/>
    <cellStyle name="40% - Ênfase3 4 4 3 3 2 3" xfId="22757"/>
    <cellStyle name="20% - Ênfase4 4 4 3 3 2 3" xfId="22758"/>
    <cellStyle name="40% - Ênfase4 4 4 3 3 2 3" xfId="22759"/>
    <cellStyle name="20% - Ênfase5 4 4 3 3 2 3" xfId="22760"/>
    <cellStyle name="40% - Ênfase5 4 4 3 3 2 3" xfId="22761"/>
    <cellStyle name="20% - Ênfase6 4 4 3 3 2 3" xfId="22762"/>
    <cellStyle name="40% - Ênfase6 4 4 3 3 2 3" xfId="22763"/>
    <cellStyle name="Normal 3 3 3 3 2 3" xfId="22764"/>
    <cellStyle name="20% - Ênfase1 5 2 3 3 2 3" xfId="22765"/>
    <cellStyle name="40% - Ênfase1 5 2 3 3 2 3" xfId="22766"/>
    <cellStyle name="20% - Ênfase2 5 2 3 3 2 3" xfId="22767"/>
    <cellStyle name="40% - Ênfase2 5 2 3 3 2 3" xfId="22768"/>
    <cellStyle name="20% - Ênfase3 5 2 3 3 2 3" xfId="22769"/>
    <cellStyle name="40% - Ênfase3 5 2 3 3 2 3" xfId="22770"/>
    <cellStyle name="20% - Ênfase4 5 2 3 3 2 3" xfId="22771"/>
    <cellStyle name="40% - Ênfase4 5 2 3 3 2 3" xfId="22772"/>
    <cellStyle name="20% - Ênfase5 5 2 3 3 2 3" xfId="22773"/>
    <cellStyle name="40% - Ênfase5 5 2 3 3 2 3" xfId="22774"/>
    <cellStyle name="20% - Ênfase6 5 2 3 3 2 3" xfId="22775"/>
    <cellStyle name="40% - Ênfase6 5 2 3 3 2 3" xfId="22776"/>
    <cellStyle name="Normal 4 2 2 3 3 2 3" xfId="22777"/>
    <cellStyle name="Nota 2 2 2 3 3 2 3" xfId="22778"/>
    <cellStyle name="Normal 5 2 2 3 3 2 3" xfId="22779"/>
    <cellStyle name="Nota 3 2 2 3 3 2 3" xfId="22780"/>
    <cellStyle name="20% - Ênfase1 2 2 2 3 3 2 3" xfId="22781"/>
    <cellStyle name="40% - Ênfase1 2 2 2 3 3 2 3" xfId="22782"/>
    <cellStyle name="20% - Ênfase2 2 2 2 3 3 2 3" xfId="22783"/>
    <cellStyle name="40% - Ênfase2 2 2 2 3 3 2 3" xfId="22784"/>
    <cellStyle name="20% - Ênfase3 2 2 2 3 3 2 3" xfId="22785"/>
    <cellStyle name="40% - Ênfase3 2 2 2 3 3 2 3" xfId="22786"/>
    <cellStyle name="20% - Ênfase4 2 2 2 3 3 2 3" xfId="22787"/>
    <cellStyle name="40% - Ênfase4 2 2 2 3 3 2 3" xfId="22788"/>
    <cellStyle name="20% - Ênfase5 2 2 2 3 3 2 3" xfId="22789"/>
    <cellStyle name="40% - Ênfase5 2 2 2 3 3 2 3" xfId="22790"/>
    <cellStyle name="20% - Ênfase6 2 2 2 3 3 2 3" xfId="22791"/>
    <cellStyle name="40% - Ênfase6 2 2 2 3 3 2 3" xfId="22792"/>
    <cellStyle name="Normal 7 2 2 3 3 2 3" xfId="22793"/>
    <cellStyle name="Nota 4 3 3 3 2 3" xfId="22794"/>
    <cellStyle name="20% - Ênfase1 3 3 3 3 2 3" xfId="22795"/>
    <cellStyle name="40% - Ênfase1 3 3 3 3 2 3" xfId="22796"/>
    <cellStyle name="20% - Ênfase2 3 3 3 3 2 3" xfId="22797"/>
    <cellStyle name="40% - Ênfase2 3 3 3 3 2 3" xfId="22798"/>
    <cellStyle name="20% - Ênfase3 3 3 3 3 2 3" xfId="22799"/>
    <cellStyle name="40% - Ênfase3 3 3 3 3 2 3" xfId="22800"/>
    <cellStyle name="20% - Ênfase4 3 3 3 3 2 3" xfId="22801"/>
    <cellStyle name="40% - Ênfase4 3 3 3 3 2 3" xfId="22802"/>
    <cellStyle name="20% - Ênfase5 3 3 3 3 2 3" xfId="22803"/>
    <cellStyle name="40% - Ênfase5 3 3 3 3 2 3" xfId="22804"/>
    <cellStyle name="20% - Ênfase6 3 3 3 3 2 3" xfId="22805"/>
    <cellStyle name="40% - Ênfase6 3 3 3 3 2 3" xfId="22806"/>
    <cellStyle name="Normal 8 3 3 3 2 3" xfId="22807"/>
    <cellStyle name="Nota 5 3 3 3 2 3" xfId="22808"/>
    <cellStyle name="20% - Ênfase1 4 3 3 3 2 3" xfId="22809"/>
    <cellStyle name="40% - Ênfase1 4 3 3 3 2 3" xfId="22810"/>
    <cellStyle name="20% - Ênfase2 4 3 3 3 2 3" xfId="22811"/>
    <cellStyle name="40% - Ênfase2 4 3 3 3 2 3" xfId="22812"/>
    <cellStyle name="20% - Ênfase3 4 3 3 3 2 3" xfId="22813"/>
    <cellStyle name="40% - Ênfase3 4 3 3 3 2 3" xfId="22814"/>
    <cellStyle name="20% - Ênfase4 4 3 3 3 2 3" xfId="22815"/>
    <cellStyle name="40% - Ênfase4 4 3 3 3 2 3" xfId="22816"/>
    <cellStyle name="20% - Ênfase5 4 3 3 3 2 3" xfId="22817"/>
    <cellStyle name="40% - Ênfase5 4 3 3 3 2 3" xfId="22818"/>
    <cellStyle name="20% - Ênfase6 4 3 3 3 2 3" xfId="22819"/>
    <cellStyle name="40% - Ênfase6 4 3 3 3 2 3" xfId="22820"/>
    <cellStyle name="20% - Ênfase1 6 2 3 3 2 3" xfId="22821"/>
    <cellStyle name="40% - Ênfase1 6 2 3 3 2 3" xfId="22822"/>
    <cellStyle name="20% - Ênfase2 6 2 3 3 2 3" xfId="22823"/>
    <cellStyle name="40% - Ênfase2 6 2 3 3 2 3" xfId="22824"/>
    <cellStyle name="20% - Ênfase3 6 2 3 3 2 3" xfId="22825"/>
    <cellStyle name="40% - Ênfase3 6 2 3 3 2 3" xfId="22826"/>
    <cellStyle name="20% - Ênfase4 6 2 3 3 2 3" xfId="22827"/>
    <cellStyle name="40% - Ênfase4 6 2 3 3 2 3" xfId="22828"/>
    <cellStyle name="20% - Ênfase5 6 2 3 3 2 3" xfId="22829"/>
    <cellStyle name="40% - Ênfase5 6 2 3 3 2 3" xfId="22830"/>
    <cellStyle name="20% - Ênfase6 6 2 3 3 2 3" xfId="22831"/>
    <cellStyle name="40% - Ênfase6 6 2 3 3 2 3" xfId="22832"/>
    <cellStyle name="Normal 4 3 2 3 3 2 3" xfId="22833"/>
    <cellStyle name="Nota 2 3 2 3 3 2 3" xfId="22834"/>
    <cellStyle name="Normal 5 3 2 3 3 2 3" xfId="22835"/>
    <cellStyle name="Nota 3 3 2 3 3 2 3" xfId="22836"/>
    <cellStyle name="20% - Ênfase1 2 3 2 3 3 2 3" xfId="22837"/>
    <cellStyle name="40% - Ênfase1 2 3 2 3 3 2 3" xfId="22838"/>
    <cellStyle name="20% - Ênfase2 2 3 2 3 3 2 3" xfId="22839"/>
    <cellStyle name="40% - Ênfase2 2 3 2 3 3 2 3" xfId="22840"/>
    <cellStyle name="20% - Ênfase3 2 3 2 3 3 2 3" xfId="22841"/>
    <cellStyle name="40% - Ênfase3 2 3 2 3 3 2 3" xfId="22842"/>
    <cellStyle name="20% - Ênfase4 2 3 2 3 3 2 3" xfId="22843"/>
    <cellStyle name="40% - Ênfase4 2 3 2 3 3 2 3" xfId="22844"/>
    <cellStyle name="20% - Ênfase5 2 3 2 3 3 2 3" xfId="22845"/>
    <cellStyle name="40% - Ênfase5 2 3 2 3 3 2 3" xfId="22846"/>
    <cellStyle name="20% - Ênfase6 2 3 2 3 3 2 3" xfId="22847"/>
    <cellStyle name="40% - Ênfase6 2 3 2 3 3 2 3" xfId="22848"/>
    <cellStyle name="Normal 7 3 2 3 3 2 3" xfId="22849"/>
    <cellStyle name="Nota 4 2 2 3 3 2 3" xfId="22850"/>
    <cellStyle name="20% - Ênfase1 3 2 2 3 3 2 3" xfId="22851"/>
    <cellStyle name="40% - Ênfase1 3 2 2 3 3 2 3" xfId="22852"/>
    <cellStyle name="20% - Ênfase2 3 2 2 3 3 2 3" xfId="22853"/>
    <cellStyle name="40% - Ênfase2 3 2 2 3 3 2 3" xfId="22854"/>
    <cellStyle name="20% - Ênfase3 3 2 2 3 3 2 3" xfId="22855"/>
    <cellStyle name="40% - Ênfase3 3 2 2 3 3 2 3" xfId="22856"/>
    <cellStyle name="20% - Ênfase4 3 2 2 3 3 2 3" xfId="22857"/>
    <cellStyle name="40% - Ênfase4 3 2 2 3 3 2 3" xfId="22858"/>
    <cellStyle name="20% - Ênfase5 3 2 2 3 3 2 3" xfId="22859"/>
    <cellStyle name="40% - Ênfase5 3 2 2 3 3 2 3" xfId="22860"/>
    <cellStyle name="20% - Ênfase6 3 2 2 3 3 2 3" xfId="22861"/>
    <cellStyle name="40% - Ênfase6 3 2 2 3 3 2 3" xfId="22862"/>
    <cellStyle name="Normal 8 2 2 3 3 2 3" xfId="22863"/>
    <cellStyle name="Nota 5 2 2 3 3 2 3" xfId="22864"/>
    <cellStyle name="20% - Ênfase1 4 2 2 3 3 2 3" xfId="22865"/>
    <cellStyle name="40% - Ênfase1 4 2 2 3 3 2 3" xfId="22866"/>
    <cellStyle name="20% - Ênfase2 4 2 2 3 3 2 3" xfId="22867"/>
    <cellStyle name="40% - Ênfase2 4 2 2 3 3 2 3" xfId="22868"/>
    <cellStyle name="20% - Ênfase3 4 2 2 3 3 2 3" xfId="22869"/>
    <cellStyle name="40% - Ênfase3 4 2 2 3 3 2 3" xfId="22870"/>
    <cellStyle name="20% - Ênfase4 4 2 2 3 3 2 3" xfId="22871"/>
    <cellStyle name="40% - Ênfase4 4 2 2 3 3 2 3" xfId="22872"/>
    <cellStyle name="20% - Ênfase5 4 2 2 3 3 2 3" xfId="22873"/>
    <cellStyle name="40% - Ênfase5 4 2 2 3 3 2 3" xfId="22874"/>
    <cellStyle name="20% - Ênfase6 4 2 2 3 3 2 3" xfId="22875"/>
    <cellStyle name="40% - Ênfase6 4 2 2 3 3 2 3" xfId="22876"/>
    <cellStyle name="Normal 3 6 3 2 3" xfId="22877"/>
    <cellStyle name="20% - Ênfase1 5 5 3 2 3" xfId="22878"/>
    <cellStyle name="40% - Ênfase1 5 5 3 2 3" xfId="22879"/>
    <cellStyle name="20% - Ênfase2 5 5 3 2 3" xfId="22880"/>
    <cellStyle name="40% - Ênfase2 5 5 3 2 3" xfId="22881"/>
    <cellStyle name="20% - Ênfase3 5 5 3 2 3" xfId="22882"/>
    <cellStyle name="40% - Ênfase3 5 5 3 2 3" xfId="22883"/>
    <cellStyle name="20% - Ênfase4 5 5 3 2 3" xfId="22884"/>
    <cellStyle name="40% - Ênfase4 5 5 3 2 3" xfId="22885"/>
    <cellStyle name="20% - Ênfase5 5 5 3 2 3" xfId="22886"/>
    <cellStyle name="40% - Ênfase5 5 5 3 2 3" xfId="22887"/>
    <cellStyle name="20% - Ênfase6 5 5 3 2 3" xfId="22888"/>
    <cellStyle name="40% - Ênfase6 5 5 3 2 3" xfId="22889"/>
    <cellStyle name="Normal 4 2 5 3 2 3" xfId="22890"/>
    <cellStyle name="Nota 2 2 5 3 2 3" xfId="22891"/>
    <cellStyle name="Normal 5 2 5 3 2 3" xfId="22892"/>
    <cellStyle name="Nota 3 2 5 3 2 3" xfId="22893"/>
    <cellStyle name="20% - Ênfase1 2 2 5 3 2 3" xfId="22894"/>
    <cellStyle name="40% - Ênfase1 2 2 5 3 2 3" xfId="22895"/>
    <cellStyle name="20% - Ênfase2 2 2 5 3 2 3" xfId="22896"/>
    <cellStyle name="40% - Ênfase2 2 2 5 3 2 3" xfId="22897"/>
    <cellStyle name="20% - Ênfase3 2 2 5 3 2 3" xfId="22898"/>
    <cellStyle name="40% - Ênfase3 2 2 5 3 2 3" xfId="22899"/>
    <cellStyle name="20% - Ênfase4 2 2 5 3 2 3" xfId="22900"/>
    <cellStyle name="40% - Ênfase4 2 2 5 3 2 3" xfId="22901"/>
    <cellStyle name="20% - Ênfase5 2 2 5 3 2 3" xfId="22902"/>
    <cellStyle name="40% - Ênfase5 2 2 5 3 2 3" xfId="22903"/>
    <cellStyle name="20% - Ênfase6 2 2 5 3 2 3" xfId="22904"/>
    <cellStyle name="40% - Ênfase6 2 2 5 3 2 3" xfId="22905"/>
    <cellStyle name="Normal 7 2 5 3 2 3" xfId="22906"/>
    <cellStyle name="Nota 4 7 3 2 3" xfId="22907"/>
    <cellStyle name="20% - Ênfase1 3 7 3 2 3" xfId="22908"/>
    <cellStyle name="40% - Ênfase1 3 7 3 2 3" xfId="22909"/>
    <cellStyle name="20% - Ênfase2 3 7 3 2 3" xfId="22910"/>
    <cellStyle name="40% - Ênfase2 3 7 3 2 3" xfId="22911"/>
    <cellStyle name="20% - Ênfase3 3 7 3 2 3" xfId="22912"/>
    <cellStyle name="40% - Ênfase3 3 7 3 2 3" xfId="22913"/>
    <cellStyle name="20% - Ênfase4 3 7 3 2 3" xfId="22914"/>
    <cellStyle name="40% - Ênfase4 3 7 3 2 3" xfId="22915"/>
    <cellStyle name="20% - Ênfase5 3 7 3 2 3" xfId="22916"/>
    <cellStyle name="40% - Ênfase5 3 7 3 2 3" xfId="22917"/>
    <cellStyle name="20% - Ênfase6 3 7 3 2 3" xfId="22918"/>
    <cellStyle name="40% - Ênfase6 3 7 3 2 3" xfId="22919"/>
    <cellStyle name="Normal 8 7 3 2 3" xfId="22920"/>
    <cellStyle name="Nota 5 7 3 2 3" xfId="22921"/>
    <cellStyle name="20% - Ênfase1 4 7 3 2 3" xfId="22922"/>
    <cellStyle name="40% - Ênfase1 4 7 3 2 3" xfId="22923"/>
    <cellStyle name="20% - Ênfase2 4 7 3 2 3" xfId="22924"/>
    <cellStyle name="40% - Ênfase2 4 7 3 2 3" xfId="22925"/>
    <cellStyle name="20% - Ênfase3 4 7 3 2 3" xfId="22926"/>
    <cellStyle name="40% - Ênfase3 4 7 3 2 3" xfId="22927"/>
    <cellStyle name="20% - Ênfase4 4 7 3 2 3" xfId="22928"/>
    <cellStyle name="40% - Ênfase4 4 7 3 2 3" xfId="22929"/>
    <cellStyle name="20% - Ênfase5 4 7 3 2 3" xfId="22930"/>
    <cellStyle name="40% - Ênfase5 4 7 3 2 3" xfId="22931"/>
    <cellStyle name="20% - Ênfase6 4 7 3 2 3" xfId="22932"/>
    <cellStyle name="40% - Ênfase6 4 7 3 2 3" xfId="22933"/>
    <cellStyle name="Vírgula 7 3 3" xfId="22934"/>
    <cellStyle name="Normal 6 4 3 2 3" xfId="22935"/>
    <cellStyle name="Separador de milhares 2 6 3 3" xfId="22936"/>
    <cellStyle name="Separador de milhares 2 2 3 3 3" xfId="22937"/>
    <cellStyle name="Separador de milhares 2 3 2 3 3" xfId="22938"/>
    <cellStyle name="Separador de milhares 2 4 3 3" xfId="22939"/>
    <cellStyle name="Separador de milhares 2 5 3 3" xfId="22940"/>
    <cellStyle name="Separador de milhares 3 4 3 2 3" xfId="22941"/>
    <cellStyle name="Separador de milhares 3 2 3 3 3" xfId="22942"/>
    <cellStyle name="Separador de milhares 4 3 3 2 3" xfId="22943"/>
    <cellStyle name="Separador de milhares 4 2 2 3 3" xfId="22944"/>
    <cellStyle name="Separador de milhares 5 4 3 3" xfId="22945"/>
    <cellStyle name="Separador de milhares 6 4 3 3" xfId="22946"/>
    <cellStyle name="Separador de milhares 7 3 4 3" xfId="22947"/>
    <cellStyle name="Vírgula 8 3 3" xfId="22948"/>
    <cellStyle name="Vírgula 2 5 3 3" xfId="22949"/>
    <cellStyle name="Vírgula 4 3 3 3" xfId="22950"/>
    <cellStyle name="Vírgula 4 2 2 3 2 3" xfId="22951"/>
    <cellStyle name="Vírgula 3 3 3 3" xfId="22952"/>
    <cellStyle name="Vírgula 9 3 2 3" xfId="22953"/>
    <cellStyle name="Separador de milhares 2 7 3 3 3" xfId="22954"/>
    <cellStyle name="Separador de milhares 3 5 3 3" xfId="22955"/>
    <cellStyle name="Vírgula 10 3 3 3" xfId="22956"/>
    <cellStyle name="20% - Ênfase1 9 3 3" xfId="22957"/>
    <cellStyle name="40% - Ênfase1 9 4" xfId="22958"/>
    <cellStyle name="20% - Ênfase2 9 3 3" xfId="22959"/>
    <cellStyle name="40% - Ênfase2 9 3 3" xfId="22960"/>
    <cellStyle name="20% - Ênfase3 9 3 3" xfId="22961"/>
    <cellStyle name="40% - Ênfase3 9 3 3" xfId="22962"/>
    <cellStyle name="20% - Ênfase4 9 4" xfId="22963"/>
    <cellStyle name="40% - Ênfase4 9 4" xfId="22964"/>
    <cellStyle name="20% - Ênfase5 9 4" xfId="22965"/>
    <cellStyle name="40% - Ênfase5 9 4" xfId="22966"/>
    <cellStyle name="20% - Ênfase6 9 3 3" xfId="22967"/>
    <cellStyle name="40% - Ênfase6 9 4" xfId="22968"/>
    <cellStyle name="Normal 4 7 4" xfId="22969"/>
    <cellStyle name="Nota 2 6 3 3" xfId="22970"/>
    <cellStyle name="Normal 5 6 3 3" xfId="22971"/>
    <cellStyle name="Nota 3 6 3 3" xfId="22972"/>
    <cellStyle name="20% - Ênfase1 2 6 4" xfId="22973"/>
    <cellStyle name="40% - Ênfase1 2 6 4" xfId="22974"/>
    <cellStyle name="20% - Ênfase2 2 6 4" xfId="22975"/>
    <cellStyle name="40% - Ênfase2 2 6 4" xfId="22976"/>
    <cellStyle name="20% - Ênfase3 2 6 4" xfId="22977"/>
    <cellStyle name="40% - Ênfase3 2 6 4" xfId="22978"/>
    <cellStyle name="20% - Ênfase4 2 6 4" xfId="22979"/>
    <cellStyle name="40% - Ênfase4 2 6 4" xfId="22980"/>
    <cellStyle name="20% - Ênfase5 2 6 4" xfId="22981"/>
    <cellStyle name="40% - Ênfase5 2 6 4" xfId="22982"/>
    <cellStyle name="20% - Ênfase6 2 6 4" xfId="22983"/>
    <cellStyle name="40% - Ênfase6 2 6 4" xfId="22984"/>
    <cellStyle name="Vírgula 2 6 3 3" xfId="22985"/>
    <cellStyle name="Normal 7 7 3 3" xfId="22986"/>
    <cellStyle name="Nota 4 8 3 3" xfId="22987"/>
    <cellStyle name="20% - Ênfase1 3 8 3 3" xfId="22988"/>
    <cellStyle name="40% - Ênfase1 3 8 3 3" xfId="22989"/>
    <cellStyle name="20% - Ênfase2 3 8 3 3" xfId="22990"/>
    <cellStyle name="40% - Ênfase2 3 8 3 3" xfId="22991"/>
    <cellStyle name="20% - Ênfase3 3 8 3 3" xfId="22992"/>
    <cellStyle name="40% - Ênfase3 3 8 3 3" xfId="22993"/>
    <cellStyle name="20% - Ênfase4 3 8 3 3" xfId="22994"/>
    <cellStyle name="40% - Ênfase4 3 8 3 3" xfId="22995"/>
    <cellStyle name="20% - Ênfase5 3 8 3 3" xfId="22996"/>
    <cellStyle name="40% - Ênfase5 3 8 3 3" xfId="22997"/>
    <cellStyle name="20% - Ênfase6 3 8 3 3" xfId="22998"/>
    <cellStyle name="40% - Ênfase6 3 8 3 3" xfId="22999"/>
    <cellStyle name="Normal 8 9 3 3" xfId="23000"/>
    <cellStyle name="Nota 5 8 3 3" xfId="23001"/>
    <cellStyle name="20% - Ênfase1 4 8 3 3" xfId="23002"/>
    <cellStyle name="40% - Ênfase1 4 8 3 3" xfId="23003"/>
    <cellStyle name="20% - Ênfase2 4 8 3 3" xfId="23004"/>
    <cellStyle name="40% - Ênfase2 4 8 3 3" xfId="23005"/>
    <cellStyle name="20% - Ênfase3 4 8 3 3" xfId="23006"/>
    <cellStyle name="40% - Ênfase3 4 8 3 3" xfId="23007"/>
    <cellStyle name="20% - Ênfase4 4 8 3 3" xfId="23008"/>
    <cellStyle name="40% - Ênfase4 4 8 3 3" xfId="23009"/>
    <cellStyle name="20% - Ênfase5 4 8 3 3" xfId="23010"/>
    <cellStyle name="40% - Ênfase5 4 8 3 3" xfId="23011"/>
    <cellStyle name="20% - Ênfase6 4 8 3 3" xfId="23012"/>
    <cellStyle name="40% - Ênfase6 4 8 3 3" xfId="23013"/>
    <cellStyle name="Normal 3 3 4 3 3" xfId="23014"/>
    <cellStyle name="Separador de milhares 4 4 3 3" xfId="23015"/>
    <cellStyle name="Separador de milhares 5 5 3 3" xfId="23016"/>
    <cellStyle name="Separador de milhares 6 5 3 3" xfId="23017"/>
    <cellStyle name="Vírgula 5 3 3 3" xfId="23018"/>
    <cellStyle name="Vírgula 2 3 3 3 3" xfId="23019"/>
    <cellStyle name="Separador de milhares 2 2 4 3 3" xfId="23020"/>
    <cellStyle name="Separador de milhares 3 2 4 3 3" xfId="23021"/>
    <cellStyle name="Vírgula 3 4 3 3" xfId="23022"/>
    <cellStyle name="Vírgula 4 4 3 3" xfId="23023"/>
    <cellStyle name="Vírgula 2 2 3 3 3" xfId="23024"/>
    <cellStyle name="20% - Ênfase1 5 6 3 3" xfId="23025"/>
    <cellStyle name="40% - Ênfase1 5 6 3 3" xfId="23026"/>
    <cellStyle name="20% - Ênfase2 5 6 3 3" xfId="23027"/>
    <cellStyle name="40% - Ênfase2 5 6 3 3" xfId="23028"/>
    <cellStyle name="20% - Ênfase3 5 6 3 3" xfId="23029"/>
    <cellStyle name="40% - Ênfase3 5 6 3 3" xfId="23030"/>
    <cellStyle name="20% - Ênfase4 5 6 3 3" xfId="23031"/>
    <cellStyle name="40% - Ênfase4 5 6 3 3" xfId="23032"/>
    <cellStyle name="20% - Ênfase5 5 6 3 3" xfId="23033"/>
    <cellStyle name="40% - Ênfase5 5 6 3 3" xfId="23034"/>
    <cellStyle name="20% - Ênfase6 5 6 3 3" xfId="23035"/>
    <cellStyle name="40% - Ênfase6 5 6 3 3" xfId="23036"/>
    <cellStyle name="Normal 4 2 6 3 3" xfId="23037"/>
    <cellStyle name="Nota 2 2 6 3 3" xfId="23038"/>
    <cellStyle name="Normal 5 2 7 3 3" xfId="23039"/>
    <cellStyle name="Nota 3 2 6 3 3" xfId="23040"/>
    <cellStyle name="20% - Ênfase1 2 2 6 3 3" xfId="23041"/>
    <cellStyle name="40% - Ênfase1 2 2 6 3 3" xfId="23042"/>
    <cellStyle name="20% - Ênfase2 2 2 6 3 3" xfId="23043"/>
    <cellStyle name="40% - Ênfase2 2 2 6 3 3" xfId="23044"/>
    <cellStyle name="20% - Ênfase3 2 2 6 3 3" xfId="23045"/>
    <cellStyle name="40% - Ênfase3 2 2 6 3 3" xfId="23046"/>
    <cellStyle name="20% - Ênfase4 2 2 6 3 3" xfId="23047"/>
    <cellStyle name="40% - Ênfase4 2 2 6 3 3" xfId="23048"/>
    <cellStyle name="20% - Ênfase5 2 2 6 3 3" xfId="23049"/>
    <cellStyle name="40% - Ênfase5 2 2 6 3 3" xfId="23050"/>
    <cellStyle name="20% - Ênfase6 2 2 6 3 3" xfId="23051"/>
    <cellStyle name="40% - Ênfase6 2 2 6 3 3" xfId="23052"/>
    <cellStyle name="Normal 7 2 6 3 3" xfId="23053"/>
    <cellStyle name="Nota 4 3 4 3 3" xfId="23054"/>
    <cellStyle name="20% - Ênfase1 3 3 4 3 3" xfId="23055"/>
    <cellStyle name="40% - Ênfase1 3 3 4 3 3" xfId="23056"/>
    <cellStyle name="20% - Ênfase2 3 3 4 3 3" xfId="23057"/>
    <cellStyle name="40% - Ênfase2 3 3 4 3 3" xfId="23058"/>
    <cellStyle name="20% - Ênfase3 3 3 4 3 3" xfId="23059"/>
    <cellStyle name="40% - Ênfase3 3 3 4 3 3" xfId="23060"/>
    <cellStyle name="20% - Ênfase4 3 3 4 3 3" xfId="23061"/>
    <cellStyle name="40% - Ênfase4 3 3 4 3 3" xfId="23062"/>
    <cellStyle name="20% - Ênfase5 3 3 4 3 3" xfId="23063"/>
    <cellStyle name="40% - Ênfase5 3 3 4 3 3" xfId="23064"/>
    <cellStyle name="20% - Ênfase6 3 3 4 3 3" xfId="23065"/>
    <cellStyle name="40% - Ênfase6 3 3 4 3 3" xfId="23066"/>
    <cellStyle name="Normal 8 3 4 3 3" xfId="23067"/>
    <cellStyle name="Nota 5 3 4 3 3" xfId="23068"/>
    <cellStyle name="20% - Ênfase1 4 3 4 3 3" xfId="23069"/>
    <cellStyle name="40% - Ênfase1 4 3 4 3 3" xfId="23070"/>
    <cellStyle name="20% - Ênfase2 4 3 4 3 3" xfId="23071"/>
    <cellStyle name="40% - Ênfase2 4 3 4 3 3" xfId="23072"/>
    <cellStyle name="20% - Ênfase3 4 3 4 3 3" xfId="23073"/>
    <cellStyle name="40% - Ênfase3 4 3 4 3 3" xfId="23074"/>
    <cellStyle name="20% - Ênfase4 4 3 4 3 3" xfId="23075"/>
    <cellStyle name="40% - Ênfase4 4 3 4 3 3" xfId="23076"/>
    <cellStyle name="20% - Ênfase5 4 3 4 3 3" xfId="23077"/>
    <cellStyle name="40% - Ênfase5 4 3 4 3 3" xfId="23078"/>
    <cellStyle name="20% - Ênfase6 4 3 4 3 3" xfId="23079"/>
    <cellStyle name="40% - Ênfase6 4 3 4 3 3" xfId="23080"/>
    <cellStyle name="20% - Ênfase1 6 5 3 3" xfId="23081"/>
    <cellStyle name="40% - Ênfase1 6 5 3 3" xfId="23082"/>
    <cellStyle name="20% - Ênfase2 6 5 3 3" xfId="23083"/>
    <cellStyle name="40% - Ênfase2 6 5 3 3" xfId="23084"/>
    <cellStyle name="20% - Ênfase3 6 5 3 3" xfId="23085"/>
    <cellStyle name="40% - Ênfase3 6 5 3 3" xfId="23086"/>
    <cellStyle name="20% - Ênfase4 6 5 3 3" xfId="23087"/>
    <cellStyle name="40% - Ênfase4 6 5 3 3" xfId="23088"/>
    <cellStyle name="20% - Ênfase5 6 5 3 3" xfId="23089"/>
    <cellStyle name="40% - Ênfase5 6 5 3 3" xfId="23090"/>
    <cellStyle name="20% - Ênfase6 6 5 3 3" xfId="23091"/>
    <cellStyle name="40% - Ênfase6 6 5 3 3" xfId="23092"/>
    <cellStyle name="Normal 4 3 5 3 3" xfId="23093"/>
    <cellStyle name="Nota 2 3 5 3 3" xfId="23094"/>
    <cellStyle name="Normal 5 3 5 3 3" xfId="23095"/>
    <cellStyle name="Nota 3 3 5 3 3" xfId="23096"/>
    <cellStyle name="20% - Ênfase1 2 3 5 3 3" xfId="23097"/>
    <cellStyle name="40% - Ênfase1 2 3 5 3 3" xfId="23098"/>
    <cellStyle name="20% - Ênfase2 2 3 5 3 3" xfId="23099"/>
    <cellStyle name="40% - Ênfase2 2 3 5 3 3" xfId="23100"/>
    <cellStyle name="20% - Ênfase3 2 3 5 3 3" xfId="23101"/>
    <cellStyle name="40% - Ênfase3 2 3 5 3 3" xfId="23102"/>
    <cellStyle name="20% - Ênfase4 2 3 5 3 3" xfId="23103"/>
    <cellStyle name="40% - Ênfase4 2 3 5 3 3" xfId="23104"/>
    <cellStyle name="20% - Ênfase5 2 3 5 3 3" xfId="23105"/>
    <cellStyle name="40% - Ênfase5 2 3 5 3 3" xfId="23106"/>
    <cellStyle name="20% - Ênfase6 2 3 5 3 3" xfId="23107"/>
    <cellStyle name="40% - Ênfase6 2 3 5 3 3" xfId="23108"/>
    <cellStyle name="Normal 7 3 5 3 3" xfId="23109"/>
    <cellStyle name="Nota 4 2 5 3 3" xfId="23110"/>
    <cellStyle name="20% - Ênfase1 3 2 5 3 3" xfId="23111"/>
    <cellStyle name="40% - Ênfase1 3 2 5 3 3" xfId="23112"/>
    <cellStyle name="20% - Ênfase2 3 2 5 3 3" xfId="23113"/>
    <cellStyle name="40% - Ênfase2 3 2 5 3 3" xfId="23114"/>
    <cellStyle name="20% - Ênfase3 3 2 5 3 3" xfId="23115"/>
    <cellStyle name="40% - Ênfase3 3 2 5 3 3" xfId="23116"/>
    <cellStyle name="20% - Ênfase4 3 2 5 3 3" xfId="23117"/>
    <cellStyle name="40% - Ênfase4 3 2 5 3 3" xfId="23118"/>
    <cellStyle name="20% - Ênfase5 3 2 5 3 3" xfId="23119"/>
    <cellStyle name="40% - Ênfase5 3 2 5 3 3" xfId="23120"/>
    <cellStyle name="20% - Ênfase6 3 2 5 3 3" xfId="23121"/>
    <cellStyle name="40% - Ênfase6 3 2 5 3 3" xfId="23122"/>
    <cellStyle name="Normal 8 2 5 3 3" xfId="23123"/>
    <cellStyle name="Nota 5 2 5 3 3" xfId="23124"/>
    <cellStyle name="20% - Ênfase1 4 2 5 3 3" xfId="23125"/>
    <cellStyle name="40% - Ênfase1 4 2 5 3 3" xfId="23126"/>
    <cellStyle name="20% - Ênfase2 4 2 5 3 3" xfId="23127"/>
    <cellStyle name="40% - Ênfase2 4 2 5 3 3" xfId="23128"/>
    <cellStyle name="20% - Ênfase3 4 2 5 3 3" xfId="23129"/>
    <cellStyle name="40% - Ênfase3 4 2 5 3 3" xfId="23130"/>
    <cellStyle name="20% - Ênfase4 4 2 5 3 3" xfId="23131"/>
    <cellStyle name="40% - Ênfase4 4 2 5 3 3" xfId="23132"/>
    <cellStyle name="20% - Ênfase5 4 2 5 3 3" xfId="23133"/>
    <cellStyle name="40% - Ênfase5 4 2 5 3 3" xfId="23134"/>
    <cellStyle name="20% - Ênfase6 4 2 5 3 3" xfId="23135"/>
    <cellStyle name="40% - Ênfase6 4 2 5 3 3" xfId="23136"/>
    <cellStyle name="Vírgula 12 2 3 3" xfId="23137"/>
    <cellStyle name="Moeda 2 3" xfId="23138"/>
    <cellStyle name="Normal 3 7 2 3 3" xfId="23139"/>
    <cellStyle name="Separador de milhares 4 5 3 3" xfId="23140"/>
    <cellStyle name="Separador de milhares 5 6 2 3" xfId="23141"/>
    <cellStyle name="Separador de milhares 6 6 3 3" xfId="23142"/>
    <cellStyle name="Vírgula 2 7 3" xfId="23143"/>
    <cellStyle name="Separador de milhares 2 2 5 2 3" xfId="23144"/>
    <cellStyle name="Separador de milhares 3 2 5 3" xfId="23145"/>
    <cellStyle name="Vírgula 3 5 3" xfId="23146"/>
    <cellStyle name="Vírgula 4 5 3" xfId="23147"/>
    <cellStyle name="Vírgula 2 2 4 3" xfId="23148"/>
    <cellStyle name="20% - Ênfase1 5 7 2 3" xfId="23149"/>
    <cellStyle name="40% - Ênfase1 5 7 2 3" xfId="23150"/>
    <cellStyle name="20% - Ênfase2 5 7 2 3" xfId="23151"/>
    <cellStyle name="40% - Ênfase2 5 7 2 3" xfId="23152"/>
    <cellStyle name="20% - Ênfase3 5 7 2 3" xfId="23153"/>
    <cellStyle name="40% - Ênfase3 5 7 2 3" xfId="23154"/>
    <cellStyle name="20% - Ênfase4 5 7 2 3" xfId="23155"/>
    <cellStyle name="40% - Ênfase4 5 7 2 3" xfId="23156"/>
    <cellStyle name="20% - Ênfase5 5 7 2 3" xfId="23157"/>
    <cellStyle name="40% - Ênfase5 5 7 2 3" xfId="23158"/>
    <cellStyle name="20% - Ênfase6 5 7 2 3" xfId="23159"/>
    <cellStyle name="40% - Ênfase6 5 7 2 3" xfId="23160"/>
    <cellStyle name="Normal 4 2 7 2 3" xfId="23161"/>
    <cellStyle name="Nota 2 2 7 2 3" xfId="23162"/>
    <cellStyle name="Normal 5 2 8 2 3" xfId="23163"/>
    <cellStyle name="Nota 3 2 7 2 3" xfId="23164"/>
    <cellStyle name="20% - Ênfase1 2 2 7 2 3" xfId="23165"/>
    <cellStyle name="40% - Ênfase1 2 2 7 2 3" xfId="23166"/>
    <cellStyle name="20% - Ênfase2 2 2 7 2 3" xfId="23167"/>
    <cellStyle name="40% - Ênfase2 2 2 7 2 3" xfId="23168"/>
    <cellStyle name="20% - Ênfase3 2 2 7 2 3" xfId="23169"/>
    <cellStyle name="40% - Ênfase3 2 2 7 2 3" xfId="23170"/>
    <cellStyle name="20% - Ênfase4 2 2 7 2 3" xfId="23171"/>
    <cellStyle name="40% - Ênfase4 2 2 7 2 3" xfId="23172"/>
    <cellStyle name="20% - Ênfase5 2 2 7 2 3" xfId="23173"/>
    <cellStyle name="40% - Ênfase5 2 2 7 2 3" xfId="23174"/>
    <cellStyle name="20% - Ênfase6 2 2 7 2 3" xfId="23175"/>
    <cellStyle name="40% - Ênfase6 2 2 7 2 3" xfId="23176"/>
    <cellStyle name="Normal 7 2 7 3 3" xfId="23177"/>
    <cellStyle name="Nota 4 9 3 3" xfId="23178"/>
    <cellStyle name="20% - Ênfase1 3 9 2 3" xfId="23179"/>
    <cellStyle name="40% - Ênfase1 3 9 2 3" xfId="23180"/>
    <cellStyle name="20% - Ênfase2 3 9 2 3" xfId="23181"/>
    <cellStyle name="40% - Ênfase2 3 9 2 3" xfId="23182"/>
    <cellStyle name="20% - Ênfase3 3 9 2 3" xfId="23183"/>
    <cellStyle name="40% - Ênfase3 3 9 2 3" xfId="23184"/>
    <cellStyle name="20% - Ênfase4 3 9 2 3" xfId="23185"/>
    <cellStyle name="40% - Ênfase4 3 9 2 3" xfId="23186"/>
    <cellStyle name="20% - Ênfase5 3 9 2 3" xfId="23187"/>
    <cellStyle name="40% - Ênfase5 3 9 2 3" xfId="23188"/>
    <cellStyle name="20% - Ênfase6 3 9 2 3" xfId="23189"/>
    <cellStyle name="40% - Ênfase6 3 9 2 3" xfId="23190"/>
    <cellStyle name="Normal 8 10 2 3" xfId="23191"/>
    <cellStyle name="Nota 5 9 2 3" xfId="23192"/>
    <cellStyle name="20% - Ênfase1 4 9 2 3" xfId="23193"/>
    <cellStyle name="40% - Ênfase1 4 9 2 3" xfId="23194"/>
    <cellStyle name="20% - Ênfase2 4 9 2 3" xfId="23195"/>
    <cellStyle name="40% - Ênfase2 4 9 2 3" xfId="23196"/>
    <cellStyle name="20% - Ênfase3 4 9 2 3" xfId="23197"/>
    <cellStyle name="40% - Ênfase3 4 9 2 3" xfId="23198"/>
    <cellStyle name="20% - Ênfase4 4 9 2 3" xfId="23199"/>
    <cellStyle name="40% - Ênfase4 4 9 2 3" xfId="23200"/>
    <cellStyle name="20% - Ênfase5 4 9 2 3" xfId="23201"/>
    <cellStyle name="40% - Ênfase5 4 9 2 3" xfId="23202"/>
    <cellStyle name="20% - Ênfase6 4 9 2 3" xfId="23203"/>
    <cellStyle name="40% - Ênfase6 4 9 2 3" xfId="23204"/>
    <cellStyle name="20% - Ênfase1 6 6 2 3" xfId="23205"/>
    <cellStyle name="40% - Ênfase1 6 6 2 3" xfId="23206"/>
    <cellStyle name="20% - Ênfase2 6 6 2 3" xfId="23207"/>
    <cellStyle name="40% - Ênfase2 6 6 2 3" xfId="23208"/>
    <cellStyle name="20% - Ênfase3 6 6 2 3" xfId="23209"/>
    <cellStyle name="40% - Ênfase3 6 6 2 3" xfId="23210"/>
    <cellStyle name="20% - Ênfase4 6 6 2 3" xfId="23211"/>
    <cellStyle name="40% - Ênfase4 6 6 2 3" xfId="23212"/>
    <cellStyle name="20% - Ênfase5 6 6 2 3" xfId="23213"/>
    <cellStyle name="40% - Ênfase5 6 6 2 3" xfId="23214"/>
    <cellStyle name="20% - Ênfase6 6 6 2 3" xfId="23215"/>
    <cellStyle name="40% - Ênfase6 6 6 2 3" xfId="23216"/>
    <cellStyle name="Normal 4 3 6 2 3" xfId="23217"/>
    <cellStyle name="Nota 2 3 6 2 3" xfId="23218"/>
    <cellStyle name="Normal 5 3 6 2 3" xfId="23219"/>
    <cellStyle name="Nota 3 3 6 2 3" xfId="23220"/>
    <cellStyle name="20% - Ênfase1 2 3 6 2 3" xfId="23221"/>
    <cellStyle name="40% - Ênfase1 2 3 6 2 3" xfId="23222"/>
    <cellStyle name="20% - Ênfase2 2 3 6 2 3" xfId="23223"/>
    <cellStyle name="40% - Ênfase2 2 3 6 2 3" xfId="23224"/>
    <cellStyle name="20% - Ênfase3 2 3 6 2 3" xfId="23225"/>
    <cellStyle name="40% - Ênfase3 2 3 6 2 3" xfId="23226"/>
    <cellStyle name="20% - Ênfase4 2 3 6 2 3" xfId="23227"/>
    <cellStyle name="40% - Ênfase4 2 3 6 2 3" xfId="23228"/>
    <cellStyle name="20% - Ênfase5 2 3 6 2 3" xfId="23229"/>
    <cellStyle name="40% - Ênfase5 2 3 6 2 3" xfId="23230"/>
    <cellStyle name="20% - Ênfase6 2 3 6 2 3" xfId="23231"/>
    <cellStyle name="40% - Ênfase6 2 3 6 2 3" xfId="23232"/>
    <cellStyle name="Normal 7 3 6 3 3" xfId="23233"/>
    <cellStyle name="Nota 4 2 6 2 3" xfId="23234"/>
    <cellStyle name="20% - Ênfase1 3 2 6 2 3" xfId="23235"/>
    <cellStyle name="40% - Ênfase1 3 2 6 2 3" xfId="23236"/>
    <cellStyle name="20% - Ênfase2 3 2 6 2 3" xfId="23237"/>
    <cellStyle name="40% - Ênfase2 3 2 6 2 3" xfId="23238"/>
    <cellStyle name="20% - Ênfase3 3 2 6 2 3" xfId="23239"/>
    <cellStyle name="40% - Ênfase3 3 2 6 2 3" xfId="23240"/>
    <cellStyle name="20% - Ênfase4 3 2 6 2 3" xfId="23241"/>
    <cellStyle name="40% - Ênfase4 3 2 6 2 3" xfId="23242"/>
    <cellStyle name="20% - Ênfase5 3 2 6 2 3" xfId="23243"/>
    <cellStyle name="40% - Ênfase5 3 2 6 2 3" xfId="23244"/>
    <cellStyle name="20% - Ênfase6 3 2 6 2 3" xfId="23245"/>
    <cellStyle name="40% - Ênfase6 3 2 6 2 3" xfId="23246"/>
    <cellStyle name="Normal 8 2 6 3 3" xfId="23247"/>
    <cellStyle name="Nota 5 2 6 2 3" xfId="23248"/>
    <cellStyle name="20% - Ênfase1 4 2 6 2 3" xfId="23249"/>
    <cellStyle name="40% - Ênfase1 4 2 6 2 3" xfId="23250"/>
    <cellStyle name="20% - Ênfase2 4 2 6 2 3" xfId="23251"/>
    <cellStyle name="40% - Ênfase2 4 2 6 2 3" xfId="23252"/>
    <cellStyle name="20% - Ênfase3 4 2 6 2 3" xfId="23253"/>
    <cellStyle name="40% - Ênfase3 4 2 6 2 3" xfId="23254"/>
    <cellStyle name="20% - Ênfase4 4 2 6 2 3" xfId="23255"/>
    <cellStyle name="40% - Ênfase4 4 2 6 2 3" xfId="23256"/>
    <cellStyle name="20% - Ênfase5 4 2 6 2 3" xfId="23257"/>
    <cellStyle name="40% - Ênfase5 4 2 6 2 3" xfId="23258"/>
    <cellStyle name="20% - Ênfase6 4 2 6 2 3" xfId="23259"/>
    <cellStyle name="40% - Ênfase6 4 2 6 2 3" xfId="23260"/>
    <cellStyle name="20% - Ênfase1 8 4 3 3" xfId="23261"/>
    <cellStyle name="40% - Ênfase1 8 4 3 3" xfId="23262"/>
    <cellStyle name="20% - Ênfase2 8 4 3 3" xfId="23263"/>
    <cellStyle name="40% - Ênfase2 8 4 3 3" xfId="23264"/>
    <cellStyle name="20% - Ênfase3 8 4 3 3" xfId="23265"/>
    <cellStyle name="40% - Ênfase3 8 4 3 3" xfId="23266"/>
    <cellStyle name="20% - Ênfase4 8 4 3 3" xfId="23267"/>
    <cellStyle name="40% - Ênfase4 8 4 3 3" xfId="23268"/>
    <cellStyle name="20% - Ênfase5 8 4 3 3" xfId="23269"/>
    <cellStyle name="40% - Ênfase5 8 4 3 3" xfId="23270"/>
    <cellStyle name="20% - Ênfase6 8 4 3 3" xfId="23271"/>
    <cellStyle name="40% - Ênfase6 8 4 3 3" xfId="23272"/>
    <cellStyle name="Normal 4 5 4 3 3" xfId="23273"/>
    <cellStyle name="Nota 2 5 4 3 3" xfId="23274"/>
    <cellStyle name="Normal 5 5 4 3 3" xfId="23275"/>
    <cellStyle name="Nota 3 5 4 3 3" xfId="23276"/>
    <cellStyle name="20% - Ênfase1 2 5 4 3 3" xfId="23277"/>
    <cellStyle name="40% - Ênfase1 2 5 4 3 3" xfId="23278"/>
    <cellStyle name="20% - Ênfase2 2 5 4 3 3" xfId="23279"/>
    <cellStyle name="40% - Ênfase2 2 5 4 3 3" xfId="23280"/>
    <cellStyle name="20% - Ênfase3 2 5 4 3 3" xfId="23281"/>
    <cellStyle name="40% - Ênfase3 2 5 4 3 3" xfId="23282"/>
    <cellStyle name="20% - Ênfase4 2 5 4 3 3" xfId="23283"/>
    <cellStyle name="40% - Ênfase4 2 5 4 3 3" xfId="23284"/>
    <cellStyle name="20% - Ênfase5 2 5 4 3 3" xfId="23285"/>
    <cellStyle name="40% - Ênfase5 2 5 4 3 3" xfId="23286"/>
    <cellStyle name="20% - Ênfase6 2 5 4 3 3" xfId="23287"/>
    <cellStyle name="40% - Ênfase6 2 5 4 3 3" xfId="23288"/>
    <cellStyle name="Normal 7 5 4 3 3" xfId="23289"/>
    <cellStyle name="Nota 4 4 4 3 3" xfId="23290"/>
    <cellStyle name="20% - Ênfase1 3 4 4 3 3" xfId="23291"/>
    <cellStyle name="40% - Ênfase1 3 4 4 3 3" xfId="23292"/>
    <cellStyle name="20% - Ênfase2 3 4 4 3 3" xfId="23293"/>
    <cellStyle name="40% - Ênfase2 3 4 4 3 3" xfId="23294"/>
    <cellStyle name="20% - Ênfase3 3 4 4 3 3" xfId="23295"/>
    <cellStyle name="40% - Ênfase3 3 4 4 3 3" xfId="23296"/>
    <cellStyle name="20% - Ênfase4 3 4 4 3 3" xfId="23297"/>
    <cellStyle name="40% - Ênfase4 3 4 4 3 3" xfId="23298"/>
    <cellStyle name="20% - Ênfase5 3 4 4 3 3" xfId="23299"/>
    <cellStyle name="40% - Ênfase5 3 4 4 3 3" xfId="23300"/>
    <cellStyle name="20% - Ênfase6 3 4 4 3 3" xfId="23301"/>
    <cellStyle name="40% - Ênfase6 3 4 4 3 3" xfId="23302"/>
    <cellStyle name="Normal 8 4 4 3 3" xfId="23303"/>
    <cellStyle name="Nota 5 4 4 3 3" xfId="23304"/>
    <cellStyle name="20% - Ênfase1 4 4 4 3 3" xfId="23305"/>
    <cellStyle name="40% - Ênfase1 4 4 4 3 3" xfId="23306"/>
    <cellStyle name="20% - Ênfase2 4 4 4 3 3" xfId="23307"/>
    <cellStyle name="40% - Ênfase2 4 4 4 3 3" xfId="23308"/>
    <cellStyle name="20% - Ênfase3 4 4 4 3 3" xfId="23309"/>
    <cellStyle name="40% - Ênfase3 4 4 4 3 3" xfId="23310"/>
    <cellStyle name="20% - Ênfase4 4 4 4 3 3" xfId="23311"/>
    <cellStyle name="40% - Ênfase4 4 4 4 3 3" xfId="23312"/>
    <cellStyle name="20% - Ênfase5 4 4 4 3 3" xfId="23313"/>
    <cellStyle name="40% - Ênfase5 4 4 4 3 3" xfId="23314"/>
    <cellStyle name="20% - Ênfase6 4 4 4 3 3" xfId="23315"/>
    <cellStyle name="40% - Ênfase6 4 4 4 3 3" xfId="23316"/>
    <cellStyle name="Normal 3 3 5 2 3" xfId="23317"/>
    <cellStyle name="Separador de milhares 5 2 3 3 3" xfId="23318"/>
    <cellStyle name="Separador de milhares 6 2 3 3 3" xfId="23319"/>
    <cellStyle name="Vírgula 5 4 3" xfId="23320"/>
    <cellStyle name="Vírgula 2 3 4 3" xfId="23321"/>
    <cellStyle name="20% - Ênfase1 5 2 4 3 3" xfId="23322"/>
    <cellStyle name="40% - Ênfase1 5 2 4 3 3" xfId="23323"/>
    <cellStyle name="20% - Ênfase2 5 2 4 3 3" xfId="23324"/>
    <cellStyle name="40% - Ênfase2 5 2 4 3 3" xfId="23325"/>
    <cellStyle name="20% - Ênfase3 5 2 4 3 3" xfId="23326"/>
    <cellStyle name="40% - Ênfase3 5 2 4 3 3" xfId="23327"/>
    <cellStyle name="20% - Ênfase4 5 2 4 3 3" xfId="23328"/>
    <cellStyle name="40% - Ênfase4 5 2 4 3 3" xfId="23329"/>
    <cellStyle name="20% - Ênfase5 5 2 4 3 3" xfId="23330"/>
    <cellStyle name="40% - Ênfase5 5 2 4 3 3" xfId="23331"/>
    <cellStyle name="20% - Ênfase6 5 2 4 3 3" xfId="23332"/>
    <cellStyle name="40% - Ênfase6 5 2 4 3 3" xfId="23333"/>
    <cellStyle name="Normal 4 2 2 4 3 3" xfId="23334"/>
    <cellStyle name="Nota 2 2 2 4 3 3" xfId="23335"/>
    <cellStyle name="Normal 5 2 2 4 3 3" xfId="23336"/>
    <cellStyle name="Nota 3 2 2 4 3 3" xfId="23337"/>
    <cellStyle name="20% - Ênfase1 2 2 2 4 3 3" xfId="23338"/>
    <cellStyle name="40% - Ênfase1 2 2 2 4 3 3" xfId="23339"/>
    <cellStyle name="20% - Ênfase2 2 2 2 4 3 3" xfId="23340"/>
    <cellStyle name="40% - Ênfase2 2 2 2 4 3 3" xfId="23341"/>
    <cellStyle name="20% - Ênfase3 2 2 2 4 3 3" xfId="23342"/>
    <cellStyle name="40% - Ênfase3 2 2 2 4 3 3" xfId="23343"/>
    <cellStyle name="20% - Ênfase4 2 2 2 4 3 3" xfId="23344"/>
    <cellStyle name="40% - Ênfase4 2 2 2 4 3 3" xfId="23345"/>
    <cellStyle name="20% - Ênfase5 2 2 2 4 3 3" xfId="23346"/>
    <cellStyle name="40% - Ênfase5 2 2 2 4 3 3" xfId="23347"/>
    <cellStyle name="20% - Ênfase6 2 2 2 4 3 3" xfId="23348"/>
    <cellStyle name="40% - Ênfase6 2 2 2 4 3 3" xfId="23349"/>
    <cellStyle name="Normal 7 2 2 4 3 3" xfId="23350"/>
    <cellStyle name="Nota 4 3 5 2 3" xfId="23351"/>
    <cellStyle name="20% - Ênfase1 3 3 5 2 3" xfId="23352"/>
    <cellStyle name="40% - Ênfase1 3 3 5 2 3" xfId="23353"/>
    <cellStyle name="20% - Ênfase2 3 3 5 2 3" xfId="23354"/>
    <cellStyle name="40% - Ênfase2 3 3 5 2 3" xfId="23355"/>
    <cellStyle name="20% - Ênfase3 3 3 5 2 3" xfId="23356"/>
    <cellStyle name="40% - Ênfase3 3 3 5 2 3" xfId="23357"/>
    <cellStyle name="20% - Ênfase4 3 3 5 2 3" xfId="23358"/>
    <cellStyle name="40% - Ênfase4 3 3 5 2 3" xfId="23359"/>
    <cellStyle name="20% - Ênfase5 3 3 5 2 3" xfId="23360"/>
    <cellStyle name="40% - Ênfase5 3 3 5 2 3" xfId="23361"/>
    <cellStyle name="20% - Ênfase6 3 3 5 2 3" xfId="23362"/>
    <cellStyle name="40% - Ênfase6 3 3 5 2 3" xfId="23363"/>
    <cellStyle name="Normal 8 3 5 3 3" xfId="23364"/>
    <cellStyle name="Nota 5 3 5 2 3" xfId="23365"/>
    <cellStyle name="20% - Ênfase1 4 3 5 2 3" xfId="23366"/>
    <cellStyle name="40% - Ênfase1 4 3 5 2 3" xfId="23367"/>
    <cellStyle name="20% - Ênfase2 4 3 5 2 3" xfId="23368"/>
    <cellStyle name="40% - Ênfase2 4 3 5 2 3" xfId="23369"/>
    <cellStyle name="20% - Ênfase3 4 3 5 2 3" xfId="23370"/>
    <cellStyle name="40% - Ênfase3 4 3 5 2 3" xfId="23371"/>
    <cellStyle name="20% - Ênfase4 4 3 5 2 3" xfId="23372"/>
    <cellStyle name="40% - Ênfase4 4 3 5 2 3" xfId="23373"/>
    <cellStyle name="20% - Ênfase5 4 3 5 2 3" xfId="23374"/>
    <cellStyle name="40% - Ênfase5 4 3 5 2 3" xfId="23375"/>
    <cellStyle name="20% - Ênfase6 4 3 5 2 3" xfId="23376"/>
    <cellStyle name="40% - Ênfase6 4 3 5 2 3" xfId="23377"/>
    <cellStyle name="20% - Ênfase1 6 2 4 3 3" xfId="23378"/>
    <cellStyle name="40% - Ênfase1 6 2 4 3 3" xfId="23379"/>
    <cellStyle name="20% - Ênfase2 6 2 4 3 3" xfId="23380"/>
    <cellStyle name="40% - Ênfase2 6 2 4 3 3" xfId="23381"/>
    <cellStyle name="20% - Ênfase3 6 2 4 3 3" xfId="23382"/>
    <cellStyle name="40% - Ênfase3 6 2 4 3 3" xfId="23383"/>
    <cellStyle name="20% - Ênfase4 6 2 4 3 3" xfId="23384"/>
    <cellStyle name="40% - Ênfase4 6 2 4 3 3" xfId="23385"/>
    <cellStyle name="20% - Ênfase5 6 2 4 3 3" xfId="23386"/>
    <cellStyle name="40% - Ênfase5 6 2 4 3 3" xfId="23387"/>
    <cellStyle name="20% - Ênfase6 6 2 4 3 3" xfId="23388"/>
    <cellStyle name="40% - Ênfase6 6 2 4 3 3" xfId="23389"/>
    <cellStyle name="Normal 4 3 2 4 3 3" xfId="23390"/>
    <cellStyle name="Nota 2 3 2 4 3 3" xfId="23391"/>
    <cellStyle name="Normal 5 3 2 4 3 3" xfId="23392"/>
    <cellStyle name="Nota 3 3 2 4 3 3" xfId="23393"/>
    <cellStyle name="20% - Ênfase1 2 3 2 4 3 3" xfId="23394"/>
    <cellStyle name="40% - Ênfase1 2 3 2 4 3 3" xfId="23395"/>
    <cellStyle name="20% - Ênfase2 2 3 2 4 3 3" xfId="23396"/>
    <cellStyle name="40% - Ênfase2 2 3 2 4 3 3" xfId="23397"/>
    <cellStyle name="20% - Ênfase3 2 3 2 4 3 3" xfId="23398"/>
    <cellStyle name="40% - Ênfase3 2 3 2 4 3 3" xfId="23399"/>
    <cellStyle name="20% - Ênfase4 2 3 2 4 3 3" xfId="23400"/>
    <cellStyle name="40% - Ênfase4 2 3 2 4 3 3" xfId="23401"/>
    <cellStyle name="20% - Ênfase5 2 3 2 4 3 3" xfId="23402"/>
    <cellStyle name="40% - Ênfase5 2 3 2 4 3 3" xfId="23403"/>
    <cellStyle name="20% - Ênfase6 2 3 2 4 3 3" xfId="23404"/>
    <cellStyle name="40% - Ênfase6 2 3 2 4 3 3" xfId="23405"/>
    <cellStyle name="Normal 7 3 2 4 3 3" xfId="23406"/>
    <cellStyle name="Nota 4 2 2 4 3 3" xfId="23407"/>
    <cellStyle name="20% - Ênfase1 3 2 2 4 3 3" xfId="23408"/>
    <cellStyle name="40% - Ênfase1 3 2 2 4 3 3" xfId="23409"/>
    <cellStyle name="20% - Ênfase2 3 2 2 4 3 3" xfId="23410"/>
    <cellStyle name="40% - Ênfase2 3 2 2 4 3 3" xfId="23411"/>
    <cellStyle name="20% - Ênfase3 3 2 2 4 3 3" xfId="23412"/>
    <cellStyle name="40% - Ênfase3 3 2 2 4 3 3" xfId="23413"/>
    <cellStyle name="20% - Ênfase4 3 2 2 4 3 3" xfId="23414"/>
    <cellStyle name="40% - Ênfase4 3 2 2 4 3 3" xfId="23415"/>
    <cellStyle name="20% - Ênfase5 3 2 2 4 3 3" xfId="23416"/>
    <cellStyle name="40% - Ênfase5 3 2 2 4 3 3" xfId="23417"/>
    <cellStyle name="20% - Ênfase6 3 2 2 4 3 3" xfId="23418"/>
    <cellStyle name="40% - Ênfase6 3 2 2 4 3 3" xfId="23419"/>
    <cellStyle name="Normal 8 2 2 4 3 3" xfId="23420"/>
    <cellStyle name="Nota 5 2 2 4 3 3" xfId="23421"/>
    <cellStyle name="20% - Ênfase1 4 2 2 4 3 3" xfId="23422"/>
    <cellStyle name="40% - Ênfase1 4 2 2 4 3 3" xfId="23423"/>
    <cellStyle name="20% - Ênfase2 4 2 2 4 3 3" xfId="23424"/>
    <cellStyle name="40% - Ênfase2 4 2 2 4 3 3" xfId="23425"/>
    <cellStyle name="20% - Ênfase3 4 2 2 4 3 3" xfId="23426"/>
    <cellStyle name="40% - Ênfase3 4 2 2 4 3 3" xfId="23427"/>
    <cellStyle name="20% - Ênfase4 4 2 2 4 3 3" xfId="23428"/>
    <cellStyle name="40% - Ênfase4 4 2 2 4 3 3" xfId="23429"/>
    <cellStyle name="20% - Ênfase5 4 2 2 4 3 3" xfId="23430"/>
    <cellStyle name="40% - Ênfase5 4 2 2 4 3 3" xfId="23431"/>
    <cellStyle name="20% - Ênfase6 4 2 2 4 3 3" xfId="23432"/>
    <cellStyle name="40% - Ênfase6 4 2 2 4 3 3" xfId="23433"/>
    <cellStyle name="Normal 3 4 2 3 3" xfId="23434"/>
    <cellStyle name="Separador de milhares 4 2 3 3 3" xfId="23435"/>
    <cellStyle name="Separador de milhares 5 3 2 3 3" xfId="23436"/>
    <cellStyle name="Separador de milhares 6 3 2 3 3" xfId="23437"/>
    <cellStyle name="Vírgula 6 2 2 2 3" xfId="23438"/>
    <cellStyle name="Vírgula 2 4 2 2 3" xfId="23439"/>
    <cellStyle name="Separador de milhares 2 2 2 2 2 3" xfId="23440"/>
    <cellStyle name="Separador de milhares 3 2 2 2 2 3" xfId="23441"/>
    <cellStyle name="Vírgula 3 2 2 2 3" xfId="23442"/>
    <cellStyle name="Vírgula 4 2 3 2 2 3" xfId="23443"/>
    <cellStyle name="Vírgula 2 2 2 2 2 3" xfId="23444"/>
    <cellStyle name="20% - Ênfase1 5 3 2 3 3" xfId="23445"/>
    <cellStyle name="40% - Ênfase1 5 3 2 3 3" xfId="23446"/>
    <cellStyle name="20% - Ênfase2 5 3 2 3 3" xfId="23447"/>
    <cellStyle name="40% - Ênfase2 5 3 2 3 3" xfId="23448"/>
    <cellStyle name="20% - Ênfase3 5 3 2 3 3" xfId="23449"/>
    <cellStyle name="40% - Ênfase3 5 3 2 3 3" xfId="23450"/>
    <cellStyle name="20% - Ênfase4 5 3 2 3 3" xfId="23451"/>
    <cellStyle name="40% - Ênfase4 5 3 2 3 3" xfId="23452"/>
    <cellStyle name="20% - Ênfase5 5 3 2 3 3" xfId="23453"/>
    <cellStyle name="40% - Ênfase5 5 3 2 3 3" xfId="23454"/>
    <cellStyle name="20% - Ênfase6 5 3 2 3 3" xfId="23455"/>
    <cellStyle name="40% - Ênfase6 5 3 2 3 3" xfId="23456"/>
    <cellStyle name="Normal 4 2 3 2 3 3" xfId="23457"/>
    <cellStyle name="Nota 2 2 3 2 3 3" xfId="23458"/>
    <cellStyle name="Normal 5 2 3 2 3 3" xfId="23459"/>
    <cellStyle name="Nota 3 2 3 2 3 3" xfId="23460"/>
    <cellStyle name="20% - Ênfase1 2 2 3 2 3 3" xfId="23461"/>
    <cellStyle name="40% - Ênfase1 2 2 3 2 3 3" xfId="23462"/>
    <cellStyle name="20% - Ênfase2 2 2 3 2 3 3" xfId="23463"/>
    <cellStyle name="40% - Ênfase2 2 2 3 2 3 3" xfId="23464"/>
    <cellStyle name="20% - Ênfase3 2 2 3 2 3 3" xfId="23465"/>
    <cellStyle name="40% - Ênfase3 2 2 3 2 3 3" xfId="23466"/>
    <cellStyle name="20% - Ênfase4 2 2 3 2 3 3" xfId="23467"/>
    <cellStyle name="40% - Ênfase4 2 2 3 2 3 3" xfId="23468"/>
    <cellStyle name="20% - Ênfase5 2 2 3 2 3 3" xfId="23469"/>
    <cellStyle name="40% - Ênfase5 2 2 3 2 3 3" xfId="23470"/>
    <cellStyle name="20% - Ênfase6 2 2 3 2 3 3" xfId="23471"/>
    <cellStyle name="40% - Ênfase6 2 2 3 2 3 3" xfId="23472"/>
    <cellStyle name="Normal 7 2 3 2 3 3" xfId="23473"/>
    <cellStyle name="Nota 4 5 2 3 3" xfId="23474"/>
    <cellStyle name="20% - Ênfase1 3 5 2 3 3" xfId="23475"/>
    <cellStyle name="40% - Ênfase1 3 5 2 3 3" xfId="23476"/>
    <cellStyle name="20% - Ênfase2 3 5 2 3 3" xfId="23477"/>
    <cellStyle name="40% - Ênfase2 3 5 2 3 3" xfId="23478"/>
    <cellStyle name="20% - Ênfase3 3 5 2 3 3" xfId="23479"/>
    <cellStyle name="40% - Ênfase3 3 5 2 3 3" xfId="23480"/>
    <cellStyle name="20% - Ênfase4 3 5 2 3 3" xfId="23481"/>
    <cellStyle name="40% - Ênfase4 3 5 2 3 3" xfId="23482"/>
    <cellStyle name="20% - Ênfase5 3 5 2 3 3" xfId="23483"/>
    <cellStyle name="40% - Ênfase5 3 5 2 3 3" xfId="23484"/>
    <cellStyle name="20% - Ênfase6 3 5 2 3 3" xfId="23485"/>
    <cellStyle name="40% - Ênfase6 3 5 2 3 3" xfId="23486"/>
    <cellStyle name="Normal 8 5 2 5 3" xfId="23487"/>
    <cellStyle name="Nota 5 5 2 3 3" xfId="23488"/>
    <cellStyle name="20% - Ênfase1 4 5 2 3 3" xfId="23489"/>
    <cellStyle name="40% - Ênfase1 4 5 2 3 3" xfId="23490"/>
    <cellStyle name="20% - Ênfase2 4 5 2 3 3" xfId="23491"/>
    <cellStyle name="40% - Ênfase2 4 5 2 3 3" xfId="23492"/>
    <cellStyle name="20% - Ênfase3 4 5 2 3 3" xfId="23493"/>
    <cellStyle name="40% - Ênfase3 4 5 2 3 3" xfId="23494"/>
    <cellStyle name="20% - Ênfase4 4 5 2 3 3" xfId="23495"/>
    <cellStyle name="40% - Ênfase4 4 5 2 3 3" xfId="23496"/>
    <cellStyle name="20% - Ênfase5 4 5 2 3 3" xfId="23497"/>
    <cellStyle name="40% - Ênfase5 4 5 2 3 3" xfId="23498"/>
    <cellStyle name="20% - Ênfase6 4 5 2 3 3" xfId="23499"/>
    <cellStyle name="40% - Ênfase6 4 5 2 3 3" xfId="23500"/>
    <cellStyle name="20% - Ênfase1 6 3 2 3 3" xfId="23501"/>
    <cellStyle name="40% - Ênfase1 6 3 2 3 3" xfId="23502"/>
    <cellStyle name="20% - Ênfase2 6 3 2 3 3" xfId="23503"/>
    <cellStyle name="40% - Ênfase2 6 3 2 3 3" xfId="23504"/>
    <cellStyle name="20% - Ênfase3 6 3 2 3 3" xfId="23505"/>
    <cellStyle name="40% - Ênfase3 6 3 2 3 3" xfId="23506"/>
    <cellStyle name="20% - Ênfase4 6 3 2 3 3" xfId="23507"/>
    <cellStyle name="40% - Ênfase4 6 3 2 3 3" xfId="23508"/>
    <cellStyle name="20% - Ênfase5 6 3 2 3 3" xfId="23509"/>
    <cellStyle name="40% - Ênfase5 6 3 2 3 3" xfId="23510"/>
    <cellStyle name="20% - Ênfase6 6 3 2 3 3" xfId="23511"/>
    <cellStyle name="40% - Ênfase6 6 3 2 3 3" xfId="23512"/>
    <cellStyle name="Normal 4 3 3 2 3 3" xfId="23513"/>
    <cellStyle name="Nota 2 3 3 2 3 3" xfId="23514"/>
    <cellStyle name="Normal 5 3 3 2 3 3" xfId="23515"/>
    <cellStyle name="Nota 3 3 3 2 3 3" xfId="23516"/>
    <cellStyle name="20% - Ênfase1 2 3 3 2 3 3" xfId="23517"/>
    <cellStyle name="40% - Ênfase1 2 3 3 2 3 3" xfId="23518"/>
    <cellStyle name="20% - Ênfase2 2 3 3 2 3 3" xfId="23519"/>
    <cellStyle name="40% - Ênfase2 2 3 3 2 3 3" xfId="23520"/>
    <cellStyle name="20% - Ênfase3 2 3 3 2 3 3" xfId="23521"/>
    <cellStyle name="40% - Ênfase3 2 3 3 2 3 3" xfId="23522"/>
    <cellStyle name="20% - Ênfase4 2 3 3 2 3 3" xfId="23523"/>
    <cellStyle name="40% - Ênfase4 2 3 3 2 3 3" xfId="23524"/>
    <cellStyle name="20% - Ênfase5 2 3 3 2 3 3" xfId="23525"/>
    <cellStyle name="40% - Ênfase5 2 3 3 2 3 3" xfId="23526"/>
    <cellStyle name="20% - Ênfase6 2 3 3 2 3 3" xfId="23527"/>
    <cellStyle name="40% - Ênfase6 2 3 3 2 3 3" xfId="23528"/>
    <cellStyle name="Normal 7 3 3 2 3 3" xfId="23529"/>
    <cellStyle name="Nota 4 2 3 2 3 3" xfId="23530"/>
    <cellStyle name="20% - Ênfase1 3 2 3 2 3 3" xfId="23531"/>
    <cellStyle name="40% - Ênfase1 3 2 3 2 3 3" xfId="23532"/>
    <cellStyle name="20% - Ênfase2 3 2 3 2 3 3" xfId="23533"/>
    <cellStyle name="40% - Ênfase2 3 2 3 2 3 3" xfId="23534"/>
    <cellStyle name="20% - Ênfase3 3 2 3 2 3 3" xfId="23535"/>
    <cellStyle name="40% - Ênfase3 3 2 3 2 3 3" xfId="23536"/>
    <cellStyle name="20% - Ênfase4 3 2 3 2 3 3" xfId="23537"/>
    <cellStyle name="40% - Ênfase4 3 2 3 2 3 3" xfId="23538"/>
    <cellStyle name="20% - Ênfase5 3 2 3 2 3 3" xfId="23539"/>
    <cellStyle name="40% - Ênfase5 3 2 3 2 3 3" xfId="23540"/>
    <cellStyle name="20% - Ênfase6 3 2 3 2 3 3" xfId="23541"/>
    <cellStyle name="40% - Ênfase6 3 2 3 2 3 3" xfId="23542"/>
    <cellStyle name="Normal 8 2 3 2 3 3" xfId="23543"/>
    <cellStyle name="Nota 5 2 3 2 3 3" xfId="23544"/>
    <cellStyle name="20% - Ênfase1 4 2 3 2 3 3" xfId="23545"/>
    <cellStyle name="40% - Ênfase1 4 2 3 2 3 3" xfId="23546"/>
    <cellStyle name="20% - Ênfase2 4 2 3 2 3 3" xfId="23547"/>
    <cellStyle name="40% - Ênfase2 4 2 3 2 3 3" xfId="23548"/>
    <cellStyle name="20% - Ênfase3 4 2 3 2 3 3" xfId="23549"/>
    <cellStyle name="40% - Ênfase3 4 2 3 2 3 3" xfId="23550"/>
    <cellStyle name="20% - Ênfase4 4 2 3 2 3 3" xfId="23551"/>
    <cellStyle name="40% - Ênfase4 4 2 3 2 3 3" xfId="23552"/>
    <cellStyle name="20% - Ênfase5 4 2 3 2 3 3" xfId="23553"/>
    <cellStyle name="40% - Ênfase5 4 2 3 2 3 3" xfId="23554"/>
    <cellStyle name="20% - Ênfase6 4 2 3 2 3 3" xfId="23555"/>
    <cellStyle name="40% - Ênfase6 4 2 3 2 3 3" xfId="23556"/>
    <cellStyle name="20% - Ênfase1 8 2 2 3 3" xfId="23557"/>
    <cellStyle name="40% - Ênfase1 8 2 2 3 3" xfId="23558"/>
    <cellStyle name="20% - Ênfase2 8 2 2 3 3" xfId="23559"/>
    <cellStyle name="40% - Ênfase2 8 2 2 3 3" xfId="23560"/>
    <cellStyle name="20% - Ênfase3 8 2 2 3 3" xfId="23561"/>
    <cellStyle name="40% - Ênfase3 8 2 2 3 3" xfId="23562"/>
    <cellStyle name="20% - Ênfase4 8 2 2 3 3" xfId="23563"/>
    <cellStyle name="40% - Ênfase4 8 2 2 3 3" xfId="23564"/>
    <cellStyle name="20% - Ênfase5 8 2 2 3 3" xfId="23565"/>
    <cellStyle name="40% - Ênfase5 8 2 2 3 3" xfId="23566"/>
    <cellStyle name="20% - Ênfase6 8 2 2 3 3" xfId="23567"/>
    <cellStyle name="40% - Ênfase6 8 2 2 3 3" xfId="23568"/>
    <cellStyle name="Normal 4 5 2 2 3 3" xfId="23569"/>
    <cellStyle name="Nota 2 5 2 2 3 3" xfId="23570"/>
    <cellStyle name="Normal 5 5 2 2 3 3" xfId="23571"/>
    <cellStyle name="Nota 3 5 2 2 3 3" xfId="23572"/>
    <cellStyle name="20% - Ênfase1 2 5 2 2 3 3" xfId="23573"/>
    <cellStyle name="40% - Ênfase1 2 5 2 2 3 3" xfId="23574"/>
    <cellStyle name="20% - Ênfase2 2 5 2 2 3 3" xfId="23575"/>
    <cellStyle name="40% - Ênfase2 2 5 2 2 3 3" xfId="23576"/>
    <cellStyle name="20% - Ênfase3 2 5 2 2 3 3" xfId="23577"/>
    <cellStyle name="40% - Ênfase3 2 5 2 2 3 3" xfId="23578"/>
    <cellStyle name="20% - Ênfase4 2 5 2 2 3 3" xfId="23579"/>
    <cellStyle name="40% - Ênfase4 2 5 2 2 3 3" xfId="23580"/>
    <cellStyle name="20% - Ênfase5 2 5 2 2 3 3" xfId="23581"/>
    <cellStyle name="40% - Ênfase5 2 5 2 2 3 3" xfId="23582"/>
    <cellStyle name="20% - Ênfase6 2 5 2 2 3 3" xfId="23583"/>
    <cellStyle name="40% - Ênfase6 2 5 2 2 3 3" xfId="23584"/>
    <cellStyle name="Normal 7 5 2 2 3 3" xfId="23585"/>
    <cellStyle name="Nota 4 4 2 2 3 3" xfId="23586"/>
    <cellStyle name="20% - Ênfase1 3 4 2 2 3 3" xfId="23587"/>
    <cellStyle name="40% - Ênfase1 3 4 2 2 3 3" xfId="23588"/>
    <cellStyle name="20% - Ênfase2 3 4 2 2 3 3" xfId="23589"/>
    <cellStyle name="40% - Ênfase2 3 4 2 2 3 3" xfId="23590"/>
    <cellStyle name="20% - Ênfase3 3 4 2 2 3 3" xfId="23591"/>
    <cellStyle name="40% - Ênfase3 3 4 2 2 3 3" xfId="23592"/>
    <cellStyle name="20% - Ênfase4 3 4 2 2 3 3" xfId="23593"/>
    <cellStyle name="40% - Ênfase4 3 4 2 2 3 3" xfId="23594"/>
    <cellStyle name="20% - Ênfase5 3 4 2 2 3 3" xfId="23595"/>
    <cellStyle name="40% - Ênfase5 3 4 2 2 3 3" xfId="23596"/>
    <cellStyle name="20% - Ênfase6 3 4 2 2 3 3" xfId="23597"/>
    <cellStyle name="40% - Ênfase6 3 4 2 2 3 3" xfId="23598"/>
    <cellStyle name="Normal 8 4 2 2 3 3" xfId="23599"/>
    <cellStyle name="Nota 5 4 2 2 3 3" xfId="23600"/>
    <cellStyle name="20% - Ênfase1 4 4 2 2 3 3" xfId="23601"/>
    <cellStyle name="40% - Ênfase1 4 4 2 2 3 3" xfId="23602"/>
    <cellStyle name="20% - Ênfase2 4 4 2 2 3 3" xfId="23603"/>
    <cellStyle name="40% - Ênfase2 4 4 2 2 3 3" xfId="23604"/>
    <cellStyle name="20% - Ênfase3 4 4 2 2 3 3" xfId="23605"/>
    <cellStyle name="40% - Ênfase3 4 4 2 2 3 3" xfId="23606"/>
    <cellStyle name="20% - Ênfase4 4 4 2 2 3 3" xfId="23607"/>
    <cellStyle name="40% - Ênfase4 4 4 2 2 3 3" xfId="23608"/>
    <cellStyle name="20% - Ênfase5 4 4 2 2 3 3" xfId="23609"/>
    <cellStyle name="40% - Ênfase5 4 4 2 2 3 3" xfId="23610"/>
    <cellStyle name="20% - Ênfase6 4 4 2 2 3 3" xfId="23611"/>
    <cellStyle name="40% - Ênfase6 4 4 2 2 3 3" xfId="23612"/>
    <cellStyle name="Normal 3 3 2 2 3 3" xfId="23613"/>
    <cellStyle name="Separador de milhares 5 2 2 2 2 3" xfId="23614"/>
    <cellStyle name="Separador de milhares 6 2 2 2 2 3" xfId="23615"/>
    <cellStyle name="Vírgula 5 2 2 2 3" xfId="23616"/>
    <cellStyle name="Vírgula 2 3 2 2 2 3" xfId="23617"/>
    <cellStyle name="20% - Ênfase1 5 2 2 2 3 3" xfId="23618"/>
    <cellStyle name="40% - Ênfase1 5 2 2 2 3 3" xfId="23619"/>
    <cellStyle name="20% - Ênfase2 5 2 2 2 3 3" xfId="23620"/>
    <cellStyle name="40% - Ênfase2 5 2 2 2 3 3" xfId="23621"/>
    <cellStyle name="20% - Ênfase3 5 2 2 2 3 3" xfId="23622"/>
    <cellStyle name="40% - Ênfase3 5 2 2 2 3 3" xfId="23623"/>
    <cellStyle name="20% - Ênfase4 5 2 2 2 3 3" xfId="23624"/>
    <cellStyle name="40% - Ênfase4 5 2 2 2 3 3" xfId="23625"/>
    <cellStyle name="20% - Ênfase5 5 2 2 2 3 3" xfId="23626"/>
    <cellStyle name="40% - Ênfase5 5 2 2 2 3 3" xfId="23627"/>
    <cellStyle name="20% - Ênfase6 5 2 2 2 3 3" xfId="23628"/>
    <cellStyle name="40% - Ênfase6 5 2 2 2 3 3" xfId="23629"/>
    <cellStyle name="Normal 4 2 2 2 2 3 3" xfId="23630"/>
    <cellStyle name="Nota 2 2 2 2 2 3 3" xfId="23631"/>
    <cellStyle name="Normal 5 2 2 2 2 3 3" xfId="23632"/>
    <cellStyle name="Nota 3 2 2 2 2 3 3" xfId="23633"/>
    <cellStyle name="20% - Ênfase1 2 2 2 2 2 3 3" xfId="23634"/>
    <cellStyle name="40% - Ênfase1 2 2 2 2 2 3 3" xfId="23635"/>
    <cellStyle name="20% - Ênfase2 2 2 2 2 2 3 3" xfId="23636"/>
    <cellStyle name="40% - Ênfase2 2 2 2 2 2 3 3" xfId="23637"/>
    <cellStyle name="20% - Ênfase3 2 2 2 2 2 3 3" xfId="23638"/>
    <cellStyle name="40% - Ênfase3 2 2 2 2 2 3 3" xfId="23639"/>
    <cellStyle name="20% - Ênfase4 2 2 2 2 2 3 3" xfId="23640"/>
    <cellStyle name="40% - Ênfase4 2 2 2 2 2 3 3" xfId="23641"/>
    <cellStyle name="20% - Ênfase5 2 2 2 2 2 3 3" xfId="23642"/>
    <cellStyle name="40% - Ênfase5 2 2 2 2 2 3 3" xfId="23643"/>
    <cellStyle name="20% - Ênfase6 2 2 2 2 2 3 3" xfId="23644"/>
    <cellStyle name="40% - Ênfase6 2 2 2 2 2 3 3" xfId="23645"/>
    <cellStyle name="Normal 7 2 2 2 2 3 3" xfId="23646"/>
    <cellStyle name="Nota 4 3 2 2 3 3" xfId="23647"/>
    <cellStyle name="20% - Ênfase1 3 3 2 2 3 3" xfId="23648"/>
    <cellStyle name="40% - Ênfase1 3 3 2 2 3 3" xfId="23649"/>
    <cellStyle name="20% - Ênfase2 3 3 2 2 3 3" xfId="23650"/>
    <cellStyle name="40% - Ênfase2 3 3 2 2 3 3" xfId="23651"/>
    <cellStyle name="20% - Ênfase3 3 3 2 2 3 3" xfId="23652"/>
    <cellStyle name="40% - Ênfase3 3 3 2 2 3 3" xfId="23653"/>
    <cellStyle name="20% - Ênfase4 3 3 2 2 3 3" xfId="23654"/>
    <cellStyle name="40% - Ênfase4 3 3 2 2 3 3" xfId="23655"/>
    <cellStyle name="20% - Ênfase5 3 3 2 2 3 3" xfId="23656"/>
    <cellStyle name="40% - Ênfase5 3 3 2 2 3 3" xfId="23657"/>
    <cellStyle name="20% - Ênfase6 3 3 2 2 3 3" xfId="23658"/>
    <cellStyle name="40% - Ênfase6 3 3 2 2 3 3" xfId="23659"/>
    <cellStyle name="Normal 8 3 2 2 3 3" xfId="23660"/>
    <cellStyle name="Nota 5 3 2 2 3 3" xfId="23661"/>
    <cellStyle name="20% - Ênfase1 4 3 2 2 3 3" xfId="23662"/>
    <cellStyle name="40% - Ênfase1 4 3 2 2 3 3" xfId="23663"/>
    <cellStyle name="20% - Ênfase2 4 3 2 2 3 3" xfId="23664"/>
    <cellStyle name="40% - Ênfase2 4 3 2 2 3 3" xfId="23665"/>
    <cellStyle name="20% - Ênfase3 4 3 2 2 3 3" xfId="23666"/>
    <cellStyle name="40% - Ênfase3 4 3 2 2 3 3" xfId="23667"/>
    <cellStyle name="20% - Ênfase4 4 3 2 2 3 3" xfId="23668"/>
    <cellStyle name="40% - Ênfase4 4 3 2 2 3 3" xfId="23669"/>
    <cellStyle name="20% - Ênfase5 4 3 2 2 3 3" xfId="23670"/>
    <cellStyle name="40% - Ênfase5 4 3 2 2 3 3" xfId="23671"/>
    <cellStyle name="20% - Ênfase6 4 3 2 2 3 3" xfId="23672"/>
    <cellStyle name="40% - Ênfase6 4 3 2 2 3 3" xfId="23673"/>
    <cellStyle name="20% - Ênfase1 6 2 2 2 3 3" xfId="23674"/>
    <cellStyle name="40% - Ênfase1 6 2 2 2 3 3" xfId="23675"/>
    <cellStyle name="20% - Ênfase2 6 2 2 2 3 3" xfId="23676"/>
    <cellStyle name="40% - Ênfase2 6 2 2 2 3 3" xfId="23677"/>
    <cellStyle name="20% - Ênfase3 6 2 2 2 3 3" xfId="23678"/>
    <cellStyle name="40% - Ênfase3 6 2 2 2 3 3" xfId="23679"/>
    <cellStyle name="20% - Ênfase4 6 2 2 2 3 3" xfId="23680"/>
    <cellStyle name="40% - Ênfase4 6 2 2 2 3 3" xfId="23681"/>
    <cellStyle name="20% - Ênfase5 6 2 2 2 3 3" xfId="23682"/>
    <cellStyle name="40% - Ênfase5 6 2 2 2 3 3" xfId="23683"/>
    <cellStyle name="20% - Ênfase6 6 2 2 2 3 3" xfId="23684"/>
    <cellStyle name="40% - Ênfase6 6 2 2 2 3 3" xfId="23685"/>
    <cellStyle name="Normal 4 3 2 2 2 3 3" xfId="23686"/>
    <cellStyle name="Nota 2 3 2 2 2 3 3" xfId="23687"/>
    <cellStyle name="Normal 5 3 2 2 2 3 3" xfId="23688"/>
    <cellStyle name="Nota 3 3 2 2 2 3 3" xfId="23689"/>
    <cellStyle name="20% - Ênfase1 2 3 2 2 2 3 3" xfId="23690"/>
    <cellStyle name="40% - Ênfase1 2 3 2 2 2 3 3" xfId="23691"/>
    <cellStyle name="20% - Ênfase2 2 3 2 2 2 3 3" xfId="23692"/>
    <cellStyle name="40% - Ênfase2 2 3 2 2 2 3 3" xfId="23693"/>
    <cellStyle name="20% - Ênfase3 2 3 2 2 2 3 3" xfId="23694"/>
    <cellStyle name="40% - Ênfase3 2 3 2 2 2 3 3" xfId="23695"/>
    <cellStyle name="20% - Ênfase4 2 3 2 2 2 3 3" xfId="23696"/>
    <cellStyle name="40% - Ênfase4 2 3 2 2 2 3 3" xfId="23697"/>
    <cellStyle name="20% - Ênfase5 2 3 2 2 2 3 3" xfId="23698"/>
    <cellStyle name="40% - Ênfase5 2 3 2 2 2 3 3" xfId="23699"/>
    <cellStyle name="20% - Ênfase6 2 3 2 2 2 3 3" xfId="23700"/>
    <cellStyle name="40% - Ênfase6 2 3 2 2 2 3 3" xfId="23701"/>
    <cellStyle name="Normal 7 3 2 2 2 3 3" xfId="23702"/>
    <cellStyle name="Nota 4 2 2 2 2 3 3" xfId="23703"/>
    <cellStyle name="20% - Ênfase1 3 2 2 2 2 3 3" xfId="23704"/>
    <cellStyle name="40% - Ênfase1 3 2 2 2 2 3 3" xfId="23705"/>
    <cellStyle name="20% - Ênfase2 3 2 2 2 2 3 3" xfId="23706"/>
    <cellStyle name="40% - Ênfase2 3 2 2 2 2 3 3" xfId="23707"/>
    <cellStyle name="20% - Ênfase3 3 2 2 2 2 3 3" xfId="23708"/>
    <cellStyle name="40% - Ênfase3 3 2 2 2 2 3 3" xfId="23709"/>
    <cellStyle name="20% - Ênfase4 3 2 2 2 2 3 3" xfId="23710"/>
    <cellStyle name="40% - Ênfase4 3 2 2 2 2 3 3" xfId="23711"/>
    <cellStyle name="20% - Ênfase5 3 2 2 2 2 3 3" xfId="23712"/>
    <cellStyle name="40% - Ênfase5 3 2 2 2 2 3 3" xfId="23713"/>
    <cellStyle name="20% - Ênfase6 3 2 2 2 2 3 3" xfId="23714"/>
    <cellStyle name="40% - Ênfase6 3 2 2 2 2 3 3" xfId="23715"/>
    <cellStyle name="Normal 8 2 2 2 2 3 3" xfId="23716"/>
    <cellStyle name="Nota 5 2 2 2 2 3 3" xfId="23717"/>
    <cellStyle name="20% - Ênfase1 4 2 2 2 2 3 3" xfId="23718"/>
    <cellStyle name="40% - Ênfase1 4 2 2 2 2 3 3" xfId="23719"/>
    <cellStyle name="20% - Ênfase2 4 2 2 2 2 3 3" xfId="23720"/>
    <cellStyle name="40% - Ênfase2 4 2 2 2 2 3 3" xfId="23721"/>
    <cellStyle name="20% - Ênfase3 4 2 2 2 2 3 3" xfId="23722"/>
    <cellStyle name="40% - Ênfase3 4 2 2 2 2 3 3" xfId="23723"/>
    <cellStyle name="20% - Ênfase4 4 2 2 2 2 3 3" xfId="23724"/>
    <cellStyle name="40% - Ênfase4 4 2 2 2 2 3 3" xfId="23725"/>
    <cellStyle name="20% - Ênfase5 4 2 2 2 2 3 3" xfId="23726"/>
    <cellStyle name="40% - Ênfase5 4 2 2 2 2 3 3" xfId="23727"/>
    <cellStyle name="20% - Ênfase6 4 2 2 2 2 3 3" xfId="23728"/>
    <cellStyle name="40% - Ênfase6 4 2 2 2 2 3 3" xfId="23729"/>
    <cellStyle name="Normal 3 5 2 3 3" xfId="23730"/>
    <cellStyle name="20% - Ênfase1 5 4 2 3 3" xfId="23731"/>
    <cellStyle name="40% - Ênfase1 5 4 2 3 3" xfId="23732"/>
    <cellStyle name="20% - Ênfase2 5 4 2 3 3" xfId="23733"/>
    <cellStyle name="40% - Ênfase2 5 4 2 3 3" xfId="23734"/>
    <cellStyle name="20% - Ênfase3 5 4 2 3 3" xfId="23735"/>
    <cellStyle name="40% - Ênfase3 5 4 2 3 3" xfId="23736"/>
    <cellStyle name="20% - Ênfase4 5 4 2 3 3" xfId="23737"/>
    <cellStyle name="40% - Ênfase4 5 4 2 3 3" xfId="23738"/>
    <cellStyle name="20% - Ênfase5 5 4 2 3 3" xfId="23739"/>
    <cellStyle name="40% - Ênfase5 5 4 2 3 3" xfId="23740"/>
    <cellStyle name="20% - Ênfase6 5 4 2 3 3" xfId="23741"/>
    <cellStyle name="40% - Ênfase6 5 4 2 3 3" xfId="23742"/>
    <cellStyle name="Normal 4 2 4 2 3 3" xfId="23743"/>
    <cellStyle name="Nota 2 2 4 2 3 3" xfId="23744"/>
    <cellStyle name="Normal 5 2 4 2 3 3" xfId="23745"/>
    <cellStyle name="Nota 3 2 4 2 3 3" xfId="23746"/>
    <cellStyle name="20% - Ênfase1 2 2 4 2 3 3" xfId="23747"/>
    <cellStyle name="40% - Ênfase1 2 2 4 2 3 3" xfId="23748"/>
    <cellStyle name="20% - Ênfase2 2 2 4 2 3 3" xfId="23749"/>
    <cellStyle name="40% - Ênfase2 2 2 4 2 3 3" xfId="23750"/>
    <cellStyle name="20% - Ênfase3 2 2 4 2 3 3" xfId="23751"/>
    <cellStyle name="40% - Ênfase3 2 2 4 2 3 3" xfId="23752"/>
    <cellStyle name="20% - Ênfase4 2 2 4 2 3 3" xfId="23753"/>
    <cellStyle name="40% - Ênfase4 2 2 4 2 3 3" xfId="23754"/>
    <cellStyle name="20% - Ênfase5 2 2 4 2 3 3" xfId="23755"/>
    <cellStyle name="40% - Ênfase5 2 2 4 2 3 3" xfId="23756"/>
    <cellStyle name="20% - Ênfase6 2 2 4 2 3 3" xfId="23757"/>
    <cellStyle name="40% - Ênfase6 2 2 4 2 3 3" xfId="23758"/>
    <cellStyle name="Normal 7 2 4 2 3 3" xfId="23759"/>
    <cellStyle name="Nota 4 6 2 3 3" xfId="23760"/>
    <cellStyle name="20% - Ênfase1 3 6 2 3 3" xfId="23761"/>
    <cellStyle name="40% - Ênfase1 3 6 2 3 3" xfId="23762"/>
    <cellStyle name="20% - Ênfase2 3 6 2 3 3" xfId="23763"/>
    <cellStyle name="40% - Ênfase2 3 6 2 3 3" xfId="23764"/>
    <cellStyle name="20% - Ênfase3 3 6 2 3 3" xfId="23765"/>
    <cellStyle name="40% - Ênfase3 3 6 2 3 3" xfId="23766"/>
    <cellStyle name="20% - Ênfase4 3 6 2 3 3" xfId="23767"/>
    <cellStyle name="40% - Ênfase4 3 6 2 3 3" xfId="23768"/>
    <cellStyle name="20% - Ênfase5 3 6 2 3 3" xfId="23769"/>
    <cellStyle name="40% - Ênfase5 3 6 2 3 3" xfId="23770"/>
    <cellStyle name="20% - Ênfase6 3 6 2 3 3" xfId="23771"/>
    <cellStyle name="40% - Ênfase6 3 6 2 3 3" xfId="23772"/>
    <cellStyle name="Normal 8 6 2 3 3" xfId="23773"/>
    <cellStyle name="Nota 5 6 2 3 3" xfId="23774"/>
    <cellStyle name="20% - Ênfase1 4 6 2 3 3" xfId="23775"/>
    <cellStyle name="40% - Ênfase1 4 6 2 3 3" xfId="23776"/>
    <cellStyle name="20% - Ênfase2 4 6 2 3 3" xfId="23777"/>
    <cellStyle name="40% - Ênfase2 4 6 2 3 3" xfId="23778"/>
    <cellStyle name="20% - Ênfase3 4 6 2 3 3" xfId="23779"/>
    <cellStyle name="40% - Ênfase3 4 6 2 3 3" xfId="23780"/>
    <cellStyle name="20% - Ênfase4 4 6 2 3 3" xfId="23781"/>
    <cellStyle name="40% - Ênfase4 4 6 2 3 3" xfId="23782"/>
    <cellStyle name="20% - Ênfase5 4 6 2 3 3" xfId="23783"/>
    <cellStyle name="40% - Ênfase5 4 6 2 3 3" xfId="23784"/>
    <cellStyle name="20% - Ênfase6 4 6 2 3 3" xfId="23785"/>
    <cellStyle name="40% - Ênfase6 4 6 2 3 3" xfId="23786"/>
    <cellStyle name="20% - Ênfase1 6 4 2 3 3" xfId="23787"/>
    <cellStyle name="40% - Ênfase1 6 4 2 3 3" xfId="23788"/>
    <cellStyle name="20% - Ênfase2 6 4 2 3 3" xfId="23789"/>
    <cellStyle name="40% - Ênfase2 6 4 2 3 3" xfId="23790"/>
    <cellStyle name="20% - Ênfase3 6 4 2 3 3" xfId="23791"/>
    <cellStyle name="40% - Ênfase3 6 4 2 3 3" xfId="23792"/>
    <cellStyle name="20% - Ênfase4 6 4 2 3 3" xfId="23793"/>
    <cellStyle name="40% - Ênfase4 6 4 2 3 3" xfId="23794"/>
    <cellStyle name="20% - Ênfase5 6 4 2 3 3" xfId="23795"/>
    <cellStyle name="40% - Ênfase5 6 4 2 3 3" xfId="23796"/>
    <cellStyle name="20% - Ênfase6 6 4 2 3 3" xfId="23797"/>
    <cellStyle name="40% - Ênfase6 6 4 2 3 3" xfId="23798"/>
    <cellStyle name="Normal 4 3 4 2 3 3" xfId="23799"/>
    <cellStyle name="Nota 2 3 4 2 3 3" xfId="23800"/>
    <cellStyle name="Normal 5 3 4 2 3 3" xfId="23801"/>
    <cellStyle name="Nota 3 3 4 2 3 3" xfId="23802"/>
    <cellStyle name="20% - Ênfase1 2 3 4 2 3 3" xfId="23803"/>
    <cellStyle name="40% - Ênfase1 2 3 4 2 3 3" xfId="23804"/>
    <cellStyle name="20% - Ênfase2 2 3 4 2 3 3" xfId="23805"/>
    <cellStyle name="40% - Ênfase2 2 3 4 2 3 3" xfId="23806"/>
    <cellStyle name="20% - Ênfase3 2 3 4 2 3 3" xfId="23807"/>
    <cellStyle name="40% - Ênfase3 2 3 4 2 3 3" xfId="23808"/>
    <cellStyle name="20% - Ênfase4 2 3 4 2 3 3" xfId="23809"/>
    <cellStyle name="40% - Ênfase4 2 3 4 2 3 3" xfId="23810"/>
    <cellStyle name="20% - Ênfase5 2 3 4 2 3 3" xfId="23811"/>
    <cellStyle name="40% - Ênfase5 2 3 4 2 3 3" xfId="23812"/>
    <cellStyle name="20% - Ênfase6 2 3 4 2 3 3" xfId="23813"/>
    <cellStyle name="40% - Ênfase6 2 3 4 2 3 3" xfId="23814"/>
    <cellStyle name="Normal 7 3 4 2 3 3" xfId="23815"/>
    <cellStyle name="Nota 4 2 4 2 3 3" xfId="23816"/>
    <cellStyle name="20% - Ênfase1 3 2 4 2 3 3" xfId="23817"/>
    <cellStyle name="40% - Ênfase1 3 2 4 2 3 3" xfId="23818"/>
    <cellStyle name="20% - Ênfase2 3 2 4 2 3 3" xfId="23819"/>
    <cellStyle name="40% - Ênfase2 3 2 4 2 3 3" xfId="23820"/>
    <cellStyle name="20% - Ênfase3 3 2 4 2 3 3" xfId="23821"/>
    <cellStyle name="40% - Ênfase3 3 2 4 2 3 3" xfId="23822"/>
    <cellStyle name="20% - Ênfase4 3 2 4 2 3 3" xfId="23823"/>
    <cellStyle name="40% - Ênfase4 3 2 4 2 3 3" xfId="23824"/>
    <cellStyle name="20% - Ênfase5 3 2 4 2 3 3" xfId="23825"/>
    <cellStyle name="40% - Ênfase5 3 2 4 2 3 3" xfId="23826"/>
    <cellStyle name="20% - Ênfase6 3 2 4 2 3 3" xfId="23827"/>
    <cellStyle name="40% - Ênfase6 3 2 4 2 3 3" xfId="23828"/>
    <cellStyle name="Normal 8 2 4 2 3 3" xfId="23829"/>
    <cellStyle name="Nota 5 2 4 2 3 3" xfId="23830"/>
    <cellStyle name="20% - Ênfase1 4 2 4 2 3 3" xfId="23831"/>
    <cellStyle name="40% - Ênfase1 4 2 4 2 3 3" xfId="23832"/>
    <cellStyle name="20% - Ênfase2 4 2 4 2 3 3" xfId="23833"/>
    <cellStyle name="40% - Ênfase2 4 2 4 2 3 3" xfId="23834"/>
    <cellStyle name="20% - Ênfase3 4 2 4 2 3 3" xfId="23835"/>
    <cellStyle name="40% - Ênfase3 4 2 4 2 3 3" xfId="23836"/>
    <cellStyle name="20% - Ênfase4 4 2 4 2 3 3" xfId="23837"/>
    <cellStyle name="40% - Ênfase4 4 2 4 2 3 3" xfId="23838"/>
    <cellStyle name="20% - Ênfase5 4 2 4 2 3 3" xfId="23839"/>
    <cellStyle name="40% - Ênfase5 4 2 4 2 3 3" xfId="23840"/>
    <cellStyle name="20% - Ênfase6 4 2 4 2 3 3" xfId="23841"/>
    <cellStyle name="40% - Ênfase6 4 2 4 2 3 3" xfId="23842"/>
    <cellStyle name="20% - Ênfase1 8 3 2 3 3" xfId="23843"/>
    <cellStyle name="40% - Ênfase1 8 3 2 3 3" xfId="23844"/>
    <cellStyle name="20% - Ênfase2 8 3 2 3 3" xfId="23845"/>
    <cellStyle name="40% - Ênfase2 8 3 2 3 3" xfId="23846"/>
    <cellStyle name="20% - Ênfase3 8 3 2 3 3" xfId="23847"/>
    <cellStyle name="40% - Ênfase3 8 3 2 3 3" xfId="23848"/>
    <cellStyle name="20% - Ênfase4 8 3 2 3 3" xfId="23849"/>
    <cellStyle name="40% - Ênfase4 8 3 2 3 3" xfId="23850"/>
    <cellStyle name="20% - Ênfase5 8 3 2 3 3" xfId="23851"/>
    <cellStyle name="40% - Ênfase5 8 3 2 3 3" xfId="23852"/>
    <cellStyle name="20% - Ênfase6 8 3 2 3 3" xfId="23853"/>
    <cellStyle name="40% - Ênfase6 8 3 2 3 3" xfId="23854"/>
    <cellStyle name="Normal 4 5 3 2 3 3" xfId="23855"/>
    <cellStyle name="Nota 2 5 3 2 3 3" xfId="23856"/>
    <cellStyle name="Normal 5 5 3 2 3 3" xfId="23857"/>
    <cellStyle name="Nota 3 5 3 2 3 3" xfId="23858"/>
    <cellStyle name="20% - Ênfase1 2 5 3 2 3 3" xfId="23859"/>
    <cellStyle name="40% - Ênfase1 2 5 3 2 3 3" xfId="23860"/>
    <cellStyle name="20% - Ênfase2 2 5 3 2 3 3" xfId="23861"/>
    <cellStyle name="40% - Ênfase2 2 5 3 2 3 3" xfId="23862"/>
    <cellStyle name="20% - Ênfase3 2 5 3 2 3 3" xfId="23863"/>
    <cellStyle name="40% - Ênfase3 2 5 3 2 3 3" xfId="23864"/>
    <cellStyle name="20% - Ênfase4 2 5 3 2 3 3" xfId="23865"/>
    <cellStyle name="40% - Ênfase4 2 5 3 2 3 3" xfId="23866"/>
    <cellStyle name="20% - Ênfase5 2 5 3 2 3 3" xfId="23867"/>
    <cellStyle name="40% - Ênfase5 2 5 3 2 3 3" xfId="23868"/>
    <cellStyle name="20% - Ênfase6 2 5 3 2 3 3" xfId="23869"/>
    <cellStyle name="40% - Ênfase6 2 5 3 2 3 3" xfId="23870"/>
    <cellStyle name="Normal 7 5 3 2 3 3" xfId="23871"/>
    <cellStyle name="Nota 4 4 3 2 3 3" xfId="23872"/>
    <cellStyle name="20% - Ênfase1 3 4 3 2 3 3" xfId="23873"/>
    <cellStyle name="40% - Ênfase1 3 4 3 2 3 3" xfId="23874"/>
    <cellStyle name="20% - Ênfase2 3 4 3 2 3 3" xfId="23875"/>
    <cellStyle name="40% - Ênfase2 3 4 3 2 3 3" xfId="23876"/>
    <cellStyle name="20% - Ênfase3 3 4 3 2 3 3" xfId="23877"/>
    <cellStyle name="40% - Ênfase3 3 4 3 2 3 3" xfId="23878"/>
    <cellStyle name="20% - Ênfase4 3 4 3 2 3 3" xfId="23879"/>
    <cellStyle name="40% - Ênfase4 3 4 3 2 3 3" xfId="23880"/>
    <cellStyle name="20% - Ênfase5 3 4 3 2 3 3" xfId="23881"/>
    <cellStyle name="40% - Ênfase5 3 4 3 2 3 3" xfId="23882"/>
    <cellStyle name="20% - Ênfase6 3 4 3 2 3 3" xfId="23883"/>
    <cellStyle name="40% - Ênfase6 3 4 3 2 3 3" xfId="23884"/>
    <cellStyle name="Normal 8 4 3 2 3 3" xfId="23885"/>
    <cellStyle name="Nota 5 4 3 2 3 3" xfId="23886"/>
    <cellStyle name="20% - Ênfase1 4 4 3 2 3 3" xfId="23887"/>
    <cellStyle name="40% - Ênfase1 4 4 3 2 3 3" xfId="23888"/>
    <cellStyle name="20% - Ênfase2 4 4 3 2 3 3" xfId="23889"/>
    <cellStyle name="40% - Ênfase2 4 4 3 2 3 3" xfId="23890"/>
    <cellStyle name="20% - Ênfase3 4 4 3 2 3 3" xfId="23891"/>
    <cellStyle name="40% - Ênfase3 4 4 3 2 3 3" xfId="23892"/>
    <cellStyle name="20% - Ênfase4 4 4 3 2 3 3" xfId="23893"/>
    <cellStyle name="40% - Ênfase4 4 4 3 2 3 3" xfId="23894"/>
    <cellStyle name="20% - Ênfase5 4 4 3 2 3 3" xfId="23895"/>
    <cellStyle name="40% - Ênfase5 4 4 3 2 3 3" xfId="23896"/>
    <cellStyle name="20% - Ênfase6 4 4 3 2 3 3" xfId="23897"/>
    <cellStyle name="40% - Ênfase6 4 4 3 2 3 3" xfId="23898"/>
    <cellStyle name="Normal 3 3 3 2 3 3" xfId="23899"/>
    <cellStyle name="20% - Ênfase1 5 2 3 2 3 3" xfId="23900"/>
    <cellStyle name="40% - Ênfase1 5 2 3 2 3 3" xfId="23901"/>
    <cellStyle name="20% - Ênfase2 5 2 3 2 3 3" xfId="23902"/>
    <cellStyle name="40% - Ênfase2 5 2 3 2 3 3" xfId="23903"/>
    <cellStyle name="20% - Ênfase3 5 2 3 2 3 3" xfId="23904"/>
    <cellStyle name="40% - Ênfase3 5 2 3 2 3 3" xfId="23905"/>
    <cellStyle name="20% - Ênfase4 5 2 3 2 3 3" xfId="23906"/>
    <cellStyle name="40% - Ênfase4 5 2 3 2 3 3" xfId="23907"/>
    <cellStyle name="20% - Ênfase5 5 2 3 2 3 3" xfId="23908"/>
    <cellStyle name="40% - Ênfase5 5 2 3 2 3 3" xfId="23909"/>
    <cellStyle name="20% - Ênfase6 5 2 3 2 3 3" xfId="23910"/>
    <cellStyle name="40% - Ênfase6 5 2 3 2 3 3" xfId="23911"/>
    <cellStyle name="Normal 4 2 2 3 2 3 3" xfId="23912"/>
    <cellStyle name="Nota 2 2 2 3 2 3 3" xfId="23913"/>
    <cellStyle name="Normal 5 2 2 3 2 3 3" xfId="23914"/>
    <cellStyle name="Nota 3 2 2 3 2 3 3" xfId="23915"/>
    <cellStyle name="20% - Ênfase1 2 2 2 3 2 3 3" xfId="23916"/>
    <cellStyle name="40% - Ênfase1 2 2 2 3 2 3 3" xfId="23917"/>
    <cellStyle name="20% - Ênfase2 2 2 2 3 2 3 3" xfId="23918"/>
    <cellStyle name="40% - Ênfase2 2 2 2 3 2 3 3" xfId="23919"/>
    <cellStyle name="20% - Ênfase3 2 2 2 3 2 3 3" xfId="23920"/>
    <cellStyle name="40% - Ênfase3 2 2 2 3 2 3 3" xfId="23921"/>
    <cellStyle name="20% - Ênfase4 2 2 2 3 2 3 3" xfId="23922"/>
    <cellStyle name="40% - Ênfase4 2 2 2 3 2 3 3" xfId="23923"/>
    <cellStyle name="20% - Ênfase5 2 2 2 3 2 3 3" xfId="23924"/>
    <cellStyle name="40% - Ênfase5 2 2 2 3 2 3 3" xfId="23925"/>
    <cellStyle name="20% - Ênfase6 2 2 2 3 2 3 3" xfId="23926"/>
    <cellStyle name="40% - Ênfase6 2 2 2 3 2 3 3" xfId="23927"/>
    <cellStyle name="Normal 7 2 2 3 2 3 3" xfId="23928"/>
    <cellStyle name="Nota 4 3 3 2 3 3" xfId="23929"/>
    <cellStyle name="20% - Ênfase1 3 3 3 2 3 3" xfId="23930"/>
    <cellStyle name="40% - Ênfase1 3 3 3 2 3 3" xfId="23931"/>
    <cellStyle name="20% - Ênfase2 3 3 3 2 3 3" xfId="23932"/>
    <cellStyle name="40% - Ênfase2 3 3 3 2 3 3" xfId="23933"/>
    <cellStyle name="20% - Ênfase3 3 3 3 2 3 3" xfId="23934"/>
    <cellStyle name="40% - Ênfase3 3 3 3 2 3 3" xfId="23935"/>
    <cellStyle name="20% - Ênfase4 3 3 3 2 3 3" xfId="23936"/>
    <cellStyle name="40% - Ênfase4 3 3 3 2 3 3" xfId="23937"/>
    <cellStyle name="20% - Ênfase5 3 3 3 2 3 3" xfId="23938"/>
    <cellStyle name="40% - Ênfase5 3 3 3 2 3 3" xfId="23939"/>
    <cellStyle name="20% - Ênfase6 3 3 3 2 3 3" xfId="23940"/>
    <cellStyle name="40% - Ênfase6 3 3 3 2 3 3" xfId="23941"/>
    <cellStyle name="Normal 8 3 3 2 3 3" xfId="23942"/>
    <cellStyle name="Nota 5 3 3 2 3 3" xfId="23943"/>
    <cellStyle name="20% - Ênfase1 4 3 3 2 3 3" xfId="23944"/>
    <cellStyle name="40% - Ênfase1 4 3 3 2 3 3" xfId="23945"/>
    <cellStyle name="20% - Ênfase2 4 3 3 2 3 3" xfId="23946"/>
    <cellStyle name="40% - Ênfase2 4 3 3 2 3 3" xfId="23947"/>
    <cellStyle name="20% - Ênfase3 4 3 3 2 3 3" xfId="23948"/>
    <cellStyle name="40% - Ênfase3 4 3 3 2 3 3" xfId="23949"/>
    <cellStyle name="20% - Ênfase4 4 3 3 2 3 3" xfId="23950"/>
    <cellStyle name="40% - Ênfase4 4 3 3 2 3 3" xfId="23951"/>
    <cellStyle name="20% - Ênfase5 4 3 3 2 3 3" xfId="23952"/>
    <cellStyle name="40% - Ênfase5 4 3 3 2 3 3" xfId="23953"/>
    <cellStyle name="20% - Ênfase6 4 3 3 2 3 3" xfId="23954"/>
    <cellStyle name="40% - Ênfase6 4 3 3 2 3 3" xfId="23955"/>
    <cellStyle name="20% - Ênfase1 6 2 3 2 3 3" xfId="23956"/>
    <cellStyle name="40% - Ênfase1 6 2 3 2 3 3" xfId="23957"/>
    <cellStyle name="20% - Ênfase2 6 2 3 2 3 3" xfId="23958"/>
    <cellStyle name="40% - Ênfase2 6 2 3 2 3 3" xfId="23959"/>
    <cellStyle name="20% - Ênfase3 6 2 3 2 3 3" xfId="23960"/>
    <cellStyle name="40% - Ênfase3 6 2 3 2 3 3" xfId="23961"/>
    <cellStyle name="20% - Ênfase4 6 2 3 2 3 3" xfId="23962"/>
    <cellStyle name="40% - Ênfase4 6 2 3 2 3 3" xfId="23963"/>
    <cellStyle name="20% - Ênfase5 6 2 3 2 3 3" xfId="23964"/>
    <cellStyle name="40% - Ênfase5 6 2 3 2 3 3" xfId="23965"/>
    <cellStyle name="20% - Ênfase6 6 2 3 2 3 3" xfId="23966"/>
    <cellStyle name="40% - Ênfase6 6 2 3 2 3 3" xfId="23967"/>
    <cellStyle name="Normal 4 3 2 3 2 3 3" xfId="23968"/>
    <cellStyle name="Nota 2 3 2 3 2 3 3" xfId="23969"/>
    <cellStyle name="Normal 5 3 2 3 2 3 3" xfId="23970"/>
    <cellStyle name="Nota 3 3 2 3 2 3 3" xfId="23971"/>
    <cellStyle name="20% - Ênfase1 2 3 2 3 2 3 3" xfId="23972"/>
    <cellStyle name="40% - Ênfase1 2 3 2 3 2 3 3" xfId="23973"/>
    <cellStyle name="20% - Ênfase2 2 3 2 3 2 3 3" xfId="23974"/>
    <cellStyle name="40% - Ênfase2 2 3 2 3 2 3 3" xfId="23975"/>
    <cellStyle name="20% - Ênfase3 2 3 2 3 2 3 3" xfId="23976"/>
    <cellStyle name="40% - Ênfase3 2 3 2 3 2 3 3" xfId="23977"/>
    <cellStyle name="20% - Ênfase4 2 3 2 3 2 3 3" xfId="23978"/>
    <cellStyle name="40% - Ênfase4 2 3 2 3 2 3 3" xfId="23979"/>
    <cellStyle name="20% - Ênfase5 2 3 2 3 2 3 3" xfId="23980"/>
    <cellStyle name="40% - Ênfase5 2 3 2 3 2 3 3" xfId="23981"/>
    <cellStyle name="20% - Ênfase6 2 3 2 3 2 3 3" xfId="23982"/>
    <cellStyle name="40% - Ênfase6 2 3 2 3 2 3 3" xfId="23983"/>
    <cellStyle name="Normal 7 3 2 3 2 3 3" xfId="23984"/>
    <cellStyle name="Nota 4 2 2 3 2 3 3" xfId="23985"/>
    <cellStyle name="20% - Ênfase1 3 2 2 3 2 3 3" xfId="23986"/>
    <cellStyle name="40% - Ênfase1 3 2 2 3 2 3 3" xfId="23987"/>
    <cellStyle name="20% - Ênfase2 3 2 2 3 2 3 3" xfId="23988"/>
    <cellStyle name="40% - Ênfase2 3 2 2 3 2 3 3" xfId="23989"/>
    <cellStyle name="20% - Ênfase3 3 2 2 3 2 3 3" xfId="23990"/>
    <cellStyle name="40% - Ênfase3 3 2 2 3 2 3 3" xfId="23991"/>
    <cellStyle name="20% - Ênfase4 3 2 2 3 2 3 3" xfId="23992"/>
    <cellStyle name="40% - Ênfase4 3 2 2 3 2 3 3" xfId="23993"/>
    <cellStyle name="20% - Ênfase5 3 2 2 3 2 3 3" xfId="23994"/>
    <cellStyle name="40% - Ênfase5 3 2 2 3 2 3 3" xfId="23995"/>
    <cellStyle name="20% - Ênfase6 3 2 2 3 2 3 3" xfId="23996"/>
    <cellStyle name="40% - Ênfase6 3 2 2 3 2 3 3" xfId="23997"/>
    <cellStyle name="Normal 8 2 2 3 2 3 3" xfId="23998"/>
    <cellStyle name="Nota 5 2 2 3 2 3 3" xfId="23999"/>
    <cellStyle name="20% - Ênfase1 4 2 2 3 2 3 3" xfId="24000"/>
    <cellStyle name="40% - Ênfase1 4 2 2 3 2 3 3" xfId="24001"/>
    <cellStyle name="20% - Ênfase2 4 2 2 3 2 3 3" xfId="24002"/>
    <cellStyle name="40% - Ênfase2 4 2 2 3 2 3 3" xfId="24003"/>
    <cellStyle name="20% - Ênfase3 4 2 2 3 2 3 3" xfId="24004"/>
    <cellStyle name="40% - Ênfase3 4 2 2 3 2 3 3" xfId="24005"/>
    <cellStyle name="20% - Ênfase4 4 2 2 3 2 3 3" xfId="24006"/>
    <cellStyle name="40% - Ênfase4 4 2 2 3 2 3 3" xfId="24007"/>
    <cellStyle name="20% - Ênfase5 4 2 2 3 2 3 3" xfId="24008"/>
    <cellStyle name="40% - Ênfase5 4 2 2 3 2 3 3" xfId="24009"/>
    <cellStyle name="20% - Ênfase6 4 2 2 3 2 3 3" xfId="24010"/>
    <cellStyle name="40% - Ênfase6 4 2 2 3 2 3 3" xfId="24011"/>
    <cellStyle name="Normal 3 6 2 3 3" xfId="24012"/>
    <cellStyle name="20% - Ênfase1 5 5 2 3 3" xfId="24013"/>
    <cellStyle name="40% - Ênfase1 5 5 2 3 3" xfId="24014"/>
    <cellStyle name="20% - Ênfase2 5 5 2 3 3" xfId="24015"/>
    <cellStyle name="40% - Ênfase2 5 5 2 3 3" xfId="24016"/>
    <cellStyle name="20% - Ênfase3 5 5 2 3 3" xfId="24017"/>
    <cellStyle name="40% - Ênfase3 5 5 2 3 3" xfId="24018"/>
    <cellStyle name="20% - Ênfase4 5 5 2 3 3" xfId="24019"/>
    <cellStyle name="40% - Ênfase4 5 5 2 3 3" xfId="24020"/>
    <cellStyle name="20% - Ênfase5 5 5 2 3 3" xfId="24021"/>
    <cellStyle name="40% - Ênfase5 5 5 2 3 3" xfId="24022"/>
    <cellStyle name="20% - Ênfase6 5 5 2 3 3" xfId="24023"/>
    <cellStyle name="40% - Ênfase6 5 5 2 3 3" xfId="24024"/>
    <cellStyle name="Normal 4 2 5 2 3 3" xfId="24025"/>
    <cellStyle name="Nota 2 2 5 2 3 3" xfId="24026"/>
    <cellStyle name="Normal 5 2 5 2 3 3" xfId="24027"/>
    <cellStyle name="Nota 3 2 5 2 3 3" xfId="24028"/>
    <cellStyle name="20% - Ênfase1 2 2 5 2 3 3" xfId="24029"/>
    <cellStyle name="40% - Ênfase1 2 2 5 2 3 3" xfId="24030"/>
    <cellStyle name="20% - Ênfase2 2 2 5 2 3 3" xfId="24031"/>
    <cellStyle name="40% - Ênfase2 2 2 5 2 3 3" xfId="24032"/>
    <cellStyle name="20% - Ênfase3 2 2 5 2 3 3" xfId="24033"/>
    <cellStyle name="40% - Ênfase3 2 2 5 2 3 3" xfId="24034"/>
    <cellStyle name="20% - Ênfase4 2 2 5 2 3 3" xfId="24035"/>
    <cellStyle name="40% - Ênfase4 2 2 5 2 3 3" xfId="24036"/>
    <cellStyle name="20% - Ênfase5 2 2 5 2 3 3" xfId="24037"/>
    <cellStyle name="40% - Ênfase5 2 2 5 2 3 3" xfId="24038"/>
    <cellStyle name="20% - Ênfase6 2 2 5 2 3 3" xfId="24039"/>
    <cellStyle name="40% - Ênfase6 2 2 5 2 3 3" xfId="24040"/>
    <cellStyle name="Normal 7 2 5 2 3 3" xfId="24041"/>
    <cellStyle name="Nota 4 7 2 3 3" xfId="24042"/>
    <cellStyle name="20% - Ênfase1 3 7 2 3 3" xfId="24043"/>
    <cellStyle name="40% - Ênfase1 3 7 2 3 3" xfId="24044"/>
    <cellStyle name="20% - Ênfase2 3 7 2 3 3" xfId="24045"/>
    <cellStyle name="40% - Ênfase2 3 7 2 3 3" xfId="24046"/>
    <cellStyle name="20% - Ênfase3 3 7 2 3 3" xfId="24047"/>
    <cellStyle name="40% - Ênfase3 3 7 2 3 3" xfId="24048"/>
    <cellStyle name="20% - Ênfase4 3 7 2 3 3" xfId="24049"/>
    <cellStyle name="40% - Ênfase4 3 7 2 3 3" xfId="24050"/>
    <cellStyle name="20% - Ênfase5 3 7 2 3 3" xfId="24051"/>
    <cellStyle name="40% - Ênfase5 3 7 2 3 3" xfId="24052"/>
    <cellStyle name="20% - Ênfase6 3 7 2 3 3" xfId="24053"/>
    <cellStyle name="40% - Ênfase6 3 7 2 3 3" xfId="24054"/>
    <cellStyle name="Normal 8 7 2 3 3" xfId="24055"/>
    <cellStyle name="Nota 5 7 2 3 3" xfId="24056"/>
    <cellStyle name="20% - Ênfase1 4 7 2 3 3" xfId="24057"/>
    <cellStyle name="40% - Ênfase1 4 7 2 3 3" xfId="24058"/>
    <cellStyle name="20% - Ênfase2 4 7 2 3 3" xfId="24059"/>
    <cellStyle name="40% - Ênfase2 4 7 2 3 3" xfId="24060"/>
    <cellStyle name="20% - Ênfase3 4 7 2 3 3" xfId="24061"/>
    <cellStyle name="40% - Ênfase3 4 7 2 3 3" xfId="24062"/>
    <cellStyle name="20% - Ênfase4 4 7 2 3 3" xfId="24063"/>
    <cellStyle name="40% - Ênfase4 4 7 2 3 3" xfId="24064"/>
    <cellStyle name="20% - Ênfase5 4 7 2 3 3" xfId="24065"/>
    <cellStyle name="40% - Ênfase5 4 7 2 3 3" xfId="24066"/>
    <cellStyle name="20% - Ênfase6 4 7 2 3 3" xfId="24067"/>
    <cellStyle name="40% - Ênfase6 4 7 2 3 3" xfId="24068"/>
    <cellStyle name="Vírgula 7 2 2 2 3" xfId="24069"/>
    <cellStyle name="Normal 6 4 2 3 3" xfId="24070"/>
    <cellStyle name="Separador de milhares 2 6 2 2 3" xfId="24071"/>
    <cellStyle name="Separador de milhares 2 2 3 2 2 3" xfId="24072"/>
    <cellStyle name="Separador de milhares 2 3 2 2 2 3" xfId="24073"/>
    <cellStyle name="Separador de milhares 2 4 2 2 3" xfId="24074"/>
    <cellStyle name="Separador de milhares 2 5 2 2 3" xfId="24075"/>
    <cellStyle name="Separador de milhares 3 4 2 3 3" xfId="24076"/>
    <cellStyle name="Separador de milhares 3 2 3 2 2 3" xfId="24077"/>
    <cellStyle name="Separador de milhares 4 3 2 3 3" xfId="24078"/>
    <cellStyle name="Separador de milhares 4 2 2 2 2 3" xfId="24079"/>
    <cellStyle name="Separador de milhares 5 4 2 2 3" xfId="24080"/>
    <cellStyle name="Separador de milhares 6 4 2 2 3" xfId="24081"/>
    <cellStyle name="Separador de milhares 7 2 2 3 3" xfId="24082"/>
    <cellStyle name="Vírgula 8 2 2 3 3" xfId="24083"/>
    <cellStyle name="Vírgula 2 5 2 2 3" xfId="24084"/>
    <cellStyle name="Vírgula 4 3 2 2 3" xfId="24085"/>
    <cellStyle name="Vírgula 4 2 2 2 3 3" xfId="24086"/>
    <cellStyle name="Vírgula 3 3 2 2 3" xfId="24087"/>
    <cellStyle name="Vírgula 9 2 2 2 3" xfId="24088"/>
    <cellStyle name="Separador de milhares 2 7 2 3 3" xfId="24089"/>
    <cellStyle name="Separador de milhares 3 5 2 3" xfId="24090"/>
    <cellStyle name="Vírgula 10 2 3 3" xfId="24091"/>
    <cellStyle name="20% - Ênfase1 9 2 3" xfId="24092"/>
    <cellStyle name="40% - Ênfase1 9 2 3" xfId="24093"/>
    <cellStyle name="20% - Ênfase2 9 2 3" xfId="24094"/>
    <cellStyle name="40% - Ênfase2 9 2 3" xfId="24095"/>
    <cellStyle name="20% - Ênfase3 9 2 3" xfId="24096"/>
    <cellStyle name="40% - Ênfase3 9 2 3" xfId="24097"/>
    <cellStyle name="20% - Ênfase4 9 2 3" xfId="24098"/>
    <cellStyle name="40% - Ênfase4 9 2 3" xfId="24099"/>
    <cellStyle name="20% - Ênfase5 9 2 3" xfId="24100"/>
    <cellStyle name="40% - Ênfase5 9 2 3" xfId="24101"/>
    <cellStyle name="20% - Ênfase6 9 2 3" xfId="24102"/>
    <cellStyle name="40% - Ênfase6 9 2 3" xfId="24103"/>
    <cellStyle name="Normal 4 7 2 3" xfId="24104"/>
    <cellStyle name="Nota 2 6 2 3" xfId="24105"/>
    <cellStyle name="Normal 5 6 2 3" xfId="24106"/>
    <cellStyle name="Nota 3 6 2 3" xfId="24107"/>
    <cellStyle name="20% - Ênfase1 2 6 2 3" xfId="24108"/>
    <cellStyle name="40% - Ênfase1 2 6 2 3" xfId="24109"/>
    <cellStyle name="20% - Ênfase2 2 6 2 3" xfId="24110"/>
    <cellStyle name="40% - Ênfase2 2 6 2 3" xfId="24111"/>
    <cellStyle name="20% - Ênfase3 2 6 2 3" xfId="24112"/>
    <cellStyle name="40% - Ênfase3 2 6 2 3" xfId="24113"/>
    <cellStyle name="20% - Ênfase4 2 6 2 3" xfId="24114"/>
    <cellStyle name="40% - Ênfase4 2 6 2 3" xfId="24115"/>
    <cellStyle name="20% - Ênfase5 2 6 2 3" xfId="24116"/>
    <cellStyle name="40% - Ênfase5 2 6 2 3" xfId="24117"/>
    <cellStyle name="20% - Ênfase6 2 6 2 3" xfId="24118"/>
    <cellStyle name="40% - Ênfase6 2 6 2 3" xfId="24119"/>
    <cellStyle name="Vírgula 2 6 2 2 3" xfId="24120"/>
    <cellStyle name="Normal 7 7 2 3" xfId="24121"/>
    <cellStyle name="Nota 4 8 2 2 3" xfId="24122"/>
    <cellStyle name="20% - Ênfase1 3 8 2 2 3" xfId="24123"/>
    <cellStyle name="40% - Ênfase1 3 8 2 2 3" xfId="24124"/>
    <cellStyle name="20% - Ênfase2 3 8 2 2 3" xfId="24125"/>
    <cellStyle name="40% - Ênfase2 3 8 2 2 3" xfId="24126"/>
    <cellStyle name="20% - Ênfase3 3 8 2 2 3" xfId="24127"/>
    <cellStyle name="40% - Ênfase3 3 8 2 2 3" xfId="24128"/>
    <cellStyle name="20% - Ênfase4 3 8 2 2 3" xfId="24129"/>
    <cellStyle name="40% - Ênfase4 3 8 2 2 3" xfId="24130"/>
    <cellStyle name="20% - Ênfase5 3 8 2 2 3" xfId="24131"/>
    <cellStyle name="40% - Ênfase5 3 8 2 2 3" xfId="24132"/>
    <cellStyle name="20% - Ênfase6 3 8 2 2 3" xfId="24133"/>
    <cellStyle name="40% - Ênfase6 3 8 2 2 3" xfId="24134"/>
    <cellStyle name="Normal 8 9 2 2 3" xfId="24135"/>
    <cellStyle name="Nota 5 8 2 2 3" xfId="24136"/>
    <cellStyle name="20% - Ênfase1 4 8 2 2 3" xfId="24137"/>
    <cellStyle name="40% - Ênfase1 4 8 2 2 3" xfId="24138"/>
    <cellStyle name="20% - Ênfase2 4 8 2 2 3" xfId="24139"/>
    <cellStyle name="40% - Ênfase2 4 8 2 2 3" xfId="24140"/>
    <cellStyle name="20% - Ênfase3 4 8 2 2 3" xfId="24141"/>
    <cellStyle name="40% - Ênfase3 4 8 2 2 3" xfId="24142"/>
    <cellStyle name="20% - Ênfase4 4 8 2 2 3" xfId="24143"/>
    <cellStyle name="40% - Ênfase4 4 8 2 2 3" xfId="24144"/>
    <cellStyle name="20% - Ênfase5 4 8 2 2 3" xfId="24145"/>
    <cellStyle name="40% - Ênfase5 4 8 2 2 3" xfId="24146"/>
    <cellStyle name="20% - Ênfase6 4 8 2 2 3" xfId="24147"/>
    <cellStyle name="40% - Ênfase6 4 8 2 2 3" xfId="24148"/>
    <cellStyle name="Normal 3 3 4 2 2 3" xfId="24149"/>
    <cellStyle name="Separador de milhares 4 4 2 2 3" xfId="24150"/>
    <cellStyle name="Separador de milhares 5 5 2 2 3" xfId="24151"/>
    <cellStyle name="Separador de milhares 6 5 2 2 3" xfId="24152"/>
    <cellStyle name="Vírgula 5 3 2 2 3" xfId="24153"/>
    <cellStyle name="Vírgula 2 3 3 2 3" xfId="24154"/>
    <cellStyle name="Separador de milhares 2 2 4 2 2 3" xfId="24155"/>
    <cellStyle name="Separador de milhares 3 2 4 2 2 3" xfId="24156"/>
    <cellStyle name="Vírgula 3 4 2 2 3" xfId="24157"/>
    <cellStyle name="Vírgula 4 4 2 2 3" xfId="24158"/>
    <cellStyle name="Vírgula 2 2 3 2 3" xfId="24159"/>
    <cellStyle name="20% - Ênfase1 5 6 2 2 3" xfId="24160"/>
    <cellStyle name="40% - Ênfase1 5 6 2 2 3" xfId="24161"/>
    <cellStyle name="20% - Ênfase2 5 6 2 2 3" xfId="24162"/>
    <cellStyle name="40% - Ênfase2 5 6 2 2 3" xfId="24163"/>
    <cellStyle name="20% - Ênfase3 5 6 2 2 3" xfId="24164"/>
    <cellStyle name="40% - Ênfase3 5 6 2 2 3" xfId="24165"/>
    <cellStyle name="20% - Ênfase4 5 6 2 2 3" xfId="24166"/>
    <cellStyle name="40% - Ênfase4 5 6 2 2 3" xfId="24167"/>
    <cellStyle name="20% - Ênfase5 5 6 2 2 3" xfId="24168"/>
    <cellStyle name="40% - Ênfase5 5 6 2 2 3" xfId="24169"/>
    <cellStyle name="20% - Ênfase6 5 6 2 2 3" xfId="24170"/>
    <cellStyle name="40% - Ênfase6 5 6 2 2 3" xfId="24171"/>
    <cellStyle name="Normal 4 2 6 2 2 3" xfId="24172"/>
    <cellStyle name="Nota 2 2 6 2 2 3" xfId="24173"/>
    <cellStyle name="Normal 5 2 7 2 2 3" xfId="24174"/>
    <cellStyle name="Nota 3 2 6 2 2 3" xfId="24175"/>
    <cellStyle name="20% - Ênfase1 2 2 6 2 2 3" xfId="24176"/>
    <cellStyle name="40% - Ênfase1 2 2 6 2 2 3" xfId="24177"/>
    <cellStyle name="20% - Ênfase2 2 2 6 2 2 3" xfId="24178"/>
    <cellStyle name="40% - Ênfase2 2 2 6 2 2 3" xfId="24179"/>
    <cellStyle name="20% - Ênfase3 2 2 6 2 2 3" xfId="24180"/>
    <cellStyle name="40% - Ênfase3 2 2 6 2 2 3" xfId="24181"/>
    <cellStyle name="20% - Ênfase4 2 2 6 2 2 3" xfId="24182"/>
    <cellStyle name="40% - Ênfase4 2 2 6 2 2 3" xfId="24183"/>
    <cellStyle name="20% - Ênfase5 2 2 6 2 2 3" xfId="24184"/>
    <cellStyle name="40% - Ênfase5 2 2 6 2 2 3" xfId="24185"/>
    <cellStyle name="20% - Ênfase6 2 2 6 2 2 3" xfId="24186"/>
    <cellStyle name="40% - Ênfase6 2 2 6 2 2 3" xfId="24187"/>
    <cellStyle name="Normal 7 2 6 2 2 3" xfId="24188"/>
    <cellStyle name="Nota 4 3 4 2 2 3" xfId="24189"/>
    <cellStyle name="20% - Ênfase1 3 3 4 2 2 3" xfId="24190"/>
    <cellStyle name="40% - Ênfase1 3 3 4 2 2 3" xfId="24191"/>
    <cellStyle name="20% - Ênfase2 3 3 4 2 2 3" xfId="24192"/>
    <cellStyle name="40% - Ênfase2 3 3 4 2 2 3" xfId="24193"/>
    <cellStyle name="20% - Ênfase3 3 3 4 2 2 3" xfId="24194"/>
    <cellStyle name="40% - Ênfase3 3 3 4 2 2 3" xfId="24195"/>
    <cellStyle name="20% - Ênfase4 3 3 4 2 2 3" xfId="24196"/>
    <cellStyle name="40% - Ênfase4 3 3 4 2 2 3" xfId="24197"/>
    <cellStyle name="20% - Ênfase5 3 3 4 2 2 3" xfId="24198"/>
    <cellStyle name="40% - Ênfase5 3 3 4 2 2 3" xfId="24199"/>
    <cellStyle name="20% - Ênfase6 3 3 4 2 2 3" xfId="24200"/>
    <cellStyle name="40% - Ênfase6 3 3 4 2 2 3" xfId="24201"/>
    <cellStyle name="Normal 8 3 4 2 2 3" xfId="24202"/>
    <cellStyle name="Nota 5 3 4 2 2 3" xfId="24203"/>
    <cellStyle name="20% - Ênfase1 4 3 4 2 2 3" xfId="24204"/>
    <cellStyle name="40% - Ênfase1 4 3 4 2 2 3" xfId="24205"/>
    <cellStyle name="20% - Ênfase2 4 3 4 2 2 3" xfId="24206"/>
    <cellStyle name="40% - Ênfase2 4 3 4 2 2 3" xfId="24207"/>
    <cellStyle name="20% - Ênfase3 4 3 4 2 2 3" xfId="24208"/>
    <cellStyle name="40% - Ênfase3 4 3 4 2 2 3" xfId="24209"/>
    <cellStyle name="20% - Ênfase4 4 3 4 2 2 3" xfId="24210"/>
    <cellStyle name="40% - Ênfase4 4 3 4 2 2 3" xfId="24211"/>
    <cellStyle name="20% - Ênfase5 4 3 4 2 2 3" xfId="24212"/>
    <cellStyle name="40% - Ênfase5 4 3 4 2 2 3" xfId="24213"/>
    <cellStyle name="20% - Ênfase6 4 3 4 2 2 3" xfId="24214"/>
    <cellStyle name="40% - Ênfase6 4 3 4 2 2 3" xfId="24215"/>
    <cellStyle name="20% - Ênfase1 6 5 2 2 3" xfId="24216"/>
    <cellStyle name="40% - Ênfase1 6 5 2 2 3" xfId="24217"/>
    <cellStyle name="20% - Ênfase2 6 5 2 2 3" xfId="24218"/>
    <cellStyle name="40% - Ênfase2 6 5 2 2 3" xfId="24219"/>
    <cellStyle name="20% - Ênfase3 6 5 2 2 3" xfId="24220"/>
    <cellStyle name="40% - Ênfase3 6 5 2 2 3" xfId="24221"/>
    <cellStyle name="20% - Ênfase4 6 5 2 2 3" xfId="24222"/>
    <cellStyle name="40% - Ênfase4 6 5 2 2 3" xfId="24223"/>
    <cellStyle name="20% - Ênfase5 6 5 2 2 3" xfId="24224"/>
    <cellStyle name="40% - Ênfase5 6 5 2 2 3" xfId="24225"/>
    <cellStyle name="20% - Ênfase6 6 5 2 2 3" xfId="24226"/>
    <cellStyle name="40% - Ênfase6 6 5 2 2 3" xfId="24227"/>
    <cellStyle name="Normal 4 3 5 2 2 3" xfId="24228"/>
    <cellStyle name="Nota 2 3 5 2 2 3" xfId="24229"/>
    <cellStyle name="Normal 5 3 5 2 2 3" xfId="24230"/>
    <cellStyle name="Nota 3 3 5 2 2 3" xfId="24231"/>
    <cellStyle name="20% - Ênfase1 2 3 5 2 2 3" xfId="24232"/>
    <cellStyle name="40% - Ênfase1 2 3 5 2 2 3" xfId="24233"/>
    <cellStyle name="20% - Ênfase2 2 3 5 2 2 3" xfId="24234"/>
    <cellStyle name="40% - Ênfase2 2 3 5 2 2 3" xfId="24235"/>
    <cellStyle name="20% - Ênfase3 2 3 5 2 2 3" xfId="24236"/>
    <cellStyle name="40% - Ênfase3 2 3 5 2 2 3" xfId="24237"/>
    <cellStyle name="20% - Ênfase4 2 3 5 2 2 3" xfId="24238"/>
    <cellStyle name="40% - Ênfase4 2 3 5 2 2 3" xfId="24239"/>
    <cellStyle name="20% - Ênfase5 2 3 5 2 2 3" xfId="24240"/>
    <cellStyle name="40% - Ênfase5 2 3 5 2 2 3" xfId="24241"/>
    <cellStyle name="20% - Ênfase6 2 3 5 2 2 3" xfId="24242"/>
    <cellStyle name="40% - Ênfase6 2 3 5 2 2 3" xfId="24243"/>
    <cellStyle name="Normal 7 3 5 2 2 3" xfId="24244"/>
    <cellStyle name="Nota 4 2 5 2 2 3" xfId="24245"/>
    <cellStyle name="20% - Ênfase1 3 2 5 2 2 3" xfId="24246"/>
    <cellStyle name="40% - Ênfase1 3 2 5 2 2 3" xfId="24247"/>
    <cellStyle name="20% - Ênfase2 3 2 5 2 2 3" xfId="24248"/>
    <cellStyle name="40% - Ênfase2 3 2 5 2 2 3" xfId="24249"/>
    <cellStyle name="20% - Ênfase3 3 2 5 2 2 3" xfId="24250"/>
    <cellStyle name="40% - Ênfase3 3 2 5 2 2 3" xfId="24251"/>
    <cellStyle name="20% - Ênfase4 3 2 5 2 2 3" xfId="24252"/>
    <cellStyle name="40% - Ênfase4 3 2 5 2 2 3" xfId="24253"/>
    <cellStyle name="20% - Ênfase5 3 2 5 2 2 3" xfId="24254"/>
    <cellStyle name="40% - Ênfase5 3 2 5 2 2 3" xfId="24255"/>
    <cellStyle name="20% - Ênfase6 3 2 5 2 2 3" xfId="24256"/>
    <cellStyle name="40% - Ênfase6 3 2 5 2 2 3" xfId="24257"/>
    <cellStyle name="Normal 8 2 5 2 2 3" xfId="24258"/>
    <cellStyle name="Nota 5 2 5 2 2 3" xfId="24259"/>
    <cellStyle name="20% - Ênfase1 4 2 5 2 2 3" xfId="24260"/>
    <cellStyle name="40% - Ênfase1 4 2 5 2 2 3" xfId="24261"/>
    <cellStyle name="20% - Ênfase2 4 2 5 2 2 3" xfId="24262"/>
    <cellStyle name="40% - Ênfase2 4 2 5 2 2 3" xfId="24263"/>
    <cellStyle name="20% - Ênfase3 4 2 5 2 2 3" xfId="24264"/>
    <cellStyle name="40% - Ênfase3 4 2 5 2 2 3" xfId="24265"/>
    <cellStyle name="20% - Ênfase4 4 2 5 2 2 3" xfId="24266"/>
    <cellStyle name="40% - Ênfase4 4 2 5 2 2 3" xfId="24267"/>
    <cellStyle name="20% - Ênfase5 4 2 5 2 2 3" xfId="24268"/>
    <cellStyle name="40% - Ênfase5 4 2 5 2 2 3" xfId="24269"/>
    <cellStyle name="20% - Ênfase6 4 2 5 2 2 3" xfId="24270"/>
    <cellStyle name="40% - Ênfase6 4 2 5 2 2 3" xfId="24271"/>
    <cellStyle name="Normal 13 2 5" xfId="24272"/>
    <cellStyle name="Normal 16 3" xfId="24273"/>
    <cellStyle name="Normal 2 6 5" xfId="24274"/>
    <cellStyle name="Normal 3 9 3 3" xfId="24275"/>
    <cellStyle name="Porcentagem 2 5 3" xfId="24276"/>
    <cellStyle name="Vírgula 5 6 3" xfId="24277"/>
    <cellStyle name="Vírgula 2 9 3" xfId="24278"/>
    <cellStyle name="Vírgula 3 7 3" xfId="24279"/>
    <cellStyle name="Vírgula 4 7 3" xfId="24280"/>
    <cellStyle name="Vírgula 4 2 5 3" xfId="24281"/>
    <cellStyle name="Vírgula 20 2 3" xfId="24282"/>
    <cellStyle name="Vírgula 2 2 6 3" xfId="24283"/>
    <cellStyle name="Vírgula 3 2 4 3" xfId="24284"/>
    <cellStyle name="Vírgula 4 3 4 3" xfId="24285"/>
    <cellStyle name="Vírgula 4 2 2 4 3" xfId="24286"/>
    <cellStyle name="Vírgula 21 3" xfId="24287"/>
    <cellStyle name="Separador de milhares 2 11 3" xfId="24288"/>
    <cellStyle name="Separador de milhares 3 8 3" xfId="24289"/>
    <cellStyle name="Separador de milhares 4 7 3" xfId="24290"/>
    <cellStyle name="Separador de milhares 5 8 3" xfId="24291"/>
    <cellStyle name="Separador de milhares 6 8 3" xfId="24292"/>
    <cellStyle name="Separador de milhares 7 6 3" xfId="24293"/>
    <cellStyle name="Normal 3 2 5 3" xfId="24294"/>
    <cellStyle name="Normal 6 9 3" xfId="24295"/>
    <cellStyle name="Comma 2 6 3" xfId="24296"/>
    <cellStyle name="Percent 2 6 3" xfId="24297"/>
    <cellStyle name="Separador de milhares 3 3 5 3" xfId="24298"/>
    <cellStyle name="Normal 6 2 5 3" xfId="24299"/>
    <cellStyle name="Comma 2 2 5 3" xfId="24300"/>
    <cellStyle name="Percent 2 2 4 3" xfId="24301"/>
    <cellStyle name="Normal 7 10 3" xfId="24302"/>
    <cellStyle name="Normal 8 15 3" xfId="24303"/>
    <cellStyle name="Comma 4 5 3" xfId="24304"/>
    <cellStyle name="Percent 3 5 3" xfId="24305"/>
    <cellStyle name="Normal 9 6 3" xfId="24306"/>
    <cellStyle name="Comma 5 5 3" xfId="24307"/>
    <cellStyle name="Normal 8 2 9 3" xfId="24308"/>
    <cellStyle name="Normal 8 3 8 3" xfId="24309"/>
    <cellStyle name="Normal 8 4 8 3" xfId="24310"/>
    <cellStyle name="Normal 8 5 8 3" xfId="24311"/>
    <cellStyle name="Normal 8 5 2 6 3" xfId="24312"/>
    <cellStyle name="Normal 7 2 10 3" xfId="24313"/>
    <cellStyle name="Vírgula 9 5 3" xfId="24314"/>
    <cellStyle name="Separador de milhares 2 2 7 3" xfId="24315"/>
    <cellStyle name="Separador de milhares 3 4 4 3" xfId="24316"/>
    <cellStyle name="Separador de milhares 4 3 4 3" xfId="24317"/>
    <cellStyle name="Separador de milhares 5 3 4 3" xfId="24318"/>
    <cellStyle name="Separador de milhares 6 3 4 3" xfId="24319"/>
    <cellStyle name="Separador de milhares 7 3 5 3" xfId="24320"/>
    <cellStyle name="Normal 3 2 2 4 3" xfId="24321"/>
    <cellStyle name="Normal 6 3 4 3" xfId="24322"/>
    <cellStyle name="Comma 2 3 4 3" xfId="24323"/>
    <cellStyle name="Percent 2 3 3 3" xfId="24324"/>
    <cellStyle name="Separador de milhares 3 3 2 4 3" xfId="24325"/>
    <cellStyle name="Normal 6 2 2 3 3" xfId="24326"/>
    <cellStyle name="Comma 2 2 2 3 3" xfId="24327"/>
    <cellStyle name="Percent 2 2 2 3 3" xfId="24328"/>
    <cellStyle name="Normal 7 3 9 3" xfId="24329"/>
    <cellStyle name="Comma 3 2 3 3" xfId="24330"/>
    <cellStyle name="Normal 8 6 6 3" xfId="24331"/>
    <cellStyle name="Comma 4 2 3 3" xfId="24332"/>
    <cellStyle name="Percent 3 2 3 3" xfId="24333"/>
    <cellStyle name="Normal 9 2 4 3" xfId="24334"/>
    <cellStyle name="Comma 5 2 3 3" xfId="24335"/>
    <cellStyle name="Normal 8 2 2 8 3" xfId="24336"/>
    <cellStyle name="Vírgula 13 2 3 3" xfId="24337"/>
    <cellStyle name="Vírgula 4 2 2 5 3" xfId="24338"/>
    <cellStyle name="Normal 8 3 2 6 3" xfId="24339"/>
    <cellStyle name="Normal 8 4 2 6 3" xfId="24340"/>
    <cellStyle name="Normal 8 5 3 4 3" xfId="24341"/>
    <cellStyle name="Normal 8 5 2 2 3 3" xfId="24342"/>
    <cellStyle name="Normal 7 2 2 8 3" xfId="24343"/>
    <cellStyle name="Vírgula 18 2 3 3" xfId="24344"/>
    <cellStyle name="Vírgula 12 2 4 3" xfId="24345"/>
    <cellStyle name="Normal 12 4 3" xfId="24346"/>
    <cellStyle name="Normal 3 8 4 3" xfId="24347"/>
    <cellStyle name="Percent 3 3 3 3" xfId="24348"/>
    <cellStyle name="Comma 2 4 3 3" xfId="24349"/>
    <cellStyle name="Comma 2 2 3 3 3" xfId="24350"/>
    <cellStyle name="Normal 6 7 3 3" xfId="24351"/>
    <cellStyle name="Normal 3 2 3 3 3" xfId="24352"/>
    <cellStyle name="Separador de milhares 2 9 3 3" xfId="24353"/>
    <cellStyle name="Normal 7 8 3 3" xfId="24354"/>
    <cellStyle name="Comma 2 3 2 3 3" xfId="24355"/>
    <cellStyle name="Separador de milhares 2 8 3 3" xfId="24356"/>
    <cellStyle name="Separador de milhares 3 6 3 3" xfId="24357"/>
    <cellStyle name="Separador de milhares 4 5 4 3" xfId="24358"/>
    <cellStyle name="Separador de milhares 5 5 4 3" xfId="24359"/>
    <cellStyle name="Separador de milhares 6 6 4 3" xfId="24360"/>
    <cellStyle name="Separador de milhares 7 4 3 3" xfId="24361"/>
    <cellStyle name="Comma 3 3 3 3" xfId="24362"/>
    <cellStyle name="Vírgula 7 2 3 3" xfId="24363"/>
    <cellStyle name="20% - Ênfase1 2 2 10 3" xfId="24364"/>
    <cellStyle name="20% - Ênfase1 2 2 2 7 3" xfId="24365"/>
    <cellStyle name="20% - Ênfase1 2 2 2 2 5 3" xfId="24366"/>
    <cellStyle name="20% - Ênfase1 2 2 2 3 5 3" xfId="24367"/>
    <cellStyle name="20% - Ênfase1 2 2 3 5 3" xfId="24368"/>
    <cellStyle name="20% - Ênfase1 2 2 4 5 3" xfId="24369"/>
    <cellStyle name="20% - Ênfase1 2 2 5 5 3" xfId="24370"/>
    <cellStyle name="20% - Ênfase1 2 3 9 3" xfId="24371"/>
    <cellStyle name="20% - Ênfase1 2 3 2 7 3" xfId="24372"/>
    <cellStyle name="20% - Ênfase1 2 3 2 2 5 3" xfId="24373"/>
    <cellStyle name="20% - Ênfase1 2 3 2 3 5 3" xfId="24374"/>
    <cellStyle name="20% - Ênfase1 2 3 3 5 3" xfId="24375"/>
    <cellStyle name="20% - Ênfase1 2 3 4 5 3" xfId="24376"/>
    <cellStyle name="20% - Ênfase1 2 5 7 3" xfId="24377"/>
    <cellStyle name="20% - Ênfase1 2 5 2 5 3" xfId="24378"/>
    <cellStyle name="20% - Ênfase1 2 5 3 5 3" xfId="24379"/>
    <cellStyle name="20% - Ênfase1 3 12 3" xfId="24380"/>
    <cellStyle name="20% - Ênfase1 3 2 9 3" xfId="24381"/>
    <cellStyle name="20% - Ênfase1 3 2 2 7 3" xfId="24382"/>
    <cellStyle name="20% - Ênfase1 3 2 2 2 5 3" xfId="24383"/>
    <cellStyle name="20% - Ênfase1 3 2 2 3 5 3" xfId="24384"/>
    <cellStyle name="20% - Ênfase1 3 2 3 5 3" xfId="24385"/>
    <cellStyle name="20% - Ênfase1 3 2 4 5 3" xfId="24386"/>
    <cellStyle name="20% - Ênfase1 3 3 8 3" xfId="24387"/>
    <cellStyle name="20% - Ênfase1 3 3 2 5 3" xfId="24388"/>
    <cellStyle name="20% - Ênfase1 3 3 3 5 3" xfId="24389"/>
    <cellStyle name="20% - Ênfase1 3 4 7 3" xfId="24390"/>
    <cellStyle name="20% - Ênfase1 3 4 2 5 3" xfId="24391"/>
    <cellStyle name="20% - Ênfase1 3 4 3 5 3" xfId="24392"/>
    <cellStyle name="20% - Ênfase1 3 5 5 3" xfId="24393"/>
    <cellStyle name="20% - Ênfase1 3 6 5 3" xfId="24394"/>
    <cellStyle name="20% - Ênfase1 3 7 5 3" xfId="24395"/>
    <cellStyle name="20% - Ênfase1 4 12 3" xfId="24396"/>
    <cellStyle name="20% - Ênfase1 4 2 9 3" xfId="24397"/>
    <cellStyle name="20% - Ênfase1 4 2 2 7 3" xfId="24398"/>
    <cellStyle name="20% - Ênfase1 4 2 2 2 5 3" xfId="24399"/>
    <cellStyle name="20% - Ênfase1 4 2 2 3 5 3" xfId="24400"/>
    <cellStyle name="20% - Ênfase1 4 2 3 5 3" xfId="24401"/>
    <cellStyle name="20% - Ênfase1 4 2 4 5 3" xfId="24402"/>
    <cellStyle name="20% - Ênfase1 4 3 8 3" xfId="24403"/>
    <cellStyle name="20% - Ênfase1 4 3 2 5 3" xfId="24404"/>
    <cellStyle name="20% - Ênfase1 4 3 3 5 3" xfId="24405"/>
    <cellStyle name="20% - Ênfase1 4 4 7 3" xfId="24406"/>
    <cellStyle name="20% - Ênfase1 4 4 2 5 3" xfId="24407"/>
    <cellStyle name="20% - Ênfase1 4 4 3 5 3" xfId="24408"/>
    <cellStyle name="20% - Ênfase1 4 5 5 3" xfId="24409"/>
    <cellStyle name="20% - Ênfase1 4 6 5 3" xfId="24410"/>
    <cellStyle name="20% - Ênfase1 4 7 5 3" xfId="24411"/>
    <cellStyle name="20% - Ênfase1 5 10 3" xfId="24412"/>
    <cellStyle name="20% - Ênfase1 5 2 7 3" xfId="24413"/>
    <cellStyle name="20% - Ênfase1 5 2 2 5 3" xfId="24414"/>
    <cellStyle name="20% - Ênfase1 5 2 3 5 3" xfId="24415"/>
    <cellStyle name="20% - Ênfase1 5 3 5 3" xfId="24416"/>
    <cellStyle name="20% - Ênfase1 5 4 5 3" xfId="24417"/>
    <cellStyle name="20% - Ênfase1 5 5 5 3" xfId="24418"/>
    <cellStyle name="20% - Ênfase1 6 9 3" xfId="24419"/>
    <cellStyle name="20% - Ênfase1 6 2 7 3" xfId="24420"/>
    <cellStyle name="20% - Ênfase1 6 2 2 5 3" xfId="24421"/>
    <cellStyle name="20% - Ênfase1 6 2 3 5 3" xfId="24422"/>
    <cellStyle name="20% - Ênfase1 6 3 5 3" xfId="24423"/>
    <cellStyle name="20% - Ênfase1 6 4 5 3" xfId="24424"/>
    <cellStyle name="20% - Ênfase1 8 7 3" xfId="24425"/>
    <cellStyle name="20% - Ênfase1 8 2 5 3" xfId="24426"/>
    <cellStyle name="20% - Ênfase1 8 3 5 3" xfId="24427"/>
    <cellStyle name="20% - Ênfase2 2 2 10 3" xfId="24428"/>
    <cellStyle name="20% - Ênfase2 2 2 2 7 3" xfId="24429"/>
    <cellStyle name="20% - Ênfase2 2 2 2 2 5 3" xfId="24430"/>
    <cellStyle name="20% - Ênfase2 2 2 2 3 5 3" xfId="24431"/>
    <cellStyle name="20% - Ênfase2 2 2 3 5 3" xfId="24432"/>
    <cellStyle name="20% - Ênfase2 2 2 4 5 3" xfId="24433"/>
    <cellStyle name="20% - Ênfase2 2 2 5 5 3" xfId="24434"/>
    <cellStyle name="20% - Ênfase2 2 3 9 3" xfId="24435"/>
    <cellStyle name="20% - Ênfase2 2 3 2 7 3" xfId="24436"/>
    <cellStyle name="20% - Ênfase2 2 3 2 2 5 3" xfId="24437"/>
    <cellStyle name="20% - Ênfase2 2 3 2 3 5 3" xfId="24438"/>
    <cellStyle name="20% - Ênfase2 2 3 3 5 3" xfId="24439"/>
    <cellStyle name="20% - Ênfase2 2 3 4 5 3" xfId="24440"/>
    <cellStyle name="20% - Ênfase2 2 5 7 3" xfId="24441"/>
    <cellStyle name="20% - Ênfase2 2 5 2 5 3" xfId="24442"/>
    <cellStyle name="20% - Ênfase2 2 5 3 5 3" xfId="24443"/>
    <cellStyle name="20% - Ênfase2 3 12 3" xfId="24444"/>
    <cellStyle name="20% - Ênfase2 3 2 9 3" xfId="24445"/>
    <cellStyle name="20% - Ênfase2 3 2 2 7 3" xfId="24446"/>
    <cellStyle name="20% - Ênfase2 3 2 2 2 5 3" xfId="24447"/>
    <cellStyle name="20% - Ênfase2 3 2 2 3 5 3" xfId="24448"/>
    <cellStyle name="20% - Ênfase2 3 2 3 5 3" xfId="24449"/>
    <cellStyle name="20% - Ênfase2 3 2 4 5 3" xfId="24450"/>
    <cellStyle name="20% - Ênfase2 3 3 8 3" xfId="24451"/>
    <cellStyle name="20% - Ênfase2 3 3 2 5 3" xfId="24452"/>
    <cellStyle name="20% - Ênfase2 3 3 3 5 3" xfId="24453"/>
    <cellStyle name="20% - Ênfase2 3 4 7 3" xfId="24454"/>
    <cellStyle name="20% - Ênfase2 3 4 2 5 3" xfId="24455"/>
    <cellStyle name="20% - Ênfase2 3 4 3 5 3" xfId="24456"/>
    <cellStyle name="20% - Ênfase2 3 5 5 3" xfId="24457"/>
    <cellStyle name="20% - Ênfase2 3 6 5 3" xfId="24458"/>
    <cellStyle name="20% - Ênfase2 3 7 5 3" xfId="24459"/>
    <cellStyle name="20% - Ênfase2 4 12 3" xfId="24460"/>
    <cellStyle name="20% - Ênfase2 4 2 9 3" xfId="24461"/>
    <cellStyle name="20% - Ênfase2 4 2 2 7 3" xfId="24462"/>
    <cellStyle name="20% - Ênfase2 4 2 2 2 5 3" xfId="24463"/>
    <cellStyle name="20% - Ênfase2 4 2 2 3 5 3" xfId="24464"/>
    <cellStyle name="20% - Ênfase2 4 2 3 5 3" xfId="24465"/>
    <cellStyle name="20% - Ênfase2 4 2 4 5 3" xfId="24466"/>
    <cellStyle name="20% - Ênfase2 4 3 8 3" xfId="24467"/>
    <cellStyle name="20% - Ênfase2 4 3 2 5 3" xfId="24468"/>
    <cellStyle name="20% - Ênfase2 4 3 3 5 3" xfId="24469"/>
    <cellStyle name="20% - Ênfase2 4 4 7 3" xfId="24470"/>
    <cellStyle name="20% - Ênfase2 4 4 2 5 3" xfId="24471"/>
    <cellStyle name="20% - Ênfase2 4 4 3 5 3" xfId="24472"/>
    <cellStyle name="20% - Ênfase2 4 5 5 3" xfId="24473"/>
    <cellStyle name="20% - Ênfase2 4 6 5 3" xfId="24474"/>
    <cellStyle name="20% - Ênfase2 4 7 5 3" xfId="24475"/>
    <cellStyle name="20% - Ênfase2 5 10 3" xfId="24476"/>
    <cellStyle name="20% - Ênfase2 5 2 7 3" xfId="24477"/>
    <cellStyle name="20% - Ênfase2 5 2 2 5 3" xfId="24478"/>
    <cellStyle name="20% - Ênfase2 5 2 3 5 3" xfId="24479"/>
    <cellStyle name="20% - Ênfase2 5 3 5 3" xfId="24480"/>
    <cellStyle name="20% - Ênfase2 5 4 5 3" xfId="24481"/>
    <cellStyle name="20% - Ênfase2 5 5 5 3" xfId="24482"/>
    <cellStyle name="20% - Ênfase2 6 9 3" xfId="24483"/>
    <cellStyle name="20% - Ênfase2 6 2 7 3" xfId="24484"/>
    <cellStyle name="20% - Ênfase2 6 2 2 5 3" xfId="24485"/>
    <cellStyle name="20% - Ênfase2 6 2 3 5 3" xfId="24486"/>
    <cellStyle name="20% - Ênfase2 6 3 5 3" xfId="24487"/>
    <cellStyle name="20% - Ênfase2 6 4 5 3" xfId="24488"/>
    <cellStyle name="20% - Ênfase2 8 7 3" xfId="24489"/>
    <cellStyle name="20% - Ênfase2 8 2 5 3" xfId="24490"/>
    <cellStyle name="20% - Ênfase2 8 3 5 3" xfId="24491"/>
    <cellStyle name="20% - Ênfase3 2 2 10 3" xfId="24492"/>
    <cellStyle name="20% - Ênfase3 2 2 2 7 3" xfId="24493"/>
    <cellStyle name="20% - Ênfase3 2 2 2 2 5 3" xfId="24494"/>
    <cellStyle name="20% - Ênfase3 2 2 2 3 5 3" xfId="24495"/>
    <cellStyle name="20% - Ênfase3 2 2 3 5 3" xfId="24496"/>
    <cellStyle name="20% - Ênfase3 2 2 4 5 3" xfId="24497"/>
    <cellStyle name="20% - Ênfase3 2 2 5 5 3" xfId="24498"/>
    <cellStyle name="20% - Ênfase3 2 3 9 3" xfId="24499"/>
    <cellStyle name="20% - Ênfase3 2 3 2 7 3" xfId="24500"/>
    <cellStyle name="20% - Ênfase3 2 3 2 2 5 3" xfId="24501"/>
    <cellStyle name="20% - Ênfase3 2 3 2 3 5 3" xfId="24502"/>
    <cellStyle name="20% - Ênfase3 2 3 3 5 3" xfId="24503"/>
    <cellStyle name="20% - Ênfase3 2 3 4 5 3" xfId="24504"/>
    <cellStyle name="20% - Ênfase3 2 5 7 3" xfId="24505"/>
    <cellStyle name="20% - Ênfase3 2 5 2 5 3" xfId="24506"/>
    <cellStyle name="20% - Ênfase3 2 5 3 5 3" xfId="24507"/>
    <cellStyle name="20% - Ênfase3 3 12 3" xfId="24508"/>
    <cellStyle name="20% - Ênfase3 3 2 9 3" xfId="24509"/>
    <cellStyle name="20% - Ênfase3 3 2 2 7 3" xfId="24510"/>
    <cellStyle name="20% - Ênfase3 3 2 2 2 5 3" xfId="24511"/>
    <cellStyle name="20% - Ênfase3 3 2 2 3 5 3" xfId="24512"/>
    <cellStyle name="20% - Ênfase3 3 2 3 5 3" xfId="24513"/>
    <cellStyle name="20% - Ênfase3 3 2 4 5 3" xfId="24514"/>
    <cellStyle name="20% - Ênfase3 3 3 8 3" xfId="24515"/>
    <cellStyle name="20% - Ênfase3 3 3 2 5 3" xfId="24516"/>
    <cellStyle name="20% - Ênfase3 3 3 3 5 3" xfId="24517"/>
    <cellStyle name="20% - Ênfase3 3 4 7 3" xfId="24518"/>
    <cellStyle name="20% - Ênfase3 3 4 2 5 3" xfId="24519"/>
    <cellStyle name="20% - Ênfase3 3 4 3 5 3" xfId="24520"/>
    <cellStyle name="20% - Ênfase3 3 5 5 3" xfId="24521"/>
    <cellStyle name="20% - Ênfase3 3 6 5 3" xfId="24522"/>
    <cellStyle name="20% - Ênfase3 3 7 5 3" xfId="24523"/>
    <cellStyle name="20% - Ênfase3 4 12 3" xfId="24524"/>
    <cellStyle name="20% - Ênfase3 4 2 9 3" xfId="24525"/>
    <cellStyle name="20% - Ênfase3 4 2 2 7 3" xfId="24526"/>
    <cellStyle name="20% - Ênfase3 4 2 2 2 5 3" xfId="24527"/>
    <cellStyle name="20% - Ênfase3 4 2 2 3 5 3" xfId="24528"/>
    <cellStyle name="20% - Ênfase3 4 2 3 5 3" xfId="24529"/>
    <cellStyle name="20% - Ênfase3 4 2 4 5 3" xfId="24530"/>
    <cellStyle name="20% - Ênfase3 4 3 8 3" xfId="24531"/>
    <cellStyle name="20% - Ênfase3 4 3 2 5 3" xfId="24532"/>
    <cellStyle name="20% - Ênfase3 4 3 3 5 3" xfId="24533"/>
    <cellStyle name="20% - Ênfase3 4 4 7 3" xfId="24534"/>
    <cellStyle name="20% - Ênfase3 4 4 2 5 3" xfId="24535"/>
    <cellStyle name="20% - Ênfase3 4 4 3 5 3" xfId="24536"/>
    <cellStyle name="20% - Ênfase3 4 5 5 3" xfId="24537"/>
    <cellStyle name="20% - Ênfase3 4 6 5 3" xfId="24538"/>
    <cellStyle name="20% - Ênfase3 4 7 5 3" xfId="24539"/>
    <cellStyle name="20% - Ênfase3 5 10 3" xfId="24540"/>
    <cellStyle name="20% - Ênfase3 5 2 7 3" xfId="24541"/>
    <cellStyle name="20% - Ênfase3 5 2 2 5 3" xfId="24542"/>
    <cellStyle name="20% - Ênfase3 5 2 3 5 3" xfId="24543"/>
    <cellStyle name="20% - Ênfase3 5 3 5 3" xfId="24544"/>
    <cellStyle name="20% - Ênfase3 5 4 5 3" xfId="24545"/>
    <cellStyle name="20% - Ênfase3 5 5 5 3" xfId="24546"/>
    <cellStyle name="20% - Ênfase3 6 9 3" xfId="24547"/>
    <cellStyle name="20% - Ênfase3 6 2 7 3" xfId="24548"/>
    <cellStyle name="20% - Ênfase3 6 2 2 5 3" xfId="24549"/>
    <cellStyle name="20% - Ênfase3 6 2 3 5 3" xfId="24550"/>
    <cellStyle name="20% - Ênfase3 6 3 5 3" xfId="24551"/>
    <cellStyle name="20% - Ênfase3 6 4 5 3" xfId="24552"/>
    <cellStyle name="20% - Ênfase3 8 7 3" xfId="24553"/>
    <cellStyle name="20% - Ênfase3 8 2 5 3" xfId="24554"/>
    <cellStyle name="20% - Ênfase3 8 3 5 3" xfId="24555"/>
    <cellStyle name="20% - Ênfase4 2 2 10 3" xfId="24556"/>
    <cellStyle name="20% - Ênfase4 2 2 2 7 3" xfId="24557"/>
    <cellStyle name="20% - Ênfase4 2 2 2 2 5 3" xfId="24558"/>
    <cellStyle name="20% - Ênfase4 2 2 2 3 5 3" xfId="24559"/>
    <cellStyle name="20% - Ênfase4 2 2 3 5 3" xfId="24560"/>
    <cellStyle name="20% - Ênfase4 2 2 4 5 3" xfId="24561"/>
    <cellStyle name="20% - Ênfase4 2 2 5 5 3" xfId="24562"/>
    <cellStyle name="20% - Ênfase4 2 3 9 3" xfId="24563"/>
    <cellStyle name="20% - Ênfase4 2 3 2 7 3" xfId="24564"/>
    <cellStyle name="20% - Ênfase4 2 3 2 2 5 3" xfId="24565"/>
    <cellStyle name="20% - Ênfase4 2 3 2 3 5 3" xfId="24566"/>
    <cellStyle name="20% - Ênfase4 2 3 3 5 3" xfId="24567"/>
    <cellStyle name="20% - Ênfase4 2 3 4 5 3" xfId="24568"/>
    <cellStyle name="20% - Ênfase4 2 5 7 3" xfId="24569"/>
    <cellStyle name="20% - Ênfase4 2 5 2 5 3" xfId="24570"/>
    <cellStyle name="20% - Ênfase4 2 5 3 5 3" xfId="24571"/>
    <cellStyle name="20% - Ênfase4 3 12 3" xfId="24572"/>
    <cellStyle name="20% - Ênfase4 3 2 9 3" xfId="24573"/>
    <cellStyle name="20% - Ênfase4 3 2 2 7 3" xfId="24574"/>
    <cellStyle name="20% - Ênfase4 3 2 2 2 5 3" xfId="24575"/>
    <cellStyle name="20% - Ênfase4 3 2 2 3 5 3" xfId="24576"/>
    <cellStyle name="20% - Ênfase4 3 2 3 5 3" xfId="24577"/>
    <cellStyle name="20% - Ênfase4 3 2 4 5 3" xfId="24578"/>
    <cellStyle name="20% - Ênfase4 3 3 8 3" xfId="24579"/>
    <cellStyle name="20% - Ênfase4 3 3 2 5 3" xfId="24580"/>
    <cellStyle name="20% - Ênfase4 3 3 3 5 3" xfId="24581"/>
    <cellStyle name="20% - Ênfase4 3 4 7 3" xfId="24582"/>
    <cellStyle name="20% - Ênfase4 3 4 2 5 3" xfId="24583"/>
    <cellStyle name="20% - Ênfase4 3 4 3 5 3" xfId="24584"/>
    <cellStyle name="20% - Ênfase4 3 5 5 3" xfId="24585"/>
    <cellStyle name="20% - Ênfase4 3 6 5 3" xfId="24586"/>
    <cellStyle name="20% - Ênfase4 3 7 5 3" xfId="24587"/>
    <cellStyle name="20% - Ênfase4 4 12 3" xfId="24588"/>
    <cellStyle name="20% - Ênfase4 4 2 9 3" xfId="24589"/>
    <cellStyle name="20% - Ênfase4 4 2 2 7 3" xfId="24590"/>
    <cellStyle name="20% - Ênfase4 4 2 2 2 5 3" xfId="24591"/>
    <cellStyle name="20% - Ênfase4 4 2 2 3 5 3" xfId="24592"/>
    <cellStyle name="20% - Ênfase4 4 2 3 5 3" xfId="24593"/>
    <cellStyle name="20% - Ênfase4 4 2 4 5 3" xfId="24594"/>
    <cellStyle name="20% - Ênfase4 4 3 8 3" xfId="24595"/>
    <cellStyle name="20% - Ênfase4 4 3 2 5 3" xfId="24596"/>
    <cellStyle name="20% - Ênfase4 4 3 3 5 3" xfId="24597"/>
    <cellStyle name="20% - Ênfase4 4 4 7 3" xfId="24598"/>
    <cellStyle name="20% - Ênfase4 4 4 2 5 3" xfId="24599"/>
    <cellStyle name="20% - Ênfase4 4 4 3 5 3" xfId="24600"/>
    <cellStyle name="20% - Ênfase4 4 5 5 3" xfId="24601"/>
    <cellStyle name="20% - Ênfase4 4 6 5 3" xfId="24602"/>
    <cellStyle name="20% - Ênfase4 4 7 5 3" xfId="24603"/>
    <cellStyle name="20% - Ênfase4 5 10 3" xfId="24604"/>
    <cellStyle name="20% - Ênfase4 5 2 7 3" xfId="24605"/>
    <cellStyle name="20% - Ênfase4 5 2 2 5 3" xfId="24606"/>
    <cellStyle name="20% - Ênfase4 5 2 3 5 3" xfId="24607"/>
    <cellStyle name="20% - Ênfase4 5 3 5 3" xfId="24608"/>
    <cellStyle name="20% - Ênfase4 5 4 5 3" xfId="24609"/>
    <cellStyle name="20% - Ênfase4 5 5 5 3" xfId="24610"/>
    <cellStyle name="20% - Ênfase4 6 9 3" xfId="24611"/>
    <cellStyle name="20% - Ênfase4 6 2 7 3" xfId="24612"/>
    <cellStyle name="20% - Ênfase4 6 2 2 5 3" xfId="24613"/>
    <cellStyle name="20% - Ênfase4 6 2 3 5 3" xfId="24614"/>
    <cellStyle name="20% - Ênfase4 6 3 5 3" xfId="24615"/>
    <cellStyle name="20% - Ênfase4 6 4 5 3" xfId="24616"/>
    <cellStyle name="20% - Ênfase4 8 7 3" xfId="24617"/>
    <cellStyle name="20% - Ênfase4 8 2 5 3" xfId="24618"/>
    <cellStyle name="20% - Ênfase4 8 3 5 3" xfId="24619"/>
    <cellStyle name="20% - Ênfase5 2 2 10 3" xfId="24620"/>
    <cellStyle name="20% - Ênfase5 2 2 2 7 3" xfId="24621"/>
    <cellStyle name="20% - Ênfase5 2 2 2 2 5 3" xfId="24622"/>
    <cellStyle name="20% - Ênfase5 2 2 2 3 5 3" xfId="24623"/>
    <cellStyle name="20% - Ênfase5 2 2 3 5 3" xfId="24624"/>
    <cellStyle name="20% - Ênfase5 2 2 4 5 3" xfId="24625"/>
    <cellStyle name="20% - Ênfase5 2 2 5 5 3" xfId="24626"/>
    <cellStyle name="20% - Ênfase5 2 3 9 3" xfId="24627"/>
    <cellStyle name="20% - Ênfase5 2 3 2 7 3" xfId="24628"/>
    <cellStyle name="20% - Ênfase5 2 3 2 2 5 3" xfId="24629"/>
    <cellStyle name="20% - Ênfase5 2 3 2 3 5 3" xfId="24630"/>
    <cellStyle name="20% - Ênfase5 2 3 3 5 3" xfId="24631"/>
    <cellStyle name="20% - Ênfase5 2 3 4 5 3" xfId="24632"/>
    <cellStyle name="20% - Ênfase5 2 5 7 3" xfId="24633"/>
    <cellStyle name="20% - Ênfase5 2 5 2 5 3" xfId="24634"/>
    <cellStyle name="20% - Ênfase5 2 5 3 5 3" xfId="24635"/>
    <cellStyle name="20% - Ênfase5 3 12 3" xfId="24636"/>
    <cellStyle name="20% - Ênfase5 3 2 9 3" xfId="24637"/>
    <cellStyle name="20% - Ênfase5 3 2 2 7 3" xfId="24638"/>
    <cellStyle name="20% - Ênfase5 3 2 2 2 5 3" xfId="24639"/>
    <cellStyle name="20% - Ênfase5 3 2 2 3 5 3" xfId="24640"/>
    <cellStyle name="20% - Ênfase5 3 2 3 5 3" xfId="24641"/>
    <cellStyle name="20% - Ênfase5 3 2 4 5 3" xfId="24642"/>
    <cellStyle name="20% - Ênfase5 3 3 8 3" xfId="24643"/>
    <cellStyle name="20% - Ênfase5 3 3 2 5 3" xfId="24644"/>
    <cellStyle name="20% - Ênfase5 3 3 3 5 3" xfId="24645"/>
    <cellStyle name="20% - Ênfase5 3 4 7 3" xfId="24646"/>
    <cellStyle name="20% - Ênfase5 3 4 2 5 3" xfId="24647"/>
    <cellStyle name="20% - Ênfase5 3 4 3 5 3" xfId="24648"/>
    <cellStyle name="20% - Ênfase5 3 5 5 3" xfId="24649"/>
    <cellStyle name="20% - Ênfase5 3 6 5 3" xfId="24650"/>
    <cellStyle name="20% - Ênfase5 3 7 5 3" xfId="24651"/>
    <cellStyle name="20% - Ênfase5 4 12 3" xfId="24652"/>
    <cellStyle name="20% - Ênfase5 4 2 9 3" xfId="24653"/>
    <cellStyle name="20% - Ênfase5 4 2 2 7 3" xfId="24654"/>
    <cellStyle name="20% - Ênfase5 4 2 2 2 5 3" xfId="24655"/>
    <cellStyle name="20% - Ênfase5 4 2 2 3 5 3" xfId="24656"/>
    <cellStyle name="20% - Ênfase5 4 2 3 5 3" xfId="24657"/>
    <cellStyle name="20% - Ênfase5 4 2 4 5 3" xfId="24658"/>
    <cellStyle name="20% - Ênfase5 4 3 8 3" xfId="24659"/>
    <cellStyle name="20% - Ênfase5 4 3 2 5 3" xfId="24660"/>
    <cellStyle name="20% - Ênfase5 4 3 3 5 3" xfId="24661"/>
    <cellStyle name="20% - Ênfase5 4 4 7 3" xfId="24662"/>
    <cellStyle name="20% - Ênfase5 4 4 2 5 3" xfId="24663"/>
    <cellStyle name="20% - Ênfase5 4 4 3 5 3" xfId="24664"/>
    <cellStyle name="20% - Ênfase5 4 5 5 3" xfId="24665"/>
    <cellStyle name="20% - Ênfase5 4 6 5 3" xfId="24666"/>
    <cellStyle name="20% - Ênfase5 4 7 5 3" xfId="24667"/>
    <cellStyle name="20% - Ênfase5 5 10 3" xfId="24668"/>
    <cellStyle name="20% - Ênfase5 5 2 7 3" xfId="24669"/>
    <cellStyle name="20% - Ênfase5 5 2 2 5 3" xfId="24670"/>
    <cellStyle name="20% - Ênfase5 5 2 3 5 3" xfId="24671"/>
    <cellStyle name="20% - Ênfase5 5 3 5 3" xfId="24672"/>
    <cellStyle name="20% - Ênfase5 5 4 5 3" xfId="24673"/>
    <cellStyle name="20% - Ênfase5 5 5 5 3" xfId="24674"/>
    <cellStyle name="20% - Ênfase5 6 9 3" xfId="24675"/>
    <cellStyle name="20% - Ênfase5 6 2 7 3" xfId="24676"/>
    <cellStyle name="20% - Ênfase5 6 2 2 5 3" xfId="24677"/>
    <cellStyle name="20% - Ênfase5 6 2 3 5 3" xfId="24678"/>
    <cellStyle name="20% - Ênfase5 6 3 5 3" xfId="24679"/>
    <cellStyle name="20% - Ênfase5 6 4 5 3" xfId="24680"/>
    <cellStyle name="20% - Ênfase5 8 7 3" xfId="24681"/>
    <cellStyle name="20% - Ênfase5 8 2 5 3" xfId="24682"/>
    <cellStyle name="20% - Ênfase5 8 3 5 3" xfId="24683"/>
    <cellStyle name="20% - Ênfase6 2 2 10 3" xfId="24684"/>
    <cellStyle name="20% - Ênfase6 2 2 2 7 3" xfId="24685"/>
    <cellStyle name="20% - Ênfase6 2 2 2 2 5 3" xfId="24686"/>
    <cellStyle name="20% - Ênfase6 2 2 2 3 5 3" xfId="24687"/>
    <cellStyle name="20% - Ênfase6 2 2 3 5 3" xfId="24688"/>
    <cellStyle name="20% - Ênfase6 2 2 4 5 3" xfId="24689"/>
    <cellStyle name="20% - Ênfase6 2 2 5 5 3" xfId="24690"/>
    <cellStyle name="20% - Ênfase6 2 3 9 3" xfId="24691"/>
    <cellStyle name="20% - Ênfase6 2 3 2 7 3" xfId="24692"/>
    <cellStyle name="20% - Ênfase6 2 3 2 2 5 3" xfId="24693"/>
    <cellStyle name="20% - Ênfase6 2 3 2 3 5 3" xfId="24694"/>
    <cellStyle name="20% - Ênfase6 2 3 3 5 3" xfId="24695"/>
    <cellStyle name="20% - Ênfase6 2 3 4 5 3" xfId="24696"/>
    <cellStyle name="20% - Ênfase6 2 5 7 3" xfId="24697"/>
    <cellStyle name="20% - Ênfase6 2 5 2 5 3" xfId="24698"/>
    <cellStyle name="20% - Ênfase6 2 5 3 5 3" xfId="24699"/>
    <cellStyle name="20% - Ênfase6 3 12 3" xfId="24700"/>
    <cellStyle name="20% - Ênfase6 3 2 9 3" xfId="24701"/>
    <cellStyle name="20% - Ênfase6 3 2 2 7 3" xfId="24702"/>
    <cellStyle name="20% - Ênfase6 3 2 2 2 5 3" xfId="24703"/>
    <cellStyle name="20% - Ênfase6 3 2 2 3 5 3" xfId="24704"/>
    <cellStyle name="20% - Ênfase6 3 2 3 5 3" xfId="24705"/>
    <cellStyle name="20% - Ênfase6 3 2 4 5 3" xfId="24706"/>
    <cellStyle name="20% - Ênfase6 3 3 8 3" xfId="24707"/>
    <cellStyle name="20% - Ênfase6 3 3 2 5 3" xfId="24708"/>
    <cellStyle name="20% - Ênfase6 3 3 3 5 3" xfId="24709"/>
    <cellStyle name="20% - Ênfase6 3 4 7 3" xfId="24710"/>
    <cellStyle name="20% - Ênfase6 3 4 2 5 3" xfId="24711"/>
    <cellStyle name="20% - Ênfase6 3 4 3 5 3" xfId="24712"/>
    <cellStyle name="20% - Ênfase6 3 5 5 3" xfId="24713"/>
    <cellStyle name="20% - Ênfase6 3 6 5 3" xfId="24714"/>
    <cellStyle name="20% - Ênfase6 3 7 5 3" xfId="24715"/>
    <cellStyle name="20% - Ênfase6 4 12 3" xfId="24716"/>
    <cellStyle name="20% - Ênfase6 4 2 9 3" xfId="24717"/>
    <cellStyle name="20% - Ênfase6 4 2 2 7 3" xfId="24718"/>
    <cellStyle name="20% - Ênfase6 4 2 2 2 5 3" xfId="24719"/>
    <cellStyle name="20% - Ênfase6 4 2 2 3 5 3" xfId="24720"/>
    <cellStyle name="20% - Ênfase6 4 2 3 5 3" xfId="24721"/>
    <cellStyle name="20% - Ênfase6 4 2 4 5 3" xfId="24722"/>
    <cellStyle name="20% - Ênfase6 4 3 8 3" xfId="24723"/>
    <cellStyle name="20% - Ênfase6 4 3 2 5 3" xfId="24724"/>
    <cellStyle name="20% - Ênfase6 4 3 3 5 3" xfId="24725"/>
    <cellStyle name="20% - Ênfase6 4 4 7 3" xfId="24726"/>
    <cellStyle name="20% - Ênfase6 4 4 2 5 3" xfId="24727"/>
    <cellStyle name="20% - Ênfase6 4 4 3 5 3" xfId="24728"/>
    <cellStyle name="20% - Ênfase6 4 5 5 3" xfId="24729"/>
    <cellStyle name="20% - Ênfase6 4 6 5 3" xfId="24730"/>
    <cellStyle name="20% - Ênfase6 4 7 5 3" xfId="24731"/>
    <cellStyle name="20% - Ênfase6 5 10 3" xfId="24732"/>
    <cellStyle name="20% - Ênfase6 5 2 7 3" xfId="24733"/>
    <cellStyle name="20% - Ênfase6 5 2 2 5 3" xfId="24734"/>
    <cellStyle name="20% - Ênfase6 5 2 3 5 3" xfId="24735"/>
    <cellStyle name="20% - Ênfase6 5 3 5 3" xfId="24736"/>
    <cellStyle name="20% - Ênfase6 5 4 5 3" xfId="24737"/>
    <cellStyle name="20% - Ênfase6 5 5 5 3" xfId="24738"/>
    <cellStyle name="20% - Ênfase6 6 9 3" xfId="24739"/>
    <cellStyle name="20% - Ênfase6 6 2 7 3" xfId="24740"/>
    <cellStyle name="20% - Ênfase6 6 2 2 5 3" xfId="24741"/>
    <cellStyle name="20% - Ênfase6 6 2 3 5 3" xfId="24742"/>
    <cellStyle name="20% - Ênfase6 6 3 5 3" xfId="24743"/>
    <cellStyle name="20% - Ênfase6 6 4 5 3" xfId="24744"/>
    <cellStyle name="20% - Ênfase6 8 7 3" xfId="24745"/>
    <cellStyle name="20% - Ênfase6 8 2 5 3" xfId="24746"/>
    <cellStyle name="20% - Ênfase6 8 3 5 3" xfId="24747"/>
    <cellStyle name="40% - Ênfase1 2 2 10 3" xfId="24748"/>
    <cellStyle name="40% - Ênfase1 2 2 2 7 3" xfId="24749"/>
    <cellStyle name="40% - Ênfase1 2 2 2 2 5 3" xfId="24750"/>
    <cellStyle name="40% - Ênfase1 2 2 2 3 5 3" xfId="24751"/>
    <cellStyle name="40% - Ênfase1 2 2 3 5 3" xfId="24752"/>
    <cellStyle name="40% - Ênfase1 2 2 4 5 3" xfId="24753"/>
    <cellStyle name="40% - Ênfase1 2 2 5 5 3" xfId="24754"/>
    <cellStyle name="40% - Ênfase1 2 3 9 3" xfId="24755"/>
    <cellStyle name="40% - Ênfase1 2 3 2 7 3" xfId="24756"/>
    <cellStyle name="40% - Ênfase1 2 3 2 2 5 3" xfId="24757"/>
    <cellStyle name="40% - Ênfase1 2 3 2 3 5 3" xfId="24758"/>
    <cellStyle name="40% - Ênfase1 2 3 3 5 3" xfId="24759"/>
    <cellStyle name="40% - Ênfase1 2 3 4 5 3" xfId="24760"/>
    <cellStyle name="40% - Ênfase1 2 5 7 3" xfId="24761"/>
    <cellStyle name="40% - Ênfase1 2 5 2 5 3" xfId="24762"/>
    <cellStyle name="40% - Ênfase1 2 5 3 5 3" xfId="24763"/>
    <cellStyle name="40% - Ênfase1 3 12 3" xfId="24764"/>
    <cellStyle name="40% - Ênfase1 3 2 9 3" xfId="24765"/>
    <cellStyle name="40% - Ênfase1 3 2 2 7 3" xfId="24766"/>
    <cellStyle name="40% - Ênfase1 3 2 2 2 5 3" xfId="24767"/>
    <cellStyle name="40% - Ênfase1 3 2 2 3 5 3" xfId="24768"/>
    <cellStyle name="40% - Ênfase1 3 2 3 5 3" xfId="24769"/>
    <cellStyle name="40% - Ênfase1 3 2 4 5 3" xfId="24770"/>
    <cellStyle name="40% - Ênfase1 3 3 8 3" xfId="24771"/>
    <cellStyle name="40% - Ênfase1 3 3 2 5 3" xfId="24772"/>
    <cellStyle name="40% - Ênfase1 3 3 3 5 3" xfId="24773"/>
    <cellStyle name="40% - Ênfase1 3 4 7 3" xfId="24774"/>
    <cellStyle name="40% - Ênfase1 3 4 2 5 3" xfId="24775"/>
    <cellStyle name="40% - Ênfase1 3 4 3 5 3" xfId="24776"/>
    <cellStyle name="40% - Ênfase1 3 5 5 3" xfId="24777"/>
    <cellStyle name="40% - Ênfase1 3 6 5 3" xfId="24778"/>
    <cellStyle name="40% - Ênfase1 3 7 5 3" xfId="24779"/>
    <cellStyle name="40% - Ênfase1 4 12 3" xfId="24780"/>
    <cellStyle name="40% - Ênfase1 4 2 9 3" xfId="24781"/>
    <cellStyle name="40% - Ênfase1 4 2 2 7 3" xfId="24782"/>
    <cellStyle name="40% - Ênfase1 4 2 2 2 5 3" xfId="24783"/>
    <cellStyle name="40% - Ênfase1 4 2 2 3 5 3" xfId="24784"/>
    <cellStyle name="40% - Ênfase1 4 2 3 5 3" xfId="24785"/>
    <cellStyle name="40% - Ênfase1 4 2 4 5 3" xfId="24786"/>
    <cellStyle name="40% - Ênfase1 4 3 8 3" xfId="24787"/>
    <cellStyle name="40% - Ênfase1 4 3 2 5 3" xfId="24788"/>
    <cellStyle name="40% - Ênfase1 4 3 3 5 3" xfId="24789"/>
    <cellStyle name="40% - Ênfase1 4 4 7 3" xfId="24790"/>
    <cellStyle name="40% - Ênfase1 4 4 2 5 3" xfId="24791"/>
    <cellStyle name="40% - Ênfase1 4 4 3 5 3" xfId="24792"/>
    <cellStyle name="40% - Ênfase1 4 5 5 3" xfId="24793"/>
    <cellStyle name="40% - Ênfase1 4 6 5 3" xfId="24794"/>
    <cellStyle name="40% - Ênfase1 4 7 5 3" xfId="24795"/>
    <cellStyle name="40% - Ênfase1 5 10 3" xfId="24796"/>
    <cellStyle name="40% - Ênfase1 5 2 7 3" xfId="24797"/>
    <cellStyle name="40% - Ênfase1 5 2 2 5 3" xfId="24798"/>
    <cellStyle name="40% - Ênfase1 5 2 3 5 3" xfId="24799"/>
    <cellStyle name="40% - Ênfase1 5 3 5 3" xfId="24800"/>
    <cellStyle name="40% - Ênfase1 5 4 5 3" xfId="24801"/>
    <cellStyle name="40% - Ênfase1 5 5 5 3" xfId="24802"/>
    <cellStyle name="40% - Ênfase1 6 9 3" xfId="24803"/>
    <cellStyle name="40% - Ênfase1 6 2 7 3" xfId="24804"/>
    <cellStyle name="40% - Ênfase1 6 2 2 5 3" xfId="24805"/>
    <cellStyle name="40% - Ênfase1 6 2 3 5 3" xfId="24806"/>
    <cellStyle name="40% - Ênfase1 6 3 5 3" xfId="24807"/>
    <cellStyle name="40% - Ênfase1 6 4 5 3" xfId="24808"/>
    <cellStyle name="40% - Ênfase1 8 7 3" xfId="24809"/>
    <cellStyle name="40% - Ênfase1 8 2 5 3" xfId="24810"/>
    <cellStyle name="40% - Ênfase1 8 3 5 3" xfId="24811"/>
    <cellStyle name="40% - Ênfase2 2 2 10 3" xfId="24812"/>
    <cellStyle name="40% - Ênfase2 2 2 2 7 3" xfId="24813"/>
    <cellStyle name="40% - Ênfase2 2 2 2 2 5 3" xfId="24814"/>
    <cellStyle name="40% - Ênfase2 2 2 2 3 5 3" xfId="24815"/>
    <cellStyle name="40% - Ênfase2 2 2 3 5 3" xfId="24816"/>
    <cellStyle name="40% - Ênfase2 2 2 4 5 3" xfId="24817"/>
    <cellStyle name="40% - Ênfase2 2 2 5 5 3" xfId="24818"/>
    <cellStyle name="40% - Ênfase2 2 3 9 3" xfId="24819"/>
    <cellStyle name="40% - Ênfase2 2 3 2 7 3" xfId="24820"/>
    <cellStyle name="40% - Ênfase2 2 3 2 2 5 3" xfId="24821"/>
    <cellStyle name="40% - Ênfase2 2 3 2 3 5 3" xfId="24822"/>
    <cellStyle name="40% - Ênfase2 2 3 3 5 3" xfId="24823"/>
    <cellStyle name="40% - Ênfase2 2 3 4 5 3" xfId="24824"/>
    <cellStyle name="40% - Ênfase2 2 5 7 3" xfId="24825"/>
    <cellStyle name="40% - Ênfase2 2 5 2 5 3" xfId="24826"/>
    <cellStyle name="40% - Ênfase2 2 5 3 5 3" xfId="24827"/>
    <cellStyle name="40% - Ênfase2 3 12 3" xfId="24828"/>
    <cellStyle name="40% - Ênfase2 3 2 9 3" xfId="24829"/>
    <cellStyle name="40% - Ênfase2 3 2 2 7 3" xfId="24830"/>
    <cellStyle name="40% - Ênfase2 3 2 2 2 5 3" xfId="24831"/>
    <cellStyle name="40% - Ênfase2 3 2 2 3 5 3" xfId="24832"/>
    <cellStyle name="40% - Ênfase2 3 2 3 5 3" xfId="24833"/>
    <cellStyle name="40% - Ênfase2 3 2 4 5 3" xfId="24834"/>
    <cellStyle name="40% - Ênfase2 3 3 8 3" xfId="24835"/>
    <cellStyle name="40% - Ênfase2 3 3 2 5 3" xfId="24836"/>
    <cellStyle name="40% - Ênfase2 3 3 3 5 3" xfId="24837"/>
    <cellStyle name="40% - Ênfase2 3 4 7 3" xfId="24838"/>
    <cellStyle name="40% - Ênfase2 3 4 2 5 3" xfId="24839"/>
    <cellStyle name="40% - Ênfase2 3 4 3 5 3" xfId="24840"/>
    <cellStyle name="40% - Ênfase2 3 5 5 3" xfId="24841"/>
    <cellStyle name="40% - Ênfase2 3 6 5 3" xfId="24842"/>
    <cellStyle name="40% - Ênfase2 3 7 5 3" xfId="24843"/>
    <cellStyle name="40% - Ênfase2 4 12 3" xfId="24844"/>
    <cellStyle name="40% - Ênfase2 4 2 9 3" xfId="24845"/>
    <cellStyle name="40% - Ênfase2 4 2 2 7 3" xfId="24846"/>
    <cellStyle name="40% - Ênfase2 4 2 2 2 5 3" xfId="24847"/>
    <cellStyle name="40% - Ênfase2 4 2 2 3 5 3" xfId="24848"/>
    <cellStyle name="40% - Ênfase2 4 2 3 5 3" xfId="24849"/>
    <cellStyle name="40% - Ênfase2 4 2 4 5 3" xfId="24850"/>
    <cellStyle name="40% - Ênfase2 4 3 8 3" xfId="24851"/>
    <cellStyle name="40% - Ênfase2 4 3 2 5 3" xfId="24852"/>
    <cellStyle name="40% - Ênfase2 4 3 3 5 3" xfId="24853"/>
    <cellStyle name="40% - Ênfase2 4 4 7 3" xfId="24854"/>
    <cellStyle name="40% - Ênfase2 4 4 2 5 3" xfId="24855"/>
    <cellStyle name="40% - Ênfase2 4 4 3 5 3" xfId="24856"/>
    <cellStyle name="40% - Ênfase2 4 5 5 3" xfId="24857"/>
    <cellStyle name="40% - Ênfase2 4 6 5 3" xfId="24858"/>
    <cellStyle name="40% - Ênfase2 4 7 5 3" xfId="24859"/>
    <cellStyle name="40% - Ênfase2 5 10 3" xfId="24860"/>
    <cellStyle name="40% - Ênfase2 5 2 7 3" xfId="24861"/>
    <cellStyle name="40% - Ênfase2 5 2 2 5 3" xfId="24862"/>
    <cellStyle name="40% - Ênfase2 5 2 3 5 3" xfId="24863"/>
    <cellStyle name="40% - Ênfase2 5 3 5 3" xfId="24864"/>
    <cellStyle name="40% - Ênfase2 5 4 5 3" xfId="24865"/>
    <cellStyle name="40% - Ênfase2 5 5 5 3" xfId="24866"/>
    <cellStyle name="40% - Ênfase2 6 9 3" xfId="24867"/>
    <cellStyle name="40% - Ênfase2 6 2 7 3" xfId="24868"/>
    <cellStyle name="40% - Ênfase2 6 2 2 5 3" xfId="24869"/>
    <cellStyle name="40% - Ênfase2 6 2 3 5 3" xfId="24870"/>
    <cellStyle name="40% - Ênfase2 6 3 5 3" xfId="24871"/>
    <cellStyle name="40% - Ênfase2 6 4 5 3" xfId="24872"/>
    <cellStyle name="40% - Ênfase2 8 7 3" xfId="24873"/>
    <cellStyle name="40% - Ênfase2 8 2 5 3" xfId="24874"/>
    <cellStyle name="40% - Ênfase2 8 3 5 3" xfId="24875"/>
    <cellStyle name="40% - Ênfase3 2 2 10 3" xfId="24876"/>
    <cellStyle name="40% - Ênfase3 2 2 2 7 3" xfId="24877"/>
    <cellStyle name="40% - Ênfase3 2 2 2 2 5 3" xfId="24878"/>
    <cellStyle name="40% - Ênfase3 2 2 2 3 5 3" xfId="24879"/>
    <cellStyle name="40% - Ênfase3 2 2 3 5 3" xfId="24880"/>
    <cellStyle name="40% - Ênfase3 2 2 4 5 3" xfId="24881"/>
    <cellStyle name="40% - Ênfase3 2 2 5 5 3" xfId="24882"/>
    <cellStyle name="40% - Ênfase3 2 3 9 3" xfId="24883"/>
    <cellStyle name="40% - Ênfase3 2 3 2 7 3" xfId="24884"/>
    <cellStyle name="40% - Ênfase3 2 3 2 2 5 3" xfId="24885"/>
    <cellStyle name="40% - Ênfase3 2 3 2 3 5 3" xfId="24886"/>
    <cellStyle name="40% - Ênfase3 2 3 3 5 3" xfId="24887"/>
    <cellStyle name="40% - Ênfase3 2 3 4 5 3" xfId="24888"/>
    <cellStyle name="40% - Ênfase3 2 5 7 3" xfId="24889"/>
    <cellStyle name="40% - Ênfase3 2 5 2 5 3" xfId="24890"/>
    <cellStyle name="40% - Ênfase3 2 5 3 5 3" xfId="24891"/>
    <cellStyle name="40% - Ênfase3 3 12 3" xfId="24892"/>
    <cellStyle name="40% - Ênfase3 3 2 9 3" xfId="24893"/>
    <cellStyle name="40% - Ênfase3 3 2 2 7 3" xfId="24894"/>
    <cellStyle name="40% - Ênfase3 3 2 2 2 5 3" xfId="24895"/>
    <cellStyle name="40% - Ênfase3 3 2 2 3 5 3" xfId="24896"/>
    <cellStyle name="40% - Ênfase3 3 2 3 5 3" xfId="24897"/>
    <cellStyle name="40% - Ênfase3 3 2 4 5 3" xfId="24898"/>
    <cellStyle name="40% - Ênfase3 3 3 8 3" xfId="24899"/>
    <cellStyle name="40% - Ênfase3 3 3 2 5 3" xfId="24900"/>
    <cellStyle name="40% - Ênfase3 3 3 3 5 3" xfId="24901"/>
    <cellStyle name="40% - Ênfase3 3 4 7 3" xfId="24902"/>
    <cellStyle name="40% - Ênfase3 3 4 2 5 3" xfId="24903"/>
    <cellStyle name="40% - Ênfase3 3 4 3 5 3" xfId="24904"/>
    <cellStyle name="40% - Ênfase3 3 5 5 3" xfId="24905"/>
    <cellStyle name="40% - Ênfase3 3 6 5 3" xfId="24906"/>
    <cellStyle name="40% - Ênfase3 3 7 5 3" xfId="24907"/>
    <cellStyle name="40% - Ênfase3 4 12 3" xfId="24908"/>
    <cellStyle name="40% - Ênfase3 4 2 9 3" xfId="24909"/>
    <cellStyle name="40% - Ênfase3 4 2 2 7 3" xfId="24910"/>
    <cellStyle name="40% - Ênfase3 4 2 2 2 5 3" xfId="24911"/>
    <cellStyle name="40% - Ênfase3 4 2 2 3 5 3" xfId="24912"/>
    <cellStyle name="40% - Ênfase3 4 2 3 5 3" xfId="24913"/>
    <cellStyle name="40% - Ênfase3 4 2 4 5 3" xfId="24914"/>
    <cellStyle name="40% - Ênfase3 4 3 8 3" xfId="24915"/>
    <cellStyle name="40% - Ênfase3 4 3 2 5 3" xfId="24916"/>
    <cellStyle name="40% - Ênfase3 4 3 3 5 3" xfId="24917"/>
    <cellStyle name="40% - Ênfase3 4 4 7 3" xfId="24918"/>
    <cellStyle name="40% - Ênfase3 4 4 2 5 3" xfId="24919"/>
    <cellStyle name="40% - Ênfase3 4 4 3 5 3" xfId="24920"/>
    <cellStyle name="40% - Ênfase3 4 5 5 3" xfId="24921"/>
    <cellStyle name="40% - Ênfase3 4 6 5 3" xfId="24922"/>
    <cellStyle name="40% - Ênfase3 4 7 5 3" xfId="24923"/>
    <cellStyle name="40% - Ênfase3 5 10 3" xfId="24924"/>
    <cellStyle name="40% - Ênfase3 5 2 7 3" xfId="24925"/>
    <cellStyle name="40% - Ênfase3 5 2 2 5 3" xfId="24926"/>
    <cellStyle name="40% - Ênfase3 5 2 3 5 3" xfId="24927"/>
    <cellStyle name="40% - Ênfase3 5 3 5 3" xfId="24928"/>
    <cellStyle name="40% - Ênfase3 5 4 5 3" xfId="24929"/>
    <cellStyle name="40% - Ênfase3 5 5 5 3" xfId="24930"/>
    <cellStyle name="40% - Ênfase3 6 9 3" xfId="24931"/>
    <cellStyle name="40% - Ênfase3 6 2 7 3" xfId="24932"/>
    <cellStyle name="40% - Ênfase3 6 2 2 5 3" xfId="24933"/>
    <cellStyle name="40% - Ênfase3 6 2 3 5 3" xfId="24934"/>
    <cellStyle name="40% - Ênfase3 6 3 5 3" xfId="24935"/>
    <cellStyle name="40% - Ênfase3 6 4 5 3" xfId="24936"/>
    <cellStyle name="40% - Ênfase3 8 7 3" xfId="24937"/>
    <cellStyle name="40% - Ênfase3 8 2 5 3" xfId="24938"/>
    <cellStyle name="40% - Ênfase3 8 3 5 3" xfId="24939"/>
    <cellStyle name="40% - Ênfase4 2 2 10 3" xfId="24940"/>
    <cellStyle name="40% - Ênfase4 2 2 2 7 3" xfId="24941"/>
    <cellStyle name="40% - Ênfase4 2 2 2 2 5 3" xfId="24942"/>
    <cellStyle name="40% - Ênfase4 2 2 2 3 5 3" xfId="24943"/>
    <cellStyle name="40% - Ênfase4 2 2 3 5 3" xfId="24944"/>
    <cellStyle name="40% - Ênfase4 2 2 4 5 3" xfId="24945"/>
    <cellStyle name="40% - Ênfase4 2 2 5 5 3" xfId="24946"/>
    <cellStyle name="40% - Ênfase4 2 3 9 3" xfId="24947"/>
    <cellStyle name="40% - Ênfase4 2 3 2 7 3" xfId="24948"/>
    <cellStyle name="40% - Ênfase4 2 3 2 2 5 3" xfId="24949"/>
    <cellStyle name="40% - Ênfase4 2 3 2 3 5 3" xfId="24950"/>
    <cellStyle name="40% - Ênfase4 2 3 3 5 3" xfId="24951"/>
    <cellStyle name="40% - Ênfase4 2 3 4 5 3" xfId="24952"/>
    <cellStyle name="40% - Ênfase4 2 5 7 3" xfId="24953"/>
    <cellStyle name="40% - Ênfase4 2 5 2 5 3" xfId="24954"/>
    <cellStyle name="40% - Ênfase4 2 5 3 5 3" xfId="24955"/>
    <cellStyle name="40% - Ênfase4 3 12 3" xfId="24956"/>
    <cellStyle name="40% - Ênfase4 3 2 9 3" xfId="24957"/>
    <cellStyle name="40% - Ênfase4 3 2 2 7 3" xfId="24958"/>
    <cellStyle name="40% - Ênfase4 3 2 2 2 5 3" xfId="24959"/>
    <cellStyle name="40% - Ênfase4 3 2 2 3 5 3" xfId="24960"/>
    <cellStyle name="40% - Ênfase4 3 2 3 5 3" xfId="24961"/>
    <cellStyle name="40% - Ênfase4 3 2 4 5 3" xfId="24962"/>
    <cellStyle name="40% - Ênfase4 3 3 8 3" xfId="24963"/>
    <cellStyle name="40% - Ênfase4 3 3 2 5 3" xfId="24964"/>
    <cellStyle name="40% - Ênfase4 3 3 3 5 3" xfId="24965"/>
    <cellStyle name="40% - Ênfase4 3 4 7 3" xfId="24966"/>
    <cellStyle name="40% - Ênfase4 3 4 2 5 3" xfId="24967"/>
    <cellStyle name="40% - Ênfase4 3 4 3 5 3" xfId="24968"/>
    <cellStyle name="40% - Ênfase4 3 5 5 3" xfId="24969"/>
    <cellStyle name="40% - Ênfase4 3 6 5 3" xfId="24970"/>
    <cellStyle name="40% - Ênfase4 3 7 5 3" xfId="24971"/>
    <cellStyle name="40% - Ênfase4 4 12 3" xfId="24972"/>
    <cellStyle name="40% - Ênfase4 4 2 9 3" xfId="24973"/>
    <cellStyle name="40% - Ênfase4 4 2 2 7 3" xfId="24974"/>
    <cellStyle name="40% - Ênfase4 4 2 2 2 5 3" xfId="24975"/>
    <cellStyle name="40% - Ênfase4 4 2 2 3 5 3" xfId="24976"/>
    <cellStyle name="40% - Ênfase4 4 2 3 5 3" xfId="24977"/>
    <cellStyle name="40% - Ênfase4 4 2 4 5 3" xfId="24978"/>
    <cellStyle name="40% - Ênfase4 4 3 8 3" xfId="24979"/>
    <cellStyle name="40% - Ênfase4 4 3 2 5 3" xfId="24980"/>
    <cellStyle name="40% - Ênfase4 4 3 3 5 3" xfId="24981"/>
    <cellStyle name="40% - Ênfase4 4 4 7 3" xfId="24982"/>
    <cellStyle name="40% - Ênfase4 4 4 2 5 3" xfId="24983"/>
    <cellStyle name="40% - Ênfase4 4 4 3 5 3" xfId="24984"/>
    <cellStyle name="40% - Ênfase4 4 5 5 3" xfId="24985"/>
    <cellStyle name="40% - Ênfase4 4 6 5 3" xfId="24986"/>
    <cellStyle name="40% - Ênfase4 4 7 5 3" xfId="24987"/>
    <cellStyle name="40% - Ênfase4 5 10 3" xfId="24988"/>
    <cellStyle name="40% - Ênfase4 5 2 7 3" xfId="24989"/>
    <cellStyle name="40% - Ênfase4 5 2 2 5 3" xfId="24990"/>
    <cellStyle name="40% - Ênfase4 5 2 3 5 3" xfId="24991"/>
    <cellStyle name="40% - Ênfase4 5 3 5 3" xfId="24992"/>
    <cellStyle name="40% - Ênfase4 5 4 5 3" xfId="24993"/>
    <cellStyle name="40% - Ênfase4 5 5 5 3" xfId="24994"/>
    <cellStyle name="40% - Ênfase4 6 9 3" xfId="24995"/>
    <cellStyle name="40% - Ênfase4 6 2 7 3" xfId="24996"/>
    <cellStyle name="40% - Ênfase4 6 2 2 5 3" xfId="24997"/>
    <cellStyle name="40% - Ênfase4 6 2 3 5 3" xfId="24998"/>
    <cellStyle name="40% - Ênfase4 6 3 5 3" xfId="24999"/>
    <cellStyle name="40% - Ênfase4 6 4 5 3" xfId="25000"/>
    <cellStyle name="40% - Ênfase4 8 7 3" xfId="25001"/>
    <cellStyle name="40% - Ênfase4 8 2 5 3" xfId="25002"/>
    <cellStyle name="40% - Ênfase4 8 3 5 3" xfId="25003"/>
    <cellStyle name="40% - Ênfase5 2 2 10 3" xfId="25004"/>
    <cellStyle name="40% - Ênfase5 2 2 2 7 3" xfId="25005"/>
    <cellStyle name="40% - Ênfase5 2 2 2 2 5 3" xfId="25006"/>
    <cellStyle name="40% - Ênfase5 2 2 2 3 5 3" xfId="25007"/>
    <cellStyle name="40% - Ênfase5 2 2 3 5 3" xfId="25008"/>
    <cellStyle name="40% - Ênfase5 2 2 4 5 3" xfId="25009"/>
    <cellStyle name="40% - Ênfase5 2 2 5 5 3" xfId="25010"/>
    <cellStyle name="40% - Ênfase5 2 3 9 3" xfId="25011"/>
    <cellStyle name="40% - Ênfase5 2 3 2 7 3" xfId="25012"/>
    <cellStyle name="40% - Ênfase5 2 3 2 2 5 3" xfId="25013"/>
    <cellStyle name="40% - Ênfase5 2 3 2 3 5 3" xfId="25014"/>
    <cellStyle name="40% - Ênfase5 2 3 3 5 3" xfId="25015"/>
    <cellStyle name="40% - Ênfase5 2 3 4 5 3" xfId="25016"/>
    <cellStyle name="40% - Ênfase5 2 5 7 3" xfId="25017"/>
    <cellStyle name="40% - Ênfase5 2 5 2 5 3" xfId="25018"/>
    <cellStyle name="40% - Ênfase5 2 5 3 5 3" xfId="25019"/>
    <cellStyle name="40% - Ênfase5 3 12 3" xfId="25020"/>
    <cellStyle name="40% - Ênfase5 3 2 9 3" xfId="25021"/>
    <cellStyle name="40% - Ênfase5 3 2 2 7 3" xfId="25022"/>
    <cellStyle name="40% - Ênfase5 3 2 2 2 5 3" xfId="25023"/>
    <cellStyle name="40% - Ênfase5 3 2 2 3 5 3" xfId="25024"/>
    <cellStyle name="40% - Ênfase5 3 2 3 5 3" xfId="25025"/>
    <cellStyle name="40% - Ênfase5 3 2 4 5 3" xfId="25026"/>
    <cellStyle name="40% - Ênfase5 3 3 8 3" xfId="25027"/>
    <cellStyle name="40% - Ênfase5 3 3 2 5 3" xfId="25028"/>
    <cellStyle name="40% - Ênfase5 3 3 3 5 3" xfId="25029"/>
    <cellStyle name="40% - Ênfase5 3 4 7 3" xfId="25030"/>
    <cellStyle name="40% - Ênfase5 3 4 2 5 3" xfId="25031"/>
    <cellStyle name="40% - Ênfase5 3 4 3 5 3" xfId="25032"/>
    <cellStyle name="40% - Ênfase5 3 5 5 3" xfId="25033"/>
    <cellStyle name="40% - Ênfase5 3 6 5 3" xfId="25034"/>
    <cellStyle name="40% - Ênfase5 3 7 5 3" xfId="25035"/>
    <cellStyle name="40% - Ênfase5 4 12 3" xfId="25036"/>
    <cellStyle name="40% - Ênfase5 4 2 9 3" xfId="25037"/>
    <cellStyle name="40% - Ênfase5 4 2 2 7 3" xfId="25038"/>
    <cellStyle name="40% - Ênfase5 4 2 2 2 5 3" xfId="25039"/>
    <cellStyle name="40% - Ênfase5 4 2 2 3 5 3" xfId="25040"/>
    <cellStyle name="40% - Ênfase5 4 2 3 5 3" xfId="25041"/>
    <cellStyle name="40% - Ênfase5 4 2 4 5 3" xfId="25042"/>
    <cellStyle name="40% - Ênfase5 4 3 8 3" xfId="25043"/>
    <cellStyle name="40% - Ênfase5 4 3 2 5 3" xfId="25044"/>
    <cellStyle name="40% - Ênfase5 4 3 3 5 3" xfId="25045"/>
    <cellStyle name="40% - Ênfase5 4 4 7 3" xfId="25046"/>
    <cellStyle name="40% - Ênfase5 4 4 2 5 3" xfId="25047"/>
    <cellStyle name="40% - Ênfase5 4 4 3 5 3" xfId="25048"/>
    <cellStyle name="40% - Ênfase5 4 5 5 3" xfId="25049"/>
    <cellStyle name="40% - Ênfase5 4 6 5 3" xfId="25050"/>
    <cellStyle name="40% - Ênfase5 4 7 5 3" xfId="25051"/>
    <cellStyle name="40% - Ênfase5 5 10 3" xfId="25052"/>
    <cellStyle name="40% - Ênfase5 5 2 7 3" xfId="25053"/>
    <cellStyle name="40% - Ênfase5 5 2 2 5 3" xfId="25054"/>
    <cellStyle name="40% - Ênfase5 5 2 3 5 3" xfId="25055"/>
    <cellStyle name="40% - Ênfase5 5 3 5 3" xfId="25056"/>
    <cellStyle name="40% - Ênfase5 5 4 5 3" xfId="25057"/>
    <cellStyle name="40% - Ênfase5 5 5 5 3" xfId="25058"/>
    <cellStyle name="40% - Ênfase5 6 9 3" xfId="25059"/>
    <cellStyle name="40% - Ênfase5 6 2 7 3" xfId="25060"/>
    <cellStyle name="40% - Ênfase5 6 2 2 5 3" xfId="25061"/>
    <cellStyle name="40% - Ênfase5 6 2 3 5 3" xfId="25062"/>
    <cellStyle name="40% - Ênfase5 6 3 5 3" xfId="25063"/>
    <cellStyle name="40% - Ênfase5 6 4 5 3" xfId="25064"/>
    <cellStyle name="40% - Ênfase5 8 7 3" xfId="25065"/>
    <cellStyle name="40% - Ênfase5 8 2 5 3" xfId="25066"/>
    <cellStyle name="40% - Ênfase5 8 3 5 3" xfId="25067"/>
    <cellStyle name="40% - Ênfase6 2 2 10 3" xfId="25068"/>
    <cellStyle name="40% - Ênfase6 2 2 2 7 3" xfId="25069"/>
    <cellStyle name="40% - Ênfase6 2 2 2 2 5 3" xfId="25070"/>
    <cellStyle name="40% - Ênfase6 2 2 2 3 5 3" xfId="25071"/>
    <cellStyle name="40% - Ênfase6 2 2 3 5 3" xfId="25072"/>
    <cellStyle name="40% - Ênfase6 2 2 4 5 3" xfId="25073"/>
    <cellStyle name="40% - Ênfase6 2 2 5 5 3" xfId="25074"/>
    <cellStyle name="40% - Ênfase6 2 3 9 3" xfId="25075"/>
    <cellStyle name="40% - Ênfase6 2 3 2 7 3" xfId="25076"/>
    <cellStyle name="40% - Ênfase6 2 3 2 2 5 3" xfId="25077"/>
    <cellStyle name="40% - Ênfase6 2 3 2 3 5 3" xfId="25078"/>
    <cellStyle name="40% - Ênfase6 2 3 3 5 3" xfId="25079"/>
    <cellStyle name="40% - Ênfase6 2 3 4 5 3" xfId="25080"/>
    <cellStyle name="40% - Ênfase6 2 5 7 3" xfId="25081"/>
    <cellStyle name="40% - Ênfase6 2 5 2 5 3" xfId="25082"/>
    <cellStyle name="40% - Ênfase6 2 5 3 5 3" xfId="25083"/>
    <cellStyle name="40% - Ênfase6 3 12 3" xfId="25084"/>
    <cellStyle name="40% - Ênfase6 3 2 9 3" xfId="25085"/>
    <cellStyle name="40% - Ênfase6 3 2 2 7 3" xfId="25086"/>
    <cellStyle name="40% - Ênfase6 3 2 2 2 5 3" xfId="25087"/>
    <cellStyle name="40% - Ênfase6 3 2 2 3 5 3" xfId="25088"/>
    <cellStyle name="40% - Ênfase6 3 2 3 5 3" xfId="25089"/>
    <cellStyle name="40% - Ênfase6 3 2 4 5 3" xfId="25090"/>
    <cellStyle name="40% - Ênfase6 3 3 8 3" xfId="25091"/>
    <cellStyle name="40% - Ênfase6 3 3 2 5 3" xfId="25092"/>
    <cellStyle name="40% - Ênfase6 3 3 3 5 3" xfId="25093"/>
    <cellStyle name="40% - Ênfase6 3 4 7 3" xfId="25094"/>
    <cellStyle name="40% - Ênfase6 3 4 2 5 3" xfId="25095"/>
    <cellStyle name="40% - Ênfase6 3 4 3 5 3" xfId="25096"/>
    <cellStyle name="40% - Ênfase6 3 5 5 3" xfId="25097"/>
    <cellStyle name="40% - Ênfase6 3 6 5 3" xfId="25098"/>
    <cellStyle name="40% - Ênfase6 3 7 5 3" xfId="25099"/>
    <cellStyle name="40% - Ênfase6 4 12 3" xfId="25100"/>
    <cellStyle name="40% - Ênfase6 4 2 9 3" xfId="25101"/>
    <cellStyle name="40% - Ênfase6 4 2 2 7 3" xfId="25102"/>
    <cellStyle name="40% - Ênfase6 4 2 2 2 5 3" xfId="25103"/>
    <cellStyle name="40% - Ênfase6 4 2 2 3 5 3" xfId="25104"/>
    <cellStyle name="40% - Ênfase6 4 2 3 5 3" xfId="25105"/>
    <cellStyle name="40% - Ênfase6 4 2 4 5 3" xfId="25106"/>
    <cellStyle name="40% - Ênfase6 4 3 8 3" xfId="25107"/>
    <cellStyle name="40% - Ênfase6 4 3 2 5 3" xfId="25108"/>
    <cellStyle name="40% - Ênfase6 4 3 3 5 3" xfId="25109"/>
    <cellStyle name="40% - Ênfase6 4 4 7 3" xfId="25110"/>
    <cellStyle name="40% - Ênfase6 4 4 2 5 3" xfId="25111"/>
    <cellStyle name="40% - Ênfase6 4 4 3 5 3" xfId="25112"/>
    <cellStyle name="40% - Ênfase6 4 5 5 3" xfId="25113"/>
    <cellStyle name="40% - Ênfase6 4 6 5 3" xfId="25114"/>
    <cellStyle name="40% - Ênfase6 4 7 5 3" xfId="25115"/>
    <cellStyle name="40% - Ênfase6 5 10 3" xfId="25116"/>
    <cellStyle name="40% - Ênfase6 5 2 7 3" xfId="25117"/>
    <cellStyle name="40% - Ênfase6 5 2 2 5 3" xfId="25118"/>
    <cellStyle name="40% - Ênfase6 5 2 3 5 3" xfId="25119"/>
    <cellStyle name="40% - Ênfase6 5 3 5 3" xfId="25120"/>
    <cellStyle name="40% - Ênfase6 5 4 5 3" xfId="25121"/>
    <cellStyle name="40% - Ênfase6 5 5 5 3" xfId="25122"/>
    <cellStyle name="40% - Ênfase6 6 9 3" xfId="25123"/>
    <cellStyle name="40% - Ênfase6 6 2 7 3" xfId="25124"/>
    <cellStyle name="40% - Ênfase6 6 2 2 5 3" xfId="25125"/>
    <cellStyle name="40% - Ênfase6 6 2 3 5 3" xfId="25126"/>
    <cellStyle name="40% - Ênfase6 6 3 5 3" xfId="25127"/>
    <cellStyle name="40% - Ênfase6 6 4 5 3" xfId="25128"/>
    <cellStyle name="40% - Ênfase6 8 7 3" xfId="25129"/>
    <cellStyle name="40% - Ênfase6 8 2 5 3" xfId="25130"/>
    <cellStyle name="40% - Ênfase6 8 3 5 3" xfId="25131"/>
    <cellStyle name="Normal 3 3 8 3" xfId="25132"/>
    <cellStyle name="Normal 3 3 2 5 3" xfId="25133"/>
    <cellStyle name="Normal 3 3 3 5 3" xfId="25134"/>
    <cellStyle name="Normal 3 4 5 3" xfId="25135"/>
    <cellStyle name="Normal 3 5 5 3" xfId="25136"/>
    <cellStyle name="Normal 3 6 5 3" xfId="25137"/>
    <cellStyle name="Normal 4 2 10 3" xfId="25138"/>
    <cellStyle name="Normal 4 2 2 7 3" xfId="25139"/>
    <cellStyle name="Normal 4 2 2 2 5 3" xfId="25140"/>
    <cellStyle name="Normal 4 2 2 3 5 3" xfId="25141"/>
    <cellStyle name="Normal 4 2 3 5 3" xfId="25142"/>
    <cellStyle name="Normal 4 2 4 5 3" xfId="25143"/>
    <cellStyle name="Normal 4 2 5 5 3" xfId="25144"/>
    <cellStyle name="Normal 4 3 9 3" xfId="25145"/>
    <cellStyle name="Normal 4 3 2 7 3" xfId="25146"/>
    <cellStyle name="Normal 4 3 2 2 5 3" xfId="25147"/>
    <cellStyle name="Normal 4 3 2 3 5 3" xfId="25148"/>
    <cellStyle name="Normal 4 3 3 5 3" xfId="25149"/>
    <cellStyle name="Normal 4 3 4 5 3" xfId="25150"/>
    <cellStyle name="Normal 4 5 7 3" xfId="25151"/>
    <cellStyle name="Normal 4 5 2 5 3" xfId="25152"/>
    <cellStyle name="Normal 4 5 3 5 3" xfId="25153"/>
    <cellStyle name="Normal 5 2 11 3" xfId="25154"/>
    <cellStyle name="Normal 5 2 2 7 3" xfId="25155"/>
    <cellStyle name="Normal 5 2 2 2 5 3" xfId="25156"/>
    <cellStyle name="Normal 5 2 2 3 5 3" xfId="25157"/>
    <cellStyle name="Normal 5 2 3 5 3" xfId="25158"/>
    <cellStyle name="Normal 5 2 4 5 3" xfId="25159"/>
    <cellStyle name="Normal 5 2 5 5 3" xfId="25160"/>
    <cellStyle name="Normal 5 3 9 3" xfId="25161"/>
    <cellStyle name="Normal 5 3 2 7 3" xfId="25162"/>
    <cellStyle name="Normal 5 3 2 2 5 3" xfId="25163"/>
    <cellStyle name="Normal 5 3 2 3 5 3" xfId="25164"/>
    <cellStyle name="Normal 5 3 3 5 3" xfId="25165"/>
    <cellStyle name="Normal 5 3 4 5 3" xfId="25166"/>
    <cellStyle name="Normal 5 5 7 3" xfId="25167"/>
    <cellStyle name="Normal 5 5 2 5 3" xfId="25168"/>
    <cellStyle name="Normal 5 5 3 5 3" xfId="25169"/>
    <cellStyle name="Normal 6 4 5 3" xfId="25170"/>
    <cellStyle name="Normal 7 2 6 4 3" xfId="25171"/>
    <cellStyle name="Normal 7 2 2 4 4 3" xfId="25172"/>
    <cellStyle name="Normal 7 2 2 2 5 3" xfId="25173"/>
    <cellStyle name="Normal 7 2 2 3 5 3" xfId="25174"/>
    <cellStyle name="Normal 7 2 3 5 3" xfId="25175"/>
    <cellStyle name="Normal 7 2 4 5 3" xfId="25176"/>
    <cellStyle name="Normal 7 2 5 5 3" xfId="25177"/>
    <cellStyle name="Normal 7 3 5 4 3" xfId="25178"/>
    <cellStyle name="Normal 7 3 2 7 3" xfId="25179"/>
    <cellStyle name="Normal 7 3 2 2 5 3" xfId="25180"/>
    <cellStyle name="Normal 7 3 2 3 5 3" xfId="25181"/>
    <cellStyle name="Normal 7 3 3 5 3" xfId="25182"/>
    <cellStyle name="Normal 7 3 4 5 3" xfId="25183"/>
    <cellStyle name="Normal 7 5 7 3" xfId="25184"/>
    <cellStyle name="Normal 7 5 2 5 3" xfId="25185"/>
    <cellStyle name="Normal 7 5 3 5 3" xfId="25186"/>
    <cellStyle name="Normal 8 9 4 3" xfId="25187"/>
    <cellStyle name="Normal 8 2 5 4 3" xfId="25188"/>
    <cellStyle name="Normal 8 2 2 4 4 3" xfId="25189"/>
    <cellStyle name="Normal 8 2 2 2 5 3" xfId="25190"/>
    <cellStyle name="Normal 8 2 2 3 5 3" xfId="25191"/>
    <cellStyle name="Normal 8 2 3 5 3" xfId="25192"/>
    <cellStyle name="Normal 8 2 4 5 3" xfId="25193"/>
    <cellStyle name="Normal 8 3 4 4 3" xfId="25194"/>
    <cellStyle name="Normal 8 3 2 2 4 3" xfId="25195"/>
    <cellStyle name="Normal 8 3 3 5 3" xfId="25196"/>
    <cellStyle name="Normal 8 4 4 4 3" xfId="25197"/>
    <cellStyle name="Normal 8 4 2 2 4 3" xfId="25198"/>
    <cellStyle name="Normal 8 4 3 5 3" xfId="25199"/>
    <cellStyle name="Normal 8 5 4 3 3" xfId="25200"/>
    <cellStyle name="Normal 8 6 2 4 3" xfId="25201"/>
    <cellStyle name="Normal 8 7 5 3" xfId="25202"/>
    <cellStyle name="Nota 2 2 10 3" xfId="25203"/>
    <cellStyle name="Nota 2 2 2 7 3" xfId="25204"/>
    <cellStyle name="Nota 2 2 2 2 5 3" xfId="25205"/>
    <cellStyle name="Nota 2 2 2 3 5 3" xfId="25206"/>
    <cellStyle name="Nota 2 2 3 5 3" xfId="25207"/>
    <cellStyle name="Nota 2 2 4 5 3" xfId="25208"/>
    <cellStyle name="Nota 2 2 5 5 3" xfId="25209"/>
    <cellStyle name="Nota 2 3 9 3" xfId="25210"/>
    <cellStyle name="Nota 2 3 2 7 3" xfId="25211"/>
    <cellStyle name="Nota 2 3 2 2 5 3" xfId="25212"/>
    <cellStyle name="Nota 2 3 2 3 5 3" xfId="25213"/>
    <cellStyle name="Nota 2 3 3 5 3" xfId="25214"/>
    <cellStyle name="Nota 2 3 4 5 3" xfId="25215"/>
    <cellStyle name="Nota 2 5 7 3" xfId="25216"/>
    <cellStyle name="Nota 2 5 2 5 3" xfId="25217"/>
    <cellStyle name="Nota 2 5 3 5 3" xfId="25218"/>
    <cellStyle name="Nota 3 2 10 3" xfId="25219"/>
    <cellStyle name="Nota 3 2 2 7 3" xfId="25220"/>
    <cellStyle name="Nota 3 2 2 2 5 3" xfId="25221"/>
    <cellStyle name="Nota 3 2 2 3 5 3" xfId="25222"/>
    <cellStyle name="Nota 3 2 3 5 3" xfId="25223"/>
    <cellStyle name="Nota 3 2 4 5 3" xfId="25224"/>
    <cellStyle name="Nota 3 2 5 5 3" xfId="25225"/>
    <cellStyle name="Nota 3 3 9 3" xfId="25226"/>
    <cellStyle name="Nota 3 3 2 7 3" xfId="25227"/>
    <cellStyle name="Nota 3 3 2 2 5 3" xfId="25228"/>
    <cellStyle name="Nota 3 3 2 3 5 3" xfId="25229"/>
    <cellStyle name="Nota 3 3 3 5 3" xfId="25230"/>
    <cellStyle name="Nota 3 3 4 5 3" xfId="25231"/>
    <cellStyle name="Nota 3 5 7 3" xfId="25232"/>
    <cellStyle name="Nota 3 5 2 5 3" xfId="25233"/>
    <cellStyle name="Nota 3 5 3 5 3" xfId="25234"/>
    <cellStyle name="Nota 4 8 4 3" xfId="25235"/>
    <cellStyle name="Nota 4 2 9 3" xfId="25236"/>
    <cellStyle name="Nota 4 2 2 7 3" xfId="25237"/>
    <cellStyle name="Nota 4 2 2 2 5 3" xfId="25238"/>
    <cellStyle name="Nota 4 2 2 3 5 3" xfId="25239"/>
    <cellStyle name="Nota 4 2 3 5 3" xfId="25240"/>
    <cellStyle name="Nota 4 2 4 5 3" xfId="25241"/>
    <cellStyle name="Nota 4 3 8 3" xfId="25242"/>
    <cellStyle name="Nota 4 3 2 5 3" xfId="25243"/>
    <cellStyle name="Nota 4 3 3 5 3" xfId="25244"/>
    <cellStyle name="Nota 4 4 7 3" xfId="25245"/>
    <cellStyle name="Nota 4 4 2 5 3" xfId="25246"/>
    <cellStyle name="Nota 4 4 3 5 3" xfId="25247"/>
    <cellStyle name="Nota 4 5 5 3" xfId="25248"/>
    <cellStyle name="Nota 4 6 5 3" xfId="25249"/>
    <cellStyle name="Nota 4 7 5 3" xfId="25250"/>
    <cellStyle name="Nota 5 12 3" xfId="25251"/>
    <cellStyle name="Nota 5 2 9 3" xfId="25252"/>
    <cellStyle name="Nota 5 2 2 7 3" xfId="25253"/>
    <cellStyle name="Nota 5 2 2 2 5 3" xfId="25254"/>
    <cellStyle name="Nota 5 2 2 3 5 3" xfId="25255"/>
    <cellStyle name="Nota 5 2 3 5 3" xfId="25256"/>
    <cellStyle name="Nota 5 2 4 5 3" xfId="25257"/>
    <cellStyle name="Nota 5 3 8 3" xfId="25258"/>
    <cellStyle name="Nota 5 3 2 5 3" xfId="25259"/>
    <cellStyle name="Nota 5 3 3 5 3" xfId="25260"/>
    <cellStyle name="Nota 5 4 7 3" xfId="25261"/>
    <cellStyle name="Nota 5 4 2 5 3" xfId="25262"/>
    <cellStyle name="Nota 5 4 3 5 3" xfId="25263"/>
    <cellStyle name="Nota 5 5 5 3" xfId="25264"/>
    <cellStyle name="Nota 5 6 5 3" xfId="25265"/>
    <cellStyle name="Nota 5 7 5 3" xfId="25266"/>
    <cellStyle name="Separador de milhares 2 2 4 4 3" xfId="25267"/>
    <cellStyle name="Separador de milhares 2 2 2 4 3" xfId="25268"/>
    <cellStyle name="Separador de milhares 2 2 3 4 3" xfId="25269"/>
    <cellStyle name="Separador de milhares 2 3 2 4 3" xfId="25270"/>
    <cellStyle name="Separador de milhares 2 4 4 3" xfId="25271"/>
    <cellStyle name="Separador de milhares 2 5 4 3" xfId="25272"/>
    <cellStyle name="Separador de milhares 2 6 4 3" xfId="25273"/>
    <cellStyle name="Separador de milhares 3 2 4 4 3" xfId="25274"/>
    <cellStyle name="Separador de milhares 3 2 2 4 3" xfId="25275"/>
    <cellStyle name="Separador de milhares 3 2 3 4 3" xfId="25276"/>
    <cellStyle name="Separador de milhares 3 4 2 4 3" xfId="25277"/>
    <cellStyle name="Separador de milhares 4 4 4 3" xfId="25278"/>
    <cellStyle name="Separador de milhares 4 2 3 4 3" xfId="25279"/>
    <cellStyle name="Separador de milhares 4 2 2 4 3" xfId="25280"/>
    <cellStyle name="Separador de milhares 4 3 2 4 3" xfId="25281"/>
    <cellStyle name="Separador de milhares 5 2 3 4 3" xfId="25282"/>
    <cellStyle name="Separador de milhares 5 2 2 4 3" xfId="25283"/>
    <cellStyle name="Separador de milhares 5 3 2 4 3" xfId="25284"/>
    <cellStyle name="Separador de milhares 5 4 4 3" xfId="25285"/>
    <cellStyle name="Separador de milhares 6 5 4 3" xfId="25286"/>
    <cellStyle name="Separador de milhares 6 2 3 4 3" xfId="25287"/>
    <cellStyle name="Separador de milhares 6 2 2 4 3" xfId="25288"/>
    <cellStyle name="Separador de milhares 6 3 2 4 3" xfId="25289"/>
    <cellStyle name="Separador de milhares 6 4 4 3" xfId="25290"/>
    <cellStyle name="Separador de milhares 7 3 2 3 3" xfId="25291"/>
    <cellStyle name="Vírgula 2 6 4 3" xfId="25292"/>
    <cellStyle name="Vírgula 2 2 7 3" xfId="25293"/>
    <cellStyle name="Vírgula 2 2 2 4 3" xfId="25294"/>
    <cellStyle name="Vírgula 2 3 6 3" xfId="25295"/>
    <cellStyle name="Vírgula 2 3 2 4 3" xfId="25296"/>
    <cellStyle name="Vírgula 2 4 4 3" xfId="25297"/>
    <cellStyle name="Vírgula 2 5 4 3" xfId="25298"/>
    <cellStyle name="Vírgula 3 4 4 3" xfId="25299"/>
    <cellStyle name="Vírgula 3 2 5 3" xfId="25300"/>
    <cellStyle name="Vírgula 3 3 4 3" xfId="25301"/>
    <cellStyle name="Vírgula 4 4 4 3" xfId="25302"/>
    <cellStyle name="Vírgula 4 2 3 3 3" xfId="25303"/>
    <cellStyle name="Vírgula 4 2 2 2 4 3" xfId="25304"/>
    <cellStyle name="Vírgula 4 3 5 3" xfId="25305"/>
    <cellStyle name="Vírgula 5 3 4 3" xfId="25306"/>
    <cellStyle name="Vírgula 5 2 4 3" xfId="25307"/>
    <cellStyle name="Vírgula 6 2 3 3" xfId="25308"/>
    <cellStyle name="Vírgula 8 2 2 4 3" xfId="25309"/>
    <cellStyle name="Vírgula 9 2 3 3" xfId="25310"/>
    <cellStyle name="Comma 4 3 3 3" xfId="25311"/>
    <cellStyle name="Comma 5 3 3 3" xfId="25312"/>
    <cellStyle name="Comma 6 3 3" xfId="25313"/>
    <cellStyle name="Comma 7 3 3" xfId="25314"/>
    <cellStyle name="Vírgula 10 6 3" xfId="25315"/>
    <cellStyle name="Comma 8 3 3" xfId="25316"/>
    <cellStyle name="Comma 9 3 3" xfId="25317"/>
    <cellStyle name="Comma 10 3 3" xfId="25318"/>
    <cellStyle name="Vírgula 10 2 4 3" xfId="25319"/>
    <cellStyle name="Separador de milhares 2 7 2 4 3" xfId="25320"/>
    <cellStyle name="Comma 11 3 3" xfId="25321"/>
    <cellStyle name="Vírgula 10 3 4 3" xfId="25322"/>
    <cellStyle name="Separador de milhares 2 7 3 4 3" xfId="25323"/>
    <cellStyle name="Porcentagem 12 4 3" xfId="25324"/>
    <cellStyle name="Normal 55 3 3" xfId="25325"/>
    <cellStyle name="Percent 14 3 3" xfId="25326"/>
    <cellStyle name="Normal 3 9 4 3" xfId="25327"/>
    <cellStyle name="Vírgula 11 3 3" xfId="25328"/>
    <cellStyle name="Normal 3 7 2 4 3" xfId="25329"/>
    <cellStyle name="20% - Ênfase1 5 6 4 3" xfId="25330"/>
    <cellStyle name="40% - Ênfase1 5 6 4 3" xfId="25331"/>
    <cellStyle name="20% - Ênfase2 5 6 4 3" xfId="25332"/>
    <cellStyle name="40% - Ênfase2 5 6 4 3" xfId="25333"/>
    <cellStyle name="20% - Ênfase3 5 6 4 3" xfId="25334"/>
    <cellStyle name="40% - Ênfase3 5 6 4 3" xfId="25335"/>
    <cellStyle name="20% - Ênfase4 5 6 4 3" xfId="25336"/>
    <cellStyle name="40% - Ênfase4 5 6 4 3" xfId="25337"/>
    <cellStyle name="20% - Ênfase5 5 6 4 3" xfId="25338"/>
    <cellStyle name="40% - Ênfase5 5 6 4 3" xfId="25339"/>
    <cellStyle name="20% - Ênfase6 5 6 4 3" xfId="25340"/>
    <cellStyle name="40% - Ênfase6 5 6 4 3" xfId="25341"/>
    <cellStyle name="Normal 4 2 6 4 3" xfId="25342"/>
    <cellStyle name="Nota 2 2 6 4 3" xfId="25343"/>
    <cellStyle name="Normal 5 2 7 4 3" xfId="25344"/>
    <cellStyle name="Nota 3 2 6 4 3" xfId="25345"/>
    <cellStyle name="20% - Ênfase1 2 2 6 4 3" xfId="25346"/>
    <cellStyle name="40% - Ênfase1 2 2 6 4 3" xfId="25347"/>
    <cellStyle name="20% - Ênfase2 2 2 6 4 3" xfId="25348"/>
    <cellStyle name="40% - Ênfase2 2 2 6 4 3" xfId="25349"/>
    <cellStyle name="20% - Ênfase3 2 2 6 4 3" xfId="25350"/>
    <cellStyle name="40% - Ênfase3 2 2 6 4 3" xfId="25351"/>
    <cellStyle name="20% - Ênfase4 2 2 6 4 3" xfId="25352"/>
    <cellStyle name="40% - Ênfase4 2 2 6 4 3" xfId="25353"/>
    <cellStyle name="20% - Ênfase5 2 2 6 4 3" xfId="25354"/>
    <cellStyle name="40% - Ênfase5 2 2 6 4 3" xfId="25355"/>
    <cellStyle name="20% - Ênfase6 2 2 6 4 3" xfId="25356"/>
    <cellStyle name="40% - Ênfase6 2 2 6 4 3" xfId="25357"/>
    <cellStyle name="Normal 7 2 7 4 3" xfId="25358"/>
    <cellStyle name="Nota 4 9 4 3" xfId="25359"/>
    <cellStyle name="20% - Ênfase1 3 8 4 3" xfId="25360"/>
    <cellStyle name="40% - Ênfase1 3 8 4 3" xfId="25361"/>
    <cellStyle name="20% - Ênfase2 3 8 4 3" xfId="25362"/>
    <cellStyle name="40% - Ênfase2 3 8 4 3" xfId="25363"/>
    <cellStyle name="20% - Ênfase3 3 8 4 3" xfId="25364"/>
    <cellStyle name="40% - Ênfase3 3 8 4 3" xfId="25365"/>
    <cellStyle name="20% - Ênfase4 3 8 4 3" xfId="25366"/>
    <cellStyle name="40% - Ênfase4 3 8 4 3" xfId="25367"/>
    <cellStyle name="20% - Ênfase5 3 8 4 3" xfId="25368"/>
    <cellStyle name="40% - Ênfase5 3 8 4 3" xfId="25369"/>
    <cellStyle name="20% - Ênfase6 3 8 4 3" xfId="25370"/>
    <cellStyle name="40% - Ênfase6 3 8 4 3" xfId="25371"/>
    <cellStyle name="Normal 8 12 3 3" xfId="25372"/>
    <cellStyle name="Nota 5 8 4 3" xfId="25373"/>
    <cellStyle name="20% - Ênfase1 4 8 4 3" xfId="25374"/>
    <cellStyle name="40% - Ênfase1 4 8 4 3" xfId="25375"/>
    <cellStyle name="20% - Ênfase2 4 8 4 3" xfId="25376"/>
    <cellStyle name="40% - Ênfase2 4 8 4 3" xfId="25377"/>
    <cellStyle name="20% - Ênfase3 4 8 4 3" xfId="25378"/>
    <cellStyle name="40% - Ênfase3 4 8 4 3" xfId="25379"/>
    <cellStyle name="20% - Ênfase4 4 8 4 3" xfId="25380"/>
    <cellStyle name="40% - Ênfase4 4 8 4 3" xfId="25381"/>
    <cellStyle name="20% - Ênfase5 4 8 4 3" xfId="25382"/>
    <cellStyle name="40% - Ênfase5 4 8 4 3" xfId="25383"/>
    <cellStyle name="20% - Ênfase6 4 8 4 3" xfId="25384"/>
    <cellStyle name="40% - Ênfase6 4 8 4 3" xfId="25385"/>
    <cellStyle name="20% - Ênfase1 6 5 4 3" xfId="25386"/>
    <cellStyle name="40% - Ênfase1 6 5 4 3" xfId="25387"/>
    <cellStyle name="20% - Ênfase2 6 5 4 3" xfId="25388"/>
    <cellStyle name="40% - Ênfase2 6 5 4 3" xfId="25389"/>
    <cellStyle name="20% - Ênfase3 6 5 4 3" xfId="25390"/>
    <cellStyle name="40% - Ênfase3 6 5 4 3" xfId="25391"/>
    <cellStyle name="20% - Ênfase4 6 5 4 3" xfId="25392"/>
    <cellStyle name="40% - Ênfase4 6 5 4 3" xfId="25393"/>
    <cellStyle name="20% - Ênfase5 6 5 4 3" xfId="25394"/>
    <cellStyle name="40% - Ênfase5 6 5 4 3" xfId="25395"/>
    <cellStyle name="20% - Ênfase6 6 5 4 3" xfId="25396"/>
    <cellStyle name="40% - Ênfase6 6 5 4 3" xfId="25397"/>
    <cellStyle name="Normal 4 3 5 4 3" xfId="25398"/>
    <cellStyle name="Nota 2 3 5 4 3" xfId="25399"/>
    <cellStyle name="Normal 5 3 5 4 3" xfId="25400"/>
    <cellStyle name="Nota 3 3 5 4 3" xfId="25401"/>
    <cellStyle name="20% - Ênfase1 2 3 5 4 3" xfId="25402"/>
    <cellStyle name="40% - Ênfase1 2 3 5 4 3" xfId="25403"/>
    <cellStyle name="20% - Ênfase2 2 3 5 4 3" xfId="25404"/>
    <cellStyle name="40% - Ênfase2 2 3 5 4 3" xfId="25405"/>
    <cellStyle name="20% - Ênfase3 2 3 5 4 3" xfId="25406"/>
    <cellStyle name="40% - Ênfase3 2 3 5 4 3" xfId="25407"/>
    <cellStyle name="20% - Ênfase4 2 3 5 4 3" xfId="25408"/>
    <cellStyle name="40% - Ênfase4 2 3 5 4 3" xfId="25409"/>
    <cellStyle name="20% - Ênfase5 2 3 5 4 3" xfId="25410"/>
    <cellStyle name="40% - Ênfase5 2 3 5 4 3" xfId="25411"/>
    <cellStyle name="20% - Ênfase6 2 3 5 4 3" xfId="25412"/>
    <cellStyle name="40% - Ênfase6 2 3 5 4 3" xfId="25413"/>
    <cellStyle name="Normal 7 3 6 4 3" xfId="25414"/>
    <cellStyle name="Nota 4 2 5 4 3" xfId="25415"/>
    <cellStyle name="20% - Ênfase1 3 2 5 4 3" xfId="25416"/>
    <cellStyle name="40% - Ênfase1 3 2 5 4 3" xfId="25417"/>
    <cellStyle name="20% - Ênfase2 3 2 5 4 3" xfId="25418"/>
    <cellStyle name="40% - Ênfase2 3 2 5 4 3" xfId="25419"/>
    <cellStyle name="20% - Ênfase3 3 2 5 4 3" xfId="25420"/>
    <cellStyle name="40% - Ênfase3 3 2 5 4 3" xfId="25421"/>
    <cellStyle name="20% - Ênfase4 3 2 5 4 3" xfId="25422"/>
    <cellStyle name="40% - Ênfase4 3 2 5 4 3" xfId="25423"/>
    <cellStyle name="20% - Ênfase5 3 2 5 4 3" xfId="25424"/>
    <cellStyle name="40% - Ênfase5 3 2 5 4 3" xfId="25425"/>
    <cellStyle name="20% - Ênfase6 3 2 5 4 3" xfId="25426"/>
    <cellStyle name="40% - Ênfase6 3 2 5 4 3" xfId="25427"/>
    <cellStyle name="Normal 8 2 6 4 3" xfId="25428"/>
    <cellStyle name="Nota 5 2 5 4 3" xfId="25429"/>
    <cellStyle name="20% - Ênfase1 4 2 5 4 3" xfId="25430"/>
    <cellStyle name="40% - Ênfase1 4 2 5 4 3" xfId="25431"/>
    <cellStyle name="20% - Ênfase2 4 2 5 4 3" xfId="25432"/>
    <cellStyle name="40% - Ênfase2 4 2 5 4 3" xfId="25433"/>
    <cellStyle name="20% - Ênfase3 4 2 5 4 3" xfId="25434"/>
    <cellStyle name="40% - Ênfase3 4 2 5 4 3" xfId="25435"/>
    <cellStyle name="20% - Ênfase4 4 2 5 4 3" xfId="25436"/>
    <cellStyle name="40% - Ênfase4 4 2 5 4 3" xfId="25437"/>
    <cellStyle name="20% - Ênfase5 4 2 5 4 3" xfId="25438"/>
    <cellStyle name="40% - Ênfase5 4 2 5 4 3" xfId="25439"/>
    <cellStyle name="20% - Ênfase6 4 2 5 4 3" xfId="25440"/>
    <cellStyle name="40% - Ênfase6 4 2 5 4 3" xfId="25441"/>
    <cellStyle name="20% - Ênfase1 8 4 4 3" xfId="25442"/>
    <cellStyle name="40% - Ênfase1 8 4 4 3" xfId="25443"/>
    <cellStyle name="20% - Ênfase2 8 4 4 3" xfId="25444"/>
    <cellStyle name="40% - Ênfase2 8 4 4 3" xfId="25445"/>
    <cellStyle name="20% - Ênfase3 8 4 4 3" xfId="25446"/>
    <cellStyle name="40% - Ênfase3 8 4 4 3" xfId="25447"/>
    <cellStyle name="20% - Ênfase4 8 4 4 3" xfId="25448"/>
    <cellStyle name="40% - Ênfase4 8 4 4 3" xfId="25449"/>
    <cellStyle name="20% - Ênfase5 8 4 4 3" xfId="25450"/>
    <cellStyle name="40% - Ênfase5 8 4 4 3" xfId="25451"/>
    <cellStyle name="20% - Ênfase6 8 4 4 3" xfId="25452"/>
    <cellStyle name="40% - Ênfase6 8 4 4 3" xfId="25453"/>
    <cellStyle name="Normal 4 5 4 4 3" xfId="25454"/>
    <cellStyle name="Nota 2 5 4 4 3" xfId="25455"/>
    <cellStyle name="Normal 5 5 4 4 3" xfId="25456"/>
    <cellStyle name="Nota 3 5 4 4 3" xfId="25457"/>
    <cellStyle name="20% - Ênfase1 2 5 4 4 3" xfId="25458"/>
    <cellStyle name="40% - Ênfase1 2 5 4 4 3" xfId="25459"/>
    <cellStyle name="20% - Ênfase2 2 5 4 4 3" xfId="25460"/>
    <cellStyle name="40% - Ênfase2 2 5 4 4 3" xfId="25461"/>
    <cellStyle name="20% - Ênfase3 2 5 4 4 3" xfId="25462"/>
    <cellStyle name="40% - Ênfase3 2 5 4 4 3" xfId="25463"/>
    <cellStyle name="20% - Ênfase4 2 5 4 4 3" xfId="25464"/>
    <cellStyle name="40% - Ênfase4 2 5 4 4 3" xfId="25465"/>
    <cellStyle name="20% - Ênfase5 2 5 4 4 3" xfId="25466"/>
    <cellStyle name="40% - Ênfase5 2 5 4 4 3" xfId="25467"/>
    <cellStyle name="20% - Ênfase6 2 5 4 4 3" xfId="25468"/>
    <cellStyle name="40% - Ênfase6 2 5 4 4 3" xfId="25469"/>
    <cellStyle name="Normal 7 5 4 4 3" xfId="25470"/>
    <cellStyle name="Nota 4 4 4 4 3" xfId="25471"/>
    <cellStyle name="20% - Ênfase1 3 4 4 4 3" xfId="25472"/>
    <cellStyle name="40% - Ênfase1 3 4 4 4 3" xfId="25473"/>
    <cellStyle name="20% - Ênfase2 3 4 4 4 3" xfId="25474"/>
    <cellStyle name="40% - Ênfase2 3 4 4 4 3" xfId="25475"/>
    <cellStyle name="20% - Ênfase3 3 4 4 4 3" xfId="25476"/>
    <cellStyle name="40% - Ênfase3 3 4 4 4 3" xfId="25477"/>
    <cellStyle name="20% - Ênfase4 3 4 4 4 3" xfId="25478"/>
    <cellStyle name="40% - Ênfase4 3 4 4 4 3" xfId="25479"/>
    <cellStyle name="20% - Ênfase5 3 4 4 4 3" xfId="25480"/>
    <cellStyle name="40% - Ênfase5 3 4 4 4 3" xfId="25481"/>
    <cellStyle name="20% - Ênfase6 3 4 4 4 3" xfId="25482"/>
    <cellStyle name="40% - Ênfase6 3 4 4 4 3" xfId="25483"/>
    <cellStyle name="Normal 8 4 5 4 3" xfId="25484"/>
    <cellStyle name="Nota 5 4 4 4 3" xfId="25485"/>
    <cellStyle name="20% - Ênfase1 4 4 4 4 3" xfId="25486"/>
    <cellStyle name="40% - Ênfase1 4 4 4 4 3" xfId="25487"/>
    <cellStyle name="20% - Ênfase2 4 4 4 4 3" xfId="25488"/>
    <cellStyle name="40% - Ênfase2 4 4 4 4 3" xfId="25489"/>
    <cellStyle name="20% - Ênfase3 4 4 4 4 3" xfId="25490"/>
    <cellStyle name="40% - Ênfase3 4 4 4 4 3" xfId="25491"/>
    <cellStyle name="20% - Ênfase4 4 4 4 4 3" xfId="25492"/>
    <cellStyle name="40% - Ênfase4 4 4 4 4 3" xfId="25493"/>
    <cellStyle name="20% - Ênfase5 4 4 4 4 3" xfId="25494"/>
    <cellStyle name="40% - Ênfase5 4 4 4 4 3" xfId="25495"/>
    <cellStyle name="20% - Ênfase6 4 4 4 4 3" xfId="25496"/>
    <cellStyle name="40% - Ênfase6 4 4 4 4 3" xfId="25497"/>
    <cellStyle name="Normal 3 3 4 4 3" xfId="25498"/>
    <cellStyle name="20% - Ênfase1 5 2 4 4 3" xfId="25499"/>
    <cellStyle name="40% - Ênfase1 5 2 4 4 3" xfId="25500"/>
    <cellStyle name="20% - Ênfase2 5 2 4 4 3" xfId="25501"/>
    <cellStyle name="40% - Ênfase2 5 2 4 4 3" xfId="25502"/>
    <cellStyle name="20% - Ênfase3 5 2 4 4 3" xfId="25503"/>
    <cellStyle name="40% - Ênfase3 5 2 4 4 3" xfId="25504"/>
    <cellStyle name="20% - Ênfase4 5 2 4 4 3" xfId="25505"/>
    <cellStyle name="40% - Ênfase4 5 2 4 4 3" xfId="25506"/>
    <cellStyle name="20% - Ênfase5 5 2 4 4 3" xfId="25507"/>
    <cellStyle name="40% - Ênfase5 5 2 4 4 3" xfId="25508"/>
    <cellStyle name="20% - Ênfase6 5 2 4 4 3" xfId="25509"/>
    <cellStyle name="40% - Ênfase6 5 2 4 4 3" xfId="25510"/>
    <cellStyle name="Normal 4 2 2 4 4 3" xfId="25511"/>
    <cellStyle name="Nota 2 2 2 4 4 3" xfId="25512"/>
    <cellStyle name="Normal 5 2 2 4 4 3" xfId="25513"/>
    <cellStyle name="Nota 3 2 2 4 4 3" xfId="25514"/>
    <cellStyle name="20% - Ênfase1 2 2 2 4 4 3" xfId="25515"/>
    <cellStyle name="40% - Ênfase1 2 2 2 4 4 3" xfId="25516"/>
    <cellStyle name="20% - Ênfase2 2 2 2 4 4 3" xfId="25517"/>
    <cellStyle name="40% - Ênfase2 2 2 2 4 4 3" xfId="25518"/>
    <cellStyle name="20% - Ênfase3 2 2 2 4 4 3" xfId="25519"/>
    <cellStyle name="40% - Ênfase3 2 2 2 4 4 3" xfId="25520"/>
    <cellStyle name="20% - Ênfase4 2 2 2 4 4 3" xfId="25521"/>
    <cellStyle name="40% - Ênfase4 2 2 2 4 4 3" xfId="25522"/>
    <cellStyle name="20% - Ênfase5 2 2 2 4 4 3" xfId="25523"/>
    <cellStyle name="40% - Ênfase5 2 2 2 4 4 3" xfId="25524"/>
    <cellStyle name="20% - Ênfase6 2 2 2 4 4 3" xfId="25525"/>
    <cellStyle name="40% - Ênfase6 2 2 2 4 4 3" xfId="25526"/>
    <cellStyle name="Normal 7 2 2 5 4 3" xfId="25527"/>
    <cellStyle name="Nota 4 3 4 4 3" xfId="25528"/>
    <cellStyle name="20% - Ênfase1 3 3 4 4 3" xfId="25529"/>
    <cellStyle name="40% - Ênfase1 3 3 4 4 3" xfId="25530"/>
    <cellStyle name="20% - Ênfase2 3 3 4 4 3" xfId="25531"/>
    <cellStyle name="40% - Ênfase2 3 3 4 4 3" xfId="25532"/>
    <cellStyle name="20% - Ênfase3 3 3 4 4 3" xfId="25533"/>
    <cellStyle name="40% - Ênfase3 3 3 4 4 3" xfId="25534"/>
    <cellStyle name="20% - Ênfase4 3 3 4 4 3" xfId="25535"/>
    <cellStyle name="40% - Ênfase4 3 3 4 4 3" xfId="25536"/>
    <cellStyle name="20% - Ênfase5 3 3 4 4 3" xfId="25537"/>
    <cellStyle name="40% - Ênfase5 3 3 4 4 3" xfId="25538"/>
    <cellStyle name="20% - Ênfase6 3 3 4 4 3" xfId="25539"/>
    <cellStyle name="40% - Ênfase6 3 3 4 4 3" xfId="25540"/>
    <cellStyle name="Normal 8 3 5 4 3" xfId="25541"/>
    <cellStyle name="Nota 5 3 4 4 3" xfId="25542"/>
    <cellStyle name="20% - Ênfase1 4 3 4 4 3" xfId="25543"/>
    <cellStyle name="40% - Ênfase1 4 3 4 4 3" xfId="25544"/>
    <cellStyle name="20% - Ênfase2 4 3 4 4 3" xfId="25545"/>
    <cellStyle name="40% - Ênfase2 4 3 4 4 3" xfId="25546"/>
    <cellStyle name="20% - Ênfase3 4 3 4 4 3" xfId="25547"/>
    <cellStyle name="40% - Ênfase3 4 3 4 4 3" xfId="25548"/>
    <cellStyle name="20% - Ênfase4 4 3 4 4 3" xfId="25549"/>
    <cellStyle name="40% - Ênfase4 4 3 4 4 3" xfId="25550"/>
    <cellStyle name="20% - Ênfase5 4 3 4 4 3" xfId="25551"/>
    <cellStyle name="40% - Ênfase5 4 3 4 4 3" xfId="25552"/>
    <cellStyle name="20% - Ênfase6 4 3 4 4 3" xfId="25553"/>
    <cellStyle name="40% - Ênfase6 4 3 4 4 3" xfId="25554"/>
    <cellStyle name="20% - Ênfase1 6 2 4 4 3" xfId="25555"/>
    <cellStyle name="40% - Ênfase1 6 2 4 4 3" xfId="25556"/>
    <cellStyle name="20% - Ênfase2 6 2 4 4 3" xfId="25557"/>
    <cellStyle name="40% - Ênfase2 6 2 4 4 3" xfId="25558"/>
    <cellStyle name="20% - Ênfase3 6 2 4 4 3" xfId="25559"/>
    <cellStyle name="40% - Ênfase3 6 2 4 4 3" xfId="25560"/>
    <cellStyle name="20% - Ênfase4 6 2 4 4 3" xfId="25561"/>
    <cellStyle name="40% - Ênfase4 6 2 4 4 3" xfId="25562"/>
    <cellStyle name="20% - Ênfase5 6 2 4 4 3" xfId="25563"/>
    <cellStyle name="40% - Ênfase5 6 2 4 4 3" xfId="25564"/>
    <cellStyle name="20% - Ênfase6 6 2 4 4 3" xfId="25565"/>
    <cellStyle name="40% - Ênfase6 6 2 4 4 3" xfId="25566"/>
    <cellStyle name="Normal 4 3 2 4 4 3" xfId="25567"/>
    <cellStyle name="Nota 2 3 2 4 4 3" xfId="25568"/>
    <cellStyle name="Normal 5 3 2 4 4 3" xfId="25569"/>
    <cellStyle name="Nota 3 3 2 4 4 3" xfId="25570"/>
    <cellStyle name="20% - Ênfase1 2 3 2 4 4 3" xfId="25571"/>
    <cellStyle name="40% - Ênfase1 2 3 2 4 4 3" xfId="25572"/>
    <cellStyle name="20% - Ênfase2 2 3 2 4 4 3" xfId="25573"/>
    <cellStyle name="40% - Ênfase2 2 3 2 4 4 3" xfId="25574"/>
    <cellStyle name="20% - Ênfase3 2 3 2 4 4 3" xfId="25575"/>
    <cellStyle name="40% - Ênfase3 2 3 2 4 4 3" xfId="25576"/>
    <cellStyle name="20% - Ênfase4 2 3 2 4 4 3" xfId="25577"/>
    <cellStyle name="40% - Ênfase4 2 3 2 4 4 3" xfId="25578"/>
    <cellStyle name="20% - Ênfase5 2 3 2 4 4 3" xfId="25579"/>
    <cellStyle name="40% - Ênfase5 2 3 2 4 4 3" xfId="25580"/>
    <cellStyle name="20% - Ênfase6 2 3 2 4 4 3" xfId="25581"/>
    <cellStyle name="40% - Ênfase6 2 3 2 4 4 3" xfId="25582"/>
    <cellStyle name="Normal 7 3 2 4 4 3" xfId="25583"/>
    <cellStyle name="Nota 4 2 2 4 4 3" xfId="25584"/>
    <cellStyle name="20% - Ênfase1 3 2 2 4 4 3" xfId="25585"/>
    <cellStyle name="40% - Ênfase1 3 2 2 4 4 3" xfId="25586"/>
    <cellStyle name="20% - Ênfase2 3 2 2 4 4 3" xfId="25587"/>
    <cellStyle name="40% - Ênfase2 3 2 2 4 4 3" xfId="25588"/>
    <cellStyle name="20% - Ênfase3 3 2 2 4 4 3" xfId="25589"/>
    <cellStyle name="40% - Ênfase3 3 2 2 4 4 3" xfId="25590"/>
    <cellStyle name="20% - Ênfase4 3 2 2 4 4 3" xfId="25591"/>
    <cellStyle name="40% - Ênfase4 3 2 2 4 4 3" xfId="25592"/>
    <cellStyle name="20% - Ênfase5 3 2 2 4 4 3" xfId="25593"/>
    <cellStyle name="40% - Ênfase5 3 2 2 4 4 3" xfId="25594"/>
    <cellStyle name="20% - Ênfase6 3 2 2 4 4 3" xfId="25595"/>
    <cellStyle name="40% - Ênfase6 3 2 2 4 4 3" xfId="25596"/>
    <cellStyle name="Normal 8 2 2 5 4 3" xfId="25597"/>
    <cellStyle name="Nota 5 2 2 4 4 3" xfId="25598"/>
    <cellStyle name="20% - Ênfase1 4 2 2 4 4 3" xfId="25599"/>
    <cellStyle name="40% - Ênfase1 4 2 2 4 4 3" xfId="25600"/>
    <cellStyle name="20% - Ênfase2 4 2 2 4 4 3" xfId="25601"/>
    <cellStyle name="40% - Ênfase2 4 2 2 4 4 3" xfId="25602"/>
    <cellStyle name="20% - Ênfase3 4 2 2 4 4 3" xfId="25603"/>
    <cellStyle name="40% - Ênfase3 4 2 2 4 4 3" xfId="25604"/>
    <cellStyle name="20% - Ênfase4 4 2 2 4 4 3" xfId="25605"/>
    <cellStyle name="40% - Ênfase4 4 2 2 4 4 3" xfId="25606"/>
    <cellStyle name="20% - Ênfase5 4 2 2 4 4 3" xfId="25607"/>
    <cellStyle name="40% - Ênfase5 4 2 2 4 4 3" xfId="25608"/>
    <cellStyle name="20% - Ênfase6 4 2 2 4 4 3" xfId="25609"/>
    <cellStyle name="40% - Ênfase6 4 2 2 4 4 3" xfId="25610"/>
    <cellStyle name="Normal 3 4 2 4 3" xfId="25611"/>
    <cellStyle name="20% - Ênfase1 5 3 2 4 3" xfId="25612"/>
    <cellStyle name="40% - Ênfase1 5 3 2 4 3" xfId="25613"/>
    <cellStyle name="20% - Ênfase2 5 3 2 4 3" xfId="25614"/>
    <cellStyle name="40% - Ênfase2 5 3 2 4 3" xfId="25615"/>
    <cellStyle name="20% - Ênfase3 5 3 2 4 3" xfId="25616"/>
    <cellStyle name="40% - Ênfase3 5 3 2 4 3" xfId="25617"/>
    <cellStyle name="20% - Ênfase4 5 3 2 4 3" xfId="25618"/>
    <cellStyle name="40% - Ênfase4 5 3 2 4 3" xfId="25619"/>
    <cellStyle name="20% - Ênfase5 5 3 2 4 3" xfId="25620"/>
    <cellStyle name="40% - Ênfase5 5 3 2 4 3" xfId="25621"/>
    <cellStyle name="20% - Ênfase6 5 3 2 4 3" xfId="25622"/>
    <cellStyle name="40% - Ênfase6 5 3 2 4 3" xfId="25623"/>
    <cellStyle name="Normal 4 2 3 2 4 3" xfId="25624"/>
    <cellStyle name="Nota 2 2 3 2 4 3" xfId="25625"/>
    <cellStyle name="Normal 5 2 3 2 4 3" xfId="25626"/>
    <cellStyle name="Nota 3 2 3 2 4 3" xfId="25627"/>
    <cellStyle name="20% - Ênfase1 2 2 3 2 4 3" xfId="25628"/>
    <cellStyle name="40% - Ênfase1 2 2 3 2 4 3" xfId="25629"/>
    <cellStyle name="20% - Ênfase2 2 2 3 2 4 3" xfId="25630"/>
    <cellStyle name="40% - Ênfase2 2 2 3 2 4 3" xfId="25631"/>
    <cellStyle name="20% - Ênfase3 2 2 3 2 4 3" xfId="25632"/>
    <cellStyle name="40% - Ênfase3 2 2 3 2 4 3" xfId="25633"/>
    <cellStyle name="20% - Ênfase4 2 2 3 2 4 3" xfId="25634"/>
    <cellStyle name="40% - Ênfase4 2 2 3 2 4 3" xfId="25635"/>
    <cellStyle name="20% - Ênfase5 2 2 3 2 4 3" xfId="25636"/>
    <cellStyle name="40% - Ênfase5 2 2 3 2 4 3" xfId="25637"/>
    <cellStyle name="20% - Ênfase6 2 2 3 2 4 3" xfId="25638"/>
    <cellStyle name="40% - Ênfase6 2 2 3 2 4 3" xfId="25639"/>
    <cellStyle name="Normal 7 2 3 2 4 3" xfId="25640"/>
    <cellStyle name="Nota 4 5 2 4 3" xfId="25641"/>
    <cellStyle name="20% - Ênfase1 3 5 2 4 3" xfId="25642"/>
    <cellStyle name="40% - Ênfase1 3 5 2 4 3" xfId="25643"/>
    <cellStyle name="20% - Ênfase2 3 5 2 4 3" xfId="25644"/>
    <cellStyle name="40% - Ênfase2 3 5 2 4 3" xfId="25645"/>
    <cellStyle name="20% - Ênfase3 3 5 2 4 3" xfId="25646"/>
    <cellStyle name="40% - Ênfase3 3 5 2 4 3" xfId="25647"/>
    <cellStyle name="20% - Ênfase4 3 5 2 4 3" xfId="25648"/>
    <cellStyle name="40% - Ênfase4 3 5 2 4 3" xfId="25649"/>
    <cellStyle name="20% - Ênfase5 3 5 2 4 3" xfId="25650"/>
    <cellStyle name="40% - Ênfase5 3 5 2 4 3" xfId="25651"/>
    <cellStyle name="20% - Ênfase6 3 5 2 4 3" xfId="25652"/>
    <cellStyle name="40% - Ênfase6 3 5 2 4 3" xfId="25653"/>
    <cellStyle name="Normal 8 5 5 3 3" xfId="25654"/>
    <cellStyle name="Nota 5 5 2 4 3" xfId="25655"/>
    <cellStyle name="20% - Ênfase1 4 5 2 4 3" xfId="25656"/>
    <cellStyle name="40% - Ênfase1 4 5 2 4 3" xfId="25657"/>
    <cellStyle name="20% - Ênfase2 4 5 2 4 3" xfId="25658"/>
    <cellStyle name="40% - Ênfase2 4 5 2 4 3" xfId="25659"/>
    <cellStyle name="20% - Ênfase3 4 5 2 4 3" xfId="25660"/>
    <cellStyle name="40% - Ênfase3 4 5 2 4 3" xfId="25661"/>
    <cellStyle name="20% - Ênfase4 4 5 2 4 3" xfId="25662"/>
    <cellStyle name="40% - Ênfase4 4 5 2 4 3" xfId="25663"/>
    <cellStyle name="20% - Ênfase5 4 5 2 4 3" xfId="25664"/>
    <cellStyle name="40% - Ênfase5 4 5 2 4 3" xfId="25665"/>
    <cellStyle name="20% - Ênfase6 4 5 2 4 3" xfId="25666"/>
    <cellStyle name="40% - Ênfase6 4 5 2 4 3" xfId="25667"/>
    <cellStyle name="20% - Ênfase1 6 3 2 4 3" xfId="25668"/>
    <cellStyle name="40% - Ênfase1 6 3 2 4 3" xfId="25669"/>
    <cellStyle name="20% - Ênfase2 6 3 2 4 3" xfId="25670"/>
    <cellStyle name="40% - Ênfase2 6 3 2 4 3" xfId="25671"/>
    <cellStyle name="20% - Ênfase3 6 3 2 4 3" xfId="25672"/>
    <cellStyle name="40% - Ênfase3 6 3 2 4 3" xfId="25673"/>
    <cellStyle name="20% - Ênfase4 6 3 2 4 3" xfId="25674"/>
    <cellStyle name="40% - Ênfase4 6 3 2 4 3" xfId="25675"/>
    <cellStyle name="20% - Ênfase5 6 3 2 4 3" xfId="25676"/>
    <cellStyle name="40% - Ênfase5 6 3 2 4 3" xfId="25677"/>
    <cellStyle name="20% - Ênfase6 6 3 2 4 3" xfId="25678"/>
    <cellStyle name="40% - Ênfase6 6 3 2 4 3" xfId="25679"/>
    <cellStyle name="Normal 4 3 3 2 4 3" xfId="25680"/>
    <cellStyle name="Nota 2 3 3 2 4 3" xfId="25681"/>
    <cellStyle name="Normal 5 3 3 2 4 3" xfId="25682"/>
    <cellStyle name="Nota 3 3 3 2 4 3" xfId="25683"/>
    <cellStyle name="20% - Ênfase1 2 3 3 2 4 3" xfId="25684"/>
    <cellStyle name="40% - Ênfase1 2 3 3 2 4 3" xfId="25685"/>
    <cellStyle name="20% - Ênfase2 2 3 3 2 4 3" xfId="25686"/>
    <cellStyle name="40% - Ênfase2 2 3 3 2 4 3" xfId="25687"/>
    <cellStyle name="20% - Ênfase3 2 3 3 2 4 3" xfId="25688"/>
    <cellStyle name="40% - Ênfase3 2 3 3 2 4 3" xfId="25689"/>
    <cellStyle name="20% - Ênfase4 2 3 3 2 4 3" xfId="25690"/>
    <cellStyle name="40% - Ênfase4 2 3 3 2 4 3" xfId="25691"/>
    <cellStyle name="20% - Ênfase5 2 3 3 2 4 3" xfId="25692"/>
    <cellStyle name="40% - Ênfase5 2 3 3 2 4 3" xfId="25693"/>
    <cellStyle name="20% - Ênfase6 2 3 3 2 4 3" xfId="25694"/>
    <cellStyle name="40% - Ênfase6 2 3 3 2 4 3" xfId="25695"/>
    <cellStyle name="Normal 7 3 3 2 4 3" xfId="25696"/>
    <cellStyle name="Nota 4 2 3 2 4 3" xfId="25697"/>
    <cellStyle name="20% - Ênfase1 3 2 3 2 4 3" xfId="25698"/>
    <cellStyle name="40% - Ênfase1 3 2 3 2 4 3" xfId="25699"/>
    <cellStyle name="20% - Ênfase2 3 2 3 2 4 3" xfId="25700"/>
    <cellStyle name="40% - Ênfase2 3 2 3 2 4 3" xfId="25701"/>
    <cellStyle name="20% - Ênfase3 3 2 3 2 4 3" xfId="25702"/>
    <cellStyle name="40% - Ênfase3 3 2 3 2 4 3" xfId="25703"/>
    <cellStyle name="20% - Ênfase4 3 2 3 2 4 3" xfId="25704"/>
    <cellStyle name="40% - Ênfase4 3 2 3 2 4 3" xfId="25705"/>
    <cellStyle name="20% - Ênfase5 3 2 3 2 4 3" xfId="25706"/>
    <cellStyle name="40% - Ênfase5 3 2 3 2 4 3" xfId="25707"/>
    <cellStyle name="20% - Ênfase6 3 2 3 2 4 3" xfId="25708"/>
    <cellStyle name="40% - Ênfase6 3 2 3 2 4 3" xfId="25709"/>
    <cellStyle name="Normal 8 2 3 2 4 3" xfId="25710"/>
    <cellStyle name="Nota 5 2 3 2 4 3" xfId="25711"/>
    <cellStyle name="20% - Ênfase1 4 2 3 2 4 3" xfId="25712"/>
    <cellStyle name="40% - Ênfase1 4 2 3 2 4 3" xfId="25713"/>
    <cellStyle name="20% - Ênfase2 4 2 3 2 4 3" xfId="25714"/>
    <cellStyle name="40% - Ênfase2 4 2 3 2 4 3" xfId="25715"/>
    <cellStyle name="20% - Ênfase3 4 2 3 2 4 3" xfId="25716"/>
    <cellStyle name="40% - Ênfase3 4 2 3 2 4 3" xfId="25717"/>
    <cellStyle name="20% - Ênfase4 4 2 3 2 4 3" xfId="25718"/>
    <cellStyle name="40% - Ênfase4 4 2 3 2 4 3" xfId="25719"/>
    <cellStyle name="20% - Ênfase5 4 2 3 2 4 3" xfId="25720"/>
    <cellStyle name="40% - Ênfase5 4 2 3 2 4 3" xfId="25721"/>
    <cellStyle name="20% - Ênfase6 4 2 3 2 4 3" xfId="25722"/>
    <cellStyle name="40% - Ênfase6 4 2 3 2 4 3" xfId="25723"/>
    <cellStyle name="20% - Ênfase1 8 2 2 4 3" xfId="25724"/>
    <cellStyle name="40% - Ênfase1 8 2 2 4 3" xfId="25725"/>
    <cellStyle name="20% - Ênfase2 8 2 2 4 3" xfId="25726"/>
    <cellStyle name="40% - Ênfase2 8 2 2 4 3" xfId="25727"/>
    <cellStyle name="20% - Ênfase3 8 2 2 4 3" xfId="25728"/>
    <cellStyle name="40% - Ênfase3 8 2 2 4 3" xfId="25729"/>
    <cellStyle name="20% - Ênfase4 8 2 2 4 3" xfId="25730"/>
    <cellStyle name="40% - Ênfase4 8 2 2 4 3" xfId="25731"/>
    <cellStyle name="20% - Ênfase5 8 2 2 4 3" xfId="25732"/>
    <cellStyle name="40% - Ênfase5 8 2 2 4 3" xfId="25733"/>
    <cellStyle name="20% - Ênfase6 8 2 2 4 3" xfId="25734"/>
    <cellStyle name="40% - Ênfase6 8 2 2 4 3" xfId="25735"/>
    <cellStyle name="Normal 4 5 2 2 4 3" xfId="25736"/>
    <cellStyle name="Nota 2 5 2 2 4 3" xfId="25737"/>
    <cellStyle name="Normal 5 5 2 2 4 3" xfId="25738"/>
    <cellStyle name="Nota 3 5 2 2 4 3" xfId="25739"/>
    <cellStyle name="20% - Ênfase1 2 5 2 2 4 3" xfId="25740"/>
    <cellStyle name="40% - Ênfase1 2 5 2 2 4 3" xfId="25741"/>
    <cellStyle name="20% - Ênfase2 2 5 2 2 4 3" xfId="25742"/>
    <cellStyle name="40% - Ênfase2 2 5 2 2 4 3" xfId="25743"/>
    <cellStyle name="20% - Ênfase3 2 5 2 2 4 3" xfId="25744"/>
    <cellStyle name="40% - Ênfase3 2 5 2 2 4 3" xfId="25745"/>
    <cellStyle name="20% - Ênfase4 2 5 2 2 4 3" xfId="25746"/>
    <cellStyle name="40% - Ênfase4 2 5 2 2 4 3" xfId="25747"/>
    <cellStyle name="20% - Ênfase5 2 5 2 2 4 3" xfId="25748"/>
    <cellStyle name="40% - Ênfase5 2 5 2 2 4 3" xfId="25749"/>
    <cellStyle name="20% - Ênfase6 2 5 2 2 4 3" xfId="25750"/>
    <cellStyle name="40% - Ênfase6 2 5 2 2 4 3" xfId="25751"/>
    <cellStyle name="Normal 7 5 2 2 4 3" xfId="25752"/>
    <cellStyle name="Nota 4 4 2 2 4 3" xfId="25753"/>
    <cellStyle name="20% - Ênfase1 3 4 2 2 4 3" xfId="25754"/>
    <cellStyle name="40% - Ênfase1 3 4 2 2 4 3" xfId="25755"/>
    <cellStyle name="20% - Ênfase2 3 4 2 2 4 3" xfId="25756"/>
    <cellStyle name="40% - Ênfase2 3 4 2 2 4 3" xfId="25757"/>
    <cellStyle name="20% - Ênfase3 3 4 2 2 4 3" xfId="25758"/>
    <cellStyle name="40% - Ênfase3 3 4 2 2 4 3" xfId="25759"/>
    <cellStyle name="20% - Ênfase4 3 4 2 2 4 3" xfId="25760"/>
    <cellStyle name="40% - Ênfase4 3 4 2 2 4 3" xfId="25761"/>
    <cellStyle name="20% - Ênfase5 3 4 2 2 4 3" xfId="25762"/>
    <cellStyle name="40% - Ênfase5 3 4 2 2 4 3" xfId="25763"/>
    <cellStyle name="20% - Ênfase6 3 4 2 2 4 3" xfId="25764"/>
    <cellStyle name="40% - Ênfase6 3 4 2 2 4 3" xfId="25765"/>
    <cellStyle name="Normal 8 4 2 3 4 3" xfId="25766"/>
    <cellStyle name="Nota 5 4 2 2 4 3" xfId="25767"/>
    <cellStyle name="20% - Ênfase1 4 4 2 2 4 3" xfId="25768"/>
    <cellStyle name="40% - Ênfase1 4 4 2 2 4 3" xfId="25769"/>
    <cellStyle name="20% - Ênfase2 4 4 2 2 4 3" xfId="25770"/>
    <cellStyle name="40% - Ênfase2 4 4 2 2 4 3" xfId="25771"/>
    <cellStyle name="20% - Ênfase3 4 4 2 2 4 3" xfId="25772"/>
    <cellStyle name="40% - Ênfase3 4 4 2 2 4 3" xfId="25773"/>
    <cellStyle name="20% - Ênfase4 4 4 2 2 4 3" xfId="25774"/>
    <cellStyle name="40% - Ênfase4 4 4 2 2 4 3" xfId="25775"/>
    <cellStyle name="20% - Ênfase5 4 4 2 2 4 3" xfId="25776"/>
    <cellStyle name="40% - Ênfase5 4 4 2 2 4 3" xfId="25777"/>
    <cellStyle name="20% - Ênfase6 4 4 2 2 4 3" xfId="25778"/>
    <cellStyle name="40% - Ênfase6 4 4 2 2 4 3" xfId="25779"/>
    <cellStyle name="Normal 3 3 2 2 4 3" xfId="25780"/>
    <cellStyle name="20% - Ênfase1 5 2 2 2 4 3" xfId="25781"/>
    <cellStyle name="40% - Ênfase1 5 2 2 2 4 3" xfId="25782"/>
    <cellStyle name="20% - Ênfase2 5 2 2 2 4 3" xfId="25783"/>
    <cellStyle name="40% - Ênfase2 5 2 2 2 4 3" xfId="25784"/>
    <cellStyle name="20% - Ênfase3 5 2 2 2 4 3" xfId="25785"/>
    <cellStyle name="40% - Ênfase3 5 2 2 2 4 3" xfId="25786"/>
    <cellStyle name="20% - Ênfase4 5 2 2 2 4 3" xfId="25787"/>
    <cellStyle name="40% - Ênfase4 5 2 2 2 4 3" xfId="25788"/>
    <cellStyle name="20% - Ênfase5 5 2 2 2 4 3" xfId="25789"/>
    <cellStyle name="40% - Ênfase5 5 2 2 2 4 3" xfId="25790"/>
    <cellStyle name="20% - Ênfase6 5 2 2 2 4 3" xfId="25791"/>
    <cellStyle name="40% - Ênfase6 5 2 2 2 4 3" xfId="25792"/>
    <cellStyle name="Normal 4 2 2 2 2 4 3" xfId="25793"/>
    <cellStyle name="Nota 2 2 2 2 2 4 3" xfId="25794"/>
    <cellStyle name="Normal 5 2 2 2 2 4 3" xfId="25795"/>
    <cellStyle name="Nota 3 2 2 2 2 4 3" xfId="25796"/>
    <cellStyle name="20% - Ênfase1 2 2 2 2 2 4 3" xfId="25797"/>
    <cellStyle name="40% - Ênfase1 2 2 2 2 2 4 3" xfId="25798"/>
    <cellStyle name="20% - Ênfase2 2 2 2 2 2 4 3" xfId="25799"/>
    <cellStyle name="40% - Ênfase2 2 2 2 2 2 4 3" xfId="25800"/>
    <cellStyle name="20% - Ênfase3 2 2 2 2 2 4 3" xfId="25801"/>
    <cellStyle name="40% - Ênfase3 2 2 2 2 2 4 3" xfId="25802"/>
    <cellStyle name="20% - Ênfase4 2 2 2 2 2 4 3" xfId="25803"/>
    <cellStyle name="40% - Ênfase4 2 2 2 2 2 4 3" xfId="25804"/>
    <cellStyle name="20% - Ênfase5 2 2 2 2 2 4 3" xfId="25805"/>
    <cellStyle name="40% - Ênfase5 2 2 2 2 2 4 3" xfId="25806"/>
    <cellStyle name="20% - Ênfase6 2 2 2 2 2 4 3" xfId="25807"/>
    <cellStyle name="40% - Ênfase6 2 2 2 2 2 4 3" xfId="25808"/>
    <cellStyle name="Normal 7 2 2 2 2 4 3" xfId="25809"/>
    <cellStyle name="Nota 4 3 2 2 4 3" xfId="25810"/>
    <cellStyle name="20% - Ênfase1 3 3 2 2 4 3" xfId="25811"/>
    <cellStyle name="40% - Ênfase1 3 3 2 2 4 3" xfId="25812"/>
    <cellStyle name="20% - Ênfase2 3 3 2 2 4 3" xfId="25813"/>
    <cellStyle name="40% - Ênfase2 3 3 2 2 4 3" xfId="25814"/>
    <cellStyle name="20% - Ênfase3 3 3 2 2 4 3" xfId="25815"/>
    <cellStyle name="40% - Ênfase3 3 3 2 2 4 3" xfId="25816"/>
    <cellStyle name="20% - Ênfase4 3 3 2 2 4 3" xfId="25817"/>
    <cellStyle name="40% - Ênfase4 3 3 2 2 4 3" xfId="25818"/>
    <cellStyle name="20% - Ênfase5 3 3 2 2 4 3" xfId="25819"/>
    <cellStyle name="40% - Ênfase5 3 3 2 2 4 3" xfId="25820"/>
    <cellStyle name="20% - Ênfase6 3 3 2 2 4 3" xfId="25821"/>
    <cellStyle name="40% - Ênfase6 3 3 2 2 4 3" xfId="25822"/>
    <cellStyle name="Normal 8 3 2 3 4 3" xfId="25823"/>
    <cellStyle name="Nota 5 3 2 2 4 3" xfId="25824"/>
    <cellStyle name="20% - Ênfase1 4 3 2 2 4 3" xfId="25825"/>
    <cellStyle name="40% - Ênfase1 4 3 2 2 4 3" xfId="25826"/>
    <cellStyle name="20% - Ênfase2 4 3 2 2 4 3" xfId="25827"/>
    <cellStyle name="40% - Ênfase2 4 3 2 2 4 3" xfId="25828"/>
    <cellStyle name="20% - Ênfase3 4 3 2 2 4 3" xfId="25829"/>
    <cellStyle name="40% - Ênfase3 4 3 2 2 4 3" xfId="25830"/>
    <cellStyle name="20% - Ênfase4 4 3 2 2 4 3" xfId="25831"/>
    <cellStyle name="40% - Ênfase4 4 3 2 2 4 3" xfId="25832"/>
    <cellStyle name="20% - Ênfase5 4 3 2 2 4 3" xfId="25833"/>
    <cellStyle name="40% - Ênfase5 4 3 2 2 4 3" xfId="25834"/>
    <cellStyle name="20% - Ênfase6 4 3 2 2 4 3" xfId="25835"/>
    <cellStyle name="40% - Ênfase6 4 3 2 2 4 3" xfId="25836"/>
    <cellStyle name="20% - Ênfase1 6 2 2 2 4 3" xfId="25837"/>
    <cellStyle name="40% - Ênfase1 6 2 2 2 4 3" xfId="25838"/>
    <cellStyle name="20% - Ênfase2 6 2 2 2 4 3" xfId="25839"/>
    <cellStyle name="40% - Ênfase2 6 2 2 2 4 3" xfId="25840"/>
    <cellStyle name="20% - Ênfase3 6 2 2 2 4 3" xfId="25841"/>
    <cellStyle name="40% - Ênfase3 6 2 2 2 4 3" xfId="25842"/>
    <cellStyle name="20% - Ênfase4 6 2 2 2 4 3" xfId="25843"/>
    <cellStyle name="40% - Ênfase4 6 2 2 2 4 3" xfId="25844"/>
    <cellStyle name="20% - Ênfase5 6 2 2 2 4 3" xfId="25845"/>
    <cellStyle name="40% - Ênfase5 6 2 2 2 4 3" xfId="25846"/>
    <cellStyle name="20% - Ênfase6 6 2 2 2 4 3" xfId="25847"/>
    <cellStyle name="40% - Ênfase6 6 2 2 2 4 3" xfId="25848"/>
    <cellStyle name="Normal 4 3 2 2 2 4 3" xfId="25849"/>
    <cellStyle name="Nota 2 3 2 2 2 4 3" xfId="25850"/>
    <cellStyle name="Normal 5 3 2 2 2 4 3" xfId="25851"/>
    <cellStyle name="Nota 3 3 2 2 2 4 3" xfId="25852"/>
    <cellStyle name="20% - Ênfase1 2 3 2 2 2 4 3" xfId="25853"/>
    <cellStyle name="40% - Ênfase1 2 3 2 2 2 4 3" xfId="25854"/>
    <cellStyle name="20% - Ênfase2 2 3 2 2 2 4 3" xfId="25855"/>
    <cellStyle name="40% - Ênfase2 2 3 2 2 2 4 3" xfId="25856"/>
    <cellStyle name="20% - Ênfase3 2 3 2 2 2 4 3" xfId="25857"/>
    <cellStyle name="40% - Ênfase3 2 3 2 2 2 4 3" xfId="25858"/>
    <cellStyle name="20% - Ênfase4 2 3 2 2 2 4 3" xfId="25859"/>
    <cellStyle name="40% - Ênfase4 2 3 2 2 2 4 3" xfId="25860"/>
    <cellStyle name="20% - Ênfase5 2 3 2 2 2 4 3" xfId="25861"/>
    <cellStyle name="40% - Ênfase5 2 3 2 2 2 4 3" xfId="25862"/>
    <cellStyle name="20% - Ênfase6 2 3 2 2 2 4 3" xfId="25863"/>
    <cellStyle name="40% - Ênfase6 2 3 2 2 2 4 3" xfId="25864"/>
    <cellStyle name="Normal 7 3 2 2 2 4 3" xfId="25865"/>
    <cellStyle name="Nota 4 2 2 2 2 4 3" xfId="25866"/>
    <cellStyle name="20% - Ênfase1 3 2 2 2 2 4 3" xfId="25867"/>
    <cellStyle name="40% - Ênfase1 3 2 2 2 2 4 3" xfId="25868"/>
    <cellStyle name="20% - Ênfase2 3 2 2 2 2 4 3" xfId="25869"/>
    <cellStyle name="40% - Ênfase2 3 2 2 2 2 4 3" xfId="25870"/>
    <cellStyle name="20% - Ênfase3 3 2 2 2 2 4 3" xfId="25871"/>
    <cellStyle name="40% - Ênfase3 3 2 2 2 2 4 3" xfId="25872"/>
    <cellStyle name="20% - Ênfase4 3 2 2 2 2 4 3" xfId="25873"/>
    <cellStyle name="40% - Ênfase4 3 2 2 2 2 4 3" xfId="25874"/>
    <cellStyle name="20% - Ênfase5 3 2 2 2 2 4 3" xfId="25875"/>
    <cellStyle name="40% - Ênfase5 3 2 2 2 2 4 3" xfId="25876"/>
    <cellStyle name="20% - Ênfase6 3 2 2 2 2 4 3" xfId="25877"/>
    <cellStyle name="40% - Ênfase6 3 2 2 2 2 4 3" xfId="25878"/>
    <cellStyle name="Normal 8 2 2 2 2 4 3" xfId="25879"/>
    <cellStyle name="Nota 5 2 2 2 2 4 3" xfId="25880"/>
    <cellStyle name="20% - Ênfase1 4 2 2 2 2 4 3" xfId="25881"/>
    <cellStyle name="40% - Ênfase1 4 2 2 2 2 4 3" xfId="25882"/>
    <cellStyle name="20% - Ênfase2 4 2 2 2 2 4 3" xfId="25883"/>
    <cellStyle name="40% - Ênfase2 4 2 2 2 2 4 3" xfId="25884"/>
    <cellStyle name="20% - Ênfase3 4 2 2 2 2 4 3" xfId="25885"/>
    <cellStyle name="40% - Ênfase3 4 2 2 2 2 4 3" xfId="25886"/>
    <cellStyle name="20% - Ênfase4 4 2 2 2 2 4 3" xfId="25887"/>
    <cellStyle name="40% - Ênfase4 4 2 2 2 2 4 3" xfId="25888"/>
    <cellStyle name="20% - Ênfase5 4 2 2 2 2 4 3" xfId="25889"/>
    <cellStyle name="40% - Ênfase5 4 2 2 2 2 4 3" xfId="25890"/>
    <cellStyle name="20% - Ênfase6 4 2 2 2 2 4 3" xfId="25891"/>
    <cellStyle name="40% - Ênfase6 4 2 2 2 2 4 3" xfId="25892"/>
    <cellStyle name="Normal 3 5 2 4 3" xfId="25893"/>
    <cellStyle name="20% - Ênfase1 5 4 2 4 3" xfId="25894"/>
    <cellStyle name="40% - Ênfase1 5 4 2 4 3" xfId="25895"/>
    <cellStyle name="20% - Ênfase2 5 4 2 4 3" xfId="25896"/>
    <cellStyle name="40% - Ênfase2 5 4 2 4 3" xfId="25897"/>
    <cellStyle name="20% - Ênfase3 5 4 2 4 3" xfId="25898"/>
    <cellStyle name="40% - Ênfase3 5 4 2 4 3" xfId="25899"/>
    <cellStyle name="20% - Ênfase4 5 4 2 4 3" xfId="25900"/>
    <cellStyle name="40% - Ênfase4 5 4 2 4 3" xfId="25901"/>
    <cellStyle name="20% - Ênfase5 5 4 2 4 3" xfId="25902"/>
    <cellStyle name="40% - Ênfase5 5 4 2 4 3" xfId="25903"/>
    <cellStyle name="20% - Ênfase6 5 4 2 4 3" xfId="25904"/>
    <cellStyle name="40% - Ênfase6 5 4 2 4 3" xfId="25905"/>
    <cellStyle name="Normal 4 2 4 2 4 3" xfId="25906"/>
    <cellStyle name="Nota 2 2 4 2 4 3" xfId="25907"/>
    <cellStyle name="Normal 5 2 4 2 4 3" xfId="25908"/>
    <cellStyle name="Nota 3 2 4 2 4 3" xfId="25909"/>
    <cellStyle name="20% - Ênfase1 2 2 4 2 4 3" xfId="25910"/>
    <cellStyle name="40% - Ênfase1 2 2 4 2 4 3" xfId="25911"/>
    <cellStyle name="20% - Ênfase2 2 2 4 2 4 3" xfId="25912"/>
    <cellStyle name="40% - Ênfase2 2 2 4 2 4 3" xfId="25913"/>
    <cellStyle name="20% - Ênfase3 2 2 4 2 4 3" xfId="25914"/>
    <cellStyle name="40% - Ênfase3 2 2 4 2 4 3" xfId="25915"/>
    <cellStyle name="20% - Ênfase4 2 2 4 2 4 3" xfId="25916"/>
    <cellStyle name="40% - Ênfase4 2 2 4 2 4 3" xfId="25917"/>
    <cellStyle name="20% - Ênfase5 2 2 4 2 4 3" xfId="25918"/>
    <cellStyle name="40% - Ênfase5 2 2 4 2 4 3" xfId="25919"/>
    <cellStyle name="20% - Ênfase6 2 2 4 2 4 3" xfId="25920"/>
    <cellStyle name="40% - Ênfase6 2 2 4 2 4 3" xfId="25921"/>
    <cellStyle name="Normal 7 2 4 2 4 3" xfId="25922"/>
    <cellStyle name="Nota 4 6 2 4 3" xfId="25923"/>
    <cellStyle name="20% - Ênfase1 3 6 2 4 3" xfId="25924"/>
    <cellStyle name="40% - Ênfase1 3 6 2 4 3" xfId="25925"/>
    <cellStyle name="20% - Ênfase2 3 6 2 4 3" xfId="25926"/>
    <cellStyle name="40% - Ênfase2 3 6 2 4 3" xfId="25927"/>
    <cellStyle name="20% - Ênfase3 3 6 2 4 3" xfId="25928"/>
    <cellStyle name="40% - Ênfase3 3 6 2 4 3" xfId="25929"/>
    <cellStyle name="20% - Ênfase4 3 6 2 4 3" xfId="25930"/>
    <cellStyle name="40% - Ênfase4 3 6 2 4 3" xfId="25931"/>
    <cellStyle name="20% - Ênfase5 3 6 2 4 3" xfId="25932"/>
    <cellStyle name="40% - Ênfase5 3 6 2 4 3" xfId="25933"/>
    <cellStyle name="20% - Ênfase6 3 6 2 4 3" xfId="25934"/>
    <cellStyle name="40% - Ênfase6 3 6 2 4 3" xfId="25935"/>
    <cellStyle name="Normal 8 6 3 4 3" xfId="25936"/>
    <cellStyle name="Nota 5 6 2 4 3" xfId="25937"/>
    <cellStyle name="20% - Ênfase1 4 6 2 4 3" xfId="25938"/>
    <cellStyle name="40% - Ênfase1 4 6 2 4 3" xfId="25939"/>
    <cellStyle name="20% - Ênfase2 4 6 2 4 3" xfId="25940"/>
    <cellStyle name="40% - Ênfase2 4 6 2 4 3" xfId="25941"/>
    <cellStyle name="20% - Ênfase3 4 6 2 4 3" xfId="25942"/>
    <cellStyle name="40% - Ênfase3 4 6 2 4 3" xfId="25943"/>
    <cellStyle name="20% - Ênfase4 4 6 2 4 3" xfId="25944"/>
    <cellStyle name="40% - Ênfase4 4 6 2 4 3" xfId="25945"/>
    <cellStyle name="20% - Ênfase5 4 6 2 4 3" xfId="25946"/>
    <cellStyle name="40% - Ênfase5 4 6 2 4 3" xfId="25947"/>
    <cellStyle name="20% - Ênfase6 4 6 2 4 3" xfId="25948"/>
    <cellStyle name="40% - Ênfase6 4 6 2 4 3" xfId="25949"/>
    <cellStyle name="20% - Ênfase1 6 4 2 4 3" xfId="25950"/>
    <cellStyle name="40% - Ênfase1 6 4 2 4 3" xfId="25951"/>
    <cellStyle name="20% - Ênfase2 6 4 2 4 3" xfId="25952"/>
    <cellStyle name="40% - Ênfase2 6 4 2 4 3" xfId="25953"/>
    <cellStyle name="20% - Ênfase3 6 4 2 4 3" xfId="25954"/>
    <cellStyle name="40% - Ênfase3 6 4 2 4 3" xfId="25955"/>
    <cellStyle name="20% - Ênfase4 6 4 2 4 3" xfId="25956"/>
    <cellStyle name="40% - Ênfase4 6 4 2 4 3" xfId="25957"/>
    <cellStyle name="20% - Ênfase5 6 4 2 4 3" xfId="25958"/>
    <cellStyle name="40% - Ênfase5 6 4 2 4 3" xfId="25959"/>
    <cellStyle name="20% - Ênfase6 6 4 2 4 3" xfId="25960"/>
    <cellStyle name="40% - Ênfase6 6 4 2 4 3" xfId="25961"/>
    <cellStyle name="Normal 4 3 4 2 4 3" xfId="25962"/>
    <cellStyle name="Nota 2 3 4 2 4 3" xfId="25963"/>
    <cellStyle name="Normal 5 3 4 2 4 3" xfId="25964"/>
    <cellStyle name="Nota 3 3 4 2 4 3" xfId="25965"/>
    <cellStyle name="20% - Ênfase1 2 3 4 2 4 3" xfId="25966"/>
    <cellStyle name="40% - Ênfase1 2 3 4 2 4 3" xfId="25967"/>
    <cellStyle name="20% - Ênfase2 2 3 4 2 4 3" xfId="25968"/>
    <cellStyle name="40% - Ênfase2 2 3 4 2 4 3" xfId="25969"/>
    <cellStyle name="20% - Ênfase3 2 3 4 2 4 3" xfId="25970"/>
    <cellStyle name="40% - Ênfase3 2 3 4 2 4 3" xfId="25971"/>
    <cellStyle name="20% - Ênfase4 2 3 4 2 4 3" xfId="25972"/>
    <cellStyle name="40% - Ênfase4 2 3 4 2 4 3" xfId="25973"/>
    <cellStyle name="20% - Ênfase5 2 3 4 2 4 3" xfId="25974"/>
    <cellStyle name="40% - Ênfase5 2 3 4 2 4 3" xfId="25975"/>
    <cellStyle name="20% - Ênfase6 2 3 4 2 4 3" xfId="25976"/>
    <cellStyle name="40% - Ênfase6 2 3 4 2 4 3" xfId="25977"/>
    <cellStyle name="Normal 7 3 4 2 4 3" xfId="25978"/>
    <cellStyle name="Nota 4 2 4 2 4 3" xfId="25979"/>
    <cellStyle name="20% - Ênfase1 3 2 4 2 4 3" xfId="25980"/>
    <cellStyle name="40% - Ênfase1 3 2 4 2 4 3" xfId="25981"/>
    <cellStyle name="20% - Ênfase2 3 2 4 2 4 3" xfId="25982"/>
    <cellStyle name="40% - Ênfase2 3 2 4 2 4 3" xfId="25983"/>
    <cellStyle name="20% - Ênfase3 3 2 4 2 4 3" xfId="25984"/>
    <cellStyle name="40% - Ênfase3 3 2 4 2 4 3" xfId="25985"/>
    <cellStyle name="20% - Ênfase4 3 2 4 2 4 3" xfId="25986"/>
    <cellStyle name="40% - Ênfase4 3 2 4 2 4 3" xfId="25987"/>
    <cellStyle name="20% - Ênfase5 3 2 4 2 4 3" xfId="25988"/>
    <cellStyle name="40% - Ênfase5 3 2 4 2 4 3" xfId="25989"/>
    <cellStyle name="20% - Ênfase6 3 2 4 2 4 3" xfId="25990"/>
    <cellStyle name="40% - Ênfase6 3 2 4 2 4 3" xfId="25991"/>
    <cellStyle name="Normal 8 2 4 2 4 3" xfId="25992"/>
    <cellStyle name="Nota 5 2 4 2 4 3" xfId="25993"/>
    <cellStyle name="20% - Ênfase1 4 2 4 2 4 3" xfId="25994"/>
    <cellStyle name="40% - Ênfase1 4 2 4 2 4 3" xfId="25995"/>
    <cellStyle name="20% - Ênfase2 4 2 4 2 4 3" xfId="25996"/>
    <cellStyle name="40% - Ênfase2 4 2 4 2 4 3" xfId="25997"/>
    <cellStyle name="20% - Ênfase3 4 2 4 2 4 3" xfId="25998"/>
    <cellStyle name="40% - Ênfase3 4 2 4 2 4 3" xfId="25999"/>
    <cellStyle name="20% - Ênfase4 4 2 4 2 4 3" xfId="26000"/>
    <cellStyle name="40% - Ênfase4 4 2 4 2 4 3" xfId="26001"/>
    <cellStyle name="20% - Ênfase5 4 2 4 2 4 3" xfId="26002"/>
    <cellStyle name="40% - Ênfase5 4 2 4 2 4 3" xfId="26003"/>
    <cellStyle name="20% - Ênfase6 4 2 4 2 4 3" xfId="26004"/>
    <cellStyle name="40% - Ênfase6 4 2 4 2 4 3" xfId="26005"/>
    <cellStyle name="20% - Ênfase1 8 3 2 4 3" xfId="26006"/>
    <cellStyle name="40% - Ênfase1 8 3 2 4 3" xfId="26007"/>
    <cellStyle name="20% - Ênfase2 8 3 2 4 3" xfId="26008"/>
    <cellStyle name="40% - Ênfase2 8 3 2 4 3" xfId="26009"/>
    <cellStyle name="20% - Ênfase3 8 3 2 4 3" xfId="26010"/>
    <cellStyle name="40% - Ênfase3 8 3 2 4 3" xfId="26011"/>
    <cellStyle name="20% - Ênfase4 8 3 2 4 3" xfId="26012"/>
    <cellStyle name="40% - Ênfase4 8 3 2 4 3" xfId="26013"/>
    <cellStyle name="20% - Ênfase5 8 3 2 4 3" xfId="26014"/>
    <cellStyle name="40% - Ênfase5 8 3 2 4 3" xfId="26015"/>
    <cellStyle name="20% - Ênfase6 8 3 2 4 3" xfId="26016"/>
    <cellStyle name="40% - Ênfase6 8 3 2 4 3" xfId="26017"/>
    <cellStyle name="Normal 4 5 3 2 4 3" xfId="26018"/>
    <cellStyle name="Nota 2 5 3 2 4 3" xfId="26019"/>
    <cellStyle name="Normal 5 5 3 2 4 3" xfId="26020"/>
    <cellStyle name="Nota 3 5 3 2 4 3" xfId="26021"/>
    <cellStyle name="20% - Ênfase1 2 5 3 2 4 3" xfId="26022"/>
    <cellStyle name="40% - Ênfase1 2 5 3 2 4 3" xfId="26023"/>
    <cellStyle name="20% - Ênfase2 2 5 3 2 4 3" xfId="26024"/>
    <cellStyle name="40% - Ênfase2 2 5 3 2 4 3" xfId="26025"/>
    <cellStyle name="20% - Ênfase3 2 5 3 2 4 3" xfId="26026"/>
    <cellStyle name="40% - Ênfase3 2 5 3 2 4 3" xfId="26027"/>
    <cellStyle name="20% - Ênfase4 2 5 3 2 4 3" xfId="26028"/>
    <cellStyle name="40% - Ênfase4 2 5 3 2 4 3" xfId="26029"/>
    <cellStyle name="20% - Ênfase5 2 5 3 2 4 3" xfId="26030"/>
    <cellStyle name="40% - Ênfase5 2 5 3 2 4 3" xfId="26031"/>
    <cellStyle name="20% - Ênfase6 2 5 3 2 4 3" xfId="26032"/>
    <cellStyle name="40% - Ênfase6 2 5 3 2 4 3" xfId="26033"/>
    <cellStyle name="Normal 7 5 3 2 4 3" xfId="26034"/>
    <cellStyle name="Nota 4 4 3 2 4 3" xfId="26035"/>
    <cellStyle name="20% - Ênfase1 3 4 3 2 4 3" xfId="26036"/>
    <cellStyle name="40% - Ênfase1 3 4 3 2 4 3" xfId="26037"/>
    <cellStyle name="20% - Ênfase2 3 4 3 2 4 3" xfId="26038"/>
    <cellStyle name="40% - Ênfase2 3 4 3 2 4 3" xfId="26039"/>
    <cellStyle name="20% - Ênfase3 3 4 3 2 4 3" xfId="26040"/>
    <cellStyle name="40% - Ênfase3 3 4 3 2 4 3" xfId="26041"/>
    <cellStyle name="20% - Ênfase4 3 4 3 2 4 3" xfId="26042"/>
    <cellStyle name="40% - Ênfase4 3 4 3 2 4 3" xfId="26043"/>
    <cellStyle name="20% - Ênfase5 3 4 3 2 4 3" xfId="26044"/>
    <cellStyle name="40% - Ênfase5 3 4 3 2 4 3" xfId="26045"/>
    <cellStyle name="20% - Ênfase6 3 4 3 2 4 3" xfId="26046"/>
    <cellStyle name="40% - Ênfase6 3 4 3 2 4 3" xfId="26047"/>
    <cellStyle name="Normal 8 4 3 2 4 3" xfId="26048"/>
    <cellStyle name="Nota 5 4 3 2 4 3" xfId="26049"/>
    <cellStyle name="20% - Ênfase1 4 4 3 2 4 3" xfId="26050"/>
    <cellStyle name="40% - Ênfase1 4 4 3 2 4 3" xfId="26051"/>
    <cellStyle name="20% - Ênfase2 4 4 3 2 4 3" xfId="26052"/>
    <cellStyle name="40% - Ênfase2 4 4 3 2 4 3" xfId="26053"/>
    <cellStyle name="20% - Ênfase3 4 4 3 2 4 3" xfId="26054"/>
    <cellStyle name="40% - Ênfase3 4 4 3 2 4 3" xfId="26055"/>
    <cellStyle name="20% - Ênfase4 4 4 3 2 4 3" xfId="26056"/>
    <cellStyle name="40% - Ênfase4 4 4 3 2 4 3" xfId="26057"/>
    <cellStyle name="20% - Ênfase5 4 4 3 2 4 3" xfId="26058"/>
    <cellStyle name="40% - Ênfase5 4 4 3 2 4 3" xfId="26059"/>
    <cellStyle name="20% - Ênfase6 4 4 3 2 4 3" xfId="26060"/>
    <cellStyle name="40% - Ênfase6 4 4 3 2 4 3" xfId="26061"/>
    <cellStyle name="Normal 3 3 3 2 4 3" xfId="26062"/>
    <cellStyle name="20% - Ênfase1 5 2 3 2 4 3" xfId="26063"/>
    <cellStyle name="40% - Ênfase1 5 2 3 2 4 3" xfId="26064"/>
    <cellStyle name="20% - Ênfase2 5 2 3 2 4 3" xfId="26065"/>
    <cellStyle name="40% - Ênfase2 5 2 3 2 4 3" xfId="26066"/>
    <cellStyle name="20% - Ênfase3 5 2 3 2 4 3" xfId="26067"/>
    <cellStyle name="40% - Ênfase3 5 2 3 2 4 3" xfId="26068"/>
    <cellStyle name="20% - Ênfase4 5 2 3 2 4 3" xfId="26069"/>
    <cellStyle name="40% - Ênfase4 5 2 3 2 4 3" xfId="26070"/>
    <cellStyle name="20% - Ênfase5 5 2 3 2 4 3" xfId="26071"/>
    <cellStyle name="40% - Ênfase5 5 2 3 2 4 3" xfId="26072"/>
    <cellStyle name="20% - Ênfase6 5 2 3 2 4 3" xfId="26073"/>
    <cellStyle name="40% - Ênfase6 5 2 3 2 4 3" xfId="26074"/>
    <cellStyle name="Normal 4 2 2 3 2 4 3" xfId="26075"/>
    <cellStyle name="Nota 2 2 2 3 2 4 3" xfId="26076"/>
    <cellStyle name="Normal 5 2 2 3 2 4 3" xfId="26077"/>
    <cellStyle name="Nota 3 2 2 3 2 4 3" xfId="26078"/>
    <cellStyle name="20% - Ênfase1 2 2 2 3 2 4 3" xfId="26079"/>
    <cellStyle name="40% - Ênfase1 2 2 2 3 2 4 3" xfId="26080"/>
    <cellStyle name="20% - Ênfase2 2 2 2 3 2 4 3" xfId="26081"/>
    <cellStyle name="40% - Ênfase2 2 2 2 3 2 4 3" xfId="26082"/>
    <cellStyle name="20% - Ênfase3 2 2 2 3 2 4 3" xfId="26083"/>
    <cellStyle name="40% - Ênfase3 2 2 2 3 2 4 3" xfId="26084"/>
    <cellStyle name="20% - Ênfase4 2 2 2 3 2 4 3" xfId="26085"/>
    <cellStyle name="40% - Ênfase4 2 2 2 3 2 4 3" xfId="26086"/>
    <cellStyle name="20% - Ênfase5 2 2 2 3 2 4 3" xfId="26087"/>
    <cellStyle name="40% - Ênfase5 2 2 2 3 2 4 3" xfId="26088"/>
    <cellStyle name="20% - Ênfase6 2 2 2 3 2 4 3" xfId="26089"/>
    <cellStyle name="40% - Ênfase6 2 2 2 3 2 4 3" xfId="26090"/>
    <cellStyle name="Normal 7 2 2 3 2 4 3" xfId="26091"/>
    <cellStyle name="Nota 4 3 3 2 4 3" xfId="26092"/>
    <cellStyle name="20% - Ênfase1 3 3 3 2 4 3" xfId="26093"/>
    <cellStyle name="40% - Ênfase1 3 3 3 2 4 3" xfId="26094"/>
    <cellStyle name="20% - Ênfase2 3 3 3 2 4 3" xfId="26095"/>
    <cellStyle name="40% - Ênfase2 3 3 3 2 4 3" xfId="26096"/>
    <cellStyle name="20% - Ênfase3 3 3 3 2 4 3" xfId="26097"/>
    <cellStyle name="40% - Ênfase3 3 3 3 2 4 3" xfId="26098"/>
    <cellStyle name="20% - Ênfase4 3 3 3 2 4 3" xfId="26099"/>
    <cellStyle name="40% - Ênfase4 3 3 3 2 4 3" xfId="26100"/>
    <cellStyle name="20% - Ênfase5 3 3 3 2 4 3" xfId="26101"/>
    <cellStyle name="40% - Ênfase5 3 3 3 2 4 3" xfId="26102"/>
    <cellStyle name="20% - Ênfase6 3 3 3 2 4 3" xfId="26103"/>
    <cellStyle name="40% - Ênfase6 3 3 3 2 4 3" xfId="26104"/>
    <cellStyle name="Normal 8 3 3 2 4 3" xfId="26105"/>
    <cellStyle name="Nota 5 3 3 2 4 3" xfId="26106"/>
    <cellStyle name="20% - Ênfase1 4 3 3 2 4 3" xfId="26107"/>
    <cellStyle name="40% - Ênfase1 4 3 3 2 4 3" xfId="26108"/>
    <cellStyle name="20% - Ênfase2 4 3 3 2 4 3" xfId="26109"/>
    <cellStyle name="40% - Ênfase2 4 3 3 2 4 3" xfId="26110"/>
    <cellStyle name="20% - Ênfase3 4 3 3 2 4 3" xfId="26111"/>
    <cellStyle name="40% - Ênfase3 4 3 3 2 4 3" xfId="26112"/>
    <cellStyle name="20% - Ênfase4 4 3 3 2 4 3" xfId="26113"/>
    <cellStyle name="40% - Ênfase4 4 3 3 2 4 3" xfId="26114"/>
    <cellStyle name="20% - Ênfase5 4 3 3 2 4 3" xfId="26115"/>
    <cellStyle name="40% - Ênfase5 4 3 3 2 4 3" xfId="26116"/>
    <cellStyle name="20% - Ênfase6 4 3 3 2 4 3" xfId="26117"/>
    <cellStyle name="40% - Ênfase6 4 3 3 2 4 3" xfId="26118"/>
    <cellStyle name="20% - Ênfase1 6 2 3 2 4 3" xfId="26119"/>
    <cellStyle name="40% - Ênfase1 6 2 3 2 4 3" xfId="26120"/>
    <cellStyle name="20% - Ênfase2 6 2 3 2 4 3" xfId="26121"/>
    <cellStyle name="40% - Ênfase2 6 2 3 2 4 3" xfId="26122"/>
    <cellStyle name="20% - Ênfase3 6 2 3 2 4 3" xfId="26123"/>
    <cellStyle name="40% - Ênfase3 6 2 3 2 4 3" xfId="26124"/>
    <cellStyle name="20% - Ênfase4 6 2 3 2 4 3" xfId="26125"/>
    <cellStyle name="40% - Ênfase4 6 2 3 2 4 3" xfId="26126"/>
    <cellStyle name="20% - Ênfase5 6 2 3 2 4 3" xfId="26127"/>
    <cellStyle name="40% - Ênfase5 6 2 3 2 4 3" xfId="26128"/>
    <cellStyle name="20% - Ênfase6 6 2 3 2 4 3" xfId="26129"/>
    <cellStyle name="40% - Ênfase6 6 2 3 2 4 3" xfId="26130"/>
    <cellStyle name="Normal 4 3 2 3 2 4 3" xfId="26131"/>
    <cellStyle name="Nota 2 3 2 3 2 4 3" xfId="26132"/>
    <cellStyle name="Normal 5 3 2 3 2 4 3" xfId="26133"/>
    <cellStyle name="Nota 3 3 2 3 2 4 3" xfId="26134"/>
    <cellStyle name="20% - Ênfase1 2 3 2 3 2 4 3" xfId="26135"/>
    <cellStyle name="40% - Ênfase1 2 3 2 3 2 4 3" xfId="26136"/>
    <cellStyle name="20% - Ênfase2 2 3 2 3 2 4 3" xfId="26137"/>
    <cellStyle name="40% - Ênfase2 2 3 2 3 2 4 3" xfId="26138"/>
    <cellStyle name="20% - Ênfase3 2 3 2 3 2 4 3" xfId="26139"/>
    <cellStyle name="40% - Ênfase3 2 3 2 3 2 4 3" xfId="26140"/>
    <cellStyle name="20% - Ênfase4 2 3 2 3 2 4 3" xfId="26141"/>
    <cellStyle name="40% - Ênfase4 2 3 2 3 2 4 3" xfId="26142"/>
    <cellStyle name="20% - Ênfase5 2 3 2 3 2 4 3" xfId="26143"/>
    <cellStyle name="40% - Ênfase5 2 3 2 3 2 4 3" xfId="26144"/>
    <cellStyle name="20% - Ênfase6 2 3 2 3 2 4 3" xfId="26145"/>
    <cellStyle name="40% - Ênfase6 2 3 2 3 2 4 3" xfId="26146"/>
    <cellStyle name="Normal 7 3 2 3 2 4 3" xfId="26147"/>
    <cellStyle name="Nota 4 2 2 3 2 4 3" xfId="26148"/>
    <cellStyle name="20% - Ênfase1 3 2 2 3 2 4 3" xfId="26149"/>
    <cellStyle name="40% - Ênfase1 3 2 2 3 2 4 3" xfId="26150"/>
    <cellStyle name="20% - Ênfase2 3 2 2 3 2 4 3" xfId="26151"/>
    <cellStyle name="40% - Ênfase2 3 2 2 3 2 4 3" xfId="26152"/>
    <cellStyle name="20% - Ênfase3 3 2 2 3 2 4 3" xfId="26153"/>
    <cellStyle name="40% - Ênfase3 3 2 2 3 2 4 3" xfId="26154"/>
    <cellStyle name="20% - Ênfase4 3 2 2 3 2 4 3" xfId="26155"/>
    <cellStyle name="40% - Ênfase4 3 2 2 3 2 4 3" xfId="26156"/>
    <cellStyle name="20% - Ênfase5 3 2 2 3 2 4 3" xfId="26157"/>
    <cellStyle name="40% - Ênfase5 3 2 2 3 2 4 3" xfId="26158"/>
    <cellStyle name="20% - Ênfase6 3 2 2 3 2 4 3" xfId="26159"/>
    <cellStyle name="40% - Ênfase6 3 2 2 3 2 4 3" xfId="26160"/>
    <cellStyle name="Normal 8 2 2 3 2 4 3" xfId="26161"/>
    <cellStyle name="Nota 5 2 2 3 2 4 3" xfId="26162"/>
    <cellStyle name="20% - Ênfase1 4 2 2 3 2 4 3" xfId="26163"/>
    <cellStyle name="40% - Ênfase1 4 2 2 3 2 4 3" xfId="26164"/>
    <cellStyle name="20% - Ênfase2 4 2 2 3 2 4 3" xfId="26165"/>
    <cellStyle name="40% - Ênfase2 4 2 2 3 2 4 3" xfId="26166"/>
    <cellStyle name="20% - Ênfase3 4 2 2 3 2 4 3" xfId="26167"/>
    <cellStyle name="40% - Ênfase3 4 2 2 3 2 4 3" xfId="26168"/>
    <cellStyle name="20% - Ênfase4 4 2 2 3 2 4 3" xfId="26169"/>
    <cellStyle name="40% - Ênfase4 4 2 2 3 2 4 3" xfId="26170"/>
    <cellStyle name="20% - Ênfase5 4 2 2 3 2 4 3" xfId="26171"/>
    <cellStyle name="40% - Ênfase5 4 2 2 3 2 4 3" xfId="26172"/>
    <cellStyle name="20% - Ênfase6 4 2 2 3 2 4 3" xfId="26173"/>
    <cellStyle name="40% - Ênfase6 4 2 2 3 2 4 3" xfId="26174"/>
    <cellStyle name="Normal 3 6 2 4 3" xfId="26175"/>
    <cellStyle name="20% - Ênfase1 5 5 2 4 3" xfId="26176"/>
    <cellStyle name="40% - Ênfase1 5 5 2 4 3" xfId="26177"/>
    <cellStyle name="20% - Ênfase2 5 5 2 4 3" xfId="26178"/>
    <cellStyle name="40% - Ênfase2 5 5 2 4 3" xfId="26179"/>
    <cellStyle name="20% - Ênfase3 5 5 2 4 3" xfId="26180"/>
    <cellStyle name="40% - Ênfase3 5 5 2 4 3" xfId="26181"/>
    <cellStyle name="20% - Ênfase4 5 5 2 4 3" xfId="26182"/>
    <cellStyle name="40% - Ênfase4 5 5 2 4 3" xfId="26183"/>
    <cellStyle name="20% - Ênfase5 5 5 2 4 3" xfId="26184"/>
    <cellStyle name="40% - Ênfase5 5 5 2 4 3" xfId="26185"/>
    <cellStyle name="20% - Ênfase6 5 5 2 4 3" xfId="26186"/>
    <cellStyle name="40% - Ênfase6 5 5 2 4 3" xfId="26187"/>
    <cellStyle name="Normal 4 2 5 2 4 3" xfId="26188"/>
    <cellStyle name="Nota 2 2 5 2 4 3" xfId="26189"/>
    <cellStyle name="Normal 5 2 5 2 4 3" xfId="26190"/>
    <cellStyle name="Nota 3 2 5 2 4 3" xfId="26191"/>
    <cellStyle name="20% - Ênfase1 2 2 5 2 4 3" xfId="26192"/>
    <cellStyle name="40% - Ênfase1 2 2 5 2 4 3" xfId="26193"/>
    <cellStyle name="20% - Ênfase2 2 2 5 2 4 3" xfId="26194"/>
    <cellStyle name="40% - Ênfase2 2 2 5 2 4 3" xfId="26195"/>
    <cellStyle name="20% - Ênfase3 2 2 5 2 4 3" xfId="26196"/>
    <cellStyle name="40% - Ênfase3 2 2 5 2 4 3" xfId="26197"/>
    <cellStyle name="20% - Ênfase4 2 2 5 2 4 3" xfId="26198"/>
    <cellStyle name="40% - Ênfase4 2 2 5 2 4 3" xfId="26199"/>
    <cellStyle name="20% - Ênfase5 2 2 5 2 4 3" xfId="26200"/>
    <cellStyle name="40% - Ênfase5 2 2 5 2 4 3" xfId="26201"/>
    <cellStyle name="20% - Ênfase6 2 2 5 2 4 3" xfId="26202"/>
    <cellStyle name="40% - Ênfase6 2 2 5 2 4 3" xfId="26203"/>
    <cellStyle name="Normal 7 2 5 2 4 3" xfId="26204"/>
    <cellStyle name="Nota 4 7 2 4 3" xfId="26205"/>
    <cellStyle name="20% - Ênfase1 3 7 2 4 3" xfId="26206"/>
    <cellStyle name="40% - Ênfase1 3 7 2 4 3" xfId="26207"/>
    <cellStyle name="20% - Ênfase2 3 7 2 4 3" xfId="26208"/>
    <cellStyle name="40% - Ênfase2 3 7 2 4 3" xfId="26209"/>
    <cellStyle name="20% - Ênfase3 3 7 2 4 3" xfId="26210"/>
    <cellStyle name="40% - Ênfase3 3 7 2 4 3" xfId="26211"/>
    <cellStyle name="20% - Ênfase4 3 7 2 4 3" xfId="26212"/>
    <cellStyle name="40% - Ênfase4 3 7 2 4 3" xfId="26213"/>
    <cellStyle name="20% - Ênfase5 3 7 2 4 3" xfId="26214"/>
    <cellStyle name="40% - Ênfase5 3 7 2 4 3" xfId="26215"/>
    <cellStyle name="20% - Ênfase6 3 7 2 4 3" xfId="26216"/>
    <cellStyle name="40% - Ênfase6 3 7 2 4 3" xfId="26217"/>
    <cellStyle name="Normal 8 7 2 4 3" xfId="26218"/>
    <cellStyle name="Nota 5 7 2 4 3" xfId="26219"/>
    <cellStyle name="20% - Ênfase1 4 7 2 4 3" xfId="26220"/>
    <cellStyle name="40% - Ênfase1 4 7 2 4 3" xfId="26221"/>
    <cellStyle name="20% - Ênfase2 4 7 2 4 3" xfId="26222"/>
    <cellStyle name="40% - Ênfase2 4 7 2 4 3" xfId="26223"/>
    <cellStyle name="20% - Ênfase3 4 7 2 4 3" xfId="26224"/>
    <cellStyle name="40% - Ênfase3 4 7 2 4 3" xfId="26225"/>
    <cellStyle name="20% - Ênfase4 4 7 2 4 3" xfId="26226"/>
    <cellStyle name="40% - Ênfase4 4 7 2 4 3" xfId="26227"/>
    <cellStyle name="20% - Ênfase5 4 7 2 4 3" xfId="26228"/>
    <cellStyle name="40% - Ênfase5 4 7 2 4 3" xfId="26229"/>
    <cellStyle name="20% - Ênfase6 4 7 2 4 3" xfId="26230"/>
    <cellStyle name="40% - Ênfase6 4 7 2 4 3" xfId="26231"/>
    <cellStyle name="Normal 6 4 2 4 3" xfId="26232"/>
    <cellStyle name="Separador de milhares 7 2 2 4 3" xfId="26233"/>
    <cellStyle name="Moeda 4" xfId="26234"/>
    <cellStyle name="Normal 17 3" xfId="26235"/>
    <cellStyle name="Vírgula 2 10 3" xfId="26236"/>
    <cellStyle name="Vírgula 22 3" xfId="26237"/>
    <cellStyle name="Separador de milhares 2 12 3" xfId="26238"/>
    <cellStyle name="Separador de milhares 3 9 3" xfId="26239"/>
    <cellStyle name="Separador de milhares 4 8 3" xfId="26240"/>
    <cellStyle name="Separador de milhares 5 9 3" xfId="26241"/>
    <cellStyle name="Separador de milhares 6 9 3" xfId="26242"/>
    <cellStyle name="Separador de milhares 7 7 3" xfId="26243"/>
    <cellStyle name="Normal 3 2 6 3" xfId="26244"/>
    <cellStyle name="Normal 6 10 3" xfId="26245"/>
    <cellStyle name="Comma 2 7 3" xfId="26246"/>
    <cellStyle name="Percent 2 7 3" xfId="26247"/>
    <cellStyle name="Separador de milhares 3 3 6 3" xfId="26248"/>
    <cellStyle name="Normal 6 2 6 3" xfId="26249"/>
    <cellStyle name="Comma 2 2 6" xfId="26250"/>
    <cellStyle name="Percent 2 2 5 3" xfId="26251"/>
    <cellStyle name="Normal 7 11 3" xfId="26252"/>
    <cellStyle name="Normal 8 16 3" xfId="26253"/>
    <cellStyle name="Comma 4 6 3" xfId="26254"/>
    <cellStyle name="Percent 3 6 3" xfId="26255"/>
    <cellStyle name="Normal 9 7 3" xfId="26256"/>
    <cellStyle name="Comma 5 6 3" xfId="26257"/>
    <cellStyle name="Normal 8 2 10 3" xfId="26258"/>
    <cellStyle name="Normal 8 3 9 3" xfId="26259"/>
    <cellStyle name="Normal 8 4 9 3" xfId="26260"/>
    <cellStyle name="Normal 8 5 9" xfId="26261"/>
    <cellStyle name="Normal 8 5 2 7" xfId="26262"/>
    <cellStyle name="Normal 7 2 11 3" xfId="26263"/>
    <cellStyle name="Vírgula 9 6 3" xfId="26264"/>
    <cellStyle name="Separador de milhares 2 2 8" xfId="26265"/>
    <cellStyle name="Separador de milhares 3 4 5" xfId="26266"/>
    <cellStyle name="Separador de milhares 4 3 5 3" xfId="26267"/>
    <cellStyle name="Separador de milhares 5 3 5 3" xfId="26268"/>
    <cellStyle name="Separador de milhares 6 3 5" xfId="26269"/>
    <cellStyle name="Separador de milhares 7 3 6" xfId="26270"/>
    <cellStyle name="Normal 3 2 2 5 3" xfId="26271"/>
    <cellStyle name="Normal 6 3 5 3" xfId="26272"/>
    <cellStyle name="Comma 2 3 5" xfId="26273"/>
    <cellStyle name="Percent 2 3 4" xfId="26274"/>
    <cellStyle name="Separador de milhares 3 3 2 5" xfId="26275"/>
    <cellStyle name="Normal 6 2 2 4 3" xfId="26276"/>
    <cellStyle name="Comma 2 2 2 4" xfId="26277"/>
    <cellStyle name="Percent 2 2 2 4" xfId="26278"/>
    <cellStyle name="Normal 7 3 10 3" xfId="26279"/>
    <cellStyle name="Comma 3 2 4 3" xfId="26280"/>
    <cellStyle name="Normal 8 6 7" xfId="26281"/>
    <cellStyle name="Comma 4 2 4 3" xfId="26282"/>
    <cellStyle name="Percent 3 2 4 3" xfId="26283"/>
    <cellStyle name="Normal 9 2 5 3" xfId="26284"/>
    <cellStyle name="Comma 5 2 4 3" xfId="26285"/>
    <cellStyle name="Normal 8 2 2 9 3" xfId="26286"/>
    <cellStyle name="Vírgula 13 2 4" xfId="26287"/>
    <cellStyle name="Vírgula 4 2 2 6" xfId="26288"/>
    <cellStyle name="Normal 8 3 2 7" xfId="26289"/>
    <cellStyle name="Normal 8 4 2 7" xfId="26290"/>
    <cellStyle name="Normal 8 5 3 5" xfId="26291"/>
    <cellStyle name="Normal 8 5 2 2 4" xfId="26292"/>
    <cellStyle name="Normal 7 2 2 9 3" xfId="26293"/>
    <cellStyle name="Vírgula 18 2 4" xfId="26294"/>
    <cellStyle name="Vírgula 12 2 5" xfId="26295"/>
    <cellStyle name="Normal 12 5 3" xfId="26296"/>
    <cellStyle name="Normal 3 8 5" xfId="26297"/>
    <cellStyle name="Percent 3 3 4" xfId="26298"/>
    <cellStyle name="Comma 2 4 4" xfId="26299"/>
    <cellStyle name="Comma 2 2 3 4" xfId="26300"/>
    <cellStyle name="Normal 6 7 4" xfId="26301"/>
    <cellStyle name="Normal 3 2 3 4" xfId="26302"/>
    <cellStyle name="Separador de milhares 2 9 4" xfId="26303"/>
    <cellStyle name="Normal 7 8 4" xfId="26304"/>
    <cellStyle name="Comma 2 3 2 4" xfId="26305"/>
    <cellStyle name="Separador de milhares 2 8 4" xfId="26306"/>
    <cellStyle name="Separador de milhares 3 6 4" xfId="26307"/>
    <cellStyle name="Separador de milhares 4 5 5" xfId="26308"/>
    <cellStyle name="Separador de milhares 5 5 5" xfId="26309"/>
    <cellStyle name="Separador de milhares 6 6 5" xfId="26310"/>
    <cellStyle name="Separador de milhares 7 4 4" xfId="26311"/>
    <cellStyle name="Comma 3 3 4" xfId="26312"/>
    <cellStyle name="Vírgula 7 2 4" xfId="26313"/>
    <cellStyle name="20% - Ênfase1 2 2 11" xfId="26314"/>
    <cellStyle name="20% - Ênfase1 2 2 2 8" xfId="26315"/>
    <cellStyle name="20% - Ênfase1 2 2 2 2 6" xfId="26316"/>
    <cellStyle name="20% - Ênfase1 2 2 2 3 6" xfId="26317"/>
    <cellStyle name="20% - Ênfase1 2 2 3 6" xfId="26318"/>
    <cellStyle name="20% - Ênfase1 2 2 4 6" xfId="26319"/>
    <cellStyle name="20% - Ênfase1 2 2 5 6" xfId="26320"/>
    <cellStyle name="20% - Ênfase1 2 3 10" xfId="26321"/>
    <cellStyle name="20% - Ênfase1 2 3 2 8" xfId="26322"/>
    <cellStyle name="20% - Ênfase1 2 3 2 2 6" xfId="26323"/>
    <cellStyle name="20% - Ênfase1 2 3 2 3 6" xfId="26324"/>
    <cellStyle name="20% - Ênfase1 2 3 3 6" xfId="26325"/>
    <cellStyle name="20% - Ênfase1 2 3 4 6" xfId="26326"/>
    <cellStyle name="20% - Ênfase1 2 5 8" xfId="26327"/>
    <cellStyle name="20% - Ênfase1 2 5 2 6" xfId="26328"/>
    <cellStyle name="20% - Ênfase1 2 5 3 6" xfId="26329"/>
    <cellStyle name="20% - Ênfase1 3 13" xfId="26330"/>
    <cellStyle name="20% - Ênfase1 3 2 10" xfId="26331"/>
    <cellStyle name="20% - Ênfase1 3 2 2 8" xfId="26332"/>
    <cellStyle name="20% - Ênfase1 3 2 2 2 6" xfId="26333"/>
    <cellStyle name="20% - Ênfase1 3 2 2 3 6" xfId="26334"/>
    <cellStyle name="20% - Ênfase1 3 2 3 6" xfId="26335"/>
    <cellStyle name="20% - Ênfase1 3 2 4 6" xfId="26336"/>
    <cellStyle name="20% - Ênfase1 3 3 9" xfId="26337"/>
    <cellStyle name="20% - Ênfase1 3 3 2 6" xfId="26338"/>
    <cellStyle name="20% - Ênfase1 3 3 3 6" xfId="26339"/>
    <cellStyle name="20% - Ênfase1 3 4 8" xfId="26340"/>
    <cellStyle name="20% - Ênfase1 3 4 2 6" xfId="26341"/>
    <cellStyle name="20% - Ênfase1 3 4 3 6" xfId="26342"/>
    <cellStyle name="20% - Ênfase1 3 5 6" xfId="26343"/>
    <cellStyle name="20% - Ênfase1 3 6 6" xfId="26344"/>
    <cellStyle name="20% - Ênfase1 3 7 6" xfId="26345"/>
    <cellStyle name="20% - Ênfase1 4 13" xfId="26346"/>
    <cellStyle name="20% - Ênfase1 4 2 10" xfId="26347"/>
    <cellStyle name="20% - Ênfase1 4 2 2 8" xfId="26348"/>
    <cellStyle name="20% - Ênfase1 4 2 2 2 6" xfId="26349"/>
    <cellStyle name="20% - Ênfase1 4 2 2 3 6" xfId="26350"/>
    <cellStyle name="20% - Ênfase1 4 2 3 6" xfId="26351"/>
    <cellStyle name="20% - Ênfase1 4 2 4 6" xfId="26352"/>
    <cellStyle name="20% - Ênfase1 4 3 9" xfId="26353"/>
    <cellStyle name="20% - Ênfase1 4 3 2 6" xfId="26354"/>
    <cellStyle name="20% - Ênfase1 4 3 3 6" xfId="26355"/>
    <cellStyle name="20% - Ênfase1 4 4 8" xfId="26356"/>
    <cellStyle name="20% - Ênfase1 4 4 2 6" xfId="26357"/>
    <cellStyle name="20% - Ênfase1 4 4 3 6" xfId="26358"/>
    <cellStyle name="20% - Ênfase1 4 5 6" xfId="26359"/>
    <cellStyle name="20% - Ênfase1 4 6 6" xfId="26360"/>
    <cellStyle name="20% - Ênfase1 4 7 6" xfId="26361"/>
    <cellStyle name="20% - Ênfase1 5 11" xfId="26362"/>
    <cellStyle name="20% - Ênfase1 5 2 8" xfId="26363"/>
    <cellStyle name="20% - Ênfase1 5 2 2 6" xfId="26364"/>
    <cellStyle name="20% - Ênfase1 5 2 3 6" xfId="26365"/>
    <cellStyle name="20% - Ênfase1 5 3 6" xfId="26366"/>
    <cellStyle name="20% - Ênfase1 5 4 6" xfId="26367"/>
    <cellStyle name="20% - Ênfase1 5 5 6" xfId="26368"/>
    <cellStyle name="20% - Ênfase1 6 10" xfId="26369"/>
    <cellStyle name="20% - Ênfase1 6 2 8" xfId="26370"/>
    <cellStyle name="20% - Ênfase1 6 2 2 6" xfId="26371"/>
    <cellStyle name="20% - Ênfase1 6 2 3 6" xfId="26372"/>
    <cellStyle name="20% - Ênfase1 6 3 6" xfId="26373"/>
    <cellStyle name="20% - Ênfase1 6 4 6" xfId="26374"/>
    <cellStyle name="20% - Ênfase1 8 8" xfId="26375"/>
    <cellStyle name="20% - Ênfase1 8 2 6" xfId="26376"/>
    <cellStyle name="20% - Ênfase1 8 3 6" xfId="26377"/>
    <cellStyle name="20% - Ênfase2 2 2 11" xfId="26378"/>
    <cellStyle name="20% - Ênfase2 2 2 2 8" xfId="26379"/>
    <cellStyle name="20% - Ênfase2 2 2 2 2 6" xfId="26380"/>
    <cellStyle name="20% - Ênfase2 2 2 2 3 6" xfId="26381"/>
    <cellStyle name="20% - Ênfase2 2 2 3 6" xfId="26382"/>
    <cellStyle name="20% - Ênfase2 2 2 4 6" xfId="26383"/>
    <cellStyle name="20% - Ênfase2 2 2 5 6" xfId="26384"/>
    <cellStyle name="20% - Ênfase2 2 3 10" xfId="26385"/>
    <cellStyle name="20% - Ênfase2 2 3 2 8" xfId="26386"/>
    <cellStyle name="20% - Ênfase2 2 3 2 2 6" xfId="26387"/>
    <cellStyle name="20% - Ênfase2 2 3 2 3 6" xfId="26388"/>
    <cellStyle name="20% - Ênfase2 2 3 3 6" xfId="26389"/>
    <cellStyle name="20% - Ênfase2 2 3 4 6" xfId="26390"/>
    <cellStyle name="20% - Ênfase2 2 5 8" xfId="26391"/>
    <cellStyle name="20% - Ênfase2 2 5 2 6" xfId="26392"/>
    <cellStyle name="20% - Ênfase2 2 5 3 6" xfId="26393"/>
    <cellStyle name="20% - Ênfase2 3 13" xfId="26394"/>
    <cellStyle name="20% - Ênfase2 3 2 10" xfId="26395"/>
    <cellStyle name="20% - Ênfase2 3 2 2 8" xfId="26396"/>
    <cellStyle name="20% - Ênfase2 3 2 2 2 6" xfId="26397"/>
    <cellStyle name="20% - Ênfase2 3 2 2 3 6" xfId="26398"/>
    <cellStyle name="20% - Ênfase2 3 2 3 6" xfId="26399"/>
    <cellStyle name="20% - Ênfase2 3 2 4 6" xfId="26400"/>
    <cellStyle name="20% - Ênfase2 3 3 9" xfId="26401"/>
    <cellStyle name="20% - Ênfase2 3 3 2 6" xfId="26402"/>
    <cellStyle name="20% - Ênfase2 3 3 3 6" xfId="26403"/>
    <cellStyle name="20% - Ênfase2 3 4 8" xfId="26404"/>
    <cellStyle name="20% - Ênfase2 3 4 2 6" xfId="26405"/>
    <cellStyle name="20% - Ênfase2 3 4 3 6" xfId="26406"/>
    <cellStyle name="20% - Ênfase2 3 5 6" xfId="26407"/>
    <cellStyle name="20% - Ênfase2 3 6 6" xfId="26408"/>
    <cellStyle name="20% - Ênfase2 3 7 6" xfId="26409"/>
    <cellStyle name="20% - Ênfase2 4 13" xfId="26410"/>
    <cellStyle name="20% - Ênfase2 4 2 10" xfId="26411"/>
    <cellStyle name="20% - Ênfase2 4 2 2 8" xfId="26412"/>
    <cellStyle name="20% - Ênfase2 4 2 2 2 6" xfId="26413"/>
    <cellStyle name="20% - Ênfase2 4 2 2 3 6" xfId="26414"/>
    <cellStyle name="20% - Ênfase2 4 2 3 6" xfId="26415"/>
    <cellStyle name="20% - Ênfase2 4 2 4 6" xfId="26416"/>
    <cellStyle name="20% - Ênfase2 4 3 9" xfId="26417"/>
    <cellStyle name="20% - Ênfase2 4 3 2 6" xfId="26418"/>
    <cellStyle name="20% - Ênfase2 4 3 3 6" xfId="26419"/>
    <cellStyle name="20% - Ênfase2 4 4 8" xfId="26420"/>
    <cellStyle name="20% - Ênfase2 4 4 2 6" xfId="26421"/>
    <cellStyle name="20% - Ênfase2 4 4 3 6" xfId="26422"/>
    <cellStyle name="20% - Ênfase2 4 5 6" xfId="26423"/>
    <cellStyle name="20% - Ênfase2 4 6 6" xfId="26424"/>
    <cellStyle name="20% - Ênfase2 4 7 6" xfId="26425"/>
    <cellStyle name="20% - Ênfase2 5 11" xfId="26426"/>
    <cellStyle name="20% - Ênfase2 5 2 8" xfId="26427"/>
    <cellStyle name="20% - Ênfase2 5 2 2 6" xfId="26428"/>
    <cellStyle name="20% - Ênfase2 5 2 3 6" xfId="26429"/>
    <cellStyle name="20% - Ênfase2 5 3 6" xfId="26430"/>
    <cellStyle name="20% - Ênfase2 5 4 6" xfId="26431"/>
    <cellStyle name="20% - Ênfase2 5 5 6" xfId="26432"/>
    <cellStyle name="20% - Ênfase2 6 10" xfId="26433"/>
    <cellStyle name="20% - Ênfase2 6 2 8" xfId="26434"/>
    <cellStyle name="20% - Ênfase2 6 2 2 6" xfId="26435"/>
    <cellStyle name="20% - Ênfase2 6 2 3 6" xfId="26436"/>
    <cellStyle name="20% - Ênfase2 6 3 6" xfId="26437"/>
    <cellStyle name="20% - Ênfase2 6 4 6" xfId="26438"/>
    <cellStyle name="20% - Ênfase2 8 8" xfId="26439"/>
    <cellStyle name="20% - Ênfase2 8 2 6" xfId="26440"/>
    <cellStyle name="20% - Ênfase2 8 3 6" xfId="26441"/>
    <cellStyle name="20% - Ênfase3 2 2 11" xfId="26442"/>
    <cellStyle name="20% - Ênfase3 2 2 2 8" xfId="26443"/>
    <cellStyle name="20% - Ênfase3 2 2 2 2 6" xfId="26444"/>
    <cellStyle name="20% - Ênfase3 2 2 2 3 6" xfId="26445"/>
    <cellStyle name="20% - Ênfase3 2 2 3 6" xfId="26446"/>
    <cellStyle name="20% - Ênfase3 2 2 4 6" xfId="26447"/>
    <cellStyle name="20% - Ênfase3 2 2 5 6" xfId="26448"/>
    <cellStyle name="20% - Ênfase3 2 3 10" xfId="26449"/>
    <cellStyle name="20% - Ênfase3 2 3 2 8" xfId="26450"/>
    <cellStyle name="20% - Ênfase3 2 3 2 2 6" xfId="26451"/>
    <cellStyle name="20% - Ênfase3 2 3 2 3 6" xfId="26452"/>
    <cellStyle name="20% - Ênfase3 2 3 3 6" xfId="26453"/>
    <cellStyle name="20% - Ênfase3 2 3 4 6" xfId="26454"/>
    <cellStyle name="20% - Ênfase3 2 5 8" xfId="26455"/>
    <cellStyle name="20% - Ênfase3 2 5 2 6" xfId="26456"/>
    <cellStyle name="20% - Ênfase3 2 5 3 6" xfId="26457"/>
    <cellStyle name="20% - Ênfase3 3 13" xfId="26458"/>
    <cellStyle name="20% - Ênfase3 3 2 10" xfId="26459"/>
    <cellStyle name="20% - Ênfase3 3 2 2 8" xfId="26460"/>
    <cellStyle name="20% - Ênfase3 3 2 2 2 6" xfId="26461"/>
    <cellStyle name="20% - Ênfase3 3 2 2 3 6" xfId="26462"/>
    <cellStyle name="20% - Ênfase3 3 2 3 6" xfId="26463"/>
    <cellStyle name="20% - Ênfase3 3 2 4 6" xfId="26464"/>
    <cellStyle name="20% - Ênfase3 3 3 9" xfId="26465"/>
    <cellStyle name="20% - Ênfase3 3 3 2 6" xfId="26466"/>
    <cellStyle name="20% - Ênfase3 3 3 3 6" xfId="26467"/>
    <cellStyle name="20% - Ênfase3 3 4 8" xfId="26468"/>
    <cellStyle name="20% - Ênfase3 3 4 2 6" xfId="26469"/>
    <cellStyle name="20% - Ênfase3 3 4 3 6" xfId="26470"/>
    <cellStyle name="20% - Ênfase3 3 5 6" xfId="26471"/>
    <cellStyle name="20% - Ênfase3 3 6 6" xfId="26472"/>
    <cellStyle name="20% - Ênfase3 3 7 6" xfId="26473"/>
    <cellStyle name="20% - Ênfase3 4 13" xfId="26474"/>
    <cellStyle name="20% - Ênfase3 4 2 10" xfId="26475"/>
    <cellStyle name="20% - Ênfase3 4 2 2 8" xfId="26476"/>
    <cellStyle name="20% - Ênfase3 4 2 2 2 6" xfId="26477"/>
    <cellStyle name="20% - Ênfase3 4 2 2 3 6" xfId="26478"/>
    <cellStyle name="20% - Ênfase3 4 2 3 6" xfId="26479"/>
    <cellStyle name="20% - Ênfase3 4 2 4 6" xfId="26480"/>
    <cellStyle name="20% - Ênfase3 4 3 9" xfId="26481"/>
    <cellStyle name="20% - Ênfase3 4 3 2 6" xfId="26482"/>
    <cellStyle name="20% - Ênfase3 4 3 3 6" xfId="26483"/>
    <cellStyle name="20% - Ênfase3 4 4 8" xfId="26484"/>
    <cellStyle name="20% - Ênfase3 4 4 2 6" xfId="26485"/>
    <cellStyle name="20% - Ênfase3 4 4 3 6" xfId="26486"/>
    <cellStyle name="20% - Ênfase3 4 5 6" xfId="26487"/>
    <cellStyle name="20% - Ênfase3 4 6 6" xfId="26488"/>
    <cellStyle name="20% - Ênfase3 4 7 6" xfId="26489"/>
    <cellStyle name="20% - Ênfase3 5 11" xfId="26490"/>
    <cellStyle name="20% - Ênfase3 5 2 8" xfId="26491"/>
    <cellStyle name="20% - Ênfase3 5 2 2 6" xfId="26492"/>
    <cellStyle name="20% - Ênfase3 5 2 3 6" xfId="26493"/>
    <cellStyle name="20% - Ênfase3 5 3 6" xfId="26494"/>
    <cellStyle name="20% - Ênfase3 5 4 6" xfId="26495"/>
    <cellStyle name="20% - Ênfase3 5 5 6" xfId="26496"/>
    <cellStyle name="20% - Ênfase3 6 10" xfId="26497"/>
    <cellStyle name="20% - Ênfase3 6 2 8" xfId="26498"/>
    <cellStyle name="20% - Ênfase3 6 2 2 6" xfId="26499"/>
    <cellStyle name="20% - Ênfase3 6 2 3 6" xfId="26500"/>
    <cellStyle name="20% - Ênfase3 6 3 6" xfId="26501"/>
    <cellStyle name="20% - Ênfase3 6 4 6" xfId="26502"/>
    <cellStyle name="20% - Ênfase3 8 8" xfId="26503"/>
    <cellStyle name="20% - Ênfase3 8 2 6" xfId="26504"/>
    <cellStyle name="20% - Ênfase3 8 3 6" xfId="26505"/>
    <cellStyle name="20% - Ênfase4 2 2 11" xfId="26506"/>
    <cellStyle name="20% - Ênfase4 2 2 2 8" xfId="26507"/>
    <cellStyle name="20% - Ênfase4 2 2 2 2 6" xfId="26508"/>
    <cellStyle name="20% - Ênfase4 2 2 2 3 6" xfId="26509"/>
    <cellStyle name="20% - Ênfase4 2 2 3 6" xfId="26510"/>
    <cellStyle name="20% - Ênfase4 2 2 4 6" xfId="26511"/>
    <cellStyle name="20% - Ênfase4 2 2 5 6" xfId="26512"/>
    <cellStyle name="20% - Ênfase4 2 3 10" xfId="26513"/>
    <cellStyle name="20% - Ênfase4 2 3 2 8" xfId="26514"/>
    <cellStyle name="20% - Ênfase4 2 3 2 2 6" xfId="26515"/>
    <cellStyle name="20% - Ênfase4 2 3 2 3 6" xfId="26516"/>
    <cellStyle name="20% - Ênfase4 2 3 3 6" xfId="26517"/>
    <cellStyle name="20% - Ênfase4 2 3 4 6" xfId="26518"/>
    <cellStyle name="20% - Ênfase4 2 5 8" xfId="26519"/>
    <cellStyle name="20% - Ênfase4 2 5 2 6" xfId="26520"/>
    <cellStyle name="20% - Ênfase4 2 5 3 6" xfId="26521"/>
    <cellStyle name="20% - Ênfase4 3 13" xfId="26522"/>
    <cellStyle name="20% - Ênfase4 3 2 10" xfId="26523"/>
    <cellStyle name="20% - Ênfase4 3 2 2 8" xfId="26524"/>
    <cellStyle name="20% - Ênfase4 3 2 2 2 6" xfId="26525"/>
    <cellStyle name="20% - Ênfase4 3 2 2 3 6" xfId="26526"/>
    <cellStyle name="20% - Ênfase4 3 2 3 6" xfId="26527"/>
    <cellStyle name="20% - Ênfase4 3 2 4 6" xfId="26528"/>
    <cellStyle name="20% - Ênfase4 3 3 9" xfId="26529"/>
    <cellStyle name="20% - Ênfase4 3 3 2 6" xfId="26530"/>
    <cellStyle name="20% - Ênfase4 3 3 3 6" xfId="26531"/>
    <cellStyle name="20% - Ênfase4 3 4 8" xfId="26532"/>
    <cellStyle name="20% - Ênfase4 3 4 2 6" xfId="26533"/>
    <cellStyle name="20% - Ênfase4 3 4 3 6" xfId="26534"/>
    <cellStyle name="20% - Ênfase4 3 5 6" xfId="26535"/>
    <cellStyle name="20% - Ênfase4 3 6 6" xfId="26536"/>
    <cellStyle name="20% - Ênfase4 3 7 6" xfId="26537"/>
    <cellStyle name="20% - Ênfase4 4 13" xfId="26538"/>
    <cellStyle name="20% - Ênfase4 4 2 10" xfId="26539"/>
    <cellStyle name="20% - Ênfase4 4 2 2 8" xfId="26540"/>
    <cellStyle name="20% - Ênfase4 4 2 2 2 6" xfId="26541"/>
    <cellStyle name="20% - Ênfase4 4 2 2 3 6" xfId="26542"/>
    <cellStyle name="20% - Ênfase4 4 2 3 6" xfId="26543"/>
    <cellStyle name="20% - Ênfase4 4 2 4 6" xfId="26544"/>
    <cellStyle name="20% - Ênfase4 4 3 9" xfId="26545"/>
    <cellStyle name="20% - Ênfase4 4 3 2 6" xfId="26546"/>
    <cellStyle name="20% - Ênfase4 4 3 3 6" xfId="26547"/>
    <cellStyle name="20% - Ênfase4 4 4 8" xfId="26548"/>
    <cellStyle name="20% - Ênfase4 4 4 2 6" xfId="26549"/>
    <cellStyle name="20% - Ênfase4 4 4 3 6" xfId="26550"/>
    <cellStyle name="20% - Ênfase4 4 5 6" xfId="26551"/>
    <cellStyle name="20% - Ênfase4 4 6 6" xfId="26552"/>
    <cellStyle name="20% - Ênfase4 4 7 6" xfId="26553"/>
    <cellStyle name="20% - Ênfase4 5 11" xfId="26554"/>
    <cellStyle name="20% - Ênfase4 5 2 8" xfId="26555"/>
    <cellStyle name="20% - Ênfase4 5 2 2 6" xfId="26556"/>
    <cellStyle name="20% - Ênfase4 5 2 3 6" xfId="26557"/>
    <cellStyle name="20% - Ênfase4 5 3 6" xfId="26558"/>
    <cellStyle name="20% - Ênfase4 5 4 6" xfId="26559"/>
    <cellStyle name="20% - Ênfase4 5 5 6" xfId="26560"/>
    <cellStyle name="20% - Ênfase4 6 10" xfId="26561"/>
    <cellStyle name="20% - Ênfase4 6 2 8" xfId="26562"/>
    <cellStyle name="20% - Ênfase4 6 2 2 6" xfId="26563"/>
    <cellStyle name="20% - Ênfase4 6 2 3 6" xfId="26564"/>
    <cellStyle name="20% - Ênfase4 6 3 6" xfId="26565"/>
    <cellStyle name="20% - Ênfase4 6 4 6" xfId="26566"/>
    <cellStyle name="20% - Ênfase4 8 8" xfId="26567"/>
    <cellStyle name="20% - Ênfase4 8 2 6" xfId="26568"/>
    <cellStyle name="20% - Ênfase4 8 3 6" xfId="26569"/>
    <cellStyle name="20% - Ênfase5 2 2 11" xfId="26570"/>
    <cellStyle name="20% - Ênfase5 2 2 2 8" xfId="26571"/>
    <cellStyle name="20% - Ênfase5 2 2 2 2 6" xfId="26572"/>
    <cellStyle name="20% - Ênfase5 2 2 2 3 6" xfId="26573"/>
    <cellStyle name="20% - Ênfase5 2 2 3 6" xfId="26574"/>
    <cellStyle name="20% - Ênfase5 2 2 4 6" xfId="26575"/>
    <cellStyle name="20% - Ênfase5 2 2 5 6" xfId="26576"/>
    <cellStyle name="20% - Ênfase5 2 3 10" xfId="26577"/>
    <cellStyle name="20% - Ênfase5 2 3 2 8" xfId="26578"/>
    <cellStyle name="20% - Ênfase5 2 3 2 2 6" xfId="26579"/>
    <cellStyle name="20% - Ênfase5 2 3 2 3 6" xfId="26580"/>
    <cellStyle name="20% - Ênfase5 2 3 3 6" xfId="26581"/>
    <cellStyle name="20% - Ênfase5 2 3 4 6" xfId="26582"/>
    <cellStyle name="20% - Ênfase5 2 5 8" xfId="26583"/>
    <cellStyle name="20% - Ênfase5 2 5 2 6" xfId="26584"/>
    <cellStyle name="20% - Ênfase5 2 5 3 6" xfId="26585"/>
    <cellStyle name="20% - Ênfase5 3 13" xfId="26586"/>
    <cellStyle name="20% - Ênfase5 3 2 10" xfId="26587"/>
    <cellStyle name="20% - Ênfase5 3 2 2 8" xfId="26588"/>
    <cellStyle name="20% - Ênfase5 3 2 2 2 6" xfId="26589"/>
    <cellStyle name="20% - Ênfase5 3 2 2 3 6" xfId="26590"/>
    <cellStyle name="20% - Ênfase5 3 2 3 6" xfId="26591"/>
    <cellStyle name="20% - Ênfase5 3 2 4 6" xfId="26592"/>
    <cellStyle name="20% - Ênfase5 3 3 9" xfId="26593"/>
    <cellStyle name="20% - Ênfase5 3 3 2 6" xfId="26594"/>
    <cellStyle name="20% - Ênfase5 3 3 3 6" xfId="26595"/>
    <cellStyle name="20% - Ênfase5 3 4 8" xfId="26596"/>
    <cellStyle name="20% - Ênfase5 3 4 2 6" xfId="26597"/>
    <cellStyle name="20% - Ênfase5 3 4 3 6" xfId="26598"/>
    <cellStyle name="20% - Ênfase5 3 5 6" xfId="26599"/>
    <cellStyle name="20% - Ênfase5 3 6 6" xfId="26600"/>
    <cellStyle name="20% - Ênfase5 3 7 6" xfId="26601"/>
    <cellStyle name="20% - Ênfase5 4 13" xfId="26602"/>
    <cellStyle name="20% - Ênfase5 4 2 10" xfId="26603"/>
    <cellStyle name="20% - Ênfase5 4 2 2 8" xfId="26604"/>
    <cellStyle name="20% - Ênfase5 4 2 2 2 6" xfId="26605"/>
    <cellStyle name="20% - Ênfase5 4 2 2 3 6" xfId="26606"/>
    <cellStyle name="20% - Ênfase5 4 2 3 6" xfId="26607"/>
    <cellStyle name="20% - Ênfase5 4 2 4 6" xfId="26608"/>
    <cellStyle name="20% - Ênfase5 4 3 9" xfId="26609"/>
    <cellStyle name="20% - Ênfase5 4 3 2 6" xfId="26610"/>
    <cellStyle name="20% - Ênfase5 4 3 3 6" xfId="26611"/>
    <cellStyle name="20% - Ênfase5 4 4 8" xfId="26612"/>
    <cellStyle name="20% - Ênfase5 4 4 2 6" xfId="26613"/>
    <cellStyle name="20% - Ênfase5 4 4 3 6" xfId="26614"/>
    <cellStyle name="20% - Ênfase5 4 5 6" xfId="26615"/>
    <cellStyle name="20% - Ênfase5 4 6 6" xfId="26616"/>
    <cellStyle name="20% - Ênfase5 4 7 6" xfId="26617"/>
    <cellStyle name="20% - Ênfase5 5 11" xfId="26618"/>
    <cellStyle name="20% - Ênfase5 5 2 8" xfId="26619"/>
    <cellStyle name="20% - Ênfase5 5 2 2 6" xfId="26620"/>
    <cellStyle name="20% - Ênfase5 5 2 3 6" xfId="26621"/>
    <cellStyle name="20% - Ênfase5 5 3 6" xfId="26622"/>
    <cellStyle name="20% - Ênfase5 5 4 6" xfId="26623"/>
    <cellStyle name="20% - Ênfase5 5 5 6" xfId="26624"/>
    <cellStyle name="20% - Ênfase5 6 10" xfId="26625"/>
    <cellStyle name="20% - Ênfase5 6 2 8" xfId="26626"/>
    <cellStyle name="20% - Ênfase5 6 2 2 6" xfId="26627"/>
    <cellStyle name="20% - Ênfase5 6 2 3 6" xfId="26628"/>
    <cellStyle name="20% - Ênfase5 6 3 6" xfId="26629"/>
    <cellStyle name="20% - Ênfase5 6 4 6" xfId="26630"/>
    <cellStyle name="20% - Ênfase5 8 8" xfId="26631"/>
    <cellStyle name="20% - Ênfase5 8 2 6" xfId="26632"/>
    <cellStyle name="20% - Ênfase5 8 3 6" xfId="26633"/>
    <cellStyle name="20% - Ênfase6 2 2 11" xfId="26634"/>
    <cellStyle name="20% - Ênfase6 2 2 2 8" xfId="26635"/>
    <cellStyle name="20% - Ênfase6 2 2 2 2 6" xfId="26636"/>
    <cellStyle name="20% - Ênfase6 2 2 2 3 6" xfId="26637"/>
    <cellStyle name="20% - Ênfase6 2 2 3 6" xfId="26638"/>
    <cellStyle name="20% - Ênfase6 2 2 4 6" xfId="26639"/>
    <cellStyle name="20% - Ênfase6 2 2 5 6" xfId="26640"/>
    <cellStyle name="20% - Ênfase6 2 3 10" xfId="26641"/>
    <cellStyle name="20% - Ênfase6 2 3 2 8" xfId="26642"/>
    <cellStyle name="20% - Ênfase6 2 3 2 2 6" xfId="26643"/>
    <cellStyle name="20% - Ênfase6 2 3 2 3 6" xfId="26644"/>
    <cellStyle name="20% - Ênfase6 2 3 3 6" xfId="26645"/>
    <cellStyle name="20% - Ênfase6 2 3 4 6" xfId="26646"/>
    <cellStyle name="20% - Ênfase6 2 5 8" xfId="26647"/>
    <cellStyle name="20% - Ênfase6 2 5 2 6" xfId="26648"/>
    <cellStyle name="20% - Ênfase6 2 5 3 6" xfId="26649"/>
    <cellStyle name="20% - Ênfase6 3 13" xfId="26650"/>
    <cellStyle name="20% - Ênfase6 3 2 10" xfId="26651"/>
    <cellStyle name="20% - Ênfase6 3 2 2 8" xfId="26652"/>
    <cellStyle name="20% - Ênfase6 3 2 2 2 6" xfId="26653"/>
    <cellStyle name="20% - Ênfase6 3 2 2 3 6" xfId="26654"/>
    <cellStyle name="20% - Ênfase6 3 2 3 6" xfId="26655"/>
    <cellStyle name="20% - Ênfase6 3 2 4 6" xfId="26656"/>
    <cellStyle name="20% - Ênfase6 3 3 9" xfId="26657"/>
    <cellStyle name="20% - Ênfase6 3 3 2 6" xfId="26658"/>
    <cellStyle name="20% - Ênfase6 3 3 3 6" xfId="26659"/>
    <cellStyle name="20% - Ênfase6 3 4 8" xfId="26660"/>
    <cellStyle name="20% - Ênfase6 3 4 2 6" xfId="26661"/>
    <cellStyle name="20% - Ênfase6 3 4 3 6" xfId="26662"/>
    <cellStyle name="20% - Ênfase6 3 5 6" xfId="26663"/>
    <cellStyle name="20% - Ênfase6 3 6 6" xfId="26664"/>
    <cellStyle name="20% - Ênfase6 3 7 6" xfId="26665"/>
    <cellStyle name="20% - Ênfase6 4 13" xfId="26666"/>
    <cellStyle name="20% - Ênfase6 4 2 10" xfId="26667"/>
    <cellStyle name="20% - Ênfase6 4 2 2 8" xfId="26668"/>
    <cellStyle name="20% - Ênfase6 4 2 2 2 6" xfId="26669"/>
    <cellStyle name="20% - Ênfase6 4 2 2 3 6" xfId="26670"/>
    <cellStyle name="20% - Ênfase6 4 2 3 6" xfId="26671"/>
    <cellStyle name="20% - Ênfase6 4 2 4 6" xfId="26672"/>
    <cellStyle name="20% - Ênfase6 4 3 9" xfId="26673"/>
    <cellStyle name="20% - Ênfase6 4 3 2 6" xfId="26674"/>
    <cellStyle name="20% - Ênfase6 4 3 3 6" xfId="26675"/>
    <cellStyle name="20% - Ênfase6 4 4 8" xfId="26676"/>
    <cellStyle name="20% - Ênfase6 4 4 2 6" xfId="26677"/>
    <cellStyle name="20% - Ênfase6 4 4 3 6" xfId="26678"/>
    <cellStyle name="20% - Ênfase6 4 5 6" xfId="26679"/>
    <cellStyle name="20% - Ênfase6 4 6 6" xfId="26680"/>
    <cellStyle name="20% - Ênfase6 4 7 6" xfId="26681"/>
    <cellStyle name="20% - Ênfase6 5 11" xfId="26682"/>
    <cellStyle name="20% - Ênfase6 5 2 8" xfId="26683"/>
    <cellStyle name="20% - Ênfase6 5 2 2 6" xfId="26684"/>
    <cellStyle name="20% - Ênfase6 5 2 3 6" xfId="26685"/>
    <cellStyle name="20% - Ênfase6 5 3 6" xfId="26686"/>
    <cellStyle name="20% - Ênfase6 5 4 6" xfId="26687"/>
    <cellStyle name="20% - Ênfase6 5 5 6" xfId="26688"/>
    <cellStyle name="20% - Ênfase6 6 10" xfId="26689"/>
    <cellStyle name="20% - Ênfase6 6 2 8" xfId="26690"/>
    <cellStyle name="20% - Ênfase6 6 2 2 6" xfId="26691"/>
    <cellStyle name="20% - Ênfase6 6 2 3 6" xfId="26692"/>
    <cellStyle name="20% - Ênfase6 6 3 6" xfId="26693"/>
    <cellStyle name="20% - Ênfase6 6 4 6" xfId="26694"/>
    <cellStyle name="20% - Ênfase6 8 8" xfId="26695"/>
    <cellStyle name="20% - Ênfase6 8 2 6" xfId="26696"/>
    <cellStyle name="20% - Ênfase6 8 3 6" xfId="26697"/>
    <cellStyle name="40% - Ênfase1 2 2 11" xfId="26698"/>
    <cellStyle name="40% - Ênfase1 2 2 2 8" xfId="26699"/>
    <cellStyle name="40% - Ênfase1 2 2 2 2 6" xfId="26700"/>
    <cellStyle name="40% - Ênfase1 2 2 2 3 6" xfId="26701"/>
    <cellStyle name="40% - Ênfase1 2 2 3 6" xfId="26702"/>
    <cellStyle name="40% - Ênfase1 2 2 4 6" xfId="26703"/>
    <cellStyle name="40% - Ênfase1 2 2 5 6" xfId="26704"/>
    <cellStyle name="40% - Ênfase1 2 3 10" xfId="26705"/>
    <cellStyle name="40% - Ênfase1 2 3 2 8" xfId="26706"/>
    <cellStyle name="40% - Ênfase1 2 3 2 2 6" xfId="26707"/>
    <cellStyle name="40% - Ênfase1 2 3 2 3 6" xfId="26708"/>
    <cellStyle name="40% - Ênfase1 2 3 3 6" xfId="26709"/>
    <cellStyle name="40% - Ênfase1 2 3 4 6" xfId="26710"/>
    <cellStyle name="40% - Ênfase1 2 5 8" xfId="26711"/>
    <cellStyle name="40% - Ênfase1 2 5 2 6" xfId="26712"/>
    <cellStyle name="40% - Ênfase1 2 5 3 6" xfId="26713"/>
    <cellStyle name="40% - Ênfase1 3 13" xfId="26714"/>
    <cellStyle name="40% - Ênfase1 3 2 10" xfId="26715"/>
    <cellStyle name="40% - Ênfase1 3 2 2 8" xfId="26716"/>
    <cellStyle name="40% - Ênfase1 3 2 2 2 6" xfId="26717"/>
    <cellStyle name="40% - Ênfase1 3 2 2 3 6" xfId="26718"/>
    <cellStyle name="40% - Ênfase1 3 2 3 6" xfId="26719"/>
    <cellStyle name="40% - Ênfase1 3 2 4 6" xfId="26720"/>
    <cellStyle name="40% - Ênfase1 3 3 9" xfId="26721"/>
    <cellStyle name="40% - Ênfase1 3 3 2 6" xfId="26722"/>
    <cellStyle name="40% - Ênfase1 3 3 3 6" xfId="26723"/>
    <cellStyle name="40% - Ênfase1 3 4 8" xfId="26724"/>
    <cellStyle name="40% - Ênfase1 3 4 2 6" xfId="26725"/>
    <cellStyle name="40% - Ênfase1 3 4 3 6" xfId="26726"/>
    <cellStyle name="40% - Ênfase1 3 5 6" xfId="26727"/>
    <cellStyle name="40% - Ênfase1 3 6 6" xfId="26728"/>
    <cellStyle name="40% - Ênfase1 3 7 6" xfId="26729"/>
    <cellStyle name="40% - Ênfase1 4 13" xfId="26730"/>
    <cellStyle name="40% - Ênfase1 4 2 10" xfId="26731"/>
    <cellStyle name="40% - Ênfase1 4 2 2 8" xfId="26732"/>
    <cellStyle name="40% - Ênfase1 4 2 2 2 6" xfId="26733"/>
    <cellStyle name="40% - Ênfase1 4 2 2 3 6" xfId="26734"/>
    <cellStyle name="40% - Ênfase1 4 2 3 6" xfId="26735"/>
    <cellStyle name="40% - Ênfase1 4 2 4 6" xfId="26736"/>
    <cellStyle name="40% - Ênfase1 4 3 9" xfId="26737"/>
    <cellStyle name="40% - Ênfase1 4 3 2 6" xfId="26738"/>
    <cellStyle name="40% - Ênfase1 4 3 3 6" xfId="26739"/>
    <cellStyle name="40% - Ênfase1 4 4 8" xfId="26740"/>
    <cellStyle name="40% - Ênfase1 4 4 2 6" xfId="26741"/>
    <cellStyle name="40% - Ênfase1 4 4 3 6" xfId="26742"/>
    <cellStyle name="40% - Ênfase1 4 5 6" xfId="26743"/>
    <cellStyle name="40% - Ênfase1 4 6 6" xfId="26744"/>
    <cellStyle name="40% - Ênfase1 4 7 6" xfId="26745"/>
    <cellStyle name="40% - Ênfase1 5 11" xfId="26746"/>
    <cellStyle name="40% - Ênfase1 5 2 8" xfId="26747"/>
    <cellStyle name="40% - Ênfase1 5 2 2 6" xfId="26748"/>
    <cellStyle name="40% - Ênfase1 5 2 3 6" xfId="26749"/>
    <cellStyle name="40% - Ênfase1 5 3 6" xfId="26750"/>
    <cellStyle name="40% - Ênfase1 5 4 6" xfId="26751"/>
    <cellStyle name="40% - Ênfase1 5 5 6" xfId="26752"/>
    <cellStyle name="40% - Ênfase1 6 10" xfId="26753"/>
    <cellStyle name="40% - Ênfase1 6 2 8" xfId="26754"/>
    <cellStyle name="40% - Ênfase1 6 2 2 6" xfId="26755"/>
    <cellStyle name="40% - Ênfase1 6 2 3 6" xfId="26756"/>
    <cellStyle name="40% - Ênfase1 6 3 6" xfId="26757"/>
    <cellStyle name="40% - Ênfase1 6 4 6" xfId="26758"/>
    <cellStyle name="40% - Ênfase1 8 8" xfId="26759"/>
    <cellStyle name="40% - Ênfase1 8 2 6" xfId="26760"/>
    <cellStyle name="40% - Ênfase1 8 3 6" xfId="26761"/>
    <cellStyle name="40% - Ênfase2 2 2 11" xfId="26762"/>
    <cellStyle name="40% - Ênfase2 2 2 2 8" xfId="26763"/>
    <cellStyle name="40% - Ênfase2 2 2 2 2 6" xfId="26764"/>
    <cellStyle name="40% - Ênfase2 2 2 2 3 6" xfId="26765"/>
    <cellStyle name="40% - Ênfase2 2 2 3 6" xfId="26766"/>
    <cellStyle name="40% - Ênfase2 2 2 4 6" xfId="26767"/>
    <cellStyle name="40% - Ênfase2 2 2 5 6" xfId="26768"/>
    <cellStyle name="40% - Ênfase2 2 3 10" xfId="26769"/>
    <cellStyle name="40% - Ênfase2 2 3 2 8" xfId="26770"/>
    <cellStyle name="40% - Ênfase2 2 3 2 2 6" xfId="26771"/>
    <cellStyle name="40% - Ênfase2 2 3 2 3 6" xfId="26772"/>
    <cellStyle name="40% - Ênfase2 2 3 3 6" xfId="26773"/>
    <cellStyle name="40% - Ênfase2 2 3 4 6" xfId="26774"/>
    <cellStyle name="40% - Ênfase2 2 5 8" xfId="26775"/>
    <cellStyle name="40% - Ênfase2 2 5 2 6" xfId="26776"/>
    <cellStyle name="40% - Ênfase2 2 5 3 6" xfId="26777"/>
    <cellStyle name="40% - Ênfase2 3 13" xfId="26778"/>
    <cellStyle name="40% - Ênfase2 3 2 10" xfId="26779"/>
    <cellStyle name="40% - Ênfase2 3 2 2 8" xfId="26780"/>
    <cellStyle name="40% - Ênfase2 3 2 2 2 6" xfId="26781"/>
    <cellStyle name="40% - Ênfase2 3 2 2 3 6" xfId="26782"/>
    <cellStyle name="40% - Ênfase2 3 2 3 6" xfId="26783"/>
    <cellStyle name="40% - Ênfase2 3 2 4 6" xfId="26784"/>
    <cellStyle name="40% - Ênfase2 3 3 9" xfId="26785"/>
    <cellStyle name="40% - Ênfase2 3 3 2 6" xfId="26786"/>
    <cellStyle name="40% - Ênfase2 3 3 3 6" xfId="26787"/>
    <cellStyle name="40% - Ênfase2 3 4 8" xfId="26788"/>
    <cellStyle name="40% - Ênfase2 3 4 2 6" xfId="26789"/>
    <cellStyle name="40% - Ênfase2 3 4 3 6" xfId="26790"/>
    <cellStyle name="40% - Ênfase2 3 5 6" xfId="26791"/>
    <cellStyle name="40% - Ênfase2 3 6 6" xfId="26792"/>
    <cellStyle name="40% - Ênfase2 3 7 6" xfId="26793"/>
    <cellStyle name="40% - Ênfase2 4 13" xfId="26794"/>
    <cellStyle name="40% - Ênfase2 4 2 10" xfId="26795"/>
    <cellStyle name="40% - Ênfase2 4 2 2 8" xfId="26796"/>
    <cellStyle name="40% - Ênfase2 4 2 2 2 6" xfId="26797"/>
    <cellStyle name="40% - Ênfase2 4 2 2 3 6" xfId="26798"/>
    <cellStyle name="40% - Ênfase2 4 2 3 6" xfId="26799"/>
    <cellStyle name="40% - Ênfase2 4 2 4 6" xfId="26800"/>
    <cellStyle name="40% - Ênfase2 4 3 9" xfId="26801"/>
    <cellStyle name="40% - Ênfase2 4 3 2 6" xfId="26802"/>
    <cellStyle name="40% - Ênfase2 4 3 3 6" xfId="26803"/>
    <cellStyle name="40% - Ênfase2 4 4 8" xfId="26804"/>
    <cellStyle name="40% - Ênfase2 4 4 2 6" xfId="26805"/>
    <cellStyle name="40% - Ênfase2 4 4 3 6" xfId="26806"/>
    <cellStyle name="40% - Ênfase2 4 5 6" xfId="26807"/>
    <cellStyle name="40% - Ênfase2 4 6 6" xfId="26808"/>
    <cellStyle name="40% - Ênfase2 4 7 6" xfId="26809"/>
    <cellStyle name="40% - Ênfase2 5 11" xfId="26810"/>
    <cellStyle name="40% - Ênfase2 5 2 8" xfId="26811"/>
    <cellStyle name="40% - Ênfase2 5 2 2 6" xfId="26812"/>
    <cellStyle name="40% - Ênfase2 5 2 3 6" xfId="26813"/>
    <cellStyle name="40% - Ênfase2 5 3 6" xfId="26814"/>
    <cellStyle name="40% - Ênfase2 5 4 6" xfId="26815"/>
    <cellStyle name="40% - Ênfase2 5 5 6" xfId="26816"/>
    <cellStyle name="40% - Ênfase2 6 10" xfId="26817"/>
    <cellStyle name="40% - Ênfase2 6 2 8" xfId="26818"/>
    <cellStyle name="40% - Ênfase2 6 2 2 6" xfId="26819"/>
    <cellStyle name="40% - Ênfase2 6 2 3 6" xfId="26820"/>
    <cellStyle name="40% - Ênfase2 6 3 6" xfId="26821"/>
    <cellStyle name="40% - Ênfase2 6 4 6" xfId="26822"/>
    <cellStyle name="40% - Ênfase2 8 8" xfId="26823"/>
    <cellStyle name="40% - Ênfase2 8 2 6" xfId="26824"/>
    <cellStyle name="40% - Ênfase2 8 3 6" xfId="26825"/>
    <cellStyle name="40% - Ênfase3 2 2 11" xfId="26826"/>
    <cellStyle name="40% - Ênfase3 2 2 2 8" xfId="26827"/>
    <cellStyle name="40% - Ênfase3 2 2 2 2 6" xfId="26828"/>
    <cellStyle name="40% - Ênfase3 2 2 2 3 6" xfId="26829"/>
    <cellStyle name="40% - Ênfase3 2 2 3 6" xfId="26830"/>
    <cellStyle name="40% - Ênfase3 2 2 4 6" xfId="26831"/>
    <cellStyle name="40% - Ênfase3 2 2 5 6" xfId="26832"/>
    <cellStyle name="40% - Ênfase3 2 3 10" xfId="26833"/>
    <cellStyle name="40% - Ênfase3 2 3 2 8" xfId="26834"/>
    <cellStyle name="40% - Ênfase3 2 3 2 2 6" xfId="26835"/>
    <cellStyle name="40% - Ênfase3 2 3 2 3 6" xfId="26836"/>
    <cellStyle name="40% - Ênfase3 2 3 3 6" xfId="26837"/>
    <cellStyle name="40% - Ênfase3 2 3 4 6" xfId="26838"/>
    <cellStyle name="40% - Ênfase3 2 5 8" xfId="26839"/>
    <cellStyle name="40% - Ênfase3 2 5 2 6" xfId="26840"/>
    <cellStyle name="40% - Ênfase3 2 5 3 6" xfId="26841"/>
    <cellStyle name="40% - Ênfase3 3 13" xfId="26842"/>
    <cellStyle name="40% - Ênfase3 3 2 10" xfId="26843"/>
    <cellStyle name="40% - Ênfase3 3 2 2 8" xfId="26844"/>
    <cellStyle name="40% - Ênfase3 3 2 2 2 6" xfId="26845"/>
    <cellStyle name="40% - Ênfase3 3 2 2 3 6" xfId="26846"/>
    <cellStyle name="40% - Ênfase3 3 2 3 6" xfId="26847"/>
    <cellStyle name="40% - Ênfase3 3 2 4 6" xfId="26848"/>
    <cellStyle name="40% - Ênfase3 3 3 9" xfId="26849"/>
    <cellStyle name="40% - Ênfase3 3 3 2 6" xfId="26850"/>
    <cellStyle name="40% - Ênfase3 3 3 3 6" xfId="26851"/>
    <cellStyle name="40% - Ênfase3 3 4 8" xfId="26852"/>
    <cellStyle name="40% - Ênfase3 3 4 2 6" xfId="26853"/>
    <cellStyle name="40% - Ênfase3 3 4 3 6" xfId="26854"/>
    <cellStyle name="40% - Ênfase3 3 5 6" xfId="26855"/>
    <cellStyle name="40% - Ênfase3 3 6 6" xfId="26856"/>
    <cellStyle name="40% - Ênfase3 3 7 6" xfId="26857"/>
    <cellStyle name="40% - Ênfase3 4 13" xfId="26858"/>
    <cellStyle name="40% - Ênfase3 4 2 10" xfId="26859"/>
    <cellStyle name="40% - Ênfase3 4 2 2 8" xfId="26860"/>
    <cellStyle name="40% - Ênfase3 4 2 2 2 6" xfId="26861"/>
    <cellStyle name="40% - Ênfase3 4 2 2 3 6" xfId="26862"/>
    <cellStyle name="40% - Ênfase3 4 2 3 6" xfId="26863"/>
    <cellStyle name="40% - Ênfase3 4 2 4 6" xfId="26864"/>
    <cellStyle name="40% - Ênfase3 4 3 9" xfId="26865"/>
    <cellStyle name="40% - Ênfase3 4 3 2 6" xfId="26866"/>
    <cellStyle name="40% - Ênfase3 4 3 3 6" xfId="26867"/>
    <cellStyle name="40% - Ênfase3 4 4 8" xfId="26868"/>
    <cellStyle name="40% - Ênfase3 4 4 2 6" xfId="26869"/>
    <cellStyle name="40% - Ênfase3 4 4 3 6" xfId="26870"/>
    <cellStyle name="40% - Ênfase3 4 5 6" xfId="26871"/>
    <cellStyle name="40% - Ênfase3 4 6 6" xfId="26872"/>
    <cellStyle name="40% - Ênfase3 4 7 6" xfId="26873"/>
    <cellStyle name="40% - Ênfase3 5 11" xfId="26874"/>
    <cellStyle name="40% - Ênfase3 5 2 8" xfId="26875"/>
    <cellStyle name="40% - Ênfase3 5 2 2 6" xfId="26876"/>
    <cellStyle name="40% - Ênfase3 5 2 3 6" xfId="26877"/>
    <cellStyle name="40% - Ênfase3 5 3 6" xfId="26878"/>
    <cellStyle name="40% - Ênfase3 5 4 6" xfId="26879"/>
    <cellStyle name="40% - Ênfase3 5 5 6" xfId="26880"/>
    <cellStyle name="40% - Ênfase3 6 10" xfId="26881"/>
    <cellStyle name="40% - Ênfase3 6 2 8" xfId="26882"/>
    <cellStyle name="40% - Ênfase3 6 2 2 6" xfId="26883"/>
    <cellStyle name="40% - Ênfase3 6 2 3 6" xfId="26884"/>
    <cellStyle name="40% - Ênfase3 6 3 6" xfId="26885"/>
    <cellStyle name="40% - Ênfase3 6 4 6" xfId="26886"/>
    <cellStyle name="40% - Ênfase3 8 8" xfId="26887"/>
    <cellStyle name="40% - Ênfase3 8 2 6" xfId="26888"/>
    <cellStyle name="40% - Ênfase3 8 3 6" xfId="26889"/>
    <cellStyle name="40% - Ênfase4 2 2 11" xfId="26890"/>
    <cellStyle name="40% - Ênfase4 2 2 2 8" xfId="26891"/>
    <cellStyle name="40% - Ênfase4 2 2 2 2 6" xfId="26892"/>
    <cellStyle name="40% - Ênfase4 2 2 2 3 6" xfId="26893"/>
    <cellStyle name="40% - Ênfase4 2 2 3 6" xfId="26894"/>
    <cellStyle name="40% - Ênfase4 2 2 4 6" xfId="26895"/>
    <cellStyle name="40% - Ênfase4 2 2 5 6" xfId="26896"/>
    <cellStyle name="40% - Ênfase4 2 3 10" xfId="26897"/>
    <cellStyle name="40% - Ênfase4 2 3 2 8" xfId="26898"/>
    <cellStyle name="40% - Ênfase4 2 3 2 2 6" xfId="26899"/>
    <cellStyle name="40% - Ênfase4 2 3 2 3 6" xfId="26900"/>
    <cellStyle name="40% - Ênfase4 2 3 3 6" xfId="26901"/>
    <cellStyle name="40% - Ênfase4 2 3 4 6" xfId="26902"/>
    <cellStyle name="40% - Ênfase4 2 5 8" xfId="26903"/>
    <cellStyle name="40% - Ênfase4 2 5 2 6" xfId="26904"/>
    <cellStyle name="40% - Ênfase4 2 5 3 6" xfId="26905"/>
    <cellStyle name="40% - Ênfase4 3 13" xfId="26906"/>
    <cellStyle name="40% - Ênfase4 3 2 10" xfId="26907"/>
    <cellStyle name="40% - Ênfase4 3 2 2 8" xfId="26908"/>
    <cellStyle name="40% - Ênfase4 3 2 2 2 6" xfId="26909"/>
    <cellStyle name="40% - Ênfase4 3 2 2 3 6" xfId="26910"/>
    <cellStyle name="40% - Ênfase4 3 2 3 6" xfId="26911"/>
    <cellStyle name="40% - Ênfase4 3 2 4 6" xfId="26912"/>
    <cellStyle name="40% - Ênfase4 3 3 9" xfId="26913"/>
    <cellStyle name="40% - Ênfase4 3 3 2 6" xfId="26914"/>
    <cellStyle name="40% - Ênfase4 3 3 3 6" xfId="26915"/>
    <cellStyle name="40% - Ênfase4 3 4 8" xfId="26916"/>
    <cellStyle name="40% - Ênfase4 3 4 2 6" xfId="26917"/>
    <cellStyle name="40% - Ênfase4 3 4 3 6" xfId="26918"/>
    <cellStyle name="40% - Ênfase4 3 5 6" xfId="26919"/>
    <cellStyle name="40% - Ênfase4 3 6 6" xfId="26920"/>
    <cellStyle name="40% - Ênfase4 3 7 6" xfId="26921"/>
    <cellStyle name="40% - Ênfase4 4 13" xfId="26922"/>
    <cellStyle name="40% - Ênfase4 4 2 10" xfId="26923"/>
    <cellStyle name="40% - Ênfase4 4 2 2 8" xfId="26924"/>
    <cellStyle name="40% - Ênfase4 4 2 2 2 6" xfId="26925"/>
    <cellStyle name="40% - Ênfase4 4 2 2 3 6" xfId="26926"/>
    <cellStyle name="40% - Ênfase4 4 2 3 6" xfId="26927"/>
    <cellStyle name="40% - Ênfase4 4 2 4 6" xfId="26928"/>
    <cellStyle name="40% - Ênfase4 4 3 9" xfId="26929"/>
    <cellStyle name="40% - Ênfase4 4 3 2 6" xfId="26930"/>
    <cellStyle name="40% - Ênfase4 4 3 3 6" xfId="26931"/>
    <cellStyle name="40% - Ênfase4 4 4 8" xfId="26932"/>
    <cellStyle name="40% - Ênfase4 4 4 2 6" xfId="26933"/>
    <cellStyle name="40% - Ênfase4 4 4 3 6" xfId="26934"/>
    <cellStyle name="40% - Ênfase4 4 5 6" xfId="26935"/>
    <cellStyle name="40% - Ênfase4 4 6 6" xfId="26936"/>
    <cellStyle name="40% - Ênfase4 4 7 6" xfId="26937"/>
    <cellStyle name="40% - Ênfase4 5 11" xfId="26938"/>
    <cellStyle name="40% - Ênfase4 5 2 8" xfId="26939"/>
    <cellStyle name="40% - Ênfase4 5 2 2 6" xfId="26940"/>
    <cellStyle name="40% - Ênfase4 5 2 3 6" xfId="26941"/>
    <cellStyle name="40% - Ênfase4 5 3 6" xfId="26942"/>
    <cellStyle name="40% - Ênfase4 5 4 6" xfId="26943"/>
    <cellStyle name="40% - Ênfase4 5 5 6" xfId="26944"/>
    <cellStyle name="40% - Ênfase4 6 10" xfId="26945"/>
    <cellStyle name="40% - Ênfase4 6 2 8" xfId="26946"/>
    <cellStyle name="40% - Ênfase4 6 2 2 6" xfId="26947"/>
    <cellStyle name="40% - Ênfase4 6 2 3 6" xfId="26948"/>
    <cellStyle name="40% - Ênfase4 6 3 6" xfId="26949"/>
    <cellStyle name="40% - Ênfase4 6 4 6" xfId="26950"/>
    <cellStyle name="40% - Ênfase4 8 8" xfId="26951"/>
    <cellStyle name="40% - Ênfase4 8 2 6" xfId="26952"/>
    <cellStyle name="40% - Ênfase4 8 3 6" xfId="26953"/>
    <cellStyle name="40% - Ênfase5 2 2 11" xfId="26954"/>
    <cellStyle name="40% - Ênfase5 2 2 2 8" xfId="26955"/>
    <cellStyle name="40% - Ênfase5 2 2 2 2 6" xfId="26956"/>
    <cellStyle name="40% - Ênfase5 2 2 2 3 6" xfId="26957"/>
    <cellStyle name="40% - Ênfase5 2 2 3 6" xfId="26958"/>
    <cellStyle name="40% - Ênfase5 2 2 4 6" xfId="26959"/>
    <cellStyle name="40% - Ênfase5 2 2 5 6" xfId="26960"/>
    <cellStyle name="40% - Ênfase5 2 3 10" xfId="26961"/>
    <cellStyle name="40% - Ênfase5 2 3 2 8" xfId="26962"/>
    <cellStyle name="40% - Ênfase5 2 3 2 2 6" xfId="26963"/>
    <cellStyle name="40% - Ênfase5 2 3 2 3 6" xfId="26964"/>
    <cellStyle name="40% - Ênfase5 2 3 3 6" xfId="26965"/>
    <cellStyle name="40% - Ênfase5 2 3 4 6" xfId="26966"/>
    <cellStyle name="40% - Ênfase5 2 5 8" xfId="26967"/>
    <cellStyle name="40% - Ênfase5 2 5 2 6" xfId="26968"/>
    <cellStyle name="40% - Ênfase5 2 5 3 6" xfId="26969"/>
    <cellStyle name="40% - Ênfase5 3 13" xfId="26970"/>
    <cellStyle name="40% - Ênfase5 3 2 10" xfId="26971"/>
    <cellStyle name="40% - Ênfase5 3 2 2 8" xfId="26972"/>
    <cellStyle name="40% - Ênfase5 3 2 2 2 6" xfId="26973"/>
    <cellStyle name="40% - Ênfase5 3 2 2 3 6" xfId="26974"/>
    <cellStyle name="40% - Ênfase5 3 2 3 6" xfId="26975"/>
    <cellStyle name="40% - Ênfase5 3 2 4 6" xfId="26976"/>
    <cellStyle name="40% - Ênfase5 3 3 9" xfId="26977"/>
    <cellStyle name="40% - Ênfase5 3 3 2 6" xfId="26978"/>
    <cellStyle name="40% - Ênfase5 3 3 3 6" xfId="26979"/>
    <cellStyle name="40% - Ênfase5 3 4 8" xfId="26980"/>
    <cellStyle name="40% - Ênfase5 3 4 2 6" xfId="26981"/>
    <cellStyle name="40% - Ênfase5 3 4 3 6" xfId="26982"/>
    <cellStyle name="40% - Ênfase5 3 5 6" xfId="26983"/>
    <cellStyle name="40% - Ênfase5 3 6 6" xfId="26984"/>
    <cellStyle name="40% - Ênfase5 3 7 6" xfId="26985"/>
    <cellStyle name="40% - Ênfase5 4 13" xfId="26986"/>
    <cellStyle name="40% - Ênfase5 4 2 10" xfId="26987"/>
    <cellStyle name="40% - Ênfase5 4 2 2 8" xfId="26988"/>
    <cellStyle name="40% - Ênfase5 4 2 2 2 6" xfId="26989"/>
    <cellStyle name="40% - Ênfase5 4 2 2 3 6" xfId="26990"/>
    <cellStyle name="40% - Ênfase5 4 2 3 6" xfId="26991"/>
    <cellStyle name="40% - Ênfase5 4 2 4 6" xfId="26992"/>
    <cellStyle name="40% - Ênfase5 4 3 9" xfId="26993"/>
    <cellStyle name="40% - Ênfase5 4 3 2 6" xfId="26994"/>
    <cellStyle name="40% - Ênfase5 4 3 3 6" xfId="26995"/>
    <cellStyle name="40% - Ênfase5 4 4 8" xfId="26996"/>
    <cellStyle name="40% - Ênfase5 4 4 2 6" xfId="26997"/>
    <cellStyle name="40% - Ênfase5 4 4 3 6" xfId="26998"/>
    <cellStyle name="40% - Ênfase5 4 5 6" xfId="26999"/>
    <cellStyle name="40% - Ênfase5 4 6 6" xfId="27000"/>
    <cellStyle name="40% - Ênfase5 4 7 6" xfId="27001"/>
    <cellStyle name="40% - Ênfase5 5 11" xfId="27002"/>
    <cellStyle name="40% - Ênfase5 5 2 8" xfId="27003"/>
    <cellStyle name="40% - Ênfase5 5 2 2 6" xfId="27004"/>
    <cellStyle name="40% - Ênfase5 5 2 3 6" xfId="27005"/>
    <cellStyle name="40% - Ênfase5 5 3 6" xfId="27006"/>
    <cellStyle name="40% - Ênfase5 5 4 6" xfId="27007"/>
    <cellStyle name="40% - Ênfase5 5 5 6" xfId="27008"/>
    <cellStyle name="40% - Ênfase5 6 10" xfId="27009"/>
    <cellStyle name="40% - Ênfase5 6 2 8" xfId="27010"/>
    <cellStyle name="40% - Ênfase5 6 2 2 6" xfId="27011"/>
    <cellStyle name="40% - Ênfase5 6 2 3 6" xfId="27012"/>
    <cellStyle name="40% - Ênfase5 6 3 6" xfId="27013"/>
    <cellStyle name="40% - Ênfase5 6 4 6" xfId="27014"/>
    <cellStyle name="40% - Ênfase5 8 8" xfId="27015"/>
    <cellStyle name="40% - Ênfase5 8 2 6" xfId="27016"/>
    <cellStyle name="40% - Ênfase5 8 3 6" xfId="27017"/>
    <cellStyle name="40% - Ênfase6 2 2 11" xfId="27018"/>
    <cellStyle name="40% - Ênfase6 2 2 2 8" xfId="27019"/>
    <cellStyle name="40% - Ênfase6 2 2 2 2 6" xfId="27020"/>
    <cellStyle name="40% - Ênfase6 2 2 2 3 6" xfId="27021"/>
    <cellStyle name="40% - Ênfase6 2 2 3 6" xfId="27022"/>
    <cellStyle name="40% - Ênfase6 2 2 4 6" xfId="27023"/>
    <cellStyle name="40% - Ênfase6 2 2 5 6" xfId="27024"/>
    <cellStyle name="40% - Ênfase6 2 3 10" xfId="27025"/>
    <cellStyle name="40% - Ênfase6 2 3 2 8" xfId="27026"/>
    <cellStyle name="40% - Ênfase6 2 3 2 2 6" xfId="27027"/>
    <cellStyle name="40% - Ênfase6 2 3 2 3 6" xfId="27028"/>
    <cellStyle name="40% - Ênfase6 2 3 3 6" xfId="27029"/>
    <cellStyle name="40% - Ênfase6 2 3 4 6" xfId="27030"/>
    <cellStyle name="40% - Ênfase6 2 5 8" xfId="27031"/>
    <cellStyle name="40% - Ênfase6 2 5 2 6" xfId="27032"/>
    <cellStyle name="40% - Ênfase6 2 5 3 6" xfId="27033"/>
    <cellStyle name="40% - Ênfase6 3 13" xfId="27034"/>
    <cellStyle name="40% - Ênfase6 3 2 10" xfId="27035"/>
    <cellStyle name="40% - Ênfase6 3 2 2 8" xfId="27036"/>
    <cellStyle name="40% - Ênfase6 3 2 2 2 6" xfId="27037"/>
    <cellStyle name="40% - Ênfase6 3 2 2 3 6" xfId="27038"/>
    <cellStyle name="40% - Ênfase6 3 2 3 6" xfId="27039"/>
    <cellStyle name="40% - Ênfase6 3 2 4 6" xfId="27040"/>
    <cellStyle name="40% - Ênfase6 3 3 9" xfId="27041"/>
    <cellStyle name="40% - Ênfase6 3 3 2 6" xfId="27042"/>
    <cellStyle name="40% - Ênfase6 3 3 3 6" xfId="27043"/>
    <cellStyle name="40% - Ênfase6 3 4 8" xfId="27044"/>
    <cellStyle name="40% - Ênfase6 3 4 2 6" xfId="27045"/>
    <cellStyle name="40% - Ênfase6 3 4 3 6" xfId="27046"/>
    <cellStyle name="40% - Ênfase6 3 5 6" xfId="27047"/>
    <cellStyle name="40% - Ênfase6 3 6 6" xfId="27048"/>
    <cellStyle name="40% - Ênfase6 3 7 6" xfId="27049"/>
    <cellStyle name="40% - Ênfase6 4 13" xfId="27050"/>
    <cellStyle name="40% - Ênfase6 4 2 10" xfId="27051"/>
    <cellStyle name="40% - Ênfase6 4 2 2 8" xfId="27052"/>
    <cellStyle name="40% - Ênfase6 4 2 2 2 6" xfId="27053"/>
    <cellStyle name="40% - Ênfase6 4 2 2 3 6" xfId="27054"/>
    <cellStyle name="40% - Ênfase6 4 2 3 6" xfId="27055"/>
    <cellStyle name="40% - Ênfase6 4 2 4 6" xfId="27056"/>
    <cellStyle name="40% - Ênfase6 4 3 9" xfId="27057"/>
    <cellStyle name="40% - Ênfase6 4 3 2 6" xfId="27058"/>
    <cellStyle name="40% - Ênfase6 4 3 3 6" xfId="27059"/>
    <cellStyle name="40% - Ênfase6 4 4 8" xfId="27060"/>
    <cellStyle name="40% - Ênfase6 4 4 2 6" xfId="27061"/>
    <cellStyle name="40% - Ênfase6 4 4 3 6" xfId="27062"/>
    <cellStyle name="40% - Ênfase6 4 5 6" xfId="27063"/>
    <cellStyle name="40% - Ênfase6 4 6 6" xfId="27064"/>
    <cellStyle name="40% - Ênfase6 4 7 6" xfId="27065"/>
    <cellStyle name="40% - Ênfase6 5 11" xfId="27066"/>
    <cellStyle name="40% - Ênfase6 5 2 8" xfId="27067"/>
    <cellStyle name="40% - Ênfase6 5 2 2 6" xfId="27068"/>
    <cellStyle name="40% - Ênfase6 5 2 3 6" xfId="27069"/>
    <cellStyle name="40% - Ênfase6 5 3 6" xfId="27070"/>
    <cellStyle name="40% - Ênfase6 5 4 6" xfId="27071"/>
    <cellStyle name="40% - Ênfase6 5 5 6" xfId="27072"/>
    <cellStyle name="40% - Ênfase6 6 10" xfId="27073"/>
    <cellStyle name="40% - Ênfase6 6 2 8" xfId="27074"/>
    <cellStyle name="40% - Ênfase6 6 2 2 6" xfId="27075"/>
    <cellStyle name="40% - Ênfase6 6 2 3 6" xfId="27076"/>
    <cellStyle name="40% - Ênfase6 6 3 6" xfId="27077"/>
    <cellStyle name="40% - Ênfase6 6 4 6" xfId="27078"/>
    <cellStyle name="40% - Ênfase6 8 8" xfId="27079"/>
    <cellStyle name="40% - Ênfase6 8 2 6" xfId="27080"/>
    <cellStyle name="40% - Ênfase6 8 3 6" xfId="27081"/>
    <cellStyle name="Normal 3 3 9 3" xfId="27082"/>
    <cellStyle name="Normal 3 3 2 6" xfId="27083"/>
    <cellStyle name="Normal 3 3 3 6" xfId="27084"/>
    <cellStyle name="Normal 3 4 6" xfId="27085"/>
    <cellStyle name="Normal 3 5 6" xfId="27086"/>
    <cellStyle name="Normal 3 6 6" xfId="27087"/>
    <cellStyle name="Normal 4 2 11 3" xfId="27088"/>
    <cellStyle name="Normal 4 2 2 8" xfId="27089"/>
    <cellStyle name="Normal 4 2 2 2 6" xfId="27090"/>
    <cellStyle name="Normal 4 2 2 3 6" xfId="27091"/>
    <cellStyle name="Normal 4 2 3 6" xfId="27092"/>
    <cellStyle name="Normal 4 2 4 6" xfId="27093"/>
    <cellStyle name="Normal 4 2 5 6" xfId="27094"/>
    <cellStyle name="Normal 4 3 10" xfId="27095"/>
    <cellStyle name="Normal 4 3 2 8" xfId="27096"/>
    <cellStyle name="Normal 4 3 2 2 6" xfId="27097"/>
    <cellStyle name="Normal 4 3 2 3 6" xfId="27098"/>
    <cellStyle name="Normal 4 3 3 6" xfId="27099"/>
    <cellStyle name="Normal 4 3 4 6" xfId="27100"/>
    <cellStyle name="Normal 4 5 8" xfId="27101"/>
    <cellStyle name="Normal 4 5 2 6" xfId="27102"/>
    <cellStyle name="Normal 4 5 3 6" xfId="27103"/>
    <cellStyle name="Normal 5 2 12 3" xfId="27104"/>
    <cellStyle name="Normal 5 2 2 8" xfId="27105"/>
    <cellStyle name="Normal 5 2 2 2 6" xfId="27106"/>
    <cellStyle name="Normal 5 2 2 3 6" xfId="27107"/>
    <cellStyle name="Normal 5 2 3 6" xfId="27108"/>
    <cellStyle name="Normal 5 2 4 6" xfId="27109"/>
    <cellStyle name="Normal 5 2 5 6" xfId="27110"/>
    <cellStyle name="Normal 5 3 10 3" xfId="27111"/>
    <cellStyle name="Normal 5 3 2 8" xfId="27112"/>
    <cellStyle name="Normal 5 3 2 2 6" xfId="27113"/>
    <cellStyle name="Normal 5 3 2 3 6" xfId="27114"/>
    <cellStyle name="Normal 5 3 3 6" xfId="27115"/>
    <cellStyle name="Normal 5 3 4 6" xfId="27116"/>
    <cellStyle name="Normal 5 5 8" xfId="27117"/>
    <cellStyle name="Normal 5 5 2 6" xfId="27118"/>
    <cellStyle name="Normal 5 5 3 6" xfId="27119"/>
    <cellStyle name="Normal 6 4 6 3" xfId="27120"/>
    <cellStyle name="Normal 7 2 6 5" xfId="27121"/>
    <cellStyle name="Normal 7 2 2 4 5" xfId="27122"/>
    <cellStyle name="Normal 7 2 2 2 6" xfId="27123"/>
    <cellStyle name="Normal 7 2 2 3 6" xfId="27124"/>
    <cellStyle name="Normal 7 2 3 6 3" xfId="27125"/>
    <cellStyle name="Normal 7 2 4 6" xfId="27126"/>
    <cellStyle name="Normal 7 2 5 6" xfId="27127"/>
    <cellStyle name="Normal 7 3 5 5" xfId="27128"/>
    <cellStyle name="Normal 7 3 2 8" xfId="27129"/>
    <cellStyle name="Normal 7 3 2 2 6" xfId="27130"/>
    <cellStyle name="Normal 7 3 2 3 6" xfId="27131"/>
    <cellStyle name="Normal 7 3 3 6" xfId="27132"/>
    <cellStyle name="Normal 7 3 4 6" xfId="27133"/>
    <cellStyle name="Normal 7 5 8" xfId="27134"/>
    <cellStyle name="Normal 7 5 2 6" xfId="27135"/>
    <cellStyle name="Normal 7 5 3 6" xfId="27136"/>
    <cellStyle name="Normal 8 9 5" xfId="27137"/>
    <cellStyle name="Normal 8 2 5 5" xfId="27138"/>
    <cellStyle name="Normal 8 2 2 4 5" xfId="27139"/>
    <cellStyle name="Normal 8 2 2 2 6" xfId="27140"/>
    <cellStyle name="Normal 8 2 2 3 6" xfId="27141"/>
    <cellStyle name="Normal 8 2 3 6 3" xfId="27142"/>
    <cellStyle name="Normal 8 2 4 6" xfId="27143"/>
    <cellStyle name="Normal 8 3 4 5" xfId="27144"/>
    <cellStyle name="Normal 8 3 2 2 5" xfId="27145"/>
    <cellStyle name="Normal 8 3 3 6" xfId="27146"/>
    <cellStyle name="Normal 8 4 4 5" xfId="27147"/>
    <cellStyle name="Normal 8 4 2 2 5" xfId="27148"/>
    <cellStyle name="Normal 8 4 3 6" xfId="27149"/>
    <cellStyle name="Normal 8 5 4 4" xfId="27150"/>
    <cellStyle name="Normal 8 6 2 5" xfId="27151"/>
    <cellStyle name="Normal 8 7 6" xfId="27152"/>
    <cellStyle name="Nota 2 2 11 3" xfId="27153"/>
    <cellStyle name="Nota 2 2 2 8" xfId="27154"/>
    <cellStyle name="Nota 2 2 2 2 6" xfId="27155"/>
    <cellStyle name="Nota 2 2 2 3 6" xfId="27156"/>
    <cellStyle name="Nota 2 2 3 6" xfId="27157"/>
    <cellStyle name="Nota 2 2 4 6" xfId="27158"/>
    <cellStyle name="Nota 2 2 5 6" xfId="27159"/>
    <cellStyle name="Nota 2 3 10 3" xfId="27160"/>
    <cellStyle name="Nota 2 3 2 8" xfId="27161"/>
    <cellStyle name="Nota 2 3 2 2 6" xfId="27162"/>
    <cellStyle name="Nota 2 3 2 3 6" xfId="27163"/>
    <cellStyle name="Nota 2 3 3 6" xfId="27164"/>
    <cellStyle name="Nota 2 3 4 6" xfId="27165"/>
    <cellStyle name="Nota 2 5 8 3" xfId="27166"/>
    <cellStyle name="Nota 2 5 2 6" xfId="27167"/>
    <cellStyle name="Nota 2 5 3 6" xfId="27168"/>
    <cellStyle name="Nota 3 2 11 3" xfId="27169"/>
    <cellStyle name="Nota 3 2 2 8" xfId="27170"/>
    <cellStyle name="Nota 3 2 2 2 6" xfId="27171"/>
    <cellStyle name="Nota 3 2 2 3 6" xfId="27172"/>
    <cellStyle name="Nota 3 2 3 6" xfId="27173"/>
    <cellStyle name="Nota 3 2 4 6" xfId="27174"/>
    <cellStyle name="Nota 3 2 5 6" xfId="27175"/>
    <cellStyle name="Nota 3 3 10 3" xfId="27176"/>
    <cellStyle name="Nota 3 3 2 8" xfId="27177"/>
    <cellStyle name="Nota 3 3 2 2 6" xfId="27178"/>
    <cellStyle name="Nota 3 3 2 3 6" xfId="27179"/>
    <cellStyle name="Nota 3 3 3 6" xfId="27180"/>
    <cellStyle name="Nota 3 3 4 6" xfId="27181"/>
    <cellStyle name="Nota 3 5 8 3" xfId="27182"/>
    <cellStyle name="Nota 3 5 2 6" xfId="27183"/>
    <cellStyle name="Nota 3 5 3 6" xfId="27184"/>
    <cellStyle name="Nota 4 8 5" xfId="27185"/>
    <cellStyle name="Nota 4 2 10" xfId="27186"/>
    <cellStyle name="Nota 4 2 2 8" xfId="27187"/>
    <cellStyle name="Nota 4 2 2 2 6" xfId="27188"/>
    <cellStyle name="Nota 4 2 2 3 6" xfId="27189"/>
    <cellStyle name="Nota 4 2 3 6" xfId="27190"/>
    <cellStyle name="Nota 4 2 4 6" xfId="27191"/>
    <cellStyle name="Nota 4 3 9" xfId="27192"/>
    <cellStyle name="Nota 4 3 2 6" xfId="27193"/>
    <cellStyle name="Nota 4 3 3 6" xfId="27194"/>
    <cellStyle name="Nota 4 4 8" xfId="27195"/>
    <cellStyle name="Nota 4 4 2 6" xfId="27196"/>
    <cellStyle name="Nota 4 4 3 6" xfId="27197"/>
    <cellStyle name="Nota 4 5 6" xfId="27198"/>
    <cellStyle name="Nota 4 6 6" xfId="27199"/>
    <cellStyle name="Nota 4 7 6" xfId="27200"/>
    <cellStyle name="Nota 5 13 3" xfId="27201"/>
    <cellStyle name="Nota 5 2 10" xfId="27202"/>
    <cellStyle name="Nota 5 2 2 8" xfId="27203"/>
    <cellStyle name="Nota 5 2 2 2 6" xfId="27204"/>
    <cellStyle name="Nota 5 2 2 3 6" xfId="27205"/>
    <cellStyle name="Nota 5 2 3 6" xfId="27206"/>
    <cellStyle name="Nota 5 2 4 6" xfId="27207"/>
    <cellStyle name="Nota 5 3 9" xfId="27208"/>
    <cellStyle name="Nota 5 3 2 6" xfId="27209"/>
    <cellStyle name="Nota 5 3 3 6" xfId="27210"/>
    <cellStyle name="Nota 5 4 8" xfId="27211"/>
    <cellStyle name="Nota 5 4 2 6" xfId="27212"/>
    <cellStyle name="Nota 5 4 3 6" xfId="27213"/>
    <cellStyle name="Nota 5 5 6" xfId="27214"/>
    <cellStyle name="Nota 5 6 6" xfId="27215"/>
    <cellStyle name="Nota 5 7 6" xfId="27216"/>
    <cellStyle name="Separador de milhares 2 2 4 5" xfId="27217"/>
    <cellStyle name="Separador de milhares 2 2 2 5" xfId="27218"/>
    <cellStyle name="Separador de milhares 2 2 3 5" xfId="27219"/>
    <cellStyle name="Separador de milhares 2 3 2 5" xfId="27220"/>
    <cellStyle name="Separador de milhares 2 4 5" xfId="27221"/>
    <cellStyle name="Separador de milhares 2 5 5" xfId="27222"/>
    <cellStyle name="Separador de milhares 2 6 5" xfId="27223"/>
    <cellStyle name="Separador de milhares 3 2 4 5" xfId="27224"/>
    <cellStyle name="Separador de milhares 3 2 2 5" xfId="27225"/>
    <cellStyle name="Separador de milhares 3 2 3 5" xfId="27226"/>
    <cellStyle name="Separador de milhares 3 4 2 5" xfId="27227"/>
    <cellStyle name="Separador de milhares 4 4 5" xfId="27228"/>
    <cellStyle name="Separador de milhares 4 2 3 5" xfId="27229"/>
    <cellStyle name="Separador de milhares 4 2 2 5" xfId="27230"/>
    <cellStyle name="Separador de milhares 4 3 2 5" xfId="27231"/>
    <cellStyle name="Separador de milhares 5 2 3 5" xfId="27232"/>
    <cellStyle name="Separador de milhares 5 2 2 5" xfId="27233"/>
    <cellStyle name="Separador de milhares 5 3 2 5" xfId="27234"/>
    <cellStyle name="Separador de milhares 5 4 5" xfId="27235"/>
    <cellStyle name="Separador de milhares 6 5 5" xfId="27236"/>
    <cellStyle name="Separador de milhares 6 2 3 5" xfId="27237"/>
    <cellStyle name="Separador de milhares 6 2 2 5" xfId="27238"/>
    <cellStyle name="Separador de milhares 6 3 2 5" xfId="27239"/>
    <cellStyle name="Separador de milhares 6 4 5" xfId="27240"/>
    <cellStyle name="Separador de milhares 7 3 2 4" xfId="27241"/>
    <cellStyle name="Vírgula 2 6 5" xfId="27242"/>
    <cellStyle name="Vírgula 2 2 8" xfId="27243"/>
    <cellStyle name="Vírgula 2 2 2 5" xfId="27244"/>
    <cellStyle name="Vírgula 2 3 7" xfId="27245"/>
    <cellStyle name="Vírgula 2 3 2 5" xfId="27246"/>
    <cellStyle name="Vírgula 2 4 5" xfId="27247"/>
    <cellStyle name="Vírgula 2 5 5" xfId="27248"/>
    <cellStyle name="Vírgula 3 4 5" xfId="27249"/>
    <cellStyle name="Vírgula 3 2 6" xfId="27250"/>
    <cellStyle name="Vírgula 3 3 5" xfId="27251"/>
    <cellStyle name="Vírgula 4 4 5" xfId="27252"/>
    <cellStyle name="Vírgula 4 2 3 4" xfId="27253"/>
    <cellStyle name="Vírgula 4 2 2 2 5" xfId="27254"/>
    <cellStyle name="Vírgula 4 3 6" xfId="27255"/>
    <cellStyle name="Vírgula 5 3 5" xfId="27256"/>
    <cellStyle name="Vírgula 5 2 5" xfId="27257"/>
    <cellStyle name="Vírgula 6 2 4" xfId="27258"/>
    <cellStyle name="Vírgula 8 2 2 5" xfId="27259"/>
    <cellStyle name="Vírgula 9 2 4" xfId="27260"/>
    <cellStyle name="Comma 4 3 4" xfId="27261"/>
    <cellStyle name="Comma 5 3 4" xfId="27262"/>
    <cellStyle name="Comma 6 4" xfId="27263"/>
    <cellStyle name="Comma 7 4" xfId="27264"/>
    <cellStyle name="Vírgula 10 7 3" xfId="27265"/>
    <cellStyle name="Comma 8 4" xfId="27266"/>
    <cellStyle name="Comma 9 4" xfId="27267"/>
    <cellStyle name="Comma 10 4" xfId="27268"/>
    <cellStyle name="Vírgula 10 2 5" xfId="27269"/>
    <cellStyle name="Separador de milhares 2 7 2 5" xfId="27270"/>
    <cellStyle name="Comma 11 4" xfId="27271"/>
    <cellStyle name="Vírgula 10 3 5" xfId="27272"/>
    <cellStyle name="Separador de milhares 2 7 3 5" xfId="27273"/>
    <cellStyle name="Porcentagem 12 5 3" xfId="27274"/>
    <cellStyle name="Normal 55 4 3" xfId="27275"/>
    <cellStyle name="Percent 14 4 3" xfId="27276"/>
    <cellStyle name="Normal 3 9 5" xfId="27277"/>
    <cellStyle name="Vírgula 11 4" xfId="27278"/>
    <cellStyle name="Normal 3 7 2 5" xfId="27279"/>
    <cellStyle name="20% - Ênfase1 5 6 5" xfId="27280"/>
    <cellStyle name="40% - Ênfase1 5 6 5" xfId="27281"/>
    <cellStyle name="20% - Ênfase2 5 6 5" xfId="27282"/>
    <cellStyle name="40% - Ênfase2 5 6 5" xfId="27283"/>
    <cellStyle name="20% - Ênfase3 5 6 5" xfId="27284"/>
    <cellStyle name="40% - Ênfase3 5 6 5" xfId="27285"/>
    <cellStyle name="20% - Ênfase4 5 6 5" xfId="27286"/>
    <cellStyle name="40% - Ênfase4 5 6 5" xfId="27287"/>
    <cellStyle name="20% - Ênfase5 5 6 5" xfId="27288"/>
    <cellStyle name="40% - Ênfase5 5 6 5" xfId="27289"/>
    <cellStyle name="20% - Ênfase6 5 6 5" xfId="27290"/>
    <cellStyle name="40% - Ênfase6 5 6 5" xfId="27291"/>
    <cellStyle name="Normal 4 2 6 5" xfId="27292"/>
    <cellStyle name="Nota 2 2 6 5" xfId="27293"/>
    <cellStyle name="Normal 5 2 7 5" xfId="27294"/>
    <cellStyle name="Nota 3 2 6 5" xfId="27295"/>
    <cellStyle name="20% - Ênfase1 2 2 6 5" xfId="27296"/>
    <cellStyle name="40% - Ênfase1 2 2 6 5" xfId="27297"/>
    <cellStyle name="20% - Ênfase2 2 2 6 5" xfId="27298"/>
    <cellStyle name="40% - Ênfase2 2 2 6 5" xfId="27299"/>
    <cellStyle name="20% - Ênfase3 2 2 6 5" xfId="27300"/>
    <cellStyle name="40% - Ênfase3 2 2 6 5" xfId="27301"/>
    <cellStyle name="20% - Ênfase4 2 2 6 5" xfId="27302"/>
    <cellStyle name="40% - Ênfase4 2 2 6 5" xfId="27303"/>
    <cellStyle name="20% - Ênfase5 2 2 6 5" xfId="27304"/>
    <cellStyle name="40% - Ênfase5 2 2 6 5" xfId="27305"/>
    <cellStyle name="20% - Ênfase6 2 2 6 5" xfId="27306"/>
    <cellStyle name="40% - Ênfase6 2 2 6 5" xfId="27307"/>
    <cellStyle name="Normal 7 2 7 5" xfId="27308"/>
    <cellStyle name="Nota 4 9 5" xfId="27309"/>
    <cellStyle name="20% - Ênfase1 3 8 5" xfId="27310"/>
    <cellStyle name="40% - Ênfase1 3 8 5" xfId="27311"/>
    <cellStyle name="20% - Ênfase2 3 8 5" xfId="27312"/>
    <cellStyle name="40% - Ênfase2 3 8 5" xfId="27313"/>
    <cellStyle name="20% - Ênfase3 3 8 5" xfId="27314"/>
    <cellStyle name="40% - Ênfase3 3 8 5" xfId="27315"/>
    <cellStyle name="20% - Ênfase4 3 8 5" xfId="27316"/>
    <cellStyle name="40% - Ênfase4 3 8 5" xfId="27317"/>
    <cellStyle name="20% - Ênfase5 3 8 5" xfId="27318"/>
    <cellStyle name="40% - Ênfase5 3 8 5" xfId="27319"/>
    <cellStyle name="20% - Ênfase6 3 8 5" xfId="27320"/>
    <cellStyle name="40% - Ênfase6 3 8 5" xfId="27321"/>
    <cellStyle name="Normal 8 12 4" xfId="27322"/>
    <cellStyle name="Nota 5 8 5" xfId="27323"/>
    <cellStyle name="20% - Ênfase1 4 8 5" xfId="27324"/>
    <cellStyle name="40% - Ênfase1 4 8 5" xfId="27325"/>
    <cellStyle name="20% - Ênfase2 4 8 5" xfId="27326"/>
    <cellStyle name="40% - Ênfase2 4 8 5" xfId="27327"/>
    <cellStyle name="20% - Ênfase3 4 8 5" xfId="27328"/>
    <cellStyle name="40% - Ênfase3 4 8 5" xfId="27329"/>
    <cellStyle name="20% - Ênfase4 4 8 5" xfId="27330"/>
    <cellStyle name="40% - Ênfase4 4 8 5" xfId="27331"/>
    <cellStyle name="20% - Ênfase5 4 8 5" xfId="27332"/>
    <cellStyle name="40% - Ênfase5 4 8 5" xfId="27333"/>
    <cellStyle name="20% - Ênfase6 4 8 5" xfId="27334"/>
    <cellStyle name="40% - Ênfase6 4 8 5" xfId="27335"/>
    <cellStyle name="20% - Ênfase1 6 5 5" xfId="27336"/>
    <cellStyle name="40% - Ênfase1 6 5 5" xfId="27337"/>
    <cellStyle name="20% - Ênfase2 6 5 5" xfId="27338"/>
    <cellStyle name="40% - Ênfase2 6 5 5" xfId="27339"/>
    <cellStyle name="20% - Ênfase3 6 5 5" xfId="27340"/>
    <cellStyle name="40% - Ênfase3 6 5 5" xfId="27341"/>
    <cellStyle name="20% - Ênfase4 6 5 5" xfId="27342"/>
    <cellStyle name="40% - Ênfase4 6 5 5" xfId="27343"/>
    <cellStyle name="20% - Ênfase5 6 5 5" xfId="27344"/>
    <cellStyle name="40% - Ênfase5 6 5 5" xfId="27345"/>
    <cellStyle name="20% - Ênfase6 6 5 5" xfId="27346"/>
    <cellStyle name="40% - Ênfase6 6 5 5" xfId="27347"/>
    <cellStyle name="Normal 4 3 5 5" xfId="27348"/>
    <cellStyle name="Nota 2 3 5 5" xfId="27349"/>
    <cellStyle name="Normal 5 3 5 5" xfId="27350"/>
    <cellStyle name="Nota 3 3 5 5" xfId="27351"/>
    <cellStyle name="20% - Ênfase1 2 3 5 5" xfId="27352"/>
    <cellStyle name="40% - Ênfase1 2 3 5 5" xfId="27353"/>
    <cellStyle name="20% - Ênfase2 2 3 5 5" xfId="27354"/>
    <cellStyle name="40% - Ênfase2 2 3 5 5" xfId="27355"/>
    <cellStyle name="20% - Ênfase3 2 3 5 5" xfId="27356"/>
    <cellStyle name="40% - Ênfase3 2 3 5 5" xfId="27357"/>
    <cellStyle name="20% - Ênfase4 2 3 5 5" xfId="27358"/>
    <cellStyle name="40% - Ênfase4 2 3 5 5" xfId="27359"/>
    <cellStyle name="20% - Ênfase5 2 3 5 5" xfId="27360"/>
    <cellStyle name="40% - Ênfase5 2 3 5 5" xfId="27361"/>
    <cellStyle name="20% - Ênfase6 2 3 5 5" xfId="27362"/>
    <cellStyle name="40% - Ênfase6 2 3 5 5" xfId="27363"/>
    <cellStyle name="Normal 7 3 6 5" xfId="27364"/>
    <cellStyle name="Nota 4 2 5 5" xfId="27365"/>
    <cellStyle name="20% - Ênfase1 3 2 5 5" xfId="27366"/>
    <cellStyle name="40% - Ênfase1 3 2 5 5" xfId="27367"/>
    <cellStyle name="20% - Ênfase2 3 2 5 5" xfId="27368"/>
    <cellStyle name="40% - Ênfase2 3 2 5 5" xfId="27369"/>
    <cellStyle name="20% - Ênfase3 3 2 5 5" xfId="27370"/>
    <cellStyle name="40% - Ênfase3 3 2 5 5" xfId="27371"/>
    <cellStyle name="20% - Ênfase4 3 2 5 5" xfId="27372"/>
    <cellStyle name="40% - Ênfase4 3 2 5 5" xfId="27373"/>
    <cellStyle name="20% - Ênfase5 3 2 5 5" xfId="27374"/>
    <cellStyle name="40% - Ênfase5 3 2 5 5" xfId="27375"/>
    <cellStyle name="20% - Ênfase6 3 2 5 5" xfId="27376"/>
    <cellStyle name="40% - Ênfase6 3 2 5 5" xfId="27377"/>
    <cellStyle name="Normal 8 2 6 5" xfId="27378"/>
    <cellStyle name="Nota 5 2 5 5" xfId="27379"/>
    <cellStyle name="20% - Ênfase1 4 2 5 5" xfId="27380"/>
    <cellStyle name="40% - Ênfase1 4 2 5 5" xfId="27381"/>
    <cellStyle name="20% - Ênfase2 4 2 5 5" xfId="27382"/>
    <cellStyle name="40% - Ênfase2 4 2 5 5" xfId="27383"/>
    <cellStyle name="20% - Ênfase3 4 2 5 5" xfId="27384"/>
    <cellStyle name="40% - Ênfase3 4 2 5 5" xfId="27385"/>
    <cellStyle name="20% - Ênfase4 4 2 5 5" xfId="27386"/>
    <cellStyle name="40% - Ênfase4 4 2 5 5" xfId="27387"/>
    <cellStyle name="20% - Ênfase5 4 2 5 5" xfId="27388"/>
    <cellStyle name="40% - Ênfase5 4 2 5 5" xfId="27389"/>
    <cellStyle name="20% - Ênfase6 4 2 5 5" xfId="27390"/>
    <cellStyle name="40% - Ênfase6 4 2 5 5" xfId="27391"/>
    <cellStyle name="20% - Ênfase1 8 4 5" xfId="27392"/>
    <cellStyle name="40% - Ênfase1 8 4 5" xfId="27393"/>
    <cellStyle name="20% - Ênfase2 8 4 5" xfId="27394"/>
    <cellStyle name="40% - Ênfase2 8 4 5" xfId="27395"/>
    <cellStyle name="20% - Ênfase3 8 4 5" xfId="27396"/>
    <cellStyle name="40% - Ênfase3 8 4 5" xfId="27397"/>
    <cellStyle name="20% - Ênfase4 8 4 5" xfId="27398"/>
    <cellStyle name="40% - Ênfase4 8 4 5" xfId="27399"/>
    <cellStyle name="20% - Ênfase5 8 4 5" xfId="27400"/>
    <cellStyle name="40% - Ênfase5 8 4 5" xfId="27401"/>
    <cellStyle name="20% - Ênfase6 8 4 5" xfId="27402"/>
    <cellStyle name="40% - Ênfase6 8 4 5" xfId="27403"/>
    <cellStyle name="Normal 4 5 4 5" xfId="27404"/>
    <cellStyle name="Nota 2 5 4 5" xfId="27405"/>
    <cellStyle name="Normal 5 5 4 5" xfId="27406"/>
    <cellStyle name="Nota 3 5 4 5" xfId="27407"/>
    <cellStyle name="20% - Ênfase1 2 5 4 5" xfId="27408"/>
    <cellStyle name="40% - Ênfase1 2 5 4 5" xfId="27409"/>
    <cellStyle name="20% - Ênfase2 2 5 4 5" xfId="27410"/>
    <cellStyle name="40% - Ênfase2 2 5 4 5" xfId="27411"/>
    <cellStyle name="20% - Ênfase3 2 5 4 5" xfId="27412"/>
    <cellStyle name="40% - Ênfase3 2 5 4 5" xfId="27413"/>
    <cellStyle name="20% - Ênfase4 2 5 4 5" xfId="27414"/>
    <cellStyle name="40% - Ênfase4 2 5 4 5" xfId="27415"/>
    <cellStyle name="20% - Ênfase5 2 5 4 5" xfId="27416"/>
    <cellStyle name="40% - Ênfase5 2 5 4 5" xfId="27417"/>
    <cellStyle name="20% - Ênfase6 2 5 4 5" xfId="27418"/>
    <cellStyle name="40% - Ênfase6 2 5 4 5" xfId="27419"/>
    <cellStyle name="Normal 7 5 4 5" xfId="27420"/>
    <cellStyle name="Nota 4 4 4 5" xfId="27421"/>
    <cellStyle name="20% - Ênfase1 3 4 4 5" xfId="27422"/>
    <cellStyle name="40% - Ênfase1 3 4 4 5" xfId="27423"/>
    <cellStyle name="20% - Ênfase2 3 4 4 5" xfId="27424"/>
    <cellStyle name="40% - Ênfase2 3 4 4 5" xfId="27425"/>
    <cellStyle name="20% - Ênfase3 3 4 4 5" xfId="27426"/>
    <cellStyle name="40% - Ênfase3 3 4 4 5" xfId="27427"/>
    <cellStyle name="20% - Ênfase4 3 4 4 5" xfId="27428"/>
    <cellStyle name="40% - Ênfase4 3 4 4 5" xfId="27429"/>
    <cellStyle name="20% - Ênfase5 3 4 4 5" xfId="27430"/>
    <cellStyle name="40% - Ênfase5 3 4 4 5" xfId="27431"/>
    <cellStyle name="20% - Ênfase6 3 4 4 5" xfId="27432"/>
    <cellStyle name="40% - Ênfase6 3 4 4 5" xfId="27433"/>
    <cellStyle name="Normal 8 4 5 5" xfId="27434"/>
    <cellStyle name="Nota 5 4 4 5" xfId="27435"/>
    <cellStyle name="20% - Ênfase1 4 4 4 5" xfId="27436"/>
    <cellStyle name="40% - Ênfase1 4 4 4 5" xfId="27437"/>
    <cellStyle name="20% - Ênfase2 4 4 4 5" xfId="27438"/>
    <cellStyle name="40% - Ênfase2 4 4 4 5" xfId="27439"/>
    <cellStyle name="20% - Ênfase3 4 4 4 5" xfId="27440"/>
    <cellStyle name="40% - Ênfase3 4 4 4 5" xfId="27441"/>
    <cellStyle name="20% - Ênfase4 4 4 4 5" xfId="27442"/>
    <cellStyle name="40% - Ênfase4 4 4 4 5" xfId="27443"/>
    <cellStyle name="20% - Ênfase5 4 4 4 5" xfId="27444"/>
    <cellStyle name="40% - Ênfase5 4 4 4 5" xfId="27445"/>
    <cellStyle name="20% - Ênfase6 4 4 4 5" xfId="27446"/>
    <cellStyle name="40% - Ênfase6 4 4 4 5" xfId="27447"/>
    <cellStyle name="Normal 3 3 4 5" xfId="27448"/>
    <cellStyle name="20% - Ênfase1 5 2 4 5" xfId="27449"/>
    <cellStyle name="40% - Ênfase1 5 2 4 5" xfId="27450"/>
    <cellStyle name="20% - Ênfase2 5 2 4 5" xfId="27451"/>
    <cellStyle name="40% - Ênfase2 5 2 4 5" xfId="27452"/>
    <cellStyle name="20% - Ênfase3 5 2 4 5" xfId="27453"/>
    <cellStyle name="40% - Ênfase3 5 2 4 5" xfId="27454"/>
    <cellStyle name="20% - Ênfase4 5 2 4 5" xfId="27455"/>
    <cellStyle name="40% - Ênfase4 5 2 4 5" xfId="27456"/>
    <cellStyle name="20% - Ênfase5 5 2 4 5" xfId="27457"/>
    <cellStyle name="40% - Ênfase5 5 2 4 5" xfId="27458"/>
    <cellStyle name="20% - Ênfase6 5 2 4 5" xfId="27459"/>
    <cellStyle name="40% - Ênfase6 5 2 4 5" xfId="27460"/>
    <cellStyle name="Normal 4 2 2 4 5" xfId="27461"/>
    <cellStyle name="Nota 2 2 2 4 5" xfId="27462"/>
    <cellStyle name="Normal 5 2 2 4 5" xfId="27463"/>
    <cellStyle name="Nota 3 2 2 4 5" xfId="27464"/>
    <cellStyle name="20% - Ênfase1 2 2 2 4 5" xfId="27465"/>
    <cellStyle name="40% - Ênfase1 2 2 2 4 5" xfId="27466"/>
    <cellStyle name="20% - Ênfase2 2 2 2 4 5" xfId="27467"/>
    <cellStyle name="40% - Ênfase2 2 2 2 4 5" xfId="27468"/>
    <cellStyle name="20% - Ênfase3 2 2 2 4 5" xfId="27469"/>
    <cellStyle name="40% - Ênfase3 2 2 2 4 5" xfId="27470"/>
    <cellStyle name="20% - Ênfase4 2 2 2 4 5" xfId="27471"/>
    <cellStyle name="40% - Ênfase4 2 2 2 4 5" xfId="27472"/>
    <cellStyle name="20% - Ênfase5 2 2 2 4 5" xfId="27473"/>
    <cellStyle name="40% - Ênfase5 2 2 2 4 5" xfId="27474"/>
    <cellStyle name="20% - Ênfase6 2 2 2 4 5" xfId="27475"/>
    <cellStyle name="40% - Ênfase6 2 2 2 4 5" xfId="27476"/>
    <cellStyle name="Normal 7 2 2 5 5" xfId="27477"/>
    <cellStyle name="Nota 4 3 4 5" xfId="27478"/>
    <cellStyle name="20% - Ênfase1 3 3 4 5" xfId="27479"/>
    <cellStyle name="40% - Ênfase1 3 3 4 5" xfId="27480"/>
    <cellStyle name="20% - Ênfase2 3 3 4 5" xfId="27481"/>
    <cellStyle name="40% - Ênfase2 3 3 4 5" xfId="27482"/>
    <cellStyle name="20% - Ênfase3 3 3 4 5" xfId="27483"/>
    <cellStyle name="40% - Ênfase3 3 3 4 5" xfId="27484"/>
    <cellStyle name="20% - Ênfase4 3 3 4 5" xfId="27485"/>
    <cellStyle name="40% - Ênfase4 3 3 4 5" xfId="27486"/>
    <cellStyle name="20% - Ênfase5 3 3 4 5" xfId="27487"/>
    <cellStyle name="40% - Ênfase5 3 3 4 5" xfId="27488"/>
    <cellStyle name="20% - Ênfase6 3 3 4 5" xfId="27489"/>
    <cellStyle name="40% - Ênfase6 3 3 4 5" xfId="27490"/>
    <cellStyle name="Normal 8 3 5 5" xfId="27491"/>
    <cellStyle name="Nota 5 3 4 5" xfId="27492"/>
    <cellStyle name="20% - Ênfase1 4 3 4 5" xfId="27493"/>
    <cellStyle name="40% - Ênfase1 4 3 4 5" xfId="27494"/>
    <cellStyle name="20% - Ênfase2 4 3 4 5" xfId="27495"/>
    <cellStyle name="40% - Ênfase2 4 3 4 5" xfId="27496"/>
    <cellStyle name="20% - Ênfase3 4 3 4 5" xfId="27497"/>
    <cellStyle name="40% - Ênfase3 4 3 4 5" xfId="27498"/>
    <cellStyle name="20% - Ênfase4 4 3 4 5" xfId="27499"/>
    <cellStyle name="40% - Ênfase4 4 3 4 5" xfId="27500"/>
    <cellStyle name="20% - Ênfase5 4 3 4 5" xfId="27501"/>
    <cellStyle name="40% - Ênfase5 4 3 4 5" xfId="27502"/>
    <cellStyle name="20% - Ênfase6 4 3 4 5" xfId="27503"/>
    <cellStyle name="40% - Ênfase6 4 3 4 5" xfId="27504"/>
    <cellStyle name="20% - Ênfase1 6 2 4 5" xfId="27505"/>
    <cellStyle name="40% - Ênfase1 6 2 4 5" xfId="27506"/>
    <cellStyle name="20% - Ênfase2 6 2 4 5" xfId="27507"/>
    <cellStyle name="40% - Ênfase2 6 2 4 5" xfId="27508"/>
    <cellStyle name="20% - Ênfase3 6 2 4 5" xfId="27509"/>
    <cellStyle name="40% - Ênfase3 6 2 4 5" xfId="27510"/>
    <cellStyle name="20% - Ênfase4 6 2 4 5" xfId="27511"/>
    <cellStyle name="40% - Ênfase4 6 2 4 5" xfId="27512"/>
    <cellStyle name="20% - Ênfase5 6 2 4 5" xfId="27513"/>
    <cellStyle name="40% - Ênfase5 6 2 4 5" xfId="27514"/>
    <cellStyle name="20% - Ênfase6 6 2 4 5" xfId="27515"/>
    <cellStyle name="40% - Ênfase6 6 2 4 5" xfId="27516"/>
    <cellStyle name="Normal 4 3 2 4 5" xfId="27517"/>
    <cellStyle name="Nota 2 3 2 4 5" xfId="27518"/>
    <cellStyle name="Normal 5 3 2 4 5" xfId="27519"/>
    <cellStyle name="Nota 3 3 2 4 5" xfId="27520"/>
    <cellStyle name="20% - Ênfase1 2 3 2 4 5" xfId="27521"/>
    <cellStyle name="40% - Ênfase1 2 3 2 4 5" xfId="27522"/>
    <cellStyle name="20% - Ênfase2 2 3 2 4 5" xfId="27523"/>
    <cellStyle name="40% - Ênfase2 2 3 2 4 5" xfId="27524"/>
    <cellStyle name="20% - Ênfase3 2 3 2 4 5" xfId="27525"/>
    <cellStyle name="40% - Ênfase3 2 3 2 4 5" xfId="27526"/>
    <cellStyle name="20% - Ênfase4 2 3 2 4 5" xfId="27527"/>
    <cellStyle name="40% - Ênfase4 2 3 2 4 5" xfId="27528"/>
    <cellStyle name="20% - Ênfase5 2 3 2 4 5" xfId="27529"/>
    <cellStyle name="40% - Ênfase5 2 3 2 4 5" xfId="27530"/>
    <cellStyle name="20% - Ênfase6 2 3 2 4 5" xfId="27531"/>
    <cellStyle name="40% - Ênfase6 2 3 2 4 5" xfId="27532"/>
    <cellStyle name="Normal 7 3 2 4 5" xfId="27533"/>
    <cellStyle name="Nota 4 2 2 4 5" xfId="27534"/>
    <cellStyle name="20% - Ênfase1 3 2 2 4 5" xfId="27535"/>
    <cellStyle name="40% - Ênfase1 3 2 2 4 5" xfId="27536"/>
    <cellStyle name="20% - Ênfase2 3 2 2 4 5" xfId="27537"/>
    <cellStyle name="40% - Ênfase2 3 2 2 4 5" xfId="27538"/>
    <cellStyle name="20% - Ênfase3 3 2 2 4 5" xfId="27539"/>
    <cellStyle name="40% - Ênfase3 3 2 2 4 5" xfId="27540"/>
    <cellStyle name="20% - Ênfase4 3 2 2 4 5" xfId="27541"/>
    <cellStyle name="40% - Ênfase4 3 2 2 4 5" xfId="27542"/>
    <cellStyle name="20% - Ênfase5 3 2 2 4 5" xfId="27543"/>
    <cellStyle name="40% - Ênfase5 3 2 2 4 5" xfId="27544"/>
    <cellStyle name="20% - Ênfase6 3 2 2 4 5" xfId="27545"/>
    <cellStyle name="40% - Ênfase6 3 2 2 4 5" xfId="27546"/>
    <cellStyle name="Normal 8 2 2 5 5" xfId="27547"/>
    <cellStyle name="Nota 5 2 2 4 5" xfId="27548"/>
    <cellStyle name="20% - Ênfase1 4 2 2 4 5" xfId="27549"/>
    <cellStyle name="40% - Ênfase1 4 2 2 4 5" xfId="27550"/>
    <cellStyle name="20% - Ênfase2 4 2 2 4 5" xfId="27551"/>
    <cellStyle name="40% - Ênfase2 4 2 2 4 5" xfId="27552"/>
    <cellStyle name="20% - Ênfase3 4 2 2 4 5" xfId="27553"/>
    <cellStyle name="40% - Ênfase3 4 2 2 4 5" xfId="27554"/>
    <cellStyle name="20% - Ênfase4 4 2 2 4 5" xfId="27555"/>
    <cellStyle name="40% - Ênfase4 4 2 2 4 5" xfId="27556"/>
    <cellStyle name="20% - Ênfase5 4 2 2 4 5" xfId="27557"/>
    <cellStyle name="40% - Ênfase5 4 2 2 4 5" xfId="27558"/>
    <cellStyle name="20% - Ênfase6 4 2 2 4 5" xfId="27559"/>
    <cellStyle name="40% - Ênfase6 4 2 2 4 5" xfId="27560"/>
    <cellStyle name="Normal 3 4 2 5" xfId="27561"/>
    <cellStyle name="20% - Ênfase1 5 3 2 5" xfId="27562"/>
    <cellStyle name="40% - Ênfase1 5 3 2 5" xfId="27563"/>
    <cellStyle name="20% - Ênfase2 5 3 2 5" xfId="27564"/>
    <cellStyle name="40% - Ênfase2 5 3 2 5" xfId="27565"/>
    <cellStyle name="20% - Ênfase3 5 3 2 5" xfId="27566"/>
    <cellStyle name="40% - Ênfase3 5 3 2 5" xfId="27567"/>
    <cellStyle name="20% - Ênfase4 5 3 2 5" xfId="27568"/>
    <cellStyle name="40% - Ênfase4 5 3 2 5" xfId="27569"/>
    <cellStyle name="20% - Ênfase5 5 3 2 5" xfId="27570"/>
    <cellStyle name="40% - Ênfase5 5 3 2 5" xfId="27571"/>
    <cellStyle name="20% - Ênfase6 5 3 2 5" xfId="27572"/>
    <cellStyle name="40% - Ênfase6 5 3 2 5" xfId="27573"/>
    <cellStyle name="Normal 4 2 3 2 5" xfId="27574"/>
    <cellStyle name="Nota 2 2 3 2 5" xfId="27575"/>
    <cellStyle name="Normal 5 2 3 2 5" xfId="27576"/>
    <cellStyle name="Nota 3 2 3 2 5" xfId="27577"/>
    <cellStyle name="20% - Ênfase1 2 2 3 2 5" xfId="27578"/>
    <cellStyle name="40% - Ênfase1 2 2 3 2 5" xfId="27579"/>
    <cellStyle name="20% - Ênfase2 2 2 3 2 5" xfId="27580"/>
    <cellStyle name="40% - Ênfase2 2 2 3 2 5" xfId="27581"/>
    <cellStyle name="20% - Ênfase3 2 2 3 2 5" xfId="27582"/>
    <cellStyle name="40% - Ênfase3 2 2 3 2 5" xfId="27583"/>
    <cellStyle name="20% - Ênfase4 2 2 3 2 5" xfId="27584"/>
    <cellStyle name="40% - Ênfase4 2 2 3 2 5" xfId="27585"/>
    <cellStyle name="20% - Ênfase5 2 2 3 2 5" xfId="27586"/>
    <cellStyle name="40% - Ênfase5 2 2 3 2 5" xfId="27587"/>
    <cellStyle name="20% - Ênfase6 2 2 3 2 5" xfId="27588"/>
    <cellStyle name="40% - Ênfase6 2 2 3 2 5" xfId="27589"/>
    <cellStyle name="Normal 7 2 3 2 5" xfId="27590"/>
    <cellStyle name="Nota 4 5 2 5" xfId="27591"/>
    <cellStyle name="20% - Ênfase1 3 5 2 5" xfId="27592"/>
    <cellStyle name="40% - Ênfase1 3 5 2 5" xfId="27593"/>
    <cellStyle name="20% - Ênfase2 3 5 2 5" xfId="27594"/>
    <cellStyle name="40% - Ênfase2 3 5 2 5" xfId="27595"/>
    <cellStyle name="20% - Ênfase3 3 5 2 5" xfId="27596"/>
    <cellStyle name="40% - Ênfase3 3 5 2 5" xfId="27597"/>
    <cellStyle name="20% - Ênfase4 3 5 2 5" xfId="27598"/>
    <cellStyle name="40% - Ênfase4 3 5 2 5" xfId="27599"/>
    <cellStyle name="20% - Ênfase5 3 5 2 5" xfId="27600"/>
    <cellStyle name="40% - Ênfase5 3 5 2 5" xfId="27601"/>
    <cellStyle name="20% - Ênfase6 3 5 2 5" xfId="27602"/>
    <cellStyle name="40% - Ênfase6 3 5 2 5" xfId="27603"/>
    <cellStyle name="Normal 8 5 5 4" xfId="27604"/>
    <cellStyle name="Nota 5 5 2 5" xfId="27605"/>
    <cellStyle name="20% - Ênfase1 4 5 2 5" xfId="27606"/>
    <cellStyle name="40% - Ênfase1 4 5 2 5" xfId="27607"/>
    <cellStyle name="20% - Ênfase2 4 5 2 5" xfId="27608"/>
    <cellStyle name="40% - Ênfase2 4 5 2 5" xfId="27609"/>
    <cellStyle name="20% - Ênfase3 4 5 2 5" xfId="27610"/>
    <cellStyle name="40% - Ênfase3 4 5 2 5" xfId="27611"/>
    <cellStyle name="20% - Ênfase4 4 5 2 5" xfId="27612"/>
    <cellStyle name="40% - Ênfase4 4 5 2 5" xfId="27613"/>
    <cellStyle name="20% - Ênfase5 4 5 2 5" xfId="27614"/>
    <cellStyle name="40% - Ênfase5 4 5 2 5" xfId="27615"/>
    <cellStyle name="20% - Ênfase6 4 5 2 5" xfId="27616"/>
    <cellStyle name="40% - Ênfase6 4 5 2 5" xfId="27617"/>
    <cellStyle name="20% - Ênfase1 6 3 2 5" xfId="27618"/>
    <cellStyle name="40% - Ênfase1 6 3 2 5" xfId="27619"/>
    <cellStyle name="20% - Ênfase2 6 3 2 5" xfId="27620"/>
    <cellStyle name="40% - Ênfase2 6 3 2 5" xfId="27621"/>
    <cellStyle name="20% - Ênfase3 6 3 2 5" xfId="27622"/>
    <cellStyle name="40% - Ênfase3 6 3 2 5" xfId="27623"/>
    <cellStyle name="20% - Ênfase4 6 3 2 5" xfId="27624"/>
    <cellStyle name="40% - Ênfase4 6 3 2 5" xfId="27625"/>
    <cellStyle name="20% - Ênfase5 6 3 2 5" xfId="27626"/>
    <cellStyle name="40% - Ênfase5 6 3 2 5" xfId="27627"/>
    <cellStyle name="20% - Ênfase6 6 3 2 5" xfId="27628"/>
    <cellStyle name="40% - Ênfase6 6 3 2 5" xfId="27629"/>
    <cellStyle name="Normal 4 3 3 2 5" xfId="27630"/>
    <cellStyle name="Nota 2 3 3 2 5" xfId="27631"/>
    <cellStyle name="Normal 5 3 3 2 5" xfId="27632"/>
    <cellStyle name="Nota 3 3 3 2 5" xfId="27633"/>
    <cellStyle name="20% - Ênfase1 2 3 3 2 5" xfId="27634"/>
    <cellStyle name="40% - Ênfase1 2 3 3 2 5" xfId="27635"/>
    <cellStyle name="20% - Ênfase2 2 3 3 2 5" xfId="27636"/>
    <cellStyle name="40% - Ênfase2 2 3 3 2 5" xfId="27637"/>
    <cellStyle name="20% - Ênfase3 2 3 3 2 5" xfId="27638"/>
    <cellStyle name="40% - Ênfase3 2 3 3 2 5" xfId="27639"/>
    <cellStyle name="20% - Ênfase4 2 3 3 2 5" xfId="27640"/>
    <cellStyle name="40% - Ênfase4 2 3 3 2 5" xfId="27641"/>
    <cellStyle name="20% - Ênfase5 2 3 3 2 5" xfId="27642"/>
    <cellStyle name="40% - Ênfase5 2 3 3 2 5" xfId="27643"/>
    <cellStyle name="20% - Ênfase6 2 3 3 2 5" xfId="27644"/>
    <cellStyle name="40% - Ênfase6 2 3 3 2 5" xfId="27645"/>
    <cellStyle name="Normal 7 3 3 2 5" xfId="27646"/>
    <cellStyle name="Nota 4 2 3 2 5" xfId="27647"/>
    <cellStyle name="20% - Ênfase1 3 2 3 2 5" xfId="27648"/>
    <cellStyle name="40% - Ênfase1 3 2 3 2 5" xfId="27649"/>
    <cellStyle name="20% - Ênfase2 3 2 3 2 5" xfId="27650"/>
    <cellStyle name="40% - Ênfase2 3 2 3 2 5" xfId="27651"/>
    <cellStyle name="20% - Ênfase3 3 2 3 2 5" xfId="27652"/>
    <cellStyle name="40% - Ênfase3 3 2 3 2 5" xfId="27653"/>
    <cellStyle name="20% - Ênfase4 3 2 3 2 5" xfId="27654"/>
    <cellStyle name="40% - Ênfase4 3 2 3 2 5" xfId="27655"/>
    <cellStyle name="20% - Ênfase5 3 2 3 2 5" xfId="27656"/>
    <cellStyle name="40% - Ênfase5 3 2 3 2 5" xfId="27657"/>
    <cellStyle name="20% - Ênfase6 3 2 3 2 5" xfId="27658"/>
    <cellStyle name="40% - Ênfase6 3 2 3 2 5" xfId="27659"/>
    <cellStyle name="Normal 8 2 3 2 5" xfId="27660"/>
    <cellStyle name="Nota 5 2 3 2 5" xfId="27661"/>
    <cellStyle name="20% - Ênfase1 4 2 3 2 5" xfId="27662"/>
    <cellStyle name="40% - Ênfase1 4 2 3 2 5" xfId="27663"/>
    <cellStyle name="20% - Ênfase2 4 2 3 2 5" xfId="27664"/>
    <cellStyle name="40% - Ênfase2 4 2 3 2 5" xfId="27665"/>
    <cellStyle name="20% - Ênfase3 4 2 3 2 5" xfId="27666"/>
    <cellStyle name="40% - Ênfase3 4 2 3 2 5" xfId="27667"/>
    <cellStyle name="20% - Ênfase4 4 2 3 2 5" xfId="27668"/>
    <cellStyle name="40% - Ênfase4 4 2 3 2 5" xfId="27669"/>
    <cellStyle name="20% - Ênfase5 4 2 3 2 5" xfId="27670"/>
    <cellStyle name="40% - Ênfase5 4 2 3 2 5" xfId="27671"/>
    <cellStyle name="20% - Ênfase6 4 2 3 2 5" xfId="27672"/>
    <cellStyle name="40% - Ênfase6 4 2 3 2 5" xfId="27673"/>
    <cellStyle name="20% - Ênfase1 8 2 2 5" xfId="27674"/>
    <cellStyle name="40% - Ênfase1 8 2 2 5" xfId="27675"/>
    <cellStyle name="20% - Ênfase2 8 2 2 5" xfId="27676"/>
    <cellStyle name="40% - Ênfase2 8 2 2 5" xfId="27677"/>
    <cellStyle name="20% - Ênfase3 8 2 2 5" xfId="27678"/>
    <cellStyle name="40% - Ênfase3 8 2 2 5" xfId="27679"/>
    <cellStyle name="20% - Ênfase4 8 2 2 5" xfId="27680"/>
    <cellStyle name="40% - Ênfase4 8 2 2 5" xfId="27681"/>
    <cellStyle name="20% - Ênfase5 8 2 2 5" xfId="27682"/>
    <cellStyle name="40% - Ênfase5 8 2 2 5" xfId="27683"/>
    <cellStyle name="20% - Ênfase6 8 2 2 5" xfId="27684"/>
    <cellStyle name="40% - Ênfase6 8 2 2 5" xfId="27685"/>
    <cellStyle name="Normal 4 5 2 2 5" xfId="27686"/>
    <cellStyle name="Nota 2 5 2 2 5" xfId="27687"/>
    <cellStyle name="Normal 5 5 2 2 5" xfId="27688"/>
    <cellStyle name="Nota 3 5 2 2 5" xfId="27689"/>
    <cellStyle name="20% - Ênfase1 2 5 2 2 5" xfId="27690"/>
    <cellStyle name="40% - Ênfase1 2 5 2 2 5" xfId="27691"/>
    <cellStyle name="20% - Ênfase2 2 5 2 2 5" xfId="27692"/>
    <cellStyle name="40% - Ênfase2 2 5 2 2 5" xfId="27693"/>
    <cellStyle name="20% - Ênfase3 2 5 2 2 5" xfId="27694"/>
    <cellStyle name="40% - Ênfase3 2 5 2 2 5" xfId="27695"/>
    <cellStyle name="20% - Ênfase4 2 5 2 2 5" xfId="27696"/>
    <cellStyle name="40% - Ênfase4 2 5 2 2 5" xfId="27697"/>
    <cellStyle name="20% - Ênfase5 2 5 2 2 5" xfId="27698"/>
    <cellStyle name="40% - Ênfase5 2 5 2 2 5" xfId="27699"/>
    <cellStyle name="20% - Ênfase6 2 5 2 2 5" xfId="27700"/>
    <cellStyle name="40% - Ênfase6 2 5 2 2 5" xfId="27701"/>
    <cellStyle name="Normal 7 5 2 2 5" xfId="27702"/>
    <cellStyle name="Nota 4 4 2 2 5" xfId="27703"/>
    <cellStyle name="20% - Ênfase1 3 4 2 2 5" xfId="27704"/>
    <cellStyle name="40% - Ênfase1 3 4 2 2 5" xfId="27705"/>
    <cellStyle name="20% - Ênfase2 3 4 2 2 5" xfId="27706"/>
    <cellStyle name="40% - Ênfase2 3 4 2 2 5" xfId="27707"/>
    <cellStyle name="20% - Ênfase3 3 4 2 2 5" xfId="27708"/>
    <cellStyle name="40% - Ênfase3 3 4 2 2 5" xfId="27709"/>
    <cellStyle name="20% - Ênfase4 3 4 2 2 5" xfId="27710"/>
    <cellStyle name="40% - Ênfase4 3 4 2 2 5" xfId="27711"/>
    <cellStyle name="20% - Ênfase5 3 4 2 2 5" xfId="27712"/>
    <cellStyle name="40% - Ênfase5 3 4 2 2 5" xfId="27713"/>
    <cellStyle name="20% - Ênfase6 3 4 2 2 5" xfId="27714"/>
    <cellStyle name="40% - Ênfase6 3 4 2 2 5" xfId="27715"/>
    <cellStyle name="Normal 8 4 2 3 5" xfId="27716"/>
    <cellStyle name="Nota 5 4 2 2 5" xfId="27717"/>
    <cellStyle name="20% - Ênfase1 4 4 2 2 5" xfId="27718"/>
    <cellStyle name="40% - Ênfase1 4 4 2 2 5" xfId="27719"/>
    <cellStyle name="20% - Ênfase2 4 4 2 2 5" xfId="27720"/>
    <cellStyle name="40% - Ênfase2 4 4 2 2 5" xfId="27721"/>
    <cellStyle name="20% - Ênfase3 4 4 2 2 5" xfId="27722"/>
    <cellStyle name="40% - Ênfase3 4 4 2 2 5" xfId="27723"/>
    <cellStyle name="20% - Ênfase4 4 4 2 2 5" xfId="27724"/>
    <cellStyle name="40% - Ênfase4 4 4 2 2 5" xfId="27725"/>
    <cellStyle name="20% - Ênfase5 4 4 2 2 5" xfId="27726"/>
    <cellStyle name="40% - Ênfase5 4 4 2 2 5" xfId="27727"/>
    <cellStyle name="20% - Ênfase6 4 4 2 2 5" xfId="27728"/>
    <cellStyle name="40% - Ênfase6 4 4 2 2 5" xfId="27729"/>
    <cellStyle name="Normal 3 3 2 2 5" xfId="27730"/>
    <cellStyle name="20% - Ênfase1 5 2 2 2 5" xfId="27731"/>
    <cellStyle name="40% - Ênfase1 5 2 2 2 5" xfId="27732"/>
    <cellStyle name="20% - Ênfase2 5 2 2 2 5" xfId="27733"/>
    <cellStyle name="40% - Ênfase2 5 2 2 2 5" xfId="27734"/>
    <cellStyle name="20% - Ênfase3 5 2 2 2 5" xfId="27735"/>
    <cellStyle name="40% - Ênfase3 5 2 2 2 5" xfId="27736"/>
    <cellStyle name="20% - Ênfase4 5 2 2 2 5" xfId="27737"/>
    <cellStyle name="40% - Ênfase4 5 2 2 2 5" xfId="27738"/>
    <cellStyle name="20% - Ênfase5 5 2 2 2 5" xfId="27739"/>
    <cellStyle name="40% - Ênfase5 5 2 2 2 5" xfId="27740"/>
    <cellStyle name="20% - Ênfase6 5 2 2 2 5" xfId="27741"/>
    <cellStyle name="40% - Ênfase6 5 2 2 2 5" xfId="27742"/>
    <cellStyle name="Normal 4 2 2 2 2 5" xfId="27743"/>
    <cellStyle name="Nota 2 2 2 2 2 5" xfId="27744"/>
    <cellStyle name="Normal 5 2 2 2 2 5" xfId="27745"/>
    <cellStyle name="Nota 3 2 2 2 2 5" xfId="27746"/>
    <cellStyle name="20% - Ênfase1 2 2 2 2 2 5" xfId="27747"/>
    <cellStyle name="40% - Ênfase1 2 2 2 2 2 5" xfId="27748"/>
    <cellStyle name="20% - Ênfase2 2 2 2 2 2 5" xfId="27749"/>
    <cellStyle name="40% - Ênfase2 2 2 2 2 2 5" xfId="27750"/>
    <cellStyle name="20% - Ênfase3 2 2 2 2 2 5" xfId="27751"/>
    <cellStyle name="40% - Ênfase3 2 2 2 2 2 5" xfId="27752"/>
    <cellStyle name="20% - Ênfase4 2 2 2 2 2 5" xfId="27753"/>
    <cellStyle name="40% - Ênfase4 2 2 2 2 2 5" xfId="27754"/>
    <cellStyle name="20% - Ênfase5 2 2 2 2 2 5" xfId="27755"/>
    <cellStyle name="40% - Ênfase5 2 2 2 2 2 5" xfId="27756"/>
    <cellStyle name="20% - Ênfase6 2 2 2 2 2 5" xfId="27757"/>
    <cellStyle name="40% - Ênfase6 2 2 2 2 2 5" xfId="27758"/>
    <cellStyle name="Normal 7 2 2 2 2 5" xfId="27759"/>
    <cellStyle name="Nota 4 3 2 2 5" xfId="27760"/>
    <cellStyle name="20% - Ênfase1 3 3 2 2 5" xfId="27761"/>
    <cellStyle name="40% - Ênfase1 3 3 2 2 5" xfId="27762"/>
    <cellStyle name="20% - Ênfase2 3 3 2 2 5" xfId="27763"/>
    <cellStyle name="40% - Ênfase2 3 3 2 2 5" xfId="27764"/>
    <cellStyle name="20% - Ênfase3 3 3 2 2 5" xfId="27765"/>
    <cellStyle name="40% - Ênfase3 3 3 2 2 5" xfId="27766"/>
    <cellStyle name="20% - Ênfase4 3 3 2 2 5" xfId="27767"/>
    <cellStyle name="40% - Ênfase4 3 3 2 2 5" xfId="27768"/>
    <cellStyle name="20% - Ênfase5 3 3 2 2 5" xfId="27769"/>
    <cellStyle name="40% - Ênfase5 3 3 2 2 5" xfId="27770"/>
    <cellStyle name="20% - Ênfase6 3 3 2 2 5" xfId="27771"/>
    <cellStyle name="40% - Ênfase6 3 3 2 2 5" xfId="27772"/>
    <cellStyle name="Normal 8 3 2 3 5" xfId="27773"/>
    <cellStyle name="Nota 5 3 2 2 5" xfId="27774"/>
    <cellStyle name="20% - Ênfase1 4 3 2 2 5" xfId="27775"/>
    <cellStyle name="40% - Ênfase1 4 3 2 2 5" xfId="27776"/>
    <cellStyle name="20% - Ênfase2 4 3 2 2 5" xfId="27777"/>
    <cellStyle name="40% - Ênfase2 4 3 2 2 5" xfId="27778"/>
    <cellStyle name="20% - Ênfase3 4 3 2 2 5" xfId="27779"/>
    <cellStyle name="40% - Ênfase3 4 3 2 2 5" xfId="27780"/>
    <cellStyle name="20% - Ênfase4 4 3 2 2 5" xfId="27781"/>
    <cellStyle name="40% - Ênfase4 4 3 2 2 5" xfId="27782"/>
    <cellStyle name="20% - Ênfase5 4 3 2 2 5" xfId="27783"/>
    <cellStyle name="40% - Ênfase5 4 3 2 2 5" xfId="27784"/>
    <cellStyle name="20% - Ênfase6 4 3 2 2 5" xfId="27785"/>
    <cellStyle name="40% - Ênfase6 4 3 2 2 5" xfId="27786"/>
    <cellStyle name="20% - Ênfase1 6 2 2 2 5" xfId="27787"/>
    <cellStyle name="40% - Ênfase1 6 2 2 2 5" xfId="27788"/>
    <cellStyle name="20% - Ênfase2 6 2 2 2 5" xfId="27789"/>
    <cellStyle name="40% - Ênfase2 6 2 2 2 5" xfId="27790"/>
    <cellStyle name="20% - Ênfase3 6 2 2 2 5" xfId="27791"/>
    <cellStyle name="40% - Ênfase3 6 2 2 2 5" xfId="27792"/>
    <cellStyle name="20% - Ênfase4 6 2 2 2 5" xfId="27793"/>
    <cellStyle name="40% - Ênfase4 6 2 2 2 5" xfId="27794"/>
    <cellStyle name="20% - Ênfase5 6 2 2 2 5" xfId="27795"/>
    <cellStyle name="40% - Ênfase5 6 2 2 2 5" xfId="27796"/>
    <cellStyle name="20% - Ênfase6 6 2 2 2 5" xfId="27797"/>
    <cellStyle name="40% - Ênfase6 6 2 2 2 5" xfId="27798"/>
    <cellStyle name="Normal 4 3 2 2 2 5" xfId="27799"/>
    <cellStyle name="Nota 2 3 2 2 2 5" xfId="27800"/>
    <cellStyle name="Normal 5 3 2 2 2 5" xfId="27801"/>
    <cellStyle name="Nota 3 3 2 2 2 5" xfId="27802"/>
    <cellStyle name="20% - Ênfase1 2 3 2 2 2 5" xfId="27803"/>
    <cellStyle name="40% - Ênfase1 2 3 2 2 2 5" xfId="27804"/>
    <cellStyle name="20% - Ênfase2 2 3 2 2 2 5" xfId="27805"/>
    <cellStyle name="40% - Ênfase2 2 3 2 2 2 5" xfId="27806"/>
    <cellStyle name="20% - Ênfase3 2 3 2 2 2 5" xfId="27807"/>
    <cellStyle name="40% - Ênfase3 2 3 2 2 2 5" xfId="27808"/>
    <cellStyle name="20% - Ênfase4 2 3 2 2 2 5" xfId="27809"/>
    <cellStyle name="40% - Ênfase4 2 3 2 2 2 5" xfId="27810"/>
    <cellStyle name="20% - Ênfase5 2 3 2 2 2 5" xfId="27811"/>
    <cellStyle name="40% - Ênfase5 2 3 2 2 2 5" xfId="27812"/>
    <cellStyle name="20% - Ênfase6 2 3 2 2 2 5" xfId="27813"/>
    <cellStyle name="40% - Ênfase6 2 3 2 2 2 5" xfId="27814"/>
    <cellStyle name="Normal 7 3 2 2 2 5" xfId="27815"/>
    <cellStyle name="Nota 4 2 2 2 2 5" xfId="27816"/>
    <cellStyle name="20% - Ênfase1 3 2 2 2 2 5" xfId="27817"/>
    <cellStyle name="40% - Ênfase1 3 2 2 2 2 5" xfId="27818"/>
    <cellStyle name="20% - Ênfase2 3 2 2 2 2 5" xfId="27819"/>
    <cellStyle name="40% - Ênfase2 3 2 2 2 2 5" xfId="27820"/>
    <cellStyle name="20% - Ênfase3 3 2 2 2 2 5" xfId="27821"/>
    <cellStyle name="40% - Ênfase3 3 2 2 2 2 5" xfId="27822"/>
    <cellStyle name="20% - Ênfase4 3 2 2 2 2 5" xfId="27823"/>
    <cellStyle name="40% - Ênfase4 3 2 2 2 2 5" xfId="27824"/>
    <cellStyle name="20% - Ênfase5 3 2 2 2 2 5" xfId="27825"/>
    <cellStyle name="40% - Ênfase5 3 2 2 2 2 5" xfId="27826"/>
    <cellStyle name="20% - Ênfase6 3 2 2 2 2 5" xfId="27827"/>
    <cellStyle name="40% - Ênfase6 3 2 2 2 2 5" xfId="27828"/>
    <cellStyle name="Normal 8 2 2 2 2 5" xfId="27829"/>
    <cellStyle name="Nota 5 2 2 2 2 5" xfId="27830"/>
    <cellStyle name="20% - Ênfase1 4 2 2 2 2 5" xfId="27831"/>
    <cellStyle name="40% - Ênfase1 4 2 2 2 2 5" xfId="27832"/>
    <cellStyle name="20% - Ênfase2 4 2 2 2 2 5" xfId="27833"/>
    <cellStyle name="40% - Ênfase2 4 2 2 2 2 5" xfId="27834"/>
    <cellStyle name="20% - Ênfase3 4 2 2 2 2 5" xfId="27835"/>
    <cellStyle name="40% - Ênfase3 4 2 2 2 2 5" xfId="27836"/>
    <cellStyle name="20% - Ênfase4 4 2 2 2 2 5" xfId="27837"/>
    <cellStyle name="40% - Ênfase4 4 2 2 2 2 5" xfId="27838"/>
    <cellStyle name="20% - Ênfase5 4 2 2 2 2 5" xfId="27839"/>
    <cellStyle name="40% - Ênfase5 4 2 2 2 2 5" xfId="27840"/>
    <cellStyle name="20% - Ênfase6 4 2 2 2 2 5" xfId="27841"/>
    <cellStyle name="40% - Ênfase6 4 2 2 2 2 5" xfId="27842"/>
    <cellStyle name="Normal 3 5 2 5" xfId="27843"/>
    <cellStyle name="20% - Ênfase1 5 4 2 5" xfId="27844"/>
    <cellStyle name="40% - Ênfase1 5 4 2 5" xfId="27845"/>
    <cellStyle name="20% - Ênfase2 5 4 2 5" xfId="27846"/>
    <cellStyle name="40% - Ênfase2 5 4 2 5" xfId="27847"/>
    <cellStyle name="20% - Ênfase3 5 4 2 5" xfId="27848"/>
    <cellStyle name="40% - Ênfase3 5 4 2 5" xfId="27849"/>
    <cellStyle name="20% - Ênfase4 5 4 2 5" xfId="27850"/>
    <cellStyle name="40% - Ênfase4 5 4 2 5" xfId="27851"/>
    <cellStyle name="20% - Ênfase5 5 4 2 5" xfId="27852"/>
    <cellStyle name="40% - Ênfase5 5 4 2 5" xfId="27853"/>
    <cellStyle name="20% - Ênfase6 5 4 2 5" xfId="27854"/>
    <cellStyle name="40% - Ênfase6 5 4 2 5" xfId="27855"/>
    <cellStyle name="Normal 4 2 4 2 5" xfId="27856"/>
    <cellStyle name="Nota 2 2 4 2 5" xfId="27857"/>
    <cellStyle name="Normal 5 2 4 2 5" xfId="27858"/>
    <cellStyle name="Nota 3 2 4 2 5" xfId="27859"/>
    <cellStyle name="20% - Ênfase1 2 2 4 2 5" xfId="27860"/>
    <cellStyle name="40% - Ênfase1 2 2 4 2 5" xfId="27861"/>
    <cellStyle name="20% - Ênfase2 2 2 4 2 5" xfId="27862"/>
    <cellStyle name="40% - Ênfase2 2 2 4 2 5" xfId="27863"/>
    <cellStyle name="20% - Ênfase3 2 2 4 2 5" xfId="27864"/>
    <cellStyle name="40% - Ênfase3 2 2 4 2 5" xfId="27865"/>
    <cellStyle name="20% - Ênfase4 2 2 4 2 5" xfId="27866"/>
    <cellStyle name="40% - Ênfase4 2 2 4 2 5" xfId="27867"/>
    <cellStyle name="20% - Ênfase5 2 2 4 2 5" xfId="27868"/>
    <cellStyle name="40% - Ênfase5 2 2 4 2 5" xfId="27869"/>
    <cellStyle name="20% - Ênfase6 2 2 4 2 5" xfId="27870"/>
    <cellStyle name="40% - Ênfase6 2 2 4 2 5" xfId="27871"/>
    <cellStyle name="Normal 7 2 4 2 5" xfId="27872"/>
    <cellStyle name="Nota 4 6 2 5" xfId="27873"/>
    <cellStyle name="20% - Ênfase1 3 6 2 5" xfId="27874"/>
    <cellStyle name="40% - Ênfase1 3 6 2 5" xfId="27875"/>
    <cellStyle name="20% - Ênfase2 3 6 2 5" xfId="27876"/>
    <cellStyle name="40% - Ênfase2 3 6 2 5" xfId="27877"/>
    <cellStyle name="20% - Ênfase3 3 6 2 5" xfId="27878"/>
    <cellStyle name="40% - Ênfase3 3 6 2 5" xfId="27879"/>
    <cellStyle name="20% - Ênfase4 3 6 2 5" xfId="27880"/>
    <cellStyle name="40% - Ênfase4 3 6 2 5" xfId="27881"/>
    <cellStyle name="20% - Ênfase5 3 6 2 5" xfId="27882"/>
    <cellStyle name="40% - Ênfase5 3 6 2 5" xfId="27883"/>
    <cellStyle name="20% - Ênfase6 3 6 2 5" xfId="27884"/>
    <cellStyle name="40% - Ênfase6 3 6 2 5" xfId="27885"/>
    <cellStyle name="Normal 8 6 3 5" xfId="27886"/>
    <cellStyle name="Nota 5 6 2 5" xfId="27887"/>
    <cellStyle name="20% - Ênfase1 4 6 2 5" xfId="27888"/>
    <cellStyle name="40% - Ênfase1 4 6 2 5" xfId="27889"/>
    <cellStyle name="20% - Ênfase2 4 6 2 5" xfId="27890"/>
    <cellStyle name="40% - Ênfase2 4 6 2 5" xfId="27891"/>
    <cellStyle name="20% - Ênfase3 4 6 2 5" xfId="27892"/>
    <cellStyle name="40% - Ênfase3 4 6 2 5" xfId="27893"/>
    <cellStyle name="20% - Ênfase4 4 6 2 5" xfId="27894"/>
    <cellStyle name="40% - Ênfase4 4 6 2 5" xfId="27895"/>
    <cellStyle name="20% - Ênfase5 4 6 2 5" xfId="27896"/>
    <cellStyle name="40% - Ênfase5 4 6 2 5" xfId="27897"/>
    <cellStyle name="20% - Ênfase6 4 6 2 5" xfId="27898"/>
    <cellStyle name="40% - Ênfase6 4 6 2 5" xfId="27899"/>
    <cellStyle name="20% - Ênfase1 6 4 2 5" xfId="27900"/>
    <cellStyle name="40% - Ênfase1 6 4 2 5" xfId="27901"/>
    <cellStyle name="20% - Ênfase2 6 4 2 5" xfId="27902"/>
    <cellStyle name="40% - Ênfase2 6 4 2 5" xfId="27903"/>
    <cellStyle name="20% - Ênfase3 6 4 2 5" xfId="27904"/>
    <cellStyle name="40% - Ênfase3 6 4 2 5" xfId="27905"/>
    <cellStyle name="20% - Ênfase4 6 4 2 5" xfId="27906"/>
    <cellStyle name="40% - Ênfase4 6 4 2 5" xfId="27907"/>
    <cellStyle name="20% - Ênfase5 6 4 2 5" xfId="27908"/>
    <cellStyle name="40% - Ênfase5 6 4 2 5" xfId="27909"/>
    <cellStyle name="20% - Ênfase6 6 4 2 5" xfId="27910"/>
    <cellStyle name="40% - Ênfase6 6 4 2 5" xfId="27911"/>
    <cellStyle name="Normal 4 3 4 2 5" xfId="27912"/>
    <cellStyle name="Nota 2 3 4 2 5" xfId="27913"/>
    <cellStyle name="Normal 5 3 4 2 5" xfId="27914"/>
    <cellStyle name="Nota 3 3 4 2 5" xfId="27915"/>
    <cellStyle name="20% - Ênfase1 2 3 4 2 5" xfId="27916"/>
    <cellStyle name="40% - Ênfase1 2 3 4 2 5" xfId="27917"/>
    <cellStyle name="20% - Ênfase2 2 3 4 2 5" xfId="27918"/>
    <cellStyle name="40% - Ênfase2 2 3 4 2 5" xfId="27919"/>
    <cellStyle name="20% - Ênfase3 2 3 4 2 5" xfId="27920"/>
    <cellStyle name="40% - Ênfase3 2 3 4 2 5" xfId="27921"/>
    <cellStyle name="20% - Ênfase4 2 3 4 2 5" xfId="27922"/>
    <cellStyle name="40% - Ênfase4 2 3 4 2 5" xfId="27923"/>
    <cellStyle name="20% - Ênfase5 2 3 4 2 5" xfId="27924"/>
    <cellStyle name="40% - Ênfase5 2 3 4 2 5" xfId="27925"/>
    <cellStyle name="20% - Ênfase6 2 3 4 2 5" xfId="27926"/>
    <cellStyle name="40% - Ênfase6 2 3 4 2 5" xfId="27927"/>
    <cellStyle name="Normal 7 3 4 2 5" xfId="27928"/>
    <cellStyle name="Nota 4 2 4 2 5" xfId="27929"/>
    <cellStyle name="20% - Ênfase1 3 2 4 2 5" xfId="27930"/>
    <cellStyle name="40% - Ênfase1 3 2 4 2 5" xfId="27931"/>
    <cellStyle name="20% - Ênfase2 3 2 4 2 5" xfId="27932"/>
    <cellStyle name="40% - Ênfase2 3 2 4 2 5" xfId="27933"/>
    <cellStyle name="20% - Ênfase3 3 2 4 2 5" xfId="27934"/>
    <cellStyle name="40% - Ênfase3 3 2 4 2 5" xfId="27935"/>
    <cellStyle name="20% - Ênfase4 3 2 4 2 5" xfId="27936"/>
    <cellStyle name="40% - Ênfase4 3 2 4 2 5" xfId="27937"/>
    <cellStyle name="20% - Ênfase5 3 2 4 2 5" xfId="27938"/>
    <cellStyle name="40% - Ênfase5 3 2 4 2 5" xfId="27939"/>
    <cellStyle name="20% - Ênfase6 3 2 4 2 5" xfId="27940"/>
    <cellStyle name="40% - Ênfase6 3 2 4 2 5" xfId="27941"/>
    <cellStyle name="Normal 8 2 4 2 5" xfId="27942"/>
    <cellStyle name="Nota 5 2 4 2 5" xfId="27943"/>
    <cellStyle name="20% - Ênfase1 4 2 4 2 5" xfId="27944"/>
    <cellStyle name="40% - Ênfase1 4 2 4 2 5" xfId="27945"/>
    <cellStyle name="20% - Ênfase2 4 2 4 2 5" xfId="27946"/>
    <cellStyle name="40% - Ênfase2 4 2 4 2 5" xfId="27947"/>
    <cellStyle name="20% - Ênfase3 4 2 4 2 5" xfId="27948"/>
    <cellStyle name="40% - Ênfase3 4 2 4 2 5" xfId="27949"/>
    <cellStyle name="20% - Ênfase4 4 2 4 2 5" xfId="27950"/>
    <cellStyle name="40% - Ênfase4 4 2 4 2 5" xfId="27951"/>
    <cellStyle name="20% - Ênfase5 4 2 4 2 5" xfId="27952"/>
    <cellStyle name="40% - Ênfase5 4 2 4 2 5" xfId="27953"/>
    <cellStyle name="20% - Ênfase6 4 2 4 2 5" xfId="27954"/>
    <cellStyle name="40% - Ênfase6 4 2 4 2 5" xfId="27955"/>
    <cellStyle name="20% - Ênfase1 8 3 2 5" xfId="27956"/>
    <cellStyle name="40% - Ênfase1 8 3 2 5" xfId="27957"/>
    <cellStyle name="20% - Ênfase2 8 3 2 5" xfId="27958"/>
    <cellStyle name="40% - Ênfase2 8 3 2 5" xfId="27959"/>
    <cellStyle name="20% - Ênfase3 8 3 2 5" xfId="27960"/>
    <cellStyle name="40% - Ênfase3 8 3 2 5" xfId="27961"/>
    <cellStyle name="20% - Ênfase4 8 3 2 5" xfId="27962"/>
    <cellStyle name="40% - Ênfase4 8 3 2 5" xfId="27963"/>
    <cellStyle name="20% - Ênfase5 8 3 2 5" xfId="27964"/>
    <cellStyle name="40% - Ênfase5 8 3 2 5" xfId="27965"/>
    <cellStyle name="20% - Ênfase6 8 3 2 5" xfId="27966"/>
    <cellStyle name="40% - Ênfase6 8 3 2 5" xfId="27967"/>
    <cellStyle name="Normal 4 5 3 2 5" xfId="27968"/>
    <cellStyle name="Nota 2 5 3 2 5" xfId="27969"/>
    <cellStyle name="Normal 5 5 3 2 5" xfId="27970"/>
    <cellStyle name="Nota 3 5 3 2 5" xfId="27971"/>
    <cellStyle name="20% - Ênfase1 2 5 3 2 5" xfId="27972"/>
    <cellStyle name="40% - Ênfase1 2 5 3 2 5" xfId="27973"/>
    <cellStyle name="20% - Ênfase2 2 5 3 2 5" xfId="27974"/>
    <cellStyle name="40% - Ênfase2 2 5 3 2 5" xfId="27975"/>
    <cellStyle name="20% - Ênfase3 2 5 3 2 5" xfId="27976"/>
    <cellStyle name="40% - Ênfase3 2 5 3 2 5" xfId="27977"/>
    <cellStyle name="20% - Ênfase4 2 5 3 2 5" xfId="27978"/>
    <cellStyle name="40% - Ênfase4 2 5 3 2 5" xfId="27979"/>
    <cellStyle name="20% - Ênfase5 2 5 3 2 5" xfId="27980"/>
    <cellStyle name="40% - Ênfase5 2 5 3 2 5" xfId="27981"/>
    <cellStyle name="20% - Ênfase6 2 5 3 2 5" xfId="27982"/>
    <cellStyle name="40% - Ênfase6 2 5 3 2 5" xfId="27983"/>
    <cellStyle name="Normal 7 5 3 2 5" xfId="27984"/>
    <cellStyle name="Nota 4 4 3 2 5" xfId="27985"/>
    <cellStyle name="20% - Ênfase1 3 4 3 2 5" xfId="27986"/>
    <cellStyle name="40% - Ênfase1 3 4 3 2 5" xfId="27987"/>
    <cellStyle name="20% - Ênfase2 3 4 3 2 5" xfId="27988"/>
    <cellStyle name="40% - Ênfase2 3 4 3 2 5" xfId="27989"/>
    <cellStyle name="20% - Ênfase3 3 4 3 2 5" xfId="27990"/>
    <cellStyle name="40% - Ênfase3 3 4 3 2 5" xfId="27991"/>
    <cellStyle name="20% - Ênfase4 3 4 3 2 5" xfId="27992"/>
    <cellStyle name="40% - Ênfase4 3 4 3 2 5" xfId="27993"/>
    <cellStyle name="20% - Ênfase5 3 4 3 2 5" xfId="27994"/>
    <cellStyle name="40% - Ênfase5 3 4 3 2 5" xfId="27995"/>
    <cellStyle name="20% - Ênfase6 3 4 3 2 5" xfId="27996"/>
    <cellStyle name="40% - Ênfase6 3 4 3 2 5" xfId="27997"/>
    <cellStyle name="Normal 8 4 3 2 5" xfId="27998"/>
    <cellStyle name="Nota 5 4 3 2 5" xfId="27999"/>
    <cellStyle name="20% - Ênfase1 4 4 3 2 5" xfId="28000"/>
    <cellStyle name="40% - Ênfase1 4 4 3 2 5" xfId="28001"/>
    <cellStyle name="20% - Ênfase2 4 4 3 2 5" xfId="28002"/>
    <cellStyle name="40% - Ênfase2 4 4 3 2 5" xfId="28003"/>
    <cellStyle name="20% - Ênfase3 4 4 3 2 5" xfId="28004"/>
    <cellStyle name="40% - Ênfase3 4 4 3 2 5" xfId="28005"/>
    <cellStyle name="20% - Ênfase4 4 4 3 2 5" xfId="28006"/>
    <cellStyle name="40% - Ênfase4 4 4 3 2 5" xfId="28007"/>
    <cellStyle name="20% - Ênfase5 4 4 3 2 5" xfId="28008"/>
    <cellStyle name="40% - Ênfase5 4 4 3 2 5" xfId="28009"/>
    <cellStyle name="20% - Ênfase6 4 4 3 2 5" xfId="28010"/>
    <cellStyle name="40% - Ênfase6 4 4 3 2 5" xfId="28011"/>
    <cellStyle name="Normal 3 3 3 2 5" xfId="28012"/>
    <cellStyle name="20% - Ênfase1 5 2 3 2 5" xfId="28013"/>
    <cellStyle name="40% - Ênfase1 5 2 3 2 5" xfId="28014"/>
    <cellStyle name="20% - Ênfase2 5 2 3 2 5" xfId="28015"/>
    <cellStyle name="40% - Ênfase2 5 2 3 2 5" xfId="28016"/>
    <cellStyle name="20% - Ênfase3 5 2 3 2 5" xfId="28017"/>
    <cellStyle name="40% - Ênfase3 5 2 3 2 5" xfId="28018"/>
    <cellStyle name="20% - Ênfase4 5 2 3 2 5" xfId="28019"/>
    <cellStyle name="40% - Ênfase4 5 2 3 2 5" xfId="28020"/>
    <cellStyle name="20% - Ênfase5 5 2 3 2 5" xfId="28021"/>
    <cellStyle name="40% - Ênfase5 5 2 3 2 5" xfId="28022"/>
    <cellStyle name="20% - Ênfase6 5 2 3 2 5" xfId="28023"/>
    <cellStyle name="40% - Ênfase6 5 2 3 2 5" xfId="28024"/>
    <cellStyle name="Normal 4 2 2 3 2 5" xfId="28025"/>
    <cellStyle name="Nota 2 2 2 3 2 5" xfId="28026"/>
    <cellStyle name="Normal 5 2 2 3 2 5" xfId="28027"/>
    <cellStyle name="Nota 3 2 2 3 2 5" xfId="28028"/>
    <cellStyle name="20% - Ênfase1 2 2 2 3 2 5" xfId="28029"/>
    <cellStyle name="40% - Ênfase1 2 2 2 3 2 5" xfId="28030"/>
    <cellStyle name="20% - Ênfase2 2 2 2 3 2 5" xfId="28031"/>
    <cellStyle name="40% - Ênfase2 2 2 2 3 2 5" xfId="28032"/>
    <cellStyle name="20% - Ênfase3 2 2 2 3 2 5" xfId="28033"/>
    <cellStyle name="40% - Ênfase3 2 2 2 3 2 5" xfId="28034"/>
    <cellStyle name="20% - Ênfase4 2 2 2 3 2 5" xfId="28035"/>
    <cellStyle name="40% - Ênfase4 2 2 2 3 2 5" xfId="28036"/>
    <cellStyle name="20% - Ênfase5 2 2 2 3 2 5" xfId="28037"/>
    <cellStyle name="40% - Ênfase5 2 2 2 3 2 5" xfId="28038"/>
    <cellStyle name="20% - Ênfase6 2 2 2 3 2 5" xfId="28039"/>
    <cellStyle name="40% - Ênfase6 2 2 2 3 2 5" xfId="28040"/>
    <cellStyle name="Normal 7 2 2 3 2 5" xfId="28041"/>
    <cellStyle name="Nota 4 3 3 2 5" xfId="28042"/>
    <cellStyle name="20% - Ênfase1 3 3 3 2 5" xfId="28043"/>
    <cellStyle name="40% - Ênfase1 3 3 3 2 5" xfId="28044"/>
    <cellStyle name="20% - Ênfase2 3 3 3 2 5" xfId="28045"/>
    <cellStyle name="40% - Ênfase2 3 3 3 2 5" xfId="28046"/>
    <cellStyle name="20% - Ênfase3 3 3 3 2 5" xfId="28047"/>
    <cellStyle name="40% - Ênfase3 3 3 3 2 5" xfId="28048"/>
    <cellStyle name="20% - Ênfase4 3 3 3 2 5" xfId="28049"/>
    <cellStyle name="40% - Ênfase4 3 3 3 2 5" xfId="28050"/>
    <cellStyle name="20% - Ênfase5 3 3 3 2 5" xfId="28051"/>
    <cellStyle name="40% - Ênfase5 3 3 3 2 5" xfId="28052"/>
    <cellStyle name="20% - Ênfase6 3 3 3 2 5" xfId="28053"/>
    <cellStyle name="40% - Ênfase6 3 3 3 2 5" xfId="28054"/>
    <cellStyle name="Normal 8 3 3 2 5" xfId="28055"/>
    <cellStyle name="Nota 5 3 3 2 5" xfId="28056"/>
    <cellStyle name="20% - Ênfase1 4 3 3 2 5" xfId="28057"/>
    <cellStyle name="40% - Ênfase1 4 3 3 2 5" xfId="28058"/>
    <cellStyle name="20% - Ênfase2 4 3 3 2 5" xfId="28059"/>
    <cellStyle name="40% - Ênfase2 4 3 3 2 5" xfId="28060"/>
    <cellStyle name="20% - Ênfase3 4 3 3 2 5" xfId="28061"/>
    <cellStyle name="40% - Ênfase3 4 3 3 2 5" xfId="28062"/>
    <cellStyle name="20% - Ênfase4 4 3 3 2 5" xfId="28063"/>
    <cellStyle name="40% - Ênfase4 4 3 3 2 5" xfId="28064"/>
    <cellStyle name="20% - Ênfase5 4 3 3 2 5" xfId="28065"/>
    <cellStyle name="40% - Ênfase5 4 3 3 2 5" xfId="28066"/>
    <cellStyle name="20% - Ênfase6 4 3 3 2 5" xfId="28067"/>
    <cellStyle name="40% - Ênfase6 4 3 3 2 5" xfId="28068"/>
    <cellStyle name="20% - Ênfase1 6 2 3 2 5" xfId="28069"/>
    <cellStyle name="40% - Ênfase1 6 2 3 2 5" xfId="28070"/>
    <cellStyle name="20% - Ênfase2 6 2 3 2 5" xfId="28071"/>
    <cellStyle name="40% - Ênfase2 6 2 3 2 5" xfId="28072"/>
    <cellStyle name="20% - Ênfase3 6 2 3 2 5" xfId="28073"/>
    <cellStyle name="40% - Ênfase3 6 2 3 2 5" xfId="28074"/>
    <cellStyle name="20% - Ênfase4 6 2 3 2 5" xfId="28075"/>
    <cellStyle name="40% - Ênfase4 6 2 3 2 5" xfId="28076"/>
    <cellStyle name="20% - Ênfase5 6 2 3 2 5" xfId="28077"/>
    <cellStyle name="40% - Ênfase5 6 2 3 2 5" xfId="28078"/>
    <cellStyle name="20% - Ênfase6 6 2 3 2 5" xfId="28079"/>
    <cellStyle name="40% - Ênfase6 6 2 3 2 5" xfId="28080"/>
    <cellStyle name="Normal 4 3 2 3 2 5" xfId="28081"/>
    <cellStyle name="Nota 2 3 2 3 2 5" xfId="28082"/>
    <cellStyle name="Normal 5 3 2 3 2 5" xfId="28083"/>
    <cellStyle name="Nota 3 3 2 3 2 5" xfId="28084"/>
    <cellStyle name="20% - Ênfase1 2 3 2 3 2 5" xfId="28085"/>
    <cellStyle name="40% - Ênfase1 2 3 2 3 2 5" xfId="28086"/>
    <cellStyle name="20% - Ênfase2 2 3 2 3 2 5" xfId="28087"/>
    <cellStyle name="40% - Ênfase2 2 3 2 3 2 5" xfId="28088"/>
    <cellStyle name="20% - Ênfase3 2 3 2 3 2 5" xfId="28089"/>
    <cellStyle name="40% - Ênfase3 2 3 2 3 2 5" xfId="28090"/>
    <cellStyle name="20% - Ênfase4 2 3 2 3 2 5" xfId="28091"/>
    <cellStyle name="40% - Ênfase4 2 3 2 3 2 5" xfId="28092"/>
    <cellStyle name="20% - Ênfase5 2 3 2 3 2 5" xfId="28093"/>
    <cellStyle name="40% - Ênfase5 2 3 2 3 2 5" xfId="28094"/>
    <cellStyle name="20% - Ênfase6 2 3 2 3 2 5" xfId="28095"/>
    <cellStyle name="40% - Ênfase6 2 3 2 3 2 5" xfId="28096"/>
    <cellStyle name="Normal 7 3 2 3 2 5" xfId="28097"/>
    <cellStyle name="Nota 4 2 2 3 2 5" xfId="28098"/>
    <cellStyle name="20% - Ênfase1 3 2 2 3 2 5" xfId="28099"/>
    <cellStyle name="40% - Ênfase1 3 2 2 3 2 5" xfId="28100"/>
    <cellStyle name="20% - Ênfase2 3 2 2 3 2 5" xfId="28101"/>
    <cellStyle name="40% - Ênfase2 3 2 2 3 2 5" xfId="28102"/>
    <cellStyle name="20% - Ênfase3 3 2 2 3 2 5" xfId="28103"/>
    <cellStyle name="40% - Ênfase3 3 2 2 3 2 5" xfId="28104"/>
    <cellStyle name="20% - Ênfase4 3 2 2 3 2 5" xfId="28105"/>
    <cellStyle name="40% - Ênfase4 3 2 2 3 2 5" xfId="28106"/>
    <cellStyle name="20% - Ênfase5 3 2 2 3 2 5" xfId="28107"/>
    <cellStyle name="40% - Ênfase5 3 2 2 3 2 5" xfId="28108"/>
    <cellStyle name="20% - Ênfase6 3 2 2 3 2 5" xfId="28109"/>
    <cellStyle name="40% - Ênfase6 3 2 2 3 2 5" xfId="28110"/>
    <cellStyle name="Normal 8 2 2 3 2 5" xfId="28111"/>
    <cellStyle name="Nota 5 2 2 3 2 5" xfId="28112"/>
    <cellStyle name="20% - Ênfase1 4 2 2 3 2 5" xfId="28113"/>
    <cellStyle name="40% - Ênfase1 4 2 2 3 2 5" xfId="28114"/>
    <cellStyle name="20% - Ênfase2 4 2 2 3 2 5" xfId="28115"/>
    <cellStyle name="40% - Ênfase2 4 2 2 3 2 5" xfId="28116"/>
    <cellStyle name="20% - Ênfase3 4 2 2 3 2 5" xfId="28117"/>
    <cellStyle name="40% - Ênfase3 4 2 2 3 2 5" xfId="28118"/>
    <cellStyle name="20% - Ênfase4 4 2 2 3 2 5" xfId="28119"/>
    <cellStyle name="40% - Ênfase4 4 2 2 3 2 5" xfId="28120"/>
    <cellStyle name="20% - Ênfase5 4 2 2 3 2 5" xfId="28121"/>
    <cellStyle name="40% - Ênfase5 4 2 2 3 2 5" xfId="28122"/>
    <cellStyle name="20% - Ênfase6 4 2 2 3 2 5" xfId="28123"/>
    <cellStyle name="40% - Ênfase6 4 2 2 3 2 5" xfId="28124"/>
    <cellStyle name="Normal 3 6 2 5" xfId="28125"/>
    <cellStyle name="20% - Ênfase1 5 5 2 5" xfId="28126"/>
    <cellStyle name="40% - Ênfase1 5 5 2 5" xfId="28127"/>
    <cellStyle name="20% - Ênfase2 5 5 2 5" xfId="28128"/>
    <cellStyle name="40% - Ênfase2 5 5 2 5" xfId="28129"/>
    <cellStyle name="20% - Ênfase3 5 5 2 5" xfId="28130"/>
    <cellStyle name="40% - Ênfase3 5 5 2 5" xfId="28131"/>
    <cellStyle name="20% - Ênfase4 5 5 2 5" xfId="28132"/>
    <cellStyle name="40% - Ênfase4 5 5 2 5" xfId="28133"/>
    <cellStyle name="20% - Ênfase5 5 5 2 5" xfId="28134"/>
    <cellStyle name="40% - Ênfase5 5 5 2 5" xfId="28135"/>
    <cellStyle name="20% - Ênfase6 5 5 2 5" xfId="28136"/>
    <cellStyle name="40% - Ênfase6 5 5 2 5" xfId="28137"/>
    <cellStyle name="Normal 4 2 5 2 5" xfId="28138"/>
    <cellStyle name="Nota 2 2 5 2 5" xfId="28139"/>
    <cellStyle name="Normal 5 2 5 2 5" xfId="28140"/>
    <cellStyle name="Nota 3 2 5 2 5" xfId="28141"/>
    <cellStyle name="20% - Ênfase1 2 2 5 2 5" xfId="28142"/>
    <cellStyle name="40% - Ênfase1 2 2 5 2 5" xfId="28143"/>
    <cellStyle name="20% - Ênfase2 2 2 5 2 5" xfId="28144"/>
    <cellStyle name="40% - Ênfase2 2 2 5 2 5" xfId="28145"/>
    <cellStyle name="20% - Ênfase3 2 2 5 2 5" xfId="28146"/>
    <cellStyle name="40% - Ênfase3 2 2 5 2 5" xfId="28147"/>
    <cellStyle name="20% - Ênfase4 2 2 5 2 5" xfId="28148"/>
    <cellStyle name="40% - Ênfase4 2 2 5 2 5" xfId="28149"/>
    <cellStyle name="20% - Ênfase5 2 2 5 2 5" xfId="28150"/>
    <cellStyle name="40% - Ênfase5 2 2 5 2 5" xfId="28151"/>
    <cellStyle name="20% - Ênfase6 2 2 5 2 5" xfId="28152"/>
    <cellStyle name="40% - Ênfase6 2 2 5 2 5" xfId="28153"/>
    <cellStyle name="Normal 7 2 5 2 5" xfId="28154"/>
    <cellStyle name="Nota 4 7 2 5" xfId="28155"/>
    <cellStyle name="20% - Ênfase1 3 7 2 5" xfId="28156"/>
    <cellStyle name="40% - Ênfase1 3 7 2 5" xfId="28157"/>
    <cellStyle name="20% - Ênfase2 3 7 2 5" xfId="28158"/>
    <cellStyle name="40% - Ênfase2 3 7 2 5" xfId="28159"/>
    <cellStyle name="20% - Ênfase3 3 7 2 5" xfId="28160"/>
    <cellStyle name="40% - Ênfase3 3 7 2 5" xfId="28161"/>
    <cellStyle name="20% - Ênfase4 3 7 2 5" xfId="28162"/>
    <cellStyle name="40% - Ênfase4 3 7 2 5" xfId="28163"/>
    <cellStyle name="20% - Ênfase5 3 7 2 5" xfId="28164"/>
    <cellStyle name="40% - Ênfase5 3 7 2 5" xfId="28165"/>
    <cellStyle name="20% - Ênfase6 3 7 2 5" xfId="28166"/>
    <cellStyle name="40% - Ênfase6 3 7 2 5" xfId="28167"/>
    <cellStyle name="Normal 8 7 2 5" xfId="28168"/>
    <cellStyle name="Nota 5 7 2 5" xfId="28169"/>
    <cellStyle name="20% - Ênfase1 4 7 2 5" xfId="28170"/>
    <cellStyle name="40% - Ênfase1 4 7 2 5" xfId="28171"/>
    <cellStyle name="20% - Ênfase2 4 7 2 5" xfId="28172"/>
    <cellStyle name="40% - Ênfase2 4 7 2 5" xfId="28173"/>
    <cellStyle name="20% - Ênfase3 4 7 2 5" xfId="28174"/>
    <cellStyle name="40% - Ênfase3 4 7 2 5" xfId="28175"/>
    <cellStyle name="20% - Ênfase4 4 7 2 5" xfId="28176"/>
    <cellStyle name="40% - Ênfase4 4 7 2 5" xfId="28177"/>
    <cellStyle name="20% - Ênfase5 4 7 2 5" xfId="28178"/>
    <cellStyle name="40% - Ênfase5 4 7 2 5" xfId="28179"/>
    <cellStyle name="20% - Ênfase6 4 7 2 5" xfId="28180"/>
    <cellStyle name="40% - Ênfase6 4 7 2 5" xfId="28181"/>
    <cellStyle name="Normal 6 4 2 5" xfId="28182"/>
    <cellStyle name="Separador de milhares 7 2 2 5" xfId="28183"/>
    <cellStyle name="Vírgula 2 11" xfId="28184"/>
    <cellStyle name="Vírgula 23" xfId="28185"/>
    <cellStyle name="Separador de milhares 2 13" xfId="28186"/>
    <cellStyle name="Separador de milhares 3 10" xfId="28187"/>
    <cellStyle name="Separador de milhares 4 9" xfId="28188"/>
    <cellStyle name="Separador de milhares 5 10" xfId="28189"/>
    <cellStyle name="Separador de milhares 6 10" xfId="28190"/>
    <cellStyle name="Separador de milhares 7 8" xfId="28191"/>
    <cellStyle name="Normal 3 2 7" xfId="28192"/>
    <cellStyle name="Normal 6 11" xfId="28193"/>
    <cellStyle name="Comma 2 8" xfId="28194"/>
    <cellStyle name="Percent 2 8" xfId="28195"/>
    <cellStyle name="Separador de milhares 3 3 7" xfId="28196"/>
    <cellStyle name="Normal 6 2 7" xfId="28197"/>
    <cellStyle name="Comma 2 2 7" xfId="28198"/>
    <cellStyle name="Percent 2 2 6" xfId="28199"/>
    <cellStyle name="Normal 7 12" xfId="28200"/>
    <cellStyle name="Normal 8 17" xfId="28201"/>
    <cellStyle name="Comma 4 7" xfId="28202"/>
    <cellStyle name="Percent 3 7" xfId="28203"/>
    <cellStyle name="Normal 9 8" xfId="28204"/>
    <cellStyle name="Comma 5 7" xfId="28205"/>
    <cellStyle name="Normal 8 2 11" xfId="28206"/>
    <cellStyle name="Normal 8 3 10" xfId="28207"/>
    <cellStyle name="Normal 8 4 10" xfId="28208"/>
    <cellStyle name="Normal 8 5 10" xfId="28209"/>
    <cellStyle name="Normal 8 5 2 8" xfId="28210"/>
    <cellStyle name="Normal 7 2 12" xfId="28211"/>
    <cellStyle name="Vírgula 9 7" xfId="28212"/>
    <cellStyle name="Separador de milhares 2 2 9" xfId="28213"/>
    <cellStyle name="Separador de milhares 3 4 6" xfId="28214"/>
    <cellStyle name="Separador de milhares 4 3 6" xfId="28215"/>
    <cellStyle name="Separador de milhares 5 3 6" xfId="28216"/>
    <cellStyle name="Separador de milhares 6 3 6" xfId="28217"/>
    <cellStyle name="Separador de milhares 7 3 7" xfId="28218"/>
    <cellStyle name="Normal 3 2 2 6" xfId="28219"/>
    <cellStyle name="Normal 6 3 6" xfId="28220"/>
    <cellStyle name="Comma 2 3 6" xfId="28221"/>
    <cellStyle name="Percent 2 3 5" xfId="28222"/>
    <cellStyle name="Separador de milhares 3 3 2 6" xfId="28223"/>
    <cellStyle name="Normal 6 2 2 5" xfId="28224"/>
    <cellStyle name="Comma 2 2 2 5" xfId="28225"/>
    <cellStyle name="Percent 2 2 2 5" xfId="28226"/>
    <cellStyle name="Normal 7 3 11" xfId="28227"/>
    <cellStyle name="Comma 3 2 5" xfId="28228"/>
    <cellStyle name="Normal 8 6 8" xfId="28229"/>
    <cellStyle name="Comma 4 2 5" xfId="28230"/>
    <cellStyle name="Percent 3 2 5" xfId="28231"/>
    <cellStyle name="Normal 9 2 6" xfId="28232"/>
    <cellStyle name="Comma 5 2 5" xfId="28233"/>
    <cellStyle name="Normal 8 2 2 10" xfId="28234"/>
    <cellStyle name="Vírgula 13 2 5" xfId="28235"/>
    <cellStyle name="Vírgula 4 2 2 7" xfId="28236"/>
    <cellStyle name="Normal 8 3 2 8" xfId="28237"/>
    <cellStyle name="Normal 8 4 2 8" xfId="28238"/>
    <cellStyle name="Normal 8 5 3 6" xfId="28239"/>
    <cellStyle name="Normal 8 5 2 2 5" xfId="28240"/>
    <cellStyle name="Normal 7 2 2 10" xfId="28241"/>
    <cellStyle name="Vírgula 18 2 5" xfId="28242"/>
    <cellStyle name="Vírgula 12 2 6" xfId="28243"/>
    <cellStyle name="Normal 12 6" xfId="28244"/>
    <cellStyle name="Normal 3 8 6" xfId="28245"/>
    <cellStyle name="Percent 3 3 5" xfId="28246"/>
    <cellStyle name="Comma 2 4 5" xfId="28247"/>
    <cellStyle name="Comma 2 2 3 5" xfId="28248"/>
    <cellStyle name="Normal 6 7 5" xfId="28249"/>
    <cellStyle name="Normal 3 2 3 5" xfId="28250"/>
    <cellStyle name="Separador de milhares 2 9 5" xfId="28251"/>
    <cellStyle name="Normal 7 8 5" xfId="28252"/>
    <cellStyle name="Comma 2 3 2 5" xfId="28253"/>
    <cellStyle name="Separador de milhares 2 8 5" xfId="28254"/>
    <cellStyle name="Separador de milhares 3 6 5" xfId="28255"/>
    <cellStyle name="Separador de milhares 4 5 6" xfId="28256"/>
    <cellStyle name="Separador de milhares 5 5 6" xfId="28257"/>
    <cellStyle name="Separador de milhares 6 6 6" xfId="28258"/>
    <cellStyle name="Separador de milhares 7 4 5" xfId="28259"/>
    <cellStyle name="Comma 3 3 5" xfId="28260"/>
    <cellStyle name="Vírgula 7 2 5" xfId="28261"/>
    <cellStyle name="20% - Ênfase1 2 2 12" xfId="28262"/>
    <cellStyle name="20% - Ênfase1 2 2 2 9" xfId="28263"/>
    <cellStyle name="20% - Ênfase1 2 2 2 2 7" xfId="28264"/>
    <cellStyle name="20% - Ênfase1 2 2 2 3 7" xfId="28265"/>
    <cellStyle name="20% - Ênfase1 2 2 3 7" xfId="28266"/>
    <cellStyle name="20% - Ênfase1 2 2 4 7" xfId="28267"/>
    <cellStyle name="20% - Ênfase1 2 2 5 7" xfId="28268"/>
    <cellStyle name="20% - Ênfase1 2 3 11" xfId="28269"/>
    <cellStyle name="20% - Ênfase1 2 3 2 9" xfId="28270"/>
    <cellStyle name="20% - Ênfase1 2 3 2 2 7" xfId="28271"/>
    <cellStyle name="20% - Ênfase1 2 3 2 3 7" xfId="28272"/>
    <cellStyle name="20% - Ênfase1 2 3 3 7" xfId="28273"/>
    <cellStyle name="20% - Ênfase1 2 3 4 7" xfId="28274"/>
    <cellStyle name="20% - Ênfase1 2 5 9" xfId="28275"/>
    <cellStyle name="20% - Ênfase1 2 5 2 7" xfId="28276"/>
    <cellStyle name="20% - Ênfase1 2 5 3 7" xfId="28277"/>
    <cellStyle name="20% - Ênfase1 3 14" xfId="28278"/>
    <cellStyle name="20% - Ênfase1 3 2 11" xfId="28279"/>
    <cellStyle name="20% - Ênfase1 3 2 2 9" xfId="28280"/>
    <cellStyle name="20% - Ênfase1 3 2 2 2 7" xfId="28281"/>
    <cellStyle name="20% - Ênfase1 3 2 2 3 7" xfId="28282"/>
    <cellStyle name="20% - Ênfase1 3 2 3 7" xfId="28283"/>
    <cellStyle name="20% - Ênfase1 3 2 4 7" xfId="28284"/>
    <cellStyle name="20% - Ênfase1 3 3 10" xfId="28285"/>
    <cellStyle name="20% - Ênfase1 3 3 2 7" xfId="28286"/>
    <cellStyle name="20% - Ênfase1 3 3 3 7" xfId="28287"/>
    <cellStyle name="20% - Ênfase1 3 4 9" xfId="28288"/>
    <cellStyle name="20% - Ênfase1 3 4 2 7" xfId="28289"/>
    <cellStyle name="20% - Ênfase1 3 4 3 7" xfId="28290"/>
    <cellStyle name="20% - Ênfase1 3 5 7" xfId="28291"/>
    <cellStyle name="20% - Ênfase1 3 6 7" xfId="28292"/>
    <cellStyle name="20% - Ênfase1 3 7 7" xfId="28293"/>
    <cellStyle name="20% - Ênfase1 4 14" xfId="28294"/>
    <cellStyle name="20% - Ênfase1 4 2 11" xfId="28295"/>
    <cellStyle name="20% - Ênfase1 4 2 2 9" xfId="28296"/>
    <cellStyle name="20% - Ênfase1 4 2 2 2 7" xfId="28297"/>
    <cellStyle name="20% - Ênfase1 4 2 2 3 7" xfId="28298"/>
    <cellStyle name="20% - Ênfase1 4 2 3 7" xfId="28299"/>
    <cellStyle name="20% - Ênfase1 4 2 4 7" xfId="28300"/>
    <cellStyle name="20% - Ênfase1 4 3 10" xfId="28301"/>
    <cellStyle name="20% - Ênfase1 4 3 2 7" xfId="28302"/>
    <cellStyle name="20% - Ênfase1 4 3 3 7" xfId="28303"/>
    <cellStyle name="20% - Ênfase1 4 4 9" xfId="28304"/>
    <cellStyle name="20% - Ênfase1 4 4 2 7" xfId="28305"/>
    <cellStyle name="20% - Ênfase1 4 4 3 7" xfId="28306"/>
    <cellStyle name="20% - Ênfase1 4 5 7" xfId="28307"/>
    <cellStyle name="20% - Ênfase1 4 6 7" xfId="28308"/>
    <cellStyle name="20% - Ênfase1 4 7 7" xfId="28309"/>
    <cellStyle name="20% - Ênfase1 5 12" xfId="28310"/>
    <cellStyle name="20% - Ênfase1 5 2 9" xfId="28311"/>
    <cellStyle name="20% - Ênfase1 5 2 2 7" xfId="28312"/>
    <cellStyle name="20% - Ênfase1 5 2 3 7" xfId="28313"/>
    <cellStyle name="20% - Ênfase1 5 3 7" xfId="28314"/>
    <cellStyle name="20% - Ênfase1 5 4 7" xfId="28315"/>
    <cellStyle name="20% - Ênfase1 5 5 7" xfId="28316"/>
    <cellStyle name="20% - Ênfase1 6 11" xfId="28317"/>
    <cellStyle name="20% - Ênfase1 6 2 9" xfId="28318"/>
    <cellStyle name="20% - Ênfase1 6 2 2 7" xfId="28319"/>
    <cellStyle name="20% - Ênfase1 6 2 3 7" xfId="28320"/>
    <cellStyle name="20% - Ênfase1 6 3 7" xfId="28321"/>
    <cellStyle name="20% - Ênfase1 6 4 7" xfId="28322"/>
    <cellStyle name="20% - Ênfase1 8 9" xfId="28323"/>
    <cellStyle name="20% - Ênfase1 8 2 7" xfId="28324"/>
    <cellStyle name="20% - Ênfase1 8 3 7" xfId="28325"/>
    <cellStyle name="20% - Ênfase2 2 2 12" xfId="28326"/>
    <cellStyle name="20% - Ênfase2 2 2 2 9" xfId="28327"/>
    <cellStyle name="20% - Ênfase2 2 2 2 2 7" xfId="28328"/>
    <cellStyle name="20% - Ênfase2 2 2 2 3 7" xfId="28329"/>
    <cellStyle name="20% - Ênfase2 2 2 3 7" xfId="28330"/>
    <cellStyle name="20% - Ênfase2 2 2 4 7" xfId="28331"/>
    <cellStyle name="20% - Ênfase2 2 2 5 7" xfId="28332"/>
    <cellStyle name="20% - Ênfase2 2 3 11" xfId="28333"/>
    <cellStyle name="20% - Ênfase2 2 3 2 9" xfId="28334"/>
    <cellStyle name="20% - Ênfase2 2 3 2 2 7" xfId="28335"/>
    <cellStyle name="20% - Ênfase2 2 3 2 3 7" xfId="28336"/>
    <cellStyle name="20% - Ênfase2 2 3 3 7" xfId="28337"/>
    <cellStyle name="20% - Ênfase2 2 3 4 7" xfId="28338"/>
    <cellStyle name="20% - Ênfase2 2 5 9" xfId="28339"/>
    <cellStyle name="20% - Ênfase2 2 5 2 7" xfId="28340"/>
    <cellStyle name="20% - Ênfase2 2 5 3 7" xfId="28341"/>
    <cellStyle name="20% - Ênfase2 3 14" xfId="28342"/>
    <cellStyle name="20% - Ênfase2 3 2 11" xfId="28343"/>
    <cellStyle name="20% - Ênfase2 3 2 2 9" xfId="28344"/>
    <cellStyle name="20% - Ênfase2 3 2 2 2 7" xfId="28345"/>
    <cellStyle name="20% - Ênfase2 3 2 2 3 7" xfId="28346"/>
    <cellStyle name="20% - Ênfase2 3 2 3 7" xfId="28347"/>
    <cellStyle name="20% - Ênfase2 3 2 4 7" xfId="28348"/>
    <cellStyle name="20% - Ênfase2 3 3 10" xfId="28349"/>
    <cellStyle name="20% - Ênfase2 3 3 2 7" xfId="28350"/>
    <cellStyle name="20% - Ênfase2 3 3 3 7" xfId="28351"/>
    <cellStyle name="20% - Ênfase2 3 4 9" xfId="28352"/>
    <cellStyle name="20% - Ênfase2 3 4 2 7" xfId="28353"/>
    <cellStyle name="20% - Ênfase2 3 4 3 7" xfId="28354"/>
    <cellStyle name="20% - Ênfase2 3 5 7" xfId="28355"/>
    <cellStyle name="20% - Ênfase2 3 6 7" xfId="28356"/>
    <cellStyle name="20% - Ênfase2 3 7 7" xfId="28357"/>
    <cellStyle name="20% - Ênfase2 4 14" xfId="28358"/>
    <cellStyle name="20% - Ênfase2 4 2 11" xfId="28359"/>
    <cellStyle name="20% - Ênfase2 4 2 2 9" xfId="28360"/>
    <cellStyle name="20% - Ênfase2 4 2 2 2 7" xfId="28361"/>
    <cellStyle name="20% - Ênfase2 4 2 2 3 7" xfId="28362"/>
    <cellStyle name="20% - Ênfase2 4 2 3 7" xfId="28363"/>
    <cellStyle name="20% - Ênfase2 4 2 4 7" xfId="28364"/>
    <cellStyle name="20% - Ênfase2 4 3 10" xfId="28365"/>
    <cellStyle name="20% - Ênfase2 4 3 2 7" xfId="28366"/>
    <cellStyle name="20% - Ênfase2 4 3 3 7" xfId="28367"/>
    <cellStyle name="20% - Ênfase2 4 4 9" xfId="28368"/>
    <cellStyle name="20% - Ênfase2 4 4 2 7" xfId="28369"/>
    <cellStyle name="20% - Ênfase2 4 4 3 7" xfId="28370"/>
    <cellStyle name="20% - Ênfase2 4 5 7" xfId="28371"/>
    <cellStyle name="20% - Ênfase2 4 6 7" xfId="28372"/>
    <cellStyle name="20% - Ênfase2 4 7 7" xfId="28373"/>
    <cellStyle name="20% - Ênfase2 5 12" xfId="28374"/>
    <cellStyle name="20% - Ênfase2 5 2 9" xfId="28375"/>
    <cellStyle name="20% - Ênfase2 5 2 2 7" xfId="28376"/>
    <cellStyle name="20% - Ênfase2 5 2 3 7" xfId="28377"/>
    <cellStyle name="20% - Ênfase2 5 3 7" xfId="28378"/>
    <cellStyle name="20% - Ênfase2 5 4 7" xfId="28379"/>
    <cellStyle name="20% - Ênfase2 5 5 7" xfId="28380"/>
    <cellStyle name="20% - Ênfase2 6 11" xfId="28381"/>
    <cellStyle name="20% - Ênfase2 6 2 9" xfId="28382"/>
    <cellStyle name="20% - Ênfase2 6 2 2 7" xfId="28383"/>
    <cellStyle name="20% - Ênfase2 6 2 3 7" xfId="28384"/>
    <cellStyle name="20% - Ênfase2 6 3 7" xfId="28385"/>
    <cellStyle name="20% - Ênfase2 6 4 7" xfId="28386"/>
    <cellStyle name="20% - Ênfase2 8 9" xfId="28387"/>
    <cellStyle name="20% - Ênfase2 8 2 7" xfId="28388"/>
    <cellStyle name="20% - Ênfase2 8 3 7" xfId="28389"/>
    <cellStyle name="20% - Ênfase3 2 2 12" xfId="28390"/>
    <cellStyle name="20% - Ênfase3 2 2 2 9" xfId="28391"/>
    <cellStyle name="20% - Ênfase3 2 2 2 2 7" xfId="28392"/>
    <cellStyle name="20% - Ênfase3 2 2 2 3 7" xfId="28393"/>
    <cellStyle name="20% - Ênfase3 2 2 3 7" xfId="28394"/>
    <cellStyle name="20% - Ênfase3 2 2 4 7" xfId="28395"/>
    <cellStyle name="20% - Ênfase3 2 2 5 7" xfId="28396"/>
    <cellStyle name="20% - Ênfase3 2 3 11" xfId="28397"/>
    <cellStyle name="20% - Ênfase3 2 3 2 9" xfId="28398"/>
    <cellStyle name="20% - Ênfase3 2 3 2 2 7" xfId="28399"/>
    <cellStyle name="20% - Ênfase3 2 3 2 3 7" xfId="28400"/>
    <cellStyle name="20% - Ênfase3 2 3 3 7" xfId="28401"/>
    <cellStyle name="20% - Ênfase3 2 3 4 7" xfId="28402"/>
    <cellStyle name="20% - Ênfase3 2 5 9" xfId="28403"/>
    <cellStyle name="20% - Ênfase3 2 5 2 7" xfId="28404"/>
    <cellStyle name="20% - Ênfase3 2 5 3 7" xfId="28405"/>
    <cellStyle name="20% - Ênfase3 3 14" xfId="28406"/>
    <cellStyle name="20% - Ênfase3 3 2 11" xfId="28407"/>
    <cellStyle name="20% - Ênfase3 3 2 2 9" xfId="28408"/>
    <cellStyle name="20% - Ênfase3 3 2 2 2 7" xfId="28409"/>
    <cellStyle name="20% - Ênfase3 3 2 2 3 7" xfId="28410"/>
    <cellStyle name="20% - Ênfase3 3 2 3 7" xfId="28411"/>
    <cellStyle name="20% - Ênfase3 3 2 4 7" xfId="28412"/>
    <cellStyle name="20% - Ênfase3 3 3 10" xfId="28413"/>
    <cellStyle name="20% - Ênfase3 3 3 2 7" xfId="28414"/>
    <cellStyle name="20% - Ênfase3 3 3 3 7" xfId="28415"/>
    <cellStyle name="20% - Ênfase3 3 4 9" xfId="28416"/>
    <cellStyle name="20% - Ênfase3 3 4 2 7" xfId="28417"/>
    <cellStyle name="20% - Ênfase3 3 4 3 7" xfId="28418"/>
    <cellStyle name="20% - Ênfase3 3 5 7" xfId="28419"/>
    <cellStyle name="20% - Ênfase3 3 6 7" xfId="28420"/>
    <cellStyle name="20% - Ênfase3 3 7 7" xfId="28421"/>
    <cellStyle name="20% - Ênfase3 4 14" xfId="28422"/>
    <cellStyle name="20% - Ênfase3 4 2 11" xfId="28423"/>
    <cellStyle name="20% - Ênfase3 4 2 2 9" xfId="28424"/>
    <cellStyle name="20% - Ênfase3 4 2 2 2 7" xfId="28425"/>
    <cellStyle name="20% - Ênfase3 4 2 2 3 7" xfId="28426"/>
    <cellStyle name="20% - Ênfase3 4 2 3 7" xfId="28427"/>
    <cellStyle name="20% - Ênfase3 4 2 4 7" xfId="28428"/>
    <cellStyle name="20% - Ênfase3 4 3 10" xfId="28429"/>
    <cellStyle name="20% - Ênfase3 4 3 2 7" xfId="28430"/>
    <cellStyle name="20% - Ênfase3 4 3 3 7" xfId="28431"/>
    <cellStyle name="20% - Ênfase3 4 4 9" xfId="28432"/>
    <cellStyle name="20% - Ênfase3 4 4 2 7" xfId="28433"/>
    <cellStyle name="20% - Ênfase3 4 4 3 7" xfId="28434"/>
    <cellStyle name="20% - Ênfase3 4 5 7" xfId="28435"/>
    <cellStyle name="20% - Ênfase3 4 6 7" xfId="28436"/>
    <cellStyle name="20% - Ênfase3 4 7 7" xfId="28437"/>
    <cellStyle name="20% - Ênfase3 5 12" xfId="28438"/>
    <cellStyle name="20% - Ênfase3 5 2 9" xfId="28439"/>
    <cellStyle name="20% - Ênfase3 5 2 2 7" xfId="28440"/>
    <cellStyle name="20% - Ênfase3 5 2 3 7" xfId="28441"/>
    <cellStyle name="20% - Ênfase3 5 3 7" xfId="28442"/>
    <cellStyle name="20% - Ênfase3 5 4 7" xfId="28443"/>
    <cellStyle name="20% - Ênfase3 5 5 7" xfId="28444"/>
    <cellStyle name="20% - Ênfase3 6 11" xfId="28445"/>
    <cellStyle name="20% - Ênfase3 6 2 9" xfId="28446"/>
    <cellStyle name="20% - Ênfase3 6 2 2 7" xfId="28447"/>
    <cellStyle name="20% - Ênfase3 6 2 3 7" xfId="28448"/>
    <cellStyle name="20% - Ênfase3 6 3 7" xfId="28449"/>
    <cellStyle name="20% - Ênfase3 6 4 7" xfId="28450"/>
    <cellStyle name="20% - Ênfase3 8 9" xfId="28451"/>
    <cellStyle name="20% - Ênfase3 8 2 7" xfId="28452"/>
    <cellStyle name="20% - Ênfase3 8 3 7" xfId="28453"/>
    <cellStyle name="20% - Ênfase4 2 2 12" xfId="28454"/>
    <cellStyle name="20% - Ênfase4 2 2 2 9" xfId="28455"/>
    <cellStyle name="20% - Ênfase4 2 2 2 2 7" xfId="28456"/>
    <cellStyle name="20% - Ênfase4 2 2 2 3 7" xfId="28457"/>
    <cellStyle name="20% - Ênfase4 2 2 3 7" xfId="28458"/>
    <cellStyle name="20% - Ênfase4 2 2 4 7" xfId="28459"/>
    <cellStyle name="20% - Ênfase4 2 2 5 7" xfId="28460"/>
    <cellStyle name="20% - Ênfase4 2 3 11" xfId="28461"/>
    <cellStyle name="20% - Ênfase4 2 3 2 9" xfId="28462"/>
    <cellStyle name="20% - Ênfase4 2 3 2 2 7" xfId="28463"/>
    <cellStyle name="20% - Ênfase4 2 3 2 3 7" xfId="28464"/>
    <cellStyle name="20% - Ênfase4 2 3 3 7" xfId="28465"/>
    <cellStyle name="20% - Ênfase4 2 3 4 7" xfId="28466"/>
    <cellStyle name="20% - Ênfase4 2 5 9" xfId="28467"/>
    <cellStyle name="20% - Ênfase4 2 5 2 7" xfId="28468"/>
    <cellStyle name="20% - Ênfase4 2 5 3 7" xfId="28469"/>
    <cellStyle name="20% - Ênfase4 3 14" xfId="28470"/>
    <cellStyle name="20% - Ênfase4 3 2 11" xfId="28471"/>
    <cellStyle name="20% - Ênfase4 3 2 2 9" xfId="28472"/>
    <cellStyle name="20% - Ênfase4 3 2 2 2 7" xfId="28473"/>
    <cellStyle name="20% - Ênfase4 3 2 2 3 7" xfId="28474"/>
    <cellStyle name="20% - Ênfase4 3 2 3 7" xfId="28475"/>
    <cellStyle name="20% - Ênfase4 3 2 4 7" xfId="28476"/>
    <cellStyle name="20% - Ênfase4 3 3 10" xfId="28477"/>
    <cellStyle name="20% - Ênfase4 3 3 2 7" xfId="28478"/>
    <cellStyle name="20% - Ênfase4 3 3 3 7" xfId="28479"/>
    <cellStyle name="20% - Ênfase4 3 4 9" xfId="28480"/>
    <cellStyle name="20% - Ênfase4 3 4 2 7" xfId="28481"/>
    <cellStyle name="20% - Ênfase4 3 4 3 7" xfId="28482"/>
    <cellStyle name="20% - Ênfase4 3 5 7" xfId="28483"/>
    <cellStyle name="20% - Ênfase4 3 6 7" xfId="28484"/>
    <cellStyle name="20% - Ênfase4 3 7 7" xfId="28485"/>
    <cellStyle name="20% - Ênfase4 4 14" xfId="28486"/>
    <cellStyle name="20% - Ênfase4 4 2 11" xfId="28487"/>
    <cellStyle name="20% - Ênfase4 4 2 2 9" xfId="28488"/>
    <cellStyle name="20% - Ênfase4 4 2 2 2 7" xfId="28489"/>
    <cellStyle name="20% - Ênfase4 4 2 2 3 7" xfId="28490"/>
    <cellStyle name="20% - Ênfase4 4 2 3 7" xfId="28491"/>
    <cellStyle name="20% - Ênfase4 4 2 4 7" xfId="28492"/>
    <cellStyle name="20% - Ênfase4 4 3 10" xfId="28493"/>
    <cellStyle name="20% - Ênfase4 4 3 2 7" xfId="28494"/>
    <cellStyle name="20% - Ênfase4 4 3 3 7" xfId="28495"/>
    <cellStyle name="20% - Ênfase4 4 4 9" xfId="28496"/>
    <cellStyle name="20% - Ênfase4 4 4 2 7" xfId="28497"/>
    <cellStyle name="20% - Ênfase4 4 4 3 7" xfId="28498"/>
    <cellStyle name="20% - Ênfase4 4 5 7" xfId="28499"/>
    <cellStyle name="20% - Ênfase4 4 6 7" xfId="28500"/>
    <cellStyle name="20% - Ênfase4 4 7 7" xfId="28501"/>
    <cellStyle name="20% - Ênfase4 5 12" xfId="28502"/>
    <cellStyle name="20% - Ênfase4 5 2 9" xfId="28503"/>
    <cellStyle name="20% - Ênfase4 5 2 2 7" xfId="28504"/>
    <cellStyle name="20% - Ênfase4 5 2 3 7" xfId="28505"/>
    <cellStyle name="20% - Ênfase4 5 3 7" xfId="28506"/>
    <cellStyle name="20% - Ênfase4 5 4 7" xfId="28507"/>
    <cellStyle name="20% - Ênfase4 5 5 7" xfId="28508"/>
    <cellStyle name="20% - Ênfase4 6 11" xfId="28509"/>
    <cellStyle name="20% - Ênfase4 6 2 9" xfId="28510"/>
    <cellStyle name="20% - Ênfase4 6 2 2 7" xfId="28511"/>
    <cellStyle name="20% - Ênfase4 6 2 3 7" xfId="28512"/>
    <cellStyle name="20% - Ênfase4 6 3 7" xfId="28513"/>
    <cellStyle name="20% - Ênfase4 6 4 7" xfId="28514"/>
    <cellStyle name="20% - Ênfase4 8 9" xfId="28515"/>
    <cellStyle name="20% - Ênfase4 8 2 7" xfId="28516"/>
    <cellStyle name="20% - Ênfase4 8 3 7" xfId="28517"/>
    <cellStyle name="20% - Ênfase5 2 2 12" xfId="28518"/>
    <cellStyle name="20% - Ênfase5 2 2 2 9" xfId="28519"/>
    <cellStyle name="20% - Ênfase5 2 2 2 2 7" xfId="28520"/>
    <cellStyle name="20% - Ênfase5 2 2 2 3 7" xfId="28521"/>
    <cellStyle name="20% - Ênfase5 2 2 3 7" xfId="28522"/>
    <cellStyle name="20% - Ênfase5 2 2 4 7" xfId="28523"/>
    <cellStyle name="20% - Ênfase5 2 2 5 7" xfId="28524"/>
    <cellStyle name="20% - Ênfase5 2 3 11" xfId="28525"/>
    <cellStyle name="20% - Ênfase5 2 3 2 9" xfId="28526"/>
    <cellStyle name="20% - Ênfase5 2 3 2 2 7" xfId="28527"/>
    <cellStyle name="20% - Ênfase5 2 3 2 3 7" xfId="28528"/>
    <cellStyle name="20% - Ênfase5 2 3 3 7" xfId="28529"/>
    <cellStyle name="20% - Ênfase5 2 3 4 7" xfId="28530"/>
    <cellStyle name="20% - Ênfase5 2 5 9" xfId="28531"/>
    <cellStyle name="20% - Ênfase5 2 5 2 7" xfId="28532"/>
    <cellStyle name="20% - Ênfase5 2 5 3 7" xfId="28533"/>
    <cellStyle name="20% - Ênfase5 3 14" xfId="28534"/>
    <cellStyle name="20% - Ênfase5 3 2 11" xfId="28535"/>
    <cellStyle name="20% - Ênfase5 3 2 2 9" xfId="28536"/>
    <cellStyle name="20% - Ênfase5 3 2 2 2 7" xfId="28537"/>
    <cellStyle name="20% - Ênfase5 3 2 2 3 7" xfId="28538"/>
    <cellStyle name="20% - Ênfase5 3 2 3 7" xfId="28539"/>
    <cellStyle name="20% - Ênfase5 3 2 4 7" xfId="28540"/>
    <cellStyle name="20% - Ênfase5 3 3 10" xfId="28541"/>
    <cellStyle name="20% - Ênfase5 3 3 2 7" xfId="28542"/>
    <cellStyle name="20% - Ênfase5 3 3 3 7" xfId="28543"/>
    <cellStyle name="20% - Ênfase5 3 4 9" xfId="28544"/>
    <cellStyle name="20% - Ênfase5 3 4 2 7" xfId="28545"/>
    <cellStyle name="20% - Ênfase5 3 4 3 7" xfId="28546"/>
    <cellStyle name="20% - Ênfase5 3 5 7" xfId="28547"/>
    <cellStyle name="20% - Ênfase5 3 6 7" xfId="28548"/>
    <cellStyle name="20% - Ênfase5 3 7 7" xfId="28549"/>
    <cellStyle name="20% - Ênfase5 4 14" xfId="28550"/>
    <cellStyle name="20% - Ênfase5 4 2 11" xfId="28551"/>
    <cellStyle name="20% - Ênfase5 4 2 2 9" xfId="28552"/>
    <cellStyle name="20% - Ênfase5 4 2 2 2 7" xfId="28553"/>
    <cellStyle name="20% - Ênfase5 4 2 2 3 7" xfId="28554"/>
    <cellStyle name="20% - Ênfase5 4 2 3 7" xfId="28555"/>
    <cellStyle name="20% - Ênfase5 4 2 4 7" xfId="28556"/>
    <cellStyle name="20% - Ênfase5 4 3 10" xfId="28557"/>
    <cellStyle name="20% - Ênfase5 4 3 2 7" xfId="28558"/>
    <cellStyle name="20% - Ênfase5 4 3 3 7" xfId="28559"/>
    <cellStyle name="20% - Ênfase5 4 4 9" xfId="28560"/>
    <cellStyle name="20% - Ênfase5 4 4 2 7" xfId="28561"/>
    <cellStyle name="20% - Ênfase5 4 4 3 7" xfId="28562"/>
    <cellStyle name="20% - Ênfase5 4 5 7" xfId="28563"/>
    <cellStyle name="20% - Ênfase5 4 6 7" xfId="28564"/>
    <cellStyle name="20% - Ênfase5 4 7 7" xfId="28565"/>
    <cellStyle name="20% - Ênfase5 5 12" xfId="28566"/>
    <cellStyle name="20% - Ênfase5 5 2 9" xfId="28567"/>
    <cellStyle name="20% - Ênfase5 5 2 2 7" xfId="28568"/>
    <cellStyle name="20% - Ênfase5 5 2 3 7" xfId="28569"/>
    <cellStyle name="20% - Ênfase5 5 3 7" xfId="28570"/>
    <cellStyle name="20% - Ênfase5 5 4 7" xfId="28571"/>
    <cellStyle name="20% - Ênfase5 5 5 7" xfId="28572"/>
    <cellStyle name="20% - Ênfase5 6 11" xfId="28573"/>
    <cellStyle name="20% - Ênfase5 6 2 9" xfId="28574"/>
    <cellStyle name="20% - Ênfase5 6 2 2 7" xfId="28575"/>
    <cellStyle name="20% - Ênfase5 6 2 3 7" xfId="28576"/>
    <cellStyle name="20% - Ênfase5 6 3 7" xfId="28577"/>
    <cellStyle name="20% - Ênfase5 6 4 7" xfId="28578"/>
    <cellStyle name="20% - Ênfase5 8 9" xfId="28579"/>
    <cellStyle name="20% - Ênfase5 8 2 7" xfId="28580"/>
    <cellStyle name="20% - Ênfase5 8 3 7" xfId="28581"/>
    <cellStyle name="20% - Ênfase6 2 2 12" xfId="28582"/>
    <cellStyle name="20% - Ênfase6 2 2 2 9" xfId="28583"/>
    <cellStyle name="20% - Ênfase6 2 2 2 2 7" xfId="28584"/>
    <cellStyle name="20% - Ênfase6 2 2 2 3 7" xfId="28585"/>
    <cellStyle name="20% - Ênfase6 2 2 3 7" xfId="28586"/>
    <cellStyle name="20% - Ênfase6 2 2 4 7" xfId="28587"/>
    <cellStyle name="20% - Ênfase6 2 2 5 7" xfId="28588"/>
    <cellStyle name="20% - Ênfase6 2 3 11" xfId="28589"/>
    <cellStyle name="20% - Ênfase6 2 3 2 9" xfId="28590"/>
    <cellStyle name="20% - Ênfase6 2 3 2 2 7" xfId="28591"/>
    <cellStyle name="20% - Ênfase6 2 3 2 3 7" xfId="28592"/>
    <cellStyle name="20% - Ênfase6 2 3 3 7" xfId="28593"/>
    <cellStyle name="20% - Ênfase6 2 3 4 7" xfId="28594"/>
    <cellStyle name="20% - Ênfase6 2 5 9" xfId="28595"/>
    <cellStyle name="20% - Ênfase6 2 5 2 7" xfId="28596"/>
    <cellStyle name="20% - Ênfase6 2 5 3 7" xfId="28597"/>
    <cellStyle name="20% - Ênfase6 3 14" xfId="28598"/>
    <cellStyle name="20% - Ênfase6 3 2 11" xfId="28599"/>
    <cellStyle name="20% - Ênfase6 3 2 2 9" xfId="28600"/>
    <cellStyle name="20% - Ênfase6 3 2 2 2 7" xfId="28601"/>
    <cellStyle name="20% - Ênfase6 3 2 2 3 7" xfId="28602"/>
    <cellStyle name="20% - Ênfase6 3 2 3 7" xfId="28603"/>
    <cellStyle name="20% - Ênfase6 3 2 4 7" xfId="28604"/>
    <cellStyle name="20% - Ênfase6 3 3 10" xfId="28605"/>
    <cellStyle name="20% - Ênfase6 3 3 2 7" xfId="28606"/>
    <cellStyle name="20% - Ênfase6 3 3 3 7" xfId="28607"/>
    <cellStyle name="20% - Ênfase6 3 4 9" xfId="28608"/>
    <cellStyle name="20% - Ênfase6 3 4 2 7" xfId="28609"/>
    <cellStyle name="20% - Ênfase6 3 4 3 7" xfId="28610"/>
    <cellStyle name="20% - Ênfase6 3 5 7" xfId="28611"/>
    <cellStyle name="20% - Ênfase6 3 6 7" xfId="28612"/>
    <cellStyle name="20% - Ênfase6 3 7 7" xfId="28613"/>
    <cellStyle name="20% - Ênfase6 4 14" xfId="28614"/>
    <cellStyle name="20% - Ênfase6 4 2 11" xfId="28615"/>
    <cellStyle name="20% - Ênfase6 4 2 2 9" xfId="28616"/>
    <cellStyle name="20% - Ênfase6 4 2 2 2 7" xfId="28617"/>
    <cellStyle name="20% - Ênfase6 4 2 2 3 7" xfId="28618"/>
    <cellStyle name="20% - Ênfase6 4 2 3 7" xfId="28619"/>
    <cellStyle name="20% - Ênfase6 4 2 4 7" xfId="28620"/>
    <cellStyle name="20% - Ênfase6 4 3 10" xfId="28621"/>
    <cellStyle name="20% - Ênfase6 4 3 2 7" xfId="28622"/>
    <cellStyle name="20% - Ênfase6 4 3 3 7" xfId="28623"/>
    <cellStyle name="20% - Ênfase6 4 4 9" xfId="28624"/>
    <cellStyle name="20% - Ênfase6 4 4 2 7" xfId="28625"/>
    <cellStyle name="20% - Ênfase6 4 4 3 7" xfId="28626"/>
    <cellStyle name="20% - Ênfase6 4 5 7" xfId="28627"/>
    <cellStyle name="20% - Ênfase6 4 6 7" xfId="28628"/>
    <cellStyle name="20% - Ênfase6 4 7 7" xfId="28629"/>
    <cellStyle name="20% - Ênfase6 5 12" xfId="28630"/>
    <cellStyle name="20% - Ênfase6 5 2 9" xfId="28631"/>
    <cellStyle name="20% - Ênfase6 5 2 2 7" xfId="28632"/>
    <cellStyle name="20% - Ênfase6 5 2 3 7" xfId="28633"/>
    <cellStyle name="20% - Ênfase6 5 3 7" xfId="28634"/>
    <cellStyle name="20% - Ênfase6 5 4 7" xfId="28635"/>
    <cellStyle name="20% - Ênfase6 5 5 7" xfId="28636"/>
    <cellStyle name="20% - Ênfase6 6 11" xfId="28637"/>
    <cellStyle name="20% - Ênfase6 6 2 9" xfId="28638"/>
    <cellStyle name="20% - Ênfase6 6 2 2 7" xfId="28639"/>
    <cellStyle name="20% - Ênfase6 6 2 3 7" xfId="28640"/>
    <cellStyle name="20% - Ênfase6 6 3 7" xfId="28641"/>
    <cellStyle name="20% - Ênfase6 6 4 7" xfId="28642"/>
    <cellStyle name="20% - Ênfase6 8 9" xfId="28643"/>
    <cellStyle name="20% - Ênfase6 8 2 7" xfId="28644"/>
    <cellStyle name="20% - Ênfase6 8 3 7" xfId="28645"/>
    <cellStyle name="40% - Ênfase1 2 2 12" xfId="28646"/>
    <cellStyle name="40% - Ênfase1 2 2 2 9" xfId="28647"/>
    <cellStyle name="40% - Ênfase1 2 2 2 2 7" xfId="28648"/>
    <cellStyle name="40% - Ênfase1 2 2 2 3 7" xfId="28649"/>
    <cellStyle name="40% - Ênfase1 2 2 3 7" xfId="28650"/>
    <cellStyle name="40% - Ênfase1 2 2 4 7" xfId="28651"/>
    <cellStyle name="40% - Ênfase1 2 2 5 7" xfId="28652"/>
    <cellStyle name="40% - Ênfase1 2 3 11" xfId="28653"/>
    <cellStyle name="40% - Ênfase1 2 3 2 9" xfId="28654"/>
    <cellStyle name="40% - Ênfase1 2 3 2 2 7" xfId="28655"/>
    <cellStyle name="40% - Ênfase1 2 3 2 3 7" xfId="28656"/>
    <cellStyle name="40% - Ênfase1 2 3 3 7" xfId="28657"/>
    <cellStyle name="40% - Ênfase1 2 3 4 7" xfId="28658"/>
    <cellStyle name="40% - Ênfase1 2 5 9" xfId="28659"/>
    <cellStyle name="40% - Ênfase1 2 5 2 7" xfId="28660"/>
    <cellStyle name="40% - Ênfase1 2 5 3 7" xfId="28661"/>
    <cellStyle name="40% - Ênfase1 3 14" xfId="28662"/>
    <cellStyle name="40% - Ênfase1 3 2 11" xfId="28663"/>
    <cellStyle name="40% - Ênfase1 3 2 2 9" xfId="28664"/>
    <cellStyle name="40% - Ênfase1 3 2 2 2 7" xfId="28665"/>
    <cellStyle name="40% - Ênfase1 3 2 2 3 7" xfId="28666"/>
    <cellStyle name="40% - Ênfase1 3 2 3 7" xfId="28667"/>
    <cellStyle name="40% - Ênfase1 3 2 4 7" xfId="28668"/>
    <cellStyle name="40% - Ênfase1 3 3 10" xfId="28669"/>
    <cellStyle name="40% - Ênfase1 3 3 2 7" xfId="28670"/>
    <cellStyle name="40% - Ênfase1 3 3 3 7" xfId="28671"/>
    <cellStyle name="40% - Ênfase1 3 4 9" xfId="28672"/>
    <cellStyle name="40% - Ênfase1 3 4 2 7" xfId="28673"/>
    <cellStyle name="40% - Ênfase1 3 4 3 7" xfId="28674"/>
    <cellStyle name="40% - Ênfase1 3 5 7" xfId="28675"/>
    <cellStyle name="40% - Ênfase1 3 6 7" xfId="28676"/>
    <cellStyle name="40% - Ênfase1 3 7 7" xfId="28677"/>
    <cellStyle name="40% - Ênfase1 4 14" xfId="28678"/>
    <cellStyle name="40% - Ênfase1 4 2 11" xfId="28679"/>
    <cellStyle name="40% - Ênfase1 4 2 2 9" xfId="28680"/>
    <cellStyle name="40% - Ênfase1 4 2 2 2 7" xfId="28681"/>
    <cellStyle name="40% - Ênfase1 4 2 2 3 7" xfId="28682"/>
    <cellStyle name="40% - Ênfase1 4 2 3 7" xfId="28683"/>
    <cellStyle name="40% - Ênfase1 4 2 4 7" xfId="28684"/>
    <cellStyle name="40% - Ênfase1 4 3 10" xfId="28685"/>
    <cellStyle name="40% - Ênfase1 4 3 2 7" xfId="28686"/>
    <cellStyle name="40% - Ênfase1 4 3 3 7" xfId="28687"/>
    <cellStyle name="40% - Ênfase1 4 4 9" xfId="28688"/>
    <cellStyle name="40% - Ênfase1 4 4 2 7" xfId="28689"/>
    <cellStyle name="40% - Ênfase1 4 4 3 7" xfId="28690"/>
    <cellStyle name="40% - Ênfase1 4 5 7" xfId="28691"/>
    <cellStyle name="40% - Ênfase1 4 6 7" xfId="28692"/>
    <cellStyle name="40% - Ênfase1 4 7 7" xfId="28693"/>
    <cellStyle name="40% - Ênfase1 5 12" xfId="28694"/>
    <cellStyle name="40% - Ênfase1 5 2 9" xfId="28695"/>
    <cellStyle name="40% - Ênfase1 5 2 2 7" xfId="28696"/>
    <cellStyle name="40% - Ênfase1 5 2 3 7" xfId="28697"/>
    <cellStyle name="40% - Ênfase1 5 3 7" xfId="28698"/>
    <cellStyle name="40% - Ênfase1 5 4 7" xfId="28699"/>
    <cellStyle name="40% - Ênfase1 5 5 7" xfId="28700"/>
    <cellStyle name="40% - Ênfase1 6 11" xfId="28701"/>
    <cellStyle name="40% - Ênfase1 6 2 9" xfId="28702"/>
    <cellStyle name="40% - Ênfase1 6 2 2 7" xfId="28703"/>
    <cellStyle name="40% - Ênfase1 6 2 3 7" xfId="28704"/>
    <cellStyle name="40% - Ênfase1 6 3 7" xfId="28705"/>
    <cellStyle name="40% - Ênfase1 6 4 7" xfId="28706"/>
    <cellStyle name="40% - Ênfase1 8 9" xfId="28707"/>
    <cellStyle name="40% - Ênfase1 8 2 7" xfId="28708"/>
    <cellStyle name="40% - Ênfase1 8 3 7" xfId="28709"/>
    <cellStyle name="40% - Ênfase2 2 2 12" xfId="28710"/>
    <cellStyle name="40% - Ênfase2 2 2 2 9" xfId="28711"/>
    <cellStyle name="40% - Ênfase2 2 2 2 2 7" xfId="28712"/>
    <cellStyle name="40% - Ênfase2 2 2 2 3 7" xfId="28713"/>
    <cellStyle name="40% - Ênfase2 2 2 3 7" xfId="28714"/>
    <cellStyle name="40% - Ênfase2 2 2 4 7" xfId="28715"/>
    <cellStyle name="40% - Ênfase2 2 2 5 7" xfId="28716"/>
    <cellStyle name="40% - Ênfase2 2 3 11" xfId="28717"/>
    <cellStyle name="40% - Ênfase2 2 3 2 9" xfId="28718"/>
    <cellStyle name="40% - Ênfase2 2 3 2 2 7" xfId="28719"/>
    <cellStyle name="40% - Ênfase2 2 3 2 3 7" xfId="28720"/>
    <cellStyle name="40% - Ênfase2 2 3 3 7" xfId="28721"/>
    <cellStyle name="40% - Ênfase2 2 3 4 7" xfId="28722"/>
    <cellStyle name="40% - Ênfase2 2 5 9" xfId="28723"/>
    <cellStyle name="40% - Ênfase2 2 5 2 7" xfId="28724"/>
    <cellStyle name="40% - Ênfase2 2 5 3 7" xfId="28725"/>
    <cellStyle name="40% - Ênfase2 3 14" xfId="28726"/>
    <cellStyle name="40% - Ênfase2 3 2 11" xfId="28727"/>
    <cellStyle name="40% - Ênfase2 3 2 2 9" xfId="28728"/>
    <cellStyle name="40% - Ênfase2 3 2 2 2 7" xfId="28729"/>
    <cellStyle name="40% - Ênfase2 3 2 2 3 7" xfId="28730"/>
    <cellStyle name="40% - Ênfase2 3 2 3 7" xfId="28731"/>
    <cellStyle name="40% - Ênfase2 3 2 4 7" xfId="28732"/>
    <cellStyle name="40% - Ênfase2 3 3 10" xfId="28733"/>
    <cellStyle name="40% - Ênfase2 3 3 2 7" xfId="28734"/>
    <cellStyle name="40% - Ênfase2 3 3 3 7" xfId="28735"/>
    <cellStyle name="40% - Ênfase2 3 4 9" xfId="28736"/>
    <cellStyle name="40% - Ênfase2 3 4 2 7" xfId="28737"/>
    <cellStyle name="40% - Ênfase2 3 4 3 7" xfId="28738"/>
    <cellStyle name="40% - Ênfase2 3 5 7" xfId="28739"/>
    <cellStyle name="40% - Ênfase2 3 6 7" xfId="28740"/>
    <cellStyle name="40% - Ênfase2 3 7 7" xfId="28741"/>
    <cellStyle name="40% - Ênfase2 4 14" xfId="28742"/>
    <cellStyle name="40% - Ênfase2 4 2 11" xfId="28743"/>
    <cellStyle name="40% - Ênfase2 4 2 2 9" xfId="28744"/>
    <cellStyle name="40% - Ênfase2 4 2 2 2 7" xfId="28745"/>
    <cellStyle name="40% - Ênfase2 4 2 2 3 7" xfId="28746"/>
    <cellStyle name="40% - Ênfase2 4 2 3 7" xfId="28747"/>
    <cellStyle name="40% - Ênfase2 4 2 4 7" xfId="28748"/>
    <cellStyle name="40% - Ênfase2 4 3 10" xfId="28749"/>
    <cellStyle name="40% - Ênfase2 4 3 2 7" xfId="28750"/>
    <cellStyle name="40% - Ênfase2 4 3 3 7" xfId="28751"/>
    <cellStyle name="40% - Ênfase2 4 4 9" xfId="28752"/>
    <cellStyle name="40% - Ênfase2 4 4 2 7" xfId="28753"/>
    <cellStyle name="40% - Ênfase2 4 4 3 7" xfId="28754"/>
    <cellStyle name="40% - Ênfase2 4 5 7" xfId="28755"/>
    <cellStyle name="40% - Ênfase2 4 6 7" xfId="28756"/>
    <cellStyle name="40% - Ênfase2 4 7 7" xfId="28757"/>
    <cellStyle name="40% - Ênfase2 5 12" xfId="28758"/>
    <cellStyle name="40% - Ênfase2 5 2 9" xfId="28759"/>
    <cellStyle name="40% - Ênfase2 5 2 2 7" xfId="28760"/>
    <cellStyle name="40% - Ênfase2 5 2 3 7" xfId="28761"/>
    <cellStyle name="40% - Ênfase2 5 3 7" xfId="28762"/>
    <cellStyle name="40% - Ênfase2 5 4 7" xfId="28763"/>
    <cellStyle name="40% - Ênfase2 5 5 7" xfId="28764"/>
    <cellStyle name="40% - Ênfase2 6 11" xfId="28765"/>
    <cellStyle name="40% - Ênfase2 6 2 9" xfId="28766"/>
    <cellStyle name="40% - Ênfase2 6 2 2 7" xfId="28767"/>
    <cellStyle name="40% - Ênfase2 6 2 3 7" xfId="28768"/>
    <cellStyle name="40% - Ênfase2 6 3 7" xfId="28769"/>
    <cellStyle name="40% - Ênfase2 6 4 7" xfId="28770"/>
    <cellStyle name="40% - Ênfase2 8 9" xfId="28771"/>
    <cellStyle name="40% - Ênfase2 8 2 7" xfId="28772"/>
    <cellStyle name="40% - Ênfase2 8 3 7" xfId="28773"/>
    <cellStyle name="40% - Ênfase3 2 2 12" xfId="28774"/>
    <cellStyle name="40% - Ênfase3 2 2 2 9" xfId="28775"/>
    <cellStyle name="40% - Ênfase3 2 2 2 2 7" xfId="28776"/>
    <cellStyle name="40% - Ênfase3 2 2 2 3 7" xfId="28777"/>
    <cellStyle name="40% - Ênfase3 2 2 3 7" xfId="28778"/>
    <cellStyle name="40% - Ênfase3 2 2 4 7" xfId="28779"/>
    <cellStyle name="40% - Ênfase3 2 2 5 7" xfId="28780"/>
    <cellStyle name="40% - Ênfase3 2 3 11" xfId="28781"/>
    <cellStyle name="40% - Ênfase3 2 3 2 9" xfId="28782"/>
    <cellStyle name="40% - Ênfase3 2 3 2 2 7" xfId="28783"/>
    <cellStyle name="40% - Ênfase3 2 3 2 3 7" xfId="28784"/>
    <cellStyle name="40% - Ênfase3 2 3 3 7" xfId="28785"/>
    <cellStyle name="40% - Ênfase3 2 3 4 7" xfId="28786"/>
    <cellStyle name="40% - Ênfase3 2 5 9" xfId="28787"/>
    <cellStyle name="40% - Ênfase3 2 5 2 7" xfId="28788"/>
    <cellStyle name="40% - Ênfase3 2 5 3 7" xfId="28789"/>
    <cellStyle name="40% - Ênfase3 3 14" xfId="28790"/>
    <cellStyle name="40% - Ênfase3 3 2 11" xfId="28791"/>
    <cellStyle name="40% - Ênfase3 3 2 2 9" xfId="28792"/>
    <cellStyle name="40% - Ênfase3 3 2 2 2 7" xfId="28793"/>
    <cellStyle name="40% - Ênfase3 3 2 2 3 7" xfId="28794"/>
    <cellStyle name="40% - Ênfase3 3 2 3 7" xfId="28795"/>
    <cellStyle name="40% - Ênfase3 3 2 4 7" xfId="28796"/>
    <cellStyle name="40% - Ênfase3 3 3 10" xfId="28797"/>
    <cellStyle name="40% - Ênfase3 3 3 2 7" xfId="28798"/>
    <cellStyle name="40% - Ênfase3 3 3 3 7" xfId="28799"/>
    <cellStyle name="40% - Ênfase3 3 4 9" xfId="28800"/>
    <cellStyle name="40% - Ênfase3 3 4 2 7" xfId="28801"/>
    <cellStyle name="40% - Ênfase3 3 4 3 7" xfId="28802"/>
    <cellStyle name="40% - Ênfase3 3 5 7" xfId="28803"/>
    <cellStyle name="40% - Ênfase3 3 6 7" xfId="28804"/>
    <cellStyle name="40% - Ênfase3 3 7 7" xfId="28805"/>
    <cellStyle name="40% - Ênfase3 4 14" xfId="28806"/>
    <cellStyle name="40% - Ênfase3 4 2 11" xfId="28807"/>
    <cellStyle name="40% - Ênfase3 4 2 2 9" xfId="28808"/>
    <cellStyle name="40% - Ênfase3 4 2 2 2 7" xfId="28809"/>
    <cellStyle name="40% - Ênfase3 4 2 2 3 7" xfId="28810"/>
    <cellStyle name="40% - Ênfase3 4 2 3 7" xfId="28811"/>
    <cellStyle name="40% - Ênfase3 4 2 4 7" xfId="28812"/>
    <cellStyle name="40% - Ênfase3 4 3 10" xfId="28813"/>
    <cellStyle name="40% - Ênfase3 4 3 2 7" xfId="28814"/>
    <cellStyle name="40% - Ênfase3 4 3 3 7" xfId="28815"/>
    <cellStyle name="40% - Ênfase3 4 4 9" xfId="28816"/>
    <cellStyle name="40% - Ênfase3 4 4 2 7" xfId="28817"/>
    <cellStyle name="40% - Ênfase3 4 4 3 7" xfId="28818"/>
    <cellStyle name="40% - Ênfase3 4 5 7" xfId="28819"/>
    <cellStyle name="40% - Ênfase3 4 6 7" xfId="28820"/>
    <cellStyle name="40% - Ênfase3 4 7 7" xfId="28821"/>
    <cellStyle name="40% - Ênfase3 5 12" xfId="28822"/>
    <cellStyle name="40% - Ênfase3 5 2 9" xfId="28823"/>
    <cellStyle name="40% - Ênfase3 5 2 2 7" xfId="28824"/>
    <cellStyle name="40% - Ênfase3 5 2 3 7" xfId="28825"/>
    <cellStyle name="40% - Ênfase3 5 3 7" xfId="28826"/>
    <cellStyle name="40% - Ênfase3 5 4 7" xfId="28827"/>
    <cellStyle name="40% - Ênfase3 5 5 7" xfId="28828"/>
    <cellStyle name="40% - Ênfase3 6 11" xfId="28829"/>
    <cellStyle name="40% - Ênfase3 6 2 9" xfId="28830"/>
    <cellStyle name="40% - Ênfase3 6 2 2 7" xfId="28831"/>
    <cellStyle name="40% - Ênfase3 6 2 3 7" xfId="28832"/>
    <cellStyle name="40% - Ênfase3 6 3 7" xfId="28833"/>
    <cellStyle name="40% - Ênfase3 6 4 7" xfId="28834"/>
    <cellStyle name="40% - Ênfase3 8 9" xfId="28835"/>
    <cellStyle name="40% - Ênfase3 8 2 7" xfId="28836"/>
    <cellStyle name="40% - Ênfase3 8 3 7" xfId="28837"/>
    <cellStyle name="40% - Ênfase4 2 2 12" xfId="28838"/>
    <cellStyle name="40% - Ênfase4 2 2 2 9" xfId="28839"/>
    <cellStyle name="40% - Ênfase4 2 2 2 2 7" xfId="28840"/>
    <cellStyle name="40% - Ênfase4 2 2 2 3 7" xfId="28841"/>
    <cellStyle name="40% - Ênfase4 2 2 3 7" xfId="28842"/>
    <cellStyle name="40% - Ênfase4 2 2 4 7" xfId="28843"/>
    <cellStyle name="40% - Ênfase4 2 2 5 7" xfId="28844"/>
    <cellStyle name="40% - Ênfase4 2 3 11" xfId="28845"/>
    <cellStyle name="40% - Ênfase4 2 3 2 9" xfId="28846"/>
    <cellStyle name="40% - Ênfase4 2 3 2 2 7" xfId="28847"/>
    <cellStyle name="40% - Ênfase4 2 3 2 3 7" xfId="28848"/>
    <cellStyle name="40% - Ênfase4 2 3 3 7" xfId="28849"/>
    <cellStyle name="40% - Ênfase4 2 3 4 7" xfId="28850"/>
    <cellStyle name="40% - Ênfase4 2 5 9" xfId="28851"/>
    <cellStyle name="40% - Ênfase4 2 5 2 7" xfId="28852"/>
    <cellStyle name="40% - Ênfase4 2 5 3 7" xfId="28853"/>
    <cellStyle name="40% - Ênfase4 3 14" xfId="28854"/>
    <cellStyle name="40% - Ênfase4 3 2 11" xfId="28855"/>
    <cellStyle name="40% - Ênfase4 3 2 2 9" xfId="28856"/>
    <cellStyle name="40% - Ênfase4 3 2 2 2 7" xfId="28857"/>
    <cellStyle name="40% - Ênfase4 3 2 2 3 7" xfId="28858"/>
    <cellStyle name="40% - Ênfase4 3 2 3 7" xfId="28859"/>
    <cellStyle name="40% - Ênfase4 3 2 4 7" xfId="28860"/>
    <cellStyle name="40% - Ênfase4 3 3 10" xfId="28861"/>
    <cellStyle name="40% - Ênfase4 3 3 2 7" xfId="28862"/>
    <cellStyle name="40% - Ênfase4 3 3 3 7" xfId="28863"/>
    <cellStyle name="40% - Ênfase4 3 4 9" xfId="28864"/>
    <cellStyle name="40% - Ênfase4 3 4 2 7" xfId="28865"/>
    <cellStyle name="40% - Ênfase4 3 4 3 7" xfId="28866"/>
    <cellStyle name="40% - Ênfase4 3 5 7" xfId="28867"/>
    <cellStyle name="40% - Ênfase4 3 6 7" xfId="28868"/>
    <cellStyle name="40% - Ênfase4 3 7 7" xfId="28869"/>
    <cellStyle name="40% - Ênfase4 4 14" xfId="28870"/>
    <cellStyle name="40% - Ênfase4 4 2 11" xfId="28871"/>
    <cellStyle name="40% - Ênfase4 4 2 2 9" xfId="28872"/>
    <cellStyle name="40% - Ênfase4 4 2 2 2 7" xfId="28873"/>
    <cellStyle name="40% - Ênfase4 4 2 2 3 7" xfId="28874"/>
    <cellStyle name="40% - Ênfase4 4 2 3 7" xfId="28875"/>
    <cellStyle name="40% - Ênfase4 4 2 4 7" xfId="28876"/>
    <cellStyle name="40% - Ênfase4 4 3 10" xfId="28877"/>
    <cellStyle name="40% - Ênfase4 4 3 2 7" xfId="28878"/>
    <cellStyle name="40% - Ênfase4 4 3 3 7" xfId="28879"/>
    <cellStyle name="40% - Ênfase4 4 4 9" xfId="28880"/>
    <cellStyle name="40% - Ênfase4 4 4 2 7" xfId="28881"/>
    <cellStyle name="40% - Ênfase4 4 4 3 7" xfId="28882"/>
    <cellStyle name="40% - Ênfase4 4 5 7" xfId="28883"/>
    <cellStyle name="40% - Ênfase4 4 6 7" xfId="28884"/>
    <cellStyle name="40% - Ênfase4 4 7 7" xfId="28885"/>
    <cellStyle name="40% - Ênfase4 5 12" xfId="28886"/>
    <cellStyle name="40% - Ênfase4 5 2 9" xfId="28887"/>
    <cellStyle name="40% - Ênfase4 5 2 2 7" xfId="28888"/>
    <cellStyle name="40% - Ênfase4 5 2 3 7" xfId="28889"/>
    <cellStyle name="40% - Ênfase4 5 3 7" xfId="28890"/>
    <cellStyle name="40% - Ênfase4 5 4 7" xfId="28891"/>
    <cellStyle name="40% - Ênfase4 5 5 7" xfId="28892"/>
    <cellStyle name="40% - Ênfase4 6 11" xfId="28893"/>
    <cellStyle name="40% - Ênfase4 6 2 9" xfId="28894"/>
    <cellStyle name="40% - Ênfase4 6 2 2 7" xfId="28895"/>
    <cellStyle name="40% - Ênfase4 6 2 3 7" xfId="28896"/>
    <cellStyle name="40% - Ênfase4 6 3 7" xfId="28897"/>
    <cellStyle name="40% - Ênfase4 6 4 7" xfId="28898"/>
    <cellStyle name="40% - Ênfase4 8 9" xfId="28899"/>
    <cellStyle name="40% - Ênfase4 8 2 7" xfId="28900"/>
    <cellStyle name="40% - Ênfase4 8 3 7" xfId="28901"/>
    <cellStyle name="40% - Ênfase5 2 2 12" xfId="28902"/>
    <cellStyle name="40% - Ênfase5 2 2 2 9" xfId="28903"/>
    <cellStyle name="40% - Ênfase5 2 2 2 2 7" xfId="28904"/>
    <cellStyle name="40% - Ênfase5 2 2 2 3 7" xfId="28905"/>
    <cellStyle name="40% - Ênfase5 2 2 3 7" xfId="28906"/>
    <cellStyle name="40% - Ênfase5 2 2 4 7" xfId="28907"/>
    <cellStyle name="40% - Ênfase5 2 2 5 7" xfId="28908"/>
    <cellStyle name="40% - Ênfase5 2 3 11" xfId="28909"/>
    <cellStyle name="40% - Ênfase5 2 3 2 9" xfId="28910"/>
    <cellStyle name="40% - Ênfase5 2 3 2 2 7" xfId="28911"/>
    <cellStyle name="40% - Ênfase5 2 3 2 3 7" xfId="28912"/>
    <cellStyle name="40% - Ênfase5 2 3 3 7" xfId="28913"/>
    <cellStyle name="40% - Ênfase5 2 3 4 7" xfId="28914"/>
    <cellStyle name="40% - Ênfase5 2 5 9" xfId="28915"/>
    <cellStyle name="40% - Ênfase5 2 5 2 7" xfId="28916"/>
    <cellStyle name="40% - Ênfase5 2 5 3 7" xfId="28917"/>
    <cellStyle name="40% - Ênfase5 3 14" xfId="28918"/>
    <cellStyle name="40% - Ênfase5 3 2 11" xfId="28919"/>
    <cellStyle name="40% - Ênfase5 3 2 2 9" xfId="28920"/>
    <cellStyle name="40% - Ênfase5 3 2 2 2 7" xfId="28921"/>
    <cellStyle name="40% - Ênfase5 3 2 2 3 7" xfId="28922"/>
    <cellStyle name="40% - Ênfase5 3 2 3 7" xfId="28923"/>
    <cellStyle name="40% - Ênfase5 3 2 4 7" xfId="28924"/>
    <cellStyle name="40% - Ênfase5 3 3 10" xfId="28925"/>
    <cellStyle name="40% - Ênfase5 3 3 2 7" xfId="28926"/>
    <cellStyle name="40% - Ênfase5 3 3 3 7" xfId="28927"/>
    <cellStyle name="40% - Ênfase5 3 4 9" xfId="28928"/>
    <cellStyle name="40% - Ênfase5 3 4 2 7" xfId="28929"/>
    <cellStyle name="40% - Ênfase5 3 4 3 7" xfId="28930"/>
    <cellStyle name="40% - Ênfase5 3 5 7" xfId="28931"/>
    <cellStyle name="40% - Ênfase5 3 6 7" xfId="28932"/>
    <cellStyle name="40% - Ênfase5 3 7 7" xfId="28933"/>
    <cellStyle name="40% - Ênfase5 4 14" xfId="28934"/>
    <cellStyle name="40% - Ênfase5 4 2 11" xfId="28935"/>
    <cellStyle name="40% - Ênfase5 4 2 2 9" xfId="28936"/>
    <cellStyle name="40% - Ênfase5 4 2 2 2 7" xfId="28937"/>
    <cellStyle name="40% - Ênfase5 4 2 2 3 7" xfId="28938"/>
    <cellStyle name="40% - Ênfase5 4 2 3 7" xfId="28939"/>
    <cellStyle name="40% - Ênfase5 4 2 4 7" xfId="28940"/>
    <cellStyle name="40% - Ênfase5 4 3 10" xfId="28941"/>
    <cellStyle name="40% - Ênfase5 4 3 2 7" xfId="28942"/>
    <cellStyle name="40% - Ênfase5 4 3 3 7" xfId="28943"/>
    <cellStyle name="40% - Ênfase5 4 4 9" xfId="28944"/>
    <cellStyle name="40% - Ênfase5 4 4 2 7" xfId="28945"/>
    <cellStyle name="40% - Ênfase5 4 4 3 7" xfId="28946"/>
    <cellStyle name="40% - Ênfase5 4 5 7" xfId="28947"/>
    <cellStyle name="40% - Ênfase5 4 6 7" xfId="28948"/>
    <cellStyle name="40% - Ênfase5 4 7 7" xfId="28949"/>
    <cellStyle name="40% - Ênfase5 5 12" xfId="28950"/>
    <cellStyle name="40% - Ênfase5 5 2 9" xfId="28951"/>
    <cellStyle name="40% - Ênfase5 5 2 2 7" xfId="28952"/>
    <cellStyle name="40% - Ênfase5 5 2 3 7" xfId="28953"/>
    <cellStyle name="40% - Ênfase5 5 3 7" xfId="28954"/>
    <cellStyle name="40% - Ênfase5 5 4 7" xfId="28955"/>
    <cellStyle name="40% - Ênfase5 5 5 7" xfId="28956"/>
    <cellStyle name="40% - Ênfase5 6 11" xfId="28957"/>
    <cellStyle name="40% - Ênfase5 6 2 9" xfId="28958"/>
    <cellStyle name="40% - Ênfase5 6 2 2 7" xfId="28959"/>
    <cellStyle name="40% - Ênfase5 6 2 3 7" xfId="28960"/>
    <cellStyle name="40% - Ênfase5 6 3 7" xfId="28961"/>
    <cellStyle name="40% - Ênfase5 6 4 7" xfId="28962"/>
    <cellStyle name="40% - Ênfase5 8 9" xfId="28963"/>
    <cellStyle name="40% - Ênfase5 8 2 7" xfId="28964"/>
    <cellStyle name="40% - Ênfase5 8 3 7" xfId="28965"/>
    <cellStyle name="40% - Ênfase6 2 2 12" xfId="28966"/>
    <cellStyle name="40% - Ênfase6 2 2 2 9" xfId="28967"/>
    <cellStyle name="40% - Ênfase6 2 2 2 2 7" xfId="28968"/>
    <cellStyle name="40% - Ênfase6 2 2 2 3 7" xfId="28969"/>
    <cellStyle name="40% - Ênfase6 2 2 3 7" xfId="28970"/>
    <cellStyle name="40% - Ênfase6 2 2 4 7" xfId="28971"/>
    <cellStyle name="40% - Ênfase6 2 2 5 7" xfId="28972"/>
    <cellStyle name="40% - Ênfase6 2 3 11" xfId="28973"/>
    <cellStyle name="40% - Ênfase6 2 3 2 9" xfId="28974"/>
    <cellStyle name="40% - Ênfase6 2 3 2 2 7" xfId="28975"/>
    <cellStyle name="40% - Ênfase6 2 3 2 3 7" xfId="28976"/>
    <cellStyle name="40% - Ênfase6 2 3 3 7" xfId="28977"/>
    <cellStyle name="40% - Ênfase6 2 3 4 7" xfId="28978"/>
    <cellStyle name="40% - Ênfase6 2 5 9" xfId="28979"/>
    <cellStyle name="40% - Ênfase6 2 5 2 7" xfId="28980"/>
    <cellStyle name="40% - Ênfase6 2 5 3 7" xfId="28981"/>
    <cellStyle name="40% - Ênfase6 3 14" xfId="28982"/>
    <cellStyle name="40% - Ênfase6 3 2 11" xfId="28983"/>
    <cellStyle name="40% - Ênfase6 3 2 2 9" xfId="28984"/>
    <cellStyle name="40% - Ênfase6 3 2 2 2 7" xfId="28985"/>
    <cellStyle name="40% - Ênfase6 3 2 2 3 7" xfId="28986"/>
    <cellStyle name="40% - Ênfase6 3 2 3 7" xfId="28987"/>
    <cellStyle name="40% - Ênfase6 3 2 4 7" xfId="28988"/>
    <cellStyle name="40% - Ênfase6 3 3 10" xfId="28989"/>
    <cellStyle name="40% - Ênfase6 3 3 2 7" xfId="28990"/>
    <cellStyle name="40% - Ênfase6 3 3 3 7" xfId="28991"/>
    <cellStyle name="40% - Ênfase6 3 4 9" xfId="28992"/>
    <cellStyle name="40% - Ênfase6 3 4 2 7" xfId="28993"/>
    <cellStyle name="40% - Ênfase6 3 4 3 7" xfId="28994"/>
    <cellStyle name="40% - Ênfase6 3 5 7" xfId="28995"/>
    <cellStyle name="40% - Ênfase6 3 6 7" xfId="28996"/>
    <cellStyle name="40% - Ênfase6 3 7 7" xfId="28997"/>
    <cellStyle name="40% - Ênfase6 4 14" xfId="28998"/>
    <cellStyle name="40% - Ênfase6 4 2 11" xfId="28999"/>
    <cellStyle name="40% - Ênfase6 4 2 2 9" xfId="29000"/>
    <cellStyle name="40% - Ênfase6 4 2 2 2 7" xfId="29001"/>
    <cellStyle name="40% - Ênfase6 4 2 2 3 7" xfId="29002"/>
    <cellStyle name="40% - Ênfase6 4 2 3 7" xfId="29003"/>
    <cellStyle name="40% - Ênfase6 4 2 4 7" xfId="29004"/>
    <cellStyle name="40% - Ênfase6 4 3 10" xfId="29005"/>
    <cellStyle name="40% - Ênfase6 4 3 2 7" xfId="29006"/>
    <cellStyle name="40% - Ênfase6 4 3 3 7" xfId="29007"/>
    <cellStyle name="40% - Ênfase6 4 4 9" xfId="29008"/>
    <cellStyle name="40% - Ênfase6 4 4 2 7" xfId="29009"/>
    <cellStyle name="40% - Ênfase6 4 4 3 7" xfId="29010"/>
    <cellStyle name="40% - Ênfase6 4 5 7" xfId="29011"/>
    <cellStyle name="40% - Ênfase6 4 6 7" xfId="29012"/>
    <cellStyle name="40% - Ênfase6 4 7 7" xfId="29013"/>
    <cellStyle name="40% - Ênfase6 5 12" xfId="29014"/>
    <cellStyle name="40% - Ênfase6 5 2 9" xfId="29015"/>
    <cellStyle name="40% - Ênfase6 5 2 2 7" xfId="29016"/>
    <cellStyle name="40% - Ênfase6 5 2 3 7" xfId="29017"/>
    <cellStyle name="40% - Ênfase6 5 3 7" xfId="29018"/>
    <cellStyle name="40% - Ênfase6 5 4 7" xfId="29019"/>
    <cellStyle name="40% - Ênfase6 5 5 7" xfId="29020"/>
    <cellStyle name="40% - Ênfase6 6 11" xfId="29021"/>
    <cellStyle name="40% - Ênfase6 6 2 9" xfId="29022"/>
    <cellStyle name="40% - Ênfase6 6 2 2 7" xfId="29023"/>
    <cellStyle name="40% - Ênfase6 6 2 3 7" xfId="29024"/>
    <cellStyle name="40% - Ênfase6 6 3 7" xfId="29025"/>
    <cellStyle name="40% - Ênfase6 6 4 7" xfId="29026"/>
    <cellStyle name="40% - Ênfase6 8 9" xfId="29027"/>
    <cellStyle name="40% - Ênfase6 8 2 7" xfId="29028"/>
    <cellStyle name="40% - Ênfase6 8 3 7" xfId="29029"/>
    <cellStyle name="Normal 3 3 10" xfId="29030"/>
    <cellStyle name="Normal 3 3 2 7" xfId="29031"/>
    <cellStyle name="Normal 3 3 3 7" xfId="29032"/>
    <cellStyle name="Normal 3 4 7" xfId="29033"/>
    <cellStyle name="Normal 3 5 7" xfId="29034"/>
    <cellStyle name="Normal 3 6 7" xfId="29035"/>
    <cellStyle name="Normal 4 2 12" xfId="29036"/>
    <cellStyle name="Normal 4 2 2 9" xfId="29037"/>
    <cellStyle name="Normal 4 2 2 2 7" xfId="29038"/>
    <cellStyle name="Normal 4 2 2 3 7" xfId="29039"/>
    <cellStyle name="Normal 4 2 3 7" xfId="29040"/>
    <cellStyle name="Normal 4 2 4 7" xfId="29041"/>
    <cellStyle name="Normal 4 2 5 7" xfId="29042"/>
    <cellStyle name="Normal 4 3 11" xfId="29043"/>
    <cellStyle name="Normal 4 3 2 9" xfId="29044"/>
    <cellStyle name="Normal 4 3 2 2 7" xfId="29045"/>
    <cellStyle name="Normal 4 3 2 3 7" xfId="29046"/>
    <cellStyle name="Normal 4 3 3 7" xfId="29047"/>
    <cellStyle name="Normal 4 3 4 7" xfId="29048"/>
    <cellStyle name="Normal 4 5 9" xfId="29049"/>
    <cellStyle name="Normal 4 5 2 7" xfId="29050"/>
    <cellStyle name="Normal 4 5 3 7" xfId="29051"/>
    <cellStyle name="Normal 5 2 13" xfId="29052"/>
    <cellStyle name="Normal 5 2 2 9" xfId="29053"/>
    <cellStyle name="Normal 5 2 2 2 7" xfId="29054"/>
    <cellStyle name="Normal 5 2 2 3 7" xfId="29055"/>
    <cellStyle name="Normal 5 2 3 7" xfId="29056"/>
    <cellStyle name="Normal 5 2 4 7" xfId="29057"/>
    <cellStyle name="Normal 5 2 5 7" xfId="29058"/>
    <cellStyle name="Normal 5 3 11" xfId="29059"/>
    <cellStyle name="Normal 5 3 2 9" xfId="29060"/>
    <cellStyle name="Normal 5 3 2 2 7" xfId="29061"/>
    <cellStyle name="Normal 5 3 2 3 7" xfId="29062"/>
    <cellStyle name="Normal 5 3 3 7" xfId="29063"/>
    <cellStyle name="Normal 5 3 4 7" xfId="29064"/>
    <cellStyle name="Normal 5 5 9" xfId="29065"/>
    <cellStyle name="Normal 5 5 2 7" xfId="29066"/>
    <cellStyle name="Normal 5 5 3 7" xfId="29067"/>
    <cellStyle name="Normal 6 4 7" xfId="29068"/>
    <cellStyle name="Normal 7 2 6 6" xfId="29069"/>
    <cellStyle name="Normal 7 2 2 4 6" xfId="29070"/>
    <cellStyle name="Normal 7 2 2 2 7" xfId="29071"/>
    <cellStyle name="Normal 7 2 2 3 7" xfId="29072"/>
    <cellStyle name="Normal 7 2 3 7" xfId="29073"/>
    <cellStyle name="Normal 7 2 4 7" xfId="29074"/>
    <cellStyle name="Normal 7 2 5 7" xfId="29075"/>
    <cellStyle name="Normal 7 3 5 6" xfId="29076"/>
    <cellStyle name="Normal 7 3 2 9" xfId="29077"/>
    <cellStyle name="Normal 7 3 2 2 7" xfId="29078"/>
    <cellStyle name="Normal 7 3 2 3 7" xfId="29079"/>
    <cellStyle name="Normal 7 3 3 7" xfId="29080"/>
    <cellStyle name="Normal 7 3 4 7" xfId="29081"/>
    <cellStyle name="Normal 7 5 9" xfId="29082"/>
    <cellStyle name="Normal 7 5 2 7" xfId="29083"/>
    <cellStyle name="Normal 7 5 3 7" xfId="29084"/>
    <cellStyle name="Normal 8 9 6" xfId="29085"/>
    <cellStyle name="Normal 8 2 5 6" xfId="29086"/>
    <cellStyle name="Normal 8 2 2 4 6" xfId="29087"/>
    <cellStyle name="Normal 8 2 2 2 7" xfId="29088"/>
    <cellStyle name="Normal 8 2 2 3 7" xfId="29089"/>
    <cellStyle name="Normal 8 2 3 7" xfId="29090"/>
    <cellStyle name="Normal 8 2 4 7" xfId="29091"/>
    <cellStyle name="Normal 8 3 4 6" xfId="29092"/>
    <cellStyle name="Normal 8 3 2 2 6" xfId="29093"/>
    <cellStyle name="Normal 8 3 3 7" xfId="29094"/>
    <cellStyle name="Normal 8 4 4 6" xfId="29095"/>
    <cellStyle name="Normal 8 4 2 2 6" xfId="29096"/>
    <cellStyle name="Normal 8 4 3 7" xfId="29097"/>
    <cellStyle name="Normal 8 5 4 5" xfId="29098"/>
    <cellStyle name="Normal 8 6 2 6" xfId="29099"/>
    <cellStyle name="Normal 8 7 7" xfId="29100"/>
    <cellStyle name="Nota 2 2 12" xfId="29101"/>
    <cellStyle name="Nota 2 2 2 9" xfId="29102"/>
    <cellStyle name="Nota 2 2 2 2 7" xfId="29103"/>
    <cellStyle name="Nota 2 2 2 3 7" xfId="29104"/>
    <cellStyle name="Nota 2 2 3 7" xfId="29105"/>
    <cellStyle name="Nota 2 2 4 7" xfId="29106"/>
    <cellStyle name="Nota 2 2 5 7" xfId="29107"/>
    <cellStyle name="Nota 2 3 11" xfId="29108"/>
    <cellStyle name="Nota 2 3 2 9" xfId="29109"/>
    <cellStyle name="Nota 2 3 2 2 7" xfId="29110"/>
    <cellStyle name="Nota 2 3 2 3 7" xfId="29111"/>
    <cellStyle name="Nota 2 3 3 7" xfId="29112"/>
    <cellStyle name="Nota 2 3 4 7" xfId="29113"/>
    <cellStyle name="Nota 2 5 9" xfId="29114"/>
    <cellStyle name="Nota 2 5 2 7" xfId="29115"/>
    <cellStyle name="Nota 2 5 3 7" xfId="29116"/>
    <cellStyle name="Nota 3 2 12" xfId="29117"/>
    <cellStyle name="Nota 3 2 2 9" xfId="29118"/>
    <cellStyle name="Nota 3 2 2 2 7" xfId="29119"/>
    <cellStyle name="Nota 3 2 2 3 7" xfId="29120"/>
    <cellStyle name="Nota 3 2 3 7" xfId="29121"/>
    <cellStyle name="Nota 3 2 4 7" xfId="29122"/>
    <cellStyle name="Nota 3 2 5 7" xfId="29123"/>
    <cellStyle name="Nota 3 3 11" xfId="29124"/>
    <cellStyle name="Nota 3 3 2 9" xfId="29125"/>
    <cellStyle name="Nota 3 3 2 2 7" xfId="29126"/>
    <cellStyle name="Nota 3 3 2 3 7" xfId="29127"/>
    <cellStyle name="Nota 3 3 3 7" xfId="29128"/>
    <cellStyle name="Nota 3 3 4 7" xfId="29129"/>
    <cellStyle name="Nota 3 5 9" xfId="29130"/>
    <cellStyle name="Nota 3 5 2 7" xfId="29131"/>
    <cellStyle name="Nota 3 5 3 7" xfId="29132"/>
    <cellStyle name="Nota 4 8 6" xfId="29133"/>
    <cellStyle name="Nota 4 2 11" xfId="29134"/>
    <cellStyle name="Nota 4 2 2 9" xfId="29135"/>
    <cellStyle name="Nota 4 2 2 2 7" xfId="29136"/>
    <cellStyle name="Nota 4 2 2 3 7" xfId="29137"/>
    <cellStyle name="Nota 4 2 3 7" xfId="29138"/>
    <cellStyle name="Nota 4 2 4 7" xfId="29139"/>
    <cellStyle name="Nota 4 3 10" xfId="29140"/>
    <cellStyle name="Nota 4 3 2 7" xfId="29141"/>
    <cellStyle name="Nota 4 3 3 7" xfId="29142"/>
    <cellStyle name="Nota 4 4 9" xfId="29143"/>
    <cellStyle name="Nota 4 4 2 7" xfId="29144"/>
    <cellStyle name="Nota 4 4 3 7" xfId="29145"/>
    <cellStyle name="Nota 4 5 7" xfId="29146"/>
    <cellStyle name="Nota 4 6 7" xfId="29147"/>
    <cellStyle name="Nota 4 7 7" xfId="29148"/>
    <cellStyle name="Nota 5 14" xfId="29149"/>
    <cellStyle name="Nota 5 2 11" xfId="29150"/>
    <cellStyle name="Nota 5 2 2 9" xfId="29151"/>
    <cellStyle name="Nota 5 2 2 2 7" xfId="29152"/>
    <cellStyle name="Nota 5 2 2 3 7" xfId="29153"/>
    <cellStyle name="Nota 5 2 3 7" xfId="29154"/>
    <cellStyle name="Nota 5 2 4 7" xfId="29155"/>
    <cellStyle name="Nota 5 3 10" xfId="29156"/>
    <cellStyle name="Nota 5 3 2 7" xfId="29157"/>
    <cellStyle name="Nota 5 3 3 7" xfId="29158"/>
    <cellStyle name="Nota 5 4 9" xfId="29159"/>
    <cellStyle name="Nota 5 4 2 7" xfId="29160"/>
    <cellStyle name="Nota 5 4 3 7" xfId="29161"/>
    <cellStyle name="Nota 5 5 7" xfId="29162"/>
    <cellStyle name="Nota 5 6 7" xfId="29163"/>
    <cellStyle name="Nota 5 7 7" xfId="29164"/>
    <cellStyle name="Separador de milhares 2 2 4 6" xfId="29165"/>
    <cellStyle name="Separador de milhares 2 2 2 6" xfId="29166"/>
    <cellStyle name="Separador de milhares 2 2 3 6" xfId="29167"/>
    <cellStyle name="Separador de milhares 2 3 2 6" xfId="29168"/>
    <cellStyle name="Separador de milhares 2 4 6" xfId="29169"/>
    <cellStyle name="Separador de milhares 2 5 6" xfId="29170"/>
    <cellStyle name="Separador de milhares 2 6 6" xfId="29171"/>
    <cellStyle name="Separador de milhares 3 2 4 6" xfId="29172"/>
    <cellStyle name="Separador de milhares 3 2 2 6" xfId="29173"/>
    <cellStyle name="Separador de milhares 3 2 3 6" xfId="29174"/>
    <cellStyle name="Separador de milhares 3 4 2 6" xfId="29175"/>
    <cellStyle name="Separador de milhares 4 4 6" xfId="29176"/>
    <cellStyle name="Separador de milhares 4 2 3 6" xfId="29177"/>
    <cellStyle name="Separador de milhares 4 2 2 6" xfId="29178"/>
    <cellStyle name="Separador de milhares 4 3 2 6" xfId="29179"/>
    <cellStyle name="Separador de milhares 5 2 3 6" xfId="29180"/>
    <cellStyle name="Separador de milhares 5 2 2 6" xfId="29181"/>
    <cellStyle name="Separador de milhares 5 3 2 6" xfId="29182"/>
    <cellStyle name="Separador de milhares 5 4 6" xfId="29183"/>
    <cellStyle name="Separador de milhares 6 5 6" xfId="29184"/>
    <cellStyle name="Separador de milhares 6 2 3 6" xfId="29185"/>
    <cellStyle name="Separador de milhares 6 2 2 6" xfId="29186"/>
    <cellStyle name="Separador de milhares 6 3 2 6" xfId="29187"/>
    <cellStyle name="Separador de milhares 6 4 6" xfId="29188"/>
    <cellStyle name="Separador de milhares 7 3 2 5" xfId="29189"/>
    <cellStyle name="Vírgula 2 6 6" xfId="29190"/>
    <cellStyle name="Vírgula 2 2 9" xfId="29191"/>
    <cellStyle name="Vírgula 2 2 2 6" xfId="29192"/>
    <cellStyle name="Vírgula 2 3 8" xfId="29193"/>
    <cellStyle name="Vírgula 2 3 2 6" xfId="29194"/>
    <cellStyle name="Vírgula 2 4 6" xfId="29195"/>
    <cellStyle name="Vírgula 2 5 6" xfId="29196"/>
    <cellStyle name="Vírgula 3 4 6" xfId="29197"/>
    <cellStyle name="Vírgula 3 2 7" xfId="29198"/>
    <cellStyle name="Vírgula 3 3 6" xfId="29199"/>
    <cellStyle name="Vírgula 4 4 6" xfId="29200"/>
    <cellStyle name="Vírgula 4 2 3 5" xfId="29201"/>
    <cellStyle name="Vírgula 4 2 2 2 6" xfId="29202"/>
    <cellStyle name="Vírgula 4 3 7" xfId="29203"/>
    <cellStyle name="Vírgula 5 3 6" xfId="29204"/>
    <cellStyle name="Vírgula 5 2 6" xfId="29205"/>
    <cellStyle name="Vírgula 6 2 5" xfId="29206"/>
    <cellStyle name="Vírgula 8 2 2 6" xfId="29207"/>
    <cellStyle name="Vírgula 9 2 5" xfId="29208"/>
    <cellStyle name="Comma 4 3 5" xfId="29209"/>
    <cellStyle name="Comma 5 3 5" xfId="29210"/>
    <cellStyle name="Comma 6 5" xfId="29211"/>
    <cellStyle name="Comma 7 5" xfId="29212"/>
    <cellStyle name="Vírgula 10 8" xfId="29213"/>
    <cellStyle name="Comma 8 5" xfId="29214"/>
    <cellStyle name="Comma 9 5" xfId="29215"/>
    <cellStyle name="Comma 10 5" xfId="29216"/>
    <cellStyle name="Vírgula 10 2 6" xfId="29217"/>
    <cellStyle name="Separador de milhares 2 7 2 6" xfId="29218"/>
    <cellStyle name="Comma 11 5" xfId="29219"/>
    <cellStyle name="Vírgula 10 3 6" xfId="29220"/>
    <cellStyle name="Separador de milhares 2 7 3 6" xfId="29221"/>
    <cellStyle name="Porcentagem 12 6" xfId="29222"/>
    <cellStyle name="Normal 55 5" xfId="29223"/>
    <cellStyle name="Percent 14 5" xfId="29224"/>
    <cellStyle name="Normal 3 9 6" xfId="29225"/>
    <cellStyle name="Vírgula 11 5" xfId="29226"/>
    <cellStyle name="Normal 3 7 2 6" xfId="29227"/>
    <cellStyle name="20% - Ênfase1 5 6 6" xfId="29228"/>
    <cellStyle name="40% - Ênfase1 5 6 6" xfId="29229"/>
    <cellStyle name="20% - Ênfase2 5 6 6" xfId="29230"/>
    <cellStyle name="40% - Ênfase2 5 6 6" xfId="29231"/>
    <cellStyle name="20% - Ênfase3 5 6 6" xfId="29232"/>
    <cellStyle name="40% - Ênfase3 5 6 6" xfId="29233"/>
    <cellStyle name="20% - Ênfase4 5 6 6" xfId="29234"/>
    <cellStyle name="40% - Ênfase4 5 6 6" xfId="29235"/>
    <cellStyle name="20% - Ênfase5 5 6 6" xfId="29236"/>
    <cellStyle name="40% - Ênfase5 5 6 6" xfId="29237"/>
    <cellStyle name="20% - Ênfase6 5 6 6" xfId="29238"/>
    <cellStyle name="40% - Ênfase6 5 6 6" xfId="29239"/>
    <cellStyle name="Normal 4 2 6 6" xfId="29240"/>
    <cellStyle name="Nota 2 2 6 6" xfId="29241"/>
    <cellStyle name="Normal 5 2 7 6" xfId="29242"/>
    <cellStyle name="Nota 3 2 6 6" xfId="29243"/>
    <cellStyle name="20% - Ênfase1 2 2 6 6" xfId="29244"/>
    <cellStyle name="40% - Ênfase1 2 2 6 6" xfId="29245"/>
    <cellStyle name="20% - Ênfase2 2 2 6 6" xfId="29246"/>
    <cellStyle name="40% - Ênfase2 2 2 6 6" xfId="29247"/>
    <cellStyle name="20% - Ênfase3 2 2 6 6" xfId="29248"/>
    <cellStyle name="40% - Ênfase3 2 2 6 6" xfId="29249"/>
    <cellStyle name="20% - Ênfase4 2 2 6 6" xfId="29250"/>
    <cellStyle name="40% - Ênfase4 2 2 6 6" xfId="29251"/>
    <cellStyle name="20% - Ênfase5 2 2 6 6" xfId="29252"/>
    <cellStyle name="40% - Ênfase5 2 2 6 6" xfId="29253"/>
    <cellStyle name="20% - Ênfase6 2 2 6 6" xfId="29254"/>
    <cellStyle name="40% - Ênfase6 2 2 6 6" xfId="29255"/>
    <cellStyle name="Normal 7 2 7 6" xfId="29256"/>
    <cellStyle name="Nota 4 9 6" xfId="29257"/>
    <cellStyle name="20% - Ênfase1 3 8 6" xfId="29258"/>
    <cellStyle name="40% - Ênfase1 3 8 6" xfId="29259"/>
    <cellStyle name="20% - Ênfase2 3 8 6" xfId="29260"/>
    <cellStyle name="40% - Ênfase2 3 8 6" xfId="29261"/>
    <cellStyle name="20% - Ênfase3 3 8 6" xfId="29262"/>
    <cellStyle name="40% - Ênfase3 3 8 6" xfId="29263"/>
    <cellStyle name="20% - Ênfase4 3 8 6" xfId="29264"/>
    <cellStyle name="40% - Ênfase4 3 8 6" xfId="29265"/>
    <cellStyle name="20% - Ênfase5 3 8 6" xfId="29266"/>
    <cellStyle name="40% - Ênfase5 3 8 6" xfId="29267"/>
    <cellStyle name="20% - Ênfase6 3 8 6" xfId="29268"/>
    <cellStyle name="40% - Ênfase6 3 8 6" xfId="29269"/>
    <cellStyle name="Normal 8 12 5" xfId="29270"/>
    <cellStyle name="Nota 5 8 6" xfId="29271"/>
    <cellStyle name="20% - Ênfase1 4 8 6" xfId="29272"/>
    <cellStyle name="40% - Ênfase1 4 8 6" xfId="29273"/>
    <cellStyle name="20% - Ênfase2 4 8 6" xfId="29274"/>
    <cellStyle name="40% - Ênfase2 4 8 6" xfId="29275"/>
    <cellStyle name="20% - Ênfase3 4 8 6" xfId="29276"/>
    <cellStyle name="40% - Ênfase3 4 8 6" xfId="29277"/>
    <cellStyle name="20% - Ênfase4 4 8 6" xfId="29278"/>
    <cellStyle name="40% - Ênfase4 4 8 6" xfId="29279"/>
    <cellStyle name="20% - Ênfase5 4 8 6" xfId="29280"/>
    <cellStyle name="40% - Ênfase5 4 8 6" xfId="29281"/>
    <cellStyle name="20% - Ênfase6 4 8 6" xfId="29282"/>
    <cellStyle name="40% - Ênfase6 4 8 6" xfId="29283"/>
    <cellStyle name="20% - Ênfase1 6 5 6" xfId="29284"/>
    <cellStyle name="40% - Ênfase1 6 5 6" xfId="29285"/>
    <cellStyle name="20% - Ênfase2 6 5 6" xfId="29286"/>
    <cellStyle name="40% - Ênfase2 6 5 6" xfId="29287"/>
    <cellStyle name="20% - Ênfase3 6 5 6" xfId="29288"/>
    <cellStyle name="40% - Ênfase3 6 5 6" xfId="29289"/>
    <cellStyle name="20% - Ênfase4 6 5 6" xfId="29290"/>
    <cellStyle name="40% - Ênfase4 6 5 6" xfId="29291"/>
    <cellStyle name="20% - Ênfase5 6 5 6" xfId="29292"/>
    <cellStyle name="40% - Ênfase5 6 5 6" xfId="29293"/>
    <cellStyle name="20% - Ênfase6 6 5 6" xfId="29294"/>
    <cellStyle name="40% - Ênfase6 6 5 6" xfId="29295"/>
    <cellStyle name="Normal 4 3 5 6" xfId="29296"/>
    <cellStyle name="Nota 2 3 5 6" xfId="29297"/>
    <cellStyle name="Normal 5 3 5 6" xfId="29298"/>
    <cellStyle name="Nota 3 3 5 6" xfId="29299"/>
    <cellStyle name="20% - Ênfase1 2 3 5 6" xfId="29300"/>
    <cellStyle name="40% - Ênfase1 2 3 5 6" xfId="29301"/>
    <cellStyle name="20% - Ênfase2 2 3 5 6" xfId="29302"/>
    <cellStyle name="40% - Ênfase2 2 3 5 6" xfId="29303"/>
    <cellStyle name="20% - Ênfase3 2 3 5 6" xfId="29304"/>
    <cellStyle name="40% - Ênfase3 2 3 5 6" xfId="29305"/>
    <cellStyle name="20% - Ênfase4 2 3 5 6" xfId="29306"/>
    <cellStyle name="40% - Ênfase4 2 3 5 6" xfId="29307"/>
    <cellStyle name="20% - Ênfase5 2 3 5 6" xfId="29308"/>
    <cellStyle name="40% - Ênfase5 2 3 5 6" xfId="29309"/>
    <cellStyle name="20% - Ênfase6 2 3 5 6" xfId="29310"/>
    <cellStyle name="40% - Ênfase6 2 3 5 6" xfId="29311"/>
    <cellStyle name="Normal 7 3 6 6" xfId="29312"/>
    <cellStyle name="Nota 4 2 5 6" xfId="29313"/>
    <cellStyle name="20% - Ênfase1 3 2 5 6" xfId="29314"/>
    <cellStyle name="40% - Ênfase1 3 2 5 6" xfId="29315"/>
    <cellStyle name="20% - Ênfase2 3 2 5 6" xfId="29316"/>
    <cellStyle name="40% - Ênfase2 3 2 5 6" xfId="29317"/>
    <cellStyle name="20% - Ênfase3 3 2 5 6" xfId="29318"/>
    <cellStyle name="40% - Ênfase3 3 2 5 6" xfId="29319"/>
    <cellStyle name="20% - Ênfase4 3 2 5 6" xfId="29320"/>
    <cellStyle name="40% - Ênfase4 3 2 5 6" xfId="29321"/>
    <cellStyle name="20% - Ênfase5 3 2 5 6" xfId="29322"/>
    <cellStyle name="40% - Ênfase5 3 2 5 6" xfId="29323"/>
    <cellStyle name="20% - Ênfase6 3 2 5 6" xfId="29324"/>
    <cellStyle name="40% - Ênfase6 3 2 5 6" xfId="29325"/>
    <cellStyle name="Normal 8 2 6 6" xfId="29326"/>
    <cellStyle name="Nota 5 2 5 6" xfId="29327"/>
    <cellStyle name="20% - Ênfase1 4 2 5 6" xfId="29328"/>
    <cellStyle name="40% - Ênfase1 4 2 5 6" xfId="29329"/>
    <cellStyle name="20% - Ênfase2 4 2 5 6" xfId="29330"/>
    <cellStyle name="40% - Ênfase2 4 2 5 6" xfId="29331"/>
    <cellStyle name="20% - Ênfase3 4 2 5 6" xfId="29332"/>
    <cellStyle name="40% - Ênfase3 4 2 5 6" xfId="29333"/>
    <cellStyle name="20% - Ênfase4 4 2 5 6" xfId="29334"/>
    <cellStyle name="40% - Ênfase4 4 2 5 6" xfId="29335"/>
    <cellStyle name="20% - Ênfase5 4 2 5 6" xfId="29336"/>
    <cellStyle name="40% - Ênfase5 4 2 5 6" xfId="29337"/>
    <cellStyle name="20% - Ênfase6 4 2 5 6" xfId="29338"/>
    <cellStyle name="40% - Ênfase6 4 2 5 6" xfId="29339"/>
    <cellStyle name="20% - Ênfase1 8 4 6" xfId="29340"/>
    <cellStyle name="40% - Ênfase1 8 4 6" xfId="29341"/>
    <cellStyle name="20% - Ênfase2 8 4 6" xfId="29342"/>
    <cellStyle name="40% - Ênfase2 8 4 6" xfId="29343"/>
    <cellStyle name="20% - Ênfase3 8 4 6" xfId="29344"/>
    <cellStyle name="40% - Ênfase3 8 4 6" xfId="29345"/>
    <cellStyle name="20% - Ênfase4 8 4 6" xfId="29346"/>
    <cellStyle name="40% - Ênfase4 8 4 6" xfId="29347"/>
    <cellStyle name="20% - Ênfase5 8 4 6" xfId="29348"/>
    <cellStyle name="40% - Ênfase5 8 4 6" xfId="29349"/>
    <cellStyle name="20% - Ênfase6 8 4 6" xfId="29350"/>
    <cellStyle name="40% - Ênfase6 8 4 6" xfId="29351"/>
    <cellStyle name="Normal 4 5 4 6" xfId="29352"/>
    <cellStyle name="Nota 2 5 4 6" xfId="29353"/>
    <cellStyle name="Normal 5 5 4 6" xfId="29354"/>
    <cellStyle name="Nota 3 5 4 6" xfId="29355"/>
    <cellStyle name="20% - Ênfase1 2 5 4 6" xfId="29356"/>
    <cellStyle name="40% - Ênfase1 2 5 4 6" xfId="29357"/>
    <cellStyle name="20% - Ênfase2 2 5 4 6" xfId="29358"/>
    <cellStyle name="40% - Ênfase2 2 5 4 6" xfId="29359"/>
    <cellStyle name="20% - Ênfase3 2 5 4 6" xfId="29360"/>
    <cellStyle name="40% - Ênfase3 2 5 4 6" xfId="29361"/>
    <cellStyle name="20% - Ênfase4 2 5 4 6" xfId="29362"/>
    <cellStyle name="40% - Ênfase4 2 5 4 6" xfId="29363"/>
    <cellStyle name="20% - Ênfase5 2 5 4 6" xfId="29364"/>
    <cellStyle name="40% - Ênfase5 2 5 4 6" xfId="29365"/>
    <cellStyle name="20% - Ênfase6 2 5 4 6" xfId="29366"/>
    <cellStyle name="40% - Ênfase6 2 5 4 6" xfId="29367"/>
    <cellStyle name="Normal 7 5 4 6" xfId="29368"/>
    <cellStyle name="Nota 4 4 4 6" xfId="29369"/>
    <cellStyle name="20% - Ênfase1 3 4 4 6" xfId="29370"/>
    <cellStyle name="40% - Ênfase1 3 4 4 6" xfId="29371"/>
    <cellStyle name="20% - Ênfase2 3 4 4 6" xfId="29372"/>
    <cellStyle name="40% - Ênfase2 3 4 4 6" xfId="29373"/>
    <cellStyle name="20% - Ênfase3 3 4 4 6" xfId="29374"/>
    <cellStyle name="40% - Ênfase3 3 4 4 6" xfId="29375"/>
    <cellStyle name="20% - Ênfase4 3 4 4 6" xfId="29376"/>
    <cellStyle name="40% - Ênfase4 3 4 4 6" xfId="29377"/>
    <cellStyle name="20% - Ênfase5 3 4 4 6" xfId="29378"/>
    <cellStyle name="40% - Ênfase5 3 4 4 6" xfId="29379"/>
    <cellStyle name="20% - Ênfase6 3 4 4 6" xfId="29380"/>
    <cellStyle name="40% - Ênfase6 3 4 4 6" xfId="29381"/>
    <cellStyle name="Normal 8 4 5 6" xfId="29382"/>
    <cellStyle name="Nota 5 4 4 6" xfId="29383"/>
    <cellStyle name="20% - Ênfase1 4 4 4 6" xfId="29384"/>
    <cellStyle name="40% - Ênfase1 4 4 4 6" xfId="29385"/>
    <cellStyle name="20% - Ênfase2 4 4 4 6" xfId="29386"/>
    <cellStyle name="40% - Ênfase2 4 4 4 6" xfId="29387"/>
    <cellStyle name="20% - Ênfase3 4 4 4 6" xfId="29388"/>
    <cellStyle name="40% - Ênfase3 4 4 4 6" xfId="29389"/>
    <cellStyle name="20% - Ênfase4 4 4 4 6" xfId="29390"/>
    <cellStyle name="40% - Ênfase4 4 4 4 6" xfId="29391"/>
    <cellStyle name="20% - Ênfase5 4 4 4 6" xfId="29392"/>
    <cellStyle name="40% - Ênfase5 4 4 4 6" xfId="29393"/>
    <cellStyle name="20% - Ênfase6 4 4 4 6" xfId="29394"/>
    <cellStyle name="40% - Ênfase6 4 4 4 6" xfId="29395"/>
    <cellStyle name="Normal 3 3 4 6" xfId="29396"/>
    <cellStyle name="20% - Ênfase1 5 2 4 6" xfId="29397"/>
    <cellStyle name="40% - Ênfase1 5 2 4 6" xfId="29398"/>
    <cellStyle name="20% - Ênfase2 5 2 4 6" xfId="29399"/>
    <cellStyle name="40% - Ênfase2 5 2 4 6" xfId="29400"/>
    <cellStyle name="20% - Ênfase3 5 2 4 6" xfId="29401"/>
    <cellStyle name="40% - Ênfase3 5 2 4 6" xfId="29402"/>
    <cellStyle name="20% - Ênfase4 5 2 4 6" xfId="29403"/>
    <cellStyle name="40% - Ênfase4 5 2 4 6" xfId="29404"/>
    <cellStyle name="20% - Ênfase5 5 2 4 6" xfId="29405"/>
    <cellStyle name="40% - Ênfase5 5 2 4 6" xfId="29406"/>
    <cellStyle name="20% - Ênfase6 5 2 4 6" xfId="29407"/>
    <cellStyle name="40% - Ênfase6 5 2 4 6" xfId="29408"/>
    <cellStyle name="Normal 4 2 2 4 6" xfId="29409"/>
    <cellStyle name="Nota 2 2 2 4 6" xfId="29410"/>
    <cellStyle name="Normal 5 2 2 4 6" xfId="29411"/>
    <cellStyle name="Nota 3 2 2 4 6" xfId="29412"/>
    <cellStyle name="20% - Ênfase1 2 2 2 4 6" xfId="29413"/>
    <cellStyle name="40% - Ênfase1 2 2 2 4 6" xfId="29414"/>
    <cellStyle name="20% - Ênfase2 2 2 2 4 6" xfId="29415"/>
    <cellStyle name="40% - Ênfase2 2 2 2 4 6" xfId="29416"/>
    <cellStyle name="20% - Ênfase3 2 2 2 4 6" xfId="29417"/>
    <cellStyle name="40% - Ênfase3 2 2 2 4 6" xfId="29418"/>
    <cellStyle name="20% - Ênfase4 2 2 2 4 6" xfId="29419"/>
    <cellStyle name="40% - Ênfase4 2 2 2 4 6" xfId="29420"/>
    <cellStyle name="20% - Ênfase5 2 2 2 4 6" xfId="29421"/>
    <cellStyle name="40% - Ênfase5 2 2 2 4 6" xfId="29422"/>
    <cellStyle name="20% - Ênfase6 2 2 2 4 6" xfId="29423"/>
    <cellStyle name="40% - Ênfase6 2 2 2 4 6" xfId="29424"/>
    <cellStyle name="Normal 7 2 2 5 6" xfId="29425"/>
    <cellStyle name="Nota 4 3 4 6" xfId="29426"/>
    <cellStyle name="20% - Ênfase1 3 3 4 6" xfId="29427"/>
    <cellStyle name="40% - Ênfase1 3 3 4 6" xfId="29428"/>
    <cellStyle name="20% - Ênfase2 3 3 4 6" xfId="29429"/>
    <cellStyle name="40% - Ênfase2 3 3 4 6" xfId="29430"/>
    <cellStyle name="20% - Ênfase3 3 3 4 6" xfId="29431"/>
    <cellStyle name="40% - Ênfase3 3 3 4 6" xfId="29432"/>
    <cellStyle name="20% - Ênfase4 3 3 4 6" xfId="29433"/>
    <cellStyle name="40% - Ênfase4 3 3 4 6" xfId="29434"/>
    <cellStyle name="20% - Ênfase5 3 3 4 6" xfId="29435"/>
    <cellStyle name="40% - Ênfase5 3 3 4 6" xfId="29436"/>
    <cellStyle name="20% - Ênfase6 3 3 4 6" xfId="29437"/>
    <cellStyle name="40% - Ênfase6 3 3 4 6" xfId="29438"/>
    <cellStyle name="Normal 8 3 5 6" xfId="29439"/>
    <cellStyle name="Nota 5 3 4 6" xfId="29440"/>
    <cellStyle name="20% - Ênfase1 4 3 4 6" xfId="29441"/>
    <cellStyle name="40% - Ênfase1 4 3 4 6" xfId="29442"/>
    <cellStyle name="20% - Ênfase2 4 3 4 6" xfId="29443"/>
    <cellStyle name="40% - Ênfase2 4 3 4 6" xfId="29444"/>
    <cellStyle name="20% - Ênfase3 4 3 4 6" xfId="29445"/>
    <cellStyle name="40% - Ênfase3 4 3 4 6" xfId="29446"/>
    <cellStyle name="20% - Ênfase4 4 3 4 6" xfId="29447"/>
    <cellStyle name="40% - Ênfase4 4 3 4 6" xfId="29448"/>
    <cellStyle name="20% - Ênfase5 4 3 4 6" xfId="29449"/>
    <cellStyle name="40% - Ênfase5 4 3 4 6" xfId="29450"/>
    <cellStyle name="20% - Ênfase6 4 3 4 6" xfId="29451"/>
    <cellStyle name="40% - Ênfase6 4 3 4 6" xfId="29452"/>
    <cellStyle name="20% - Ênfase1 6 2 4 6" xfId="29453"/>
    <cellStyle name="40% - Ênfase1 6 2 4 6" xfId="29454"/>
    <cellStyle name="20% - Ênfase2 6 2 4 6" xfId="29455"/>
    <cellStyle name="40% - Ênfase2 6 2 4 6" xfId="29456"/>
    <cellStyle name="20% - Ênfase3 6 2 4 6" xfId="29457"/>
    <cellStyle name="40% - Ênfase3 6 2 4 6" xfId="29458"/>
    <cellStyle name="20% - Ênfase4 6 2 4 6" xfId="29459"/>
    <cellStyle name="40% - Ênfase4 6 2 4 6" xfId="29460"/>
    <cellStyle name="20% - Ênfase5 6 2 4 6" xfId="29461"/>
    <cellStyle name="40% - Ênfase5 6 2 4 6" xfId="29462"/>
    <cellStyle name="20% - Ênfase6 6 2 4 6" xfId="29463"/>
    <cellStyle name="40% - Ênfase6 6 2 4 6" xfId="29464"/>
    <cellStyle name="Normal 4 3 2 4 6" xfId="29465"/>
    <cellStyle name="Nota 2 3 2 4 6" xfId="29466"/>
    <cellStyle name="Normal 5 3 2 4 6" xfId="29467"/>
    <cellStyle name="Nota 3 3 2 4 6" xfId="29468"/>
    <cellStyle name="20% - Ênfase1 2 3 2 4 6" xfId="29469"/>
    <cellStyle name="40% - Ênfase1 2 3 2 4 6" xfId="29470"/>
    <cellStyle name="20% - Ênfase2 2 3 2 4 6" xfId="29471"/>
    <cellStyle name="40% - Ênfase2 2 3 2 4 6" xfId="29472"/>
    <cellStyle name="20% - Ênfase3 2 3 2 4 6" xfId="29473"/>
    <cellStyle name="40% - Ênfase3 2 3 2 4 6" xfId="29474"/>
    <cellStyle name="20% - Ênfase4 2 3 2 4 6" xfId="29475"/>
    <cellStyle name="40% - Ênfase4 2 3 2 4 6" xfId="29476"/>
    <cellStyle name="20% - Ênfase5 2 3 2 4 6" xfId="29477"/>
    <cellStyle name="40% - Ênfase5 2 3 2 4 6" xfId="29478"/>
    <cellStyle name="20% - Ênfase6 2 3 2 4 6" xfId="29479"/>
    <cellStyle name="40% - Ênfase6 2 3 2 4 6" xfId="29480"/>
    <cellStyle name="Normal 7 3 2 4 6" xfId="29481"/>
    <cellStyle name="Nota 4 2 2 4 6" xfId="29482"/>
    <cellStyle name="20% - Ênfase1 3 2 2 4 6" xfId="29483"/>
    <cellStyle name="40% - Ênfase1 3 2 2 4 6" xfId="29484"/>
    <cellStyle name="20% - Ênfase2 3 2 2 4 6" xfId="29485"/>
    <cellStyle name="40% - Ênfase2 3 2 2 4 6" xfId="29486"/>
    <cellStyle name="20% - Ênfase3 3 2 2 4 6" xfId="29487"/>
    <cellStyle name="40% - Ênfase3 3 2 2 4 6" xfId="29488"/>
    <cellStyle name="20% - Ênfase4 3 2 2 4 6" xfId="29489"/>
    <cellStyle name="40% - Ênfase4 3 2 2 4 6" xfId="29490"/>
    <cellStyle name="20% - Ênfase5 3 2 2 4 6" xfId="29491"/>
    <cellStyle name="40% - Ênfase5 3 2 2 4 6" xfId="29492"/>
    <cellStyle name="20% - Ênfase6 3 2 2 4 6" xfId="29493"/>
    <cellStyle name="40% - Ênfase6 3 2 2 4 6" xfId="29494"/>
    <cellStyle name="Normal 8 2 2 5 6" xfId="29495"/>
    <cellStyle name="Nota 5 2 2 4 6" xfId="29496"/>
    <cellStyle name="20% - Ênfase1 4 2 2 4 6" xfId="29497"/>
    <cellStyle name="40% - Ênfase1 4 2 2 4 6" xfId="29498"/>
    <cellStyle name="20% - Ênfase2 4 2 2 4 6" xfId="29499"/>
    <cellStyle name="40% - Ênfase2 4 2 2 4 6" xfId="29500"/>
    <cellStyle name="20% - Ênfase3 4 2 2 4 6" xfId="29501"/>
    <cellStyle name="40% - Ênfase3 4 2 2 4 6" xfId="29502"/>
    <cellStyle name="20% - Ênfase4 4 2 2 4 6" xfId="29503"/>
    <cellStyle name="40% - Ênfase4 4 2 2 4 6" xfId="29504"/>
    <cellStyle name="20% - Ênfase5 4 2 2 4 6" xfId="29505"/>
    <cellStyle name="40% - Ênfase5 4 2 2 4 6" xfId="29506"/>
    <cellStyle name="20% - Ênfase6 4 2 2 4 6" xfId="29507"/>
    <cellStyle name="40% - Ênfase6 4 2 2 4 6" xfId="29508"/>
    <cellStyle name="Normal 3 4 2 6" xfId="29509"/>
    <cellStyle name="20% - Ênfase1 5 3 2 6" xfId="29510"/>
    <cellStyle name="40% - Ênfase1 5 3 2 6" xfId="29511"/>
    <cellStyle name="20% - Ênfase2 5 3 2 6" xfId="29512"/>
    <cellStyle name="40% - Ênfase2 5 3 2 6" xfId="29513"/>
    <cellStyle name="20% - Ênfase3 5 3 2 6" xfId="29514"/>
    <cellStyle name="40% - Ênfase3 5 3 2 6" xfId="29515"/>
    <cellStyle name="20% - Ênfase4 5 3 2 6" xfId="29516"/>
    <cellStyle name="40% - Ênfase4 5 3 2 6" xfId="29517"/>
    <cellStyle name="20% - Ênfase5 5 3 2 6" xfId="29518"/>
    <cellStyle name="40% - Ênfase5 5 3 2 6" xfId="29519"/>
    <cellStyle name="20% - Ênfase6 5 3 2 6" xfId="29520"/>
    <cellStyle name="40% - Ênfase6 5 3 2 6" xfId="29521"/>
    <cellStyle name="Normal 4 2 3 2 6" xfId="29522"/>
    <cellStyle name="Nota 2 2 3 2 6" xfId="29523"/>
    <cellStyle name="Normal 5 2 3 2 6" xfId="29524"/>
    <cellStyle name="Nota 3 2 3 2 6" xfId="29525"/>
    <cellStyle name="20% - Ênfase1 2 2 3 2 6" xfId="29526"/>
    <cellStyle name="40% - Ênfase1 2 2 3 2 6" xfId="29527"/>
    <cellStyle name="20% - Ênfase2 2 2 3 2 6" xfId="29528"/>
    <cellStyle name="40% - Ênfase2 2 2 3 2 6" xfId="29529"/>
    <cellStyle name="20% - Ênfase3 2 2 3 2 6" xfId="29530"/>
    <cellStyle name="40% - Ênfase3 2 2 3 2 6" xfId="29531"/>
    <cellStyle name="20% - Ênfase4 2 2 3 2 6" xfId="29532"/>
    <cellStyle name="40% - Ênfase4 2 2 3 2 6" xfId="29533"/>
    <cellStyle name="20% - Ênfase5 2 2 3 2 6" xfId="29534"/>
    <cellStyle name="40% - Ênfase5 2 2 3 2 6" xfId="29535"/>
    <cellStyle name="20% - Ênfase6 2 2 3 2 6" xfId="29536"/>
    <cellStyle name="40% - Ênfase6 2 2 3 2 6" xfId="29537"/>
    <cellStyle name="Normal 7 2 3 2 6" xfId="29538"/>
    <cellStyle name="Nota 4 5 2 6" xfId="29539"/>
    <cellStyle name="20% - Ênfase1 3 5 2 6" xfId="29540"/>
    <cellStyle name="40% - Ênfase1 3 5 2 6" xfId="29541"/>
    <cellStyle name="20% - Ênfase2 3 5 2 6" xfId="29542"/>
    <cellStyle name="40% - Ênfase2 3 5 2 6" xfId="29543"/>
    <cellStyle name="20% - Ênfase3 3 5 2 6" xfId="29544"/>
    <cellStyle name="40% - Ênfase3 3 5 2 6" xfId="29545"/>
    <cellStyle name="20% - Ênfase4 3 5 2 6" xfId="29546"/>
    <cellStyle name="40% - Ênfase4 3 5 2 6" xfId="29547"/>
    <cellStyle name="20% - Ênfase5 3 5 2 6" xfId="29548"/>
    <cellStyle name="40% - Ênfase5 3 5 2 6" xfId="29549"/>
    <cellStyle name="20% - Ênfase6 3 5 2 6" xfId="29550"/>
    <cellStyle name="40% - Ênfase6 3 5 2 6" xfId="29551"/>
    <cellStyle name="Normal 8 5 5 5" xfId="29552"/>
    <cellStyle name="Nota 5 5 2 6" xfId="29553"/>
    <cellStyle name="20% - Ênfase1 4 5 2 6" xfId="29554"/>
    <cellStyle name="40% - Ênfase1 4 5 2 6" xfId="29555"/>
    <cellStyle name="20% - Ênfase2 4 5 2 6" xfId="29556"/>
    <cellStyle name="40% - Ênfase2 4 5 2 6" xfId="29557"/>
    <cellStyle name="20% - Ênfase3 4 5 2 6" xfId="29558"/>
    <cellStyle name="40% - Ênfase3 4 5 2 6" xfId="29559"/>
    <cellStyle name="20% - Ênfase4 4 5 2 6" xfId="29560"/>
    <cellStyle name="40% - Ênfase4 4 5 2 6" xfId="29561"/>
    <cellStyle name="20% - Ênfase5 4 5 2 6" xfId="29562"/>
    <cellStyle name="40% - Ênfase5 4 5 2 6" xfId="29563"/>
    <cellStyle name="20% - Ênfase6 4 5 2 6" xfId="29564"/>
    <cellStyle name="40% - Ênfase6 4 5 2 6" xfId="29565"/>
    <cellStyle name="20% - Ênfase1 6 3 2 6" xfId="29566"/>
    <cellStyle name="40% - Ênfase1 6 3 2 6" xfId="29567"/>
    <cellStyle name="20% - Ênfase2 6 3 2 6" xfId="29568"/>
    <cellStyle name="40% - Ênfase2 6 3 2 6" xfId="29569"/>
    <cellStyle name="20% - Ênfase3 6 3 2 6" xfId="29570"/>
    <cellStyle name="40% - Ênfase3 6 3 2 6" xfId="29571"/>
    <cellStyle name="20% - Ênfase4 6 3 2 6" xfId="29572"/>
    <cellStyle name="40% - Ênfase4 6 3 2 6" xfId="29573"/>
    <cellStyle name="20% - Ênfase5 6 3 2 6" xfId="29574"/>
    <cellStyle name="40% - Ênfase5 6 3 2 6" xfId="29575"/>
    <cellStyle name="20% - Ênfase6 6 3 2 6" xfId="29576"/>
    <cellStyle name="40% - Ênfase6 6 3 2 6" xfId="29577"/>
    <cellStyle name="Normal 4 3 3 2 6" xfId="29578"/>
    <cellStyle name="Nota 2 3 3 2 6" xfId="29579"/>
    <cellStyle name="Normal 5 3 3 2 6" xfId="29580"/>
    <cellStyle name="Nota 3 3 3 2 6" xfId="29581"/>
    <cellStyle name="20% - Ênfase1 2 3 3 2 6" xfId="29582"/>
    <cellStyle name="40% - Ênfase1 2 3 3 2 6" xfId="29583"/>
    <cellStyle name="20% - Ênfase2 2 3 3 2 6" xfId="29584"/>
    <cellStyle name="40% - Ênfase2 2 3 3 2 6" xfId="29585"/>
    <cellStyle name="20% - Ênfase3 2 3 3 2 6" xfId="29586"/>
    <cellStyle name="40% - Ênfase3 2 3 3 2 6" xfId="29587"/>
    <cellStyle name="20% - Ênfase4 2 3 3 2 6" xfId="29588"/>
    <cellStyle name="40% - Ênfase4 2 3 3 2 6" xfId="29589"/>
    <cellStyle name="20% - Ênfase5 2 3 3 2 6" xfId="29590"/>
    <cellStyle name="40% - Ênfase5 2 3 3 2 6" xfId="29591"/>
    <cellStyle name="20% - Ênfase6 2 3 3 2 6" xfId="29592"/>
    <cellStyle name="40% - Ênfase6 2 3 3 2 6" xfId="29593"/>
    <cellStyle name="Normal 7 3 3 2 6" xfId="29594"/>
    <cellStyle name="Nota 4 2 3 2 6" xfId="29595"/>
    <cellStyle name="20% - Ênfase1 3 2 3 2 6" xfId="29596"/>
    <cellStyle name="40% - Ênfase1 3 2 3 2 6" xfId="29597"/>
    <cellStyle name="20% - Ênfase2 3 2 3 2 6" xfId="29598"/>
    <cellStyle name="40% - Ênfase2 3 2 3 2 6" xfId="29599"/>
    <cellStyle name="20% - Ênfase3 3 2 3 2 6" xfId="29600"/>
    <cellStyle name="40% - Ênfase3 3 2 3 2 6" xfId="29601"/>
    <cellStyle name="20% - Ênfase4 3 2 3 2 6" xfId="29602"/>
    <cellStyle name="40% - Ênfase4 3 2 3 2 6" xfId="29603"/>
    <cellStyle name="20% - Ênfase5 3 2 3 2 6" xfId="29604"/>
    <cellStyle name="40% - Ênfase5 3 2 3 2 6" xfId="29605"/>
    <cellStyle name="20% - Ênfase6 3 2 3 2 6" xfId="29606"/>
    <cellStyle name="40% - Ênfase6 3 2 3 2 6" xfId="29607"/>
    <cellStyle name="Normal 8 2 3 2 6" xfId="29608"/>
    <cellStyle name="Nota 5 2 3 2 6" xfId="29609"/>
    <cellStyle name="20% - Ênfase1 4 2 3 2 6" xfId="29610"/>
    <cellStyle name="40% - Ênfase1 4 2 3 2 6" xfId="29611"/>
    <cellStyle name="20% - Ênfase2 4 2 3 2 6" xfId="29612"/>
    <cellStyle name="40% - Ênfase2 4 2 3 2 6" xfId="29613"/>
    <cellStyle name="20% - Ênfase3 4 2 3 2 6" xfId="29614"/>
    <cellStyle name="40% - Ênfase3 4 2 3 2 6" xfId="29615"/>
    <cellStyle name="20% - Ênfase4 4 2 3 2 6" xfId="29616"/>
    <cellStyle name="40% - Ênfase4 4 2 3 2 6" xfId="29617"/>
    <cellStyle name="20% - Ênfase5 4 2 3 2 6" xfId="29618"/>
    <cellStyle name="40% - Ênfase5 4 2 3 2 6" xfId="29619"/>
    <cellStyle name="20% - Ênfase6 4 2 3 2 6" xfId="29620"/>
    <cellStyle name="40% - Ênfase6 4 2 3 2 6" xfId="29621"/>
    <cellStyle name="20% - Ênfase1 8 2 2 6" xfId="29622"/>
    <cellStyle name="40% - Ênfase1 8 2 2 6" xfId="29623"/>
    <cellStyle name="20% - Ênfase2 8 2 2 6" xfId="29624"/>
    <cellStyle name="40% - Ênfase2 8 2 2 6" xfId="29625"/>
    <cellStyle name="20% - Ênfase3 8 2 2 6" xfId="29626"/>
    <cellStyle name="40% - Ênfase3 8 2 2 6" xfId="29627"/>
    <cellStyle name="20% - Ênfase4 8 2 2 6" xfId="29628"/>
    <cellStyle name="40% - Ênfase4 8 2 2 6" xfId="29629"/>
    <cellStyle name="20% - Ênfase5 8 2 2 6" xfId="29630"/>
    <cellStyle name="40% - Ênfase5 8 2 2 6" xfId="29631"/>
    <cellStyle name="20% - Ênfase6 8 2 2 6" xfId="29632"/>
    <cellStyle name="40% - Ênfase6 8 2 2 6" xfId="29633"/>
    <cellStyle name="Normal 4 5 2 2 6" xfId="29634"/>
    <cellStyle name="Nota 2 5 2 2 6" xfId="29635"/>
    <cellStyle name="Normal 5 5 2 2 6" xfId="29636"/>
    <cellStyle name="Nota 3 5 2 2 6" xfId="29637"/>
    <cellStyle name="20% - Ênfase1 2 5 2 2 6" xfId="29638"/>
    <cellStyle name="40% - Ênfase1 2 5 2 2 6" xfId="29639"/>
    <cellStyle name="20% - Ênfase2 2 5 2 2 6" xfId="29640"/>
    <cellStyle name="40% - Ênfase2 2 5 2 2 6" xfId="29641"/>
    <cellStyle name="20% - Ênfase3 2 5 2 2 6" xfId="29642"/>
    <cellStyle name="40% - Ênfase3 2 5 2 2 6" xfId="29643"/>
    <cellStyle name="20% - Ênfase4 2 5 2 2 6" xfId="29644"/>
    <cellStyle name="40% - Ênfase4 2 5 2 2 6" xfId="29645"/>
    <cellStyle name="20% - Ênfase5 2 5 2 2 6" xfId="29646"/>
    <cellStyle name="40% - Ênfase5 2 5 2 2 6" xfId="29647"/>
    <cellStyle name="20% - Ênfase6 2 5 2 2 6" xfId="29648"/>
    <cellStyle name="40% - Ênfase6 2 5 2 2 6" xfId="29649"/>
    <cellStyle name="Normal 7 5 2 2 6" xfId="29650"/>
    <cellStyle name="Nota 4 4 2 2 6" xfId="29651"/>
    <cellStyle name="20% - Ênfase1 3 4 2 2 6" xfId="29652"/>
    <cellStyle name="40% - Ênfase1 3 4 2 2 6" xfId="29653"/>
    <cellStyle name="20% - Ênfase2 3 4 2 2 6" xfId="29654"/>
    <cellStyle name="40% - Ênfase2 3 4 2 2 6" xfId="29655"/>
    <cellStyle name="20% - Ênfase3 3 4 2 2 6" xfId="29656"/>
    <cellStyle name="40% - Ênfase3 3 4 2 2 6" xfId="29657"/>
    <cellStyle name="20% - Ênfase4 3 4 2 2 6" xfId="29658"/>
    <cellStyle name="40% - Ênfase4 3 4 2 2 6" xfId="29659"/>
    <cellStyle name="20% - Ênfase5 3 4 2 2 6" xfId="29660"/>
    <cellStyle name="40% - Ênfase5 3 4 2 2 6" xfId="29661"/>
    <cellStyle name="20% - Ênfase6 3 4 2 2 6" xfId="29662"/>
    <cellStyle name="40% - Ênfase6 3 4 2 2 6" xfId="29663"/>
    <cellStyle name="Normal 8 4 2 3 6" xfId="29664"/>
    <cellStyle name="Nota 5 4 2 2 6" xfId="29665"/>
    <cellStyle name="20% - Ênfase1 4 4 2 2 6" xfId="29666"/>
    <cellStyle name="40% - Ênfase1 4 4 2 2 6" xfId="29667"/>
    <cellStyle name="20% - Ênfase2 4 4 2 2 6" xfId="29668"/>
    <cellStyle name="40% - Ênfase2 4 4 2 2 6" xfId="29669"/>
    <cellStyle name="20% - Ênfase3 4 4 2 2 6" xfId="29670"/>
    <cellStyle name="40% - Ênfase3 4 4 2 2 6" xfId="29671"/>
    <cellStyle name="20% - Ênfase4 4 4 2 2 6" xfId="29672"/>
    <cellStyle name="40% - Ênfase4 4 4 2 2 6" xfId="29673"/>
    <cellStyle name="20% - Ênfase5 4 4 2 2 6" xfId="29674"/>
    <cellStyle name="40% - Ênfase5 4 4 2 2 6" xfId="29675"/>
    <cellStyle name="20% - Ênfase6 4 4 2 2 6" xfId="29676"/>
    <cellStyle name="40% - Ênfase6 4 4 2 2 6" xfId="29677"/>
    <cellStyle name="Normal 3 3 2 2 6" xfId="29678"/>
    <cellStyle name="20% - Ênfase1 5 2 2 2 6" xfId="29679"/>
    <cellStyle name="40% - Ênfase1 5 2 2 2 6" xfId="29680"/>
    <cellStyle name="20% - Ênfase2 5 2 2 2 6" xfId="29681"/>
    <cellStyle name="40% - Ênfase2 5 2 2 2 6" xfId="29682"/>
    <cellStyle name="20% - Ênfase3 5 2 2 2 6" xfId="29683"/>
    <cellStyle name="40% - Ênfase3 5 2 2 2 6" xfId="29684"/>
    <cellStyle name="20% - Ênfase4 5 2 2 2 6" xfId="29685"/>
    <cellStyle name="40% - Ênfase4 5 2 2 2 6" xfId="29686"/>
    <cellStyle name="20% - Ênfase5 5 2 2 2 6" xfId="29687"/>
    <cellStyle name="40% - Ênfase5 5 2 2 2 6" xfId="29688"/>
    <cellStyle name="20% - Ênfase6 5 2 2 2 6" xfId="29689"/>
    <cellStyle name="40% - Ênfase6 5 2 2 2 6" xfId="29690"/>
    <cellStyle name="Normal 4 2 2 2 2 6" xfId="29691"/>
    <cellStyle name="Nota 2 2 2 2 2 6" xfId="29692"/>
    <cellStyle name="Normal 5 2 2 2 2 6" xfId="29693"/>
    <cellStyle name="Nota 3 2 2 2 2 6" xfId="29694"/>
    <cellStyle name="20% - Ênfase1 2 2 2 2 2 6" xfId="29695"/>
    <cellStyle name="40% - Ênfase1 2 2 2 2 2 6" xfId="29696"/>
    <cellStyle name="20% - Ênfase2 2 2 2 2 2 6" xfId="29697"/>
    <cellStyle name="40% - Ênfase2 2 2 2 2 2 6" xfId="29698"/>
    <cellStyle name="20% - Ênfase3 2 2 2 2 2 6" xfId="29699"/>
    <cellStyle name="40% - Ênfase3 2 2 2 2 2 6" xfId="29700"/>
    <cellStyle name="20% - Ênfase4 2 2 2 2 2 6" xfId="29701"/>
    <cellStyle name="40% - Ênfase4 2 2 2 2 2 6" xfId="29702"/>
    <cellStyle name="20% - Ênfase5 2 2 2 2 2 6" xfId="29703"/>
    <cellStyle name="40% - Ênfase5 2 2 2 2 2 6" xfId="29704"/>
    <cellStyle name="20% - Ênfase6 2 2 2 2 2 6" xfId="29705"/>
    <cellStyle name="40% - Ênfase6 2 2 2 2 2 6" xfId="29706"/>
    <cellStyle name="Normal 7 2 2 2 2 6" xfId="29707"/>
    <cellStyle name="Nota 4 3 2 2 6" xfId="29708"/>
    <cellStyle name="20% - Ênfase1 3 3 2 2 6" xfId="29709"/>
    <cellStyle name="40% - Ênfase1 3 3 2 2 6" xfId="29710"/>
    <cellStyle name="20% - Ênfase2 3 3 2 2 6" xfId="29711"/>
    <cellStyle name="40% - Ênfase2 3 3 2 2 6" xfId="29712"/>
    <cellStyle name="20% - Ênfase3 3 3 2 2 6" xfId="29713"/>
    <cellStyle name="40% - Ênfase3 3 3 2 2 6" xfId="29714"/>
    <cellStyle name="20% - Ênfase4 3 3 2 2 6" xfId="29715"/>
    <cellStyle name="40% - Ênfase4 3 3 2 2 6" xfId="29716"/>
    <cellStyle name="20% - Ênfase5 3 3 2 2 6" xfId="29717"/>
    <cellStyle name="40% - Ênfase5 3 3 2 2 6" xfId="29718"/>
    <cellStyle name="20% - Ênfase6 3 3 2 2 6" xfId="29719"/>
    <cellStyle name="40% - Ênfase6 3 3 2 2 6" xfId="29720"/>
    <cellStyle name="Normal 8 3 2 3 6" xfId="29721"/>
    <cellStyle name="Nota 5 3 2 2 6" xfId="29722"/>
    <cellStyle name="20% - Ênfase1 4 3 2 2 6" xfId="29723"/>
    <cellStyle name="40% - Ênfase1 4 3 2 2 6" xfId="29724"/>
    <cellStyle name="20% - Ênfase2 4 3 2 2 6" xfId="29725"/>
    <cellStyle name="40% - Ênfase2 4 3 2 2 6" xfId="29726"/>
    <cellStyle name="20% - Ênfase3 4 3 2 2 6" xfId="29727"/>
    <cellStyle name="40% - Ênfase3 4 3 2 2 6" xfId="29728"/>
    <cellStyle name="20% - Ênfase4 4 3 2 2 6" xfId="29729"/>
    <cellStyle name="40% - Ênfase4 4 3 2 2 6" xfId="29730"/>
    <cellStyle name="20% - Ênfase5 4 3 2 2 6" xfId="29731"/>
    <cellStyle name="40% - Ênfase5 4 3 2 2 6" xfId="29732"/>
    <cellStyle name="20% - Ênfase6 4 3 2 2 6" xfId="29733"/>
    <cellStyle name="40% - Ênfase6 4 3 2 2 6" xfId="29734"/>
    <cellStyle name="20% - Ênfase1 6 2 2 2 6" xfId="29735"/>
    <cellStyle name="40% - Ênfase1 6 2 2 2 6" xfId="29736"/>
    <cellStyle name="20% - Ênfase2 6 2 2 2 6" xfId="29737"/>
    <cellStyle name="40% - Ênfase2 6 2 2 2 6" xfId="29738"/>
    <cellStyle name="20% - Ênfase3 6 2 2 2 6" xfId="29739"/>
    <cellStyle name="40% - Ênfase3 6 2 2 2 6" xfId="29740"/>
    <cellStyle name="20% - Ênfase4 6 2 2 2 6" xfId="29741"/>
    <cellStyle name="40% - Ênfase4 6 2 2 2 6" xfId="29742"/>
    <cellStyle name="20% - Ênfase5 6 2 2 2 6" xfId="29743"/>
    <cellStyle name="40% - Ênfase5 6 2 2 2 6" xfId="29744"/>
    <cellStyle name="20% - Ênfase6 6 2 2 2 6" xfId="29745"/>
    <cellStyle name="40% - Ênfase6 6 2 2 2 6" xfId="29746"/>
    <cellStyle name="Normal 4 3 2 2 2 6" xfId="29747"/>
    <cellStyle name="Nota 2 3 2 2 2 6" xfId="29748"/>
    <cellStyle name="Normal 5 3 2 2 2 6" xfId="29749"/>
    <cellStyle name="Nota 3 3 2 2 2 6" xfId="29750"/>
    <cellStyle name="20% - Ênfase1 2 3 2 2 2 6" xfId="29751"/>
    <cellStyle name="40% - Ênfase1 2 3 2 2 2 6" xfId="29752"/>
    <cellStyle name="20% - Ênfase2 2 3 2 2 2 6" xfId="29753"/>
    <cellStyle name="40% - Ênfase2 2 3 2 2 2 6" xfId="29754"/>
    <cellStyle name="20% - Ênfase3 2 3 2 2 2 6" xfId="29755"/>
    <cellStyle name="40% - Ênfase3 2 3 2 2 2 6" xfId="29756"/>
    <cellStyle name="20% - Ênfase4 2 3 2 2 2 6" xfId="29757"/>
    <cellStyle name="40% - Ênfase4 2 3 2 2 2 6" xfId="29758"/>
    <cellStyle name="20% - Ênfase5 2 3 2 2 2 6" xfId="29759"/>
    <cellStyle name="40% - Ênfase5 2 3 2 2 2 6" xfId="29760"/>
    <cellStyle name="20% - Ênfase6 2 3 2 2 2 6" xfId="29761"/>
    <cellStyle name="40% - Ênfase6 2 3 2 2 2 6" xfId="29762"/>
    <cellStyle name="Normal 7 3 2 2 2 6" xfId="29763"/>
    <cellStyle name="Nota 4 2 2 2 2 6" xfId="29764"/>
    <cellStyle name="20% - Ênfase1 3 2 2 2 2 6" xfId="29765"/>
    <cellStyle name="40% - Ênfase1 3 2 2 2 2 6" xfId="29766"/>
    <cellStyle name="20% - Ênfase2 3 2 2 2 2 6" xfId="29767"/>
    <cellStyle name="40% - Ênfase2 3 2 2 2 2 6" xfId="29768"/>
    <cellStyle name="20% - Ênfase3 3 2 2 2 2 6" xfId="29769"/>
    <cellStyle name="40% - Ênfase3 3 2 2 2 2 6" xfId="29770"/>
    <cellStyle name="20% - Ênfase4 3 2 2 2 2 6" xfId="29771"/>
    <cellStyle name="40% - Ênfase4 3 2 2 2 2 6" xfId="29772"/>
    <cellStyle name="20% - Ênfase5 3 2 2 2 2 6" xfId="29773"/>
    <cellStyle name="40% - Ênfase5 3 2 2 2 2 6" xfId="29774"/>
    <cellStyle name="20% - Ênfase6 3 2 2 2 2 6" xfId="29775"/>
    <cellStyle name="40% - Ênfase6 3 2 2 2 2 6" xfId="29776"/>
    <cellStyle name="Normal 8 2 2 2 2 6" xfId="29777"/>
    <cellStyle name="Nota 5 2 2 2 2 6" xfId="29778"/>
    <cellStyle name="20% - Ênfase1 4 2 2 2 2 6" xfId="29779"/>
    <cellStyle name="40% - Ênfase1 4 2 2 2 2 6" xfId="29780"/>
    <cellStyle name="20% - Ênfase2 4 2 2 2 2 6" xfId="29781"/>
    <cellStyle name="40% - Ênfase2 4 2 2 2 2 6" xfId="29782"/>
    <cellStyle name="20% - Ênfase3 4 2 2 2 2 6" xfId="29783"/>
    <cellStyle name="40% - Ênfase3 4 2 2 2 2 6" xfId="29784"/>
    <cellStyle name="20% - Ênfase4 4 2 2 2 2 6" xfId="29785"/>
    <cellStyle name="40% - Ênfase4 4 2 2 2 2 6" xfId="29786"/>
    <cellStyle name="20% - Ênfase5 4 2 2 2 2 6" xfId="29787"/>
    <cellStyle name="40% - Ênfase5 4 2 2 2 2 6" xfId="29788"/>
    <cellStyle name="20% - Ênfase6 4 2 2 2 2 6" xfId="29789"/>
    <cellStyle name="40% - Ênfase6 4 2 2 2 2 6" xfId="29790"/>
    <cellStyle name="Normal 3 5 2 6" xfId="29791"/>
    <cellStyle name="20% - Ênfase1 5 4 2 6" xfId="29792"/>
    <cellStyle name="40% - Ênfase1 5 4 2 6" xfId="29793"/>
    <cellStyle name="20% - Ênfase2 5 4 2 6" xfId="29794"/>
    <cellStyle name="40% - Ênfase2 5 4 2 6" xfId="29795"/>
    <cellStyle name="20% - Ênfase3 5 4 2 6" xfId="29796"/>
    <cellStyle name="40% - Ênfase3 5 4 2 6" xfId="29797"/>
    <cellStyle name="20% - Ênfase4 5 4 2 6" xfId="29798"/>
    <cellStyle name="40% - Ênfase4 5 4 2 6" xfId="29799"/>
    <cellStyle name="20% - Ênfase5 5 4 2 6" xfId="29800"/>
    <cellStyle name="40% - Ênfase5 5 4 2 6" xfId="29801"/>
    <cellStyle name="20% - Ênfase6 5 4 2 6" xfId="29802"/>
    <cellStyle name="40% - Ênfase6 5 4 2 6" xfId="29803"/>
    <cellStyle name="Normal 4 2 4 2 6" xfId="29804"/>
    <cellStyle name="Nota 2 2 4 2 6" xfId="29805"/>
    <cellStyle name="Normal 5 2 4 2 6" xfId="29806"/>
    <cellStyle name="Nota 3 2 4 2 6" xfId="29807"/>
    <cellStyle name="20% - Ênfase1 2 2 4 2 6" xfId="29808"/>
    <cellStyle name="40% - Ênfase1 2 2 4 2 6" xfId="29809"/>
    <cellStyle name="20% - Ênfase2 2 2 4 2 6" xfId="29810"/>
    <cellStyle name="40% - Ênfase2 2 2 4 2 6" xfId="29811"/>
    <cellStyle name="20% - Ênfase3 2 2 4 2 6" xfId="29812"/>
    <cellStyle name="40% - Ênfase3 2 2 4 2 6" xfId="29813"/>
    <cellStyle name="20% - Ênfase4 2 2 4 2 6" xfId="29814"/>
    <cellStyle name="40% - Ênfase4 2 2 4 2 6" xfId="29815"/>
    <cellStyle name="20% - Ênfase5 2 2 4 2 6" xfId="29816"/>
    <cellStyle name="40% - Ênfase5 2 2 4 2 6" xfId="29817"/>
    <cellStyle name="20% - Ênfase6 2 2 4 2 6" xfId="29818"/>
    <cellStyle name="40% - Ênfase6 2 2 4 2 6" xfId="29819"/>
    <cellStyle name="Normal 7 2 4 2 6" xfId="29820"/>
    <cellStyle name="Nota 4 6 2 6" xfId="29821"/>
    <cellStyle name="20% - Ênfase1 3 6 2 6" xfId="29822"/>
    <cellStyle name="40% - Ênfase1 3 6 2 6" xfId="29823"/>
    <cellStyle name="20% - Ênfase2 3 6 2 6" xfId="29824"/>
    <cellStyle name="40% - Ênfase2 3 6 2 6" xfId="29825"/>
    <cellStyle name="20% - Ênfase3 3 6 2 6" xfId="29826"/>
    <cellStyle name="40% - Ênfase3 3 6 2 6" xfId="29827"/>
    <cellStyle name="20% - Ênfase4 3 6 2 6" xfId="29828"/>
    <cellStyle name="40% - Ênfase4 3 6 2 6" xfId="29829"/>
    <cellStyle name="20% - Ênfase5 3 6 2 6" xfId="29830"/>
    <cellStyle name="40% - Ênfase5 3 6 2 6" xfId="29831"/>
    <cellStyle name="20% - Ênfase6 3 6 2 6" xfId="29832"/>
    <cellStyle name="40% - Ênfase6 3 6 2 6" xfId="29833"/>
    <cellStyle name="Normal 8 6 3 6" xfId="29834"/>
    <cellStyle name="Nota 5 6 2 6" xfId="29835"/>
    <cellStyle name="20% - Ênfase1 4 6 2 6" xfId="29836"/>
    <cellStyle name="40% - Ênfase1 4 6 2 6" xfId="29837"/>
    <cellStyle name="20% - Ênfase2 4 6 2 6" xfId="29838"/>
    <cellStyle name="40% - Ênfase2 4 6 2 6" xfId="29839"/>
    <cellStyle name="20% - Ênfase3 4 6 2 6" xfId="29840"/>
    <cellStyle name="40% - Ênfase3 4 6 2 6" xfId="29841"/>
    <cellStyle name="20% - Ênfase4 4 6 2 6" xfId="29842"/>
    <cellStyle name="40% - Ênfase4 4 6 2 6" xfId="29843"/>
    <cellStyle name="20% - Ênfase5 4 6 2 6" xfId="29844"/>
    <cellStyle name="40% - Ênfase5 4 6 2 6" xfId="29845"/>
    <cellStyle name="20% - Ênfase6 4 6 2 6" xfId="29846"/>
    <cellStyle name="40% - Ênfase6 4 6 2 6" xfId="29847"/>
    <cellStyle name="20% - Ênfase1 6 4 2 6" xfId="29848"/>
    <cellStyle name="40% - Ênfase1 6 4 2 6" xfId="29849"/>
    <cellStyle name="20% - Ênfase2 6 4 2 6" xfId="29850"/>
    <cellStyle name="40% - Ênfase2 6 4 2 6" xfId="29851"/>
    <cellStyle name="20% - Ênfase3 6 4 2 6" xfId="29852"/>
    <cellStyle name="40% - Ênfase3 6 4 2 6" xfId="29853"/>
    <cellStyle name="20% - Ênfase4 6 4 2 6" xfId="29854"/>
    <cellStyle name="40% - Ênfase4 6 4 2 6" xfId="29855"/>
    <cellStyle name="20% - Ênfase5 6 4 2 6" xfId="29856"/>
    <cellStyle name="40% - Ênfase5 6 4 2 6" xfId="29857"/>
    <cellStyle name="20% - Ênfase6 6 4 2 6" xfId="29858"/>
    <cellStyle name="40% - Ênfase6 6 4 2 6" xfId="29859"/>
    <cellStyle name="Normal 4 3 4 2 6" xfId="29860"/>
    <cellStyle name="Nota 2 3 4 2 6" xfId="29861"/>
    <cellStyle name="Normal 5 3 4 2 6" xfId="29862"/>
    <cellStyle name="Nota 3 3 4 2 6" xfId="29863"/>
    <cellStyle name="20% - Ênfase1 2 3 4 2 6" xfId="29864"/>
    <cellStyle name="40% - Ênfase1 2 3 4 2 6" xfId="29865"/>
    <cellStyle name="20% - Ênfase2 2 3 4 2 6" xfId="29866"/>
    <cellStyle name="40% - Ênfase2 2 3 4 2 6" xfId="29867"/>
    <cellStyle name="20% - Ênfase3 2 3 4 2 6" xfId="29868"/>
    <cellStyle name="40% - Ênfase3 2 3 4 2 6" xfId="29869"/>
    <cellStyle name="20% - Ênfase4 2 3 4 2 6" xfId="29870"/>
    <cellStyle name="40% - Ênfase4 2 3 4 2 6" xfId="29871"/>
    <cellStyle name="20% - Ênfase5 2 3 4 2 6" xfId="29872"/>
    <cellStyle name="40% - Ênfase5 2 3 4 2 6" xfId="29873"/>
    <cellStyle name="20% - Ênfase6 2 3 4 2 6" xfId="29874"/>
    <cellStyle name="40% - Ênfase6 2 3 4 2 6" xfId="29875"/>
    <cellStyle name="Normal 7 3 4 2 6" xfId="29876"/>
    <cellStyle name="Nota 4 2 4 2 6" xfId="29877"/>
    <cellStyle name="20% - Ênfase1 3 2 4 2 6" xfId="29878"/>
    <cellStyle name="40% - Ênfase1 3 2 4 2 6" xfId="29879"/>
    <cellStyle name="20% - Ênfase2 3 2 4 2 6" xfId="29880"/>
    <cellStyle name="40% - Ênfase2 3 2 4 2 6" xfId="29881"/>
    <cellStyle name="20% - Ênfase3 3 2 4 2 6" xfId="29882"/>
    <cellStyle name="40% - Ênfase3 3 2 4 2 6" xfId="29883"/>
    <cellStyle name="20% - Ênfase4 3 2 4 2 6" xfId="29884"/>
    <cellStyle name="40% - Ênfase4 3 2 4 2 6" xfId="29885"/>
    <cellStyle name="20% - Ênfase5 3 2 4 2 6" xfId="29886"/>
    <cellStyle name="40% - Ênfase5 3 2 4 2 6" xfId="29887"/>
    <cellStyle name="20% - Ênfase6 3 2 4 2 6" xfId="29888"/>
    <cellStyle name="40% - Ênfase6 3 2 4 2 6" xfId="29889"/>
    <cellStyle name="Normal 8 2 4 2 6" xfId="29890"/>
    <cellStyle name="Nota 5 2 4 2 6" xfId="29891"/>
    <cellStyle name="20% - Ênfase1 4 2 4 2 6" xfId="29892"/>
    <cellStyle name="40% - Ênfase1 4 2 4 2 6" xfId="29893"/>
    <cellStyle name="20% - Ênfase2 4 2 4 2 6" xfId="29894"/>
    <cellStyle name="40% - Ênfase2 4 2 4 2 6" xfId="29895"/>
    <cellStyle name="20% - Ênfase3 4 2 4 2 6" xfId="29896"/>
    <cellStyle name="40% - Ênfase3 4 2 4 2 6" xfId="29897"/>
    <cellStyle name="20% - Ênfase4 4 2 4 2 6" xfId="29898"/>
    <cellStyle name="40% - Ênfase4 4 2 4 2 6" xfId="29899"/>
    <cellStyle name="20% - Ênfase5 4 2 4 2 6" xfId="29900"/>
    <cellStyle name="40% - Ênfase5 4 2 4 2 6" xfId="29901"/>
    <cellStyle name="20% - Ênfase6 4 2 4 2 6" xfId="29902"/>
    <cellStyle name="40% - Ênfase6 4 2 4 2 6" xfId="29903"/>
    <cellStyle name="20% - Ênfase1 8 3 2 6" xfId="29904"/>
    <cellStyle name="40% - Ênfase1 8 3 2 6" xfId="29905"/>
    <cellStyle name="20% - Ênfase2 8 3 2 6" xfId="29906"/>
    <cellStyle name="40% - Ênfase2 8 3 2 6" xfId="29907"/>
    <cellStyle name="20% - Ênfase3 8 3 2 6" xfId="29908"/>
    <cellStyle name="40% - Ênfase3 8 3 2 6" xfId="29909"/>
    <cellStyle name="20% - Ênfase4 8 3 2 6" xfId="29910"/>
    <cellStyle name="40% - Ênfase4 8 3 2 6" xfId="29911"/>
    <cellStyle name="20% - Ênfase5 8 3 2 6" xfId="29912"/>
    <cellStyle name="40% - Ênfase5 8 3 2 6" xfId="29913"/>
    <cellStyle name="20% - Ênfase6 8 3 2 6" xfId="29914"/>
    <cellStyle name="40% - Ênfase6 8 3 2 6" xfId="29915"/>
    <cellStyle name="Normal 4 5 3 2 6" xfId="29916"/>
    <cellStyle name="Nota 2 5 3 2 6" xfId="29917"/>
    <cellStyle name="Normal 5 5 3 2 6" xfId="29918"/>
    <cellStyle name="Nota 3 5 3 2 6" xfId="29919"/>
    <cellStyle name="20% - Ênfase1 2 5 3 2 6" xfId="29920"/>
    <cellStyle name="40% - Ênfase1 2 5 3 2 6" xfId="29921"/>
    <cellStyle name="20% - Ênfase2 2 5 3 2 6" xfId="29922"/>
    <cellStyle name="40% - Ênfase2 2 5 3 2 6" xfId="29923"/>
    <cellStyle name="20% - Ênfase3 2 5 3 2 6" xfId="29924"/>
    <cellStyle name="40% - Ênfase3 2 5 3 2 6" xfId="29925"/>
    <cellStyle name="20% - Ênfase4 2 5 3 2 6" xfId="29926"/>
    <cellStyle name="40% - Ênfase4 2 5 3 2 6" xfId="29927"/>
    <cellStyle name="20% - Ênfase5 2 5 3 2 6" xfId="29928"/>
    <cellStyle name="40% - Ênfase5 2 5 3 2 6" xfId="29929"/>
    <cellStyle name="20% - Ênfase6 2 5 3 2 6" xfId="29930"/>
    <cellStyle name="40% - Ênfase6 2 5 3 2 6" xfId="29931"/>
    <cellStyle name="Normal 7 5 3 2 6" xfId="29932"/>
    <cellStyle name="Nota 4 4 3 2 6" xfId="29933"/>
    <cellStyle name="20% - Ênfase1 3 4 3 2 6" xfId="29934"/>
    <cellStyle name="40% - Ênfase1 3 4 3 2 6" xfId="29935"/>
    <cellStyle name="20% - Ênfase2 3 4 3 2 6" xfId="29936"/>
    <cellStyle name="40% - Ênfase2 3 4 3 2 6" xfId="29937"/>
    <cellStyle name="20% - Ênfase3 3 4 3 2 6" xfId="29938"/>
    <cellStyle name="40% - Ênfase3 3 4 3 2 6" xfId="29939"/>
    <cellStyle name="20% - Ênfase4 3 4 3 2 6" xfId="29940"/>
    <cellStyle name="40% - Ênfase4 3 4 3 2 6" xfId="29941"/>
    <cellStyle name="20% - Ênfase5 3 4 3 2 6" xfId="29942"/>
    <cellStyle name="40% - Ênfase5 3 4 3 2 6" xfId="29943"/>
    <cellStyle name="20% - Ênfase6 3 4 3 2 6" xfId="29944"/>
    <cellStyle name="40% - Ênfase6 3 4 3 2 6" xfId="29945"/>
    <cellStyle name="Normal 8 4 3 2 6" xfId="29946"/>
    <cellStyle name="Nota 5 4 3 2 6" xfId="29947"/>
    <cellStyle name="20% - Ênfase1 4 4 3 2 6" xfId="29948"/>
    <cellStyle name="40% - Ênfase1 4 4 3 2 6" xfId="29949"/>
    <cellStyle name="20% - Ênfase2 4 4 3 2 6" xfId="29950"/>
    <cellStyle name="40% - Ênfase2 4 4 3 2 6" xfId="29951"/>
    <cellStyle name="20% - Ênfase3 4 4 3 2 6" xfId="29952"/>
    <cellStyle name="40% - Ênfase3 4 4 3 2 6" xfId="29953"/>
    <cellStyle name="20% - Ênfase4 4 4 3 2 6" xfId="29954"/>
    <cellStyle name="40% - Ênfase4 4 4 3 2 6" xfId="29955"/>
    <cellStyle name="20% - Ênfase5 4 4 3 2 6" xfId="29956"/>
    <cellStyle name="40% - Ênfase5 4 4 3 2 6" xfId="29957"/>
    <cellStyle name="20% - Ênfase6 4 4 3 2 6" xfId="29958"/>
    <cellStyle name="40% - Ênfase6 4 4 3 2 6" xfId="29959"/>
    <cellStyle name="Normal 3 3 3 2 6" xfId="29960"/>
    <cellStyle name="20% - Ênfase1 5 2 3 2 6" xfId="29961"/>
    <cellStyle name="40% - Ênfase1 5 2 3 2 6" xfId="29962"/>
    <cellStyle name="20% - Ênfase2 5 2 3 2 6" xfId="29963"/>
    <cellStyle name="40% - Ênfase2 5 2 3 2 6" xfId="29964"/>
    <cellStyle name="20% - Ênfase3 5 2 3 2 6" xfId="29965"/>
    <cellStyle name="40% - Ênfase3 5 2 3 2 6" xfId="29966"/>
    <cellStyle name="20% - Ênfase4 5 2 3 2 6" xfId="29967"/>
    <cellStyle name="40% - Ênfase4 5 2 3 2 6" xfId="29968"/>
    <cellStyle name="20% - Ênfase5 5 2 3 2 6" xfId="29969"/>
    <cellStyle name="40% - Ênfase5 5 2 3 2 6" xfId="29970"/>
    <cellStyle name="20% - Ênfase6 5 2 3 2 6" xfId="29971"/>
    <cellStyle name="40% - Ênfase6 5 2 3 2 6" xfId="29972"/>
    <cellStyle name="Normal 4 2 2 3 2 6" xfId="29973"/>
    <cellStyle name="Nota 2 2 2 3 2 6" xfId="29974"/>
    <cellStyle name="Normal 5 2 2 3 2 6" xfId="29975"/>
    <cellStyle name="Nota 3 2 2 3 2 6" xfId="29976"/>
    <cellStyle name="20% - Ênfase1 2 2 2 3 2 6" xfId="29977"/>
    <cellStyle name="40% - Ênfase1 2 2 2 3 2 6" xfId="29978"/>
    <cellStyle name="20% - Ênfase2 2 2 2 3 2 6" xfId="29979"/>
    <cellStyle name="40% - Ênfase2 2 2 2 3 2 6" xfId="29980"/>
    <cellStyle name="20% - Ênfase3 2 2 2 3 2 6" xfId="29981"/>
    <cellStyle name="40% - Ênfase3 2 2 2 3 2 6" xfId="29982"/>
    <cellStyle name="20% - Ênfase4 2 2 2 3 2 6" xfId="29983"/>
    <cellStyle name="40% - Ênfase4 2 2 2 3 2 6" xfId="29984"/>
    <cellStyle name="20% - Ênfase5 2 2 2 3 2 6" xfId="29985"/>
    <cellStyle name="40% - Ênfase5 2 2 2 3 2 6" xfId="29986"/>
    <cellStyle name="20% - Ênfase6 2 2 2 3 2 6" xfId="29987"/>
    <cellStyle name="40% - Ênfase6 2 2 2 3 2 6" xfId="29988"/>
    <cellStyle name="Normal 7 2 2 3 2 6" xfId="29989"/>
    <cellStyle name="Nota 4 3 3 2 6" xfId="29990"/>
    <cellStyle name="20% - Ênfase1 3 3 3 2 6" xfId="29991"/>
    <cellStyle name="40% - Ênfase1 3 3 3 2 6" xfId="29992"/>
    <cellStyle name="20% - Ênfase2 3 3 3 2 6" xfId="29993"/>
    <cellStyle name="40% - Ênfase2 3 3 3 2 6" xfId="29994"/>
    <cellStyle name="20% - Ênfase3 3 3 3 2 6" xfId="29995"/>
    <cellStyle name="40% - Ênfase3 3 3 3 2 6" xfId="29996"/>
    <cellStyle name="20% - Ênfase4 3 3 3 2 6" xfId="29997"/>
    <cellStyle name="40% - Ênfase4 3 3 3 2 6" xfId="29998"/>
    <cellStyle name="20% - Ênfase5 3 3 3 2 6" xfId="29999"/>
    <cellStyle name="40% - Ênfase5 3 3 3 2 6" xfId="30000"/>
    <cellStyle name="20% - Ênfase6 3 3 3 2 6" xfId="30001"/>
    <cellStyle name="40% - Ênfase6 3 3 3 2 6" xfId="30002"/>
    <cellStyle name="Normal 8 3 3 2 6" xfId="30003"/>
    <cellStyle name="Nota 5 3 3 2 6" xfId="30004"/>
    <cellStyle name="20% - Ênfase1 4 3 3 2 6" xfId="30005"/>
    <cellStyle name="40% - Ênfase1 4 3 3 2 6" xfId="30006"/>
    <cellStyle name="20% - Ênfase2 4 3 3 2 6" xfId="30007"/>
    <cellStyle name="40% - Ênfase2 4 3 3 2 6" xfId="30008"/>
    <cellStyle name="20% - Ênfase3 4 3 3 2 6" xfId="30009"/>
    <cellStyle name="40% - Ênfase3 4 3 3 2 6" xfId="30010"/>
    <cellStyle name="20% - Ênfase4 4 3 3 2 6" xfId="30011"/>
    <cellStyle name="40% - Ênfase4 4 3 3 2 6" xfId="30012"/>
    <cellStyle name="20% - Ênfase5 4 3 3 2 6" xfId="30013"/>
    <cellStyle name="40% - Ênfase5 4 3 3 2 6" xfId="30014"/>
    <cellStyle name="20% - Ênfase6 4 3 3 2 6" xfId="30015"/>
    <cellStyle name="40% - Ênfase6 4 3 3 2 6" xfId="30016"/>
    <cellStyle name="20% - Ênfase1 6 2 3 2 6" xfId="30017"/>
    <cellStyle name="40% - Ênfase1 6 2 3 2 6" xfId="30018"/>
    <cellStyle name="20% - Ênfase2 6 2 3 2 6" xfId="30019"/>
    <cellStyle name="40% - Ênfase2 6 2 3 2 6" xfId="30020"/>
    <cellStyle name="20% - Ênfase3 6 2 3 2 6" xfId="30021"/>
    <cellStyle name="40% - Ênfase3 6 2 3 2 6" xfId="30022"/>
    <cellStyle name="20% - Ênfase4 6 2 3 2 6" xfId="30023"/>
    <cellStyle name="40% - Ênfase4 6 2 3 2 6" xfId="30024"/>
    <cellStyle name="20% - Ênfase5 6 2 3 2 6" xfId="30025"/>
    <cellStyle name="40% - Ênfase5 6 2 3 2 6" xfId="30026"/>
    <cellStyle name="20% - Ênfase6 6 2 3 2 6" xfId="30027"/>
    <cellStyle name="40% - Ênfase6 6 2 3 2 6" xfId="30028"/>
    <cellStyle name="Normal 4 3 2 3 2 6" xfId="30029"/>
    <cellStyle name="Nota 2 3 2 3 2 6" xfId="30030"/>
    <cellStyle name="Normal 5 3 2 3 2 6" xfId="30031"/>
    <cellStyle name="Nota 3 3 2 3 2 6" xfId="30032"/>
    <cellStyle name="20% - Ênfase1 2 3 2 3 2 6" xfId="30033"/>
    <cellStyle name="40% - Ênfase1 2 3 2 3 2 6" xfId="30034"/>
    <cellStyle name="20% - Ênfase2 2 3 2 3 2 6" xfId="30035"/>
    <cellStyle name="40% - Ênfase2 2 3 2 3 2 6" xfId="30036"/>
    <cellStyle name="20% - Ênfase3 2 3 2 3 2 6" xfId="30037"/>
    <cellStyle name="40% - Ênfase3 2 3 2 3 2 6" xfId="30038"/>
    <cellStyle name="20% - Ênfase4 2 3 2 3 2 6" xfId="30039"/>
    <cellStyle name="40% - Ênfase4 2 3 2 3 2 6" xfId="30040"/>
    <cellStyle name="20% - Ênfase5 2 3 2 3 2 6" xfId="30041"/>
    <cellStyle name="40% - Ênfase5 2 3 2 3 2 6" xfId="30042"/>
    <cellStyle name="20% - Ênfase6 2 3 2 3 2 6" xfId="30043"/>
    <cellStyle name="40% - Ênfase6 2 3 2 3 2 6" xfId="30044"/>
    <cellStyle name="Normal 7 3 2 3 2 6" xfId="30045"/>
    <cellStyle name="Nota 4 2 2 3 2 6" xfId="30046"/>
    <cellStyle name="20% - Ênfase1 3 2 2 3 2 6" xfId="30047"/>
    <cellStyle name="40% - Ênfase1 3 2 2 3 2 6" xfId="30048"/>
    <cellStyle name="20% - Ênfase2 3 2 2 3 2 6" xfId="30049"/>
    <cellStyle name="40% - Ênfase2 3 2 2 3 2 6" xfId="30050"/>
    <cellStyle name="20% - Ênfase3 3 2 2 3 2 6" xfId="30051"/>
    <cellStyle name="40% - Ênfase3 3 2 2 3 2 6" xfId="30052"/>
    <cellStyle name="20% - Ênfase4 3 2 2 3 2 6" xfId="30053"/>
    <cellStyle name="40% - Ênfase4 3 2 2 3 2 6" xfId="30054"/>
    <cellStyle name="20% - Ênfase5 3 2 2 3 2 6" xfId="30055"/>
    <cellStyle name="40% - Ênfase5 3 2 2 3 2 6" xfId="30056"/>
    <cellStyle name="20% - Ênfase6 3 2 2 3 2 6" xfId="30057"/>
    <cellStyle name="40% - Ênfase6 3 2 2 3 2 6" xfId="30058"/>
    <cellStyle name="Normal 8 2 2 3 2 6" xfId="30059"/>
    <cellStyle name="Nota 5 2 2 3 2 6" xfId="30060"/>
    <cellStyle name="20% - Ênfase1 4 2 2 3 2 6" xfId="30061"/>
    <cellStyle name="40% - Ênfase1 4 2 2 3 2 6" xfId="30062"/>
    <cellStyle name="20% - Ênfase2 4 2 2 3 2 6" xfId="30063"/>
    <cellStyle name="40% - Ênfase2 4 2 2 3 2 6" xfId="30064"/>
    <cellStyle name="20% - Ênfase3 4 2 2 3 2 6" xfId="30065"/>
    <cellStyle name="40% - Ênfase3 4 2 2 3 2 6" xfId="30066"/>
    <cellStyle name="20% - Ênfase4 4 2 2 3 2 6" xfId="30067"/>
    <cellStyle name="40% - Ênfase4 4 2 2 3 2 6" xfId="30068"/>
    <cellStyle name="20% - Ênfase5 4 2 2 3 2 6" xfId="30069"/>
    <cellStyle name="40% - Ênfase5 4 2 2 3 2 6" xfId="30070"/>
    <cellStyle name="20% - Ênfase6 4 2 2 3 2 6" xfId="30071"/>
    <cellStyle name="40% - Ênfase6 4 2 2 3 2 6" xfId="30072"/>
    <cellStyle name="Normal 3 6 2 6" xfId="30073"/>
    <cellStyle name="20% - Ênfase1 5 5 2 6" xfId="30074"/>
    <cellStyle name="40% - Ênfase1 5 5 2 6" xfId="30075"/>
    <cellStyle name="20% - Ênfase2 5 5 2 6" xfId="30076"/>
    <cellStyle name="40% - Ênfase2 5 5 2 6" xfId="30077"/>
    <cellStyle name="20% - Ênfase3 5 5 2 6" xfId="30078"/>
    <cellStyle name="40% - Ênfase3 5 5 2 6" xfId="30079"/>
    <cellStyle name="20% - Ênfase4 5 5 2 6" xfId="30080"/>
    <cellStyle name="40% - Ênfase4 5 5 2 6" xfId="30081"/>
    <cellStyle name="20% - Ênfase5 5 5 2 6" xfId="30082"/>
    <cellStyle name="40% - Ênfase5 5 5 2 6" xfId="30083"/>
    <cellStyle name="20% - Ênfase6 5 5 2 6" xfId="30084"/>
    <cellStyle name="40% - Ênfase6 5 5 2 6" xfId="30085"/>
    <cellStyle name="Normal 4 2 5 2 6" xfId="30086"/>
    <cellStyle name="Nota 2 2 5 2 6" xfId="30087"/>
    <cellStyle name="Normal 5 2 5 2 6" xfId="30088"/>
    <cellStyle name="Nota 3 2 5 2 6" xfId="30089"/>
    <cellStyle name="20% - Ênfase1 2 2 5 2 6" xfId="30090"/>
    <cellStyle name="40% - Ênfase1 2 2 5 2 6" xfId="30091"/>
    <cellStyle name="20% - Ênfase2 2 2 5 2 6" xfId="30092"/>
    <cellStyle name="40% - Ênfase2 2 2 5 2 6" xfId="30093"/>
    <cellStyle name="20% - Ênfase3 2 2 5 2 6" xfId="30094"/>
    <cellStyle name="40% - Ênfase3 2 2 5 2 6" xfId="30095"/>
    <cellStyle name="20% - Ênfase4 2 2 5 2 6" xfId="30096"/>
    <cellStyle name="40% - Ênfase4 2 2 5 2 6" xfId="30097"/>
    <cellStyle name="20% - Ênfase5 2 2 5 2 6" xfId="30098"/>
    <cellStyle name="40% - Ênfase5 2 2 5 2 6" xfId="30099"/>
    <cellStyle name="20% - Ênfase6 2 2 5 2 6" xfId="30100"/>
    <cellStyle name="40% - Ênfase6 2 2 5 2 6" xfId="30101"/>
    <cellStyle name="Normal 7 2 5 2 6" xfId="30102"/>
    <cellStyle name="Nota 4 7 2 6" xfId="30103"/>
    <cellStyle name="20% - Ênfase1 3 7 2 6" xfId="30104"/>
    <cellStyle name="40% - Ênfase1 3 7 2 6" xfId="30105"/>
    <cellStyle name="20% - Ênfase2 3 7 2 6" xfId="30106"/>
    <cellStyle name="40% - Ênfase2 3 7 2 6" xfId="30107"/>
    <cellStyle name="20% - Ênfase3 3 7 2 6" xfId="30108"/>
    <cellStyle name="40% - Ênfase3 3 7 2 6" xfId="30109"/>
    <cellStyle name="20% - Ênfase4 3 7 2 6" xfId="30110"/>
    <cellStyle name="40% - Ênfase4 3 7 2 6" xfId="30111"/>
    <cellStyle name="20% - Ênfase5 3 7 2 6" xfId="30112"/>
    <cellStyle name="40% - Ênfase5 3 7 2 6" xfId="30113"/>
    <cellStyle name="20% - Ênfase6 3 7 2 6" xfId="30114"/>
    <cellStyle name="40% - Ênfase6 3 7 2 6" xfId="30115"/>
    <cellStyle name="Normal 8 7 2 6" xfId="30116"/>
    <cellStyle name="Nota 5 7 2 6" xfId="30117"/>
    <cellStyle name="20% - Ênfase1 4 7 2 6" xfId="30118"/>
    <cellStyle name="40% - Ênfase1 4 7 2 6" xfId="30119"/>
    <cellStyle name="20% - Ênfase2 4 7 2 6" xfId="30120"/>
    <cellStyle name="40% - Ênfase2 4 7 2 6" xfId="30121"/>
    <cellStyle name="20% - Ênfase3 4 7 2 6" xfId="30122"/>
    <cellStyle name="40% - Ênfase3 4 7 2 6" xfId="30123"/>
    <cellStyle name="20% - Ênfase4 4 7 2 6" xfId="30124"/>
    <cellStyle name="40% - Ênfase4 4 7 2 6" xfId="30125"/>
    <cellStyle name="20% - Ênfase5 4 7 2 6" xfId="30126"/>
    <cellStyle name="40% - Ênfase5 4 7 2 6" xfId="30127"/>
    <cellStyle name="20% - Ênfase6 4 7 2 6" xfId="30128"/>
    <cellStyle name="40% - Ênfase6 4 7 2 6" xfId="30129"/>
    <cellStyle name="Normal 6 4 2 6" xfId="30130"/>
    <cellStyle name="Separador de milhares 7 2 2 6" xfId="30131"/>
    <cellStyle name="Normal 8 5 2 3 2" xfId="30132"/>
    <cellStyle name="Vírgula 20 3" xfId="30133"/>
    <cellStyle name="Separador de milhares 2 10 2" xfId="30134"/>
    <cellStyle name="Separador de milhares 3 7 2" xfId="30135"/>
    <cellStyle name="Separador de milhares 4 6 3" xfId="30136"/>
    <cellStyle name="Separador de milhares 5 6 3" xfId="30137"/>
    <cellStyle name="Separador de milhares 6 7 3" xfId="30138"/>
    <cellStyle name="Separador de milhares 7 5 2" xfId="30139"/>
    <cellStyle name="Normal 3 2 4 2" xfId="30140"/>
    <cellStyle name="Normal 6 8 2" xfId="30141"/>
    <cellStyle name="Comma 2 5 2" xfId="30142"/>
    <cellStyle name="Percent 2 5 2" xfId="30143"/>
    <cellStyle name="Separador de milhares 3 3 4 2" xfId="30144"/>
    <cellStyle name="Normal 6 2 4 2" xfId="30145"/>
    <cellStyle name="Comma 2 2 4 2" xfId="30146"/>
    <cellStyle name="Percent 2 2 3 2" xfId="30147"/>
    <cellStyle name="Normal 7 9 2" xfId="30148"/>
    <cellStyle name="Normal 8 13 2" xfId="30149"/>
    <cellStyle name="Comma 4 4 2" xfId="30150"/>
    <cellStyle name="Percent 3 4 2" xfId="30151"/>
    <cellStyle name="Normal 9 5 2" xfId="30152"/>
    <cellStyle name="Comma 5 4 2" xfId="30153"/>
    <cellStyle name="Normal 8 2 7 3" xfId="30154"/>
    <cellStyle name="Normal 8 3 6 3" xfId="30155"/>
    <cellStyle name="Normal 8 4 6 2" xfId="30156"/>
    <cellStyle name="Normal 8 5 6 2" xfId="30157"/>
    <cellStyle name="Normal 8 5 2 4 2" xfId="30158"/>
    <cellStyle name="Normal 7 2 8 3" xfId="30159"/>
    <cellStyle name="Vírgula 9 4 2" xfId="30160"/>
    <cellStyle name="Separador de milhares 2 2 5 3" xfId="30161"/>
    <cellStyle name="Separador de milhares 3 4 3 3" xfId="30162"/>
    <cellStyle name="Separador de milhares 4 3 3 3" xfId="30163"/>
    <cellStyle name="Separador de milhares 5 3 3 3" xfId="30164"/>
    <cellStyle name="Separador de milhares 6 3 3 3" xfId="30165"/>
    <cellStyle name="Separador de milhares 7 3 3 2" xfId="30166"/>
    <cellStyle name="Normal 3 2 2 3 2" xfId="30167"/>
    <cellStyle name="Normal 6 3 3 2" xfId="30168"/>
    <cellStyle name="Comma 2 3 3 2" xfId="30169"/>
    <cellStyle name="Percent 2 3 2 2" xfId="30170"/>
    <cellStyle name="Separador de milhares 3 3 2 3 2" xfId="30171"/>
    <cellStyle name="Normal 6 2 2 2 2" xfId="30172"/>
    <cellStyle name="Comma 2 2 2 2 2" xfId="30173"/>
    <cellStyle name="Percent 2 2 2 2 2" xfId="30174"/>
    <cellStyle name="Normal 7 3 7 3" xfId="30175"/>
    <cellStyle name="Comma 3 2 2 2" xfId="30176"/>
    <cellStyle name="Normal 8 6 4 2" xfId="30177"/>
    <cellStyle name="Comma 4 2 2 2" xfId="30178"/>
    <cellStyle name="Percent 3 2 2 2" xfId="30179"/>
    <cellStyle name="Normal 9 2 3 2 2" xfId="30180"/>
    <cellStyle name="Comma 5 2 2 2" xfId="30181"/>
    <cellStyle name="Normal 8 2 2 6 2" xfId="30182"/>
    <cellStyle name="Vírgula 13 2 2 2" xfId="30183"/>
    <cellStyle name="Vírgula 4 2 2 3 3" xfId="30184"/>
    <cellStyle name="Normal 8 3 2 4 2" xfId="30185"/>
    <cellStyle name="Normal 8 4 2 4 2" xfId="30186"/>
    <cellStyle name="Normal 8 5 3 2 2" xfId="30187"/>
    <cellStyle name="Normal 8 5 2 2 2 2" xfId="30188"/>
    <cellStyle name="Normal 7 2 2 6 2" xfId="30189"/>
    <cellStyle name="Vírgula 18 2 2 2" xfId="30190"/>
    <cellStyle name="Vírgula 12 2 2 2" xfId="30191"/>
    <cellStyle name="Normal 12 3 3 2" xfId="30192"/>
    <cellStyle name="Normal 3 8 2 2" xfId="30193"/>
    <cellStyle name="Percent 3 3 2 2" xfId="30194"/>
    <cellStyle name="Comma 2 4 2 2" xfId="30195"/>
    <cellStyle name="Comma 2 2 3 2 2" xfId="30196"/>
    <cellStyle name="Normal 6 7 2 2" xfId="30197"/>
    <cellStyle name="Normal 3 2 3 2 2" xfId="30198"/>
    <cellStyle name="Separador de milhares 2 9 2 2" xfId="30199"/>
    <cellStyle name="Normal 7 8 2 2" xfId="30200"/>
    <cellStyle name="Comma 2 3 2 2 2" xfId="30201"/>
    <cellStyle name="Separador de milhares 2 8 2 2" xfId="30202"/>
    <cellStyle name="Separador de milhares 3 6 2 2" xfId="30203"/>
    <cellStyle name="Separador de milhares 4 5 2 2" xfId="30204"/>
    <cellStyle name="Separador de milhares 5 5 2 3" xfId="30205"/>
    <cellStyle name="Separador de milhares 6 6 2 2" xfId="30206"/>
    <cellStyle name="Separador de milhares 7 4 2 2" xfId="30207"/>
    <cellStyle name="Comma 3 3 2 2" xfId="30208"/>
    <cellStyle name="Vírgula 7 2 2 3" xfId="30209"/>
    <cellStyle name="20% - Ênfase1 2 2 7 3" xfId="30210"/>
    <cellStyle name="20% - Ênfase1 2 2 2 5 3" xfId="30211"/>
    <cellStyle name="20% - Ênfase1 2 2 2 2 3 3" xfId="30212"/>
    <cellStyle name="20% - Ênfase1 2 2 2 3 3 3" xfId="30213"/>
    <cellStyle name="20% - Ênfase1 2 2 3 3 3" xfId="30214"/>
    <cellStyle name="20% - Ênfase1 2 2 4 3 3" xfId="30215"/>
    <cellStyle name="20% - Ênfase1 2 2 5 3 3" xfId="30216"/>
    <cellStyle name="20% - Ênfase1 2 3 6 3" xfId="30217"/>
    <cellStyle name="20% - Ênfase1 2 3 2 5 3" xfId="30218"/>
    <cellStyle name="20% - Ênfase1 2 3 2 2 3 3" xfId="30219"/>
    <cellStyle name="20% - Ênfase1 2 3 2 3 3 3" xfId="30220"/>
    <cellStyle name="20% - Ênfase1 2 3 3 3 3" xfId="30221"/>
    <cellStyle name="20% - Ênfase1 2 3 4 3 3" xfId="30222"/>
    <cellStyle name="20% - Ênfase1 2 5 5 3" xfId="30223"/>
    <cellStyle name="20% - Ênfase1 2 5 2 3 3" xfId="30224"/>
    <cellStyle name="20% - Ênfase1 2 5 3 3 3" xfId="30225"/>
    <cellStyle name="20% - Ênfase1 3 9 3" xfId="30226"/>
    <cellStyle name="20% - Ênfase1 3 2 6 3" xfId="30227"/>
    <cellStyle name="20% - Ênfase1 3 2 2 5 3" xfId="30228"/>
    <cellStyle name="20% - Ênfase1 3 2 2 2 3 3" xfId="30229"/>
    <cellStyle name="20% - Ênfase1 3 2 2 3 3 3" xfId="30230"/>
    <cellStyle name="20% - Ênfase1 3 2 3 3 3" xfId="30231"/>
    <cellStyle name="20% - Ênfase1 3 2 4 3 3" xfId="30232"/>
    <cellStyle name="20% - Ênfase1 3 3 5 3" xfId="30233"/>
    <cellStyle name="20% - Ênfase1 3 3 2 3 3" xfId="30234"/>
    <cellStyle name="20% - Ênfase1 3 3 3 3 3" xfId="30235"/>
    <cellStyle name="20% - Ênfase1 3 4 5 3" xfId="30236"/>
    <cellStyle name="20% - Ênfase1 3 4 2 3 3" xfId="30237"/>
    <cellStyle name="20% - Ênfase1 3 4 3 3 3" xfId="30238"/>
    <cellStyle name="20% - Ênfase1 3 5 3 3" xfId="30239"/>
    <cellStyle name="20% - Ênfase1 3 6 3 3" xfId="30240"/>
    <cellStyle name="20% - Ênfase1 3 7 3 3" xfId="30241"/>
    <cellStyle name="20% - Ênfase1 4 9 3" xfId="30242"/>
    <cellStyle name="20% - Ênfase1 4 2 6 3" xfId="30243"/>
    <cellStyle name="20% - Ênfase1 4 2 2 5 3" xfId="30244"/>
    <cellStyle name="20% - Ênfase1 4 2 2 2 3 3" xfId="30245"/>
    <cellStyle name="20% - Ênfase1 4 2 2 3 3 3" xfId="30246"/>
    <cellStyle name="20% - Ênfase1 4 2 3 3 3" xfId="30247"/>
    <cellStyle name="20% - Ênfase1 4 2 4 3 3" xfId="30248"/>
    <cellStyle name="20% - Ênfase1 4 3 5 3" xfId="30249"/>
    <cellStyle name="20% - Ênfase1 4 3 2 3 3" xfId="30250"/>
    <cellStyle name="20% - Ênfase1 4 3 3 3 3" xfId="30251"/>
    <cellStyle name="20% - Ênfase1 4 4 5 3" xfId="30252"/>
    <cellStyle name="20% - Ênfase1 4 4 2 3 3" xfId="30253"/>
    <cellStyle name="20% - Ênfase1 4 4 3 3 3" xfId="30254"/>
    <cellStyle name="20% - Ênfase1 4 5 3 3" xfId="30255"/>
    <cellStyle name="20% - Ênfase1 4 6 3 3" xfId="30256"/>
    <cellStyle name="20% - Ênfase1 4 7 3 3" xfId="30257"/>
    <cellStyle name="20% - Ênfase1 5 7 3" xfId="30258"/>
    <cellStyle name="20% - Ênfase1 5 2 5 3" xfId="30259"/>
    <cellStyle name="20% - Ênfase1 5 2 2 3 3" xfId="30260"/>
    <cellStyle name="20% - Ênfase1 5 2 3 3 3" xfId="30261"/>
    <cellStyle name="20% - Ênfase1 5 3 3 3" xfId="30262"/>
    <cellStyle name="20% - Ênfase1 5 4 3 3" xfId="30263"/>
    <cellStyle name="20% - Ênfase1 5 5 3 3" xfId="30264"/>
    <cellStyle name="20% - Ênfase1 6 6 3" xfId="30265"/>
    <cellStyle name="20% - Ênfase1 6 2 5 3" xfId="30266"/>
    <cellStyle name="20% - Ênfase1 6 2 2 3 3" xfId="30267"/>
    <cellStyle name="20% - Ênfase1 6 2 3 3 3" xfId="30268"/>
    <cellStyle name="20% - Ênfase1 6 3 3 3" xfId="30269"/>
    <cellStyle name="20% - Ênfase1 6 4 3 3" xfId="30270"/>
    <cellStyle name="20% - Ênfase1 8 5 3" xfId="30271"/>
    <cellStyle name="20% - Ênfase1 8 2 3 3" xfId="30272"/>
    <cellStyle name="20% - Ênfase1 8 3 3 3" xfId="30273"/>
    <cellStyle name="20% - Ênfase2 2 2 7 3" xfId="30274"/>
    <cellStyle name="20% - Ênfase2 2 2 2 5 3" xfId="30275"/>
    <cellStyle name="20% - Ênfase2 2 2 2 2 3 3" xfId="30276"/>
    <cellStyle name="20% - Ênfase2 2 2 2 3 3 3" xfId="30277"/>
    <cellStyle name="20% - Ênfase2 2 2 3 3 3" xfId="30278"/>
    <cellStyle name="20% - Ênfase2 2 2 4 3 3" xfId="30279"/>
    <cellStyle name="20% - Ênfase2 2 2 5 3 3" xfId="30280"/>
    <cellStyle name="20% - Ênfase2 2 3 6 3" xfId="30281"/>
    <cellStyle name="20% - Ênfase2 2 3 2 5 3" xfId="30282"/>
    <cellStyle name="20% - Ênfase2 2 3 2 2 3 3" xfId="30283"/>
    <cellStyle name="20% - Ênfase2 2 3 2 3 3 3" xfId="30284"/>
    <cellStyle name="20% - Ênfase2 2 3 3 3 3" xfId="30285"/>
    <cellStyle name="20% - Ênfase2 2 3 4 3 3" xfId="30286"/>
    <cellStyle name="20% - Ênfase2 2 5 5 3" xfId="30287"/>
    <cellStyle name="20% - Ênfase2 2 5 2 3 3" xfId="30288"/>
    <cellStyle name="20% - Ênfase2 2 5 3 3 3" xfId="30289"/>
    <cellStyle name="20% - Ênfase2 3 9 3" xfId="30290"/>
    <cellStyle name="20% - Ênfase2 3 2 6 3" xfId="30291"/>
    <cellStyle name="20% - Ênfase2 3 2 2 5 3" xfId="30292"/>
    <cellStyle name="20% - Ênfase2 3 2 2 2 3 3" xfId="30293"/>
    <cellStyle name="20% - Ênfase2 3 2 2 3 3 3" xfId="30294"/>
    <cellStyle name="20% - Ênfase2 3 2 3 3 3" xfId="30295"/>
    <cellStyle name="20% - Ênfase2 3 2 4 3 3" xfId="30296"/>
    <cellStyle name="20% - Ênfase2 3 3 5 3" xfId="30297"/>
    <cellStyle name="20% - Ênfase2 3 3 2 3 3" xfId="30298"/>
    <cellStyle name="20% - Ênfase2 3 3 3 3 3" xfId="30299"/>
    <cellStyle name="20% - Ênfase2 3 4 5 3" xfId="30300"/>
    <cellStyle name="20% - Ênfase2 3 4 2 3 3" xfId="30301"/>
    <cellStyle name="20% - Ênfase2 3 4 3 3 3" xfId="30302"/>
    <cellStyle name="20% - Ênfase2 3 5 3 3" xfId="30303"/>
    <cellStyle name="20% - Ênfase2 3 6 3 3" xfId="30304"/>
    <cellStyle name="20% - Ênfase2 3 7 3 3" xfId="30305"/>
    <cellStyle name="20% - Ênfase2 4 9 3" xfId="30306"/>
    <cellStyle name="20% - Ênfase2 4 2 6 3" xfId="30307"/>
    <cellStyle name="20% - Ênfase2 4 2 2 5 3" xfId="30308"/>
    <cellStyle name="20% - Ênfase2 4 2 2 2 3 3" xfId="30309"/>
    <cellStyle name="20% - Ênfase2 4 2 2 3 3 3" xfId="30310"/>
    <cellStyle name="20% - Ênfase2 4 2 3 3 3" xfId="30311"/>
    <cellStyle name="20% - Ênfase2 4 2 4 3 3" xfId="30312"/>
    <cellStyle name="20% - Ênfase2 4 3 5 3" xfId="30313"/>
    <cellStyle name="20% - Ênfase2 4 3 2 3 3" xfId="30314"/>
    <cellStyle name="20% - Ênfase2 4 3 3 3 3" xfId="30315"/>
    <cellStyle name="20% - Ênfase2 4 4 5 3" xfId="30316"/>
    <cellStyle name="20% - Ênfase2 4 4 2 3 3" xfId="30317"/>
    <cellStyle name="20% - Ênfase2 4 4 3 3 3" xfId="30318"/>
    <cellStyle name="20% - Ênfase2 4 5 3 3" xfId="30319"/>
    <cellStyle name="20% - Ênfase2 4 6 3 3" xfId="30320"/>
    <cellStyle name="20% - Ênfase2 4 7 3 3" xfId="30321"/>
    <cellStyle name="20% - Ênfase2 5 7 3" xfId="30322"/>
    <cellStyle name="20% - Ênfase2 5 2 5 3" xfId="30323"/>
    <cellStyle name="20% - Ênfase2 5 2 2 3 3" xfId="30324"/>
    <cellStyle name="20% - Ênfase2 5 2 3 3 3" xfId="30325"/>
    <cellStyle name="20% - Ênfase2 5 3 3 3" xfId="30326"/>
    <cellStyle name="20% - Ênfase2 5 4 3 3" xfId="30327"/>
    <cellStyle name="20% - Ênfase2 5 5 3 3" xfId="30328"/>
    <cellStyle name="20% - Ênfase2 6 6 3" xfId="30329"/>
    <cellStyle name="20% - Ênfase2 6 2 5 3" xfId="30330"/>
    <cellStyle name="20% - Ênfase2 6 2 2 3 3" xfId="30331"/>
    <cellStyle name="20% - Ênfase2 6 2 3 3 3" xfId="30332"/>
    <cellStyle name="20% - Ênfase2 6 3 3 3" xfId="30333"/>
    <cellStyle name="20% - Ênfase2 6 4 3 3" xfId="30334"/>
    <cellStyle name="20% - Ênfase2 8 5 3" xfId="30335"/>
    <cellStyle name="20% - Ênfase2 8 2 3 3" xfId="30336"/>
    <cellStyle name="20% - Ênfase2 8 3 3 3" xfId="30337"/>
    <cellStyle name="20% - Ênfase3 2 2 7 3" xfId="30338"/>
    <cellStyle name="20% - Ênfase3 2 2 2 5 3" xfId="30339"/>
    <cellStyle name="20% - Ênfase3 2 2 2 2 3 3" xfId="30340"/>
    <cellStyle name="20% - Ênfase3 2 2 2 3 3 3" xfId="30341"/>
    <cellStyle name="20% - Ênfase3 2 2 3 3 3" xfId="30342"/>
    <cellStyle name="20% - Ênfase3 2 2 4 3 3" xfId="30343"/>
    <cellStyle name="20% - Ênfase3 2 2 5 3 3" xfId="30344"/>
    <cellStyle name="20% - Ênfase3 2 3 6 3" xfId="30345"/>
    <cellStyle name="20% - Ênfase3 2 3 2 5 3" xfId="30346"/>
    <cellStyle name="20% - Ênfase3 2 3 2 2 3 3" xfId="30347"/>
    <cellStyle name="20% - Ênfase3 2 3 2 3 3 3" xfId="30348"/>
    <cellStyle name="20% - Ênfase3 2 3 3 3 3" xfId="30349"/>
    <cellStyle name="20% - Ênfase3 2 3 4 3 3" xfId="30350"/>
    <cellStyle name="20% - Ênfase3 2 5 5 3" xfId="30351"/>
    <cellStyle name="20% - Ênfase3 2 5 2 3 3" xfId="30352"/>
    <cellStyle name="20% - Ênfase3 2 5 3 3 3" xfId="30353"/>
    <cellStyle name="20% - Ênfase3 3 9 3" xfId="30354"/>
    <cellStyle name="20% - Ênfase3 3 2 6 3" xfId="30355"/>
    <cellStyle name="20% - Ênfase3 3 2 2 5 3" xfId="30356"/>
    <cellStyle name="20% - Ênfase3 3 2 2 2 3 3" xfId="30357"/>
    <cellStyle name="20% - Ênfase3 3 2 2 3 3 3" xfId="30358"/>
    <cellStyle name="20% - Ênfase3 3 2 3 3 3" xfId="30359"/>
    <cellStyle name="20% - Ênfase3 3 2 4 3 3" xfId="30360"/>
    <cellStyle name="20% - Ênfase3 3 3 5 3" xfId="30361"/>
    <cellStyle name="20% - Ênfase3 3 3 2 3 3" xfId="30362"/>
    <cellStyle name="20% - Ênfase3 3 3 3 3 3" xfId="30363"/>
    <cellStyle name="20% - Ênfase3 3 4 5 3" xfId="30364"/>
    <cellStyle name="20% - Ênfase3 3 4 2 3 3" xfId="30365"/>
    <cellStyle name="20% - Ênfase3 3 4 3 3 3" xfId="30366"/>
    <cellStyle name="20% - Ênfase3 3 5 3 3" xfId="30367"/>
    <cellStyle name="20% - Ênfase3 3 6 3 3" xfId="30368"/>
    <cellStyle name="20% - Ênfase3 3 7 3 3" xfId="30369"/>
    <cellStyle name="20% - Ênfase3 4 9 3" xfId="30370"/>
    <cellStyle name="20% - Ênfase3 4 2 6 3" xfId="30371"/>
    <cellStyle name="20% - Ênfase3 4 2 2 5 3" xfId="30372"/>
    <cellStyle name="20% - Ênfase3 4 2 2 2 3 3" xfId="30373"/>
    <cellStyle name="20% - Ênfase3 4 2 2 3 3 3" xfId="30374"/>
    <cellStyle name="20% - Ênfase3 4 2 3 3 3" xfId="30375"/>
    <cellStyle name="20% - Ênfase3 4 2 4 3 3" xfId="30376"/>
    <cellStyle name="20% - Ênfase3 4 3 5 3" xfId="30377"/>
    <cellStyle name="20% - Ênfase3 4 3 2 3 3" xfId="30378"/>
    <cellStyle name="20% - Ênfase3 4 3 3 3 3" xfId="30379"/>
    <cellStyle name="20% - Ênfase3 4 4 5 3" xfId="30380"/>
    <cellStyle name="20% - Ênfase3 4 4 2 3 3" xfId="30381"/>
    <cellStyle name="20% - Ênfase3 4 4 3 3 3" xfId="30382"/>
    <cellStyle name="20% - Ênfase3 4 5 3 3" xfId="30383"/>
    <cellStyle name="20% - Ênfase3 4 6 3 3" xfId="30384"/>
    <cellStyle name="20% - Ênfase3 4 7 3 3" xfId="30385"/>
    <cellStyle name="20% - Ênfase3 5 7 3" xfId="30386"/>
    <cellStyle name="20% - Ênfase3 5 2 5 3" xfId="30387"/>
    <cellStyle name="20% - Ênfase3 5 2 2 3 3" xfId="30388"/>
    <cellStyle name="20% - Ênfase3 5 2 3 3 3" xfId="30389"/>
    <cellStyle name="20% - Ênfase3 5 3 3 3" xfId="30390"/>
    <cellStyle name="20% - Ênfase3 5 4 3 3" xfId="30391"/>
    <cellStyle name="20% - Ênfase3 5 5 3 3" xfId="30392"/>
    <cellStyle name="20% - Ênfase3 6 6 3" xfId="30393"/>
    <cellStyle name="20% - Ênfase3 6 2 5 3" xfId="30394"/>
    <cellStyle name="20% - Ênfase3 6 2 2 3 3" xfId="30395"/>
    <cellStyle name="20% - Ênfase3 6 2 3 3 3" xfId="30396"/>
    <cellStyle name="20% - Ênfase3 6 3 3 3" xfId="30397"/>
    <cellStyle name="20% - Ênfase3 6 4 3 3" xfId="30398"/>
    <cellStyle name="20% - Ênfase3 8 5 3" xfId="30399"/>
    <cellStyle name="20% - Ênfase3 8 2 3 3" xfId="30400"/>
    <cellStyle name="20% - Ênfase3 8 3 3 3" xfId="30401"/>
    <cellStyle name="20% - Ênfase4 2 2 7 3" xfId="30402"/>
    <cellStyle name="20% - Ênfase4 2 2 2 5 3" xfId="30403"/>
    <cellStyle name="20% - Ênfase4 2 2 2 2 3 3" xfId="30404"/>
    <cellStyle name="20% - Ênfase4 2 2 2 3 3 3" xfId="30405"/>
    <cellStyle name="20% - Ênfase4 2 2 3 3 3" xfId="30406"/>
    <cellStyle name="20% - Ênfase4 2 2 4 3 3" xfId="30407"/>
    <cellStyle name="20% - Ênfase4 2 2 5 3 3" xfId="30408"/>
    <cellStyle name="20% - Ênfase4 2 3 6 3" xfId="30409"/>
    <cellStyle name="20% - Ênfase4 2 3 2 5 3" xfId="30410"/>
    <cellStyle name="20% - Ênfase4 2 3 2 2 3 3" xfId="30411"/>
    <cellStyle name="20% - Ênfase4 2 3 2 3 3 3" xfId="30412"/>
    <cellStyle name="20% - Ênfase4 2 3 3 3 3" xfId="30413"/>
    <cellStyle name="20% - Ênfase4 2 3 4 3 3" xfId="30414"/>
    <cellStyle name="20% - Ênfase4 2 5 5 3" xfId="30415"/>
    <cellStyle name="20% - Ênfase4 2 5 2 3 3" xfId="30416"/>
    <cellStyle name="20% - Ênfase4 2 5 3 3 3" xfId="30417"/>
    <cellStyle name="20% - Ênfase4 3 9 3" xfId="30418"/>
    <cellStyle name="20% - Ênfase4 3 2 6 3" xfId="30419"/>
    <cellStyle name="20% - Ênfase4 3 2 2 5 3" xfId="30420"/>
    <cellStyle name="20% - Ênfase4 3 2 2 2 3 3" xfId="30421"/>
    <cellStyle name="20% - Ênfase4 3 2 2 3 3 3" xfId="30422"/>
    <cellStyle name="20% - Ênfase4 3 2 3 3 3" xfId="30423"/>
    <cellStyle name="20% - Ênfase4 3 2 4 3 3" xfId="30424"/>
    <cellStyle name="20% - Ênfase4 3 3 5 3" xfId="30425"/>
    <cellStyle name="20% - Ênfase4 3 3 2 3 3" xfId="30426"/>
    <cellStyle name="20% - Ênfase4 3 3 3 3 3" xfId="30427"/>
    <cellStyle name="20% - Ênfase4 3 4 5 3" xfId="30428"/>
    <cellStyle name="20% - Ênfase4 3 4 2 3 3" xfId="30429"/>
    <cellStyle name="20% - Ênfase4 3 4 3 3 3" xfId="30430"/>
    <cellStyle name="20% - Ênfase4 3 5 3 3" xfId="30431"/>
    <cellStyle name="20% - Ênfase4 3 6 3 3" xfId="30432"/>
    <cellStyle name="20% - Ênfase4 3 7 3 3" xfId="30433"/>
    <cellStyle name="20% - Ênfase4 4 9 3" xfId="30434"/>
    <cellStyle name="20% - Ênfase4 4 2 6 3" xfId="30435"/>
    <cellStyle name="20% - Ênfase4 4 2 2 5 3" xfId="30436"/>
    <cellStyle name="20% - Ênfase4 4 2 2 2 3 3" xfId="30437"/>
    <cellStyle name="20% - Ênfase4 4 2 2 3 3 3" xfId="30438"/>
    <cellStyle name="20% - Ênfase4 4 2 3 3 3" xfId="30439"/>
    <cellStyle name="20% - Ênfase4 4 2 4 3 3" xfId="30440"/>
    <cellStyle name="20% - Ênfase4 4 3 5 3" xfId="30441"/>
    <cellStyle name="20% - Ênfase4 4 3 2 3 3" xfId="30442"/>
    <cellStyle name="20% - Ênfase4 4 3 3 3 3" xfId="30443"/>
    <cellStyle name="20% - Ênfase4 4 4 5 3" xfId="30444"/>
    <cellStyle name="20% - Ênfase4 4 4 2 3 3" xfId="30445"/>
    <cellStyle name="20% - Ênfase4 4 4 3 3 3" xfId="30446"/>
    <cellStyle name="20% - Ênfase4 4 5 3 3" xfId="30447"/>
    <cellStyle name="20% - Ênfase4 4 6 3 3" xfId="30448"/>
    <cellStyle name="20% - Ênfase4 4 7 3 3" xfId="30449"/>
    <cellStyle name="20% - Ênfase4 5 7 3" xfId="30450"/>
    <cellStyle name="20% - Ênfase4 5 2 5 3" xfId="30451"/>
    <cellStyle name="20% - Ênfase4 5 2 2 3 3" xfId="30452"/>
    <cellStyle name="20% - Ênfase4 5 2 3 3 3" xfId="30453"/>
    <cellStyle name="20% - Ênfase4 5 3 3 3" xfId="30454"/>
    <cellStyle name="20% - Ênfase4 5 4 3 3" xfId="30455"/>
    <cellStyle name="20% - Ênfase4 5 5 3 3" xfId="30456"/>
    <cellStyle name="20% - Ênfase4 6 6 3" xfId="30457"/>
    <cellStyle name="20% - Ênfase4 6 2 5 3" xfId="30458"/>
    <cellStyle name="20% - Ênfase4 6 2 2 3 3" xfId="30459"/>
    <cellStyle name="20% - Ênfase4 6 2 3 3 3" xfId="30460"/>
    <cellStyle name="20% - Ênfase4 6 3 3 3" xfId="30461"/>
    <cellStyle name="20% - Ênfase4 6 4 3 3" xfId="30462"/>
    <cellStyle name="20% - Ênfase4 8 5 3" xfId="30463"/>
    <cellStyle name="20% - Ênfase4 8 2 3 3" xfId="30464"/>
    <cellStyle name="20% - Ênfase4 8 3 3 3" xfId="30465"/>
    <cellStyle name="20% - Ênfase5 2 2 7 3" xfId="30466"/>
    <cellStyle name="20% - Ênfase5 2 2 2 5 3" xfId="30467"/>
    <cellStyle name="20% - Ênfase5 2 2 2 2 3 3" xfId="30468"/>
    <cellStyle name="20% - Ênfase5 2 2 2 3 3 3" xfId="30469"/>
    <cellStyle name="20% - Ênfase5 2 2 3 3 3" xfId="30470"/>
    <cellStyle name="20% - Ênfase5 2 2 4 3 3" xfId="30471"/>
    <cellStyle name="20% - Ênfase5 2 2 5 3 3" xfId="30472"/>
    <cellStyle name="20% - Ênfase5 2 3 6 3" xfId="30473"/>
    <cellStyle name="20% - Ênfase5 2 3 2 5 3" xfId="30474"/>
    <cellStyle name="20% - Ênfase5 2 3 2 2 3 3" xfId="30475"/>
    <cellStyle name="20% - Ênfase5 2 3 2 3 3 3" xfId="30476"/>
    <cellStyle name="20% - Ênfase5 2 3 3 3 3" xfId="30477"/>
    <cellStyle name="20% - Ênfase5 2 3 4 3 3" xfId="30478"/>
    <cellStyle name="20% - Ênfase5 2 5 5 3" xfId="30479"/>
    <cellStyle name="20% - Ênfase5 2 5 2 3 3" xfId="30480"/>
    <cellStyle name="20% - Ênfase5 2 5 3 3 3" xfId="30481"/>
    <cellStyle name="20% - Ênfase5 3 9 3" xfId="30482"/>
    <cellStyle name="20% - Ênfase5 3 2 6 3" xfId="30483"/>
    <cellStyle name="20% - Ênfase5 3 2 2 5 3" xfId="30484"/>
    <cellStyle name="20% - Ênfase5 3 2 2 2 3 3" xfId="30485"/>
    <cellStyle name="20% - Ênfase5 3 2 2 3 3 3" xfId="30486"/>
    <cellStyle name="20% - Ênfase5 3 2 3 3 3" xfId="30487"/>
    <cellStyle name="20% - Ênfase5 3 2 4 3 3" xfId="30488"/>
    <cellStyle name="20% - Ênfase5 3 3 5 3" xfId="30489"/>
    <cellStyle name="20% - Ênfase5 3 3 2 3 3" xfId="30490"/>
    <cellStyle name="20% - Ênfase5 3 3 3 3 3" xfId="30491"/>
    <cellStyle name="20% - Ênfase5 3 4 5 3" xfId="30492"/>
    <cellStyle name="20% - Ênfase5 3 4 2 3 3" xfId="30493"/>
    <cellStyle name="20% - Ênfase5 3 4 3 3 3" xfId="30494"/>
    <cellStyle name="20% - Ênfase5 3 5 3 3" xfId="30495"/>
    <cellStyle name="20% - Ênfase5 3 6 3 3" xfId="30496"/>
    <cellStyle name="20% - Ênfase5 3 7 3 3" xfId="30497"/>
    <cellStyle name="20% - Ênfase5 4 9 3" xfId="30498"/>
    <cellStyle name="20% - Ênfase5 4 2 6 3" xfId="30499"/>
    <cellStyle name="20% - Ênfase5 4 2 2 5 3" xfId="30500"/>
    <cellStyle name="20% - Ênfase5 4 2 2 2 3 3" xfId="30501"/>
    <cellStyle name="20% - Ênfase5 4 2 2 3 3 3" xfId="30502"/>
    <cellStyle name="20% - Ênfase5 4 2 3 3 3" xfId="30503"/>
    <cellStyle name="20% - Ênfase5 4 2 4 3 3" xfId="30504"/>
    <cellStyle name="20% - Ênfase5 4 3 5 3" xfId="30505"/>
    <cellStyle name="20% - Ênfase5 4 3 2 3 3" xfId="30506"/>
    <cellStyle name="20% - Ênfase5 4 3 3 3 3" xfId="30507"/>
    <cellStyle name="20% - Ênfase5 4 4 5 3" xfId="30508"/>
    <cellStyle name="20% - Ênfase5 4 4 2 3 3" xfId="30509"/>
    <cellStyle name="20% - Ênfase5 4 4 3 3 3" xfId="30510"/>
    <cellStyle name="20% - Ênfase5 4 5 3 3" xfId="30511"/>
    <cellStyle name="20% - Ênfase5 4 6 3 3" xfId="30512"/>
    <cellStyle name="20% - Ênfase5 4 7 3 3" xfId="30513"/>
    <cellStyle name="20% - Ênfase5 5 7 3" xfId="30514"/>
    <cellStyle name="20% - Ênfase5 5 2 5 3" xfId="30515"/>
    <cellStyle name="20% - Ênfase5 5 2 2 3 3" xfId="30516"/>
    <cellStyle name="20% - Ênfase5 5 2 3 3 3" xfId="30517"/>
    <cellStyle name="20% - Ênfase5 5 3 3 3" xfId="30518"/>
    <cellStyle name="20% - Ênfase5 5 4 3 3" xfId="30519"/>
    <cellStyle name="20% - Ênfase5 5 5 3 3" xfId="30520"/>
    <cellStyle name="20% - Ênfase5 6 6 3" xfId="30521"/>
    <cellStyle name="20% - Ênfase5 6 2 5 3" xfId="30522"/>
    <cellStyle name="20% - Ênfase5 6 2 2 3 3" xfId="30523"/>
    <cellStyle name="20% - Ênfase5 6 2 3 3 3" xfId="30524"/>
    <cellStyle name="20% - Ênfase5 6 3 3 3" xfId="30525"/>
    <cellStyle name="20% - Ênfase5 6 4 3 3" xfId="30526"/>
    <cellStyle name="20% - Ênfase5 8 5 3" xfId="30527"/>
    <cellStyle name="20% - Ênfase5 8 2 3 3" xfId="30528"/>
    <cellStyle name="20% - Ênfase5 8 3 3 3" xfId="30529"/>
    <cellStyle name="20% - Ênfase6 2 2 7 3" xfId="30530"/>
    <cellStyle name="20% - Ênfase6 2 2 2 5 3" xfId="30531"/>
    <cellStyle name="20% - Ênfase6 2 2 2 2 3 3" xfId="30532"/>
    <cellStyle name="20% - Ênfase6 2 2 2 3 3 3" xfId="30533"/>
    <cellStyle name="20% - Ênfase6 2 2 3 3 3" xfId="30534"/>
    <cellStyle name="20% - Ênfase6 2 2 4 3 3" xfId="30535"/>
    <cellStyle name="20% - Ênfase6 2 2 5 3 3" xfId="30536"/>
    <cellStyle name="20% - Ênfase6 2 3 6 3" xfId="30537"/>
    <cellStyle name="20% - Ênfase6 2 3 2 5 3" xfId="30538"/>
    <cellStyle name="20% - Ênfase6 2 3 2 2 3 3" xfId="30539"/>
    <cellStyle name="20% - Ênfase6 2 3 2 3 3 3" xfId="30540"/>
    <cellStyle name="20% - Ênfase6 2 3 3 3 3" xfId="30541"/>
    <cellStyle name="20% - Ênfase6 2 3 4 3 3" xfId="30542"/>
    <cellStyle name="20% - Ênfase6 2 5 5 3" xfId="30543"/>
    <cellStyle name="20% - Ênfase6 2 5 2 3 3" xfId="30544"/>
    <cellStyle name="20% - Ênfase6 2 5 3 3 3" xfId="30545"/>
    <cellStyle name="20% - Ênfase6 3 9 3" xfId="30546"/>
    <cellStyle name="20% - Ênfase6 3 2 6 3" xfId="30547"/>
    <cellStyle name="20% - Ênfase6 3 2 2 5 3" xfId="30548"/>
    <cellStyle name="20% - Ênfase6 3 2 2 2 3 3" xfId="30549"/>
    <cellStyle name="20% - Ênfase6 3 2 2 3 3 3" xfId="30550"/>
    <cellStyle name="20% - Ênfase6 3 2 3 3 3" xfId="30551"/>
    <cellStyle name="20% - Ênfase6 3 2 4 3 3" xfId="30552"/>
    <cellStyle name="20% - Ênfase6 3 3 5 3" xfId="30553"/>
    <cellStyle name="20% - Ênfase6 3 3 2 3 3" xfId="30554"/>
    <cellStyle name="20% - Ênfase6 3 3 3 3 3" xfId="30555"/>
    <cellStyle name="20% - Ênfase6 3 4 5 3" xfId="30556"/>
    <cellStyle name="20% - Ênfase6 3 4 2 3 3" xfId="30557"/>
    <cellStyle name="20% - Ênfase6 3 4 3 3 3" xfId="30558"/>
    <cellStyle name="20% - Ênfase6 3 5 3 3" xfId="30559"/>
    <cellStyle name="20% - Ênfase6 3 6 3 3" xfId="30560"/>
    <cellStyle name="20% - Ênfase6 3 7 3 3" xfId="30561"/>
    <cellStyle name="20% - Ênfase6 4 9 3" xfId="30562"/>
    <cellStyle name="20% - Ênfase6 4 2 6 3" xfId="30563"/>
    <cellStyle name="20% - Ênfase6 4 2 2 5 3" xfId="30564"/>
    <cellStyle name="20% - Ênfase6 4 2 2 2 3 3" xfId="30565"/>
    <cellStyle name="20% - Ênfase6 4 2 2 3 3 3" xfId="30566"/>
    <cellStyle name="20% - Ênfase6 4 2 3 3 3" xfId="30567"/>
    <cellStyle name="20% - Ênfase6 4 2 4 3 3" xfId="30568"/>
    <cellStyle name="20% - Ênfase6 4 3 5 3" xfId="30569"/>
    <cellStyle name="20% - Ênfase6 4 3 2 3 3" xfId="30570"/>
    <cellStyle name="20% - Ênfase6 4 3 3 3 3" xfId="30571"/>
    <cellStyle name="20% - Ênfase6 4 4 5 3" xfId="30572"/>
    <cellStyle name="20% - Ênfase6 4 4 2 3 3" xfId="30573"/>
    <cellStyle name="20% - Ênfase6 4 4 3 3 3" xfId="30574"/>
    <cellStyle name="20% - Ênfase6 4 5 3 3" xfId="30575"/>
    <cellStyle name="20% - Ênfase6 4 6 3 3" xfId="30576"/>
    <cellStyle name="20% - Ênfase6 4 7 3 3" xfId="30577"/>
    <cellStyle name="20% - Ênfase6 5 7 3" xfId="30578"/>
    <cellStyle name="20% - Ênfase6 5 2 5 3" xfId="30579"/>
    <cellStyle name="20% - Ênfase6 5 2 2 3 3" xfId="30580"/>
    <cellStyle name="20% - Ênfase6 5 2 3 3 3" xfId="30581"/>
    <cellStyle name="20% - Ênfase6 5 3 3 3" xfId="30582"/>
    <cellStyle name="20% - Ênfase6 5 4 3 3" xfId="30583"/>
    <cellStyle name="20% - Ênfase6 5 5 3 3" xfId="30584"/>
    <cellStyle name="20% - Ênfase6 6 6 3" xfId="30585"/>
    <cellStyle name="20% - Ênfase6 6 2 5 3" xfId="30586"/>
    <cellStyle name="20% - Ênfase6 6 2 2 3 3" xfId="30587"/>
    <cellStyle name="20% - Ênfase6 6 2 3 3 3" xfId="30588"/>
    <cellStyle name="20% - Ênfase6 6 3 3 3" xfId="30589"/>
    <cellStyle name="20% - Ênfase6 6 4 3 3" xfId="30590"/>
    <cellStyle name="20% - Ênfase6 8 5 3" xfId="30591"/>
    <cellStyle name="20% - Ênfase6 8 2 3 3" xfId="30592"/>
    <cellStyle name="20% - Ênfase6 8 3 3 3" xfId="30593"/>
    <cellStyle name="40% - Ênfase1 2 2 7 3" xfId="30594"/>
    <cellStyle name="40% - Ênfase1 2 2 2 5 3" xfId="30595"/>
    <cellStyle name="40% - Ênfase1 2 2 2 2 3 3" xfId="30596"/>
    <cellStyle name="40% - Ênfase1 2 2 2 3 3 3" xfId="30597"/>
    <cellStyle name="40% - Ênfase1 2 2 3 3 3" xfId="30598"/>
    <cellStyle name="40% - Ênfase1 2 2 4 3 3" xfId="30599"/>
    <cellStyle name="40% - Ênfase1 2 2 5 3 3" xfId="30600"/>
    <cellStyle name="40% - Ênfase1 2 3 6 3" xfId="30601"/>
    <cellStyle name="40% - Ênfase1 2 3 2 5 3" xfId="30602"/>
    <cellStyle name="40% - Ênfase1 2 3 2 2 3 3" xfId="30603"/>
    <cellStyle name="40% - Ênfase1 2 3 2 3 3 3" xfId="30604"/>
    <cellStyle name="40% - Ênfase1 2 3 3 3 3" xfId="30605"/>
    <cellStyle name="40% - Ênfase1 2 3 4 3 3" xfId="30606"/>
    <cellStyle name="40% - Ênfase1 2 5 5 3" xfId="30607"/>
    <cellStyle name="40% - Ênfase1 2 5 2 3 3" xfId="30608"/>
    <cellStyle name="40% - Ênfase1 2 5 3 3 3" xfId="30609"/>
    <cellStyle name="40% - Ênfase1 3 9 3" xfId="30610"/>
    <cellStyle name="40% - Ênfase1 3 2 6 3" xfId="30611"/>
    <cellStyle name="40% - Ênfase1 3 2 2 5 3" xfId="30612"/>
    <cellStyle name="40% - Ênfase1 3 2 2 2 3 3" xfId="30613"/>
    <cellStyle name="40% - Ênfase1 3 2 2 3 3 3" xfId="30614"/>
    <cellStyle name="40% - Ênfase1 3 2 3 3 3" xfId="30615"/>
    <cellStyle name="40% - Ênfase1 3 2 4 3 3" xfId="30616"/>
    <cellStyle name="40% - Ênfase1 3 3 5 3" xfId="30617"/>
    <cellStyle name="40% - Ênfase1 3 3 2 3 3" xfId="30618"/>
    <cellStyle name="40% - Ênfase1 3 3 3 3 3" xfId="30619"/>
    <cellStyle name="40% - Ênfase1 3 4 5 3" xfId="30620"/>
    <cellStyle name="40% - Ênfase1 3 4 2 3 3" xfId="30621"/>
    <cellStyle name="40% - Ênfase1 3 4 3 3 3" xfId="30622"/>
    <cellStyle name="40% - Ênfase1 3 5 3 3" xfId="30623"/>
    <cellStyle name="40% - Ênfase1 3 6 3 3" xfId="30624"/>
    <cellStyle name="40% - Ênfase1 3 7 3 3" xfId="30625"/>
    <cellStyle name="40% - Ênfase1 4 9 3" xfId="30626"/>
    <cellStyle name="40% - Ênfase1 4 2 6 3" xfId="30627"/>
    <cellStyle name="40% - Ênfase1 4 2 2 5 3" xfId="30628"/>
    <cellStyle name="40% - Ênfase1 4 2 2 2 3 3" xfId="30629"/>
    <cellStyle name="40% - Ênfase1 4 2 2 3 3 3" xfId="30630"/>
    <cellStyle name="40% - Ênfase1 4 2 3 3 3" xfId="30631"/>
    <cellStyle name="40% - Ênfase1 4 2 4 3 3" xfId="30632"/>
    <cellStyle name="40% - Ênfase1 4 3 5 3" xfId="30633"/>
    <cellStyle name="40% - Ênfase1 4 3 2 3 3" xfId="30634"/>
    <cellStyle name="40% - Ênfase1 4 3 3 3 3" xfId="30635"/>
    <cellStyle name="40% - Ênfase1 4 4 5 3" xfId="30636"/>
    <cellStyle name="40% - Ênfase1 4 4 2 3 3" xfId="30637"/>
    <cellStyle name="40% - Ênfase1 4 4 3 3 3" xfId="30638"/>
    <cellStyle name="40% - Ênfase1 4 5 3 3" xfId="30639"/>
    <cellStyle name="40% - Ênfase1 4 6 3 3" xfId="30640"/>
    <cellStyle name="40% - Ênfase1 4 7 3 3" xfId="30641"/>
    <cellStyle name="40% - Ênfase1 5 7 3" xfId="30642"/>
    <cellStyle name="40% - Ênfase1 5 2 5 3" xfId="30643"/>
    <cellStyle name="40% - Ênfase1 5 2 2 3 3" xfId="30644"/>
    <cellStyle name="40% - Ênfase1 5 2 3 3 3" xfId="30645"/>
    <cellStyle name="40% - Ênfase1 5 3 3 3" xfId="30646"/>
    <cellStyle name="40% - Ênfase1 5 4 3 3" xfId="30647"/>
    <cellStyle name="40% - Ênfase1 5 5 3 3" xfId="30648"/>
    <cellStyle name="40% - Ênfase1 6 6 3" xfId="30649"/>
    <cellStyle name="40% - Ênfase1 6 2 5 3" xfId="30650"/>
    <cellStyle name="40% - Ênfase1 6 2 2 3 3" xfId="30651"/>
    <cellStyle name="40% - Ênfase1 6 2 3 3 3" xfId="30652"/>
    <cellStyle name="40% - Ênfase1 6 3 3 3" xfId="30653"/>
    <cellStyle name="40% - Ênfase1 6 4 3 3" xfId="30654"/>
    <cellStyle name="40% - Ênfase1 8 5 3" xfId="30655"/>
    <cellStyle name="40% - Ênfase1 8 2 3 3" xfId="30656"/>
    <cellStyle name="40% - Ênfase1 8 3 3 3" xfId="30657"/>
    <cellStyle name="40% - Ênfase2 2 2 7 3" xfId="30658"/>
    <cellStyle name="40% - Ênfase2 2 2 2 5 3" xfId="30659"/>
    <cellStyle name="40% - Ênfase2 2 2 2 2 3 3" xfId="30660"/>
    <cellStyle name="40% - Ênfase2 2 2 2 3 3 3" xfId="30661"/>
    <cellStyle name="40% - Ênfase2 2 2 3 3 3" xfId="30662"/>
    <cellStyle name="40% - Ênfase2 2 2 4 3 3" xfId="30663"/>
    <cellStyle name="40% - Ênfase2 2 2 5 3 3" xfId="30664"/>
    <cellStyle name="40% - Ênfase2 2 3 6 3" xfId="30665"/>
    <cellStyle name="40% - Ênfase2 2 3 2 5 3" xfId="30666"/>
    <cellStyle name="40% - Ênfase2 2 3 2 2 3 3" xfId="30667"/>
    <cellStyle name="40% - Ênfase2 2 3 2 3 3 3" xfId="30668"/>
    <cellStyle name="40% - Ênfase2 2 3 3 3 3" xfId="30669"/>
    <cellStyle name="40% - Ênfase2 2 3 4 3 3" xfId="30670"/>
    <cellStyle name="40% - Ênfase2 2 5 5 3" xfId="30671"/>
    <cellStyle name="40% - Ênfase2 2 5 2 3 3" xfId="30672"/>
    <cellStyle name="40% - Ênfase2 2 5 3 3 3" xfId="30673"/>
    <cellStyle name="40% - Ênfase2 3 9 3" xfId="30674"/>
    <cellStyle name="40% - Ênfase2 3 2 6 3" xfId="30675"/>
    <cellStyle name="40% - Ênfase2 3 2 2 5 3" xfId="30676"/>
    <cellStyle name="40% - Ênfase2 3 2 2 2 3 3" xfId="30677"/>
    <cellStyle name="40% - Ênfase2 3 2 2 3 3 3" xfId="30678"/>
    <cellStyle name="40% - Ênfase2 3 2 3 3 3" xfId="30679"/>
    <cellStyle name="40% - Ênfase2 3 2 4 3 3" xfId="30680"/>
    <cellStyle name="40% - Ênfase2 3 3 5 3" xfId="30681"/>
    <cellStyle name="40% - Ênfase2 3 3 2 3 3" xfId="30682"/>
    <cellStyle name="40% - Ênfase2 3 3 3 3 3" xfId="30683"/>
    <cellStyle name="40% - Ênfase2 3 4 5 3" xfId="30684"/>
    <cellStyle name="40% - Ênfase2 3 4 2 3 3" xfId="30685"/>
    <cellStyle name="40% - Ênfase2 3 4 3 3 3" xfId="30686"/>
    <cellStyle name="40% - Ênfase2 3 5 3 3" xfId="30687"/>
    <cellStyle name="40% - Ênfase2 3 6 3 3" xfId="30688"/>
    <cellStyle name="40% - Ênfase2 3 7 3 3" xfId="30689"/>
    <cellStyle name="40% - Ênfase2 4 9 3" xfId="30690"/>
    <cellStyle name="40% - Ênfase2 4 2 6 3" xfId="30691"/>
    <cellStyle name="40% - Ênfase2 4 2 2 5 3" xfId="30692"/>
    <cellStyle name="40% - Ênfase2 4 2 2 2 3 3" xfId="30693"/>
    <cellStyle name="40% - Ênfase2 4 2 2 3 3 3" xfId="30694"/>
    <cellStyle name="40% - Ênfase2 4 2 3 3 3" xfId="30695"/>
    <cellStyle name="40% - Ênfase2 4 2 4 3 3" xfId="30696"/>
    <cellStyle name="40% - Ênfase2 4 3 5 3" xfId="30697"/>
    <cellStyle name="40% - Ênfase2 4 3 2 3 3" xfId="30698"/>
    <cellStyle name="40% - Ênfase2 4 3 3 3 3" xfId="30699"/>
    <cellStyle name="40% - Ênfase2 4 4 5 3" xfId="30700"/>
    <cellStyle name="40% - Ênfase2 4 4 2 3 3" xfId="30701"/>
    <cellStyle name="40% - Ênfase2 4 4 3 3 3" xfId="30702"/>
    <cellStyle name="40% - Ênfase2 4 5 3 3" xfId="30703"/>
    <cellStyle name="40% - Ênfase2 4 6 3 3" xfId="30704"/>
    <cellStyle name="40% - Ênfase2 4 7 3 3" xfId="30705"/>
    <cellStyle name="40% - Ênfase2 5 7 3" xfId="30706"/>
    <cellStyle name="40% - Ênfase2 5 2 5 3" xfId="30707"/>
    <cellStyle name="40% - Ênfase2 5 2 2 3 3" xfId="30708"/>
    <cellStyle name="40% - Ênfase2 5 2 3 3 3" xfId="30709"/>
    <cellStyle name="40% - Ênfase2 5 3 3 3" xfId="30710"/>
    <cellStyle name="40% - Ênfase2 5 4 3 3" xfId="30711"/>
    <cellStyle name="40% - Ênfase2 5 5 3 3" xfId="30712"/>
    <cellStyle name="40% - Ênfase2 6 6 3" xfId="30713"/>
    <cellStyle name="40% - Ênfase2 6 2 5 3" xfId="30714"/>
    <cellStyle name="40% - Ênfase2 6 2 2 3 3" xfId="30715"/>
    <cellStyle name="40% - Ênfase2 6 2 3 3 3" xfId="30716"/>
    <cellStyle name="40% - Ênfase2 6 3 3 3" xfId="30717"/>
    <cellStyle name="40% - Ênfase2 6 4 3 3" xfId="30718"/>
    <cellStyle name="40% - Ênfase2 8 5 3" xfId="30719"/>
    <cellStyle name="40% - Ênfase2 8 2 3 3" xfId="30720"/>
    <cellStyle name="40% - Ênfase2 8 3 3 3" xfId="30721"/>
    <cellStyle name="40% - Ênfase3 2 2 7 3" xfId="30722"/>
    <cellStyle name="40% - Ênfase3 2 2 2 5 3" xfId="30723"/>
    <cellStyle name="40% - Ênfase3 2 2 2 2 3 3" xfId="30724"/>
    <cellStyle name="40% - Ênfase3 2 2 2 3 3 3" xfId="30725"/>
    <cellStyle name="40% - Ênfase3 2 2 3 3 3" xfId="30726"/>
    <cellStyle name="40% - Ênfase3 2 2 4 3 3" xfId="30727"/>
    <cellStyle name="40% - Ênfase3 2 2 5 3 3" xfId="30728"/>
    <cellStyle name="40% - Ênfase3 2 3 6 3" xfId="30729"/>
    <cellStyle name="40% - Ênfase3 2 3 2 5 3" xfId="30730"/>
    <cellStyle name="40% - Ênfase3 2 3 2 2 3 3" xfId="30731"/>
    <cellStyle name="40% - Ênfase3 2 3 2 3 3 3" xfId="30732"/>
    <cellStyle name="40% - Ênfase3 2 3 3 3 3" xfId="30733"/>
    <cellStyle name="40% - Ênfase3 2 3 4 3 3" xfId="30734"/>
    <cellStyle name="40% - Ênfase3 2 5 5 3" xfId="30735"/>
    <cellStyle name="40% - Ênfase3 2 5 2 3 3" xfId="30736"/>
    <cellStyle name="40% - Ênfase3 2 5 3 3 3" xfId="30737"/>
    <cellStyle name="40% - Ênfase3 3 9 3" xfId="30738"/>
    <cellStyle name="40% - Ênfase3 3 2 6 3" xfId="30739"/>
    <cellStyle name="40% - Ênfase3 3 2 2 5 3" xfId="30740"/>
    <cellStyle name="40% - Ênfase3 3 2 2 2 3 3" xfId="30741"/>
    <cellStyle name="40% - Ênfase3 3 2 2 3 3 3" xfId="30742"/>
    <cellStyle name="40% - Ênfase3 3 2 3 3 3" xfId="30743"/>
    <cellStyle name="40% - Ênfase3 3 2 4 3 3" xfId="30744"/>
    <cellStyle name="40% - Ênfase3 3 3 5 3" xfId="30745"/>
    <cellStyle name="40% - Ênfase3 3 3 2 3 3" xfId="30746"/>
    <cellStyle name="40% - Ênfase3 3 3 3 3 3" xfId="30747"/>
    <cellStyle name="40% - Ênfase3 3 4 5 3" xfId="30748"/>
    <cellStyle name="40% - Ênfase3 3 4 2 3 3" xfId="30749"/>
    <cellStyle name="40% - Ênfase3 3 4 3 3 3" xfId="30750"/>
    <cellStyle name="40% - Ênfase3 3 5 3 3" xfId="30751"/>
    <cellStyle name="40% - Ênfase3 3 6 3 3" xfId="30752"/>
    <cellStyle name="40% - Ênfase3 3 7 3 3" xfId="30753"/>
    <cellStyle name="40% - Ênfase3 4 9 3" xfId="30754"/>
    <cellStyle name="40% - Ênfase3 4 2 6 3" xfId="30755"/>
    <cellStyle name="40% - Ênfase3 4 2 2 5 3" xfId="30756"/>
    <cellStyle name="40% - Ênfase3 4 2 2 2 3 3" xfId="30757"/>
    <cellStyle name="40% - Ênfase3 4 2 2 3 3 3" xfId="30758"/>
    <cellStyle name="40% - Ênfase3 4 2 3 3 3" xfId="30759"/>
    <cellStyle name="40% - Ênfase3 4 2 4 3 3" xfId="30760"/>
    <cellStyle name="40% - Ênfase3 4 3 5 3" xfId="30761"/>
    <cellStyle name="40% - Ênfase3 4 3 2 3 3" xfId="30762"/>
    <cellStyle name="40% - Ênfase3 4 3 3 3 3" xfId="30763"/>
    <cellStyle name="40% - Ênfase3 4 4 5 3" xfId="30764"/>
    <cellStyle name="40% - Ênfase3 4 4 2 3 3" xfId="30765"/>
    <cellStyle name="40% - Ênfase3 4 4 3 3 3" xfId="30766"/>
    <cellStyle name="40% - Ênfase3 4 5 3 3" xfId="30767"/>
    <cellStyle name="40% - Ênfase3 4 6 3 3" xfId="30768"/>
    <cellStyle name="40% - Ênfase3 4 7 3 3" xfId="30769"/>
    <cellStyle name="40% - Ênfase3 5 7 3" xfId="30770"/>
    <cellStyle name="40% - Ênfase3 5 2 5 3" xfId="30771"/>
    <cellStyle name="40% - Ênfase3 5 2 2 3 3" xfId="30772"/>
    <cellStyle name="40% - Ênfase3 5 2 3 3 3" xfId="30773"/>
    <cellStyle name="40% - Ênfase3 5 3 3 3" xfId="30774"/>
    <cellStyle name="40% - Ênfase3 5 4 3 3" xfId="30775"/>
    <cellStyle name="40% - Ênfase3 5 5 3 3" xfId="30776"/>
    <cellStyle name="40% - Ênfase3 6 6 3" xfId="30777"/>
    <cellStyle name="40% - Ênfase3 6 2 5 3" xfId="30778"/>
    <cellStyle name="40% - Ênfase3 6 2 2 3 3" xfId="30779"/>
    <cellStyle name="40% - Ênfase3 6 2 3 3 3" xfId="30780"/>
    <cellStyle name="40% - Ênfase3 6 3 3 3" xfId="30781"/>
    <cellStyle name="40% - Ênfase3 6 4 3 3" xfId="30782"/>
    <cellStyle name="40% - Ênfase3 8 5 3" xfId="30783"/>
    <cellStyle name="40% - Ênfase3 8 2 3 3" xfId="30784"/>
    <cellStyle name="40% - Ênfase3 8 3 3 3" xfId="30785"/>
    <cellStyle name="40% - Ênfase4 2 2 7 3" xfId="30786"/>
    <cellStyle name="40% - Ênfase4 2 2 2 5 3" xfId="30787"/>
    <cellStyle name="40% - Ênfase4 2 2 2 2 3 3" xfId="30788"/>
    <cellStyle name="40% - Ênfase4 2 2 2 3 3 3" xfId="30789"/>
    <cellStyle name="40% - Ênfase4 2 2 3 3 3" xfId="30790"/>
    <cellStyle name="40% - Ênfase4 2 2 4 3 3" xfId="30791"/>
    <cellStyle name="40% - Ênfase4 2 2 5 3 3" xfId="30792"/>
    <cellStyle name="40% - Ênfase4 2 3 6 3" xfId="30793"/>
    <cellStyle name="40% - Ênfase4 2 3 2 5 3" xfId="30794"/>
    <cellStyle name="40% - Ênfase4 2 3 2 2 3 3" xfId="30795"/>
    <cellStyle name="40% - Ênfase4 2 3 2 3 3 3" xfId="30796"/>
    <cellStyle name="40% - Ênfase4 2 3 3 3 3" xfId="30797"/>
    <cellStyle name="40% - Ênfase4 2 3 4 3 3" xfId="30798"/>
    <cellStyle name="40% - Ênfase4 2 5 5 3" xfId="30799"/>
    <cellStyle name="40% - Ênfase4 2 5 2 3 3" xfId="30800"/>
    <cellStyle name="40% - Ênfase4 2 5 3 3 3" xfId="30801"/>
    <cellStyle name="40% - Ênfase4 3 9 3" xfId="30802"/>
    <cellStyle name="40% - Ênfase4 3 2 6 3" xfId="30803"/>
    <cellStyle name="40% - Ênfase4 3 2 2 5 3" xfId="30804"/>
    <cellStyle name="40% - Ênfase4 3 2 2 2 3 3" xfId="30805"/>
    <cellStyle name="40% - Ênfase4 3 2 2 3 3 3" xfId="30806"/>
    <cellStyle name="40% - Ênfase4 3 2 3 3 3" xfId="30807"/>
    <cellStyle name="40% - Ênfase4 3 2 4 3 3" xfId="30808"/>
    <cellStyle name="40% - Ênfase4 3 3 5 3" xfId="30809"/>
    <cellStyle name="40% - Ênfase4 3 3 2 3 3" xfId="30810"/>
    <cellStyle name="40% - Ênfase4 3 3 3 3 3" xfId="30811"/>
    <cellStyle name="40% - Ênfase4 3 4 5 3" xfId="30812"/>
    <cellStyle name="40% - Ênfase4 3 4 2 3 3" xfId="30813"/>
    <cellStyle name="40% - Ênfase4 3 4 3 3 3" xfId="30814"/>
    <cellStyle name="40% - Ênfase4 3 5 3 3" xfId="30815"/>
    <cellStyle name="40% - Ênfase4 3 6 3 3" xfId="30816"/>
    <cellStyle name="40% - Ênfase4 3 7 3 3" xfId="30817"/>
    <cellStyle name="40% - Ênfase4 4 9 3" xfId="30818"/>
    <cellStyle name="40% - Ênfase4 4 2 6 3" xfId="30819"/>
    <cellStyle name="40% - Ênfase4 4 2 2 5 3" xfId="30820"/>
    <cellStyle name="40% - Ênfase4 4 2 2 2 3 3" xfId="30821"/>
    <cellStyle name="40% - Ênfase4 4 2 2 3 3 3" xfId="30822"/>
    <cellStyle name="40% - Ênfase4 4 2 3 3 3" xfId="30823"/>
    <cellStyle name="40% - Ênfase4 4 2 4 3 3" xfId="30824"/>
    <cellStyle name="40% - Ênfase4 4 3 5 3" xfId="30825"/>
    <cellStyle name="40% - Ênfase4 4 3 2 3 3" xfId="30826"/>
    <cellStyle name="40% - Ênfase4 4 3 3 3 3" xfId="30827"/>
    <cellStyle name="40% - Ênfase4 4 4 5 3" xfId="30828"/>
    <cellStyle name="40% - Ênfase4 4 4 2 3 3" xfId="30829"/>
    <cellStyle name="40% - Ênfase4 4 4 3 3 3" xfId="30830"/>
    <cellStyle name="40% - Ênfase4 4 5 3 3" xfId="30831"/>
    <cellStyle name="40% - Ênfase4 4 6 3 3" xfId="30832"/>
    <cellStyle name="40% - Ênfase4 4 7 3 3" xfId="30833"/>
    <cellStyle name="40% - Ênfase4 5 7 3" xfId="30834"/>
    <cellStyle name="40% - Ênfase4 5 2 5 3" xfId="30835"/>
    <cellStyle name="40% - Ênfase4 5 2 2 3 3" xfId="30836"/>
    <cellStyle name="40% - Ênfase4 5 2 3 3 3" xfId="30837"/>
    <cellStyle name="40% - Ênfase4 5 3 3 3" xfId="30838"/>
    <cellStyle name="40% - Ênfase4 5 4 3 3" xfId="30839"/>
    <cellStyle name="40% - Ênfase4 5 5 3 3" xfId="30840"/>
    <cellStyle name="40% - Ênfase4 6 6 3" xfId="30841"/>
    <cellStyle name="40% - Ênfase4 6 2 5 3" xfId="30842"/>
    <cellStyle name="40% - Ênfase4 6 2 2 3 3" xfId="30843"/>
    <cellStyle name="40% - Ênfase4 6 2 3 3 3" xfId="30844"/>
    <cellStyle name="40% - Ênfase4 6 3 3 3" xfId="30845"/>
    <cellStyle name="40% - Ênfase4 6 4 3 3" xfId="30846"/>
    <cellStyle name="40% - Ênfase4 8 5 3" xfId="30847"/>
    <cellStyle name="40% - Ênfase4 8 2 3 3" xfId="30848"/>
    <cellStyle name="40% - Ênfase4 8 3 3 3" xfId="30849"/>
    <cellStyle name="40% - Ênfase5 2 2 7 3" xfId="30850"/>
    <cellStyle name="40% - Ênfase5 2 2 2 5 3" xfId="30851"/>
    <cellStyle name="40% - Ênfase5 2 2 2 2 3 3" xfId="30852"/>
    <cellStyle name="40% - Ênfase5 2 2 2 3 3 3" xfId="30853"/>
    <cellStyle name="40% - Ênfase5 2 2 3 3 3" xfId="30854"/>
    <cellStyle name="40% - Ênfase5 2 2 4 3 3" xfId="30855"/>
    <cellStyle name="40% - Ênfase5 2 2 5 3 3" xfId="30856"/>
    <cellStyle name="40% - Ênfase5 2 3 6 3" xfId="30857"/>
    <cellStyle name="40% - Ênfase5 2 3 2 5 3" xfId="30858"/>
    <cellStyle name="40% - Ênfase5 2 3 2 2 3 3" xfId="30859"/>
    <cellStyle name="40% - Ênfase5 2 3 2 3 3 3" xfId="30860"/>
    <cellStyle name="40% - Ênfase5 2 3 3 3 3" xfId="30861"/>
    <cellStyle name="40% - Ênfase5 2 3 4 3 3" xfId="30862"/>
    <cellStyle name="40% - Ênfase5 2 5 5 3" xfId="30863"/>
    <cellStyle name="40% - Ênfase5 2 5 2 3 3" xfId="30864"/>
    <cellStyle name="40% - Ênfase5 2 5 3 3 3" xfId="30865"/>
    <cellStyle name="40% - Ênfase5 3 9 3" xfId="30866"/>
    <cellStyle name="40% - Ênfase5 3 2 6 3" xfId="30867"/>
    <cellStyle name="40% - Ênfase5 3 2 2 5 3" xfId="30868"/>
    <cellStyle name="40% - Ênfase5 3 2 2 2 3 3" xfId="30869"/>
    <cellStyle name="40% - Ênfase5 3 2 2 3 3 3" xfId="30870"/>
    <cellStyle name="40% - Ênfase5 3 2 3 3 3" xfId="30871"/>
    <cellStyle name="40% - Ênfase5 3 2 4 3 3" xfId="30872"/>
    <cellStyle name="40% - Ênfase5 3 3 5 3" xfId="30873"/>
    <cellStyle name="40% - Ênfase5 3 3 2 3 3" xfId="30874"/>
    <cellStyle name="40% - Ênfase5 3 3 3 3 3" xfId="30875"/>
    <cellStyle name="40% - Ênfase5 3 4 5 3" xfId="30876"/>
    <cellStyle name="40% - Ênfase5 3 4 2 3 3" xfId="30877"/>
    <cellStyle name="40% - Ênfase5 3 4 3 3 3" xfId="30878"/>
    <cellStyle name="40% - Ênfase5 3 5 3 3" xfId="30879"/>
    <cellStyle name="40% - Ênfase5 3 6 3 3" xfId="30880"/>
    <cellStyle name="40% - Ênfase5 3 7 3 3" xfId="30881"/>
    <cellStyle name="40% - Ênfase5 4 9 3" xfId="30882"/>
    <cellStyle name="40% - Ênfase5 4 2 6 3" xfId="30883"/>
    <cellStyle name="40% - Ênfase5 4 2 2 5 3" xfId="30884"/>
    <cellStyle name="40% - Ênfase5 4 2 2 2 3 3" xfId="30885"/>
    <cellStyle name="40% - Ênfase5 4 2 2 3 3 3" xfId="30886"/>
    <cellStyle name="40% - Ênfase5 4 2 3 3 3" xfId="30887"/>
    <cellStyle name="40% - Ênfase5 4 2 4 3 3" xfId="30888"/>
    <cellStyle name="40% - Ênfase5 4 3 5 3" xfId="30889"/>
    <cellStyle name="40% - Ênfase5 4 3 2 3 3" xfId="30890"/>
    <cellStyle name="40% - Ênfase5 4 3 3 3 3" xfId="30891"/>
    <cellStyle name="40% - Ênfase5 4 4 5 3" xfId="30892"/>
    <cellStyle name="40% - Ênfase5 4 4 2 3 3" xfId="30893"/>
    <cellStyle name="40% - Ênfase5 4 4 3 3 3" xfId="30894"/>
    <cellStyle name="40% - Ênfase5 4 5 3 3" xfId="30895"/>
    <cellStyle name="40% - Ênfase5 4 6 3 3" xfId="30896"/>
    <cellStyle name="40% - Ênfase5 4 7 3 3" xfId="30897"/>
    <cellStyle name="40% - Ênfase5 5 7 3" xfId="30898"/>
    <cellStyle name="40% - Ênfase5 5 2 5 3" xfId="30899"/>
    <cellStyle name="40% - Ênfase5 5 2 2 3 3" xfId="30900"/>
    <cellStyle name="40% - Ênfase5 5 2 3 3 3" xfId="30901"/>
    <cellStyle name="40% - Ênfase5 5 3 3 3" xfId="30902"/>
    <cellStyle name="40% - Ênfase5 5 4 3 3" xfId="30903"/>
    <cellStyle name="40% - Ênfase5 5 5 3 3" xfId="30904"/>
    <cellStyle name="40% - Ênfase5 6 6 3" xfId="30905"/>
    <cellStyle name="40% - Ênfase5 6 2 5 3" xfId="30906"/>
    <cellStyle name="40% - Ênfase5 6 2 2 3 3" xfId="30907"/>
    <cellStyle name="40% - Ênfase5 6 2 3 3 3" xfId="30908"/>
    <cellStyle name="40% - Ênfase5 6 3 3 3" xfId="30909"/>
    <cellStyle name="40% - Ênfase5 6 4 3 3" xfId="30910"/>
    <cellStyle name="40% - Ênfase5 8 5 3" xfId="30911"/>
    <cellStyle name="40% - Ênfase5 8 2 3 3" xfId="30912"/>
    <cellStyle name="40% - Ênfase5 8 3 3 3" xfId="30913"/>
    <cellStyle name="40% - Ênfase6 2 2 7 3" xfId="30914"/>
    <cellStyle name="40% - Ênfase6 2 2 2 5 3" xfId="30915"/>
    <cellStyle name="40% - Ênfase6 2 2 2 2 3 3" xfId="30916"/>
    <cellStyle name="40% - Ênfase6 2 2 2 3 3 3" xfId="30917"/>
    <cellStyle name="40% - Ênfase6 2 2 3 3 3" xfId="30918"/>
    <cellStyle name="40% - Ênfase6 2 2 4 3 3" xfId="30919"/>
    <cellStyle name="40% - Ênfase6 2 2 5 3 3" xfId="30920"/>
    <cellStyle name="40% - Ênfase6 2 3 6 3" xfId="30921"/>
    <cellStyle name="40% - Ênfase6 2 3 2 5 3" xfId="30922"/>
    <cellStyle name="40% - Ênfase6 2 3 2 2 3 3" xfId="30923"/>
    <cellStyle name="40% - Ênfase6 2 3 2 3 3 3" xfId="30924"/>
    <cellStyle name="40% - Ênfase6 2 3 3 3 3" xfId="30925"/>
    <cellStyle name="40% - Ênfase6 2 3 4 3 3" xfId="30926"/>
    <cellStyle name="40% - Ênfase6 2 5 5 3" xfId="30927"/>
    <cellStyle name="40% - Ênfase6 2 5 2 3 3" xfId="30928"/>
    <cellStyle name="40% - Ênfase6 2 5 3 3 3" xfId="30929"/>
    <cellStyle name="40% - Ênfase6 3 9 3" xfId="30930"/>
    <cellStyle name="40% - Ênfase6 3 2 6 3" xfId="30931"/>
    <cellStyle name="40% - Ênfase6 3 2 2 5 3" xfId="30932"/>
    <cellStyle name="40% - Ênfase6 3 2 2 2 3 3" xfId="30933"/>
    <cellStyle name="40% - Ênfase6 3 2 2 3 3 3" xfId="30934"/>
    <cellStyle name="40% - Ênfase6 3 2 3 3 3" xfId="30935"/>
    <cellStyle name="40% - Ênfase6 3 2 4 3 3" xfId="30936"/>
    <cellStyle name="40% - Ênfase6 3 3 5 3" xfId="30937"/>
    <cellStyle name="40% - Ênfase6 3 3 2 3 3" xfId="30938"/>
    <cellStyle name="40% - Ênfase6 3 3 3 3 3" xfId="30939"/>
    <cellStyle name="40% - Ênfase6 3 4 5 3" xfId="30940"/>
    <cellStyle name="40% - Ênfase6 3 4 2 3 3" xfId="30941"/>
    <cellStyle name="40% - Ênfase6 3 4 3 3 3" xfId="30942"/>
    <cellStyle name="40% - Ênfase6 3 5 3 3" xfId="30943"/>
    <cellStyle name="40% - Ênfase6 3 6 3 3" xfId="30944"/>
    <cellStyle name="40% - Ênfase6 3 7 3 3" xfId="30945"/>
    <cellStyle name="40% - Ênfase6 4 9 3" xfId="30946"/>
    <cellStyle name="40% - Ênfase6 4 2 6 3" xfId="30947"/>
    <cellStyle name="40% - Ênfase6 4 2 2 5 3" xfId="30948"/>
    <cellStyle name="40% - Ênfase6 4 2 2 2 3 3" xfId="30949"/>
    <cellStyle name="40% - Ênfase6 4 2 2 3 3 3" xfId="30950"/>
    <cellStyle name="40% - Ênfase6 4 2 3 3 3" xfId="30951"/>
    <cellStyle name="40% - Ênfase6 4 2 4 3 3" xfId="30952"/>
    <cellStyle name="40% - Ênfase6 4 3 5 3" xfId="30953"/>
    <cellStyle name="40% - Ênfase6 4 3 2 3 3" xfId="30954"/>
    <cellStyle name="40% - Ênfase6 4 3 3 3 3" xfId="30955"/>
    <cellStyle name="40% - Ênfase6 4 4 5 3" xfId="30956"/>
    <cellStyle name="40% - Ênfase6 4 4 2 3 3" xfId="30957"/>
    <cellStyle name="40% - Ênfase6 4 4 3 3 3" xfId="30958"/>
    <cellStyle name="40% - Ênfase6 4 5 3 3" xfId="30959"/>
    <cellStyle name="40% - Ênfase6 4 6 3 3" xfId="30960"/>
    <cellStyle name="40% - Ênfase6 4 7 3 3" xfId="30961"/>
    <cellStyle name="40% - Ênfase6 5 7 3" xfId="30962"/>
    <cellStyle name="40% - Ênfase6 5 2 5 3" xfId="30963"/>
    <cellStyle name="40% - Ênfase6 5 2 2 3 3" xfId="30964"/>
    <cellStyle name="40% - Ênfase6 5 2 3 3 3" xfId="30965"/>
    <cellStyle name="40% - Ênfase6 5 3 3 3" xfId="30966"/>
    <cellStyle name="40% - Ênfase6 5 4 3 3" xfId="30967"/>
    <cellStyle name="40% - Ênfase6 5 5 3 3" xfId="30968"/>
    <cellStyle name="40% - Ênfase6 6 6 3" xfId="30969"/>
    <cellStyle name="40% - Ênfase6 6 2 5 3" xfId="30970"/>
    <cellStyle name="40% - Ênfase6 6 2 2 3 3" xfId="30971"/>
    <cellStyle name="40% - Ênfase6 6 2 3 3 3" xfId="30972"/>
    <cellStyle name="40% - Ênfase6 6 3 3 3" xfId="30973"/>
    <cellStyle name="40% - Ênfase6 6 4 3 3" xfId="30974"/>
    <cellStyle name="40% - Ênfase6 8 5 3" xfId="30975"/>
    <cellStyle name="40% - Ênfase6 8 2 3 3" xfId="30976"/>
    <cellStyle name="40% - Ênfase6 8 3 3 3" xfId="30977"/>
    <cellStyle name="Normal 3 3 5 3" xfId="30978"/>
    <cellStyle name="Normal 3 3 2 3 3" xfId="30979"/>
    <cellStyle name="Normal 3 3 3 3 3" xfId="30980"/>
    <cellStyle name="Normal 3 4 3 3" xfId="30981"/>
    <cellStyle name="Normal 3 5 3 3" xfId="30982"/>
    <cellStyle name="Normal 3 6 3 3" xfId="30983"/>
    <cellStyle name="Normal 4 2 7 3" xfId="30984"/>
    <cellStyle name="Normal 4 2 2 5 3" xfId="30985"/>
    <cellStyle name="Normal 4 2 2 2 3 3" xfId="30986"/>
    <cellStyle name="Normal 4 2 2 3 3 3" xfId="30987"/>
    <cellStyle name="Normal 4 2 3 3 3" xfId="30988"/>
    <cellStyle name="Normal 4 2 4 3 3" xfId="30989"/>
    <cellStyle name="Normal 4 2 5 3 3" xfId="30990"/>
    <cellStyle name="Normal 4 3 6 3" xfId="30991"/>
    <cellStyle name="Normal 4 3 2 5 3" xfId="30992"/>
    <cellStyle name="Normal 4 3 2 2 3 3" xfId="30993"/>
    <cellStyle name="Normal 4 3 2 3 3 3" xfId="30994"/>
    <cellStyle name="Normal 4 3 3 3 3" xfId="30995"/>
    <cellStyle name="Normal 4 3 4 3 3" xfId="30996"/>
    <cellStyle name="Normal 4 5 5 3" xfId="30997"/>
    <cellStyle name="Normal 4 5 2 3 3" xfId="30998"/>
    <cellStyle name="Normal 4 5 3 3 3" xfId="30999"/>
    <cellStyle name="Normal 5 2 8 3" xfId="31000"/>
    <cellStyle name="Normal 5 2 2 5 3" xfId="31001"/>
    <cellStyle name="Normal 5 2 2 2 3 3" xfId="31002"/>
    <cellStyle name="Normal 5 2 2 3 3 3" xfId="31003"/>
    <cellStyle name="Normal 5 2 3 3 3" xfId="31004"/>
    <cellStyle name="Normal 5 2 4 3 3" xfId="31005"/>
    <cellStyle name="Normal 5 2 5 3 3" xfId="31006"/>
    <cellStyle name="Normal 5 3 6 3" xfId="31007"/>
    <cellStyle name="Normal 5 3 2 5 3" xfId="31008"/>
    <cellStyle name="Normal 5 3 2 2 3 3" xfId="31009"/>
    <cellStyle name="Normal 5 3 2 3 3 3" xfId="31010"/>
    <cellStyle name="Normal 5 3 3 3 3" xfId="31011"/>
    <cellStyle name="Normal 5 3 4 3 3" xfId="31012"/>
    <cellStyle name="Normal 5 5 5 3" xfId="31013"/>
    <cellStyle name="Normal 5 5 2 3 3" xfId="31014"/>
    <cellStyle name="Normal 5 5 3 3 3" xfId="31015"/>
    <cellStyle name="Normal 6 4 3 3" xfId="31016"/>
    <cellStyle name="Normal 7 2 6 2 3" xfId="31017"/>
    <cellStyle name="Normal 7 2 2 4 2 2" xfId="31018"/>
    <cellStyle name="Normal 7 2 2 2 3 3" xfId="31019"/>
    <cellStyle name="Normal 7 2 2 3 3 3" xfId="31020"/>
    <cellStyle name="Normal 7 2 3 3 3" xfId="31021"/>
    <cellStyle name="Normal 7 2 4 3 3" xfId="31022"/>
    <cellStyle name="Normal 7 2 5 3 3" xfId="31023"/>
    <cellStyle name="Normal 7 3 5 2 3" xfId="31024"/>
    <cellStyle name="Normal 7 3 2 5 3" xfId="31025"/>
    <cellStyle name="Normal 7 3 2 2 3 3" xfId="31026"/>
    <cellStyle name="Normal 7 3 2 3 3 3" xfId="31027"/>
    <cellStyle name="Normal 7 3 3 3 3" xfId="31028"/>
    <cellStyle name="Normal 7 3 4 3 3" xfId="31029"/>
    <cellStyle name="Normal 7 5 5 3" xfId="31030"/>
    <cellStyle name="Normal 7 5 2 3 3" xfId="31031"/>
    <cellStyle name="Normal 7 5 3 3 3" xfId="31032"/>
    <cellStyle name="Normal 8 9 2 3" xfId="31033"/>
    <cellStyle name="Normal 8 2 5 2 3" xfId="31034"/>
    <cellStyle name="Normal 8 2 2 4 2 2" xfId="31035"/>
    <cellStyle name="Normal 8 2 2 2 3 3" xfId="31036"/>
    <cellStyle name="Normal 8 2 2 3 3 3" xfId="31037"/>
    <cellStyle name="Normal 8 2 3 3 3" xfId="31038"/>
    <cellStyle name="Normal 8 2 4 3 3" xfId="31039"/>
    <cellStyle name="Normal 8 3 4 2 3" xfId="31040"/>
    <cellStyle name="Normal 8 3 2 2 2 2" xfId="31041"/>
    <cellStyle name="Normal 8 3 3 3 3" xfId="31042"/>
    <cellStyle name="Normal 8 4 4 2 2" xfId="31043"/>
    <cellStyle name="Normal 8 4 2 2 2 2" xfId="31044"/>
    <cellStyle name="Normal 8 4 3 3 3" xfId="31045"/>
    <cellStyle name="Normal 8 5 4 2 2" xfId="31046"/>
    <cellStyle name="Normal 8 6 2 2 2" xfId="31047"/>
    <cellStyle name="Normal 8 7 3 3" xfId="31048"/>
    <cellStyle name="Nota 2 2 7 3" xfId="31049"/>
    <cellStyle name="Nota 2 2 2 5 3" xfId="31050"/>
    <cellStyle name="Nota 2 2 2 2 3 3" xfId="31051"/>
    <cellStyle name="Nota 2 2 2 3 3 3" xfId="31052"/>
    <cellStyle name="Nota 2 2 3 3 3" xfId="31053"/>
    <cellStyle name="Nota 2 2 4 3 3" xfId="31054"/>
    <cellStyle name="Nota 2 2 5 3 3" xfId="31055"/>
    <cellStyle name="Nota 2 3 6 3" xfId="31056"/>
    <cellStyle name="Nota 2 3 2 5 3" xfId="31057"/>
    <cellStyle name="Nota 2 3 2 2 3 3" xfId="31058"/>
    <cellStyle name="Nota 2 3 2 3 3 3" xfId="31059"/>
    <cellStyle name="Nota 2 3 3 3 3" xfId="31060"/>
    <cellStyle name="Nota 2 3 4 3 3" xfId="31061"/>
    <cellStyle name="Nota 2 5 5 3" xfId="31062"/>
    <cellStyle name="Nota 2 5 2 3 3" xfId="31063"/>
    <cellStyle name="Nota 2 5 3 3 3" xfId="31064"/>
    <cellStyle name="Nota 3 2 7 3" xfId="31065"/>
    <cellStyle name="Nota 3 2 2 5 3" xfId="31066"/>
    <cellStyle name="Nota 3 2 2 2 3 3" xfId="31067"/>
    <cellStyle name="Nota 3 2 2 3 3 3" xfId="31068"/>
    <cellStyle name="Nota 3 2 3 3 3" xfId="31069"/>
    <cellStyle name="Nota 3 2 4 3 3" xfId="31070"/>
    <cellStyle name="Nota 3 2 5 3 3" xfId="31071"/>
    <cellStyle name="Nota 3 3 6 3" xfId="31072"/>
    <cellStyle name="Nota 3 3 2 5 3" xfId="31073"/>
    <cellStyle name="Nota 3 3 2 2 3 3" xfId="31074"/>
    <cellStyle name="Nota 3 3 2 3 3 3" xfId="31075"/>
    <cellStyle name="Nota 3 3 3 3 3" xfId="31076"/>
    <cellStyle name="Nota 3 3 4 3 3" xfId="31077"/>
    <cellStyle name="Nota 3 5 5 3" xfId="31078"/>
    <cellStyle name="Nota 3 5 2 3 3" xfId="31079"/>
    <cellStyle name="Nota 3 5 3 3 3" xfId="31080"/>
    <cellStyle name="Nota 4 8 2 3" xfId="31081"/>
    <cellStyle name="Nota 4 2 6 3" xfId="31082"/>
    <cellStyle name="Nota 4 2 2 5 3" xfId="31083"/>
    <cellStyle name="Nota 4 2 2 2 3 3" xfId="31084"/>
    <cellStyle name="Nota 4 2 2 3 3 3" xfId="31085"/>
    <cellStyle name="Nota 4 2 3 3 3" xfId="31086"/>
    <cellStyle name="Nota 4 2 4 3 3" xfId="31087"/>
    <cellStyle name="Nota 4 3 5 3" xfId="31088"/>
    <cellStyle name="Nota 4 3 2 3 3" xfId="31089"/>
    <cellStyle name="Nota 4 3 3 3 3" xfId="31090"/>
    <cellStyle name="Nota 4 4 5 3" xfId="31091"/>
    <cellStyle name="Nota 4 4 2 3 3" xfId="31092"/>
    <cellStyle name="Nota 4 4 3 3 3" xfId="31093"/>
    <cellStyle name="Nota 4 5 3 3" xfId="31094"/>
    <cellStyle name="Nota 4 6 3 3" xfId="31095"/>
    <cellStyle name="Nota 4 7 3 3" xfId="31096"/>
    <cellStyle name="Nota 5 9 3" xfId="31097"/>
    <cellStyle name="Nota 5 2 6 3" xfId="31098"/>
    <cellStyle name="Nota 5 2 2 5 3" xfId="31099"/>
    <cellStyle name="Nota 5 2 2 2 3 3" xfId="31100"/>
    <cellStyle name="Nota 5 2 2 3 3 3" xfId="31101"/>
    <cellStyle name="Nota 5 2 3 3 3" xfId="31102"/>
    <cellStyle name="Nota 5 2 4 3 3" xfId="31103"/>
    <cellStyle name="Nota 5 3 5 3" xfId="31104"/>
    <cellStyle name="Nota 5 3 2 3 3" xfId="31105"/>
    <cellStyle name="Nota 5 3 3 3 3" xfId="31106"/>
    <cellStyle name="Nota 5 4 5 3" xfId="31107"/>
    <cellStyle name="Nota 5 4 2 3 3" xfId="31108"/>
    <cellStyle name="Nota 5 4 3 3 3" xfId="31109"/>
    <cellStyle name="Nota 5 5 3 3" xfId="31110"/>
    <cellStyle name="Nota 5 6 3 3" xfId="31111"/>
    <cellStyle name="Nota 5 7 3 3" xfId="31112"/>
    <cellStyle name="Separador de milhares 2 2 4 2 3" xfId="31113"/>
    <cellStyle name="Separador de milhares 2 2 2 2 3" xfId="31114"/>
    <cellStyle name="Separador de milhares 2 2 3 2 3" xfId="31115"/>
    <cellStyle name="Separador de milhares 2 3 2 2 3" xfId="31116"/>
    <cellStyle name="Separador de milhares 2 4 2 3" xfId="31117"/>
    <cellStyle name="Separador de milhares 2 5 2 3" xfId="31118"/>
    <cellStyle name="Separador de milhares 2 6 2 3" xfId="31119"/>
    <cellStyle name="Separador de milhares 3 2 4 2 3" xfId="31120"/>
    <cellStyle name="Separador de milhares 3 2 2 2 3" xfId="31121"/>
    <cellStyle name="Separador de milhares 3 2 3 2 3" xfId="31122"/>
    <cellStyle name="Separador de milhares 3 4 2 2 2" xfId="31123"/>
    <cellStyle name="Separador de milhares 4 4 2 3" xfId="31124"/>
    <cellStyle name="Separador de milhares 4 2 3 2 2" xfId="31125"/>
    <cellStyle name="Separador de milhares 4 2 2 2 3" xfId="31126"/>
    <cellStyle name="Separador de milhares 4 3 2 2 2" xfId="31127"/>
    <cellStyle name="Separador de milhares 5 2 3 2 2" xfId="31128"/>
    <cellStyle name="Separador de milhares 5 2 2 2 3" xfId="31129"/>
    <cellStyle name="Separador de milhares 5 3 2 2 2" xfId="31130"/>
    <cellStyle name="Separador de milhares 5 4 2 3" xfId="31131"/>
    <cellStyle name="Separador de milhares 6 5 2 3" xfId="31132"/>
    <cellStyle name="Separador de milhares 6 2 3 2 2" xfId="31133"/>
    <cellStyle name="Separador de milhares 6 2 2 2 3" xfId="31134"/>
    <cellStyle name="Separador de milhares 6 3 2 2 2" xfId="31135"/>
    <cellStyle name="Separador de milhares 6 4 2 3" xfId="31136"/>
    <cellStyle name="Separador de milhares 7 3 2 2 2" xfId="31137"/>
    <cellStyle name="Vírgula 2 6 2 3" xfId="31138"/>
    <cellStyle name="Vírgula 2 2 3 4" xfId="31139"/>
    <cellStyle name="Vírgula 2 2 2 2 3" xfId="31140"/>
    <cellStyle name="Vírgula 2 3 3 4" xfId="31141"/>
    <cellStyle name="Vírgula 2 3 2 2 3" xfId="31142"/>
    <cellStyle name="Vírgula 2 4 2 3" xfId="31143"/>
    <cellStyle name="Vírgula 2 5 2 3" xfId="31144"/>
    <cellStyle name="Vírgula 3 4 2 3" xfId="31145"/>
    <cellStyle name="Vírgula 3 2 2 3" xfId="31146"/>
    <cellStyle name="Vírgula 3 3 2 3" xfId="31147"/>
    <cellStyle name="Vírgula 4 4 2 3" xfId="31148"/>
    <cellStyle name="Vírgula 4 2 3 2 3" xfId="31149"/>
    <cellStyle name="Vírgula 4 2 2 2 2 2" xfId="31150"/>
    <cellStyle name="Vírgula 4 3 2 3" xfId="31151"/>
    <cellStyle name="Vírgula 5 3 2 3" xfId="31152"/>
    <cellStyle name="Vírgula 5 2 2 3" xfId="31153"/>
    <cellStyle name="Vírgula 6 2 2 3" xfId="31154"/>
    <cellStyle name="Vírgula 8 2 2 2 2" xfId="31155"/>
    <cellStyle name="Vírgula 9 2 2 3" xfId="31156"/>
    <cellStyle name="Comma 4 3 2 2" xfId="31157"/>
    <cellStyle name="Normal 13 4 2" xfId="31158"/>
    <cellStyle name="Comma 5 3 2 2" xfId="31159"/>
    <cellStyle name="Comma 6 2 2" xfId="31160"/>
    <cellStyle name="Comma 7 2 2" xfId="31161"/>
    <cellStyle name="Vírgula 10 5 2" xfId="31162"/>
    <cellStyle name="Comma 8 2 2" xfId="31163"/>
    <cellStyle name="Comma 9 2 2" xfId="31164"/>
    <cellStyle name="Comma 10 2 2" xfId="31165"/>
    <cellStyle name="Vírgula 10 2 2 2" xfId="31166"/>
    <cellStyle name="Separador de milhares 2 7 2 2 2" xfId="31167"/>
    <cellStyle name="Comma 11 2 2" xfId="31168"/>
    <cellStyle name="Vírgula 10 3 2 2" xfId="31169"/>
    <cellStyle name="Separador de milhares 2 7 3 2 2" xfId="31170"/>
    <cellStyle name="Porcentagem 12 3 2" xfId="31171"/>
    <cellStyle name="Normal 55 2 2" xfId="31172"/>
    <cellStyle name="Percent 14 2 2" xfId="31173"/>
    <cellStyle name="Normal 3 9 2 2" xfId="31174"/>
    <cellStyle name="Vírgula 11 2 3" xfId="31175"/>
    <cellStyle name="Normal 3 7 2 2 2" xfId="31176"/>
    <cellStyle name="20% - Ênfase1 5 6 2 3" xfId="31177"/>
    <cellStyle name="40% - Ênfase1 5 6 2 3" xfId="31178"/>
    <cellStyle name="20% - Ênfase2 5 6 2 3" xfId="31179"/>
    <cellStyle name="40% - Ênfase2 5 6 2 3" xfId="31180"/>
    <cellStyle name="20% - Ênfase3 5 6 2 3" xfId="31181"/>
    <cellStyle name="40% - Ênfase3 5 6 2 3" xfId="31182"/>
    <cellStyle name="20% - Ênfase4 5 6 2 3" xfId="31183"/>
    <cellStyle name="40% - Ênfase4 5 6 2 3" xfId="31184"/>
    <cellStyle name="20% - Ênfase5 5 6 2 3" xfId="31185"/>
    <cellStyle name="40% - Ênfase5 5 6 2 3" xfId="31186"/>
    <cellStyle name="20% - Ênfase6 5 6 2 3" xfId="31187"/>
    <cellStyle name="40% - Ênfase6 5 6 2 3" xfId="31188"/>
    <cellStyle name="Normal 4 2 6 2 3" xfId="31189"/>
    <cellStyle name="Nota 2 2 6 2 3" xfId="31190"/>
    <cellStyle name="Normal 5 2 7 2 3" xfId="31191"/>
    <cellStyle name="Nota 3 2 6 2 3" xfId="31192"/>
    <cellStyle name="20% - Ênfase1 2 2 6 2 3" xfId="31193"/>
    <cellStyle name="40% - Ênfase1 2 2 6 2 3" xfId="31194"/>
    <cellStyle name="20% - Ênfase2 2 2 6 2 3" xfId="31195"/>
    <cellStyle name="40% - Ênfase2 2 2 6 2 3" xfId="31196"/>
    <cellStyle name="20% - Ênfase3 2 2 6 2 3" xfId="31197"/>
    <cellStyle name="40% - Ênfase3 2 2 6 2 3" xfId="31198"/>
    <cellStyle name="20% - Ênfase4 2 2 6 2 3" xfId="31199"/>
    <cellStyle name="40% - Ênfase4 2 2 6 2 3" xfId="31200"/>
    <cellStyle name="20% - Ênfase5 2 2 6 2 3" xfId="31201"/>
    <cellStyle name="40% - Ênfase5 2 2 6 2 3" xfId="31202"/>
    <cellStyle name="20% - Ênfase6 2 2 6 2 3" xfId="31203"/>
    <cellStyle name="40% - Ênfase6 2 2 6 2 3" xfId="31204"/>
    <cellStyle name="Normal 7 2 7 2 2" xfId="31205"/>
    <cellStyle name="Nota 4 9 2 2" xfId="31206"/>
    <cellStyle name="20% - Ênfase1 3 8 2 3" xfId="31207"/>
    <cellStyle name="40% - Ênfase1 3 8 2 3" xfId="31208"/>
    <cellStyle name="20% - Ênfase2 3 8 2 3" xfId="31209"/>
    <cellStyle name="40% - Ênfase2 3 8 2 3" xfId="31210"/>
    <cellStyle name="20% - Ênfase3 3 8 2 3" xfId="31211"/>
    <cellStyle name="40% - Ênfase3 3 8 2 3" xfId="31212"/>
    <cellStyle name="20% - Ênfase4 3 8 2 3" xfId="31213"/>
    <cellStyle name="40% - Ênfase4 3 8 2 3" xfId="31214"/>
    <cellStyle name="20% - Ênfase5 3 8 2 3" xfId="31215"/>
    <cellStyle name="40% - Ênfase5 3 8 2 3" xfId="31216"/>
    <cellStyle name="20% - Ênfase6 3 8 2 3" xfId="31217"/>
    <cellStyle name="40% - Ênfase6 3 8 2 3" xfId="31218"/>
    <cellStyle name="Normal 8 12 2 2" xfId="31219"/>
    <cellStyle name="Nota 5 8 2 3" xfId="31220"/>
    <cellStyle name="20% - Ênfase1 4 8 2 3" xfId="31221"/>
    <cellStyle name="40% - Ênfase1 4 8 2 3" xfId="31222"/>
    <cellStyle name="20% - Ênfase2 4 8 2 3" xfId="31223"/>
    <cellStyle name="40% - Ênfase2 4 8 2 3" xfId="31224"/>
    <cellStyle name="20% - Ênfase3 4 8 2 3" xfId="31225"/>
    <cellStyle name="40% - Ênfase3 4 8 2 3" xfId="31226"/>
    <cellStyle name="20% - Ênfase4 4 8 2 3" xfId="31227"/>
    <cellStyle name="40% - Ênfase4 4 8 2 3" xfId="31228"/>
    <cellStyle name="20% - Ênfase5 4 8 2 3" xfId="31229"/>
    <cellStyle name="40% - Ênfase5 4 8 2 3" xfId="31230"/>
    <cellStyle name="20% - Ênfase6 4 8 2 3" xfId="31231"/>
    <cellStyle name="40% - Ênfase6 4 8 2 3" xfId="31232"/>
    <cellStyle name="20% - Ênfase1 6 5 2 3" xfId="31233"/>
    <cellStyle name="40% - Ênfase1 6 5 2 3" xfId="31234"/>
    <cellStyle name="20% - Ênfase2 6 5 2 3" xfId="31235"/>
    <cellStyle name="40% - Ênfase2 6 5 2 3" xfId="31236"/>
    <cellStyle name="20% - Ênfase3 6 5 2 3" xfId="31237"/>
    <cellStyle name="40% - Ênfase3 6 5 2 3" xfId="31238"/>
    <cellStyle name="20% - Ênfase4 6 5 2 3" xfId="31239"/>
    <cellStyle name="40% - Ênfase4 6 5 2 3" xfId="31240"/>
    <cellStyle name="20% - Ênfase5 6 5 2 3" xfId="31241"/>
    <cellStyle name="40% - Ênfase5 6 5 2 3" xfId="31242"/>
    <cellStyle name="20% - Ênfase6 6 5 2 3" xfId="31243"/>
    <cellStyle name="40% - Ênfase6 6 5 2 3" xfId="31244"/>
    <cellStyle name="Normal 4 3 5 2 3" xfId="31245"/>
    <cellStyle name="Nota 2 3 5 2 3" xfId="31246"/>
    <cellStyle name="Normal 5 3 5 2 3" xfId="31247"/>
    <cellStyle name="Nota 3 3 5 2 3" xfId="31248"/>
    <cellStyle name="20% - Ênfase1 2 3 5 2 3" xfId="31249"/>
    <cellStyle name="40% - Ênfase1 2 3 5 2 3" xfId="31250"/>
    <cellStyle name="20% - Ênfase2 2 3 5 2 3" xfId="31251"/>
    <cellStyle name="40% - Ênfase2 2 3 5 2 3" xfId="31252"/>
    <cellStyle name="20% - Ênfase3 2 3 5 2 3" xfId="31253"/>
    <cellStyle name="40% - Ênfase3 2 3 5 2 3" xfId="31254"/>
    <cellStyle name="20% - Ênfase4 2 3 5 2 3" xfId="31255"/>
    <cellStyle name="40% - Ênfase4 2 3 5 2 3" xfId="31256"/>
    <cellStyle name="20% - Ênfase5 2 3 5 2 3" xfId="31257"/>
    <cellStyle name="40% - Ênfase5 2 3 5 2 3" xfId="31258"/>
    <cellStyle name="20% - Ênfase6 2 3 5 2 3" xfId="31259"/>
    <cellStyle name="40% - Ênfase6 2 3 5 2 3" xfId="31260"/>
    <cellStyle name="Normal 7 3 6 2 2" xfId="31261"/>
    <cellStyle name="Nota 4 2 5 2 3" xfId="31262"/>
    <cellStyle name="20% - Ênfase1 3 2 5 2 3" xfId="31263"/>
    <cellStyle name="40% - Ênfase1 3 2 5 2 3" xfId="31264"/>
    <cellStyle name="20% - Ênfase2 3 2 5 2 3" xfId="31265"/>
    <cellStyle name="40% - Ênfase2 3 2 5 2 3" xfId="31266"/>
    <cellStyle name="20% - Ênfase3 3 2 5 2 3" xfId="31267"/>
    <cellStyle name="40% - Ênfase3 3 2 5 2 3" xfId="31268"/>
    <cellStyle name="20% - Ênfase4 3 2 5 2 3" xfId="31269"/>
    <cellStyle name="40% - Ênfase4 3 2 5 2 3" xfId="31270"/>
    <cellStyle name="20% - Ênfase5 3 2 5 2 3" xfId="31271"/>
    <cellStyle name="40% - Ênfase5 3 2 5 2 3" xfId="31272"/>
    <cellStyle name="20% - Ênfase6 3 2 5 2 3" xfId="31273"/>
    <cellStyle name="40% - Ênfase6 3 2 5 2 3" xfId="31274"/>
    <cellStyle name="Normal 8 2 6 2 2" xfId="31275"/>
    <cellStyle name="Nota 5 2 5 2 3" xfId="31276"/>
    <cellStyle name="20% - Ênfase1 4 2 5 2 3" xfId="31277"/>
    <cellStyle name="40% - Ênfase1 4 2 5 2 3" xfId="31278"/>
    <cellStyle name="20% - Ênfase2 4 2 5 2 3" xfId="31279"/>
    <cellStyle name="40% - Ênfase2 4 2 5 2 3" xfId="31280"/>
    <cellStyle name="20% - Ênfase3 4 2 5 2 3" xfId="31281"/>
    <cellStyle name="40% - Ênfase3 4 2 5 2 3" xfId="31282"/>
    <cellStyle name="20% - Ênfase4 4 2 5 2 3" xfId="31283"/>
    <cellStyle name="40% - Ênfase4 4 2 5 2 3" xfId="31284"/>
    <cellStyle name="20% - Ênfase5 4 2 5 2 3" xfId="31285"/>
    <cellStyle name="40% - Ênfase5 4 2 5 2 3" xfId="31286"/>
    <cellStyle name="20% - Ênfase6 4 2 5 2 3" xfId="31287"/>
    <cellStyle name="40% - Ênfase6 4 2 5 2 3" xfId="31288"/>
    <cellStyle name="20% - Ênfase1 8 4 2 2" xfId="31289"/>
    <cellStyle name="40% - Ênfase1 8 4 2 2" xfId="31290"/>
    <cellStyle name="20% - Ênfase2 8 4 2 2" xfId="31291"/>
    <cellStyle name="40% - Ênfase2 8 4 2 2" xfId="31292"/>
    <cellStyle name="20% - Ênfase3 8 4 2 2" xfId="31293"/>
    <cellStyle name="40% - Ênfase3 8 4 2 2" xfId="31294"/>
    <cellStyle name="20% - Ênfase4 8 4 2 2" xfId="31295"/>
    <cellStyle name="40% - Ênfase4 8 4 2 2" xfId="31296"/>
    <cellStyle name="20% - Ênfase5 8 4 2 2" xfId="31297"/>
    <cellStyle name="40% - Ênfase5 8 4 2 2" xfId="31298"/>
    <cellStyle name="20% - Ênfase6 8 4 2 2" xfId="31299"/>
    <cellStyle name="40% - Ênfase6 8 4 2 2" xfId="31300"/>
    <cellStyle name="Normal 4 5 4 2 2" xfId="31301"/>
    <cellStyle name="Nota 2 5 4 2 2" xfId="31302"/>
    <cellStyle name="Normal 5 5 4 2 2" xfId="31303"/>
    <cellStyle name="Nota 3 5 4 2 2" xfId="31304"/>
    <cellStyle name="20% - Ênfase1 2 5 4 2 2" xfId="31305"/>
    <cellStyle name="40% - Ênfase1 2 5 4 2 2" xfId="31306"/>
    <cellStyle name="20% - Ênfase2 2 5 4 2 2" xfId="31307"/>
    <cellStyle name="40% - Ênfase2 2 5 4 2 2" xfId="31308"/>
    <cellStyle name="20% - Ênfase3 2 5 4 2 2" xfId="31309"/>
    <cellStyle name="40% - Ênfase3 2 5 4 2 2" xfId="31310"/>
    <cellStyle name="20% - Ênfase4 2 5 4 2 2" xfId="31311"/>
    <cellStyle name="40% - Ênfase4 2 5 4 2 2" xfId="31312"/>
    <cellStyle name="20% - Ênfase5 2 5 4 2 2" xfId="31313"/>
    <cellStyle name="40% - Ênfase5 2 5 4 2 2" xfId="31314"/>
    <cellStyle name="20% - Ênfase6 2 5 4 2 2" xfId="31315"/>
    <cellStyle name="40% - Ênfase6 2 5 4 2 2" xfId="31316"/>
    <cellStyle name="Normal 7 5 4 2 2" xfId="31317"/>
    <cellStyle name="Nota 4 4 4 2 2" xfId="31318"/>
    <cellStyle name="20% - Ênfase1 3 4 4 2 2" xfId="31319"/>
    <cellStyle name="40% - Ênfase1 3 4 4 2 2" xfId="31320"/>
    <cellStyle name="20% - Ênfase2 3 4 4 2 2" xfId="31321"/>
    <cellStyle name="40% - Ênfase2 3 4 4 2 2" xfId="31322"/>
    <cellStyle name="20% - Ênfase3 3 4 4 2 2" xfId="31323"/>
    <cellStyle name="40% - Ênfase3 3 4 4 2 2" xfId="31324"/>
    <cellStyle name="20% - Ênfase4 3 4 4 2 2" xfId="31325"/>
    <cellStyle name="40% - Ênfase4 3 4 4 2 2" xfId="31326"/>
    <cellStyle name="20% - Ênfase5 3 4 4 2 2" xfId="31327"/>
    <cellStyle name="40% - Ênfase5 3 4 4 2 2" xfId="31328"/>
    <cellStyle name="20% - Ênfase6 3 4 4 2 2" xfId="31329"/>
    <cellStyle name="40% - Ênfase6 3 4 4 2 2" xfId="31330"/>
    <cellStyle name="Normal 8 4 5 2 2" xfId="31331"/>
    <cellStyle name="Nota 5 4 4 2 2" xfId="31332"/>
    <cellStyle name="20% - Ênfase1 4 4 4 2 2" xfId="31333"/>
    <cellStyle name="40% - Ênfase1 4 4 4 2 2" xfId="31334"/>
    <cellStyle name="20% - Ênfase2 4 4 4 2 2" xfId="31335"/>
    <cellStyle name="40% - Ênfase2 4 4 4 2 2" xfId="31336"/>
    <cellStyle name="20% - Ênfase3 4 4 4 2 2" xfId="31337"/>
    <cellStyle name="40% - Ênfase3 4 4 4 2 2" xfId="31338"/>
    <cellStyle name="20% - Ênfase4 4 4 4 2 2" xfId="31339"/>
    <cellStyle name="40% - Ênfase4 4 4 4 2 2" xfId="31340"/>
    <cellStyle name="20% - Ênfase5 4 4 4 2 2" xfId="31341"/>
    <cellStyle name="40% - Ênfase5 4 4 4 2 2" xfId="31342"/>
    <cellStyle name="20% - Ênfase6 4 4 4 2 2" xfId="31343"/>
    <cellStyle name="40% - Ênfase6 4 4 4 2 2" xfId="31344"/>
    <cellStyle name="Normal 3 3 4 2 3" xfId="31345"/>
    <cellStyle name="20% - Ênfase1 5 2 4 2 2" xfId="31346"/>
    <cellStyle name="40% - Ênfase1 5 2 4 2 2" xfId="31347"/>
    <cellStyle name="20% - Ênfase2 5 2 4 2 2" xfId="31348"/>
    <cellStyle name="40% - Ênfase2 5 2 4 2 2" xfId="31349"/>
    <cellStyle name="20% - Ênfase3 5 2 4 2 2" xfId="31350"/>
    <cellStyle name="40% - Ênfase3 5 2 4 2 2" xfId="31351"/>
    <cellStyle name="20% - Ênfase4 5 2 4 2 2" xfId="31352"/>
    <cellStyle name="40% - Ênfase4 5 2 4 2 2" xfId="31353"/>
    <cellStyle name="20% - Ênfase5 5 2 4 2 2" xfId="31354"/>
    <cellStyle name="40% - Ênfase5 5 2 4 2 2" xfId="31355"/>
    <cellStyle name="20% - Ênfase6 5 2 4 2 2" xfId="31356"/>
    <cellStyle name="40% - Ênfase6 5 2 4 2 2" xfId="31357"/>
    <cellStyle name="Normal 4 2 2 4 2 2" xfId="31358"/>
    <cellStyle name="Nota 2 2 2 4 2 2" xfId="31359"/>
    <cellStyle name="Normal 5 2 2 4 2 2" xfId="31360"/>
    <cellStyle name="Nota 3 2 2 4 2 2" xfId="31361"/>
    <cellStyle name="20% - Ênfase1 2 2 2 4 2 2" xfId="31362"/>
    <cellStyle name="40% - Ênfase1 2 2 2 4 2 2" xfId="31363"/>
    <cellStyle name="20% - Ênfase2 2 2 2 4 2 2" xfId="31364"/>
    <cellStyle name="40% - Ênfase2 2 2 2 4 2 2" xfId="31365"/>
    <cellStyle name="20% - Ênfase3 2 2 2 4 2 2" xfId="31366"/>
    <cellStyle name="40% - Ênfase3 2 2 2 4 2 2" xfId="31367"/>
    <cellStyle name="20% - Ênfase4 2 2 2 4 2 2" xfId="31368"/>
    <cellStyle name="40% - Ênfase4 2 2 2 4 2 2" xfId="31369"/>
    <cellStyle name="20% - Ênfase5 2 2 2 4 2 2" xfId="31370"/>
    <cellStyle name="40% - Ênfase5 2 2 2 4 2 2" xfId="31371"/>
    <cellStyle name="20% - Ênfase6 2 2 2 4 2 2" xfId="31372"/>
    <cellStyle name="40% - Ênfase6 2 2 2 4 2 2" xfId="31373"/>
    <cellStyle name="Normal 7 2 2 5 2 2" xfId="31374"/>
    <cellStyle name="Nota 4 3 4 2 3" xfId="31375"/>
    <cellStyle name="20% - Ênfase1 3 3 4 2 3" xfId="31376"/>
    <cellStyle name="40% - Ênfase1 3 3 4 2 3" xfId="31377"/>
    <cellStyle name="20% - Ênfase2 3 3 4 2 3" xfId="31378"/>
    <cellStyle name="40% - Ênfase2 3 3 4 2 3" xfId="31379"/>
    <cellStyle name="20% - Ênfase3 3 3 4 2 3" xfId="31380"/>
    <cellStyle name="40% - Ênfase3 3 3 4 2 3" xfId="31381"/>
    <cellStyle name="20% - Ênfase4 3 3 4 2 3" xfId="31382"/>
    <cellStyle name="40% - Ênfase4 3 3 4 2 3" xfId="31383"/>
    <cellStyle name="20% - Ênfase5 3 3 4 2 3" xfId="31384"/>
    <cellStyle name="40% - Ênfase5 3 3 4 2 3" xfId="31385"/>
    <cellStyle name="20% - Ênfase6 3 3 4 2 3" xfId="31386"/>
    <cellStyle name="40% - Ênfase6 3 3 4 2 3" xfId="31387"/>
    <cellStyle name="Normal 8 3 5 2 2" xfId="31388"/>
    <cellStyle name="Nota 5 3 4 2 3" xfId="31389"/>
    <cellStyle name="20% - Ênfase1 4 3 4 2 3" xfId="31390"/>
    <cellStyle name="40% - Ênfase1 4 3 4 2 3" xfId="31391"/>
    <cellStyle name="20% - Ênfase2 4 3 4 2 3" xfId="31392"/>
    <cellStyle name="40% - Ênfase2 4 3 4 2 3" xfId="31393"/>
    <cellStyle name="20% - Ênfase3 4 3 4 2 3" xfId="31394"/>
    <cellStyle name="40% - Ênfase3 4 3 4 2 3" xfId="31395"/>
    <cellStyle name="20% - Ênfase4 4 3 4 2 3" xfId="31396"/>
    <cellStyle name="40% - Ênfase4 4 3 4 2 3" xfId="31397"/>
    <cellStyle name="20% - Ênfase5 4 3 4 2 3" xfId="31398"/>
    <cellStyle name="40% - Ênfase5 4 3 4 2 3" xfId="31399"/>
    <cellStyle name="20% - Ênfase6 4 3 4 2 3" xfId="31400"/>
    <cellStyle name="40% - Ênfase6 4 3 4 2 3" xfId="31401"/>
    <cellStyle name="20% - Ênfase1 6 2 4 2 2" xfId="31402"/>
    <cellStyle name="40% - Ênfase1 6 2 4 2 2" xfId="31403"/>
    <cellStyle name="20% - Ênfase2 6 2 4 2 2" xfId="31404"/>
    <cellStyle name="40% - Ênfase2 6 2 4 2 2" xfId="31405"/>
    <cellStyle name="20% - Ênfase3 6 2 4 2 2" xfId="31406"/>
    <cellStyle name="40% - Ênfase3 6 2 4 2 2" xfId="31407"/>
    <cellStyle name="20% - Ênfase4 6 2 4 2 2" xfId="31408"/>
    <cellStyle name="40% - Ênfase4 6 2 4 2 2" xfId="31409"/>
    <cellStyle name="20% - Ênfase5 6 2 4 2 2" xfId="31410"/>
    <cellStyle name="40% - Ênfase5 6 2 4 2 2" xfId="31411"/>
    <cellStyle name="20% - Ênfase6 6 2 4 2 2" xfId="31412"/>
    <cellStyle name="40% - Ênfase6 6 2 4 2 2" xfId="31413"/>
    <cellStyle name="Normal 4 3 2 4 2 2" xfId="31414"/>
    <cellStyle name="Nota 2 3 2 4 2 2" xfId="31415"/>
    <cellStyle name="Normal 5 3 2 4 2 2" xfId="31416"/>
    <cellStyle name="Nota 3 3 2 4 2 2" xfId="31417"/>
    <cellStyle name="20% - Ênfase1 2 3 2 4 2 2" xfId="31418"/>
    <cellStyle name="40% - Ênfase1 2 3 2 4 2 2" xfId="31419"/>
    <cellStyle name="20% - Ênfase2 2 3 2 4 2 2" xfId="31420"/>
    <cellStyle name="40% - Ênfase2 2 3 2 4 2 2" xfId="31421"/>
    <cellStyle name="20% - Ênfase3 2 3 2 4 2 2" xfId="31422"/>
    <cellStyle name="40% - Ênfase3 2 3 2 4 2 2" xfId="31423"/>
    <cellStyle name="20% - Ênfase4 2 3 2 4 2 2" xfId="31424"/>
    <cellStyle name="40% - Ênfase4 2 3 2 4 2 2" xfId="31425"/>
    <cellStyle name="20% - Ênfase5 2 3 2 4 2 2" xfId="31426"/>
    <cellStyle name="40% - Ênfase5 2 3 2 4 2 2" xfId="31427"/>
    <cellStyle name="20% - Ênfase6 2 3 2 4 2 2" xfId="31428"/>
    <cellStyle name="40% - Ênfase6 2 3 2 4 2 2" xfId="31429"/>
    <cellStyle name="Normal 7 3 2 4 2 2" xfId="31430"/>
    <cellStyle name="Nota 4 2 2 4 2 2" xfId="31431"/>
    <cellStyle name="20% - Ênfase1 3 2 2 4 2 2" xfId="31432"/>
    <cellStyle name="40% - Ênfase1 3 2 2 4 2 2" xfId="31433"/>
    <cellStyle name="20% - Ênfase2 3 2 2 4 2 2" xfId="31434"/>
    <cellStyle name="40% - Ênfase2 3 2 2 4 2 2" xfId="31435"/>
    <cellStyle name="20% - Ênfase3 3 2 2 4 2 2" xfId="31436"/>
    <cellStyle name="40% - Ênfase3 3 2 2 4 2 2" xfId="31437"/>
    <cellStyle name="20% - Ênfase4 3 2 2 4 2 2" xfId="31438"/>
    <cellStyle name="40% - Ênfase4 3 2 2 4 2 2" xfId="31439"/>
    <cellStyle name="20% - Ênfase5 3 2 2 4 2 2" xfId="31440"/>
    <cellStyle name="40% - Ênfase5 3 2 2 4 2 2" xfId="31441"/>
    <cellStyle name="20% - Ênfase6 3 2 2 4 2 2" xfId="31442"/>
    <cellStyle name="40% - Ênfase6 3 2 2 4 2 2" xfId="31443"/>
    <cellStyle name="Normal 8 2 2 5 2 2" xfId="31444"/>
    <cellStyle name="Nota 5 2 2 4 2 2" xfId="31445"/>
    <cellStyle name="20% - Ênfase1 4 2 2 4 2 2" xfId="31446"/>
    <cellStyle name="40% - Ênfase1 4 2 2 4 2 2" xfId="31447"/>
    <cellStyle name="20% - Ênfase2 4 2 2 4 2 2" xfId="31448"/>
    <cellStyle name="40% - Ênfase2 4 2 2 4 2 2" xfId="31449"/>
    <cellStyle name="20% - Ênfase3 4 2 2 4 2 2" xfId="31450"/>
    <cellStyle name="40% - Ênfase3 4 2 2 4 2 2" xfId="31451"/>
    <cellStyle name="20% - Ênfase4 4 2 2 4 2 2" xfId="31452"/>
    <cellStyle name="40% - Ênfase4 4 2 2 4 2 2" xfId="31453"/>
    <cellStyle name="20% - Ênfase5 4 2 2 4 2 2" xfId="31454"/>
    <cellStyle name="40% - Ênfase5 4 2 2 4 2 2" xfId="31455"/>
    <cellStyle name="20% - Ênfase6 4 2 2 4 2 2" xfId="31456"/>
    <cellStyle name="40% - Ênfase6 4 2 2 4 2 2" xfId="31457"/>
    <cellStyle name="Normal 3 4 2 2 2" xfId="31458"/>
    <cellStyle name="20% - Ênfase1 5 3 2 2 2" xfId="31459"/>
    <cellStyle name="40% - Ênfase1 5 3 2 2 2" xfId="31460"/>
    <cellStyle name="20% - Ênfase2 5 3 2 2 2" xfId="31461"/>
    <cellStyle name="40% - Ênfase2 5 3 2 2 2" xfId="31462"/>
    <cellStyle name="20% - Ênfase3 5 3 2 2 2" xfId="31463"/>
    <cellStyle name="40% - Ênfase3 5 3 2 2 2" xfId="31464"/>
    <cellStyle name="20% - Ênfase4 5 3 2 2 2" xfId="31465"/>
    <cellStyle name="40% - Ênfase4 5 3 2 2 2" xfId="31466"/>
    <cellStyle name="20% - Ênfase5 5 3 2 2 2" xfId="31467"/>
    <cellStyle name="40% - Ênfase5 5 3 2 2 2" xfId="31468"/>
    <cellStyle name="20% - Ênfase6 5 3 2 2 2" xfId="31469"/>
    <cellStyle name="40% - Ênfase6 5 3 2 2 2" xfId="31470"/>
    <cellStyle name="Normal 4 2 3 2 2 2" xfId="31471"/>
    <cellStyle name="Nota 2 2 3 2 2 2" xfId="31472"/>
    <cellStyle name="Normal 5 2 3 2 2 2" xfId="31473"/>
    <cellStyle name="Nota 3 2 3 2 2 2" xfId="31474"/>
    <cellStyle name="20% - Ênfase1 2 2 3 2 2 2" xfId="31475"/>
    <cellStyle name="40% - Ênfase1 2 2 3 2 2 2" xfId="31476"/>
    <cellStyle name="20% - Ênfase2 2 2 3 2 2 2" xfId="31477"/>
    <cellStyle name="40% - Ênfase2 2 2 3 2 2 2" xfId="31478"/>
    <cellStyle name="20% - Ênfase3 2 2 3 2 2 2" xfId="31479"/>
    <cellStyle name="40% - Ênfase3 2 2 3 2 2 2" xfId="31480"/>
    <cellStyle name="20% - Ênfase4 2 2 3 2 2 2" xfId="31481"/>
    <cellStyle name="40% - Ênfase4 2 2 3 2 2 2" xfId="31482"/>
    <cellStyle name="20% - Ênfase5 2 2 3 2 2 2" xfId="31483"/>
    <cellStyle name="40% - Ênfase5 2 2 3 2 2 2" xfId="31484"/>
    <cellStyle name="20% - Ênfase6 2 2 3 2 2 2" xfId="31485"/>
    <cellStyle name="40% - Ênfase6 2 2 3 2 2 2" xfId="31486"/>
    <cellStyle name="Normal 7 2 3 2 2 2" xfId="31487"/>
    <cellStyle name="Nota 4 5 2 2 2" xfId="31488"/>
    <cellStyle name="20% - Ênfase1 3 5 2 2 2" xfId="31489"/>
    <cellStyle name="40% - Ênfase1 3 5 2 2 2" xfId="31490"/>
    <cellStyle name="20% - Ênfase2 3 5 2 2 2" xfId="31491"/>
    <cellStyle name="40% - Ênfase2 3 5 2 2 2" xfId="31492"/>
    <cellStyle name="20% - Ênfase3 3 5 2 2 2" xfId="31493"/>
    <cellStyle name="40% - Ênfase3 3 5 2 2 2" xfId="31494"/>
    <cellStyle name="20% - Ênfase4 3 5 2 2 2" xfId="31495"/>
    <cellStyle name="40% - Ênfase4 3 5 2 2 2" xfId="31496"/>
    <cellStyle name="20% - Ênfase5 3 5 2 2 2" xfId="31497"/>
    <cellStyle name="40% - Ênfase5 3 5 2 2 2" xfId="31498"/>
    <cellStyle name="20% - Ênfase6 3 5 2 2 2" xfId="31499"/>
    <cellStyle name="40% - Ênfase6 3 5 2 2 2" xfId="31500"/>
    <cellStyle name="Normal 8 5 5 2 2" xfId="31501"/>
    <cellStyle name="Nota 5 5 2 2 2" xfId="31502"/>
    <cellStyle name="20% - Ênfase1 4 5 2 2 2" xfId="31503"/>
    <cellStyle name="40% - Ênfase1 4 5 2 2 2" xfId="31504"/>
    <cellStyle name="20% - Ênfase2 4 5 2 2 2" xfId="31505"/>
    <cellStyle name="40% - Ênfase2 4 5 2 2 2" xfId="31506"/>
    <cellStyle name="20% - Ênfase3 4 5 2 2 2" xfId="31507"/>
    <cellStyle name="40% - Ênfase3 4 5 2 2 2" xfId="31508"/>
    <cellStyle name="20% - Ênfase4 4 5 2 2 2" xfId="31509"/>
    <cellStyle name="40% - Ênfase4 4 5 2 2 2" xfId="31510"/>
    <cellStyle name="20% - Ênfase5 4 5 2 2 2" xfId="31511"/>
    <cellStyle name="40% - Ênfase5 4 5 2 2 2" xfId="31512"/>
    <cellStyle name="20% - Ênfase6 4 5 2 2 2" xfId="31513"/>
    <cellStyle name="40% - Ênfase6 4 5 2 2 2" xfId="31514"/>
    <cellStyle name="20% - Ênfase1 6 3 2 2 2" xfId="31515"/>
    <cellStyle name="40% - Ênfase1 6 3 2 2 2" xfId="31516"/>
    <cellStyle name="20% - Ênfase2 6 3 2 2 2" xfId="31517"/>
    <cellStyle name="40% - Ênfase2 6 3 2 2 2" xfId="31518"/>
    <cellStyle name="20% - Ênfase3 6 3 2 2 2" xfId="31519"/>
    <cellStyle name="40% - Ênfase3 6 3 2 2 2" xfId="31520"/>
    <cellStyle name="20% - Ênfase4 6 3 2 2 2" xfId="31521"/>
    <cellStyle name="40% - Ênfase4 6 3 2 2 2" xfId="31522"/>
    <cellStyle name="20% - Ênfase5 6 3 2 2 2" xfId="31523"/>
    <cellStyle name="40% - Ênfase5 6 3 2 2 2" xfId="31524"/>
    <cellStyle name="20% - Ênfase6 6 3 2 2 2" xfId="31525"/>
    <cellStyle name="40% - Ênfase6 6 3 2 2 2" xfId="31526"/>
    <cellStyle name="Normal 4 3 3 2 2 2" xfId="31527"/>
    <cellStyle name="Nota 2 3 3 2 2 2" xfId="31528"/>
    <cellStyle name="Normal 5 3 3 2 2 2" xfId="31529"/>
    <cellStyle name="Nota 3 3 3 2 2 2" xfId="31530"/>
    <cellStyle name="20% - Ênfase1 2 3 3 2 2 2" xfId="31531"/>
    <cellStyle name="40% - Ênfase1 2 3 3 2 2 2" xfId="31532"/>
    <cellStyle name="20% - Ênfase2 2 3 3 2 2 2" xfId="31533"/>
    <cellStyle name="40% - Ênfase2 2 3 3 2 2 2" xfId="31534"/>
    <cellStyle name="20% - Ênfase3 2 3 3 2 2 2" xfId="31535"/>
    <cellStyle name="40% - Ênfase3 2 3 3 2 2 2" xfId="31536"/>
    <cellStyle name="20% - Ênfase4 2 3 3 2 2 2" xfId="31537"/>
    <cellStyle name="40% - Ênfase4 2 3 3 2 2 2" xfId="31538"/>
    <cellStyle name="20% - Ênfase5 2 3 3 2 2 2" xfId="31539"/>
    <cellStyle name="40% - Ênfase5 2 3 3 2 2 2" xfId="31540"/>
    <cellStyle name="20% - Ênfase6 2 3 3 2 2 2" xfId="31541"/>
    <cellStyle name="40% - Ênfase6 2 3 3 2 2 2" xfId="31542"/>
    <cellStyle name="Normal 7 3 3 2 2 2" xfId="31543"/>
    <cellStyle name="Nota 4 2 3 2 2 2" xfId="31544"/>
    <cellStyle name="20% - Ênfase1 3 2 3 2 2 2" xfId="31545"/>
    <cellStyle name="40% - Ênfase1 3 2 3 2 2 2" xfId="31546"/>
    <cellStyle name="20% - Ênfase2 3 2 3 2 2 2" xfId="31547"/>
    <cellStyle name="40% - Ênfase2 3 2 3 2 2 2" xfId="31548"/>
    <cellStyle name="20% - Ênfase3 3 2 3 2 2 2" xfId="31549"/>
    <cellStyle name="40% - Ênfase3 3 2 3 2 2 2" xfId="31550"/>
    <cellStyle name="20% - Ênfase4 3 2 3 2 2 2" xfId="31551"/>
    <cellStyle name="40% - Ênfase4 3 2 3 2 2 2" xfId="31552"/>
    <cellStyle name="20% - Ênfase5 3 2 3 2 2 2" xfId="31553"/>
    <cellStyle name="40% - Ênfase5 3 2 3 2 2 2" xfId="31554"/>
    <cellStyle name="20% - Ênfase6 3 2 3 2 2 2" xfId="31555"/>
    <cellStyle name="40% - Ênfase6 3 2 3 2 2 2" xfId="31556"/>
    <cellStyle name="Normal 8 2 3 2 2 2" xfId="31557"/>
    <cellStyle name="Nota 5 2 3 2 2 2" xfId="31558"/>
    <cellStyle name="20% - Ênfase1 4 2 3 2 2 2" xfId="31559"/>
    <cellStyle name="40% - Ênfase1 4 2 3 2 2 2" xfId="31560"/>
    <cellStyle name="20% - Ênfase2 4 2 3 2 2 2" xfId="31561"/>
    <cellStyle name="40% - Ênfase2 4 2 3 2 2 2" xfId="31562"/>
    <cellStyle name="20% - Ênfase3 4 2 3 2 2 2" xfId="31563"/>
    <cellStyle name="40% - Ênfase3 4 2 3 2 2 2" xfId="31564"/>
    <cellStyle name="20% - Ênfase4 4 2 3 2 2 2" xfId="31565"/>
    <cellStyle name="40% - Ênfase4 4 2 3 2 2 2" xfId="31566"/>
    <cellStyle name="20% - Ênfase5 4 2 3 2 2 2" xfId="31567"/>
    <cellStyle name="40% - Ênfase5 4 2 3 2 2 2" xfId="31568"/>
    <cellStyle name="20% - Ênfase6 4 2 3 2 2 2" xfId="31569"/>
    <cellStyle name="40% - Ênfase6 4 2 3 2 2 2" xfId="31570"/>
    <cellStyle name="20% - Ênfase1 8 2 2 2 2" xfId="31571"/>
    <cellStyle name="40% - Ênfase1 8 2 2 2 2" xfId="31572"/>
    <cellStyle name="20% - Ênfase2 8 2 2 2 2" xfId="31573"/>
    <cellStyle name="40% - Ênfase2 8 2 2 2 2" xfId="31574"/>
    <cellStyle name="20% - Ênfase3 8 2 2 2 2" xfId="31575"/>
    <cellStyle name="40% - Ênfase3 8 2 2 2 2" xfId="31576"/>
    <cellStyle name="20% - Ênfase4 8 2 2 2 2" xfId="31577"/>
    <cellStyle name="40% - Ênfase4 8 2 2 2 2" xfId="31578"/>
    <cellStyle name="20% - Ênfase5 8 2 2 2 2" xfId="31579"/>
    <cellStyle name="40% - Ênfase5 8 2 2 2 2" xfId="31580"/>
    <cellStyle name="20% - Ênfase6 8 2 2 2 2" xfId="31581"/>
    <cellStyle name="40% - Ênfase6 8 2 2 2 2" xfId="31582"/>
    <cellStyle name="Normal 4 5 2 2 2 2" xfId="31583"/>
    <cellStyle name="Nota 2 5 2 2 2 2" xfId="31584"/>
    <cellStyle name="Normal 5 5 2 2 2 2" xfId="31585"/>
    <cellStyle name="Nota 3 5 2 2 2 2" xfId="31586"/>
    <cellStyle name="20% - Ênfase1 2 5 2 2 2 2" xfId="31587"/>
    <cellStyle name="40% - Ênfase1 2 5 2 2 2 2" xfId="31588"/>
    <cellStyle name="20% - Ênfase2 2 5 2 2 2 2" xfId="31589"/>
    <cellStyle name="40% - Ênfase2 2 5 2 2 2 2" xfId="31590"/>
    <cellStyle name="20% - Ênfase3 2 5 2 2 2 2" xfId="31591"/>
    <cellStyle name="40% - Ênfase3 2 5 2 2 2 2" xfId="31592"/>
    <cellStyle name="20% - Ênfase4 2 5 2 2 2 2" xfId="31593"/>
    <cellStyle name="40% - Ênfase4 2 5 2 2 2 2" xfId="31594"/>
    <cellStyle name="20% - Ênfase5 2 5 2 2 2 2" xfId="31595"/>
    <cellStyle name="40% - Ênfase5 2 5 2 2 2 2" xfId="31596"/>
    <cellStyle name="20% - Ênfase6 2 5 2 2 2 2" xfId="31597"/>
    <cellStyle name="40% - Ênfase6 2 5 2 2 2 2" xfId="31598"/>
    <cellStyle name="Normal 7 5 2 2 2 2" xfId="31599"/>
    <cellStyle name="Nota 4 4 2 2 2 2" xfId="31600"/>
    <cellStyle name="20% - Ênfase1 3 4 2 2 2 2" xfId="31601"/>
    <cellStyle name="40% - Ênfase1 3 4 2 2 2 2" xfId="31602"/>
    <cellStyle name="20% - Ênfase2 3 4 2 2 2 2" xfId="31603"/>
    <cellStyle name="40% - Ênfase2 3 4 2 2 2 2" xfId="31604"/>
    <cellStyle name="20% - Ênfase3 3 4 2 2 2 2" xfId="31605"/>
    <cellStyle name="40% - Ênfase3 3 4 2 2 2 2" xfId="31606"/>
    <cellStyle name="20% - Ênfase4 3 4 2 2 2 2" xfId="31607"/>
    <cellStyle name="40% - Ênfase4 3 4 2 2 2 2" xfId="31608"/>
    <cellStyle name="20% - Ênfase5 3 4 2 2 2 2" xfId="31609"/>
    <cellStyle name="40% - Ênfase5 3 4 2 2 2 2" xfId="31610"/>
    <cellStyle name="20% - Ênfase6 3 4 2 2 2 2" xfId="31611"/>
    <cellStyle name="40% - Ênfase6 3 4 2 2 2 2" xfId="31612"/>
    <cellStyle name="Normal 8 4 2 3 2 2" xfId="31613"/>
    <cellStyle name="Nota 5 4 2 2 2 2" xfId="31614"/>
    <cellStyle name="20% - Ênfase1 4 4 2 2 2 2" xfId="31615"/>
    <cellStyle name="40% - Ênfase1 4 4 2 2 2 2" xfId="31616"/>
    <cellStyle name="20% - Ênfase2 4 4 2 2 2 2" xfId="31617"/>
    <cellStyle name="40% - Ênfase2 4 4 2 2 2 2" xfId="31618"/>
    <cellStyle name="20% - Ênfase3 4 4 2 2 2 2" xfId="31619"/>
    <cellStyle name="40% - Ênfase3 4 4 2 2 2 2" xfId="31620"/>
    <cellStyle name="20% - Ênfase4 4 4 2 2 2 2" xfId="31621"/>
    <cellStyle name="40% - Ênfase4 4 4 2 2 2 2" xfId="31622"/>
    <cellStyle name="20% - Ênfase5 4 4 2 2 2 2" xfId="31623"/>
    <cellStyle name="40% - Ênfase5 4 4 2 2 2 2" xfId="31624"/>
    <cellStyle name="20% - Ênfase6 4 4 2 2 2 2" xfId="31625"/>
    <cellStyle name="40% - Ênfase6 4 4 2 2 2 2" xfId="31626"/>
    <cellStyle name="Normal 3 3 2 2 2 2" xfId="31627"/>
    <cellStyle name="20% - Ênfase1 5 2 2 2 2 2" xfId="31628"/>
    <cellStyle name="40% - Ênfase1 5 2 2 2 2 2" xfId="31629"/>
    <cellStyle name="20% - Ênfase2 5 2 2 2 2 2" xfId="31630"/>
    <cellStyle name="40% - Ênfase2 5 2 2 2 2 2" xfId="31631"/>
    <cellStyle name="20% - Ênfase3 5 2 2 2 2 2" xfId="31632"/>
    <cellStyle name="40% - Ênfase3 5 2 2 2 2 2" xfId="31633"/>
    <cellStyle name="20% - Ênfase4 5 2 2 2 2 2" xfId="31634"/>
    <cellStyle name="40% - Ênfase4 5 2 2 2 2 2" xfId="31635"/>
    <cellStyle name="20% - Ênfase5 5 2 2 2 2 2" xfId="31636"/>
    <cellStyle name="40% - Ênfase5 5 2 2 2 2 2" xfId="31637"/>
    <cellStyle name="20% - Ênfase6 5 2 2 2 2 2" xfId="31638"/>
    <cellStyle name="40% - Ênfase6 5 2 2 2 2 2" xfId="31639"/>
    <cellStyle name="Normal 4 2 2 2 2 2 2" xfId="31640"/>
    <cellStyle name="Nota 2 2 2 2 2 2 2" xfId="31641"/>
    <cellStyle name="Normal 5 2 2 2 2 2 2" xfId="31642"/>
    <cellStyle name="Nota 3 2 2 2 2 2 2" xfId="31643"/>
    <cellStyle name="20% - Ênfase1 2 2 2 2 2 2 2" xfId="31644"/>
    <cellStyle name="40% - Ênfase1 2 2 2 2 2 2 2" xfId="31645"/>
    <cellStyle name="20% - Ênfase2 2 2 2 2 2 2 2" xfId="31646"/>
    <cellStyle name="40% - Ênfase2 2 2 2 2 2 2 2" xfId="31647"/>
    <cellStyle name="20% - Ênfase3 2 2 2 2 2 2 2" xfId="31648"/>
    <cellStyle name="40% - Ênfase3 2 2 2 2 2 2 2" xfId="31649"/>
    <cellStyle name="20% - Ênfase4 2 2 2 2 2 2 2" xfId="31650"/>
    <cellStyle name="40% - Ênfase4 2 2 2 2 2 2 2" xfId="31651"/>
    <cellStyle name="20% - Ênfase5 2 2 2 2 2 2 2" xfId="31652"/>
    <cellStyle name="40% - Ênfase5 2 2 2 2 2 2 2" xfId="31653"/>
    <cellStyle name="20% - Ênfase6 2 2 2 2 2 2 2" xfId="31654"/>
    <cellStyle name="40% - Ênfase6 2 2 2 2 2 2 2" xfId="31655"/>
    <cellStyle name="Normal 7 2 2 2 2 2 2" xfId="31656"/>
    <cellStyle name="Nota 4 3 2 2 2 2" xfId="31657"/>
    <cellStyle name="20% - Ênfase1 3 3 2 2 2 2" xfId="31658"/>
    <cellStyle name="40% - Ênfase1 3 3 2 2 2 2" xfId="31659"/>
    <cellStyle name="20% - Ênfase2 3 3 2 2 2 2" xfId="31660"/>
    <cellStyle name="40% - Ênfase2 3 3 2 2 2 2" xfId="31661"/>
    <cellStyle name="20% - Ênfase3 3 3 2 2 2 2" xfId="31662"/>
    <cellStyle name="40% - Ênfase3 3 3 2 2 2 2" xfId="31663"/>
    <cellStyle name="20% - Ênfase4 3 3 2 2 2 2" xfId="31664"/>
    <cellStyle name="40% - Ênfase4 3 3 2 2 2 2" xfId="31665"/>
    <cellStyle name="20% - Ênfase5 3 3 2 2 2 2" xfId="31666"/>
    <cellStyle name="40% - Ênfase5 3 3 2 2 2 2" xfId="31667"/>
    <cellStyle name="20% - Ênfase6 3 3 2 2 2 2" xfId="31668"/>
    <cellStyle name="40% - Ênfase6 3 3 2 2 2 2" xfId="31669"/>
    <cellStyle name="Normal 8 3 2 3 2 2" xfId="31670"/>
    <cellStyle name="Nota 5 3 2 2 2 2" xfId="31671"/>
    <cellStyle name="20% - Ênfase1 4 3 2 2 2 2" xfId="31672"/>
    <cellStyle name="40% - Ênfase1 4 3 2 2 2 2" xfId="31673"/>
    <cellStyle name="20% - Ênfase2 4 3 2 2 2 2" xfId="31674"/>
    <cellStyle name="40% - Ênfase2 4 3 2 2 2 2" xfId="31675"/>
    <cellStyle name="20% - Ênfase3 4 3 2 2 2 2" xfId="31676"/>
    <cellStyle name="40% - Ênfase3 4 3 2 2 2 2" xfId="31677"/>
    <cellStyle name="20% - Ênfase4 4 3 2 2 2 2" xfId="31678"/>
    <cellStyle name="40% - Ênfase4 4 3 2 2 2 2" xfId="31679"/>
    <cellStyle name="20% - Ênfase5 4 3 2 2 2 2" xfId="31680"/>
    <cellStyle name="40% - Ênfase5 4 3 2 2 2 2" xfId="31681"/>
    <cellStyle name="20% - Ênfase6 4 3 2 2 2 2" xfId="31682"/>
    <cellStyle name="40% - Ênfase6 4 3 2 2 2 2" xfId="31683"/>
    <cellStyle name="20% - Ênfase1 6 2 2 2 2 2" xfId="31684"/>
    <cellStyle name="40% - Ênfase1 6 2 2 2 2 2" xfId="31685"/>
    <cellStyle name="20% - Ênfase2 6 2 2 2 2 2" xfId="31686"/>
    <cellStyle name="40% - Ênfase2 6 2 2 2 2 2" xfId="31687"/>
    <cellStyle name="20% - Ênfase3 6 2 2 2 2 2" xfId="31688"/>
    <cellStyle name="40% - Ênfase3 6 2 2 2 2 2" xfId="31689"/>
    <cellStyle name="20% - Ênfase4 6 2 2 2 2 2" xfId="31690"/>
    <cellStyle name="40% - Ênfase4 6 2 2 2 2 2" xfId="31691"/>
    <cellStyle name="20% - Ênfase5 6 2 2 2 2 2" xfId="31692"/>
    <cellStyle name="40% - Ênfase5 6 2 2 2 2 2" xfId="31693"/>
    <cellStyle name="20% - Ênfase6 6 2 2 2 2 2" xfId="31694"/>
    <cellStyle name="40% - Ênfase6 6 2 2 2 2 2" xfId="31695"/>
    <cellStyle name="Normal 4 3 2 2 2 2 2" xfId="31696"/>
    <cellStyle name="Nota 2 3 2 2 2 2 2" xfId="31697"/>
    <cellStyle name="Normal 5 3 2 2 2 2 2" xfId="31698"/>
    <cellStyle name="Nota 3 3 2 2 2 2 2" xfId="31699"/>
    <cellStyle name="20% - Ênfase1 2 3 2 2 2 2 2" xfId="31700"/>
    <cellStyle name="40% - Ênfase1 2 3 2 2 2 2 2" xfId="31701"/>
    <cellStyle name="20% - Ênfase2 2 3 2 2 2 2 2" xfId="31702"/>
    <cellStyle name="40% - Ênfase2 2 3 2 2 2 2 2" xfId="31703"/>
    <cellStyle name="20% - Ênfase3 2 3 2 2 2 2 2" xfId="31704"/>
    <cellStyle name="40% - Ênfase3 2 3 2 2 2 2 2" xfId="31705"/>
    <cellStyle name="20% - Ênfase4 2 3 2 2 2 2 2" xfId="31706"/>
    <cellStyle name="40% - Ênfase4 2 3 2 2 2 2 2" xfId="31707"/>
    <cellStyle name="20% - Ênfase5 2 3 2 2 2 2 2" xfId="31708"/>
    <cellStyle name="40% - Ênfase5 2 3 2 2 2 2 2" xfId="31709"/>
    <cellStyle name="20% - Ênfase6 2 3 2 2 2 2 2" xfId="31710"/>
    <cellStyle name="40% - Ênfase6 2 3 2 2 2 2 2" xfId="31711"/>
    <cellStyle name="Normal 7 3 2 2 2 2 2" xfId="31712"/>
    <cellStyle name="Nota 4 2 2 2 2 2 2" xfId="31713"/>
    <cellStyle name="20% - Ênfase1 3 2 2 2 2 2 2" xfId="31714"/>
    <cellStyle name="40% - Ênfase1 3 2 2 2 2 2 2" xfId="31715"/>
    <cellStyle name="20% - Ênfase2 3 2 2 2 2 2 2" xfId="31716"/>
    <cellStyle name="40% - Ênfase2 3 2 2 2 2 2 2" xfId="31717"/>
    <cellStyle name="20% - Ênfase3 3 2 2 2 2 2 2" xfId="31718"/>
    <cellStyle name="40% - Ênfase3 3 2 2 2 2 2 2" xfId="31719"/>
    <cellStyle name="20% - Ênfase4 3 2 2 2 2 2 2" xfId="31720"/>
    <cellStyle name="40% - Ênfase4 3 2 2 2 2 2 2" xfId="31721"/>
    <cellStyle name="20% - Ênfase5 3 2 2 2 2 2 2" xfId="31722"/>
    <cellStyle name="40% - Ênfase5 3 2 2 2 2 2 2" xfId="31723"/>
    <cellStyle name="20% - Ênfase6 3 2 2 2 2 2 2" xfId="31724"/>
    <cellStyle name="40% - Ênfase6 3 2 2 2 2 2 2" xfId="31725"/>
    <cellStyle name="Normal 8 2 2 2 2 2 2" xfId="31726"/>
    <cellStyle name="Nota 5 2 2 2 2 2 2" xfId="31727"/>
    <cellStyle name="20% - Ênfase1 4 2 2 2 2 2 2" xfId="31728"/>
    <cellStyle name="40% - Ênfase1 4 2 2 2 2 2 2" xfId="31729"/>
    <cellStyle name="20% - Ênfase2 4 2 2 2 2 2 2" xfId="31730"/>
    <cellStyle name="40% - Ênfase2 4 2 2 2 2 2 2" xfId="31731"/>
    <cellStyle name="20% - Ênfase3 4 2 2 2 2 2 2" xfId="31732"/>
    <cellStyle name="40% - Ênfase3 4 2 2 2 2 2 2" xfId="31733"/>
    <cellStyle name="20% - Ênfase4 4 2 2 2 2 2 2" xfId="31734"/>
    <cellStyle name="40% - Ênfase4 4 2 2 2 2 2 2" xfId="31735"/>
    <cellStyle name="20% - Ênfase5 4 2 2 2 2 2 2" xfId="31736"/>
    <cellStyle name="40% - Ênfase5 4 2 2 2 2 2 2" xfId="31737"/>
    <cellStyle name="20% - Ênfase6 4 2 2 2 2 2 2" xfId="31738"/>
    <cellStyle name="40% - Ênfase6 4 2 2 2 2 2 2" xfId="31739"/>
    <cellStyle name="Normal 3 5 2 2 2" xfId="31740"/>
    <cellStyle name="20% - Ênfase1 5 4 2 2 2" xfId="31741"/>
    <cellStyle name="40% - Ênfase1 5 4 2 2 2" xfId="31742"/>
    <cellStyle name="20% - Ênfase2 5 4 2 2 2" xfId="31743"/>
    <cellStyle name="40% - Ênfase2 5 4 2 2 2" xfId="31744"/>
    <cellStyle name="20% - Ênfase3 5 4 2 2 2" xfId="31745"/>
    <cellStyle name="40% - Ênfase3 5 4 2 2 2" xfId="31746"/>
    <cellStyle name="20% - Ênfase4 5 4 2 2 2" xfId="31747"/>
    <cellStyle name="40% - Ênfase4 5 4 2 2 2" xfId="31748"/>
    <cellStyle name="20% - Ênfase5 5 4 2 2 2" xfId="31749"/>
    <cellStyle name="40% - Ênfase5 5 4 2 2 2" xfId="31750"/>
    <cellStyle name="20% - Ênfase6 5 4 2 2 2" xfId="31751"/>
    <cellStyle name="40% - Ênfase6 5 4 2 2 2" xfId="31752"/>
    <cellStyle name="Normal 4 2 4 2 2 2" xfId="31753"/>
    <cellStyle name="Nota 2 2 4 2 2 2" xfId="31754"/>
    <cellStyle name="Normal 5 2 4 2 2 2" xfId="31755"/>
    <cellStyle name="Nota 3 2 4 2 2 2" xfId="31756"/>
    <cellStyle name="20% - Ênfase1 2 2 4 2 2 2" xfId="31757"/>
    <cellStyle name="40% - Ênfase1 2 2 4 2 2 2" xfId="31758"/>
    <cellStyle name="20% - Ênfase2 2 2 4 2 2 2" xfId="31759"/>
    <cellStyle name="40% - Ênfase2 2 2 4 2 2 2" xfId="31760"/>
    <cellStyle name="20% - Ênfase3 2 2 4 2 2 2" xfId="31761"/>
    <cellStyle name="40% - Ênfase3 2 2 4 2 2 2" xfId="31762"/>
    <cellStyle name="20% - Ênfase4 2 2 4 2 2 2" xfId="31763"/>
    <cellStyle name="40% - Ênfase4 2 2 4 2 2 2" xfId="31764"/>
    <cellStyle name="20% - Ênfase5 2 2 4 2 2 2" xfId="31765"/>
    <cellStyle name="40% - Ênfase5 2 2 4 2 2 2" xfId="31766"/>
    <cellStyle name="20% - Ênfase6 2 2 4 2 2 2" xfId="31767"/>
    <cellStyle name="40% - Ênfase6 2 2 4 2 2 2" xfId="31768"/>
    <cellStyle name="Normal 7 2 4 2 2 2" xfId="31769"/>
    <cellStyle name="Nota 4 6 2 2 2" xfId="31770"/>
    <cellStyle name="20% - Ênfase1 3 6 2 2 2" xfId="31771"/>
    <cellStyle name="40% - Ênfase1 3 6 2 2 2" xfId="31772"/>
    <cellStyle name="20% - Ênfase2 3 6 2 2 2" xfId="31773"/>
    <cellStyle name="40% - Ênfase2 3 6 2 2 2" xfId="31774"/>
    <cellStyle name="20% - Ênfase3 3 6 2 2 2" xfId="31775"/>
    <cellStyle name="40% - Ênfase3 3 6 2 2 2" xfId="31776"/>
    <cellStyle name="20% - Ênfase4 3 6 2 2 2" xfId="31777"/>
    <cellStyle name="40% - Ênfase4 3 6 2 2 2" xfId="31778"/>
    <cellStyle name="20% - Ênfase5 3 6 2 2 2" xfId="31779"/>
    <cellStyle name="40% - Ênfase5 3 6 2 2 2" xfId="31780"/>
    <cellStyle name="20% - Ênfase6 3 6 2 2 2" xfId="31781"/>
    <cellStyle name="40% - Ênfase6 3 6 2 2 2" xfId="31782"/>
    <cellStyle name="Normal 8 6 3 2 2" xfId="31783"/>
    <cellStyle name="Nota 5 6 2 2 2" xfId="31784"/>
    <cellStyle name="20% - Ênfase1 4 6 2 2 2" xfId="31785"/>
    <cellStyle name="40% - Ênfase1 4 6 2 2 2" xfId="31786"/>
    <cellStyle name="20% - Ênfase2 4 6 2 2 2" xfId="31787"/>
    <cellStyle name="40% - Ênfase2 4 6 2 2 2" xfId="31788"/>
    <cellStyle name="20% - Ênfase3 4 6 2 2 2" xfId="31789"/>
    <cellStyle name="40% - Ênfase3 4 6 2 2 2" xfId="31790"/>
    <cellStyle name="20% - Ênfase4 4 6 2 2 2" xfId="31791"/>
    <cellStyle name="40% - Ênfase4 4 6 2 2 2" xfId="31792"/>
    <cellStyle name="20% - Ênfase5 4 6 2 2 2" xfId="31793"/>
    <cellStyle name="40% - Ênfase5 4 6 2 2 2" xfId="31794"/>
    <cellStyle name="20% - Ênfase6 4 6 2 2 2" xfId="31795"/>
    <cellStyle name="40% - Ênfase6 4 6 2 2 2" xfId="31796"/>
    <cellStyle name="20% - Ênfase1 6 4 2 2 2" xfId="31797"/>
    <cellStyle name="40% - Ênfase1 6 4 2 2 2" xfId="31798"/>
    <cellStyle name="20% - Ênfase2 6 4 2 2 2" xfId="31799"/>
    <cellStyle name="40% - Ênfase2 6 4 2 2 2" xfId="31800"/>
    <cellStyle name="20% - Ênfase3 6 4 2 2 2" xfId="31801"/>
    <cellStyle name="40% - Ênfase3 6 4 2 2 2" xfId="31802"/>
    <cellStyle name="20% - Ênfase4 6 4 2 2 2" xfId="31803"/>
    <cellStyle name="40% - Ênfase4 6 4 2 2 2" xfId="31804"/>
    <cellStyle name="20% - Ênfase5 6 4 2 2 2" xfId="31805"/>
    <cellStyle name="40% - Ênfase5 6 4 2 2 2" xfId="31806"/>
    <cellStyle name="20% - Ênfase6 6 4 2 2 2" xfId="31807"/>
    <cellStyle name="40% - Ênfase6 6 4 2 2 2" xfId="31808"/>
    <cellStyle name="Normal 4 3 4 2 2 2" xfId="31809"/>
    <cellStyle name="Nota 2 3 4 2 2 2" xfId="31810"/>
    <cellStyle name="Normal 5 3 4 2 2 2" xfId="31811"/>
    <cellStyle name="Nota 3 3 4 2 2 2" xfId="31812"/>
    <cellStyle name="20% - Ênfase1 2 3 4 2 2 2" xfId="31813"/>
    <cellStyle name="40% - Ênfase1 2 3 4 2 2 2" xfId="31814"/>
    <cellStyle name="20% - Ênfase2 2 3 4 2 2 2" xfId="31815"/>
    <cellStyle name="40% - Ênfase2 2 3 4 2 2 2" xfId="31816"/>
    <cellStyle name="20% - Ênfase3 2 3 4 2 2 2" xfId="31817"/>
    <cellStyle name="40% - Ênfase3 2 3 4 2 2 2" xfId="31818"/>
    <cellStyle name="20% - Ênfase4 2 3 4 2 2 2" xfId="31819"/>
    <cellStyle name="40% - Ênfase4 2 3 4 2 2 2" xfId="31820"/>
    <cellStyle name="20% - Ênfase5 2 3 4 2 2 2" xfId="31821"/>
    <cellStyle name="40% - Ênfase5 2 3 4 2 2 2" xfId="31822"/>
    <cellStyle name="20% - Ênfase6 2 3 4 2 2 2" xfId="31823"/>
    <cellStyle name="40% - Ênfase6 2 3 4 2 2 2" xfId="31824"/>
    <cellStyle name="Normal 7 3 4 2 2 2" xfId="31825"/>
    <cellStyle name="Nota 4 2 4 2 2 2" xfId="31826"/>
    <cellStyle name="20% - Ênfase1 3 2 4 2 2 2" xfId="31827"/>
    <cellStyle name="40% - Ênfase1 3 2 4 2 2 2" xfId="31828"/>
    <cellStyle name="20% - Ênfase2 3 2 4 2 2 2" xfId="31829"/>
    <cellStyle name="40% - Ênfase2 3 2 4 2 2 2" xfId="31830"/>
    <cellStyle name="20% - Ênfase3 3 2 4 2 2 2" xfId="31831"/>
    <cellStyle name="40% - Ênfase3 3 2 4 2 2 2" xfId="31832"/>
    <cellStyle name="20% - Ênfase4 3 2 4 2 2 2" xfId="31833"/>
    <cellStyle name="40% - Ênfase4 3 2 4 2 2 2" xfId="31834"/>
    <cellStyle name="20% - Ênfase5 3 2 4 2 2 2" xfId="31835"/>
    <cellStyle name="40% - Ênfase5 3 2 4 2 2 2" xfId="31836"/>
    <cellStyle name="20% - Ênfase6 3 2 4 2 2 2" xfId="31837"/>
    <cellStyle name="40% - Ênfase6 3 2 4 2 2 2" xfId="31838"/>
    <cellStyle name="Normal 8 2 4 2 2 2" xfId="31839"/>
    <cellStyle name="Nota 5 2 4 2 2 2" xfId="31840"/>
    <cellStyle name="20% - Ênfase1 4 2 4 2 2 2" xfId="31841"/>
    <cellStyle name="40% - Ênfase1 4 2 4 2 2 2" xfId="31842"/>
    <cellStyle name="20% - Ênfase2 4 2 4 2 2 2" xfId="31843"/>
    <cellStyle name="40% - Ênfase2 4 2 4 2 2 2" xfId="31844"/>
    <cellStyle name="20% - Ênfase3 4 2 4 2 2 2" xfId="31845"/>
    <cellStyle name="40% - Ênfase3 4 2 4 2 2 2" xfId="31846"/>
    <cellStyle name="20% - Ênfase4 4 2 4 2 2 2" xfId="31847"/>
    <cellStyle name="40% - Ênfase4 4 2 4 2 2 2" xfId="31848"/>
    <cellStyle name="20% - Ênfase5 4 2 4 2 2 2" xfId="31849"/>
    <cellStyle name="40% - Ênfase5 4 2 4 2 2 2" xfId="31850"/>
    <cellStyle name="20% - Ênfase6 4 2 4 2 2 2" xfId="31851"/>
    <cellStyle name="40% - Ênfase6 4 2 4 2 2 2" xfId="31852"/>
    <cellStyle name="20% - Ênfase1 8 3 2 2 2" xfId="31853"/>
    <cellStyle name="40% - Ênfase1 8 3 2 2 2" xfId="31854"/>
    <cellStyle name="20% - Ênfase2 8 3 2 2 2" xfId="31855"/>
    <cellStyle name="40% - Ênfase2 8 3 2 2 2" xfId="31856"/>
    <cellStyle name="20% - Ênfase3 8 3 2 2 2" xfId="31857"/>
    <cellStyle name="40% - Ênfase3 8 3 2 2 2" xfId="31858"/>
    <cellStyle name="20% - Ênfase4 8 3 2 2 2" xfId="31859"/>
    <cellStyle name="40% - Ênfase4 8 3 2 2 2" xfId="31860"/>
    <cellStyle name="20% - Ênfase5 8 3 2 2 2" xfId="31861"/>
    <cellStyle name="40% - Ênfase5 8 3 2 2 2" xfId="31862"/>
    <cellStyle name="20% - Ênfase6 8 3 2 2 2" xfId="31863"/>
    <cellStyle name="40% - Ênfase6 8 3 2 2 2" xfId="31864"/>
    <cellStyle name="Normal 4 5 3 2 2 2" xfId="31865"/>
    <cellStyle name="Nota 2 5 3 2 2 2" xfId="31866"/>
    <cellStyle name="Normal 5 5 3 2 2 2" xfId="31867"/>
    <cellStyle name="Nota 3 5 3 2 2 2" xfId="31868"/>
    <cellStyle name="20% - Ênfase1 2 5 3 2 2 2" xfId="31869"/>
    <cellStyle name="40% - Ênfase1 2 5 3 2 2 2" xfId="31870"/>
    <cellStyle name="20% - Ênfase2 2 5 3 2 2 2" xfId="31871"/>
    <cellStyle name="40% - Ênfase2 2 5 3 2 2 2" xfId="31872"/>
    <cellStyle name="20% - Ênfase3 2 5 3 2 2 2" xfId="31873"/>
    <cellStyle name="40% - Ênfase3 2 5 3 2 2 2" xfId="31874"/>
    <cellStyle name="20% - Ênfase4 2 5 3 2 2 2" xfId="31875"/>
    <cellStyle name="40% - Ênfase4 2 5 3 2 2 2" xfId="31876"/>
    <cellStyle name="20% - Ênfase5 2 5 3 2 2 2" xfId="31877"/>
    <cellStyle name="40% - Ênfase5 2 5 3 2 2 2" xfId="31878"/>
    <cellStyle name="20% - Ênfase6 2 5 3 2 2 2" xfId="31879"/>
    <cellStyle name="40% - Ênfase6 2 5 3 2 2 2" xfId="31880"/>
    <cellStyle name="Normal 7 5 3 2 2 2" xfId="31881"/>
    <cellStyle name="Nota 4 4 3 2 2 2" xfId="31882"/>
    <cellStyle name="20% - Ênfase1 3 4 3 2 2 2" xfId="31883"/>
    <cellStyle name="40% - Ênfase1 3 4 3 2 2 2" xfId="31884"/>
    <cellStyle name="20% - Ênfase2 3 4 3 2 2 2" xfId="31885"/>
    <cellStyle name="40% - Ênfase2 3 4 3 2 2 2" xfId="31886"/>
    <cellStyle name="20% - Ênfase3 3 4 3 2 2 2" xfId="31887"/>
    <cellStyle name="40% - Ênfase3 3 4 3 2 2 2" xfId="31888"/>
    <cellStyle name="20% - Ênfase4 3 4 3 2 2 2" xfId="31889"/>
    <cellStyle name="40% - Ênfase4 3 4 3 2 2 2" xfId="31890"/>
    <cellStyle name="20% - Ênfase5 3 4 3 2 2 2" xfId="31891"/>
    <cellStyle name="40% - Ênfase5 3 4 3 2 2 2" xfId="31892"/>
    <cellStyle name="20% - Ênfase6 3 4 3 2 2 2" xfId="31893"/>
    <cellStyle name="40% - Ênfase6 3 4 3 2 2 2" xfId="31894"/>
    <cellStyle name="Normal 8 4 3 2 2 2" xfId="31895"/>
    <cellStyle name="Nota 5 4 3 2 2 2" xfId="31896"/>
    <cellStyle name="20% - Ênfase1 4 4 3 2 2 2" xfId="31897"/>
    <cellStyle name="40% - Ênfase1 4 4 3 2 2 2" xfId="31898"/>
    <cellStyle name="20% - Ênfase2 4 4 3 2 2 2" xfId="31899"/>
    <cellStyle name="40% - Ênfase2 4 4 3 2 2 2" xfId="31900"/>
    <cellStyle name="20% - Ênfase3 4 4 3 2 2 2" xfId="31901"/>
    <cellStyle name="40% - Ênfase3 4 4 3 2 2 2" xfId="31902"/>
    <cellStyle name="20% - Ênfase4 4 4 3 2 2 2" xfId="31903"/>
    <cellStyle name="40% - Ênfase4 4 4 3 2 2 2" xfId="31904"/>
    <cellStyle name="20% - Ênfase5 4 4 3 2 2 2" xfId="31905"/>
    <cellStyle name="40% - Ênfase5 4 4 3 2 2 2" xfId="31906"/>
    <cellStyle name="20% - Ênfase6 4 4 3 2 2 2" xfId="31907"/>
    <cellStyle name="40% - Ênfase6 4 4 3 2 2 2" xfId="31908"/>
    <cellStyle name="Normal 3 3 3 2 2 2" xfId="31909"/>
    <cellStyle name="20% - Ênfase1 5 2 3 2 2 2" xfId="31910"/>
    <cellStyle name="40% - Ênfase1 5 2 3 2 2 2" xfId="31911"/>
    <cellStyle name="20% - Ênfase2 5 2 3 2 2 2" xfId="31912"/>
    <cellStyle name="40% - Ênfase2 5 2 3 2 2 2" xfId="31913"/>
    <cellStyle name="20% - Ênfase3 5 2 3 2 2 2" xfId="31914"/>
    <cellStyle name="40% - Ênfase3 5 2 3 2 2 2" xfId="31915"/>
    <cellStyle name="20% - Ênfase4 5 2 3 2 2 2" xfId="31916"/>
    <cellStyle name="40% - Ênfase4 5 2 3 2 2 2" xfId="31917"/>
    <cellStyle name="20% - Ênfase5 5 2 3 2 2 2" xfId="31918"/>
    <cellStyle name="40% - Ênfase5 5 2 3 2 2 2" xfId="31919"/>
    <cellStyle name="20% - Ênfase6 5 2 3 2 2 2" xfId="31920"/>
    <cellStyle name="40% - Ênfase6 5 2 3 2 2 2" xfId="31921"/>
    <cellStyle name="Normal 4 2 2 3 2 2 2" xfId="31922"/>
    <cellStyle name="Nota 2 2 2 3 2 2 2" xfId="31923"/>
    <cellStyle name="Normal 5 2 2 3 2 2 2" xfId="31924"/>
    <cellStyle name="Nota 3 2 2 3 2 2 2" xfId="31925"/>
    <cellStyle name="20% - Ênfase1 2 2 2 3 2 2 2" xfId="31926"/>
    <cellStyle name="40% - Ênfase1 2 2 2 3 2 2 2" xfId="31927"/>
    <cellStyle name="20% - Ênfase2 2 2 2 3 2 2 2" xfId="31928"/>
    <cellStyle name="40% - Ênfase2 2 2 2 3 2 2 2" xfId="31929"/>
    <cellStyle name="20% - Ênfase3 2 2 2 3 2 2 2" xfId="31930"/>
    <cellStyle name="40% - Ênfase3 2 2 2 3 2 2 2" xfId="31931"/>
    <cellStyle name="20% - Ênfase4 2 2 2 3 2 2 2" xfId="31932"/>
    <cellStyle name="40% - Ênfase4 2 2 2 3 2 2 2" xfId="31933"/>
    <cellStyle name="20% - Ênfase5 2 2 2 3 2 2 2" xfId="31934"/>
    <cellStyle name="40% - Ênfase5 2 2 2 3 2 2 2" xfId="31935"/>
    <cellStyle name="20% - Ênfase6 2 2 2 3 2 2 2" xfId="31936"/>
    <cellStyle name="40% - Ênfase6 2 2 2 3 2 2 2" xfId="31937"/>
    <cellStyle name="Normal 7 2 2 3 2 2 2" xfId="31938"/>
    <cellStyle name="Nota 4 3 3 2 2 2" xfId="31939"/>
    <cellStyle name="20% - Ênfase1 3 3 3 2 2 2" xfId="31940"/>
    <cellStyle name="40% - Ênfase1 3 3 3 2 2 2" xfId="31941"/>
    <cellStyle name="20% - Ênfase2 3 3 3 2 2 2" xfId="31942"/>
    <cellStyle name="40% - Ênfase2 3 3 3 2 2 2" xfId="31943"/>
    <cellStyle name="20% - Ênfase3 3 3 3 2 2 2" xfId="31944"/>
    <cellStyle name="40% - Ênfase3 3 3 3 2 2 2" xfId="31945"/>
    <cellStyle name="20% - Ênfase4 3 3 3 2 2 2" xfId="31946"/>
    <cellStyle name="40% - Ênfase4 3 3 3 2 2 2" xfId="31947"/>
    <cellStyle name="20% - Ênfase5 3 3 3 2 2 2" xfId="31948"/>
    <cellStyle name="40% - Ênfase5 3 3 3 2 2 2" xfId="31949"/>
    <cellStyle name="20% - Ênfase6 3 3 3 2 2 2" xfId="31950"/>
    <cellStyle name="40% - Ênfase6 3 3 3 2 2 2" xfId="31951"/>
    <cellStyle name="Normal 8 3 3 2 2 2" xfId="31952"/>
    <cellStyle name="Nota 5 3 3 2 2 2" xfId="31953"/>
    <cellStyle name="20% - Ênfase1 4 3 3 2 2 2" xfId="31954"/>
    <cellStyle name="40% - Ênfase1 4 3 3 2 2 2" xfId="31955"/>
    <cellStyle name="20% - Ênfase2 4 3 3 2 2 2" xfId="31956"/>
    <cellStyle name="40% - Ênfase2 4 3 3 2 2 2" xfId="31957"/>
    <cellStyle name="20% - Ênfase3 4 3 3 2 2 2" xfId="31958"/>
    <cellStyle name="40% - Ênfase3 4 3 3 2 2 2" xfId="31959"/>
    <cellStyle name="20% - Ênfase4 4 3 3 2 2 2" xfId="31960"/>
    <cellStyle name="40% - Ênfase4 4 3 3 2 2 2" xfId="31961"/>
    <cellStyle name="20% - Ênfase5 4 3 3 2 2 2" xfId="31962"/>
    <cellStyle name="40% - Ênfase5 4 3 3 2 2 2" xfId="31963"/>
    <cellStyle name="20% - Ênfase6 4 3 3 2 2 2" xfId="31964"/>
    <cellStyle name="40% - Ênfase6 4 3 3 2 2 2" xfId="31965"/>
    <cellStyle name="20% - Ênfase1 6 2 3 2 2 2" xfId="31966"/>
    <cellStyle name="40% - Ênfase1 6 2 3 2 2 2" xfId="31967"/>
    <cellStyle name="20% - Ênfase2 6 2 3 2 2 2" xfId="31968"/>
    <cellStyle name="40% - Ênfase2 6 2 3 2 2 2" xfId="31969"/>
    <cellStyle name="20% - Ênfase3 6 2 3 2 2 2" xfId="31970"/>
    <cellStyle name="40% - Ênfase3 6 2 3 2 2 2" xfId="31971"/>
    <cellStyle name="20% - Ênfase4 6 2 3 2 2 2" xfId="31972"/>
    <cellStyle name="40% - Ênfase4 6 2 3 2 2 2" xfId="31973"/>
    <cellStyle name="20% - Ênfase5 6 2 3 2 2 2" xfId="31974"/>
    <cellStyle name="40% - Ênfase5 6 2 3 2 2 2" xfId="31975"/>
    <cellStyle name="20% - Ênfase6 6 2 3 2 2 2" xfId="31976"/>
    <cellStyle name="40% - Ênfase6 6 2 3 2 2 2" xfId="31977"/>
    <cellStyle name="Normal 4 3 2 3 2 2 2" xfId="31978"/>
    <cellStyle name="Nota 2 3 2 3 2 2 2" xfId="31979"/>
    <cellStyle name="Normal 5 3 2 3 2 2 2" xfId="31980"/>
    <cellStyle name="Nota 3 3 2 3 2 2 2" xfId="31981"/>
    <cellStyle name="20% - Ênfase1 2 3 2 3 2 2 2" xfId="31982"/>
    <cellStyle name="40% - Ênfase1 2 3 2 3 2 2 2" xfId="31983"/>
    <cellStyle name="20% - Ênfase2 2 3 2 3 2 2 2" xfId="31984"/>
    <cellStyle name="40% - Ênfase2 2 3 2 3 2 2 2" xfId="31985"/>
    <cellStyle name="20% - Ênfase3 2 3 2 3 2 2 2" xfId="31986"/>
    <cellStyle name="40% - Ênfase3 2 3 2 3 2 2 2" xfId="31987"/>
    <cellStyle name="20% - Ênfase4 2 3 2 3 2 2 2" xfId="31988"/>
    <cellStyle name="40% - Ênfase4 2 3 2 3 2 2 2" xfId="31989"/>
    <cellStyle name="20% - Ênfase5 2 3 2 3 2 2 2" xfId="31990"/>
    <cellStyle name="40% - Ênfase5 2 3 2 3 2 2 2" xfId="31991"/>
    <cellStyle name="20% - Ênfase6 2 3 2 3 2 2 2" xfId="31992"/>
    <cellStyle name="40% - Ênfase6 2 3 2 3 2 2 2" xfId="31993"/>
    <cellStyle name="Normal 7 3 2 3 2 2 2" xfId="31994"/>
    <cellStyle name="Nota 4 2 2 3 2 2 2" xfId="31995"/>
    <cellStyle name="20% - Ênfase1 3 2 2 3 2 2 2" xfId="31996"/>
    <cellStyle name="40% - Ênfase1 3 2 2 3 2 2 2" xfId="31997"/>
    <cellStyle name="20% - Ênfase2 3 2 2 3 2 2 2" xfId="31998"/>
    <cellStyle name="40% - Ênfase2 3 2 2 3 2 2 2" xfId="31999"/>
    <cellStyle name="20% - Ênfase3 3 2 2 3 2 2 2" xfId="32000"/>
    <cellStyle name="40% - Ênfase3 3 2 2 3 2 2 2" xfId="32001"/>
    <cellStyle name="20% - Ênfase4 3 2 2 3 2 2 2" xfId="32002"/>
    <cellStyle name="40% - Ênfase4 3 2 2 3 2 2 2" xfId="32003"/>
    <cellStyle name="20% - Ênfase5 3 2 2 3 2 2 2" xfId="32004"/>
    <cellStyle name="40% - Ênfase5 3 2 2 3 2 2 2" xfId="32005"/>
    <cellStyle name="20% - Ênfase6 3 2 2 3 2 2 2" xfId="32006"/>
    <cellStyle name="40% - Ênfase6 3 2 2 3 2 2 2" xfId="32007"/>
    <cellStyle name="Normal 8 2 2 3 2 2 2" xfId="32008"/>
    <cellStyle name="Nota 5 2 2 3 2 2 2" xfId="32009"/>
    <cellStyle name="20% - Ênfase1 4 2 2 3 2 2 2" xfId="32010"/>
    <cellStyle name="40% - Ênfase1 4 2 2 3 2 2 2" xfId="32011"/>
    <cellStyle name="20% - Ênfase2 4 2 2 3 2 2 2" xfId="32012"/>
    <cellStyle name="40% - Ênfase2 4 2 2 3 2 2 2" xfId="32013"/>
    <cellStyle name="20% - Ênfase3 4 2 2 3 2 2 2" xfId="32014"/>
    <cellStyle name="40% - Ênfase3 4 2 2 3 2 2 2" xfId="32015"/>
    <cellStyle name="20% - Ênfase4 4 2 2 3 2 2 2" xfId="32016"/>
    <cellStyle name="40% - Ênfase4 4 2 2 3 2 2 2" xfId="32017"/>
    <cellStyle name="20% - Ênfase5 4 2 2 3 2 2 2" xfId="32018"/>
    <cellStyle name="40% - Ênfase5 4 2 2 3 2 2 2" xfId="32019"/>
    <cellStyle name="20% - Ênfase6 4 2 2 3 2 2 2" xfId="32020"/>
    <cellStyle name="40% - Ênfase6 4 2 2 3 2 2 2" xfId="32021"/>
    <cellStyle name="Normal 3 6 2 2 2" xfId="32022"/>
    <cellStyle name="20% - Ênfase1 5 5 2 2 2" xfId="32023"/>
    <cellStyle name="40% - Ênfase1 5 5 2 2 2" xfId="32024"/>
    <cellStyle name="20% - Ênfase2 5 5 2 2 2" xfId="32025"/>
    <cellStyle name="40% - Ênfase2 5 5 2 2 2" xfId="32026"/>
    <cellStyle name="20% - Ênfase3 5 5 2 2 2" xfId="32027"/>
    <cellStyle name="40% - Ênfase3 5 5 2 2 2" xfId="32028"/>
    <cellStyle name="20% - Ênfase4 5 5 2 2 2" xfId="32029"/>
    <cellStyle name="40% - Ênfase4 5 5 2 2 2" xfId="32030"/>
    <cellStyle name="20% - Ênfase5 5 5 2 2 2" xfId="32031"/>
    <cellStyle name="40% - Ênfase5 5 5 2 2 2" xfId="32032"/>
    <cellStyle name="20% - Ênfase6 5 5 2 2 2" xfId="32033"/>
    <cellStyle name="40% - Ênfase6 5 5 2 2 2" xfId="32034"/>
    <cellStyle name="Normal 4 2 5 2 2 2" xfId="32035"/>
    <cellStyle name="Nota 2 2 5 2 2 2" xfId="32036"/>
    <cellStyle name="Normal 5 2 5 2 2 2" xfId="32037"/>
    <cellStyle name="Nota 3 2 5 2 2 2" xfId="32038"/>
    <cellStyle name="20% - Ênfase1 2 2 5 2 2 2" xfId="32039"/>
    <cellStyle name="40% - Ênfase1 2 2 5 2 2 2" xfId="32040"/>
    <cellStyle name="20% - Ênfase2 2 2 5 2 2 2" xfId="32041"/>
    <cellStyle name="40% - Ênfase2 2 2 5 2 2 2" xfId="32042"/>
    <cellStyle name="20% - Ênfase3 2 2 5 2 2 2" xfId="32043"/>
    <cellStyle name="40% - Ênfase3 2 2 5 2 2 2" xfId="32044"/>
    <cellStyle name="20% - Ênfase4 2 2 5 2 2 2" xfId="32045"/>
    <cellStyle name="40% - Ênfase4 2 2 5 2 2 2" xfId="32046"/>
    <cellStyle name="20% - Ênfase5 2 2 5 2 2 2" xfId="32047"/>
    <cellStyle name="40% - Ênfase5 2 2 5 2 2 2" xfId="32048"/>
    <cellStyle name="20% - Ênfase6 2 2 5 2 2 2" xfId="32049"/>
    <cellStyle name="40% - Ênfase6 2 2 5 2 2 2" xfId="32050"/>
    <cellStyle name="Normal 7 2 5 2 2 2" xfId="32051"/>
    <cellStyle name="Nota 4 7 2 2 2" xfId="32052"/>
    <cellStyle name="20% - Ênfase1 3 7 2 2 2" xfId="32053"/>
    <cellStyle name="40% - Ênfase1 3 7 2 2 2" xfId="32054"/>
    <cellStyle name="20% - Ênfase2 3 7 2 2 2" xfId="32055"/>
    <cellStyle name="40% - Ênfase2 3 7 2 2 2" xfId="32056"/>
    <cellStyle name="20% - Ênfase3 3 7 2 2 2" xfId="32057"/>
    <cellStyle name="40% - Ênfase3 3 7 2 2 2" xfId="32058"/>
    <cellStyle name="20% - Ênfase4 3 7 2 2 2" xfId="32059"/>
    <cellStyle name="40% - Ênfase4 3 7 2 2 2" xfId="32060"/>
    <cellStyle name="20% - Ênfase5 3 7 2 2 2" xfId="32061"/>
    <cellStyle name="40% - Ênfase5 3 7 2 2 2" xfId="32062"/>
    <cellStyle name="20% - Ênfase6 3 7 2 2 2" xfId="32063"/>
    <cellStyle name="40% - Ênfase6 3 7 2 2 2" xfId="32064"/>
    <cellStyle name="Normal 8 7 2 2 2" xfId="32065"/>
    <cellStyle name="Nota 5 7 2 2 2" xfId="32066"/>
    <cellStyle name="20% - Ênfase1 4 7 2 2 2" xfId="32067"/>
    <cellStyle name="40% - Ênfase1 4 7 2 2 2" xfId="32068"/>
    <cellStyle name="20% - Ênfase2 4 7 2 2 2" xfId="32069"/>
    <cellStyle name="40% - Ênfase2 4 7 2 2 2" xfId="32070"/>
    <cellStyle name="20% - Ênfase3 4 7 2 2 2" xfId="32071"/>
    <cellStyle name="40% - Ênfase3 4 7 2 2 2" xfId="32072"/>
    <cellStyle name="20% - Ênfase4 4 7 2 2 2" xfId="32073"/>
    <cellStyle name="40% - Ênfase4 4 7 2 2 2" xfId="32074"/>
    <cellStyle name="20% - Ênfase5 4 7 2 2 2" xfId="32075"/>
    <cellStyle name="40% - Ênfase5 4 7 2 2 2" xfId="32076"/>
    <cellStyle name="20% - Ênfase6 4 7 2 2 2" xfId="32077"/>
    <cellStyle name="40% - Ênfase6 4 7 2 2 2" xfId="32078"/>
    <cellStyle name="Normal 6 4 2 2 2" xfId="32079"/>
    <cellStyle name="Separador de milhares 7 2 2 2 2" xfId="32080"/>
    <cellStyle name="Normal 3 10 2" xfId="32081"/>
    <cellStyle name="Normal 3 7 3 2" xfId="32082"/>
    <cellStyle name="20% - Ênfase1 5 9 2" xfId="32083"/>
    <cellStyle name="40% - Ênfase1 5 9 2" xfId="32084"/>
    <cellStyle name="20% - Ênfase2 5 9 2" xfId="32085"/>
    <cellStyle name="40% - Ênfase2 5 9 2" xfId="32086"/>
    <cellStyle name="20% - Ênfase3 5 9 2" xfId="32087"/>
    <cellStyle name="40% - Ênfase3 5 9 2" xfId="32088"/>
    <cellStyle name="20% - Ênfase4 5 9 2" xfId="32089"/>
    <cellStyle name="40% - Ênfase4 5 9 2" xfId="32090"/>
    <cellStyle name="20% - Ênfase5 5 9 2" xfId="32091"/>
    <cellStyle name="40% - Ênfase5 5 9 2" xfId="32092"/>
    <cellStyle name="20% - Ênfase6 5 9 2" xfId="32093"/>
    <cellStyle name="40% - Ênfase6 5 9 2" xfId="32094"/>
    <cellStyle name="Normal 4 2 9 2" xfId="32095"/>
    <cellStyle name="Nota 2 2 9 2" xfId="32096"/>
    <cellStyle name="Normal 5 2 10 2" xfId="32097"/>
    <cellStyle name="Nota 3 2 9 2" xfId="32098"/>
    <cellStyle name="20% - Ênfase1 2 2 9 2" xfId="32099"/>
    <cellStyle name="40% - Ênfase1 2 2 9 2" xfId="32100"/>
    <cellStyle name="20% - Ênfase2 2 2 9 2" xfId="32101"/>
    <cellStyle name="40% - Ênfase2 2 2 9 2" xfId="32102"/>
    <cellStyle name="20% - Ênfase3 2 2 9 2" xfId="32103"/>
    <cellStyle name="40% - Ênfase3 2 2 9 2" xfId="32104"/>
    <cellStyle name="20% - Ênfase4 2 2 9 2" xfId="32105"/>
    <cellStyle name="40% - Ênfase4 2 2 9 2" xfId="32106"/>
    <cellStyle name="20% - Ênfase5 2 2 9 2" xfId="32107"/>
    <cellStyle name="40% - Ênfase5 2 2 9 2" xfId="32108"/>
    <cellStyle name="20% - Ênfase6 2 2 9 2" xfId="32109"/>
    <cellStyle name="40% - Ênfase6 2 2 9 2" xfId="32110"/>
    <cellStyle name="Normal 7 2 9 2" xfId="32111"/>
    <cellStyle name="Nota 4 11 2" xfId="32112"/>
    <cellStyle name="20% - Ênfase1 3 11 2" xfId="32113"/>
    <cellStyle name="40% - Ênfase1 3 11 2" xfId="32114"/>
    <cellStyle name="20% - Ênfase2 3 11 2" xfId="32115"/>
    <cellStyle name="40% - Ênfase2 3 11 2" xfId="32116"/>
    <cellStyle name="20% - Ênfase3 3 11 2" xfId="32117"/>
    <cellStyle name="40% - Ênfase3 3 11 2" xfId="32118"/>
    <cellStyle name="20% - Ênfase4 3 11 2" xfId="32119"/>
    <cellStyle name="40% - Ênfase4 3 11 2" xfId="32120"/>
    <cellStyle name="20% - Ênfase5 3 11 2" xfId="32121"/>
    <cellStyle name="40% - Ênfase5 3 11 2" xfId="32122"/>
    <cellStyle name="20% - Ênfase6 3 11 2" xfId="32123"/>
    <cellStyle name="40% - Ênfase6 3 11 2" xfId="32124"/>
    <cellStyle name="Normal 8 14 2" xfId="32125"/>
    <cellStyle name="Nota 5 11 2" xfId="32126"/>
    <cellStyle name="20% - Ênfase1 4 11 2" xfId="32127"/>
    <cellStyle name="40% - Ênfase1 4 11 2" xfId="32128"/>
    <cellStyle name="20% - Ênfase2 4 11 2" xfId="32129"/>
    <cellStyle name="40% - Ênfase2 4 11 2" xfId="32130"/>
    <cellStyle name="20% - Ênfase3 4 11 2" xfId="32131"/>
    <cellStyle name="40% - Ênfase3 4 11 2" xfId="32132"/>
    <cellStyle name="20% - Ênfase4 4 11 2" xfId="32133"/>
    <cellStyle name="40% - Ênfase4 4 11 2" xfId="32134"/>
    <cellStyle name="20% - Ênfase5 4 11 2" xfId="32135"/>
    <cellStyle name="40% - Ênfase5 4 11 2" xfId="32136"/>
    <cellStyle name="20% - Ênfase6 4 11 2" xfId="32137"/>
    <cellStyle name="40% - Ênfase6 4 11 2" xfId="32138"/>
    <cellStyle name="20% - Ênfase1 6 8 2" xfId="32139"/>
    <cellStyle name="40% - Ênfase1 6 8 2" xfId="32140"/>
    <cellStyle name="20% - Ênfase2 6 8 2" xfId="32141"/>
    <cellStyle name="40% - Ênfase2 6 8 2" xfId="32142"/>
    <cellStyle name="20% - Ênfase3 6 8 2" xfId="32143"/>
    <cellStyle name="40% - Ênfase3 6 8 2" xfId="32144"/>
    <cellStyle name="20% - Ênfase4 6 8 2" xfId="32145"/>
    <cellStyle name="40% - Ênfase4 6 8 2" xfId="32146"/>
    <cellStyle name="20% - Ênfase5 6 8 2" xfId="32147"/>
    <cellStyle name="40% - Ênfase5 6 8 2" xfId="32148"/>
    <cellStyle name="20% - Ênfase6 6 8 2" xfId="32149"/>
    <cellStyle name="40% - Ênfase6 6 8 2" xfId="32150"/>
    <cellStyle name="Normal 4 3 8 2" xfId="32151"/>
    <cellStyle name="Nota 2 3 8 2" xfId="32152"/>
    <cellStyle name="Normal 5 3 8 2" xfId="32153"/>
    <cellStyle name="Nota 3 3 8 2" xfId="32154"/>
    <cellStyle name="20% - Ênfase1 2 3 8 2" xfId="32155"/>
    <cellStyle name="40% - Ênfase1 2 3 8 2" xfId="32156"/>
    <cellStyle name="20% - Ênfase2 2 3 8 2" xfId="32157"/>
    <cellStyle name="40% - Ênfase2 2 3 8 2" xfId="32158"/>
    <cellStyle name="20% - Ênfase3 2 3 8 2" xfId="32159"/>
    <cellStyle name="40% - Ênfase3 2 3 8 2" xfId="32160"/>
    <cellStyle name="20% - Ênfase4 2 3 8 2" xfId="32161"/>
    <cellStyle name="40% - Ênfase4 2 3 8 2" xfId="32162"/>
    <cellStyle name="20% - Ênfase5 2 3 8 2" xfId="32163"/>
    <cellStyle name="40% - Ênfase5 2 3 8 2" xfId="32164"/>
    <cellStyle name="20% - Ênfase6 2 3 8 2" xfId="32165"/>
    <cellStyle name="40% - Ênfase6 2 3 8 2" xfId="32166"/>
    <cellStyle name="Normal 7 3 8 2" xfId="32167"/>
    <cellStyle name="Nota 4 2 8 2" xfId="32168"/>
    <cellStyle name="20% - Ênfase1 3 2 8 2" xfId="32169"/>
    <cellStyle name="40% - Ênfase1 3 2 8 2" xfId="32170"/>
    <cellStyle name="20% - Ênfase2 3 2 8 2" xfId="32171"/>
    <cellStyle name="40% - Ênfase2 3 2 8 2" xfId="32172"/>
    <cellStyle name="20% - Ênfase3 3 2 8 2" xfId="32173"/>
    <cellStyle name="40% - Ênfase3 3 2 8 2" xfId="32174"/>
    <cellStyle name="20% - Ênfase4 3 2 8 2" xfId="32175"/>
    <cellStyle name="40% - Ênfase4 3 2 8 2" xfId="32176"/>
    <cellStyle name="20% - Ênfase5 3 2 8 2" xfId="32177"/>
    <cellStyle name="40% - Ênfase5 3 2 8 2" xfId="32178"/>
    <cellStyle name="20% - Ênfase6 3 2 8 2" xfId="32179"/>
    <cellStyle name="40% - Ênfase6 3 2 8 2" xfId="32180"/>
    <cellStyle name="Normal 8 2 8 2" xfId="32181"/>
    <cellStyle name="Nota 5 2 8 2" xfId="32182"/>
    <cellStyle name="20% - Ênfase1 4 2 8 2" xfId="32183"/>
    <cellStyle name="40% - Ênfase1 4 2 8 2" xfId="32184"/>
    <cellStyle name="20% - Ênfase2 4 2 8 2" xfId="32185"/>
    <cellStyle name="40% - Ênfase2 4 2 8 2" xfId="32186"/>
    <cellStyle name="20% - Ênfase3 4 2 8 2" xfId="32187"/>
    <cellStyle name="40% - Ênfase3 4 2 8 2" xfId="32188"/>
    <cellStyle name="20% - Ênfase4 4 2 8 2" xfId="32189"/>
    <cellStyle name="40% - Ênfase4 4 2 8 2" xfId="32190"/>
    <cellStyle name="20% - Ênfase5 4 2 8 2" xfId="32191"/>
    <cellStyle name="40% - Ênfase5 4 2 8 2" xfId="32192"/>
    <cellStyle name="20% - Ênfase6 4 2 8 2" xfId="32193"/>
    <cellStyle name="40% - Ênfase6 4 2 8 2" xfId="32194"/>
    <cellStyle name="20% - Ênfase1 8 6 2" xfId="32195"/>
    <cellStyle name="40% - Ênfase1 8 6 2" xfId="32196"/>
    <cellStyle name="20% - Ênfase2 8 6 2" xfId="32197"/>
    <cellStyle name="40% - Ênfase2 8 6 2" xfId="32198"/>
    <cellStyle name="20% - Ênfase3 8 6 2" xfId="32199"/>
    <cellStyle name="40% - Ênfase3 8 6 2" xfId="32200"/>
    <cellStyle name="20% - Ênfase4 8 6 2" xfId="32201"/>
    <cellStyle name="40% - Ênfase4 8 6 2" xfId="32202"/>
    <cellStyle name="20% - Ênfase5 8 6 2" xfId="32203"/>
    <cellStyle name="40% - Ênfase5 8 6 2" xfId="32204"/>
    <cellStyle name="20% - Ênfase6 8 6 2" xfId="32205"/>
    <cellStyle name="40% - Ênfase6 8 6 2" xfId="32206"/>
    <cellStyle name="Normal 4 5 6 2" xfId="32207"/>
    <cellStyle name="Nota 2 5 6 2" xfId="32208"/>
    <cellStyle name="Normal 5 5 6 2" xfId="32209"/>
    <cellStyle name="Nota 3 5 6 2" xfId="32210"/>
    <cellStyle name="20% - Ênfase1 2 5 6 2" xfId="32211"/>
    <cellStyle name="40% - Ênfase1 2 5 6 2" xfId="32212"/>
    <cellStyle name="20% - Ênfase2 2 5 6 2" xfId="32213"/>
    <cellStyle name="40% - Ênfase2 2 5 6 2" xfId="32214"/>
    <cellStyle name="20% - Ênfase3 2 5 6 2" xfId="32215"/>
    <cellStyle name="40% - Ênfase3 2 5 6 2" xfId="32216"/>
    <cellStyle name="20% - Ênfase4 2 5 6 2" xfId="32217"/>
    <cellStyle name="40% - Ênfase4 2 5 6 2" xfId="32218"/>
    <cellStyle name="20% - Ênfase5 2 5 6 2" xfId="32219"/>
    <cellStyle name="40% - Ênfase5 2 5 6 2" xfId="32220"/>
    <cellStyle name="20% - Ênfase6 2 5 6 2" xfId="32221"/>
    <cellStyle name="40% - Ênfase6 2 5 6 2" xfId="32222"/>
    <cellStyle name="Normal 7 5 6 2" xfId="32223"/>
    <cellStyle name="Nota 4 4 6 2" xfId="32224"/>
    <cellStyle name="20% - Ênfase1 3 4 6 2" xfId="32225"/>
    <cellStyle name="40% - Ênfase1 3 4 6 2" xfId="32226"/>
    <cellStyle name="20% - Ênfase2 3 4 6 2" xfId="32227"/>
    <cellStyle name="40% - Ênfase2 3 4 6 2" xfId="32228"/>
    <cellStyle name="20% - Ênfase3 3 4 6 2" xfId="32229"/>
    <cellStyle name="40% - Ênfase3 3 4 6 2" xfId="32230"/>
    <cellStyle name="20% - Ênfase4 3 4 6 2" xfId="32231"/>
    <cellStyle name="40% - Ênfase4 3 4 6 2" xfId="32232"/>
    <cellStyle name="20% - Ênfase5 3 4 6 2" xfId="32233"/>
    <cellStyle name="40% - Ênfase5 3 4 6 2" xfId="32234"/>
    <cellStyle name="20% - Ênfase6 3 4 6 2" xfId="32235"/>
    <cellStyle name="40% - Ênfase6 3 4 6 2" xfId="32236"/>
    <cellStyle name="Normal 8 4 7 2" xfId="32237"/>
    <cellStyle name="Nota 5 4 6 2" xfId="32238"/>
    <cellStyle name="20% - Ênfase1 4 4 6 2" xfId="32239"/>
    <cellStyle name="40% - Ênfase1 4 4 6 2" xfId="32240"/>
    <cellStyle name="20% - Ênfase2 4 4 6 2" xfId="32241"/>
    <cellStyle name="40% - Ênfase2 4 4 6 2" xfId="32242"/>
    <cellStyle name="20% - Ênfase3 4 4 6 2" xfId="32243"/>
    <cellStyle name="40% - Ênfase3 4 4 6 2" xfId="32244"/>
    <cellStyle name="20% - Ênfase4 4 4 6 2" xfId="32245"/>
    <cellStyle name="40% - Ênfase4 4 4 6 2" xfId="32246"/>
    <cellStyle name="20% - Ênfase5 4 4 6 2" xfId="32247"/>
    <cellStyle name="40% - Ênfase5 4 4 6 2" xfId="32248"/>
    <cellStyle name="20% - Ênfase6 4 4 6 2" xfId="32249"/>
    <cellStyle name="40% - Ênfase6 4 4 6 2" xfId="32250"/>
    <cellStyle name="Normal 3 3 7 2" xfId="32251"/>
    <cellStyle name="20% - Ênfase1 5 2 6 2" xfId="32252"/>
    <cellStyle name="40% - Ênfase1 5 2 6 2" xfId="32253"/>
    <cellStyle name="20% - Ênfase2 5 2 6 2" xfId="32254"/>
    <cellStyle name="40% - Ênfase2 5 2 6 2" xfId="32255"/>
    <cellStyle name="20% - Ênfase3 5 2 6 2" xfId="32256"/>
    <cellStyle name="40% - Ênfase3 5 2 6 2" xfId="32257"/>
    <cellStyle name="20% - Ênfase4 5 2 6 2" xfId="32258"/>
    <cellStyle name="40% - Ênfase4 5 2 6 2" xfId="32259"/>
    <cellStyle name="20% - Ênfase5 5 2 6 2" xfId="32260"/>
    <cellStyle name="40% - Ênfase5 5 2 6 2" xfId="32261"/>
    <cellStyle name="20% - Ênfase6 5 2 6 2" xfId="32262"/>
    <cellStyle name="40% - Ênfase6 5 2 6 2" xfId="32263"/>
    <cellStyle name="Normal 4 2 2 6 2" xfId="32264"/>
    <cellStyle name="Nota 2 2 2 6 2" xfId="32265"/>
    <cellStyle name="Normal 5 2 2 6 2" xfId="32266"/>
    <cellStyle name="Nota 3 2 2 6 2" xfId="32267"/>
    <cellStyle name="20% - Ênfase1 2 2 2 6 2" xfId="32268"/>
    <cellStyle name="40% - Ênfase1 2 2 2 6 2" xfId="32269"/>
    <cellStyle name="20% - Ênfase2 2 2 2 6 2" xfId="32270"/>
    <cellStyle name="40% - Ênfase2 2 2 2 6 2" xfId="32271"/>
    <cellStyle name="20% - Ênfase3 2 2 2 6 2" xfId="32272"/>
    <cellStyle name="40% - Ênfase3 2 2 2 6 2" xfId="32273"/>
    <cellStyle name="20% - Ênfase4 2 2 2 6 2" xfId="32274"/>
    <cellStyle name="40% - Ênfase4 2 2 2 6 2" xfId="32275"/>
    <cellStyle name="20% - Ênfase5 2 2 2 6 2" xfId="32276"/>
    <cellStyle name="40% - Ênfase5 2 2 2 6 2" xfId="32277"/>
    <cellStyle name="20% - Ênfase6 2 2 2 6 2" xfId="32278"/>
    <cellStyle name="40% - Ênfase6 2 2 2 6 2" xfId="32279"/>
    <cellStyle name="Normal 7 2 2 7 2" xfId="32280"/>
    <cellStyle name="Nota 4 3 7 2" xfId="32281"/>
    <cellStyle name="20% - Ênfase1 3 3 7 2" xfId="32282"/>
    <cellStyle name="40% - Ênfase1 3 3 7 2" xfId="32283"/>
    <cellStyle name="20% - Ênfase2 3 3 7 2" xfId="32284"/>
    <cellStyle name="40% - Ênfase2 3 3 7 2" xfId="32285"/>
    <cellStyle name="20% - Ênfase3 3 3 7 2" xfId="32286"/>
    <cellStyle name="40% - Ênfase3 3 3 7 2" xfId="32287"/>
    <cellStyle name="20% - Ênfase4 3 3 7 2" xfId="32288"/>
    <cellStyle name="40% - Ênfase4 3 3 7 2" xfId="32289"/>
    <cellStyle name="20% - Ênfase5 3 3 7 2" xfId="32290"/>
    <cellStyle name="40% - Ênfase5 3 3 7 2" xfId="32291"/>
    <cellStyle name="20% - Ênfase6 3 3 7 2" xfId="32292"/>
    <cellStyle name="40% - Ênfase6 3 3 7 2" xfId="32293"/>
    <cellStyle name="Normal 8 3 7 2" xfId="32294"/>
    <cellStyle name="Nota 5 3 7 2" xfId="32295"/>
    <cellStyle name="20% - Ênfase1 4 3 7 2" xfId="32296"/>
    <cellStyle name="40% - Ênfase1 4 3 7 2" xfId="32297"/>
    <cellStyle name="20% - Ênfase2 4 3 7 2" xfId="32298"/>
    <cellStyle name="40% - Ênfase2 4 3 7 2" xfId="32299"/>
    <cellStyle name="20% - Ênfase3 4 3 7 2" xfId="32300"/>
    <cellStyle name="40% - Ênfase3 4 3 7 2" xfId="32301"/>
    <cellStyle name="20% - Ênfase4 4 3 7 2" xfId="32302"/>
    <cellStyle name="40% - Ênfase4 4 3 7 2" xfId="32303"/>
    <cellStyle name="20% - Ênfase5 4 3 7 2" xfId="32304"/>
    <cellStyle name="40% - Ênfase5 4 3 7 2" xfId="32305"/>
    <cellStyle name="20% - Ênfase6 4 3 7 2" xfId="32306"/>
    <cellStyle name="40% - Ênfase6 4 3 7 2" xfId="32307"/>
    <cellStyle name="20% - Ênfase1 6 2 6 2" xfId="32308"/>
    <cellStyle name="40% - Ênfase1 6 2 6 2" xfId="32309"/>
    <cellStyle name="20% - Ênfase2 6 2 6 2" xfId="32310"/>
    <cellStyle name="40% - Ênfase2 6 2 6 2" xfId="32311"/>
    <cellStyle name="20% - Ênfase3 6 2 6 2" xfId="32312"/>
    <cellStyle name="40% - Ênfase3 6 2 6 2" xfId="32313"/>
    <cellStyle name="20% - Ênfase4 6 2 6 2" xfId="32314"/>
    <cellStyle name="40% - Ênfase4 6 2 6 2" xfId="32315"/>
    <cellStyle name="20% - Ênfase5 6 2 6 2" xfId="32316"/>
    <cellStyle name="40% - Ênfase5 6 2 6 2" xfId="32317"/>
    <cellStyle name="20% - Ênfase6 6 2 6 2" xfId="32318"/>
    <cellStyle name="40% - Ênfase6 6 2 6 2" xfId="32319"/>
    <cellStyle name="Normal 4 3 2 6 2" xfId="32320"/>
    <cellStyle name="Nota 2 3 2 6 2" xfId="32321"/>
    <cellStyle name="Normal 5 3 2 6 2" xfId="32322"/>
    <cellStyle name="Nota 3 3 2 6 2" xfId="32323"/>
    <cellStyle name="20% - Ênfase1 2 3 2 6 2" xfId="32324"/>
    <cellStyle name="40% - Ênfase1 2 3 2 6 2" xfId="32325"/>
    <cellStyle name="20% - Ênfase2 2 3 2 6 2" xfId="32326"/>
    <cellStyle name="40% - Ênfase2 2 3 2 6 2" xfId="32327"/>
    <cellStyle name="20% - Ênfase3 2 3 2 6 2" xfId="32328"/>
    <cellStyle name="40% - Ênfase3 2 3 2 6 2" xfId="32329"/>
    <cellStyle name="20% - Ênfase4 2 3 2 6 2" xfId="32330"/>
    <cellStyle name="40% - Ênfase4 2 3 2 6 2" xfId="32331"/>
    <cellStyle name="20% - Ênfase5 2 3 2 6 2" xfId="32332"/>
    <cellStyle name="40% - Ênfase5 2 3 2 6 2" xfId="32333"/>
    <cellStyle name="20% - Ênfase6 2 3 2 6 2" xfId="32334"/>
    <cellStyle name="40% - Ênfase6 2 3 2 6 2" xfId="32335"/>
    <cellStyle name="Normal 7 3 2 6 2" xfId="32336"/>
    <cellStyle name="Nota 4 2 2 6 2" xfId="32337"/>
    <cellStyle name="20% - Ênfase1 3 2 2 6 2" xfId="32338"/>
    <cellStyle name="40% - Ênfase1 3 2 2 6 2" xfId="32339"/>
    <cellStyle name="20% - Ênfase2 3 2 2 6 2" xfId="32340"/>
    <cellStyle name="40% - Ênfase2 3 2 2 6 2" xfId="32341"/>
    <cellStyle name="20% - Ênfase3 3 2 2 6 2" xfId="32342"/>
    <cellStyle name="40% - Ênfase3 3 2 2 6 2" xfId="32343"/>
    <cellStyle name="20% - Ênfase4 3 2 2 6 2" xfId="32344"/>
    <cellStyle name="40% - Ênfase4 3 2 2 6 2" xfId="32345"/>
    <cellStyle name="20% - Ênfase5 3 2 2 6 2" xfId="32346"/>
    <cellStyle name="40% - Ênfase5 3 2 2 6 2" xfId="32347"/>
    <cellStyle name="20% - Ênfase6 3 2 2 6 2" xfId="32348"/>
    <cellStyle name="40% - Ênfase6 3 2 2 6 2" xfId="32349"/>
    <cellStyle name="Normal 8 2 2 7 2" xfId="32350"/>
    <cellStyle name="Nota 5 2 2 6 2" xfId="32351"/>
    <cellStyle name="20% - Ênfase1 4 2 2 6 2" xfId="32352"/>
    <cellStyle name="40% - Ênfase1 4 2 2 6 2" xfId="32353"/>
    <cellStyle name="20% - Ênfase2 4 2 2 6 2" xfId="32354"/>
    <cellStyle name="40% - Ênfase2 4 2 2 6 2" xfId="32355"/>
    <cellStyle name="20% - Ênfase3 4 2 2 6 2" xfId="32356"/>
    <cellStyle name="40% - Ênfase3 4 2 2 6 2" xfId="32357"/>
    <cellStyle name="20% - Ênfase4 4 2 2 6 2" xfId="32358"/>
    <cellStyle name="40% - Ênfase4 4 2 2 6 2" xfId="32359"/>
    <cellStyle name="20% - Ênfase5 4 2 2 6 2" xfId="32360"/>
    <cellStyle name="40% - Ênfase5 4 2 2 6 2" xfId="32361"/>
    <cellStyle name="20% - Ênfase6 4 2 2 6 2" xfId="32362"/>
    <cellStyle name="40% - Ênfase6 4 2 2 6 2" xfId="32363"/>
    <cellStyle name="Normal 3 4 4 2" xfId="32364"/>
    <cellStyle name="20% - Ênfase1 5 3 4 2" xfId="32365"/>
    <cellStyle name="40% - Ênfase1 5 3 4 2" xfId="32366"/>
    <cellStyle name="20% - Ênfase2 5 3 4 2" xfId="32367"/>
    <cellStyle name="40% - Ênfase2 5 3 4 2" xfId="32368"/>
    <cellStyle name="20% - Ênfase3 5 3 4 2" xfId="32369"/>
    <cellStyle name="40% - Ênfase3 5 3 4 2" xfId="32370"/>
    <cellStyle name="20% - Ênfase4 5 3 4 2" xfId="32371"/>
    <cellStyle name="40% - Ênfase4 5 3 4 2" xfId="32372"/>
    <cellStyle name="20% - Ênfase5 5 3 4 2" xfId="32373"/>
    <cellStyle name="40% - Ênfase5 5 3 4 2" xfId="32374"/>
    <cellStyle name="20% - Ênfase6 5 3 4 2" xfId="32375"/>
    <cellStyle name="40% - Ênfase6 5 3 4 2" xfId="32376"/>
    <cellStyle name="Normal 4 2 3 4 2" xfId="32377"/>
    <cellStyle name="Nota 2 2 3 4 2" xfId="32378"/>
    <cellStyle name="Normal 5 2 3 4 2" xfId="32379"/>
    <cellStyle name="Nota 3 2 3 4 2" xfId="32380"/>
    <cellStyle name="20% - Ênfase1 2 2 3 4 2" xfId="32381"/>
    <cellStyle name="40% - Ênfase1 2 2 3 4 2" xfId="32382"/>
    <cellStyle name="20% - Ênfase2 2 2 3 4 2" xfId="32383"/>
    <cellStyle name="40% - Ênfase2 2 2 3 4 2" xfId="32384"/>
    <cellStyle name="20% - Ênfase3 2 2 3 4 2" xfId="32385"/>
    <cellStyle name="40% - Ênfase3 2 2 3 4 2" xfId="32386"/>
    <cellStyle name="20% - Ênfase4 2 2 3 4 2" xfId="32387"/>
    <cellStyle name="40% - Ênfase4 2 2 3 4 2" xfId="32388"/>
    <cellStyle name="20% - Ênfase5 2 2 3 4 2" xfId="32389"/>
    <cellStyle name="40% - Ênfase5 2 2 3 4 2" xfId="32390"/>
    <cellStyle name="20% - Ênfase6 2 2 3 4 2" xfId="32391"/>
    <cellStyle name="40% - Ênfase6 2 2 3 4 2" xfId="32392"/>
    <cellStyle name="Normal 7 2 3 4 2" xfId="32393"/>
    <cellStyle name="Nota 4 5 4 2" xfId="32394"/>
    <cellStyle name="20% - Ênfase1 3 5 4 2" xfId="32395"/>
    <cellStyle name="40% - Ênfase1 3 5 4 2" xfId="32396"/>
    <cellStyle name="20% - Ênfase2 3 5 4 2" xfId="32397"/>
    <cellStyle name="40% - Ênfase2 3 5 4 2" xfId="32398"/>
    <cellStyle name="20% - Ênfase3 3 5 4 2" xfId="32399"/>
    <cellStyle name="40% - Ênfase3 3 5 4 2" xfId="32400"/>
    <cellStyle name="20% - Ênfase4 3 5 4 2" xfId="32401"/>
    <cellStyle name="40% - Ênfase4 3 5 4 2" xfId="32402"/>
    <cellStyle name="20% - Ênfase5 3 5 4 2" xfId="32403"/>
    <cellStyle name="40% - Ênfase5 3 5 4 2" xfId="32404"/>
    <cellStyle name="20% - Ênfase6 3 5 4 2" xfId="32405"/>
    <cellStyle name="40% - Ênfase6 3 5 4 2" xfId="32406"/>
    <cellStyle name="Normal 8 5 7 2" xfId="32407"/>
    <cellStyle name="Nota 5 5 4 2" xfId="32408"/>
    <cellStyle name="20% - Ênfase1 4 5 4 2" xfId="32409"/>
    <cellStyle name="40% - Ênfase1 4 5 4 2" xfId="32410"/>
    <cellStyle name="20% - Ênfase2 4 5 4 2" xfId="32411"/>
    <cellStyle name="40% - Ênfase2 4 5 4 2" xfId="32412"/>
    <cellStyle name="20% - Ênfase3 4 5 4 2" xfId="32413"/>
    <cellStyle name="40% - Ênfase3 4 5 4 2" xfId="32414"/>
    <cellStyle name="20% - Ênfase4 4 5 4 2" xfId="32415"/>
    <cellStyle name="40% - Ênfase4 4 5 4 2" xfId="32416"/>
    <cellStyle name="20% - Ênfase5 4 5 4 2" xfId="32417"/>
    <cellStyle name="40% - Ênfase5 4 5 4 2" xfId="32418"/>
    <cellStyle name="20% - Ênfase6 4 5 4 2" xfId="32419"/>
    <cellStyle name="40% - Ênfase6 4 5 4 2" xfId="32420"/>
    <cellStyle name="20% - Ênfase1 6 3 4 2" xfId="32421"/>
    <cellStyle name="40% - Ênfase1 6 3 4 2" xfId="32422"/>
    <cellStyle name="20% - Ênfase2 6 3 4 2" xfId="32423"/>
    <cellStyle name="40% - Ênfase2 6 3 4 2" xfId="32424"/>
    <cellStyle name="20% - Ênfase3 6 3 4 2" xfId="32425"/>
    <cellStyle name="40% - Ênfase3 6 3 4 2" xfId="32426"/>
    <cellStyle name="20% - Ênfase4 6 3 4 2" xfId="32427"/>
    <cellStyle name="40% - Ênfase4 6 3 4 2" xfId="32428"/>
    <cellStyle name="20% - Ênfase5 6 3 4 2" xfId="32429"/>
    <cellStyle name="40% - Ênfase5 6 3 4 2" xfId="32430"/>
    <cellStyle name="20% - Ênfase6 6 3 4 2" xfId="32431"/>
    <cellStyle name="40% - Ênfase6 6 3 4 2" xfId="32432"/>
    <cellStyle name="Normal 4 3 3 4 2" xfId="32433"/>
    <cellStyle name="Nota 2 3 3 4 2" xfId="32434"/>
    <cellStyle name="Normal 5 3 3 4 2" xfId="32435"/>
    <cellStyle name="Nota 3 3 3 4 2" xfId="32436"/>
    <cellStyle name="20% - Ênfase1 2 3 3 4 2" xfId="32437"/>
    <cellStyle name="40% - Ênfase1 2 3 3 4 2" xfId="32438"/>
    <cellStyle name="20% - Ênfase2 2 3 3 4 2" xfId="32439"/>
    <cellStyle name="40% - Ênfase2 2 3 3 4 2" xfId="32440"/>
    <cellStyle name="20% - Ênfase3 2 3 3 4 2" xfId="32441"/>
    <cellStyle name="40% - Ênfase3 2 3 3 4 2" xfId="32442"/>
    <cellStyle name="20% - Ênfase4 2 3 3 4 2" xfId="32443"/>
    <cellStyle name="40% - Ênfase4 2 3 3 4 2" xfId="32444"/>
    <cellStyle name="20% - Ênfase5 2 3 3 4 2" xfId="32445"/>
    <cellStyle name="40% - Ênfase5 2 3 3 4 2" xfId="32446"/>
    <cellStyle name="20% - Ênfase6 2 3 3 4 2" xfId="32447"/>
    <cellStyle name="40% - Ênfase6 2 3 3 4 2" xfId="32448"/>
    <cellStyle name="Normal 7 3 3 4 2" xfId="32449"/>
    <cellStyle name="Nota 4 2 3 4 2" xfId="32450"/>
    <cellStyle name="20% - Ênfase1 3 2 3 4 2" xfId="32451"/>
    <cellStyle name="40% - Ênfase1 3 2 3 4 2" xfId="32452"/>
    <cellStyle name="20% - Ênfase2 3 2 3 4 2" xfId="32453"/>
    <cellStyle name="40% - Ênfase2 3 2 3 4 2" xfId="32454"/>
    <cellStyle name="20% - Ênfase3 3 2 3 4 2" xfId="32455"/>
    <cellStyle name="40% - Ênfase3 3 2 3 4 2" xfId="32456"/>
    <cellStyle name="20% - Ênfase4 3 2 3 4 2" xfId="32457"/>
    <cellStyle name="40% - Ênfase4 3 2 3 4 2" xfId="32458"/>
    <cellStyle name="20% - Ênfase5 3 2 3 4 2" xfId="32459"/>
    <cellStyle name="40% - Ênfase5 3 2 3 4 2" xfId="32460"/>
    <cellStyle name="20% - Ênfase6 3 2 3 4 2" xfId="32461"/>
    <cellStyle name="40% - Ênfase6 3 2 3 4 2" xfId="32462"/>
    <cellStyle name="Normal 8 2 3 4 2" xfId="32463"/>
    <cellStyle name="Nota 5 2 3 4 2" xfId="32464"/>
    <cellStyle name="20% - Ênfase1 4 2 3 4 2" xfId="32465"/>
    <cellStyle name="40% - Ênfase1 4 2 3 4 2" xfId="32466"/>
    <cellStyle name="20% - Ênfase2 4 2 3 4 2" xfId="32467"/>
    <cellStyle name="40% - Ênfase2 4 2 3 4 2" xfId="32468"/>
    <cellStyle name="20% - Ênfase3 4 2 3 4 2" xfId="32469"/>
    <cellStyle name="40% - Ênfase3 4 2 3 4 2" xfId="32470"/>
    <cellStyle name="20% - Ênfase4 4 2 3 4 2" xfId="32471"/>
    <cellStyle name="40% - Ênfase4 4 2 3 4 2" xfId="32472"/>
    <cellStyle name="20% - Ênfase5 4 2 3 4 2" xfId="32473"/>
    <cellStyle name="40% - Ênfase5 4 2 3 4 2" xfId="32474"/>
    <cellStyle name="20% - Ênfase6 4 2 3 4 2" xfId="32475"/>
    <cellStyle name="40% - Ênfase6 4 2 3 4 2" xfId="32476"/>
    <cellStyle name="20% - Ênfase1 8 2 4 2" xfId="32477"/>
    <cellStyle name="40% - Ênfase1 8 2 4 2" xfId="32478"/>
    <cellStyle name="20% - Ênfase2 8 2 4 2" xfId="32479"/>
    <cellStyle name="40% - Ênfase2 8 2 4 2" xfId="32480"/>
    <cellStyle name="20% - Ênfase3 8 2 4 2" xfId="32481"/>
    <cellStyle name="40% - Ênfase3 8 2 4 2" xfId="32482"/>
    <cellStyle name="20% - Ênfase4 8 2 4 2" xfId="32483"/>
    <cellStyle name="40% - Ênfase4 8 2 4 2" xfId="32484"/>
    <cellStyle name="20% - Ênfase5 8 2 4 2" xfId="32485"/>
    <cellStyle name="40% - Ênfase5 8 2 4 2" xfId="32486"/>
    <cellStyle name="20% - Ênfase6 8 2 4 2" xfId="32487"/>
    <cellStyle name="40% - Ênfase6 8 2 4 2" xfId="32488"/>
    <cellStyle name="Normal 4 5 2 4 2" xfId="32489"/>
    <cellStyle name="Nota 2 5 2 4 2" xfId="32490"/>
    <cellStyle name="Normal 5 5 2 4 2" xfId="32491"/>
    <cellStyle name="Nota 3 5 2 4 2" xfId="32492"/>
    <cellStyle name="20% - Ênfase1 2 5 2 4 2" xfId="32493"/>
    <cellStyle name="40% - Ênfase1 2 5 2 4 2" xfId="32494"/>
    <cellStyle name="20% - Ênfase2 2 5 2 4 2" xfId="32495"/>
    <cellStyle name="40% - Ênfase2 2 5 2 4 2" xfId="32496"/>
    <cellStyle name="20% - Ênfase3 2 5 2 4 2" xfId="32497"/>
    <cellStyle name="40% - Ênfase3 2 5 2 4 2" xfId="32498"/>
    <cellStyle name="20% - Ênfase4 2 5 2 4 2" xfId="32499"/>
    <cellStyle name="40% - Ênfase4 2 5 2 4 2" xfId="32500"/>
    <cellStyle name="20% - Ênfase5 2 5 2 4 2" xfId="32501"/>
    <cellStyle name="40% - Ênfase5 2 5 2 4 2" xfId="32502"/>
    <cellStyle name="20% - Ênfase6 2 5 2 4 2" xfId="32503"/>
    <cellStyle name="40% - Ênfase6 2 5 2 4 2" xfId="32504"/>
    <cellStyle name="Normal 7 5 2 4 2" xfId="32505"/>
    <cellStyle name="Nota 4 4 2 4 2" xfId="32506"/>
    <cellStyle name="20% - Ênfase1 3 4 2 4 2" xfId="32507"/>
    <cellStyle name="40% - Ênfase1 3 4 2 4 2" xfId="32508"/>
    <cellStyle name="20% - Ênfase2 3 4 2 4 2" xfId="32509"/>
    <cellStyle name="40% - Ênfase2 3 4 2 4 2" xfId="32510"/>
    <cellStyle name="20% - Ênfase3 3 4 2 4 2" xfId="32511"/>
    <cellStyle name="40% - Ênfase3 3 4 2 4 2" xfId="32512"/>
    <cellStyle name="20% - Ênfase4 3 4 2 4 2" xfId="32513"/>
    <cellStyle name="40% - Ênfase4 3 4 2 4 2" xfId="32514"/>
    <cellStyle name="20% - Ênfase5 3 4 2 4 2" xfId="32515"/>
    <cellStyle name="40% - Ênfase5 3 4 2 4 2" xfId="32516"/>
    <cellStyle name="20% - Ênfase6 3 4 2 4 2" xfId="32517"/>
    <cellStyle name="40% - Ênfase6 3 4 2 4 2" xfId="32518"/>
    <cellStyle name="Normal 8 4 2 5 2" xfId="32519"/>
    <cellStyle name="Nota 5 4 2 4 2" xfId="32520"/>
    <cellStyle name="20% - Ênfase1 4 4 2 4 2" xfId="32521"/>
    <cellStyle name="40% - Ênfase1 4 4 2 4 2" xfId="32522"/>
    <cellStyle name="20% - Ênfase2 4 4 2 4 2" xfId="32523"/>
    <cellStyle name="40% - Ênfase2 4 4 2 4 2" xfId="32524"/>
    <cellStyle name="20% - Ênfase3 4 4 2 4 2" xfId="32525"/>
    <cellStyle name="40% - Ênfase3 4 4 2 4 2" xfId="32526"/>
    <cellStyle name="20% - Ênfase4 4 4 2 4 2" xfId="32527"/>
    <cellStyle name="40% - Ênfase4 4 4 2 4 2" xfId="32528"/>
    <cellStyle name="20% - Ênfase5 4 4 2 4 2" xfId="32529"/>
    <cellStyle name="40% - Ênfase5 4 4 2 4 2" xfId="32530"/>
    <cellStyle name="20% - Ênfase6 4 4 2 4 2" xfId="32531"/>
    <cellStyle name="40% - Ênfase6 4 4 2 4 2" xfId="32532"/>
    <cellStyle name="Normal 3 3 2 4 2" xfId="32533"/>
    <cellStyle name="20% - Ênfase1 5 2 2 4 2" xfId="32534"/>
    <cellStyle name="40% - Ênfase1 5 2 2 4 2" xfId="32535"/>
    <cellStyle name="20% - Ênfase2 5 2 2 4 2" xfId="32536"/>
    <cellStyle name="40% - Ênfase2 5 2 2 4 2" xfId="32537"/>
    <cellStyle name="20% - Ênfase3 5 2 2 4 2" xfId="32538"/>
    <cellStyle name="40% - Ênfase3 5 2 2 4 2" xfId="32539"/>
    <cellStyle name="20% - Ênfase4 5 2 2 4 2" xfId="32540"/>
    <cellStyle name="40% - Ênfase4 5 2 2 4 2" xfId="32541"/>
    <cellStyle name="20% - Ênfase5 5 2 2 4 2" xfId="32542"/>
    <cellStyle name="40% - Ênfase5 5 2 2 4 2" xfId="32543"/>
    <cellStyle name="20% - Ênfase6 5 2 2 4 2" xfId="32544"/>
    <cellStyle name="40% - Ênfase6 5 2 2 4 2" xfId="32545"/>
    <cellStyle name="Normal 4 2 2 2 4 2" xfId="32546"/>
    <cellStyle name="Nota 2 2 2 2 4 2" xfId="32547"/>
    <cellStyle name="Normal 5 2 2 2 4 2" xfId="32548"/>
    <cellStyle name="Nota 3 2 2 2 4 2" xfId="32549"/>
    <cellStyle name="20% - Ênfase1 2 2 2 2 4 2" xfId="32550"/>
    <cellStyle name="40% - Ênfase1 2 2 2 2 4 2" xfId="32551"/>
    <cellStyle name="20% - Ênfase2 2 2 2 2 4 2" xfId="32552"/>
    <cellStyle name="40% - Ênfase2 2 2 2 2 4 2" xfId="32553"/>
    <cellStyle name="20% - Ênfase3 2 2 2 2 4 2" xfId="32554"/>
    <cellStyle name="40% - Ênfase3 2 2 2 2 4 2" xfId="32555"/>
    <cellStyle name="20% - Ênfase4 2 2 2 2 4 2" xfId="32556"/>
    <cellStyle name="40% - Ênfase4 2 2 2 2 4 2" xfId="32557"/>
    <cellStyle name="20% - Ênfase5 2 2 2 2 4 2" xfId="32558"/>
    <cellStyle name="40% - Ênfase5 2 2 2 2 4 2" xfId="32559"/>
    <cellStyle name="20% - Ênfase6 2 2 2 2 4 2" xfId="32560"/>
    <cellStyle name="40% - Ênfase6 2 2 2 2 4 2" xfId="32561"/>
    <cellStyle name="Normal 7 2 2 2 4 2" xfId="32562"/>
    <cellStyle name="Nota 4 3 2 4 2" xfId="32563"/>
    <cellStyle name="20% - Ênfase1 3 3 2 4 2" xfId="32564"/>
    <cellStyle name="40% - Ênfase1 3 3 2 4 2" xfId="32565"/>
    <cellStyle name="20% - Ênfase2 3 3 2 4 2" xfId="32566"/>
    <cellStyle name="40% - Ênfase2 3 3 2 4 2" xfId="32567"/>
    <cellStyle name="20% - Ênfase3 3 3 2 4 2" xfId="32568"/>
    <cellStyle name="40% - Ênfase3 3 3 2 4 2" xfId="32569"/>
    <cellStyle name="20% - Ênfase4 3 3 2 4 2" xfId="32570"/>
    <cellStyle name="40% - Ênfase4 3 3 2 4 2" xfId="32571"/>
    <cellStyle name="20% - Ênfase5 3 3 2 4 2" xfId="32572"/>
    <cellStyle name="40% - Ênfase5 3 3 2 4 2" xfId="32573"/>
    <cellStyle name="20% - Ênfase6 3 3 2 4 2" xfId="32574"/>
    <cellStyle name="40% - Ênfase6 3 3 2 4 2" xfId="32575"/>
    <cellStyle name="Normal 8 3 2 5 2" xfId="32576"/>
    <cellStyle name="Nota 5 3 2 4 2" xfId="32577"/>
    <cellStyle name="20% - Ênfase1 4 3 2 4 2" xfId="32578"/>
    <cellStyle name="40% - Ênfase1 4 3 2 4 2" xfId="32579"/>
    <cellStyle name="20% - Ênfase2 4 3 2 4 2" xfId="32580"/>
    <cellStyle name="40% - Ênfase2 4 3 2 4 2" xfId="32581"/>
    <cellStyle name="20% - Ênfase3 4 3 2 4 2" xfId="32582"/>
    <cellStyle name="40% - Ênfase3 4 3 2 4 2" xfId="32583"/>
    <cellStyle name="20% - Ênfase4 4 3 2 4 2" xfId="32584"/>
    <cellStyle name="40% - Ênfase4 4 3 2 4 2" xfId="32585"/>
    <cellStyle name="20% - Ênfase5 4 3 2 4 2" xfId="32586"/>
    <cellStyle name="40% - Ênfase5 4 3 2 4 2" xfId="32587"/>
    <cellStyle name="20% - Ênfase6 4 3 2 4 2" xfId="32588"/>
    <cellStyle name="40% - Ênfase6 4 3 2 4 2" xfId="32589"/>
    <cellStyle name="20% - Ênfase1 6 2 2 4 2" xfId="32590"/>
    <cellStyle name="40% - Ênfase1 6 2 2 4 2" xfId="32591"/>
    <cellStyle name="20% - Ênfase2 6 2 2 4 2" xfId="32592"/>
    <cellStyle name="40% - Ênfase2 6 2 2 4 2" xfId="32593"/>
    <cellStyle name="20% - Ênfase3 6 2 2 4 2" xfId="32594"/>
    <cellStyle name="40% - Ênfase3 6 2 2 4 2" xfId="32595"/>
    <cellStyle name="20% - Ênfase4 6 2 2 4 2" xfId="32596"/>
    <cellStyle name="40% - Ênfase4 6 2 2 4 2" xfId="32597"/>
    <cellStyle name="20% - Ênfase5 6 2 2 4 2" xfId="32598"/>
    <cellStyle name="40% - Ênfase5 6 2 2 4 2" xfId="32599"/>
    <cellStyle name="20% - Ênfase6 6 2 2 4 2" xfId="32600"/>
    <cellStyle name="40% - Ênfase6 6 2 2 4 2" xfId="32601"/>
    <cellStyle name="Normal 4 3 2 2 4 2" xfId="32602"/>
    <cellStyle name="Nota 2 3 2 2 4 2" xfId="32603"/>
    <cellStyle name="Normal 5 3 2 2 4 2" xfId="32604"/>
    <cellStyle name="Nota 3 3 2 2 4 2" xfId="32605"/>
    <cellStyle name="20% - Ênfase1 2 3 2 2 4 2" xfId="32606"/>
    <cellStyle name="40% - Ênfase1 2 3 2 2 4 2" xfId="32607"/>
    <cellStyle name="20% - Ênfase2 2 3 2 2 4 2" xfId="32608"/>
    <cellStyle name="40% - Ênfase2 2 3 2 2 4 2" xfId="32609"/>
    <cellStyle name="20% - Ênfase3 2 3 2 2 4 2" xfId="32610"/>
    <cellStyle name="40% - Ênfase3 2 3 2 2 4 2" xfId="32611"/>
    <cellStyle name="20% - Ênfase4 2 3 2 2 4 2" xfId="32612"/>
    <cellStyle name="40% - Ênfase4 2 3 2 2 4 2" xfId="32613"/>
    <cellStyle name="20% - Ênfase5 2 3 2 2 4 2" xfId="32614"/>
    <cellStyle name="40% - Ênfase5 2 3 2 2 4 2" xfId="32615"/>
    <cellStyle name="20% - Ênfase6 2 3 2 2 4 2" xfId="32616"/>
    <cellStyle name="40% - Ênfase6 2 3 2 2 4 2" xfId="32617"/>
    <cellStyle name="Normal 7 3 2 2 4 2" xfId="32618"/>
    <cellStyle name="Nota 4 2 2 2 4 2" xfId="32619"/>
    <cellStyle name="20% - Ênfase1 3 2 2 2 4 2" xfId="32620"/>
    <cellStyle name="40% - Ênfase1 3 2 2 2 4 2" xfId="32621"/>
    <cellStyle name="20% - Ênfase2 3 2 2 2 4 2" xfId="32622"/>
    <cellStyle name="40% - Ênfase2 3 2 2 2 4 2" xfId="32623"/>
    <cellStyle name="20% - Ênfase3 3 2 2 2 4 2" xfId="32624"/>
    <cellStyle name="40% - Ênfase3 3 2 2 2 4 2" xfId="32625"/>
    <cellStyle name="20% - Ênfase4 3 2 2 2 4 2" xfId="32626"/>
    <cellStyle name="40% - Ênfase4 3 2 2 2 4 2" xfId="32627"/>
    <cellStyle name="20% - Ênfase5 3 2 2 2 4 2" xfId="32628"/>
    <cellStyle name="40% - Ênfase5 3 2 2 2 4 2" xfId="32629"/>
    <cellStyle name="20% - Ênfase6 3 2 2 2 4 2" xfId="32630"/>
    <cellStyle name="40% - Ênfase6 3 2 2 2 4 2" xfId="32631"/>
    <cellStyle name="Normal 8 2 2 2 4 2" xfId="32632"/>
    <cellStyle name="Nota 5 2 2 2 4 2" xfId="32633"/>
    <cellStyle name="20% - Ênfase1 4 2 2 2 4 2" xfId="32634"/>
    <cellStyle name="40% - Ênfase1 4 2 2 2 4 2" xfId="32635"/>
    <cellStyle name="20% - Ênfase2 4 2 2 2 4 2" xfId="32636"/>
    <cellStyle name="40% - Ênfase2 4 2 2 2 4 2" xfId="32637"/>
    <cellStyle name="20% - Ênfase3 4 2 2 2 4 2" xfId="32638"/>
    <cellStyle name="40% - Ênfase3 4 2 2 2 4 2" xfId="32639"/>
    <cellStyle name="20% - Ênfase4 4 2 2 2 4 2" xfId="32640"/>
    <cellStyle name="40% - Ênfase4 4 2 2 2 4 2" xfId="32641"/>
    <cellStyle name="20% - Ênfase5 4 2 2 2 4 2" xfId="32642"/>
    <cellStyle name="40% - Ênfase5 4 2 2 2 4 2" xfId="32643"/>
    <cellStyle name="20% - Ênfase6 4 2 2 2 4 2" xfId="32644"/>
    <cellStyle name="40% - Ênfase6 4 2 2 2 4 2" xfId="32645"/>
    <cellStyle name="Normal 3 5 4 2" xfId="32646"/>
    <cellStyle name="20% - Ênfase1 5 4 4 2" xfId="32647"/>
    <cellStyle name="40% - Ênfase1 5 4 4 2" xfId="32648"/>
    <cellStyle name="20% - Ênfase2 5 4 4 2" xfId="32649"/>
    <cellStyle name="40% - Ênfase2 5 4 4 2" xfId="32650"/>
    <cellStyle name="20% - Ênfase3 5 4 4 2" xfId="32651"/>
    <cellStyle name="40% - Ênfase3 5 4 4 2" xfId="32652"/>
    <cellStyle name="20% - Ênfase4 5 4 4 2" xfId="32653"/>
    <cellStyle name="40% - Ênfase4 5 4 4 2" xfId="32654"/>
    <cellStyle name="20% - Ênfase5 5 4 4 2" xfId="32655"/>
    <cellStyle name="40% - Ênfase5 5 4 4 2" xfId="32656"/>
    <cellStyle name="20% - Ênfase6 5 4 4 2" xfId="32657"/>
    <cellStyle name="40% - Ênfase6 5 4 4 2" xfId="32658"/>
    <cellStyle name="Normal 4 2 4 4 2" xfId="32659"/>
    <cellStyle name="Nota 2 2 4 4 2" xfId="32660"/>
    <cellStyle name="Normal 5 2 4 4 2" xfId="32661"/>
    <cellStyle name="Nota 3 2 4 4 2" xfId="32662"/>
    <cellStyle name="20% - Ênfase1 2 2 4 4 2" xfId="32663"/>
    <cellStyle name="40% - Ênfase1 2 2 4 4 2" xfId="32664"/>
    <cellStyle name="20% - Ênfase2 2 2 4 4 2" xfId="32665"/>
    <cellStyle name="40% - Ênfase2 2 2 4 4 2" xfId="32666"/>
    <cellStyle name="20% - Ênfase3 2 2 4 4 2" xfId="32667"/>
    <cellStyle name="40% - Ênfase3 2 2 4 4 2" xfId="32668"/>
    <cellStyle name="20% - Ênfase4 2 2 4 4 2" xfId="32669"/>
    <cellStyle name="40% - Ênfase4 2 2 4 4 2" xfId="32670"/>
    <cellStyle name="20% - Ênfase5 2 2 4 4 2" xfId="32671"/>
    <cellStyle name="40% - Ênfase5 2 2 4 4 2" xfId="32672"/>
    <cellStyle name="20% - Ênfase6 2 2 4 4 2" xfId="32673"/>
    <cellStyle name="40% - Ênfase6 2 2 4 4 2" xfId="32674"/>
    <cellStyle name="Normal 7 2 4 4 2" xfId="32675"/>
    <cellStyle name="Nota 4 6 4 2" xfId="32676"/>
    <cellStyle name="20% - Ênfase1 3 6 4 2" xfId="32677"/>
    <cellStyle name="40% - Ênfase1 3 6 4 2" xfId="32678"/>
    <cellStyle name="20% - Ênfase2 3 6 4 2" xfId="32679"/>
    <cellStyle name="40% - Ênfase2 3 6 4 2" xfId="32680"/>
    <cellStyle name="20% - Ênfase3 3 6 4 2" xfId="32681"/>
    <cellStyle name="40% - Ênfase3 3 6 4 2" xfId="32682"/>
    <cellStyle name="20% - Ênfase4 3 6 4 2" xfId="32683"/>
    <cellStyle name="40% - Ênfase4 3 6 4 2" xfId="32684"/>
    <cellStyle name="20% - Ênfase5 3 6 4 2" xfId="32685"/>
    <cellStyle name="40% - Ênfase5 3 6 4 2" xfId="32686"/>
    <cellStyle name="20% - Ênfase6 3 6 4 2" xfId="32687"/>
    <cellStyle name="40% - Ênfase6 3 6 4 2" xfId="32688"/>
    <cellStyle name="Normal 8 6 5 2" xfId="32689"/>
    <cellStyle name="Nota 5 6 4 2" xfId="32690"/>
    <cellStyle name="20% - Ênfase1 4 6 4 2" xfId="32691"/>
    <cellStyle name="40% - Ênfase1 4 6 4 2" xfId="32692"/>
    <cellStyle name="20% - Ênfase2 4 6 4 2" xfId="32693"/>
    <cellStyle name="40% - Ênfase2 4 6 4 2" xfId="32694"/>
    <cellStyle name="20% - Ênfase3 4 6 4 2" xfId="32695"/>
    <cellStyle name="40% - Ênfase3 4 6 4 2" xfId="32696"/>
    <cellStyle name="20% - Ênfase4 4 6 4 2" xfId="32697"/>
    <cellStyle name="40% - Ênfase4 4 6 4 2" xfId="32698"/>
    <cellStyle name="20% - Ênfase5 4 6 4 2" xfId="32699"/>
    <cellStyle name="40% - Ênfase5 4 6 4 2" xfId="32700"/>
    <cellStyle name="20% - Ênfase6 4 6 4 2" xfId="32701"/>
    <cellStyle name="40% - Ênfase6 4 6 4 2" xfId="32702"/>
    <cellStyle name="20% - Ênfase1 6 4 4 2" xfId="32703"/>
    <cellStyle name="40% - Ênfase1 6 4 4 2" xfId="32704"/>
    <cellStyle name="20% - Ênfase2 6 4 4 2" xfId="32705"/>
    <cellStyle name="40% - Ênfase2 6 4 4 2" xfId="32706"/>
    <cellStyle name="20% - Ênfase3 6 4 4 2" xfId="32707"/>
    <cellStyle name="40% - Ênfase3 6 4 4 2" xfId="32708"/>
    <cellStyle name="20% - Ênfase4 6 4 4 2" xfId="32709"/>
    <cellStyle name="40% - Ênfase4 6 4 4 2" xfId="32710"/>
    <cellStyle name="20% - Ênfase5 6 4 4 2" xfId="32711"/>
    <cellStyle name="40% - Ênfase5 6 4 4 2" xfId="32712"/>
    <cellStyle name="20% - Ênfase6 6 4 4 2" xfId="32713"/>
    <cellStyle name="40% - Ênfase6 6 4 4 2" xfId="32714"/>
    <cellStyle name="Normal 4 3 4 4 2" xfId="32715"/>
    <cellStyle name="Nota 2 3 4 4 2" xfId="32716"/>
    <cellStyle name="Normal 5 3 4 4 2" xfId="32717"/>
    <cellStyle name="Nota 3 3 4 4 2" xfId="32718"/>
    <cellStyle name="20% - Ênfase1 2 3 4 4 2" xfId="32719"/>
    <cellStyle name="40% - Ênfase1 2 3 4 4 2" xfId="32720"/>
    <cellStyle name="20% - Ênfase2 2 3 4 4 2" xfId="32721"/>
    <cellStyle name="40% - Ênfase2 2 3 4 4 2" xfId="32722"/>
    <cellStyle name="20% - Ênfase3 2 3 4 4 2" xfId="32723"/>
    <cellStyle name="40% - Ênfase3 2 3 4 4 2" xfId="32724"/>
    <cellStyle name="20% - Ênfase4 2 3 4 4 2" xfId="32725"/>
    <cellStyle name="40% - Ênfase4 2 3 4 4 2" xfId="32726"/>
    <cellStyle name="20% - Ênfase5 2 3 4 4 2" xfId="32727"/>
    <cellStyle name="40% - Ênfase5 2 3 4 4 2" xfId="32728"/>
    <cellStyle name="20% - Ênfase6 2 3 4 4 2" xfId="32729"/>
    <cellStyle name="40% - Ênfase6 2 3 4 4 2" xfId="32730"/>
    <cellStyle name="Normal 7 3 4 4 2" xfId="32731"/>
    <cellStyle name="Nota 4 2 4 4 2" xfId="32732"/>
    <cellStyle name="20% - Ênfase1 3 2 4 4 2" xfId="32733"/>
    <cellStyle name="40% - Ênfase1 3 2 4 4 2" xfId="32734"/>
    <cellStyle name="20% - Ênfase2 3 2 4 4 2" xfId="32735"/>
    <cellStyle name="40% - Ênfase2 3 2 4 4 2" xfId="32736"/>
    <cellStyle name="20% - Ênfase3 3 2 4 4 2" xfId="32737"/>
    <cellStyle name="40% - Ênfase3 3 2 4 4 2" xfId="32738"/>
    <cellStyle name="20% - Ênfase4 3 2 4 4 2" xfId="32739"/>
    <cellStyle name="40% - Ênfase4 3 2 4 4 2" xfId="32740"/>
    <cellStyle name="20% - Ênfase5 3 2 4 4 2" xfId="32741"/>
    <cellStyle name="40% - Ênfase5 3 2 4 4 2" xfId="32742"/>
    <cellStyle name="20% - Ênfase6 3 2 4 4 2" xfId="32743"/>
    <cellStyle name="40% - Ênfase6 3 2 4 4 2" xfId="32744"/>
    <cellStyle name="Normal 8 2 4 4 2" xfId="32745"/>
    <cellStyle name="Nota 5 2 4 4 2" xfId="32746"/>
    <cellStyle name="20% - Ênfase1 4 2 4 4 2" xfId="32747"/>
    <cellStyle name="40% - Ênfase1 4 2 4 4 2" xfId="32748"/>
    <cellStyle name="20% - Ênfase2 4 2 4 4 2" xfId="32749"/>
    <cellStyle name="40% - Ênfase2 4 2 4 4 2" xfId="32750"/>
    <cellStyle name="20% - Ênfase3 4 2 4 4 2" xfId="32751"/>
    <cellStyle name="40% - Ênfase3 4 2 4 4 2" xfId="32752"/>
    <cellStyle name="20% - Ênfase4 4 2 4 4 2" xfId="32753"/>
    <cellStyle name="40% - Ênfase4 4 2 4 4 2" xfId="32754"/>
    <cellStyle name="20% - Ênfase5 4 2 4 4 2" xfId="32755"/>
    <cellStyle name="40% - Ênfase5 4 2 4 4 2" xfId="32756"/>
    <cellStyle name="20% - Ênfase6 4 2 4 4 2" xfId="32757"/>
    <cellStyle name="40% - Ênfase6 4 2 4 4 2" xfId="32758"/>
    <cellStyle name="20% - Ênfase1 8 3 4 2" xfId="32759"/>
    <cellStyle name="40% - Ênfase1 8 3 4 2" xfId="32760"/>
    <cellStyle name="20% - Ênfase2 8 3 4 2" xfId="32761"/>
    <cellStyle name="40% - Ênfase2 8 3 4 2" xfId="32762"/>
    <cellStyle name="20% - Ênfase3 8 3 4 2" xfId="32763"/>
    <cellStyle name="40% - Ênfase3 8 3 4 2" xfId="32764"/>
    <cellStyle name="20% - Ênfase4 8 3 4 2" xfId="32765"/>
    <cellStyle name="40% - Ênfase4 8 3 4 2" xfId="32766"/>
    <cellStyle name="20% - Ênfase5 8 3 4 2" xfId="32767"/>
    <cellStyle name="40% - Ênfase5 8 3 4 2" xfId="32768"/>
    <cellStyle name="20% - Ênfase6 8 3 4 2" xfId="32769"/>
    <cellStyle name="40% - Ênfase6 8 3 4 2" xfId="32770"/>
    <cellStyle name="Normal 4 5 3 4 2" xfId="32771"/>
    <cellStyle name="Nota 2 5 3 4 2" xfId="32772"/>
    <cellStyle name="Normal 5 5 3 4 2" xfId="32773"/>
    <cellStyle name="Nota 3 5 3 4 2" xfId="32774"/>
    <cellStyle name="20% - Ênfase1 2 5 3 4 2" xfId="32775"/>
    <cellStyle name="40% - Ênfase1 2 5 3 4 2" xfId="32776"/>
    <cellStyle name="20% - Ênfase2 2 5 3 4 2" xfId="32777"/>
    <cellStyle name="40% - Ênfase2 2 5 3 4 2" xfId="32778"/>
    <cellStyle name="20% - Ênfase3 2 5 3 4 2" xfId="32779"/>
    <cellStyle name="40% - Ênfase3 2 5 3 4 2" xfId="32780"/>
    <cellStyle name="20% - Ênfase4 2 5 3 4 2" xfId="32781"/>
    <cellStyle name="40% - Ênfase4 2 5 3 4 2" xfId="32782"/>
    <cellStyle name="20% - Ênfase5 2 5 3 4 2" xfId="32783"/>
    <cellStyle name="40% - Ênfase5 2 5 3 4 2" xfId="32784"/>
    <cellStyle name="20% - Ênfase6 2 5 3 4 2" xfId="32785"/>
    <cellStyle name="40% - Ênfase6 2 5 3 4 2" xfId="32786"/>
    <cellStyle name="Normal 7 5 3 4 2" xfId="32787"/>
    <cellStyle name="Nota 4 4 3 4 2" xfId="32788"/>
    <cellStyle name="20% - Ênfase1 3 4 3 4 2" xfId="32789"/>
    <cellStyle name="40% - Ênfase1 3 4 3 4 2" xfId="32790"/>
    <cellStyle name="20% - Ênfase2 3 4 3 4 2" xfId="32791"/>
    <cellStyle name="40% - Ênfase2 3 4 3 4 2" xfId="32792"/>
    <cellStyle name="20% - Ênfase3 3 4 3 4 2" xfId="32793"/>
    <cellStyle name="40% - Ênfase3 3 4 3 4 2" xfId="32794"/>
    <cellStyle name="20% - Ênfase4 3 4 3 4 2" xfId="32795"/>
    <cellStyle name="40% - Ênfase4 3 4 3 4 2" xfId="32796"/>
    <cellStyle name="20% - Ênfase5 3 4 3 4 2" xfId="32797"/>
    <cellStyle name="40% - Ênfase5 3 4 3 4 2" xfId="32798"/>
    <cellStyle name="20% - Ênfase6 3 4 3 4 2" xfId="32799"/>
    <cellStyle name="40% - Ênfase6 3 4 3 4 2" xfId="32800"/>
    <cellStyle name="Normal 8 4 3 4 2" xfId="32801"/>
    <cellStyle name="Nota 5 4 3 4 2" xfId="32802"/>
    <cellStyle name="20% - Ênfase1 4 4 3 4 2" xfId="32803"/>
    <cellStyle name="40% - Ênfase1 4 4 3 4 2" xfId="32804"/>
    <cellStyle name="20% - Ênfase2 4 4 3 4 2" xfId="32805"/>
    <cellStyle name="40% - Ênfase2 4 4 3 4 2" xfId="32806"/>
    <cellStyle name="20% - Ênfase3 4 4 3 4 2" xfId="32807"/>
    <cellStyle name="40% - Ênfase3 4 4 3 4 2" xfId="32808"/>
    <cellStyle name="20% - Ênfase4 4 4 3 4 2" xfId="32809"/>
    <cellStyle name="40% - Ênfase4 4 4 3 4 2" xfId="32810"/>
    <cellStyle name="20% - Ênfase5 4 4 3 4 2" xfId="32811"/>
    <cellStyle name="40% - Ênfase5 4 4 3 4 2" xfId="32812"/>
    <cellStyle name="20% - Ênfase6 4 4 3 4 2" xfId="32813"/>
    <cellStyle name="40% - Ênfase6 4 4 3 4 2" xfId="32814"/>
    <cellStyle name="Normal 3 3 3 4 2" xfId="32815"/>
    <cellStyle name="20% - Ênfase1 5 2 3 4 2" xfId="32816"/>
    <cellStyle name="40% - Ênfase1 5 2 3 4 2" xfId="32817"/>
    <cellStyle name="20% - Ênfase2 5 2 3 4 2" xfId="32818"/>
    <cellStyle name="40% - Ênfase2 5 2 3 4 2" xfId="32819"/>
    <cellStyle name="20% - Ênfase3 5 2 3 4 2" xfId="32820"/>
    <cellStyle name="40% - Ênfase3 5 2 3 4 2" xfId="32821"/>
    <cellStyle name="20% - Ênfase4 5 2 3 4 2" xfId="32822"/>
    <cellStyle name="40% - Ênfase4 5 2 3 4 2" xfId="32823"/>
    <cellStyle name="20% - Ênfase5 5 2 3 4 2" xfId="32824"/>
    <cellStyle name="40% - Ênfase5 5 2 3 4 2" xfId="32825"/>
    <cellStyle name="20% - Ênfase6 5 2 3 4 2" xfId="32826"/>
    <cellStyle name="40% - Ênfase6 5 2 3 4 2" xfId="32827"/>
    <cellStyle name="Normal 4 2 2 3 4 2" xfId="32828"/>
    <cellStyle name="Nota 2 2 2 3 4 2" xfId="32829"/>
    <cellStyle name="Normal 5 2 2 3 4 2" xfId="32830"/>
    <cellStyle name="Nota 3 2 2 3 4 2" xfId="32831"/>
    <cellStyle name="20% - Ênfase1 2 2 2 3 4 2" xfId="32832"/>
    <cellStyle name="40% - Ênfase1 2 2 2 3 4 2" xfId="32833"/>
    <cellStyle name="20% - Ênfase2 2 2 2 3 4 2" xfId="32834"/>
    <cellStyle name="40% - Ênfase2 2 2 2 3 4 2" xfId="32835"/>
    <cellStyle name="20% - Ênfase3 2 2 2 3 4 2" xfId="32836"/>
    <cellStyle name="40% - Ênfase3 2 2 2 3 4 2" xfId="32837"/>
    <cellStyle name="20% - Ênfase4 2 2 2 3 4 2" xfId="32838"/>
    <cellStyle name="40% - Ênfase4 2 2 2 3 4 2" xfId="32839"/>
    <cellStyle name="20% - Ênfase5 2 2 2 3 4 2" xfId="32840"/>
    <cellStyle name="40% - Ênfase5 2 2 2 3 4 2" xfId="32841"/>
    <cellStyle name="20% - Ênfase6 2 2 2 3 4 2" xfId="32842"/>
    <cellStyle name="40% - Ênfase6 2 2 2 3 4 2" xfId="32843"/>
    <cellStyle name="Normal 7 2 2 3 4 2" xfId="32844"/>
    <cellStyle name="Nota 4 3 3 4 2" xfId="32845"/>
    <cellStyle name="20% - Ênfase1 3 3 3 4 2" xfId="32846"/>
    <cellStyle name="40% - Ênfase1 3 3 3 4 2" xfId="32847"/>
    <cellStyle name="20% - Ênfase2 3 3 3 4 2" xfId="32848"/>
    <cellStyle name="40% - Ênfase2 3 3 3 4 2" xfId="32849"/>
    <cellStyle name="20% - Ênfase3 3 3 3 4 2" xfId="32850"/>
    <cellStyle name="40% - Ênfase3 3 3 3 4 2" xfId="32851"/>
    <cellStyle name="20% - Ênfase4 3 3 3 4 2" xfId="32852"/>
    <cellStyle name="40% - Ênfase4 3 3 3 4 2" xfId="32853"/>
    <cellStyle name="20% - Ênfase5 3 3 3 4 2" xfId="32854"/>
    <cellStyle name="40% - Ênfase5 3 3 3 4 2" xfId="32855"/>
    <cellStyle name="20% - Ênfase6 3 3 3 4 2" xfId="32856"/>
    <cellStyle name="40% - Ênfase6 3 3 3 4 2" xfId="32857"/>
    <cellStyle name="Normal 8 3 3 4 2" xfId="32858"/>
    <cellStyle name="Nota 5 3 3 4 2" xfId="32859"/>
    <cellStyle name="20% - Ênfase1 4 3 3 4 2" xfId="32860"/>
    <cellStyle name="40% - Ênfase1 4 3 3 4 2" xfId="32861"/>
    <cellStyle name="20% - Ênfase2 4 3 3 4 2" xfId="32862"/>
    <cellStyle name="40% - Ênfase2 4 3 3 4 2" xfId="32863"/>
    <cellStyle name="20% - Ênfase3 4 3 3 4 2" xfId="32864"/>
    <cellStyle name="40% - Ênfase3 4 3 3 4 2" xfId="32865"/>
    <cellStyle name="20% - Ênfase4 4 3 3 4 2" xfId="32866"/>
    <cellStyle name="40% - Ênfase4 4 3 3 4 2" xfId="32867"/>
    <cellStyle name="20% - Ênfase5 4 3 3 4 2" xfId="32868"/>
    <cellStyle name="40% - Ênfase5 4 3 3 4 2" xfId="32869"/>
    <cellStyle name="20% - Ênfase6 4 3 3 4 2" xfId="32870"/>
    <cellStyle name="40% - Ênfase6 4 3 3 4 2" xfId="32871"/>
    <cellStyle name="20% - Ênfase1 6 2 3 4 2" xfId="32872"/>
    <cellStyle name="40% - Ênfase1 6 2 3 4 2" xfId="32873"/>
    <cellStyle name="20% - Ênfase2 6 2 3 4 2" xfId="32874"/>
    <cellStyle name="40% - Ênfase2 6 2 3 4 2" xfId="32875"/>
    <cellStyle name="20% - Ênfase3 6 2 3 4 2" xfId="32876"/>
    <cellStyle name="40% - Ênfase3 6 2 3 4 2" xfId="32877"/>
    <cellStyle name="20% - Ênfase4 6 2 3 4 2" xfId="32878"/>
    <cellStyle name="40% - Ênfase4 6 2 3 4 2" xfId="32879"/>
    <cellStyle name="20% - Ênfase5 6 2 3 4 2" xfId="32880"/>
    <cellStyle name="40% - Ênfase5 6 2 3 4 2" xfId="32881"/>
    <cellStyle name="20% - Ênfase6 6 2 3 4 2" xfId="32882"/>
    <cellStyle name="40% - Ênfase6 6 2 3 4 2" xfId="32883"/>
    <cellStyle name="Normal 4 3 2 3 4 2" xfId="32884"/>
    <cellStyle name="Nota 2 3 2 3 4 2" xfId="32885"/>
    <cellStyle name="Normal 5 3 2 3 4 2" xfId="32886"/>
    <cellStyle name="Nota 3 3 2 3 4 2" xfId="32887"/>
    <cellStyle name="20% - Ênfase1 2 3 2 3 4 2" xfId="32888"/>
    <cellStyle name="40% - Ênfase1 2 3 2 3 4 2" xfId="32889"/>
    <cellStyle name="20% - Ênfase2 2 3 2 3 4 2" xfId="32890"/>
    <cellStyle name="40% - Ênfase2 2 3 2 3 4 2" xfId="32891"/>
    <cellStyle name="20% - Ênfase3 2 3 2 3 4 2" xfId="32892"/>
    <cellStyle name="40% - Ênfase3 2 3 2 3 4 2" xfId="32893"/>
    <cellStyle name="20% - Ênfase4 2 3 2 3 4 2" xfId="32894"/>
    <cellStyle name="40% - Ênfase4 2 3 2 3 4 2" xfId="32895"/>
    <cellStyle name="20% - Ênfase5 2 3 2 3 4 2" xfId="32896"/>
    <cellStyle name="40% - Ênfase5 2 3 2 3 4 2" xfId="32897"/>
    <cellStyle name="20% - Ênfase6 2 3 2 3 4 2" xfId="32898"/>
    <cellStyle name="40% - Ênfase6 2 3 2 3 4 2" xfId="32899"/>
    <cellStyle name="Normal 7 3 2 3 4 2" xfId="32900"/>
    <cellStyle name="Nota 4 2 2 3 4 2" xfId="32901"/>
    <cellStyle name="20% - Ênfase1 3 2 2 3 4 2" xfId="32902"/>
    <cellStyle name="40% - Ênfase1 3 2 2 3 4 2" xfId="32903"/>
    <cellStyle name="20% - Ênfase2 3 2 2 3 4 2" xfId="32904"/>
    <cellStyle name="40% - Ênfase2 3 2 2 3 4 2" xfId="32905"/>
    <cellStyle name="20% - Ênfase3 3 2 2 3 4 2" xfId="32906"/>
    <cellStyle name="40% - Ênfase3 3 2 2 3 4 2" xfId="32907"/>
    <cellStyle name="20% - Ênfase4 3 2 2 3 4 2" xfId="32908"/>
    <cellStyle name="40% - Ênfase4 3 2 2 3 4 2" xfId="32909"/>
    <cellStyle name="20% - Ênfase5 3 2 2 3 4 2" xfId="32910"/>
    <cellStyle name="40% - Ênfase5 3 2 2 3 4 2" xfId="32911"/>
    <cellStyle name="20% - Ênfase6 3 2 2 3 4 2" xfId="32912"/>
    <cellStyle name="40% - Ênfase6 3 2 2 3 4 2" xfId="32913"/>
    <cellStyle name="Normal 8 2 2 3 4 2" xfId="32914"/>
    <cellStyle name="Nota 5 2 2 3 4 2" xfId="32915"/>
    <cellStyle name="20% - Ênfase1 4 2 2 3 4 2" xfId="32916"/>
    <cellStyle name="40% - Ênfase1 4 2 2 3 4 2" xfId="32917"/>
    <cellStyle name="20% - Ênfase2 4 2 2 3 4 2" xfId="32918"/>
    <cellStyle name="40% - Ênfase2 4 2 2 3 4 2" xfId="32919"/>
    <cellStyle name="20% - Ênfase3 4 2 2 3 4 2" xfId="32920"/>
    <cellStyle name="40% - Ênfase3 4 2 2 3 4 2" xfId="32921"/>
    <cellStyle name="20% - Ênfase4 4 2 2 3 4 2" xfId="32922"/>
    <cellStyle name="40% - Ênfase4 4 2 2 3 4 2" xfId="32923"/>
    <cellStyle name="20% - Ênfase5 4 2 2 3 4 2" xfId="32924"/>
    <cellStyle name="40% - Ênfase5 4 2 2 3 4 2" xfId="32925"/>
    <cellStyle name="20% - Ênfase6 4 2 2 3 4 2" xfId="32926"/>
    <cellStyle name="40% - Ênfase6 4 2 2 3 4 2" xfId="32927"/>
    <cellStyle name="Normal 3 6 4 2" xfId="32928"/>
    <cellStyle name="20% - Ênfase1 5 5 4 2" xfId="32929"/>
    <cellStyle name="40% - Ênfase1 5 5 4 2" xfId="32930"/>
    <cellStyle name="20% - Ênfase2 5 5 4 2" xfId="32931"/>
    <cellStyle name="40% - Ênfase2 5 5 4 2" xfId="32932"/>
    <cellStyle name="20% - Ênfase3 5 5 4 2" xfId="32933"/>
    <cellStyle name="40% - Ênfase3 5 5 4 2" xfId="32934"/>
    <cellStyle name="20% - Ênfase4 5 5 4 2" xfId="32935"/>
    <cellStyle name="40% - Ênfase4 5 5 4 2" xfId="32936"/>
    <cellStyle name="20% - Ênfase5 5 5 4 2" xfId="32937"/>
    <cellStyle name="40% - Ênfase5 5 5 4 2" xfId="32938"/>
    <cellStyle name="20% - Ênfase6 5 5 4 2" xfId="32939"/>
    <cellStyle name="40% - Ênfase6 5 5 4 2" xfId="32940"/>
    <cellStyle name="Normal 4 2 5 4 2" xfId="32941"/>
    <cellStyle name="Nota 2 2 5 4 2" xfId="32942"/>
    <cellStyle name="Normal 5 2 5 4 2" xfId="32943"/>
    <cellStyle name="Nota 3 2 5 4 2" xfId="32944"/>
    <cellStyle name="20% - Ênfase1 2 2 5 4 2" xfId="32945"/>
    <cellStyle name="40% - Ênfase1 2 2 5 4 2" xfId="32946"/>
    <cellStyle name="20% - Ênfase2 2 2 5 4 2" xfId="32947"/>
    <cellStyle name="40% - Ênfase2 2 2 5 4 2" xfId="32948"/>
    <cellStyle name="20% - Ênfase3 2 2 5 4 2" xfId="32949"/>
    <cellStyle name="40% - Ênfase3 2 2 5 4 2" xfId="32950"/>
    <cellStyle name="20% - Ênfase4 2 2 5 4 2" xfId="32951"/>
    <cellStyle name="40% - Ênfase4 2 2 5 4 2" xfId="32952"/>
    <cellStyle name="20% - Ênfase5 2 2 5 4 2" xfId="32953"/>
    <cellStyle name="40% - Ênfase5 2 2 5 4 2" xfId="32954"/>
    <cellStyle name="20% - Ênfase6 2 2 5 4 2" xfId="32955"/>
    <cellStyle name="40% - Ênfase6 2 2 5 4 2" xfId="32956"/>
    <cellStyle name="Normal 7 2 5 4 2" xfId="32957"/>
    <cellStyle name="Nota 4 7 4 2" xfId="32958"/>
    <cellStyle name="20% - Ênfase1 3 7 4 2" xfId="32959"/>
    <cellStyle name="40% - Ênfase1 3 7 4 2" xfId="32960"/>
    <cellStyle name="20% - Ênfase2 3 7 4 2" xfId="32961"/>
    <cellStyle name="40% - Ênfase2 3 7 4 2" xfId="32962"/>
    <cellStyle name="20% - Ênfase3 3 7 4 2" xfId="32963"/>
    <cellStyle name="40% - Ênfase3 3 7 4 2" xfId="32964"/>
    <cellStyle name="20% - Ênfase4 3 7 4 2" xfId="32965"/>
    <cellStyle name="40% - Ênfase4 3 7 4 2" xfId="32966"/>
    <cellStyle name="20% - Ênfase5 3 7 4 2" xfId="32967"/>
    <cellStyle name="40% - Ênfase5 3 7 4 2" xfId="32968"/>
    <cellStyle name="20% - Ênfase6 3 7 4 2" xfId="32969"/>
    <cellStyle name="40% - Ênfase6 3 7 4 2" xfId="32970"/>
    <cellStyle name="Normal 8 7 4 2" xfId="32971"/>
    <cellStyle name="Nota 5 7 4 2" xfId="32972"/>
    <cellStyle name="20% - Ênfase1 4 7 4 2" xfId="32973"/>
    <cellStyle name="40% - Ênfase1 4 7 4 2" xfId="32974"/>
    <cellStyle name="20% - Ênfase2 4 7 4 2" xfId="32975"/>
    <cellStyle name="40% - Ênfase2 4 7 4 2" xfId="32976"/>
    <cellStyle name="20% - Ênfase3 4 7 4 2" xfId="32977"/>
    <cellStyle name="40% - Ênfase3 4 7 4 2" xfId="32978"/>
    <cellStyle name="20% - Ênfase4 4 7 4 2" xfId="32979"/>
    <cellStyle name="40% - Ênfase4 4 7 4 2" xfId="32980"/>
    <cellStyle name="20% - Ênfase5 4 7 4 2" xfId="32981"/>
    <cellStyle name="40% - Ênfase5 4 7 4 2" xfId="32982"/>
    <cellStyle name="20% - Ênfase6 4 7 4 2" xfId="32983"/>
    <cellStyle name="40% - Ênfase6 4 7 4 2" xfId="32984"/>
    <cellStyle name="Normal 6 4 4 2" xfId="32985"/>
    <cellStyle name="Vírgula 11 2 2 2" xfId="32986"/>
    <cellStyle name="Normal 3 8 3 2" xfId="32987"/>
    <cellStyle name="Separador de milhares 4 6 2 2" xfId="32988"/>
    <cellStyle name="Separador de milhares 5 7 2" xfId="32989"/>
    <cellStyle name="Separador de milhares 6 7 2 2" xfId="32990"/>
    <cellStyle name="Vírgula 2 8 2" xfId="32991"/>
    <cellStyle name="Separador de milhares 2 2 6 2" xfId="32992"/>
    <cellStyle name="Separador de milhares 3 2 6 2" xfId="32993"/>
    <cellStyle name="Vírgula 3 6 2" xfId="32994"/>
    <cellStyle name="Vírgula 4 6 2" xfId="32995"/>
    <cellStyle name="Vírgula 2 2 5 2" xfId="32996"/>
    <cellStyle name="20% - Ênfase1 5 8 2" xfId="32997"/>
    <cellStyle name="40% - Ênfase1 5 8 2" xfId="32998"/>
    <cellStyle name="20% - Ênfase2 5 8 2" xfId="32999"/>
    <cellStyle name="40% - Ênfase2 5 8 2" xfId="33000"/>
    <cellStyle name="20% - Ênfase3 5 8 2" xfId="33001"/>
    <cellStyle name="40% - Ênfase3 5 8 2" xfId="33002"/>
    <cellStyle name="20% - Ênfase4 5 8 2" xfId="33003"/>
    <cellStyle name="40% - Ênfase4 5 8 2" xfId="33004"/>
    <cellStyle name="20% - Ênfase5 5 8 2" xfId="33005"/>
    <cellStyle name="40% - Ênfase5 5 8 2" xfId="33006"/>
    <cellStyle name="20% - Ênfase6 5 8 2" xfId="33007"/>
    <cellStyle name="40% - Ênfase6 5 8 2" xfId="33008"/>
    <cellStyle name="Normal 4 2 8 2" xfId="33009"/>
    <cellStyle name="Nota 2 2 8 2" xfId="33010"/>
    <cellStyle name="Normal 5 2 9 2" xfId="33011"/>
    <cellStyle name="Nota 3 2 8 2" xfId="33012"/>
    <cellStyle name="20% - Ênfase1 2 2 8 2" xfId="33013"/>
    <cellStyle name="40% - Ênfase1 2 2 8 2" xfId="33014"/>
    <cellStyle name="20% - Ênfase2 2 2 8 2" xfId="33015"/>
    <cellStyle name="40% - Ênfase2 2 2 8 2" xfId="33016"/>
    <cellStyle name="20% - Ênfase3 2 2 8 2" xfId="33017"/>
    <cellStyle name="40% - Ênfase3 2 2 8 2" xfId="33018"/>
    <cellStyle name="20% - Ênfase4 2 2 8 2" xfId="33019"/>
    <cellStyle name="40% - Ênfase4 2 2 8 2" xfId="33020"/>
    <cellStyle name="20% - Ênfase5 2 2 8 2" xfId="33021"/>
    <cellStyle name="40% - Ênfase5 2 2 8 2" xfId="33022"/>
    <cellStyle name="20% - Ênfase6 2 2 8 2" xfId="33023"/>
    <cellStyle name="40% - Ênfase6 2 2 8 2" xfId="33024"/>
    <cellStyle name="Normal 7 2 8 2 2" xfId="33025"/>
    <cellStyle name="Nota 4 10 2" xfId="33026"/>
    <cellStyle name="20% - Ênfase1 3 10 2" xfId="33027"/>
    <cellStyle name="40% - Ênfase1 3 10 2" xfId="33028"/>
    <cellStyle name="20% - Ênfase2 3 10 2" xfId="33029"/>
    <cellStyle name="40% - Ênfase2 3 10 2" xfId="33030"/>
    <cellStyle name="20% - Ênfase3 3 10 2" xfId="33031"/>
    <cellStyle name="40% - Ênfase3 3 10 2" xfId="33032"/>
    <cellStyle name="20% - Ênfase4 3 10 2" xfId="33033"/>
    <cellStyle name="40% - Ênfase4 3 10 2" xfId="33034"/>
    <cellStyle name="20% - Ênfase5 3 10 2" xfId="33035"/>
    <cellStyle name="40% - Ênfase5 3 10 2" xfId="33036"/>
    <cellStyle name="20% - Ênfase6 3 10 2" xfId="33037"/>
    <cellStyle name="40% - Ênfase6 3 10 2" xfId="33038"/>
    <cellStyle name="Normal 8 11 2 2" xfId="33039"/>
    <cellStyle name="Nota 5 10 2" xfId="33040"/>
    <cellStyle name="20% - Ênfase1 4 10 2" xfId="33041"/>
    <cellStyle name="40% - Ênfase1 4 10 2" xfId="33042"/>
    <cellStyle name="20% - Ênfase2 4 10 2" xfId="33043"/>
    <cellStyle name="40% - Ênfase2 4 10 2" xfId="33044"/>
    <cellStyle name="20% - Ênfase3 4 10 2" xfId="33045"/>
    <cellStyle name="40% - Ênfase3 4 10 2" xfId="33046"/>
    <cellStyle name="20% - Ênfase4 4 10 2" xfId="33047"/>
    <cellStyle name="40% - Ênfase4 4 10 2" xfId="33048"/>
    <cellStyle name="20% - Ênfase5 4 10 2" xfId="33049"/>
    <cellStyle name="40% - Ênfase5 4 10 2" xfId="33050"/>
    <cellStyle name="20% - Ênfase6 4 10 2" xfId="33051"/>
    <cellStyle name="40% - Ênfase6 4 10 2" xfId="33052"/>
    <cellStyle name="20% - Ênfase1 6 7 2" xfId="33053"/>
    <cellStyle name="40% - Ênfase1 6 7 2" xfId="33054"/>
    <cellStyle name="20% - Ênfase2 6 7 2" xfId="33055"/>
    <cellStyle name="40% - Ênfase2 6 7 2" xfId="33056"/>
    <cellStyle name="20% - Ênfase3 6 7 2" xfId="33057"/>
    <cellStyle name="40% - Ênfase3 6 7 2" xfId="33058"/>
    <cellStyle name="20% - Ênfase4 6 7 2" xfId="33059"/>
    <cellStyle name="40% - Ênfase4 6 7 2" xfId="33060"/>
    <cellStyle name="20% - Ênfase5 6 7 2" xfId="33061"/>
    <cellStyle name="40% - Ênfase5 6 7 2" xfId="33062"/>
    <cellStyle name="20% - Ênfase6 6 7 2" xfId="33063"/>
    <cellStyle name="40% - Ênfase6 6 7 2" xfId="33064"/>
    <cellStyle name="Normal 4 3 7 2" xfId="33065"/>
    <cellStyle name="Nota 2 3 7 2" xfId="33066"/>
    <cellStyle name="Normal 5 3 7 2" xfId="33067"/>
    <cellStyle name="Nota 3 3 7 2" xfId="33068"/>
    <cellStyle name="20% - Ênfase1 2 3 7 2" xfId="33069"/>
    <cellStyle name="40% - Ênfase1 2 3 7 2" xfId="33070"/>
    <cellStyle name="20% - Ênfase2 2 3 7 2" xfId="33071"/>
    <cellStyle name="40% - Ênfase2 2 3 7 2" xfId="33072"/>
    <cellStyle name="20% - Ênfase3 2 3 7 2" xfId="33073"/>
    <cellStyle name="40% - Ênfase3 2 3 7 2" xfId="33074"/>
    <cellStyle name="20% - Ênfase4 2 3 7 2" xfId="33075"/>
    <cellStyle name="40% - Ênfase4 2 3 7 2" xfId="33076"/>
    <cellStyle name="20% - Ênfase5 2 3 7 2" xfId="33077"/>
    <cellStyle name="40% - Ênfase5 2 3 7 2" xfId="33078"/>
    <cellStyle name="20% - Ênfase6 2 3 7 2" xfId="33079"/>
    <cellStyle name="40% - Ênfase6 2 3 7 2" xfId="33080"/>
    <cellStyle name="Normal 7 3 7 2 2" xfId="33081"/>
    <cellStyle name="Nota 4 2 7 2" xfId="33082"/>
    <cellStyle name="20% - Ênfase1 3 2 7 2" xfId="33083"/>
    <cellStyle name="40% - Ênfase1 3 2 7 2" xfId="33084"/>
    <cellStyle name="20% - Ênfase2 3 2 7 2" xfId="33085"/>
    <cellStyle name="40% - Ênfase2 3 2 7 2" xfId="33086"/>
    <cellStyle name="20% - Ênfase3 3 2 7 2" xfId="33087"/>
    <cellStyle name="40% - Ênfase3 3 2 7 2" xfId="33088"/>
    <cellStyle name="20% - Ênfase4 3 2 7 2" xfId="33089"/>
    <cellStyle name="40% - Ênfase4 3 2 7 2" xfId="33090"/>
    <cellStyle name="20% - Ênfase5 3 2 7 2" xfId="33091"/>
    <cellStyle name="40% - Ênfase5 3 2 7 2" xfId="33092"/>
    <cellStyle name="20% - Ênfase6 3 2 7 2" xfId="33093"/>
    <cellStyle name="40% - Ênfase6 3 2 7 2" xfId="33094"/>
    <cellStyle name="Normal 8 2 7 2 2" xfId="33095"/>
    <cellStyle name="Nota 5 2 7 2" xfId="33096"/>
    <cellStyle name="20% - Ênfase1 4 2 7 2" xfId="33097"/>
    <cellStyle name="40% - Ênfase1 4 2 7 2" xfId="33098"/>
    <cellStyle name="20% - Ênfase2 4 2 7 2" xfId="33099"/>
    <cellStyle name="40% - Ênfase2 4 2 7 2" xfId="33100"/>
    <cellStyle name="20% - Ênfase3 4 2 7 2" xfId="33101"/>
    <cellStyle name="40% - Ênfase3 4 2 7 2" xfId="33102"/>
    <cellStyle name="20% - Ênfase4 4 2 7 2" xfId="33103"/>
    <cellStyle name="40% - Ênfase4 4 2 7 2" xfId="33104"/>
    <cellStyle name="20% - Ênfase5 4 2 7 2" xfId="33105"/>
    <cellStyle name="40% - Ênfase5 4 2 7 2" xfId="33106"/>
    <cellStyle name="20% - Ênfase6 4 2 7 2" xfId="33107"/>
    <cellStyle name="40% - Ênfase6 4 2 7 2" xfId="33108"/>
    <cellStyle name="20% - Ênfase1 8 5 2 2" xfId="33109"/>
    <cellStyle name="40% - Ênfase1 8 5 2 2" xfId="33110"/>
    <cellStyle name="20% - Ênfase2 8 5 2 2" xfId="33111"/>
    <cellStyle name="40% - Ênfase2 8 5 2 2" xfId="33112"/>
    <cellStyle name="20% - Ênfase3 8 5 2 2" xfId="33113"/>
    <cellStyle name="40% - Ênfase3 8 5 2 2" xfId="33114"/>
    <cellStyle name="20% - Ênfase4 8 5 2 2" xfId="33115"/>
    <cellStyle name="40% - Ênfase4 8 5 2 2" xfId="33116"/>
    <cellStyle name="20% - Ênfase5 8 5 2 2" xfId="33117"/>
    <cellStyle name="40% - Ênfase5 8 5 2 2" xfId="33118"/>
    <cellStyle name="20% - Ênfase6 8 5 2 2" xfId="33119"/>
    <cellStyle name="40% - Ênfase6 8 5 2 2" xfId="33120"/>
    <cellStyle name="Normal 4 5 5 2 2" xfId="33121"/>
    <cellStyle name="Nota 2 5 5 2 2" xfId="33122"/>
    <cellStyle name="Normal 5 5 5 2 2" xfId="33123"/>
    <cellStyle name="Nota 3 5 5 2 2" xfId="33124"/>
    <cellStyle name="20% - Ênfase1 2 5 5 2 2" xfId="33125"/>
    <cellStyle name="40% - Ênfase1 2 5 5 2 2" xfId="33126"/>
    <cellStyle name="20% - Ênfase2 2 5 5 2 2" xfId="33127"/>
    <cellStyle name="40% - Ênfase2 2 5 5 2 2" xfId="33128"/>
    <cellStyle name="20% - Ênfase3 2 5 5 2 2" xfId="33129"/>
    <cellStyle name="40% - Ênfase3 2 5 5 2 2" xfId="33130"/>
    <cellStyle name="20% - Ênfase4 2 5 5 2 2" xfId="33131"/>
    <cellStyle name="40% - Ênfase4 2 5 5 2 2" xfId="33132"/>
    <cellStyle name="20% - Ênfase5 2 5 5 2 2" xfId="33133"/>
    <cellStyle name="40% - Ênfase5 2 5 5 2 2" xfId="33134"/>
    <cellStyle name="20% - Ênfase6 2 5 5 2 2" xfId="33135"/>
    <cellStyle name="40% - Ênfase6 2 5 5 2 2" xfId="33136"/>
    <cellStyle name="Normal 7 5 5 2 2" xfId="33137"/>
    <cellStyle name="Nota 4 4 5 2 2" xfId="33138"/>
    <cellStyle name="20% - Ênfase1 3 4 5 2 2" xfId="33139"/>
    <cellStyle name="40% - Ênfase1 3 4 5 2 2" xfId="33140"/>
    <cellStyle name="20% - Ênfase2 3 4 5 2 2" xfId="33141"/>
    <cellStyle name="40% - Ênfase2 3 4 5 2 2" xfId="33142"/>
    <cellStyle name="20% - Ênfase3 3 4 5 2 2" xfId="33143"/>
    <cellStyle name="40% - Ênfase3 3 4 5 2 2" xfId="33144"/>
    <cellStyle name="20% - Ênfase4 3 4 5 2 2" xfId="33145"/>
    <cellStyle name="40% - Ênfase4 3 4 5 2 2" xfId="33146"/>
    <cellStyle name="20% - Ênfase5 3 4 5 2 2" xfId="33147"/>
    <cellStyle name="40% - Ênfase5 3 4 5 2 2" xfId="33148"/>
    <cellStyle name="20% - Ênfase6 3 4 5 2 2" xfId="33149"/>
    <cellStyle name="40% - Ênfase6 3 4 5 2 2" xfId="33150"/>
    <cellStyle name="Normal 8 4 5 3 2" xfId="33151"/>
    <cellStyle name="Nota 5 4 5 2 2" xfId="33152"/>
    <cellStyle name="20% - Ênfase1 4 4 5 2 2" xfId="33153"/>
    <cellStyle name="40% - Ênfase1 4 4 5 2 2" xfId="33154"/>
    <cellStyle name="20% - Ênfase2 4 4 5 2 2" xfId="33155"/>
    <cellStyle name="40% - Ênfase2 4 4 5 2 2" xfId="33156"/>
    <cellStyle name="20% - Ênfase3 4 4 5 2 2" xfId="33157"/>
    <cellStyle name="40% - Ênfase3 4 4 5 2 2" xfId="33158"/>
    <cellStyle name="20% - Ênfase4 4 4 5 2 2" xfId="33159"/>
    <cellStyle name="40% - Ênfase4 4 4 5 2 2" xfId="33160"/>
    <cellStyle name="20% - Ênfase5 4 4 5 2 2" xfId="33161"/>
    <cellStyle name="40% - Ênfase5 4 4 5 2 2" xfId="33162"/>
    <cellStyle name="20% - Ênfase6 4 4 5 2 2" xfId="33163"/>
    <cellStyle name="40% - Ênfase6 4 4 5 2 2" xfId="33164"/>
    <cellStyle name="Normal 3 3 6 2" xfId="33165"/>
    <cellStyle name="Separador de milhares 5 2 4 2" xfId="33166"/>
    <cellStyle name="Separador de milhares 6 2 4 2" xfId="33167"/>
    <cellStyle name="Vírgula 5 5 2" xfId="33168"/>
    <cellStyle name="Vírgula 2 3 5 2" xfId="33169"/>
    <cellStyle name="20% - Ênfase1 5 2 5 2 2" xfId="33170"/>
    <cellStyle name="40% - Ênfase1 5 2 5 2 2" xfId="33171"/>
    <cellStyle name="20% - Ênfase2 5 2 5 2 2" xfId="33172"/>
    <cellStyle name="40% - Ênfase2 5 2 5 2 2" xfId="33173"/>
    <cellStyle name="20% - Ênfase3 5 2 5 2 2" xfId="33174"/>
    <cellStyle name="40% - Ênfase3 5 2 5 2 2" xfId="33175"/>
    <cellStyle name="20% - Ênfase4 5 2 5 2 2" xfId="33176"/>
    <cellStyle name="40% - Ênfase4 5 2 5 2 2" xfId="33177"/>
    <cellStyle name="20% - Ênfase5 5 2 5 2 2" xfId="33178"/>
    <cellStyle name="40% - Ênfase5 5 2 5 2 2" xfId="33179"/>
    <cellStyle name="20% - Ênfase6 5 2 5 2 2" xfId="33180"/>
    <cellStyle name="40% - Ênfase6 5 2 5 2 2" xfId="33181"/>
    <cellStyle name="Normal 4 2 2 5 2 2" xfId="33182"/>
    <cellStyle name="Nota 2 2 2 5 2 2" xfId="33183"/>
    <cellStyle name="Normal 5 2 2 5 2 2" xfId="33184"/>
    <cellStyle name="Nota 3 2 2 5 2 2" xfId="33185"/>
    <cellStyle name="20% - Ênfase1 2 2 2 5 2 2" xfId="33186"/>
    <cellStyle name="40% - Ênfase1 2 2 2 5 2 2" xfId="33187"/>
    <cellStyle name="20% - Ênfase2 2 2 2 5 2 2" xfId="33188"/>
    <cellStyle name="40% - Ênfase2 2 2 2 5 2 2" xfId="33189"/>
    <cellStyle name="20% - Ênfase3 2 2 2 5 2 2" xfId="33190"/>
    <cellStyle name="40% - Ênfase3 2 2 2 5 2 2" xfId="33191"/>
    <cellStyle name="20% - Ênfase4 2 2 2 5 2 2" xfId="33192"/>
    <cellStyle name="40% - Ênfase4 2 2 2 5 2 2" xfId="33193"/>
    <cellStyle name="20% - Ênfase5 2 2 2 5 2 2" xfId="33194"/>
    <cellStyle name="40% - Ênfase5 2 2 2 5 2 2" xfId="33195"/>
    <cellStyle name="20% - Ênfase6 2 2 2 5 2 2" xfId="33196"/>
    <cellStyle name="40% - Ênfase6 2 2 2 5 2 2" xfId="33197"/>
    <cellStyle name="Normal 7 2 2 5 3 2" xfId="33198"/>
    <cellStyle name="Nota 4 3 6 2" xfId="33199"/>
    <cellStyle name="20% - Ênfase1 3 3 6 2" xfId="33200"/>
    <cellStyle name="40% - Ênfase1 3 3 6 2" xfId="33201"/>
    <cellStyle name="20% - Ênfase2 3 3 6 2" xfId="33202"/>
    <cellStyle name="40% - Ênfase2 3 3 6 2" xfId="33203"/>
    <cellStyle name="20% - Ênfase3 3 3 6 2" xfId="33204"/>
    <cellStyle name="40% - Ênfase3 3 3 6 2" xfId="33205"/>
    <cellStyle name="20% - Ênfase4 3 3 6 2" xfId="33206"/>
    <cellStyle name="40% - Ênfase4 3 3 6 2" xfId="33207"/>
    <cellStyle name="20% - Ênfase5 3 3 6 2" xfId="33208"/>
    <cellStyle name="40% - Ênfase5 3 3 6 2" xfId="33209"/>
    <cellStyle name="20% - Ênfase6 3 3 6 2" xfId="33210"/>
    <cellStyle name="40% - Ênfase6 3 3 6 2" xfId="33211"/>
    <cellStyle name="Normal 8 3 6 2 2" xfId="33212"/>
    <cellStyle name="Nota 5 3 6 2" xfId="33213"/>
    <cellStyle name="20% - Ênfase1 4 3 6 2" xfId="33214"/>
    <cellStyle name="40% - Ênfase1 4 3 6 2" xfId="33215"/>
    <cellStyle name="20% - Ênfase2 4 3 6 2" xfId="33216"/>
    <cellStyle name="40% - Ênfase2 4 3 6 2" xfId="33217"/>
    <cellStyle name="20% - Ênfase3 4 3 6 2" xfId="33218"/>
    <cellStyle name="40% - Ênfase3 4 3 6 2" xfId="33219"/>
    <cellStyle name="20% - Ênfase4 4 3 6 2" xfId="33220"/>
    <cellStyle name="40% - Ênfase4 4 3 6 2" xfId="33221"/>
    <cellStyle name="20% - Ênfase5 4 3 6 2" xfId="33222"/>
    <cellStyle name="40% - Ênfase5 4 3 6 2" xfId="33223"/>
    <cellStyle name="20% - Ênfase6 4 3 6 2" xfId="33224"/>
    <cellStyle name="40% - Ênfase6 4 3 6 2" xfId="33225"/>
    <cellStyle name="20% - Ênfase1 6 2 5 2 2" xfId="33226"/>
    <cellStyle name="40% - Ênfase1 6 2 5 2 2" xfId="33227"/>
    <cellStyle name="20% - Ênfase2 6 2 5 2 2" xfId="33228"/>
    <cellStyle name="40% - Ênfase2 6 2 5 2 2" xfId="33229"/>
    <cellStyle name="20% - Ênfase3 6 2 5 2 2" xfId="33230"/>
    <cellStyle name="40% - Ênfase3 6 2 5 2 2" xfId="33231"/>
    <cellStyle name="20% - Ênfase4 6 2 5 2 2" xfId="33232"/>
    <cellStyle name="40% - Ênfase4 6 2 5 2 2" xfId="33233"/>
    <cellStyle name="20% - Ênfase5 6 2 5 2 2" xfId="33234"/>
    <cellStyle name="40% - Ênfase5 6 2 5 2 2" xfId="33235"/>
    <cellStyle name="20% - Ênfase6 6 2 5 2 2" xfId="33236"/>
    <cellStyle name="40% - Ênfase6 6 2 5 2 2" xfId="33237"/>
    <cellStyle name="Normal 4 3 2 5 2 2" xfId="33238"/>
    <cellStyle name="Nota 2 3 2 5 2 2" xfId="33239"/>
    <cellStyle name="Normal 5 3 2 5 2 2" xfId="33240"/>
    <cellStyle name="Nota 3 3 2 5 2 2" xfId="33241"/>
    <cellStyle name="20% - Ênfase1 2 3 2 5 2 2" xfId="33242"/>
    <cellStyle name="40% - Ênfase1 2 3 2 5 2 2" xfId="33243"/>
    <cellStyle name="20% - Ênfase2 2 3 2 5 2 2" xfId="33244"/>
    <cellStyle name="40% - Ênfase2 2 3 2 5 2 2" xfId="33245"/>
    <cellStyle name="20% - Ênfase3 2 3 2 5 2 2" xfId="33246"/>
    <cellStyle name="40% - Ênfase3 2 3 2 5 2 2" xfId="33247"/>
    <cellStyle name="20% - Ênfase4 2 3 2 5 2 2" xfId="33248"/>
    <cellStyle name="40% - Ênfase4 2 3 2 5 2 2" xfId="33249"/>
    <cellStyle name="20% - Ênfase5 2 3 2 5 2 2" xfId="33250"/>
    <cellStyle name="40% - Ênfase5 2 3 2 5 2 2" xfId="33251"/>
    <cellStyle name="20% - Ênfase6 2 3 2 5 2 2" xfId="33252"/>
    <cellStyle name="40% - Ênfase6 2 3 2 5 2 2" xfId="33253"/>
    <cellStyle name="Normal 7 3 2 5 2 2" xfId="33254"/>
    <cellStyle name="Nota 4 2 2 5 2 2" xfId="33255"/>
    <cellStyle name="20% - Ênfase1 3 2 2 5 2 2" xfId="33256"/>
    <cellStyle name="40% - Ênfase1 3 2 2 5 2 2" xfId="33257"/>
    <cellStyle name="20% - Ênfase2 3 2 2 5 2 2" xfId="33258"/>
    <cellStyle name="40% - Ênfase2 3 2 2 5 2 2" xfId="33259"/>
    <cellStyle name="20% - Ênfase3 3 2 2 5 2 2" xfId="33260"/>
    <cellStyle name="40% - Ênfase3 3 2 2 5 2 2" xfId="33261"/>
    <cellStyle name="20% - Ênfase4 3 2 2 5 2 2" xfId="33262"/>
    <cellStyle name="40% - Ênfase4 3 2 2 5 2 2" xfId="33263"/>
    <cellStyle name="20% - Ênfase5 3 2 2 5 2 2" xfId="33264"/>
    <cellStyle name="40% - Ênfase5 3 2 2 5 2 2" xfId="33265"/>
    <cellStyle name="20% - Ênfase6 3 2 2 5 2 2" xfId="33266"/>
    <cellStyle name="40% - Ênfase6 3 2 2 5 2 2" xfId="33267"/>
    <cellStyle name="Normal 8 2 2 5 3 2" xfId="33268"/>
    <cellStyle name="Nota 5 2 2 5 2 2" xfId="33269"/>
    <cellStyle name="20% - Ênfase1 4 2 2 5 2 2" xfId="33270"/>
    <cellStyle name="40% - Ênfase1 4 2 2 5 2 2" xfId="33271"/>
    <cellStyle name="20% - Ênfase2 4 2 2 5 2 2" xfId="33272"/>
    <cellStyle name="40% - Ênfase2 4 2 2 5 2 2" xfId="33273"/>
    <cellStyle name="20% - Ênfase3 4 2 2 5 2 2" xfId="33274"/>
    <cellStyle name="40% - Ênfase3 4 2 2 5 2 2" xfId="33275"/>
    <cellStyle name="20% - Ênfase4 4 2 2 5 2 2" xfId="33276"/>
    <cellStyle name="40% - Ênfase4 4 2 2 5 2 2" xfId="33277"/>
    <cellStyle name="20% - Ênfase5 4 2 2 5 2 2" xfId="33278"/>
    <cellStyle name="40% - Ênfase5 4 2 2 5 2 2" xfId="33279"/>
    <cellStyle name="20% - Ênfase6 4 2 2 5 2 2" xfId="33280"/>
    <cellStyle name="40% - Ênfase6 4 2 2 5 2 2" xfId="33281"/>
    <cellStyle name="Normal 3 4 3 2 2" xfId="33282"/>
    <cellStyle name="Separador de milhares 4 2 4 2" xfId="33283"/>
    <cellStyle name="Separador de milhares 5 3 3 2 2" xfId="33284"/>
    <cellStyle name="Separador de milhares 6 3 3 2 2" xfId="33285"/>
    <cellStyle name="Vírgula 6 3 2" xfId="33286"/>
    <cellStyle name="Vírgula 2 4 3 2" xfId="33287"/>
    <cellStyle name="Separador de milhares 2 2 2 3 2" xfId="33288"/>
    <cellStyle name="Separador de milhares 3 2 2 3 2" xfId="33289"/>
    <cellStyle name="Vírgula 3 2 3 2" xfId="33290"/>
    <cellStyle name="Vírgula 4 2 4 2" xfId="33291"/>
    <cellStyle name="Vírgula 2 2 2 3 2" xfId="33292"/>
    <cellStyle name="20% - Ênfase1 5 3 3 2 2" xfId="33293"/>
    <cellStyle name="40% - Ênfase1 5 3 3 2 2" xfId="33294"/>
    <cellStyle name="20% - Ênfase2 5 3 3 2 2" xfId="33295"/>
    <cellStyle name="40% - Ênfase2 5 3 3 2 2" xfId="33296"/>
    <cellStyle name="20% - Ênfase3 5 3 3 2 2" xfId="33297"/>
    <cellStyle name="40% - Ênfase3 5 3 3 2 2" xfId="33298"/>
    <cellStyle name="20% - Ênfase4 5 3 3 2 2" xfId="33299"/>
    <cellStyle name="40% - Ênfase4 5 3 3 2 2" xfId="33300"/>
    <cellStyle name="20% - Ênfase5 5 3 3 2 2" xfId="33301"/>
    <cellStyle name="40% - Ênfase5 5 3 3 2 2" xfId="33302"/>
    <cellStyle name="20% - Ênfase6 5 3 3 2 2" xfId="33303"/>
    <cellStyle name="40% - Ênfase6 5 3 3 2 2" xfId="33304"/>
    <cellStyle name="Normal 4 2 3 3 2 2" xfId="33305"/>
    <cellStyle name="Nota 2 2 3 3 2 2" xfId="33306"/>
    <cellStyle name="Normal 5 2 3 3 2 2" xfId="33307"/>
    <cellStyle name="Nota 3 2 3 3 2 2" xfId="33308"/>
    <cellStyle name="20% - Ênfase1 2 2 3 3 2 2" xfId="33309"/>
    <cellStyle name="40% - Ênfase1 2 2 3 3 2 2" xfId="33310"/>
    <cellStyle name="20% - Ênfase2 2 2 3 3 2 2" xfId="33311"/>
    <cellStyle name="40% - Ênfase2 2 2 3 3 2 2" xfId="33312"/>
    <cellStyle name="20% - Ênfase3 2 2 3 3 2 2" xfId="33313"/>
    <cellStyle name="40% - Ênfase3 2 2 3 3 2 2" xfId="33314"/>
    <cellStyle name="20% - Ênfase4 2 2 3 3 2 2" xfId="33315"/>
    <cellStyle name="40% - Ênfase4 2 2 3 3 2 2" xfId="33316"/>
    <cellStyle name="20% - Ênfase5 2 2 3 3 2 2" xfId="33317"/>
    <cellStyle name="40% - Ênfase5 2 2 3 3 2 2" xfId="33318"/>
    <cellStyle name="20% - Ênfase6 2 2 3 3 2 2" xfId="33319"/>
    <cellStyle name="40% - Ênfase6 2 2 3 3 2 2" xfId="33320"/>
    <cellStyle name="Normal 7 2 3 3 2 2" xfId="33321"/>
    <cellStyle name="Nota 4 5 3 2 2" xfId="33322"/>
    <cellStyle name="20% - Ênfase1 3 5 3 2 2" xfId="33323"/>
    <cellStyle name="40% - Ênfase1 3 5 3 2 2" xfId="33324"/>
    <cellStyle name="20% - Ênfase2 3 5 3 2 2" xfId="33325"/>
    <cellStyle name="40% - Ênfase2 3 5 3 2 2" xfId="33326"/>
    <cellStyle name="20% - Ênfase3 3 5 3 2 2" xfId="33327"/>
    <cellStyle name="40% - Ênfase3 3 5 3 2 2" xfId="33328"/>
    <cellStyle name="20% - Ênfase4 3 5 3 2 2" xfId="33329"/>
    <cellStyle name="40% - Ênfase4 3 5 3 2 2" xfId="33330"/>
    <cellStyle name="20% - Ênfase5 3 5 3 2 2" xfId="33331"/>
    <cellStyle name="40% - Ênfase5 3 5 3 2 2" xfId="33332"/>
    <cellStyle name="20% - Ênfase6 3 5 3 2 2" xfId="33333"/>
    <cellStyle name="40% - Ênfase6 3 5 3 2 2" xfId="33334"/>
    <cellStyle name="Normal 8 5 3 3 2" xfId="33335"/>
    <cellStyle name="Nota 5 5 3 2 2" xfId="33336"/>
    <cellStyle name="20% - Ênfase1 4 5 3 2 2" xfId="33337"/>
    <cellStyle name="40% - Ênfase1 4 5 3 2 2" xfId="33338"/>
    <cellStyle name="20% - Ênfase2 4 5 3 2 2" xfId="33339"/>
    <cellStyle name="40% - Ênfase2 4 5 3 2 2" xfId="33340"/>
    <cellStyle name="20% - Ênfase3 4 5 3 2 2" xfId="33341"/>
    <cellStyle name="40% - Ênfase3 4 5 3 2 2" xfId="33342"/>
    <cellStyle name="20% - Ênfase4 4 5 3 2 2" xfId="33343"/>
    <cellStyle name="40% - Ênfase4 4 5 3 2 2" xfId="33344"/>
    <cellStyle name="20% - Ênfase5 4 5 3 2 2" xfId="33345"/>
    <cellStyle name="40% - Ênfase5 4 5 3 2 2" xfId="33346"/>
    <cellStyle name="20% - Ênfase6 4 5 3 2 2" xfId="33347"/>
    <cellStyle name="40% - Ênfase6 4 5 3 2 2" xfId="33348"/>
    <cellStyle name="20% - Ênfase1 6 3 3 2 2" xfId="33349"/>
    <cellStyle name="40% - Ênfase1 6 3 3 2 2" xfId="33350"/>
    <cellStyle name="20% - Ênfase2 6 3 3 2 2" xfId="33351"/>
    <cellStyle name="40% - Ênfase2 6 3 3 2 2" xfId="33352"/>
    <cellStyle name="20% - Ênfase3 6 3 3 2 2" xfId="33353"/>
    <cellStyle name="40% - Ênfase3 6 3 3 2 2" xfId="33354"/>
    <cellStyle name="20% - Ênfase4 6 3 3 2 2" xfId="33355"/>
    <cellStyle name="40% - Ênfase4 6 3 3 2 2" xfId="33356"/>
    <cellStyle name="20% - Ênfase5 6 3 3 2 2" xfId="33357"/>
    <cellStyle name="40% - Ênfase5 6 3 3 2 2" xfId="33358"/>
    <cellStyle name="20% - Ênfase6 6 3 3 2 2" xfId="33359"/>
    <cellStyle name="40% - Ênfase6 6 3 3 2 2" xfId="33360"/>
    <cellStyle name="Normal 4 3 3 3 2 2" xfId="33361"/>
    <cellStyle name="Nota 2 3 3 3 2 2" xfId="33362"/>
    <cellStyle name="Normal 5 3 3 3 2 2" xfId="33363"/>
    <cellStyle name="Nota 3 3 3 3 2 2" xfId="33364"/>
    <cellStyle name="20% - Ênfase1 2 3 3 3 2 2" xfId="33365"/>
    <cellStyle name="40% - Ênfase1 2 3 3 3 2 2" xfId="33366"/>
    <cellStyle name="20% - Ênfase2 2 3 3 3 2 2" xfId="33367"/>
    <cellStyle name="40% - Ênfase2 2 3 3 3 2 2" xfId="33368"/>
    <cellStyle name="20% - Ênfase3 2 3 3 3 2 2" xfId="33369"/>
    <cellStyle name="40% - Ênfase3 2 3 3 3 2 2" xfId="33370"/>
    <cellStyle name="20% - Ênfase4 2 3 3 3 2 2" xfId="33371"/>
    <cellStyle name="40% - Ênfase4 2 3 3 3 2 2" xfId="33372"/>
    <cellStyle name="20% - Ênfase5 2 3 3 3 2 2" xfId="33373"/>
    <cellStyle name="40% - Ênfase5 2 3 3 3 2 2" xfId="33374"/>
    <cellStyle name="20% - Ênfase6 2 3 3 3 2 2" xfId="33375"/>
    <cellStyle name="40% - Ênfase6 2 3 3 3 2 2" xfId="33376"/>
    <cellStyle name="Normal 7 3 3 3 2 2" xfId="33377"/>
    <cellStyle name="Nota 4 2 3 3 2 2" xfId="33378"/>
    <cellStyle name="20% - Ênfase1 3 2 3 3 2 2" xfId="33379"/>
    <cellStyle name="40% - Ênfase1 3 2 3 3 2 2" xfId="33380"/>
    <cellStyle name="20% - Ênfase2 3 2 3 3 2 2" xfId="33381"/>
    <cellStyle name="40% - Ênfase2 3 2 3 3 2 2" xfId="33382"/>
    <cellStyle name="20% - Ênfase3 3 2 3 3 2 2" xfId="33383"/>
    <cellStyle name="40% - Ênfase3 3 2 3 3 2 2" xfId="33384"/>
    <cellStyle name="20% - Ênfase4 3 2 3 3 2 2" xfId="33385"/>
    <cellStyle name="40% - Ênfase4 3 2 3 3 2 2" xfId="33386"/>
    <cellStyle name="20% - Ênfase5 3 2 3 3 2 2" xfId="33387"/>
    <cellStyle name="40% - Ênfase5 3 2 3 3 2 2" xfId="33388"/>
    <cellStyle name="20% - Ênfase6 3 2 3 3 2 2" xfId="33389"/>
    <cellStyle name="40% - Ênfase6 3 2 3 3 2 2" xfId="33390"/>
    <cellStyle name="Normal 8 2 3 3 2 2" xfId="33391"/>
    <cellStyle name="Nota 5 2 3 3 2 2" xfId="33392"/>
    <cellStyle name="20% - Ênfase1 4 2 3 3 2 2" xfId="33393"/>
    <cellStyle name="40% - Ênfase1 4 2 3 3 2 2" xfId="33394"/>
    <cellStyle name="20% - Ênfase2 4 2 3 3 2 2" xfId="33395"/>
    <cellStyle name="40% - Ênfase2 4 2 3 3 2 2" xfId="33396"/>
    <cellStyle name="20% - Ênfase3 4 2 3 3 2 2" xfId="33397"/>
    <cellStyle name="40% - Ênfase3 4 2 3 3 2 2" xfId="33398"/>
    <cellStyle name="20% - Ênfase4 4 2 3 3 2 2" xfId="33399"/>
    <cellStyle name="40% - Ênfase4 4 2 3 3 2 2" xfId="33400"/>
    <cellStyle name="20% - Ênfase5 4 2 3 3 2 2" xfId="33401"/>
    <cellStyle name="40% - Ênfase5 4 2 3 3 2 2" xfId="33402"/>
    <cellStyle name="20% - Ênfase6 4 2 3 3 2 2" xfId="33403"/>
    <cellStyle name="40% - Ênfase6 4 2 3 3 2 2" xfId="33404"/>
    <cellStyle name="20% - Ênfase1 8 2 3 2 2" xfId="33405"/>
    <cellStyle name="40% - Ênfase1 8 2 3 2 2" xfId="33406"/>
    <cellStyle name="20% - Ênfase2 8 2 3 2 2" xfId="33407"/>
    <cellStyle name="40% - Ênfase2 8 2 3 2 2" xfId="33408"/>
    <cellStyle name="20% - Ênfase3 8 2 3 2 2" xfId="33409"/>
    <cellStyle name="40% - Ênfase3 8 2 3 2 2" xfId="33410"/>
    <cellStyle name="20% - Ênfase4 8 2 3 2 2" xfId="33411"/>
    <cellStyle name="40% - Ênfase4 8 2 3 2 2" xfId="33412"/>
    <cellStyle name="20% - Ênfase5 8 2 3 2 2" xfId="33413"/>
    <cellStyle name="40% - Ênfase5 8 2 3 2 2" xfId="33414"/>
    <cellStyle name="20% - Ênfase6 8 2 3 2 2" xfId="33415"/>
    <cellStyle name="40% - Ênfase6 8 2 3 2 2" xfId="33416"/>
    <cellStyle name="Normal 4 5 2 3 2 2" xfId="33417"/>
    <cellStyle name="Nota 2 5 2 3 2 2" xfId="33418"/>
    <cellStyle name="Normal 5 5 2 3 2 2" xfId="33419"/>
    <cellStyle name="Nota 3 5 2 3 2 2" xfId="33420"/>
    <cellStyle name="20% - Ênfase1 2 5 2 3 2 2" xfId="33421"/>
    <cellStyle name="40% - Ênfase1 2 5 2 3 2 2" xfId="33422"/>
    <cellStyle name="20% - Ênfase2 2 5 2 3 2 2" xfId="33423"/>
    <cellStyle name="40% - Ênfase2 2 5 2 3 2 2" xfId="33424"/>
    <cellStyle name="20% - Ênfase3 2 5 2 3 2 2" xfId="33425"/>
    <cellStyle name="40% - Ênfase3 2 5 2 3 2 2" xfId="33426"/>
    <cellStyle name="20% - Ênfase4 2 5 2 3 2 2" xfId="33427"/>
    <cellStyle name="40% - Ênfase4 2 5 2 3 2 2" xfId="33428"/>
    <cellStyle name="20% - Ênfase5 2 5 2 3 2 2" xfId="33429"/>
    <cellStyle name="40% - Ênfase5 2 5 2 3 2 2" xfId="33430"/>
    <cellStyle name="20% - Ênfase6 2 5 2 3 2 2" xfId="33431"/>
    <cellStyle name="40% - Ênfase6 2 5 2 3 2 2" xfId="33432"/>
    <cellStyle name="Normal 7 5 2 3 2 2" xfId="33433"/>
    <cellStyle name="Nota 4 4 2 3 2 2" xfId="33434"/>
    <cellStyle name="20% - Ênfase1 3 4 2 3 2 2" xfId="33435"/>
    <cellStyle name="40% - Ênfase1 3 4 2 3 2 2" xfId="33436"/>
    <cellStyle name="20% - Ênfase2 3 4 2 3 2 2" xfId="33437"/>
    <cellStyle name="40% - Ênfase2 3 4 2 3 2 2" xfId="33438"/>
    <cellStyle name="20% - Ênfase3 3 4 2 3 2 2" xfId="33439"/>
    <cellStyle name="40% - Ênfase3 3 4 2 3 2 2" xfId="33440"/>
    <cellStyle name="20% - Ênfase4 3 4 2 3 2 2" xfId="33441"/>
    <cellStyle name="40% - Ênfase4 3 4 2 3 2 2" xfId="33442"/>
    <cellStyle name="20% - Ênfase5 3 4 2 3 2 2" xfId="33443"/>
    <cellStyle name="40% - Ênfase5 3 4 2 3 2 2" xfId="33444"/>
    <cellStyle name="20% - Ênfase6 3 4 2 3 2 2" xfId="33445"/>
    <cellStyle name="40% - Ênfase6 3 4 2 3 2 2" xfId="33446"/>
    <cellStyle name="Normal 8 4 2 3 3 2" xfId="33447"/>
    <cellStyle name="Nota 5 4 2 3 2 2" xfId="33448"/>
    <cellStyle name="20% - Ênfase1 4 4 2 3 2 2" xfId="33449"/>
    <cellStyle name="40% - Ênfase1 4 4 2 3 2 2" xfId="33450"/>
    <cellStyle name="20% - Ênfase2 4 4 2 3 2 2" xfId="33451"/>
    <cellStyle name="40% - Ênfase2 4 4 2 3 2 2" xfId="33452"/>
    <cellStyle name="20% - Ênfase3 4 4 2 3 2 2" xfId="33453"/>
    <cellStyle name="40% - Ênfase3 4 4 2 3 2 2" xfId="33454"/>
    <cellStyle name="20% - Ênfase4 4 4 2 3 2 2" xfId="33455"/>
    <cellStyle name="40% - Ênfase4 4 4 2 3 2 2" xfId="33456"/>
    <cellStyle name="20% - Ênfase5 4 4 2 3 2 2" xfId="33457"/>
    <cellStyle name="40% - Ênfase5 4 4 2 3 2 2" xfId="33458"/>
    <cellStyle name="20% - Ênfase6 4 4 2 3 2 2" xfId="33459"/>
    <cellStyle name="40% - Ênfase6 4 4 2 3 2 2" xfId="33460"/>
    <cellStyle name="Normal 3 3 2 3 2 2" xfId="33461"/>
    <cellStyle name="Separador de milhares 5 2 2 3 2" xfId="33462"/>
    <cellStyle name="Separador de milhares 6 2 2 3 2" xfId="33463"/>
    <cellStyle name="Vírgula 5 2 3 2" xfId="33464"/>
    <cellStyle name="Vírgula 2 3 2 3 2" xfId="33465"/>
    <cellStyle name="20% - Ênfase1 5 2 2 3 2 2" xfId="33466"/>
    <cellStyle name="40% - Ênfase1 5 2 2 3 2 2" xfId="33467"/>
    <cellStyle name="20% - Ênfase2 5 2 2 3 2 2" xfId="33468"/>
    <cellStyle name="40% - Ênfase2 5 2 2 3 2 2" xfId="33469"/>
    <cellStyle name="20% - Ênfase3 5 2 2 3 2 2" xfId="33470"/>
    <cellStyle name="40% - Ênfase3 5 2 2 3 2 2" xfId="33471"/>
    <cellStyle name="20% - Ênfase4 5 2 2 3 2 2" xfId="33472"/>
    <cellStyle name="40% - Ênfase4 5 2 2 3 2 2" xfId="33473"/>
    <cellStyle name="20% - Ênfase5 5 2 2 3 2 2" xfId="33474"/>
    <cellStyle name="40% - Ênfase5 5 2 2 3 2 2" xfId="33475"/>
    <cellStyle name="20% - Ênfase6 5 2 2 3 2 2" xfId="33476"/>
    <cellStyle name="40% - Ênfase6 5 2 2 3 2 2" xfId="33477"/>
    <cellStyle name="Normal 4 2 2 2 3 2 2" xfId="33478"/>
    <cellStyle name="Nota 2 2 2 2 3 2 2" xfId="33479"/>
    <cellStyle name="Normal 5 2 2 2 3 2 2" xfId="33480"/>
    <cellStyle name="Nota 3 2 2 2 3 2 2" xfId="33481"/>
    <cellStyle name="20% - Ênfase1 2 2 2 2 3 2 2" xfId="33482"/>
    <cellStyle name="40% - Ênfase1 2 2 2 2 3 2 2" xfId="33483"/>
    <cellStyle name="20% - Ênfase2 2 2 2 2 3 2 2" xfId="33484"/>
    <cellStyle name="40% - Ênfase2 2 2 2 2 3 2 2" xfId="33485"/>
    <cellStyle name="20% - Ênfase3 2 2 2 2 3 2 2" xfId="33486"/>
    <cellStyle name="40% - Ênfase3 2 2 2 2 3 2 2" xfId="33487"/>
    <cellStyle name="20% - Ênfase4 2 2 2 2 3 2 2" xfId="33488"/>
    <cellStyle name="40% - Ênfase4 2 2 2 2 3 2 2" xfId="33489"/>
    <cellStyle name="20% - Ênfase5 2 2 2 2 3 2 2" xfId="33490"/>
    <cellStyle name="40% - Ênfase5 2 2 2 2 3 2 2" xfId="33491"/>
    <cellStyle name="20% - Ênfase6 2 2 2 2 3 2 2" xfId="33492"/>
    <cellStyle name="40% - Ênfase6 2 2 2 2 3 2 2" xfId="33493"/>
    <cellStyle name="Normal 7 2 2 2 3 2 2" xfId="33494"/>
    <cellStyle name="Nota 4 3 2 3 2 2" xfId="33495"/>
    <cellStyle name="20% - Ênfase1 3 3 2 3 2 2" xfId="33496"/>
    <cellStyle name="40% - Ênfase1 3 3 2 3 2 2" xfId="33497"/>
    <cellStyle name="20% - Ênfase2 3 3 2 3 2 2" xfId="33498"/>
    <cellStyle name="40% - Ênfase2 3 3 2 3 2 2" xfId="33499"/>
    <cellStyle name="20% - Ênfase3 3 3 2 3 2 2" xfId="33500"/>
    <cellStyle name="40% - Ênfase3 3 3 2 3 2 2" xfId="33501"/>
    <cellStyle name="20% - Ênfase4 3 3 2 3 2 2" xfId="33502"/>
    <cellStyle name="40% - Ênfase4 3 3 2 3 2 2" xfId="33503"/>
    <cellStyle name="20% - Ênfase5 3 3 2 3 2 2" xfId="33504"/>
    <cellStyle name="40% - Ênfase5 3 3 2 3 2 2" xfId="33505"/>
    <cellStyle name="20% - Ênfase6 3 3 2 3 2 2" xfId="33506"/>
    <cellStyle name="40% - Ênfase6 3 3 2 3 2 2" xfId="33507"/>
    <cellStyle name="Normal 8 3 2 3 3 2" xfId="33508"/>
    <cellStyle name="Nota 5 3 2 3 2 2" xfId="33509"/>
    <cellStyle name="20% - Ênfase1 4 3 2 3 2 2" xfId="33510"/>
    <cellStyle name="40% - Ênfase1 4 3 2 3 2 2" xfId="33511"/>
    <cellStyle name="20% - Ênfase2 4 3 2 3 2 2" xfId="33512"/>
    <cellStyle name="40% - Ênfase2 4 3 2 3 2 2" xfId="33513"/>
    <cellStyle name="20% - Ênfase3 4 3 2 3 2 2" xfId="33514"/>
    <cellStyle name="40% - Ênfase3 4 3 2 3 2 2" xfId="33515"/>
    <cellStyle name="20% - Ênfase4 4 3 2 3 2 2" xfId="33516"/>
    <cellStyle name="40% - Ênfase4 4 3 2 3 2 2" xfId="33517"/>
    <cellStyle name="20% - Ênfase5 4 3 2 3 2 2" xfId="33518"/>
    <cellStyle name="40% - Ênfase5 4 3 2 3 2 2" xfId="33519"/>
    <cellStyle name="20% - Ênfase6 4 3 2 3 2 2" xfId="33520"/>
    <cellStyle name="40% - Ênfase6 4 3 2 3 2 2" xfId="33521"/>
    <cellStyle name="20% - Ênfase1 6 2 2 3 2 2" xfId="33522"/>
    <cellStyle name="40% - Ênfase1 6 2 2 3 2 2" xfId="33523"/>
    <cellStyle name="20% - Ênfase2 6 2 2 3 2 2" xfId="33524"/>
    <cellStyle name="40% - Ênfase2 6 2 2 3 2 2" xfId="33525"/>
    <cellStyle name="20% - Ênfase3 6 2 2 3 2 2" xfId="33526"/>
    <cellStyle name="40% - Ênfase3 6 2 2 3 2 2" xfId="33527"/>
    <cellStyle name="20% - Ênfase4 6 2 2 3 2 2" xfId="33528"/>
    <cellStyle name="40% - Ênfase4 6 2 2 3 2 2" xfId="33529"/>
    <cellStyle name="20% - Ênfase5 6 2 2 3 2 2" xfId="33530"/>
    <cellStyle name="40% - Ênfase5 6 2 2 3 2 2" xfId="33531"/>
    <cellStyle name="20% - Ênfase6 6 2 2 3 2 2" xfId="33532"/>
    <cellStyle name="40% - Ênfase6 6 2 2 3 2 2" xfId="33533"/>
    <cellStyle name="Normal 4 3 2 2 3 2 2" xfId="33534"/>
    <cellStyle name="Nota 2 3 2 2 3 2 2" xfId="33535"/>
    <cellStyle name="Normal 5 3 2 2 3 2 2" xfId="33536"/>
    <cellStyle name="Nota 3 3 2 2 3 2 2" xfId="33537"/>
    <cellStyle name="20% - Ênfase1 2 3 2 2 3 2 2" xfId="33538"/>
    <cellStyle name="40% - Ênfase1 2 3 2 2 3 2 2" xfId="33539"/>
    <cellStyle name="20% - Ênfase2 2 3 2 2 3 2 2" xfId="33540"/>
    <cellStyle name="40% - Ênfase2 2 3 2 2 3 2 2" xfId="33541"/>
    <cellStyle name="20% - Ênfase3 2 3 2 2 3 2 2" xfId="33542"/>
    <cellStyle name="40% - Ênfase3 2 3 2 2 3 2 2" xfId="33543"/>
    <cellStyle name="20% - Ênfase4 2 3 2 2 3 2 2" xfId="33544"/>
    <cellStyle name="40% - Ênfase4 2 3 2 2 3 2 2" xfId="33545"/>
    <cellStyle name="20% - Ênfase5 2 3 2 2 3 2 2" xfId="33546"/>
    <cellStyle name="40% - Ênfase5 2 3 2 2 3 2 2" xfId="33547"/>
    <cellStyle name="20% - Ênfase6 2 3 2 2 3 2 2" xfId="33548"/>
    <cellStyle name="40% - Ênfase6 2 3 2 2 3 2 2" xfId="33549"/>
    <cellStyle name="Normal 7 3 2 2 3 2 2" xfId="33550"/>
    <cellStyle name="Nota 4 2 2 2 3 2 2" xfId="33551"/>
    <cellStyle name="20% - Ênfase1 3 2 2 2 3 2 2" xfId="33552"/>
    <cellStyle name="40% - Ênfase1 3 2 2 2 3 2 2" xfId="33553"/>
    <cellStyle name="20% - Ênfase2 3 2 2 2 3 2 2" xfId="33554"/>
    <cellStyle name="40% - Ênfase2 3 2 2 2 3 2 2" xfId="33555"/>
    <cellStyle name="20% - Ênfase3 3 2 2 2 3 2 2" xfId="33556"/>
    <cellStyle name="40% - Ênfase3 3 2 2 2 3 2 2" xfId="33557"/>
    <cellStyle name="20% - Ênfase4 3 2 2 2 3 2 2" xfId="33558"/>
    <cellStyle name="40% - Ênfase4 3 2 2 2 3 2 2" xfId="33559"/>
    <cellStyle name="20% - Ênfase5 3 2 2 2 3 2 2" xfId="33560"/>
    <cellStyle name="40% - Ênfase5 3 2 2 2 3 2 2" xfId="33561"/>
    <cellStyle name="20% - Ênfase6 3 2 2 2 3 2 2" xfId="33562"/>
    <cellStyle name="40% - Ênfase6 3 2 2 2 3 2 2" xfId="33563"/>
    <cellStyle name="Normal 8 2 2 2 3 2 2" xfId="33564"/>
    <cellStyle name="Nota 5 2 2 2 3 2 2" xfId="33565"/>
    <cellStyle name="20% - Ênfase1 4 2 2 2 3 2 2" xfId="33566"/>
    <cellStyle name="40% - Ênfase1 4 2 2 2 3 2 2" xfId="33567"/>
    <cellStyle name="20% - Ênfase2 4 2 2 2 3 2 2" xfId="33568"/>
    <cellStyle name="40% - Ênfase2 4 2 2 2 3 2 2" xfId="33569"/>
    <cellStyle name="20% - Ênfase3 4 2 2 2 3 2 2" xfId="33570"/>
    <cellStyle name="40% - Ênfase3 4 2 2 2 3 2 2" xfId="33571"/>
    <cellStyle name="20% - Ênfase4 4 2 2 2 3 2 2" xfId="33572"/>
    <cellStyle name="40% - Ênfase4 4 2 2 2 3 2 2" xfId="33573"/>
    <cellStyle name="20% - Ênfase5 4 2 2 2 3 2 2" xfId="33574"/>
    <cellStyle name="40% - Ênfase5 4 2 2 2 3 2 2" xfId="33575"/>
    <cellStyle name="20% - Ênfase6 4 2 2 2 3 2 2" xfId="33576"/>
    <cellStyle name="40% - Ênfase6 4 2 2 2 3 2 2" xfId="33577"/>
    <cellStyle name="Normal 3 5 3 2 2" xfId="33578"/>
    <cellStyle name="20% - Ênfase1 5 4 3 2 2" xfId="33579"/>
    <cellStyle name="40% - Ênfase1 5 4 3 2 2" xfId="33580"/>
    <cellStyle name="20% - Ênfase2 5 4 3 2 2" xfId="33581"/>
    <cellStyle name="40% - Ênfase2 5 4 3 2 2" xfId="33582"/>
    <cellStyle name="20% - Ênfase3 5 4 3 2 2" xfId="33583"/>
    <cellStyle name="40% - Ênfase3 5 4 3 2 2" xfId="33584"/>
    <cellStyle name="20% - Ênfase4 5 4 3 2 2" xfId="33585"/>
    <cellStyle name="40% - Ênfase4 5 4 3 2 2" xfId="33586"/>
    <cellStyle name="20% - Ênfase5 5 4 3 2 2" xfId="33587"/>
    <cellStyle name="40% - Ênfase5 5 4 3 2 2" xfId="33588"/>
    <cellStyle name="20% - Ênfase6 5 4 3 2 2" xfId="33589"/>
    <cellStyle name="40% - Ênfase6 5 4 3 2 2" xfId="33590"/>
    <cellStyle name="Normal 4 2 4 3 2 2" xfId="33591"/>
    <cellStyle name="Nota 2 2 4 3 2 2" xfId="33592"/>
    <cellStyle name="Normal 5 2 4 3 2 2" xfId="33593"/>
    <cellStyle name="Nota 3 2 4 3 2 2" xfId="33594"/>
    <cellStyle name="20% - Ênfase1 2 2 4 3 2 2" xfId="33595"/>
    <cellStyle name="40% - Ênfase1 2 2 4 3 2 2" xfId="33596"/>
    <cellStyle name="20% - Ênfase2 2 2 4 3 2 2" xfId="33597"/>
    <cellStyle name="40% - Ênfase2 2 2 4 3 2 2" xfId="33598"/>
    <cellStyle name="20% - Ênfase3 2 2 4 3 2 2" xfId="33599"/>
    <cellStyle name="40% - Ênfase3 2 2 4 3 2 2" xfId="33600"/>
    <cellStyle name="20% - Ênfase4 2 2 4 3 2 2" xfId="33601"/>
    <cellStyle name="40% - Ênfase4 2 2 4 3 2 2" xfId="33602"/>
    <cellStyle name="20% - Ênfase5 2 2 4 3 2 2" xfId="33603"/>
    <cellStyle name="40% - Ênfase5 2 2 4 3 2 2" xfId="33604"/>
    <cellStyle name="20% - Ênfase6 2 2 4 3 2 2" xfId="33605"/>
    <cellStyle name="40% - Ênfase6 2 2 4 3 2 2" xfId="33606"/>
    <cellStyle name="Normal 7 2 4 3 2 2" xfId="33607"/>
    <cellStyle name="Nota 4 6 3 2 2" xfId="33608"/>
    <cellStyle name="20% - Ênfase1 3 6 3 2 2" xfId="33609"/>
    <cellStyle name="40% - Ênfase1 3 6 3 2 2" xfId="33610"/>
    <cellStyle name="20% - Ênfase2 3 6 3 2 2" xfId="33611"/>
    <cellStyle name="40% - Ênfase2 3 6 3 2 2" xfId="33612"/>
    <cellStyle name="20% - Ênfase3 3 6 3 2 2" xfId="33613"/>
    <cellStyle name="40% - Ênfase3 3 6 3 2 2" xfId="33614"/>
    <cellStyle name="20% - Ênfase4 3 6 3 2 2" xfId="33615"/>
    <cellStyle name="40% - Ênfase4 3 6 3 2 2" xfId="33616"/>
    <cellStyle name="20% - Ênfase5 3 6 3 2 2" xfId="33617"/>
    <cellStyle name="40% - Ênfase5 3 6 3 2 2" xfId="33618"/>
    <cellStyle name="20% - Ênfase6 3 6 3 2 2" xfId="33619"/>
    <cellStyle name="40% - Ênfase6 3 6 3 2 2" xfId="33620"/>
    <cellStyle name="Normal 8 6 3 3 2" xfId="33621"/>
    <cellStyle name="Nota 5 6 3 2 2" xfId="33622"/>
    <cellStyle name="20% - Ênfase1 4 6 3 2 2" xfId="33623"/>
    <cellStyle name="40% - Ênfase1 4 6 3 2 2" xfId="33624"/>
    <cellStyle name="20% - Ênfase2 4 6 3 2 2" xfId="33625"/>
    <cellStyle name="40% - Ênfase2 4 6 3 2 2" xfId="33626"/>
    <cellStyle name="20% - Ênfase3 4 6 3 2 2" xfId="33627"/>
    <cellStyle name="40% - Ênfase3 4 6 3 2 2" xfId="33628"/>
    <cellStyle name="20% - Ênfase4 4 6 3 2 2" xfId="33629"/>
    <cellStyle name="40% - Ênfase4 4 6 3 2 2" xfId="33630"/>
    <cellStyle name="20% - Ênfase5 4 6 3 2 2" xfId="33631"/>
    <cellStyle name="40% - Ênfase5 4 6 3 2 2" xfId="33632"/>
    <cellStyle name="20% - Ênfase6 4 6 3 2 2" xfId="33633"/>
    <cellStyle name="40% - Ênfase6 4 6 3 2 2" xfId="33634"/>
    <cellStyle name="20% - Ênfase1 6 4 3 2 2" xfId="33635"/>
    <cellStyle name="40% - Ênfase1 6 4 3 2 2" xfId="33636"/>
    <cellStyle name="20% - Ênfase2 6 4 3 2 2" xfId="33637"/>
    <cellStyle name="40% - Ênfase2 6 4 3 2 2" xfId="33638"/>
    <cellStyle name="20% - Ênfase3 6 4 3 2 2" xfId="33639"/>
    <cellStyle name="40% - Ênfase3 6 4 3 2 2" xfId="33640"/>
    <cellStyle name="20% - Ênfase4 6 4 3 2 2" xfId="33641"/>
    <cellStyle name="40% - Ênfase4 6 4 3 2 2" xfId="33642"/>
    <cellStyle name="20% - Ênfase5 6 4 3 2 2" xfId="33643"/>
    <cellStyle name="40% - Ênfase5 6 4 3 2 2" xfId="33644"/>
    <cellStyle name="20% - Ênfase6 6 4 3 2 2" xfId="33645"/>
    <cellStyle name="40% - Ênfase6 6 4 3 2 2" xfId="33646"/>
    <cellStyle name="Normal 4 3 4 3 2 2" xfId="33647"/>
    <cellStyle name="Nota 2 3 4 3 2 2" xfId="33648"/>
    <cellStyle name="Normal 5 3 4 3 2 2" xfId="33649"/>
    <cellStyle name="Nota 3 3 4 3 2 2" xfId="33650"/>
    <cellStyle name="20% - Ênfase1 2 3 4 3 2 2" xfId="33651"/>
    <cellStyle name="40% - Ênfase1 2 3 4 3 2 2" xfId="33652"/>
    <cellStyle name="20% - Ênfase2 2 3 4 3 2 2" xfId="33653"/>
    <cellStyle name="40% - Ênfase2 2 3 4 3 2 2" xfId="33654"/>
    <cellStyle name="20% - Ênfase3 2 3 4 3 2 2" xfId="33655"/>
    <cellStyle name="40% - Ênfase3 2 3 4 3 2 2" xfId="33656"/>
    <cellStyle name="20% - Ênfase4 2 3 4 3 2 2" xfId="33657"/>
    <cellStyle name="40% - Ênfase4 2 3 4 3 2 2" xfId="33658"/>
    <cellStyle name="20% - Ênfase5 2 3 4 3 2 2" xfId="33659"/>
    <cellStyle name="40% - Ênfase5 2 3 4 3 2 2" xfId="33660"/>
    <cellStyle name="20% - Ênfase6 2 3 4 3 2 2" xfId="33661"/>
    <cellStyle name="40% - Ênfase6 2 3 4 3 2 2" xfId="33662"/>
    <cellStyle name="Normal 7 3 4 3 2 2" xfId="33663"/>
    <cellStyle name="Nota 4 2 4 3 2 2" xfId="33664"/>
    <cellStyle name="20% - Ênfase1 3 2 4 3 2 2" xfId="33665"/>
    <cellStyle name="40% - Ênfase1 3 2 4 3 2 2" xfId="33666"/>
    <cellStyle name="20% - Ênfase2 3 2 4 3 2 2" xfId="33667"/>
    <cellStyle name="40% - Ênfase2 3 2 4 3 2 2" xfId="33668"/>
    <cellStyle name="20% - Ênfase3 3 2 4 3 2 2" xfId="33669"/>
    <cellStyle name="40% - Ênfase3 3 2 4 3 2 2" xfId="33670"/>
    <cellStyle name="20% - Ênfase4 3 2 4 3 2 2" xfId="33671"/>
    <cellStyle name="40% - Ênfase4 3 2 4 3 2 2" xfId="33672"/>
    <cellStyle name="20% - Ênfase5 3 2 4 3 2 2" xfId="33673"/>
    <cellStyle name="40% - Ênfase5 3 2 4 3 2 2" xfId="33674"/>
    <cellStyle name="20% - Ênfase6 3 2 4 3 2 2" xfId="33675"/>
    <cellStyle name="40% - Ênfase6 3 2 4 3 2 2" xfId="33676"/>
    <cellStyle name="Normal 8 2 4 3 2 2" xfId="33677"/>
    <cellStyle name="Nota 5 2 4 3 2 2" xfId="33678"/>
    <cellStyle name="20% - Ênfase1 4 2 4 3 2 2" xfId="33679"/>
    <cellStyle name="40% - Ênfase1 4 2 4 3 2 2" xfId="33680"/>
    <cellStyle name="20% - Ênfase2 4 2 4 3 2 2" xfId="33681"/>
    <cellStyle name="40% - Ênfase2 4 2 4 3 2 2" xfId="33682"/>
    <cellStyle name="20% - Ênfase3 4 2 4 3 2 2" xfId="33683"/>
    <cellStyle name="40% - Ênfase3 4 2 4 3 2 2" xfId="33684"/>
    <cellStyle name="20% - Ênfase4 4 2 4 3 2 2" xfId="33685"/>
    <cellStyle name="40% - Ênfase4 4 2 4 3 2 2" xfId="33686"/>
    <cellStyle name="20% - Ênfase5 4 2 4 3 2 2" xfId="33687"/>
    <cellStyle name="40% - Ênfase5 4 2 4 3 2 2" xfId="33688"/>
    <cellStyle name="20% - Ênfase6 4 2 4 3 2 2" xfId="33689"/>
    <cellStyle name="40% - Ênfase6 4 2 4 3 2 2" xfId="33690"/>
    <cellStyle name="20% - Ênfase1 8 3 3 2 2" xfId="33691"/>
    <cellStyle name="40% - Ênfase1 8 3 3 2 2" xfId="33692"/>
    <cellStyle name="20% - Ênfase2 8 3 3 2 2" xfId="33693"/>
    <cellStyle name="40% - Ênfase2 8 3 3 2 2" xfId="33694"/>
    <cellStyle name="20% - Ênfase3 8 3 3 2 2" xfId="33695"/>
    <cellStyle name="40% - Ênfase3 8 3 3 2 2" xfId="33696"/>
    <cellStyle name="20% - Ênfase4 8 3 3 2 2" xfId="33697"/>
    <cellStyle name="40% - Ênfase4 8 3 3 2 2" xfId="33698"/>
    <cellStyle name="20% - Ênfase5 8 3 3 2 2" xfId="33699"/>
    <cellStyle name="40% - Ênfase5 8 3 3 2 2" xfId="33700"/>
    <cellStyle name="20% - Ênfase6 8 3 3 2 2" xfId="33701"/>
    <cellStyle name="40% - Ênfase6 8 3 3 2 2" xfId="33702"/>
    <cellStyle name="Normal 4 5 3 3 2 2" xfId="33703"/>
    <cellStyle name="Nota 2 5 3 3 2 2" xfId="33704"/>
    <cellStyle name="Normal 5 5 3 3 2 2" xfId="33705"/>
    <cellStyle name="Nota 3 5 3 3 2 2" xfId="33706"/>
    <cellStyle name="20% - Ênfase1 2 5 3 3 2 2" xfId="33707"/>
    <cellStyle name="40% - Ênfase1 2 5 3 3 2 2" xfId="33708"/>
    <cellStyle name="20% - Ênfase2 2 5 3 3 2 2" xfId="33709"/>
    <cellStyle name="40% - Ênfase2 2 5 3 3 2 2" xfId="33710"/>
    <cellStyle name="20% - Ênfase3 2 5 3 3 2 2" xfId="33711"/>
    <cellStyle name="40% - Ênfase3 2 5 3 3 2 2" xfId="33712"/>
    <cellStyle name="20% - Ênfase4 2 5 3 3 2 2" xfId="33713"/>
    <cellStyle name="40% - Ênfase4 2 5 3 3 2 2" xfId="33714"/>
    <cellStyle name="20% - Ênfase5 2 5 3 3 2 2" xfId="33715"/>
    <cellStyle name="40% - Ênfase5 2 5 3 3 2 2" xfId="33716"/>
    <cellStyle name="20% - Ênfase6 2 5 3 3 2 2" xfId="33717"/>
    <cellStyle name="40% - Ênfase6 2 5 3 3 2 2" xfId="33718"/>
    <cellStyle name="Normal 7 5 3 3 2 2" xfId="33719"/>
    <cellStyle name="Nota 4 4 3 3 2 2" xfId="33720"/>
    <cellStyle name="20% - Ênfase1 3 4 3 3 2 2" xfId="33721"/>
    <cellStyle name="40% - Ênfase1 3 4 3 3 2 2" xfId="33722"/>
    <cellStyle name="20% - Ênfase2 3 4 3 3 2 2" xfId="33723"/>
    <cellStyle name="40% - Ênfase2 3 4 3 3 2 2" xfId="33724"/>
    <cellStyle name="20% - Ênfase3 3 4 3 3 2 2" xfId="33725"/>
    <cellStyle name="40% - Ênfase3 3 4 3 3 2 2" xfId="33726"/>
    <cellStyle name="20% - Ênfase4 3 4 3 3 2 2" xfId="33727"/>
    <cellStyle name="40% - Ênfase4 3 4 3 3 2 2" xfId="33728"/>
    <cellStyle name="20% - Ênfase5 3 4 3 3 2 2" xfId="33729"/>
    <cellStyle name="40% - Ênfase5 3 4 3 3 2 2" xfId="33730"/>
    <cellStyle name="20% - Ênfase6 3 4 3 3 2 2" xfId="33731"/>
    <cellStyle name="40% - Ênfase6 3 4 3 3 2 2" xfId="33732"/>
    <cellStyle name="Normal 8 4 3 3 2 2" xfId="33733"/>
    <cellStyle name="Nota 5 4 3 3 2 2" xfId="33734"/>
    <cellStyle name="20% - Ênfase1 4 4 3 3 2 2" xfId="33735"/>
    <cellStyle name="40% - Ênfase1 4 4 3 3 2 2" xfId="33736"/>
    <cellStyle name="20% - Ênfase2 4 4 3 3 2 2" xfId="33737"/>
    <cellStyle name="40% - Ênfase2 4 4 3 3 2 2" xfId="33738"/>
    <cellStyle name="20% - Ênfase3 4 4 3 3 2 2" xfId="33739"/>
    <cellStyle name="40% - Ênfase3 4 4 3 3 2 2" xfId="33740"/>
    <cellStyle name="20% - Ênfase4 4 4 3 3 2 2" xfId="33741"/>
    <cellStyle name="40% - Ênfase4 4 4 3 3 2 2" xfId="33742"/>
    <cellStyle name="20% - Ênfase5 4 4 3 3 2 2" xfId="33743"/>
    <cellStyle name="40% - Ênfase5 4 4 3 3 2 2" xfId="33744"/>
    <cellStyle name="20% - Ênfase6 4 4 3 3 2 2" xfId="33745"/>
    <cellStyle name="40% - Ênfase6 4 4 3 3 2 2" xfId="33746"/>
    <cellStyle name="Normal 3 3 3 3 2 2" xfId="33747"/>
    <cellStyle name="20% - Ênfase1 5 2 3 3 2 2" xfId="33748"/>
    <cellStyle name="40% - Ênfase1 5 2 3 3 2 2" xfId="33749"/>
    <cellStyle name="20% - Ênfase2 5 2 3 3 2 2" xfId="33750"/>
    <cellStyle name="40% - Ênfase2 5 2 3 3 2 2" xfId="33751"/>
    <cellStyle name="20% - Ênfase3 5 2 3 3 2 2" xfId="33752"/>
    <cellStyle name="40% - Ênfase3 5 2 3 3 2 2" xfId="33753"/>
    <cellStyle name="20% - Ênfase4 5 2 3 3 2 2" xfId="33754"/>
    <cellStyle name="40% - Ênfase4 5 2 3 3 2 2" xfId="33755"/>
    <cellStyle name="20% - Ênfase5 5 2 3 3 2 2" xfId="33756"/>
    <cellStyle name="40% - Ênfase5 5 2 3 3 2 2" xfId="33757"/>
    <cellStyle name="20% - Ênfase6 5 2 3 3 2 2" xfId="33758"/>
    <cellStyle name="40% - Ênfase6 5 2 3 3 2 2" xfId="33759"/>
    <cellStyle name="Normal 4 2 2 3 3 2 2" xfId="33760"/>
    <cellStyle name="Nota 2 2 2 3 3 2 2" xfId="33761"/>
    <cellStyle name="Normal 5 2 2 3 3 2 2" xfId="33762"/>
    <cellStyle name="Nota 3 2 2 3 3 2 2" xfId="33763"/>
    <cellStyle name="20% - Ênfase1 2 2 2 3 3 2 2" xfId="33764"/>
    <cellStyle name="40% - Ênfase1 2 2 2 3 3 2 2" xfId="33765"/>
    <cellStyle name="20% - Ênfase2 2 2 2 3 3 2 2" xfId="33766"/>
    <cellStyle name="40% - Ênfase2 2 2 2 3 3 2 2" xfId="33767"/>
    <cellStyle name="20% - Ênfase3 2 2 2 3 3 2 2" xfId="33768"/>
    <cellStyle name="40% - Ênfase3 2 2 2 3 3 2 2" xfId="33769"/>
    <cellStyle name="20% - Ênfase4 2 2 2 3 3 2 2" xfId="33770"/>
    <cellStyle name="40% - Ênfase4 2 2 2 3 3 2 2" xfId="33771"/>
    <cellStyle name="20% - Ênfase5 2 2 2 3 3 2 2" xfId="33772"/>
    <cellStyle name="40% - Ênfase5 2 2 2 3 3 2 2" xfId="33773"/>
    <cellStyle name="20% - Ênfase6 2 2 2 3 3 2 2" xfId="33774"/>
    <cellStyle name="40% - Ênfase6 2 2 2 3 3 2 2" xfId="33775"/>
    <cellStyle name="Normal 7 2 2 3 3 2 2" xfId="33776"/>
    <cellStyle name="Nota 4 3 3 3 2 2" xfId="33777"/>
    <cellStyle name="20% - Ênfase1 3 3 3 3 2 2" xfId="33778"/>
    <cellStyle name="40% - Ênfase1 3 3 3 3 2 2" xfId="33779"/>
    <cellStyle name="20% - Ênfase2 3 3 3 3 2 2" xfId="33780"/>
    <cellStyle name="40% - Ênfase2 3 3 3 3 2 2" xfId="33781"/>
    <cellStyle name="20% - Ênfase3 3 3 3 3 2 2" xfId="33782"/>
    <cellStyle name="40% - Ênfase3 3 3 3 3 2 2" xfId="33783"/>
    <cellStyle name="20% - Ênfase4 3 3 3 3 2 2" xfId="33784"/>
    <cellStyle name="40% - Ênfase4 3 3 3 3 2 2" xfId="33785"/>
    <cellStyle name="20% - Ênfase5 3 3 3 3 2 2" xfId="33786"/>
    <cellStyle name="40% - Ênfase5 3 3 3 3 2 2" xfId="33787"/>
    <cellStyle name="20% - Ênfase6 3 3 3 3 2 2" xfId="33788"/>
    <cellStyle name="40% - Ênfase6 3 3 3 3 2 2" xfId="33789"/>
    <cellStyle name="Normal 8 3 3 3 2 2" xfId="33790"/>
    <cellStyle name="Nota 5 3 3 3 2 2" xfId="33791"/>
    <cellStyle name="20% - Ênfase1 4 3 3 3 2 2" xfId="33792"/>
    <cellStyle name="40% - Ênfase1 4 3 3 3 2 2" xfId="33793"/>
    <cellStyle name="20% - Ênfase2 4 3 3 3 2 2" xfId="33794"/>
    <cellStyle name="40% - Ênfase2 4 3 3 3 2 2" xfId="33795"/>
    <cellStyle name="20% - Ênfase3 4 3 3 3 2 2" xfId="33796"/>
    <cellStyle name="40% - Ênfase3 4 3 3 3 2 2" xfId="33797"/>
    <cellStyle name="20% - Ênfase4 4 3 3 3 2 2" xfId="33798"/>
    <cellStyle name="40% - Ênfase4 4 3 3 3 2 2" xfId="33799"/>
    <cellStyle name="20% - Ênfase5 4 3 3 3 2 2" xfId="33800"/>
    <cellStyle name="40% - Ênfase5 4 3 3 3 2 2" xfId="33801"/>
    <cellStyle name="20% - Ênfase6 4 3 3 3 2 2" xfId="33802"/>
    <cellStyle name="40% - Ênfase6 4 3 3 3 2 2" xfId="33803"/>
    <cellStyle name="20% - Ênfase1 6 2 3 3 2 2" xfId="33804"/>
    <cellStyle name="40% - Ênfase1 6 2 3 3 2 2" xfId="33805"/>
    <cellStyle name="20% - Ênfase2 6 2 3 3 2 2" xfId="33806"/>
    <cellStyle name="40% - Ênfase2 6 2 3 3 2 2" xfId="33807"/>
    <cellStyle name="20% - Ênfase3 6 2 3 3 2 2" xfId="33808"/>
    <cellStyle name="40% - Ênfase3 6 2 3 3 2 2" xfId="33809"/>
    <cellStyle name="20% - Ênfase4 6 2 3 3 2 2" xfId="33810"/>
    <cellStyle name="40% - Ênfase4 6 2 3 3 2 2" xfId="33811"/>
    <cellStyle name="20% - Ênfase5 6 2 3 3 2 2" xfId="33812"/>
    <cellStyle name="40% - Ênfase5 6 2 3 3 2 2" xfId="33813"/>
    <cellStyle name="20% - Ênfase6 6 2 3 3 2 2" xfId="33814"/>
    <cellStyle name="40% - Ênfase6 6 2 3 3 2 2" xfId="33815"/>
    <cellStyle name="Normal 4 3 2 3 3 2 2" xfId="33816"/>
    <cellStyle name="Nota 2 3 2 3 3 2 2" xfId="33817"/>
    <cellStyle name="Normal 5 3 2 3 3 2 2" xfId="33818"/>
    <cellStyle name="Nota 3 3 2 3 3 2 2" xfId="33819"/>
    <cellStyle name="20% - Ênfase1 2 3 2 3 3 2 2" xfId="33820"/>
    <cellStyle name="40% - Ênfase1 2 3 2 3 3 2 2" xfId="33821"/>
    <cellStyle name="20% - Ênfase2 2 3 2 3 3 2 2" xfId="33822"/>
    <cellStyle name="40% - Ênfase2 2 3 2 3 3 2 2" xfId="33823"/>
    <cellStyle name="20% - Ênfase3 2 3 2 3 3 2 2" xfId="33824"/>
    <cellStyle name="40% - Ênfase3 2 3 2 3 3 2 2" xfId="33825"/>
    <cellStyle name="20% - Ênfase4 2 3 2 3 3 2 2" xfId="33826"/>
    <cellStyle name="40% - Ênfase4 2 3 2 3 3 2 2" xfId="33827"/>
    <cellStyle name="20% - Ênfase5 2 3 2 3 3 2 2" xfId="33828"/>
    <cellStyle name="40% - Ênfase5 2 3 2 3 3 2 2" xfId="33829"/>
    <cellStyle name="20% - Ênfase6 2 3 2 3 3 2 2" xfId="33830"/>
    <cellStyle name="40% - Ênfase6 2 3 2 3 3 2 2" xfId="33831"/>
    <cellStyle name="Normal 7 3 2 3 3 2 2" xfId="33832"/>
    <cellStyle name="Nota 4 2 2 3 3 2 2" xfId="33833"/>
    <cellStyle name="20% - Ênfase1 3 2 2 3 3 2 2" xfId="33834"/>
    <cellStyle name="40% - Ênfase1 3 2 2 3 3 2 2" xfId="33835"/>
    <cellStyle name="20% - Ênfase2 3 2 2 3 3 2 2" xfId="33836"/>
    <cellStyle name="40% - Ênfase2 3 2 2 3 3 2 2" xfId="33837"/>
    <cellStyle name="20% - Ênfase3 3 2 2 3 3 2 2" xfId="33838"/>
    <cellStyle name="40% - Ênfase3 3 2 2 3 3 2 2" xfId="33839"/>
    <cellStyle name="20% - Ênfase4 3 2 2 3 3 2 2" xfId="33840"/>
    <cellStyle name="40% - Ênfase4 3 2 2 3 3 2 2" xfId="33841"/>
    <cellStyle name="20% - Ênfase5 3 2 2 3 3 2 2" xfId="33842"/>
    <cellStyle name="40% - Ênfase5 3 2 2 3 3 2 2" xfId="33843"/>
    <cellStyle name="20% - Ênfase6 3 2 2 3 3 2 2" xfId="33844"/>
    <cellStyle name="40% - Ênfase6 3 2 2 3 3 2 2" xfId="33845"/>
    <cellStyle name="Normal 8 2 2 3 3 2 2" xfId="33846"/>
    <cellStyle name="Nota 5 2 2 3 3 2 2" xfId="33847"/>
    <cellStyle name="20% - Ênfase1 4 2 2 3 3 2 2" xfId="33848"/>
    <cellStyle name="40% - Ênfase1 4 2 2 3 3 2 2" xfId="33849"/>
    <cellStyle name="20% - Ênfase2 4 2 2 3 3 2 2" xfId="33850"/>
    <cellStyle name="40% - Ênfase2 4 2 2 3 3 2 2" xfId="33851"/>
    <cellStyle name="20% - Ênfase3 4 2 2 3 3 2 2" xfId="33852"/>
    <cellStyle name="40% - Ênfase3 4 2 2 3 3 2 2" xfId="33853"/>
    <cellStyle name="20% - Ênfase4 4 2 2 3 3 2 2" xfId="33854"/>
    <cellStyle name="40% - Ênfase4 4 2 2 3 3 2 2" xfId="33855"/>
    <cellStyle name="20% - Ênfase5 4 2 2 3 3 2 2" xfId="33856"/>
    <cellStyle name="40% - Ênfase5 4 2 2 3 3 2 2" xfId="33857"/>
    <cellStyle name="20% - Ênfase6 4 2 2 3 3 2 2" xfId="33858"/>
    <cellStyle name="40% - Ênfase6 4 2 2 3 3 2 2" xfId="33859"/>
    <cellStyle name="Normal 3 6 3 2 2" xfId="33860"/>
    <cellStyle name="20% - Ênfase1 5 5 3 2 2" xfId="33861"/>
    <cellStyle name="40% - Ênfase1 5 5 3 2 2" xfId="33862"/>
    <cellStyle name="20% - Ênfase2 5 5 3 2 2" xfId="33863"/>
    <cellStyle name="40% - Ênfase2 5 5 3 2 2" xfId="33864"/>
    <cellStyle name="20% - Ênfase3 5 5 3 2 2" xfId="33865"/>
    <cellStyle name="40% - Ênfase3 5 5 3 2 2" xfId="33866"/>
    <cellStyle name="20% - Ênfase4 5 5 3 2 2" xfId="33867"/>
    <cellStyle name="40% - Ênfase4 5 5 3 2 2" xfId="33868"/>
    <cellStyle name="20% - Ênfase5 5 5 3 2 2" xfId="33869"/>
    <cellStyle name="40% - Ênfase5 5 5 3 2 2" xfId="33870"/>
    <cellStyle name="20% - Ênfase6 5 5 3 2 2" xfId="33871"/>
    <cellStyle name="40% - Ênfase6 5 5 3 2 2" xfId="33872"/>
    <cellStyle name="Normal 4 2 5 3 2 2" xfId="33873"/>
    <cellStyle name="Nota 2 2 5 3 2 2" xfId="33874"/>
    <cellStyle name="Normal 5 2 5 3 2 2" xfId="33875"/>
    <cellStyle name="Nota 3 2 5 3 2 2" xfId="33876"/>
    <cellStyle name="20% - Ênfase1 2 2 5 3 2 2" xfId="33877"/>
    <cellStyle name="40% - Ênfase1 2 2 5 3 2 2" xfId="33878"/>
    <cellStyle name="20% - Ênfase2 2 2 5 3 2 2" xfId="33879"/>
    <cellStyle name="40% - Ênfase2 2 2 5 3 2 2" xfId="33880"/>
    <cellStyle name="20% - Ênfase3 2 2 5 3 2 2" xfId="33881"/>
    <cellStyle name="40% - Ênfase3 2 2 5 3 2 2" xfId="33882"/>
    <cellStyle name="20% - Ênfase4 2 2 5 3 2 2" xfId="33883"/>
    <cellStyle name="40% - Ênfase4 2 2 5 3 2 2" xfId="33884"/>
    <cellStyle name="20% - Ênfase5 2 2 5 3 2 2" xfId="33885"/>
    <cellStyle name="40% - Ênfase5 2 2 5 3 2 2" xfId="33886"/>
    <cellStyle name="20% - Ênfase6 2 2 5 3 2 2" xfId="33887"/>
    <cellStyle name="40% - Ênfase6 2 2 5 3 2 2" xfId="33888"/>
    <cellStyle name="Normal 7 2 5 3 2 2" xfId="33889"/>
    <cellStyle name="Nota 4 7 3 2 2" xfId="33890"/>
    <cellStyle name="20% - Ênfase1 3 7 3 2 2" xfId="33891"/>
    <cellStyle name="40% - Ênfase1 3 7 3 2 2" xfId="33892"/>
    <cellStyle name="20% - Ênfase2 3 7 3 2 2" xfId="33893"/>
    <cellStyle name="40% - Ênfase2 3 7 3 2 2" xfId="33894"/>
    <cellStyle name="20% - Ênfase3 3 7 3 2 2" xfId="33895"/>
    <cellStyle name="40% - Ênfase3 3 7 3 2 2" xfId="33896"/>
    <cellStyle name="20% - Ênfase4 3 7 3 2 2" xfId="33897"/>
    <cellStyle name="40% - Ênfase4 3 7 3 2 2" xfId="33898"/>
    <cellStyle name="20% - Ênfase5 3 7 3 2 2" xfId="33899"/>
    <cellStyle name="40% - Ênfase5 3 7 3 2 2" xfId="33900"/>
    <cellStyle name="20% - Ênfase6 3 7 3 2 2" xfId="33901"/>
    <cellStyle name="40% - Ênfase6 3 7 3 2 2" xfId="33902"/>
    <cellStyle name="Normal 8 7 3 2 2" xfId="33903"/>
    <cellStyle name="Nota 5 7 3 2 2" xfId="33904"/>
    <cellStyle name="20% - Ênfase1 4 7 3 2 2" xfId="33905"/>
    <cellStyle name="40% - Ênfase1 4 7 3 2 2" xfId="33906"/>
    <cellStyle name="20% - Ênfase2 4 7 3 2 2" xfId="33907"/>
    <cellStyle name="40% - Ênfase2 4 7 3 2 2" xfId="33908"/>
    <cellStyle name="20% - Ênfase3 4 7 3 2 2" xfId="33909"/>
    <cellStyle name="40% - Ênfase3 4 7 3 2 2" xfId="33910"/>
    <cellStyle name="20% - Ênfase4 4 7 3 2 2" xfId="33911"/>
    <cellStyle name="40% - Ênfase4 4 7 3 2 2" xfId="33912"/>
    <cellStyle name="20% - Ênfase5 4 7 3 2 2" xfId="33913"/>
    <cellStyle name="40% - Ênfase5 4 7 3 2 2" xfId="33914"/>
    <cellStyle name="20% - Ênfase6 4 7 3 2 2" xfId="33915"/>
    <cellStyle name="40% - Ênfase6 4 7 3 2 2" xfId="33916"/>
    <cellStyle name="Vírgula 7 3 2" xfId="33917"/>
    <cellStyle name="Normal 6 4 3 2 2" xfId="33918"/>
    <cellStyle name="Separador de milhares 2 6 3 2" xfId="33919"/>
    <cellStyle name="Separador de milhares 2 2 3 3 2" xfId="33920"/>
    <cellStyle name="Separador de milhares 2 3 2 3 2" xfId="33921"/>
    <cellStyle name="Separador de milhares 2 4 3 2" xfId="33922"/>
    <cellStyle name="Separador de milhares 2 5 3 2" xfId="33923"/>
    <cellStyle name="Separador de milhares 3 4 3 2 2" xfId="33924"/>
    <cellStyle name="Separador de milhares 3 2 3 3 2" xfId="33925"/>
    <cellStyle name="Separador de milhares 4 3 3 2 2" xfId="33926"/>
    <cellStyle name="Separador de milhares 4 2 2 3 2" xfId="33927"/>
    <cellStyle name="Separador de milhares 5 4 3 2" xfId="33928"/>
    <cellStyle name="Separador de milhares 6 4 3 2" xfId="33929"/>
    <cellStyle name="Separador de milhares 7 3 4 2" xfId="33930"/>
    <cellStyle name="Vírgula 8 3 2" xfId="33931"/>
    <cellStyle name="Vírgula 2 5 3 2" xfId="33932"/>
    <cellStyle name="Vírgula 4 3 3 2" xfId="33933"/>
    <cellStyle name="Vírgula 4 2 2 3 2 2" xfId="33934"/>
    <cellStyle name="Vírgula 3 3 3 2" xfId="33935"/>
    <cellStyle name="Vírgula 9 3 2 2" xfId="33936"/>
    <cellStyle name="Separador de milhares 2 7 3 3 2" xfId="33937"/>
    <cellStyle name="Separador de milhares 3 5 3 2" xfId="33938"/>
    <cellStyle name="Vírgula 10 3 3 2" xfId="33939"/>
    <cellStyle name="20% - Ênfase1 9 3 2" xfId="33940"/>
    <cellStyle name="40% - Ênfase1 9 3" xfId="33941"/>
    <cellStyle name="20% - Ênfase2 9 3 2" xfId="33942"/>
    <cellStyle name="40% - Ênfase2 9 3 2" xfId="33943"/>
    <cellStyle name="20% - Ênfase3 9 3 2" xfId="33944"/>
    <cellStyle name="40% - Ênfase3 9 3 2" xfId="33945"/>
    <cellStyle name="20% - Ênfase4 9 3" xfId="33946"/>
    <cellStyle name="40% - Ênfase4 9 3" xfId="33947"/>
    <cellStyle name="20% - Ênfase5 9 3" xfId="33948"/>
    <cellStyle name="40% - Ênfase5 9 3" xfId="33949"/>
    <cellStyle name="20% - Ênfase6 9 3 2" xfId="33950"/>
    <cellStyle name="40% - Ênfase6 9 3" xfId="33951"/>
    <cellStyle name="Normal 4 7 3" xfId="33952"/>
    <cellStyle name="Nota 2 6 3 2" xfId="33953"/>
    <cellStyle name="Normal 5 6 3 2" xfId="33954"/>
    <cellStyle name="Nota 3 6 3 2" xfId="33955"/>
    <cellStyle name="20% - Ênfase1 2 6 3" xfId="33956"/>
    <cellStyle name="40% - Ênfase1 2 6 3" xfId="33957"/>
    <cellStyle name="20% - Ênfase2 2 6 3" xfId="33958"/>
    <cellStyle name="40% - Ênfase2 2 6 3" xfId="33959"/>
    <cellStyle name="20% - Ênfase3 2 6 3" xfId="33960"/>
    <cellStyle name="40% - Ênfase3 2 6 3" xfId="33961"/>
    <cellStyle name="20% - Ênfase4 2 6 3" xfId="33962"/>
    <cellStyle name="40% - Ênfase4 2 6 3" xfId="33963"/>
    <cellStyle name="20% - Ênfase5 2 6 3" xfId="33964"/>
    <cellStyle name="40% - Ênfase5 2 6 3" xfId="33965"/>
    <cellStyle name="20% - Ênfase6 2 6 3" xfId="33966"/>
    <cellStyle name="40% - Ênfase6 2 6 3" xfId="33967"/>
    <cellStyle name="Vírgula 2 6 3 2" xfId="33968"/>
    <cellStyle name="Normal 7 7 3 2" xfId="33969"/>
    <cellStyle name="Nota 4 8 3 2" xfId="33970"/>
    <cellStyle name="20% - Ênfase1 3 8 3 2" xfId="33971"/>
    <cellStyle name="40% - Ênfase1 3 8 3 2" xfId="33972"/>
    <cellStyle name="20% - Ênfase2 3 8 3 2" xfId="33973"/>
    <cellStyle name="40% - Ênfase2 3 8 3 2" xfId="33974"/>
    <cellStyle name="20% - Ênfase3 3 8 3 2" xfId="33975"/>
    <cellStyle name="40% - Ênfase3 3 8 3 2" xfId="33976"/>
    <cellStyle name="20% - Ênfase4 3 8 3 2" xfId="33977"/>
    <cellStyle name="40% - Ênfase4 3 8 3 2" xfId="33978"/>
    <cellStyle name="20% - Ênfase5 3 8 3 2" xfId="33979"/>
    <cellStyle name="40% - Ênfase5 3 8 3 2" xfId="33980"/>
    <cellStyle name="20% - Ênfase6 3 8 3 2" xfId="33981"/>
    <cellStyle name="40% - Ênfase6 3 8 3 2" xfId="33982"/>
    <cellStyle name="Normal 8 9 3 2" xfId="33983"/>
    <cellStyle name="Nota 5 8 3 2" xfId="33984"/>
    <cellStyle name="20% - Ênfase1 4 8 3 2" xfId="33985"/>
    <cellStyle name="40% - Ênfase1 4 8 3 2" xfId="33986"/>
    <cellStyle name="20% - Ênfase2 4 8 3 2" xfId="33987"/>
    <cellStyle name="40% - Ênfase2 4 8 3 2" xfId="33988"/>
    <cellStyle name="20% - Ênfase3 4 8 3 2" xfId="33989"/>
    <cellStyle name="40% - Ênfase3 4 8 3 2" xfId="33990"/>
    <cellStyle name="20% - Ênfase4 4 8 3 2" xfId="33991"/>
    <cellStyle name="40% - Ênfase4 4 8 3 2" xfId="33992"/>
    <cellStyle name="20% - Ênfase5 4 8 3 2" xfId="33993"/>
    <cellStyle name="40% - Ênfase5 4 8 3 2" xfId="33994"/>
    <cellStyle name="20% - Ênfase6 4 8 3 2" xfId="33995"/>
    <cellStyle name="40% - Ênfase6 4 8 3 2" xfId="33996"/>
    <cellStyle name="Normal 3 3 4 3 2" xfId="33997"/>
    <cellStyle name="Separador de milhares 4 4 3 2" xfId="33998"/>
    <cellStyle name="Separador de milhares 5 5 3 2" xfId="33999"/>
    <cellStyle name="Separador de milhares 6 5 3 2" xfId="34000"/>
    <cellStyle name="Vírgula 5 3 3 2" xfId="34001"/>
    <cellStyle name="Vírgula 2 3 3 3 2" xfId="34002"/>
    <cellStyle name="Separador de milhares 2 2 4 3 2" xfId="34003"/>
    <cellStyle name="Separador de milhares 3 2 4 3 2" xfId="34004"/>
    <cellStyle name="Vírgula 3 4 3 2" xfId="34005"/>
    <cellStyle name="Vírgula 4 4 3 2" xfId="34006"/>
    <cellStyle name="Vírgula 2 2 3 3 2" xfId="34007"/>
    <cellStyle name="20% - Ênfase1 5 6 3 2" xfId="34008"/>
    <cellStyle name="40% - Ênfase1 5 6 3 2" xfId="34009"/>
    <cellStyle name="20% - Ênfase2 5 6 3 2" xfId="34010"/>
    <cellStyle name="40% - Ênfase2 5 6 3 2" xfId="34011"/>
    <cellStyle name="20% - Ênfase3 5 6 3 2" xfId="34012"/>
    <cellStyle name="40% - Ênfase3 5 6 3 2" xfId="34013"/>
    <cellStyle name="20% - Ênfase4 5 6 3 2" xfId="34014"/>
    <cellStyle name="40% - Ênfase4 5 6 3 2" xfId="34015"/>
    <cellStyle name="20% - Ênfase5 5 6 3 2" xfId="34016"/>
    <cellStyle name="40% - Ênfase5 5 6 3 2" xfId="34017"/>
    <cellStyle name="20% - Ênfase6 5 6 3 2" xfId="34018"/>
    <cellStyle name="40% - Ênfase6 5 6 3 2" xfId="34019"/>
    <cellStyle name="Normal 4 2 6 3 2" xfId="34020"/>
    <cellStyle name="Nota 2 2 6 3 2" xfId="34021"/>
    <cellStyle name="Normal 5 2 7 3 2" xfId="34022"/>
    <cellStyle name="Nota 3 2 6 3 2" xfId="34023"/>
    <cellStyle name="20% - Ênfase1 2 2 6 3 2" xfId="34024"/>
    <cellStyle name="40% - Ênfase1 2 2 6 3 2" xfId="34025"/>
    <cellStyle name="20% - Ênfase2 2 2 6 3 2" xfId="34026"/>
    <cellStyle name="40% - Ênfase2 2 2 6 3 2" xfId="34027"/>
    <cellStyle name="20% - Ênfase3 2 2 6 3 2" xfId="34028"/>
    <cellStyle name="40% - Ênfase3 2 2 6 3 2" xfId="34029"/>
    <cellStyle name="20% - Ênfase4 2 2 6 3 2" xfId="34030"/>
    <cellStyle name="40% - Ênfase4 2 2 6 3 2" xfId="34031"/>
    <cellStyle name="20% - Ênfase5 2 2 6 3 2" xfId="34032"/>
    <cellStyle name="40% - Ênfase5 2 2 6 3 2" xfId="34033"/>
    <cellStyle name="20% - Ênfase6 2 2 6 3 2" xfId="34034"/>
    <cellStyle name="40% - Ênfase6 2 2 6 3 2" xfId="34035"/>
    <cellStyle name="Normal 7 2 6 3 2" xfId="34036"/>
    <cellStyle name="Nota 4 3 4 3 2" xfId="34037"/>
    <cellStyle name="20% - Ênfase1 3 3 4 3 2" xfId="34038"/>
    <cellStyle name="40% - Ênfase1 3 3 4 3 2" xfId="34039"/>
    <cellStyle name="20% - Ênfase2 3 3 4 3 2" xfId="34040"/>
    <cellStyle name="40% - Ênfase2 3 3 4 3 2" xfId="34041"/>
    <cellStyle name="20% - Ênfase3 3 3 4 3 2" xfId="34042"/>
    <cellStyle name="40% - Ênfase3 3 3 4 3 2" xfId="34043"/>
    <cellStyle name="20% - Ênfase4 3 3 4 3 2" xfId="34044"/>
    <cellStyle name="40% - Ênfase4 3 3 4 3 2" xfId="34045"/>
    <cellStyle name="20% - Ênfase5 3 3 4 3 2" xfId="34046"/>
    <cellStyle name="40% - Ênfase5 3 3 4 3 2" xfId="34047"/>
    <cellStyle name="20% - Ênfase6 3 3 4 3 2" xfId="34048"/>
    <cellStyle name="40% - Ênfase6 3 3 4 3 2" xfId="34049"/>
    <cellStyle name="Normal 8 3 4 3 2" xfId="34050"/>
    <cellStyle name="Nota 5 3 4 3 2" xfId="34051"/>
    <cellStyle name="20% - Ênfase1 4 3 4 3 2" xfId="34052"/>
    <cellStyle name="40% - Ênfase1 4 3 4 3 2" xfId="34053"/>
    <cellStyle name="20% - Ênfase2 4 3 4 3 2" xfId="34054"/>
    <cellStyle name="40% - Ênfase2 4 3 4 3 2" xfId="34055"/>
    <cellStyle name="20% - Ênfase3 4 3 4 3 2" xfId="34056"/>
    <cellStyle name="40% - Ênfase3 4 3 4 3 2" xfId="34057"/>
    <cellStyle name="20% - Ênfase4 4 3 4 3 2" xfId="34058"/>
    <cellStyle name="40% - Ênfase4 4 3 4 3 2" xfId="34059"/>
    <cellStyle name="20% - Ênfase5 4 3 4 3 2" xfId="34060"/>
    <cellStyle name="40% - Ênfase5 4 3 4 3 2" xfId="34061"/>
    <cellStyle name="20% - Ênfase6 4 3 4 3 2" xfId="34062"/>
    <cellStyle name="40% - Ênfase6 4 3 4 3 2" xfId="34063"/>
    <cellStyle name="20% - Ênfase1 6 5 3 2" xfId="34064"/>
    <cellStyle name="40% - Ênfase1 6 5 3 2" xfId="34065"/>
    <cellStyle name="20% - Ênfase2 6 5 3 2" xfId="34066"/>
    <cellStyle name="40% - Ênfase2 6 5 3 2" xfId="34067"/>
    <cellStyle name="20% - Ênfase3 6 5 3 2" xfId="34068"/>
    <cellStyle name="40% - Ênfase3 6 5 3 2" xfId="34069"/>
    <cellStyle name="20% - Ênfase4 6 5 3 2" xfId="34070"/>
    <cellStyle name="40% - Ênfase4 6 5 3 2" xfId="34071"/>
    <cellStyle name="20% - Ênfase5 6 5 3 2" xfId="34072"/>
    <cellStyle name="40% - Ênfase5 6 5 3 2" xfId="34073"/>
    <cellStyle name="20% - Ênfase6 6 5 3 2" xfId="34074"/>
    <cellStyle name="40% - Ênfase6 6 5 3 2" xfId="34075"/>
    <cellStyle name="Normal 4 3 5 3 2" xfId="34076"/>
    <cellStyle name="Nota 2 3 5 3 2" xfId="34077"/>
    <cellStyle name="Normal 5 3 5 3 2" xfId="34078"/>
    <cellStyle name="Nota 3 3 5 3 2" xfId="34079"/>
    <cellStyle name="20% - Ênfase1 2 3 5 3 2" xfId="34080"/>
    <cellStyle name="40% - Ênfase1 2 3 5 3 2" xfId="34081"/>
    <cellStyle name="20% - Ênfase2 2 3 5 3 2" xfId="34082"/>
    <cellStyle name="40% - Ênfase2 2 3 5 3 2" xfId="34083"/>
    <cellStyle name="20% - Ênfase3 2 3 5 3 2" xfId="34084"/>
    <cellStyle name="40% - Ênfase3 2 3 5 3 2" xfId="34085"/>
    <cellStyle name="20% - Ênfase4 2 3 5 3 2" xfId="34086"/>
    <cellStyle name="40% - Ênfase4 2 3 5 3 2" xfId="34087"/>
    <cellStyle name="20% - Ênfase5 2 3 5 3 2" xfId="34088"/>
    <cellStyle name="40% - Ênfase5 2 3 5 3 2" xfId="34089"/>
    <cellStyle name="20% - Ênfase6 2 3 5 3 2" xfId="34090"/>
    <cellStyle name="40% - Ênfase6 2 3 5 3 2" xfId="34091"/>
    <cellStyle name="Normal 7 3 5 3 2" xfId="34092"/>
    <cellStyle name="Nota 4 2 5 3 2" xfId="34093"/>
    <cellStyle name="20% - Ênfase1 3 2 5 3 2" xfId="34094"/>
    <cellStyle name="40% - Ênfase1 3 2 5 3 2" xfId="34095"/>
    <cellStyle name="20% - Ênfase2 3 2 5 3 2" xfId="34096"/>
    <cellStyle name="40% - Ênfase2 3 2 5 3 2" xfId="34097"/>
    <cellStyle name="20% - Ênfase3 3 2 5 3 2" xfId="34098"/>
    <cellStyle name="40% - Ênfase3 3 2 5 3 2" xfId="34099"/>
    <cellStyle name="20% - Ênfase4 3 2 5 3 2" xfId="34100"/>
    <cellStyle name="40% - Ênfase4 3 2 5 3 2" xfId="34101"/>
    <cellStyle name="20% - Ênfase5 3 2 5 3 2" xfId="34102"/>
    <cellStyle name="40% - Ênfase5 3 2 5 3 2" xfId="34103"/>
    <cellStyle name="20% - Ênfase6 3 2 5 3 2" xfId="34104"/>
    <cellStyle name="40% - Ênfase6 3 2 5 3 2" xfId="34105"/>
    <cellStyle name="Normal 8 2 5 3 2" xfId="34106"/>
    <cellStyle name="Nota 5 2 5 3 2" xfId="34107"/>
    <cellStyle name="20% - Ênfase1 4 2 5 3 2" xfId="34108"/>
    <cellStyle name="40% - Ênfase1 4 2 5 3 2" xfId="34109"/>
    <cellStyle name="20% - Ênfase2 4 2 5 3 2" xfId="34110"/>
    <cellStyle name="40% - Ênfase2 4 2 5 3 2" xfId="34111"/>
    <cellStyle name="20% - Ênfase3 4 2 5 3 2" xfId="34112"/>
    <cellStyle name="40% - Ênfase3 4 2 5 3 2" xfId="34113"/>
    <cellStyle name="20% - Ênfase4 4 2 5 3 2" xfId="34114"/>
    <cellStyle name="40% - Ênfase4 4 2 5 3 2" xfId="34115"/>
    <cellStyle name="20% - Ênfase5 4 2 5 3 2" xfId="34116"/>
    <cellStyle name="40% - Ênfase5 4 2 5 3 2" xfId="34117"/>
    <cellStyle name="20% - Ênfase6 4 2 5 3 2" xfId="34118"/>
    <cellStyle name="40% - Ênfase6 4 2 5 3 2" xfId="34119"/>
    <cellStyle name="Vírgula 12 2 3 2" xfId="34120"/>
    <cellStyle name="Moeda 2 2" xfId="34121"/>
    <cellStyle name="Normal 3 7 2 3 2" xfId="34122"/>
    <cellStyle name="Separador de milhares 4 5 3 2" xfId="34123"/>
    <cellStyle name="Separador de milhares 5 6 2 2" xfId="34124"/>
    <cellStyle name="Separador de milhares 6 6 3 2" xfId="34125"/>
    <cellStyle name="Vírgula 2 7 2" xfId="34126"/>
    <cellStyle name="Separador de milhares 2 2 5 2 2" xfId="34127"/>
    <cellStyle name="Separador de milhares 3 2 5 2" xfId="34128"/>
    <cellStyle name="Vírgula 3 5 2" xfId="34129"/>
    <cellStyle name="Vírgula 4 5 2" xfId="34130"/>
    <cellStyle name="Vírgula 2 2 4 2" xfId="34131"/>
    <cellStyle name="20% - Ênfase1 5 7 2 2" xfId="34132"/>
    <cellStyle name="40% - Ênfase1 5 7 2 2" xfId="34133"/>
    <cellStyle name="20% - Ênfase2 5 7 2 2" xfId="34134"/>
    <cellStyle name="40% - Ênfase2 5 7 2 2" xfId="34135"/>
    <cellStyle name="20% - Ênfase3 5 7 2 2" xfId="34136"/>
    <cellStyle name="40% - Ênfase3 5 7 2 2" xfId="34137"/>
    <cellStyle name="20% - Ênfase4 5 7 2 2" xfId="34138"/>
    <cellStyle name="40% - Ênfase4 5 7 2 2" xfId="34139"/>
    <cellStyle name="20% - Ênfase5 5 7 2 2" xfId="34140"/>
    <cellStyle name="40% - Ênfase5 5 7 2 2" xfId="34141"/>
    <cellStyle name="20% - Ênfase6 5 7 2 2" xfId="34142"/>
    <cellStyle name="40% - Ênfase6 5 7 2 2" xfId="34143"/>
    <cellStyle name="Normal 4 2 7 2 2" xfId="34144"/>
    <cellStyle name="Nota 2 2 7 2 2" xfId="34145"/>
    <cellStyle name="Normal 5 2 8 2 2" xfId="34146"/>
    <cellStyle name="Nota 3 2 7 2 2" xfId="34147"/>
    <cellStyle name="20% - Ênfase1 2 2 7 2 2" xfId="34148"/>
    <cellStyle name="40% - Ênfase1 2 2 7 2 2" xfId="34149"/>
    <cellStyle name="20% - Ênfase2 2 2 7 2 2" xfId="34150"/>
    <cellStyle name="40% - Ênfase2 2 2 7 2 2" xfId="34151"/>
    <cellStyle name="20% - Ênfase3 2 2 7 2 2" xfId="34152"/>
    <cellStyle name="40% - Ênfase3 2 2 7 2 2" xfId="34153"/>
    <cellStyle name="20% - Ênfase4 2 2 7 2 2" xfId="34154"/>
    <cellStyle name="40% - Ênfase4 2 2 7 2 2" xfId="34155"/>
    <cellStyle name="20% - Ênfase5 2 2 7 2 2" xfId="34156"/>
    <cellStyle name="40% - Ênfase5 2 2 7 2 2" xfId="34157"/>
    <cellStyle name="20% - Ênfase6 2 2 7 2 2" xfId="34158"/>
    <cellStyle name="40% - Ênfase6 2 2 7 2 2" xfId="34159"/>
    <cellStyle name="Normal 7 2 7 3 2" xfId="34160"/>
    <cellStyle name="Nota 4 9 3 2" xfId="34161"/>
    <cellStyle name="20% - Ênfase1 3 9 2 2" xfId="34162"/>
    <cellStyle name="40% - Ênfase1 3 9 2 2" xfId="34163"/>
    <cellStyle name="20% - Ênfase2 3 9 2 2" xfId="34164"/>
    <cellStyle name="40% - Ênfase2 3 9 2 2" xfId="34165"/>
    <cellStyle name="20% - Ênfase3 3 9 2 2" xfId="34166"/>
    <cellStyle name="40% - Ênfase3 3 9 2 2" xfId="34167"/>
    <cellStyle name="20% - Ênfase4 3 9 2 2" xfId="34168"/>
    <cellStyle name="40% - Ênfase4 3 9 2 2" xfId="34169"/>
    <cellStyle name="20% - Ênfase5 3 9 2 2" xfId="34170"/>
    <cellStyle name="40% - Ênfase5 3 9 2 2" xfId="34171"/>
    <cellStyle name="20% - Ênfase6 3 9 2 2" xfId="34172"/>
    <cellStyle name="40% - Ênfase6 3 9 2 2" xfId="34173"/>
    <cellStyle name="Normal 8 10 2 2" xfId="34174"/>
    <cellStyle name="Nota 5 9 2 2" xfId="34175"/>
    <cellStyle name="20% - Ênfase1 4 9 2 2" xfId="34176"/>
    <cellStyle name="40% - Ênfase1 4 9 2 2" xfId="34177"/>
    <cellStyle name="20% - Ênfase2 4 9 2 2" xfId="34178"/>
    <cellStyle name="40% - Ênfase2 4 9 2 2" xfId="34179"/>
    <cellStyle name="20% - Ênfase3 4 9 2 2" xfId="34180"/>
    <cellStyle name="40% - Ênfase3 4 9 2 2" xfId="34181"/>
    <cellStyle name="20% - Ênfase4 4 9 2 2" xfId="34182"/>
    <cellStyle name="40% - Ênfase4 4 9 2 2" xfId="34183"/>
    <cellStyle name="20% - Ênfase5 4 9 2 2" xfId="34184"/>
    <cellStyle name="40% - Ênfase5 4 9 2 2" xfId="34185"/>
    <cellStyle name="20% - Ênfase6 4 9 2 2" xfId="34186"/>
    <cellStyle name="40% - Ênfase6 4 9 2 2" xfId="34187"/>
    <cellStyle name="20% - Ênfase1 6 6 2 2" xfId="34188"/>
    <cellStyle name="40% - Ênfase1 6 6 2 2" xfId="34189"/>
    <cellStyle name="20% - Ênfase2 6 6 2 2" xfId="34190"/>
    <cellStyle name="40% - Ênfase2 6 6 2 2" xfId="34191"/>
    <cellStyle name="20% - Ênfase3 6 6 2 2" xfId="34192"/>
    <cellStyle name="40% - Ênfase3 6 6 2 2" xfId="34193"/>
    <cellStyle name="20% - Ênfase4 6 6 2 2" xfId="34194"/>
    <cellStyle name="40% - Ênfase4 6 6 2 2" xfId="34195"/>
    <cellStyle name="20% - Ênfase5 6 6 2 2" xfId="34196"/>
    <cellStyle name="40% - Ênfase5 6 6 2 2" xfId="34197"/>
    <cellStyle name="20% - Ênfase6 6 6 2 2" xfId="34198"/>
    <cellStyle name="40% - Ênfase6 6 6 2 2" xfId="34199"/>
    <cellStyle name="Normal 4 3 6 2 2" xfId="34200"/>
    <cellStyle name="Nota 2 3 6 2 2" xfId="34201"/>
    <cellStyle name="Normal 5 3 6 2 2" xfId="34202"/>
    <cellStyle name="Nota 3 3 6 2 2" xfId="34203"/>
    <cellStyle name="20% - Ênfase1 2 3 6 2 2" xfId="34204"/>
    <cellStyle name="40% - Ênfase1 2 3 6 2 2" xfId="34205"/>
    <cellStyle name="20% - Ênfase2 2 3 6 2 2" xfId="34206"/>
    <cellStyle name="40% - Ênfase2 2 3 6 2 2" xfId="34207"/>
    <cellStyle name="20% - Ênfase3 2 3 6 2 2" xfId="34208"/>
    <cellStyle name="40% - Ênfase3 2 3 6 2 2" xfId="34209"/>
    <cellStyle name="20% - Ênfase4 2 3 6 2 2" xfId="34210"/>
    <cellStyle name="40% - Ênfase4 2 3 6 2 2" xfId="34211"/>
    <cellStyle name="20% - Ênfase5 2 3 6 2 2" xfId="34212"/>
    <cellStyle name="40% - Ênfase5 2 3 6 2 2" xfId="34213"/>
    <cellStyle name="20% - Ênfase6 2 3 6 2 2" xfId="34214"/>
    <cellStyle name="40% - Ênfase6 2 3 6 2 2" xfId="34215"/>
    <cellStyle name="Normal 7 3 6 3 2" xfId="34216"/>
    <cellStyle name="Nota 4 2 6 2 2" xfId="34217"/>
    <cellStyle name="20% - Ênfase1 3 2 6 2 2" xfId="34218"/>
    <cellStyle name="40% - Ênfase1 3 2 6 2 2" xfId="34219"/>
    <cellStyle name="20% - Ênfase2 3 2 6 2 2" xfId="34220"/>
    <cellStyle name="40% - Ênfase2 3 2 6 2 2" xfId="34221"/>
    <cellStyle name="20% - Ênfase3 3 2 6 2 2" xfId="34222"/>
    <cellStyle name="40% - Ênfase3 3 2 6 2 2" xfId="34223"/>
    <cellStyle name="20% - Ênfase4 3 2 6 2 2" xfId="34224"/>
    <cellStyle name="40% - Ênfase4 3 2 6 2 2" xfId="34225"/>
    <cellStyle name="20% - Ênfase5 3 2 6 2 2" xfId="34226"/>
    <cellStyle name="40% - Ênfase5 3 2 6 2 2" xfId="34227"/>
    <cellStyle name="20% - Ênfase6 3 2 6 2 2" xfId="34228"/>
    <cellStyle name="40% - Ênfase6 3 2 6 2 2" xfId="34229"/>
    <cellStyle name="Normal 8 2 6 3 2" xfId="34230"/>
    <cellStyle name="Nota 5 2 6 2 2" xfId="34231"/>
    <cellStyle name="20% - Ênfase1 4 2 6 2 2" xfId="34232"/>
    <cellStyle name="40% - Ênfase1 4 2 6 2 2" xfId="34233"/>
    <cellStyle name="20% - Ênfase2 4 2 6 2 2" xfId="34234"/>
    <cellStyle name="40% - Ênfase2 4 2 6 2 2" xfId="34235"/>
    <cellStyle name="20% - Ênfase3 4 2 6 2 2" xfId="34236"/>
    <cellStyle name="40% - Ênfase3 4 2 6 2 2" xfId="34237"/>
    <cellStyle name="20% - Ênfase4 4 2 6 2 2" xfId="34238"/>
    <cellStyle name="40% - Ênfase4 4 2 6 2 2" xfId="34239"/>
    <cellStyle name="20% - Ênfase5 4 2 6 2 2" xfId="34240"/>
    <cellStyle name="40% - Ênfase5 4 2 6 2 2" xfId="34241"/>
    <cellStyle name="20% - Ênfase6 4 2 6 2 2" xfId="34242"/>
    <cellStyle name="40% - Ênfase6 4 2 6 2 2" xfId="34243"/>
    <cellStyle name="20% - Ênfase1 8 4 3 2" xfId="34244"/>
    <cellStyle name="40% - Ênfase1 8 4 3 2" xfId="34245"/>
    <cellStyle name="20% - Ênfase2 8 4 3 2" xfId="34246"/>
    <cellStyle name="40% - Ênfase2 8 4 3 2" xfId="34247"/>
    <cellStyle name="20% - Ênfase3 8 4 3 2" xfId="34248"/>
    <cellStyle name="40% - Ênfase3 8 4 3 2" xfId="34249"/>
    <cellStyle name="20% - Ênfase4 8 4 3 2" xfId="34250"/>
    <cellStyle name="40% - Ênfase4 8 4 3 2" xfId="34251"/>
    <cellStyle name="20% - Ênfase5 8 4 3 2" xfId="34252"/>
    <cellStyle name="40% - Ênfase5 8 4 3 2" xfId="34253"/>
    <cellStyle name="20% - Ênfase6 8 4 3 2" xfId="34254"/>
    <cellStyle name="40% - Ênfase6 8 4 3 2" xfId="34255"/>
    <cellStyle name="Normal 4 5 4 3 2" xfId="34256"/>
    <cellStyle name="Nota 2 5 4 3 2" xfId="34257"/>
    <cellStyle name="Normal 5 5 4 3 2" xfId="34258"/>
    <cellStyle name="Nota 3 5 4 3 2" xfId="34259"/>
    <cellStyle name="20% - Ênfase1 2 5 4 3 2" xfId="34260"/>
    <cellStyle name="40% - Ênfase1 2 5 4 3 2" xfId="34261"/>
    <cellStyle name="20% - Ênfase2 2 5 4 3 2" xfId="34262"/>
    <cellStyle name="40% - Ênfase2 2 5 4 3 2" xfId="34263"/>
    <cellStyle name="20% - Ênfase3 2 5 4 3 2" xfId="34264"/>
    <cellStyle name="40% - Ênfase3 2 5 4 3 2" xfId="34265"/>
    <cellStyle name="20% - Ênfase4 2 5 4 3 2" xfId="34266"/>
    <cellStyle name="40% - Ênfase4 2 5 4 3 2" xfId="34267"/>
    <cellStyle name="20% - Ênfase5 2 5 4 3 2" xfId="34268"/>
    <cellStyle name="40% - Ênfase5 2 5 4 3 2" xfId="34269"/>
    <cellStyle name="20% - Ênfase6 2 5 4 3 2" xfId="34270"/>
    <cellStyle name="40% - Ênfase6 2 5 4 3 2" xfId="34271"/>
    <cellStyle name="Normal 7 5 4 3 2" xfId="34272"/>
    <cellStyle name="Nota 4 4 4 3 2" xfId="34273"/>
    <cellStyle name="20% - Ênfase1 3 4 4 3 2" xfId="34274"/>
    <cellStyle name="40% - Ênfase1 3 4 4 3 2" xfId="34275"/>
    <cellStyle name="20% - Ênfase2 3 4 4 3 2" xfId="34276"/>
    <cellStyle name="40% - Ênfase2 3 4 4 3 2" xfId="34277"/>
    <cellStyle name="20% - Ênfase3 3 4 4 3 2" xfId="34278"/>
    <cellStyle name="40% - Ênfase3 3 4 4 3 2" xfId="34279"/>
    <cellStyle name="20% - Ênfase4 3 4 4 3 2" xfId="34280"/>
    <cellStyle name="40% - Ênfase4 3 4 4 3 2" xfId="34281"/>
    <cellStyle name="20% - Ênfase5 3 4 4 3 2" xfId="34282"/>
    <cellStyle name="40% - Ênfase5 3 4 4 3 2" xfId="34283"/>
    <cellStyle name="20% - Ênfase6 3 4 4 3 2" xfId="34284"/>
    <cellStyle name="40% - Ênfase6 3 4 4 3 2" xfId="34285"/>
    <cellStyle name="Normal 8 4 4 3 2" xfId="34286"/>
    <cellStyle name="Nota 5 4 4 3 2" xfId="34287"/>
    <cellStyle name="20% - Ênfase1 4 4 4 3 2" xfId="34288"/>
    <cellStyle name="40% - Ênfase1 4 4 4 3 2" xfId="34289"/>
    <cellStyle name="20% - Ênfase2 4 4 4 3 2" xfId="34290"/>
    <cellStyle name="40% - Ênfase2 4 4 4 3 2" xfId="34291"/>
    <cellStyle name="20% - Ênfase3 4 4 4 3 2" xfId="34292"/>
    <cellStyle name="40% - Ênfase3 4 4 4 3 2" xfId="34293"/>
    <cellStyle name="20% - Ênfase4 4 4 4 3 2" xfId="34294"/>
    <cellStyle name="40% - Ênfase4 4 4 4 3 2" xfId="34295"/>
    <cellStyle name="20% - Ênfase5 4 4 4 3 2" xfId="34296"/>
    <cellStyle name="40% - Ênfase5 4 4 4 3 2" xfId="34297"/>
    <cellStyle name="20% - Ênfase6 4 4 4 3 2" xfId="34298"/>
    <cellStyle name="40% - Ênfase6 4 4 4 3 2" xfId="34299"/>
    <cellStyle name="Normal 3 3 5 2 2" xfId="34300"/>
    <cellStyle name="Separador de milhares 5 2 3 3 2" xfId="34301"/>
    <cellStyle name="Separador de milhares 6 2 3 3 2" xfId="34302"/>
    <cellStyle name="Vírgula 5 4 2" xfId="34303"/>
    <cellStyle name="Vírgula 2 3 4 2" xfId="34304"/>
    <cellStyle name="20% - Ênfase1 5 2 4 3 2" xfId="34305"/>
    <cellStyle name="40% - Ênfase1 5 2 4 3 2" xfId="34306"/>
    <cellStyle name="20% - Ênfase2 5 2 4 3 2" xfId="34307"/>
    <cellStyle name="40% - Ênfase2 5 2 4 3 2" xfId="34308"/>
    <cellStyle name="20% - Ênfase3 5 2 4 3 2" xfId="34309"/>
    <cellStyle name="40% - Ênfase3 5 2 4 3 2" xfId="34310"/>
    <cellStyle name="20% - Ênfase4 5 2 4 3 2" xfId="34311"/>
    <cellStyle name="40% - Ênfase4 5 2 4 3 2" xfId="34312"/>
    <cellStyle name="20% - Ênfase5 5 2 4 3 2" xfId="34313"/>
    <cellStyle name="40% - Ênfase5 5 2 4 3 2" xfId="34314"/>
    <cellStyle name="20% - Ênfase6 5 2 4 3 2" xfId="34315"/>
    <cellStyle name="40% - Ênfase6 5 2 4 3 2" xfId="34316"/>
    <cellStyle name="Normal 4 2 2 4 3 2" xfId="34317"/>
    <cellStyle name="Nota 2 2 2 4 3 2" xfId="34318"/>
    <cellStyle name="Normal 5 2 2 4 3 2" xfId="34319"/>
    <cellStyle name="Nota 3 2 2 4 3 2" xfId="34320"/>
    <cellStyle name="20% - Ênfase1 2 2 2 4 3 2" xfId="34321"/>
    <cellStyle name="40% - Ênfase1 2 2 2 4 3 2" xfId="34322"/>
    <cellStyle name="20% - Ênfase2 2 2 2 4 3 2" xfId="34323"/>
    <cellStyle name="40% - Ênfase2 2 2 2 4 3 2" xfId="34324"/>
    <cellStyle name="20% - Ênfase3 2 2 2 4 3 2" xfId="34325"/>
    <cellStyle name="40% - Ênfase3 2 2 2 4 3 2" xfId="34326"/>
    <cellStyle name="20% - Ênfase4 2 2 2 4 3 2" xfId="34327"/>
    <cellStyle name="40% - Ênfase4 2 2 2 4 3 2" xfId="34328"/>
    <cellStyle name="20% - Ênfase5 2 2 2 4 3 2" xfId="34329"/>
    <cellStyle name="40% - Ênfase5 2 2 2 4 3 2" xfId="34330"/>
    <cellStyle name="20% - Ênfase6 2 2 2 4 3 2" xfId="34331"/>
    <cellStyle name="40% - Ênfase6 2 2 2 4 3 2" xfId="34332"/>
    <cellStyle name="Normal 7 2 2 4 3 2" xfId="34333"/>
    <cellStyle name="Nota 4 3 5 2 2" xfId="34334"/>
    <cellStyle name="20% - Ênfase1 3 3 5 2 2" xfId="34335"/>
    <cellStyle name="40% - Ênfase1 3 3 5 2 2" xfId="34336"/>
    <cellStyle name="20% - Ênfase2 3 3 5 2 2" xfId="34337"/>
    <cellStyle name="40% - Ênfase2 3 3 5 2 2" xfId="34338"/>
    <cellStyle name="20% - Ênfase3 3 3 5 2 2" xfId="34339"/>
    <cellStyle name="40% - Ênfase3 3 3 5 2 2" xfId="34340"/>
    <cellStyle name="20% - Ênfase4 3 3 5 2 2" xfId="34341"/>
    <cellStyle name="40% - Ênfase4 3 3 5 2 2" xfId="34342"/>
    <cellStyle name="20% - Ênfase5 3 3 5 2 2" xfId="34343"/>
    <cellStyle name="40% - Ênfase5 3 3 5 2 2" xfId="34344"/>
    <cellStyle name="20% - Ênfase6 3 3 5 2 2" xfId="34345"/>
    <cellStyle name="40% - Ênfase6 3 3 5 2 2" xfId="34346"/>
    <cellStyle name="Normal 8 3 5 3 2" xfId="34347"/>
    <cellStyle name="Nota 5 3 5 2 2" xfId="34348"/>
    <cellStyle name="20% - Ênfase1 4 3 5 2 2" xfId="34349"/>
    <cellStyle name="40% - Ênfase1 4 3 5 2 2" xfId="34350"/>
    <cellStyle name="20% - Ênfase2 4 3 5 2 2" xfId="34351"/>
    <cellStyle name="40% - Ênfase2 4 3 5 2 2" xfId="34352"/>
    <cellStyle name="20% - Ênfase3 4 3 5 2 2" xfId="34353"/>
    <cellStyle name="40% - Ênfase3 4 3 5 2 2" xfId="34354"/>
    <cellStyle name="20% - Ênfase4 4 3 5 2 2" xfId="34355"/>
    <cellStyle name="40% - Ênfase4 4 3 5 2 2" xfId="34356"/>
    <cellStyle name="20% - Ênfase5 4 3 5 2 2" xfId="34357"/>
    <cellStyle name="40% - Ênfase5 4 3 5 2 2" xfId="34358"/>
    <cellStyle name="20% - Ênfase6 4 3 5 2 2" xfId="34359"/>
    <cellStyle name="40% - Ênfase6 4 3 5 2 2" xfId="34360"/>
    <cellStyle name="20% - Ênfase1 6 2 4 3 2" xfId="34361"/>
    <cellStyle name="40% - Ênfase1 6 2 4 3 2" xfId="34362"/>
    <cellStyle name="20% - Ênfase2 6 2 4 3 2" xfId="34363"/>
    <cellStyle name="40% - Ênfase2 6 2 4 3 2" xfId="34364"/>
    <cellStyle name="20% - Ênfase3 6 2 4 3 2" xfId="34365"/>
    <cellStyle name="40% - Ênfase3 6 2 4 3 2" xfId="34366"/>
    <cellStyle name="20% - Ênfase4 6 2 4 3 2" xfId="34367"/>
    <cellStyle name="40% - Ênfase4 6 2 4 3 2" xfId="34368"/>
    <cellStyle name="20% - Ênfase5 6 2 4 3 2" xfId="34369"/>
    <cellStyle name="40% - Ênfase5 6 2 4 3 2" xfId="34370"/>
    <cellStyle name="20% - Ênfase6 6 2 4 3 2" xfId="34371"/>
    <cellStyle name="40% - Ênfase6 6 2 4 3 2" xfId="34372"/>
    <cellStyle name="Normal 4 3 2 4 3 2" xfId="34373"/>
    <cellStyle name="Nota 2 3 2 4 3 2" xfId="34374"/>
    <cellStyle name="Normal 5 3 2 4 3 2" xfId="34375"/>
    <cellStyle name="Nota 3 3 2 4 3 2" xfId="34376"/>
    <cellStyle name="20% - Ênfase1 2 3 2 4 3 2" xfId="34377"/>
    <cellStyle name="40% - Ênfase1 2 3 2 4 3 2" xfId="34378"/>
    <cellStyle name="20% - Ênfase2 2 3 2 4 3 2" xfId="34379"/>
    <cellStyle name="40% - Ênfase2 2 3 2 4 3 2" xfId="34380"/>
    <cellStyle name="20% - Ênfase3 2 3 2 4 3 2" xfId="34381"/>
    <cellStyle name="40% - Ênfase3 2 3 2 4 3 2" xfId="34382"/>
    <cellStyle name="20% - Ênfase4 2 3 2 4 3 2" xfId="34383"/>
    <cellStyle name="40% - Ênfase4 2 3 2 4 3 2" xfId="34384"/>
    <cellStyle name="20% - Ênfase5 2 3 2 4 3 2" xfId="34385"/>
    <cellStyle name="40% - Ênfase5 2 3 2 4 3 2" xfId="34386"/>
    <cellStyle name="20% - Ênfase6 2 3 2 4 3 2" xfId="34387"/>
    <cellStyle name="40% - Ênfase6 2 3 2 4 3 2" xfId="34388"/>
    <cellStyle name="Normal 7 3 2 4 3 2" xfId="34389"/>
    <cellStyle name="Nota 4 2 2 4 3 2" xfId="34390"/>
    <cellStyle name="20% - Ênfase1 3 2 2 4 3 2" xfId="34391"/>
    <cellStyle name="40% - Ênfase1 3 2 2 4 3 2" xfId="34392"/>
    <cellStyle name="20% - Ênfase2 3 2 2 4 3 2" xfId="34393"/>
    <cellStyle name="40% - Ênfase2 3 2 2 4 3 2" xfId="34394"/>
    <cellStyle name="20% - Ênfase3 3 2 2 4 3 2" xfId="34395"/>
    <cellStyle name="40% - Ênfase3 3 2 2 4 3 2" xfId="34396"/>
    <cellStyle name="20% - Ênfase4 3 2 2 4 3 2" xfId="34397"/>
    <cellStyle name="40% - Ênfase4 3 2 2 4 3 2" xfId="34398"/>
    <cellStyle name="20% - Ênfase5 3 2 2 4 3 2" xfId="34399"/>
    <cellStyle name="40% - Ênfase5 3 2 2 4 3 2" xfId="34400"/>
    <cellStyle name="20% - Ênfase6 3 2 2 4 3 2" xfId="34401"/>
    <cellStyle name="40% - Ênfase6 3 2 2 4 3 2" xfId="34402"/>
    <cellStyle name="Normal 8 2 2 4 3 2" xfId="34403"/>
    <cellStyle name="Nota 5 2 2 4 3 2" xfId="34404"/>
    <cellStyle name="20% - Ênfase1 4 2 2 4 3 2" xfId="34405"/>
    <cellStyle name="40% - Ênfase1 4 2 2 4 3 2" xfId="34406"/>
    <cellStyle name="20% - Ênfase2 4 2 2 4 3 2" xfId="34407"/>
    <cellStyle name="40% - Ênfase2 4 2 2 4 3 2" xfId="34408"/>
    <cellStyle name="20% - Ênfase3 4 2 2 4 3 2" xfId="34409"/>
    <cellStyle name="40% - Ênfase3 4 2 2 4 3 2" xfId="34410"/>
    <cellStyle name="20% - Ênfase4 4 2 2 4 3 2" xfId="34411"/>
    <cellStyle name="40% - Ênfase4 4 2 2 4 3 2" xfId="34412"/>
    <cellStyle name="20% - Ênfase5 4 2 2 4 3 2" xfId="34413"/>
    <cellStyle name="40% - Ênfase5 4 2 2 4 3 2" xfId="34414"/>
    <cellStyle name="20% - Ênfase6 4 2 2 4 3 2" xfId="34415"/>
    <cellStyle name="40% - Ênfase6 4 2 2 4 3 2" xfId="34416"/>
    <cellStyle name="Normal 3 4 2 3 2" xfId="34417"/>
    <cellStyle name="Separador de milhares 4 2 3 3 2" xfId="34418"/>
    <cellStyle name="Separador de milhares 5 3 2 3 2" xfId="34419"/>
    <cellStyle name="Separador de milhares 6 3 2 3 2" xfId="34420"/>
    <cellStyle name="Vírgula 6 2 2 2 2" xfId="34421"/>
    <cellStyle name="Vírgula 2 4 2 2 2" xfId="34422"/>
    <cellStyle name="Separador de milhares 2 2 2 2 2 2" xfId="34423"/>
    <cellStyle name="Separador de milhares 3 2 2 2 2 2" xfId="34424"/>
    <cellStyle name="Vírgula 3 2 2 2 2" xfId="34425"/>
    <cellStyle name="Vírgula 4 2 3 2 2 2" xfId="34426"/>
    <cellStyle name="Vírgula 2 2 2 2 2 2" xfId="34427"/>
    <cellStyle name="20% - Ênfase1 5 3 2 3 2" xfId="34428"/>
    <cellStyle name="40% - Ênfase1 5 3 2 3 2" xfId="34429"/>
    <cellStyle name="20% - Ênfase2 5 3 2 3 2" xfId="34430"/>
    <cellStyle name="40% - Ênfase2 5 3 2 3 2" xfId="34431"/>
    <cellStyle name="20% - Ênfase3 5 3 2 3 2" xfId="34432"/>
    <cellStyle name="40% - Ênfase3 5 3 2 3 2" xfId="34433"/>
    <cellStyle name="20% - Ênfase4 5 3 2 3 2" xfId="34434"/>
    <cellStyle name="40% - Ênfase4 5 3 2 3 2" xfId="34435"/>
    <cellStyle name="20% - Ênfase5 5 3 2 3 2" xfId="34436"/>
    <cellStyle name="40% - Ênfase5 5 3 2 3 2" xfId="34437"/>
    <cellStyle name="20% - Ênfase6 5 3 2 3 2" xfId="34438"/>
    <cellStyle name="40% - Ênfase6 5 3 2 3 2" xfId="34439"/>
    <cellStyle name="Normal 4 2 3 2 3 2" xfId="34440"/>
    <cellStyle name="Nota 2 2 3 2 3 2" xfId="34441"/>
    <cellStyle name="Normal 5 2 3 2 3 2" xfId="34442"/>
    <cellStyle name="Nota 3 2 3 2 3 2" xfId="34443"/>
    <cellStyle name="20% - Ênfase1 2 2 3 2 3 2" xfId="34444"/>
    <cellStyle name="40% - Ênfase1 2 2 3 2 3 2" xfId="34445"/>
    <cellStyle name="20% - Ênfase2 2 2 3 2 3 2" xfId="34446"/>
    <cellStyle name="40% - Ênfase2 2 2 3 2 3 2" xfId="34447"/>
    <cellStyle name="20% - Ênfase3 2 2 3 2 3 2" xfId="34448"/>
    <cellStyle name="40% - Ênfase3 2 2 3 2 3 2" xfId="34449"/>
    <cellStyle name="20% - Ênfase4 2 2 3 2 3 2" xfId="34450"/>
    <cellStyle name="40% - Ênfase4 2 2 3 2 3 2" xfId="34451"/>
    <cellStyle name="20% - Ênfase5 2 2 3 2 3 2" xfId="34452"/>
    <cellStyle name="40% - Ênfase5 2 2 3 2 3 2" xfId="34453"/>
    <cellStyle name="20% - Ênfase6 2 2 3 2 3 2" xfId="34454"/>
    <cellStyle name="40% - Ênfase6 2 2 3 2 3 2" xfId="34455"/>
    <cellStyle name="Normal 7 2 3 2 3 2" xfId="34456"/>
    <cellStyle name="Nota 4 5 2 3 2" xfId="34457"/>
    <cellStyle name="20% - Ênfase1 3 5 2 3 2" xfId="34458"/>
    <cellStyle name="40% - Ênfase1 3 5 2 3 2" xfId="34459"/>
    <cellStyle name="20% - Ênfase2 3 5 2 3 2" xfId="34460"/>
    <cellStyle name="40% - Ênfase2 3 5 2 3 2" xfId="34461"/>
    <cellStyle name="20% - Ênfase3 3 5 2 3 2" xfId="34462"/>
    <cellStyle name="40% - Ênfase3 3 5 2 3 2" xfId="34463"/>
    <cellStyle name="20% - Ênfase4 3 5 2 3 2" xfId="34464"/>
    <cellStyle name="40% - Ênfase4 3 5 2 3 2" xfId="34465"/>
    <cellStyle name="20% - Ênfase5 3 5 2 3 2" xfId="34466"/>
    <cellStyle name="40% - Ênfase5 3 5 2 3 2" xfId="34467"/>
    <cellStyle name="20% - Ênfase6 3 5 2 3 2" xfId="34468"/>
    <cellStyle name="40% - Ênfase6 3 5 2 3 2" xfId="34469"/>
    <cellStyle name="Normal 8 5 2 5 2" xfId="34470"/>
    <cellStyle name="Nota 5 5 2 3 2" xfId="34471"/>
    <cellStyle name="20% - Ênfase1 4 5 2 3 2" xfId="34472"/>
    <cellStyle name="40% - Ênfase1 4 5 2 3 2" xfId="34473"/>
    <cellStyle name="20% - Ênfase2 4 5 2 3 2" xfId="34474"/>
    <cellStyle name="40% - Ênfase2 4 5 2 3 2" xfId="34475"/>
    <cellStyle name="20% - Ênfase3 4 5 2 3 2" xfId="34476"/>
    <cellStyle name="40% - Ênfase3 4 5 2 3 2" xfId="34477"/>
    <cellStyle name="20% - Ênfase4 4 5 2 3 2" xfId="34478"/>
    <cellStyle name="40% - Ênfase4 4 5 2 3 2" xfId="34479"/>
    <cellStyle name="20% - Ênfase5 4 5 2 3 2" xfId="34480"/>
    <cellStyle name="40% - Ênfase5 4 5 2 3 2" xfId="34481"/>
    <cellStyle name="20% - Ênfase6 4 5 2 3 2" xfId="34482"/>
    <cellStyle name="40% - Ênfase6 4 5 2 3 2" xfId="34483"/>
    <cellStyle name="20% - Ênfase1 6 3 2 3 2" xfId="34484"/>
    <cellStyle name="40% - Ênfase1 6 3 2 3 2" xfId="34485"/>
    <cellStyle name="20% - Ênfase2 6 3 2 3 2" xfId="34486"/>
    <cellStyle name="40% - Ênfase2 6 3 2 3 2" xfId="34487"/>
    <cellStyle name="20% - Ênfase3 6 3 2 3 2" xfId="34488"/>
    <cellStyle name="40% - Ênfase3 6 3 2 3 2" xfId="34489"/>
    <cellStyle name="20% - Ênfase4 6 3 2 3 2" xfId="34490"/>
    <cellStyle name="40% - Ênfase4 6 3 2 3 2" xfId="34491"/>
    <cellStyle name="20% - Ênfase5 6 3 2 3 2" xfId="34492"/>
    <cellStyle name="40% - Ênfase5 6 3 2 3 2" xfId="34493"/>
    <cellStyle name="20% - Ênfase6 6 3 2 3 2" xfId="34494"/>
    <cellStyle name="40% - Ênfase6 6 3 2 3 2" xfId="34495"/>
    <cellStyle name="Normal 4 3 3 2 3 2" xfId="34496"/>
    <cellStyle name="Nota 2 3 3 2 3 2" xfId="34497"/>
    <cellStyle name="Normal 5 3 3 2 3 2" xfId="34498"/>
    <cellStyle name="Nota 3 3 3 2 3 2" xfId="34499"/>
    <cellStyle name="20% - Ênfase1 2 3 3 2 3 2" xfId="34500"/>
    <cellStyle name="40% - Ênfase1 2 3 3 2 3 2" xfId="34501"/>
    <cellStyle name="20% - Ênfase2 2 3 3 2 3 2" xfId="34502"/>
    <cellStyle name="40% - Ênfase2 2 3 3 2 3 2" xfId="34503"/>
    <cellStyle name="20% - Ênfase3 2 3 3 2 3 2" xfId="34504"/>
    <cellStyle name="40% - Ênfase3 2 3 3 2 3 2" xfId="34505"/>
    <cellStyle name="20% - Ênfase4 2 3 3 2 3 2" xfId="34506"/>
    <cellStyle name="40% - Ênfase4 2 3 3 2 3 2" xfId="34507"/>
    <cellStyle name="20% - Ênfase5 2 3 3 2 3 2" xfId="34508"/>
    <cellStyle name="40% - Ênfase5 2 3 3 2 3 2" xfId="34509"/>
    <cellStyle name="20% - Ênfase6 2 3 3 2 3 2" xfId="34510"/>
    <cellStyle name="40% - Ênfase6 2 3 3 2 3 2" xfId="34511"/>
    <cellStyle name="Normal 7 3 3 2 3 2" xfId="34512"/>
    <cellStyle name="Nota 4 2 3 2 3 2" xfId="34513"/>
    <cellStyle name="20% - Ênfase1 3 2 3 2 3 2" xfId="34514"/>
    <cellStyle name="40% - Ênfase1 3 2 3 2 3 2" xfId="34515"/>
    <cellStyle name="20% - Ênfase2 3 2 3 2 3 2" xfId="34516"/>
    <cellStyle name="40% - Ênfase2 3 2 3 2 3 2" xfId="34517"/>
    <cellStyle name="20% - Ênfase3 3 2 3 2 3 2" xfId="34518"/>
    <cellStyle name="40% - Ênfase3 3 2 3 2 3 2" xfId="34519"/>
    <cellStyle name="20% - Ênfase4 3 2 3 2 3 2" xfId="34520"/>
    <cellStyle name="40% - Ênfase4 3 2 3 2 3 2" xfId="34521"/>
    <cellStyle name="20% - Ênfase5 3 2 3 2 3 2" xfId="34522"/>
    <cellStyle name="40% - Ênfase5 3 2 3 2 3 2" xfId="34523"/>
    <cellStyle name="20% - Ênfase6 3 2 3 2 3 2" xfId="34524"/>
    <cellStyle name="40% - Ênfase6 3 2 3 2 3 2" xfId="34525"/>
    <cellStyle name="Normal 8 2 3 2 3 2" xfId="34526"/>
    <cellStyle name="Nota 5 2 3 2 3 2" xfId="34527"/>
    <cellStyle name="20% - Ênfase1 4 2 3 2 3 2" xfId="34528"/>
    <cellStyle name="40% - Ênfase1 4 2 3 2 3 2" xfId="34529"/>
    <cellStyle name="20% - Ênfase2 4 2 3 2 3 2" xfId="34530"/>
    <cellStyle name="40% - Ênfase2 4 2 3 2 3 2" xfId="34531"/>
    <cellStyle name="20% - Ênfase3 4 2 3 2 3 2" xfId="34532"/>
    <cellStyle name="40% - Ênfase3 4 2 3 2 3 2" xfId="34533"/>
    <cellStyle name="20% - Ênfase4 4 2 3 2 3 2" xfId="34534"/>
    <cellStyle name="40% - Ênfase4 4 2 3 2 3 2" xfId="34535"/>
    <cellStyle name="20% - Ênfase5 4 2 3 2 3 2" xfId="34536"/>
    <cellStyle name="40% - Ênfase5 4 2 3 2 3 2" xfId="34537"/>
    <cellStyle name="20% - Ênfase6 4 2 3 2 3 2" xfId="34538"/>
    <cellStyle name="40% - Ênfase6 4 2 3 2 3 2" xfId="34539"/>
    <cellStyle name="20% - Ênfase1 8 2 2 3 2" xfId="34540"/>
    <cellStyle name="40% - Ênfase1 8 2 2 3 2" xfId="34541"/>
    <cellStyle name="20% - Ênfase2 8 2 2 3 2" xfId="34542"/>
    <cellStyle name="40% - Ênfase2 8 2 2 3 2" xfId="34543"/>
    <cellStyle name="20% - Ênfase3 8 2 2 3 2" xfId="34544"/>
    <cellStyle name="40% - Ênfase3 8 2 2 3 2" xfId="34545"/>
    <cellStyle name="20% - Ênfase4 8 2 2 3 2" xfId="34546"/>
    <cellStyle name="40% - Ênfase4 8 2 2 3 2" xfId="34547"/>
    <cellStyle name="20% - Ênfase5 8 2 2 3 2" xfId="34548"/>
    <cellStyle name="40% - Ênfase5 8 2 2 3 2" xfId="34549"/>
    <cellStyle name="20% - Ênfase6 8 2 2 3 2" xfId="34550"/>
    <cellStyle name="40% - Ênfase6 8 2 2 3 2" xfId="34551"/>
    <cellStyle name="Normal 4 5 2 2 3 2" xfId="34552"/>
    <cellStyle name="Nota 2 5 2 2 3 2" xfId="34553"/>
    <cellStyle name="Normal 5 5 2 2 3 2" xfId="34554"/>
    <cellStyle name="Nota 3 5 2 2 3 2" xfId="34555"/>
    <cellStyle name="20% - Ênfase1 2 5 2 2 3 2" xfId="34556"/>
    <cellStyle name="40% - Ênfase1 2 5 2 2 3 2" xfId="34557"/>
    <cellStyle name="20% - Ênfase2 2 5 2 2 3 2" xfId="34558"/>
    <cellStyle name="40% - Ênfase2 2 5 2 2 3 2" xfId="34559"/>
    <cellStyle name="20% - Ênfase3 2 5 2 2 3 2" xfId="34560"/>
    <cellStyle name="40% - Ênfase3 2 5 2 2 3 2" xfId="34561"/>
    <cellStyle name="20% - Ênfase4 2 5 2 2 3 2" xfId="34562"/>
    <cellStyle name="40% - Ênfase4 2 5 2 2 3 2" xfId="34563"/>
    <cellStyle name="20% - Ênfase5 2 5 2 2 3 2" xfId="34564"/>
    <cellStyle name="40% - Ênfase5 2 5 2 2 3 2" xfId="34565"/>
    <cellStyle name="20% - Ênfase6 2 5 2 2 3 2" xfId="34566"/>
    <cellStyle name="40% - Ênfase6 2 5 2 2 3 2" xfId="34567"/>
    <cellStyle name="Normal 7 5 2 2 3 2" xfId="34568"/>
    <cellStyle name="Nota 4 4 2 2 3 2" xfId="34569"/>
    <cellStyle name="20% - Ênfase1 3 4 2 2 3 2" xfId="34570"/>
    <cellStyle name="40% - Ênfase1 3 4 2 2 3 2" xfId="34571"/>
    <cellStyle name="20% - Ênfase2 3 4 2 2 3 2" xfId="34572"/>
    <cellStyle name="40% - Ênfase2 3 4 2 2 3 2" xfId="34573"/>
    <cellStyle name="20% - Ênfase3 3 4 2 2 3 2" xfId="34574"/>
    <cellStyle name="40% - Ênfase3 3 4 2 2 3 2" xfId="34575"/>
    <cellStyle name="20% - Ênfase4 3 4 2 2 3 2" xfId="34576"/>
    <cellStyle name="40% - Ênfase4 3 4 2 2 3 2" xfId="34577"/>
    <cellStyle name="20% - Ênfase5 3 4 2 2 3 2" xfId="34578"/>
    <cellStyle name="40% - Ênfase5 3 4 2 2 3 2" xfId="34579"/>
    <cellStyle name="20% - Ênfase6 3 4 2 2 3 2" xfId="34580"/>
    <cellStyle name="40% - Ênfase6 3 4 2 2 3 2" xfId="34581"/>
    <cellStyle name="Normal 8 4 2 2 3 2" xfId="34582"/>
    <cellStyle name="Nota 5 4 2 2 3 2" xfId="34583"/>
    <cellStyle name="20% - Ênfase1 4 4 2 2 3 2" xfId="34584"/>
    <cellStyle name="40% - Ênfase1 4 4 2 2 3 2" xfId="34585"/>
    <cellStyle name="20% - Ênfase2 4 4 2 2 3 2" xfId="34586"/>
    <cellStyle name="40% - Ênfase2 4 4 2 2 3 2" xfId="34587"/>
    <cellStyle name="20% - Ênfase3 4 4 2 2 3 2" xfId="34588"/>
    <cellStyle name="40% - Ênfase3 4 4 2 2 3 2" xfId="34589"/>
    <cellStyle name="20% - Ênfase4 4 4 2 2 3 2" xfId="34590"/>
    <cellStyle name="40% - Ênfase4 4 4 2 2 3 2" xfId="34591"/>
    <cellStyle name="20% - Ênfase5 4 4 2 2 3 2" xfId="34592"/>
    <cellStyle name="40% - Ênfase5 4 4 2 2 3 2" xfId="34593"/>
    <cellStyle name="20% - Ênfase6 4 4 2 2 3 2" xfId="34594"/>
    <cellStyle name="40% - Ênfase6 4 4 2 2 3 2" xfId="34595"/>
    <cellStyle name="Normal 3 3 2 2 3 2" xfId="34596"/>
    <cellStyle name="Separador de milhares 5 2 2 2 2 2" xfId="34597"/>
    <cellStyle name="Separador de milhares 6 2 2 2 2 2" xfId="34598"/>
    <cellStyle name="Vírgula 5 2 2 2 2" xfId="34599"/>
    <cellStyle name="Vírgula 2 3 2 2 2 2" xfId="34600"/>
    <cellStyle name="20% - Ênfase1 5 2 2 2 3 2" xfId="34601"/>
    <cellStyle name="40% - Ênfase1 5 2 2 2 3 2" xfId="34602"/>
    <cellStyle name="20% - Ênfase2 5 2 2 2 3 2" xfId="34603"/>
    <cellStyle name="40% - Ênfase2 5 2 2 2 3 2" xfId="34604"/>
    <cellStyle name="20% - Ênfase3 5 2 2 2 3 2" xfId="34605"/>
    <cellStyle name="40% - Ênfase3 5 2 2 2 3 2" xfId="34606"/>
    <cellStyle name="20% - Ênfase4 5 2 2 2 3 2" xfId="34607"/>
    <cellStyle name="40% - Ênfase4 5 2 2 2 3 2" xfId="34608"/>
    <cellStyle name="20% - Ênfase5 5 2 2 2 3 2" xfId="34609"/>
    <cellStyle name="40% - Ênfase5 5 2 2 2 3 2" xfId="34610"/>
    <cellStyle name="20% - Ênfase6 5 2 2 2 3 2" xfId="34611"/>
    <cellStyle name="40% - Ênfase6 5 2 2 2 3 2" xfId="34612"/>
    <cellStyle name="Normal 4 2 2 2 2 3 2" xfId="34613"/>
    <cellStyle name="Nota 2 2 2 2 2 3 2" xfId="34614"/>
    <cellStyle name="Normal 5 2 2 2 2 3 2" xfId="34615"/>
    <cellStyle name="Nota 3 2 2 2 2 3 2" xfId="34616"/>
    <cellStyle name="20% - Ênfase1 2 2 2 2 2 3 2" xfId="34617"/>
    <cellStyle name="40% - Ênfase1 2 2 2 2 2 3 2" xfId="34618"/>
    <cellStyle name="20% - Ênfase2 2 2 2 2 2 3 2" xfId="34619"/>
    <cellStyle name="40% - Ênfase2 2 2 2 2 2 3 2" xfId="34620"/>
    <cellStyle name="20% - Ênfase3 2 2 2 2 2 3 2" xfId="34621"/>
    <cellStyle name="40% - Ênfase3 2 2 2 2 2 3 2" xfId="34622"/>
    <cellStyle name="20% - Ênfase4 2 2 2 2 2 3 2" xfId="34623"/>
    <cellStyle name="40% - Ênfase4 2 2 2 2 2 3 2" xfId="34624"/>
    <cellStyle name="20% - Ênfase5 2 2 2 2 2 3 2" xfId="34625"/>
    <cellStyle name="40% - Ênfase5 2 2 2 2 2 3 2" xfId="34626"/>
    <cellStyle name="20% - Ênfase6 2 2 2 2 2 3 2" xfId="34627"/>
    <cellStyle name="40% - Ênfase6 2 2 2 2 2 3 2" xfId="34628"/>
    <cellStyle name="Normal 7 2 2 2 2 3 2" xfId="34629"/>
    <cellStyle name="Nota 4 3 2 2 3 2" xfId="34630"/>
    <cellStyle name="20% - Ênfase1 3 3 2 2 3 2" xfId="34631"/>
    <cellStyle name="40% - Ênfase1 3 3 2 2 3 2" xfId="34632"/>
    <cellStyle name="20% - Ênfase2 3 3 2 2 3 2" xfId="34633"/>
    <cellStyle name="40% - Ênfase2 3 3 2 2 3 2" xfId="34634"/>
    <cellStyle name="20% - Ênfase3 3 3 2 2 3 2" xfId="34635"/>
    <cellStyle name="40% - Ênfase3 3 3 2 2 3 2" xfId="34636"/>
    <cellStyle name="20% - Ênfase4 3 3 2 2 3 2" xfId="34637"/>
    <cellStyle name="40% - Ênfase4 3 3 2 2 3 2" xfId="34638"/>
    <cellStyle name="20% - Ênfase5 3 3 2 2 3 2" xfId="34639"/>
    <cellStyle name="40% - Ênfase5 3 3 2 2 3 2" xfId="34640"/>
    <cellStyle name="20% - Ênfase6 3 3 2 2 3 2" xfId="34641"/>
    <cellStyle name="40% - Ênfase6 3 3 2 2 3 2" xfId="34642"/>
    <cellStyle name="Normal 8 3 2 2 3 2" xfId="34643"/>
    <cellStyle name="Nota 5 3 2 2 3 2" xfId="34644"/>
    <cellStyle name="20% - Ênfase1 4 3 2 2 3 2" xfId="34645"/>
    <cellStyle name="40% - Ênfase1 4 3 2 2 3 2" xfId="34646"/>
    <cellStyle name="20% - Ênfase2 4 3 2 2 3 2" xfId="34647"/>
    <cellStyle name="40% - Ênfase2 4 3 2 2 3 2" xfId="34648"/>
    <cellStyle name="20% - Ênfase3 4 3 2 2 3 2" xfId="34649"/>
    <cellStyle name="40% - Ênfase3 4 3 2 2 3 2" xfId="34650"/>
    <cellStyle name="20% - Ênfase4 4 3 2 2 3 2" xfId="34651"/>
    <cellStyle name="40% - Ênfase4 4 3 2 2 3 2" xfId="34652"/>
    <cellStyle name="20% - Ênfase5 4 3 2 2 3 2" xfId="34653"/>
    <cellStyle name="40% - Ênfase5 4 3 2 2 3 2" xfId="34654"/>
    <cellStyle name="20% - Ênfase6 4 3 2 2 3 2" xfId="34655"/>
    <cellStyle name="40% - Ênfase6 4 3 2 2 3 2" xfId="34656"/>
    <cellStyle name="20% - Ênfase1 6 2 2 2 3 2" xfId="34657"/>
    <cellStyle name="40% - Ênfase1 6 2 2 2 3 2" xfId="34658"/>
    <cellStyle name="20% - Ênfase2 6 2 2 2 3 2" xfId="34659"/>
    <cellStyle name="40% - Ênfase2 6 2 2 2 3 2" xfId="34660"/>
    <cellStyle name="20% - Ênfase3 6 2 2 2 3 2" xfId="34661"/>
    <cellStyle name="40% - Ênfase3 6 2 2 2 3 2" xfId="34662"/>
    <cellStyle name="20% - Ênfase4 6 2 2 2 3 2" xfId="34663"/>
    <cellStyle name="40% - Ênfase4 6 2 2 2 3 2" xfId="34664"/>
    <cellStyle name="20% - Ênfase5 6 2 2 2 3 2" xfId="34665"/>
    <cellStyle name="40% - Ênfase5 6 2 2 2 3 2" xfId="34666"/>
    <cellStyle name="20% - Ênfase6 6 2 2 2 3 2" xfId="34667"/>
    <cellStyle name="40% - Ênfase6 6 2 2 2 3 2" xfId="34668"/>
    <cellStyle name="Normal 4 3 2 2 2 3 2" xfId="34669"/>
    <cellStyle name="Nota 2 3 2 2 2 3 2" xfId="34670"/>
    <cellStyle name="Normal 5 3 2 2 2 3 2" xfId="34671"/>
    <cellStyle name="Nota 3 3 2 2 2 3 2" xfId="34672"/>
    <cellStyle name="20% - Ênfase1 2 3 2 2 2 3 2" xfId="34673"/>
    <cellStyle name="40% - Ênfase1 2 3 2 2 2 3 2" xfId="34674"/>
    <cellStyle name="20% - Ênfase2 2 3 2 2 2 3 2" xfId="34675"/>
    <cellStyle name="40% - Ênfase2 2 3 2 2 2 3 2" xfId="34676"/>
    <cellStyle name="20% - Ênfase3 2 3 2 2 2 3 2" xfId="34677"/>
    <cellStyle name="40% - Ênfase3 2 3 2 2 2 3 2" xfId="34678"/>
    <cellStyle name="20% - Ênfase4 2 3 2 2 2 3 2" xfId="34679"/>
    <cellStyle name="40% - Ênfase4 2 3 2 2 2 3 2" xfId="34680"/>
    <cellStyle name="20% - Ênfase5 2 3 2 2 2 3 2" xfId="34681"/>
    <cellStyle name="40% - Ênfase5 2 3 2 2 2 3 2" xfId="34682"/>
    <cellStyle name="20% - Ênfase6 2 3 2 2 2 3 2" xfId="34683"/>
    <cellStyle name="40% - Ênfase6 2 3 2 2 2 3 2" xfId="34684"/>
    <cellStyle name="Normal 7 3 2 2 2 3 2" xfId="34685"/>
    <cellStyle name="Nota 4 2 2 2 2 3 2" xfId="34686"/>
    <cellStyle name="20% - Ênfase1 3 2 2 2 2 3 2" xfId="34687"/>
    <cellStyle name="40% - Ênfase1 3 2 2 2 2 3 2" xfId="34688"/>
    <cellStyle name="20% - Ênfase2 3 2 2 2 2 3 2" xfId="34689"/>
    <cellStyle name="40% - Ênfase2 3 2 2 2 2 3 2" xfId="34690"/>
    <cellStyle name="20% - Ênfase3 3 2 2 2 2 3 2" xfId="34691"/>
    <cellStyle name="40% - Ênfase3 3 2 2 2 2 3 2" xfId="34692"/>
    <cellStyle name="20% - Ênfase4 3 2 2 2 2 3 2" xfId="34693"/>
    <cellStyle name="40% - Ênfase4 3 2 2 2 2 3 2" xfId="34694"/>
    <cellStyle name="20% - Ênfase5 3 2 2 2 2 3 2" xfId="34695"/>
    <cellStyle name="40% - Ênfase5 3 2 2 2 2 3 2" xfId="34696"/>
    <cellStyle name="20% - Ênfase6 3 2 2 2 2 3 2" xfId="34697"/>
    <cellStyle name="40% - Ênfase6 3 2 2 2 2 3 2" xfId="34698"/>
    <cellStyle name="Normal 8 2 2 2 2 3 2" xfId="34699"/>
    <cellStyle name="Nota 5 2 2 2 2 3 2" xfId="34700"/>
    <cellStyle name="20% - Ênfase1 4 2 2 2 2 3 2" xfId="34701"/>
    <cellStyle name="40% - Ênfase1 4 2 2 2 2 3 2" xfId="34702"/>
    <cellStyle name="20% - Ênfase2 4 2 2 2 2 3 2" xfId="34703"/>
    <cellStyle name="40% - Ênfase2 4 2 2 2 2 3 2" xfId="34704"/>
    <cellStyle name="20% - Ênfase3 4 2 2 2 2 3 2" xfId="34705"/>
    <cellStyle name="40% - Ênfase3 4 2 2 2 2 3 2" xfId="34706"/>
    <cellStyle name="20% - Ênfase4 4 2 2 2 2 3 2" xfId="34707"/>
    <cellStyle name="40% - Ênfase4 4 2 2 2 2 3 2" xfId="34708"/>
    <cellStyle name="20% - Ênfase5 4 2 2 2 2 3 2" xfId="34709"/>
    <cellStyle name="40% - Ênfase5 4 2 2 2 2 3 2" xfId="34710"/>
    <cellStyle name="20% - Ênfase6 4 2 2 2 2 3 2" xfId="34711"/>
    <cellStyle name="40% - Ênfase6 4 2 2 2 2 3 2" xfId="34712"/>
    <cellStyle name="Normal 3 5 2 3 2" xfId="34713"/>
    <cellStyle name="20% - Ênfase1 5 4 2 3 2" xfId="34714"/>
    <cellStyle name="40% - Ênfase1 5 4 2 3 2" xfId="34715"/>
    <cellStyle name="20% - Ênfase2 5 4 2 3 2" xfId="34716"/>
    <cellStyle name="40% - Ênfase2 5 4 2 3 2" xfId="34717"/>
    <cellStyle name="20% - Ênfase3 5 4 2 3 2" xfId="34718"/>
    <cellStyle name="40% - Ênfase3 5 4 2 3 2" xfId="34719"/>
    <cellStyle name="20% - Ênfase4 5 4 2 3 2" xfId="34720"/>
    <cellStyle name="40% - Ênfase4 5 4 2 3 2" xfId="34721"/>
    <cellStyle name="20% - Ênfase5 5 4 2 3 2" xfId="34722"/>
    <cellStyle name="40% - Ênfase5 5 4 2 3 2" xfId="34723"/>
    <cellStyle name="20% - Ênfase6 5 4 2 3 2" xfId="34724"/>
    <cellStyle name="40% - Ênfase6 5 4 2 3 2" xfId="34725"/>
    <cellStyle name="Normal 4 2 4 2 3 2" xfId="34726"/>
    <cellStyle name="Nota 2 2 4 2 3 2" xfId="34727"/>
    <cellStyle name="Normal 5 2 4 2 3 2" xfId="34728"/>
    <cellStyle name="Nota 3 2 4 2 3 2" xfId="34729"/>
    <cellStyle name="20% - Ênfase1 2 2 4 2 3 2" xfId="34730"/>
    <cellStyle name="40% - Ênfase1 2 2 4 2 3 2" xfId="34731"/>
    <cellStyle name="20% - Ênfase2 2 2 4 2 3 2" xfId="34732"/>
    <cellStyle name="40% - Ênfase2 2 2 4 2 3 2" xfId="34733"/>
    <cellStyle name="20% - Ênfase3 2 2 4 2 3 2" xfId="34734"/>
    <cellStyle name="40% - Ênfase3 2 2 4 2 3 2" xfId="34735"/>
    <cellStyle name="20% - Ênfase4 2 2 4 2 3 2" xfId="34736"/>
    <cellStyle name="40% - Ênfase4 2 2 4 2 3 2" xfId="34737"/>
    <cellStyle name="20% - Ênfase5 2 2 4 2 3 2" xfId="34738"/>
    <cellStyle name="40% - Ênfase5 2 2 4 2 3 2" xfId="34739"/>
    <cellStyle name="20% - Ênfase6 2 2 4 2 3 2" xfId="34740"/>
    <cellStyle name="40% - Ênfase6 2 2 4 2 3 2" xfId="34741"/>
    <cellStyle name="Normal 7 2 4 2 3 2" xfId="34742"/>
    <cellStyle name="Nota 4 6 2 3 2" xfId="34743"/>
    <cellStyle name="20% - Ênfase1 3 6 2 3 2" xfId="34744"/>
    <cellStyle name="40% - Ênfase1 3 6 2 3 2" xfId="34745"/>
    <cellStyle name="20% - Ênfase2 3 6 2 3 2" xfId="34746"/>
    <cellStyle name="40% - Ênfase2 3 6 2 3 2" xfId="34747"/>
    <cellStyle name="20% - Ênfase3 3 6 2 3 2" xfId="34748"/>
    <cellStyle name="40% - Ênfase3 3 6 2 3 2" xfId="34749"/>
    <cellStyle name="20% - Ênfase4 3 6 2 3 2" xfId="34750"/>
    <cellStyle name="40% - Ênfase4 3 6 2 3 2" xfId="34751"/>
    <cellStyle name="20% - Ênfase5 3 6 2 3 2" xfId="34752"/>
    <cellStyle name="40% - Ênfase5 3 6 2 3 2" xfId="34753"/>
    <cellStyle name="20% - Ênfase6 3 6 2 3 2" xfId="34754"/>
    <cellStyle name="40% - Ênfase6 3 6 2 3 2" xfId="34755"/>
    <cellStyle name="Normal 8 6 2 3 2" xfId="34756"/>
    <cellStyle name="Nota 5 6 2 3 2" xfId="34757"/>
    <cellStyle name="20% - Ênfase1 4 6 2 3 2" xfId="34758"/>
    <cellStyle name="40% - Ênfase1 4 6 2 3 2" xfId="34759"/>
    <cellStyle name="20% - Ênfase2 4 6 2 3 2" xfId="34760"/>
    <cellStyle name="40% - Ênfase2 4 6 2 3 2" xfId="34761"/>
    <cellStyle name="20% - Ênfase3 4 6 2 3 2" xfId="34762"/>
    <cellStyle name="40% - Ênfase3 4 6 2 3 2" xfId="34763"/>
    <cellStyle name="20% - Ênfase4 4 6 2 3 2" xfId="34764"/>
    <cellStyle name="40% - Ênfase4 4 6 2 3 2" xfId="34765"/>
    <cellStyle name="20% - Ênfase5 4 6 2 3 2" xfId="34766"/>
    <cellStyle name="40% - Ênfase5 4 6 2 3 2" xfId="34767"/>
    <cellStyle name="20% - Ênfase6 4 6 2 3 2" xfId="34768"/>
    <cellStyle name="40% - Ênfase6 4 6 2 3 2" xfId="34769"/>
    <cellStyle name="20% - Ênfase1 6 4 2 3 2" xfId="34770"/>
    <cellStyle name="40% - Ênfase1 6 4 2 3 2" xfId="34771"/>
    <cellStyle name="20% - Ênfase2 6 4 2 3 2" xfId="34772"/>
    <cellStyle name="40% - Ênfase2 6 4 2 3 2" xfId="34773"/>
    <cellStyle name="20% - Ênfase3 6 4 2 3 2" xfId="34774"/>
    <cellStyle name="40% - Ênfase3 6 4 2 3 2" xfId="34775"/>
    <cellStyle name="20% - Ênfase4 6 4 2 3 2" xfId="34776"/>
    <cellStyle name="40% - Ênfase4 6 4 2 3 2" xfId="34777"/>
    <cellStyle name="20% - Ênfase5 6 4 2 3 2" xfId="34778"/>
    <cellStyle name="40% - Ênfase5 6 4 2 3 2" xfId="34779"/>
    <cellStyle name="20% - Ênfase6 6 4 2 3 2" xfId="34780"/>
    <cellStyle name="40% - Ênfase6 6 4 2 3 2" xfId="34781"/>
    <cellStyle name="Normal 4 3 4 2 3 2" xfId="34782"/>
    <cellStyle name="Nota 2 3 4 2 3 2" xfId="34783"/>
    <cellStyle name="Normal 5 3 4 2 3 2" xfId="34784"/>
    <cellStyle name="Nota 3 3 4 2 3 2" xfId="34785"/>
    <cellStyle name="20% - Ênfase1 2 3 4 2 3 2" xfId="34786"/>
    <cellStyle name="40% - Ênfase1 2 3 4 2 3 2" xfId="34787"/>
    <cellStyle name="20% - Ênfase2 2 3 4 2 3 2" xfId="34788"/>
    <cellStyle name="40% - Ênfase2 2 3 4 2 3 2" xfId="34789"/>
    <cellStyle name="20% - Ênfase3 2 3 4 2 3 2" xfId="34790"/>
    <cellStyle name="40% - Ênfase3 2 3 4 2 3 2" xfId="34791"/>
    <cellStyle name="20% - Ênfase4 2 3 4 2 3 2" xfId="34792"/>
    <cellStyle name="40% - Ênfase4 2 3 4 2 3 2" xfId="34793"/>
    <cellStyle name="20% - Ênfase5 2 3 4 2 3 2" xfId="34794"/>
    <cellStyle name="40% - Ênfase5 2 3 4 2 3 2" xfId="34795"/>
    <cellStyle name="20% - Ênfase6 2 3 4 2 3 2" xfId="34796"/>
    <cellStyle name="40% - Ênfase6 2 3 4 2 3 2" xfId="34797"/>
    <cellStyle name="Normal 7 3 4 2 3 2" xfId="34798"/>
    <cellStyle name="Nota 4 2 4 2 3 2" xfId="34799"/>
    <cellStyle name="20% - Ênfase1 3 2 4 2 3 2" xfId="34800"/>
    <cellStyle name="40% - Ênfase1 3 2 4 2 3 2" xfId="34801"/>
    <cellStyle name="20% - Ênfase2 3 2 4 2 3 2" xfId="34802"/>
    <cellStyle name="40% - Ênfase2 3 2 4 2 3 2" xfId="34803"/>
    <cellStyle name="20% - Ênfase3 3 2 4 2 3 2" xfId="34804"/>
    <cellStyle name="40% - Ênfase3 3 2 4 2 3 2" xfId="34805"/>
    <cellStyle name="20% - Ênfase4 3 2 4 2 3 2" xfId="34806"/>
    <cellStyle name="40% - Ênfase4 3 2 4 2 3 2" xfId="34807"/>
    <cellStyle name="20% - Ênfase5 3 2 4 2 3 2" xfId="34808"/>
    <cellStyle name="40% - Ênfase5 3 2 4 2 3 2" xfId="34809"/>
    <cellStyle name="20% - Ênfase6 3 2 4 2 3 2" xfId="34810"/>
    <cellStyle name="40% - Ênfase6 3 2 4 2 3 2" xfId="34811"/>
    <cellStyle name="Normal 8 2 4 2 3 2" xfId="34812"/>
    <cellStyle name="Nota 5 2 4 2 3 2" xfId="34813"/>
    <cellStyle name="20% - Ênfase1 4 2 4 2 3 2" xfId="34814"/>
    <cellStyle name="40% - Ênfase1 4 2 4 2 3 2" xfId="34815"/>
    <cellStyle name="20% - Ênfase2 4 2 4 2 3 2" xfId="34816"/>
    <cellStyle name="40% - Ênfase2 4 2 4 2 3 2" xfId="34817"/>
    <cellStyle name="20% - Ênfase3 4 2 4 2 3 2" xfId="34818"/>
    <cellStyle name="40% - Ênfase3 4 2 4 2 3 2" xfId="34819"/>
    <cellStyle name="20% - Ênfase4 4 2 4 2 3 2" xfId="34820"/>
    <cellStyle name="40% - Ênfase4 4 2 4 2 3 2" xfId="34821"/>
    <cellStyle name="20% - Ênfase5 4 2 4 2 3 2" xfId="34822"/>
    <cellStyle name="40% - Ênfase5 4 2 4 2 3 2" xfId="34823"/>
    <cellStyle name="20% - Ênfase6 4 2 4 2 3 2" xfId="34824"/>
    <cellStyle name="40% - Ênfase6 4 2 4 2 3 2" xfId="34825"/>
    <cellStyle name="20% - Ênfase1 8 3 2 3 2" xfId="34826"/>
    <cellStyle name="40% - Ênfase1 8 3 2 3 2" xfId="34827"/>
    <cellStyle name="20% - Ênfase2 8 3 2 3 2" xfId="34828"/>
    <cellStyle name="40% - Ênfase2 8 3 2 3 2" xfId="34829"/>
    <cellStyle name="20% - Ênfase3 8 3 2 3 2" xfId="34830"/>
    <cellStyle name="40% - Ênfase3 8 3 2 3 2" xfId="34831"/>
    <cellStyle name="20% - Ênfase4 8 3 2 3 2" xfId="34832"/>
    <cellStyle name="40% - Ênfase4 8 3 2 3 2" xfId="34833"/>
    <cellStyle name="20% - Ênfase5 8 3 2 3 2" xfId="34834"/>
    <cellStyle name="40% - Ênfase5 8 3 2 3 2" xfId="34835"/>
    <cellStyle name="20% - Ênfase6 8 3 2 3 2" xfId="34836"/>
    <cellStyle name="40% - Ênfase6 8 3 2 3 2" xfId="34837"/>
    <cellStyle name="Normal 4 5 3 2 3 2" xfId="34838"/>
    <cellStyle name="Nota 2 5 3 2 3 2" xfId="34839"/>
    <cellStyle name="Normal 5 5 3 2 3 2" xfId="34840"/>
    <cellStyle name="Nota 3 5 3 2 3 2" xfId="34841"/>
    <cellStyle name="20% - Ênfase1 2 5 3 2 3 2" xfId="34842"/>
    <cellStyle name="40% - Ênfase1 2 5 3 2 3 2" xfId="34843"/>
    <cellStyle name="20% - Ênfase2 2 5 3 2 3 2" xfId="34844"/>
    <cellStyle name="40% - Ênfase2 2 5 3 2 3 2" xfId="34845"/>
    <cellStyle name="20% - Ênfase3 2 5 3 2 3 2" xfId="34846"/>
    <cellStyle name="40% - Ênfase3 2 5 3 2 3 2" xfId="34847"/>
    <cellStyle name="20% - Ênfase4 2 5 3 2 3 2" xfId="34848"/>
    <cellStyle name="40% - Ênfase4 2 5 3 2 3 2" xfId="34849"/>
    <cellStyle name="20% - Ênfase5 2 5 3 2 3 2" xfId="34850"/>
    <cellStyle name="40% - Ênfase5 2 5 3 2 3 2" xfId="34851"/>
    <cellStyle name="20% - Ênfase6 2 5 3 2 3 2" xfId="34852"/>
    <cellStyle name="40% - Ênfase6 2 5 3 2 3 2" xfId="34853"/>
    <cellStyle name="Normal 7 5 3 2 3 2" xfId="34854"/>
    <cellStyle name="Nota 4 4 3 2 3 2" xfId="34855"/>
    <cellStyle name="20% - Ênfase1 3 4 3 2 3 2" xfId="34856"/>
    <cellStyle name="40% - Ênfase1 3 4 3 2 3 2" xfId="34857"/>
    <cellStyle name="20% - Ênfase2 3 4 3 2 3 2" xfId="34858"/>
    <cellStyle name="40% - Ênfase2 3 4 3 2 3 2" xfId="34859"/>
    <cellStyle name="20% - Ênfase3 3 4 3 2 3 2" xfId="34860"/>
    <cellStyle name="40% - Ênfase3 3 4 3 2 3 2" xfId="34861"/>
    <cellStyle name="20% - Ênfase4 3 4 3 2 3 2" xfId="34862"/>
    <cellStyle name="40% - Ênfase4 3 4 3 2 3 2" xfId="34863"/>
    <cellStyle name="20% - Ênfase5 3 4 3 2 3 2" xfId="34864"/>
    <cellStyle name="40% - Ênfase5 3 4 3 2 3 2" xfId="34865"/>
    <cellStyle name="20% - Ênfase6 3 4 3 2 3 2" xfId="34866"/>
    <cellStyle name="40% - Ênfase6 3 4 3 2 3 2" xfId="34867"/>
    <cellStyle name="Normal 8 4 3 2 3 2" xfId="34868"/>
    <cellStyle name="Nota 5 4 3 2 3 2" xfId="34869"/>
    <cellStyle name="20% - Ênfase1 4 4 3 2 3 2" xfId="34870"/>
    <cellStyle name="40% - Ênfase1 4 4 3 2 3 2" xfId="34871"/>
    <cellStyle name="20% - Ênfase2 4 4 3 2 3 2" xfId="34872"/>
    <cellStyle name="40% - Ênfase2 4 4 3 2 3 2" xfId="34873"/>
    <cellStyle name="20% - Ênfase3 4 4 3 2 3 2" xfId="34874"/>
    <cellStyle name="40% - Ênfase3 4 4 3 2 3 2" xfId="34875"/>
    <cellStyle name="20% - Ênfase4 4 4 3 2 3 2" xfId="34876"/>
    <cellStyle name="40% - Ênfase4 4 4 3 2 3 2" xfId="34877"/>
    <cellStyle name="20% - Ênfase5 4 4 3 2 3 2" xfId="34878"/>
    <cellStyle name="40% - Ênfase5 4 4 3 2 3 2" xfId="34879"/>
    <cellStyle name="20% - Ênfase6 4 4 3 2 3 2" xfId="34880"/>
    <cellStyle name="40% - Ênfase6 4 4 3 2 3 2" xfId="34881"/>
    <cellStyle name="Normal 3 3 3 2 3 2" xfId="34882"/>
    <cellStyle name="20% - Ênfase1 5 2 3 2 3 2" xfId="34883"/>
    <cellStyle name="40% - Ênfase1 5 2 3 2 3 2" xfId="34884"/>
    <cellStyle name="20% - Ênfase2 5 2 3 2 3 2" xfId="34885"/>
    <cellStyle name="40% - Ênfase2 5 2 3 2 3 2" xfId="34886"/>
    <cellStyle name="20% - Ênfase3 5 2 3 2 3 2" xfId="34887"/>
    <cellStyle name="40% - Ênfase3 5 2 3 2 3 2" xfId="34888"/>
    <cellStyle name="20% - Ênfase4 5 2 3 2 3 2" xfId="34889"/>
    <cellStyle name="40% - Ênfase4 5 2 3 2 3 2" xfId="34890"/>
    <cellStyle name="20% - Ênfase5 5 2 3 2 3 2" xfId="34891"/>
    <cellStyle name="40% - Ênfase5 5 2 3 2 3 2" xfId="34892"/>
    <cellStyle name="20% - Ênfase6 5 2 3 2 3 2" xfId="34893"/>
    <cellStyle name="40% - Ênfase6 5 2 3 2 3 2" xfId="34894"/>
    <cellStyle name="Normal 4 2 2 3 2 3 2" xfId="34895"/>
    <cellStyle name="Nota 2 2 2 3 2 3 2" xfId="34896"/>
    <cellStyle name="Normal 5 2 2 3 2 3 2" xfId="34897"/>
    <cellStyle name="Nota 3 2 2 3 2 3 2" xfId="34898"/>
    <cellStyle name="20% - Ênfase1 2 2 2 3 2 3 2" xfId="34899"/>
    <cellStyle name="40% - Ênfase1 2 2 2 3 2 3 2" xfId="34900"/>
    <cellStyle name="20% - Ênfase2 2 2 2 3 2 3 2" xfId="34901"/>
    <cellStyle name="40% - Ênfase2 2 2 2 3 2 3 2" xfId="34902"/>
    <cellStyle name="20% - Ênfase3 2 2 2 3 2 3 2" xfId="34903"/>
    <cellStyle name="40% - Ênfase3 2 2 2 3 2 3 2" xfId="34904"/>
    <cellStyle name="20% - Ênfase4 2 2 2 3 2 3 2" xfId="34905"/>
    <cellStyle name="40% - Ênfase4 2 2 2 3 2 3 2" xfId="34906"/>
    <cellStyle name="20% - Ênfase5 2 2 2 3 2 3 2" xfId="34907"/>
    <cellStyle name="40% - Ênfase5 2 2 2 3 2 3 2" xfId="34908"/>
    <cellStyle name="20% - Ênfase6 2 2 2 3 2 3 2" xfId="34909"/>
    <cellStyle name="40% - Ênfase6 2 2 2 3 2 3 2" xfId="34910"/>
    <cellStyle name="Normal 7 2 2 3 2 3 2" xfId="34911"/>
    <cellStyle name="Nota 4 3 3 2 3 2" xfId="34912"/>
    <cellStyle name="20% - Ênfase1 3 3 3 2 3 2" xfId="34913"/>
    <cellStyle name="40% - Ênfase1 3 3 3 2 3 2" xfId="34914"/>
    <cellStyle name="20% - Ênfase2 3 3 3 2 3 2" xfId="34915"/>
    <cellStyle name="40% - Ênfase2 3 3 3 2 3 2" xfId="34916"/>
    <cellStyle name="20% - Ênfase3 3 3 3 2 3 2" xfId="34917"/>
    <cellStyle name="40% - Ênfase3 3 3 3 2 3 2" xfId="34918"/>
    <cellStyle name="20% - Ênfase4 3 3 3 2 3 2" xfId="34919"/>
    <cellStyle name="40% - Ênfase4 3 3 3 2 3 2" xfId="34920"/>
    <cellStyle name="20% - Ênfase5 3 3 3 2 3 2" xfId="34921"/>
    <cellStyle name="40% - Ênfase5 3 3 3 2 3 2" xfId="34922"/>
    <cellStyle name="20% - Ênfase6 3 3 3 2 3 2" xfId="34923"/>
    <cellStyle name="40% - Ênfase6 3 3 3 2 3 2" xfId="34924"/>
    <cellStyle name="Normal 8 3 3 2 3 2" xfId="34925"/>
    <cellStyle name="Nota 5 3 3 2 3 2" xfId="34926"/>
    <cellStyle name="20% - Ênfase1 4 3 3 2 3 2" xfId="34927"/>
    <cellStyle name="40% - Ênfase1 4 3 3 2 3 2" xfId="34928"/>
    <cellStyle name="20% - Ênfase2 4 3 3 2 3 2" xfId="34929"/>
    <cellStyle name="40% - Ênfase2 4 3 3 2 3 2" xfId="34930"/>
    <cellStyle name="20% - Ênfase3 4 3 3 2 3 2" xfId="34931"/>
    <cellStyle name="40% - Ênfase3 4 3 3 2 3 2" xfId="34932"/>
    <cellStyle name="20% - Ênfase4 4 3 3 2 3 2" xfId="34933"/>
    <cellStyle name="40% - Ênfase4 4 3 3 2 3 2" xfId="34934"/>
    <cellStyle name="20% - Ênfase5 4 3 3 2 3 2" xfId="34935"/>
    <cellStyle name="40% - Ênfase5 4 3 3 2 3 2" xfId="34936"/>
    <cellStyle name="20% - Ênfase6 4 3 3 2 3 2" xfId="34937"/>
    <cellStyle name="40% - Ênfase6 4 3 3 2 3 2" xfId="34938"/>
    <cellStyle name="20% - Ênfase1 6 2 3 2 3 2" xfId="34939"/>
    <cellStyle name="40% - Ênfase1 6 2 3 2 3 2" xfId="34940"/>
    <cellStyle name="20% - Ênfase2 6 2 3 2 3 2" xfId="34941"/>
    <cellStyle name="40% - Ênfase2 6 2 3 2 3 2" xfId="34942"/>
    <cellStyle name="20% - Ênfase3 6 2 3 2 3 2" xfId="34943"/>
    <cellStyle name="40% - Ênfase3 6 2 3 2 3 2" xfId="34944"/>
    <cellStyle name="20% - Ênfase4 6 2 3 2 3 2" xfId="34945"/>
    <cellStyle name="40% - Ênfase4 6 2 3 2 3 2" xfId="34946"/>
    <cellStyle name="20% - Ênfase5 6 2 3 2 3 2" xfId="34947"/>
    <cellStyle name="40% - Ênfase5 6 2 3 2 3 2" xfId="34948"/>
    <cellStyle name="20% - Ênfase6 6 2 3 2 3 2" xfId="34949"/>
    <cellStyle name="40% - Ênfase6 6 2 3 2 3 2" xfId="34950"/>
    <cellStyle name="Normal 4 3 2 3 2 3 2" xfId="34951"/>
    <cellStyle name="Nota 2 3 2 3 2 3 2" xfId="34952"/>
    <cellStyle name="Normal 5 3 2 3 2 3 2" xfId="34953"/>
    <cellStyle name="Nota 3 3 2 3 2 3 2" xfId="34954"/>
    <cellStyle name="20% - Ênfase1 2 3 2 3 2 3 2" xfId="34955"/>
    <cellStyle name="40% - Ênfase1 2 3 2 3 2 3 2" xfId="34956"/>
    <cellStyle name="20% - Ênfase2 2 3 2 3 2 3 2" xfId="34957"/>
    <cellStyle name="40% - Ênfase2 2 3 2 3 2 3 2" xfId="34958"/>
    <cellStyle name="20% - Ênfase3 2 3 2 3 2 3 2" xfId="34959"/>
    <cellStyle name="40% - Ênfase3 2 3 2 3 2 3 2" xfId="34960"/>
    <cellStyle name="20% - Ênfase4 2 3 2 3 2 3 2" xfId="34961"/>
    <cellStyle name="40% - Ênfase4 2 3 2 3 2 3 2" xfId="34962"/>
    <cellStyle name="20% - Ênfase5 2 3 2 3 2 3 2" xfId="34963"/>
    <cellStyle name="40% - Ênfase5 2 3 2 3 2 3 2" xfId="34964"/>
    <cellStyle name="20% - Ênfase6 2 3 2 3 2 3 2" xfId="34965"/>
    <cellStyle name="40% - Ênfase6 2 3 2 3 2 3 2" xfId="34966"/>
    <cellStyle name="Normal 7 3 2 3 2 3 2" xfId="34967"/>
    <cellStyle name="Nota 4 2 2 3 2 3 2" xfId="34968"/>
    <cellStyle name="20% - Ênfase1 3 2 2 3 2 3 2" xfId="34969"/>
    <cellStyle name="40% - Ênfase1 3 2 2 3 2 3 2" xfId="34970"/>
    <cellStyle name="20% - Ênfase2 3 2 2 3 2 3 2" xfId="34971"/>
    <cellStyle name="40% - Ênfase2 3 2 2 3 2 3 2" xfId="34972"/>
    <cellStyle name="20% - Ênfase3 3 2 2 3 2 3 2" xfId="34973"/>
    <cellStyle name="40% - Ênfase3 3 2 2 3 2 3 2" xfId="34974"/>
    <cellStyle name="20% - Ênfase4 3 2 2 3 2 3 2" xfId="34975"/>
    <cellStyle name="40% - Ênfase4 3 2 2 3 2 3 2" xfId="34976"/>
    <cellStyle name="20% - Ênfase5 3 2 2 3 2 3 2" xfId="34977"/>
    <cellStyle name="40% - Ênfase5 3 2 2 3 2 3 2" xfId="34978"/>
    <cellStyle name="20% - Ênfase6 3 2 2 3 2 3 2" xfId="34979"/>
    <cellStyle name="40% - Ênfase6 3 2 2 3 2 3 2" xfId="34980"/>
    <cellStyle name="Normal 8 2 2 3 2 3 2" xfId="34981"/>
    <cellStyle name="Nota 5 2 2 3 2 3 2" xfId="34982"/>
    <cellStyle name="20% - Ênfase1 4 2 2 3 2 3 2" xfId="34983"/>
    <cellStyle name="40% - Ênfase1 4 2 2 3 2 3 2" xfId="34984"/>
    <cellStyle name="20% - Ênfase2 4 2 2 3 2 3 2" xfId="34985"/>
    <cellStyle name="40% - Ênfase2 4 2 2 3 2 3 2" xfId="34986"/>
    <cellStyle name="20% - Ênfase3 4 2 2 3 2 3 2" xfId="34987"/>
    <cellStyle name="40% - Ênfase3 4 2 2 3 2 3 2" xfId="34988"/>
    <cellStyle name="20% - Ênfase4 4 2 2 3 2 3 2" xfId="34989"/>
    <cellStyle name="40% - Ênfase4 4 2 2 3 2 3 2" xfId="34990"/>
    <cellStyle name="20% - Ênfase5 4 2 2 3 2 3 2" xfId="34991"/>
    <cellStyle name="40% - Ênfase5 4 2 2 3 2 3 2" xfId="34992"/>
    <cellStyle name="20% - Ênfase6 4 2 2 3 2 3 2" xfId="34993"/>
    <cellStyle name="40% - Ênfase6 4 2 2 3 2 3 2" xfId="34994"/>
    <cellStyle name="Normal 3 6 2 3 2" xfId="34995"/>
    <cellStyle name="20% - Ênfase1 5 5 2 3 2" xfId="34996"/>
    <cellStyle name="40% - Ênfase1 5 5 2 3 2" xfId="34997"/>
    <cellStyle name="20% - Ênfase2 5 5 2 3 2" xfId="34998"/>
    <cellStyle name="40% - Ênfase2 5 5 2 3 2" xfId="34999"/>
    <cellStyle name="20% - Ênfase3 5 5 2 3 2" xfId="35000"/>
    <cellStyle name="40% - Ênfase3 5 5 2 3 2" xfId="35001"/>
    <cellStyle name="20% - Ênfase4 5 5 2 3 2" xfId="35002"/>
    <cellStyle name="40% - Ênfase4 5 5 2 3 2" xfId="35003"/>
    <cellStyle name="20% - Ênfase5 5 5 2 3 2" xfId="35004"/>
    <cellStyle name="40% - Ênfase5 5 5 2 3 2" xfId="35005"/>
    <cellStyle name="20% - Ênfase6 5 5 2 3 2" xfId="35006"/>
    <cellStyle name="40% - Ênfase6 5 5 2 3 2" xfId="35007"/>
    <cellStyle name="Normal 4 2 5 2 3 2" xfId="35008"/>
    <cellStyle name="Nota 2 2 5 2 3 2" xfId="35009"/>
    <cellStyle name="Normal 5 2 5 2 3 2" xfId="35010"/>
    <cellStyle name="Nota 3 2 5 2 3 2" xfId="35011"/>
    <cellStyle name="20% - Ênfase1 2 2 5 2 3 2" xfId="35012"/>
    <cellStyle name="40% - Ênfase1 2 2 5 2 3 2" xfId="35013"/>
    <cellStyle name="20% - Ênfase2 2 2 5 2 3 2" xfId="35014"/>
    <cellStyle name="40% - Ênfase2 2 2 5 2 3 2" xfId="35015"/>
    <cellStyle name="20% - Ênfase3 2 2 5 2 3 2" xfId="35016"/>
    <cellStyle name="40% - Ênfase3 2 2 5 2 3 2" xfId="35017"/>
    <cellStyle name="20% - Ênfase4 2 2 5 2 3 2" xfId="35018"/>
    <cellStyle name="40% - Ênfase4 2 2 5 2 3 2" xfId="35019"/>
    <cellStyle name="20% - Ênfase5 2 2 5 2 3 2" xfId="35020"/>
    <cellStyle name="40% - Ênfase5 2 2 5 2 3 2" xfId="35021"/>
    <cellStyle name="20% - Ênfase6 2 2 5 2 3 2" xfId="35022"/>
    <cellStyle name="40% - Ênfase6 2 2 5 2 3 2" xfId="35023"/>
    <cellStyle name="Normal 7 2 5 2 3 2" xfId="35024"/>
    <cellStyle name="Nota 4 7 2 3 2" xfId="35025"/>
    <cellStyle name="20% - Ênfase1 3 7 2 3 2" xfId="35026"/>
    <cellStyle name="40% - Ênfase1 3 7 2 3 2" xfId="35027"/>
    <cellStyle name="20% - Ênfase2 3 7 2 3 2" xfId="35028"/>
    <cellStyle name="40% - Ênfase2 3 7 2 3 2" xfId="35029"/>
    <cellStyle name="20% - Ênfase3 3 7 2 3 2" xfId="35030"/>
    <cellStyle name="40% - Ênfase3 3 7 2 3 2" xfId="35031"/>
    <cellStyle name="20% - Ênfase4 3 7 2 3 2" xfId="35032"/>
    <cellStyle name="40% - Ênfase4 3 7 2 3 2" xfId="35033"/>
    <cellStyle name="20% - Ênfase5 3 7 2 3 2" xfId="35034"/>
    <cellStyle name="40% - Ênfase5 3 7 2 3 2" xfId="35035"/>
    <cellStyle name="20% - Ênfase6 3 7 2 3 2" xfId="35036"/>
    <cellStyle name="40% - Ênfase6 3 7 2 3 2" xfId="35037"/>
    <cellStyle name="Normal 8 7 2 3 2" xfId="35038"/>
    <cellStyle name="Nota 5 7 2 3 2" xfId="35039"/>
    <cellStyle name="20% - Ênfase1 4 7 2 3 2" xfId="35040"/>
    <cellStyle name="40% - Ênfase1 4 7 2 3 2" xfId="35041"/>
    <cellStyle name="20% - Ênfase2 4 7 2 3 2" xfId="35042"/>
    <cellStyle name="40% - Ênfase2 4 7 2 3 2" xfId="35043"/>
    <cellStyle name="20% - Ênfase3 4 7 2 3 2" xfId="35044"/>
    <cellStyle name="40% - Ênfase3 4 7 2 3 2" xfId="35045"/>
    <cellStyle name="20% - Ênfase4 4 7 2 3 2" xfId="35046"/>
    <cellStyle name="40% - Ênfase4 4 7 2 3 2" xfId="35047"/>
    <cellStyle name="20% - Ênfase5 4 7 2 3 2" xfId="35048"/>
    <cellStyle name="40% - Ênfase5 4 7 2 3 2" xfId="35049"/>
    <cellStyle name="20% - Ênfase6 4 7 2 3 2" xfId="35050"/>
    <cellStyle name="40% - Ênfase6 4 7 2 3 2" xfId="35051"/>
    <cellStyle name="Vírgula 7 2 2 2 2" xfId="35052"/>
    <cellStyle name="Normal 6 4 2 3 2" xfId="35053"/>
    <cellStyle name="Separador de milhares 2 6 2 2 2" xfId="35054"/>
    <cellStyle name="Separador de milhares 2 2 3 2 2 2" xfId="35055"/>
    <cellStyle name="Separador de milhares 2 3 2 2 2 2" xfId="35056"/>
    <cellStyle name="Separador de milhares 2 4 2 2 2" xfId="35057"/>
    <cellStyle name="Separador de milhares 2 5 2 2 2" xfId="35058"/>
    <cellStyle name="Separador de milhares 3 4 2 3 2" xfId="35059"/>
    <cellStyle name="Separador de milhares 3 2 3 2 2 2" xfId="35060"/>
    <cellStyle name="Separador de milhares 4 3 2 3 2" xfId="35061"/>
    <cellStyle name="Separador de milhares 4 2 2 2 2 2" xfId="35062"/>
    <cellStyle name="Separador de milhares 5 4 2 2 2" xfId="35063"/>
    <cellStyle name="Separador de milhares 6 4 2 2 2" xfId="35064"/>
    <cellStyle name="Separador de milhares 7 2 2 3 2" xfId="35065"/>
    <cellStyle name="Vírgula 8 2 2 3 2" xfId="35066"/>
    <cellStyle name="Vírgula 2 5 2 2 2" xfId="35067"/>
    <cellStyle name="Vírgula 4 3 2 2 2" xfId="35068"/>
    <cellStyle name="Vírgula 4 2 2 2 3 2" xfId="35069"/>
    <cellStyle name="Vírgula 3 3 2 2 2" xfId="35070"/>
    <cellStyle name="Vírgula 9 2 2 2 2" xfId="35071"/>
    <cellStyle name="Separador de milhares 2 7 2 3 2" xfId="35072"/>
    <cellStyle name="Separador de milhares 3 5 2 2" xfId="35073"/>
    <cellStyle name="Vírgula 10 2 3 2" xfId="35074"/>
    <cellStyle name="20% - Ênfase1 9 2 2" xfId="35075"/>
    <cellStyle name="40% - Ênfase1 9 2 2" xfId="35076"/>
    <cellStyle name="20% - Ênfase2 9 2 2" xfId="35077"/>
    <cellStyle name="40% - Ênfase2 9 2 2" xfId="35078"/>
    <cellStyle name="20% - Ênfase3 9 2 2" xfId="35079"/>
    <cellStyle name="40% - Ênfase3 9 2 2" xfId="35080"/>
    <cellStyle name="20% - Ênfase4 9 2 2" xfId="35081"/>
    <cellStyle name="40% - Ênfase4 9 2 2" xfId="35082"/>
    <cellStyle name="20% - Ênfase5 9 2 2" xfId="35083"/>
    <cellStyle name="40% - Ênfase5 9 2 2" xfId="35084"/>
    <cellStyle name="20% - Ênfase6 9 2 2" xfId="35085"/>
    <cellStyle name="40% - Ênfase6 9 2 2" xfId="35086"/>
    <cellStyle name="Normal 4 7 2 2" xfId="35087"/>
    <cellStyle name="Nota 2 6 2 2" xfId="35088"/>
    <cellStyle name="Normal 5 6 2 2" xfId="35089"/>
    <cellStyle name="Nota 3 6 2 2" xfId="35090"/>
    <cellStyle name="20% - Ênfase1 2 6 2 2" xfId="35091"/>
    <cellStyle name="40% - Ênfase1 2 6 2 2" xfId="35092"/>
    <cellStyle name="20% - Ênfase2 2 6 2 2" xfId="35093"/>
    <cellStyle name="40% - Ênfase2 2 6 2 2" xfId="35094"/>
    <cellStyle name="20% - Ênfase3 2 6 2 2" xfId="35095"/>
    <cellStyle name="40% - Ênfase3 2 6 2 2" xfId="35096"/>
    <cellStyle name="20% - Ênfase4 2 6 2 2" xfId="35097"/>
    <cellStyle name="40% - Ênfase4 2 6 2 2" xfId="35098"/>
    <cellStyle name="20% - Ênfase5 2 6 2 2" xfId="35099"/>
    <cellStyle name="40% - Ênfase5 2 6 2 2" xfId="35100"/>
    <cellStyle name="20% - Ênfase6 2 6 2 2" xfId="35101"/>
    <cellStyle name="40% - Ênfase6 2 6 2 2" xfId="35102"/>
    <cellStyle name="Vírgula 2 6 2 2 2" xfId="35103"/>
    <cellStyle name="Normal 7 7 2 2" xfId="35104"/>
    <cellStyle name="Nota 4 8 2 2 2" xfId="35105"/>
    <cellStyle name="20% - Ênfase1 3 8 2 2 2" xfId="35106"/>
    <cellStyle name="40% - Ênfase1 3 8 2 2 2" xfId="35107"/>
    <cellStyle name="20% - Ênfase2 3 8 2 2 2" xfId="35108"/>
    <cellStyle name="40% - Ênfase2 3 8 2 2 2" xfId="35109"/>
    <cellStyle name="20% - Ênfase3 3 8 2 2 2" xfId="35110"/>
    <cellStyle name="40% - Ênfase3 3 8 2 2 2" xfId="35111"/>
    <cellStyle name="20% - Ênfase4 3 8 2 2 2" xfId="35112"/>
    <cellStyle name="40% - Ênfase4 3 8 2 2 2" xfId="35113"/>
    <cellStyle name="20% - Ênfase5 3 8 2 2 2" xfId="35114"/>
    <cellStyle name="40% - Ênfase5 3 8 2 2 2" xfId="35115"/>
    <cellStyle name="20% - Ênfase6 3 8 2 2 2" xfId="35116"/>
    <cellStyle name="40% - Ênfase6 3 8 2 2 2" xfId="35117"/>
    <cellStyle name="Normal 8 9 2 2 2" xfId="35118"/>
    <cellStyle name="Nota 5 8 2 2 2" xfId="35119"/>
    <cellStyle name="20% - Ênfase1 4 8 2 2 2" xfId="35120"/>
    <cellStyle name="40% - Ênfase1 4 8 2 2 2" xfId="35121"/>
    <cellStyle name="20% - Ênfase2 4 8 2 2 2" xfId="35122"/>
    <cellStyle name="40% - Ênfase2 4 8 2 2 2" xfId="35123"/>
    <cellStyle name="20% - Ênfase3 4 8 2 2 2" xfId="35124"/>
    <cellStyle name="40% - Ênfase3 4 8 2 2 2" xfId="35125"/>
    <cellStyle name="20% - Ênfase4 4 8 2 2 2" xfId="35126"/>
    <cellStyle name="40% - Ênfase4 4 8 2 2 2" xfId="35127"/>
    <cellStyle name="20% - Ênfase5 4 8 2 2 2" xfId="35128"/>
    <cellStyle name="40% - Ênfase5 4 8 2 2 2" xfId="35129"/>
    <cellStyle name="20% - Ênfase6 4 8 2 2 2" xfId="35130"/>
    <cellStyle name="40% - Ênfase6 4 8 2 2 2" xfId="35131"/>
    <cellStyle name="Normal 3 3 4 2 2 2" xfId="35132"/>
    <cellStyle name="Separador de milhares 4 4 2 2 2" xfId="35133"/>
    <cellStyle name="Separador de milhares 5 5 2 2 2" xfId="35134"/>
    <cellStyle name="Separador de milhares 6 5 2 2 2" xfId="35135"/>
    <cellStyle name="Vírgula 5 3 2 2 2" xfId="35136"/>
    <cellStyle name="Vírgula 2 3 3 2 2" xfId="35137"/>
    <cellStyle name="Separador de milhares 2 2 4 2 2 2" xfId="35138"/>
    <cellStyle name="Separador de milhares 3 2 4 2 2 2" xfId="35139"/>
    <cellStyle name="Vírgula 3 4 2 2 2" xfId="35140"/>
    <cellStyle name="Vírgula 4 4 2 2 2" xfId="35141"/>
    <cellStyle name="Vírgula 2 2 3 2 2" xfId="35142"/>
    <cellStyle name="20% - Ênfase1 5 6 2 2 2" xfId="35143"/>
    <cellStyle name="40% - Ênfase1 5 6 2 2 2" xfId="35144"/>
    <cellStyle name="20% - Ênfase2 5 6 2 2 2" xfId="35145"/>
    <cellStyle name="40% - Ênfase2 5 6 2 2 2" xfId="35146"/>
    <cellStyle name="20% - Ênfase3 5 6 2 2 2" xfId="35147"/>
    <cellStyle name="40% - Ênfase3 5 6 2 2 2" xfId="35148"/>
    <cellStyle name="20% - Ênfase4 5 6 2 2 2" xfId="35149"/>
    <cellStyle name="40% - Ênfase4 5 6 2 2 2" xfId="35150"/>
    <cellStyle name="20% - Ênfase5 5 6 2 2 2" xfId="35151"/>
    <cellStyle name="40% - Ênfase5 5 6 2 2 2" xfId="35152"/>
    <cellStyle name="20% - Ênfase6 5 6 2 2 2" xfId="35153"/>
    <cellStyle name="40% - Ênfase6 5 6 2 2 2" xfId="35154"/>
    <cellStyle name="Normal 4 2 6 2 2 2" xfId="35155"/>
    <cellStyle name="Nota 2 2 6 2 2 2" xfId="35156"/>
    <cellStyle name="Normal 5 2 7 2 2 2" xfId="35157"/>
    <cellStyle name="Nota 3 2 6 2 2 2" xfId="35158"/>
    <cellStyle name="20% - Ênfase1 2 2 6 2 2 2" xfId="35159"/>
    <cellStyle name="40% - Ênfase1 2 2 6 2 2 2" xfId="35160"/>
    <cellStyle name="20% - Ênfase2 2 2 6 2 2 2" xfId="35161"/>
    <cellStyle name="40% - Ênfase2 2 2 6 2 2 2" xfId="35162"/>
    <cellStyle name="20% - Ênfase3 2 2 6 2 2 2" xfId="35163"/>
    <cellStyle name="40% - Ênfase3 2 2 6 2 2 2" xfId="35164"/>
    <cellStyle name="20% - Ênfase4 2 2 6 2 2 2" xfId="35165"/>
    <cellStyle name="40% - Ênfase4 2 2 6 2 2 2" xfId="35166"/>
    <cellStyle name="20% - Ênfase5 2 2 6 2 2 2" xfId="35167"/>
    <cellStyle name="40% - Ênfase5 2 2 6 2 2 2" xfId="35168"/>
    <cellStyle name="20% - Ênfase6 2 2 6 2 2 2" xfId="35169"/>
    <cellStyle name="40% - Ênfase6 2 2 6 2 2 2" xfId="35170"/>
    <cellStyle name="Normal 7 2 6 2 2 2" xfId="35171"/>
    <cellStyle name="Nota 4 3 4 2 2 2" xfId="35172"/>
    <cellStyle name="20% - Ênfase1 3 3 4 2 2 2" xfId="35173"/>
    <cellStyle name="40% - Ênfase1 3 3 4 2 2 2" xfId="35174"/>
    <cellStyle name="20% - Ênfase2 3 3 4 2 2 2" xfId="35175"/>
    <cellStyle name="40% - Ênfase2 3 3 4 2 2 2" xfId="35176"/>
    <cellStyle name="20% - Ênfase3 3 3 4 2 2 2" xfId="35177"/>
    <cellStyle name="40% - Ênfase3 3 3 4 2 2 2" xfId="35178"/>
    <cellStyle name="20% - Ênfase4 3 3 4 2 2 2" xfId="35179"/>
    <cellStyle name="40% - Ênfase4 3 3 4 2 2 2" xfId="35180"/>
    <cellStyle name="20% - Ênfase5 3 3 4 2 2 2" xfId="35181"/>
    <cellStyle name="40% - Ênfase5 3 3 4 2 2 2" xfId="35182"/>
    <cellStyle name="20% - Ênfase6 3 3 4 2 2 2" xfId="35183"/>
    <cellStyle name="40% - Ênfase6 3 3 4 2 2 2" xfId="35184"/>
    <cellStyle name="Normal 8 3 4 2 2 2" xfId="35185"/>
    <cellStyle name="Nota 5 3 4 2 2 2" xfId="35186"/>
    <cellStyle name="20% - Ênfase1 4 3 4 2 2 2" xfId="35187"/>
    <cellStyle name="40% - Ênfase1 4 3 4 2 2 2" xfId="35188"/>
    <cellStyle name="20% - Ênfase2 4 3 4 2 2 2" xfId="35189"/>
    <cellStyle name="40% - Ênfase2 4 3 4 2 2 2" xfId="35190"/>
    <cellStyle name="20% - Ênfase3 4 3 4 2 2 2" xfId="35191"/>
    <cellStyle name="40% - Ênfase3 4 3 4 2 2 2" xfId="35192"/>
    <cellStyle name="20% - Ênfase4 4 3 4 2 2 2" xfId="35193"/>
    <cellStyle name="40% - Ênfase4 4 3 4 2 2 2" xfId="35194"/>
    <cellStyle name="20% - Ênfase5 4 3 4 2 2 2" xfId="35195"/>
    <cellStyle name="40% - Ênfase5 4 3 4 2 2 2" xfId="35196"/>
    <cellStyle name="20% - Ênfase6 4 3 4 2 2 2" xfId="35197"/>
    <cellStyle name="40% - Ênfase6 4 3 4 2 2 2" xfId="35198"/>
    <cellStyle name="20% - Ênfase1 6 5 2 2 2" xfId="35199"/>
    <cellStyle name="40% - Ênfase1 6 5 2 2 2" xfId="35200"/>
    <cellStyle name="20% - Ênfase2 6 5 2 2 2" xfId="35201"/>
    <cellStyle name="40% - Ênfase2 6 5 2 2 2" xfId="35202"/>
    <cellStyle name="20% - Ênfase3 6 5 2 2 2" xfId="35203"/>
    <cellStyle name="40% - Ênfase3 6 5 2 2 2" xfId="35204"/>
    <cellStyle name="20% - Ênfase4 6 5 2 2 2" xfId="35205"/>
    <cellStyle name="40% - Ênfase4 6 5 2 2 2" xfId="35206"/>
    <cellStyle name="20% - Ênfase5 6 5 2 2 2" xfId="35207"/>
    <cellStyle name="40% - Ênfase5 6 5 2 2 2" xfId="35208"/>
    <cellStyle name="20% - Ênfase6 6 5 2 2 2" xfId="35209"/>
    <cellStyle name="40% - Ênfase6 6 5 2 2 2" xfId="35210"/>
    <cellStyle name="Normal 4 3 5 2 2 2" xfId="35211"/>
    <cellStyle name="Nota 2 3 5 2 2 2" xfId="35212"/>
    <cellStyle name="Normal 5 3 5 2 2 2" xfId="35213"/>
    <cellStyle name="Nota 3 3 5 2 2 2" xfId="35214"/>
    <cellStyle name="20% - Ênfase1 2 3 5 2 2 2" xfId="35215"/>
    <cellStyle name="40% - Ênfase1 2 3 5 2 2 2" xfId="35216"/>
    <cellStyle name="20% - Ênfase2 2 3 5 2 2 2" xfId="35217"/>
    <cellStyle name="40% - Ênfase2 2 3 5 2 2 2" xfId="35218"/>
    <cellStyle name="20% - Ênfase3 2 3 5 2 2 2" xfId="35219"/>
    <cellStyle name="40% - Ênfase3 2 3 5 2 2 2" xfId="35220"/>
    <cellStyle name="20% - Ênfase4 2 3 5 2 2 2" xfId="35221"/>
    <cellStyle name="40% - Ênfase4 2 3 5 2 2 2" xfId="35222"/>
    <cellStyle name="20% - Ênfase5 2 3 5 2 2 2" xfId="35223"/>
    <cellStyle name="40% - Ênfase5 2 3 5 2 2 2" xfId="35224"/>
    <cellStyle name="20% - Ênfase6 2 3 5 2 2 2" xfId="35225"/>
    <cellStyle name="40% - Ênfase6 2 3 5 2 2 2" xfId="35226"/>
    <cellStyle name="Normal 7 3 5 2 2 2" xfId="35227"/>
    <cellStyle name="Nota 4 2 5 2 2 2" xfId="35228"/>
    <cellStyle name="20% - Ênfase1 3 2 5 2 2 2" xfId="35229"/>
    <cellStyle name="40% - Ênfase1 3 2 5 2 2 2" xfId="35230"/>
    <cellStyle name="20% - Ênfase2 3 2 5 2 2 2" xfId="35231"/>
    <cellStyle name="40% - Ênfase2 3 2 5 2 2 2" xfId="35232"/>
    <cellStyle name="20% - Ênfase3 3 2 5 2 2 2" xfId="35233"/>
    <cellStyle name="40% - Ênfase3 3 2 5 2 2 2" xfId="35234"/>
    <cellStyle name="20% - Ênfase4 3 2 5 2 2 2" xfId="35235"/>
    <cellStyle name="40% - Ênfase4 3 2 5 2 2 2" xfId="35236"/>
    <cellStyle name="20% - Ênfase5 3 2 5 2 2 2" xfId="35237"/>
    <cellStyle name="40% - Ênfase5 3 2 5 2 2 2" xfId="35238"/>
    <cellStyle name="20% - Ênfase6 3 2 5 2 2 2" xfId="35239"/>
    <cellStyle name="40% - Ênfase6 3 2 5 2 2 2" xfId="35240"/>
    <cellStyle name="Normal 8 2 5 2 2 2" xfId="35241"/>
    <cellStyle name="Nota 5 2 5 2 2 2" xfId="35242"/>
    <cellStyle name="20% - Ênfase1 4 2 5 2 2 2" xfId="35243"/>
    <cellStyle name="40% - Ênfase1 4 2 5 2 2 2" xfId="35244"/>
    <cellStyle name="20% - Ênfase2 4 2 5 2 2 2" xfId="35245"/>
    <cellStyle name="40% - Ênfase2 4 2 5 2 2 2" xfId="35246"/>
    <cellStyle name="20% - Ênfase3 4 2 5 2 2 2" xfId="35247"/>
    <cellStyle name="40% - Ênfase3 4 2 5 2 2 2" xfId="35248"/>
    <cellStyle name="20% - Ênfase4 4 2 5 2 2 2" xfId="35249"/>
    <cellStyle name="40% - Ênfase4 4 2 5 2 2 2" xfId="35250"/>
    <cellStyle name="20% - Ênfase5 4 2 5 2 2 2" xfId="35251"/>
    <cellStyle name="40% - Ênfase5 4 2 5 2 2 2" xfId="35252"/>
    <cellStyle name="20% - Ênfase6 4 2 5 2 2 2" xfId="35253"/>
    <cellStyle name="40% - Ênfase6 4 2 5 2 2 2" xfId="35254"/>
    <cellStyle name="Normal 13 2 2 2" xfId="35255"/>
    <cellStyle name="Normal 16 2 2" xfId="35256"/>
    <cellStyle name="Normal 2 6 2" xfId="35257"/>
    <cellStyle name="Normal 3 9 3 2" xfId="35258"/>
    <cellStyle name="Porcentagem 2 5 2" xfId="35259"/>
    <cellStyle name="Vírgula 5 6 2" xfId="35260"/>
    <cellStyle name="Vírgula 2 9 2" xfId="35261"/>
    <cellStyle name="Vírgula 3 7 2" xfId="35262"/>
    <cellStyle name="Vírgula 4 7 2" xfId="35263"/>
    <cellStyle name="Vírgula 4 2 5 2" xfId="35264"/>
    <cellStyle name="Vírgula 20 2 2" xfId="35265"/>
    <cellStyle name="Vírgula 2 2 6 2" xfId="35266"/>
    <cellStyle name="Vírgula 3 2 4 2" xfId="35267"/>
    <cellStyle name="Vírgula 4 3 4 2" xfId="35268"/>
    <cellStyle name="Vírgula 4 2 2 4 2" xfId="35269"/>
    <cellStyle name="Vírgula 21 2" xfId="35270"/>
    <cellStyle name="Separador de milhares 2 11 2" xfId="35271"/>
    <cellStyle name="Separador de milhares 3 8 2" xfId="35272"/>
    <cellStyle name="Separador de milhares 4 7 2" xfId="35273"/>
    <cellStyle name="Separador de milhares 5 8 2" xfId="35274"/>
    <cellStyle name="Separador de milhares 6 8 2" xfId="35275"/>
    <cellStyle name="Separador de milhares 7 6 2" xfId="35276"/>
    <cellStyle name="Normal 3 2 5 2" xfId="35277"/>
    <cellStyle name="Normal 6 9 2" xfId="35278"/>
    <cellStyle name="Comma 2 6 2" xfId="35279"/>
    <cellStyle name="Percent 2 6 2" xfId="35280"/>
    <cellStyle name="Separador de milhares 3 3 5 2" xfId="35281"/>
    <cellStyle name="Normal 6 2 5 2" xfId="35282"/>
    <cellStyle name="Comma 2 2 5 2" xfId="35283"/>
    <cellStyle name="Percent 2 2 4 2" xfId="35284"/>
    <cellStyle name="Normal 7 10 2" xfId="35285"/>
    <cellStyle name="Normal 8 15 2" xfId="35286"/>
    <cellStyle name="Comma 4 5 2" xfId="35287"/>
    <cellStyle name="Percent 3 5 2" xfId="35288"/>
    <cellStyle name="Normal 9 6 2" xfId="35289"/>
    <cellStyle name="Comma 5 5 2" xfId="35290"/>
    <cellStyle name="Normal 8 2 9 2" xfId="35291"/>
    <cellStyle name="Normal 8 3 8 2" xfId="35292"/>
    <cellStyle name="Normal 8 4 8 2" xfId="35293"/>
    <cellStyle name="Normal 8 5 8 2" xfId="35294"/>
    <cellStyle name="Normal 8 5 2 6 2" xfId="35295"/>
    <cellStyle name="Normal 7 2 10 2" xfId="35296"/>
    <cellStyle name="Vírgula 9 5 2" xfId="35297"/>
    <cellStyle name="Separador de milhares 2 2 7 2" xfId="35298"/>
    <cellStyle name="Separador de milhares 3 4 4 2" xfId="35299"/>
    <cellStyle name="Separador de milhares 4 3 4 2" xfId="35300"/>
    <cellStyle name="Separador de milhares 5 3 4 2" xfId="35301"/>
    <cellStyle name="Separador de milhares 6 3 4 2" xfId="35302"/>
    <cellStyle name="Separador de milhares 7 3 5 2" xfId="35303"/>
    <cellStyle name="Normal 3 2 2 4 2" xfId="35304"/>
    <cellStyle name="Normal 6 3 4 2" xfId="35305"/>
    <cellStyle name="Comma 2 3 4 2" xfId="35306"/>
    <cellStyle name="Percent 2 3 3 2" xfId="35307"/>
    <cellStyle name="Separador de milhares 3 3 2 4 2" xfId="35308"/>
    <cellStyle name="Normal 6 2 2 3 2" xfId="35309"/>
    <cellStyle name="Comma 2 2 2 3 2" xfId="35310"/>
    <cellStyle name="Percent 2 2 2 3 2" xfId="35311"/>
    <cellStyle name="Normal 7 3 9 2" xfId="35312"/>
    <cellStyle name="Comma 3 2 3 2" xfId="35313"/>
    <cellStyle name="Normal 8 6 6 2" xfId="35314"/>
    <cellStyle name="Comma 4 2 3 2" xfId="35315"/>
    <cellStyle name="Percent 3 2 3 2" xfId="35316"/>
    <cellStyle name="Normal 9 2 4 2" xfId="35317"/>
    <cellStyle name="Comma 5 2 3 2" xfId="35318"/>
    <cellStyle name="Normal 8 2 2 8 2" xfId="35319"/>
    <cellStyle name="Vírgula 13 2 3 2" xfId="35320"/>
    <cellStyle name="Vírgula 4 2 2 5 2" xfId="35321"/>
    <cellStyle name="Normal 8 3 2 6 2" xfId="35322"/>
    <cellStyle name="Normal 8 4 2 6 2" xfId="35323"/>
    <cellStyle name="Normal 8 5 3 4 2" xfId="35324"/>
    <cellStyle name="Normal 8 5 2 2 3 2" xfId="35325"/>
    <cellStyle name="Normal 7 2 2 8 2" xfId="35326"/>
    <cellStyle name="Vírgula 18 2 3 2" xfId="35327"/>
    <cellStyle name="Vírgula 12 2 4 2" xfId="35328"/>
    <cellStyle name="Normal 12 4 2 2" xfId="35329"/>
    <cellStyle name="Normal 3 8 4 2" xfId="35330"/>
    <cellStyle name="Percent 3 3 3 2" xfId="35331"/>
    <cellStyle name="Comma 2 4 3 2" xfId="35332"/>
    <cellStyle name="Comma 2 2 3 3 2" xfId="35333"/>
    <cellStyle name="Normal 6 7 3 2" xfId="35334"/>
    <cellStyle name="Normal 3 2 3 3 2" xfId="35335"/>
    <cellStyle name="Separador de milhares 2 9 3 2" xfId="35336"/>
    <cellStyle name="Normal 7 8 3 2" xfId="35337"/>
    <cellStyle name="Comma 2 3 2 3 2" xfId="35338"/>
    <cellStyle name="Separador de milhares 2 8 3 2" xfId="35339"/>
    <cellStyle name="Separador de milhares 3 6 3 2" xfId="35340"/>
    <cellStyle name="Separador de milhares 4 5 4 2" xfId="35341"/>
    <cellStyle name="Separador de milhares 5 5 4 2" xfId="35342"/>
    <cellStyle name="Separador de milhares 6 6 4 2" xfId="35343"/>
    <cellStyle name="Separador de milhares 7 4 3 2" xfId="35344"/>
    <cellStyle name="Comma 3 3 3 2" xfId="35345"/>
    <cellStyle name="Vírgula 7 2 3 2" xfId="35346"/>
    <cellStyle name="20% - Ênfase1 2 2 10 2" xfId="35347"/>
    <cellStyle name="20% - Ênfase1 2 2 2 7 2" xfId="35348"/>
    <cellStyle name="20% - Ênfase1 2 2 2 2 5 2" xfId="35349"/>
    <cellStyle name="20% - Ênfase1 2 2 2 3 5 2" xfId="35350"/>
    <cellStyle name="20% - Ênfase1 2 2 3 5 2" xfId="35351"/>
    <cellStyle name="20% - Ênfase1 2 2 4 5 2" xfId="35352"/>
    <cellStyle name="20% - Ênfase1 2 2 5 5 2" xfId="35353"/>
    <cellStyle name="20% - Ênfase1 2 3 9 2" xfId="35354"/>
    <cellStyle name="20% - Ênfase1 2 3 2 7 2" xfId="35355"/>
    <cellStyle name="20% - Ênfase1 2 3 2 2 5 2" xfId="35356"/>
    <cellStyle name="20% - Ênfase1 2 3 2 3 5 2" xfId="35357"/>
    <cellStyle name="20% - Ênfase1 2 3 3 5 2" xfId="35358"/>
    <cellStyle name="20% - Ênfase1 2 3 4 5 2" xfId="35359"/>
    <cellStyle name="20% - Ênfase1 2 5 7 2" xfId="35360"/>
    <cellStyle name="20% - Ênfase1 2 5 2 5 2" xfId="35361"/>
    <cellStyle name="20% - Ênfase1 2 5 3 5 2" xfId="35362"/>
    <cellStyle name="20% - Ênfase1 3 12 2" xfId="35363"/>
    <cellStyle name="20% - Ênfase1 3 2 9 2" xfId="35364"/>
    <cellStyle name="20% - Ênfase1 3 2 2 7 2" xfId="35365"/>
    <cellStyle name="20% - Ênfase1 3 2 2 2 5 2" xfId="35366"/>
    <cellStyle name="20% - Ênfase1 3 2 2 3 5 2" xfId="35367"/>
    <cellStyle name="20% - Ênfase1 3 2 3 5 2" xfId="35368"/>
    <cellStyle name="20% - Ênfase1 3 2 4 5 2" xfId="35369"/>
    <cellStyle name="20% - Ênfase1 3 3 8 2" xfId="35370"/>
    <cellStyle name="20% - Ênfase1 3 3 2 5 2" xfId="35371"/>
    <cellStyle name="20% - Ênfase1 3 3 3 5 2" xfId="35372"/>
    <cellStyle name="20% - Ênfase1 3 4 7 2" xfId="35373"/>
    <cellStyle name="20% - Ênfase1 3 4 2 5 2" xfId="35374"/>
    <cellStyle name="20% - Ênfase1 3 4 3 5 2" xfId="35375"/>
    <cellStyle name="20% - Ênfase1 3 5 5 2" xfId="35376"/>
    <cellStyle name="20% - Ênfase1 3 6 5 2" xfId="35377"/>
    <cellStyle name="20% - Ênfase1 3 7 5 2" xfId="35378"/>
    <cellStyle name="20% - Ênfase1 4 12 2" xfId="35379"/>
    <cellStyle name="20% - Ênfase1 4 2 9 2" xfId="35380"/>
    <cellStyle name="20% - Ênfase1 4 2 2 7 2" xfId="35381"/>
    <cellStyle name="20% - Ênfase1 4 2 2 2 5 2" xfId="35382"/>
    <cellStyle name="20% - Ênfase1 4 2 2 3 5 2" xfId="35383"/>
    <cellStyle name="20% - Ênfase1 4 2 3 5 2" xfId="35384"/>
    <cellStyle name="20% - Ênfase1 4 2 4 5 2" xfId="35385"/>
    <cellStyle name="20% - Ênfase1 4 3 8 2" xfId="35386"/>
    <cellStyle name="20% - Ênfase1 4 3 2 5 2" xfId="35387"/>
    <cellStyle name="20% - Ênfase1 4 3 3 5 2" xfId="35388"/>
    <cellStyle name="20% - Ênfase1 4 4 7 2" xfId="35389"/>
    <cellStyle name="20% - Ênfase1 4 4 2 5 2" xfId="35390"/>
    <cellStyle name="20% - Ênfase1 4 4 3 5 2" xfId="35391"/>
    <cellStyle name="20% - Ênfase1 4 5 5 2" xfId="35392"/>
    <cellStyle name="20% - Ênfase1 4 6 5 2" xfId="35393"/>
    <cellStyle name="20% - Ênfase1 4 7 5 2" xfId="35394"/>
    <cellStyle name="20% - Ênfase1 5 10 2" xfId="35395"/>
    <cellStyle name="20% - Ênfase1 5 2 7 2" xfId="35396"/>
    <cellStyle name="20% - Ênfase1 5 2 2 5 2" xfId="35397"/>
    <cellStyle name="20% - Ênfase1 5 2 3 5 2" xfId="35398"/>
    <cellStyle name="20% - Ênfase1 5 3 5 2" xfId="35399"/>
    <cellStyle name="20% - Ênfase1 5 4 5 2" xfId="35400"/>
    <cellStyle name="20% - Ênfase1 5 5 5 2" xfId="35401"/>
    <cellStyle name="20% - Ênfase1 6 9 2" xfId="35402"/>
    <cellStyle name="20% - Ênfase1 6 2 7 2" xfId="35403"/>
    <cellStyle name="20% - Ênfase1 6 2 2 5 2" xfId="35404"/>
    <cellStyle name="20% - Ênfase1 6 2 3 5 2" xfId="35405"/>
    <cellStyle name="20% - Ênfase1 6 3 5 2" xfId="35406"/>
    <cellStyle name="20% - Ênfase1 6 4 5 2" xfId="35407"/>
    <cellStyle name="20% - Ênfase1 8 7 2" xfId="35408"/>
    <cellStyle name="20% - Ênfase1 8 2 5 2" xfId="35409"/>
    <cellStyle name="20% - Ênfase1 8 3 5 2" xfId="35410"/>
    <cellStyle name="20% - Ênfase2 2 2 10 2" xfId="35411"/>
    <cellStyle name="20% - Ênfase2 2 2 2 7 2" xfId="35412"/>
    <cellStyle name="20% - Ênfase2 2 2 2 2 5 2" xfId="35413"/>
    <cellStyle name="20% - Ênfase2 2 2 2 3 5 2" xfId="35414"/>
    <cellStyle name="20% - Ênfase2 2 2 3 5 2" xfId="35415"/>
    <cellStyle name="20% - Ênfase2 2 2 4 5 2" xfId="35416"/>
    <cellStyle name="20% - Ênfase2 2 2 5 5 2" xfId="35417"/>
    <cellStyle name="20% - Ênfase2 2 3 9 2" xfId="35418"/>
    <cellStyle name="20% - Ênfase2 2 3 2 7 2" xfId="35419"/>
    <cellStyle name="20% - Ênfase2 2 3 2 2 5 2" xfId="35420"/>
    <cellStyle name="20% - Ênfase2 2 3 2 3 5 2" xfId="35421"/>
    <cellStyle name="20% - Ênfase2 2 3 3 5 2" xfId="35422"/>
    <cellStyle name="20% - Ênfase2 2 3 4 5 2" xfId="35423"/>
    <cellStyle name="20% - Ênfase2 2 5 7 2" xfId="35424"/>
    <cellStyle name="20% - Ênfase2 2 5 2 5 2" xfId="35425"/>
    <cellStyle name="20% - Ênfase2 2 5 3 5 2" xfId="35426"/>
    <cellStyle name="20% - Ênfase2 3 12 2" xfId="35427"/>
    <cellStyle name="20% - Ênfase2 3 2 9 2" xfId="35428"/>
    <cellStyle name="20% - Ênfase2 3 2 2 7 2" xfId="35429"/>
    <cellStyle name="20% - Ênfase2 3 2 2 2 5 2" xfId="35430"/>
    <cellStyle name="20% - Ênfase2 3 2 2 3 5 2" xfId="35431"/>
    <cellStyle name="20% - Ênfase2 3 2 3 5 2" xfId="35432"/>
    <cellStyle name="20% - Ênfase2 3 2 4 5 2" xfId="35433"/>
    <cellStyle name="20% - Ênfase2 3 3 8 2" xfId="35434"/>
    <cellStyle name="20% - Ênfase2 3 3 2 5 2" xfId="35435"/>
    <cellStyle name="20% - Ênfase2 3 3 3 5 2" xfId="35436"/>
    <cellStyle name="20% - Ênfase2 3 4 7 2" xfId="35437"/>
    <cellStyle name="20% - Ênfase2 3 4 2 5 2" xfId="35438"/>
    <cellStyle name="20% - Ênfase2 3 4 3 5 2" xfId="35439"/>
    <cellStyle name="20% - Ênfase2 3 5 5 2" xfId="35440"/>
    <cellStyle name="20% - Ênfase2 3 6 5 2" xfId="35441"/>
    <cellStyle name="20% - Ênfase2 3 7 5 2" xfId="35442"/>
    <cellStyle name="20% - Ênfase2 4 12 2" xfId="35443"/>
    <cellStyle name="20% - Ênfase2 4 2 9 2" xfId="35444"/>
    <cellStyle name="20% - Ênfase2 4 2 2 7 2" xfId="35445"/>
    <cellStyle name="20% - Ênfase2 4 2 2 2 5 2" xfId="35446"/>
    <cellStyle name="20% - Ênfase2 4 2 2 3 5 2" xfId="35447"/>
    <cellStyle name="20% - Ênfase2 4 2 3 5 2" xfId="35448"/>
    <cellStyle name="20% - Ênfase2 4 2 4 5 2" xfId="35449"/>
    <cellStyle name="20% - Ênfase2 4 3 8 2" xfId="35450"/>
    <cellStyle name="20% - Ênfase2 4 3 2 5 2" xfId="35451"/>
    <cellStyle name="20% - Ênfase2 4 3 3 5 2" xfId="35452"/>
    <cellStyle name="20% - Ênfase2 4 4 7 2" xfId="35453"/>
    <cellStyle name="20% - Ênfase2 4 4 2 5 2" xfId="35454"/>
    <cellStyle name="20% - Ênfase2 4 4 3 5 2" xfId="35455"/>
    <cellStyle name="20% - Ênfase2 4 5 5 2" xfId="35456"/>
    <cellStyle name="20% - Ênfase2 4 6 5 2" xfId="35457"/>
    <cellStyle name="20% - Ênfase2 4 7 5 2" xfId="35458"/>
    <cellStyle name="20% - Ênfase2 5 10 2" xfId="35459"/>
    <cellStyle name="20% - Ênfase2 5 2 7 2" xfId="35460"/>
    <cellStyle name="20% - Ênfase2 5 2 2 5 2" xfId="35461"/>
    <cellStyle name="20% - Ênfase2 5 2 3 5 2" xfId="35462"/>
    <cellStyle name="20% - Ênfase2 5 3 5 2" xfId="35463"/>
    <cellStyle name="20% - Ênfase2 5 4 5 2" xfId="35464"/>
    <cellStyle name="20% - Ênfase2 5 5 5 2" xfId="35465"/>
    <cellStyle name="20% - Ênfase2 6 9 2" xfId="35466"/>
    <cellStyle name="20% - Ênfase2 6 2 7 2" xfId="35467"/>
    <cellStyle name="20% - Ênfase2 6 2 2 5 2" xfId="35468"/>
    <cellStyle name="20% - Ênfase2 6 2 3 5 2" xfId="35469"/>
    <cellStyle name="20% - Ênfase2 6 3 5 2" xfId="35470"/>
    <cellStyle name="20% - Ênfase2 6 4 5 2" xfId="35471"/>
    <cellStyle name="20% - Ênfase2 8 7 2" xfId="35472"/>
    <cellStyle name="20% - Ênfase2 8 2 5 2" xfId="35473"/>
    <cellStyle name="20% - Ênfase2 8 3 5 2" xfId="35474"/>
    <cellStyle name="20% - Ênfase3 2 2 10 2" xfId="35475"/>
    <cellStyle name="20% - Ênfase3 2 2 2 7 2" xfId="35476"/>
    <cellStyle name="20% - Ênfase3 2 2 2 2 5 2" xfId="35477"/>
    <cellStyle name="20% - Ênfase3 2 2 2 3 5 2" xfId="35478"/>
    <cellStyle name="20% - Ênfase3 2 2 3 5 2" xfId="35479"/>
    <cellStyle name="20% - Ênfase3 2 2 4 5 2" xfId="35480"/>
    <cellStyle name="20% - Ênfase3 2 2 5 5 2" xfId="35481"/>
    <cellStyle name="20% - Ênfase3 2 3 9 2" xfId="35482"/>
    <cellStyle name="20% - Ênfase3 2 3 2 7 2" xfId="35483"/>
    <cellStyle name="20% - Ênfase3 2 3 2 2 5 2" xfId="35484"/>
    <cellStyle name="20% - Ênfase3 2 3 2 3 5 2" xfId="35485"/>
    <cellStyle name="20% - Ênfase3 2 3 3 5 2" xfId="35486"/>
    <cellStyle name="20% - Ênfase3 2 3 4 5 2" xfId="35487"/>
    <cellStyle name="20% - Ênfase3 2 5 7 2" xfId="35488"/>
    <cellStyle name="20% - Ênfase3 2 5 2 5 2" xfId="35489"/>
    <cellStyle name="20% - Ênfase3 2 5 3 5 2" xfId="35490"/>
    <cellStyle name="20% - Ênfase3 3 12 2" xfId="35491"/>
    <cellStyle name="20% - Ênfase3 3 2 9 2" xfId="35492"/>
    <cellStyle name="20% - Ênfase3 3 2 2 7 2" xfId="35493"/>
    <cellStyle name="20% - Ênfase3 3 2 2 2 5 2" xfId="35494"/>
    <cellStyle name="20% - Ênfase3 3 2 2 3 5 2" xfId="35495"/>
    <cellStyle name="20% - Ênfase3 3 2 3 5 2" xfId="35496"/>
    <cellStyle name="20% - Ênfase3 3 2 4 5 2" xfId="35497"/>
    <cellStyle name="20% - Ênfase3 3 3 8 2" xfId="35498"/>
    <cellStyle name="20% - Ênfase3 3 3 2 5 2" xfId="35499"/>
    <cellStyle name="20% - Ênfase3 3 3 3 5 2" xfId="35500"/>
    <cellStyle name="20% - Ênfase3 3 4 7 2" xfId="35501"/>
    <cellStyle name="20% - Ênfase3 3 4 2 5 2" xfId="35502"/>
    <cellStyle name="20% - Ênfase3 3 4 3 5 2" xfId="35503"/>
    <cellStyle name="20% - Ênfase3 3 5 5 2" xfId="35504"/>
    <cellStyle name="20% - Ênfase3 3 6 5 2" xfId="35505"/>
    <cellStyle name="20% - Ênfase3 3 7 5 2" xfId="35506"/>
    <cellStyle name="20% - Ênfase3 4 12 2" xfId="35507"/>
    <cellStyle name="20% - Ênfase3 4 2 9 2" xfId="35508"/>
    <cellStyle name="20% - Ênfase3 4 2 2 7 2" xfId="35509"/>
    <cellStyle name="20% - Ênfase3 4 2 2 2 5 2" xfId="35510"/>
    <cellStyle name="20% - Ênfase3 4 2 2 3 5 2" xfId="35511"/>
    <cellStyle name="20% - Ênfase3 4 2 3 5 2" xfId="35512"/>
    <cellStyle name="20% - Ênfase3 4 2 4 5 2" xfId="35513"/>
    <cellStyle name="20% - Ênfase3 4 3 8 2" xfId="35514"/>
    <cellStyle name="20% - Ênfase3 4 3 2 5 2" xfId="35515"/>
    <cellStyle name="20% - Ênfase3 4 3 3 5 2" xfId="35516"/>
    <cellStyle name="20% - Ênfase3 4 4 7 2" xfId="35517"/>
    <cellStyle name="20% - Ênfase3 4 4 2 5 2" xfId="35518"/>
    <cellStyle name="20% - Ênfase3 4 4 3 5 2" xfId="35519"/>
    <cellStyle name="20% - Ênfase3 4 5 5 2" xfId="35520"/>
    <cellStyle name="20% - Ênfase3 4 6 5 2" xfId="35521"/>
    <cellStyle name="20% - Ênfase3 4 7 5 2" xfId="35522"/>
    <cellStyle name="20% - Ênfase3 5 10 2" xfId="35523"/>
    <cellStyle name="20% - Ênfase3 5 2 7 2" xfId="35524"/>
    <cellStyle name="20% - Ênfase3 5 2 2 5 2" xfId="35525"/>
    <cellStyle name="20% - Ênfase3 5 2 3 5 2" xfId="35526"/>
    <cellStyle name="20% - Ênfase3 5 3 5 2" xfId="35527"/>
    <cellStyle name="20% - Ênfase3 5 4 5 2" xfId="35528"/>
    <cellStyle name="20% - Ênfase3 5 5 5 2" xfId="35529"/>
    <cellStyle name="20% - Ênfase3 6 9 2" xfId="35530"/>
    <cellStyle name="20% - Ênfase3 6 2 7 2" xfId="35531"/>
    <cellStyle name="20% - Ênfase3 6 2 2 5 2" xfId="35532"/>
    <cellStyle name="20% - Ênfase3 6 2 3 5 2" xfId="35533"/>
    <cellStyle name="20% - Ênfase3 6 3 5 2" xfId="35534"/>
    <cellStyle name="20% - Ênfase3 6 4 5 2" xfId="35535"/>
    <cellStyle name="20% - Ênfase3 8 7 2" xfId="35536"/>
    <cellStyle name="20% - Ênfase3 8 2 5 2" xfId="35537"/>
    <cellStyle name="20% - Ênfase3 8 3 5 2" xfId="35538"/>
    <cellStyle name="20% - Ênfase4 2 2 10 2" xfId="35539"/>
    <cellStyle name="20% - Ênfase4 2 2 2 7 2" xfId="35540"/>
    <cellStyle name="20% - Ênfase4 2 2 2 2 5 2" xfId="35541"/>
    <cellStyle name="20% - Ênfase4 2 2 2 3 5 2" xfId="35542"/>
    <cellStyle name="20% - Ênfase4 2 2 3 5 2" xfId="35543"/>
    <cellStyle name="20% - Ênfase4 2 2 4 5 2" xfId="35544"/>
    <cellStyle name="20% - Ênfase4 2 2 5 5 2" xfId="35545"/>
    <cellStyle name="20% - Ênfase4 2 3 9 2" xfId="35546"/>
    <cellStyle name="20% - Ênfase4 2 3 2 7 2" xfId="35547"/>
    <cellStyle name="20% - Ênfase4 2 3 2 2 5 2" xfId="35548"/>
    <cellStyle name="20% - Ênfase4 2 3 2 3 5 2" xfId="35549"/>
    <cellStyle name="20% - Ênfase4 2 3 3 5 2" xfId="35550"/>
    <cellStyle name="20% - Ênfase4 2 3 4 5 2" xfId="35551"/>
    <cellStyle name="20% - Ênfase4 2 5 7 2" xfId="35552"/>
    <cellStyle name="20% - Ênfase4 2 5 2 5 2" xfId="35553"/>
    <cellStyle name="20% - Ênfase4 2 5 3 5 2" xfId="35554"/>
    <cellStyle name="20% - Ênfase4 3 12 2" xfId="35555"/>
    <cellStyle name="20% - Ênfase4 3 2 9 2" xfId="35556"/>
    <cellStyle name="20% - Ênfase4 3 2 2 7 2" xfId="35557"/>
    <cellStyle name="20% - Ênfase4 3 2 2 2 5 2" xfId="35558"/>
    <cellStyle name="20% - Ênfase4 3 2 2 3 5 2" xfId="35559"/>
    <cellStyle name="20% - Ênfase4 3 2 3 5 2" xfId="35560"/>
    <cellStyle name="20% - Ênfase4 3 2 4 5 2" xfId="35561"/>
    <cellStyle name="20% - Ênfase4 3 3 8 2" xfId="35562"/>
    <cellStyle name="20% - Ênfase4 3 3 2 5 2" xfId="35563"/>
    <cellStyle name="20% - Ênfase4 3 3 3 5 2" xfId="35564"/>
    <cellStyle name="20% - Ênfase4 3 4 7 2" xfId="35565"/>
    <cellStyle name="20% - Ênfase4 3 4 2 5 2" xfId="35566"/>
    <cellStyle name="20% - Ênfase4 3 4 3 5 2" xfId="35567"/>
    <cellStyle name="20% - Ênfase4 3 5 5 2" xfId="35568"/>
    <cellStyle name="20% - Ênfase4 3 6 5 2" xfId="35569"/>
    <cellStyle name="20% - Ênfase4 3 7 5 2" xfId="35570"/>
    <cellStyle name="20% - Ênfase4 4 12 2" xfId="35571"/>
    <cellStyle name="20% - Ênfase4 4 2 9 2" xfId="35572"/>
    <cellStyle name="20% - Ênfase4 4 2 2 7 2" xfId="35573"/>
    <cellStyle name="20% - Ênfase4 4 2 2 2 5 2" xfId="35574"/>
    <cellStyle name="20% - Ênfase4 4 2 2 3 5 2" xfId="35575"/>
    <cellStyle name="20% - Ênfase4 4 2 3 5 2" xfId="35576"/>
    <cellStyle name="20% - Ênfase4 4 2 4 5 2" xfId="35577"/>
    <cellStyle name="20% - Ênfase4 4 3 8 2" xfId="35578"/>
    <cellStyle name="20% - Ênfase4 4 3 2 5 2" xfId="35579"/>
    <cellStyle name="20% - Ênfase4 4 3 3 5 2" xfId="35580"/>
    <cellStyle name="20% - Ênfase4 4 4 7 2" xfId="35581"/>
    <cellStyle name="20% - Ênfase4 4 4 2 5 2" xfId="35582"/>
    <cellStyle name="20% - Ênfase4 4 4 3 5 2" xfId="35583"/>
    <cellStyle name="20% - Ênfase4 4 5 5 2" xfId="35584"/>
    <cellStyle name="20% - Ênfase4 4 6 5 2" xfId="35585"/>
    <cellStyle name="20% - Ênfase4 4 7 5 2" xfId="35586"/>
    <cellStyle name="20% - Ênfase4 5 10 2" xfId="35587"/>
    <cellStyle name="20% - Ênfase4 5 2 7 2" xfId="35588"/>
    <cellStyle name="20% - Ênfase4 5 2 2 5 2" xfId="35589"/>
    <cellStyle name="20% - Ênfase4 5 2 3 5 2" xfId="35590"/>
    <cellStyle name="20% - Ênfase4 5 3 5 2" xfId="35591"/>
    <cellStyle name="20% - Ênfase4 5 4 5 2" xfId="35592"/>
    <cellStyle name="20% - Ênfase4 5 5 5 2" xfId="35593"/>
    <cellStyle name="20% - Ênfase4 6 9 2" xfId="35594"/>
    <cellStyle name="20% - Ênfase4 6 2 7 2" xfId="35595"/>
    <cellStyle name="20% - Ênfase4 6 2 2 5 2" xfId="35596"/>
    <cellStyle name="20% - Ênfase4 6 2 3 5 2" xfId="35597"/>
    <cellStyle name="20% - Ênfase4 6 3 5 2" xfId="35598"/>
    <cellStyle name="20% - Ênfase4 6 4 5 2" xfId="35599"/>
    <cellStyle name="20% - Ênfase4 8 7 2" xfId="35600"/>
    <cellStyle name="20% - Ênfase4 8 2 5 2" xfId="35601"/>
    <cellStyle name="20% - Ênfase4 8 3 5 2" xfId="35602"/>
    <cellStyle name="20% - Ênfase5 2 2 10 2" xfId="35603"/>
    <cellStyle name="20% - Ênfase5 2 2 2 7 2" xfId="35604"/>
    <cellStyle name="20% - Ênfase5 2 2 2 2 5 2" xfId="35605"/>
    <cellStyle name="20% - Ênfase5 2 2 2 3 5 2" xfId="35606"/>
    <cellStyle name="20% - Ênfase5 2 2 3 5 2" xfId="35607"/>
    <cellStyle name="20% - Ênfase5 2 2 4 5 2" xfId="35608"/>
    <cellStyle name="20% - Ênfase5 2 2 5 5 2" xfId="35609"/>
    <cellStyle name="20% - Ênfase5 2 3 9 2" xfId="35610"/>
    <cellStyle name="20% - Ênfase5 2 3 2 7 2" xfId="35611"/>
    <cellStyle name="20% - Ênfase5 2 3 2 2 5 2" xfId="35612"/>
    <cellStyle name="20% - Ênfase5 2 3 2 3 5 2" xfId="35613"/>
    <cellStyle name="20% - Ênfase5 2 3 3 5 2" xfId="35614"/>
    <cellStyle name="20% - Ênfase5 2 3 4 5 2" xfId="35615"/>
    <cellStyle name="20% - Ênfase5 2 5 7 2" xfId="35616"/>
    <cellStyle name="20% - Ênfase5 2 5 2 5 2" xfId="35617"/>
    <cellStyle name="20% - Ênfase5 2 5 3 5 2" xfId="35618"/>
    <cellStyle name="20% - Ênfase5 3 12 2" xfId="35619"/>
    <cellStyle name="20% - Ênfase5 3 2 9 2" xfId="35620"/>
    <cellStyle name="20% - Ênfase5 3 2 2 7 2" xfId="35621"/>
    <cellStyle name="20% - Ênfase5 3 2 2 2 5 2" xfId="35622"/>
    <cellStyle name="20% - Ênfase5 3 2 2 3 5 2" xfId="35623"/>
    <cellStyle name="20% - Ênfase5 3 2 3 5 2" xfId="35624"/>
    <cellStyle name="20% - Ênfase5 3 2 4 5 2" xfId="35625"/>
    <cellStyle name="20% - Ênfase5 3 3 8 2" xfId="35626"/>
    <cellStyle name="20% - Ênfase5 3 3 2 5 2" xfId="35627"/>
    <cellStyle name="20% - Ênfase5 3 3 3 5 2" xfId="35628"/>
    <cellStyle name="20% - Ênfase5 3 4 7 2" xfId="35629"/>
    <cellStyle name="20% - Ênfase5 3 4 2 5 2" xfId="35630"/>
    <cellStyle name="20% - Ênfase5 3 4 3 5 2" xfId="35631"/>
    <cellStyle name="20% - Ênfase5 3 5 5 2" xfId="35632"/>
    <cellStyle name="20% - Ênfase5 3 6 5 2" xfId="35633"/>
    <cellStyle name="20% - Ênfase5 3 7 5 2" xfId="35634"/>
    <cellStyle name="20% - Ênfase5 4 12 2" xfId="35635"/>
    <cellStyle name="20% - Ênfase5 4 2 9 2" xfId="35636"/>
    <cellStyle name="20% - Ênfase5 4 2 2 7 2" xfId="35637"/>
    <cellStyle name="20% - Ênfase5 4 2 2 2 5 2" xfId="35638"/>
    <cellStyle name="20% - Ênfase5 4 2 2 3 5 2" xfId="35639"/>
    <cellStyle name="20% - Ênfase5 4 2 3 5 2" xfId="35640"/>
    <cellStyle name="20% - Ênfase5 4 2 4 5 2" xfId="35641"/>
    <cellStyle name="20% - Ênfase5 4 3 8 2" xfId="35642"/>
    <cellStyle name="20% - Ênfase5 4 3 2 5 2" xfId="35643"/>
    <cellStyle name="20% - Ênfase5 4 3 3 5 2" xfId="35644"/>
    <cellStyle name="20% - Ênfase5 4 4 7 2" xfId="35645"/>
    <cellStyle name="20% - Ênfase5 4 4 2 5 2" xfId="35646"/>
    <cellStyle name="20% - Ênfase5 4 4 3 5 2" xfId="35647"/>
    <cellStyle name="20% - Ênfase5 4 5 5 2" xfId="35648"/>
    <cellStyle name="20% - Ênfase5 4 6 5 2" xfId="35649"/>
    <cellStyle name="20% - Ênfase5 4 7 5 2" xfId="35650"/>
    <cellStyle name="20% - Ênfase5 5 10 2" xfId="35651"/>
    <cellStyle name="20% - Ênfase5 5 2 7 2" xfId="35652"/>
    <cellStyle name="20% - Ênfase5 5 2 2 5 2" xfId="35653"/>
    <cellStyle name="20% - Ênfase5 5 2 3 5 2" xfId="35654"/>
    <cellStyle name="20% - Ênfase5 5 3 5 2" xfId="35655"/>
    <cellStyle name="20% - Ênfase5 5 4 5 2" xfId="35656"/>
    <cellStyle name="20% - Ênfase5 5 5 5 2" xfId="35657"/>
    <cellStyle name="20% - Ênfase5 6 9 2" xfId="35658"/>
    <cellStyle name="20% - Ênfase5 6 2 7 2" xfId="35659"/>
    <cellStyle name="20% - Ênfase5 6 2 2 5 2" xfId="35660"/>
    <cellStyle name="20% - Ênfase5 6 2 3 5 2" xfId="35661"/>
    <cellStyle name="20% - Ênfase5 6 3 5 2" xfId="35662"/>
    <cellStyle name="20% - Ênfase5 6 4 5 2" xfId="35663"/>
    <cellStyle name="20% - Ênfase5 8 7 2" xfId="35664"/>
    <cellStyle name="20% - Ênfase5 8 2 5 2" xfId="35665"/>
    <cellStyle name="20% - Ênfase5 8 3 5 2" xfId="35666"/>
    <cellStyle name="20% - Ênfase6 2 2 10 2" xfId="35667"/>
    <cellStyle name="20% - Ênfase6 2 2 2 7 2" xfId="35668"/>
    <cellStyle name="20% - Ênfase6 2 2 2 2 5 2" xfId="35669"/>
    <cellStyle name="20% - Ênfase6 2 2 2 3 5 2" xfId="35670"/>
    <cellStyle name="20% - Ênfase6 2 2 3 5 2" xfId="35671"/>
    <cellStyle name="20% - Ênfase6 2 2 4 5 2" xfId="35672"/>
    <cellStyle name="20% - Ênfase6 2 2 5 5 2" xfId="35673"/>
    <cellStyle name="20% - Ênfase6 2 3 9 2" xfId="35674"/>
    <cellStyle name="20% - Ênfase6 2 3 2 7 2" xfId="35675"/>
    <cellStyle name="20% - Ênfase6 2 3 2 2 5 2" xfId="35676"/>
    <cellStyle name="20% - Ênfase6 2 3 2 3 5 2" xfId="35677"/>
    <cellStyle name="20% - Ênfase6 2 3 3 5 2" xfId="35678"/>
    <cellStyle name="20% - Ênfase6 2 3 4 5 2" xfId="35679"/>
    <cellStyle name="20% - Ênfase6 2 5 7 2" xfId="35680"/>
    <cellStyle name="20% - Ênfase6 2 5 2 5 2" xfId="35681"/>
    <cellStyle name="20% - Ênfase6 2 5 3 5 2" xfId="35682"/>
    <cellStyle name="20% - Ênfase6 3 12 2" xfId="35683"/>
    <cellStyle name="20% - Ênfase6 3 2 9 2" xfId="35684"/>
    <cellStyle name="20% - Ênfase6 3 2 2 7 2" xfId="35685"/>
    <cellStyle name="20% - Ênfase6 3 2 2 2 5 2" xfId="35686"/>
    <cellStyle name="20% - Ênfase6 3 2 2 3 5 2" xfId="35687"/>
    <cellStyle name="20% - Ênfase6 3 2 3 5 2" xfId="35688"/>
    <cellStyle name="20% - Ênfase6 3 2 4 5 2" xfId="35689"/>
    <cellStyle name="20% - Ênfase6 3 3 8 2" xfId="35690"/>
    <cellStyle name="20% - Ênfase6 3 3 2 5 2" xfId="35691"/>
    <cellStyle name="20% - Ênfase6 3 3 3 5 2" xfId="35692"/>
    <cellStyle name="20% - Ênfase6 3 4 7 2" xfId="35693"/>
    <cellStyle name="20% - Ênfase6 3 4 2 5 2" xfId="35694"/>
    <cellStyle name="20% - Ênfase6 3 4 3 5 2" xfId="35695"/>
    <cellStyle name="20% - Ênfase6 3 5 5 2" xfId="35696"/>
    <cellStyle name="20% - Ênfase6 3 6 5 2" xfId="35697"/>
    <cellStyle name="20% - Ênfase6 3 7 5 2" xfId="35698"/>
    <cellStyle name="20% - Ênfase6 4 12 2" xfId="35699"/>
    <cellStyle name="20% - Ênfase6 4 2 9 2" xfId="35700"/>
    <cellStyle name="20% - Ênfase6 4 2 2 7 2" xfId="35701"/>
    <cellStyle name="20% - Ênfase6 4 2 2 2 5 2" xfId="35702"/>
    <cellStyle name="20% - Ênfase6 4 2 2 3 5 2" xfId="35703"/>
    <cellStyle name="20% - Ênfase6 4 2 3 5 2" xfId="35704"/>
    <cellStyle name="20% - Ênfase6 4 2 4 5 2" xfId="35705"/>
    <cellStyle name="20% - Ênfase6 4 3 8 2" xfId="35706"/>
    <cellStyle name="20% - Ênfase6 4 3 2 5 2" xfId="35707"/>
    <cellStyle name="20% - Ênfase6 4 3 3 5 2" xfId="35708"/>
    <cellStyle name="20% - Ênfase6 4 4 7 2" xfId="35709"/>
    <cellStyle name="20% - Ênfase6 4 4 2 5 2" xfId="35710"/>
    <cellStyle name="20% - Ênfase6 4 4 3 5 2" xfId="35711"/>
    <cellStyle name="20% - Ênfase6 4 5 5 2" xfId="35712"/>
    <cellStyle name="20% - Ênfase6 4 6 5 2" xfId="35713"/>
    <cellStyle name="20% - Ênfase6 4 7 5 2" xfId="35714"/>
    <cellStyle name="20% - Ênfase6 5 10 2" xfId="35715"/>
    <cellStyle name="20% - Ênfase6 5 2 7 2" xfId="35716"/>
    <cellStyle name="20% - Ênfase6 5 2 2 5 2" xfId="35717"/>
    <cellStyle name="20% - Ênfase6 5 2 3 5 2" xfId="35718"/>
    <cellStyle name="20% - Ênfase6 5 3 5 2" xfId="35719"/>
    <cellStyle name="20% - Ênfase6 5 4 5 2" xfId="35720"/>
    <cellStyle name="20% - Ênfase6 5 5 5 2" xfId="35721"/>
    <cellStyle name="20% - Ênfase6 6 9 2" xfId="35722"/>
    <cellStyle name="20% - Ênfase6 6 2 7 2" xfId="35723"/>
    <cellStyle name="20% - Ênfase6 6 2 2 5 2" xfId="35724"/>
    <cellStyle name="20% - Ênfase6 6 2 3 5 2" xfId="35725"/>
    <cellStyle name="20% - Ênfase6 6 3 5 2" xfId="35726"/>
    <cellStyle name="20% - Ênfase6 6 4 5 2" xfId="35727"/>
    <cellStyle name="20% - Ênfase6 8 7 2" xfId="35728"/>
    <cellStyle name="20% - Ênfase6 8 2 5 2" xfId="35729"/>
    <cellStyle name="20% - Ênfase6 8 3 5 2" xfId="35730"/>
    <cellStyle name="40% - Ênfase1 2 2 10 2" xfId="35731"/>
    <cellStyle name="40% - Ênfase1 2 2 2 7 2" xfId="35732"/>
    <cellStyle name="40% - Ênfase1 2 2 2 2 5 2" xfId="35733"/>
    <cellStyle name="40% - Ênfase1 2 2 2 3 5 2" xfId="35734"/>
    <cellStyle name="40% - Ênfase1 2 2 3 5 2" xfId="35735"/>
    <cellStyle name="40% - Ênfase1 2 2 4 5 2" xfId="35736"/>
    <cellStyle name="40% - Ênfase1 2 2 5 5 2" xfId="35737"/>
    <cellStyle name="40% - Ênfase1 2 3 9 2" xfId="35738"/>
    <cellStyle name="40% - Ênfase1 2 3 2 7 2" xfId="35739"/>
    <cellStyle name="40% - Ênfase1 2 3 2 2 5 2" xfId="35740"/>
    <cellStyle name="40% - Ênfase1 2 3 2 3 5 2" xfId="35741"/>
    <cellStyle name="40% - Ênfase1 2 3 3 5 2" xfId="35742"/>
    <cellStyle name="40% - Ênfase1 2 3 4 5 2" xfId="35743"/>
    <cellStyle name="40% - Ênfase1 2 5 7 2" xfId="35744"/>
    <cellStyle name="40% - Ênfase1 2 5 2 5 2" xfId="35745"/>
    <cellStyle name="40% - Ênfase1 2 5 3 5 2" xfId="35746"/>
    <cellStyle name="40% - Ênfase1 3 12 2" xfId="35747"/>
    <cellStyle name="40% - Ênfase1 3 2 9 2" xfId="35748"/>
    <cellStyle name="40% - Ênfase1 3 2 2 7 2" xfId="35749"/>
    <cellStyle name="40% - Ênfase1 3 2 2 2 5 2" xfId="35750"/>
    <cellStyle name="40% - Ênfase1 3 2 2 3 5 2" xfId="35751"/>
    <cellStyle name="40% - Ênfase1 3 2 3 5 2" xfId="35752"/>
    <cellStyle name="40% - Ênfase1 3 2 4 5 2" xfId="35753"/>
    <cellStyle name="40% - Ênfase1 3 3 8 2" xfId="35754"/>
    <cellStyle name="40% - Ênfase1 3 3 2 5 2" xfId="35755"/>
    <cellStyle name="40% - Ênfase1 3 3 3 5 2" xfId="35756"/>
    <cellStyle name="40% - Ênfase1 3 4 7 2" xfId="35757"/>
    <cellStyle name="40% - Ênfase1 3 4 2 5 2" xfId="35758"/>
    <cellStyle name="40% - Ênfase1 3 4 3 5 2" xfId="35759"/>
    <cellStyle name="40% - Ênfase1 3 5 5 2" xfId="35760"/>
    <cellStyle name="40% - Ênfase1 3 6 5 2" xfId="35761"/>
    <cellStyle name="40% - Ênfase1 3 7 5 2" xfId="35762"/>
    <cellStyle name="40% - Ênfase1 4 12 2" xfId="35763"/>
    <cellStyle name="40% - Ênfase1 4 2 9 2" xfId="35764"/>
    <cellStyle name="40% - Ênfase1 4 2 2 7 2" xfId="35765"/>
    <cellStyle name="40% - Ênfase1 4 2 2 2 5 2" xfId="35766"/>
    <cellStyle name="40% - Ênfase1 4 2 2 3 5 2" xfId="35767"/>
    <cellStyle name="40% - Ênfase1 4 2 3 5 2" xfId="35768"/>
    <cellStyle name="40% - Ênfase1 4 2 4 5 2" xfId="35769"/>
    <cellStyle name="40% - Ênfase1 4 3 8 2" xfId="35770"/>
    <cellStyle name="40% - Ênfase1 4 3 2 5 2" xfId="35771"/>
    <cellStyle name="40% - Ênfase1 4 3 3 5 2" xfId="35772"/>
    <cellStyle name="40% - Ênfase1 4 4 7 2" xfId="35773"/>
    <cellStyle name="40% - Ênfase1 4 4 2 5 2" xfId="35774"/>
    <cellStyle name="40% - Ênfase1 4 4 3 5 2" xfId="35775"/>
    <cellStyle name="40% - Ênfase1 4 5 5 2" xfId="35776"/>
    <cellStyle name="40% - Ênfase1 4 6 5 2" xfId="35777"/>
    <cellStyle name="40% - Ênfase1 4 7 5 2" xfId="35778"/>
    <cellStyle name="40% - Ênfase1 5 10 2" xfId="35779"/>
    <cellStyle name="40% - Ênfase1 5 2 7 2" xfId="35780"/>
    <cellStyle name="40% - Ênfase1 5 2 2 5 2" xfId="35781"/>
    <cellStyle name="40% - Ênfase1 5 2 3 5 2" xfId="35782"/>
    <cellStyle name="40% - Ênfase1 5 3 5 2" xfId="35783"/>
    <cellStyle name="40% - Ênfase1 5 4 5 2" xfId="35784"/>
    <cellStyle name="40% - Ênfase1 5 5 5 2" xfId="35785"/>
    <cellStyle name="40% - Ênfase1 6 9 2" xfId="35786"/>
    <cellStyle name="40% - Ênfase1 6 2 7 2" xfId="35787"/>
    <cellStyle name="40% - Ênfase1 6 2 2 5 2" xfId="35788"/>
    <cellStyle name="40% - Ênfase1 6 2 3 5 2" xfId="35789"/>
    <cellStyle name="40% - Ênfase1 6 3 5 2" xfId="35790"/>
    <cellStyle name="40% - Ênfase1 6 4 5 2" xfId="35791"/>
    <cellStyle name="40% - Ênfase1 8 7 2" xfId="35792"/>
    <cellStyle name="40% - Ênfase1 8 2 5 2" xfId="35793"/>
    <cellStyle name="40% - Ênfase1 8 3 5 2" xfId="35794"/>
    <cellStyle name="40% - Ênfase2 2 2 10 2" xfId="35795"/>
    <cellStyle name="40% - Ênfase2 2 2 2 7 2" xfId="35796"/>
    <cellStyle name="40% - Ênfase2 2 2 2 2 5 2" xfId="35797"/>
    <cellStyle name="40% - Ênfase2 2 2 2 3 5 2" xfId="35798"/>
    <cellStyle name="40% - Ênfase2 2 2 3 5 2" xfId="35799"/>
    <cellStyle name="40% - Ênfase2 2 2 4 5 2" xfId="35800"/>
    <cellStyle name="40% - Ênfase2 2 2 5 5 2" xfId="35801"/>
    <cellStyle name="40% - Ênfase2 2 3 9 2" xfId="35802"/>
    <cellStyle name="40% - Ênfase2 2 3 2 7 2" xfId="35803"/>
    <cellStyle name="40% - Ênfase2 2 3 2 2 5 2" xfId="35804"/>
    <cellStyle name="40% - Ênfase2 2 3 2 3 5 2" xfId="35805"/>
    <cellStyle name="40% - Ênfase2 2 3 3 5 2" xfId="35806"/>
    <cellStyle name="40% - Ênfase2 2 3 4 5 2" xfId="35807"/>
    <cellStyle name="40% - Ênfase2 2 5 7 2" xfId="35808"/>
    <cellStyle name="40% - Ênfase2 2 5 2 5 2" xfId="35809"/>
    <cellStyle name="40% - Ênfase2 2 5 3 5 2" xfId="35810"/>
    <cellStyle name="40% - Ênfase2 3 12 2" xfId="35811"/>
    <cellStyle name="40% - Ênfase2 3 2 9 2" xfId="35812"/>
    <cellStyle name="40% - Ênfase2 3 2 2 7 2" xfId="35813"/>
    <cellStyle name="40% - Ênfase2 3 2 2 2 5 2" xfId="35814"/>
    <cellStyle name="40% - Ênfase2 3 2 2 3 5 2" xfId="35815"/>
    <cellStyle name="40% - Ênfase2 3 2 3 5 2" xfId="35816"/>
    <cellStyle name="40% - Ênfase2 3 2 4 5 2" xfId="35817"/>
    <cellStyle name="40% - Ênfase2 3 3 8 2" xfId="35818"/>
    <cellStyle name="40% - Ênfase2 3 3 2 5 2" xfId="35819"/>
    <cellStyle name="40% - Ênfase2 3 3 3 5 2" xfId="35820"/>
    <cellStyle name="40% - Ênfase2 3 4 7 2" xfId="35821"/>
    <cellStyle name="40% - Ênfase2 3 4 2 5 2" xfId="35822"/>
    <cellStyle name="40% - Ênfase2 3 4 3 5 2" xfId="35823"/>
    <cellStyle name="40% - Ênfase2 3 5 5 2" xfId="35824"/>
    <cellStyle name="40% - Ênfase2 3 6 5 2" xfId="35825"/>
    <cellStyle name="40% - Ênfase2 3 7 5 2" xfId="35826"/>
    <cellStyle name="40% - Ênfase2 4 12 2" xfId="35827"/>
    <cellStyle name="40% - Ênfase2 4 2 9 2" xfId="35828"/>
    <cellStyle name="40% - Ênfase2 4 2 2 7 2" xfId="35829"/>
    <cellStyle name="40% - Ênfase2 4 2 2 2 5 2" xfId="35830"/>
    <cellStyle name="40% - Ênfase2 4 2 2 3 5 2" xfId="35831"/>
    <cellStyle name="40% - Ênfase2 4 2 3 5 2" xfId="35832"/>
    <cellStyle name="40% - Ênfase2 4 2 4 5 2" xfId="35833"/>
    <cellStyle name="40% - Ênfase2 4 3 8 2" xfId="35834"/>
    <cellStyle name="40% - Ênfase2 4 3 2 5 2" xfId="35835"/>
    <cellStyle name="40% - Ênfase2 4 3 3 5 2" xfId="35836"/>
    <cellStyle name="40% - Ênfase2 4 4 7 2" xfId="35837"/>
    <cellStyle name="40% - Ênfase2 4 4 2 5 2" xfId="35838"/>
    <cellStyle name="40% - Ênfase2 4 4 3 5 2" xfId="35839"/>
    <cellStyle name="40% - Ênfase2 4 5 5 2" xfId="35840"/>
    <cellStyle name="40% - Ênfase2 4 6 5 2" xfId="35841"/>
    <cellStyle name="40% - Ênfase2 4 7 5 2" xfId="35842"/>
    <cellStyle name="40% - Ênfase2 5 10 2" xfId="35843"/>
    <cellStyle name="40% - Ênfase2 5 2 7 2" xfId="35844"/>
    <cellStyle name="40% - Ênfase2 5 2 2 5 2" xfId="35845"/>
    <cellStyle name="40% - Ênfase2 5 2 3 5 2" xfId="35846"/>
    <cellStyle name="40% - Ênfase2 5 3 5 2" xfId="35847"/>
    <cellStyle name="40% - Ênfase2 5 4 5 2" xfId="35848"/>
    <cellStyle name="40% - Ênfase2 5 5 5 2" xfId="35849"/>
    <cellStyle name="40% - Ênfase2 6 9 2" xfId="35850"/>
    <cellStyle name="40% - Ênfase2 6 2 7 2" xfId="35851"/>
    <cellStyle name="40% - Ênfase2 6 2 2 5 2" xfId="35852"/>
    <cellStyle name="40% - Ênfase2 6 2 3 5 2" xfId="35853"/>
    <cellStyle name="40% - Ênfase2 6 3 5 2" xfId="35854"/>
    <cellStyle name="40% - Ênfase2 6 4 5 2" xfId="35855"/>
    <cellStyle name="40% - Ênfase2 8 7 2" xfId="35856"/>
    <cellStyle name="40% - Ênfase2 8 2 5 2" xfId="35857"/>
    <cellStyle name="40% - Ênfase2 8 3 5 2" xfId="35858"/>
    <cellStyle name="40% - Ênfase3 2 2 10 2" xfId="35859"/>
    <cellStyle name="40% - Ênfase3 2 2 2 7 2" xfId="35860"/>
    <cellStyle name="40% - Ênfase3 2 2 2 2 5 2" xfId="35861"/>
    <cellStyle name="40% - Ênfase3 2 2 2 3 5 2" xfId="35862"/>
    <cellStyle name="40% - Ênfase3 2 2 3 5 2" xfId="35863"/>
    <cellStyle name="40% - Ênfase3 2 2 4 5 2" xfId="35864"/>
    <cellStyle name="40% - Ênfase3 2 2 5 5 2" xfId="35865"/>
    <cellStyle name="40% - Ênfase3 2 3 9 2" xfId="35866"/>
    <cellStyle name="40% - Ênfase3 2 3 2 7 2" xfId="35867"/>
    <cellStyle name="40% - Ênfase3 2 3 2 2 5 2" xfId="35868"/>
    <cellStyle name="40% - Ênfase3 2 3 2 3 5 2" xfId="35869"/>
    <cellStyle name="40% - Ênfase3 2 3 3 5 2" xfId="35870"/>
    <cellStyle name="40% - Ênfase3 2 3 4 5 2" xfId="35871"/>
    <cellStyle name="40% - Ênfase3 2 5 7 2" xfId="35872"/>
    <cellStyle name="40% - Ênfase3 2 5 2 5 2" xfId="35873"/>
    <cellStyle name="40% - Ênfase3 2 5 3 5 2" xfId="35874"/>
    <cellStyle name="40% - Ênfase3 3 12 2" xfId="35875"/>
    <cellStyle name="40% - Ênfase3 3 2 9 2" xfId="35876"/>
    <cellStyle name="40% - Ênfase3 3 2 2 7 2" xfId="35877"/>
    <cellStyle name="40% - Ênfase3 3 2 2 2 5 2" xfId="35878"/>
    <cellStyle name="40% - Ênfase3 3 2 2 3 5 2" xfId="35879"/>
    <cellStyle name="40% - Ênfase3 3 2 3 5 2" xfId="35880"/>
    <cellStyle name="40% - Ênfase3 3 2 4 5 2" xfId="35881"/>
    <cellStyle name="40% - Ênfase3 3 3 8 2" xfId="35882"/>
    <cellStyle name="40% - Ênfase3 3 3 2 5 2" xfId="35883"/>
    <cellStyle name="40% - Ênfase3 3 3 3 5 2" xfId="35884"/>
    <cellStyle name="40% - Ênfase3 3 4 7 2" xfId="35885"/>
    <cellStyle name="40% - Ênfase3 3 4 2 5 2" xfId="35886"/>
    <cellStyle name="40% - Ênfase3 3 4 3 5 2" xfId="35887"/>
    <cellStyle name="40% - Ênfase3 3 5 5 2" xfId="35888"/>
    <cellStyle name="40% - Ênfase3 3 6 5 2" xfId="35889"/>
    <cellStyle name="40% - Ênfase3 3 7 5 2" xfId="35890"/>
    <cellStyle name="40% - Ênfase3 4 12 2" xfId="35891"/>
    <cellStyle name="40% - Ênfase3 4 2 9 2" xfId="35892"/>
    <cellStyle name="40% - Ênfase3 4 2 2 7 2" xfId="35893"/>
    <cellStyle name="40% - Ênfase3 4 2 2 2 5 2" xfId="35894"/>
    <cellStyle name="40% - Ênfase3 4 2 2 3 5 2" xfId="35895"/>
    <cellStyle name="40% - Ênfase3 4 2 3 5 2" xfId="35896"/>
    <cellStyle name="40% - Ênfase3 4 2 4 5 2" xfId="35897"/>
    <cellStyle name="40% - Ênfase3 4 3 8 2" xfId="35898"/>
    <cellStyle name="40% - Ênfase3 4 3 2 5 2" xfId="35899"/>
    <cellStyle name="40% - Ênfase3 4 3 3 5 2" xfId="35900"/>
    <cellStyle name="40% - Ênfase3 4 4 7 2" xfId="35901"/>
    <cellStyle name="40% - Ênfase3 4 4 2 5 2" xfId="35902"/>
    <cellStyle name="40% - Ênfase3 4 4 3 5 2" xfId="35903"/>
    <cellStyle name="40% - Ênfase3 4 5 5 2" xfId="35904"/>
    <cellStyle name="40% - Ênfase3 4 6 5 2" xfId="35905"/>
    <cellStyle name="40% - Ênfase3 4 7 5 2" xfId="35906"/>
    <cellStyle name="40% - Ênfase3 5 10 2" xfId="35907"/>
    <cellStyle name="40% - Ênfase3 5 2 7 2" xfId="35908"/>
    <cellStyle name="40% - Ênfase3 5 2 2 5 2" xfId="35909"/>
    <cellStyle name="40% - Ênfase3 5 2 3 5 2" xfId="35910"/>
    <cellStyle name="40% - Ênfase3 5 3 5 2" xfId="35911"/>
    <cellStyle name="40% - Ênfase3 5 4 5 2" xfId="35912"/>
    <cellStyle name="40% - Ênfase3 5 5 5 2" xfId="35913"/>
    <cellStyle name="40% - Ênfase3 6 9 2" xfId="35914"/>
    <cellStyle name="40% - Ênfase3 6 2 7 2" xfId="35915"/>
    <cellStyle name="40% - Ênfase3 6 2 2 5 2" xfId="35916"/>
    <cellStyle name="40% - Ênfase3 6 2 3 5 2" xfId="35917"/>
    <cellStyle name="40% - Ênfase3 6 3 5 2" xfId="35918"/>
    <cellStyle name="40% - Ênfase3 6 4 5 2" xfId="35919"/>
    <cellStyle name="40% - Ênfase3 8 7 2" xfId="35920"/>
    <cellStyle name="40% - Ênfase3 8 2 5 2" xfId="35921"/>
    <cellStyle name="40% - Ênfase3 8 3 5 2" xfId="35922"/>
    <cellStyle name="40% - Ênfase4 2 2 10 2" xfId="35923"/>
    <cellStyle name="40% - Ênfase4 2 2 2 7 2" xfId="35924"/>
    <cellStyle name="40% - Ênfase4 2 2 2 2 5 2" xfId="35925"/>
    <cellStyle name="40% - Ênfase4 2 2 2 3 5 2" xfId="35926"/>
    <cellStyle name="40% - Ênfase4 2 2 3 5 2" xfId="35927"/>
    <cellStyle name="40% - Ênfase4 2 2 4 5 2" xfId="35928"/>
    <cellStyle name="40% - Ênfase4 2 2 5 5 2" xfId="35929"/>
    <cellStyle name="40% - Ênfase4 2 3 9 2" xfId="35930"/>
    <cellStyle name="40% - Ênfase4 2 3 2 7 2" xfId="35931"/>
    <cellStyle name="40% - Ênfase4 2 3 2 2 5 2" xfId="35932"/>
    <cellStyle name="40% - Ênfase4 2 3 2 3 5 2" xfId="35933"/>
    <cellStyle name="40% - Ênfase4 2 3 3 5 2" xfId="35934"/>
    <cellStyle name="40% - Ênfase4 2 3 4 5 2" xfId="35935"/>
    <cellStyle name="40% - Ênfase4 2 5 7 2" xfId="35936"/>
    <cellStyle name="40% - Ênfase4 2 5 2 5 2" xfId="35937"/>
    <cellStyle name="40% - Ênfase4 2 5 3 5 2" xfId="35938"/>
    <cellStyle name="40% - Ênfase4 3 12 2" xfId="35939"/>
    <cellStyle name="40% - Ênfase4 3 2 9 2" xfId="35940"/>
    <cellStyle name="40% - Ênfase4 3 2 2 7 2" xfId="35941"/>
    <cellStyle name="40% - Ênfase4 3 2 2 2 5 2" xfId="35942"/>
    <cellStyle name="40% - Ênfase4 3 2 2 3 5 2" xfId="35943"/>
    <cellStyle name="40% - Ênfase4 3 2 3 5 2" xfId="35944"/>
    <cellStyle name="40% - Ênfase4 3 2 4 5 2" xfId="35945"/>
    <cellStyle name="40% - Ênfase4 3 3 8 2" xfId="35946"/>
    <cellStyle name="40% - Ênfase4 3 3 2 5 2" xfId="35947"/>
    <cellStyle name="40% - Ênfase4 3 3 3 5 2" xfId="35948"/>
    <cellStyle name="40% - Ênfase4 3 4 7 2" xfId="35949"/>
    <cellStyle name="40% - Ênfase4 3 4 2 5 2" xfId="35950"/>
    <cellStyle name="40% - Ênfase4 3 4 3 5 2" xfId="35951"/>
    <cellStyle name="40% - Ênfase4 3 5 5 2" xfId="35952"/>
    <cellStyle name="40% - Ênfase4 3 6 5 2" xfId="35953"/>
    <cellStyle name="40% - Ênfase4 3 7 5 2" xfId="35954"/>
    <cellStyle name="40% - Ênfase4 4 12 2" xfId="35955"/>
    <cellStyle name="40% - Ênfase4 4 2 9 2" xfId="35956"/>
    <cellStyle name="40% - Ênfase4 4 2 2 7 2" xfId="35957"/>
    <cellStyle name="40% - Ênfase4 4 2 2 2 5 2" xfId="35958"/>
    <cellStyle name="40% - Ênfase4 4 2 2 3 5 2" xfId="35959"/>
    <cellStyle name="40% - Ênfase4 4 2 3 5 2" xfId="35960"/>
    <cellStyle name="40% - Ênfase4 4 2 4 5 2" xfId="35961"/>
    <cellStyle name="40% - Ênfase4 4 3 8 2" xfId="35962"/>
    <cellStyle name="40% - Ênfase4 4 3 2 5 2" xfId="35963"/>
    <cellStyle name="40% - Ênfase4 4 3 3 5 2" xfId="35964"/>
    <cellStyle name="40% - Ênfase4 4 4 7 2" xfId="35965"/>
    <cellStyle name="40% - Ênfase4 4 4 2 5 2" xfId="35966"/>
    <cellStyle name="40% - Ênfase4 4 4 3 5 2" xfId="35967"/>
    <cellStyle name="40% - Ênfase4 4 5 5 2" xfId="35968"/>
    <cellStyle name="40% - Ênfase4 4 6 5 2" xfId="35969"/>
    <cellStyle name="40% - Ênfase4 4 7 5 2" xfId="35970"/>
    <cellStyle name="40% - Ênfase4 5 10 2" xfId="35971"/>
    <cellStyle name="40% - Ênfase4 5 2 7 2" xfId="35972"/>
    <cellStyle name="40% - Ênfase4 5 2 2 5 2" xfId="35973"/>
    <cellStyle name="40% - Ênfase4 5 2 3 5 2" xfId="35974"/>
    <cellStyle name="40% - Ênfase4 5 3 5 2" xfId="35975"/>
    <cellStyle name="40% - Ênfase4 5 4 5 2" xfId="35976"/>
    <cellStyle name="40% - Ênfase4 5 5 5 2" xfId="35977"/>
    <cellStyle name="40% - Ênfase4 6 9 2" xfId="35978"/>
    <cellStyle name="40% - Ênfase4 6 2 7 2" xfId="35979"/>
    <cellStyle name="40% - Ênfase4 6 2 2 5 2" xfId="35980"/>
    <cellStyle name="40% - Ênfase4 6 2 3 5 2" xfId="35981"/>
    <cellStyle name="40% - Ênfase4 6 3 5 2" xfId="35982"/>
    <cellStyle name="40% - Ênfase4 6 4 5 2" xfId="35983"/>
    <cellStyle name="40% - Ênfase4 8 7 2" xfId="35984"/>
    <cellStyle name="40% - Ênfase4 8 2 5 2" xfId="35985"/>
    <cellStyle name="40% - Ênfase4 8 3 5 2" xfId="35986"/>
    <cellStyle name="40% - Ênfase5 2 2 10 2" xfId="35987"/>
    <cellStyle name="40% - Ênfase5 2 2 2 7 2" xfId="35988"/>
    <cellStyle name="40% - Ênfase5 2 2 2 2 5 2" xfId="35989"/>
    <cellStyle name="40% - Ênfase5 2 2 2 3 5 2" xfId="35990"/>
    <cellStyle name="40% - Ênfase5 2 2 3 5 2" xfId="35991"/>
    <cellStyle name="40% - Ênfase5 2 2 4 5 2" xfId="35992"/>
    <cellStyle name="40% - Ênfase5 2 2 5 5 2" xfId="35993"/>
    <cellStyle name="40% - Ênfase5 2 3 9 2" xfId="35994"/>
    <cellStyle name="40% - Ênfase5 2 3 2 7 2" xfId="35995"/>
    <cellStyle name="40% - Ênfase5 2 3 2 2 5 2" xfId="35996"/>
    <cellStyle name="40% - Ênfase5 2 3 2 3 5 2" xfId="35997"/>
    <cellStyle name="40% - Ênfase5 2 3 3 5 2" xfId="35998"/>
    <cellStyle name="40% - Ênfase5 2 3 4 5 2" xfId="35999"/>
    <cellStyle name="40% - Ênfase5 2 5 7 2" xfId="36000"/>
    <cellStyle name="40% - Ênfase5 2 5 2 5 2" xfId="36001"/>
    <cellStyle name="40% - Ênfase5 2 5 3 5 2" xfId="36002"/>
    <cellStyle name="40% - Ênfase5 3 12 2" xfId="36003"/>
    <cellStyle name="40% - Ênfase5 3 2 9 2" xfId="36004"/>
    <cellStyle name="40% - Ênfase5 3 2 2 7 2" xfId="36005"/>
    <cellStyle name="40% - Ênfase5 3 2 2 2 5 2" xfId="36006"/>
    <cellStyle name="40% - Ênfase5 3 2 2 3 5 2" xfId="36007"/>
    <cellStyle name="40% - Ênfase5 3 2 3 5 2" xfId="36008"/>
    <cellStyle name="40% - Ênfase5 3 2 4 5 2" xfId="36009"/>
    <cellStyle name="40% - Ênfase5 3 3 8 2" xfId="36010"/>
    <cellStyle name="40% - Ênfase5 3 3 2 5 2" xfId="36011"/>
    <cellStyle name="40% - Ênfase5 3 3 3 5 2" xfId="36012"/>
    <cellStyle name="40% - Ênfase5 3 4 7 2" xfId="36013"/>
    <cellStyle name="40% - Ênfase5 3 4 2 5 2" xfId="36014"/>
    <cellStyle name="40% - Ênfase5 3 4 3 5 2" xfId="36015"/>
    <cellStyle name="40% - Ênfase5 3 5 5 2" xfId="36016"/>
    <cellStyle name="40% - Ênfase5 3 6 5 2" xfId="36017"/>
    <cellStyle name="40% - Ênfase5 3 7 5 2" xfId="36018"/>
    <cellStyle name="40% - Ênfase5 4 12 2" xfId="36019"/>
    <cellStyle name="40% - Ênfase5 4 2 9 2" xfId="36020"/>
    <cellStyle name="40% - Ênfase5 4 2 2 7 2" xfId="36021"/>
    <cellStyle name="40% - Ênfase5 4 2 2 2 5 2" xfId="36022"/>
    <cellStyle name="40% - Ênfase5 4 2 2 3 5 2" xfId="36023"/>
    <cellStyle name="40% - Ênfase5 4 2 3 5 2" xfId="36024"/>
    <cellStyle name="40% - Ênfase5 4 2 4 5 2" xfId="36025"/>
    <cellStyle name="40% - Ênfase5 4 3 8 2" xfId="36026"/>
    <cellStyle name="40% - Ênfase5 4 3 2 5 2" xfId="36027"/>
    <cellStyle name="40% - Ênfase5 4 3 3 5 2" xfId="36028"/>
    <cellStyle name="40% - Ênfase5 4 4 7 2" xfId="36029"/>
    <cellStyle name="40% - Ênfase5 4 4 2 5 2" xfId="36030"/>
    <cellStyle name="40% - Ênfase5 4 4 3 5 2" xfId="36031"/>
    <cellStyle name="40% - Ênfase5 4 5 5 2" xfId="36032"/>
    <cellStyle name="40% - Ênfase5 4 6 5 2" xfId="36033"/>
    <cellStyle name="40% - Ênfase5 4 7 5 2" xfId="36034"/>
    <cellStyle name="40% - Ênfase5 5 10 2" xfId="36035"/>
    <cellStyle name="40% - Ênfase5 5 2 7 2" xfId="36036"/>
    <cellStyle name="40% - Ênfase5 5 2 2 5 2" xfId="36037"/>
    <cellStyle name="40% - Ênfase5 5 2 3 5 2" xfId="36038"/>
    <cellStyle name="40% - Ênfase5 5 3 5 2" xfId="36039"/>
    <cellStyle name="40% - Ênfase5 5 4 5 2" xfId="36040"/>
    <cellStyle name="40% - Ênfase5 5 5 5 2" xfId="36041"/>
    <cellStyle name="40% - Ênfase5 6 9 2" xfId="36042"/>
    <cellStyle name="40% - Ênfase5 6 2 7 2" xfId="36043"/>
    <cellStyle name="40% - Ênfase5 6 2 2 5 2" xfId="36044"/>
    <cellStyle name="40% - Ênfase5 6 2 3 5 2" xfId="36045"/>
    <cellStyle name="40% - Ênfase5 6 3 5 2" xfId="36046"/>
    <cellStyle name="40% - Ênfase5 6 4 5 2" xfId="36047"/>
    <cellStyle name="40% - Ênfase5 8 7 2" xfId="36048"/>
    <cellStyle name="40% - Ênfase5 8 2 5 2" xfId="36049"/>
    <cellStyle name="40% - Ênfase5 8 3 5 2" xfId="36050"/>
    <cellStyle name="40% - Ênfase6 2 2 10 2" xfId="36051"/>
    <cellStyle name="40% - Ênfase6 2 2 2 7 2" xfId="36052"/>
    <cellStyle name="40% - Ênfase6 2 2 2 2 5 2" xfId="36053"/>
    <cellStyle name="40% - Ênfase6 2 2 2 3 5 2" xfId="36054"/>
    <cellStyle name="40% - Ênfase6 2 2 3 5 2" xfId="36055"/>
    <cellStyle name="40% - Ênfase6 2 2 4 5 2" xfId="36056"/>
    <cellStyle name="40% - Ênfase6 2 2 5 5 2" xfId="36057"/>
    <cellStyle name="40% - Ênfase6 2 3 9 2" xfId="36058"/>
    <cellStyle name="40% - Ênfase6 2 3 2 7 2" xfId="36059"/>
    <cellStyle name="40% - Ênfase6 2 3 2 2 5 2" xfId="36060"/>
    <cellStyle name="40% - Ênfase6 2 3 2 3 5 2" xfId="36061"/>
    <cellStyle name="40% - Ênfase6 2 3 3 5 2" xfId="36062"/>
    <cellStyle name="40% - Ênfase6 2 3 4 5 2" xfId="36063"/>
    <cellStyle name="40% - Ênfase6 2 5 7 2" xfId="36064"/>
    <cellStyle name="40% - Ênfase6 2 5 2 5 2" xfId="36065"/>
    <cellStyle name="40% - Ênfase6 2 5 3 5 2" xfId="36066"/>
    <cellStyle name="40% - Ênfase6 3 12 2" xfId="36067"/>
    <cellStyle name="40% - Ênfase6 3 2 9 2" xfId="36068"/>
    <cellStyle name="40% - Ênfase6 3 2 2 7 2" xfId="36069"/>
    <cellStyle name="40% - Ênfase6 3 2 2 2 5 2" xfId="36070"/>
    <cellStyle name="40% - Ênfase6 3 2 2 3 5 2" xfId="36071"/>
    <cellStyle name="40% - Ênfase6 3 2 3 5 2" xfId="36072"/>
    <cellStyle name="40% - Ênfase6 3 2 4 5 2" xfId="36073"/>
    <cellStyle name="40% - Ênfase6 3 3 8 2" xfId="36074"/>
    <cellStyle name="40% - Ênfase6 3 3 2 5 2" xfId="36075"/>
    <cellStyle name="40% - Ênfase6 3 3 3 5 2" xfId="36076"/>
    <cellStyle name="40% - Ênfase6 3 4 7 2" xfId="36077"/>
    <cellStyle name="40% - Ênfase6 3 4 2 5 2" xfId="36078"/>
    <cellStyle name="40% - Ênfase6 3 4 3 5 2" xfId="36079"/>
    <cellStyle name="40% - Ênfase6 3 5 5 2" xfId="36080"/>
    <cellStyle name="40% - Ênfase6 3 6 5 2" xfId="36081"/>
    <cellStyle name="40% - Ênfase6 3 7 5 2" xfId="36082"/>
    <cellStyle name="40% - Ênfase6 4 12 2" xfId="36083"/>
    <cellStyle name="40% - Ênfase6 4 2 9 2" xfId="36084"/>
    <cellStyle name="40% - Ênfase6 4 2 2 7 2" xfId="36085"/>
    <cellStyle name="40% - Ênfase6 4 2 2 2 5 2" xfId="36086"/>
    <cellStyle name="40% - Ênfase6 4 2 2 3 5 2" xfId="36087"/>
    <cellStyle name="40% - Ênfase6 4 2 3 5 2" xfId="36088"/>
    <cellStyle name="40% - Ênfase6 4 2 4 5 2" xfId="36089"/>
    <cellStyle name="40% - Ênfase6 4 3 8 2" xfId="36090"/>
    <cellStyle name="40% - Ênfase6 4 3 2 5 2" xfId="36091"/>
    <cellStyle name="40% - Ênfase6 4 3 3 5 2" xfId="36092"/>
    <cellStyle name="40% - Ênfase6 4 4 7 2" xfId="36093"/>
    <cellStyle name="40% - Ênfase6 4 4 2 5 2" xfId="36094"/>
    <cellStyle name="40% - Ênfase6 4 4 3 5 2" xfId="36095"/>
    <cellStyle name="40% - Ênfase6 4 5 5 2" xfId="36096"/>
    <cellStyle name="40% - Ênfase6 4 6 5 2" xfId="36097"/>
    <cellStyle name="40% - Ênfase6 4 7 5 2" xfId="36098"/>
    <cellStyle name="40% - Ênfase6 5 10 2" xfId="36099"/>
    <cellStyle name="40% - Ênfase6 5 2 7 2" xfId="36100"/>
    <cellStyle name="40% - Ênfase6 5 2 2 5 2" xfId="36101"/>
    <cellStyle name="40% - Ênfase6 5 2 3 5 2" xfId="36102"/>
    <cellStyle name="40% - Ênfase6 5 3 5 2" xfId="36103"/>
    <cellStyle name="40% - Ênfase6 5 4 5 2" xfId="36104"/>
    <cellStyle name="40% - Ênfase6 5 5 5 2" xfId="36105"/>
    <cellStyle name="40% - Ênfase6 6 9 2" xfId="36106"/>
    <cellStyle name="40% - Ênfase6 6 2 7 2" xfId="36107"/>
    <cellStyle name="40% - Ênfase6 6 2 2 5 2" xfId="36108"/>
    <cellStyle name="40% - Ênfase6 6 2 3 5 2" xfId="36109"/>
    <cellStyle name="40% - Ênfase6 6 3 5 2" xfId="36110"/>
    <cellStyle name="40% - Ênfase6 6 4 5 2" xfId="36111"/>
    <cellStyle name="40% - Ênfase6 8 7 2" xfId="36112"/>
    <cellStyle name="40% - Ênfase6 8 2 5 2" xfId="36113"/>
    <cellStyle name="40% - Ênfase6 8 3 5 2" xfId="36114"/>
    <cellStyle name="Normal 3 3 8 2" xfId="36115"/>
    <cellStyle name="Normal 3 3 2 5 2" xfId="36116"/>
    <cellStyle name="Normal 3 3 3 5 2" xfId="36117"/>
    <cellStyle name="Normal 3 4 5 2" xfId="36118"/>
    <cellStyle name="Normal 3 5 5 2" xfId="36119"/>
    <cellStyle name="Normal 3 6 5 2" xfId="36120"/>
    <cellStyle name="Normal 4 2 10 2" xfId="36121"/>
    <cellStyle name="Normal 4 2 2 7 2" xfId="36122"/>
    <cellStyle name="Normal 4 2 2 2 5 2" xfId="36123"/>
    <cellStyle name="Normal 4 2 2 3 5 2" xfId="36124"/>
    <cellStyle name="Normal 4 2 3 5 2" xfId="36125"/>
    <cellStyle name="Normal 4 2 4 5 2" xfId="36126"/>
    <cellStyle name="Normal 4 2 5 5 2" xfId="36127"/>
    <cellStyle name="Normal 4 3 9 2" xfId="36128"/>
    <cellStyle name="Normal 4 3 2 7 2" xfId="36129"/>
    <cellStyle name="Normal 4 3 2 2 5 2" xfId="36130"/>
    <cellStyle name="Normal 4 3 2 3 5 2" xfId="36131"/>
    <cellStyle name="Normal 4 3 3 5 2" xfId="36132"/>
    <cellStyle name="Normal 4 3 4 5 2" xfId="36133"/>
    <cellStyle name="Normal 4 5 7 2" xfId="36134"/>
    <cellStyle name="Normal 4 5 2 5 2" xfId="36135"/>
    <cellStyle name="Normal 4 5 3 5 2" xfId="36136"/>
    <cellStyle name="Normal 5 2 11 2" xfId="36137"/>
    <cellStyle name="Normal 5 2 2 7 2" xfId="36138"/>
    <cellStyle name="Normal 5 2 2 2 5 2" xfId="36139"/>
    <cellStyle name="Normal 5 2 2 3 5 2" xfId="36140"/>
    <cellStyle name="Normal 5 2 3 5 2" xfId="36141"/>
    <cellStyle name="Normal 5 2 4 5 2" xfId="36142"/>
    <cellStyle name="Normal 5 2 5 5 2" xfId="36143"/>
    <cellStyle name="Normal 5 3 9 2" xfId="36144"/>
    <cellStyle name="Normal 5 3 2 7 2" xfId="36145"/>
    <cellStyle name="Normal 5 3 2 2 5 2" xfId="36146"/>
    <cellStyle name="Normal 5 3 2 3 5 2" xfId="36147"/>
    <cellStyle name="Normal 5 3 3 5 2" xfId="36148"/>
    <cellStyle name="Normal 5 3 4 5 2" xfId="36149"/>
    <cellStyle name="Normal 5 5 7 2" xfId="36150"/>
    <cellStyle name="Normal 5 5 2 5 2" xfId="36151"/>
    <cellStyle name="Normal 5 5 3 5 2" xfId="36152"/>
    <cellStyle name="Normal 6 4 5 2" xfId="36153"/>
    <cellStyle name="Normal 7 2 6 4 2" xfId="36154"/>
    <cellStyle name="Normal 7 2 2 4 4 2" xfId="36155"/>
    <cellStyle name="Normal 7 2 2 2 5 2" xfId="36156"/>
    <cellStyle name="Normal 7 2 2 3 5 2" xfId="36157"/>
    <cellStyle name="Normal 7 2 3 5 2" xfId="36158"/>
    <cellStyle name="Normal 7 2 4 5 2" xfId="36159"/>
    <cellStyle name="Normal 7 2 5 5 2" xfId="36160"/>
    <cellStyle name="Normal 7 3 5 4 2" xfId="36161"/>
    <cellStyle name="Normal 7 3 2 7 2" xfId="36162"/>
    <cellStyle name="Normal 7 3 2 2 5 2" xfId="36163"/>
    <cellStyle name="Normal 7 3 2 3 5 2" xfId="36164"/>
    <cellStyle name="Normal 7 3 3 5 2" xfId="36165"/>
    <cellStyle name="Normal 7 3 4 5 2" xfId="36166"/>
    <cellStyle name="Normal 7 5 7 2" xfId="36167"/>
    <cellStyle name="Normal 7 5 2 5 2" xfId="36168"/>
    <cellStyle name="Normal 7 5 3 5 2" xfId="36169"/>
    <cellStyle name="Normal 8 9 4 2" xfId="36170"/>
    <cellStyle name="Normal 8 2 5 4 2" xfId="36171"/>
    <cellStyle name="Normal 8 2 2 4 4 2" xfId="36172"/>
    <cellStyle name="Normal 8 2 2 2 5 2" xfId="36173"/>
    <cellStyle name="Normal 8 2 2 3 5 2" xfId="36174"/>
    <cellStyle name="Normal 8 2 3 5 2" xfId="36175"/>
    <cellStyle name="Normal 8 2 4 5 2" xfId="36176"/>
    <cellStyle name="Normal 8 3 4 4 2" xfId="36177"/>
    <cellStyle name="Normal 8 3 2 2 4 2" xfId="36178"/>
    <cellStyle name="Normal 8 3 3 5 2" xfId="36179"/>
    <cellStyle name="Normal 8 4 4 4 2" xfId="36180"/>
    <cellStyle name="Normal 8 4 2 2 4 2" xfId="36181"/>
    <cellStyle name="Normal 8 4 3 5 2" xfId="36182"/>
    <cellStyle name="Normal 8 5 4 3 2" xfId="36183"/>
    <cellStyle name="Normal 8 6 2 4 2" xfId="36184"/>
    <cellStyle name="Normal 8 7 5 2" xfId="36185"/>
    <cellStyle name="Nota 2 2 10 2" xfId="36186"/>
    <cellStyle name="Nota 2 2 2 7 2" xfId="36187"/>
    <cellStyle name="Nota 2 2 2 2 5 2" xfId="36188"/>
    <cellStyle name="Nota 2 2 2 3 5 2" xfId="36189"/>
    <cellStyle name="Nota 2 2 3 5 2" xfId="36190"/>
    <cellStyle name="Nota 2 2 4 5 2" xfId="36191"/>
    <cellStyle name="Nota 2 2 5 5 2" xfId="36192"/>
    <cellStyle name="Nota 2 3 9 2" xfId="36193"/>
    <cellStyle name="Nota 2 3 2 7 2" xfId="36194"/>
    <cellStyle name="Nota 2 3 2 2 5 2" xfId="36195"/>
    <cellStyle name="Nota 2 3 2 3 5 2" xfId="36196"/>
    <cellStyle name="Nota 2 3 3 5 2" xfId="36197"/>
    <cellStyle name="Nota 2 3 4 5 2" xfId="36198"/>
    <cellStyle name="Nota 2 5 7 2" xfId="36199"/>
    <cellStyle name="Nota 2 5 2 5 2" xfId="36200"/>
    <cellStyle name="Nota 2 5 3 5 2" xfId="36201"/>
    <cellStyle name="Nota 3 2 10 2" xfId="36202"/>
    <cellStyle name="Nota 3 2 2 7 2" xfId="36203"/>
    <cellStyle name="Nota 3 2 2 2 5 2" xfId="36204"/>
    <cellStyle name="Nota 3 2 2 3 5 2" xfId="36205"/>
    <cellStyle name="Nota 3 2 3 5 2" xfId="36206"/>
    <cellStyle name="Nota 3 2 4 5 2" xfId="36207"/>
    <cellStyle name="Nota 3 2 5 5 2" xfId="36208"/>
    <cellStyle name="Nota 3 3 9 2" xfId="36209"/>
    <cellStyle name="Nota 3 3 2 7 2" xfId="36210"/>
    <cellStyle name="Nota 3 3 2 2 5 2" xfId="36211"/>
    <cellStyle name="Nota 3 3 2 3 5 2" xfId="36212"/>
    <cellStyle name="Nota 3 3 3 5 2" xfId="36213"/>
    <cellStyle name="Nota 3 3 4 5 2" xfId="36214"/>
    <cellStyle name="Nota 3 5 7 2" xfId="36215"/>
    <cellStyle name="Nota 3 5 2 5 2" xfId="36216"/>
    <cellStyle name="Nota 3 5 3 5 2" xfId="36217"/>
    <cellStyle name="Nota 4 8 4 2" xfId="36218"/>
    <cellStyle name="Nota 4 2 9 2" xfId="36219"/>
    <cellStyle name="Nota 4 2 2 7 2" xfId="36220"/>
    <cellStyle name="Nota 4 2 2 2 5 2" xfId="36221"/>
    <cellStyle name="Nota 4 2 2 3 5 2" xfId="36222"/>
    <cellStyle name="Nota 4 2 3 5 2" xfId="36223"/>
    <cellStyle name="Nota 4 2 4 5 2" xfId="36224"/>
    <cellStyle name="Nota 4 3 8 2" xfId="36225"/>
    <cellStyle name="Nota 4 3 2 5 2" xfId="36226"/>
    <cellStyle name="Nota 4 3 3 5 2" xfId="36227"/>
    <cellStyle name="Nota 4 4 7 2" xfId="36228"/>
    <cellStyle name="Nota 4 4 2 5 2" xfId="36229"/>
    <cellStyle name="Nota 4 4 3 5 2" xfId="36230"/>
    <cellStyle name="Nota 4 5 5 2" xfId="36231"/>
    <cellStyle name="Nota 4 6 5 2" xfId="36232"/>
    <cellStyle name="Nota 4 7 5 2" xfId="36233"/>
    <cellStyle name="Nota 5 12 2" xfId="36234"/>
    <cellStyle name="Nota 5 2 9 2" xfId="36235"/>
    <cellStyle name="Nota 5 2 2 7 2" xfId="36236"/>
    <cellStyle name="Nota 5 2 2 2 5 2" xfId="36237"/>
    <cellStyle name="Nota 5 2 2 3 5 2" xfId="36238"/>
    <cellStyle name="Nota 5 2 3 5 2" xfId="36239"/>
    <cellStyle name="Nota 5 2 4 5 2" xfId="36240"/>
    <cellStyle name="Nota 5 3 8 2" xfId="36241"/>
    <cellStyle name="Nota 5 3 2 5 2" xfId="36242"/>
    <cellStyle name="Nota 5 3 3 5 2" xfId="36243"/>
    <cellStyle name="Nota 5 4 7 2" xfId="36244"/>
    <cellStyle name="Nota 5 4 2 5 2" xfId="36245"/>
    <cellStyle name="Nota 5 4 3 5 2" xfId="36246"/>
    <cellStyle name="Nota 5 5 5 2" xfId="36247"/>
    <cellStyle name="Nota 5 6 5 2" xfId="36248"/>
    <cellStyle name="Nota 5 7 5 2" xfId="36249"/>
    <cellStyle name="Separador de milhares 2 2 4 4 2" xfId="36250"/>
    <cellStyle name="Separador de milhares 2 2 2 4 2" xfId="36251"/>
    <cellStyle name="Separador de milhares 2 2 3 4 2" xfId="36252"/>
    <cellStyle name="Separador de milhares 2 3 2 4 2" xfId="36253"/>
    <cellStyle name="Separador de milhares 2 4 4 2" xfId="36254"/>
    <cellStyle name="Separador de milhares 2 5 4 2" xfId="36255"/>
    <cellStyle name="Separador de milhares 2 6 4 2" xfId="36256"/>
    <cellStyle name="Separador de milhares 3 2 4 4 2" xfId="36257"/>
    <cellStyle name="Separador de milhares 3 2 2 4 2" xfId="36258"/>
    <cellStyle name="Separador de milhares 3 2 3 4 2" xfId="36259"/>
    <cellStyle name="Separador de milhares 3 4 2 4 2" xfId="36260"/>
    <cellStyle name="Separador de milhares 4 4 4 2" xfId="36261"/>
    <cellStyle name="Separador de milhares 4 2 3 4 2" xfId="36262"/>
    <cellStyle name="Separador de milhares 4 2 2 4 2" xfId="36263"/>
    <cellStyle name="Separador de milhares 4 3 2 4 2" xfId="36264"/>
    <cellStyle name="Separador de milhares 5 2 3 4 2" xfId="36265"/>
    <cellStyle name="Separador de milhares 5 2 2 4 2" xfId="36266"/>
    <cellStyle name="Separador de milhares 5 3 2 4 2" xfId="36267"/>
    <cellStyle name="Separador de milhares 5 4 4 2" xfId="36268"/>
    <cellStyle name="Separador de milhares 6 5 4 2" xfId="36269"/>
    <cellStyle name="Separador de milhares 6 2 3 4 2" xfId="36270"/>
    <cellStyle name="Separador de milhares 6 2 2 4 2" xfId="36271"/>
    <cellStyle name="Separador de milhares 6 3 2 4 2" xfId="36272"/>
    <cellStyle name="Separador de milhares 6 4 4 2" xfId="36273"/>
    <cellStyle name="Separador de milhares 7 3 2 3 2" xfId="36274"/>
    <cellStyle name="Vírgula 2 6 4 2" xfId="36275"/>
    <cellStyle name="Vírgula 2 2 7 2" xfId="36276"/>
    <cellStyle name="Vírgula 2 2 2 4 2" xfId="36277"/>
    <cellStyle name="Vírgula 2 3 6 2" xfId="36278"/>
    <cellStyle name="Vírgula 2 3 2 4 2" xfId="36279"/>
    <cellStyle name="Vírgula 2 4 4 2" xfId="36280"/>
    <cellStyle name="Vírgula 2 5 4 2" xfId="36281"/>
    <cellStyle name="Vírgula 3 4 4 2" xfId="36282"/>
    <cellStyle name="Vírgula 3 2 5 2" xfId="36283"/>
    <cellStyle name="Vírgula 3 3 4 2" xfId="36284"/>
    <cellStyle name="Vírgula 4 4 4 2" xfId="36285"/>
    <cellStyle name="Vírgula 4 2 3 3 2" xfId="36286"/>
    <cellStyle name="Vírgula 4 2 2 2 4 2" xfId="36287"/>
    <cellStyle name="Vírgula 4 3 5 2" xfId="36288"/>
    <cellStyle name="Vírgula 5 3 4 2" xfId="36289"/>
    <cellStyle name="Vírgula 5 2 4 2" xfId="36290"/>
    <cellStyle name="Vírgula 6 2 3 2" xfId="36291"/>
    <cellStyle name="Vírgula 8 2 2 4 2" xfId="36292"/>
    <cellStyle name="Vírgula 9 2 3 2" xfId="36293"/>
    <cellStyle name="Comma 4 3 3 2" xfId="36294"/>
    <cellStyle name="Comma 5 3 3 2" xfId="36295"/>
    <cellStyle name="Comma 6 3 2" xfId="36296"/>
    <cellStyle name="Comma 7 3 2" xfId="36297"/>
    <cellStyle name="Vírgula 10 6 2" xfId="36298"/>
    <cellStyle name="Comma 8 3 2" xfId="36299"/>
    <cellStyle name="Comma 9 3 2" xfId="36300"/>
    <cellStyle name="Comma 10 3 2" xfId="36301"/>
    <cellStyle name="Vírgula 10 2 4 2" xfId="36302"/>
    <cellStyle name="Separador de milhares 2 7 2 4 2" xfId="36303"/>
    <cellStyle name="Comma 11 3 2" xfId="36304"/>
    <cellStyle name="Vírgula 10 3 4 2" xfId="36305"/>
    <cellStyle name="Separador de milhares 2 7 3 4 2" xfId="36306"/>
    <cellStyle name="Porcentagem 12 4 2" xfId="36307"/>
    <cellStyle name="Normal 55 3 2" xfId="36308"/>
    <cellStyle name="Percent 14 3 2" xfId="36309"/>
    <cellStyle name="Normal 3 9 4 2" xfId="36310"/>
    <cellStyle name="Vírgula 11 3 2" xfId="36311"/>
    <cellStyle name="Normal 3 7 2 4 2" xfId="36312"/>
    <cellStyle name="20% - Ênfase1 5 6 4 2" xfId="36313"/>
    <cellStyle name="40% - Ênfase1 5 6 4 2" xfId="36314"/>
    <cellStyle name="20% - Ênfase2 5 6 4 2" xfId="36315"/>
    <cellStyle name="40% - Ênfase2 5 6 4 2" xfId="36316"/>
    <cellStyle name="20% - Ênfase3 5 6 4 2" xfId="36317"/>
    <cellStyle name="40% - Ênfase3 5 6 4 2" xfId="36318"/>
    <cellStyle name="20% - Ênfase4 5 6 4 2" xfId="36319"/>
    <cellStyle name="40% - Ênfase4 5 6 4 2" xfId="36320"/>
    <cellStyle name="20% - Ênfase5 5 6 4 2" xfId="36321"/>
    <cellStyle name="40% - Ênfase5 5 6 4 2" xfId="36322"/>
    <cellStyle name="20% - Ênfase6 5 6 4 2" xfId="36323"/>
    <cellStyle name="40% - Ênfase6 5 6 4 2" xfId="36324"/>
    <cellStyle name="Normal 4 2 6 4 2" xfId="36325"/>
    <cellStyle name="Nota 2 2 6 4 2" xfId="36326"/>
    <cellStyle name="Normal 5 2 7 4 2" xfId="36327"/>
    <cellStyle name="Nota 3 2 6 4 2" xfId="36328"/>
    <cellStyle name="20% - Ênfase1 2 2 6 4 2" xfId="36329"/>
    <cellStyle name="40% - Ênfase1 2 2 6 4 2" xfId="36330"/>
    <cellStyle name="20% - Ênfase2 2 2 6 4 2" xfId="36331"/>
    <cellStyle name="40% - Ênfase2 2 2 6 4 2" xfId="36332"/>
    <cellStyle name="20% - Ênfase3 2 2 6 4 2" xfId="36333"/>
    <cellStyle name="40% - Ênfase3 2 2 6 4 2" xfId="36334"/>
    <cellStyle name="20% - Ênfase4 2 2 6 4 2" xfId="36335"/>
    <cellStyle name="40% - Ênfase4 2 2 6 4 2" xfId="36336"/>
    <cellStyle name="20% - Ênfase5 2 2 6 4 2" xfId="36337"/>
    <cellStyle name="40% - Ênfase5 2 2 6 4 2" xfId="36338"/>
    <cellStyle name="20% - Ênfase6 2 2 6 4 2" xfId="36339"/>
    <cellStyle name="40% - Ênfase6 2 2 6 4 2" xfId="36340"/>
    <cellStyle name="Normal 7 2 7 4 2" xfId="36341"/>
    <cellStyle name="Nota 4 9 4 2" xfId="36342"/>
    <cellStyle name="20% - Ênfase1 3 8 4 2" xfId="36343"/>
    <cellStyle name="40% - Ênfase1 3 8 4 2" xfId="36344"/>
    <cellStyle name="20% - Ênfase2 3 8 4 2" xfId="36345"/>
    <cellStyle name="40% - Ênfase2 3 8 4 2" xfId="36346"/>
    <cellStyle name="20% - Ênfase3 3 8 4 2" xfId="36347"/>
    <cellStyle name="40% - Ênfase3 3 8 4 2" xfId="36348"/>
    <cellStyle name="20% - Ênfase4 3 8 4 2" xfId="36349"/>
    <cellStyle name="40% - Ênfase4 3 8 4 2" xfId="36350"/>
    <cellStyle name="20% - Ênfase5 3 8 4 2" xfId="36351"/>
    <cellStyle name="40% - Ênfase5 3 8 4 2" xfId="36352"/>
    <cellStyle name="20% - Ênfase6 3 8 4 2" xfId="36353"/>
    <cellStyle name="40% - Ênfase6 3 8 4 2" xfId="36354"/>
    <cellStyle name="Normal 8 12 3 2" xfId="36355"/>
    <cellStyle name="Nota 5 8 4 2" xfId="36356"/>
    <cellStyle name="20% - Ênfase1 4 8 4 2" xfId="36357"/>
    <cellStyle name="40% - Ênfase1 4 8 4 2" xfId="36358"/>
    <cellStyle name="20% - Ênfase2 4 8 4 2" xfId="36359"/>
    <cellStyle name="40% - Ênfase2 4 8 4 2" xfId="36360"/>
    <cellStyle name="20% - Ênfase3 4 8 4 2" xfId="36361"/>
    <cellStyle name="40% - Ênfase3 4 8 4 2" xfId="36362"/>
    <cellStyle name="20% - Ênfase4 4 8 4 2" xfId="36363"/>
    <cellStyle name="40% - Ênfase4 4 8 4 2" xfId="36364"/>
    <cellStyle name="20% - Ênfase5 4 8 4 2" xfId="36365"/>
    <cellStyle name="40% - Ênfase5 4 8 4 2" xfId="36366"/>
    <cellStyle name="20% - Ênfase6 4 8 4 2" xfId="36367"/>
    <cellStyle name="40% - Ênfase6 4 8 4 2" xfId="36368"/>
    <cellStyle name="20% - Ênfase1 6 5 4 2" xfId="36369"/>
    <cellStyle name="40% - Ênfase1 6 5 4 2" xfId="36370"/>
    <cellStyle name="20% - Ênfase2 6 5 4 2" xfId="36371"/>
    <cellStyle name="40% - Ênfase2 6 5 4 2" xfId="36372"/>
    <cellStyle name="20% - Ênfase3 6 5 4 2" xfId="36373"/>
    <cellStyle name="40% - Ênfase3 6 5 4 2" xfId="36374"/>
    <cellStyle name="20% - Ênfase4 6 5 4 2" xfId="36375"/>
    <cellStyle name="40% - Ênfase4 6 5 4 2" xfId="36376"/>
    <cellStyle name="20% - Ênfase5 6 5 4 2" xfId="36377"/>
    <cellStyle name="40% - Ênfase5 6 5 4 2" xfId="36378"/>
    <cellStyle name="20% - Ênfase6 6 5 4 2" xfId="36379"/>
    <cellStyle name="40% - Ênfase6 6 5 4 2" xfId="36380"/>
    <cellStyle name="Normal 4 3 5 4 2" xfId="36381"/>
    <cellStyle name="Nota 2 3 5 4 2" xfId="36382"/>
    <cellStyle name="Normal 5 3 5 4 2" xfId="36383"/>
    <cellStyle name="Nota 3 3 5 4 2" xfId="36384"/>
    <cellStyle name="20% - Ênfase1 2 3 5 4 2" xfId="36385"/>
    <cellStyle name="40% - Ênfase1 2 3 5 4 2" xfId="36386"/>
    <cellStyle name="20% - Ênfase2 2 3 5 4 2" xfId="36387"/>
    <cellStyle name="40% - Ênfase2 2 3 5 4 2" xfId="36388"/>
    <cellStyle name="20% - Ênfase3 2 3 5 4 2" xfId="36389"/>
    <cellStyle name="40% - Ênfase3 2 3 5 4 2" xfId="36390"/>
    <cellStyle name="20% - Ênfase4 2 3 5 4 2" xfId="36391"/>
    <cellStyle name="40% - Ênfase4 2 3 5 4 2" xfId="36392"/>
    <cellStyle name="20% - Ênfase5 2 3 5 4 2" xfId="36393"/>
    <cellStyle name="40% - Ênfase5 2 3 5 4 2" xfId="36394"/>
    <cellStyle name="20% - Ênfase6 2 3 5 4 2" xfId="36395"/>
    <cellStyle name="40% - Ênfase6 2 3 5 4 2" xfId="36396"/>
    <cellStyle name="Normal 7 3 6 4 2" xfId="36397"/>
    <cellStyle name="Nota 4 2 5 4 2" xfId="36398"/>
    <cellStyle name="20% - Ênfase1 3 2 5 4 2" xfId="36399"/>
    <cellStyle name="40% - Ênfase1 3 2 5 4 2" xfId="36400"/>
    <cellStyle name="20% - Ênfase2 3 2 5 4 2" xfId="36401"/>
    <cellStyle name="40% - Ênfase2 3 2 5 4 2" xfId="36402"/>
    <cellStyle name="20% - Ênfase3 3 2 5 4 2" xfId="36403"/>
    <cellStyle name="40% - Ênfase3 3 2 5 4 2" xfId="36404"/>
    <cellStyle name="20% - Ênfase4 3 2 5 4 2" xfId="36405"/>
    <cellStyle name="40% - Ênfase4 3 2 5 4 2" xfId="36406"/>
    <cellStyle name="20% - Ênfase5 3 2 5 4 2" xfId="36407"/>
    <cellStyle name="40% - Ênfase5 3 2 5 4 2" xfId="36408"/>
    <cellStyle name="20% - Ênfase6 3 2 5 4 2" xfId="36409"/>
    <cellStyle name="40% - Ênfase6 3 2 5 4 2" xfId="36410"/>
    <cellStyle name="Normal 8 2 6 4 2" xfId="36411"/>
    <cellStyle name="Nota 5 2 5 4 2" xfId="36412"/>
    <cellStyle name="20% - Ênfase1 4 2 5 4 2" xfId="36413"/>
    <cellStyle name="40% - Ênfase1 4 2 5 4 2" xfId="36414"/>
    <cellStyle name="20% - Ênfase2 4 2 5 4 2" xfId="36415"/>
    <cellStyle name="40% - Ênfase2 4 2 5 4 2" xfId="36416"/>
    <cellStyle name="20% - Ênfase3 4 2 5 4 2" xfId="36417"/>
    <cellStyle name="40% - Ênfase3 4 2 5 4 2" xfId="36418"/>
    <cellStyle name="20% - Ênfase4 4 2 5 4 2" xfId="36419"/>
    <cellStyle name="40% - Ênfase4 4 2 5 4 2" xfId="36420"/>
    <cellStyle name="20% - Ênfase5 4 2 5 4 2" xfId="36421"/>
    <cellStyle name="40% - Ênfase5 4 2 5 4 2" xfId="36422"/>
    <cellStyle name="20% - Ênfase6 4 2 5 4 2" xfId="36423"/>
    <cellStyle name="40% - Ênfase6 4 2 5 4 2" xfId="36424"/>
    <cellStyle name="20% - Ênfase1 8 4 4 2" xfId="36425"/>
    <cellStyle name="40% - Ênfase1 8 4 4 2" xfId="36426"/>
    <cellStyle name="20% - Ênfase2 8 4 4 2" xfId="36427"/>
    <cellStyle name="40% - Ênfase2 8 4 4 2" xfId="36428"/>
    <cellStyle name="20% - Ênfase3 8 4 4 2" xfId="36429"/>
    <cellStyle name="40% - Ênfase3 8 4 4 2" xfId="36430"/>
    <cellStyle name="20% - Ênfase4 8 4 4 2" xfId="36431"/>
    <cellStyle name="40% - Ênfase4 8 4 4 2" xfId="36432"/>
    <cellStyle name="20% - Ênfase5 8 4 4 2" xfId="36433"/>
    <cellStyle name="40% - Ênfase5 8 4 4 2" xfId="36434"/>
    <cellStyle name="20% - Ênfase6 8 4 4 2" xfId="36435"/>
    <cellStyle name="40% - Ênfase6 8 4 4 2" xfId="36436"/>
    <cellStyle name="Normal 4 5 4 4 2" xfId="36437"/>
    <cellStyle name="Nota 2 5 4 4 2" xfId="36438"/>
    <cellStyle name="Normal 5 5 4 4 2" xfId="36439"/>
    <cellStyle name="Nota 3 5 4 4 2" xfId="36440"/>
    <cellStyle name="20% - Ênfase1 2 5 4 4 2" xfId="36441"/>
    <cellStyle name="40% - Ênfase1 2 5 4 4 2" xfId="36442"/>
    <cellStyle name="20% - Ênfase2 2 5 4 4 2" xfId="36443"/>
    <cellStyle name="40% - Ênfase2 2 5 4 4 2" xfId="36444"/>
    <cellStyle name="20% - Ênfase3 2 5 4 4 2" xfId="36445"/>
    <cellStyle name="40% - Ênfase3 2 5 4 4 2" xfId="36446"/>
    <cellStyle name="20% - Ênfase4 2 5 4 4 2" xfId="36447"/>
    <cellStyle name="40% - Ênfase4 2 5 4 4 2" xfId="36448"/>
    <cellStyle name="20% - Ênfase5 2 5 4 4 2" xfId="36449"/>
    <cellStyle name="40% - Ênfase5 2 5 4 4 2" xfId="36450"/>
    <cellStyle name="20% - Ênfase6 2 5 4 4 2" xfId="36451"/>
    <cellStyle name="40% - Ênfase6 2 5 4 4 2" xfId="36452"/>
    <cellStyle name="Normal 7 5 4 4 2" xfId="36453"/>
    <cellStyle name="Nota 4 4 4 4 2" xfId="36454"/>
    <cellStyle name="20% - Ênfase1 3 4 4 4 2" xfId="36455"/>
    <cellStyle name="40% - Ênfase1 3 4 4 4 2" xfId="36456"/>
    <cellStyle name="20% - Ênfase2 3 4 4 4 2" xfId="36457"/>
    <cellStyle name="40% - Ênfase2 3 4 4 4 2" xfId="36458"/>
    <cellStyle name="20% - Ênfase3 3 4 4 4 2" xfId="36459"/>
    <cellStyle name="40% - Ênfase3 3 4 4 4 2" xfId="36460"/>
    <cellStyle name="20% - Ênfase4 3 4 4 4 2" xfId="36461"/>
    <cellStyle name="40% - Ênfase4 3 4 4 4 2" xfId="36462"/>
    <cellStyle name="20% - Ênfase5 3 4 4 4 2" xfId="36463"/>
    <cellStyle name="40% - Ênfase5 3 4 4 4 2" xfId="36464"/>
    <cellStyle name="20% - Ênfase6 3 4 4 4 2" xfId="36465"/>
    <cellStyle name="40% - Ênfase6 3 4 4 4 2" xfId="36466"/>
    <cellStyle name="Normal 8 4 5 4 2" xfId="36467"/>
    <cellStyle name="Nota 5 4 4 4 2" xfId="36468"/>
    <cellStyle name="20% - Ênfase1 4 4 4 4 2" xfId="36469"/>
    <cellStyle name="40% - Ênfase1 4 4 4 4 2" xfId="36470"/>
    <cellStyle name="20% - Ênfase2 4 4 4 4 2" xfId="36471"/>
    <cellStyle name="40% - Ênfase2 4 4 4 4 2" xfId="36472"/>
    <cellStyle name="20% - Ênfase3 4 4 4 4 2" xfId="36473"/>
    <cellStyle name="40% - Ênfase3 4 4 4 4 2" xfId="36474"/>
    <cellStyle name="20% - Ênfase4 4 4 4 4 2" xfId="36475"/>
    <cellStyle name="40% - Ênfase4 4 4 4 4 2" xfId="36476"/>
    <cellStyle name="20% - Ênfase5 4 4 4 4 2" xfId="36477"/>
    <cellStyle name="40% - Ênfase5 4 4 4 4 2" xfId="36478"/>
    <cellStyle name="20% - Ênfase6 4 4 4 4 2" xfId="36479"/>
    <cellStyle name="40% - Ênfase6 4 4 4 4 2" xfId="36480"/>
    <cellStyle name="Normal 3 3 4 4 2" xfId="36481"/>
    <cellStyle name="20% - Ênfase1 5 2 4 4 2" xfId="36482"/>
    <cellStyle name="40% - Ênfase1 5 2 4 4 2" xfId="36483"/>
    <cellStyle name="20% - Ênfase2 5 2 4 4 2" xfId="36484"/>
    <cellStyle name="40% - Ênfase2 5 2 4 4 2" xfId="36485"/>
    <cellStyle name="20% - Ênfase3 5 2 4 4 2" xfId="36486"/>
    <cellStyle name="40% - Ênfase3 5 2 4 4 2" xfId="36487"/>
    <cellStyle name="20% - Ênfase4 5 2 4 4 2" xfId="36488"/>
    <cellStyle name="40% - Ênfase4 5 2 4 4 2" xfId="36489"/>
    <cellStyle name="20% - Ênfase5 5 2 4 4 2" xfId="36490"/>
    <cellStyle name="40% - Ênfase5 5 2 4 4 2" xfId="36491"/>
    <cellStyle name="20% - Ênfase6 5 2 4 4 2" xfId="36492"/>
    <cellStyle name="40% - Ênfase6 5 2 4 4 2" xfId="36493"/>
    <cellStyle name="Normal 4 2 2 4 4 2" xfId="36494"/>
    <cellStyle name="Nota 2 2 2 4 4 2" xfId="36495"/>
    <cellStyle name="Normal 5 2 2 4 4 2" xfId="36496"/>
    <cellStyle name="Nota 3 2 2 4 4 2" xfId="36497"/>
    <cellStyle name="20% - Ênfase1 2 2 2 4 4 2" xfId="36498"/>
    <cellStyle name="40% - Ênfase1 2 2 2 4 4 2" xfId="36499"/>
    <cellStyle name="20% - Ênfase2 2 2 2 4 4 2" xfId="36500"/>
    <cellStyle name="40% - Ênfase2 2 2 2 4 4 2" xfId="36501"/>
    <cellStyle name="20% - Ênfase3 2 2 2 4 4 2" xfId="36502"/>
    <cellStyle name="40% - Ênfase3 2 2 2 4 4 2" xfId="36503"/>
    <cellStyle name="20% - Ênfase4 2 2 2 4 4 2" xfId="36504"/>
    <cellStyle name="40% - Ênfase4 2 2 2 4 4 2" xfId="36505"/>
    <cellStyle name="20% - Ênfase5 2 2 2 4 4 2" xfId="36506"/>
    <cellStyle name="40% - Ênfase5 2 2 2 4 4 2" xfId="36507"/>
    <cellStyle name="20% - Ênfase6 2 2 2 4 4 2" xfId="36508"/>
    <cellStyle name="40% - Ênfase6 2 2 2 4 4 2" xfId="36509"/>
    <cellStyle name="Normal 7 2 2 5 4 2" xfId="36510"/>
    <cellStyle name="Nota 4 3 4 4 2" xfId="36511"/>
    <cellStyle name="20% - Ênfase1 3 3 4 4 2" xfId="36512"/>
    <cellStyle name="40% - Ênfase1 3 3 4 4 2" xfId="36513"/>
    <cellStyle name="20% - Ênfase2 3 3 4 4 2" xfId="36514"/>
    <cellStyle name="40% - Ênfase2 3 3 4 4 2" xfId="36515"/>
    <cellStyle name="20% - Ênfase3 3 3 4 4 2" xfId="36516"/>
    <cellStyle name="40% - Ênfase3 3 3 4 4 2" xfId="36517"/>
    <cellStyle name="20% - Ênfase4 3 3 4 4 2" xfId="36518"/>
    <cellStyle name="40% - Ênfase4 3 3 4 4 2" xfId="36519"/>
    <cellStyle name="20% - Ênfase5 3 3 4 4 2" xfId="36520"/>
    <cellStyle name="40% - Ênfase5 3 3 4 4 2" xfId="36521"/>
    <cellStyle name="20% - Ênfase6 3 3 4 4 2" xfId="36522"/>
    <cellStyle name="40% - Ênfase6 3 3 4 4 2" xfId="36523"/>
    <cellStyle name="Normal 8 3 5 4 2" xfId="36524"/>
    <cellStyle name="Nota 5 3 4 4 2" xfId="36525"/>
    <cellStyle name="20% - Ênfase1 4 3 4 4 2" xfId="36526"/>
    <cellStyle name="40% - Ênfase1 4 3 4 4 2" xfId="36527"/>
    <cellStyle name="20% - Ênfase2 4 3 4 4 2" xfId="36528"/>
    <cellStyle name="40% - Ênfase2 4 3 4 4 2" xfId="36529"/>
    <cellStyle name="20% - Ênfase3 4 3 4 4 2" xfId="36530"/>
    <cellStyle name="40% - Ênfase3 4 3 4 4 2" xfId="36531"/>
    <cellStyle name="20% - Ênfase4 4 3 4 4 2" xfId="36532"/>
    <cellStyle name="40% - Ênfase4 4 3 4 4 2" xfId="36533"/>
    <cellStyle name="20% - Ênfase5 4 3 4 4 2" xfId="36534"/>
    <cellStyle name="40% - Ênfase5 4 3 4 4 2" xfId="36535"/>
    <cellStyle name="20% - Ênfase6 4 3 4 4 2" xfId="36536"/>
    <cellStyle name="40% - Ênfase6 4 3 4 4 2" xfId="36537"/>
    <cellStyle name="20% - Ênfase1 6 2 4 4 2" xfId="36538"/>
    <cellStyle name="40% - Ênfase1 6 2 4 4 2" xfId="36539"/>
    <cellStyle name="20% - Ênfase2 6 2 4 4 2" xfId="36540"/>
    <cellStyle name="40% - Ênfase2 6 2 4 4 2" xfId="36541"/>
    <cellStyle name="20% - Ênfase3 6 2 4 4 2" xfId="36542"/>
    <cellStyle name="40% - Ênfase3 6 2 4 4 2" xfId="36543"/>
    <cellStyle name="20% - Ênfase4 6 2 4 4 2" xfId="36544"/>
    <cellStyle name="40% - Ênfase4 6 2 4 4 2" xfId="36545"/>
    <cellStyle name="20% - Ênfase5 6 2 4 4 2" xfId="36546"/>
    <cellStyle name="40% - Ênfase5 6 2 4 4 2" xfId="36547"/>
    <cellStyle name="20% - Ênfase6 6 2 4 4 2" xfId="36548"/>
    <cellStyle name="40% - Ênfase6 6 2 4 4 2" xfId="36549"/>
    <cellStyle name="Normal 4 3 2 4 4 2" xfId="36550"/>
    <cellStyle name="Nota 2 3 2 4 4 2" xfId="36551"/>
    <cellStyle name="Normal 5 3 2 4 4 2" xfId="36552"/>
    <cellStyle name="Nota 3 3 2 4 4 2" xfId="36553"/>
    <cellStyle name="20% - Ênfase1 2 3 2 4 4 2" xfId="36554"/>
    <cellStyle name="40% - Ênfase1 2 3 2 4 4 2" xfId="36555"/>
    <cellStyle name="20% - Ênfase2 2 3 2 4 4 2" xfId="36556"/>
    <cellStyle name="40% - Ênfase2 2 3 2 4 4 2" xfId="36557"/>
    <cellStyle name="20% - Ênfase3 2 3 2 4 4 2" xfId="36558"/>
    <cellStyle name="40% - Ênfase3 2 3 2 4 4 2" xfId="36559"/>
    <cellStyle name="20% - Ênfase4 2 3 2 4 4 2" xfId="36560"/>
    <cellStyle name="40% - Ênfase4 2 3 2 4 4 2" xfId="36561"/>
    <cellStyle name="20% - Ênfase5 2 3 2 4 4 2" xfId="36562"/>
    <cellStyle name="40% - Ênfase5 2 3 2 4 4 2" xfId="36563"/>
    <cellStyle name="20% - Ênfase6 2 3 2 4 4 2" xfId="36564"/>
    <cellStyle name="40% - Ênfase6 2 3 2 4 4 2" xfId="36565"/>
    <cellStyle name="Normal 7 3 2 4 4 2" xfId="36566"/>
    <cellStyle name="Nota 4 2 2 4 4 2" xfId="36567"/>
    <cellStyle name="20% - Ênfase1 3 2 2 4 4 2" xfId="36568"/>
    <cellStyle name="40% - Ênfase1 3 2 2 4 4 2" xfId="36569"/>
    <cellStyle name="20% - Ênfase2 3 2 2 4 4 2" xfId="36570"/>
    <cellStyle name="40% - Ênfase2 3 2 2 4 4 2" xfId="36571"/>
    <cellStyle name="20% - Ênfase3 3 2 2 4 4 2" xfId="36572"/>
    <cellStyle name="40% - Ênfase3 3 2 2 4 4 2" xfId="36573"/>
    <cellStyle name="20% - Ênfase4 3 2 2 4 4 2" xfId="36574"/>
    <cellStyle name="40% - Ênfase4 3 2 2 4 4 2" xfId="36575"/>
    <cellStyle name="20% - Ênfase5 3 2 2 4 4 2" xfId="36576"/>
    <cellStyle name="40% - Ênfase5 3 2 2 4 4 2" xfId="36577"/>
    <cellStyle name="20% - Ênfase6 3 2 2 4 4 2" xfId="36578"/>
    <cellStyle name="40% - Ênfase6 3 2 2 4 4 2" xfId="36579"/>
    <cellStyle name="Normal 8 2 2 5 4 2" xfId="36580"/>
    <cellStyle name="Nota 5 2 2 4 4 2" xfId="36581"/>
    <cellStyle name="20% - Ênfase1 4 2 2 4 4 2" xfId="36582"/>
    <cellStyle name="40% - Ênfase1 4 2 2 4 4 2" xfId="36583"/>
    <cellStyle name="20% - Ênfase2 4 2 2 4 4 2" xfId="36584"/>
    <cellStyle name="40% - Ênfase2 4 2 2 4 4 2" xfId="36585"/>
    <cellStyle name="20% - Ênfase3 4 2 2 4 4 2" xfId="36586"/>
    <cellStyle name="40% - Ênfase3 4 2 2 4 4 2" xfId="36587"/>
    <cellStyle name="20% - Ênfase4 4 2 2 4 4 2" xfId="36588"/>
    <cellStyle name="40% - Ênfase4 4 2 2 4 4 2" xfId="36589"/>
    <cellStyle name="20% - Ênfase5 4 2 2 4 4 2" xfId="36590"/>
    <cellStyle name="40% - Ênfase5 4 2 2 4 4 2" xfId="36591"/>
    <cellStyle name="20% - Ênfase6 4 2 2 4 4 2" xfId="36592"/>
    <cellStyle name="40% - Ênfase6 4 2 2 4 4 2" xfId="36593"/>
    <cellStyle name="Normal 3 4 2 4 2" xfId="36594"/>
    <cellStyle name="20% - Ênfase1 5 3 2 4 2" xfId="36595"/>
    <cellStyle name="40% - Ênfase1 5 3 2 4 2" xfId="36596"/>
    <cellStyle name="20% - Ênfase2 5 3 2 4 2" xfId="36597"/>
    <cellStyle name="40% - Ênfase2 5 3 2 4 2" xfId="36598"/>
    <cellStyle name="20% - Ênfase3 5 3 2 4 2" xfId="36599"/>
    <cellStyle name="40% - Ênfase3 5 3 2 4 2" xfId="36600"/>
    <cellStyle name="20% - Ênfase4 5 3 2 4 2" xfId="36601"/>
    <cellStyle name="40% - Ênfase4 5 3 2 4 2" xfId="36602"/>
    <cellStyle name="20% - Ênfase5 5 3 2 4 2" xfId="36603"/>
    <cellStyle name="40% - Ênfase5 5 3 2 4 2" xfId="36604"/>
    <cellStyle name="20% - Ênfase6 5 3 2 4 2" xfId="36605"/>
    <cellStyle name="40% - Ênfase6 5 3 2 4 2" xfId="36606"/>
    <cellStyle name="Normal 4 2 3 2 4 2" xfId="36607"/>
    <cellStyle name="Nota 2 2 3 2 4 2" xfId="36608"/>
    <cellStyle name="Normal 5 2 3 2 4 2" xfId="36609"/>
    <cellStyle name="Nota 3 2 3 2 4 2" xfId="36610"/>
    <cellStyle name="20% - Ênfase1 2 2 3 2 4 2" xfId="36611"/>
    <cellStyle name="40% - Ênfase1 2 2 3 2 4 2" xfId="36612"/>
    <cellStyle name="20% - Ênfase2 2 2 3 2 4 2" xfId="36613"/>
    <cellStyle name="40% - Ênfase2 2 2 3 2 4 2" xfId="36614"/>
    <cellStyle name="20% - Ênfase3 2 2 3 2 4 2" xfId="36615"/>
    <cellStyle name="40% - Ênfase3 2 2 3 2 4 2" xfId="36616"/>
    <cellStyle name="20% - Ênfase4 2 2 3 2 4 2" xfId="36617"/>
    <cellStyle name="40% - Ênfase4 2 2 3 2 4 2" xfId="36618"/>
    <cellStyle name="20% - Ênfase5 2 2 3 2 4 2" xfId="36619"/>
    <cellStyle name="40% - Ênfase5 2 2 3 2 4 2" xfId="36620"/>
    <cellStyle name="20% - Ênfase6 2 2 3 2 4 2" xfId="36621"/>
    <cellStyle name="40% - Ênfase6 2 2 3 2 4 2" xfId="36622"/>
    <cellStyle name="Normal 7 2 3 2 4 2" xfId="36623"/>
    <cellStyle name="Nota 4 5 2 4 2" xfId="36624"/>
    <cellStyle name="20% - Ênfase1 3 5 2 4 2" xfId="36625"/>
    <cellStyle name="40% - Ênfase1 3 5 2 4 2" xfId="36626"/>
    <cellStyle name="20% - Ênfase2 3 5 2 4 2" xfId="36627"/>
    <cellStyle name="40% - Ênfase2 3 5 2 4 2" xfId="36628"/>
    <cellStyle name="20% - Ênfase3 3 5 2 4 2" xfId="36629"/>
    <cellStyle name="40% - Ênfase3 3 5 2 4 2" xfId="36630"/>
    <cellStyle name="20% - Ênfase4 3 5 2 4 2" xfId="36631"/>
    <cellStyle name="40% - Ênfase4 3 5 2 4 2" xfId="36632"/>
    <cellStyle name="20% - Ênfase5 3 5 2 4 2" xfId="36633"/>
    <cellStyle name="40% - Ênfase5 3 5 2 4 2" xfId="36634"/>
    <cellStyle name="20% - Ênfase6 3 5 2 4 2" xfId="36635"/>
    <cellStyle name="40% - Ênfase6 3 5 2 4 2" xfId="36636"/>
    <cellStyle name="Normal 8 5 5 3 2" xfId="36637"/>
    <cellStyle name="Nota 5 5 2 4 2" xfId="36638"/>
    <cellStyle name="20% - Ênfase1 4 5 2 4 2" xfId="36639"/>
    <cellStyle name="40% - Ênfase1 4 5 2 4 2" xfId="36640"/>
    <cellStyle name="20% - Ênfase2 4 5 2 4 2" xfId="36641"/>
    <cellStyle name="40% - Ênfase2 4 5 2 4 2" xfId="36642"/>
    <cellStyle name="20% - Ênfase3 4 5 2 4 2" xfId="36643"/>
    <cellStyle name="40% - Ênfase3 4 5 2 4 2" xfId="36644"/>
    <cellStyle name="20% - Ênfase4 4 5 2 4 2" xfId="36645"/>
    <cellStyle name="40% - Ênfase4 4 5 2 4 2" xfId="36646"/>
    <cellStyle name="20% - Ênfase5 4 5 2 4 2" xfId="36647"/>
    <cellStyle name="40% - Ênfase5 4 5 2 4 2" xfId="36648"/>
    <cellStyle name="20% - Ênfase6 4 5 2 4 2" xfId="36649"/>
    <cellStyle name="40% - Ênfase6 4 5 2 4 2" xfId="36650"/>
    <cellStyle name="20% - Ênfase1 6 3 2 4 2" xfId="36651"/>
    <cellStyle name="40% - Ênfase1 6 3 2 4 2" xfId="36652"/>
    <cellStyle name="20% - Ênfase2 6 3 2 4 2" xfId="36653"/>
    <cellStyle name="40% - Ênfase2 6 3 2 4 2" xfId="36654"/>
    <cellStyle name="20% - Ênfase3 6 3 2 4 2" xfId="36655"/>
    <cellStyle name="40% - Ênfase3 6 3 2 4 2" xfId="36656"/>
    <cellStyle name="20% - Ênfase4 6 3 2 4 2" xfId="36657"/>
    <cellStyle name="40% - Ênfase4 6 3 2 4 2" xfId="36658"/>
    <cellStyle name="20% - Ênfase5 6 3 2 4 2" xfId="36659"/>
    <cellStyle name="40% - Ênfase5 6 3 2 4 2" xfId="36660"/>
    <cellStyle name="20% - Ênfase6 6 3 2 4 2" xfId="36661"/>
    <cellStyle name="40% - Ênfase6 6 3 2 4 2" xfId="36662"/>
    <cellStyle name="Normal 4 3 3 2 4 2" xfId="36663"/>
    <cellStyle name="Nota 2 3 3 2 4 2" xfId="36664"/>
    <cellStyle name="Normal 5 3 3 2 4 2" xfId="36665"/>
    <cellStyle name="Nota 3 3 3 2 4 2" xfId="36666"/>
    <cellStyle name="20% - Ênfase1 2 3 3 2 4 2" xfId="36667"/>
    <cellStyle name="40% - Ênfase1 2 3 3 2 4 2" xfId="36668"/>
    <cellStyle name="20% - Ênfase2 2 3 3 2 4 2" xfId="36669"/>
    <cellStyle name="40% - Ênfase2 2 3 3 2 4 2" xfId="36670"/>
    <cellStyle name="20% - Ênfase3 2 3 3 2 4 2" xfId="36671"/>
    <cellStyle name="40% - Ênfase3 2 3 3 2 4 2" xfId="36672"/>
    <cellStyle name="20% - Ênfase4 2 3 3 2 4 2" xfId="36673"/>
    <cellStyle name="40% - Ênfase4 2 3 3 2 4 2" xfId="36674"/>
    <cellStyle name="20% - Ênfase5 2 3 3 2 4 2" xfId="36675"/>
    <cellStyle name="40% - Ênfase5 2 3 3 2 4 2" xfId="36676"/>
    <cellStyle name="20% - Ênfase6 2 3 3 2 4 2" xfId="36677"/>
    <cellStyle name="40% - Ênfase6 2 3 3 2 4 2" xfId="36678"/>
    <cellStyle name="Normal 7 3 3 2 4 2" xfId="36679"/>
    <cellStyle name="Nota 4 2 3 2 4 2" xfId="36680"/>
    <cellStyle name="20% - Ênfase1 3 2 3 2 4 2" xfId="36681"/>
    <cellStyle name="40% - Ênfase1 3 2 3 2 4 2" xfId="36682"/>
    <cellStyle name="20% - Ênfase2 3 2 3 2 4 2" xfId="36683"/>
    <cellStyle name="40% - Ênfase2 3 2 3 2 4 2" xfId="36684"/>
    <cellStyle name="20% - Ênfase3 3 2 3 2 4 2" xfId="36685"/>
    <cellStyle name="40% - Ênfase3 3 2 3 2 4 2" xfId="36686"/>
    <cellStyle name="20% - Ênfase4 3 2 3 2 4 2" xfId="36687"/>
    <cellStyle name="40% - Ênfase4 3 2 3 2 4 2" xfId="36688"/>
    <cellStyle name="20% - Ênfase5 3 2 3 2 4 2" xfId="36689"/>
    <cellStyle name="40% - Ênfase5 3 2 3 2 4 2" xfId="36690"/>
    <cellStyle name="20% - Ênfase6 3 2 3 2 4 2" xfId="36691"/>
    <cellStyle name="40% - Ênfase6 3 2 3 2 4 2" xfId="36692"/>
    <cellStyle name="Normal 8 2 3 2 4 2" xfId="36693"/>
    <cellStyle name="Nota 5 2 3 2 4 2" xfId="36694"/>
    <cellStyle name="20% - Ênfase1 4 2 3 2 4 2" xfId="36695"/>
    <cellStyle name="40% - Ênfase1 4 2 3 2 4 2" xfId="36696"/>
    <cellStyle name="20% - Ênfase2 4 2 3 2 4 2" xfId="36697"/>
    <cellStyle name="40% - Ênfase2 4 2 3 2 4 2" xfId="36698"/>
    <cellStyle name="20% - Ênfase3 4 2 3 2 4 2" xfId="36699"/>
    <cellStyle name="40% - Ênfase3 4 2 3 2 4 2" xfId="36700"/>
    <cellStyle name="20% - Ênfase4 4 2 3 2 4 2" xfId="36701"/>
    <cellStyle name="40% - Ênfase4 4 2 3 2 4 2" xfId="36702"/>
    <cellStyle name="20% - Ênfase5 4 2 3 2 4 2" xfId="36703"/>
    <cellStyle name="40% - Ênfase5 4 2 3 2 4 2" xfId="36704"/>
    <cellStyle name="20% - Ênfase6 4 2 3 2 4 2" xfId="36705"/>
    <cellStyle name="40% - Ênfase6 4 2 3 2 4 2" xfId="36706"/>
    <cellStyle name="20% - Ênfase1 8 2 2 4 2" xfId="36707"/>
    <cellStyle name="40% - Ênfase1 8 2 2 4 2" xfId="36708"/>
    <cellStyle name="20% - Ênfase2 8 2 2 4 2" xfId="36709"/>
    <cellStyle name="40% - Ênfase2 8 2 2 4 2" xfId="36710"/>
    <cellStyle name="20% - Ênfase3 8 2 2 4 2" xfId="36711"/>
    <cellStyle name="40% - Ênfase3 8 2 2 4 2" xfId="36712"/>
    <cellStyle name="20% - Ênfase4 8 2 2 4 2" xfId="36713"/>
    <cellStyle name="40% - Ênfase4 8 2 2 4 2" xfId="36714"/>
    <cellStyle name="20% - Ênfase5 8 2 2 4 2" xfId="36715"/>
    <cellStyle name="40% - Ênfase5 8 2 2 4 2" xfId="36716"/>
    <cellStyle name="20% - Ênfase6 8 2 2 4 2" xfId="36717"/>
    <cellStyle name="40% - Ênfase6 8 2 2 4 2" xfId="36718"/>
    <cellStyle name="Normal 4 5 2 2 4 2" xfId="36719"/>
    <cellStyle name="Nota 2 5 2 2 4 2" xfId="36720"/>
    <cellStyle name="Normal 5 5 2 2 4 2" xfId="36721"/>
    <cellStyle name="Nota 3 5 2 2 4 2" xfId="36722"/>
    <cellStyle name="20% - Ênfase1 2 5 2 2 4 2" xfId="36723"/>
    <cellStyle name="40% - Ênfase1 2 5 2 2 4 2" xfId="36724"/>
    <cellStyle name="20% - Ênfase2 2 5 2 2 4 2" xfId="36725"/>
    <cellStyle name="40% - Ênfase2 2 5 2 2 4 2" xfId="36726"/>
    <cellStyle name="20% - Ênfase3 2 5 2 2 4 2" xfId="36727"/>
    <cellStyle name="40% - Ênfase3 2 5 2 2 4 2" xfId="36728"/>
    <cellStyle name="20% - Ênfase4 2 5 2 2 4 2" xfId="36729"/>
    <cellStyle name="40% - Ênfase4 2 5 2 2 4 2" xfId="36730"/>
    <cellStyle name="20% - Ênfase5 2 5 2 2 4 2" xfId="36731"/>
    <cellStyle name="40% - Ênfase5 2 5 2 2 4 2" xfId="36732"/>
    <cellStyle name="20% - Ênfase6 2 5 2 2 4 2" xfId="36733"/>
    <cellStyle name="40% - Ênfase6 2 5 2 2 4 2" xfId="36734"/>
    <cellStyle name="Normal 7 5 2 2 4 2" xfId="36735"/>
    <cellStyle name="Nota 4 4 2 2 4 2" xfId="36736"/>
    <cellStyle name="20% - Ênfase1 3 4 2 2 4 2" xfId="36737"/>
    <cellStyle name="40% - Ênfase1 3 4 2 2 4 2" xfId="36738"/>
    <cellStyle name="20% - Ênfase2 3 4 2 2 4 2" xfId="36739"/>
    <cellStyle name="40% - Ênfase2 3 4 2 2 4 2" xfId="36740"/>
    <cellStyle name="20% - Ênfase3 3 4 2 2 4 2" xfId="36741"/>
    <cellStyle name="40% - Ênfase3 3 4 2 2 4 2" xfId="36742"/>
    <cellStyle name="20% - Ênfase4 3 4 2 2 4 2" xfId="36743"/>
    <cellStyle name="40% - Ênfase4 3 4 2 2 4 2" xfId="36744"/>
    <cellStyle name="20% - Ênfase5 3 4 2 2 4 2" xfId="36745"/>
    <cellStyle name="40% - Ênfase5 3 4 2 2 4 2" xfId="36746"/>
    <cellStyle name="20% - Ênfase6 3 4 2 2 4 2" xfId="36747"/>
    <cellStyle name="40% - Ênfase6 3 4 2 2 4 2" xfId="36748"/>
    <cellStyle name="Normal 8 4 2 3 4 2" xfId="36749"/>
    <cellStyle name="Nota 5 4 2 2 4 2" xfId="36750"/>
    <cellStyle name="20% - Ênfase1 4 4 2 2 4 2" xfId="36751"/>
    <cellStyle name="40% - Ênfase1 4 4 2 2 4 2" xfId="36752"/>
    <cellStyle name="20% - Ênfase2 4 4 2 2 4 2" xfId="36753"/>
    <cellStyle name="40% - Ênfase2 4 4 2 2 4 2" xfId="36754"/>
    <cellStyle name="20% - Ênfase3 4 4 2 2 4 2" xfId="36755"/>
    <cellStyle name="40% - Ênfase3 4 4 2 2 4 2" xfId="36756"/>
    <cellStyle name="20% - Ênfase4 4 4 2 2 4 2" xfId="36757"/>
    <cellStyle name="40% - Ênfase4 4 4 2 2 4 2" xfId="36758"/>
    <cellStyle name="20% - Ênfase5 4 4 2 2 4 2" xfId="36759"/>
    <cellStyle name="40% - Ênfase5 4 4 2 2 4 2" xfId="36760"/>
    <cellStyle name="20% - Ênfase6 4 4 2 2 4 2" xfId="36761"/>
    <cellStyle name="40% - Ênfase6 4 4 2 2 4 2" xfId="36762"/>
    <cellStyle name="Normal 3 3 2 2 4 2" xfId="36763"/>
    <cellStyle name="20% - Ênfase1 5 2 2 2 4 2" xfId="36764"/>
    <cellStyle name="40% - Ênfase1 5 2 2 2 4 2" xfId="36765"/>
    <cellStyle name="20% - Ênfase2 5 2 2 2 4 2" xfId="36766"/>
    <cellStyle name="40% - Ênfase2 5 2 2 2 4 2" xfId="36767"/>
    <cellStyle name="20% - Ênfase3 5 2 2 2 4 2" xfId="36768"/>
    <cellStyle name="40% - Ênfase3 5 2 2 2 4 2" xfId="36769"/>
    <cellStyle name="20% - Ênfase4 5 2 2 2 4 2" xfId="36770"/>
    <cellStyle name="40% - Ênfase4 5 2 2 2 4 2" xfId="36771"/>
    <cellStyle name="20% - Ênfase5 5 2 2 2 4 2" xfId="36772"/>
    <cellStyle name="40% - Ênfase5 5 2 2 2 4 2" xfId="36773"/>
    <cellStyle name="20% - Ênfase6 5 2 2 2 4 2" xfId="36774"/>
    <cellStyle name="40% - Ênfase6 5 2 2 2 4 2" xfId="36775"/>
    <cellStyle name="Normal 4 2 2 2 2 4 2" xfId="36776"/>
    <cellStyle name="Nota 2 2 2 2 2 4 2" xfId="36777"/>
    <cellStyle name="Normal 5 2 2 2 2 4 2" xfId="36778"/>
    <cellStyle name="Nota 3 2 2 2 2 4 2" xfId="36779"/>
    <cellStyle name="20% - Ênfase1 2 2 2 2 2 4 2" xfId="36780"/>
    <cellStyle name="40% - Ênfase1 2 2 2 2 2 4 2" xfId="36781"/>
    <cellStyle name="20% - Ênfase2 2 2 2 2 2 4 2" xfId="36782"/>
    <cellStyle name="40% - Ênfase2 2 2 2 2 2 4 2" xfId="36783"/>
    <cellStyle name="20% - Ênfase3 2 2 2 2 2 4 2" xfId="36784"/>
    <cellStyle name="40% - Ênfase3 2 2 2 2 2 4 2" xfId="36785"/>
    <cellStyle name="20% - Ênfase4 2 2 2 2 2 4 2" xfId="36786"/>
    <cellStyle name="40% - Ênfase4 2 2 2 2 2 4 2" xfId="36787"/>
    <cellStyle name="20% - Ênfase5 2 2 2 2 2 4 2" xfId="36788"/>
    <cellStyle name="40% - Ênfase5 2 2 2 2 2 4 2" xfId="36789"/>
    <cellStyle name="20% - Ênfase6 2 2 2 2 2 4 2" xfId="36790"/>
    <cellStyle name="40% - Ênfase6 2 2 2 2 2 4 2" xfId="36791"/>
    <cellStyle name="Normal 7 2 2 2 2 4 2" xfId="36792"/>
    <cellStyle name="Nota 4 3 2 2 4 2" xfId="36793"/>
    <cellStyle name="20% - Ênfase1 3 3 2 2 4 2" xfId="36794"/>
    <cellStyle name="40% - Ênfase1 3 3 2 2 4 2" xfId="36795"/>
    <cellStyle name="20% - Ênfase2 3 3 2 2 4 2" xfId="36796"/>
    <cellStyle name="40% - Ênfase2 3 3 2 2 4 2" xfId="36797"/>
    <cellStyle name="20% - Ênfase3 3 3 2 2 4 2" xfId="36798"/>
    <cellStyle name="40% - Ênfase3 3 3 2 2 4 2" xfId="36799"/>
    <cellStyle name="20% - Ênfase4 3 3 2 2 4 2" xfId="36800"/>
    <cellStyle name="40% - Ênfase4 3 3 2 2 4 2" xfId="36801"/>
    <cellStyle name="20% - Ênfase5 3 3 2 2 4 2" xfId="36802"/>
    <cellStyle name="40% - Ênfase5 3 3 2 2 4 2" xfId="36803"/>
    <cellStyle name="20% - Ênfase6 3 3 2 2 4 2" xfId="36804"/>
    <cellStyle name="40% - Ênfase6 3 3 2 2 4 2" xfId="36805"/>
    <cellStyle name="Normal 8 3 2 3 4 2" xfId="36806"/>
    <cellStyle name="Nota 5 3 2 2 4 2" xfId="36807"/>
    <cellStyle name="20% - Ênfase1 4 3 2 2 4 2" xfId="36808"/>
    <cellStyle name="40% - Ênfase1 4 3 2 2 4 2" xfId="36809"/>
    <cellStyle name="20% - Ênfase2 4 3 2 2 4 2" xfId="36810"/>
    <cellStyle name="40% - Ênfase2 4 3 2 2 4 2" xfId="36811"/>
    <cellStyle name="20% - Ênfase3 4 3 2 2 4 2" xfId="36812"/>
    <cellStyle name="40% - Ênfase3 4 3 2 2 4 2" xfId="36813"/>
    <cellStyle name="20% - Ênfase4 4 3 2 2 4 2" xfId="36814"/>
    <cellStyle name="40% - Ênfase4 4 3 2 2 4 2" xfId="36815"/>
    <cellStyle name="20% - Ênfase5 4 3 2 2 4 2" xfId="36816"/>
    <cellStyle name="40% - Ênfase5 4 3 2 2 4 2" xfId="36817"/>
    <cellStyle name="20% - Ênfase6 4 3 2 2 4 2" xfId="36818"/>
    <cellStyle name="40% - Ênfase6 4 3 2 2 4 2" xfId="36819"/>
    <cellStyle name="20% - Ênfase1 6 2 2 2 4 2" xfId="36820"/>
    <cellStyle name="40% - Ênfase1 6 2 2 2 4 2" xfId="36821"/>
    <cellStyle name="20% - Ênfase2 6 2 2 2 4 2" xfId="36822"/>
    <cellStyle name="40% - Ênfase2 6 2 2 2 4 2" xfId="36823"/>
    <cellStyle name="20% - Ênfase3 6 2 2 2 4 2" xfId="36824"/>
    <cellStyle name="40% - Ênfase3 6 2 2 2 4 2" xfId="36825"/>
    <cellStyle name="20% - Ênfase4 6 2 2 2 4 2" xfId="36826"/>
    <cellStyle name="40% - Ênfase4 6 2 2 2 4 2" xfId="36827"/>
    <cellStyle name="20% - Ênfase5 6 2 2 2 4 2" xfId="36828"/>
    <cellStyle name="40% - Ênfase5 6 2 2 2 4 2" xfId="36829"/>
    <cellStyle name="20% - Ênfase6 6 2 2 2 4 2" xfId="36830"/>
    <cellStyle name="40% - Ênfase6 6 2 2 2 4 2" xfId="36831"/>
    <cellStyle name="Normal 4 3 2 2 2 4 2" xfId="36832"/>
    <cellStyle name="Nota 2 3 2 2 2 4 2" xfId="36833"/>
    <cellStyle name="Normal 5 3 2 2 2 4 2" xfId="36834"/>
    <cellStyle name="Nota 3 3 2 2 2 4 2" xfId="36835"/>
    <cellStyle name="20% - Ênfase1 2 3 2 2 2 4 2" xfId="36836"/>
    <cellStyle name="40% - Ênfase1 2 3 2 2 2 4 2" xfId="36837"/>
    <cellStyle name="20% - Ênfase2 2 3 2 2 2 4 2" xfId="36838"/>
    <cellStyle name="40% - Ênfase2 2 3 2 2 2 4 2" xfId="36839"/>
    <cellStyle name="20% - Ênfase3 2 3 2 2 2 4 2" xfId="36840"/>
    <cellStyle name="40% - Ênfase3 2 3 2 2 2 4 2" xfId="36841"/>
    <cellStyle name="20% - Ênfase4 2 3 2 2 2 4 2" xfId="36842"/>
    <cellStyle name="40% - Ênfase4 2 3 2 2 2 4 2" xfId="36843"/>
    <cellStyle name="20% - Ênfase5 2 3 2 2 2 4 2" xfId="36844"/>
    <cellStyle name="40% - Ênfase5 2 3 2 2 2 4 2" xfId="36845"/>
    <cellStyle name="20% - Ênfase6 2 3 2 2 2 4 2" xfId="36846"/>
    <cellStyle name="40% - Ênfase6 2 3 2 2 2 4 2" xfId="36847"/>
    <cellStyle name="Normal 7 3 2 2 2 4 2" xfId="36848"/>
    <cellStyle name="Nota 4 2 2 2 2 4 2" xfId="36849"/>
    <cellStyle name="20% - Ênfase1 3 2 2 2 2 4 2" xfId="36850"/>
    <cellStyle name="40% - Ênfase1 3 2 2 2 2 4 2" xfId="36851"/>
    <cellStyle name="20% - Ênfase2 3 2 2 2 2 4 2" xfId="36852"/>
    <cellStyle name="40% - Ênfase2 3 2 2 2 2 4 2" xfId="36853"/>
    <cellStyle name="20% - Ênfase3 3 2 2 2 2 4 2" xfId="36854"/>
    <cellStyle name="40% - Ênfase3 3 2 2 2 2 4 2" xfId="36855"/>
    <cellStyle name="20% - Ênfase4 3 2 2 2 2 4 2" xfId="36856"/>
    <cellStyle name="40% - Ênfase4 3 2 2 2 2 4 2" xfId="36857"/>
    <cellStyle name="20% - Ênfase5 3 2 2 2 2 4 2" xfId="36858"/>
    <cellStyle name="40% - Ênfase5 3 2 2 2 2 4 2" xfId="36859"/>
    <cellStyle name="20% - Ênfase6 3 2 2 2 2 4 2" xfId="36860"/>
    <cellStyle name="40% - Ênfase6 3 2 2 2 2 4 2" xfId="36861"/>
    <cellStyle name="Normal 8 2 2 2 2 4 2" xfId="36862"/>
    <cellStyle name="Nota 5 2 2 2 2 4 2" xfId="36863"/>
    <cellStyle name="20% - Ênfase1 4 2 2 2 2 4 2" xfId="36864"/>
    <cellStyle name="40% - Ênfase1 4 2 2 2 2 4 2" xfId="36865"/>
    <cellStyle name="20% - Ênfase2 4 2 2 2 2 4 2" xfId="36866"/>
    <cellStyle name="40% - Ênfase2 4 2 2 2 2 4 2" xfId="36867"/>
    <cellStyle name="20% - Ênfase3 4 2 2 2 2 4 2" xfId="36868"/>
    <cellStyle name="40% - Ênfase3 4 2 2 2 2 4 2" xfId="36869"/>
    <cellStyle name="20% - Ênfase4 4 2 2 2 2 4 2" xfId="36870"/>
    <cellStyle name="40% - Ênfase4 4 2 2 2 2 4 2" xfId="36871"/>
    <cellStyle name="20% - Ênfase5 4 2 2 2 2 4 2" xfId="36872"/>
    <cellStyle name="40% - Ênfase5 4 2 2 2 2 4 2" xfId="36873"/>
    <cellStyle name="20% - Ênfase6 4 2 2 2 2 4 2" xfId="36874"/>
    <cellStyle name="40% - Ênfase6 4 2 2 2 2 4 2" xfId="36875"/>
    <cellStyle name="Normal 3 5 2 4 2" xfId="36876"/>
    <cellStyle name="20% - Ênfase1 5 4 2 4 2" xfId="36877"/>
    <cellStyle name="40% - Ênfase1 5 4 2 4 2" xfId="36878"/>
    <cellStyle name="20% - Ênfase2 5 4 2 4 2" xfId="36879"/>
    <cellStyle name="40% - Ênfase2 5 4 2 4 2" xfId="36880"/>
    <cellStyle name="20% - Ênfase3 5 4 2 4 2" xfId="36881"/>
    <cellStyle name="40% - Ênfase3 5 4 2 4 2" xfId="36882"/>
    <cellStyle name="20% - Ênfase4 5 4 2 4 2" xfId="36883"/>
    <cellStyle name="40% - Ênfase4 5 4 2 4 2" xfId="36884"/>
    <cellStyle name="20% - Ênfase5 5 4 2 4 2" xfId="36885"/>
    <cellStyle name="40% - Ênfase5 5 4 2 4 2" xfId="36886"/>
    <cellStyle name="20% - Ênfase6 5 4 2 4 2" xfId="36887"/>
    <cellStyle name="40% - Ênfase6 5 4 2 4 2" xfId="36888"/>
    <cellStyle name="Normal 4 2 4 2 4 2" xfId="36889"/>
    <cellStyle name="Nota 2 2 4 2 4 2" xfId="36890"/>
    <cellStyle name="Normal 5 2 4 2 4 2" xfId="36891"/>
    <cellStyle name="Nota 3 2 4 2 4 2" xfId="36892"/>
    <cellStyle name="20% - Ênfase1 2 2 4 2 4 2" xfId="36893"/>
    <cellStyle name="40% - Ênfase1 2 2 4 2 4 2" xfId="36894"/>
    <cellStyle name="20% - Ênfase2 2 2 4 2 4 2" xfId="36895"/>
    <cellStyle name="40% - Ênfase2 2 2 4 2 4 2" xfId="36896"/>
    <cellStyle name="20% - Ênfase3 2 2 4 2 4 2" xfId="36897"/>
    <cellStyle name="40% - Ênfase3 2 2 4 2 4 2" xfId="36898"/>
    <cellStyle name="20% - Ênfase4 2 2 4 2 4 2" xfId="36899"/>
    <cellStyle name="40% - Ênfase4 2 2 4 2 4 2" xfId="36900"/>
    <cellStyle name="20% - Ênfase5 2 2 4 2 4 2" xfId="36901"/>
    <cellStyle name="40% - Ênfase5 2 2 4 2 4 2" xfId="36902"/>
    <cellStyle name="20% - Ênfase6 2 2 4 2 4 2" xfId="36903"/>
    <cellStyle name="40% - Ênfase6 2 2 4 2 4 2" xfId="36904"/>
    <cellStyle name="Normal 7 2 4 2 4 2" xfId="36905"/>
    <cellStyle name="Nota 4 6 2 4 2" xfId="36906"/>
    <cellStyle name="20% - Ênfase1 3 6 2 4 2" xfId="36907"/>
    <cellStyle name="40% - Ênfase1 3 6 2 4 2" xfId="36908"/>
    <cellStyle name="20% - Ênfase2 3 6 2 4 2" xfId="36909"/>
    <cellStyle name="40% - Ênfase2 3 6 2 4 2" xfId="36910"/>
    <cellStyle name="20% - Ênfase3 3 6 2 4 2" xfId="36911"/>
    <cellStyle name="40% - Ênfase3 3 6 2 4 2" xfId="36912"/>
    <cellStyle name="20% - Ênfase4 3 6 2 4 2" xfId="36913"/>
    <cellStyle name="40% - Ênfase4 3 6 2 4 2" xfId="36914"/>
    <cellStyle name="20% - Ênfase5 3 6 2 4 2" xfId="36915"/>
    <cellStyle name="40% - Ênfase5 3 6 2 4 2" xfId="36916"/>
    <cellStyle name="20% - Ênfase6 3 6 2 4 2" xfId="36917"/>
    <cellStyle name="40% - Ênfase6 3 6 2 4 2" xfId="36918"/>
    <cellStyle name="Normal 8 6 3 4 2" xfId="36919"/>
    <cellStyle name="Nota 5 6 2 4 2" xfId="36920"/>
    <cellStyle name="20% - Ênfase1 4 6 2 4 2" xfId="36921"/>
    <cellStyle name="40% - Ênfase1 4 6 2 4 2" xfId="36922"/>
    <cellStyle name="20% - Ênfase2 4 6 2 4 2" xfId="36923"/>
    <cellStyle name="40% - Ênfase2 4 6 2 4 2" xfId="36924"/>
    <cellStyle name="20% - Ênfase3 4 6 2 4 2" xfId="36925"/>
    <cellStyle name="40% - Ênfase3 4 6 2 4 2" xfId="36926"/>
    <cellStyle name="20% - Ênfase4 4 6 2 4 2" xfId="36927"/>
    <cellStyle name="40% - Ênfase4 4 6 2 4 2" xfId="36928"/>
    <cellStyle name="20% - Ênfase5 4 6 2 4 2" xfId="36929"/>
    <cellStyle name="40% - Ênfase5 4 6 2 4 2" xfId="36930"/>
    <cellStyle name="20% - Ênfase6 4 6 2 4 2" xfId="36931"/>
    <cellStyle name="40% - Ênfase6 4 6 2 4 2" xfId="36932"/>
    <cellStyle name="20% - Ênfase1 6 4 2 4 2" xfId="36933"/>
    <cellStyle name="40% - Ênfase1 6 4 2 4 2" xfId="36934"/>
    <cellStyle name="20% - Ênfase2 6 4 2 4 2" xfId="36935"/>
    <cellStyle name="40% - Ênfase2 6 4 2 4 2" xfId="36936"/>
    <cellStyle name="20% - Ênfase3 6 4 2 4 2" xfId="36937"/>
    <cellStyle name="40% - Ênfase3 6 4 2 4 2" xfId="36938"/>
    <cellStyle name="20% - Ênfase4 6 4 2 4 2" xfId="36939"/>
    <cellStyle name="40% - Ênfase4 6 4 2 4 2" xfId="36940"/>
    <cellStyle name="20% - Ênfase5 6 4 2 4 2" xfId="36941"/>
    <cellStyle name="40% - Ênfase5 6 4 2 4 2" xfId="36942"/>
    <cellStyle name="20% - Ênfase6 6 4 2 4 2" xfId="36943"/>
    <cellStyle name="40% - Ênfase6 6 4 2 4 2" xfId="36944"/>
    <cellStyle name="Normal 4 3 4 2 4 2" xfId="36945"/>
    <cellStyle name="Nota 2 3 4 2 4 2" xfId="36946"/>
    <cellStyle name="Normal 5 3 4 2 4 2" xfId="36947"/>
    <cellStyle name="Nota 3 3 4 2 4 2" xfId="36948"/>
    <cellStyle name="20% - Ênfase1 2 3 4 2 4 2" xfId="36949"/>
    <cellStyle name="40% - Ênfase1 2 3 4 2 4 2" xfId="36950"/>
    <cellStyle name="20% - Ênfase2 2 3 4 2 4 2" xfId="36951"/>
    <cellStyle name="40% - Ênfase2 2 3 4 2 4 2" xfId="36952"/>
    <cellStyle name="20% - Ênfase3 2 3 4 2 4 2" xfId="36953"/>
    <cellStyle name="40% - Ênfase3 2 3 4 2 4 2" xfId="36954"/>
    <cellStyle name="20% - Ênfase4 2 3 4 2 4 2" xfId="36955"/>
    <cellStyle name="40% - Ênfase4 2 3 4 2 4 2" xfId="36956"/>
    <cellStyle name="20% - Ênfase5 2 3 4 2 4 2" xfId="36957"/>
    <cellStyle name="40% - Ênfase5 2 3 4 2 4 2" xfId="36958"/>
    <cellStyle name="20% - Ênfase6 2 3 4 2 4 2" xfId="36959"/>
    <cellStyle name="40% - Ênfase6 2 3 4 2 4 2" xfId="36960"/>
    <cellStyle name="Normal 7 3 4 2 4 2" xfId="36961"/>
    <cellStyle name="Nota 4 2 4 2 4 2" xfId="36962"/>
    <cellStyle name="20% - Ênfase1 3 2 4 2 4 2" xfId="36963"/>
    <cellStyle name="40% - Ênfase1 3 2 4 2 4 2" xfId="36964"/>
    <cellStyle name="20% - Ênfase2 3 2 4 2 4 2" xfId="36965"/>
    <cellStyle name="40% - Ênfase2 3 2 4 2 4 2" xfId="36966"/>
    <cellStyle name="20% - Ênfase3 3 2 4 2 4 2" xfId="36967"/>
    <cellStyle name="40% - Ênfase3 3 2 4 2 4 2" xfId="36968"/>
    <cellStyle name="20% - Ênfase4 3 2 4 2 4 2" xfId="36969"/>
    <cellStyle name="40% - Ênfase4 3 2 4 2 4 2" xfId="36970"/>
    <cellStyle name="20% - Ênfase5 3 2 4 2 4 2" xfId="36971"/>
    <cellStyle name="40% - Ênfase5 3 2 4 2 4 2" xfId="36972"/>
    <cellStyle name="20% - Ênfase6 3 2 4 2 4 2" xfId="36973"/>
    <cellStyle name="40% - Ênfase6 3 2 4 2 4 2" xfId="36974"/>
    <cellStyle name="Normal 8 2 4 2 4 2" xfId="36975"/>
    <cellStyle name="Nota 5 2 4 2 4 2" xfId="36976"/>
    <cellStyle name="20% - Ênfase1 4 2 4 2 4 2" xfId="36977"/>
    <cellStyle name="40% - Ênfase1 4 2 4 2 4 2" xfId="36978"/>
    <cellStyle name="20% - Ênfase2 4 2 4 2 4 2" xfId="36979"/>
    <cellStyle name="40% - Ênfase2 4 2 4 2 4 2" xfId="36980"/>
    <cellStyle name="20% - Ênfase3 4 2 4 2 4 2" xfId="36981"/>
    <cellStyle name="40% - Ênfase3 4 2 4 2 4 2" xfId="36982"/>
    <cellStyle name="20% - Ênfase4 4 2 4 2 4 2" xfId="36983"/>
    <cellStyle name="40% - Ênfase4 4 2 4 2 4 2" xfId="36984"/>
    <cellStyle name="20% - Ênfase5 4 2 4 2 4 2" xfId="36985"/>
    <cellStyle name="40% - Ênfase5 4 2 4 2 4 2" xfId="36986"/>
    <cellStyle name="20% - Ênfase6 4 2 4 2 4 2" xfId="36987"/>
    <cellStyle name="40% - Ênfase6 4 2 4 2 4 2" xfId="36988"/>
    <cellStyle name="20% - Ênfase1 8 3 2 4 2" xfId="36989"/>
    <cellStyle name="40% - Ênfase1 8 3 2 4 2" xfId="36990"/>
    <cellStyle name="20% - Ênfase2 8 3 2 4 2" xfId="36991"/>
    <cellStyle name="40% - Ênfase2 8 3 2 4 2" xfId="36992"/>
    <cellStyle name="20% - Ênfase3 8 3 2 4 2" xfId="36993"/>
    <cellStyle name="40% - Ênfase3 8 3 2 4 2" xfId="36994"/>
    <cellStyle name="20% - Ênfase4 8 3 2 4 2" xfId="36995"/>
    <cellStyle name="40% - Ênfase4 8 3 2 4 2" xfId="36996"/>
    <cellStyle name="20% - Ênfase5 8 3 2 4 2" xfId="36997"/>
    <cellStyle name="40% - Ênfase5 8 3 2 4 2" xfId="36998"/>
    <cellStyle name="20% - Ênfase6 8 3 2 4 2" xfId="36999"/>
    <cellStyle name="40% - Ênfase6 8 3 2 4 2" xfId="37000"/>
    <cellStyle name="Normal 4 5 3 2 4 2" xfId="37001"/>
    <cellStyle name="Nota 2 5 3 2 4 2" xfId="37002"/>
    <cellStyle name="Normal 5 5 3 2 4 2" xfId="37003"/>
    <cellStyle name="Nota 3 5 3 2 4 2" xfId="37004"/>
    <cellStyle name="20% - Ênfase1 2 5 3 2 4 2" xfId="37005"/>
    <cellStyle name="40% - Ênfase1 2 5 3 2 4 2" xfId="37006"/>
    <cellStyle name="20% - Ênfase2 2 5 3 2 4 2" xfId="37007"/>
    <cellStyle name="40% - Ênfase2 2 5 3 2 4 2" xfId="37008"/>
    <cellStyle name="20% - Ênfase3 2 5 3 2 4 2" xfId="37009"/>
    <cellStyle name="40% - Ênfase3 2 5 3 2 4 2" xfId="37010"/>
    <cellStyle name="20% - Ênfase4 2 5 3 2 4 2" xfId="37011"/>
    <cellStyle name="40% - Ênfase4 2 5 3 2 4 2" xfId="37012"/>
    <cellStyle name="20% - Ênfase5 2 5 3 2 4 2" xfId="37013"/>
    <cellStyle name="40% - Ênfase5 2 5 3 2 4 2" xfId="37014"/>
    <cellStyle name="20% - Ênfase6 2 5 3 2 4 2" xfId="37015"/>
    <cellStyle name="40% - Ênfase6 2 5 3 2 4 2" xfId="37016"/>
    <cellStyle name="Normal 7 5 3 2 4 2" xfId="37017"/>
    <cellStyle name="Nota 4 4 3 2 4 2" xfId="37018"/>
    <cellStyle name="20% - Ênfase1 3 4 3 2 4 2" xfId="37019"/>
    <cellStyle name="40% - Ênfase1 3 4 3 2 4 2" xfId="37020"/>
    <cellStyle name="20% - Ênfase2 3 4 3 2 4 2" xfId="37021"/>
    <cellStyle name="40% - Ênfase2 3 4 3 2 4 2" xfId="37022"/>
    <cellStyle name="20% - Ênfase3 3 4 3 2 4 2" xfId="37023"/>
    <cellStyle name="40% - Ênfase3 3 4 3 2 4 2" xfId="37024"/>
    <cellStyle name="20% - Ênfase4 3 4 3 2 4 2" xfId="37025"/>
    <cellStyle name="40% - Ênfase4 3 4 3 2 4 2" xfId="37026"/>
    <cellStyle name="20% - Ênfase5 3 4 3 2 4 2" xfId="37027"/>
    <cellStyle name="40% - Ênfase5 3 4 3 2 4 2" xfId="37028"/>
    <cellStyle name="20% - Ênfase6 3 4 3 2 4 2" xfId="37029"/>
    <cellStyle name="40% - Ênfase6 3 4 3 2 4 2" xfId="37030"/>
    <cellStyle name="Normal 8 4 3 2 4 2" xfId="37031"/>
    <cellStyle name="Nota 5 4 3 2 4 2" xfId="37032"/>
    <cellStyle name="20% - Ênfase1 4 4 3 2 4 2" xfId="37033"/>
    <cellStyle name="40% - Ênfase1 4 4 3 2 4 2" xfId="37034"/>
    <cellStyle name="20% - Ênfase2 4 4 3 2 4 2" xfId="37035"/>
    <cellStyle name="40% - Ênfase2 4 4 3 2 4 2" xfId="37036"/>
    <cellStyle name="20% - Ênfase3 4 4 3 2 4 2" xfId="37037"/>
    <cellStyle name="40% - Ênfase3 4 4 3 2 4 2" xfId="37038"/>
    <cellStyle name="20% - Ênfase4 4 4 3 2 4 2" xfId="37039"/>
    <cellStyle name="40% - Ênfase4 4 4 3 2 4 2" xfId="37040"/>
    <cellStyle name="20% - Ênfase5 4 4 3 2 4 2" xfId="37041"/>
    <cellStyle name="40% - Ênfase5 4 4 3 2 4 2" xfId="37042"/>
    <cellStyle name="20% - Ênfase6 4 4 3 2 4 2" xfId="37043"/>
    <cellStyle name="40% - Ênfase6 4 4 3 2 4 2" xfId="37044"/>
    <cellStyle name="Normal 3 3 3 2 4 2" xfId="37045"/>
    <cellStyle name="20% - Ênfase1 5 2 3 2 4 2" xfId="37046"/>
    <cellStyle name="40% - Ênfase1 5 2 3 2 4 2" xfId="37047"/>
    <cellStyle name="20% - Ênfase2 5 2 3 2 4 2" xfId="37048"/>
    <cellStyle name="40% - Ênfase2 5 2 3 2 4 2" xfId="37049"/>
    <cellStyle name="20% - Ênfase3 5 2 3 2 4 2" xfId="37050"/>
    <cellStyle name="40% - Ênfase3 5 2 3 2 4 2" xfId="37051"/>
    <cellStyle name="20% - Ênfase4 5 2 3 2 4 2" xfId="37052"/>
    <cellStyle name="40% - Ênfase4 5 2 3 2 4 2" xfId="37053"/>
    <cellStyle name="20% - Ênfase5 5 2 3 2 4 2" xfId="37054"/>
    <cellStyle name="40% - Ênfase5 5 2 3 2 4 2" xfId="37055"/>
    <cellStyle name="20% - Ênfase6 5 2 3 2 4 2" xfId="37056"/>
    <cellStyle name="40% - Ênfase6 5 2 3 2 4 2" xfId="37057"/>
    <cellStyle name="Normal 4 2 2 3 2 4 2" xfId="37058"/>
    <cellStyle name="Nota 2 2 2 3 2 4 2" xfId="37059"/>
    <cellStyle name="Normal 5 2 2 3 2 4 2" xfId="37060"/>
    <cellStyle name="Nota 3 2 2 3 2 4 2" xfId="37061"/>
    <cellStyle name="20% - Ênfase1 2 2 2 3 2 4 2" xfId="37062"/>
    <cellStyle name="40% - Ênfase1 2 2 2 3 2 4 2" xfId="37063"/>
    <cellStyle name="20% - Ênfase2 2 2 2 3 2 4 2" xfId="37064"/>
    <cellStyle name="40% - Ênfase2 2 2 2 3 2 4 2" xfId="37065"/>
    <cellStyle name="20% - Ênfase3 2 2 2 3 2 4 2" xfId="37066"/>
    <cellStyle name="40% - Ênfase3 2 2 2 3 2 4 2" xfId="37067"/>
    <cellStyle name="20% - Ênfase4 2 2 2 3 2 4 2" xfId="37068"/>
    <cellStyle name="40% - Ênfase4 2 2 2 3 2 4 2" xfId="37069"/>
    <cellStyle name="20% - Ênfase5 2 2 2 3 2 4 2" xfId="37070"/>
    <cellStyle name="40% - Ênfase5 2 2 2 3 2 4 2" xfId="37071"/>
    <cellStyle name="20% - Ênfase6 2 2 2 3 2 4 2" xfId="37072"/>
    <cellStyle name="40% - Ênfase6 2 2 2 3 2 4 2" xfId="37073"/>
    <cellStyle name="Normal 7 2 2 3 2 4 2" xfId="37074"/>
    <cellStyle name="Nota 4 3 3 2 4 2" xfId="37075"/>
    <cellStyle name="20% - Ênfase1 3 3 3 2 4 2" xfId="37076"/>
    <cellStyle name="40% - Ênfase1 3 3 3 2 4 2" xfId="37077"/>
    <cellStyle name="20% - Ênfase2 3 3 3 2 4 2" xfId="37078"/>
    <cellStyle name="40% - Ênfase2 3 3 3 2 4 2" xfId="37079"/>
    <cellStyle name="20% - Ênfase3 3 3 3 2 4 2" xfId="37080"/>
    <cellStyle name="40% - Ênfase3 3 3 3 2 4 2" xfId="37081"/>
    <cellStyle name="20% - Ênfase4 3 3 3 2 4 2" xfId="37082"/>
    <cellStyle name="40% - Ênfase4 3 3 3 2 4 2" xfId="37083"/>
    <cellStyle name="20% - Ênfase5 3 3 3 2 4 2" xfId="37084"/>
    <cellStyle name="40% - Ênfase5 3 3 3 2 4 2" xfId="37085"/>
    <cellStyle name="20% - Ênfase6 3 3 3 2 4 2" xfId="37086"/>
    <cellStyle name="40% - Ênfase6 3 3 3 2 4 2" xfId="37087"/>
    <cellStyle name="Normal 8 3 3 2 4 2" xfId="37088"/>
    <cellStyle name="Nota 5 3 3 2 4 2" xfId="37089"/>
    <cellStyle name="20% - Ênfase1 4 3 3 2 4 2" xfId="37090"/>
    <cellStyle name="40% - Ênfase1 4 3 3 2 4 2" xfId="37091"/>
    <cellStyle name="20% - Ênfase2 4 3 3 2 4 2" xfId="37092"/>
    <cellStyle name="40% - Ênfase2 4 3 3 2 4 2" xfId="37093"/>
    <cellStyle name="20% - Ênfase3 4 3 3 2 4 2" xfId="37094"/>
    <cellStyle name="40% - Ênfase3 4 3 3 2 4 2" xfId="37095"/>
    <cellStyle name="20% - Ênfase4 4 3 3 2 4 2" xfId="37096"/>
    <cellStyle name="40% - Ênfase4 4 3 3 2 4 2" xfId="37097"/>
    <cellStyle name="20% - Ênfase5 4 3 3 2 4 2" xfId="37098"/>
    <cellStyle name="40% - Ênfase5 4 3 3 2 4 2" xfId="37099"/>
    <cellStyle name="20% - Ênfase6 4 3 3 2 4 2" xfId="37100"/>
    <cellStyle name="40% - Ênfase6 4 3 3 2 4 2" xfId="37101"/>
    <cellStyle name="20% - Ênfase1 6 2 3 2 4 2" xfId="37102"/>
    <cellStyle name="40% - Ênfase1 6 2 3 2 4 2" xfId="37103"/>
    <cellStyle name="20% - Ênfase2 6 2 3 2 4 2" xfId="37104"/>
    <cellStyle name="40% - Ênfase2 6 2 3 2 4 2" xfId="37105"/>
    <cellStyle name="20% - Ênfase3 6 2 3 2 4 2" xfId="37106"/>
    <cellStyle name="40% - Ênfase3 6 2 3 2 4 2" xfId="37107"/>
    <cellStyle name="20% - Ênfase4 6 2 3 2 4 2" xfId="37108"/>
    <cellStyle name="40% - Ênfase4 6 2 3 2 4 2" xfId="37109"/>
    <cellStyle name="20% - Ênfase5 6 2 3 2 4 2" xfId="37110"/>
    <cellStyle name="40% - Ênfase5 6 2 3 2 4 2" xfId="37111"/>
    <cellStyle name="20% - Ênfase6 6 2 3 2 4 2" xfId="37112"/>
    <cellStyle name="40% - Ênfase6 6 2 3 2 4 2" xfId="37113"/>
    <cellStyle name="Normal 4 3 2 3 2 4 2" xfId="37114"/>
    <cellStyle name="Nota 2 3 2 3 2 4 2" xfId="37115"/>
    <cellStyle name="Normal 5 3 2 3 2 4 2" xfId="37116"/>
    <cellStyle name="Nota 3 3 2 3 2 4 2" xfId="37117"/>
    <cellStyle name="20% - Ênfase1 2 3 2 3 2 4 2" xfId="37118"/>
    <cellStyle name="40% - Ênfase1 2 3 2 3 2 4 2" xfId="37119"/>
    <cellStyle name="20% - Ênfase2 2 3 2 3 2 4 2" xfId="37120"/>
    <cellStyle name="40% - Ênfase2 2 3 2 3 2 4 2" xfId="37121"/>
    <cellStyle name="20% - Ênfase3 2 3 2 3 2 4 2" xfId="37122"/>
    <cellStyle name="40% - Ênfase3 2 3 2 3 2 4 2" xfId="37123"/>
    <cellStyle name="20% - Ênfase4 2 3 2 3 2 4 2" xfId="37124"/>
    <cellStyle name="40% - Ênfase4 2 3 2 3 2 4 2" xfId="37125"/>
    <cellStyle name="20% - Ênfase5 2 3 2 3 2 4 2" xfId="37126"/>
    <cellStyle name="40% - Ênfase5 2 3 2 3 2 4 2" xfId="37127"/>
    <cellStyle name="20% - Ênfase6 2 3 2 3 2 4 2" xfId="37128"/>
    <cellStyle name="40% - Ênfase6 2 3 2 3 2 4 2" xfId="37129"/>
    <cellStyle name="Normal 7 3 2 3 2 4 2" xfId="37130"/>
    <cellStyle name="Nota 4 2 2 3 2 4 2" xfId="37131"/>
    <cellStyle name="20% - Ênfase1 3 2 2 3 2 4 2" xfId="37132"/>
    <cellStyle name="40% - Ênfase1 3 2 2 3 2 4 2" xfId="37133"/>
    <cellStyle name="20% - Ênfase2 3 2 2 3 2 4 2" xfId="37134"/>
    <cellStyle name="40% - Ênfase2 3 2 2 3 2 4 2" xfId="37135"/>
    <cellStyle name="20% - Ênfase3 3 2 2 3 2 4 2" xfId="37136"/>
    <cellStyle name="40% - Ênfase3 3 2 2 3 2 4 2" xfId="37137"/>
    <cellStyle name="20% - Ênfase4 3 2 2 3 2 4 2" xfId="37138"/>
    <cellStyle name="40% - Ênfase4 3 2 2 3 2 4 2" xfId="37139"/>
    <cellStyle name="20% - Ênfase5 3 2 2 3 2 4 2" xfId="37140"/>
    <cellStyle name="40% - Ênfase5 3 2 2 3 2 4 2" xfId="37141"/>
    <cellStyle name="20% - Ênfase6 3 2 2 3 2 4 2" xfId="37142"/>
    <cellStyle name="40% - Ênfase6 3 2 2 3 2 4 2" xfId="37143"/>
    <cellStyle name="Normal 8 2 2 3 2 4 2" xfId="37144"/>
    <cellStyle name="Nota 5 2 2 3 2 4 2" xfId="37145"/>
    <cellStyle name="20% - Ênfase1 4 2 2 3 2 4 2" xfId="37146"/>
    <cellStyle name="40% - Ênfase1 4 2 2 3 2 4 2" xfId="37147"/>
    <cellStyle name="20% - Ênfase2 4 2 2 3 2 4 2" xfId="37148"/>
    <cellStyle name="40% - Ênfase2 4 2 2 3 2 4 2" xfId="37149"/>
    <cellStyle name="20% - Ênfase3 4 2 2 3 2 4 2" xfId="37150"/>
    <cellStyle name="40% - Ênfase3 4 2 2 3 2 4 2" xfId="37151"/>
    <cellStyle name="20% - Ênfase4 4 2 2 3 2 4 2" xfId="37152"/>
    <cellStyle name="40% - Ênfase4 4 2 2 3 2 4 2" xfId="37153"/>
    <cellStyle name="20% - Ênfase5 4 2 2 3 2 4 2" xfId="37154"/>
    <cellStyle name="40% - Ênfase5 4 2 2 3 2 4 2" xfId="37155"/>
    <cellStyle name="20% - Ênfase6 4 2 2 3 2 4 2" xfId="37156"/>
    <cellStyle name="40% - Ênfase6 4 2 2 3 2 4 2" xfId="37157"/>
    <cellStyle name="Normal 3 6 2 4 2" xfId="37158"/>
    <cellStyle name="20% - Ênfase1 5 5 2 4 2" xfId="37159"/>
    <cellStyle name="40% - Ênfase1 5 5 2 4 2" xfId="37160"/>
    <cellStyle name="20% - Ênfase2 5 5 2 4 2" xfId="37161"/>
    <cellStyle name="40% - Ênfase2 5 5 2 4 2" xfId="37162"/>
    <cellStyle name="20% - Ênfase3 5 5 2 4 2" xfId="37163"/>
    <cellStyle name="40% - Ênfase3 5 5 2 4 2" xfId="37164"/>
    <cellStyle name="20% - Ênfase4 5 5 2 4 2" xfId="37165"/>
    <cellStyle name="40% - Ênfase4 5 5 2 4 2" xfId="37166"/>
    <cellStyle name="20% - Ênfase5 5 5 2 4 2" xfId="37167"/>
    <cellStyle name="40% - Ênfase5 5 5 2 4 2" xfId="37168"/>
    <cellStyle name="20% - Ênfase6 5 5 2 4 2" xfId="37169"/>
    <cellStyle name="40% - Ênfase6 5 5 2 4 2" xfId="37170"/>
    <cellStyle name="Normal 4 2 5 2 4 2" xfId="37171"/>
    <cellStyle name="Nota 2 2 5 2 4 2" xfId="37172"/>
    <cellStyle name="Normal 5 2 5 2 4 2" xfId="37173"/>
    <cellStyle name="Nota 3 2 5 2 4 2" xfId="37174"/>
    <cellStyle name="20% - Ênfase1 2 2 5 2 4 2" xfId="37175"/>
    <cellStyle name="40% - Ênfase1 2 2 5 2 4 2" xfId="37176"/>
    <cellStyle name="20% - Ênfase2 2 2 5 2 4 2" xfId="37177"/>
    <cellStyle name="40% - Ênfase2 2 2 5 2 4 2" xfId="37178"/>
    <cellStyle name="20% - Ênfase3 2 2 5 2 4 2" xfId="37179"/>
    <cellStyle name="40% - Ênfase3 2 2 5 2 4 2" xfId="37180"/>
    <cellStyle name="20% - Ênfase4 2 2 5 2 4 2" xfId="37181"/>
    <cellStyle name="40% - Ênfase4 2 2 5 2 4 2" xfId="37182"/>
    <cellStyle name="20% - Ênfase5 2 2 5 2 4 2" xfId="37183"/>
    <cellStyle name="40% - Ênfase5 2 2 5 2 4 2" xfId="37184"/>
    <cellStyle name="20% - Ênfase6 2 2 5 2 4 2" xfId="37185"/>
    <cellStyle name="40% - Ênfase6 2 2 5 2 4 2" xfId="37186"/>
    <cellStyle name="Normal 7 2 5 2 4 2" xfId="37187"/>
    <cellStyle name="Nota 4 7 2 4 2" xfId="37188"/>
    <cellStyle name="20% - Ênfase1 3 7 2 4 2" xfId="37189"/>
    <cellStyle name="40% - Ênfase1 3 7 2 4 2" xfId="37190"/>
    <cellStyle name="20% - Ênfase2 3 7 2 4 2" xfId="37191"/>
    <cellStyle name="40% - Ênfase2 3 7 2 4 2" xfId="37192"/>
    <cellStyle name="20% - Ênfase3 3 7 2 4 2" xfId="37193"/>
    <cellStyle name="40% - Ênfase3 3 7 2 4 2" xfId="37194"/>
    <cellStyle name="20% - Ênfase4 3 7 2 4 2" xfId="37195"/>
    <cellStyle name="40% - Ênfase4 3 7 2 4 2" xfId="37196"/>
    <cellStyle name="20% - Ênfase5 3 7 2 4 2" xfId="37197"/>
    <cellStyle name="40% - Ênfase5 3 7 2 4 2" xfId="37198"/>
    <cellStyle name="20% - Ênfase6 3 7 2 4 2" xfId="37199"/>
    <cellStyle name="40% - Ênfase6 3 7 2 4 2" xfId="37200"/>
    <cellStyle name="Normal 8 7 2 4 2" xfId="37201"/>
    <cellStyle name="Nota 5 7 2 4 2" xfId="37202"/>
    <cellStyle name="20% - Ênfase1 4 7 2 4 2" xfId="37203"/>
    <cellStyle name="40% - Ênfase1 4 7 2 4 2" xfId="37204"/>
    <cellStyle name="20% - Ênfase2 4 7 2 4 2" xfId="37205"/>
    <cellStyle name="40% - Ênfase2 4 7 2 4 2" xfId="37206"/>
    <cellStyle name="20% - Ênfase3 4 7 2 4 2" xfId="37207"/>
    <cellStyle name="40% - Ênfase3 4 7 2 4 2" xfId="37208"/>
    <cellStyle name="20% - Ênfase4 4 7 2 4 2" xfId="37209"/>
    <cellStyle name="40% - Ênfase4 4 7 2 4 2" xfId="37210"/>
    <cellStyle name="20% - Ênfase5 4 7 2 4 2" xfId="37211"/>
    <cellStyle name="40% - Ênfase5 4 7 2 4 2" xfId="37212"/>
    <cellStyle name="20% - Ênfase6 4 7 2 4 2" xfId="37213"/>
    <cellStyle name="40% - Ênfase6 4 7 2 4 2" xfId="37214"/>
    <cellStyle name="Normal 6 4 2 4 2" xfId="37215"/>
    <cellStyle name="Separador de milhares 7 2 2 4 2" xfId="37216"/>
    <cellStyle name="Moeda 3 2" xfId="37217"/>
    <cellStyle name="Normal 17 2 2" xfId="37218"/>
    <cellStyle name="Vírgula 2 10 2" xfId="37219"/>
    <cellStyle name="Vírgula 22 2" xfId="37220"/>
    <cellStyle name="Separador de milhares 2 12 2" xfId="37221"/>
    <cellStyle name="Separador de milhares 3 9 2" xfId="37222"/>
    <cellStyle name="Separador de milhares 4 8 2" xfId="37223"/>
    <cellStyle name="Separador de milhares 5 9 2" xfId="37224"/>
    <cellStyle name="Separador de milhares 6 9 2" xfId="37225"/>
    <cellStyle name="Separador de milhares 7 7 2" xfId="37226"/>
    <cellStyle name="Normal 3 2 6 2" xfId="37227"/>
    <cellStyle name="Normal 6 10 2" xfId="37228"/>
    <cellStyle name="Comma 2 7 2" xfId="37229"/>
    <cellStyle name="Percent 2 7 2" xfId="37230"/>
    <cellStyle name="Separador de milhares 3 3 6 2" xfId="37231"/>
    <cellStyle name="Normal 6 2 6 2" xfId="37232"/>
    <cellStyle name="Comma 2 2 6 2" xfId="37233"/>
    <cellStyle name="Percent 2 2 5 2" xfId="37234"/>
    <cellStyle name="Normal 7 11 2" xfId="37235"/>
    <cellStyle name="Normal 8 16 2" xfId="37236"/>
    <cellStyle name="Comma 4 6 2" xfId="37237"/>
    <cellStyle name="Percent 3 6 2" xfId="37238"/>
    <cellStyle name="Normal 9 7 2" xfId="37239"/>
    <cellStyle name="Comma 5 6 2" xfId="37240"/>
    <cellStyle name="Normal 8 2 10 2" xfId="37241"/>
    <cellStyle name="Normal 8 3 9 2" xfId="37242"/>
    <cellStyle name="Normal 8 4 9 2" xfId="37243"/>
    <cellStyle name="Normal 8 5 9 2" xfId="37244"/>
    <cellStyle name="Normal 8 5 2 7 2" xfId="37245"/>
    <cellStyle name="Normal 7 2 11 2" xfId="37246"/>
    <cellStyle name="Vírgula 9 6 2" xfId="37247"/>
    <cellStyle name="Separador de milhares 2 2 8 2" xfId="37248"/>
    <cellStyle name="Separador de milhares 3 4 5 2" xfId="37249"/>
    <cellStyle name="Separador de milhares 4 3 5 2" xfId="37250"/>
    <cellStyle name="Separador de milhares 5 3 5 2" xfId="37251"/>
    <cellStyle name="Separador de milhares 6 3 5 2" xfId="37252"/>
    <cellStyle name="Separador de milhares 7 3 6 2" xfId="37253"/>
    <cellStyle name="Normal 3 2 2 5 2" xfId="37254"/>
    <cellStyle name="Normal 6 3 5 2" xfId="37255"/>
    <cellStyle name="Comma 2 3 5 2" xfId="37256"/>
    <cellStyle name="Percent 2 3 4 2" xfId="37257"/>
    <cellStyle name="Separador de milhares 3 3 2 5 2" xfId="37258"/>
    <cellStyle name="Normal 6 2 2 4 2" xfId="37259"/>
    <cellStyle name="Comma 2 2 2 4 2" xfId="37260"/>
    <cellStyle name="Percent 2 2 2 4 2" xfId="37261"/>
    <cellStyle name="Normal 7 3 10 2" xfId="37262"/>
    <cellStyle name="Comma 3 2 4 2" xfId="37263"/>
    <cellStyle name="Normal 8 6 7 2" xfId="37264"/>
    <cellStyle name="Comma 4 2 4 2" xfId="37265"/>
    <cellStyle name="Percent 3 2 4 2" xfId="37266"/>
    <cellStyle name="Normal 9 2 5 2" xfId="37267"/>
    <cellStyle name="Comma 5 2 4 2" xfId="37268"/>
    <cellStyle name="Normal 8 2 2 9 2" xfId="37269"/>
    <cellStyle name="Vírgula 13 2 4 2" xfId="37270"/>
    <cellStyle name="Vírgula 4 2 2 6 2" xfId="37271"/>
    <cellStyle name="Normal 8 3 2 7 2" xfId="37272"/>
    <cellStyle name="Normal 8 4 2 7 2" xfId="37273"/>
    <cellStyle name="Normal 8 5 3 5 2" xfId="37274"/>
    <cellStyle name="Normal 8 5 2 2 4 2" xfId="37275"/>
    <cellStyle name="Normal 7 2 2 9 2" xfId="37276"/>
    <cellStyle name="Vírgula 18 2 4 2" xfId="37277"/>
    <cellStyle name="Vírgula 12 2 5 2" xfId="37278"/>
    <cellStyle name="Normal 12 5 2" xfId="37279"/>
    <cellStyle name="Normal 3 8 5 2" xfId="37280"/>
    <cellStyle name="Percent 3 3 4 2" xfId="37281"/>
    <cellStyle name="Comma 2 4 4 2" xfId="37282"/>
    <cellStyle name="Comma 2 2 3 4 2" xfId="37283"/>
    <cellStyle name="Normal 6 7 4 2" xfId="37284"/>
    <cellStyle name="Normal 3 2 3 4 2" xfId="37285"/>
    <cellStyle name="Separador de milhares 2 9 4 2" xfId="37286"/>
    <cellStyle name="Normal 7 8 4 2" xfId="37287"/>
    <cellStyle name="Comma 2 3 2 4 2" xfId="37288"/>
    <cellStyle name="Separador de milhares 2 8 4 2" xfId="37289"/>
    <cellStyle name="Separador de milhares 3 6 4 2" xfId="37290"/>
    <cellStyle name="Separador de milhares 4 5 5 2" xfId="37291"/>
    <cellStyle name="Separador de milhares 5 5 5 2" xfId="37292"/>
    <cellStyle name="Separador de milhares 6 6 5 2" xfId="37293"/>
    <cellStyle name="Separador de milhares 7 4 4 2" xfId="37294"/>
    <cellStyle name="Comma 3 3 4 2" xfId="37295"/>
    <cellStyle name="Vírgula 7 2 4 2" xfId="37296"/>
    <cellStyle name="20% - Ênfase1 2 2 11 2" xfId="37297"/>
    <cellStyle name="20% - Ênfase1 2 2 2 8 2" xfId="37298"/>
    <cellStyle name="20% - Ênfase1 2 2 2 2 6 2" xfId="37299"/>
    <cellStyle name="20% - Ênfase1 2 2 2 3 6 2" xfId="37300"/>
    <cellStyle name="20% - Ênfase1 2 2 3 6 2" xfId="37301"/>
    <cellStyle name="20% - Ênfase1 2 2 4 6 2" xfId="37302"/>
    <cellStyle name="20% - Ênfase1 2 2 5 6 2" xfId="37303"/>
    <cellStyle name="20% - Ênfase1 2 3 10 2" xfId="37304"/>
    <cellStyle name="20% - Ênfase1 2 3 2 8 2" xfId="37305"/>
    <cellStyle name="20% - Ênfase1 2 3 2 2 6 2" xfId="37306"/>
    <cellStyle name="20% - Ênfase1 2 3 2 3 6 2" xfId="37307"/>
    <cellStyle name="20% - Ênfase1 2 3 3 6 2" xfId="37308"/>
    <cellStyle name="20% - Ênfase1 2 3 4 6 2" xfId="37309"/>
    <cellStyle name="20% - Ênfase1 2 5 8 2" xfId="37310"/>
    <cellStyle name="20% - Ênfase1 2 5 2 6 2" xfId="37311"/>
    <cellStyle name="20% - Ênfase1 2 5 3 6 2" xfId="37312"/>
    <cellStyle name="20% - Ênfase1 3 13 2" xfId="37313"/>
    <cellStyle name="20% - Ênfase1 3 2 10 2" xfId="37314"/>
    <cellStyle name="20% - Ênfase1 3 2 2 8 2" xfId="37315"/>
    <cellStyle name="20% - Ênfase1 3 2 2 2 6 2" xfId="37316"/>
    <cellStyle name="20% - Ênfase1 3 2 2 3 6 2" xfId="37317"/>
    <cellStyle name="20% - Ênfase1 3 2 3 6 2" xfId="37318"/>
    <cellStyle name="20% - Ênfase1 3 2 4 6 2" xfId="37319"/>
    <cellStyle name="20% - Ênfase1 3 3 9 2" xfId="37320"/>
    <cellStyle name="20% - Ênfase1 3 3 2 6 2" xfId="37321"/>
    <cellStyle name="20% - Ênfase1 3 3 3 6 2" xfId="37322"/>
    <cellStyle name="20% - Ênfase1 3 4 8 2" xfId="37323"/>
    <cellStyle name="20% - Ênfase1 3 4 2 6 2" xfId="37324"/>
    <cellStyle name="20% - Ênfase1 3 4 3 6 2" xfId="37325"/>
    <cellStyle name="20% - Ênfase1 3 5 6 2" xfId="37326"/>
    <cellStyle name="20% - Ênfase1 3 6 6 2" xfId="37327"/>
    <cellStyle name="20% - Ênfase1 3 7 6 2" xfId="37328"/>
    <cellStyle name="20% - Ênfase1 4 13 2" xfId="37329"/>
    <cellStyle name="20% - Ênfase1 4 2 10 2" xfId="37330"/>
    <cellStyle name="20% - Ênfase1 4 2 2 8 2" xfId="37331"/>
    <cellStyle name="20% - Ênfase1 4 2 2 2 6 2" xfId="37332"/>
    <cellStyle name="20% - Ênfase1 4 2 2 3 6 2" xfId="37333"/>
    <cellStyle name="20% - Ênfase1 4 2 3 6 2" xfId="37334"/>
    <cellStyle name="20% - Ênfase1 4 2 4 6 2" xfId="37335"/>
    <cellStyle name="20% - Ênfase1 4 3 9 2" xfId="37336"/>
    <cellStyle name="20% - Ênfase1 4 3 2 6 2" xfId="37337"/>
    <cellStyle name="20% - Ênfase1 4 3 3 6 2" xfId="37338"/>
    <cellStyle name="20% - Ênfase1 4 4 8 2" xfId="37339"/>
    <cellStyle name="20% - Ênfase1 4 4 2 6 2" xfId="37340"/>
    <cellStyle name="20% - Ênfase1 4 4 3 6 2" xfId="37341"/>
    <cellStyle name="20% - Ênfase1 4 5 6 2" xfId="37342"/>
    <cellStyle name="20% - Ênfase1 4 6 6 2" xfId="37343"/>
    <cellStyle name="20% - Ênfase1 4 7 6 2" xfId="37344"/>
    <cellStyle name="20% - Ênfase1 5 11 2" xfId="37345"/>
    <cellStyle name="20% - Ênfase1 5 2 8 2" xfId="37346"/>
    <cellStyle name="20% - Ênfase1 5 2 2 6 2" xfId="37347"/>
    <cellStyle name="20% - Ênfase1 5 2 3 6 2" xfId="37348"/>
    <cellStyle name="20% - Ênfase1 5 3 6 2" xfId="37349"/>
    <cellStyle name="20% - Ênfase1 5 4 6 2" xfId="37350"/>
    <cellStyle name="20% - Ênfase1 5 5 6 2" xfId="37351"/>
    <cellStyle name="20% - Ênfase1 6 10 2" xfId="37352"/>
    <cellStyle name="20% - Ênfase1 6 2 8 2" xfId="37353"/>
    <cellStyle name="20% - Ênfase1 6 2 2 6 2" xfId="37354"/>
    <cellStyle name="20% - Ênfase1 6 2 3 6 2" xfId="37355"/>
    <cellStyle name="20% - Ênfase1 6 3 6 2" xfId="37356"/>
    <cellStyle name="20% - Ênfase1 6 4 6 2" xfId="37357"/>
    <cellStyle name="20% - Ênfase1 8 8 2" xfId="37358"/>
    <cellStyle name="20% - Ênfase1 8 2 6 2" xfId="37359"/>
    <cellStyle name="20% - Ênfase1 8 3 6 2" xfId="37360"/>
    <cellStyle name="20% - Ênfase2 2 2 11 2" xfId="37361"/>
    <cellStyle name="20% - Ênfase2 2 2 2 8 2" xfId="37362"/>
    <cellStyle name="20% - Ênfase2 2 2 2 2 6 2" xfId="37363"/>
    <cellStyle name="20% - Ênfase2 2 2 2 3 6 2" xfId="37364"/>
    <cellStyle name="20% - Ênfase2 2 2 3 6 2" xfId="37365"/>
    <cellStyle name="20% - Ênfase2 2 2 4 6 2" xfId="37366"/>
    <cellStyle name="20% - Ênfase2 2 2 5 6 2" xfId="37367"/>
    <cellStyle name="20% - Ênfase2 2 3 10 2" xfId="37368"/>
    <cellStyle name="20% - Ênfase2 2 3 2 8 2" xfId="37369"/>
    <cellStyle name="20% - Ênfase2 2 3 2 2 6 2" xfId="37370"/>
    <cellStyle name="20% - Ênfase2 2 3 2 3 6 2" xfId="37371"/>
    <cellStyle name="20% - Ênfase2 2 3 3 6 2" xfId="37372"/>
    <cellStyle name="20% - Ênfase2 2 3 4 6 2" xfId="37373"/>
    <cellStyle name="20% - Ênfase2 2 5 8 2" xfId="37374"/>
    <cellStyle name="20% - Ênfase2 2 5 2 6 2" xfId="37375"/>
    <cellStyle name="20% - Ênfase2 2 5 3 6 2" xfId="37376"/>
    <cellStyle name="20% - Ênfase2 3 13 2" xfId="37377"/>
    <cellStyle name="20% - Ênfase2 3 2 10 2" xfId="37378"/>
    <cellStyle name="20% - Ênfase2 3 2 2 8 2" xfId="37379"/>
    <cellStyle name="20% - Ênfase2 3 2 2 2 6 2" xfId="37380"/>
    <cellStyle name="20% - Ênfase2 3 2 2 3 6 2" xfId="37381"/>
    <cellStyle name="20% - Ênfase2 3 2 3 6 2" xfId="37382"/>
    <cellStyle name="20% - Ênfase2 3 2 4 6 2" xfId="37383"/>
    <cellStyle name="20% - Ênfase2 3 3 9 2" xfId="37384"/>
    <cellStyle name="20% - Ênfase2 3 3 2 6 2" xfId="37385"/>
    <cellStyle name="20% - Ênfase2 3 3 3 6 2" xfId="37386"/>
    <cellStyle name="20% - Ênfase2 3 4 8 2" xfId="37387"/>
    <cellStyle name="20% - Ênfase2 3 4 2 6 2" xfId="37388"/>
    <cellStyle name="20% - Ênfase2 3 4 3 6 2" xfId="37389"/>
    <cellStyle name="20% - Ênfase2 3 5 6 2" xfId="37390"/>
    <cellStyle name="20% - Ênfase2 3 6 6 2" xfId="37391"/>
    <cellStyle name="20% - Ênfase2 3 7 6 2" xfId="37392"/>
    <cellStyle name="20% - Ênfase2 4 13 2" xfId="37393"/>
    <cellStyle name="20% - Ênfase2 4 2 10 2" xfId="37394"/>
    <cellStyle name="20% - Ênfase2 4 2 2 8 2" xfId="37395"/>
    <cellStyle name="20% - Ênfase2 4 2 2 2 6 2" xfId="37396"/>
    <cellStyle name="20% - Ênfase2 4 2 2 3 6 2" xfId="37397"/>
    <cellStyle name="20% - Ênfase2 4 2 3 6 2" xfId="37398"/>
    <cellStyle name="20% - Ênfase2 4 2 4 6 2" xfId="37399"/>
    <cellStyle name="20% - Ênfase2 4 3 9 2" xfId="37400"/>
    <cellStyle name="20% - Ênfase2 4 3 2 6 2" xfId="37401"/>
    <cellStyle name="20% - Ênfase2 4 3 3 6 2" xfId="37402"/>
    <cellStyle name="20% - Ênfase2 4 4 8 2" xfId="37403"/>
    <cellStyle name="20% - Ênfase2 4 4 2 6 2" xfId="37404"/>
    <cellStyle name="20% - Ênfase2 4 4 3 6 2" xfId="37405"/>
    <cellStyle name="20% - Ênfase2 4 5 6 2" xfId="37406"/>
    <cellStyle name="20% - Ênfase2 4 6 6 2" xfId="37407"/>
    <cellStyle name="20% - Ênfase2 4 7 6 2" xfId="37408"/>
    <cellStyle name="20% - Ênfase2 5 11 2" xfId="37409"/>
    <cellStyle name="20% - Ênfase2 5 2 8 2" xfId="37410"/>
    <cellStyle name="20% - Ênfase2 5 2 2 6 2" xfId="37411"/>
    <cellStyle name="20% - Ênfase2 5 2 3 6 2" xfId="37412"/>
    <cellStyle name="20% - Ênfase2 5 3 6 2" xfId="37413"/>
    <cellStyle name="20% - Ênfase2 5 4 6 2" xfId="37414"/>
    <cellStyle name="20% - Ênfase2 5 5 6 2" xfId="37415"/>
    <cellStyle name="20% - Ênfase2 6 10 2" xfId="37416"/>
    <cellStyle name="20% - Ênfase2 6 2 8 2" xfId="37417"/>
    <cellStyle name="20% - Ênfase2 6 2 2 6 2" xfId="37418"/>
    <cellStyle name="20% - Ênfase2 6 2 3 6 2" xfId="37419"/>
    <cellStyle name="20% - Ênfase2 6 3 6 2" xfId="37420"/>
    <cellStyle name="20% - Ênfase2 6 4 6 2" xfId="37421"/>
    <cellStyle name="20% - Ênfase2 8 8 2" xfId="37422"/>
    <cellStyle name="20% - Ênfase2 8 2 6 2" xfId="37423"/>
    <cellStyle name="20% - Ênfase2 8 3 6 2" xfId="37424"/>
    <cellStyle name="20% - Ênfase3 2 2 11 2" xfId="37425"/>
    <cellStyle name="20% - Ênfase3 2 2 2 8 2" xfId="37426"/>
    <cellStyle name="20% - Ênfase3 2 2 2 2 6 2" xfId="37427"/>
    <cellStyle name="20% - Ênfase3 2 2 2 3 6 2" xfId="37428"/>
    <cellStyle name="20% - Ênfase3 2 2 3 6 2" xfId="37429"/>
    <cellStyle name="20% - Ênfase3 2 2 4 6 2" xfId="37430"/>
    <cellStyle name="20% - Ênfase3 2 2 5 6 2" xfId="37431"/>
    <cellStyle name="20% - Ênfase3 2 3 10 2" xfId="37432"/>
    <cellStyle name="20% - Ênfase3 2 3 2 8 2" xfId="37433"/>
    <cellStyle name="20% - Ênfase3 2 3 2 2 6 2" xfId="37434"/>
    <cellStyle name="20% - Ênfase3 2 3 2 3 6 2" xfId="37435"/>
    <cellStyle name="20% - Ênfase3 2 3 3 6 2" xfId="37436"/>
    <cellStyle name="20% - Ênfase3 2 3 4 6 2" xfId="37437"/>
    <cellStyle name="20% - Ênfase3 2 5 8 2" xfId="37438"/>
    <cellStyle name="20% - Ênfase3 2 5 2 6 2" xfId="37439"/>
    <cellStyle name="20% - Ênfase3 2 5 3 6 2" xfId="37440"/>
    <cellStyle name="20% - Ênfase3 3 13 2" xfId="37441"/>
    <cellStyle name="20% - Ênfase3 3 2 10 2" xfId="37442"/>
    <cellStyle name="20% - Ênfase3 3 2 2 8 2" xfId="37443"/>
    <cellStyle name="20% - Ênfase3 3 2 2 2 6 2" xfId="37444"/>
    <cellStyle name="20% - Ênfase3 3 2 2 3 6 2" xfId="37445"/>
    <cellStyle name="20% - Ênfase3 3 2 3 6 2" xfId="37446"/>
    <cellStyle name="20% - Ênfase3 3 2 4 6 2" xfId="37447"/>
    <cellStyle name="20% - Ênfase3 3 3 9 2" xfId="37448"/>
    <cellStyle name="20% - Ênfase3 3 3 2 6 2" xfId="37449"/>
    <cellStyle name="20% - Ênfase3 3 3 3 6 2" xfId="37450"/>
    <cellStyle name="20% - Ênfase3 3 4 8 2" xfId="37451"/>
    <cellStyle name="20% - Ênfase3 3 4 2 6 2" xfId="37452"/>
    <cellStyle name="20% - Ênfase3 3 4 3 6 2" xfId="37453"/>
    <cellStyle name="20% - Ênfase3 3 5 6 2" xfId="37454"/>
    <cellStyle name="20% - Ênfase3 3 6 6 2" xfId="37455"/>
    <cellStyle name="20% - Ênfase3 3 7 6 2" xfId="37456"/>
    <cellStyle name="20% - Ênfase3 4 13 2" xfId="37457"/>
    <cellStyle name="20% - Ênfase3 4 2 10 2" xfId="37458"/>
    <cellStyle name="20% - Ênfase3 4 2 2 8 2" xfId="37459"/>
    <cellStyle name="20% - Ênfase3 4 2 2 2 6 2" xfId="37460"/>
    <cellStyle name="20% - Ênfase3 4 2 2 3 6 2" xfId="37461"/>
    <cellStyle name="20% - Ênfase3 4 2 3 6 2" xfId="37462"/>
    <cellStyle name="20% - Ênfase3 4 2 4 6 2" xfId="37463"/>
    <cellStyle name="20% - Ênfase3 4 3 9 2" xfId="37464"/>
    <cellStyle name="20% - Ênfase3 4 3 2 6 2" xfId="37465"/>
    <cellStyle name="20% - Ênfase3 4 3 3 6 2" xfId="37466"/>
    <cellStyle name="20% - Ênfase3 4 4 8 2" xfId="37467"/>
    <cellStyle name="20% - Ênfase3 4 4 2 6 2" xfId="37468"/>
    <cellStyle name="20% - Ênfase3 4 4 3 6 2" xfId="37469"/>
    <cellStyle name="20% - Ênfase3 4 5 6 2" xfId="37470"/>
    <cellStyle name="20% - Ênfase3 4 6 6 2" xfId="37471"/>
    <cellStyle name="20% - Ênfase3 4 7 6 2" xfId="37472"/>
    <cellStyle name="20% - Ênfase3 5 11 2" xfId="37473"/>
    <cellStyle name="20% - Ênfase3 5 2 8 2" xfId="37474"/>
    <cellStyle name="20% - Ênfase3 5 2 2 6 2" xfId="37475"/>
    <cellStyle name="20% - Ênfase3 5 2 3 6 2" xfId="37476"/>
    <cellStyle name="20% - Ênfase3 5 3 6 2" xfId="37477"/>
    <cellStyle name="20% - Ênfase3 5 4 6 2" xfId="37478"/>
    <cellStyle name="20% - Ênfase3 5 5 6 2" xfId="37479"/>
    <cellStyle name="20% - Ênfase3 6 10 2" xfId="37480"/>
    <cellStyle name="20% - Ênfase3 6 2 8 2" xfId="37481"/>
    <cellStyle name="20% - Ênfase3 6 2 2 6 2" xfId="37482"/>
    <cellStyle name="20% - Ênfase3 6 2 3 6 2" xfId="37483"/>
    <cellStyle name="20% - Ênfase3 6 3 6 2" xfId="37484"/>
    <cellStyle name="20% - Ênfase3 6 4 6 2" xfId="37485"/>
    <cellStyle name="20% - Ênfase3 8 8 2" xfId="37486"/>
    <cellStyle name="20% - Ênfase3 8 2 6 2" xfId="37487"/>
    <cellStyle name="20% - Ênfase3 8 3 6 2" xfId="37488"/>
    <cellStyle name="20% - Ênfase4 2 2 11 2" xfId="37489"/>
    <cellStyle name="20% - Ênfase4 2 2 2 8 2" xfId="37490"/>
    <cellStyle name="20% - Ênfase4 2 2 2 2 6 2" xfId="37491"/>
    <cellStyle name="20% - Ênfase4 2 2 2 3 6 2" xfId="37492"/>
    <cellStyle name="20% - Ênfase4 2 2 3 6 2" xfId="37493"/>
    <cellStyle name="20% - Ênfase4 2 2 4 6 2" xfId="37494"/>
    <cellStyle name="20% - Ênfase4 2 2 5 6 2" xfId="37495"/>
    <cellStyle name="20% - Ênfase4 2 3 10 2" xfId="37496"/>
    <cellStyle name="20% - Ênfase4 2 3 2 8 2" xfId="37497"/>
    <cellStyle name="20% - Ênfase4 2 3 2 2 6 2" xfId="37498"/>
    <cellStyle name="20% - Ênfase4 2 3 2 3 6 2" xfId="37499"/>
    <cellStyle name="20% - Ênfase4 2 3 3 6 2" xfId="37500"/>
    <cellStyle name="20% - Ênfase4 2 3 4 6 2" xfId="37501"/>
    <cellStyle name="20% - Ênfase4 2 5 8 2" xfId="37502"/>
    <cellStyle name="20% - Ênfase4 2 5 2 6 2" xfId="37503"/>
    <cellStyle name="20% - Ênfase4 2 5 3 6 2" xfId="37504"/>
    <cellStyle name="20% - Ênfase4 3 13 2" xfId="37505"/>
    <cellStyle name="20% - Ênfase4 3 2 10 2" xfId="37506"/>
    <cellStyle name="20% - Ênfase4 3 2 2 8 2" xfId="37507"/>
    <cellStyle name="20% - Ênfase4 3 2 2 2 6 2" xfId="37508"/>
    <cellStyle name="20% - Ênfase4 3 2 2 3 6 2" xfId="37509"/>
    <cellStyle name="20% - Ênfase4 3 2 3 6 2" xfId="37510"/>
    <cellStyle name="20% - Ênfase4 3 2 4 6 2" xfId="37511"/>
    <cellStyle name="20% - Ênfase4 3 3 9 2" xfId="37512"/>
    <cellStyle name="20% - Ênfase4 3 3 2 6 2" xfId="37513"/>
    <cellStyle name="20% - Ênfase4 3 3 3 6 2" xfId="37514"/>
    <cellStyle name="20% - Ênfase4 3 4 8 2" xfId="37515"/>
    <cellStyle name="20% - Ênfase4 3 4 2 6 2" xfId="37516"/>
    <cellStyle name="20% - Ênfase4 3 4 3 6 2" xfId="37517"/>
    <cellStyle name="20% - Ênfase4 3 5 6 2" xfId="37518"/>
    <cellStyle name="20% - Ênfase4 3 6 6 2" xfId="37519"/>
    <cellStyle name="20% - Ênfase4 3 7 6 2" xfId="37520"/>
    <cellStyle name="20% - Ênfase4 4 13 2" xfId="37521"/>
    <cellStyle name="20% - Ênfase4 4 2 10 2" xfId="37522"/>
    <cellStyle name="20% - Ênfase4 4 2 2 8 2" xfId="37523"/>
    <cellStyle name="20% - Ênfase4 4 2 2 2 6 2" xfId="37524"/>
    <cellStyle name="20% - Ênfase4 4 2 2 3 6 2" xfId="37525"/>
    <cellStyle name="20% - Ênfase4 4 2 3 6 2" xfId="37526"/>
    <cellStyle name="20% - Ênfase4 4 2 4 6 2" xfId="37527"/>
    <cellStyle name="20% - Ênfase4 4 3 9 2" xfId="37528"/>
    <cellStyle name="20% - Ênfase4 4 3 2 6 2" xfId="37529"/>
    <cellStyle name="20% - Ênfase4 4 3 3 6 2" xfId="37530"/>
    <cellStyle name="20% - Ênfase4 4 4 8 2" xfId="37531"/>
    <cellStyle name="20% - Ênfase4 4 4 2 6 2" xfId="37532"/>
    <cellStyle name="20% - Ênfase4 4 4 3 6 2" xfId="37533"/>
    <cellStyle name="20% - Ênfase4 4 5 6 2" xfId="37534"/>
    <cellStyle name="20% - Ênfase4 4 6 6 2" xfId="37535"/>
    <cellStyle name="20% - Ênfase4 4 7 6 2" xfId="37536"/>
    <cellStyle name="20% - Ênfase4 5 11 2" xfId="37537"/>
    <cellStyle name="20% - Ênfase4 5 2 8 2" xfId="37538"/>
    <cellStyle name="20% - Ênfase4 5 2 2 6 2" xfId="37539"/>
    <cellStyle name="20% - Ênfase4 5 2 3 6 2" xfId="37540"/>
    <cellStyle name="20% - Ênfase4 5 3 6 2" xfId="37541"/>
    <cellStyle name="20% - Ênfase4 5 4 6 2" xfId="37542"/>
    <cellStyle name="20% - Ênfase4 5 5 6 2" xfId="37543"/>
    <cellStyle name="20% - Ênfase4 6 10 2" xfId="37544"/>
    <cellStyle name="20% - Ênfase4 6 2 8 2" xfId="37545"/>
    <cellStyle name="20% - Ênfase4 6 2 2 6 2" xfId="37546"/>
    <cellStyle name="20% - Ênfase4 6 2 3 6 2" xfId="37547"/>
    <cellStyle name="20% - Ênfase4 6 3 6 2" xfId="37548"/>
    <cellStyle name="20% - Ênfase4 6 4 6 2" xfId="37549"/>
    <cellStyle name="20% - Ênfase4 8 8 2" xfId="37550"/>
    <cellStyle name="20% - Ênfase4 8 2 6 2" xfId="37551"/>
    <cellStyle name="20% - Ênfase4 8 3 6 2" xfId="37552"/>
    <cellStyle name="20% - Ênfase5 2 2 11 2" xfId="37553"/>
    <cellStyle name="20% - Ênfase5 2 2 2 8 2" xfId="37554"/>
    <cellStyle name="20% - Ênfase5 2 2 2 2 6 2" xfId="37555"/>
    <cellStyle name="20% - Ênfase5 2 2 2 3 6 2" xfId="37556"/>
    <cellStyle name="20% - Ênfase5 2 2 3 6 2" xfId="37557"/>
    <cellStyle name="20% - Ênfase5 2 2 4 6 2" xfId="37558"/>
    <cellStyle name="20% - Ênfase5 2 2 5 6 2" xfId="37559"/>
    <cellStyle name="20% - Ênfase5 2 3 10 2" xfId="37560"/>
    <cellStyle name="20% - Ênfase5 2 3 2 8 2" xfId="37561"/>
    <cellStyle name="20% - Ênfase5 2 3 2 2 6 2" xfId="37562"/>
    <cellStyle name="20% - Ênfase5 2 3 2 3 6 2" xfId="37563"/>
    <cellStyle name="20% - Ênfase5 2 3 3 6 2" xfId="37564"/>
    <cellStyle name="20% - Ênfase5 2 3 4 6 2" xfId="37565"/>
    <cellStyle name="20% - Ênfase5 2 5 8 2" xfId="37566"/>
    <cellStyle name="20% - Ênfase5 2 5 2 6 2" xfId="37567"/>
    <cellStyle name="20% - Ênfase5 2 5 3 6 2" xfId="37568"/>
    <cellStyle name="20% - Ênfase5 3 13 2" xfId="37569"/>
    <cellStyle name="20% - Ênfase5 3 2 10 2" xfId="37570"/>
    <cellStyle name="20% - Ênfase5 3 2 2 8 2" xfId="37571"/>
    <cellStyle name="20% - Ênfase5 3 2 2 2 6 2" xfId="37572"/>
    <cellStyle name="20% - Ênfase5 3 2 2 3 6 2" xfId="37573"/>
    <cellStyle name="20% - Ênfase5 3 2 3 6 2" xfId="37574"/>
    <cellStyle name="20% - Ênfase5 3 2 4 6 2" xfId="37575"/>
    <cellStyle name="20% - Ênfase5 3 3 9 2" xfId="37576"/>
    <cellStyle name="20% - Ênfase5 3 3 2 6 2" xfId="37577"/>
    <cellStyle name="20% - Ênfase5 3 3 3 6 2" xfId="37578"/>
    <cellStyle name="20% - Ênfase5 3 4 8 2" xfId="37579"/>
    <cellStyle name="20% - Ênfase5 3 4 2 6 2" xfId="37580"/>
    <cellStyle name="20% - Ênfase5 3 4 3 6 2" xfId="37581"/>
    <cellStyle name="20% - Ênfase5 3 5 6 2" xfId="37582"/>
    <cellStyle name="20% - Ênfase5 3 6 6 2" xfId="37583"/>
    <cellStyle name="20% - Ênfase5 3 7 6 2" xfId="37584"/>
    <cellStyle name="20% - Ênfase5 4 13 2" xfId="37585"/>
    <cellStyle name="20% - Ênfase5 4 2 10 2" xfId="37586"/>
    <cellStyle name="20% - Ênfase5 4 2 2 8 2" xfId="37587"/>
    <cellStyle name="20% - Ênfase5 4 2 2 2 6 2" xfId="37588"/>
    <cellStyle name="20% - Ênfase5 4 2 2 3 6 2" xfId="37589"/>
    <cellStyle name="20% - Ênfase5 4 2 3 6 2" xfId="37590"/>
    <cellStyle name="20% - Ênfase5 4 2 4 6 2" xfId="37591"/>
    <cellStyle name="20% - Ênfase5 4 3 9 2" xfId="37592"/>
    <cellStyle name="20% - Ênfase5 4 3 2 6 2" xfId="37593"/>
    <cellStyle name="20% - Ênfase5 4 3 3 6 2" xfId="37594"/>
    <cellStyle name="20% - Ênfase5 4 4 8 2" xfId="37595"/>
    <cellStyle name="20% - Ênfase5 4 4 2 6 2" xfId="37596"/>
    <cellStyle name="20% - Ênfase5 4 4 3 6 2" xfId="37597"/>
    <cellStyle name="20% - Ênfase5 4 5 6 2" xfId="37598"/>
    <cellStyle name="20% - Ênfase5 4 6 6 2" xfId="37599"/>
    <cellStyle name="20% - Ênfase5 4 7 6 2" xfId="37600"/>
    <cellStyle name="20% - Ênfase5 5 11 2" xfId="37601"/>
    <cellStyle name="20% - Ênfase5 5 2 8 2" xfId="37602"/>
    <cellStyle name="20% - Ênfase5 5 2 2 6 2" xfId="37603"/>
    <cellStyle name="20% - Ênfase5 5 2 3 6 2" xfId="37604"/>
    <cellStyle name="20% - Ênfase5 5 3 6 2" xfId="37605"/>
    <cellStyle name="20% - Ênfase5 5 4 6 2" xfId="37606"/>
    <cellStyle name="20% - Ênfase5 5 5 6 2" xfId="37607"/>
    <cellStyle name="20% - Ênfase5 6 10 2" xfId="37608"/>
    <cellStyle name="20% - Ênfase5 6 2 8 2" xfId="37609"/>
    <cellStyle name="20% - Ênfase5 6 2 2 6 2" xfId="37610"/>
    <cellStyle name="20% - Ênfase5 6 2 3 6 2" xfId="37611"/>
    <cellStyle name="20% - Ênfase5 6 3 6 2" xfId="37612"/>
    <cellStyle name="20% - Ênfase5 6 4 6 2" xfId="37613"/>
    <cellStyle name="20% - Ênfase5 8 8 2" xfId="37614"/>
    <cellStyle name="20% - Ênfase5 8 2 6 2" xfId="37615"/>
    <cellStyle name="20% - Ênfase5 8 3 6 2" xfId="37616"/>
    <cellStyle name="20% - Ênfase6 2 2 11 2" xfId="37617"/>
    <cellStyle name="20% - Ênfase6 2 2 2 8 2" xfId="37618"/>
    <cellStyle name="20% - Ênfase6 2 2 2 2 6 2" xfId="37619"/>
    <cellStyle name="20% - Ênfase6 2 2 2 3 6 2" xfId="37620"/>
    <cellStyle name="20% - Ênfase6 2 2 3 6 2" xfId="37621"/>
    <cellStyle name="20% - Ênfase6 2 2 4 6 2" xfId="37622"/>
    <cellStyle name="20% - Ênfase6 2 2 5 6 2" xfId="37623"/>
    <cellStyle name="20% - Ênfase6 2 3 10 2" xfId="37624"/>
    <cellStyle name="20% - Ênfase6 2 3 2 8 2" xfId="37625"/>
    <cellStyle name="20% - Ênfase6 2 3 2 2 6 2" xfId="37626"/>
    <cellStyle name="20% - Ênfase6 2 3 2 3 6 2" xfId="37627"/>
    <cellStyle name="20% - Ênfase6 2 3 3 6 2" xfId="37628"/>
    <cellStyle name="20% - Ênfase6 2 3 4 6 2" xfId="37629"/>
    <cellStyle name="20% - Ênfase6 2 5 8 2" xfId="37630"/>
    <cellStyle name="20% - Ênfase6 2 5 2 6 2" xfId="37631"/>
    <cellStyle name="20% - Ênfase6 2 5 3 6 2" xfId="37632"/>
    <cellStyle name="20% - Ênfase6 3 13 2" xfId="37633"/>
    <cellStyle name="20% - Ênfase6 3 2 10 2" xfId="37634"/>
    <cellStyle name="20% - Ênfase6 3 2 2 8 2" xfId="37635"/>
    <cellStyle name="20% - Ênfase6 3 2 2 2 6 2" xfId="37636"/>
    <cellStyle name="20% - Ênfase6 3 2 2 3 6 2" xfId="37637"/>
    <cellStyle name="20% - Ênfase6 3 2 3 6 2" xfId="37638"/>
    <cellStyle name="20% - Ênfase6 3 2 4 6 2" xfId="37639"/>
    <cellStyle name="20% - Ênfase6 3 3 9 2" xfId="37640"/>
    <cellStyle name="20% - Ênfase6 3 3 2 6 2" xfId="37641"/>
    <cellStyle name="20% - Ênfase6 3 3 3 6 2" xfId="37642"/>
    <cellStyle name="20% - Ênfase6 3 4 8 2" xfId="37643"/>
    <cellStyle name="20% - Ênfase6 3 4 2 6 2" xfId="37644"/>
    <cellStyle name="20% - Ênfase6 3 4 3 6 2" xfId="37645"/>
    <cellStyle name="20% - Ênfase6 3 5 6 2" xfId="37646"/>
    <cellStyle name="20% - Ênfase6 3 6 6 2" xfId="37647"/>
    <cellStyle name="20% - Ênfase6 3 7 6 2" xfId="37648"/>
    <cellStyle name="20% - Ênfase6 4 13 2" xfId="37649"/>
    <cellStyle name="20% - Ênfase6 4 2 10 2" xfId="37650"/>
    <cellStyle name="20% - Ênfase6 4 2 2 8 2" xfId="37651"/>
    <cellStyle name="20% - Ênfase6 4 2 2 2 6 2" xfId="37652"/>
    <cellStyle name="20% - Ênfase6 4 2 2 3 6 2" xfId="37653"/>
    <cellStyle name="20% - Ênfase6 4 2 3 6 2" xfId="37654"/>
    <cellStyle name="20% - Ênfase6 4 2 4 6 2" xfId="37655"/>
    <cellStyle name="20% - Ênfase6 4 3 9 2" xfId="37656"/>
    <cellStyle name="20% - Ênfase6 4 3 2 6 2" xfId="37657"/>
    <cellStyle name="20% - Ênfase6 4 3 3 6 2" xfId="37658"/>
    <cellStyle name="20% - Ênfase6 4 4 8 2" xfId="37659"/>
    <cellStyle name="20% - Ênfase6 4 4 2 6 2" xfId="37660"/>
    <cellStyle name="20% - Ênfase6 4 4 3 6 2" xfId="37661"/>
    <cellStyle name="20% - Ênfase6 4 5 6 2" xfId="37662"/>
    <cellStyle name="20% - Ênfase6 4 6 6 2" xfId="37663"/>
    <cellStyle name="20% - Ênfase6 4 7 6 2" xfId="37664"/>
    <cellStyle name="20% - Ênfase6 5 11 2" xfId="37665"/>
    <cellStyle name="20% - Ênfase6 5 2 8 2" xfId="37666"/>
    <cellStyle name="20% - Ênfase6 5 2 2 6 2" xfId="37667"/>
    <cellStyle name="20% - Ênfase6 5 2 3 6 2" xfId="37668"/>
    <cellStyle name="20% - Ênfase6 5 3 6 2" xfId="37669"/>
    <cellStyle name="20% - Ênfase6 5 4 6 2" xfId="37670"/>
    <cellStyle name="20% - Ênfase6 5 5 6 2" xfId="37671"/>
    <cellStyle name="20% - Ênfase6 6 10 2" xfId="37672"/>
    <cellStyle name="20% - Ênfase6 6 2 8 2" xfId="37673"/>
    <cellStyle name="20% - Ênfase6 6 2 2 6 2" xfId="37674"/>
    <cellStyle name="20% - Ênfase6 6 2 3 6 2" xfId="37675"/>
    <cellStyle name="20% - Ênfase6 6 3 6 2" xfId="37676"/>
    <cellStyle name="20% - Ênfase6 6 4 6 2" xfId="37677"/>
    <cellStyle name="20% - Ênfase6 8 8 2" xfId="37678"/>
    <cellStyle name="20% - Ênfase6 8 2 6 2" xfId="37679"/>
    <cellStyle name="20% - Ênfase6 8 3 6 2" xfId="37680"/>
    <cellStyle name="40% - Ênfase1 2 2 11 2" xfId="37681"/>
    <cellStyle name="40% - Ênfase1 2 2 2 8 2" xfId="37682"/>
    <cellStyle name="40% - Ênfase1 2 2 2 2 6 2" xfId="37683"/>
    <cellStyle name="40% - Ênfase1 2 2 2 3 6 2" xfId="37684"/>
    <cellStyle name="40% - Ênfase1 2 2 3 6 2" xfId="37685"/>
    <cellStyle name="40% - Ênfase1 2 2 4 6 2" xfId="37686"/>
    <cellStyle name="40% - Ênfase1 2 2 5 6 2" xfId="37687"/>
    <cellStyle name="40% - Ênfase1 2 3 10 2" xfId="37688"/>
    <cellStyle name="40% - Ênfase1 2 3 2 8 2" xfId="37689"/>
    <cellStyle name="40% - Ênfase1 2 3 2 2 6 2" xfId="37690"/>
    <cellStyle name="40% - Ênfase1 2 3 2 3 6 2" xfId="37691"/>
    <cellStyle name="40% - Ênfase1 2 3 3 6 2" xfId="37692"/>
    <cellStyle name="40% - Ênfase1 2 3 4 6 2" xfId="37693"/>
    <cellStyle name="40% - Ênfase1 2 5 8 2" xfId="37694"/>
    <cellStyle name="40% - Ênfase1 2 5 2 6 2" xfId="37695"/>
    <cellStyle name="40% - Ênfase1 2 5 3 6 2" xfId="37696"/>
    <cellStyle name="40% - Ênfase1 3 13 2" xfId="37697"/>
    <cellStyle name="40% - Ênfase1 3 2 10 2" xfId="37698"/>
    <cellStyle name="40% - Ênfase1 3 2 2 8 2" xfId="37699"/>
    <cellStyle name="40% - Ênfase1 3 2 2 2 6 2" xfId="37700"/>
    <cellStyle name="40% - Ênfase1 3 2 2 3 6 2" xfId="37701"/>
    <cellStyle name="40% - Ênfase1 3 2 3 6 2" xfId="37702"/>
    <cellStyle name="40% - Ênfase1 3 2 4 6 2" xfId="37703"/>
    <cellStyle name="40% - Ênfase1 3 3 9 2" xfId="37704"/>
    <cellStyle name="40% - Ênfase1 3 3 2 6 2" xfId="37705"/>
    <cellStyle name="40% - Ênfase1 3 3 3 6 2" xfId="37706"/>
    <cellStyle name="40% - Ênfase1 3 4 8 2" xfId="37707"/>
    <cellStyle name="40% - Ênfase1 3 4 2 6 2" xfId="37708"/>
    <cellStyle name="40% - Ênfase1 3 4 3 6 2" xfId="37709"/>
    <cellStyle name="40% - Ênfase1 3 5 6 2" xfId="37710"/>
    <cellStyle name="40% - Ênfase1 3 6 6 2" xfId="37711"/>
    <cellStyle name="40% - Ênfase1 3 7 6 2" xfId="37712"/>
    <cellStyle name="40% - Ênfase1 4 13 2" xfId="37713"/>
    <cellStyle name="40% - Ênfase1 4 2 10 2" xfId="37714"/>
    <cellStyle name="40% - Ênfase1 4 2 2 8 2" xfId="37715"/>
    <cellStyle name="40% - Ênfase1 4 2 2 2 6 2" xfId="37716"/>
    <cellStyle name="40% - Ênfase1 4 2 2 3 6 2" xfId="37717"/>
    <cellStyle name="40% - Ênfase1 4 2 3 6 2" xfId="37718"/>
    <cellStyle name="40% - Ênfase1 4 2 4 6 2" xfId="37719"/>
    <cellStyle name="40% - Ênfase1 4 3 9 2" xfId="37720"/>
    <cellStyle name="40% - Ênfase1 4 3 2 6 2" xfId="37721"/>
    <cellStyle name="40% - Ênfase1 4 3 3 6 2" xfId="37722"/>
    <cellStyle name="40% - Ênfase1 4 4 8 2" xfId="37723"/>
    <cellStyle name="40% - Ênfase1 4 4 2 6 2" xfId="37724"/>
    <cellStyle name="40% - Ênfase1 4 4 3 6 2" xfId="37725"/>
    <cellStyle name="40% - Ênfase1 4 5 6 2" xfId="37726"/>
    <cellStyle name="40% - Ênfase1 4 6 6 2" xfId="37727"/>
    <cellStyle name="40% - Ênfase1 4 7 6 2" xfId="37728"/>
    <cellStyle name="40% - Ênfase1 5 11 2" xfId="37729"/>
    <cellStyle name="40% - Ênfase1 5 2 8 2" xfId="37730"/>
    <cellStyle name="40% - Ênfase1 5 2 2 6 2" xfId="37731"/>
    <cellStyle name="40% - Ênfase1 5 2 3 6 2" xfId="37732"/>
    <cellStyle name="40% - Ênfase1 5 3 6 2" xfId="37733"/>
    <cellStyle name="40% - Ênfase1 5 4 6 2" xfId="37734"/>
    <cellStyle name="40% - Ênfase1 5 5 6 2" xfId="37735"/>
    <cellStyle name="40% - Ênfase1 6 10 2" xfId="37736"/>
    <cellStyle name="40% - Ênfase1 6 2 8 2" xfId="37737"/>
    <cellStyle name="40% - Ênfase1 6 2 2 6 2" xfId="37738"/>
    <cellStyle name="40% - Ênfase1 6 2 3 6 2" xfId="37739"/>
    <cellStyle name="40% - Ênfase1 6 3 6 2" xfId="37740"/>
    <cellStyle name="40% - Ênfase1 6 4 6 2" xfId="37741"/>
    <cellStyle name="40% - Ênfase1 8 8 2" xfId="37742"/>
    <cellStyle name="40% - Ênfase1 8 2 6 2" xfId="37743"/>
    <cellStyle name="40% - Ênfase1 8 3 6 2" xfId="37744"/>
    <cellStyle name="40% - Ênfase2 2 2 11 2" xfId="37745"/>
    <cellStyle name="40% - Ênfase2 2 2 2 8 2" xfId="37746"/>
    <cellStyle name="40% - Ênfase2 2 2 2 2 6 2" xfId="37747"/>
    <cellStyle name="40% - Ênfase2 2 2 2 3 6 2" xfId="37748"/>
    <cellStyle name="40% - Ênfase2 2 2 3 6 2" xfId="37749"/>
    <cellStyle name="40% - Ênfase2 2 2 4 6 2" xfId="37750"/>
    <cellStyle name="40% - Ênfase2 2 2 5 6 2" xfId="37751"/>
    <cellStyle name="40% - Ênfase2 2 3 10 2" xfId="37752"/>
    <cellStyle name="40% - Ênfase2 2 3 2 8 2" xfId="37753"/>
    <cellStyle name="40% - Ênfase2 2 3 2 2 6 2" xfId="37754"/>
    <cellStyle name="40% - Ênfase2 2 3 2 3 6 2" xfId="37755"/>
    <cellStyle name="40% - Ênfase2 2 3 3 6 2" xfId="37756"/>
    <cellStyle name="40% - Ênfase2 2 3 4 6 2" xfId="37757"/>
    <cellStyle name="40% - Ênfase2 2 5 8 2" xfId="37758"/>
    <cellStyle name="40% - Ênfase2 2 5 2 6 2" xfId="37759"/>
    <cellStyle name="40% - Ênfase2 2 5 3 6 2" xfId="37760"/>
    <cellStyle name="40% - Ênfase2 3 13 2" xfId="37761"/>
    <cellStyle name="40% - Ênfase2 3 2 10 2" xfId="37762"/>
    <cellStyle name="40% - Ênfase2 3 2 2 8 2" xfId="37763"/>
    <cellStyle name="40% - Ênfase2 3 2 2 2 6 2" xfId="37764"/>
    <cellStyle name="40% - Ênfase2 3 2 2 3 6 2" xfId="37765"/>
    <cellStyle name="40% - Ênfase2 3 2 3 6 2" xfId="37766"/>
    <cellStyle name="40% - Ênfase2 3 2 4 6 2" xfId="37767"/>
    <cellStyle name="40% - Ênfase2 3 3 9 2" xfId="37768"/>
    <cellStyle name="40% - Ênfase2 3 3 2 6 2" xfId="37769"/>
    <cellStyle name="40% - Ênfase2 3 3 3 6 2" xfId="37770"/>
    <cellStyle name="40% - Ênfase2 3 4 8 2" xfId="37771"/>
    <cellStyle name="40% - Ênfase2 3 4 2 6 2" xfId="37772"/>
    <cellStyle name="40% - Ênfase2 3 4 3 6 2" xfId="37773"/>
    <cellStyle name="40% - Ênfase2 3 5 6 2" xfId="37774"/>
    <cellStyle name="40% - Ênfase2 3 6 6 2" xfId="37775"/>
    <cellStyle name="40% - Ênfase2 3 7 6 2" xfId="37776"/>
    <cellStyle name="40% - Ênfase2 4 13 2" xfId="37777"/>
    <cellStyle name="40% - Ênfase2 4 2 10 2" xfId="37778"/>
    <cellStyle name="40% - Ênfase2 4 2 2 8 2" xfId="37779"/>
    <cellStyle name="40% - Ênfase2 4 2 2 2 6 2" xfId="37780"/>
    <cellStyle name="40% - Ênfase2 4 2 2 3 6 2" xfId="37781"/>
    <cellStyle name="40% - Ênfase2 4 2 3 6 2" xfId="37782"/>
    <cellStyle name="40% - Ênfase2 4 2 4 6 2" xfId="37783"/>
    <cellStyle name="40% - Ênfase2 4 3 9 2" xfId="37784"/>
    <cellStyle name="40% - Ênfase2 4 3 2 6 2" xfId="37785"/>
    <cellStyle name="40% - Ênfase2 4 3 3 6 2" xfId="37786"/>
    <cellStyle name="40% - Ênfase2 4 4 8 2" xfId="37787"/>
    <cellStyle name="40% - Ênfase2 4 4 2 6 2" xfId="37788"/>
    <cellStyle name="40% - Ênfase2 4 4 3 6 2" xfId="37789"/>
    <cellStyle name="40% - Ênfase2 4 5 6 2" xfId="37790"/>
    <cellStyle name="40% - Ênfase2 4 6 6 2" xfId="37791"/>
    <cellStyle name="40% - Ênfase2 4 7 6 2" xfId="37792"/>
    <cellStyle name="40% - Ênfase2 5 11 2" xfId="37793"/>
    <cellStyle name="40% - Ênfase2 5 2 8 2" xfId="37794"/>
    <cellStyle name="40% - Ênfase2 5 2 2 6 2" xfId="37795"/>
    <cellStyle name="40% - Ênfase2 5 2 3 6 2" xfId="37796"/>
    <cellStyle name="40% - Ênfase2 5 3 6 2" xfId="37797"/>
    <cellStyle name="40% - Ênfase2 5 4 6 2" xfId="37798"/>
    <cellStyle name="40% - Ênfase2 5 5 6 2" xfId="37799"/>
    <cellStyle name="40% - Ênfase2 6 10 2" xfId="37800"/>
    <cellStyle name="40% - Ênfase2 6 2 8 2" xfId="37801"/>
    <cellStyle name="40% - Ênfase2 6 2 2 6 2" xfId="37802"/>
    <cellStyle name="40% - Ênfase2 6 2 3 6 2" xfId="37803"/>
    <cellStyle name="40% - Ênfase2 6 3 6 2" xfId="37804"/>
    <cellStyle name="40% - Ênfase2 6 4 6 2" xfId="37805"/>
    <cellStyle name="40% - Ênfase2 8 8 2" xfId="37806"/>
    <cellStyle name="40% - Ênfase2 8 2 6 2" xfId="37807"/>
    <cellStyle name="40% - Ênfase2 8 3 6 2" xfId="37808"/>
    <cellStyle name="40% - Ênfase3 2 2 11 2" xfId="37809"/>
    <cellStyle name="40% - Ênfase3 2 2 2 8 2" xfId="37810"/>
    <cellStyle name="40% - Ênfase3 2 2 2 2 6 2" xfId="37811"/>
    <cellStyle name="40% - Ênfase3 2 2 2 3 6 2" xfId="37812"/>
    <cellStyle name="40% - Ênfase3 2 2 3 6 2" xfId="37813"/>
    <cellStyle name="40% - Ênfase3 2 2 4 6 2" xfId="37814"/>
    <cellStyle name="40% - Ênfase3 2 2 5 6 2" xfId="37815"/>
    <cellStyle name="40% - Ênfase3 2 3 10 2" xfId="37816"/>
    <cellStyle name="40% - Ênfase3 2 3 2 8 2" xfId="37817"/>
    <cellStyle name="40% - Ênfase3 2 3 2 2 6 2" xfId="37818"/>
    <cellStyle name="40% - Ênfase3 2 3 2 3 6 2" xfId="37819"/>
    <cellStyle name="40% - Ênfase3 2 3 3 6 2" xfId="37820"/>
    <cellStyle name="40% - Ênfase3 2 3 4 6 2" xfId="37821"/>
    <cellStyle name="40% - Ênfase3 2 5 8 2" xfId="37822"/>
    <cellStyle name="40% - Ênfase3 2 5 2 6 2" xfId="37823"/>
    <cellStyle name="40% - Ênfase3 2 5 3 6 2" xfId="37824"/>
    <cellStyle name="40% - Ênfase3 3 13 2" xfId="37825"/>
    <cellStyle name="40% - Ênfase3 3 2 10 2" xfId="37826"/>
    <cellStyle name="40% - Ênfase3 3 2 2 8 2" xfId="37827"/>
    <cellStyle name="40% - Ênfase3 3 2 2 2 6 2" xfId="37828"/>
    <cellStyle name="40% - Ênfase3 3 2 2 3 6 2" xfId="37829"/>
    <cellStyle name="40% - Ênfase3 3 2 3 6 2" xfId="37830"/>
    <cellStyle name="40% - Ênfase3 3 2 4 6 2" xfId="37831"/>
    <cellStyle name="40% - Ênfase3 3 3 9 2" xfId="37832"/>
    <cellStyle name="40% - Ênfase3 3 3 2 6 2" xfId="37833"/>
    <cellStyle name="40% - Ênfase3 3 3 3 6 2" xfId="37834"/>
    <cellStyle name="40% - Ênfase3 3 4 8 2" xfId="37835"/>
    <cellStyle name="40% - Ênfase3 3 4 2 6 2" xfId="37836"/>
    <cellStyle name="40% - Ênfase3 3 4 3 6 2" xfId="37837"/>
    <cellStyle name="40% - Ênfase3 3 5 6 2" xfId="37838"/>
    <cellStyle name="40% - Ênfase3 3 6 6 2" xfId="37839"/>
    <cellStyle name="40% - Ênfase3 3 7 6 2" xfId="37840"/>
    <cellStyle name="40% - Ênfase3 4 13 2" xfId="37841"/>
    <cellStyle name="40% - Ênfase3 4 2 10 2" xfId="37842"/>
    <cellStyle name="40% - Ênfase3 4 2 2 8 2" xfId="37843"/>
    <cellStyle name="40% - Ênfase3 4 2 2 2 6 2" xfId="37844"/>
    <cellStyle name="40% - Ênfase3 4 2 2 3 6 2" xfId="37845"/>
    <cellStyle name="40% - Ênfase3 4 2 3 6 2" xfId="37846"/>
    <cellStyle name="40% - Ênfase3 4 2 4 6 2" xfId="37847"/>
    <cellStyle name="40% - Ênfase3 4 3 9 2" xfId="37848"/>
    <cellStyle name="40% - Ênfase3 4 3 2 6 2" xfId="37849"/>
    <cellStyle name="40% - Ênfase3 4 3 3 6 2" xfId="37850"/>
    <cellStyle name="40% - Ênfase3 4 4 8 2" xfId="37851"/>
    <cellStyle name="40% - Ênfase3 4 4 2 6 2" xfId="37852"/>
    <cellStyle name="40% - Ênfase3 4 4 3 6 2" xfId="37853"/>
    <cellStyle name="40% - Ênfase3 4 5 6 2" xfId="37854"/>
    <cellStyle name="40% - Ênfase3 4 6 6 2" xfId="37855"/>
    <cellStyle name="40% - Ênfase3 4 7 6 2" xfId="37856"/>
    <cellStyle name="40% - Ênfase3 5 11 2" xfId="37857"/>
    <cellStyle name="40% - Ênfase3 5 2 8 2" xfId="37858"/>
    <cellStyle name="40% - Ênfase3 5 2 2 6 2" xfId="37859"/>
    <cellStyle name="40% - Ênfase3 5 2 3 6 2" xfId="37860"/>
    <cellStyle name="40% - Ênfase3 5 3 6 2" xfId="37861"/>
    <cellStyle name="40% - Ênfase3 5 4 6 2" xfId="37862"/>
    <cellStyle name="40% - Ênfase3 5 5 6 2" xfId="37863"/>
    <cellStyle name="40% - Ênfase3 6 10 2" xfId="37864"/>
    <cellStyle name="40% - Ênfase3 6 2 8 2" xfId="37865"/>
    <cellStyle name="40% - Ênfase3 6 2 2 6 2" xfId="37866"/>
    <cellStyle name="40% - Ênfase3 6 2 3 6 2" xfId="37867"/>
    <cellStyle name="40% - Ênfase3 6 3 6 2" xfId="37868"/>
    <cellStyle name="40% - Ênfase3 6 4 6 2" xfId="37869"/>
    <cellStyle name="40% - Ênfase3 8 8 2" xfId="37870"/>
    <cellStyle name="40% - Ênfase3 8 2 6 2" xfId="37871"/>
    <cellStyle name="40% - Ênfase3 8 3 6 2" xfId="37872"/>
    <cellStyle name="40% - Ênfase4 2 2 11 2" xfId="37873"/>
    <cellStyle name="40% - Ênfase4 2 2 2 8 2" xfId="37874"/>
    <cellStyle name="40% - Ênfase4 2 2 2 2 6 2" xfId="37875"/>
    <cellStyle name="40% - Ênfase4 2 2 2 3 6 2" xfId="37876"/>
    <cellStyle name="40% - Ênfase4 2 2 3 6 2" xfId="37877"/>
    <cellStyle name="40% - Ênfase4 2 2 4 6 2" xfId="37878"/>
    <cellStyle name="40% - Ênfase4 2 2 5 6 2" xfId="37879"/>
    <cellStyle name="40% - Ênfase4 2 3 10 2" xfId="37880"/>
    <cellStyle name="40% - Ênfase4 2 3 2 8 2" xfId="37881"/>
    <cellStyle name="40% - Ênfase4 2 3 2 2 6 2" xfId="37882"/>
    <cellStyle name="40% - Ênfase4 2 3 2 3 6 2" xfId="37883"/>
    <cellStyle name="40% - Ênfase4 2 3 3 6 2" xfId="37884"/>
    <cellStyle name="40% - Ênfase4 2 3 4 6 2" xfId="37885"/>
    <cellStyle name="40% - Ênfase4 2 5 8 2" xfId="37886"/>
    <cellStyle name="40% - Ênfase4 2 5 2 6 2" xfId="37887"/>
    <cellStyle name="40% - Ênfase4 2 5 3 6 2" xfId="37888"/>
    <cellStyle name="40% - Ênfase4 3 13 2" xfId="37889"/>
    <cellStyle name="40% - Ênfase4 3 2 10 2" xfId="37890"/>
    <cellStyle name="40% - Ênfase4 3 2 2 8 2" xfId="37891"/>
    <cellStyle name="40% - Ênfase4 3 2 2 2 6 2" xfId="37892"/>
    <cellStyle name="40% - Ênfase4 3 2 2 3 6 2" xfId="37893"/>
    <cellStyle name="40% - Ênfase4 3 2 3 6 2" xfId="37894"/>
    <cellStyle name="40% - Ênfase4 3 2 4 6 2" xfId="37895"/>
    <cellStyle name="40% - Ênfase4 3 3 9 2" xfId="37896"/>
    <cellStyle name="40% - Ênfase4 3 3 2 6 2" xfId="37897"/>
    <cellStyle name="40% - Ênfase4 3 3 3 6 2" xfId="37898"/>
    <cellStyle name="40% - Ênfase4 3 4 8 2" xfId="37899"/>
    <cellStyle name="40% - Ênfase4 3 4 2 6 2" xfId="37900"/>
    <cellStyle name="40% - Ênfase4 3 4 3 6 2" xfId="37901"/>
    <cellStyle name="40% - Ênfase4 3 5 6 2" xfId="37902"/>
    <cellStyle name="40% - Ênfase4 3 6 6 2" xfId="37903"/>
    <cellStyle name="40% - Ênfase4 3 7 6 2" xfId="37904"/>
    <cellStyle name="40% - Ênfase4 4 13 2" xfId="37905"/>
    <cellStyle name="40% - Ênfase4 4 2 10 2" xfId="37906"/>
    <cellStyle name="40% - Ênfase4 4 2 2 8 2" xfId="37907"/>
    <cellStyle name="40% - Ênfase4 4 2 2 2 6 2" xfId="37908"/>
    <cellStyle name="40% - Ênfase4 4 2 2 3 6 2" xfId="37909"/>
    <cellStyle name="40% - Ênfase4 4 2 3 6 2" xfId="37910"/>
    <cellStyle name="40% - Ênfase4 4 2 4 6 2" xfId="37911"/>
    <cellStyle name="40% - Ênfase4 4 3 9 2" xfId="37912"/>
    <cellStyle name="40% - Ênfase4 4 3 2 6 2" xfId="37913"/>
    <cellStyle name="40% - Ênfase4 4 3 3 6 2" xfId="37914"/>
    <cellStyle name="40% - Ênfase4 4 4 8 2" xfId="37915"/>
    <cellStyle name="40% - Ênfase4 4 4 2 6 2" xfId="37916"/>
    <cellStyle name="40% - Ênfase4 4 4 3 6 2" xfId="37917"/>
    <cellStyle name="40% - Ênfase4 4 5 6 2" xfId="37918"/>
    <cellStyle name="40% - Ênfase4 4 6 6 2" xfId="37919"/>
    <cellStyle name="40% - Ênfase4 4 7 6 2" xfId="37920"/>
    <cellStyle name="40% - Ênfase4 5 11 2" xfId="37921"/>
    <cellStyle name="40% - Ênfase4 5 2 8 2" xfId="37922"/>
    <cellStyle name="40% - Ênfase4 5 2 2 6 2" xfId="37923"/>
    <cellStyle name="40% - Ênfase4 5 2 3 6 2" xfId="37924"/>
    <cellStyle name="40% - Ênfase4 5 3 6 2" xfId="37925"/>
    <cellStyle name="40% - Ênfase4 5 4 6 2" xfId="37926"/>
    <cellStyle name="40% - Ênfase4 5 5 6 2" xfId="37927"/>
    <cellStyle name="40% - Ênfase4 6 10 2" xfId="37928"/>
    <cellStyle name="40% - Ênfase4 6 2 8 2" xfId="37929"/>
    <cellStyle name="40% - Ênfase4 6 2 2 6 2" xfId="37930"/>
    <cellStyle name="40% - Ênfase4 6 2 3 6 2" xfId="37931"/>
    <cellStyle name="40% - Ênfase4 6 3 6 2" xfId="37932"/>
    <cellStyle name="40% - Ênfase4 6 4 6 2" xfId="37933"/>
    <cellStyle name="40% - Ênfase4 8 8 2" xfId="37934"/>
    <cellStyle name="40% - Ênfase4 8 2 6 2" xfId="37935"/>
    <cellStyle name="40% - Ênfase4 8 3 6 2" xfId="37936"/>
    <cellStyle name="40% - Ênfase5 2 2 11 2" xfId="37937"/>
    <cellStyle name="40% - Ênfase5 2 2 2 8 2" xfId="37938"/>
    <cellStyle name="40% - Ênfase5 2 2 2 2 6 2" xfId="37939"/>
    <cellStyle name="40% - Ênfase5 2 2 2 3 6 2" xfId="37940"/>
    <cellStyle name="40% - Ênfase5 2 2 3 6 2" xfId="37941"/>
    <cellStyle name="40% - Ênfase5 2 2 4 6 2" xfId="37942"/>
    <cellStyle name="40% - Ênfase5 2 2 5 6 2" xfId="37943"/>
    <cellStyle name="40% - Ênfase5 2 3 10 2" xfId="37944"/>
    <cellStyle name="40% - Ênfase5 2 3 2 8 2" xfId="37945"/>
    <cellStyle name="40% - Ênfase5 2 3 2 2 6 2" xfId="37946"/>
    <cellStyle name="40% - Ênfase5 2 3 2 3 6 2" xfId="37947"/>
    <cellStyle name="40% - Ênfase5 2 3 3 6 2" xfId="37948"/>
    <cellStyle name="40% - Ênfase5 2 3 4 6 2" xfId="37949"/>
    <cellStyle name="40% - Ênfase5 2 5 8 2" xfId="37950"/>
    <cellStyle name="40% - Ênfase5 2 5 2 6 2" xfId="37951"/>
    <cellStyle name="40% - Ênfase5 2 5 3 6 2" xfId="37952"/>
    <cellStyle name="40% - Ênfase5 3 13 2" xfId="37953"/>
    <cellStyle name="40% - Ênfase5 3 2 10 2" xfId="37954"/>
    <cellStyle name="40% - Ênfase5 3 2 2 8 2" xfId="37955"/>
    <cellStyle name="40% - Ênfase5 3 2 2 2 6 2" xfId="37956"/>
    <cellStyle name="40% - Ênfase5 3 2 2 3 6 2" xfId="37957"/>
    <cellStyle name="40% - Ênfase5 3 2 3 6 2" xfId="37958"/>
    <cellStyle name="40% - Ênfase5 3 2 4 6 2" xfId="37959"/>
    <cellStyle name="40% - Ênfase5 3 3 9 2" xfId="37960"/>
    <cellStyle name="40% - Ênfase5 3 3 2 6 2" xfId="37961"/>
    <cellStyle name="40% - Ênfase5 3 3 3 6 2" xfId="37962"/>
    <cellStyle name="40% - Ênfase5 3 4 8 2" xfId="37963"/>
    <cellStyle name="40% - Ênfase5 3 4 2 6 2" xfId="37964"/>
    <cellStyle name="40% - Ênfase5 3 4 3 6 2" xfId="37965"/>
    <cellStyle name="40% - Ênfase5 3 5 6 2" xfId="37966"/>
    <cellStyle name="40% - Ênfase5 3 6 6 2" xfId="37967"/>
    <cellStyle name="40% - Ênfase5 3 7 6 2" xfId="37968"/>
    <cellStyle name="40% - Ênfase5 4 13 2" xfId="37969"/>
    <cellStyle name="40% - Ênfase5 4 2 10 2" xfId="37970"/>
    <cellStyle name="40% - Ênfase5 4 2 2 8 2" xfId="37971"/>
    <cellStyle name="40% - Ênfase5 4 2 2 2 6 2" xfId="37972"/>
    <cellStyle name="40% - Ênfase5 4 2 2 3 6 2" xfId="37973"/>
    <cellStyle name="40% - Ênfase5 4 2 3 6 2" xfId="37974"/>
    <cellStyle name="40% - Ênfase5 4 2 4 6 2" xfId="37975"/>
    <cellStyle name="40% - Ênfase5 4 3 9 2" xfId="37976"/>
    <cellStyle name="40% - Ênfase5 4 3 2 6 2" xfId="37977"/>
    <cellStyle name="40% - Ênfase5 4 3 3 6 2" xfId="37978"/>
    <cellStyle name="40% - Ênfase5 4 4 8 2" xfId="37979"/>
    <cellStyle name="40% - Ênfase5 4 4 2 6 2" xfId="37980"/>
    <cellStyle name="40% - Ênfase5 4 4 3 6 2" xfId="37981"/>
    <cellStyle name="40% - Ênfase5 4 5 6 2" xfId="37982"/>
    <cellStyle name="40% - Ênfase5 4 6 6 2" xfId="37983"/>
    <cellStyle name="40% - Ênfase5 4 7 6 2" xfId="37984"/>
    <cellStyle name="40% - Ênfase5 5 11 2" xfId="37985"/>
    <cellStyle name="40% - Ênfase5 5 2 8 2" xfId="37986"/>
    <cellStyle name="40% - Ênfase5 5 2 2 6 2" xfId="37987"/>
    <cellStyle name="40% - Ênfase5 5 2 3 6 2" xfId="37988"/>
    <cellStyle name="40% - Ênfase5 5 3 6 2" xfId="37989"/>
    <cellStyle name="40% - Ênfase5 5 4 6 2" xfId="37990"/>
    <cellStyle name="40% - Ênfase5 5 5 6 2" xfId="37991"/>
    <cellStyle name="40% - Ênfase5 6 10 2" xfId="37992"/>
    <cellStyle name="40% - Ênfase5 6 2 8 2" xfId="37993"/>
    <cellStyle name="40% - Ênfase5 6 2 2 6 2" xfId="37994"/>
    <cellStyle name="40% - Ênfase5 6 2 3 6 2" xfId="37995"/>
    <cellStyle name="40% - Ênfase5 6 3 6 2" xfId="37996"/>
    <cellStyle name="40% - Ênfase5 6 4 6 2" xfId="37997"/>
    <cellStyle name="40% - Ênfase5 8 8 2" xfId="37998"/>
    <cellStyle name="40% - Ênfase5 8 2 6 2" xfId="37999"/>
    <cellStyle name="40% - Ênfase5 8 3 6 2" xfId="38000"/>
    <cellStyle name="40% - Ênfase6 2 2 11 2" xfId="38001"/>
    <cellStyle name="40% - Ênfase6 2 2 2 8 2" xfId="38002"/>
    <cellStyle name="40% - Ênfase6 2 2 2 2 6 2" xfId="38003"/>
    <cellStyle name="40% - Ênfase6 2 2 2 3 6 2" xfId="38004"/>
    <cellStyle name="40% - Ênfase6 2 2 3 6 2" xfId="38005"/>
    <cellStyle name="40% - Ênfase6 2 2 4 6 2" xfId="38006"/>
    <cellStyle name="40% - Ênfase6 2 2 5 6 2" xfId="38007"/>
    <cellStyle name="40% - Ênfase6 2 3 10 2" xfId="38008"/>
    <cellStyle name="40% - Ênfase6 2 3 2 8 2" xfId="38009"/>
    <cellStyle name="40% - Ênfase6 2 3 2 2 6 2" xfId="38010"/>
    <cellStyle name="40% - Ênfase6 2 3 2 3 6 2" xfId="38011"/>
    <cellStyle name="40% - Ênfase6 2 3 3 6 2" xfId="38012"/>
    <cellStyle name="40% - Ênfase6 2 3 4 6 2" xfId="38013"/>
    <cellStyle name="40% - Ênfase6 2 5 8 2" xfId="38014"/>
    <cellStyle name="40% - Ênfase6 2 5 2 6 2" xfId="38015"/>
    <cellStyle name="40% - Ênfase6 2 5 3 6 2" xfId="38016"/>
    <cellStyle name="40% - Ênfase6 3 13 2" xfId="38017"/>
    <cellStyle name="40% - Ênfase6 3 2 10 2" xfId="38018"/>
    <cellStyle name="40% - Ênfase6 3 2 2 8 2" xfId="38019"/>
    <cellStyle name="40% - Ênfase6 3 2 2 2 6 2" xfId="38020"/>
    <cellStyle name="40% - Ênfase6 3 2 2 3 6 2" xfId="38021"/>
    <cellStyle name="40% - Ênfase6 3 2 3 6 2" xfId="38022"/>
    <cellStyle name="40% - Ênfase6 3 2 4 6 2" xfId="38023"/>
    <cellStyle name="40% - Ênfase6 3 3 9 2" xfId="38024"/>
    <cellStyle name="40% - Ênfase6 3 3 2 6 2" xfId="38025"/>
    <cellStyle name="40% - Ênfase6 3 3 3 6 2" xfId="38026"/>
    <cellStyle name="40% - Ênfase6 3 4 8 2" xfId="38027"/>
    <cellStyle name="40% - Ênfase6 3 4 2 6 2" xfId="38028"/>
    <cellStyle name="40% - Ênfase6 3 4 3 6 2" xfId="38029"/>
    <cellStyle name="40% - Ênfase6 3 5 6 2" xfId="38030"/>
    <cellStyle name="40% - Ênfase6 3 6 6 2" xfId="38031"/>
    <cellStyle name="40% - Ênfase6 3 7 6 2" xfId="38032"/>
    <cellStyle name="40% - Ênfase6 4 13 2" xfId="38033"/>
    <cellStyle name="40% - Ênfase6 4 2 10 2" xfId="38034"/>
    <cellStyle name="40% - Ênfase6 4 2 2 8 2" xfId="38035"/>
    <cellStyle name="40% - Ênfase6 4 2 2 2 6 2" xfId="38036"/>
    <cellStyle name="40% - Ênfase6 4 2 2 3 6 2" xfId="38037"/>
    <cellStyle name="40% - Ênfase6 4 2 3 6 2" xfId="38038"/>
    <cellStyle name="40% - Ênfase6 4 2 4 6 2" xfId="38039"/>
    <cellStyle name="40% - Ênfase6 4 3 9 2" xfId="38040"/>
    <cellStyle name="40% - Ênfase6 4 3 2 6 2" xfId="38041"/>
    <cellStyle name="40% - Ênfase6 4 3 3 6 2" xfId="38042"/>
    <cellStyle name="40% - Ênfase6 4 4 8 2" xfId="38043"/>
    <cellStyle name="40% - Ênfase6 4 4 2 6 2" xfId="38044"/>
    <cellStyle name="40% - Ênfase6 4 4 3 6 2" xfId="38045"/>
    <cellStyle name="40% - Ênfase6 4 5 6 2" xfId="38046"/>
    <cellStyle name="40% - Ênfase6 4 6 6 2" xfId="38047"/>
    <cellStyle name="40% - Ênfase6 4 7 6 2" xfId="38048"/>
    <cellStyle name="40% - Ênfase6 5 11 2" xfId="38049"/>
    <cellStyle name="40% - Ênfase6 5 2 8 2" xfId="38050"/>
    <cellStyle name="40% - Ênfase6 5 2 2 6 2" xfId="38051"/>
    <cellStyle name="40% - Ênfase6 5 2 3 6 2" xfId="38052"/>
    <cellStyle name="40% - Ênfase6 5 3 6 2" xfId="38053"/>
    <cellStyle name="40% - Ênfase6 5 4 6 2" xfId="38054"/>
    <cellStyle name="40% - Ênfase6 5 5 6 2" xfId="38055"/>
    <cellStyle name="40% - Ênfase6 6 10 2" xfId="38056"/>
    <cellStyle name="40% - Ênfase6 6 2 8 2" xfId="38057"/>
    <cellStyle name="40% - Ênfase6 6 2 2 6 2" xfId="38058"/>
    <cellStyle name="40% - Ênfase6 6 2 3 6 2" xfId="38059"/>
    <cellStyle name="40% - Ênfase6 6 3 6 2" xfId="38060"/>
    <cellStyle name="40% - Ênfase6 6 4 6 2" xfId="38061"/>
    <cellStyle name="40% - Ênfase6 8 8 2" xfId="38062"/>
    <cellStyle name="40% - Ênfase6 8 2 6 2" xfId="38063"/>
    <cellStyle name="40% - Ênfase6 8 3 6 2" xfId="38064"/>
    <cellStyle name="Normal 3 3 9 2" xfId="38065"/>
    <cellStyle name="Normal 3 3 2 6 2" xfId="38066"/>
    <cellStyle name="Normal 3 3 3 6 2" xfId="38067"/>
    <cellStyle name="Normal 3 4 6 2" xfId="38068"/>
    <cellStyle name="Normal 3 5 6 2" xfId="38069"/>
    <cellStyle name="Normal 3 6 6 2" xfId="38070"/>
    <cellStyle name="Normal 4 2 11 2" xfId="38071"/>
    <cellStyle name="Normal 4 2 2 8 2" xfId="38072"/>
    <cellStyle name="Normal 4 2 2 2 6 2" xfId="38073"/>
    <cellStyle name="Normal 4 2 2 3 6 2" xfId="38074"/>
    <cellStyle name="Normal 4 2 3 6 2" xfId="38075"/>
    <cellStyle name="Normal 4 2 4 6 2" xfId="38076"/>
    <cellStyle name="Normal 4 2 5 6 2" xfId="38077"/>
    <cellStyle name="Normal 4 3 10 2" xfId="38078"/>
    <cellStyle name="Normal 4 3 2 8 2" xfId="38079"/>
    <cellStyle name="Normal 4 3 2 2 6 2" xfId="38080"/>
    <cellStyle name="Normal 4 3 2 3 6 2" xfId="38081"/>
    <cellStyle name="Normal 4 3 3 6 2" xfId="38082"/>
    <cellStyle name="Normal 4 3 4 6 2" xfId="38083"/>
    <cellStyle name="Normal 4 5 8 2" xfId="38084"/>
    <cellStyle name="Normal 4 5 2 6 2" xfId="38085"/>
    <cellStyle name="Normal 4 5 3 6 2" xfId="38086"/>
    <cellStyle name="Normal 5 2 12 2" xfId="38087"/>
    <cellStyle name="Normal 5 2 2 8 2" xfId="38088"/>
    <cellStyle name="Normal 5 2 2 2 6 2" xfId="38089"/>
    <cellStyle name="Normal 5 2 2 3 6 2" xfId="38090"/>
    <cellStyle name="Normal 5 2 3 6 2" xfId="38091"/>
    <cellStyle name="Normal 5 2 4 6 2" xfId="38092"/>
    <cellStyle name="Normal 5 2 5 6 2" xfId="38093"/>
    <cellStyle name="Normal 5 3 10 2" xfId="38094"/>
    <cellStyle name="Normal 5 3 2 8 2" xfId="38095"/>
    <cellStyle name="Normal 5 3 2 2 6 2" xfId="38096"/>
    <cellStyle name="Normal 5 3 2 3 6 2" xfId="38097"/>
    <cellStyle name="Normal 5 3 3 6 2" xfId="38098"/>
    <cellStyle name="Normal 5 3 4 6 2" xfId="38099"/>
    <cellStyle name="Normal 5 5 8 2" xfId="38100"/>
    <cellStyle name="Normal 5 5 2 6 2" xfId="38101"/>
    <cellStyle name="Normal 5 5 3 6 2" xfId="38102"/>
    <cellStyle name="Normal 6 4 6 2" xfId="38103"/>
    <cellStyle name="Normal 7 2 6 5 2" xfId="38104"/>
    <cellStyle name="Normal 7 2 2 4 5 2" xfId="38105"/>
    <cellStyle name="Normal 7 2 2 2 6 2" xfId="38106"/>
    <cellStyle name="Normal 7 2 2 3 6 2" xfId="38107"/>
    <cellStyle name="Normal 7 2 3 6 2" xfId="38108"/>
    <cellStyle name="Normal 7 2 4 6 2" xfId="38109"/>
    <cellStyle name="Normal 7 2 5 6 2" xfId="38110"/>
    <cellStyle name="Normal 7 3 5 5 2" xfId="38111"/>
    <cellStyle name="Normal 7 3 2 8 2" xfId="38112"/>
    <cellStyle name="Normal 7 3 2 2 6 2" xfId="38113"/>
    <cellStyle name="Normal 7 3 2 3 6 2" xfId="38114"/>
    <cellStyle name="Normal 7 3 3 6 2" xfId="38115"/>
    <cellStyle name="Normal 7 3 4 6 2" xfId="38116"/>
    <cellStyle name="Normal 7 5 8 2" xfId="38117"/>
    <cellStyle name="Normal 7 5 2 6 2" xfId="38118"/>
    <cellStyle name="Normal 7 5 3 6 2" xfId="38119"/>
    <cellStyle name="Normal 8 9 5 2" xfId="38120"/>
    <cellStyle name="Normal 8 2 5 5 2" xfId="38121"/>
    <cellStyle name="Normal 8 2 2 4 5 2" xfId="38122"/>
    <cellStyle name="Normal 8 2 2 2 6 2" xfId="38123"/>
    <cellStyle name="Normal 8 2 2 3 6 2" xfId="38124"/>
    <cellStyle name="Normal 8 2 3 6 2" xfId="38125"/>
    <cellStyle name="Normal 8 2 4 6 2" xfId="38126"/>
    <cellStyle name="Normal 8 3 4 5 2" xfId="38127"/>
    <cellStyle name="Normal 8 3 2 2 5 2" xfId="38128"/>
    <cellStyle name="Normal 8 3 3 6 2" xfId="38129"/>
    <cellStyle name="Normal 8 4 4 5 2" xfId="38130"/>
    <cellStyle name="Normal 8 4 2 2 5 2" xfId="38131"/>
    <cellStyle name="Normal 8 4 3 6 2" xfId="38132"/>
    <cellStyle name="Normal 8 5 4 4 2" xfId="38133"/>
    <cellStyle name="Normal 8 6 2 5 2" xfId="38134"/>
    <cellStyle name="Normal 8 7 6 2" xfId="38135"/>
    <cellStyle name="Nota 2 2 11 2" xfId="38136"/>
    <cellStyle name="Nota 2 2 2 8 2" xfId="38137"/>
    <cellStyle name="Nota 2 2 2 2 6 2" xfId="38138"/>
    <cellStyle name="Nota 2 2 2 3 6 2" xfId="38139"/>
    <cellStyle name="Nota 2 2 3 6 2" xfId="38140"/>
    <cellStyle name="Nota 2 2 4 6 2" xfId="38141"/>
    <cellStyle name="Nota 2 2 5 6 2" xfId="38142"/>
    <cellStyle name="Nota 2 3 10 2" xfId="38143"/>
    <cellStyle name="Nota 2 3 2 8 2" xfId="38144"/>
    <cellStyle name="Nota 2 3 2 2 6 2" xfId="38145"/>
    <cellStyle name="Nota 2 3 2 3 6 2" xfId="38146"/>
    <cellStyle name="Nota 2 3 3 6 2" xfId="38147"/>
    <cellStyle name="Nota 2 3 4 6 2" xfId="38148"/>
    <cellStyle name="Nota 2 5 8 2" xfId="38149"/>
    <cellStyle name="Nota 2 5 2 6 2" xfId="38150"/>
    <cellStyle name="Nota 2 5 3 6 2" xfId="38151"/>
    <cellStyle name="Nota 3 2 11 2" xfId="38152"/>
    <cellStyle name="Nota 3 2 2 8 2" xfId="38153"/>
    <cellStyle name="Nota 3 2 2 2 6 2" xfId="38154"/>
    <cellStyle name="Nota 3 2 2 3 6 2" xfId="38155"/>
    <cellStyle name="Nota 3 2 3 6 2" xfId="38156"/>
    <cellStyle name="Nota 3 2 4 6 2" xfId="38157"/>
    <cellStyle name="Nota 3 2 5 6 2" xfId="38158"/>
    <cellStyle name="Nota 3 3 10 2" xfId="38159"/>
    <cellStyle name="Nota 3 3 2 8 2" xfId="38160"/>
    <cellStyle name="Nota 3 3 2 2 6 2" xfId="38161"/>
    <cellStyle name="Nota 3 3 2 3 6 2" xfId="38162"/>
    <cellStyle name="Nota 3 3 3 6 2" xfId="38163"/>
    <cellStyle name="Nota 3 3 4 6 2" xfId="38164"/>
    <cellStyle name="Nota 3 5 8 2" xfId="38165"/>
    <cellStyle name="Nota 3 5 2 6 2" xfId="38166"/>
    <cellStyle name="Nota 3 5 3 6 2" xfId="38167"/>
    <cellStyle name="Nota 4 8 5 2" xfId="38168"/>
    <cellStyle name="Nota 4 2 10 2" xfId="38169"/>
    <cellStyle name="Nota 4 2 2 8 2" xfId="38170"/>
    <cellStyle name="Nota 4 2 2 2 6 2" xfId="38171"/>
    <cellStyle name="Nota 4 2 2 3 6 2" xfId="38172"/>
    <cellStyle name="Nota 4 2 3 6 2" xfId="38173"/>
    <cellStyle name="Nota 4 2 4 6 2" xfId="38174"/>
    <cellStyle name="Nota 4 3 9 2" xfId="38175"/>
    <cellStyle name="Nota 4 3 2 6 2" xfId="38176"/>
    <cellStyle name="Nota 4 3 3 6 2" xfId="38177"/>
    <cellStyle name="Nota 4 4 8 2" xfId="38178"/>
    <cellStyle name="Nota 4 4 2 6 2" xfId="38179"/>
    <cellStyle name="Nota 4 4 3 6 2" xfId="38180"/>
    <cellStyle name="Nota 4 5 6 2" xfId="38181"/>
    <cellStyle name="Nota 4 6 6 2" xfId="38182"/>
    <cellStyle name="Nota 4 7 6 2" xfId="38183"/>
    <cellStyle name="Nota 5 13 2" xfId="38184"/>
    <cellStyle name="Nota 5 2 10 2" xfId="38185"/>
    <cellStyle name="Nota 5 2 2 8 2" xfId="38186"/>
    <cellStyle name="Nota 5 2 2 2 6 2" xfId="38187"/>
    <cellStyle name="Nota 5 2 2 3 6 2" xfId="38188"/>
    <cellStyle name="Nota 5 2 3 6 2" xfId="38189"/>
    <cellStyle name="Nota 5 2 4 6 2" xfId="38190"/>
    <cellStyle name="Nota 5 3 9 2" xfId="38191"/>
    <cellStyle name="Nota 5 3 2 6 2" xfId="38192"/>
    <cellStyle name="Nota 5 3 3 6 2" xfId="38193"/>
    <cellStyle name="Nota 5 4 8 2" xfId="38194"/>
    <cellStyle name="Nota 5 4 2 6 2" xfId="38195"/>
    <cellStyle name="Nota 5 4 3 6 2" xfId="38196"/>
    <cellStyle name="Nota 5 5 6 2" xfId="38197"/>
    <cellStyle name="Nota 5 6 6 2" xfId="38198"/>
    <cellStyle name="Nota 5 7 6 2" xfId="38199"/>
    <cellStyle name="Separador de milhares 2 2 4 5 2" xfId="38200"/>
    <cellStyle name="Separador de milhares 2 2 2 5 2" xfId="38201"/>
    <cellStyle name="Separador de milhares 2 2 3 5 2" xfId="38202"/>
    <cellStyle name="Separador de milhares 2 3 2 5 2" xfId="38203"/>
    <cellStyle name="Separador de milhares 2 4 5 2" xfId="38204"/>
    <cellStyle name="Separador de milhares 2 5 5 2" xfId="38205"/>
    <cellStyle name="Separador de milhares 2 6 5 2" xfId="38206"/>
    <cellStyle name="Separador de milhares 3 2 4 5 2" xfId="38207"/>
    <cellStyle name="Separador de milhares 3 2 2 5 2" xfId="38208"/>
    <cellStyle name="Separador de milhares 3 2 3 5 2" xfId="38209"/>
    <cellStyle name="Separador de milhares 3 4 2 5 2" xfId="38210"/>
    <cellStyle name="Separador de milhares 4 4 5 2" xfId="38211"/>
    <cellStyle name="Separador de milhares 4 2 3 5 2" xfId="38212"/>
    <cellStyle name="Separador de milhares 4 2 2 5 2" xfId="38213"/>
    <cellStyle name="Separador de milhares 4 3 2 5 2" xfId="38214"/>
    <cellStyle name="Separador de milhares 5 2 3 5 2" xfId="38215"/>
    <cellStyle name="Separador de milhares 5 2 2 5 2" xfId="38216"/>
    <cellStyle name="Separador de milhares 5 3 2 5 2" xfId="38217"/>
    <cellStyle name="Separador de milhares 5 4 5 2" xfId="38218"/>
    <cellStyle name="Separador de milhares 6 5 5 2" xfId="38219"/>
    <cellStyle name="Separador de milhares 6 2 3 5 2" xfId="38220"/>
    <cellStyle name="Separador de milhares 6 2 2 5 2" xfId="38221"/>
    <cellStyle name="Separador de milhares 6 3 2 5 2" xfId="38222"/>
    <cellStyle name="Separador de milhares 6 4 5 2" xfId="38223"/>
    <cellStyle name="Separador de milhares 7 3 2 4 2" xfId="38224"/>
    <cellStyle name="Vírgula 2 6 5 2" xfId="38225"/>
    <cellStyle name="Vírgula 2 2 8 2" xfId="38226"/>
    <cellStyle name="Vírgula 2 2 2 5 2" xfId="38227"/>
    <cellStyle name="Vírgula 2 3 7 2" xfId="38228"/>
    <cellStyle name="Vírgula 2 3 2 5 2" xfId="38229"/>
    <cellStyle name="Vírgula 2 4 5 2" xfId="38230"/>
    <cellStyle name="Vírgula 2 5 5 2" xfId="38231"/>
    <cellStyle name="Vírgula 3 4 5 2" xfId="38232"/>
    <cellStyle name="Vírgula 3 2 6 2" xfId="38233"/>
    <cellStyle name="Vírgula 3 3 5 2" xfId="38234"/>
    <cellStyle name="Vírgula 4 4 5 2" xfId="38235"/>
    <cellStyle name="Vírgula 4 2 3 4 2" xfId="38236"/>
    <cellStyle name="Vírgula 4 2 2 2 5 2" xfId="38237"/>
    <cellStyle name="Vírgula 4 3 6 2" xfId="38238"/>
    <cellStyle name="Vírgula 5 3 5 2" xfId="38239"/>
    <cellStyle name="Vírgula 5 2 5 2" xfId="38240"/>
    <cellStyle name="Vírgula 6 2 4 2" xfId="38241"/>
    <cellStyle name="Vírgula 8 2 2 5 2" xfId="38242"/>
    <cellStyle name="Vírgula 9 2 4 2" xfId="38243"/>
    <cellStyle name="Comma 4 3 4 2" xfId="38244"/>
    <cellStyle name="Comma 5 3 4 2" xfId="38245"/>
    <cellStyle name="Comma 6 4 2" xfId="38246"/>
    <cellStyle name="Comma 7 4 2" xfId="38247"/>
    <cellStyle name="Vírgula 10 7 2" xfId="38248"/>
    <cellStyle name="Comma 8 4 2" xfId="38249"/>
    <cellStyle name="Comma 9 4 2" xfId="38250"/>
    <cellStyle name="Comma 10 4 2" xfId="38251"/>
    <cellStyle name="Vírgula 10 2 5 2" xfId="38252"/>
    <cellStyle name="Separador de milhares 2 7 2 5 2" xfId="38253"/>
    <cellStyle name="Comma 11 4 2" xfId="38254"/>
    <cellStyle name="Vírgula 10 3 5 2" xfId="38255"/>
    <cellStyle name="Separador de milhares 2 7 3 5 2" xfId="38256"/>
    <cellStyle name="Porcentagem 12 5 2" xfId="38257"/>
    <cellStyle name="Normal 55 4 2" xfId="38258"/>
    <cellStyle name="Percent 14 4 2" xfId="38259"/>
    <cellStyle name="Normal 3 9 5 2" xfId="38260"/>
    <cellStyle name="Vírgula 11 4 2" xfId="38261"/>
    <cellStyle name="Normal 3 7 2 5 2" xfId="38262"/>
    <cellStyle name="20% - Ênfase1 5 6 5 2" xfId="38263"/>
    <cellStyle name="40% - Ênfase1 5 6 5 2" xfId="38264"/>
    <cellStyle name="20% - Ênfase2 5 6 5 2" xfId="38265"/>
    <cellStyle name="40% - Ênfase2 5 6 5 2" xfId="38266"/>
    <cellStyle name="20% - Ênfase3 5 6 5 2" xfId="38267"/>
    <cellStyle name="40% - Ênfase3 5 6 5 2" xfId="38268"/>
    <cellStyle name="20% - Ênfase4 5 6 5 2" xfId="38269"/>
    <cellStyle name="40% - Ênfase4 5 6 5 2" xfId="38270"/>
    <cellStyle name="20% - Ênfase5 5 6 5 2" xfId="38271"/>
    <cellStyle name="40% - Ênfase5 5 6 5 2" xfId="38272"/>
    <cellStyle name="20% - Ênfase6 5 6 5 2" xfId="38273"/>
    <cellStyle name="40% - Ênfase6 5 6 5 2" xfId="38274"/>
    <cellStyle name="Normal 4 2 6 5 2" xfId="38275"/>
    <cellStyle name="Nota 2 2 6 5 2" xfId="38276"/>
    <cellStyle name="Normal 5 2 7 5 2" xfId="38277"/>
    <cellStyle name="Nota 3 2 6 5 2" xfId="38278"/>
    <cellStyle name="20% - Ênfase1 2 2 6 5 2" xfId="38279"/>
    <cellStyle name="40% - Ênfase1 2 2 6 5 2" xfId="38280"/>
    <cellStyle name="20% - Ênfase2 2 2 6 5 2" xfId="38281"/>
    <cellStyle name="40% - Ênfase2 2 2 6 5 2" xfId="38282"/>
    <cellStyle name="20% - Ênfase3 2 2 6 5 2" xfId="38283"/>
    <cellStyle name="40% - Ênfase3 2 2 6 5 2" xfId="38284"/>
    <cellStyle name="20% - Ênfase4 2 2 6 5 2" xfId="38285"/>
    <cellStyle name="40% - Ênfase4 2 2 6 5 2" xfId="38286"/>
    <cellStyle name="20% - Ênfase5 2 2 6 5 2" xfId="38287"/>
    <cellStyle name="40% - Ênfase5 2 2 6 5 2" xfId="38288"/>
    <cellStyle name="20% - Ênfase6 2 2 6 5 2" xfId="38289"/>
    <cellStyle name="40% - Ênfase6 2 2 6 5 2" xfId="38290"/>
    <cellStyle name="Normal 7 2 7 5 2" xfId="38291"/>
    <cellStyle name="Nota 4 9 5 2" xfId="38292"/>
    <cellStyle name="20% - Ênfase1 3 8 5 2" xfId="38293"/>
    <cellStyle name="40% - Ênfase1 3 8 5 2" xfId="38294"/>
    <cellStyle name="20% - Ênfase2 3 8 5 2" xfId="38295"/>
    <cellStyle name="40% - Ênfase2 3 8 5 2" xfId="38296"/>
    <cellStyle name="20% - Ênfase3 3 8 5 2" xfId="38297"/>
    <cellStyle name="40% - Ênfase3 3 8 5 2" xfId="38298"/>
    <cellStyle name="20% - Ênfase4 3 8 5 2" xfId="38299"/>
    <cellStyle name="40% - Ênfase4 3 8 5 2" xfId="38300"/>
    <cellStyle name="20% - Ênfase5 3 8 5 2" xfId="38301"/>
    <cellStyle name="40% - Ênfase5 3 8 5 2" xfId="38302"/>
    <cellStyle name="20% - Ênfase6 3 8 5 2" xfId="38303"/>
    <cellStyle name="40% - Ênfase6 3 8 5 2" xfId="38304"/>
    <cellStyle name="Normal 8 12 4 2" xfId="38305"/>
    <cellStyle name="Nota 5 8 5 2" xfId="38306"/>
    <cellStyle name="20% - Ênfase1 4 8 5 2" xfId="38307"/>
    <cellStyle name="40% - Ênfase1 4 8 5 2" xfId="38308"/>
    <cellStyle name="20% - Ênfase2 4 8 5 2" xfId="38309"/>
    <cellStyle name="40% - Ênfase2 4 8 5 2" xfId="38310"/>
    <cellStyle name="20% - Ênfase3 4 8 5 2" xfId="38311"/>
    <cellStyle name="40% - Ênfase3 4 8 5 2" xfId="38312"/>
    <cellStyle name="20% - Ênfase4 4 8 5 2" xfId="38313"/>
    <cellStyle name="40% - Ênfase4 4 8 5 2" xfId="38314"/>
    <cellStyle name="20% - Ênfase5 4 8 5 2" xfId="38315"/>
    <cellStyle name="40% - Ênfase5 4 8 5 2" xfId="38316"/>
    <cellStyle name="20% - Ênfase6 4 8 5 2" xfId="38317"/>
    <cellStyle name="40% - Ênfase6 4 8 5 2" xfId="38318"/>
    <cellStyle name="20% - Ênfase1 6 5 5 2" xfId="38319"/>
    <cellStyle name="40% - Ênfase1 6 5 5 2" xfId="38320"/>
    <cellStyle name="20% - Ênfase2 6 5 5 2" xfId="38321"/>
    <cellStyle name="40% - Ênfase2 6 5 5 2" xfId="38322"/>
    <cellStyle name="20% - Ênfase3 6 5 5 2" xfId="38323"/>
    <cellStyle name="40% - Ênfase3 6 5 5 2" xfId="38324"/>
    <cellStyle name="20% - Ênfase4 6 5 5 2" xfId="38325"/>
    <cellStyle name="40% - Ênfase4 6 5 5 2" xfId="38326"/>
    <cellStyle name="20% - Ênfase5 6 5 5 2" xfId="38327"/>
    <cellStyle name="40% - Ênfase5 6 5 5 2" xfId="38328"/>
    <cellStyle name="20% - Ênfase6 6 5 5 2" xfId="38329"/>
    <cellStyle name="40% - Ênfase6 6 5 5 2" xfId="38330"/>
    <cellStyle name="Normal 4 3 5 5 2" xfId="38331"/>
    <cellStyle name="Nota 2 3 5 5 2" xfId="38332"/>
    <cellStyle name="Normal 5 3 5 5 2" xfId="38333"/>
    <cellStyle name="Nota 3 3 5 5 2" xfId="38334"/>
    <cellStyle name="20% - Ênfase1 2 3 5 5 2" xfId="38335"/>
    <cellStyle name="40% - Ênfase1 2 3 5 5 2" xfId="38336"/>
    <cellStyle name="20% - Ênfase2 2 3 5 5 2" xfId="38337"/>
    <cellStyle name="40% - Ênfase2 2 3 5 5 2" xfId="38338"/>
    <cellStyle name="20% - Ênfase3 2 3 5 5 2" xfId="38339"/>
    <cellStyle name="40% - Ênfase3 2 3 5 5 2" xfId="38340"/>
    <cellStyle name="20% - Ênfase4 2 3 5 5 2" xfId="38341"/>
    <cellStyle name="40% - Ênfase4 2 3 5 5 2" xfId="38342"/>
    <cellStyle name="20% - Ênfase5 2 3 5 5 2" xfId="38343"/>
    <cellStyle name="40% - Ênfase5 2 3 5 5 2" xfId="38344"/>
    <cellStyle name="20% - Ênfase6 2 3 5 5 2" xfId="38345"/>
    <cellStyle name="40% - Ênfase6 2 3 5 5 2" xfId="38346"/>
    <cellStyle name="Normal 7 3 6 5 2" xfId="38347"/>
    <cellStyle name="Nota 4 2 5 5 2" xfId="38348"/>
    <cellStyle name="20% - Ênfase1 3 2 5 5 2" xfId="38349"/>
    <cellStyle name="40% - Ênfase1 3 2 5 5 2" xfId="38350"/>
    <cellStyle name="20% - Ênfase2 3 2 5 5 2" xfId="38351"/>
    <cellStyle name="40% - Ênfase2 3 2 5 5 2" xfId="38352"/>
    <cellStyle name="20% - Ênfase3 3 2 5 5 2" xfId="38353"/>
    <cellStyle name="40% - Ênfase3 3 2 5 5 2" xfId="38354"/>
    <cellStyle name="20% - Ênfase4 3 2 5 5 2" xfId="38355"/>
    <cellStyle name="40% - Ênfase4 3 2 5 5 2" xfId="38356"/>
    <cellStyle name="20% - Ênfase5 3 2 5 5 2" xfId="38357"/>
    <cellStyle name="40% - Ênfase5 3 2 5 5 2" xfId="38358"/>
    <cellStyle name="20% - Ênfase6 3 2 5 5 2" xfId="38359"/>
    <cellStyle name="40% - Ênfase6 3 2 5 5 2" xfId="38360"/>
    <cellStyle name="Normal 8 2 6 5 2" xfId="38361"/>
    <cellStyle name="Nota 5 2 5 5 2" xfId="38362"/>
    <cellStyle name="20% - Ênfase1 4 2 5 5 2" xfId="38363"/>
    <cellStyle name="40% - Ênfase1 4 2 5 5 2" xfId="38364"/>
    <cellStyle name="20% - Ênfase2 4 2 5 5 2" xfId="38365"/>
    <cellStyle name="40% - Ênfase2 4 2 5 5 2" xfId="38366"/>
    <cellStyle name="20% - Ênfase3 4 2 5 5 2" xfId="38367"/>
    <cellStyle name="40% - Ênfase3 4 2 5 5 2" xfId="38368"/>
    <cellStyle name="20% - Ênfase4 4 2 5 5 2" xfId="38369"/>
    <cellStyle name="40% - Ênfase4 4 2 5 5 2" xfId="38370"/>
    <cellStyle name="20% - Ênfase5 4 2 5 5 2" xfId="38371"/>
    <cellStyle name="40% - Ênfase5 4 2 5 5 2" xfId="38372"/>
    <cellStyle name="20% - Ênfase6 4 2 5 5 2" xfId="38373"/>
    <cellStyle name="40% - Ênfase6 4 2 5 5 2" xfId="38374"/>
    <cellStyle name="20% - Ênfase1 8 4 5 2" xfId="38375"/>
    <cellStyle name="40% - Ênfase1 8 4 5 2" xfId="38376"/>
    <cellStyle name="20% - Ênfase2 8 4 5 2" xfId="38377"/>
    <cellStyle name="40% - Ênfase2 8 4 5 2" xfId="38378"/>
    <cellStyle name="20% - Ênfase3 8 4 5 2" xfId="38379"/>
    <cellStyle name="40% - Ênfase3 8 4 5 2" xfId="38380"/>
    <cellStyle name="20% - Ênfase4 8 4 5 2" xfId="38381"/>
    <cellStyle name="40% - Ênfase4 8 4 5 2" xfId="38382"/>
    <cellStyle name="20% - Ênfase5 8 4 5 2" xfId="38383"/>
    <cellStyle name="40% - Ênfase5 8 4 5 2" xfId="38384"/>
    <cellStyle name="20% - Ênfase6 8 4 5 2" xfId="38385"/>
    <cellStyle name="40% - Ênfase6 8 4 5 2" xfId="38386"/>
    <cellStyle name="Normal 4 5 4 5 2" xfId="38387"/>
    <cellStyle name="Nota 2 5 4 5 2" xfId="38388"/>
    <cellStyle name="Normal 5 5 4 5 2" xfId="38389"/>
    <cellStyle name="Nota 3 5 4 5 2" xfId="38390"/>
    <cellStyle name="20% - Ênfase1 2 5 4 5 2" xfId="38391"/>
    <cellStyle name="40% - Ênfase1 2 5 4 5 2" xfId="38392"/>
    <cellStyle name="20% - Ênfase2 2 5 4 5 2" xfId="38393"/>
    <cellStyle name="40% - Ênfase2 2 5 4 5 2" xfId="38394"/>
    <cellStyle name="20% - Ênfase3 2 5 4 5 2" xfId="38395"/>
    <cellStyle name="40% - Ênfase3 2 5 4 5 2" xfId="38396"/>
    <cellStyle name="20% - Ênfase4 2 5 4 5 2" xfId="38397"/>
    <cellStyle name="40% - Ênfase4 2 5 4 5 2" xfId="38398"/>
    <cellStyle name="20% - Ênfase5 2 5 4 5 2" xfId="38399"/>
    <cellStyle name="40% - Ênfase5 2 5 4 5 2" xfId="38400"/>
    <cellStyle name="20% - Ênfase6 2 5 4 5 2" xfId="38401"/>
    <cellStyle name="40% - Ênfase6 2 5 4 5 2" xfId="38402"/>
    <cellStyle name="Normal 7 5 4 5 2" xfId="38403"/>
    <cellStyle name="Nota 4 4 4 5 2" xfId="38404"/>
    <cellStyle name="20% - Ênfase1 3 4 4 5 2" xfId="38405"/>
    <cellStyle name="40% - Ênfase1 3 4 4 5 2" xfId="38406"/>
    <cellStyle name="20% - Ênfase2 3 4 4 5 2" xfId="38407"/>
    <cellStyle name="40% - Ênfase2 3 4 4 5 2" xfId="38408"/>
    <cellStyle name="20% - Ênfase3 3 4 4 5 2" xfId="38409"/>
    <cellStyle name="40% - Ênfase3 3 4 4 5 2" xfId="38410"/>
    <cellStyle name="20% - Ênfase4 3 4 4 5 2" xfId="38411"/>
    <cellStyle name="40% - Ênfase4 3 4 4 5 2" xfId="38412"/>
    <cellStyle name="20% - Ênfase5 3 4 4 5 2" xfId="38413"/>
    <cellStyle name="40% - Ênfase5 3 4 4 5 2" xfId="38414"/>
    <cellStyle name="20% - Ênfase6 3 4 4 5 2" xfId="38415"/>
    <cellStyle name="40% - Ênfase6 3 4 4 5 2" xfId="38416"/>
    <cellStyle name="Normal 8 4 5 5 2" xfId="38417"/>
    <cellStyle name="Nota 5 4 4 5 2" xfId="38418"/>
    <cellStyle name="20% - Ênfase1 4 4 4 5 2" xfId="38419"/>
    <cellStyle name="40% - Ênfase1 4 4 4 5 2" xfId="38420"/>
    <cellStyle name="20% - Ênfase2 4 4 4 5 2" xfId="38421"/>
    <cellStyle name="40% - Ênfase2 4 4 4 5 2" xfId="38422"/>
    <cellStyle name="20% - Ênfase3 4 4 4 5 2" xfId="38423"/>
    <cellStyle name="40% - Ênfase3 4 4 4 5 2" xfId="38424"/>
    <cellStyle name="20% - Ênfase4 4 4 4 5 2" xfId="38425"/>
    <cellStyle name="40% - Ênfase4 4 4 4 5 2" xfId="38426"/>
    <cellStyle name="20% - Ênfase5 4 4 4 5 2" xfId="38427"/>
    <cellStyle name="40% - Ênfase5 4 4 4 5 2" xfId="38428"/>
    <cellStyle name="20% - Ênfase6 4 4 4 5 2" xfId="38429"/>
    <cellStyle name="40% - Ênfase6 4 4 4 5 2" xfId="38430"/>
    <cellStyle name="Normal 3 3 4 5 2" xfId="38431"/>
    <cellStyle name="20% - Ênfase1 5 2 4 5 2" xfId="38432"/>
    <cellStyle name="40% - Ênfase1 5 2 4 5 2" xfId="38433"/>
    <cellStyle name="20% - Ênfase2 5 2 4 5 2" xfId="38434"/>
    <cellStyle name="40% - Ênfase2 5 2 4 5 2" xfId="38435"/>
    <cellStyle name="20% - Ênfase3 5 2 4 5 2" xfId="38436"/>
    <cellStyle name="40% - Ênfase3 5 2 4 5 2" xfId="38437"/>
    <cellStyle name="20% - Ênfase4 5 2 4 5 2" xfId="38438"/>
    <cellStyle name="40% - Ênfase4 5 2 4 5 2" xfId="38439"/>
    <cellStyle name="20% - Ênfase5 5 2 4 5 2" xfId="38440"/>
    <cellStyle name="40% - Ênfase5 5 2 4 5 2" xfId="38441"/>
    <cellStyle name="20% - Ênfase6 5 2 4 5 2" xfId="38442"/>
    <cellStyle name="40% - Ênfase6 5 2 4 5 2" xfId="38443"/>
    <cellStyle name="Normal 4 2 2 4 5 2" xfId="38444"/>
    <cellStyle name="Nota 2 2 2 4 5 2" xfId="38445"/>
    <cellStyle name="Normal 5 2 2 4 5 2" xfId="38446"/>
    <cellStyle name="Nota 3 2 2 4 5 2" xfId="38447"/>
    <cellStyle name="20% - Ênfase1 2 2 2 4 5 2" xfId="38448"/>
    <cellStyle name="40% - Ênfase1 2 2 2 4 5 2" xfId="38449"/>
    <cellStyle name="20% - Ênfase2 2 2 2 4 5 2" xfId="38450"/>
    <cellStyle name="40% - Ênfase2 2 2 2 4 5 2" xfId="38451"/>
    <cellStyle name="20% - Ênfase3 2 2 2 4 5 2" xfId="38452"/>
    <cellStyle name="40% - Ênfase3 2 2 2 4 5 2" xfId="38453"/>
    <cellStyle name="20% - Ênfase4 2 2 2 4 5 2" xfId="38454"/>
    <cellStyle name="40% - Ênfase4 2 2 2 4 5 2" xfId="38455"/>
    <cellStyle name="20% - Ênfase5 2 2 2 4 5 2" xfId="38456"/>
    <cellStyle name="40% - Ênfase5 2 2 2 4 5 2" xfId="38457"/>
    <cellStyle name="20% - Ênfase6 2 2 2 4 5 2" xfId="38458"/>
    <cellStyle name="40% - Ênfase6 2 2 2 4 5 2" xfId="38459"/>
    <cellStyle name="Normal 7 2 2 5 5 2" xfId="38460"/>
    <cellStyle name="Nota 4 3 4 5 2" xfId="38461"/>
    <cellStyle name="20% - Ênfase1 3 3 4 5 2" xfId="38462"/>
    <cellStyle name="40% - Ênfase1 3 3 4 5 2" xfId="38463"/>
    <cellStyle name="20% - Ênfase2 3 3 4 5 2" xfId="38464"/>
    <cellStyle name="40% - Ênfase2 3 3 4 5 2" xfId="38465"/>
    <cellStyle name="20% - Ênfase3 3 3 4 5 2" xfId="38466"/>
    <cellStyle name="40% - Ênfase3 3 3 4 5 2" xfId="38467"/>
    <cellStyle name="20% - Ênfase4 3 3 4 5 2" xfId="38468"/>
    <cellStyle name="40% - Ênfase4 3 3 4 5 2" xfId="38469"/>
    <cellStyle name="20% - Ênfase5 3 3 4 5 2" xfId="38470"/>
    <cellStyle name="40% - Ênfase5 3 3 4 5 2" xfId="38471"/>
    <cellStyle name="20% - Ênfase6 3 3 4 5 2" xfId="38472"/>
    <cellStyle name="40% - Ênfase6 3 3 4 5 2" xfId="38473"/>
    <cellStyle name="Normal 8 3 5 5 2" xfId="38474"/>
    <cellStyle name="Nota 5 3 4 5 2" xfId="38475"/>
    <cellStyle name="20% - Ênfase1 4 3 4 5 2" xfId="38476"/>
    <cellStyle name="40% - Ênfase1 4 3 4 5 2" xfId="38477"/>
    <cellStyle name="20% - Ênfase2 4 3 4 5 2" xfId="38478"/>
    <cellStyle name="40% - Ênfase2 4 3 4 5 2" xfId="38479"/>
    <cellStyle name="20% - Ênfase3 4 3 4 5 2" xfId="38480"/>
    <cellStyle name="40% - Ênfase3 4 3 4 5 2" xfId="38481"/>
    <cellStyle name="20% - Ênfase4 4 3 4 5 2" xfId="38482"/>
    <cellStyle name="40% - Ênfase4 4 3 4 5 2" xfId="38483"/>
    <cellStyle name="20% - Ênfase5 4 3 4 5 2" xfId="38484"/>
    <cellStyle name="40% - Ênfase5 4 3 4 5 2" xfId="38485"/>
    <cellStyle name="20% - Ênfase6 4 3 4 5 2" xfId="38486"/>
    <cellStyle name="40% - Ênfase6 4 3 4 5 2" xfId="38487"/>
    <cellStyle name="20% - Ênfase1 6 2 4 5 2" xfId="38488"/>
    <cellStyle name="40% - Ênfase1 6 2 4 5 2" xfId="38489"/>
    <cellStyle name="20% - Ênfase2 6 2 4 5 2" xfId="38490"/>
    <cellStyle name="40% - Ênfase2 6 2 4 5 2" xfId="38491"/>
    <cellStyle name="20% - Ênfase3 6 2 4 5 2" xfId="38492"/>
    <cellStyle name="40% - Ênfase3 6 2 4 5 2" xfId="38493"/>
    <cellStyle name="20% - Ênfase4 6 2 4 5 2" xfId="38494"/>
    <cellStyle name="40% - Ênfase4 6 2 4 5 2" xfId="38495"/>
    <cellStyle name="20% - Ênfase5 6 2 4 5 2" xfId="38496"/>
    <cellStyle name="40% - Ênfase5 6 2 4 5 2" xfId="38497"/>
    <cellStyle name="20% - Ênfase6 6 2 4 5 2" xfId="38498"/>
    <cellStyle name="40% - Ênfase6 6 2 4 5 2" xfId="38499"/>
    <cellStyle name="Normal 4 3 2 4 5 2" xfId="38500"/>
    <cellStyle name="Nota 2 3 2 4 5 2" xfId="38501"/>
    <cellStyle name="Normal 5 3 2 4 5 2" xfId="38502"/>
    <cellStyle name="Nota 3 3 2 4 5 2" xfId="38503"/>
    <cellStyle name="20% - Ênfase1 2 3 2 4 5 2" xfId="38504"/>
    <cellStyle name="40% - Ênfase1 2 3 2 4 5 2" xfId="38505"/>
    <cellStyle name="20% - Ênfase2 2 3 2 4 5 2" xfId="38506"/>
    <cellStyle name="40% - Ênfase2 2 3 2 4 5 2" xfId="38507"/>
    <cellStyle name="20% - Ênfase3 2 3 2 4 5 2" xfId="38508"/>
    <cellStyle name="40% - Ênfase3 2 3 2 4 5 2" xfId="38509"/>
    <cellStyle name="20% - Ênfase4 2 3 2 4 5 2" xfId="38510"/>
    <cellStyle name="40% - Ênfase4 2 3 2 4 5 2" xfId="38511"/>
    <cellStyle name="20% - Ênfase5 2 3 2 4 5 2" xfId="38512"/>
    <cellStyle name="40% - Ênfase5 2 3 2 4 5 2" xfId="38513"/>
    <cellStyle name="20% - Ênfase6 2 3 2 4 5 2" xfId="38514"/>
    <cellStyle name="40% - Ênfase6 2 3 2 4 5 2" xfId="38515"/>
    <cellStyle name="Normal 7 3 2 4 5 2" xfId="38516"/>
    <cellStyle name="Nota 4 2 2 4 5 2" xfId="38517"/>
    <cellStyle name="20% - Ênfase1 3 2 2 4 5 2" xfId="38518"/>
    <cellStyle name="40% - Ênfase1 3 2 2 4 5 2" xfId="38519"/>
    <cellStyle name="20% - Ênfase2 3 2 2 4 5 2" xfId="38520"/>
    <cellStyle name="40% - Ênfase2 3 2 2 4 5 2" xfId="38521"/>
    <cellStyle name="20% - Ênfase3 3 2 2 4 5 2" xfId="38522"/>
    <cellStyle name="40% - Ênfase3 3 2 2 4 5 2" xfId="38523"/>
    <cellStyle name="20% - Ênfase4 3 2 2 4 5 2" xfId="38524"/>
    <cellStyle name="40% - Ênfase4 3 2 2 4 5 2" xfId="38525"/>
    <cellStyle name="20% - Ênfase5 3 2 2 4 5 2" xfId="38526"/>
    <cellStyle name="40% - Ênfase5 3 2 2 4 5 2" xfId="38527"/>
    <cellStyle name="20% - Ênfase6 3 2 2 4 5 2" xfId="38528"/>
    <cellStyle name="40% - Ênfase6 3 2 2 4 5 2" xfId="38529"/>
    <cellStyle name="Normal 8 2 2 5 5 2" xfId="38530"/>
    <cellStyle name="Nota 5 2 2 4 5 2" xfId="38531"/>
    <cellStyle name="20% - Ênfase1 4 2 2 4 5 2" xfId="38532"/>
    <cellStyle name="40% - Ênfase1 4 2 2 4 5 2" xfId="38533"/>
    <cellStyle name="20% - Ênfase2 4 2 2 4 5 2" xfId="38534"/>
    <cellStyle name="40% - Ênfase2 4 2 2 4 5 2" xfId="38535"/>
    <cellStyle name="20% - Ênfase3 4 2 2 4 5 2" xfId="38536"/>
    <cellStyle name="40% - Ênfase3 4 2 2 4 5 2" xfId="38537"/>
    <cellStyle name="20% - Ênfase4 4 2 2 4 5 2" xfId="38538"/>
    <cellStyle name="40% - Ênfase4 4 2 2 4 5 2" xfId="38539"/>
    <cellStyle name="20% - Ênfase5 4 2 2 4 5 2" xfId="38540"/>
    <cellStyle name="40% - Ênfase5 4 2 2 4 5 2" xfId="38541"/>
    <cellStyle name="20% - Ênfase6 4 2 2 4 5 2" xfId="38542"/>
    <cellStyle name="40% - Ênfase6 4 2 2 4 5 2" xfId="38543"/>
    <cellStyle name="Normal 3 4 2 5 2" xfId="38544"/>
    <cellStyle name="20% - Ênfase1 5 3 2 5 2" xfId="38545"/>
    <cellStyle name="40% - Ênfase1 5 3 2 5 2" xfId="38546"/>
    <cellStyle name="20% - Ênfase2 5 3 2 5 2" xfId="38547"/>
    <cellStyle name="40% - Ênfase2 5 3 2 5 2" xfId="38548"/>
    <cellStyle name="20% - Ênfase3 5 3 2 5 2" xfId="38549"/>
    <cellStyle name="40% - Ênfase3 5 3 2 5 2" xfId="38550"/>
    <cellStyle name="20% - Ênfase4 5 3 2 5 2" xfId="38551"/>
    <cellStyle name="40% - Ênfase4 5 3 2 5 2" xfId="38552"/>
    <cellStyle name="20% - Ênfase5 5 3 2 5 2" xfId="38553"/>
    <cellStyle name="40% - Ênfase5 5 3 2 5 2" xfId="38554"/>
    <cellStyle name="20% - Ênfase6 5 3 2 5 2" xfId="38555"/>
    <cellStyle name="40% - Ênfase6 5 3 2 5 2" xfId="38556"/>
    <cellStyle name="Normal 4 2 3 2 5 2" xfId="38557"/>
    <cellStyle name="Nota 2 2 3 2 5 2" xfId="38558"/>
    <cellStyle name="Normal 5 2 3 2 5 2" xfId="38559"/>
    <cellStyle name="Nota 3 2 3 2 5 2" xfId="38560"/>
    <cellStyle name="20% - Ênfase1 2 2 3 2 5 2" xfId="38561"/>
    <cellStyle name="40% - Ênfase1 2 2 3 2 5 2" xfId="38562"/>
    <cellStyle name="20% - Ênfase2 2 2 3 2 5 2" xfId="38563"/>
    <cellStyle name="40% - Ênfase2 2 2 3 2 5 2" xfId="38564"/>
    <cellStyle name="20% - Ênfase3 2 2 3 2 5 2" xfId="38565"/>
    <cellStyle name="40% - Ênfase3 2 2 3 2 5 2" xfId="38566"/>
    <cellStyle name="20% - Ênfase4 2 2 3 2 5 2" xfId="38567"/>
    <cellStyle name="40% - Ênfase4 2 2 3 2 5 2" xfId="38568"/>
    <cellStyle name="20% - Ênfase5 2 2 3 2 5 2" xfId="38569"/>
    <cellStyle name="40% - Ênfase5 2 2 3 2 5 2" xfId="38570"/>
    <cellStyle name="20% - Ênfase6 2 2 3 2 5 2" xfId="38571"/>
    <cellStyle name="40% - Ênfase6 2 2 3 2 5 2" xfId="38572"/>
    <cellStyle name="Normal 7 2 3 2 5 2" xfId="38573"/>
    <cellStyle name="Nota 4 5 2 5 2" xfId="38574"/>
    <cellStyle name="20% - Ênfase1 3 5 2 5 2" xfId="38575"/>
    <cellStyle name="40% - Ênfase1 3 5 2 5 2" xfId="38576"/>
    <cellStyle name="20% - Ênfase2 3 5 2 5 2" xfId="38577"/>
    <cellStyle name="40% - Ênfase2 3 5 2 5 2" xfId="38578"/>
    <cellStyle name="20% - Ênfase3 3 5 2 5 2" xfId="38579"/>
    <cellStyle name="40% - Ênfase3 3 5 2 5 2" xfId="38580"/>
    <cellStyle name="20% - Ênfase4 3 5 2 5 2" xfId="38581"/>
    <cellStyle name="40% - Ênfase4 3 5 2 5 2" xfId="38582"/>
    <cellStyle name="20% - Ênfase5 3 5 2 5 2" xfId="38583"/>
    <cellStyle name="40% - Ênfase5 3 5 2 5 2" xfId="38584"/>
    <cellStyle name="20% - Ênfase6 3 5 2 5 2" xfId="38585"/>
    <cellStyle name="40% - Ênfase6 3 5 2 5 2" xfId="38586"/>
    <cellStyle name="Normal 8 5 5 4 2" xfId="38587"/>
    <cellStyle name="Nota 5 5 2 5 2" xfId="38588"/>
    <cellStyle name="20% - Ênfase1 4 5 2 5 2" xfId="38589"/>
    <cellStyle name="40% - Ênfase1 4 5 2 5 2" xfId="38590"/>
    <cellStyle name="20% - Ênfase2 4 5 2 5 2" xfId="38591"/>
    <cellStyle name="40% - Ênfase2 4 5 2 5 2" xfId="38592"/>
    <cellStyle name="20% - Ênfase3 4 5 2 5 2" xfId="38593"/>
    <cellStyle name="40% - Ênfase3 4 5 2 5 2" xfId="38594"/>
    <cellStyle name="20% - Ênfase4 4 5 2 5 2" xfId="38595"/>
    <cellStyle name="40% - Ênfase4 4 5 2 5 2" xfId="38596"/>
    <cellStyle name="20% - Ênfase5 4 5 2 5 2" xfId="38597"/>
    <cellStyle name="40% - Ênfase5 4 5 2 5 2" xfId="38598"/>
    <cellStyle name="20% - Ênfase6 4 5 2 5 2" xfId="38599"/>
    <cellStyle name="40% - Ênfase6 4 5 2 5 2" xfId="38600"/>
    <cellStyle name="20% - Ênfase1 6 3 2 5 2" xfId="38601"/>
    <cellStyle name="40% - Ênfase1 6 3 2 5 2" xfId="38602"/>
    <cellStyle name="20% - Ênfase2 6 3 2 5 2" xfId="38603"/>
    <cellStyle name="40% - Ênfase2 6 3 2 5 2" xfId="38604"/>
    <cellStyle name="20% - Ênfase3 6 3 2 5 2" xfId="38605"/>
    <cellStyle name="40% - Ênfase3 6 3 2 5 2" xfId="38606"/>
    <cellStyle name="20% - Ênfase4 6 3 2 5 2" xfId="38607"/>
    <cellStyle name="40% - Ênfase4 6 3 2 5 2" xfId="38608"/>
    <cellStyle name="20% - Ênfase5 6 3 2 5 2" xfId="38609"/>
    <cellStyle name="40% - Ênfase5 6 3 2 5 2" xfId="38610"/>
    <cellStyle name="20% - Ênfase6 6 3 2 5 2" xfId="38611"/>
    <cellStyle name="40% - Ênfase6 6 3 2 5 2" xfId="38612"/>
    <cellStyle name="Normal 4 3 3 2 5 2" xfId="38613"/>
    <cellStyle name="Nota 2 3 3 2 5 2" xfId="38614"/>
    <cellStyle name="Normal 5 3 3 2 5 2" xfId="38615"/>
    <cellStyle name="Nota 3 3 3 2 5 2" xfId="38616"/>
    <cellStyle name="20% - Ênfase1 2 3 3 2 5 2" xfId="38617"/>
    <cellStyle name="40% - Ênfase1 2 3 3 2 5 2" xfId="38618"/>
    <cellStyle name="20% - Ênfase2 2 3 3 2 5 2" xfId="38619"/>
    <cellStyle name="40% - Ênfase2 2 3 3 2 5 2" xfId="38620"/>
    <cellStyle name="20% - Ênfase3 2 3 3 2 5 2" xfId="38621"/>
    <cellStyle name="40% - Ênfase3 2 3 3 2 5 2" xfId="38622"/>
    <cellStyle name="20% - Ênfase4 2 3 3 2 5 2" xfId="38623"/>
    <cellStyle name="40% - Ênfase4 2 3 3 2 5 2" xfId="38624"/>
    <cellStyle name="20% - Ênfase5 2 3 3 2 5 2" xfId="38625"/>
    <cellStyle name="40% - Ênfase5 2 3 3 2 5 2" xfId="38626"/>
    <cellStyle name="20% - Ênfase6 2 3 3 2 5 2" xfId="38627"/>
    <cellStyle name="40% - Ênfase6 2 3 3 2 5 2" xfId="38628"/>
    <cellStyle name="Normal 7 3 3 2 5 2" xfId="38629"/>
    <cellStyle name="Nota 4 2 3 2 5 2" xfId="38630"/>
    <cellStyle name="20% - Ênfase1 3 2 3 2 5 2" xfId="38631"/>
    <cellStyle name="40% - Ênfase1 3 2 3 2 5 2" xfId="38632"/>
    <cellStyle name="20% - Ênfase2 3 2 3 2 5 2" xfId="38633"/>
    <cellStyle name="40% - Ênfase2 3 2 3 2 5 2" xfId="38634"/>
    <cellStyle name="20% - Ênfase3 3 2 3 2 5 2" xfId="38635"/>
    <cellStyle name="40% - Ênfase3 3 2 3 2 5 2" xfId="38636"/>
    <cellStyle name="20% - Ênfase4 3 2 3 2 5 2" xfId="38637"/>
    <cellStyle name="40% - Ênfase4 3 2 3 2 5 2" xfId="38638"/>
    <cellStyle name="20% - Ênfase5 3 2 3 2 5 2" xfId="38639"/>
    <cellStyle name="40% - Ênfase5 3 2 3 2 5 2" xfId="38640"/>
    <cellStyle name="20% - Ênfase6 3 2 3 2 5 2" xfId="38641"/>
    <cellStyle name="40% - Ênfase6 3 2 3 2 5 2" xfId="38642"/>
    <cellStyle name="Normal 8 2 3 2 5 2" xfId="38643"/>
    <cellStyle name="Nota 5 2 3 2 5 2" xfId="38644"/>
    <cellStyle name="20% - Ênfase1 4 2 3 2 5 2" xfId="38645"/>
    <cellStyle name="40% - Ênfase1 4 2 3 2 5 2" xfId="38646"/>
    <cellStyle name="20% - Ênfase2 4 2 3 2 5 2" xfId="38647"/>
    <cellStyle name="40% - Ênfase2 4 2 3 2 5 2" xfId="38648"/>
    <cellStyle name="20% - Ênfase3 4 2 3 2 5 2" xfId="38649"/>
    <cellStyle name="40% - Ênfase3 4 2 3 2 5 2" xfId="38650"/>
    <cellStyle name="20% - Ênfase4 4 2 3 2 5 2" xfId="38651"/>
    <cellStyle name="40% - Ênfase4 4 2 3 2 5 2" xfId="38652"/>
    <cellStyle name="20% - Ênfase5 4 2 3 2 5 2" xfId="38653"/>
    <cellStyle name="40% - Ênfase5 4 2 3 2 5 2" xfId="38654"/>
    <cellStyle name="20% - Ênfase6 4 2 3 2 5 2" xfId="38655"/>
    <cellStyle name="40% - Ênfase6 4 2 3 2 5 2" xfId="38656"/>
    <cellStyle name="20% - Ênfase1 8 2 2 5 2" xfId="38657"/>
    <cellStyle name="40% - Ênfase1 8 2 2 5 2" xfId="38658"/>
    <cellStyle name="20% - Ênfase2 8 2 2 5 2" xfId="38659"/>
    <cellStyle name="40% - Ênfase2 8 2 2 5 2" xfId="38660"/>
    <cellStyle name="20% - Ênfase3 8 2 2 5 2" xfId="38661"/>
    <cellStyle name="40% - Ênfase3 8 2 2 5 2" xfId="38662"/>
    <cellStyle name="20% - Ênfase4 8 2 2 5 2" xfId="38663"/>
    <cellStyle name="40% - Ênfase4 8 2 2 5 2" xfId="38664"/>
    <cellStyle name="20% - Ênfase5 8 2 2 5 2" xfId="38665"/>
    <cellStyle name="40% - Ênfase5 8 2 2 5 2" xfId="38666"/>
    <cellStyle name="20% - Ênfase6 8 2 2 5 2" xfId="38667"/>
    <cellStyle name="40% - Ênfase6 8 2 2 5 2" xfId="38668"/>
    <cellStyle name="Normal 4 5 2 2 5 2" xfId="38669"/>
    <cellStyle name="Nota 2 5 2 2 5 2" xfId="38670"/>
    <cellStyle name="Normal 5 5 2 2 5 2" xfId="38671"/>
    <cellStyle name="Nota 3 5 2 2 5 2" xfId="38672"/>
    <cellStyle name="20% - Ênfase1 2 5 2 2 5 2" xfId="38673"/>
    <cellStyle name="40% - Ênfase1 2 5 2 2 5 2" xfId="38674"/>
    <cellStyle name="20% - Ênfase2 2 5 2 2 5 2" xfId="38675"/>
    <cellStyle name="40% - Ênfase2 2 5 2 2 5 2" xfId="38676"/>
    <cellStyle name="20% - Ênfase3 2 5 2 2 5 2" xfId="38677"/>
    <cellStyle name="40% - Ênfase3 2 5 2 2 5 2" xfId="38678"/>
    <cellStyle name="20% - Ênfase4 2 5 2 2 5 2" xfId="38679"/>
    <cellStyle name="40% - Ênfase4 2 5 2 2 5 2" xfId="38680"/>
    <cellStyle name="20% - Ênfase5 2 5 2 2 5 2" xfId="38681"/>
    <cellStyle name="40% - Ênfase5 2 5 2 2 5 2" xfId="38682"/>
    <cellStyle name="20% - Ênfase6 2 5 2 2 5 2" xfId="38683"/>
    <cellStyle name="40% - Ênfase6 2 5 2 2 5 2" xfId="38684"/>
    <cellStyle name="Normal 7 5 2 2 5 2" xfId="38685"/>
    <cellStyle name="Nota 4 4 2 2 5 2" xfId="38686"/>
    <cellStyle name="20% - Ênfase1 3 4 2 2 5 2" xfId="38687"/>
    <cellStyle name="40% - Ênfase1 3 4 2 2 5 2" xfId="38688"/>
    <cellStyle name="20% - Ênfase2 3 4 2 2 5 2" xfId="38689"/>
    <cellStyle name="40% - Ênfase2 3 4 2 2 5 2" xfId="38690"/>
    <cellStyle name="20% - Ênfase3 3 4 2 2 5 2" xfId="38691"/>
    <cellStyle name="40% - Ênfase3 3 4 2 2 5 2" xfId="38692"/>
    <cellStyle name="20% - Ênfase4 3 4 2 2 5 2" xfId="38693"/>
    <cellStyle name="40% - Ênfase4 3 4 2 2 5 2" xfId="38694"/>
    <cellStyle name="20% - Ênfase5 3 4 2 2 5 2" xfId="38695"/>
    <cellStyle name="40% - Ênfase5 3 4 2 2 5 2" xfId="38696"/>
    <cellStyle name="20% - Ênfase6 3 4 2 2 5 2" xfId="38697"/>
    <cellStyle name="40% - Ênfase6 3 4 2 2 5 2" xfId="38698"/>
    <cellStyle name="Normal 8 4 2 3 5 2" xfId="38699"/>
    <cellStyle name="Nota 5 4 2 2 5 2" xfId="38700"/>
    <cellStyle name="20% - Ênfase1 4 4 2 2 5 2" xfId="38701"/>
    <cellStyle name="40% - Ênfase1 4 4 2 2 5 2" xfId="38702"/>
    <cellStyle name="20% - Ênfase2 4 4 2 2 5 2" xfId="38703"/>
    <cellStyle name="40% - Ênfase2 4 4 2 2 5 2" xfId="38704"/>
    <cellStyle name="20% - Ênfase3 4 4 2 2 5 2" xfId="38705"/>
    <cellStyle name="40% - Ênfase3 4 4 2 2 5 2" xfId="38706"/>
    <cellStyle name="20% - Ênfase4 4 4 2 2 5 2" xfId="38707"/>
    <cellStyle name="40% - Ênfase4 4 4 2 2 5 2" xfId="38708"/>
    <cellStyle name="20% - Ênfase5 4 4 2 2 5 2" xfId="38709"/>
    <cellStyle name="40% - Ênfase5 4 4 2 2 5 2" xfId="38710"/>
    <cellStyle name="20% - Ênfase6 4 4 2 2 5 2" xfId="38711"/>
    <cellStyle name="40% - Ênfase6 4 4 2 2 5 2" xfId="38712"/>
    <cellStyle name="Normal 3 3 2 2 5 2" xfId="38713"/>
    <cellStyle name="20% - Ênfase1 5 2 2 2 5 2" xfId="38714"/>
    <cellStyle name="40% - Ênfase1 5 2 2 2 5 2" xfId="38715"/>
    <cellStyle name="20% - Ênfase2 5 2 2 2 5 2" xfId="38716"/>
    <cellStyle name="40% - Ênfase2 5 2 2 2 5 2" xfId="38717"/>
    <cellStyle name="20% - Ênfase3 5 2 2 2 5 2" xfId="38718"/>
    <cellStyle name="40% - Ênfase3 5 2 2 2 5 2" xfId="38719"/>
    <cellStyle name="20% - Ênfase4 5 2 2 2 5 2" xfId="38720"/>
    <cellStyle name="40% - Ênfase4 5 2 2 2 5 2" xfId="38721"/>
    <cellStyle name="20% - Ênfase5 5 2 2 2 5 2" xfId="38722"/>
    <cellStyle name="40% - Ênfase5 5 2 2 2 5 2" xfId="38723"/>
    <cellStyle name="20% - Ênfase6 5 2 2 2 5 2" xfId="38724"/>
    <cellStyle name="40% - Ênfase6 5 2 2 2 5 2" xfId="38725"/>
    <cellStyle name="Normal 4 2 2 2 2 5 2" xfId="38726"/>
    <cellStyle name="Nota 2 2 2 2 2 5 2" xfId="38727"/>
    <cellStyle name="Normal 5 2 2 2 2 5 2" xfId="38728"/>
    <cellStyle name="Nota 3 2 2 2 2 5 2" xfId="38729"/>
    <cellStyle name="20% - Ênfase1 2 2 2 2 2 5 2" xfId="38730"/>
    <cellStyle name="40% - Ênfase1 2 2 2 2 2 5 2" xfId="38731"/>
    <cellStyle name="20% - Ênfase2 2 2 2 2 2 5 2" xfId="38732"/>
    <cellStyle name="40% - Ênfase2 2 2 2 2 2 5 2" xfId="38733"/>
    <cellStyle name="20% - Ênfase3 2 2 2 2 2 5 2" xfId="38734"/>
    <cellStyle name="40% - Ênfase3 2 2 2 2 2 5 2" xfId="38735"/>
    <cellStyle name="20% - Ênfase4 2 2 2 2 2 5 2" xfId="38736"/>
    <cellStyle name="40% - Ênfase4 2 2 2 2 2 5 2" xfId="38737"/>
    <cellStyle name="20% - Ênfase5 2 2 2 2 2 5 2" xfId="38738"/>
    <cellStyle name="40% - Ênfase5 2 2 2 2 2 5 2" xfId="38739"/>
    <cellStyle name="20% - Ênfase6 2 2 2 2 2 5 2" xfId="38740"/>
    <cellStyle name="40% - Ênfase6 2 2 2 2 2 5 2" xfId="38741"/>
    <cellStyle name="Normal 7 2 2 2 2 5 2" xfId="38742"/>
    <cellStyle name="Nota 4 3 2 2 5 2" xfId="38743"/>
    <cellStyle name="20% - Ênfase1 3 3 2 2 5 2" xfId="38744"/>
    <cellStyle name="40% - Ênfase1 3 3 2 2 5 2" xfId="38745"/>
    <cellStyle name="20% - Ênfase2 3 3 2 2 5 2" xfId="38746"/>
    <cellStyle name="40% - Ênfase2 3 3 2 2 5 2" xfId="38747"/>
    <cellStyle name="20% - Ênfase3 3 3 2 2 5 2" xfId="38748"/>
    <cellStyle name="40% - Ênfase3 3 3 2 2 5 2" xfId="38749"/>
    <cellStyle name="20% - Ênfase4 3 3 2 2 5 2" xfId="38750"/>
    <cellStyle name="40% - Ênfase4 3 3 2 2 5 2" xfId="38751"/>
    <cellStyle name="20% - Ênfase5 3 3 2 2 5 2" xfId="38752"/>
    <cellStyle name="40% - Ênfase5 3 3 2 2 5 2" xfId="38753"/>
    <cellStyle name="20% - Ênfase6 3 3 2 2 5 2" xfId="38754"/>
    <cellStyle name="40% - Ênfase6 3 3 2 2 5 2" xfId="38755"/>
    <cellStyle name="Normal 8 3 2 3 5 2" xfId="38756"/>
    <cellStyle name="Nota 5 3 2 2 5 2" xfId="38757"/>
    <cellStyle name="20% - Ênfase1 4 3 2 2 5 2" xfId="38758"/>
    <cellStyle name="40% - Ênfase1 4 3 2 2 5 2" xfId="38759"/>
    <cellStyle name="20% - Ênfase2 4 3 2 2 5 2" xfId="38760"/>
    <cellStyle name="40% - Ênfase2 4 3 2 2 5 2" xfId="38761"/>
    <cellStyle name="20% - Ênfase3 4 3 2 2 5 2" xfId="38762"/>
    <cellStyle name="40% - Ênfase3 4 3 2 2 5 2" xfId="38763"/>
    <cellStyle name="20% - Ênfase4 4 3 2 2 5 2" xfId="38764"/>
    <cellStyle name="40% - Ênfase4 4 3 2 2 5 2" xfId="38765"/>
    <cellStyle name="20% - Ênfase5 4 3 2 2 5 2" xfId="38766"/>
    <cellStyle name="40% - Ênfase5 4 3 2 2 5 2" xfId="38767"/>
    <cellStyle name="20% - Ênfase6 4 3 2 2 5 2" xfId="38768"/>
    <cellStyle name="40% - Ênfase6 4 3 2 2 5 2" xfId="38769"/>
    <cellStyle name="20% - Ênfase1 6 2 2 2 5 2" xfId="38770"/>
    <cellStyle name="40% - Ênfase1 6 2 2 2 5 2" xfId="38771"/>
    <cellStyle name="20% - Ênfase2 6 2 2 2 5 2" xfId="38772"/>
    <cellStyle name="40% - Ênfase2 6 2 2 2 5 2" xfId="38773"/>
    <cellStyle name="20% - Ênfase3 6 2 2 2 5 2" xfId="38774"/>
    <cellStyle name="40% - Ênfase3 6 2 2 2 5 2" xfId="38775"/>
    <cellStyle name="20% - Ênfase4 6 2 2 2 5 2" xfId="38776"/>
    <cellStyle name="40% - Ênfase4 6 2 2 2 5 2" xfId="38777"/>
    <cellStyle name="20% - Ênfase5 6 2 2 2 5 2" xfId="38778"/>
    <cellStyle name="40% - Ênfase5 6 2 2 2 5 2" xfId="38779"/>
    <cellStyle name="20% - Ênfase6 6 2 2 2 5 2" xfId="38780"/>
    <cellStyle name="40% - Ênfase6 6 2 2 2 5 2" xfId="38781"/>
    <cellStyle name="Normal 4 3 2 2 2 5 2" xfId="38782"/>
    <cellStyle name="Nota 2 3 2 2 2 5 2" xfId="38783"/>
    <cellStyle name="Normal 5 3 2 2 2 5 2" xfId="38784"/>
    <cellStyle name="Nota 3 3 2 2 2 5 2" xfId="38785"/>
    <cellStyle name="20% - Ênfase1 2 3 2 2 2 5 2" xfId="38786"/>
    <cellStyle name="40% - Ênfase1 2 3 2 2 2 5 2" xfId="38787"/>
    <cellStyle name="20% - Ênfase2 2 3 2 2 2 5 2" xfId="38788"/>
    <cellStyle name="40% - Ênfase2 2 3 2 2 2 5 2" xfId="38789"/>
    <cellStyle name="20% - Ênfase3 2 3 2 2 2 5 2" xfId="38790"/>
    <cellStyle name="40% - Ênfase3 2 3 2 2 2 5 2" xfId="38791"/>
    <cellStyle name="20% - Ênfase4 2 3 2 2 2 5 2" xfId="38792"/>
    <cellStyle name="40% - Ênfase4 2 3 2 2 2 5 2" xfId="38793"/>
    <cellStyle name="20% - Ênfase5 2 3 2 2 2 5 2" xfId="38794"/>
    <cellStyle name="40% - Ênfase5 2 3 2 2 2 5 2" xfId="38795"/>
    <cellStyle name="20% - Ênfase6 2 3 2 2 2 5 2" xfId="38796"/>
    <cellStyle name="40% - Ênfase6 2 3 2 2 2 5 2" xfId="38797"/>
    <cellStyle name="Normal 7 3 2 2 2 5 2" xfId="38798"/>
    <cellStyle name="Nota 4 2 2 2 2 5 2" xfId="38799"/>
    <cellStyle name="20% - Ênfase1 3 2 2 2 2 5 2" xfId="38800"/>
    <cellStyle name="40% - Ênfase1 3 2 2 2 2 5 2" xfId="38801"/>
    <cellStyle name="20% - Ênfase2 3 2 2 2 2 5 2" xfId="38802"/>
    <cellStyle name="40% - Ênfase2 3 2 2 2 2 5 2" xfId="38803"/>
    <cellStyle name="20% - Ênfase3 3 2 2 2 2 5 2" xfId="38804"/>
    <cellStyle name="40% - Ênfase3 3 2 2 2 2 5 2" xfId="38805"/>
    <cellStyle name="20% - Ênfase4 3 2 2 2 2 5 2" xfId="38806"/>
    <cellStyle name="40% - Ênfase4 3 2 2 2 2 5 2" xfId="38807"/>
    <cellStyle name="20% - Ênfase5 3 2 2 2 2 5 2" xfId="38808"/>
    <cellStyle name="40% - Ênfase5 3 2 2 2 2 5 2" xfId="38809"/>
    <cellStyle name="20% - Ênfase6 3 2 2 2 2 5 2" xfId="38810"/>
    <cellStyle name="40% - Ênfase6 3 2 2 2 2 5 2" xfId="38811"/>
    <cellStyle name="Normal 8 2 2 2 2 5 2" xfId="38812"/>
    <cellStyle name="Nota 5 2 2 2 2 5 2" xfId="38813"/>
    <cellStyle name="20% - Ênfase1 4 2 2 2 2 5 2" xfId="38814"/>
    <cellStyle name="40% - Ênfase1 4 2 2 2 2 5 2" xfId="38815"/>
    <cellStyle name="20% - Ênfase2 4 2 2 2 2 5 2" xfId="38816"/>
    <cellStyle name="40% - Ênfase2 4 2 2 2 2 5 2" xfId="38817"/>
    <cellStyle name="20% - Ênfase3 4 2 2 2 2 5 2" xfId="38818"/>
    <cellStyle name="40% - Ênfase3 4 2 2 2 2 5 2" xfId="38819"/>
    <cellStyle name="20% - Ênfase4 4 2 2 2 2 5 2" xfId="38820"/>
    <cellStyle name="40% - Ênfase4 4 2 2 2 2 5 2" xfId="38821"/>
    <cellStyle name="20% - Ênfase5 4 2 2 2 2 5 2" xfId="38822"/>
    <cellStyle name="40% - Ênfase5 4 2 2 2 2 5 2" xfId="38823"/>
    <cellStyle name="20% - Ênfase6 4 2 2 2 2 5 2" xfId="38824"/>
    <cellStyle name="40% - Ênfase6 4 2 2 2 2 5 2" xfId="38825"/>
    <cellStyle name="Normal 3 5 2 5 2" xfId="38826"/>
    <cellStyle name="20% - Ênfase1 5 4 2 5 2" xfId="38827"/>
    <cellStyle name="40% - Ênfase1 5 4 2 5 2" xfId="38828"/>
    <cellStyle name="20% - Ênfase2 5 4 2 5 2" xfId="38829"/>
    <cellStyle name="40% - Ênfase2 5 4 2 5 2" xfId="38830"/>
    <cellStyle name="20% - Ênfase3 5 4 2 5 2" xfId="38831"/>
    <cellStyle name="40% - Ênfase3 5 4 2 5 2" xfId="38832"/>
    <cellStyle name="20% - Ênfase4 5 4 2 5 2" xfId="38833"/>
    <cellStyle name="40% - Ênfase4 5 4 2 5 2" xfId="38834"/>
    <cellStyle name="20% - Ênfase5 5 4 2 5 2" xfId="38835"/>
    <cellStyle name="40% - Ênfase5 5 4 2 5 2" xfId="38836"/>
    <cellStyle name="20% - Ênfase6 5 4 2 5 2" xfId="38837"/>
    <cellStyle name="40% - Ênfase6 5 4 2 5 2" xfId="38838"/>
    <cellStyle name="Normal 4 2 4 2 5 2" xfId="38839"/>
    <cellStyle name="Nota 2 2 4 2 5 2" xfId="38840"/>
    <cellStyle name="Normal 5 2 4 2 5 2" xfId="38841"/>
    <cellStyle name="Nota 3 2 4 2 5 2" xfId="38842"/>
    <cellStyle name="20% - Ênfase1 2 2 4 2 5 2" xfId="38843"/>
    <cellStyle name="40% - Ênfase1 2 2 4 2 5 2" xfId="38844"/>
    <cellStyle name="20% - Ênfase2 2 2 4 2 5 2" xfId="38845"/>
    <cellStyle name="40% - Ênfase2 2 2 4 2 5 2" xfId="38846"/>
    <cellStyle name="20% - Ênfase3 2 2 4 2 5 2" xfId="38847"/>
    <cellStyle name="40% - Ênfase3 2 2 4 2 5 2" xfId="38848"/>
    <cellStyle name="20% - Ênfase4 2 2 4 2 5 2" xfId="38849"/>
    <cellStyle name="40% - Ênfase4 2 2 4 2 5 2" xfId="38850"/>
    <cellStyle name="20% - Ênfase5 2 2 4 2 5 2" xfId="38851"/>
    <cellStyle name="40% - Ênfase5 2 2 4 2 5 2" xfId="38852"/>
    <cellStyle name="20% - Ênfase6 2 2 4 2 5 2" xfId="38853"/>
    <cellStyle name="40% - Ênfase6 2 2 4 2 5 2" xfId="38854"/>
    <cellStyle name="Normal 7 2 4 2 5 2" xfId="38855"/>
    <cellStyle name="Nota 4 6 2 5 2" xfId="38856"/>
    <cellStyle name="20% - Ênfase1 3 6 2 5 2" xfId="38857"/>
    <cellStyle name="40% - Ênfase1 3 6 2 5 2" xfId="38858"/>
    <cellStyle name="20% - Ênfase2 3 6 2 5 2" xfId="38859"/>
    <cellStyle name="40% - Ênfase2 3 6 2 5 2" xfId="38860"/>
    <cellStyle name="20% - Ênfase3 3 6 2 5 2" xfId="38861"/>
    <cellStyle name="40% - Ênfase3 3 6 2 5 2" xfId="38862"/>
    <cellStyle name="20% - Ênfase4 3 6 2 5 2" xfId="38863"/>
    <cellStyle name="40% - Ênfase4 3 6 2 5 2" xfId="38864"/>
    <cellStyle name="20% - Ênfase5 3 6 2 5 2" xfId="38865"/>
    <cellStyle name="40% - Ênfase5 3 6 2 5 2" xfId="38866"/>
    <cellStyle name="20% - Ênfase6 3 6 2 5 2" xfId="38867"/>
    <cellStyle name="40% - Ênfase6 3 6 2 5 2" xfId="38868"/>
    <cellStyle name="Normal 8 6 3 5 2" xfId="38869"/>
    <cellStyle name="Nota 5 6 2 5 2" xfId="38870"/>
    <cellStyle name="20% - Ênfase1 4 6 2 5 2" xfId="38871"/>
    <cellStyle name="40% - Ênfase1 4 6 2 5 2" xfId="38872"/>
    <cellStyle name="20% - Ênfase2 4 6 2 5 2" xfId="38873"/>
    <cellStyle name="40% - Ênfase2 4 6 2 5 2" xfId="38874"/>
    <cellStyle name="20% - Ênfase3 4 6 2 5 2" xfId="38875"/>
    <cellStyle name="40% - Ênfase3 4 6 2 5 2" xfId="38876"/>
    <cellStyle name="20% - Ênfase4 4 6 2 5 2" xfId="38877"/>
    <cellStyle name="40% - Ênfase4 4 6 2 5 2" xfId="38878"/>
    <cellStyle name="20% - Ênfase5 4 6 2 5 2" xfId="38879"/>
    <cellStyle name="40% - Ênfase5 4 6 2 5 2" xfId="38880"/>
    <cellStyle name="20% - Ênfase6 4 6 2 5 2" xfId="38881"/>
    <cellStyle name="40% - Ênfase6 4 6 2 5 2" xfId="38882"/>
    <cellStyle name="20% - Ênfase1 6 4 2 5 2" xfId="38883"/>
    <cellStyle name="40% - Ênfase1 6 4 2 5 2" xfId="38884"/>
    <cellStyle name="20% - Ênfase2 6 4 2 5 2" xfId="38885"/>
    <cellStyle name="40% - Ênfase2 6 4 2 5 2" xfId="38886"/>
    <cellStyle name="20% - Ênfase3 6 4 2 5 2" xfId="38887"/>
    <cellStyle name="40% - Ênfase3 6 4 2 5 2" xfId="38888"/>
    <cellStyle name="20% - Ênfase4 6 4 2 5 2" xfId="38889"/>
    <cellStyle name="40% - Ênfase4 6 4 2 5 2" xfId="38890"/>
    <cellStyle name="20% - Ênfase5 6 4 2 5 2" xfId="38891"/>
    <cellStyle name="40% - Ênfase5 6 4 2 5 2" xfId="38892"/>
    <cellStyle name="20% - Ênfase6 6 4 2 5 2" xfId="38893"/>
    <cellStyle name="40% - Ênfase6 6 4 2 5 2" xfId="38894"/>
    <cellStyle name="Normal 4 3 4 2 5 2" xfId="38895"/>
    <cellStyle name="Nota 2 3 4 2 5 2" xfId="38896"/>
    <cellStyle name="Normal 5 3 4 2 5 2" xfId="38897"/>
    <cellStyle name="Nota 3 3 4 2 5 2" xfId="38898"/>
    <cellStyle name="20% - Ênfase1 2 3 4 2 5 2" xfId="38899"/>
    <cellStyle name="40% - Ênfase1 2 3 4 2 5 2" xfId="38900"/>
    <cellStyle name="20% - Ênfase2 2 3 4 2 5 2" xfId="38901"/>
    <cellStyle name="40% - Ênfase2 2 3 4 2 5 2" xfId="38902"/>
    <cellStyle name="20% - Ênfase3 2 3 4 2 5 2" xfId="38903"/>
    <cellStyle name="40% - Ênfase3 2 3 4 2 5 2" xfId="38904"/>
    <cellStyle name="20% - Ênfase4 2 3 4 2 5 2" xfId="38905"/>
    <cellStyle name="40% - Ênfase4 2 3 4 2 5 2" xfId="38906"/>
    <cellStyle name="20% - Ênfase5 2 3 4 2 5 2" xfId="38907"/>
    <cellStyle name="40% - Ênfase5 2 3 4 2 5 2" xfId="38908"/>
    <cellStyle name="20% - Ênfase6 2 3 4 2 5 2" xfId="38909"/>
    <cellStyle name="40% - Ênfase6 2 3 4 2 5 2" xfId="38910"/>
    <cellStyle name="Normal 7 3 4 2 5 2" xfId="38911"/>
    <cellStyle name="Nota 4 2 4 2 5 2" xfId="38912"/>
    <cellStyle name="20% - Ênfase1 3 2 4 2 5 2" xfId="38913"/>
    <cellStyle name="40% - Ênfase1 3 2 4 2 5 2" xfId="38914"/>
    <cellStyle name="20% - Ênfase2 3 2 4 2 5 2" xfId="38915"/>
    <cellStyle name="40% - Ênfase2 3 2 4 2 5 2" xfId="38916"/>
    <cellStyle name="20% - Ênfase3 3 2 4 2 5 2" xfId="38917"/>
    <cellStyle name="40% - Ênfase3 3 2 4 2 5 2" xfId="38918"/>
    <cellStyle name="20% - Ênfase4 3 2 4 2 5 2" xfId="38919"/>
    <cellStyle name="40% - Ênfase4 3 2 4 2 5 2" xfId="38920"/>
    <cellStyle name="20% - Ênfase5 3 2 4 2 5 2" xfId="38921"/>
    <cellStyle name="40% - Ênfase5 3 2 4 2 5 2" xfId="38922"/>
    <cellStyle name="20% - Ênfase6 3 2 4 2 5 2" xfId="38923"/>
    <cellStyle name="40% - Ênfase6 3 2 4 2 5 2" xfId="38924"/>
    <cellStyle name="Normal 8 2 4 2 5 2" xfId="38925"/>
    <cellStyle name="Nota 5 2 4 2 5 2" xfId="38926"/>
    <cellStyle name="20% - Ênfase1 4 2 4 2 5 2" xfId="38927"/>
    <cellStyle name="40% - Ênfase1 4 2 4 2 5 2" xfId="38928"/>
    <cellStyle name="20% - Ênfase2 4 2 4 2 5 2" xfId="38929"/>
    <cellStyle name="40% - Ênfase2 4 2 4 2 5 2" xfId="38930"/>
    <cellStyle name="20% - Ênfase3 4 2 4 2 5 2" xfId="38931"/>
    <cellStyle name="40% - Ênfase3 4 2 4 2 5 2" xfId="38932"/>
    <cellStyle name="20% - Ênfase4 4 2 4 2 5 2" xfId="38933"/>
    <cellStyle name="40% - Ênfase4 4 2 4 2 5 2" xfId="38934"/>
    <cellStyle name="20% - Ênfase5 4 2 4 2 5 2" xfId="38935"/>
    <cellStyle name="40% - Ênfase5 4 2 4 2 5 2" xfId="38936"/>
    <cellStyle name="20% - Ênfase6 4 2 4 2 5 2" xfId="38937"/>
    <cellStyle name="40% - Ênfase6 4 2 4 2 5 2" xfId="38938"/>
    <cellStyle name="20% - Ênfase1 8 3 2 5 2" xfId="38939"/>
    <cellStyle name="40% - Ênfase1 8 3 2 5 2" xfId="38940"/>
    <cellStyle name="20% - Ênfase2 8 3 2 5 2" xfId="38941"/>
    <cellStyle name="40% - Ênfase2 8 3 2 5 2" xfId="38942"/>
    <cellStyle name="20% - Ênfase3 8 3 2 5 2" xfId="38943"/>
    <cellStyle name="40% - Ênfase3 8 3 2 5 2" xfId="38944"/>
    <cellStyle name="20% - Ênfase4 8 3 2 5 2" xfId="38945"/>
    <cellStyle name="40% - Ênfase4 8 3 2 5 2" xfId="38946"/>
    <cellStyle name="20% - Ênfase5 8 3 2 5 2" xfId="38947"/>
    <cellStyle name="40% - Ênfase5 8 3 2 5 2" xfId="38948"/>
    <cellStyle name="20% - Ênfase6 8 3 2 5 2" xfId="38949"/>
    <cellStyle name="40% - Ênfase6 8 3 2 5 2" xfId="38950"/>
    <cellStyle name="Normal 4 5 3 2 5 2" xfId="38951"/>
    <cellStyle name="Nota 2 5 3 2 5 2" xfId="38952"/>
    <cellStyle name="Normal 5 5 3 2 5 2" xfId="38953"/>
    <cellStyle name="Nota 3 5 3 2 5 2" xfId="38954"/>
    <cellStyle name="20% - Ênfase1 2 5 3 2 5 2" xfId="38955"/>
    <cellStyle name="40% - Ênfase1 2 5 3 2 5 2" xfId="38956"/>
    <cellStyle name="20% - Ênfase2 2 5 3 2 5 2" xfId="38957"/>
    <cellStyle name="40% - Ênfase2 2 5 3 2 5 2" xfId="38958"/>
    <cellStyle name="20% - Ênfase3 2 5 3 2 5 2" xfId="38959"/>
    <cellStyle name="40% - Ênfase3 2 5 3 2 5 2" xfId="38960"/>
    <cellStyle name="20% - Ênfase4 2 5 3 2 5 2" xfId="38961"/>
    <cellStyle name="40% - Ênfase4 2 5 3 2 5 2" xfId="38962"/>
    <cellStyle name="20% - Ênfase5 2 5 3 2 5 2" xfId="38963"/>
    <cellStyle name="40% - Ênfase5 2 5 3 2 5 2" xfId="38964"/>
    <cellStyle name="20% - Ênfase6 2 5 3 2 5 2" xfId="38965"/>
    <cellStyle name="40% - Ênfase6 2 5 3 2 5 2" xfId="38966"/>
    <cellStyle name="Normal 7 5 3 2 5 2" xfId="38967"/>
    <cellStyle name="Nota 4 4 3 2 5 2" xfId="38968"/>
    <cellStyle name="20% - Ênfase1 3 4 3 2 5 2" xfId="38969"/>
    <cellStyle name="40% - Ênfase1 3 4 3 2 5 2" xfId="38970"/>
    <cellStyle name="20% - Ênfase2 3 4 3 2 5 2" xfId="38971"/>
    <cellStyle name="40% - Ênfase2 3 4 3 2 5 2" xfId="38972"/>
    <cellStyle name="20% - Ênfase3 3 4 3 2 5 2" xfId="38973"/>
    <cellStyle name="40% - Ênfase3 3 4 3 2 5 2" xfId="38974"/>
    <cellStyle name="20% - Ênfase4 3 4 3 2 5 2" xfId="38975"/>
    <cellStyle name="40% - Ênfase4 3 4 3 2 5 2" xfId="38976"/>
    <cellStyle name="20% - Ênfase5 3 4 3 2 5 2" xfId="38977"/>
    <cellStyle name="40% - Ênfase5 3 4 3 2 5 2" xfId="38978"/>
    <cellStyle name="20% - Ênfase6 3 4 3 2 5 2" xfId="38979"/>
    <cellStyle name="40% - Ênfase6 3 4 3 2 5 2" xfId="38980"/>
    <cellStyle name="Normal 8 4 3 2 5 2" xfId="38981"/>
    <cellStyle name="Nota 5 4 3 2 5 2" xfId="38982"/>
    <cellStyle name="20% - Ênfase1 4 4 3 2 5 2" xfId="38983"/>
    <cellStyle name="40% - Ênfase1 4 4 3 2 5 2" xfId="38984"/>
    <cellStyle name="20% - Ênfase2 4 4 3 2 5 2" xfId="38985"/>
    <cellStyle name="40% - Ênfase2 4 4 3 2 5 2" xfId="38986"/>
    <cellStyle name="20% - Ênfase3 4 4 3 2 5 2" xfId="38987"/>
    <cellStyle name="40% - Ênfase3 4 4 3 2 5 2" xfId="38988"/>
    <cellStyle name="20% - Ênfase4 4 4 3 2 5 2" xfId="38989"/>
    <cellStyle name="40% - Ênfase4 4 4 3 2 5 2" xfId="38990"/>
    <cellStyle name="20% - Ênfase5 4 4 3 2 5 2" xfId="38991"/>
    <cellStyle name="40% - Ênfase5 4 4 3 2 5 2" xfId="38992"/>
    <cellStyle name="20% - Ênfase6 4 4 3 2 5 2" xfId="38993"/>
    <cellStyle name="40% - Ênfase6 4 4 3 2 5 2" xfId="38994"/>
    <cellStyle name="Normal 3 3 3 2 5 2" xfId="38995"/>
    <cellStyle name="20% - Ênfase1 5 2 3 2 5 2" xfId="38996"/>
    <cellStyle name="40% - Ênfase1 5 2 3 2 5 2" xfId="38997"/>
    <cellStyle name="20% - Ênfase2 5 2 3 2 5 2" xfId="38998"/>
    <cellStyle name="40% - Ênfase2 5 2 3 2 5 2" xfId="38999"/>
    <cellStyle name="20% - Ênfase3 5 2 3 2 5 2" xfId="39000"/>
    <cellStyle name="40% - Ênfase3 5 2 3 2 5 2" xfId="39001"/>
    <cellStyle name="20% - Ênfase4 5 2 3 2 5 2" xfId="39002"/>
    <cellStyle name="40% - Ênfase4 5 2 3 2 5 2" xfId="39003"/>
    <cellStyle name="20% - Ênfase5 5 2 3 2 5 2" xfId="39004"/>
    <cellStyle name="40% - Ênfase5 5 2 3 2 5 2" xfId="39005"/>
    <cellStyle name="20% - Ênfase6 5 2 3 2 5 2" xfId="39006"/>
    <cellStyle name="40% - Ênfase6 5 2 3 2 5 2" xfId="39007"/>
    <cellStyle name="Normal 4 2 2 3 2 5 2" xfId="39008"/>
    <cellStyle name="Nota 2 2 2 3 2 5 2" xfId="39009"/>
    <cellStyle name="Normal 5 2 2 3 2 5 2" xfId="39010"/>
    <cellStyle name="Nota 3 2 2 3 2 5 2" xfId="39011"/>
    <cellStyle name="20% - Ênfase1 2 2 2 3 2 5 2" xfId="39012"/>
    <cellStyle name="40% - Ênfase1 2 2 2 3 2 5 2" xfId="39013"/>
    <cellStyle name="20% - Ênfase2 2 2 2 3 2 5 2" xfId="39014"/>
    <cellStyle name="40% - Ênfase2 2 2 2 3 2 5 2" xfId="39015"/>
    <cellStyle name="20% - Ênfase3 2 2 2 3 2 5 2" xfId="39016"/>
    <cellStyle name="40% - Ênfase3 2 2 2 3 2 5 2" xfId="39017"/>
    <cellStyle name="20% - Ênfase4 2 2 2 3 2 5 2" xfId="39018"/>
    <cellStyle name="40% - Ênfase4 2 2 2 3 2 5 2" xfId="39019"/>
    <cellStyle name="20% - Ênfase5 2 2 2 3 2 5 2" xfId="39020"/>
    <cellStyle name="40% - Ênfase5 2 2 2 3 2 5 2" xfId="39021"/>
    <cellStyle name="20% - Ênfase6 2 2 2 3 2 5 2" xfId="39022"/>
    <cellStyle name="40% - Ênfase6 2 2 2 3 2 5 2" xfId="39023"/>
    <cellStyle name="Normal 7 2 2 3 2 5 2" xfId="39024"/>
    <cellStyle name="Nota 4 3 3 2 5 2" xfId="39025"/>
    <cellStyle name="20% - Ênfase1 3 3 3 2 5 2" xfId="39026"/>
    <cellStyle name="40% - Ênfase1 3 3 3 2 5 2" xfId="39027"/>
    <cellStyle name="20% - Ênfase2 3 3 3 2 5 2" xfId="39028"/>
    <cellStyle name="40% - Ênfase2 3 3 3 2 5 2" xfId="39029"/>
    <cellStyle name="20% - Ênfase3 3 3 3 2 5 2" xfId="39030"/>
    <cellStyle name="40% - Ênfase3 3 3 3 2 5 2" xfId="39031"/>
    <cellStyle name="20% - Ênfase4 3 3 3 2 5 2" xfId="39032"/>
    <cellStyle name="40% - Ênfase4 3 3 3 2 5 2" xfId="39033"/>
    <cellStyle name="20% - Ênfase5 3 3 3 2 5 2" xfId="39034"/>
    <cellStyle name="40% - Ênfase5 3 3 3 2 5 2" xfId="39035"/>
    <cellStyle name="20% - Ênfase6 3 3 3 2 5 2" xfId="39036"/>
    <cellStyle name="40% - Ênfase6 3 3 3 2 5 2" xfId="39037"/>
    <cellStyle name="Normal 8 3 3 2 5 2" xfId="39038"/>
    <cellStyle name="Nota 5 3 3 2 5 2" xfId="39039"/>
    <cellStyle name="20% - Ênfase1 4 3 3 2 5 2" xfId="39040"/>
    <cellStyle name="40% - Ênfase1 4 3 3 2 5 2" xfId="39041"/>
    <cellStyle name="20% - Ênfase2 4 3 3 2 5 2" xfId="39042"/>
    <cellStyle name="40% - Ênfase2 4 3 3 2 5 2" xfId="39043"/>
    <cellStyle name="20% - Ênfase3 4 3 3 2 5 2" xfId="39044"/>
    <cellStyle name="40% - Ênfase3 4 3 3 2 5 2" xfId="39045"/>
    <cellStyle name="20% - Ênfase4 4 3 3 2 5 2" xfId="39046"/>
    <cellStyle name="40% - Ênfase4 4 3 3 2 5 2" xfId="39047"/>
    <cellStyle name="20% - Ênfase5 4 3 3 2 5 2" xfId="39048"/>
    <cellStyle name="40% - Ênfase5 4 3 3 2 5 2" xfId="39049"/>
    <cellStyle name="20% - Ênfase6 4 3 3 2 5 2" xfId="39050"/>
    <cellStyle name="40% - Ênfase6 4 3 3 2 5 2" xfId="39051"/>
    <cellStyle name="20% - Ênfase1 6 2 3 2 5 2" xfId="39052"/>
    <cellStyle name="40% - Ênfase1 6 2 3 2 5 2" xfId="39053"/>
    <cellStyle name="20% - Ênfase2 6 2 3 2 5 2" xfId="39054"/>
    <cellStyle name="40% - Ênfase2 6 2 3 2 5 2" xfId="39055"/>
    <cellStyle name="20% - Ênfase3 6 2 3 2 5 2" xfId="39056"/>
    <cellStyle name="40% - Ênfase3 6 2 3 2 5 2" xfId="39057"/>
    <cellStyle name="20% - Ênfase4 6 2 3 2 5 2" xfId="39058"/>
    <cellStyle name="40% - Ênfase4 6 2 3 2 5 2" xfId="39059"/>
    <cellStyle name="20% - Ênfase5 6 2 3 2 5 2" xfId="39060"/>
    <cellStyle name="40% - Ênfase5 6 2 3 2 5 2" xfId="39061"/>
    <cellStyle name="20% - Ênfase6 6 2 3 2 5 2" xfId="39062"/>
    <cellStyle name="40% - Ênfase6 6 2 3 2 5 2" xfId="39063"/>
    <cellStyle name="Normal 4 3 2 3 2 5 2" xfId="39064"/>
    <cellStyle name="Nota 2 3 2 3 2 5 2" xfId="39065"/>
    <cellStyle name="Normal 5 3 2 3 2 5 2" xfId="39066"/>
    <cellStyle name="Nota 3 3 2 3 2 5 2" xfId="39067"/>
    <cellStyle name="20% - Ênfase1 2 3 2 3 2 5 2" xfId="39068"/>
    <cellStyle name="40% - Ênfase1 2 3 2 3 2 5 2" xfId="39069"/>
    <cellStyle name="20% - Ênfase2 2 3 2 3 2 5 2" xfId="39070"/>
    <cellStyle name="40% - Ênfase2 2 3 2 3 2 5 2" xfId="39071"/>
    <cellStyle name="20% - Ênfase3 2 3 2 3 2 5 2" xfId="39072"/>
    <cellStyle name="40% - Ênfase3 2 3 2 3 2 5 2" xfId="39073"/>
    <cellStyle name="20% - Ênfase4 2 3 2 3 2 5 2" xfId="39074"/>
    <cellStyle name="40% - Ênfase4 2 3 2 3 2 5 2" xfId="39075"/>
    <cellStyle name="20% - Ênfase5 2 3 2 3 2 5 2" xfId="39076"/>
    <cellStyle name="40% - Ênfase5 2 3 2 3 2 5 2" xfId="39077"/>
    <cellStyle name="20% - Ênfase6 2 3 2 3 2 5 2" xfId="39078"/>
    <cellStyle name="40% - Ênfase6 2 3 2 3 2 5 2" xfId="39079"/>
    <cellStyle name="Normal 7 3 2 3 2 5 2" xfId="39080"/>
    <cellStyle name="Nota 4 2 2 3 2 5 2" xfId="39081"/>
    <cellStyle name="20% - Ênfase1 3 2 2 3 2 5 2" xfId="39082"/>
    <cellStyle name="40% - Ênfase1 3 2 2 3 2 5 2" xfId="39083"/>
    <cellStyle name="20% - Ênfase2 3 2 2 3 2 5 2" xfId="39084"/>
    <cellStyle name="40% - Ênfase2 3 2 2 3 2 5 2" xfId="39085"/>
    <cellStyle name="20% - Ênfase3 3 2 2 3 2 5 2" xfId="39086"/>
    <cellStyle name="40% - Ênfase3 3 2 2 3 2 5 2" xfId="39087"/>
    <cellStyle name="20% - Ênfase4 3 2 2 3 2 5 2" xfId="39088"/>
    <cellStyle name="40% - Ênfase4 3 2 2 3 2 5 2" xfId="39089"/>
    <cellStyle name="20% - Ênfase5 3 2 2 3 2 5 2" xfId="39090"/>
    <cellStyle name="40% - Ênfase5 3 2 2 3 2 5 2" xfId="39091"/>
    <cellStyle name="20% - Ênfase6 3 2 2 3 2 5 2" xfId="39092"/>
    <cellStyle name="40% - Ênfase6 3 2 2 3 2 5 2" xfId="39093"/>
    <cellStyle name="Normal 8 2 2 3 2 5 2" xfId="39094"/>
    <cellStyle name="Nota 5 2 2 3 2 5 2" xfId="39095"/>
    <cellStyle name="20% - Ênfase1 4 2 2 3 2 5 2" xfId="39096"/>
    <cellStyle name="40% - Ênfase1 4 2 2 3 2 5 2" xfId="39097"/>
    <cellStyle name="20% - Ênfase2 4 2 2 3 2 5 2" xfId="39098"/>
    <cellStyle name="40% - Ênfase2 4 2 2 3 2 5 2" xfId="39099"/>
    <cellStyle name="20% - Ênfase3 4 2 2 3 2 5 2" xfId="39100"/>
    <cellStyle name="40% - Ênfase3 4 2 2 3 2 5 2" xfId="39101"/>
    <cellStyle name="20% - Ênfase4 4 2 2 3 2 5 2" xfId="39102"/>
    <cellStyle name="40% - Ênfase4 4 2 2 3 2 5 2" xfId="39103"/>
    <cellStyle name="20% - Ênfase5 4 2 2 3 2 5 2" xfId="39104"/>
    <cellStyle name="40% - Ênfase5 4 2 2 3 2 5 2" xfId="39105"/>
    <cellStyle name="20% - Ênfase6 4 2 2 3 2 5 2" xfId="39106"/>
    <cellStyle name="40% - Ênfase6 4 2 2 3 2 5 2" xfId="39107"/>
    <cellStyle name="Normal 3 6 2 5 2" xfId="39108"/>
    <cellStyle name="20% - Ênfase1 5 5 2 5 2" xfId="39109"/>
    <cellStyle name="40% - Ênfase1 5 5 2 5 2" xfId="39110"/>
    <cellStyle name="20% - Ênfase2 5 5 2 5 2" xfId="39111"/>
    <cellStyle name="40% - Ênfase2 5 5 2 5 2" xfId="39112"/>
    <cellStyle name="20% - Ênfase3 5 5 2 5 2" xfId="39113"/>
    <cellStyle name="40% - Ênfase3 5 5 2 5 2" xfId="39114"/>
    <cellStyle name="20% - Ênfase4 5 5 2 5 2" xfId="39115"/>
    <cellStyle name="40% - Ênfase4 5 5 2 5 2" xfId="39116"/>
    <cellStyle name="20% - Ênfase5 5 5 2 5 2" xfId="39117"/>
    <cellStyle name="40% - Ênfase5 5 5 2 5 2" xfId="39118"/>
    <cellStyle name="20% - Ênfase6 5 5 2 5 2" xfId="39119"/>
    <cellStyle name="40% - Ênfase6 5 5 2 5 2" xfId="39120"/>
    <cellStyle name="Normal 4 2 5 2 5 2" xfId="39121"/>
    <cellStyle name="Nota 2 2 5 2 5 2" xfId="39122"/>
    <cellStyle name="Normal 5 2 5 2 5 2" xfId="39123"/>
    <cellStyle name="Nota 3 2 5 2 5 2" xfId="39124"/>
    <cellStyle name="20% - Ênfase1 2 2 5 2 5 2" xfId="39125"/>
    <cellStyle name="40% - Ênfase1 2 2 5 2 5 2" xfId="39126"/>
    <cellStyle name="20% - Ênfase2 2 2 5 2 5 2" xfId="39127"/>
    <cellStyle name="40% - Ênfase2 2 2 5 2 5 2" xfId="39128"/>
    <cellStyle name="20% - Ênfase3 2 2 5 2 5 2" xfId="39129"/>
    <cellStyle name="40% - Ênfase3 2 2 5 2 5 2" xfId="39130"/>
    <cellStyle name="20% - Ênfase4 2 2 5 2 5 2" xfId="39131"/>
    <cellStyle name="40% - Ênfase4 2 2 5 2 5 2" xfId="39132"/>
    <cellStyle name="20% - Ênfase5 2 2 5 2 5 2" xfId="39133"/>
    <cellStyle name="40% - Ênfase5 2 2 5 2 5 2" xfId="39134"/>
    <cellStyle name="20% - Ênfase6 2 2 5 2 5 2" xfId="39135"/>
    <cellStyle name="40% - Ênfase6 2 2 5 2 5 2" xfId="39136"/>
    <cellStyle name="Normal 7 2 5 2 5 2" xfId="39137"/>
    <cellStyle name="Nota 4 7 2 5 2" xfId="39138"/>
    <cellStyle name="20% - Ênfase1 3 7 2 5 2" xfId="39139"/>
    <cellStyle name="40% - Ênfase1 3 7 2 5 2" xfId="39140"/>
    <cellStyle name="20% - Ênfase2 3 7 2 5 2" xfId="39141"/>
    <cellStyle name="40% - Ênfase2 3 7 2 5 2" xfId="39142"/>
    <cellStyle name="20% - Ênfase3 3 7 2 5 2" xfId="39143"/>
    <cellStyle name="40% - Ênfase3 3 7 2 5 2" xfId="39144"/>
    <cellStyle name="20% - Ênfase4 3 7 2 5 2" xfId="39145"/>
    <cellStyle name="40% - Ênfase4 3 7 2 5 2" xfId="39146"/>
    <cellStyle name="20% - Ênfase5 3 7 2 5 2" xfId="39147"/>
    <cellStyle name="40% - Ênfase5 3 7 2 5 2" xfId="39148"/>
    <cellStyle name="20% - Ênfase6 3 7 2 5 2" xfId="39149"/>
    <cellStyle name="40% - Ênfase6 3 7 2 5 2" xfId="39150"/>
    <cellStyle name="Normal 8 7 2 5 2" xfId="39151"/>
    <cellStyle name="Nota 5 7 2 5 2" xfId="39152"/>
    <cellStyle name="20% - Ênfase1 4 7 2 5 2" xfId="39153"/>
    <cellStyle name="40% - Ênfase1 4 7 2 5 2" xfId="39154"/>
    <cellStyle name="20% - Ênfase2 4 7 2 5 2" xfId="39155"/>
    <cellStyle name="40% - Ênfase2 4 7 2 5 2" xfId="39156"/>
    <cellStyle name="20% - Ênfase3 4 7 2 5 2" xfId="39157"/>
    <cellStyle name="40% - Ênfase3 4 7 2 5 2" xfId="39158"/>
    <cellStyle name="20% - Ênfase4 4 7 2 5 2" xfId="39159"/>
    <cellStyle name="40% - Ênfase4 4 7 2 5 2" xfId="39160"/>
    <cellStyle name="20% - Ênfase5 4 7 2 5 2" xfId="39161"/>
    <cellStyle name="40% - Ênfase5 4 7 2 5 2" xfId="39162"/>
    <cellStyle name="20% - Ênfase6 4 7 2 5 2" xfId="39163"/>
    <cellStyle name="40% - Ênfase6 4 7 2 5 2" xfId="39164"/>
    <cellStyle name="Normal 6 4 2 5 2" xfId="39165"/>
    <cellStyle name="Separador de milhares 7 2 2 5 2" xfId="39166"/>
    <cellStyle name="Vírgula 2 11 2" xfId="39167"/>
    <cellStyle name="Vírgula 24" xfId="39168"/>
    <cellStyle name="Separador de milhares 2 14" xfId="39169"/>
    <cellStyle name="Separador de milhares 3 11" xfId="39170"/>
    <cellStyle name="Separador de milhares 4 10" xfId="39171"/>
    <cellStyle name="Separador de milhares 5 11" xfId="39172"/>
    <cellStyle name="Separador de milhares 6 11" xfId="39173"/>
    <cellStyle name="Separador de milhares 7 9" xfId="39174"/>
    <cellStyle name="Normal 3 2 8" xfId="39175"/>
    <cellStyle name="Normal 6 12" xfId="39176"/>
    <cellStyle name="Comma 2 9" xfId="39177"/>
    <cellStyle name="Percent 2 9" xfId="39178"/>
    <cellStyle name="Separador de milhares 3 3 8" xfId="39179"/>
    <cellStyle name="Normal 6 2 8" xfId="39180"/>
    <cellStyle name="Comma 2 2 8" xfId="39181"/>
    <cellStyle name="Percent 2 2 7" xfId="39182"/>
    <cellStyle name="Normal 7 13" xfId="39183"/>
    <cellStyle name="Normal 8 18" xfId="39184"/>
    <cellStyle name="Comma 4 8" xfId="39185"/>
    <cellStyle name="Percent 3 8" xfId="39186"/>
    <cellStyle name="Normal 9 9" xfId="39187"/>
    <cellStyle name="Comma 5 8" xfId="39188"/>
    <cellStyle name="Normal 8 2 12" xfId="39189"/>
    <cellStyle name="Normal 8 3 11" xfId="39190"/>
    <cellStyle name="Normal 8 4 11" xfId="39191"/>
    <cellStyle name="Normal 8 5 11" xfId="39192"/>
    <cellStyle name="Normal 8 5 2 9" xfId="39193"/>
    <cellStyle name="Normal 7 2 13" xfId="39194"/>
    <cellStyle name="Vírgula 9 8" xfId="39195"/>
    <cellStyle name="Separador de milhares 2 2 10" xfId="39196"/>
    <cellStyle name="Separador de milhares 3 4 7" xfId="39197"/>
    <cellStyle name="Separador de milhares 4 3 7" xfId="39198"/>
    <cellStyle name="Separador de milhares 5 3 7" xfId="39199"/>
    <cellStyle name="Separador de milhares 6 3 7" xfId="39200"/>
    <cellStyle name="Separador de milhares 7 3 8" xfId="39201"/>
    <cellStyle name="Normal 3 2 2 7" xfId="39202"/>
    <cellStyle name="Normal 6 3 7" xfId="39203"/>
    <cellStyle name="Comma 2 3 7" xfId="39204"/>
    <cellStyle name="Percent 2 3 6" xfId="39205"/>
    <cellStyle name="Separador de milhares 3 3 2 7" xfId="39206"/>
    <cellStyle name="Normal 6 2 2 6" xfId="39207"/>
    <cellStyle name="Comma 2 2 2 6" xfId="39208"/>
    <cellStyle name="Percent 2 2 2 6" xfId="39209"/>
    <cellStyle name="Normal 7 3 12" xfId="39210"/>
    <cellStyle name="Comma 3 2 6" xfId="39211"/>
    <cellStyle name="Normal 8 6 9" xfId="39212"/>
    <cellStyle name="Comma 4 2 6" xfId="39213"/>
    <cellStyle name="Percent 3 2 6" xfId="39214"/>
    <cellStyle name="Normal 9 2 7" xfId="39215"/>
    <cellStyle name="Comma 5 2 6" xfId="39216"/>
    <cellStyle name="Normal 8 2 2 11" xfId="39217"/>
    <cellStyle name="Vírgula 13 2 6" xfId="39218"/>
    <cellStyle name="Vírgula 4 2 2 8" xfId="39219"/>
    <cellStyle name="Normal 8 3 2 9" xfId="39220"/>
    <cellStyle name="Normal 8 4 2 9" xfId="39221"/>
    <cellStyle name="Normal 8 5 3 7" xfId="39222"/>
    <cellStyle name="Normal 8 5 2 2 6" xfId="39223"/>
    <cellStyle name="Normal 7 2 2 11" xfId="39224"/>
    <cellStyle name="Vírgula 18 2 6" xfId="39225"/>
    <cellStyle name="Vírgula 12 2 7" xfId="39226"/>
    <cellStyle name="Normal 12 7" xfId="39227"/>
    <cellStyle name="Normal 3 8 7" xfId="39228"/>
    <cellStyle name="Percent 3 3 6" xfId="39229"/>
    <cellStyle name="Comma 2 4 6" xfId="39230"/>
    <cellStyle name="Comma 2 2 3 6" xfId="39231"/>
    <cellStyle name="Normal 6 7 6" xfId="39232"/>
    <cellStyle name="Normal 3 2 3 6" xfId="39233"/>
    <cellStyle name="Separador de milhares 2 9 6" xfId="39234"/>
    <cellStyle name="Normal 7 8 6" xfId="39235"/>
    <cellStyle name="Comma 2 3 2 6" xfId="39236"/>
    <cellStyle name="Separador de milhares 2 8 6" xfId="39237"/>
    <cellStyle name="Separador de milhares 3 6 6" xfId="39238"/>
    <cellStyle name="Separador de milhares 4 5 7" xfId="39239"/>
    <cellStyle name="Separador de milhares 5 5 7" xfId="39240"/>
    <cellStyle name="Separador de milhares 6 6 7" xfId="39241"/>
    <cellStyle name="Separador de milhares 7 4 6" xfId="39242"/>
    <cellStyle name="Comma 3 3 6" xfId="39243"/>
    <cellStyle name="Vírgula 7 2 6" xfId="39244"/>
    <cellStyle name="20% - Ênfase1 2 2 13" xfId="39245"/>
    <cellStyle name="20% - Ênfase1 2 2 2 10" xfId="39246"/>
    <cellStyle name="20% - Ênfase1 2 2 2 2 8" xfId="39247"/>
    <cellStyle name="20% - Ênfase1 2 2 2 3 8" xfId="39248"/>
    <cellStyle name="20% - Ênfase1 2 2 3 8" xfId="39249"/>
    <cellStyle name="20% - Ênfase1 2 2 4 8" xfId="39250"/>
    <cellStyle name="20% - Ênfase1 2 2 5 8" xfId="39251"/>
    <cellStyle name="20% - Ênfase1 2 3 12" xfId="39252"/>
    <cellStyle name="20% - Ênfase1 2 3 2 10" xfId="39253"/>
    <cellStyle name="20% - Ênfase1 2 3 2 2 8" xfId="39254"/>
    <cellStyle name="20% - Ênfase1 2 3 2 3 8" xfId="39255"/>
    <cellStyle name="20% - Ênfase1 2 3 3 8" xfId="39256"/>
    <cellStyle name="20% - Ênfase1 2 3 4 8" xfId="39257"/>
    <cellStyle name="20% - Ênfase1 2 5 10" xfId="39258"/>
    <cellStyle name="20% - Ênfase1 2 5 2 8" xfId="39259"/>
    <cellStyle name="20% - Ênfase1 2 5 3 8" xfId="39260"/>
    <cellStyle name="20% - Ênfase1 3 15" xfId="39261"/>
    <cellStyle name="20% - Ênfase1 3 2 12" xfId="39262"/>
    <cellStyle name="20% - Ênfase1 3 2 2 10" xfId="39263"/>
    <cellStyle name="20% - Ênfase1 3 2 2 2 8" xfId="39264"/>
    <cellStyle name="20% - Ênfase1 3 2 2 3 8" xfId="39265"/>
    <cellStyle name="20% - Ênfase1 3 2 3 8" xfId="39266"/>
    <cellStyle name="20% - Ênfase1 3 2 4 8" xfId="39267"/>
    <cellStyle name="20% - Ênfase1 3 3 11" xfId="39268"/>
    <cellStyle name="20% - Ênfase1 3 3 2 8" xfId="39269"/>
    <cellStyle name="20% - Ênfase1 3 3 3 8" xfId="39270"/>
    <cellStyle name="20% - Ênfase1 3 4 10" xfId="39271"/>
    <cellStyle name="20% - Ênfase1 3 4 2 8" xfId="39272"/>
    <cellStyle name="20% - Ênfase1 3 4 3 8" xfId="39273"/>
    <cellStyle name="20% - Ênfase1 3 5 8" xfId="39274"/>
    <cellStyle name="20% - Ênfase1 3 6 8" xfId="39275"/>
    <cellStyle name="20% - Ênfase1 3 7 8" xfId="39276"/>
    <cellStyle name="20% - Ênfase1 4 15" xfId="39277"/>
    <cellStyle name="20% - Ênfase1 4 2 12" xfId="39278"/>
    <cellStyle name="20% - Ênfase1 4 2 2 10" xfId="39279"/>
    <cellStyle name="20% - Ênfase1 4 2 2 2 8" xfId="39280"/>
    <cellStyle name="20% - Ênfase1 4 2 2 3 8" xfId="39281"/>
    <cellStyle name="20% - Ênfase1 4 2 3 8" xfId="39282"/>
    <cellStyle name="20% - Ênfase1 4 2 4 8" xfId="39283"/>
    <cellStyle name="20% - Ênfase1 4 3 11" xfId="39284"/>
    <cellStyle name="20% - Ênfase1 4 3 2 8" xfId="39285"/>
    <cellStyle name="20% - Ênfase1 4 3 3 8" xfId="39286"/>
    <cellStyle name="20% - Ênfase1 4 4 10" xfId="39287"/>
    <cellStyle name="20% - Ênfase1 4 4 2 8" xfId="39288"/>
    <cellStyle name="20% - Ênfase1 4 4 3 8" xfId="39289"/>
    <cellStyle name="20% - Ênfase1 4 5 8" xfId="39290"/>
    <cellStyle name="20% - Ênfase1 4 6 8" xfId="39291"/>
    <cellStyle name="20% - Ênfase1 4 7 8" xfId="39292"/>
    <cellStyle name="20% - Ênfase1 5 13" xfId="39293"/>
    <cellStyle name="20% - Ênfase1 5 2 10" xfId="39294"/>
    <cellStyle name="20% - Ênfase1 5 2 2 8" xfId="39295"/>
    <cellStyle name="20% - Ênfase1 5 2 3 8" xfId="39296"/>
    <cellStyle name="20% - Ênfase1 5 3 8" xfId="39297"/>
    <cellStyle name="20% - Ênfase1 5 4 8" xfId="39298"/>
    <cellStyle name="20% - Ênfase1 5 5 8" xfId="39299"/>
    <cellStyle name="20% - Ênfase1 6 12" xfId="39300"/>
    <cellStyle name="20% - Ênfase1 6 2 10" xfId="39301"/>
    <cellStyle name="20% - Ênfase1 6 2 2 8" xfId="39302"/>
    <cellStyle name="20% - Ênfase1 6 2 3 8" xfId="39303"/>
    <cellStyle name="20% - Ênfase1 6 3 8" xfId="39304"/>
    <cellStyle name="20% - Ênfase1 6 4 8" xfId="39305"/>
    <cellStyle name="20% - Ênfase1 8 10" xfId="39306"/>
    <cellStyle name="20% - Ênfase1 8 2 8" xfId="39307"/>
    <cellStyle name="20% - Ênfase1 8 3 8" xfId="39308"/>
    <cellStyle name="20% - Ênfase2 2 2 13" xfId="39309"/>
    <cellStyle name="20% - Ênfase2 2 2 2 10" xfId="39310"/>
    <cellStyle name="20% - Ênfase2 2 2 2 2 8" xfId="39311"/>
    <cellStyle name="20% - Ênfase2 2 2 2 3 8" xfId="39312"/>
    <cellStyle name="20% - Ênfase2 2 2 3 8" xfId="39313"/>
    <cellStyle name="20% - Ênfase2 2 2 4 8" xfId="39314"/>
    <cellStyle name="20% - Ênfase2 2 2 5 8" xfId="39315"/>
    <cellStyle name="20% - Ênfase2 2 3 12" xfId="39316"/>
    <cellStyle name="20% - Ênfase2 2 3 2 10" xfId="39317"/>
    <cellStyle name="20% - Ênfase2 2 3 2 2 8" xfId="39318"/>
    <cellStyle name="20% - Ênfase2 2 3 2 3 8" xfId="39319"/>
    <cellStyle name="20% - Ênfase2 2 3 3 8" xfId="39320"/>
    <cellStyle name="20% - Ênfase2 2 3 4 8" xfId="39321"/>
    <cellStyle name="20% - Ênfase2 2 5 10" xfId="39322"/>
    <cellStyle name="20% - Ênfase2 2 5 2 8" xfId="39323"/>
    <cellStyle name="20% - Ênfase2 2 5 3 8" xfId="39324"/>
    <cellStyle name="20% - Ênfase2 3 15" xfId="39325"/>
    <cellStyle name="20% - Ênfase2 3 2 12" xfId="39326"/>
    <cellStyle name="20% - Ênfase2 3 2 2 10" xfId="39327"/>
    <cellStyle name="20% - Ênfase2 3 2 2 2 8" xfId="39328"/>
    <cellStyle name="20% - Ênfase2 3 2 2 3 8" xfId="39329"/>
    <cellStyle name="20% - Ênfase2 3 2 3 8" xfId="39330"/>
    <cellStyle name="20% - Ênfase2 3 2 4 8" xfId="39331"/>
    <cellStyle name="20% - Ênfase2 3 3 11" xfId="39332"/>
    <cellStyle name="20% - Ênfase2 3 3 2 8" xfId="39333"/>
    <cellStyle name="20% - Ênfase2 3 3 3 8" xfId="39334"/>
    <cellStyle name="20% - Ênfase2 3 4 10" xfId="39335"/>
    <cellStyle name="20% - Ênfase2 3 4 2 8" xfId="39336"/>
    <cellStyle name="20% - Ênfase2 3 4 3 8" xfId="39337"/>
    <cellStyle name="20% - Ênfase2 3 5 8" xfId="39338"/>
    <cellStyle name="20% - Ênfase2 3 6 8" xfId="39339"/>
    <cellStyle name="20% - Ênfase2 3 7 8" xfId="39340"/>
    <cellStyle name="20% - Ênfase2 4 15" xfId="39341"/>
    <cellStyle name="20% - Ênfase2 4 2 12" xfId="39342"/>
    <cellStyle name="20% - Ênfase2 4 2 2 10" xfId="39343"/>
    <cellStyle name="20% - Ênfase2 4 2 2 2 8" xfId="39344"/>
    <cellStyle name="20% - Ênfase2 4 2 2 3 8" xfId="39345"/>
    <cellStyle name="20% - Ênfase2 4 2 3 8" xfId="39346"/>
    <cellStyle name="20% - Ênfase2 4 2 4 8" xfId="39347"/>
    <cellStyle name="20% - Ênfase2 4 3 11" xfId="39348"/>
    <cellStyle name="20% - Ênfase2 4 3 2 8" xfId="39349"/>
    <cellStyle name="20% - Ênfase2 4 3 3 8" xfId="39350"/>
    <cellStyle name="20% - Ênfase2 4 4 10" xfId="39351"/>
    <cellStyle name="20% - Ênfase2 4 4 2 8" xfId="39352"/>
    <cellStyle name="20% - Ênfase2 4 4 3 8" xfId="39353"/>
    <cellStyle name="20% - Ênfase2 4 5 8" xfId="39354"/>
    <cellStyle name="20% - Ênfase2 4 6 8" xfId="39355"/>
    <cellStyle name="20% - Ênfase2 4 7 8" xfId="39356"/>
    <cellStyle name="20% - Ênfase2 5 13" xfId="39357"/>
    <cellStyle name="20% - Ênfase2 5 2 10" xfId="39358"/>
    <cellStyle name="20% - Ênfase2 5 2 2 8" xfId="39359"/>
    <cellStyle name="20% - Ênfase2 5 2 3 8" xfId="39360"/>
    <cellStyle name="20% - Ênfase2 5 3 8" xfId="39361"/>
    <cellStyle name="20% - Ênfase2 5 4 8" xfId="39362"/>
    <cellStyle name="20% - Ênfase2 5 5 8" xfId="39363"/>
    <cellStyle name="20% - Ênfase2 6 12" xfId="39364"/>
    <cellStyle name="20% - Ênfase2 6 2 10" xfId="39365"/>
    <cellStyle name="20% - Ênfase2 6 2 2 8" xfId="39366"/>
    <cellStyle name="20% - Ênfase2 6 2 3 8" xfId="39367"/>
    <cellStyle name="20% - Ênfase2 6 3 8" xfId="39368"/>
    <cellStyle name="20% - Ênfase2 6 4 8" xfId="39369"/>
    <cellStyle name="20% - Ênfase2 8 10" xfId="39370"/>
    <cellStyle name="20% - Ênfase2 8 2 8" xfId="39371"/>
    <cellStyle name="20% - Ênfase2 8 3 8" xfId="39372"/>
    <cellStyle name="20% - Ênfase3 2 2 13" xfId="39373"/>
    <cellStyle name="20% - Ênfase3 2 2 2 10" xfId="39374"/>
    <cellStyle name="20% - Ênfase3 2 2 2 2 8" xfId="39375"/>
    <cellStyle name="20% - Ênfase3 2 2 2 3 8" xfId="39376"/>
    <cellStyle name="20% - Ênfase3 2 2 3 8" xfId="39377"/>
    <cellStyle name="20% - Ênfase3 2 2 4 8" xfId="39378"/>
    <cellStyle name="20% - Ênfase3 2 2 5 8" xfId="39379"/>
    <cellStyle name="20% - Ênfase3 2 3 12" xfId="39380"/>
    <cellStyle name="20% - Ênfase3 2 3 2 10" xfId="39381"/>
    <cellStyle name="20% - Ênfase3 2 3 2 2 8" xfId="39382"/>
    <cellStyle name="20% - Ênfase3 2 3 2 3 8" xfId="39383"/>
    <cellStyle name="20% - Ênfase3 2 3 3 8" xfId="39384"/>
    <cellStyle name="20% - Ênfase3 2 3 4 8" xfId="39385"/>
    <cellStyle name="20% - Ênfase3 2 5 10" xfId="39386"/>
    <cellStyle name="20% - Ênfase3 2 5 2 8" xfId="39387"/>
    <cellStyle name="20% - Ênfase3 2 5 3 8" xfId="39388"/>
    <cellStyle name="20% - Ênfase3 3 15" xfId="39389"/>
    <cellStyle name="20% - Ênfase3 3 2 12" xfId="39390"/>
    <cellStyle name="20% - Ênfase3 3 2 2 10" xfId="39391"/>
    <cellStyle name="20% - Ênfase3 3 2 2 2 8" xfId="39392"/>
    <cellStyle name="20% - Ênfase3 3 2 2 3 8" xfId="39393"/>
    <cellStyle name="20% - Ênfase3 3 2 3 8" xfId="39394"/>
    <cellStyle name="20% - Ênfase3 3 2 4 8" xfId="39395"/>
    <cellStyle name="20% - Ênfase3 3 3 11" xfId="39396"/>
    <cellStyle name="20% - Ênfase3 3 3 2 8" xfId="39397"/>
    <cellStyle name="20% - Ênfase3 3 3 3 8" xfId="39398"/>
    <cellStyle name="20% - Ênfase3 3 4 10" xfId="39399"/>
    <cellStyle name="20% - Ênfase3 3 4 2 8" xfId="39400"/>
    <cellStyle name="20% - Ênfase3 3 4 3 8" xfId="39401"/>
    <cellStyle name="20% - Ênfase3 3 5 8" xfId="39402"/>
    <cellStyle name="20% - Ênfase3 3 6 8" xfId="39403"/>
    <cellStyle name="20% - Ênfase3 3 7 8" xfId="39404"/>
    <cellStyle name="20% - Ênfase3 4 15" xfId="39405"/>
    <cellStyle name="20% - Ênfase3 4 2 12" xfId="39406"/>
    <cellStyle name="20% - Ênfase3 4 2 2 10" xfId="39407"/>
    <cellStyle name="20% - Ênfase3 4 2 2 2 8" xfId="39408"/>
    <cellStyle name="20% - Ênfase3 4 2 2 3 8" xfId="39409"/>
    <cellStyle name="20% - Ênfase3 4 2 3 8" xfId="39410"/>
    <cellStyle name="20% - Ênfase3 4 2 4 8" xfId="39411"/>
    <cellStyle name="20% - Ênfase3 4 3 11" xfId="39412"/>
    <cellStyle name="20% - Ênfase3 4 3 2 8" xfId="39413"/>
    <cellStyle name="20% - Ênfase3 4 3 3 8" xfId="39414"/>
    <cellStyle name="20% - Ênfase3 4 4 10" xfId="39415"/>
    <cellStyle name="20% - Ênfase3 4 4 2 8" xfId="39416"/>
    <cellStyle name="20% - Ênfase3 4 4 3 8" xfId="39417"/>
    <cellStyle name="20% - Ênfase3 4 5 8" xfId="39418"/>
    <cellStyle name="20% - Ênfase3 4 6 8" xfId="39419"/>
    <cellStyle name="20% - Ênfase3 4 7 8" xfId="39420"/>
    <cellStyle name="20% - Ênfase3 5 13" xfId="39421"/>
    <cellStyle name="20% - Ênfase3 5 2 10" xfId="39422"/>
    <cellStyle name="20% - Ênfase3 5 2 2 8" xfId="39423"/>
    <cellStyle name="20% - Ênfase3 5 2 3 8" xfId="39424"/>
    <cellStyle name="20% - Ênfase3 5 3 8" xfId="39425"/>
    <cellStyle name="20% - Ênfase3 5 4 8" xfId="39426"/>
    <cellStyle name="20% - Ênfase3 5 5 8" xfId="39427"/>
    <cellStyle name="20% - Ênfase3 6 12" xfId="39428"/>
    <cellStyle name="20% - Ênfase3 6 2 10" xfId="39429"/>
    <cellStyle name="20% - Ênfase3 6 2 2 8" xfId="39430"/>
    <cellStyle name="20% - Ênfase3 6 2 3 8" xfId="39431"/>
    <cellStyle name="20% - Ênfase3 6 3 8" xfId="39432"/>
    <cellStyle name="20% - Ênfase3 6 4 8" xfId="39433"/>
    <cellStyle name="20% - Ênfase3 8 10" xfId="39434"/>
    <cellStyle name="20% - Ênfase3 8 2 8" xfId="39435"/>
    <cellStyle name="20% - Ênfase3 8 3 8" xfId="39436"/>
    <cellStyle name="20% - Ênfase4 2 2 13" xfId="39437"/>
    <cellStyle name="20% - Ênfase4 2 2 2 10" xfId="39438"/>
    <cellStyle name="20% - Ênfase4 2 2 2 2 8" xfId="39439"/>
    <cellStyle name="20% - Ênfase4 2 2 2 3 8" xfId="39440"/>
    <cellStyle name="20% - Ênfase4 2 2 3 8" xfId="39441"/>
    <cellStyle name="20% - Ênfase4 2 2 4 8" xfId="39442"/>
    <cellStyle name="20% - Ênfase4 2 2 5 8" xfId="39443"/>
    <cellStyle name="20% - Ênfase4 2 3 12" xfId="39444"/>
    <cellStyle name="20% - Ênfase4 2 3 2 10" xfId="39445"/>
    <cellStyle name="20% - Ênfase4 2 3 2 2 8" xfId="39446"/>
    <cellStyle name="20% - Ênfase4 2 3 2 3 8" xfId="39447"/>
    <cellStyle name="20% - Ênfase4 2 3 3 8" xfId="39448"/>
    <cellStyle name="20% - Ênfase4 2 3 4 8" xfId="39449"/>
    <cellStyle name="20% - Ênfase4 2 5 10" xfId="39450"/>
    <cellStyle name="20% - Ênfase4 2 5 2 8" xfId="39451"/>
    <cellStyle name="20% - Ênfase4 2 5 3 8" xfId="39452"/>
    <cellStyle name="20% - Ênfase4 3 15" xfId="39453"/>
    <cellStyle name="20% - Ênfase4 3 2 12" xfId="39454"/>
    <cellStyle name="20% - Ênfase4 3 2 2 10" xfId="39455"/>
    <cellStyle name="20% - Ênfase4 3 2 2 2 8" xfId="39456"/>
    <cellStyle name="20% - Ênfase4 3 2 2 3 8" xfId="39457"/>
    <cellStyle name="20% - Ênfase4 3 2 3 8" xfId="39458"/>
    <cellStyle name="20% - Ênfase4 3 2 4 8" xfId="39459"/>
    <cellStyle name="20% - Ênfase4 3 3 11" xfId="39460"/>
    <cellStyle name="20% - Ênfase4 3 3 2 8" xfId="39461"/>
    <cellStyle name="20% - Ênfase4 3 3 3 8" xfId="39462"/>
    <cellStyle name="20% - Ênfase4 3 4 10" xfId="39463"/>
    <cellStyle name="20% - Ênfase4 3 4 2 8" xfId="39464"/>
    <cellStyle name="20% - Ênfase4 3 4 3 8" xfId="39465"/>
    <cellStyle name="20% - Ênfase4 3 5 8" xfId="39466"/>
    <cellStyle name="20% - Ênfase4 3 6 8" xfId="39467"/>
    <cellStyle name="20% - Ênfase4 3 7 8" xfId="39468"/>
    <cellStyle name="20% - Ênfase4 4 15" xfId="39469"/>
    <cellStyle name="20% - Ênfase4 4 2 12" xfId="39470"/>
    <cellStyle name="20% - Ênfase4 4 2 2 10" xfId="39471"/>
    <cellStyle name="20% - Ênfase4 4 2 2 2 8" xfId="39472"/>
    <cellStyle name="20% - Ênfase4 4 2 2 3 8" xfId="39473"/>
    <cellStyle name="20% - Ênfase4 4 2 3 8" xfId="39474"/>
    <cellStyle name="20% - Ênfase4 4 2 4 8" xfId="39475"/>
    <cellStyle name="20% - Ênfase4 4 3 11" xfId="39476"/>
    <cellStyle name="20% - Ênfase4 4 3 2 8" xfId="39477"/>
    <cellStyle name="20% - Ênfase4 4 3 3 8" xfId="39478"/>
    <cellStyle name="20% - Ênfase4 4 4 10" xfId="39479"/>
    <cellStyle name="20% - Ênfase4 4 4 2 8" xfId="39480"/>
    <cellStyle name="20% - Ênfase4 4 4 3 8" xfId="39481"/>
    <cellStyle name="20% - Ênfase4 4 5 8" xfId="39482"/>
    <cellStyle name="20% - Ênfase4 4 6 8" xfId="39483"/>
    <cellStyle name="20% - Ênfase4 4 7 8" xfId="39484"/>
    <cellStyle name="20% - Ênfase4 5 13" xfId="39485"/>
    <cellStyle name="20% - Ênfase4 5 2 10" xfId="39486"/>
    <cellStyle name="20% - Ênfase4 5 2 2 8" xfId="39487"/>
    <cellStyle name="20% - Ênfase4 5 2 3 8" xfId="39488"/>
    <cellStyle name="20% - Ênfase4 5 3 8" xfId="39489"/>
    <cellStyle name="20% - Ênfase4 5 4 8" xfId="39490"/>
    <cellStyle name="20% - Ênfase4 5 5 8" xfId="39491"/>
    <cellStyle name="20% - Ênfase4 6 12" xfId="39492"/>
    <cellStyle name="20% - Ênfase4 6 2 10" xfId="39493"/>
    <cellStyle name="20% - Ênfase4 6 2 2 8" xfId="39494"/>
    <cellStyle name="20% - Ênfase4 6 2 3 8" xfId="39495"/>
    <cellStyle name="20% - Ênfase4 6 3 8" xfId="39496"/>
    <cellStyle name="20% - Ênfase4 6 4 8" xfId="39497"/>
    <cellStyle name="20% - Ênfase4 8 10" xfId="39498"/>
    <cellStyle name="20% - Ênfase4 8 2 8" xfId="39499"/>
    <cellStyle name="20% - Ênfase4 8 3 8" xfId="39500"/>
    <cellStyle name="20% - Ênfase5 2 2 13" xfId="39501"/>
    <cellStyle name="20% - Ênfase5 2 2 2 10" xfId="39502"/>
    <cellStyle name="20% - Ênfase5 2 2 2 2 8" xfId="39503"/>
    <cellStyle name="20% - Ênfase5 2 2 2 3 8" xfId="39504"/>
    <cellStyle name="20% - Ênfase5 2 2 3 8" xfId="39505"/>
    <cellStyle name="20% - Ênfase5 2 2 4 8" xfId="39506"/>
    <cellStyle name="20% - Ênfase5 2 2 5 8" xfId="39507"/>
    <cellStyle name="20% - Ênfase5 2 3 12" xfId="39508"/>
    <cellStyle name="20% - Ênfase5 2 3 2 10" xfId="39509"/>
    <cellStyle name="20% - Ênfase5 2 3 2 2 8" xfId="39510"/>
    <cellStyle name="20% - Ênfase5 2 3 2 3 8" xfId="39511"/>
    <cellStyle name="20% - Ênfase5 2 3 3 8" xfId="39512"/>
    <cellStyle name="20% - Ênfase5 2 3 4 8" xfId="39513"/>
    <cellStyle name="20% - Ênfase5 2 5 10" xfId="39514"/>
    <cellStyle name="20% - Ênfase5 2 5 2 8" xfId="39515"/>
    <cellStyle name="20% - Ênfase5 2 5 3 8" xfId="39516"/>
    <cellStyle name="20% - Ênfase5 3 15" xfId="39517"/>
    <cellStyle name="20% - Ênfase5 3 2 12" xfId="39518"/>
    <cellStyle name="20% - Ênfase5 3 2 2 10" xfId="39519"/>
    <cellStyle name="20% - Ênfase5 3 2 2 2 8" xfId="39520"/>
    <cellStyle name="20% - Ênfase5 3 2 2 3 8" xfId="39521"/>
    <cellStyle name="20% - Ênfase5 3 2 3 8" xfId="39522"/>
    <cellStyle name="20% - Ênfase5 3 2 4 8" xfId="39523"/>
    <cellStyle name="20% - Ênfase5 3 3 11" xfId="39524"/>
    <cellStyle name="20% - Ênfase5 3 3 2 8" xfId="39525"/>
    <cellStyle name="20% - Ênfase5 3 3 3 8" xfId="39526"/>
    <cellStyle name="20% - Ênfase5 3 4 10" xfId="39527"/>
    <cellStyle name="20% - Ênfase5 3 4 2 8" xfId="39528"/>
    <cellStyle name="20% - Ênfase5 3 4 3 8" xfId="39529"/>
    <cellStyle name="20% - Ênfase5 3 5 8" xfId="39530"/>
    <cellStyle name="20% - Ênfase5 3 6 8" xfId="39531"/>
    <cellStyle name="20% - Ênfase5 3 7 8" xfId="39532"/>
    <cellStyle name="20% - Ênfase5 4 15" xfId="39533"/>
    <cellStyle name="20% - Ênfase5 4 2 12" xfId="39534"/>
    <cellStyle name="20% - Ênfase5 4 2 2 10" xfId="39535"/>
    <cellStyle name="20% - Ênfase5 4 2 2 2 8" xfId="39536"/>
    <cellStyle name="20% - Ênfase5 4 2 2 3 8" xfId="39537"/>
    <cellStyle name="20% - Ênfase5 4 2 3 8" xfId="39538"/>
    <cellStyle name="20% - Ênfase5 4 2 4 8" xfId="39539"/>
    <cellStyle name="20% - Ênfase5 4 3 11" xfId="39540"/>
    <cellStyle name="20% - Ênfase5 4 3 2 8" xfId="39541"/>
    <cellStyle name="20% - Ênfase5 4 3 3 8" xfId="39542"/>
    <cellStyle name="20% - Ênfase5 4 4 10" xfId="39543"/>
    <cellStyle name="20% - Ênfase5 4 4 2 8" xfId="39544"/>
    <cellStyle name="20% - Ênfase5 4 4 3 8" xfId="39545"/>
    <cellStyle name="20% - Ênfase5 4 5 8" xfId="39546"/>
    <cellStyle name="20% - Ênfase5 4 6 8" xfId="39547"/>
    <cellStyle name="20% - Ênfase5 4 7 8" xfId="39548"/>
    <cellStyle name="20% - Ênfase5 5 13" xfId="39549"/>
    <cellStyle name="20% - Ênfase5 5 2 10" xfId="39550"/>
    <cellStyle name="20% - Ênfase5 5 2 2 8" xfId="39551"/>
    <cellStyle name="20% - Ênfase5 5 2 3 8" xfId="39552"/>
    <cellStyle name="20% - Ênfase5 5 3 8" xfId="39553"/>
    <cellStyle name="20% - Ênfase5 5 4 8" xfId="39554"/>
    <cellStyle name="20% - Ênfase5 5 5 8" xfId="39555"/>
    <cellStyle name="20% - Ênfase5 6 12" xfId="39556"/>
    <cellStyle name="20% - Ênfase5 6 2 10" xfId="39557"/>
    <cellStyle name="20% - Ênfase5 6 2 2 8" xfId="39558"/>
    <cellStyle name="20% - Ênfase5 6 2 3 8" xfId="39559"/>
    <cellStyle name="20% - Ênfase5 6 3 8" xfId="39560"/>
    <cellStyle name="20% - Ênfase5 6 4 8" xfId="39561"/>
    <cellStyle name="20% - Ênfase5 8 10" xfId="39562"/>
    <cellStyle name="20% - Ênfase5 8 2 8" xfId="39563"/>
    <cellStyle name="20% - Ênfase5 8 3 8" xfId="39564"/>
    <cellStyle name="20% - Ênfase6 2 2 13" xfId="39565"/>
    <cellStyle name="20% - Ênfase6 2 2 2 10" xfId="39566"/>
    <cellStyle name="20% - Ênfase6 2 2 2 2 8" xfId="39567"/>
    <cellStyle name="20% - Ênfase6 2 2 2 3 8" xfId="39568"/>
    <cellStyle name="20% - Ênfase6 2 2 3 8" xfId="39569"/>
    <cellStyle name="20% - Ênfase6 2 2 4 8" xfId="39570"/>
    <cellStyle name="20% - Ênfase6 2 2 5 8" xfId="39571"/>
    <cellStyle name="20% - Ênfase6 2 3 12" xfId="39572"/>
    <cellStyle name="20% - Ênfase6 2 3 2 10" xfId="39573"/>
    <cellStyle name="20% - Ênfase6 2 3 2 2 8" xfId="39574"/>
    <cellStyle name="20% - Ênfase6 2 3 2 3 8" xfId="39575"/>
    <cellStyle name="20% - Ênfase6 2 3 3 8" xfId="39576"/>
    <cellStyle name="20% - Ênfase6 2 3 4 8" xfId="39577"/>
    <cellStyle name="20% - Ênfase6 2 5 10" xfId="39578"/>
    <cellStyle name="20% - Ênfase6 2 5 2 8" xfId="39579"/>
    <cellStyle name="20% - Ênfase6 2 5 3 8" xfId="39580"/>
    <cellStyle name="20% - Ênfase6 3 15" xfId="39581"/>
    <cellStyle name="20% - Ênfase6 3 2 12" xfId="39582"/>
    <cellStyle name="20% - Ênfase6 3 2 2 10" xfId="39583"/>
    <cellStyle name="20% - Ênfase6 3 2 2 2 8" xfId="39584"/>
    <cellStyle name="20% - Ênfase6 3 2 2 3 8" xfId="39585"/>
    <cellStyle name="20% - Ênfase6 3 2 3 8" xfId="39586"/>
    <cellStyle name="20% - Ênfase6 3 2 4 8" xfId="39587"/>
    <cellStyle name="20% - Ênfase6 3 3 11" xfId="39588"/>
    <cellStyle name="20% - Ênfase6 3 3 2 8" xfId="39589"/>
    <cellStyle name="20% - Ênfase6 3 3 3 8" xfId="39590"/>
    <cellStyle name="20% - Ênfase6 3 4 10" xfId="39591"/>
    <cellStyle name="20% - Ênfase6 3 4 2 8" xfId="39592"/>
    <cellStyle name="20% - Ênfase6 3 4 3 8" xfId="39593"/>
    <cellStyle name="20% - Ênfase6 3 5 8" xfId="39594"/>
    <cellStyle name="20% - Ênfase6 3 6 8" xfId="39595"/>
    <cellStyle name="20% - Ênfase6 3 7 8" xfId="39596"/>
    <cellStyle name="20% - Ênfase6 4 15" xfId="39597"/>
    <cellStyle name="20% - Ênfase6 4 2 12" xfId="39598"/>
    <cellStyle name="20% - Ênfase6 4 2 2 10" xfId="39599"/>
    <cellStyle name="20% - Ênfase6 4 2 2 2 8" xfId="39600"/>
    <cellStyle name="20% - Ênfase6 4 2 2 3 8" xfId="39601"/>
    <cellStyle name="20% - Ênfase6 4 2 3 8" xfId="39602"/>
    <cellStyle name="20% - Ênfase6 4 2 4 8" xfId="39603"/>
    <cellStyle name="20% - Ênfase6 4 3 11" xfId="39604"/>
    <cellStyle name="20% - Ênfase6 4 3 2 8" xfId="39605"/>
    <cellStyle name="20% - Ênfase6 4 3 3 8" xfId="39606"/>
    <cellStyle name="20% - Ênfase6 4 4 10" xfId="39607"/>
    <cellStyle name="20% - Ênfase6 4 4 2 8" xfId="39608"/>
    <cellStyle name="20% - Ênfase6 4 4 3 8" xfId="39609"/>
    <cellStyle name="20% - Ênfase6 4 5 8" xfId="39610"/>
    <cellStyle name="20% - Ênfase6 4 6 8" xfId="39611"/>
    <cellStyle name="20% - Ênfase6 4 7 8" xfId="39612"/>
    <cellStyle name="20% - Ênfase6 5 13" xfId="39613"/>
    <cellStyle name="20% - Ênfase6 5 2 10" xfId="39614"/>
    <cellStyle name="20% - Ênfase6 5 2 2 8" xfId="39615"/>
    <cellStyle name="20% - Ênfase6 5 2 3 8" xfId="39616"/>
    <cellStyle name="20% - Ênfase6 5 3 8" xfId="39617"/>
    <cellStyle name="20% - Ênfase6 5 4 8" xfId="39618"/>
    <cellStyle name="20% - Ênfase6 5 5 8" xfId="39619"/>
    <cellStyle name="20% - Ênfase6 6 12" xfId="39620"/>
    <cellStyle name="20% - Ênfase6 6 2 10" xfId="39621"/>
    <cellStyle name="20% - Ênfase6 6 2 2 8" xfId="39622"/>
    <cellStyle name="20% - Ênfase6 6 2 3 8" xfId="39623"/>
    <cellStyle name="20% - Ênfase6 6 3 8" xfId="39624"/>
    <cellStyle name="20% - Ênfase6 6 4 8" xfId="39625"/>
    <cellStyle name="20% - Ênfase6 8 10" xfId="39626"/>
    <cellStyle name="20% - Ênfase6 8 2 8" xfId="39627"/>
    <cellStyle name="20% - Ênfase6 8 3 8" xfId="39628"/>
    <cellStyle name="40% - Ênfase1 2 2 13" xfId="39629"/>
    <cellStyle name="40% - Ênfase1 2 2 2 10" xfId="39630"/>
    <cellStyle name="40% - Ênfase1 2 2 2 2 8" xfId="39631"/>
    <cellStyle name="40% - Ênfase1 2 2 2 3 8" xfId="39632"/>
    <cellStyle name="40% - Ênfase1 2 2 3 8" xfId="39633"/>
    <cellStyle name="40% - Ênfase1 2 2 4 8" xfId="39634"/>
    <cellStyle name="40% - Ênfase1 2 2 5 8" xfId="39635"/>
    <cellStyle name="40% - Ênfase1 2 3 12" xfId="39636"/>
    <cellStyle name="40% - Ênfase1 2 3 2 10" xfId="39637"/>
    <cellStyle name="40% - Ênfase1 2 3 2 2 8" xfId="39638"/>
    <cellStyle name="40% - Ênfase1 2 3 2 3 8" xfId="39639"/>
    <cellStyle name="40% - Ênfase1 2 3 3 8" xfId="39640"/>
    <cellStyle name="40% - Ênfase1 2 3 4 8" xfId="39641"/>
    <cellStyle name="40% - Ênfase1 2 5 10" xfId="39642"/>
    <cellStyle name="40% - Ênfase1 2 5 2 8" xfId="39643"/>
    <cellStyle name="40% - Ênfase1 2 5 3 8" xfId="39644"/>
    <cellStyle name="40% - Ênfase1 3 15" xfId="39645"/>
    <cellStyle name="40% - Ênfase1 3 2 12" xfId="39646"/>
    <cellStyle name="40% - Ênfase1 3 2 2 10" xfId="39647"/>
    <cellStyle name="40% - Ênfase1 3 2 2 2 8" xfId="39648"/>
    <cellStyle name="40% - Ênfase1 3 2 2 3 8" xfId="39649"/>
    <cellStyle name="40% - Ênfase1 3 2 3 8" xfId="39650"/>
    <cellStyle name="40% - Ênfase1 3 2 4 8" xfId="39651"/>
    <cellStyle name="40% - Ênfase1 3 3 11" xfId="39652"/>
    <cellStyle name="40% - Ênfase1 3 3 2 8" xfId="39653"/>
    <cellStyle name="40% - Ênfase1 3 3 3 8" xfId="39654"/>
    <cellStyle name="40% - Ênfase1 3 4 10" xfId="39655"/>
    <cellStyle name="40% - Ênfase1 3 4 2 8" xfId="39656"/>
    <cellStyle name="40% - Ênfase1 3 4 3 8" xfId="39657"/>
    <cellStyle name="40% - Ênfase1 3 5 8" xfId="39658"/>
    <cellStyle name="40% - Ênfase1 3 6 8" xfId="39659"/>
    <cellStyle name="40% - Ênfase1 3 7 8" xfId="39660"/>
    <cellStyle name="40% - Ênfase1 4 15" xfId="39661"/>
    <cellStyle name="40% - Ênfase1 4 2 12" xfId="39662"/>
    <cellStyle name="40% - Ênfase1 4 2 2 10" xfId="39663"/>
    <cellStyle name="40% - Ênfase1 4 2 2 2 8" xfId="39664"/>
    <cellStyle name="40% - Ênfase1 4 2 2 3 8" xfId="39665"/>
    <cellStyle name="40% - Ênfase1 4 2 3 8" xfId="39666"/>
    <cellStyle name="40% - Ênfase1 4 2 4 8" xfId="39667"/>
    <cellStyle name="40% - Ênfase1 4 3 11" xfId="39668"/>
    <cellStyle name="40% - Ênfase1 4 3 2 8" xfId="39669"/>
    <cellStyle name="40% - Ênfase1 4 3 3 8" xfId="39670"/>
    <cellStyle name="40% - Ênfase1 4 4 10" xfId="39671"/>
    <cellStyle name="40% - Ênfase1 4 4 2 8" xfId="39672"/>
    <cellStyle name="40% - Ênfase1 4 4 3 8" xfId="39673"/>
    <cellStyle name="40% - Ênfase1 4 5 8" xfId="39674"/>
    <cellStyle name="40% - Ênfase1 4 6 8" xfId="39675"/>
    <cellStyle name="40% - Ênfase1 4 7 8" xfId="39676"/>
    <cellStyle name="40% - Ênfase1 5 13" xfId="39677"/>
    <cellStyle name="40% - Ênfase1 5 2 10" xfId="39678"/>
    <cellStyle name="40% - Ênfase1 5 2 2 8" xfId="39679"/>
    <cellStyle name="40% - Ênfase1 5 2 3 8" xfId="39680"/>
    <cellStyle name="40% - Ênfase1 5 3 8" xfId="39681"/>
    <cellStyle name="40% - Ênfase1 5 4 8" xfId="39682"/>
    <cellStyle name="40% - Ênfase1 5 5 8" xfId="39683"/>
    <cellStyle name="40% - Ênfase1 6 12" xfId="39684"/>
    <cellStyle name="40% - Ênfase1 6 2 10" xfId="39685"/>
    <cellStyle name="40% - Ênfase1 6 2 2 8" xfId="39686"/>
    <cellStyle name="40% - Ênfase1 6 2 3 8" xfId="39687"/>
    <cellStyle name="40% - Ênfase1 6 3 8" xfId="39688"/>
    <cellStyle name="40% - Ênfase1 6 4 8" xfId="39689"/>
    <cellStyle name="40% - Ênfase1 8 10" xfId="39690"/>
    <cellStyle name="40% - Ênfase1 8 2 8" xfId="39691"/>
    <cellStyle name="40% - Ênfase1 8 3 8" xfId="39692"/>
    <cellStyle name="40% - Ênfase2 2 2 13" xfId="39693"/>
    <cellStyle name="40% - Ênfase2 2 2 2 10" xfId="39694"/>
    <cellStyle name="40% - Ênfase2 2 2 2 2 8" xfId="39695"/>
    <cellStyle name="40% - Ênfase2 2 2 2 3 8" xfId="39696"/>
    <cellStyle name="40% - Ênfase2 2 2 3 8" xfId="39697"/>
    <cellStyle name="40% - Ênfase2 2 2 4 8" xfId="39698"/>
    <cellStyle name="40% - Ênfase2 2 2 5 8" xfId="39699"/>
    <cellStyle name="40% - Ênfase2 2 3 12" xfId="39700"/>
    <cellStyle name="40% - Ênfase2 2 3 2 10" xfId="39701"/>
    <cellStyle name="40% - Ênfase2 2 3 2 2 8" xfId="39702"/>
    <cellStyle name="40% - Ênfase2 2 3 2 3 8" xfId="39703"/>
    <cellStyle name="40% - Ênfase2 2 3 3 8" xfId="39704"/>
    <cellStyle name="40% - Ênfase2 2 3 4 8" xfId="39705"/>
    <cellStyle name="40% - Ênfase2 2 5 10" xfId="39706"/>
    <cellStyle name="40% - Ênfase2 2 5 2 8" xfId="39707"/>
    <cellStyle name="40% - Ênfase2 2 5 3 8" xfId="39708"/>
    <cellStyle name="40% - Ênfase2 3 15" xfId="39709"/>
    <cellStyle name="40% - Ênfase2 3 2 12" xfId="39710"/>
    <cellStyle name="40% - Ênfase2 3 2 2 10" xfId="39711"/>
    <cellStyle name="40% - Ênfase2 3 2 2 2 8" xfId="39712"/>
    <cellStyle name="40% - Ênfase2 3 2 2 3 8" xfId="39713"/>
    <cellStyle name="40% - Ênfase2 3 2 3 8" xfId="39714"/>
    <cellStyle name="40% - Ênfase2 3 2 4 8" xfId="39715"/>
    <cellStyle name="40% - Ênfase2 3 3 11" xfId="39716"/>
    <cellStyle name="40% - Ênfase2 3 3 2 8" xfId="39717"/>
    <cellStyle name="40% - Ênfase2 3 3 3 8" xfId="39718"/>
    <cellStyle name="40% - Ênfase2 3 4 10" xfId="39719"/>
    <cellStyle name="40% - Ênfase2 3 4 2 8" xfId="39720"/>
    <cellStyle name="40% - Ênfase2 3 4 3 8" xfId="39721"/>
    <cellStyle name="40% - Ênfase2 3 5 8" xfId="39722"/>
    <cellStyle name="40% - Ênfase2 3 6 8" xfId="39723"/>
    <cellStyle name="40% - Ênfase2 3 7 8" xfId="39724"/>
    <cellStyle name="40% - Ênfase2 4 15" xfId="39725"/>
    <cellStyle name="40% - Ênfase2 4 2 12" xfId="39726"/>
    <cellStyle name="40% - Ênfase2 4 2 2 10" xfId="39727"/>
    <cellStyle name="40% - Ênfase2 4 2 2 2 8" xfId="39728"/>
    <cellStyle name="40% - Ênfase2 4 2 2 3 8" xfId="39729"/>
    <cellStyle name="40% - Ênfase2 4 2 3 8" xfId="39730"/>
    <cellStyle name="40% - Ênfase2 4 2 4 8" xfId="39731"/>
    <cellStyle name="40% - Ênfase2 4 3 11" xfId="39732"/>
    <cellStyle name="40% - Ênfase2 4 3 2 8" xfId="39733"/>
    <cellStyle name="40% - Ênfase2 4 3 3 8" xfId="39734"/>
    <cellStyle name="40% - Ênfase2 4 4 10" xfId="39735"/>
    <cellStyle name="40% - Ênfase2 4 4 2 8" xfId="39736"/>
    <cellStyle name="40% - Ênfase2 4 4 3 8" xfId="39737"/>
    <cellStyle name="40% - Ênfase2 4 5 8" xfId="39738"/>
    <cellStyle name="40% - Ênfase2 4 6 8" xfId="39739"/>
    <cellStyle name="40% - Ênfase2 4 7 8" xfId="39740"/>
    <cellStyle name="40% - Ênfase2 5 13" xfId="39741"/>
    <cellStyle name="40% - Ênfase2 5 2 10" xfId="39742"/>
    <cellStyle name="40% - Ênfase2 5 2 2 8" xfId="39743"/>
    <cellStyle name="40% - Ênfase2 5 2 3 8" xfId="39744"/>
    <cellStyle name="40% - Ênfase2 5 3 8" xfId="39745"/>
    <cellStyle name="40% - Ênfase2 5 4 8" xfId="39746"/>
    <cellStyle name="40% - Ênfase2 5 5 8" xfId="39747"/>
    <cellStyle name="40% - Ênfase2 6 12" xfId="39748"/>
    <cellStyle name="40% - Ênfase2 6 2 10" xfId="39749"/>
    <cellStyle name="40% - Ênfase2 6 2 2 8" xfId="39750"/>
    <cellStyle name="40% - Ênfase2 6 2 3 8" xfId="39751"/>
    <cellStyle name="40% - Ênfase2 6 3 8" xfId="39752"/>
    <cellStyle name="40% - Ênfase2 6 4 8" xfId="39753"/>
    <cellStyle name="40% - Ênfase2 8 10" xfId="39754"/>
    <cellStyle name="40% - Ênfase2 8 2 8" xfId="39755"/>
    <cellStyle name="40% - Ênfase2 8 3 8" xfId="39756"/>
    <cellStyle name="40% - Ênfase3 2 2 13" xfId="39757"/>
    <cellStyle name="40% - Ênfase3 2 2 2 10" xfId="39758"/>
    <cellStyle name="40% - Ênfase3 2 2 2 2 8" xfId="39759"/>
    <cellStyle name="40% - Ênfase3 2 2 2 3 8" xfId="39760"/>
    <cellStyle name="40% - Ênfase3 2 2 3 8" xfId="39761"/>
    <cellStyle name="40% - Ênfase3 2 2 4 8" xfId="39762"/>
    <cellStyle name="40% - Ênfase3 2 2 5 8" xfId="39763"/>
    <cellStyle name="40% - Ênfase3 2 3 12" xfId="39764"/>
    <cellStyle name="40% - Ênfase3 2 3 2 10" xfId="39765"/>
    <cellStyle name="40% - Ênfase3 2 3 2 2 8" xfId="39766"/>
    <cellStyle name="40% - Ênfase3 2 3 2 3 8" xfId="39767"/>
    <cellStyle name="40% - Ênfase3 2 3 3 8" xfId="39768"/>
    <cellStyle name="40% - Ênfase3 2 3 4 8" xfId="39769"/>
    <cellStyle name="40% - Ênfase3 2 5 10" xfId="39770"/>
    <cellStyle name="40% - Ênfase3 2 5 2 8" xfId="39771"/>
    <cellStyle name="40% - Ênfase3 2 5 3 8" xfId="39772"/>
    <cellStyle name="40% - Ênfase3 3 15" xfId="39773"/>
    <cellStyle name="40% - Ênfase3 3 2 12" xfId="39774"/>
    <cellStyle name="40% - Ênfase3 3 2 2 10" xfId="39775"/>
    <cellStyle name="40% - Ênfase3 3 2 2 2 8" xfId="39776"/>
    <cellStyle name="40% - Ênfase3 3 2 2 3 8" xfId="39777"/>
    <cellStyle name="40% - Ênfase3 3 2 3 8" xfId="39778"/>
    <cellStyle name="40% - Ênfase3 3 2 4 8" xfId="39779"/>
    <cellStyle name="40% - Ênfase3 3 3 11" xfId="39780"/>
    <cellStyle name="40% - Ênfase3 3 3 2 8" xfId="39781"/>
    <cellStyle name="40% - Ênfase3 3 3 3 8" xfId="39782"/>
    <cellStyle name="40% - Ênfase3 3 4 10" xfId="39783"/>
    <cellStyle name="40% - Ênfase3 3 4 2 8" xfId="39784"/>
    <cellStyle name="40% - Ênfase3 3 4 3 8" xfId="39785"/>
    <cellStyle name="40% - Ênfase3 3 5 8" xfId="39786"/>
    <cellStyle name="40% - Ênfase3 3 6 8" xfId="39787"/>
    <cellStyle name="40% - Ênfase3 3 7 8" xfId="39788"/>
    <cellStyle name="40% - Ênfase3 4 15" xfId="39789"/>
    <cellStyle name="40% - Ênfase3 4 2 12" xfId="39790"/>
    <cellStyle name="40% - Ênfase3 4 2 2 10" xfId="39791"/>
    <cellStyle name="40% - Ênfase3 4 2 2 2 8" xfId="39792"/>
    <cellStyle name="40% - Ênfase3 4 2 2 3 8" xfId="39793"/>
    <cellStyle name="40% - Ênfase3 4 2 3 8" xfId="39794"/>
    <cellStyle name="40% - Ênfase3 4 2 4 8" xfId="39795"/>
    <cellStyle name="40% - Ênfase3 4 3 11" xfId="39796"/>
    <cellStyle name="40% - Ênfase3 4 3 2 8" xfId="39797"/>
    <cellStyle name="40% - Ênfase3 4 3 3 8" xfId="39798"/>
    <cellStyle name="40% - Ênfase3 4 4 10" xfId="39799"/>
    <cellStyle name="40% - Ênfase3 4 4 2 8" xfId="39800"/>
    <cellStyle name="40% - Ênfase3 4 4 3 8" xfId="39801"/>
    <cellStyle name="40% - Ênfase3 4 5 8" xfId="39802"/>
    <cellStyle name="40% - Ênfase3 4 6 8" xfId="39803"/>
    <cellStyle name="40% - Ênfase3 4 7 8" xfId="39804"/>
    <cellStyle name="40% - Ênfase3 5 13" xfId="39805"/>
    <cellStyle name="40% - Ênfase3 5 2 10" xfId="39806"/>
    <cellStyle name="40% - Ênfase3 5 2 2 8" xfId="39807"/>
    <cellStyle name="40% - Ênfase3 5 2 3 8" xfId="39808"/>
    <cellStyle name="40% - Ênfase3 5 3 8" xfId="39809"/>
    <cellStyle name="40% - Ênfase3 5 4 8" xfId="39810"/>
    <cellStyle name="40% - Ênfase3 5 5 8" xfId="39811"/>
    <cellStyle name="40% - Ênfase3 6 12" xfId="39812"/>
    <cellStyle name="40% - Ênfase3 6 2 10" xfId="39813"/>
    <cellStyle name="40% - Ênfase3 6 2 2 8" xfId="39814"/>
    <cellStyle name="40% - Ênfase3 6 2 3 8" xfId="39815"/>
    <cellStyle name="40% - Ênfase3 6 3 8" xfId="39816"/>
    <cellStyle name="40% - Ênfase3 6 4 8" xfId="39817"/>
    <cellStyle name="40% - Ênfase3 8 10" xfId="39818"/>
    <cellStyle name="40% - Ênfase3 8 2 8" xfId="39819"/>
    <cellStyle name="40% - Ênfase3 8 3 8" xfId="39820"/>
    <cellStyle name="40% - Ênfase4 2 2 13" xfId="39821"/>
    <cellStyle name="40% - Ênfase4 2 2 2 10" xfId="39822"/>
    <cellStyle name="40% - Ênfase4 2 2 2 2 8" xfId="39823"/>
    <cellStyle name="40% - Ênfase4 2 2 2 3 8" xfId="39824"/>
    <cellStyle name="40% - Ênfase4 2 2 3 8" xfId="39825"/>
    <cellStyle name="40% - Ênfase4 2 2 4 8" xfId="39826"/>
    <cellStyle name="40% - Ênfase4 2 2 5 8" xfId="39827"/>
    <cellStyle name="40% - Ênfase4 2 3 12" xfId="39828"/>
    <cellStyle name="40% - Ênfase4 2 3 2 10" xfId="39829"/>
    <cellStyle name="40% - Ênfase4 2 3 2 2 8" xfId="39830"/>
    <cellStyle name="40% - Ênfase4 2 3 2 3 8" xfId="39831"/>
    <cellStyle name="40% - Ênfase4 2 3 3 8" xfId="39832"/>
    <cellStyle name="40% - Ênfase4 2 3 4 8" xfId="39833"/>
    <cellStyle name="40% - Ênfase4 2 5 10" xfId="39834"/>
    <cellStyle name="40% - Ênfase4 2 5 2 8" xfId="39835"/>
    <cellStyle name="40% - Ênfase4 2 5 3 8" xfId="39836"/>
    <cellStyle name="40% - Ênfase4 3 15" xfId="39837"/>
    <cellStyle name="40% - Ênfase4 3 2 12" xfId="39838"/>
    <cellStyle name="40% - Ênfase4 3 2 2 10" xfId="39839"/>
    <cellStyle name="40% - Ênfase4 3 2 2 2 8" xfId="39840"/>
    <cellStyle name="40% - Ênfase4 3 2 2 3 8" xfId="39841"/>
    <cellStyle name="40% - Ênfase4 3 2 3 8" xfId="39842"/>
    <cellStyle name="40% - Ênfase4 3 2 4 8" xfId="39843"/>
    <cellStyle name="40% - Ênfase4 3 3 11" xfId="39844"/>
    <cellStyle name="40% - Ênfase4 3 3 2 8" xfId="39845"/>
    <cellStyle name="40% - Ênfase4 3 3 3 8" xfId="39846"/>
    <cellStyle name="40% - Ênfase4 3 4 10" xfId="39847"/>
    <cellStyle name="40% - Ênfase4 3 4 2 8" xfId="39848"/>
    <cellStyle name="40% - Ênfase4 3 4 3 8" xfId="39849"/>
    <cellStyle name="40% - Ênfase4 3 5 8" xfId="39850"/>
    <cellStyle name="40% - Ênfase4 3 6 8" xfId="39851"/>
    <cellStyle name="40% - Ênfase4 3 7 8" xfId="39852"/>
    <cellStyle name="40% - Ênfase4 4 15" xfId="39853"/>
    <cellStyle name="40% - Ênfase4 4 2 12" xfId="39854"/>
    <cellStyle name="40% - Ênfase4 4 2 2 10" xfId="39855"/>
    <cellStyle name="40% - Ênfase4 4 2 2 2 8" xfId="39856"/>
    <cellStyle name="40% - Ênfase4 4 2 2 3 8" xfId="39857"/>
    <cellStyle name="40% - Ênfase4 4 2 3 8" xfId="39858"/>
    <cellStyle name="40% - Ênfase4 4 2 4 8" xfId="39859"/>
    <cellStyle name="40% - Ênfase4 4 3 11" xfId="39860"/>
    <cellStyle name="40% - Ênfase4 4 3 2 8" xfId="39861"/>
    <cellStyle name="40% - Ênfase4 4 3 3 8" xfId="39862"/>
    <cellStyle name="40% - Ênfase4 4 4 10" xfId="39863"/>
    <cellStyle name="40% - Ênfase4 4 4 2 8" xfId="39864"/>
    <cellStyle name="40% - Ênfase4 4 4 3 8" xfId="39865"/>
    <cellStyle name="40% - Ênfase4 4 5 8" xfId="39866"/>
    <cellStyle name="40% - Ênfase4 4 6 8" xfId="39867"/>
    <cellStyle name="40% - Ênfase4 4 7 8" xfId="39868"/>
    <cellStyle name="40% - Ênfase4 5 13" xfId="39869"/>
    <cellStyle name="40% - Ênfase4 5 2 10" xfId="39870"/>
    <cellStyle name="40% - Ênfase4 5 2 2 8" xfId="39871"/>
    <cellStyle name="40% - Ênfase4 5 2 3 8" xfId="39872"/>
    <cellStyle name="40% - Ênfase4 5 3 8" xfId="39873"/>
    <cellStyle name="40% - Ênfase4 5 4 8" xfId="39874"/>
    <cellStyle name="40% - Ênfase4 5 5 8" xfId="39875"/>
    <cellStyle name="40% - Ênfase4 6 12" xfId="39876"/>
    <cellStyle name="40% - Ênfase4 6 2 10" xfId="39877"/>
    <cellStyle name="40% - Ênfase4 6 2 2 8" xfId="39878"/>
    <cellStyle name="40% - Ênfase4 6 2 3 8" xfId="39879"/>
    <cellStyle name="40% - Ênfase4 6 3 8" xfId="39880"/>
    <cellStyle name="40% - Ênfase4 6 4 8" xfId="39881"/>
    <cellStyle name="40% - Ênfase4 8 10" xfId="39882"/>
    <cellStyle name="40% - Ênfase4 8 2 8" xfId="39883"/>
    <cellStyle name="40% - Ênfase4 8 3 8" xfId="39884"/>
    <cellStyle name="40% - Ênfase5 2 2 13" xfId="39885"/>
    <cellStyle name="40% - Ênfase5 2 2 2 10" xfId="39886"/>
    <cellStyle name="40% - Ênfase5 2 2 2 2 8" xfId="39887"/>
    <cellStyle name="40% - Ênfase5 2 2 2 3 8" xfId="39888"/>
    <cellStyle name="40% - Ênfase5 2 2 3 8" xfId="39889"/>
    <cellStyle name="40% - Ênfase5 2 2 4 8" xfId="39890"/>
    <cellStyle name="40% - Ênfase5 2 2 5 8" xfId="39891"/>
    <cellStyle name="40% - Ênfase5 2 3 12" xfId="39892"/>
    <cellStyle name="40% - Ênfase5 2 3 2 10" xfId="39893"/>
    <cellStyle name="40% - Ênfase5 2 3 2 2 8" xfId="39894"/>
    <cellStyle name="40% - Ênfase5 2 3 2 3 8" xfId="39895"/>
    <cellStyle name="40% - Ênfase5 2 3 3 8" xfId="39896"/>
    <cellStyle name="40% - Ênfase5 2 3 4 8" xfId="39897"/>
    <cellStyle name="40% - Ênfase5 2 5 10" xfId="39898"/>
    <cellStyle name="40% - Ênfase5 2 5 2 8" xfId="39899"/>
    <cellStyle name="40% - Ênfase5 2 5 3 8" xfId="39900"/>
    <cellStyle name="40% - Ênfase5 3 15" xfId="39901"/>
    <cellStyle name="40% - Ênfase5 3 2 12" xfId="39902"/>
    <cellStyle name="40% - Ênfase5 3 2 2 10" xfId="39903"/>
    <cellStyle name="40% - Ênfase5 3 2 2 2 8" xfId="39904"/>
    <cellStyle name="40% - Ênfase5 3 2 2 3 8" xfId="39905"/>
    <cellStyle name="40% - Ênfase5 3 2 3 8" xfId="39906"/>
    <cellStyle name="40% - Ênfase5 3 2 4 8" xfId="39907"/>
    <cellStyle name="40% - Ênfase5 3 3 11" xfId="39908"/>
    <cellStyle name="40% - Ênfase5 3 3 2 8" xfId="39909"/>
    <cellStyle name="40% - Ênfase5 3 3 3 8" xfId="39910"/>
    <cellStyle name="40% - Ênfase5 3 4 10" xfId="39911"/>
    <cellStyle name="40% - Ênfase5 3 4 2 8" xfId="39912"/>
    <cellStyle name="40% - Ênfase5 3 4 3 8" xfId="39913"/>
    <cellStyle name="40% - Ênfase5 3 5 8" xfId="39914"/>
    <cellStyle name="40% - Ênfase5 3 6 8" xfId="39915"/>
    <cellStyle name="40% - Ênfase5 3 7 8" xfId="39916"/>
    <cellStyle name="40% - Ênfase5 4 15" xfId="39917"/>
    <cellStyle name="40% - Ênfase5 4 2 12" xfId="39918"/>
    <cellStyle name="40% - Ênfase5 4 2 2 10" xfId="39919"/>
    <cellStyle name="40% - Ênfase5 4 2 2 2 8" xfId="39920"/>
    <cellStyle name="40% - Ênfase5 4 2 2 3 8" xfId="39921"/>
    <cellStyle name="40% - Ênfase5 4 2 3 8" xfId="39922"/>
    <cellStyle name="40% - Ênfase5 4 2 4 8" xfId="39923"/>
    <cellStyle name="40% - Ênfase5 4 3 11" xfId="39924"/>
    <cellStyle name="40% - Ênfase5 4 3 2 8" xfId="39925"/>
    <cellStyle name="40% - Ênfase5 4 3 3 8" xfId="39926"/>
    <cellStyle name="40% - Ênfase5 4 4 10" xfId="39927"/>
    <cellStyle name="40% - Ênfase5 4 4 2 8" xfId="39928"/>
    <cellStyle name="40% - Ênfase5 4 4 3 8" xfId="39929"/>
    <cellStyle name="40% - Ênfase5 4 5 8" xfId="39930"/>
    <cellStyle name="40% - Ênfase5 4 6 8" xfId="39931"/>
    <cellStyle name="40% - Ênfase5 4 7 8" xfId="39932"/>
    <cellStyle name="40% - Ênfase5 5 13" xfId="39933"/>
    <cellStyle name="40% - Ênfase5 5 2 10" xfId="39934"/>
    <cellStyle name="40% - Ênfase5 5 2 2 8" xfId="39935"/>
    <cellStyle name="40% - Ênfase5 5 2 3 8" xfId="39936"/>
    <cellStyle name="40% - Ênfase5 5 3 8" xfId="39937"/>
    <cellStyle name="40% - Ênfase5 5 4 8" xfId="39938"/>
    <cellStyle name="40% - Ênfase5 5 5 8" xfId="39939"/>
    <cellStyle name="40% - Ênfase5 6 12" xfId="39940"/>
    <cellStyle name="40% - Ênfase5 6 2 10" xfId="39941"/>
    <cellStyle name="40% - Ênfase5 6 2 2 8" xfId="39942"/>
    <cellStyle name="40% - Ênfase5 6 2 3 8" xfId="39943"/>
    <cellStyle name="40% - Ênfase5 6 3 8" xfId="39944"/>
    <cellStyle name="40% - Ênfase5 6 4 8" xfId="39945"/>
    <cellStyle name="40% - Ênfase5 8 10" xfId="39946"/>
    <cellStyle name="40% - Ênfase5 8 2 8" xfId="39947"/>
    <cellStyle name="40% - Ênfase5 8 3 8" xfId="39948"/>
    <cellStyle name="40% - Ênfase6 2 2 13" xfId="39949"/>
    <cellStyle name="40% - Ênfase6 2 2 2 10" xfId="39950"/>
    <cellStyle name="40% - Ênfase6 2 2 2 2 8" xfId="39951"/>
    <cellStyle name="40% - Ênfase6 2 2 2 3 8" xfId="39952"/>
    <cellStyle name="40% - Ênfase6 2 2 3 8" xfId="39953"/>
    <cellStyle name="40% - Ênfase6 2 2 4 8" xfId="39954"/>
    <cellStyle name="40% - Ênfase6 2 2 5 8" xfId="39955"/>
    <cellStyle name="40% - Ênfase6 2 3 12" xfId="39956"/>
    <cellStyle name="40% - Ênfase6 2 3 2 10" xfId="39957"/>
    <cellStyle name="40% - Ênfase6 2 3 2 2 8" xfId="39958"/>
    <cellStyle name="40% - Ênfase6 2 3 2 3 8" xfId="39959"/>
    <cellStyle name="40% - Ênfase6 2 3 3 8" xfId="39960"/>
    <cellStyle name="40% - Ênfase6 2 3 4 8" xfId="39961"/>
    <cellStyle name="40% - Ênfase6 2 5 10" xfId="39962"/>
    <cellStyle name="40% - Ênfase6 2 5 2 8" xfId="39963"/>
    <cellStyle name="40% - Ênfase6 2 5 3 8" xfId="39964"/>
    <cellStyle name="40% - Ênfase6 3 15" xfId="39965"/>
    <cellStyle name="40% - Ênfase6 3 2 12" xfId="39966"/>
    <cellStyle name="40% - Ênfase6 3 2 2 10" xfId="39967"/>
    <cellStyle name="40% - Ênfase6 3 2 2 2 8" xfId="39968"/>
    <cellStyle name="40% - Ênfase6 3 2 2 3 8" xfId="39969"/>
    <cellStyle name="40% - Ênfase6 3 2 3 8" xfId="39970"/>
    <cellStyle name="40% - Ênfase6 3 2 4 8" xfId="39971"/>
    <cellStyle name="40% - Ênfase6 3 3 11" xfId="39972"/>
    <cellStyle name="40% - Ênfase6 3 3 2 8" xfId="39973"/>
    <cellStyle name="40% - Ênfase6 3 3 3 8" xfId="39974"/>
    <cellStyle name="40% - Ênfase6 3 4 10" xfId="39975"/>
    <cellStyle name="40% - Ênfase6 3 4 2 8" xfId="39976"/>
    <cellStyle name="40% - Ênfase6 3 4 3 8" xfId="39977"/>
    <cellStyle name="40% - Ênfase6 3 5 8" xfId="39978"/>
    <cellStyle name="40% - Ênfase6 3 6 8" xfId="39979"/>
    <cellStyle name="40% - Ênfase6 3 7 8" xfId="39980"/>
    <cellStyle name="40% - Ênfase6 4 15" xfId="39981"/>
    <cellStyle name="40% - Ênfase6 4 2 12" xfId="39982"/>
    <cellStyle name="40% - Ênfase6 4 2 2 10" xfId="39983"/>
    <cellStyle name="40% - Ênfase6 4 2 2 2 8" xfId="39984"/>
    <cellStyle name="40% - Ênfase6 4 2 2 3 8" xfId="39985"/>
    <cellStyle name="40% - Ênfase6 4 2 3 8" xfId="39986"/>
    <cellStyle name="40% - Ênfase6 4 2 4 8" xfId="39987"/>
    <cellStyle name="40% - Ênfase6 4 3 11" xfId="39988"/>
    <cellStyle name="40% - Ênfase6 4 3 2 8" xfId="39989"/>
    <cellStyle name="40% - Ênfase6 4 3 3 8" xfId="39990"/>
    <cellStyle name="40% - Ênfase6 4 4 10" xfId="39991"/>
    <cellStyle name="40% - Ênfase6 4 4 2 8" xfId="39992"/>
    <cellStyle name="40% - Ênfase6 4 4 3 8" xfId="39993"/>
    <cellStyle name="40% - Ênfase6 4 5 8" xfId="39994"/>
    <cellStyle name="40% - Ênfase6 4 6 8" xfId="39995"/>
    <cellStyle name="40% - Ênfase6 4 7 8" xfId="39996"/>
    <cellStyle name="40% - Ênfase6 5 13" xfId="39997"/>
    <cellStyle name="40% - Ênfase6 5 2 10" xfId="39998"/>
    <cellStyle name="40% - Ênfase6 5 2 2 8" xfId="39999"/>
    <cellStyle name="40% - Ênfase6 5 2 3 8" xfId="40000"/>
    <cellStyle name="40% - Ênfase6 5 3 8" xfId="40001"/>
    <cellStyle name="40% - Ênfase6 5 4 8" xfId="40002"/>
    <cellStyle name="40% - Ênfase6 5 5 8" xfId="40003"/>
    <cellStyle name="40% - Ênfase6 6 12" xfId="40004"/>
    <cellStyle name="40% - Ênfase6 6 2 10" xfId="40005"/>
    <cellStyle name="40% - Ênfase6 6 2 2 8" xfId="40006"/>
    <cellStyle name="40% - Ênfase6 6 2 3 8" xfId="40007"/>
    <cellStyle name="40% - Ênfase6 6 3 8" xfId="40008"/>
    <cellStyle name="40% - Ênfase6 6 4 8" xfId="40009"/>
    <cellStyle name="40% - Ênfase6 8 10" xfId="40010"/>
    <cellStyle name="40% - Ênfase6 8 2 8" xfId="40011"/>
    <cellStyle name="40% - Ênfase6 8 3 8" xfId="40012"/>
    <cellStyle name="Normal 3 3 11" xfId="40013"/>
    <cellStyle name="Normal 3 3 2 8" xfId="40014"/>
    <cellStyle name="Normal 3 3 3 8" xfId="40015"/>
    <cellStyle name="Normal 3 4 8" xfId="40016"/>
    <cellStyle name="Normal 3 5 8" xfId="40017"/>
    <cellStyle name="Normal 3 6 8" xfId="40018"/>
    <cellStyle name="Normal 4 2 13" xfId="40019"/>
    <cellStyle name="Normal 4 2 2 10" xfId="40020"/>
    <cellStyle name="Normal 4 2 2 2 8" xfId="40021"/>
    <cellStyle name="Normal 4 2 2 3 8" xfId="40022"/>
    <cellStyle name="Normal 4 2 3 8" xfId="40023"/>
    <cellStyle name="Normal 4 2 4 8" xfId="40024"/>
    <cellStyle name="Normal 4 2 5 8" xfId="40025"/>
    <cellStyle name="Normal 4 3 12" xfId="40026"/>
    <cellStyle name="Normal 4 3 2 10" xfId="40027"/>
    <cellStyle name="Normal 4 3 2 2 8" xfId="40028"/>
    <cellStyle name="Normal 4 3 2 3 8" xfId="40029"/>
    <cellStyle name="Normal 4 3 3 8" xfId="40030"/>
    <cellStyle name="Normal 4 3 4 8" xfId="40031"/>
    <cellStyle name="Normal 4 5 10" xfId="40032"/>
    <cellStyle name="Normal 4 5 2 8" xfId="40033"/>
    <cellStyle name="Normal 4 5 3 8" xfId="40034"/>
    <cellStyle name="Normal 5 2 14" xfId="40035"/>
    <cellStyle name="Normal 5 2 2 10" xfId="40036"/>
    <cellStyle name="Normal 5 2 2 2 8" xfId="40037"/>
    <cellStyle name="Normal 5 2 2 3 8" xfId="40038"/>
    <cellStyle name="Normal 5 2 3 8" xfId="40039"/>
    <cellStyle name="Normal 5 2 4 8" xfId="40040"/>
    <cellStyle name="Normal 5 2 5 8" xfId="40041"/>
    <cellStyle name="Normal 5 3 12" xfId="40042"/>
    <cellStyle name="Normal 5 3 2 10" xfId="40043"/>
    <cellStyle name="Normal 5 3 2 2 8" xfId="40044"/>
    <cellStyle name="Normal 5 3 2 3 8" xfId="40045"/>
    <cellStyle name="Normal 5 3 3 8" xfId="40046"/>
    <cellStyle name="Normal 5 3 4 8" xfId="40047"/>
    <cellStyle name="Normal 5 5 10" xfId="40048"/>
    <cellStyle name="Normal 5 5 2 8" xfId="40049"/>
    <cellStyle name="Normal 5 5 3 8" xfId="40050"/>
    <cellStyle name="Normal 6 4 8" xfId="40051"/>
    <cellStyle name="Normal 7 2 6 7" xfId="40052"/>
    <cellStyle name="Normal 7 2 2 4 7" xfId="40053"/>
    <cellStyle name="Normal 7 2 2 2 8" xfId="40054"/>
    <cellStyle name="Normal 7 2 2 3 8" xfId="40055"/>
    <cellStyle name="Normal 7 2 3 8" xfId="40056"/>
    <cellStyle name="Normal 7 2 4 8" xfId="40057"/>
    <cellStyle name="Normal 7 2 5 8" xfId="40058"/>
    <cellStyle name="Normal 7 3 5 7" xfId="40059"/>
    <cellStyle name="Normal 7 3 2 10" xfId="40060"/>
    <cellStyle name="Normal 7 3 2 2 8" xfId="40061"/>
    <cellStyle name="Normal 7 3 2 3 8" xfId="40062"/>
    <cellStyle name="Normal 7 3 3 8" xfId="40063"/>
    <cellStyle name="Normal 7 3 4 8" xfId="40064"/>
    <cellStyle name="Normal 7 5 10" xfId="40065"/>
    <cellStyle name="Normal 7 5 2 8" xfId="40066"/>
    <cellStyle name="Normal 7 5 3 8" xfId="40067"/>
    <cellStyle name="Normal 8 9 7" xfId="40068"/>
    <cellStyle name="Normal 8 2 5 7" xfId="40069"/>
    <cellStyle name="Normal 8 2 2 4 7" xfId="40070"/>
    <cellStyle name="Normal 8 2 2 2 8" xfId="40071"/>
    <cellStyle name="Normal 8 2 2 3 8" xfId="40072"/>
    <cellStyle name="Normal 8 2 3 8" xfId="40073"/>
    <cellStyle name="Normal 8 2 4 8" xfId="40074"/>
    <cellStyle name="Normal 8 3 4 7" xfId="40075"/>
    <cellStyle name="Normal 8 3 2 2 7" xfId="40076"/>
    <cellStyle name="Normal 8 3 3 8" xfId="40077"/>
    <cellStyle name="Normal 8 4 4 7" xfId="40078"/>
    <cellStyle name="Normal 8 4 2 2 7" xfId="40079"/>
    <cellStyle name="Normal 8 4 3 8" xfId="40080"/>
    <cellStyle name="Normal 8 5 4 6" xfId="40081"/>
    <cellStyle name="Normal 8 6 2 7" xfId="40082"/>
    <cellStyle name="Normal 8 7 8" xfId="40083"/>
    <cellStyle name="Nota 2 2 13" xfId="40084"/>
    <cellStyle name="Nota 2 2 2 10" xfId="40085"/>
    <cellStyle name="Nota 2 2 2 2 8" xfId="40086"/>
    <cellStyle name="Nota 2 2 2 3 8" xfId="40087"/>
    <cellStyle name="Nota 2 2 3 8" xfId="40088"/>
    <cellStyle name="Nota 2 2 4 8" xfId="40089"/>
    <cellStyle name="Nota 2 2 5 8" xfId="40090"/>
    <cellStyle name="Nota 2 3 12" xfId="40091"/>
    <cellStyle name="Nota 2 3 2 10" xfId="40092"/>
    <cellStyle name="Nota 2 3 2 2 8" xfId="40093"/>
    <cellStyle name="Nota 2 3 2 3 8" xfId="40094"/>
    <cellStyle name="Nota 2 3 3 8" xfId="40095"/>
    <cellStyle name="Nota 2 3 4 8" xfId="40096"/>
    <cellStyle name="Nota 2 5 10" xfId="40097"/>
    <cellStyle name="Nota 2 5 2 8" xfId="40098"/>
    <cellStyle name="Nota 2 5 3 8" xfId="40099"/>
    <cellStyle name="Nota 3 2 13" xfId="40100"/>
    <cellStyle name="Nota 3 2 2 10" xfId="40101"/>
    <cellStyle name="Nota 3 2 2 2 8" xfId="40102"/>
    <cellStyle name="Nota 3 2 2 3 8" xfId="40103"/>
    <cellStyle name="Nota 3 2 3 8" xfId="40104"/>
    <cellStyle name="Nota 3 2 4 8" xfId="40105"/>
    <cellStyle name="Nota 3 2 5 8" xfId="40106"/>
    <cellStyle name="Nota 3 3 12" xfId="40107"/>
    <cellStyle name="Nota 3 3 2 10" xfId="40108"/>
    <cellStyle name="Nota 3 3 2 2 8" xfId="40109"/>
    <cellStyle name="Nota 3 3 2 3 8" xfId="40110"/>
    <cellStyle name="Nota 3 3 3 8" xfId="40111"/>
    <cellStyle name="Nota 3 3 4 8" xfId="40112"/>
    <cellStyle name="Nota 3 5 10" xfId="40113"/>
    <cellStyle name="Nota 3 5 2 8" xfId="40114"/>
    <cellStyle name="Nota 3 5 3 8" xfId="40115"/>
    <cellStyle name="Nota 4 8 7" xfId="40116"/>
    <cellStyle name="Nota 4 2 12" xfId="40117"/>
    <cellStyle name="Nota 4 2 2 10" xfId="40118"/>
    <cellStyle name="Nota 4 2 2 2 8" xfId="40119"/>
    <cellStyle name="Nota 4 2 2 3 8" xfId="40120"/>
    <cellStyle name="Nota 4 2 3 8" xfId="40121"/>
    <cellStyle name="Nota 4 2 4 8" xfId="40122"/>
    <cellStyle name="Nota 4 3 11" xfId="40123"/>
    <cellStyle name="Nota 4 3 2 8" xfId="40124"/>
    <cellStyle name="Nota 4 3 3 8" xfId="40125"/>
    <cellStyle name="Nota 4 4 10" xfId="40126"/>
    <cellStyle name="Nota 4 4 2 8" xfId="40127"/>
    <cellStyle name="Nota 4 4 3 8" xfId="40128"/>
    <cellStyle name="Nota 4 5 8" xfId="40129"/>
    <cellStyle name="Nota 4 6 8" xfId="40130"/>
    <cellStyle name="Nota 4 7 8" xfId="40131"/>
    <cellStyle name="Nota 5 15" xfId="40132"/>
    <cellStyle name="Nota 5 2 12" xfId="40133"/>
    <cellStyle name="Nota 5 2 2 10" xfId="40134"/>
    <cellStyle name="Nota 5 2 2 2 8" xfId="40135"/>
    <cellStyle name="Nota 5 2 2 3 8" xfId="40136"/>
    <cellStyle name="Nota 5 2 3 8" xfId="40137"/>
    <cellStyle name="Nota 5 2 4 8" xfId="40138"/>
    <cellStyle name="Nota 5 3 11" xfId="40139"/>
    <cellStyle name="Nota 5 3 2 8" xfId="40140"/>
    <cellStyle name="Nota 5 3 3 8" xfId="40141"/>
    <cellStyle name="Nota 5 4 10" xfId="40142"/>
    <cellStyle name="Nota 5 4 2 8" xfId="40143"/>
    <cellStyle name="Nota 5 4 3 8" xfId="40144"/>
    <cellStyle name="Nota 5 5 8" xfId="40145"/>
    <cellStyle name="Nota 5 6 8" xfId="40146"/>
    <cellStyle name="Nota 5 7 8" xfId="40147"/>
    <cellStyle name="Separador de milhares 2 2 4 7" xfId="40148"/>
    <cellStyle name="Separador de milhares 2 2 2 7" xfId="40149"/>
    <cellStyle name="Separador de milhares 2 2 3 7" xfId="40150"/>
    <cellStyle name="Separador de milhares 2 3 2 7" xfId="40151"/>
    <cellStyle name="Separador de milhares 2 4 7" xfId="40152"/>
    <cellStyle name="Separador de milhares 2 5 7" xfId="40153"/>
    <cellStyle name="Separador de milhares 2 6 7" xfId="40154"/>
    <cellStyle name="Separador de milhares 3 2 4 7" xfId="40155"/>
    <cellStyle name="Separador de milhares 3 2 2 7" xfId="40156"/>
    <cellStyle name="Separador de milhares 3 2 3 7" xfId="40157"/>
    <cellStyle name="Separador de milhares 3 4 2 7" xfId="40158"/>
    <cellStyle name="Separador de milhares 4 4 7" xfId="40159"/>
    <cellStyle name="Separador de milhares 4 2 3 7" xfId="40160"/>
    <cellStyle name="Separador de milhares 4 2 2 7" xfId="40161"/>
    <cellStyle name="Separador de milhares 4 3 2 7" xfId="40162"/>
    <cellStyle name="Separador de milhares 5 2 3 7" xfId="40163"/>
    <cellStyle name="Separador de milhares 5 2 2 7" xfId="40164"/>
    <cellStyle name="Separador de milhares 5 3 2 7" xfId="40165"/>
    <cellStyle name="Separador de milhares 5 4 7" xfId="40166"/>
    <cellStyle name="Separador de milhares 6 5 7" xfId="40167"/>
    <cellStyle name="Separador de milhares 6 2 3 7" xfId="40168"/>
    <cellStyle name="Separador de milhares 6 2 2 7" xfId="40169"/>
    <cellStyle name="Separador de milhares 6 3 2 7" xfId="40170"/>
    <cellStyle name="Separador de milhares 6 4 7" xfId="40171"/>
    <cellStyle name="Separador de milhares 7 3 2 6" xfId="40172"/>
    <cellStyle name="Vírgula 2 6 7" xfId="40173"/>
    <cellStyle name="Vírgula 2 2 10" xfId="40174"/>
    <cellStyle name="Vírgula 2 2 2 7" xfId="40175"/>
    <cellStyle name="Vírgula 2 3 9" xfId="40176"/>
    <cellStyle name="Vírgula 2 3 2 7" xfId="40177"/>
    <cellStyle name="Vírgula 2 4 7" xfId="40178"/>
    <cellStyle name="Vírgula 2 5 7" xfId="40179"/>
    <cellStyle name="Vírgula 3 4 7" xfId="40180"/>
    <cellStyle name="Vírgula 3 2 8" xfId="40181"/>
    <cellStyle name="Vírgula 3 3 7" xfId="40182"/>
    <cellStyle name="Vírgula 4 4 7" xfId="40183"/>
    <cellStyle name="Vírgula 4 2 3 6" xfId="40184"/>
    <cellStyle name="Vírgula 4 2 2 2 7" xfId="40185"/>
    <cellStyle name="Vírgula 4 3 8" xfId="40186"/>
    <cellStyle name="Vírgula 5 3 7" xfId="40187"/>
    <cellStyle name="Vírgula 5 2 7" xfId="40188"/>
    <cellStyle name="Vírgula 6 2 6" xfId="40189"/>
    <cellStyle name="Vírgula 8 2 2 7" xfId="40190"/>
    <cellStyle name="Vírgula 9 2 6" xfId="40191"/>
    <cellStyle name="Comma 4 3 6" xfId="40192"/>
    <cellStyle name="Comma 5 3 6" xfId="40193"/>
    <cellStyle name="Comma 6 6" xfId="40194"/>
    <cellStyle name="Comma 7 6" xfId="40195"/>
    <cellStyle name="Vírgula 10 9" xfId="40196"/>
    <cellStyle name="Comma 8 6" xfId="40197"/>
    <cellStyle name="Comma 9 6" xfId="40198"/>
    <cellStyle name="Comma 10 6" xfId="40199"/>
    <cellStyle name="Vírgula 10 2 7" xfId="40200"/>
    <cellStyle name="Separador de milhares 2 7 2 7" xfId="40201"/>
    <cellStyle name="Comma 11 6" xfId="40202"/>
    <cellStyle name="Vírgula 10 3 7" xfId="40203"/>
    <cellStyle name="Separador de milhares 2 7 3 7" xfId="40204"/>
    <cellStyle name="Porcentagem 12 7" xfId="40205"/>
    <cellStyle name="Normal 55 6" xfId="40206"/>
    <cellStyle name="Percent 14 6" xfId="40207"/>
    <cellStyle name="Normal 3 9 7" xfId="40208"/>
    <cellStyle name="Vírgula 11 6" xfId="40209"/>
    <cellStyle name="Normal 3 7 2 7" xfId="40210"/>
    <cellStyle name="20% - Ênfase1 5 6 7" xfId="40211"/>
    <cellStyle name="40% - Ênfase1 5 6 7" xfId="40212"/>
    <cellStyle name="20% - Ênfase2 5 6 7" xfId="40213"/>
    <cellStyle name="40% - Ênfase2 5 6 7" xfId="40214"/>
    <cellStyle name="20% - Ênfase3 5 6 7" xfId="40215"/>
    <cellStyle name="40% - Ênfase3 5 6 7" xfId="40216"/>
    <cellStyle name="20% - Ênfase4 5 6 7" xfId="40217"/>
    <cellStyle name="40% - Ênfase4 5 6 7" xfId="40218"/>
    <cellStyle name="20% - Ênfase5 5 6 7" xfId="40219"/>
    <cellStyle name="40% - Ênfase5 5 6 7" xfId="40220"/>
    <cellStyle name="20% - Ênfase6 5 6 7" xfId="40221"/>
    <cellStyle name="40% - Ênfase6 5 6 7" xfId="40222"/>
    <cellStyle name="Normal 4 2 6 7" xfId="40223"/>
    <cellStyle name="Nota 2 2 6 7" xfId="40224"/>
    <cellStyle name="Normal 5 2 7 7" xfId="40225"/>
    <cellStyle name="Nota 3 2 6 7" xfId="40226"/>
    <cellStyle name="20% - Ênfase1 2 2 6 7" xfId="40227"/>
    <cellStyle name="40% - Ênfase1 2 2 6 7" xfId="40228"/>
    <cellStyle name="20% - Ênfase2 2 2 6 7" xfId="40229"/>
    <cellStyle name="40% - Ênfase2 2 2 6 7" xfId="40230"/>
    <cellStyle name="20% - Ênfase3 2 2 6 7" xfId="40231"/>
    <cellStyle name="40% - Ênfase3 2 2 6 7" xfId="40232"/>
    <cellStyle name="20% - Ênfase4 2 2 6 7" xfId="40233"/>
    <cellStyle name="40% - Ênfase4 2 2 6 7" xfId="40234"/>
    <cellStyle name="20% - Ênfase5 2 2 6 7" xfId="40235"/>
    <cellStyle name="40% - Ênfase5 2 2 6 7" xfId="40236"/>
    <cellStyle name="20% - Ênfase6 2 2 6 7" xfId="40237"/>
    <cellStyle name="40% - Ênfase6 2 2 6 7" xfId="40238"/>
    <cellStyle name="Normal 7 2 7 7" xfId="40239"/>
    <cellStyle name="Nota 4 9 7" xfId="40240"/>
    <cellStyle name="20% - Ênfase1 3 8 7" xfId="40241"/>
    <cellStyle name="40% - Ênfase1 3 8 7" xfId="40242"/>
    <cellStyle name="20% - Ênfase2 3 8 7" xfId="40243"/>
    <cellStyle name="40% - Ênfase2 3 8 7" xfId="40244"/>
    <cellStyle name="20% - Ênfase3 3 8 7" xfId="40245"/>
    <cellStyle name="40% - Ênfase3 3 8 7" xfId="40246"/>
    <cellStyle name="20% - Ênfase4 3 8 7" xfId="40247"/>
    <cellStyle name="40% - Ênfase4 3 8 7" xfId="40248"/>
    <cellStyle name="20% - Ênfase5 3 8 7" xfId="40249"/>
    <cellStyle name="40% - Ênfase5 3 8 7" xfId="40250"/>
    <cellStyle name="20% - Ênfase6 3 8 7" xfId="40251"/>
    <cellStyle name="40% - Ênfase6 3 8 7" xfId="40252"/>
    <cellStyle name="Normal 8 12 6" xfId="40253"/>
    <cellStyle name="Nota 5 8 7" xfId="40254"/>
    <cellStyle name="20% - Ênfase1 4 8 7" xfId="40255"/>
    <cellStyle name="40% - Ênfase1 4 8 7" xfId="40256"/>
    <cellStyle name="20% - Ênfase2 4 8 7" xfId="40257"/>
    <cellStyle name="40% - Ênfase2 4 8 7" xfId="40258"/>
    <cellStyle name="20% - Ênfase3 4 8 7" xfId="40259"/>
    <cellStyle name="40% - Ênfase3 4 8 7" xfId="40260"/>
    <cellStyle name="20% - Ênfase4 4 8 7" xfId="40261"/>
    <cellStyle name="40% - Ênfase4 4 8 7" xfId="40262"/>
    <cellStyle name="20% - Ênfase5 4 8 7" xfId="40263"/>
    <cellStyle name="40% - Ênfase5 4 8 7" xfId="40264"/>
    <cellStyle name="20% - Ênfase6 4 8 7" xfId="40265"/>
    <cellStyle name="40% - Ênfase6 4 8 7" xfId="40266"/>
    <cellStyle name="20% - Ênfase1 6 5 7" xfId="40267"/>
    <cellStyle name="40% - Ênfase1 6 5 7" xfId="40268"/>
    <cellStyle name="20% - Ênfase2 6 5 7" xfId="40269"/>
    <cellStyle name="40% - Ênfase2 6 5 7" xfId="40270"/>
    <cellStyle name="20% - Ênfase3 6 5 7" xfId="40271"/>
    <cellStyle name="40% - Ênfase3 6 5 7" xfId="40272"/>
    <cellStyle name="20% - Ênfase4 6 5 7" xfId="40273"/>
    <cellStyle name="40% - Ênfase4 6 5 7" xfId="40274"/>
    <cellStyle name="20% - Ênfase5 6 5 7" xfId="40275"/>
    <cellStyle name="40% - Ênfase5 6 5 7" xfId="40276"/>
    <cellStyle name="20% - Ênfase6 6 5 7" xfId="40277"/>
    <cellStyle name="40% - Ênfase6 6 5 7" xfId="40278"/>
    <cellStyle name="Normal 4 3 5 7" xfId="40279"/>
    <cellStyle name="Nota 2 3 5 7" xfId="40280"/>
    <cellStyle name="Normal 5 3 5 7" xfId="40281"/>
    <cellStyle name="Nota 3 3 5 7" xfId="40282"/>
    <cellStyle name="20% - Ênfase1 2 3 5 7" xfId="40283"/>
    <cellStyle name="40% - Ênfase1 2 3 5 7" xfId="40284"/>
    <cellStyle name="20% - Ênfase2 2 3 5 7" xfId="40285"/>
    <cellStyle name="40% - Ênfase2 2 3 5 7" xfId="40286"/>
    <cellStyle name="20% - Ênfase3 2 3 5 7" xfId="40287"/>
    <cellStyle name="40% - Ênfase3 2 3 5 7" xfId="40288"/>
    <cellStyle name="20% - Ênfase4 2 3 5 7" xfId="40289"/>
    <cellStyle name="40% - Ênfase4 2 3 5 7" xfId="40290"/>
    <cellStyle name="20% - Ênfase5 2 3 5 7" xfId="40291"/>
    <cellStyle name="40% - Ênfase5 2 3 5 7" xfId="40292"/>
    <cellStyle name="20% - Ênfase6 2 3 5 7" xfId="40293"/>
    <cellStyle name="40% - Ênfase6 2 3 5 7" xfId="40294"/>
    <cellStyle name="Normal 7 3 6 7" xfId="40295"/>
    <cellStyle name="Nota 4 2 5 7" xfId="40296"/>
    <cellStyle name="20% - Ênfase1 3 2 5 7" xfId="40297"/>
    <cellStyle name="40% - Ênfase1 3 2 5 7" xfId="40298"/>
    <cellStyle name="20% - Ênfase2 3 2 5 7" xfId="40299"/>
    <cellStyle name="40% - Ênfase2 3 2 5 7" xfId="40300"/>
    <cellStyle name="20% - Ênfase3 3 2 5 7" xfId="40301"/>
    <cellStyle name="40% - Ênfase3 3 2 5 7" xfId="40302"/>
    <cellStyle name="20% - Ênfase4 3 2 5 7" xfId="40303"/>
    <cellStyle name="40% - Ênfase4 3 2 5 7" xfId="40304"/>
    <cellStyle name="20% - Ênfase5 3 2 5 7" xfId="40305"/>
    <cellStyle name="40% - Ênfase5 3 2 5 7" xfId="40306"/>
    <cellStyle name="20% - Ênfase6 3 2 5 7" xfId="40307"/>
    <cellStyle name="40% - Ênfase6 3 2 5 7" xfId="40308"/>
    <cellStyle name="Normal 8 2 6 7" xfId="40309"/>
    <cellStyle name="Nota 5 2 5 7" xfId="40310"/>
    <cellStyle name="20% - Ênfase1 4 2 5 7" xfId="40311"/>
    <cellStyle name="40% - Ênfase1 4 2 5 7" xfId="40312"/>
    <cellStyle name="20% - Ênfase2 4 2 5 7" xfId="40313"/>
    <cellStyle name="40% - Ênfase2 4 2 5 7" xfId="40314"/>
    <cellStyle name="20% - Ênfase3 4 2 5 7" xfId="40315"/>
    <cellStyle name="40% - Ênfase3 4 2 5 7" xfId="40316"/>
    <cellStyle name="20% - Ênfase4 4 2 5 7" xfId="40317"/>
    <cellStyle name="40% - Ênfase4 4 2 5 7" xfId="40318"/>
    <cellStyle name="20% - Ênfase5 4 2 5 7" xfId="40319"/>
    <cellStyle name="40% - Ênfase5 4 2 5 7" xfId="40320"/>
    <cellStyle name="20% - Ênfase6 4 2 5 7" xfId="40321"/>
    <cellStyle name="40% - Ênfase6 4 2 5 7" xfId="40322"/>
    <cellStyle name="20% - Ênfase1 8 4 7" xfId="40323"/>
    <cellStyle name="40% - Ênfase1 8 4 7" xfId="40324"/>
    <cellStyle name="20% - Ênfase2 8 4 7" xfId="40325"/>
    <cellStyle name="40% - Ênfase2 8 4 7" xfId="40326"/>
    <cellStyle name="20% - Ênfase3 8 4 7" xfId="40327"/>
    <cellStyle name="40% - Ênfase3 8 4 7" xfId="40328"/>
    <cellStyle name="20% - Ênfase4 8 4 7" xfId="40329"/>
    <cellStyle name="40% - Ênfase4 8 4 7" xfId="40330"/>
    <cellStyle name="20% - Ênfase5 8 4 7" xfId="40331"/>
    <cellStyle name="40% - Ênfase5 8 4 7" xfId="40332"/>
    <cellStyle name="20% - Ênfase6 8 4 7" xfId="40333"/>
    <cellStyle name="40% - Ênfase6 8 4 7" xfId="40334"/>
    <cellStyle name="Normal 4 5 4 7" xfId="40335"/>
    <cellStyle name="Nota 2 5 4 7" xfId="40336"/>
    <cellStyle name="Normal 5 5 4 7" xfId="40337"/>
    <cellStyle name="Nota 3 5 4 7" xfId="40338"/>
    <cellStyle name="20% - Ênfase1 2 5 4 7" xfId="40339"/>
    <cellStyle name="40% - Ênfase1 2 5 4 7" xfId="40340"/>
    <cellStyle name="20% - Ênfase2 2 5 4 7" xfId="40341"/>
    <cellStyle name="40% - Ênfase2 2 5 4 7" xfId="40342"/>
    <cellStyle name="20% - Ênfase3 2 5 4 7" xfId="40343"/>
    <cellStyle name="40% - Ênfase3 2 5 4 7" xfId="40344"/>
    <cellStyle name="20% - Ênfase4 2 5 4 7" xfId="40345"/>
    <cellStyle name="40% - Ênfase4 2 5 4 7" xfId="40346"/>
    <cellStyle name="20% - Ênfase5 2 5 4 7" xfId="40347"/>
    <cellStyle name="40% - Ênfase5 2 5 4 7" xfId="40348"/>
    <cellStyle name="20% - Ênfase6 2 5 4 7" xfId="40349"/>
    <cellStyle name="40% - Ênfase6 2 5 4 7" xfId="40350"/>
    <cellStyle name="Normal 7 5 4 7" xfId="40351"/>
    <cellStyle name="Nota 4 4 4 7" xfId="40352"/>
    <cellStyle name="20% - Ênfase1 3 4 4 7" xfId="40353"/>
    <cellStyle name="40% - Ênfase1 3 4 4 7" xfId="40354"/>
    <cellStyle name="20% - Ênfase2 3 4 4 7" xfId="40355"/>
    <cellStyle name="40% - Ênfase2 3 4 4 7" xfId="40356"/>
    <cellStyle name="20% - Ênfase3 3 4 4 7" xfId="40357"/>
    <cellStyle name="40% - Ênfase3 3 4 4 7" xfId="40358"/>
    <cellStyle name="20% - Ênfase4 3 4 4 7" xfId="40359"/>
    <cellStyle name="40% - Ênfase4 3 4 4 7" xfId="40360"/>
    <cellStyle name="20% - Ênfase5 3 4 4 7" xfId="40361"/>
    <cellStyle name="40% - Ênfase5 3 4 4 7" xfId="40362"/>
    <cellStyle name="20% - Ênfase6 3 4 4 7" xfId="40363"/>
    <cellStyle name="40% - Ênfase6 3 4 4 7" xfId="40364"/>
    <cellStyle name="Normal 8 4 5 7" xfId="40365"/>
    <cellStyle name="Nota 5 4 4 7" xfId="40366"/>
    <cellStyle name="20% - Ênfase1 4 4 4 7" xfId="40367"/>
    <cellStyle name="40% - Ênfase1 4 4 4 7" xfId="40368"/>
    <cellStyle name="20% - Ênfase2 4 4 4 7" xfId="40369"/>
    <cellStyle name="40% - Ênfase2 4 4 4 7" xfId="40370"/>
    <cellStyle name="20% - Ênfase3 4 4 4 7" xfId="40371"/>
    <cellStyle name="40% - Ênfase3 4 4 4 7" xfId="40372"/>
    <cellStyle name="20% - Ênfase4 4 4 4 7" xfId="40373"/>
    <cellStyle name="40% - Ênfase4 4 4 4 7" xfId="40374"/>
    <cellStyle name="20% - Ênfase5 4 4 4 7" xfId="40375"/>
    <cellStyle name="40% - Ênfase5 4 4 4 7" xfId="40376"/>
    <cellStyle name="20% - Ênfase6 4 4 4 7" xfId="40377"/>
    <cellStyle name="40% - Ênfase6 4 4 4 7" xfId="40378"/>
    <cellStyle name="Normal 3 3 4 7" xfId="40379"/>
    <cellStyle name="20% - Ênfase1 5 2 4 7" xfId="40380"/>
    <cellStyle name="40% - Ênfase1 5 2 4 7" xfId="40381"/>
    <cellStyle name="20% - Ênfase2 5 2 4 7" xfId="40382"/>
    <cellStyle name="40% - Ênfase2 5 2 4 7" xfId="40383"/>
    <cellStyle name="20% - Ênfase3 5 2 4 7" xfId="40384"/>
    <cellStyle name="40% - Ênfase3 5 2 4 7" xfId="40385"/>
    <cellStyle name="20% - Ênfase4 5 2 4 7" xfId="40386"/>
    <cellStyle name="40% - Ênfase4 5 2 4 7" xfId="40387"/>
    <cellStyle name="20% - Ênfase5 5 2 4 7" xfId="40388"/>
    <cellStyle name="40% - Ênfase5 5 2 4 7" xfId="40389"/>
    <cellStyle name="20% - Ênfase6 5 2 4 7" xfId="40390"/>
    <cellStyle name="40% - Ênfase6 5 2 4 7" xfId="40391"/>
    <cellStyle name="Normal 4 2 2 4 7" xfId="40392"/>
    <cellStyle name="Nota 2 2 2 4 7" xfId="40393"/>
    <cellStyle name="Normal 5 2 2 4 7" xfId="40394"/>
    <cellStyle name="Nota 3 2 2 4 7" xfId="40395"/>
    <cellStyle name="20% - Ênfase1 2 2 2 4 7" xfId="40396"/>
    <cellStyle name="40% - Ênfase1 2 2 2 4 7" xfId="40397"/>
    <cellStyle name="20% - Ênfase2 2 2 2 4 7" xfId="40398"/>
    <cellStyle name="40% - Ênfase2 2 2 2 4 7" xfId="40399"/>
    <cellStyle name="20% - Ênfase3 2 2 2 4 7" xfId="40400"/>
    <cellStyle name="40% - Ênfase3 2 2 2 4 7" xfId="40401"/>
    <cellStyle name="20% - Ênfase4 2 2 2 4 7" xfId="40402"/>
    <cellStyle name="40% - Ênfase4 2 2 2 4 7" xfId="40403"/>
    <cellStyle name="20% - Ênfase5 2 2 2 4 7" xfId="40404"/>
    <cellStyle name="40% - Ênfase5 2 2 2 4 7" xfId="40405"/>
    <cellStyle name="20% - Ênfase6 2 2 2 4 7" xfId="40406"/>
    <cellStyle name="40% - Ênfase6 2 2 2 4 7" xfId="40407"/>
    <cellStyle name="Normal 7 2 2 5 7" xfId="40408"/>
    <cellStyle name="Nota 4 3 4 7" xfId="40409"/>
    <cellStyle name="20% - Ênfase1 3 3 4 7" xfId="40410"/>
    <cellStyle name="40% - Ênfase1 3 3 4 7" xfId="40411"/>
    <cellStyle name="20% - Ênfase2 3 3 4 7" xfId="40412"/>
    <cellStyle name="40% - Ênfase2 3 3 4 7" xfId="40413"/>
    <cellStyle name="20% - Ênfase3 3 3 4 7" xfId="40414"/>
    <cellStyle name="40% - Ênfase3 3 3 4 7" xfId="40415"/>
    <cellStyle name="20% - Ênfase4 3 3 4 7" xfId="40416"/>
    <cellStyle name="40% - Ênfase4 3 3 4 7" xfId="40417"/>
    <cellStyle name="20% - Ênfase5 3 3 4 7" xfId="40418"/>
    <cellStyle name="40% - Ênfase5 3 3 4 7" xfId="40419"/>
    <cellStyle name="20% - Ênfase6 3 3 4 7" xfId="40420"/>
    <cellStyle name="40% - Ênfase6 3 3 4 7" xfId="40421"/>
    <cellStyle name="Normal 8 3 5 7" xfId="40422"/>
    <cellStyle name="Nota 5 3 4 7" xfId="40423"/>
    <cellStyle name="20% - Ênfase1 4 3 4 7" xfId="40424"/>
    <cellStyle name="40% - Ênfase1 4 3 4 7" xfId="40425"/>
    <cellStyle name="20% - Ênfase2 4 3 4 7" xfId="40426"/>
    <cellStyle name="40% - Ênfase2 4 3 4 7" xfId="40427"/>
    <cellStyle name="20% - Ênfase3 4 3 4 7" xfId="40428"/>
    <cellStyle name="40% - Ênfase3 4 3 4 7" xfId="40429"/>
    <cellStyle name="20% - Ênfase4 4 3 4 7" xfId="40430"/>
    <cellStyle name="40% - Ênfase4 4 3 4 7" xfId="40431"/>
    <cellStyle name="20% - Ênfase5 4 3 4 7" xfId="40432"/>
    <cellStyle name="40% - Ênfase5 4 3 4 7" xfId="40433"/>
    <cellStyle name="20% - Ênfase6 4 3 4 7" xfId="40434"/>
    <cellStyle name="40% - Ênfase6 4 3 4 7" xfId="40435"/>
    <cellStyle name="20% - Ênfase1 6 2 4 7" xfId="40436"/>
    <cellStyle name="40% - Ênfase1 6 2 4 7" xfId="40437"/>
    <cellStyle name="20% - Ênfase2 6 2 4 7" xfId="40438"/>
    <cellStyle name="40% - Ênfase2 6 2 4 7" xfId="40439"/>
    <cellStyle name="20% - Ênfase3 6 2 4 7" xfId="40440"/>
    <cellStyle name="40% - Ênfase3 6 2 4 7" xfId="40441"/>
    <cellStyle name="20% - Ênfase4 6 2 4 7" xfId="40442"/>
    <cellStyle name="40% - Ênfase4 6 2 4 7" xfId="40443"/>
    <cellStyle name="20% - Ênfase5 6 2 4 7" xfId="40444"/>
    <cellStyle name="40% - Ênfase5 6 2 4 7" xfId="40445"/>
    <cellStyle name="20% - Ênfase6 6 2 4 7" xfId="40446"/>
    <cellStyle name="40% - Ênfase6 6 2 4 7" xfId="40447"/>
    <cellStyle name="Normal 4 3 2 4 7" xfId="40448"/>
    <cellStyle name="Nota 2 3 2 4 7" xfId="40449"/>
    <cellStyle name="Normal 5 3 2 4 7" xfId="40450"/>
    <cellStyle name="Nota 3 3 2 4 7" xfId="40451"/>
    <cellStyle name="20% - Ênfase1 2 3 2 4 7" xfId="40452"/>
    <cellStyle name="40% - Ênfase1 2 3 2 4 7" xfId="40453"/>
    <cellStyle name="20% - Ênfase2 2 3 2 4 7" xfId="40454"/>
    <cellStyle name="40% - Ênfase2 2 3 2 4 7" xfId="40455"/>
    <cellStyle name="20% - Ênfase3 2 3 2 4 7" xfId="40456"/>
    <cellStyle name="40% - Ênfase3 2 3 2 4 7" xfId="40457"/>
    <cellStyle name="20% - Ênfase4 2 3 2 4 7" xfId="40458"/>
    <cellStyle name="40% - Ênfase4 2 3 2 4 7" xfId="40459"/>
    <cellStyle name="20% - Ênfase5 2 3 2 4 7" xfId="40460"/>
    <cellStyle name="40% - Ênfase5 2 3 2 4 7" xfId="40461"/>
    <cellStyle name="20% - Ênfase6 2 3 2 4 7" xfId="40462"/>
    <cellStyle name="40% - Ênfase6 2 3 2 4 7" xfId="40463"/>
    <cellStyle name="Normal 7 3 2 4 7" xfId="40464"/>
    <cellStyle name="Nota 4 2 2 4 7" xfId="40465"/>
    <cellStyle name="20% - Ênfase1 3 2 2 4 7" xfId="40466"/>
    <cellStyle name="40% - Ênfase1 3 2 2 4 7" xfId="40467"/>
    <cellStyle name="20% - Ênfase2 3 2 2 4 7" xfId="40468"/>
    <cellStyle name="40% - Ênfase2 3 2 2 4 7" xfId="40469"/>
    <cellStyle name="20% - Ênfase3 3 2 2 4 7" xfId="40470"/>
    <cellStyle name="40% - Ênfase3 3 2 2 4 7" xfId="40471"/>
    <cellStyle name="20% - Ênfase4 3 2 2 4 7" xfId="40472"/>
    <cellStyle name="40% - Ênfase4 3 2 2 4 7" xfId="40473"/>
    <cellStyle name="20% - Ênfase5 3 2 2 4 7" xfId="40474"/>
    <cellStyle name="40% - Ênfase5 3 2 2 4 7" xfId="40475"/>
    <cellStyle name="20% - Ênfase6 3 2 2 4 7" xfId="40476"/>
    <cellStyle name="40% - Ênfase6 3 2 2 4 7" xfId="40477"/>
    <cellStyle name="Normal 8 2 2 5 7" xfId="40478"/>
    <cellStyle name="Nota 5 2 2 4 7" xfId="40479"/>
    <cellStyle name="20% - Ênfase1 4 2 2 4 7" xfId="40480"/>
    <cellStyle name="40% - Ênfase1 4 2 2 4 7" xfId="40481"/>
    <cellStyle name="20% - Ênfase2 4 2 2 4 7" xfId="40482"/>
    <cellStyle name="40% - Ênfase2 4 2 2 4 7" xfId="40483"/>
    <cellStyle name="20% - Ênfase3 4 2 2 4 7" xfId="40484"/>
    <cellStyle name="40% - Ênfase3 4 2 2 4 7" xfId="40485"/>
    <cellStyle name="20% - Ênfase4 4 2 2 4 7" xfId="40486"/>
    <cellStyle name="40% - Ênfase4 4 2 2 4 7" xfId="40487"/>
    <cellStyle name="20% - Ênfase5 4 2 2 4 7" xfId="40488"/>
    <cellStyle name="40% - Ênfase5 4 2 2 4 7" xfId="40489"/>
    <cellStyle name="20% - Ênfase6 4 2 2 4 7" xfId="40490"/>
    <cellStyle name="40% - Ênfase6 4 2 2 4 7" xfId="40491"/>
    <cellStyle name="Normal 3 4 2 7" xfId="40492"/>
    <cellStyle name="20% - Ênfase1 5 3 2 7" xfId="40493"/>
    <cellStyle name="40% - Ênfase1 5 3 2 7" xfId="40494"/>
    <cellStyle name="20% - Ênfase2 5 3 2 7" xfId="40495"/>
    <cellStyle name="40% - Ênfase2 5 3 2 7" xfId="40496"/>
    <cellStyle name="20% - Ênfase3 5 3 2 7" xfId="40497"/>
    <cellStyle name="40% - Ênfase3 5 3 2 7" xfId="40498"/>
    <cellStyle name="20% - Ênfase4 5 3 2 7" xfId="40499"/>
    <cellStyle name="40% - Ênfase4 5 3 2 7" xfId="40500"/>
    <cellStyle name="20% - Ênfase5 5 3 2 7" xfId="40501"/>
    <cellStyle name="40% - Ênfase5 5 3 2 7" xfId="40502"/>
    <cellStyle name="20% - Ênfase6 5 3 2 7" xfId="40503"/>
    <cellStyle name="40% - Ênfase6 5 3 2 7" xfId="40504"/>
    <cellStyle name="Normal 4 2 3 2 7" xfId="40505"/>
    <cellStyle name="Nota 2 2 3 2 7" xfId="40506"/>
    <cellStyle name="Normal 5 2 3 2 7" xfId="40507"/>
    <cellStyle name="Nota 3 2 3 2 7" xfId="40508"/>
    <cellStyle name="20% - Ênfase1 2 2 3 2 7" xfId="40509"/>
    <cellStyle name="40% - Ênfase1 2 2 3 2 7" xfId="40510"/>
    <cellStyle name="20% - Ênfase2 2 2 3 2 7" xfId="40511"/>
    <cellStyle name="40% - Ênfase2 2 2 3 2 7" xfId="40512"/>
    <cellStyle name="20% - Ênfase3 2 2 3 2 7" xfId="40513"/>
    <cellStyle name="40% - Ênfase3 2 2 3 2 7" xfId="40514"/>
    <cellStyle name="20% - Ênfase4 2 2 3 2 7" xfId="40515"/>
    <cellStyle name="40% - Ênfase4 2 2 3 2 7" xfId="40516"/>
    <cellStyle name="20% - Ênfase5 2 2 3 2 7" xfId="40517"/>
    <cellStyle name="40% - Ênfase5 2 2 3 2 7" xfId="40518"/>
    <cellStyle name="20% - Ênfase6 2 2 3 2 7" xfId="40519"/>
    <cellStyle name="40% - Ênfase6 2 2 3 2 7" xfId="40520"/>
    <cellStyle name="Normal 7 2 3 2 7" xfId="40521"/>
    <cellStyle name="Nota 4 5 2 7" xfId="40522"/>
    <cellStyle name="20% - Ênfase1 3 5 2 7" xfId="40523"/>
    <cellStyle name="40% - Ênfase1 3 5 2 7" xfId="40524"/>
    <cellStyle name="20% - Ênfase2 3 5 2 7" xfId="40525"/>
    <cellStyle name="40% - Ênfase2 3 5 2 7" xfId="40526"/>
    <cellStyle name="20% - Ênfase3 3 5 2 7" xfId="40527"/>
    <cellStyle name="40% - Ênfase3 3 5 2 7" xfId="40528"/>
    <cellStyle name="20% - Ênfase4 3 5 2 7" xfId="40529"/>
    <cellStyle name="40% - Ênfase4 3 5 2 7" xfId="40530"/>
    <cellStyle name="20% - Ênfase5 3 5 2 7" xfId="40531"/>
    <cellStyle name="40% - Ênfase5 3 5 2 7" xfId="40532"/>
    <cellStyle name="20% - Ênfase6 3 5 2 7" xfId="40533"/>
    <cellStyle name="40% - Ênfase6 3 5 2 7" xfId="40534"/>
    <cellStyle name="Normal 8 5 5 6" xfId="40535"/>
    <cellStyle name="Nota 5 5 2 7" xfId="40536"/>
    <cellStyle name="20% - Ênfase1 4 5 2 7" xfId="40537"/>
    <cellStyle name="40% - Ênfase1 4 5 2 7" xfId="40538"/>
    <cellStyle name="20% - Ênfase2 4 5 2 7" xfId="40539"/>
    <cellStyle name="40% - Ênfase2 4 5 2 7" xfId="40540"/>
    <cellStyle name="20% - Ênfase3 4 5 2 7" xfId="40541"/>
    <cellStyle name="40% - Ênfase3 4 5 2 7" xfId="40542"/>
    <cellStyle name="20% - Ênfase4 4 5 2 7" xfId="40543"/>
    <cellStyle name="40% - Ênfase4 4 5 2 7" xfId="40544"/>
    <cellStyle name="20% - Ênfase5 4 5 2 7" xfId="40545"/>
    <cellStyle name="40% - Ênfase5 4 5 2 7" xfId="40546"/>
    <cellStyle name="20% - Ênfase6 4 5 2 7" xfId="40547"/>
    <cellStyle name="40% - Ênfase6 4 5 2 7" xfId="40548"/>
    <cellStyle name="20% - Ênfase1 6 3 2 7" xfId="40549"/>
    <cellStyle name="40% - Ênfase1 6 3 2 7" xfId="40550"/>
    <cellStyle name="20% - Ênfase2 6 3 2 7" xfId="40551"/>
    <cellStyle name="40% - Ênfase2 6 3 2 7" xfId="40552"/>
    <cellStyle name="20% - Ênfase3 6 3 2 7" xfId="40553"/>
    <cellStyle name="40% - Ênfase3 6 3 2 7" xfId="40554"/>
    <cellStyle name="20% - Ênfase4 6 3 2 7" xfId="40555"/>
    <cellStyle name="40% - Ênfase4 6 3 2 7" xfId="40556"/>
    <cellStyle name="20% - Ênfase5 6 3 2 7" xfId="40557"/>
    <cellStyle name="40% - Ênfase5 6 3 2 7" xfId="40558"/>
    <cellStyle name="20% - Ênfase6 6 3 2 7" xfId="40559"/>
    <cellStyle name="40% - Ênfase6 6 3 2 7" xfId="40560"/>
    <cellStyle name="Normal 4 3 3 2 7" xfId="40561"/>
    <cellStyle name="Nota 2 3 3 2 7" xfId="40562"/>
    <cellStyle name="Normal 5 3 3 2 7" xfId="40563"/>
    <cellStyle name="Nota 3 3 3 2 7" xfId="40564"/>
    <cellStyle name="20% - Ênfase1 2 3 3 2 7" xfId="40565"/>
    <cellStyle name="40% - Ênfase1 2 3 3 2 7" xfId="40566"/>
    <cellStyle name="20% - Ênfase2 2 3 3 2 7" xfId="40567"/>
    <cellStyle name="40% - Ênfase2 2 3 3 2 7" xfId="40568"/>
    <cellStyle name="20% - Ênfase3 2 3 3 2 7" xfId="40569"/>
    <cellStyle name="40% - Ênfase3 2 3 3 2 7" xfId="40570"/>
    <cellStyle name="20% - Ênfase4 2 3 3 2 7" xfId="40571"/>
    <cellStyle name="40% - Ênfase4 2 3 3 2 7" xfId="40572"/>
    <cellStyle name="20% - Ênfase5 2 3 3 2 7" xfId="40573"/>
    <cellStyle name="40% - Ênfase5 2 3 3 2 7" xfId="40574"/>
    <cellStyle name="20% - Ênfase6 2 3 3 2 7" xfId="40575"/>
    <cellStyle name="40% - Ênfase6 2 3 3 2 7" xfId="40576"/>
    <cellStyle name="Normal 7 3 3 2 7" xfId="40577"/>
    <cellStyle name="Nota 4 2 3 2 7" xfId="40578"/>
    <cellStyle name="20% - Ênfase1 3 2 3 2 7" xfId="40579"/>
    <cellStyle name="40% - Ênfase1 3 2 3 2 7" xfId="40580"/>
    <cellStyle name="20% - Ênfase2 3 2 3 2 7" xfId="40581"/>
    <cellStyle name="40% - Ênfase2 3 2 3 2 7" xfId="40582"/>
    <cellStyle name="20% - Ênfase3 3 2 3 2 7" xfId="40583"/>
    <cellStyle name="40% - Ênfase3 3 2 3 2 7" xfId="40584"/>
    <cellStyle name="20% - Ênfase4 3 2 3 2 7" xfId="40585"/>
    <cellStyle name="40% - Ênfase4 3 2 3 2 7" xfId="40586"/>
    <cellStyle name="20% - Ênfase5 3 2 3 2 7" xfId="40587"/>
    <cellStyle name="40% - Ênfase5 3 2 3 2 7" xfId="40588"/>
    <cellStyle name="20% - Ênfase6 3 2 3 2 7" xfId="40589"/>
    <cellStyle name="40% - Ênfase6 3 2 3 2 7" xfId="40590"/>
    <cellStyle name="Normal 8 2 3 2 7" xfId="40591"/>
    <cellStyle name="Nota 5 2 3 2 7" xfId="40592"/>
    <cellStyle name="20% - Ênfase1 4 2 3 2 7" xfId="40593"/>
    <cellStyle name="40% - Ênfase1 4 2 3 2 7" xfId="40594"/>
    <cellStyle name="20% - Ênfase2 4 2 3 2 7" xfId="40595"/>
    <cellStyle name="40% - Ênfase2 4 2 3 2 7" xfId="40596"/>
    <cellStyle name="20% - Ênfase3 4 2 3 2 7" xfId="40597"/>
    <cellStyle name="40% - Ênfase3 4 2 3 2 7" xfId="40598"/>
    <cellStyle name="20% - Ênfase4 4 2 3 2 7" xfId="40599"/>
    <cellStyle name="40% - Ênfase4 4 2 3 2 7" xfId="40600"/>
    <cellStyle name="20% - Ênfase5 4 2 3 2 7" xfId="40601"/>
    <cellStyle name="40% - Ênfase5 4 2 3 2 7" xfId="40602"/>
    <cellStyle name="20% - Ênfase6 4 2 3 2 7" xfId="40603"/>
    <cellStyle name="40% - Ênfase6 4 2 3 2 7" xfId="40604"/>
    <cellStyle name="20% - Ênfase1 8 2 2 7" xfId="40605"/>
    <cellStyle name="40% - Ênfase1 8 2 2 7" xfId="40606"/>
    <cellStyle name="20% - Ênfase2 8 2 2 7" xfId="40607"/>
    <cellStyle name="40% - Ênfase2 8 2 2 7" xfId="40608"/>
    <cellStyle name="20% - Ênfase3 8 2 2 7" xfId="40609"/>
    <cellStyle name="40% - Ênfase3 8 2 2 7" xfId="40610"/>
    <cellStyle name="20% - Ênfase4 8 2 2 7" xfId="40611"/>
    <cellStyle name="40% - Ênfase4 8 2 2 7" xfId="40612"/>
    <cellStyle name="20% - Ênfase5 8 2 2 7" xfId="40613"/>
    <cellStyle name="40% - Ênfase5 8 2 2 7" xfId="40614"/>
    <cellStyle name="20% - Ênfase6 8 2 2 7" xfId="40615"/>
    <cellStyle name="40% - Ênfase6 8 2 2 7" xfId="40616"/>
    <cellStyle name="Normal 4 5 2 2 7" xfId="40617"/>
    <cellStyle name="Nota 2 5 2 2 7" xfId="40618"/>
    <cellStyle name="Normal 5 5 2 2 7" xfId="40619"/>
    <cellStyle name="Nota 3 5 2 2 7" xfId="40620"/>
    <cellStyle name="20% - Ênfase1 2 5 2 2 7" xfId="40621"/>
    <cellStyle name="40% - Ênfase1 2 5 2 2 7" xfId="40622"/>
    <cellStyle name="20% - Ênfase2 2 5 2 2 7" xfId="40623"/>
    <cellStyle name="40% - Ênfase2 2 5 2 2 7" xfId="40624"/>
    <cellStyle name="20% - Ênfase3 2 5 2 2 7" xfId="40625"/>
    <cellStyle name="40% - Ênfase3 2 5 2 2 7" xfId="40626"/>
    <cellStyle name="20% - Ênfase4 2 5 2 2 7" xfId="40627"/>
    <cellStyle name="40% - Ênfase4 2 5 2 2 7" xfId="40628"/>
    <cellStyle name="20% - Ênfase5 2 5 2 2 7" xfId="40629"/>
    <cellStyle name="40% - Ênfase5 2 5 2 2 7" xfId="40630"/>
    <cellStyle name="20% - Ênfase6 2 5 2 2 7" xfId="40631"/>
    <cellStyle name="40% - Ênfase6 2 5 2 2 7" xfId="40632"/>
    <cellStyle name="Normal 7 5 2 2 7" xfId="40633"/>
    <cellStyle name="Nota 4 4 2 2 7" xfId="40634"/>
    <cellStyle name="20% - Ênfase1 3 4 2 2 7" xfId="40635"/>
    <cellStyle name="40% - Ênfase1 3 4 2 2 7" xfId="40636"/>
    <cellStyle name="20% - Ênfase2 3 4 2 2 7" xfId="40637"/>
    <cellStyle name="40% - Ênfase2 3 4 2 2 7" xfId="40638"/>
    <cellStyle name="20% - Ênfase3 3 4 2 2 7" xfId="40639"/>
    <cellStyle name="40% - Ênfase3 3 4 2 2 7" xfId="40640"/>
    <cellStyle name="20% - Ênfase4 3 4 2 2 7" xfId="40641"/>
    <cellStyle name="40% - Ênfase4 3 4 2 2 7" xfId="40642"/>
    <cellStyle name="20% - Ênfase5 3 4 2 2 7" xfId="40643"/>
    <cellStyle name="40% - Ênfase5 3 4 2 2 7" xfId="40644"/>
    <cellStyle name="20% - Ênfase6 3 4 2 2 7" xfId="40645"/>
    <cellStyle name="40% - Ênfase6 3 4 2 2 7" xfId="40646"/>
    <cellStyle name="Normal 8 4 2 3 7" xfId="40647"/>
    <cellStyle name="Nota 5 4 2 2 7" xfId="40648"/>
    <cellStyle name="20% - Ênfase1 4 4 2 2 7" xfId="40649"/>
    <cellStyle name="40% - Ênfase1 4 4 2 2 7" xfId="40650"/>
    <cellStyle name="20% - Ênfase2 4 4 2 2 7" xfId="40651"/>
    <cellStyle name="40% - Ênfase2 4 4 2 2 7" xfId="40652"/>
    <cellStyle name="20% - Ênfase3 4 4 2 2 7" xfId="40653"/>
    <cellStyle name="40% - Ênfase3 4 4 2 2 7" xfId="40654"/>
    <cellStyle name="20% - Ênfase4 4 4 2 2 7" xfId="40655"/>
    <cellStyle name="40% - Ênfase4 4 4 2 2 7" xfId="40656"/>
    <cellStyle name="20% - Ênfase5 4 4 2 2 7" xfId="40657"/>
    <cellStyle name="40% - Ênfase5 4 4 2 2 7" xfId="40658"/>
    <cellStyle name="20% - Ênfase6 4 4 2 2 7" xfId="40659"/>
    <cellStyle name="40% - Ênfase6 4 4 2 2 7" xfId="40660"/>
    <cellStyle name="Normal 3 3 2 2 7" xfId="40661"/>
    <cellStyle name="20% - Ênfase1 5 2 2 2 7" xfId="40662"/>
    <cellStyle name="40% - Ênfase1 5 2 2 2 7" xfId="40663"/>
    <cellStyle name="20% - Ênfase2 5 2 2 2 7" xfId="40664"/>
    <cellStyle name="40% - Ênfase2 5 2 2 2 7" xfId="40665"/>
    <cellStyle name="20% - Ênfase3 5 2 2 2 7" xfId="40666"/>
    <cellStyle name="40% - Ênfase3 5 2 2 2 7" xfId="40667"/>
    <cellStyle name="20% - Ênfase4 5 2 2 2 7" xfId="40668"/>
    <cellStyle name="40% - Ênfase4 5 2 2 2 7" xfId="40669"/>
    <cellStyle name="20% - Ênfase5 5 2 2 2 7" xfId="40670"/>
    <cellStyle name="40% - Ênfase5 5 2 2 2 7" xfId="40671"/>
    <cellStyle name="20% - Ênfase6 5 2 2 2 7" xfId="40672"/>
    <cellStyle name="40% - Ênfase6 5 2 2 2 7" xfId="40673"/>
    <cellStyle name="Normal 4 2 2 2 2 7" xfId="40674"/>
    <cellStyle name="Nota 2 2 2 2 2 7" xfId="40675"/>
    <cellStyle name="Normal 5 2 2 2 2 7" xfId="40676"/>
    <cellStyle name="Nota 3 2 2 2 2 7" xfId="40677"/>
    <cellStyle name="20% - Ênfase1 2 2 2 2 2 7" xfId="40678"/>
    <cellStyle name="40% - Ênfase1 2 2 2 2 2 7" xfId="40679"/>
    <cellStyle name="20% - Ênfase2 2 2 2 2 2 7" xfId="40680"/>
    <cellStyle name="40% - Ênfase2 2 2 2 2 2 7" xfId="40681"/>
    <cellStyle name="20% - Ênfase3 2 2 2 2 2 7" xfId="40682"/>
    <cellStyle name="40% - Ênfase3 2 2 2 2 2 7" xfId="40683"/>
    <cellStyle name="20% - Ênfase4 2 2 2 2 2 7" xfId="40684"/>
    <cellStyle name="40% - Ênfase4 2 2 2 2 2 7" xfId="40685"/>
    <cellStyle name="20% - Ênfase5 2 2 2 2 2 7" xfId="40686"/>
    <cellStyle name="40% - Ênfase5 2 2 2 2 2 7" xfId="40687"/>
    <cellStyle name="20% - Ênfase6 2 2 2 2 2 7" xfId="40688"/>
    <cellStyle name="40% - Ênfase6 2 2 2 2 2 7" xfId="40689"/>
    <cellStyle name="Normal 7 2 2 2 2 7" xfId="40690"/>
    <cellStyle name="Nota 4 3 2 2 7" xfId="40691"/>
    <cellStyle name="20% - Ênfase1 3 3 2 2 7" xfId="40692"/>
    <cellStyle name="40% - Ênfase1 3 3 2 2 7" xfId="40693"/>
    <cellStyle name="20% - Ênfase2 3 3 2 2 7" xfId="40694"/>
    <cellStyle name="40% - Ênfase2 3 3 2 2 7" xfId="40695"/>
    <cellStyle name="20% - Ênfase3 3 3 2 2 7" xfId="40696"/>
    <cellStyle name="40% - Ênfase3 3 3 2 2 7" xfId="40697"/>
    <cellStyle name="20% - Ênfase4 3 3 2 2 7" xfId="40698"/>
    <cellStyle name="40% - Ênfase4 3 3 2 2 7" xfId="40699"/>
    <cellStyle name="20% - Ênfase5 3 3 2 2 7" xfId="40700"/>
    <cellStyle name="40% - Ênfase5 3 3 2 2 7" xfId="40701"/>
    <cellStyle name="20% - Ênfase6 3 3 2 2 7" xfId="40702"/>
    <cellStyle name="40% - Ênfase6 3 3 2 2 7" xfId="40703"/>
    <cellStyle name="Normal 8 3 2 3 7" xfId="40704"/>
    <cellStyle name="Nota 5 3 2 2 7" xfId="40705"/>
    <cellStyle name="20% - Ênfase1 4 3 2 2 7" xfId="40706"/>
    <cellStyle name="40% - Ênfase1 4 3 2 2 7" xfId="40707"/>
    <cellStyle name="20% - Ênfase2 4 3 2 2 7" xfId="40708"/>
    <cellStyle name="40% - Ênfase2 4 3 2 2 7" xfId="40709"/>
    <cellStyle name="20% - Ênfase3 4 3 2 2 7" xfId="40710"/>
    <cellStyle name="40% - Ênfase3 4 3 2 2 7" xfId="40711"/>
    <cellStyle name="20% - Ênfase4 4 3 2 2 7" xfId="40712"/>
    <cellStyle name="40% - Ênfase4 4 3 2 2 7" xfId="40713"/>
    <cellStyle name="20% - Ênfase5 4 3 2 2 7" xfId="40714"/>
    <cellStyle name="40% - Ênfase5 4 3 2 2 7" xfId="40715"/>
    <cellStyle name="20% - Ênfase6 4 3 2 2 7" xfId="40716"/>
    <cellStyle name="40% - Ênfase6 4 3 2 2 7" xfId="40717"/>
    <cellStyle name="20% - Ênfase1 6 2 2 2 7" xfId="40718"/>
    <cellStyle name="40% - Ênfase1 6 2 2 2 7" xfId="40719"/>
    <cellStyle name="20% - Ênfase2 6 2 2 2 7" xfId="40720"/>
    <cellStyle name="40% - Ênfase2 6 2 2 2 7" xfId="40721"/>
    <cellStyle name="20% - Ênfase3 6 2 2 2 7" xfId="40722"/>
    <cellStyle name="40% - Ênfase3 6 2 2 2 7" xfId="40723"/>
    <cellStyle name="20% - Ênfase4 6 2 2 2 7" xfId="40724"/>
    <cellStyle name="40% - Ênfase4 6 2 2 2 7" xfId="40725"/>
    <cellStyle name="20% - Ênfase5 6 2 2 2 7" xfId="40726"/>
    <cellStyle name="40% - Ênfase5 6 2 2 2 7" xfId="40727"/>
    <cellStyle name="20% - Ênfase6 6 2 2 2 7" xfId="40728"/>
    <cellStyle name="40% - Ênfase6 6 2 2 2 7" xfId="40729"/>
    <cellStyle name="Normal 4 3 2 2 2 7" xfId="40730"/>
    <cellStyle name="Nota 2 3 2 2 2 7" xfId="40731"/>
    <cellStyle name="Normal 5 3 2 2 2 7" xfId="40732"/>
    <cellStyle name="Nota 3 3 2 2 2 7" xfId="40733"/>
    <cellStyle name="20% - Ênfase1 2 3 2 2 2 7" xfId="40734"/>
    <cellStyle name="40% - Ênfase1 2 3 2 2 2 7" xfId="40735"/>
    <cellStyle name="20% - Ênfase2 2 3 2 2 2 7" xfId="40736"/>
    <cellStyle name="40% - Ênfase2 2 3 2 2 2 7" xfId="40737"/>
    <cellStyle name="20% - Ênfase3 2 3 2 2 2 7" xfId="40738"/>
    <cellStyle name="40% - Ênfase3 2 3 2 2 2 7" xfId="40739"/>
    <cellStyle name="20% - Ênfase4 2 3 2 2 2 7" xfId="40740"/>
    <cellStyle name="40% - Ênfase4 2 3 2 2 2 7" xfId="40741"/>
    <cellStyle name="20% - Ênfase5 2 3 2 2 2 7" xfId="40742"/>
    <cellStyle name="40% - Ênfase5 2 3 2 2 2 7" xfId="40743"/>
    <cellStyle name="20% - Ênfase6 2 3 2 2 2 7" xfId="40744"/>
    <cellStyle name="40% - Ênfase6 2 3 2 2 2 7" xfId="40745"/>
    <cellStyle name="Normal 7 3 2 2 2 7" xfId="40746"/>
    <cellStyle name="Nota 4 2 2 2 2 7" xfId="40747"/>
    <cellStyle name="20% - Ênfase1 3 2 2 2 2 7" xfId="40748"/>
    <cellStyle name="40% - Ênfase1 3 2 2 2 2 7" xfId="40749"/>
    <cellStyle name="20% - Ênfase2 3 2 2 2 2 7" xfId="40750"/>
    <cellStyle name="40% - Ênfase2 3 2 2 2 2 7" xfId="40751"/>
    <cellStyle name="20% - Ênfase3 3 2 2 2 2 7" xfId="40752"/>
    <cellStyle name="40% - Ênfase3 3 2 2 2 2 7" xfId="40753"/>
    <cellStyle name="20% - Ênfase4 3 2 2 2 2 7" xfId="40754"/>
    <cellStyle name="40% - Ênfase4 3 2 2 2 2 7" xfId="40755"/>
    <cellStyle name="20% - Ênfase5 3 2 2 2 2 7" xfId="40756"/>
    <cellStyle name="40% - Ênfase5 3 2 2 2 2 7" xfId="40757"/>
    <cellStyle name="20% - Ênfase6 3 2 2 2 2 7" xfId="40758"/>
    <cellStyle name="40% - Ênfase6 3 2 2 2 2 7" xfId="40759"/>
    <cellStyle name="Normal 8 2 2 2 2 7" xfId="40760"/>
    <cellStyle name="Nota 5 2 2 2 2 7" xfId="40761"/>
    <cellStyle name="20% - Ênfase1 4 2 2 2 2 7" xfId="40762"/>
    <cellStyle name="40% - Ênfase1 4 2 2 2 2 7" xfId="40763"/>
    <cellStyle name="20% - Ênfase2 4 2 2 2 2 7" xfId="40764"/>
    <cellStyle name="40% - Ênfase2 4 2 2 2 2 7" xfId="40765"/>
    <cellStyle name="20% - Ênfase3 4 2 2 2 2 7" xfId="40766"/>
    <cellStyle name="40% - Ênfase3 4 2 2 2 2 7" xfId="40767"/>
    <cellStyle name="20% - Ênfase4 4 2 2 2 2 7" xfId="40768"/>
    <cellStyle name="40% - Ênfase4 4 2 2 2 2 7" xfId="40769"/>
    <cellStyle name="20% - Ênfase5 4 2 2 2 2 7" xfId="40770"/>
    <cellStyle name="40% - Ênfase5 4 2 2 2 2 7" xfId="40771"/>
    <cellStyle name="20% - Ênfase6 4 2 2 2 2 7" xfId="40772"/>
    <cellStyle name="40% - Ênfase6 4 2 2 2 2 7" xfId="40773"/>
    <cellStyle name="Normal 3 5 2 7" xfId="40774"/>
    <cellStyle name="20% - Ênfase1 5 4 2 7" xfId="40775"/>
    <cellStyle name="40% - Ênfase1 5 4 2 7" xfId="40776"/>
    <cellStyle name="20% - Ênfase2 5 4 2 7" xfId="40777"/>
    <cellStyle name="40% - Ênfase2 5 4 2 7" xfId="40778"/>
    <cellStyle name="20% - Ênfase3 5 4 2 7" xfId="40779"/>
    <cellStyle name="40% - Ênfase3 5 4 2 7" xfId="40780"/>
    <cellStyle name="20% - Ênfase4 5 4 2 7" xfId="40781"/>
    <cellStyle name="40% - Ênfase4 5 4 2 7" xfId="40782"/>
    <cellStyle name="20% - Ênfase5 5 4 2 7" xfId="40783"/>
    <cellStyle name="40% - Ênfase5 5 4 2 7" xfId="40784"/>
    <cellStyle name="20% - Ênfase6 5 4 2 7" xfId="40785"/>
    <cellStyle name="40% - Ênfase6 5 4 2 7" xfId="40786"/>
    <cellStyle name="Normal 4 2 4 2 7" xfId="40787"/>
    <cellStyle name="Nota 2 2 4 2 7" xfId="40788"/>
    <cellStyle name="Normal 5 2 4 2 7" xfId="40789"/>
    <cellStyle name="Nota 3 2 4 2 7" xfId="40790"/>
    <cellStyle name="20% - Ênfase1 2 2 4 2 7" xfId="40791"/>
    <cellStyle name="40% - Ênfase1 2 2 4 2 7" xfId="40792"/>
    <cellStyle name="20% - Ênfase2 2 2 4 2 7" xfId="40793"/>
    <cellStyle name="40% - Ênfase2 2 2 4 2 7" xfId="40794"/>
    <cellStyle name="20% - Ênfase3 2 2 4 2 7" xfId="40795"/>
    <cellStyle name="40% - Ênfase3 2 2 4 2 7" xfId="40796"/>
    <cellStyle name="20% - Ênfase4 2 2 4 2 7" xfId="40797"/>
    <cellStyle name="40% - Ênfase4 2 2 4 2 7" xfId="40798"/>
    <cellStyle name="20% - Ênfase5 2 2 4 2 7" xfId="40799"/>
    <cellStyle name="40% - Ênfase5 2 2 4 2 7" xfId="40800"/>
    <cellStyle name="20% - Ênfase6 2 2 4 2 7" xfId="40801"/>
    <cellStyle name="40% - Ênfase6 2 2 4 2 7" xfId="40802"/>
    <cellStyle name="Normal 7 2 4 2 7" xfId="40803"/>
    <cellStyle name="Nota 4 6 2 7" xfId="40804"/>
    <cellStyle name="20% - Ênfase1 3 6 2 7" xfId="40805"/>
    <cellStyle name="40% - Ênfase1 3 6 2 7" xfId="40806"/>
    <cellStyle name="20% - Ênfase2 3 6 2 7" xfId="40807"/>
    <cellStyle name="40% - Ênfase2 3 6 2 7" xfId="40808"/>
    <cellStyle name="20% - Ênfase3 3 6 2 7" xfId="40809"/>
    <cellStyle name="40% - Ênfase3 3 6 2 7" xfId="40810"/>
    <cellStyle name="20% - Ênfase4 3 6 2 7" xfId="40811"/>
    <cellStyle name="40% - Ênfase4 3 6 2 7" xfId="40812"/>
    <cellStyle name="20% - Ênfase5 3 6 2 7" xfId="40813"/>
    <cellStyle name="40% - Ênfase5 3 6 2 7" xfId="40814"/>
    <cellStyle name="20% - Ênfase6 3 6 2 7" xfId="40815"/>
    <cellStyle name="40% - Ênfase6 3 6 2 7" xfId="40816"/>
    <cellStyle name="Normal 8 6 3 7" xfId="40817"/>
    <cellStyle name="Nota 5 6 2 7" xfId="40818"/>
    <cellStyle name="20% - Ênfase1 4 6 2 7" xfId="40819"/>
    <cellStyle name="40% - Ênfase1 4 6 2 7" xfId="40820"/>
    <cellStyle name="20% - Ênfase2 4 6 2 7" xfId="40821"/>
    <cellStyle name="40% - Ênfase2 4 6 2 7" xfId="40822"/>
    <cellStyle name="20% - Ênfase3 4 6 2 7" xfId="40823"/>
    <cellStyle name="40% - Ênfase3 4 6 2 7" xfId="40824"/>
    <cellStyle name="20% - Ênfase4 4 6 2 7" xfId="40825"/>
    <cellStyle name="40% - Ênfase4 4 6 2 7" xfId="40826"/>
    <cellStyle name="20% - Ênfase5 4 6 2 7" xfId="40827"/>
    <cellStyle name="40% - Ênfase5 4 6 2 7" xfId="40828"/>
    <cellStyle name="20% - Ênfase6 4 6 2 7" xfId="40829"/>
    <cellStyle name="40% - Ênfase6 4 6 2 7" xfId="40830"/>
    <cellStyle name="20% - Ênfase1 6 4 2 7" xfId="40831"/>
    <cellStyle name="40% - Ênfase1 6 4 2 7" xfId="40832"/>
    <cellStyle name="20% - Ênfase2 6 4 2 7" xfId="40833"/>
    <cellStyle name="40% - Ênfase2 6 4 2 7" xfId="40834"/>
    <cellStyle name="20% - Ênfase3 6 4 2 7" xfId="40835"/>
    <cellStyle name="40% - Ênfase3 6 4 2 7" xfId="40836"/>
    <cellStyle name="20% - Ênfase4 6 4 2 7" xfId="40837"/>
    <cellStyle name="40% - Ênfase4 6 4 2 7" xfId="40838"/>
    <cellStyle name="20% - Ênfase5 6 4 2 7" xfId="40839"/>
    <cellStyle name="40% - Ênfase5 6 4 2 7" xfId="40840"/>
    <cellStyle name="20% - Ênfase6 6 4 2 7" xfId="40841"/>
    <cellStyle name="40% - Ênfase6 6 4 2 7" xfId="40842"/>
    <cellStyle name="Normal 4 3 4 2 7" xfId="40843"/>
    <cellStyle name="Nota 2 3 4 2 7" xfId="40844"/>
    <cellStyle name="Normal 5 3 4 2 7" xfId="40845"/>
    <cellStyle name="Nota 3 3 4 2 7" xfId="40846"/>
    <cellStyle name="20% - Ênfase1 2 3 4 2 7" xfId="40847"/>
    <cellStyle name="40% - Ênfase1 2 3 4 2 7" xfId="40848"/>
    <cellStyle name="20% - Ênfase2 2 3 4 2 7" xfId="40849"/>
    <cellStyle name="40% - Ênfase2 2 3 4 2 7" xfId="40850"/>
    <cellStyle name="20% - Ênfase3 2 3 4 2 7" xfId="40851"/>
    <cellStyle name="40% - Ênfase3 2 3 4 2 7" xfId="40852"/>
    <cellStyle name="20% - Ênfase4 2 3 4 2 7" xfId="40853"/>
    <cellStyle name="40% - Ênfase4 2 3 4 2 7" xfId="40854"/>
    <cellStyle name="20% - Ênfase5 2 3 4 2 7" xfId="40855"/>
    <cellStyle name="40% - Ênfase5 2 3 4 2 7" xfId="40856"/>
    <cellStyle name="20% - Ênfase6 2 3 4 2 7" xfId="40857"/>
    <cellStyle name="40% - Ênfase6 2 3 4 2 7" xfId="40858"/>
    <cellStyle name="Normal 7 3 4 2 7" xfId="40859"/>
    <cellStyle name="Nota 4 2 4 2 7" xfId="40860"/>
    <cellStyle name="20% - Ênfase1 3 2 4 2 7" xfId="40861"/>
    <cellStyle name="40% - Ênfase1 3 2 4 2 7" xfId="40862"/>
    <cellStyle name="20% - Ênfase2 3 2 4 2 7" xfId="40863"/>
    <cellStyle name="40% - Ênfase2 3 2 4 2 7" xfId="40864"/>
    <cellStyle name="20% - Ênfase3 3 2 4 2 7" xfId="40865"/>
    <cellStyle name="40% - Ênfase3 3 2 4 2 7" xfId="40866"/>
    <cellStyle name="20% - Ênfase4 3 2 4 2 7" xfId="40867"/>
    <cellStyle name="40% - Ênfase4 3 2 4 2 7" xfId="40868"/>
    <cellStyle name="20% - Ênfase5 3 2 4 2 7" xfId="40869"/>
    <cellStyle name="40% - Ênfase5 3 2 4 2 7" xfId="40870"/>
    <cellStyle name="20% - Ênfase6 3 2 4 2 7" xfId="40871"/>
    <cellStyle name="40% - Ênfase6 3 2 4 2 7" xfId="40872"/>
    <cellStyle name="Normal 8 2 4 2 7" xfId="40873"/>
    <cellStyle name="Nota 5 2 4 2 7" xfId="40874"/>
    <cellStyle name="20% - Ênfase1 4 2 4 2 7" xfId="40875"/>
    <cellStyle name="40% - Ênfase1 4 2 4 2 7" xfId="40876"/>
    <cellStyle name="20% - Ênfase2 4 2 4 2 7" xfId="40877"/>
    <cellStyle name="40% - Ênfase2 4 2 4 2 7" xfId="40878"/>
    <cellStyle name="20% - Ênfase3 4 2 4 2 7" xfId="40879"/>
    <cellStyle name="40% - Ênfase3 4 2 4 2 7" xfId="40880"/>
    <cellStyle name="20% - Ênfase4 4 2 4 2 7" xfId="40881"/>
    <cellStyle name="40% - Ênfase4 4 2 4 2 7" xfId="40882"/>
    <cellStyle name="20% - Ênfase5 4 2 4 2 7" xfId="40883"/>
    <cellStyle name="40% - Ênfase5 4 2 4 2 7" xfId="40884"/>
    <cellStyle name="20% - Ênfase6 4 2 4 2 7" xfId="40885"/>
    <cellStyle name="40% - Ênfase6 4 2 4 2 7" xfId="40886"/>
    <cellStyle name="20% - Ênfase1 8 3 2 7" xfId="40887"/>
    <cellStyle name="40% - Ênfase1 8 3 2 7" xfId="40888"/>
    <cellStyle name="20% - Ênfase2 8 3 2 7" xfId="40889"/>
    <cellStyle name="40% - Ênfase2 8 3 2 7" xfId="40890"/>
    <cellStyle name="20% - Ênfase3 8 3 2 7" xfId="40891"/>
    <cellStyle name="40% - Ênfase3 8 3 2 7" xfId="40892"/>
    <cellStyle name="20% - Ênfase4 8 3 2 7" xfId="40893"/>
    <cellStyle name="40% - Ênfase4 8 3 2 7" xfId="40894"/>
    <cellStyle name="20% - Ênfase5 8 3 2 7" xfId="40895"/>
    <cellStyle name="40% - Ênfase5 8 3 2 7" xfId="40896"/>
    <cellStyle name="20% - Ênfase6 8 3 2 7" xfId="40897"/>
    <cellStyle name="40% - Ênfase6 8 3 2 7" xfId="40898"/>
    <cellStyle name="Normal 4 5 3 2 7" xfId="40899"/>
    <cellStyle name="Nota 2 5 3 2 7" xfId="40900"/>
    <cellStyle name="Normal 5 5 3 2 7" xfId="40901"/>
    <cellStyle name="Nota 3 5 3 2 7" xfId="40902"/>
    <cellStyle name="20% - Ênfase1 2 5 3 2 7" xfId="40903"/>
    <cellStyle name="40% - Ênfase1 2 5 3 2 7" xfId="40904"/>
    <cellStyle name="20% - Ênfase2 2 5 3 2 7" xfId="40905"/>
    <cellStyle name="40% - Ênfase2 2 5 3 2 7" xfId="40906"/>
    <cellStyle name="20% - Ênfase3 2 5 3 2 7" xfId="40907"/>
    <cellStyle name="40% - Ênfase3 2 5 3 2 7" xfId="40908"/>
    <cellStyle name="20% - Ênfase4 2 5 3 2 7" xfId="40909"/>
    <cellStyle name="40% - Ênfase4 2 5 3 2 7" xfId="40910"/>
    <cellStyle name="20% - Ênfase5 2 5 3 2 7" xfId="40911"/>
    <cellStyle name="40% - Ênfase5 2 5 3 2 7" xfId="40912"/>
    <cellStyle name="20% - Ênfase6 2 5 3 2 7" xfId="40913"/>
    <cellStyle name="40% - Ênfase6 2 5 3 2 7" xfId="40914"/>
    <cellStyle name="Normal 7 5 3 2 7" xfId="40915"/>
    <cellStyle name="Nota 4 4 3 2 7" xfId="40916"/>
    <cellStyle name="20% - Ênfase1 3 4 3 2 7" xfId="40917"/>
    <cellStyle name="40% - Ênfase1 3 4 3 2 7" xfId="40918"/>
    <cellStyle name="20% - Ênfase2 3 4 3 2 7" xfId="40919"/>
    <cellStyle name="40% - Ênfase2 3 4 3 2 7" xfId="40920"/>
    <cellStyle name="20% - Ênfase3 3 4 3 2 7" xfId="40921"/>
    <cellStyle name="40% - Ênfase3 3 4 3 2 7" xfId="40922"/>
    <cellStyle name="20% - Ênfase4 3 4 3 2 7" xfId="40923"/>
    <cellStyle name="40% - Ênfase4 3 4 3 2 7" xfId="40924"/>
    <cellStyle name="20% - Ênfase5 3 4 3 2 7" xfId="40925"/>
    <cellStyle name="40% - Ênfase5 3 4 3 2 7" xfId="40926"/>
    <cellStyle name="20% - Ênfase6 3 4 3 2 7" xfId="40927"/>
    <cellStyle name="40% - Ênfase6 3 4 3 2 7" xfId="40928"/>
    <cellStyle name="Normal 8 4 3 2 7" xfId="40929"/>
    <cellStyle name="Nota 5 4 3 2 7" xfId="40930"/>
    <cellStyle name="20% - Ênfase1 4 4 3 2 7" xfId="40931"/>
    <cellStyle name="40% - Ênfase1 4 4 3 2 7" xfId="40932"/>
    <cellStyle name="20% - Ênfase2 4 4 3 2 7" xfId="40933"/>
    <cellStyle name="40% - Ênfase2 4 4 3 2 7" xfId="40934"/>
    <cellStyle name="20% - Ênfase3 4 4 3 2 7" xfId="40935"/>
    <cellStyle name="40% - Ênfase3 4 4 3 2 7" xfId="40936"/>
    <cellStyle name="20% - Ênfase4 4 4 3 2 7" xfId="40937"/>
    <cellStyle name="40% - Ênfase4 4 4 3 2 7" xfId="40938"/>
    <cellStyle name="20% - Ênfase5 4 4 3 2 7" xfId="40939"/>
    <cellStyle name="40% - Ênfase5 4 4 3 2 7" xfId="40940"/>
    <cellStyle name="20% - Ênfase6 4 4 3 2 7" xfId="40941"/>
    <cellStyle name="40% - Ênfase6 4 4 3 2 7" xfId="40942"/>
    <cellStyle name="Normal 3 3 3 2 7" xfId="40943"/>
    <cellStyle name="20% - Ênfase1 5 2 3 2 7" xfId="40944"/>
    <cellStyle name="40% - Ênfase1 5 2 3 2 7" xfId="40945"/>
    <cellStyle name="20% - Ênfase2 5 2 3 2 7" xfId="40946"/>
    <cellStyle name="40% - Ênfase2 5 2 3 2 7" xfId="40947"/>
    <cellStyle name="20% - Ênfase3 5 2 3 2 7" xfId="40948"/>
    <cellStyle name="40% - Ênfase3 5 2 3 2 7" xfId="40949"/>
    <cellStyle name="20% - Ênfase4 5 2 3 2 7" xfId="40950"/>
    <cellStyle name="40% - Ênfase4 5 2 3 2 7" xfId="40951"/>
    <cellStyle name="20% - Ênfase5 5 2 3 2 7" xfId="40952"/>
    <cellStyle name="40% - Ênfase5 5 2 3 2 7" xfId="40953"/>
    <cellStyle name="20% - Ênfase6 5 2 3 2 7" xfId="40954"/>
    <cellStyle name="40% - Ênfase6 5 2 3 2 7" xfId="40955"/>
    <cellStyle name="Normal 4 2 2 3 2 7" xfId="40956"/>
    <cellStyle name="Nota 2 2 2 3 2 7" xfId="40957"/>
    <cellStyle name="Normal 5 2 2 3 2 7" xfId="40958"/>
    <cellStyle name="Nota 3 2 2 3 2 7" xfId="40959"/>
    <cellStyle name="20% - Ênfase1 2 2 2 3 2 7" xfId="40960"/>
    <cellStyle name="40% - Ênfase1 2 2 2 3 2 7" xfId="40961"/>
    <cellStyle name="20% - Ênfase2 2 2 2 3 2 7" xfId="40962"/>
    <cellStyle name="40% - Ênfase2 2 2 2 3 2 7" xfId="40963"/>
    <cellStyle name="20% - Ênfase3 2 2 2 3 2 7" xfId="40964"/>
    <cellStyle name="40% - Ênfase3 2 2 2 3 2 7" xfId="40965"/>
    <cellStyle name="20% - Ênfase4 2 2 2 3 2 7" xfId="40966"/>
    <cellStyle name="40% - Ênfase4 2 2 2 3 2 7" xfId="40967"/>
    <cellStyle name="20% - Ênfase5 2 2 2 3 2 7" xfId="40968"/>
    <cellStyle name="40% - Ênfase5 2 2 2 3 2 7" xfId="40969"/>
    <cellStyle name="20% - Ênfase6 2 2 2 3 2 7" xfId="40970"/>
    <cellStyle name="40% - Ênfase6 2 2 2 3 2 7" xfId="40971"/>
    <cellStyle name="Normal 7 2 2 3 2 7" xfId="40972"/>
    <cellStyle name="Nota 4 3 3 2 7" xfId="40973"/>
    <cellStyle name="20% - Ênfase1 3 3 3 2 7" xfId="40974"/>
    <cellStyle name="40% - Ênfase1 3 3 3 2 7" xfId="40975"/>
    <cellStyle name="20% - Ênfase2 3 3 3 2 7" xfId="40976"/>
    <cellStyle name="40% - Ênfase2 3 3 3 2 7" xfId="40977"/>
    <cellStyle name="20% - Ênfase3 3 3 3 2 7" xfId="40978"/>
    <cellStyle name="40% - Ênfase3 3 3 3 2 7" xfId="40979"/>
    <cellStyle name="20% - Ênfase4 3 3 3 2 7" xfId="40980"/>
    <cellStyle name="40% - Ênfase4 3 3 3 2 7" xfId="40981"/>
    <cellStyle name="20% - Ênfase5 3 3 3 2 7" xfId="40982"/>
    <cellStyle name="40% - Ênfase5 3 3 3 2 7" xfId="40983"/>
    <cellStyle name="20% - Ênfase6 3 3 3 2 7" xfId="40984"/>
    <cellStyle name="40% - Ênfase6 3 3 3 2 7" xfId="40985"/>
    <cellStyle name="Normal 8 3 3 2 7" xfId="40986"/>
    <cellStyle name="Nota 5 3 3 2 7" xfId="40987"/>
    <cellStyle name="20% - Ênfase1 4 3 3 2 7" xfId="40988"/>
    <cellStyle name="40% - Ênfase1 4 3 3 2 7" xfId="40989"/>
    <cellStyle name="20% - Ênfase2 4 3 3 2 7" xfId="40990"/>
    <cellStyle name="40% - Ênfase2 4 3 3 2 7" xfId="40991"/>
    <cellStyle name="20% - Ênfase3 4 3 3 2 7" xfId="40992"/>
    <cellStyle name="40% - Ênfase3 4 3 3 2 7" xfId="40993"/>
    <cellStyle name="20% - Ênfase4 4 3 3 2 7" xfId="40994"/>
    <cellStyle name="40% - Ênfase4 4 3 3 2 7" xfId="40995"/>
    <cellStyle name="20% - Ênfase5 4 3 3 2 7" xfId="40996"/>
    <cellStyle name="40% - Ênfase5 4 3 3 2 7" xfId="40997"/>
    <cellStyle name="20% - Ênfase6 4 3 3 2 7" xfId="40998"/>
    <cellStyle name="40% - Ênfase6 4 3 3 2 7" xfId="40999"/>
    <cellStyle name="20% - Ênfase1 6 2 3 2 7" xfId="41000"/>
    <cellStyle name="40% - Ênfase1 6 2 3 2 7" xfId="41001"/>
    <cellStyle name="20% - Ênfase2 6 2 3 2 7" xfId="41002"/>
    <cellStyle name="40% - Ênfase2 6 2 3 2 7" xfId="41003"/>
    <cellStyle name="20% - Ênfase3 6 2 3 2 7" xfId="41004"/>
    <cellStyle name="40% - Ênfase3 6 2 3 2 7" xfId="41005"/>
    <cellStyle name="20% - Ênfase4 6 2 3 2 7" xfId="41006"/>
    <cellStyle name="40% - Ênfase4 6 2 3 2 7" xfId="41007"/>
    <cellStyle name="20% - Ênfase5 6 2 3 2 7" xfId="41008"/>
    <cellStyle name="40% - Ênfase5 6 2 3 2 7" xfId="41009"/>
    <cellStyle name="20% - Ênfase6 6 2 3 2 7" xfId="41010"/>
    <cellStyle name="40% - Ênfase6 6 2 3 2 7" xfId="41011"/>
    <cellStyle name="Normal 4 3 2 3 2 7" xfId="41012"/>
    <cellStyle name="Nota 2 3 2 3 2 7" xfId="41013"/>
    <cellStyle name="Normal 5 3 2 3 2 7" xfId="41014"/>
    <cellStyle name="Nota 3 3 2 3 2 7" xfId="41015"/>
    <cellStyle name="20% - Ênfase1 2 3 2 3 2 7" xfId="41016"/>
    <cellStyle name="40% - Ênfase1 2 3 2 3 2 7" xfId="41017"/>
    <cellStyle name="20% - Ênfase2 2 3 2 3 2 7" xfId="41018"/>
    <cellStyle name="40% - Ênfase2 2 3 2 3 2 7" xfId="41019"/>
    <cellStyle name="20% - Ênfase3 2 3 2 3 2 7" xfId="41020"/>
    <cellStyle name="40% - Ênfase3 2 3 2 3 2 7" xfId="41021"/>
    <cellStyle name="20% - Ênfase4 2 3 2 3 2 7" xfId="41022"/>
    <cellStyle name="40% - Ênfase4 2 3 2 3 2 7" xfId="41023"/>
    <cellStyle name="20% - Ênfase5 2 3 2 3 2 7" xfId="41024"/>
    <cellStyle name="40% - Ênfase5 2 3 2 3 2 7" xfId="41025"/>
    <cellStyle name="20% - Ênfase6 2 3 2 3 2 7" xfId="41026"/>
    <cellStyle name="40% - Ênfase6 2 3 2 3 2 7" xfId="41027"/>
    <cellStyle name="Normal 7 3 2 3 2 7" xfId="41028"/>
    <cellStyle name="Nota 4 2 2 3 2 7" xfId="41029"/>
    <cellStyle name="20% - Ênfase1 3 2 2 3 2 7" xfId="41030"/>
    <cellStyle name="40% - Ênfase1 3 2 2 3 2 7" xfId="41031"/>
    <cellStyle name="20% - Ênfase2 3 2 2 3 2 7" xfId="41032"/>
    <cellStyle name="40% - Ênfase2 3 2 2 3 2 7" xfId="41033"/>
    <cellStyle name="20% - Ênfase3 3 2 2 3 2 7" xfId="41034"/>
    <cellStyle name="40% - Ênfase3 3 2 2 3 2 7" xfId="41035"/>
    <cellStyle name="20% - Ênfase4 3 2 2 3 2 7" xfId="41036"/>
    <cellStyle name="40% - Ênfase4 3 2 2 3 2 7" xfId="41037"/>
    <cellStyle name="20% - Ênfase5 3 2 2 3 2 7" xfId="41038"/>
    <cellStyle name="40% - Ênfase5 3 2 2 3 2 7" xfId="41039"/>
    <cellStyle name="20% - Ênfase6 3 2 2 3 2 7" xfId="41040"/>
    <cellStyle name="40% - Ênfase6 3 2 2 3 2 7" xfId="41041"/>
    <cellStyle name="Normal 8 2 2 3 2 7" xfId="41042"/>
    <cellStyle name="Nota 5 2 2 3 2 7" xfId="41043"/>
    <cellStyle name="20% - Ênfase1 4 2 2 3 2 7" xfId="41044"/>
    <cellStyle name="40% - Ênfase1 4 2 2 3 2 7" xfId="41045"/>
    <cellStyle name="20% - Ênfase2 4 2 2 3 2 7" xfId="41046"/>
    <cellStyle name="40% - Ênfase2 4 2 2 3 2 7" xfId="41047"/>
    <cellStyle name="20% - Ênfase3 4 2 2 3 2 7" xfId="41048"/>
    <cellStyle name="40% - Ênfase3 4 2 2 3 2 7" xfId="41049"/>
    <cellStyle name="20% - Ênfase4 4 2 2 3 2 7" xfId="41050"/>
    <cellStyle name="40% - Ênfase4 4 2 2 3 2 7" xfId="41051"/>
    <cellStyle name="20% - Ênfase5 4 2 2 3 2 7" xfId="41052"/>
    <cellStyle name="40% - Ênfase5 4 2 2 3 2 7" xfId="41053"/>
    <cellStyle name="20% - Ênfase6 4 2 2 3 2 7" xfId="41054"/>
    <cellStyle name="40% - Ênfase6 4 2 2 3 2 7" xfId="41055"/>
    <cellStyle name="Normal 3 6 2 7" xfId="41056"/>
    <cellStyle name="20% - Ênfase1 5 5 2 7" xfId="41057"/>
    <cellStyle name="40% - Ênfase1 5 5 2 7" xfId="41058"/>
    <cellStyle name="20% - Ênfase2 5 5 2 7" xfId="41059"/>
    <cellStyle name="40% - Ênfase2 5 5 2 7" xfId="41060"/>
    <cellStyle name="20% - Ênfase3 5 5 2 7" xfId="41061"/>
    <cellStyle name="40% - Ênfase3 5 5 2 7" xfId="41062"/>
    <cellStyle name="20% - Ênfase4 5 5 2 7" xfId="41063"/>
    <cellStyle name="40% - Ênfase4 5 5 2 7" xfId="41064"/>
    <cellStyle name="20% - Ênfase5 5 5 2 7" xfId="41065"/>
    <cellStyle name="40% - Ênfase5 5 5 2 7" xfId="41066"/>
    <cellStyle name="20% - Ênfase6 5 5 2 7" xfId="41067"/>
    <cellStyle name="40% - Ênfase6 5 5 2 7" xfId="41068"/>
    <cellStyle name="Normal 4 2 5 2 7" xfId="41069"/>
    <cellStyle name="Nota 2 2 5 2 7" xfId="41070"/>
    <cellStyle name="Normal 5 2 5 2 7" xfId="41071"/>
    <cellStyle name="Nota 3 2 5 2 7" xfId="41072"/>
    <cellStyle name="20% - Ênfase1 2 2 5 2 7" xfId="41073"/>
    <cellStyle name="40% - Ênfase1 2 2 5 2 7" xfId="41074"/>
    <cellStyle name="20% - Ênfase2 2 2 5 2 7" xfId="41075"/>
    <cellStyle name="40% - Ênfase2 2 2 5 2 7" xfId="41076"/>
    <cellStyle name="20% - Ênfase3 2 2 5 2 7" xfId="41077"/>
    <cellStyle name="40% - Ênfase3 2 2 5 2 7" xfId="41078"/>
    <cellStyle name="20% - Ênfase4 2 2 5 2 7" xfId="41079"/>
    <cellStyle name="40% - Ênfase4 2 2 5 2 7" xfId="41080"/>
    <cellStyle name="20% - Ênfase5 2 2 5 2 7" xfId="41081"/>
    <cellStyle name="40% - Ênfase5 2 2 5 2 7" xfId="41082"/>
    <cellStyle name="20% - Ênfase6 2 2 5 2 7" xfId="41083"/>
    <cellStyle name="40% - Ênfase6 2 2 5 2 7" xfId="41084"/>
    <cellStyle name="Normal 7 2 5 2 7" xfId="41085"/>
    <cellStyle name="Nota 4 7 2 7" xfId="41086"/>
    <cellStyle name="20% - Ênfase1 3 7 2 7" xfId="41087"/>
    <cellStyle name="40% - Ênfase1 3 7 2 7" xfId="41088"/>
    <cellStyle name="20% - Ênfase2 3 7 2 7" xfId="41089"/>
    <cellStyle name="40% - Ênfase2 3 7 2 7" xfId="41090"/>
    <cellStyle name="20% - Ênfase3 3 7 2 7" xfId="41091"/>
    <cellStyle name="40% - Ênfase3 3 7 2 7" xfId="41092"/>
    <cellStyle name="20% - Ênfase4 3 7 2 7" xfId="41093"/>
    <cellStyle name="40% - Ênfase4 3 7 2 7" xfId="41094"/>
    <cellStyle name="20% - Ênfase5 3 7 2 7" xfId="41095"/>
    <cellStyle name="40% - Ênfase5 3 7 2 7" xfId="41096"/>
    <cellStyle name="20% - Ênfase6 3 7 2 7" xfId="41097"/>
    <cellStyle name="40% - Ênfase6 3 7 2 7" xfId="41098"/>
    <cellStyle name="Normal 8 7 2 7" xfId="41099"/>
    <cellStyle name="Nota 5 7 2 7" xfId="41100"/>
    <cellStyle name="20% - Ênfase1 4 7 2 7" xfId="41101"/>
    <cellStyle name="40% - Ênfase1 4 7 2 7" xfId="41102"/>
    <cellStyle name="20% - Ênfase2 4 7 2 7" xfId="41103"/>
    <cellStyle name="40% - Ênfase2 4 7 2 7" xfId="41104"/>
    <cellStyle name="20% - Ênfase3 4 7 2 7" xfId="41105"/>
    <cellStyle name="40% - Ênfase3 4 7 2 7" xfId="41106"/>
    <cellStyle name="20% - Ênfase4 4 7 2 7" xfId="41107"/>
    <cellStyle name="40% - Ênfase4 4 7 2 7" xfId="41108"/>
    <cellStyle name="20% - Ênfase5 4 7 2 7" xfId="41109"/>
    <cellStyle name="40% - Ênfase5 4 7 2 7" xfId="41110"/>
    <cellStyle name="20% - Ênfase6 4 7 2 7" xfId="41111"/>
    <cellStyle name="40% - Ênfase6 4 7 2 7" xfId="41112"/>
    <cellStyle name="Normal 6 4 2 7" xfId="41113"/>
    <cellStyle name="Separador de milhares 7 2 2 7" xfId="41114"/>
    <cellStyle name="Vírgula 25" xfId="41115"/>
    <cellStyle name="Separador de milhares 2 15" xfId="41116"/>
    <cellStyle name="Separador de milhares 3 12" xfId="41117"/>
    <cellStyle name="Separador de milhares 4 11" xfId="41118"/>
    <cellStyle name="Separador de milhares 5 12" xfId="41119"/>
    <cellStyle name="Separador de milhares 6 12" xfId="41120"/>
    <cellStyle name="Separador de milhares 7 10" xfId="41121"/>
    <cellStyle name="Normal 3 2 9" xfId="41122"/>
    <cellStyle name="Normal 6 13" xfId="41123"/>
    <cellStyle name="Comma 2 10" xfId="41124"/>
    <cellStyle name="Percent 2 10" xfId="41125"/>
    <cellStyle name="Separador de milhares 3 3 9" xfId="41126"/>
    <cellStyle name="Normal 6 2 9" xfId="41127"/>
    <cellStyle name="Comma 2 2 9" xfId="41128"/>
    <cellStyle name="Percent 2 2 8" xfId="41129"/>
    <cellStyle name="Normal 7 14" xfId="41130"/>
    <cellStyle name="Normal 8 19" xfId="41131"/>
    <cellStyle name="Comma 4 9" xfId="41132"/>
    <cellStyle name="Percent 3 9" xfId="41133"/>
    <cellStyle name="Normal 9 10" xfId="41134"/>
    <cellStyle name="Comma 5 9" xfId="41135"/>
    <cellStyle name="Normal 8 2 13" xfId="41136"/>
    <cellStyle name="Normal 8 3 12" xfId="41137"/>
    <cellStyle name="Normal 8 4 12" xfId="41138"/>
    <cellStyle name="Normal 8 5 12" xfId="41139"/>
    <cellStyle name="Normal 8 5 2 10" xfId="41140"/>
    <cellStyle name="Normal 7 2 14" xfId="41141"/>
    <cellStyle name="Vírgula 9 9" xfId="41142"/>
    <cellStyle name="Separador de milhares 2 2 11" xfId="41143"/>
    <cellStyle name="Separador de milhares 3 4 8" xfId="41144"/>
    <cellStyle name="Separador de milhares 4 3 8" xfId="41145"/>
    <cellStyle name="Separador de milhares 5 3 8" xfId="41146"/>
    <cellStyle name="Separador de milhares 6 3 8" xfId="41147"/>
    <cellStyle name="Separador de milhares 7 3 9" xfId="41148"/>
    <cellStyle name="Normal 3 2 2 8" xfId="41149"/>
    <cellStyle name="Normal 6 3 8" xfId="41150"/>
    <cellStyle name="Comma 2 3 8" xfId="41151"/>
    <cellStyle name="Percent 2 3 7" xfId="41152"/>
    <cellStyle name="Separador de milhares 3 3 2 8" xfId="41153"/>
    <cellStyle name="Normal 6 2 2 7" xfId="41154"/>
    <cellStyle name="Comma 2 2 2 7" xfId="41155"/>
    <cellStyle name="Percent 2 2 2 7" xfId="41156"/>
    <cellStyle name="Normal 7 3 13" xfId="41157"/>
    <cellStyle name="Comma 3 2 7" xfId="41158"/>
    <cellStyle name="Normal 8 6 10" xfId="41159"/>
    <cellStyle name="Comma 4 2 7" xfId="41160"/>
    <cellStyle name="Percent 3 2 7" xfId="41161"/>
    <cellStyle name="Normal 9 2 8" xfId="41162"/>
    <cellStyle name="Comma 5 2 7" xfId="41163"/>
    <cellStyle name="Normal 8 2 2 12" xfId="41164"/>
    <cellStyle name="Vírgula 13 2 7" xfId="41165"/>
    <cellStyle name="Vírgula 4 2 2 9" xfId="41166"/>
    <cellStyle name="Normal 8 3 2 10" xfId="41167"/>
    <cellStyle name="Normal 8 4 2 10" xfId="41168"/>
    <cellStyle name="Normal 8 5 3 8" xfId="41169"/>
    <cellStyle name="Normal 8 5 2 2 7" xfId="41170"/>
    <cellStyle name="Normal 7 2 2 12" xfId="41171"/>
    <cellStyle name="Vírgula 18 2 7" xfId="41172"/>
    <cellStyle name="Vírgula 12 2 8" xfId="41173"/>
    <cellStyle name="Normal 12 8" xfId="41174"/>
    <cellStyle name="Normal 3 8 8" xfId="41175"/>
    <cellStyle name="Percent 3 3 7" xfId="41176"/>
    <cellStyle name="Comma 2 4 7" xfId="41177"/>
    <cellStyle name="Comma 2 2 3 7" xfId="41178"/>
    <cellStyle name="Normal 6 7 7" xfId="41179"/>
    <cellStyle name="Normal 3 2 3 7" xfId="41180"/>
    <cellStyle name="Separador de milhares 2 9 7" xfId="41181"/>
    <cellStyle name="Normal 7 8 7" xfId="41182"/>
    <cellStyle name="Comma 2 3 2 7" xfId="41183"/>
    <cellStyle name="Separador de milhares 2 8 7" xfId="41184"/>
    <cellStyle name="Separador de milhares 3 6 7" xfId="41185"/>
    <cellStyle name="Separador de milhares 4 5 8" xfId="41186"/>
    <cellStyle name="Separador de milhares 5 5 8" xfId="41187"/>
    <cellStyle name="Separador de milhares 6 6 8" xfId="41188"/>
    <cellStyle name="Separador de milhares 7 4 7" xfId="41189"/>
    <cellStyle name="Comma 3 3 7" xfId="41190"/>
    <cellStyle name="Vírgula 7 2 7" xfId="41191"/>
    <cellStyle name="20% - Ênfase1 2 2 14" xfId="41192"/>
    <cellStyle name="20% - Ênfase1 2 2 2 11" xfId="41193"/>
    <cellStyle name="20% - Ênfase1 2 2 2 2 9" xfId="41194"/>
    <cellStyle name="20% - Ênfase1 2 2 2 3 9" xfId="41195"/>
    <cellStyle name="20% - Ênfase1 2 2 3 9" xfId="41196"/>
    <cellStyle name="20% - Ênfase1 2 2 4 9" xfId="41197"/>
    <cellStyle name="20% - Ênfase1 2 2 5 9" xfId="41198"/>
    <cellStyle name="20% - Ênfase1 2 3 13" xfId="41199"/>
    <cellStyle name="20% - Ênfase1 2 3 2 11" xfId="41200"/>
    <cellStyle name="20% - Ênfase1 2 3 2 2 9" xfId="41201"/>
    <cellStyle name="20% - Ênfase1 2 3 2 3 9" xfId="41202"/>
    <cellStyle name="20% - Ênfase1 2 3 3 9" xfId="41203"/>
    <cellStyle name="20% - Ênfase1 2 3 4 9" xfId="41204"/>
    <cellStyle name="20% - Ênfase1 2 5 11" xfId="41205"/>
    <cellStyle name="20% - Ênfase1 2 5 2 9" xfId="41206"/>
    <cellStyle name="20% - Ênfase1 2 5 3 9" xfId="41207"/>
    <cellStyle name="20% - Ênfase1 3 16" xfId="41208"/>
    <cellStyle name="20% - Ênfase1 3 2 13" xfId="41209"/>
    <cellStyle name="20% - Ênfase1 3 2 2 11" xfId="41210"/>
    <cellStyle name="20% - Ênfase1 3 2 2 2 9" xfId="41211"/>
    <cellStyle name="20% - Ênfase1 3 2 2 3 9" xfId="41212"/>
    <cellStyle name="20% - Ênfase1 3 2 3 9" xfId="41213"/>
    <cellStyle name="20% - Ênfase1 3 2 4 9" xfId="41214"/>
    <cellStyle name="20% - Ênfase1 3 3 12" xfId="41215"/>
    <cellStyle name="20% - Ênfase1 3 3 2 9" xfId="41216"/>
    <cellStyle name="20% - Ênfase1 3 3 3 9" xfId="41217"/>
    <cellStyle name="20% - Ênfase1 3 4 11" xfId="41218"/>
    <cellStyle name="20% - Ênfase1 3 4 2 9" xfId="41219"/>
    <cellStyle name="20% - Ênfase1 3 4 3 9" xfId="41220"/>
    <cellStyle name="20% - Ênfase1 3 5 9" xfId="41221"/>
    <cellStyle name="20% - Ênfase1 3 6 9" xfId="41222"/>
    <cellStyle name="20% - Ênfase1 3 7 9" xfId="41223"/>
    <cellStyle name="20% - Ênfase1 4 16" xfId="41224"/>
    <cellStyle name="20% - Ênfase1 4 2 13" xfId="41225"/>
    <cellStyle name="20% - Ênfase1 4 2 2 11" xfId="41226"/>
    <cellStyle name="20% - Ênfase1 4 2 2 2 9" xfId="41227"/>
    <cellStyle name="20% - Ênfase1 4 2 2 3 9" xfId="41228"/>
    <cellStyle name="20% - Ênfase1 4 2 3 9" xfId="41229"/>
    <cellStyle name="20% - Ênfase1 4 2 4 9" xfId="41230"/>
    <cellStyle name="20% - Ênfase1 4 3 12" xfId="41231"/>
    <cellStyle name="20% - Ênfase1 4 3 2 9" xfId="41232"/>
    <cellStyle name="20% - Ênfase1 4 3 3 9" xfId="41233"/>
    <cellStyle name="20% - Ênfase1 4 4 11" xfId="41234"/>
    <cellStyle name="20% - Ênfase1 4 4 2 9" xfId="41235"/>
    <cellStyle name="20% - Ênfase1 4 4 3 9" xfId="41236"/>
    <cellStyle name="20% - Ênfase1 4 5 9" xfId="41237"/>
    <cellStyle name="20% - Ênfase1 4 6 9" xfId="41238"/>
    <cellStyle name="20% - Ênfase1 4 7 9" xfId="41239"/>
    <cellStyle name="20% - Ênfase1 5 14" xfId="41240"/>
    <cellStyle name="20% - Ênfase1 5 2 11" xfId="41241"/>
    <cellStyle name="20% - Ênfase1 5 2 2 9" xfId="41242"/>
    <cellStyle name="20% - Ênfase1 5 2 3 9" xfId="41243"/>
    <cellStyle name="20% - Ênfase1 5 3 9" xfId="41244"/>
    <cellStyle name="20% - Ênfase1 5 4 9" xfId="41245"/>
    <cellStyle name="20% - Ênfase1 5 5 9" xfId="41246"/>
    <cellStyle name="20% - Ênfase1 6 13" xfId="41247"/>
    <cellStyle name="20% - Ênfase1 6 2 11" xfId="41248"/>
    <cellStyle name="20% - Ênfase1 6 2 2 9" xfId="41249"/>
    <cellStyle name="20% - Ênfase1 6 2 3 9" xfId="41250"/>
    <cellStyle name="20% - Ênfase1 6 3 9" xfId="41251"/>
    <cellStyle name="20% - Ênfase1 6 4 9" xfId="41252"/>
    <cellStyle name="20% - Ênfase1 8 11" xfId="41253"/>
    <cellStyle name="20% - Ênfase1 8 2 9" xfId="41254"/>
    <cellStyle name="20% - Ênfase1 8 3 9" xfId="41255"/>
    <cellStyle name="20% - Ênfase2 2 2 14" xfId="41256"/>
    <cellStyle name="20% - Ênfase2 2 2 2 11" xfId="41257"/>
    <cellStyle name="20% - Ênfase2 2 2 2 2 9" xfId="41258"/>
    <cellStyle name="20% - Ênfase2 2 2 2 3 9" xfId="41259"/>
    <cellStyle name="20% - Ênfase2 2 2 3 9" xfId="41260"/>
    <cellStyle name="20% - Ênfase2 2 2 4 9" xfId="41261"/>
    <cellStyle name="20% - Ênfase2 2 2 5 9" xfId="41262"/>
    <cellStyle name="20% - Ênfase2 2 3 13" xfId="41263"/>
    <cellStyle name="20% - Ênfase2 2 3 2 11" xfId="41264"/>
    <cellStyle name="20% - Ênfase2 2 3 2 2 9" xfId="41265"/>
    <cellStyle name="20% - Ênfase2 2 3 2 3 9" xfId="41266"/>
    <cellStyle name="20% - Ênfase2 2 3 3 9" xfId="41267"/>
    <cellStyle name="20% - Ênfase2 2 3 4 9" xfId="41268"/>
    <cellStyle name="20% - Ênfase2 2 5 11" xfId="41269"/>
    <cellStyle name="20% - Ênfase2 2 5 2 9" xfId="41270"/>
    <cellStyle name="20% - Ênfase2 2 5 3 9" xfId="41271"/>
    <cellStyle name="20% - Ênfase2 3 16" xfId="41272"/>
    <cellStyle name="20% - Ênfase2 3 2 13" xfId="41273"/>
    <cellStyle name="20% - Ênfase2 3 2 2 11" xfId="41274"/>
    <cellStyle name="20% - Ênfase2 3 2 2 2 9" xfId="41275"/>
    <cellStyle name="20% - Ênfase2 3 2 2 3 9" xfId="41276"/>
    <cellStyle name="20% - Ênfase2 3 2 3 9" xfId="41277"/>
    <cellStyle name="20% - Ênfase2 3 2 4 9" xfId="41278"/>
    <cellStyle name="20% - Ênfase2 3 3 12" xfId="41279"/>
    <cellStyle name="20% - Ênfase2 3 3 2 9" xfId="41280"/>
    <cellStyle name="20% - Ênfase2 3 3 3 9" xfId="41281"/>
    <cellStyle name="20% - Ênfase2 3 4 11" xfId="41282"/>
    <cellStyle name="20% - Ênfase2 3 4 2 9" xfId="41283"/>
    <cellStyle name="20% - Ênfase2 3 4 3 9" xfId="41284"/>
    <cellStyle name="20% - Ênfase2 3 5 9" xfId="41285"/>
    <cellStyle name="20% - Ênfase2 3 6 9" xfId="41286"/>
    <cellStyle name="20% - Ênfase2 3 7 9" xfId="41287"/>
    <cellStyle name="20% - Ênfase2 4 16" xfId="41288"/>
    <cellStyle name="20% - Ênfase2 4 2 13" xfId="41289"/>
    <cellStyle name="20% - Ênfase2 4 2 2 11" xfId="41290"/>
    <cellStyle name="20% - Ênfase2 4 2 2 2 9" xfId="41291"/>
    <cellStyle name="20% - Ênfase2 4 2 2 3 9" xfId="41292"/>
    <cellStyle name="20% - Ênfase2 4 2 3 9" xfId="41293"/>
    <cellStyle name="20% - Ênfase2 4 2 4 9" xfId="41294"/>
    <cellStyle name="20% - Ênfase2 4 3 12" xfId="41295"/>
    <cellStyle name="20% - Ênfase2 4 3 2 9" xfId="41296"/>
    <cellStyle name="20% - Ênfase2 4 3 3 9" xfId="41297"/>
    <cellStyle name="20% - Ênfase2 4 4 11" xfId="41298"/>
    <cellStyle name="20% - Ênfase2 4 4 2 9" xfId="41299"/>
    <cellStyle name="20% - Ênfase2 4 4 3 9" xfId="41300"/>
    <cellStyle name="20% - Ênfase2 4 5 9" xfId="41301"/>
    <cellStyle name="20% - Ênfase2 4 6 9" xfId="41302"/>
    <cellStyle name="20% - Ênfase2 4 7 9" xfId="41303"/>
    <cellStyle name="20% - Ênfase2 5 14" xfId="41304"/>
    <cellStyle name="20% - Ênfase2 5 2 11" xfId="41305"/>
    <cellStyle name="20% - Ênfase2 5 2 2 9" xfId="41306"/>
    <cellStyle name="20% - Ênfase2 5 2 3 9" xfId="41307"/>
    <cellStyle name="20% - Ênfase2 5 3 9" xfId="41308"/>
    <cellStyle name="20% - Ênfase2 5 4 9" xfId="41309"/>
    <cellStyle name="20% - Ênfase2 5 5 9" xfId="41310"/>
    <cellStyle name="20% - Ênfase2 6 13" xfId="41311"/>
    <cellStyle name="20% - Ênfase2 6 2 11" xfId="41312"/>
    <cellStyle name="20% - Ênfase2 6 2 2 9" xfId="41313"/>
    <cellStyle name="20% - Ênfase2 6 2 3 9" xfId="41314"/>
    <cellStyle name="20% - Ênfase2 6 3 9" xfId="41315"/>
    <cellStyle name="20% - Ênfase2 6 4 9" xfId="41316"/>
    <cellStyle name="20% - Ênfase2 8 11" xfId="41317"/>
    <cellStyle name="20% - Ênfase2 8 2 9" xfId="41318"/>
    <cellStyle name="20% - Ênfase2 8 3 9" xfId="41319"/>
    <cellStyle name="20% - Ênfase3 2 2 14" xfId="41320"/>
    <cellStyle name="20% - Ênfase3 2 2 2 11" xfId="41321"/>
    <cellStyle name="20% - Ênfase3 2 2 2 2 9" xfId="41322"/>
    <cellStyle name="20% - Ênfase3 2 2 2 3 9" xfId="41323"/>
    <cellStyle name="20% - Ênfase3 2 2 3 9" xfId="41324"/>
    <cellStyle name="20% - Ênfase3 2 2 4 9" xfId="41325"/>
    <cellStyle name="20% - Ênfase3 2 2 5 9" xfId="41326"/>
    <cellStyle name="20% - Ênfase3 2 3 13" xfId="41327"/>
    <cellStyle name="20% - Ênfase3 2 3 2 11" xfId="41328"/>
    <cellStyle name="20% - Ênfase3 2 3 2 2 9" xfId="41329"/>
    <cellStyle name="20% - Ênfase3 2 3 2 3 9" xfId="41330"/>
    <cellStyle name="20% - Ênfase3 2 3 3 9" xfId="41331"/>
    <cellStyle name="20% - Ênfase3 2 3 4 9" xfId="41332"/>
    <cellStyle name="20% - Ênfase3 2 5 11" xfId="41333"/>
    <cellStyle name="20% - Ênfase3 2 5 2 9" xfId="41334"/>
    <cellStyle name="20% - Ênfase3 2 5 3 9" xfId="41335"/>
    <cellStyle name="20% - Ênfase3 3 16" xfId="41336"/>
    <cellStyle name="20% - Ênfase3 3 2 13" xfId="41337"/>
    <cellStyle name="20% - Ênfase3 3 2 2 11" xfId="41338"/>
    <cellStyle name="20% - Ênfase3 3 2 2 2 9" xfId="41339"/>
    <cellStyle name="20% - Ênfase3 3 2 2 3 9" xfId="41340"/>
    <cellStyle name="20% - Ênfase3 3 2 3 9" xfId="41341"/>
    <cellStyle name="20% - Ênfase3 3 2 4 9" xfId="41342"/>
    <cellStyle name="20% - Ênfase3 3 3 12" xfId="41343"/>
    <cellStyle name="20% - Ênfase3 3 3 2 9" xfId="41344"/>
    <cellStyle name="20% - Ênfase3 3 3 3 9" xfId="41345"/>
    <cellStyle name="20% - Ênfase3 3 4 11" xfId="41346"/>
    <cellStyle name="20% - Ênfase3 3 4 2 9" xfId="41347"/>
    <cellStyle name="20% - Ênfase3 3 4 3 9" xfId="41348"/>
    <cellStyle name="20% - Ênfase3 3 5 9" xfId="41349"/>
    <cellStyle name="20% - Ênfase3 3 6 9" xfId="41350"/>
    <cellStyle name="20% - Ênfase3 3 7 9" xfId="41351"/>
    <cellStyle name="20% - Ênfase3 4 16" xfId="41352"/>
    <cellStyle name="20% - Ênfase3 4 2 13" xfId="41353"/>
    <cellStyle name="20% - Ênfase3 4 2 2 11" xfId="41354"/>
    <cellStyle name="20% - Ênfase3 4 2 2 2 9" xfId="41355"/>
    <cellStyle name="20% - Ênfase3 4 2 2 3 9" xfId="41356"/>
    <cellStyle name="20% - Ênfase3 4 2 3 9" xfId="41357"/>
    <cellStyle name="20% - Ênfase3 4 2 4 9" xfId="41358"/>
    <cellStyle name="20% - Ênfase3 4 3 12" xfId="41359"/>
    <cellStyle name="20% - Ênfase3 4 3 2 9" xfId="41360"/>
    <cellStyle name="20% - Ênfase3 4 3 3 9" xfId="41361"/>
    <cellStyle name="20% - Ênfase3 4 4 11" xfId="41362"/>
    <cellStyle name="20% - Ênfase3 4 4 2 9" xfId="41363"/>
    <cellStyle name="20% - Ênfase3 4 4 3 9" xfId="41364"/>
    <cellStyle name="20% - Ênfase3 4 5 9" xfId="41365"/>
    <cellStyle name="20% - Ênfase3 4 6 9" xfId="41366"/>
    <cellStyle name="20% - Ênfase3 4 7 9" xfId="41367"/>
    <cellStyle name="20% - Ênfase3 5 14" xfId="41368"/>
    <cellStyle name="20% - Ênfase3 5 2 11" xfId="41369"/>
    <cellStyle name="20% - Ênfase3 5 2 2 9" xfId="41370"/>
    <cellStyle name="20% - Ênfase3 5 2 3 9" xfId="41371"/>
    <cellStyle name="20% - Ênfase3 5 3 9" xfId="41372"/>
    <cellStyle name="20% - Ênfase3 5 4 9" xfId="41373"/>
    <cellStyle name="20% - Ênfase3 5 5 9" xfId="41374"/>
    <cellStyle name="20% - Ênfase3 6 13" xfId="41375"/>
    <cellStyle name="20% - Ênfase3 6 2 11" xfId="41376"/>
    <cellStyle name="20% - Ênfase3 6 2 2 9" xfId="41377"/>
    <cellStyle name="20% - Ênfase3 6 2 3 9" xfId="41378"/>
    <cellStyle name="20% - Ênfase3 6 3 9" xfId="41379"/>
    <cellStyle name="20% - Ênfase3 6 4 9" xfId="41380"/>
    <cellStyle name="20% - Ênfase3 8 11" xfId="41381"/>
    <cellStyle name="20% - Ênfase3 8 2 9" xfId="41382"/>
    <cellStyle name="20% - Ênfase3 8 3 9" xfId="41383"/>
    <cellStyle name="20% - Ênfase4 2 2 14" xfId="41384"/>
    <cellStyle name="20% - Ênfase4 2 2 2 11" xfId="41385"/>
    <cellStyle name="20% - Ênfase4 2 2 2 2 9" xfId="41386"/>
    <cellStyle name="20% - Ênfase4 2 2 2 3 9" xfId="41387"/>
    <cellStyle name="20% - Ênfase4 2 2 3 9" xfId="41388"/>
    <cellStyle name="20% - Ênfase4 2 2 4 9" xfId="41389"/>
    <cellStyle name="20% - Ênfase4 2 2 5 9" xfId="41390"/>
    <cellStyle name="20% - Ênfase4 2 3 13" xfId="41391"/>
    <cellStyle name="20% - Ênfase4 2 3 2 11" xfId="41392"/>
    <cellStyle name="20% - Ênfase4 2 3 2 2 9" xfId="41393"/>
    <cellStyle name="20% - Ênfase4 2 3 2 3 9" xfId="41394"/>
    <cellStyle name="20% - Ênfase4 2 3 3 9" xfId="41395"/>
    <cellStyle name="20% - Ênfase4 2 3 4 9" xfId="41396"/>
    <cellStyle name="20% - Ênfase4 2 5 11" xfId="41397"/>
    <cellStyle name="20% - Ênfase4 2 5 2 9" xfId="41398"/>
    <cellStyle name="20% - Ênfase4 2 5 3 9" xfId="41399"/>
    <cellStyle name="20% - Ênfase4 3 16" xfId="41400"/>
    <cellStyle name="20% - Ênfase4 3 2 13" xfId="41401"/>
    <cellStyle name="20% - Ênfase4 3 2 2 11" xfId="41402"/>
    <cellStyle name="20% - Ênfase4 3 2 2 2 9" xfId="41403"/>
    <cellStyle name="20% - Ênfase4 3 2 2 3 9" xfId="41404"/>
    <cellStyle name="20% - Ênfase4 3 2 3 9" xfId="41405"/>
    <cellStyle name="20% - Ênfase4 3 2 4 9" xfId="41406"/>
    <cellStyle name="20% - Ênfase4 3 3 12" xfId="41407"/>
    <cellStyle name="20% - Ênfase4 3 3 2 9" xfId="41408"/>
    <cellStyle name="20% - Ênfase4 3 3 3 9" xfId="41409"/>
    <cellStyle name="20% - Ênfase4 3 4 11" xfId="41410"/>
    <cellStyle name="20% - Ênfase4 3 4 2 9" xfId="41411"/>
    <cellStyle name="20% - Ênfase4 3 4 3 9" xfId="41412"/>
    <cellStyle name="20% - Ênfase4 3 5 9" xfId="41413"/>
    <cellStyle name="20% - Ênfase4 3 6 9" xfId="41414"/>
    <cellStyle name="20% - Ênfase4 3 7 9" xfId="41415"/>
    <cellStyle name="20% - Ênfase4 4 16" xfId="41416"/>
    <cellStyle name="20% - Ênfase4 4 2 13" xfId="41417"/>
    <cellStyle name="20% - Ênfase4 4 2 2 11" xfId="41418"/>
    <cellStyle name="20% - Ênfase4 4 2 2 2 9" xfId="41419"/>
    <cellStyle name="20% - Ênfase4 4 2 2 3 9" xfId="41420"/>
    <cellStyle name="20% - Ênfase4 4 2 3 9" xfId="41421"/>
    <cellStyle name="20% - Ênfase4 4 2 4 9" xfId="41422"/>
    <cellStyle name="20% - Ênfase4 4 3 12" xfId="41423"/>
    <cellStyle name="20% - Ênfase4 4 3 2 9" xfId="41424"/>
    <cellStyle name="20% - Ênfase4 4 3 3 9" xfId="41425"/>
    <cellStyle name="20% - Ênfase4 4 4 11" xfId="41426"/>
    <cellStyle name="20% - Ênfase4 4 4 2 9" xfId="41427"/>
    <cellStyle name="20% - Ênfase4 4 4 3 9" xfId="41428"/>
    <cellStyle name="20% - Ênfase4 4 5 9" xfId="41429"/>
    <cellStyle name="20% - Ênfase4 4 6 9" xfId="41430"/>
    <cellStyle name="20% - Ênfase4 4 7 9" xfId="41431"/>
    <cellStyle name="20% - Ênfase4 5 14" xfId="41432"/>
    <cellStyle name="20% - Ênfase4 5 2 11" xfId="41433"/>
    <cellStyle name="20% - Ênfase4 5 2 2 9" xfId="41434"/>
    <cellStyle name="20% - Ênfase4 5 2 3 9" xfId="41435"/>
    <cellStyle name="20% - Ênfase4 5 3 9" xfId="41436"/>
    <cellStyle name="20% - Ênfase4 5 4 9" xfId="41437"/>
    <cellStyle name="20% - Ênfase4 5 5 9" xfId="41438"/>
    <cellStyle name="20% - Ênfase4 6 13" xfId="41439"/>
    <cellStyle name="20% - Ênfase4 6 2 11" xfId="41440"/>
    <cellStyle name="20% - Ênfase4 6 2 2 9" xfId="41441"/>
    <cellStyle name="20% - Ênfase4 6 2 3 9" xfId="41442"/>
    <cellStyle name="20% - Ênfase4 6 3 9" xfId="41443"/>
    <cellStyle name="20% - Ênfase4 6 4 9" xfId="41444"/>
    <cellStyle name="20% - Ênfase4 8 11" xfId="41445"/>
    <cellStyle name="20% - Ênfase4 8 2 9" xfId="41446"/>
    <cellStyle name="20% - Ênfase4 8 3 9" xfId="41447"/>
    <cellStyle name="20% - Ênfase5 2 2 14" xfId="41448"/>
    <cellStyle name="20% - Ênfase5 2 2 2 11" xfId="41449"/>
    <cellStyle name="20% - Ênfase5 2 2 2 2 9" xfId="41450"/>
    <cellStyle name="20% - Ênfase5 2 2 2 3 9" xfId="41451"/>
    <cellStyle name="20% - Ênfase5 2 2 3 9" xfId="41452"/>
    <cellStyle name="20% - Ênfase5 2 2 4 9" xfId="41453"/>
    <cellStyle name="20% - Ênfase5 2 2 5 9" xfId="41454"/>
    <cellStyle name="20% - Ênfase5 2 3 13" xfId="41455"/>
    <cellStyle name="20% - Ênfase5 2 3 2 11" xfId="41456"/>
    <cellStyle name="20% - Ênfase5 2 3 2 2 9" xfId="41457"/>
    <cellStyle name="20% - Ênfase5 2 3 2 3 9" xfId="41458"/>
    <cellStyle name="20% - Ênfase5 2 3 3 9" xfId="41459"/>
    <cellStyle name="20% - Ênfase5 2 3 4 9" xfId="41460"/>
    <cellStyle name="20% - Ênfase5 2 5 11" xfId="41461"/>
    <cellStyle name="20% - Ênfase5 2 5 2 9" xfId="41462"/>
    <cellStyle name="20% - Ênfase5 2 5 3 9" xfId="41463"/>
    <cellStyle name="20% - Ênfase5 3 16" xfId="41464"/>
    <cellStyle name="20% - Ênfase5 3 2 13" xfId="41465"/>
    <cellStyle name="20% - Ênfase5 3 2 2 11" xfId="41466"/>
    <cellStyle name="20% - Ênfase5 3 2 2 2 9" xfId="41467"/>
    <cellStyle name="20% - Ênfase5 3 2 2 3 9" xfId="41468"/>
    <cellStyle name="20% - Ênfase5 3 2 3 9" xfId="41469"/>
    <cellStyle name="20% - Ênfase5 3 2 4 9" xfId="41470"/>
    <cellStyle name="20% - Ênfase5 3 3 12" xfId="41471"/>
    <cellStyle name="20% - Ênfase5 3 3 2 9" xfId="41472"/>
    <cellStyle name="20% - Ênfase5 3 3 3 9" xfId="41473"/>
    <cellStyle name="20% - Ênfase5 3 4 11" xfId="41474"/>
    <cellStyle name="20% - Ênfase5 3 4 2 9" xfId="41475"/>
    <cellStyle name="20% - Ênfase5 3 4 3 9" xfId="41476"/>
    <cellStyle name="20% - Ênfase5 3 5 9" xfId="41477"/>
    <cellStyle name="20% - Ênfase5 3 6 9" xfId="41478"/>
    <cellStyle name="20% - Ênfase5 3 7 9" xfId="41479"/>
    <cellStyle name="20% - Ênfase5 4 16" xfId="41480"/>
    <cellStyle name="20% - Ênfase5 4 2 13" xfId="41481"/>
    <cellStyle name="20% - Ênfase5 4 2 2 11" xfId="41482"/>
    <cellStyle name="20% - Ênfase5 4 2 2 2 9" xfId="41483"/>
    <cellStyle name="20% - Ênfase5 4 2 2 3 9" xfId="41484"/>
    <cellStyle name="20% - Ênfase5 4 2 3 9" xfId="41485"/>
    <cellStyle name="20% - Ênfase5 4 2 4 9" xfId="41486"/>
    <cellStyle name="20% - Ênfase5 4 3 12" xfId="41487"/>
    <cellStyle name="20% - Ênfase5 4 3 2 9" xfId="41488"/>
    <cellStyle name="20% - Ênfase5 4 3 3 9" xfId="41489"/>
    <cellStyle name="20% - Ênfase5 4 4 11" xfId="41490"/>
    <cellStyle name="20% - Ênfase5 4 4 2 9" xfId="41491"/>
    <cellStyle name="20% - Ênfase5 4 4 3 9" xfId="41492"/>
    <cellStyle name="20% - Ênfase5 4 5 9" xfId="41493"/>
    <cellStyle name="20% - Ênfase5 4 6 9" xfId="41494"/>
    <cellStyle name="20% - Ênfase5 4 7 9" xfId="41495"/>
    <cellStyle name="20% - Ênfase5 5 14" xfId="41496"/>
    <cellStyle name="20% - Ênfase5 5 2 11" xfId="41497"/>
    <cellStyle name="20% - Ênfase5 5 2 2 9" xfId="41498"/>
    <cellStyle name="20% - Ênfase5 5 2 3 9" xfId="41499"/>
    <cellStyle name="20% - Ênfase5 5 3 9" xfId="41500"/>
    <cellStyle name="20% - Ênfase5 5 4 9" xfId="41501"/>
    <cellStyle name="20% - Ênfase5 5 5 9" xfId="41502"/>
    <cellStyle name="20% - Ênfase5 6 13" xfId="41503"/>
    <cellStyle name="20% - Ênfase5 6 2 11" xfId="41504"/>
    <cellStyle name="20% - Ênfase5 6 2 2 9" xfId="41505"/>
    <cellStyle name="20% - Ênfase5 6 2 3 9" xfId="41506"/>
    <cellStyle name="20% - Ênfase5 6 3 9" xfId="41507"/>
    <cellStyle name="20% - Ênfase5 6 4 9" xfId="41508"/>
    <cellStyle name="20% - Ênfase5 8 11" xfId="41509"/>
    <cellStyle name="20% - Ênfase5 8 2 9" xfId="41510"/>
    <cellStyle name="20% - Ênfase5 8 3 9" xfId="41511"/>
    <cellStyle name="20% - Ênfase6 2 2 14" xfId="41512"/>
    <cellStyle name="20% - Ênfase6 2 2 2 11" xfId="41513"/>
    <cellStyle name="20% - Ênfase6 2 2 2 2 9" xfId="41514"/>
    <cellStyle name="20% - Ênfase6 2 2 2 3 9" xfId="41515"/>
    <cellStyle name="20% - Ênfase6 2 2 3 9" xfId="41516"/>
    <cellStyle name="20% - Ênfase6 2 2 4 9" xfId="41517"/>
    <cellStyle name="20% - Ênfase6 2 2 5 9" xfId="41518"/>
    <cellStyle name="20% - Ênfase6 2 3 13" xfId="41519"/>
    <cellStyle name="20% - Ênfase6 2 3 2 11" xfId="41520"/>
    <cellStyle name="20% - Ênfase6 2 3 2 2 9" xfId="41521"/>
    <cellStyle name="20% - Ênfase6 2 3 2 3 9" xfId="41522"/>
    <cellStyle name="20% - Ênfase6 2 3 3 9" xfId="41523"/>
    <cellStyle name="20% - Ênfase6 2 3 4 9" xfId="41524"/>
    <cellStyle name="20% - Ênfase6 2 5 11" xfId="41525"/>
    <cellStyle name="20% - Ênfase6 2 5 2 9" xfId="41526"/>
    <cellStyle name="20% - Ênfase6 2 5 3 9" xfId="41527"/>
    <cellStyle name="20% - Ênfase6 3 16" xfId="41528"/>
    <cellStyle name="20% - Ênfase6 3 2 13" xfId="41529"/>
    <cellStyle name="20% - Ênfase6 3 2 2 11" xfId="41530"/>
    <cellStyle name="20% - Ênfase6 3 2 2 2 9" xfId="41531"/>
    <cellStyle name="20% - Ênfase6 3 2 2 3 9" xfId="41532"/>
    <cellStyle name="20% - Ênfase6 3 2 3 9" xfId="41533"/>
    <cellStyle name="20% - Ênfase6 3 2 4 9" xfId="41534"/>
    <cellStyle name="20% - Ênfase6 3 3 12" xfId="41535"/>
    <cellStyle name="20% - Ênfase6 3 3 2 9" xfId="41536"/>
    <cellStyle name="20% - Ênfase6 3 3 3 9" xfId="41537"/>
    <cellStyle name="20% - Ênfase6 3 4 11" xfId="41538"/>
    <cellStyle name="20% - Ênfase6 3 4 2 9" xfId="41539"/>
    <cellStyle name="20% - Ênfase6 3 4 3 9" xfId="41540"/>
    <cellStyle name="20% - Ênfase6 3 5 9" xfId="41541"/>
    <cellStyle name="20% - Ênfase6 3 6 9" xfId="41542"/>
    <cellStyle name="20% - Ênfase6 3 7 9" xfId="41543"/>
    <cellStyle name="20% - Ênfase6 4 16" xfId="41544"/>
    <cellStyle name="20% - Ênfase6 4 2 13" xfId="41545"/>
    <cellStyle name="20% - Ênfase6 4 2 2 11" xfId="41546"/>
    <cellStyle name="20% - Ênfase6 4 2 2 2 9" xfId="41547"/>
    <cellStyle name="20% - Ênfase6 4 2 2 3 9" xfId="41548"/>
    <cellStyle name="20% - Ênfase6 4 2 3 9" xfId="41549"/>
    <cellStyle name="20% - Ênfase6 4 2 4 9" xfId="41550"/>
    <cellStyle name="20% - Ênfase6 4 3 12" xfId="41551"/>
    <cellStyle name="20% - Ênfase6 4 3 2 9" xfId="41552"/>
    <cellStyle name="20% - Ênfase6 4 3 3 9" xfId="41553"/>
    <cellStyle name="20% - Ênfase6 4 4 11" xfId="41554"/>
    <cellStyle name="20% - Ênfase6 4 4 2 9" xfId="41555"/>
    <cellStyle name="20% - Ênfase6 4 4 3 9" xfId="41556"/>
    <cellStyle name="20% - Ênfase6 4 5 9" xfId="41557"/>
    <cellStyle name="20% - Ênfase6 4 6 9" xfId="41558"/>
    <cellStyle name="20% - Ênfase6 4 7 9" xfId="41559"/>
    <cellStyle name="20% - Ênfase6 5 14" xfId="41560"/>
    <cellStyle name="20% - Ênfase6 5 2 11" xfId="41561"/>
    <cellStyle name="20% - Ênfase6 5 2 2 9" xfId="41562"/>
    <cellStyle name="20% - Ênfase6 5 2 3 9" xfId="41563"/>
    <cellStyle name="20% - Ênfase6 5 3 9" xfId="41564"/>
    <cellStyle name="20% - Ênfase6 5 4 9" xfId="41565"/>
    <cellStyle name="20% - Ênfase6 5 5 9" xfId="41566"/>
    <cellStyle name="20% - Ênfase6 6 13" xfId="41567"/>
    <cellStyle name="20% - Ênfase6 6 2 11" xfId="41568"/>
    <cellStyle name="20% - Ênfase6 6 2 2 9" xfId="41569"/>
    <cellStyle name="20% - Ênfase6 6 2 3 9" xfId="41570"/>
    <cellStyle name="20% - Ênfase6 6 3 9" xfId="41571"/>
    <cellStyle name="20% - Ênfase6 6 4 9" xfId="41572"/>
    <cellStyle name="20% - Ênfase6 8 11" xfId="41573"/>
    <cellStyle name="20% - Ênfase6 8 2 9" xfId="41574"/>
    <cellStyle name="20% - Ênfase6 8 3 9" xfId="41575"/>
    <cellStyle name="40% - Ênfase1 2 2 14" xfId="41576"/>
    <cellStyle name="40% - Ênfase1 2 2 2 11" xfId="41577"/>
    <cellStyle name="40% - Ênfase1 2 2 2 2 9" xfId="41578"/>
    <cellStyle name="40% - Ênfase1 2 2 2 3 9" xfId="41579"/>
    <cellStyle name="40% - Ênfase1 2 2 3 9" xfId="41580"/>
    <cellStyle name="40% - Ênfase1 2 2 4 9" xfId="41581"/>
    <cellStyle name="40% - Ênfase1 2 2 5 9" xfId="41582"/>
    <cellStyle name="40% - Ênfase1 2 3 13" xfId="41583"/>
    <cellStyle name="40% - Ênfase1 2 3 2 11" xfId="41584"/>
    <cellStyle name="40% - Ênfase1 2 3 2 2 9" xfId="41585"/>
    <cellStyle name="40% - Ênfase1 2 3 2 3 9" xfId="41586"/>
    <cellStyle name="40% - Ênfase1 2 3 3 9" xfId="41587"/>
    <cellStyle name="40% - Ênfase1 2 3 4 9" xfId="41588"/>
    <cellStyle name="40% - Ênfase1 2 5 11" xfId="41589"/>
    <cellStyle name="40% - Ênfase1 2 5 2 9" xfId="41590"/>
    <cellStyle name="40% - Ênfase1 2 5 3 9" xfId="41591"/>
    <cellStyle name="40% - Ênfase1 3 16" xfId="41592"/>
    <cellStyle name="40% - Ênfase1 3 2 13" xfId="41593"/>
    <cellStyle name="40% - Ênfase1 3 2 2 11" xfId="41594"/>
    <cellStyle name="40% - Ênfase1 3 2 2 2 9" xfId="41595"/>
    <cellStyle name="40% - Ênfase1 3 2 2 3 9" xfId="41596"/>
    <cellStyle name="40% - Ênfase1 3 2 3 9" xfId="41597"/>
    <cellStyle name="40% - Ênfase1 3 2 4 9" xfId="41598"/>
    <cellStyle name="40% - Ênfase1 3 3 12" xfId="41599"/>
    <cellStyle name="40% - Ênfase1 3 3 2 9" xfId="41600"/>
    <cellStyle name="40% - Ênfase1 3 3 3 9" xfId="41601"/>
    <cellStyle name="40% - Ênfase1 3 4 11" xfId="41602"/>
    <cellStyle name="40% - Ênfase1 3 4 2 9" xfId="41603"/>
    <cellStyle name="40% - Ênfase1 3 4 3 9" xfId="41604"/>
    <cellStyle name="40% - Ênfase1 3 5 9" xfId="41605"/>
    <cellStyle name="40% - Ênfase1 3 6 9" xfId="41606"/>
    <cellStyle name="40% - Ênfase1 3 7 9" xfId="41607"/>
    <cellStyle name="40% - Ênfase1 4 16" xfId="41608"/>
    <cellStyle name="40% - Ênfase1 4 2 13" xfId="41609"/>
    <cellStyle name="40% - Ênfase1 4 2 2 11" xfId="41610"/>
    <cellStyle name="40% - Ênfase1 4 2 2 2 9" xfId="41611"/>
    <cellStyle name="40% - Ênfase1 4 2 2 3 9" xfId="41612"/>
    <cellStyle name="40% - Ênfase1 4 2 3 9" xfId="41613"/>
    <cellStyle name="40% - Ênfase1 4 2 4 9" xfId="41614"/>
    <cellStyle name="40% - Ênfase1 4 3 12" xfId="41615"/>
    <cellStyle name="40% - Ênfase1 4 3 2 9" xfId="41616"/>
    <cellStyle name="40% - Ênfase1 4 3 3 9" xfId="41617"/>
    <cellStyle name="40% - Ênfase1 4 4 11" xfId="41618"/>
    <cellStyle name="40% - Ênfase1 4 4 2 9" xfId="41619"/>
    <cellStyle name="40% - Ênfase1 4 4 3 9" xfId="41620"/>
    <cellStyle name="40% - Ênfase1 4 5 9" xfId="41621"/>
    <cellStyle name="40% - Ênfase1 4 6 9" xfId="41622"/>
    <cellStyle name="40% - Ênfase1 4 7 9" xfId="41623"/>
    <cellStyle name="40% - Ênfase1 5 14" xfId="41624"/>
    <cellStyle name="40% - Ênfase1 5 2 11" xfId="41625"/>
    <cellStyle name="40% - Ênfase1 5 2 2 9" xfId="41626"/>
    <cellStyle name="40% - Ênfase1 5 2 3 9" xfId="41627"/>
    <cellStyle name="40% - Ênfase1 5 3 9" xfId="41628"/>
    <cellStyle name="40% - Ênfase1 5 4 9" xfId="41629"/>
    <cellStyle name="40% - Ênfase1 5 5 9" xfId="41630"/>
    <cellStyle name="40% - Ênfase1 6 13" xfId="41631"/>
    <cellStyle name="40% - Ênfase1 6 2 11" xfId="41632"/>
    <cellStyle name="40% - Ênfase1 6 2 2 9" xfId="41633"/>
    <cellStyle name="40% - Ênfase1 6 2 3 9" xfId="41634"/>
    <cellStyle name="40% - Ênfase1 6 3 9" xfId="41635"/>
    <cellStyle name="40% - Ênfase1 6 4 9" xfId="41636"/>
    <cellStyle name="40% - Ênfase1 8 11" xfId="41637"/>
    <cellStyle name="40% - Ênfase1 8 2 9" xfId="41638"/>
    <cellStyle name="40% - Ênfase1 8 3 9" xfId="41639"/>
    <cellStyle name="40% - Ênfase2 2 2 14" xfId="41640"/>
    <cellStyle name="40% - Ênfase2 2 2 2 11" xfId="41641"/>
    <cellStyle name="40% - Ênfase2 2 2 2 2 9" xfId="41642"/>
    <cellStyle name="40% - Ênfase2 2 2 2 3 9" xfId="41643"/>
    <cellStyle name="40% - Ênfase2 2 2 3 9" xfId="41644"/>
    <cellStyle name="40% - Ênfase2 2 2 4 9" xfId="41645"/>
    <cellStyle name="40% - Ênfase2 2 2 5 9" xfId="41646"/>
    <cellStyle name="40% - Ênfase2 2 3 13" xfId="41647"/>
    <cellStyle name="40% - Ênfase2 2 3 2 11" xfId="41648"/>
    <cellStyle name="40% - Ênfase2 2 3 2 2 9" xfId="41649"/>
    <cellStyle name="40% - Ênfase2 2 3 2 3 9" xfId="41650"/>
    <cellStyle name="40% - Ênfase2 2 3 3 9" xfId="41651"/>
    <cellStyle name="40% - Ênfase2 2 3 4 9" xfId="41652"/>
    <cellStyle name="40% - Ênfase2 2 5 11" xfId="41653"/>
    <cellStyle name="40% - Ênfase2 2 5 2 9" xfId="41654"/>
    <cellStyle name="40% - Ênfase2 2 5 3 9" xfId="41655"/>
    <cellStyle name="40% - Ênfase2 3 16" xfId="41656"/>
    <cellStyle name="40% - Ênfase2 3 2 13" xfId="41657"/>
    <cellStyle name="40% - Ênfase2 3 2 2 11" xfId="41658"/>
    <cellStyle name="40% - Ênfase2 3 2 2 2 9" xfId="41659"/>
    <cellStyle name="40% - Ênfase2 3 2 2 3 9" xfId="41660"/>
    <cellStyle name="40% - Ênfase2 3 2 3 9" xfId="41661"/>
    <cellStyle name="40% - Ênfase2 3 2 4 9" xfId="41662"/>
    <cellStyle name="40% - Ênfase2 3 3 12" xfId="41663"/>
    <cellStyle name="40% - Ênfase2 3 3 2 9" xfId="41664"/>
    <cellStyle name="40% - Ênfase2 3 3 3 9" xfId="41665"/>
    <cellStyle name="40% - Ênfase2 3 4 11" xfId="41666"/>
    <cellStyle name="40% - Ênfase2 3 4 2 9" xfId="41667"/>
    <cellStyle name="40% - Ênfase2 3 4 3 9" xfId="41668"/>
    <cellStyle name="40% - Ênfase2 3 5 9" xfId="41669"/>
    <cellStyle name="40% - Ênfase2 3 6 9" xfId="41670"/>
    <cellStyle name="40% - Ênfase2 3 7 9" xfId="41671"/>
    <cellStyle name="40% - Ênfase2 4 16" xfId="41672"/>
    <cellStyle name="40% - Ênfase2 4 2 13" xfId="41673"/>
    <cellStyle name="40% - Ênfase2 4 2 2 11" xfId="41674"/>
    <cellStyle name="40% - Ênfase2 4 2 2 2 9" xfId="41675"/>
    <cellStyle name="40% - Ênfase2 4 2 2 3 9" xfId="41676"/>
    <cellStyle name="40% - Ênfase2 4 2 3 9" xfId="41677"/>
    <cellStyle name="40% - Ênfase2 4 2 4 9" xfId="41678"/>
    <cellStyle name="40% - Ênfase2 4 3 12" xfId="41679"/>
    <cellStyle name="40% - Ênfase2 4 3 2 9" xfId="41680"/>
    <cellStyle name="40% - Ênfase2 4 3 3 9" xfId="41681"/>
    <cellStyle name="40% - Ênfase2 4 4 11" xfId="41682"/>
    <cellStyle name="40% - Ênfase2 4 4 2 9" xfId="41683"/>
    <cellStyle name="40% - Ênfase2 4 4 3 9" xfId="41684"/>
    <cellStyle name="40% - Ênfase2 4 5 9" xfId="41685"/>
    <cellStyle name="40% - Ênfase2 4 6 9" xfId="41686"/>
    <cellStyle name="40% - Ênfase2 4 7 9" xfId="41687"/>
    <cellStyle name="40% - Ênfase2 5 14" xfId="41688"/>
    <cellStyle name="40% - Ênfase2 5 2 11" xfId="41689"/>
    <cellStyle name="40% - Ênfase2 5 2 2 9" xfId="41690"/>
    <cellStyle name="40% - Ênfase2 5 2 3 9" xfId="41691"/>
    <cellStyle name="40% - Ênfase2 5 3 9" xfId="41692"/>
    <cellStyle name="40% - Ênfase2 5 4 9" xfId="41693"/>
    <cellStyle name="40% - Ênfase2 5 5 9" xfId="41694"/>
    <cellStyle name="40% - Ênfase2 6 13" xfId="41695"/>
    <cellStyle name="40% - Ênfase2 6 2 11" xfId="41696"/>
    <cellStyle name="40% - Ênfase2 6 2 2 9" xfId="41697"/>
    <cellStyle name="40% - Ênfase2 6 2 3 9" xfId="41698"/>
    <cellStyle name="40% - Ênfase2 6 3 9" xfId="41699"/>
    <cellStyle name="40% - Ênfase2 6 4 9" xfId="41700"/>
    <cellStyle name="40% - Ênfase2 8 11" xfId="41701"/>
    <cellStyle name="40% - Ênfase2 8 2 9" xfId="41702"/>
    <cellStyle name="40% - Ênfase2 8 3 9" xfId="41703"/>
    <cellStyle name="40% - Ênfase3 2 2 14" xfId="41704"/>
    <cellStyle name="40% - Ênfase3 2 2 2 11" xfId="41705"/>
    <cellStyle name="40% - Ênfase3 2 2 2 2 9" xfId="41706"/>
    <cellStyle name="40% - Ênfase3 2 2 2 3 9" xfId="41707"/>
    <cellStyle name="40% - Ênfase3 2 2 3 9" xfId="41708"/>
    <cellStyle name="40% - Ênfase3 2 2 4 9" xfId="41709"/>
    <cellStyle name="40% - Ênfase3 2 2 5 9" xfId="41710"/>
    <cellStyle name="40% - Ênfase3 2 3 13" xfId="41711"/>
    <cellStyle name="40% - Ênfase3 2 3 2 11" xfId="41712"/>
    <cellStyle name="40% - Ênfase3 2 3 2 2 9" xfId="41713"/>
    <cellStyle name="40% - Ênfase3 2 3 2 3 9" xfId="41714"/>
    <cellStyle name="40% - Ênfase3 2 3 3 9" xfId="41715"/>
    <cellStyle name="40% - Ênfase3 2 3 4 9" xfId="41716"/>
    <cellStyle name="40% - Ênfase3 2 5 11" xfId="41717"/>
    <cellStyle name="40% - Ênfase3 2 5 2 9" xfId="41718"/>
    <cellStyle name="40% - Ênfase3 2 5 3 9" xfId="41719"/>
    <cellStyle name="40% - Ênfase3 3 16" xfId="41720"/>
    <cellStyle name="40% - Ênfase3 3 2 13" xfId="41721"/>
    <cellStyle name="40% - Ênfase3 3 2 2 11" xfId="41722"/>
    <cellStyle name="40% - Ênfase3 3 2 2 2 9" xfId="41723"/>
    <cellStyle name="40% - Ênfase3 3 2 2 3 9" xfId="41724"/>
    <cellStyle name="40% - Ênfase3 3 2 3 9" xfId="41725"/>
    <cellStyle name="40% - Ênfase3 3 2 4 9" xfId="41726"/>
    <cellStyle name="40% - Ênfase3 3 3 12" xfId="41727"/>
    <cellStyle name="40% - Ênfase3 3 3 2 9" xfId="41728"/>
    <cellStyle name="40% - Ênfase3 3 3 3 9" xfId="41729"/>
    <cellStyle name="40% - Ênfase3 3 4 11" xfId="41730"/>
    <cellStyle name="40% - Ênfase3 3 4 2 9" xfId="41731"/>
    <cellStyle name="40% - Ênfase3 3 4 3 9" xfId="41732"/>
    <cellStyle name="40% - Ênfase3 3 5 9" xfId="41733"/>
    <cellStyle name="40% - Ênfase3 3 6 9" xfId="41734"/>
    <cellStyle name="40% - Ênfase3 3 7 9" xfId="41735"/>
    <cellStyle name="40% - Ênfase3 4 16" xfId="41736"/>
    <cellStyle name="40% - Ênfase3 4 2 13" xfId="41737"/>
    <cellStyle name="40% - Ênfase3 4 2 2 11" xfId="41738"/>
    <cellStyle name="40% - Ênfase3 4 2 2 2 9" xfId="41739"/>
    <cellStyle name="40% - Ênfase3 4 2 2 3 9" xfId="41740"/>
    <cellStyle name="40% - Ênfase3 4 2 3 9" xfId="41741"/>
    <cellStyle name="40% - Ênfase3 4 2 4 9" xfId="41742"/>
    <cellStyle name="40% - Ênfase3 4 3 12" xfId="41743"/>
    <cellStyle name="40% - Ênfase3 4 3 2 9" xfId="41744"/>
    <cellStyle name="40% - Ênfase3 4 3 3 9" xfId="41745"/>
    <cellStyle name="40% - Ênfase3 4 4 11" xfId="41746"/>
    <cellStyle name="40% - Ênfase3 4 4 2 9" xfId="41747"/>
    <cellStyle name="40% - Ênfase3 4 4 3 9" xfId="41748"/>
    <cellStyle name="40% - Ênfase3 4 5 9" xfId="41749"/>
    <cellStyle name="40% - Ênfase3 4 6 9" xfId="41750"/>
    <cellStyle name="40% - Ênfase3 4 7 9" xfId="41751"/>
    <cellStyle name="40% - Ênfase3 5 14" xfId="41752"/>
    <cellStyle name="40% - Ênfase3 5 2 11" xfId="41753"/>
    <cellStyle name="40% - Ênfase3 5 2 2 9" xfId="41754"/>
    <cellStyle name="40% - Ênfase3 5 2 3 9" xfId="41755"/>
    <cellStyle name="40% - Ênfase3 5 3 9" xfId="41756"/>
    <cellStyle name="40% - Ênfase3 5 4 9" xfId="41757"/>
    <cellStyle name="40% - Ênfase3 5 5 9" xfId="41758"/>
    <cellStyle name="40% - Ênfase3 6 13" xfId="41759"/>
    <cellStyle name="40% - Ênfase3 6 2 11" xfId="41760"/>
    <cellStyle name="40% - Ênfase3 6 2 2 9" xfId="41761"/>
    <cellStyle name="40% - Ênfase3 6 2 3 9" xfId="41762"/>
    <cellStyle name="40% - Ênfase3 6 3 9" xfId="41763"/>
    <cellStyle name="40% - Ênfase3 6 4 9" xfId="41764"/>
    <cellStyle name="40% - Ênfase3 8 11" xfId="41765"/>
    <cellStyle name="40% - Ênfase3 8 2 9" xfId="41766"/>
    <cellStyle name="40% - Ênfase3 8 3 9" xfId="41767"/>
    <cellStyle name="40% - Ênfase4 2 2 14" xfId="41768"/>
    <cellStyle name="40% - Ênfase4 2 2 2 11" xfId="41769"/>
    <cellStyle name="40% - Ênfase4 2 2 2 2 9" xfId="41770"/>
    <cellStyle name="40% - Ênfase4 2 2 2 3 9" xfId="41771"/>
    <cellStyle name="40% - Ênfase4 2 2 3 9" xfId="41772"/>
    <cellStyle name="40% - Ênfase4 2 2 4 9" xfId="41773"/>
    <cellStyle name="40% - Ênfase4 2 2 5 9" xfId="41774"/>
    <cellStyle name="40% - Ênfase4 2 3 13" xfId="41775"/>
    <cellStyle name="40% - Ênfase4 2 3 2 11" xfId="41776"/>
    <cellStyle name="40% - Ênfase4 2 3 2 2 9" xfId="41777"/>
    <cellStyle name="40% - Ênfase4 2 3 2 3 9" xfId="41778"/>
    <cellStyle name="40% - Ênfase4 2 3 3 9" xfId="41779"/>
    <cellStyle name="40% - Ênfase4 2 3 4 9" xfId="41780"/>
    <cellStyle name="40% - Ênfase4 2 5 11" xfId="41781"/>
    <cellStyle name="40% - Ênfase4 2 5 2 9" xfId="41782"/>
    <cellStyle name="40% - Ênfase4 2 5 3 9" xfId="41783"/>
    <cellStyle name="40% - Ênfase4 3 16" xfId="41784"/>
    <cellStyle name="40% - Ênfase4 3 2 13" xfId="41785"/>
    <cellStyle name="40% - Ênfase4 3 2 2 11" xfId="41786"/>
    <cellStyle name="40% - Ênfase4 3 2 2 2 9" xfId="41787"/>
    <cellStyle name="40% - Ênfase4 3 2 2 3 9" xfId="41788"/>
    <cellStyle name="40% - Ênfase4 3 2 3 9" xfId="41789"/>
    <cellStyle name="40% - Ênfase4 3 2 4 9" xfId="41790"/>
    <cellStyle name="40% - Ênfase4 3 3 12" xfId="41791"/>
    <cellStyle name="40% - Ênfase4 3 3 2 9" xfId="41792"/>
    <cellStyle name="40% - Ênfase4 3 3 3 9" xfId="41793"/>
    <cellStyle name="40% - Ênfase4 3 4 11" xfId="41794"/>
    <cellStyle name="40% - Ênfase4 3 4 2 9" xfId="41795"/>
    <cellStyle name="40% - Ênfase4 3 4 3 9" xfId="41796"/>
    <cellStyle name="40% - Ênfase4 3 5 9" xfId="41797"/>
    <cellStyle name="40% - Ênfase4 3 6 9" xfId="41798"/>
    <cellStyle name="40% - Ênfase4 3 7 9" xfId="41799"/>
    <cellStyle name="40% - Ênfase4 4 16" xfId="41800"/>
    <cellStyle name="40% - Ênfase4 4 2 13" xfId="41801"/>
    <cellStyle name="40% - Ênfase4 4 2 2 11" xfId="41802"/>
    <cellStyle name="40% - Ênfase4 4 2 2 2 9" xfId="41803"/>
    <cellStyle name="40% - Ênfase4 4 2 2 3 9" xfId="41804"/>
    <cellStyle name="40% - Ênfase4 4 2 3 9" xfId="41805"/>
    <cellStyle name="40% - Ênfase4 4 2 4 9" xfId="41806"/>
    <cellStyle name="40% - Ênfase4 4 3 12" xfId="41807"/>
    <cellStyle name="40% - Ênfase4 4 3 2 9" xfId="41808"/>
    <cellStyle name="40% - Ênfase4 4 3 3 9" xfId="41809"/>
    <cellStyle name="40% - Ênfase4 4 4 11" xfId="41810"/>
    <cellStyle name="40% - Ênfase4 4 4 2 9" xfId="41811"/>
    <cellStyle name="40% - Ênfase4 4 4 3 9" xfId="41812"/>
    <cellStyle name="40% - Ênfase4 4 5 9" xfId="41813"/>
    <cellStyle name="40% - Ênfase4 4 6 9" xfId="41814"/>
    <cellStyle name="40% - Ênfase4 4 7 9" xfId="41815"/>
    <cellStyle name="40% - Ênfase4 5 14" xfId="41816"/>
    <cellStyle name="40% - Ênfase4 5 2 11" xfId="41817"/>
    <cellStyle name="40% - Ênfase4 5 2 2 9" xfId="41818"/>
    <cellStyle name="40% - Ênfase4 5 2 3 9" xfId="41819"/>
    <cellStyle name="40% - Ênfase4 5 3 9" xfId="41820"/>
    <cellStyle name="40% - Ênfase4 5 4 9" xfId="41821"/>
    <cellStyle name="40% - Ênfase4 5 5 9" xfId="41822"/>
    <cellStyle name="40% - Ênfase4 6 13" xfId="41823"/>
    <cellStyle name="40% - Ênfase4 6 2 11" xfId="41824"/>
    <cellStyle name="40% - Ênfase4 6 2 2 9" xfId="41825"/>
    <cellStyle name="40% - Ênfase4 6 2 3 9" xfId="41826"/>
    <cellStyle name="40% - Ênfase4 6 3 9" xfId="41827"/>
    <cellStyle name="40% - Ênfase4 6 4 9" xfId="41828"/>
    <cellStyle name="40% - Ênfase4 8 11" xfId="41829"/>
    <cellStyle name="40% - Ênfase4 8 2 9" xfId="41830"/>
    <cellStyle name="40% - Ênfase4 8 3 9" xfId="41831"/>
    <cellStyle name="40% - Ênfase5 2 2 14" xfId="41832"/>
    <cellStyle name="40% - Ênfase5 2 2 2 11" xfId="41833"/>
    <cellStyle name="40% - Ênfase5 2 2 2 2 9" xfId="41834"/>
    <cellStyle name="40% - Ênfase5 2 2 2 3 9" xfId="41835"/>
    <cellStyle name="40% - Ênfase5 2 2 3 9" xfId="41836"/>
    <cellStyle name="40% - Ênfase5 2 2 4 9" xfId="41837"/>
    <cellStyle name="40% - Ênfase5 2 2 5 9" xfId="41838"/>
    <cellStyle name="40% - Ênfase5 2 3 13" xfId="41839"/>
    <cellStyle name="40% - Ênfase5 2 3 2 11" xfId="41840"/>
    <cellStyle name="40% - Ênfase5 2 3 2 2 9" xfId="41841"/>
    <cellStyle name="40% - Ênfase5 2 3 2 3 9" xfId="41842"/>
    <cellStyle name="40% - Ênfase5 2 3 3 9" xfId="41843"/>
    <cellStyle name="40% - Ênfase5 2 3 4 9" xfId="41844"/>
    <cellStyle name="40% - Ênfase5 2 5 11" xfId="41845"/>
    <cellStyle name="40% - Ênfase5 2 5 2 9" xfId="41846"/>
    <cellStyle name="40% - Ênfase5 2 5 3 9" xfId="41847"/>
    <cellStyle name="40% - Ênfase5 3 16" xfId="41848"/>
    <cellStyle name="40% - Ênfase5 3 2 13" xfId="41849"/>
    <cellStyle name="40% - Ênfase5 3 2 2 11" xfId="41850"/>
    <cellStyle name="40% - Ênfase5 3 2 2 2 9" xfId="41851"/>
    <cellStyle name="40% - Ênfase5 3 2 2 3 9" xfId="41852"/>
    <cellStyle name="40% - Ênfase5 3 2 3 9" xfId="41853"/>
    <cellStyle name="40% - Ênfase5 3 2 4 9" xfId="41854"/>
    <cellStyle name="40% - Ênfase5 3 3 12" xfId="41855"/>
    <cellStyle name="40% - Ênfase5 3 3 2 9" xfId="41856"/>
    <cellStyle name="40% - Ênfase5 3 3 3 9" xfId="41857"/>
    <cellStyle name="40% - Ênfase5 3 4 11" xfId="41858"/>
    <cellStyle name="40% - Ênfase5 3 4 2 9" xfId="41859"/>
    <cellStyle name="40% - Ênfase5 3 4 3 9" xfId="41860"/>
    <cellStyle name="40% - Ênfase5 3 5 9" xfId="41861"/>
    <cellStyle name="40% - Ênfase5 3 6 9" xfId="41862"/>
    <cellStyle name="40% - Ênfase5 3 7 9" xfId="41863"/>
    <cellStyle name="40% - Ênfase5 4 16" xfId="41864"/>
    <cellStyle name="40% - Ênfase5 4 2 13" xfId="41865"/>
    <cellStyle name="40% - Ênfase5 4 2 2 11" xfId="41866"/>
    <cellStyle name="40% - Ênfase5 4 2 2 2 9" xfId="41867"/>
    <cellStyle name="40% - Ênfase5 4 2 2 3 9" xfId="41868"/>
    <cellStyle name="40% - Ênfase5 4 2 3 9" xfId="41869"/>
    <cellStyle name="40% - Ênfase5 4 2 4 9" xfId="41870"/>
    <cellStyle name="40% - Ênfase5 4 3 12" xfId="41871"/>
    <cellStyle name="40% - Ênfase5 4 3 2 9" xfId="41872"/>
    <cellStyle name="40% - Ênfase5 4 3 3 9" xfId="41873"/>
    <cellStyle name="40% - Ênfase5 4 4 11" xfId="41874"/>
    <cellStyle name="40% - Ênfase5 4 4 2 9" xfId="41875"/>
    <cellStyle name="40% - Ênfase5 4 4 3 9" xfId="41876"/>
    <cellStyle name="40% - Ênfase5 4 5 9" xfId="41877"/>
    <cellStyle name="40% - Ênfase5 4 6 9" xfId="41878"/>
    <cellStyle name="40% - Ênfase5 4 7 9" xfId="41879"/>
    <cellStyle name="40% - Ênfase5 5 14" xfId="41880"/>
    <cellStyle name="40% - Ênfase5 5 2 11" xfId="41881"/>
    <cellStyle name="40% - Ênfase5 5 2 2 9" xfId="41882"/>
    <cellStyle name="40% - Ênfase5 5 2 3 9" xfId="41883"/>
    <cellStyle name="40% - Ênfase5 5 3 9" xfId="41884"/>
    <cellStyle name="40% - Ênfase5 5 4 9" xfId="41885"/>
    <cellStyle name="40% - Ênfase5 5 5 9" xfId="41886"/>
    <cellStyle name="40% - Ênfase5 6 13" xfId="41887"/>
    <cellStyle name="40% - Ênfase5 6 2 11" xfId="41888"/>
    <cellStyle name="40% - Ênfase5 6 2 2 9" xfId="41889"/>
    <cellStyle name="40% - Ênfase5 6 2 3 9" xfId="41890"/>
    <cellStyle name="40% - Ênfase5 6 3 9" xfId="41891"/>
    <cellStyle name="40% - Ênfase5 6 4 9" xfId="41892"/>
    <cellStyle name="40% - Ênfase5 8 11" xfId="41893"/>
    <cellStyle name="40% - Ênfase5 8 2 9" xfId="41894"/>
    <cellStyle name="40% - Ênfase5 8 3 9" xfId="41895"/>
    <cellStyle name="40% - Ênfase6 2 2 14" xfId="41896"/>
    <cellStyle name="40% - Ênfase6 2 2 2 11" xfId="41897"/>
    <cellStyle name="40% - Ênfase6 2 2 2 2 9" xfId="41898"/>
    <cellStyle name="40% - Ênfase6 2 2 2 3 9" xfId="41899"/>
    <cellStyle name="40% - Ênfase6 2 2 3 9" xfId="41900"/>
    <cellStyle name="40% - Ênfase6 2 2 4 9" xfId="41901"/>
    <cellStyle name="40% - Ênfase6 2 2 5 9" xfId="41902"/>
    <cellStyle name="40% - Ênfase6 2 3 13" xfId="41903"/>
    <cellStyle name="40% - Ênfase6 2 3 2 11" xfId="41904"/>
    <cellStyle name="40% - Ênfase6 2 3 2 2 9" xfId="41905"/>
    <cellStyle name="40% - Ênfase6 2 3 2 3 9" xfId="41906"/>
    <cellStyle name="40% - Ênfase6 2 3 3 9" xfId="41907"/>
    <cellStyle name="40% - Ênfase6 2 3 4 9" xfId="41908"/>
    <cellStyle name="40% - Ênfase6 2 5 11" xfId="41909"/>
    <cellStyle name="40% - Ênfase6 2 5 2 9" xfId="41910"/>
    <cellStyle name="40% - Ênfase6 2 5 3 9" xfId="41911"/>
    <cellStyle name="40% - Ênfase6 3 16" xfId="41912"/>
    <cellStyle name="40% - Ênfase6 3 2 13" xfId="41913"/>
    <cellStyle name="40% - Ênfase6 3 2 2 11" xfId="41914"/>
    <cellStyle name="40% - Ênfase6 3 2 2 2 9" xfId="41915"/>
    <cellStyle name="40% - Ênfase6 3 2 2 3 9" xfId="41916"/>
    <cellStyle name="40% - Ênfase6 3 2 3 9" xfId="41917"/>
    <cellStyle name="40% - Ênfase6 3 2 4 9" xfId="41918"/>
    <cellStyle name="40% - Ênfase6 3 3 12" xfId="41919"/>
    <cellStyle name="40% - Ênfase6 3 3 2 9" xfId="41920"/>
    <cellStyle name="40% - Ênfase6 3 3 3 9" xfId="41921"/>
    <cellStyle name="40% - Ênfase6 3 4 11" xfId="41922"/>
    <cellStyle name="40% - Ênfase6 3 4 2 9" xfId="41923"/>
    <cellStyle name="40% - Ênfase6 3 4 3 9" xfId="41924"/>
    <cellStyle name="40% - Ênfase6 3 5 9" xfId="41925"/>
    <cellStyle name="40% - Ênfase6 3 6 9" xfId="41926"/>
    <cellStyle name="40% - Ênfase6 3 7 9" xfId="41927"/>
    <cellStyle name="40% - Ênfase6 4 16" xfId="41928"/>
    <cellStyle name="40% - Ênfase6 4 2 13" xfId="41929"/>
    <cellStyle name="40% - Ênfase6 4 2 2 11" xfId="41930"/>
    <cellStyle name="40% - Ênfase6 4 2 2 2 9" xfId="41931"/>
    <cellStyle name="40% - Ênfase6 4 2 2 3 9" xfId="41932"/>
    <cellStyle name="40% - Ênfase6 4 2 3 9" xfId="41933"/>
    <cellStyle name="40% - Ênfase6 4 2 4 9" xfId="41934"/>
    <cellStyle name="40% - Ênfase6 4 3 12" xfId="41935"/>
    <cellStyle name="40% - Ênfase6 4 3 2 9" xfId="41936"/>
    <cellStyle name="40% - Ênfase6 4 3 3 9" xfId="41937"/>
    <cellStyle name="40% - Ênfase6 4 4 11" xfId="41938"/>
    <cellStyle name="40% - Ênfase6 4 4 2 9" xfId="41939"/>
    <cellStyle name="40% - Ênfase6 4 4 3 9" xfId="41940"/>
    <cellStyle name="40% - Ênfase6 4 5 9" xfId="41941"/>
    <cellStyle name="40% - Ênfase6 4 6 9" xfId="41942"/>
    <cellStyle name="40% - Ênfase6 4 7 9" xfId="41943"/>
    <cellStyle name="40% - Ênfase6 5 14" xfId="41944"/>
    <cellStyle name="40% - Ênfase6 5 2 11" xfId="41945"/>
    <cellStyle name="40% - Ênfase6 5 2 2 9" xfId="41946"/>
    <cellStyle name="40% - Ênfase6 5 2 3 9" xfId="41947"/>
    <cellStyle name="40% - Ênfase6 5 3 9" xfId="41948"/>
    <cellStyle name="40% - Ênfase6 5 4 9" xfId="41949"/>
    <cellStyle name="40% - Ênfase6 5 5 9" xfId="41950"/>
    <cellStyle name="40% - Ênfase6 6 13" xfId="41951"/>
    <cellStyle name="40% - Ênfase6 6 2 11" xfId="41952"/>
    <cellStyle name="40% - Ênfase6 6 2 2 9" xfId="41953"/>
    <cellStyle name="40% - Ênfase6 6 2 3 9" xfId="41954"/>
    <cellStyle name="40% - Ênfase6 6 3 9" xfId="41955"/>
    <cellStyle name="40% - Ênfase6 6 4 9" xfId="41956"/>
    <cellStyle name="40% - Ênfase6 8 11" xfId="41957"/>
    <cellStyle name="40% - Ênfase6 8 2 9" xfId="41958"/>
    <cellStyle name="40% - Ênfase6 8 3 9" xfId="41959"/>
    <cellStyle name="Normal 3 3 12" xfId="41960"/>
    <cellStyle name="Normal 3 3 2 9" xfId="41961"/>
    <cellStyle name="Normal 3 3 3 9" xfId="41962"/>
    <cellStyle name="Normal 3 4 9" xfId="41963"/>
    <cellStyle name="Normal 3 5 9" xfId="41964"/>
    <cellStyle name="Normal 3 6 9" xfId="41965"/>
    <cellStyle name="Normal 4 2 14" xfId="41966"/>
    <cellStyle name="Normal 4 2 2 11" xfId="41967"/>
    <cellStyle name="Normal 4 2 2 2 9" xfId="41968"/>
    <cellStyle name="Normal 4 2 2 3 9" xfId="41969"/>
    <cellStyle name="Normal 4 2 3 9" xfId="41970"/>
    <cellStyle name="Normal 4 2 4 9" xfId="41971"/>
    <cellStyle name="Normal 4 2 5 9" xfId="41972"/>
    <cellStyle name="Normal 4 3 13" xfId="41973"/>
    <cellStyle name="Normal 4 3 2 11" xfId="41974"/>
    <cellStyle name="Normal 4 3 2 2 9" xfId="41975"/>
    <cellStyle name="Normal 4 3 2 3 9" xfId="41976"/>
    <cellStyle name="Normal 4 3 3 9" xfId="41977"/>
    <cellStyle name="Normal 4 3 4 9" xfId="41978"/>
    <cellStyle name="Normal 4 5 11" xfId="41979"/>
    <cellStyle name="Normal 4 5 2 9" xfId="41980"/>
    <cellStyle name="Normal 4 5 3 9" xfId="41981"/>
    <cellStyle name="Normal 5 2 15" xfId="41982"/>
    <cellStyle name="Normal 5 2 2 11" xfId="41983"/>
    <cellStyle name="Normal 5 2 2 2 9" xfId="41984"/>
    <cellStyle name="Normal 5 2 2 3 9" xfId="41985"/>
    <cellStyle name="Normal 5 2 3 9" xfId="41986"/>
    <cellStyle name="Normal 5 2 4 9" xfId="41987"/>
    <cellStyle name="Normal 5 2 5 9" xfId="41988"/>
    <cellStyle name="Normal 5 3 13" xfId="41989"/>
    <cellStyle name="Normal 5 3 2 11" xfId="41990"/>
    <cellStyle name="Normal 5 3 2 2 9" xfId="41991"/>
    <cellStyle name="Normal 5 3 2 3 9" xfId="41992"/>
    <cellStyle name="Normal 5 3 3 9" xfId="41993"/>
    <cellStyle name="Normal 5 3 4 9" xfId="41994"/>
    <cellStyle name="Normal 5 5 11" xfId="41995"/>
    <cellStyle name="Normal 5 5 2 9" xfId="41996"/>
    <cellStyle name="Normal 5 5 3 9" xfId="41997"/>
    <cellStyle name="Normal 6 4 9" xfId="41998"/>
    <cellStyle name="Normal 7 2 6 8" xfId="41999"/>
    <cellStyle name="Normal 7 2 2 4 8" xfId="42000"/>
    <cellStyle name="Normal 7 2 2 2 9" xfId="42001"/>
    <cellStyle name="Normal 7 2 2 3 9" xfId="42002"/>
    <cellStyle name="Normal 7 2 3 9" xfId="42003"/>
    <cellStyle name="Normal 7 2 4 9" xfId="42004"/>
    <cellStyle name="Normal 7 2 5 9" xfId="42005"/>
    <cellStyle name="Normal 7 3 5 8" xfId="42006"/>
    <cellStyle name="Normal 7 3 2 11" xfId="42007"/>
    <cellStyle name="Normal 7 3 2 2 9" xfId="42008"/>
    <cellStyle name="Normal 7 3 2 3 9" xfId="42009"/>
    <cellStyle name="Normal 7 3 3 9" xfId="42010"/>
    <cellStyle name="Normal 7 3 4 9" xfId="42011"/>
    <cellStyle name="Normal 7 5 11" xfId="42012"/>
    <cellStyle name="Normal 7 5 2 9" xfId="42013"/>
    <cellStyle name="Normal 7 5 3 9" xfId="42014"/>
    <cellStyle name="Normal 8 9 8" xfId="42015"/>
    <cellStyle name="Normal 8 2 5 8" xfId="42016"/>
    <cellStyle name="Normal 8 2 2 4 8" xfId="42017"/>
    <cellStyle name="Normal 8 2 2 2 9" xfId="42018"/>
    <cellStyle name="Normal 8 2 2 3 9" xfId="42019"/>
    <cellStyle name="Normal 8 2 3 9" xfId="42020"/>
    <cellStyle name="Normal 8 2 4 9" xfId="42021"/>
    <cellStyle name="Normal 8 3 4 8" xfId="42022"/>
    <cellStyle name="Normal 8 3 2 2 8" xfId="42023"/>
    <cellStyle name="Normal 8 3 3 9" xfId="42024"/>
    <cellStyle name="Normal 8 4 4 8" xfId="42025"/>
    <cellStyle name="Normal 8 4 2 2 8" xfId="42026"/>
    <cellStyle name="Normal 8 4 3 9" xfId="42027"/>
    <cellStyle name="Normal 8 5 4 7" xfId="42028"/>
    <cellStyle name="Normal 8 6 2 8" xfId="42029"/>
    <cellStyle name="Normal 8 7 9" xfId="42030"/>
    <cellStyle name="Nota 2 2 14" xfId="42031"/>
    <cellStyle name="Nota 2 2 2 11" xfId="42032"/>
    <cellStyle name="Nota 2 2 2 2 9" xfId="42033"/>
    <cellStyle name="Nota 2 2 2 3 9" xfId="42034"/>
    <cellStyle name="Nota 2 2 3 9" xfId="42035"/>
    <cellStyle name="Nota 2 2 4 9" xfId="42036"/>
    <cellStyle name="Nota 2 2 5 9" xfId="42037"/>
    <cellStyle name="Nota 2 3 13" xfId="42038"/>
    <cellStyle name="Nota 2 3 2 11" xfId="42039"/>
    <cellStyle name="Nota 2 3 2 2 9" xfId="42040"/>
    <cellStyle name="Nota 2 3 2 3 9" xfId="42041"/>
    <cellStyle name="Nota 2 3 3 9" xfId="42042"/>
    <cellStyle name="Nota 2 3 4 9" xfId="42043"/>
    <cellStyle name="Nota 2 5 11" xfId="42044"/>
    <cellStyle name="Nota 2 5 2 9" xfId="42045"/>
    <cellStyle name="Nota 2 5 3 9" xfId="42046"/>
    <cellStyle name="Nota 3 2 14" xfId="42047"/>
    <cellStyle name="Nota 3 2 2 11" xfId="42048"/>
    <cellStyle name="Nota 3 2 2 2 9" xfId="42049"/>
    <cellStyle name="Nota 3 2 2 3 9" xfId="42050"/>
    <cellStyle name="Nota 3 2 3 9" xfId="42051"/>
    <cellStyle name="Nota 3 2 4 9" xfId="42052"/>
    <cellStyle name="Nota 3 2 5 9" xfId="42053"/>
    <cellStyle name="Nota 3 3 13" xfId="42054"/>
    <cellStyle name="Nota 3 3 2 11" xfId="42055"/>
    <cellStyle name="Nota 3 3 2 2 9" xfId="42056"/>
    <cellStyle name="Nota 3 3 2 3 9" xfId="42057"/>
    <cellStyle name="Nota 3 3 3 9" xfId="42058"/>
    <cellStyle name="Nota 3 3 4 9" xfId="42059"/>
    <cellStyle name="Nota 3 5 11" xfId="42060"/>
    <cellStyle name="Nota 3 5 2 9" xfId="42061"/>
    <cellStyle name="Nota 3 5 3 9" xfId="42062"/>
    <cellStyle name="Nota 4 8 8" xfId="42063"/>
    <cellStyle name="Nota 4 2 13" xfId="42064"/>
    <cellStyle name="Nota 4 2 2 11" xfId="42065"/>
    <cellStyle name="Nota 4 2 2 2 9" xfId="42066"/>
    <cellStyle name="Nota 4 2 2 3 9" xfId="42067"/>
    <cellStyle name="Nota 4 2 3 9" xfId="42068"/>
    <cellStyle name="Nota 4 2 4 9" xfId="42069"/>
    <cellStyle name="Nota 4 3 12" xfId="42070"/>
    <cellStyle name="Nota 4 3 2 9" xfId="42071"/>
    <cellStyle name="Nota 4 3 3 9" xfId="42072"/>
    <cellStyle name="Nota 4 4 11" xfId="42073"/>
    <cellStyle name="Nota 4 4 2 9" xfId="42074"/>
    <cellStyle name="Nota 4 4 3 9" xfId="42075"/>
    <cellStyle name="Nota 4 5 9" xfId="42076"/>
    <cellStyle name="Nota 4 6 9" xfId="42077"/>
    <cellStyle name="Nota 4 7 9" xfId="42078"/>
    <cellStyle name="Nota 5 16" xfId="42079"/>
    <cellStyle name="Nota 5 2 13" xfId="42080"/>
    <cellStyle name="Nota 5 2 2 11" xfId="42081"/>
    <cellStyle name="Nota 5 2 2 2 9" xfId="42082"/>
    <cellStyle name="Nota 5 2 2 3 9" xfId="42083"/>
    <cellStyle name="Nota 5 2 3 9" xfId="42084"/>
    <cellStyle name="Nota 5 2 4 9" xfId="42085"/>
    <cellStyle name="Nota 5 3 12" xfId="42086"/>
    <cellStyle name="Nota 5 3 2 9" xfId="42087"/>
    <cellStyle name="Nota 5 3 3 9" xfId="42088"/>
    <cellStyle name="Nota 5 4 11" xfId="42089"/>
    <cellStyle name="Nota 5 4 2 9" xfId="42090"/>
    <cellStyle name="Nota 5 4 3 9" xfId="42091"/>
    <cellStyle name="Nota 5 5 9" xfId="42092"/>
    <cellStyle name="Nota 5 6 9" xfId="42093"/>
    <cellStyle name="Nota 5 7 9" xfId="42094"/>
    <cellStyle name="Separador de milhares 2 2 4 8" xfId="42095"/>
    <cellStyle name="Separador de milhares 2 2 2 8" xfId="42096"/>
    <cellStyle name="Separador de milhares 2 2 3 8" xfId="42097"/>
    <cellStyle name="Separador de milhares 2 3 2 8" xfId="42098"/>
    <cellStyle name="Separador de milhares 2 4 8" xfId="42099"/>
    <cellStyle name="Separador de milhares 2 5 8" xfId="42100"/>
    <cellStyle name="Separador de milhares 2 6 8" xfId="42101"/>
    <cellStyle name="Separador de milhares 3 2 4 8" xfId="42102"/>
    <cellStyle name="Separador de milhares 3 2 2 8" xfId="42103"/>
    <cellStyle name="Separador de milhares 3 2 3 8" xfId="42104"/>
    <cellStyle name="Separador de milhares 3 4 2 8" xfId="42105"/>
    <cellStyle name="Separador de milhares 4 4 8" xfId="42106"/>
    <cellStyle name="Separador de milhares 4 2 3 8" xfId="42107"/>
    <cellStyle name="Separador de milhares 4 2 2 8" xfId="42108"/>
    <cellStyle name="Separador de milhares 4 3 2 8" xfId="42109"/>
    <cellStyle name="Separador de milhares 5 2 3 8" xfId="42110"/>
    <cellStyle name="Separador de milhares 5 2 2 8" xfId="42111"/>
    <cellStyle name="Separador de milhares 5 3 2 8" xfId="42112"/>
    <cellStyle name="Separador de milhares 5 4 8" xfId="42113"/>
    <cellStyle name="Separador de milhares 6 5 8" xfId="42114"/>
    <cellStyle name="Separador de milhares 6 2 3 8" xfId="42115"/>
    <cellStyle name="Separador de milhares 6 2 2 8" xfId="42116"/>
    <cellStyle name="Separador de milhares 6 3 2 8" xfId="42117"/>
    <cellStyle name="Separador de milhares 6 4 8" xfId="42118"/>
    <cellStyle name="Separador de milhares 7 3 2 7" xfId="42119"/>
    <cellStyle name="Vírgula 2 6 8" xfId="42120"/>
    <cellStyle name="Vírgula 2 2 11" xfId="42121"/>
    <cellStyle name="Vírgula 2 2 2 8" xfId="42122"/>
    <cellStyle name="Vírgula 2 3 10" xfId="42123"/>
    <cellStyle name="Vírgula 2 3 2 8" xfId="42124"/>
    <cellStyle name="Vírgula 2 4 8" xfId="42125"/>
    <cellStyle name="Vírgula 2 5 8" xfId="42126"/>
    <cellStyle name="Vírgula 3 4 8" xfId="42127"/>
    <cellStyle name="Vírgula 3 2 9" xfId="42128"/>
    <cellStyle name="Vírgula 3 3 8" xfId="42129"/>
    <cellStyle name="Vírgula 4 4 8" xfId="42130"/>
    <cellStyle name="Vírgula 4 2 3 7" xfId="42131"/>
    <cellStyle name="Vírgula 4 2 2 2 8" xfId="42132"/>
    <cellStyle name="Vírgula 4 3 9" xfId="42133"/>
    <cellStyle name="Vírgula 5 3 8" xfId="42134"/>
    <cellStyle name="Vírgula 5 2 8" xfId="42135"/>
    <cellStyle name="Vírgula 6 2 7" xfId="42136"/>
    <cellStyle name="Vírgula 8 2 2 8" xfId="42137"/>
    <cellStyle name="Vírgula 9 2 7" xfId="42138"/>
    <cellStyle name="Comma 4 3 7" xfId="42139"/>
    <cellStyle name="Comma 5 3 7" xfId="42140"/>
    <cellStyle name="Comma 6 7" xfId="42141"/>
    <cellStyle name="Comma 7 7" xfId="42142"/>
    <cellStyle name="Vírgula 10 10" xfId="42143"/>
    <cellStyle name="Comma 8 7" xfId="42144"/>
    <cellStyle name="Comma 9 7" xfId="42145"/>
    <cellStyle name="Comma 10 7" xfId="42146"/>
    <cellStyle name="Vírgula 10 2 8" xfId="42147"/>
    <cellStyle name="Separador de milhares 2 7 2 8" xfId="42148"/>
    <cellStyle name="Comma 11 7" xfId="42149"/>
    <cellStyle name="Vírgula 10 3 8" xfId="42150"/>
    <cellStyle name="Separador de milhares 2 7 3 8" xfId="42151"/>
    <cellStyle name="Porcentagem 12 8" xfId="42152"/>
    <cellStyle name="Normal 55 7" xfId="42153"/>
    <cellStyle name="Percent 14 7" xfId="42154"/>
    <cellStyle name="Normal 3 9 8" xfId="42155"/>
    <cellStyle name="Vírgula 11 7" xfId="42156"/>
    <cellStyle name="Normal 3 7 2 8" xfId="42157"/>
    <cellStyle name="20% - Ênfase1 5 6 8" xfId="42158"/>
    <cellStyle name="40% - Ênfase1 5 6 8" xfId="42159"/>
    <cellStyle name="20% - Ênfase2 5 6 8" xfId="42160"/>
    <cellStyle name="40% - Ênfase2 5 6 8" xfId="42161"/>
    <cellStyle name="20% - Ênfase3 5 6 8" xfId="42162"/>
    <cellStyle name="40% - Ênfase3 5 6 8" xfId="42163"/>
    <cellStyle name="20% - Ênfase4 5 6 8" xfId="42164"/>
    <cellStyle name="40% - Ênfase4 5 6 8" xfId="42165"/>
    <cellStyle name="20% - Ênfase5 5 6 8" xfId="42166"/>
    <cellStyle name="40% - Ênfase5 5 6 8" xfId="42167"/>
    <cellStyle name="20% - Ênfase6 5 6 8" xfId="42168"/>
    <cellStyle name="40% - Ênfase6 5 6 8" xfId="42169"/>
    <cellStyle name="Normal 4 2 6 8" xfId="42170"/>
    <cellStyle name="Nota 2 2 6 8" xfId="42171"/>
    <cellStyle name="Normal 5 2 7 8" xfId="42172"/>
    <cellStyle name="Nota 3 2 6 8" xfId="42173"/>
    <cellStyle name="20% - Ênfase1 2 2 6 8" xfId="42174"/>
    <cellStyle name="40% - Ênfase1 2 2 6 8" xfId="42175"/>
    <cellStyle name="20% - Ênfase2 2 2 6 8" xfId="42176"/>
    <cellStyle name="40% - Ênfase2 2 2 6 8" xfId="42177"/>
    <cellStyle name="20% - Ênfase3 2 2 6 8" xfId="42178"/>
    <cellStyle name="40% - Ênfase3 2 2 6 8" xfId="42179"/>
    <cellStyle name="20% - Ênfase4 2 2 6 8" xfId="42180"/>
    <cellStyle name="40% - Ênfase4 2 2 6 8" xfId="42181"/>
    <cellStyle name="20% - Ênfase5 2 2 6 8" xfId="42182"/>
    <cellStyle name="40% - Ênfase5 2 2 6 8" xfId="42183"/>
    <cellStyle name="20% - Ênfase6 2 2 6 8" xfId="42184"/>
    <cellStyle name="40% - Ênfase6 2 2 6 8" xfId="42185"/>
    <cellStyle name="Normal 7 2 7 8" xfId="42186"/>
    <cellStyle name="Nota 4 9 8" xfId="42187"/>
    <cellStyle name="20% - Ênfase1 3 8 8" xfId="42188"/>
    <cellStyle name="40% - Ênfase1 3 8 8" xfId="42189"/>
    <cellStyle name="20% - Ênfase2 3 8 8" xfId="42190"/>
    <cellStyle name="40% - Ênfase2 3 8 8" xfId="42191"/>
    <cellStyle name="20% - Ênfase3 3 8 8" xfId="42192"/>
    <cellStyle name="40% - Ênfase3 3 8 8" xfId="42193"/>
    <cellStyle name="20% - Ênfase4 3 8 8" xfId="42194"/>
    <cellStyle name="40% - Ênfase4 3 8 8" xfId="42195"/>
    <cellStyle name="20% - Ênfase5 3 8 8" xfId="42196"/>
    <cellStyle name="40% - Ênfase5 3 8 8" xfId="42197"/>
    <cellStyle name="20% - Ênfase6 3 8 8" xfId="42198"/>
    <cellStyle name="40% - Ênfase6 3 8 8" xfId="42199"/>
    <cellStyle name="Normal 8 12 7" xfId="42200"/>
    <cellStyle name="Nota 5 8 8" xfId="42201"/>
    <cellStyle name="20% - Ênfase1 4 8 8" xfId="42202"/>
    <cellStyle name="40% - Ênfase1 4 8 8" xfId="42203"/>
    <cellStyle name="20% - Ênfase2 4 8 8" xfId="42204"/>
    <cellStyle name="40% - Ênfase2 4 8 8" xfId="42205"/>
    <cellStyle name="20% - Ênfase3 4 8 8" xfId="42206"/>
    <cellStyle name="40% - Ênfase3 4 8 8" xfId="42207"/>
    <cellStyle name="20% - Ênfase4 4 8 8" xfId="42208"/>
    <cellStyle name="40% - Ênfase4 4 8 8" xfId="42209"/>
    <cellStyle name="20% - Ênfase5 4 8 8" xfId="42210"/>
    <cellStyle name="40% - Ênfase5 4 8 8" xfId="42211"/>
    <cellStyle name="20% - Ênfase6 4 8 8" xfId="42212"/>
    <cellStyle name="40% - Ênfase6 4 8 8" xfId="42213"/>
    <cellStyle name="20% - Ênfase1 6 5 8" xfId="42214"/>
    <cellStyle name="40% - Ênfase1 6 5 8" xfId="42215"/>
    <cellStyle name="20% - Ênfase2 6 5 8" xfId="42216"/>
    <cellStyle name="40% - Ênfase2 6 5 8" xfId="42217"/>
    <cellStyle name="20% - Ênfase3 6 5 8" xfId="42218"/>
    <cellStyle name="40% - Ênfase3 6 5 8" xfId="42219"/>
    <cellStyle name="20% - Ênfase4 6 5 8" xfId="42220"/>
    <cellStyle name="40% - Ênfase4 6 5 8" xfId="42221"/>
    <cellStyle name="20% - Ênfase5 6 5 8" xfId="42222"/>
    <cellStyle name="40% - Ênfase5 6 5 8" xfId="42223"/>
    <cellStyle name="20% - Ênfase6 6 5 8" xfId="42224"/>
    <cellStyle name="40% - Ênfase6 6 5 8" xfId="42225"/>
    <cellStyle name="Normal 4 3 5 8" xfId="42226"/>
    <cellStyle name="Nota 2 3 5 8" xfId="42227"/>
    <cellStyle name="Normal 5 3 5 8" xfId="42228"/>
    <cellStyle name="Nota 3 3 5 8" xfId="42229"/>
    <cellStyle name="20% - Ênfase1 2 3 5 8" xfId="42230"/>
    <cellStyle name="40% - Ênfase1 2 3 5 8" xfId="42231"/>
    <cellStyle name="20% - Ênfase2 2 3 5 8" xfId="42232"/>
    <cellStyle name="40% - Ênfase2 2 3 5 8" xfId="42233"/>
    <cellStyle name="20% - Ênfase3 2 3 5 8" xfId="42234"/>
    <cellStyle name="40% - Ênfase3 2 3 5 8" xfId="42235"/>
    <cellStyle name="20% - Ênfase4 2 3 5 8" xfId="42236"/>
    <cellStyle name="40% - Ênfase4 2 3 5 8" xfId="42237"/>
    <cellStyle name="20% - Ênfase5 2 3 5 8" xfId="42238"/>
    <cellStyle name="40% - Ênfase5 2 3 5 8" xfId="42239"/>
    <cellStyle name="20% - Ênfase6 2 3 5 8" xfId="42240"/>
    <cellStyle name="40% - Ênfase6 2 3 5 8" xfId="42241"/>
    <cellStyle name="Normal 7 3 6 8" xfId="42242"/>
    <cellStyle name="Nota 4 2 5 8" xfId="42243"/>
    <cellStyle name="20% - Ênfase1 3 2 5 8" xfId="42244"/>
    <cellStyle name="40% - Ênfase1 3 2 5 8" xfId="42245"/>
    <cellStyle name="20% - Ênfase2 3 2 5 8" xfId="42246"/>
    <cellStyle name="40% - Ênfase2 3 2 5 8" xfId="42247"/>
    <cellStyle name="20% - Ênfase3 3 2 5 8" xfId="42248"/>
    <cellStyle name="40% - Ênfase3 3 2 5 8" xfId="42249"/>
    <cellStyle name="20% - Ênfase4 3 2 5 8" xfId="42250"/>
    <cellStyle name="40% - Ênfase4 3 2 5 8" xfId="42251"/>
    <cellStyle name="20% - Ênfase5 3 2 5 8" xfId="42252"/>
    <cellStyle name="40% - Ênfase5 3 2 5 8" xfId="42253"/>
    <cellStyle name="20% - Ênfase6 3 2 5 8" xfId="42254"/>
    <cellStyle name="40% - Ênfase6 3 2 5 8" xfId="42255"/>
    <cellStyle name="Normal 8 2 6 8" xfId="42256"/>
    <cellStyle name="Nota 5 2 5 8" xfId="42257"/>
    <cellStyle name="20% - Ênfase1 4 2 5 8" xfId="42258"/>
    <cellStyle name="40% - Ênfase1 4 2 5 8" xfId="42259"/>
    <cellStyle name="20% - Ênfase2 4 2 5 8" xfId="42260"/>
    <cellStyle name="40% - Ênfase2 4 2 5 8" xfId="42261"/>
    <cellStyle name="20% - Ênfase3 4 2 5 8" xfId="42262"/>
    <cellStyle name="40% - Ênfase3 4 2 5 8" xfId="42263"/>
    <cellStyle name="20% - Ênfase4 4 2 5 8" xfId="42264"/>
    <cellStyle name="40% - Ênfase4 4 2 5 8" xfId="42265"/>
    <cellStyle name="20% - Ênfase5 4 2 5 8" xfId="42266"/>
    <cellStyle name="40% - Ênfase5 4 2 5 8" xfId="42267"/>
    <cellStyle name="20% - Ênfase6 4 2 5 8" xfId="42268"/>
    <cellStyle name="40% - Ênfase6 4 2 5 8" xfId="42269"/>
    <cellStyle name="20% - Ênfase1 8 4 8" xfId="42270"/>
    <cellStyle name="40% - Ênfase1 8 4 8" xfId="42271"/>
    <cellStyle name="20% - Ênfase2 8 4 8" xfId="42272"/>
    <cellStyle name="40% - Ênfase2 8 4 8" xfId="42273"/>
    <cellStyle name="20% - Ênfase3 8 4 8" xfId="42274"/>
    <cellStyle name="40% - Ênfase3 8 4 8" xfId="42275"/>
    <cellStyle name="20% - Ênfase4 8 4 8" xfId="42276"/>
    <cellStyle name="40% - Ênfase4 8 4 8" xfId="42277"/>
    <cellStyle name="20% - Ênfase5 8 4 8" xfId="42278"/>
    <cellStyle name="40% - Ênfase5 8 4 8" xfId="42279"/>
    <cellStyle name="20% - Ênfase6 8 4 8" xfId="42280"/>
    <cellStyle name="40% - Ênfase6 8 4 8" xfId="42281"/>
    <cellStyle name="Normal 4 5 4 8" xfId="42282"/>
    <cellStyle name="Nota 2 5 4 8" xfId="42283"/>
    <cellStyle name="Normal 5 5 4 8" xfId="42284"/>
    <cellStyle name="Nota 3 5 4 8" xfId="42285"/>
    <cellStyle name="20% - Ênfase1 2 5 4 8" xfId="42286"/>
    <cellStyle name="40% - Ênfase1 2 5 4 8" xfId="42287"/>
    <cellStyle name="20% - Ênfase2 2 5 4 8" xfId="42288"/>
    <cellStyle name="40% - Ênfase2 2 5 4 8" xfId="42289"/>
    <cellStyle name="20% - Ênfase3 2 5 4 8" xfId="42290"/>
    <cellStyle name="40% - Ênfase3 2 5 4 8" xfId="42291"/>
    <cellStyle name="20% - Ênfase4 2 5 4 8" xfId="42292"/>
    <cellStyle name="40% - Ênfase4 2 5 4 8" xfId="42293"/>
    <cellStyle name="20% - Ênfase5 2 5 4 8" xfId="42294"/>
    <cellStyle name="40% - Ênfase5 2 5 4 8" xfId="42295"/>
    <cellStyle name="20% - Ênfase6 2 5 4 8" xfId="42296"/>
    <cellStyle name="40% - Ênfase6 2 5 4 8" xfId="42297"/>
    <cellStyle name="Normal 7 5 4 8" xfId="42298"/>
    <cellStyle name="Nota 4 4 4 8" xfId="42299"/>
    <cellStyle name="20% - Ênfase1 3 4 4 8" xfId="42300"/>
    <cellStyle name="40% - Ênfase1 3 4 4 8" xfId="42301"/>
    <cellStyle name="20% - Ênfase2 3 4 4 8" xfId="42302"/>
    <cellStyle name="40% - Ênfase2 3 4 4 8" xfId="42303"/>
    <cellStyle name="20% - Ênfase3 3 4 4 8" xfId="42304"/>
    <cellStyle name="40% - Ênfase3 3 4 4 8" xfId="42305"/>
    <cellStyle name="20% - Ênfase4 3 4 4 8" xfId="42306"/>
    <cellStyle name="40% - Ênfase4 3 4 4 8" xfId="42307"/>
    <cellStyle name="20% - Ênfase5 3 4 4 8" xfId="42308"/>
    <cellStyle name="40% - Ênfase5 3 4 4 8" xfId="42309"/>
    <cellStyle name="20% - Ênfase6 3 4 4 8" xfId="42310"/>
    <cellStyle name="40% - Ênfase6 3 4 4 8" xfId="42311"/>
    <cellStyle name="Normal 8 4 5 8" xfId="42312"/>
    <cellStyle name="Nota 5 4 4 8" xfId="42313"/>
    <cellStyle name="20% - Ênfase1 4 4 4 8" xfId="42314"/>
    <cellStyle name="40% - Ênfase1 4 4 4 8" xfId="42315"/>
    <cellStyle name="20% - Ênfase2 4 4 4 8" xfId="42316"/>
    <cellStyle name="40% - Ênfase2 4 4 4 8" xfId="42317"/>
    <cellStyle name="20% - Ênfase3 4 4 4 8" xfId="42318"/>
    <cellStyle name="40% - Ênfase3 4 4 4 8" xfId="42319"/>
    <cellStyle name="20% - Ênfase4 4 4 4 8" xfId="42320"/>
    <cellStyle name="40% - Ênfase4 4 4 4 8" xfId="42321"/>
    <cellStyle name="20% - Ênfase5 4 4 4 8" xfId="42322"/>
    <cellStyle name="40% - Ênfase5 4 4 4 8" xfId="42323"/>
    <cellStyle name="20% - Ênfase6 4 4 4 8" xfId="42324"/>
    <cellStyle name="40% - Ênfase6 4 4 4 8" xfId="42325"/>
    <cellStyle name="Normal 3 3 4 8" xfId="42326"/>
    <cellStyle name="20% - Ênfase1 5 2 4 8" xfId="42327"/>
    <cellStyle name="40% - Ênfase1 5 2 4 8" xfId="42328"/>
    <cellStyle name="20% - Ênfase2 5 2 4 8" xfId="42329"/>
    <cellStyle name="40% - Ênfase2 5 2 4 8" xfId="42330"/>
    <cellStyle name="20% - Ênfase3 5 2 4 8" xfId="42331"/>
    <cellStyle name="40% - Ênfase3 5 2 4 8" xfId="42332"/>
    <cellStyle name="20% - Ênfase4 5 2 4 8" xfId="42333"/>
    <cellStyle name="40% - Ênfase4 5 2 4 8" xfId="42334"/>
    <cellStyle name="20% - Ênfase5 5 2 4 8" xfId="42335"/>
    <cellStyle name="40% - Ênfase5 5 2 4 8" xfId="42336"/>
    <cellStyle name="20% - Ênfase6 5 2 4 8" xfId="42337"/>
    <cellStyle name="40% - Ênfase6 5 2 4 8" xfId="42338"/>
    <cellStyle name="Normal 4 2 2 4 8" xfId="42339"/>
    <cellStyle name="Nota 2 2 2 4 8" xfId="42340"/>
    <cellStyle name="Normal 5 2 2 4 8" xfId="42341"/>
    <cellStyle name="Nota 3 2 2 4 8" xfId="42342"/>
    <cellStyle name="20% - Ênfase1 2 2 2 4 8" xfId="42343"/>
    <cellStyle name="40% - Ênfase1 2 2 2 4 8" xfId="42344"/>
    <cellStyle name="20% - Ênfase2 2 2 2 4 8" xfId="42345"/>
    <cellStyle name="40% - Ênfase2 2 2 2 4 8" xfId="42346"/>
    <cellStyle name="20% - Ênfase3 2 2 2 4 8" xfId="42347"/>
    <cellStyle name="40% - Ênfase3 2 2 2 4 8" xfId="42348"/>
    <cellStyle name="20% - Ênfase4 2 2 2 4 8" xfId="42349"/>
    <cellStyle name="40% - Ênfase4 2 2 2 4 8" xfId="42350"/>
    <cellStyle name="20% - Ênfase5 2 2 2 4 8" xfId="42351"/>
    <cellStyle name="40% - Ênfase5 2 2 2 4 8" xfId="42352"/>
    <cellStyle name="20% - Ênfase6 2 2 2 4 8" xfId="42353"/>
    <cellStyle name="40% - Ênfase6 2 2 2 4 8" xfId="42354"/>
    <cellStyle name="Normal 7 2 2 5 8" xfId="42355"/>
    <cellStyle name="Nota 4 3 4 8" xfId="42356"/>
    <cellStyle name="20% - Ênfase1 3 3 4 8" xfId="42357"/>
    <cellStyle name="40% - Ênfase1 3 3 4 8" xfId="42358"/>
    <cellStyle name="20% - Ênfase2 3 3 4 8" xfId="42359"/>
    <cellStyle name="40% - Ênfase2 3 3 4 8" xfId="42360"/>
    <cellStyle name="20% - Ênfase3 3 3 4 8" xfId="42361"/>
    <cellStyle name="40% - Ênfase3 3 3 4 8" xfId="42362"/>
    <cellStyle name="20% - Ênfase4 3 3 4 8" xfId="42363"/>
    <cellStyle name="40% - Ênfase4 3 3 4 8" xfId="42364"/>
    <cellStyle name="20% - Ênfase5 3 3 4 8" xfId="42365"/>
    <cellStyle name="40% - Ênfase5 3 3 4 8" xfId="42366"/>
    <cellStyle name="20% - Ênfase6 3 3 4 8" xfId="42367"/>
    <cellStyle name="40% - Ênfase6 3 3 4 8" xfId="42368"/>
    <cellStyle name="Normal 8 3 5 8" xfId="42369"/>
    <cellStyle name="Nota 5 3 4 8" xfId="42370"/>
    <cellStyle name="20% - Ênfase1 4 3 4 8" xfId="42371"/>
    <cellStyle name="40% - Ênfase1 4 3 4 8" xfId="42372"/>
    <cellStyle name="20% - Ênfase2 4 3 4 8" xfId="42373"/>
    <cellStyle name="40% - Ênfase2 4 3 4 8" xfId="42374"/>
    <cellStyle name="20% - Ênfase3 4 3 4 8" xfId="42375"/>
    <cellStyle name="40% - Ênfase3 4 3 4 8" xfId="42376"/>
    <cellStyle name="20% - Ênfase4 4 3 4 8" xfId="42377"/>
    <cellStyle name="40% - Ênfase4 4 3 4 8" xfId="42378"/>
    <cellStyle name="20% - Ênfase5 4 3 4 8" xfId="42379"/>
    <cellStyle name="40% - Ênfase5 4 3 4 8" xfId="42380"/>
    <cellStyle name="20% - Ênfase6 4 3 4 8" xfId="42381"/>
    <cellStyle name="40% - Ênfase6 4 3 4 8" xfId="42382"/>
    <cellStyle name="20% - Ênfase1 6 2 4 8" xfId="42383"/>
    <cellStyle name="40% - Ênfase1 6 2 4 8" xfId="42384"/>
    <cellStyle name="20% - Ênfase2 6 2 4 8" xfId="42385"/>
    <cellStyle name="40% - Ênfase2 6 2 4 8" xfId="42386"/>
    <cellStyle name="20% - Ênfase3 6 2 4 8" xfId="42387"/>
    <cellStyle name="40% - Ênfase3 6 2 4 8" xfId="42388"/>
    <cellStyle name="20% - Ênfase4 6 2 4 8" xfId="42389"/>
    <cellStyle name="40% - Ênfase4 6 2 4 8" xfId="42390"/>
    <cellStyle name="20% - Ênfase5 6 2 4 8" xfId="42391"/>
    <cellStyle name="40% - Ênfase5 6 2 4 8" xfId="42392"/>
    <cellStyle name="20% - Ênfase6 6 2 4 8" xfId="42393"/>
    <cellStyle name="40% - Ênfase6 6 2 4 8" xfId="42394"/>
    <cellStyle name="Normal 4 3 2 4 8" xfId="42395"/>
    <cellStyle name="Nota 2 3 2 4 8" xfId="42396"/>
    <cellStyle name="Normal 5 3 2 4 8" xfId="42397"/>
    <cellStyle name="Nota 3 3 2 4 8" xfId="42398"/>
    <cellStyle name="20% - Ênfase1 2 3 2 4 8" xfId="42399"/>
    <cellStyle name="40% - Ênfase1 2 3 2 4 8" xfId="42400"/>
    <cellStyle name="20% - Ênfase2 2 3 2 4 8" xfId="42401"/>
    <cellStyle name="40% - Ênfase2 2 3 2 4 8" xfId="42402"/>
    <cellStyle name="20% - Ênfase3 2 3 2 4 8" xfId="42403"/>
    <cellStyle name="40% - Ênfase3 2 3 2 4 8" xfId="42404"/>
    <cellStyle name="20% - Ênfase4 2 3 2 4 8" xfId="42405"/>
    <cellStyle name="40% - Ênfase4 2 3 2 4 8" xfId="42406"/>
    <cellStyle name="20% - Ênfase5 2 3 2 4 8" xfId="42407"/>
    <cellStyle name="40% - Ênfase5 2 3 2 4 8" xfId="42408"/>
    <cellStyle name="20% - Ênfase6 2 3 2 4 8" xfId="42409"/>
    <cellStyle name="40% - Ênfase6 2 3 2 4 8" xfId="42410"/>
    <cellStyle name="Normal 7 3 2 4 8" xfId="42411"/>
    <cellStyle name="Nota 4 2 2 4 8" xfId="42412"/>
    <cellStyle name="20% - Ênfase1 3 2 2 4 8" xfId="42413"/>
    <cellStyle name="40% - Ênfase1 3 2 2 4 8" xfId="42414"/>
    <cellStyle name="20% - Ênfase2 3 2 2 4 8" xfId="42415"/>
    <cellStyle name="40% - Ênfase2 3 2 2 4 8" xfId="42416"/>
    <cellStyle name="20% - Ênfase3 3 2 2 4 8" xfId="42417"/>
    <cellStyle name="40% - Ênfase3 3 2 2 4 8" xfId="42418"/>
    <cellStyle name="20% - Ênfase4 3 2 2 4 8" xfId="42419"/>
    <cellStyle name="40% - Ênfase4 3 2 2 4 8" xfId="42420"/>
    <cellStyle name="20% - Ênfase5 3 2 2 4 8" xfId="42421"/>
    <cellStyle name="40% - Ênfase5 3 2 2 4 8" xfId="42422"/>
    <cellStyle name="20% - Ênfase6 3 2 2 4 8" xfId="42423"/>
    <cellStyle name="40% - Ênfase6 3 2 2 4 8" xfId="42424"/>
    <cellStyle name="Normal 8 2 2 5 8" xfId="42425"/>
    <cellStyle name="Nota 5 2 2 4 8" xfId="42426"/>
    <cellStyle name="20% - Ênfase1 4 2 2 4 8" xfId="42427"/>
    <cellStyle name="40% - Ênfase1 4 2 2 4 8" xfId="42428"/>
    <cellStyle name="20% - Ênfase2 4 2 2 4 8" xfId="42429"/>
    <cellStyle name="40% - Ênfase2 4 2 2 4 8" xfId="42430"/>
    <cellStyle name="20% - Ênfase3 4 2 2 4 8" xfId="42431"/>
    <cellStyle name="40% - Ênfase3 4 2 2 4 8" xfId="42432"/>
    <cellStyle name="20% - Ênfase4 4 2 2 4 8" xfId="42433"/>
    <cellStyle name="40% - Ênfase4 4 2 2 4 8" xfId="42434"/>
    <cellStyle name="20% - Ênfase5 4 2 2 4 8" xfId="42435"/>
    <cellStyle name="40% - Ênfase5 4 2 2 4 8" xfId="42436"/>
    <cellStyle name="20% - Ênfase6 4 2 2 4 8" xfId="42437"/>
    <cellStyle name="40% - Ênfase6 4 2 2 4 8" xfId="42438"/>
    <cellStyle name="Normal 3 4 2 8" xfId="42439"/>
    <cellStyle name="20% - Ênfase1 5 3 2 8" xfId="42440"/>
    <cellStyle name="40% - Ênfase1 5 3 2 8" xfId="42441"/>
    <cellStyle name="20% - Ênfase2 5 3 2 8" xfId="42442"/>
    <cellStyle name="40% - Ênfase2 5 3 2 8" xfId="42443"/>
    <cellStyle name="20% - Ênfase3 5 3 2 8" xfId="42444"/>
    <cellStyle name="40% - Ênfase3 5 3 2 8" xfId="42445"/>
    <cellStyle name="20% - Ênfase4 5 3 2 8" xfId="42446"/>
    <cellStyle name="40% - Ênfase4 5 3 2 8" xfId="42447"/>
    <cellStyle name="20% - Ênfase5 5 3 2 8" xfId="42448"/>
    <cellStyle name="40% - Ênfase5 5 3 2 8" xfId="42449"/>
    <cellStyle name="20% - Ênfase6 5 3 2 8" xfId="42450"/>
    <cellStyle name="40% - Ênfase6 5 3 2 8" xfId="42451"/>
    <cellStyle name="Normal 4 2 3 2 8" xfId="42452"/>
    <cellStyle name="Nota 2 2 3 2 8" xfId="42453"/>
    <cellStyle name="Normal 5 2 3 2 8" xfId="42454"/>
    <cellStyle name="Nota 3 2 3 2 8" xfId="42455"/>
    <cellStyle name="20% - Ênfase1 2 2 3 2 8" xfId="42456"/>
    <cellStyle name="40% - Ênfase1 2 2 3 2 8" xfId="42457"/>
    <cellStyle name="20% - Ênfase2 2 2 3 2 8" xfId="42458"/>
    <cellStyle name="40% - Ênfase2 2 2 3 2 8" xfId="42459"/>
    <cellStyle name="20% - Ênfase3 2 2 3 2 8" xfId="42460"/>
    <cellStyle name="40% - Ênfase3 2 2 3 2 8" xfId="42461"/>
    <cellStyle name="20% - Ênfase4 2 2 3 2 8" xfId="42462"/>
    <cellStyle name="40% - Ênfase4 2 2 3 2 8" xfId="42463"/>
    <cellStyle name="20% - Ênfase5 2 2 3 2 8" xfId="42464"/>
    <cellStyle name="40% - Ênfase5 2 2 3 2 8" xfId="42465"/>
    <cellStyle name="20% - Ênfase6 2 2 3 2 8" xfId="42466"/>
    <cellStyle name="40% - Ênfase6 2 2 3 2 8" xfId="42467"/>
    <cellStyle name="Normal 7 2 3 2 8" xfId="42468"/>
    <cellStyle name="Nota 4 5 2 8" xfId="42469"/>
    <cellStyle name="20% - Ênfase1 3 5 2 8" xfId="42470"/>
    <cellStyle name="40% - Ênfase1 3 5 2 8" xfId="42471"/>
    <cellStyle name="20% - Ênfase2 3 5 2 8" xfId="42472"/>
    <cellStyle name="40% - Ênfase2 3 5 2 8" xfId="42473"/>
    <cellStyle name="20% - Ênfase3 3 5 2 8" xfId="42474"/>
    <cellStyle name="40% - Ênfase3 3 5 2 8" xfId="42475"/>
    <cellStyle name="20% - Ênfase4 3 5 2 8" xfId="42476"/>
    <cellStyle name="40% - Ênfase4 3 5 2 8" xfId="42477"/>
    <cellStyle name="20% - Ênfase5 3 5 2 8" xfId="42478"/>
    <cellStyle name="40% - Ênfase5 3 5 2 8" xfId="42479"/>
    <cellStyle name="20% - Ênfase6 3 5 2 8" xfId="42480"/>
    <cellStyle name="40% - Ênfase6 3 5 2 8" xfId="42481"/>
    <cellStyle name="Normal 8 5 5 7" xfId="42482"/>
    <cellStyle name="Nota 5 5 2 8" xfId="42483"/>
    <cellStyle name="20% - Ênfase1 4 5 2 8" xfId="42484"/>
    <cellStyle name="40% - Ênfase1 4 5 2 8" xfId="42485"/>
    <cellStyle name="20% - Ênfase2 4 5 2 8" xfId="42486"/>
    <cellStyle name="40% - Ênfase2 4 5 2 8" xfId="42487"/>
    <cellStyle name="20% - Ênfase3 4 5 2 8" xfId="42488"/>
    <cellStyle name="40% - Ênfase3 4 5 2 8" xfId="42489"/>
    <cellStyle name="20% - Ênfase4 4 5 2 8" xfId="42490"/>
    <cellStyle name="40% - Ênfase4 4 5 2 8" xfId="42491"/>
    <cellStyle name="20% - Ênfase5 4 5 2 8" xfId="42492"/>
    <cellStyle name="40% - Ênfase5 4 5 2 8" xfId="42493"/>
    <cellStyle name="20% - Ênfase6 4 5 2 8" xfId="42494"/>
    <cellStyle name="40% - Ênfase6 4 5 2 8" xfId="42495"/>
    <cellStyle name="20% - Ênfase1 6 3 2 8" xfId="42496"/>
    <cellStyle name="40% - Ênfase1 6 3 2 8" xfId="42497"/>
    <cellStyle name="20% - Ênfase2 6 3 2 8" xfId="42498"/>
    <cellStyle name="40% - Ênfase2 6 3 2 8" xfId="42499"/>
    <cellStyle name="20% - Ênfase3 6 3 2 8" xfId="42500"/>
    <cellStyle name="40% - Ênfase3 6 3 2 8" xfId="42501"/>
    <cellStyle name="20% - Ênfase4 6 3 2 8" xfId="42502"/>
    <cellStyle name="40% - Ênfase4 6 3 2 8" xfId="42503"/>
    <cellStyle name="20% - Ênfase5 6 3 2 8" xfId="42504"/>
    <cellStyle name="40% - Ênfase5 6 3 2 8" xfId="42505"/>
    <cellStyle name="20% - Ênfase6 6 3 2 8" xfId="42506"/>
    <cellStyle name="40% - Ênfase6 6 3 2 8" xfId="42507"/>
    <cellStyle name="Normal 4 3 3 2 8" xfId="42508"/>
    <cellStyle name="Nota 2 3 3 2 8" xfId="42509"/>
    <cellStyle name="Normal 5 3 3 2 8" xfId="42510"/>
    <cellStyle name="Nota 3 3 3 2 8" xfId="42511"/>
    <cellStyle name="20% - Ênfase1 2 3 3 2 8" xfId="42512"/>
    <cellStyle name="40% - Ênfase1 2 3 3 2 8" xfId="42513"/>
    <cellStyle name="20% - Ênfase2 2 3 3 2 8" xfId="42514"/>
    <cellStyle name="40% - Ênfase2 2 3 3 2 8" xfId="42515"/>
    <cellStyle name="20% - Ênfase3 2 3 3 2 8" xfId="42516"/>
    <cellStyle name="40% - Ênfase3 2 3 3 2 8" xfId="42517"/>
    <cellStyle name="20% - Ênfase4 2 3 3 2 8" xfId="42518"/>
    <cellStyle name="40% - Ênfase4 2 3 3 2 8" xfId="42519"/>
    <cellStyle name="20% - Ênfase5 2 3 3 2 8" xfId="42520"/>
    <cellStyle name="40% - Ênfase5 2 3 3 2 8" xfId="42521"/>
    <cellStyle name="20% - Ênfase6 2 3 3 2 8" xfId="42522"/>
    <cellStyle name="40% - Ênfase6 2 3 3 2 8" xfId="42523"/>
    <cellStyle name="Normal 7 3 3 2 8" xfId="42524"/>
    <cellStyle name="Nota 4 2 3 2 8" xfId="42525"/>
    <cellStyle name="20% - Ênfase1 3 2 3 2 8" xfId="42526"/>
    <cellStyle name="40% - Ênfase1 3 2 3 2 8" xfId="42527"/>
    <cellStyle name="20% - Ênfase2 3 2 3 2 8" xfId="42528"/>
    <cellStyle name="40% - Ênfase2 3 2 3 2 8" xfId="42529"/>
    <cellStyle name="20% - Ênfase3 3 2 3 2 8" xfId="42530"/>
    <cellStyle name="40% - Ênfase3 3 2 3 2 8" xfId="42531"/>
    <cellStyle name="20% - Ênfase4 3 2 3 2 8" xfId="42532"/>
    <cellStyle name="40% - Ênfase4 3 2 3 2 8" xfId="42533"/>
    <cellStyle name="20% - Ênfase5 3 2 3 2 8" xfId="42534"/>
    <cellStyle name="40% - Ênfase5 3 2 3 2 8" xfId="42535"/>
    <cellStyle name="20% - Ênfase6 3 2 3 2 8" xfId="42536"/>
    <cellStyle name="40% - Ênfase6 3 2 3 2 8" xfId="42537"/>
    <cellStyle name="Normal 8 2 3 2 8" xfId="42538"/>
    <cellStyle name="Nota 5 2 3 2 8" xfId="42539"/>
    <cellStyle name="20% - Ênfase1 4 2 3 2 8" xfId="42540"/>
    <cellStyle name="40% - Ênfase1 4 2 3 2 8" xfId="42541"/>
    <cellStyle name="20% - Ênfase2 4 2 3 2 8" xfId="42542"/>
    <cellStyle name="40% - Ênfase2 4 2 3 2 8" xfId="42543"/>
    <cellStyle name="20% - Ênfase3 4 2 3 2 8" xfId="42544"/>
    <cellStyle name="40% - Ênfase3 4 2 3 2 8" xfId="42545"/>
    <cellStyle name="20% - Ênfase4 4 2 3 2 8" xfId="42546"/>
    <cellStyle name="40% - Ênfase4 4 2 3 2 8" xfId="42547"/>
    <cellStyle name="20% - Ênfase5 4 2 3 2 8" xfId="42548"/>
    <cellStyle name="40% - Ênfase5 4 2 3 2 8" xfId="42549"/>
    <cellStyle name="20% - Ênfase6 4 2 3 2 8" xfId="42550"/>
    <cellStyle name="40% - Ênfase6 4 2 3 2 8" xfId="42551"/>
    <cellStyle name="20% - Ênfase1 8 2 2 8" xfId="42552"/>
    <cellStyle name="40% - Ênfase1 8 2 2 8" xfId="42553"/>
    <cellStyle name="20% - Ênfase2 8 2 2 8" xfId="42554"/>
    <cellStyle name="40% - Ênfase2 8 2 2 8" xfId="42555"/>
    <cellStyle name="20% - Ênfase3 8 2 2 8" xfId="42556"/>
    <cellStyle name="40% - Ênfase3 8 2 2 8" xfId="42557"/>
    <cellStyle name="20% - Ênfase4 8 2 2 8" xfId="42558"/>
    <cellStyle name="40% - Ênfase4 8 2 2 8" xfId="42559"/>
    <cellStyle name="20% - Ênfase5 8 2 2 8" xfId="42560"/>
    <cellStyle name="40% - Ênfase5 8 2 2 8" xfId="42561"/>
    <cellStyle name="20% - Ênfase6 8 2 2 8" xfId="42562"/>
    <cellStyle name="40% - Ênfase6 8 2 2 8" xfId="42563"/>
    <cellStyle name="Normal 4 5 2 2 8" xfId="42564"/>
    <cellStyle name="Nota 2 5 2 2 8" xfId="42565"/>
    <cellStyle name="Normal 5 5 2 2 8" xfId="42566"/>
    <cellStyle name="Nota 3 5 2 2 8" xfId="42567"/>
    <cellStyle name="20% - Ênfase1 2 5 2 2 8" xfId="42568"/>
    <cellStyle name="40% - Ênfase1 2 5 2 2 8" xfId="42569"/>
    <cellStyle name="20% - Ênfase2 2 5 2 2 8" xfId="42570"/>
    <cellStyle name="40% - Ênfase2 2 5 2 2 8" xfId="42571"/>
    <cellStyle name="20% - Ênfase3 2 5 2 2 8" xfId="42572"/>
    <cellStyle name="40% - Ênfase3 2 5 2 2 8" xfId="42573"/>
    <cellStyle name="20% - Ênfase4 2 5 2 2 8" xfId="42574"/>
    <cellStyle name="40% - Ênfase4 2 5 2 2 8" xfId="42575"/>
    <cellStyle name="20% - Ênfase5 2 5 2 2 8" xfId="42576"/>
    <cellStyle name="40% - Ênfase5 2 5 2 2 8" xfId="42577"/>
    <cellStyle name="20% - Ênfase6 2 5 2 2 8" xfId="42578"/>
    <cellStyle name="40% - Ênfase6 2 5 2 2 8" xfId="42579"/>
    <cellStyle name="Normal 7 5 2 2 8" xfId="42580"/>
    <cellStyle name="Nota 4 4 2 2 8" xfId="42581"/>
    <cellStyle name="20% - Ênfase1 3 4 2 2 8" xfId="42582"/>
    <cellStyle name="40% - Ênfase1 3 4 2 2 8" xfId="42583"/>
    <cellStyle name="20% - Ênfase2 3 4 2 2 8" xfId="42584"/>
    <cellStyle name="40% - Ênfase2 3 4 2 2 8" xfId="42585"/>
    <cellStyle name="20% - Ênfase3 3 4 2 2 8" xfId="42586"/>
    <cellStyle name="40% - Ênfase3 3 4 2 2 8" xfId="42587"/>
    <cellStyle name="20% - Ênfase4 3 4 2 2 8" xfId="42588"/>
    <cellStyle name="40% - Ênfase4 3 4 2 2 8" xfId="42589"/>
    <cellStyle name="20% - Ênfase5 3 4 2 2 8" xfId="42590"/>
    <cellStyle name="40% - Ênfase5 3 4 2 2 8" xfId="42591"/>
    <cellStyle name="20% - Ênfase6 3 4 2 2 8" xfId="42592"/>
    <cellStyle name="40% - Ênfase6 3 4 2 2 8" xfId="42593"/>
    <cellStyle name="Normal 8 4 2 3 8" xfId="42594"/>
    <cellStyle name="Nota 5 4 2 2 8" xfId="42595"/>
    <cellStyle name="20% - Ênfase1 4 4 2 2 8" xfId="42596"/>
    <cellStyle name="40% - Ênfase1 4 4 2 2 8" xfId="42597"/>
    <cellStyle name="20% - Ênfase2 4 4 2 2 8" xfId="42598"/>
    <cellStyle name="40% - Ênfase2 4 4 2 2 8" xfId="42599"/>
    <cellStyle name="20% - Ênfase3 4 4 2 2 8" xfId="42600"/>
    <cellStyle name="40% - Ênfase3 4 4 2 2 8" xfId="42601"/>
    <cellStyle name="20% - Ênfase4 4 4 2 2 8" xfId="42602"/>
    <cellStyle name="40% - Ênfase4 4 4 2 2 8" xfId="42603"/>
    <cellStyle name="20% - Ênfase5 4 4 2 2 8" xfId="42604"/>
    <cellStyle name="40% - Ênfase5 4 4 2 2 8" xfId="42605"/>
    <cellStyle name="20% - Ênfase6 4 4 2 2 8" xfId="42606"/>
    <cellStyle name="40% - Ênfase6 4 4 2 2 8" xfId="42607"/>
    <cellStyle name="Normal 3 3 2 2 8" xfId="42608"/>
    <cellStyle name="20% - Ênfase1 5 2 2 2 8" xfId="42609"/>
    <cellStyle name="40% - Ênfase1 5 2 2 2 8" xfId="42610"/>
    <cellStyle name="20% - Ênfase2 5 2 2 2 8" xfId="42611"/>
    <cellStyle name="40% - Ênfase2 5 2 2 2 8" xfId="42612"/>
    <cellStyle name="20% - Ênfase3 5 2 2 2 8" xfId="42613"/>
    <cellStyle name="40% - Ênfase3 5 2 2 2 8" xfId="42614"/>
    <cellStyle name="20% - Ênfase4 5 2 2 2 8" xfId="42615"/>
    <cellStyle name="40% - Ênfase4 5 2 2 2 8" xfId="42616"/>
    <cellStyle name="20% - Ênfase5 5 2 2 2 8" xfId="42617"/>
    <cellStyle name="40% - Ênfase5 5 2 2 2 8" xfId="42618"/>
    <cellStyle name="20% - Ênfase6 5 2 2 2 8" xfId="42619"/>
    <cellStyle name="40% - Ênfase6 5 2 2 2 8" xfId="42620"/>
    <cellStyle name="Normal 4 2 2 2 2 8" xfId="42621"/>
    <cellStyle name="Nota 2 2 2 2 2 8" xfId="42622"/>
    <cellStyle name="Normal 5 2 2 2 2 8" xfId="42623"/>
    <cellStyle name="Nota 3 2 2 2 2 8" xfId="42624"/>
    <cellStyle name="20% - Ênfase1 2 2 2 2 2 8" xfId="42625"/>
    <cellStyle name="40% - Ênfase1 2 2 2 2 2 8" xfId="42626"/>
    <cellStyle name="20% - Ênfase2 2 2 2 2 2 8" xfId="42627"/>
    <cellStyle name="40% - Ênfase2 2 2 2 2 2 8" xfId="42628"/>
    <cellStyle name="20% - Ênfase3 2 2 2 2 2 8" xfId="42629"/>
    <cellStyle name="40% - Ênfase3 2 2 2 2 2 8" xfId="42630"/>
    <cellStyle name="20% - Ênfase4 2 2 2 2 2 8" xfId="42631"/>
    <cellStyle name="40% - Ênfase4 2 2 2 2 2 8" xfId="42632"/>
    <cellStyle name="20% - Ênfase5 2 2 2 2 2 8" xfId="42633"/>
    <cellStyle name="40% - Ênfase5 2 2 2 2 2 8" xfId="42634"/>
    <cellStyle name="20% - Ênfase6 2 2 2 2 2 8" xfId="42635"/>
    <cellStyle name="40% - Ênfase6 2 2 2 2 2 8" xfId="42636"/>
    <cellStyle name="Normal 7 2 2 2 2 8" xfId="42637"/>
    <cellStyle name="Nota 4 3 2 2 8" xfId="42638"/>
    <cellStyle name="20% - Ênfase1 3 3 2 2 8" xfId="42639"/>
    <cellStyle name="40% - Ênfase1 3 3 2 2 8" xfId="42640"/>
    <cellStyle name="20% - Ênfase2 3 3 2 2 8" xfId="42641"/>
    <cellStyle name="40% - Ênfase2 3 3 2 2 8" xfId="42642"/>
    <cellStyle name="20% - Ênfase3 3 3 2 2 8" xfId="42643"/>
    <cellStyle name="40% - Ênfase3 3 3 2 2 8" xfId="42644"/>
    <cellStyle name="20% - Ênfase4 3 3 2 2 8" xfId="42645"/>
    <cellStyle name="40% - Ênfase4 3 3 2 2 8" xfId="42646"/>
    <cellStyle name="20% - Ênfase5 3 3 2 2 8" xfId="42647"/>
    <cellStyle name="40% - Ênfase5 3 3 2 2 8" xfId="42648"/>
    <cellStyle name="20% - Ênfase6 3 3 2 2 8" xfId="42649"/>
    <cellStyle name="40% - Ênfase6 3 3 2 2 8" xfId="42650"/>
    <cellStyle name="Normal 8 3 2 3 8" xfId="42651"/>
    <cellStyle name="Nota 5 3 2 2 8" xfId="42652"/>
    <cellStyle name="20% - Ênfase1 4 3 2 2 8" xfId="42653"/>
    <cellStyle name="40% - Ênfase1 4 3 2 2 8" xfId="42654"/>
    <cellStyle name="20% - Ênfase2 4 3 2 2 8" xfId="42655"/>
    <cellStyle name="40% - Ênfase2 4 3 2 2 8" xfId="42656"/>
    <cellStyle name="20% - Ênfase3 4 3 2 2 8" xfId="42657"/>
    <cellStyle name="40% - Ênfase3 4 3 2 2 8" xfId="42658"/>
    <cellStyle name="20% - Ênfase4 4 3 2 2 8" xfId="42659"/>
    <cellStyle name="40% - Ênfase4 4 3 2 2 8" xfId="42660"/>
    <cellStyle name="20% - Ênfase5 4 3 2 2 8" xfId="42661"/>
    <cellStyle name="40% - Ênfase5 4 3 2 2 8" xfId="42662"/>
    <cellStyle name="20% - Ênfase6 4 3 2 2 8" xfId="42663"/>
    <cellStyle name="40% - Ênfase6 4 3 2 2 8" xfId="42664"/>
    <cellStyle name="20% - Ênfase1 6 2 2 2 8" xfId="42665"/>
    <cellStyle name="40% - Ênfase1 6 2 2 2 8" xfId="42666"/>
    <cellStyle name="20% - Ênfase2 6 2 2 2 8" xfId="42667"/>
    <cellStyle name="40% - Ênfase2 6 2 2 2 8" xfId="42668"/>
    <cellStyle name="20% - Ênfase3 6 2 2 2 8" xfId="42669"/>
    <cellStyle name="40% - Ênfase3 6 2 2 2 8" xfId="42670"/>
    <cellStyle name="20% - Ênfase4 6 2 2 2 8" xfId="42671"/>
    <cellStyle name="40% - Ênfase4 6 2 2 2 8" xfId="42672"/>
    <cellStyle name="20% - Ênfase5 6 2 2 2 8" xfId="42673"/>
    <cellStyle name="40% - Ênfase5 6 2 2 2 8" xfId="42674"/>
    <cellStyle name="20% - Ênfase6 6 2 2 2 8" xfId="42675"/>
    <cellStyle name="40% - Ênfase6 6 2 2 2 8" xfId="42676"/>
    <cellStyle name="Normal 4 3 2 2 2 8" xfId="42677"/>
    <cellStyle name="Nota 2 3 2 2 2 8" xfId="42678"/>
    <cellStyle name="Normal 5 3 2 2 2 8" xfId="42679"/>
    <cellStyle name="Nota 3 3 2 2 2 8" xfId="42680"/>
    <cellStyle name="20% - Ênfase1 2 3 2 2 2 8" xfId="42681"/>
    <cellStyle name="40% - Ênfase1 2 3 2 2 2 8" xfId="42682"/>
    <cellStyle name="20% - Ênfase2 2 3 2 2 2 8" xfId="42683"/>
    <cellStyle name="40% - Ênfase2 2 3 2 2 2 8" xfId="42684"/>
    <cellStyle name="20% - Ênfase3 2 3 2 2 2 8" xfId="42685"/>
    <cellStyle name="40% - Ênfase3 2 3 2 2 2 8" xfId="42686"/>
    <cellStyle name="20% - Ênfase4 2 3 2 2 2 8" xfId="42687"/>
    <cellStyle name="40% - Ênfase4 2 3 2 2 2 8" xfId="42688"/>
    <cellStyle name="20% - Ênfase5 2 3 2 2 2 8" xfId="42689"/>
    <cellStyle name="40% - Ênfase5 2 3 2 2 2 8" xfId="42690"/>
    <cellStyle name="20% - Ênfase6 2 3 2 2 2 8" xfId="42691"/>
    <cellStyle name="40% - Ênfase6 2 3 2 2 2 8" xfId="42692"/>
    <cellStyle name="Normal 7 3 2 2 2 8" xfId="42693"/>
    <cellStyle name="Nota 4 2 2 2 2 8" xfId="42694"/>
    <cellStyle name="20% - Ênfase1 3 2 2 2 2 8" xfId="42695"/>
    <cellStyle name="40% - Ênfase1 3 2 2 2 2 8" xfId="42696"/>
    <cellStyle name="20% - Ênfase2 3 2 2 2 2 8" xfId="42697"/>
    <cellStyle name="40% - Ênfase2 3 2 2 2 2 8" xfId="42698"/>
    <cellStyle name="20% - Ênfase3 3 2 2 2 2 8" xfId="42699"/>
    <cellStyle name="40% - Ênfase3 3 2 2 2 2 8" xfId="42700"/>
    <cellStyle name="20% - Ênfase4 3 2 2 2 2 8" xfId="42701"/>
    <cellStyle name="40% - Ênfase4 3 2 2 2 2 8" xfId="42702"/>
    <cellStyle name="20% - Ênfase5 3 2 2 2 2 8" xfId="42703"/>
    <cellStyle name="40% - Ênfase5 3 2 2 2 2 8" xfId="42704"/>
    <cellStyle name="20% - Ênfase6 3 2 2 2 2 8" xfId="42705"/>
    <cellStyle name="40% - Ênfase6 3 2 2 2 2 8" xfId="42706"/>
    <cellStyle name="Normal 8 2 2 2 2 8" xfId="42707"/>
    <cellStyle name="Nota 5 2 2 2 2 8" xfId="42708"/>
    <cellStyle name="20% - Ênfase1 4 2 2 2 2 8" xfId="42709"/>
    <cellStyle name="40% - Ênfase1 4 2 2 2 2 8" xfId="42710"/>
    <cellStyle name="20% - Ênfase2 4 2 2 2 2 8" xfId="42711"/>
    <cellStyle name="40% - Ênfase2 4 2 2 2 2 8" xfId="42712"/>
    <cellStyle name="20% - Ênfase3 4 2 2 2 2 8" xfId="42713"/>
    <cellStyle name="40% - Ênfase3 4 2 2 2 2 8" xfId="42714"/>
    <cellStyle name="20% - Ênfase4 4 2 2 2 2 8" xfId="42715"/>
    <cellStyle name="40% - Ênfase4 4 2 2 2 2 8" xfId="42716"/>
    <cellStyle name="20% - Ênfase5 4 2 2 2 2 8" xfId="42717"/>
    <cellStyle name="40% - Ênfase5 4 2 2 2 2 8" xfId="42718"/>
    <cellStyle name="20% - Ênfase6 4 2 2 2 2 8" xfId="42719"/>
    <cellStyle name="40% - Ênfase6 4 2 2 2 2 8" xfId="42720"/>
    <cellStyle name="Normal 3 5 2 8" xfId="42721"/>
    <cellStyle name="20% - Ênfase1 5 4 2 8" xfId="42722"/>
    <cellStyle name="40% - Ênfase1 5 4 2 8" xfId="42723"/>
    <cellStyle name="20% - Ênfase2 5 4 2 8" xfId="42724"/>
    <cellStyle name="40% - Ênfase2 5 4 2 8" xfId="42725"/>
    <cellStyle name="20% - Ênfase3 5 4 2 8" xfId="42726"/>
    <cellStyle name="40% - Ênfase3 5 4 2 8" xfId="42727"/>
    <cellStyle name="20% - Ênfase4 5 4 2 8" xfId="42728"/>
    <cellStyle name="40% - Ênfase4 5 4 2 8" xfId="42729"/>
    <cellStyle name="20% - Ênfase5 5 4 2 8" xfId="42730"/>
    <cellStyle name="40% - Ênfase5 5 4 2 8" xfId="42731"/>
    <cellStyle name="20% - Ênfase6 5 4 2 8" xfId="42732"/>
    <cellStyle name="40% - Ênfase6 5 4 2 8" xfId="42733"/>
    <cellStyle name="Normal 4 2 4 2 8" xfId="42734"/>
    <cellStyle name="Nota 2 2 4 2 8" xfId="42735"/>
    <cellStyle name="Normal 5 2 4 2 8" xfId="42736"/>
    <cellStyle name="Nota 3 2 4 2 8" xfId="42737"/>
    <cellStyle name="20% - Ênfase1 2 2 4 2 8" xfId="42738"/>
    <cellStyle name="40% - Ênfase1 2 2 4 2 8" xfId="42739"/>
    <cellStyle name="20% - Ênfase2 2 2 4 2 8" xfId="42740"/>
    <cellStyle name="40% - Ênfase2 2 2 4 2 8" xfId="42741"/>
    <cellStyle name="20% - Ênfase3 2 2 4 2 8" xfId="42742"/>
    <cellStyle name="40% - Ênfase3 2 2 4 2 8" xfId="42743"/>
    <cellStyle name="20% - Ênfase4 2 2 4 2 8" xfId="42744"/>
    <cellStyle name="40% - Ênfase4 2 2 4 2 8" xfId="42745"/>
    <cellStyle name="20% - Ênfase5 2 2 4 2 8" xfId="42746"/>
    <cellStyle name="40% - Ênfase5 2 2 4 2 8" xfId="42747"/>
    <cellStyle name="20% - Ênfase6 2 2 4 2 8" xfId="42748"/>
    <cellStyle name="40% - Ênfase6 2 2 4 2 8" xfId="42749"/>
    <cellStyle name="Normal 7 2 4 2 8" xfId="42750"/>
    <cellStyle name="Nota 4 6 2 8" xfId="42751"/>
    <cellStyle name="20% - Ênfase1 3 6 2 8" xfId="42752"/>
    <cellStyle name="40% - Ênfase1 3 6 2 8" xfId="42753"/>
    <cellStyle name="20% - Ênfase2 3 6 2 8" xfId="42754"/>
    <cellStyle name="40% - Ênfase2 3 6 2 8" xfId="42755"/>
    <cellStyle name="20% - Ênfase3 3 6 2 8" xfId="42756"/>
    <cellStyle name="40% - Ênfase3 3 6 2 8" xfId="42757"/>
    <cellStyle name="20% - Ênfase4 3 6 2 8" xfId="42758"/>
    <cellStyle name="40% - Ênfase4 3 6 2 8" xfId="42759"/>
    <cellStyle name="20% - Ênfase5 3 6 2 8" xfId="42760"/>
    <cellStyle name="40% - Ênfase5 3 6 2 8" xfId="42761"/>
    <cellStyle name="20% - Ênfase6 3 6 2 8" xfId="42762"/>
    <cellStyle name="40% - Ênfase6 3 6 2 8" xfId="42763"/>
    <cellStyle name="Normal 8 6 3 8" xfId="42764"/>
    <cellStyle name="Nota 5 6 2 8" xfId="42765"/>
    <cellStyle name="20% - Ênfase1 4 6 2 8" xfId="42766"/>
    <cellStyle name="40% - Ênfase1 4 6 2 8" xfId="42767"/>
    <cellStyle name="20% - Ênfase2 4 6 2 8" xfId="42768"/>
    <cellStyle name="40% - Ênfase2 4 6 2 8" xfId="42769"/>
    <cellStyle name="20% - Ênfase3 4 6 2 8" xfId="42770"/>
    <cellStyle name="40% - Ênfase3 4 6 2 8" xfId="42771"/>
    <cellStyle name="20% - Ênfase4 4 6 2 8" xfId="42772"/>
    <cellStyle name="40% - Ênfase4 4 6 2 8" xfId="42773"/>
    <cellStyle name="20% - Ênfase5 4 6 2 8" xfId="42774"/>
    <cellStyle name="40% - Ênfase5 4 6 2 8" xfId="42775"/>
    <cellStyle name="20% - Ênfase6 4 6 2 8" xfId="42776"/>
    <cellStyle name="40% - Ênfase6 4 6 2 8" xfId="42777"/>
    <cellStyle name="20% - Ênfase1 6 4 2 8" xfId="42778"/>
    <cellStyle name="40% - Ênfase1 6 4 2 8" xfId="42779"/>
    <cellStyle name="20% - Ênfase2 6 4 2 8" xfId="42780"/>
    <cellStyle name="40% - Ênfase2 6 4 2 8" xfId="42781"/>
    <cellStyle name="20% - Ênfase3 6 4 2 8" xfId="42782"/>
    <cellStyle name="40% - Ênfase3 6 4 2 8" xfId="42783"/>
    <cellStyle name="20% - Ênfase4 6 4 2 8" xfId="42784"/>
    <cellStyle name="40% - Ênfase4 6 4 2 8" xfId="42785"/>
    <cellStyle name="20% - Ênfase5 6 4 2 8" xfId="42786"/>
    <cellStyle name="40% - Ênfase5 6 4 2 8" xfId="42787"/>
    <cellStyle name="20% - Ênfase6 6 4 2 8" xfId="42788"/>
    <cellStyle name="40% - Ênfase6 6 4 2 8" xfId="42789"/>
    <cellStyle name="Normal 4 3 4 2 8" xfId="42790"/>
    <cellStyle name="Nota 2 3 4 2 8" xfId="42791"/>
    <cellStyle name="Normal 5 3 4 2 8" xfId="42792"/>
    <cellStyle name="Nota 3 3 4 2 8" xfId="42793"/>
    <cellStyle name="20% - Ênfase1 2 3 4 2 8" xfId="42794"/>
    <cellStyle name="40% - Ênfase1 2 3 4 2 8" xfId="42795"/>
    <cellStyle name="20% - Ênfase2 2 3 4 2 8" xfId="42796"/>
    <cellStyle name="40% - Ênfase2 2 3 4 2 8" xfId="42797"/>
    <cellStyle name="20% - Ênfase3 2 3 4 2 8" xfId="42798"/>
    <cellStyle name="40% - Ênfase3 2 3 4 2 8" xfId="42799"/>
    <cellStyle name="20% - Ênfase4 2 3 4 2 8" xfId="42800"/>
    <cellStyle name="40% - Ênfase4 2 3 4 2 8" xfId="42801"/>
    <cellStyle name="20% - Ênfase5 2 3 4 2 8" xfId="42802"/>
    <cellStyle name="40% - Ênfase5 2 3 4 2 8" xfId="42803"/>
    <cellStyle name="20% - Ênfase6 2 3 4 2 8" xfId="42804"/>
    <cellStyle name="40% - Ênfase6 2 3 4 2 8" xfId="42805"/>
    <cellStyle name="Normal 7 3 4 2 8" xfId="42806"/>
    <cellStyle name="Nota 4 2 4 2 8" xfId="42807"/>
    <cellStyle name="20% - Ênfase1 3 2 4 2 8" xfId="42808"/>
    <cellStyle name="40% - Ênfase1 3 2 4 2 8" xfId="42809"/>
    <cellStyle name="20% - Ênfase2 3 2 4 2 8" xfId="42810"/>
    <cellStyle name="40% - Ênfase2 3 2 4 2 8" xfId="42811"/>
    <cellStyle name="20% - Ênfase3 3 2 4 2 8" xfId="42812"/>
    <cellStyle name="40% - Ênfase3 3 2 4 2 8" xfId="42813"/>
    <cellStyle name="20% - Ênfase4 3 2 4 2 8" xfId="42814"/>
    <cellStyle name="40% - Ênfase4 3 2 4 2 8" xfId="42815"/>
    <cellStyle name="20% - Ênfase5 3 2 4 2 8" xfId="42816"/>
    <cellStyle name="40% - Ênfase5 3 2 4 2 8" xfId="42817"/>
    <cellStyle name="20% - Ênfase6 3 2 4 2 8" xfId="42818"/>
    <cellStyle name="40% - Ênfase6 3 2 4 2 8" xfId="42819"/>
    <cellStyle name="Normal 8 2 4 2 8" xfId="42820"/>
    <cellStyle name="Nota 5 2 4 2 8" xfId="42821"/>
    <cellStyle name="20% - Ênfase1 4 2 4 2 8" xfId="42822"/>
    <cellStyle name="40% - Ênfase1 4 2 4 2 8" xfId="42823"/>
    <cellStyle name="20% - Ênfase2 4 2 4 2 8" xfId="42824"/>
    <cellStyle name="40% - Ênfase2 4 2 4 2 8" xfId="42825"/>
    <cellStyle name="20% - Ênfase3 4 2 4 2 8" xfId="42826"/>
    <cellStyle name="40% - Ênfase3 4 2 4 2 8" xfId="42827"/>
    <cellStyle name="20% - Ênfase4 4 2 4 2 8" xfId="42828"/>
    <cellStyle name="40% - Ênfase4 4 2 4 2 8" xfId="42829"/>
    <cellStyle name="20% - Ênfase5 4 2 4 2 8" xfId="42830"/>
    <cellStyle name="40% - Ênfase5 4 2 4 2 8" xfId="42831"/>
    <cellStyle name="20% - Ênfase6 4 2 4 2 8" xfId="42832"/>
    <cellStyle name="40% - Ênfase6 4 2 4 2 8" xfId="42833"/>
    <cellStyle name="20% - Ênfase1 8 3 2 8" xfId="42834"/>
    <cellStyle name="40% - Ênfase1 8 3 2 8" xfId="42835"/>
    <cellStyle name="20% - Ênfase2 8 3 2 8" xfId="42836"/>
    <cellStyle name="40% - Ênfase2 8 3 2 8" xfId="42837"/>
    <cellStyle name="20% - Ênfase3 8 3 2 8" xfId="42838"/>
    <cellStyle name="40% - Ênfase3 8 3 2 8" xfId="42839"/>
    <cellStyle name="20% - Ênfase4 8 3 2 8" xfId="42840"/>
    <cellStyle name="40% - Ênfase4 8 3 2 8" xfId="42841"/>
    <cellStyle name="20% - Ênfase5 8 3 2 8" xfId="42842"/>
    <cellStyle name="40% - Ênfase5 8 3 2 8" xfId="42843"/>
    <cellStyle name="20% - Ênfase6 8 3 2 8" xfId="42844"/>
    <cellStyle name="40% - Ênfase6 8 3 2 8" xfId="42845"/>
    <cellStyle name="Normal 4 5 3 2 8" xfId="42846"/>
    <cellStyle name="Nota 2 5 3 2 8" xfId="42847"/>
    <cellStyle name="Normal 5 5 3 2 8" xfId="42848"/>
    <cellStyle name="Nota 3 5 3 2 8" xfId="42849"/>
    <cellStyle name="20% - Ênfase1 2 5 3 2 8" xfId="42850"/>
    <cellStyle name="40% - Ênfase1 2 5 3 2 8" xfId="42851"/>
    <cellStyle name="20% - Ênfase2 2 5 3 2 8" xfId="42852"/>
    <cellStyle name="40% - Ênfase2 2 5 3 2 8" xfId="42853"/>
    <cellStyle name="20% - Ênfase3 2 5 3 2 8" xfId="42854"/>
    <cellStyle name="40% - Ênfase3 2 5 3 2 8" xfId="42855"/>
    <cellStyle name="20% - Ênfase4 2 5 3 2 8" xfId="42856"/>
    <cellStyle name="40% - Ênfase4 2 5 3 2 8" xfId="42857"/>
    <cellStyle name="20% - Ênfase5 2 5 3 2 8" xfId="42858"/>
    <cellStyle name="40% - Ênfase5 2 5 3 2 8" xfId="42859"/>
    <cellStyle name="20% - Ênfase6 2 5 3 2 8" xfId="42860"/>
    <cellStyle name="40% - Ênfase6 2 5 3 2 8" xfId="42861"/>
    <cellStyle name="Normal 7 5 3 2 8" xfId="42862"/>
    <cellStyle name="Nota 4 4 3 2 8" xfId="42863"/>
    <cellStyle name="20% - Ênfase1 3 4 3 2 8" xfId="42864"/>
    <cellStyle name="40% - Ênfase1 3 4 3 2 8" xfId="42865"/>
    <cellStyle name="20% - Ênfase2 3 4 3 2 8" xfId="42866"/>
    <cellStyle name="40% - Ênfase2 3 4 3 2 8" xfId="42867"/>
    <cellStyle name="20% - Ênfase3 3 4 3 2 8" xfId="42868"/>
    <cellStyle name="40% - Ênfase3 3 4 3 2 8" xfId="42869"/>
    <cellStyle name="20% - Ênfase4 3 4 3 2 8" xfId="42870"/>
    <cellStyle name="40% - Ênfase4 3 4 3 2 8" xfId="42871"/>
    <cellStyle name="20% - Ênfase5 3 4 3 2 8" xfId="42872"/>
    <cellStyle name="40% - Ênfase5 3 4 3 2 8" xfId="42873"/>
    <cellStyle name="20% - Ênfase6 3 4 3 2 8" xfId="42874"/>
    <cellStyle name="40% - Ênfase6 3 4 3 2 8" xfId="42875"/>
    <cellStyle name="Normal 8 4 3 2 8" xfId="42876"/>
    <cellStyle name="Nota 5 4 3 2 8" xfId="42877"/>
    <cellStyle name="20% - Ênfase1 4 4 3 2 8" xfId="42878"/>
    <cellStyle name="40% - Ênfase1 4 4 3 2 8" xfId="42879"/>
    <cellStyle name="20% - Ênfase2 4 4 3 2 8" xfId="42880"/>
    <cellStyle name="40% - Ênfase2 4 4 3 2 8" xfId="42881"/>
    <cellStyle name="20% - Ênfase3 4 4 3 2 8" xfId="42882"/>
    <cellStyle name="40% - Ênfase3 4 4 3 2 8" xfId="42883"/>
    <cellStyle name="20% - Ênfase4 4 4 3 2 8" xfId="42884"/>
    <cellStyle name="40% - Ênfase4 4 4 3 2 8" xfId="42885"/>
    <cellStyle name="20% - Ênfase5 4 4 3 2 8" xfId="42886"/>
    <cellStyle name="40% - Ênfase5 4 4 3 2 8" xfId="42887"/>
    <cellStyle name="20% - Ênfase6 4 4 3 2 8" xfId="42888"/>
    <cellStyle name="40% - Ênfase6 4 4 3 2 8" xfId="42889"/>
    <cellStyle name="Normal 3 3 3 2 8" xfId="42890"/>
    <cellStyle name="20% - Ênfase1 5 2 3 2 8" xfId="42891"/>
    <cellStyle name="40% - Ênfase1 5 2 3 2 8" xfId="42892"/>
    <cellStyle name="20% - Ênfase2 5 2 3 2 8" xfId="42893"/>
    <cellStyle name="40% - Ênfase2 5 2 3 2 8" xfId="42894"/>
    <cellStyle name="20% - Ênfase3 5 2 3 2 8" xfId="42895"/>
    <cellStyle name="40% - Ênfase3 5 2 3 2 8" xfId="42896"/>
    <cellStyle name="20% - Ênfase4 5 2 3 2 8" xfId="42897"/>
    <cellStyle name="40% - Ênfase4 5 2 3 2 8" xfId="42898"/>
    <cellStyle name="20% - Ênfase5 5 2 3 2 8" xfId="42899"/>
    <cellStyle name="40% - Ênfase5 5 2 3 2 8" xfId="42900"/>
    <cellStyle name="20% - Ênfase6 5 2 3 2 8" xfId="42901"/>
    <cellStyle name="40% - Ênfase6 5 2 3 2 8" xfId="42902"/>
    <cellStyle name="Normal 4 2 2 3 2 8" xfId="42903"/>
    <cellStyle name="Nota 2 2 2 3 2 8" xfId="42904"/>
    <cellStyle name="Normal 5 2 2 3 2 8" xfId="42905"/>
    <cellStyle name="Nota 3 2 2 3 2 8" xfId="42906"/>
    <cellStyle name="20% - Ênfase1 2 2 2 3 2 8" xfId="42907"/>
    <cellStyle name="40% - Ênfase1 2 2 2 3 2 8" xfId="42908"/>
    <cellStyle name="20% - Ênfase2 2 2 2 3 2 8" xfId="42909"/>
    <cellStyle name="40% - Ênfase2 2 2 2 3 2 8" xfId="42910"/>
    <cellStyle name="20% - Ênfase3 2 2 2 3 2 8" xfId="42911"/>
    <cellStyle name="40% - Ênfase3 2 2 2 3 2 8" xfId="42912"/>
    <cellStyle name="20% - Ênfase4 2 2 2 3 2 8" xfId="42913"/>
    <cellStyle name="40% - Ênfase4 2 2 2 3 2 8" xfId="42914"/>
    <cellStyle name="20% - Ênfase5 2 2 2 3 2 8" xfId="42915"/>
    <cellStyle name="40% - Ênfase5 2 2 2 3 2 8" xfId="42916"/>
    <cellStyle name="20% - Ênfase6 2 2 2 3 2 8" xfId="42917"/>
    <cellStyle name="40% - Ênfase6 2 2 2 3 2 8" xfId="42918"/>
    <cellStyle name="Normal 7 2 2 3 2 8" xfId="42919"/>
    <cellStyle name="Nota 4 3 3 2 8" xfId="42920"/>
    <cellStyle name="20% - Ênfase1 3 3 3 2 8" xfId="42921"/>
    <cellStyle name="40% - Ênfase1 3 3 3 2 8" xfId="42922"/>
    <cellStyle name="20% - Ênfase2 3 3 3 2 8" xfId="42923"/>
    <cellStyle name="40% - Ênfase2 3 3 3 2 8" xfId="42924"/>
    <cellStyle name="20% - Ênfase3 3 3 3 2 8" xfId="42925"/>
    <cellStyle name="40% - Ênfase3 3 3 3 2 8" xfId="42926"/>
    <cellStyle name="20% - Ênfase4 3 3 3 2 8" xfId="42927"/>
    <cellStyle name="40% - Ênfase4 3 3 3 2 8" xfId="42928"/>
    <cellStyle name="20% - Ênfase5 3 3 3 2 8" xfId="42929"/>
    <cellStyle name="40% - Ênfase5 3 3 3 2 8" xfId="42930"/>
    <cellStyle name="20% - Ênfase6 3 3 3 2 8" xfId="42931"/>
    <cellStyle name="40% - Ênfase6 3 3 3 2 8" xfId="42932"/>
    <cellStyle name="Normal 8 3 3 2 8" xfId="42933"/>
    <cellStyle name="Nota 5 3 3 2 8" xfId="42934"/>
    <cellStyle name="20% - Ênfase1 4 3 3 2 8" xfId="42935"/>
    <cellStyle name="40% - Ênfase1 4 3 3 2 8" xfId="42936"/>
    <cellStyle name="20% - Ênfase2 4 3 3 2 8" xfId="42937"/>
    <cellStyle name="40% - Ênfase2 4 3 3 2 8" xfId="42938"/>
    <cellStyle name="20% - Ênfase3 4 3 3 2 8" xfId="42939"/>
    <cellStyle name="40% - Ênfase3 4 3 3 2 8" xfId="42940"/>
    <cellStyle name="20% - Ênfase4 4 3 3 2 8" xfId="42941"/>
    <cellStyle name="40% - Ênfase4 4 3 3 2 8" xfId="42942"/>
    <cellStyle name="20% - Ênfase5 4 3 3 2 8" xfId="42943"/>
    <cellStyle name="40% - Ênfase5 4 3 3 2 8" xfId="42944"/>
    <cellStyle name="20% - Ênfase6 4 3 3 2 8" xfId="42945"/>
    <cellStyle name="40% - Ênfase6 4 3 3 2 8" xfId="42946"/>
    <cellStyle name="20% - Ênfase1 6 2 3 2 8" xfId="42947"/>
    <cellStyle name="40% - Ênfase1 6 2 3 2 8" xfId="42948"/>
    <cellStyle name="20% - Ênfase2 6 2 3 2 8" xfId="42949"/>
    <cellStyle name="40% - Ênfase2 6 2 3 2 8" xfId="42950"/>
    <cellStyle name="20% - Ênfase3 6 2 3 2 8" xfId="42951"/>
    <cellStyle name="40% - Ênfase3 6 2 3 2 8" xfId="42952"/>
    <cellStyle name="20% - Ênfase4 6 2 3 2 8" xfId="42953"/>
    <cellStyle name="40% - Ênfase4 6 2 3 2 8" xfId="42954"/>
    <cellStyle name="20% - Ênfase5 6 2 3 2 8" xfId="42955"/>
    <cellStyle name="40% - Ênfase5 6 2 3 2 8" xfId="42956"/>
    <cellStyle name="20% - Ênfase6 6 2 3 2 8" xfId="42957"/>
    <cellStyle name="40% - Ênfase6 6 2 3 2 8" xfId="42958"/>
    <cellStyle name="Normal 4 3 2 3 2 8" xfId="42959"/>
    <cellStyle name="Nota 2 3 2 3 2 8" xfId="42960"/>
    <cellStyle name="Normal 5 3 2 3 2 8" xfId="42961"/>
    <cellStyle name="Nota 3 3 2 3 2 8" xfId="42962"/>
    <cellStyle name="20% - Ênfase1 2 3 2 3 2 8" xfId="42963"/>
    <cellStyle name="40% - Ênfase1 2 3 2 3 2 8" xfId="42964"/>
    <cellStyle name="20% - Ênfase2 2 3 2 3 2 8" xfId="42965"/>
    <cellStyle name="40% - Ênfase2 2 3 2 3 2 8" xfId="42966"/>
    <cellStyle name="20% - Ênfase3 2 3 2 3 2 8" xfId="42967"/>
    <cellStyle name="40% - Ênfase3 2 3 2 3 2 8" xfId="42968"/>
    <cellStyle name="20% - Ênfase4 2 3 2 3 2 8" xfId="42969"/>
    <cellStyle name="40% - Ênfase4 2 3 2 3 2 8" xfId="42970"/>
    <cellStyle name="20% - Ênfase5 2 3 2 3 2 8" xfId="42971"/>
    <cellStyle name="40% - Ênfase5 2 3 2 3 2 8" xfId="42972"/>
    <cellStyle name="20% - Ênfase6 2 3 2 3 2 8" xfId="42973"/>
    <cellStyle name="40% - Ênfase6 2 3 2 3 2 8" xfId="42974"/>
    <cellStyle name="Normal 7 3 2 3 2 8" xfId="42975"/>
    <cellStyle name="Nota 4 2 2 3 2 8" xfId="42976"/>
    <cellStyle name="20% - Ênfase1 3 2 2 3 2 8" xfId="42977"/>
    <cellStyle name="40% - Ênfase1 3 2 2 3 2 8" xfId="42978"/>
    <cellStyle name="20% - Ênfase2 3 2 2 3 2 8" xfId="42979"/>
    <cellStyle name="40% - Ênfase2 3 2 2 3 2 8" xfId="42980"/>
    <cellStyle name="20% - Ênfase3 3 2 2 3 2 8" xfId="42981"/>
    <cellStyle name="40% - Ênfase3 3 2 2 3 2 8" xfId="42982"/>
    <cellStyle name="20% - Ênfase4 3 2 2 3 2 8" xfId="42983"/>
    <cellStyle name="40% - Ênfase4 3 2 2 3 2 8" xfId="42984"/>
    <cellStyle name="20% - Ênfase5 3 2 2 3 2 8" xfId="42985"/>
    <cellStyle name="40% - Ênfase5 3 2 2 3 2 8" xfId="42986"/>
    <cellStyle name="20% - Ênfase6 3 2 2 3 2 8" xfId="42987"/>
    <cellStyle name="40% - Ênfase6 3 2 2 3 2 8" xfId="42988"/>
    <cellStyle name="Normal 8 2 2 3 2 8" xfId="42989"/>
    <cellStyle name="Nota 5 2 2 3 2 8" xfId="42990"/>
    <cellStyle name="20% - Ênfase1 4 2 2 3 2 8" xfId="42991"/>
    <cellStyle name="40% - Ênfase1 4 2 2 3 2 8" xfId="42992"/>
    <cellStyle name="20% - Ênfase2 4 2 2 3 2 8" xfId="42993"/>
    <cellStyle name="40% - Ênfase2 4 2 2 3 2 8" xfId="42994"/>
    <cellStyle name="20% - Ênfase3 4 2 2 3 2 8" xfId="42995"/>
    <cellStyle name="40% - Ênfase3 4 2 2 3 2 8" xfId="42996"/>
    <cellStyle name="20% - Ênfase4 4 2 2 3 2 8" xfId="42997"/>
    <cellStyle name="40% - Ênfase4 4 2 2 3 2 8" xfId="42998"/>
    <cellStyle name="20% - Ênfase5 4 2 2 3 2 8" xfId="42999"/>
    <cellStyle name="40% - Ênfase5 4 2 2 3 2 8" xfId="43000"/>
    <cellStyle name="20% - Ênfase6 4 2 2 3 2 8" xfId="43001"/>
    <cellStyle name="40% - Ênfase6 4 2 2 3 2 8" xfId="43002"/>
    <cellStyle name="Normal 3 6 2 8" xfId="43003"/>
    <cellStyle name="20% - Ênfase1 5 5 2 8" xfId="43004"/>
    <cellStyle name="40% - Ênfase1 5 5 2 8" xfId="43005"/>
    <cellStyle name="20% - Ênfase2 5 5 2 8" xfId="43006"/>
    <cellStyle name="40% - Ênfase2 5 5 2 8" xfId="43007"/>
    <cellStyle name="20% - Ênfase3 5 5 2 8" xfId="43008"/>
    <cellStyle name="40% - Ênfase3 5 5 2 8" xfId="43009"/>
    <cellStyle name="20% - Ênfase4 5 5 2 8" xfId="43010"/>
    <cellStyle name="40% - Ênfase4 5 5 2 8" xfId="43011"/>
    <cellStyle name="20% - Ênfase5 5 5 2 8" xfId="43012"/>
    <cellStyle name="40% - Ênfase5 5 5 2 8" xfId="43013"/>
    <cellStyle name="20% - Ênfase6 5 5 2 8" xfId="43014"/>
    <cellStyle name="40% - Ênfase6 5 5 2 8" xfId="43015"/>
    <cellStyle name="Normal 4 2 5 2 8" xfId="43016"/>
    <cellStyle name="Nota 2 2 5 2 8" xfId="43017"/>
    <cellStyle name="Normal 5 2 5 2 8" xfId="43018"/>
    <cellStyle name="Nota 3 2 5 2 8" xfId="43019"/>
    <cellStyle name="20% - Ênfase1 2 2 5 2 8" xfId="43020"/>
    <cellStyle name="40% - Ênfase1 2 2 5 2 8" xfId="43021"/>
    <cellStyle name="20% - Ênfase2 2 2 5 2 8" xfId="43022"/>
    <cellStyle name="40% - Ênfase2 2 2 5 2 8" xfId="43023"/>
    <cellStyle name="20% - Ênfase3 2 2 5 2 8" xfId="43024"/>
    <cellStyle name="40% - Ênfase3 2 2 5 2 8" xfId="43025"/>
    <cellStyle name="20% - Ênfase4 2 2 5 2 8" xfId="43026"/>
    <cellStyle name="40% - Ênfase4 2 2 5 2 8" xfId="43027"/>
    <cellStyle name="20% - Ênfase5 2 2 5 2 8" xfId="43028"/>
    <cellStyle name="40% - Ênfase5 2 2 5 2 8" xfId="43029"/>
    <cellStyle name="20% - Ênfase6 2 2 5 2 8" xfId="43030"/>
    <cellStyle name="40% - Ênfase6 2 2 5 2 8" xfId="43031"/>
    <cellStyle name="Normal 7 2 5 2 8" xfId="43032"/>
    <cellStyle name="Nota 4 7 2 8" xfId="43033"/>
    <cellStyle name="20% - Ênfase1 3 7 2 8" xfId="43034"/>
    <cellStyle name="40% - Ênfase1 3 7 2 8" xfId="43035"/>
    <cellStyle name="20% - Ênfase2 3 7 2 8" xfId="43036"/>
    <cellStyle name="40% - Ênfase2 3 7 2 8" xfId="43037"/>
    <cellStyle name="20% - Ênfase3 3 7 2 8" xfId="43038"/>
    <cellStyle name="40% - Ênfase3 3 7 2 8" xfId="43039"/>
    <cellStyle name="20% - Ênfase4 3 7 2 8" xfId="43040"/>
    <cellStyle name="40% - Ênfase4 3 7 2 8" xfId="43041"/>
    <cellStyle name="20% - Ênfase5 3 7 2 8" xfId="43042"/>
    <cellStyle name="40% - Ênfase5 3 7 2 8" xfId="43043"/>
    <cellStyle name="20% - Ênfase6 3 7 2 8" xfId="43044"/>
    <cellStyle name="40% - Ênfase6 3 7 2 8" xfId="43045"/>
    <cellStyle name="Normal 8 7 2 8" xfId="43046"/>
    <cellStyle name="Nota 5 7 2 8" xfId="43047"/>
    <cellStyle name="20% - Ênfase1 4 7 2 8" xfId="43048"/>
    <cellStyle name="40% - Ênfase1 4 7 2 8" xfId="43049"/>
    <cellStyle name="20% - Ênfase2 4 7 2 8" xfId="43050"/>
    <cellStyle name="40% - Ênfase2 4 7 2 8" xfId="43051"/>
    <cellStyle name="20% - Ênfase3 4 7 2 8" xfId="43052"/>
    <cellStyle name="40% - Ênfase3 4 7 2 8" xfId="43053"/>
    <cellStyle name="20% - Ênfase4 4 7 2 8" xfId="43054"/>
    <cellStyle name="40% - Ênfase4 4 7 2 8" xfId="43055"/>
    <cellStyle name="20% - Ênfase5 4 7 2 8" xfId="43056"/>
    <cellStyle name="40% - Ênfase5 4 7 2 8" xfId="43057"/>
    <cellStyle name="20% - Ênfase6 4 7 2 8" xfId="43058"/>
    <cellStyle name="40% - Ênfase6 4 7 2 8" xfId="43059"/>
    <cellStyle name="Normal 6 4 2 8" xfId="43060"/>
    <cellStyle name="Separador de milhares 7 2 2 8" xfId="43061"/>
    <cellStyle name="Normal 13 5 2" xfId="43062"/>
    <cellStyle name="Vírgula 20 4" xfId="43063"/>
    <cellStyle name="Porcentagem 20" xfId="43064"/>
    <cellStyle name="Normal 2 6 3" xfId="43065"/>
    <cellStyle name="SAPEditableDataCell 2" xfId="43066"/>
    <cellStyle name="SAPLockedDataCell 2" xfId="43067"/>
    <cellStyle name="SAPEditableDataTotalCell 2" xfId="43068"/>
    <cellStyle name="SAPLockedDataTotalCell 2" xfId="43069"/>
    <cellStyle name="SAPEmphasizedEditableDataCell 2" xfId="43070"/>
    <cellStyle name="SAPEmphasizedEditableDataTotalCell 2" xfId="43071"/>
    <cellStyle name="SAPEmphasizedLockedDataCell 2" xfId="43072"/>
    <cellStyle name="SAPEmphasizedLockedDataTotalCell 2" xfId="43073"/>
    <cellStyle name="SAPFormula" xfId="43074"/>
    <cellStyle name="Vírgula 26" xfId="43075"/>
    <cellStyle name="Separador de milhares 2 16" xfId="43076"/>
    <cellStyle name="Separador de milhares 3 13" xfId="43077"/>
    <cellStyle name="Separador de milhares 4 12" xfId="43078"/>
    <cellStyle name="Separador de milhares 5 13" xfId="43079"/>
    <cellStyle name="Separador de milhares 6 13" xfId="43080"/>
    <cellStyle name="Separador de milhares 7 11" xfId="43081"/>
    <cellStyle name="Normal 3 2 10" xfId="43082"/>
    <cellStyle name="Normal 6 14" xfId="43083"/>
    <cellStyle name="Comma 2 11" xfId="43084"/>
    <cellStyle name="Percent 2 11" xfId="43085"/>
    <cellStyle name="Separador de milhares 3 3 10" xfId="43086"/>
    <cellStyle name="Normal 6 2 10" xfId="43087"/>
    <cellStyle name="Comma 2 2 10" xfId="43088"/>
    <cellStyle name="Percent 2 2 9" xfId="43089"/>
    <cellStyle name="Normal 7 15" xfId="43090"/>
    <cellStyle name="Normal 8 20" xfId="43091"/>
    <cellStyle name="Comma 4 10" xfId="43092"/>
    <cellStyle name="Percent 3 10" xfId="43093"/>
    <cellStyle name="Normal 9 11" xfId="43094"/>
    <cellStyle name="Comma 5 10" xfId="43095"/>
    <cellStyle name="Normal 8 2 14" xfId="43096"/>
    <cellStyle name="Normal 8 3 13" xfId="43097"/>
    <cellStyle name="Normal 8 4 13" xfId="43098"/>
    <cellStyle name="Normal 8 5 13" xfId="43099"/>
    <cellStyle name="Normal 8 5 2 11" xfId="43100"/>
    <cellStyle name="Normal 7 2 15" xfId="43101"/>
    <cellStyle name="Vírgula 9 10" xfId="43102"/>
    <cellStyle name="Separador de milhares 2 2 12" xfId="43103"/>
    <cellStyle name="Separador de milhares 3 4 9" xfId="43104"/>
    <cellStyle name="Separador de milhares 4 3 9" xfId="43105"/>
    <cellStyle name="Separador de milhares 5 3 9" xfId="43106"/>
    <cellStyle name="Separador de milhares 6 3 9" xfId="43107"/>
    <cellStyle name="Separador de milhares 7 3 10" xfId="43108"/>
    <cellStyle name="Normal 3 2 2 9" xfId="43109"/>
    <cellStyle name="Normal 6 3 9" xfId="43110"/>
    <cellStyle name="Comma 2 3 9" xfId="43111"/>
    <cellStyle name="Percent 2 3 8" xfId="43112"/>
    <cellStyle name="Separador de milhares 3 3 2 9" xfId="43113"/>
    <cellStyle name="Normal 6 2 2 8" xfId="43114"/>
    <cellStyle name="Comma 2 2 2 8" xfId="43115"/>
    <cellStyle name="Percent 2 2 2 8" xfId="43116"/>
    <cellStyle name="Normal 7 3 14" xfId="43117"/>
    <cellStyle name="Comma 3 2 8" xfId="43118"/>
    <cellStyle name="Normal 8 6 11" xfId="43119"/>
    <cellStyle name="Comma 4 2 8" xfId="43120"/>
    <cellStyle name="Percent 3 2 8" xfId="43121"/>
    <cellStyle name="Normal 9 2 9" xfId="43122"/>
    <cellStyle name="Comma 5 2 8" xfId="43123"/>
    <cellStyle name="Normal 8 2 2 13" xfId="43124"/>
    <cellStyle name="Vírgula 13 2 8" xfId="43125"/>
    <cellStyle name="Vírgula 4 2 2 10" xfId="43126"/>
    <cellStyle name="Normal 8 3 2 11" xfId="43127"/>
    <cellStyle name="Normal 8 4 2 11" xfId="43128"/>
    <cellStyle name="Normal 8 5 3 9" xfId="43129"/>
    <cellStyle name="Normal 8 5 2 2 8" xfId="43130"/>
    <cellStyle name="Normal 7 2 2 13" xfId="43131"/>
    <cellStyle name="Vírgula 18 2 8" xfId="43132"/>
    <cellStyle name="Vírgula 12 2 9" xfId="43133"/>
    <cellStyle name="Normal 12 9" xfId="43134"/>
    <cellStyle name="Normal 3 8 9" xfId="43135"/>
    <cellStyle name="Percent 3 3 8" xfId="43136"/>
    <cellStyle name="Comma 2 4 8" xfId="43137"/>
    <cellStyle name="Comma 2 2 3 8" xfId="43138"/>
    <cellStyle name="Normal 6 7 8" xfId="43139"/>
    <cellStyle name="Normal 3 2 3 8" xfId="43140"/>
    <cellStyle name="Separador de milhares 2 9 8" xfId="43141"/>
    <cellStyle name="Normal 7 8 8" xfId="43142"/>
    <cellStyle name="Comma 2 3 2 8" xfId="43143"/>
    <cellStyle name="Separador de milhares 2 8 8" xfId="43144"/>
    <cellStyle name="Separador de milhares 3 6 8" xfId="43145"/>
    <cellStyle name="Separador de milhares 4 5 9" xfId="43146"/>
    <cellStyle name="Separador de milhares 5 5 9" xfId="43147"/>
    <cellStyle name="Separador de milhares 6 6 9" xfId="43148"/>
    <cellStyle name="Separador de milhares 7 4 8" xfId="43149"/>
    <cellStyle name="Comma 3 3 8" xfId="43150"/>
    <cellStyle name="Vírgula 7 2 8" xfId="43151"/>
    <cellStyle name="20% - Ênfase1 2 2 15" xfId="43152"/>
    <cellStyle name="20% - Ênfase1 2 2 2 12" xfId="43153"/>
    <cellStyle name="20% - Ênfase1 2 2 2 2 10" xfId="43154"/>
    <cellStyle name="20% - Ênfase1 2 2 2 3 10" xfId="43155"/>
    <cellStyle name="20% - Ênfase1 2 2 3 10" xfId="43156"/>
    <cellStyle name="20% - Ênfase1 2 2 4 10" xfId="43157"/>
    <cellStyle name="20% - Ênfase1 2 2 5 10" xfId="43158"/>
    <cellStyle name="20% - Ênfase1 2 3 14" xfId="43159"/>
    <cellStyle name="20% - Ênfase1 2 3 2 12" xfId="43160"/>
    <cellStyle name="20% - Ênfase1 2 3 2 2 10" xfId="43161"/>
    <cellStyle name="20% - Ênfase1 2 3 2 3 10" xfId="43162"/>
    <cellStyle name="20% - Ênfase1 2 3 3 10" xfId="43163"/>
    <cellStyle name="20% - Ênfase1 2 3 4 10" xfId="43164"/>
    <cellStyle name="20% - Ênfase1 2 5 12" xfId="43165"/>
    <cellStyle name="20% - Ênfase1 2 5 2 10" xfId="43166"/>
    <cellStyle name="20% - Ênfase1 2 5 3 10" xfId="43167"/>
    <cellStyle name="20% - Ênfase1 3 17" xfId="43168"/>
    <cellStyle name="20% - Ênfase1 3 2 14" xfId="43169"/>
    <cellStyle name="20% - Ênfase1 3 2 2 12" xfId="43170"/>
    <cellStyle name="20% - Ênfase1 3 2 2 2 10" xfId="43171"/>
    <cellStyle name="20% - Ênfase1 3 2 2 3 10" xfId="43172"/>
    <cellStyle name="20% - Ênfase1 3 2 3 10" xfId="43173"/>
    <cellStyle name="20% - Ênfase1 3 2 4 10" xfId="43174"/>
    <cellStyle name="20% - Ênfase1 3 3 13" xfId="43175"/>
    <cellStyle name="20% - Ênfase1 3 3 2 10" xfId="43176"/>
    <cellStyle name="20% - Ênfase1 3 3 3 10" xfId="43177"/>
    <cellStyle name="20% - Ênfase1 3 4 12" xfId="43178"/>
    <cellStyle name="20% - Ênfase1 3 4 2 10" xfId="43179"/>
    <cellStyle name="20% - Ênfase1 3 4 3 10" xfId="43180"/>
    <cellStyle name="20% - Ênfase1 3 5 10" xfId="43181"/>
    <cellStyle name="20% - Ênfase1 3 6 10" xfId="43182"/>
    <cellStyle name="20% - Ênfase1 3 7 10" xfId="43183"/>
    <cellStyle name="20% - Ênfase1 4 17" xfId="43184"/>
    <cellStyle name="20% - Ênfase1 4 2 14" xfId="43185"/>
    <cellStyle name="20% - Ênfase1 4 2 2 12" xfId="43186"/>
    <cellStyle name="20% - Ênfase1 4 2 2 2 10" xfId="43187"/>
    <cellStyle name="20% - Ênfase1 4 2 2 3 10" xfId="43188"/>
    <cellStyle name="20% - Ênfase1 4 2 3 10" xfId="43189"/>
    <cellStyle name="20% - Ênfase1 4 2 4 10" xfId="43190"/>
    <cellStyle name="20% - Ênfase1 4 3 13" xfId="43191"/>
    <cellStyle name="20% - Ênfase1 4 3 2 10" xfId="43192"/>
    <cellStyle name="20% - Ênfase1 4 3 3 10" xfId="43193"/>
    <cellStyle name="20% - Ênfase1 4 4 12" xfId="43194"/>
    <cellStyle name="20% - Ênfase1 4 4 2 10" xfId="43195"/>
    <cellStyle name="20% - Ênfase1 4 4 3 10" xfId="43196"/>
    <cellStyle name="20% - Ênfase1 4 5 10" xfId="43197"/>
    <cellStyle name="20% - Ênfase1 4 6 10" xfId="43198"/>
    <cellStyle name="20% - Ênfase1 4 7 10" xfId="43199"/>
    <cellStyle name="20% - Ênfase1 5 15" xfId="43200"/>
    <cellStyle name="20% - Ênfase1 5 2 12" xfId="43201"/>
    <cellStyle name="20% - Ênfase1 5 2 2 10" xfId="43202"/>
    <cellStyle name="20% - Ênfase1 5 2 3 10" xfId="43203"/>
    <cellStyle name="20% - Ênfase1 5 3 10" xfId="43204"/>
    <cellStyle name="20% - Ênfase1 5 4 10" xfId="43205"/>
    <cellStyle name="20% - Ênfase1 5 5 10" xfId="43206"/>
    <cellStyle name="20% - Ênfase1 6 14" xfId="43207"/>
    <cellStyle name="20% - Ênfase1 6 2 12" xfId="43208"/>
    <cellStyle name="20% - Ênfase1 6 2 2 10" xfId="43209"/>
    <cellStyle name="20% - Ênfase1 6 2 3 10" xfId="43210"/>
    <cellStyle name="20% - Ênfase1 6 3 10" xfId="43211"/>
    <cellStyle name="20% - Ênfase1 6 4 10" xfId="43212"/>
    <cellStyle name="20% - Ênfase1 8 12" xfId="43213"/>
    <cellStyle name="20% - Ênfase1 8 2 10" xfId="43214"/>
    <cellStyle name="20% - Ênfase1 8 3 10" xfId="43215"/>
    <cellStyle name="20% - Ênfase2 2 2 15" xfId="43216"/>
    <cellStyle name="20% - Ênfase2 2 2 2 12" xfId="43217"/>
    <cellStyle name="20% - Ênfase2 2 2 2 2 10" xfId="43218"/>
    <cellStyle name="20% - Ênfase2 2 2 2 3 10" xfId="43219"/>
    <cellStyle name="20% - Ênfase2 2 2 3 10" xfId="43220"/>
    <cellStyle name="20% - Ênfase2 2 2 4 10" xfId="43221"/>
    <cellStyle name="20% - Ênfase2 2 2 5 10" xfId="43222"/>
    <cellStyle name="20% - Ênfase2 2 3 14" xfId="43223"/>
    <cellStyle name="20% - Ênfase2 2 3 2 12" xfId="43224"/>
    <cellStyle name="20% - Ênfase2 2 3 2 2 10" xfId="43225"/>
    <cellStyle name="20% - Ênfase2 2 3 2 3 10" xfId="43226"/>
    <cellStyle name="20% - Ênfase2 2 3 3 10" xfId="43227"/>
    <cellStyle name="20% - Ênfase2 2 3 4 10" xfId="43228"/>
    <cellStyle name="20% - Ênfase2 2 5 12" xfId="43229"/>
    <cellStyle name="20% - Ênfase2 2 5 2 10" xfId="43230"/>
    <cellStyle name="20% - Ênfase2 2 5 3 10" xfId="43231"/>
    <cellStyle name="20% - Ênfase2 3 17" xfId="43232"/>
    <cellStyle name="20% - Ênfase2 3 2 14" xfId="43233"/>
    <cellStyle name="20% - Ênfase2 3 2 2 12" xfId="43234"/>
    <cellStyle name="20% - Ênfase2 3 2 2 2 10" xfId="43235"/>
    <cellStyle name="20% - Ênfase2 3 2 2 3 10" xfId="43236"/>
    <cellStyle name="20% - Ênfase2 3 2 3 10" xfId="43237"/>
    <cellStyle name="20% - Ênfase2 3 2 4 10" xfId="43238"/>
    <cellStyle name="20% - Ênfase2 3 3 13" xfId="43239"/>
    <cellStyle name="20% - Ênfase2 3 3 2 10" xfId="43240"/>
    <cellStyle name="20% - Ênfase2 3 3 3 10" xfId="43241"/>
    <cellStyle name="20% - Ênfase2 3 4 12" xfId="43242"/>
    <cellStyle name="20% - Ênfase2 3 4 2 10" xfId="43243"/>
    <cellStyle name="20% - Ênfase2 3 4 3 10" xfId="43244"/>
    <cellStyle name="20% - Ênfase2 3 5 10" xfId="43245"/>
    <cellStyle name="20% - Ênfase2 3 6 10" xfId="43246"/>
    <cellStyle name="20% - Ênfase2 3 7 10" xfId="43247"/>
    <cellStyle name="20% - Ênfase2 4 17" xfId="43248"/>
    <cellStyle name="20% - Ênfase2 4 2 14" xfId="43249"/>
    <cellStyle name="20% - Ênfase2 4 2 2 12" xfId="43250"/>
    <cellStyle name="20% - Ênfase2 4 2 2 2 10" xfId="43251"/>
    <cellStyle name="20% - Ênfase2 4 2 2 3 10" xfId="43252"/>
    <cellStyle name="20% - Ênfase2 4 2 3 10" xfId="43253"/>
    <cellStyle name="20% - Ênfase2 4 2 4 10" xfId="43254"/>
    <cellStyle name="20% - Ênfase2 4 3 13" xfId="43255"/>
    <cellStyle name="20% - Ênfase2 4 3 2 10" xfId="43256"/>
    <cellStyle name="20% - Ênfase2 4 3 3 10" xfId="43257"/>
    <cellStyle name="20% - Ênfase2 4 4 12" xfId="43258"/>
    <cellStyle name="20% - Ênfase2 4 4 2 10" xfId="43259"/>
    <cellStyle name="20% - Ênfase2 4 4 3 10" xfId="43260"/>
    <cellStyle name="20% - Ênfase2 4 5 10" xfId="43261"/>
    <cellStyle name="20% - Ênfase2 4 6 10" xfId="43262"/>
    <cellStyle name="20% - Ênfase2 4 7 10" xfId="43263"/>
    <cellStyle name="20% - Ênfase2 5 15" xfId="43264"/>
    <cellStyle name="20% - Ênfase2 5 2 12" xfId="43265"/>
    <cellStyle name="20% - Ênfase2 5 2 2 10" xfId="43266"/>
    <cellStyle name="20% - Ênfase2 5 2 3 10" xfId="43267"/>
    <cellStyle name="20% - Ênfase2 5 3 10" xfId="43268"/>
    <cellStyle name="20% - Ênfase2 5 4 10" xfId="43269"/>
    <cellStyle name="20% - Ênfase2 5 5 10" xfId="43270"/>
    <cellStyle name="20% - Ênfase2 6 14" xfId="43271"/>
    <cellStyle name="20% - Ênfase2 6 2 12" xfId="43272"/>
    <cellStyle name="20% - Ênfase2 6 2 2 10" xfId="43273"/>
    <cellStyle name="20% - Ênfase2 6 2 3 10" xfId="43274"/>
    <cellStyle name="20% - Ênfase2 6 3 10" xfId="43275"/>
    <cellStyle name="20% - Ênfase2 6 4 10" xfId="43276"/>
    <cellStyle name="20% - Ênfase2 8 12" xfId="43277"/>
    <cellStyle name="20% - Ênfase2 8 2 10" xfId="43278"/>
    <cellStyle name="20% - Ênfase2 8 3 10" xfId="43279"/>
    <cellStyle name="20% - Ênfase3 2 2 15" xfId="43280"/>
    <cellStyle name="20% - Ênfase3 2 2 2 12" xfId="43281"/>
    <cellStyle name="20% - Ênfase3 2 2 2 2 10" xfId="43282"/>
    <cellStyle name="20% - Ênfase3 2 2 2 3 10" xfId="43283"/>
    <cellStyle name="20% - Ênfase3 2 2 3 10" xfId="43284"/>
    <cellStyle name="20% - Ênfase3 2 2 4 10" xfId="43285"/>
    <cellStyle name="20% - Ênfase3 2 2 5 10" xfId="43286"/>
    <cellStyle name="20% - Ênfase3 2 3 14" xfId="43287"/>
    <cellStyle name="20% - Ênfase3 2 3 2 12" xfId="43288"/>
    <cellStyle name="20% - Ênfase3 2 3 2 2 10" xfId="43289"/>
    <cellStyle name="20% - Ênfase3 2 3 2 3 10" xfId="43290"/>
    <cellStyle name="20% - Ênfase3 2 3 3 10" xfId="43291"/>
    <cellStyle name="20% - Ênfase3 2 3 4 10" xfId="43292"/>
    <cellStyle name="20% - Ênfase3 2 5 12" xfId="43293"/>
    <cellStyle name="20% - Ênfase3 2 5 2 10" xfId="43294"/>
    <cellStyle name="20% - Ênfase3 2 5 3 10" xfId="43295"/>
    <cellStyle name="20% - Ênfase3 3 17" xfId="43296"/>
    <cellStyle name="20% - Ênfase3 3 2 14" xfId="43297"/>
    <cellStyle name="20% - Ênfase3 3 2 2 12" xfId="43298"/>
    <cellStyle name="20% - Ênfase3 3 2 2 2 10" xfId="43299"/>
    <cellStyle name="20% - Ênfase3 3 2 2 3 10" xfId="43300"/>
    <cellStyle name="20% - Ênfase3 3 2 3 10" xfId="43301"/>
    <cellStyle name="20% - Ênfase3 3 2 4 10" xfId="43302"/>
    <cellStyle name="20% - Ênfase3 3 3 13" xfId="43303"/>
    <cellStyle name="20% - Ênfase3 3 3 2 10" xfId="43304"/>
    <cellStyle name="20% - Ênfase3 3 3 3 10" xfId="43305"/>
    <cellStyle name="20% - Ênfase3 3 4 12" xfId="43306"/>
    <cellStyle name="20% - Ênfase3 3 4 2 10" xfId="43307"/>
    <cellStyle name="20% - Ênfase3 3 4 3 10" xfId="43308"/>
    <cellStyle name="20% - Ênfase3 3 5 10" xfId="43309"/>
    <cellStyle name="20% - Ênfase3 3 6 10" xfId="43310"/>
    <cellStyle name="20% - Ênfase3 3 7 10" xfId="43311"/>
    <cellStyle name="20% - Ênfase3 4 17" xfId="43312"/>
    <cellStyle name="20% - Ênfase3 4 2 14" xfId="43313"/>
    <cellStyle name="20% - Ênfase3 4 2 2 12" xfId="43314"/>
    <cellStyle name="20% - Ênfase3 4 2 2 2 10" xfId="43315"/>
    <cellStyle name="20% - Ênfase3 4 2 2 3 10" xfId="43316"/>
    <cellStyle name="20% - Ênfase3 4 2 3 10" xfId="43317"/>
    <cellStyle name="20% - Ênfase3 4 2 4 10" xfId="43318"/>
    <cellStyle name="20% - Ênfase3 4 3 13" xfId="43319"/>
    <cellStyle name="20% - Ênfase3 4 3 2 10" xfId="43320"/>
    <cellStyle name="20% - Ênfase3 4 3 3 10" xfId="43321"/>
    <cellStyle name="20% - Ênfase3 4 4 12" xfId="43322"/>
    <cellStyle name="20% - Ênfase3 4 4 2 10" xfId="43323"/>
    <cellStyle name="20% - Ênfase3 4 4 3 10" xfId="43324"/>
    <cellStyle name="20% - Ênfase3 4 5 10" xfId="43325"/>
    <cellStyle name="20% - Ênfase3 4 6 10" xfId="43326"/>
    <cellStyle name="20% - Ênfase3 4 7 10" xfId="43327"/>
    <cellStyle name="20% - Ênfase3 5 15" xfId="43328"/>
    <cellStyle name="20% - Ênfase3 5 2 12" xfId="43329"/>
    <cellStyle name="20% - Ênfase3 5 2 2 10" xfId="43330"/>
    <cellStyle name="20% - Ênfase3 5 2 3 10" xfId="43331"/>
    <cellStyle name="20% - Ênfase3 5 3 10" xfId="43332"/>
    <cellStyle name="20% - Ênfase3 5 4 10" xfId="43333"/>
    <cellStyle name="20% - Ênfase3 5 5 10" xfId="43334"/>
    <cellStyle name="20% - Ênfase3 6 14" xfId="43335"/>
    <cellStyle name="20% - Ênfase3 6 2 12" xfId="43336"/>
    <cellStyle name="20% - Ênfase3 6 2 2 10" xfId="43337"/>
    <cellStyle name="20% - Ênfase3 6 2 3 10" xfId="43338"/>
    <cellStyle name="20% - Ênfase3 6 3 10" xfId="43339"/>
    <cellStyle name="20% - Ênfase3 6 4 10" xfId="43340"/>
    <cellStyle name="20% - Ênfase3 8 12" xfId="43341"/>
    <cellStyle name="20% - Ênfase3 8 2 10" xfId="43342"/>
    <cellStyle name="20% - Ênfase3 8 3 10" xfId="43343"/>
    <cellStyle name="20% - Ênfase4 2 2 15" xfId="43344"/>
    <cellStyle name="20% - Ênfase4 2 2 2 12" xfId="43345"/>
    <cellStyle name="20% - Ênfase4 2 2 2 2 10" xfId="43346"/>
    <cellStyle name="20% - Ênfase4 2 2 2 3 10" xfId="43347"/>
    <cellStyle name="20% - Ênfase4 2 2 3 10" xfId="43348"/>
    <cellStyle name="20% - Ênfase4 2 2 4 10" xfId="43349"/>
    <cellStyle name="20% - Ênfase4 2 2 5 10" xfId="43350"/>
    <cellStyle name="20% - Ênfase4 2 3 14" xfId="43351"/>
    <cellStyle name="20% - Ênfase4 2 3 2 12" xfId="43352"/>
    <cellStyle name="20% - Ênfase4 2 3 2 2 10" xfId="43353"/>
    <cellStyle name="20% - Ênfase4 2 3 2 3 10" xfId="43354"/>
    <cellStyle name="20% - Ênfase4 2 3 3 10" xfId="43355"/>
    <cellStyle name="20% - Ênfase4 2 3 4 10" xfId="43356"/>
    <cellStyle name="20% - Ênfase4 2 5 12" xfId="43357"/>
    <cellStyle name="20% - Ênfase4 2 5 2 10" xfId="43358"/>
    <cellStyle name="20% - Ênfase4 2 5 3 10" xfId="43359"/>
    <cellStyle name="20% - Ênfase4 3 17" xfId="43360"/>
    <cellStyle name="20% - Ênfase4 3 2 14" xfId="43361"/>
    <cellStyle name="20% - Ênfase4 3 2 2 12" xfId="43362"/>
    <cellStyle name="20% - Ênfase4 3 2 2 2 10" xfId="43363"/>
    <cellStyle name="20% - Ênfase4 3 2 2 3 10" xfId="43364"/>
    <cellStyle name="20% - Ênfase4 3 2 3 10" xfId="43365"/>
    <cellStyle name="20% - Ênfase4 3 2 4 10" xfId="43366"/>
    <cellStyle name="20% - Ênfase4 3 3 13" xfId="43367"/>
    <cellStyle name="20% - Ênfase4 3 3 2 10" xfId="43368"/>
    <cellStyle name="20% - Ênfase4 3 3 3 10" xfId="43369"/>
    <cellStyle name="20% - Ênfase4 3 4 12" xfId="43370"/>
    <cellStyle name="20% - Ênfase4 3 4 2 10" xfId="43371"/>
    <cellStyle name="20% - Ênfase4 3 4 3 10" xfId="43372"/>
    <cellStyle name="20% - Ênfase4 3 5 10" xfId="43373"/>
    <cellStyle name="20% - Ênfase4 3 6 10" xfId="43374"/>
    <cellStyle name="20% - Ênfase4 3 7 10" xfId="43375"/>
    <cellStyle name="20% - Ênfase4 4 17" xfId="43376"/>
    <cellStyle name="20% - Ênfase4 4 2 14" xfId="43377"/>
    <cellStyle name="20% - Ênfase4 4 2 2 12" xfId="43378"/>
    <cellStyle name="20% - Ênfase4 4 2 2 2 10" xfId="43379"/>
    <cellStyle name="20% - Ênfase4 4 2 2 3 10" xfId="43380"/>
    <cellStyle name="20% - Ênfase4 4 2 3 10" xfId="43381"/>
    <cellStyle name="20% - Ênfase4 4 2 4 10" xfId="43382"/>
    <cellStyle name="20% - Ênfase4 4 3 13" xfId="43383"/>
    <cellStyle name="20% - Ênfase4 4 3 2 10" xfId="43384"/>
    <cellStyle name="20% - Ênfase4 4 3 3 10" xfId="43385"/>
    <cellStyle name="20% - Ênfase4 4 4 12" xfId="43386"/>
    <cellStyle name="20% - Ênfase4 4 4 2 10" xfId="43387"/>
    <cellStyle name="20% - Ênfase4 4 4 3 10" xfId="43388"/>
    <cellStyle name="20% - Ênfase4 4 5 10" xfId="43389"/>
    <cellStyle name="20% - Ênfase4 4 6 10" xfId="43390"/>
    <cellStyle name="20% - Ênfase4 4 7 10" xfId="43391"/>
    <cellStyle name="20% - Ênfase4 5 15" xfId="43392"/>
    <cellStyle name="20% - Ênfase4 5 2 12" xfId="43393"/>
    <cellStyle name="20% - Ênfase4 5 2 2 10" xfId="43394"/>
    <cellStyle name="20% - Ênfase4 5 2 3 10" xfId="43395"/>
    <cellStyle name="20% - Ênfase4 5 3 10" xfId="43396"/>
    <cellStyle name="20% - Ênfase4 5 4 10" xfId="43397"/>
    <cellStyle name="20% - Ênfase4 5 5 10" xfId="43398"/>
    <cellStyle name="20% - Ênfase4 6 14" xfId="43399"/>
    <cellStyle name="20% - Ênfase4 6 2 12" xfId="43400"/>
    <cellStyle name="20% - Ênfase4 6 2 2 10" xfId="43401"/>
    <cellStyle name="20% - Ênfase4 6 2 3 10" xfId="43402"/>
    <cellStyle name="20% - Ênfase4 6 3 10" xfId="43403"/>
    <cellStyle name="20% - Ênfase4 6 4 10" xfId="43404"/>
    <cellStyle name="20% - Ênfase4 8 12" xfId="43405"/>
    <cellStyle name="20% - Ênfase4 8 2 10" xfId="43406"/>
    <cellStyle name="20% - Ênfase4 8 3 10" xfId="43407"/>
    <cellStyle name="20% - Ênfase5 2 2 15" xfId="43408"/>
    <cellStyle name="20% - Ênfase5 2 2 2 12" xfId="43409"/>
    <cellStyle name="20% - Ênfase5 2 2 2 2 10" xfId="43410"/>
    <cellStyle name="20% - Ênfase5 2 2 2 3 10" xfId="43411"/>
    <cellStyle name="20% - Ênfase5 2 2 3 10" xfId="43412"/>
    <cellStyle name="20% - Ênfase5 2 2 4 10" xfId="43413"/>
    <cellStyle name="20% - Ênfase5 2 2 5 10" xfId="43414"/>
    <cellStyle name="20% - Ênfase5 2 3 14" xfId="43415"/>
    <cellStyle name="20% - Ênfase5 2 3 2 12" xfId="43416"/>
    <cellStyle name="20% - Ênfase5 2 3 2 2 10" xfId="43417"/>
    <cellStyle name="20% - Ênfase5 2 3 2 3 10" xfId="43418"/>
    <cellStyle name="20% - Ênfase5 2 3 3 10" xfId="43419"/>
    <cellStyle name="20% - Ênfase5 2 3 4 10" xfId="43420"/>
    <cellStyle name="20% - Ênfase5 2 5 12" xfId="43421"/>
    <cellStyle name="20% - Ênfase5 2 5 2 10" xfId="43422"/>
    <cellStyle name="20% - Ênfase5 2 5 3 10" xfId="43423"/>
    <cellStyle name="20% - Ênfase5 3 17" xfId="43424"/>
    <cellStyle name="20% - Ênfase5 3 2 14" xfId="43425"/>
    <cellStyle name="20% - Ênfase5 3 2 2 12" xfId="43426"/>
    <cellStyle name="20% - Ênfase5 3 2 2 2 10" xfId="43427"/>
    <cellStyle name="20% - Ênfase5 3 2 2 3 10" xfId="43428"/>
    <cellStyle name="20% - Ênfase5 3 2 3 10" xfId="43429"/>
    <cellStyle name="20% - Ênfase5 3 2 4 10" xfId="43430"/>
    <cellStyle name="20% - Ênfase5 3 3 13" xfId="43431"/>
    <cellStyle name="20% - Ênfase5 3 3 2 10" xfId="43432"/>
    <cellStyle name="20% - Ênfase5 3 3 3 10" xfId="43433"/>
    <cellStyle name="20% - Ênfase5 3 4 12" xfId="43434"/>
    <cellStyle name="20% - Ênfase5 3 4 2 10" xfId="43435"/>
    <cellStyle name="20% - Ênfase5 3 4 3 10" xfId="43436"/>
    <cellStyle name="20% - Ênfase5 3 5 10" xfId="43437"/>
    <cellStyle name="20% - Ênfase5 3 6 10" xfId="43438"/>
    <cellStyle name="20% - Ênfase5 3 7 10" xfId="43439"/>
    <cellStyle name="20% - Ênfase5 4 17" xfId="43440"/>
    <cellStyle name="20% - Ênfase5 4 2 14" xfId="43441"/>
    <cellStyle name="20% - Ênfase5 4 2 2 12" xfId="43442"/>
    <cellStyle name="20% - Ênfase5 4 2 2 2 10" xfId="43443"/>
    <cellStyle name="20% - Ênfase5 4 2 2 3 10" xfId="43444"/>
    <cellStyle name="20% - Ênfase5 4 2 3 10" xfId="43445"/>
    <cellStyle name="20% - Ênfase5 4 2 4 10" xfId="43446"/>
    <cellStyle name="20% - Ênfase5 4 3 13" xfId="43447"/>
    <cellStyle name="20% - Ênfase5 4 3 2 10" xfId="43448"/>
    <cellStyle name="20% - Ênfase5 4 3 3 10" xfId="43449"/>
    <cellStyle name="20% - Ênfase5 4 4 12" xfId="43450"/>
    <cellStyle name="20% - Ênfase5 4 4 2 10" xfId="43451"/>
    <cellStyle name="20% - Ênfase5 4 4 3 10" xfId="43452"/>
    <cellStyle name="20% - Ênfase5 4 5 10" xfId="43453"/>
    <cellStyle name="20% - Ênfase5 4 6 10" xfId="43454"/>
    <cellStyle name="20% - Ênfase5 4 7 10" xfId="43455"/>
    <cellStyle name="20% - Ênfase5 5 15" xfId="43456"/>
    <cellStyle name="20% - Ênfase5 5 2 12" xfId="43457"/>
    <cellStyle name="20% - Ênfase5 5 2 2 10" xfId="43458"/>
    <cellStyle name="20% - Ênfase5 5 2 3 10" xfId="43459"/>
    <cellStyle name="20% - Ênfase5 5 3 10" xfId="43460"/>
    <cellStyle name="20% - Ênfase5 5 4 10" xfId="43461"/>
    <cellStyle name="20% - Ênfase5 5 5 10" xfId="43462"/>
    <cellStyle name="20% - Ênfase5 6 14" xfId="43463"/>
    <cellStyle name="20% - Ênfase5 6 2 12" xfId="43464"/>
    <cellStyle name="20% - Ênfase5 6 2 2 10" xfId="43465"/>
    <cellStyle name="20% - Ênfase5 6 2 3 10" xfId="43466"/>
    <cellStyle name="20% - Ênfase5 6 3 10" xfId="43467"/>
    <cellStyle name="20% - Ênfase5 6 4 10" xfId="43468"/>
    <cellStyle name="20% - Ênfase5 8 12" xfId="43469"/>
    <cellStyle name="20% - Ênfase5 8 2 10" xfId="43470"/>
    <cellStyle name="20% - Ênfase5 8 3 10" xfId="43471"/>
    <cellStyle name="20% - Ênfase6 2 2 15" xfId="43472"/>
    <cellStyle name="20% - Ênfase6 2 2 2 12" xfId="43473"/>
    <cellStyle name="20% - Ênfase6 2 2 2 2 10" xfId="43474"/>
    <cellStyle name="20% - Ênfase6 2 2 2 3 10" xfId="43475"/>
    <cellStyle name="20% - Ênfase6 2 2 3 10" xfId="43476"/>
    <cellStyle name="20% - Ênfase6 2 2 4 10" xfId="43477"/>
    <cellStyle name="20% - Ênfase6 2 2 5 10" xfId="43478"/>
    <cellStyle name="20% - Ênfase6 2 3 14" xfId="43479"/>
    <cellStyle name="20% - Ênfase6 2 3 2 12" xfId="43480"/>
    <cellStyle name="20% - Ênfase6 2 3 2 2 10" xfId="43481"/>
    <cellStyle name="20% - Ênfase6 2 3 2 3 10" xfId="43482"/>
    <cellStyle name="20% - Ênfase6 2 3 3 10" xfId="43483"/>
    <cellStyle name="20% - Ênfase6 2 3 4 10" xfId="43484"/>
    <cellStyle name="20% - Ênfase6 2 5 12" xfId="43485"/>
    <cellStyle name="20% - Ênfase6 2 5 2 10" xfId="43486"/>
    <cellStyle name="20% - Ênfase6 2 5 3 10" xfId="43487"/>
    <cellStyle name="20% - Ênfase6 3 17" xfId="43488"/>
    <cellStyle name="20% - Ênfase6 3 2 14" xfId="43489"/>
    <cellStyle name="20% - Ênfase6 3 2 2 12" xfId="43490"/>
    <cellStyle name="20% - Ênfase6 3 2 2 2 10" xfId="43491"/>
    <cellStyle name="20% - Ênfase6 3 2 2 3 10" xfId="43492"/>
    <cellStyle name="20% - Ênfase6 3 2 3 10" xfId="43493"/>
    <cellStyle name="20% - Ênfase6 3 2 4 10" xfId="43494"/>
    <cellStyle name="20% - Ênfase6 3 3 13" xfId="43495"/>
    <cellStyle name="20% - Ênfase6 3 3 2 10" xfId="43496"/>
    <cellStyle name="20% - Ênfase6 3 3 3 10" xfId="43497"/>
    <cellStyle name="20% - Ênfase6 3 4 12" xfId="43498"/>
    <cellStyle name="20% - Ênfase6 3 4 2 10" xfId="43499"/>
    <cellStyle name="20% - Ênfase6 3 4 3 10" xfId="43500"/>
    <cellStyle name="20% - Ênfase6 3 5 10" xfId="43501"/>
    <cellStyle name="20% - Ênfase6 3 6 10" xfId="43502"/>
    <cellStyle name="20% - Ênfase6 3 7 10" xfId="43503"/>
    <cellStyle name="20% - Ênfase6 4 17" xfId="43504"/>
    <cellStyle name="20% - Ênfase6 4 2 14" xfId="43505"/>
    <cellStyle name="20% - Ênfase6 4 2 2 12" xfId="43506"/>
    <cellStyle name="20% - Ênfase6 4 2 2 2 10" xfId="43507"/>
    <cellStyle name="20% - Ênfase6 4 2 2 3 10" xfId="43508"/>
    <cellStyle name="20% - Ênfase6 4 2 3 10" xfId="43509"/>
    <cellStyle name="20% - Ênfase6 4 2 4 10" xfId="43510"/>
    <cellStyle name="20% - Ênfase6 4 3 13" xfId="43511"/>
    <cellStyle name="20% - Ênfase6 4 3 2 10" xfId="43512"/>
    <cellStyle name="20% - Ênfase6 4 3 3 10" xfId="43513"/>
    <cellStyle name="20% - Ênfase6 4 4 12" xfId="43514"/>
    <cellStyle name="20% - Ênfase6 4 4 2 10" xfId="43515"/>
    <cellStyle name="20% - Ênfase6 4 4 3 10" xfId="43516"/>
    <cellStyle name="20% - Ênfase6 4 5 10" xfId="43517"/>
    <cellStyle name="20% - Ênfase6 4 6 10" xfId="43518"/>
    <cellStyle name="20% - Ênfase6 4 7 10" xfId="43519"/>
    <cellStyle name="20% - Ênfase6 5 15" xfId="43520"/>
    <cellStyle name="20% - Ênfase6 5 2 12" xfId="43521"/>
    <cellStyle name="20% - Ênfase6 5 2 2 10" xfId="43522"/>
    <cellStyle name="20% - Ênfase6 5 2 3 10" xfId="43523"/>
    <cellStyle name="20% - Ênfase6 5 3 10" xfId="43524"/>
    <cellStyle name="20% - Ênfase6 5 4 10" xfId="43525"/>
    <cellStyle name="20% - Ênfase6 5 5 10" xfId="43526"/>
    <cellStyle name="20% - Ênfase6 6 14" xfId="43527"/>
    <cellStyle name="20% - Ênfase6 6 2 12" xfId="43528"/>
    <cellStyle name="20% - Ênfase6 6 2 2 10" xfId="43529"/>
    <cellStyle name="20% - Ênfase6 6 2 3 10" xfId="43530"/>
    <cellStyle name="20% - Ênfase6 6 3 10" xfId="43531"/>
    <cellStyle name="20% - Ênfase6 6 4 10" xfId="43532"/>
    <cellStyle name="20% - Ênfase6 8 12" xfId="43533"/>
    <cellStyle name="20% - Ênfase6 8 2 10" xfId="43534"/>
    <cellStyle name="20% - Ênfase6 8 3 10" xfId="43535"/>
    <cellStyle name="40% - Ênfase1 2 2 15" xfId="43536"/>
    <cellStyle name="40% - Ênfase1 2 2 2 12" xfId="43537"/>
    <cellStyle name="40% - Ênfase1 2 2 2 2 10" xfId="43538"/>
    <cellStyle name="40% - Ênfase1 2 2 2 3 10" xfId="43539"/>
    <cellStyle name="40% - Ênfase1 2 2 3 10" xfId="43540"/>
    <cellStyle name="40% - Ênfase1 2 2 4 10" xfId="43541"/>
    <cellStyle name="40% - Ênfase1 2 2 5 10" xfId="43542"/>
    <cellStyle name="40% - Ênfase1 2 3 14" xfId="43543"/>
    <cellStyle name="40% - Ênfase1 2 3 2 12" xfId="43544"/>
    <cellStyle name="40% - Ênfase1 2 3 2 2 10" xfId="43545"/>
    <cellStyle name="40% - Ênfase1 2 3 2 3 10" xfId="43546"/>
    <cellStyle name="40% - Ênfase1 2 3 3 10" xfId="43547"/>
    <cellStyle name="40% - Ênfase1 2 3 4 10" xfId="43548"/>
    <cellStyle name="40% - Ênfase1 2 5 12" xfId="43549"/>
    <cellStyle name="40% - Ênfase1 2 5 2 10" xfId="43550"/>
    <cellStyle name="40% - Ênfase1 2 5 3 10" xfId="43551"/>
    <cellStyle name="40% - Ênfase1 3 17" xfId="43552"/>
    <cellStyle name="40% - Ênfase1 3 2 14" xfId="43553"/>
    <cellStyle name="40% - Ênfase1 3 2 2 12" xfId="43554"/>
    <cellStyle name="40% - Ênfase1 3 2 2 2 10" xfId="43555"/>
    <cellStyle name="40% - Ênfase1 3 2 2 3 10" xfId="43556"/>
    <cellStyle name="40% - Ênfase1 3 2 3 10" xfId="43557"/>
    <cellStyle name="40% - Ênfase1 3 2 4 10" xfId="43558"/>
    <cellStyle name="40% - Ênfase1 3 3 13" xfId="43559"/>
    <cellStyle name="40% - Ênfase1 3 3 2 10" xfId="43560"/>
    <cellStyle name="40% - Ênfase1 3 3 3 10" xfId="43561"/>
    <cellStyle name="40% - Ênfase1 3 4 12" xfId="43562"/>
    <cellStyle name="40% - Ênfase1 3 4 2 10" xfId="43563"/>
    <cellStyle name="40% - Ênfase1 3 4 3 10" xfId="43564"/>
    <cellStyle name="40% - Ênfase1 3 5 10" xfId="43565"/>
    <cellStyle name="40% - Ênfase1 3 6 10" xfId="43566"/>
    <cellStyle name="40% - Ênfase1 3 7 10" xfId="43567"/>
    <cellStyle name="40% - Ênfase1 4 17" xfId="43568"/>
    <cellStyle name="40% - Ênfase1 4 2 14" xfId="43569"/>
    <cellStyle name="40% - Ênfase1 4 2 2 12" xfId="43570"/>
    <cellStyle name="40% - Ênfase1 4 2 2 2 10" xfId="43571"/>
    <cellStyle name="40% - Ênfase1 4 2 2 3 10" xfId="43572"/>
    <cellStyle name="40% - Ênfase1 4 2 3 10" xfId="43573"/>
    <cellStyle name="40% - Ênfase1 4 2 4 10" xfId="43574"/>
    <cellStyle name="40% - Ênfase1 4 3 13" xfId="43575"/>
    <cellStyle name="40% - Ênfase1 4 3 2 10" xfId="43576"/>
    <cellStyle name="40% - Ênfase1 4 3 3 10" xfId="43577"/>
    <cellStyle name="40% - Ênfase1 4 4 12" xfId="43578"/>
    <cellStyle name="40% - Ênfase1 4 4 2 10" xfId="43579"/>
    <cellStyle name="40% - Ênfase1 4 4 3 10" xfId="43580"/>
    <cellStyle name="40% - Ênfase1 4 5 10" xfId="43581"/>
    <cellStyle name="40% - Ênfase1 4 6 10" xfId="43582"/>
    <cellStyle name="40% - Ênfase1 4 7 10" xfId="43583"/>
    <cellStyle name="40% - Ênfase1 5 15" xfId="43584"/>
    <cellStyle name="40% - Ênfase1 5 2 12" xfId="43585"/>
    <cellStyle name="40% - Ênfase1 5 2 2 10" xfId="43586"/>
    <cellStyle name="40% - Ênfase1 5 2 3 10" xfId="43587"/>
    <cellStyle name="40% - Ênfase1 5 3 10" xfId="43588"/>
    <cellStyle name="40% - Ênfase1 5 4 10" xfId="43589"/>
    <cellStyle name="40% - Ênfase1 5 5 10" xfId="43590"/>
    <cellStyle name="40% - Ênfase1 6 14" xfId="43591"/>
    <cellStyle name="40% - Ênfase1 6 2 12" xfId="43592"/>
    <cellStyle name="40% - Ênfase1 6 2 2 10" xfId="43593"/>
    <cellStyle name="40% - Ênfase1 6 2 3 10" xfId="43594"/>
    <cellStyle name="40% - Ênfase1 6 3 10" xfId="43595"/>
    <cellStyle name="40% - Ênfase1 6 4 10" xfId="43596"/>
    <cellStyle name="40% - Ênfase1 8 12" xfId="43597"/>
    <cellStyle name="40% - Ênfase1 8 2 10" xfId="43598"/>
    <cellStyle name="40% - Ênfase1 8 3 10" xfId="43599"/>
    <cellStyle name="40% - Ênfase2 2 2 15" xfId="43600"/>
    <cellStyle name="40% - Ênfase2 2 2 2 12" xfId="43601"/>
    <cellStyle name="40% - Ênfase2 2 2 2 2 10" xfId="43602"/>
    <cellStyle name="40% - Ênfase2 2 2 2 3 10" xfId="43603"/>
    <cellStyle name="40% - Ênfase2 2 2 3 10" xfId="43604"/>
    <cellStyle name="40% - Ênfase2 2 2 4 10" xfId="43605"/>
    <cellStyle name="40% - Ênfase2 2 2 5 10" xfId="43606"/>
    <cellStyle name="40% - Ênfase2 2 3 14" xfId="43607"/>
    <cellStyle name="40% - Ênfase2 2 3 2 12" xfId="43608"/>
    <cellStyle name="40% - Ênfase2 2 3 2 2 10" xfId="43609"/>
    <cellStyle name="40% - Ênfase2 2 3 2 3 10" xfId="43610"/>
    <cellStyle name="40% - Ênfase2 2 3 3 10" xfId="43611"/>
    <cellStyle name="40% - Ênfase2 2 3 4 10" xfId="43612"/>
    <cellStyle name="40% - Ênfase2 2 5 12" xfId="43613"/>
    <cellStyle name="40% - Ênfase2 2 5 2 10" xfId="43614"/>
    <cellStyle name="40% - Ênfase2 2 5 3 10" xfId="43615"/>
    <cellStyle name="40% - Ênfase2 3 17" xfId="43616"/>
    <cellStyle name="40% - Ênfase2 3 2 14" xfId="43617"/>
    <cellStyle name="40% - Ênfase2 3 2 2 12" xfId="43618"/>
    <cellStyle name="40% - Ênfase2 3 2 2 2 10" xfId="43619"/>
    <cellStyle name="40% - Ênfase2 3 2 2 3 10" xfId="43620"/>
    <cellStyle name="40% - Ênfase2 3 2 3 10" xfId="43621"/>
    <cellStyle name="40% - Ênfase2 3 2 4 10" xfId="43622"/>
    <cellStyle name="40% - Ênfase2 3 3 13" xfId="43623"/>
    <cellStyle name="40% - Ênfase2 3 3 2 10" xfId="43624"/>
    <cellStyle name="40% - Ênfase2 3 3 3 10" xfId="43625"/>
    <cellStyle name="40% - Ênfase2 3 4 12" xfId="43626"/>
    <cellStyle name="40% - Ênfase2 3 4 2 10" xfId="43627"/>
    <cellStyle name="40% - Ênfase2 3 4 3 10" xfId="43628"/>
    <cellStyle name="40% - Ênfase2 3 5 10" xfId="43629"/>
    <cellStyle name="40% - Ênfase2 3 6 10" xfId="43630"/>
    <cellStyle name="40% - Ênfase2 3 7 10" xfId="43631"/>
    <cellStyle name="40% - Ênfase2 4 17" xfId="43632"/>
    <cellStyle name="40% - Ênfase2 4 2 14" xfId="43633"/>
    <cellStyle name="40% - Ênfase2 4 2 2 12" xfId="43634"/>
    <cellStyle name="40% - Ênfase2 4 2 2 2 10" xfId="43635"/>
    <cellStyle name="40% - Ênfase2 4 2 2 3 10" xfId="43636"/>
    <cellStyle name="40% - Ênfase2 4 2 3 10" xfId="43637"/>
    <cellStyle name="40% - Ênfase2 4 2 4 10" xfId="43638"/>
    <cellStyle name="40% - Ênfase2 4 3 13" xfId="43639"/>
    <cellStyle name="40% - Ênfase2 4 3 2 10" xfId="43640"/>
    <cellStyle name="40% - Ênfase2 4 3 3 10" xfId="43641"/>
    <cellStyle name="40% - Ênfase2 4 4 12" xfId="43642"/>
    <cellStyle name="40% - Ênfase2 4 4 2 10" xfId="43643"/>
    <cellStyle name="40% - Ênfase2 4 4 3 10" xfId="43644"/>
    <cellStyle name="40% - Ênfase2 4 5 10" xfId="43645"/>
    <cellStyle name="40% - Ênfase2 4 6 10" xfId="43646"/>
    <cellStyle name="40% - Ênfase2 4 7 10" xfId="43647"/>
    <cellStyle name="40% - Ênfase2 5 15" xfId="43648"/>
    <cellStyle name="40% - Ênfase2 5 2 12" xfId="43649"/>
    <cellStyle name="40% - Ênfase2 5 2 2 10" xfId="43650"/>
    <cellStyle name="40% - Ênfase2 5 2 3 10" xfId="43651"/>
    <cellStyle name="40% - Ênfase2 5 3 10" xfId="43652"/>
    <cellStyle name="40% - Ênfase2 5 4 10" xfId="43653"/>
    <cellStyle name="40% - Ênfase2 5 5 10" xfId="43654"/>
    <cellStyle name="40% - Ênfase2 6 14" xfId="43655"/>
    <cellStyle name="40% - Ênfase2 6 2 12" xfId="43656"/>
    <cellStyle name="40% - Ênfase2 6 2 2 10" xfId="43657"/>
    <cellStyle name="40% - Ênfase2 6 2 3 10" xfId="43658"/>
    <cellStyle name="40% - Ênfase2 6 3 10" xfId="43659"/>
    <cellStyle name="40% - Ênfase2 6 4 10" xfId="43660"/>
    <cellStyle name="40% - Ênfase2 8 12" xfId="43661"/>
    <cellStyle name="40% - Ênfase2 8 2 10" xfId="43662"/>
    <cellStyle name="40% - Ênfase2 8 3 10" xfId="43663"/>
    <cellStyle name="40% - Ênfase3 2 2 15" xfId="43664"/>
    <cellStyle name="40% - Ênfase3 2 2 2 12" xfId="43665"/>
    <cellStyle name="40% - Ênfase3 2 2 2 2 10" xfId="43666"/>
    <cellStyle name="40% - Ênfase3 2 2 2 3 10" xfId="43667"/>
    <cellStyle name="40% - Ênfase3 2 2 3 10" xfId="43668"/>
    <cellStyle name="40% - Ênfase3 2 2 4 10" xfId="43669"/>
    <cellStyle name="40% - Ênfase3 2 2 5 10" xfId="43670"/>
    <cellStyle name="40% - Ênfase3 2 3 14" xfId="43671"/>
    <cellStyle name="40% - Ênfase3 2 3 2 12" xfId="43672"/>
    <cellStyle name="40% - Ênfase3 2 3 2 2 10" xfId="43673"/>
    <cellStyle name="40% - Ênfase3 2 3 2 3 10" xfId="43674"/>
    <cellStyle name="40% - Ênfase3 2 3 3 10" xfId="43675"/>
    <cellStyle name="40% - Ênfase3 2 3 4 10" xfId="43676"/>
    <cellStyle name="40% - Ênfase3 2 5 12" xfId="43677"/>
    <cellStyle name="40% - Ênfase3 2 5 2 10" xfId="43678"/>
    <cellStyle name="40% - Ênfase3 2 5 3 10" xfId="43679"/>
    <cellStyle name="40% - Ênfase3 3 17" xfId="43680"/>
    <cellStyle name="40% - Ênfase3 3 2 14" xfId="43681"/>
    <cellStyle name="40% - Ênfase3 3 2 2 12" xfId="43682"/>
    <cellStyle name="40% - Ênfase3 3 2 2 2 10" xfId="43683"/>
    <cellStyle name="40% - Ênfase3 3 2 2 3 10" xfId="43684"/>
    <cellStyle name="40% - Ênfase3 3 2 3 10" xfId="43685"/>
    <cellStyle name="40% - Ênfase3 3 2 4 10" xfId="43686"/>
    <cellStyle name="40% - Ênfase3 3 3 13" xfId="43687"/>
    <cellStyle name="40% - Ênfase3 3 3 2 10" xfId="43688"/>
    <cellStyle name="40% - Ênfase3 3 3 3 10" xfId="43689"/>
    <cellStyle name="40% - Ênfase3 3 4 12" xfId="43690"/>
    <cellStyle name="40% - Ênfase3 3 4 2 10" xfId="43691"/>
    <cellStyle name="40% - Ênfase3 3 4 3 10" xfId="43692"/>
    <cellStyle name="40% - Ênfase3 3 5 10" xfId="43693"/>
    <cellStyle name="40% - Ênfase3 3 6 10" xfId="43694"/>
    <cellStyle name="40% - Ênfase3 3 7 10" xfId="43695"/>
    <cellStyle name="40% - Ênfase3 4 17" xfId="43696"/>
    <cellStyle name="40% - Ênfase3 4 2 14" xfId="43697"/>
    <cellStyle name="40% - Ênfase3 4 2 2 12" xfId="43698"/>
    <cellStyle name="40% - Ênfase3 4 2 2 2 10" xfId="43699"/>
    <cellStyle name="40% - Ênfase3 4 2 2 3 10" xfId="43700"/>
    <cellStyle name="40% - Ênfase3 4 2 3 10" xfId="43701"/>
    <cellStyle name="40% - Ênfase3 4 2 4 10" xfId="43702"/>
    <cellStyle name="40% - Ênfase3 4 3 13" xfId="43703"/>
    <cellStyle name="40% - Ênfase3 4 3 2 10" xfId="43704"/>
    <cellStyle name="40% - Ênfase3 4 3 3 10" xfId="43705"/>
    <cellStyle name="40% - Ênfase3 4 4 12" xfId="43706"/>
    <cellStyle name="40% - Ênfase3 4 4 2 10" xfId="43707"/>
    <cellStyle name="40% - Ênfase3 4 4 3 10" xfId="43708"/>
    <cellStyle name="40% - Ênfase3 4 5 10" xfId="43709"/>
    <cellStyle name="40% - Ênfase3 4 6 10" xfId="43710"/>
    <cellStyle name="40% - Ênfase3 4 7 10" xfId="43711"/>
    <cellStyle name="40% - Ênfase3 5 15" xfId="43712"/>
    <cellStyle name="40% - Ênfase3 5 2 12" xfId="43713"/>
    <cellStyle name="40% - Ênfase3 5 2 2 10" xfId="43714"/>
    <cellStyle name="40% - Ênfase3 5 2 3 10" xfId="43715"/>
    <cellStyle name="40% - Ênfase3 5 3 10" xfId="43716"/>
    <cellStyle name="40% - Ênfase3 5 4 10" xfId="43717"/>
    <cellStyle name="40% - Ênfase3 5 5 10" xfId="43718"/>
    <cellStyle name="40% - Ênfase3 6 14" xfId="43719"/>
    <cellStyle name="40% - Ênfase3 6 2 12" xfId="43720"/>
    <cellStyle name="40% - Ênfase3 6 2 2 10" xfId="43721"/>
    <cellStyle name="40% - Ênfase3 6 2 3 10" xfId="43722"/>
    <cellStyle name="40% - Ênfase3 6 3 10" xfId="43723"/>
    <cellStyle name="40% - Ênfase3 6 4 10" xfId="43724"/>
    <cellStyle name="40% - Ênfase3 8 12" xfId="43725"/>
    <cellStyle name="40% - Ênfase3 8 2 10" xfId="43726"/>
    <cellStyle name="40% - Ênfase3 8 3 10" xfId="43727"/>
    <cellStyle name="40% - Ênfase4 2 2 15" xfId="43728"/>
    <cellStyle name="40% - Ênfase4 2 2 2 12" xfId="43729"/>
    <cellStyle name="40% - Ênfase4 2 2 2 2 10" xfId="43730"/>
    <cellStyle name="40% - Ênfase4 2 2 2 3 10" xfId="43731"/>
    <cellStyle name="40% - Ênfase4 2 2 3 10" xfId="43732"/>
    <cellStyle name="40% - Ênfase4 2 2 4 10" xfId="43733"/>
    <cellStyle name="40% - Ênfase4 2 2 5 10" xfId="43734"/>
    <cellStyle name="40% - Ênfase4 2 3 14" xfId="43735"/>
    <cellStyle name="40% - Ênfase4 2 3 2 12" xfId="43736"/>
    <cellStyle name="40% - Ênfase4 2 3 2 2 10" xfId="43737"/>
    <cellStyle name="40% - Ênfase4 2 3 2 3 10" xfId="43738"/>
    <cellStyle name="40% - Ênfase4 2 3 3 10" xfId="43739"/>
    <cellStyle name="40% - Ênfase4 2 3 4 10" xfId="43740"/>
    <cellStyle name="40% - Ênfase4 2 5 12" xfId="43741"/>
    <cellStyle name="40% - Ênfase4 2 5 2 10" xfId="43742"/>
    <cellStyle name="40% - Ênfase4 2 5 3 10" xfId="43743"/>
    <cellStyle name="40% - Ênfase4 3 17" xfId="43744"/>
    <cellStyle name="40% - Ênfase4 3 2 14" xfId="43745"/>
    <cellStyle name="40% - Ênfase4 3 2 2 12" xfId="43746"/>
    <cellStyle name="40% - Ênfase4 3 2 2 2 10" xfId="43747"/>
    <cellStyle name="40% - Ênfase4 3 2 2 3 10" xfId="43748"/>
    <cellStyle name="40% - Ênfase4 3 2 3 10" xfId="43749"/>
    <cellStyle name="40% - Ênfase4 3 2 4 10" xfId="43750"/>
    <cellStyle name="40% - Ênfase4 3 3 13" xfId="43751"/>
    <cellStyle name="40% - Ênfase4 3 3 2 10" xfId="43752"/>
    <cellStyle name="40% - Ênfase4 3 3 3 10" xfId="43753"/>
    <cellStyle name="40% - Ênfase4 3 4 12" xfId="43754"/>
    <cellStyle name="40% - Ênfase4 3 4 2 10" xfId="43755"/>
    <cellStyle name="40% - Ênfase4 3 4 3 10" xfId="43756"/>
    <cellStyle name="40% - Ênfase4 3 5 10" xfId="43757"/>
    <cellStyle name="40% - Ênfase4 3 6 10" xfId="43758"/>
    <cellStyle name="40% - Ênfase4 3 7 10" xfId="43759"/>
    <cellStyle name="40% - Ênfase4 4 17" xfId="43760"/>
    <cellStyle name="40% - Ênfase4 4 2 14" xfId="43761"/>
    <cellStyle name="40% - Ênfase4 4 2 2 12" xfId="43762"/>
    <cellStyle name="40% - Ênfase4 4 2 2 2 10" xfId="43763"/>
    <cellStyle name="40% - Ênfase4 4 2 2 3 10" xfId="43764"/>
    <cellStyle name="40% - Ênfase4 4 2 3 10" xfId="43765"/>
    <cellStyle name="40% - Ênfase4 4 2 4 10" xfId="43766"/>
    <cellStyle name="40% - Ênfase4 4 3 13" xfId="43767"/>
    <cellStyle name="40% - Ênfase4 4 3 2 10" xfId="43768"/>
    <cellStyle name="40% - Ênfase4 4 3 3 10" xfId="43769"/>
    <cellStyle name="40% - Ênfase4 4 4 12" xfId="43770"/>
    <cellStyle name="40% - Ênfase4 4 4 2 10" xfId="43771"/>
    <cellStyle name="40% - Ênfase4 4 4 3 10" xfId="43772"/>
    <cellStyle name="40% - Ênfase4 4 5 10" xfId="43773"/>
    <cellStyle name="40% - Ênfase4 4 6 10" xfId="43774"/>
    <cellStyle name="40% - Ênfase4 4 7 10" xfId="43775"/>
    <cellStyle name="40% - Ênfase4 5 15" xfId="43776"/>
    <cellStyle name="40% - Ênfase4 5 2 12" xfId="43777"/>
    <cellStyle name="40% - Ênfase4 5 2 2 10" xfId="43778"/>
    <cellStyle name="40% - Ênfase4 5 2 3 10" xfId="43779"/>
    <cellStyle name="40% - Ênfase4 5 3 10" xfId="43780"/>
    <cellStyle name="40% - Ênfase4 5 4 10" xfId="43781"/>
    <cellStyle name="40% - Ênfase4 5 5 10" xfId="43782"/>
    <cellStyle name="40% - Ênfase4 6 14" xfId="43783"/>
    <cellStyle name="40% - Ênfase4 6 2 12" xfId="43784"/>
    <cellStyle name="40% - Ênfase4 6 2 2 10" xfId="43785"/>
    <cellStyle name="40% - Ênfase4 6 2 3 10" xfId="43786"/>
    <cellStyle name="40% - Ênfase4 6 3 10" xfId="43787"/>
    <cellStyle name="40% - Ênfase4 6 4 10" xfId="43788"/>
    <cellStyle name="40% - Ênfase4 8 12" xfId="43789"/>
    <cellStyle name="40% - Ênfase4 8 2 10" xfId="43790"/>
    <cellStyle name="40% - Ênfase4 8 3 10" xfId="43791"/>
    <cellStyle name="40% - Ênfase5 2 2 15" xfId="43792"/>
    <cellStyle name="40% - Ênfase5 2 2 2 12" xfId="43793"/>
    <cellStyle name="40% - Ênfase5 2 2 2 2 10" xfId="43794"/>
    <cellStyle name="40% - Ênfase5 2 2 2 3 10" xfId="43795"/>
    <cellStyle name="40% - Ênfase5 2 2 3 10" xfId="43796"/>
    <cellStyle name="40% - Ênfase5 2 2 4 10" xfId="43797"/>
    <cellStyle name="40% - Ênfase5 2 2 5 10" xfId="43798"/>
    <cellStyle name="40% - Ênfase5 2 3 14" xfId="43799"/>
    <cellStyle name="40% - Ênfase5 2 3 2 12" xfId="43800"/>
    <cellStyle name="40% - Ênfase5 2 3 2 2 10" xfId="43801"/>
    <cellStyle name="40% - Ênfase5 2 3 2 3 10" xfId="43802"/>
    <cellStyle name="40% - Ênfase5 2 3 3 10" xfId="43803"/>
    <cellStyle name="40% - Ênfase5 2 3 4 10" xfId="43804"/>
    <cellStyle name="40% - Ênfase5 2 5 12" xfId="43805"/>
    <cellStyle name="40% - Ênfase5 2 5 2 10" xfId="43806"/>
    <cellStyle name="40% - Ênfase5 2 5 3 10" xfId="43807"/>
    <cellStyle name="40% - Ênfase5 3 17" xfId="43808"/>
    <cellStyle name="40% - Ênfase5 3 2 14" xfId="43809"/>
    <cellStyle name="40% - Ênfase5 3 2 2 12" xfId="43810"/>
    <cellStyle name="40% - Ênfase5 3 2 2 2 10" xfId="43811"/>
    <cellStyle name="40% - Ênfase5 3 2 2 3 10" xfId="43812"/>
    <cellStyle name="40% - Ênfase5 3 2 3 10" xfId="43813"/>
    <cellStyle name="40% - Ênfase5 3 2 4 10" xfId="43814"/>
    <cellStyle name="40% - Ênfase5 3 3 13" xfId="43815"/>
    <cellStyle name="40% - Ênfase5 3 3 2 10" xfId="43816"/>
    <cellStyle name="40% - Ênfase5 3 3 3 10" xfId="43817"/>
    <cellStyle name="40% - Ênfase5 3 4 12" xfId="43818"/>
    <cellStyle name="40% - Ênfase5 3 4 2 10" xfId="43819"/>
    <cellStyle name="40% - Ênfase5 3 4 3 10" xfId="43820"/>
    <cellStyle name="40% - Ênfase5 3 5 10" xfId="43821"/>
    <cellStyle name="40% - Ênfase5 3 6 10" xfId="43822"/>
    <cellStyle name="40% - Ênfase5 3 7 10" xfId="43823"/>
    <cellStyle name="40% - Ênfase5 4 17" xfId="43824"/>
    <cellStyle name="40% - Ênfase5 4 2 14" xfId="43825"/>
    <cellStyle name="40% - Ênfase5 4 2 2 12" xfId="43826"/>
    <cellStyle name="40% - Ênfase5 4 2 2 2 10" xfId="43827"/>
    <cellStyle name="40% - Ênfase5 4 2 2 3 10" xfId="43828"/>
    <cellStyle name="40% - Ênfase5 4 2 3 10" xfId="43829"/>
    <cellStyle name="40% - Ênfase5 4 2 4 10" xfId="43830"/>
    <cellStyle name="40% - Ênfase5 4 3 13" xfId="43831"/>
    <cellStyle name="40% - Ênfase5 4 3 2 10" xfId="43832"/>
    <cellStyle name="40% - Ênfase5 4 3 3 10" xfId="43833"/>
    <cellStyle name="40% - Ênfase5 4 4 12" xfId="43834"/>
    <cellStyle name="40% - Ênfase5 4 4 2 10" xfId="43835"/>
    <cellStyle name="40% - Ênfase5 4 4 3 10" xfId="43836"/>
    <cellStyle name="40% - Ênfase5 4 5 10" xfId="43837"/>
    <cellStyle name="40% - Ênfase5 4 6 10" xfId="43838"/>
    <cellStyle name="40% - Ênfase5 4 7 10" xfId="43839"/>
    <cellStyle name="40% - Ênfase5 5 15" xfId="43840"/>
    <cellStyle name="40% - Ênfase5 5 2 12" xfId="43841"/>
    <cellStyle name="40% - Ênfase5 5 2 2 10" xfId="43842"/>
    <cellStyle name="40% - Ênfase5 5 2 3 10" xfId="43843"/>
    <cellStyle name="40% - Ênfase5 5 3 10" xfId="43844"/>
    <cellStyle name="40% - Ênfase5 5 4 10" xfId="43845"/>
    <cellStyle name="40% - Ênfase5 5 5 10" xfId="43846"/>
    <cellStyle name="40% - Ênfase5 6 14" xfId="43847"/>
    <cellStyle name="40% - Ênfase5 6 2 12" xfId="43848"/>
    <cellStyle name="40% - Ênfase5 6 2 2 10" xfId="43849"/>
    <cellStyle name="40% - Ênfase5 6 2 3 10" xfId="43850"/>
    <cellStyle name="40% - Ênfase5 6 3 10" xfId="43851"/>
    <cellStyle name="40% - Ênfase5 6 4 10" xfId="43852"/>
    <cellStyle name="40% - Ênfase5 8 12" xfId="43853"/>
    <cellStyle name="40% - Ênfase5 8 2 10" xfId="43854"/>
    <cellStyle name="40% - Ênfase5 8 3 10" xfId="43855"/>
    <cellStyle name="40% - Ênfase6 2 2 15" xfId="43856"/>
    <cellStyle name="40% - Ênfase6 2 2 2 12" xfId="43857"/>
    <cellStyle name="40% - Ênfase6 2 2 2 2 10" xfId="43858"/>
    <cellStyle name="40% - Ênfase6 2 2 2 3 10" xfId="43859"/>
    <cellStyle name="40% - Ênfase6 2 2 3 10" xfId="43860"/>
    <cellStyle name="40% - Ênfase6 2 2 4 10" xfId="43861"/>
    <cellStyle name="40% - Ênfase6 2 2 5 10" xfId="43862"/>
    <cellStyle name="40% - Ênfase6 2 3 14" xfId="43863"/>
    <cellStyle name="40% - Ênfase6 2 3 2 12" xfId="43864"/>
    <cellStyle name="40% - Ênfase6 2 3 2 2 10" xfId="43865"/>
    <cellStyle name="40% - Ênfase6 2 3 2 3 10" xfId="43866"/>
    <cellStyle name="40% - Ênfase6 2 3 3 10" xfId="43867"/>
    <cellStyle name="40% - Ênfase6 2 3 4 10" xfId="43868"/>
    <cellStyle name="40% - Ênfase6 2 5 12" xfId="43869"/>
    <cellStyle name="40% - Ênfase6 2 5 2 10" xfId="43870"/>
    <cellStyle name="40% - Ênfase6 2 5 3 10" xfId="43871"/>
    <cellStyle name="40% - Ênfase6 3 17" xfId="43872"/>
    <cellStyle name="40% - Ênfase6 3 2 14" xfId="43873"/>
    <cellStyle name="40% - Ênfase6 3 2 2 12" xfId="43874"/>
    <cellStyle name="40% - Ênfase6 3 2 2 2 10" xfId="43875"/>
    <cellStyle name="40% - Ênfase6 3 2 2 3 10" xfId="43876"/>
    <cellStyle name="40% - Ênfase6 3 2 3 10" xfId="43877"/>
    <cellStyle name="40% - Ênfase6 3 2 4 10" xfId="43878"/>
    <cellStyle name="40% - Ênfase6 3 3 13" xfId="43879"/>
    <cellStyle name="40% - Ênfase6 3 3 2 10" xfId="43880"/>
    <cellStyle name="40% - Ênfase6 3 3 3 10" xfId="43881"/>
    <cellStyle name="40% - Ênfase6 3 4 12" xfId="43882"/>
    <cellStyle name="40% - Ênfase6 3 4 2 10" xfId="43883"/>
    <cellStyle name="40% - Ênfase6 3 4 3 10" xfId="43884"/>
    <cellStyle name="40% - Ênfase6 3 5 10" xfId="43885"/>
    <cellStyle name="40% - Ênfase6 3 6 10" xfId="43886"/>
    <cellStyle name="40% - Ênfase6 3 7 10" xfId="43887"/>
    <cellStyle name="40% - Ênfase6 4 17" xfId="43888"/>
    <cellStyle name="40% - Ênfase6 4 2 14" xfId="43889"/>
    <cellStyle name="40% - Ênfase6 4 2 2 12" xfId="43890"/>
    <cellStyle name="40% - Ênfase6 4 2 2 2 10" xfId="43891"/>
    <cellStyle name="40% - Ênfase6 4 2 2 3 10" xfId="43892"/>
    <cellStyle name="40% - Ênfase6 4 2 3 10" xfId="43893"/>
    <cellStyle name="40% - Ênfase6 4 2 4 10" xfId="43894"/>
    <cellStyle name="40% - Ênfase6 4 3 13" xfId="43895"/>
    <cellStyle name="40% - Ênfase6 4 3 2 10" xfId="43896"/>
    <cellStyle name="40% - Ênfase6 4 3 3 10" xfId="43897"/>
    <cellStyle name="40% - Ênfase6 4 4 12" xfId="43898"/>
    <cellStyle name="40% - Ênfase6 4 4 2 10" xfId="43899"/>
    <cellStyle name="40% - Ênfase6 4 4 3 10" xfId="43900"/>
    <cellStyle name="40% - Ênfase6 4 5 10" xfId="43901"/>
    <cellStyle name="40% - Ênfase6 4 6 10" xfId="43902"/>
    <cellStyle name="40% - Ênfase6 4 7 10" xfId="43903"/>
    <cellStyle name="40% - Ênfase6 5 15" xfId="43904"/>
    <cellStyle name="40% - Ênfase6 5 2 12" xfId="43905"/>
    <cellStyle name="40% - Ênfase6 5 2 2 10" xfId="43906"/>
    <cellStyle name="40% - Ênfase6 5 2 3 10" xfId="43907"/>
    <cellStyle name="40% - Ênfase6 5 3 10" xfId="43908"/>
    <cellStyle name="40% - Ênfase6 5 4 10" xfId="43909"/>
    <cellStyle name="40% - Ênfase6 5 5 10" xfId="43910"/>
    <cellStyle name="40% - Ênfase6 6 14" xfId="43911"/>
    <cellStyle name="40% - Ênfase6 6 2 12" xfId="43912"/>
    <cellStyle name="40% - Ênfase6 6 2 2 10" xfId="43913"/>
    <cellStyle name="40% - Ênfase6 6 2 3 10" xfId="43914"/>
    <cellStyle name="40% - Ênfase6 6 3 10" xfId="43915"/>
    <cellStyle name="40% - Ênfase6 6 4 10" xfId="43916"/>
    <cellStyle name="40% - Ênfase6 8 12" xfId="43917"/>
    <cellStyle name="40% - Ênfase6 8 2 10" xfId="43918"/>
    <cellStyle name="40% - Ênfase6 8 3 10" xfId="43919"/>
    <cellStyle name="Normal 3 3 13" xfId="43920"/>
    <cellStyle name="Normal 3 3 2 10" xfId="43921"/>
    <cellStyle name="Normal 3 3 3 10" xfId="43922"/>
    <cellStyle name="Normal 3 4 10" xfId="43923"/>
    <cellStyle name="Normal 3 5 10" xfId="43924"/>
    <cellStyle name="Normal 3 6 10" xfId="43925"/>
    <cellStyle name="Normal 4 2 15" xfId="43926"/>
    <cellStyle name="Normal 4 2 2 12" xfId="43927"/>
    <cellStyle name="Normal 4 2 2 2 10" xfId="43928"/>
    <cellStyle name="Normal 4 2 2 3 10" xfId="43929"/>
    <cellStyle name="Normal 4 2 3 10" xfId="43930"/>
    <cellStyle name="Normal 4 2 4 10" xfId="43931"/>
    <cellStyle name="Normal 4 2 5 10" xfId="43932"/>
    <cellStyle name="Normal 4 3 14" xfId="43933"/>
    <cellStyle name="Normal 4 3 2 12" xfId="43934"/>
    <cellStyle name="Normal 4 3 2 2 10" xfId="43935"/>
    <cellStyle name="Normal 4 3 2 3 10" xfId="43936"/>
    <cellStyle name="Normal 4 3 3 10" xfId="43937"/>
    <cellStyle name="Normal 4 3 4 10" xfId="43938"/>
    <cellStyle name="Normal 4 5 12" xfId="43939"/>
    <cellStyle name="Normal 4 5 2 10" xfId="43940"/>
    <cellStyle name="Normal 4 5 3 10" xfId="43941"/>
    <cellStyle name="Normal 5 2 16" xfId="43942"/>
    <cellStyle name="Normal 5 2 2 12" xfId="43943"/>
    <cellStyle name="Normal 5 2 2 2 10" xfId="43944"/>
    <cellStyle name="Normal 5 2 2 3 10" xfId="43945"/>
    <cellStyle name="Normal 5 2 3 10" xfId="43946"/>
    <cellStyle name="Normal 5 2 4 10" xfId="43947"/>
    <cellStyle name="Normal 5 2 5 10" xfId="43948"/>
    <cellStyle name="Normal 5 3 14" xfId="43949"/>
    <cellStyle name="Normal 5 3 2 12" xfId="43950"/>
    <cellStyle name="Normal 5 3 2 2 10" xfId="43951"/>
    <cellStyle name="Normal 5 3 2 3 10" xfId="43952"/>
    <cellStyle name="Normal 5 3 3 10" xfId="43953"/>
    <cellStyle name="Normal 5 3 4 10" xfId="43954"/>
    <cellStyle name="Normal 5 5 12" xfId="43955"/>
    <cellStyle name="Normal 5 5 2 10" xfId="43956"/>
    <cellStyle name="Normal 5 5 3 10" xfId="43957"/>
    <cellStyle name="Normal 6 4 10" xfId="43958"/>
    <cellStyle name="Normal 7 2 6 9" xfId="43959"/>
    <cellStyle name="Normal 7 2 2 4 9" xfId="43960"/>
    <cellStyle name="Normal 7 2 2 2 10" xfId="43961"/>
    <cellStyle name="Normal 7 2 2 3 10" xfId="43962"/>
    <cellStyle name="Normal 7 2 3 10" xfId="43963"/>
    <cellStyle name="Normal 7 2 4 10" xfId="43964"/>
    <cellStyle name="Normal 7 2 5 10" xfId="43965"/>
    <cellStyle name="Normal 7 3 5 9" xfId="43966"/>
    <cellStyle name="Normal 7 3 2 12" xfId="43967"/>
    <cellStyle name="Normal 7 3 2 2 10" xfId="43968"/>
    <cellStyle name="Normal 7 3 2 3 10" xfId="43969"/>
    <cellStyle name="Normal 7 3 3 10" xfId="43970"/>
    <cellStyle name="Normal 7 3 4 10" xfId="43971"/>
    <cellStyle name="Normal 7 5 12" xfId="43972"/>
    <cellStyle name="Normal 7 5 2 10" xfId="43973"/>
    <cellStyle name="Normal 7 5 3 10" xfId="43974"/>
    <cellStyle name="Normal 8 9 9" xfId="43975"/>
    <cellStyle name="Normal 8 2 5 9" xfId="43976"/>
    <cellStyle name="Normal 8 2 2 4 9" xfId="43977"/>
    <cellStyle name="Normal 8 2 2 2 10" xfId="43978"/>
    <cellStyle name="Normal 8 2 2 3 10" xfId="43979"/>
    <cellStyle name="Normal 8 2 3 10" xfId="43980"/>
    <cellStyle name="Normal 8 2 4 10" xfId="43981"/>
    <cellStyle name="Normal 8 3 4 9" xfId="43982"/>
    <cellStyle name="Normal 8 3 2 2 9" xfId="43983"/>
    <cellStyle name="Normal 8 3 3 10" xfId="43984"/>
    <cellStyle name="Normal 8 4 4 9" xfId="43985"/>
    <cellStyle name="Normal 8 4 2 2 9" xfId="43986"/>
    <cellStyle name="Normal 8 4 3 10" xfId="43987"/>
    <cellStyle name="Normal 8 5 4 8" xfId="43988"/>
    <cellStyle name="Normal 8 6 2 9" xfId="43989"/>
    <cellStyle name="Normal 8 7 10" xfId="43990"/>
    <cellStyle name="Nota 2 2 15" xfId="43991"/>
    <cellStyle name="Nota 2 2 2 12" xfId="43992"/>
    <cellStyle name="Nota 2 2 2 2 10" xfId="43993"/>
    <cellStyle name="Nota 2 2 2 3 10" xfId="43994"/>
    <cellStyle name="Nota 2 2 3 10" xfId="43995"/>
    <cellStyle name="Nota 2 2 4 10" xfId="43996"/>
    <cellStyle name="Nota 2 2 5 10" xfId="43997"/>
    <cellStyle name="Nota 2 3 14" xfId="43998"/>
    <cellStyle name="Nota 2 3 2 12" xfId="43999"/>
    <cellStyle name="Nota 2 3 2 2 10" xfId="44000"/>
    <cellStyle name="Nota 2 3 2 3 10" xfId="44001"/>
    <cellStyle name="Nota 2 3 3 10" xfId="44002"/>
    <cellStyle name="Nota 2 3 4 10" xfId="44003"/>
    <cellStyle name="Nota 2 5 12" xfId="44004"/>
    <cellStyle name="Nota 2 5 2 10" xfId="44005"/>
    <cellStyle name="Nota 2 5 3 10" xfId="44006"/>
    <cellStyle name="Nota 3 2 15" xfId="44007"/>
    <cellStyle name="Nota 3 2 2 12" xfId="44008"/>
    <cellStyle name="Nota 3 2 2 2 10" xfId="44009"/>
    <cellStyle name="Nota 3 2 2 3 10" xfId="44010"/>
    <cellStyle name="Nota 3 2 3 10" xfId="44011"/>
    <cellStyle name="Nota 3 2 4 10" xfId="44012"/>
    <cellStyle name="Nota 3 2 5 10" xfId="44013"/>
    <cellStyle name="Nota 3 3 14" xfId="44014"/>
    <cellStyle name="Nota 3 3 2 12" xfId="44015"/>
    <cellStyle name="Nota 3 3 2 2 10" xfId="44016"/>
    <cellStyle name="Nota 3 3 2 3 10" xfId="44017"/>
    <cellStyle name="Nota 3 3 3 10" xfId="44018"/>
    <cellStyle name="Nota 3 3 4 10" xfId="44019"/>
    <cellStyle name="Nota 3 5 12" xfId="44020"/>
    <cellStyle name="Nota 3 5 2 10" xfId="44021"/>
    <cellStyle name="Nota 3 5 3 10" xfId="44022"/>
    <cellStyle name="Nota 4 8 9" xfId="44023"/>
    <cellStyle name="Nota 4 2 14" xfId="44024"/>
    <cellStyle name="Nota 4 2 2 12" xfId="44025"/>
    <cellStyle name="Nota 4 2 2 2 10" xfId="44026"/>
    <cellStyle name="Nota 4 2 2 3 10" xfId="44027"/>
    <cellStyle name="Nota 4 2 3 10" xfId="44028"/>
    <cellStyle name="Nota 4 2 4 10" xfId="44029"/>
    <cellStyle name="Nota 4 3 13" xfId="44030"/>
    <cellStyle name="Nota 4 3 2 10" xfId="44031"/>
    <cellStyle name="Nota 4 3 3 10" xfId="44032"/>
    <cellStyle name="Nota 4 4 12" xfId="44033"/>
    <cellStyle name="Nota 4 4 2 10" xfId="44034"/>
    <cellStyle name="Nota 4 4 3 10" xfId="44035"/>
    <cellStyle name="Nota 4 5 10" xfId="44036"/>
    <cellStyle name="Nota 4 6 10" xfId="44037"/>
    <cellStyle name="Nota 4 7 10" xfId="44038"/>
    <cellStyle name="Nota 5 17" xfId="44039"/>
    <cellStyle name="Nota 5 2 14" xfId="44040"/>
    <cellStyle name="Nota 5 2 2 12" xfId="44041"/>
    <cellStyle name="Nota 5 2 2 2 10" xfId="44042"/>
    <cellStyle name="Nota 5 2 2 3 10" xfId="44043"/>
    <cellStyle name="Nota 5 2 3 10" xfId="44044"/>
    <cellStyle name="Nota 5 2 4 10" xfId="44045"/>
    <cellStyle name="Nota 5 3 13" xfId="44046"/>
    <cellStyle name="Nota 5 3 2 10" xfId="44047"/>
    <cellStyle name="Nota 5 3 3 10" xfId="44048"/>
    <cellStyle name="Nota 5 4 12" xfId="44049"/>
    <cellStyle name="Nota 5 4 2 10" xfId="44050"/>
    <cellStyle name="Nota 5 4 3 10" xfId="44051"/>
    <cellStyle name="Nota 5 5 10" xfId="44052"/>
    <cellStyle name="Nota 5 6 10" xfId="44053"/>
    <cellStyle name="Nota 5 7 10" xfId="44054"/>
    <cellStyle name="Separador de milhares 2 2 4 9" xfId="44055"/>
    <cellStyle name="Separador de milhares 2 2 2 9" xfId="44056"/>
    <cellStyle name="Separador de milhares 2 2 3 9" xfId="44057"/>
    <cellStyle name="Separador de milhares 2 3 2 9" xfId="44058"/>
    <cellStyle name="Separador de milhares 2 4 9" xfId="44059"/>
    <cellStyle name="Separador de milhares 2 5 9" xfId="44060"/>
    <cellStyle name="Separador de milhares 2 6 9" xfId="44061"/>
    <cellStyle name="Separador de milhares 3 2 4 9" xfId="44062"/>
    <cellStyle name="Separador de milhares 3 2 2 9" xfId="44063"/>
    <cellStyle name="Separador de milhares 3 2 3 9" xfId="44064"/>
    <cellStyle name="Separador de milhares 3 4 2 9" xfId="44065"/>
    <cellStyle name="Separador de milhares 4 4 9" xfId="44066"/>
    <cellStyle name="Separador de milhares 4 2 3 9" xfId="44067"/>
    <cellStyle name="Separador de milhares 4 2 2 9" xfId="44068"/>
    <cellStyle name="Separador de milhares 4 3 2 9" xfId="44069"/>
    <cellStyle name="Separador de milhares 5 2 3 9" xfId="44070"/>
    <cellStyle name="Separador de milhares 5 2 2 9" xfId="44071"/>
    <cellStyle name="Separador de milhares 5 3 2 9" xfId="44072"/>
    <cellStyle name="Separador de milhares 5 4 9" xfId="44073"/>
    <cellStyle name="Separador de milhares 6 5 9" xfId="44074"/>
    <cellStyle name="Separador de milhares 6 2 3 9" xfId="44075"/>
    <cellStyle name="Separador de milhares 6 2 2 9" xfId="44076"/>
    <cellStyle name="Separador de milhares 6 3 2 9" xfId="44077"/>
    <cellStyle name="Separador de milhares 6 4 9" xfId="44078"/>
    <cellStyle name="Separador de milhares 7 3 2 8" xfId="44079"/>
    <cellStyle name="Vírgula 2 6 9" xfId="44080"/>
    <cellStyle name="Vírgula 2 2 12" xfId="44081"/>
    <cellStyle name="Vírgula 2 2 2 9" xfId="44082"/>
    <cellStyle name="Vírgula 2 3 11" xfId="44083"/>
    <cellStyle name="Vírgula 2 3 2 9" xfId="44084"/>
    <cellStyle name="Vírgula 2 4 9" xfId="44085"/>
    <cellStyle name="Vírgula 2 5 9" xfId="44086"/>
    <cellStyle name="Vírgula 3 4 9" xfId="44087"/>
    <cellStyle name="Vírgula 3 2 10" xfId="44088"/>
    <cellStyle name="Vírgula 3 3 9" xfId="44089"/>
    <cellStyle name="Vírgula 4 4 9" xfId="44090"/>
    <cellStyle name="Vírgula 4 2 3 8" xfId="44091"/>
    <cellStyle name="Vírgula 4 2 2 2 9" xfId="44092"/>
    <cellStyle name="Vírgula 4 3 10" xfId="44093"/>
    <cellStyle name="Vírgula 5 3 9" xfId="44094"/>
    <cellStyle name="Vírgula 5 2 9" xfId="44095"/>
    <cellStyle name="Vírgula 6 2 8" xfId="44096"/>
    <cellStyle name="Vírgula 8 2 2 9" xfId="44097"/>
    <cellStyle name="Vírgula 9 2 8" xfId="44098"/>
    <cellStyle name="Comma 4 3 8" xfId="44099"/>
    <cellStyle name="Comma 5 3 8" xfId="44100"/>
    <cellStyle name="Comma 6 8" xfId="44101"/>
    <cellStyle name="Comma 7 8" xfId="44102"/>
    <cellStyle name="Vírgula 10 11" xfId="44103"/>
    <cellStyle name="Comma 8 8" xfId="44104"/>
    <cellStyle name="Comma 9 8" xfId="44105"/>
    <cellStyle name="Comma 10 8" xfId="44106"/>
    <cellStyle name="Vírgula 10 2 9" xfId="44107"/>
    <cellStyle name="Separador de milhares 2 7 2 9" xfId="44108"/>
    <cellStyle name="Comma 11 8" xfId="44109"/>
    <cellStyle name="Vírgula 10 3 9" xfId="44110"/>
    <cellStyle name="Separador de milhares 2 7 3 9" xfId="44111"/>
    <cellStyle name="Porcentagem 12 9" xfId="44112"/>
    <cellStyle name="Normal 55 8" xfId="44113"/>
    <cellStyle name="Percent 14 8" xfId="44114"/>
    <cellStyle name="Normal 3 9 9" xfId="44115"/>
    <cellStyle name="Vírgula 11 8" xfId="44116"/>
    <cellStyle name="Normal 3 7 2 9" xfId="44117"/>
    <cellStyle name="20% - Ênfase1 5 6 9" xfId="44118"/>
    <cellStyle name="40% - Ênfase1 5 6 9" xfId="44119"/>
    <cellStyle name="20% - Ênfase2 5 6 9" xfId="44120"/>
    <cellStyle name="40% - Ênfase2 5 6 9" xfId="44121"/>
    <cellStyle name="20% - Ênfase3 5 6 9" xfId="44122"/>
    <cellStyle name="40% - Ênfase3 5 6 9" xfId="44123"/>
    <cellStyle name="20% - Ênfase4 5 6 9" xfId="44124"/>
    <cellStyle name="40% - Ênfase4 5 6 9" xfId="44125"/>
    <cellStyle name="20% - Ênfase5 5 6 9" xfId="44126"/>
    <cellStyle name="40% - Ênfase5 5 6 9" xfId="44127"/>
    <cellStyle name="20% - Ênfase6 5 6 9" xfId="44128"/>
    <cellStyle name="40% - Ênfase6 5 6 9" xfId="44129"/>
    <cellStyle name="Normal 4 2 6 9" xfId="44130"/>
    <cellStyle name="Nota 2 2 6 9" xfId="44131"/>
    <cellStyle name="Normal 5 2 7 9" xfId="44132"/>
    <cellStyle name="Nota 3 2 6 9" xfId="44133"/>
    <cellStyle name="20% - Ênfase1 2 2 6 9" xfId="44134"/>
    <cellStyle name="40% - Ênfase1 2 2 6 9" xfId="44135"/>
    <cellStyle name="20% - Ênfase2 2 2 6 9" xfId="44136"/>
    <cellStyle name="40% - Ênfase2 2 2 6 9" xfId="44137"/>
    <cellStyle name="20% - Ênfase3 2 2 6 9" xfId="44138"/>
    <cellStyle name="40% - Ênfase3 2 2 6 9" xfId="44139"/>
    <cellStyle name="20% - Ênfase4 2 2 6 9" xfId="44140"/>
    <cellStyle name="40% - Ênfase4 2 2 6 9" xfId="44141"/>
    <cellStyle name="20% - Ênfase5 2 2 6 9" xfId="44142"/>
    <cellStyle name="40% - Ênfase5 2 2 6 9" xfId="44143"/>
    <cellStyle name="20% - Ênfase6 2 2 6 9" xfId="44144"/>
    <cellStyle name="40% - Ênfase6 2 2 6 9" xfId="44145"/>
    <cellStyle name="Normal 7 2 7 9" xfId="44146"/>
    <cellStyle name="Nota 4 9 9" xfId="44147"/>
    <cellStyle name="20% - Ênfase1 3 8 9" xfId="44148"/>
    <cellStyle name="40% - Ênfase1 3 8 9" xfId="44149"/>
    <cellStyle name="20% - Ênfase2 3 8 9" xfId="44150"/>
    <cellStyle name="40% - Ênfase2 3 8 9" xfId="44151"/>
    <cellStyle name="20% - Ênfase3 3 8 9" xfId="44152"/>
    <cellStyle name="40% - Ênfase3 3 8 9" xfId="44153"/>
    <cellStyle name="20% - Ênfase4 3 8 9" xfId="44154"/>
    <cellStyle name="40% - Ênfase4 3 8 9" xfId="44155"/>
    <cellStyle name="20% - Ênfase5 3 8 9" xfId="44156"/>
    <cellStyle name="40% - Ênfase5 3 8 9" xfId="44157"/>
    <cellStyle name="20% - Ênfase6 3 8 9" xfId="44158"/>
    <cellStyle name="40% - Ênfase6 3 8 9" xfId="44159"/>
    <cellStyle name="Normal 8 12 8" xfId="44160"/>
    <cellStyle name="Nota 5 8 9" xfId="44161"/>
    <cellStyle name="20% - Ênfase1 4 8 9" xfId="44162"/>
    <cellStyle name="40% - Ênfase1 4 8 9" xfId="44163"/>
    <cellStyle name="20% - Ênfase2 4 8 9" xfId="44164"/>
    <cellStyle name="40% - Ênfase2 4 8 9" xfId="44165"/>
    <cellStyle name="20% - Ênfase3 4 8 9" xfId="44166"/>
    <cellStyle name="40% - Ênfase3 4 8 9" xfId="44167"/>
    <cellStyle name="20% - Ênfase4 4 8 9" xfId="44168"/>
    <cellStyle name="40% - Ênfase4 4 8 9" xfId="44169"/>
    <cellStyle name="20% - Ênfase5 4 8 9" xfId="44170"/>
    <cellStyle name="40% - Ênfase5 4 8 9" xfId="44171"/>
    <cellStyle name="20% - Ênfase6 4 8 9" xfId="44172"/>
    <cellStyle name="40% - Ênfase6 4 8 9" xfId="44173"/>
    <cellStyle name="20% - Ênfase1 6 5 9" xfId="44174"/>
    <cellStyle name="40% - Ênfase1 6 5 9" xfId="44175"/>
    <cellStyle name="20% - Ênfase2 6 5 9" xfId="44176"/>
    <cellStyle name="40% - Ênfase2 6 5 9" xfId="44177"/>
    <cellStyle name="20% - Ênfase3 6 5 9" xfId="44178"/>
    <cellStyle name="40% - Ênfase3 6 5 9" xfId="44179"/>
    <cellStyle name="20% - Ênfase4 6 5 9" xfId="44180"/>
    <cellStyle name="40% - Ênfase4 6 5 9" xfId="44181"/>
    <cellStyle name="20% - Ênfase5 6 5 9" xfId="44182"/>
    <cellStyle name="40% - Ênfase5 6 5 9" xfId="44183"/>
    <cellStyle name="20% - Ênfase6 6 5 9" xfId="44184"/>
    <cellStyle name="40% - Ênfase6 6 5 9" xfId="44185"/>
    <cellStyle name="Normal 4 3 5 9" xfId="44186"/>
    <cellStyle name="Nota 2 3 5 9" xfId="44187"/>
    <cellStyle name="Normal 5 3 5 9" xfId="44188"/>
    <cellStyle name="Nota 3 3 5 9" xfId="44189"/>
    <cellStyle name="20% - Ênfase1 2 3 5 9" xfId="44190"/>
    <cellStyle name="40% - Ênfase1 2 3 5 9" xfId="44191"/>
    <cellStyle name="20% - Ênfase2 2 3 5 9" xfId="44192"/>
    <cellStyle name="40% - Ênfase2 2 3 5 9" xfId="44193"/>
    <cellStyle name="20% - Ênfase3 2 3 5 9" xfId="44194"/>
    <cellStyle name="40% - Ênfase3 2 3 5 9" xfId="44195"/>
    <cellStyle name="20% - Ênfase4 2 3 5 9" xfId="44196"/>
    <cellStyle name="40% - Ênfase4 2 3 5 9" xfId="44197"/>
    <cellStyle name="20% - Ênfase5 2 3 5 9" xfId="44198"/>
    <cellStyle name="40% - Ênfase5 2 3 5 9" xfId="44199"/>
    <cellStyle name="20% - Ênfase6 2 3 5 9" xfId="44200"/>
    <cellStyle name="40% - Ênfase6 2 3 5 9" xfId="44201"/>
    <cellStyle name="Normal 7 3 6 9" xfId="44202"/>
    <cellStyle name="Nota 4 2 5 9" xfId="44203"/>
    <cellStyle name="20% - Ênfase1 3 2 5 9" xfId="44204"/>
    <cellStyle name="40% - Ênfase1 3 2 5 9" xfId="44205"/>
    <cellStyle name="20% - Ênfase2 3 2 5 9" xfId="44206"/>
    <cellStyle name="40% - Ênfase2 3 2 5 9" xfId="44207"/>
    <cellStyle name="20% - Ênfase3 3 2 5 9" xfId="44208"/>
    <cellStyle name="40% - Ênfase3 3 2 5 9" xfId="44209"/>
    <cellStyle name="20% - Ênfase4 3 2 5 9" xfId="44210"/>
    <cellStyle name="40% - Ênfase4 3 2 5 9" xfId="44211"/>
    <cellStyle name="20% - Ênfase5 3 2 5 9" xfId="44212"/>
    <cellStyle name="40% - Ênfase5 3 2 5 9" xfId="44213"/>
    <cellStyle name="20% - Ênfase6 3 2 5 9" xfId="44214"/>
    <cellStyle name="40% - Ênfase6 3 2 5 9" xfId="44215"/>
    <cellStyle name="Normal 8 2 6 9" xfId="44216"/>
    <cellStyle name="Nota 5 2 5 9" xfId="44217"/>
    <cellStyle name="20% - Ênfase1 4 2 5 9" xfId="44218"/>
    <cellStyle name="40% - Ênfase1 4 2 5 9" xfId="44219"/>
    <cellStyle name="20% - Ênfase2 4 2 5 9" xfId="44220"/>
    <cellStyle name="40% - Ênfase2 4 2 5 9" xfId="44221"/>
    <cellStyle name="20% - Ênfase3 4 2 5 9" xfId="44222"/>
    <cellStyle name="40% - Ênfase3 4 2 5 9" xfId="44223"/>
    <cellStyle name="20% - Ênfase4 4 2 5 9" xfId="44224"/>
    <cellStyle name="40% - Ênfase4 4 2 5 9" xfId="44225"/>
    <cellStyle name="20% - Ênfase5 4 2 5 9" xfId="44226"/>
    <cellStyle name="40% - Ênfase5 4 2 5 9" xfId="44227"/>
    <cellStyle name="20% - Ênfase6 4 2 5 9" xfId="44228"/>
    <cellStyle name="40% - Ênfase6 4 2 5 9" xfId="44229"/>
    <cellStyle name="20% - Ênfase1 8 4 9" xfId="44230"/>
    <cellStyle name="40% - Ênfase1 8 4 9" xfId="44231"/>
    <cellStyle name="20% - Ênfase2 8 4 9" xfId="44232"/>
    <cellStyle name="40% - Ênfase2 8 4 9" xfId="44233"/>
    <cellStyle name="20% - Ênfase3 8 4 9" xfId="44234"/>
    <cellStyle name="40% - Ênfase3 8 4 9" xfId="44235"/>
    <cellStyle name="20% - Ênfase4 8 4 9" xfId="44236"/>
    <cellStyle name="40% - Ênfase4 8 4 9" xfId="44237"/>
    <cellStyle name="20% - Ênfase5 8 4 9" xfId="44238"/>
    <cellStyle name="40% - Ênfase5 8 4 9" xfId="44239"/>
    <cellStyle name="20% - Ênfase6 8 4 9" xfId="44240"/>
    <cellStyle name="40% - Ênfase6 8 4 9" xfId="44241"/>
    <cellStyle name="Normal 4 5 4 9" xfId="44242"/>
    <cellStyle name="Nota 2 5 4 9" xfId="44243"/>
    <cellStyle name="Normal 5 5 4 9" xfId="44244"/>
    <cellStyle name="Nota 3 5 4 9" xfId="44245"/>
    <cellStyle name="20% - Ênfase1 2 5 4 9" xfId="44246"/>
    <cellStyle name="40% - Ênfase1 2 5 4 9" xfId="44247"/>
    <cellStyle name="20% - Ênfase2 2 5 4 9" xfId="44248"/>
    <cellStyle name="40% - Ênfase2 2 5 4 9" xfId="44249"/>
    <cellStyle name="20% - Ênfase3 2 5 4 9" xfId="44250"/>
    <cellStyle name="40% - Ênfase3 2 5 4 9" xfId="44251"/>
    <cellStyle name="20% - Ênfase4 2 5 4 9" xfId="44252"/>
    <cellStyle name="40% - Ênfase4 2 5 4 9" xfId="44253"/>
    <cellStyle name="20% - Ênfase5 2 5 4 9" xfId="44254"/>
    <cellStyle name="40% - Ênfase5 2 5 4 9" xfId="44255"/>
    <cellStyle name="20% - Ênfase6 2 5 4 9" xfId="44256"/>
    <cellStyle name="40% - Ênfase6 2 5 4 9" xfId="44257"/>
    <cellStyle name="Normal 7 5 4 9" xfId="44258"/>
    <cellStyle name="Nota 4 4 4 9" xfId="44259"/>
    <cellStyle name="20% - Ênfase1 3 4 4 9" xfId="44260"/>
    <cellStyle name="40% - Ênfase1 3 4 4 9" xfId="44261"/>
    <cellStyle name="20% - Ênfase2 3 4 4 9" xfId="44262"/>
    <cellStyle name="40% - Ênfase2 3 4 4 9" xfId="44263"/>
    <cellStyle name="20% - Ênfase3 3 4 4 9" xfId="44264"/>
    <cellStyle name="40% - Ênfase3 3 4 4 9" xfId="44265"/>
    <cellStyle name="20% - Ênfase4 3 4 4 9" xfId="44266"/>
    <cellStyle name="40% - Ênfase4 3 4 4 9" xfId="44267"/>
    <cellStyle name="20% - Ênfase5 3 4 4 9" xfId="44268"/>
    <cellStyle name="40% - Ênfase5 3 4 4 9" xfId="44269"/>
    <cellStyle name="20% - Ênfase6 3 4 4 9" xfId="44270"/>
    <cellStyle name="40% - Ênfase6 3 4 4 9" xfId="44271"/>
    <cellStyle name="Normal 8 4 5 9" xfId="44272"/>
    <cellStyle name="Nota 5 4 4 9" xfId="44273"/>
    <cellStyle name="20% - Ênfase1 4 4 4 9" xfId="44274"/>
    <cellStyle name="40% - Ênfase1 4 4 4 9" xfId="44275"/>
    <cellStyle name="20% - Ênfase2 4 4 4 9" xfId="44276"/>
    <cellStyle name="40% - Ênfase2 4 4 4 9" xfId="44277"/>
    <cellStyle name="20% - Ênfase3 4 4 4 9" xfId="44278"/>
    <cellStyle name="40% - Ênfase3 4 4 4 9" xfId="44279"/>
    <cellStyle name="20% - Ênfase4 4 4 4 9" xfId="44280"/>
    <cellStyle name="40% - Ênfase4 4 4 4 9" xfId="44281"/>
    <cellStyle name="20% - Ênfase5 4 4 4 9" xfId="44282"/>
    <cellStyle name="40% - Ênfase5 4 4 4 9" xfId="44283"/>
    <cellStyle name="20% - Ênfase6 4 4 4 9" xfId="44284"/>
    <cellStyle name="40% - Ênfase6 4 4 4 9" xfId="44285"/>
    <cellStyle name="Normal 3 3 4 9" xfId="44286"/>
    <cellStyle name="20% - Ênfase1 5 2 4 9" xfId="44287"/>
    <cellStyle name="40% - Ênfase1 5 2 4 9" xfId="44288"/>
    <cellStyle name="20% - Ênfase2 5 2 4 9" xfId="44289"/>
    <cellStyle name="40% - Ênfase2 5 2 4 9" xfId="44290"/>
    <cellStyle name="20% - Ênfase3 5 2 4 9" xfId="44291"/>
    <cellStyle name="40% - Ênfase3 5 2 4 9" xfId="44292"/>
    <cellStyle name="20% - Ênfase4 5 2 4 9" xfId="44293"/>
    <cellStyle name="40% - Ênfase4 5 2 4 9" xfId="44294"/>
    <cellStyle name="20% - Ênfase5 5 2 4 9" xfId="44295"/>
    <cellStyle name="40% - Ênfase5 5 2 4 9" xfId="44296"/>
    <cellStyle name="20% - Ênfase6 5 2 4 9" xfId="44297"/>
    <cellStyle name="40% - Ênfase6 5 2 4 9" xfId="44298"/>
    <cellStyle name="Normal 4 2 2 4 9" xfId="44299"/>
    <cellStyle name="Nota 2 2 2 4 9" xfId="44300"/>
    <cellStyle name="Normal 5 2 2 4 9" xfId="44301"/>
    <cellStyle name="Nota 3 2 2 4 9" xfId="44302"/>
    <cellStyle name="20% - Ênfase1 2 2 2 4 9" xfId="44303"/>
    <cellStyle name="40% - Ênfase1 2 2 2 4 9" xfId="44304"/>
    <cellStyle name="20% - Ênfase2 2 2 2 4 9" xfId="44305"/>
    <cellStyle name="40% - Ênfase2 2 2 2 4 9" xfId="44306"/>
    <cellStyle name="20% - Ênfase3 2 2 2 4 9" xfId="44307"/>
    <cellStyle name="40% - Ênfase3 2 2 2 4 9" xfId="44308"/>
    <cellStyle name="20% - Ênfase4 2 2 2 4 9" xfId="44309"/>
    <cellStyle name="40% - Ênfase4 2 2 2 4 9" xfId="44310"/>
    <cellStyle name="20% - Ênfase5 2 2 2 4 9" xfId="44311"/>
    <cellStyle name="40% - Ênfase5 2 2 2 4 9" xfId="44312"/>
    <cellStyle name="20% - Ênfase6 2 2 2 4 9" xfId="44313"/>
    <cellStyle name="40% - Ênfase6 2 2 2 4 9" xfId="44314"/>
    <cellStyle name="Normal 7 2 2 5 9" xfId="44315"/>
    <cellStyle name="Nota 4 3 4 9" xfId="44316"/>
    <cellStyle name="20% - Ênfase1 3 3 4 9" xfId="44317"/>
    <cellStyle name="40% - Ênfase1 3 3 4 9" xfId="44318"/>
    <cellStyle name="20% - Ênfase2 3 3 4 9" xfId="44319"/>
    <cellStyle name="40% - Ênfase2 3 3 4 9" xfId="44320"/>
    <cellStyle name="20% - Ênfase3 3 3 4 9" xfId="44321"/>
    <cellStyle name="40% - Ênfase3 3 3 4 9" xfId="44322"/>
    <cellStyle name="20% - Ênfase4 3 3 4 9" xfId="44323"/>
    <cellStyle name="40% - Ênfase4 3 3 4 9" xfId="44324"/>
    <cellStyle name="20% - Ênfase5 3 3 4 9" xfId="44325"/>
    <cellStyle name="40% - Ênfase5 3 3 4 9" xfId="44326"/>
    <cellStyle name="20% - Ênfase6 3 3 4 9" xfId="44327"/>
    <cellStyle name="40% - Ênfase6 3 3 4 9" xfId="44328"/>
    <cellStyle name="Normal 8 3 5 9" xfId="44329"/>
    <cellStyle name="Nota 5 3 4 9" xfId="44330"/>
    <cellStyle name="20% - Ênfase1 4 3 4 9" xfId="44331"/>
    <cellStyle name="40% - Ênfase1 4 3 4 9" xfId="44332"/>
    <cellStyle name="20% - Ênfase2 4 3 4 9" xfId="44333"/>
    <cellStyle name="40% - Ênfase2 4 3 4 9" xfId="44334"/>
    <cellStyle name="20% - Ênfase3 4 3 4 9" xfId="44335"/>
    <cellStyle name="40% - Ênfase3 4 3 4 9" xfId="44336"/>
    <cellStyle name="20% - Ênfase4 4 3 4 9" xfId="44337"/>
    <cellStyle name="40% - Ênfase4 4 3 4 9" xfId="44338"/>
    <cellStyle name="20% - Ênfase5 4 3 4 9" xfId="44339"/>
    <cellStyle name="40% - Ênfase5 4 3 4 9" xfId="44340"/>
    <cellStyle name="20% - Ênfase6 4 3 4 9" xfId="44341"/>
    <cellStyle name="40% - Ênfase6 4 3 4 9" xfId="44342"/>
    <cellStyle name="20% - Ênfase1 6 2 4 9" xfId="44343"/>
    <cellStyle name="40% - Ênfase1 6 2 4 9" xfId="44344"/>
    <cellStyle name="20% - Ênfase2 6 2 4 9" xfId="44345"/>
    <cellStyle name="40% - Ênfase2 6 2 4 9" xfId="44346"/>
    <cellStyle name="20% - Ênfase3 6 2 4 9" xfId="44347"/>
    <cellStyle name="40% - Ênfase3 6 2 4 9" xfId="44348"/>
    <cellStyle name="20% - Ênfase4 6 2 4 9" xfId="44349"/>
    <cellStyle name="40% - Ênfase4 6 2 4 9" xfId="44350"/>
    <cellStyle name="20% - Ênfase5 6 2 4 9" xfId="44351"/>
    <cellStyle name="40% - Ênfase5 6 2 4 9" xfId="44352"/>
    <cellStyle name="20% - Ênfase6 6 2 4 9" xfId="44353"/>
    <cellStyle name="40% - Ênfase6 6 2 4 9" xfId="44354"/>
    <cellStyle name="Normal 4 3 2 4 9" xfId="44355"/>
    <cellStyle name="Nota 2 3 2 4 9" xfId="44356"/>
    <cellStyle name="Normal 5 3 2 4 9" xfId="44357"/>
    <cellStyle name="Nota 3 3 2 4 9" xfId="44358"/>
    <cellStyle name="20% - Ênfase1 2 3 2 4 9" xfId="44359"/>
    <cellStyle name="40% - Ênfase1 2 3 2 4 9" xfId="44360"/>
    <cellStyle name="20% - Ênfase2 2 3 2 4 9" xfId="44361"/>
    <cellStyle name="40% - Ênfase2 2 3 2 4 9" xfId="44362"/>
    <cellStyle name="20% - Ênfase3 2 3 2 4 9" xfId="44363"/>
    <cellStyle name="40% - Ênfase3 2 3 2 4 9" xfId="44364"/>
    <cellStyle name="20% - Ênfase4 2 3 2 4 9" xfId="44365"/>
    <cellStyle name="40% - Ênfase4 2 3 2 4 9" xfId="44366"/>
    <cellStyle name="20% - Ênfase5 2 3 2 4 9" xfId="44367"/>
    <cellStyle name="40% - Ênfase5 2 3 2 4 9" xfId="44368"/>
    <cellStyle name="20% - Ênfase6 2 3 2 4 9" xfId="44369"/>
    <cellStyle name="40% - Ênfase6 2 3 2 4 9" xfId="44370"/>
    <cellStyle name="Normal 7 3 2 4 9" xfId="44371"/>
    <cellStyle name="Nota 4 2 2 4 9" xfId="44372"/>
    <cellStyle name="20% - Ênfase1 3 2 2 4 9" xfId="44373"/>
    <cellStyle name="40% - Ênfase1 3 2 2 4 9" xfId="44374"/>
    <cellStyle name="20% - Ênfase2 3 2 2 4 9" xfId="44375"/>
    <cellStyle name="40% - Ênfase2 3 2 2 4 9" xfId="44376"/>
    <cellStyle name="20% - Ênfase3 3 2 2 4 9" xfId="44377"/>
    <cellStyle name="40% - Ênfase3 3 2 2 4 9" xfId="44378"/>
    <cellStyle name="20% - Ênfase4 3 2 2 4 9" xfId="44379"/>
    <cellStyle name="40% - Ênfase4 3 2 2 4 9" xfId="44380"/>
    <cellStyle name="20% - Ênfase5 3 2 2 4 9" xfId="44381"/>
    <cellStyle name="40% - Ênfase5 3 2 2 4 9" xfId="44382"/>
    <cellStyle name="20% - Ênfase6 3 2 2 4 9" xfId="44383"/>
    <cellStyle name="40% - Ênfase6 3 2 2 4 9" xfId="44384"/>
    <cellStyle name="Normal 8 2 2 5 9" xfId="44385"/>
    <cellStyle name="Nota 5 2 2 4 9" xfId="44386"/>
    <cellStyle name="20% - Ênfase1 4 2 2 4 9" xfId="44387"/>
    <cellStyle name="40% - Ênfase1 4 2 2 4 9" xfId="44388"/>
    <cellStyle name="20% - Ênfase2 4 2 2 4 9" xfId="44389"/>
    <cellStyle name="40% - Ênfase2 4 2 2 4 9" xfId="44390"/>
    <cellStyle name="20% - Ênfase3 4 2 2 4 9" xfId="44391"/>
    <cellStyle name="40% - Ênfase3 4 2 2 4 9" xfId="44392"/>
    <cellStyle name="20% - Ênfase4 4 2 2 4 9" xfId="44393"/>
    <cellStyle name="40% - Ênfase4 4 2 2 4 9" xfId="44394"/>
    <cellStyle name="20% - Ênfase5 4 2 2 4 9" xfId="44395"/>
    <cellStyle name="40% - Ênfase5 4 2 2 4 9" xfId="44396"/>
    <cellStyle name="20% - Ênfase6 4 2 2 4 9" xfId="44397"/>
    <cellStyle name="40% - Ênfase6 4 2 2 4 9" xfId="44398"/>
    <cellStyle name="Normal 3 4 2 9" xfId="44399"/>
    <cellStyle name="20% - Ênfase1 5 3 2 9" xfId="44400"/>
    <cellStyle name="40% - Ênfase1 5 3 2 9" xfId="44401"/>
    <cellStyle name="20% - Ênfase2 5 3 2 9" xfId="44402"/>
    <cellStyle name="40% - Ênfase2 5 3 2 9" xfId="44403"/>
    <cellStyle name="20% - Ênfase3 5 3 2 9" xfId="44404"/>
    <cellStyle name="40% - Ênfase3 5 3 2 9" xfId="44405"/>
    <cellStyle name="20% - Ênfase4 5 3 2 9" xfId="44406"/>
    <cellStyle name="40% - Ênfase4 5 3 2 9" xfId="44407"/>
    <cellStyle name="20% - Ênfase5 5 3 2 9" xfId="44408"/>
    <cellStyle name="40% - Ênfase5 5 3 2 9" xfId="44409"/>
    <cellStyle name="20% - Ênfase6 5 3 2 9" xfId="44410"/>
    <cellStyle name="40% - Ênfase6 5 3 2 9" xfId="44411"/>
    <cellStyle name="Normal 4 2 3 2 9" xfId="44412"/>
    <cellStyle name="Nota 2 2 3 2 9" xfId="44413"/>
    <cellStyle name="Normal 5 2 3 2 9" xfId="44414"/>
    <cellStyle name="Nota 3 2 3 2 9" xfId="44415"/>
    <cellStyle name="20% - Ênfase1 2 2 3 2 9" xfId="44416"/>
    <cellStyle name="40% - Ênfase1 2 2 3 2 9" xfId="44417"/>
    <cellStyle name="20% - Ênfase2 2 2 3 2 9" xfId="44418"/>
    <cellStyle name="40% - Ênfase2 2 2 3 2 9" xfId="44419"/>
    <cellStyle name="20% - Ênfase3 2 2 3 2 9" xfId="44420"/>
    <cellStyle name="40% - Ênfase3 2 2 3 2 9" xfId="44421"/>
    <cellStyle name="20% - Ênfase4 2 2 3 2 9" xfId="44422"/>
    <cellStyle name="40% - Ênfase4 2 2 3 2 9" xfId="44423"/>
    <cellStyle name="20% - Ênfase5 2 2 3 2 9" xfId="44424"/>
    <cellStyle name="40% - Ênfase5 2 2 3 2 9" xfId="44425"/>
    <cellStyle name="20% - Ênfase6 2 2 3 2 9" xfId="44426"/>
    <cellStyle name="40% - Ênfase6 2 2 3 2 9" xfId="44427"/>
    <cellStyle name="Normal 7 2 3 2 9" xfId="44428"/>
    <cellStyle name="Nota 4 5 2 9" xfId="44429"/>
    <cellStyle name="20% - Ênfase1 3 5 2 9" xfId="44430"/>
    <cellStyle name="40% - Ênfase1 3 5 2 9" xfId="44431"/>
    <cellStyle name="20% - Ênfase2 3 5 2 9" xfId="44432"/>
    <cellStyle name="40% - Ênfase2 3 5 2 9" xfId="44433"/>
    <cellStyle name="20% - Ênfase3 3 5 2 9" xfId="44434"/>
    <cellStyle name="40% - Ênfase3 3 5 2 9" xfId="44435"/>
    <cellStyle name="20% - Ênfase4 3 5 2 9" xfId="44436"/>
    <cellStyle name="40% - Ênfase4 3 5 2 9" xfId="44437"/>
    <cellStyle name="20% - Ênfase5 3 5 2 9" xfId="44438"/>
    <cellStyle name="40% - Ênfase5 3 5 2 9" xfId="44439"/>
    <cellStyle name="20% - Ênfase6 3 5 2 9" xfId="44440"/>
    <cellStyle name="40% - Ênfase6 3 5 2 9" xfId="44441"/>
    <cellStyle name="Normal 8 5 5 8" xfId="44442"/>
    <cellStyle name="Nota 5 5 2 9" xfId="44443"/>
    <cellStyle name="20% - Ênfase1 4 5 2 9" xfId="44444"/>
    <cellStyle name="40% - Ênfase1 4 5 2 9" xfId="44445"/>
    <cellStyle name="20% - Ênfase2 4 5 2 9" xfId="44446"/>
    <cellStyle name="40% - Ênfase2 4 5 2 9" xfId="44447"/>
    <cellStyle name="20% - Ênfase3 4 5 2 9" xfId="44448"/>
    <cellStyle name="40% - Ênfase3 4 5 2 9" xfId="44449"/>
    <cellStyle name="20% - Ênfase4 4 5 2 9" xfId="44450"/>
    <cellStyle name="40% - Ênfase4 4 5 2 9" xfId="44451"/>
    <cellStyle name="20% - Ênfase5 4 5 2 9" xfId="44452"/>
    <cellStyle name="40% - Ênfase5 4 5 2 9" xfId="44453"/>
    <cellStyle name="20% - Ênfase6 4 5 2 9" xfId="44454"/>
    <cellStyle name="40% - Ênfase6 4 5 2 9" xfId="44455"/>
    <cellStyle name="20% - Ênfase1 6 3 2 9" xfId="44456"/>
    <cellStyle name="40% - Ênfase1 6 3 2 9" xfId="44457"/>
    <cellStyle name="20% - Ênfase2 6 3 2 9" xfId="44458"/>
    <cellStyle name="40% - Ênfase2 6 3 2 9" xfId="44459"/>
    <cellStyle name="20% - Ênfase3 6 3 2 9" xfId="44460"/>
    <cellStyle name="40% - Ênfase3 6 3 2 9" xfId="44461"/>
    <cellStyle name="20% - Ênfase4 6 3 2 9" xfId="44462"/>
    <cellStyle name="40% - Ênfase4 6 3 2 9" xfId="44463"/>
    <cellStyle name="20% - Ênfase5 6 3 2 9" xfId="44464"/>
    <cellStyle name="40% - Ênfase5 6 3 2 9" xfId="44465"/>
    <cellStyle name="20% - Ênfase6 6 3 2 9" xfId="44466"/>
    <cellStyle name="40% - Ênfase6 6 3 2 9" xfId="44467"/>
    <cellStyle name="Normal 4 3 3 2 9" xfId="44468"/>
    <cellStyle name="Nota 2 3 3 2 9" xfId="44469"/>
    <cellStyle name="Normal 5 3 3 2 9" xfId="44470"/>
    <cellStyle name="Nota 3 3 3 2 9" xfId="44471"/>
    <cellStyle name="20% - Ênfase1 2 3 3 2 9" xfId="44472"/>
    <cellStyle name="40% - Ênfase1 2 3 3 2 9" xfId="44473"/>
    <cellStyle name="20% - Ênfase2 2 3 3 2 9" xfId="44474"/>
    <cellStyle name="40% - Ênfase2 2 3 3 2 9" xfId="44475"/>
    <cellStyle name="20% - Ênfase3 2 3 3 2 9" xfId="44476"/>
    <cellStyle name="40% - Ênfase3 2 3 3 2 9" xfId="44477"/>
    <cellStyle name="20% - Ênfase4 2 3 3 2 9" xfId="44478"/>
    <cellStyle name="40% - Ênfase4 2 3 3 2 9" xfId="44479"/>
    <cellStyle name="20% - Ênfase5 2 3 3 2 9" xfId="44480"/>
    <cellStyle name="40% - Ênfase5 2 3 3 2 9" xfId="44481"/>
    <cellStyle name="20% - Ênfase6 2 3 3 2 9" xfId="44482"/>
    <cellStyle name="40% - Ênfase6 2 3 3 2 9" xfId="44483"/>
    <cellStyle name="Normal 7 3 3 2 9" xfId="44484"/>
    <cellStyle name="Nota 4 2 3 2 9" xfId="44485"/>
    <cellStyle name="20% - Ênfase1 3 2 3 2 9" xfId="44486"/>
    <cellStyle name="40% - Ênfase1 3 2 3 2 9" xfId="44487"/>
    <cellStyle name="20% - Ênfase2 3 2 3 2 9" xfId="44488"/>
    <cellStyle name="40% - Ênfase2 3 2 3 2 9" xfId="44489"/>
    <cellStyle name="20% - Ênfase3 3 2 3 2 9" xfId="44490"/>
    <cellStyle name="40% - Ênfase3 3 2 3 2 9" xfId="44491"/>
    <cellStyle name="20% - Ênfase4 3 2 3 2 9" xfId="44492"/>
    <cellStyle name="40% - Ênfase4 3 2 3 2 9" xfId="44493"/>
    <cellStyle name="20% - Ênfase5 3 2 3 2 9" xfId="44494"/>
    <cellStyle name="40% - Ênfase5 3 2 3 2 9" xfId="44495"/>
    <cellStyle name="20% - Ênfase6 3 2 3 2 9" xfId="44496"/>
    <cellStyle name="40% - Ênfase6 3 2 3 2 9" xfId="44497"/>
    <cellStyle name="Normal 8 2 3 2 9" xfId="44498"/>
    <cellStyle name="Nota 5 2 3 2 9" xfId="44499"/>
    <cellStyle name="20% - Ênfase1 4 2 3 2 9" xfId="44500"/>
    <cellStyle name="40% - Ênfase1 4 2 3 2 9" xfId="44501"/>
    <cellStyle name="20% - Ênfase2 4 2 3 2 9" xfId="44502"/>
    <cellStyle name="40% - Ênfase2 4 2 3 2 9" xfId="44503"/>
    <cellStyle name="20% - Ênfase3 4 2 3 2 9" xfId="44504"/>
    <cellStyle name="40% - Ênfase3 4 2 3 2 9" xfId="44505"/>
    <cellStyle name="20% - Ênfase4 4 2 3 2 9" xfId="44506"/>
    <cellStyle name="40% - Ênfase4 4 2 3 2 9" xfId="44507"/>
    <cellStyle name="20% - Ênfase5 4 2 3 2 9" xfId="44508"/>
    <cellStyle name="40% - Ênfase5 4 2 3 2 9" xfId="44509"/>
    <cellStyle name="20% - Ênfase6 4 2 3 2 9" xfId="44510"/>
    <cellStyle name="40% - Ênfase6 4 2 3 2 9" xfId="44511"/>
    <cellStyle name="20% - Ênfase1 8 2 2 9" xfId="44512"/>
    <cellStyle name="40% - Ênfase1 8 2 2 9" xfId="44513"/>
    <cellStyle name="20% - Ênfase2 8 2 2 9" xfId="44514"/>
    <cellStyle name="40% - Ênfase2 8 2 2 9" xfId="44515"/>
    <cellStyle name="20% - Ênfase3 8 2 2 9" xfId="44516"/>
    <cellStyle name="40% - Ênfase3 8 2 2 9" xfId="44517"/>
    <cellStyle name="20% - Ênfase4 8 2 2 9" xfId="44518"/>
    <cellStyle name="40% - Ênfase4 8 2 2 9" xfId="44519"/>
    <cellStyle name="20% - Ênfase5 8 2 2 9" xfId="44520"/>
    <cellStyle name="40% - Ênfase5 8 2 2 9" xfId="44521"/>
    <cellStyle name="20% - Ênfase6 8 2 2 9" xfId="44522"/>
    <cellStyle name="40% - Ênfase6 8 2 2 9" xfId="44523"/>
    <cellStyle name="Normal 4 5 2 2 9" xfId="44524"/>
    <cellStyle name="Nota 2 5 2 2 9" xfId="44525"/>
    <cellStyle name="Normal 5 5 2 2 9" xfId="44526"/>
    <cellStyle name="Nota 3 5 2 2 9" xfId="44527"/>
    <cellStyle name="20% - Ênfase1 2 5 2 2 9" xfId="44528"/>
    <cellStyle name="40% - Ênfase1 2 5 2 2 9" xfId="44529"/>
    <cellStyle name="20% - Ênfase2 2 5 2 2 9" xfId="44530"/>
    <cellStyle name="40% - Ênfase2 2 5 2 2 9" xfId="44531"/>
    <cellStyle name="20% - Ênfase3 2 5 2 2 9" xfId="44532"/>
    <cellStyle name="40% - Ênfase3 2 5 2 2 9" xfId="44533"/>
    <cellStyle name="20% - Ênfase4 2 5 2 2 9" xfId="44534"/>
    <cellStyle name="40% - Ênfase4 2 5 2 2 9" xfId="44535"/>
    <cellStyle name="20% - Ênfase5 2 5 2 2 9" xfId="44536"/>
    <cellStyle name="40% - Ênfase5 2 5 2 2 9" xfId="44537"/>
    <cellStyle name="20% - Ênfase6 2 5 2 2 9" xfId="44538"/>
    <cellStyle name="40% - Ênfase6 2 5 2 2 9" xfId="44539"/>
    <cellStyle name="Normal 7 5 2 2 9" xfId="44540"/>
    <cellStyle name="Nota 4 4 2 2 9" xfId="44541"/>
    <cellStyle name="20% - Ênfase1 3 4 2 2 9" xfId="44542"/>
    <cellStyle name="40% - Ênfase1 3 4 2 2 9" xfId="44543"/>
    <cellStyle name="20% - Ênfase2 3 4 2 2 9" xfId="44544"/>
    <cellStyle name="40% - Ênfase2 3 4 2 2 9" xfId="44545"/>
    <cellStyle name="20% - Ênfase3 3 4 2 2 9" xfId="44546"/>
    <cellStyle name="40% - Ênfase3 3 4 2 2 9" xfId="44547"/>
    <cellStyle name="20% - Ênfase4 3 4 2 2 9" xfId="44548"/>
    <cellStyle name="40% - Ênfase4 3 4 2 2 9" xfId="44549"/>
    <cellStyle name="20% - Ênfase5 3 4 2 2 9" xfId="44550"/>
    <cellStyle name="40% - Ênfase5 3 4 2 2 9" xfId="44551"/>
    <cellStyle name="20% - Ênfase6 3 4 2 2 9" xfId="44552"/>
    <cellStyle name="40% - Ênfase6 3 4 2 2 9" xfId="44553"/>
    <cellStyle name="Normal 8 4 2 3 9" xfId="44554"/>
    <cellStyle name="Nota 5 4 2 2 9" xfId="44555"/>
    <cellStyle name="20% - Ênfase1 4 4 2 2 9" xfId="44556"/>
    <cellStyle name="40% - Ênfase1 4 4 2 2 9" xfId="44557"/>
    <cellStyle name="20% - Ênfase2 4 4 2 2 9" xfId="44558"/>
    <cellStyle name="40% - Ênfase2 4 4 2 2 9" xfId="44559"/>
    <cellStyle name="20% - Ênfase3 4 4 2 2 9" xfId="44560"/>
    <cellStyle name="40% - Ênfase3 4 4 2 2 9" xfId="44561"/>
    <cellStyle name="20% - Ênfase4 4 4 2 2 9" xfId="44562"/>
    <cellStyle name="40% - Ênfase4 4 4 2 2 9" xfId="44563"/>
    <cellStyle name="20% - Ênfase5 4 4 2 2 9" xfId="44564"/>
    <cellStyle name="40% - Ênfase5 4 4 2 2 9" xfId="44565"/>
    <cellStyle name="20% - Ênfase6 4 4 2 2 9" xfId="44566"/>
    <cellStyle name="40% - Ênfase6 4 4 2 2 9" xfId="44567"/>
    <cellStyle name="Normal 3 3 2 2 9" xfId="44568"/>
    <cellStyle name="20% - Ênfase1 5 2 2 2 9" xfId="44569"/>
    <cellStyle name="40% - Ênfase1 5 2 2 2 9" xfId="44570"/>
    <cellStyle name="20% - Ênfase2 5 2 2 2 9" xfId="44571"/>
    <cellStyle name="40% - Ênfase2 5 2 2 2 9" xfId="44572"/>
    <cellStyle name="20% - Ênfase3 5 2 2 2 9" xfId="44573"/>
    <cellStyle name="40% - Ênfase3 5 2 2 2 9" xfId="44574"/>
    <cellStyle name="20% - Ênfase4 5 2 2 2 9" xfId="44575"/>
    <cellStyle name="40% - Ênfase4 5 2 2 2 9" xfId="44576"/>
    <cellStyle name="20% - Ênfase5 5 2 2 2 9" xfId="44577"/>
    <cellStyle name="40% - Ênfase5 5 2 2 2 9" xfId="44578"/>
    <cellStyle name="20% - Ênfase6 5 2 2 2 9" xfId="44579"/>
    <cellStyle name="40% - Ênfase6 5 2 2 2 9" xfId="44580"/>
    <cellStyle name="Normal 4 2 2 2 2 9" xfId="44581"/>
    <cellStyle name="Nota 2 2 2 2 2 9" xfId="44582"/>
    <cellStyle name="Normal 5 2 2 2 2 9" xfId="44583"/>
    <cellStyle name="Nota 3 2 2 2 2 9" xfId="44584"/>
    <cellStyle name="20% - Ênfase1 2 2 2 2 2 9" xfId="44585"/>
    <cellStyle name="40% - Ênfase1 2 2 2 2 2 9" xfId="44586"/>
    <cellStyle name="20% - Ênfase2 2 2 2 2 2 9" xfId="44587"/>
    <cellStyle name="40% - Ênfase2 2 2 2 2 2 9" xfId="44588"/>
    <cellStyle name="20% - Ênfase3 2 2 2 2 2 9" xfId="44589"/>
    <cellStyle name="40% - Ênfase3 2 2 2 2 2 9" xfId="44590"/>
    <cellStyle name="20% - Ênfase4 2 2 2 2 2 9" xfId="44591"/>
    <cellStyle name="40% - Ênfase4 2 2 2 2 2 9" xfId="44592"/>
    <cellStyle name="20% - Ênfase5 2 2 2 2 2 9" xfId="44593"/>
    <cellStyle name="40% - Ênfase5 2 2 2 2 2 9" xfId="44594"/>
    <cellStyle name="20% - Ênfase6 2 2 2 2 2 9" xfId="44595"/>
    <cellStyle name="40% - Ênfase6 2 2 2 2 2 9" xfId="44596"/>
    <cellStyle name="Normal 7 2 2 2 2 9" xfId="44597"/>
    <cellStyle name="Nota 4 3 2 2 9" xfId="44598"/>
    <cellStyle name="20% - Ênfase1 3 3 2 2 9" xfId="44599"/>
    <cellStyle name="40% - Ênfase1 3 3 2 2 9" xfId="44600"/>
    <cellStyle name="20% - Ênfase2 3 3 2 2 9" xfId="44601"/>
    <cellStyle name="40% - Ênfase2 3 3 2 2 9" xfId="44602"/>
    <cellStyle name="20% - Ênfase3 3 3 2 2 9" xfId="44603"/>
    <cellStyle name="40% - Ênfase3 3 3 2 2 9" xfId="44604"/>
    <cellStyle name="20% - Ênfase4 3 3 2 2 9" xfId="44605"/>
    <cellStyle name="40% - Ênfase4 3 3 2 2 9" xfId="44606"/>
    <cellStyle name="20% - Ênfase5 3 3 2 2 9" xfId="44607"/>
    <cellStyle name="40% - Ênfase5 3 3 2 2 9" xfId="44608"/>
    <cellStyle name="20% - Ênfase6 3 3 2 2 9" xfId="44609"/>
    <cellStyle name="40% - Ênfase6 3 3 2 2 9" xfId="44610"/>
    <cellStyle name="Normal 8 3 2 3 9" xfId="44611"/>
    <cellStyle name="Nota 5 3 2 2 9" xfId="44612"/>
    <cellStyle name="20% - Ênfase1 4 3 2 2 9" xfId="44613"/>
    <cellStyle name="40% - Ênfase1 4 3 2 2 9" xfId="44614"/>
    <cellStyle name="20% - Ênfase2 4 3 2 2 9" xfId="44615"/>
    <cellStyle name="40% - Ênfase2 4 3 2 2 9" xfId="44616"/>
    <cellStyle name="20% - Ênfase3 4 3 2 2 9" xfId="44617"/>
    <cellStyle name="40% - Ênfase3 4 3 2 2 9" xfId="44618"/>
    <cellStyle name="20% - Ênfase4 4 3 2 2 9" xfId="44619"/>
    <cellStyle name="40% - Ênfase4 4 3 2 2 9" xfId="44620"/>
    <cellStyle name="20% - Ênfase5 4 3 2 2 9" xfId="44621"/>
    <cellStyle name="40% - Ênfase5 4 3 2 2 9" xfId="44622"/>
    <cellStyle name="20% - Ênfase6 4 3 2 2 9" xfId="44623"/>
    <cellStyle name="40% - Ênfase6 4 3 2 2 9" xfId="44624"/>
    <cellStyle name="20% - Ênfase1 6 2 2 2 9" xfId="44625"/>
    <cellStyle name="40% - Ênfase1 6 2 2 2 9" xfId="44626"/>
    <cellStyle name="20% - Ênfase2 6 2 2 2 9" xfId="44627"/>
    <cellStyle name="40% - Ênfase2 6 2 2 2 9" xfId="44628"/>
    <cellStyle name="20% - Ênfase3 6 2 2 2 9" xfId="44629"/>
    <cellStyle name="40% - Ênfase3 6 2 2 2 9" xfId="44630"/>
    <cellStyle name="20% - Ênfase4 6 2 2 2 9" xfId="44631"/>
    <cellStyle name="40% - Ênfase4 6 2 2 2 9" xfId="44632"/>
    <cellStyle name="20% - Ênfase5 6 2 2 2 9" xfId="44633"/>
    <cellStyle name="40% - Ênfase5 6 2 2 2 9" xfId="44634"/>
    <cellStyle name="20% - Ênfase6 6 2 2 2 9" xfId="44635"/>
    <cellStyle name="40% - Ênfase6 6 2 2 2 9" xfId="44636"/>
    <cellStyle name="Normal 4 3 2 2 2 9" xfId="44637"/>
    <cellStyle name="Nota 2 3 2 2 2 9" xfId="44638"/>
    <cellStyle name="Normal 5 3 2 2 2 9" xfId="44639"/>
    <cellStyle name="Nota 3 3 2 2 2 9" xfId="44640"/>
    <cellStyle name="20% - Ênfase1 2 3 2 2 2 9" xfId="44641"/>
    <cellStyle name="40% - Ênfase1 2 3 2 2 2 9" xfId="44642"/>
    <cellStyle name="20% - Ênfase2 2 3 2 2 2 9" xfId="44643"/>
    <cellStyle name="40% - Ênfase2 2 3 2 2 2 9" xfId="44644"/>
    <cellStyle name="20% - Ênfase3 2 3 2 2 2 9" xfId="44645"/>
    <cellStyle name="40% - Ênfase3 2 3 2 2 2 9" xfId="44646"/>
    <cellStyle name="20% - Ênfase4 2 3 2 2 2 9" xfId="44647"/>
    <cellStyle name="40% - Ênfase4 2 3 2 2 2 9" xfId="44648"/>
    <cellStyle name="20% - Ênfase5 2 3 2 2 2 9" xfId="44649"/>
    <cellStyle name="40% - Ênfase5 2 3 2 2 2 9" xfId="44650"/>
    <cellStyle name="20% - Ênfase6 2 3 2 2 2 9" xfId="44651"/>
    <cellStyle name="40% - Ênfase6 2 3 2 2 2 9" xfId="44652"/>
    <cellStyle name="Normal 7 3 2 2 2 9" xfId="44653"/>
    <cellStyle name="Nota 4 2 2 2 2 9" xfId="44654"/>
    <cellStyle name="20% - Ênfase1 3 2 2 2 2 9" xfId="44655"/>
    <cellStyle name="40% - Ênfase1 3 2 2 2 2 9" xfId="44656"/>
    <cellStyle name="20% - Ênfase2 3 2 2 2 2 9" xfId="44657"/>
    <cellStyle name="40% - Ênfase2 3 2 2 2 2 9" xfId="44658"/>
    <cellStyle name="20% - Ênfase3 3 2 2 2 2 9" xfId="44659"/>
    <cellStyle name="40% - Ênfase3 3 2 2 2 2 9" xfId="44660"/>
    <cellStyle name="20% - Ênfase4 3 2 2 2 2 9" xfId="44661"/>
    <cellStyle name="40% - Ênfase4 3 2 2 2 2 9" xfId="44662"/>
    <cellStyle name="20% - Ênfase5 3 2 2 2 2 9" xfId="44663"/>
    <cellStyle name="40% - Ênfase5 3 2 2 2 2 9" xfId="44664"/>
    <cellStyle name="20% - Ênfase6 3 2 2 2 2 9" xfId="44665"/>
    <cellStyle name="40% - Ênfase6 3 2 2 2 2 9" xfId="44666"/>
    <cellStyle name="Normal 8 2 2 2 2 9" xfId="44667"/>
    <cellStyle name="Nota 5 2 2 2 2 9" xfId="44668"/>
    <cellStyle name="20% - Ênfase1 4 2 2 2 2 9" xfId="44669"/>
    <cellStyle name="40% - Ênfase1 4 2 2 2 2 9" xfId="44670"/>
    <cellStyle name="20% - Ênfase2 4 2 2 2 2 9" xfId="44671"/>
    <cellStyle name="40% - Ênfase2 4 2 2 2 2 9" xfId="44672"/>
    <cellStyle name="20% - Ênfase3 4 2 2 2 2 9" xfId="44673"/>
    <cellStyle name="40% - Ênfase3 4 2 2 2 2 9" xfId="44674"/>
    <cellStyle name="20% - Ênfase4 4 2 2 2 2 9" xfId="44675"/>
    <cellStyle name="40% - Ênfase4 4 2 2 2 2 9" xfId="44676"/>
    <cellStyle name="20% - Ênfase5 4 2 2 2 2 9" xfId="44677"/>
    <cellStyle name="40% - Ênfase5 4 2 2 2 2 9" xfId="44678"/>
    <cellStyle name="20% - Ênfase6 4 2 2 2 2 9" xfId="44679"/>
    <cellStyle name="40% - Ênfase6 4 2 2 2 2 9" xfId="44680"/>
    <cellStyle name="Normal 3 5 2 9" xfId="44681"/>
    <cellStyle name="20% - Ênfase1 5 4 2 9" xfId="44682"/>
    <cellStyle name="40% - Ênfase1 5 4 2 9" xfId="44683"/>
    <cellStyle name="20% - Ênfase2 5 4 2 9" xfId="44684"/>
    <cellStyle name="40% - Ênfase2 5 4 2 9" xfId="44685"/>
    <cellStyle name="20% - Ênfase3 5 4 2 9" xfId="44686"/>
    <cellStyle name="40% - Ênfase3 5 4 2 9" xfId="44687"/>
    <cellStyle name="20% - Ênfase4 5 4 2 9" xfId="44688"/>
    <cellStyle name="40% - Ênfase4 5 4 2 9" xfId="44689"/>
    <cellStyle name="20% - Ênfase5 5 4 2 9" xfId="44690"/>
    <cellStyle name="40% - Ênfase5 5 4 2 9" xfId="44691"/>
    <cellStyle name="20% - Ênfase6 5 4 2 9" xfId="44692"/>
    <cellStyle name="40% - Ênfase6 5 4 2 9" xfId="44693"/>
    <cellStyle name="Normal 4 2 4 2 9" xfId="44694"/>
    <cellStyle name="Nota 2 2 4 2 9" xfId="44695"/>
    <cellStyle name="Normal 5 2 4 2 9" xfId="44696"/>
    <cellStyle name="Nota 3 2 4 2 9" xfId="44697"/>
    <cellStyle name="20% - Ênfase1 2 2 4 2 9" xfId="44698"/>
    <cellStyle name="40% - Ênfase1 2 2 4 2 9" xfId="44699"/>
    <cellStyle name="20% - Ênfase2 2 2 4 2 9" xfId="44700"/>
    <cellStyle name="40% - Ênfase2 2 2 4 2 9" xfId="44701"/>
    <cellStyle name="20% - Ênfase3 2 2 4 2 9" xfId="44702"/>
    <cellStyle name="40% - Ênfase3 2 2 4 2 9" xfId="44703"/>
    <cellStyle name="20% - Ênfase4 2 2 4 2 9" xfId="44704"/>
    <cellStyle name="40% - Ênfase4 2 2 4 2 9" xfId="44705"/>
    <cellStyle name="20% - Ênfase5 2 2 4 2 9" xfId="44706"/>
    <cellStyle name="40% - Ênfase5 2 2 4 2 9" xfId="44707"/>
    <cellStyle name="20% - Ênfase6 2 2 4 2 9" xfId="44708"/>
    <cellStyle name="40% - Ênfase6 2 2 4 2 9" xfId="44709"/>
    <cellStyle name="Normal 7 2 4 2 9" xfId="44710"/>
    <cellStyle name="Nota 4 6 2 9" xfId="44711"/>
    <cellStyle name="20% - Ênfase1 3 6 2 9" xfId="44712"/>
    <cellStyle name="40% - Ênfase1 3 6 2 9" xfId="44713"/>
    <cellStyle name="20% - Ênfase2 3 6 2 9" xfId="44714"/>
    <cellStyle name="40% - Ênfase2 3 6 2 9" xfId="44715"/>
    <cellStyle name="20% - Ênfase3 3 6 2 9" xfId="44716"/>
    <cellStyle name="40% - Ênfase3 3 6 2 9" xfId="44717"/>
    <cellStyle name="20% - Ênfase4 3 6 2 9" xfId="44718"/>
    <cellStyle name="40% - Ênfase4 3 6 2 9" xfId="44719"/>
    <cellStyle name="20% - Ênfase5 3 6 2 9" xfId="44720"/>
    <cellStyle name="40% - Ênfase5 3 6 2 9" xfId="44721"/>
    <cellStyle name="20% - Ênfase6 3 6 2 9" xfId="44722"/>
    <cellStyle name="40% - Ênfase6 3 6 2 9" xfId="44723"/>
    <cellStyle name="Normal 8 6 3 9" xfId="44724"/>
    <cellStyle name="Nota 5 6 2 9" xfId="44725"/>
    <cellStyle name="20% - Ênfase1 4 6 2 9" xfId="44726"/>
    <cellStyle name="40% - Ênfase1 4 6 2 9" xfId="44727"/>
    <cellStyle name="20% - Ênfase2 4 6 2 9" xfId="44728"/>
    <cellStyle name="40% - Ênfase2 4 6 2 9" xfId="44729"/>
    <cellStyle name="20% - Ênfase3 4 6 2 9" xfId="44730"/>
    <cellStyle name="40% - Ênfase3 4 6 2 9" xfId="44731"/>
    <cellStyle name="20% - Ênfase4 4 6 2 9" xfId="44732"/>
    <cellStyle name="40% - Ênfase4 4 6 2 9" xfId="44733"/>
    <cellStyle name="20% - Ênfase5 4 6 2 9" xfId="44734"/>
    <cellStyle name="40% - Ênfase5 4 6 2 9" xfId="44735"/>
    <cellStyle name="20% - Ênfase6 4 6 2 9" xfId="44736"/>
    <cellStyle name="40% - Ênfase6 4 6 2 9" xfId="44737"/>
    <cellStyle name="20% - Ênfase1 6 4 2 9" xfId="44738"/>
    <cellStyle name="40% - Ênfase1 6 4 2 9" xfId="44739"/>
    <cellStyle name="20% - Ênfase2 6 4 2 9" xfId="44740"/>
    <cellStyle name="40% - Ênfase2 6 4 2 9" xfId="44741"/>
    <cellStyle name="20% - Ênfase3 6 4 2 9" xfId="44742"/>
    <cellStyle name="40% - Ênfase3 6 4 2 9" xfId="44743"/>
    <cellStyle name="20% - Ênfase4 6 4 2 9" xfId="44744"/>
    <cellStyle name="40% - Ênfase4 6 4 2 9" xfId="44745"/>
    <cellStyle name="20% - Ênfase5 6 4 2 9" xfId="44746"/>
    <cellStyle name="40% - Ênfase5 6 4 2 9" xfId="44747"/>
    <cellStyle name="20% - Ênfase6 6 4 2 9" xfId="44748"/>
    <cellStyle name="40% - Ênfase6 6 4 2 9" xfId="44749"/>
    <cellStyle name="Normal 4 3 4 2 9" xfId="44750"/>
    <cellStyle name="Nota 2 3 4 2 9" xfId="44751"/>
    <cellStyle name="Normal 5 3 4 2 9" xfId="44752"/>
    <cellStyle name="Nota 3 3 4 2 9" xfId="44753"/>
    <cellStyle name="20% - Ênfase1 2 3 4 2 9" xfId="44754"/>
    <cellStyle name="40% - Ênfase1 2 3 4 2 9" xfId="44755"/>
    <cellStyle name="20% - Ênfase2 2 3 4 2 9" xfId="44756"/>
    <cellStyle name="40% - Ênfase2 2 3 4 2 9" xfId="44757"/>
    <cellStyle name="20% - Ênfase3 2 3 4 2 9" xfId="44758"/>
    <cellStyle name="40% - Ênfase3 2 3 4 2 9" xfId="44759"/>
    <cellStyle name="20% - Ênfase4 2 3 4 2 9" xfId="44760"/>
    <cellStyle name="40% - Ênfase4 2 3 4 2 9" xfId="44761"/>
    <cellStyle name="20% - Ênfase5 2 3 4 2 9" xfId="44762"/>
    <cellStyle name="40% - Ênfase5 2 3 4 2 9" xfId="44763"/>
    <cellStyle name="20% - Ênfase6 2 3 4 2 9" xfId="44764"/>
    <cellStyle name="40% - Ênfase6 2 3 4 2 9" xfId="44765"/>
    <cellStyle name="Normal 7 3 4 2 9" xfId="44766"/>
    <cellStyle name="Nota 4 2 4 2 9" xfId="44767"/>
    <cellStyle name="20% - Ênfase1 3 2 4 2 9" xfId="44768"/>
    <cellStyle name="40% - Ênfase1 3 2 4 2 9" xfId="44769"/>
    <cellStyle name="20% - Ênfase2 3 2 4 2 9" xfId="44770"/>
    <cellStyle name="40% - Ênfase2 3 2 4 2 9" xfId="44771"/>
    <cellStyle name="20% - Ênfase3 3 2 4 2 9" xfId="44772"/>
    <cellStyle name="40% - Ênfase3 3 2 4 2 9" xfId="44773"/>
    <cellStyle name="20% - Ênfase4 3 2 4 2 9" xfId="44774"/>
    <cellStyle name="40% - Ênfase4 3 2 4 2 9" xfId="44775"/>
    <cellStyle name="20% - Ênfase5 3 2 4 2 9" xfId="44776"/>
    <cellStyle name="40% - Ênfase5 3 2 4 2 9" xfId="44777"/>
    <cellStyle name="20% - Ênfase6 3 2 4 2 9" xfId="44778"/>
    <cellStyle name="40% - Ênfase6 3 2 4 2 9" xfId="44779"/>
    <cellStyle name="Normal 8 2 4 2 9" xfId="44780"/>
    <cellStyle name="Nota 5 2 4 2 9" xfId="44781"/>
    <cellStyle name="20% - Ênfase1 4 2 4 2 9" xfId="44782"/>
    <cellStyle name="40% - Ênfase1 4 2 4 2 9" xfId="44783"/>
    <cellStyle name="20% - Ênfase2 4 2 4 2 9" xfId="44784"/>
    <cellStyle name="40% - Ênfase2 4 2 4 2 9" xfId="44785"/>
    <cellStyle name="20% - Ênfase3 4 2 4 2 9" xfId="44786"/>
    <cellStyle name="40% - Ênfase3 4 2 4 2 9" xfId="44787"/>
    <cellStyle name="20% - Ênfase4 4 2 4 2 9" xfId="44788"/>
    <cellStyle name="40% - Ênfase4 4 2 4 2 9" xfId="44789"/>
    <cellStyle name="20% - Ênfase5 4 2 4 2 9" xfId="44790"/>
    <cellStyle name="40% - Ênfase5 4 2 4 2 9" xfId="44791"/>
    <cellStyle name="20% - Ênfase6 4 2 4 2 9" xfId="44792"/>
    <cellStyle name="40% - Ênfase6 4 2 4 2 9" xfId="44793"/>
    <cellStyle name="20% - Ênfase1 8 3 2 9" xfId="44794"/>
    <cellStyle name="40% - Ênfase1 8 3 2 9" xfId="44795"/>
    <cellStyle name="20% - Ênfase2 8 3 2 9" xfId="44796"/>
    <cellStyle name="40% - Ênfase2 8 3 2 9" xfId="44797"/>
    <cellStyle name="20% - Ênfase3 8 3 2 9" xfId="44798"/>
    <cellStyle name="40% - Ênfase3 8 3 2 9" xfId="44799"/>
    <cellStyle name="20% - Ênfase4 8 3 2 9" xfId="44800"/>
    <cellStyle name="40% - Ênfase4 8 3 2 9" xfId="44801"/>
    <cellStyle name="20% - Ênfase5 8 3 2 9" xfId="44802"/>
    <cellStyle name="40% - Ênfase5 8 3 2 9" xfId="44803"/>
    <cellStyle name="20% - Ênfase6 8 3 2 9" xfId="44804"/>
    <cellStyle name="40% - Ênfase6 8 3 2 9" xfId="44805"/>
    <cellStyle name="Normal 4 5 3 2 9" xfId="44806"/>
    <cellStyle name="Nota 2 5 3 2 9" xfId="44807"/>
    <cellStyle name="Normal 5 5 3 2 9" xfId="44808"/>
    <cellStyle name="Nota 3 5 3 2 9" xfId="44809"/>
    <cellStyle name="20% - Ênfase1 2 5 3 2 9" xfId="44810"/>
    <cellStyle name="40% - Ênfase1 2 5 3 2 9" xfId="44811"/>
    <cellStyle name="20% - Ênfase2 2 5 3 2 9" xfId="44812"/>
    <cellStyle name="40% - Ênfase2 2 5 3 2 9" xfId="44813"/>
    <cellStyle name="20% - Ênfase3 2 5 3 2 9" xfId="44814"/>
    <cellStyle name="40% - Ênfase3 2 5 3 2 9" xfId="44815"/>
    <cellStyle name="20% - Ênfase4 2 5 3 2 9" xfId="44816"/>
    <cellStyle name="40% - Ênfase4 2 5 3 2 9" xfId="44817"/>
    <cellStyle name="20% - Ênfase5 2 5 3 2 9" xfId="44818"/>
    <cellStyle name="40% - Ênfase5 2 5 3 2 9" xfId="44819"/>
    <cellStyle name="20% - Ênfase6 2 5 3 2 9" xfId="44820"/>
    <cellStyle name="40% - Ênfase6 2 5 3 2 9" xfId="44821"/>
    <cellStyle name="Normal 7 5 3 2 9" xfId="44822"/>
    <cellStyle name="Nota 4 4 3 2 9" xfId="44823"/>
    <cellStyle name="20% - Ênfase1 3 4 3 2 9" xfId="44824"/>
    <cellStyle name="40% - Ênfase1 3 4 3 2 9" xfId="44825"/>
    <cellStyle name="20% - Ênfase2 3 4 3 2 9" xfId="44826"/>
    <cellStyle name="40% - Ênfase2 3 4 3 2 9" xfId="44827"/>
    <cellStyle name="20% - Ênfase3 3 4 3 2 9" xfId="44828"/>
    <cellStyle name="40% - Ênfase3 3 4 3 2 9" xfId="44829"/>
    <cellStyle name="20% - Ênfase4 3 4 3 2 9" xfId="44830"/>
    <cellStyle name="40% - Ênfase4 3 4 3 2 9" xfId="44831"/>
    <cellStyle name="20% - Ênfase5 3 4 3 2 9" xfId="44832"/>
    <cellStyle name="40% - Ênfase5 3 4 3 2 9" xfId="44833"/>
    <cellStyle name="20% - Ênfase6 3 4 3 2 9" xfId="44834"/>
    <cellStyle name="40% - Ênfase6 3 4 3 2 9" xfId="44835"/>
    <cellStyle name="Normal 8 4 3 2 9" xfId="44836"/>
    <cellStyle name="Nota 5 4 3 2 9" xfId="44837"/>
    <cellStyle name="20% - Ênfase1 4 4 3 2 9" xfId="44838"/>
    <cellStyle name="40% - Ênfase1 4 4 3 2 9" xfId="44839"/>
    <cellStyle name="20% - Ênfase2 4 4 3 2 9" xfId="44840"/>
    <cellStyle name="40% - Ênfase2 4 4 3 2 9" xfId="44841"/>
    <cellStyle name="20% - Ênfase3 4 4 3 2 9" xfId="44842"/>
    <cellStyle name="40% - Ênfase3 4 4 3 2 9" xfId="44843"/>
    <cellStyle name="20% - Ênfase4 4 4 3 2 9" xfId="44844"/>
    <cellStyle name="40% - Ênfase4 4 4 3 2 9" xfId="44845"/>
    <cellStyle name="20% - Ênfase5 4 4 3 2 9" xfId="44846"/>
    <cellStyle name="40% - Ênfase5 4 4 3 2 9" xfId="44847"/>
    <cellStyle name="20% - Ênfase6 4 4 3 2 9" xfId="44848"/>
    <cellStyle name="40% - Ênfase6 4 4 3 2 9" xfId="44849"/>
    <cellStyle name="Normal 3 3 3 2 9" xfId="44850"/>
    <cellStyle name="20% - Ênfase1 5 2 3 2 9" xfId="44851"/>
    <cellStyle name="40% - Ênfase1 5 2 3 2 9" xfId="44852"/>
    <cellStyle name="20% - Ênfase2 5 2 3 2 9" xfId="44853"/>
    <cellStyle name="40% - Ênfase2 5 2 3 2 9" xfId="44854"/>
    <cellStyle name="20% - Ênfase3 5 2 3 2 9" xfId="44855"/>
    <cellStyle name="40% - Ênfase3 5 2 3 2 9" xfId="44856"/>
    <cellStyle name="20% - Ênfase4 5 2 3 2 9" xfId="44857"/>
    <cellStyle name="40% - Ênfase4 5 2 3 2 9" xfId="44858"/>
    <cellStyle name="20% - Ênfase5 5 2 3 2 9" xfId="44859"/>
    <cellStyle name="40% - Ênfase5 5 2 3 2 9" xfId="44860"/>
    <cellStyle name="20% - Ênfase6 5 2 3 2 9" xfId="44861"/>
    <cellStyle name="40% - Ênfase6 5 2 3 2 9" xfId="44862"/>
    <cellStyle name="Normal 4 2 2 3 2 9" xfId="44863"/>
    <cellStyle name="Nota 2 2 2 3 2 9" xfId="44864"/>
    <cellStyle name="Normal 5 2 2 3 2 9" xfId="44865"/>
    <cellStyle name="Nota 3 2 2 3 2 9" xfId="44866"/>
    <cellStyle name="20% - Ênfase1 2 2 2 3 2 9" xfId="44867"/>
    <cellStyle name="40% - Ênfase1 2 2 2 3 2 9" xfId="44868"/>
    <cellStyle name="20% - Ênfase2 2 2 2 3 2 9" xfId="44869"/>
    <cellStyle name="40% - Ênfase2 2 2 2 3 2 9" xfId="44870"/>
    <cellStyle name="20% - Ênfase3 2 2 2 3 2 9" xfId="44871"/>
    <cellStyle name="40% - Ênfase3 2 2 2 3 2 9" xfId="44872"/>
    <cellStyle name="20% - Ênfase4 2 2 2 3 2 9" xfId="44873"/>
    <cellStyle name="40% - Ênfase4 2 2 2 3 2 9" xfId="44874"/>
    <cellStyle name="20% - Ênfase5 2 2 2 3 2 9" xfId="44875"/>
    <cellStyle name="40% - Ênfase5 2 2 2 3 2 9" xfId="44876"/>
    <cellStyle name="20% - Ênfase6 2 2 2 3 2 9" xfId="44877"/>
    <cellStyle name="40% - Ênfase6 2 2 2 3 2 9" xfId="44878"/>
    <cellStyle name="Normal 7 2 2 3 2 9" xfId="44879"/>
    <cellStyle name="Nota 4 3 3 2 9" xfId="44880"/>
    <cellStyle name="20% - Ênfase1 3 3 3 2 9" xfId="44881"/>
    <cellStyle name="40% - Ênfase1 3 3 3 2 9" xfId="44882"/>
    <cellStyle name="20% - Ênfase2 3 3 3 2 9" xfId="44883"/>
    <cellStyle name="40% - Ênfase2 3 3 3 2 9" xfId="44884"/>
    <cellStyle name="20% - Ênfase3 3 3 3 2 9" xfId="44885"/>
    <cellStyle name="40% - Ênfase3 3 3 3 2 9" xfId="44886"/>
    <cellStyle name="20% - Ênfase4 3 3 3 2 9" xfId="44887"/>
    <cellStyle name="40% - Ênfase4 3 3 3 2 9" xfId="44888"/>
    <cellStyle name="20% - Ênfase5 3 3 3 2 9" xfId="44889"/>
    <cellStyle name="40% - Ênfase5 3 3 3 2 9" xfId="44890"/>
    <cellStyle name="20% - Ênfase6 3 3 3 2 9" xfId="44891"/>
    <cellStyle name="40% - Ênfase6 3 3 3 2 9" xfId="44892"/>
    <cellStyle name="Normal 8 3 3 2 9" xfId="44893"/>
    <cellStyle name="Nota 5 3 3 2 9" xfId="44894"/>
    <cellStyle name="20% - Ênfase1 4 3 3 2 9" xfId="44895"/>
    <cellStyle name="40% - Ênfase1 4 3 3 2 9" xfId="44896"/>
    <cellStyle name="20% - Ênfase2 4 3 3 2 9" xfId="44897"/>
    <cellStyle name="40% - Ênfase2 4 3 3 2 9" xfId="44898"/>
    <cellStyle name="20% - Ênfase3 4 3 3 2 9" xfId="44899"/>
    <cellStyle name="40% - Ênfase3 4 3 3 2 9" xfId="44900"/>
    <cellStyle name="20% - Ênfase4 4 3 3 2 9" xfId="44901"/>
    <cellStyle name="40% - Ênfase4 4 3 3 2 9" xfId="44902"/>
    <cellStyle name="20% - Ênfase5 4 3 3 2 9" xfId="44903"/>
    <cellStyle name="40% - Ênfase5 4 3 3 2 9" xfId="44904"/>
    <cellStyle name="20% - Ênfase6 4 3 3 2 9" xfId="44905"/>
    <cellStyle name="40% - Ênfase6 4 3 3 2 9" xfId="44906"/>
    <cellStyle name="20% - Ênfase1 6 2 3 2 9" xfId="44907"/>
    <cellStyle name="40% - Ênfase1 6 2 3 2 9" xfId="44908"/>
    <cellStyle name="20% - Ênfase2 6 2 3 2 9" xfId="44909"/>
    <cellStyle name="40% - Ênfase2 6 2 3 2 9" xfId="44910"/>
    <cellStyle name="20% - Ênfase3 6 2 3 2 9" xfId="44911"/>
    <cellStyle name="40% - Ênfase3 6 2 3 2 9" xfId="44912"/>
    <cellStyle name="20% - Ênfase4 6 2 3 2 9" xfId="44913"/>
    <cellStyle name="40% - Ênfase4 6 2 3 2 9" xfId="44914"/>
    <cellStyle name="20% - Ênfase5 6 2 3 2 9" xfId="44915"/>
    <cellStyle name="40% - Ênfase5 6 2 3 2 9" xfId="44916"/>
    <cellStyle name="20% - Ênfase6 6 2 3 2 9" xfId="44917"/>
    <cellStyle name="40% - Ênfase6 6 2 3 2 9" xfId="44918"/>
    <cellStyle name="Normal 4 3 2 3 2 9" xfId="44919"/>
    <cellStyle name="Nota 2 3 2 3 2 9" xfId="44920"/>
    <cellStyle name="Normal 5 3 2 3 2 9" xfId="44921"/>
    <cellStyle name="Nota 3 3 2 3 2 9" xfId="44922"/>
    <cellStyle name="20% - Ênfase1 2 3 2 3 2 9" xfId="44923"/>
    <cellStyle name="40% - Ênfase1 2 3 2 3 2 9" xfId="44924"/>
    <cellStyle name="20% - Ênfase2 2 3 2 3 2 9" xfId="44925"/>
    <cellStyle name="40% - Ênfase2 2 3 2 3 2 9" xfId="44926"/>
    <cellStyle name="20% - Ênfase3 2 3 2 3 2 9" xfId="44927"/>
    <cellStyle name="40% - Ênfase3 2 3 2 3 2 9" xfId="44928"/>
    <cellStyle name="20% - Ênfase4 2 3 2 3 2 9" xfId="44929"/>
    <cellStyle name="40% - Ênfase4 2 3 2 3 2 9" xfId="44930"/>
    <cellStyle name="20% - Ênfase5 2 3 2 3 2 9" xfId="44931"/>
    <cellStyle name="40% - Ênfase5 2 3 2 3 2 9" xfId="44932"/>
    <cellStyle name="20% - Ênfase6 2 3 2 3 2 9" xfId="44933"/>
    <cellStyle name="40% - Ênfase6 2 3 2 3 2 9" xfId="44934"/>
    <cellStyle name="Normal 7 3 2 3 2 9" xfId="44935"/>
    <cellStyle name="Nota 4 2 2 3 2 9" xfId="44936"/>
    <cellStyle name="20% - Ênfase1 3 2 2 3 2 9" xfId="44937"/>
    <cellStyle name="40% - Ênfase1 3 2 2 3 2 9" xfId="44938"/>
    <cellStyle name="20% - Ênfase2 3 2 2 3 2 9" xfId="44939"/>
    <cellStyle name="40% - Ênfase2 3 2 2 3 2 9" xfId="44940"/>
    <cellStyle name="20% - Ênfase3 3 2 2 3 2 9" xfId="44941"/>
    <cellStyle name="40% - Ênfase3 3 2 2 3 2 9" xfId="44942"/>
    <cellStyle name="20% - Ênfase4 3 2 2 3 2 9" xfId="44943"/>
    <cellStyle name="40% - Ênfase4 3 2 2 3 2 9" xfId="44944"/>
    <cellStyle name="20% - Ênfase5 3 2 2 3 2 9" xfId="44945"/>
    <cellStyle name="40% - Ênfase5 3 2 2 3 2 9" xfId="44946"/>
    <cellStyle name="20% - Ênfase6 3 2 2 3 2 9" xfId="44947"/>
    <cellStyle name="40% - Ênfase6 3 2 2 3 2 9" xfId="44948"/>
    <cellStyle name="Normal 8 2 2 3 2 9" xfId="44949"/>
    <cellStyle name="Nota 5 2 2 3 2 9" xfId="44950"/>
    <cellStyle name="20% - Ênfase1 4 2 2 3 2 9" xfId="44951"/>
    <cellStyle name="40% - Ênfase1 4 2 2 3 2 9" xfId="44952"/>
    <cellStyle name="20% - Ênfase2 4 2 2 3 2 9" xfId="44953"/>
    <cellStyle name="40% - Ênfase2 4 2 2 3 2 9" xfId="44954"/>
    <cellStyle name="20% - Ênfase3 4 2 2 3 2 9" xfId="44955"/>
    <cellStyle name="40% - Ênfase3 4 2 2 3 2 9" xfId="44956"/>
    <cellStyle name="20% - Ênfase4 4 2 2 3 2 9" xfId="44957"/>
    <cellStyle name="40% - Ênfase4 4 2 2 3 2 9" xfId="44958"/>
    <cellStyle name="20% - Ênfase5 4 2 2 3 2 9" xfId="44959"/>
    <cellStyle name="40% - Ênfase5 4 2 2 3 2 9" xfId="44960"/>
    <cellStyle name="20% - Ênfase6 4 2 2 3 2 9" xfId="44961"/>
    <cellStyle name="40% - Ênfase6 4 2 2 3 2 9" xfId="44962"/>
    <cellStyle name="Normal 3 6 2 9" xfId="44963"/>
    <cellStyle name="20% - Ênfase1 5 5 2 9" xfId="44964"/>
    <cellStyle name="40% - Ênfase1 5 5 2 9" xfId="44965"/>
    <cellStyle name="20% - Ênfase2 5 5 2 9" xfId="44966"/>
    <cellStyle name="40% - Ênfase2 5 5 2 9" xfId="44967"/>
    <cellStyle name="20% - Ênfase3 5 5 2 9" xfId="44968"/>
    <cellStyle name="40% - Ênfase3 5 5 2 9" xfId="44969"/>
    <cellStyle name="20% - Ênfase4 5 5 2 9" xfId="44970"/>
    <cellStyle name="40% - Ênfase4 5 5 2 9" xfId="44971"/>
    <cellStyle name="20% - Ênfase5 5 5 2 9" xfId="44972"/>
    <cellStyle name="40% - Ênfase5 5 5 2 9" xfId="44973"/>
    <cellStyle name="20% - Ênfase6 5 5 2 9" xfId="44974"/>
    <cellStyle name="40% - Ênfase6 5 5 2 9" xfId="44975"/>
    <cellStyle name="Normal 4 2 5 2 9" xfId="44976"/>
    <cellStyle name="Nota 2 2 5 2 9" xfId="44977"/>
    <cellStyle name="Normal 5 2 5 2 9" xfId="44978"/>
    <cellStyle name="Nota 3 2 5 2 9" xfId="44979"/>
    <cellStyle name="20% - Ênfase1 2 2 5 2 9" xfId="44980"/>
    <cellStyle name="40% - Ênfase1 2 2 5 2 9" xfId="44981"/>
    <cellStyle name="20% - Ênfase2 2 2 5 2 9" xfId="44982"/>
    <cellStyle name="40% - Ênfase2 2 2 5 2 9" xfId="44983"/>
    <cellStyle name="20% - Ênfase3 2 2 5 2 9" xfId="44984"/>
    <cellStyle name="40% - Ênfase3 2 2 5 2 9" xfId="44985"/>
    <cellStyle name="20% - Ênfase4 2 2 5 2 9" xfId="44986"/>
    <cellStyle name="40% - Ênfase4 2 2 5 2 9" xfId="44987"/>
    <cellStyle name="20% - Ênfase5 2 2 5 2 9" xfId="44988"/>
    <cellStyle name="40% - Ênfase5 2 2 5 2 9" xfId="44989"/>
    <cellStyle name="20% - Ênfase6 2 2 5 2 9" xfId="44990"/>
    <cellStyle name="40% - Ênfase6 2 2 5 2 9" xfId="44991"/>
    <cellStyle name="Normal 7 2 5 2 9" xfId="44992"/>
    <cellStyle name="Nota 4 7 2 9" xfId="44993"/>
    <cellStyle name="20% - Ênfase1 3 7 2 9" xfId="44994"/>
    <cellStyle name="40% - Ênfase1 3 7 2 9" xfId="44995"/>
    <cellStyle name="20% - Ênfase2 3 7 2 9" xfId="44996"/>
    <cellStyle name="40% - Ênfase2 3 7 2 9" xfId="44997"/>
    <cellStyle name="20% - Ênfase3 3 7 2 9" xfId="44998"/>
    <cellStyle name="40% - Ênfase3 3 7 2 9" xfId="44999"/>
    <cellStyle name="20% - Ênfase4 3 7 2 9" xfId="45000"/>
    <cellStyle name="40% - Ênfase4 3 7 2 9" xfId="45001"/>
    <cellStyle name="20% - Ênfase5 3 7 2 9" xfId="45002"/>
    <cellStyle name="40% - Ênfase5 3 7 2 9" xfId="45003"/>
    <cellStyle name="20% - Ênfase6 3 7 2 9" xfId="45004"/>
    <cellStyle name="40% - Ênfase6 3 7 2 9" xfId="45005"/>
    <cellStyle name="Normal 8 7 2 9" xfId="45006"/>
    <cellStyle name="Nota 5 7 2 9" xfId="45007"/>
    <cellStyle name="20% - Ênfase1 4 7 2 9" xfId="45008"/>
    <cellStyle name="40% - Ênfase1 4 7 2 9" xfId="45009"/>
    <cellStyle name="20% - Ênfase2 4 7 2 9" xfId="45010"/>
    <cellStyle name="40% - Ênfase2 4 7 2 9" xfId="45011"/>
    <cellStyle name="20% - Ênfase3 4 7 2 9" xfId="45012"/>
    <cellStyle name="40% - Ênfase3 4 7 2 9" xfId="45013"/>
    <cellStyle name="20% - Ênfase4 4 7 2 9" xfId="45014"/>
    <cellStyle name="40% - Ênfase4 4 7 2 9" xfId="45015"/>
    <cellStyle name="20% - Ênfase5 4 7 2 9" xfId="45016"/>
    <cellStyle name="40% - Ênfase5 4 7 2 9" xfId="45017"/>
    <cellStyle name="20% - Ênfase6 4 7 2 9" xfId="45018"/>
    <cellStyle name="40% - Ênfase6 4 7 2 9" xfId="45019"/>
    <cellStyle name="Normal 6 4 2 9" xfId="45020"/>
    <cellStyle name="Separador de milhares 7 2 2 9" xfId="45021"/>
    <cellStyle name="Normal 13 6" xfId="45022"/>
    <cellStyle name="Vírgula 20 5" xfId="45023"/>
    <cellStyle name="Porcentagem 20 2" xfId="45024"/>
    <cellStyle name="Normal 2 6 4" xfId="45025"/>
    <cellStyle name="Normal 14 2 2" xfId="45026"/>
    <cellStyle name="Normal 2 7" xfId="45027"/>
    <cellStyle name="Normal 5 7" xfId="45028"/>
    <cellStyle name="Normal 6 8 3" xfId="45029"/>
  </cellStyles>
  <dxfs count="36">
    <dxf>
      <border>
        <top style="thin">
          <color theme="6"/>
        </top>
        <bottom style="thin">
          <color theme="6"/>
        </bottom>
      </border>
    </dxf>
    <dxf>
      <border>
        <top style="thin">
          <color theme="6"/>
        </top>
        <bottom style="thin">
          <color theme="6"/>
        </bottom>
      </border>
    </dxf>
    <dxf>
      <font>
        <color theme="1"/>
      </font>
    </dxf>
    <dxf>
      <font>
        <b val="1"/>
        <color theme="1"/>
      </font>
    </dxf>
    <dxf>
      <font>
        <color auto="1"/>
      </font>
    </dxf>
    <dxf>
      <font>
        <b val="1"/>
        <color theme="6"/>
      </font>
    </dxf>
    <dxf>
      <font>
        <b val="1"/>
        <color theme="1"/>
      </font>
    </dxf>
    <dxf>
      <font>
        <color auto="1"/>
      </font>
    </dxf>
    <dxf>
      <fill>
        <patternFill patternType="solid">
          <fgColor theme="6" tint="0.7999816888943144"/>
          <bgColor theme="6" tint="0.7999816888943144"/>
        </patternFill>
      </fill>
      <border>
        <left style="thin">
          <color theme="6" tint="0.5999938962981048"/>
        </left>
        <right style="thin">
          <color theme="6" tint="0.5999938962981048"/>
        </right>
        <top style="thin">
          <color theme="6" tint="0.5999938962981048"/>
        </top>
        <bottom style="thin">
          <color theme="6" tint="0.5999938962981048"/>
        </bottom>
        <vertical style="thin">
          <color theme="6" tint="0.5999938962981048"/>
        </vertical>
        <horizontal style="thin">
          <color theme="6" tint="0.5999938962981048"/>
        </horizontal>
      </border>
    </dxf>
    <dxf>
      <fill>
        <patternFill patternType="solid">
          <fgColor theme="6" tint="0.7999816888943144"/>
          <bgColor theme="6" tint="0.7999816888943144"/>
        </patternFill>
      </fill>
      <border>
        <top style="thin">
          <color theme="6" tint="0.5999938962981048"/>
        </top>
        <bottom style="thin">
          <color theme="6" tint="0.5999938962981048"/>
        </bottom>
      </border>
    </dxf>
    <dxf>
      <font>
        <b val="1"/>
        <color theme="1"/>
      </font>
      <fill>
        <patternFill patternType="solid">
          <fgColor theme="0"/>
          <bgColor theme="0"/>
        </patternFill>
      </fill>
      <border>
        <top style="thin">
          <color theme="6"/>
        </top>
        <bottom style="thin">
          <color theme="6"/>
        </bottom>
      </border>
    </dxf>
    <dxf>
      <font>
        <b val="1"/>
        <color theme="1"/>
      </font>
      <border>
        <top style="thin">
          <color theme="6"/>
        </top>
        <bottom style="thin">
          <color theme="6"/>
        </bottom>
      </border>
    </dxf>
    <dxf>
      <font>
        <color theme="1"/>
      </font>
      <border>
        <horizontal style="thin">
          <color theme="6" tint="0.7999816888943144"/>
        </horizontal>
      </border>
    </dxf>
    <dxf>
      <font>
        <color theme="1"/>
      </font>
    </dxf>
    <dxf>
      <font>
        <b val="1"/>
        <color theme="1"/>
      </font>
    </dxf>
    <dxf>
      <font>
        <color theme="1"/>
      </font>
    </dxf>
    <dxf>
      <font>
        <b val="1"/>
        <color theme="6" tint="-0.249977111117893"/>
      </font>
    </dxf>
    <dxf>
      <font>
        <color theme="1"/>
      </font>
      <fill>
        <patternFill patternType="solid">
          <fgColor theme="6" tint="0.7999816888943144"/>
          <bgColor theme="6" tint="0.7999816888943144"/>
        </patternFill>
      </fill>
    </dxf>
    <dxf>
      <font>
        <color theme="1"/>
      </font>
      <fill>
        <patternFill patternType="solid">
          <fgColor theme="6" tint="0.7999816888943144"/>
          <bgColor theme="6" tint="0.7999816888943144"/>
        </patternFill>
      </fill>
      <border>
        <top style="thin">
          <color theme="1" tint="0.499984740745262"/>
        </top>
        <bottom style="thin">
          <color theme="1" tint="0.499984740745262"/>
        </bottom>
      </border>
    </dxf>
    <dxf>
      <font>
        <color theme="1"/>
      </font>
    </dxf>
    <dxf>
      <font>
        <b val="1"/>
        <color theme="1"/>
      </font>
      <border>
        <top style="thin">
          <color theme="6"/>
        </top>
      </border>
    </dxf>
    <dxf>
      <font>
        <color theme="1"/>
      </font>
      <fill>
        <patternFill>
          <bgColor theme="6" tint="0.3999450666829432"/>
        </patternFill>
      </fill>
      <border>
        <bottom style="thin">
          <color theme="6"/>
        </bottom>
      </border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  <vertical style="thin">
          <color theme="6"/>
        </vertical>
      </border>
    </dxf>
    <dxf>
      <font>
        <color theme="0"/>
      </font>
      <fill>
        <patternFill patternType="solid">
          <fgColor theme="9" tint="-0.499984740745262"/>
          <bgColor theme="9" tint="-0.499984740745262"/>
        </patternFill>
      </fill>
      <border>
        <horizontal style="thin">
          <color theme="9" tint="-0.499984740745262"/>
        </horizontal>
      </border>
    </dxf>
    <dxf>
      <font>
        <b val="1"/>
        <color theme="0"/>
      </font>
      <fill>
        <patternFill patternType="solid">
          <fgColor theme="9" tint="-0.499984740745262"/>
          <bgColor theme="9" tint="-0.499984740745262"/>
        </patternFill>
      </fill>
      <border>
        <horizontal style="thin">
          <color theme="9" tint="-0.499984740745262"/>
        </horizontal>
      </border>
    </dxf>
    <dxf>
      <fill>
        <patternFill>
          <bgColor theme="9" tint="0.5999633777886288"/>
        </patternFill>
      </fill>
    </dxf>
    <dxf>
      <font>
        <color theme="1"/>
      </font>
      <fill>
        <patternFill>
          <bgColor theme="9" tint="0.3999450666829432"/>
        </patternFill>
      </fill>
    </dxf>
    <dxf>
      <font>
        <b val="1"/>
        <color theme="0"/>
      </font>
      <fill>
        <patternFill patternType="solid">
          <fgColor theme="9" tint="0.7998290963469344"/>
          <bgColor theme="9" tint="-0.249946592608417"/>
        </patternFill>
      </fill>
      <border>
        <top style="thin">
          <color theme="9" tint="0.3999755851924192"/>
        </top>
        <bottom style="thin">
          <color theme="9" tint="0.3999755851924192"/>
        </bottom>
      </border>
    </dxf>
    <dxf>
      <font>
        <b val="1"/>
        <color theme="1"/>
      </font>
      <fill>
        <patternFill>
          <bgColor auto="1"/>
        </patternFill>
      </fill>
      <border>
        <bottom style="thin">
          <color theme="9" tint="0.7999816888943144"/>
        </bottom>
      </border>
    </dxf>
    <dxf>
      <border>
        <left style="thin">
          <color theme="9" tint="0.7999816888943144"/>
        </left>
        <right style="thin">
          <color theme="9" tint="0.7999816888943144"/>
        </right>
      </border>
    </dxf>
    <dxf>
      <fill>
        <patternFill patternType="solid">
          <fgColor theme="9" tint="0.3999145481734672"/>
          <bgColor theme="9" tint="0.3999450666829432"/>
        </patternFill>
      </fill>
    </dxf>
    <dxf>
      <font>
        <b val="1"/>
        <color theme="0"/>
      </font>
      <fill>
        <patternFill patternType="solid">
          <fgColor theme="9" tint="-0.499984740745262"/>
          <bgColor theme="9" tint="-0.499984740745262"/>
        </patternFill>
      </fill>
      <border>
        <top/>
        <bottom style="double">
          <color theme="7" tint="-0.249946592608417"/>
        </bottom>
      </border>
    </dxf>
    <dxf>
      <font>
        <b val="1"/>
        <color theme="0"/>
      </font>
      <fill>
        <patternFill patternType="solid">
          <fgColor theme="9" tint="-0.499984740745262"/>
          <bgColor theme="9" tint="-0.499984740745262"/>
        </patternFill>
      </fill>
      <border>
        <top/>
        <bottom/>
        <horizontal/>
      </border>
    </dxf>
    <dxf>
      <font>
        <color theme="1"/>
      </font>
      <fill>
        <patternFill patternType="solid">
          <fgColor theme="9" tint="0.5999938962981048"/>
          <bgColor theme="9" tint="0.7999816888943144"/>
        </patternFill>
      </fill>
      <border>
        <horizontal style="thin">
          <color theme="9" tint="0.7999816888943144"/>
        </horizontal>
      </border>
    </dxf>
    <dxf>
      <fill>
        <patternFill>
          <bgColor theme="9"/>
        </patternFill>
      </fill>
    </dxf>
    <dxf>
      <fill>
        <patternFill>
          <bgColor theme="0" tint="-0.0499893185216834"/>
        </patternFill>
      </fill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JP" table="0" count="2">
      <tableStyleElement type="wholeTable" dxfId="35"/>
      <tableStyleElement type="pageFieldLabels" dxfId="34"/>
    </tableStyle>
    <tableStyle name="PivotStyleDark7 2" table="0" count="11">
      <tableStyleElement type="wholeTable" dxfId="33"/>
      <tableStyleElement type="headerRow" dxfId="32"/>
      <tableStyleElement type="totalRow" dxfId="31"/>
      <tableStyleElement type="secondRowStripe" dxfId="30"/>
      <tableStyleElement type="secondColumnStripe" dxfId="29"/>
      <tableStyleElement type="firstSubtotalRow" dxfId="28"/>
      <tableStyleElement type="firstRowSubheading" dxfId="27"/>
      <tableStyleElement type="secondRowSubheading" dxfId="26"/>
      <tableStyleElement type="thirdRowSubheading" dxfId="25"/>
      <tableStyleElement type="pageFieldLabels" dxfId="24"/>
      <tableStyleElement type="pageFieldValues" dxfId="23"/>
    </tableStyle>
    <tableStyle name="PivotStyleLight25 2" table="0" count="10">
      <tableStyleElement type="wholeTable" dxfId="22"/>
      <tableStyleElement type="headerRow" dxfId="21"/>
      <tableStyleElement type="totalRow" dxfId="20"/>
      <tableStyleElement type="firstColumn" dxfId="19"/>
      <tableStyleElement type="firstRowStripe" dxfId="18"/>
      <tableStyleElement type="firstColumnStripe" dxfId="17"/>
      <tableStyleElement type="firstSubtotalColumn" dxfId="16"/>
      <tableStyleElement type="firstSubtotalRow" dxfId="15"/>
      <tableStyleElement type="secondSubtotalRow" dxfId="14"/>
      <tableStyleElement type="pageFieldLabels" dxfId="13"/>
    </tableStyle>
    <tableStyle name="PivotStyleLight4 2" table="0" count="13">
      <tableStyleElement type="wholeTable" dxfId="12"/>
      <tableStyleElement type="headerRow" dxfId="11"/>
      <tableStyleElement type="totalRow" dxfId="10"/>
      <tableStyleElement type="firstRowStripe" dxfId="9"/>
      <tableStyleElement type="firstColumnStripe" dxfId="8"/>
      <tableStyleElement type="secondColumnStripe" dxfId="7"/>
      <tableStyleElement type="firstSubtotalRow" dxfId="6"/>
      <tableStyleElement type="secondSubtotalRow" dxfId="5"/>
      <tableStyleElement type="secondColumnSubheading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E4DDCB"/>
      <rgbColor rgb="001FB714"/>
      <rgbColor rgb="000000D4"/>
      <rgbColor rgb="00DEDD20"/>
      <rgbColor rgb="00009530"/>
      <rgbColor rgb="0000ABEA"/>
      <rgbColor rgb="0004903D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FFF33"/>
      <rgbColor rgb="00999900"/>
      <rgbColor rgb="0076B900"/>
      <rgbColor rgb="0099CCFF"/>
      <rgbColor rgb="00E4DDCB"/>
      <rgbColor rgb="00FF0000"/>
      <rgbColor rgb="00C8DB00"/>
      <rgbColor rgb="003366FF"/>
      <rgbColor rgb="0033CCCC"/>
      <rgbColor rgb="0099CC00"/>
      <rgbColor rgb="00FFFFFF"/>
      <rgbColor rgb="0076B900"/>
      <rgbColor rgb="00959200"/>
      <rgbColor rgb="00666699"/>
      <rgbColor rgb="00969696"/>
      <rgbColor rgb="00003366"/>
      <rgbColor rgb="00339966"/>
      <rgbColor rgb="00003300"/>
      <rgbColor rgb="00333300"/>
      <rgbColor rgb="008C1F18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externalLink" Target="/xl/externalLinks/externalLink1.xml" Id="rId12"/><Relationship Type="http://schemas.openxmlformats.org/officeDocument/2006/relationships/externalLink" Target="/xl/externalLinks/externalLink2.xml" Id="rId13"/><Relationship Type="http://schemas.openxmlformats.org/officeDocument/2006/relationships/externalLink" Target="/xl/externalLinks/externalLink3.xml" Id="rId14"/><Relationship Type="http://schemas.openxmlformats.org/officeDocument/2006/relationships/externalLink" Target="/xl/externalLinks/externalLink4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K:\Consolida&#231;&#227;o\Comum\Informa&#231;&#245;es%20BW\ITR\2012\2T%202012\VRP_MerProd_2T12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\Capacity\MKTMILL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\ALBERTO\MASTER\GEModel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K:\2014\1T14\Release\Layout\Endividamento%20Jun'06%20(2)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PBEXqueriesDefunct"/>
      <sheetName val="SAPBEXfiltersDefunct"/>
      <sheetName val="QRY_MI"/>
      <sheetName val="QRY_ME"/>
      <sheetName val="MI"/>
      <sheetName val="ME"/>
      <sheetName val="BExRepositorySheet"/>
      <sheetName val="Total"/>
    </sheetNames>
    <sheetDataSet>
      <sheetData sheetId="0" refreshError="1"/>
      <sheetData sheetId="1" refreshError="1"/>
      <sheetData sheetId="2">
        <row r="23">
          <cell r="A23" t="str">
            <v>Ano civilTrimestre</v>
          </cell>
        </row>
        <row r="216">
          <cell r="A216" t="str">
            <v>Ano civilTrimestre</v>
          </cell>
          <cell r="B216" t="str">
            <v>20041</v>
          </cell>
          <cell r="C216" t="str">
            <v>20042</v>
          </cell>
          <cell r="D216" t="str">
            <v>20043</v>
          </cell>
          <cell r="E216" t="str">
            <v>20044</v>
          </cell>
          <cell r="F216" t="str">
            <v>2004Resultado</v>
          </cell>
          <cell r="G216" t="str">
            <v>20051</v>
          </cell>
          <cell r="H216" t="str">
            <v>20052</v>
          </cell>
          <cell r="I216" t="str">
            <v>20053</v>
          </cell>
          <cell r="J216" t="str">
            <v>20054</v>
          </cell>
          <cell r="K216" t="str">
            <v>2005Resultado</v>
          </cell>
          <cell r="L216" t="str">
            <v>20061</v>
          </cell>
          <cell r="M216" t="str">
            <v>20062</v>
          </cell>
          <cell r="N216" t="str">
            <v>20063</v>
          </cell>
          <cell r="O216" t="str">
            <v>20064</v>
          </cell>
          <cell r="P216" t="str">
            <v>2006Resultado</v>
          </cell>
          <cell r="Q216" t="str">
            <v>20071</v>
          </cell>
          <cell r="R216" t="str">
            <v>20072</v>
          </cell>
          <cell r="S216" t="str">
            <v>20073</v>
          </cell>
          <cell r="T216" t="str">
            <v>20074</v>
          </cell>
          <cell r="U216" t="str">
            <v>2007Resultado</v>
          </cell>
          <cell r="V216" t="str">
            <v>20081</v>
          </cell>
          <cell r="W216" t="str">
            <v>20082</v>
          </cell>
          <cell r="X216" t="str">
            <v>20083</v>
          </cell>
          <cell r="Y216" t="str">
            <v>20084</v>
          </cell>
          <cell r="Z216" t="str">
            <v>2008Resultado</v>
          </cell>
          <cell r="AA216" t="str">
            <v>20091</v>
          </cell>
          <cell r="AB216" t="str">
            <v>20092</v>
          </cell>
          <cell r="AC216" t="str">
            <v>20093</v>
          </cell>
          <cell r="AD216" t="str">
            <v>20094</v>
          </cell>
          <cell r="AE216" t="str">
            <v>2009Resultado</v>
          </cell>
          <cell r="AF216" t="str">
            <v>20101</v>
          </cell>
          <cell r="AG216" t="str">
            <v>20102</v>
          </cell>
          <cell r="AH216" t="str">
            <v>20103</v>
          </cell>
          <cell r="AI216" t="str">
            <v>20104</v>
          </cell>
          <cell r="AJ216" t="str">
            <v>2010Resultado</v>
          </cell>
          <cell r="AK216" t="str">
            <v>20111</v>
          </cell>
          <cell r="AL216" t="str">
            <v>20112</v>
          </cell>
          <cell r="AM216" t="str">
            <v>20113</v>
          </cell>
          <cell r="AN216" t="str">
            <v>20114</v>
          </cell>
          <cell r="AO216" t="str">
            <v>2011Resultado</v>
          </cell>
          <cell r="AP216" t="str">
            <v>20121</v>
          </cell>
          <cell r="AQ216" t="str">
            <v>20122</v>
          </cell>
          <cell r="AR216" t="str">
            <v>2012Resultado</v>
          </cell>
          <cell r="AS216" t="str">
            <v>Resultado global</v>
          </cell>
          <cell r="AT216" t="str"/>
          <cell r="AU216" t="str"/>
          <cell r="AV216" t="str"/>
          <cell r="AW216" t="str"/>
          <cell r="AX216" t="str"/>
          <cell r="AY216" t="str"/>
          <cell r="AZ216" t="str"/>
          <cell r="BA216" t="str"/>
          <cell r="BB216" t="str"/>
          <cell r="BC216" t="str"/>
          <cell r="BD216" t="str"/>
          <cell r="BE216" t="str"/>
          <cell r="BF216" t="str"/>
          <cell r="BG216" t="str"/>
          <cell r="BH216" t="str"/>
          <cell r="BI216" t="str"/>
          <cell r="BJ216" t="str"/>
          <cell r="BK216" t="str"/>
          <cell r="BL216" t="str"/>
          <cell r="BM216" t="str"/>
          <cell r="BN216" t="str"/>
          <cell r="BO216" t="str"/>
          <cell r="BP216" t="str"/>
          <cell r="BQ216" t="str"/>
          <cell r="BR216" t="str"/>
          <cell r="BS216" t="str"/>
          <cell r="BT216" t="str"/>
          <cell r="BU216" t="str"/>
          <cell r="BV216" t="str"/>
          <cell r="BW216" t="str"/>
          <cell r="BX216" t="str"/>
          <cell r="BY216" t="str"/>
          <cell r="BZ216" t="str"/>
        </row>
      </sheetData>
      <sheetData sheetId="3">
        <row r="23">
          <cell r="A23" t="str">
            <v>Ano civilTrimestre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MPANY by mill"/>
      <sheetName val="COMPANY"/>
      <sheetName val="Table 3 0902"/>
      <sheetName val="CAPACITY ASSUMPTIONS"/>
      <sheetName val="Q PROJECTS"/>
      <sheetName val="By Mill"/>
      <sheetName val="Sheet1"/>
      <sheetName val="SCRIPT CAPM"/>
      <sheetName val="F2 CAP MMP"/>
      <sheetName val="Pyrabelisk numbers"/>
      <sheetName val="Norway"/>
      <sheetName val="DT Table"/>
      <sheetName val="CostSurveyCompanies"/>
      <sheetName val="mirror"/>
      <sheetName val="trans"/>
      <sheetName val="Brazil Mills"/>
      <sheetName val="#REF"/>
      <sheetName val="Capital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4">
          <cell r="C4" t="str">
            <v>CANADA</v>
          </cell>
        </row>
        <row r="586">
          <cell r="C586" t="str">
            <v>Joutseno</v>
          </cell>
        </row>
        <row r="1241">
          <cell r="C1241" t="str">
            <v>Limeira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GEMiner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Tabel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27432" tIns="22860" rIns="27432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noFill/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a:spPr>
      <a:bodyPr vertOverflow="clip" wrap="square" lIns="27432" tIns="22860" rIns="27432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 codeName="Plan1">
    <tabColor rgb="FF00B050"/>
    <outlinePr summaryBelow="1" summaryRight="1"/>
    <pageSetUpPr/>
  </sheetPr>
  <dimension ref="A1:IT67"/>
  <sheetViews>
    <sheetView workbookViewId="0">
      <pane xSplit="1" ySplit="3" topLeftCell="AP4" activePane="bottomRight" state="frozen"/>
      <selection activeCell="R18" sqref="R18"/>
      <selection pane="topRight" activeCell="R18" sqref="R18"/>
      <selection pane="bottomLeft" activeCell="R18" sqref="R18"/>
      <selection pane="bottomRight" activeCell="A51" sqref="A51:XFD51"/>
    </sheetView>
  </sheetViews>
  <sheetFormatPr baseColWidth="8" defaultColWidth="9.140625" defaultRowHeight="12.75"/>
  <cols>
    <col width="52.85546875" bestFit="1" customWidth="1" style="19" min="1" max="1"/>
    <col width="14.140625" bestFit="1" customWidth="1" style="19" min="2" max="4"/>
    <col width="15.42578125" customWidth="1" style="19" min="5" max="12"/>
    <col width="14.85546875" customWidth="1" style="19" min="13" max="13"/>
    <col width="14.140625" customWidth="1" style="19" min="14" max="15"/>
    <col width="15.42578125" customWidth="1" style="19" min="16" max="16"/>
    <col width="9.140625" customWidth="1" style="19" min="17" max="17"/>
    <col width="14.140625" customWidth="1" style="19" min="18" max="18"/>
    <col width="13.140625" customWidth="1" style="19" min="19" max="44"/>
    <col width="13" customWidth="1" style="19" min="45" max="45"/>
    <col width="13.140625" bestFit="1" customWidth="1" style="19" min="46" max="49"/>
    <col width="9.140625" customWidth="1" style="19" min="50" max="16384"/>
  </cols>
  <sheetData>
    <row r="1" ht="13.5" customFormat="1" customHeight="1" s="18" thickBot="1">
      <c r="B1" s="188" t="inlineStr">
        <is>
          <t>BR GAAP</t>
        </is>
      </c>
      <c r="C1" s="218" t="n"/>
      <c r="D1" s="218" t="n"/>
      <c r="E1" s="190" t="inlineStr">
        <is>
          <t>IFRS</t>
        </is>
      </c>
    </row>
    <row r="2" customFormat="1" s="18" thickBot="1">
      <c r="B2" s="43" t="inlineStr">
        <is>
          <t>1T08</t>
        </is>
      </c>
      <c r="C2" s="43" t="inlineStr">
        <is>
          <t>2T08</t>
        </is>
      </c>
      <c r="D2" s="43" t="inlineStr">
        <is>
          <t>3T08</t>
        </is>
      </c>
      <c r="E2" s="43" t="inlineStr">
        <is>
          <t>4T08</t>
        </is>
      </c>
      <c r="F2" s="43" t="inlineStr">
        <is>
          <t>1T09</t>
        </is>
      </c>
      <c r="G2" s="43" t="inlineStr">
        <is>
          <t>2T09</t>
        </is>
      </c>
      <c r="H2" s="43" t="inlineStr">
        <is>
          <t>3T09</t>
        </is>
      </c>
      <c r="I2" s="43" t="inlineStr">
        <is>
          <t>4T09</t>
        </is>
      </c>
      <c r="J2" s="43" t="inlineStr">
        <is>
          <t>1T10</t>
        </is>
      </c>
      <c r="K2" s="43" t="inlineStr">
        <is>
          <t>2T10</t>
        </is>
      </c>
      <c r="L2" s="43" t="inlineStr">
        <is>
          <t>3T10</t>
        </is>
      </c>
      <c r="M2" s="43" t="inlineStr">
        <is>
          <t>4T10</t>
        </is>
      </c>
      <c r="N2" s="43" t="inlineStr">
        <is>
          <t>1T11</t>
        </is>
      </c>
      <c r="O2" s="43" t="inlineStr">
        <is>
          <t>2T11</t>
        </is>
      </c>
      <c r="P2" s="43" t="inlineStr">
        <is>
          <t>3T11</t>
        </is>
      </c>
      <c r="Q2" s="43" t="inlineStr">
        <is>
          <t>9M11</t>
        </is>
      </c>
      <c r="R2" s="43" t="inlineStr">
        <is>
          <t>4T11</t>
        </is>
      </c>
      <c r="S2" s="43" t="inlineStr">
        <is>
          <t>1T12</t>
        </is>
      </c>
      <c r="T2" s="43" t="inlineStr">
        <is>
          <t>2T12</t>
        </is>
      </c>
      <c r="U2" s="43" t="inlineStr">
        <is>
          <t>3T12</t>
        </is>
      </c>
      <c r="V2" s="43" t="inlineStr">
        <is>
          <t>4T12</t>
        </is>
      </c>
      <c r="W2" s="43" t="inlineStr">
        <is>
          <t>1T13</t>
        </is>
      </c>
      <c r="X2" s="43" t="inlineStr">
        <is>
          <t>2T13</t>
        </is>
      </c>
      <c r="Y2" s="43" t="inlineStr">
        <is>
          <t>3T13</t>
        </is>
      </c>
      <c r="Z2" s="43" t="inlineStr">
        <is>
          <t>4T13</t>
        </is>
      </c>
      <c r="AA2" s="43" t="inlineStr">
        <is>
          <t>1T14</t>
        </is>
      </c>
      <c r="AB2" s="43" t="inlineStr">
        <is>
          <t>2T14</t>
        </is>
      </c>
      <c r="AC2" s="43" t="inlineStr">
        <is>
          <t>3T14</t>
        </is>
      </c>
      <c r="AD2" s="43" t="inlineStr">
        <is>
          <t>4T14</t>
        </is>
      </c>
      <c r="AE2" s="43" t="inlineStr">
        <is>
          <t>1T15</t>
        </is>
      </c>
      <c r="AF2" s="43" t="inlineStr">
        <is>
          <t>2T15</t>
        </is>
      </c>
      <c r="AG2" s="43" t="inlineStr">
        <is>
          <t>3T15</t>
        </is>
      </c>
      <c r="AH2" s="43" t="inlineStr">
        <is>
          <t>4T15</t>
        </is>
      </c>
      <c r="AI2" s="43" t="inlineStr">
        <is>
          <t>1T16</t>
        </is>
      </c>
      <c r="AJ2" s="43" t="inlineStr">
        <is>
          <t>2T16</t>
        </is>
      </c>
      <c r="AK2" s="43" t="inlineStr">
        <is>
          <t>3T16</t>
        </is>
      </c>
      <c r="AL2" s="43" t="inlineStr">
        <is>
          <t>4T16</t>
        </is>
      </c>
      <c r="AM2" s="43" t="inlineStr">
        <is>
          <t>1T17</t>
        </is>
      </c>
      <c r="AN2" s="43" t="inlineStr">
        <is>
          <t>2T17</t>
        </is>
      </c>
      <c r="AO2" s="43" t="inlineStr">
        <is>
          <t>3T17</t>
        </is>
      </c>
      <c r="AP2" s="43" t="inlineStr">
        <is>
          <t>4T17</t>
        </is>
      </c>
      <c r="AQ2" s="43" t="inlineStr">
        <is>
          <t>1T18</t>
        </is>
      </c>
      <c r="AR2" s="43" t="inlineStr">
        <is>
          <t>2T18</t>
        </is>
      </c>
      <c r="AS2" s="43" t="inlineStr">
        <is>
          <t>3T18</t>
        </is>
      </c>
      <c r="AT2" s="43" t="inlineStr">
        <is>
          <t>4T18</t>
        </is>
      </c>
      <c r="AU2" s="43" t="inlineStr">
        <is>
          <t>1T19</t>
        </is>
      </c>
      <c r="AV2" s="43" t="inlineStr">
        <is>
          <t>2T19</t>
        </is>
      </c>
      <c r="AW2" s="43" t="inlineStr">
        <is>
          <t>3T19</t>
        </is>
      </c>
    </row>
    <row r="3">
      <c r="A3" s="42" t="n"/>
      <c r="B3" s="44" t="n"/>
      <c r="C3" s="44" t="n"/>
      <c r="D3" s="44" t="n"/>
      <c r="E3" s="44" t="n"/>
      <c r="F3" s="44" t="n"/>
      <c r="G3" s="44" t="n"/>
      <c r="H3" s="44" t="n"/>
      <c r="I3" s="44" t="n"/>
      <c r="J3" s="44" t="n"/>
      <c r="K3" s="44" t="n"/>
      <c r="L3" s="44" t="n"/>
      <c r="M3" s="44" t="n"/>
      <c r="N3" s="44" t="n"/>
      <c r="O3" s="44" t="n"/>
      <c r="P3" s="44" t="n"/>
      <c r="Q3" s="44" t="n"/>
      <c r="R3" s="193" t="n"/>
      <c r="S3" s="195" t="n"/>
      <c r="T3" s="195" t="n"/>
    </row>
    <row r="4">
      <c r="A4" s="10" t="inlineStr">
        <is>
          <t>Ativo Circulante</t>
        </is>
      </c>
      <c r="B4" s="219" t="n">
        <v>3312261</v>
      </c>
      <c r="C4" s="219" t="n">
        <v>3327447</v>
      </c>
      <c r="D4" s="219" t="n">
        <v>3416776</v>
      </c>
      <c r="E4" s="219" t="n">
        <v>3240049</v>
      </c>
      <c r="F4" s="219" t="n">
        <v>3042020</v>
      </c>
      <c r="G4" s="219" t="n">
        <v>2998502</v>
      </c>
      <c r="H4" s="219" t="n">
        <v>3339652</v>
      </c>
      <c r="I4" s="219" t="n">
        <v>3536197</v>
      </c>
      <c r="J4" s="219" t="n">
        <v>3784845</v>
      </c>
      <c r="K4" s="219" t="n">
        <v>3857440</v>
      </c>
      <c r="L4" s="219" t="n">
        <v>4204334</v>
      </c>
      <c r="M4" s="219" t="n">
        <v>4127147</v>
      </c>
      <c r="N4" s="219" t="n">
        <v>4047171</v>
      </c>
      <c r="O4" s="219" t="n">
        <v>4071892</v>
      </c>
      <c r="P4" s="219" t="n">
        <v>4477746</v>
      </c>
      <c r="Q4" s="219" t="n"/>
      <c r="R4" s="219" t="n">
        <v>4083482</v>
      </c>
      <c r="S4" s="219" t="n">
        <v>4407879</v>
      </c>
      <c r="T4" s="219" t="n">
        <v>4912350</v>
      </c>
      <c r="U4" s="219" t="n">
        <v>4811795</v>
      </c>
      <c r="V4" s="219" t="n">
        <v>4432090</v>
      </c>
      <c r="W4" s="219" t="n">
        <v>4465189</v>
      </c>
      <c r="X4" s="219" t="n">
        <v>4298701</v>
      </c>
      <c r="Y4" s="219" t="n">
        <v>4121106</v>
      </c>
      <c r="Z4" s="219" t="n">
        <v>4826148</v>
      </c>
      <c r="AA4" s="219" t="n">
        <v>6873487</v>
      </c>
      <c r="AB4" s="219" t="n">
        <v>7369835</v>
      </c>
      <c r="AC4" s="219" t="n">
        <v>8280187</v>
      </c>
      <c r="AD4" s="219" t="n">
        <v>7899676</v>
      </c>
      <c r="AE4" s="219" t="n">
        <v>7992082</v>
      </c>
      <c r="AF4" s="219" t="n">
        <v>7802555</v>
      </c>
      <c r="AG4" s="219" t="n">
        <v>8733329</v>
      </c>
      <c r="AH4" s="219" t="n">
        <v>8675744</v>
      </c>
      <c r="AI4" s="219" t="n">
        <v>8616633</v>
      </c>
      <c r="AJ4" s="219" t="n">
        <v>8988191</v>
      </c>
      <c r="AK4" s="219" t="n">
        <v>8974515</v>
      </c>
      <c r="AL4" s="219" t="n">
        <v>9960035</v>
      </c>
      <c r="AM4" s="219" t="n">
        <v>10412206</v>
      </c>
      <c r="AN4" s="219" t="n">
        <v>10257144</v>
      </c>
      <c r="AO4" s="219" t="n">
        <v>11277315</v>
      </c>
      <c r="AP4" s="219" t="n">
        <v>11803589</v>
      </c>
      <c r="AQ4" s="219" t="n">
        <v>9983947</v>
      </c>
      <c r="AR4" s="219" t="n">
        <v>10290857</v>
      </c>
      <c r="AS4" s="219" t="n">
        <v>10954647</v>
      </c>
      <c r="AT4" s="219" t="n">
        <v>10861934</v>
      </c>
      <c r="AU4" s="219" t="n">
        <v>11532422</v>
      </c>
      <c r="AV4" s="219" t="n">
        <v>15441340</v>
      </c>
      <c r="AW4" s="219" t="n">
        <v>16685429</v>
      </c>
    </row>
    <row r="5">
      <c r="A5" s="20" t="inlineStr">
        <is>
          <t>Caixa e bancos</t>
        </is>
      </c>
      <c r="B5" s="220" t="n">
        <v>96344</v>
      </c>
      <c r="C5" s="220" t="n">
        <v>64044</v>
      </c>
      <c r="D5" s="220" t="n">
        <v>60630</v>
      </c>
      <c r="E5" s="220" t="n">
        <v>104586</v>
      </c>
      <c r="F5" s="220" t="n">
        <v>21596</v>
      </c>
      <c r="G5" s="220" t="n">
        <v>11935</v>
      </c>
      <c r="H5" s="220" t="n">
        <v>11644</v>
      </c>
      <c r="I5" s="220" t="n">
        <v>12356</v>
      </c>
      <c r="J5" s="220" t="n">
        <v>6330</v>
      </c>
      <c r="K5" s="220" t="n">
        <v>11127</v>
      </c>
      <c r="L5" s="220" t="n">
        <v>9303</v>
      </c>
      <c r="M5" s="220" t="n">
        <v>39880</v>
      </c>
      <c r="N5" s="220" t="n">
        <v>18519</v>
      </c>
      <c r="O5" s="220" t="n">
        <v>56667</v>
      </c>
      <c r="P5" s="220" t="n">
        <v>72284</v>
      </c>
      <c r="Q5" s="220" t="n"/>
      <c r="R5" s="220" t="n">
        <v>87341</v>
      </c>
      <c r="S5" s="220" t="n">
        <v>34146</v>
      </c>
      <c r="T5" s="220" t="n">
        <v>85600</v>
      </c>
      <c r="U5" s="220" t="n">
        <v>64243</v>
      </c>
      <c r="V5" s="220" t="n">
        <v>41939</v>
      </c>
      <c r="W5" s="220" t="n">
        <v>103121</v>
      </c>
      <c r="X5" s="220" t="n">
        <v>115051</v>
      </c>
      <c r="Y5" s="220" t="n">
        <v>85713</v>
      </c>
      <c r="Z5" s="220" t="n">
        <v>130836</v>
      </c>
      <c r="AA5" s="220" t="n">
        <v>162654</v>
      </c>
      <c r="AB5" s="220" t="n">
        <v>378892</v>
      </c>
      <c r="AC5" s="220" t="n">
        <v>298629</v>
      </c>
      <c r="AD5" s="220" t="n">
        <v>400684</v>
      </c>
      <c r="AE5" s="220" t="n">
        <v>41968</v>
      </c>
      <c r="AF5" s="220" t="n">
        <v>39881</v>
      </c>
      <c r="AG5" s="220" t="n">
        <v>41727</v>
      </c>
      <c r="AH5" s="220" t="n">
        <v>56511</v>
      </c>
      <c r="AI5" s="220" t="n">
        <v>22454</v>
      </c>
      <c r="AJ5" s="220" t="n">
        <v>46419</v>
      </c>
      <c r="AK5" s="220" t="n">
        <v>25979</v>
      </c>
      <c r="AL5" s="220" t="n">
        <v>41576</v>
      </c>
      <c r="AM5" s="220" t="n">
        <v>17964</v>
      </c>
      <c r="AN5" s="220" t="n">
        <v>22870</v>
      </c>
      <c r="AO5" s="220" t="n">
        <v>25322</v>
      </c>
      <c r="AP5" s="220" t="n">
        <v>58384</v>
      </c>
      <c r="AQ5" s="220" t="n">
        <v>97876</v>
      </c>
      <c r="AR5" s="220" t="n">
        <v>108501</v>
      </c>
      <c r="AS5" s="220" t="n">
        <v>101305</v>
      </c>
      <c r="AT5" s="220" t="n">
        <v>154256</v>
      </c>
      <c r="AU5" s="220" t="n">
        <v>65596</v>
      </c>
      <c r="AV5" s="220" t="n">
        <v>55725</v>
      </c>
      <c r="AW5" s="220" t="n">
        <v>68941</v>
      </c>
    </row>
    <row r="6">
      <c r="A6" s="20" t="inlineStr">
        <is>
          <t>Aplicações financeiras</t>
        </is>
      </c>
      <c r="B6" s="220" t="n">
        <v>2062613</v>
      </c>
      <c r="C6" s="220" t="n">
        <v>2029185</v>
      </c>
      <c r="D6" s="220" t="n">
        <v>2068922</v>
      </c>
      <c r="E6" s="220" t="n">
        <v>1190591</v>
      </c>
      <c r="F6" s="220" t="n">
        <v>1175912</v>
      </c>
      <c r="G6" s="220" t="n">
        <v>1349279</v>
      </c>
      <c r="H6" s="220" t="n">
        <v>1534078</v>
      </c>
      <c r="I6" s="220" t="n">
        <v>1829296</v>
      </c>
      <c r="J6" s="220" t="n">
        <v>2141160</v>
      </c>
      <c r="K6" s="220" t="n">
        <v>2170672</v>
      </c>
      <c r="L6" s="220" t="n">
        <v>2528732</v>
      </c>
      <c r="M6" s="220" t="n">
        <v>2491225</v>
      </c>
      <c r="N6" s="220" t="n">
        <v>2416354</v>
      </c>
      <c r="O6" s="220" t="n">
        <v>2425383</v>
      </c>
      <c r="P6" s="220" t="n">
        <v>2742413</v>
      </c>
      <c r="Q6" s="220" t="n"/>
      <c r="R6" s="220" t="n">
        <v>2253723</v>
      </c>
      <c r="S6" s="220" t="n">
        <v>2671322</v>
      </c>
      <c r="T6" s="220" t="n">
        <v>2994727</v>
      </c>
      <c r="U6" s="220" t="n">
        <v>2850320</v>
      </c>
      <c r="V6" s="220" t="n">
        <v>2475373</v>
      </c>
      <c r="W6" s="220" t="n">
        <v>2412410</v>
      </c>
      <c r="X6" s="220" t="n">
        <v>2303080</v>
      </c>
      <c r="Y6" s="220" t="n">
        <v>2088463</v>
      </c>
      <c r="Z6" s="220" t="n">
        <v>2599036</v>
      </c>
      <c r="AA6" s="220" t="n">
        <v>4248061</v>
      </c>
      <c r="AB6" s="220" t="n">
        <v>4672149</v>
      </c>
      <c r="AC6" s="220" t="n">
        <v>5512455</v>
      </c>
      <c r="AD6" s="220" t="n">
        <v>4845149</v>
      </c>
      <c r="AE6" s="220" t="n">
        <v>5027182</v>
      </c>
      <c r="AF6" s="220" t="n">
        <v>4678747</v>
      </c>
      <c r="AG6" s="220" t="n">
        <v>5328822</v>
      </c>
      <c r="AH6" s="220" t="n">
        <v>4997212</v>
      </c>
      <c r="AI6" s="220" t="n">
        <v>5282396</v>
      </c>
      <c r="AJ6" s="220" t="n">
        <v>5169755</v>
      </c>
      <c r="AK6" s="220" t="n">
        <v>5291762</v>
      </c>
      <c r="AL6" s="220" t="n">
        <v>5831144</v>
      </c>
      <c r="AM6" s="220" t="n">
        <v>6634545</v>
      </c>
      <c r="AN6" s="220" t="n">
        <v>6316867</v>
      </c>
      <c r="AO6" s="220" t="n">
        <v>7043448</v>
      </c>
      <c r="AP6" s="220" t="n">
        <v>6970038</v>
      </c>
      <c r="AQ6" s="220" t="n">
        <v>5231578</v>
      </c>
      <c r="AR6" s="220" t="n">
        <v>5517185</v>
      </c>
      <c r="AS6" s="220" t="n">
        <v>5942212</v>
      </c>
      <c r="AT6" s="220" t="n">
        <v>5579598</v>
      </c>
      <c r="AU6" s="220" t="n">
        <v>6067920</v>
      </c>
      <c r="AV6" s="220" t="n">
        <v>10046919</v>
      </c>
      <c r="AW6" s="220" t="n">
        <v>10716016</v>
      </c>
    </row>
    <row r="7">
      <c r="A7" s="21" t="inlineStr">
        <is>
          <t>Títulos e valores mobiliários</t>
        </is>
      </c>
      <c r="B7" s="220" t="n">
        <v>0</v>
      </c>
      <c r="C7" s="220" t="n">
        <v>0</v>
      </c>
      <c r="D7" s="220" t="n">
        <v>0</v>
      </c>
      <c r="E7" s="220" t="n">
        <v>407521</v>
      </c>
      <c r="F7" s="220" t="n">
        <v>419402</v>
      </c>
      <c r="G7" s="220" t="n">
        <v>332443</v>
      </c>
      <c r="H7" s="220" t="n">
        <v>339736</v>
      </c>
      <c r="I7" s="220" t="n">
        <v>209874</v>
      </c>
      <c r="J7" s="220" t="n">
        <v>188422</v>
      </c>
      <c r="K7" s="220" t="n">
        <v>188333</v>
      </c>
      <c r="L7" s="220" t="n">
        <v>193262</v>
      </c>
      <c r="M7" s="220" t="n">
        <v>198222</v>
      </c>
      <c r="N7" s="220" t="n">
        <v>203465</v>
      </c>
      <c r="O7" s="220" t="n">
        <v>209180</v>
      </c>
      <c r="P7" s="220" t="n">
        <v>215486</v>
      </c>
      <c r="Q7" s="220" t="n"/>
      <c r="R7" s="220" t="n">
        <v>221260</v>
      </c>
      <c r="S7" s="220" t="n">
        <v>226864</v>
      </c>
      <c r="T7" s="220" t="n">
        <v>231658</v>
      </c>
      <c r="U7" s="220" t="n">
        <v>236025</v>
      </c>
      <c r="V7" s="220" t="n">
        <v>240077</v>
      </c>
      <c r="W7" s="220" t="n">
        <v>234532</v>
      </c>
      <c r="X7" s="220" t="n">
        <v>238766</v>
      </c>
      <c r="Y7" s="220" t="n">
        <v>243870</v>
      </c>
      <c r="Z7" s="220" t="n">
        <v>249511</v>
      </c>
      <c r="AA7" s="220" t="n">
        <v>459759</v>
      </c>
      <c r="AB7" s="220" t="n">
        <v>471337</v>
      </c>
      <c r="AC7" s="220" t="n">
        <v>484218</v>
      </c>
      <c r="AD7" s="220" t="n">
        <v>497604</v>
      </c>
      <c r="AE7" s="220" t="n">
        <v>505934</v>
      </c>
      <c r="AF7" s="220" t="n">
        <v>521209</v>
      </c>
      <c r="AG7" s="220" t="n">
        <v>539065</v>
      </c>
      <c r="AH7" s="220" t="n">
        <v>557143</v>
      </c>
      <c r="AI7" s="220" t="n">
        <v>575070</v>
      </c>
      <c r="AJ7" s="220" t="n">
        <v>594285</v>
      </c>
      <c r="AK7" s="220" t="n">
        <v>576769</v>
      </c>
      <c r="AL7" s="220" t="n">
        <v>591303</v>
      </c>
      <c r="AM7" s="220" t="n">
        <v>606068</v>
      </c>
      <c r="AN7" s="220" t="n">
        <v>614562</v>
      </c>
      <c r="AO7" s="220" t="n">
        <v>632122</v>
      </c>
      <c r="AP7" s="220" t="n">
        <v>1243173</v>
      </c>
      <c r="AQ7" s="220" t="n">
        <v>1260828</v>
      </c>
      <c r="AR7" s="220" t="n">
        <v>1269779</v>
      </c>
      <c r="AS7" s="220" t="n">
        <v>1281198</v>
      </c>
      <c r="AT7" s="220" t="n">
        <v>1313350</v>
      </c>
      <c r="AU7" s="220" t="n">
        <v>1326308</v>
      </c>
      <c r="AV7" s="220" t="n">
        <v>1355631</v>
      </c>
      <c r="AW7" s="220" t="n">
        <v>1368094</v>
      </c>
    </row>
    <row r="8">
      <c r="A8" s="20" t="inlineStr">
        <is>
          <t>Clientes</t>
        </is>
      </c>
      <c r="B8" s="220" t="n">
        <v>465411</v>
      </c>
      <c r="C8" s="220" t="n">
        <v>501920</v>
      </c>
      <c r="D8" s="220" t="n">
        <v>504715</v>
      </c>
      <c r="E8" s="220" t="n">
        <v>650912</v>
      </c>
      <c r="F8" s="220" t="n">
        <v>673176</v>
      </c>
      <c r="G8" s="220" t="n">
        <v>603919</v>
      </c>
      <c r="H8" s="220" t="n">
        <v>602319</v>
      </c>
      <c r="I8" s="220" t="n">
        <v>661128</v>
      </c>
      <c r="J8" s="220" t="n">
        <v>696573</v>
      </c>
      <c r="K8" s="220" t="n">
        <v>742994</v>
      </c>
      <c r="L8" s="220" t="n">
        <v>784806</v>
      </c>
      <c r="M8" s="220" t="n">
        <v>753961</v>
      </c>
      <c r="N8" s="220" t="n">
        <v>770979</v>
      </c>
      <c r="O8" s="220" t="n">
        <v>761492</v>
      </c>
      <c r="P8" s="220" t="n">
        <v>781517</v>
      </c>
      <c r="Q8" s="220" t="n"/>
      <c r="R8" s="220" t="n">
        <v>821148</v>
      </c>
      <c r="S8" s="220" t="n">
        <v>814916</v>
      </c>
      <c r="T8" s="220" t="n">
        <v>851629</v>
      </c>
      <c r="U8" s="220" t="n">
        <v>959152</v>
      </c>
      <c r="V8" s="220" t="n">
        <v>981986</v>
      </c>
      <c r="W8" s="220" t="n">
        <v>1021368</v>
      </c>
      <c r="X8" s="220" t="n">
        <v>1012204</v>
      </c>
      <c r="Y8" s="220" t="n">
        <v>1072009</v>
      </c>
      <c r="Z8" s="220" t="n">
        <v>1145154</v>
      </c>
      <c r="AA8" s="220" t="n">
        <v>1180594</v>
      </c>
      <c r="AB8" s="220" t="n">
        <v>1026780</v>
      </c>
      <c r="AC8" s="220" t="n">
        <v>1130303</v>
      </c>
      <c r="AD8" s="220" t="n">
        <v>1148676</v>
      </c>
      <c r="AE8" s="220" t="n">
        <v>1273769</v>
      </c>
      <c r="AF8" s="220" t="n">
        <v>1240197</v>
      </c>
      <c r="AG8" s="220" t="n">
        <v>1376085</v>
      </c>
      <c r="AH8" s="220" t="n">
        <v>1501099</v>
      </c>
      <c r="AI8" s="220" t="n">
        <v>1318434</v>
      </c>
      <c r="AJ8" s="220" t="n">
        <v>1442887</v>
      </c>
      <c r="AK8" s="220" t="n">
        <v>1354267</v>
      </c>
      <c r="AL8" s="220" t="n">
        <v>1625380</v>
      </c>
      <c r="AM8" s="220" t="n">
        <v>1312855</v>
      </c>
      <c r="AN8" s="220" t="n">
        <v>1400592</v>
      </c>
      <c r="AO8" s="220" t="n">
        <v>1792581</v>
      </c>
      <c r="AP8" s="220" t="n">
        <v>1754063</v>
      </c>
      <c r="AQ8" s="220" t="n">
        <v>1673378</v>
      </c>
      <c r="AR8" s="220" t="n">
        <v>1706115</v>
      </c>
      <c r="AS8" s="220" t="n">
        <v>2009240</v>
      </c>
      <c r="AT8" s="220" t="n">
        <v>2040931</v>
      </c>
      <c r="AU8" s="220" t="n">
        <v>1984699</v>
      </c>
      <c r="AV8" s="220" t="n">
        <v>1935491</v>
      </c>
      <c r="AW8" s="220" t="n">
        <v>2082180</v>
      </c>
    </row>
    <row r="9">
      <c r="A9" s="20" t="inlineStr">
        <is>
          <t>Estoques</t>
        </is>
      </c>
      <c r="B9" s="220" t="n">
        <v>367907</v>
      </c>
      <c r="C9" s="220" t="n">
        <v>369025</v>
      </c>
      <c r="D9" s="220" t="n">
        <v>398429</v>
      </c>
      <c r="E9" s="220" t="n">
        <v>478890</v>
      </c>
      <c r="F9" s="220" t="n">
        <v>447491</v>
      </c>
      <c r="G9" s="220" t="n">
        <v>437256</v>
      </c>
      <c r="H9" s="220" t="n">
        <v>481923</v>
      </c>
      <c r="I9" s="220" t="n">
        <v>470615</v>
      </c>
      <c r="J9" s="220" t="n">
        <v>469846</v>
      </c>
      <c r="K9" s="220" t="n">
        <v>474889</v>
      </c>
      <c r="L9" s="220" t="n">
        <v>455569</v>
      </c>
      <c r="M9" s="220" t="n">
        <v>460128</v>
      </c>
      <c r="N9" s="220" t="n">
        <v>475446</v>
      </c>
      <c r="O9" s="220" t="n">
        <v>462546</v>
      </c>
      <c r="P9" s="220" t="n">
        <v>495520</v>
      </c>
      <c r="Q9" s="220" t="n"/>
      <c r="R9" s="220" t="n">
        <v>506218</v>
      </c>
      <c r="S9" s="220" t="n">
        <v>521218</v>
      </c>
      <c r="T9" s="220" t="n">
        <v>494458</v>
      </c>
      <c r="U9" s="220" t="n">
        <v>481194</v>
      </c>
      <c r="V9" s="220" t="n">
        <v>473658</v>
      </c>
      <c r="W9" s="220" t="n">
        <v>479501</v>
      </c>
      <c r="X9" s="220" t="n">
        <v>490286</v>
      </c>
      <c r="Y9" s="220" t="n">
        <v>489805</v>
      </c>
      <c r="Z9" s="220" t="n">
        <v>495852</v>
      </c>
      <c r="AA9" s="220" t="n">
        <v>507253</v>
      </c>
      <c r="AB9" s="220" t="n">
        <v>530459</v>
      </c>
      <c r="AC9" s="220" t="n">
        <v>532669</v>
      </c>
      <c r="AD9" s="220" t="n">
        <v>563709</v>
      </c>
      <c r="AE9" s="220" t="n">
        <v>599794</v>
      </c>
      <c r="AF9" s="220" t="n">
        <v>607449</v>
      </c>
      <c r="AG9" s="220" t="n">
        <v>663617</v>
      </c>
      <c r="AH9" s="220" t="n">
        <v>701126</v>
      </c>
      <c r="AI9" s="220" t="n">
        <v>834676</v>
      </c>
      <c r="AJ9" s="220" t="n">
        <v>912683</v>
      </c>
      <c r="AK9" s="220" t="n">
        <v>875175</v>
      </c>
      <c r="AL9" s="220" t="n">
        <v>876915</v>
      </c>
      <c r="AM9" s="220" t="n">
        <v>888998</v>
      </c>
      <c r="AN9" s="220" t="n">
        <v>932586</v>
      </c>
      <c r="AO9" s="220" t="n">
        <v>906529</v>
      </c>
      <c r="AP9" s="220" t="n">
        <v>933161</v>
      </c>
      <c r="AQ9" s="220" t="n">
        <v>984105</v>
      </c>
      <c r="AR9" s="220" t="n">
        <v>1041103</v>
      </c>
      <c r="AS9" s="220" t="n">
        <v>1128255</v>
      </c>
      <c r="AT9" s="220" t="n">
        <v>1206353</v>
      </c>
      <c r="AU9" s="220" t="n">
        <v>1352004</v>
      </c>
      <c r="AV9" s="220" t="n">
        <v>1460424</v>
      </c>
      <c r="AW9" s="220" t="n">
        <v>1414545</v>
      </c>
    </row>
    <row r="10">
      <c r="A10" s="21" t="inlineStr">
        <is>
          <t>Impostos e contribuições a recuperar</t>
        </is>
      </c>
      <c r="B10" s="220" t="n">
        <v>244212</v>
      </c>
      <c r="C10" s="220" t="n">
        <v>278571</v>
      </c>
      <c r="D10" s="220" t="n">
        <v>335998</v>
      </c>
      <c r="E10" s="220" t="n">
        <v>326969</v>
      </c>
      <c r="F10" s="220" t="n">
        <v>253424</v>
      </c>
      <c r="G10" s="220" t="n">
        <v>225377</v>
      </c>
      <c r="H10" s="220" t="n">
        <v>326378</v>
      </c>
      <c r="I10" s="220" t="n">
        <v>294268</v>
      </c>
      <c r="J10" s="220" t="n">
        <v>234235</v>
      </c>
      <c r="K10" s="220" t="n">
        <v>218798</v>
      </c>
      <c r="L10" s="220" t="n">
        <v>189376</v>
      </c>
      <c r="M10" s="220" t="n">
        <v>131102</v>
      </c>
      <c r="N10" s="220" t="n">
        <v>118261</v>
      </c>
      <c r="O10" s="220" t="n">
        <v>108068</v>
      </c>
      <c r="P10" s="220" t="n">
        <v>137054</v>
      </c>
      <c r="Q10" s="220" t="n"/>
      <c r="R10" s="220" t="n">
        <v>100619</v>
      </c>
      <c r="S10" s="220" t="n">
        <v>64825</v>
      </c>
      <c r="T10" s="220" t="n">
        <v>174607</v>
      </c>
      <c r="U10" s="220" t="n">
        <v>151566</v>
      </c>
      <c r="V10" s="220" t="n">
        <v>135310</v>
      </c>
      <c r="W10" s="220" t="n">
        <v>132250</v>
      </c>
      <c r="X10" s="220" t="n">
        <v>95414</v>
      </c>
      <c r="Y10" s="220" t="n">
        <v>102116</v>
      </c>
      <c r="Z10" s="220" t="n">
        <v>120050</v>
      </c>
      <c r="AA10" s="220" t="n">
        <v>247003</v>
      </c>
      <c r="AB10" s="220" t="n">
        <v>231564</v>
      </c>
      <c r="AC10" s="220" t="n">
        <v>253947</v>
      </c>
      <c r="AD10" s="220" t="n">
        <v>331968</v>
      </c>
      <c r="AE10" s="220" t="n">
        <v>429433</v>
      </c>
      <c r="AF10" s="220" t="n">
        <v>579025</v>
      </c>
      <c r="AG10" s="220" t="n">
        <v>665645</v>
      </c>
      <c r="AH10" s="220" t="n">
        <v>736501</v>
      </c>
      <c r="AI10" s="220" t="n">
        <v>486419</v>
      </c>
      <c r="AJ10" s="220" t="n">
        <v>697559</v>
      </c>
      <c r="AK10" s="220" t="n">
        <v>674075</v>
      </c>
      <c r="AL10" s="220" t="n">
        <v>803355</v>
      </c>
      <c r="AM10" s="220" t="n">
        <v>720651</v>
      </c>
      <c r="AN10" s="220" t="n">
        <v>738726</v>
      </c>
      <c r="AO10" s="220" t="n">
        <v>600864</v>
      </c>
      <c r="AP10" s="220" t="n">
        <v>567079</v>
      </c>
      <c r="AQ10" s="220" t="n">
        <v>488148</v>
      </c>
      <c r="AR10" s="220" t="n">
        <v>381320</v>
      </c>
      <c r="AS10" s="220" t="n">
        <v>239707</v>
      </c>
      <c r="AT10" s="220" t="n">
        <v>269728</v>
      </c>
      <c r="AU10" s="220" t="n">
        <v>440866</v>
      </c>
      <c r="AV10" s="220" t="n">
        <v>314745</v>
      </c>
      <c r="AW10" s="220" t="n">
        <v>758356</v>
      </c>
    </row>
    <row r="11">
      <c r="A11" s="20" t="inlineStr">
        <is>
          <t>Outros</t>
        </is>
      </c>
      <c r="B11" s="220" t="n">
        <v>75774</v>
      </c>
      <c r="C11" s="220" t="n">
        <v>84702</v>
      </c>
      <c r="D11" s="220" t="n">
        <v>48082</v>
      </c>
      <c r="E11" s="220" t="n">
        <v>80580</v>
      </c>
      <c r="F11" s="220" t="n">
        <v>51019</v>
      </c>
      <c r="G11" s="220" t="n">
        <v>38293</v>
      </c>
      <c r="H11" s="220" t="n">
        <v>43574</v>
      </c>
      <c r="I11" s="220" t="n">
        <v>58660</v>
      </c>
      <c r="J11" s="220" t="n">
        <v>48279</v>
      </c>
      <c r="K11" s="220" t="n">
        <v>50627</v>
      </c>
      <c r="L11" s="220" t="n">
        <v>43286</v>
      </c>
      <c r="M11" s="220" t="n">
        <v>52629</v>
      </c>
      <c r="N11" s="220" t="n">
        <v>44147</v>
      </c>
      <c r="O11" s="220" t="n">
        <v>48556</v>
      </c>
      <c r="P11" s="220" t="n">
        <v>33472</v>
      </c>
      <c r="Q11" s="220" t="n"/>
      <c r="R11" s="220" t="n">
        <v>93173</v>
      </c>
      <c r="S11" s="220" t="n">
        <v>74588</v>
      </c>
      <c r="T11" s="220" t="n">
        <v>79671</v>
      </c>
      <c r="U11" s="220" t="n">
        <v>69295</v>
      </c>
      <c r="V11" s="220" t="n">
        <v>83747</v>
      </c>
      <c r="W11" s="220" t="n">
        <v>82007</v>
      </c>
      <c r="X11" s="220" t="n">
        <v>43900</v>
      </c>
      <c r="Y11" s="220" t="n">
        <v>39130</v>
      </c>
      <c r="Z11" s="220" t="n">
        <v>85709</v>
      </c>
      <c r="AA11" s="220" t="n">
        <v>68163</v>
      </c>
      <c r="AB11" s="220" t="n">
        <v>58654</v>
      </c>
      <c r="AC11" s="220" t="n">
        <v>67966</v>
      </c>
      <c r="AD11" s="220" t="n">
        <v>111886</v>
      </c>
      <c r="AE11" s="220" t="n">
        <v>114002</v>
      </c>
      <c r="AF11" s="220" t="n">
        <v>136047</v>
      </c>
      <c r="AG11" s="220" t="n">
        <v>118368</v>
      </c>
      <c r="AH11" s="220" t="n">
        <v>126152</v>
      </c>
      <c r="AI11" s="220" t="n">
        <v>97184</v>
      </c>
      <c r="AJ11" s="220" t="n">
        <v>124603</v>
      </c>
      <c r="AK11" s="220" t="n">
        <v>176488</v>
      </c>
      <c r="AL11" s="220" t="n">
        <v>190362</v>
      </c>
      <c r="AM11" s="220" t="n">
        <v>231125</v>
      </c>
      <c r="AN11" s="220" t="n">
        <v>230941</v>
      </c>
      <c r="AO11" s="220" t="n">
        <v>276449</v>
      </c>
      <c r="AP11" s="220" t="n">
        <v>277691</v>
      </c>
      <c r="AQ11" s="220" t="n">
        <v>248034</v>
      </c>
      <c r="AR11" s="220" t="n">
        <v>266854</v>
      </c>
      <c r="AS11" s="220" t="n">
        <v>252730</v>
      </c>
      <c r="AT11" s="220" t="n">
        <v>297718</v>
      </c>
      <c r="AU11" s="220" t="n">
        <v>295029</v>
      </c>
      <c r="AV11" s="220" t="n">
        <v>272405</v>
      </c>
      <c r="AW11" s="220" t="n">
        <v>277297</v>
      </c>
    </row>
    <row r="12">
      <c r="A12" s="11" t="n"/>
    </row>
    <row r="13">
      <c r="A13" s="4" t="inlineStr">
        <is>
          <t>Ativo Não Circulante</t>
        </is>
      </c>
      <c r="B13" s="219" t="n">
        <v>4769812</v>
      </c>
      <c r="C13" s="219" t="n">
        <v>4796457</v>
      </c>
      <c r="D13" s="219" t="n">
        <v>4884836</v>
      </c>
      <c r="E13" s="219" t="n">
        <v>8402317</v>
      </c>
      <c r="F13" s="219" t="n">
        <v>8315131</v>
      </c>
      <c r="G13" s="219" t="n">
        <v>8301798</v>
      </c>
      <c r="H13" s="219" t="n">
        <v>8022031</v>
      </c>
      <c r="I13" s="219" t="n">
        <v>7865703</v>
      </c>
      <c r="J13" s="219" t="n">
        <v>7807324</v>
      </c>
      <c r="K13" s="219" t="n">
        <v>7811025</v>
      </c>
      <c r="L13" s="219" t="n">
        <v>7874599</v>
      </c>
      <c r="M13" s="219" t="n">
        <v>8134096</v>
      </c>
      <c r="N13" s="219" t="n">
        <v>8168694</v>
      </c>
      <c r="O13" s="219" t="n">
        <v>8311865</v>
      </c>
      <c r="P13" s="219" t="n">
        <v>8205595</v>
      </c>
      <c r="Q13" s="219" t="n"/>
      <c r="R13" s="219" t="n">
        <v>8658113</v>
      </c>
      <c r="S13" s="219" t="n">
        <v>9087319</v>
      </c>
      <c r="T13" s="219" t="n">
        <v>9150717</v>
      </c>
      <c r="U13" s="219" t="n">
        <v>9585352</v>
      </c>
      <c r="V13" s="219" t="n">
        <v>9665813</v>
      </c>
      <c r="W13" s="219" t="n">
        <v>9637813</v>
      </c>
      <c r="X13" s="219" t="n">
        <v>10024327</v>
      </c>
      <c r="Y13" s="219" t="n">
        <v>10035357</v>
      </c>
      <c r="Z13" s="219" t="n">
        <v>10093348</v>
      </c>
      <c r="AA13" s="219" t="n">
        <v>10935381</v>
      </c>
      <c r="AB13" s="219" t="n">
        <v>11471205</v>
      </c>
      <c r="AC13" s="219" t="n">
        <v>12433723</v>
      </c>
      <c r="AD13" s="219" t="n">
        <v>13274179</v>
      </c>
      <c r="AE13" s="219" t="n">
        <v>14282475</v>
      </c>
      <c r="AF13" s="219" t="n">
        <v>15342872</v>
      </c>
      <c r="AG13" s="219" t="n">
        <v>16443532</v>
      </c>
      <c r="AH13" s="219" t="n">
        <v>17592436</v>
      </c>
      <c r="AI13" s="219" t="n">
        <v>18317442</v>
      </c>
      <c r="AJ13" s="219" t="n">
        <v>19122827</v>
      </c>
      <c r="AK13" s="219" t="n">
        <v>19249482</v>
      </c>
      <c r="AL13" s="219" t="n">
        <v>19353694</v>
      </c>
      <c r="AM13" s="219" t="n">
        <v>19605362</v>
      </c>
      <c r="AN13" s="219" t="n">
        <v>19121331</v>
      </c>
      <c r="AO13" s="219" t="n">
        <v>18884512</v>
      </c>
      <c r="AP13" s="219" t="n">
        <v>18745952</v>
      </c>
      <c r="AQ13" s="219" t="n">
        <v>18530048</v>
      </c>
      <c r="AR13" s="219" t="n">
        <v>18545988</v>
      </c>
      <c r="AS13" s="219" t="n">
        <v>18408320</v>
      </c>
      <c r="AT13" s="219" t="n">
        <v>18771809</v>
      </c>
      <c r="AU13" s="219" t="n">
        <v>18722447</v>
      </c>
      <c r="AV13" s="219" t="n">
        <v>18856864</v>
      </c>
      <c r="AW13" s="219" t="n">
        <v>20589938</v>
      </c>
    </row>
    <row r="14">
      <c r="A14" s="22" t="n"/>
    </row>
    <row r="15">
      <c r="A15" s="12" t="inlineStr">
        <is>
          <t xml:space="preserve">  Realizável a Longo Prazo</t>
        </is>
      </c>
      <c r="B15" s="220" t="n"/>
      <c r="D15" s="220" t="n"/>
      <c r="P15" s="220" t="n"/>
      <c r="Q15" s="220" t="n"/>
      <c r="R15" s="220" t="n"/>
      <c r="S15" s="220" t="n"/>
      <c r="T15" s="220" t="n"/>
      <c r="U15" s="220" t="n"/>
      <c r="V15" s="220" t="n"/>
      <c r="W15" s="220" t="n"/>
      <c r="X15" s="220" t="n"/>
      <c r="Y15" s="220" t="n"/>
      <c r="Z15" s="220" t="n"/>
      <c r="AA15" s="220" t="n"/>
      <c r="AB15" s="220" t="n"/>
      <c r="AC15" s="220" t="n"/>
      <c r="AD15" s="220" t="n"/>
      <c r="AE15" s="220" t="n"/>
      <c r="AF15" s="220" t="n"/>
      <c r="AG15" s="220" t="n"/>
      <c r="AH15" s="220" t="n"/>
      <c r="AI15" s="220" t="n"/>
      <c r="AJ15" s="220" t="n"/>
      <c r="AK15" s="220" t="n"/>
      <c r="AL15" s="220" t="n"/>
      <c r="AM15" s="220" t="n"/>
      <c r="AN15" s="220" t="n"/>
      <c r="AO15" s="220" t="n"/>
      <c r="AP15" s="220" t="n"/>
      <c r="AQ15" s="220" t="n"/>
    </row>
    <row r="16" hidden="1" s="192">
      <c r="A16" s="23" t="inlineStr">
        <is>
          <t xml:space="preserve">   Imp. renda e contrib. social diferidos</t>
        </is>
      </c>
      <c r="B16" s="220" t="n">
        <v>51995</v>
      </c>
      <c r="C16" s="220" t="n">
        <v>53969</v>
      </c>
      <c r="D16" s="220" t="n">
        <v>111830</v>
      </c>
      <c r="E16" s="220" t="n">
        <v>0</v>
      </c>
      <c r="F16" s="220" t="n">
        <v>0</v>
      </c>
      <c r="G16" s="220" t="n">
        <v>0</v>
      </c>
      <c r="H16" s="220" t="n">
        <v>0</v>
      </c>
      <c r="I16" s="220" t="n">
        <v>0</v>
      </c>
      <c r="J16" s="220" t="n">
        <v>0</v>
      </c>
      <c r="K16" s="220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1" t="n"/>
      <c r="R16" s="27" t="n">
        <v>0</v>
      </c>
      <c r="S16" s="27" t="n">
        <v>0</v>
      </c>
      <c r="T16" s="27" t="n">
        <v>0</v>
      </c>
      <c r="U16" s="27" t="n"/>
      <c r="V16" s="27" t="n"/>
      <c r="W16" s="27" t="n"/>
      <c r="X16" s="27" t="n"/>
      <c r="Y16" s="27" t="n"/>
      <c r="Z16" s="27" t="n"/>
      <c r="AA16" s="27" t="n"/>
      <c r="AB16" s="27" t="n"/>
      <c r="AC16" s="27" t="n"/>
      <c r="AD16" s="27" t="n"/>
      <c r="AE16" s="27" t="n"/>
      <c r="AF16" s="27" t="n"/>
      <c r="AG16" s="27" t="n"/>
      <c r="AH16" s="27" t="n"/>
      <c r="AI16" s="27" t="n"/>
      <c r="AJ16" s="27" t="n"/>
      <c r="AK16" s="27" t="n"/>
      <c r="AL16" s="27" t="n"/>
      <c r="AM16" s="27" t="n"/>
      <c r="AN16" s="27" t="n"/>
      <c r="AO16" s="27" t="n"/>
      <c r="AP16" s="27" t="n"/>
      <c r="AQ16" s="27" t="n"/>
      <c r="AR16" s="21" t="n"/>
      <c r="AS16" s="21" t="n"/>
      <c r="AT16" s="21" t="n">
        <v>86658</v>
      </c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1" t="n"/>
      <c r="CU16" s="21" t="n"/>
      <c r="CV16" s="21" t="n"/>
      <c r="CW16" s="21" t="n"/>
      <c r="CX16" s="21" t="n"/>
      <c r="CY16" s="21" t="n"/>
      <c r="CZ16" s="21" t="n"/>
      <c r="DA16" s="21" t="n"/>
      <c r="DB16" s="21" t="n"/>
      <c r="DC16" s="21" t="n"/>
      <c r="DD16" s="21" t="n"/>
      <c r="DE16" s="21" t="n"/>
      <c r="DF16" s="21" t="n"/>
      <c r="DG16" s="21" t="n"/>
      <c r="DH16" s="21" t="n"/>
      <c r="DI16" s="21" t="n"/>
      <c r="DJ16" s="21" t="n"/>
      <c r="DK16" s="21" t="n"/>
      <c r="DL16" s="21" t="n"/>
      <c r="DM16" s="21" t="n"/>
      <c r="DN16" s="21" t="n"/>
      <c r="DO16" s="21" t="n"/>
      <c r="DP16" s="21" t="n"/>
      <c r="DQ16" s="21" t="n"/>
      <c r="DR16" s="21" t="n"/>
      <c r="DS16" s="21" t="n"/>
      <c r="DT16" s="21" t="n"/>
      <c r="DU16" s="21" t="n"/>
      <c r="DV16" s="21" t="n"/>
      <c r="DW16" s="21" t="n"/>
      <c r="DX16" s="21" t="n"/>
      <c r="DY16" s="21" t="n"/>
      <c r="DZ16" s="21" t="n"/>
      <c r="EA16" s="21" t="n"/>
      <c r="EB16" s="21" t="n"/>
      <c r="EC16" s="21" t="n"/>
      <c r="ED16" s="21" t="n"/>
      <c r="EE16" s="21" t="n"/>
      <c r="EF16" s="21" t="n"/>
      <c r="EG16" s="21" t="n"/>
      <c r="EH16" s="21" t="n"/>
      <c r="EI16" s="21" t="n"/>
      <c r="EJ16" s="21" t="n"/>
      <c r="EK16" s="21" t="n"/>
      <c r="EL16" s="21" t="n"/>
      <c r="EM16" s="21" t="n"/>
      <c r="EN16" s="21" t="n"/>
      <c r="EO16" s="21" t="n"/>
      <c r="EP16" s="21" t="n"/>
      <c r="EQ16" s="21" t="n"/>
      <c r="ER16" s="21" t="n"/>
      <c r="ES16" s="21" t="n"/>
      <c r="ET16" s="21" t="n"/>
      <c r="EU16" s="21" t="n"/>
      <c r="EV16" s="21" t="n"/>
      <c r="EW16" s="21" t="n"/>
      <c r="EX16" s="21" t="n"/>
      <c r="EY16" s="21" t="n"/>
      <c r="EZ16" s="21" t="n"/>
      <c r="FA16" s="21" t="n"/>
      <c r="FB16" s="21" t="n"/>
      <c r="FC16" s="21" t="n"/>
      <c r="FD16" s="21" t="n"/>
      <c r="FE16" s="21" t="n"/>
      <c r="FF16" s="21" t="n"/>
      <c r="FG16" s="21" t="n"/>
      <c r="FH16" s="21" t="n"/>
      <c r="FI16" s="21" t="n"/>
      <c r="FJ16" s="21" t="n"/>
      <c r="FK16" s="21" t="n"/>
      <c r="FL16" s="21" t="n"/>
      <c r="FM16" s="21" t="n"/>
      <c r="FN16" s="21" t="n"/>
      <c r="FO16" s="21" t="n"/>
      <c r="FP16" s="21" t="n"/>
      <c r="FQ16" s="21" t="n"/>
      <c r="FR16" s="21" t="n"/>
      <c r="FS16" s="21" t="n"/>
      <c r="FT16" s="21" t="n"/>
      <c r="FU16" s="21" t="n"/>
      <c r="FV16" s="21" t="n"/>
      <c r="FW16" s="21" t="n"/>
      <c r="FX16" s="21" t="n"/>
      <c r="FY16" s="21" t="n"/>
      <c r="FZ16" s="21" t="n"/>
      <c r="GA16" s="21" t="n"/>
      <c r="GB16" s="21" t="n"/>
      <c r="GC16" s="21" t="n"/>
      <c r="GD16" s="21" t="n"/>
      <c r="GE16" s="21" t="n"/>
      <c r="GF16" s="21" t="n"/>
      <c r="GG16" s="21" t="n"/>
      <c r="GH16" s="21" t="n"/>
      <c r="GI16" s="21" t="n"/>
      <c r="GJ16" s="21" t="n"/>
      <c r="GK16" s="21" t="n"/>
      <c r="GL16" s="21" t="n"/>
      <c r="GM16" s="21" t="n"/>
      <c r="GN16" s="21" t="n"/>
      <c r="GO16" s="21" t="n"/>
      <c r="GP16" s="21" t="n"/>
      <c r="GQ16" s="21" t="n"/>
      <c r="GR16" s="21" t="n"/>
      <c r="GS16" s="21" t="n"/>
      <c r="GT16" s="21" t="n"/>
      <c r="GU16" s="21" t="n"/>
      <c r="GV16" s="21" t="n"/>
      <c r="GW16" s="21" t="n"/>
      <c r="GX16" s="21" t="n"/>
      <c r="GY16" s="21" t="n"/>
      <c r="GZ16" s="21" t="n"/>
      <c r="HA16" s="21" t="n"/>
      <c r="HB16" s="21" t="n"/>
      <c r="HC16" s="21" t="n"/>
      <c r="HD16" s="21" t="n"/>
      <c r="HE16" s="21" t="n"/>
      <c r="HF16" s="21" t="n"/>
      <c r="HG16" s="21" t="n"/>
      <c r="HH16" s="21" t="n"/>
      <c r="HI16" s="21" t="n"/>
      <c r="HJ16" s="21" t="n"/>
      <c r="HK16" s="21" t="n"/>
      <c r="HL16" s="21" t="n"/>
      <c r="HM16" s="21" t="n"/>
      <c r="HN16" s="21" t="n"/>
      <c r="HO16" s="21" t="n"/>
      <c r="HP16" s="21" t="n"/>
      <c r="HQ16" s="21" t="n"/>
      <c r="HR16" s="21" t="n"/>
      <c r="HS16" s="21" t="n"/>
      <c r="HT16" s="21" t="n"/>
      <c r="HU16" s="21" t="n"/>
      <c r="HV16" s="21" t="n"/>
      <c r="HW16" s="21" t="n"/>
      <c r="HX16" s="21" t="n"/>
      <c r="HY16" s="21" t="n"/>
      <c r="HZ16" s="21" t="n"/>
      <c r="IA16" s="21" t="n"/>
      <c r="IB16" s="21" t="n"/>
      <c r="IC16" s="21" t="n"/>
      <c r="ID16" s="21" t="n"/>
      <c r="IE16" s="21" t="n"/>
      <c r="IF16" s="21" t="n"/>
      <c r="IG16" s="21" t="n"/>
      <c r="IH16" s="21" t="n"/>
      <c r="II16" s="21" t="n"/>
      <c r="IJ16" s="21" t="n"/>
      <c r="IK16" s="21" t="n"/>
      <c r="IL16" s="21" t="n"/>
      <c r="IM16" s="21" t="n"/>
      <c r="IN16" s="21" t="n"/>
      <c r="IO16" s="21" t="n"/>
      <c r="IP16" s="21" t="n"/>
      <c r="IQ16" s="21" t="n"/>
      <c r="IR16" s="21" t="n"/>
      <c r="IS16" s="21" t="n"/>
      <c r="IT16" s="21" t="n"/>
    </row>
    <row r="17">
      <c r="A17" s="21" t="inlineStr">
        <is>
          <t xml:space="preserve">   Impostos a compensar</t>
        </is>
      </c>
      <c r="B17" s="220" t="n">
        <v>232722</v>
      </c>
      <c r="C17" s="220" t="n">
        <v>214887</v>
      </c>
      <c r="D17" s="220" t="n">
        <v>187164</v>
      </c>
      <c r="E17" s="220" t="n">
        <v>206514</v>
      </c>
      <c r="F17" s="220" t="n">
        <v>184610</v>
      </c>
      <c r="G17" s="220" t="n">
        <v>278272</v>
      </c>
      <c r="H17" s="220" t="n">
        <v>185232</v>
      </c>
      <c r="I17" s="220" t="n">
        <v>164673</v>
      </c>
      <c r="J17" s="220" t="n">
        <v>148331</v>
      </c>
      <c r="K17" s="220" t="n">
        <v>139268</v>
      </c>
      <c r="L17" s="220" t="n">
        <v>128334</v>
      </c>
      <c r="M17" s="220" t="n">
        <v>131621</v>
      </c>
      <c r="N17" s="220" t="n">
        <v>96484</v>
      </c>
      <c r="O17" s="220" t="n">
        <v>147481</v>
      </c>
      <c r="P17" s="220" t="n">
        <v>134772</v>
      </c>
      <c r="Q17" s="220" t="n"/>
      <c r="R17" s="220" t="n">
        <v>136752</v>
      </c>
      <c r="S17" s="220" t="n">
        <v>134398</v>
      </c>
      <c r="T17" s="220" t="n">
        <v>141645</v>
      </c>
      <c r="U17" s="220" t="n">
        <v>121925</v>
      </c>
      <c r="V17" s="220" t="n">
        <v>128402</v>
      </c>
      <c r="W17" s="220" t="n">
        <v>108085</v>
      </c>
      <c r="X17" s="220" t="n">
        <v>114300</v>
      </c>
      <c r="Y17" s="220" t="n">
        <v>116412</v>
      </c>
      <c r="Z17" s="220" t="n">
        <v>123684</v>
      </c>
      <c r="AA17" s="220" t="n">
        <v>124218</v>
      </c>
      <c r="AB17" s="220" t="n">
        <v>132678</v>
      </c>
      <c r="AC17" s="220" t="n">
        <v>354036</v>
      </c>
      <c r="AD17" s="220" t="n">
        <v>428884</v>
      </c>
      <c r="AE17" s="220" t="n">
        <v>678504</v>
      </c>
      <c r="AF17" s="220" t="n">
        <v>913338</v>
      </c>
      <c r="AG17" s="220" t="n">
        <v>1048708</v>
      </c>
      <c r="AH17" s="220" t="n">
        <v>1159638</v>
      </c>
      <c r="AI17" s="220" t="n">
        <v>1297729</v>
      </c>
      <c r="AJ17" s="220" t="n">
        <v>1576416</v>
      </c>
      <c r="AK17" s="220" t="n">
        <v>1646378</v>
      </c>
      <c r="AL17" s="220" t="n">
        <v>1554672</v>
      </c>
      <c r="AM17" s="220" t="n">
        <v>1702029</v>
      </c>
      <c r="AN17" s="220" t="n">
        <v>1493877</v>
      </c>
      <c r="AO17" s="220" t="n">
        <v>1438126</v>
      </c>
      <c r="AP17" s="220" t="n">
        <v>1287669</v>
      </c>
      <c r="AQ17" s="220" t="n">
        <v>1253563</v>
      </c>
      <c r="AR17" s="220" t="n">
        <v>1419231</v>
      </c>
      <c r="AS17" s="220" t="n">
        <v>1354596</v>
      </c>
      <c r="AT17" s="220" t="n">
        <v>1280811</v>
      </c>
      <c r="AU17" s="220" t="n">
        <v>1169330</v>
      </c>
      <c r="AV17" s="220" t="n">
        <v>1148643</v>
      </c>
      <c r="AW17" s="220" t="n">
        <v>1966942</v>
      </c>
    </row>
    <row r="18">
      <c r="A18" s="21" t="inlineStr">
        <is>
          <t xml:space="preserve">   Depósitos judiciais</t>
        </is>
      </c>
      <c r="B18" s="220" t="n">
        <v>84588</v>
      </c>
      <c r="C18" s="220" t="n">
        <v>83466</v>
      </c>
      <c r="D18" s="220" t="n">
        <v>92058</v>
      </c>
      <c r="E18" s="220" t="n">
        <v>126029</v>
      </c>
      <c r="F18" s="220" t="n">
        <v>125630</v>
      </c>
      <c r="G18" s="220" t="n">
        <v>126468</v>
      </c>
      <c r="H18" s="220" t="n">
        <v>81222</v>
      </c>
      <c r="I18" s="220" t="n">
        <v>81932</v>
      </c>
      <c r="J18" s="220" t="n">
        <v>85293</v>
      </c>
      <c r="K18" s="220" t="n">
        <v>87868</v>
      </c>
      <c r="L18" s="220" t="n">
        <v>90192</v>
      </c>
      <c r="M18" s="220" t="n">
        <v>90698</v>
      </c>
      <c r="N18" s="220" t="n">
        <v>91989</v>
      </c>
      <c r="O18" s="220" t="n">
        <v>97279</v>
      </c>
      <c r="P18" s="220" t="n">
        <v>102330</v>
      </c>
      <c r="Q18" s="220" t="n"/>
      <c r="R18" s="220" t="n">
        <v>102457</v>
      </c>
      <c r="S18" s="220" t="n">
        <v>108651</v>
      </c>
      <c r="T18" s="220" t="n">
        <v>105899</v>
      </c>
      <c r="U18" s="220" t="n">
        <v>98868</v>
      </c>
      <c r="V18" s="220" t="n">
        <v>87123</v>
      </c>
      <c r="W18" s="220" t="n">
        <v>87789</v>
      </c>
      <c r="X18" s="220" t="n">
        <v>88514</v>
      </c>
      <c r="Y18" s="220" t="n">
        <v>91354</v>
      </c>
      <c r="Z18" s="220" t="n">
        <v>90969</v>
      </c>
      <c r="AA18" s="220" t="n">
        <v>92419</v>
      </c>
      <c r="AB18" s="220" t="n">
        <v>85545</v>
      </c>
      <c r="AC18" s="220" t="n">
        <v>88032</v>
      </c>
      <c r="AD18" s="220" t="n">
        <v>84689</v>
      </c>
      <c r="AE18" s="220" t="n">
        <v>84879</v>
      </c>
      <c r="AF18" s="220" t="n">
        <v>84426</v>
      </c>
      <c r="AG18" s="220" t="n">
        <v>81564</v>
      </c>
      <c r="AH18" s="220" t="n">
        <v>77391</v>
      </c>
      <c r="AI18" s="220" t="n">
        <v>79411</v>
      </c>
      <c r="AJ18" s="220" t="n">
        <v>83453</v>
      </c>
      <c r="AK18" s="220" t="n">
        <v>85312</v>
      </c>
      <c r="AL18" s="220" t="n">
        <v>85704</v>
      </c>
      <c r="AM18" s="220" t="n">
        <v>89704</v>
      </c>
      <c r="AN18" s="220" t="n">
        <v>87167</v>
      </c>
      <c r="AO18" s="220" t="n">
        <v>88218</v>
      </c>
      <c r="AP18" s="220" t="n">
        <v>83381</v>
      </c>
      <c r="AQ18" s="220" t="n">
        <v>83759</v>
      </c>
      <c r="AR18" s="220" t="n">
        <v>86363</v>
      </c>
      <c r="AS18" s="220" t="n">
        <v>87717</v>
      </c>
      <c r="AT18" s="220" t="n">
        <v>86658</v>
      </c>
      <c r="AU18" s="220" t="n">
        <v>86315</v>
      </c>
      <c r="AV18" s="220" t="n">
        <v>101397</v>
      </c>
      <c r="AW18" s="220" t="n">
        <v>112741</v>
      </c>
    </row>
    <row r="19">
      <c r="A19" s="21" t="inlineStr">
        <is>
          <t xml:space="preserve">   Outros</t>
        </is>
      </c>
      <c r="B19" s="220" t="n">
        <v>63246</v>
      </c>
      <c r="C19" s="220" t="n">
        <v>68510</v>
      </c>
      <c r="D19" s="220" t="n">
        <v>99799</v>
      </c>
      <c r="E19" s="220" t="n">
        <v>106028</v>
      </c>
      <c r="F19" s="220" t="n">
        <v>109588</v>
      </c>
      <c r="G19" s="220" t="n">
        <v>100645</v>
      </c>
      <c r="H19" s="220" t="n">
        <v>109375</v>
      </c>
      <c r="I19" s="220" t="n">
        <v>113120</v>
      </c>
      <c r="J19" s="220" t="n">
        <v>120695</v>
      </c>
      <c r="K19" s="220" t="n">
        <v>120210</v>
      </c>
      <c r="L19" s="220" t="n">
        <v>123938</v>
      </c>
      <c r="M19" s="220" t="n">
        <v>125678</v>
      </c>
      <c r="N19" s="220" t="n">
        <v>127431</v>
      </c>
      <c r="O19" s="220" t="n">
        <v>150059</v>
      </c>
      <c r="P19" s="220" t="n">
        <v>155034</v>
      </c>
      <c r="Q19" s="220" t="n"/>
      <c r="R19" s="220" t="n">
        <v>160923</v>
      </c>
      <c r="S19" s="220" t="n">
        <v>164521</v>
      </c>
      <c r="T19" s="220" t="n">
        <v>170605</v>
      </c>
      <c r="U19" s="220" t="n">
        <v>195780</v>
      </c>
      <c r="V19" s="220" t="n">
        <v>158520</v>
      </c>
      <c r="W19" s="220" t="n">
        <v>149077</v>
      </c>
      <c r="X19" s="220" t="n">
        <v>163257</v>
      </c>
      <c r="Y19" s="220" t="n">
        <v>163356</v>
      </c>
      <c r="Z19" s="220" t="n">
        <v>171322</v>
      </c>
      <c r="AA19" s="220" t="n">
        <v>163892</v>
      </c>
      <c r="AB19" s="220" t="n">
        <v>200790</v>
      </c>
      <c r="AC19" s="220" t="n">
        <v>207798</v>
      </c>
      <c r="AD19" s="220" t="n">
        <v>236050</v>
      </c>
      <c r="AE19" s="220" t="n">
        <v>241304</v>
      </c>
      <c r="AF19" s="220" t="n">
        <v>201959</v>
      </c>
      <c r="AG19" s="220" t="n">
        <v>209963</v>
      </c>
      <c r="AH19" s="220" t="n">
        <v>219820</v>
      </c>
      <c r="AI19" s="220" t="n">
        <v>227427</v>
      </c>
      <c r="AJ19" s="220" t="n">
        <v>278032</v>
      </c>
      <c r="AK19" s="220" t="n">
        <v>306344</v>
      </c>
      <c r="AL19" s="220" t="n">
        <v>385706</v>
      </c>
      <c r="AM19" s="220" t="n">
        <v>405343</v>
      </c>
      <c r="AN19" s="220" t="n">
        <v>349979</v>
      </c>
      <c r="AO19" s="220" t="n">
        <v>339745</v>
      </c>
      <c r="AP19" s="220" t="n">
        <v>344233</v>
      </c>
      <c r="AQ19" s="220" t="n">
        <v>360134</v>
      </c>
      <c r="AR19" s="220" t="n">
        <v>334653</v>
      </c>
      <c r="AS19" s="220" t="n">
        <v>328716</v>
      </c>
      <c r="AT19" s="220" t="n">
        <v>300757</v>
      </c>
      <c r="AU19" s="220" t="n">
        <v>305413</v>
      </c>
      <c r="AV19" s="220" t="n">
        <v>276975</v>
      </c>
      <c r="AW19" s="220" t="n">
        <v>249139</v>
      </c>
    </row>
    <row r="20">
      <c r="A20" s="20" t="inlineStr">
        <is>
          <t>Investimentos</t>
        </is>
      </c>
      <c r="B20" s="220" t="n">
        <v>66877</v>
      </c>
      <c r="C20" s="220" t="n">
        <v>67110</v>
      </c>
      <c r="D20" s="220" t="n">
        <v>48547</v>
      </c>
      <c r="E20" s="220" t="n">
        <v>8700</v>
      </c>
      <c r="F20" s="220" t="n">
        <v>8700</v>
      </c>
      <c r="G20" s="220" t="n">
        <v>10264</v>
      </c>
      <c r="H20" s="220" t="n">
        <v>11552</v>
      </c>
      <c r="I20" s="220" t="n">
        <v>11552</v>
      </c>
      <c r="J20" s="220" t="n">
        <v>11552</v>
      </c>
      <c r="K20" s="220" t="n">
        <v>11552</v>
      </c>
      <c r="L20" s="220" t="n">
        <v>11552</v>
      </c>
      <c r="M20" s="220" t="n">
        <v>11542</v>
      </c>
      <c r="N20" s="220" t="n">
        <v>11542</v>
      </c>
      <c r="O20" s="220" t="n">
        <v>11542</v>
      </c>
      <c r="P20" s="220" t="n">
        <v>11542</v>
      </c>
      <c r="Q20" s="220" t="n"/>
      <c r="R20" s="220" t="n">
        <v>618029</v>
      </c>
      <c r="S20" s="220" t="n">
        <v>622113</v>
      </c>
      <c r="T20" s="220" t="n">
        <v>459941</v>
      </c>
      <c r="U20" s="220" t="n">
        <v>461696</v>
      </c>
      <c r="V20" s="220" t="n">
        <v>462193</v>
      </c>
      <c r="W20" s="220" t="n">
        <v>457916</v>
      </c>
      <c r="X20" s="220" t="n">
        <v>454181</v>
      </c>
      <c r="Y20" s="220" t="n">
        <v>464268</v>
      </c>
      <c r="Z20" s="220" t="n">
        <v>466581</v>
      </c>
      <c r="AA20" s="220" t="n">
        <v>472123</v>
      </c>
      <c r="AB20" s="220" t="n">
        <v>472830</v>
      </c>
      <c r="AC20" s="220" t="n">
        <v>485662</v>
      </c>
      <c r="AD20" s="220" t="n">
        <v>494747</v>
      </c>
      <c r="AE20" s="220" t="n">
        <v>502283</v>
      </c>
      <c r="AF20" s="220" t="n">
        <v>504635</v>
      </c>
      <c r="AG20" s="220" t="n">
        <v>510136</v>
      </c>
      <c r="AH20" s="220" t="n">
        <v>507275</v>
      </c>
      <c r="AI20" s="220" t="n">
        <v>518710</v>
      </c>
      <c r="AJ20" s="220" t="n">
        <v>530295</v>
      </c>
      <c r="AK20" s="220" t="n">
        <v>539647</v>
      </c>
      <c r="AL20" s="220" t="n">
        <v>555345</v>
      </c>
      <c r="AM20" s="220" t="n">
        <v>552763</v>
      </c>
      <c r="AN20" s="220" t="n">
        <v>170995</v>
      </c>
      <c r="AO20" s="220" t="n">
        <v>176289</v>
      </c>
      <c r="AP20" s="220" t="n">
        <v>173446</v>
      </c>
      <c r="AQ20" s="220" t="n">
        <v>170505</v>
      </c>
      <c r="AR20" s="220" t="n">
        <v>169898</v>
      </c>
      <c r="AS20" s="220" t="n">
        <v>170381</v>
      </c>
      <c r="AT20" s="220" t="n">
        <v>173259</v>
      </c>
      <c r="AU20" s="220" t="n">
        <v>177825</v>
      </c>
      <c r="AV20" s="220" t="n">
        <v>179590</v>
      </c>
      <c r="AW20" s="220" t="n">
        <v>182224</v>
      </c>
    </row>
    <row r="21">
      <c r="A21" s="20" t="inlineStr">
        <is>
          <t>Imobilizado</t>
        </is>
      </c>
      <c r="B21" s="220" t="n">
        <v>4072780</v>
      </c>
      <c r="C21" s="220" t="n">
        <v>4074585</v>
      </c>
      <c r="D21" s="220" t="n">
        <v>4085086</v>
      </c>
      <c r="E21" s="220" t="n">
        <v>5258281</v>
      </c>
      <c r="F21" s="220" t="n">
        <v>5188176</v>
      </c>
      <c r="G21" s="220" t="n">
        <v>5124334</v>
      </c>
      <c r="H21" s="220" t="n">
        <v>5053516</v>
      </c>
      <c r="I21" s="220" t="n">
        <v>4996892</v>
      </c>
      <c r="J21" s="220" t="n">
        <v>4932661</v>
      </c>
      <c r="K21" s="220" t="n">
        <v>4948467</v>
      </c>
      <c r="L21" s="220" t="n">
        <v>4963481</v>
      </c>
      <c r="M21" s="220" t="n">
        <v>5004023</v>
      </c>
      <c r="N21" s="220" t="n">
        <v>5026761</v>
      </c>
      <c r="O21" s="220" t="n">
        <v>5017980</v>
      </c>
      <c r="P21" s="220" t="n">
        <v>4993181</v>
      </c>
      <c r="Q21" s="220" t="n"/>
      <c r="R21" s="220" t="n">
        <v>4917083</v>
      </c>
      <c r="S21" s="220" t="n">
        <v>4934806</v>
      </c>
      <c r="T21" s="220" t="n">
        <v>5118221</v>
      </c>
      <c r="U21" s="220" t="n">
        <v>5292068</v>
      </c>
      <c r="V21" s="220" t="n">
        <v>5379426</v>
      </c>
      <c r="W21" s="220" t="n">
        <v>5414894</v>
      </c>
      <c r="X21" s="220" t="n">
        <v>5806266</v>
      </c>
      <c r="Y21" s="220" t="n">
        <v>5798805</v>
      </c>
      <c r="Z21" s="220" t="n">
        <v>5909507</v>
      </c>
      <c r="AA21" s="220" t="n">
        <v>6320677</v>
      </c>
      <c r="AB21" s="220" t="n">
        <v>6858998</v>
      </c>
      <c r="AC21" s="220" t="n">
        <v>7449838</v>
      </c>
      <c r="AD21" s="220" t="n">
        <v>8351387</v>
      </c>
      <c r="AE21" s="220" t="n">
        <v>9194472</v>
      </c>
      <c r="AF21" s="220" t="n">
        <v>10096021</v>
      </c>
      <c r="AG21" s="220" t="n">
        <v>11042867</v>
      </c>
      <c r="AH21" s="220" t="n">
        <v>12009146</v>
      </c>
      <c r="AI21" s="220" t="n">
        <v>12659276</v>
      </c>
      <c r="AJ21" s="220" t="n">
        <v>12936138</v>
      </c>
      <c r="AK21" s="220" t="n">
        <v>12959771</v>
      </c>
      <c r="AL21" s="220" t="n">
        <v>12995407</v>
      </c>
      <c r="AM21" s="220" t="n">
        <v>12788101</v>
      </c>
      <c r="AN21" s="220" t="n">
        <v>12747566</v>
      </c>
      <c r="AO21" s="220" t="n">
        <v>12611085</v>
      </c>
      <c r="AP21" s="220" t="n">
        <v>12619495</v>
      </c>
      <c r="AQ21" s="220" t="n">
        <v>12420961</v>
      </c>
      <c r="AR21" s="220" t="n">
        <v>12297060</v>
      </c>
      <c r="AS21" s="220" t="n">
        <v>12231596</v>
      </c>
      <c r="AT21" s="220" t="n">
        <v>12262472</v>
      </c>
      <c r="AU21" s="220" t="n">
        <v>12090347</v>
      </c>
      <c r="AV21" s="220" t="n">
        <v>12303288</v>
      </c>
      <c r="AW21" s="220" t="n">
        <v>12736353</v>
      </c>
    </row>
    <row r="22">
      <c r="A22" s="20" t="inlineStr">
        <is>
          <t>Ativos biológicos</t>
        </is>
      </c>
      <c r="B22" s="220" t="n">
        <v>0</v>
      </c>
      <c r="C22" s="220" t="n">
        <v>0</v>
      </c>
      <c r="D22" s="220" t="n">
        <v>0</v>
      </c>
      <c r="E22" s="220" t="n">
        <v>2649524</v>
      </c>
      <c r="F22" s="220" t="n">
        <v>2644033</v>
      </c>
      <c r="G22" s="220" t="n">
        <v>2608193</v>
      </c>
      <c r="H22" s="220" t="n">
        <v>2525709</v>
      </c>
      <c r="I22" s="220" t="n">
        <v>2491169</v>
      </c>
      <c r="J22" s="220" t="n">
        <v>2449707</v>
      </c>
      <c r="K22" s="220" t="n">
        <v>2445189</v>
      </c>
      <c r="L22" s="220" t="n">
        <v>2499281</v>
      </c>
      <c r="M22" s="220" t="n">
        <v>2762879</v>
      </c>
      <c r="N22" s="220" t="n">
        <v>2806819</v>
      </c>
      <c r="O22" s="220" t="n">
        <v>2880325</v>
      </c>
      <c r="P22" s="220" t="n">
        <v>2801374</v>
      </c>
      <c r="Q22" s="220" t="n"/>
      <c r="R22" s="220" t="n">
        <v>2715769</v>
      </c>
      <c r="S22" s="220" t="n">
        <v>3114549</v>
      </c>
      <c r="T22" s="220" t="n">
        <v>3146229</v>
      </c>
      <c r="U22" s="220" t="n">
        <v>3407009</v>
      </c>
      <c r="V22" s="220" t="n">
        <v>3441495</v>
      </c>
      <c r="W22" s="220" t="n">
        <v>3411079</v>
      </c>
      <c r="X22" s="220" t="n">
        <v>3388811</v>
      </c>
      <c r="Y22" s="220" t="n">
        <v>3392538</v>
      </c>
      <c r="Z22" s="220" t="n">
        <v>3321985</v>
      </c>
      <c r="AA22" s="220" t="n">
        <v>3751099</v>
      </c>
      <c r="AB22" s="220" t="n">
        <v>3708818</v>
      </c>
      <c r="AC22" s="220" t="n">
        <v>3836680</v>
      </c>
      <c r="AD22" s="220" t="n">
        <v>3667085</v>
      </c>
      <c r="AE22" s="220" t="n">
        <v>3568934</v>
      </c>
      <c r="AF22" s="220" t="n">
        <v>3531080</v>
      </c>
      <c r="AG22" s="220" t="n">
        <v>3537696</v>
      </c>
      <c r="AH22" s="220" t="n">
        <v>3606389</v>
      </c>
      <c r="AI22" s="220" t="n">
        <v>3522068</v>
      </c>
      <c r="AJ22" s="220" t="n">
        <v>3694116</v>
      </c>
      <c r="AK22" s="220" t="n">
        <v>3688234</v>
      </c>
      <c r="AL22" s="220" t="n">
        <v>3656596</v>
      </c>
      <c r="AM22" s="220" t="n">
        <v>3982277</v>
      </c>
      <c r="AN22" s="220" t="n">
        <v>4178530</v>
      </c>
      <c r="AO22" s="220" t="n">
        <v>4139334</v>
      </c>
      <c r="AP22" s="220" t="n">
        <v>4147779</v>
      </c>
      <c r="AQ22" s="220" t="n">
        <v>4152320</v>
      </c>
      <c r="AR22" s="220" t="n">
        <v>4149689</v>
      </c>
      <c r="AS22" s="220" t="n">
        <v>4147965</v>
      </c>
      <c r="AT22" s="220" t="n">
        <v>4582631</v>
      </c>
      <c r="AU22" s="220" t="n">
        <v>4458107</v>
      </c>
      <c r="AV22" s="220" t="n">
        <v>4403748</v>
      </c>
      <c r="AW22" s="220" t="n">
        <v>4855791</v>
      </c>
    </row>
    <row r="23">
      <c r="A23" s="20" t="inlineStr">
        <is>
          <t>Ativo de direito de uso</t>
        </is>
      </c>
      <c r="B23" s="220" t="n"/>
      <c r="C23" s="220" t="n"/>
      <c r="D23" s="220" t="n"/>
      <c r="E23" s="220" t="n"/>
      <c r="F23" s="220" t="n"/>
      <c r="G23" s="220" t="n"/>
      <c r="H23" s="220" t="n"/>
      <c r="I23" s="220" t="n"/>
      <c r="J23" s="220" t="n"/>
      <c r="K23" s="220" t="n"/>
      <c r="L23" s="220" t="n"/>
      <c r="M23" s="220" t="n"/>
      <c r="N23" s="220" t="n"/>
      <c r="O23" s="220" t="n"/>
      <c r="P23" s="220" t="n"/>
      <c r="Q23" s="220" t="n"/>
      <c r="R23" s="220" t="n"/>
      <c r="S23" s="220" t="n"/>
      <c r="T23" s="220" t="n"/>
      <c r="U23" s="220" t="n"/>
      <c r="V23" s="220" t="n"/>
      <c r="W23" s="220" t="n"/>
      <c r="X23" s="220" t="n"/>
      <c r="Y23" s="220" t="n"/>
      <c r="Z23" s="220" t="n"/>
      <c r="AA23" s="220" t="n"/>
      <c r="AB23" s="220" t="n"/>
      <c r="AC23" s="220" t="n"/>
      <c r="AD23" s="220" t="n"/>
      <c r="AE23" s="220" t="n"/>
      <c r="AF23" s="220" t="n"/>
      <c r="AG23" s="220" t="n"/>
      <c r="AH23" s="220" t="n"/>
      <c r="AI23" s="220" t="n"/>
      <c r="AJ23" s="220" t="n"/>
      <c r="AK23" s="220" t="n"/>
      <c r="AL23" s="220" t="n"/>
      <c r="AM23" s="220" t="n"/>
      <c r="AN23" s="220" t="n"/>
      <c r="AO23" s="220" t="n"/>
      <c r="AP23" s="220" t="n"/>
      <c r="AQ23" s="220" t="n"/>
      <c r="AR23" s="220" t="n"/>
      <c r="AS23" s="220" t="n"/>
      <c r="AT23" s="220" t="n"/>
      <c r="AU23" s="220" t="n">
        <v>350339</v>
      </c>
      <c r="AV23" s="220" t="n">
        <v>360809</v>
      </c>
      <c r="AW23" s="220" t="n">
        <v>405268</v>
      </c>
    </row>
    <row r="24">
      <c r="A24" s="20" t="inlineStr">
        <is>
          <t>Intangível</t>
        </is>
      </c>
      <c r="B24" s="220" t="n">
        <v>0</v>
      </c>
      <c r="C24" s="220" t="n">
        <v>0</v>
      </c>
      <c r="D24" s="220" t="n">
        <v>0</v>
      </c>
      <c r="E24" s="220" t="n">
        <v>47241</v>
      </c>
      <c r="F24" s="220" t="n">
        <v>54394</v>
      </c>
      <c r="G24" s="220" t="n">
        <v>53622</v>
      </c>
      <c r="H24" s="220" t="n">
        <v>55425</v>
      </c>
      <c r="I24" s="220" t="n">
        <v>6365</v>
      </c>
      <c r="J24" s="220" t="n">
        <v>59085</v>
      </c>
      <c r="K24" s="220" t="n">
        <v>58471</v>
      </c>
      <c r="L24" s="220" t="n">
        <v>57821</v>
      </c>
      <c r="M24" s="220" t="n">
        <v>7655</v>
      </c>
      <c r="N24" s="220" t="n">
        <v>7668</v>
      </c>
      <c r="O24" s="220" t="n">
        <v>7199</v>
      </c>
      <c r="P24" s="220" t="n">
        <v>7362</v>
      </c>
      <c r="R24" s="220" t="n">
        <v>7100</v>
      </c>
      <c r="S24" s="220" t="n">
        <v>8281</v>
      </c>
      <c r="T24" s="220" t="n">
        <v>8177</v>
      </c>
      <c r="U24" s="220" t="n">
        <v>8006</v>
      </c>
      <c r="V24" s="220" t="n">
        <v>8654</v>
      </c>
      <c r="W24" s="220" t="n">
        <v>8973</v>
      </c>
      <c r="X24" s="220" t="n">
        <v>8998</v>
      </c>
      <c r="Y24" s="220" t="n">
        <v>8624</v>
      </c>
      <c r="Z24" s="220" t="n">
        <v>9300</v>
      </c>
      <c r="AA24" s="220" t="n">
        <v>10953</v>
      </c>
      <c r="AB24" s="220" t="n">
        <v>11546</v>
      </c>
      <c r="AC24" s="220" t="n">
        <v>11677</v>
      </c>
      <c r="AD24" s="220" t="n">
        <v>11337</v>
      </c>
      <c r="AE24" s="220" t="n">
        <v>12099</v>
      </c>
      <c r="AF24" s="220" t="n">
        <v>11413</v>
      </c>
      <c r="AG24" s="220" t="n">
        <v>12598</v>
      </c>
      <c r="AH24" s="220" t="n">
        <v>12777</v>
      </c>
      <c r="AI24" s="220" t="n">
        <v>12821</v>
      </c>
      <c r="AJ24" s="220" t="n">
        <v>24377</v>
      </c>
      <c r="AK24" s="220" t="n">
        <v>23796</v>
      </c>
      <c r="AL24" s="220" t="n">
        <v>120264</v>
      </c>
      <c r="AM24" s="220" t="n">
        <v>85145</v>
      </c>
      <c r="AN24" s="220" t="n">
        <v>93217</v>
      </c>
      <c r="AO24" s="220" t="n">
        <v>91715</v>
      </c>
      <c r="AP24" s="220" t="n">
        <v>89949</v>
      </c>
      <c r="AQ24" s="220" t="n">
        <v>88806</v>
      </c>
      <c r="AR24" s="220" t="n">
        <v>89094</v>
      </c>
      <c r="AS24" s="220" t="n">
        <v>87349</v>
      </c>
      <c r="AT24" s="220" t="n">
        <v>85221</v>
      </c>
      <c r="AU24" s="220" t="n">
        <v>84771</v>
      </c>
      <c r="AV24" s="220" t="n">
        <v>82414</v>
      </c>
      <c r="AW24" s="220" t="n">
        <v>81480</v>
      </c>
    </row>
    <row r="25" hidden="1" s="192">
      <c r="A25" s="20" t="inlineStr">
        <is>
          <t>Diferido</t>
        </is>
      </c>
      <c r="B25" s="220" t="n">
        <v>197604</v>
      </c>
      <c r="C25" s="220" t="n">
        <v>233930</v>
      </c>
      <c r="D25" s="220" t="n">
        <v>260352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R25" s="220" t="n">
        <v>0</v>
      </c>
      <c r="S25" s="220" t="n">
        <v>0</v>
      </c>
      <c r="T25" s="220" t="n"/>
      <c r="U25" s="220" t="n"/>
      <c r="V25" s="220" t="n"/>
      <c r="W25" s="220" t="n"/>
      <c r="X25" s="220" t="n"/>
      <c r="Y25" s="220" t="n"/>
      <c r="Z25" s="220" t="n"/>
      <c r="AA25" s="220" t="n"/>
      <c r="AB25" s="220" t="n"/>
      <c r="AC25" s="220" t="n"/>
      <c r="AD25" s="220" t="n"/>
      <c r="AE25" s="220" t="n"/>
      <c r="AF25" s="220" t="n"/>
      <c r="AG25" s="220" t="n"/>
    </row>
    <row r="26">
      <c r="A26" s="20" t="n"/>
      <c r="AW26" s="221" t="n"/>
    </row>
    <row r="27">
      <c r="A27" s="24" t="inlineStr">
        <is>
          <t>Ativo Total</t>
        </is>
      </c>
      <c r="B27" s="219" t="n">
        <v>8082073</v>
      </c>
      <c r="C27" s="219" t="n">
        <v>8123904</v>
      </c>
      <c r="D27" s="219" t="n">
        <v>8301612</v>
      </c>
      <c r="E27" s="219" t="n">
        <v>11642366</v>
      </c>
      <c r="F27" s="219" t="n">
        <v>11357151</v>
      </c>
      <c r="G27" s="219" t="n">
        <v>11300300</v>
      </c>
      <c r="H27" s="219" t="n">
        <v>11361683</v>
      </c>
      <c r="I27" s="219" t="n">
        <v>11401900</v>
      </c>
      <c r="J27" s="219" t="n">
        <v>11592169</v>
      </c>
      <c r="K27" s="219" t="n">
        <v>11668465</v>
      </c>
      <c r="L27" s="219" t="n">
        <v>12078933</v>
      </c>
      <c r="M27" s="219" t="n">
        <v>12261243</v>
      </c>
      <c r="N27" s="219" t="n">
        <v>12215865</v>
      </c>
      <c r="O27" s="219" t="n">
        <v>12383757</v>
      </c>
      <c r="P27" s="219" t="n">
        <v>12683341</v>
      </c>
      <c r="Q27" s="219" t="n"/>
      <c r="R27" s="219" t="n">
        <v>12741595</v>
      </c>
      <c r="S27" s="219" t="n">
        <v>13495198</v>
      </c>
      <c r="T27" s="219" t="n">
        <v>14063067</v>
      </c>
      <c r="U27" s="219" t="n">
        <v>14397147</v>
      </c>
      <c r="V27" s="219" t="n">
        <v>14097903</v>
      </c>
      <c r="W27" s="219" t="n">
        <v>14103002</v>
      </c>
      <c r="X27" s="219" t="n">
        <v>14323028</v>
      </c>
      <c r="Y27" s="219" t="n">
        <v>14156463</v>
      </c>
      <c r="Z27" s="219" t="n">
        <v>14919496</v>
      </c>
      <c r="AA27" s="219" t="n">
        <v>17808868</v>
      </c>
      <c r="AB27" s="219" t="n">
        <v>18841040</v>
      </c>
      <c r="AC27" s="219" t="n">
        <v>20713910</v>
      </c>
      <c r="AD27" s="219" t="n">
        <v>21173855</v>
      </c>
      <c r="AE27" s="219" t="n">
        <v>22274557</v>
      </c>
      <c r="AF27" s="219" t="n">
        <v>23145427</v>
      </c>
      <c r="AG27" s="219" t="n">
        <v>25176861</v>
      </c>
      <c r="AH27" s="219" t="n">
        <v>26268180</v>
      </c>
      <c r="AI27" s="219" t="n">
        <v>26934075</v>
      </c>
      <c r="AJ27" s="219" t="n">
        <v>28111018</v>
      </c>
      <c r="AK27" s="219" t="n">
        <v>28223997</v>
      </c>
      <c r="AL27" s="219" t="n">
        <v>29313729</v>
      </c>
      <c r="AM27" s="219" t="n">
        <v>30017568</v>
      </c>
      <c r="AN27" s="219" t="n">
        <v>29378475</v>
      </c>
      <c r="AO27" s="219" t="n">
        <v>30161827</v>
      </c>
      <c r="AP27" s="219" t="n">
        <v>30549541</v>
      </c>
      <c r="AQ27" s="219" t="n">
        <v>28513995</v>
      </c>
      <c r="AR27" s="219" t="n">
        <v>28836845</v>
      </c>
      <c r="AS27" s="219" t="n">
        <v>29362967</v>
      </c>
      <c r="AT27" s="219" t="n">
        <v>29633743</v>
      </c>
      <c r="AU27" s="219" t="n">
        <v>30254869</v>
      </c>
      <c r="AV27" s="219" t="n">
        <v>34298204</v>
      </c>
      <c r="AW27" s="219" t="n">
        <v>37275367</v>
      </c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>
      <c r="A31" s="14" t="inlineStr">
        <is>
          <t>Passivo Circulante</t>
        </is>
      </c>
      <c r="B31" s="222" t="n">
        <v>711495</v>
      </c>
      <c r="C31" s="222" t="n">
        <v>595375</v>
      </c>
      <c r="D31" s="222" t="n">
        <v>786384</v>
      </c>
      <c r="E31" s="222" t="n">
        <v>860436</v>
      </c>
      <c r="F31" s="222" t="n">
        <v>1030583</v>
      </c>
      <c r="G31" s="222" t="n">
        <v>1151722</v>
      </c>
      <c r="H31" s="222" t="n">
        <v>1209597</v>
      </c>
      <c r="I31" s="222" t="n">
        <v>1502997</v>
      </c>
      <c r="J31" s="222" t="n">
        <v>1356741</v>
      </c>
      <c r="K31" s="222" t="n">
        <v>1455099</v>
      </c>
      <c r="L31" s="222" t="n">
        <v>1585825</v>
      </c>
      <c r="M31" s="222" t="n">
        <v>1653900</v>
      </c>
      <c r="N31" s="222" t="n">
        <v>1663273</v>
      </c>
      <c r="O31" s="222" t="n">
        <v>1821378</v>
      </c>
      <c r="P31" s="222" t="n">
        <v>1861840</v>
      </c>
      <c r="R31" s="222" t="n">
        <v>1875754</v>
      </c>
      <c r="S31" s="222" t="n">
        <v>1867782</v>
      </c>
      <c r="T31" s="222" t="n">
        <v>1873217</v>
      </c>
      <c r="U31" s="222" t="n">
        <v>1891600</v>
      </c>
      <c r="V31" s="222" t="n">
        <v>1767389</v>
      </c>
      <c r="W31" s="222" t="n">
        <v>1603435</v>
      </c>
      <c r="X31" s="222" t="n">
        <v>1990290</v>
      </c>
      <c r="Y31" s="222" t="n">
        <v>1844963</v>
      </c>
      <c r="Z31" s="222" t="n">
        <v>1777571</v>
      </c>
      <c r="AA31" s="222" t="n">
        <v>1866865</v>
      </c>
      <c r="AB31" s="222" t="n">
        <v>1867131</v>
      </c>
      <c r="AC31" s="222" t="n">
        <v>2195696</v>
      </c>
      <c r="AD31" s="222" t="n">
        <v>2518873</v>
      </c>
      <c r="AE31" s="222" t="n">
        <v>3030685</v>
      </c>
      <c r="AF31" s="222" t="n">
        <v>3209847</v>
      </c>
      <c r="AG31" s="222" t="n">
        <v>3174916</v>
      </c>
      <c r="AH31" s="222" t="n">
        <v>3162295</v>
      </c>
      <c r="AI31" s="222" t="n">
        <v>3382676</v>
      </c>
      <c r="AJ31" s="222" t="n">
        <v>3547972</v>
      </c>
      <c r="AK31" s="222" t="n">
        <v>3776546</v>
      </c>
      <c r="AL31" s="222" t="n">
        <v>4143664</v>
      </c>
      <c r="AM31" s="222" t="n">
        <v>3821190</v>
      </c>
      <c r="AN31" s="222" t="n">
        <v>3557326</v>
      </c>
      <c r="AO31" s="222" t="n">
        <v>3488779</v>
      </c>
      <c r="AP31" s="222" t="n">
        <v>3747333</v>
      </c>
      <c r="AQ31" s="222" t="n">
        <v>2916014</v>
      </c>
      <c r="AR31" s="222" t="n">
        <v>3550861</v>
      </c>
      <c r="AS31" s="222" t="n">
        <v>3722590</v>
      </c>
      <c r="AT31" s="222" t="n">
        <v>3708316</v>
      </c>
      <c r="AU31" s="222" t="n">
        <v>2680392</v>
      </c>
      <c r="AV31" s="222" t="n">
        <v>3187520</v>
      </c>
      <c r="AW31" s="222" t="n">
        <v>3265306</v>
      </c>
    </row>
    <row r="32">
      <c r="A32" s="20" t="inlineStr">
        <is>
          <t>Empréstimos e Financiamentos</t>
        </is>
      </c>
      <c r="B32" s="220" t="n">
        <v>190819</v>
      </c>
      <c r="C32" s="220" t="n">
        <v>205950</v>
      </c>
      <c r="D32" s="220" t="n">
        <v>298698</v>
      </c>
      <c r="E32" s="220" t="n">
        <v>497094</v>
      </c>
      <c r="F32" s="220" t="n">
        <v>714830</v>
      </c>
      <c r="G32" s="220" t="n">
        <v>826716</v>
      </c>
      <c r="H32" s="220" t="n">
        <v>865721</v>
      </c>
      <c r="I32" s="220" t="n">
        <v>802312</v>
      </c>
      <c r="J32" s="220" t="n">
        <v>640064</v>
      </c>
      <c r="K32" s="220" t="n">
        <v>690006</v>
      </c>
      <c r="L32" s="220" t="n">
        <v>694845</v>
      </c>
      <c r="M32" s="220" t="n">
        <v>842121</v>
      </c>
      <c r="N32" s="220" t="n">
        <v>847781</v>
      </c>
      <c r="O32" s="220" t="n">
        <v>865989</v>
      </c>
      <c r="P32" s="220" t="n">
        <v>929709</v>
      </c>
      <c r="R32" s="220" t="n">
        <v>910497</v>
      </c>
      <c r="S32" s="220" t="n">
        <v>1013784</v>
      </c>
      <c r="T32" s="220" t="n">
        <v>1187796</v>
      </c>
      <c r="U32" s="220" t="n">
        <v>1226327</v>
      </c>
      <c r="V32" s="220" t="n">
        <v>1120770</v>
      </c>
      <c r="W32" s="220" t="n">
        <v>1083470</v>
      </c>
      <c r="X32" s="220" t="n">
        <v>1126377</v>
      </c>
      <c r="Y32" s="220" t="n">
        <v>1128466</v>
      </c>
      <c r="Z32" s="220" t="n">
        <v>1124976</v>
      </c>
      <c r="AA32" s="220" t="n">
        <v>1180101</v>
      </c>
      <c r="AB32" s="220" t="n">
        <v>1200082</v>
      </c>
      <c r="AC32" s="220" t="n">
        <v>1286461</v>
      </c>
      <c r="AD32" s="220" t="n">
        <v>1479788</v>
      </c>
      <c r="AE32" s="220" t="n">
        <v>1620937</v>
      </c>
      <c r="AF32" s="220" t="n">
        <v>1697824</v>
      </c>
      <c r="AG32" s="220" t="n">
        <v>1786858</v>
      </c>
      <c r="AH32" s="220" t="n">
        <v>1716306</v>
      </c>
      <c r="AI32" s="220" t="n">
        <v>1870514</v>
      </c>
      <c r="AJ32" s="220" t="n">
        <v>2194352</v>
      </c>
      <c r="AK32" s="220" t="n">
        <v>2360066</v>
      </c>
      <c r="AL32" s="220" t="n">
        <v>2593029</v>
      </c>
      <c r="AM32" s="220" t="n">
        <v>2473948</v>
      </c>
      <c r="AN32" s="220" t="n">
        <v>2066774</v>
      </c>
      <c r="AO32" s="220" t="n">
        <v>2086903</v>
      </c>
      <c r="AP32" s="220" t="n">
        <v>2230624</v>
      </c>
      <c r="AQ32" s="220" t="n">
        <v>1708080</v>
      </c>
      <c r="AR32" s="220" t="n">
        <v>2136784</v>
      </c>
      <c r="AS32" s="220" t="n">
        <v>2192612</v>
      </c>
      <c r="AT32" s="220" t="n">
        <v>1913779</v>
      </c>
      <c r="AU32" s="220" t="n">
        <v>1231640</v>
      </c>
      <c r="AV32" s="220" t="n">
        <v>1186632</v>
      </c>
      <c r="AW32" s="220" t="n">
        <v>1130483</v>
      </c>
    </row>
    <row r="33">
      <c r="A33" s="20" t="inlineStr">
        <is>
          <t>Debêntures</t>
        </is>
      </c>
      <c r="B33" s="220" t="n"/>
      <c r="C33" s="220" t="n"/>
      <c r="D33" s="220" t="n"/>
      <c r="E33" s="220" t="n"/>
      <c r="F33" s="220" t="n"/>
      <c r="G33" s="220" t="n"/>
      <c r="H33" s="220" t="n"/>
      <c r="I33" s="220" t="n"/>
      <c r="J33" s="220" t="n"/>
      <c r="K33" s="220" t="n"/>
      <c r="L33" s="220" t="n"/>
      <c r="M33" s="220" t="n"/>
      <c r="N33" s="220" t="n"/>
      <c r="O33" s="220" t="n"/>
      <c r="P33" s="220" t="n"/>
      <c r="R33" s="220" t="n"/>
      <c r="S33" s="220" t="n"/>
      <c r="T33" s="220" t="n"/>
      <c r="U33" s="220" t="n"/>
      <c r="V33" s="220" t="n"/>
      <c r="W33" s="220" t="n"/>
      <c r="X33" s="220" t="n"/>
      <c r="Y33" s="220" t="n"/>
      <c r="Z33" s="220" t="n"/>
      <c r="AA33" s="220" t="n"/>
      <c r="AB33" s="220" t="n"/>
      <c r="AC33" s="220" t="n">
        <v>226412</v>
      </c>
      <c r="AD33" s="220" t="n">
        <v>275201</v>
      </c>
      <c r="AE33" s="220" t="n">
        <v>378709</v>
      </c>
      <c r="AF33" s="220" t="n">
        <v>502065</v>
      </c>
      <c r="AG33" s="220" t="n">
        <v>232462</v>
      </c>
      <c r="AH33" s="220" t="n">
        <v>329810</v>
      </c>
      <c r="AI33" s="220" t="n">
        <v>490522</v>
      </c>
      <c r="AJ33" s="220" t="n">
        <v>224476</v>
      </c>
      <c r="AK33" s="220" t="n">
        <v>274861</v>
      </c>
      <c r="AL33" s="220" t="n">
        <v>245080</v>
      </c>
      <c r="AM33" s="220" t="n">
        <v>260169</v>
      </c>
      <c r="AN33" s="220" t="n">
        <v>272841</v>
      </c>
      <c r="AO33" s="220" t="n">
        <v>253368</v>
      </c>
      <c r="AP33" s="220" t="n">
        <v>239276</v>
      </c>
      <c r="AQ33" s="220" t="n">
        <v>77553</v>
      </c>
      <c r="AR33" s="220" t="n">
        <v>61686</v>
      </c>
      <c r="AS33" s="220" t="n">
        <v>80772</v>
      </c>
      <c r="AT33" s="220" t="n">
        <v>61686</v>
      </c>
      <c r="AU33" s="220" t="n">
        <v>75310</v>
      </c>
      <c r="AV33" s="220" t="n">
        <v>479025</v>
      </c>
      <c r="AW33" s="220" t="n">
        <v>473511</v>
      </c>
    </row>
    <row r="34">
      <c r="A34" s="20" t="inlineStr">
        <is>
          <t>Fornecedores</t>
        </is>
      </c>
      <c r="B34" s="220" t="n">
        <v>265213</v>
      </c>
      <c r="C34" s="220" t="n">
        <v>234196</v>
      </c>
      <c r="D34" s="220" t="n">
        <v>208841</v>
      </c>
      <c r="E34" s="220" t="n">
        <v>215546</v>
      </c>
      <c r="F34" s="220" t="n">
        <v>171777</v>
      </c>
      <c r="G34" s="220" t="n">
        <v>171679</v>
      </c>
      <c r="H34" s="220" t="n">
        <v>179346</v>
      </c>
      <c r="I34" s="220" t="n">
        <v>189696</v>
      </c>
      <c r="J34" s="220" t="n">
        <v>217175</v>
      </c>
      <c r="K34" s="220" t="n">
        <v>250421</v>
      </c>
      <c r="L34" s="220" t="n">
        <v>267873</v>
      </c>
      <c r="M34" s="220" t="n">
        <v>269839</v>
      </c>
      <c r="N34" s="220" t="n">
        <v>272144</v>
      </c>
      <c r="O34" s="220" t="n">
        <v>243767</v>
      </c>
      <c r="P34" s="220" t="n">
        <v>234335</v>
      </c>
      <c r="R34" s="220" t="n">
        <v>335045</v>
      </c>
      <c r="S34" s="220" t="n">
        <v>204801</v>
      </c>
      <c r="T34" s="220" t="n">
        <v>265278</v>
      </c>
      <c r="U34" s="220" t="n">
        <v>339464</v>
      </c>
      <c r="V34" s="220" t="n">
        <v>318077</v>
      </c>
      <c r="W34" s="220" t="n">
        <v>289035</v>
      </c>
      <c r="X34" s="220" t="n">
        <v>615281</v>
      </c>
      <c r="Y34" s="220" t="n">
        <v>391830</v>
      </c>
      <c r="Z34" s="220" t="n">
        <v>343442</v>
      </c>
      <c r="AA34" s="220" t="n">
        <v>314801</v>
      </c>
      <c r="AB34" s="220" t="n">
        <v>332678</v>
      </c>
      <c r="AC34" s="220" t="n">
        <v>341930</v>
      </c>
      <c r="AD34" s="220" t="n">
        <v>438864</v>
      </c>
      <c r="AE34" s="220" t="n">
        <v>627378</v>
      </c>
      <c r="AF34" s="220" t="n">
        <v>663730</v>
      </c>
      <c r="AG34" s="220" t="n">
        <v>717132</v>
      </c>
      <c r="AH34" s="220" t="n">
        <v>702199</v>
      </c>
      <c r="AI34" s="220" t="n">
        <v>653497</v>
      </c>
      <c r="AJ34" s="220" t="n">
        <v>701730</v>
      </c>
      <c r="AK34" s="220" t="n">
        <v>627383</v>
      </c>
      <c r="AL34" s="220" t="n">
        <v>634856</v>
      </c>
      <c r="AM34" s="220" t="n">
        <v>568044</v>
      </c>
      <c r="AN34" s="220" t="n">
        <v>615420</v>
      </c>
      <c r="AO34" s="220" t="n">
        <v>578645</v>
      </c>
      <c r="AP34" s="220" t="n">
        <v>713612</v>
      </c>
      <c r="AQ34" s="220" t="n">
        <v>617465</v>
      </c>
      <c r="AR34" s="220" t="n">
        <v>807059</v>
      </c>
      <c r="AS34" s="220" t="n">
        <v>828934</v>
      </c>
      <c r="AT34" s="220" t="n">
        <v>903752</v>
      </c>
      <c r="AU34" s="220" t="n">
        <v>742742</v>
      </c>
      <c r="AV34" s="220" t="n">
        <v>915771</v>
      </c>
      <c r="AW34" s="220" t="n">
        <v>978019</v>
      </c>
    </row>
    <row r="35">
      <c r="A35" s="20" t="inlineStr">
        <is>
          <t>Impostos a recolher</t>
        </is>
      </c>
      <c r="B35" s="220" t="n">
        <v>36245</v>
      </c>
      <c r="C35" s="220" t="n">
        <v>39460</v>
      </c>
      <c r="D35" s="220" t="n">
        <v>40810</v>
      </c>
      <c r="E35" s="220" t="n">
        <v>42152</v>
      </c>
      <c r="F35" s="220" t="n">
        <v>40905</v>
      </c>
      <c r="G35" s="220" t="n">
        <v>48299</v>
      </c>
      <c r="H35" s="220" t="n">
        <v>47075</v>
      </c>
      <c r="I35" s="220" t="n">
        <v>50399</v>
      </c>
      <c r="J35" s="220" t="n">
        <v>57273</v>
      </c>
      <c r="K35" s="220" t="n">
        <v>51091</v>
      </c>
      <c r="L35" s="220" t="n">
        <v>52339</v>
      </c>
      <c r="M35" s="220" t="n">
        <v>40669</v>
      </c>
      <c r="N35" s="220" t="n">
        <v>40387</v>
      </c>
      <c r="O35" s="220" t="n">
        <v>48095</v>
      </c>
      <c r="P35" s="220" t="n">
        <v>50529</v>
      </c>
      <c r="R35" s="220" t="n">
        <v>40426</v>
      </c>
      <c r="S35" s="220" t="n">
        <v>42108</v>
      </c>
      <c r="T35" s="220" t="n">
        <v>47563</v>
      </c>
      <c r="U35" s="220" t="n">
        <v>54618</v>
      </c>
      <c r="V35" s="220" t="n">
        <v>57095</v>
      </c>
      <c r="W35" s="220" t="n">
        <v>61765</v>
      </c>
      <c r="X35" s="220" t="n">
        <v>44753</v>
      </c>
      <c r="Y35" s="220" t="n">
        <v>56264</v>
      </c>
      <c r="Z35" s="220" t="n">
        <v>43298</v>
      </c>
      <c r="AA35" s="220" t="n">
        <v>62782</v>
      </c>
      <c r="AB35" s="220" t="n">
        <v>47327</v>
      </c>
      <c r="AC35" s="220" t="n">
        <v>56927</v>
      </c>
      <c r="AD35" s="220" t="n">
        <v>55137</v>
      </c>
      <c r="AE35" s="220" t="n">
        <v>38330</v>
      </c>
      <c r="AF35" s="220" t="n">
        <v>36253</v>
      </c>
      <c r="AG35" s="220" t="n">
        <v>50241</v>
      </c>
      <c r="AH35" s="220" t="n">
        <v>45400</v>
      </c>
      <c r="AI35" s="220" t="n">
        <v>42514</v>
      </c>
      <c r="AJ35" s="220" t="n">
        <v>36453</v>
      </c>
      <c r="AK35" s="220" t="n">
        <v>42903</v>
      </c>
      <c r="AL35" s="220" t="n">
        <v>53643</v>
      </c>
      <c r="AM35" s="220" t="n">
        <v>42416</v>
      </c>
      <c r="AN35" s="220" t="n">
        <v>52818</v>
      </c>
      <c r="AO35" s="220" t="n">
        <v>45242</v>
      </c>
      <c r="AP35" s="220" t="n">
        <v>55673</v>
      </c>
      <c r="AQ35" s="220" t="n">
        <v>46495</v>
      </c>
      <c r="AR35" s="220" t="n">
        <v>54174</v>
      </c>
      <c r="AS35" s="220" t="n">
        <v>62579</v>
      </c>
      <c r="AT35" s="220" t="n">
        <v>50832</v>
      </c>
      <c r="AU35" s="220" t="n">
        <v>66206</v>
      </c>
      <c r="AV35" s="220" t="n">
        <v>78245</v>
      </c>
      <c r="AW35" s="220" t="n">
        <v>78450</v>
      </c>
    </row>
    <row r="36">
      <c r="A36" s="20" t="inlineStr">
        <is>
          <t>Salários e encargos sociais</t>
        </is>
      </c>
      <c r="B36" s="220" t="n">
        <v>55392</v>
      </c>
      <c r="C36" s="220" t="n">
        <v>67502</v>
      </c>
      <c r="D36" s="220" t="n">
        <v>77089</v>
      </c>
      <c r="E36" s="220" t="n">
        <v>59661</v>
      </c>
      <c r="F36" s="220" t="n">
        <v>48270</v>
      </c>
      <c r="G36" s="220" t="n">
        <v>59331</v>
      </c>
      <c r="H36" s="220" t="n">
        <v>66320</v>
      </c>
      <c r="I36" s="220" t="n">
        <v>68859</v>
      </c>
      <c r="J36" s="220" t="n">
        <v>49618</v>
      </c>
      <c r="K36" s="220" t="n">
        <v>72626</v>
      </c>
      <c r="L36" s="220" t="n">
        <v>94227</v>
      </c>
      <c r="M36" s="220" t="n">
        <v>93542</v>
      </c>
      <c r="N36" s="220" t="n">
        <v>64903</v>
      </c>
      <c r="O36" s="220" t="n">
        <v>88053</v>
      </c>
      <c r="P36" s="220" t="n">
        <v>101324</v>
      </c>
      <c r="R36" s="220" t="n">
        <v>103121</v>
      </c>
      <c r="S36" s="220" t="n">
        <v>81656</v>
      </c>
      <c r="T36" s="220" t="n">
        <v>112652</v>
      </c>
      <c r="U36" s="220" t="n">
        <v>125173</v>
      </c>
      <c r="V36" s="220" t="n">
        <v>125807</v>
      </c>
      <c r="W36" s="220" t="n">
        <v>80766</v>
      </c>
      <c r="X36" s="220" t="n">
        <v>112254</v>
      </c>
      <c r="Y36" s="220" t="n">
        <v>130572</v>
      </c>
      <c r="Z36" s="220" t="n">
        <v>127356</v>
      </c>
      <c r="AA36" s="220" t="n">
        <v>96137</v>
      </c>
      <c r="AB36" s="220" t="n">
        <v>131470</v>
      </c>
      <c r="AC36" s="220" t="n">
        <v>143458</v>
      </c>
      <c r="AD36" s="220" t="n">
        <v>139879</v>
      </c>
      <c r="AE36" s="220" t="n">
        <v>111670</v>
      </c>
      <c r="AF36" s="220" t="n">
        <v>165491</v>
      </c>
      <c r="AG36" s="220" t="n">
        <v>206313</v>
      </c>
      <c r="AH36" s="220" t="n">
        <v>195349</v>
      </c>
      <c r="AI36" s="220" t="n">
        <v>151146</v>
      </c>
      <c r="AJ36" s="220" t="n">
        <v>224538</v>
      </c>
      <c r="AK36" s="220" t="n">
        <v>276927</v>
      </c>
      <c r="AL36" s="220" t="n">
        <v>257712</v>
      </c>
      <c r="AM36" s="220" t="n">
        <v>184400</v>
      </c>
      <c r="AN36" s="220" t="n">
        <v>246177</v>
      </c>
      <c r="AO36" s="220" t="n">
        <v>309432</v>
      </c>
      <c r="AP36" s="220" t="n">
        <v>281466</v>
      </c>
      <c r="AQ36" s="220" t="n">
        <v>192642</v>
      </c>
      <c r="AR36" s="220" t="n">
        <v>262543</v>
      </c>
      <c r="AS36" s="220" t="n">
        <v>328966</v>
      </c>
      <c r="AT36" s="220" t="n">
        <v>300379</v>
      </c>
      <c r="AU36" s="220" t="n">
        <v>200886</v>
      </c>
      <c r="AV36" s="220" t="n">
        <v>268556</v>
      </c>
      <c r="AW36" s="220" t="n">
        <v>323279</v>
      </c>
    </row>
    <row r="37">
      <c r="A37" s="21" t="inlineStr">
        <is>
          <t>Dividendos a pagar</t>
        </is>
      </c>
      <c r="B37" s="220" t="n">
        <v>120002</v>
      </c>
      <c r="C37" s="220" t="n">
        <v>0</v>
      </c>
      <c r="D37" s="220" t="n">
        <v>116995</v>
      </c>
      <c r="E37" s="220" t="n">
        <v>0</v>
      </c>
      <c r="F37" s="220" t="n">
        <v>0</v>
      </c>
      <c r="G37" s="220" t="n">
        <v>0</v>
      </c>
      <c r="H37" s="220" t="n">
        <v>0</v>
      </c>
      <c r="I37" s="220" t="n">
        <v>0</v>
      </c>
      <c r="J37" s="220" t="n">
        <v>0</v>
      </c>
      <c r="K37" s="220" t="n">
        <v>0</v>
      </c>
      <c r="L37" s="220" t="n">
        <v>70001</v>
      </c>
      <c r="M37" s="220" t="n">
        <v>0</v>
      </c>
      <c r="N37" s="220" t="n">
        <v>0</v>
      </c>
      <c r="O37" s="220" t="n">
        <v>81998</v>
      </c>
      <c r="P37" s="220" t="n">
        <v>55003</v>
      </c>
      <c r="R37" s="220" t="n">
        <v>0</v>
      </c>
      <c r="S37" s="220" t="n">
        <v>0</v>
      </c>
      <c r="T37" s="220" t="n">
        <v>119996</v>
      </c>
      <c r="U37" s="220" t="n"/>
      <c r="V37" s="220" t="n"/>
      <c r="W37" s="220" t="n"/>
      <c r="X37" s="220" t="n"/>
      <c r="Y37" s="220" t="n"/>
      <c r="Z37" s="220" t="n"/>
      <c r="AA37" s="220" t="n">
        <v>90077</v>
      </c>
      <c r="AB37" s="220" t="n"/>
      <c r="AC37" s="220" t="n"/>
      <c r="AD37" s="220" t="n"/>
      <c r="AE37" s="220" t="n">
        <v>101981</v>
      </c>
      <c r="AF37" s="220" t="n">
        <v>0</v>
      </c>
      <c r="AG37" s="220" t="n">
        <v>0</v>
      </c>
      <c r="AH37" s="220" t="n">
        <v>0</v>
      </c>
      <c r="AI37" s="220" t="n">
        <v>0</v>
      </c>
      <c r="AJ37" s="220" t="n">
        <v>0</v>
      </c>
      <c r="AK37" s="220" t="n"/>
      <c r="AL37" s="220" t="n">
        <v>180000</v>
      </c>
      <c r="AM37" s="220" t="n">
        <v>50000</v>
      </c>
      <c r="AN37" s="220" t="n">
        <v>101000</v>
      </c>
      <c r="AO37" s="220" t="n">
        <v>0</v>
      </c>
      <c r="AP37" s="220" t="n">
        <v>0</v>
      </c>
      <c r="AQ37" s="220" t="n"/>
      <c r="AR37" s="220" t="n"/>
      <c r="AS37" s="220" t="n"/>
      <c r="AT37" s="220" t="n">
        <v>250000</v>
      </c>
      <c r="AU37" s="220" t="n">
        <v>0</v>
      </c>
      <c r="AV37" s="220" t="n">
        <v>0</v>
      </c>
      <c r="AW37" s="220" t="n">
        <v>0</v>
      </c>
    </row>
    <row r="38">
      <c r="A38" s="21" t="inlineStr">
        <is>
          <t>Adesão REFIS</t>
        </is>
      </c>
      <c r="B38" s="220" t="n">
        <v>0</v>
      </c>
      <c r="C38" s="220" t="n">
        <v>0</v>
      </c>
      <c r="D38" s="220" t="n">
        <v>0</v>
      </c>
      <c r="E38" s="220" t="n">
        <v>0</v>
      </c>
      <c r="F38" s="220" t="n">
        <v>0</v>
      </c>
      <c r="G38" s="220" t="n">
        <v>0</v>
      </c>
      <c r="H38" s="220" t="n">
        <v>0</v>
      </c>
      <c r="I38" s="220" t="n">
        <v>331685</v>
      </c>
      <c r="J38" s="220" t="n">
        <v>334236</v>
      </c>
      <c r="K38" s="220" t="n">
        <v>337045</v>
      </c>
      <c r="L38" s="220" t="n">
        <v>344846</v>
      </c>
      <c r="M38" s="220" t="n">
        <v>349340</v>
      </c>
      <c r="N38" s="220" t="n">
        <v>373182</v>
      </c>
      <c r="O38" s="220" t="n">
        <v>433313</v>
      </c>
      <c r="P38" s="220" t="n">
        <v>431700</v>
      </c>
      <c r="R38" s="220" t="n">
        <v>430213</v>
      </c>
      <c r="S38" s="220" t="n">
        <v>427786</v>
      </c>
      <c r="T38" s="220" t="n">
        <v>46426</v>
      </c>
      <c r="U38" s="220" t="n">
        <v>58150</v>
      </c>
      <c r="V38" s="220" t="n">
        <v>39383</v>
      </c>
      <c r="W38" s="220" t="n">
        <v>34432</v>
      </c>
      <c r="X38" s="220" t="n">
        <v>29680</v>
      </c>
      <c r="Y38" s="220" t="n">
        <v>25746</v>
      </c>
      <c r="Z38" s="220" t="n">
        <v>50400</v>
      </c>
      <c r="AA38" s="220" t="n">
        <v>50400</v>
      </c>
      <c r="AB38" s="220" t="n">
        <v>50400</v>
      </c>
      <c r="AC38" s="220" t="n">
        <v>50400</v>
      </c>
      <c r="AD38" s="220" t="n">
        <v>50400</v>
      </c>
      <c r="AE38" s="220" t="n">
        <v>50400</v>
      </c>
      <c r="AF38" s="220" t="n">
        <v>50400</v>
      </c>
      <c r="AG38" s="220" t="n">
        <v>60506</v>
      </c>
      <c r="AH38" s="220" t="n">
        <v>61772</v>
      </c>
      <c r="AI38" s="220" t="n">
        <v>63015</v>
      </c>
      <c r="AJ38" s="220" t="n">
        <v>64301</v>
      </c>
      <c r="AK38" s="220" t="n">
        <v>65648</v>
      </c>
      <c r="AL38" s="220" t="n">
        <v>66884</v>
      </c>
      <c r="AM38" s="220" t="n">
        <v>68073</v>
      </c>
      <c r="AN38" s="220" t="n">
        <v>69142</v>
      </c>
      <c r="AO38" s="220" t="n">
        <v>64312</v>
      </c>
      <c r="AP38" s="220" t="n">
        <v>71467</v>
      </c>
      <c r="AQ38" s="220" t="n">
        <v>72007</v>
      </c>
      <c r="AR38" s="220" t="n">
        <v>72627</v>
      </c>
      <c r="AS38" s="220" t="n">
        <v>73270</v>
      </c>
      <c r="AT38" s="220" t="n">
        <v>73862</v>
      </c>
      <c r="AU38" s="220" t="n">
        <v>74462</v>
      </c>
      <c r="AV38" s="220" t="n">
        <v>0</v>
      </c>
      <c r="AW38" s="220" t="n">
        <v>0</v>
      </c>
    </row>
    <row r="39">
      <c r="A39" s="21" t="inlineStr">
        <is>
          <t>Passivo de arrendamentos</t>
        </is>
      </c>
      <c r="B39" s="220" t="n"/>
      <c r="C39" s="220" t="n"/>
      <c r="D39" s="220" t="n"/>
      <c r="E39" s="220" t="n"/>
      <c r="F39" s="220" t="n"/>
      <c r="G39" s="220" t="n"/>
      <c r="H39" s="220" t="n"/>
      <c r="I39" s="220" t="n"/>
      <c r="J39" s="220" t="n"/>
      <c r="K39" s="220" t="n"/>
      <c r="L39" s="220" t="n"/>
      <c r="M39" s="220" t="n"/>
      <c r="N39" s="220" t="n"/>
      <c r="O39" s="220" t="n"/>
      <c r="P39" s="220" t="n"/>
      <c r="R39" s="220" t="n"/>
      <c r="S39" s="220" t="n"/>
      <c r="T39" s="220" t="n"/>
      <c r="U39" s="220" t="n"/>
      <c r="V39" s="220" t="n"/>
      <c r="W39" s="220" t="n"/>
      <c r="X39" s="220" t="n"/>
      <c r="Y39" s="220" t="n"/>
      <c r="Z39" s="220" t="n"/>
      <c r="AA39" s="220" t="n"/>
      <c r="AB39" s="220" t="n"/>
      <c r="AC39" s="220" t="n"/>
      <c r="AD39" s="220" t="n"/>
      <c r="AE39" s="220" t="n"/>
      <c r="AF39" s="220" t="n"/>
      <c r="AG39" s="220" t="n"/>
      <c r="AH39" s="220" t="n"/>
      <c r="AI39" s="220" t="n"/>
      <c r="AJ39" s="220" t="n"/>
      <c r="AK39" s="220" t="n"/>
      <c r="AL39" s="220" t="n"/>
      <c r="AM39" s="220" t="n"/>
      <c r="AN39" s="220" t="n"/>
      <c r="AO39" s="220" t="n"/>
      <c r="AP39" s="220" t="n"/>
      <c r="AQ39" s="220" t="n"/>
      <c r="AR39" s="220" t="n"/>
      <c r="AS39" s="220" t="n"/>
      <c r="AT39" s="220" t="n"/>
      <c r="AU39" s="220" t="n">
        <v>90921</v>
      </c>
      <c r="AV39" s="220" t="n">
        <v>76456</v>
      </c>
      <c r="AW39" s="220" t="n">
        <v>75415</v>
      </c>
    </row>
    <row r="40">
      <c r="A40" s="20" t="inlineStr">
        <is>
          <t>Outros</t>
        </is>
      </c>
      <c r="B40" s="220" t="n">
        <v>43824</v>
      </c>
      <c r="C40" s="220" t="n">
        <v>48267</v>
      </c>
      <c r="D40" s="220" t="n">
        <v>43951</v>
      </c>
      <c r="E40" s="220" t="n">
        <v>45983</v>
      </c>
      <c r="F40" s="220" t="n">
        <v>54801</v>
      </c>
      <c r="G40" s="220" t="n">
        <v>45697</v>
      </c>
      <c r="H40" s="220" t="n">
        <v>51135</v>
      </c>
      <c r="I40" s="220" t="n">
        <v>60046</v>
      </c>
      <c r="J40" s="220" t="n">
        <v>58375</v>
      </c>
      <c r="K40" s="220" t="n">
        <v>53910</v>
      </c>
      <c r="L40" s="220" t="n">
        <v>61694</v>
      </c>
      <c r="M40" s="220" t="n">
        <v>58389</v>
      </c>
      <c r="N40" s="220" t="n">
        <v>64876</v>
      </c>
      <c r="O40" s="220" t="n">
        <v>60163</v>
      </c>
      <c r="P40" s="220" t="n">
        <v>59240</v>
      </c>
      <c r="R40" s="220" t="n">
        <v>56452</v>
      </c>
      <c r="S40" s="220" t="n">
        <v>67615</v>
      </c>
      <c r="T40" s="220" t="n">
        <v>77452</v>
      </c>
      <c r="U40" s="220" t="n"/>
      <c r="V40" s="220" t="n">
        <v>51870</v>
      </c>
      <c r="W40" s="220" t="n">
        <v>53967</v>
      </c>
      <c r="X40" s="220" t="n">
        <v>61945</v>
      </c>
      <c r="Y40" s="220" t="n">
        <v>73787</v>
      </c>
      <c r="Z40" s="220" t="n">
        <v>69890</v>
      </c>
      <c r="AA40" s="220" t="n">
        <v>72567</v>
      </c>
      <c r="AB40" s="220" t="n">
        <v>72839</v>
      </c>
      <c r="AC40" s="220" t="n">
        <v>90108</v>
      </c>
      <c r="AD40" s="220" t="n">
        <v>79604</v>
      </c>
      <c r="AE40" s="220" t="n">
        <v>101280</v>
      </c>
      <c r="AF40" s="220" t="n">
        <v>94084</v>
      </c>
      <c r="AG40" s="220" t="n">
        <v>121404</v>
      </c>
      <c r="AH40" s="220" t="n">
        <v>111459</v>
      </c>
      <c r="AI40" s="220" t="n">
        <v>111468</v>
      </c>
      <c r="AJ40" s="220" t="n">
        <v>102122</v>
      </c>
      <c r="AK40" s="220" t="n">
        <v>128758</v>
      </c>
      <c r="AL40" s="220" t="n">
        <v>112460</v>
      </c>
      <c r="AM40" s="220" t="n">
        <v>174140</v>
      </c>
      <c r="AN40" s="220" t="n">
        <v>133154</v>
      </c>
      <c r="AO40" s="220" t="n">
        <v>150877</v>
      </c>
      <c r="AP40" s="220" t="n">
        <v>155215</v>
      </c>
      <c r="AQ40" s="220" t="n">
        <v>201772</v>
      </c>
      <c r="AR40" s="220" t="n">
        <v>155988</v>
      </c>
      <c r="AS40" s="220" t="n">
        <v>155457</v>
      </c>
      <c r="AT40" s="220" t="n">
        <v>154026</v>
      </c>
      <c r="AU40" s="220" t="n">
        <v>198225</v>
      </c>
      <c r="AV40" s="220" t="n">
        <v>182835</v>
      </c>
      <c r="AW40" s="220" t="n">
        <v>206149</v>
      </c>
    </row>
    <row r="41">
      <c r="A41" s="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  <c r="L41" s="220" t="n"/>
      <c r="M41" s="220" t="n"/>
      <c r="N41" s="220" t="n"/>
      <c r="O41" s="220" t="n"/>
      <c r="P41" s="220" t="n"/>
      <c r="R41" s="220" t="n"/>
      <c r="S41" s="220" t="n"/>
      <c r="T41" s="220" t="n"/>
      <c r="U41" s="220" t="n"/>
      <c r="V41" s="220" t="n"/>
      <c r="W41" s="220" t="n"/>
      <c r="X41" s="220" t="n"/>
      <c r="Y41" s="220" t="n"/>
      <c r="Z41" s="220" t="n"/>
      <c r="AA41" s="220" t="n"/>
      <c r="AB41" s="220" t="n"/>
      <c r="AC41" s="220" t="n"/>
      <c r="AD41" s="220" t="n"/>
      <c r="AE41" s="220" t="n"/>
      <c r="AF41" s="220" t="n"/>
    </row>
    <row r="42">
      <c r="A42" s="3" t="inlineStr">
        <is>
          <t>Passivo Não Circulante</t>
        </is>
      </c>
      <c r="B42" s="222" t="n">
        <v>4397424</v>
      </c>
      <c r="C42" s="222" t="n">
        <v>4309906</v>
      </c>
      <c r="D42" s="222" t="n">
        <v>4752029</v>
      </c>
      <c r="E42" s="222" t="n">
        <v>6124615</v>
      </c>
      <c r="F42" s="222" t="n">
        <v>5738275</v>
      </c>
      <c r="G42" s="222" t="n">
        <v>5328781</v>
      </c>
      <c r="H42" s="222" t="n">
        <v>5221791</v>
      </c>
      <c r="I42" s="222" t="n">
        <v>5235122</v>
      </c>
      <c r="J42" s="222" t="n">
        <v>5512861</v>
      </c>
      <c r="K42" s="222" t="n">
        <v>5457366</v>
      </c>
      <c r="L42" s="222" t="n">
        <v>5595996</v>
      </c>
      <c r="M42" s="222" t="n">
        <v>5576245</v>
      </c>
      <c r="N42" s="222" t="n">
        <v>5413975</v>
      </c>
      <c r="O42" s="222" t="n">
        <v>5388291</v>
      </c>
      <c r="P42" s="222" t="n">
        <v>5908544</v>
      </c>
      <c r="R42" s="222" t="n">
        <v>5850687</v>
      </c>
      <c r="S42" s="222" t="n">
        <v>6220330</v>
      </c>
      <c r="T42" s="222" t="n">
        <v>7163878</v>
      </c>
      <c r="U42" s="222" t="n">
        <v>7146064</v>
      </c>
      <c r="V42" s="222" t="n">
        <v>6909593</v>
      </c>
      <c r="W42" s="222" t="n">
        <v>6824494</v>
      </c>
      <c r="X42" s="222" t="n">
        <v>6885174</v>
      </c>
      <c r="Y42" s="222" t="n">
        <v>6845175</v>
      </c>
      <c r="Z42" s="222" t="n">
        <v>7747316</v>
      </c>
      <c r="AA42" s="222" t="n">
        <v>8776501</v>
      </c>
      <c r="AB42" s="222" t="n">
        <v>9539153</v>
      </c>
      <c r="AC42" s="222" t="n">
        <v>11227289</v>
      </c>
      <c r="AD42" s="222" t="n">
        <v>11596659</v>
      </c>
      <c r="AE42" s="222" t="n">
        <v>13010927</v>
      </c>
      <c r="AF42" s="222" t="n">
        <v>13424620</v>
      </c>
      <c r="AG42" s="222" t="n">
        <v>17010204</v>
      </c>
      <c r="AH42" s="222" t="n">
        <v>17753545</v>
      </c>
      <c r="AI42" s="222" t="n">
        <v>17269891</v>
      </c>
      <c r="AJ42" s="222" t="n">
        <v>17141847</v>
      </c>
      <c r="AK42" s="222" t="n">
        <v>17118109</v>
      </c>
      <c r="AL42" s="222" t="n">
        <v>18069729</v>
      </c>
      <c r="AM42" s="222" t="n">
        <v>18514270</v>
      </c>
      <c r="AN42" s="222" t="n">
        <v>18692213</v>
      </c>
      <c r="AO42" s="222" t="n">
        <v>19175650</v>
      </c>
      <c r="AP42" s="222" t="n">
        <v>19568055</v>
      </c>
      <c r="AQ42" s="222" t="n">
        <v>18396849</v>
      </c>
      <c r="AR42" s="222" t="n">
        <v>19193319</v>
      </c>
      <c r="AS42" s="222" t="n">
        <v>19620455</v>
      </c>
      <c r="AT42" s="222" t="n">
        <v>19392197</v>
      </c>
      <c r="AU42" s="222" t="n">
        <v>21239789</v>
      </c>
      <c r="AV42" s="222" t="n">
        <v>24907244</v>
      </c>
      <c r="AW42" s="222" t="n">
        <v>27796480</v>
      </c>
    </row>
    <row r="43">
      <c r="A43" s="20" t="inlineStr">
        <is>
          <t>Empréstimos e Financiamentos</t>
        </is>
      </c>
      <c r="B43" s="220" t="n">
        <v>4255311</v>
      </c>
      <c r="C43" s="220" t="n">
        <v>4158975</v>
      </c>
      <c r="D43" s="220" t="n">
        <v>4601962</v>
      </c>
      <c r="E43" s="220" t="n">
        <v>4971637</v>
      </c>
      <c r="F43" s="220" t="n">
        <v>4657867</v>
      </c>
      <c r="G43" s="220" t="n">
        <v>4059244</v>
      </c>
      <c r="H43" s="220" t="n">
        <v>3905643</v>
      </c>
      <c r="I43" s="220" t="n">
        <v>3925637</v>
      </c>
      <c r="J43" s="220" t="n">
        <v>4223437</v>
      </c>
      <c r="K43" s="220" t="n">
        <v>4142537</v>
      </c>
      <c r="L43" s="220" t="n">
        <v>4142409</v>
      </c>
      <c r="M43" s="220" t="n">
        <v>4014976</v>
      </c>
      <c r="N43" s="220" t="n">
        <v>3793117</v>
      </c>
      <c r="O43" s="220" t="n">
        <v>3717987</v>
      </c>
      <c r="P43" s="220" t="n">
        <v>4413882</v>
      </c>
      <c r="R43" s="220" t="n">
        <v>4386839</v>
      </c>
      <c r="S43" s="220" t="n">
        <v>4592672</v>
      </c>
      <c r="T43" s="220" t="n">
        <v>5137966</v>
      </c>
      <c r="U43" s="220" t="n">
        <v>5014144</v>
      </c>
      <c r="V43" s="220" t="n">
        <v>4914334</v>
      </c>
      <c r="W43" s="220" t="n">
        <v>4802576</v>
      </c>
      <c r="X43" s="220" t="n">
        <v>4967645</v>
      </c>
      <c r="Y43" s="220" t="n">
        <v>4884241</v>
      </c>
      <c r="Z43" s="220" t="n">
        <v>5838621</v>
      </c>
      <c r="AA43" s="220" t="n">
        <v>5990962</v>
      </c>
      <c r="AB43" s="220" t="n">
        <v>5984195</v>
      </c>
      <c r="AC43" s="220" t="n">
        <v>7791099</v>
      </c>
      <c r="AD43" s="220" t="n">
        <v>8160320</v>
      </c>
      <c r="AE43" s="220" t="n">
        <v>9850126</v>
      </c>
      <c r="AF43" s="220" t="n">
        <v>9796361</v>
      </c>
      <c r="AG43" s="220" t="n">
        <v>14308399</v>
      </c>
      <c r="AH43" s="220" t="n">
        <v>14834935</v>
      </c>
      <c r="AI43" s="220" t="n">
        <v>14626801</v>
      </c>
      <c r="AJ43" s="220" t="n">
        <v>13882709</v>
      </c>
      <c r="AK43" s="220" t="n">
        <v>13859584</v>
      </c>
      <c r="AL43" s="220" t="n">
        <v>14765982</v>
      </c>
      <c r="AM43" s="220" t="n">
        <v>15217097</v>
      </c>
      <c r="AN43" s="220" t="n">
        <v>15702566</v>
      </c>
      <c r="AO43" s="220" t="n">
        <v>15846857</v>
      </c>
      <c r="AP43" s="220" t="n">
        <v>16444917</v>
      </c>
      <c r="AQ43" s="220" t="n">
        <v>15273193</v>
      </c>
      <c r="AR43" s="220" t="n">
        <v>16681594</v>
      </c>
      <c r="AS43" s="220" t="n">
        <v>17251385</v>
      </c>
      <c r="AT43" s="220" t="n">
        <v>16869217</v>
      </c>
      <c r="AU43" s="220" t="n">
        <v>18305409</v>
      </c>
      <c r="AV43" s="220" t="n">
        <v>21595736</v>
      </c>
      <c r="AW43" s="220" t="n">
        <v>24189695</v>
      </c>
    </row>
    <row r="44">
      <c r="A44" s="20" t="inlineStr">
        <is>
          <t>Debêntures</t>
        </is>
      </c>
      <c r="B44" s="220" t="n"/>
      <c r="C44" s="220" t="n"/>
      <c r="D44" s="220" t="n"/>
      <c r="E44" s="220" t="n"/>
      <c r="F44" s="220" t="n"/>
      <c r="G44" s="220" t="n"/>
      <c r="H44" s="220" t="n"/>
      <c r="I44" s="220" t="n"/>
      <c r="J44" s="220" t="n"/>
      <c r="K44" s="220" t="n"/>
      <c r="L44" s="220" t="n"/>
      <c r="M44" s="220" t="n"/>
      <c r="N44" s="220" t="n"/>
      <c r="O44" s="220" t="n"/>
      <c r="P44" s="220" t="n"/>
      <c r="R44" s="220" t="n"/>
      <c r="S44" s="220" t="n"/>
      <c r="T44" s="220" t="n"/>
      <c r="U44" s="220" t="n"/>
      <c r="V44" s="220" t="n"/>
      <c r="W44" s="220" t="n"/>
      <c r="X44" s="220" t="n"/>
      <c r="Y44" s="220" t="n"/>
      <c r="Z44" s="220" t="n"/>
      <c r="AA44" s="220" t="n">
        <v>410169</v>
      </c>
      <c r="AB44" s="220" t="n">
        <v>1162158</v>
      </c>
      <c r="AC44" s="220" t="n">
        <v>1018755</v>
      </c>
      <c r="AD44" s="220" t="n">
        <v>1070263</v>
      </c>
      <c r="AE44" s="220" t="n">
        <v>1165761</v>
      </c>
      <c r="AF44" s="220" t="n">
        <v>1387647</v>
      </c>
      <c r="AG44" s="220" t="n">
        <v>1196629</v>
      </c>
      <c r="AH44" s="220" t="n">
        <v>1140679</v>
      </c>
      <c r="AI44" s="220" t="n">
        <v>900841</v>
      </c>
      <c r="AJ44" s="220" t="n">
        <v>891253</v>
      </c>
      <c r="AK44" s="220" t="n">
        <v>873095</v>
      </c>
      <c r="AL44" s="220" t="n">
        <v>864456</v>
      </c>
      <c r="AM44" s="220" t="n">
        <v>686216</v>
      </c>
      <c r="AN44" s="220" t="n">
        <v>660268</v>
      </c>
      <c r="AO44" s="220" t="n">
        <v>660814</v>
      </c>
      <c r="AP44" s="220" t="n">
        <v>634594</v>
      </c>
      <c r="AQ44" s="220" t="n">
        <v>639112</v>
      </c>
      <c r="AR44" s="220" t="n">
        <v>611521</v>
      </c>
      <c r="AS44" s="220" t="n">
        <v>616191</v>
      </c>
      <c r="AT44" s="220" t="n">
        <v>600990</v>
      </c>
      <c r="AU44" s="220" t="n">
        <v>601518</v>
      </c>
      <c r="AV44" s="220" t="n">
        <v>1340570</v>
      </c>
      <c r="AW44" s="220" t="n">
        <v>1455579</v>
      </c>
    </row>
    <row r="45">
      <c r="A45" s="20" t="inlineStr">
        <is>
          <t>Imp Renda e C.social diferidos</t>
        </is>
      </c>
      <c r="B45" s="220" t="n">
        <v>4560</v>
      </c>
      <c r="C45" s="220" t="n">
        <v>9012</v>
      </c>
      <c r="D45" s="220" t="n">
        <v>5081</v>
      </c>
      <c r="E45" s="220" t="n">
        <v>956828</v>
      </c>
      <c r="F45" s="220" t="n">
        <v>861698</v>
      </c>
      <c r="G45" s="220" t="n">
        <v>1040030</v>
      </c>
      <c r="H45" s="220" t="n">
        <v>1085010</v>
      </c>
      <c r="I45" s="220" t="n">
        <v>1047513</v>
      </c>
      <c r="J45" s="220" t="n">
        <v>1051039</v>
      </c>
      <c r="K45" s="220" t="n">
        <v>1064278</v>
      </c>
      <c r="L45" s="220" t="n">
        <v>1145218</v>
      </c>
      <c r="M45" s="220" t="n">
        <v>1235635</v>
      </c>
      <c r="N45" s="220" t="n">
        <v>1275130</v>
      </c>
      <c r="O45" s="220" t="n">
        <v>1318502</v>
      </c>
      <c r="P45" s="220" t="n">
        <v>1136755</v>
      </c>
      <c r="R45" s="220" t="n">
        <v>1101160</v>
      </c>
      <c r="S45" s="220" t="n">
        <v>1258742</v>
      </c>
      <c r="T45" s="220" t="n">
        <v>1253312</v>
      </c>
      <c r="U45" s="220" t="n">
        <v>1362021</v>
      </c>
      <c r="V45" s="220" t="n">
        <v>1392257</v>
      </c>
      <c r="W45" s="220" t="n">
        <v>1410149</v>
      </c>
      <c r="X45" s="220" t="n">
        <v>1290668</v>
      </c>
      <c r="Y45" s="220" t="n">
        <v>1287082</v>
      </c>
      <c r="Z45" s="220" t="n">
        <v>1220187</v>
      </c>
      <c r="AA45" s="220" t="n">
        <v>1691752</v>
      </c>
      <c r="AB45" s="220" t="n">
        <v>1716346</v>
      </c>
      <c r="AC45" s="220" t="n">
        <v>1743577</v>
      </c>
      <c r="AD45" s="220" t="n">
        <v>1699823</v>
      </c>
      <c r="AE45" s="220" t="n">
        <v>1282760</v>
      </c>
      <c r="AF45" s="220" t="n">
        <v>1428556</v>
      </c>
      <c r="AG45" s="220" t="n">
        <v>706916</v>
      </c>
      <c r="AH45" s="220" t="n">
        <v>954269</v>
      </c>
      <c r="AI45" s="220" t="n">
        <v>927575</v>
      </c>
      <c r="AJ45" s="220" t="n">
        <v>1574646</v>
      </c>
      <c r="AK45" s="220" t="n">
        <v>1518875</v>
      </c>
      <c r="AL45" s="220" t="n">
        <v>1476866</v>
      </c>
      <c r="AM45" s="220" t="n">
        <v>1684751</v>
      </c>
      <c r="AN45" s="220" t="n">
        <v>1459751</v>
      </c>
      <c r="AO45" s="220" t="n">
        <v>1715491</v>
      </c>
      <c r="AP45" s="220" t="n">
        <v>1544578</v>
      </c>
      <c r="AQ45" s="220" t="n">
        <v>1538043</v>
      </c>
      <c r="AR45" s="220" t="n">
        <v>959388</v>
      </c>
      <c r="AS45" s="220" t="n">
        <v>828184</v>
      </c>
      <c r="AT45" s="220" t="n">
        <v>959906</v>
      </c>
      <c r="AU45" s="220" t="n">
        <v>1159406</v>
      </c>
      <c r="AV45" s="220" t="n">
        <v>1026549</v>
      </c>
      <c r="AW45" s="220" t="n">
        <v>1148023</v>
      </c>
    </row>
    <row r="46">
      <c r="A46" s="21" t="inlineStr">
        <is>
          <t>Outras contas a pagar - Investidores SCPs</t>
        </is>
      </c>
      <c r="B46" s="220" t="n">
        <v>0</v>
      </c>
      <c r="C46" s="220" t="n">
        <v>0</v>
      </c>
      <c r="D46" s="220" t="n">
        <v>0</v>
      </c>
      <c r="E46" s="220" t="n"/>
      <c r="F46" s="220" t="n">
        <v>29156</v>
      </c>
      <c r="G46" s="220" t="n">
        <v>30179</v>
      </c>
      <c r="H46" s="220" t="n">
        <v>37745</v>
      </c>
      <c r="I46" s="220" t="n">
        <v>56665</v>
      </c>
      <c r="J46" s="220" t="n">
        <v>65621</v>
      </c>
      <c r="K46" s="220" t="n">
        <v>85255</v>
      </c>
      <c r="L46" s="220" t="n">
        <v>147011</v>
      </c>
      <c r="M46" s="220" t="n">
        <v>160417</v>
      </c>
      <c r="N46" s="220" t="n">
        <v>180977</v>
      </c>
      <c r="O46" s="220" t="n">
        <v>187142</v>
      </c>
      <c r="P46" s="220" t="n">
        <v>193845</v>
      </c>
      <c r="R46" s="220" t="n">
        <v>200014</v>
      </c>
      <c r="S46" s="220" t="n">
        <v>205978</v>
      </c>
      <c r="T46" s="220" t="n">
        <v>216676</v>
      </c>
      <c r="U46" s="220" t="n">
        <v>227299</v>
      </c>
      <c r="V46" s="220" t="n">
        <v>69214</v>
      </c>
      <c r="W46" s="220" t="n">
        <v>70561</v>
      </c>
      <c r="X46" s="220" t="n">
        <v>72025</v>
      </c>
      <c r="Y46" s="220" t="n">
        <v>123826</v>
      </c>
      <c r="Z46" s="220" t="n">
        <v>125767</v>
      </c>
      <c r="AA46" s="220" t="n">
        <v>128070</v>
      </c>
      <c r="AB46" s="220" t="n">
        <v>129024</v>
      </c>
      <c r="AC46" s="220" t="n">
        <v>129443</v>
      </c>
      <c r="AD46" s="220" t="n">
        <v>131526</v>
      </c>
      <c r="AE46" s="220" t="n">
        <v>133760</v>
      </c>
      <c r="AF46" s="220" t="n">
        <v>136445</v>
      </c>
      <c r="AG46" s="220" t="n">
        <v>139179</v>
      </c>
      <c r="AH46" s="220" t="n">
        <v>143116</v>
      </c>
      <c r="AI46" s="220" t="n">
        <v>150791</v>
      </c>
      <c r="AJ46" s="220" t="n">
        <v>138146</v>
      </c>
      <c r="AK46" s="220" t="n">
        <v>218071</v>
      </c>
      <c r="AL46" s="220" t="n">
        <v>229315</v>
      </c>
      <c r="AM46" s="220" t="n">
        <v>209672</v>
      </c>
      <c r="AN46" s="220" t="n">
        <v>169424</v>
      </c>
      <c r="AO46" s="220" t="n">
        <v>268461</v>
      </c>
      <c r="AP46" s="220" t="n">
        <v>272938</v>
      </c>
      <c r="AQ46" s="220" t="n">
        <v>277218</v>
      </c>
      <c r="AR46" s="220" t="n">
        <v>284715</v>
      </c>
      <c r="AS46" s="220" t="n">
        <v>290994</v>
      </c>
      <c r="AT46" s="220" t="n">
        <v>301583</v>
      </c>
      <c r="AU46" s="220" t="n">
        <v>304653</v>
      </c>
      <c r="AV46" s="220" t="n">
        <v>310999</v>
      </c>
      <c r="AW46" s="220" t="n">
        <v>320209</v>
      </c>
    </row>
    <row r="47">
      <c r="A47" s="20" t="inlineStr">
        <is>
          <t>Adesão REFIS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  <c r="L47" s="220" t="n"/>
      <c r="M47" s="220" t="n"/>
      <c r="N47" s="220" t="n"/>
      <c r="O47" s="220" t="n"/>
      <c r="P47" s="220" t="n"/>
      <c r="R47" s="220" t="n"/>
      <c r="S47" s="220" t="n"/>
      <c r="T47" s="220" t="n">
        <v>388094</v>
      </c>
      <c r="U47" s="220" t="n">
        <v>388736</v>
      </c>
      <c r="V47" s="220" t="n">
        <v>389793</v>
      </c>
      <c r="W47" s="220" t="n">
        <v>390987</v>
      </c>
      <c r="X47" s="220" t="n">
        <v>392133</v>
      </c>
      <c r="Y47" s="220" t="n">
        <v>393082</v>
      </c>
      <c r="Z47" s="220" t="n">
        <v>393492</v>
      </c>
      <c r="AA47" s="220" t="n">
        <v>391697</v>
      </c>
      <c r="AB47" s="220" t="n">
        <v>389274</v>
      </c>
      <c r="AC47" s="220" t="n">
        <v>387045</v>
      </c>
      <c r="AD47" s="220" t="n">
        <v>384607</v>
      </c>
      <c r="AE47" s="220" t="n">
        <v>381847</v>
      </c>
      <c r="AF47" s="220" t="n">
        <v>377530</v>
      </c>
      <c r="AG47" s="220" t="n">
        <v>365317</v>
      </c>
      <c r="AH47" s="220" t="n">
        <v>361240</v>
      </c>
      <c r="AI47" s="220" t="n">
        <v>356552</v>
      </c>
      <c r="AJ47" s="220" t="n">
        <v>351624</v>
      </c>
      <c r="AK47" s="220" t="n">
        <v>346535</v>
      </c>
      <c r="AL47" s="220" t="n">
        <v>340364</v>
      </c>
      <c r="AM47" s="220" t="n">
        <v>333498</v>
      </c>
      <c r="AN47" s="220" t="n">
        <v>325616</v>
      </c>
      <c r="AO47" s="220" t="n">
        <v>321200</v>
      </c>
      <c r="AP47" s="220" t="n">
        <v>307476</v>
      </c>
      <c r="AQ47" s="220" t="n">
        <v>299834</v>
      </c>
      <c r="AR47" s="220" t="n">
        <v>288658</v>
      </c>
      <c r="AS47" s="220" t="n">
        <v>277338</v>
      </c>
      <c r="AT47" s="220" t="n">
        <v>265587</v>
      </c>
      <c r="AU47" s="220" t="n">
        <v>253639</v>
      </c>
      <c r="AV47" s="220" t="n">
        <v>0</v>
      </c>
      <c r="AW47" s="220" t="n">
        <v>0</v>
      </c>
    </row>
    <row r="48">
      <c r="A48" s="20" t="inlineStr">
        <is>
          <t xml:space="preserve">Passivo de direito de uso </t>
        </is>
      </c>
      <c r="B48" s="220" t="n"/>
      <c r="C48" s="220" t="n"/>
      <c r="D48" s="220" t="n"/>
      <c r="E48" s="220" t="n"/>
      <c r="F48" s="220" t="n"/>
      <c r="G48" s="220" t="n"/>
      <c r="H48" s="220" t="n"/>
      <c r="I48" s="220" t="n"/>
      <c r="J48" s="220" t="n"/>
      <c r="K48" s="220" t="n"/>
      <c r="L48" s="220" t="n"/>
      <c r="M48" s="220" t="n"/>
      <c r="N48" s="220" t="n"/>
      <c r="O48" s="220" t="n"/>
      <c r="P48" s="220" t="n"/>
      <c r="R48" s="220" t="n"/>
      <c r="S48" s="220" t="n"/>
      <c r="T48" s="220" t="n"/>
      <c r="U48" s="220" t="n"/>
      <c r="V48" s="220" t="n"/>
      <c r="W48" s="220" t="n"/>
      <c r="X48" s="220" t="n"/>
      <c r="Y48" s="220" t="n"/>
      <c r="Z48" s="220" t="n"/>
      <c r="AA48" s="220" t="n"/>
      <c r="AB48" s="220" t="n"/>
      <c r="AC48" s="220" t="n"/>
      <c r="AD48" s="220" t="n"/>
      <c r="AE48" s="220" t="n"/>
      <c r="AF48" s="220" t="n"/>
      <c r="AG48" s="220" t="n"/>
      <c r="AH48" s="220" t="n"/>
      <c r="AI48" s="220" t="n"/>
      <c r="AJ48" s="220" t="n"/>
      <c r="AK48" s="220" t="n"/>
      <c r="AL48" s="220" t="n"/>
      <c r="AM48" s="220" t="n"/>
      <c r="AN48" s="220" t="n"/>
      <c r="AO48" s="220" t="n"/>
      <c r="AP48" s="220" t="n"/>
      <c r="AQ48" s="220" t="n"/>
      <c r="AR48" s="220" t="n"/>
      <c r="AS48" s="220" t="n"/>
      <c r="AT48" s="220" t="n"/>
      <c r="AU48" s="220" t="n">
        <v>261487</v>
      </c>
      <c r="AV48" s="220" t="n">
        <v>287247</v>
      </c>
      <c r="AW48" s="220" t="n">
        <v>330248</v>
      </c>
    </row>
    <row r="49">
      <c r="A49" s="20" t="inlineStr">
        <is>
          <t>Outros</t>
        </is>
      </c>
      <c r="B49" s="220" t="n">
        <v>137553</v>
      </c>
      <c r="C49" s="220" t="n">
        <v>141919</v>
      </c>
      <c r="D49" s="220" t="n">
        <v>144986</v>
      </c>
      <c r="E49" s="220" t="n">
        <v>196150</v>
      </c>
      <c r="F49" s="220" t="n">
        <v>189554</v>
      </c>
      <c r="G49" s="220" t="n">
        <v>199328</v>
      </c>
      <c r="H49" s="220" t="n">
        <v>193393</v>
      </c>
      <c r="I49" s="220" t="n">
        <v>205307</v>
      </c>
      <c r="J49" s="220" t="n">
        <v>172764</v>
      </c>
      <c r="K49" s="220" t="n">
        <v>165296</v>
      </c>
      <c r="L49" s="220" t="n">
        <v>161358</v>
      </c>
      <c r="M49" s="220" t="n">
        <v>165217</v>
      </c>
      <c r="N49" s="220" t="n">
        <v>164751</v>
      </c>
      <c r="O49" s="220" t="n">
        <v>164660</v>
      </c>
      <c r="P49" s="220" t="n">
        <v>164062</v>
      </c>
      <c r="R49" s="220" t="n">
        <v>162674</v>
      </c>
      <c r="S49" s="220" t="n">
        <v>162938</v>
      </c>
      <c r="T49" s="220" t="n">
        <v>167830</v>
      </c>
      <c r="U49" s="220" t="n">
        <v>153864</v>
      </c>
      <c r="V49" s="220" t="n">
        <v>143995</v>
      </c>
      <c r="W49" s="220" t="n">
        <v>150221</v>
      </c>
      <c r="X49" s="220" t="n">
        <v>162703</v>
      </c>
      <c r="Y49" s="220" t="n">
        <v>156944</v>
      </c>
      <c r="Z49" s="220" t="n">
        <v>169249</v>
      </c>
      <c r="AA49" s="220" t="n">
        <v>163851</v>
      </c>
      <c r="AB49" s="220" t="n">
        <v>158156</v>
      </c>
      <c r="AC49" s="220" t="n">
        <v>157370</v>
      </c>
      <c r="AD49" s="220" t="n">
        <v>150120</v>
      </c>
      <c r="AE49" s="220" t="n">
        <v>196673</v>
      </c>
      <c r="AF49" s="220" t="n">
        <v>298081</v>
      </c>
      <c r="AG49" s="220" t="n">
        <v>293764</v>
      </c>
      <c r="AH49" s="220" t="n">
        <v>319306</v>
      </c>
      <c r="AI49" s="220" t="n">
        <v>307331</v>
      </c>
      <c r="AJ49" s="220" t="n">
        <v>303469</v>
      </c>
      <c r="AK49" s="220" t="n">
        <v>301949</v>
      </c>
      <c r="AL49" s="220" t="n">
        <v>392746</v>
      </c>
      <c r="AM49" s="220" t="n">
        <v>383036</v>
      </c>
      <c r="AN49" s="220" t="n">
        <v>374588</v>
      </c>
      <c r="AO49" s="220" t="n">
        <v>362827</v>
      </c>
      <c r="AP49" s="220" t="n">
        <v>363552</v>
      </c>
      <c r="AQ49" s="220" t="n">
        <v>369449</v>
      </c>
      <c r="AR49" s="220" t="n">
        <v>367443</v>
      </c>
      <c r="AS49" s="220" t="n">
        <v>356363</v>
      </c>
      <c r="AT49" s="220" t="n">
        <v>394914</v>
      </c>
      <c r="AU49" s="220" t="n">
        <v>353677</v>
      </c>
      <c r="AV49" s="220" t="n">
        <v>346143</v>
      </c>
      <c r="AW49" s="220" t="n">
        <v>352726</v>
      </c>
    </row>
    <row r="50">
      <c r="A50" s="20" t="n"/>
      <c r="C50" s="220" t="n"/>
      <c r="D50" s="220" t="n"/>
      <c r="E50" s="220" t="n"/>
      <c r="F50" s="220" t="n"/>
      <c r="G50" s="220" t="n"/>
      <c r="H50" s="220" t="n"/>
      <c r="I50" s="220" t="n"/>
      <c r="J50" s="220" t="n"/>
      <c r="K50" s="220" t="n"/>
      <c r="L50" s="220" t="n"/>
      <c r="M50" s="220" t="n"/>
      <c r="N50" s="220" t="n"/>
      <c r="O50" s="220" t="n"/>
      <c r="P50" s="220" t="n"/>
      <c r="R50" s="220" t="n"/>
      <c r="S50" s="220" t="n"/>
      <c r="T50" s="220" t="n"/>
      <c r="U50" s="220" t="n"/>
      <c r="V50" s="220" t="n"/>
      <c r="W50" s="220" t="n"/>
      <c r="X50" s="220" t="n"/>
      <c r="Y50" s="220" t="n"/>
      <c r="Z50" s="220" t="n"/>
      <c r="AA50" s="220" t="n"/>
      <c r="AB50" s="220" t="n"/>
      <c r="AC50" s="220" t="n"/>
      <c r="AD50" s="220" t="n"/>
      <c r="AE50" s="220" t="n"/>
      <c r="AF50" s="220" t="n"/>
    </row>
    <row r="51" hidden="1" s="192">
      <c r="A51" s="3" t="inlineStr">
        <is>
          <t>Participações dos Minoritários</t>
        </is>
      </c>
      <c r="B51" s="222" t="n">
        <v>134005</v>
      </c>
      <c r="C51" s="222" t="n">
        <v>136379</v>
      </c>
      <c r="D51" s="222" t="n">
        <v>138517</v>
      </c>
      <c r="E51" s="222" t="n">
        <v>27974</v>
      </c>
      <c r="F51" s="220" t="n">
        <v>0</v>
      </c>
      <c r="G51" s="220" t="n">
        <v>0</v>
      </c>
      <c r="H51" s="220" t="n">
        <v>0</v>
      </c>
      <c r="I51" s="220" t="n">
        <v>0</v>
      </c>
      <c r="J51" s="220" t="n">
        <v>0</v>
      </c>
      <c r="K51" s="220" t="n">
        <v>0</v>
      </c>
      <c r="L51" s="220" t="n">
        <v>0</v>
      </c>
      <c r="M51" s="220" t="n">
        <v>0</v>
      </c>
      <c r="N51" s="220" t="n">
        <v>0</v>
      </c>
      <c r="O51" s="220" t="n">
        <v>0</v>
      </c>
      <c r="P51" s="220" t="n">
        <v>0</v>
      </c>
      <c r="R51" s="220" t="n">
        <v>0</v>
      </c>
      <c r="S51" s="220" t="n">
        <v>0</v>
      </c>
      <c r="T51" s="220" t="n">
        <v>0</v>
      </c>
      <c r="U51" s="220" t="n">
        <v>0</v>
      </c>
      <c r="V51" s="220" t="n">
        <v>0</v>
      </c>
      <c r="W51" s="220" t="n"/>
      <c r="X51" s="220" t="n"/>
      <c r="Y51" s="220" t="n"/>
      <c r="Z51" s="220" t="n"/>
      <c r="AA51" s="220" t="n"/>
      <c r="AB51" s="220" t="n"/>
      <c r="AC51" s="220" t="n"/>
      <c r="AD51" s="220" t="n"/>
      <c r="AE51" s="220" t="n"/>
      <c r="AF51" s="220" t="n"/>
    </row>
    <row r="52">
      <c r="A52" s="20" t="n"/>
      <c r="C52" s="220" t="n"/>
      <c r="D52" s="220" t="n"/>
      <c r="E52" s="220" t="n"/>
      <c r="F52" s="220" t="n"/>
      <c r="G52" s="220" t="n"/>
      <c r="H52" s="220" t="n"/>
      <c r="I52" s="220" t="n"/>
      <c r="J52" s="220" t="n"/>
      <c r="K52" s="220" t="n"/>
      <c r="L52" s="220" t="n"/>
      <c r="M52" s="220" t="n"/>
      <c r="N52" s="220" t="n"/>
      <c r="O52" s="220" t="n"/>
      <c r="P52" s="220" t="n"/>
      <c r="R52" s="220" t="n"/>
      <c r="S52" s="220" t="n"/>
      <c r="T52" s="220" t="n"/>
      <c r="U52" s="220" t="n"/>
      <c r="V52" s="220" t="n"/>
      <c r="W52" s="220" t="n"/>
      <c r="X52" s="220" t="n"/>
      <c r="Y52" s="220" t="n"/>
      <c r="Z52" s="220" t="n"/>
      <c r="AA52" s="220" t="n"/>
      <c r="AB52" s="220" t="n"/>
      <c r="AC52" s="220" t="n"/>
      <c r="AD52" s="220" t="n"/>
      <c r="AE52" s="220" t="n"/>
      <c r="AF52" s="220" t="n"/>
      <c r="AG52" s="222" t="n"/>
      <c r="AH52" s="222" t="n"/>
      <c r="AI52" s="222" t="n"/>
      <c r="AJ52" s="222" t="n"/>
      <c r="AK52" s="222" t="n"/>
      <c r="AL52" s="222" t="n"/>
      <c r="AM52" s="222" t="n"/>
      <c r="AN52" s="222" t="n"/>
      <c r="AO52" s="222" t="n"/>
      <c r="AP52" s="222" t="n"/>
      <c r="AQ52" s="222" t="n"/>
    </row>
    <row r="53">
      <c r="A53" s="3" t="inlineStr">
        <is>
          <t>Patrim.Líquido - acionistas controladores</t>
        </is>
      </c>
      <c r="B53" s="222" t="n">
        <v>2818325</v>
      </c>
      <c r="C53" s="222" t="n">
        <v>2993186</v>
      </c>
      <c r="D53" s="222" t="n">
        <v>2622664</v>
      </c>
      <c r="E53" s="222" t="n">
        <v>4628577</v>
      </c>
      <c r="F53" s="222" t="n">
        <v>4586497</v>
      </c>
      <c r="G53" s="222" t="n">
        <v>4818005</v>
      </c>
      <c r="H53" s="222" t="n">
        <v>4928364</v>
      </c>
      <c r="I53" s="222" t="n">
        <v>4662159</v>
      </c>
      <c r="J53" s="222" t="n">
        <v>4703817</v>
      </c>
      <c r="K53" s="222" t="n">
        <v>4714093</v>
      </c>
      <c r="L53" s="222" t="n">
        <v>4817689</v>
      </c>
      <c r="M53" s="222" t="n">
        <v>4994085</v>
      </c>
      <c r="N53" s="222" t="n">
        <v>5132943</v>
      </c>
      <c r="O53" s="222" t="n">
        <v>5142031</v>
      </c>
      <c r="P53" s="222" t="n">
        <v>4836228</v>
      </c>
      <c r="R53" s="222" t="n">
        <v>4958302</v>
      </c>
      <c r="S53" s="222" t="n">
        <v>5407086</v>
      </c>
      <c r="T53" s="222" t="n">
        <v>5025972</v>
      </c>
      <c r="U53" s="222" t="n">
        <v>5359483</v>
      </c>
      <c r="V53" s="222" t="n">
        <v>5420921</v>
      </c>
      <c r="W53" s="222" t="n">
        <v>5617611</v>
      </c>
      <c r="X53" s="222" t="n">
        <v>5411757</v>
      </c>
      <c r="Y53" s="222" t="n">
        <v>5466325</v>
      </c>
      <c r="Z53" s="222" t="n">
        <v>5394609</v>
      </c>
      <c r="AA53" s="222" t="n">
        <v>7165502</v>
      </c>
      <c r="AB53" s="222" t="n">
        <v>7434756</v>
      </c>
      <c r="AC53" s="222" t="n">
        <v>7290925</v>
      </c>
      <c r="AD53" s="222" t="n">
        <v>7058323</v>
      </c>
      <c r="AE53" s="222" t="n">
        <v>6232945</v>
      </c>
      <c r="AF53" s="222" t="n">
        <v>6510960</v>
      </c>
      <c r="AG53" s="222" t="n">
        <v>4991741</v>
      </c>
      <c r="AH53" s="222" t="n">
        <v>5352340</v>
      </c>
      <c r="AI53" s="222" t="n">
        <v>6281508</v>
      </c>
      <c r="AJ53" s="222" t="n">
        <v>7421199</v>
      </c>
      <c r="AK53" s="222" t="n">
        <v>7329342</v>
      </c>
      <c r="AL53" s="222" t="n">
        <v>7100336</v>
      </c>
      <c r="AM53" s="222" t="n">
        <v>7682108</v>
      </c>
      <c r="AN53" s="222" t="n">
        <v>7128936</v>
      </c>
      <c r="AO53" s="222" t="n">
        <v>7497398</v>
      </c>
      <c r="AP53" s="222" t="n">
        <v>7234153</v>
      </c>
      <c r="AQ53" s="222" t="n">
        <v>7201132</v>
      </c>
      <c r="AR53" s="222" t="n">
        <v>6092665</v>
      </c>
      <c r="AS53" s="222" t="n">
        <v>6019922</v>
      </c>
      <c r="AT53" s="222" t="n">
        <v>6292235</v>
      </c>
      <c r="AU53" s="222" t="n">
        <v>6089063</v>
      </c>
      <c r="AV53" s="222" t="n">
        <v>5955725</v>
      </c>
      <c r="AW53" s="222" t="n">
        <v>5973561</v>
      </c>
    </row>
    <row r="54">
      <c r="A54" s="20" t="inlineStr">
        <is>
          <t>Capital Social Realizado</t>
        </is>
      </c>
      <c r="B54" s="220" t="n">
        <v>1500000</v>
      </c>
      <c r="C54" s="220" t="n">
        <v>1500000</v>
      </c>
      <c r="D54" s="220" t="n">
        <v>1500000</v>
      </c>
      <c r="E54" s="220" t="n">
        <v>1500000</v>
      </c>
      <c r="F54" s="220" t="n">
        <v>1500000</v>
      </c>
      <c r="G54" s="220" t="n">
        <v>1500000</v>
      </c>
      <c r="H54" s="220" t="n">
        <v>1500000</v>
      </c>
      <c r="I54" s="220" t="n">
        <v>1500000</v>
      </c>
      <c r="J54" s="220" t="n">
        <v>1500000</v>
      </c>
      <c r="K54" s="220" t="n">
        <v>1500000</v>
      </c>
      <c r="L54" s="220" t="n">
        <v>1500000</v>
      </c>
      <c r="M54" s="220" t="n">
        <v>1500000</v>
      </c>
      <c r="N54" s="220" t="n">
        <v>1500000</v>
      </c>
      <c r="O54" s="220" t="n">
        <v>1500000</v>
      </c>
      <c r="P54" s="220" t="n">
        <v>1500000</v>
      </c>
      <c r="R54" s="220" t="n">
        <v>2271500</v>
      </c>
      <c r="S54" s="220" t="n">
        <v>2271500</v>
      </c>
      <c r="T54" s="220" t="n">
        <v>2271500</v>
      </c>
      <c r="U54" s="220" t="n">
        <v>2271500</v>
      </c>
      <c r="V54" s="220" t="n">
        <v>2271500</v>
      </c>
      <c r="W54" s="220" t="n">
        <v>2271500</v>
      </c>
      <c r="X54" s="220" t="n">
        <v>2271500</v>
      </c>
      <c r="Y54" s="220" t="n">
        <v>2271500</v>
      </c>
      <c r="Z54" s="220" t="n">
        <v>2271500</v>
      </c>
      <c r="AA54" s="220" t="n">
        <v>2271500</v>
      </c>
      <c r="AB54" s="220" t="n">
        <v>2271500</v>
      </c>
      <c r="AC54" s="220" t="n">
        <v>2271500</v>
      </c>
      <c r="AD54" s="220" t="n">
        <v>2271500</v>
      </c>
      <c r="AE54" s="220" t="n">
        <v>2376000</v>
      </c>
      <c r="AF54" s="220" t="n">
        <v>2376000</v>
      </c>
      <c r="AG54" s="220" t="n">
        <v>2377849</v>
      </c>
      <c r="AH54" s="220" t="n">
        <v>2383104</v>
      </c>
      <c r="AI54" s="220" t="n">
        <v>2384474</v>
      </c>
      <c r="AJ54" s="220" t="n">
        <v>2384484</v>
      </c>
      <c r="AK54" s="220" t="n">
        <v>2384484</v>
      </c>
      <c r="AL54" s="220" t="n">
        <v>2384484</v>
      </c>
      <c r="AM54" s="220" t="n">
        <v>2384484</v>
      </c>
      <c r="AN54" s="220" t="n">
        <v>2384484</v>
      </c>
      <c r="AO54" s="220" t="n">
        <v>2384484</v>
      </c>
      <c r="AP54" s="220" t="n">
        <v>2516753</v>
      </c>
      <c r="AQ54" s="220" t="n">
        <v>4076035</v>
      </c>
      <c r="AR54" s="220" t="n">
        <v>4076035</v>
      </c>
      <c r="AS54" s="220" t="n">
        <v>4076035</v>
      </c>
      <c r="AT54" s="220" t="n">
        <v>4076035</v>
      </c>
      <c r="AU54" s="220" t="n">
        <v>4076035</v>
      </c>
      <c r="AV54" s="220" t="n">
        <v>4076035</v>
      </c>
      <c r="AW54" s="220" t="n">
        <v>4076035</v>
      </c>
    </row>
    <row r="55">
      <c r="A55" s="20" t="inlineStr">
        <is>
          <t>Reservas de Capital</t>
        </is>
      </c>
      <c r="B55" s="220" t="n">
        <v>84629</v>
      </c>
      <c r="C55" s="220" t="n">
        <v>84696</v>
      </c>
      <c r="D55" s="220" t="n">
        <v>84491</v>
      </c>
      <c r="E55" s="220" t="n">
        <v>84491</v>
      </c>
      <c r="F55" s="220" t="n">
        <v>84491</v>
      </c>
      <c r="G55" s="220" t="n">
        <v>84491</v>
      </c>
      <c r="H55" s="220" t="n">
        <v>84491</v>
      </c>
      <c r="I55" s="220" t="n">
        <v>84491</v>
      </c>
      <c r="J55" s="220" t="n">
        <v>84491</v>
      </c>
      <c r="K55" s="220" t="n">
        <v>84491</v>
      </c>
      <c r="L55" s="220" t="n">
        <v>84491</v>
      </c>
      <c r="M55" s="220" t="n">
        <v>84491</v>
      </c>
      <c r="N55" s="220" t="n">
        <v>84491</v>
      </c>
      <c r="O55" s="220" t="n">
        <v>84491</v>
      </c>
      <c r="P55" s="220" t="n">
        <v>84491</v>
      </c>
      <c r="R55" s="220" t="n"/>
      <c r="S55" s="220" t="n"/>
      <c r="T55" s="220" t="n"/>
      <c r="U55" s="220" t="n">
        <v>1423</v>
      </c>
      <c r="V55" s="220" t="n">
        <v>1423</v>
      </c>
      <c r="W55" s="220" t="n">
        <v>4417</v>
      </c>
      <c r="X55" s="220" t="n">
        <v>4417</v>
      </c>
      <c r="Y55" s="220" t="n">
        <v>4417</v>
      </c>
      <c r="Z55" s="220" t="n">
        <v>4419</v>
      </c>
      <c r="AA55" s="220" t="n">
        <v>1267416</v>
      </c>
      <c r="AB55" s="220" t="n">
        <v>1295919</v>
      </c>
      <c r="AC55" s="220" t="n">
        <v>1295919</v>
      </c>
      <c r="AD55" s="220" t="n">
        <v>1295919</v>
      </c>
      <c r="AE55" s="220" t="n">
        <v>1301030</v>
      </c>
      <c r="AF55" s="220" t="n">
        <v>1301030</v>
      </c>
      <c r="AG55" s="220" t="n">
        <v>1299181</v>
      </c>
      <c r="AH55" s="220" t="n">
        <v>1293962</v>
      </c>
      <c r="AI55" s="220" t="n">
        <v>1301916</v>
      </c>
      <c r="AJ55" s="220" t="n">
        <v>1301907</v>
      </c>
      <c r="AK55" s="220" t="n">
        <v>1301907</v>
      </c>
      <c r="AL55" s="220" t="n">
        <v>1301907</v>
      </c>
      <c r="AM55" s="220" t="n">
        <v>1313689</v>
      </c>
      <c r="AN55" s="220" t="n">
        <v>1319553</v>
      </c>
      <c r="AO55" s="220" t="n">
        <v>1319553</v>
      </c>
      <c r="AP55" s="220" t="n">
        <v>1187329</v>
      </c>
      <c r="AQ55" s="220" t="n">
        <v>-361268</v>
      </c>
      <c r="AR55" s="220" t="n">
        <v>-361231</v>
      </c>
      <c r="AS55" s="220" t="n">
        <v>-361231</v>
      </c>
      <c r="AT55" s="220" t="n">
        <v>-361231</v>
      </c>
      <c r="AU55" s="220" t="n">
        <v>-350624</v>
      </c>
      <c r="AV55" s="220" t="n">
        <v>-350624</v>
      </c>
      <c r="AW55" s="220" t="n">
        <v>-350622</v>
      </c>
    </row>
    <row r="56">
      <c r="A56" s="20" t="inlineStr">
        <is>
          <t>Reservas de Reavaliação</t>
        </is>
      </c>
      <c r="B56" s="220" t="n">
        <v>82592</v>
      </c>
      <c r="C56" s="220" t="n">
        <v>82067</v>
      </c>
      <c r="D56" s="220" t="n">
        <v>81541</v>
      </c>
      <c r="E56" s="220" t="n">
        <v>53472</v>
      </c>
      <c r="F56" s="220" t="n">
        <v>53126</v>
      </c>
      <c r="G56" s="220" t="n">
        <v>52783</v>
      </c>
      <c r="H56" s="220" t="n">
        <v>52445</v>
      </c>
      <c r="I56" s="220" t="n">
        <v>52117</v>
      </c>
      <c r="J56" s="220" t="n">
        <v>51938</v>
      </c>
      <c r="K56" s="220" t="n">
        <v>51761</v>
      </c>
      <c r="L56" s="220" t="n">
        <v>51583</v>
      </c>
      <c r="M56" s="220" t="n">
        <v>51404</v>
      </c>
      <c r="N56" s="220" t="n">
        <v>51224</v>
      </c>
      <c r="O56" s="220" t="n">
        <v>51047</v>
      </c>
      <c r="P56" s="220" t="n">
        <v>50871</v>
      </c>
      <c r="R56" s="220" t="n">
        <v>50691</v>
      </c>
      <c r="S56" s="220" t="n">
        <v>50513</v>
      </c>
      <c r="T56" s="220" t="n">
        <v>50336</v>
      </c>
      <c r="U56" s="220" t="n">
        <v>50158</v>
      </c>
      <c r="V56" s="220" t="n">
        <v>49980</v>
      </c>
      <c r="W56" s="220" t="n">
        <v>49802</v>
      </c>
      <c r="X56" s="220" t="n">
        <v>49625</v>
      </c>
      <c r="Y56" s="220" t="n">
        <v>49447</v>
      </c>
      <c r="Z56" s="220" t="n">
        <v>49270</v>
      </c>
      <c r="AA56" s="220" t="n">
        <v>49091</v>
      </c>
      <c r="AB56" s="220" t="n">
        <v>48914</v>
      </c>
      <c r="AC56" s="220" t="n">
        <v>48789</v>
      </c>
      <c r="AD56" s="220" t="n">
        <v>48767</v>
      </c>
      <c r="AE56" s="220" t="n">
        <v>48746</v>
      </c>
      <c r="AF56" s="220" t="n">
        <v>48730</v>
      </c>
      <c r="AG56" s="220" t="n">
        <v>48716</v>
      </c>
      <c r="AH56" s="220" t="n">
        <v>48705</v>
      </c>
      <c r="AI56" s="220" t="n">
        <v>48706</v>
      </c>
      <c r="AJ56" s="220" t="n">
        <v>48705</v>
      </c>
      <c r="AK56" s="220" t="n">
        <v>48705</v>
      </c>
      <c r="AL56" s="220" t="n">
        <v>48705</v>
      </c>
      <c r="AM56" s="220" t="n">
        <v>48704</v>
      </c>
      <c r="AN56" s="220" t="n">
        <v>48704</v>
      </c>
      <c r="AO56" s="220" t="n">
        <v>48704</v>
      </c>
      <c r="AP56" s="220" t="n">
        <v>48704</v>
      </c>
      <c r="AQ56" s="220" t="n">
        <v>48704</v>
      </c>
      <c r="AR56" s="220" t="n">
        <v>48705</v>
      </c>
      <c r="AS56" s="220" t="n">
        <v>48705</v>
      </c>
      <c r="AT56" s="220" t="n">
        <v>48705</v>
      </c>
      <c r="AU56" s="220" t="n">
        <v>48705</v>
      </c>
      <c r="AV56" s="220" t="n">
        <v>48705</v>
      </c>
      <c r="AW56" s="220" t="n">
        <v>48705</v>
      </c>
    </row>
    <row r="57">
      <c r="A57" s="21" t="inlineStr">
        <is>
          <t>Reservas de Lucros</t>
        </is>
      </c>
      <c r="B57" s="220" t="n">
        <v>1147308</v>
      </c>
      <c r="C57" s="220" t="n">
        <v>1147308</v>
      </c>
      <c r="D57" s="220" t="n">
        <v>1147308</v>
      </c>
      <c r="E57" s="220" t="n">
        <v>1953918</v>
      </c>
      <c r="F57" s="220" t="n">
        <v>1885749</v>
      </c>
      <c r="G57" s="220" t="n">
        <v>1849817</v>
      </c>
      <c r="H57" s="220" t="n">
        <v>1827131</v>
      </c>
      <c r="I57" s="220" t="n">
        <v>2001024</v>
      </c>
      <c r="J57" s="220" t="n">
        <v>1978793</v>
      </c>
      <c r="K57" s="220" t="n">
        <v>1906617</v>
      </c>
      <c r="L57" s="220" t="n">
        <v>1918153</v>
      </c>
      <c r="M57" s="220" t="n">
        <v>2403120</v>
      </c>
      <c r="N57" s="220" t="n">
        <v>2417879</v>
      </c>
      <c r="O57" s="220" t="n">
        <v>2333118</v>
      </c>
      <c r="P57" s="220" t="n">
        <v>2333118</v>
      </c>
      <c r="R57" s="220" t="n">
        <v>1692542</v>
      </c>
      <c r="S57" s="220" t="n">
        <v>2151238</v>
      </c>
      <c r="T57" s="220" t="n">
        <v>1767512</v>
      </c>
      <c r="U57" s="220" t="n">
        <v>2098528</v>
      </c>
      <c r="V57" s="220" t="n">
        <v>2170215</v>
      </c>
      <c r="W57" s="220" t="n">
        <v>2371947</v>
      </c>
      <c r="X57" s="220" t="n">
        <v>2094146</v>
      </c>
      <c r="Y57" s="220" t="n">
        <v>2223251</v>
      </c>
      <c r="Z57" s="220" t="n">
        <v>2159949</v>
      </c>
      <c r="AA57" s="220" t="n">
        <v>2677224</v>
      </c>
      <c r="AB57" s="220" t="n">
        <v>2920919</v>
      </c>
      <c r="AC57" s="220" t="n">
        <v>2776061</v>
      </c>
      <c r="AD57" s="220" t="n">
        <v>2534302</v>
      </c>
      <c r="AE57" s="220" t="n">
        <v>1599276</v>
      </c>
      <c r="AF57" s="220" t="n">
        <v>1879743</v>
      </c>
      <c r="AG57" s="220" t="n">
        <v>342555</v>
      </c>
      <c r="AH57" s="220" t="n">
        <v>748162</v>
      </c>
      <c r="AI57" s="220" t="n">
        <v>1683923</v>
      </c>
      <c r="AJ57" s="220" t="n">
        <v>2834413</v>
      </c>
      <c r="AK57" s="220" t="n">
        <v>2743170</v>
      </c>
      <c r="AL57" s="220" t="n">
        <v>2543084</v>
      </c>
      <c r="AM57" s="220" t="n">
        <v>3118479</v>
      </c>
      <c r="AN57" s="220" t="n">
        <v>2558404</v>
      </c>
      <c r="AO57" s="220" t="n">
        <v>2928366</v>
      </c>
      <c r="AP57" s="220" t="n">
        <v>2699580</v>
      </c>
      <c r="AQ57" s="220" t="n">
        <v>2653234</v>
      </c>
      <c r="AR57" s="220" t="n">
        <v>1546599</v>
      </c>
      <c r="AS57" s="220" t="n">
        <v>1473418</v>
      </c>
      <c r="AT57" s="220" t="n">
        <v>1747032</v>
      </c>
      <c r="AU57" s="220" t="n">
        <v>1748219</v>
      </c>
      <c r="AV57" s="220" t="n">
        <v>1748219</v>
      </c>
      <c r="AW57" s="220" t="n">
        <v>1748219</v>
      </c>
    </row>
    <row r="58">
      <c r="A58" s="20" t="inlineStr">
        <is>
          <t>Ajustes de avaliação Patrimonial</t>
        </is>
      </c>
      <c r="B58" s="220" t="n">
        <v>0</v>
      </c>
      <c r="C58" s="220" t="n">
        <v>0</v>
      </c>
      <c r="D58" s="220" t="n">
        <v>0</v>
      </c>
      <c r="E58" s="220" t="n">
        <v>1116506</v>
      </c>
      <c r="F58" s="220" t="n">
        <v>1113652</v>
      </c>
      <c r="G58" s="220" t="n">
        <v>1107587</v>
      </c>
      <c r="H58" s="220" t="n">
        <v>1104636</v>
      </c>
      <c r="I58" s="220" t="n">
        <v>1104337</v>
      </c>
      <c r="J58" s="220" t="n">
        <v>1104412</v>
      </c>
      <c r="K58" s="220" t="n">
        <v>1104345</v>
      </c>
      <c r="L58" s="220" t="n">
        <v>1102238</v>
      </c>
      <c r="M58" s="220" t="n">
        <v>1083423</v>
      </c>
      <c r="N58" s="220" t="n">
        <v>1082079</v>
      </c>
      <c r="O58" s="220" t="n">
        <v>1080024</v>
      </c>
      <c r="P58" s="220" t="n">
        <v>1085401</v>
      </c>
      <c r="R58" s="220" t="n">
        <v>1085045</v>
      </c>
      <c r="S58" s="220" t="n">
        <v>1083313</v>
      </c>
      <c r="T58" s="220" t="n">
        <v>1086102</v>
      </c>
      <c r="U58" s="220" t="n">
        <v>1082771</v>
      </c>
      <c r="V58" s="220" t="n">
        <v>1081379</v>
      </c>
      <c r="W58" s="220" t="n">
        <v>1069721</v>
      </c>
      <c r="X58" s="220" t="n">
        <v>1144154</v>
      </c>
      <c r="Y58" s="220" t="n">
        <v>1069795</v>
      </c>
      <c r="Z58" s="220" t="n">
        <v>1065436</v>
      </c>
      <c r="AA58" s="220" t="n">
        <v>1053329</v>
      </c>
      <c r="AB58" s="220" t="n">
        <v>1052896</v>
      </c>
      <c r="AC58" s="220" t="n">
        <v>1056267</v>
      </c>
      <c r="AD58" s="220" t="n">
        <v>1065446</v>
      </c>
      <c r="AE58" s="220" t="n">
        <v>1072603</v>
      </c>
      <c r="AF58" s="220" t="n">
        <v>1069759</v>
      </c>
      <c r="AG58" s="220" t="n">
        <v>1087742</v>
      </c>
      <c r="AH58" s="220" t="n">
        <v>1064181</v>
      </c>
      <c r="AI58" s="220" t="n">
        <v>1044309</v>
      </c>
      <c r="AJ58" s="220" t="n">
        <v>1040111</v>
      </c>
      <c r="AK58" s="220" t="n">
        <v>1042090</v>
      </c>
      <c r="AL58" s="220" t="n">
        <v>1028238</v>
      </c>
      <c r="AM58" s="220" t="n">
        <v>1022792</v>
      </c>
      <c r="AN58" s="220" t="n">
        <v>1023831</v>
      </c>
      <c r="AO58" s="220" t="n">
        <v>1022331</v>
      </c>
      <c r="AP58" s="220" t="n">
        <v>987916</v>
      </c>
      <c r="AQ58" s="220" t="n">
        <v>981008</v>
      </c>
      <c r="AR58" s="220" t="n">
        <v>979138</v>
      </c>
      <c r="AS58" s="220" t="n">
        <v>979610</v>
      </c>
      <c r="AT58" s="220" t="n">
        <v>978309</v>
      </c>
      <c r="AU58" s="220" t="n">
        <v>974739</v>
      </c>
      <c r="AV58" s="220" t="n">
        <v>972238</v>
      </c>
      <c r="AW58" s="220" t="n">
        <v>966932</v>
      </c>
    </row>
    <row r="59">
      <c r="A59" s="20" t="inlineStr">
        <is>
          <t>Ações em Tesouraria</t>
        </is>
      </c>
      <c r="B59" s="220" t="n">
        <v>-73701</v>
      </c>
      <c r="C59" s="220" t="n">
        <v>-73701</v>
      </c>
      <c r="D59" s="220" t="n">
        <v>-73701</v>
      </c>
      <c r="E59" s="220" t="n">
        <v>-79810</v>
      </c>
      <c r="F59" s="220" t="n">
        <v>-79810</v>
      </c>
      <c r="G59" s="220" t="n">
        <v>-79810</v>
      </c>
      <c r="H59" s="220" t="n">
        <v>-79810</v>
      </c>
      <c r="I59" s="220" t="n">
        <v>-79810</v>
      </c>
      <c r="J59" s="220" t="n">
        <v>-79810</v>
      </c>
      <c r="K59" s="220" t="n">
        <v>-79810</v>
      </c>
      <c r="L59" s="220" t="n">
        <v>-79810</v>
      </c>
      <c r="M59" s="220" t="n">
        <v>-128353</v>
      </c>
      <c r="N59" s="220" t="n">
        <v>-128353</v>
      </c>
      <c r="O59" s="220" t="n">
        <v>-128353</v>
      </c>
      <c r="P59" s="220" t="n">
        <v>-141476</v>
      </c>
      <c r="R59" s="220" t="n">
        <v>-141476</v>
      </c>
      <c r="S59" s="220" t="n">
        <v>-149478</v>
      </c>
      <c r="T59" s="220" t="n">
        <v>-149478</v>
      </c>
      <c r="U59" s="220" t="n">
        <v>-144897</v>
      </c>
      <c r="V59" s="220" t="n">
        <v>-153576</v>
      </c>
      <c r="W59" s="220" t="n">
        <v>-149776</v>
      </c>
      <c r="X59" s="220" t="n">
        <v>-152085</v>
      </c>
      <c r="Y59" s="220" t="n">
        <v>-152085</v>
      </c>
      <c r="Z59" s="220" t="n">
        <v>-155965</v>
      </c>
      <c r="AA59" s="220" t="n">
        <v>-153058</v>
      </c>
      <c r="AB59" s="220" t="n">
        <v>-155392</v>
      </c>
      <c r="AC59" s="220" t="n">
        <v>-157611</v>
      </c>
      <c r="AD59" s="220" t="n">
        <v>-157611</v>
      </c>
      <c r="AE59" s="220" t="n">
        <v>-164710</v>
      </c>
      <c r="AF59" s="220" t="n">
        <v>-164302</v>
      </c>
      <c r="AG59" s="220" t="n">
        <v>-164302</v>
      </c>
      <c r="AH59" s="220" t="n">
        <v>-185774</v>
      </c>
      <c r="AI59" s="220" t="n">
        <v>-181820</v>
      </c>
      <c r="AJ59" s="220" t="n">
        <v>-188421</v>
      </c>
      <c r="AK59" s="220" t="n">
        <v>-191014</v>
      </c>
      <c r="AL59" s="220" t="n">
        <v>-206082</v>
      </c>
      <c r="AM59" s="220" t="n">
        <v>-206040</v>
      </c>
      <c r="AN59" s="220" t="n">
        <v>-206040</v>
      </c>
      <c r="AO59" s="220" t="n">
        <v>-206040</v>
      </c>
      <c r="AP59" s="220" t="n">
        <v>-206129</v>
      </c>
      <c r="AQ59" s="220" t="n">
        <v>-196581</v>
      </c>
      <c r="AR59" s="220" t="n">
        <v>-196581</v>
      </c>
      <c r="AS59" s="220" t="n">
        <v>-196615</v>
      </c>
      <c r="AT59" s="220" t="n">
        <v>-196615</v>
      </c>
      <c r="AU59" s="220" t="n">
        <v>-187217</v>
      </c>
      <c r="AV59" s="220" t="n">
        <v>-351631</v>
      </c>
      <c r="AW59" s="220" t="n">
        <v>-328436</v>
      </c>
    </row>
    <row r="60">
      <c r="A60" s="20" t="inlineStr">
        <is>
          <t>Lucros Acumulados</t>
        </is>
      </c>
      <c r="B60" s="220" t="n">
        <v>77497</v>
      </c>
      <c r="C60" s="220" t="n">
        <v>252816</v>
      </c>
      <c r="D60" s="220" t="n">
        <v>-116975</v>
      </c>
      <c r="E60" s="220" t="n">
        <v>0</v>
      </c>
      <c r="F60" s="220" t="n">
        <v>29289</v>
      </c>
      <c r="G60" s="220" t="n">
        <v>303137</v>
      </c>
      <c r="H60" s="220" t="n">
        <v>439471</v>
      </c>
      <c r="I60" s="220" t="n">
        <v>0</v>
      </c>
      <c r="J60" s="220" t="n">
        <v>63993</v>
      </c>
      <c r="K60" s="220" t="n">
        <v>146689</v>
      </c>
      <c r="L60" s="220" t="n">
        <v>241034</v>
      </c>
      <c r="M60" s="220" t="n">
        <v>0</v>
      </c>
      <c r="N60" s="220" t="n">
        <v>125623</v>
      </c>
      <c r="O60" s="220" t="n">
        <v>221704</v>
      </c>
      <c r="P60" s="220" t="n">
        <v>-76177</v>
      </c>
      <c r="R60" s="220" t="n">
        <v>0</v>
      </c>
      <c r="S60" s="220" t="n">
        <v>0</v>
      </c>
      <c r="T60" s="220" t="n">
        <v>0</v>
      </c>
      <c r="U60" s="220" t="n">
        <v>0</v>
      </c>
      <c r="V60" s="220" t="n">
        <v>0</v>
      </c>
      <c r="W60" s="220" t="n"/>
      <c r="X60" s="220" t="n"/>
      <c r="Y60" s="220" t="n"/>
      <c r="Z60" s="220" t="n"/>
      <c r="AA60" s="220" t="n"/>
      <c r="AB60" s="220" t="n"/>
      <c r="AC60" s="220" t="n"/>
      <c r="AD60" s="220" t="n"/>
      <c r="AE60" s="220" t="n"/>
      <c r="AF60" s="220" t="n"/>
      <c r="AU60" s="220" t="n">
        <v>-220794</v>
      </c>
      <c r="AV60" s="220" t="n">
        <v>-187217</v>
      </c>
      <c r="AW60" s="220" t="n">
        <v>-187272</v>
      </c>
    </row>
    <row r="61">
      <c r="A61" s="22" t="n"/>
      <c r="C61" s="220" t="n"/>
      <c r="D61" s="220" t="n"/>
      <c r="E61" s="220" t="n"/>
      <c r="F61" s="220" t="n"/>
      <c r="G61" s="220" t="n"/>
      <c r="H61" s="220" t="n"/>
      <c r="I61" s="220" t="n"/>
      <c r="J61" s="220" t="n"/>
      <c r="K61" s="220" t="n"/>
      <c r="L61" s="220" t="n"/>
      <c r="M61" s="220" t="n"/>
      <c r="N61" s="220" t="n"/>
      <c r="O61" s="220" t="n"/>
      <c r="P61" s="220" t="n"/>
      <c r="R61" s="220" t="n"/>
      <c r="S61" s="220" t="n"/>
      <c r="T61" s="220" t="n"/>
      <c r="U61" s="220" t="n"/>
      <c r="V61" s="220" t="n"/>
      <c r="W61" s="220" t="n"/>
      <c r="X61" s="220" t="n"/>
      <c r="Y61" s="220" t="n"/>
      <c r="Z61" s="220" t="n"/>
      <c r="AA61" s="220" t="n"/>
      <c r="AB61" s="220" t="n"/>
      <c r="AC61" s="220" t="n"/>
      <c r="AD61" s="220" t="n"/>
      <c r="AE61" s="220" t="n"/>
      <c r="AF61" s="220" t="n"/>
      <c r="AT61" s="220" t="n"/>
      <c r="AU61" s="220" t="n"/>
      <c r="AV61" s="220" t="n"/>
      <c r="AW61" s="220" t="n"/>
    </row>
    <row r="62">
      <c r="A62" s="13" t="inlineStr">
        <is>
          <t>Patrim.Líquido - atribuido aos não controladores</t>
        </is>
      </c>
      <c r="B62" s="220" t="n">
        <v>0</v>
      </c>
      <c r="C62" s="220" t="n">
        <v>0</v>
      </c>
      <c r="D62" s="220" t="n">
        <v>0</v>
      </c>
      <c r="E62" s="220" t="n">
        <v>0</v>
      </c>
      <c r="F62" s="220" t="n">
        <v>0</v>
      </c>
      <c r="G62" s="220" t="n">
        <v>0</v>
      </c>
      <c r="H62" s="220" t="n">
        <v>0</v>
      </c>
      <c r="I62" s="220" t="n">
        <v>0</v>
      </c>
      <c r="J62" s="220" t="n">
        <v>0</v>
      </c>
      <c r="K62" s="220" t="n">
        <v>0</v>
      </c>
      <c r="L62" s="220" t="n">
        <v>0</v>
      </c>
      <c r="M62" s="220" t="n">
        <v>0</v>
      </c>
      <c r="N62" s="220" t="n">
        <v>0</v>
      </c>
      <c r="O62" s="220" t="n">
        <v>0</v>
      </c>
      <c r="P62" s="220" t="n">
        <v>0</v>
      </c>
      <c r="R62" s="220" t="n">
        <v>0</v>
      </c>
      <c r="S62" s="220" t="n">
        <v>0</v>
      </c>
      <c r="T62" s="220" t="n">
        <v>0</v>
      </c>
      <c r="U62" s="220" t="n">
        <v>0</v>
      </c>
      <c r="V62" s="222" t="n"/>
      <c r="W62" s="222" t="n"/>
      <c r="X62" s="222" t="n"/>
      <c r="Y62" s="222" t="n"/>
      <c r="Z62" s="222" t="n"/>
      <c r="AA62" s="222" t="n"/>
      <c r="AB62" s="222" t="n"/>
      <c r="AC62" s="222" t="n"/>
      <c r="AD62" s="222" t="n"/>
      <c r="AE62" s="222" t="n"/>
      <c r="AF62" s="222" t="n"/>
      <c r="AG62" s="83" t="n"/>
      <c r="AH62" s="83" t="n"/>
      <c r="AI62" s="83" t="n"/>
      <c r="AJ62" s="83" t="n"/>
      <c r="AK62" s="83" t="n"/>
      <c r="AL62" s="83" t="n"/>
      <c r="AM62" s="83" t="n"/>
      <c r="AN62" s="83" t="n"/>
      <c r="AO62" s="83" t="n"/>
      <c r="AP62" s="83" t="n"/>
      <c r="AQ62" s="83" t="n"/>
      <c r="AR62" s="83" t="n"/>
      <c r="AS62" s="83" t="n"/>
      <c r="AT62" s="222" t="n">
        <v>240995</v>
      </c>
      <c r="AU62" s="222" t="n">
        <v>245625</v>
      </c>
      <c r="AV62" s="222" t="n">
        <v>247715</v>
      </c>
      <c r="AW62" s="222" t="n">
        <v>240020</v>
      </c>
    </row>
    <row r="63">
      <c r="A63" s="22" t="n"/>
      <c r="C63" s="220" t="n"/>
      <c r="D63" s="220" t="n"/>
      <c r="E63" s="220" t="n"/>
      <c r="F63" s="220" t="n"/>
      <c r="G63" s="220" t="n"/>
      <c r="H63" s="220" t="n"/>
      <c r="I63" s="220" t="n"/>
      <c r="J63" s="220" t="n"/>
      <c r="K63" s="220" t="n"/>
      <c r="L63" s="220" t="n"/>
      <c r="M63" s="220" t="n"/>
      <c r="N63" s="220" t="n"/>
      <c r="O63" s="220" t="n"/>
      <c r="P63" s="220" t="n"/>
      <c r="R63" s="220" t="n"/>
      <c r="S63" s="220" t="n"/>
      <c r="T63" s="220" t="n"/>
      <c r="U63" s="220" t="n"/>
      <c r="V63" s="220" t="n"/>
      <c r="W63" s="220" t="n"/>
      <c r="X63" s="220" t="n"/>
      <c r="Y63" s="220" t="n"/>
      <c r="Z63" s="220" t="n"/>
      <c r="AA63" s="220" t="n"/>
      <c r="AB63" s="220" t="n"/>
      <c r="AC63" s="220" t="n"/>
      <c r="AD63" s="220" t="n"/>
      <c r="AE63" s="220" t="n"/>
      <c r="AF63" s="220" t="n"/>
    </row>
    <row r="64">
      <c r="A64" s="24" t="inlineStr">
        <is>
          <t>Passivo Total</t>
        </is>
      </c>
      <c r="B64" s="222" t="n">
        <v>8061249</v>
      </c>
      <c r="C64" s="222" t="n">
        <v>8034846</v>
      </c>
      <c r="D64" s="222" t="n">
        <v>8299594</v>
      </c>
      <c r="E64" s="222" t="n">
        <v>11641602</v>
      </c>
      <c r="F64" s="222" t="n">
        <v>11355355</v>
      </c>
      <c r="G64" s="222" t="n">
        <v>11298508</v>
      </c>
      <c r="H64" s="222" t="n">
        <v>11359752</v>
      </c>
      <c r="I64" s="222" t="n">
        <v>11400278</v>
      </c>
      <c r="J64" s="222" t="n">
        <v>11573419</v>
      </c>
      <c r="K64" s="222" t="n">
        <v>11626558</v>
      </c>
      <c r="L64" s="222" t="n">
        <v>11999510</v>
      </c>
      <c r="M64" s="222" t="n">
        <v>12224230</v>
      </c>
      <c r="N64" s="222" t="n">
        <v>12210191</v>
      </c>
      <c r="O64" s="222" t="n">
        <v>12351700</v>
      </c>
      <c r="P64" s="222" t="n">
        <v>12606612</v>
      </c>
      <c r="R64" s="222" t="n">
        <v>12684743</v>
      </c>
      <c r="S64" s="222" t="n">
        <v>13495198</v>
      </c>
      <c r="T64" s="222" t="n">
        <v>14063067</v>
      </c>
      <c r="U64" s="222" t="n">
        <v>14397147</v>
      </c>
      <c r="V64" s="222" t="n">
        <v>14097903</v>
      </c>
      <c r="W64" s="222" t="n">
        <v>14045540</v>
      </c>
      <c r="X64" s="222" t="n">
        <v>14287221</v>
      </c>
      <c r="Y64" s="222" t="n">
        <v>14156463</v>
      </c>
      <c r="Z64" s="222" t="n">
        <v>14919496</v>
      </c>
      <c r="AA64" s="222" t="n">
        <v>17808868</v>
      </c>
      <c r="AB64" s="222" t="n">
        <v>18841040</v>
      </c>
      <c r="AC64" s="222" t="n">
        <v>20713910</v>
      </c>
      <c r="AD64" s="222" t="n">
        <v>21173855</v>
      </c>
      <c r="AE64" s="222" t="n">
        <v>22274557</v>
      </c>
      <c r="AF64" s="222" t="n">
        <v>23145427</v>
      </c>
      <c r="AG64" s="222" t="n">
        <v>25176861</v>
      </c>
      <c r="AH64" s="222" t="n">
        <v>26268180</v>
      </c>
      <c r="AI64" s="222" t="n">
        <v>26934075</v>
      </c>
      <c r="AJ64" s="222" t="n">
        <v>28111018</v>
      </c>
      <c r="AK64" s="222" t="n">
        <v>28223997</v>
      </c>
      <c r="AL64" s="222" t="n">
        <v>29313729</v>
      </c>
      <c r="AM64" s="222" t="n">
        <v>30017568</v>
      </c>
      <c r="AN64" s="222" t="n">
        <v>29378475</v>
      </c>
      <c r="AO64" s="222" t="n">
        <v>30161827</v>
      </c>
      <c r="AP64" s="222" t="n">
        <v>30549541</v>
      </c>
      <c r="AQ64" s="222" t="n">
        <v>28513995</v>
      </c>
      <c r="AR64" s="222" t="n">
        <v>28836845</v>
      </c>
      <c r="AS64" s="222" t="n">
        <v>29362967</v>
      </c>
      <c r="AT64" s="222" t="n">
        <v>29633743</v>
      </c>
      <c r="AU64" s="222" t="n">
        <v>30254869</v>
      </c>
      <c r="AV64" s="222" t="n">
        <v>34298204</v>
      </c>
      <c r="AW64" s="222" t="n">
        <v>37275367</v>
      </c>
    </row>
    <row r="65">
      <c r="L65" s="220" t="n">
        <v>0</v>
      </c>
      <c r="M65" s="220" t="n"/>
      <c r="N65" s="220" t="n"/>
    </row>
    <row r="66">
      <c r="B66" s="221" t="n">
        <v>-20824</v>
      </c>
      <c r="C66" s="221" t="n">
        <v>-89058</v>
      </c>
      <c r="D66" s="221" t="n">
        <v>-2018</v>
      </c>
      <c r="E66" s="221" t="n">
        <v>-764</v>
      </c>
      <c r="F66" s="221" t="n">
        <v>-1796</v>
      </c>
      <c r="G66" s="221" t="n">
        <v>-1792</v>
      </c>
      <c r="H66" s="221" t="n">
        <v>-1931</v>
      </c>
      <c r="I66" s="221" t="n">
        <v>-1622</v>
      </c>
      <c r="J66" s="221" t="n">
        <v>-18750</v>
      </c>
      <c r="K66" s="221" t="n">
        <v>-41907</v>
      </c>
      <c r="L66" s="221" t="n">
        <v>-79423</v>
      </c>
      <c r="M66" s="221" t="n">
        <v>-37013</v>
      </c>
      <c r="N66" s="221" t="n">
        <v>-5674</v>
      </c>
      <c r="O66" s="221" t="n">
        <v>-32057</v>
      </c>
      <c r="P66" s="221" t="n">
        <v>-76729</v>
      </c>
      <c r="Q66" s="221" t="n">
        <v>0</v>
      </c>
      <c r="R66" s="221" t="n">
        <v>-56852</v>
      </c>
      <c r="S66" s="221" t="n">
        <v>0</v>
      </c>
      <c r="T66" s="221" t="n">
        <v>0</v>
      </c>
      <c r="U66" s="221" t="n">
        <v>0</v>
      </c>
      <c r="V66" s="221" t="n">
        <v>0</v>
      </c>
      <c r="W66" s="221" t="n"/>
      <c r="X66" s="221" t="n"/>
      <c r="Y66" s="221" t="n"/>
      <c r="Z66" s="221" t="n"/>
      <c r="AA66" s="221" t="n"/>
      <c r="AB66" s="221" t="n"/>
      <c r="AC66" s="221" t="n"/>
      <c r="AD66" s="221" t="n"/>
      <c r="AE66" s="221" t="n"/>
      <c r="AF66" s="221" t="n"/>
    </row>
    <row r="67">
      <c r="M67" s="220" t="n"/>
    </row>
  </sheetData>
  <mergeCells count="3">
    <mergeCell ref="E1:T1"/>
    <mergeCell ref="B1:D1"/>
    <mergeCell ref="R3:T3"/>
  </mergeCells>
  <pageMargins left="0.787401575" right="0.787401575" top="0.984251969" bottom="0.984251969" header="0.492125985" footer="0.492125985"/>
  <pageSetup orientation="portrait" paperSize="9"/>
</worksheet>
</file>

<file path=xl/worksheets/sheet2.xml><?xml version="1.0" encoding="utf-8"?>
<worksheet xmlns="http://schemas.openxmlformats.org/spreadsheetml/2006/main">
  <sheetPr codeName="Plan25">
    <tabColor rgb="FF00B050"/>
    <outlinePr summaryBelow="1" summaryRight="1"/>
    <pageSetUpPr autoPageBreaks="0"/>
  </sheetPr>
  <dimension ref="B1:AX65537"/>
  <sheetViews>
    <sheetView showGridLines="0" zoomScale="75" workbookViewId="0">
      <pane xSplit="2" ySplit="2" topLeftCell="AL3" activePane="bottomRight" state="frozen"/>
      <selection activeCell="R18" sqref="R18"/>
      <selection pane="topRight" activeCell="R18" sqref="R18"/>
      <selection pane="bottomLeft" activeCell="R18" sqref="R18"/>
      <selection pane="bottomRight" activeCell="AX29" sqref="AX29"/>
    </sheetView>
  </sheetViews>
  <sheetFormatPr baseColWidth="8" defaultRowHeight="12.75"/>
  <cols>
    <col width="57.7109375" bestFit="1" customWidth="1" style="192" min="2" max="2"/>
    <col width="18.42578125" customWidth="1" style="192" min="3" max="4"/>
    <col width="19" customWidth="1" style="192" min="5" max="5"/>
    <col width="17.28515625" customWidth="1" style="192" min="6" max="6"/>
    <col width="18.7109375" customWidth="1" style="192" min="7" max="7"/>
    <col width="17.140625" customWidth="1" style="192" min="8" max="8"/>
    <col width="20.85546875" customWidth="1" style="192" min="9" max="9"/>
    <col width="17.7109375" customWidth="1" style="192" min="10" max="10"/>
    <col width="19.5703125" customWidth="1" style="192" min="11" max="16"/>
    <col width="19.42578125" customWidth="1" style="192" min="17" max="17"/>
    <col width="19.5703125" customWidth="1" style="192" min="18" max="18"/>
    <col width="15.42578125" customWidth="1" style="192" min="19" max="19"/>
    <col width="16.28515625" customWidth="1" style="192" min="20" max="20"/>
    <col width="16.42578125" customWidth="1" style="192" min="21" max="21"/>
    <col width="16.28515625" customWidth="1" style="192" min="22" max="30"/>
    <col width="17.42578125" customWidth="1" style="192" min="31" max="33"/>
    <col width="16.140625" customWidth="1" style="192" min="34" max="43"/>
    <col width="17.28515625" customWidth="1" style="192" min="44" max="45"/>
    <col width="16.140625" bestFit="1" customWidth="1" style="192" min="46" max="47"/>
    <col width="16.140625" customWidth="1" style="192" min="48" max="48"/>
    <col width="16.85546875" customWidth="1" style="192" min="49" max="50"/>
  </cols>
  <sheetData>
    <row r="1" ht="13.5" customHeight="1" s="192" thickBot="1">
      <c r="B1" s="223" t="n"/>
      <c r="C1" s="224" t="inlineStr">
        <is>
          <t>IFRS</t>
        </is>
      </c>
      <c r="D1" s="225" t="n"/>
      <c r="E1" s="225" t="n"/>
      <c r="F1" s="225" t="n"/>
      <c r="G1" s="225" t="n"/>
      <c r="H1" s="225" t="n"/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88" t="n"/>
      <c r="T1" s="84" t="n"/>
      <c r="U1" s="19" t="n"/>
      <c r="V1" s="19" t="n"/>
      <c r="W1" s="45" t="n"/>
      <c r="X1" s="45" t="n"/>
    </row>
    <row r="2" ht="13.5" customHeight="1" s="192" thickBot="1">
      <c r="B2" s="226" t="n"/>
      <c r="C2" s="45" t="inlineStr">
        <is>
          <t>1T08</t>
        </is>
      </c>
      <c r="D2" s="45" t="inlineStr">
        <is>
          <t>2T08</t>
        </is>
      </c>
      <c r="E2" s="45" t="inlineStr">
        <is>
          <t>3T08</t>
        </is>
      </c>
      <c r="F2" s="45" t="inlineStr">
        <is>
          <t>4T08</t>
        </is>
      </c>
      <c r="G2" s="45" t="inlineStr">
        <is>
          <t>1T09</t>
        </is>
      </c>
      <c r="H2" s="45" t="inlineStr">
        <is>
          <t>2T09</t>
        </is>
      </c>
      <c r="I2" s="45" t="inlineStr">
        <is>
          <t>3T09</t>
        </is>
      </c>
      <c r="J2" s="45" t="inlineStr">
        <is>
          <t>4T09</t>
        </is>
      </c>
      <c r="K2" s="45" t="inlineStr">
        <is>
          <t>1T10</t>
        </is>
      </c>
      <c r="L2" s="46" t="inlineStr">
        <is>
          <t>2T10</t>
        </is>
      </c>
      <c r="M2" s="45" t="inlineStr">
        <is>
          <t>3T10</t>
        </is>
      </c>
      <c r="N2" s="45" t="inlineStr">
        <is>
          <t>4T10</t>
        </is>
      </c>
      <c r="O2" s="45" t="inlineStr">
        <is>
          <t>1T11</t>
        </is>
      </c>
      <c r="P2" s="45" t="inlineStr">
        <is>
          <t>2T11</t>
        </is>
      </c>
      <c r="Q2" s="45" t="inlineStr">
        <is>
          <t>3T11</t>
        </is>
      </c>
      <c r="R2" s="45" t="inlineStr">
        <is>
          <t>4T11</t>
        </is>
      </c>
      <c r="S2" s="45" t="inlineStr">
        <is>
          <t>1T12</t>
        </is>
      </c>
      <c r="T2" s="45" t="inlineStr">
        <is>
          <t>2T12</t>
        </is>
      </c>
      <c r="U2" s="45" t="inlineStr">
        <is>
          <t>3T12</t>
        </is>
      </c>
      <c r="V2" s="45" t="inlineStr">
        <is>
          <t>4T12</t>
        </is>
      </c>
      <c r="W2" s="45" t="inlineStr">
        <is>
          <t>1T13</t>
        </is>
      </c>
      <c r="X2" s="45" t="inlineStr">
        <is>
          <t>2T13</t>
        </is>
      </c>
      <c r="Y2" s="45" t="inlineStr">
        <is>
          <t>3T13</t>
        </is>
      </c>
      <c r="Z2" s="45" t="inlineStr">
        <is>
          <t>4T13</t>
        </is>
      </c>
      <c r="AA2" s="45" t="inlineStr">
        <is>
          <t>1T14</t>
        </is>
      </c>
      <c r="AB2" s="45" t="inlineStr">
        <is>
          <t>2T14</t>
        </is>
      </c>
      <c r="AC2" s="45" t="inlineStr">
        <is>
          <t>3T14</t>
        </is>
      </c>
      <c r="AD2" s="45" t="inlineStr">
        <is>
          <t>4T14</t>
        </is>
      </c>
      <c r="AE2" s="45" t="inlineStr">
        <is>
          <t>1T15</t>
        </is>
      </c>
      <c r="AF2" s="45" t="inlineStr">
        <is>
          <t>2T15</t>
        </is>
      </c>
      <c r="AG2" s="74" t="inlineStr">
        <is>
          <t>3T15</t>
        </is>
      </c>
      <c r="AH2" s="74" t="inlineStr">
        <is>
          <t>4T15</t>
        </is>
      </c>
      <c r="AI2" s="74" t="inlineStr">
        <is>
          <t>1T16</t>
        </is>
      </c>
      <c r="AJ2" s="74" t="inlineStr">
        <is>
          <t>2T16</t>
        </is>
      </c>
      <c r="AK2" s="74" t="inlineStr">
        <is>
          <t>3T16</t>
        </is>
      </c>
      <c r="AL2" s="74" t="inlineStr">
        <is>
          <t>4T16</t>
        </is>
      </c>
      <c r="AM2" s="74" t="inlineStr">
        <is>
          <t>1T17</t>
        </is>
      </c>
      <c r="AN2" s="74" t="inlineStr">
        <is>
          <t>2T17</t>
        </is>
      </c>
      <c r="AO2" s="74" t="inlineStr">
        <is>
          <t>3T17</t>
        </is>
      </c>
      <c r="AP2" s="74" t="inlineStr">
        <is>
          <t>4T17</t>
        </is>
      </c>
      <c r="AQ2" s="74" t="inlineStr">
        <is>
          <t>1T18</t>
        </is>
      </c>
      <c r="AR2" s="74" t="inlineStr">
        <is>
          <t>2T18</t>
        </is>
      </c>
      <c r="AS2" s="74" t="inlineStr">
        <is>
          <t>3T18</t>
        </is>
      </c>
      <c r="AT2" s="74" t="inlineStr">
        <is>
          <t>4T18</t>
        </is>
      </c>
      <c r="AU2" s="74" t="inlineStr">
        <is>
          <t>1T19</t>
        </is>
      </c>
      <c r="AV2" s="74" t="inlineStr">
        <is>
          <t>2T19</t>
        </is>
      </c>
      <c r="AW2" s="74" t="inlineStr">
        <is>
          <t>3T19</t>
        </is>
      </c>
      <c r="AX2" s="74" t="inlineStr">
        <is>
          <t>4T19</t>
        </is>
      </c>
    </row>
    <row r="3" ht="13.5" customHeight="1" s="192">
      <c r="B3" s="6" t="inlineStr">
        <is>
          <t>Receita Bruta</t>
        </is>
      </c>
      <c r="C3" s="227" t="n">
        <v>886406</v>
      </c>
      <c r="D3" s="227" t="n">
        <v>941643</v>
      </c>
      <c r="E3" s="227" t="n">
        <v>926747</v>
      </c>
      <c r="F3" s="227" t="n">
        <v>959446</v>
      </c>
      <c r="G3" s="227" t="n">
        <v>863482</v>
      </c>
      <c r="H3" s="227" t="n">
        <v>832421</v>
      </c>
      <c r="I3" s="227" t="n">
        <v>914140</v>
      </c>
      <c r="J3" s="227" t="n">
        <v>980881</v>
      </c>
      <c r="K3" s="228" t="n">
        <v>1022474</v>
      </c>
      <c r="L3" s="228" t="n">
        <v>1096044</v>
      </c>
      <c r="M3" s="228" t="n">
        <v>1187347</v>
      </c>
      <c r="N3" s="227" t="n">
        <v>1125600</v>
      </c>
      <c r="O3" s="228" t="n">
        <v>1144430</v>
      </c>
      <c r="P3" s="228" t="n">
        <v>1145202</v>
      </c>
      <c r="Q3" s="228" t="n">
        <v>1199418</v>
      </c>
      <c r="R3" s="228" t="n">
        <v>1197225</v>
      </c>
      <c r="S3" s="228" t="n">
        <v>1165117</v>
      </c>
      <c r="T3" s="228" t="n">
        <v>1232089</v>
      </c>
      <c r="U3" s="228" t="n">
        <v>1305430</v>
      </c>
      <c r="V3" s="228" t="n">
        <v>1294027</v>
      </c>
      <c r="W3" s="228" t="n">
        <v>1294947</v>
      </c>
      <c r="X3" s="228" t="n">
        <v>1325897</v>
      </c>
      <c r="Y3" s="229" t="n">
        <v>1447775</v>
      </c>
      <c r="Z3" s="229" t="n">
        <v>1485726</v>
      </c>
      <c r="AA3" s="229" t="n">
        <v>1441810</v>
      </c>
      <c r="AB3" s="229" t="n">
        <v>1399323</v>
      </c>
      <c r="AC3" s="229" t="n">
        <v>1540725</v>
      </c>
      <c r="AD3" s="229" t="n">
        <v>1518233</v>
      </c>
      <c r="AE3" s="229" t="n">
        <v>1555081</v>
      </c>
      <c r="AF3" s="229" t="n">
        <v>1593961</v>
      </c>
      <c r="AG3" s="229" t="n">
        <v>1719529</v>
      </c>
      <c r="AH3" s="229" t="n">
        <v>1877204</v>
      </c>
      <c r="AI3" s="229" t="n">
        <v>1715342</v>
      </c>
      <c r="AJ3" s="229" t="n">
        <v>1965221</v>
      </c>
      <c r="AK3" s="229" t="n">
        <v>2260526</v>
      </c>
      <c r="AL3" s="229" t="n">
        <v>2263335</v>
      </c>
      <c r="AM3" s="229" t="n">
        <v>2240192</v>
      </c>
      <c r="AN3" s="229" t="n">
        <v>2241657</v>
      </c>
      <c r="AO3" s="229" t="n">
        <v>2575004</v>
      </c>
      <c r="AP3" s="227" t="n">
        <v>2670167</v>
      </c>
      <c r="AQ3" s="227" t="n">
        <v>2523182</v>
      </c>
      <c r="AR3" s="227" t="n">
        <v>2586863</v>
      </c>
      <c r="AS3" s="227" t="n">
        <v>3219433</v>
      </c>
      <c r="AT3" s="227" t="n">
        <v>3186769</v>
      </c>
      <c r="AU3" s="227" t="n">
        <v>2879265</v>
      </c>
      <c r="AV3" s="227" t="n">
        <v>3004021</v>
      </c>
      <c r="AW3" s="227" t="n">
        <v>2882751</v>
      </c>
      <c r="AX3" s="227" t="n">
        <v>3119619</v>
      </c>
    </row>
    <row r="4" ht="13.5" customHeight="1" s="192">
      <c r="B4" s="6" t="inlineStr">
        <is>
          <t>Receita Líquida</t>
        </is>
      </c>
      <c r="C4" s="227" t="n">
        <v>740354</v>
      </c>
      <c r="D4" s="227" t="n">
        <v>780296</v>
      </c>
      <c r="E4" s="227" t="n">
        <v>770201</v>
      </c>
      <c r="F4" s="227" t="n">
        <v>805729</v>
      </c>
      <c r="G4" s="227" t="n">
        <v>721774</v>
      </c>
      <c r="H4" s="227" t="n">
        <v>682695</v>
      </c>
      <c r="I4" s="227" t="n">
        <v>750372</v>
      </c>
      <c r="J4" s="227" t="n">
        <v>805338</v>
      </c>
      <c r="K4" s="228" t="n">
        <v>844385</v>
      </c>
      <c r="L4" s="228" t="n">
        <v>905399</v>
      </c>
      <c r="M4" s="228" t="n">
        <v>982593</v>
      </c>
      <c r="N4" s="227" t="n">
        <v>930940</v>
      </c>
      <c r="O4" s="228" t="n">
        <v>957005</v>
      </c>
      <c r="P4" s="228" t="n">
        <v>947447</v>
      </c>
      <c r="Q4" s="228" t="n">
        <v>990623</v>
      </c>
      <c r="R4" s="228" t="n">
        <v>994076</v>
      </c>
      <c r="S4" s="228" t="n">
        <v>969241</v>
      </c>
      <c r="T4" s="228" t="n">
        <v>1030299</v>
      </c>
      <c r="U4" s="228" t="n">
        <v>1085766</v>
      </c>
      <c r="V4" s="228" t="n">
        <v>1078364</v>
      </c>
      <c r="W4" s="228" t="n">
        <v>1066404</v>
      </c>
      <c r="X4" s="228" t="n">
        <v>1093793</v>
      </c>
      <c r="Y4" s="229" t="n">
        <v>1202919</v>
      </c>
      <c r="Z4" s="229" t="n">
        <v>1236220.43541</v>
      </c>
      <c r="AA4" s="229" t="n">
        <v>1203471</v>
      </c>
      <c r="AB4" s="229" t="n">
        <v>1151093</v>
      </c>
      <c r="AC4" s="229" t="n">
        <v>1282208</v>
      </c>
      <c r="AD4" s="229" t="n">
        <v>1257110</v>
      </c>
      <c r="AE4" s="229" t="n">
        <v>1308449</v>
      </c>
      <c r="AF4" s="229" t="n">
        <v>1337936</v>
      </c>
      <c r="AG4" s="229" t="n">
        <v>1445697</v>
      </c>
      <c r="AH4" s="229" t="n">
        <v>1595507</v>
      </c>
      <c r="AI4" s="229" t="n">
        <v>1463477</v>
      </c>
      <c r="AJ4" s="229" t="n">
        <v>1698628</v>
      </c>
      <c r="AK4" s="229" t="n">
        <v>1964848</v>
      </c>
      <c r="AL4" s="229" t="n">
        <v>1963845</v>
      </c>
      <c r="AM4" s="229" t="n">
        <v>1866692</v>
      </c>
      <c r="AN4" s="229" t="n">
        <v>1984195</v>
      </c>
      <c r="AO4" s="229" t="n">
        <v>2224595</v>
      </c>
      <c r="AP4" s="229" t="n">
        <v>2297896</v>
      </c>
      <c r="AQ4" s="229" t="n">
        <v>2189154</v>
      </c>
      <c r="AR4" s="229" t="n">
        <v>2235178</v>
      </c>
      <c r="AS4" s="227" t="n">
        <v>2806826</v>
      </c>
      <c r="AT4" s="227" t="n">
        <v>2785303</v>
      </c>
      <c r="AU4" s="227" t="n">
        <v>2490024</v>
      </c>
      <c r="AV4" s="227" t="n">
        <v>2599819</v>
      </c>
      <c r="AW4" s="227" t="n">
        <v>2477750</v>
      </c>
      <c r="AX4" s="227" t="n">
        <v>2704246</v>
      </c>
    </row>
    <row r="5" ht="13.5" customHeight="1" s="192">
      <c r="B5" s="8" t="inlineStr">
        <is>
          <t xml:space="preserve">     Mercano Interno</t>
        </is>
      </c>
      <c r="C5" s="230" t="n">
        <v>533054.88</v>
      </c>
      <c r="D5" s="230" t="n">
        <v>593024.96</v>
      </c>
      <c r="E5" s="230" t="n">
        <v>593054.77</v>
      </c>
      <c r="F5" s="230" t="n">
        <v>523723.85</v>
      </c>
      <c r="G5" s="230" t="n">
        <v>498024.06</v>
      </c>
      <c r="H5" s="230" t="n">
        <v>525675.15</v>
      </c>
      <c r="I5" s="230" t="n">
        <v>592793.88</v>
      </c>
      <c r="J5" s="230" t="n">
        <v>628163.64</v>
      </c>
      <c r="K5" s="231" t="n">
        <v>629500</v>
      </c>
      <c r="L5" s="231" t="n">
        <v>712100</v>
      </c>
      <c r="M5" s="231" t="n">
        <v>778600</v>
      </c>
      <c r="N5" s="231" t="n">
        <v>730100</v>
      </c>
      <c r="O5" s="231" t="n">
        <v>711000</v>
      </c>
      <c r="P5" s="231" t="n">
        <v>742400</v>
      </c>
      <c r="Q5" s="231" t="n">
        <v>803100</v>
      </c>
      <c r="R5" s="231" t="n">
        <v>760700</v>
      </c>
      <c r="S5" s="231" t="n">
        <v>736600</v>
      </c>
      <c r="T5" s="231" t="n">
        <v>772724.25</v>
      </c>
      <c r="U5" s="231" t="n">
        <v>846897.48</v>
      </c>
      <c r="V5" s="231" t="n">
        <v>819556.64</v>
      </c>
      <c r="W5" s="231" t="n">
        <v>812303.0468867217</v>
      </c>
      <c r="X5" s="231" t="n">
        <v>824894.7208813311</v>
      </c>
      <c r="Y5" s="232" t="n">
        <v>889804.8444899999</v>
      </c>
      <c r="Z5" s="232" t="n">
        <v>897191.3095399999</v>
      </c>
      <c r="AA5" s="232" t="n">
        <v>864706.97665</v>
      </c>
      <c r="AB5" s="232" t="n">
        <v>894351.2760300001</v>
      </c>
      <c r="AC5" s="232" t="n">
        <v>972627.02451</v>
      </c>
      <c r="AD5" s="232" t="n">
        <v>947711.7643800001</v>
      </c>
      <c r="AE5" s="232" t="n">
        <v>915418.2480600001</v>
      </c>
      <c r="AF5" s="232" t="n">
        <v>963485.39986</v>
      </c>
      <c r="AG5" s="232" t="n">
        <v>972571.6667599999</v>
      </c>
      <c r="AH5" s="232" t="n">
        <v>994201.8099100001</v>
      </c>
      <c r="AI5" s="232" t="n">
        <v>946433</v>
      </c>
      <c r="AJ5" s="232" t="n">
        <v>1022341.01726</v>
      </c>
      <c r="AK5" s="232" t="n">
        <v>1122900</v>
      </c>
      <c r="AL5" s="232" t="n">
        <v>1137308.84751</v>
      </c>
      <c r="AM5" s="232" t="n">
        <v>1112056.01473</v>
      </c>
      <c r="AN5" s="232" t="n">
        <v>1219226</v>
      </c>
      <c r="AO5" s="232" t="n">
        <v>1324356.54727</v>
      </c>
      <c r="AP5" s="232" t="n">
        <v>1364336</v>
      </c>
      <c r="AQ5" s="232" t="n">
        <v>1289613.04348</v>
      </c>
      <c r="AR5" s="232" t="n">
        <v>1279503</v>
      </c>
      <c r="AS5" s="232" t="n">
        <v>1500141.35242</v>
      </c>
      <c r="AT5" s="232" t="n">
        <v>1464318.25653</v>
      </c>
      <c r="AU5" s="232" t="n">
        <v>1433492</v>
      </c>
      <c r="AV5" s="232" t="n">
        <v>1500514</v>
      </c>
      <c r="AW5" s="232" t="n">
        <v>1577099</v>
      </c>
      <c r="AX5" s="232" t="n">
        <v>1602828</v>
      </c>
    </row>
    <row r="6" ht="13.5" customHeight="1" s="192">
      <c r="B6" s="8" t="inlineStr">
        <is>
          <t xml:space="preserve">     % MI</t>
        </is>
      </c>
      <c r="C6" s="32" t="n">
        <v>0.72</v>
      </c>
      <c r="D6" s="32" t="n">
        <v>0.76</v>
      </c>
      <c r="E6" s="32" t="n">
        <v>0.77</v>
      </c>
      <c r="F6" s="32" t="n">
        <v>0.65</v>
      </c>
      <c r="G6" s="32" t="n">
        <v>0.6899999999999999</v>
      </c>
      <c r="H6" s="32" t="n">
        <v>0.77</v>
      </c>
      <c r="I6" s="32" t="n">
        <v>0.79</v>
      </c>
      <c r="J6" s="32" t="n">
        <v>0.78</v>
      </c>
      <c r="K6" s="33" t="n">
        <v>0.7455130065076949</v>
      </c>
      <c r="L6" s="33" t="n">
        <v>0.7865040716855221</v>
      </c>
      <c r="M6" s="33" t="n">
        <v>0.7923931882274756</v>
      </c>
      <c r="N6" s="33" t="n">
        <v>0.7842610694566782</v>
      </c>
      <c r="O6" s="33" t="n">
        <v>0.7429428268399851</v>
      </c>
      <c r="P6" s="33" t="n">
        <v>0.7835794508822129</v>
      </c>
      <c r="Q6" s="33" t="n">
        <v>0.8107019522058341</v>
      </c>
      <c r="R6" s="33" t="n">
        <v>0.7652332417239728</v>
      </c>
      <c r="S6" s="33" t="n">
        <v>0.76</v>
      </c>
      <c r="T6" s="33" t="n">
        <v>0.75</v>
      </c>
      <c r="U6" s="33" t="n">
        <v>0.78</v>
      </c>
      <c r="V6" s="33" t="n">
        <v>0.76</v>
      </c>
      <c r="W6" s="33" t="n">
        <v>0.7617216804201051</v>
      </c>
      <c r="X6" s="33" t="n">
        <v>0.7541598098372646</v>
      </c>
      <c r="Y6" s="68" t="n">
        <v>0.7397047053791651</v>
      </c>
      <c r="Z6" s="68" t="n">
        <v>0.7257535014315154</v>
      </c>
      <c r="AA6" s="68" t="n">
        <v>0.7185108545615141</v>
      </c>
      <c r="AB6" s="68" t="n">
        <v>0.7769583135593736</v>
      </c>
      <c r="AC6" s="68" t="n">
        <v>0.7585563531891861</v>
      </c>
      <c r="AD6" s="68" t="n">
        <v>0.7538813344735147</v>
      </c>
      <c r="AE6" s="68" t="n">
        <v>0.6996208855369985</v>
      </c>
      <c r="AF6" s="68" t="n">
        <v>0.7201281674609249</v>
      </c>
      <c r="AG6" s="68" t="n">
        <v>0.67</v>
      </c>
      <c r="AH6" s="68" t="n">
        <v>0.62</v>
      </c>
      <c r="AI6" s="68" t="n">
        <v>0.65</v>
      </c>
      <c r="AJ6" s="68" t="n">
        <v>0.6018628076659516</v>
      </c>
      <c r="AK6" s="68" t="n">
        <v>0.5714945888944081</v>
      </c>
      <c r="AL6" s="68" t="n">
        <v>0.5791235293569501</v>
      </c>
      <c r="AM6" s="68" t="n">
        <v>0.5957362086139545</v>
      </c>
      <c r="AN6" s="68" t="n">
        <v>0.6144688400081645</v>
      </c>
      <c r="AO6" s="68" t="n">
        <v>0.5953247882288686</v>
      </c>
      <c r="AP6" s="68" t="n">
        <v>0.5937327015669986</v>
      </c>
      <c r="AQ6" s="68" t="n">
        <v>0.5890919704506856</v>
      </c>
      <c r="AR6" s="68" t="n">
        <v>0.57</v>
      </c>
      <c r="AS6" s="68" t="n">
        <v>0.5344618271385543</v>
      </c>
      <c r="AT6" s="68" t="n">
        <v>0.53</v>
      </c>
      <c r="AU6" s="68" t="n">
        <v>0.58</v>
      </c>
      <c r="AV6" s="68" t="n">
        <v>0.58</v>
      </c>
      <c r="AW6" s="68" t="n">
        <v>0.64</v>
      </c>
      <c r="AX6" s="68" t="n">
        <v>0.59</v>
      </c>
    </row>
    <row r="7" ht="13.5" customHeight="1" s="192">
      <c r="B7" s="8" t="inlineStr">
        <is>
          <t xml:space="preserve">     Exportação</t>
        </is>
      </c>
      <c r="C7" s="230" t="n">
        <v>207299.12</v>
      </c>
      <c r="D7" s="230" t="n">
        <v>187271.04</v>
      </c>
      <c r="E7" s="230" t="n">
        <v>177146.23</v>
      </c>
      <c r="F7" s="230" t="n">
        <v>282005.15</v>
      </c>
      <c r="G7" s="230" t="n">
        <v>223749.94</v>
      </c>
      <c r="H7" s="230" t="n">
        <v>157019.85</v>
      </c>
      <c r="I7" s="230" t="n">
        <v>157578.12</v>
      </c>
      <c r="J7" s="230" t="n">
        <v>177174.36</v>
      </c>
      <c r="K7" s="231" t="n">
        <v>214900</v>
      </c>
      <c r="L7" s="231" t="n">
        <v>193300</v>
      </c>
      <c r="M7" s="231" t="n">
        <v>204000</v>
      </c>
      <c r="N7" s="231" t="n">
        <v>200800</v>
      </c>
      <c r="O7" s="231" t="n">
        <v>246005</v>
      </c>
      <c r="P7" s="231" t="n">
        <v>205047</v>
      </c>
      <c r="Q7" s="231" t="n">
        <v>187500</v>
      </c>
      <c r="R7" s="231" t="n">
        <v>233400</v>
      </c>
      <c r="S7" s="231" t="n">
        <v>232600</v>
      </c>
      <c r="T7" s="231" t="n">
        <v>257574.75</v>
      </c>
      <c r="U7" s="231" t="n">
        <v>238868.52</v>
      </c>
      <c r="V7" s="231" t="n">
        <v>258807.36</v>
      </c>
      <c r="W7" s="231" t="n">
        <v>254100.9531132783</v>
      </c>
      <c r="X7" s="231" t="n">
        <v>268898.2791186689</v>
      </c>
      <c r="Y7" s="232" t="n">
        <v>313114.1866799999</v>
      </c>
      <c r="Z7" s="232" t="n">
        <v>339029.1258700001</v>
      </c>
      <c r="AA7" s="232" t="n">
        <v>338764.71004</v>
      </c>
      <c r="AB7" s="232" t="n">
        <v>256741.09223</v>
      </c>
      <c r="AC7" s="232" t="n">
        <v>309580.81199</v>
      </c>
      <c r="AD7" s="232" t="n">
        <v>309398.49773</v>
      </c>
      <c r="AE7" s="232" t="n">
        <v>393030.72418</v>
      </c>
      <c r="AF7" s="232" t="n">
        <v>374450.55769</v>
      </c>
      <c r="AG7" s="232" t="n">
        <v>473113.4623099999</v>
      </c>
      <c r="AH7" s="232" t="n">
        <v>605500</v>
      </c>
      <c r="AI7" s="232" t="n">
        <v>517044</v>
      </c>
      <c r="AJ7" s="232" t="n">
        <v>676286.02922</v>
      </c>
      <c r="AK7" s="232" t="n">
        <v>842000</v>
      </c>
      <c r="AL7" s="232" t="n">
        <v>825535.1001700001</v>
      </c>
      <c r="AM7" s="232" t="n">
        <v>754636.07114</v>
      </c>
      <c r="AN7" s="232" t="n">
        <v>764969</v>
      </c>
      <c r="AO7" s="232" t="n">
        <v>900238.8881799999</v>
      </c>
      <c r="AP7" s="232" t="n">
        <v>933560</v>
      </c>
      <c r="AQ7" s="232" t="n">
        <v>899541.32925</v>
      </c>
      <c r="AR7" s="232" t="n">
        <v>955675</v>
      </c>
      <c r="AS7" s="232" t="n">
        <v>1306681.27575</v>
      </c>
      <c r="AT7" s="232" t="n">
        <v>1320985.60183</v>
      </c>
      <c r="AU7" s="232" t="n">
        <v>1056532</v>
      </c>
      <c r="AV7" s="232" t="n">
        <v>1099305</v>
      </c>
      <c r="AW7" s="232" t="n">
        <v>900651</v>
      </c>
      <c r="AX7" s="232" t="n">
        <v>1101418</v>
      </c>
    </row>
    <row r="8" ht="13.5" customHeight="1" s="192">
      <c r="B8" s="8" t="inlineStr">
        <is>
          <t xml:space="preserve">     % ME</t>
        </is>
      </c>
      <c r="C8" s="32" t="n">
        <v>0.28</v>
      </c>
      <c r="D8" s="32" t="n">
        <v>0.24</v>
      </c>
      <c r="E8" s="32" t="n">
        <v>0.23</v>
      </c>
      <c r="F8" s="32" t="n">
        <v>0.35</v>
      </c>
      <c r="G8" s="32" t="n">
        <v>0.31</v>
      </c>
      <c r="H8" s="32" t="n">
        <v>0.23</v>
      </c>
      <c r="I8" s="32" t="n">
        <v>0.21</v>
      </c>
      <c r="J8" s="32" t="n">
        <v>0.22</v>
      </c>
      <c r="K8" s="33" t="n">
        <v>0.2545047579007206</v>
      </c>
      <c r="L8" s="33" t="n">
        <v>0.2134970327999037</v>
      </c>
      <c r="M8" s="33" t="n">
        <v>0.2076139357801246</v>
      </c>
      <c r="N8" s="33" t="n">
        <v>0.2156959632199712</v>
      </c>
      <c r="O8" s="33" t="n">
        <v>0.2570571731600149</v>
      </c>
      <c r="P8" s="33" t="n">
        <v>0.2164205491177871</v>
      </c>
      <c r="Q8" s="33" t="n">
        <v>0.1892748300816759</v>
      </c>
      <c r="R8" s="33" t="n">
        <v>0.234790901299297</v>
      </c>
      <c r="S8" s="33" t="n">
        <v>0.24</v>
      </c>
      <c r="T8" s="33" t="n">
        <v>0.25</v>
      </c>
      <c r="U8" s="33" t="n">
        <v>0.22</v>
      </c>
      <c r="V8" s="33" t="n">
        <v>0.24</v>
      </c>
      <c r="W8" s="33" t="n">
        <v>0.2382783195798949</v>
      </c>
      <c r="X8" s="33" t="n">
        <v>0.2458401901627354</v>
      </c>
      <c r="Y8" s="68" t="n">
        <v>0.2602953205328039</v>
      </c>
      <c r="Z8" s="68" t="n">
        <v>0.2742464985684847</v>
      </c>
      <c r="AA8" s="68" t="n">
        <v>0.2814897160297173</v>
      </c>
      <c r="AB8" s="68" t="n">
        <v>0.2230411376231113</v>
      </c>
      <c r="AC8" s="68" t="n">
        <v>0.2414435192964012</v>
      </c>
      <c r="AD8" s="68" t="n">
        <v>0.2461188740285258</v>
      </c>
      <c r="AE8" s="68" t="n">
        <v>0.3003790932470429</v>
      </c>
      <c r="AF8" s="68" t="n">
        <v>0.2798718008111001</v>
      </c>
      <c r="AG8" s="68" t="n">
        <v>0.33</v>
      </c>
      <c r="AH8" s="68" t="n">
        <v>0.38</v>
      </c>
      <c r="AI8" s="68" t="n">
        <v>0.3532983436022568</v>
      </c>
      <c r="AJ8" s="68" t="n">
        <v>0.3981366309868906</v>
      </c>
      <c r="AK8" s="68" t="n">
        <v>0.4285318762570947</v>
      </c>
      <c r="AL8" s="68" t="n">
        <v>0.4203667296400684</v>
      </c>
      <c r="AM8" s="68" t="n">
        <v>0.4042638373872069</v>
      </c>
      <c r="AN8" s="68" t="n">
        <v>0.3855311599918355</v>
      </c>
      <c r="AO8" s="68" t="n">
        <v>0.4046754075146262</v>
      </c>
      <c r="AP8" s="68" t="n">
        <v>0.4062672984330013</v>
      </c>
      <c r="AQ8" s="68" t="n">
        <v>0.410908199811434</v>
      </c>
      <c r="AR8" s="68" t="n">
        <v>0.43</v>
      </c>
      <c r="AS8" s="68" t="n">
        <v>0.4655369715650347</v>
      </c>
      <c r="AT8" s="68" t="n">
        <v>0.47</v>
      </c>
      <c r="AU8" s="68" t="n">
        <v>0.42</v>
      </c>
      <c r="AV8" s="68" t="n">
        <v>0.42</v>
      </c>
      <c r="AW8" s="68" t="n">
        <v>0.36</v>
      </c>
      <c r="AX8" s="68" t="n">
        <v>0.41</v>
      </c>
    </row>
    <row r="9" ht="13.5" customHeight="1" s="192">
      <c r="B9" s="77" t="inlineStr">
        <is>
          <t>Realização de custo atribuído imobilizado - terras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28" t="n"/>
      <c r="L9" s="228" t="n"/>
      <c r="M9" s="228" t="n"/>
      <c r="N9" s="33" t="n"/>
      <c r="O9" s="33" t="n"/>
      <c r="P9" s="33" t="n"/>
      <c r="AM9" s="233" t="n">
        <v>28203</v>
      </c>
      <c r="AN9" s="233" t="n"/>
      <c r="AO9" s="233" t="n"/>
      <c r="AP9" s="233" t="n">
        <v>11598</v>
      </c>
      <c r="AQ9" s="233" t="n"/>
      <c r="AT9" s="233" t="n">
        <v>1771</v>
      </c>
      <c r="AU9" s="233" t="n"/>
      <c r="AV9" s="233" t="n"/>
      <c r="AW9" s="233" t="n">
        <v>0</v>
      </c>
      <c r="AX9" s="233" t="n"/>
    </row>
    <row r="10" ht="13.5" customHeight="1" s="192">
      <c r="B10" s="8" t="inlineStr">
        <is>
          <t>Variação valor justo dos ativos biológicos</t>
        </is>
      </c>
      <c r="C10" s="34" t="n">
        <v>0</v>
      </c>
      <c r="D10" s="34" t="n">
        <v>0</v>
      </c>
      <c r="E10" s="34" t="n">
        <v>0</v>
      </c>
      <c r="F10" s="34" t="n">
        <v>0</v>
      </c>
      <c r="G10" s="234" t="n">
        <v>15655</v>
      </c>
      <c r="H10" s="234" t="n">
        <v>15655</v>
      </c>
      <c r="I10" s="234" t="n">
        <v>15655</v>
      </c>
      <c r="J10" s="234" t="n">
        <v>17615</v>
      </c>
      <c r="K10" s="231" t="n">
        <v>87523</v>
      </c>
      <c r="L10" s="231" t="n">
        <v>89029</v>
      </c>
      <c r="M10" s="231" t="n">
        <v>124461</v>
      </c>
      <c r="N10" s="231" t="n">
        <v>147612</v>
      </c>
      <c r="O10" s="231" t="n">
        <v>107807</v>
      </c>
      <c r="P10" s="231" t="n">
        <v>145084</v>
      </c>
      <c r="Q10" s="231" t="n">
        <v>19255</v>
      </c>
      <c r="R10" s="231" t="n">
        <v>-1569</v>
      </c>
      <c r="S10" s="231" t="n">
        <v>434606</v>
      </c>
      <c r="T10" s="231" t="n">
        <v>4850</v>
      </c>
      <c r="U10" s="231" t="n">
        <v>333122</v>
      </c>
      <c r="V10" s="231" t="n">
        <v>113410</v>
      </c>
      <c r="W10" s="231" t="n">
        <v>61609</v>
      </c>
      <c r="X10" s="231" t="n">
        <v>70267</v>
      </c>
      <c r="Y10" s="232" t="n">
        <v>148051</v>
      </c>
      <c r="Z10" s="232" t="n">
        <v>56362</v>
      </c>
      <c r="AA10" s="232" t="n">
        <v>522072</v>
      </c>
      <c r="AB10" s="232" t="n">
        <v>129604</v>
      </c>
      <c r="AC10" s="232" t="n">
        <v>252784</v>
      </c>
      <c r="AD10" s="232" t="n">
        <v>19644</v>
      </c>
      <c r="AE10" s="232" t="n">
        <v>55538</v>
      </c>
      <c r="AF10" s="232" t="n">
        <v>155230</v>
      </c>
      <c r="AG10" s="232" t="n">
        <v>98731</v>
      </c>
      <c r="AH10" s="232" t="n">
        <v>226614</v>
      </c>
      <c r="AI10" s="232" t="n">
        <v>63447</v>
      </c>
      <c r="AJ10" s="232" t="n">
        <v>272442</v>
      </c>
      <c r="AK10" s="232" t="n">
        <v>139745</v>
      </c>
      <c r="AL10" s="232" t="n">
        <v>57277</v>
      </c>
      <c r="AM10" s="232" t="n">
        <v>483306</v>
      </c>
      <c r="AN10" s="232" t="n">
        <v>101845</v>
      </c>
      <c r="AO10" s="232" t="n">
        <v>145104</v>
      </c>
      <c r="AP10" s="232" t="n">
        <v>59406</v>
      </c>
      <c r="AQ10" s="232" t="n">
        <v>119153</v>
      </c>
      <c r="AR10" s="232" t="n">
        <v>69105</v>
      </c>
      <c r="AS10" s="233" t="n">
        <v>62086</v>
      </c>
      <c r="AT10" s="233" t="n">
        <v>378023</v>
      </c>
      <c r="AU10" s="233" t="n">
        <v>-38250</v>
      </c>
      <c r="AV10" s="233" t="n">
        <v>21050</v>
      </c>
      <c r="AW10" s="233" t="n">
        <v>331739</v>
      </c>
      <c r="AX10" s="233" t="n">
        <v>75514</v>
      </c>
    </row>
    <row r="11" ht="13.5" customHeight="1" s="192">
      <c r="B11" s="8" t="inlineStr">
        <is>
          <t>Custo dos Produtos Vendidos</t>
        </is>
      </c>
      <c r="C11" s="234" t="n">
        <v>-524943</v>
      </c>
      <c r="D11" s="234" t="n">
        <v>-618536</v>
      </c>
      <c r="E11" s="234" t="n">
        <v>-585280</v>
      </c>
      <c r="F11" s="234" t="n">
        <v>-557908</v>
      </c>
      <c r="G11" s="234" t="n">
        <v>-584409</v>
      </c>
      <c r="H11" s="234" t="n">
        <v>-590627</v>
      </c>
      <c r="I11" s="234" t="n">
        <v>-643464</v>
      </c>
      <c r="J11" s="234" t="n">
        <v>-679771</v>
      </c>
      <c r="K11" s="235" t="n">
        <v>-665405</v>
      </c>
      <c r="L11" s="235" t="n">
        <v>-716771</v>
      </c>
      <c r="M11" s="235" t="n">
        <v>-767347</v>
      </c>
      <c r="N11" s="235" t="n">
        <v>-591580</v>
      </c>
      <c r="O11" s="235" t="n">
        <v>-711334</v>
      </c>
      <c r="P11" s="235" t="n">
        <v>-772704</v>
      </c>
      <c r="Q11" s="235" t="n">
        <v>-729482</v>
      </c>
      <c r="R11" s="235" t="n">
        <v>-613922</v>
      </c>
      <c r="S11" s="235" t="n">
        <v>-628038</v>
      </c>
      <c r="T11" s="235" t="n">
        <v>-755367</v>
      </c>
      <c r="U11" s="235" t="n">
        <v>-714806</v>
      </c>
      <c r="V11" s="235" t="n">
        <v>-724937</v>
      </c>
      <c r="W11" s="235" t="n">
        <v>-719699</v>
      </c>
      <c r="X11" s="235" t="n">
        <v>-807242</v>
      </c>
      <c r="Y11" s="236" t="n">
        <v>-834943</v>
      </c>
      <c r="Z11" s="236" t="n">
        <v>-845033</v>
      </c>
      <c r="AA11" s="236" t="n">
        <v>-802852</v>
      </c>
      <c r="AB11" s="236" t="n">
        <v>-941718</v>
      </c>
      <c r="AC11" s="236" t="n">
        <v>-909269</v>
      </c>
      <c r="AD11" s="236" t="n">
        <v>-919770</v>
      </c>
      <c r="AE11" s="236" t="n">
        <v>-930067</v>
      </c>
      <c r="AF11" s="236" t="n">
        <v>-1058415</v>
      </c>
      <c r="AG11" s="236" t="n">
        <v>-929311</v>
      </c>
      <c r="AH11" s="236" t="n">
        <v>-1063709</v>
      </c>
      <c r="AI11" s="236" t="n">
        <v>-1004160</v>
      </c>
      <c r="AJ11" s="236" t="n">
        <v>-1255645</v>
      </c>
      <c r="AK11" s="236" t="n">
        <v>-1537686</v>
      </c>
      <c r="AL11" s="236" t="n">
        <v>-1429532</v>
      </c>
      <c r="AM11" s="236" t="n">
        <v>-1527849</v>
      </c>
      <c r="AN11" s="236" t="n">
        <v>-1738226</v>
      </c>
      <c r="AO11" s="236" t="n">
        <v>-1652498</v>
      </c>
      <c r="AP11" s="236" t="n">
        <v>-1508919</v>
      </c>
      <c r="AQ11" s="236" t="n">
        <v>-1557653</v>
      </c>
      <c r="AR11" s="236" t="n">
        <v>-1451332</v>
      </c>
      <c r="AS11" s="233" t="n">
        <v>-1612790</v>
      </c>
      <c r="AT11" s="233" t="n">
        <v>-1720631</v>
      </c>
      <c r="AU11" s="233" t="n">
        <v>-1593942</v>
      </c>
      <c r="AV11" s="233" t="n">
        <v>-1870231</v>
      </c>
      <c r="AW11" s="233" t="n">
        <v>-1829482</v>
      </c>
      <c r="AX11" s="233" t="n">
        <v>-1947579</v>
      </c>
    </row>
    <row r="12" ht="13.5" customHeight="1" s="192">
      <c r="B12" s="6" t="inlineStr">
        <is>
          <t>Lucro Bruto</t>
        </is>
      </c>
      <c r="C12" s="228" t="n">
        <v>215411</v>
      </c>
      <c r="D12" s="228" t="n">
        <v>161760</v>
      </c>
      <c r="E12" s="228" t="n">
        <v>184921</v>
      </c>
      <c r="F12" s="228" t="n">
        <v>247821</v>
      </c>
      <c r="G12" s="228" t="n">
        <v>153020</v>
      </c>
      <c r="H12" s="228" t="n">
        <v>107723</v>
      </c>
      <c r="I12" s="228" t="n">
        <v>122563</v>
      </c>
      <c r="J12" s="228" t="n">
        <v>143182</v>
      </c>
      <c r="K12" s="228" t="n">
        <v>266503</v>
      </c>
      <c r="L12" s="228" t="n">
        <v>277657</v>
      </c>
      <c r="M12" s="228" t="n">
        <v>339707</v>
      </c>
      <c r="N12" s="228" t="n">
        <v>486972</v>
      </c>
      <c r="O12" s="228" t="n">
        <v>353478</v>
      </c>
      <c r="P12" s="228" t="n">
        <v>319827</v>
      </c>
      <c r="Q12" s="228" t="n">
        <v>280396</v>
      </c>
      <c r="R12" s="228" t="n">
        <v>378585</v>
      </c>
      <c r="S12" s="228" t="n">
        <v>775809</v>
      </c>
      <c r="T12" s="228" t="n">
        <v>279782</v>
      </c>
      <c r="U12" s="228" t="n">
        <v>704082</v>
      </c>
      <c r="V12" s="228" t="n">
        <v>466837</v>
      </c>
      <c r="W12" s="228" t="n">
        <v>408314</v>
      </c>
      <c r="X12" s="228" t="n">
        <v>356818</v>
      </c>
      <c r="Y12" s="237" t="n">
        <v>516027</v>
      </c>
      <c r="Z12" s="237" t="n">
        <v>447550</v>
      </c>
      <c r="AA12" s="237" t="n">
        <v>922691</v>
      </c>
      <c r="AB12" s="237" t="n">
        <v>338979</v>
      </c>
      <c r="AC12" s="237" t="n">
        <v>625723</v>
      </c>
      <c r="AD12" s="237" t="n">
        <v>356984</v>
      </c>
      <c r="AE12" s="237" t="n">
        <v>433920</v>
      </c>
      <c r="AF12" s="237" t="n">
        <v>434751</v>
      </c>
      <c r="AG12" s="237" t="n">
        <v>615117</v>
      </c>
      <c r="AH12" s="237" t="n">
        <v>758412</v>
      </c>
      <c r="AI12" s="237" t="n">
        <v>522764</v>
      </c>
      <c r="AJ12" s="237" t="n">
        <v>715425</v>
      </c>
      <c r="AK12" s="237" t="n">
        <v>566907</v>
      </c>
      <c r="AL12" s="237" t="n">
        <v>591590</v>
      </c>
      <c r="AM12" s="237" t="n">
        <v>822149</v>
      </c>
      <c r="AN12" s="237" t="n">
        <v>347814</v>
      </c>
      <c r="AO12" s="237" t="n">
        <v>717201</v>
      </c>
      <c r="AP12" s="237" t="n">
        <v>848383</v>
      </c>
      <c r="AQ12" s="237" t="n">
        <v>750654</v>
      </c>
      <c r="AR12" s="237" t="n">
        <v>852951</v>
      </c>
      <c r="AS12" s="229" t="n">
        <v>1256122</v>
      </c>
      <c r="AT12" s="229" t="n">
        <v>1442695</v>
      </c>
      <c r="AU12" s="229" t="n">
        <v>857832</v>
      </c>
      <c r="AV12" s="229" t="n">
        <v>750638</v>
      </c>
      <c r="AW12" s="229" t="n">
        <v>980007</v>
      </c>
      <c r="AX12" s="229" t="n">
        <v>832181</v>
      </c>
    </row>
    <row r="13" ht="13.5" customHeight="1" s="192">
      <c r="B13" s="8" t="inlineStr">
        <is>
          <t xml:space="preserve">Vendas </t>
        </is>
      </c>
      <c r="C13" s="234" t="n">
        <v>-73985</v>
      </c>
      <c r="D13" s="234" t="n">
        <v>-79462</v>
      </c>
      <c r="E13" s="234" t="n">
        <v>-73584</v>
      </c>
      <c r="F13" s="234" t="n">
        <v>-91302</v>
      </c>
      <c r="G13" s="234" t="n">
        <v>-89050</v>
      </c>
      <c r="H13" s="234" t="n">
        <v>-68202</v>
      </c>
      <c r="I13" s="234" t="n">
        <v>-72313</v>
      </c>
      <c r="J13" s="234" t="n">
        <v>-70482</v>
      </c>
      <c r="K13" s="235" t="n">
        <v>-72565</v>
      </c>
      <c r="L13" s="235" t="n">
        <v>-72726</v>
      </c>
      <c r="M13" s="235" t="n">
        <v>-77427</v>
      </c>
      <c r="N13" s="235" t="n">
        <v>-77435</v>
      </c>
      <c r="O13" s="235" t="n">
        <v>-85750</v>
      </c>
      <c r="P13" s="235" t="n">
        <v>-76652</v>
      </c>
      <c r="Q13" s="235" t="n">
        <v>-76594</v>
      </c>
      <c r="R13" s="235" t="n">
        <v>-82059</v>
      </c>
      <c r="S13" s="235" t="n">
        <v>-80128</v>
      </c>
      <c r="T13" s="235" t="n">
        <v>-96499</v>
      </c>
      <c r="U13" s="235" t="n">
        <v>-81989</v>
      </c>
      <c r="V13" s="235" t="n">
        <v>-85958</v>
      </c>
      <c r="W13" s="235" t="n">
        <v>-86479</v>
      </c>
      <c r="X13" s="235" t="n">
        <v>-86645</v>
      </c>
      <c r="Y13" s="236" t="n">
        <v>-92737</v>
      </c>
      <c r="Z13" s="236" t="n">
        <v>-96777</v>
      </c>
      <c r="AA13" s="236" t="n">
        <v>-98181</v>
      </c>
      <c r="AB13" s="236" t="n">
        <v>-87474</v>
      </c>
      <c r="AC13" s="236" t="n">
        <v>-98218</v>
      </c>
      <c r="AD13" s="236" t="n">
        <v>-95853</v>
      </c>
      <c r="AE13" s="236" t="n">
        <v>-94461</v>
      </c>
      <c r="AF13" s="236" t="n">
        <v>-105594</v>
      </c>
      <c r="AG13" s="236" t="n">
        <v>-107458</v>
      </c>
      <c r="AH13" s="236" t="n">
        <v>-121389</v>
      </c>
      <c r="AI13" s="236" t="n">
        <v>-105264</v>
      </c>
      <c r="AJ13" s="236" t="n">
        <v>-127481</v>
      </c>
      <c r="AK13" s="236" t="n">
        <v>-186008</v>
      </c>
      <c r="AL13" s="236" t="n">
        <v>-167322</v>
      </c>
      <c r="AM13" s="236" t="n">
        <v>-155369</v>
      </c>
      <c r="AN13" s="236" t="n">
        <v>-152008</v>
      </c>
      <c r="AO13" s="236" t="n">
        <v>-170747</v>
      </c>
      <c r="AP13" s="236" t="n">
        <v>-178720</v>
      </c>
      <c r="AQ13" s="236" t="n">
        <v>-170913</v>
      </c>
      <c r="AR13" s="236" t="n">
        <v>-172658</v>
      </c>
      <c r="AS13" s="233" t="n">
        <v>-206320</v>
      </c>
      <c r="AT13" s="238" t="n">
        <v>-214457</v>
      </c>
      <c r="AU13" s="238" t="n">
        <v>-189725</v>
      </c>
      <c r="AV13" s="238" t="n">
        <v>-213394</v>
      </c>
      <c r="AW13" s="238" t="n">
        <v>-226169</v>
      </c>
      <c r="AX13" s="238" t="n">
        <v>-281100</v>
      </c>
    </row>
    <row r="14" ht="13.5" customHeight="1" s="192">
      <c r="B14" s="8" t="inlineStr">
        <is>
          <t>Gerais &amp; Administrativas</t>
        </is>
      </c>
      <c r="C14" s="234" t="n">
        <v>-40809</v>
      </c>
      <c r="D14" s="234" t="n">
        <v>-44145</v>
      </c>
      <c r="E14" s="234" t="n">
        <v>-53790</v>
      </c>
      <c r="F14" s="234" t="n">
        <v>-46986</v>
      </c>
      <c r="G14" s="234" t="n">
        <v>-40587</v>
      </c>
      <c r="H14" s="234" t="n">
        <v>-42853</v>
      </c>
      <c r="I14" s="234" t="n">
        <v>-44743</v>
      </c>
      <c r="J14" s="234" t="n">
        <v>-48723</v>
      </c>
      <c r="K14" s="235" t="n">
        <v>-45934</v>
      </c>
      <c r="L14" s="235" t="n">
        <v>-54906</v>
      </c>
      <c r="M14" s="235" t="n">
        <v>-57494</v>
      </c>
      <c r="N14" s="235" t="n">
        <v>-56542</v>
      </c>
      <c r="O14" s="235" t="n">
        <v>-55341</v>
      </c>
      <c r="P14" s="235" t="n">
        <v>-56715</v>
      </c>
      <c r="Q14" s="235" t="n">
        <v>-64311</v>
      </c>
      <c r="R14" s="235" t="n">
        <v>-73038</v>
      </c>
      <c r="S14" s="235" t="n">
        <v>-59565</v>
      </c>
      <c r="T14" s="235" t="n">
        <v>-66464</v>
      </c>
      <c r="U14" s="235" t="n">
        <v>-74243</v>
      </c>
      <c r="V14" s="235" t="n">
        <v>-73646</v>
      </c>
      <c r="W14" s="235" t="n">
        <v>-64195</v>
      </c>
      <c r="X14" s="235" t="n">
        <v>-67039</v>
      </c>
      <c r="Y14" s="236" t="n">
        <v>-72626</v>
      </c>
      <c r="Z14" s="236" t="n">
        <v>-76666</v>
      </c>
      <c r="AA14" s="236" t="n">
        <v>-72930</v>
      </c>
      <c r="AB14" s="236" t="n">
        <v>-72882</v>
      </c>
      <c r="AC14" s="236" t="n">
        <v>-69367</v>
      </c>
      <c r="AD14" s="236" t="n">
        <v>-83171</v>
      </c>
      <c r="AE14" s="236" t="n">
        <v>-74964</v>
      </c>
      <c r="AF14" s="236" t="n">
        <v>-82927</v>
      </c>
      <c r="AG14" s="236" t="n">
        <v>-78796</v>
      </c>
      <c r="AH14" s="236" t="n">
        <v>-101326</v>
      </c>
      <c r="AI14" s="236" t="n">
        <v>-100037</v>
      </c>
      <c r="AJ14" s="236" t="n">
        <v>-111129</v>
      </c>
      <c r="AK14" s="236" t="n">
        <v>-124623</v>
      </c>
      <c r="AL14" s="236" t="n">
        <v>-130704</v>
      </c>
      <c r="AM14" s="236" t="n">
        <v>-125071</v>
      </c>
      <c r="AN14" s="236" t="n">
        <v>-136726</v>
      </c>
      <c r="AO14" s="236" t="n">
        <v>-125499</v>
      </c>
      <c r="AP14" s="236" t="n">
        <v>-141102</v>
      </c>
      <c r="AQ14" s="236" t="n">
        <v>-126340</v>
      </c>
      <c r="AR14" s="236" t="n">
        <v>-132159</v>
      </c>
      <c r="AS14" s="233" t="n">
        <v>-138765</v>
      </c>
      <c r="AT14" s="238" t="n">
        <v>-160941</v>
      </c>
      <c r="AU14" s="238" t="n">
        <v>-138469</v>
      </c>
      <c r="AV14" s="238" t="n">
        <v>-159503</v>
      </c>
      <c r="AW14" s="238" t="n">
        <v>-144954</v>
      </c>
      <c r="AX14" s="238" t="n">
        <v>-158032</v>
      </c>
    </row>
    <row r="15" ht="13.5" customHeight="1" s="192">
      <c r="B15" s="8" t="inlineStr">
        <is>
          <t>Outras Rec. (Desp.) Oper.</t>
        </is>
      </c>
      <c r="C15" s="234" t="n">
        <v>-1225</v>
      </c>
      <c r="D15" s="234" t="n">
        <v>1160</v>
      </c>
      <c r="E15" s="234" t="n">
        <v>-5085</v>
      </c>
      <c r="F15" s="234" t="n">
        <v>24396</v>
      </c>
      <c r="G15" s="234" t="n">
        <v>-1011</v>
      </c>
      <c r="H15" s="234" t="n">
        <v>-11002</v>
      </c>
      <c r="I15" s="234" t="n">
        <v>-5915</v>
      </c>
      <c r="J15" s="234" t="n">
        <v>28698</v>
      </c>
      <c r="K15" s="235" t="n">
        <v>465</v>
      </c>
      <c r="L15" s="235" t="n">
        <v>4260</v>
      </c>
      <c r="M15" s="235" t="n">
        <v>-1490</v>
      </c>
      <c r="N15" s="235" t="n">
        <v>-37656</v>
      </c>
      <c r="O15" s="235" t="n">
        <v>-9124</v>
      </c>
      <c r="P15" s="235" t="n">
        <v>-9603</v>
      </c>
      <c r="Q15" s="235" t="n">
        <v>7359</v>
      </c>
      <c r="R15" s="235" t="n">
        <v>46676</v>
      </c>
      <c r="S15" s="235" t="n">
        <v>-4358</v>
      </c>
      <c r="T15" s="235" t="n">
        <v>-1042</v>
      </c>
      <c r="U15" s="235" t="n">
        <v>1236</v>
      </c>
      <c r="V15" s="235" t="n">
        <v>14537</v>
      </c>
      <c r="W15" s="235" t="n">
        <v>7364</v>
      </c>
      <c r="X15" s="235" t="n">
        <v>4574</v>
      </c>
      <c r="Y15" s="236" t="n">
        <v>876</v>
      </c>
      <c r="Z15" s="236" t="n">
        <v>-1342</v>
      </c>
      <c r="AA15" s="236" t="n">
        <v>8957</v>
      </c>
      <c r="AB15" s="236" t="n">
        <v>17459</v>
      </c>
      <c r="AC15" s="236" t="n">
        <v>15384</v>
      </c>
      <c r="AD15" s="236" t="n">
        <v>42985</v>
      </c>
      <c r="AE15" s="236" t="n">
        <v>-6033</v>
      </c>
      <c r="AF15" s="236" t="n">
        <v>-9912</v>
      </c>
      <c r="AG15" s="236" t="n">
        <v>-7528</v>
      </c>
      <c r="AH15" s="236" t="n">
        <v>10369</v>
      </c>
      <c r="AI15" s="236" t="n">
        <v>-5049</v>
      </c>
      <c r="AJ15" s="236" t="n">
        <v>952</v>
      </c>
      <c r="AK15" s="236" t="n">
        <v>7768</v>
      </c>
      <c r="AL15" s="236" t="n">
        <v>1036</v>
      </c>
      <c r="AM15" s="236" t="n">
        <v>-7047</v>
      </c>
      <c r="AN15" s="236" t="n">
        <v>11131</v>
      </c>
      <c r="AO15" s="236" t="n">
        <v>-14340</v>
      </c>
      <c r="AP15" s="236" t="n">
        <v>-1621</v>
      </c>
      <c r="AQ15" s="236" t="n">
        <v>-15266</v>
      </c>
      <c r="AR15" s="236" t="n">
        <v>-460</v>
      </c>
      <c r="AS15" s="233" t="n">
        <v>-13304</v>
      </c>
      <c r="AT15" s="238" t="n">
        <v>26802</v>
      </c>
      <c r="AU15" s="238" t="n">
        <v>2154</v>
      </c>
      <c r="AV15" s="238" t="n">
        <v>59891</v>
      </c>
      <c r="AW15" s="238" t="n">
        <v>583800</v>
      </c>
      <c r="AX15" s="238" t="n">
        <v>-36020</v>
      </c>
    </row>
    <row r="16" ht="13.5" customHeight="1" s="192">
      <c r="B16" s="5" t="inlineStr">
        <is>
          <t>Total Despesas Operacionais</t>
        </is>
      </c>
      <c r="C16" s="239" t="n">
        <v>-116019</v>
      </c>
      <c r="D16" s="239" t="n">
        <v>-122447</v>
      </c>
      <c r="E16" s="239" t="n">
        <v>-132459</v>
      </c>
      <c r="F16" s="239" t="n">
        <v>-113892</v>
      </c>
      <c r="G16" s="239" t="n">
        <v>-130648</v>
      </c>
      <c r="H16" s="239" t="n">
        <v>-122057</v>
      </c>
      <c r="I16" s="239" t="n">
        <v>-122971</v>
      </c>
      <c r="J16" s="239" t="n">
        <v>-90507</v>
      </c>
      <c r="K16" s="239" t="n">
        <v>-118034</v>
      </c>
      <c r="L16" s="239" t="n">
        <v>-123372</v>
      </c>
      <c r="M16" s="239" t="n">
        <v>-136411</v>
      </c>
      <c r="N16" s="239" t="n">
        <v>-171633</v>
      </c>
      <c r="O16" s="239" t="n">
        <v>-150215</v>
      </c>
      <c r="P16" s="239" t="n">
        <v>-142970</v>
      </c>
      <c r="Q16" s="239" t="n">
        <v>-133546</v>
      </c>
      <c r="R16" s="239" t="n">
        <v>-108421</v>
      </c>
      <c r="S16" s="239" t="n">
        <v>-144051</v>
      </c>
      <c r="T16" s="239" t="n">
        <v>-164005</v>
      </c>
      <c r="U16" s="239" t="n">
        <v>-154996</v>
      </c>
      <c r="V16" s="239" t="n">
        <v>-145067</v>
      </c>
      <c r="W16" s="239" t="n">
        <v>-143310</v>
      </c>
      <c r="X16" s="239" t="n">
        <v>-149110</v>
      </c>
      <c r="Y16" s="240" t="n">
        <v>-164487</v>
      </c>
      <c r="Z16" s="240" t="n">
        <v>-174785</v>
      </c>
      <c r="AA16" s="240" t="n">
        <v>-162154</v>
      </c>
      <c r="AB16" s="240" t="n">
        <v>-142897</v>
      </c>
      <c r="AC16" s="240" t="n">
        <v>-152201</v>
      </c>
      <c r="AD16" s="240" t="n">
        <v>-136039</v>
      </c>
      <c r="AE16" s="240" t="n">
        <v>-175458</v>
      </c>
      <c r="AF16" s="240" t="n">
        <v>-198433</v>
      </c>
      <c r="AG16" s="240" t="n">
        <v>-193782</v>
      </c>
      <c r="AH16" s="240" t="n">
        <v>-212346</v>
      </c>
      <c r="AI16" s="240" t="n">
        <v>-210350</v>
      </c>
      <c r="AJ16" s="240" t="n">
        <v>-237658</v>
      </c>
      <c r="AK16" s="240" t="n">
        <v>-302863</v>
      </c>
      <c r="AL16" s="240" t="n">
        <v>-296990</v>
      </c>
      <c r="AM16" s="240" t="n">
        <v>-287487</v>
      </c>
      <c r="AN16" s="240" t="n">
        <v>-277603</v>
      </c>
      <c r="AO16" s="240" t="n">
        <v>-310586</v>
      </c>
      <c r="AP16" s="240" t="n">
        <v>-321443</v>
      </c>
      <c r="AQ16" s="240" t="n">
        <v>-312519</v>
      </c>
      <c r="AR16" s="240" t="n">
        <v>-305277</v>
      </c>
      <c r="AS16" s="229" t="n">
        <v>-358389</v>
      </c>
      <c r="AT16" s="227" t="n">
        <v>-348596</v>
      </c>
      <c r="AU16" s="227" t="n">
        <v>-326040</v>
      </c>
      <c r="AV16" s="227" t="n">
        <v>-313006</v>
      </c>
      <c r="AW16" s="227" t="n">
        <v>212677</v>
      </c>
      <c r="AX16" s="227" t="n">
        <v>-475152</v>
      </c>
    </row>
    <row r="17" ht="13.5" customHeight="1" s="192">
      <c r="B17" s="6" t="inlineStr">
        <is>
          <t>Resultado Oper. antes Desp. Fin. (EBIT)</t>
        </is>
      </c>
      <c r="C17" s="228" t="n">
        <v>99392</v>
      </c>
      <c r="D17" s="228" t="n">
        <v>39313</v>
      </c>
      <c r="E17" s="228" t="n">
        <v>52462</v>
      </c>
      <c r="F17" s="228" t="n">
        <v>133929</v>
      </c>
      <c r="G17" s="228" t="n">
        <v>22372</v>
      </c>
      <c r="H17" s="228" t="n">
        <v>-14334</v>
      </c>
      <c r="I17" s="228" t="n">
        <v>-408</v>
      </c>
      <c r="J17" s="228" t="n">
        <v>52675</v>
      </c>
      <c r="K17" s="228" t="n">
        <v>148469</v>
      </c>
      <c r="L17" s="228" t="n">
        <v>154285</v>
      </c>
      <c r="M17" s="228" t="n">
        <v>203296</v>
      </c>
      <c r="N17" s="228" t="n">
        <v>315339</v>
      </c>
      <c r="O17" s="228" t="n">
        <v>203263</v>
      </c>
      <c r="P17" s="228" t="n">
        <v>176857</v>
      </c>
      <c r="Q17" s="228" t="n">
        <v>146850</v>
      </c>
      <c r="R17" s="228" t="n">
        <v>270164</v>
      </c>
      <c r="S17" s="239" t="n">
        <v>631758</v>
      </c>
      <c r="T17" s="239" t="n">
        <v>115777</v>
      </c>
      <c r="U17" s="239" t="n">
        <v>549086</v>
      </c>
      <c r="V17" s="239" t="n">
        <v>321770</v>
      </c>
      <c r="W17" s="239" t="n">
        <v>265004</v>
      </c>
      <c r="X17" s="239" t="n">
        <v>207708</v>
      </c>
      <c r="Y17" s="237" t="n">
        <v>351540</v>
      </c>
      <c r="Z17" s="237" t="n">
        <v>272765</v>
      </c>
      <c r="AA17" s="237" t="n">
        <v>760537</v>
      </c>
      <c r="AB17" s="237" t="n">
        <v>196082</v>
      </c>
      <c r="AC17" s="237" t="n">
        <v>473522</v>
      </c>
      <c r="AD17" s="237" t="n">
        <v>220945</v>
      </c>
      <c r="AE17" s="237" t="n">
        <v>258462</v>
      </c>
      <c r="AF17" s="237" t="n">
        <v>236318</v>
      </c>
      <c r="AG17" s="237" t="n">
        <v>421335</v>
      </c>
      <c r="AH17" s="237" t="n">
        <v>546066</v>
      </c>
      <c r="AI17" s="237" t="n">
        <v>312414</v>
      </c>
      <c r="AJ17" s="237" t="n">
        <v>477767</v>
      </c>
      <c r="AK17" s="237" t="n">
        <v>264044</v>
      </c>
      <c r="AL17" s="237" t="n">
        <v>294600</v>
      </c>
      <c r="AM17" s="237" t="n">
        <v>534662</v>
      </c>
      <c r="AN17" s="237" t="n">
        <v>70211</v>
      </c>
      <c r="AO17" s="237" t="n">
        <v>406615</v>
      </c>
      <c r="AP17" s="237" t="n">
        <v>526940</v>
      </c>
      <c r="AQ17" s="237" t="n">
        <v>438135</v>
      </c>
      <c r="AR17" s="237" t="n">
        <v>547674</v>
      </c>
      <c r="AS17" s="229" t="n">
        <v>897733</v>
      </c>
      <c r="AT17" s="227" t="n">
        <v>1094099</v>
      </c>
      <c r="AU17" s="227" t="n">
        <v>531792</v>
      </c>
      <c r="AV17" s="227" t="n">
        <v>437632</v>
      </c>
      <c r="AW17" s="227" t="n">
        <v>1192684</v>
      </c>
      <c r="AX17" s="227" t="n">
        <v>357029</v>
      </c>
    </row>
    <row r="18" ht="13.5" customHeight="1" s="192">
      <c r="B18" s="6" t="inlineStr">
        <is>
          <t>Equivalência Patrimonial</t>
        </is>
      </c>
      <c r="C18" s="241" t="n">
        <v>-57</v>
      </c>
      <c r="D18" s="39" t="n">
        <v>0</v>
      </c>
      <c r="E18" s="241" t="n">
        <v>-178</v>
      </c>
      <c r="F18" s="228" t="n">
        <v>0</v>
      </c>
      <c r="G18" s="228" t="n">
        <v>0</v>
      </c>
      <c r="H18" s="228" t="n">
        <v>0</v>
      </c>
      <c r="I18" s="228" t="n">
        <v>0</v>
      </c>
      <c r="J18" s="228" t="n">
        <v>0</v>
      </c>
      <c r="K18" s="228" t="n">
        <v>0</v>
      </c>
      <c r="L18" s="228" t="n">
        <v>0</v>
      </c>
      <c r="M18" s="228" t="n">
        <v>0</v>
      </c>
      <c r="N18" s="228" t="n">
        <v>0</v>
      </c>
      <c r="O18" s="228" t="n">
        <v>0</v>
      </c>
      <c r="P18" s="228" t="n">
        <v>0</v>
      </c>
      <c r="Q18" s="228" t="n">
        <v>0</v>
      </c>
      <c r="R18" s="228" t="n">
        <v>-429</v>
      </c>
      <c r="S18" s="239" t="n">
        <v>3586</v>
      </c>
      <c r="T18" s="239" t="n">
        <v>19988</v>
      </c>
      <c r="U18" s="239" t="n">
        <v>1755</v>
      </c>
      <c r="V18" s="239" t="n">
        <v>498</v>
      </c>
      <c r="W18" s="239" t="n">
        <v>823</v>
      </c>
      <c r="X18" s="239" t="n">
        <v>1365</v>
      </c>
      <c r="Y18" s="237" t="n">
        <v>15187</v>
      </c>
      <c r="Z18" s="237" t="n">
        <v>4860</v>
      </c>
      <c r="AA18" s="237" t="n">
        <v>5542</v>
      </c>
      <c r="AB18" s="237" t="n">
        <v>5807</v>
      </c>
      <c r="AC18" s="237" t="n">
        <v>23032</v>
      </c>
      <c r="AD18" s="237" t="n">
        <v>14268</v>
      </c>
      <c r="AE18" s="237" t="n">
        <v>7535</v>
      </c>
      <c r="AF18" s="237" t="n">
        <v>5804</v>
      </c>
      <c r="AG18" s="237" t="n">
        <v>10707</v>
      </c>
      <c r="AH18" s="237" t="n">
        <v>6580</v>
      </c>
      <c r="AI18" s="237" t="n">
        <v>7094</v>
      </c>
      <c r="AJ18" s="237" t="n">
        <v>16685</v>
      </c>
      <c r="AK18" s="237" t="n">
        <v>9352</v>
      </c>
      <c r="AL18" s="237" t="n">
        <v>16190</v>
      </c>
      <c r="AM18" s="237" t="n">
        <v>6589</v>
      </c>
      <c r="AN18" s="237" t="n">
        <v>-1177</v>
      </c>
      <c r="AO18" s="237" t="n">
        <v>5295</v>
      </c>
      <c r="AP18" s="237" t="n">
        <v>2917</v>
      </c>
      <c r="AQ18" s="237" t="n">
        <v>1629</v>
      </c>
      <c r="AR18" s="237" t="n">
        <v>1762</v>
      </c>
      <c r="AS18" s="229" t="n">
        <v>1325</v>
      </c>
      <c r="AT18" s="238" t="n">
        <v>1248</v>
      </c>
      <c r="AU18" s="238" t="n">
        <v>1745</v>
      </c>
      <c r="AV18" s="238" t="n">
        <v>2028</v>
      </c>
      <c r="AW18" s="238" t="n">
        <v>2409</v>
      </c>
      <c r="AX18" s="238" t="n">
        <v>1055</v>
      </c>
    </row>
    <row r="19" ht="13.5" customHeight="1" s="192">
      <c r="B19" s="8" t="inlineStr">
        <is>
          <t>Despesas Financeiras</t>
        </is>
      </c>
      <c r="C19" s="234" t="n">
        <v>-88445</v>
      </c>
      <c r="D19" s="234" t="n">
        <v>-77411</v>
      </c>
      <c r="E19" s="234" t="n">
        <v>-126613</v>
      </c>
      <c r="F19" s="234" t="n">
        <v>-149232</v>
      </c>
      <c r="G19" s="234" t="n">
        <v>-99018</v>
      </c>
      <c r="H19" s="234" t="n">
        <v>-54524</v>
      </c>
      <c r="I19" s="234" t="n">
        <v>-68855</v>
      </c>
      <c r="J19" s="234" t="n">
        <v>-170749</v>
      </c>
      <c r="K19" s="231" t="n">
        <v>-85045</v>
      </c>
      <c r="L19" s="231" t="n">
        <v>-80291</v>
      </c>
      <c r="M19" s="231" t="n">
        <v>-79514</v>
      </c>
      <c r="N19" s="234" t="n">
        <v>-85839</v>
      </c>
      <c r="O19" s="231" t="n">
        <v>-102700</v>
      </c>
      <c r="P19" s="231" t="n">
        <v>-123121</v>
      </c>
      <c r="Q19" s="231" t="n">
        <v>-112572</v>
      </c>
      <c r="R19" s="235" t="n">
        <v>-96303</v>
      </c>
      <c r="S19" s="235" t="n">
        <v>-89152</v>
      </c>
      <c r="T19" s="235" t="n">
        <v>-129005</v>
      </c>
      <c r="U19" s="235" t="n">
        <v>-115435</v>
      </c>
      <c r="V19" s="235" t="n">
        <v>-104286</v>
      </c>
      <c r="W19" s="235" t="n">
        <v>-88806</v>
      </c>
      <c r="X19" s="235" t="n">
        <v>-111336</v>
      </c>
      <c r="Y19" s="232" t="n">
        <v>-103541</v>
      </c>
      <c r="Z19" s="232" t="n">
        <v>-119667</v>
      </c>
      <c r="AA19" s="232" t="n">
        <v>-106002</v>
      </c>
      <c r="AB19" s="232" t="n">
        <v>-97103</v>
      </c>
      <c r="AC19" s="232" t="n">
        <v>-226858</v>
      </c>
      <c r="AD19" s="232" t="n">
        <v>-224971</v>
      </c>
      <c r="AE19" s="232" t="n">
        <v>-215714</v>
      </c>
      <c r="AF19" s="232" t="n">
        <v>-163412</v>
      </c>
      <c r="AG19" s="232" t="n">
        <v>-235507</v>
      </c>
      <c r="AH19" s="232" t="n">
        <v>-233853</v>
      </c>
      <c r="AI19" s="232" t="n">
        <v>-224127</v>
      </c>
      <c r="AJ19" s="232" t="n">
        <v>-317764</v>
      </c>
      <c r="AK19" s="232" t="n">
        <v>-334677</v>
      </c>
      <c r="AL19" s="232" t="n">
        <v>-407598</v>
      </c>
      <c r="AM19" s="232" t="n">
        <v>-325421</v>
      </c>
      <c r="AN19" s="232" t="n">
        <v>-339952</v>
      </c>
      <c r="AO19" s="232" t="n">
        <v>-314878</v>
      </c>
      <c r="AP19" s="232" t="n">
        <v>-307603</v>
      </c>
      <c r="AQ19" s="232" t="n">
        <v>-345628</v>
      </c>
      <c r="AR19" s="232" t="n">
        <v>-326304</v>
      </c>
      <c r="AS19" s="233" t="n">
        <v>-345749</v>
      </c>
      <c r="AT19" s="238" t="n">
        <v>-531109</v>
      </c>
      <c r="AU19" s="238" t="n">
        <v>-571840</v>
      </c>
      <c r="AV19" s="238" t="n">
        <v>-724559</v>
      </c>
      <c r="AW19" s="238" t="n">
        <v>-807068</v>
      </c>
      <c r="AX19" s="238" t="n">
        <v>-170771</v>
      </c>
    </row>
    <row r="20" ht="13.5" customHeight="1" s="192">
      <c r="B20" s="1" t="inlineStr">
        <is>
          <t>Receitas Financeiras</t>
        </is>
      </c>
      <c r="C20" s="234" t="n">
        <v>58486</v>
      </c>
      <c r="D20" s="234" t="n">
        <v>84371</v>
      </c>
      <c r="E20" s="234" t="n">
        <v>60585</v>
      </c>
      <c r="F20" s="234" t="n">
        <v>7065</v>
      </c>
      <c r="G20" s="234" t="n">
        <v>46969</v>
      </c>
      <c r="H20" s="234" t="n">
        <v>39713</v>
      </c>
      <c r="I20" s="234" t="n">
        <v>42196</v>
      </c>
      <c r="J20" s="234" t="n">
        <v>41757</v>
      </c>
      <c r="K20" s="235" t="n">
        <v>42449</v>
      </c>
      <c r="L20" s="235" t="n">
        <v>56040</v>
      </c>
      <c r="M20" s="235" t="n">
        <v>66203</v>
      </c>
      <c r="N20" s="234" t="n">
        <v>66695</v>
      </c>
      <c r="O20" s="235" t="n">
        <v>68753</v>
      </c>
      <c r="P20" s="235" t="n">
        <v>84090</v>
      </c>
      <c r="Q20" s="235" t="n">
        <v>89135</v>
      </c>
      <c r="R20" s="235" t="n">
        <v>74333</v>
      </c>
      <c r="S20" s="235" t="n">
        <v>68130</v>
      </c>
      <c r="T20" s="235" t="n">
        <v>72486</v>
      </c>
      <c r="U20" s="235" t="n">
        <v>75953</v>
      </c>
      <c r="V20" s="235" t="n">
        <v>51381</v>
      </c>
      <c r="W20" s="235" t="n">
        <v>46098</v>
      </c>
      <c r="X20" s="235" t="n">
        <v>47459</v>
      </c>
      <c r="Y20" s="236" t="n">
        <v>54597</v>
      </c>
      <c r="Z20" s="236" t="n">
        <v>64803</v>
      </c>
      <c r="AA20" s="236" t="n">
        <v>121236</v>
      </c>
      <c r="AB20" s="236" t="n">
        <v>133008</v>
      </c>
      <c r="AC20" s="236" t="n">
        <v>149317</v>
      </c>
      <c r="AD20" s="236" t="n">
        <v>131778</v>
      </c>
      <c r="AE20" s="236" t="n">
        <v>118846</v>
      </c>
      <c r="AF20" s="236" t="n">
        <v>125770</v>
      </c>
      <c r="AG20" s="236" t="n">
        <v>177378</v>
      </c>
      <c r="AH20" s="236" t="n">
        <v>159906</v>
      </c>
      <c r="AI20" s="236" t="n">
        <v>157222</v>
      </c>
      <c r="AJ20" s="236" t="n">
        <v>388101</v>
      </c>
      <c r="AK20" s="236" t="n">
        <v>155186</v>
      </c>
      <c r="AL20" s="236" t="n">
        <v>231517</v>
      </c>
      <c r="AM20" s="236" t="n">
        <v>265542</v>
      </c>
      <c r="AN20" s="236" t="n">
        <v>228123</v>
      </c>
      <c r="AO20" s="236" t="n">
        <v>149497</v>
      </c>
      <c r="AP20" s="236" t="n">
        <v>105456</v>
      </c>
      <c r="AQ20" s="236" t="n">
        <v>135712</v>
      </c>
      <c r="AR20" s="236" t="n">
        <v>157428</v>
      </c>
      <c r="AS20" s="233" t="n">
        <v>98059</v>
      </c>
      <c r="AT20" s="238" t="n">
        <v>104204</v>
      </c>
      <c r="AU20" s="238" t="n">
        <v>140353</v>
      </c>
      <c r="AV20" s="238" t="n">
        <v>174060</v>
      </c>
      <c r="AW20" s="238" t="n">
        <v>566593</v>
      </c>
      <c r="AX20" s="238" t="n">
        <v>141655</v>
      </c>
    </row>
    <row r="21" ht="13.5" customHeight="1" s="192">
      <c r="B21" s="8" t="inlineStr">
        <is>
          <t>Variações Cambiais Líquidas</t>
        </is>
      </c>
      <c r="C21" s="234" t="n">
        <v>19746</v>
      </c>
      <c r="D21" s="234" t="n">
        <v>168264</v>
      </c>
      <c r="E21" s="234" t="n">
        <v>-385363</v>
      </c>
      <c r="F21" s="234" t="n">
        <v>-476661</v>
      </c>
      <c r="G21" s="234" t="n">
        <v>13318</v>
      </c>
      <c r="H21" s="234" t="n">
        <v>397903</v>
      </c>
      <c r="I21" s="234" t="n">
        <v>199788</v>
      </c>
      <c r="J21" s="234" t="n">
        <v>52746</v>
      </c>
      <c r="K21" s="235" t="n">
        <v>-41280</v>
      </c>
      <c r="L21" s="235" t="n">
        <v>-25595</v>
      </c>
      <c r="M21" s="235" t="n">
        <v>151385</v>
      </c>
      <c r="N21" s="235" t="n">
        <v>43010</v>
      </c>
      <c r="O21" s="235" t="n">
        <v>58728</v>
      </c>
      <c r="P21" s="235" t="n">
        <v>102273</v>
      </c>
      <c r="Q21" s="235" t="n">
        <v>-500955</v>
      </c>
      <c r="R21" s="235" t="n">
        <v>-42229</v>
      </c>
      <c r="S21" s="235" t="n">
        <v>75146</v>
      </c>
      <c r="T21" s="235" t="n">
        <v>-412140</v>
      </c>
      <c r="U21" s="235" t="n">
        <v>-15377</v>
      </c>
      <c r="V21" s="235" t="n">
        <v>-25463</v>
      </c>
      <c r="W21" s="235" t="n">
        <v>59662</v>
      </c>
      <c r="X21" s="235" t="n">
        <v>-354319</v>
      </c>
      <c r="Y21" s="236" t="n">
        <v>-40329</v>
      </c>
      <c r="Z21" s="236" t="n">
        <v>-193655</v>
      </c>
      <c r="AA21" s="236" t="n">
        <v>150533</v>
      </c>
      <c r="AB21" s="236" t="n">
        <v>101614</v>
      </c>
      <c r="AC21" s="236" t="n">
        <v>-420967</v>
      </c>
      <c r="AD21" s="236" t="n">
        <v>-357697</v>
      </c>
      <c r="AE21" s="236" t="n">
        <v>-1287743</v>
      </c>
      <c r="AF21" s="236" t="n">
        <v>239104</v>
      </c>
      <c r="AG21" s="236" t="n">
        <v>-2431549</v>
      </c>
      <c r="AH21" s="236" t="n">
        <v>306158</v>
      </c>
      <c r="AI21" s="236" t="n">
        <v>1079535</v>
      </c>
      <c r="AJ21" s="236" t="n">
        <v>1225909</v>
      </c>
      <c r="AK21" s="236" t="n">
        <v>-77109</v>
      </c>
      <c r="AL21" s="236" t="n">
        <v>-59406</v>
      </c>
      <c r="AM21" s="236" t="n">
        <v>378272</v>
      </c>
      <c r="AN21" s="236" t="n">
        <v>-557367</v>
      </c>
      <c r="AO21" s="236" t="n">
        <v>495485</v>
      </c>
      <c r="AP21" s="236" t="n">
        <v>-490538</v>
      </c>
      <c r="AQ21" s="236" t="n">
        <v>-52260</v>
      </c>
      <c r="AR21" s="236" t="n">
        <v>-1842763</v>
      </c>
      <c r="AS21" s="233" t="n">
        <v>-508815</v>
      </c>
      <c r="AT21" s="238" t="n">
        <v>405039</v>
      </c>
      <c r="AU21" s="238" t="n">
        <v>-18675</v>
      </c>
      <c r="AV21" s="238" t="n">
        <v>210564</v>
      </c>
      <c r="AW21" s="238" t="n">
        <v>-1006223</v>
      </c>
      <c r="AX21" s="238" t="n">
        <v>404063</v>
      </c>
    </row>
    <row r="22" ht="13.5" customHeight="1" s="192">
      <c r="B22" s="7" t="inlineStr">
        <is>
          <t>Financeiras Líquidas</t>
        </is>
      </c>
      <c r="C22" s="239" t="n">
        <v>-10213</v>
      </c>
      <c r="D22" s="239" t="n">
        <v>175224</v>
      </c>
      <c r="E22" s="239" t="n">
        <v>-451391</v>
      </c>
      <c r="F22" s="239" t="n">
        <v>-618828</v>
      </c>
      <c r="G22" s="239" t="n">
        <v>-38731</v>
      </c>
      <c r="H22" s="239" t="n">
        <v>383092</v>
      </c>
      <c r="I22" s="239" t="n">
        <v>173129</v>
      </c>
      <c r="J22" s="239" t="n">
        <v>-76246</v>
      </c>
      <c r="K22" s="239" t="n">
        <v>-83876</v>
      </c>
      <c r="L22" s="239" t="n">
        <v>-49846</v>
      </c>
      <c r="M22" s="239" t="n">
        <v>138074</v>
      </c>
      <c r="N22" s="239" t="n">
        <v>23866</v>
      </c>
      <c r="O22" s="239" t="n">
        <v>24781</v>
      </c>
      <c r="P22" s="239" t="n">
        <v>63242</v>
      </c>
      <c r="Q22" s="239" t="n">
        <v>-524392</v>
      </c>
      <c r="R22" s="239" t="n">
        <v>-64199</v>
      </c>
      <c r="S22" s="239" t="n">
        <v>54124</v>
      </c>
      <c r="T22" s="239" t="n">
        <v>-468659</v>
      </c>
      <c r="U22" s="239" t="n">
        <v>-54859</v>
      </c>
      <c r="V22" s="239" t="n">
        <v>-78368</v>
      </c>
      <c r="W22" s="239" t="n">
        <v>16954</v>
      </c>
      <c r="X22" s="239" t="n">
        <v>-418196</v>
      </c>
      <c r="Y22" s="240" t="n">
        <v>-89273</v>
      </c>
      <c r="Z22" s="240" t="n">
        <v>-248519</v>
      </c>
      <c r="AA22" s="240" t="n">
        <v>165767</v>
      </c>
      <c r="AB22" s="240" t="n">
        <v>137519</v>
      </c>
      <c r="AC22" s="240" t="n">
        <v>-498508</v>
      </c>
      <c r="AD22" s="240" t="n">
        <v>-450890</v>
      </c>
      <c r="AE22" s="240" t="n">
        <v>-1384611</v>
      </c>
      <c r="AF22" s="240" t="n">
        <v>201462</v>
      </c>
      <c r="AG22" s="240" t="n">
        <v>-2489678</v>
      </c>
      <c r="AH22" s="240" t="n">
        <v>232211</v>
      </c>
      <c r="AI22" s="240" t="n">
        <v>1012630</v>
      </c>
      <c r="AJ22" s="240" t="n">
        <v>1296246</v>
      </c>
      <c r="AK22" s="240" t="n">
        <v>-256600</v>
      </c>
      <c r="AL22" s="240" t="n">
        <v>-235487</v>
      </c>
      <c r="AM22" s="240" t="n">
        <v>318393</v>
      </c>
      <c r="AN22" s="240" t="n">
        <v>-669196</v>
      </c>
      <c r="AO22" s="240" t="n">
        <v>330104</v>
      </c>
      <c r="AP22" s="240" t="n">
        <v>-692685</v>
      </c>
      <c r="AQ22" s="240" t="n">
        <v>-262176</v>
      </c>
      <c r="AR22" s="240" t="n">
        <v>-2011639</v>
      </c>
      <c r="AS22" s="229" t="n">
        <v>-756505</v>
      </c>
      <c r="AT22" s="227" t="n">
        <v>-21866</v>
      </c>
      <c r="AU22" s="227" t="n">
        <v>-450162</v>
      </c>
      <c r="AV22" s="227" t="n">
        <v>-339935</v>
      </c>
      <c r="AW22" s="227" t="n">
        <v>-1246698</v>
      </c>
      <c r="AX22" s="227" t="n">
        <v>374947</v>
      </c>
    </row>
    <row r="23" ht="13.5" customHeight="1" s="192">
      <c r="B23" s="6" t="inlineStr">
        <is>
          <t>Lucro antes I.R. Cont. Social</t>
        </is>
      </c>
      <c r="C23" s="239" t="n">
        <v>89122</v>
      </c>
      <c r="D23" s="239" t="n">
        <v>214537</v>
      </c>
      <c r="E23" s="239" t="n">
        <v>-399107</v>
      </c>
      <c r="F23" s="239" t="n">
        <v>-484899</v>
      </c>
      <c r="G23" s="239" t="n">
        <v>-16359</v>
      </c>
      <c r="H23" s="239" t="n">
        <v>368758</v>
      </c>
      <c r="I23" s="239" t="n">
        <v>172721</v>
      </c>
      <c r="J23" s="239" t="n">
        <v>-23571</v>
      </c>
      <c r="K23" s="239" t="n">
        <v>64593</v>
      </c>
      <c r="L23" s="239" t="n">
        <v>104439</v>
      </c>
      <c r="M23" s="239" t="n">
        <v>341370</v>
      </c>
      <c r="N23" s="239" t="n">
        <v>339205</v>
      </c>
      <c r="O23" s="239" t="n">
        <v>228044</v>
      </c>
      <c r="P23" s="239" t="n">
        <v>240099</v>
      </c>
      <c r="Q23" s="239" t="n">
        <v>-377542</v>
      </c>
      <c r="R23" s="239" t="n">
        <v>205536</v>
      </c>
      <c r="S23" s="239" t="n">
        <v>689468</v>
      </c>
      <c r="T23" s="239" t="n">
        <v>-332894</v>
      </c>
      <c r="U23" s="239" t="n">
        <v>495982</v>
      </c>
      <c r="V23" s="239" t="n">
        <v>243900</v>
      </c>
      <c r="W23" s="239" t="n">
        <v>282781</v>
      </c>
      <c r="X23" s="239" t="n">
        <v>-209123</v>
      </c>
      <c r="Y23" s="240" t="n">
        <v>277454</v>
      </c>
      <c r="Z23" s="240" t="n">
        <v>29106</v>
      </c>
      <c r="AA23" s="240" t="n">
        <v>931846</v>
      </c>
      <c r="AB23" s="240" t="n">
        <v>339408</v>
      </c>
      <c r="AC23" s="240" t="n">
        <v>-1954</v>
      </c>
      <c r="AD23" s="240" t="n">
        <v>-215677</v>
      </c>
      <c r="AE23" s="240" t="n">
        <v>-1118614</v>
      </c>
      <c r="AF23" s="240" t="n">
        <v>443584</v>
      </c>
      <c r="AG23" s="240" t="n">
        <v>-2057636</v>
      </c>
      <c r="AH23" s="240" t="n">
        <v>784857</v>
      </c>
      <c r="AI23" s="240" t="n">
        <v>1332138</v>
      </c>
      <c r="AJ23" s="240" t="n">
        <v>1790698</v>
      </c>
      <c r="AK23" s="240" t="n">
        <v>16796</v>
      </c>
      <c r="AL23" s="240" t="n">
        <v>75303</v>
      </c>
      <c r="AM23" s="240" t="n">
        <v>859644</v>
      </c>
      <c r="AN23" s="240" t="n">
        <v>-600162</v>
      </c>
      <c r="AO23" s="240" t="n">
        <v>742014</v>
      </c>
      <c r="AP23" s="240" t="n">
        <v>-162828</v>
      </c>
      <c r="AQ23" s="240" t="n">
        <v>177588</v>
      </c>
      <c r="AR23" s="240" t="n">
        <v>-1462203</v>
      </c>
      <c r="AS23" s="229" t="n">
        <v>142553</v>
      </c>
      <c r="AT23" s="227" t="n">
        <v>1073481</v>
      </c>
      <c r="AU23" s="227" t="n">
        <v>83375</v>
      </c>
      <c r="AV23" s="227" t="n">
        <v>99725</v>
      </c>
      <c r="AW23" s="227" t="n">
        <v>-51605</v>
      </c>
      <c r="AX23" s="227" t="n">
        <v>733031</v>
      </c>
    </row>
    <row r="24" ht="13.5" customHeight="1" s="192">
      <c r="B24" s="8" t="inlineStr">
        <is>
          <t>Prov. IR e Contrib. Social</t>
        </is>
      </c>
      <c r="C24" s="234" t="n">
        <v>-16797</v>
      </c>
      <c r="D24" s="234" t="n">
        <v>-59855</v>
      </c>
      <c r="E24" s="234" t="n">
        <v>145808</v>
      </c>
      <c r="F24" s="234" t="n">
        <v>171759</v>
      </c>
      <c r="G24" s="234" t="n">
        <v>13492</v>
      </c>
      <c r="H24" s="234" t="n">
        <v>-99748</v>
      </c>
      <c r="I24" s="234" t="n">
        <v>-47593</v>
      </c>
      <c r="J24" s="234" t="n">
        <v>-198912</v>
      </c>
      <c r="K24" s="231" t="n">
        <v>-23010</v>
      </c>
      <c r="L24" s="231" t="n">
        <v>-37095</v>
      </c>
      <c r="M24" s="231" t="n">
        <v>-115664</v>
      </c>
      <c r="N24" s="231" t="n">
        <v>-114063</v>
      </c>
      <c r="O24" s="231" t="n">
        <v>-87842</v>
      </c>
      <c r="P24" s="231" t="n">
        <v>-76956</v>
      </c>
      <c r="Q24" s="231" t="n">
        <v>134487</v>
      </c>
      <c r="R24" s="235" t="n">
        <v>-83105</v>
      </c>
      <c r="S24" s="235" t="n">
        <v>-230950</v>
      </c>
      <c r="T24" s="235" t="n">
        <v>148988</v>
      </c>
      <c r="U24" s="235" t="n">
        <v>-165144</v>
      </c>
      <c r="V24" s="235" t="n">
        <v>-97385</v>
      </c>
      <c r="W24" s="235" t="n">
        <v>-81227</v>
      </c>
      <c r="X24" s="235" t="n">
        <v>79298</v>
      </c>
      <c r="Y24" s="232" t="n">
        <v>-80606</v>
      </c>
      <c r="Z24" s="232" t="n">
        <v>-7586</v>
      </c>
      <c r="AA24" s="232" t="n">
        <v>-324672</v>
      </c>
      <c r="AB24" s="232" t="n">
        <v>-95890</v>
      </c>
      <c r="AC24" s="232" t="n">
        <v>8963</v>
      </c>
      <c r="AD24" s="232" t="n">
        <v>88306</v>
      </c>
      <c r="AE24" s="232" t="n">
        <v>390048</v>
      </c>
      <c r="AF24" s="232" t="n">
        <v>-147988</v>
      </c>
      <c r="AG24" s="232" t="n">
        <v>716803</v>
      </c>
      <c r="AH24" s="232" t="n">
        <v>-264251</v>
      </c>
      <c r="AI24" s="232" t="n">
        <v>-258626</v>
      </c>
      <c r="AJ24" s="232" t="n">
        <v>-522571</v>
      </c>
      <c r="AK24" s="232" t="n">
        <v>14649</v>
      </c>
      <c r="AL24" s="232" t="n">
        <v>33559</v>
      </c>
      <c r="AM24" s="232" t="n">
        <v>-257619</v>
      </c>
      <c r="AN24" s="232" t="n">
        <v>222579</v>
      </c>
      <c r="AO24" s="232" t="n">
        <v>-351394</v>
      </c>
      <c r="AP24" s="232" t="n">
        <v>79935</v>
      </c>
      <c r="AQ24" s="232" t="n">
        <v>-52933</v>
      </c>
      <c r="AR24" s="232" t="n">
        <v>507569</v>
      </c>
      <c r="AS24" s="233" t="n">
        <v>-38733</v>
      </c>
      <c r="AT24" s="238" t="n">
        <v>-160504</v>
      </c>
      <c r="AU24" s="238" t="n">
        <v>-279539</v>
      </c>
      <c r="AV24" s="238" t="n">
        <v>-27475</v>
      </c>
      <c r="AW24" s="238" t="n">
        <v>259032</v>
      </c>
      <c r="AX24" s="238" t="n">
        <v>-101926</v>
      </c>
    </row>
    <row r="25" ht="13.5" customHeight="1" s="192">
      <c r="B25" s="6" t="inlineStr">
        <is>
          <t>Resultado antes dos minoritários</t>
        </is>
      </c>
      <c r="C25" s="234" t="n"/>
      <c r="D25" s="234" t="n"/>
      <c r="E25" s="234" t="n"/>
      <c r="F25" s="234" t="n"/>
      <c r="G25" s="234" t="n"/>
      <c r="H25" s="234" t="n"/>
      <c r="I25" s="234" t="n"/>
      <c r="J25" s="234" t="n"/>
      <c r="K25" s="231" t="n"/>
      <c r="L25" s="231" t="n"/>
      <c r="M25" s="231" t="n"/>
      <c r="N25" s="231" t="n"/>
      <c r="O25" s="231" t="n"/>
      <c r="P25" s="231" t="n"/>
      <c r="Q25" s="231" t="n"/>
      <c r="R25" s="235" t="n"/>
      <c r="S25" s="235" t="n"/>
      <c r="T25" s="235" t="n"/>
      <c r="U25" s="235" t="n"/>
      <c r="V25" s="235" t="n"/>
      <c r="W25" s="235" t="n"/>
      <c r="X25" s="235" t="n"/>
      <c r="Y25" s="232" t="n"/>
      <c r="Z25" s="232" t="n"/>
      <c r="AA25" s="232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2" t="n"/>
      <c r="AN25" s="232" t="n"/>
      <c r="AO25" s="232" t="n"/>
      <c r="AP25" s="232" t="n"/>
      <c r="AQ25" s="232" t="n"/>
      <c r="AR25" s="232" t="n"/>
      <c r="AS25" s="233" t="n"/>
      <c r="AT25" s="227" t="n">
        <v>912977</v>
      </c>
      <c r="AU25" s="227" t="n">
        <v>-196164</v>
      </c>
      <c r="AV25" s="227" t="n">
        <v>72250</v>
      </c>
      <c r="AW25" s="227" t="n">
        <v>207427</v>
      </c>
      <c r="AX25" s="227" t="n">
        <v>631105</v>
      </c>
    </row>
    <row r="26" ht="13.5" customHeight="1" s="192">
      <c r="B26" s="8" t="inlineStr">
        <is>
          <t>Partic. Dos Minoritários</t>
        </is>
      </c>
      <c r="C26" s="234" t="n">
        <v>-3402</v>
      </c>
      <c r="D26" s="234" t="n">
        <v>-2374</v>
      </c>
      <c r="E26" s="234" t="n">
        <v>-2409</v>
      </c>
      <c r="F26" s="234" t="n">
        <v>-1029</v>
      </c>
      <c r="G26" s="234" t="n">
        <v>0</v>
      </c>
      <c r="H26" s="234" t="n">
        <v>0</v>
      </c>
      <c r="I26" s="234" t="n">
        <v>0</v>
      </c>
      <c r="J26" s="234" t="n">
        <v>0</v>
      </c>
      <c r="K26" s="231" t="n"/>
      <c r="L26" s="231" t="n">
        <v>0</v>
      </c>
      <c r="M26" s="231" t="n">
        <v>0</v>
      </c>
      <c r="N26" s="234" t="n">
        <v>0</v>
      </c>
      <c r="O26" s="231" t="n"/>
      <c r="P26" s="228" t="n">
        <v>0</v>
      </c>
      <c r="Q26" s="228" t="n">
        <v>0</v>
      </c>
      <c r="R26" s="228" t="n">
        <v>0</v>
      </c>
      <c r="S26" s="235" t="n">
        <v>0</v>
      </c>
      <c r="T26" s="235" t="n">
        <v>0</v>
      </c>
      <c r="U26" s="235" t="n">
        <v>0</v>
      </c>
      <c r="V26" s="235" t="n">
        <v>0</v>
      </c>
      <c r="W26" s="235" t="n"/>
      <c r="X26" s="235" t="n"/>
      <c r="AS26" s="233" t="n"/>
      <c r="AT26" s="238" t="n">
        <v>49363</v>
      </c>
      <c r="AU26" s="238" t="n">
        <v>4630</v>
      </c>
      <c r="AV26" s="238" t="n">
        <v>2088</v>
      </c>
      <c r="AW26" s="238" t="n">
        <v>-7768</v>
      </c>
      <c r="AX26" s="238" t="n">
        <v>39843</v>
      </c>
    </row>
    <row r="27" ht="13.5" customHeight="1" s="192">
      <c r="B27" s="6" t="inlineStr">
        <is>
          <t>Lucro Líquido</t>
        </is>
      </c>
      <c r="C27" s="228" t="n">
        <v>68923</v>
      </c>
      <c r="D27" s="228" t="n">
        <v>152308</v>
      </c>
      <c r="E27" s="228" t="n">
        <v>-255708</v>
      </c>
      <c r="F27" s="228" t="n">
        <v>-314169</v>
      </c>
      <c r="G27" s="228" t="n">
        <v>-2867</v>
      </c>
      <c r="H27" s="228" t="n">
        <v>269010</v>
      </c>
      <c r="I27" s="228" t="n">
        <v>125128</v>
      </c>
      <c r="J27" s="228" t="n">
        <v>-222483</v>
      </c>
      <c r="K27" s="228" t="n">
        <v>41583</v>
      </c>
      <c r="L27" s="228" t="n">
        <v>67344</v>
      </c>
      <c r="M27" s="228" t="n">
        <v>225706</v>
      </c>
      <c r="N27" s="228" t="n">
        <v>225142</v>
      </c>
      <c r="O27" s="228" t="n">
        <v>140202</v>
      </c>
      <c r="P27" s="228" t="n">
        <v>163143</v>
      </c>
      <c r="Q27" s="228" t="n">
        <v>-243055</v>
      </c>
      <c r="R27" s="228" t="n">
        <v>122431</v>
      </c>
      <c r="S27" s="239" t="n">
        <v>458518</v>
      </c>
      <c r="T27" s="239" t="n">
        <v>-183906</v>
      </c>
      <c r="U27" s="239" t="n">
        <v>330838</v>
      </c>
      <c r="V27" s="239" t="n">
        <v>146515</v>
      </c>
      <c r="W27" s="239" t="n">
        <v>201554</v>
      </c>
      <c r="X27" s="239" t="n">
        <v>-129825</v>
      </c>
      <c r="Y27" s="237" t="n">
        <v>196848</v>
      </c>
      <c r="Z27" s="237" t="n">
        <v>21520</v>
      </c>
      <c r="AA27" s="237" t="n">
        <v>607174</v>
      </c>
      <c r="AB27" s="237" t="n">
        <v>243518</v>
      </c>
      <c r="AC27" s="237" t="n">
        <v>7009</v>
      </c>
      <c r="AD27" s="237" t="n">
        <v>-127371</v>
      </c>
      <c r="AE27" s="237" t="n">
        <v>-728566</v>
      </c>
      <c r="AF27" s="237" t="n">
        <v>295596</v>
      </c>
      <c r="AG27" s="237" t="n">
        <v>-1340833</v>
      </c>
      <c r="AH27" s="237" t="n">
        <v>520606</v>
      </c>
      <c r="AI27" s="237" t="n">
        <v>1073512</v>
      </c>
      <c r="AJ27" s="237" t="n">
        <v>1268127</v>
      </c>
      <c r="AK27" s="237" t="n">
        <v>31445</v>
      </c>
      <c r="AL27" s="237" t="n">
        <v>108862</v>
      </c>
      <c r="AM27" s="237" t="n">
        <v>602025</v>
      </c>
      <c r="AN27" s="237" t="n">
        <v>-377583</v>
      </c>
      <c r="AO27" s="237" t="n">
        <v>390620</v>
      </c>
      <c r="AP27" s="237" t="n">
        <v>-82893</v>
      </c>
      <c r="AQ27" s="237" t="n">
        <v>124655</v>
      </c>
      <c r="AR27" s="237" t="n">
        <v>-954634</v>
      </c>
      <c r="AS27" s="229" t="n">
        <v>103820</v>
      </c>
      <c r="AT27" s="227" t="n">
        <v>863614</v>
      </c>
      <c r="AU27" s="227" t="n">
        <v>-200794</v>
      </c>
      <c r="AV27" s="227" t="n">
        <v>70162</v>
      </c>
      <c r="AW27" s="227" t="n">
        <v>215195</v>
      </c>
      <c r="AX27" s="227" t="n">
        <v>591262</v>
      </c>
    </row>
    <row r="28" ht="13.5" customHeight="1" s="192">
      <c r="B28" s="1" t="inlineStr">
        <is>
          <t>Depreciação/Amortização/Exaustão</t>
        </is>
      </c>
      <c r="C28" s="234" t="n">
        <v>91066</v>
      </c>
      <c r="D28" s="234" t="n">
        <v>101757</v>
      </c>
      <c r="E28" s="234" t="n">
        <v>102895</v>
      </c>
      <c r="F28" s="234" t="n">
        <v>107981</v>
      </c>
      <c r="G28" s="234" t="n">
        <v>173241</v>
      </c>
      <c r="H28" s="234" t="n">
        <v>179553</v>
      </c>
      <c r="I28" s="234" t="n">
        <v>215138</v>
      </c>
      <c r="J28" s="234" t="n">
        <v>173271</v>
      </c>
      <c r="K28" s="235" t="n">
        <v>181133</v>
      </c>
      <c r="L28" s="235" t="n">
        <v>170933</v>
      </c>
      <c r="M28" s="235" t="n">
        <v>173271</v>
      </c>
      <c r="N28" s="234" t="n">
        <v>63599</v>
      </c>
      <c r="O28" s="235" t="n">
        <v>153894</v>
      </c>
      <c r="P28" s="235" t="n">
        <v>158630</v>
      </c>
      <c r="Q28" s="235" t="n">
        <v>149811</v>
      </c>
      <c r="R28" s="242" t="n">
        <v>85433</v>
      </c>
      <c r="S28" s="235" t="n">
        <v>107845</v>
      </c>
      <c r="T28" s="235" t="n">
        <v>164348</v>
      </c>
      <c r="U28" s="235" t="n">
        <v>151759</v>
      </c>
      <c r="V28" s="235" t="n">
        <v>168725</v>
      </c>
      <c r="W28" s="235" t="n">
        <v>173066</v>
      </c>
      <c r="X28" s="235" t="n">
        <v>163258</v>
      </c>
      <c r="Y28" s="236" t="n">
        <v>213480</v>
      </c>
      <c r="Z28" s="236" t="n">
        <v>216749</v>
      </c>
      <c r="AA28" s="236" t="n">
        <v>176551</v>
      </c>
      <c r="AB28" s="236" t="n">
        <v>257832</v>
      </c>
      <c r="AC28" s="236" t="n">
        <v>222366</v>
      </c>
      <c r="AD28" s="236" t="n">
        <v>295216</v>
      </c>
      <c r="AE28" s="236" t="n">
        <v>250316</v>
      </c>
      <c r="AF28" s="236" t="n">
        <v>293985</v>
      </c>
      <c r="AG28" s="236" t="n">
        <v>185980</v>
      </c>
      <c r="AH28" s="236" t="n">
        <v>268446</v>
      </c>
      <c r="AI28" s="236" t="n">
        <v>250779</v>
      </c>
      <c r="AJ28" s="236" t="n">
        <v>321868</v>
      </c>
      <c r="AK28" s="236" t="n">
        <v>444550</v>
      </c>
      <c r="AL28" s="236" t="n">
        <v>405915</v>
      </c>
      <c r="AM28" s="236" t="n">
        <v>450477</v>
      </c>
      <c r="AN28" s="236" t="n">
        <v>625784.8534200001</v>
      </c>
      <c r="AO28" s="236" t="n">
        <v>488401</v>
      </c>
      <c r="AP28" s="236" t="n">
        <v>375824</v>
      </c>
      <c r="AQ28" s="236" t="n">
        <v>440579</v>
      </c>
      <c r="AR28" s="236" t="n"/>
      <c r="AS28" s="233" t="n">
        <v>412087</v>
      </c>
      <c r="AT28" s="238" t="n">
        <v>415133</v>
      </c>
      <c r="AU28" s="238" t="n">
        <v>434567</v>
      </c>
      <c r="AV28" s="238" t="n">
        <v>540660.04168</v>
      </c>
      <c r="AW28" s="238" t="n">
        <v>535083.0416400001</v>
      </c>
      <c r="AX28" s="238" t="n">
        <v>683104.1230199998</v>
      </c>
    </row>
    <row r="29" ht="13.5" customHeight="1" s="192">
      <c r="B29" s="6" t="inlineStr">
        <is>
          <t>EBITDA</t>
        </is>
      </c>
      <c r="C29" s="243" t="n">
        <v>190458</v>
      </c>
      <c r="D29" s="243" t="n">
        <v>141070</v>
      </c>
      <c r="E29" s="243" t="n">
        <v>155357</v>
      </c>
      <c r="F29" s="243" t="n">
        <v>241910</v>
      </c>
      <c r="G29" s="243" t="n">
        <v>179958</v>
      </c>
      <c r="H29" s="243" t="n">
        <v>149564</v>
      </c>
      <c r="I29" s="243" t="n">
        <v>199075</v>
      </c>
      <c r="J29" s="243" t="n">
        <v>218537</v>
      </c>
      <c r="K29" s="228" t="n">
        <v>242079</v>
      </c>
      <c r="L29" s="228" t="n">
        <v>236189</v>
      </c>
      <c r="M29" s="228" t="n">
        <v>252106</v>
      </c>
      <c r="N29" s="228" t="n">
        <v>231326</v>
      </c>
      <c r="O29" s="228" t="n">
        <v>249350</v>
      </c>
      <c r="P29" s="228" t="n">
        <v>190403</v>
      </c>
      <c r="Q29" s="228" t="n">
        <v>277406</v>
      </c>
      <c r="R29" s="228" t="n">
        <v>357166</v>
      </c>
      <c r="S29" s="239" t="n">
        <v>304997</v>
      </c>
      <c r="T29" s="239" t="n">
        <v>275275</v>
      </c>
      <c r="U29" s="239" t="n">
        <v>367723</v>
      </c>
      <c r="V29" s="239" t="n">
        <v>377085</v>
      </c>
      <c r="W29" s="239" t="n">
        <v>376461</v>
      </c>
      <c r="X29" s="239" t="n">
        <v>300699</v>
      </c>
      <c r="Y29" s="237" t="n">
        <v>416969</v>
      </c>
      <c r="Z29" s="237" t="n">
        <v>433152</v>
      </c>
      <c r="AA29" s="237" t="n">
        <v>415016</v>
      </c>
      <c r="AB29" s="237" t="n">
        <v>324310</v>
      </c>
      <c r="AC29" s="237" t="n">
        <v>443104</v>
      </c>
      <c r="AD29" s="237" t="n">
        <v>499686</v>
      </c>
      <c r="AE29" s="237" t="n">
        <v>453240</v>
      </c>
      <c r="AF29" s="237" t="n">
        <v>382526</v>
      </c>
      <c r="AG29" s="237" t="n">
        <v>519608</v>
      </c>
      <c r="AH29" s="237" t="n">
        <v>587898</v>
      </c>
      <c r="AI29" s="237" t="n">
        <v>499746</v>
      </c>
      <c r="AJ29" s="237" t="n">
        <v>527193</v>
      </c>
      <c r="AK29" s="237" t="n">
        <v>575582</v>
      </c>
      <c r="AL29" s="237" t="n">
        <v>644599</v>
      </c>
      <c r="AM29" s="237" t="n">
        <v>530036</v>
      </c>
      <c r="AN29" s="237" t="n">
        <v>594150.8534200001</v>
      </c>
      <c r="AO29" s="237" t="n">
        <v>749912</v>
      </c>
      <c r="AP29" s="237" t="n">
        <v>854956</v>
      </c>
      <c r="AQ29" s="237" t="n">
        <v>759561</v>
      </c>
      <c r="AR29" s="237" t="n">
        <v>405548</v>
      </c>
      <c r="AS29" s="229" t="n">
        <v>1247761</v>
      </c>
      <c r="AT29" s="227" t="n">
        <v>1132980</v>
      </c>
      <c r="AU29" s="227" t="n">
        <v>1004609</v>
      </c>
      <c r="AV29" s="227" t="n">
        <v>957242.0416800001</v>
      </c>
      <c r="AW29" s="227" t="n">
        <v>1396028.04164</v>
      </c>
      <c r="AX29" s="227" t="n">
        <v>964619.1230199998</v>
      </c>
    </row>
    <row r="30" ht="13.5" customHeight="1" s="192">
      <c r="B30" s="85" t="n"/>
      <c r="K30" s="235" t="n"/>
      <c r="L30" s="235" t="n"/>
      <c r="M30" s="235" t="n"/>
      <c r="N30" s="235" t="n"/>
      <c r="O30" s="235" t="n"/>
      <c r="P30" s="235" t="n"/>
      <c r="Q30" s="235" t="n"/>
      <c r="AS30" s="229" t="n"/>
      <c r="AT30" s="238" t="n"/>
      <c r="AU30" s="238" t="n"/>
      <c r="AV30" s="238" t="n"/>
    </row>
    <row r="31" ht="14.25" customHeight="1" s="192">
      <c r="B31" s="6" t="inlineStr">
        <is>
          <t>Participação Vale do Corisco</t>
        </is>
      </c>
      <c r="C31" s="228" t="n">
        <v>0</v>
      </c>
      <c r="D31" s="228" t="n">
        <v>0</v>
      </c>
      <c r="E31" s="228" t="n">
        <v>0</v>
      </c>
      <c r="F31" s="228" t="n">
        <v>0</v>
      </c>
      <c r="G31" s="228" t="n">
        <v>0</v>
      </c>
      <c r="H31" s="228" t="n">
        <v>0</v>
      </c>
      <c r="I31" s="228" t="n">
        <v>0</v>
      </c>
      <c r="J31" s="228" t="n">
        <v>0</v>
      </c>
      <c r="K31" s="228" t="n">
        <v>0</v>
      </c>
      <c r="L31" s="228" t="n">
        <v>0</v>
      </c>
      <c r="M31" s="228" t="n">
        <v>0</v>
      </c>
      <c r="N31" s="228" t="n">
        <v>0</v>
      </c>
      <c r="O31" s="228" t="n">
        <v>0</v>
      </c>
      <c r="P31" s="228" t="n">
        <v>0</v>
      </c>
      <c r="Q31" s="228" t="n">
        <v>0</v>
      </c>
      <c r="R31" s="242" t="n">
        <v>2295</v>
      </c>
      <c r="S31" s="235" t="n">
        <v>6269</v>
      </c>
      <c r="T31" s="235" t="n">
        <v>6001</v>
      </c>
      <c r="U31" s="235" t="n">
        <v>7033</v>
      </c>
      <c r="V31" s="235" t="n">
        <v>7135</v>
      </c>
      <c r="W31" s="235" t="n">
        <v>7263</v>
      </c>
      <c r="X31" s="235" t="n">
        <v>8495</v>
      </c>
      <c r="Y31" s="237" t="n">
        <v>9312</v>
      </c>
      <c r="Z31" s="237" t="n">
        <v>9330</v>
      </c>
      <c r="AA31" s="237" t="n">
        <v>9388</v>
      </c>
      <c r="AB31" s="237" t="n">
        <v>9550</v>
      </c>
      <c r="AC31" s="237" t="n">
        <v>8326</v>
      </c>
      <c r="AD31" s="237" t="n">
        <v>8708</v>
      </c>
      <c r="AE31" s="237" t="n">
        <v>8167</v>
      </c>
      <c r="AF31" s="237" t="n">
        <v>8719</v>
      </c>
      <c r="AG31" s="237" t="n">
        <v>10047</v>
      </c>
      <c r="AH31" s="237" t="n">
        <v>15074</v>
      </c>
      <c r="AI31" s="237" t="n">
        <v>12403</v>
      </c>
      <c r="AJ31" s="237" t="n">
        <v>10411</v>
      </c>
      <c r="AK31" s="237" t="n">
        <v>9459</v>
      </c>
      <c r="AL31" s="237" t="n">
        <v>8027</v>
      </c>
      <c r="AM31" s="237" t="n">
        <v>8586</v>
      </c>
      <c r="AN31" s="237" t="n">
        <v>538</v>
      </c>
      <c r="AO31" s="237" t="n">
        <v>0</v>
      </c>
      <c r="AP31" s="237" t="n">
        <v>0</v>
      </c>
      <c r="AQ31" s="237" t="n">
        <v>0</v>
      </c>
      <c r="AR31" s="237" t="n">
        <v>0</v>
      </c>
      <c r="AS31" s="229" t="n">
        <v>0</v>
      </c>
      <c r="AT31" s="227" t="n">
        <v>0</v>
      </c>
      <c r="AU31" s="227" t="n">
        <v>0</v>
      </c>
      <c r="AV31" s="227" t="n">
        <v>0</v>
      </c>
      <c r="AW31" s="227" t="n">
        <v>0</v>
      </c>
      <c r="AX31" s="227" t="n"/>
    </row>
    <row r="32" ht="14.25" customHeight="1" s="192">
      <c r="B32" s="6" t="inlineStr">
        <is>
          <t>EBITDA 2</t>
        </is>
      </c>
      <c r="C32" s="228" t="n">
        <v>190458</v>
      </c>
      <c r="D32" s="228" t="n">
        <v>141070</v>
      </c>
      <c r="E32" s="228" t="n">
        <v>155357</v>
      </c>
      <c r="F32" s="228" t="n">
        <v>241910</v>
      </c>
      <c r="G32" s="228" t="n">
        <v>179958</v>
      </c>
      <c r="H32" s="228" t="n">
        <v>149564</v>
      </c>
      <c r="I32" s="228" t="n">
        <v>199075</v>
      </c>
      <c r="J32" s="228" t="n">
        <v>218537</v>
      </c>
      <c r="K32" s="228" t="n">
        <v>242079</v>
      </c>
      <c r="L32" s="228" t="n">
        <v>236189</v>
      </c>
      <c r="M32" s="228" t="n">
        <v>252106</v>
      </c>
      <c r="N32" s="228" t="n">
        <v>231326</v>
      </c>
      <c r="O32" s="228" t="n">
        <v>249350</v>
      </c>
      <c r="P32" s="228" t="n">
        <v>190403</v>
      </c>
      <c r="Q32" s="228" t="n">
        <v>277406</v>
      </c>
      <c r="R32" s="228" t="n">
        <v>359461</v>
      </c>
      <c r="S32" s="239" t="n">
        <v>311366</v>
      </c>
      <c r="T32" s="239" t="n">
        <v>281276</v>
      </c>
      <c r="U32" s="239" t="n">
        <v>374756</v>
      </c>
      <c r="V32" s="239" t="n">
        <v>384220</v>
      </c>
      <c r="W32" s="239" t="n">
        <v>383724</v>
      </c>
      <c r="X32" s="239" t="n">
        <v>309194</v>
      </c>
      <c r="Y32" s="237" t="n">
        <v>426281</v>
      </c>
      <c r="Z32" s="237" t="n">
        <v>442482</v>
      </c>
      <c r="AA32" s="237" t="n">
        <v>424404</v>
      </c>
      <c r="AB32" s="237" t="n">
        <v>333860</v>
      </c>
      <c r="AC32" s="237" t="n">
        <v>451430</v>
      </c>
      <c r="AD32" s="237" t="n">
        <v>508394</v>
      </c>
      <c r="AE32" s="237" t="n">
        <v>461407</v>
      </c>
      <c r="AF32" s="237" t="n">
        <v>391245</v>
      </c>
      <c r="AG32" s="237" t="n">
        <v>529655</v>
      </c>
      <c r="AH32" s="237" t="n">
        <v>602972</v>
      </c>
      <c r="AI32" s="237" t="n">
        <v>512149</v>
      </c>
      <c r="AJ32" s="237" t="n">
        <v>537604</v>
      </c>
      <c r="AK32" s="237" t="n">
        <v>585041</v>
      </c>
      <c r="AL32" s="237" t="n">
        <v>652626</v>
      </c>
      <c r="AM32" s="237" t="n">
        <v>538622</v>
      </c>
      <c r="AN32" s="237" t="n">
        <v>594688.8534200001</v>
      </c>
      <c r="AO32" s="237" t="n">
        <v>749912</v>
      </c>
      <c r="AP32" s="237" t="n">
        <v>854956</v>
      </c>
      <c r="AQ32" s="237" t="n">
        <v>759561</v>
      </c>
      <c r="AR32" s="237" t="n">
        <v>884117</v>
      </c>
      <c r="AS32" s="229" t="n">
        <v>1247761</v>
      </c>
      <c r="AT32" s="229" t="n">
        <v>1132980</v>
      </c>
      <c r="AU32" s="229" t="n">
        <v>1004609</v>
      </c>
      <c r="AV32" s="229" t="n">
        <v>957242.0416800001</v>
      </c>
      <c r="AW32" s="229" t="n">
        <v>1396028.04164</v>
      </c>
      <c r="AX32" s="229" t="n"/>
    </row>
    <row r="33" ht="14.25" customHeight="1" s="192">
      <c r="W33" s="228" t="n"/>
      <c r="X33" s="228" t="n"/>
      <c r="AH33" s="237" t="n"/>
      <c r="AI33" s="237" t="n"/>
      <c r="AJ33" s="237" t="n"/>
      <c r="AK33" s="237" t="n"/>
      <c r="AL33" s="237" t="n"/>
      <c r="AM33" s="237" t="n"/>
      <c r="AN33" s="237" t="n"/>
      <c r="AO33" s="237" t="n"/>
      <c r="AP33" s="237" t="n"/>
      <c r="AQ33" s="237" t="n"/>
    </row>
    <row r="34" ht="14.25" customHeight="1" s="192">
      <c r="L34" s="244" t="n"/>
      <c r="W34" s="228" t="n"/>
      <c r="X34" s="228" t="n"/>
    </row>
    <row r="35" ht="14.25" customHeight="1" s="192">
      <c r="G35" s="230" t="n"/>
      <c r="H35" s="230" t="n"/>
      <c r="K35" s="244" t="n"/>
      <c r="P35" s="244" t="n"/>
      <c r="W35" s="231" t="n"/>
      <c r="X35" s="231" t="n"/>
      <c r="AI35" s="244" t="n"/>
    </row>
    <row r="36" ht="14.25" customHeight="1" s="192">
      <c r="G36" s="230" t="n"/>
      <c r="H36" s="230" t="n"/>
      <c r="M36" s="244" t="n"/>
      <c r="O36" s="244" t="n"/>
      <c r="P36" s="244" t="n"/>
      <c r="W36" s="33" t="n"/>
      <c r="X36" s="33" t="n"/>
    </row>
    <row r="37" ht="14.25" customHeight="1" s="192">
      <c r="G37" s="230" t="n"/>
      <c r="H37" s="230" t="n"/>
      <c r="N37" s="244" t="n"/>
      <c r="W37" s="231" t="n"/>
      <c r="X37" s="231" t="n"/>
    </row>
    <row r="38" ht="14.25" customHeight="1" s="192">
      <c r="W38" s="33" t="n"/>
      <c r="X38" s="33" t="n"/>
    </row>
    <row r="39">
      <c r="G39" s="244" t="n"/>
      <c r="H39" s="244" t="n"/>
    </row>
    <row r="40" ht="14.25" customHeight="1" s="192">
      <c r="W40" s="231" t="n"/>
      <c r="X40" s="231" t="n"/>
    </row>
    <row r="41" ht="14.25" customHeight="1" s="192">
      <c r="W41" s="235" t="n"/>
      <c r="X41" s="235" t="n"/>
    </row>
    <row r="42" ht="14.25" customHeight="1" s="192">
      <c r="W42" s="228" t="n"/>
      <c r="X42" s="228" t="n"/>
    </row>
    <row r="43" ht="14.25" customHeight="1" s="192">
      <c r="W43" s="235" t="n"/>
      <c r="X43" s="235" t="n"/>
    </row>
    <row r="44" ht="14.25" customHeight="1" s="192">
      <c r="W44" s="235" t="n"/>
      <c r="X44" s="235" t="n"/>
    </row>
    <row r="45" ht="14.25" customHeight="1" s="192">
      <c r="W45" s="235" t="n"/>
      <c r="X45" s="235" t="n"/>
    </row>
    <row r="46" ht="14.25" customHeight="1" s="192">
      <c r="W46" s="239" t="n"/>
      <c r="X46" s="239" t="n"/>
    </row>
    <row r="47" ht="14.25" customHeight="1" s="192">
      <c r="W47" s="239" t="n"/>
      <c r="X47" s="239" t="n"/>
    </row>
    <row r="48" ht="14.25" customHeight="1" s="192">
      <c r="W48" s="239" t="n"/>
      <c r="X48" s="239" t="n"/>
    </row>
    <row r="49" ht="14.25" customHeight="1" s="192">
      <c r="W49" s="235" t="n"/>
      <c r="X49" s="235" t="n"/>
    </row>
    <row r="50" ht="14.25" customHeight="1" s="192">
      <c r="W50" s="235" t="n"/>
      <c r="X50" s="235" t="n"/>
    </row>
    <row r="51" ht="14.25" customHeight="1" s="192">
      <c r="W51" s="235" t="n"/>
      <c r="X51" s="235" t="n"/>
    </row>
    <row r="52" ht="14.25" customHeight="1" s="192">
      <c r="W52" s="239" t="n"/>
      <c r="X52" s="239" t="n"/>
    </row>
    <row r="53" ht="14.25" customHeight="1" s="192">
      <c r="W53" s="239" t="n"/>
      <c r="X53" s="239" t="n"/>
    </row>
    <row r="54" ht="14.25" customHeight="1" s="192">
      <c r="W54" s="235" t="n"/>
      <c r="X54" s="235" t="n"/>
    </row>
    <row r="55" ht="14.25" customHeight="1" s="192">
      <c r="W55" s="235" t="n"/>
      <c r="X55" s="235" t="n"/>
    </row>
    <row r="56" ht="14.25" customHeight="1" s="192">
      <c r="W56" s="239" t="n"/>
      <c r="X56" s="239" t="n"/>
    </row>
    <row r="57" ht="14.25" customHeight="1" s="192">
      <c r="W57" s="235" t="n"/>
      <c r="X57" s="235" t="n"/>
    </row>
    <row r="58" ht="14.25" customHeight="1" s="192">
      <c r="W58" s="239" t="n"/>
      <c r="X58" s="239" t="n"/>
    </row>
    <row r="60" ht="14.25" customHeight="1" s="192">
      <c r="W60" s="235" t="n"/>
      <c r="X60" s="235" t="n"/>
    </row>
    <row r="61" ht="15" customHeight="1" s="192" thickBot="1">
      <c r="W61" s="239" t="n"/>
      <c r="X61" s="239" t="n"/>
    </row>
    <row r="62" ht="15" customHeight="1" s="192" thickBot="1">
      <c r="W62" s="45" t="n"/>
      <c r="X62" s="45" t="n"/>
    </row>
    <row r="63" ht="14.25" customHeight="1" s="192">
      <c r="W63" s="228" t="n"/>
      <c r="X63" s="228" t="n"/>
    </row>
    <row r="64" ht="14.25" customHeight="1" s="192">
      <c r="W64" s="228" t="n"/>
      <c r="X64" s="228" t="n"/>
    </row>
    <row r="65" ht="14.25" customHeight="1" s="192">
      <c r="W65" s="231" t="n"/>
      <c r="X65" s="231" t="n"/>
    </row>
    <row r="66" ht="14.25" customHeight="1" s="192">
      <c r="W66" s="33" t="n"/>
      <c r="X66" s="33" t="n"/>
    </row>
    <row r="67" ht="14.25" customHeight="1" s="192">
      <c r="W67" s="231" t="n"/>
      <c r="X67" s="231" t="n"/>
    </row>
    <row r="68" ht="14.25" customHeight="1" s="192">
      <c r="W68" s="33" t="n"/>
      <c r="X68" s="33" t="n"/>
    </row>
    <row r="70" ht="14.25" customHeight="1" s="192">
      <c r="W70" s="231" t="n"/>
      <c r="X70" s="231" t="n"/>
    </row>
    <row r="71" ht="14.25" customHeight="1" s="192">
      <c r="W71" s="235" t="n"/>
      <c r="X71" s="235" t="n"/>
    </row>
    <row r="72" ht="14.25" customHeight="1" s="192">
      <c r="W72" s="228" t="n"/>
      <c r="X72" s="228" t="n"/>
    </row>
    <row r="73" ht="14.25" customHeight="1" s="192">
      <c r="W73" s="235" t="n"/>
      <c r="X73" s="235" t="n"/>
    </row>
    <row r="74" ht="14.25" customHeight="1" s="192">
      <c r="W74" s="235" t="n"/>
      <c r="X74" s="235" t="n"/>
    </row>
    <row r="75" ht="14.25" customHeight="1" s="192">
      <c r="W75" s="235" t="n"/>
      <c r="X75" s="235" t="n"/>
    </row>
    <row r="76" ht="14.25" customHeight="1" s="192">
      <c r="W76" s="239" t="n"/>
      <c r="X76" s="239" t="n"/>
    </row>
    <row r="77" ht="14.25" customHeight="1" s="192">
      <c r="W77" s="239" t="n"/>
      <c r="X77" s="239" t="n"/>
    </row>
    <row r="78" ht="14.25" customHeight="1" s="192">
      <c r="W78" s="239" t="n"/>
      <c r="X78" s="239" t="n"/>
    </row>
    <row r="79" ht="14.25" customHeight="1" s="192">
      <c r="W79" s="235" t="n"/>
      <c r="X79" s="235" t="n"/>
    </row>
    <row r="80" ht="14.25" customHeight="1" s="192">
      <c r="W80" s="235" t="n"/>
      <c r="X80" s="235" t="n"/>
    </row>
    <row r="81" ht="14.25" customHeight="1" s="192">
      <c r="W81" s="235" t="n"/>
      <c r="X81" s="235" t="n"/>
    </row>
    <row r="82" ht="14.25" customHeight="1" s="192">
      <c r="W82" s="239" t="n"/>
      <c r="X82" s="239" t="n"/>
    </row>
    <row r="83" ht="14.25" customHeight="1" s="192">
      <c r="W83" s="239" t="n"/>
      <c r="X83" s="239" t="n"/>
    </row>
    <row r="84" ht="14.25" customHeight="1" s="192">
      <c r="W84" s="235" t="n"/>
      <c r="X84" s="235" t="n"/>
    </row>
    <row r="85" ht="14.25" customHeight="1" s="192">
      <c r="W85" s="235" t="n"/>
      <c r="X85" s="235" t="n"/>
    </row>
    <row r="86" ht="14.25" customHeight="1" s="192">
      <c r="W86" s="239" t="n"/>
      <c r="X86" s="239" t="n"/>
    </row>
    <row r="87" ht="14.25" customHeight="1" s="192">
      <c r="W87" s="235" t="n"/>
      <c r="X87" s="235" t="n"/>
    </row>
    <row r="88" ht="14.25" customHeight="1" s="192">
      <c r="W88" s="239" t="n"/>
      <c r="X88" s="239" t="n"/>
    </row>
    <row r="90" ht="14.25" customHeight="1" s="192">
      <c r="W90" s="235" t="n"/>
      <c r="X90" s="235" t="n"/>
    </row>
    <row r="91" ht="15" customHeight="1" s="192" thickBot="1">
      <c r="W91" s="239" t="n"/>
      <c r="X91" s="239" t="n"/>
    </row>
    <row r="92" ht="15" customHeight="1" s="192" thickBot="1">
      <c r="W92" s="45" t="n"/>
      <c r="X92" s="45" t="n"/>
    </row>
    <row r="93" ht="14.25" customHeight="1" s="192">
      <c r="W93" s="228" t="n"/>
      <c r="X93" s="228" t="n"/>
    </row>
    <row r="94" ht="14.25" customHeight="1" s="192">
      <c r="W94" s="228" t="n"/>
      <c r="X94" s="228" t="n"/>
    </row>
    <row r="95" ht="14.25" customHeight="1" s="192">
      <c r="W95" s="231" t="n"/>
      <c r="X95" s="231" t="n"/>
    </row>
    <row r="96" ht="14.25" customHeight="1" s="192">
      <c r="W96" s="33" t="n"/>
      <c r="X96" s="33" t="n"/>
    </row>
    <row r="97" ht="14.25" customHeight="1" s="192">
      <c r="W97" s="231" t="n"/>
      <c r="X97" s="231" t="n"/>
    </row>
    <row r="98" ht="14.25" customHeight="1" s="192">
      <c r="W98" s="33" t="n"/>
      <c r="X98" s="33" t="n"/>
    </row>
    <row r="100" ht="14.25" customHeight="1" s="192">
      <c r="W100" s="231" t="n"/>
      <c r="X100" s="231" t="n"/>
    </row>
    <row r="101" ht="14.25" customHeight="1" s="192">
      <c r="W101" s="235" t="n"/>
      <c r="X101" s="235" t="n"/>
    </row>
    <row r="102" ht="14.25" customHeight="1" s="192">
      <c r="W102" s="228" t="n"/>
      <c r="X102" s="228" t="n"/>
    </row>
    <row r="103" ht="14.25" customHeight="1" s="192">
      <c r="W103" s="235" t="n"/>
      <c r="X103" s="235" t="n"/>
    </row>
    <row r="104" ht="14.25" customHeight="1" s="192">
      <c r="W104" s="235" t="n"/>
      <c r="X104" s="235" t="n"/>
    </row>
    <row r="105" ht="14.25" customHeight="1" s="192">
      <c r="W105" s="235" t="n"/>
      <c r="X105" s="235" t="n"/>
    </row>
    <row r="106" ht="14.25" customHeight="1" s="192">
      <c r="W106" s="239" t="n"/>
      <c r="X106" s="239" t="n"/>
    </row>
    <row r="107" ht="14.25" customHeight="1" s="192">
      <c r="W107" s="239" t="n"/>
      <c r="X107" s="239" t="n"/>
    </row>
    <row r="108" ht="14.25" customHeight="1" s="192">
      <c r="W108" s="239" t="n"/>
      <c r="X108" s="239" t="n"/>
    </row>
    <row r="109" ht="14.25" customHeight="1" s="192">
      <c r="W109" s="235" t="n"/>
      <c r="X109" s="235" t="n"/>
    </row>
    <row r="110" ht="14.25" customHeight="1" s="192">
      <c r="W110" s="235" t="n"/>
      <c r="X110" s="235" t="n"/>
    </row>
    <row r="111" ht="14.25" customHeight="1" s="192">
      <c r="W111" s="235" t="n"/>
      <c r="X111" s="235" t="n"/>
    </row>
    <row r="112" ht="14.25" customHeight="1" s="192">
      <c r="W112" s="239" t="n"/>
      <c r="X112" s="239" t="n"/>
    </row>
    <row r="113" ht="14.25" customHeight="1" s="192">
      <c r="W113" s="239" t="n"/>
      <c r="X113" s="239" t="n"/>
    </row>
    <row r="114" ht="14.25" customHeight="1" s="192">
      <c r="W114" s="235" t="n"/>
      <c r="X114" s="235" t="n"/>
    </row>
    <row r="115" ht="14.25" customHeight="1" s="192">
      <c r="W115" s="235" t="n"/>
      <c r="X115" s="235" t="n"/>
    </row>
    <row r="116" ht="14.25" customHeight="1" s="192">
      <c r="W116" s="239" t="n"/>
      <c r="X116" s="239" t="n"/>
    </row>
    <row r="117" ht="14.25" customHeight="1" s="192">
      <c r="W117" s="235" t="n"/>
      <c r="X117" s="235" t="n"/>
    </row>
    <row r="118" ht="14.25" customHeight="1" s="192">
      <c r="W118" s="239" t="n"/>
      <c r="X118" s="239" t="n"/>
    </row>
    <row r="120" ht="14.25" customHeight="1" s="192">
      <c r="W120" s="235" t="n"/>
      <c r="X120" s="235" t="n"/>
    </row>
    <row r="121" ht="15" customHeight="1" s="192" thickBot="1">
      <c r="W121" s="239" t="n"/>
      <c r="X121" s="239" t="n"/>
    </row>
    <row r="122" ht="15" customHeight="1" s="192" thickBot="1">
      <c r="W122" s="45" t="n"/>
      <c r="X122" s="45" t="n"/>
    </row>
    <row r="123" ht="14.25" customHeight="1" s="192">
      <c r="W123" s="228" t="n"/>
      <c r="X123" s="228" t="n"/>
    </row>
    <row r="124" ht="14.25" customHeight="1" s="192">
      <c r="W124" s="228" t="n"/>
      <c r="X124" s="228" t="n"/>
    </row>
    <row r="125" ht="14.25" customHeight="1" s="192">
      <c r="W125" s="231" t="n"/>
      <c r="X125" s="231" t="n"/>
    </row>
    <row r="126" ht="14.25" customHeight="1" s="192">
      <c r="W126" s="33" t="n"/>
      <c r="X126" s="33" t="n"/>
    </row>
    <row r="127" ht="14.25" customHeight="1" s="192">
      <c r="W127" s="231" t="n"/>
      <c r="X127" s="231" t="n"/>
    </row>
    <row r="128" ht="14.25" customHeight="1" s="192">
      <c r="W128" s="33" t="n"/>
      <c r="X128" s="33" t="n"/>
    </row>
    <row r="130" ht="14.25" customHeight="1" s="192">
      <c r="W130" s="231" t="n"/>
      <c r="X130" s="231" t="n"/>
    </row>
    <row r="131" ht="14.25" customHeight="1" s="192">
      <c r="W131" s="235" t="n"/>
      <c r="X131" s="235" t="n"/>
    </row>
    <row r="132" ht="14.25" customHeight="1" s="192">
      <c r="W132" s="228" t="n"/>
      <c r="X132" s="228" t="n"/>
    </row>
    <row r="133" ht="14.25" customHeight="1" s="192">
      <c r="W133" s="235" t="n"/>
      <c r="X133" s="235" t="n"/>
    </row>
    <row r="134" ht="14.25" customHeight="1" s="192">
      <c r="W134" s="235" t="n"/>
      <c r="X134" s="235" t="n"/>
    </row>
    <row r="135" ht="14.25" customHeight="1" s="192">
      <c r="W135" s="235" t="n"/>
      <c r="X135" s="235" t="n"/>
    </row>
    <row r="136" ht="14.25" customHeight="1" s="192">
      <c r="W136" s="239" t="n"/>
      <c r="X136" s="239" t="n"/>
    </row>
    <row r="137" ht="14.25" customHeight="1" s="192">
      <c r="W137" s="239" t="n"/>
      <c r="X137" s="239" t="n"/>
    </row>
    <row r="138" ht="14.25" customHeight="1" s="192">
      <c r="W138" s="239" t="n"/>
      <c r="X138" s="239" t="n"/>
    </row>
    <row r="139" ht="14.25" customHeight="1" s="192">
      <c r="W139" s="235" t="n"/>
      <c r="X139" s="235" t="n"/>
    </row>
    <row r="140" ht="14.25" customHeight="1" s="192">
      <c r="W140" s="235" t="n"/>
      <c r="X140" s="235" t="n"/>
    </row>
    <row r="141" ht="14.25" customHeight="1" s="192">
      <c r="W141" s="235" t="n"/>
      <c r="X141" s="235" t="n"/>
    </row>
    <row r="142" ht="14.25" customHeight="1" s="192">
      <c r="W142" s="239" t="n"/>
      <c r="X142" s="239" t="n"/>
    </row>
    <row r="143" ht="14.25" customHeight="1" s="192">
      <c r="W143" s="239" t="n"/>
      <c r="X143" s="239" t="n"/>
    </row>
    <row r="144" ht="14.25" customHeight="1" s="192">
      <c r="W144" s="235" t="n"/>
      <c r="X144" s="235" t="n"/>
    </row>
    <row r="145" ht="14.25" customHeight="1" s="192">
      <c r="W145" s="235" t="n"/>
      <c r="X145" s="235" t="n"/>
    </row>
    <row r="146" ht="14.25" customHeight="1" s="192">
      <c r="W146" s="239" t="n"/>
      <c r="X146" s="239" t="n"/>
    </row>
    <row r="147" ht="14.25" customHeight="1" s="192">
      <c r="W147" s="235" t="n"/>
      <c r="X147" s="235" t="n"/>
    </row>
    <row r="148" ht="14.25" customHeight="1" s="192">
      <c r="W148" s="239" t="n"/>
      <c r="X148" s="239" t="n"/>
    </row>
    <row r="150" ht="14.25" customHeight="1" s="192">
      <c r="W150" s="235" t="n"/>
      <c r="X150" s="235" t="n"/>
    </row>
    <row r="151" ht="15" customHeight="1" s="192" thickBot="1">
      <c r="W151" s="239" t="n"/>
      <c r="X151" s="239" t="n"/>
    </row>
    <row r="152" ht="15" customHeight="1" s="192" thickBot="1">
      <c r="W152" s="45" t="n"/>
      <c r="X152" s="45" t="n"/>
    </row>
    <row r="153" ht="14.25" customHeight="1" s="192">
      <c r="W153" s="228" t="n"/>
      <c r="X153" s="228" t="n"/>
    </row>
    <row r="154" ht="14.25" customHeight="1" s="192">
      <c r="W154" s="228" t="n"/>
      <c r="X154" s="228" t="n"/>
    </row>
    <row r="155" ht="14.25" customHeight="1" s="192">
      <c r="W155" s="231" t="n"/>
      <c r="X155" s="231" t="n"/>
    </row>
    <row r="156" ht="14.25" customHeight="1" s="192">
      <c r="W156" s="33" t="n"/>
      <c r="X156" s="33" t="n"/>
    </row>
    <row r="157" ht="14.25" customHeight="1" s="192">
      <c r="W157" s="231" t="n"/>
      <c r="X157" s="231" t="n"/>
    </row>
    <row r="158" ht="14.25" customHeight="1" s="192">
      <c r="W158" s="33" t="n"/>
      <c r="X158" s="33" t="n"/>
    </row>
    <row r="160" ht="14.25" customHeight="1" s="192">
      <c r="W160" s="231" t="n"/>
      <c r="X160" s="231" t="n"/>
    </row>
    <row r="161" ht="14.25" customHeight="1" s="192">
      <c r="W161" s="235" t="n"/>
      <c r="X161" s="235" t="n"/>
    </row>
    <row r="162" ht="14.25" customHeight="1" s="192">
      <c r="W162" s="228" t="n"/>
      <c r="X162" s="228" t="n"/>
    </row>
    <row r="163" ht="14.25" customHeight="1" s="192">
      <c r="W163" s="235" t="n"/>
      <c r="X163" s="235" t="n"/>
    </row>
    <row r="164" ht="14.25" customHeight="1" s="192">
      <c r="W164" s="235" t="n"/>
      <c r="X164" s="235" t="n"/>
    </row>
    <row r="165" ht="14.25" customHeight="1" s="192">
      <c r="W165" s="235" t="n"/>
      <c r="X165" s="235" t="n"/>
    </row>
    <row r="166" ht="14.25" customHeight="1" s="192">
      <c r="W166" s="239" t="n"/>
      <c r="X166" s="239" t="n"/>
    </row>
    <row r="167" ht="14.25" customHeight="1" s="192">
      <c r="W167" s="239" t="n"/>
      <c r="X167" s="239" t="n"/>
    </row>
    <row r="168" ht="14.25" customHeight="1" s="192">
      <c r="W168" s="239" t="n"/>
      <c r="X168" s="239" t="n"/>
    </row>
    <row r="169" ht="14.25" customHeight="1" s="192">
      <c r="W169" s="235" t="n"/>
      <c r="X169" s="235" t="n"/>
    </row>
    <row r="170" ht="14.25" customHeight="1" s="192">
      <c r="W170" s="235" t="n"/>
      <c r="X170" s="235" t="n"/>
    </row>
    <row r="171" ht="14.25" customHeight="1" s="192">
      <c r="W171" s="235" t="n"/>
      <c r="X171" s="235" t="n"/>
    </row>
    <row r="172" ht="14.25" customHeight="1" s="192">
      <c r="W172" s="239" t="n"/>
      <c r="X172" s="239" t="n"/>
    </row>
    <row r="173" ht="14.25" customHeight="1" s="192">
      <c r="W173" s="239" t="n"/>
      <c r="X173" s="239" t="n"/>
    </row>
    <row r="174" ht="14.25" customHeight="1" s="192">
      <c r="W174" s="235" t="n"/>
      <c r="X174" s="235" t="n"/>
    </row>
    <row r="175" ht="14.25" customHeight="1" s="192">
      <c r="W175" s="235" t="n"/>
      <c r="X175" s="235" t="n"/>
    </row>
    <row r="176" ht="14.25" customHeight="1" s="192">
      <c r="W176" s="239" t="n"/>
      <c r="X176" s="239" t="n"/>
    </row>
    <row r="177" ht="14.25" customHeight="1" s="192">
      <c r="W177" s="235" t="n"/>
      <c r="X177" s="235" t="n"/>
    </row>
    <row r="178" ht="14.25" customHeight="1" s="192">
      <c r="W178" s="239" t="n"/>
      <c r="X178" s="239" t="n"/>
    </row>
    <row r="180" ht="14.25" customHeight="1" s="192">
      <c r="W180" s="235" t="n"/>
      <c r="X180" s="235" t="n"/>
    </row>
    <row r="181" ht="15" customHeight="1" s="192" thickBot="1">
      <c r="W181" s="239" t="n"/>
      <c r="X181" s="239" t="n"/>
    </row>
    <row r="182" ht="15" customHeight="1" s="192" thickBot="1">
      <c r="W182" s="45" t="n"/>
      <c r="X182" s="45" t="n"/>
    </row>
    <row r="183" ht="14.25" customHeight="1" s="192">
      <c r="W183" s="228" t="n"/>
      <c r="X183" s="228" t="n"/>
    </row>
    <row r="184" ht="14.25" customHeight="1" s="192">
      <c r="W184" s="228" t="n"/>
      <c r="X184" s="228" t="n"/>
    </row>
    <row r="185" ht="14.25" customHeight="1" s="192">
      <c r="W185" s="231" t="n"/>
      <c r="X185" s="231" t="n"/>
    </row>
    <row r="186" ht="14.25" customHeight="1" s="192">
      <c r="W186" s="33" t="n"/>
      <c r="X186" s="33" t="n"/>
    </row>
    <row r="187" ht="14.25" customHeight="1" s="192">
      <c r="W187" s="231" t="n"/>
      <c r="X187" s="231" t="n"/>
    </row>
    <row r="188" ht="14.25" customHeight="1" s="192">
      <c r="W188" s="33" t="n"/>
      <c r="X188" s="33" t="n"/>
    </row>
    <row r="190" ht="14.25" customHeight="1" s="192">
      <c r="W190" s="231" t="n"/>
      <c r="X190" s="231" t="n"/>
    </row>
    <row r="191" ht="14.25" customHeight="1" s="192">
      <c r="W191" s="235" t="n"/>
      <c r="X191" s="235" t="n"/>
    </row>
    <row r="192" ht="14.25" customHeight="1" s="192">
      <c r="W192" s="228" t="n"/>
      <c r="X192" s="228" t="n"/>
    </row>
    <row r="193" ht="14.25" customHeight="1" s="192">
      <c r="W193" s="235" t="n"/>
      <c r="X193" s="235" t="n"/>
    </row>
    <row r="194" ht="14.25" customHeight="1" s="192">
      <c r="W194" s="235" t="n"/>
      <c r="X194" s="235" t="n"/>
    </row>
    <row r="195" ht="14.25" customHeight="1" s="192">
      <c r="W195" s="235" t="n"/>
      <c r="X195" s="235" t="n"/>
    </row>
    <row r="196" ht="14.25" customHeight="1" s="192">
      <c r="W196" s="239" t="n"/>
      <c r="X196" s="239" t="n"/>
    </row>
    <row r="197" ht="14.25" customHeight="1" s="192">
      <c r="W197" s="239" t="n"/>
      <c r="X197" s="239" t="n"/>
    </row>
    <row r="198" ht="14.25" customHeight="1" s="192">
      <c r="W198" s="239" t="n"/>
      <c r="X198" s="239" t="n"/>
    </row>
    <row r="199" ht="14.25" customHeight="1" s="192">
      <c r="W199" s="235" t="n"/>
      <c r="X199" s="235" t="n"/>
    </row>
    <row r="200" ht="14.25" customHeight="1" s="192">
      <c r="W200" s="235" t="n"/>
      <c r="X200" s="235" t="n"/>
    </row>
    <row r="201" ht="14.25" customHeight="1" s="192">
      <c r="W201" s="235" t="n"/>
      <c r="X201" s="235" t="n"/>
    </row>
    <row r="202" ht="14.25" customHeight="1" s="192">
      <c r="W202" s="239" t="n"/>
      <c r="X202" s="239" t="n"/>
    </row>
    <row r="203" ht="14.25" customHeight="1" s="192">
      <c r="W203" s="239" t="n"/>
      <c r="X203" s="239" t="n"/>
    </row>
    <row r="204" ht="14.25" customHeight="1" s="192">
      <c r="W204" s="235" t="n"/>
      <c r="X204" s="235" t="n"/>
    </row>
    <row r="205" ht="14.25" customHeight="1" s="192">
      <c r="W205" s="235" t="n"/>
      <c r="X205" s="235" t="n"/>
    </row>
    <row r="206" ht="14.25" customHeight="1" s="192">
      <c r="W206" s="239" t="n"/>
      <c r="X206" s="239" t="n"/>
    </row>
    <row r="207" ht="14.25" customHeight="1" s="192">
      <c r="W207" s="235" t="n"/>
      <c r="X207" s="235" t="n"/>
    </row>
    <row r="208" ht="14.25" customHeight="1" s="192">
      <c r="W208" s="239" t="n"/>
      <c r="X208" s="239" t="n"/>
    </row>
    <row r="210" ht="14.25" customHeight="1" s="192">
      <c r="W210" s="235" t="n"/>
      <c r="X210" s="235" t="n"/>
    </row>
    <row r="211" ht="15" customHeight="1" s="192" thickBot="1">
      <c r="W211" s="239" t="n"/>
      <c r="X211" s="239" t="n"/>
    </row>
    <row r="212" ht="15" customHeight="1" s="192" thickBot="1">
      <c r="W212" s="45" t="n"/>
      <c r="X212" s="45" t="n"/>
    </row>
    <row r="213" ht="14.25" customHeight="1" s="192">
      <c r="W213" s="228" t="n"/>
      <c r="X213" s="228" t="n"/>
    </row>
    <row r="214" ht="14.25" customHeight="1" s="192">
      <c r="W214" s="228" t="n"/>
      <c r="X214" s="228" t="n"/>
    </row>
    <row r="215" ht="14.25" customHeight="1" s="192">
      <c r="W215" s="231" t="n"/>
      <c r="X215" s="231" t="n"/>
    </row>
    <row r="216" ht="14.25" customHeight="1" s="192">
      <c r="W216" s="33" t="n"/>
      <c r="X216" s="33" t="n"/>
    </row>
    <row r="217" ht="14.25" customHeight="1" s="192">
      <c r="W217" s="231" t="n"/>
      <c r="X217" s="231" t="n"/>
    </row>
    <row r="218" ht="14.25" customHeight="1" s="192">
      <c r="W218" s="33" t="n"/>
      <c r="X218" s="33" t="n"/>
    </row>
    <row r="220" ht="14.25" customHeight="1" s="192">
      <c r="W220" s="231" t="n"/>
      <c r="X220" s="231" t="n"/>
    </row>
    <row r="221" ht="14.25" customHeight="1" s="192">
      <c r="W221" s="235" t="n"/>
      <c r="X221" s="235" t="n"/>
    </row>
    <row r="222" ht="14.25" customHeight="1" s="192">
      <c r="W222" s="228" t="n"/>
      <c r="X222" s="228" t="n"/>
    </row>
    <row r="223" ht="14.25" customHeight="1" s="192">
      <c r="W223" s="235" t="n"/>
      <c r="X223" s="235" t="n"/>
    </row>
    <row r="224" ht="14.25" customHeight="1" s="192">
      <c r="W224" s="235" t="n"/>
      <c r="X224" s="235" t="n"/>
    </row>
    <row r="225" ht="14.25" customHeight="1" s="192">
      <c r="W225" s="235" t="n"/>
      <c r="X225" s="235" t="n"/>
    </row>
    <row r="226" ht="14.25" customHeight="1" s="192">
      <c r="W226" s="239" t="n"/>
      <c r="X226" s="239" t="n"/>
    </row>
    <row r="227" ht="14.25" customHeight="1" s="192">
      <c r="W227" s="239" t="n"/>
      <c r="X227" s="239" t="n"/>
    </row>
    <row r="228" ht="14.25" customHeight="1" s="192">
      <c r="W228" s="239" t="n"/>
      <c r="X228" s="239" t="n"/>
    </row>
    <row r="229" ht="14.25" customHeight="1" s="192">
      <c r="W229" s="235" t="n"/>
      <c r="X229" s="235" t="n"/>
    </row>
    <row r="230" ht="14.25" customHeight="1" s="192">
      <c r="W230" s="235" t="n"/>
      <c r="X230" s="235" t="n"/>
    </row>
    <row r="231" ht="14.25" customHeight="1" s="192">
      <c r="W231" s="235" t="n"/>
      <c r="X231" s="235" t="n"/>
    </row>
    <row r="232" ht="14.25" customHeight="1" s="192">
      <c r="W232" s="239" t="n"/>
      <c r="X232" s="239" t="n"/>
    </row>
    <row r="233" ht="14.25" customHeight="1" s="192">
      <c r="W233" s="239" t="n"/>
      <c r="X233" s="239" t="n"/>
    </row>
    <row r="234" ht="14.25" customHeight="1" s="192">
      <c r="W234" s="235" t="n"/>
      <c r="X234" s="235" t="n"/>
    </row>
    <row r="235" ht="14.25" customHeight="1" s="192">
      <c r="W235" s="235" t="n"/>
      <c r="X235" s="235" t="n"/>
    </row>
    <row r="236" ht="14.25" customHeight="1" s="192">
      <c r="W236" s="239" t="n"/>
      <c r="X236" s="239" t="n"/>
    </row>
    <row r="237" ht="14.25" customHeight="1" s="192">
      <c r="W237" s="235" t="n"/>
      <c r="X237" s="235" t="n"/>
    </row>
    <row r="238" ht="14.25" customHeight="1" s="192">
      <c r="W238" s="239" t="n"/>
      <c r="X238" s="239" t="n"/>
    </row>
    <row r="240" ht="14.25" customHeight="1" s="192">
      <c r="W240" s="235" t="n"/>
      <c r="X240" s="235" t="n"/>
    </row>
    <row r="241" ht="15" customHeight="1" s="192" thickBot="1">
      <c r="W241" s="239" t="n"/>
      <c r="X241" s="239" t="n"/>
    </row>
    <row r="242" ht="15" customHeight="1" s="192" thickBot="1">
      <c r="W242" s="45" t="n"/>
      <c r="X242" s="45" t="n"/>
    </row>
    <row r="243" ht="14.25" customHeight="1" s="192">
      <c r="W243" s="228" t="n"/>
      <c r="X243" s="228" t="n"/>
    </row>
    <row r="244" ht="14.25" customHeight="1" s="192">
      <c r="W244" s="228" t="n"/>
      <c r="X244" s="228" t="n"/>
    </row>
    <row r="245" ht="14.25" customHeight="1" s="192">
      <c r="W245" s="231" t="n"/>
      <c r="X245" s="231" t="n"/>
    </row>
    <row r="246" ht="14.25" customHeight="1" s="192">
      <c r="W246" s="33" t="n"/>
      <c r="X246" s="33" t="n"/>
    </row>
    <row r="247" ht="14.25" customHeight="1" s="192">
      <c r="W247" s="231" t="n"/>
      <c r="X247" s="231" t="n"/>
    </row>
    <row r="248" ht="14.25" customHeight="1" s="192">
      <c r="W248" s="33" t="n"/>
      <c r="X248" s="33" t="n"/>
    </row>
    <row r="250" ht="14.25" customHeight="1" s="192">
      <c r="W250" s="231" t="n"/>
      <c r="X250" s="231" t="n"/>
    </row>
    <row r="251" ht="14.25" customHeight="1" s="192">
      <c r="W251" s="235" t="n"/>
      <c r="X251" s="235" t="n"/>
    </row>
    <row r="252" ht="14.25" customHeight="1" s="192">
      <c r="W252" s="228" t="n"/>
      <c r="X252" s="228" t="n"/>
    </row>
    <row r="253" ht="14.25" customHeight="1" s="192">
      <c r="W253" s="235" t="n"/>
      <c r="X253" s="235" t="n"/>
    </row>
    <row r="254" ht="14.25" customHeight="1" s="192">
      <c r="W254" s="235" t="n"/>
      <c r="X254" s="235" t="n"/>
    </row>
    <row r="255" ht="14.25" customHeight="1" s="192">
      <c r="W255" s="235" t="n"/>
      <c r="X255" s="235" t="n"/>
    </row>
    <row r="256" ht="14.25" customHeight="1" s="192">
      <c r="W256" s="239" t="n"/>
      <c r="X256" s="239" t="n"/>
    </row>
    <row r="257" ht="14.25" customHeight="1" s="192">
      <c r="W257" s="239" t="n"/>
      <c r="X257" s="239" t="n"/>
    </row>
    <row r="258" ht="14.25" customHeight="1" s="192">
      <c r="W258" s="239" t="n"/>
      <c r="X258" s="239" t="n"/>
    </row>
    <row r="259" ht="14.25" customHeight="1" s="192">
      <c r="W259" s="235" t="n"/>
      <c r="X259" s="235" t="n"/>
    </row>
    <row r="260" ht="14.25" customHeight="1" s="192">
      <c r="W260" s="235" t="n"/>
      <c r="X260" s="235" t="n"/>
    </row>
    <row r="261" ht="14.25" customHeight="1" s="192">
      <c r="W261" s="235" t="n"/>
      <c r="X261" s="235" t="n"/>
    </row>
    <row r="262" ht="14.25" customHeight="1" s="192">
      <c r="W262" s="239" t="n"/>
      <c r="X262" s="239" t="n"/>
    </row>
    <row r="263" ht="14.25" customHeight="1" s="192">
      <c r="W263" s="239" t="n"/>
      <c r="X263" s="239" t="n"/>
    </row>
    <row r="264" ht="14.25" customHeight="1" s="192">
      <c r="W264" s="235" t="n"/>
      <c r="X264" s="235" t="n"/>
    </row>
    <row r="265" ht="14.25" customHeight="1" s="192">
      <c r="W265" s="235" t="n"/>
      <c r="X265" s="235" t="n"/>
    </row>
    <row r="266" ht="14.25" customHeight="1" s="192">
      <c r="W266" s="239" t="n"/>
      <c r="X266" s="239" t="n"/>
    </row>
    <row r="267" ht="14.25" customHeight="1" s="192">
      <c r="W267" s="235" t="n"/>
      <c r="X267" s="235" t="n"/>
    </row>
    <row r="268" ht="14.25" customHeight="1" s="192">
      <c r="W268" s="239" t="n"/>
      <c r="X268" s="239" t="n"/>
    </row>
    <row r="270" ht="14.25" customHeight="1" s="192">
      <c r="W270" s="235" t="n"/>
      <c r="X270" s="235" t="n"/>
    </row>
    <row r="271" ht="15" customHeight="1" s="192" thickBot="1">
      <c r="W271" s="239" t="n"/>
      <c r="X271" s="239" t="n"/>
    </row>
    <row r="272" ht="15" customHeight="1" s="192" thickBot="1">
      <c r="W272" s="45" t="n"/>
      <c r="X272" s="45" t="n"/>
    </row>
    <row r="273" ht="14.25" customHeight="1" s="192">
      <c r="W273" s="228" t="n"/>
      <c r="X273" s="228" t="n"/>
    </row>
    <row r="274" ht="14.25" customHeight="1" s="192">
      <c r="W274" s="228" t="n"/>
      <c r="X274" s="228" t="n"/>
    </row>
    <row r="275" ht="14.25" customHeight="1" s="192">
      <c r="W275" s="231" t="n"/>
      <c r="X275" s="231" t="n"/>
    </row>
    <row r="276" ht="14.25" customHeight="1" s="192">
      <c r="W276" s="33" t="n"/>
      <c r="X276" s="33" t="n"/>
    </row>
    <row r="277" ht="14.25" customHeight="1" s="192">
      <c r="W277" s="231" t="n"/>
      <c r="X277" s="231" t="n"/>
    </row>
    <row r="278" ht="14.25" customHeight="1" s="192">
      <c r="W278" s="33" t="n"/>
      <c r="X278" s="33" t="n"/>
    </row>
    <row r="280" ht="14.25" customHeight="1" s="192">
      <c r="W280" s="231" t="n"/>
      <c r="X280" s="231" t="n"/>
    </row>
    <row r="281" ht="14.25" customHeight="1" s="192">
      <c r="W281" s="235" t="n"/>
      <c r="X281" s="235" t="n"/>
    </row>
    <row r="282" ht="14.25" customHeight="1" s="192">
      <c r="W282" s="228" t="n"/>
      <c r="X282" s="228" t="n"/>
    </row>
    <row r="283" ht="14.25" customHeight="1" s="192">
      <c r="W283" s="235" t="n"/>
      <c r="X283" s="235" t="n"/>
    </row>
    <row r="284" ht="14.25" customHeight="1" s="192">
      <c r="W284" s="235" t="n"/>
      <c r="X284" s="235" t="n"/>
    </row>
    <row r="285" ht="14.25" customHeight="1" s="192">
      <c r="W285" s="235" t="n"/>
      <c r="X285" s="235" t="n"/>
    </row>
    <row r="286" ht="14.25" customHeight="1" s="192">
      <c r="W286" s="239" t="n"/>
      <c r="X286" s="239" t="n"/>
    </row>
    <row r="287" ht="14.25" customHeight="1" s="192">
      <c r="W287" s="239" t="n"/>
      <c r="X287" s="239" t="n"/>
    </row>
    <row r="288" ht="14.25" customHeight="1" s="192">
      <c r="W288" s="239" t="n"/>
      <c r="X288" s="239" t="n"/>
    </row>
    <row r="289" ht="14.25" customHeight="1" s="192">
      <c r="W289" s="235" t="n"/>
      <c r="X289" s="235" t="n"/>
    </row>
    <row r="290" ht="14.25" customHeight="1" s="192">
      <c r="W290" s="235" t="n"/>
      <c r="X290" s="235" t="n"/>
    </row>
    <row r="291" ht="14.25" customHeight="1" s="192">
      <c r="W291" s="235" t="n"/>
      <c r="X291" s="235" t="n"/>
    </row>
    <row r="292" ht="14.25" customHeight="1" s="192">
      <c r="W292" s="239" t="n"/>
      <c r="X292" s="239" t="n"/>
    </row>
    <row r="293" ht="14.25" customHeight="1" s="192">
      <c r="W293" s="239" t="n"/>
      <c r="X293" s="239" t="n"/>
    </row>
    <row r="294" ht="14.25" customHeight="1" s="192">
      <c r="W294" s="235" t="n"/>
      <c r="X294" s="235" t="n"/>
    </row>
    <row r="295" ht="14.25" customHeight="1" s="192">
      <c r="W295" s="235" t="n"/>
      <c r="X295" s="235" t="n"/>
    </row>
    <row r="296" ht="14.25" customHeight="1" s="192">
      <c r="W296" s="239" t="n"/>
      <c r="X296" s="239" t="n"/>
    </row>
    <row r="297" ht="14.25" customHeight="1" s="192">
      <c r="W297" s="235" t="n"/>
      <c r="X297" s="235" t="n"/>
    </row>
    <row r="298" ht="14.25" customHeight="1" s="192">
      <c r="W298" s="239" t="n"/>
      <c r="X298" s="239" t="n"/>
    </row>
    <row r="300" ht="14.25" customHeight="1" s="192">
      <c r="W300" s="235" t="n"/>
      <c r="X300" s="235" t="n"/>
    </row>
    <row r="301" ht="15" customHeight="1" s="192" thickBot="1">
      <c r="W301" s="239" t="n"/>
      <c r="X301" s="239" t="n"/>
    </row>
    <row r="302" ht="15" customHeight="1" s="192" thickBot="1">
      <c r="W302" s="45" t="n"/>
      <c r="X302" s="45" t="n"/>
    </row>
    <row r="303" ht="14.25" customHeight="1" s="192">
      <c r="W303" s="228" t="n"/>
      <c r="X303" s="228" t="n"/>
    </row>
    <row r="304" ht="14.25" customHeight="1" s="192">
      <c r="W304" s="228" t="n"/>
      <c r="X304" s="228" t="n"/>
    </row>
    <row r="305" ht="14.25" customHeight="1" s="192">
      <c r="W305" s="231" t="n"/>
      <c r="X305" s="231" t="n"/>
    </row>
    <row r="306" ht="14.25" customHeight="1" s="192">
      <c r="W306" s="33" t="n"/>
      <c r="X306" s="33" t="n"/>
    </row>
    <row r="307" ht="14.25" customHeight="1" s="192">
      <c r="W307" s="231" t="n"/>
      <c r="X307" s="231" t="n"/>
    </row>
    <row r="308" ht="14.25" customHeight="1" s="192">
      <c r="W308" s="33" t="n"/>
      <c r="X308" s="33" t="n"/>
    </row>
    <row r="310" ht="14.25" customHeight="1" s="192">
      <c r="W310" s="231" t="n"/>
      <c r="X310" s="231" t="n"/>
    </row>
    <row r="311" ht="14.25" customHeight="1" s="192">
      <c r="W311" s="235" t="n"/>
      <c r="X311" s="235" t="n"/>
    </row>
    <row r="312" ht="14.25" customHeight="1" s="192">
      <c r="W312" s="228" t="n"/>
      <c r="X312" s="228" t="n"/>
    </row>
    <row r="313" ht="14.25" customHeight="1" s="192">
      <c r="W313" s="235" t="n"/>
      <c r="X313" s="235" t="n"/>
    </row>
    <row r="314" ht="14.25" customHeight="1" s="192">
      <c r="W314" s="235" t="n"/>
      <c r="X314" s="235" t="n"/>
    </row>
    <row r="315" ht="14.25" customHeight="1" s="192">
      <c r="W315" s="235" t="n"/>
      <c r="X315" s="235" t="n"/>
    </row>
    <row r="316" ht="14.25" customHeight="1" s="192">
      <c r="W316" s="239" t="n"/>
      <c r="X316" s="239" t="n"/>
    </row>
    <row r="317" ht="14.25" customHeight="1" s="192">
      <c r="W317" s="239" t="n"/>
      <c r="X317" s="239" t="n"/>
    </row>
    <row r="318" ht="14.25" customHeight="1" s="192">
      <c r="W318" s="239" t="n"/>
      <c r="X318" s="239" t="n"/>
    </row>
    <row r="319" ht="14.25" customHeight="1" s="192">
      <c r="W319" s="235" t="n"/>
      <c r="X319" s="235" t="n"/>
    </row>
    <row r="320" ht="14.25" customHeight="1" s="192">
      <c r="W320" s="235" t="n"/>
      <c r="X320" s="235" t="n"/>
    </row>
    <row r="321" ht="14.25" customHeight="1" s="192">
      <c r="W321" s="235" t="n"/>
      <c r="X321" s="235" t="n"/>
    </row>
    <row r="322" ht="14.25" customHeight="1" s="192">
      <c r="W322" s="239" t="n"/>
      <c r="X322" s="239" t="n"/>
    </row>
    <row r="323" ht="14.25" customHeight="1" s="192">
      <c r="W323" s="239" t="n"/>
      <c r="X323" s="239" t="n"/>
    </row>
    <row r="324" ht="14.25" customHeight="1" s="192">
      <c r="W324" s="235" t="n"/>
      <c r="X324" s="235" t="n"/>
    </row>
    <row r="325" ht="14.25" customHeight="1" s="192">
      <c r="W325" s="235" t="n"/>
      <c r="X325" s="235" t="n"/>
    </row>
    <row r="326" ht="14.25" customHeight="1" s="192">
      <c r="W326" s="239" t="n"/>
      <c r="X326" s="239" t="n"/>
    </row>
    <row r="327" ht="14.25" customHeight="1" s="192">
      <c r="W327" s="235" t="n"/>
      <c r="X327" s="235" t="n"/>
    </row>
    <row r="328" ht="14.25" customHeight="1" s="192">
      <c r="W328" s="239" t="n"/>
      <c r="X328" s="239" t="n"/>
    </row>
    <row r="330" ht="14.25" customHeight="1" s="192">
      <c r="W330" s="235" t="n"/>
      <c r="X330" s="235" t="n"/>
    </row>
    <row r="331" ht="15" customHeight="1" s="192" thickBot="1">
      <c r="W331" s="239" t="n"/>
      <c r="X331" s="239" t="n"/>
    </row>
    <row r="332" ht="15" customHeight="1" s="192" thickBot="1">
      <c r="W332" s="45" t="n"/>
      <c r="X332" s="45" t="n"/>
    </row>
    <row r="333" ht="14.25" customHeight="1" s="192">
      <c r="W333" s="228" t="n"/>
      <c r="X333" s="228" t="n"/>
    </row>
    <row r="334" ht="14.25" customHeight="1" s="192">
      <c r="W334" s="228" t="n"/>
      <c r="X334" s="228" t="n"/>
    </row>
    <row r="335" ht="14.25" customHeight="1" s="192">
      <c r="W335" s="231" t="n"/>
      <c r="X335" s="231" t="n"/>
    </row>
    <row r="336" ht="14.25" customHeight="1" s="192">
      <c r="W336" s="33" t="n"/>
      <c r="X336" s="33" t="n"/>
    </row>
    <row r="337" ht="14.25" customHeight="1" s="192">
      <c r="W337" s="231" t="n"/>
      <c r="X337" s="231" t="n"/>
    </row>
    <row r="338" ht="14.25" customHeight="1" s="192">
      <c r="W338" s="33" t="n"/>
      <c r="X338" s="33" t="n"/>
    </row>
    <row r="340" ht="14.25" customHeight="1" s="192">
      <c r="W340" s="231" t="n"/>
      <c r="X340" s="231" t="n"/>
    </row>
    <row r="341" ht="14.25" customHeight="1" s="192">
      <c r="W341" s="235" t="n"/>
      <c r="X341" s="235" t="n"/>
    </row>
    <row r="342" ht="14.25" customHeight="1" s="192">
      <c r="W342" s="228" t="n"/>
      <c r="X342" s="228" t="n"/>
    </row>
    <row r="343" ht="14.25" customHeight="1" s="192">
      <c r="W343" s="235" t="n"/>
      <c r="X343" s="235" t="n"/>
    </row>
    <row r="344" ht="14.25" customHeight="1" s="192">
      <c r="W344" s="235" t="n"/>
      <c r="X344" s="235" t="n"/>
    </row>
    <row r="345" ht="14.25" customHeight="1" s="192">
      <c r="W345" s="235" t="n"/>
      <c r="X345" s="235" t="n"/>
    </row>
    <row r="346" ht="14.25" customHeight="1" s="192">
      <c r="W346" s="239" t="n"/>
      <c r="X346" s="239" t="n"/>
    </row>
    <row r="347" ht="14.25" customHeight="1" s="192">
      <c r="W347" s="239" t="n"/>
      <c r="X347" s="239" t="n"/>
    </row>
    <row r="348" ht="14.25" customHeight="1" s="192">
      <c r="W348" s="239" t="n"/>
      <c r="X348" s="239" t="n"/>
    </row>
    <row r="349" ht="14.25" customHeight="1" s="192">
      <c r="W349" s="235" t="n"/>
      <c r="X349" s="235" t="n"/>
    </row>
    <row r="350" ht="14.25" customHeight="1" s="192">
      <c r="W350" s="235" t="n"/>
      <c r="X350" s="235" t="n"/>
    </row>
    <row r="351" ht="14.25" customHeight="1" s="192">
      <c r="W351" s="235" t="n"/>
      <c r="X351" s="235" t="n"/>
    </row>
    <row r="352" ht="14.25" customHeight="1" s="192">
      <c r="W352" s="239" t="n"/>
      <c r="X352" s="239" t="n"/>
    </row>
    <row r="353" ht="14.25" customHeight="1" s="192">
      <c r="W353" s="239" t="n"/>
      <c r="X353" s="239" t="n"/>
    </row>
    <row r="354" ht="14.25" customHeight="1" s="192">
      <c r="W354" s="235" t="n"/>
      <c r="X354" s="235" t="n"/>
    </row>
    <row r="355" ht="14.25" customHeight="1" s="192">
      <c r="W355" s="235" t="n"/>
      <c r="X355" s="235" t="n"/>
    </row>
    <row r="356" ht="14.25" customHeight="1" s="192">
      <c r="W356" s="239" t="n"/>
      <c r="X356" s="239" t="n"/>
    </row>
    <row r="357" ht="14.25" customHeight="1" s="192">
      <c r="W357" s="235" t="n"/>
      <c r="X357" s="235" t="n"/>
    </row>
    <row r="358" ht="14.25" customHeight="1" s="192">
      <c r="W358" s="239" t="n"/>
      <c r="X358" s="239" t="n"/>
    </row>
    <row r="360" ht="14.25" customHeight="1" s="192">
      <c r="W360" s="235" t="n"/>
      <c r="X360" s="235" t="n"/>
    </row>
    <row r="361" ht="15" customHeight="1" s="192" thickBot="1">
      <c r="W361" s="239" t="n"/>
      <c r="X361" s="239" t="n"/>
    </row>
    <row r="362" ht="15" customHeight="1" s="192" thickBot="1">
      <c r="W362" s="45" t="n"/>
      <c r="X362" s="45" t="n"/>
    </row>
    <row r="363" ht="14.25" customHeight="1" s="192">
      <c r="W363" s="228" t="n"/>
      <c r="X363" s="228" t="n"/>
    </row>
    <row r="364" ht="14.25" customHeight="1" s="192">
      <c r="W364" s="228" t="n"/>
      <c r="X364" s="228" t="n"/>
    </row>
    <row r="365" ht="14.25" customHeight="1" s="192">
      <c r="W365" s="231" t="n"/>
      <c r="X365" s="231" t="n"/>
    </row>
    <row r="366" ht="14.25" customHeight="1" s="192">
      <c r="W366" s="33" t="n"/>
      <c r="X366" s="33" t="n"/>
    </row>
    <row r="367" ht="14.25" customHeight="1" s="192">
      <c r="W367" s="231" t="n"/>
      <c r="X367" s="231" t="n"/>
    </row>
    <row r="368" ht="14.25" customHeight="1" s="192">
      <c r="W368" s="33" t="n"/>
      <c r="X368" s="33" t="n"/>
    </row>
    <row r="370" ht="14.25" customHeight="1" s="192">
      <c r="W370" s="231" t="n"/>
      <c r="X370" s="231" t="n"/>
    </row>
    <row r="371" ht="14.25" customHeight="1" s="192">
      <c r="W371" s="235" t="n"/>
      <c r="X371" s="235" t="n"/>
    </row>
    <row r="372" ht="14.25" customHeight="1" s="192">
      <c r="W372" s="228" t="n"/>
      <c r="X372" s="228" t="n"/>
    </row>
    <row r="373" ht="14.25" customHeight="1" s="192">
      <c r="W373" s="235" t="n"/>
      <c r="X373" s="235" t="n"/>
    </row>
    <row r="374" ht="14.25" customHeight="1" s="192">
      <c r="W374" s="235" t="n"/>
      <c r="X374" s="235" t="n"/>
    </row>
    <row r="375" ht="14.25" customHeight="1" s="192">
      <c r="W375" s="235" t="n"/>
      <c r="X375" s="235" t="n"/>
    </row>
    <row r="376" ht="14.25" customHeight="1" s="192">
      <c r="W376" s="239" t="n"/>
      <c r="X376" s="239" t="n"/>
    </row>
    <row r="377" ht="14.25" customHeight="1" s="192">
      <c r="W377" s="239" t="n"/>
      <c r="X377" s="239" t="n"/>
    </row>
    <row r="378" ht="14.25" customHeight="1" s="192">
      <c r="W378" s="239" t="n"/>
      <c r="X378" s="239" t="n"/>
    </row>
    <row r="379" ht="14.25" customHeight="1" s="192">
      <c r="W379" s="235" t="n"/>
      <c r="X379" s="235" t="n"/>
    </row>
    <row r="380" ht="14.25" customHeight="1" s="192">
      <c r="W380" s="235" t="n"/>
      <c r="X380" s="235" t="n"/>
    </row>
    <row r="381" ht="14.25" customHeight="1" s="192">
      <c r="W381" s="235" t="n"/>
      <c r="X381" s="235" t="n"/>
    </row>
    <row r="382" ht="14.25" customHeight="1" s="192">
      <c r="W382" s="239" t="n"/>
      <c r="X382" s="239" t="n"/>
    </row>
    <row r="383" ht="14.25" customHeight="1" s="192">
      <c r="W383" s="239" t="n"/>
      <c r="X383" s="239" t="n"/>
    </row>
    <row r="384" ht="14.25" customHeight="1" s="192">
      <c r="W384" s="235" t="n"/>
      <c r="X384" s="235" t="n"/>
    </row>
    <row r="385" ht="14.25" customHeight="1" s="192">
      <c r="W385" s="235" t="n"/>
      <c r="X385" s="235" t="n"/>
    </row>
    <row r="386" ht="14.25" customHeight="1" s="192">
      <c r="W386" s="239" t="n"/>
      <c r="X386" s="239" t="n"/>
    </row>
    <row r="387" ht="14.25" customHeight="1" s="192">
      <c r="W387" s="235" t="n"/>
      <c r="X387" s="235" t="n"/>
    </row>
    <row r="388" ht="14.25" customHeight="1" s="192">
      <c r="W388" s="239" t="n"/>
      <c r="X388" s="239" t="n"/>
    </row>
    <row r="390" ht="14.25" customHeight="1" s="192">
      <c r="W390" s="235" t="n"/>
      <c r="X390" s="235" t="n"/>
    </row>
    <row r="391" ht="15" customHeight="1" s="192" thickBot="1">
      <c r="W391" s="239" t="n"/>
      <c r="X391" s="239" t="n"/>
    </row>
    <row r="392" ht="15" customHeight="1" s="192" thickBot="1">
      <c r="W392" s="45" t="n"/>
      <c r="X392" s="45" t="n"/>
    </row>
    <row r="393" ht="14.25" customHeight="1" s="192">
      <c r="W393" s="228" t="n"/>
      <c r="X393" s="228" t="n"/>
    </row>
    <row r="394" ht="14.25" customHeight="1" s="192">
      <c r="W394" s="228" t="n"/>
      <c r="X394" s="228" t="n"/>
    </row>
    <row r="395" ht="14.25" customHeight="1" s="192">
      <c r="W395" s="231" t="n"/>
      <c r="X395" s="231" t="n"/>
    </row>
    <row r="396" ht="14.25" customHeight="1" s="192">
      <c r="W396" s="33" t="n"/>
      <c r="X396" s="33" t="n"/>
    </row>
    <row r="397" ht="14.25" customHeight="1" s="192">
      <c r="W397" s="231" t="n"/>
      <c r="X397" s="231" t="n"/>
    </row>
    <row r="398" ht="14.25" customHeight="1" s="192">
      <c r="W398" s="33" t="n"/>
      <c r="X398" s="33" t="n"/>
    </row>
    <row r="400" ht="14.25" customHeight="1" s="192">
      <c r="W400" s="231" t="n"/>
      <c r="X400" s="231" t="n"/>
    </row>
    <row r="401" ht="14.25" customHeight="1" s="192">
      <c r="W401" s="235" t="n"/>
      <c r="X401" s="235" t="n"/>
    </row>
    <row r="402" ht="14.25" customHeight="1" s="192">
      <c r="W402" s="228" t="n"/>
      <c r="X402" s="228" t="n"/>
    </row>
    <row r="403" ht="14.25" customHeight="1" s="192">
      <c r="W403" s="235" t="n"/>
      <c r="X403" s="235" t="n"/>
    </row>
    <row r="404" ht="14.25" customHeight="1" s="192">
      <c r="W404" s="235" t="n"/>
      <c r="X404" s="235" t="n"/>
    </row>
    <row r="405" ht="14.25" customHeight="1" s="192">
      <c r="W405" s="235" t="n"/>
      <c r="X405" s="235" t="n"/>
    </row>
    <row r="406" ht="14.25" customHeight="1" s="192">
      <c r="W406" s="239" t="n"/>
      <c r="X406" s="239" t="n"/>
    </row>
    <row r="407" ht="14.25" customHeight="1" s="192">
      <c r="W407" s="239" t="n"/>
      <c r="X407" s="239" t="n"/>
    </row>
    <row r="408" ht="14.25" customHeight="1" s="192">
      <c r="W408" s="239" t="n"/>
      <c r="X408" s="239" t="n"/>
    </row>
    <row r="409" ht="14.25" customHeight="1" s="192">
      <c r="W409" s="235" t="n"/>
      <c r="X409" s="235" t="n"/>
    </row>
    <row r="410" ht="14.25" customHeight="1" s="192">
      <c r="W410" s="235" t="n"/>
      <c r="X410" s="235" t="n"/>
    </row>
    <row r="411" ht="14.25" customHeight="1" s="192">
      <c r="W411" s="235" t="n"/>
      <c r="X411" s="235" t="n"/>
    </row>
    <row r="412" ht="14.25" customHeight="1" s="192">
      <c r="W412" s="239" t="n"/>
      <c r="X412" s="239" t="n"/>
    </row>
    <row r="413" ht="14.25" customHeight="1" s="192">
      <c r="W413" s="239" t="n"/>
      <c r="X413" s="239" t="n"/>
    </row>
    <row r="414" ht="14.25" customHeight="1" s="192">
      <c r="W414" s="235" t="n"/>
      <c r="X414" s="235" t="n"/>
    </row>
    <row r="415" ht="14.25" customHeight="1" s="192">
      <c r="W415" s="235" t="n"/>
      <c r="X415" s="235" t="n"/>
    </row>
    <row r="416" ht="14.25" customHeight="1" s="192">
      <c r="W416" s="239" t="n"/>
      <c r="X416" s="239" t="n"/>
    </row>
    <row r="417" ht="14.25" customHeight="1" s="192">
      <c r="W417" s="235" t="n"/>
      <c r="X417" s="235" t="n"/>
    </row>
    <row r="418" ht="14.25" customHeight="1" s="192">
      <c r="W418" s="239" t="n"/>
      <c r="X418" s="239" t="n"/>
    </row>
    <row r="420" ht="14.25" customHeight="1" s="192">
      <c r="W420" s="235" t="n"/>
      <c r="X420" s="235" t="n"/>
    </row>
    <row r="421" ht="15" customHeight="1" s="192" thickBot="1">
      <c r="W421" s="239" t="n"/>
      <c r="X421" s="239" t="n"/>
    </row>
    <row r="422" ht="15" customHeight="1" s="192" thickBot="1">
      <c r="W422" s="45" t="n"/>
      <c r="X422" s="45" t="n"/>
    </row>
    <row r="423" ht="14.25" customHeight="1" s="192">
      <c r="W423" s="228" t="n"/>
      <c r="X423" s="228" t="n"/>
    </row>
    <row r="424" ht="14.25" customHeight="1" s="192">
      <c r="W424" s="228" t="n"/>
      <c r="X424" s="228" t="n"/>
    </row>
    <row r="425" ht="14.25" customHeight="1" s="192">
      <c r="W425" s="231" t="n"/>
      <c r="X425" s="231" t="n"/>
    </row>
    <row r="426" ht="14.25" customHeight="1" s="192">
      <c r="W426" s="33" t="n"/>
      <c r="X426" s="33" t="n"/>
    </row>
    <row r="427" ht="14.25" customHeight="1" s="192">
      <c r="W427" s="231" t="n"/>
      <c r="X427" s="231" t="n"/>
    </row>
    <row r="428" ht="14.25" customHeight="1" s="192">
      <c r="W428" s="33" t="n"/>
      <c r="X428" s="33" t="n"/>
    </row>
    <row r="430" ht="14.25" customHeight="1" s="192">
      <c r="W430" s="231" t="n"/>
      <c r="X430" s="231" t="n"/>
    </row>
    <row r="431" ht="14.25" customHeight="1" s="192">
      <c r="W431" s="235" t="n"/>
      <c r="X431" s="235" t="n"/>
    </row>
    <row r="432" ht="14.25" customHeight="1" s="192">
      <c r="W432" s="228" t="n"/>
      <c r="X432" s="228" t="n"/>
    </row>
    <row r="433" ht="14.25" customHeight="1" s="192">
      <c r="W433" s="235" t="n"/>
      <c r="X433" s="235" t="n"/>
    </row>
    <row r="434" ht="14.25" customHeight="1" s="192">
      <c r="W434" s="235" t="n"/>
      <c r="X434" s="235" t="n"/>
    </row>
    <row r="435" ht="14.25" customHeight="1" s="192">
      <c r="W435" s="235" t="n"/>
      <c r="X435" s="235" t="n"/>
    </row>
    <row r="436" ht="14.25" customHeight="1" s="192">
      <c r="W436" s="239" t="n"/>
      <c r="X436" s="239" t="n"/>
    </row>
    <row r="437" ht="14.25" customHeight="1" s="192">
      <c r="W437" s="239" t="n"/>
      <c r="X437" s="239" t="n"/>
    </row>
    <row r="438" ht="14.25" customHeight="1" s="192">
      <c r="W438" s="239" t="n"/>
      <c r="X438" s="239" t="n"/>
    </row>
    <row r="439" ht="14.25" customHeight="1" s="192">
      <c r="W439" s="235" t="n"/>
      <c r="X439" s="235" t="n"/>
    </row>
    <row r="440" ht="14.25" customHeight="1" s="192">
      <c r="W440" s="235" t="n"/>
      <c r="X440" s="235" t="n"/>
    </row>
    <row r="441" ht="14.25" customHeight="1" s="192">
      <c r="W441" s="235" t="n"/>
      <c r="X441" s="235" t="n"/>
    </row>
    <row r="442" ht="14.25" customHeight="1" s="192">
      <c r="W442" s="239" t="n"/>
      <c r="X442" s="239" t="n"/>
    </row>
    <row r="443" ht="14.25" customHeight="1" s="192">
      <c r="W443" s="239" t="n"/>
      <c r="X443" s="239" t="n"/>
    </row>
    <row r="444" ht="14.25" customHeight="1" s="192">
      <c r="W444" s="235" t="n"/>
      <c r="X444" s="235" t="n"/>
    </row>
    <row r="445" ht="14.25" customHeight="1" s="192">
      <c r="W445" s="235" t="n"/>
      <c r="X445" s="235" t="n"/>
    </row>
    <row r="446" ht="14.25" customHeight="1" s="192">
      <c r="W446" s="239" t="n"/>
      <c r="X446" s="239" t="n"/>
    </row>
    <row r="447" ht="14.25" customHeight="1" s="192">
      <c r="W447" s="235" t="n"/>
      <c r="X447" s="235" t="n"/>
    </row>
    <row r="448" ht="14.25" customHeight="1" s="192">
      <c r="W448" s="239" t="n"/>
      <c r="X448" s="239" t="n"/>
    </row>
    <row r="450" ht="14.25" customHeight="1" s="192">
      <c r="W450" s="235" t="n"/>
      <c r="X450" s="235" t="n"/>
    </row>
    <row r="451" ht="15" customHeight="1" s="192" thickBot="1">
      <c r="W451" s="239" t="n"/>
      <c r="X451" s="239" t="n"/>
    </row>
    <row r="452" ht="15" customHeight="1" s="192" thickBot="1">
      <c r="W452" s="45" t="n"/>
      <c r="X452" s="45" t="n"/>
    </row>
    <row r="453" ht="14.25" customHeight="1" s="192">
      <c r="W453" s="228" t="n"/>
      <c r="X453" s="228" t="n"/>
    </row>
    <row r="454" ht="14.25" customHeight="1" s="192">
      <c r="W454" s="228" t="n"/>
      <c r="X454" s="228" t="n"/>
    </row>
    <row r="455" ht="14.25" customHeight="1" s="192">
      <c r="W455" s="231" t="n"/>
      <c r="X455" s="231" t="n"/>
    </row>
    <row r="456" ht="14.25" customHeight="1" s="192">
      <c r="W456" s="33" t="n"/>
      <c r="X456" s="33" t="n"/>
    </row>
    <row r="457" ht="14.25" customHeight="1" s="192">
      <c r="W457" s="231" t="n"/>
      <c r="X457" s="231" t="n"/>
    </row>
    <row r="458" ht="14.25" customHeight="1" s="192">
      <c r="W458" s="33" t="n"/>
      <c r="X458" s="33" t="n"/>
    </row>
    <row r="460" ht="14.25" customHeight="1" s="192">
      <c r="W460" s="231" t="n"/>
      <c r="X460" s="231" t="n"/>
    </row>
    <row r="461" ht="14.25" customHeight="1" s="192">
      <c r="W461" s="235" t="n"/>
      <c r="X461" s="235" t="n"/>
    </row>
    <row r="462" ht="14.25" customHeight="1" s="192">
      <c r="W462" s="228" t="n"/>
      <c r="X462" s="228" t="n"/>
    </row>
    <row r="463" ht="14.25" customHeight="1" s="192">
      <c r="W463" s="235" t="n"/>
      <c r="X463" s="235" t="n"/>
    </row>
    <row r="464" ht="14.25" customHeight="1" s="192">
      <c r="W464" s="235" t="n"/>
      <c r="X464" s="235" t="n"/>
    </row>
    <row r="465" ht="14.25" customHeight="1" s="192">
      <c r="W465" s="235" t="n"/>
      <c r="X465" s="235" t="n"/>
    </row>
    <row r="466" ht="14.25" customHeight="1" s="192">
      <c r="W466" s="239" t="n"/>
      <c r="X466" s="239" t="n"/>
    </row>
    <row r="467" ht="14.25" customHeight="1" s="192">
      <c r="W467" s="239" t="n"/>
      <c r="X467" s="239" t="n"/>
    </row>
    <row r="468" ht="14.25" customHeight="1" s="192">
      <c r="W468" s="239" t="n"/>
      <c r="X468" s="239" t="n"/>
    </row>
    <row r="469" ht="14.25" customHeight="1" s="192">
      <c r="W469" s="235" t="n"/>
      <c r="X469" s="235" t="n"/>
    </row>
    <row r="470" ht="14.25" customHeight="1" s="192">
      <c r="W470" s="235" t="n"/>
      <c r="X470" s="235" t="n"/>
    </row>
    <row r="471" ht="14.25" customHeight="1" s="192">
      <c r="W471" s="235" t="n"/>
      <c r="X471" s="235" t="n"/>
    </row>
    <row r="472" ht="14.25" customHeight="1" s="192">
      <c r="W472" s="239" t="n"/>
      <c r="X472" s="239" t="n"/>
    </row>
    <row r="473" ht="14.25" customHeight="1" s="192">
      <c r="W473" s="239" t="n"/>
      <c r="X473" s="239" t="n"/>
    </row>
    <row r="474" ht="14.25" customHeight="1" s="192">
      <c r="W474" s="235" t="n"/>
      <c r="X474" s="235" t="n"/>
    </row>
    <row r="475" ht="14.25" customHeight="1" s="192">
      <c r="W475" s="235" t="n"/>
      <c r="X475" s="235" t="n"/>
    </row>
    <row r="476" ht="14.25" customHeight="1" s="192">
      <c r="W476" s="239" t="n"/>
      <c r="X476" s="239" t="n"/>
    </row>
    <row r="477" ht="14.25" customHeight="1" s="192">
      <c r="W477" s="235" t="n"/>
      <c r="X477" s="235" t="n"/>
    </row>
    <row r="478" ht="14.25" customHeight="1" s="192">
      <c r="W478" s="239" t="n"/>
      <c r="X478" s="239" t="n"/>
    </row>
    <row r="480" ht="14.25" customHeight="1" s="192">
      <c r="W480" s="235" t="n"/>
      <c r="X480" s="235" t="n"/>
    </row>
    <row r="481" ht="15" customHeight="1" s="192" thickBot="1">
      <c r="W481" s="239" t="n"/>
      <c r="X481" s="239" t="n"/>
    </row>
    <row r="482" ht="15" customHeight="1" s="192" thickBot="1">
      <c r="W482" s="45" t="n"/>
      <c r="X482" s="45" t="n"/>
    </row>
    <row r="483" ht="14.25" customHeight="1" s="192">
      <c r="W483" s="228" t="n"/>
      <c r="X483" s="228" t="n"/>
    </row>
    <row r="484" ht="14.25" customHeight="1" s="192">
      <c r="W484" s="228" t="n"/>
      <c r="X484" s="228" t="n"/>
    </row>
    <row r="485" ht="14.25" customHeight="1" s="192">
      <c r="W485" s="231" t="n"/>
      <c r="X485" s="231" t="n"/>
    </row>
    <row r="486" ht="14.25" customHeight="1" s="192">
      <c r="W486" s="33" t="n"/>
      <c r="X486" s="33" t="n"/>
    </row>
    <row r="487" ht="14.25" customHeight="1" s="192">
      <c r="W487" s="231" t="n"/>
      <c r="X487" s="231" t="n"/>
    </row>
    <row r="488" ht="14.25" customHeight="1" s="192">
      <c r="W488" s="33" t="n"/>
      <c r="X488" s="33" t="n"/>
    </row>
    <row r="490" ht="14.25" customHeight="1" s="192">
      <c r="W490" s="231" t="n"/>
      <c r="X490" s="231" t="n"/>
    </row>
    <row r="491" ht="14.25" customHeight="1" s="192">
      <c r="W491" s="235" t="n"/>
      <c r="X491" s="235" t="n"/>
    </row>
    <row r="492" ht="14.25" customHeight="1" s="192">
      <c r="W492" s="228" t="n"/>
      <c r="X492" s="228" t="n"/>
    </row>
    <row r="493" ht="14.25" customHeight="1" s="192">
      <c r="W493" s="235" t="n"/>
      <c r="X493" s="235" t="n"/>
    </row>
    <row r="494" ht="14.25" customHeight="1" s="192">
      <c r="W494" s="235" t="n"/>
      <c r="X494" s="235" t="n"/>
    </row>
    <row r="495" ht="14.25" customHeight="1" s="192">
      <c r="W495" s="235" t="n"/>
      <c r="X495" s="235" t="n"/>
    </row>
    <row r="496" ht="14.25" customHeight="1" s="192">
      <c r="W496" s="239" t="n"/>
      <c r="X496" s="239" t="n"/>
    </row>
    <row r="497" ht="14.25" customHeight="1" s="192">
      <c r="W497" s="239" t="n"/>
      <c r="X497" s="239" t="n"/>
    </row>
    <row r="498" ht="14.25" customHeight="1" s="192">
      <c r="W498" s="239" t="n"/>
      <c r="X498" s="239" t="n"/>
    </row>
    <row r="499" ht="14.25" customHeight="1" s="192">
      <c r="W499" s="235" t="n"/>
      <c r="X499" s="235" t="n"/>
    </row>
    <row r="500" ht="14.25" customHeight="1" s="192">
      <c r="W500" s="235" t="n"/>
      <c r="X500" s="235" t="n"/>
    </row>
    <row r="501" ht="14.25" customHeight="1" s="192">
      <c r="W501" s="235" t="n"/>
      <c r="X501" s="235" t="n"/>
    </row>
    <row r="502" ht="14.25" customHeight="1" s="192">
      <c r="W502" s="239" t="n"/>
      <c r="X502" s="239" t="n"/>
    </row>
    <row r="503" ht="14.25" customHeight="1" s="192">
      <c r="W503" s="239" t="n"/>
      <c r="X503" s="239" t="n"/>
    </row>
    <row r="504" ht="14.25" customHeight="1" s="192">
      <c r="W504" s="235" t="n"/>
      <c r="X504" s="235" t="n"/>
    </row>
    <row r="505" ht="14.25" customHeight="1" s="192">
      <c r="W505" s="235" t="n"/>
      <c r="X505" s="235" t="n"/>
    </row>
    <row r="506" ht="14.25" customHeight="1" s="192">
      <c r="W506" s="239" t="n"/>
      <c r="X506" s="239" t="n"/>
    </row>
    <row r="507" ht="14.25" customHeight="1" s="192">
      <c r="W507" s="235" t="n"/>
      <c r="X507" s="235" t="n"/>
    </row>
    <row r="508" ht="14.25" customHeight="1" s="192">
      <c r="W508" s="239" t="n"/>
      <c r="X508" s="239" t="n"/>
    </row>
    <row r="510" ht="14.25" customHeight="1" s="192">
      <c r="W510" s="235" t="n"/>
      <c r="X510" s="235" t="n"/>
    </row>
    <row r="511" ht="15" customHeight="1" s="192" thickBot="1">
      <c r="W511" s="239" t="n"/>
      <c r="X511" s="239" t="n"/>
    </row>
    <row r="512" ht="15" customHeight="1" s="192" thickBot="1">
      <c r="W512" s="45" t="n"/>
      <c r="X512" s="45" t="n"/>
    </row>
    <row r="513" ht="14.25" customHeight="1" s="192">
      <c r="W513" s="228" t="n"/>
      <c r="X513" s="228" t="n"/>
    </row>
    <row r="514" ht="14.25" customHeight="1" s="192">
      <c r="W514" s="228" t="n"/>
      <c r="X514" s="228" t="n"/>
    </row>
    <row r="515" ht="14.25" customHeight="1" s="192">
      <c r="W515" s="231" t="n"/>
      <c r="X515" s="231" t="n"/>
    </row>
    <row r="516" ht="14.25" customHeight="1" s="192">
      <c r="W516" s="33" t="n"/>
      <c r="X516" s="33" t="n"/>
    </row>
    <row r="517" ht="14.25" customHeight="1" s="192">
      <c r="W517" s="231" t="n"/>
      <c r="X517" s="231" t="n"/>
    </row>
    <row r="518" ht="14.25" customHeight="1" s="192">
      <c r="W518" s="33" t="n"/>
      <c r="X518" s="33" t="n"/>
    </row>
    <row r="520" ht="14.25" customHeight="1" s="192">
      <c r="W520" s="231" t="n"/>
      <c r="X520" s="231" t="n"/>
    </row>
    <row r="521" ht="14.25" customHeight="1" s="192">
      <c r="W521" s="235" t="n"/>
      <c r="X521" s="235" t="n"/>
    </row>
    <row r="522" ht="14.25" customHeight="1" s="192">
      <c r="W522" s="228" t="n"/>
      <c r="X522" s="228" t="n"/>
    </row>
    <row r="523" ht="14.25" customHeight="1" s="192">
      <c r="W523" s="235" t="n"/>
      <c r="X523" s="235" t="n"/>
    </row>
    <row r="524" ht="14.25" customHeight="1" s="192">
      <c r="W524" s="235" t="n"/>
      <c r="X524" s="235" t="n"/>
    </row>
    <row r="525" ht="14.25" customHeight="1" s="192">
      <c r="W525" s="235" t="n"/>
      <c r="X525" s="235" t="n"/>
    </row>
    <row r="526" ht="14.25" customHeight="1" s="192">
      <c r="W526" s="239" t="n"/>
      <c r="X526" s="239" t="n"/>
    </row>
    <row r="527" ht="14.25" customHeight="1" s="192">
      <c r="W527" s="239" t="n"/>
      <c r="X527" s="239" t="n"/>
    </row>
    <row r="528" ht="14.25" customHeight="1" s="192">
      <c r="W528" s="239" t="n"/>
      <c r="X528" s="239" t="n"/>
    </row>
    <row r="529" ht="14.25" customHeight="1" s="192">
      <c r="W529" s="235" t="n"/>
      <c r="X529" s="235" t="n"/>
    </row>
    <row r="530" ht="14.25" customHeight="1" s="192">
      <c r="W530" s="235" t="n"/>
      <c r="X530" s="235" t="n"/>
    </row>
    <row r="531" ht="14.25" customHeight="1" s="192">
      <c r="W531" s="235" t="n"/>
      <c r="X531" s="235" t="n"/>
    </row>
    <row r="532" ht="14.25" customHeight="1" s="192">
      <c r="W532" s="239" t="n"/>
      <c r="X532" s="239" t="n"/>
    </row>
    <row r="533" ht="14.25" customHeight="1" s="192">
      <c r="W533" s="239" t="n"/>
      <c r="X533" s="239" t="n"/>
    </row>
    <row r="534" ht="14.25" customHeight="1" s="192">
      <c r="W534" s="235" t="n"/>
      <c r="X534" s="235" t="n"/>
    </row>
    <row r="535" ht="14.25" customHeight="1" s="192">
      <c r="W535" s="235" t="n"/>
      <c r="X535" s="235" t="n"/>
    </row>
    <row r="536" ht="14.25" customHeight="1" s="192">
      <c r="W536" s="239" t="n"/>
      <c r="X536" s="239" t="n"/>
    </row>
    <row r="537" ht="14.25" customHeight="1" s="192">
      <c r="W537" s="235" t="n"/>
      <c r="X537" s="235" t="n"/>
    </row>
    <row r="538" ht="14.25" customHeight="1" s="192">
      <c r="W538" s="239" t="n"/>
      <c r="X538" s="239" t="n"/>
    </row>
    <row r="540" ht="14.25" customHeight="1" s="192">
      <c r="W540" s="235" t="n"/>
      <c r="X540" s="235" t="n"/>
    </row>
    <row r="541" ht="15" customHeight="1" s="192" thickBot="1">
      <c r="W541" s="239" t="n"/>
      <c r="X541" s="239" t="n"/>
    </row>
    <row r="542" ht="15" customHeight="1" s="192" thickBot="1">
      <c r="W542" s="45" t="n"/>
      <c r="X542" s="45" t="n"/>
    </row>
    <row r="543" ht="14.25" customHeight="1" s="192">
      <c r="W543" s="228" t="n"/>
      <c r="X543" s="228" t="n"/>
    </row>
    <row r="544" ht="14.25" customHeight="1" s="192">
      <c r="W544" s="228" t="n"/>
      <c r="X544" s="228" t="n"/>
    </row>
    <row r="545" ht="14.25" customHeight="1" s="192">
      <c r="W545" s="231" t="n"/>
      <c r="X545" s="231" t="n"/>
    </row>
    <row r="546" ht="14.25" customHeight="1" s="192">
      <c r="W546" s="33" t="n"/>
      <c r="X546" s="33" t="n"/>
    </row>
    <row r="547" ht="14.25" customHeight="1" s="192">
      <c r="W547" s="231" t="n"/>
      <c r="X547" s="231" t="n"/>
    </row>
    <row r="548" ht="14.25" customHeight="1" s="192">
      <c r="W548" s="33" t="n"/>
      <c r="X548" s="33" t="n"/>
    </row>
    <row r="550" ht="14.25" customHeight="1" s="192">
      <c r="W550" s="231" t="n"/>
      <c r="X550" s="231" t="n"/>
    </row>
    <row r="551" ht="14.25" customHeight="1" s="192">
      <c r="W551" s="235" t="n"/>
      <c r="X551" s="235" t="n"/>
    </row>
    <row r="552" ht="14.25" customHeight="1" s="192">
      <c r="W552" s="228" t="n"/>
      <c r="X552" s="228" t="n"/>
    </row>
    <row r="553" ht="14.25" customHeight="1" s="192">
      <c r="W553" s="235" t="n"/>
      <c r="X553" s="235" t="n"/>
    </row>
    <row r="554" ht="14.25" customHeight="1" s="192">
      <c r="W554" s="235" t="n"/>
      <c r="X554" s="235" t="n"/>
    </row>
    <row r="555" ht="14.25" customHeight="1" s="192">
      <c r="W555" s="235" t="n"/>
      <c r="X555" s="235" t="n"/>
    </row>
    <row r="556" ht="14.25" customHeight="1" s="192">
      <c r="W556" s="239" t="n"/>
      <c r="X556" s="239" t="n"/>
    </row>
    <row r="557" ht="14.25" customHeight="1" s="192">
      <c r="W557" s="239" t="n"/>
      <c r="X557" s="239" t="n"/>
    </row>
    <row r="558" ht="14.25" customHeight="1" s="192">
      <c r="W558" s="239" t="n"/>
      <c r="X558" s="239" t="n"/>
    </row>
    <row r="559" ht="14.25" customHeight="1" s="192">
      <c r="W559" s="235" t="n"/>
      <c r="X559" s="235" t="n"/>
    </row>
    <row r="560" ht="14.25" customHeight="1" s="192">
      <c r="W560" s="235" t="n"/>
      <c r="X560" s="235" t="n"/>
    </row>
    <row r="561" ht="14.25" customHeight="1" s="192">
      <c r="W561" s="235" t="n"/>
      <c r="X561" s="235" t="n"/>
    </row>
    <row r="562" ht="14.25" customHeight="1" s="192">
      <c r="W562" s="239" t="n"/>
      <c r="X562" s="239" t="n"/>
    </row>
    <row r="563" ht="14.25" customHeight="1" s="192">
      <c r="W563" s="239" t="n"/>
      <c r="X563" s="239" t="n"/>
    </row>
    <row r="564" ht="14.25" customHeight="1" s="192">
      <c r="W564" s="235" t="n"/>
      <c r="X564" s="235" t="n"/>
    </row>
    <row r="565" ht="14.25" customHeight="1" s="192">
      <c r="W565" s="235" t="n"/>
      <c r="X565" s="235" t="n"/>
    </row>
    <row r="566" ht="14.25" customHeight="1" s="192">
      <c r="W566" s="239" t="n"/>
      <c r="X566" s="239" t="n"/>
    </row>
    <row r="567" ht="14.25" customHeight="1" s="192">
      <c r="W567" s="235" t="n"/>
      <c r="X567" s="235" t="n"/>
    </row>
    <row r="568" ht="14.25" customHeight="1" s="192">
      <c r="W568" s="239" t="n"/>
      <c r="X568" s="239" t="n"/>
    </row>
    <row r="570" ht="14.25" customHeight="1" s="192">
      <c r="W570" s="235" t="n"/>
      <c r="X570" s="235" t="n"/>
    </row>
    <row r="571" ht="15" customHeight="1" s="192" thickBot="1">
      <c r="W571" s="239" t="n"/>
      <c r="X571" s="239" t="n"/>
    </row>
    <row r="572" ht="15" customHeight="1" s="192" thickBot="1">
      <c r="W572" s="45" t="n"/>
      <c r="X572" s="45" t="n"/>
    </row>
    <row r="573" ht="14.25" customHeight="1" s="192">
      <c r="W573" s="228" t="n"/>
      <c r="X573" s="228" t="n"/>
    </row>
    <row r="574" ht="14.25" customHeight="1" s="192">
      <c r="W574" s="228" t="n"/>
      <c r="X574" s="228" t="n"/>
    </row>
    <row r="575" ht="14.25" customHeight="1" s="192">
      <c r="W575" s="231" t="n"/>
      <c r="X575" s="231" t="n"/>
    </row>
    <row r="576" ht="14.25" customHeight="1" s="192">
      <c r="W576" s="33" t="n"/>
      <c r="X576" s="33" t="n"/>
    </row>
    <row r="577" ht="14.25" customHeight="1" s="192">
      <c r="W577" s="231" t="n"/>
      <c r="X577" s="231" t="n"/>
    </row>
    <row r="578" ht="14.25" customHeight="1" s="192">
      <c r="W578" s="33" t="n"/>
      <c r="X578" s="33" t="n"/>
    </row>
    <row r="580" ht="14.25" customHeight="1" s="192">
      <c r="W580" s="231" t="n"/>
      <c r="X580" s="231" t="n"/>
    </row>
    <row r="581" ht="14.25" customHeight="1" s="192">
      <c r="W581" s="235" t="n"/>
      <c r="X581" s="235" t="n"/>
    </row>
    <row r="582" ht="14.25" customHeight="1" s="192">
      <c r="W582" s="228" t="n"/>
      <c r="X582" s="228" t="n"/>
    </row>
    <row r="583" ht="14.25" customHeight="1" s="192">
      <c r="W583" s="235" t="n"/>
      <c r="X583" s="235" t="n"/>
    </row>
    <row r="584" ht="14.25" customHeight="1" s="192">
      <c r="W584" s="235" t="n"/>
      <c r="X584" s="235" t="n"/>
    </row>
    <row r="585" ht="14.25" customHeight="1" s="192">
      <c r="W585" s="235" t="n"/>
      <c r="X585" s="235" t="n"/>
    </row>
    <row r="586" ht="14.25" customHeight="1" s="192">
      <c r="W586" s="239" t="n"/>
      <c r="X586" s="239" t="n"/>
    </row>
    <row r="587" ht="14.25" customHeight="1" s="192">
      <c r="W587" s="239" t="n"/>
      <c r="X587" s="239" t="n"/>
    </row>
    <row r="588" ht="14.25" customHeight="1" s="192">
      <c r="W588" s="239" t="n"/>
      <c r="X588" s="239" t="n"/>
    </row>
    <row r="589" ht="14.25" customHeight="1" s="192">
      <c r="W589" s="235" t="n"/>
      <c r="X589" s="235" t="n"/>
    </row>
    <row r="590" ht="14.25" customHeight="1" s="192">
      <c r="W590" s="235" t="n"/>
      <c r="X590" s="235" t="n"/>
    </row>
    <row r="591" ht="14.25" customHeight="1" s="192">
      <c r="W591" s="235" t="n"/>
      <c r="X591" s="235" t="n"/>
    </row>
    <row r="592" ht="14.25" customHeight="1" s="192">
      <c r="W592" s="239" t="n"/>
      <c r="X592" s="239" t="n"/>
    </row>
    <row r="593" ht="14.25" customHeight="1" s="192">
      <c r="W593" s="239" t="n"/>
      <c r="X593" s="239" t="n"/>
    </row>
    <row r="594" ht="14.25" customHeight="1" s="192">
      <c r="W594" s="235" t="n"/>
      <c r="X594" s="235" t="n"/>
    </row>
    <row r="595" ht="14.25" customHeight="1" s="192">
      <c r="W595" s="235" t="n"/>
      <c r="X595" s="235" t="n"/>
    </row>
    <row r="596" ht="14.25" customHeight="1" s="192">
      <c r="W596" s="239" t="n"/>
      <c r="X596" s="239" t="n"/>
    </row>
    <row r="597" ht="14.25" customHeight="1" s="192">
      <c r="W597" s="235" t="n"/>
      <c r="X597" s="235" t="n"/>
    </row>
    <row r="598" ht="14.25" customHeight="1" s="192">
      <c r="W598" s="239" t="n"/>
      <c r="X598" s="239" t="n"/>
    </row>
    <row r="600" ht="14.25" customHeight="1" s="192">
      <c r="W600" s="235" t="n"/>
      <c r="X600" s="235" t="n"/>
    </row>
    <row r="601" ht="15" customHeight="1" s="192" thickBot="1">
      <c r="W601" s="239" t="n"/>
      <c r="X601" s="239" t="n"/>
    </row>
    <row r="602" ht="15" customHeight="1" s="192" thickBot="1">
      <c r="W602" s="45" t="n"/>
      <c r="X602" s="45" t="n"/>
    </row>
    <row r="603" ht="14.25" customHeight="1" s="192">
      <c r="W603" s="228" t="n"/>
      <c r="X603" s="228" t="n"/>
    </row>
    <row r="604" ht="14.25" customHeight="1" s="192">
      <c r="W604" s="228" t="n"/>
      <c r="X604" s="228" t="n"/>
    </row>
    <row r="605" ht="14.25" customHeight="1" s="192">
      <c r="W605" s="231" t="n"/>
      <c r="X605" s="231" t="n"/>
    </row>
    <row r="606" ht="14.25" customHeight="1" s="192">
      <c r="W606" s="33" t="n"/>
      <c r="X606" s="33" t="n"/>
    </row>
    <row r="607" ht="14.25" customHeight="1" s="192">
      <c r="W607" s="231" t="n"/>
      <c r="X607" s="231" t="n"/>
    </row>
    <row r="608" ht="14.25" customHeight="1" s="192">
      <c r="W608" s="33" t="n"/>
      <c r="X608" s="33" t="n"/>
    </row>
    <row r="610" ht="14.25" customHeight="1" s="192">
      <c r="W610" s="231" t="n"/>
      <c r="X610" s="231" t="n"/>
    </row>
    <row r="611" ht="14.25" customHeight="1" s="192">
      <c r="W611" s="235" t="n"/>
      <c r="X611" s="235" t="n"/>
    </row>
    <row r="612" ht="14.25" customHeight="1" s="192">
      <c r="W612" s="228" t="n"/>
      <c r="X612" s="228" t="n"/>
    </row>
    <row r="613" ht="14.25" customHeight="1" s="192">
      <c r="W613" s="235" t="n"/>
      <c r="X613" s="235" t="n"/>
    </row>
    <row r="614" ht="14.25" customHeight="1" s="192">
      <c r="W614" s="235" t="n"/>
      <c r="X614" s="235" t="n"/>
    </row>
    <row r="615" ht="14.25" customHeight="1" s="192">
      <c r="W615" s="235" t="n"/>
      <c r="X615" s="235" t="n"/>
    </row>
    <row r="616" ht="14.25" customHeight="1" s="192">
      <c r="W616" s="239" t="n"/>
      <c r="X616" s="239" t="n"/>
    </row>
    <row r="617" ht="14.25" customHeight="1" s="192">
      <c r="W617" s="239" t="n"/>
      <c r="X617" s="239" t="n"/>
    </row>
    <row r="618" ht="14.25" customHeight="1" s="192">
      <c r="W618" s="239" t="n"/>
      <c r="X618" s="239" t="n"/>
    </row>
    <row r="619" ht="14.25" customHeight="1" s="192">
      <c r="W619" s="235" t="n"/>
      <c r="X619" s="235" t="n"/>
    </row>
    <row r="620" ht="14.25" customHeight="1" s="192">
      <c r="W620" s="235" t="n"/>
      <c r="X620" s="235" t="n"/>
    </row>
    <row r="621" ht="14.25" customHeight="1" s="192">
      <c r="W621" s="235" t="n"/>
      <c r="X621" s="235" t="n"/>
    </row>
    <row r="622" ht="14.25" customHeight="1" s="192">
      <c r="W622" s="239" t="n"/>
      <c r="X622" s="239" t="n"/>
    </row>
    <row r="623" ht="14.25" customHeight="1" s="192">
      <c r="W623" s="239" t="n"/>
      <c r="X623" s="239" t="n"/>
    </row>
    <row r="624" ht="14.25" customHeight="1" s="192">
      <c r="W624" s="235" t="n"/>
      <c r="X624" s="235" t="n"/>
    </row>
    <row r="625" ht="14.25" customHeight="1" s="192">
      <c r="W625" s="235" t="n"/>
      <c r="X625" s="235" t="n"/>
    </row>
    <row r="626" ht="14.25" customHeight="1" s="192">
      <c r="W626" s="239" t="n"/>
      <c r="X626" s="239" t="n"/>
    </row>
    <row r="627" ht="14.25" customHeight="1" s="192">
      <c r="W627" s="235" t="n"/>
      <c r="X627" s="235" t="n"/>
    </row>
    <row r="628" ht="14.25" customHeight="1" s="192">
      <c r="W628" s="239" t="n"/>
      <c r="X628" s="239" t="n"/>
    </row>
    <row r="630" ht="14.25" customHeight="1" s="192">
      <c r="W630" s="235" t="n"/>
      <c r="X630" s="235" t="n"/>
    </row>
    <row r="631" ht="15" customHeight="1" s="192" thickBot="1">
      <c r="W631" s="239" t="n"/>
      <c r="X631" s="239" t="n"/>
    </row>
    <row r="632" ht="15" customHeight="1" s="192" thickBot="1">
      <c r="W632" s="45" t="n"/>
      <c r="X632" s="45" t="n"/>
    </row>
    <row r="633" ht="14.25" customHeight="1" s="192">
      <c r="W633" s="228" t="n"/>
      <c r="X633" s="228" t="n"/>
    </row>
    <row r="634" ht="14.25" customHeight="1" s="192">
      <c r="W634" s="228" t="n"/>
      <c r="X634" s="228" t="n"/>
    </row>
    <row r="635" ht="14.25" customHeight="1" s="192">
      <c r="W635" s="231" t="n"/>
      <c r="X635" s="231" t="n"/>
    </row>
    <row r="636" ht="14.25" customHeight="1" s="192">
      <c r="W636" s="33" t="n"/>
      <c r="X636" s="33" t="n"/>
    </row>
    <row r="637" ht="14.25" customHeight="1" s="192">
      <c r="W637" s="231" t="n"/>
      <c r="X637" s="231" t="n"/>
    </row>
    <row r="638" ht="14.25" customHeight="1" s="192">
      <c r="W638" s="33" t="n"/>
      <c r="X638" s="33" t="n"/>
    </row>
    <row r="640" ht="14.25" customHeight="1" s="192">
      <c r="W640" s="231" t="n"/>
      <c r="X640" s="231" t="n"/>
    </row>
    <row r="641" ht="14.25" customHeight="1" s="192">
      <c r="W641" s="235" t="n"/>
      <c r="X641" s="235" t="n"/>
    </row>
    <row r="642" ht="14.25" customHeight="1" s="192">
      <c r="W642" s="228" t="n"/>
      <c r="X642" s="228" t="n"/>
    </row>
    <row r="643" ht="14.25" customHeight="1" s="192">
      <c r="W643" s="235" t="n"/>
      <c r="X643" s="235" t="n"/>
    </row>
    <row r="644" ht="14.25" customHeight="1" s="192">
      <c r="W644" s="235" t="n"/>
      <c r="X644" s="235" t="n"/>
    </row>
    <row r="645" ht="14.25" customHeight="1" s="192">
      <c r="W645" s="235" t="n"/>
      <c r="X645" s="235" t="n"/>
    </row>
    <row r="646" ht="14.25" customHeight="1" s="192">
      <c r="W646" s="239" t="n"/>
      <c r="X646" s="239" t="n"/>
    </row>
    <row r="647" ht="14.25" customHeight="1" s="192">
      <c r="W647" s="239" t="n"/>
      <c r="X647" s="239" t="n"/>
    </row>
    <row r="648" ht="14.25" customHeight="1" s="192">
      <c r="W648" s="239" t="n"/>
      <c r="X648" s="239" t="n"/>
    </row>
    <row r="649" ht="14.25" customHeight="1" s="192">
      <c r="W649" s="235" t="n"/>
      <c r="X649" s="235" t="n"/>
    </row>
    <row r="650" ht="14.25" customHeight="1" s="192">
      <c r="W650" s="235" t="n"/>
      <c r="X650" s="235" t="n"/>
    </row>
    <row r="651" ht="14.25" customHeight="1" s="192">
      <c r="W651" s="235" t="n"/>
      <c r="X651" s="235" t="n"/>
    </row>
    <row r="652" ht="14.25" customHeight="1" s="192">
      <c r="W652" s="239" t="n"/>
      <c r="X652" s="239" t="n"/>
    </row>
    <row r="653" ht="14.25" customHeight="1" s="192">
      <c r="W653" s="239" t="n"/>
      <c r="X653" s="239" t="n"/>
    </row>
    <row r="654" ht="14.25" customHeight="1" s="192">
      <c r="W654" s="235" t="n"/>
      <c r="X654" s="235" t="n"/>
    </row>
    <row r="655" ht="14.25" customHeight="1" s="192">
      <c r="W655" s="235" t="n"/>
      <c r="X655" s="235" t="n"/>
    </row>
    <row r="656" ht="14.25" customHeight="1" s="192">
      <c r="W656" s="239" t="n"/>
      <c r="X656" s="239" t="n"/>
    </row>
    <row r="657" ht="14.25" customHeight="1" s="192">
      <c r="W657" s="235" t="n"/>
      <c r="X657" s="235" t="n"/>
    </row>
    <row r="658" ht="14.25" customHeight="1" s="192">
      <c r="W658" s="239" t="n"/>
      <c r="X658" s="239" t="n"/>
    </row>
    <row r="660" ht="14.25" customHeight="1" s="192">
      <c r="W660" s="235" t="n"/>
      <c r="X660" s="235" t="n"/>
    </row>
    <row r="661" ht="15" customHeight="1" s="192" thickBot="1">
      <c r="W661" s="239" t="n"/>
      <c r="X661" s="239" t="n"/>
    </row>
    <row r="662" ht="15" customHeight="1" s="192" thickBot="1">
      <c r="W662" s="45" t="n"/>
      <c r="X662" s="45" t="n"/>
    </row>
    <row r="663" ht="14.25" customHeight="1" s="192">
      <c r="W663" s="228" t="n"/>
      <c r="X663" s="228" t="n"/>
    </row>
    <row r="664" ht="14.25" customHeight="1" s="192">
      <c r="W664" s="228" t="n"/>
      <c r="X664" s="228" t="n"/>
    </row>
    <row r="665" ht="14.25" customHeight="1" s="192">
      <c r="W665" s="231" t="n"/>
      <c r="X665" s="231" t="n"/>
    </row>
    <row r="666" ht="14.25" customHeight="1" s="192">
      <c r="W666" s="33" t="n"/>
      <c r="X666" s="33" t="n"/>
    </row>
    <row r="667" ht="14.25" customHeight="1" s="192">
      <c r="W667" s="231" t="n"/>
      <c r="X667" s="231" t="n"/>
    </row>
    <row r="668" ht="14.25" customHeight="1" s="192">
      <c r="W668" s="33" t="n"/>
      <c r="X668" s="33" t="n"/>
    </row>
    <row r="670" ht="14.25" customHeight="1" s="192">
      <c r="W670" s="231" t="n"/>
      <c r="X670" s="231" t="n"/>
    </row>
    <row r="671" ht="14.25" customHeight="1" s="192">
      <c r="W671" s="235" t="n"/>
      <c r="X671" s="235" t="n"/>
    </row>
    <row r="672" ht="14.25" customHeight="1" s="192">
      <c r="W672" s="228" t="n"/>
      <c r="X672" s="228" t="n"/>
    </row>
    <row r="673" ht="14.25" customHeight="1" s="192">
      <c r="W673" s="235" t="n"/>
      <c r="X673" s="235" t="n"/>
    </row>
    <row r="674" ht="14.25" customHeight="1" s="192">
      <c r="W674" s="235" t="n"/>
      <c r="X674" s="235" t="n"/>
    </row>
    <row r="675" ht="14.25" customHeight="1" s="192">
      <c r="W675" s="235" t="n"/>
      <c r="X675" s="235" t="n"/>
    </row>
    <row r="676" ht="14.25" customHeight="1" s="192">
      <c r="W676" s="239" t="n"/>
      <c r="X676" s="239" t="n"/>
    </row>
    <row r="677" ht="14.25" customHeight="1" s="192">
      <c r="W677" s="239" t="n"/>
      <c r="X677" s="239" t="n"/>
    </row>
    <row r="678" ht="14.25" customHeight="1" s="192">
      <c r="W678" s="239" t="n"/>
      <c r="X678" s="239" t="n"/>
    </row>
    <row r="679" ht="14.25" customHeight="1" s="192">
      <c r="W679" s="235" t="n"/>
      <c r="X679" s="235" t="n"/>
    </row>
    <row r="680" ht="14.25" customHeight="1" s="192">
      <c r="W680" s="235" t="n"/>
      <c r="X680" s="235" t="n"/>
    </row>
    <row r="681" ht="14.25" customHeight="1" s="192">
      <c r="W681" s="235" t="n"/>
      <c r="X681" s="235" t="n"/>
    </row>
    <row r="682" ht="14.25" customHeight="1" s="192">
      <c r="W682" s="239" t="n"/>
      <c r="X682" s="239" t="n"/>
    </row>
    <row r="683" ht="14.25" customHeight="1" s="192">
      <c r="W683" s="239" t="n"/>
      <c r="X683" s="239" t="n"/>
    </row>
    <row r="684" ht="14.25" customHeight="1" s="192">
      <c r="W684" s="235" t="n"/>
      <c r="X684" s="235" t="n"/>
    </row>
    <row r="685" ht="14.25" customHeight="1" s="192">
      <c r="W685" s="235" t="n"/>
      <c r="X685" s="235" t="n"/>
    </row>
    <row r="686" ht="14.25" customHeight="1" s="192">
      <c r="W686" s="239" t="n"/>
      <c r="X686" s="239" t="n"/>
    </row>
    <row r="687" ht="14.25" customHeight="1" s="192">
      <c r="W687" s="235" t="n"/>
      <c r="X687" s="235" t="n"/>
    </row>
    <row r="688" ht="14.25" customHeight="1" s="192">
      <c r="W688" s="239" t="n"/>
      <c r="X688" s="239" t="n"/>
    </row>
    <row r="690" ht="14.25" customHeight="1" s="192">
      <c r="W690" s="235" t="n"/>
      <c r="X690" s="235" t="n"/>
    </row>
    <row r="691" ht="15" customHeight="1" s="192" thickBot="1">
      <c r="W691" s="239" t="n"/>
      <c r="X691" s="239" t="n"/>
    </row>
    <row r="692" ht="15" customHeight="1" s="192" thickBot="1">
      <c r="W692" s="45" t="n"/>
      <c r="X692" s="45" t="n"/>
    </row>
    <row r="693" ht="14.25" customHeight="1" s="192">
      <c r="W693" s="228" t="n"/>
      <c r="X693" s="228" t="n"/>
    </row>
    <row r="694" ht="14.25" customHeight="1" s="192">
      <c r="W694" s="228" t="n"/>
      <c r="X694" s="228" t="n"/>
    </row>
    <row r="695" ht="14.25" customHeight="1" s="192">
      <c r="W695" s="231" t="n"/>
      <c r="X695" s="231" t="n"/>
    </row>
    <row r="696" ht="14.25" customHeight="1" s="192">
      <c r="W696" s="33" t="n"/>
      <c r="X696" s="33" t="n"/>
    </row>
    <row r="697" ht="14.25" customHeight="1" s="192">
      <c r="W697" s="231" t="n"/>
      <c r="X697" s="231" t="n"/>
    </row>
    <row r="698" ht="14.25" customHeight="1" s="192">
      <c r="W698" s="33" t="n"/>
      <c r="X698" s="33" t="n"/>
    </row>
    <row r="700" ht="14.25" customHeight="1" s="192">
      <c r="W700" s="231" t="n"/>
      <c r="X700" s="231" t="n"/>
    </row>
    <row r="701" ht="14.25" customHeight="1" s="192">
      <c r="W701" s="235" t="n"/>
      <c r="X701" s="235" t="n"/>
    </row>
    <row r="702" ht="14.25" customHeight="1" s="192">
      <c r="W702" s="228" t="n"/>
      <c r="X702" s="228" t="n"/>
    </row>
    <row r="703" ht="14.25" customHeight="1" s="192">
      <c r="W703" s="235" t="n"/>
      <c r="X703" s="235" t="n"/>
    </row>
    <row r="704" ht="14.25" customHeight="1" s="192">
      <c r="W704" s="235" t="n"/>
      <c r="X704" s="235" t="n"/>
    </row>
    <row r="705" ht="14.25" customHeight="1" s="192">
      <c r="W705" s="235" t="n"/>
      <c r="X705" s="235" t="n"/>
    </row>
    <row r="706" ht="14.25" customHeight="1" s="192">
      <c r="W706" s="239" t="n"/>
      <c r="X706" s="239" t="n"/>
    </row>
    <row r="707" ht="14.25" customHeight="1" s="192">
      <c r="W707" s="239" t="n"/>
      <c r="X707" s="239" t="n"/>
    </row>
    <row r="708" ht="14.25" customHeight="1" s="192">
      <c r="W708" s="239" t="n"/>
      <c r="X708" s="239" t="n"/>
    </row>
    <row r="709" ht="14.25" customHeight="1" s="192">
      <c r="W709" s="235" t="n"/>
      <c r="X709" s="235" t="n"/>
    </row>
    <row r="710" ht="14.25" customHeight="1" s="192">
      <c r="W710" s="235" t="n"/>
      <c r="X710" s="235" t="n"/>
    </row>
    <row r="711" ht="14.25" customHeight="1" s="192">
      <c r="W711" s="235" t="n"/>
      <c r="X711" s="235" t="n"/>
    </row>
    <row r="712" ht="14.25" customHeight="1" s="192">
      <c r="W712" s="239" t="n"/>
      <c r="X712" s="239" t="n"/>
    </row>
    <row r="713" ht="14.25" customHeight="1" s="192">
      <c r="W713" s="239" t="n"/>
      <c r="X713" s="239" t="n"/>
    </row>
    <row r="714" ht="14.25" customHeight="1" s="192">
      <c r="W714" s="235" t="n"/>
      <c r="X714" s="235" t="n"/>
    </row>
    <row r="715" ht="14.25" customHeight="1" s="192">
      <c r="W715" s="235" t="n"/>
      <c r="X715" s="235" t="n"/>
    </row>
    <row r="716" ht="14.25" customHeight="1" s="192">
      <c r="W716" s="239" t="n"/>
      <c r="X716" s="239" t="n"/>
    </row>
    <row r="717" ht="14.25" customHeight="1" s="192">
      <c r="W717" s="235" t="n"/>
      <c r="X717" s="235" t="n"/>
    </row>
    <row r="718" ht="14.25" customHeight="1" s="192">
      <c r="W718" s="239" t="n"/>
      <c r="X718" s="239" t="n"/>
    </row>
    <row r="720" ht="14.25" customHeight="1" s="192">
      <c r="W720" s="235" t="n"/>
      <c r="X720" s="235" t="n"/>
    </row>
    <row r="721" ht="15" customHeight="1" s="192" thickBot="1">
      <c r="W721" s="239" t="n"/>
      <c r="X721" s="239" t="n"/>
    </row>
    <row r="722" ht="15" customHeight="1" s="192" thickBot="1">
      <c r="W722" s="45" t="n"/>
      <c r="X722" s="45" t="n"/>
    </row>
    <row r="723" ht="14.25" customHeight="1" s="192">
      <c r="W723" s="228" t="n"/>
      <c r="X723" s="228" t="n"/>
    </row>
    <row r="724" ht="14.25" customHeight="1" s="192">
      <c r="W724" s="228" t="n"/>
      <c r="X724" s="228" t="n"/>
    </row>
    <row r="725" ht="14.25" customHeight="1" s="192">
      <c r="W725" s="231" t="n"/>
      <c r="X725" s="231" t="n"/>
    </row>
    <row r="726" ht="14.25" customHeight="1" s="192">
      <c r="W726" s="33" t="n"/>
      <c r="X726" s="33" t="n"/>
    </row>
    <row r="727" ht="14.25" customHeight="1" s="192">
      <c r="W727" s="231" t="n"/>
      <c r="X727" s="231" t="n"/>
    </row>
    <row r="728" ht="14.25" customHeight="1" s="192">
      <c r="W728" s="33" t="n"/>
      <c r="X728" s="33" t="n"/>
    </row>
    <row r="730" ht="14.25" customHeight="1" s="192">
      <c r="W730" s="231" t="n"/>
      <c r="X730" s="231" t="n"/>
    </row>
    <row r="731" ht="14.25" customHeight="1" s="192">
      <c r="W731" s="235" t="n"/>
      <c r="X731" s="235" t="n"/>
    </row>
    <row r="732" ht="14.25" customHeight="1" s="192">
      <c r="W732" s="228" t="n"/>
      <c r="X732" s="228" t="n"/>
    </row>
    <row r="733" ht="14.25" customHeight="1" s="192">
      <c r="W733" s="235" t="n"/>
      <c r="X733" s="235" t="n"/>
    </row>
    <row r="734" ht="14.25" customHeight="1" s="192">
      <c r="W734" s="235" t="n"/>
      <c r="X734" s="235" t="n"/>
    </row>
    <row r="735" ht="14.25" customHeight="1" s="192">
      <c r="W735" s="235" t="n"/>
      <c r="X735" s="235" t="n"/>
    </row>
    <row r="736" ht="14.25" customHeight="1" s="192">
      <c r="W736" s="239" t="n"/>
      <c r="X736" s="239" t="n"/>
    </row>
    <row r="737" ht="14.25" customHeight="1" s="192">
      <c r="W737" s="239" t="n"/>
      <c r="X737" s="239" t="n"/>
    </row>
    <row r="738" ht="14.25" customHeight="1" s="192">
      <c r="W738" s="239" t="n"/>
      <c r="X738" s="239" t="n"/>
    </row>
    <row r="739" ht="14.25" customHeight="1" s="192">
      <c r="W739" s="235" t="n"/>
      <c r="X739" s="235" t="n"/>
    </row>
    <row r="740" ht="14.25" customHeight="1" s="192">
      <c r="W740" s="235" t="n"/>
      <c r="X740" s="235" t="n"/>
    </row>
    <row r="741" ht="14.25" customHeight="1" s="192">
      <c r="W741" s="235" t="n"/>
      <c r="X741" s="235" t="n"/>
    </row>
    <row r="742" ht="14.25" customHeight="1" s="192">
      <c r="W742" s="239" t="n"/>
      <c r="X742" s="239" t="n"/>
    </row>
    <row r="743" ht="14.25" customHeight="1" s="192">
      <c r="W743" s="239" t="n"/>
      <c r="X743" s="239" t="n"/>
    </row>
    <row r="744" ht="14.25" customHeight="1" s="192">
      <c r="W744" s="235" t="n"/>
      <c r="X744" s="235" t="n"/>
    </row>
    <row r="745" ht="14.25" customHeight="1" s="192">
      <c r="W745" s="235" t="n"/>
      <c r="X745" s="235" t="n"/>
    </row>
    <row r="746" ht="14.25" customHeight="1" s="192">
      <c r="W746" s="239" t="n"/>
      <c r="X746" s="239" t="n"/>
    </row>
    <row r="747" ht="14.25" customHeight="1" s="192">
      <c r="W747" s="235" t="n"/>
      <c r="X747" s="235" t="n"/>
    </row>
    <row r="748" ht="14.25" customHeight="1" s="192">
      <c r="W748" s="239" t="n"/>
      <c r="X748" s="239" t="n"/>
    </row>
    <row r="750" ht="14.25" customHeight="1" s="192">
      <c r="W750" s="235" t="n"/>
      <c r="X750" s="235" t="n"/>
    </row>
    <row r="751" ht="15" customHeight="1" s="192" thickBot="1">
      <c r="W751" s="239" t="n"/>
      <c r="X751" s="239" t="n"/>
    </row>
    <row r="752" ht="15" customHeight="1" s="192" thickBot="1">
      <c r="W752" s="45" t="n"/>
      <c r="X752" s="45" t="n"/>
    </row>
    <row r="753" ht="14.25" customHeight="1" s="192">
      <c r="W753" s="228" t="n"/>
      <c r="X753" s="228" t="n"/>
    </row>
    <row r="754" ht="14.25" customHeight="1" s="192">
      <c r="W754" s="228" t="n"/>
      <c r="X754" s="228" t="n"/>
    </row>
    <row r="755" ht="14.25" customHeight="1" s="192">
      <c r="W755" s="231" t="n"/>
      <c r="X755" s="231" t="n"/>
    </row>
    <row r="756" ht="14.25" customHeight="1" s="192">
      <c r="W756" s="33" t="n"/>
      <c r="X756" s="33" t="n"/>
    </row>
    <row r="757" ht="14.25" customHeight="1" s="192">
      <c r="W757" s="231" t="n"/>
      <c r="X757" s="231" t="n"/>
    </row>
    <row r="758" ht="14.25" customHeight="1" s="192">
      <c r="W758" s="33" t="n"/>
      <c r="X758" s="33" t="n"/>
    </row>
    <row r="760" ht="14.25" customHeight="1" s="192">
      <c r="W760" s="231" t="n"/>
      <c r="X760" s="231" t="n"/>
    </row>
    <row r="761" ht="14.25" customHeight="1" s="192">
      <c r="W761" s="235" t="n"/>
      <c r="X761" s="235" t="n"/>
    </row>
    <row r="762" ht="14.25" customHeight="1" s="192">
      <c r="W762" s="228" t="n"/>
      <c r="X762" s="228" t="n"/>
    </row>
    <row r="763" ht="14.25" customHeight="1" s="192">
      <c r="W763" s="235" t="n"/>
      <c r="X763" s="235" t="n"/>
    </row>
    <row r="764" ht="14.25" customHeight="1" s="192">
      <c r="W764" s="235" t="n"/>
      <c r="X764" s="235" t="n"/>
    </row>
    <row r="765" ht="14.25" customHeight="1" s="192">
      <c r="W765" s="235" t="n"/>
      <c r="X765" s="235" t="n"/>
    </row>
    <row r="766" ht="14.25" customHeight="1" s="192">
      <c r="W766" s="239" t="n"/>
      <c r="X766" s="239" t="n"/>
    </row>
    <row r="767" ht="14.25" customHeight="1" s="192">
      <c r="W767" s="239" t="n"/>
      <c r="X767" s="239" t="n"/>
    </row>
    <row r="768" ht="14.25" customHeight="1" s="192">
      <c r="W768" s="239" t="n"/>
      <c r="X768" s="239" t="n"/>
    </row>
    <row r="769" ht="14.25" customHeight="1" s="192">
      <c r="W769" s="235" t="n"/>
      <c r="X769" s="235" t="n"/>
    </row>
    <row r="770" ht="14.25" customHeight="1" s="192">
      <c r="W770" s="235" t="n"/>
      <c r="X770" s="235" t="n"/>
    </row>
    <row r="771" ht="14.25" customHeight="1" s="192">
      <c r="W771" s="235" t="n"/>
      <c r="X771" s="235" t="n"/>
    </row>
    <row r="772" ht="14.25" customHeight="1" s="192">
      <c r="W772" s="239" t="n"/>
      <c r="X772" s="239" t="n"/>
    </row>
    <row r="773" ht="14.25" customHeight="1" s="192">
      <c r="W773" s="239" t="n"/>
      <c r="X773" s="239" t="n"/>
    </row>
    <row r="774" ht="14.25" customHeight="1" s="192">
      <c r="W774" s="235" t="n"/>
      <c r="X774" s="235" t="n"/>
    </row>
    <row r="775" ht="14.25" customHeight="1" s="192">
      <c r="W775" s="235" t="n"/>
      <c r="X775" s="235" t="n"/>
    </row>
    <row r="776" ht="14.25" customHeight="1" s="192">
      <c r="W776" s="239" t="n"/>
      <c r="X776" s="239" t="n"/>
    </row>
    <row r="777" ht="14.25" customHeight="1" s="192">
      <c r="W777" s="235" t="n"/>
      <c r="X777" s="235" t="n"/>
    </row>
    <row r="778" ht="14.25" customHeight="1" s="192">
      <c r="W778" s="239" t="n"/>
      <c r="X778" s="239" t="n"/>
    </row>
    <row r="780" ht="14.25" customHeight="1" s="192">
      <c r="W780" s="235" t="n"/>
      <c r="X780" s="235" t="n"/>
    </row>
    <row r="781" ht="15" customHeight="1" s="192" thickBot="1">
      <c r="W781" s="239" t="n"/>
      <c r="X781" s="239" t="n"/>
    </row>
    <row r="782" ht="15" customHeight="1" s="192" thickBot="1">
      <c r="W782" s="45" t="n"/>
      <c r="X782" s="45" t="n"/>
    </row>
    <row r="783" ht="14.25" customHeight="1" s="192">
      <c r="W783" s="228" t="n"/>
      <c r="X783" s="228" t="n"/>
    </row>
    <row r="784" ht="14.25" customHeight="1" s="192">
      <c r="W784" s="228" t="n"/>
      <c r="X784" s="228" t="n"/>
    </row>
    <row r="785" ht="14.25" customHeight="1" s="192">
      <c r="W785" s="231" t="n"/>
      <c r="X785" s="231" t="n"/>
    </row>
    <row r="786" ht="14.25" customHeight="1" s="192">
      <c r="W786" s="33" t="n"/>
      <c r="X786" s="33" t="n"/>
    </row>
    <row r="787" ht="14.25" customHeight="1" s="192">
      <c r="W787" s="231" t="n"/>
      <c r="X787" s="231" t="n"/>
    </row>
    <row r="788" ht="14.25" customHeight="1" s="192">
      <c r="W788" s="33" t="n"/>
      <c r="X788" s="33" t="n"/>
    </row>
    <row r="790" ht="14.25" customHeight="1" s="192">
      <c r="W790" s="231" t="n"/>
      <c r="X790" s="231" t="n"/>
    </row>
    <row r="791" ht="14.25" customHeight="1" s="192">
      <c r="W791" s="235" t="n"/>
      <c r="X791" s="235" t="n"/>
    </row>
    <row r="792" ht="14.25" customHeight="1" s="192">
      <c r="W792" s="228" t="n"/>
      <c r="X792" s="228" t="n"/>
    </row>
    <row r="793" ht="14.25" customHeight="1" s="192">
      <c r="W793" s="235" t="n"/>
      <c r="X793" s="235" t="n"/>
    </row>
    <row r="794" ht="14.25" customHeight="1" s="192">
      <c r="W794" s="235" t="n"/>
      <c r="X794" s="235" t="n"/>
    </row>
    <row r="795" ht="14.25" customHeight="1" s="192">
      <c r="W795" s="235" t="n"/>
      <c r="X795" s="235" t="n"/>
    </row>
    <row r="796" ht="14.25" customHeight="1" s="192">
      <c r="W796" s="239" t="n"/>
      <c r="X796" s="239" t="n"/>
    </row>
    <row r="797" ht="14.25" customHeight="1" s="192">
      <c r="W797" s="239" t="n"/>
      <c r="X797" s="239" t="n"/>
    </row>
    <row r="798" ht="14.25" customHeight="1" s="192">
      <c r="W798" s="239" t="n"/>
      <c r="X798" s="239" t="n"/>
    </row>
    <row r="799" ht="14.25" customHeight="1" s="192">
      <c r="W799" s="235" t="n"/>
      <c r="X799" s="235" t="n"/>
    </row>
    <row r="800" ht="14.25" customHeight="1" s="192">
      <c r="W800" s="235" t="n"/>
      <c r="X800" s="235" t="n"/>
    </row>
    <row r="801" ht="14.25" customHeight="1" s="192">
      <c r="W801" s="235" t="n"/>
      <c r="X801" s="235" t="n"/>
    </row>
    <row r="802" ht="14.25" customHeight="1" s="192">
      <c r="W802" s="239" t="n"/>
      <c r="X802" s="239" t="n"/>
    </row>
    <row r="803" ht="14.25" customHeight="1" s="192">
      <c r="W803" s="239" t="n"/>
      <c r="X803" s="239" t="n"/>
    </row>
    <row r="804" ht="14.25" customHeight="1" s="192">
      <c r="W804" s="235" t="n"/>
      <c r="X804" s="235" t="n"/>
    </row>
    <row r="805" ht="14.25" customHeight="1" s="192">
      <c r="W805" s="235" t="n"/>
      <c r="X805" s="235" t="n"/>
    </row>
    <row r="806" ht="14.25" customHeight="1" s="192">
      <c r="W806" s="239" t="n"/>
      <c r="X806" s="239" t="n"/>
    </row>
    <row r="807" ht="14.25" customHeight="1" s="192">
      <c r="W807" s="235" t="n"/>
      <c r="X807" s="235" t="n"/>
    </row>
    <row r="808" ht="14.25" customHeight="1" s="192">
      <c r="W808" s="239" t="n"/>
      <c r="X808" s="239" t="n"/>
    </row>
    <row r="810" ht="14.25" customHeight="1" s="192">
      <c r="W810" s="235" t="n"/>
      <c r="X810" s="235" t="n"/>
    </row>
    <row r="811" ht="15" customHeight="1" s="192" thickBot="1">
      <c r="W811" s="239" t="n"/>
      <c r="X811" s="239" t="n"/>
    </row>
    <row r="812" ht="15" customHeight="1" s="192" thickBot="1">
      <c r="W812" s="45" t="n"/>
      <c r="X812" s="45" t="n"/>
    </row>
    <row r="813" ht="14.25" customHeight="1" s="192">
      <c r="W813" s="228" t="n"/>
      <c r="X813" s="228" t="n"/>
    </row>
    <row r="814" ht="14.25" customHeight="1" s="192">
      <c r="W814" s="228" t="n"/>
      <c r="X814" s="228" t="n"/>
    </row>
    <row r="815" ht="14.25" customHeight="1" s="192">
      <c r="W815" s="231" t="n"/>
      <c r="X815" s="231" t="n"/>
    </row>
    <row r="816" ht="14.25" customHeight="1" s="192">
      <c r="W816" s="33" t="n"/>
      <c r="X816" s="33" t="n"/>
    </row>
    <row r="817" ht="14.25" customHeight="1" s="192">
      <c r="W817" s="231" t="n"/>
      <c r="X817" s="231" t="n"/>
    </row>
    <row r="818" ht="14.25" customHeight="1" s="192">
      <c r="W818" s="33" t="n"/>
      <c r="X818" s="33" t="n"/>
    </row>
    <row r="820" ht="14.25" customHeight="1" s="192">
      <c r="W820" s="231" t="n"/>
      <c r="X820" s="231" t="n"/>
    </row>
    <row r="821" ht="14.25" customHeight="1" s="192">
      <c r="W821" s="235" t="n"/>
      <c r="X821" s="235" t="n"/>
    </row>
    <row r="822" ht="14.25" customHeight="1" s="192">
      <c r="W822" s="228" t="n"/>
      <c r="X822" s="228" t="n"/>
    </row>
    <row r="823" ht="14.25" customHeight="1" s="192">
      <c r="W823" s="235" t="n"/>
      <c r="X823" s="235" t="n"/>
    </row>
    <row r="824" ht="14.25" customHeight="1" s="192">
      <c r="W824" s="235" t="n"/>
      <c r="X824" s="235" t="n"/>
    </row>
    <row r="825" ht="14.25" customHeight="1" s="192">
      <c r="W825" s="235" t="n"/>
      <c r="X825" s="235" t="n"/>
    </row>
    <row r="826" ht="14.25" customHeight="1" s="192">
      <c r="W826" s="239" t="n"/>
      <c r="X826" s="239" t="n"/>
    </row>
    <row r="827" ht="14.25" customHeight="1" s="192">
      <c r="W827" s="239" t="n"/>
      <c r="X827" s="239" t="n"/>
    </row>
    <row r="828" ht="14.25" customHeight="1" s="192">
      <c r="W828" s="239" t="n"/>
      <c r="X828" s="239" t="n"/>
    </row>
    <row r="829" ht="14.25" customHeight="1" s="192">
      <c r="W829" s="235" t="n"/>
      <c r="X829" s="235" t="n"/>
    </row>
    <row r="830" ht="14.25" customHeight="1" s="192">
      <c r="W830" s="235" t="n"/>
      <c r="X830" s="235" t="n"/>
    </row>
    <row r="831" ht="14.25" customHeight="1" s="192">
      <c r="W831" s="235" t="n"/>
      <c r="X831" s="235" t="n"/>
    </row>
    <row r="832" ht="14.25" customHeight="1" s="192">
      <c r="W832" s="239" t="n"/>
      <c r="X832" s="239" t="n"/>
    </row>
    <row r="833" ht="14.25" customHeight="1" s="192">
      <c r="W833" s="239" t="n"/>
      <c r="X833" s="239" t="n"/>
    </row>
    <row r="834" ht="14.25" customHeight="1" s="192">
      <c r="W834" s="235" t="n"/>
      <c r="X834" s="235" t="n"/>
    </row>
    <row r="835" ht="14.25" customHeight="1" s="192">
      <c r="W835" s="235" t="n"/>
      <c r="X835" s="235" t="n"/>
    </row>
    <row r="836" ht="14.25" customHeight="1" s="192">
      <c r="W836" s="239" t="n"/>
      <c r="X836" s="239" t="n"/>
    </row>
    <row r="837" ht="14.25" customHeight="1" s="192">
      <c r="W837" s="235" t="n"/>
      <c r="X837" s="235" t="n"/>
    </row>
    <row r="838" ht="14.25" customHeight="1" s="192">
      <c r="W838" s="239" t="n"/>
      <c r="X838" s="239" t="n"/>
    </row>
    <row r="840" ht="14.25" customHeight="1" s="192">
      <c r="W840" s="235" t="n"/>
      <c r="X840" s="235" t="n"/>
    </row>
    <row r="841" ht="15" customHeight="1" s="192" thickBot="1">
      <c r="W841" s="239" t="n"/>
      <c r="X841" s="239" t="n"/>
    </row>
    <row r="842" ht="15" customHeight="1" s="192" thickBot="1">
      <c r="W842" s="45" t="n"/>
      <c r="X842" s="45" t="n"/>
    </row>
    <row r="843" ht="14.25" customHeight="1" s="192">
      <c r="W843" s="228" t="n"/>
      <c r="X843" s="228" t="n"/>
    </row>
    <row r="844" ht="14.25" customHeight="1" s="192">
      <c r="W844" s="228" t="n"/>
      <c r="X844" s="228" t="n"/>
    </row>
    <row r="845" ht="14.25" customHeight="1" s="192">
      <c r="W845" s="231" t="n"/>
      <c r="X845" s="231" t="n"/>
    </row>
    <row r="846" ht="14.25" customHeight="1" s="192">
      <c r="W846" s="33" t="n"/>
      <c r="X846" s="33" t="n"/>
    </row>
    <row r="847" ht="14.25" customHeight="1" s="192">
      <c r="W847" s="231" t="n"/>
      <c r="X847" s="231" t="n"/>
    </row>
    <row r="848" ht="14.25" customHeight="1" s="192">
      <c r="W848" s="33" t="n"/>
      <c r="X848" s="33" t="n"/>
    </row>
    <row r="850" ht="14.25" customHeight="1" s="192">
      <c r="W850" s="231" t="n"/>
      <c r="X850" s="231" t="n"/>
    </row>
    <row r="851" ht="14.25" customHeight="1" s="192">
      <c r="W851" s="235" t="n"/>
      <c r="X851" s="235" t="n"/>
    </row>
    <row r="852" ht="14.25" customHeight="1" s="192">
      <c r="W852" s="228" t="n"/>
      <c r="X852" s="228" t="n"/>
    </row>
    <row r="853" ht="14.25" customHeight="1" s="192">
      <c r="W853" s="235" t="n"/>
      <c r="X853" s="235" t="n"/>
    </row>
    <row r="854" ht="14.25" customHeight="1" s="192">
      <c r="W854" s="235" t="n"/>
      <c r="X854" s="235" t="n"/>
    </row>
    <row r="855" ht="14.25" customHeight="1" s="192">
      <c r="W855" s="235" t="n"/>
      <c r="X855" s="235" t="n"/>
    </row>
    <row r="856" ht="14.25" customHeight="1" s="192">
      <c r="W856" s="239" t="n"/>
      <c r="X856" s="239" t="n"/>
    </row>
    <row r="857" ht="14.25" customHeight="1" s="192">
      <c r="W857" s="239" t="n"/>
      <c r="X857" s="239" t="n"/>
    </row>
    <row r="858" ht="14.25" customHeight="1" s="192">
      <c r="W858" s="239" t="n"/>
      <c r="X858" s="239" t="n"/>
    </row>
    <row r="859" ht="14.25" customHeight="1" s="192">
      <c r="W859" s="235" t="n"/>
      <c r="X859" s="235" t="n"/>
    </row>
    <row r="860" ht="14.25" customHeight="1" s="192">
      <c r="W860" s="235" t="n"/>
      <c r="X860" s="235" t="n"/>
    </row>
    <row r="861" ht="14.25" customHeight="1" s="192">
      <c r="W861" s="235" t="n"/>
      <c r="X861" s="235" t="n"/>
    </row>
    <row r="862" ht="14.25" customHeight="1" s="192">
      <c r="W862" s="239" t="n"/>
      <c r="X862" s="239" t="n"/>
    </row>
    <row r="863" ht="14.25" customHeight="1" s="192">
      <c r="W863" s="239" t="n"/>
      <c r="X863" s="239" t="n"/>
    </row>
    <row r="864" ht="14.25" customHeight="1" s="192">
      <c r="W864" s="235" t="n"/>
      <c r="X864" s="235" t="n"/>
    </row>
    <row r="865" ht="14.25" customHeight="1" s="192">
      <c r="W865" s="235" t="n"/>
      <c r="X865" s="235" t="n"/>
    </row>
    <row r="866" ht="14.25" customHeight="1" s="192">
      <c r="W866" s="239" t="n"/>
      <c r="X866" s="239" t="n"/>
    </row>
    <row r="867" ht="14.25" customHeight="1" s="192">
      <c r="W867" s="235" t="n"/>
      <c r="X867" s="235" t="n"/>
    </row>
    <row r="868" ht="14.25" customHeight="1" s="192">
      <c r="W868" s="239" t="n"/>
      <c r="X868" s="239" t="n"/>
    </row>
    <row r="870" ht="14.25" customHeight="1" s="192">
      <c r="W870" s="235" t="n"/>
      <c r="X870" s="235" t="n"/>
    </row>
    <row r="871" ht="15" customHeight="1" s="192" thickBot="1">
      <c r="W871" s="239" t="n"/>
      <c r="X871" s="239" t="n"/>
    </row>
    <row r="872" ht="15" customHeight="1" s="192" thickBot="1">
      <c r="W872" s="45" t="n"/>
      <c r="X872" s="45" t="n"/>
    </row>
    <row r="873" ht="14.25" customHeight="1" s="192">
      <c r="W873" s="228" t="n"/>
      <c r="X873" s="228" t="n"/>
    </row>
    <row r="874" ht="14.25" customHeight="1" s="192">
      <c r="W874" s="228" t="n"/>
      <c r="X874" s="228" t="n"/>
    </row>
    <row r="875" ht="14.25" customHeight="1" s="192">
      <c r="W875" s="231" t="n"/>
      <c r="X875" s="231" t="n"/>
    </row>
    <row r="876" ht="14.25" customHeight="1" s="192">
      <c r="W876" s="33" t="n"/>
      <c r="X876" s="33" t="n"/>
    </row>
    <row r="877" ht="14.25" customHeight="1" s="192">
      <c r="W877" s="231" t="n"/>
      <c r="X877" s="231" t="n"/>
    </row>
    <row r="878" ht="14.25" customHeight="1" s="192">
      <c r="W878" s="33" t="n"/>
      <c r="X878" s="33" t="n"/>
    </row>
    <row r="880" ht="14.25" customHeight="1" s="192">
      <c r="W880" s="231" t="n"/>
      <c r="X880" s="231" t="n"/>
    </row>
    <row r="881" ht="14.25" customHeight="1" s="192">
      <c r="W881" s="235" t="n"/>
      <c r="X881" s="235" t="n"/>
    </row>
    <row r="882" ht="14.25" customHeight="1" s="192">
      <c r="W882" s="228" t="n"/>
      <c r="X882" s="228" t="n"/>
    </row>
    <row r="883" ht="14.25" customHeight="1" s="192">
      <c r="W883" s="235" t="n"/>
      <c r="X883" s="235" t="n"/>
    </row>
    <row r="884" ht="14.25" customHeight="1" s="192">
      <c r="W884" s="235" t="n"/>
      <c r="X884" s="235" t="n"/>
    </row>
    <row r="885" ht="14.25" customHeight="1" s="192">
      <c r="W885" s="235" t="n"/>
      <c r="X885" s="235" t="n"/>
    </row>
    <row r="886" ht="14.25" customHeight="1" s="192">
      <c r="W886" s="239" t="n"/>
      <c r="X886" s="239" t="n"/>
    </row>
    <row r="887" ht="14.25" customHeight="1" s="192">
      <c r="W887" s="239" t="n"/>
      <c r="X887" s="239" t="n"/>
    </row>
    <row r="888" ht="14.25" customHeight="1" s="192">
      <c r="W888" s="239" t="n"/>
      <c r="X888" s="239" t="n"/>
    </row>
    <row r="889" ht="14.25" customHeight="1" s="192">
      <c r="W889" s="235" t="n"/>
      <c r="X889" s="235" t="n"/>
    </row>
    <row r="890" ht="14.25" customHeight="1" s="192">
      <c r="W890" s="235" t="n"/>
      <c r="X890" s="235" t="n"/>
    </row>
    <row r="891" ht="14.25" customHeight="1" s="192">
      <c r="W891" s="235" t="n"/>
      <c r="X891" s="235" t="n"/>
    </row>
    <row r="892" ht="14.25" customHeight="1" s="192">
      <c r="W892" s="239" t="n"/>
      <c r="X892" s="239" t="n"/>
    </row>
    <row r="893" ht="14.25" customHeight="1" s="192">
      <c r="W893" s="239" t="n"/>
      <c r="X893" s="239" t="n"/>
    </row>
    <row r="894" ht="14.25" customHeight="1" s="192">
      <c r="W894" s="235" t="n"/>
      <c r="X894" s="235" t="n"/>
    </row>
    <row r="895" ht="14.25" customHeight="1" s="192">
      <c r="W895" s="235" t="n"/>
      <c r="X895" s="235" t="n"/>
    </row>
    <row r="896" ht="14.25" customHeight="1" s="192">
      <c r="W896" s="239" t="n"/>
      <c r="X896" s="239" t="n"/>
    </row>
    <row r="897" ht="14.25" customHeight="1" s="192">
      <c r="W897" s="235" t="n"/>
      <c r="X897" s="235" t="n"/>
    </row>
    <row r="898" ht="14.25" customHeight="1" s="192">
      <c r="W898" s="239" t="n"/>
      <c r="X898" s="239" t="n"/>
    </row>
    <row r="900" ht="14.25" customHeight="1" s="192">
      <c r="W900" s="235" t="n"/>
      <c r="X900" s="235" t="n"/>
    </row>
    <row r="901" ht="15" customHeight="1" s="192" thickBot="1">
      <c r="W901" s="239" t="n"/>
      <c r="X901" s="239" t="n"/>
    </row>
    <row r="902" ht="15" customHeight="1" s="192" thickBot="1">
      <c r="W902" s="45" t="n"/>
      <c r="X902" s="45" t="n"/>
    </row>
    <row r="903" ht="14.25" customHeight="1" s="192">
      <c r="W903" s="228" t="n"/>
      <c r="X903" s="228" t="n"/>
    </row>
    <row r="904" ht="14.25" customHeight="1" s="192">
      <c r="W904" s="228" t="n"/>
      <c r="X904" s="228" t="n"/>
    </row>
    <row r="905" ht="14.25" customHeight="1" s="192">
      <c r="W905" s="231" t="n"/>
      <c r="X905" s="231" t="n"/>
    </row>
    <row r="906" ht="14.25" customHeight="1" s="192">
      <c r="W906" s="33" t="n"/>
      <c r="X906" s="33" t="n"/>
    </row>
    <row r="907" ht="14.25" customHeight="1" s="192">
      <c r="W907" s="231" t="n"/>
      <c r="X907" s="231" t="n"/>
    </row>
    <row r="908" ht="14.25" customHeight="1" s="192">
      <c r="W908" s="33" t="n"/>
      <c r="X908" s="33" t="n"/>
    </row>
    <row r="910" ht="14.25" customHeight="1" s="192">
      <c r="W910" s="231" t="n"/>
      <c r="X910" s="231" t="n"/>
    </row>
    <row r="911" ht="14.25" customHeight="1" s="192">
      <c r="W911" s="235" t="n"/>
      <c r="X911" s="235" t="n"/>
    </row>
    <row r="912" ht="14.25" customHeight="1" s="192">
      <c r="W912" s="228" t="n"/>
      <c r="X912" s="228" t="n"/>
    </row>
    <row r="913" ht="14.25" customHeight="1" s="192">
      <c r="W913" s="235" t="n"/>
      <c r="X913" s="235" t="n"/>
    </row>
    <row r="914" ht="14.25" customHeight="1" s="192">
      <c r="W914" s="235" t="n"/>
      <c r="X914" s="235" t="n"/>
    </row>
    <row r="915" ht="14.25" customHeight="1" s="192">
      <c r="W915" s="235" t="n"/>
      <c r="X915" s="235" t="n"/>
    </row>
    <row r="916" ht="14.25" customHeight="1" s="192">
      <c r="W916" s="239" t="n"/>
      <c r="X916" s="239" t="n"/>
    </row>
    <row r="917" ht="14.25" customHeight="1" s="192">
      <c r="W917" s="239" t="n"/>
      <c r="X917" s="239" t="n"/>
    </row>
    <row r="918" ht="14.25" customHeight="1" s="192">
      <c r="W918" s="239" t="n"/>
      <c r="X918" s="239" t="n"/>
    </row>
    <row r="919" ht="14.25" customHeight="1" s="192">
      <c r="W919" s="235" t="n"/>
      <c r="X919" s="235" t="n"/>
    </row>
    <row r="920" ht="14.25" customHeight="1" s="192">
      <c r="W920" s="235" t="n"/>
      <c r="X920" s="235" t="n"/>
    </row>
    <row r="921" ht="14.25" customHeight="1" s="192">
      <c r="W921" s="235" t="n"/>
      <c r="X921" s="235" t="n"/>
    </row>
    <row r="922" ht="14.25" customHeight="1" s="192">
      <c r="W922" s="239" t="n"/>
      <c r="X922" s="239" t="n"/>
    </row>
    <row r="923" ht="14.25" customHeight="1" s="192">
      <c r="W923" s="239" t="n"/>
      <c r="X923" s="239" t="n"/>
    </row>
    <row r="924" ht="14.25" customHeight="1" s="192">
      <c r="W924" s="235" t="n"/>
      <c r="X924" s="235" t="n"/>
    </row>
    <row r="925" ht="14.25" customHeight="1" s="192">
      <c r="W925" s="235" t="n"/>
      <c r="X925" s="235" t="n"/>
    </row>
    <row r="926" ht="14.25" customHeight="1" s="192">
      <c r="W926" s="239" t="n"/>
      <c r="X926" s="239" t="n"/>
    </row>
    <row r="927" ht="14.25" customHeight="1" s="192">
      <c r="W927" s="235" t="n"/>
      <c r="X927" s="235" t="n"/>
    </row>
    <row r="928" ht="14.25" customHeight="1" s="192">
      <c r="W928" s="239" t="n"/>
      <c r="X928" s="239" t="n"/>
    </row>
    <row r="930" ht="14.25" customHeight="1" s="192">
      <c r="W930" s="235" t="n"/>
      <c r="X930" s="235" t="n"/>
    </row>
    <row r="931" ht="15" customHeight="1" s="192" thickBot="1">
      <c r="W931" s="239" t="n"/>
      <c r="X931" s="239" t="n"/>
    </row>
    <row r="932" ht="15" customHeight="1" s="192" thickBot="1">
      <c r="W932" s="45" t="n"/>
      <c r="X932" s="45" t="n"/>
    </row>
    <row r="933" ht="14.25" customHeight="1" s="192">
      <c r="W933" s="228" t="n"/>
      <c r="X933" s="228" t="n"/>
    </row>
    <row r="934" ht="14.25" customHeight="1" s="192">
      <c r="W934" s="228" t="n"/>
      <c r="X934" s="228" t="n"/>
    </row>
    <row r="935" ht="14.25" customHeight="1" s="192">
      <c r="W935" s="231" t="n"/>
      <c r="X935" s="231" t="n"/>
    </row>
    <row r="936" ht="14.25" customHeight="1" s="192">
      <c r="W936" s="33" t="n"/>
      <c r="X936" s="33" t="n"/>
    </row>
    <row r="937" ht="14.25" customHeight="1" s="192">
      <c r="W937" s="231" t="n"/>
      <c r="X937" s="231" t="n"/>
    </row>
    <row r="938" ht="14.25" customHeight="1" s="192">
      <c r="W938" s="33" t="n"/>
      <c r="X938" s="33" t="n"/>
    </row>
    <row r="940" ht="14.25" customHeight="1" s="192">
      <c r="W940" s="231" t="n"/>
      <c r="X940" s="231" t="n"/>
    </row>
    <row r="941" ht="14.25" customHeight="1" s="192">
      <c r="W941" s="235" t="n"/>
      <c r="X941" s="235" t="n"/>
    </row>
    <row r="942" ht="14.25" customHeight="1" s="192">
      <c r="W942" s="228" t="n"/>
      <c r="X942" s="228" t="n"/>
    </row>
    <row r="943" ht="14.25" customHeight="1" s="192">
      <c r="W943" s="235" t="n"/>
      <c r="X943" s="235" t="n"/>
    </row>
    <row r="944" ht="14.25" customHeight="1" s="192">
      <c r="W944" s="235" t="n"/>
      <c r="X944" s="235" t="n"/>
    </row>
    <row r="945" ht="14.25" customHeight="1" s="192">
      <c r="W945" s="235" t="n"/>
      <c r="X945" s="235" t="n"/>
    </row>
    <row r="946" ht="14.25" customHeight="1" s="192">
      <c r="W946" s="239" t="n"/>
      <c r="X946" s="239" t="n"/>
    </row>
    <row r="947" ht="14.25" customHeight="1" s="192">
      <c r="W947" s="239" t="n"/>
      <c r="X947" s="239" t="n"/>
    </row>
    <row r="948" ht="14.25" customHeight="1" s="192">
      <c r="W948" s="239" t="n"/>
      <c r="X948" s="239" t="n"/>
    </row>
    <row r="949" ht="14.25" customHeight="1" s="192">
      <c r="W949" s="235" t="n"/>
      <c r="X949" s="235" t="n"/>
    </row>
    <row r="950" ht="14.25" customHeight="1" s="192">
      <c r="W950" s="235" t="n"/>
      <c r="X950" s="235" t="n"/>
    </row>
    <row r="951" ht="14.25" customHeight="1" s="192">
      <c r="W951" s="235" t="n"/>
      <c r="X951" s="235" t="n"/>
    </row>
    <row r="952" ht="14.25" customHeight="1" s="192">
      <c r="W952" s="239" t="n"/>
      <c r="X952" s="239" t="n"/>
    </row>
    <row r="953" ht="14.25" customHeight="1" s="192">
      <c r="W953" s="239" t="n"/>
      <c r="X953" s="239" t="n"/>
    </row>
    <row r="954" ht="14.25" customHeight="1" s="192">
      <c r="W954" s="235" t="n"/>
      <c r="X954" s="235" t="n"/>
    </row>
    <row r="955" ht="14.25" customHeight="1" s="192">
      <c r="W955" s="235" t="n"/>
      <c r="X955" s="235" t="n"/>
    </row>
    <row r="956" ht="14.25" customHeight="1" s="192">
      <c r="W956" s="239" t="n"/>
      <c r="X956" s="239" t="n"/>
    </row>
    <row r="957" ht="14.25" customHeight="1" s="192">
      <c r="W957" s="235" t="n"/>
      <c r="X957" s="235" t="n"/>
    </row>
    <row r="958" ht="14.25" customHeight="1" s="192">
      <c r="W958" s="239" t="n"/>
      <c r="X958" s="239" t="n"/>
    </row>
    <row r="960" ht="14.25" customHeight="1" s="192">
      <c r="W960" s="235" t="n"/>
      <c r="X960" s="235" t="n"/>
    </row>
    <row r="961" ht="15" customHeight="1" s="192" thickBot="1">
      <c r="W961" s="239" t="n"/>
      <c r="X961" s="239" t="n"/>
    </row>
    <row r="962" ht="15" customHeight="1" s="192" thickBot="1">
      <c r="W962" s="45" t="n"/>
      <c r="X962" s="45" t="n"/>
    </row>
    <row r="963" ht="14.25" customHeight="1" s="192">
      <c r="W963" s="228" t="n"/>
      <c r="X963" s="228" t="n"/>
    </row>
    <row r="964" ht="14.25" customHeight="1" s="192">
      <c r="W964" s="228" t="n"/>
      <c r="X964" s="228" t="n"/>
    </row>
    <row r="965" ht="14.25" customHeight="1" s="192">
      <c r="W965" s="231" t="n"/>
      <c r="X965" s="231" t="n"/>
    </row>
    <row r="966" ht="14.25" customHeight="1" s="192">
      <c r="W966" s="33" t="n"/>
      <c r="X966" s="33" t="n"/>
    </row>
    <row r="967" ht="14.25" customHeight="1" s="192">
      <c r="W967" s="231" t="n"/>
      <c r="X967" s="231" t="n"/>
    </row>
    <row r="968" ht="14.25" customHeight="1" s="192">
      <c r="W968" s="33" t="n"/>
      <c r="X968" s="33" t="n"/>
    </row>
    <row r="970" ht="14.25" customHeight="1" s="192">
      <c r="W970" s="231" t="n"/>
      <c r="X970" s="231" t="n"/>
    </row>
    <row r="971" ht="14.25" customHeight="1" s="192">
      <c r="W971" s="235" t="n"/>
      <c r="X971" s="235" t="n"/>
    </row>
    <row r="972" ht="14.25" customHeight="1" s="192">
      <c r="W972" s="228" t="n"/>
      <c r="X972" s="228" t="n"/>
    </row>
    <row r="973" ht="14.25" customHeight="1" s="192">
      <c r="W973" s="235" t="n"/>
      <c r="X973" s="235" t="n"/>
    </row>
    <row r="974" ht="14.25" customHeight="1" s="192">
      <c r="W974" s="235" t="n"/>
      <c r="X974" s="235" t="n"/>
    </row>
    <row r="975" ht="14.25" customHeight="1" s="192">
      <c r="W975" s="235" t="n"/>
      <c r="X975" s="235" t="n"/>
    </row>
    <row r="976" ht="14.25" customHeight="1" s="192">
      <c r="W976" s="239" t="n"/>
      <c r="X976" s="239" t="n"/>
    </row>
    <row r="977" ht="14.25" customHeight="1" s="192">
      <c r="W977" s="239" t="n"/>
      <c r="X977" s="239" t="n"/>
    </row>
    <row r="978" ht="14.25" customHeight="1" s="192">
      <c r="W978" s="239" t="n"/>
      <c r="X978" s="239" t="n"/>
    </row>
    <row r="979" ht="14.25" customHeight="1" s="192">
      <c r="W979" s="235" t="n"/>
      <c r="X979" s="235" t="n"/>
    </row>
    <row r="980" ht="14.25" customHeight="1" s="192">
      <c r="W980" s="235" t="n"/>
      <c r="X980" s="235" t="n"/>
    </row>
    <row r="981" ht="14.25" customHeight="1" s="192">
      <c r="W981" s="235" t="n"/>
      <c r="X981" s="235" t="n"/>
    </row>
    <row r="982" ht="14.25" customHeight="1" s="192">
      <c r="W982" s="239" t="n"/>
      <c r="X982" s="239" t="n"/>
    </row>
    <row r="983" ht="14.25" customHeight="1" s="192">
      <c r="W983" s="239" t="n"/>
      <c r="X983" s="239" t="n"/>
    </row>
    <row r="984" ht="14.25" customHeight="1" s="192">
      <c r="W984" s="235" t="n"/>
      <c r="X984" s="235" t="n"/>
    </row>
    <row r="985" ht="14.25" customHeight="1" s="192">
      <c r="W985" s="235" t="n"/>
      <c r="X985" s="235" t="n"/>
    </row>
    <row r="986" ht="14.25" customHeight="1" s="192">
      <c r="W986" s="239" t="n"/>
      <c r="X986" s="239" t="n"/>
    </row>
    <row r="987" ht="14.25" customHeight="1" s="192">
      <c r="W987" s="235" t="n"/>
      <c r="X987" s="235" t="n"/>
    </row>
    <row r="988" ht="14.25" customHeight="1" s="192">
      <c r="W988" s="239" t="n"/>
      <c r="X988" s="239" t="n"/>
    </row>
    <row r="990" ht="14.25" customHeight="1" s="192">
      <c r="W990" s="235" t="n"/>
      <c r="X990" s="235" t="n"/>
    </row>
    <row r="991" ht="15" customHeight="1" s="192" thickBot="1">
      <c r="W991" s="239" t="n"/>
      <c r="X991" s="239" t="n"/>
    </row>
    <row r="992" ht="15" customHeight="1" s="192" thickBot="1">
      <c r="W992" s="45" t="n"/>
      <c r="X992" s="45" t="n"/>
    </row>
    <row r="993" ht="14.25" customHeight="1" s="192">
      <c r="W993" s="228" t="n"/>
      <c r="X993" s="228" t="n"/>
    </row>
    <row r="994" ht="14.25" customHeight="1" s="192">
      <c r="W994" s="228" t="n"/>
      <c r="X994" s="228" t="n"/>
    </row>
    <row r="995" ht="14.25" customHeight="1" s="192">
      <c r="W995" s="231" t="n"/>
      <c r="X995" s="231" t="n"/>
    </row>
    <row r="996" ht="14.25" customHeight="1" s="192">
      <c r="W996" s="33" t="n"/>
      <c r="X996" s="33" t="n"/>
    </row>
    <row r="997" ht="14.25" customHeight="1" s="192">
      <c r="W997" s="231" t="n"/>
      <c r="X997" s="231" t="n"/>
    </row>
    <row r="998" ht="14.25" customHeight="1" s="192">
      <c r="W998" s="33" t="n"/>
      <c r="X998" s="33" t="n"/>
    </row>
    <row r="1000" ht="14.25" customHeight="1" s="192">
      <c r="W1000" s="231" t="n"/>
      <c r="X1000" s="231" t="n"/>
    </row>
    <row r="1001" ht="14.25" customHeight="1" s="192">
      <c r="W1001" s="235" t="n"/>
      <c r="X1001" s="235" t="n"/>
    </row>
    <row r="1002" ht="14.25" customHeight="1" s="192">
      <c r="W1002" s="228" t="n"/>
      <c r="X1002" s="228" t="n"/>
    </row>
    <row r="1003" ht="14.25" customHeight="1" s="192">
      <c r="W1003" s="235" t="n"/>
      <c r="X1003" s="235" t="n"/>
    </row>
    <row r="1004" ht="14.25" customHeight="1" s="192">
      <c r="W1004" s="235" t="n"/>
      <c r="X1004" s="235" t="n"/>
    </row>
    <row r="1005" ht="14.25" customHeight="1" s="192">
      <c r="W1005" s="235" t="n"/>
      <c r="X1005" s="235" t="n"/>
    </row>
    <row r="1006" ht="14.25" customHeight="1" s="192">
      <c r="W1006" s="239" t="n"/>
      <c r="X1006" s="239" t="n"/>
    </row>
    <row r="1007" ht="14.25" customHeight="1" s="192">
      <c r="W1007" s="239" t="n"/>
      <c r="X1007" s="239" t="n"/>
    </row>
    <row r="1008" ht="14.25" customHeight="1" s="192">
      <c r="W1008" s="239" t="n"/>
      <c r="X1008" s="239" t="n"/>
    </row>
    <row r="1009" ht="14.25" customHeight="1" s="192">
      <c r="W1009" s="235" t="n"/>
      <c r="X1009" s="235" t="n"/>
    </row>
    <row r="1010" ht="14.25" customHeight="1" s="192">
      <c r="W1010" s="235" t="n"/>
      <c r="X1010" s="235" t="n"/>
    </row>
    <row r="1011" ht="14.25" customHeight="1" s="192">
      <c r="W1011" s="235" t="n"/>
      <c r="X1011" s="235" t="n"/>
    </row>
    <row r="1012" ht="14.25" customHeight="1" s="192">
      <c r="W1012" s="239" t="n"/>
      <c r="X1012" s="239" t="n"/>
    </row>
    <row r="1013" ht="14.25" customHeight="1" s="192">
      <c r="W1013" s="239" t="n"/>
      <c r="X1013" s="239" t="n"/>
    </row>
    <row r="1014" ht="14.25" customHeight="1" s="192">
      <c r="W1014" s="235" t="n"/>
      <c r="X1014" s="235" t="n"/>
    </row>
    <row r="1015" ht="14.25" customHeight="1" s="192">
      <c r="W1015" s="235" t="n"/>
      <c r="X1015" s="235" t="n"/>
    </row>
    <row r="1016" ht="14.25" customHeight="1" s="192">
      <c r="W1016" s="239" t="n"/>
      <c r="X1016" s="239" t="n"/>
    </row>
    <row r="1017" ht="14.25" customHeight="1" s="192">
      <c r="W1017" s="235" t="n"/>
      <c r="X1017" s="235" t="n"/>
    </row>
    <row r="1018" ht="14.25" customHeight="1" s="192">
      <c r="W1018" s="239" t="n"/>
      <c r="X1018" s="239" t="n"/>
    </row>
    <row r="1020" ht="14.25" customHeight="1" s="192">
      <c r="W1020" s="235" t="n"/>
      <c r="X1020" s="235" t="n"/>
    </row>
    <row r="1021" ht="15" customHeight="1" s="192" thickBot="1">
      <c r="W1021" s="239" t="n"/>
      <c r="X1021" s="239" t="n"/>
    </row>
    <row r="1022" ht="15" customHeight="1" s="192" thickBot="1">
      <c r="W1022" s="45" t="n"/>
      <c r="X1022" s="45" t="n"/>
    </row>
    <row r="1023" ht="14.25" customHeight="1" s="192">
      <c r="W1023" s="228" t="n"/>
      <c r="X1023" s="228" t="n"/>
    </row>
    <row r="1024" ht="14.25" customHeight="1" s="192">
      <c r="W1024" s="228" t="n"/>
      <c r="X1024" s="228" t="n"/>
    </row>
    <row r="1025" ht="14.25" customHeight="1" s="192">
      <c r="W1025" s="231" t="n"/>
      <c r="X1025" s="231" t="n"/>
    </row>
    <row r="1026" ht="14.25" customHeight="1" s="192">
      <c r="W1026" s="33" t="n"/>
      <c r="X1026" s="33" t="n"/>
    </row>
    <row r="1027" ht="14.25" customHeight="1" s="192">
      <c r="W1027" s="231" t="n"/>
      <c r="X1027" s="231" t="n"/>
    </row>
    <row r="1028" ht="14.25" customHeight="1" s="192">
      <c r="W1028" s="33" t="n"/>
      <c r="X1028" s="33" t="n"/>
    </row>
    <row r="1030" ht="14.25" customHeight="1" s="192">
      <c r="W1030" s="231" t="n"/>
      <c r="X1030" s="231" t="n"/>
    </row>
    <row r="1031" ht="14.25" customHeight="1" s="192">
      <c r="W1031" s="235" t="n"/>
      <c r="X1031" s="235" t="n"/>
    </row>
    <row r="1032" ht="14.25" customHeight="1" s="192">
      <c r="W1032" s="228" t="n"/>
      <c r="X1032" s="228" t="n"/>
    </row>
    <row r="1033" ht="14.25" customHeight="1" s="192">
      <c r="W1033" s="235" t="n"/>
      <c r="X1033" s="235" t="n"/>
    </row>
    <row r="1034" ht="14.25" customHeight="1" s="192">
      <c r="W1034" s="235" t="n"/>
      <c r="X1034" s="235" t="n"/>
    </row>
    <row r="1035" ht="14.25" customHeight="1" s="192">
      <c r="W1035" s="235" t="n"/>
      <c r="X1035" s="235" t="n"/>
    </row>
    <row r="1036" ht="14.25" customHeight="1" s="192">
      <c r="W1036" s="239" t="n"/>
      <c r="X1036" s="239" t="n"/>
    </row>
    <row r="1037" ht="14.25" customHeight="1" s="192">
      <c r="W1037" s="239" t="n"/>
      <c r="X1037" s="239" t="n"/>
    </row>
    <row r="1038" ht="14.25" customHeight="1" s="192">
      <c r="W1038" s="239" t="n"/>
      <c r="X1038" s="239" t="n"/>
    </row>
    <row r="1039" ht="14.25" customHeight="1" s="192">
      <c r="W1039" s="235" t="n"/>
      <c r="X1039" s="235" t="n"/>
    </row>
    <row r="1040" ht="14.25" customHeight="1" s="192">
      <c r="W1040" s="235" t="n"/>
      <c r="X1040" s="235" t="n"/>
    </row>
    <row r="1041" ht="14.25" customHeight="1" s="192">
      <c r="W1041" s="235" t="n"/>
      <c r="X1041" s="235" t="n"/>
    </row>
    <row r="1042" ht="14.25" customHeight="1" s="192">
      <c r="W1042" s="239" t="n"/>
      <c r="X1042" s="239" t="n"/>
    </row>
    <row r="1043" ht="14.25" customHeight="1" s="192">
      <c r="W1043" s="239" t="n"/>
      <c r="X1043" s="239" t="n"/>
    </row>
    <row r="1044" ht="14.25" customHeight="1" s="192">
      <c r="W1044" s="235" t="n"/>
      <c r="X1044" s="235" t="n"/>
    </row>
    <row r="1045" ht="14.25" customHeight="1" s="192">
      <c r="W1045" s="235" t="n"/>
      <c r="X1045" s="235" t="n"/>
    </row>
    <row r="1046" ht="14.25" customHeight="1" s="192">
      <c r="W1046" s="239" t="n"/>
      <c r="X1046" s="239" t="n"/>
    </row>
    <row r="1047" ht="14.25" customHeight="1" s="192">
      <c r="W1047" s="235" t="n"/>
      <c r="X1047" s="235" t="n"/>
    </row>
    <row r="1048" ht="14.25" customHeight="1" s="192">
      <c r="W1048" s="239" t="n"/>
      <c r="X1048" s="239" t="n"/>
    </row>
    <row r="1050" ht="14.25" customHeight="1" s="192">
      <c r="W1050" s="235" t="n"/>
      <c r="X1050" s="235" t="n"/>
    </row>
    <row r="1051" ht="15" customHeight="1" s="192" thickBot="1">
      <c r="W1051" s="239" t="n"/>
      <c r="X1051" s="239" t="n"/>
    </row>
    <row r="1052" ht="15" customHeight="1" s="192" thickBot="1">
      <c r="W1052" s="45" t="n"/>
      <c r="X1052" s="45" t="n"/>
    </row>
    <row r="1053" ht="14.25" customHeight="1" s="192">
      <c r="W1053" s="228" t="n"/>
      <c r="X1053" s="228" t="n"/>
    </row>
    <row r="1054" ht="14.25" customHeight="1" s="192">
      <c r="W1054" s="228" t="n"/>
      <c r="X1054" s="228" t="n"/>
    </row>
    <row r="1055" ht="14.25" customHeight="1" s="192">
      <c r="W1055" s="231" t="n"/>
      <c r="X1055" s="231" t="n"/>
    </row>
    <row r="1056" ht="14.25" customHeight="1" s="192">
      <c r="W1056" s="33" t="n"/>
      <c r="X1056" s="33" t="n"/>
    </row>
    <row r="1057" ht="14.25" customHeight="1" s="192">
      <c r="W1057" s="231" t="n"/>
      <c r="X1057" s="231" t="n"/>
    </row>
    <row r="1058" ht="14.25" customHeight="1" s="192">
      <c r="W1058" s="33" t="n"/>
      <c r="X1058" s="33" t="n"/>
    </row>
    <row r="1060" ht="14.25" customHeight="1" s="192">
      <c r="W1060" s="231" t="n"/>
      <c r="X1060" s="231" t="n"/>
    </row>
    <row r="1061" ht="14.25" customHeight="1" s="192">
      <c r="W1061" s="235" t="n"/>
      <c r="X1061" s="235" t="n"/>
    </row>
    <row r="1062" ht="14.25" customHeight="1" s="192">
      <c r="W1062" s="228" t="n"/>
      <c r="X1062" s="228" t="n"/>
    </row>
    <row r="1063" ht="14.25" customHeight="1" s="192">
      <c r="W1063" s="235" t="n"/>
      <c r="X1063" s="235" t="n"/>
    </row>
    <row r="1064" ht="14.25" customHeight="1" s="192">
      <c r="W1064" s="235" t="n"/>
      <c r="X1064" s="235" t="n"/>
    </row>
    <row r="1065" ht="14.25" customHeight="1" s="192">
      <c r="W1065" s="235" t="n"/>
      <c r="X1065" s="235" t="n"/>
    </row>
    <row r="1066" ht="14.25" customHeight="1" s="192">
      <c r="W1066" s="239" t="n"/>
      <c r="X1066" s="239" t="n"/>
    </row>
    <row r="1067" ht="14.25" customHeight="1" s="192">
      <c r="W1067" s="239" t="n"/>
      <c r="X1067" s="239" t="n"/>
    </row>
    <row r="1068" ht="14.25" customHeight="1" s="192">
      <c r="W1068" s="239" t="n"/>
      <c r="X1068" s="239" t="n"/>
    </row>
    <row r="1069" ht="14.25" customHeight="1" s="192">
      <c r="W1069" s="235" t="n"/>
      <c r="X1069" s="235" t="n"/>
    </row>
    <row r="1070" ht="14.25" customHeight="1" s="192">
      <c r="W1070" s="235" t="n"/>
      <c r="X1070" s="235" t="n"/>
    </row>
    <row r="1071" ht="14.25" customHeight="1" s="192">
      <c r="W1071" s="235" t="n"/>
      <c r="X1071" s="235" t="n"/>
    </row>
    <row r="1072" ht="14.25" customHeight="1" s="192">
      <c r="W1072" s="239" t="n"/>
      <c r="X1072" s="239" t="n"/>
    </row>
    <row r="1073" ht="14.25" customHeight="1" s="192">
      <c r="W1073" s="239" t="n"/>
      <c r="X1073" s="239" t="n"/>
    </row>
    <row r="1074" ht="14.25" customHeight="1" s="192">
      <c r="W1074" s="235" t="n"/>
      <c r="X1074" s="235" t="n"/>
    </row>
    <row r="1075" ht="14.25" customHeight="1" s="192">
      <c r="W1075" s="235" t="n"/>
      <c r="X1075" s="235" t="n"/>
    </row>
    <row r="1076" ht="14.25" customHeight="1" s="192">
      <c r="W1076" s="239" t="n"/>
      <c r="X1076" s="239" t="n"/>
    </row>
    <row r="1077" ht="14.25" customHeight="1" s="192">
      <c r="W1077" s="235" t="n"/>
      <c r="X1077" s="235" t="n"/>
    </row>
    <row r="1078" ht="14.25" customHeight="1" s="192">
      <c r="W1078" s="239" t="n"/>
      <c r="X1078" s="239" t="n"/>
    </row>
    <row r="1080" ht="14.25" customHeight="1" s="192">
      <c r="W1080" s="235" t="n"/>
      <c r="X1080" s="235" t="n"/>
    </row>
    <row r="1081" ht="15" customHeight="1" s="192" thickBot="1">
      <c r="W1081" s="239" t="n"/>
      <c r="X1081" s="239" t="n"/>
    </row>
    <row r="1082" ht="15" customHeight="1" s="192" thickBot="1">
      <c r="W1082" s="45" t="n"/>
      <c r="X1082" s="45" t="n"/>
    </row>
    <row r="1083" ht="14.25" customHeight="1" s="192">
      <c r="W1083" s="228" t="n"/>
      <c r="X1083" s="228" t="n"/>
    </row>
    <row r="1084" ht="14.25" customHeight="1" s="192">
      <c r="W1084" s="228" t="n"/>
      <c r="X1084" s="228" t="n"/>
    </row>
    <row r="1085" ht="14.25" customHeight="1" s="192">
      <c r="W1085" s="231" t="n"/>
      <c r="X1085" s="231" t="n"/>
    </row>
    <row r="1086" ht="14.25" customHeight="1" s="192">
      <c r="W1086" s="33" t="n"/>
      <c r="X1086" s="33" t="n"/>
    </row>
    <row r="1087" ht="14.25" customHeight="1" s="192">
      <c r="W1087" s="231" t="n"/>
      <c r="X1087" s="231" t="n"/>
    </row>
    <row r="1088" ht="14.25" customHeight="1" s="192">
      <c r="W1088" s="33" t="n"/>
      <c r="X1088" s="33" t="n"/>
    </row>
    <row r="1090" ht="14.25" customHeight="1" s="192">
      <c r="W1090" s="231" t="n"/>
      <c r="X1090" s="231" t="n"/>
    </row>
    <row r="1091" ht="14.25" customHeight="1" s="192">
      <c r="W1091" s="235" t="n"/>
      <c r="X1091" s="235" t="n"/>
    </row>
    <row r="1092" ht="14.25" customHeight="1" s="192">
      <c r="W1092" s="228" t="n"/>
      <c r="X1092" s="228" t="n"/>
    </row>
    <row r="1093" ht="14.25" customHeight="1" s="192">
      <c r="W1093" s="235" t="n"/>
      <c r="X1093" s="235" t="n"/>
    </row>
    <row r="1094" ht="14.25" customHeight="1" s="192">
      <c r="W1094" s="235" t="n"/>
      <c r="X1094" s="235" t="n"/>
    </row>
    <row r="1095" ht="14.25" customHeight="1" s="192">
      <c r="W1095" s="235" t="n"/>
      <c r="X1095" s="235" t="n"/>
    </row>
    <row r="1096" ht="14.25" customHeight="1" s="192">
      <c r="W1096" s="239" t="n"/>
      <c r="X1096" s="239" t="n"/>
    </row>
    <row r="1097" ht="14.25" customHeight="1" s="192">
      <c r="W1097" s="239" t="n"/>
      <c r="X1097" s="239" t="n"/>
    </row>
    <row r="1098" ht="14.25" customHeight="1" s="192">
      <c r="W1098" s="239" t="n"/>
      <c r="X1098" s="239" t="n"/>
    </row>
    <row r="1099" ht="14.25" customHeight="1" s="192">
      <c r="W1099" s="235" t="n"/>
      <c r="X1099" s="235" t="n"/>
    </row>
    <row r="1100" ht="14.25" customHeight="1" s="192">
      <c r="W1100" s="235" t="n"/>
      <c r="X1100" s="235" t="n"/>
    </row>
    <row r="1101" ht="14.25" customHeight="1" s="192">
      <c r="W1101" s="235" t="n"/>
      <c r="X1101" s="235" t="n"/>
    </row>
    <row r="1102" ht="14.25" customHeight="1" s="192">
      <c r="W1102" s="239" t="n"/>
      <c r="X1102" s="239" t="n"/>
    </row>
    <row r="1103" ht="14.25" customHeight="1" s="192">
      <c r="W1103" s="239" t="n"/>
      <c r="X1103" s="239" t="n"/>
    </row>
    <row r="1104" ht="14.25" customHeight="1" s="192">
      <c r="W1104" s="235" t="n"/>
      <c r="X1104" s="235" t="n"/>
    </row>
    <row r="1105" ht="14.25" customHeight="1" s="192">
      <c r="W1105" s="235" t="n"/>
      <c r="X1105" s="235" t="n"/>
    </row>
    <row r="1106" ht="14.25" customHeight="1" s="192">
      <c r="W1106" s="239" t="n"/>
      <c r="X1106" s="239" t="n"/>
    </row>
    <row r="1107" ht="14.25" customHeight="1" s="192">
      <c r="W1107" s="235" t="n"/>
      <c r="X1107" s="235" t="n"/>
    </row>
    <row r="1108" ht="14.25" customHeight="1" s="192">
      <c r="W1108" s="239" t="n"/>
      <c r="X1108" s="239" t="n"/>
    </row>
    <row r="1110" ht="14.25" customHeight="1" s="192">
      <c r="W1110" s="235" t="n"/>
      <c r="X1110" s="235" t="n"/>
    </row>
    <row r="1111" ht="15" customHeight="1" s="192" thickBot="1">
      <c r="W1111" s="239" t="n"/>
      <c r="X1111" s="239" t="n"/>
    </row>
    <row r="1112" ht="15" customHeight="1" s="192" thickBot="1">
      <c r="W1112" s="45" t="n"/>
      <c r="X1112" s="45" t="n"/>
    </row>
    <row r="1113" ht="14.25" customHeight="1" s="192">
      <c r="W1113" s="228" t="n"/>
      <c r="X1113" s="228" t="n"/>
    </row>
    <row r="1114" ht="14.25" customHeight="1" s="192">
      <c r="W1114" s="228" t="n"/>
      <c r="X1114" s="228" t="n"/>
    </row>
    <row r="1115" ht="14.25" customHeight="1" s="192">
      <c r="W1115" s="231" t="n"/>
      <c r="X1115" s="231" t="n"/>
    </row>
    <row r="1116" ht="14.25" customHeight="1" s="192">
      <c r="W1116" s="33" t="n"/>
      <c r="X1116" s="33" t="n"/>
    </row>
    <row r="1117" ht="14.25" customHeight="1" s="192">
      <c r="W1117" s="231" t="n"/>
      <c r="X1117" s="231" t="n"/>
    </row>
    <row r="1118" ht="14.25" customHeight="1" s="192">
      <c r="W1118" s="33" t="n"/>
      <c r="X1118" s="33" t="n"/>
    </row>
    <row r="1120" ht="14.25" customHeight="1" s="192">
      <c r="W1120" s="231" t="n"/>
      <c r="X1120" s="231" t="n"/>
    </row>
    <row r="1121" ht="14.25" customHeight="1" s="192">
      <c r="W1121" s="235" t="n"/>
      <c r="X1121" s="235" t="n"/>
    </row>
    <row r="1122" ht="14.25" customHeight="1" s="192">
      <c r="W1122" s="228" t="n"/>
      <c r="X1122" s="228" t="n"/>
    </row>
    <row r="1123" ht="14.25" customHeight="1" s="192">
      <c r="W1123" s="235" t="n"/>
      <c r="X1123" s="235" t="n"/>
    </row>
    <row r="1124" ht="14.25" customHeight="1" s="192">
      <c r="W1124" s="235" t="n"/>
      <c r="X1124" s="235" t="n"/>
    </row>
    <row r="1125" ht="14.25" customHeight="1" s="192">
      <c r="W1125" s="235" t="n"/>
      <c r="X1125" s="235" t="n"/>
    </row>
    <row r="1126" ht="14.25" customHeight="1" s="192">
      <c r="W1126" s="239" t="n"/>
      <c r="X1126" s="239" t="n"/>
    </row>
    <row r="1127" ht="14.25" customHeight="1" s="192">
      <c r="W1127" s="239" t="n"/>
      <c r="X1127" s="239" t="n"/>
    </row>
    <row r="1128" ht="14.25" customHeight="1" s="192">
      <c r="W1128" s="239" t="n"/>
      <c r="X1128" s="239" t="n"/>
    </row>
    <row r="1129" ht="14.25" customHeight="1" s="192">
      <c r="W1129" s="235" t="n"/>
      <c r="X1129" s="235" t="n"/>
    </row>
    <row r="1130" ht="14.25" customHeight="1" s="192">
      <c r="W1130" s="235" t="n"/>
      <c r="X1130" s="235" t="n"/>
    </row>
    <row r="1131" ht="14.25" customHeight="1" s="192">
      <c r="W1131" s="235" t="n"/>
      <c r="X1131" s="235" t="n"/>
    </row>
    <row r="1132" ht="14.25" customHeight="1" s="192">
      <c r="W1132" s="239" t="n"/>
      <c r="X1132" s="239" t="n"/>
    </row>
    <row r="1133" ht="14.25" customHeight="1" s="192">
      <c r="W1133" s="239" t="n"/>
      <c r="X1133" s="239" t="n"/>
    </row>
    <row r="1134" ht="14.25" customHeight="1" s="192">
      <c r="W1134" s="235" t="n"/>
      <c r="X1134" s="235" t="n"/>
    </row>
    <row r="1135" ht="14.25" customHeight="1" s="192">
      <c r="W1135" s="235" t="n"/>
      <c r="X1135" s="235" t="n"/>
    </row>
    <row r="1136" ht="14.25" customHeight="1" s="192">
      <c r="W1136" s="239" t="n"/>
      <c r="X1136" s="239" t="n"/>
    </row>
    <row r="1137" ht="14.25" customHeight="1" s="192">
      <c r="W1137" s="235" t="n"/>
      <c r="X1137" s="235" t="n"/>
    </row>
    <row r="1138" ht="14.25" customHeight="1" s="192">
      <c r="W1138" s="239" t="n"/>
      <c r="X1138" s="239" t="n"/>
    </row>
    <row r="1140" ht="14.25" customHeight="1" s="192">
      <c r="W1140" s="235" t="n"/>
      <c r="X1140" s="235" t="n"/>
    </row>
    <row r="1141" ht="15" customHeight="1" s="192" thickBot="1">
      <c r="W1141" s="239" t="n"/>
      <c r="X1141" s="239" t="n"/>
    </row>
    <row r="1142" ht="15" customHeight="1" s="192" thickBot="1">
      <c r="W1142" s="45" t="n"/>
      <c r="X1142" s="45" t="n"/>
    </row>
    <row r="1143" ht="14.25" customHeight="1" s="192">
      <c r="W1143" s="228" t="n"/>
      <c r="X1143" s="228" t="n"/>
    </row>
    <row r="1144" ht="14.25" customHeight="1" s="192">
      <c r="W1144" s="228" t="n"/>
      <c r="X1144" s="228" t="n"/>
    </row>
    <row r="1145" ht="14.25" customHeight="1" s="192">
      <c r="W1145" s="231" t="n"/>
      <c r="X1145" s="231" t="n"/>
    </row>
    <row r="1146" ht="14.25" customHeight="1" s="192">
      <c r="W1146" s="33" t="n"/>
      <c r="X1146" s="33" t="n"/>
    </row>
    <row r="1147" ht="14.25" customHeight="1" s="192">
      <c r="W1147" s="231" t="n"/>
      <c r="X1147" s="231" t="n"/>
    </row>
    <row r="1148" ht="14.25" customHeight="1" s="192">
      <c r="W1148" s="33" t="n"/>
      <c r="X1148" s="33" t="n"/>
    </row>
    <row r="1150" ht="14.25" customHeight="1" s="192">
      <c r="W1150" s="231" t="n"/>
      <c r="X1150" s="231" t="n"/>
    </row>
    <row r="1151" ht="14.25" customHeight="1" s="192">
      <c r="W1151" s="235" t="n"/>
      <c r="X1151" s="235" t="n"/>
    </row>
    <row r="1152" ht="14.25" customHeight="1" s="192">
      <c r="W1152" s="228" t="n"/>
      <c r="X1152" s="228" t="n"/>
    </row>
    <row r="1153" ht="14.25" customHeight="1" s="192">
      <c r="W1153" s="235" t="n"/>
      <c r="X1153" s="235" t="n"/>
    </row>
    <row r="1154" ht="14.25" customHeight="1" s="192">
      <c r="W1154" s="235" t="n"/>
      <c r="X1154" s="235" t="n"/>
    </row>
    <row r="1155" ht="14.25" customHeight="1" s="192">
      <c r="W1155" s="235" t="n"/>
      <c r="X1155" s="235" t="n"/>
    </row>
    <row r="1156" ht="14.25" customHeight="1" s="192">
      <c r="W1156" s="239" t="n"/>
      <c r="X1156" s="239" t="n"/>
    </row>
    <row r="1157" ht="14.25" customHeight="1" s="192">
      <c r="W1157" s="239" t="n"/>
      <c r="X1157" s="239" t="n"/>
    </row>
    <row r="1158" ht="14.25" customHeight="1" s="192">
      <c r="W1158" s="239" t="n"/>
      <c r="X1158" s="239" t="n"/>
    </row>
    <row r="1159" ht="14.25" customHeight="1" s="192">
      <c r="W1159" s="235" t="n"/>
      <c r="X1159" s="235" t="n"/>
    </row>
    <row r="1160" ht="14.25" customHeight="1" s="192">
      <c r="W1160" s="235" t="n"/>
      <c r="X1160" s="235" t="n"/>
    </row>
    <row r="1161" ht="14.25" customHeight="1" s="192">
      <c r="W1161" s="235" t="n"/>
      <c r="X1161" s="235" t="n"/>
    </row>
    <row r="1162" ht="14.25" customHeight="1" s="192">
      <c r="W1162" s="239" t="n"/>
      <c r="X1162" s="239" t="n"/>
    </row>
    <row r="1163" ht="14.25" customHeight="1" s="192">
      <c r="W1163" s="239" t="n"/>
      <c r="X1163" s="239" t="n"/>
    </row>
    <row r="1164" ht="14.25" customHeight="1" s="192">
      <c r="W1164" s="235" t="n"/>
      <c r="X1164" s="235" t="n"/>
    </row>
    <row r="1165" ht="14.25" customHeight="1" s="192">
      <c r="W1165" s="235" t="n"/>
      <c r="X1165" s="235" t="n"/>
    </row>
    <row r="1166" ht="14.25" customHeight="1" s="192">
      <c r="W1166" s="239" t="n"/>
      <c r="X1166" s="239" t="n"/>
    </row>
    <row r="1167" ht="14.25" customHeight="1" s="192">
      <c r="W1167" s="235" t="n"/>
      <c r="X1167" s="235" t="n"/>
    </row>
    <row r="1168" ht="14.25" customHeight="1" s="192">
      <c r="W1168" s="239" t="n"/>
      <c r="X1168" s="239" t="n"/>
    </row>
    <row r="1170" ht="14.25" customHeight="1" s="192">
      <c r="W1170" s="235" t="n"/>
      <c r="X1170" s="235" t="n"/>
    </row>
    <row r="1171" ht="15" customHeight="1" s="192" thickBot="1">
      <c r="W1171" s="239" t="n"/>
      <c r="X1171" s="239" t="n"/>
    </row>
    <row r="1172" ht="15" customHeight="1" s="192" thickBot="1">
      <c r="W1172" s="45" t="n"/>
      <c r="X1172" s="45" t="n"/>
    </row>
    <row r="1173" ht="14.25" customHeight="1" s="192">
      <c r="W1173" s="228" t="n"/>
      <c r="X1173" s="228" t="n"/>
    </row>
    <row r="1174" ht="14.25" customHeight="1" s="192">
      <c r="W1174" s="228" t="n"/>
      <c r="X1174" s="228" t="n"/>
    </row>
    <row r="1175" ht="14.25" customHeight="1" s="192">
      <c r="W1175" s="231" t="n"/>
      <c r="X1175" s="231" t="n"/>
    </row>
    <row r="1176" ht="14.25" customHeight="1" s="192">
      <c r="W1176" s="33" t="n"/>
      <c r="X1176" s="33" t="n"/>
    </row>
    <row r="1177" ht="14.25" customHeight="1" s="192">
      <c r="W1177" s="231" t="n"/>
      <c r="X1177" s="231" t="n"/>
    </row>
    <row r="1178" ht="14.25" customHeight="1" s="192">
      <c r="W1178" s="33" t="n"/>
      <c r="X1178" s="33" t="n"/>
    </row>
    <row r="1180" ht="14.25" customHeight="1" s="192">
      <c r="W1180" s="231" t="n"/>
      <c r="X1180" s="231" t="n"/>
    </row>
    <row r="1181" ht="14.25" customHeight="1" s="192">
      <c r="W1181" s="235" t="n"/>
      <c r="X1181" s="235" t="n"/>
    </row>
    <row r="1182" ht="14.25" customHeight="1" s="192">
      <c r="W1182" s="228" t="n"/>
      <c r="X1182" s="228" t="n"/>
    </row>
    <row r="1183" ht="14.25" customHeight="1" s="192">
      <c r="W1183" s="235" t="n"/>
      <c r="X1183" s="235" t="n"/>
    </row>
    <row r="1184" ht="14.25" customHeight="1" s="192">
      <c r="W1184" s="235" t="n"/>
      <c r="X1184" s="235" t="n"/>
    </row>
    <row r="1185" ht="14.25" customHeight="1" s="192">
      <c r="W1185" s="235" t="n"/>
      <c r="X1185" s="235" t="n"/>
    </row>
    <row r="1186" ht="14.25" customHeight="1" s="192">
      <c r="W1186" s="239" t="n"/>
      <c r="X1186" s="239" t="n"/>
    </row>
    <row r="1187" ht="14.25" customHeight="1" s="192">
      <c r="W1187" s="239" t="n"/>
      <c r="X1187" s="239" t="n"/>
    </row>
    <row r="1188" ht="14.25" customHeight="1" s="192">
      <c r="W1188" s="239" t="n"/>
      <c r="X1188" s="239" t="n"/>
    </row>
    <row r="1189" ht="14.25" customHeight="1" s="192">
      <c r="W1189" s="235" t="n"/>
      <c r="X1189" s="235" t="n"/>
    </row>
    <row r="1190" ht="14.25" customHeight="1" s="192">
      <c r="W1190" s="235" t="n"/>
      <c r="X1190" s="235" t="n"/>
    </row>
    <row r="1191" ht="14.25" customHeight="1" s="192">
      <c r="W1191" s="235" t="n"/>
      <c r="X1191" s="235" t="n"/>
    </row>
    <row r="1192" ht="14.25" customHeight="1" s="192">
      <c r="W1192" s="239" t="n"/>
      <c r="X1192" s="239" t="n"/>
    </row>
    <row r="1193" ht="14.25" customHeight="1" s="192">
      <c r="W1193" s="239" t="n"/>
      <c r="X1193" s="239" t="n"/>
    </row>
    <row r="1194" ht="14.25" customHeight="1" s="192">
      <c r="W1194" s="235" t="n"/>
      <c r="X1194" s="235" t="n"/>
    </row>
    <row r="1195" ht="14.25" customHeight="1" s="192">
      <c r="W1195" s="235" t="n"/>
      <c r="X1195" s="235" t="n"/>
    </row>
    <row r="1196" ht="14.25" customHeight="1" s="192">
      <c r="W1196" s="239" t="n"/>
      <c r="X1196" s="239" t="n"/>
    </row>
    <row r="1197" ht="14.25" customHeight="1" s="192">
      <c r="W1197" s="235" t="n"/>
      <c r="X1197" s="235" t="n"/>
    </row>
    <row r="1198" ht="14.25" customHeight="1" s="192">
      <c r="W1198" s="239" t="n"/>
      <c r="X1198" s="239" t="n"/>
    </row>
    <row r="1200" ht="14.25" customHeight="1" s="192">
      <c r="W1200" s="235" t="n"/>
      <c r="X1200" s="235" t="n"/>
    </row>
    <row r="1201" ht="15" customHeight="1" s="192" thickBot="1">
      <c r="W1201" s="239" t="n"/>
      <c r="X1201" s="239" t="n"/>
    </row>
    <row r="1202" ht="15" customHeight="1" s="192" thickBot="1">
      <c r="W1202" s="45" t="n"/>
      <c r="X1202" s="45" t="n"/>
    </row>
    <row r="1203" ht="14.25" customHeight="1" s="192">
      <c r="W1203" s="228" t="n"/>
      <c r="X1203" s="228" t="n"/>
    </row>
    <row r="1204" ht="14.25" customHeight="1" s="192">
      <c r="W1204" s="228" t="n"/>
      <c r="X1204" s="228" t="n"/>
    </row>
    <row r="1205" ht="14.25" customHeight="1" s="192">
      <c r="W1205" s="231" t="n"/>
      <c r="X1205" s="231" t="n"/>
    </row>
    <row r="1206" ht="14.25" customHeight="1" s="192">
      <c r="W1206" s="33" t="n"/>
      <c r="X1206" s="33" t="n"/>
    </row>
    <row r="1207" ht="14.25" customHeight="1" s="192">
      <c r="W1207" s="231" t="n"/>
      <c r="X1207" s="231" t="n"/>
    </row>
    <row r="1208" ht="14.25" customHeight="1" s="192">
      <c r="W1208" s="33" t="n"/>
      <c r="X1208" s="33" t="n"/>
    </row>
    <row r="1210" ht="14.25" customHeight="1" s="192">
      <c r="W1210" s="231" t="n"/>
      <c r="X1210" s="231" t="n"/>
    </row>
    <row r="1211" ht="14.25" customHeight="1" s="192">
      <c r="W1211" s="235" t="n"/>
      <c r="X1211" s="235" t="n"/>
    </row>
    <row r="1212" ht="14.25" customHeight="1" s="192">
      <c r="W1212" s="228" t="n"/>
      <c r="X1212" s="228" t="n"/>
    </row>
    <row r="1213" ht="14.25" customHeight="1" s="192">
      <c r="W1213" s="235" t="n"/>
      <c r="X1213" s="235" t="n"/>
    </row>
    <row r="1214" ht="14.25" customHeight="1" s="192">
      <c r="W1214" s="235" t="n"/>
      <c r="X1214" s="235" t="n"/>
    </row>
    <row r="1215" ht="14.25" customHeight="1" s="192">
      <c r="W1215" s="235" t="n"/>
      <c r="X1215" s="235" t="n"/>
    </row>
    <row r="1216" ht="14.25" customHeight="1" s="192">
      <c r="W1216" s="239" t="n"/>
      <c r="X1216" s="239" t="n"/>
    </row>
    <row r="1217" ht="14.25" customHeight="1" s="192">
      <c r="W1217" s="239" t="n"/>
      <c r="X1217" s="239" t="n"/>
    </row>
    <row r="1218" ht="14.25" customHeight="1" s="192">
      <c r="W1218" s="239" t="n"/>
      <c r="X1218" s="239" t="n"/>
    </row>
    <row r="1219" ht="14.25" customHeight="1" s="192">
      <c r="W1219" s="235" t="n"/>
      <c r="X1219" s="235" t="n"/>
    </row>
    <row r="1220" ht="14.25" customHeight="1" s="192">
      <c r="W1220" s="235" t="n"/>
      <c r="X1220" s="235" t="n"/>
    </row>
    <row r="1221" ht="14.25" customHeight="1" s="192">
      <c r="W1221" s="235" t="n"/>
      <c r="X1221" s="235" t="n"/>
    </row>
    <row r="1222" ht="14.25" customHeight="1" s="192">
      <c r="W1222" s="239" t="n"/>
      <c r="X1222" s="239" t="n"/>
    </row>
    <row r="1223" ht="14.25" customHeight="1" s="192">
      <c r="W1223" s="239" t="n"/>
      <c r="X1223" s="239" t="n"/>
    </row>
    <row r="1224" ht="14.25" customHeight="1" s="192">
      <c r="W1224" s="235" t="n"/>
      <c r="X1224" s="235" t="n"/>
    </row>
    <row r="1225" ht="14.25" customHeight="1" s="192">
      <c r="W1225" s="235" t="n"/>
      <c r="X1225" s="235" t="n"/>
    </row>
    <row r="1226" ht="14.25" customHeight="1" s="192">
      <c r="W1226" s="239" t="n"/>
      <c r="X1226" s="239" t="n"/>
    </row>
    <row r="1227" ht="14.25" customHeight="1" s="192">
      <c r="W1227" s="235" t="n"/>
      <c r="X1227" s="235" t="n"/>
    </row>
    <row r="1228" ht="14.25" customHeight="1" s="192">
      <c r="W1228" s="239" t="n"/>
      <c r="X1228" s="239" t="n"/>
    </row>
    <row r="1230" ht="14.25" customHeight="1" s="192">
      <c r="W1230" s="235" t="n"/>
      <c r="X1230" s="235" t="n"/>
    </row>
    <row r="1231" ht="15" customHeight="1" s="192" thickBot="1">
      <c r="W1231" s="239" t="n"/>
      <c r="X1231" s="239" t="n"/>
    </row>
    <row r="1232" ht="15" customHeight="1" s="192" thickBot="1">
      <c r="W1232" s="45" t="n"/>
      <c r="X1232" s="45" t="n"/>
    </row>
    <row r="1233" ht="14.25" customHeight="1" s="192">
      <c r="W1233" s="228" t="n"/>
      <c r="X1233" s="228" t="n"/>
    </row>
    <row r="1234" ht="14.25" customHeight="1" s="192">
      <c r="W1234" s="228" t="n"/>
      <c r="X1234" s="228" t="n"/>
    </row>
    <row r="1235" ht="14.25" customHeight="1" s="192">
      <c r="W1235" s="231" t="n"/>
      <c r="X1235" s="231" t="n"/>
    </row>
    <row r="1236" ht="14.25" customHeight="1" s="192">
      <c r="W1236" s="33" t="n"/>
      <c r="X1236" s="33" t="n"/>
    </row>
    <row r="1237" ht="14.25" customHeight="1" s="192">
      <c r="W1237" s="231" t="n"/>
      <c r="X1237" s="231" t="n"/>
    </row>
    <row r="1238" ht="14.25" customHeight="1" s="192">
      <c r="W1238" s="33" t="n"/>
      <c r="X1238" s="33" t="n"/>
    </row>
    <row r="1240" ht="14.25" customHeight="1" s="192">
      <c r="W1240" s="231" t="n"/>
      <c r="X1240" s="231" t="n"/>
    </row>
    <row r="1241" ht="14.25" customHeight="1" s="192">
      <c r="W1241" s="235" t="n"/>
      <c r="X1241" s="235" t="n"/>
    </row>
    <row r="1242" ht="14.25" customHeight="1" s="192">
      <c r="W1242" s="228" t="n"/>
      <c r="X1242" s="228" t="n"/>
    </row>
    <row r="1243" ht="14.25" customHeight="1" s="192">
      <c r="W1243" s="235" t="n"/>
      <c r="X1243" s="235" t="n"/>
    </row>
    <row r="1244" ht="14.25" customHeight="1" s="192">
      <c r="W1244" s="235" t="n"/>
      <c r="X1244" s="235" t="n"/>
    </row>
    <row r="1245" ht="14.25" customHeight="1" s="192">
      <c r="W1245" s="235" t="n"/>
      <c r="X1245" s="235" t="n"/>
    </row>
    <row r="1246" ht="14.25" customHeight="1" s="192">
      <c r="W1246" s="239" t="n"/>
      <c r="X1246" s="239" t="n"/>
    </row>
    <row r="1247" ht="14.25" customHeight="1" s="192">
      <c r="W1247" s="239" t="n"/>
      <c r="X1247" s="239" t="n"/>
    </row>
    <row r="1248" ht="14.25" customHeight="1" s="192">
      <c r="W1248" s="239" t="n"/>
      <c r="X1248" s="239" t="n"/>
    </row>
    <row r="1249" ht="14.25" customHeight="1" s="192">
      <c r="W1249" s="235" t="n"/>
      <c r="X1249" s="235" t="n"/>
    </row>
    <row r="1250" ht="14.25" customHeight="1" s="192">
      <c r="W1250" s="235" t="n"/>
      <c r="X1250" s="235" t="n"/>
    </row>
    <row r="1251" ht="14.25" customHeight="1" s="192">
      <c r="W1251" s="235" t="n"/>
      <c r="X1251" s="235" t="n"/>
    </row>
    <row r="1252" ht="14.25" customHeight="1" s="192">
      <c r="W1252" s="239" t="n"/>
      <c r="X1252" s="239" t="n"/>
    </row>
    <row r="1253" ht="14.25" customHeight="1" s="192">
      <c r="W1253" s="239" t="n"/>
      <c r="X1253" s="239" t="n"/>
    </row>
    <row r="1254" ht="14.25" customHeight="1" s="192">
      <c r="W1254" s="235" t="n"/>
      <c r="X1254" s="235" t="n"/>
    </row>
    <row r="1255" ht="14.25" customHeight="1" s="192">
      <c r="W1255" s="235" t="n"/>
      <c r="X1255" s="235" t="n"/>
    </row>
    <row r="1256" ht="14.25" customHeight="1" s="192">
      <c r="W1256" s="239" t="n"/>
      <c r="X1256" s="239" t="n"/>
    </row>
    <row r="1257" ht="14.25" customHeight="1" s="192">
      <c r="W1257" s="235" t="n"/>
      <c r="X1257" s="235" t="n"/>
    </row>
    <row r="1258" ht="14.25" customHeight="1" s="192">
      <c r="W1258" s="239" t="n"/>
      <c r="X1258" s="239" t="n"/>
    </row>
    <row r="1260" ht="14.25" customHeight="1" s="192">
      <c r="W1260" s="235" t="n"/>
      <c r="X1260" s="235" t="n"/>
    </row>
    <row r="1261" ht="15" customHeight="1" s="192" thickBot="1">
      <c r="W1261" s="239" t="n"/>
      <c r="X1261" s="239" t="n"/>
    </row>
    <row r="1262" ht="15" customHeight="1" s="192" thickBot="1">
      <c r="W1262" s="45" t="n"/>
      <c r="X1262" s="45" t="n"/>
    </row>
    <row r="1263" ht="14.25" customHeight="1" s="192">
      <c r="W1263" s="228" t="n"/>
      <c r="X1263" s="228" t="n"/>
    </row>
    <row r="1264" ht="14.25" customHeight="1" s="192">
      <c r="W1264" s="228" t="n"/>
      <c r="X1264" s="228" t="n"/>
    </row>
    <row r="1265" ht="14.25" customHeight="1" s="192">
      <c r="W1265" s="231" t="n"/>
      <c r="X1265" s="231" t="n"/>
    </row>
    <row r="1266" ht="14.25" customHeight="1" s="192">
      <c r="W1266" s="33" t="n"/>
      <c r="X1266" s="33" t="n"/>
    </row>
    <row r="1267" ht="14.25" customHeight="1" s="192">
      <c r="W1267" s="231" t="n"/>
      <c r="X1267" s="231" t="n"/>
    </row>
    <row r="1268" ht="14.25" customHeight="1" s="192">
      <c r="W1268" s="33" t="n"/>
      <c r="X1268" s="33" t="n"/>
    </row>
    <row r="1270" ht="14.25" customHeight="1" s="192">
      <c r="W1270" s="231" t="n"/>
      <c r="X1270" s="231" t="n"/>
    </row>
    <row r="1271" ht="14.25" customHeight="1" s="192">
      <c r="W1271" s="235" t="n"/>
      <c r="X1271" s="235" t="n"/>
    </row>
    <row r="1272" ht="14.25" customHeight="1" s="192">
      <c r="W1272" s="228" t="n"/>
      <c r="X1272" s="228" t="n"/>
    </row>
    <row r="1273" ht="14.25" customHeight="1" s="192">
      <c r="W1273" s="235" t="n"/>
      <c r="X1273" s="235" t="n"/>
    </row>
    <row r="1274" ht="14.25" customHeight="1" s="192">
      <c r="W1274" s="235" t="n"/>
      <c r="X1274" s="235" t="n"/>
    </row>
    <row r="1275" ht="14.25" customHeight="1" s="192">
      <c r="W1275" s="235" t="n"/>
      <c r="X1275" s="235" t="n"/>
    </row>
    <row r="1276" ht="14.25" customHeight="1" s="192">
      <c r="W1276" s="239" t="n"/>
      <c r="X1276" s="239" t="n"/>
    </row>
    <row r="1277" ht="14.25" customHeight="1" s="192">
      <c r="W1277" s="239" t="n"/>
      <c r="X1277" s="239" t="n"/>
    </row>
    <row r="1278" ht="14.25" customHeight="1" s="192">
      <c r="W1278" s="239" t="n"/>
      <c r="X1278" s="239" t="n"/>
    </row>
    <row r="1279" ht="14.25" customHeight="1" s="192">
      <c r="W1279" s="235" t="n"/>
      <c r="X1279" s="235" t="n"/>
    </row>
    <row r="1280" ht="14.25" customHeight="1" s="192">
      <c r="W1280" s="235" t="n"/>
      <c r="X1280" s="235" t="n"/>
    </row>
    <row r="1281" ht="14.25" customHeight="1" s="192">
      <c r="W1281" s="235" t="n"/>
      <c r="X1281" s="235" t="n"/>
    </row>
    <row r="1282" ht="14.25" customHeight="1" s="192">
      <c r="W1282" s="239" t="n"/>
      <c r="X1282" s="239" t="n"/>
    </row>
    <row r="1283" ht="14.25" customHeight="1" s="192">
      <c r="W1283" s="239" t="n"/>
      <c r="X1283" s="239" t="n"/>
    </row>
    <row r="1284" ht="14.25" customHeight="1" s="192">
      <c r="W1284" s="235" t="n"/>
      <c r="X1284" s="235" t="n"/>
    </row>
    <row r="1285" ht="14.25" customHeight="1" s="192">
      <c r="W1285" s="235" t="n"/>
      <c r="X1285" s="235" t="n"/>
    </row>
    <row r="1286" ht="14.25" customHeight="1" s="192">
      <c r="W1286" s="239" t="n"/>
      <c r="X1286" s="239" t="n"/>
    </row>
    <row r="1287" ht="14.25" customHeight="1" s="192">
      <c r="W1287" s="235" t="n"/>
      <c r="X1287" s="235" t="n"/>
    </row>
    <row r="1288" ht="14.25" customHeight="1" s="192">
      <c r="W1288" s="239" t="n"/>
      <c r="X1288" s="239" t="n"/>
    </row>
    <row r="1290" ht="14.25" customHeight="1" s="192">
      <c r="W1290" s="235" t="n"/>
      <c r="X1290" s="235" t="n"/>
    </row>
    <row r="1291" ht="15" customHeight="1" s="192" thickBot="1">
      <c r="W1291" s="239" t="n"/>
      <c r="X1291" s="239" t="n"/>
    </row>
    <row r="1292" ht="15" customHeight="1" s="192" thickBot="1">
      <c r="W1292" s="45" t="n"/>
      <c r="X1292" s="45" t="n"/>
    </row>
    <row r="1293" ht="14.25" customHeight="1" s="192">
      <c r="W1293" s="228" t="n"/>
      <c r="X1293" s="228" t="n"/>
    </row>
    <row r="1294" ht="14.25" customHeight="1" s="192">
      <c r="W1294" s="228" t="n"/>
      <c r="X1294" s="228" t="n"/>
    </row>
    <row r="1295" ht="14.25" customHeight="1" s="192">
      <c r="W1295" s="231" t="n"/>
      <c r="X1295" s="231" t="n"/>
    </row>
    <row r="1296" ht="14.25" customHeight="1" s="192">
      <c r="W1296" s="33" t="n"/>
      <c r="X1296" s="33" t="n"/>
    </row>
    <row r="1297" ht="14.25" customHeight="1" s="192">
      <c r="W1297" s="231" t="n"/>
      <c r="X1297" s="231" t="n"/>
    </row>
    <row r="1298" ht="14.25" customHeight="1" s="192">
      <c r="W1298" s="33" t="n"/>
      <c r="X1298" s="33" t="n"/>
    </row>
    <row r="1300" ht="14.25" customHeight="1" s="192">
      <c r="W1300" s="231" t="n"/>
      <c r="X1300" s="231" t="n"/>
    </row>
    <row r="1301" ht="14.25" customHeight="1" s="192">
      <c r="W1301" s="235" t="n"/>
      <c r="X1301" s="235" t="n"/>
    </row>
    <row r="1302" ht="14.25" customHeight="1" s="192">
      <c r="W1302" s="228" t="n"/>
      <c r="X1302" s="228" t="n"/>
    </row>
    <row r="1303" ht="14.25" customHeight="1" s="192">
      <c r="W1303" s="235" t="n"/>
      <c r="X1303" s="235" t="n"/>
    </row>
    <row r="1304" ht="14.25" customHeight="1" s="192">
      <c r="W1304" s="235" t="n"/>
      <c r="X1304" s="235" t="n"/>
    </row>
    <row r="1305" ht="14.25" customHeight="1" s="192">
      <c r="W1305" s="235" t="n"/>
      <c r="X1305" s="235" t="n"/>
    </row>
    <row r="1306" ht="14.25" customHeight="1" s="192">
      <c r="W1306" s="239" t="n"/>
      <c r="X1306" s="239" t="n"/>
    </row>
    <row r="1307" ht="14.25" customHeight="1" s="192">
      <c r="W1307" s="239" t="n"/>
      <c r="X1307" s="239" t="n"/>
    </row>
    <row r="1308" ht="14.25" customHeight="1" s="192">
      <c r="W1308" s="239" t="n"/>
      <c r="X1308" s="239" t="n"/>
    </row>
    <row r="1309" ht="14.25" customHeight="1" s="192">
      <c r="W1309" s="235" t="n"/>
      <c r="X1309" s="235" t="n"/>
    </row>
    <row r="1310" ht="14.25" customHeight="1" s="192">
      <c r="W1310" s="235" t="n"/>
      <c r="X1310" s="235" t="n"/>
    </row>
    <row r="1311" ht="14.25" customHeight="1" s="192">
      <c r="W1311" s="235" t="n"/>
      <c r="X1311" s="235" t="n"/>
    </row>
    <row r="1312" ht="14.25" customHeight="1" s="192">
      <c r="W1312" s="239" t="n"/>
      <c r="X1312" s="239" t="n"/>
    </row>
    <row r="1313" ht="14.25" customHeight="1" s="192">
      <c r="W1313" s="239" t="n"/>
      <c r="X1313" s="239" t="n"/>
    </row>
    <row r="1314" ht="14.25" customHeight="1" s="192">
      <c r="W1314" s="235" t="n"/>
      <c r="X1314" s="235" t="n"/>
    </row>
    <row r="1315" ht="14.25" customHeight="1" s="192">
      <c r="W1315" s="235" t="n"/>
      <c r="X1315" s="235" t="n"/>
    </row>
    <row r="1316" ht="14.25" customHeight="1" s="192">
      <c r="W1316" s="239" t="n"/>
      <c r="X1316" s="239" t="n"/>
    </row>
    <row r="1317" ht="14.25" customHeight="1" s="192">
      <c r="W1317" s="235" t="n"/>
      <c r="X1317" s="235" t="n"/>
    </row>
    <row r="1318" ht="14.25" customHeight="1" s="192">
      <c r="W1318" s="239" t="n"/>
      <c r="X1318" s="239" t="n"/>
    </row>
    <row r="1320" ht="14.25" customHeight="1" s="192">
      <c r="W1320" s="235" t="n"/>
      <c r="X1320" s="235" t="n"/>
    </row>
    <row r="1321" ht="15" customHeight="1" s="192" thickBot="1">
      <c r="W1321" s="239" t="n"/>
      <c r="X1321" s="239" t="n"/>
    </row>
    <row r="1322" ht="15" customHeight="1" s="192" thickBot="1">
      <c r="W1322" s="45" t="n"/>
      <c r="X1322" s="45" t="n"/>
    </row>
    <row r="1323" ht="14.25" customHeight="1" s="192">
      <c r="W1323" s="228" t="n"/>
      <c r="X1323" s="228" t="n"/>
    </row>
    <row r="1324" ht="14.25" customHeight="1" s="192">
      <c r="W1324" s="228" t="n"/>
      <c r="X1324" s="228" t="n"/>
    </row>
    <row r="1325" ht="14.25" customHeight="1" s="192">
      <c r="W1325" s="231" t="n"/>
      <c r="X1325" s="231" t="n"/>
    </row>
    <row r="1326" ht="14.25" customHeight="1" s="192">
      <c r="W1326" s="33" t="n"/>
      <c r="X1326" s="33" t="n"/>
    </row>
    <row r="1327" ht="14.25" customHeight="1" s="192">
      <c r="W1327" s="231" t="n"/>
      <c r="X1327" s="231" t="n"/>
    </row>
    <row r="1328" ht="14.25" customHeight="1" s="192">
      <c r="W1328" s="33" t="n"/>
      <c r="X1328" s="33" t="n"/>
    </row>
    <row r="1330" ht="14.25" customHeight="1" s="192">
      <c r="W1330" s="231" t="n"/>
      <c r="X1330" s="231" t="n"/>
    </row>
    <row r="1331" ht="14.25" customHeight="1" s="192">
      <c r="W1331" s="235" t="n"/>
      <c r="X1331" s="235" t="n"/>
    </row>
    <row r="1332" ht="14.25" customHeight="1" s="192">
      <c r="W1332" s="228" t="n"/>
      <c r="X1332" s="228" t="n"/>
    </row>
    <row r="1333" ht="14.25" customHeight="1" s="192">
      <c r="W1333" s="235" t="n"/>
      <c r="X1333" s="235" t="n"/>
    </row>
    <row r="1334" ht="14.25" customHeight="1" s="192">
      <c r="W1334" s="235" t="n"/>
      <c r="X1334" s="235" t="n"/>
    </row>
    <row r="1335" ht="14.25" customHeight="1" s="192">
      <c r="W1335" s="235" t="n"/>
      <c r="X1335" s="235" t="n"/>
    </row>
    <row r="1336" ht="14.25" customHeight="1" s="192">
      <c r="W1336" s="239" t="n"/>
      <c r="X1336" s="239" t="n"/>
    </row>
    <row r="1337" ht="14.25" customHeight="1" s="192">
      <c r="W1337" s="239" t="n"/>
      <c r="X1337" s="239" t="n"/>
    </row>
    <row r="1338" ht="14.25" customHeight="1" s="192">
      <c r="W1338" s="239" t="n"/>
      <c r="X1338" s="239" t="n"/>
    </row>
    <row r="1339" ht="14.25" customHeight="1" s="192">
      <c r="W1339" s="235" t="n"/>
      <c r="X1339" s="235" t="n"/>
    </row>
    <row r="1340" ht="14.25" customHeight="1" s="192">
      <c r="W1340" s="235" t="n"/>
      <c r="X1340" s="235" t="n"/>
    </row>
    <row r="1341" ht="14.25" customHeight="1" s="192">
      <c r="W1341" s="235" t="n"/>
      <c r="X1341" s="235" t="n"/>
    </row>
    <row r="1342" ht="14.25" customHeight="1" s="192">
      <c r="W1342" s="239" t="n"/>
      <c r="X1342" s="239" t="n"/>
    </row>
    <row r="1343" ht="14.25" customHeight="1" s="192">
      <c r="W1343" s="239" t="n"/>
      <c r="X1343" s="239" t="n"/>
    </row>
    <row r="1344" ht="14.25" customHeight="1" s="192">
      <c r="W1344" s="235" t="n"/>
      <c r="X1344" s="235" t="n"/>
    </row>
    <row r="1345" ht="14.25" customHeight="1" s="192">
      <c r="W1345" s="235" t="n"/>
      <c r="X1345" s="235" t="n"/>
    </row>
    <row r="1346" ht="14.25" customHeight="1" s="192">
      <c r="W1346" s="239" t="n"/>
      <c r="X1346" s="239" t="n"/>
    </row>
    <row r="1347" ht="14.25" customHeight="1" s="192">
      <c r="W1347" s="235" t="n"/>
      <c r="X1347" s="235" t="n"/>
    </row>
    <row r="1348" ht="14.25" customHeight="1" s="192">
      <c r="W1348" s="239" t="n"/>
      <c r="X1348" s="239" t="n"/>
    </row>
    <row r="1350" ht="14.25" customHeight="1" s="192">
      <c r="W1350" s="235" t="n"/>
      <c r="X1350" s="235" t="n"/>
    </row>
    <row r="1351" ht="15" customHeight="1" s="192" thickBot="1">
      <c r="W1351" s="239" t="n"/>
      <c r="X1351" s="239" t="n"/>
    </row>
    <row r="1352" ht="15" customHeight="1" s="192" thickBot="1">
      <c r="W1352" s="45" t="n"/>
      <c r="X1352" s="45" t="n"/>
    </row>
    <row r="1353" ht="14.25" customHeight="1" s="192">
      <c r="W1353" s="228" t="n"/>
      <c r="X1353" s="228" t="n"/>
    </row>
    <row r="1354" ht="14.25" customHeight="1" s="192">
      <c r="W1354" s="228" t="n"/>
      <c r="X1354" s="228" t="n"/>
    </row>
    <row r="1355" ht="14.25" customHeight="1" s="192">
      <c r="W1355" s="231" t="n"/>
      <c r="X1355" s="231" t="n"/>
    </row>
    <row r="1356" ht="14.25" customHeight="1" s="192">
      <c r="W1356" s="33" t="n"/>
      <c r="X1356" s="33" t="n"/>
    </row>
    <row r="1357" ht="14.25" customHeight="1" s="192">
      <c r="W1357" s="231" t="n"/>
      <c r="X1357" s="231" t="n"/>
    </row>
    <row r="1358" ht="14.25" customHeight="1" s="192">
      <c r="W1358" s="33" t="n"/>
      <c r="X1358" s="33" t="n"/>
    </row>
    <row r="1360" ht="14.25" customHeight="1" s="192">
      <c r="W1360" s="231" t="n"/>
      <c r="X1360" s="231" t="n"/>
    </row>
    <row r="1361" ht="14.25" customHeight="1" s="192">
      <c r="W1361" s="235" t="n"/>
      <c r="X1361" s="235" t="n"/>
    </row>
    <row r="1362" ht="14.25" customHeight="1" s="192">
      <c r="W1362" s="228" t="n"/>
      <c r="X1362" s="228" t="n"/>
    </row>
    <row r="1363" ht="14.25" customHeight="1" s="192">
      <c r="W1363" s="235" t="n"/>
      <c r="X1363" s="235" t="n"/>
    </row>
    <row r="1364" ht="14.25" customHeight="1" s="192">
      <c r="W1364" s="235" t="n"/>
      <c r="X1364" s="235" t="n"/>
    </row>
    <row r="1365" ht="14.25" customHeight="1" s="192">
      <c r="W1365" s="235" t="n"/>
      <c r="X1365" s="235" t="n"/>
    </row>
    <row r="1366" ht="14.25" customHeight="1" s="192">
      <c r="W1366" s="239" t="n"/>
      <c r="X1366" s="239" t="n"/>
    </row>
    <row r="1367" ht="14.25" customHeight="1" s="192">
      <c r="W1367" s="239" t="n"/>
      <c r="X1367" s="239" t="n"/>
    </row>
    <row r="1368" ht="14.25" customHeight="1" s="192">
      <c r="W1368" s="239" t="n"/>
      <c r="X1368" s="239" t="n"/>
    </row>
    <row r="1369" ht="14.25" customHeight="1" s="192">
      <c r="W1369" s="235" t="n"/>
      <c r="X1369" s="235" t="n"/>
    </row>
    <row r="1370" ht="14.25" customHeight="1" s="192">
      <c r="W1370" s="235" t="n"/>
      <c r="X1370" s="235" t="n"/>
    </row>
    <row r="1371" ht="14.25" customHeight="1" s="192">
      <c r="W1371" s="235" t="n"/>
      <c r="X1371" s="235" t="n"/>
    </row>
    <row r="1372" ht="14.25" customHeight="1" s="192">
      <c r="W1372" s="239" t="n"/>
      <c r="X1372" s="239" t="n"/>
    </row>
    <row r="1373" ht="14.25" customHeight="1" s="192">
      <c r="W1373" s="239" t="n"/>
      <c r="X1373" s="239" t="n"/>
    </row>
    <row r="1374" ht="14.25" customHeight="1" s="192">
      <c r="W1374" s="235" t="n"/>
      <c r="X1374" s="235" t="n"/>
    </row>
    <row r="1375" ht="14.25" customHeight="1" s="192">
      <c r="W1375" s="235" t="n"/>
      <c r="X1375" s="235" t="n"/>
    </row>
    <row r="1376" ht="14.25" customHeight="1" s="192">
      <c r="W1376" s="239" t="n"/>
      <c r="X1376" s="239" t="n"/>
    </row>
    <row r="1377" ht="14.25" customHeight="1" s="192">
      <c r="W1377" s="235" t="n"/>
      <c r="X1377" s="235" t="n"/>
    </row>
    <row r="1378" ht="14.25" customHeight="1" s="192">
      <c r="W1378" s="239" t="n"/>
      <c r="X1378" s="239" t="n"/>
    </row>
    <row r="1380" ht="14.25" customHeight="1" s="192">
      <c r="W1380" s="235" t="n"/>
      <c r="X1380" s="235" t="n"/>
    </row>
    <row r="1381" ht="15" customHeight="1" s="192" thickBot="1">
      <c r="W1381" s="239" t="n"/>
      <c r="X1381" s="239" t="n"/>
    </row>
    <row r="1382" ht="15" customHeight="1" s="192" thickBot="1">
      <c r="W1382" s="45" t="n"/>
      <c r="X1382" s="45" t="n"/>
    </row>
    <row r="1383" ht="14.25" customHeight="1" s="192">
      <c r="W1383" s="228" t="n"/>
      <c r="X1383" s="228" t="n"/>
    </row>
    <row r="1384" ht="14.25" customHeight="1" s="192">
      <c r="W1384" s="228" t="n"/>
      <c r="X1384" s="228" t="n"/>
    </row>
    <row r="1385" ht="14.25" customHeight="1" s="192">
      <c r="W1385" s="231" t="n"/>
      <c r="X1385" s="231" t="n"/>
    </row>
    <row r="1386" ht="14.25" customHeight="1" s="192">
      <c r="W1386" s="33" t="n"/>
      <c r="X1386" s="33" t="n"/>
    </row>
    <row r="1387" ht="14.25" customHeight="1" s="192">
      <c r="W1387" s="231" t="n"/>
      <c r="X1387" s="231" t="n"/>
    </row>
    <row r="1388" ht="14.25" customHeight="1" s="192">
      <c r="W1388" s="33" t="n"/>
      <c r="X1388" s="33" t="n"/>
    </row>
    <row r="1390" ht="14.25" customHeight="1" s="192">
      <c r="W1390" s="231" t="n"/>
      <c r="X1390" s="231" t="n"/>
    </row>
    <row r="1391" ht="14.25" customHeight="1" s="192">
      <c r="W1391" s="235" t="n"/>
      <c r="X1391" s="235" t="n"/>
    </row>
    <row r="1392" ht="14.25" customHeight="1" s="192">
      <c r="W1392" s="228" t="n"/>
      <c r="X1392" s="228" t="n"/>
    </row>
    <row r="1393" ht="14.25" customHeight="1" s="192">
      <c r="W1393" s="235" t="n"/>
      <c r="X1393" s="235" t="n"/>
    </row>
    <row r="1394" ht="14.25" customHeight="1" s="192">
      <c r="W1394" s="235" t="n"/>
      <c r="X1394" s="235" t="n"/>
    </row>
    <row r="1395" ht="14.25" customHeight="1" s="192">
      <c r="W1395" s="235" t="n"/>
      <c r="X1395" s="235" t="n"/>
    </row>
    <row r="1396" ht="14.25" customHeight="1" s="192">
      <c r="W1396" s="239" t="n"/>
      <c r="X1396" s="239" t="n"/>
    </row>
    <row r="1397" ht="14.25" customHeight="1" s="192">
      <c r="W1397" s="239" t="n"/>
      <c r="X1397" s="239" t="n"/>
    </row>
    <row r="1398" ht="14.25" customHeight="1" s="192">
      <c r="W1398" s="239" t="n"/>
      <c r="X1398" s="239" t="n"/>
    </row>
    <row r="1399" ht="14.25" customHeight="1" s="192">
      <c r="W1399" s="235" t="n"/>
      <c r="X1399" s="235" t="n"/>
    </row>
    <row r="1400" ht="14.25" customHeight="1" s="192">
      <c r="W1400" s="235" t="n"/>
      <c r="X1400" s="235" t="n"/>
    </row>
    <row r="1401" ht="14.25" customHeight="1" s="192">
      <c r="W1401" s="235" t="n"/>
      <c r="X1401" s="235" t="n"/>
    </row>
    <row r="1402" ht="14.25" customHeight="1" s="192">
      <c r="W1402" s="239" t="n"/>
      <c r="X1402" s="239" t="n"/>
    </row>
    <row r="1403" ht="14.25" customHeight="1" s="192">
      <c r="W1403" s="239" t="n"/>
      <c r="X1403" s="239" t="n"/>
    </row>
    <row r="1404" ht="14.25" customHeight="1" s="192">
      <c r="W1404" s="235" t="n"/>
      <c r="X1404" s="235" t="n"/>
    </row>
    <row r="1405" ht="14.25" customHeight="1" s="192">
      <c r="W1405" s="235" t="n"/>
      <c r="X1405" s="235" t="n"/>
    </row>
    <row r="1406" ht="14.25" customHeight="1" s="192">
      <c r="W1406" s="239" t="n"/>
      <c r="X1406" s="239" t="n"/>
    </row>
    <row r="1407" ht="14.25" customHeight="1" s="192">
      <c r="W1407" s="235" t="n"/>
      <c r="X1407" s="235" t="n"/>
    </row>
    <row r="1408" ht="14.25" customHeight="1" s="192">
      <c r="W1408" s="239" t="n"/>
      <c r="X1408" s="239" t="n"/>
    </row>
    <row r="1410" ht="14.25" customHeight="1" s="192">
      <c r="W1410" s="235" t="n"/>
      <c r="X1410" s="235" t="n"/>
    </row>
    <row r="1411" ht="15" customHeight="1" s="192" thickBot="1">
      <c r="W1411" s="239" t="n"/>
      <c r="X1411" s="239" t="n"/>
    </row>
    <row r="1412" ht="15" customHeight="1" s="192" thickBot="1">
      <c r="W1412" s="45" t="n"/>
      <c r="X1412" s="45" t="n"/>
    </row>
    <row r="1413" ht="14.25" customHeight="1" s="192">
      <c r="W1413" s="228" t="n"/>
      <c r="X1413" s="228" t="n"/>
    </row>
    <row r="1414" ht="14.25" customHeight="1" s="192">
      <c r="W1414" s="228" t="n"/>
      <c r="X1414" s="228" t="n"/>
    </row>
    <row r="1415" ht="14.25" customHeight="1" s="192">
      <c r="W1415" s="231" t="n"/>
      <c r="X1415" s="231" t="n"/>
    </row>
    <row r="1416" ht="14.25" customHeight="1" s="192">
      <c r="W1416" s="33" t="n"/>
      <c r="X1416" s="33" t="n"/>
    </row>
    <row r="1417" ht="14.25" customHeight="1" s="192">
      <c r="W1417" s="231" t="n"/>
      <c r="X1417" s="231" t="n"/>
    </row>
    <row r="1418" ht="14.25" customHeight="1" s="192">
      <c r="W1418" s="33" t="n"/>
      <c r="X1418" s="33" t="n"/>
    </row>
    <row r="1420" ht="14.25" customHeight="1" s="192">
      <c r="W1420" s="231" t="n"/>
      <c r="X1420" s="231" t="n"/>
    </row>
    <row r="1421" ht="14.25" customHeight="1" s="192">
      <c r="W1421" s="235" t="n"/>
      <c r="X1421" s="235" t="n"/>
    </row>
    <row r="1422" ht="14.25" customHeight="1" s="192">
      <c r="W1422" s="228" t="n"/>
      <c r="X1422" s="228" t="n"/>
    </row>
    <row r="1423" ht="14.25" customHeight="1" s="192">
      <c r="W1423" s="235" t="n"/>
      <c r="X1423" s="235" t="n"/>
    </row>
    <row r="1424" ht="14.25" customHeight="1" s="192">
      <c r="W1424" s="235" t="n"/>
      <c r="X1424" s="235" t="n"/>
    </row>
    <row r="1425" ht="14.25" customHeight="1" s="192">
      <c r="W1425" s="235" t="n"/>
      <c r="X1425" s="235" t="n"/>
    </row>
    <row r="1426" ht="14.25" customHeight="1" s="192">
      <c r="W1426" s="239" t="n"/>
      <c r="X1426" s="239" t="n"/>
    </row>
    <row r="1427" ht="14.25" customHeight="1" s="192">
      <c r="W1427" s="239" t="n"/>
      <c r="X1427" s="239" t="n"/>
    </row>
    <row r="1428" ht="14.25" customHeight="1" s="192">
      <c r="W1428" s="239" t="n"/>
      <c r="X1428" s="239" t="n"/>
    </row>
    <row r="1429" ht="14.25" customHeight="1" s="192">
      <c r="W1429" s="235" t="n"/>
      <c r="X1429" s="235" t="n"/>
    </row>
    <row r="1430" ht="14.25" customHeight="1" s="192">
      <c r="W1430" s="235" t="n"/>
      <c r="X1430" s="235" t="n"/>
    </row>
    <row r="1431" ht="14.25" customHeight="1" s="192">
      <c r="W1431" s="235" t="n"/>
      <c r="X1431" s="235" t="n"/>
    </row>
    <row r="1432" ht="14.25" customHeight="1" s="192">
      <c r="W1432" s="239" t="n"/>
      <c r="X1432" s="239" t="n"/>
    </row>
    <row r="1433" ht="14.25" customHeight="1" s="192">
      <c r="W1433" s="239" t="n"/>
      <c r="X1433" s="239" t="n"/>
    </row>
    <row r="1434" ht="14.25" customHeight="1" s="192">
      <c r="W1434" s="235" t="n"/>
      <c r="X1434" s="235" t="n"/>
    </row>
    <row r="1435" ht="14.25" customHeight="1" s="192">
      <c r="W1435" s="235" t="n"/>
      <c r="X1435" s="235" t="n"/>
    </row>
    <row r="1436" ht="14.25" customHeight="1" s="192">
      <c r="W1436" s="239" t="n"/>
      <c r="X1436" s="239" t="n"/>
    </row>
    <row r="1437" ht="14.25" customHeight="1" s="192">
      <c r="W1437" s="235" t="n"/>
      <c r="X1437" s="235" t="n"/>
    </row>
    <row r="1438" ht="14.25" customHeight="1" s="192">
      <c r="W1438" s="239" t="n"/>
      <c r="X1438" s="239" t="n"/>
    </row>
    <row r="1440" ht="14.25" customHeight="1" s="192">
      <c r="W1440" s="235" t="n"/>
      <c r="X1440" s="235" t="n"/>
    </row>
    <row r="1441" ht="15" customHeight="1" s="192" thickBot="1">
      <c r="W1441" s="239" t="n"/>
      <c r="X1441" s="239" t="n"/>
    </row>
    <row r="1442" ht="15" customHeight="1" s="192" thickBot="1">
      <c r="W1442" s="45" t="n"/>
      <c r="X1442" s="45" t="n"/>
    </row>
    <row r="1443" ht="14.25" customHeight="1" s="192">
      <c r="W1443" s="228" t="n"/>
      <c r="X1443" s="228" t="n"/>
    </row>
    <row r="1444" ht="14.25" customHeight="1" s="192">
      <c r="W1444" s="228" t="n"/>
      <c r="X1444" s="228" t="n"/>
    </row>
    <row r="1445" ht="14.25" customHeight="1" s="192">
      <c r="W1445" s="231" t="n"/>
      <c r="X1445" s="231" t="n"/>
    </row>
    <row r="1446" ht="14.25" customHeight="1" s="192">
      <c r="W1446" s="33" t="n"/>
      <c r="X1446" s="33" t="n"/>
    </row>
    <row r="1447" ht="14.25" customHeight="1" s="192">
      <c r="W1447" s="231" t="n"/>
      <c r="X1447" s="231" t="n"/>
    </row>
    <row r="1448" ht="14.25" customHeight="1" s="192">
      <c r="W1448" s="33" t="n"/>
      <c r="X1448" s="33" t="n"/>
    </row>
    <row r="1450" ht="14.25" customHeight="1" s="192">
      <c r="W1450" s="231" t="n"/>
      <c r="X1450" s="231" t="n"/>
    </row>
    <row r="1451" ht="14.25" customHeight="1" s="192">
      <c r="W1451" s="235" t="n"/>
      <c r="X1451" s="235" t="n"/>
    </row>
    <row r="1452" ht="14.25" customHeight="1" s="192">
      <c r="W1452" s="228" t="n"/>
      <c r="X1452" s="228" t="n"/>
    </row>
    <row r="1453" ht="14.25" customHeight="1" s="192">
      <c r="W1453" s="235" t="n"/>
      <c r="X1453" s="235" t="n"/>
    </row>
    <row r="1454" ht="14.25" customHeight="1" s="192">
      <c r="W1454" s="235" t="n"/>
      <c r="X1454" s="235" t="n"/>
    </row>
    <row r="1455" ht="14.25" customHeight="1" s="192">
      <c r="W1455" s="235" t="n"/>
      <c r="X1455" s="235" t="n"/>
    </row>
    <row r="1456" ht="14.25" customHeight="1" s="192">
      <c r="W1456" s="239" t="n"/>
      <c r="X1456" s="239" t="n"/>
    </row>
    <row r="1457" ht="14.25" customHeight="1" s="192">
      <c r="W1457" s="239" t="n"/>
      <c r="X1457" s="239" t="n"/>
    </row>
    <row r="1458" ht="14.25" customHeight="1" s="192">
      <c r="W1458" s="239" t="n"/>
      <c r="X1458" s="239" t="n"/>
    </row>
    <row r="1459" ht="14.25" customHeight="1" s="192">
      <c r="W1459" s="235" t="n"/>
      <c r="X1459" s="235" t="n"/>
    </row>
    <row r="1460" ht="14.25" customHeight="1" s="192">
      <c r="W1460" s="235" t="n"/>
      <c r="X1460" s="235" t="n"/>
    </row>
    <row r="1461" ht="14.25" customHeight="1" s="192">
      <c r="W1461" s="235" t="n"/>
      <c r="X1461" s="235" t="n"/>
    </row>
    <row r="1462" ht="14.25" customHeight="1" s="192">
      <c r="W1462" s="239" t="n"/>
      <c r="X1462" s="239" t="n"/>
    </row>
    <row r="1463" ht="14.25" customHeight="1" s="192">
      <c r="W1463" s="239" t="n"/>
      <c r="X1463" s="239" t="n"/>
    </row>
    <row r="1464" ht="14.25" customHeight="1" s="192">
      <c r="W1464" s="235" t="n"/>
      <c r="X1464" s="235" t="n"/>
    </row>
    <row r="1465" ht="14.25" customHeight="1" s="192">
      <c r="W1465" s="235" t="n"/>
      <c r="X1465" s="235" t="n"/>
    </row>
    <row r="1466" ht="14.25" customHeight="1" s="192">
      <c r="W1466" s="239" t="n"/>
      <c r="X1466" s="239" t="n"/>
    </row>
    <row r="1467" ht="14.25" customHeight="1" s="192">
      <c r="W1467" s="235" t="n"/>
      <c r="X1467" s="235" t="n"/>
    </row>
    <row r="1468" ht="14.25" customHeight="1" s="192">
      <c r="W1468" s="239" t="n"/>
      <c r="X1468" s="239" t="n"/>
    </row>
    <row r="1470" ht="14.25" customHeight="1" s="192">
      <c r="W1470" s="235" t="n"/>
      <c r="X1470" s="235" t="n"/>
    </row>
    <row r="1471" ht="15" customHeight="1" s="192" thickBot="1">
      <c r="W1471" s="239" t="n"/>
      <c r="X1471" s="239" t="n"/>
    </row>
    <row r="1472" ht="15" customHeight="1" s="192" thickBot="1">
      <c r="W1472" s="45" t="n"/>
      <c r="X1472" s="45" t="n"/>
    </row>
    <row r="1473" ht="14.25" customHeight="1" s="192">
      <c r="W1473" s="228" t="n"/>
      <c r="X1473" s="228" t="n"/>
    </row>
    <row r="1474" ht="14.25" customHeight="1" s="192">
      <c r="W1474" s="228" t="n"/>
      <c r="X1474" s="228" t="n"/>
    </row>
    <row r="1475" ht="14.25" customHeight="1" s="192">
      <c r="W1475" s="231" t="n"/>
      <c r="X1475" s="231" t="n"/>
    </row>
    <row r="1476" ht="14.25" customHeight="1" s="192">
      <c r="W1476" s="33" t="n"/>
      <c r="X1476" s="33" t="n"/>
    </row>
    <row r="1477" ht="14.25" customHeight="1" s="192">
      <c r="W1477" s="231" t="n"/>
      <c r="X1477" s="231" t="n"/>
    </row>
    <row r="1478" ht="14.25" customHeight="1" s="192">
      <c r="W1478" s="33" t="n"/>
      <c r="X1478" s="33" t="n"/>
    </row>
    <row r="1480" ht="14.25" customHeight="1" s="192">
      <c r="W1480" s="231" t="n"/>
      <c r="X1480" s="231" t="n"/>
    </row>
    <row r="1481" ht="14.25" customHeight="1" s="192">
      <c r="W1481" s="235" t="n"/>
      <c r="X1481" s="235" t="n"/>
    </row>
    <row r="1482" ht="14.25" customHeight="1" s="192">
      <c r="W1482" s="228" t="n"/>
      <c r="X1482" s="228" t="n"/>
    </row>
    <row r="1483" ht="14.25" customHeight="1" s="192">
      <c r="W1483" s="235" t="n"/>
      <c r="X1483" s="235" t="n"/>
    </row>
    <row r="1484" ht="14.25" customHeight="1" s="192">
      <c r="W1484" s="235" t="n"/>
      <c r="X1484" s="235" t="n"/>
    </row>
    <row r="1485" ht="14.25" customHeight="1" s="192">
      <c r="W1485" s="235" t="n"/>
      <c r="X1485" s="235" t="n"/>
    </row>
    <row r="1486" ht="14.25" customHeight="1" s="192">
      <c r="W1486" s="239" t="n"/>
      <c r="X1486" s="239" t="n"/>
    </row>
    <row r="1487" ht="14.25" customHeight="1" s="192">
      <c r="W1487" s="239" t="n"/>
      <c r="X1487" s="239" t="n"/>
    </row>
    <row r="1488" ht="14.25" customHeight="1" s="192">
      <c r="W1488" s="239" t="n"/>
      <c r="X1488" s="239" t="n"/>
    </row>
    <row r="1489" ht="14.25" customHeight="1" s="192">
      <c r="W1489" s="235" t="n"/>
      <c r="X1489" s="235" t="n"/>
    </row>
    <row r="1490" ht="14.25" customHeight="1" s="192">
      <c r="W1490" s="235" t="n"/>
      <c r="X1490" s="235" t="n"/>
    </row>
    <row r="1491" ht="14.25" customHeight="1" s="192">
      <c r="W1491" s="235" t="n"/>
      <c r="X1491" s="235" t="n"/>
    </row>
    <row r="1492" ht="14.25" customHeight="1" s="192">
      <c r="W1492" s="239" t="n"/>
      <c r="X1492" s="239" t="n"/>
    </row>
    <row r="1493" ht="14.25" customHeight="1" s="192">
      <c r="W1493" s="239" t="n"/>
      <c r="X1493" s="239" t="n"/>
    </row>
    <row r="1494" ht="14.25" customHeight="1" s="192">
      <c r="W1494" s="235" t="n"/>
      <c r="X1494" s="235" t="n"/>
    </row>
    <row r="1495" ht="14.25" customHeight="1" s="192">
      <c r="W1495" s="235" t="n"/>
      <c r="X1495" s="235" t="n"/>
    </row>
    <row r="1496" ht="14.25" customHeight="1" s="192">
      <c r="W1496" s="239" t="n"/>
      <c r="X1496" s="239" t="n"/>
    </row>
    <row r="1497" ht="14.25" customHeight="1" s="192">
      <c r="W1497" s="235" t="n"/>
      <c r="X1497" s="235" t="n"/>
    </row>
    <row r="1498" ht="14.25" customHeight="1" s="192">
      <c r="W1498" s="239" t="n"/>
      <c r="X1498" s="239" t="n"/>
    </row>
    <row r="1500" ht="14.25" customHeight="1" s="192">
      <c r="W1500" s="235" t="n"/>
      <c r="X1500" s="235" t="n"/>
    </row>
    <row r="1501" ht="15" customHeight="1" s="192" thickBot="1">
      <c r="W1501" s="239" t="n"/>
      <c r="X1501" s="239" t="n"/>
    </row>
    <row r="1502" ht="15" customHeight="1" s="192" thickBot="1">
      <c r="W1502" s="45" t="n"/>
      <c r="X1502" s="45" t="n"/>
    </row>
    <row r="1503" ht="14.25" customHeight="1" s="192">
      <c r="W1503" s="228" t="n"/>
      <c r="X1503" s="228" t="n"/>
    </row>
    <row r="1504" ht="14.25" customHeight="1" s="192">
      <c r="W1504" s="228" t="n"/>
      <c r="X1504" s="228" t="n"/>
    </row>
    <row r="1505" ht="14.25" customHeight="1" s="192">
      <c r="W1505" s="231" t="n"/>
      <c r="X1505" s="231" t="n"/>
    </row>
    <row r="1506" ht="14.25" customHeight="1" s="192">
      <c r="W1506" s="33" t="n"/>
      <c r="X1506" s="33" t="n"/>
    </row>
    <row r="1507" ht="14.25" customHeight="1" s="192">
      <c r="W1507" s="231" t="n"/>
      <c r="X1507" s="231" t="n"/>
    </row>
    <row r="1508" ht="14.25" customHeight="1" s="192">
      <c r="W1508" s="33" t="n"/>
      <c r="X1508" s="33" t="n"/>
    </row>
    <row r="1510" ht="14.25" customHeight="1" s="192">
      <c r="W1510" s="231" t="n"/>
      <c r="X1510" s="231" t="n"/>
    </row>
    <row r="1511" ht="14.25" customHeight="1" s="192">
      <c r="W1511" s="235" t="n"/>
      <c r="X1511" s="235" t="n"/>
    </row>
    <row r="1512" ht="14.25" customHeight="1" s="192">
      <c r="W1512" s="228" t="n"/>
      <c r="X1512" s="228" t="n"/>
    </row>
    <row r="1513" ht="14.25" customHeight="1" s="192">
      <c r="W1513" s="235" t="n"/>
      <c r="X1513" s="235" t="n"/>
    </row>
    <row r="1514" ht="14.25" customHeight="1" s="192">
      <c r="W1514" s="235" t="n"/>
      <c r="X1514" s="235" t="n"/>
    </row>
    <row r="1515" ht="14.25" customHeight="1" s="192">
      <c r="W1515" s="235" t="n"/>
      <c r="X1515" s="235" t="n"/>
    </row>
    <row r="1516" ht="14.25" customHeight="1" s="192">
      <c r="W1516" s="239" t="n"/>
      <c r="X1516" s="239" t="n"/>
    </row>
    <row r="1517" ht="14.25" customHeight="1" s="192">
      <c r="W1517" s="239" t="n"/>
      <c r="X1517" s="239" t="n"/>
    </row>
    <row r="1518" ht="14.25" customHeight="1" s="192">
      <c r="W1518" s="239" t="n"/>
      <c r="X1518" s="239" t="n"/>
    </row>
    <row r="1519" ht="14.25" customHeight="1" s="192">
      <c r="W1519" s="235" t="n"/>
      <c r="X1519" s="235" t="n"/>
    </row>
    <row r="1520" ht="14.25" customHeight="1" s="192">
      <c r="W1520" s="235" t="n"/>
      <c r="X1520" s="235" t="n"/>
    </row>
    <row r="1521" ht="14.25" customHeight="1" s="192">
      <c r="W1521" s="235" t="n"/>
      <c r="X1521" s="235" t="n"/>
    </row>
    <row r="1522" ht="14.25" customHeight="1" s="192">
      <c r="W1522" s="239" t="n"/>
      <c r="X1522" s="239" t="n"/>
    </row>
    <row r="1523" ht="14.25" customHeight="1" s="192">
      <c r="W1523" s="239" t="n"/>
      <c r="X1523" s="239" t="n"/>
    </row>
    <row r="1524" ht="14.25" customHeight="1" s="192">
      <c r="W1524" s="235" t="n"/>
      <c r="X1524" s="235" t="n"/>
    </row>
    <row r="1525" ht="14.25" customHeight="1" s="192">
      <c r="W1525" s="235" t="n"/>
      <c r="X1525" s="235" t="n"/>
    </row>
    <row r="1526" ht="14.25" customHeight="1" s="192">
      <c r="W1526" s="239" t="n"/>
      <c r="X1526" s="239" t="n"/>
    </row>
    <row r="1527" ht="14.25" customHeight="1" s="192">
      <c r="W1527" s="235" t="n"/>
      <c r="X1527" s="235" t="n"/>
    </row>
    <row r="1528" ht="14.25" customHeight="1" s="192">
      <c r="W1528" s="239" t="n"/>
      <c r="X1528" s="239" t="n"/>
    </row>
    <row r="1530" ht="14.25" customHeight="1" s="192">
      <c r="W1530" s="235" t="n"/>
      <c r="X1530" s="235" t="n"/>
    </row>
    <row r="1531" ht="15" customHeight="1" s="192" thickBot="1">
      <c r="W1531" s="239" t="n"/>
      <c r="X1531" s="239" t="n"/>
    </row>
    <row r="1532" ht="15" customHeight="1" s="192" thickBot="1">
      <c r="W1532" s="45" t="n"/>
      <c r="X1532" s="45" t="n"/>
    </row>
    <row r="1533" ht="14.25" customHeight="1" s="192">
      <c r="W1533" s="228" t="n"/>
      <c r="X1533" s="228" t="n"/>
    </row>
    <row r="1534" ht="14.25" customHeight="1" s="192">
      <c r="W1534" s="228" t="n"/>
      <c r="X1534" s="228" t="n"/>
    </row>
    <row r="1535" ht="14.25" customHeight="1" s="192">
      <c r="W1535" s="231" t="n"/>
      <c r="X1535" s="231" t="n"/>
    </row>
    <row r="1536" ht="14.25" customHeight="1" s="192">
      <c r="W1536" s="33" t="n"/>
      <c r="X1536" s="33" t="n"/>
    </row>
    <row r="1537" ht="14.25" customHeight="1" s="192">
      <c r="W1537" s="231" t="n"/>
      <c r="X1537" s="231" t="n"/>
    </row>
    <row r="1538" ht="14.25" customHeight="1" s="192">
      <c r="W1538" s="33" t="n"/>
      <c r="X1538" s="33" t="n"/>
    </row>
    <row r="1540" ht="14.25" customHeight="1" s="192">
      <c r="W1540" s="231" t="n"/>
      <c r="X1540" s="231" t="n"/>
    </row>
    <row r="1541" ht="14.25" customHeight="1" s="192">
      <c r="W1541" s="235" t="n"/>
      <c r="X1541" s="235" t="n"/>
    </row>
    <row r="1542" ht="14.25" customHeight="1" s="192">
      <c r="W1542" s="228" t="n"/>
      <c r="X1542" s="228" t="n"/>
    </row>
    <row r="1543" ht="14.25" customHeight="1" s="192">
      <c r="W1543" s="235" t="n"/>
      <c r="X1543" s="235" t="n"/>
    </row>
    <row r="1544" ht="14.25" customHeight="1" s="192">
      <c r="W1544" s="235" t="n"/>
      <c r="X1544" s="235" t="n"/>
    </row>
    <row r="1545" ht="14.25" customHeight="1" s="192">
      <c r="W1545" s="235" t="n"/>
      <c r="X1545" s="235" t="n"/>
    </row>
    <row r="1546" ht="14.25" customHeight="1" s="192">
      <c r="W1546" s="239" t="n"/>
      <c r="X1546" s="239" t="n"/>
    </row>
    <row r="1547" ht="14.25" customHeight="1" s="192">
      <c r="W1547" s="239" t="n"/>
      <c r="X1547" s="239" t="n"/>
    </row>
    <row r="1548" ht="14.25" customHeight="1" s="192">
      <c r="W1548" s="239" t="n"/>
      <c r="X1548" s="239" t="n"/>
    </row>
    <row r="1549" ht="14.25" customHeight="1" s="192">
      <c r="W1549" s="235" t="n"/>
      <c r="X1549" s="235" t="n"/>
    </row>
    <row r="1550" ht="14.25" customHeight="1" s="192">
      <c r="W1550" s="235" t="n"/>
      <c r="X1550" s="235" t="n"/>
    </row>
    <row r="1551" ht="14.25" customHeight="1" s="192">
      <c r="W1551" s="235" t="n"/>
      <c r="X1551" s="235" t="n"/>
    </row>
    <row r="1552" ht="14.25" customHeight="1" s="192">
      <c r="W1552" s="239" t="n"/>
      <c r="X1552" s="239" t="n"/>
    </row>
    <row r="1553" ht="14.25" customHeight="1" s="192">
      <c r="W1553" s="239" t="n"/>
      <c r="X1553" s="239" t="n"/>
    </row>
    <row r="1554" ht="14.25" customHeight="1" s="192">
      <c r="W1554" s="235" t="n"/>
      <c r="X1554" s="235" t="n"/>
    </row>
    <row r="1555" ht="14.25" customHeight="1" s="192">
      <c r="W1555" s="235" t="n"/>
      <c r="X1555" s="235" t="n"/>
    </row>
    <row r="1556" ht="14.25" customHeight="1" s="192">
      <c r="W1556" s="239" t="n"/>
      <c r="X1556" s="239" t="n"/>
    </row>
    <row r="1557" ht="14.25" customHeight="1" s="192">
      <c r="W1557" s="235" t="n"/>
      <c r="X1557" s="235" t="n"/>
    </row>
    <row r="1558" ht="14.25" customHeight="1" s="192">
      <c r="W1558" s="239" t="n"/>
      <c r="X1558" s="239" t="n"/>
    </row>
    <row r="1560" ht="14.25" customHeight="1" s="192">
      <c r="W1560" s="235" t="n"/>
      <c r="X1560" s="235" t="n"/>
    </row>
    <row r="1561" ht="15" customHeight="1" s="192" thickBot="1">
      <c r="W1561" s="239" t="n"/>
      <c r="X1561" s="239" t="n"/>
    </row>
    <row r="1562" ht="15" customHeight="1" s="192" thickBot="1">
      <c r="W1562" s="45" t="n"/>
      <c r="X1562" s="45" t="n"/>
    </row>
    <row r="1563" ht="14.25" customHeight="1" s="192">
      <c r="W1563" s="228" t="n"/>
      <c r="X1563" s="228" t="n"/>
    </row>
    <row r="1564" ht="14.25" customHeight="1" s="192">
      <c r="W1564" s="228" t="n"/>
      <c r="X1564" s="228" t="n"/>
    </row>
    <row r="1565" ht="14.25" customHeight="1" s="192">
      <c r="W1565" s="231" t="n"/>
      <c r="X1565" s="231" t="n"/>
    </row>
    <row r="1566" ht="14.25" customHeight="1" s="192">
      <c r="W1566" s="33" t="n"/>
      <c r="X1566" s="33" t="n"/>
    </row>
    <row r="1567" ht="14.25" customHeight="1" s="192">
      <c r="W1567" s="231" t="n"/>
      <c r="X1567" s="231" t="n"/>
    </row>
    <row r="1568" ht="14.25" customHeight="1" s="192">
      <c r="W1568" s="33" t="n"/>
      <c r="X1568" s="33" t="n"/>
    </row>
    <row r="1570" ht="14.25" customHeight="1" s="192">
      <c r="W1570" s="231" t="n"/>
      <c r="X1570" s="231" t="n"/>
    </row>
    <row r="1571" ht="14.25" customHeight="1" s="192">
      <c r="W1571" s="235" t="n"/>
      <c r="X1571" s="235" t="n"/>
    </row>
    <row r="1572" ht="14.25" customHeight="1" s="192">
      <c r="W1572" s="228" t="n"/>
      <c r="X1572" s="228" t="n"/>
    </row>
    <row r="1573" ht="14.25" customHeight="1" s="192">
      <c r="W1573" s="235" t="n"/>
      <c r="X1573" s="235" t="n"/>
    </row>
    <row r="1574" ht="14.25" customHeight="1" s="192">
      <c r="W1574" s="235" t="n"/>
      <c r="X1574" s="235" t="n"/>
    </row>
    <row r="1575" ht="14.25" customHeight="1" s="192">
      <c r="W1575" s="235" t="n"/>
      <c r="X1575" s="235" t="n"/>
    </row>
    <row r="1576" ht="14.25" customHeight="1" s="192">
      <c r="W1576" s="239" t="n"/>
      <c r="X1576" s="239" t="n"/>
    </row>
    <row r="1577" ht="14.25" customHeight="1" s="192">
      <c r="W1577" s="239" t="n"/>
      <c r="X1577" s="239" t="n"/>
    </row>
    <row r="1578" ht="14.25" customHeight="1" s="192">
      <c r="W1578" s="239" t="n"/>
      <c r="X1578" s="239" t="n"/>
    </row>
    <row r="1579" ht="14.25" customHeight="1" s="192">
      <c r="W1579" s="235" t="n"/>
      <c r="X1579" s="235" t="n"/>
    </row>
    <row r="1580" ht="14.25" customHeight="1" s="192">
      <c r="W1580" s="235" t="n"/>
      <c r="X1580" s="235" t="n"/>
    </row>
    <row r="1581" ht="14.25" customHeight="1" s="192">
      <c r="W1581" s="235" t="n"/>
      <c r="X1581" s="235" t="n"/>
    </row>
    <row r="1582" ht="14.25" customHeight="1" s="192">
      <c r="W1582" s="239" t="n"/>
      <c r="X1582" s="239" t="n"/>
    </row>
    <row r="1583" ht="14.25" customHeight="1" s="192">
      <c r="W1583" s="239" t="n"/>
      <c r="X1583" s="239" t="n"/>
    </row>
    <row r="1584" ht="14.25" customHeight="1" s="192">
      <c r="W1584" s="235" t="n"/>
      <c r="X1584" s="235" t="n"/>
    </row>
    <row r="1585" ht="14.25" customHeight="1" s="192">
      <c r="W1585" s="235" t="n"/>
      <c r="X1585" s="235" t="n"/>
    </row>
    <row r="1586" ht="14.25" customHeight="1" s="192">
      <c r="W1586" s="239" t="n"/>
      <c r="X1586" s="239" t="n"/>
    </row>
    <row r="1587" ht="14.25" customHeight="1" s="192">
      <c r="W1587" s="235" t="n"/>
      <c r="X1587" s="235" t="n"/>
    </row>
    <row r="1588" ht="14.25" customHeight="1" s="192">
      <c r="W1588" s="239" t="n"/>
      <c r="X1588" s="239" t="n"/>
    </row>
    <row r="1590" ht="14.25" customHeight="1" s="192">
      <c r="W1590" s="235" t="n"/>
      <c r="X1590" s="235" t="n"/>
    </row>
    <row r="1591" ht="15" customHeight="1" s="192" thickBot="1">
      <c r="W1591" s="239" t="n"/>
      <c r="X1591" s="239" t="n"/>
    </row>
    <row r="1592" ht="15" customHeight="1" s="192" thickBot="1">
      <c r="W1592" s="45" t="n"/>
      <c r="X1592" s="45" t="n"/>
    </row>
    <row r="1593" ht="14.25" customHeight="1" s="192">
      <c r="W1593" s="228" t="n"/>
      <c r="X1593" s="228" t="n"/>
    </row>
    <row r="1594" ht="14.25" customHeight="1" s="192">
      <c r="W1594" s="228" t="n"/>
      <c r="X1594" s="228" t="n"/>
    </row>
    <row r="1595" ht="14.25" customHeight="1" s="192">
      <c r="W1595" s="231" t="n"/>
      <c r="X1595" s="231" t="n"/>
    </row>
    <row r="1596" ht="14.25" customHeight="1" s="192">
      <c r="W1596" s="33" t="n"/>
      <c r="X1596" s="33" t="n"/>
    </row>
    <row r="1597" ht="14.25" customHeight="1" s="192">
      <c r="W1597" s="231" t="n"/>
      <c r="X1597" s="231" t="n"/>
    </row>
    <row r="1598" ht="14.25" customHeight="1" s="192">
      <c r="W1598" s="33" t="n"/>
      <c r="X1598" s="33" t="n"/>
    </row>
    <row r="1600" ht="14.25" customHeight="1" s="192">
      <c r="W1600" s="231" t="n"/>
      <c r="X1600" s="231" t="n"/>
    </row>
    <row r="1601" ht="14.25" customHeight="1" s="192">
      <c r="W1601" s="235" t="n"/>
      <c r="X1601" s="235" t="n"/>
    </row>
    <row r="1602" ht="14.25" customHeight="1" s="192">
      <c r="W1602" s="228" t="n"/>
      <c r="X1602" s="228" t="n"/>
    </row>
    <row r="1603" ht="14.25" customHeight="1" s="192">
      <c r="W1603" s="235" t="n"/>
      <c r="X1603" s="235" t="n"/>
    </row>
    <row r="1604" ht="14.25" customHeight="1" s="192">
      <c r="W1604" s="235" t="n"/>
      <c r="X1604" s="235" t="n"/>
    </row>
    <row r="1605" ht="14.25" customHeight="1" s="192">
      <c r="W1605" s="235" t="n"/>
      <c r="X1605" s="235" t="n"/>
    </row>
    <row r="1606" ht="14.25" customHeight="1" s="192">
      <c r="W1606" s="239" t="n"/>
      <c r="X1606" s="239" t="n"/>
    </row>
    <row r="1607" ht="14.25" customHeight="1" s="192">
      <c r="W1607" s="239" t="n"/>
      <c r="X1607" s="239" t="n"/>
    </row>
    <row r="1608" ht="14.25" customHeight="1" s="192">
      <c r="W1608" s="239" t="n"/>
      <c r="X1608" s="239" t="n"/>
    </row>
    <row r="1609" ht="14.25" customHeight="1" s="192">
      <c r="W1609" s="235" t="n"/>
      <c r="X1609" s="235" t="n"/>
    </row>
    <row r="1610" ht="14.25" customHeight="1" s="192">
      <c r="W1610" s="235" t="n"/>
      <c r="X1610" s="235" t="n"/>
    </row>
    <row r="1611" ht="14.25" customHeight="1" s="192">
      <c r="W1611" s="235" t="n"/>
      <c r="X1611" s="235" t="n"/>
    </row>
    <row r="1612" ht="14.25" customHeight="1" s="192">
      <c r="W1612" s="239" t="n"/>
      <c r="X1612" s="239" t="n"/>
    </row>
    <row r="1613" ht="14.25" customHeight="1" s="192">
      <c r="W1613" s="239" t="n"/>
      <c r="X1613" s="239" t="n"/>
    </row>
    <row r="1614" ht="14.25" customHeight="1" s="192">
      <c r="W1614" s="235" t="n"/>
      <c r="X1614" s="235" t="n"/>
    </row>
    <row r="1615" ht="14.25" customHeight="1" s="192">
      <c r="W1615" s="235" t="n"/>
      <c r="X1615" s="235" t="n"/>
    </row>
    <row r="1616" ht="14.25" customHeight="1" s="192">
      <c r="W1616" s="239" t="n"/>
      <c r="X1616" s="239" t="n"/>
    </row>
    <row r="1617" ht="14.25" customHeight="1" s="192">
      <c r="W1617" s="235" t="n"/>
      <c r="X1617" s="235" t="n"/>
    </row>
    <row r="1618" ht="14.25" customHeight="1" s="192">
      <c r="W1618" s="239" t="n"/>
      <c r="X1618" s="239" t="n"/>
    </row>
    <row r="1620" ht="14.25" customHeight="1" s="192">
      <c r="W1620" s="235" t="n"/>
      <c r="X1620" s="235" t="n"/>
    </row>
    <row r="1621" ht="15" customHeight="1" s="192" thickBot="1">
      <c r="W1621" s="239" t="n"/>
      <c r="X1621" s="239" t="n"/>
    </row>
    <row r="1622" ht="15" customHeight="1" s="192" thickBot="1">
      <c r="W1622" s="45" t="n"/>
      <c r="X1622" s="45" t="n"/>
    </row>
    <row r="1623" ht="14.25" customHeight="1" s="192">
      <c r="W1623" s="228" t="n"/>
      <c r="X1623" s="228" t="n"/>
    </row>
    <row r="1624" ht="14.25" customHeight="1" s="192">
      <c r="W1624" s="228" t="n"/>
      <c r="X1624" s="228" t="n"/>
    </row>
    <row r="1625" ht="14.25" customHeight="1" s="192">
      <c r="W1625" s="231" t="n"/>
      <c r="X1625" s="231" t="n"/>
    </row>
    <row r="1626" ht="14.25" customHeight="1" s="192">
      <c r="W1626" s="33" t="n"/>
      <c r="X1626" s="33" t="n"/>
    </row>
    <row r="1627" ht="14.25" customHeight="1" s="192">
      <c r="W1627" s="231" t="n"/>
      <c r="X1627" s="231" t="n"/>
    </row>
    <row r="1628" ht="14.25" customHeight="1" s="192">
      <c r="W1628" s="33" t="n"/>
      <c r="X1628" s="33" t="n"/>
    </row>
    <row r="1630" ht="14.25" customHeight="1" s="192">
      <c r="W1630" s="231" t="n"/>
      <c r="X1630" s="231" t="n"/>
    </row>
    <row r="1631" ht="14.25" customHeight="1" s="192">
      <c r="W1631" s="235" t="n"/>
      <c r="X1631" s="235" t="n"/>
    </row>
    <row r="1632" ht="14.25" customHeight="1" s="192">
      <c r="W1632" s="228" t="n"/>
      <c r="X1632" s="228" t="n"/>
    </row>
    <row r="1633" ht="14.25" customHeight="1" s="192">
      <c r="W1633" s="235" t="n"/>
      <c r="X1633" s="235" t="n"/>
    </row>
    <row r="1634" ht="14.25" customHeight="1" s="192">
      <c r="W1634" s="235" t="n"/>
      <c r="X1634" s="235" t="n"/>
    </row>
    <row r="1635" ht="14.25" customHeight="1" s="192">
      <c r="W1635" s="235" t="n"/>
      <c r="X1635" s="235" t="n"/>
    </row>
    <row r="1636" ht="14.25" customHeight="1" s="192">
      <c r="W1636" s="239" t="n"/>
      <c r="X1636" s="239" t="n"/>
    </row>
    <row r="1637" ht="14.25" customHeight="1" s="192">
      <c r="W1637" s="239" t="n"/>
      <c r="X1637" s="239" t="n"/>
    </row>
    <row r="1638" ht="14.25" customHeight="1" s="192">
      <c r="W1638" s="239" t="n"/>
      <c r="X1638" s="239" t="n"/>
    </row>
    <row r="1639" ht="14.25" customHeight="1" s="192">
      <c r="W1639" s="235" t="n"/>
      <c r="X1639" s="235" t="n"/>
    </row>
    <row r="1640" ht="14.25" customHeight="1" s="192">
      <c r="W1640" s="235" t="n"/>
      <c r="X1640" s="235" t="n"/>
    </row>
    <row r="1641" ht="14.25" customHeight="1" s="192">
      <c r="W1641" s="235" t="n"/>
      <c r="X1641" s="235" t="n"/>
    </row>
    <row r="1642" ht="14.25" customHeight="1" s="192">
      <c r="W1642" s="239" t="n"/>
      <c r="X1642" s="239" t="n"/>
    </row>
    <row r="1643" ht="14.25" customHeight="1" s="192">
      <c r="W1643" s="239" t="n"/>
      <c r="X1643" s="239" t="n"/>
    </row>
    <row r="1644" ht="14.25" customHeight="1" s="192">
      <c r="W1644" s="235" t="n"/>
      <c r="X1644" s="235" t="n"/>
    </row>
    <row r="1645" ht="14.25" customHeight="1" s="192">
      <c r="W1645" s="235" t="n"/>
      <c r="X1645" s="235" t="n"/>
    </row>
    <row r="1646" ht="14.25" customHeight="1" s="192">
      <c r="W1646" s="239" t="n"/>
      <c r="X1646" s="239" t="n"/>
    </row>
    <row r="1647" ht="14.25" customHeight="1" s="192">
      <c r="W1647" s="235" t="n"/>
      <c r="X1647" s="235" t="n"/>
    </row>
    <row r="1648" ht="14.25" customHeight="1" s="192">
      <c r="W1648" s="239" t="n"/>
      <c r="X1648" s="239" t="n"/>
    </row>
    <row r="1650" ht="14.25" customHeight="1" s="192">
      <c r="W1650" s="235" t="n"/>
      <c r="X1650" s="235" t="n"/>
    </row>
    <row r="1651" ht="15" customHeight="1" s="192" thickBot="1">
      <c r="W1651" s="239" t="n"/>
      <c r="X1651" s="239" t="n"/>
    </row>
    <row r="1652" ht="15" customHeight="1" s="192" thickBot="1">
      <c r="W1652" s="45" t="n"/>
      <c r="X1652" s="45" t="n"/>
    </row>
    <row r="1653" ht="14.25" customHeight="1" s="192">
      <c r="W1653" s="228" t="n"/>
      <c r="X1653" s="228" t="n"/>
    </row>
    <row r="1654" ht="14.25" customHeight="1" s="192">
      <c r="W1654" s="228" t="n"/>
      <c r="X1654" s="228" t="n"/>
    </row>
    <row r="1655" ht="14.25" customHeight="1" s="192">
      <c r="W1655" s="231" t="n"/>
      <c r="X1655" s="231" t="n"/>
    </row>
    <row r="1656" ht="14.25" customHeight="1" s="192">
      <c r="W1656" s="33" t="n"/>
      <c r="X1656" s="33" t="n"/>
    </row>
    <row r="1657" ht="14.25" customHeight="1" s="192">
      <c r="W1657" s="231" t="n"/>
      <c r="X1657" s="231" t="n"/>
    </row>
    <row r="1658" ht="14.25" customHeight="1" s="192">
      <c r="W1658" s="33" t="n"/>
      <c r="X1658" s="33" t="n"/>
    </row>
    <row r="1660" ht="14.25" customHeight="1" s="192">
      <c r="W1660" s="231" t="n"/>
      <c r="X1660" s="231" t="n"/>
    </row>
    <row r="1661" ht="14.25" customHeight="1" s="192">
      <c r="W1661" s="235" t="n"/>
      <c r="X1661" s="235" t="n"/>
    </row>
    <row r="1662" ht="14.25" customHeight="1" s="192">
      <c r="W1662" s="228" t="n"/>
      <c r="X1662" s="228" t="n"/>
    </row>
    <row r="1663" ht="14.25" customHeight="1" s="192">
      <c r="W1663" s="235" t="n"/>
      <c r="X1663" s="235" t="n"/>
    </row>
    <row r="1664" ht="14.25" customHeight="1" s="192">
      <c r="W1664" s="235" t="n"/>
      <c r="X1664" s="235" t="n"/>
    </row>
    <row r="1665" ht="14.25" customHeight="1" s="192">
      <c r="W1665" s="235" t="n"/>
      <c r="X1665" s="235" t="n"/>
    </row>
    <row r="1666" ht="14.25" customHeight="1" s="192">
      <c r="W1666" s="239" t="n"/>
      <c r="X1666" s="239" t="n"/>
    </row>
    <row r="1667" ht="14.25" customHeight="1" s="192">
      <c r="W1667" s="239" t="n"/>
      <c r="X1667" s="239" t="n"/>
    </row>
    <row r="1668" ht="14.25" customHeight="1" s="192">
      <c r="W1668" s="239" t="n"/>
      <c r="X1668" s="239" t="n"/>
    </row>
    <row r="1669" ht="14.25" customHeight="1" s="192">
      <c r="W1669" s="235" t="n"/>
      <c r="X1669" s="235" t="n"/>
    </row>
    <row r="1670" ht="14.25" customHeight="1" s="192">
      <c r="W1670" s="235" t="n"/>
      <c r="X1670" s="235" t="n"/>
    </row>
    <row r="1671" ht="14.25" customHeight="1" s="192">
      <c r="W1671" s="235" t="n"/>
      <c r="X1671" s="235" t="n"/>
    </row>
    <row r="1672" ht="14.25" customHeight="1" s="192">
      <c r="W1672" s="239" t="n"/>
      <c r="X1672" s="239" t="n"/>
    </row>
    <row r="1673" ht="14.25" customHeight="1" s="192">
      <c r="W1673" s="239" t="n"/>
      <c r="X1673" s="239" t="n"/>
    </row>
    <row r="1674" ht="14.25" customHeight="1" s="192">
      <c r="W1674" s="235" t="n"/>
      <c r="X1674" s="235" t="n"/>
    </row>
    <row r="1675" ht="14.25" customHeight="1" s="192">
      <c r="W1675" s="235" t="n"/>
      <c r="X1675" s="235" t="n"/>
    </row>
    <row r="1676" ht="14.25" customHeight="1" s="192">
      <c r="W1676" s="239" t="n"/>
      <c r="X1676" s="239" t="n"/>
    </row>
    <row r="1677" ht="14.25" customHeight="1" s="192">
      <c r="W1677" s="235" t="n"/>
      <c r="X1677" s="235" t="n"/>
    </row>
    <row r="1678" ht="14.25" customHeight="1" s="192">
      <c r="W1678" s="239" t="n"/>
      <c r="X1678" s="239" t="n"/>
    </row>
    <row r="1680" ht="14.25" customHeight="1" s="192">
      <c r="W1680" s="235" t="n"/>
      <c r="X1680" s="235" t="n"/>
    </row>
    <row r="1681" ht="15" customHeight="1" s="192" thickBot="1">
      <c r="W1681" s="239" t="n"/>
      <c r="X1681" s="239" t="n"/>
    </row>
    <row r="1682" ht="15" customHeight="1" s="192" thickBot="1">
      <c r="W1682" s="45" t="n"/>
      <c r="X1682" s="45" t="n"/>
    </row>
    <row r="1683" ht="14.25" customHeight="1" s="192">
      <c r="W1683" s="228" t="n"/>
      <c r="X1683" s="228" t="n"/>
    </row>
    <row r="1684" ht="14.25" customHeight="1" s="192">
      <c r="W1684" s="228" t="n"/>
      <c r="X1684" s="228" t="n"/>
    </row>
    <row r="1685" ht="14.25" customHeight="1" s="192">
      <c r="W1685" s="231" t="n"/>
      <c r="X1685" s="231" t="n"/>
    </row>
    <row r="1686" ht="14.25" customHeight="1" s="192">
      <c r="W1686" s="33" t="n"/>
      <c r="X1686" s="33" t="n"/>
    </row>
    <row r="1687" ht="14.25" customHeight="1" s="192">
      <c r="W1687" s="231" t="n"/>
      <c r="X1687" s="231" t="n"/>
    </row>
    <row r="1688" ht="14.25" customHeight="1" s="192">
      <c r="W1688" s="33" t="n"/>
      <c r="X1688" s="33" t="n"/>
    </row>
    <row r="1690" ht="14.25" customHeight="1" s="192">
      <c r="W1690" s="231" t="n"/>
      <c r="X1690" s="231" t="n"/>
    </row>
    <row r="1691" ht="14.25" customHeight="1" s="192">
      <c r="W1691" s="235" t="n"/>
      <c r="X1691" s="235" t="n"/>
    </row>
    <row r="1692" ht="14.25" customHeight="1" s="192">
      <c r="W1692" s="228" t="n"/>
      <c r="X1692" s="228" t="n"/>
    </row>
    <row r="1693" ht="14.25" customHeight="1" s="192">
      <c r="W1693" s="235" t="n"/>
      <c r="X1693" s="235" t="n"/>
    </row>
    <row r="1694" ht="14.25" customHeight="1" s="192">
      <c r="W1694" s="235" t="n"/>
      <c r="X1694" s="235" t="n"/>
    </row>
    <row r="1695" ht="14.25" customHeight="1" s="192">
      <c r="W1695" s="235" t="n"/>
      <c r="X1695" s="235" t="n"/>
    </row>
    <row r="1696" ht="14.25" customHeight="1" s="192">
      <c r="W1696" s="239" t="n"/>
      <c r="X1696" s="239" t="n"/>
    </row>
    <row r="1697" ht="14.25" customHeight="1" s="192">
      <c r="W1697" s="239" t="n"/>
      <c r="X1697" s="239" t="n"/>
    </row>
    <row r="1698" ht="14.25" customHeight="1" s="192">
      <c r="W1698" s="239" t="n"/>
      <c r="X1698" s="239" t="n"/>
    </row>
    <row r="1699" ht="14.25" customHeight="1" s="192">
      <c r="W1699" s="235" t="n"/>
      <c r="X1699" s="235" t="n"/>
    </row>
    <row r="1700" ht="14.25" customHeight="1" s="192">
      <c r="W1700" s="235" t="n"/>
      <c r="X1700" s="235" t="n"/>
    </row>
    <row r="1701" ht="14.25" customHeight="1" s="192">
      <c r="W1701" s="235" t="n"/>
      <c r="X1701" s="235" t="n"/>
    </row>
    <row r="1702" ht="14.25" customHeight="1" s="192">
      <c r="W1702" s="239" t="n"/>
      <c r="X1702" s="239" t="n"/>
    </row>
    <row r="1703" ht="14.25" customHeight="1" s="192">
      <c r="W1703" s="239" t="n"/>
      <c r="X1703" s="239" t="n"/>
    </row>
    <row r="1704" ht="14.25" customHeight="1" s="192">
      <c r="W1704" s="235" t="n"/>
      <c r="X1704" s="235" t="n"/>
    </row>
    <row r="1705" ht="14.25" customHeight="1" s="192">
      <c r="W1705" s="235" t="n"/>
      <c r="X1705" s="235" t="n"/>
    </row>
    <row r="1706" ht="14.25" customHeight="1" s="192">
      <c r="W1706" s="239" t="n"/>
      <c r="X1706" s="239" t="n"/>
    </row>
    <row r="1707" ht="14.25" customHeight="1" s="192">
      <c r="W1707" s="235" t="n"/>
      <c r="X1707" s="235" t="n"/>
    </row>
    <row r="1708" ht="14.25" customHeight="1" s="192">
      <c r="W1708" s="239" t="n"/>
      <c r="X1708" s="239" t="n"/>
    </row>
    <row r="1710" ht="14.25" customHeight="1" s="192">
      <c r="W1710" s="235" t="n"/>
      <c r="X1710" s="235" t="n"/>
    </row>
    <row r="1711" ht="15" customHeight="1" s="192" thickBot="1">
      <c r="W1711" s="239" t="n"/>
      <c r="X1711" s="239" t="n"/>
    </row>
    <row r="1712" ht="15" customHeight="1" s="192" thickBot="1">
      <c r="W1712" s="45" t="n"/>
      <c r="X1712" s="45" t="n"/>
    </row>
    <row r="1713" ht="14.25" customHeight="1" s="192">
      <c r="W1713" s="228" t="n"/>
      <c r="X1713" s="228" t="n"/>
    </row>
    <row r="1714" ht="14.25" customHeight="1" s="192">
      <c r="W1714" s="228" t="n"/>
      <c r="X1714" s="228" t="n"/>
    </row>
    <row r="1715" ht="14.25" customHeight="1" s="192">
      <c r="W1715" s="231" t="n"/>
      <c r="X1715" s="231" t="n"/>
    </row>
    <row r="1716" ht="14.25" customHeight="1" s="192">
      <c r="W1716" s="33" t="n"/>
      <c r="X1716" s="33" t="n"/>
    </row>
    <row r="1717" ht="14.25" customHeight="1" s="192">
      <c r="W1717" s="231" t="n"/>
      <c r="X1717" s="231" t="n"/>
    </row>
    <row r="1718" ht="14.25" customHeight="1" s="192">
      <c r="W1718" s="33" t="n"/>
      <c r="X1718" s="33" t="n"/>
    </row>
    <row r="1720" ht="14.25" customHeight="1" s="192">
      <c r="W1720" s="231" t="n"/>
      <c r="X1720" s="231" t="n"/>
    </row>
    <row r="1721" ht="14.25" customHeight="1" s="192">
      <c r="W1721" s="235" t="n"/>
      <c r="X1721" s="235" t="n"/>
    </row>
    <row r="1722" ht="14.25" customHeight="1" s="192">
      <c r="W1722" s="228" t="n"/>
      <c r="X1722" s="228" t="n"/>
    </row>
    <row r="1723" ht="14.25" customHeight="1" s="192">
      <c r="W1723" s="235" t="n"/>
      <c r="X1723" s="235" t="n"/>
    </row>
    <row r="1724" ht="14.25" customHeight="1" s="192">
      <c r="W1724" s="235" t="n"/>
      <c r="X1724" s="235" t="n"/>
    </row>
    <row r="1725" ht="14.25" customHeight="1" s="192">
      <c r="W1725" s="235" t="n"/>
      <c r="X1725" s="235" t="n"/>
    </row>
    <row r="1726" ht="14.25" customHeight="1" s="192">
      <c r="W1726" s="239" t="n"/>
      <c r="X1726" s="239" t="n"/>
    </row>
    <row r="1727" ht="14.25" customHeight="1" s="192">
      <c r="W1727" s="239" t="n"/>
      <c r="X1727" s="239" t="n"/>
    </row>
    <row r="1728" ht="14.25" customHeight="1" s="192">
      <c r="W1728" s="239" t="n"/>
      <c r="X1728" s="239" t="n"/>
    </row>
    <row r="1729" ht="14.25" customHeight="1" s="192">
      <c r="W1729" s="235" t="n"/>
      <c r="X1729" s="235" t="n"/>
    </row>
    <row r="1730" ht="14.25" customHeight="1" s="192">
      <c r="W1730" s="235" t="n"/>
      <c r="X1730" s="235" t="n"/>
    </row>
    <row r="1731" ht="14.25" customHeight="1" s="192">
      <c r="W1731" s="235" t="n"/>
      <c r="X1731" s="235" t="n"/>
    </row>
    <row r="1732" ht="14.25" customHeight="1" s="192">
      <c r="W1732" s="239" t="n"/>
      <c r="X1732" s="239" t="n"/>
    </row>
    <row r="1733" ht="14.25" customHeight="1" s="192">
      <c r="W1733" s="239" t="n"/>
      <c r="X1733" s="239" t="n"/>
    </row>
    <row r="1734" ht="14.25" customHeight="1" s="192">
      <c r="W1734" s="235" t="n"/>
      <c r="X1734" s="235" t="n"/>
    </row>
    <row r="1735" ht="14.25" customHeight="1" s="192">
      <c r="W1735" s="235" t="n"/>
      <c r="X1735" s="235" t="n"/>
    </row>
    <row r="1736" ht="14.25" customHeight="1" s="192">
      <c r="W1736" s="239" t="n"/>
      <c r="X1736" s="239" t="n"/>
    </row>
    <row r="1737" ht="14.25" customHeight="1" s="192">
      <c r="W1737" s="235" t="n"/>
      <c r="X1737" s="235" t="n"/>
    </row>
    <row r="1738" ht="14.25" customHeight="1" s="192">
      <c r="W1738" s="239" t="n"/>
      <c r="X1738" s="239" t="n"/>
    </row>
    <row r="1740" ht="14.25" customHeight="1" s="192">
      <c r="W1740" s="235" t="n"/>
      <c r="X1740" s="235" t="n"/>
    </row>
    <row r="1741" ht="15" customHeight="1" s="192" thickBot="1">
      <c r="W1741" s="239" t="n"/>
      <c r="X1741" s="239" t="n"/>
    </row>
    <row r="1742" ht="15" customHeight="1" s="192" thickBot="1">
      <c r="W1742" s="45" t="n"/>
      <c r="X1742" s="45" t="n"/>
    </row>
    <row r="1743" ht="14.25" customHeight="1" s="192">
      <c r="W1743" s="228" t="n"/>
      <c r="X1743" s="228" t="n"/>
    </row>
    <row r="1744" ht="14.25" customHeight="1" s="192">
      <c r="W1744" s="228" t="n"/>
      <c r="X1744" s="228" t="n"/>
    </row>
    <row r="1745" ht="14.25" customHeight="1" s="192">
      <c r="W1745" s="231" t="n"/>
      <c r="X1745" s="231" t="n"/>
    </row>
    <row r="1746" ht="14.25" customHeight="1" s="192">
      <c r="W1746" s="33" t="n"/>
      <c r="X1746" s="33" t="n"/>
    </row>
    <row r="1747" ht="14.25" customHeight="1" s="192">
      <c r="W1747" s="231" t="n"/>
      <c r="X1747" s="231" t="n"/>
    </row>
    <row r="1748" ht="14.25" customHeight="1" s="192">
      <c r="W1748" s="33" t="n"/>
      <c r="X1748" s="33" t="n"/>
    </row>
    <row r="1750" ht="14.25" customHeight="1" s="192">
      <c r="W1750" s="231" t="n"/>
      <c r="X1750" s="231" t="n"/>
    </row>
    <row r="1751" ht="14.25" customHeight="1" s="192">
      <c r="W1751" s="235" t="n"/>
      <c r="X1751" s="235" t="n"/>
    </row>
    <row r="1752" ht="14.25" customHeight="1" s="192">
      <c r="W1752" s="228" t="n"/>
      <c r="X1752" s="228" t="n"/>
    </row>
    <row r="1753" ht="14.25" customHeight="1" s="192">
      <c r="W1753" s="235" t="n"/>
      <c r="X1753" s="235" t="n"/>
    </row>
    <row r="1754" ht="14.25" customHeight="1" s="192">
      <c r="W1754" s="235" t="n"/>
      <c r="X1754" s="235" t="n"/>
    </row>
    <row r="1755" ht="14.25" customHeight="1" s="192">
      <c r="W1755" s="235" t="n"/>
      <c r="X1755" s="235" t="n"/>
    </row>
    <row r="1756" ht="14.25" customHeight="1" s="192">
      <c r="W1756" s="239" t="n"/>
      <c r="X1756" s="239" t="n"/>
    </row>
    <row r="1757" ht="14.25" customHeight="1" s="192">
      <c r="W1757" s="239" t="n"/>
      <c r="X1757" s="239" t="n"/>
    </row>
    <row r="1758" ht="14.25" customHeight="1" s="192">
      <c r="W1758" s="239" t="n"/>
      <c r="X1758" s="239" t="n"/>
    </row>
    <row r="1759" ht="14.25" customHeight="1" s="192">
      <c r="W1759" s="235" t="n"/>
      <c r="X1759" s="235" t="n"/>
    </row>
    <row r="1760" ht="14.25" customHeight="1" s="192">
      <c r="W1760" s="235" t="n"/>
      <c r="X1760" s="235" t="n"/>
    </row>
    <row r="1761" ht="14.25" customHeight="1" s="192">
      <c r="W1761" s="235" t="n"/>
      <c r="X1761" s="235" t="n"/>
    </row>
    <row r="1762" ht="14.25" customHeight="1" s="192">
      <c r="W1762" s="239" t="n"/>
      <c r="X1762" s="239" t="n"/>
    </row>
    <row r="1763" ht="14.25" customHeight="1" s="192">
      <c r="W1763" s="239" t="n"/>
      <c r="X1763" s="239" t="n"/>
    </row>
    <row r="1764" ht="14.25" customHeight="1" s="192">
      <c r="W1764" s="235" t="n"/>
      <c r="X1764" s="235" t="n"/>
    </row>
    <row r="1765" ht="14.25" customHeight="1" s="192">
      <c r="W1765" s="235" t="n"/>
      <c r="X1765" s="235" t="n"/>
    </row>
    <row r="1766" ht="14.25" customHeight="1" s="192">
      <c r="W1766" s="239" t="n"/>
      <c r="X1766" s="239" t="n"/>
    </row>
    <row r="1767" ht="14.25" customHeight="1" s="192">
      <c r="W1767" s="235" t="n"/>
      <c r="X1767" s="235" t="n"/>
    </row>
    <row r="1768" ht="14.25" customHeight="1" s="192">
      <c r="W1768" s="239" t="n"/>
      <c r="X1768" s="239" t="n"/>
    </row>
    <row r="1770" ht="14.25" customHeight="1" s="192">
      <c r="W1770" s="235" t="n"/>
      <c r="X1770" s="235" t="n"/>
    </row>
    <row r="1771" ht="15" customHeight="1" s="192" thickBot="1">
      <c r="W1771" s="239" t="n"/>
      <c r="X1771" s="239" t="n"/>
    </row>
    <row r="1772" ht="15" customHeight="1" s="192" thickBot="1">
      <c r="W1772" s="45" t="n"/>
      <c r="X1772" s="45" t="n"/>
    </row>
    <row r="1773" ht="14.25" customHeight="1" s="192">
      <c r="W1773" s="228" t="n"/>
      <c r="X1773" s="228" t="n"/>
    </row>
    <row r="1774" ht="14.25" customHeight="1" s="192">
      <c r="W1774" s="228" t="n"/>
      <c r="X1774" s="228" t="n"/>
    </row>
    <row r="1775" ht="14.25" customHeight="1" s="192">
      <c r="W1775" s="231" t="n"/>
      <c r="X1775" s="231" t="n"/>
    </row>
    <row r="1776" ht="14.25" customHeight="1" s="192">
      <c r="W1776" s="33" t="n"/>
      <c r="X1776" s="33" t="n"/>
    </row>
    <row r="1777" ht="14.25" customHeight="1" s="192">
      <c r="W1777" s="231" t="n"/>
      <c r="X1777" s="231" t="n"/>
    </row>
    <row r="1778" ht="14.25" customHeight="1" s="192">
      <c r="W1778" s="33" t="n"/>
      <c r="X1778" s="33" t="n"/>
    </row>
    <row r="1780" ht="14.25" customHeight="1" s="192">
      <c r="W1780" s="231" t="n"/>
      <c r="X1780" s="231" t="n"/>
    </row>
    <row r="1781" ht="14.25" customHeight="1" s="192">
      <c r="W1781" s="235" t="n"/>
      <c r="X1781" s="235" t="n"/>
    </row>
    <row r="1782" ht="14.25" customHeight="1" s="192">
      <c r="W1782" s="228" t="n"/>
      <c r="X1782" s="228" t="n"/>
    </row>
    <row r="1783" ht="14.25" customHeight="1" s="192">
      <c r="W1783" s="235" t="n"/>
      <c r="X1783" s="235" t="n"/>
    </row>
    <row r="1784" ht="14.25" customHeight="1" s="192">
      <c r="W1784" s="235" t="n"/>
      <c r="X1784" s="235" t="n"/>
    </row>
    <row r="1785" ht="14.25" customHeight="1" s="192">
      <c r="W1785" s="235" t="n"/>
      <c r="X1785" s="235" t="n"/>
    </row>
    <row r="1786" ht="14.25" customHeight="1" s="192">
      <c r="W1786" s="239" t="n"/>
      <c r="X1786" s="239" t="n"/>
    </row>
    <row r="1787" ht="14.25" customHeight="1" s="192">
      <c r="W1787" s="239" t="n"/>
      <c r="X1787" s="239" t="n"/>
    </row>
    <row r="1788" ht="14.25" customHeight="1" s="192">
      <c r="W1788" s="239" t="n"/>
      <c r="X1788" s="239" t="n"/>
    </row>
    <row r="1789" ht="14.25" customHeight="1" s="192">
      <c r="W1789" s="235" t="n"/>
      <c r="X1789" s="235" t="n"/>
    </row>
    <row r="1790" ht="14.25" customHeight="1" s="192">
      <c r="W1790" s="235" t="n"/>
      <c r="X1790" s="235" t="n"/>
    </row>
    <row r="1791" ht="14.25" customHeight="1" s="192">
      <c r="W1791" s="235" t="n"/>
      <c r="X1791" s="235" t="n"/>
    </row>
    <row r="1792" ht="14.25" customHeight="1" s="192">
      <c r="W1792" s="239" t="n"/>
      <c r="X1792" s="239" t="n"/>
    </row>
    <row r="1793" ht="14.25" customHeight="1" s="192">
      <c r="W1793" s="239" t="n"/>
      <c r="X1793" s="239" t="n"/>
    </row>
    <row r="1794" ht="14.25" customHeight="1" s="192">
      <c r="W1794" s="235" t="n"/>
      <c r="X1794" s="235" t="n"/>
    </row>
    <row r="1795" ht="14.25" customHeight="1" s="192">
      <c r="W1795" s="235" t="n"/>
      <c r="X1795" s="235" t="n"/>
    </row>
    <row r="1796" ht="14.25" customHeight="1" s="192">
      <c r="W1796" s="239" t="n"/>
      <c r="X1796" s="239" t="n"/>
    </row>
    <row r="1797" ht="14.25" customHeight="1" s="192">
      <c r="W1797" s="235" t="n"/>
      <c r="X1797" s="235" t="n"/>
    </row>
    <row r="1798" ht="14.25" customHeight="1" s="192">
      <c r="W1798" s="239" t="n"/>
      <c r="X1798" s="239" t="n"/>
    </row>
    <row r="1800" ht="14.25" customHeight="1" s="192">
      <c r="W1800" s="235" t="n"/>
      <c r="X1800" s="235" t="n"/>
    </row>
    <row r="1801" ht="15" customHeight="1" s="192" thickBot="1">
      <c r="W1801" s="239" t="n"/>
      <c r="X1801" s="239" t="n"/>
    </row>
    <row r="1802" ht="15" customHeight="1" s="192" thickBot="1">
      <c r="W1802" s="45" t="n"/>
      <c r="X1802" s="45" t="n"/>
    </row>
    <row r="1803" ht="14.25" customHeight="1" s="192">
      <c r="W1803" s="228" t="n"/>
      <c r="X1803" s="228" t="n"/>
    </row>
    <row r="1804" ht="14.25" customHeight="1" s="192">
      <c r="W1804" s="228" t="n"/>
      <c r="X1804" s="228" t="n"/>
    </row>
    <row r="1805" ht="14.25" customHeight="1" s="192">
      <c r="W1805" s="231" t="n"/>
      <c r="X1805" s="231" t="n"/>
    </row>
    <row r="1806" ht="14.25" customHeight="1" s="192">
      <c r="W1806" s="33" t="n"/>
      <c r="X1806" s="33" t="n"/>
    </row>
    <row r="1807" ht="14.25" customHeight="1" s="192">
      <c r="W1807" s="231" t="n"/>
      <c r="X1807" s="231" t="n"/>
    </row>
    <row r="1808" ht="14.25" customHeight="1" s="192">
      <c r="W1808" s="33" t="n"/>
      <c r="X1808" s="33" t="n"/>
    </row>
    <row r="1810" ht="14.25" customHeight="1" s="192">
      <c r="W1810" s="231" t="n"/>
      <c r="X1810" s="231" t="n"/>
    </row>
    <row r="1811" ht="14.25" customHeight="1" s="192">
      <c r="W1811" s="235" t="n"/>
      <c r="X1811" s="235" t="n"/>
    </row>
    <row r="1812" ht="14.25" customHeight="1" s="192">
      <c r="W1812" s="228" t="n"/>
      <c r="X1812" s="228" t="n"/>
    </row>
    <row r="1813" ht="14.25" customHeight="1" s="192">
      <c r="W1813" s="235" t="n"/>
      <c r="X1813" s="235" t="n"/>
    </row>
    <row r="1814" ht="14.25" customHeight="1" s="192">
      <c r="W1814" s="235" t="n"/>
      <c r="X1814" s="235" t="n"/>
    </row>
    <row r="1815" ht="14.25" customHeight="1" s="192">
      <c r="W1815" s="235" t="n"/>
      <c r="X1815" s="235" t="n"/>
    </row>
    <row r="1816" ht="14.25" customHeight="1" s="192">
      <c r="W1816" s="239" t="n"/>
      <c r="X1816" s="239" t="n"/>
    </row>
    <row r="1817" ht="14.25" customHeight="1" s="192">
      <c r="W1817" s="239" t="n"/>
      <c r="X1817" s="239" t="n"/>
    </row>
    <row r="1818" ht="14.25" customHeight="1" s="192">
      <c r="W1818" s="239" t="n"/>
      <c r="X1818" s="239" t="n"/>
    </row>
    <row r="1819" ht="14.25" customHeight="1" s="192">
      <c r="W1819" s="235" t="n"/>
      <c r="X1819" s="235" t="n"/>
    </row>
    <row r="1820" ht="14.25" customHeight="1" s="192">
      <c r="W1820" s="235" t="n"/>
      <c r="X1820" s="235" t="n"/>
    </row>
    <row r="1821" ht="14.25" customHeight="1" s="192">
      <c r="W1821" s="235" t="n"/>
      <c r="X1821" s="235" t="n"/>
    </row>
    <row r="1822" ht="14.25" customHeight="1" s="192">
      <c r="W1822" s="239" t="n"/>
      <c r="X1822" s="239" t="n"/>
    </row>
    <row r="1823" ht="14.25" customHeight="1" s="192">
      <c r="W1823" s="239" t="n"/>
      <c r="X1823" s="239" t="n"/>
    </row>
    <row r="1824" ht="14.25" customHeight="1" s="192">
      <c r="W1824" s="235" t="n"/>
      <c r="X1824" s="235" t="n"/>
    </row>
    <row r="1825" ht="14.25" customHeight="1" s="192">
      <c r="W1825" s="235" t="n"/>
      <c r="X1825" s="235" t="n"/>
    </row>
    <row r="1826" ht="14.25" customHeight="1" s="192">
      <c r="W1826" s="239" t="n"/>
      <c r="X1826" s="239" t="n"/>
    </row>
    <row r="1827" ht="14.25" customHeight="1" s="192">
      <c r="W1827" s="235" t="n"/>
      <c r="X1827" s="235" t="n"/>
    </row>
    <row r="1828" ht="14.25" customHeight="1" s="192">
      <c r="W1828" s="239" t="n"/>
      <c r="X1828" s="239" t="n"/>
    </row>
    <row r="1830" ht="14.25" customHeight="1" s="192">
      <c r="W1830" s="235" t="n"/>
      <c r="X1830" s="235" t="n"/>
    </row>
    <row r="1831" ht="15" customHeight="1" s="192" thickBot="1">
      <c r="W1831" s="239" t="n"/>
      <c r="X1831" s="239" t="n"/>
    </row>
    <row r="1832" ht="15" customHeight="1" s="192" thickBot="1">
      <c r="W1832" s="45" t="n"/>
      <c r="X1832" s="45" t="n"/>
    </row>
    <row r="1833" ht="14.25" customHeight="1" s="192">
      <c r="W1833" s="228" t="n"/>
      <c r="X1833" s="228" t="n"/>
    </row>
    <row r="1834" ht="14.25" customHeight="1" s="192">
      <c r="W1834" s="228" t="n"/>
      <c r="X1834" s="228" t="n"/>
    </row>
    <row r="1835" ht="14.25" customHeight="1" s="192">
      <c r="W1835" s="231" t="n"/>
      <c r="X1835" s="231" t="n"/>
    </row>
    <row r="1836" ht="14.25" customHeight="1" s="192">
      <c r="W1836" s="33" t="n"/>
      <c r="X1836" s="33" t="n"/>
    </row>
    <row r="1837" ht="14.25" customHeight="1" s="192">
      <c r="W1837" s="231" t="n"/>
      <c r="X1837" s="231" t="n"/>
    </row>
    <row r="1838" ht="14.25" customHeight="1" s="192">
      <c r="W1838" s="33" t="n"/>
      <c r="X1838" s="33" t="n"/>
    </row>
    <row r="1840" ht="14.25" customHeight="1" s="192">
      <c r="W1840" s="231" t="n"/>
      <c r="X1840" s="231" t="n"/>
    </row>
    <row r="1841" ht="14.25" customHeight="1" s="192">
      <c r="W1841" s="235" t="n"/>
      <c r="X1841" s="235" t="n"/>
    </row>
    <row r="1842" ht="14.25" customHeight="1" s="192">
      <c r="W1842" s="228" t="n"/>
      <c r="X1842" s="228" t="n"/>
    </row>
    <row r="1843" ht="14.25" customHeight="1" s="192">
      <c r="W1843" s="235" t="n"/>
      <c r="X1843" s="235" t="n"/>
    </row>
    <row r="1844" ht="14.25" customHeight="1" s="192">
      <c r="W1844" s="235" t="n"/>
      <c r="X1844" s="235" t="n"/>
    </row>
    <row r="1845" ht="14.25" customHeight="1" s="192">
      <c r="W1845" s="235" t="n"/>
      <c r="X1845" s="235" t="n"/>
    </row>
    <row r="1846" ht="14.25" customHeight="1" s="192">
      <c r="W1846" s="239" t="n"/>
      <c r="X1846" s="239" t="n"/>
    </row>
    <row r="1847" ht="14.25" customHeight="1" s="192">
      <c r="W1847" s="239" t="n"/>
      <c r="X1847" s="239" t="n"/>
    </row>
    <row r="1848" ht="14.25" customHeight="1" s="192">
      <c r="W1848" s="239" t="n"/>
      <c r="X1848" s="239" t="n"/>
    </row>
    <row r="1849" ht="14.25" customHeight="1" s="192">
      <c r="W1849" s="235" t="n"/>
      <c r="X1849" s="235" t="n"/>
    </row>
    <row r="1850" ht="14.25" customHeight="1" s="192">
      <c r="W1850" s="235" t="n"/>
      <c r="X1850" s="235" t="n"/>
    </row>
    <row r="1851" ht="14.25" customHeight="1" s="192">
      <c r="W1851" s="235" t="n"/>
      <c r="X1851" s="235" t="n"/>
    </row>
    <row r="1852" ht="14.25" customHeight="1" s="192">
      <c r="W1852" s="239" t="n"/>
      <c r="X1852" s="239" t="n"/>
    </row>
    <row r="1853" ht="14.25" customHeight="1" s="192">
      <c r="W1853" s="239" t="n"/>
      <c r="X1853" s="239" t="n"/>
    </row>
    <row r="1854" ht="14.25" customHeight="1" s="192">
      <c r="W1854" s="235" t="n"/>
      <c r="X1854" s="235" t="n"/>
    </row>
    <row r="1855" ht="14.25" customHeight="1" s="192">
      <c r="W1855" s="235" t="n"/>
      <c r="X1855" s="235" t="n"/>
    </row>
    <row r="1856" ht="14.25" customHeight="1" s="192">
      <c r="W1856" s="239" t="n"/>
      <c r="X1856" s="239" t="n"/>
    </row>
    <row r="1857" ht="14.25" customHeight="1" s="192">
      <c r="W1857" s="235" t="n"/>
      <c r="X1857" s="235" t="n"/>
    </row>
    <row r="1858" ht="14.25" customHeight="1" s="192">
      <c r="W1858" s="239" t="n"/>
      <c r="X1858" s="239" t="n"/>
    </row>
    <row r="1860" ht="14.25" customHeight="1" s="192">
      <c r="W1860" s="235" t="n"/>
      <c r="X1860" s="235" t="n"/>
    </row>
    <row r="1861" ht="15" customHeight="1" s="192" thickBot="1">
      <c r="W1861" s="239" t="n"/>
      <c r="X1861" s="239" t="n"/>
    </row>
    <row r="1862" ht="15" customHeight="1" s="192" thickBot="1">
      <c r="W1862" s="45" t="n"/>
      <c r="X1862" s="45" t="n"/>
    </row>
    <row r="1863" ht="14.25" customHeight="1" s="192">
      <c r="W1863" s="228" t="n"/>
      <c r="X1863" s="228" t="n"/>
    </row>
    <row r="1864" ht="14.25" customHeight="1" s="192">
      <c r="W1864" s="228" t="n"/>
      <c r="X1864" s="228" t="n"/>
    </row>
    <row r="1865" ht="14.25" customHeight="1" s="192">
      <c r="W1865" s="231" t="n"/>
      <c r="X1865" s="231" t="n"/>
    </row>
    <row r="1866" ht="14.25" customHeight="1" s="192">
      <c r="W1866" s="33" t="n"/>
      <c r="X1866" s="33" t="n"/>
    </row>
    <row r="1867" ht="14.25" customHeight="1" s="192">
      <c r="W1867" s="231" t="n"/>
      <c r="X1867" s="231" t="n"/>
    </row>
    <row r="1868" ht="14.25" customHeight="1" s="192">
      <c r="W1868" s="33" t="n"/>
      <c r="X1868" s="33" t="n"/>
    </row>
    <row r="1870" ht="14.25" customHeight="1" s="192">
      <c r="W1870" s="231" t="n"/>
      <c r="X1870" s="231" t="n"/>
    </row>
    <row r="1871" ht="14.25" customHeight="1" s="192">
      <c r="W1871" s="235" t="n"/>
      <c r="X1871" s="235" t="n"/>
    </row>
    <row r="1872" ht="14.25" customHeight="1" s="192">
      <c r="W1872" s="228" t="n"/>
      <c r="X1872" s="228" t="n"/>
    </row>
    <row r="1873" ht="14.25" customHeight="1" s="192">
      <c r="W1873" s="235" t="n"/>
      <c r="X1873" s="235" t="n"/>
    </row>
    <row r="1874" ht="14.25" customHeight="1" s="192">
      <c r="W1874" s="235" t="n"/>
      <c r="X1874" s="235" t="n"/>
    </row>
    <row r="1875" ht="14.25" customHeight="1" s="192">
      <c r="W1875" s="235" t="n"/>
      <c r="X1875" s="235" t="n"/>
    </row>
    <row r="1876" ht="14.25" customHeight="1" s="192">
      <c r="W1876" s="239" t="n"/>
      <c r="X1876" s="239" t="n"/>
    </row>
    <row r="1877" ht="14.25" customHeight="1" s="192">
      <c r="W1877" s="239" t="n"/>
      <c r="X1877" s="239" t="n"/>
    </row>
    <row r="1878" ht="14.25" customHeight="1" s="192">
      <c r="W1878" s="239" t="n"/>
      <c r="X1878" s="239" t="n"/>
    </row>
    <row r="1879" ht="14.25" customHeight="1" s="192">
      <c r="W1879" s="235" t="n"/>
      <c r="X1879" s="235" t="n"/>
    </row>
    <row r="1880" ht="14.25" customHeight="1" s="192">
      <c r="W1880" s="235" t="n"/>
      <c r="X1880" s="235" t="n"/>
    </row>
    <row r="1881" ht="14.25" customHeight="1" s="192">
      <c r="W1881" s="235" t="n"/>
      <c r="X1881" s="235" t="n"/>
    </row>
    <row r="1882" ht="14.25" customHeight="1" s="192">
      <c r="W1882" s="239" t="n"/>
      <c r="X1882" s="239" t="n"/>
    </row>
    <row r="1883" ht="14.25" customHeight="1" s="192">
      <c r="W1883" s="239" t="n"/>
      <c r="X1883" s="239" t="n"/>
    </row>
    <row r="1884" ht="14.25" customHeight="1" s="192">
      <c r="W1884" s="235" t="n"/>
      <c r="X1884" s="235" t="n"/>
    </row>
    <row r="1885" ht="14.25" customHeight="1" s="192">
      <c r="W1885" s="235" t="n"/>
      <c r="X1885" s="235" t="n"/>
    </row>
    <row r="1886" ht="14.25" customHeight="1" s="192">
      <c r="W1886" s="239" t="n"/>
      <c r="X1886" s="239" t="n"/>
    </row>
    <row r="1887" ht="14.25" customHeight="1" s="192">
      <c r="W1887" s="235" t="n"/>
      <c r="X1887" s="235" t="n"/>
    </row>
    <row r="1888" ht="14.25" customHeight="1" s="192">
      <c r="W1888" s="239" t="n"/>
      <c r="X1888" s="239" t="n"/>
    </row>
    <row r="1890" ht="14.25" customHeight="1" s="192">
      <c r="W1890" s="235" t="n"/>
      <c r="X1890" s="235" t="n"/>
    </row>
    <row r="1891" ht="15" customHeight="1" s="192" thickBot="1">
      <c r="W1891" s="239" t="n"/>
      <c r="X1891" s="239" t="n"/>
    </row>
    <row r="1892" ht="15" customHeight="1" s="192" thickBot="1">
      <c r="W1892" s="45" t="n"/>
      <c r="X1892" s="45" t="n"/>
    </row>
    <row r="1893" ht="14.25" customHeight="1" s="192">
      <c r="W1893" s="228" t="n"/>
      <c r="X1893" s="228" t="n"/>
    </row>
    <row r="1894" ht="14.25" customHeight="1" s="192">
      <c r="W1894" s="228" t="n"/>
      <c r="X1894" s="228" t="n"/>
    </row>
    <row r="1895" ht="14.25" customHeight="1" s="192">
      <c r="W1895" s="231" t="n"/>
      <c r="X1895" s="231" t="n"/>
    </row>
    <row r="1896" ht="14.25" customHeight="1" s="192">
      <c r="W1896" s="33" t="n"/>
      <c r="X1896" s="33" t="n"/>
    </row>
    <row r="1897" ht="14.25" customHeight="1" s="192">
      <c r="W1897" s="231" t="n"/>
      <c r="X1897" s="231" t="n"/>
    </row>
    <row r="1898" ht="14.25" customHeight="1" s="192">
      <c r="W1898" s="33" t="n"/>
      <c r="X1898" s="33" t="n"/>
    </row>
    <row r="1900" ht="14.25" customHeight="1" s="192">
      <c r="W1900" s="231" t="n"/>
      <c r="X1900" s="231" t="n"/>
    </row>
    <row r="1901" ht="14.25" customHeight="1" s="192">
      <c r="W1901" s="235" t="n"/>
      <c r="X1901" s="235" t="n"/>
    </row>
    <row r="1902" ht="14.25" customHeight="1" s="192">
      <c r="W1902" s="228" t="n"/>
      <c r="X1902" s="228" t="n"/>
    </row>
    <row r="1903" ht="14.25" customHeight="1" s="192">
      <c r="W1903" s="235" t="n"/>
      <c r="X1903" s="235" t="n"/>
    </row>
    <row r="1904" ht="14.25" customHeight="1" s="192">
      <c r="W1904" s="235" t="n"/>
      <c r="X1904" s="235" t="n"/>
    </row>
    <row r="1905" ht="14.25" customHeight="1" s="192">
      <c r="W1905" s="235" t="n"/>
      <c r="X1905" s="235" t="n"/>
    </row>
    <row r="1906" ht="14.25" customHeight="1" s="192">
      <c r="W1906" s="239" t="n"/>
      <c r="X1906" s="239" t="n"/>
    </row>
    <row r="1907" ht="14.25" customHeight="1" s="192">
      <c r="W1907" s="239" t="n"/>
      <c r="X1907" s="239" t="n"/>
    </row>
    <row r="1908" ht="14.25" customHeight="1" s="192">
      <c r="W1908" s="239" t="n"/>
      <c r="X1908" s="239" t="n"/>
    </row>
    <row r="1909" ht="14.25" customHeight="1" s="192">
      <c r="W1909" s="235" t="n"/>
      <c r="X1909" s="235" t="n"/>
    </row>
    <row r="1910" ht="14.25" customHeight="1" s="192">
      <c r="W1910" s="235" t="n"/>
      <c r="X1910" s="235" t="n"/>
    </row>
    <row r="1911" ht="14.25" customHeight="1" s="192">
      <c r="W1911" s="235" t="n"/>
      <c r="X1911" s="235" t="n"/>
    </row>
    <row r="1912" ht="14.25" customHeight="1" s="192">
      <c r="W1912" s="239" t="n"/>
      <c r="X1912" s="239" t="n"/>
    </row>
    <row r="1913" ht="14.25" customHeight="1" s="192">
      <c r="W1913" s="239" t="n"/>
      <c r="X1913" s="239" t="n"/>
    </row>
    <row r="1914" ht="14.25" customHeight="1" s="192">
      <c r="W1914" s="235" t="n"/>
      <c r="X1914" s="235" t="n"/>
    </row>
    <row r="1915" ht="14.25" customHeight="1" s="192">
      <c r="W1915" s="235" t="n"/>
      <c r="X1915" s="235" t="n"/>
    </row>
    <row r="1916" ht="14.25" customHeight="1" s="192">
      <c r="W1916" s="239" t="n"/>
      <c r="X1916" s="239" t="n"/>
    </row>
    <row r="1917" ht="14.25" customHeight="1" s="192">
      <c r="W1917" s="235" t="n"/>
      <c r="X1917" s="235" t="n"/>
    </row>
    <row r="1918" ht="14.25" customHeight="1" s="192">
      <c r="W1918" s="239" t="n"/>
      <c r="X1918" s="239" t="n"/>
    </row>
    <row r="1920" ht="14.25" customHeight="1" s="192">
      <c r="W1920" s="235" t="n"/>
      <c r="X1920" s="235" t="n"/>
    </row>
    <row r="1921" ht="15" customHeight="1" s="192" thickBot="1">
      <c r="W1921" s="239" t="n"/>
      <c r="X1921" s="239" t="n"/>
    </row>
    <row r="1922" ht="15" customHeight="1" s="192" thickBot="1">
      <c r="W1922" s="45" t="n"/>
      <c r="X1922" s="45" t="n"/>
    </row>
    <row r="1923" ht="14.25" customHeight="1" s="192">
      <c r="W1923" s="228" t="n"/>
      <c r="X1923" s="228" t="n"/>
    </row>
    <row r="1924" ht="14.25" customHeight="1" s="192">
      <c r="W1924" s="228" t="n"/>
      <c r="X1924" s="228" t="n"/>
    </row>
    <row r="1925" ht="14.25" customHeight="1" s="192">
      <c r="W1925" s="231" t="n"/>
      <c r="X1925" s="231" t="n"/>
    </row>
    <row r="1926" ht="14.25" customHeight="1" s="192">
      <c r="W1926" s="33" t="n"/>
      <c r="X1926" s="33" t="n"/>
    </row>
    <row r="1927" ht="14.25" customHeight="1" s="192">
      <c r="W1927" s="231" t="n"/>
      <c r="X1927" s="231" t="n"/>
    </row>
    <row r="1928" ht="14.25" customHeight="1" s="192">
      <c r="W1928" s="33" t="n"/>
      <c r="X1928" s="33" t="n"/>
    </row>
    <row r="1930" ht="14.25" customHeight="1" s="192">
      <c r="W1930" s="231" t="n"/>
      <c r="X1930" s="231" t="n"/>
    </row>
    <row r="1931" ht="14.25" customHeight="1" s="192">
      <c r="W1931" s="235" t="n"/>
      <c r="X1931" s="235" t="n"/>
    </row>
    <row r="1932" ht="14.25" customHeight="1" s="192">
      <c r="W1932" s="228" t="n"/>
      <c r="X1932" s="228" t="n"/>
    </row>
    <row r="1933" ht="14.25" customHeight="1" s="192">
      <c r="W1933" s="235" t="n"/>
      <c r="X1933" s="235" t="n"/>
    </row>
    <row r="1934" ht="14.25" customHeight="1" s="192">
      <c r="W1934" s="235" t="n"/>
      <c r="X1934" s="235" t="n"/>
    </row>
    <row r="1935" ht="14.25" customHeight="1" s="192">
      <c r="W1935" s="235" t="n"/>
      <c r="X1935" s="235" t="n"/>
    </row>
    <row r="1936" ht="14.25" customHeight="1" s="192">
      <c r="W1936" s="239" t="n"/>
      <c r="X1936" s="239" t="n"/>
    </row>
    <row r="1937" ht="14.25" customHeight="1" s="192">
      <c r="W1937" s="239" t="n"/>
      <c r="X1937" s="239" t="n"/>
    </row>
    <row r="1938" ht="14.25" customHeight="1" s="192">
      <c r="W1938" s="239" t="n"/>
      <c r="X1938" s="239" t="n"/>
    </row>
    <row r="1939" ht="14.25" customHeight="1" s="192">
      <c r="W1939" s="235" t="n"/>
      <c r="X1939" s="235" t="n"/>
    </row>
    <row r="1940" ht="14.25" customHeight="1" s="192">
      <c r="W1940" s="235" t="n"/>
      <c r="X1940" s="235" t="n"/>
    </row>
    <row r="1941" ht="14.25" customHeight="1" s="192">
      <c r="W1941" s="235" t="n"/>
      <c r="X1941" s="235" t="n"/>
    </row>
    <row r="1942" ht="14.25" customHeight="1" s="192">
      <c r="W1942" s="239" t="n"/>
      <c r="X1942" s="239" t="n"/>
    </row>
    <row r="1943" ht="14.25" customHeight="1" s="192">
      <c r="W1943" s="239" t="n"/>
      <c r="X1943" s="239" t="n"/>
    </row>
    <row r="1944" ht="14.25" customHeight="1" s="192">
      <c r="W1944" s="235" t="n"/>
      <c r="X1944" s="235" t="n"/>
    </row>
    <row r="1945" ht="14.25" customHeight="1" s="192">
      <c r="W1945" s="235" t="n"/>
      <c r="X1945" s="235" t="n"/>
    </row>
    <row r="1946" ht="14.25" customHeight="1" s="192">
      <c r="W1946" s="239" t="n"/>
      <c r="X1946" s="239" t="n"/>
    </row>
    <row r="1947" ht="14.25" customHeight="1" s="192">
      <c r="W1947" s="235" t="n"/>
      <c r="X1947" s="235" t="n"/>
    </row>
    <row r="1948" ht="14.25" customHeight="1" s="192">
      <c r="W1948" s="239" t="n"/>
      <c r="X1948" s="239" t="n"/>
    </row>
    <row r="1950" ht="14.25" customHeight="1" s="192">
      <c r="W1950" s="235" t="n"/>
      <c r="X1950" s="235" t="n"/>
    </row>
    <row r="1951" ht="15" customHeight="1" s="192" thickBot="1">
      <c r="W1951" s="239" t="n"/>
      <c r="X1951" s="239" t="n"/>
    </row>
    <row r="1952" ht="15" customHeight="1" s="192" thickBot="1">
      <c r="W1952" s="45" t="n"/>
      <c r="X1952" s="45" t="n"/>
    </row>
    <row r="1953" ht="14.25" customHeight="1" s="192">
      <c r="W1953" s="228" t="n"/>
      <c r="X1953" s="228" t="n"/>
    </row>
    <row r="1954" ht="14.25" customHeight="1" s="192">
      <c r="W1954" s="228" t="n"/>
      <c r="X1954" s="228" t="n"/>
    </row>
    <row r="1955" ht="14.25" customHeight="1" s="192">
      <c r="W1955" s="231" t="n"/>
      <c r="X1955" s="231" t="n"/>
    </row>
    <row r="1956" ht="14.25" customHeight="1" s="192">
      <c r="W1956" s="33" t="n"/>
      <c r="X1956" s="33" t="n"/>
    </row>
    <row r="1957" ht="14.25" customHeight="1" s="192">
      <c r="W1957" s="231" t="n"/>
      <c r="X1957" s="231" t="n"/>
    </row>
    <row r="1958" ht="14.25" customHeight="1" s="192">
      <c r="W1958" s="33" t="n"/>
      <c r="X1958" s="33" t="n"/>
    </row>
    <row r="1960" ht="14.25" customHeight="1" s="192">
      <c r="W1960" s="231" t="n"/>
      <c r="X1960" s="231" t="n"/>
    </row>
    <row r="1961" ht="14.25" customHeight="1" s="192">
      <c r="W1961" s="235" t="n"/>
      <c r="X1961" s="235" t="n"/>
    </row>
    <row r="1962" ht="14.25" customHeight="1" s="192">
      <c r="W1962" s="228" t="n"/>
      <c r="X1962" s="228" t="n"/>
    </row>
    <row r="1963" ht="14.25" customHeight="1" s="192">
      <c r="W1963" s="235" t="n"/>
      <c r="X1963" s="235" t="n"/>
    </row>
    <row r="1964" ht="14.25" customHeight="1" s="192">
      <c r="W1964" s="235" t="n"/>
      <c r="X1964" s="235" t="n"/>
    </row>
    <row r="1965" ht="14.25" customHeight="1" s="192">
      <c r="W1965" s="235" t="n"/>
      <c r="X1965" s="235" t="n"/>
    </row>
    <row r="1966" ht="14.25" customHeight="1" s="192">
      <c r="W1966" s="239" t="n"/>
      <c r="X1966" s="239" t="n"/>
    </row>
    <row r="1967" ht="14.25" customHeight="1" s="192">
      <c r="W1967" s="239" t="n"/>
      <c r="X1967" s="239" t="n"/>
    </row>
    <row r="1968" ht="14.25" customHeight="1" s="192">
      <c r="W1968" s="239" t="n"/>
      <c r="X1968" s="239" t="n"/>
    </row>
    <row r="1969" ht="14.25" customHeight="1" s="192">
      <c r="W1969" s="235" t="n"/>
      <c r="X1969" s="235" t="n"/>
    </row>
    <row r="1970" ht="14.25" customHeight="1" s="192">
      <c r="W1970" s="235" t="n"/>
      <c r="X1970" s="235" t="n"/>
    </row>
    <row r="1971" ht="14.25" customHeight="1" s="192">
      <c r="W1971" s="235" t="n"/>
      <c r="X1971" s="235" t="n"/>
    </row>
    <row r="1972" ht="14.25" customHeight="1" s="192">
      <c r="W1972" s="239" t="n"/>
      <c r="X1972" s="239" t="n"/>
    </row>
    <row r="1973" ht="14.25" customHeight="1" s="192">
      <c r="W1973" s="239" t="n"/>
      <c r="X1973" s="239" t="n"/>
    </row>
    <row r="1974" ht="14.25" customHeight="1" s="192">
      <c r="W1974" s="235" t="n"/>
      <c r="X1974" s="235" t="n"/>
    </row>
    <row r="1975" ht="14.25" customHeight="1" s="192">
      <c r="W1975" s="235" t="n"/>
      <c r="X1975" s="235" t="n"/>
    </row>
    <row r="1976" ht="14.25" customHeight="1" s="192">
      <c r="W1976" s="239" t="n"/>
      <c r="X1976" s="239" t="n"/>
    </row>
    <row r="1977" ht="14.25" customHeight="1" s="192">
      <c r="W1977" s="235" t="n"/>
      <c r="X1977" s="235" t="n"/>
    </row>
    <row r="1978" ht="14.25" customHeight="1" s="192">
      <c r="W1978" s="239" t="n"/>
      <c r="X1978" s="239" t="n"/>
    </row>
    <row r="1980" ht="14.25" customHeight="1" s="192">
      <c r="W1980" s="235" t="n"/>
      <c r="X1980" s="235" t="n"/>
    </row>
    <row r="1981" ht="15" customHeight="1" s="192" thickBot="1">
      <c r="W1981" s="239" t="n"/>
      <c r="X1981" s="239" t="n"/>
    </row>
    <row r="1982" ht="15" customHeight="1" s="192" thickBot="1">
      <c r="W1982" s="45" t="n"/>
      <c r="X1982" s="45" t="n"/>
    </row>
    <row r="1983" ht="14.25" customHeight="1" s="192">
      <c r="W1983" s="228" t="n"/>
      <c r="X1983" s="228" t="n"/>
    </row>
    <row r="1984" ht="14.25" customHeight="1" s="192">
      <c r="W1984" s="228" t="n"/>
      <c r="X1984" s="228" t="n"/>
    </row>
    <row r="1985" ht="14.25" customHeight="1" s="192">
      <c r="W1985" s="231" t="n"/>
      <c r="X1985" s="231" t="n"/>
    </row>
    <row r="1986" ht="14.25" customHeight="1" s="192">
      <c r="W1986" s="33" t="n"/>
      <c r="X1986" s="33" t="n"/>
    </row>
    <row r="1987" ht="14.25" customHeight="1" s="192">
      <c r="W1987" s="231" t="n"/>
      <c r="X1987" s="231" t="n"/>
    </row>
    <row r="1988" ht="14.25" customHeight="1" s="192">
      <c r="W1988" s="33" t="n"/>
      <c r="X1988" s="33" t="n"/>
    </row>
    <row r="1990" ht="14.25" customHeight="1" s="192">
      <c r="W1990" s="231" t="n"/>
      <c r="X1990" s="231" t="n"/>
    </row>
    <row r="1991" ht="14.25" customHeight="1" s="192">
      <c r="W1991" s="235" t="n"/>
      <c r="X1991" s="235" t="n"/>
    </row>
    <row r="1992" ht="14.25" customHeight="1" s="192">
      <c r="W1992" s="228" t="n"/>
      <c r="X1992" s="228" t="n"/>
    </row>
    <row r="1993" ht="14.25" customHeight="1" s="192">
      <c r="W1993" s="235" t="n"/>
      <c r="X1993" s="235" t="n"/>
    </row>
    <row r="1994" ht="14.25" customHeight="1" s="192">
      <c r="W1994" s="235" t="n"/>
      <c r="X1994" s="235" t="n"/>
    </row>
    <row r="1995" ht="14.25" customHeight="1" s="192">
      <c r="W1995" s="235" t="n"/>
      <c r="X1995" s="235" t="n"/>
    </row>
    <row r="1996" ht="14.25" customHeight="1" s="192">
      <c r="W1996" s="239" t="n"/>
      <c r="X1996" s="239" t="n"/>
    </row>
    <row r="1997" ht="14.25" customHeight="1" s="192">
      <c r="W1997" s="239" t="n"/>
      <c r="X1997" s="239" t="n"/>
    </row>
    <row r="1998" ht="14.25" customHeight="1" s="192">
      <c r="W1998" s="239" t="n"/>
      <c r="X1998" s="239" t="n"/>
    </row>
    <row r="1999" ht="14.25" customHeight="1" s="192">
      <c r="W1999" s="235" t="n"/>
      <c r="X1999" s="235" t="n"/>
    </row>
    <row r="2000" ht="14.25" customHeight="1" s="192">
      <c r="W2000" s="235" t="n"/>
      <c r="X2000" s="235" t="n"/>
    </row>
    <row r="2001" ht="14.25" customHeight="1" s="192">
      <c r="W2001" s="235" t="n"/>
      <c r="X2001" s="235" t="n"/>
    </row>
    <row r="2002" ht="14.25" customHeight="1" s="192">
      <c r="W2002" s="239" t="n"/>
      <c r="X2002" s="239" t="n"/>
    </row>
    <row r="2003" ht="14.25" customHeight="1" s="192">
      <c r="W2003" s="239" t="n"/>
      <c r="X2003" s="239" t="n"/>
    </row>
    <row r="2004" ht="14.25" customHeight="1" s="192">
      <c r="W2004" s="235" t="n"/>
      <c r="X2004" s="235" t="n"/>
    </row>
    <row r="2005" ht="14.25" customHeight="1" s="192">
      <c r="W2005" s="235" t="n"/>
      <c r="X2005" s="235" t="n"/>
    </row>
    <row r="2006" ht="14.25" customHeight="1" s="192">
      <c r="W2006" s="239" t="n"/>
      <c r="X2006" s="239" t="n"/>
    </row>
    <row r="2007" ht="14.25" customHeight="1" s="192">
      <c r="W2007" s="235" t="n"/>
      <c r="X2007" s="235" t="n"/>
    </row>
    <row r="2008" ht="14.25" customHeight="1" s="192">
      <c r="W2008" s="239" t="n"/>
      <c r="X2008" s="239" t="n"/>
    </row>
    <row r="2010" ht="14.25" customHeight="1" s="192">
      <c r="W2010" s="235" t="n"/>
      <c r="X2010" s="235" t="n"/>
    </row>
    <row r="2011" ht="15" customHeight="1" s="192" thickBot="1">
      <c r="W2011" s="239" t="n"/>
      <c r="X2011" s="239" t="n"/>
    </row>
    <row r="2012" ht="15" customHeight="1" s="192" thickBot="1">
      <c r="W2012" s="45" t="n"/>
      <c r="X2012" s="45" t="n"/>
    </row>
    <row r="2013" ht="14.25" customHeight="1" s="192">
      <c r="W2013" s="228" t="n"/>
      <c r="X2013" s="228" t="n"/>
    </row>
    <row r="2014" ht="14.25" customHeight="1" s="192">
      <c r="W2014" s="228" t="n"/>
      <c r="X2014" s="228" t="n"/>
    </row>
    <row r="2015" ht="14.25" customHeight="1" s="192">
      <c r="W2015" s="231" t="n"/>
      <c r="X2015" s="231" t="n"/>
    </row>
    <row r="2016" ht="14.25" customHeight="1" s="192">
      <c r="W2016" s="33" t="n"/>
      <c r="X2016" s="33" t="n"/>
    </row>
    <row r="2017" ht="14.25" customHeight="1" s="192">
      <c r="W2017" s="231" t="n"/>
      <c r="X2017" s="231" t="n"/>
    </row>
    <row r="2018" ht="14.25" customHeight="1" s="192">
      <c r="W2018" s="33" t="n"/>
      <c r="X2018" s="33" t="n"/>
    </row>
    <row r="2020" ht="14.25" customHeight="1" s="192">
      <c r="W2020" s="231" t="n"/>
      <c r="X2020" s="231" t="n"/>
    </row>
    <row r="2021" ht="14.25" customHeight="1" s="192">
      <c r="W2021" s="235" t="n"/>
      <c r="X2021" s="235" t="n"/>
    </row>
    <row r="2022" ht="14.25" customHeight="1" s="192">
      <c r="W2022" s="228" t="n"/>
      <c r="X2022" s="228" t="n"/>
    </row>
    <row r="2023" ht="14.25" customHeight="1" s="192">
      <c r="W2023" s="235" t="n"/>
      <c r="X2023" s="235" t="n"/>
    </row>
    <row r="2024" ht="14.25" customHeight="1" s="192">
      <c r="W2024" s="235" t="n"/>
      <c r="X2024" s="235" t="n"/>
    </row>
    <row r="2025" ht="14.25" customHeight="1" s="192">
      <c r="W2025" s="235" t="n"/>
      <c r="X2025" s="235" t="n"/>
    </row>
    <row r="2026" ht="14.25" customHeight="1" s="192">
      <c r="W2026" s="239" t="n"/>
      <c r="X2026" s="239" t="n"/>
    </row>
    <row r="2027" ht="14.25" customHeight="1" s="192">
      <c r="W2027" s="239" t="n"/>
      <c r="X2027" s="239" t="n"/>
    </row>
    <row r="2028" ht="14.25" customHeight="1" s="192">
      <c r="W2028" s="239" t="n"/>
      <c r="X2028" s="239" t="n"/>
    </row>
    <row r="2029" ht="14.25" customHeight="1" s="192">
      <c r="W2029" s="235" t="n"/>
      <c r="X2029" s="235" t="n"/>
    </row>
    <row r="2030" ht="14.25" customHeight="1" s="192">
      <c r="W2030" s="235" t="n"/>
      <c r="X2030" s="235" t="n"/>
    </row>
    <row r="2031" ht="14.25" customHeight="1" s="192">
      <c r="W2031" s="235" t="n"/>
      <c r="X2031" s="235" t="n"/>
    </row>
    <row r="2032" ht="14.25" customHeight="1" s="192">
      <c r="W2032" s="239" t="n"/>
      <c r="X2032" s="239" t="n"/>
    </row>
    <row r="2033" ht="14.25" customHeight="1" s="192">
      <c r="W2033" s="239" t="n"/>
      <c r="X2033" s="239" t="n"/>
    </row>
    <row r="2034" ht="14.25" customHeight="1" s="192">
      <c r="W2034" s="235" t="n"/>
      <c r="X2034" s="235" t="n"/>
    </row>
    <row r="2035" ht="14.25" customHeight="1" s="192">
      <c r="W2035" s="235" t="n"/>
      <c r="X2035" s="235" t="n"/>
    </row>
    <row r="2036" ht="14.25" customHeight="1" s="192">
      <c r="W2036" s="239" t="n"/>
      <c r="X2036" s="239" t="n"/>
    </row>
    <row r="2037" ht="14.25" customHeight="1" s="192">
      <c r="W2037" s="235" t="n"/>
      <c r="X2037" s="235" t="n"/>
    </row>
    <row r="2038" ht="14.25" customHeight="1" s="192">
      <c r="W2038" s="239" t="n"/>
      <c r="X2038" s="239" t="n"/>
    </row>
    <row r="2040" ht="14.25" customHeight="1" s="192">
      <c r="W2040" s="235" t="n"/>
      <c r="X2040" s="235" t="n"/>
    </row>
    <row r="2041" ht="15" customHeight="1" s="192" thickBot="1">
      <c r="W2041" s="239" t="n"/>
      <c r="X2041" s="239" t="n"/>
    </row>
    <row r="2042" ht="15" customHeight="1" s="192" thickBot="1">
      <c r="W2042" s="45" t="n"/>
      <c r="X2042" s="45" t="n"/>
    </row>
    <row r="2043" ht="14.25" customHeight="1" s="192">
      <c r="W2043" s="228" t="n"/>
      <c r="X2043" s="228" t="n"/>
    </row>
    <row r="2044" ht="14.25" customHeight="1" s="192">
      <c r="W2044" s="228" t="n"/>
      <c r="X2044" s="228" t="n"/>
    </row>
    <row r="2045" ht="14.25" customHeight="1" s="192">
      <c r="W2045" s="231" t="n"/>
      <c r="X2045" s="231" t="n"/>
    </row>
    <row r="2046" ht="14.25" customHeight="1" s="192">
      <c r="W2046" s="33" t="n"/>
      <c r="X2046" s="33" t="n"/>
    </row>
    <row r="2047" ht="14.25" customHeight="1" s="192">
      <c r="W2047" s="231" t="n"/>
      <c r="X2047" s="231" t="n"/>
    </row>
    <row r="2048" ht="14.25" customHeight="1" s="192">
      <c r="W2048" s="33" t="n"/>
      <c r="X2048" s="33" t="n"/>
    </row>
    <row r="2050" ht="14.25" customHeight="1" s="192">
      <c r="W2050" s="231" t="n"/>
      <c r="X2050" s="231" t="n"/>
    </row>
    <row r="2051" ht="14.25" customHeight="1" s="192">
      <c r="W2051" s="235" t="n"/>
      <c r="X2051" s="235" t="n"/>
    </row>
    <row r="2052" ht="14.25" customHeight="1" s="192">
      <c r="W2052" s="228" t="n"/>
      <c r="X2052" s="228" t="n"/>
    </row>
    <row r="2053" ht="14.25" customHeight="1" s="192">
      <c r="W2053" s="235" t="n"/>
      <c r="X2053" s="235" t="n"/>
    </row>
    <row r="2054" ht="14.25" customHeight="1" s="192">
      <c r="W2054" s="235" t="n"/>
      <c r="X2054" s="235" t="n"/>
    </row>
    <row r="2055" ht="14.25" customHeight="1" s="192">
      <c r="W2055" s="235" t="n"/>
      <c r="X2055" s="235" t="n"/>
    </row>
    <row r="2056" ht="14.25" customHeight="1" s="192">
      <c r="W2056" s="239" t="n"/>
      <c r="X2056" s="239" t="n"/>
    </row>
    <row r="2057" ht="14.25" customHeight="1" s="192">
      <c r="W2057" s="239" t="n"/>
      <c r="X2057" s="239" t="n"/>
    </row>
    <row r="2058" ht="14.25" customHeight="1" s="192">
      <c r="W2058" s="239" t="n"/>
      <c r="X2058" s="239" t="n"/>
    </row>
    <row r="2059" ht="14.25" customHeight="1" s="192">
      <c r="W2059" s="235" t="n"/>
      <c r="X2059" s="235" t="n"/>
    </row>
    <row r="2060" ht="14.25" customHeight="1" s="192">
      <c r="W2060" s="235" t="n"/>
      <c r="X2060" s="235" t="n"/>
    </row>
    <row r="2061" ht="14.25" customHeight="1" s="192">
      <c r="W2061" s="235" t="n"/>
      <c r="X2061" s="235" t="n"/>
    </row>
    <row r="2062" ht="14.25" customHeight="1" s="192">
      <c r="W2062" s="239" t="n"/>
      <c r="X2062" s="239" t="n"/>
    </row>
    <row r="2063" ht="14.25" customHeight="1" s="192">
      <c r="W2063" s="239" t="n"/>
      <c r="X2063" s="239" t="n"/>
    </row>
    <row r="2064" ht="14.25" customHeight="1" s="192">
      <c r="W2064" s="235" t="n"/>
      <c r="X2064" s="235" t="n"/>
    </row>
    <row r="2065" ht="14.25" customHeight="1" s="192">
      <c r="W2065" s="235" t="n"/>
      <c r="X2065" s="235" t="n"/>
    </row>
    <row r="2066" ht="14.25" customHeight="1" s="192">
      <c r="W2066" s="239" t="n"/>
      <c r="X2066" s="239" t="n"/>
    </row>
    <row r="2067" ht="14.25" customHeight="1" s="192">
      <c r="W2067" s="235" t="n"/>
      <c r="X2067" s="235" t="n"/>
    </row>
    <row r="2068" ht="14.25" customHeight="1" s="192">
      <c r="W2068" s="239" t="n"/>
      <c r="X2068" s="239" t="n"/>
    </row>
    <row r="2070" ht="14.25" customHeight="1" s="192">
      <c r="W2070" s="235" t="n"/>
      <c r="X2070" s="235" t="n"/>
    </row>
    <row r="2071" ht="15" customHeight="1" s="192" thickBot="1">
      <c r="W2071" s="239" t="n"/>
      <c r="X2071" s="239" t="n"/>
    </row>
    <row r="2072" ht="15" customHeight="1" s="192" thickBot="1">
      <c r="W2072" s="45" t="n"/>
      <c r="X2072" s="45" t="n"/>
    </row>
    <row r="2073" ht="14.25" customHeight="1" s="192">
      <c r="W2073" s="228" t="n"/>
      <c r="X2073" s="228" t="n"/>
    </row>
    <row r="2074" ht="14.25" customHeight="1" s="192">
      <c r="W2074" s="228" t="n"/>
      <c r="X2074" s="228" t="n"/>
    </row>
    <row r="2075" ht="14.25" customHeight="1" s="192">
      <c r="W2075" s="231" t="n"/>
      <c r="X2075" s="231" t="n"/>
    </row>
    <row r="2076" ht="14.25" customHeight="1" s="192">
      <c r="W2076" s="33" t="n"/>
      <c r="X2076" s="33" t="n"/>
    </row>
    <row r="2077" ht="14.25" customHeight="1" s="192">
      <c r="W2077" s="231" t="n"/>
      <c r="X2077" s="231" t="n"/>
    </row>
    <row r="2078" ht="14.25" customHeight="1" s="192">
      <c r="W2078" s="33" t="n"/>
      <c r="X2078" s="33" t="n"/>
    </row>
    <row r="2080" ht="14.25" customHeight="1" s="192">
      <c r="W2080" s="231" t="n"/>
      <c r="X2080" s="231" t="n"/>
    </row>
    <row r="2081" ht="14.25" customHeight="1" s="192">
      <c r="W2081" s="235" t="n"/>
      <c r="X2081" s="235" t="n"/>
    </row>
    <row r="2082" ht="14.25" customHeight="1" s="192">
      <c r="W2082" s="228" t="n"/>
      <c r="X2082" s="228" t="n"/>
    </row>
    <row r="2083" ht="14.25" customHeight="1" s="192">
      <c r="W2083" s="235" t="n"/>
      <c r="X2083" s="235" t="n"/>
    </row>
    <row r="2084" ht="14.25" customHeight="1" s="192">
      <c r="W2084" s="235" t="n"/>
      <c r="X2084" s="235" t="n"/>
    </row>
    <row r="2085" ht="14.25" customHeight="1" s="192">
      <c r="W2085" s="235" t="n"/>
      <c r="X2085" s="235" t="n"/>
    </row>
    <row r="2086" ht="14.25" customHeight="1" s="192">
      <c r="W2086" s="239" t="n"/>
      <c r="X2086" s="239" t="n"/>
    </row>
    <row r="2087" ht="14.25" customHeight="1" s="192">
      <c r="W2087" s="239" t="n"/>
      <c r="X2087" s="239" t="n"/>
    </row>
    <row r="2088" ht="14.25" customHeight="1" s="192">
      <c r="W2088" s="239" t="n"/>
      <c r="X2088" s="239" t="n"/>
    </row>
    <row r="2089" ht="14.25" customHeight="1" s="192">
      <c r="W2089" s="235" t="n"/>
      <c r="X2089" s="235" t="n"/>
    </row>
    <row r="2090" ht="14.25" customHeight="1" s="192">
      <c r="W2090" s="235" t="n"/>
      <c r="X2090" s="235" t="n"/>
    </row>
    <row r="2091" ht="14.25" customHeight="1" s="192">
      <c r="W2091" s="235" t="n"/>
      <c r="X2091" s="235" t="n"/>
    </row>
    <row r="2092" ht="14.25" customHeight="1" s="192">
      <c r="W2092" s="239" t="n"/>
      <c r="X2092" s="239" t="n"/>
    </row>
    <row r="2093" ht="14.25" customHeight="1" s="192">
      <c r="W2093" s="239" t="n"/>
      <c r="X2093" s="239" t="n"/>
    </row>
    <row r="2094" ht="14.25" customHeight="1" s="192">
      <c r="W2094" s="235" t="n"/>
      <c r="X2094" s="235" t="n"/>
    </row>
    <row r="2095" ht="14.25" customHeight="1" s="192">
      <c r="W2095" s="235" t="n"/>
      <c r="X2095" s="235" t="n"/>
    </row>
    <row r="2096" ht="14.25" customHeight="1" s="192">
      <c r="W2096" s="239" t="n"/>
      <c r="X2096" s="239" t="n"/>
    </row>
    <row r="2097" ht="14.25" customHeight="1" s="192">
      <c r="W2097" s="235" t="n"/>
      <c r="X2097" s="235" t="n"/>
    </row>
    <row r="2098" ht="14.25" customHeight="1" s="192">
      <c r="W2098" s="239" t="n"/>
      <c r="X2098" s="239" t="n"/>
    </row>
    <row r="2100" ht="14.25" customHeight="1" s="192">
      <c r="W2100" s="235" t="n"/>
      <c r="X2100" s="235" t="n"/>
    </row>
    <row r="2101" ht="15" customHeight="1" s="192" thickBot="1">
      <c r="W2101" s="239" t="n"/>
      <c r="X2101" s="239" t="n"/>
    </row>
    <row r="2102" ht="15" customHeight="1" s="192" thickBot="1">
      <c r="W2102" s="45" t="n"/>
      <c r="X2102" s="45" t="n"/>
    </row>
    <row r="2103" ht="14.25" customHeight="1" s="192">
      <c r="W2103" s="228" t="n"/>
      <c r="X2103" s="228" t="n"/>
    </row>
    <row r="2104" ht="14.25" customHeight="1" s="192">
      <c r="W2104" s="228" t="n"/>
      <c r="X2104" s="228" t="n"/>
    </row>
    <row r="2105" ht="14.25" customHeight="1" s="192">
      <c r="W2105" s="231" t="n"/>
      <c r="X2105" s="231" t="n"/>
    </row>
    <row r="2106" ht="14.25" customHeight="1" s="192">
      <c r="W2106" s="33" t="n"/>
      <c r="X2106" s="33" t="n"/>
    </row>
    <row r="2107" ht="14.25" customHeight="1" s="192">
      <c r="W2107" s="231" t="n"/>
      <c r="X2107" s="231" t="n"/>
    </row>
    <row r="2108" ht="14.25" customHeight="1" s="192">
      <c r="W2108" s="33" t="n"/>
      <c r="X2108" s="33" t="n"/>
    </row>
    <row r="2110" ht="14.25" customHeight="1" s="192">
      <c r="W2110" s="231" t="n"/>
      <c r="X2110" s="231" t="n"/>
    </row>
    <row r="2111" ht="14.25" customHeight="1" s="192">
      <c r="W2111" s="235" t="n"/>
      <c r="X2111" s="235" t="n"/>
    </row>
    <row r="2112" ht="14.25" customHeight="1" s="192">
      <c r="W2112" s="228" t="n"/>
      <c r="X2112" s="228" t="n"/>
    </row>
    <row r="2113" ht="14.25" customHeight="1" s="192">
      <c r="W2113" s="235" t="n"/>
      <c r="X2113" s="235" t="n"/>
    </row>
    <row r="2114" ht="14.25" customHeight="1" s="192">
      <c r="W2114" s="235" t="n"/>
      <c r="X2114" s="235" t="n"/>
    </row>
    <row r="2115" ht="14.25" customHeight="1" s="192">
      <c r="W2115" s="235" t="n"/>
      <c r="X2115" s="235" t="n"/>
    </row>
    <row r="2116" ht="14.25" customHeight="1" s="192">
      <c r="W2116" s="239" t="n"/>
      <c r="X2116" s="239" t="n"/>
    </row>
    <row r="2117" ht="14.25" customHeight="1" s="192">
      <c r="W2117" s="239" t="n"/>
      <c r="X2117" s="239" t="n"/>
    </row>
    <row r="2118" ht="14.25" customHeight="1" s="192">
      <c r="W2118" s="239" t="n"/>
      <c r="X2118" s="239" t="n"/>
    </row>
    <row r="2119" ht="14.25" customHeight="1" s="192">
      <c r="W2119" s="235" t="n"/>
      <c r="X2119" s="235" t="n"/>
    </row>
    <row r="2120" ht="14.25" customHeight="1" s="192">
      <c r="W2120" s="235" t="n"/>
      <c r="X2120" s="235" t="n"/>
    </row>
    <row r="2121" ht="14.25" customHeight="1" s="192">
      <c r="W2121" s="235" t="n"/>
      <c r="X2121" s="235" t="n"/>
    </row>
    <row r="2122" ht="14.25" customHeight="1" s="192">
      <c r="W2122" s="239" t="n"/>
      <c r="X2122" s="239" t="n"/>
    </row>
    <row r="2123" ht="14.25" customHeight="1" s="192">
      <c r="W2123" s="239" t="n"/>
      <c r="X2123" s="239" t="n"/>
    </row>
    <row r="2124" ht="14.25" customHeight="1" s="192">
      <c r="W2124" s="235" t="n"/>
      <c r="X2124" s="235" t="n"/>
    </row>
    <row r="2125" ht="14.25" customHeight="1" s="192">
      <c r="W2125" s="235" t="n"/>
      <c r="X2125" s="235" t="n"/>
    </row>
    <row r="2126" ht="14.25" customHeight="1" s="192">
      <c r="W2126" s="239" t="n"/>
      <c r="X2126" s="239" t="n"/>
    </row>
    <row r="2127" ht="14.25" customHeight="1" s="192">
      <c r="W2127" s="235" t="n"/>
      <c r="X2127" s="235" t="n"/>
    </row>
    <row r="2128" ht="14.25" customHeight="1" s="192">
      <c r="W2128" s="239" t="n"/>
      <c r="X2128" s="239" t="n"/>
    </row>
    <row r="2130" ht="14.25" customHeight="1" s="192">
      <c r="W2130" s="235" t="n"/>
      <c r="X2130" s="235" t="n"/>
    </row>
    <row r="2131" ht="15" customHeight="1" s="192" thickBot="1">
      <c r="W2131" s="239" t="n"/>
      <c r="X2131" s="239" t="n"/>
    </row>
    <row r="2132" ht="15" customHeight="1" s="192" thickBot="1">
      <c r="W2132" s="45" t="n"/>
      <c r="X2132" s="45" t="n"/>
    </row>
    <row r="2133" ht="14.25" customHeight="1" s="192">
      <c r="W2133" s="228" t="n"/>
      <c r="X2133" s="228" t="n"/>
    </row>
    <row r="2134" ht="14.25" customHeight="1" s="192">
      <c r="W2134" s="228" t="n"/>
      <c r="X2134" s="228" t="n"/>
    </row>
    <row r="2135" ht="14.25" customHeight="1" s="192">
      <c r="W2135" s="231" t="n"/>
      <c r="X2135" s="231" t="n"/>
    </row>
    <row r="2136" ht="14.25" customHeight="1" s="192">
      <c r="W2136" s="33" t="n"/>
      <c r="X2136" s="33" t="n"/>
    </row>
    <row r="2137" ht="14.25" customHeight="1" s="192">
      <c r="W2137" s="231" t="n"/>
      <c r="X2137" s="231" t="n"/>
    </row>
    <row r="2138" ht="14.25" customHeight="1" s="192">
      <c r="W2138" s="33" t="n"/>
      <c r="X2138" s="33" t="n"/>
    </row>
    <row r="2140" ht="14.25" customHeight="1" s="192">
      <c r="W2140" s="231" t="n"/>
      <c r="X2140" s="231" t="n"/>
    </row>
    <row r="2141" ht="14.25" customHeight="1" s="192">
      <c r="W2141" s="235" t="n"/>
      <c r="X2141" s="235" t="n"/>
    </row>
    <row r="2142" ht="14.25" customHeight="1" s="192">
      <c r="W2142" s="228" t="n"/>
      <c r="X2142" s="228" t="n"/>
    </row>
    <row r="2143" ht="14.25" customHeight="1" s="192">
      <c r="W2143" s="235" t="n"/>
      <c r="X2143" s="235" t="n"/>
    </row>
    <row r="2144" ht="14.25" customHeight="1" s="192">
      <c r="W2144" s="235" t="n"/>
      <c r="X2144" s="235" t="n"/>
    </row>
    <row r="2145" ht="14.25" customHeight="1" s="192">
      <c r="W2145" s="235" t="n"/>
      <c r="X2145" s="235" t="n"/>
    </row>
    <row r="2146" ht="14.25" customHeight="1" s="192">
      <c r="W2146" s="239" t="n"/>
      <c r="X2146" s="239" t="n"/>
    </row>
    <row r="2147" ht="14.25" customHeight="1" s="192">
      <c r="W2147" s="239" t="n"/>
      <c r="X2147" s="239" t="n"/>
    </row>
    <row r="2148" ht="14.25" customHeight="1" s="192">
      <c r="W2148" s="239" t="n"/>
      <c r="X2148" s="239" t="n"/>
    </row>
    <row r="2149" ht="14.25" customHeight="1" s="192">
      <c r="W2149" s="235" t="n"/>
      <c r="X2149" s="235" t="n"/>
    </row>
    <row r="2150" ht="14.25" customHeight="1" s="192">
      <c r="W2150" s="235" t="n"/>
      <c r="X2150" s="235" t="n"/>
    </row>
    <row r="2151" ht="14.25" customHeight="1" s="192">
      <c r="W2151" s="235" t="n"/>
      <c r="X2151" s="235" t="n"/>
    </row>
    <row r="2152" ht="14.25" customHeight="1" s="192">
      <c r="W2152" s="239" t="n"/>
      <c r="X2152" s="239" t="n"/>
    </row>
    <row r="2153" ht="14.25" customHeight="1" s="192">
      <c r="W2153" s="239" t="n"/>
      <c r="X2153" s="239" t="n"/>
    </row>
    <row r="2154" ht="14.25" customHeight="1" s="192">
      <c r="W2154" s="235" t="n"/>
      <c r="X2154" s="235" t="n"/>
    </row>
    <row r="2155" ht="14.25" customHeight="1" s="192">
      <c r="W2155" s="235" t="n"/>
      <c r="X2155" s="235" t="n"/>
    </row>
    <row r="2156" ht="14.25" customHeight="1" s="192">
      <c r="W2156" s="239" t="n"/>
      <c r="X2156" s="239" t="n"/>
    </row>
    <row r="2157" ht="14.25" customHeight="1" s="192">
      <c r="W2157" s="235" t="n"/>
      <c r="X2157" s="235" t="n"/>
    </row>
    <row r="2158" ht="14.25" customHeight="1" s="192">
      <c r="W2158" s="239" t="n"/>
      <c r="X2158" s="239" t="n"/>
    </row>
    <row r="2160" ht="14.25" customHeight="1" s="192">
      <c r="W2160" s="235" t="n"/>
      <c r="X2160" s="235" t="n"/>
    </row>
    <row r="2161" ht="15" customHeight="1" s="192" thickBot="1">
      <c r="W2161" s="239" t="n"/>
      <c r="X2161" s="239" t="n"/>
    </row>
    <row r="2162" ht="15" customHeight="1" s="192" thickBot="1">
      <c r="W2162" s="45" t="n"/>
      <c r="X2162" s="45" t="n"/>
    </row>
    <row r="2163" ht="14.25" customHeight="1" s="192">
      <c r="W2163" s="228" t="n"/>
      <c r="X2163" s="228" t="n"/>
    </row>
    <row r="2164" ht="14.25" customHeight="1" s="192">
      <c r="W2164" s="228" t="n"/>
      <c r="X2164" s="228" t="n"/>
    </row>
    <row r="2165" ht="14.25" customHeight="1" s="192">
      <c r="W2165" s="231" t="n"/>
      <c r="X2165" s="231" t="n"/>
    </row>
    <row r="2166" ht="14.25" customHeight="1" s="192">
      <c r="W2166" s="33" t="n"/>
      <c r="X2166" s="33" t="n"/>
    </row>
    <row r="2167" ht="14.25" customHeight="1" s="192">
      <c r="W2167" s="231" t="n"/>
      <c r="X2167" s="231" t="n"/>
    </row>
    <row r="2168" ht="14.25" customHeight="1" s="192">
      <c r="W2168" s="33" t="n"/>
      <c r="X2168" s="33" t="n"/>
    </row>
    <row r="2170" ht="14.25" customHeight="1" s="192">
      <c r="W2170" s="231" t="n"/>
      <c r="X2170" s="231" t="n"/>
    </row>
    <row r="2171" ht="14.25" customHeight="1" s="192">
      <c r="W2171" s="235" t="n"/>
      <c r="X2171" s="235" t="n"/>
    </row>
    <row r="2172" ht="14.25" customHeight="1" s="192">
      <c r="W2172" s="228" t="n"/>
      <c r="X2172" s="228" t="n"/>
    </row>
    <row r="2173" ht="14.25" customHeight="1" s="192">
      <c r="W2173" s="235" t="n"/>
      <c r="X2173" s="235" t="n"/>
    </row>
    <row r="2174" ht="14.25" customHeight="1" s="192">
      <c r="W2174" s="235" t="n"/>
      <c r="X2174" s="235" t="n"/>
    </row>
    <row r="2175" ht="14.25" customHeight="1" s="192">
      <c r="W2175" s="235" t="n"/>
      <c r="X2175" s="235" t="n"/>
    </row>
    <row r="2176" ht="14.25" customHeight="1" s="192">
      <c r="W2176" s="239" t="n"/>
      <c r="X2176" s="239" t="n"/>
    </row>
    <row r="2177" ht="14.25" customHeight="1" s="192">
      <c r="W2177" s="239" t="n"/>
      <c r="X2177" s="239" t="n"/>
    </row>
    <row r="2178" ht="14.25" customHeight="1" s="192">
      <c r="W2178" s="239" t="n"/>
      <c r="X2178" s="239" t="n"/>
    </row>
    <row r="2179" ht="14.25" customHeight="1" s="192">
      <c r="W2179" s="235" t="n"/>
      <c r="X2179" s="235" t="n"/>
    </row>
    <row r="2180" ht="14.25" customHeight="1" s="192">
      <c r="W2180" s="235" t="n"/>
      <c r="X2180" s="235" t="n"/>
    </row>
    <row r="2181" ht="14.25" customHeight="1" s="192">
      <c r="W2181" s="235" t="n"/>
      <c r="X2181" s="235" t="n"/>
    </row>
    <row r="2182" ht="14.25" customHeight="1" s="192">
      <c r="W2182" s="239" t="n"/>
      <c r="X2182" s="239" t="n"/>
    </row>
    <row r="2183" ht="14.25" customHeight="1" s="192">
      <c r="W2183" s="239" t="n"/>
      <c r="X2183" s="239" t="n"/>
    </row>
    <row r="2184" ht="14.25" customHeight="1" s="192">
      <c r="W2184" s="235" t="n"/>
      <c r="X2184" s="235" t="n"/>
    </row>
    <row r="2185" ht="14.25" customHeight="1" s="192">
      <c r="W2185" s="235" t="n"/>
      <c r="X2185" s="235" t="n"/>
    </row>
    <row r="2186" ht="14.25" customHeight="1" s="192">
      <c r="W2186" s="239" t="n"/>
      <c r="X2186" s="239" t="n"/>
    </row>
    <row r="2187" ht="14.25" customHeight="1" s="192">
      <c r="W2187" s="235" t="n"/>
      <c r="X2187" s="235" t="n"/>
    </row>
    <row r="2188" ht="14.25" customHeight="1" s="192">
      <c r="W2188" s="239" t="n"/>
      <c r="X2188" s="239" t="n"/>
    </row>
    <row r="2190" ht="14.25" customHeight="1" s="192">
      <c r="W2190" s="235" t="n"/>
      <c r="X2190" s="235" t="n"/>
    </row>
    <row r="2191" ht="15" customHeight="1" s="192" thickBot="1">
      <c r="W2191" s="239" t="n"/>
      <c r="X2191" s="239" t="n"/>
    </row>
    <row r="2192" ht="15" customHeight="1" s="192" thickBot="1">
      <c r="W2192" s="45" t="n"/>
      <c r="X2192" s="45" t="n"/>
    </row>
    <row r="2193" ht="14.25" customHeight="1" s="192">
      <c r="W2193" s="228" t="n"/>
      <c r="X2193" s="228" t="n"/>
    </row>
    <row r="2194" ht="14.25" customHeight="1" s="192">
      <c r="W2194" s="228" t="n"/>
      <c r="X2194" s="228" t="n"/>
    </row>
    <row r="2195" ht="14.25" customHeight="1" s="192">
      <c r="W2195" s="231" t="n"/>
      <c r="X2195" s="231" t="n"/>
    </row>
    <row r="2196" ht="14.25" customHeight="1" s="192">
      <c r="W2196" s="33" t="n"/>
      <c r="X2196" s="33" t="n"/>
    </row>
    <row r="2197" ht="14.25" customHeight="1" s="192">
      <c r="W2197" s="231" t="n"/>
      <c r="X2197" s="231" t="n"/>
    </row>
    <row r="2198" ht="14.25" customHeight="1" s="192">
      <c r="W2198" s="33" t="n"/>
      <c r="X2198" s="33" t="n"/>
    </row>
    <row r="2200" ht="14.25" customHeight="1" s="192">
      <c r="W2200" s="231" t="n"/>
      <c r="X2200" s="231" t="n"/>
    </row>
    <row r="2201" ht="14.25" customHeight="1" s="192">
      <c r="W2201" s="235" t="n"/>
      <c r="X2201" s="235" t="n"/>
    </row>
    <row r="2202" ht="14.25" customHeight="1" s="192">
      <c r="W2202" s="228" t="n"/>
      <c r="X2202" s="228" t="n"/>
    </row>
    <row r="2203" ht="14.25" customHeight="1" s="192">
      <c r="W2203" s="235" t="n"/>
      <c r="X2203" s="235" t="n"/>
    </row>
    <row r="2204" ht="14.25" customHeight="1" s="192">
      <c r="W2204" s="235" t="n"/>
      <c r="X2204" s="235" t="n"/>
    </row>
    <row r="2205" ht="14.25" customHeight="1" s="192">
      <c r="W2205" s="235" t="n"/>
      <c r="X2205" s="235" t="n"/>
    </row>
    <row r="2206" ht="14.25" customHeight="1" s="192">
      <c r="W2206" s="239" t="n"/>
      <c r="X2206" s="239" t="n"/>
    </row>
    <row r="2207" ht="14.25" customHeight="1" s="192">
      <c r="W2207" s="239" t="n"/>
      <c r="X2207" s="239" t="n"/>
    </row>
    <row r="2208" ht="14.25" customHeight="1" s="192">
      <c r="W2208" s="239" t="n"/>
      <c r="X2208" s="239" t="n"/>
    </row>
    <row r="2209" ht="14.25" customHeight="1" s="192">
      <c r="W2209" s="235" t="n"/>
      <c r="X2209" s="235" t="n"/>
    </row>
    <row r="2210" ht="14.25" customHeight="1" s="192">
      <c r="W2210" s="235" t="n"/>
      <c r="X2210" s="235" t="n"/>
    </row>
    <row r="2211" ht="14.25" customHeight="1" s="192">
      <c r="W2211" s="235" t="n"/>
      <c r="X2211" s="235" t="n"/>
    </row>
    <row r="2212" ht="14.25" customHeight="1" s="192">
      <c r="W2212" s="239" t="n"/>
      <c r="X2212" s="239" t="n"/>
    </row>
    <row r="2213" ht="14.25" customHeight="1" s="192">
      <c r="W2213" s="239" t="n"/>
      <c r="X2213" s="239" t="n"/>
    </row>
    <row r="2214" ht="14.25" customHeight="1" s="192">
      <c r="W2214" s="235" t="n"/>
      <c r="X2214" s="235" t="n"/>
    </row>
    <row r="2215" ht="14.25" customHeight="1" s="192">
      <c r="W2215" s="235" t="n"/>
      <c r="X2215" s="235" t="n"/>
    </row>
    <row r="2216" ht="14.25" customHeight="1" s="192">
      <c r="W2216" s="239" t="n"/>
      <c r="X2216" s="239" t="n"/>
    </row>
    <row r="2217" ht="14.25" customHeight="1" s="192">
      <c r="W2217" s="235" t="n"/>
      <c r="X2217" s="235" t="n"/>
    </row>
    <row r="2218" ht="14.25" customHeight="1" s="192">
      <c r="W2218" s="239" t="n"/>
      <c r="X2218" s="239" t="n"/>
    </row>
    <row r="2220" ht="14.25" customHeight="1" s="192">
      <c r="W2220" s="235" t="n"/>
      <c r="X2220" s="235" t="n"/>
    </row>
    <row r="2221" ht="15" customHeight="1" s="192" thickBot="1">
      <c r="W2221" s="239" t="n"/>
      <c r="X2221" s="239" t="n"/>
    </row>
    <row r="2222" ht="15" customHeight="1" s="192" thickBot="1">
      <c r="W2222" s="45" t="n"/>
      <c r="X2222" s="45" t="n"/>
    </row>
    <row r="2223" ht="14.25" customHeight="1" s="192">
      <c r="W2223" s="228" t="n"/>
      <c r="X2223" s="228" t="n"/>
    </row>
    <row r="2224" ht="14.25" customHeight="1" s="192">
      <c r="W2224" s="228" t="n"/>
      <c r="X2224" s="228" t="n"/>
    </row>
    <row r="2225" ht="14.25" customHeight="1" s="192">
      <c r="W2225" s="231" t="n"/>
      <c r="X2225" s="231" t="n"/>
    </row>
    <row r="2226" ht="14.25" customHeight="1" s="192">
      <c r="W2226" s="33" t="n"/>
      <c r="X2226" s="33" t="n"/>
    </row>
    <row r="2227" ht="14.25" customHeight="1" s="192">
      <c r="W2227" s="231" t="n"/>
      <c r="X2227" s="231" t="n"/>
    </row>
    <row r="2228" ht="14.25" customHeight="1" s="192">
      <c r="W2228" s="33" t="n"/>
      <c r="X2228" s="33" t="n"/>
    </row>
    <row r="2230" ht="14.25" customHeight="1" s="192">
      <c r="W2230" s="231" t="n"/>
      <c r="X2230" s="231" t="n"/>
    </row>
    <row r="2231" ht="14.25" customHeight="1" s="192">
      <c r="W2231" s="235" t="n"/>
      <c r="X2231" s="235" t="n"/>
    </row>
    <row r="2232" ht="14.25" customHeight="1" s="192">
      <c r="W2232" s="228" t="n"/>
      <c r="X2232" s="228" t="n"/>
    </row>
    <row r="2233" ht="14.25" customHeight="1" s="192">
      <c r="W2233" s="235" t="n"/>
      <c r="X2233" s="235" t="n"/>
    </row>
    <row r="2234" ht="14.25" customHeight="1" s="192">
      <c r="W2234" s="235" t="n"/>
      <c r="X2234" s="235" t="n"/>
    </row>
    <row r="2235" ht="14.25" customHeight="1" s="192">
      <c r="W2235" s="235" t="n"/>
      <c r="X2235" s="235" t="n"/>
    </row>
    <row r="2236" ht="14.25" customHeight="1" s="192">
      <c r="W2236" s="239" t="n"/>
      <c r="X2236" s="239" t="n"/>
    </row>
    <row r="2237" ht="14.25" customHeight="1" s="192">
      <c r="W2237" s="239" t="n"/>
      <c r="X2237" s="239" t="n"/>
    </row>
    <row r="2238" ht="14.25" customHeight="1" s="192">
      <c r="W2238" s="239" t="n"/>
      <c r="X2238" s="239" t="n"/>
    </row>
    <row r="2239" ht="14.25" customHeight="1" s="192">
      <c r="W2239" s="235" t="n"/>
      <c r="X2239" s="235" t="n"/>
    </row>
    <row r="2240" ht="14.25" customHeight="1" s="192">
      <c r="W2240" s="235" t="n"/>
      <c r="X2240" s="235" t="n"/>
    </row>
    <row r="2241" ht="14.25" customHeight="1" s="192">
      <c r="W2241" s="235" t="n"/>
      <c r="X2241" s="235" t="n"/>
    </row>
    <row r="2242" ht="14.25" customHeight="1" s="192">
      <c r="W2242" s="239" t="n"/>
      <c r="X2242" s="239" t="n"/>
    </row>
    <row r="2243" ht="14.25" customHeight="1" s="192">
      <c r="W2243" s="239" t="n"/>
      <c r="X2243" s="239" t="n"/>
    </row>
    <row r="2244" ht="14.25" customHeight="1" s="192">
      <c r="W2244" s="235" t="n"/>
      <c r="X2244" s="235" t="n"/>
    </row>
    <row r="2245" ht="14.25" customHeight="1" s="192">
      <c r="W2245" s="235" t="n"/>
      <c r="X2245" s="235" t="n"/>
    </row>
    <row r="2246" ht="14.25" customHeight="1" s="192">
      <c r="W2246" s="239" t="n"/>
      <c r="X2246" s="239" t="n"/>
    </row>
    <row r="2247" ht="14.25" customHeight="1" s="192">
      <c r="W2247" s="235" t="n"/>
      <c r="X2247" s="235" t="n"/>
    </row>
    <row r="2248" ht="14.25" customHeight="1" s="192">
      <c r="W2248" s="239" t="n"/>
      <c r="X2248" s="239" t="n"/>
    </row>
    <row r="2250" ht="14.25" customHeight="1" s="192">
      <c r="W2250" s="235" t="n"/>
      <c r="X2250" s="235" t="n"/>
    </row>
    <row r="2251" ht="15" customHeight="1" s="192" thickBot="1">
      <c r="W2251" s="239" t="n"/>
      <c r="X2251" s="239" t="n"/>
    </row>
    <row r="2252" ht="15" customHeight="1" s="192" thickBot="1">
      <c r="W2252" s="45" t="n"/>
      <c r="X2252" s="45" t="n"/>
    </row>
    <row r="2253" ht="14.25" customHeight="1" s="192">
      <c r="W2253" s="228" t="n"/>
      <c r="X2253" s="228" t="n"/>
    </row>
    <row r="2254" ht="14.25" customHeight="1" s="192">
      <c r="W2254" s="228" t="n"/>
      <c r="X2254" s="228" t="n"/>
    </row>
    <row r="2255" ht="14.25" customHeight="1" s="192">
      <c r="W2255" s="231" t="n"/>
      <c r="X2255" s="231" t="n"/>
    </row>
    <row r="2256" ht="14.25" customHeight="1" s="192">
      <c r="W2256" s="33" t="n"/>
      <c r="X2256" s="33" t="n"/>
    </row>
    <row r="2257" ht="14.25" customHeight="1" s="192">
      <c r="W2257" s="231" t="n"/>
      <c r="X2257" s="231" t="n"/>
    </row>
    <row r="2258" ht="14.25" customHeight="1" s="192">
      <c r="W2258" s="33" t="n"/>
      <c r="X2258" s="33" t="n"/>
    </row>
    <row r="2260" ht="14.25" customHeight="1" s="192">
      <c r="W2260" s="231" t="n"/>
      <c r="X2260" s="231" t="n"/>
    </row>
    <row r="2261" ht="14.25" customHeight="1" s="192">
      <c r="W2261" s="235" t="n"/>
      <c r="X2261" s="235" t="n"/>
    </row>
    <row r="2262" ht="14.25" customHeight="1" s="192">
      <c r="W2262" s="228" t="n"/>
      <c r="X2262" s="228" t="n"/>
    </row>
    <row r="2263" ht="14.25" customHeight="1" s="192">
      <c r="W2263" s="235" t="n"/>
      <c r="X2263" s="235" t="n"/>
    </row>
    <row r="2264" ht="14.25" customHeight="1" s="192">
      <c r="W2264" s="235" t="n"/>
      <c r="X2264" s="235" t="n"/>
    </row>
    <row r="2265" ht="14.25" customHeight="1" s="192">
      <c r="W2265" s="235" t="n"/>
      <c r="X2265" s="235" t="n"/>
    </row>
    <row r="2266" ht="14.25" customHeight="1" s="192">
      <c r="W2266" s="239" t="n"/>
      <c r="X2266" s="239" t="n"/>
    </row>
    <row r="2267" ht="14.25" customHeight="1" s="192">
      <c r="W2267" s="239" t="n"/>
      <c r="X2267" s="239" t="n"/>
    </row>
    <row r="2268" ht="14.25" customHeight="1" s="192">
      <c r="W2268" s="239" t="n"/>
      <c r="X2268" s="239" t="n"/>
    </row>
    <row r="2269" ht="14.25" customHeight="1" s="192">
      <c r="W2269" s="235" t="n"/>
      <c r="X2269" s="235" t="n"/>
    </row>
    <row r="2270" ht="14.25" customHeight="1" s="192">
      <c r="W2270" s="235" t="n"/>
      <c r="X2270" s="235" t="n"/>
    </row>
    <row r="2271" ht="14.25" customHeight="1" s="192">
      <c r="W2271" s="235" t="n"/>
      <c r="X2271" s="235" t="n"/>
    </row>
    <row r="2272" ht="14.25" customHeight="1" s="192">
      <c r="W2272" s="239" t="n"/>
      <c r="X2272" s="239" t="n"/>
    </row>
    <row r="2273" ht="14.25" customHeight="1" s="192">
      <c r="W2273" s="239" t="n"/>
      <c r="X2273" s="239" t="n"/>
    </row>
    <row r="2274" ht="14.25" customHeight="1" s="192">
      <c r="W2274" s="235" t="n"/>
      <c r="X2274" s="235" t="n"/>
    </row>
    <row r="2275" ht="14.25" customHeight="1" s="192">
      <c r="W2275" s="235" t="n"/>
      <c r="X2275" s="235" t="n"/>
    </row>
    <row r="2276" ht="14.25" customHeight="1" s="192">
      <c r="W2276" s="239" t="n"/>
      <c r="X2276" s="239" t="n"/>
    </row>
    <row r="2277" ht="14.25" customHeight="1" s="192">
      <c r="W2277" s="235" t="n"/>
      <c r="X2277" s="235" t="n"/>
    </row>
    <row r="2278" ht="14.25" customHeight="1" s="192">
      <c r="W2278" s="239" t="n"/>
      <c r="X2278" s="239" t="n"/>
    </row>
    <row r="2280" ht="14.25" customHeight="1" s="192">
      <c r="W2280" s="235" t="n"/>
      <c r="X2280" s="235" t="n"/>
    </row>
    <row r="2281" ht="15" customHeight="1" s="192" thickBot="1">
      <c r="W2281" s="239" t="n"/>
      <c r="X2281" s="239" t="n"/>
    </row>
    <row r="2282" ht="15" customHeight="1" s="192" thickBot="1">
      <c r="W2282" s="45" t="n"/>
      <c r="X2282" s="45" t="n"/>
    </row>
    <row r="2283" ht="14.25" customHeight="1" s="192">
      <c r="W2283" s="228" t="n"/>
      <c r="X2283" s="228" t="n"/>
    </row>
    <row r="2284" ht="14.25" customHeight="1" s="192">
      <c r="W2284" s="228" t="n"/>
      <c r="X2284" s="228" t="n"/>
    </row>
    <row r="2285" ht="14.25" customHeight="1" s="192">
      <c r="W2285" s="231" t="n"/>
      <c r="X2285" s="231" t="n"/>
    </row>
    <row r="2286" ht="14.25" customHeight="1" s="192">
      <c r="W2286" s="33" t="n"/>
      <c r="X2286" s="33" t="n"/>
    </row>
    <row r="2287" ht="14.25" customHeight="1" s="192">
      <c r="W2287" s="231" t="n"/>
      <c r="X2287" s="231" t="n"/>
    </row>
    <row r="2288" ht="14.25" customHeight="1" s="192">
      <c r="W2288" s="33" t="n"/>
      <c r="X2288" s="33" t="n"/>
    </row>
    <row r="2290" ht="14.25" customHeight="1" s="192">
      <c r="W2290" s="231" t="n"/>
      <c r="X2290" s="231" t="n"/>
    </row>
    <row r="2291" ht="14.25" customHeight="1" s="192">
      <c r="W2291" s="235" t="n"/>
      <c r="X2291" s="235" t="n"/>
    </row>
    <row r="2292" ht="14.25" customHeight="1" s="192">
      <c r="W2292" s="228" t="n"/>
      <c r="X2292" s="228" t="n"/>
    </row>
    <row r="2293" ht="14.25" customHeight="1" s="192">
      <c r="W2293" s="235" t="n"/>
      <c r="X2293" s="235" t="n"/>
    </row>
    <row r="2294" ht="14.25" customHeight="1" s="192">
      <c r="W2294" s="235" t="n"/>
      <c r="X2294" s="235" t="n"/>
    </row>
    <row r="2295" ht="14.25" customHeight="1" s="192">
      <c r="W2295" s="235" t="n"/>
      <c r="X2295" s="235" t="n"/>
    </row>
    <row r="2296" ht="14.25" customHeight="1" s="192">
      <c r="W2296" s="239" t="n"/>
      <c r="X2296" s="239" t="n"/>
    </row>
    <row r="2297" ht="14.25" customHeight="1" s="192">
      <c r="W2297" s="239" t="n"/>
      <c r="X2297" s="239" t="n"/>
    </row>
    <row r="2298" ht="14.25" customHeight="1" s="192">
      <c r="W2298" s="239" t="n"/>
      <c r="X2298" s="239" t="n"/>
    </row>
    <row r="2299" ht="14.25" customHeight="1" s="192">
      <c r="W2299" s="235" t="n"/>
      <c r="X2299" s="235" t="n"/>
    </row>
    <row r="2300" ht="14.25" customHeight="1" s="192">
      <c r="W2300" s="235" t="n"/>
      <c r="X2300" s="235" t="n"/>
    </row>
    <row r="2301" ht="14.25" customHeight="1" s="192">
      <c r="W2301" s="235" t="n"/>
      <c r="X2301" s="235" t="n"/>
    </row>
    <row r="2302" ht="14.25" customHeight="1" s="192">
      <c r="W2302" s="239" t="n"/>
      <c r="X2302" s="239" t="n"/>
    </row>
    <row r="2303" ht="14.25" customHeight="1" s="192">
      <c r="W2303" s="239" t="n"/>
      <c r="X2303" s="239" t="n"/>
    </row>
    <row r="2304" ht="14.25" customHeight="1" s="192">
      <c r="W2304" s="235" t="n"/>
      <c r="X2304" s="235" t="n"/>
    </row>
    <row r="2305" ht="14.25" customHeight="1" s="192">
      <c r="W2305" s="235" t="n"/>
      <c r="X2305" s="235" t="n"/>
    </row>
    <row r="2306" ht="14.25" customHeight="1" s="192">
      <c r="W2306" s="239" t="n"/>
      <c r="X2306" s="239" t="n"/>
    </row>
    <row r="2307" ht="14.25" customHeight="1" s="192">
      <c r="W2307" s="235" t="n"/>
      <c r="X2307" s="235" t="n"/>
    </row>
    <row r="2308" ht="14.25" customHeight="1" s="192">
      <c r="W2308" s="239" t="n"/>
      <c r="X2308" s="239" t="n"/>
    </row>
    <row r="2310" ht="14.25" customHeight="1" s="192">
      <c r="W2310" s="235" t="n"/>
      <c r="X2310" s="235" t="n"/>
    </row>
    <row r="2311" ht="15" customHeight="1" s="192" thickBot="1">
      <c r="W2311" s="239" t="n"/>
      <c r="X2311" s="239" t="n"/>
    </row>
    <row r="2312" ht="15" customHeight="1" s="192" thickBot="1">
      <c r="W2312" s="45" t="n"/>
      <c r="X2312" s="45" t="n"/>
    </row>
    <row r="2313" ht="14.25" customHeight="1" s="192">
      <c r="W2313" s="228" t="n"/>
      <c r="X2313" s="228" t="n"/>
    </row>
    <row r="2314" ht="14.25" customHeight="1" s="192">
      <c r="W2314" s="228" t="n"/>
      <c r="X2314" s="228" t="n"/>
    </row>
    <row r="2315" ht="14.25" customHeight="1" s="192">
      <c r="W2315" s="231" t="n"/>
      <c r="X2315" s="231" t="n"/>
    </row>
    <row r="2316" ht="14.25" customHeight="1" s="192">
      <c r="W2316" s="33" t="n"/>
      <c r="X2316" s="33" t="n"/>
    </row>
    <row r="2317" ht="14.25" customHeight="1" s="192">
      <c r="W2317" s="231" t="n"/>
      <c r="X2317" s="231" t="n"/>
    </row>
    <row r="2318" ht="14.25" customHeight="1" s="192">
      <c r="W2318" s="33" t="n"/>
      <c r="X2318" s="33" t="n"/>
    </row>
    <row r="2320" ht="14.25" customHeight="1" s="192">
      <c r="W2320" s="231" t="n"/>
      <c r="X2320" s="231" t="n"/>
    </row>
    <row r="2321" ht="14.25" customHeight="1" s="192">
      <c r="W2321" s="235" t="n"/>
      <c r="X2321" s="235" t="n"/>
    </row>
    <row r="2322" ht="14.25" customHeight="1" s="192">
      <c r="W2322" s="228" t="n"/>
      <c r="X2322" s="228" t="n"/>
    </row>
    <row r="2323" ht="14.25" customHeight="1" s="192">
      <c r="W2323" s="235" t="n"/>
      <c r="X2323" s="235" t="n"/>
    </row>
    <row r="2324" ht="14.25" customHeight="1" s="192">
      <c r="W2324" s="235" t="n"/>
      <c r="X2324" s="235" t="n"/>
    </row>
    <row r="2325" ht="14.25" customHeight="1" s="192">
      <c r="W2325" s="235" t="n"/>
      <c r="X2325" s="235" t="n"/>
    </row>
    <row r="2326" ht="14.25" customHeight="1" s="192">
      <c r="W2326" s="239" t="n"/>
      <c r="X2326" s="239" t="n"/>
    </row>
    <row r="2327" ht="14.25" customHeight="1" s="192">
      <c r="W2327" s="239" t="n"/>
      <c r="X2327" s="239" t="n"/>
    </row>
    <row r="2328" ht="14.25" customHeight="1" s="192">
      <c r="W2328" s="239" t="n"/>
      <c r="X2328" s="239" t="n"/>
    </row>
    <row r="2329" ht="14.25" customHeight="1" s="192">
      <c r="W2329" s="235" t="n"/>
      <c r="X2329" s="235" t="n"/>
    </row>
    <row r="2330" ht="14.25" customHeight="1" s="192">
      <c r="W2330" s="235" t="n"/>
      <c r="X2330" s="235" t="n"/>
    </row>
    <row r="2331" ht="14.25" customHeight="1" s="192">
      <c r="W2331" s="235" t="n"/>
      <c r="X2331" s="235" t="n"/>
    </row>
    <row r="2332" ht="14.25" customHeight="1" s="192">
      <c r="W2332" s="239" t="n"/>
      <c r="X2332" s="239" t="n"/>
    </row>
    <row r="2333" ht="14.25" customHeight="1" s="192">
      <c r="W2333" s="239" t="n"/>
      <c r="X2333" s="239" t="n"/>
    </row>
    <row r="2334" ht="14.25" customHeight="1" s="192">
      <c r="W2334" s="235" t="n"/>
      <c r="X2334" s="235" t="n"/>
    </row>
    <row r="2335" ht="14.25" customHeight="1" s="192">
      <c r="W2335" s="235" t="n"/>
      <c r="X2335" s="235" t="n"/>
    </row>
    <row r="2336" ht="14.25" customHeight="1" s="192">
      <c r="W2336" s="239" t="n"/>
      <c r="X2336" s="239" t="n"/>
    </row>
    <row r="2337" ht="14.25" customHeight="1" s="192">
      <c r="W2337" s="235" t="n"/>
      <c r="X2337" s="235" t="n"/>
    </row>
    <row r="2338" ht="14.25" customHeight="1" s="192">
      <c r="W2338" s="239" t="n"/>
      <c r="X2338" s="239" t="n"/>
    </row>
    <row r="2340" ht="14.25" customHeight="1" s="192">
      <c r="W2340" s="235" t="n"/>
      <c r="X2340" s="235" t="n"/>
    </row>
    <row r="2341" ht="15" customHeight="1" s="192" thickBot="1">
      <c r="W2341" s="239" t="n"/>
      <c r="X2341" s="239" t="n"/>
    </row>
    <row r="2342" ht="15" customHeight="1" s="192" thickBot="1">
      <c r="W2342" s="45" t="n"/>
      <c r="X2342" s="45" t="n"/>
    </row>
    <row r="2343" ht="14.25" customHeight="1" s="192">
      <c r="W2343" s="228" t="n"/>
      <c r="X2343" s="228" t="n"/>
    </row>
    <row r="2344" ht="14.25" customHeight="1" s="192">
      <c r="W2344" s="228" t="n"/>
      <c r="X2344" s="228" t="n"/>
    </row>
    <row r="2345" ht="14.25" customHeight="1" s="192">
      <c r="W2345" s="231" t="n"/>
      <c r="X2345" s="231" t="n"/>
    </row>
    <row r="2346" ht="14.25" customHeight="1" s="192">
      <c r="W2346" s="33" t="n"/>
      <c r="X2346" s="33" t="n"/>
    </row>
    <row r="2347" ht="14.25" customHeight="1" s="192">
      <c r="W2347" s="231" t="n"/>
      <c r="X2347" s="231" t="n"/>
    </row>
    <row r="2348" ht="14.25" customHeight="1" s="192">
      <c r="W2348" s="33" t="n"/>
      <c r="X2348" s="33" t="n"/>
    </row>
    <row r="2350" ht="14.25" customHeight="1" s="192">
      <c r="W2350" s="231" t="n"/>
      <c r="X2350" s="231" t="n"/>
    </row>
    <row r="2351" ht="14.25" customHeight="1" s="192">
      <c r="W2351" s="235" t="n"/>
      <c r="X2351" s="235" t="n"/>
    </row>
    <row r="2352" ht="14.25" customHeight="1" s="192">
      <c r="W2352" s="228" t="n"/>
      <c r="X2352" s="228" t="n"/>
    </row>
    <row r="2353" ht="14.25" customHeight="1" s="192">
      <c r="W2353" s="235" t="n"/>
      <c r="X2353" s="235" t="n"/>
    </row>
    <row r="2354" ht="14.25" customHeight="1" s="192">
      <c r="W2354" s="235" t="n"/>
      <c r="X2354" s="235" t="n"/>
    </row>
    <row r="2355" ht="14.25" customHeight="1" s="192">
      <c r="W2355" s="235" t="n"/>
      <c r="X2355" s="235" t="n"/>
    </row>
    <row r="2356" ht="14.25" customHeight="1" s="192">
      <c r="W2356" s="239" t="n"/>
      <c r="X2356" s="239" t="n"/>
    </row>
    <row r="2357" ht="14.25" customHeight="1" s="192">
      <c r="W2357" s="239" t="n"/>
      <c r="X2357" s="239" t="n"/>
    </row>
    <row r="2358" ht="14.25" customHeight="1" s="192">
      <c r="W2358" s="239" t="n"/>
      <c r="X2358" s="239" t="n"/>
    </row>
    <row r="2359" ht="14.25" customHeight="1" s="192">
      <c r="W2359" s="235" t="n"/>
      <c r="X2359" s="235" t="n"/>
    </row>
    <row r="2360" ht="14.25" customHeight="1" s="192">
      <c r="W2360" s="235" t="n"/>
      <c r="X2360" s="235" t="n"/>
    </row>
    <row r="2361" ht="14.25" customHeight="1" s="192">
      <c r="W2361" s="235" t="n"/>
      <c r="X2361" s="235" t="n"/>
    </row>
    <row r="2362" ht="14.25" customHeight="1" s="192">
      <c r="W2362" s="239" t="n"/>
      <c r="X2362" s="239" t="n"/>
    </row>
    <row r="2363" ht="14.25" customHeight="1" s="192">
      <c r="W2363" s="239" t="n"/>
      <c r="X2363" s="239" t="n"/>
    </row>
    <row r="2364" ht="14.25" customHeight="1" s="192">
      <c r="W2364" s="235" t="n"/>
      <c r="X2364" s="235" t="n"/>
    </row>
    <row r="2365" ht="14.25" customHeight="1" s="192">
      <c r="W2365" s="235" t="n"/>
      <c r="X2365" s="235" t="n"/>
    </row>
    <row r="2366" ht="14.25" customHeight="1" s="192">
      <c r="W2366" s="239" t="n"/>
      <c r="X2366" s="239" t="n"/>
    </row>
    <row r="2367" ht="14.25" customHeight="1" s="192">
      <c r="W2367" s="235" t="n"/>
      <c r="X2367" s="235" t="n"/>
    </row>
    <row r="2368" ht="14.25" customHeight="1" s="192">
      <c r="W2368" s="239" t="n"/>
      <c r="X2368" s="239" t="n"/>
    </row>
    <row r="2370" ht="14.25" customHeight="1" s="192">
      <c r="W2370" s="235" t="n"/>
      <c r="X2370" s="235" t="n"/>
    </row>
    <row r="2371" ht="15" customHeight="1" s="192" thickBot="1">
      <c r="W2371" s="239" t="n"/>
      <c r="X2371" s="239" t="n"/>
    </row>
    <row r="2372" ht="15" customHeight="1" s="192" thickBot="1">
      <c r="W2372" s="45" t="n"/>
      <c r="X2372" s="45" t="n"/>
    </row>
    <row r="2373" ht="14.25" customHeight="1" s="192">
      <c r="W2373" s="228" t="n"/>
      <c r="X2373" s="228" t="n"/>
    </row>
    <row r="2374" ht="14.25" customHeight="1" s="192">
      <c r="W2374" s="228" t="n"/>
      <c r="X2374" s="228" t="n"/>
    </row>
    <row r="2375" ht="14.25" customHeight="1" s="192">
      <c r="W2375" s="231" t="n"/>
      <c r="X2375" s="231" t="n"/>
    </row>
    <row r="2376" ht="14.25" customHeight="1" s="192">
      <c r="W2376" s="33" t="n"/>
      <c r="X2376" s="33" t="n"/>
    </row>
    <row r="2377" ht="14.25" customHeight="1" s="192">
      <c r="W2377" s="231" t="n"/>
      <c r="X2377" s="231" t="n"/>
    </row>
    <row r="2378" ht="14.25" customHeight="1" s="192">
      <c r="W2378" s="33" t="n"/>
      <c r="X2378" s="33" t="n"/>
    </row>
    <row r="2380" ht="14.25" customHeight="1" s="192">
      <c r="W2380" s="231" t="n"/>
      <c r="X2380" s="231" t="n"/>
    </row>
    <row r="2381" ht="14.25" customHeight="1" s="192">
      <c r="W2381" s="235" t="n"/>
      <c r="X2381" s="235" t="n"/>
    </row>
    <row r="2382" ht="14.25" customHeight="1" s="192">
      <c r="W2382" s="228" t="n"/>
      <c r="X2382" s="228" t="n"/>
    </row>
    <row r="2383" ht="14.25" customHeight="1" s="192">
      <c r="W2383" s="235" t="n"/>
      <c r="X2383" s="235" t="n"/>
    </row>
    <row r="2384" ht="14.25" customHeight="1" s="192">
      <c r="W2384" s="235" t="n"/>
      <c r="X2384" s="235" t="n"/>
    </row>
    <row r="2385" ht="14.25" customHeight="1" s="192">
      <c r="W2385" s="235" t="n"/>
      <c r="X2385" s="235" t="n"/>
    </row>
    <row r="2386" ht="14.25" customHeight="1" s="192">
      <c r="W2386" s="239" t="n"/>
      <c r="X2386" s="239" t="n"/>
    </row>
    <row r="2387" ht="14.25" customHeight="1" s="192">
      <c r="W2387" s="239" t="n"/>
      <c r="X2387" s="239" t="n"/>
    </row>
    <row r="2388" ht="14.25" customHeight="1" s="192">
      <c r="W2388" s="239" t="n"/>
      <c r="X2388" s="239" t="n"/>
    </row>
    <row r="2389" ht="14.25" customHeight="1" s="192">
      <c r="W2389" s="235" t="n"/>
      <c r="X2389" s="235" t="n"/>
    </row>
    <row r="2390" ht="14.25" customHeight="1" s="192">
      <c r="W2390" s="235" t="n"/>
      <c r="X2390" s="235" t="n"/>
    </row>
    <row r="2391" ht="14.25" customHeight="1" s="192">
      <c r="W2391" s="235" t="n"/>
      <c r="X2391" s="235" t="n"/>
    </row>
    <row r="2392" ht="14.25" customHeight="1" s="192">
      <c r="W2392" s="239" t="n"/>
      <c r="X2392" s="239" t="n"/>
    </row>
    <row r="2393" ht="14.25" customHeight="1" s="192">
      <c r="W2393" s="239" t="n"/>
      <c r="X2393" s="239" t="n"/>
    </row>
    <row r="2394" ht="14.25" customHeight="1" s="192">
      <c r="W2394" s="235" t="n"/>
      <c r="X2394" s="235" t="n"/>
    </row>
    <row r="2395" ht="14.25" customHeight="1" s="192">
      <c r="W2395" s="235" t="n"/>
      <c r="X2395" s="235" t="n"/>
    </row>
    <row r="2396" ht="14.25" customHeight="1" s="192">
      <c r="W2396" s="239" t="n"/>
      <c r="X2396" s="239" t="n"/>
    </row>
    <row r="2397" ht="14.25" customHeight="1" s="192">
      <c r="W2397" s="235" t="n"/>
      <c r="X2397" s="235" t="n"/>
    </row>
    <row r="2398" ht="14.25" customHeight="1" s="192">
      <c r="W2398" s="239" t="n"/>
      <c r="X2398" s="239" t="n"/>
    </row>
    <row r="2400" ht="14.25" customHeight="1" s="192">
      <c r="W2400" s="235" t="n"/>
      <c r="X2400" s="235" t="n"/>
    </row>
    <row r="2401" ht="15" customHeight="1" s="192" thickBot="1">
      <c r="W2401" s="239" t="n"/>
      <c r="X2401" s="239" t="n"/>
    </row>
    <row r="2402" ht="15" customHeight="1" s="192" thickBot="1">
      <c r="W2402" s="45" t="n"/>
      <c r="X2402" s="45" t="n"/>
    </row>
    <row r="2403" ht="14.25" customHeight="1" s="192">
      <c r="W2403" s="228" t="n"/>
      <c r="X2403" s="228" t="n"/>
    </row>
    <row r="2404" ht="14.25" customHeight="1" s="192">
      <c r="W2404" s="228" t="n"/>
      <c r="X2404" s="228" t="n"/>
    </row>
    <row r="2405" ht="14.25" customHeight="1" s="192">
      <c r="W2405" s="231" t="n"/>
      <c r="X2405" s="231" t="n"/>
    </row>
    <row r="2406" ht="14.25" customHeight="1" s="192">
      <c r="W2406" s="33" t="n"/>
      <c r="X2406" s="33" t="n"/>
    </row>
    <row r="2407" ht="14.25" customHeight="1" s="192">
      <c r="W2407" s="231" t="n"/>
      <c r="X2407" s="231" t="n"/>
    </row>
    <row r="2408" ht="14.25" customHeight="1" s="192">
      <c r="W2408" s="33" t="n"/>
      <c r="X2408" s="33" t="n"/>
    </row>
    <row r="2410" ht="14.25" customHeight="1" s="192">
      <c r="W2410" s="231" t="n"/>
      <c r="X2410" s="231" t="n"/>
    </row>
    <row r="2411" ht="14.25" customHeight="1" s="192">
      <c r="W2411" s="235" t="n"/>
      <c r="X2411" s="235" t="n"/>
    </row>
    <row r="2412" ht="14.25" customHeight="1" s="192">
      <c r="W2412" s="228" t="n"/>
      <c r="X2412" s="228" t="n"/>
    </row>
    <row r="2413" ht="14.25" customHeight="1" s="192">
      <c r="W2413" s="235" t="n"/>
      <c r="X2413" s="235" t="n"/>
    </row>
    <row r="2414" ht="14.25" customHeight="1" s="192">
      <c r="W2414" s="235" t="n"/>
      <c r="X2414" s="235" t="n"/>
    </row>
    <row r="2415" ht="14.25" customHeight="1" s="192">
      <c r="W2415" s="235" t="n"/>
      <c r="X2415" s="235" t="n"/>
    </row>
    <row r="2416" ht="14.25" customHeight="1" s="192">
      <c r="W2416" s="239" t="n"/>
      <c r="X2416" s="239" t="n"/>
    </row>
    <row r="2417" ht="14.25" customHeight="1" s="192">
      <c r="W2417" s="239" t="n"/>
      <c r="X2417" s="239" t="n"/>
    </row>
    <row r="2418" ht="14.25" customHeight="1" s="192">
      <c r="W2418" s="239" t="n"/>
      <c r="X2418" s="239" t="n"/>
    </row>
    <row r="2419" ht="14.25" customHeight="1" s="192">
      <c r="W2419" s="235" t="n"/>
      <c r="X2419" s="235" t="n"/>
    </row>
    <row r="2420" ht="14.25" customHeight="1" s="192">
      <c r="W2420" s="235" t="n"/>
      <c r="X2420" s="235" t="n"/>
    </row>
    <row r="2421" ht="14.25" customHeight="1" s="192">
      <c r="W2421" s="235" t="n"/>
      <c r="X2421" s="235" t="n"/>
    </row>
    <row r="2422" ht="14.25" customHeight="1" s="192">
      <c r="W2422" s="239" t="n"/>
      <c r="X2422" s="239" t="n"/>
    </row>
    <row r="2423" ht="14.25" customHeight="1" s="192">
      <c r="W2423" s="239" t="n"/>
      <c r="X2423" s="239" t="n"/>
    </row>
    <row r="2424" ht="14.25" customHeight="1" s="192">
      <c r="W2424" s="235" t="n"/>
      <c r="X2424" s="235" t="n"/>
    </row>
    <row r="2425" ht="14.25" customHeight="1" s="192">
      <c r="W2425" s="235" t="n"/>
      <c r="X2425" s="235" t="n"/>
    </row>
    <row r="2426" ht="14.25" customHeight="1" s="192">
      <c r="W2426" s="239" t="n"/>
      <c r="X2426" s="239" t="n"/>
    </row>
    <row r="2427" ht="14.25" customHeight="1" s="192">
      <c r="W2427" s="235" t="n"/>
      <c r="X2427" s="235" t="n"/>
    </row>
    <row r="2428" ht="14.25" customHeight="1" s="192">
      <c r="W2428" s="239" t="n"/>
      <c r="X2428" s="239" t="n"/>
    </row>
    <row r="2430" ht="14.25" customHeight="1" s="192">
      <c r="W2430" s="235" t="n"/>
      <c r="X2430" s="235" t="n"/>
    </row>
    <row r="2431" ht="15" customHeight="1" s="192" thickBot="1">
      <c r="W2431" s="239" t="n"/>
      <c r="X2431" s="239" t="n"/>
    </row>
    <row r="2432" ht="15" customHeight="1" s="192" thickBot="1">
      <c r="W2432" s="45" t="n"/>
      <c r="X2432" s="45" t="n"/>
    </row>
    <row r="2433" ht="14.25" customHeight="1" s="192">
      <c r="W2433" s="228" t="n"/>
      <c r="X2433" s="228" t="n"/>
    </row>
    <row r="2434" ht="14.25" customHeight="1" s="192">
      <c r="W2434" s="228" t="n"/>
      <c r="X2434" s="228" t="n"/>
    </row>
    <row r="2435" ht="14.25" customHeight="1" s="192">
      <c r="W2435" s="231" t="n"/>
      <c r="X2435" s="231" t="n"/>
    </row>
    <row r="2436" ht="14.25" customHeight="1" s="192">
      <c r="W2436" s="33" t="n"/>
      <c r="X2436" s="33" t="n"/>
    </row>
    <row r="2437" ht="14.25" customHeight="1" s="192">
      <c r="W2437" s="231" t="n"/>
      <c r="X2437" s="231" t="n"/>
    </row>
    <row r="2438" ht="14.25" customHeight="1" s="192">
      <c r="W2438" s="33" t="n"/>
      <c r="X2438" s="33" t="n"/>
    </row>
    <row r="2440" ht="14.25" customHeight="1" s="192">
      <c r="W2440" s="231" t="n"/>
      <c r="X2440" s="231" t="n"/>
    </row>
    <row r="2441" ht="14.25" customHeight="1" s="192">
      <c r="W2441" s="235" t="n"/>
      <c r="X2441" s="235" t="n"/>
    </row>
    <row r="2442" ht="14.25" customHeight="1" s="192">
      <c r="W2442" s="228" t="n"/>
      <c r="X2442" s="228" t="n"/>
    </row>
    <row r="2443" ht="14.25" customHeight="1" s="192">
      <c r="W2443" s="235" t="n"/>
      <c r="X2443" s="235" t="n"/>
    </row>
    <row r="2444" ht="14.25" customHeight="1" s="192">
      <c r="W2444" s="235" t="n"/>
      <c r="X2444" s="235" t="n"/>
    </row>
    <row r="2445" ht="14.25" customHeight="1" s="192">
      <c r="W2445" s="235" t="n"/>
      <c r="X2445" s="235" t="n"/>
    </row>
    <row r="2446" ht="14.25" customHeight="1" s="192">
      <c r="W2446" s="239" t="n"/>
      <c r="X2446" s="239" t="n"/>
    </row>
    <row r="2447" ht="14.25" customHeight="1" s="192">
      <c r="W2447" s="239" t="n"/>
      <c r="X2447" s="239" t="n"/>
    </row>
    <row r="2448" ht="14.25" customHeight="1" s="192">
      <c r="W2448" s="239" t="n"/>
      <c r="X2448" s="239" t="n"/>
    </row>
    <row r="2449" ht="14.25" customHeight="1" s="192">
      <c r="W2449" s="235" t="n"/>
      <c r="X2449" s="235" t="n"/>
    </row>
    <row r="2450" ht="14.25" customHeight="1" s="192">
      <c r="W2450" s="235" t="n"/>
      <c r="X2450" s="235" t="n"/>
    </row>
    <row r="2451" ht="14.25" customHeight="1" s="192">
      <c r="W2451" s="235" t="n"/>
      <c r="X2451" s="235" t="n"/>
    </row>
    <row r="2452" ht="14.25" customHeight="1" s="192">
      <c r="W2452" s="239" t="n"/>
      <c r="X2452" s="239" t="n"/>
    </row>
    <row r="2453" ht="14.25" customHeight="1" s="192">
      <c r="W2453" s="239" t="n"/>
      <c r="X2453" s="239" t="n"/>
    </row>
    <row r="2454" ht="14.25" customHeight="1" s="192">
      <c r="W2454" s="235" t="n"/>
      <c r="X2454" s="235" t="n"/>
    </row>
    <row r="2455" ht="14.25" customHeight="1" s="192">
      <c r="W2455" s="235" t="n"/>
      <c r="X2455" s="235" t="n"/>
    </row>
    <row r="2456" ht="14.25" customHeight="1" s="192">
      <c r="W2456" s="239" t="n"/>
      <c r="X2456" s="239" t="n"/>
    </row>
    <row r="2457" ht="14.25" customHeight="1" s="192">
      <c r="W2457" s="235" t="n"/>
      <c r="X2457" s="235" t="n"/>
    </row>
    <row r="2458" ht="14.25" customHeight="1" s="192">
      <c r="W2458" s="239" t="n"/>
      <c r="X2458" s="239" t="n"/>
    </row>
    <row r="2460" ht="14.25" customHeight="1" s="192">
      <c r="W2460" s="235" t="n"/>
      <c r="X2460" s="235" t="n"/>
    </row>
    <row r="2461" ht="15" customHeight="1" s="192" thickBot="1">
      <c r="W2461" s="239" t="n"/>
      <c r="X2461" s="239" t="n"/>
    </row>
    <row r="2462" ht="15" customHeight="1" s="192" thickBot="1">
      <c r="W2462" s="45" t="n"/>
      <c r="X2462" s="45" t="n"/>
    </row>
    <row r="2463" ht="14.25" customHeight="1" s="192">
      <c r="W2463" s="228" t="n"/>
      <c r="X2463" s="228" t="n"/>
    </row>
    <row r="2464" ht="14.25" customHeight="1" s="192">
      <c r="W2464" s="228" t="n"/>
      <c r="X2464" s="228" t="n"/>
    </row>
    <row r="2465" ht="14.25" customHeight="1" s="192">
      <c r="W2465" s="231" t="n"/>
      <c r="X2465" s="231" t="n"/>
    </row>
    <row r="2466" ht="14.25" customHeight="1" s="192">
      <c r="W2466" s="33" t="n"/>
      <c r="X2466" s="33" t="n"/>
    </row>
    <row r="2467" ht="14.25" customHeight="1" s="192">
      <c r="W2467" s="231" t="n"/>
      <c r="X2467" s="231" t="n"/>
    </row>
    <row r="2468" ht="14.25" customHeight="1" s="192">
      <c r="W2468" s="33" t="n"/>
      <c r="X2468" s="33" t="n"/>
    </row>
    <row r="2470" ht="14.25" customHeight="1" s="192">
      <c r="W2470" s="231" t="n"/>
      <c r="X2470" s="231" t="n"/>
    </row>
    <row r="2471" ht="14.25" customHeight="1" s="192">
      <c r="W2471" s="235" t="n"/>
      <c r="X2471" s="235" t="n"/>
    </row>
    <row r="2472" ht="14.25" customHeight="1" s="192">
      <c r="W2472" s="228" t="n"/>
      <c r="X2472" s="228" t="n"/>
    </row>
    <row r="2473" ht="14.25" customHeight="1" s="192">
      <c r="W2473" s="235" t="n"/>
      <c r="X2473" s="235" t="n"/>
    </row>
    <row r="2474" ht="14.25" customHeight="1" s="192">
      <c r="W2474" s="235" t="n"/>
      <c r="X2474" s="235" t="n"/>
    </row>
    <row r="2475" ht="14.25" customHeight="1" s="192">
      <c r="W2475" s="235" t="n"/>
      <c r="X2475" s="235" t="n"/>
    </row>
    <row r="2476" ht="14.25" customHeight="1" s="192">
      <c r="W2476" s="239" t="n"/>
      <c r="X2476" s="239" t="n"/>
    </row>
    <row r="2477" ht="14.25" customHeight="1" s="192">
      <c r="W2477" s="239" t="n"/>
      <c r="X2477" s="239" t="n"/>
    </row>
    <row r="2478" ht="14.25" customHeight="1" s="192">
      <c r="W2478" s="239" t="n"/>
      <c r="X2478" s="239" t="n"/>
    </row>
    <row r="2479" ht="14.25" customHeight="1" s="192">
      <c r="W2479" s="235" t="n"/>
      <c r="X2479" s="235" t="n"/>
    </row>
    <row r="2480" ht="14.25" customHeight="1" s="192">
      <c r="W2480" s="235" t="n"/>
      <c r="X2480" s="235" t="n"/>
    </row>
    <row r="2481" ht="14.25" customHeight="1" s="192">
      <c r="W2481" s="235" t="n"/>
      <c r="X2481" s="235" t="n"/>
    </row>
    <row r="2482" ht="14.25" customHeight="1" s="192">
      <c r="W2482" s="239" t="n"/>
      <c r="X2482" s="239" t="n"/>
    </row>
    <row r="2483" ht="14.25" customHeight="1" s="192">
      <c r="W2483" s="239" t="n"/>
      <c r="X2483" s="239" t="n"/>
    </row>
    <row r="2484" ht="14.25" customHeight="1" s="192">
      <c r="W2484" s="235" t="n"/>
      <c r="X2484" s="235" t="n"/>
    </row>
    <row r="2485" ht="14.25" customHeight="1" s="192">
      <c r="W2485" s="235" t="n"/>
      <c r="X2485" s="235" t="n"/>
    </row>
    <row r="2486" ht="14.25" customHeight="1" s="192">
      <c r="W2486" s="239" t="n"/>
      <c r="X2486" s="239" t="n"/>
    </row>
    <row r="2487" ht="14.25" customHeight="1" s="192">
      <c r="W2487" s="235" t="n"/>
      <c r="X2487" s="235" t="n"/>
    </row>
    <row r="2488" ht="14.25" customHeight="1" s="192">
      <c r="W2488" s="239" t="n"/>
      <c r="X2488" s="239" t="n"/>
    </row>
    <row r="2490" ht="14.25" customHeight="1" s="192">
      <c r="W2490" s="235" t="n"/>
      <c r="X2490" s="235" t="n"/>
    </row>
    <row r="2491" ht="15" customHeight="1" s="192" thickBot="1">
      <c r="W2491" s="239" t="n"/>
      <c r="X2491" s="239" t="n"/>
    </row>
    <row r="2492" ht="15" customHeight="1" s="192" thickBot="1">
      <c r="W2492" s="45" t="n"/>
      <c r="X2492" s="45" t="n"/>
    </row>
    <row r="2493" ht="14.25" customHeight="1" s="192">
      <c r="W2493" s="228" t="n"/>
      <c r="X2493" s="228" t="n"/>
    </row>
    <row r="2494" ht="14.25" customHeight="1" s="192">
      <c r="W2494" s="228" t="n"/>
      <c r="X2494" s="228" t="n"/>
    </row>
    <row r="2495" ht="14.25" customHeight="1" s="192">
      <c r="W2495" s="231" t="n"/>
      <c r="X2495" s="231" t="n"/>
    </row>
    <row r="2496" ht="14.25" customHeight="1" s="192">
      <c r="W2496" s="33" t="n"/>
      <c r="X2496" s="33" t="n"/>
    </row>
    <row r="2497" ht="14.25" customHeight="1" s="192">
      <c r="W2497" s="231" t="n"/>
      <c r="X2497" s="231" t="n"/>
    </row>
    <row r="2498" ht="14.25" customHeight="1" s="192">
      <c r="W2498" s="33" t="n"/>
      <c r="X2498" s="33" t="n"/>
    </row>
    <row r="2500" ht="14.25" customHeight="1" s="192">
      <c r="W2500" s="231" t="n"/>
      <c r="X2500" s="231" t="n"/>
    </row>
    <row r="2501" ht="14.25" customHeight="1" s="192">
      <c r="W2501" s="235" t="n"/>
      <c r="X2501" s="235" t="n"/>
    </row>
    <row r="2502" ht="14.25" customHeight="1" s="192">
      <c r="W2502" s="228" t="n"/>
      <c r="X2502" s="228" t="n"/>
    </row>
    <row r="2503" ht="14.25" customHeight="1" s="192">
      <c r="W2503" s="235" t="n"/>
      <c r="X2503" s="235" t="n"/>
    </row>
    <row r="2504" ht="14.25" customHeight="1" s="192">
      <c r="W2504" s="235" t="n"/>
      <c r="X2504" s="235" t="n"/>
    </row>
    <row r="2505" ht="14.25" customHeight="1" s="192">
      <c r="W2505" s="235" t="n"/>
      <c r="X2505" s="235" t="n"/>
    </row>
    <row r="2506" ht="14.25" customHeight="1" s="192">
      <c r="W2506" s="239" t="n"/>
      <c r="X2506" s="239" t="n"/>
    </row>
    <row r="2507" ht="14.25" customHeight="1" s="192">
      <c r="W2507" s="239" t="n"/>
      <c r="X2507" s="239" t="n"/>
    </row>
    <row r="2508" ht="14.25" customHeight="1" s="192">
      <c r="W2508" s="239" t="n"/>
      <c r="X2508" s="239" t="n"/>
    </row>
    <row r="2509" ht="14.25" customHeight="1" s="192">
      <c r="W2509" s="235" t="n"/>
      <c r="X2509" s="235" t="n"/>
    </row>
    <row r="2510" ht="14.25" customHeight="1" s="192">
      <c r="W2510" s="235" t="n"/>
      <c r="X2510" s="235" t="n"/>
    </row>
    <row r="2511" ht="14.25" customHeight="1" s="192">
      <c r="W2511" s="235" t="n"/>
      <c r="X2511" s="235" t="n"/>
    </row>
    <row r="2512" ht="14.25" customHeight="1" s="192">
      <c r="W2512" s="239" t="n"/>
      <c r="X2512" s="239" t="n"/>
    </row>
    <row r="2513" ht="14.25" customHeight="1" s="192">
      <c r="W2513" s="239" t="n"/>
      <c r="X2513" s="239" t="n"/>
    </row>
    <row r="2514" ht="14.25" customHeight="1" s="192">
      <c r="W2514" s="235" t="n"/>
      <c r="X2514" s="235" t="n"/>
    </row>
    <row r="2515" ht="14.25" customHeight="1" s="192">
      <c r="W2515" s="235" t="n"/>
      <c r="X2515" s="235" t="n"/>
    </row>
    <row r="2516" ht="14.25" customHeight="1" s="192">
      <c r="W2516" s="239" t="n"/>
      <c r="X2516" s="239" t="n"/>
    </row>
    <row r="2517" ht="14.25" customHeight="1" s="192">
      <c r="W2517" s="235" t="n"/>
      <c r="X2517" s="235" t="n"/>
    </row>
    <row r="2518" ht="14.25" customHeight="1" s="192">
      <c r="W2518" s="239" t="n"/>
      <c r="X2518" s="239" t="n"/>
    </row>
    <row r="2520" ht="14.25" customHeight="1" s="192">
      <c r="W2520" s="235" t="n"/>
      <c r="X2520" s="235" t="n"/>
    </row>
    <row r="2521" ht="15" customHeight="1" s="192" thickBot="1">
      <c r="W2521" s="239" t="n"/>
      <c r="X2521" s="239" t="n"/>
    </row>
    <row r="2522" ht="15" customHeight="1" s="192" thickBot="1">
      <c r="W2522" s="45" t="n"/>
      <c r="X2522" s="45" t="n"/>
    </row>
    <row r="2523" ht="14.25" customHeight="1" s="192">
      <c r="W2523" s="228" t="n"/>
      <c r="X2523" s="228" t="n"/>
    </row>
    <row r="2524" ht="14.25" customHeight="1" s="192">
      <c r="W2524" s="228" t="n"/>
      <c r="X2524" s="228" t="n"/>
    </row>
    <row r="2525" ht="14.25" customHeight="1" s="192">
      <c r="W2525" s="231" t="n"/>
      <c r="X2525" s="231" t="n"/>
    </row>
    <row r="2526" ht="14.25" customHeight="1" s="192">
      <c r="W2526" s="33" t="n"/>
      <c r="X2526" s="33" t="n"/>
    </row>
    <row r="2527" ht="14.25" customHeight="1" s="192">
      <c r="W2527" s="231" t="n"/>
      <c r="X2527" s="231" t="n"/>
    </row>
    <row r="2528" ht="14.25" customHeight="1" s="192">
      <c r="W2528" s="33" t="n"/>
      <c r="X2528" s="33" t="n"/>
    </row>
    <row r="2530" ht="14.25" customHeight="1" s="192">
      <c r="W2530" s="231" t="n"/>
      <c r="X2530" s="231" t="n"/>
    </row>
    <row r="2531" ht="14.25" customHeight="1" s="192">
      <c r="W2531" s="235" t="n"/>
      <c r="X2531" s="235" t="n"/>
    </row>
    <row r="2532" ht="14.25" customHeight="1" s="192">
      <c r="W2532" s="228" t="n"/>
      <c r="X2532" s="228" t="n"/>
    </row>
    <row r="2533" ht="14.25" customHeight="1" s="192">
      <c r="W2533" s="235" t="n"/>
      <c r="X2533" s="235" t="n"/>
    </row>
    <row r="2534" ht="14.25" customHeight="1" s="192">
      <c r="W2534" s="235" t="n"/>
      <c r="X2534" s="235" t="n"/>
    </row>
    <row r="2535" ht="14.25" customHeight="1" s="192">
      <c r="W2535" s="235" t="n"/>
      <c r="X2535" s="235" t="n"/>
    </row>
    <row r="2536" ht="14.25" customHeight="1" s="192">
      <c r="W2536" s="239" t="n"/>
      <c r="X2536" s="239" t="n"/>
    </row>
    <row r="2537" ht="14.25" customHeight="1" s="192">
      <c r="W2537" s="239" t="n"/>
      <c r="X2537" s="239" t="n"/>
    </row>
    <row r="2538" ht="14.25" customHeight="1" s="192">
      <c r="W2538" s="239" t="n"/>
      <c r="X2538" s="239" t="n"/>
    </row>
    <row r="2539" ht="14.25" customHeight="1" s="192">
      <c r="W2539" s="235" t="n"/>
      <c r="X2539" s="235" t="n"/>
    </row>
    <row r="2540" ht="14.25" customHeight="1" s="192">
      <c r="W2540" s="235" t="n"/>
      <c r="X2540" s="235" t="n"/>
    </row>
    <row r="2541" ht="14.25" customHeight="1" s="192">
      <c r="W2541" s="235" t="n"/>
      <c r="X2541" s="235" t="n"/>
    </row>
    <row r="2542" ht="14.25" customHeight="1" s="192">
      <c r="W2542" s="239" t="n"/>
      <c r="X2542" s="239" t="n"/>
    </row>
    <row r="2543" ht="14.25" customHeight="1" s="192">
      <c r="W2543" s="239" t="n"/>
      <c r="X2543" s="239" t="n"/>
    </row>
    <row r="2544" ht="14.25" customHeight="1" s="192">
      <c r="W2544" s="235" t="n"/>
      <c r="X2544" s="235" t="n"/>
    </row>
    <row r="2545" ht="14.25" customHeight="1" s="192">
      <c r="W2545" s="235" t="n"/>
      <c r="X2545" s="235" t="n"/>
    </row>
    <row r="2546" ht="14.25" customHeight="1" s="192">
      <c r="W2546" s="239" t="n"/>
      <c r="X2546" s="239" t="n"/>
    </row>
    <row r="2547" ht="14.25" customHeight="1" s="192">
      <c r="W2547" s="235" t="n"/>
      <c r="X2547" s="235" t="n"/>
    </row>
    <row r="2548" ht="14.25" customHeight="1" s="192">
      <c r="W2548" s="239" t="n"/>
      <c r="X2548" s="239" t="n"/>
    </row>
    <row r="2550" ht="14.25" customHeight="1" s="192">
      <c r="W2550" s="235" t="n"/>
      <c r="X2550" s="235" t="n"/>
    </row>
    <row r="2551" ht="15" customHeight="1" s="192" thickBot="1">
      <c r="W2551" s="239" t="n"/>
      <c r="X2551" s="239" t="n"/>
    </row>
    <row r="2552" ht="15" customHeight="1" s="192" thickBot="1">
      <c r="W2552" s="45" t="n"/>
      <c r="X2552" s="45" t="n"/>
    </row>
    <row r="2553" ht="14.25" customHeight="1" s="192">
      <c r="W2553" s="228" t="n"/>
      <c r="X2553" s="228" t="n"/>
    </row>
    <row r="2554" ht="14.25" customHeight="1" s="192">
      <c r="W2554" s="228" t="n"/>
      <c r="X2554" s="228" t="n"/>
    </row>
    <row r="2555" ht="14.25" customHeight="1" s="192">
      <c r="W2555" s="231" t="n"/>
      <c r="X2555" s="231" t="n"/>
    </row>
    <row r="2556" ht="14.25" customHeight="1" s="192">
      <c r="W2556" s="33" t="n"/>
      <c r="X2556" s="33" t="n"/>
    </row>
    <row r="2557" ht="14.25" customHeight="1" s="192">
      <c r="W2557" s="231" t="n"/>
      <c r="X2557" s="231" t="n"/>
    </row>
    <row r="2558" ht="14.25" customHeight="1" s="192">
      <c r="W2558" s="33" t="n"/>
      <c r="X2558" s="33" t="n"/>
    </row>
    <row r="2560" ht="14.25" customHeight="1" s="192">
      <c r="W2560" s="231" t="n"/>
      <c r="X2560" s="231" t="n"/>
    </row>
    <row r="2561" ht="14.25" customHeight="1" s="192">
      <c r="W2561" s="235" t="n"/>
      <c r="X2561" s="235" t="n"/>
    </row>
    <row r="2562" ht="14.25" customHeight="1" s="192">
      <c r="W2562" s="228" t="n"/>
      <c r="X2562" s="228" t="n"/>
    </row>
    <row r="2563" ht="14.25" customHeight="1" s="192">
      <c r="W2563" s="235" t="n"/>
      <c r="X2563" s="235" t="n"/>
    </row>
    <row r="2564" ht="14.25" customHeight="1" s="192">
      <c r="W2564" s="235" t="n"/>
      <c r="X2564" s="235" t="n"/>
    </row>
    <row r="2565" ht="14.25" customHeight="1" s="192">
      <c r="W2565" s="235" t="n"/>
      <c r="X2565" s="235" t="n"/>
    </row>
    <row r="2566" ht="14.25" customHeight="1" s="192">
      <c r="W2566" s="239" t="n"/>
      <c r="X2566" s="239" t="n"/>
    </row>
    <row r="2567" ht="14.25" customHeight="1" s="192">
      <c r="W2567" s="239" t="n"/>
      <c r="X2567" s="239" t="n"/>
    </row>
    <row r="2568" ht="14.25" customHeight="1" s="192">
      <c r="W2568" s="239" t="n"/>
      <c r="X2568" s="239" t="n"/>
    </row>
    <row r="2569" ht="14.25" customHeight="1" s="192">
      <c r="W2569" s="235" t="n"/>
      <c r="X2569" s="235" t="n"/>
    </row>
    <row r="2570" ht="14.25" customHeight="1" s="192">
      <c r="W2570" s="235" t="n"/>
      <c r="X2570" s="235" t="n"/>
    </row>
    <row r="2571" ht="14.25" customHeight="1" s="192">
      <c r="W2571" s="235" t="n"/>
      <c r="X2571" s="235" t="n"/>
    </row>
    <row r="2572" ht="14.25" customHeight="1" s="192">
      <c r="W2572" s="239" t="n"/>
      <c r="X2572" s="239" t="n"/>
    </row>
    <row r="2573" ht="14.25" customHeight="1" s="192">
      <c r="W2573" s="239" t="n"/>
      <c r="X2573" s="239" t="n"/>
    </row>
    <row r="2574" ht="14.25" customHeight="1" s="192">
      <c r="W2574" s="235" t="n"/>
      <c r="X2574" s="235" t="n"/>
    </row>
    <row r="2575" ht="14.25" customHeight="1" s="192">
      <c r="W2575" s="235" t="n"/>
      <c r="X2575" s="235" t="n"/>
    </row>
    <row r="2576" ht="14.25" customHeight="1" s="192">
      <c r="W2576" s="239" t="n"/>
      <c r="X2576" s="239" t="n"/>
    </row>
    <row r="2577" ht="14.25" customHeight="1" s="192">
      <c r="W2577" s="235" t="n"/>
      <c r="X2577" s="235" t="n"/>
    </row>
    <row r="2578" ht="14.25" customHeight="1" s="192">
      <c r="W2578" s="239" t="n"/>
      <c r="X2578" s="239" t="n"/>
    </row>
    <row r="2580" ht="14.25" customHeight="1" s="192">
      <c r="W2580" s="235" t="n"/>
      <c r="X2580" s="235" t="n"/>
    </row>
    <row r="2581" ht="15" customHeight="1" s="192" thickBot="1">
      <c r="W2581" s="239" t="n"/>
      <c r="X2581" s="239" t="n"/>
    </row>
    <row r="2582" ht="15" customHeight="1" s="192" thickBot="1">
      <c r="W2582" s="45" t="n"/>
      <c r="X2582" s="45" t="n"/>
    </row>
    <row r="2583" ht="14.25" customHeight="1" s="192">
      <c r="W2583" s="228" t="n"/>
      <c r="X2583" s="228" t="n"/>
    </row>
    <row r="2584" ht="14.25" customHeight="1" s="192">
      <c r="W2584" s="228" t="n"/>
      <c r="X2584" s="228" t="n"/>
    </row>
    <row r="2585" ht="14.25" customHeight="1" s="192">
      <c r="W2585" s="231" t="n"/>
      <c r="X2585" s="231" t="n"/>
    </row>
    <row r="2586" ht="14.25" customHeight="1" s="192">
      <c r="W2586" s="33" t="n"/>
      <c r="X2586" s="33" t="n"/>
    </row>
    <row r="2587" ht="14.25" customHeight="1" s="192">
      <c r="W2587" s="231" t="n"/>
      <c r="X2587" s="231" t="n"/>
    </row>
    <row r="2588" ht="14.25" customHeight="1" s="192">
      <c r="W2588" s="33" t="n"/>
      <c r="X2588" s="33" t="n"/>
    </row>
    <row r="2590" ht="14.25" customHeight="1" s="192">
      <c r="W2590" s="231" t="n"/>
      <c r="X2590" s="231" t="n"/>
    </row>
    <row r="2591" ht="14.25" customHeight="1" s="192">
      <c r="W2591" s="235" t="n"/>
      <c r="X2591" s="235" t="n"/>
    </row>
    <row r="2592" ht="14.25" customHeight="1" s="192">
      <c r="W2592" s="228" t="n"/>
      <c r="X2592" s="228" t="n"/>
    </row>
    <row r="2593" ht="14.25" customHeight="1" s="192">
      <c r="W2593" s="235" t="n"/>
      <c r="X2593" s="235" t="n"/>
    </row>
    <row r="2594" ht="14.25" customHeight="1" s="192">
      <c r="W2594" s="235" t="n"/>
      <c r="X2594" s="235" t="n"/>
    </row>
    <row r="2595" ht="14.25" customHeight="1" s="192">
      <c r="W2595" s="235" t="n"/>
      <c r="X2595" s="235" t="n"/>
    </row>
    <row r="2596" ht="14.25" customHeight="1" s="192">
      <c r="W2596" s="239" t="n"/>
      <c r="X2596" s="239" t="n"/>
    </row>
    <row r="2597" ht="14.25" customHeight="1" s="192">
      <c r="W2597" s="239" t="n"/>
      <c r="X2597" s="239" t="n"/>
    </row>
    <row r="2598" ht="14.25" customHeight="1" s="192">
      <c r="W2598" s="239" t="n"/>
      <c r="X2598" s="239" t="n"/>
    </row>
    <row r="2599" ht="14.25" customHeight="1" s="192">
      <c r="W2599" s="235" t="n"/>
      <c r="X2599" s="235" t="n"/>
    </row>
    <row r="2600" ht="14.25" customHeight="1" s="192">
      <c r="W2600" s="235" t="n"/>
      <c r="X2600" s="235" t="n"/>
    </row>
    <row r="2601" ht="14.25" customHeight="1" s="192">
      <c r="W2601" s="235" t="n"/>
      <c r="X2601" s="235" t="n"/>
    </row>
    <row r="2602" ht="14.25" customHeight="1" s="192">
      <c r="W2602" s="239" t="n"/>
      <c r="X2602" s="239" t="n"/>
    </row>
    <row r="2603" ht="14.25" customHeight="1" s="192">
      <c r="W2603" s="239" t="n"/>
      <c r="X2603" s="239" t="n"/>
    </row>
    <row r="2604" ht="14.25" customHeight="1" s="192">
      <c r="W2604" s="235" t="n"/>
      <c r="X2604" s="235" t="n"/>
    </row>
    <row r="2605" ht="14.25" customHeight="1" s="192">
      <c r="W2605" s="235" t="n"/>
      <c r="X2605" s="235" t="n"/>
    </row>
    <row r="2606" ht="14.25" customHeight="1" s="192">
      <c r="W2606" s="239" t="n"/>
      <c r="X2606" s="239" t="n"/>
    </row>
    <row r="2607" ht="14.25" customHeight="1" s="192">
      <c r="W2607" s="235" t="n"/>
      <c r="X2607" s="235" t="n"/>
    </row>
    <row r="2608" ht="14.25" customHeight="1" s="192">
      <c r="W2608" s="239" t="n"/>
      <c r="X2608" s="239" t="n"/>
    </row>
    <row r="2610" ht="14.25" customHeight="1" s="192">
      <c r="W2610" s="235" t="n"/>
      <c r="X2610" s="235" t="n"/>
    </row>
    <row r="2611" ht="15" customHeight="1" s="192" thickBot="1">
      <c r="W2611" s="239" t="n"/>
      <c r="X2611" s="239" t="n"/>
    </row>
    <row r="2612" ht="15" customHeight="1" s="192" thickBot="1">
      <c r="W2612" s="45" t="n"/>
      <c r="X2612" s="45" t="n"/>
    </row>
    <row r="2613" ht="14.25" customHeight="1" s="192">
      <c r="W2613" s="228" t="n"/>
      <c r="X2613" s="228" t="n"/>
    </row>
    <row r="2614" ht="14.25" customHeight="1" s="192">
      <c r="W2614" s="228" t="n"/>
      <c r="X2614" s="228" t="n"/>
    </row>
    <row r="2615" ht="14.25" customHeight="1" s="192">
      <c r="W2615" s="231" t="n"/>
      <c r="X2615" s="231" t="n"/>
    </row>
    <row r="2616" ht="14.25" customHeight="1" s="192">
      <c r="W2616" s="33" t="n"/>
      <c r="X2616" s="33" t="n"/>
    </row>
    <row r="2617" ht="14.25" customHeight="1" s="192">
      <c r="W2617" s="231" t="n"/>
      <c r="X2617" s="231" t="n"/>
    </row>
    <row r="2618" ht="14.25" customHeight="1" s="192">
      <c r="W2618" s="33" t="n"/>
      <c r="X2618" s="33" t="n"/>
    </row>
    <row r="2620" ht="14.25" customHeight="1" s="192">
      <c r="W2620" s="231" t="n"/>
      <c r="X2620" s="231" t="n"/>
    </row>
    <row r="2621" ht="14.25" customHeight="1" s="192">
      <c r="W2621" s="235" t="n"/>
      <c r="X2621" s="235" t="n"/>
    </row>
    <row r="2622" ht="14.25" customHeight="1" s="192">
      <c r="W2622" s="228" t="n"/>
      <c r="X2622" s="228" t="n"/>
    </row>
    <row r="2623" ht="14.25" customHeight="1" s="192">
      <c r="W2623" s="235" t="n"/>
      <c r="X2623" s="235" t="n"/>
    </row>
    <row r="2624" ht="14.25" customHeight="1" s="192">
      <c r="W2624" s="235" t="n"/>
      <c r="X2624" s="235" t="n"/>
    </row>
    <row r="2625" ht="14.25" customHeight="1" s="192">
      <c r="W2625" s="235" t="n"/>
      <c r="X2625" s="235" t="n"/>
    </row>
    <row r="2626" ht="14.25" customHeight="1" s="192">
      <c r="W2626" s="239" t="n"/>
      <c r="X2626" s="239" t="n"/>
    </row>
    <row r="2627" ht="14.25" customHeight="1" s="192">
      <c r="W2627" s="239" t="n"/>
      <c r="X2627" s="239" t="n"/>
    </row>
    <row r="2628" ht="14.25" customHeight="1" s="192">
      <c r="W2628" s="239" t="n"/>
      <c r="X2628" s="239" t="n"/>
    </row>
    <row r="2629" ht="14.25" customHeight="1" s="192">
      <c r="W2629" s="235" t="n"/>
      <c r="X2629" s="235" t="n"/>
    </row>
    <row r="2630" ht="14.25" customHeight="1" s="192">
      <c r="W2630" s="235" t="n"/>
      <c r="X2630" s="235" t="n"/>
    </row>
    <row r="2631" ht="14.25" customHeight="1" s="192">
      <c r="W2631" s="235" t="n"/>
      <c r="X2631" s="235" t="n"/>
    </row>
    <row r="2632" ht="14.25" customHeight="1" s="192">
      <c r="W2632" s="239" t="n"/>
      <c r="X2632" s="239" t="n"/>
    </row>
    <row r="2633" ht="14.25" customHeight="1" s="192">
      <c r="W2633" s="239" t="n"/>
      <c r="X2633" s="239" t="n"/>
    </row>
    <row r="2634" ht="14.25" customHeight="1" s="192">
      <c r="W2634" s="235" t="n"/>
      <c r="X2634" s="235" t="n"/>
    </row>
    <row r="2635" ht="14.25" customHeight="1" s="192">
      <c r="W2635" s="235" t="n"/>
      <c r="X2635" s="235" t="n"/>
    </row>
    <row r="2636" ht="14.25" customHeight="1" s="192">
      <c r="W2636" s="239" t="n"/>
      <c r="X2636" s="239" t="n"/>
    </row>
    <row r="2637" ht="14.25" customHeight="1" s="192">
      <c r="W2637" s="235" t="n"/>
      <c r="X2637" s="235" t="n"/>
    </row>
    <row r="2638" ht="14.25" customHeight="1" s="192">
      <c r="W2638" s="239" t="n"/>
      <c r="X2638" s="239" t="n"/>
    </row>
    <row r="2640" ht="14.25" customHeight="1" s="192">
      <c r="W2640" s="235" t="n"/>
      <c r="X2640" s="235" t="n"/>
    </row>
    <row r="2641" ht="15" customHeight="1" s="192" thickBot="1">
      <c r="W2641" s="239" t="n"/>
      <c r="X2641" s="239" t="n"/>
    </row>
    <row r="2642" ht="15" customHeight="1" s="192" thickBot="1">
      <c r="W2642" s="45" t="n"/>
      <c r="X2642" s="45" t="n"/>
    </row>
    <row r="2643" ht="14.25" customHeight="1" s="192">
      <c r="W2643" s="228" t="n"/>
      <c r="X2643" s="228" t="n"/>
    </row>
    <row r="2644" ht="14.25" customHeight="1" s="192">
      <c r="W2644" s="228" t="n"/>
      <c r="X2644" s="228" t="n"/>
    </row>
    <row r="2645" ht="14.25" customHeight="1" s="192">
      <c r="W2645" s="231" t="n"/>
      <c r="X2645" s="231" t="n"/>
    </row>
    <row r="2646" ht="14.25" customHeight="1" s="192">
      <c r="W2646" s="33" t="n"/>
      <c r="X2646" s="33" t="n"/>
    </row>
    <row r="2647" ht="14.25" customHeight="1" s="192">
      <c r="W2647" s="231" t="n"/>
      <c r="X2647" s="231" t="n"/>
    </row>
    <row r="2648" ht="14.25" customHeight="1" s="192">
      <c r="W2648" s="33" t="n"/>
      <c r="X2648" s="33" t="n"/>
    </row>
    <row r="2650" ht="14.25" customHeight="1" s="192">
      <c r="W2650" s="231" t="n"/>
      <c r="X2650" s="231" t="n"/>
    </row>
    <row r="2651" ht="14.25" customHeight="1" s="192">
      <c r="W2651" s="235" t="n"/>
      <c r="X2651" s="235" t="n"/>
    </row>
    <row r="2652" ht="14.25" customHeight="1" s="192">
      <c r="W2652" s="228" t="n"/>
      <c r="X2652" s="228" t="n"/>
    </row>
    <row r="2653" ht="14.25" customHeight="1" s="192">
      <c r="W2653" s="235" t="n"/>
      <c r="X2653" s="235" t="n"/>
    </row>
    <row r="2654" ht="14.25" customHeight="1" s="192">
      <c r="W2654" s="235" t="n"/>
      <c r="X2654" s="235" t="n"/>
    </row>
    <row r="2655" ht="14.25" customHeight="1" s="192">
      <c r="W2655" s="235" t="n"/>
      <c r="X2655" s="235" t="n"/>
    </row>
    <row r="2656" ht="14.25" customHeight="1" s="192">
      <c r="W2656" s="239" t="n"/>
      <c r="X2656" s="239" t="n"/>
    </row>
    <row r="2657" ht="14.25" customHeight="1" s="192">
      <c r="W2657" s="239" t="n"/>
      <c r="X2657" s="239" t="n"/>
    </row>
    <row r="2658" ht="14.25" customHeight="1" s="192">
      <c r="W2658" s="239" t="n"/>
      <c r="X2658" s="239" t="n"/>
    </row>
    <row r="2659" ht="14.25" customHeight="1" s="192">
      <c r="W2659" s="235" t="n"/>
      <c r="X2659" s="235" t="n"/>
    </row>
    <row r="2660" ht="14.25" customHeight="1" s="192">
      <c r="W2660" s="235" t="n"/>
      <c r="X2660" s="235" t="n"/>
    </row>
    <row r="2661" ht="14.25" customHeight="1" s="192">
      <c r="W2661" s="235" t="n"/>
      <c r="X2661" s="235" t="n"/>
    </row>
    <row r="2662" ht="14.25" customHeight="1" s="192">
      <c r="W2662" s="239" t="n"/>
      <c r="X2662" s="239" t="n"/>
    </row>
    <row r="2663" ht="14.25" customHeight="1" s="192">
      <c r="W2663" s="239" t="n"/>
      <c r="X2663" s="239" t="n"/>
    </row>
    <row r="2664" ht="14.25" customHeight="1" s="192">
      <c r="W2664" s="235" t="n"/>
      <c r="X2664" s="235" t="n"/>
    </row>
    <row r="2665" ht="14.25" customHeight="1" s="192">
      <c r="W2665" s="235" t="n"/>
      <c r="X2665" s="235" t="n"/>
    </row>
    <row r="2666" ht="14.25" customHeight="1" s="192">
      <c r="W2666" s="239" t="n"/>
      <c r="X2666" s="239" t="n"/>
    </row>
    <row r="2667" ht="14.25" customHeight="1" s="192">
      <c r="W2667" s="235" t="n"/>
      <c r="X2667" s="235" t="n"/>
    </row>
    <row r="2668" ht="14.25" customHeight="1" s="192">
      <c r="W2668" s="239" t="n"/>
      <c r="X2668" s="239" t="n"/>
    </row>
    <row r="2670" ht="14.25" customHeight="1" s="192">
      <c r="W2670" s="235" t="n"/>
      <c r="X2670" s="235" t="n"/>
    </row>
    <row r="2671" ht="15" customHeight="1" s="192" thickBot="1">
      <c r="W2671" s="239" t="n"/>
      <c r="X2671" s="239" t="n"/>
    </row>
    <row r="2672" ht="15" customHeight="1" s="192" thickBot="1">
      <c r="W2672" s="45" t="n"/>
      <c r="X2672" s="45" t="n"/>
    </row>
    <row r="2673" ht="14.25" customHeight="1" s="192">
      <c r="W2673" s="228" t="n"/>
      <c r="X2673" s="228" t="n"/>
    </row>
    <row r="2674" ht="14.25" customHeight="1" s="192">
      <c r="W2674" s="228" t="n"/>
      <c r="X2674" s="228" t="n"/>
    </row>
    <row r="2675" ht="14.25" customHeight="1" s="192">
      <c r="W2675" s="231" t="n"/>
      <c r="X2675" s="231" t="n"/>
    </row>
    <row r="2676" ht="14.25" customHeight="1" s="192">
      <c r="W2676" s="33" t="n"/>
      <c r="X2676" s="33" t="n"/>
    </row>
    <row r="2677" ht="14.25" customHeight="1" s="192">
      <c r="W2677" s="231" t="n"/>
      <c r="X2677" s="231" t="n"/>
    </row>
    <row r="2678" ht="14.25" customHeight="1" s="192">
      <c r="W2678" s="33" t="n"/>
      <c r="X2678" s="33" t="n"/>
    </row>
    <row r="2680" ht="14.25" customHeight="1" s="192">
      <c r="W2680" s="231" t="n"/>
      <c r="X2680" s="231" t="n"/>
    </row>
    <row r="2681" ht="14.25" customHeight="1" s="192">
      <c r="W2681" s="235" t="n"/>
      <c r="X2681" s="235" t="n"/>
    </row>
    <row r="2682" ht="14.25" customHeight="1" s="192">
      <c r="W2682" s="228" t="n"/>
      <c r="X2682" s="228" t="n"/>
    </row>
    <row r="2683" ht="14.25" customHeight="1" s="192">
      <c r="W2683" s="235" t="n"/>
      <c r="X2683" s="235" t="n"/>
    </row>
    <row r="2684" ht="14.25" customHeight="1" s="192">
      <c r="W2684" s="235" t="n"/>
      <c r="X2684" s="235" t="n"/>
    </row>
    <row r="2685" ht="14.25" customHeight="1" s="192">
      <c r="W2685" s="235" t="n"/>
      <c r="X2685" s="235" t="n"/>
    </row>
    <row r="2686" ht="14.25" customHeight="1" s="192">
      <c r="W2686" s="239" t="n"/>
      <c r="X2686" s="239" t="n"/>
    </row>
    <row r="2687" ht="14.25" customHeight="1" s="192">
      <c r="W2687" s="239" t="n"/>
      <c r="X2687" s="239" t="n"/>
    </row>
    <row r="2688" ht="14.25" customHeight="1" s="192">
      <c r="W2688" s="239" t="n"/>
      <c r="X2688" s="239" t="n"/>
    </row>
    <row r="2689" ht="14.25" customHeight="1" s="192">
      <c r="W2689" s="235" t="n"/>
      <c r="X2689" s="235" t="n"/>
    </row>
    <row r="2690" ht="14.25" customHeight="1" s="192">
      <c r="W2690" s="235" t="n"/>
      <c r="X2690" s="235" t="n"/>
    </row>
    <row r="2691" ht="14.25" customHeight="1" s="192">
      <c r="W2691" s="235" t="n"/>
      <c r="X2691" s="235" t="n"/>
    </row>
    <row r="2692" ht="14.25" customHeight="1" s="192">
      <c r="W2692" s="239" t="n"/>
      <c r="X2692" s="239" t="n"/>
    </row>
    <row r="2693" ht="14.25" customHeight="1" s="192">
      <c r="W2693" s="239" t="n"/>
      <c r="X2693" s="239" t="n"/>
    </row>
    <row r="2694" ht="14.25" customHeight="1" s="192">
      <c r="W2694" s="235" t="n"/>
      <c r="X2694" s="235" t="n"/>
    </row>
    <row r="2695" ht="14.25" customHeight="1" s="192">
      <c r="W2695" s="235" t="n"/>
      <c r="X2695" s="235" t="n"/>
    </row>
    <row r="2696" ht="14.25" customHeight="1" s="192">
      <c r="W2696" s="239" t="n"/>
      <c r="X2696" s="239" t="n"/>
    </row>
    <row r="2697" ht="14.25" customHeight="1" s="192">
      <c r="W2697" s="235" t="n"/>
      <c r="X2697" s="235" t="n"/>
    </row>
    <row r="2698" ht="14.25" customHeight="1" s="192">
      <c r="W2698" s="239" t="n"/>
      <c r="X2698" s="239" t="n"/>
    </row>
    <row r="2700" ht="14.25" customHeight="1" s="192">
      <c r="W2700" s="235" t="n"/>
      <c r="X2700" s="235" t="n"/>
    </row>
    <row r="2701" ht="15" customHeight="1" s="192" thickBot="1">
      <c r="W2701" s="239" t="n"/>
      <c r="X2701" s="239" t="n"/>
    </row>
    <row r="2702" ht="15" customHeight="1" s="192" thickBot="1">
      <c r="W2702" s="45" t="n"/>
      <c r="X2702" s="45" t="n"/>
    </row>
    <row r="2703" ht="14.25" customHeight="1" s="192">
      <c r="W2703" s="228" t="n"/>
      <c r="X2703" s="228" t="n"/>
    </row>
    <row r="2704" ht="14.25" customHeight="1" s="192">
      <c r="W2704" s="228" t="n"/>
      <c r="X2704" s="228" t="n"/>
    </row>
    <row r="2705" ht="14.25" customHeight="1" s="192">
      <c r="W2705" s="231" t="n"/>
      <c r="X2705" s="231" t="n"/>
    </row>
    <row r="2706" ht="14.25" customHeight="1" s="192">
      <c r="W2706" s="33" t="n"/>
      <c r="X2706" s="33" t="n"/>
    </row>
    <row r="2707" ht="14.25" customHeight="1" s="192">
      <c r="W2707" s="231" t="n"/>
      <c r="X2707" s="231" t="n"/>
    </row>
    <row r="2708" ht="14.25" customHeight="1" s="192">
      <c r="W2708" s="33" t="n"/>
      <c r="X2708" s="33" t="n"/>
    </row>
    <row r="2710" ht="14.25" customHeight="1" s="192">
      <c r="W2710" s="231" t="n"/>
      <c r="X2710" s="231" t="n"/>
    </row>
    <row r="2711" ht="14.25" customHeight="1" s="192">
      <c r="W2711" s="235" t="n"/>
      <c r="X2711" s="235" t="n"/>
    </row>
    <row r="2712" ht="14.25" customHeight="1" s="192">
      <c r="W2712" s="228" t="n"/>
      <c r="X2712" s="228" t="n"/>
    </row>
    <row r="2713" ht="14.25" customHeight="1" s="192">
      <c r="W2713" s="235" t="n"/>
      <c r="X2713" s="235" t="n"/>
    </row>
    <row r="2714" ht="14.25" customHeight="1" s="192">
      <c r="W2714" s="235" t="n"/>
      <c r="X2714" s="235" t="n"/>
    </row>
    <row r="2715" ht="14.25" customHeight="1" s="192">
      <c r="W2715" s="235" t="n"/>
      <c r="X2715" s="235" t="n"/>
    </row>
    <row r="2716" ht="14.25" customHeight="1" s="192">
      <c r="W2716" s="239" t="n"/>
      <c r="X2716" s="239" t="n"/>
    </row>
    <row r="2717" ht="14.25" customHeight="1" s="192">
      <c r="W2717" s="239" t="n"/>
      <c r="X2717" s="239" t="n"/>
    </row>
    <row r="2718" ht="14.25" customHeight="1" s="192">
      <c r="W2718" s="239" t="n"/>
      <c r="X2718" s="239" t="n"/>
    </row>
    <row r="2719" ht="14.25" customHeight="1" s="192">
      <c r="W2719" s="235" t="n"/>
      <c r="X2719" s="235" t="n"/>
    </row>
    <row r="2720" ht="14.25" customHeight="1" s="192">
      <c r="W2720" s="235" t="n"/>
      <c r="X2720" s="235" t="n"/>
    </row>
    <row r="2721" ht="14.25" customHeight="1" s="192">
      <c r="W2721" s="235" t="n"/>
      <c r="X2721" s="235" t="n"/>
    </row>
    <row r="2722" ht="14.25" customHeight="1" s="192">
      <c r="W2722" s="239" t="n"/>
      <c r="X2722" s="239" t="n"/>
    </row>
    <row r="2723" ht="14.25" customHeight="1" s="192">
      <c r="W2723" s="239" t="n"/>
      <c r="X2723" s="239" t="n"/>
    </row>
    <row r="2724" ht="14.25" customHeight="1" s="192">
      <c r="W2724" s="235" t="n"/>
      <c r="X2724" s="235" t="n"/>
    </row>
    <row r="2725" ht="14.25" customHeight="1" s="192">
      <c r="W2725" s="235" t="n"/>
      <c r="X2725" s="235" t="n"/>
    </row>
    <row r="2726" ht="14.25" customHeight="1" s="192">
      <c r="W2726" s="239" t="n"/>
      <c r="X2726" s="239" t="n"/>
    </row>
    <row r="2727" ht="14.25" customHeight="1" s="192">
      <c r="W2727" s="235" t="n"/>
      <c r="X2727" s="235" t="n"/>
    </row>
    <row r="2728" ht="14.25" customHeight="1" s="192">
      <c r="W2728" s="239" t="n"/>
      <c r="X2728" s="239" t="n"/>
    </row>
    <row r="2730" ht="14.25" customHeight="1" s="192">
      <c r="W2730" s="235" t="n"/>
      <c r="X2730" s="235" t="n"/>
    </row>
    <row r="2731" ht="15" customHeight="1" s="192" thickBot="1">
      <c r="W2731" s="239" t="n"/>
      <c r="X2731" s="239" t="n"/>
    </row>
    <row r="2732" ht="15" customHeight="1" s="192" thickBot="1">
      <c r="W2732" s="45" t="n"/>
      <c r="X2732" s="45" t="n"/>
    </row>
    <row r="2733" ht="14.25" customHeight="1" s="192">
      <c r="W2733" s="228" t="n"/>
      <c r="X2733" s="228" t="n"/>
    </row>
    <row r="2734" ht="14.25" customHeight="1" s="192">
      <c r="W2734" s="228" t="n"/>
      <c r="X2734" s="228" t="n"/>
    </row>
    <row r="2735" ht="14.25" customHeight="1" s="192">
      <c r="W2735" s="231" t="n"/>
      <c r="X2735" s="231" t="n"/>
    </row>
    <row r="2736" ht="14.25" customHeight="1" s="192">
      <c r="W2736" s="33" t="n"/>
      <c r="X2736" s="33" t="n"/>
    </row>
    <row r="2737" ht="14.25" customHeight="1" s="192">
      <c r="W2737" s="231" t="n"/>
      <c r="X2737" s="231" t="n"/>
    </row>
    <row r="2738" ht="14.25" customHeight="1" s="192">
      <c r="W2738" s="33" t="n"/>
      <c r="X2738" s="33" t="n"/>
    </row>
    <row r="2740" ht="14.25" customHeight="1" s="192">
      <c r="W2740" s="231" t="n"/>
      <c r="X2740" s="231" t="n"/>
    </row>
    <row r="2741" ht="14.25" customHeight="1" s="192">
      <c r="W2741" s="235" t="n"/>
      <c r="X2741" s="235" t="n"/>
    </row>
    <row r="2742" ht="14.25" customHeight="1" s="192">
      <c r="W2742" s="228" t="n"/>
      <c r="X2742" s="228" t="n"/>
    </row>
    <row r="2743" ht="14.25" customHeight="1" s="192">
      <c r="W2743" s="235" t="n"/>
      <c r="X2743" s="235" t="n"/>
    </row>
    <row r="2744" ht="14.25" customHeight="1" s="192">
      <c r="W2744" s="235" t="n"/>
      <c r="X2744" s="235" t="n"/>
    </row>
    <row r="2745" ht="14.25" customHeight="1" s="192">
      <c r="W2745" s="235" t="n"/>
      <c r="X2745" s="235" t="n"/>
    </row>
    <row r="2746" ht="14.25" customHeight="1" s="192">
      <c r="W2746" s="239" t="n"/>
      <c r="X2746" s="239" t="n"/>
    </row>
    <row r="2747" ht="14.25" customHeight="1" s="192">
      <c r="W2747" s="239" t="n"/>
      <c r="X2747" s="239" t="n"/>
    </row>
    <row r="2748" ht="14.25" customHeight="1" s="192">
      <c r="W2748" s="239" t="n"/>
      <c r="X2748" s="239" t="n"/>
    </row>
    <row r="2749" ht="14.25" customHeight="1" s="192">
      <c r="W2749" s="235" t="n"/>
      <c r="X2749" s="235" t="n"/>
    </row>
    <row r="2750" ht="14.25" customHeight="1" s="192">
      <c r="W2750" s="235" t="n"/>
      <c r="X2750" s="235" t="n"/>
    </row>
    <row r="2751" ht="14.25" customHeight="1" s="192">
      <c r="W2751" s="235" t="n"/>
      <c r="X2751" s="235" t="n"/>
    </row>
    <row r="2752" ht="14.25" customHeight="1" s="192">
      <c r="W2752" s="239" t="n"/>
      <c r="X2752" s="239" t="n"/>
    </row>
    <row r="2753" ht="14.25" customHeight="1" s="192">
      <c r="W2753" s="239" t="n"/>
      <c r="X2753" s="239" t="n"/>
    </row>
    <row r="2754" ht="14.25" customHeight="1" s="192">
      <c r="W2754" s="235" t="n"/>
      <c r="X2754" s="235" t="n"/>
    </row>
    <row r="2755" ht="14.25" customHeight="1" s="192">
      <c r="W2755" s="235" t="n"/>
      <c r="X2755" s="235" t="n"/>
    </row>
    <row r="2756" ht="14.25" customHeight="1" s="192">
      <c r="W2756" s="239" t="n"/>
      <c r="X2756" s="239" t="n"/>
    </row>
    <row r="2757" ht="14.25" customHeight="1" s="192">
      <c r="W2757" s="235" t="n"/>
      <c r="X2757" s="235" t="n"/>
    </row>
    <row r="2758" ht="14.25" customHeight="1" s="192">
      <c r="W2758" s="239" t="n"/>
      <c r="X2758" s="239" t="n"/>
    </row>
    <row r="2760" ht="14.25" customHeight="1" s="192">
      <c r="W2760" s="235" t="n"/>
      <c r="X2760" s="235" t="n"/>
    </row>
    <row r="2761" ht="15" customHeight="1" s="192" thickBot="1">
      <c r="W2761" s="239" t="n"/>
      <c r="X2761" s="239" t="n"/>
    </row>
    <row r="2762" ht="15" customHeight="1" s="192" thickBot="1">
      <c r="W2762" s="45" t="n"/>
      <c r="X2762" s="45" t="n"/>
    </row>
    <row r="2763" ht="14.25" customHeight="1" s="192">
      <c r="W2763" s="228" t="n"/>
      <c r="X2763" s="228" t="n"/>
    </row>
    <row r="2764" ht="14.25" customHeight="1" s="192">
      <c r="W2764" s="228" t="n"/>
      <c r="X2764" s="228" t="n"/>
    </row>
    <row r="2765" ht="14.25" customHeight="1" s="192">
      <c r="W2765" s="231" t="n"/>
      <c r="X2765" s="231" t="n"/>
    </row>
    <row r="2766" ht="14.25" customHeight="1" s="192">
      <c r="W2766" s="33" t="n"/>
      <c r="X2766" s="33" t="n"/>
    </row>
    <row r="2767" ht="14.25" customHeight="1" s="192">
      <c r="W2767" s="231" t="n"/>
      <c r="X2767" s="231" t="n"/>
    </row>
    <row r="2768" ht="14.25" customHeight="1" s="192">
      <c r="W2768" s="33" t="n"/>
      <c r="X2768" s="33" t="n"/>
    </row>
    <row r="2770" ht="14.25" customHeight="1" s="192">
      <c r="W2770" s="231" t="n"/>
      <c r="X2770" s="231" t="n"/>
    </row>
    <row r="2771" ht="14.25" customHeight="1" s="192">
      <c r="W2771" s="235" t="n"/>
      <c r="X2771" s="235" t="n"/>
    </row>
    <row r="2772" ht="14.25" customHeight="1" s="192">
      <c r="W2772" s="228" t="n"/>
      <c r="X2772" s="228" t="n"/>
    </row>
    <row r="2773" ht="14.25" customHeight="1" s="192">
      <c r="W2773" s="235" t="n"/>
      <c r="X2773" s="235" t="n"/>
    </row>
    <row r="2774" ht="14.25" customHeight="1" s="192">
      <c r="W2774" s="235" t="n"/>
      <c r="X2774" s="235" t="n"/>
    </row>
    <row r="2775" ht="14.25" customHeight="1" s="192">
      <c r="W2775" s="235" t="n"/>
      <c r="X2775" s="235" t="n"/>
    </row>
    <row r="2776" ht="14.25" customHeight="1" s="192">
      <c r="W2776" s="239" t="n"/>
      <c r="X2776" s="239" t="n"/>
    </row>
    <row r="2777" ht="14.25" customHeight="1" s="192">
      <c r="W2777" s="239" t="n"/>
      <c r="X2777" s="239" t="n"/>
    </row>
    <row r="2778" ht="14.25" customHeight="1" s="192">
      <c r="W2778" s="239" t="n"/>
      <c r="X2778" s="239" t="n"/>
    </row>
    <row r="2779" ht="14.25" customHeight="1" s="192">
      <c r="W2779" s="235" t="n"/>
      <c r="X2779" s="235" t="n"/>
    </row>
    <row r="2780" ht="14.25" customHeight="1" s="192">
      <c r="W2780" s="235" t="n"/>
      <c r="X2780" s="235" t="n"/>
    </row>
    <row r="2781" ht="14.25" customHeight="1" s="192">
      <c r="W2781" s="235" t="n"/>
      <c r="X2781" s="235" t="n"/>
    </row>
    <row r="2782" ht="14.25" customHeight="1" s="192">
      <c r="W2782" s="239" t="n"/>
      <c r="X2782" s="239" t="n"/>
    </row>
    <row r="2783" ht="14.25" customHeight="1" s="192">
      <c r="W2783" s="239" t="n"/>
      <c r="X2783" s="239" t="n"/>
    </row>
    <row r="2784" ht="14.25" customHeight="1" s="192">
      <c r="W2784" s="235" t="n"/>
      <c r="X2784" s="235" t="n"/>
    </row>
    <row r="2785" ht="14.25" customHeight="1" s="192">
      <c r="W2785" s="235" t="n"/>
      <c r="X2785" s="235" t="n"/>
    </row>
    <row r="2786" ht="14.25" customHeight="1" s="192">
      <c r="W2786" s="239" t="n"/>
      <c r="X2786" s="239" t="n"/>
    </row>
    <row r="2787" ht="14.25" customHeight="1" s="192">
      <c r="W2787" s="235" t="n"/>
      <c r="X2787" s="235" t="n"/>
    </row>
    <row r="2788" ht="14.25" customHeight="1" s="192">
      <c r="W2788" s="239" t="n"/>
      <c r="X2788" s="239" t="n"/>
    </row>
    <row r="2790" ht="14.25" customHeight="1" s="192">
      <c r="W2790" s="235" t="n"/>
      <c r="X2790" s="235" t="n"/>
    </row>
    <row r="2791" ht="15" customHeight="1" s="192" thickBot="1">
      <c r="W2791" s="239" t="n"/>
      <c r="X2791" s="239" t="n"/>
    </row>
    <row r="2792" ht="15" customHeight="1" s="192" thickBot="1">
      <c r="W2792" s="45" t="n"/>
      <c r="X2792" s="45" t="n"/>
    </row>
    <row r="2793" ht="14.25" customHeight="1" s="192">
      <c r="W2793" s="228" t="n"/>
      <c r="X2793" s="228" t="n"/>
    </row>
    <row r="2794" ht="14.25" customHeight="1" s="192">
      <c r="W2794" s="228" t="n"/>
      <c r="X2794" s="228" t="n"/>
    </row>
    <row r="2795" ht="14.25" customHeight="1" s="192">
      <c r="W2795" s="231" t="n"/>
      <c r="X2795" s="231" t="n"/>
    </row>
    <row r="2796" ht="14.25" customHeight="1" s="192">
      <c r="W2796" s="33" t="n"/>
      <c r="X2796" s="33" t="n"/>
    </row>
    <row r="2797" ht="14.25" customHeight="1" s="192">
      <c r="W2797" s="231" t="n"/>
      <c r="X2797" s="231" t="n"/>
    </row>
    <row r="2798" ht="14.25" customHeight="1" s="192">
      <c r="W2798" s="33" t="n"/>
      <c r="X2798" s="33" t="n"/>
    </row>
    <row r="2800" ht="14.25" customHeight="1" s="192">
      <c r="W2800" s="231" t="n"/>
      <c r="X2800" s="231" t="n"/>
    </row>
    <row r="2801" ht="14.25" customHeight="1" s="192">
      <c r="W2801" s="235" t="n"/>
      <c r="X2801" s="235" t="n"/>
    </row>
    <row r="2802" ht="14.25" customHeight="1" s="192">
      <c r="W2802" s="228" t="n"/>
      <c r="X2802" s="228" t="n"/>
    </row>
    <row r="2803" ht="14.25" customHeight="1" s="192">
      <c r="W2803" s="235" t="n"/>
      <c r="X2803" s="235" t="n"/>
    </row>
    <row r="2804" ht="14.25" customHeight="1" s="192">
      <c r="W2804" s="235" t="n"/>
      <c r="X2804" s="235" t="n"/>
    </row>
    <row r="2805" ht="14.25" customHeight="1" s="192">
      <c r="W2805" s="235" t="n"/>
      <c r="X2805" s="235" t="n"/>
    </row>
    <row r="2806" ht="14.25" customHeight="1" s="192">
      <c r="W2806" s="239" t="n"/>
      <c r="X2806" s="239" t="n"/>
    </row>
    <row r="2807" ht="14.25" customHeight="1" s="192">
      <c r="W2807" s="239" t="n"/>
      <c r="X2807" s="239" t="n"/>
    </row>
    <row r="2808" ht="14.25" customHeight="1" s="192">
      <c r="W2808" s="239" t="n"/>
      <c r="X2808" s="239" t="n"/>
    </row>
    <row r="2809" ht="14.25" customHeight="1" s="192">
      <c r="W2809" s="235" t="n"/>
      <c r="X2809" s="235" t="n"/>
    </row>
    <row r="2810" ht="14.25" customHeight="1" s="192">
      <c r="W2810" s="235" t="n"/>
      <c r="X2810" s="235" t="n"/>
    </row>
    <row r="2811" ht="14.25" customHeight="1" s="192">
      <c r="W2811" s="235" t="n"/>
      <c r="X2811" s="235" t="n"/>
    </row>
    <row r="2812" ht="14.25" customHeight="1" s="192">
      <c r="W2812" s="239" t="n"/>
      <c r="X2812" s="239" t="n"/>
    </row>
    <row r="2813" ht="14.25" customHeight="1" s="192">
      <c r="W2813" s="239" t="n"/>
      <c r="X2813" s="239" t="n"/>
    </row>
    <row r="2814" ht="14.25" customHeight="1" s="192">
      <c r="W2814" s="235" t="n"/>
      <c r="X2814" s="235" t="n"/>
    </row>
    <row r="2815" ht="14.25" customHeight="1" s="192">
      <c r="W2815" s="235" t="n"/>
      <c r="X2815" s="235" t="n"/>
    </row>
    <row r="2816" ht="14.25" customHeight="1" s="192">
      <c r="W2816" s="239" t="n"/>
      <c r="X2816" s="239" t="n"/>
    </row>
    <row r="2817" ht="14.25" customHeight="1" s="192">
      <c r="W2817" s="235" t="n"/>
      <c r="X2817" s="235" t="n"/>
    </row>
    <row r="2818" ht="14.25" customHeight="1" s="192">
      <c r="W2818" s="239" t="n"/>
      <c r="X2818" s="239" t="n"/>
    </row>
    <row r="2820" ht="14.25" customHeight="1" s="192">
      <c r="W2820" s="235" t="n"/>
      <c r="X2820" s="235" t="n"/>
    </row>
    <row r="2821" ht="15" customHeight="1" s="192" thickBot="1">
      <c r="W2821" s="239" t="n"/>
      <c r="X2821" s="239" t="n"/>
    </row>
    <row r="2822" ht="15" customHeight="1" s="192" thickBot="1">
      <c r="W2822" s="45" t="n"/>
      <c r="X2822" s="45" t="n"/>
    </row>
    <row r="2823" ht="14.25" customHeight="1" s="192">
      <c r="W2823" s="228" t="n"/>
      <c r="X2823" s="228" t="n"/>
    </row>
    <row r="2824" ht="14.25" customHeight="1" s="192">
      <c r="W2824" s="228" t="n"/>
      <c r="X2824" s="228" t="n"/>
    </row>
    <row r="2825" ht="14.25" customHeight="1" s="192">
      <c r="W2825" s="231" t="n"/>
      <c r="X2825" s="231" t="n"/>
    </row>
    <row r="2826" ht="14.25" customHeight="1" s="192">
      <c r="W2826" s="33" t="n"/>
      <c r="X2826" s="33" t="n"/>
    </row>
    <row r="2827" ht="14.25" customHeight="1" s="192">
      <c r="W2827" s="231" t="n"/>
      <c r="X2827" s="231" t="n"/>
    </row>
    <row r="2828" ht="14.25" customHeight="1" s="192">
      <c r="W2828" s="33" t="n"/>
      <c r="X2828" s="33" t="n"/>
    </row>
    <row r="2830" ht="14.25" customHeight="1" s="192">
      <c r="W2830" s="231" t="n"/>
      <c r="X2830" s="231" t="n"/>
    </row>
    <row r="2831" ht="14.25" customHeight="1" s="192">
      <c r="W2831" s="235" t="n"/>
      <c r="X2831" s="235" t="n"/>
    </row>
    <row r="2832" ht="14.25" customHeight="1" s="192">
      <c r="W2832" s="228" t="n"/>
      <c r="X2832" s="228" t="n"/>
    </row>
    <row r="2833" ht="14.25" customHeight="1" s="192">
      <c r="W2833" s="235" t="n"/>
      <c r="X2833" s="235" t="n"/>
    </row>
    <row r="2834" ht="14.25" customHeight="1" s="192">
      <c r="W2834" s="235" t="n"/>
      <c r="X2834" s="235" t="n"/>
    </row>
    <row r="2835" ht="14.25" customHeight="1" s="192">
      <c r="W2835" s="235" t="n"/>
      <c r="X2835" s="235" t="n"/>
    </row>
    <row r="2836" ht="14.25" customHeight="1" s="192">
      <c r="W2836" s="239" t="n"/>
      <c r="X2836" s="239" t="n"/>
    </row>
    <row r="2837" ht="14.25" customHeight="1" s="192">
      <c r="W2837" s="239" t="n"/>
      <c r="X2837" s="239" t="n"/>
    </row>
    <row r="2838" ht="14.25" customHeight="1" s="192">
      <c r="W2838" s="239" t="n"/>
      <c r="X2838" s="239" t="n"/>
    </row>
    <row r="2839" ht="14.25" customHeight="1" s="192">
      <c r="W2839" s="235" t="n"/>
      <c r="X2839" s="235" t="n"/>
    </row>
    <row r="2840" ht="14.25" customHeight="1" s="192">
      <c r="W2840" s="235" t="n"/>
      <c r="X2840" s="235" t="n"/>
    </row>
    <row r="2841" ht="14.25" customHeight="1" s="192">
      <c r="W2841" s="235" t="n"/>
      <c r="X2841" s="235" t="n"/>
    </row>
    <row r="2842" ht="14.25" customHeight="1" s="192">
      <c r="W2842" s="239" t="n"/>
      <c r="X2842" s="239" t="n"/>
    </row>
    <row r="2843" ht="14.25" customHeight="1" s="192">
      <c r="W2843" s="239" t="n"/>
      <c r="X2843" s="239" t="n"/>
    </row>
    <row r="2844" ht="14.25" customHeight="1" s="192">
      <c r="W2844" s="235" t="n"/>
      <c r="X2844" s="235" t="n"/>
    </row>
    <row r="2845" ht="14.25" customHeight="1" s="192">
      <c r="W2845" s="235" t="n"/>
      <c r="X2845" s="235" t="n"/>
    </row>
    <row r="2846" ht="14.25" customHeight="1" s="192">
      <c r="W2846" s="239" t="n"/>
      <c r="X2846" s="239" t="n"/>
    </row>
    <row r="2847" ht="14.25" customHeight="1" s="192">
      <c r="W2847" s="235" t="n"/>
      <c r="X2847" s="235" t="n"/>
    </row>
    <row r="2848" ht="14.25" customHeight="1" s="192">
      <c r="W2848" s="239" t="n"/>
      <c r="X2848" s="239" t="n"/>
    </row>
    <row r="2850" ht="14.25" customHeight="1" s="192">
      <c r="W2850" s="235" t="n"/>
      <c r="X2850" s="235" t="n"/>
    </row>
    <row r="2851" ht="15" customHeight="1" s="192" thickBot="1">
      <c r="W2851" s="239" t="n"/>
      <c r="X2851" s="239" t="n"/>
    </row>
    <row r="2852" ht="15" customHeight="1" s="192" thickBot="1">
      <c r="W2852" s="45" t="n"/>
      <c r="X2852" s="45" t="n"/>
    </row>
    <row r="2853" ht="14.25" customHeight="1" s="192">
      <c r="W2853" s="228" t="n"/>
      <c r="X2853" s="228" t="n"/>
    </row>
    <row r="2854" ht="14.25" customHeight="1" s="192">
      <c r="W2854" s="228" t="n"/>
      <c r="X2854" s="228" t="n"/>
    </row>
    <row r="2855" ht="14.25" customHeight="1" s="192">
      <c r="W2855" s="231" t="n"/>
      <c r="X2855" s="231" t="n"/>
    </row>
    <row r="2856" ht="14.25" customHeight="1" s="192">
      <c r="W2856" s="33" t="n"/>
      <c r="X2856" s="33" t="n"/>
    </row>
    <row r="2857" ht="14.25" customHeight="1" s="192">
      <c r="W2857" s="231" t="n"/>
      <c r="X2857" s="231" t="n"/>
    </row>
    <row r="2858" ht="14.25" customHeight="1" s="192">
      <c r="W2858" s="33" t="n"/>
      <c r="X2858" s="33" t="n"/>
    </row>
    <row r="2860" ht="14.25" customHeight="1" s="192">
      <c r="W2860" s="231" t="n"/>
      <c r="X2860" s="231" t="n"/>
    </row>
    <row r="2861" ht="14.25" customHeight="1" s="192">
      <c r="W2861" s="235" t="n"/>
      <c r="X2861" s="235" t="n"/>
    </row>
    <row r="2862" ht="14.25" customHeight="1" s="192">
      <c r="W2862" s="228" t="n"/>
      <c r="X2862" s="228" t="n"/>
    </row>
    <row r="2863" ht="14.25" customHeight="1" s="192">
      <c r="W2863" s="235" t="n"/>
      <c r="X2863" s="235" t="n"/>
    </row>
    <row r="2864" ht="14.25" customHeight="1" s="192">
      <c r="W2864" s="235" t="n"/>
      <c r="X2864" s="235" t="n"/>
    </row>
    <row r="2865" ht="14.25" customHeight="1" s="192">
      <c r="W2865" s="235" t="n"/>
      <c r="X2865" s="235" t="n"/>
    </row>
    <row r="2866" ht="14.25" customHeight="1" s="192">
      <c r="W2866" s="239" t="n"/>
      <c r="X2866" s="239" t="n"/>
    </row>
    <row r="2867" ht="14.25" customHeight="1" s="192">
      <c r="W2867" s="239" t="n"/>
      <c r="X2867" s="239" t="n"/>
    </row>
    <row r="2868" ht="14.25" customHeight="1" s="192">
      <c r="W2868" s="239" t="n"/>
      <c r="X2868" s="239" t="n"/>
    </row>
    <row r="2869" ht="14.25" customHeight="1" s="192">
      <c r="W2869" s="235" t="n"/>
      <c r="X2869" s="235" t="n"/>
    </row>
    <row r="2870" ht="14.25" customHeight="1" s="192">
      <c r="W2870" s="235" t="n"/>
      <c r="X2870" s="235" t="n"/>
    </row>
    <row r="2871" ht="14.25" customHeight="1" s="192">
      <c r="W2871" s="235" t="n"/>
      <c r="X2871" s="235" t="n"/>
    </row>
    <row r="2872" ht="14.25" customHeight="1" s="192">
      <c r="W2872" s="239" t="n"/>
      <c r="X2872" s="239" t="n"/>
    </row>
    <row r="2873" ht="14.25" customHeight="1" s="192">
      <c r="W2873" s="239" t="n"/>
      <c r="X2873" s="239" t="n"/>
    </row>
    <row r="2874" ht="14.25" customHeight="1" s="192">
      <c r="W2874" s="235" t="n"/>
      <c r="X2874" s="235" t="n"/>
    </row>
    <row r="2875" ht="14.25" customHeight="1" s="192">
      <c r="W2875" s="235" t="n"/>
      <c r="X2875" s="235" t="n"/>
    </row>
    <row r="2876" ht="14.25" customHeight="1" s="192">
      <c r="W2876" s="239" t="n"/>
      <c r="X2876" s="239" t="n"/>
    </row>
    <row r="2877" ht="14.25" customHeight="1" s="192">
      <c r="W2877" s="235" t="n"/>
      <c r="X2877" s="235" t="n"/>
    </row>
    <row r="2878" ht="14.25" customHeight="1" s="192">
      <c r="W2878" s="239" t="n"/>
      <c r="X2878" s="239" t="n"/>
    </row>
    <row r="2880" ht="14.25" customHeight="1" s="192">
      <c r="W2880" s="235" t="n"/>
      <c r="X2880" s="235" t="n"/>
    </row>
    <row r="2881" ht="15" customHeight="1" s="192" thickBot="1">
      <c r="W2881" s="239" t="n"/>
      <c r="X2881" s="239" t="n"/>
    </row>
    <row r="2882" ht="15" customHeight="1" s="192" thickBot="1">
      <c r="W2882" s="45" t="n"/>
      <c r="X2882" s="45" t="n"/>
    </row>
    <row r="2883" ht="14.25" customHeight="1" s="192">
      <c r="W2883" s="228" t="n"/>
      <c r="X2883" s="228" t="n"/>
    </row>
    <row r="2884" ht="14.25" customHeight="1" s="192">
      <c r="W2884" s="228" t="n"/>
      <c r="X2884" s="228" t="n"/>
    </row>
    <row r="2885" ht="14.25" customHeight="1" s="192">
      <c r="W2885" s="231" t="n"/>
      <c r="X2885" s="231" t="n"/>
    </row>
    <row r="2886" ht="14.25" customHeight="1" s="192">
      <c r="W2886" s="33" t="n"/>
      <c r="X2886" s="33" t="n"/>
    </row>
    <row r="2887" ht="14.25" customHeight="1" s="192">
      <c r="W2887" s="231" t="n"/>
      <c r="X2887" s="231" t="n"/>
    </row>
    <row r="2888" ht="14.25" customHeight="1" s="192">
      <c r="W2888" s="33" t="n"/>
      <c r="X2888" s="33" t="n"/>
    </row>
    <row r="2890" ht="14.25" customHeight="1" s="192">
      <c r="W2890" s="231" t="n"/>
      <c r="X2890" s="231" t="n"/>
    </row>
    <row r="2891" ht="14.25" customHeight="1" s="192">
      <c r="W2891" s="235" t="n"/>
      <c r="X2891" s="235" t="n"/>
    </row>
    <row r="2892" ht="14.25" customHeight="1" s="192">
      <c r="W2892" s="228" t="n"/>
      <c r="X2892" s="228" t="n"/>
    </row>
    <row r="2893" ht="14.25" customHeight="1" s="192">
      <c r="W2893" s="235" t="n"/>
      <c r="X2893" s="235" t="n"/>
    </row>
    <row r="2894" ht="14.25" customHeight="1" s="192">
      <c r="W2894" s="235" t="n"/>
      <c r="X2894" s="235" t="n"/>
    </row>
    <row r="2895" ht="14.25" customHeight="1" s="192">
      <c r="W2895" s="235" t="n"/>
      <c r="X2895" s="235" t="n"/>
    </row>
    <row r="2896" ht="14.25" customHeight="1" s="192">
      <c r="W2896" s="239" t="n"/>
      <c r="X2896" s="239" t="n"/>
    </row>
    <row r="2897" ht="14.25" customHeight="1" s="192">
      <c r="W2897" s="239" t="n"/>
      <c r="X2897" s="239" t="n"/>
    </row>
    <row r="2898" ht="14.25" customHeight="1" s="192">
      <c r="W2898" s="239" t="n"/>
      <c r="X2898" s="239" t="n"/>
    </row>
    <row r="2899" ht="14.25" customHeight="1" s="192">
      <c r="W2899" s="235" t="n"/>
      <c r="X2899" s="235" t="n"/>
    </row>
    <row r="2900" ht="14.25" customHeight="1" s="192">
      <c r="W2900" s="235" t="n"/>
      <c r="X2900" s="235" t="n"/>
    </row>
    <row r="2901" ht="14.25" customHeight="1" s="192">
      <c r="W2901" s="235" t="n"/>
      <c r="X2901" s="235" t="n"/>
    </row>
    <row r="2902" ht="14.25" customHeight="1" s="192">
      <c r="W2902" s="239" t="n"/>
      <c r="X2902" s="239" t="n"/>
    </row>
    <row r="2903" ht="14.25" customHeight="1" s="192">
      <c r="W2903" s="239" t="n"/>
      <c r="X2903" s="239" t="n"/>
    </row>
    <row r="2904" ht="14.25" customHeight="1" s="192">
      <c r="W2904" s="235" t="n"/>
      <c r="X2904" s="235" t="n"/>
    </row>
    <row r="2905" ht="14.25" customHeight="1" s="192">
      <c r="W2905" s="235" t="n"/>
      <c r="X2905" s="235" t="n"/>
    </row>
    <row r="2906" ht="14.25" customHeight="1" s="192">
      <c r="W2906" s="239" t="n"/>
      <c r="X2906" s="239" t="n"/>
    </row>
    <row r="2907" ht="14.25" customHeight="1" s="192">
      <c r="W2907" s="235" t="n"/>
      <c r="X2907" s="235" t="n"/>
    </row>
    <row r="2908" ht="14.25" customHeight="1" s="192">
      <c r="W2908" s="239" t="n"/>
      <c r="X2908" s="239" t="n"/>
    </row>
    <row r="2910" ht="14.25" customHeight="1" s="192">
      <c r="W2910" s="235" t="n"/>
      <c r="X2910" s="235" t="n"/>
    </row>
    <row r="2911" ht="15" customHeight="1" s="192" thickBot="1">
      <c r="W2911" s="239" t="n"/>
      <c r="X2911" s="239" t="n"/>
    </row>
    <row r="2912" ht="15" customHeight="1" s="192" thickBot="1">
      <c r="W2912" s="45" t="n"/>
      <c r="X2912" s="45" t="n"/>
    </row>
    <row r="2913" ht="14.25" customHeight="1" s="192">
      <c r="W2913" s="228" t="n"/>
      <c r="X2913" s="228" t="n"/>
    </row>
    <row r="2914" ht="14.25" customHeight="1" s="192">
      <c r="W2914" s="228" t="n"/>
      <c r="X2914" s="228" t="n"/>
    </row>
    <row r="2915" ht="14.25" customHeight="1" s="192">
      <c r="W2915" s="231" t="n"/>
      <c r="X2915" s="231" t="n"/>
    </row>
    <row r="2916" ht="14.25" customHeight="1" s="192">
      <c r="W2916" s="33" t="n"/>
      <c r="X2916" s="33" t="n"/>
    </row>
    <row r="2917" ht="14.25" customHeight="1" s="192">
      <c r="W2917" s="231" t="n"/>
      <c r="X2917" s="231" t="n"/>
    </row>
    <row r="2918" ht="14.25" customHeight="1" s="192">
      <c r="W2918" s="33" t="n"/>
      <c r="X2918" s="33" t="n"/>
    </row>
    <row r="2920" ht="14.25" customHeight="1" s="192">
      <c r="W2920" s="231" t="n"/>
      <c r="X2920" s="231" t="n"/>
    </row>
    <row r="2921" ht="14.25" customHeight="1" s="192">
      <c r="W2921" s="235" t="n"/>
      <c r="X2921" s="235" t="n"/>
    </row>
    <row r="2922" ht="14.25" customHeight="1" s="192">
      <c r="W2922" s="228" t="n"/>
      <c r="X2922" s="228" t="n"/>
    </row>
    <row r="2923" ht="14.25" customHeight="1" s="192">
      <c r="W2923" s="235" t="n"/>
      <c r="X2923" s="235" t="n"/>
    </row>
    <row r="2924" ht="14.25" customHeight="1" s="192">
      <c r="W2924" s="235" t="n"/>
      <c r="X2924" s="235" t="n"/>
    </row>
    <row r="2925" ht="14.25" customHeight="1" s="192">
      <c r="W2925" s="235" t="n"/>
      <c r="X2925" s="235" t="n"/>
    </row>
    <row r="2926" ht="14.25" customHeight="1" s="192">
      <c r="W2926" s="239" t="n"/>
      <c r="X2926" s="239" t="n"/>
    </row>
    <row r="2927" ht="14.25" customHeight="1" s="192">
      <c r="W2927" s="239" t="n"/>
      <c r="X2927" s="239" t="n"/>
    </row>
    <row r="2928" ht="14.25" customHeight="1" s="192">
      <c r="W2928" s="239" t="n"/>
      <c r="X2928" s="239" t="n"/>
    </row>
    <row r="2929" ht="14.25" customHeight="1" s="192">
      <c r="W2929" s="235" t="n"/>
      <c r="X2929" s="235" t="n"/>
    </row>
    <row r="2930" ht="14.25" customHeight="1" s="192">
      <c r="W2930" s="235" t="n"/>
      <c r="X2930" s="235" t="n"/>
    </row>
    <row r="2931" ht="14.25" customHeight="1" s="192">
      <c r="W2931" s="235" t="n"/>
      <c r="X2931" s="235" t="n"/>
    </row>
    <row r="2932" ht="14.25" customHeight="1" s="192">
      <c r="W2932" s="239" t="n"/>
      <c r="X2932" s="239" t="n"/>
    </row>
    <row r="2933" ht="14.25" customHeight="1" s="192">
      <c r="W2933" s="239" t="n"/>
      <c r="X2933" s="239" t="n"/>
    </row>
    <row r="2934" ht="14.25" customHeight="1" s="192">
      <c r="W2934" s="235" t="n"/>
      <c r="X2934" s="235" t="n"/>
    </row>
    <row r="2935" ht="14.25" customHeight="1" s="192">
      <c r="W2935" s="235" t="n"/>
      <c r="X2935" s="235" t="n"/>
    </row>
    <row r="2936" ht="14.25" customHeight="1" s="192">
      <c r="W2936" s="239" t="n"/>
      <c r="X2936" s="239" t="n"/>
    </row>
    <row r="2937" ht="14.25" customHeight="1" s="192">
      <c r="W2937" s="235" t="n"/>
      <c r="X2937" s="235" t="n"/>
    </row>
    <row r="2938" ht="14.25" customHeight="1" s="192">
      <c r="W2938" s="239" t="n"/>
      <c r="X2938" s="239" t="n"/>
    </row>
    <row r="2940" ht="14.25" customHeight="1" s="192">
      <c r="W2940" s="235" t="n"/>
      <c r="X2940" s="235" t="n"/>
    </row>
    <row r="2941" ht="15" customHeight="1" s="192" thickBot="1">
      <c r="W2941" s="239" t="n"/>
      <c r="X2941" s="239" t="n"/>
    </row>
    <row r="2942" ht="15" customHeight="1" s="192" thickBot="1">
      <c r="W2942" s="45" t="n"/>
      <c r="X2942" s="45" t="n"/>
    </row>
    <row r="2943" ht="14.25" customHeight="1" s="192">
      <c r="W2943" s="228" t="n"/>
      <c r="X2943" s="228" t="n"/>
    </row>
    <row r="2944" ht="14.25" customHeight="1" s="192">
      <c r="W2944" s="228" t="n"/>
      <c r="X2944" s="228" t="n"/>
    </row>
    <row r="2945" ht="14.25" customHeight="1" s="192">
      <c r="W2945" s="231" t="n"/>
      <c r="X2945" s="231" t="n"/>
    </row>
    <row r="2946" ht="14.25" customHeight="1" s="192">
      <c r="W2946" s="33" t="n"/>
      <c r="X2946" s="33" t="n"/>
    </row>
    <row r="2947" ht="14.25" customHeight="1" s="192">
      <c r="W2947" s="231" t="n"/>
      <c r="X2947" s="231" t="n"/>
    </row>
    <row r="2948" ht="14.25" customHeight="1" s="192">
      <c r="W2948" s="33" t="n"/>
      <c r="X2948" s="33" t="n"/>
    </row>
    <row r="2950" ht="14.25" customHeight="1" s="192">
      <c r="W2950" s="231" t="n"/>
      <c r="X2950" s="231" t="n"/>
    </row>
    <row r="2951" ht="14.25" customHeight="1" s="192">
      <c r="W2951" s="235" t="n"/>
      <c r="X2951" s="235" t="n"/>
    </row>
    <row r="2952" ht="14.25" customHeight="1" s="192">
      <c r="W2952" s="228" t="n"/>
      <c r="X2952" s="228" t="n"/>
    </row>
    <row r="2953" ht="14.25" customHeight="1" s="192">
      <c r="W2953" s="235" t="n"/>
      <c r="X2953" s="235" t="n"/>
    </row>
    <row r="2954" ht="14.25" customHeight="1" s="192">
      <c r="W2954" s="235" t="n"/>
      <c r="X2954" s="235" t="n"/>
    </row>
    <row r="2955" ht="14.25" customHeight="1" s="192">
      <c r="W2955" s="235" t="n"/>
      <c r="X2955" s="235" t="n"/>
    </row>
    <row r="2956" ht="14.25" customHeight="1" s="192">
      <c r="W2956" s="239" t="n"/>
      <c r="X2956" s="239" t="n"/>
    </row>
    <row r="2957" ht="14.25" customHeight="1" s="192">
      <c r="W2957" s="239" t="n"/>
      <c r="X2957" s="239" t="n"/>
    </row>
    <row r="2958" ht="14.25" customHeight="1" s="192">
      <c r="W2958" s="239" t="n"/>
      <c r="X2958" s="239" t="n"/>
    </row>
    <row r="2959" ht="14.25" customHeight="1" s="192">
      <c r="W2959" s="235" t="n"/>
      <c r="X2959" s="235" t="n"/>
    </row>
    <row r="2960" ht="14.25" customHeight="1" s="192">
      <c r="W2960" s="235" t="n"/>
      <c r="X2960" s="235" t="n"/>
    </row>
    <row r="2961" ht="14.25" customHeight="1" s="192">
      <c r="W2961" s="235" t="n"/>
      <c r="X2961" s="235" t="n"/>
    </row>
    <row r="2962" ht="14.25" customHeight="1" s="192">
      <c r="W2962" s="239" t="n"/>
      <c r="X2962" s="239" t="n"/>
    </row>
    <row r="2963" ht="14.25" customHeight="1" s="192">
      <c r="W2963" s="239" t="n"/>
      <c r="X2963" s="239" t="n"/>
    </row>
    <row r="2964" ht="14.25" customHeight="1" s="192">
      <c r="W2964" s="235" t="n"/>
      <c r="X2964" s="235" t="n"/>
    </row>
    <row r="2965" ht="14.25" customHeight="1" s="192">
      <c r="W2965" s="235" t="n"/>
      <c r="X2965" s="235" t="n"/>
    </row>
    <row r="2966" ht="14.25" customHeight="1" s="192">
      <c r="W2966" s="239" t="n"/>
      <c r="X2966" s="239" t="n"/>
    </row>
    <row r="2967" ht="14.25" customHeight="1" s="192">
      <c r="W2967" s="235" t="n"/>
      <c r="X2967" s="235" t="n"/>
    </row>
    <row r="2968" ht="14.25" customHeight="1" s="192">
      <c r="W2968" s="239" t="n"/>
      <c r="X2968" s="239" t="n"/>
    </row>
    <row r="2970" ht="14.25" customHeight="1" s="192">
      <c r="W2970" s="235" t="n"/>
      <c r="X2970" s="235" t="n"/>
    </row>
    <row r="2971" ht="15" customHeight="1" s="192" thickBot="1">
      <c r="W2971" s="239" t="n"/>
      <c r="X2971" s="239" t="n"/>
    </row>
    <row r="2972" ht="15" customHeight="1" s="192" thickBot="1">
      <c r="W2972" s="45" t="n"/>
      <c r="X2972" s="45" t="n"/>
    </row>
    <row r="2973" ht="14.25" customHeight="1" s="192">
      <c r="W2973" s="228" t="n"/>
      <c r="X2973" s="228" t="n"/>
    </row>
    <row r="2974" ht="14.25" customHeight="1" s="192">
      <c r="W2974" s="228" t="n"/>
      <c r="X2974" s="228" t="n"/>
    </row>
    <row r="2975" ht="14.25" customHeight="1" s="192">
      <c r="W2975" s="231" t="n"/>
      <c r="X2975" s="231" t="n"/>
    </row>
    <row r="2976" ht="14.25" customHeight="1" s="192">
      <c r="W2976" s="33" t="n"/>
      <c r="X2976" s="33" t="n"/>
    </row>
    <row r="2977" ht="14.25" customHeight="1" s="192">
      <c r="W2977" s="231" t="n"/>
      <c r="X2977" s="231" t="n"/>
    </row>
    <row r="2978" ht="14.25" customHeight="1" s="192">
      <c r="W2978" s="33" t="n"/>
      <c r="X2978" s="33" t="n"/>
    </row>
    <row r="2980" ht="14.25" customHeight="1" s="192">
      <c r="W2980" s="231" t="n"/>
      <c r="X2980" s="231" t="n"/>
    </row>
    <row r="2981" ht="14.25" customHeight="1" s="192">
      <c r="W2981" s="235" t="n"/>
      <c r="X2981" s="235" t="n"/>
    </row>
    <row r="2982" ht="14.25" customHeight="1" s="192">
      <c r="W2982" s="228" t="n"/>
      <c r="X2982" s="228" t="n"/>
    </row>
    <row r="2983" ht="14.25" customHeight="1" s="192">
      <c r="W2983" s="235" t="n"/>
      <c r="X2983" s="235" t="n"/>
    </row>
    <row r="2984" ht="14.25" customHeight="1" s="192">
      <c r="W2984" s="235" t="n"/>
      <c r="X2984" s="235" t="n"/>
    </row>
    <row r="2985" ht="14.25" customHeight="1" s="192">
      <c r="W2985" s="235" t="n"/>
      <c r="X2985" s="235" t="n"/>
    </row>
    <row r="2986" ht="14.25" customHeight="1" s="192">
      <c r="W2986" s="239" t="n"/>
      <c r="X2986" s="239" t="n"/>
    </row>
    <row r="2987" ht="14.25" customHeight="1" s="192">
      <c r="W2987" s="239" t="n"/>
      <c r="X2987" s="239" t="n"/>
    </row>
    <row r="2988" ht="14.25" customHeight="1" s="192">
      <c r="W2988" s="239" t="n"/>
      <c r="X2988" s="239" t="n"/>
    </row>
    <row r="2989" ht="14.25" customHeight="1" s="192">
      <c r="W2989" s="235" t="n"/>
      <c r="X2989" s="235" t="n"/>
    </row>
    <row r="2990" ht="14.25" customHeight="1" s="192">
      <c r="W2990" s="235" t="n"/>
      <c r="X2990" s="235" t="n"/>
    </row>
    <row r="2991" ht="14.25" customHeight="1" s="192">
      <c r="W2991" s="235" t="n"/>
      <c r="X2991" s="235" t="n"/>
    </row>
    <row r="2992" ht="14.25" customHeight="1" s="192">
      <c r="W2992" s="239" t="n"/>
      <c r="X2992" s="239" t="n"/>
    </row>
    <row r="2993" ht="14.25" customHeight="1" s="192">
      <c r="W2993" s="239" t="n"/>
      <c r="X2993" s="239" t="n"/>
    </row>
    <row r="2994" ht="14.25" customHeight="1" s="192">
      <c r="W2994" s="235" t="n"/>
      <c r="X2994" s="235" t="n"/>
    </row>
    <row r="2995" ht="14.25" customHeight="1" s="192">
      <c r="W2995" s="235" t="n"/>
      <c r="X2995" s="235" t="n"/>
    </row>
    <row r="2996" ht="14.25" customHeight="1" s="192">
      <c r="W2996" s="239" t="n"/>
      <c r="X2996" s="239" t="n"/>
    </row>
    <row r="2997" ht="14.25" customHeight="1" s="192">
      <c r="W2997" s="235" t="n"/>
      <c r="X2997" s="235" t="n"/>
    </row>
    <row r="2998" ht="14.25" customHeight="1" s="192">
      <c r="W2998" s="239" t="n"/>
      <c r="X2998" s="239" t="n"/>
    </row>
    <row r="3000" ht="14.25" customHeight="1" s="192">
      <c r="W3000" s="235" t="n"/>
      <c r="X3000" s="235" t="n"/>
    </row>
    <row r="3001" ht="15" customHeight="1" s="192" thickBot="1">
      <c r="W3001" s="239" t="n"/>
      <c r="X3001" s="239" t="n"/>
    </row>
    <row r="3002" ht="15" customHeight="1" s="192" thickBot="1">
      <c r="W3002" s="45" t="n"/>
      <c r="X3002" s="45" t="n"/>
    </row>
    <row r="3003" ht="14.25" customHeight="1" s="192">
      <c r="W3003" s="228" t="n"/>
      <c r="X3003" s="228" t="n"/>
    </row>
    <row r="3004" ht="14.25" customHeight="1" s="192">
      <c r="W3004" s="228" t="n"/>
      <c r="X3004" s="228" t="n"/>
    </row>
    <row r="3005" ht="14.25" customHeight="1" s="192">
      <c r="W3005" s="231" t="n"/>
      <c r="X3005" s="231" t="n"/>
    </row>
    <row r="3006" ht="14.25" customHeight="1" s="192">
      <c r="W3006" s="33" t="n"/>
      <c r="X3006" s="33" t="n"/>
    </row>
    <row r="3007" ht="14.25" customHeight="1" s="192">
      <c r="W3007" s="231" t="n"/>
      <c r="X3007" s="231" t="n"/>
    </row>
    <row r="3008" ht="14.25" customHeight="1" s="192">
      <c r="W3008" s="33" t="n"/>
      <c r="X3008" s="33" t="n"/>
    </row>
    <row r="3010" ht="14.25" customHeight="1" s="192">
      <c r="W3010" s="231" t="n"/>
      <c r="X3010" s="231" t="n"/>
    </row>
    <row r="3011" ht="14.25" customHeight="1" s="192">
      <c r="W3011" s="235" t="n"/>
      <c r="X3011" s="235" t="n"/>
    </row>
    <row r="3012" ht="14.25" customHeight="1" s="192">
      <c r="W3012" s="228" t="n"/>
      <c r="X3012" s="228" t="n"/>
    </row>
    <row r="3013" ht="14.25" customHeight="1" s="192">
      <c r="W3013" s="235" t="n"/>
      <c r="X3013" s="235" t="n"/>
    </row>
    <row r="3014" ht="14.25" customHeight="1" s="192">
      <c r="W3014" s="235" t="n"/>
      <c r="X3014" s="235" t="n"/>
    </row>
    <row r="3015" ht="14.25" customHeight="1" s="192">
      <c r="W3015" s="235" t="n"/>
      <c r="X3015" s="235" t="n"/>
    </row>
    <row r="3016" ht="14.25" customHeight="1" s="192">
      <c r="W3016" s="239" t="n"/>
      <c r="X3016" s="239" t="n"/>
    </row>
    <row r="3017" ht="14.25" customHeight="1" s="192">
      <c r="W3017" s="239" t="n"/>
      <c r="X3017" s="239" t="n"/>
    </row>
    <row r="3018" ht="14.25" customHeight="1" s="192">
      <c r="W3018" s="239" t="n"/>
      <c r="X3018" s="239" t="n"/>
    </row>
    <row r="3019" ht="14.25" customHeight="1" s="192">
      <c r="W3019" s="235" t="n"/>
      <c r="X3019" s="235" t="n"/>
    </row>
    <row r="3020" ht="14.25" customHeight="1" s="192">
      <c r="W3020" s="235" t="n"/>
      <c r="X3020" s="235" t="n"/>
    </row>
    <row r="3021" ht="14.25" customHeight="1" s="192">
      <c r="W3021" s="235" t="n"/>
      <c r="X3021" s="235" t="n"/>
    </row>
    <row r="3022" ht="14.25" customHeight="1" s="192">
      <c r="W3022" s="239" t="n"/>
      <c r="X3022" s="239" t="n"/>
    </row>
    <row r="3023" ht="14.25" customHeight="1" s="192">
      <c r="W3023" s="239" t="n"/>
      <c r="X3023" s="239" t="n"/>
    </row>
    <row r="3024" ht="14.25" customHeight="1" s="192">
      <c r="W3024" s="235" t="n"/>
      <c r="X3024" s="235" t="n"/>
    </row>
    <row r="3025" ht="14.25" customHeight="1" s="192">
      <c r="W3025" s="235" t="n"/>
      <c r="X3025" s="235" t="n"/>
    </row>
    <row r="3026" ht="14.25" customHeight="1" s="192">
      <c r="W3026" s="239" t="n"/>
      <c r="X3026" s="239" t="n"/>
    </row>
    <row r="3027" ht="14.25" customHeight="1" s="192">
      <c r="W3027" s="235" t="n"/>
      <c r="X3027" s="235" t="n"/>
    </row>
    <row r="3028" ht="14.25" customHeight="1" s="192">
      <c r="W3028" s="239" t="n"/>
      <c r="X3028" s="239" t="n"/>
    </row>
    <row r="3030" ht="14.25" customHeight="1" s="192">
      <c r="W3030" s="235" t="n"/>
      <c r="X3030" s="235" t="n"/>
    </row>
    <row r="3031" ht="15" customHeight="1" s="192" thickBot="1">
      <c r="W3031" s="239" t="n"/>
      <c r="X3031" s="239" t="n"/>
    </row>
    <row r="3032" ht="15" customHeight="1" s="192" thickBot="1">
      <c r="W3032" s="45" t="n"/>
      <c r="X3032" s="45" t="n"/>
    </row>
    <row r="3033" ht="14.25" customHeight="1" s="192">
      <c r="W3033" s="228" t="n"/>
      <c r="X3033" s="228" t="n"/>
    </row>
    <row r="3034" ht="14.25" customHeight="1" s="192">
      <c r="W3034" s="228" t="n"/>
      <c r="X3034" s="228" t="n"/>
    </row>
    <row r="3035" ht="14.25" customHeight="1" s="192">
      <c r="W3035" s="231" t="n"/>
      <c r="X3035" s="231" t="n"/>
    </row>
    <row r="3036" ht="14.25" customHeight="1" s="192">
      <c r="W3036" s="33" t="n"/>
      <c r="X3036" s="33" t="n"/>
    </row>
    <row r="3037" ht="14.25" customHeight="1" s="192">
      <c r="W3037" s="231" t="n"/>
      <c r="X3037" s="231" t="n"/>
    </row>
    <row r="3038" ht="14.25" customHeight="1" s="192">
      <c r="W3038" s="33" t="n"/>
      <c r="X3038" s="33" t="n"/>
    </row>
    <row r="3040" ht="14.25" customHeight="1" s="192">
      <c r="W3040" s="231" t="n"/>
      <c r="X3040" s="231" t="n"/>
    </row>
    <row r="3041" ht="14.25" customHeight="1" s="192">
      <c r="W3041" s="235" t="n"/>
      <c r="X3041" s="235" t="n"/>
    </row>
    <row r="3042" ht="14.25" customHeight="1" s="192">
      <c r="W3042" s="228" t="n"/>
      <c r="X3042" s="228" t="n"/>
    </row>
    <row r="3043" ht="14.25" customHeight="1" s="192">
      <c r="W3043" s="235" t="n"/>
      <c r="X3043" s="235" t="n"/>
    </row>
    <row r="3044" ht="14.25" customHeight="1" s="192">
      <c r="W3044" s="235" t="n"/>
      <c r="X3044" s="235" t="n"/>
    </row>
    <row r="3045" ht="14.25" customHeight="1" s="192">
      <c r="W3045" s="235" t="n"/>
      <c r="X3045" s="235" t="n"/>
    </row>
    <row r="3046" ht="14.25" customHeight="1" s="192">
      <c r="W3046" s="239" t="n"/>
      <c r="X3046" s="239" t="n"/>
    </row>
    <row r="3047" ht="14.25" customHeight="1" s="192">
      <c r="W3047" s="239" t="n"/>
      <c r="X3047" s="239" t="n"/>
    </row>
    <row r="3048" ht="14.25" customHeight="1" s="192">
      <c r="W3048" s="239" t="n"/>
      <c r="X3048" s="239" t="n"/>
    </row>
    <row r="3049" ht="14.25" customHeight="1" s="192">
      <c r="W3049" s="235" t="n"/>
      <c r="X3049" s="235" t="n"/>
    </row>
    <row r="3050" ht="14.25" customHeight="1" s="192">
      <c r="W3050" s="235" t="n"/>
      <c r="X3050" s="235" t="n"/>
    </row>
    <row r="3051" ht="14.25" customHeight="1" s="192">
      <c r="W3051" s="235" t="n"/>
      <c r="X3051" s="235" t="n"/>
    </row>
    <row r="3052" ht="14.25" customHeight="1" s="192">
      <c r="W3052" s="239" t="n"/>
      <c r="X3052" s="239" t="n"/>
    </row>
    <row r="3053" ht="14.25" customHeight="1" s="192">
      <c r="W3053" s="239" t="n"/>
      <c r="X3053" s="239" t="n"/>
    </row>
    <row r="3054" ht="14.25" customHeight="1" s="192">
      <c r="W3054" s="235" t="n"/>
      <c r="X3054" s="235" t="n"/>
    </row>
    <row r="3055" ht="14.25" customHeight="1" s="192">
      <c r="W3055" s="235" t="n"/>
      <c r="X3055" s="235" t="n"/>
    </row>
    <row r="3056" ht="14.25" customHeight="1" s="192">
      <c r="W3056" s="239" t="n"/>
      <c r="X3056" s="239" t="n"/>
    </row>
    <row r="3057" ht="14.25" customHeight="1" s="192">
      <c r="W3057" s="235" t="n"/>
      <c r="X3057" s="235" t="n"/>
    </row>
    <row r="3058" ht="14.25" customHeight="1" s="192">
      <c r="W3058" s="239" t="n"/>
      <c r="X3058" s="239" t="n"/>
    </row>
    <row r="3060" ht="14.25" customHeight="1" s="192">
      <c r="W3060" s="235" t="n"/>
      <c r="X3060" s="235" t="n"/>
    </row>
    <row r="3061" ht="15" customHeight="1" s="192" thickBot="1">
      <c r="W3061" s="239" t="n"/>
      <c r="X3061" s="239" t="n"/>
    </row>
    <row r="3062" ht="15" customHeight="1" s="192" thickBot="1">
      <c r="W3062" s="45" t="n"/>
      <c r="X3062" s="45" t="n"/>
    </row>
    <row r="3063" ht="14.25" customHeight="1" s="192">
      <c r="W3063" s="228" t="n"/>
      <c r="X3063" s="228" t="n"/>
    </row>
    <row r="3064" ht="14.25" customHeight="1" s="192">
      <c r="W3064" s="228" t="n"/>
      <c r="X3064" s="228" t="n"/>
    </row>
    <row r="3065" ht="14.25" customHeight="1" s="192">
      <c r="W3065" s="231" t="n"/>
      <c r="X3065" s="231" t="n"/>
    </row>
    <row r="3066" ht="14.25" customHeight="1" s="192">
      <c r="W3066" s="33" t="n"/>
      <c r="X3066" s="33" t="n"/>
    </row>
    <row r="3067" ht="14.25" customHeight="1" s="192">
      <c r="W3067" s="231" t="n"/>
      <c r="X3067" s="231" t="n"/>
    </row>
    <row r="3068" ht="14.25" customHeight="1" s="192">
      <c r="W3068" s="33" t="n"/>
      <c r="X3068" s="33" t="n"/>
    </row>
    <row r="3070" ht="14.25" customHeight="1" s="192">
      <c r="W3070" s="231" t="n"/>
      <c r="X3070" s="231" t="n"/>
    </row>
    <row r="3071" ht="14.25" customHeight="1" s="192">
      <c r="W3071" s="235" t="n"/>
      <c r="X3071" s="235" t="n"/>
    </row>
    <row r="3072" ht="14.25" customHeight="1" s="192">
      <c r="W3072" s="228" t="n"/>
      <c r="X3072" s="228" t="n"/>
    </row>
    <row r="3073" ht="14.25" customHeight="1" s="192">
      <c r="W3073" s="235" t="n"/>
      <c r="X3073" s="235" t="n"/>
    </row>
    <row r="3074" ht="14.25" customHeight="1" s="192">
      <c r="W3074" s="235" t="n"/>
      <c r="X3074" s="235" t="n"/>
    </row>
    <row r="3075" ht="14.25" customHeight="1" s="192">
      <c r="W3075" s="235" t="n"/>
      <c r="X3075" s="235" t="n"/>
    </row>
    <row r="3076" ht="14.25" customHeight="1" s="192">
      <c r="W3076" s="239" t="n"/>
      <c r="X3076" s="239" t="n"/>
    </row>
    <row r="3077" ht="14.25" customHeight="1" s="192">
      <c r="W3077" s="239" t="n"/>
      <c r="X3077" s="239" t="n"/>
    </row>
    <row r="3078" ht="14.25" customHeight="1" s="192">
      <c r="W3078" s="239" t="n"/>
      <c r="X3078" s="239" t="n"/>
    </row>
    <row r="3079" ht="14.25" customHeight="1" s="192">
      <c r="W3079" s="235" t="n"/>
      <c r="X3079" s="235" t="n"/>
    </row>
    <row r="3080" ht="14.25" customHeight="1" s="192">
      <c r="W3080" s="235" t="n"/>
      <c r="X3080" s="235" t="n"/>
    </row>
    <row r="3081" ht="14.25" customHeight="1" s="192">
      <c r="W3081" s="235" t="n"/>
      <c r="X3081" s="235" t="n"/>
    </row>
    <row r="3082" ht="14.25" customHeight="1" s="192">
      <c r="W3082" s="239" t="n"/>
      <c r="X3082" s="239" t="n"/>
    </row>
    <row r="3083" ht="14.25" customHeight="1" s="192">
      <c r="W3083" s="239" t="n"/>
      <c r="X3083" s="239" t="n"/>
    </row>
    <row r="3084" ht="14.25" customHeight="1" s="192">
      <c r="W3084" s="235" t="n"/>
      <c r="X3084" s="235" t="n"/>
    </row>
    <row r="3085" ht="14.25" customHeight="1" s="192">
      <c r="W3085" s="235" t="n"/>
      <c r="X3085" s="235" t="n"/>
    </row>
    <row r="3086" ht="14.25" customHeight="1" s="192">
      <c r="W3086" s="239" t="n"/>
      <c r="X3086" s="239" t="n"/>
    </row>
    <row r="3087" ht="14.25" customHeight="1" s="192">
      <c r="W3087" s="235" t="n"/>
      <c r="X3087" s="235" t="n"/>
    </row>
    <row r="3088" ht="14.25" customHeight="1" s="192">
      <c r="W3088" s="239" t="n"/>
      <c r="X3088" s="239" t="n"/>
    </row>
    <row r="3090" ht="14.25" customHeight="1" s="192">
      <c r="W3090" s="235" t="n"/>
      <c r="X3090" s="235" t="n"/>
    </row>
    <row r="3091" ht="15" customHeight="1" s="192" thickBot="1">
      <c r="W3091" s="239" t="n"/>
      <c r="X3091" s="239" t="n"/>
    </row>
    <row r="3092" ht="15" customHeight="1" s="192" thickBot="1">
      <c r="W3092" s="45" t="n"/>
      <c r="X3092" s="45" t="n"/>
    </row>
    <row r="3093" ht="14.25" customHeight="1" s="192">
      <c r="W3093" s="228" t="n"/>
      <c r="X3093" s="228" t="n"/>
    </row>
    <row r="3094" ht="14.25" customHeight="1" s="192">
      <c r="W3094" s="228" t="n"/>
      <c r="X3094" s="228" t="n"/>
    </row>
    <row r="3095" ht="14.25" customHeight="1" s="192">
      <c r="W3095" s="231" t="n"/>
      <c r="X3095" s="231" t="n"/>
    </row>
    <row r="3096" ht="14.25" customHeight="1" s="192">
      <c r="W3096" s="33" t="n"/>
      <c r="X3096" s="33" t="n"/>
    </row>
    <row r="3097" ht="14.25" customHeight="1" s="192">
      <c r="W3097" s="231" t="n"/>
      <c r="X3097" s="231" t="n"/>
    </row>
    <row r="3098" ht="14.25" customHeight="1" s="192">
      <c r="W3098" s="33" t="n"/>
      <c r="X3098" s="33" t="n"/>
    </row>
    <row r="3100" ht="14.25" customHeight="1" s="192">
      <c r="W3100" s="231" t="n"/>
      <c r="X3100" s="231" t="n"/>
    </row>
    <row r="3101" ht="14.25" customHeight="1" s="192">
      <c r="W3101" s="235" t="n"/>
      <c r="X3101" s="235" t="n"/>
    </row>
    <row r="3102" ht="14.25" customHeight="1" s="192">
      <c r="W3102" s="228" t="n"/>
      <c r="X3102" s="228" t="n"/>
    </row>
    <row r="3103" ht="14.25" customHeight="1" s="192">
      <c r="W3103" s="235" t="n"/>
      <c r="X3103" s="235" t="n"/>
    </row>
    <row r="3104" ht="14.25" customHeight="1" s="192">
      <c r="W3104" s="235" t="n"/>
      <c r="X3104" s="235" t="n"/>
    </row>
    <row r="3105" ht="14.25" customHeight="1" s="192">
      <c r="W3105" s="235" t="n"/>
      <c r="X3105" s="235" t="n"/>
    </row>
    <row r="3106" ht="14.25" customHeight="1" s="192">
      <c r="W3106" s="239" t="n"/>
      <c r="X3106" s="239" t="n"/>
    </row>
    <row r="3107" ht="14.25" customHeight="1" s="192">
      <c r="W3107" s="239" t="n"/>
      <c r="X3107" s="239" t="n"/>
    </row>
    <row r="3108" ht="14.25" customHeight="1" s="192">
      <c r="W3108" s="239" t="n"/>
      <c r="X3108" s="239" t="n"/>
    </row>
    <row r="3109" ht="14.25" customHeight="1" s="192">
      <c r="W3109" s="235" t="n"/>
      <c r="X3109" s="235" t="n"/>
    </row>
    <row r="3110" ht="14.25" customHeight="1" s="192">
      <c r="W3110" s="235" t="n"/>
      <c r="X3110" s="235" t="n"/>
    </row>
    <row r="3111" ht="14.25" customHeight="1" s="192">
      <c r="W3111" s="235" t="n"/>
      <c r="X3111" s="235" t="n"/>
    </row>
    <row r="3112" ht="14.25" customHeight="1" s="192">
      <c r="W3112" s="239" t="n"/>
      <c r="X3112" s="239" t="n"/>
    </row>
    <row r="3113" ht="14.25" customHeight="1" s="192">
      <c r="W3113" s="239" t="n"/>
      <c r="X3113" s="239" t="n"/>
    </row>
    <row r="3114" ht="14.25" customHeight="1" s="192">
      <c r="W3114" s="235" t="n"/>
      <c r="X3114" s="235" t="n"/>
    </row>
    <row r="3115" ht="14.25" customHeight="1" s="192">
      <c r="W3115" s="235" t="n"/>
      <c r="X3115" s="235" t="n"/>
    </row>
    <row r="3116" ht="14.25" customHeight="1" s="192">
      <c r="W3116" s="239" t="n"/>
      <c r="X3116" s="239" t="n"/>
    </row>
    <row r="3117" ht="14.25" customHeight="1" s="192">
      <c r="W3117" s="235" t="n"/>
      <c r="X3117" s="235" t="n"/>
    </row>
    <row r="3118" ht="14.25" customHeight="1" s="192">
      <c r="W3118" s="239" t="n"/>
      <c r="X3118" s="239" t="n"/>
    </row>
    <row r="3120" ht="14.25" customHeight="1" s="192">
      <c r="W3120" s="235" t="n"/>
      <c r="X3120" s="235" t="n"/>
    </row>
    <row r="3121" ht="15" customHeight="1" s="192" thickBot="1">
      <c r="W3121" s="239" t="n"/>
      <c r="X3121" s="239" t="n"/>
    </row>
    <row r="3122" ht="15" customHeight="1" s="192" thickBot="1">
      <c r="W3122" s="45" t="n"/>
      <c r="X3122" s="45" t="n"/>
    </row>
    <row r="3123" ht="14.25" customHeight="1" s="192">
      <c r="W3123" s="228" t="n"/>
      <c r="X3123" s="228" t="n"/>
    </row>
    <row r="3124" ht="14.25" customHeight="1" s="192">
      <c r="W3124" s="228" t="n"/>
      <c r="X3124" s="228" t="n"/>
    </row>
    <row r="3125" ht="14.25" customHeight="1" s="192">
      <c r="W3125" s="231" t="n"/>
      <c r="X3125" s="231" t="n"/>
    </row>
    <row r="3126" ht="14.25" customHeight="1" s="192">
      <c r="W3126" s="33" t="n"/>
      <c r="X3126" s="33" t="n"/>
    </row>
    <row r="3127" ht="14.25" customHeight="1" s="192">
      <c r="W3127" s="231" t="n"/>
      <c r="X3127" s="231" t="n"/>
    </row>
    <row r="3128" ht="14.25" customHeight="1" s="192">
      <c r="W3128" s="33" t="n"/>
      <c r="X3128" s="33" t="n"/>
    </row>
    <row r="3130" ht="14.25" customHeight="1" s="192">
      <c r="W3130" s="231" t="n"/>
      <c r="X3130" s="231" t="n"/>
    </row>
    <row r="3131" ht="14.25" customHeight="1" s="192">
      <c r="W3131" s="235" t="n"/>
      <c r="X3131" s="235" t="n"/>
    </row>
    <row r="3132" ht="14.25" customHeight="1" s="192">
      <c r="W3132" s="228" t="n"/>
      <c r="X3132" s="228" t="n"/>
    </row>
    <row r="3133" ht="14.25" customHeight="1" s="192">
      <c r="W3133" s="235" t="n"/>
      <c r="X3133" s="235" t="n"/>
    </row>
    <row r="3134" ht="14.25" customHeight="1" s="192">
      <c r="W3134" s="235" t="n"/>
      <c r="X3134" s="235" t="n"/>
    </row>
    <row r="3135" ht="14.25" customHeight="1" s="192">
      <c r="W3135" s="235" t="n"/>
      <c r="X3135" s="235" t="n"/>
    </row>
    <row r="3136" ht="14.25" customHeight="1" s="192">
      <c r="W3136" s="239" t="n"/>
      <c r="X3136" s="239" t="n"/>
    </row>
    <row r="3137" ht="14.25" customHeight="1" s="192">
      <c r="W3137" s="239" t="n"/>
      <c r="X3137" s="239" t="n"/>
    </row>
    <row r="3138" ht="14.25" customHeight="1" s="192">
      <c r="W3138" s="239" t="n"/>
      <c r="X3138" s="239" t="n"/>
    </row>
    <row r="3139" ht="14.25" customHeight="1" s="192">
      <c r="W3139" s="235" t="n"/>
      <c r="X3139" s="235" t="n"/>
    </row>
    <row r="3140" ht="14.25" customHeight="1" s="192">
      <c r="W3140" s="235" t="n"/>
      <c r="X3140" s="235" t="n"/>
    </row>
    <row r="3141" ht="14.25" customHeight="1" s="192">
      <c r="W3141" s="235" t="n"/>
      <c r="X3141" s="235" t="n"/>
    </row>
    <row r="3142" ht="14.25" customHeight="1" s="192">
      <c r="W3142" s="239" t="n"/>
      <c r="X3142" s="239" t="n"/>
    </row>
    <row r="3143" ht="14.25" customHeight="1" s="192">
      <c r="W3143" s="239" t="n"/>
      <c r="X3143" s="239" t="n"/>
    </row>
    <row r="3144" ht="14.25" customHeight="1" s="192">
      <c r="W3144" s="235" t="n"/>
      <c r="X3144" s="235" t="n"/>
    </row>
    <row r="3145" ht="14.25" customHeight="1" s="192">
      <c r="W3145" s="235" t="n"/>
      <c r="X3145" s="235" t="n"/>
    </row>
    <row r="3146" ht="14.25" customHeight="1" s="192">
      <c r="W3146" s="239" t="n"/>
      <c r="X3146" s="239" t="n"/>
    </row>
    <row r="3147" ht="14.25" customHeight="1" s="192">
      <c r="W3147" s="235" t="n"/>
      <c r="X3147" s="235" t="n"/>
    </row>
    <row r="3148" ht="14.25" customHeight="1" s="192">
      <c r="W3148" s="239" t="n"/>
      <c r="X3148" s="239" t="n"/>
    </row>
    <row r="3150" ht="14.25" customHeight="1" s="192">
      <c r="W3150" s="235" t="n"/>
      <c r="X3150" s="235" t="n"/>
    </row>
    <row r="3151" ht="15" customHeight="1" s="192" thickBot="1">
      <c r="W3151" s="239" t="n"/>
      <c r="X3151" s="239" t="n"/>
    </row>
    <row r="3152" ht="15" customHeight="1" s="192" thickBot="1">
      <c r="W3152" s="45" t="n"/>
      <c r="X3152" s="45" t="n"/>
    </row>
    <row r="3153" ht="14.25" customHeight="1" s="192">
      <c r="W3153" s="228" t="n"/>
      <c r="X3153" s="228" t="n"/>
    </row>
    <row r="3154" ht="14.25" customHeight="1" s="192">
      <c r="W3154" s="228" t="n"/>
      <c r="X3154" s="228" t="n"/>
    </row>
    <row r="3155" ht="14.25" customHeight="1" s="192">
      <c r="W3155" s="231" t="n"/>
      <c r="X3155" s="231" t="n"/>
    </row>
    <row r="3156" ht="14.25" customHeight="1" s="192">
      <c r="W3156" s="33" t="n"/>
      <c r="X3156" s="33" t="n"/>
    </row>
    <row r="3157" ht="14.25" customHeight="1" s="192">
      <c r="W3157" s="231" t="n"/>
      <c r="X3157" s="231" t="n"/>
    </row>
    <row r="3158" ht="14.25" customHeight="1" s="192">
      <c r="W3158" s="33" t="n"/>
      <c r="X3158" s="33" t="n"/>
    </row>
    <row r="3160" ht="14.25" customHeight="1" s="192">
      <c r="W3160" s="231" t="n"/>
      <c r="X3160" s="231" t="n"/>
    </row>
    <row r="3161" ht="14.25" customHeight="1" s="192">
      <c r="W3161" s="235" t="n"/>
      <c r="X3161" s="235" t="n"/>
    </row>
    <row r="3162" ht="14.25" customHeight="1" s="192">
      <c r="W3162" s="228" t="n"/>
      <c r="X3162" s="228" t="n"/>
    </row>
    <row r="3163" ht="14.25" customHeight="1" s="192">
      <c r="W3163" s="235" t="n"/>
      <c r="X3163" s="235" t="n"/>
    </row>
    <row r="3164" ht="14.25" customHeight="1" s="192">
      <c r="W3164" s="235" t="n"/>
      <c r="X3164" s="235" t="n"/>
    </row>
    <row r="3165" ht="14.25" customHeight="1" s="192">
      <c r="W3165" s="235" t="n"/>
      <c r="X3165" s="235" t="n"/>
    </row>
    <row r="3166" ht="14.25" customHeight="1" s="192">
      <c r="W3166" s="239" t="n"/>
      <c r="X3166" s="239" t="n"/>
    </row>
    <row r="3167" ht="14.25" customHeight="1" s="192">
      <c r="W3167" s="239" t="n"/>
      <c r="X3167" s="239" t="n"/>
    </row>
    <row r="3168" ht="14.25" customHeight="1" s="192">
      <c r="W3168" s="239" t="n"/>
      <c r="X3168" s="239" t="n"/>
    </row>
    <row r="3169" ht="14.25" customHeight="1" s="192">
      <c r="W3169" s="235" t="n"/>
      <c r="X3169" s="235" t="n"/>
    </row>
    <row r="3170" ht="14.25" customHeight="1" s="192">
      <c r="W3170" s="235" t="n"/>
      <c r="X3170" s="235" t="n"/>
    </row>
    <row r="3171" ht="14.25" customHeight="1" s="192">
      <c r="W3171" s="235" t="n"/>
      <c r="X3171" s="235" t="n"/>
    </row>
    <row r="3172" ht="14.25" customHeight="1" s="192">
      <c r="W3172" s="239" t="n"/>
      <c r="X3172" s="239" t="n"/>
    </row>
    <row r="3173" ht="14.25" customHeight="1" s="192">
      <c r="W3173" s="239" t="n"/>
      <c r="X3173" s="239" t="n"/>
    </row>
    <row r="3174" ht="14.25" customHeight="1" s="192">
      <c r="W3174" s="235" t="n"/>
      <c r="X3174" s="235" t="n"/>
    </row>
    <row r="3175" ht="14.25" customHeight="1" s="192">
      <c r="W3175" s="235" t="n"/>
      <c r="X3175" s="235" t="n"/>
    </row>
    <row r="3176" ht="14.25" customHeight="1" s="192">
      <c r="W3176" s="239" t="n"/>
      <c r="X3176" s="239" t="n"/>
    </row>
    <row r="3177" ht="14.25" customHeight="1" s="192">
      <c r="W3177" s="235" t="n"/>
      <c r="X3177" s="235" t="n"/>
    </row>
    <row r="3178" ht="14.25" customHeight="1" s="192">
      <c r="W3178" s="239" t="n"/>
      <c r="X3178" s="239" t="n"/>
    </row>
    <row r="3180" ht="14.25" customHeight="1" s="192">
      <c r="W3180" s="235" t="n"/>
      <c r="X3180" s="235" t="n"/>
    </row>
    <row r="3181" ht="15" customHeight="1" s="192" thickBot="1">
      <c r="W3181" s="239" t="n"/>
      <c r="X3181" s="239" t="n"/>
    </row>
    <row r="3182" ht="15" customHeight="1" s="192" thickBot="1">
      <c r="W3182" s="45" t="n"/>
      <c r="X3182" s="45" t="n"/>
    </row>
    <row r="3183" ht="14.25" customHeight="1" s="192">
      <c r="W3183" s="228" t="n"/>
      <c r="X3183" s="228" t="n"/>
    </row>
    <row r="3184" ht="14.25" customHeight="1" s="192">
      <c r="W3184" s="228" t="n"/>
      <c r="X3184" s="228" t="n"/>
    </row>
    <row r="3185" ht="14.25" customHeight="1" s="192">
      <c r="W3185" s="231" t="n"/>
      <c r="X3185" s="231" t="n"/>
    </row>
    <row r="3186" ht="14.25" customHeight="1" s="192">
      <c r="W3186" s="33" t="n"/>
      <c r="X3186" s="33" t="n"/>
    </row>
    <row r="3187" ht="14.25" customHeight="1" s="192">
      <c r="W3187" s="231" t="n"/>
      <c r="X3187" s="231" t="n"/>
    </row>
    <row r="3188" ht="14.25" customHeight="1" s="192">
      <c r="W3188" s="33" t="n"/>
      <c r="X3188" s="33" t="n"/>
    </row>
    <row r="3190" ht="14.25" customHeight="1" s="192">
      <c r="W3190" s="231" t="n"/>
      <c r="X3190" s="231" t="n"/>
    </row>
    <row r="3191" ht="14.25" customHeight="1" s="192">
      <c r="W3191" s="235" t="n"/>
      <c r="X3191" s="235" t="n"/>
    </row>
    <row r="3192" ht="14.25" customHeight="1" s="192">
      <c r="W3192" s="228" t="n"/>
      <c r="X3192" s="228" t="n"/>
    </row>
    <row r="3193" ht="14.25" customHeight="1" s="192">
      <c r="W3193" s="235" t="n"/>
      <c r="X3193" s="235" t="n"/>
    </row>
    <row r="3194" ht="14.25" customHeight="1" s="192">
      <c r="W3194" s="235" t="n"/>
      <c r="X3194" s="235" t="n"/>
    </row>
    <row r="3195" ht="14.25" customHeight="1" s="192">
      <c r="W3195" s="235" t="n"/>
      <c r="X3195" s="235" t="n"/>
    </row>
    <row r="3196" ht="14.25" customHeight="1" s="192">
      <c r="W3196" s="239" t="n"/>
      <c r="X3196" s="239" t="n"/>
    </row>
    <row r="3197" ht="14.25" customHeight="1" s="192">
      <c r="W3197" s="239" t="n"/>
      <c r="X3197" s="239" t="n"/>
    </row>
    <row r="3198" ht="14.25" customHeight="1" s="192">
      <c r="W3198" s="239" t="n"/>
      <c r="X3198" s="239" t="n"/>
    </row>
    <row r="3199" ht="14.25" customHeight="1" s="192">
      <c r="W3199" s="235" t="n"/>
      <c r="X3199" s="235" t="n"/>
    </row>
    <row r="3200" ht="14.25" customHeight="1" s="192">
      <c r="W3200" s="235" t="n"/>
      <c r="X3200" s="235" t="n"/>
    </row>
    <row r="3201" ht="14.25" customHeight="1" s="192">
      <c r="W3201" s="235" t="n"/>
      <c r="X3201" s="235" t="n"/>
    </row>
    <row r="3202" ht="14.25" customHeight="1" s="192">
      <c r="W3202" s="239" t="n"/>
      <c r="X3202" s="239" t="n"/>
    </row>
    <row r="3203" ht="14.25" customHeight="1" s="192">
      <c r="W3203" s="239" t="n"/>
      <c r="X3203" s="239" t="n"/>
    </row>
    <row r="3204" ht="14.25" customHeight="1" s="192">
      <c r="W3204" s="235" t="n"/>
      <c r="X3204" s="235" t="n"/>
    </row>
    <row r="3205" ht="14.25" customHeight="1" s="192">
      <c r="W3205" s="235" t="n"/>
      <c r="X3205" s="235" t="n"/>
    </row>
    <row r="3206" ht="14.25" customHeight="1" s="192">
      <c r="W3206" s="239" t="n"/>
      <c r="X3206" s="239" t="n"/>
    </row>
    <row r="3207" ht="14.25" customHeight="1" s="192">
      <c r="W3207" s="235" t="n"/>
      <c r="X3207" s="235" t="n"/>
    </row>
    <row r="3208" ht="14.25" customHeight="1" s="192">
      <c r="W3208" s="239" t="n"/>
      <c r="X3208" s="239" t="n"/>
    </row>
    <row r="3210" ht="14.25" customHeight="1" s="192">
      <c r="W3210" s="235" t="n"/>
      <c r="X3210" s="235" t="n"/>
    </row>
    <row r="3211" ht="15" customHeight="1" s="192" thickBot="1">
      <c r="W3211" s="239" t="n"/>
      <c r="X3211" s="239" t="n"/>
    </row>
    <row r="3212" ht="15" customHeight="1" s="192" thickBot="1">
      <c r="W3212" s="45" t="n"/>
      <c r="X3212" s="45" t="n"/>
    </row>
    <row r="3213" ht="14.25" customHeight="1" s="192">
      <c r="W3213" s="228" t="n"/>
      <c r="X3213" s="228" t="n"/>
    </row>
    <row r="3214" ht="14.25" customHeight="1" s="192">
      <c r="W3214" s="228" t="n"/>
      <c r="X3214" s="228" t="n"/>
    </row>
    <row r="3215" ht="14.25" customHeight="1" s="192">
      <c r="W3215" s="231" t="n"/>
      <c r="X3215" s="231" t="n"/>
    </row>
    <row r="3216" ht="14.25" customHeight="1" s="192">
      <c r="W3216" s="33" t="n"/>
      <c r="X3216" s="33" t="n"/>
    </row>
    <row r="3217" ht="14.25" customHeight="1" s="192">
      <c r="W3217" s="231" t="n"/>
      <c r="X3217" s="231" t="n"/>
    </row>
    <row r="3218" ht="14.25" customHeight="1" s="192">
      <c r="W3218" s="33" t="n"/>
      <c r="X3218" s="33" t="n"/>
    </row>
    <row r="3220" ht="14.25" customHeight="1" s="192">
      <c r="W3220" s="231" t="n"/>
      <c r="X3220" s="231" t="n"/>
    </row>
    <row r="3221" ht="14.25" customHeight="1" s="192">
      <c r="W3221" s="235" t="n"/>
      <c r="X3221" s="235" t="n"/>
    </row>
    <row r="3222" ht="14.25" customHeight="1" s="192">
      <c r="W3222" s="228" t="n"/>
      <c r="X3222" s="228" t="n"/>
    </row>
    <row r="3223" ht="14.25" customHeight="1" s="192">
      <c r="W3223" s="235" t="n"/>
      <c r="X3223" s="235" t="n"/>
    </row>
    <row r="3224" ht="14.25" customHeight="1" s="192">
      <c r="W3224" s="235" t="n"/>
      <c r="X3224" s="235" t="n"/>
    </row>
    <row r="3225" ht="14.25" customHeight="1" s="192">
      <c r="W3225" s="235" t="n"/>
      <c r="X3225" s="235" t="n"/>
    </row>
    <row r="3226" ht="14.25" customHeight="1" s="192">
      <c r="W3226" s="239" t="n"/>
      <c r="X3226" s="239" t="n"/>
    </row>
    <row r="3227" ht="14.25" customHeight="1" s="192">
      <c r="W3227" s="239" t="n"/>
      <c r="X3227" s="239" t="n"/>
    </row>
    <row r="3228" ht="14.25" customHeight="1" s="192">
      <c r="W3228" s="239" t="n"/>
      <c r="X3228" s="239" t="n"/>
    </row>
    <row r="3229" ht="14.25" customHeight="1" s="192">
      <c r="W3229" s="235" t="n"/>
      <c r="X3229" s="235" t="n"/>
    </row>
    <row r="3230" ht="14.25" customHeight="1" s="192">
      <c r="W3230" s="235" t="n"/>
      <c r="X3230" s="235" t="n"/>
    </row>
    <row r="3231" ht="14.25" customHeight="1" s="192">
      <c r="W3231" s="235" t="n"/>
      <c r="X3231" s="235" t="n"/>
    </row>
    <row r="3232" ht="14.25" customHeight="1" s="192">
      <c r="W3232" s="239" t="n"/>
      <c r="X3232" s="239" t="n"/>
    </row>
    <row r="3233" ht="14.25" customHeight="1" s="192">
      <c r="W3233" s="239" t="n"/>
      <c r="X3233" s="239" t="n"/>
    </row>
    <row r="3234" ht="14.25" customHeight="1" s="192">
      <c r="W3234" s="235" t="n"/>
      <c r="X3234" s="235" t="n"/>
    </row>
    <row r="3235" ht="14.25" customHeight="1" s="192">
      <c r="W3235" s="235" t="n"/>
      <c r="X3235" s="235" t="n"/>
    </row>
    <row r="3236" ht="14.25" customHeight="1" s="192">
      <c r="W3236" s="239" t="n"/>
      <c r="X3236" s="239" t="n"/>
    </row>
    <row r="3237" ht="14.25" customHeight="1" s="192">
      <c r="W3237" s="235" t="n"/>
      <c r="X3237" s="235" t="n"/>
    </row>
    <row r="3238" ht="14.25" customHeight="1" s="192">
      <c r="W3238" s="239" t="n"/>
      <c r="X3238" s="239" t="n"/>
    </row>
    <row r="3240" ht="14.25" customHeight="1" s="192">
      <c r="W3240" s="235" t="n"/>
      <c r="X3240" s="235" t="n"/>
    </row>
    <row r="3241" ht="15" customHeight="1" s="192" thickBot="1">
      <c r="W3241" s="239" t="n"/>
      <c r="X3241" s="239" t="n"/>
    </row>
    <row r="3242" ht="15" customHeight="1" s="192" thickBot="1">
      <c r="W3242" s="45" t="n"/>
      <c r="X3242" s="45" t="n"/>
    </row>
    <row r="3243" ht="14.25" customHeight="1" s="192">
      <c r="W3243" s="228" t="n"/>
      <c r="X3243" s="228" t="n"/>
    </row>
    <row r="3244" ht="14.25" customHeight="1" s="192">
      <c r="W3244" s="228" t="n"/>
      <c r="X3244" s="228" t="n"/>
    </row>
    <row r="3245" ht="14.25" customHeight="1" s="192">
      <c r="W3245" s="231" t="n"/>
      <c r="X3245" s="231" t="n"/>
    </row>
    <row r="3246" ht="14.25" customHeight="1" s="192">
      <c r="W3246" s="33" t="n"/>
      <c r="X3246" s="33" t="n"/>
    </row>
    <row r="3247" ht="14.25" customHeight="1" s="192">
      <c r="W3247" s="231" t="n"/>
      <c r="X3247" s="231" t="n"/>
    </row>
    <row r="3248" ht="14.25" customHeight="1" s="192">
      <c r="W3248" s="33" t="n"/>
      <c r="X3248" s="33" t="n"/>
    </row>
    <row r="3250" ht="14.25" customHeight="1" s="192">
      <c r="W3250" s="231" t="n"/>
      <c r="X3250" s="231" t="n"/>
    </row>
    <row r="3251" ht="14.25" customHeight="1" s="192">
      <c r="W3251" s="235" t="n"/>
      <c r="X3251" s="235" t="n"/>
    </row>
    <row r="3252" ht="14.25" customHeight="1" s="192">
      <c r="W3252" s="228" t="n"/>
      <c r="X3252" s="228" t="n"/>
    </row>
    <row r="3253" ht="14.25" customHeight="1" s="192">
      <c r="W3253" s="235" t="n"/>
      <c r="X3253" s="235" t="n"/>
    </row>
    <row r="3254" ht="14.25" customHeight="1" s="192">
      <c r="W3254" s="235" t="n"/>
      <c r="X3254" s="235" t="n"/>
    </row>
    <row r="3255" ht="14.25" customHeight="1" s="192">
      <c r="W3255" s="235" t="n"/>
      <c r="X3255" s="235" t="n"/>
    </row>
    <row r="3256" ht="14.25" customHeight="1" s="192">
      <c r="W3256" s="239" t="n"/>
      <c r="X3256" s="239" t="n"/>
    </row>
    <row r="3257" ht="14.25" customHeight="1" s="192">
      <c r="W3257" s="239" t="n"/>
      <c r="X3257" s="239" t="n"/>
    </row>
    <row r="3258" ht="14.25" customHeight="1" s="192">
      <c r="W3258" s="239" t="n"/>
      <c r="X3258" s="239" t="n"/>
    </row>
    <row r="3259" ht="14.25" customHeight="1" s="192">
      <c r="W3259" s="235" t="n"/>
      <c r="X3259" s="235" t="n"/>
    </row>
    <row r="3260" ht="14.25" customHeight="1" s="192">
      <c r="W3260" s="235" t="n"/>
      <c r="X3260" s="235" t="n"/>
    </row>
    <row r="3261" ht="14.25" customHeight="1" s="192">
      <c r="W3261" s="235" t="n"/>
      <c r="X3261" s="235" t="n"/>
    </row>
    <row r="3262" ht="14.25" customHeight="1" s="192">
      <c r="W3262" s="239" t="n"/>
      <c r="X3262" s="239" t="n"/>
    </row>
    <row r="3263" ht="14.25" customHeight="1" s="192">
      <c r="W3263" s="239" t="n"/>
      <c r="X3263" s="239" t="n"/>
    </row>
    <row r="3264" ht="14.25" customHeight="1" s="192">
      <c r="W3264" s="235" t="n"/>
      <c r="X3264" s="235" t="n"/>
    </row>
    <row r="3265" ht="14.25" customHeight="1" s="192">
      <c r="W3265" s="235" t="n"/>
      <c r="X3265" s="235" t="n"/>
    </row>
    <row r="3266" ht="14.25" customHeight="1" s="192">
      <c r="W3266" s="239" t="n"/>
      <c r="X3266" s="239" t="n"/>
    </row>
    <row r="3267" ht="14.25" customHeight="1" s="192">
      <c r="W3267" s="235" t="n"/>
      <c r="X3267" s="235" t="n"/>
    </row>
    <row r="3268" ht="14.25" customHeight="1" s="192">
      <c r="W3268" s="239" t="n"/>
      <c r="X3268" s="239" t="n"/>
    </row>
    <row r="3270" ht="14.25" customHeight="1" s="192">
      <c r="W3270" s="235" t="n"/>
      <c r="X3270" s="235" t="n"/>
    </row>
    <row r="3271" ht="15" customHeight="1" s="192" thickBot="1">
      <c r="W3271" s="239" t="n"/>
      <c r="X3271" s="239" t="n"/>
    </row>
    <row r="3272" ht="15" customHeight="1" s="192" thickBot="1">
      <c r="W3272" s="45" t="n"/>
      <c r="X3272" s="45" t="n"/>
    </row>
    <row r="3273" ht="14.25" customHeight="1" s="192">
      <c r="W3273" s="228" t="n"/>
      <c r="X3273" s="228" t="n"/>
    </row>
    <row r="3274" ht="14.25" customHeight="1" s="192">
      <c r="W3274" s="228" t="n"/>
      <c r="X3274" s="228" t="n"/>
    </row>
    <row r="3275" ht="14.25" customHeight="1" s="192">
      <c r="W3275" s="231" t="n"/>
      <c r="X3275" s="231" t="n"/>
    </row>
    <row r="3276" ht="14.25" customHeight="1" s="192">
      <c r="W3276" s="33" t="n"/>
      <c r="X3276" s="33" t="n"/>
    </row>
    <row r="3277" ht="14.25" customHeight="1" s="192">
      <c r="W3277" s="231" t="n"/>
      <c r="X3277" s="231" t="n"/>
    </row>
    <row r="3278" ht="14.25" customHeight="1" s="192">
      <c r="W3278" s="33" t="n"/>
      <c r="X3278" s="33" t="n"/>
    </row>
    <row r="3280" ht="14.25" customHeight="1" s="192">
      <c r="W3280" s="231" t="n"/>
      <c r="X3280" s="231" t="n"/>
    </row>
    <row r="3281" ht="14.25" customHeight="1" s="192">
      <c r="W3281" s="235" t="n"/>
      <c r="X3281" s="235" t="n"/>
    </row>
    <row r="3282" ht="14.25" customHeight="1" s="192">
      <c r="W3282" s="228" t="n"/>
      <c r="X3282" s="228" t="n"/>
    </row>
    <row r="3283" ht="14.25" customHeight="1" s="192">
      <c r="W3283" s="235" t="n"/>
      <c r="X3283" s="235" t="n"/>
    </row>
    <row r="3284" ht="14.25" customHeight="1" s="192">
      <c r="W3284" s="235" t="n"/>
      <c r="X3284" s="235" t="n"/>
    </row>
    <row r="3285" ht="14.25" customHeight="1" s="192">
      <c r="W3285" s="235" t="n"/>
      <c r="X3285" s="235" t="n"/>
    </row>
    <row r="3286" ht="14.25" customHeight="1" s="192">
      <c r="W3286" s="239" t="n"/>
      <c r="X3286" s="239" t="n"/>
    </row>
    <row r="3287" ht="14.25" customHeight="1" s="192">
      <c r="W3287" s="239" t="n"/>
      <c r="X3287" s="239" t="n"/>
    </row>
    <row r="3288" ht="14.25" customHeight="1" s="192">
      <c r="W3288" s="239" t="n"/>
      <c r="X3288" s="239" t="n"/>
    </row>
    <row r="3289" ht="14.25" customHeight="1" s="192">
      <c r="W3289" s="235" t="n"/>
      <c r="X3289" s="235" t="n"/>
    </row>
    <row r="3290" ht="14.25" customHeight="1" s="192">
      <c r="W3290" s="235" t="n"/>
      <c r="X3290" s="235" t="n"/>
    </row>
    <row r="3291" ht="14.25" customHeight="1" s="192">
      <c r="W3291" s="235" t="n"/>
      <c r="X3291" s="235" t="n"/>
    </row>
    <row r="3292" ht="14.25" customHeight="1" s="192">
      <c r="W3292" s="239" t="n"/>
      <c r="X3292" s="239" t="n"/>
    </row>
    <row r="3293" ht="14.25" customHeight="1" s="192">
      <c r="W3293" s="239" t="n"/>
      <c r="X3293" s="239" t="n"/>
    </row>
    <row r="3294" ht="14.25" customHeight="1" s="192">
      <c r="W3294" s="235" t="n"/>
      <c r="X3294" s="235" t="n"/>
    </row>
    <row r="3295" ht="14.25" customHeight="1" s="192">
      <c r="W3295" s="235" t="n"/>
      <c r="X3295" s="235" t="n"/>
    </row>
    <row r="3296" ht="14.25" customHeight="1" s="192">
      <c r="W3296" s="239" t="n"/>
      <c r="X3296" s="239" t="n"/>
    </row>
    <row r="3297" ht="14.25" customHeight="1" s="192">
      <c r="W3297" s="235" t="n"/>
      <c r="X3297" s="235" t="n"/>
    </row>
    <row r="3298" ht="14.25" customHeight="1" s="192">
      <c r="W3298" s="239" t="n"/>
      <c r="X3298" s="239" t="n"/>
    </row>
    <row r="3300" ht="14.25" customHeight="1" s="192">
      <c r="W3300" s="235" t="n"/>
      <c r="X3300" s="235" t="n"/>
    </row>
    <row r="3301" ht="15" customHeight="1" s="192" thickBot="1">
      <c r="W3301" s="239" t="n"/>
      <c r="X3301" s="239" t="n"/>
    </row>
    <row r="3302" ht="15" customHeight="1" s="192" thickBot="1">
      <c r="W3302" s="45" t="n"/>
      <c r="X3302" s="45" t="n"/>
    </row>
    <row r="3303" ht="14.25" customHeight="1" s="192">
      <c r="W3303" s="228" t="n"/>
      <c r="X3303" s="228" t="n"/>
    </row>
    <row r="3304" ht="14.25" customHeight="1" s="192">
      <c r="W3304" s="228" t="n"/>
      <c r="X3304" s="228" t="n"/>
    </row>
    <row r="3305" ht="14.25" customHeight="1" s="192">
      <c r="W3305" s="231" t="n"/>
      <c r="X3305" s="231" t="n"/>
    </row>
    <row r="3306" ht="14.25" customHeight="1" s="192">
      <c r="W3306" s="33" t="n"/>
      <c r="X3306" s="33" t="n"/>
    </row>
    <row r="3307" ht="14.25" customHeight="1" s="192">
      <c r="W3307" s="231" t="n"/>
      <c r="X3307" s="231" t="n"/>
    </row>
    <row r="3308" ht="14.25" customHeight="1" s="192">
      <c r="W3308" s="33" t="n"/>
      <c r="X3308" s="33" t="n"/>
    </row>
    <row r="3310" ht="14.25" customHeight="1" s="192">
      <c r="W3310" s="231" t="n"/>
      <c r="X3310" s="231" t="n"/>
    </row>
    <row r="3311" ht="14.25" customHeight="1" s="192">
      <c r="W3311" s="235" t="n"/>
      <c r="X3311" s="235" t="n"/>
    </row>
    <row r="3312" ht="14.25" customHeight="1" s="192">
      <c r="W3312" s="228" t="n"/>
      <c r="X3312" s="228" t="n"/>
    </row>
    <row r="3313" ht="14.25" customHeight="1" s="192">
      <c r="W3313" s="235" t="n"/>
      <c r="X3313" s="235" t="n"/>
    </row>
    <row r="3314" ht="14.25" customHeight="1" s="192">
      <c r="W3314" s="235" t="n"/>
      <c r="X3314" s="235" t="n"/>
    </row>
    <row r="3315" ht="14.25" customHeight="1" s="192">
      <c r="W3315" s="235" t="n"/>
      <c r="X3315" s="235" t="n"/>
    </row>
    <row r="3316" ht="14.25" customHeight="1" s="192">
      <c r="W3316" s="239" t="n"/>
      <c r="X3316" s="239" t="n"/>
    </row>
    <row r="3317" ht="14.25" customHeight="1" s="192">
      <c r="W3317" s="239" t="n"/>
      <c r="X3317" s="239" t="n"/>
    </row>
    <row r="3318" ht="14.25" customHeight="1" s="192">
      <c r="W3318" s="239" t="n"/>
      <c r="X3318" s="239" t="n"/>
    </row>
    <row r="3319" ht="14.25" customHeight="1" s="192">
      <c r="W3319" s="235" t="n"/>
      <c r="X3319" s="235" t="n"/>
    </row>
    <row r="3320" ht="14.25" customHeight="1" s="192">
      <c r="W3320" s="235" t="n"/>
      <c r="X3320" s="235" t="n"/>
    </row>
    <row r="3321" ht="14.25" customHeight="1" s="192">
      <c r="W3321" s="235" t="n"/>
      <c r="X3321" s="235" t="n"/>
    </row>
    <row r="3322" ht="14.25" customHeight="1" s="192">
      <c r="W3322" s="239" t="n"/>
      <c r="X3322" s="239" t="n"/>
    </row>
    <row r="3323" ht="14.25" customHeight="1" s="192">
      <c r="W3323" s="239" t="n"/>
      <c r="X3323" s="239" t="n"/>
    </row>
    <row r="3324" ht="14.25" customHeight="1" s="192">
      <c r="W3324" s="235" t="n"/>
      <c r="X3324" s="235" t="n"/>
    </row>
    <row r="3325" ht="14.25" customHeight="1" s="192">
      <c r="W3325" s="235" t="n"/>
      <c r="X3325" s="235" t="n"/>
    </row>
    <row r="3326" ht="14.25" customHeight="1" s="192">
      <c r="W3326" s="239" t="n"/>
      <c r="X3326" s="239" t="n"/>
    </row>
    <row r="3327" ht="14.25" customHeight="1" s="192">
      <c r="W3327" s="235" t="n"/>
      <c r="X3327" s="235" t="n"/>
    </row>
    <row r="3328" ht="14.25" customHeight="1" s="192">
      <c r="W3328" s="239" t="n"/>
      <c r="X3328" s="239" t="n"/>
    </row>
    <row r="3330" ht="14.25" customHeight="1" s="192">
      <c r="W3330" s="235" t="n"/>
      <c r="X3330" s="235" t="n"/>
    </row>
    <row r="3331" ht="15" customHeight="1" s="192" thickBot="1">
      <c r="W3331" s="239" t="n"/>
      <c r="X3331" s="239" t="n"/>
    </row>
    <row r="3332" ht="15" customHeight="1" s="192" thickBot="1">
      <c r="W3332" s="45" t="n"/>
      <c r="X3332" s="45" t="n"/>
    </row>
    <row r="3333" ht="14.25" customHeight="1" s="192">
      <c r="W3333" s="228" t="n"/>
      <c r="X3333" s="228" t="n"/>
    </row>
    <row r="3334" ht="14.25" customHeight="1" s="192">
      <c r="W3334" s="228" t="n"/>
      <c r="X3334" s="228" t="n"/>
    </row>
    <row r="3335" ht="14.25" customHeight="1" s="192">
      <c r="W3335" s="231" t="n"/>
      <c r="X3335" s="231" t="n"/>
    </row>
    <row r="3336" ht="14.25" customHeight="1" s="192">
      <c r="W3336" s="33" t="n"/>
      <c r="X3336" s="33" t="n"/>
    </row>
    <row r="3337" ht="14.25" customHeight="1" s="192">
      <c r="W3337" s="231" t="n"/>
      <c r="X3337" s="231" t="n"/>
    </row>
    <row r="3338" ht="14.25" customHeight="1" s="192">
      <c r="W3338" s="33" t="n"/>
      <c r="X3338" s="33" t="n"/>
    </row>
    <row r="3340" ht="14.25" customHeight="1" s="192">
      <c r="W3340" s="231" t="n"/>
      <c r="X3340" s="231" t="n"/>
    </row>
    <row r="3341" ht="14.25" customHeight="1" s="192">
      <c r="W3341" s="235" t="n"/>
      <c r="X3341" s="235" t="n"/>
    </row>
    <row r="3342" ht="14.25" customHeight="1" s="192">
      <c r="W3342" s="228" t="n"/>
      <c r="X3342" s="228" t="n"/>
    </row>
    <row r="3343" ht="14.25" customHeight="1" s="192">
      <c r="W3343" s="235" t="n"/>
      <c r="X3343" s="235" t="n"/>
    </row>
    <row r="3344" ht="14.25" customHeight="1" s="192">
      <c r="W3344" s="235" t="n"/>
      <c r="X3344" s="235" t="n"/>
    </row>
    <row r="3345" ht="14.25" customHeight="1" s="192">
      <c r="W3345" s="235" t="n"/>
      <c r="X3345" s="235" t="n"/>
    </row>
    <row r="3346" ht="14.25" customHeight="1" s="192">
      <c r="W3346" s="239" t="n"/>
      <c r="X3346" s="239" t="n"/>
    </row>
    <row r="3347" ht="14.25" customHeight="1" s="192">
      <c r="W3347" s="239" t="n"/>
      <c r="X3347" s="239" t="n"/>
    </row>
    <row r="3348" ht="14.25" customHeight="1" s="192">
      <c r="W3348" s="239" t="n"/>
      <c r="X3348" s="239" t="n"/>
    </row>
    <row r="3349" ht="14.25" customHeight="1" s="192">
      <c r="W3349" s="235" t="n"/>
      <c r="X3349" s="235" t="n"/>
    </row>
    <row r="3350" ht="14.25" customHeight="1" s="192">
      <c r="W3350" s="235" t="n"/>
      <c r="X3350" s="235" t="n"/>
    </row>
    <row r="3351" ht="14.25" customHeight="1" s="192">
      <c r="W3351" s="235" t="n"/>
      <c r="X3351" s="235" t="n"/>
    </row>
    <row r="3352" ht="14.25" customHeight="1" s="192">
      <c r="W3352" s="239" t="n"/>
      <c r="X3352" s="239" t="n"/>
    </row>
    <row r="3353" ht="14.25" customHeight="1" s="192">
      <c r="W3353" s="239" t="n"/>
      <c r="X3353" s="239" t="n"/>
    </row>
    <row r="3354" ht="14.25" customHeight="1" s="192">
      <c r="W3354" s="235" t="n"/>
      <c r="X3354" s="235" t="n"/>
    </row>
    <row r="3355" ht="14.25" customHeight="1" s="192">
      <c r="W3355" s="235" t="n"/>
      <c r="X3355" s="235" t="n"/>
    </row>
    <row r="3356" ht="14.25" customHeight="1" s="192">
      <c r="W3356" s="239" t="n"/>
      <c r="X3356" s="239" t="n"/>
    </row>
    <row r="3357" ht="14.25" customHeight="1" s="192">
      <c r="W3357" s="235" t="n"/>
      <c r="X3357" s="235" t="n"/>
    </row>
    <row r="3358" ht="14.25" customHeight="1" s="192">
      <c r="W3358" s="239" t="n"/>
      <c r="X3358" s="239" t="n"/>
    </row>
    <row r="3360" ht="14.25" customHeight="1" s="192">
      <c r="W3360" s="235" t="n"/>
      <c r="X3360" s="235" t="n"/>
    </row>
    <row r="3361" ht="15" customHeight="1" s="192" thickBot="1">
      <c r="W3361" s="239" t="n"/>
      <c r="X3361" s="239" t="n"/>
    </row>
    <row r="3362" ht="15" customHeight="1" s="192" thickBot="1">
      <c r="W3362" s="45" t="n"/>
      <c r="X3362" s="45" t="n"/>
    </row>
    <row r="3363" ht="14.25" customHeight="1" s="192">
      <c r="W3363" s="228" t="n"/>
      <c r="X3363" s="228" t="n"/>
    </row>
    <row r="3364" ht="14.25" customHeight="1" s="192">
      <c r="W3364" s="228" t="n"/>
      <c r="X3364" s="228" t="n"/>
    </row>
    <row r="3365" ht="14.25" customHeight="1" s="192">
      <c r="W3365" s="231" t="n"/>
      <c r="X3365" s="231" t="n"/>
    </row>
    <row r="3366" ht="14.25" customHeight="1" s="192">
      <c r="W3366" s="33" t="n"/>
      <c r="X3366" s="33" t="n"/>
    </row>
    <row r="3367" ht="14.25" customHeight="1" s="192">
      <c r="W3367" s="231" t="n"/>
      <c r="X3367" s="231" t="n"/>
    </row>
    <row r="3368" ht="14.25" customHeight="1" s="192">
      <c r="W3368" s="33" t="n"/>
      <c r="X3368" s="33" t="n"/>
    </row>
    <row r="3370" ht="14.25" customHeight="1" s="192">
      <c r="W3370" s="231" t="n"/>
      <c r="X3370" s="231" t="n"/>
    </row>
    <row r="3371" ht="14.25" customHeight="1" s="192">
      <c r="W3371" s="235" t="n"/>
      <c r="X3371" s="235" t="n"/>
    </row>
    <row r="3372" ht="14.25" customHeight="1" s="192">
      <c r="W3372" s="228" t="n"/>
      <c r="X3372" s="228" t="n"/>
    </row>
    <row r="3373" ht="14.25" customHeight="1" s="192">
      <c r="W3373" s="235" t="n"/>
      <c r="X3373" s="235" t="n"/>
    </row>
    <row r="3374" ht="14.25" customHeight="1" s="192">
      <c r="W3374" s="235" t="n"/>
      <c r="X3374" s="235" t="n"/>
    </row>
    <row r="3375" ht="14.25" customHeight="1" s="192">
      <c r="W3375" s="235" t="n"/>
      <c r="X3375" s="235" t="n"/>
    </row>
    <row r="3376" ht="14.25" customHeight="1" s="192">
      <c r="W3376" s="239" t="n"/>
      <c r="X3376" s="239" t="n"/>
    </row>
    <row r="3377" ht="14.25" customHeight="1" s="192">
      <c r="W3377" s="239" t="n"/>
      <c r="X3377" s="239" t="n"/>
    </row>
    <row r="3378" ht="14.25" customHeight="1" s="192">
      <c r="W3378" s="239" t="n"/>
      <c r="X3378" s="239" t="n"/>
    </row>
    <row r="3379" ht="14.25" customHeight="1" s="192">
      <c r="W3379" s="235" t="n"/>
      <c r="X3379" s="235" t="n"/>
    </row>
    <row r="3380" ht="14.25" customHeight="1" s="192">
      <c r="W3380" s="235" t="n"/>
      <c r="X3380" s="235" t="n"/>
    </row>
    <row r="3381" ht="14.25" customHeight="1" s="192">
      <c r="W3381" s="235" t="n"/>
      <c r="X3381" s="235" t="n"/>
    </row>
    <row r="3382" ht="14.25" customHeight="1" s="192">
      <c r="W3382" s="239" t="n"/>
      <c r="X3382" s="239" t="n"/>
    </row>
    <row r="3383" ht="14.25" customHeight="1" s="192">
      <c r="W3383" s="239" t="n"/>
      <c r="X3383" s="239" t="n"/>
    </row>
    <row r="3384" ht="14.25" customHeight="1" s="192">
      <c r="W3384" s="235" t="n"/>
      <c r="X3384" s="235" t="n"/>
    </row>
    <row r="3385" ht="14.25" customHeight="1" s="192">
      <c r="W3385" s="235" t="n"/>
      <c r="X3385" s="235" t="n"/>
    </row>
    <row r="3386" ht="14.25" customHeight="1" s="192">
      <c r="W3386" s="239" t="n"/>
      <c r="X3386" s="239" t="n"/>
    </row>
    <row r="3387" ht="14.25" customHeight="1" s="192">
      <c r="W3387" s="235" t="n"/>
      <c r="X3387" s="235" t="n"/>
    </row>
    <row r="3388" ht="14.25" customHeight="1" s="192">
      <c r="W3388" s="239" t="n"/>
      <c r="X3388" s="239" t="n"/>
    </row>
    <row r="3390" ht="14.25" customHeight="1" s="192">
      <c r="W3390" s="235" t="n"/>
      <c r="X3390" s="235" t="n"/>
    </row>
    <row r="3391" ht="15" customHeight="1" s="192" thickBot="1">
      <c r="W3391" s="239" t="n"/>
      <c r="X3391" s="239" t="n"/>
    </row>
    <row r="3392" ht="15" customHeight="1" s="192" thickBot="1">
      <c r="W3392" s="45" t="n"/>
      <c r="X3392" s="45" t="n"/>
    </row>
    <row r="3393" ht="14.25" customHeight="1" s="192">
      <c r="W3393" s="228" t="n"/>
      <c r="X3393" s="228" t="n"/>
    </row>
    <row r="3394" ht="14.25" customHeight="1" s="192">
      <c r="W3394" s="228" t="n"/>
      <c r="X3394" s="228" t="n"/>
    </row>
    <row r="3395" ht="14.25" customHeight="1" s="192">
      <c r="W3395" s="231" t="n"/>
      <c r="X3395" s="231" t="n"/>
    </row>
    <row r="3396" ht="14.25" customHeight="1" s="192">
      <c r="W3396" s="33" t="n"/>
      <c r="X3396" s="33" t="n"/>
    </row>
    <row r="3397" ht="14.25" customHeight="1" s="192">
      <c r="W3397" s="231" t="n"/>
      <c r="X3397" s="231" t="n"/>
    </row>
    <row r="3398" ht="14.25" customHeight="1" s="192">
      <c r="W3398" s="33" t="n"/>
      <c r="X3398" s="33" t="n"/>
    </row>
    <row r="3400" ht="14.25" customHeight="1" s="192">
      <c r="W3400" s="231" t="n"/>
      <c r="X3400" s="231" t="n"/>
    </row>
    <row r="3401" ht="14.25" customHeight="1" s="192">
      <c r="W3401" s="235" t="n"/>
      <c r="X3401" s="235" t="n"/>
    </row>
    <row r="3402" ht="14.25" customHeight="1" s="192">
      <c r="W3402" s="228" t="n"/>
      <c r="X3402" s="228" t="n"/>
    </row>
    <row r="3403" ht="14.25" customHeight="1" s="192">
      <c r="W3403" s="235" t="n"/>
      <c r="X3403" s="235" t="n"/>
    </row>
    <row r="3404" ht="14.25" customHeight="1" s="192">
      <c r="W3404" s="235" t="n"/>
      <c r="X3404" s="235" t="n"/>
    </row>
    <row r="3405" ht="14.25" customHeight="1" s="192">
      <c r="W3405" s="235" t="n"/>
      <c r="X3405" s="235" t="n"/>
    </row>
    <row r="3406" ht="14.25" customHeight="1" s="192">
      <c r="W3406" s="239" t="n"/>
      <c r="X3406" s="239" t="n"/>
    </row>
    <row r="3407" ht="14.25" customHeight="1" s="192">
      <c r="W3407" s="239" t="n"/>
      <c r="X3407" s="239" t="n"/>
    </row>
    <row r="3408" ht="14.25" customHeight="1" s="192">
      <c r="W3408" s="239" t="n"/>
      <c r="X3408" s="239" t="n"/>
    </row>
    <row r="3409" ht="14.25" customHeight="1" s="192">
      <c r="W3409" s="235" t="n"/>
      <c r="X3409" s="235" t="n"/>
    </row>
    <row r="3410" ht="14.25" customHeight="1" s="192">
      <c r="W3410" s="235" t="n"/>
      <c r="X3410" s="235" t="n"/>
    </row>
    <row r="3411" ht="14.25" customHeight="1" s="192">
      <c r="W3411" s="235" t="n"/>
      <c r="X3411" s="235" t="n"/>
    </row>
    <row r="3412" ht="14.25" customHeight="1" s="192">
      <c r="W3412" s="239" t="n"/>
      <c r="X3412" s="239" t="n"/>
    </row>
    <row r="3413" ht="14.25" customHeight="1" s="192">
      <c r="W3413" s="239" t="n"/>
      <c r="X3413" s="239" t="n"/>
    </row>
    <row r="3414" ht="14.25" customHeight="1" s="192">
      <c r="W3414" s="235" t="n"/>
      <c r="X3414" s="235" t="n"/>
    </row>
    <row r="3415" ht="14.25" customHeight="1" s="192">
      <c r="W3415" s="235" t="n"/>
      <c r="X3415" s="235" t="n"/>
    </row>
    <row r="3416" ht="14.25" customHeight="1" s="192">
      <c r="W3416" s="239" t="n"/>
      <c r="X3416" s="239" t="n"/>
    </row>
    <row r="3417" ht="14.25" customHeight="1" s="192">
      <c r="W3417" s="235" t="n"/>
      <c r="X3417" s="235" t="n"/>
    </row>
    <row r="3418" ht="14.25" customHeight="1" s="192">
      <c r="W3418" s="239" t="n"/>
      <c r="X3418" s="239" t="n"/>
    </row>
    <row r="3420" ht="14.25" customHeight="1" s="192">
      <c r="W3420" s="235" t="n"/>
      <c r="X3420" s="235" t="n"/>
    </row>
    <row r="3421" ht="15" customHeight="1" s="192" thickBot="1">
      <c r="W3421" s="239" t="n"/>
      <c r="X3421" s="239" t="n"/>
    </row>
    <row r="3422" ht="15" customHeight="1" s="192" thickBot="1">
      <c r="W3422" s="45" t="n"/>
      <c r="X3422" s="45" t="n"/>
    </row>
    <row r="3423" ht="14.25" customHeight="1" s="192">
      <c r="W3423" s="228" t="n"/>
      <c r="X3423" s="228" t="n"/>
    </row>
    <row r="3424" ht="14.25" customHeight="1" s="192">
      <c r="W3424" s="228" t="n"/>
      <c r="X3424" s="228" t="n"/>
    </row>
    <row r="3425" ht="14.25" customHeight="1" s="192">
      <c r="W3425" s="231" t="n"/>
      <c r="X3425" s="231" t="n"/>
    </row>
    <row r="3426" ht="14.25" customHeight="1" s="192">
      <c r="W3426" s="33" t="n"/>
      <c r="X3426" s="33" t="n"/>
    </row>
    <row r="3427" ht="14.25" customHeight="1" s="192">
      <c r="W3427" s="231" t="n"/>
      <c r="X3427" s="231" t="n"/>
    </row>
    <row r="3428" ht="14.25" customHeight="1" s="192">
      <c r="W3428" s="33" t="n"/>
      <c r="X3428" s="33" t="n"/>
    </row>
    <row r="3430" ht="14.25" customHeight="1" s="192">
      <c r="W3430" s="231" t="n"/>
      <c r="X3430" s="231" t="n"/>
    </row>
    <row r="3431" ht="14.25" customHeight="1" s="192">
      <c r="W3431" s="235" t="n"/>
      <c r="X3431" s="235" t="n"/>
    </row>
    <row r="3432" ht="14.25" customHeight="1" s="192">
      <c r="W3432" s="228" t="n"/>
      <c r="X3432" s="228" t="n"/>
    </row>
    <row r="3433" ht="14.25" customHeight="1" s="192">
      <c r="W3433" s="235" t="n"/>
      <c r="X3433" s="235" t="n"/>
    </row>
    <row r="3434" ht="14.25" customHeight="1" s="192">
      <c r="W3434" s="235" t="n"/>
      <c r="X3434" s="235" t="n"/>
    </row>
    <row r="3435" ht="14.25" customHeight="1" s="192">
      <c r="W3435" s="235" t="n"/>
      <c r="X3435" s="235" t="n"/>
    </row>
    <row r="3436" ht="14.25" customHeight="1" s="192">
      <c r="W3436" s="239" t="n"/>
      <c r="X3436" s="239" t="n"/>
    </row>
    <row r="3437" ht="14.25" customHeight="1" s="192">
      <c r="W3437" s="239" t="n"/>
      <c r="X3437" s="239" t="n"/>
    </row>
    <row r="3438" ht="14.25" customHeight="1" s="192">
      <c r="W3438" s="239" t="n"/>
      <c r="X3438" s="239" t="n"/>
    </row>
    <row r="3439" ht="14.25" customHeight="1" s="192">
      <c r="W3439" s="235" t="n"/>
      <c r="X3439" s="235" t="n"/>
    </row>
    <row r="3440" ht="14.25" customHeight="1" s="192">
      <c r="W3440" s="235" t="n"/>
      <c r="X3440" s="235" t="n"/>
    </row>
    <row r="3441" ht="14.25" customHeight="1" s="192">
      <c r="W3441" s="235" t="n"/>
      <c r="X3441" s="235" t="n"/>
    </row>
    <row r="3442" ht="14.25" customHeight="1" s="192">
      <c r="W3442" s="239" t="n"/>
      <c r="X3442" s="239" t="n"/>
    </row>
    <row r="3443" ht="14.25" customHeight="1" s="192">
      <c r="W3443" s="239" t="n"/>
      <c r="X3443" s="239" t="n"/>
    </row>
    <row r="3444" ht="14.25" customHeight="1" s="192">
      <c r="W3444" s="235" t="n"/>
      <c r="X3444" s="235" t="n"/>
    </row>
    <row r="3445" ht="14.25" customHeight="1" s="192">
      <c r="W3445" s="235" t="n"/>
      <c r="X3445" s="235" t="n"/>
    </row>
    <row r="3446" ht="14.25" customHeight="1" s="192">
      <c r="W3446" s="239" t="n"/>
      <c r="X3446" s="239" t="n"/>
    </row>
    <row r="3447" ht="14.25" customHeight="1" s="192">
      <c r="W3447" s="235" t="n"/>
      <c r="X3447" s="235" t="n"/>
    </row>
    <row r="3448" ht="14.25" customHeight="1" s="192">
      <c r="W3448" s="239" t="n"/>
      <c r="X3448" s="239" t="n"/>
    </row>
    <row r="3450" ht="14.25" customHeight="1" s="192">
      <c r="W3450" s="235" t="n"/>
      <c r="X3450" s="235" t="n"/>
    </row>
    <row r="3451" ht="15" customHeight="1" s="192" thickBot="1">
      <c r="W3451" s="239" t="n"/>
      <c r="X3451" s="239" t="n"/>
    </row>
    <row r="3452" ht="15" customHeight="1" s="192" thickBot="1">
      <c r="W3452" s="45" t="n"/>
      <c r="X3452" s="45" t="n"/>
    </row>
    <row r="3453" ht="14.25" customHeight="1" s="192">
      <c r="W3453" s="228" t="n"/>
      <c r="X3453" s="228" t="n"/>
    </row>
    <row r="3454" ht="14.25" customHeight="1" s="192">
      <c r="W3454" s="228" t="n"/>
      <c r="X3454" s="228" t="n"/>
    </row>
    <row r="3455" ht="14.25" customHeight="1" s="192">
      <c r="W3455" s="231" t="n"/>
      <c r="X3455" s="231" t="n"/>
    </row>
    <row r="3456" ht="14.25" customHeight="1" s="192">
      <c r="W3456" s="33" t="n"/>
      <c r="X3456" s="33" t="n"/>
    </row>
    <row r="3457" ht="14.25" customHeight="1" s="192">
      <c r="W3457" s="231" t="n"/>
      <c r="X3457" s="231" t="n"/>
    </row>
    <row r="3458" ht="14.25" customHeight="1" s="192">
      <c r="W3458" s="33" t="n"/>
      <c r="X3458" s="33" t="n"/>
    </row>
    <row r="3460" ht="14.25" customHeight="1" s="192">
      <c r="W3460" s="231" t="n"/>
      <c r="X3460" s="231" t="n"/>
    </row>
    <row r="3461" ht="14.25" customHeight="1" s="192">
      <c r="W3461" s="235" t="n"/>
      <c r="X3461" s="235" t="n"/>
    </row>
    <row r="3462" ht="14.25" customHeight="1" s="192">
      <c r="W3462" s="228" t="n"/>
      <c r="X3462" s="228" t="n"/>
    </row>
    <row r="3463" ht="14.25" customHeight="1" s="192">
      <c r="W3463" s="235" t="n"/>
      <c r="X3463" s="235" t="n"/>
    </row>
    <row r="3464" ht="14.25" customHeight="1" s="192">
      <c r="W3464" s="235" t="n"/>
      <c r="X3464" s="235" t="n"/>
    </row>
    <row r="3465" ht="14.25" customHeight="1" s="192">
      <c r="W3465" s="235" t="n"/>
      <c r="X3465" s="235" t="n"/>
    </row>
    <row r="3466" ht="14.25" customHeight="1" s="192">
      <c r="W3466" s="239" t="n"/>
      <c r="X3466" s="239" t="n"/>
    </row>
    <row r="3467" ht="14.25" customHeight="1" s="192">
      <c r="W3467" s="239" t="n"/>
      <c r="X3467" s="239" t="n"/>
    </row>
    <row r="3468" ht="14.25" customHeight="1" s="192">
      <c r="W3468" s="239" t="n"/>
      <c r="X3468" s="239" t="n"/>
    </row>
    <row r="3469" ht="14.25" customHeight="1" s="192">
      <c r="W3469" s="235" t="n"/>
      <c r="X3469" s="235" t="n"/>
    </row>
    <row r="3470" ht="14.25" customHeight="1" s="192">
      <c r="W3470" s="235" t="n"/>
      <c r="X3470" s="235" t="n"/>
    </row>
    <row r="3471" ht="14.25" customHeight="1" s="192">
      <c r="W3471" s="235" t="n"/>
      <c r="X3471" s="235" t="n"/>
    </row>
    <row r="3472" ht="14.25" customHeight="1" s="192">
      <c r="W3472" s="239" t="n"/>
      <c r="X3472" s="239" t="n"/>
    </row>
    <row r="3473" ht="14.25" customHeight="1" s="192">
      <c r="W3473" s="239" t="n"/>
      <c r="X3473" s="239" t="n"/>
    </row>
    <row r="3474" ht="14.25" customHeight="1" s="192">
      <c r="W3474" s="235" t="n"/>
      <c r="X3474" s="235" t="n"/>
    </row>
    <row r="3475" ht="14.25" customHeight="1" s="192">
      <c r="W3475" s="235" t="n"/>
      <c r="X3475" s="235" t="n"/>
    </row>
    <row r="3476" ht="14.25" customHeight="1" s="192">
      <c r="W3476" s="239" t="n"/>
      <c r="X3476" s="239" t="n"/>
    </row>
    <row r="3477" ht="14.25" customHeight="1" s="192">
      <c r="W3477" s="235" t="n"/>
      <c r="X3477" s="235" t="n"/>
    </row>
    <row r="3478" ht="14.25" customHeight="1" s="192">
      <c r="W3478" s="239" t="n"/>
      <c r="X3478" s="239" t="n"/>
    </row>
    <row r="3480" ht="14.25" customHeight="1" s="192">
      <c r="W3480" s="235" t="n"/>
      <c r="X3480" s="235" t="n"/>
    </row>
    <row r="3481" ht="15" customHeight="1" s="192" thickBot="1">
      <c r="W3481" s="239" t="n"/>
      <c r="X3481" s="239" t="n"/>
    </row>
    <row r="3482" ht="15" customHeight="1" s="192" thickBot="1">
      <c r="W3482" s="45" t="n"/>
      <c r="X3482" s="45" t="n"/>
    </row>
    <row r="3483" ht="14.25" customHeight="1" s="192">
      <c r="W3483" s="228" t="n"/>
      <c r="X3483" s="228" t="n"/>
    </row>
    <row r="3484" ht="14.25" customHeight="1" s="192">
      <c r="W3484" s="228" t="n"/>
      <c r="X3484" s="228" t="n"/>
    </row>
    <row r="3485" ht="14.25" customHeight="1" s="192">
      <c r="W3485" s="231" t="n"/>
      <c r="X3485" s="231" t="n"/>
    </row>
    <row r="3486" ht="14.25" customHeight="1" s="192">
      <c r="W3486" s="33" t="n"/>
      <c r="X3486" s="33" t="n"/>
    </row>
    <row r="3487" ht="14.25" customHeight="1" s="192">
      <c r="W3487" s="231" t="n"/>
      <c r="X3487" s="231" t="n"/>
    </row>
    <row r="3488" ht="14.25" customHeight="1" s="192">
      <c r="W3488" s="33" t="n"/>
      <c r="X3488" s="33" t="n"/>
    </row>
    <row r="3490" ht="14.25" customHeight="1" s="192">
      <c r="W3490" s="231" t="n"/>
      <c r="X3490" s="231" t="n"/>
    </row>
    <row r="3491" ht="14.25" customHeight="1" s="192">
      <c r="W3491" s="235" t="n"/>
      <c r="X3491" s="235" t="n"/>
    </row>
    <row r="3492" ht="14.25" customHeight="1" s="192">
      <c r="W3492" s="228" t="n"/>
      <c r="X3492" s="228" t="n"/>
    </row>
    <row r="3493" ht="14.25" customHeight="1" s="192">
      <c r="W3493" s="235" t="n"/>
      <c r="X3493" s="235" t="n"/>
    </row>
    <row r="3494" ht="14.25" customHeight="1" s="192">
      <c r="W3494" s="235" t="n"/>
      <c r="X3494" s="235" t="n"/>
    </row>
    <row r="3495" ht="14.25" customHeight="1" s="192">
      <c r="W3495" s="235" t="n"/>
      <c r="X3495" s="235" t="n"/>
    </row>
    <row r="3496" ht="14.25" customHeight="1" s="192">
      <c r="W3496" s="239" t="n"/>
      <c r="X3496" s="239" t="n"/>
    </row>
    <row r="3497" ht="14.25" customHeight="1" s="192">
      <c r="W3497" s="239" t="n"/>
      <c r="X3497" s="239" t="n"/>
    </row>
    <row r="3498" ht="14.25" customHeight="1" s="192">
      <c r="W3498" s="239" t="n"/>
      <c r="X3498" s="239" t="n"/>
    </row>
    <row r="3499" ht="14.25" customHeight="1" s="192">
      <c r="W3499" s="235" t="n"/>
      <c r="X3499" s="235" t="n"/>
    </row>
    <row r="3500" ht="14.25" customHeight="1" s="192">
      <c r="W3500" s="235" t="n"/>
      <c r="X3500" s="235" t="n"/>
    </row>
    <row r="3501" ht="14.25" customHeight="1" s="192">
      <c r="W3501" s="235" t="n"/>
      <c r="X3501" s="235" t="n"/>
    </row>
    <row r="3502" ht="14.25" customHeight="1" s="192">
      <c r="W3502" s="239" t="n"/>
      <c r="X3502" s="239" t="n"/>
    </row>
    <row r="3503" ht="14.25" customHeight="1" s="192">
      <c r="W3503" s="239" t="n"/>
      <c r="X3503" s="239" t="n"/>
    </row>
    <row r="3504" ht="14.25" customHeight="1" s="192">
      <c r="W3504" s="235" t="n"/>
      <c r="X3504" s="235" t="n"/>
    </row>
    <row r="3505" ht="14.25" customHeight="1" s="192">
      <c r="W3505" s="235" t="n"/>
      <c r="X3505" s="235" t="n"/>
    </row>
    <row r="3506" ht="14.25" customHeight="1" s="192">
      <c r="W3506" s="239" t="n"/>
      <c r="X3506" s="239" t="n"/>
    </row>
    <row r="3507" ht="14.25" customHeight="1" s="192">
      <c r="W3507" s="235" t="n"/>
      <c r="X3507" s="235" t="n"/>
    </row>
    <row r="3508" ht="14.25" customHeight="1" s="192">
      <c r="W3508" s="239" t="n"/>
      <c r="X3508" s="239" t="n"/>
    </row>
    <row r="3510" ht="14.25" customHeight="1" s="192">
      <c r="W3510" s="235" t="n"/>
      <c r="X3510" s="235" t="n"/>
    </row>
    <row r="3511" ht="15" customHeight="1" s="192" thickBot="1">
      <c r="W3511" s="239" t="n"/>
      <c r="X3511" s="239" t="n"/>
    </row>
    <row r="3512" ht="15" customHeight="1" s="192" thickBot="1">
      <c r="W3512" s="45" t="n"/>
      <c r="X3512" s="45" t="n"/>
    </row>
    <row r="3513" ht="14.25" customHeight="1" s="192">
      <c r="W3513" s="228" t="n"/>
      <c r="X3513" s="228" t="n"/>
    </row>
    <row r="3514" ht="14.25" customHeight="1" s="192">
      <c r="W3514" s="228" t="n"/>
      <c r="X3514" s="228" t="n"/>
    </row>
    <row r="3515" ht="14.25" customHeight="1" s="192">
      <c r="W3515" s="231" t="n"/>
      <c r="X3515" s="231" t="n"/>
    </row>
    <row r="3516" ht="14.25" customHeight="1" s="192">
      <c r="W3516" s="33" t="n"/>
      <c r="X3516" s="33" t="n"/>
    </row>
    <row r="3517" ht="14.25" customHeight="1" s="192">
      <c r="W3517" s="231" t="n"/>
      <c r="X3517" s="231" t="n"/>
    </row>
    <row r="3518" ht="14.25" customHeight="1" s="192">
      <c r="W3518" s="33" t="n"/>
      <c r="X3518" s="33" t="n"/>
    </row>
    <row r="3520" ht="14.25" customHeight="1" s="192">
      <c r="W3520" s="231" t="n"/>
      <c r="X3520" s="231" t="n"/>
    </row>
    <row r="3521" ht="14.25" customHeight="1" s="192">
      <c r="W3521" s="235" t="n"/>
      <c r="X3521" s="235" t="n"/>
    </row>
    <row r="3522" ht="14.25" customHeight="1" s="192">
      <c r="W3522" s="228" t="n"/>
      <c r="X3522" s="228" t="n"/>
    </row>
    <row r="3523" ht="14.25" customHeight="1" s="192">
      <c r="W3523" s="235" t="n"/>
      <c r="X3523" s="235" t="n"/>
    </row>
    <row r="3524" ht="14.25" customHeight="1" s="192">
      <c r="W3524" s="235" t="n"/>
      <c r="X3524" s="235" t="n"/>
    </row>
    <row r="3525" ht="14.25" customHeight="1" s="192">
      <c r="W3525" s="235" t="n"/>
      <c r="X3525" s="235" t="n"/>
    </row>
    <row r="3526" ht="14.25" customHeight="1" s="192">
      <c r="W3526" s="239" t="n"/>
      <c r="X3526" s="239" t="n"/>
    </row>
    <row r="3527" ht="14.25" customHeight="1" s="192">
      <c r="W3527" s="239" t="n"/>
      <c r="X3527" s="239" t="n"/>
    </row>
    <row r="3528" ht="14.25" customHeight="1" s="192">
      <c r="W3528" s="239" t="n"/>
      <c r="X3528" s="239" t="n"/>
    </row>
    <row r="3529" ht="14.25" customHeight="1" s="192">
      <c r="W3529" s="235" t="n"/>
      <c r="X3529" s="235" t="n"/>
    </row>
    <row r="3530" ht="14.25" customHeight="1" s="192">
      <c r="W3530" s="235" t="n"/>
      <c r="X3530" s="235" t="n"/>
    </row>
    <row r="3531" ht="14.25" customHeight="1" s="192">
      <c r="W3531" s="235" t="n"/>
      <c r="X3531" s="235" t="n"/>
    </row>
    <row r="3532" ht="14.25" customHeight="1" s="192">
      <c r="W3532" s="239" t="n"/>
      <c r="X3532" s="239" t="n"/>
    </row>
    <row r="3533" ht="14.25" customHeight="1" s="192">
      <c r="W3533" s="239" t="n"/>
      <c r="X3533" s="239" t="n"/>
    </row>
    <row r="3534" ht="14.25" customHeight="1" s="192">
      <c r="W3534" s="235" t="n"/>
      <c r="X3534" s="235" t="n"/>
    </row>
    <row r="3535" ht="14.25" customHeight="1" s="192">
      <c r="W3535" s="235" t="n"/>
      <c r="X3535" s="235" t="n"/>
    </row>
    <row r="3536" ht="14.25" customHeight="1" s="192">
      <c r="W3536" s="239" t="n"/>
      <c r="X3536" s="239" t="n"/>
    </row>
    <row r="3537" ht="14.25" customHeight="1" s="192">
      <c r="W3537" s="235" t="n"/>
      <c r="X3537" s="235" t="n"/>
    </row>
    <row r="3538" ht="14.25" customHeight="1" s="192">
      <c r="W3538" s="239" t="n"/>
      <c r="X3538" s="239" t="n"/>
    </row>
    <row r="3540" ht="14.25" customHeight="1" s="192">
      <c r="W3540" s="235" t="n"/>
      <c r="X3540" s="235" t="n"/>
    </row>
    <row r="3541" ht="15" customHeight="1" s="192" thickBot="1">
      <c r="W3541" s="239" t="n"/>
      <c r="X3541" s="239" t="n"/>
    </row>
    <row r="3542" ht="15" customHeight="1" s="192" thickBot="1">
      <c r="W3542" s="45" t="n"/>
      <c r="X3542" s="45" t="n"/>
    </row>
    <row r="3543" ht="14.25" customHeight="1" s="192">
      <c r="W3543" s="228" t="n"/>
      <c r="X3543" s="228" t="n"/>
    </row>
    <row r="3544" ht="14.25" customHeight="1" s="192">
      <c r="W3544" s="228" t="n"/>
      <c r="X3544" s="228" t="n"/>
    </row>
    <row r="3545" ht="14.25" customHeight="1" s="192">
      <c r="W3545" s="231" t="n"/>
      <c r="X3545" s="231" t="n"/>
    </row>
    <row r="3546" ht="14.25" customHeight="1" s="192">
      <c r="W3546" s="33" t="n"/>
      <c r="X3546" s="33" t="n"/>
    </row>
    <row r="3547" ht="14.25" customHeight="1" s="192">
      <c r="W3547" s="231" t="n"/>
      <c r="X3547" s="231" t="n"/>
    </row>
    <row r="3548" ht="14.25" customHeight="1" s="192">
      <c r="W3548" s="33" t="n"/>
      <c r="X3548" s="33" t="n"/>
    </row>
    <row r="3550" ht="14.25" customHeight="1" s="192">
      <c r="W3550" s="231" t="n"/>
      <c r="X3550" s="231" t="n"/>
    </row>
    <row r="3551" ht="14.25" customHeight="1" s="192">
      <c r="W3551" s="235" t="n"/>
      <c r="X3551" s="235" t="n"/>
    </row>
    <row r="3552" ht="14.25" customHeight="1" s="192">
      <c r="W3552" s="228" t="n"/>
      <c r="X3552" s="228" t="n"/>
    </row>
    <row r="3553" ht="14.25" customHeight="1" s="192">
      <c r="W3553" s="235" t="n"/>
      <c r="X3553" s="235" t="n"/>
    </row>
    <row r="3554" ht="14.25" customHeight="1" s="192">
      <c r="W3554" s="235" t="n"/>
      <c r="X3554" s="235" t="n"/>
    </row>
    <row r="3555" ht="14.25" customHeight="1" s="192">
      <c r="W3555" s="235" t="n"/>
      <c r="X3555" s="235" t="n"/>
    </row>
    <row r="3556" ht="14.25" customHeight="1" s="192">
      <c r="W3556" s="239" t="n"/>
      <c r="X3556" s="239" t="n"/>
    </row>
    <row r="3557" ht="14.25" customHeight="1" s="192">
      <c r="W3557" s="239" t="n"/>
      <c r="X3557" s="239" t="n"/>
    </row>
    <row r="3558" ht="14.25" customHeight="1" s="192">
      <c r="W3558" s="239" t="n"/>
      <c r="X3558" s="239" t="n"/>
    </row>
    <row r="3559" ht="14.25" customHeight="1" s="192">
      <c r="W3559" s="235" t="n"/>
      <c r="X3559" s="235" t="n"/>
    </row>
    <row r="3560" ht="14.25" customHeight="1" s="192">
      <c r="W3560" s="235" t="n"/>
      <c r="X3560" s="235" t="n"/>
    </row>
    <row r="3561" ht="14.25" customHeight="1" s="192">
      <c r="W3561" s="235" t="n"/>
      <c r="X3561" s="235" t="n"/>
    </row>
    <row r="3562" ht="14.25" customHeight="1" s="192">
      <c r="W3562" s="239" t="n"/>
      <c r="X3562" s="239" t="n"/>
    </row>
    <row r="3563" ht="14.25" customHeight="1" s="192">
      <c r="W3563" s="239" t="n"/>
      <c r="X3563" s="239" t="n"/>
    </row>
    <row r="3564" ht="14.25" customHeight="1" s="192">
      <c r="W3564" s="235" t="n"/>
      <c r="X3564" s="235" t="n"/>
    </row>
    <row r="3565" ht="14.25" customHeight="1" s="192">
      <c r="W3565" s="235" t="n"/>
      <c r="X3565" s="235" t="n"/>
    </row>
    <row r="3566" ht="14.25" customHeight="1" s="192">
      <c r="W3566" s="239" t="n"/>
      <c r="X3566" s="239" t="n"/>
    </row>
    <row r="3567" ht="14.25" customHeight="1" s="192">
      <c r="W3567" s="235" t="n"/>
      <c r="X3567" s="235" t="n"/>
    </row>
    <row r="3568" ht="14.25" customHeight="1" s="192">
      <c r="W3568" s="239" t="n"/>
      <c r="X3568" s="239" t="n"/>
    </row>
    <row r="3570" ht="14.25" customHeight="1" s="192">
      <c r="W3570" s="235" t="n"/>
      <c r="X3570" s="235" t="n"/>
    </row>
    <row r="3571" ht="15" customHeight="1" s="192" thickBot="1">
      <c r="W3571" s="239" t="n"/>
      <c r="X3571" s="239" t="n"/>
    </row>
    <row r="3572" ht="15" customHeight="1" s="192" thickBot="1">
      <c r="W3572" s="45" t="n"/>
      <c r="X3572" s="45" t="n"/>
    </row>
    <row r="3573" ht="14.25" customHeight="1" s="192">
      <c r="W3573" s="228" t="n"/>
      <c r="X3573" s="228" t="n"/>
    </row>
    <row r="3574" ht="14.25" customHeight="1" s="192">
      <c r="W3574" s="228" t="n"/>
      <c r="X3574" s="228" t="n"/>
    </row>
    <row r="3575" ht="14.25" customHeight="1" s="192">
      <c r="W3575" s="231" t="n"/>
      <c r="X3575" s="231" t="n"/>
    </row>
    <row r="3576" ht="14.25" customHeight="1" s="192">
      <c r="W3576" s="33" t="n"/>
      <c r="X3576" s="33" t="n"/>
    </row>
    <row r="3577" ht="14.25" customHeight="1" s="192">
      <c r="W3577" s="231" t="n"/>
      <c r="X3577" s="231" t="n"/>
    </row>
    <row r="3578" ht="14.25" customHeight="1" s="192">
      <c r="W3578" s="33" t="n"/>
      <c r="X3578" s="33" t="n"/>
    </row>
    <row r="3580" ht="14.25" customHeight="1" s="192">
      <c r="W3580" s="231" t="n"/>
      <c r="X3580" s="231" t="n"/>
    </row>
    <row r="3581" ht="14.25" customHeight="1" s="192">
      <c r="W3581" s="235" t="n"/>
      <c r="X3581" s="235" t="n"/>
    </row>
    <row r="3582" ht="14.25" customHeight="1" s="192">
      <c r="W3582" s="228" t="n"/>
      <c r="X3582" s="228" t="n"/>
    </row>
    <row r="3583" ht="14.25" customHeight="1" s="192">
      <c r="W3583" s="235" t="n"/>
      <c r="X3583" s="235" t="n"/>
    </row>
    <row r="3584" ht="14.25" customHeight="1" s="192">
      <c r="W3584" s="235" t="n"/>
      <c r="X3584" s="235" t="n"/>
    </row>
    <row r="3585" ht="14.25" customHeight="1" s="192">
      <c r="W3585" s="235" t="n"/>
      <c r="X3585" s="235" t="n"/>
    </row>
    <row r="3586" ht="14.25" customHeight="1" s="192">
      <c r="W3586" s="239" t="n"/>
      <c r="X3586" s="239" t="n"/>
    </row>
    <row r="3587" ht="14.25" customHeight="1" s="192">
      <c r="W3587" s="239" t="n"/>
      <c r="X3587" s="239" t="n"/>
    </row>
    <row r="3588" ht="14.25" customHeight="1" s="192">
      <c r="W3588" s="239" t="n"/>
      <c r="X3588" s="239" t="n"/>
    </row>
    <row r="3589" ht="14.25" customHeight="1" s="192">
      <c r="W3589" s="235" t="n"/>
      <c r="X3589" s="235" t="n"/>
    </row>
    <row r="3590" ht="14.25" customHeight="1" s="192">
      <c r="W3590" s="235" t="n"/>
      <c r="X3590" s="235" t="n"/>
    </row>
    <row r="3591" ht="14.25" customHeight="1" s="192">
      <c r="W3591" s="235" t="n"/>
      <c r="X3591" s="235" t="n"/>
    </row>
    <row r="3592" ht="14.25" customHeight="1" s="192">
      <c r="W3592" s="239" t="n"/>
      <c r="X3592" s="239" t="n"/>
    </row>
    <row r="3593" ht="14.25" customHeight="1" s="192">
      <c r="W3593" s="239" t="n"/>
      <c r="X3593" s="239" t="n"/>
    </row>
    <row r="3594" ht="14.25" customHeight="1" s="192">
      <c r="W3594" s="235" t="n"/>
      <c r="X3594" s="235" t="n"/>
    </row>
    <row r="3595" ht="14.25" customHeight="1" s="192">
      <c r="W3595" s="235" t="n"/>
      <c r="X3595" s="235" t="n"/>
    </row>
    <row r="3596" ht="14.25" customHeight="1" s="192">
      <c r="W3596" s="239" t="n"/>
      <c r="X3596" s="239" t="n"/>
    </row>
    <row r="3597" ht="14.25" customHeight="1" s="192">
      <c r="W3597" s="235" t="n"/>
      <c r="X3597" s="235" t="n"/>
    </row>
    <row r="3598" ht="14.25" customHeight="1" s="192">
      <c r="W3598" s="239" t="n"/>
      <c r="X3598" s="239" t="n"/>
    </row>
    <row r="3600" ht="14.25" customHeight="1" s="192">
      <c r="W3600" s="235" t="n"/>
      <c r="X3600" s="235" t="n"/>
    </row>
    <row r="3601" ht="15" customHeight="1" s="192" thickBot="1">
      <c r="W3601" s="239" t="n"/>
      <c r="X3601" s="239" t="n"/>
    </row>
    <row r="3602" ht="15" customHeight="1" s="192" thickBot="1">
      <c r="W3602" s="45" t="n"/>
      <c r="X3602" s="45" t="n"/>
    </row>
    <row r="3603" ht="14.25" customHeight="1" s="192">
      <c r="W3603" s="228" t="n"/>
      <c r="X3603" s="228" t="n"/>
    </row>
    <row r="3604" ht="14.25" customHeight="1" s="192">
      <c r="W3604" s="228" t="n"/>
      <c r="X3604" s="228" t="n"/>
    </row>
    <row r="3605" ht="14.25" customHeight="1" s="192">
      <c r="W3605" s="231" t="n"/>
      <c r="X3605" s="231" t="n"/>
    </row>
    <row r="3606" ht="14.25" customHeight="1" s="192">
      <c r="W3606" s="33" t="n"/>
      <c r="X3606" s="33" t="n"/>
    </row>
    <row r="3607" ht="14.25" customHeight="1" s="192">
      <c r="W3607" s="231" t="n"/>
      <c r="X3607" s="231" t="n"/>
    </row>
    <row r="3608" ht="14.25" customHeight="1" s="192">
      <c r="W3608" s="33" t="n"/>
      <c r="X3608" s="33" t="n"/>
    </row>
    <row r="3610" ht="14.25" customHeight="1" s="192">
      <c r="W3610" s="231" t="n"/>
      <c r="X3610" s="231" t="n"/>
    </row>
    <row r="3611" ht="14.25" customHeight="1" s="192">
      <c r="W3611" s="235" t="n"/>
      <c r="X3611" s="235" t="n"/>
    </row>
    <row r="3612" ht="14.25" customHeight="1" s="192">
      <c r="W3612" s="228" t="n"/>
      <c r="X3612" s="228" t="n"/>
    </row>
    <row r="3613" ht="14.25" customHeight="1" s="192">
      <c r="W3613" s="235" t="n"/>
      <c r="X3613" s="235" t="n"/>
    </row>
    <row r="3614" ht="14.25" customHeight="1" s="192">
      <c r="W3614" s="235" t="n"/>
      <c r="X3614" s="235" t="n"/>
    </row>
    <row r="3615" ht="14.25" customHeight="1" s="192">
      <c r="W3615" s="235" t="n"/>
      <c r="X3615" s="235" t="n"/>
    </row>
    <row r="3616" ht="14.25" customHeight="1" s="192">
      <c r="W3616" s="239" t="n"/>
      <c r="X3616" s="239" t="n"/>
    </row>
    <row r="3617" ht="14.25" customHeight="1" s="192">
      <c r="W3617" s="239" t="n"/>
      <c r="X3617" s="239" t="n"/>
    </row>
    <row r="3618" ht="14.25" customHeight="1" s="192">
      <c r="W3618" s="239" t="n"/>
      <c r="X3618" s="239" t="n"/>
    </row>
    <row r="3619" ht="14.25" customHeight="1" s="192">
      <c r="W3619" s="235" t="n"/>
      <c r="X3619" s="235" t="n"/>
    </row>
    <row r="3620" ht="14.25" customHeight="1" s="192">
      <c r="W3620" s="235" t="n"/>
      <c r="X3620" s="235" t="n"/>
    </row>
    <row r="3621" ht="14.25" customHeight="1" s="192">
      <c r="W3621" s="235" t="n"/>
      <c r="X3621" s="235" t="n"/>
    </row>
    <row r="3622" ht="14.25" customHeight="1" s="192">
      <c r="W3622" s="239" t="n"/>
      <c r="X3622" s="239" t="n"/>
    </row>
    <row r="3623" ht="14.25" customHeight="1" s="192">
      <c r="W3623" s="239" t="n"/>
      <c r="X3623" s="239" t="n"/>
    </row>
    <row r="3624" ht="14.25" customHeight="1" s="192">
      <c r="W3624" s="235" t="n"/>
      <c r="X3624" s="235" t="n"/>
    </row>
    <row r="3625" ht="14.25" customHeight="1" s="192">
      <c r="W3625" s="235" t="n"/>
      <c r="X3625" s="235" t="n"/>
    </row>
    <row r="3626" ht="14.25" customHeight="1" s="192">
      <c r="W3626" s="239" t="n"/>
      <c r="X3626" s="239" t="n"/>
    </row>
    <row r="3627" ht="14.25" customHeight="1" s="192">
      <c r="W3627" s="235" t="n"/>
      <c r="X3627" s="235" t="n"/>
    </row>
    <row r="3628" ht="14.25" customHeight="1" s="192">
      <c r="W3628" s="239" t="n"/>
      <c r="X3628" s="239" t="n"/>
    </row>
    <row r="3630" ht="14.25" customHeight="1" s="192">
      <c r="W3630" s="235" t="n"/>
      <c r="X3630" s="235" t="n"/>
    </row>
    <row r="3631" ht="15" customHeight="1" s="192" thickBot="1">
      <c r="W3631" s="239" t="n"/>
      <c r="X3631" s="239" t="n"/>
    </row>
    <row r="3632" ht="15" customHeight="1" s="192" thickBot="1">
      <c r="W3632" s="45" t="n"/>
      <c r="X3632" s="45" t="n"/>
    </row>
    <row r="3633" ht="14.25" customHeight="1" s="192">
      <c r="W3633" s="228" t="n"/>
      <c r="X3633" s="228" t="n"/>
    </row>
    <row r="3634" ht="14.25" customHeight="1" s="192">
      <c r="W3634" s="228" t="n"/>
      <c r="X3634" s="228" t="n"/>
    </row>
    <row r="3635" ht="14.25" customHeight="1" s="192">
      <c r="W3635" s="231" t="n"/>
      <c r="X3635" s="231" t="n"/>
    </row>
    <row r="3636" ht="14.25" customHeight="1" s="192">
      <c r="W3636" s="33" t="n"/>
      <c r="X3636" s="33" t="n"/>
    </row>
    <row r="3637" ht="14.25" customHeight="1" s="192">
      <c r="W3637" s="231" t="n"/>
      <c r="X3637" s="231" t="n"/>
    </row>
    <row r="3638" ht="14.25" customHeight="1" s="192">
      <c r="W3638" s="33" t="n"/>
      <c r="X3638" s="33" t="n"/>
    </row>
    <row r="3640" ht="14.25" customHeight="1" s="192">
      <c r="W3640" s="231" t="n"/>
      <c r="X3640" s="231" t="n"/>
    </row>
    <row r="3641" ht="14.25" customHeight="1" s="192">
      <c r="W3641" s="235" t="n"/>
      <c r="X3641" s="235" t="n"/>
    </row>
    <row r="3642" ht="14.25" customHeight="1" s="192">
      <c r="W3642" s="228" t="n"/>
      <c r="X3642" s="228" t="n"/>
    </row>
    <row r="3643" ht="14.25" customHeight="1" s="192">
      <c r="W3643" s="235" t="n"/>
      <c r="X3643" s="235" t="n"/>
    </row>
    <row r="3644" ht="14.25" customHeight="1" s="192">
      <c r="W3644" s="235" t="n"/>
      <c r="X3644" s="235" t="n"/>
    </row>
    <row r="3645" ht="14.25" customHeight="1" s="192">
      <c r="W3645" s="235" t="n"/>
      <c r="X3645" s="235" t="n"/>
    </row>
    <row r="3646" ht="14.25" customHeight="1" s="192">
      <c r="W3646" s="239" t="n"/>
      <c r="X3646" s="239" t="n"/>
    </row>
    <row r="3647" ht="14.25" customHeight="1" s="192">
      <c r="W3647" s="239" t="n"/>
      <c r="X3647" s="239" t="n"/>
    </row>
    <row r="3648" ht="14.25" customHeight="1" s="192">
      <c r="W3648" s="239" t="n"/>
      <c r="X3648" s="239" t="n"/>
    </row>
    <row r="3649" ht="14.25" customHeight="1" s="192">
      <c r="W3649" s="235" t="n"/>
      <c r="X3649" s="235" t="n"/>
    </row>
    <row r="3650" ht="14.25" customHeight="1" s="192">
      <c r="W3650" s="235" t="n"/>
      <c r="X3650" s="235" t="n"/>
    </row>
    <row r="3651" ht="14.25" customHeight="1" s="192">
      <c r="W3651" s="235" t="n"/>
      <c r="X3651" s="235" t="n"/>
    </row>
    <row r="3652" ht="14.25" customHeight="1" s="192">
      <c r="W3652" s="239" t="n"/>
      <c r="X3652" s="239" t="n"/>
    </row>
    <row r="3653" ht="14.25" customHeight="1" s="192">
      <c r="W3653" s="239" t="n"/>
      <c r="X3653" s="239" t="n"/>
    </row>
    <row r="3654" ht="14.25" customHeight="1" s="192">
      <c r="W3654" s="235" t="n"/>
      <c r="X3654" s="235" t="n"/>
    </row>
    <row r="3655" ht="14.25" customHeight="1" s="192">
      <c r="W3655" s="235" t="n"/>
      <c r="X3655" s="235" t="n"/>
    </row>
    <row r="3656" ht="14.25" customHeight="1" s="192">
      <c r="W3656" s="239" t="n"/>
      <c r="X3656" s="239" t="n"/>
    </row>
    <row r="3657" ht="14.25" customHeight="1" s="192">
      <c r="W3657" s="235" t="n"/>
      <c r="X3657" s="235" t="n"/>
    </row>
    <row r="3658" ht="14.25" customHeight="1" s="192">
      <c r="W3658" s="239" t="n"/>
      <c r="X3658" s="239" t="n"/>
    </row>
    <row r="3660" ht="14.25" customHeight="1" s="192">
      <c r="W3660" s="235" t="n"/>
      <c r="X3660" s="235" t="n"/>
    </row>
    <row r="3661" ht="15" customHeight="1" s="192" thickBot="1">
      <c r="W3661" s="239" t="n"/>
      <c r="X3661" s="239" t="n"/>
    </row>
    <row r="3662" ht="15" customHeight="1" s="192" thickBot="1">
      <c r="W3662" s="45" t="n"/>
      <c r="X3662" s="45" t="n"/>
    </row>
    <row r="3663" ht="14.25" customHeight="1" s="192">
      <c r="W3663" s="228" t="n"/>
      <c r="X3663" s="228" t="n"/>
    </row>
    <row r="3664" ht="14.25" customHeight="1" s="192">
      <c r="W3664" s="228" t="n"/>
      <c r="X3664" s="228" t="n"/>
    </row>
    <row r="3665" ht="14.25" customHeight="1" s="192">
      <c r="W3665" s="231" t="n"/>
      <c r="X3665" s="231" t="n"/>
    </row>
    <row r="3666" ht="14.25" customHeight="1" s="192">
      <c r="W3666" s="33" t="n"/>
      <c r="X3666" s="33" t="n"/>
    </row>
    <row r="3667" ht="14.25" customHeight="1" s="192">
      <c r="W3667" s="231" t="n"/>
      <c r="X3667" s="231" t="n"/>
    </row>
    <row r="3668" ht="14.25" customHeight="1" s="192">
      <c r="W3668" s="33" t="n"/>
      <c r="X3668" s="33" t="n"/>
    </row>
    <row r="3670" ht="14.25" customHeight="1" s="192">
      <c r="W3670" s="231" t="n"/>
      <c r="X3670" s="231" t="n"/>
    </row>
    <row r="3671" ht="14.25" customHeight="1" s="192">
      <c r="W3671" s="235" t="n"/>
      <c r="X3671" s="235" t="n"/>
    </row>
    <row r="3672" ht="14.25" customHeight="1" s="192">
      <c r="W3672" s="228" t="n"/>
      <c r="X3672" s="228" t="n"/>
    </row>
    <row r="3673" ht="14.25" customHeight="1" s="192">
      <c r="W3673" s="235" t="n"/>
      <c r="X3673" s="235" t="n"/>
    </row>
    <row r="3674" ht="14.25" customHeight="1" s="192">
      <c r="W3674" s="235" t="n"/>
      <c r="X3674" s="235" t="n"/>
    </row>
    <row r="3675" ht="14.25" customHeight="1" s="192">
      <c r="W3675" s="235" t="n"/>
      <c r="X3675" s="235" t="n"/>
    </row>
    <row r="3676" ht="14.25" customHeight="1" s="192">
      <c r="W3676" s="239" t="n"/>
      <c r="X3676" s="239" t="n"/>
    </row>
    <row r="3677" ht="14.25" customHeight="1" s="192">
      <c r="W3677" s="239" t="n"/>
      <c r="X3677" s="239" t="n"/>
    </row>
    <row r="3678" ht="14.25" customHeight="1" s="192">
      <c r="W3678" s="239" t="n"/>
      <c r="X3678" s="239" t="n"/>
    </row>
    <row r="3679" ht="14.25" customHeight="1" s="192">
      <c r="W3679" s="235" t="n"/>
      <c r="X3679" s="235" t="n"/>
    </row>
    <row r="3680" ht="14.25" customHeight="1" s="192">
      <c r="W3680" s="235" t="n"/>
      <c r="X3680" s="235" t="n"/>
    </row>
    <row r="3681" ht="14.25" customHeight="1" s="192">
      <c r="W3681" s="235" t="n"/>
      <c r="X3681" s="235" t="n"/>
    </row>
    <row r="3682" ht="14.25" customHeight="1" s="192">
      <c r="W3682" s="239" t="n"/>
      <c r="X3682" s="239" t="n"/>
    </row>
    <row r="3683" ht="14.25" customHeight="1" s="192">
      <c r="W3683" s="239" t="n"/>
      <c r="X3683" s="239" t="n"/>
    </row>
    <row r="3684" ht="14.25" customHeight="1" s="192">
      <c r="W3684" s="235" t="n"/>
      <c r="X3684" s="235" t="n"/>
    </row>
    <row r="3685" ht="14.25" customHeight="1" s="192">
      <c r="W3685" s="235" t="n"/>
      <c r="X3685" s="235" t="n"/>
    </row>
    <row r="3686" ht="14.25" customHeight="1" s="192">
      <c r="W3686" s="239" t="n"/>
      <c r="X3686" s="239" t="n"/>
    </row>
    <row r="3687" ht="14.25" customHeight="1" s="192">
      <c r="W3687" s="235" t="n"/>
      <c r="X3687" s="235" t="n"/>
    </row>
    <row r="3688" ht="14.25" customHeight="1" s="192">
      <c r="W3688" s="239" t="n"/>
      <c r="X3688" s="239" t="n"/>
    </row>
    <row r="3690" ht="14.25" customHeight="1" s="192">
      <c r="W3690" s="235" t="n"/>
      <c r="X3690" s="235" t="n"/>
    </row>
    <row r="3691" ht="15" customHeight="1" s="192" thickBot="1">
      <c r="W3691" s="239" t="n"/>
      <c r="X3691" s="239" t="n"/>
    </row>
    <row r="3692" ht="15" customHeight="1" s="192" thickBot="1">
      <c r="W3692" s="45" t="n"/>
      <c r="X3692" s="45" t="n"/>
    </row>
    <row r="3693" ht="14.25" customHeight="1" s="192">
      <c r="W3693" s="228" t="n"/>
      <c r="X3693" s="228" t="n"/>
    </row>
    <row r="3694" ht="14.25" customHeight="1" s="192">
      <c r="W3694" s="228" t="n"/>
      <c r="X3694" s="228" t="n"/>
    </row>
    <row r="3695" ht="14.25" customHeight="1" s="192">
      <c r="W3695" s="231" t="n"/>
      <c r="X3695" s="231" t="n"/>
    </row>
    <row r="3696" ht="14.25" customHeight="1" s="192">
      <c r="W3696" s="33" t="n"/>
      <c r="X3696" s="33" t="n"/>
    </row>
    <row r="3697" ht="14.25" customHeight="1" s="192">
      <c r="W3697" s="231" t="n"/>
      <c r="X3697" s="231" t="n"/>
    </row>
    <row r="3698" ht="14.25" customHeight="1" s="192">
      <c r="W3698" s="33" t="n"/>
      <c r="X3698" s="33" t="n"/>
    </row>
    <row r="3700" ht="14.25" customHeight="1" s="192">
      <c r="W3700" s="231" t="n"/>
      <c r="X3700" s="231" t="n"/>
    </row>
    <row r="3701" ht="14.25" customHeight="1" s="192">
      <c r="W3701" s="235" t="n"/>
      <c r="X3701" s="235" t="n"/>
    </row>
    <row r="3702" ht="14.25" customHeight="1" s="192">
      <c r="W3702" s="228" t="n"/>
      <c r="X3702" s="228" t="n"/>
    </row>
    <row r="3703" ht="14.25" customHeight="1" s="192">
      <c r="W3703" s="235" t="n"/>
      <c r="X3703" s="235" t="n"/>
    </row>
    <row r="3704" ht="14.25" customHeight="1" s="192">
      <c r="W3704" s="235" t="n"/>
      <c r="X3704" s="235" t="n"/>
    </row>
    <row r="3705" ht="14.25" customHeight="1" s="192">
      <c r="W3705" s="235" t="n"/>
      <c r="X3705" s="235" t="n"/>
    </row>
    <row r="3706" ht="14.25" customHeight="1" s="192">
      <c r="W3706" s="239" t="n"/>
      <c r="X3706" s="239" t="n"/>
    </row>
    <row r="3707" ht="14.25" customHeight="1" s="192">
      <c r="W3707" s="239" t="n"/>
      <c r="X3707" s="239" t="n"/>
    </row>
    <row r="3708" ht="14.25" customHeight="1" s="192">
      <c r="W3708" s="239" t="n"/>
      <c r="X3708" s="239" t="n"/>
    </row>
    <row r="3709" ht="14.25" customHeight="1" s="192">
      <c r="W3709" s="235" t="n"/>
      <c r="X3709" s="235" t="n"/>
    </row>
    <row r="3710" ht="14.25" customHeight="1" s="192">
      <c r="W3710" s="235" t="n"/>
      <c r="X3710" s="235" t="n"/>
    </row>
    <row r="3711" ht="14.25" customHeight="1" s="192">
      <c r="W3711" s="235" t="n"/>
      <c r="X3711" s="235" t="n"/>
    </row>
    <row r="3712" ht="14.25" customHeight="1" s="192">
      <c r="W3712" s="239" t="n"/>
      <c r="X3712" s="239" t="n"/>
    </row>
    <row r="3713" ht="14.25" customHeight="1" s="192">
      <c r="W3713" s="239" t="n"/>
      <c r="X3713" s="239" t="n"/>
    </row>
    <row r="3714" ht="14.25" customHeight="1" s="192">
      <c r="W3714" s="235" t="n"/>
      <c r="X3714" s="235" t="n"/>
    </row>
    <row r="3715" ht="14.25" customHeight="1" s="192">
      <c r="W3715" s="235" t="n"/>
      <c r="X3715" s="235" t="n"/>
    </row>
    <row r="3716" ht="14.25" customHeight="1" s="192">
      <c r="W3716" s="239" t="n"/>
      <c r="X3716" s="239" t="n"/>
    </row>
    <row r="3717" ht="14.25" customHeight="1" s="192">
      <c r="W3717" s="235" t="n"/>
      <c r="X3717" s="235" t="n"/>
    </row>
    <row r="3718" ht="14.25" customHeight="1" s="192">
      <c r="W3718" s="239" t="n"/>
      <c r="X3718" s="239" t="n"/>
    </row>
    <row r="3720" ht="14.25" customHeight="1" s="192">
      <c r="W3720" s="235" t="n"/>
      <c r="X3720" s="235" t="n"/>
    </row>
    <row r="3721" ht="15" customHeight="1" s="192" thickBot="1">
      <c r="W3721" s="239" t="n"/>
      <c r="X3721" s="239" t="n"/>
    </row>
    <row r="3722" ht="15" customHeight="1" s="192" thickBot="1">
      <c r="W3722" s="45" t="n"/>
      <c r="X3722" s="45" t="n"/>
    </row>
    <row r="3723" ht="14.25" customHeight="1" s="192">
      <c r="W3723" s="228" t="n"/>
      <c r="X3723" s="228" t="n"/>
    </row>
    <row r="3724" ht="14.25" customHeight="1" s="192">
      <c r="W3724" s="228" t="n"/>
      <c r="X3724" s="228" t="n"/>
    </row>
    <row r="3725" ht="14.25" customHeight="1" s="192">
      <c r="W3725" s="231" t="n"/>
      <c r="X3725" s="231" t="n"/>
    </row>
    <row r="3726" ht="14.25" customHeight="1" s="192">
      <c r="W3726" s="33" t="n"/>
      <c r="X3726" s="33" t="n"/>
    </row>
    <row r="3727" ht="14.25" customHeight="1" s="192">
      <c r="W3727" s="231" t="n"/>
      <c r="X3727" s="231" t="n"/>
    </row>
    <row r="3728" ht="14.25" customHeight="1" s="192">
      <c r="W3728" s="33" t="n"/>
      <c r="X3728" s="33" t="n"/>
    </row>
    <row r="3730" ht="14.25" customHeight="1" s="192">
      <c r="W3730" s="231" t="n"/>
      <c r="X3730" s="231" t="n"/>
    </row>
    <row r="3731" ht="14.25" customHeight="1" s="192">
      <c r="W3731" s="235" t="n"/>
      <c r="X3731" s="235" t="n"/>
    </row>
    <row r="3732" ht="14.25" customHeight="1" s="192">
      <c r="W3732" s="228" t="n"/>
      <c r="X3732" s="228" t="n"/>
    </row>
    <row r="3733" ht="14.25" customHeight="1" s="192">
      <c r="W3733" s="235" t="n"/>
      <c r="X3733" s="235" t="n"/>
    </row>
    <row r="3734" ht="14.25" customHeight="1" s="192">
      <c r="W3734" s="235" t="n"/>
      <c r="X3734" s="235" t="n"/>
    </row>
    <row r="3735" ht="14.25" customHeight="1" s="192">
      <c r="W3735" s="235" t="n"/>
      <c r="X3735" s="235" t="n"/>
    </row>
    <row r="3736" ht="14.25" customHeight="1" s="192">
      <c r="W3736" s="239" t="n"/>
      <c r="X3736" s="239" t="n"/>
    </row>
    <row r="3737" ht="14.25" customHeight="1" s="192">
      <c r="W3737" s="239" t="n"/>
      <c r="X3737" s="239" t="n"/>
    </row>
    <row r="3738" ht="14.25" customHeight="1" s="192">
      <c r="W3738" s="239" t="n"/>
      <c r="X3738" s="239" t="n"/>
    </row>
    <row r="3739" ht="14.25" customHeight="1" s="192">
      <c r="W3739" s="235" t="n"/>
      <c r="X3739" s="235" t="n"/>
    </row>
    <row r="3740" ht="14.25" customHeight="1" s="192">
      <c r="W3740" s="235" t="n"/>
      <c r="X3740" s="235" t="n"/>
    </row>
    <row r="3741" ht="14.25" customHeight="1" s="192">
      <c r="W3741" s="235" t="n"/>
      <c r="X3741" s="235" t="n"/>
    </row>
    <row r="3742" ht="14.25" customHeight="1" s="192">
      <c r="W3742" s="239" t="n"/>
      <c r="X3742" s="239" t="n"/>
    </row>
    <row r="3743" ht="14.25" customHeight="1" s="192">
      <c r="W3743" s="239" t="n"/>
      <c r="X3743" s="239" t="n"/>
    </row>
    <row r="3744" ht="14.25" customHeight="1" s="192">
      <c r="W3744" s="235" t="n"/>
      <c r="X3744" s="235" t="n"/>
    </row>
    <row r="3745" ht="14.25" customHeight="1" s="192">
      <c r="W3745" s="235" t="n"/>
      <c r="X3745" s="235" t="n"/>
    </row>
    <row r="3746" ht="14.25" customHeight="1" s="192">
      <c r="W3746" s="239" t="n"/>
      <c r="X3746" s="239" t="n"/>
    </row>
    <row r="3747" ht="14.25" customHeight="1" s="192">
      <c r="W3747" s="235" t="n"/>
      <c r="X3747" s="235" t="n"/>
    </row>
    <row r="3748" ht="14.25" customHeight="1" s="192">
      <c r="W3748" s="239" t="n"/>
      <c r="X3748" s="239" t="n"/>
    </row>
    <row r="3750" ht="14.25" customHeight="1" s="192">
      <c r="W3750" s="235" t="n"/>
      <c r="X3750" s="235" t="n"/>
    </row>
    <row r="3751" ht="15" customHeight="1" s="192" thickBot="1">
      <c r="W3751" s="239" t="n"/>
      <c r="X3751" s="239" t="n"/>
    </row>
    <row r="3752" ht="15" customHeight="1" s="192" thickBot="1">
      <c r="W3752" s="45" t="n"/>
      <c r="X3752" s="45" t="n"/>
    </row>
    <row r="3753" ht="14.25" customHeight="1" s="192">
      <c r="W3753" s="228" t="n"/>
      <c r="X3753" s="228" t="n"/>
    </row>
    <row r="3754" ht="14.25" customHeight="1" s="192">
      <c r="W3754" s="228" t="n"/>
      <c r="X3754" s="228" t="n"/>
    </row>
    <row r="3755" ht="14.25" customHeight="1" s="192">
      <c r="W3755" s="231" t="n"/>
      <c r="X3755" s="231" t="n"/>
    </row>
    <row r="3756" ht="14.25" customHeight="1" s="192">
      <c r="W3756" s="33" t="n"/>
      <c r="X3756" s="33" t="n"/>
    </row>
    <row r="3757" ht="14.25" customHeight="1" s="192">
      <c r="W3757" s="231" t="n"/>
      <c r="X3757" s="231" t="n"/>
    </row>
    <row r="3758" ht="14.25" customHeight="1" s="192">
      <c r="W3758" s="33" t="n"/>
      <c r="X3758" s="33" t="n"/>
    </row>
    <row r="3760" ht="14.25" customHeight="1" s="192">
      <c r="W3760" s="231" t="n"/>
      <c r="X3760" s="231" t="n"/>
    </row>
    <row r="3761" ht="14.25" customHeight="1" s="192">
      <c r="W3761" s="235" t="n"/>
      <c r="X3761" s="235" t="n"/>
    </row>
    <row r="3762" ht="14.25" customHeight="1" s="192">
      <c r="W3762" s="228" t="n"/>
      <c r="X3762" s="228" t="n"/>
    </row>
    <row r="3763" ht="14.25" customHeight="1" s="192">
      <c r="W3763" s="235" t="n"/>
      <c r="X3763" s="235" t="n"/>
    </row>
    <row r="3764" ht="14.25" customHeight="1" s="192">
      <c r="W3764" s="235" t="n"/>
      <c r="X3764" s="235" t="n"/>
    </row>
    <row r="3765" ht="14.25" customHeight="1" s="192">
      <c r="W3765" s="235" t="n"/>
      <c r="X3765" s="235" t="n"/>
    </row>
    <row r="3766" ht="14.25" customHeight="1" s="192">
      <c r="W3766" s="239" t="n"/>
      <c r="X3766" s="239" t="n"/>
    </row>
    <row r="3767" ht="14.25" customHeight="1" s="192">
      <c r="W3767" s="239" t="n"/>
      <c r="X3767" s="239" t="n"/>
    </row>
    <row r="3768" ht="14.25" customHeight="1" s="192">
      <c r="W3768" s="239" t="n"/>
      <c r="X3768" s="239" t="n"/>
    </row>
    <row r="3769" ht="14.25" customHeight="1" s="192">
      <c r="W3769" s="235" t="n"/>
      <c r="X3769" s="235" t="n"/>
    </row>
    <row r="3770" ht="14.25" customHeight="1" s="192">
      <c r="W3770" s="235" t="n"/>
      <c r="X3770" s="235" t="n"/>
    </row>
    <row r="3771" ht="14.25" customHeight="1" s="192">
      <c r="W3771" s="235" t="n"/>
      <c r="X3771" s="235" t="n"/>
    </row>
    <row r="3772" ht="14.25" customHeight="1" s="192">
      <c r="W3772" s="239" t="n"/>
      <c r="X3772" s="239" t="n"/>
    </row>
    <row r="3773" ht="14.25" customHeight="1" s="192">
      <c r="W3773" s="239" t="n"/>
      <c r="X3773" s="239" t="n"/>
    </row>
    <row r="3774" ht="14.25" customHeight="1" s="192">
      <c r="W3774" s="235" t="n"/>
      <c r="X3774" s="235" t="n"/>
    </row>
    <row r="3775" ht="14.25" customHeight="1" s="192">
      <c r="W3775" s="235" t="n"/>
      <c r="X3775" s="235" t="n"/>
    </row>
    <row r="3776" ht="14.25" customHeight="1" s="192">
      <c r="W3776" s="239" t="n"/>
      <c r="X3776" s="239" t="n"/>
    </row>
    <row r="3777" ht="14.25" customHeight="1" s="192">
      <c r="W3777" s="235" t="n"/>
      <c r="X3777" s="235" t="n"/>
    </row>
    <row r="3778" ht="14.25" customHeight="1" s="192">
      <c r="W3778" s="239" t="n"/>
      <c r="X3778" s="239" t="n"/>
    </row>
    <row r="3780" ht="14.25" customHeight="1" s="192">
      <c r="W3780" s="235" t="n"/>
      <c r="X3780" s="235" t="n"/>
    </row>
    <row r="3781" ht="15" customHeight="1" s="192" thickBot="1">
      <c r="W3781" s="239" t="n"/>
      <c r="X3781" s="239" t="n"/>
    </row>
    <row r="3782" ht="15" customHeight="1" s="192" thickBot="1">
      <c r="W3782" s="45" t="n"/>
      <c r="X3782" s="45" t="n"/>
    </row>
    <row r="3783" ht="14.25" customHeight="1" s="192">
      <c r="W3783" s="228" t="n"/>
      <c r="X3783" s="228" t="n"/>
    </row>
    <row r="3784" ht="14.25" customHeight="1" s="192">
      <c r="W3784" s="228" t="n"/>
      <c r="X3784" s="228" t="n"/>
    </row>
    <row r="3785" ht="14.25" customHeight="1" s="192">
      <c r="W3785" s="231" t="n"/>
      <c r="X3785" s="231" t="n"/>
    </row>
    <row r="3786" ht="14.25" customHeight="1" s="192">
      <c r="W3786" s="33" t="n"/>
      <c r="X3786" s="33" t="n"/>
    </row>
    <row r="3787" ht="14.25" customHeight="1" s="192">
      <c r="W3787" s="231" t="n"/>
      <c r="X3787" s="231" t="n"/>
    </row>
    <row r="3788" ht="14.25" customHeight="1" s="192">
      <c r="W3788" s="33" t="n"/>
      <c r="X3788" s="33" t="n"/>
    </row>
    <row r="3790" ht="14.25" customHeight="1" s="192">
      <c r="W3790" s="231" t="n"/>
      <c r="X3790" s="231" t="n"/>
    </row>
    <row r="3791" ht="14.25" customHeight="1" s="192">
      <c r="W3791" s="235" t="n"/>
      <c r="X3791" s="235" t="n"/>
    </row>
    <row r="3792" ht="14.25" customHeight="1" s="192">
      <c r="W3792" s="228" t="n"/>
      <c r="X3792" s="228" t="n"/>
    </row>
    <row r="3793" ht="14.25" customHeight="1" s="192">
      <c r="W3793" s="235" t="n"/>
      <c r="X3793" s="235" t="n"/>
    </row>
    <row r="3794" ht="14.25" customHeight="1" s="192">
      <c r="W3794" s="235" t="n"/>
      <c r="X3794" s="235" t="n"/>
    </row>
    <row r="3795" ht="14.25" customHeight="1" s="192">
      <c r="W3795" s="235" t="n"/>
      <c r="X3795" s="235" t="n"/>
    </row>
    <row r="3796" ht="14.25" customHeight="1" s="192">
      <c r="W3796" s="239" t="n"/>
      <c r="X3796" s="239" t="n"/>
    </row>
    <row r="3797" ht="14.25" customHeight="1" s="192">
      <c r="W3797" s="239" t="n"/>
      <c r="X3797" s="239" t="n"/>
    </row>
    <row r="3798" ht="14.25" customHeight="1" s="192">
      <c r="W3798" s="239" t="n"/>
      <c r="X3798" s="239" t="n"/>
    </row>
    <row r="3799" ht="14.25" customHeight="1" s="192">
      <c r="W3799" s="235" t="n"/>
      <c r="X3799" s="235" t="n"/>
    </row>
    <row r="3800" ht="14.25" customHeight="1" s="192">
      <c r="W3800" s="235" t="n"/>
      <c r="X3800" s="235" t="n"/>
    </row>
    <row r="3801" ht="14.25" customHeight="1" s="192">
      <c r="W3801" s="235" t="n"/>
      <c r="X3801" s="235" t="n"/>
    </row>
    <row r="3802" ht="14.25" customHeight="1" s="192">
      <c r="W3802" s="239" t="n"/>
      <c r="X3802" s="239" t="n"/>
    </row>
    <row r="3803" ht="14.25" customHeight="1" s="192">
      <c r="W3803" s="239" t="n"/>
      <c r="X3803" s="239" t="n"/>
    </row>
    <row r="3804" ht="14.25" customHeight="1" s="192">
      <c r="W3804" s="235" t="n"/>
      <c r="X3804" s="235" t="n"/>
    </row>
    <row r="3805" ht="14.25" customHeight="1" s="192">
      <c r="W3805" s="235" t="n"/>
      <c r="X3805" s="235" t="n"/>
    </row>
    <row r="3806" ht="14.25" customHeight="1" s="192">
      <c r="W3806" s="239" t="n"/>
      <c r="X3806" s="239" t="n"/>
    </row>
    <row r="3807" ht="14.25" customHeight="1" s="192">
      <c r="W3807" s="235" t="n"/>
      <c r="X3807" s="235" t="n"/>
    </row>
    <row r="3808" ht="14.25" customHeight="1" s="192">
      <c r="W3808" s="239" t="n"/>
      <c r="X3808" s="239" t="n"/>
    </row>
    <row r="3810" ht="14.25" customHeight="1" s="192">
      <c r="W3810" s="235" t="n"/>
      <c r="X3810" s="235" t="n"/>
    </row>
    <row r="3811" ht="15" customHeight="1" s="192" thickBot="1">
      <c r="W3811" s="239" t="n"/>
      <c r="X3811" s="239" t="n"/>
    </row>
    <row r="3812" ht="15" customHeight="1" s="192" thickBot="1">
      <c r="W3812" s="45" t="n"/>
      <c r="X3812" s="45" t="n"/>
    </row>
    <row r="3813" ht="14.25" customHeight="1" s="192">
      <c r="W3813" s="228" t="n"/>
      <c r="X3813" s="228" t="n"/>
    </row>
    <row r="3814" ht="14.25" customHeight="1" s="192">
      <c r="W3814" s="228" t="n"/>
      <c r="X3814" s="228" t="n"/>
    </row>
    <row r="3815" ht="14.25" customHeight="1" s="192">
      <c r="W3815" s="231" t="n"/>
      <c r="X3815" s="231" t="n"/>
    </row>
    <row r="3816" ht="14.25" customHeight="1" s="192">
      <c r="W3816" s="33" t="n"/>
      <c r="X3816" s="33" t="n"/>
    </row>
    <row r="3817" ht="14.25" customHeight="1" s="192">
      <c r="W3817" s="231" t="n"/>
      <c r="X3817" s="231" t="n"/>
    </row>
    <row r="3818" ht="14.25" customHeight="1" s="192">
      <c r="W3818" s="33" t="n"/>
      <c r="X3818" s="33" t="n"/>
    </row>
    <row r="3820" ht="14.25" customHeight="1" s="192">
      <c r="W3820" s="231" t="n"/>
      <c r="X3820" s="231" t="n"/>
    </row>
    <row r="3821" ht="14.25" customHeight="1" s="192">
      <c r="W3821" s="235" t="n"/>
      <c r="X3821" s="235" t="n"/>
    </row>
    <row r="3822" ht="14.25" customHeight="1" s="192">
      <c r="W3822" s="228" t="n"/>
      <c r="X3822" s="228" t="n"/>
    </row>
    <row r="3823" ht="14.25" customHeight="1" s="192">
      <c r="W3823" s="235" t="n"/>
      <c r="X3823" s="235" t="n"/>
    </row>
    <row r="3824" ht="14.25" customHeight="1" s="192">
      <c r="W3824" s="235" t="n"/>
      <c r="X3824" s="235" t="n"/>
    </row>
    <row r="3825" ht="14.25" customHeight="1" s="192">
      <c r="W3825" s="235" t="n"/>
      <c r="X3825" s="235" t="n"/>
    </row>
    <row r="3826" ht="14.25" customHeight="1" s="192">
      <c r="W3826" s="239" t="n"/>
      <c r="X3826" s="239" t="n"/>
    </row>
    <row r="3827" ht="14.25" customHeight="1" s="192">
      <c r="W3827" s="239" t="n"/>
      <c r="X3827" s="239" t="n"/>
    </row>
    <row r="3828" ht="14.25" customHeight="1" s="192">
      <c r="W3828" s="239" t="n"/>
      <c r="X3828" s="239" t="n"/>
    </row>
    <row r="3829" ht="14.25" customHeight="1" s="192">
      <c r="W3829" s="235" t="n"/>
      <c r="X3829" s="235" t="n"/>
    </row>
    <row r="3830" ht="14.25" customHeight="1" s="192">
      <c r="W3830" s="235" t="n"/>
      <c r="X3830" s="235" t="n"/>
    </row>
    <row r="3831" ht="14.25" customHeight="1" s="192">
      <c r="W3831" s="235" t="n"/>
      <c r="X3831" s="235" t="n"/>
    </row>
    <row r="3832" ht="14.25" customHeight="1" s="192">
      <c r="W3832" s="239" t="n"/>
      <c r="X3832" s="239" t="n"/>
    </row>
    <row r="3833" ht="14.25" customHeight="1" s="192">
      <c r="W3833" s="239" t="n"/>
      <c r="X3833" s="239" t="n"/>
    </row>
    <row r="3834" ht="14.25" customHeight="1" s="192">
      <c r="W3834" s="235" t="n"/>
      <c r="X3834" s="235" t="n"/>
    </row>
    <row r="3835" ht="14.25" customHeight="1" s="192">
      <c r="W3835" s="235" t="n"/>
      <c r="X3835" s="235" t="n"/>
    </row>
    <row r="3836" ht="14.25" customHeight="1" s="192">
      <c r="W3836" s="239" t="n"/>
      <c r="X3836" s="239" t="n"/>
    </row>
    <row r="3837" ht="14.25" customHeight="1" s="192">
      <c r="W3837" s="235" t="n"/>
      <c r="X3837" s="235" t="n"/>
    </row>
    <row r="3838" ht="14.25" customHeight="1" s="192">
      <c r="W3838" s="239" t="n"/>
      <c r="X3838" s="239" t="n"/>
    </row>
    <row r="3840" ht="14.25" customHeight="1" s="192">
      <c r="W3840" s="235" t="n"/>
      <c r="X3840" s="235" t="n"/>
    </row>
    <row r="3841" ht="15" customHeight="1" s="192" thickBot="1">
      <c r="W3841" s="239" t="n"/>
      <c r="X3841" s="239" t="n"/>
    </row>
    <row r="3842" ht="15" customHeight="1" s="192" thickBot="1">
      <c r="W3842" s="45" t="n"/>
      <c r="X3842" s="45" t="n"/>
    </row>
    <row r="3843" ht="14.25" customHeight="1" s="192">
      <c r="W3843" s="228" t="n"/>
      <c r="X3843" s="228" t="n"/>
    </row>
    <row r="3844" ht="14.25" customHeight="1" s="192">
      <c r="W3844" s="228" t="n"/>
      <c r="X3844" s="228" t="n"/>
    </row>
    <row r="3845" ht="14.25" customHeight="1" s="192">
      <c r="W3845" s="231" t="n"/>
      <c r="X3845" s="231" t="n"/>
    </row>
    <row r="3846" ht="14.25" customHeight="1" s="192">
      <c r="W3846" s="33" t="n"/>
      <c r="X3846" s="33" t="n"/>
    </row>
    <row r="3847" ht="14.25" customHeight="1" s="192">
      <c r="W3847" s="231" t="n"/>
      <c r="X3847" s="231" t="n"/>
    </row>
    <row r="3848" ht="14.25" customHeight="1" s="192">
      <c r="W3848" s="33" t="n"/>
      <c r="X3848" s="33" t="n"/>
    </row>
    <row r="3850" ht="14.25" customHeight="1" s="192">
      <c r="W3850" s="231" t="n"/>
      <c r="X3850" s="231" t="n"/>
    </row>
    <row r="3851" ht="14.25" customHeight="1" s="192">
      <c r="W3851" s="235" t="n"/>
      <c r="X3851" s="235" t="n"/>
    </row>
    <row r="3852" ht="14.25" customHeight="1" s="192">
      <c r="W3852" s="228" t="n"/>
      <c r="X3852" s="228" t="n"/>
    </row>
    <row r="3853" ht="14.25" customHeight="1" s="192">
      <c r="W3853" s="235" t="n"/>
      <c r="X3853" s="235" t="n"/>
    </row>
    <row r="3854" ht="14.25" customHeight="1" s="192">
      <c r="W3854" s="235" t="n"/>
      <c r="X3854" s="235" t="n"/>
    </row>
    <row r="3855" ht="14.25" customHeight="1" s="192">
      <c r="W3855" s="235" t="n"/>
      <c r="X3855" s="235" t="n"/>
    </row>
    <row r="3856" ht="14.25" customHeight="1" s="192">
      <c r="W3856" s="239" t="n"/>
      <c r="X3856" s="239" t="n"/>
    </row>
    <row r="3857" ht="14.25" customHeight="1" s="192">
      <c r="W3857" s="239" t="n"/>
      <c r="X3857" s="239" t="n"/>
    </row>
    <row r="3858" ht="14.25" customHeight="1" s="192">
      <c r="W3858" s="239" t="n"/>
      <c r="X3858" s="239" t="n"/>
    </row>
    <row r="3859" ht="14.25" customHeight="1" s="192">
      <c r="W3859" s="235" t="n"/>
      <c r="X3859" s="235" t="n"/>
    </row>
    <row r="3860" ht="14.25" customHeight="1" s="192">
      <c r="W3860" s="235" t="n"/>
      <c r="X3860" s="235" t="n"/>
    </row>
    <row r="3861" ht="14.25" customHeight="1" s="192">
      <c r="W3861" s="235" t="n"/>
      <c r="X3861" s="235" t="n"/>
    </row>
    <row r="3862" ht="14.25" customHeight="1" s="192">
      <c r="W3862" s="239" t="n"/>
      <c r="X3862" s="239" t="n"/>
    </row>
    <row r="3863" ht="14.25" customHeight="1" s="192">
      <c r="W3863" s="239" t="n"/>
      <c r="X3863" s="239" t="n"/>
    </row>
    <row r="3864" ht="14.25" customHeight="1" s="192">
      <c r="W3864" s="235" t="n"/>
      <c r="X3864" s="235" t="n"/>
    </row>
    <row r="3865" ht="14.25" customHeight="1" s="192">
      <c r="W3865" s="235" t="n"/>
      <c r="X3865" s="235" t="n"/>
    </row>
    <row r="3866" ht="14.25" customHeight="1" s="192">
      <c r="W3866" s="239" t="n"/>
      <c r="X3866" s="239" t="n"/>
    </row>
    <row r="3867" ht="14.25" customHeight="1" s="192">
      <c r="W3867" s="235" t="n"/>
      <c r="X3867" s="235" t="n"/>
    </row>
    <row r="3868" ht="14.25" customHeight="1" s="192">
      <c r="W3868" s="239" t="n"/>
      <c r="X3868" s="239" t="n"/>
    </row>
    <row r="3870" ht="14.25" customHeight="1" s="192">
      <c r="W3870" s="235" t="n"/>
      <c r="X3870" s="235" t="n"/>
    </row>
    <row r="3871" ht="15" customHeight="1" s="192" thickBot="1">
      <c r="W3871" s="239" t="n"/>
      <c r="X3871" s="239" t="n"/>
    </row>
    <row r="3872" ht="15" customHeight="1" s="192" thickBot="1">
      <c r="W3872" s="45" t="n"/>
      <c r="X3872" s="45" t="n"/>
    </row>
    <row r="3873" ht="14.25" customHeight="1" s="192">
      <c r="W3873" s="228" t="n"/>
      <c r="X3873" s="228" t="n"/>
    </row>
    <row r="3874" ht="14.25" customHeight="1" s="192">
      <c r="W3874" s="228" t="n"/>
      <c r="X3874" s="228" t="n"/>
    </row>
    <row r="3875" ht="14.25" customHeight="1" s="192">
      <c r="W3875" s="231" t="n"/>
      <c r="X3875" s="231" t="n"/>
    </row>
    <row r="3876" ht="14.25" customHeight="1" s="192">
      <c r="W3876" s="33" t="n"/>
      <c r="X3876" s="33" t="n"/>
    </row>
    <row r="3877" ht="14.25" customHeight="1" s="192">
      <c r="W3877" s="231" t="n"/>
      <c r="X3877" s="231" t="n"/>
    </row>
    <row r="3878" ht="14.25" customHeight="1" s="192">
      <c r="W3878" s="33" t="n"/>
      <c r="X3878" s="33" t="n"/>
    </row>
    <row r="3880" ht="14.25" customHeight="1" s="192">
      <c r="W3880" s="231" t="n"/>
      <c r="X3880" s="231" t="n"/>
    </row>
    <row r="3881" ht="14.25" customHeight="1" s="192">
      <c r="W3881" s="235" t="n"/>
      <c r="X3881" s="235" t="n"/>
    </row>
    <row r="3882" ht="14.25" customHeight="1" s="192">
      <c r="W3882" s="228" t="n"/>
      <c r="X3882" s="228" t="n"/>
    </row>
    <row r="3883" ht="14.25" customHeight="1" s="192">
      <c r="W3883" s="235" t="n"/>
      <c r="X3883" s="235" t="n"/>
    </row>
    <row r="3884" ht="14.25" customHeight="1" s="192">
      <c r="W3884" s="235" t="n"/>
      <c r="X3884" s="235" t="n"/>
    </row>
    <row r="3885" ht="14.25" customHeight="1" s="192">
      <c r="W3885" s="235" t="n"/>
      <c r="X3885" s="235" t="n"/>
    </row>
    <row r="3886" ht="14.25" customHeight="1" s="192">
      <c r="W3886" s="239" t="n"/>
      <c r="X3886" s="239" t="n"/>
    </row>
    <row r="3887" ht="14.25" customHeight="1" s="192">
      <c r="W3887" s="239" t="n"/>
      <c r="X3887" s="239" t="n"/>
    </row>
    <row r="3888" ht="14.25" customHeight="1" s="192">
      <c r="W3888" s="239" t="n"/>
      <c r="X3888" s="239" t="n"/>
    </row>
    <row r="3889" ht="14.25" customHeight="1" s="192">
      <c r="W3889" s="235" t="n"/>
      <c r="X3889" s="235" t="n"/>
    </row>
    <row r="3890" ht="14.25" customHeight="1" s="192">
      <c r="W3890" s="235" t="n"/>
      <c r="X3890" s="235" t="n"/>
    </row>
    <row r="3891" ht="14.25" customHeight="1" s="192">
      <c r="W3891" s="235" t="n"/>
      <c r="X3891" s="235" t="n"/>
    </row>
    <row r="3892" ht="14.25" customHeight="1" s="192">
      <c r="W3892" s="239" t="n"/>
      <c r="X3892" s="239" t="n"/>
    </row>
    <row r="3893" ht="14.25" customHeight="1" s="192">
      <c r="W3893" s="239" t="n"/>
      <c r="X3893" s="239" t="n"/>
    </row>
    <row r="3894" ht="14.25" customHeight="1" s="192">
      <c r="W3894" s="235" t="n"/>
      <c r="X3894" s="235" t="n"/>
    </row>
    <row r="3895" ht="14.25" customHeight="1" s="192">
      <c r="W3895" s="235" t="n"/>
      <c r="X3895" s="235" t="n"/>
    </row>
    <row r="3896" ht="14.25" customHeight="1" s="192">
      <c r="W3896" s="239" t="n"/>
      <c r="X3896" s="239" t="n"/>
    </row>
    <row r="3897" ht="14.25" customHeight="1" s="192">
      <c r="W3897" s="235" t="n"/>
      <c r="X3897" s="235" t="n"/>
    </row>
    <row r="3898" ht="14.25" customHeight="1" s="192">
      <c r="W3898" s="239" t="n"/>
      <c r="X3898" s="239" t="n"/>
    </row>
    <row r="3900" ht="14.25" customHeight="1" s="192">
      <c r="W3900" s="235" t="n"/>
      <c r="X3900" s="235" t="n"/>
    </row>
    <row r="3901" ht="15" customHeight="1" s="192" thickBot="1">
      <c r="W3901" s="239" t="n"/>
      <c r="X3901" s="239" t="n"/>
    </row>
    <row r="3902" ht="15" customHeight="1" s="192" thickBot="1">
      <c r="W3902" s="45" t="n"/>
      <c r="X3902" s="45" t="n"/>
    </row>
    <row r="3903" ht="14.25" customHeight="1" s="192">
      <c r="W3903" s="228" t="n"/>
      <c r="X3903" s="228" t="n"/>
    </row>
    <row r="3904" ht="14.25" customHeight="1" s="192">
      <c r="W3904" s="228" t="n"/>
      <c r="X3904" s="228" t="n"/>
    </row>
    <row r="3905" ht="14.25" customHeight="1" s="192">
      <c r="W3905" s="231" t="n"/>
      <c r="X3905" s="231" t="n"/>
    </row>
    <row r="3906" ht="14.25" customHeight="1" s="192">
      <c r="W3906" s="33" t="n"/>
      <c r="X3906" s="33" t="n"/>
    </row>
    <row r="3907" ht="14.25" customHeight="1" s="192">
      <c r="W3907" s="231" t="n"/>
      <c r="X3907" s="231" t="n"/>
    </row>
    <row r="3908" ht="14.25" customHeight="1" s="192">
      <c r="W3908" s="33" t="n"/>
      <c r="X3908" s="33" t="n"/>
    </row>
    <row r="3910" ht="14.25" customHeight="1" s="192">
      <c r="W3910" s="231" t="n"/>
      <c r="X3910" s="231" t="n"/>
    </row>
    <row r="3911" ht="14.25" customHeight="1" s="192">
      <c r="W3911" s="235" t="n"/>
      <c r="X3911" s="235" t="n"/>
    </row>
    <row r="3912" ht="14.25" customHeight="1" s="192">
      <c r="W3912" s="228" t="n"/>
      <c r="X3912" s="228" t="n"/>
    </row>
    <row r="3913" ht="14.25" customHeight="1" s="192">
      <c r="W3913" s="235" t="n"/>
      <c r="X3913" s="235" t="n"/>
    </row>
    <row r="3914" ht="14.25" customHeight="1" s="192">
      <c r="W3914" s="235" t="n"/>
      <c r="X3914" s="235" t="n"/>
    </row>
    <row r="3915" ht="14.25" customHeight="1" s="192">
      <c r="W3915" s="235" t="n"/>
      <c r="X3915" s="235" t="n"/>
    </row>
    <row r="3916" ht="14.25" customHeight="1" s="192">
      <c r="W3916" s="239" t="n"/>
      <c r="X3916" s="239" t="n"/>
    </row>
    <row r="3917" ht="14.25" customHeight="1" s="192">
      <c r="W3917" s="239" t="n"/>
      <c r="X3917" s="239" t="n"/>
    </row>
    <row r="3918" ht="14.25" customHeight="1" s="192">
      <c r="W3918" s="239" t="n"/>
      <c r="X3918" s="239" t="n"/>
    </row>
    <row r="3919" ht="14.25" customHeight="1" s="192">
      <c r="W3919" s="235" t="n"/>
      <c r="X3919" s="235" t="n"/>
    </row>
    <row r="3920" ht="14.25" customHeight="1" s="192">
      <c r="W3920" s="235" t="n"/>
      <c r="X3920" s="235" t="n"/>
    </row>
    <row r="3921" ht="14.25" customHeight="1" s="192">
      <c r="W3921" s="235" t="n"/>
      <c r="X3921" s="235" t="n"/>
    </row>
    <row r="3922" ht="14.25" customHeight="1" s="192">
      <c r="W3922" s="239" t="n"/>
      <c r="X3922" s="239" t="n"/>
    </row>
    <row r="3923" ht="14.25" customHeight="1" s="192">
      <c r="W3923" s="239" t="n"/>
      <c r="X3923" s="239" t="n"/>
    </row>
    <row r="3924" ht="14.25" customHeight="1" s="192">
      <c r="W3924" s="235" t="n"/>
      <c r="X3924" s="235" t="n"/>
    </row>
    <row r="3925" ht="14.25" customHeight="1" s="192">
      <c r="W3925" s="235" t="n"/>
      <c r="X3925" s="235" t="n"/>
    </row>
    <row r="3926" ht="14.25" customHeight="1" s="192">
      <c r="W3926" s="239" t="n"/>
      <c r="X3926" s="239" t="n"/>
    </row>
    <row r="3927" ht="14.25" customHeight="1" s="192">
      <c r="W3927" s="235" t="n"/>
      <c r="X3927" s="235" t="n"/>
    </row>
    <row r="3928" ht="14.25" customHeight="1" s="192">
      <c r="W3928" s="239" t="n"/>
      <c r="X3928" s="239" t="n"/>
    </row>
    <row r="3930" ht="14.25" customHeight="1" s="192">
      <c r="W3930" s="235" t="n"/>
      <c r="X3930" s="235" t="n"/>
    </row>
    <row r="3931" ht="15" customHeight="1" s="192" thickBot="1">
      <c r="W3931" s="239" t="n"/>
      <c r="X3931" s="239" t="n"/>
    </row>
    <row r="3932" ht="15" customHeight="1" s="192" thickBot="1">
      <c r="W3932" s="45" t="n"/>
      <c r="X3932" s="45" t="n"/>
    </row>
    <row r="3933" ht="14.25" customHeight="1" s="192">
      <c r="W3933" s="228" t="n"/>
      <c r="X3933" s="228" t="n"/>
    </row>
    <row r="3934" ht="14.25" customHeight="1" s="192">
      <c r="W3934" s="228" t="n"/>
      <c r="X3934" s="228" t="n"/>
    </row>
    <row r="3935" ht="14.25" customHeight="1" s="192">
      <c r="W3935" s="231" t="n"/>
      <c r="X3935" s="231" t="n"/>
    </row>
    <row r="3936" ht="14.25" customHeight="1" s="192">
      <c r="W3936" s="33" t="n"/>
      <c r="X3936" s="33" t="n"/>
    </row>
    <row r="3937" ht="14.25" customHeight="1" s="192">
      <c r="W3937" s="231" t="n"/>
      <c r="X3937" s="231" t="n"/>
    </row>
    <row r="3938" ht="14.25" customHeight="1" s="192">
      <c r="W3938" s="33" t="n"/>
      <c r="X3938" s="33" t="n"/>
    </row>
    <row r="3940" ht="14.25" customHeight="1" s="192">
      <c r="W3940" s="231" t="n"/>
      <c r="X3940" s="231" t="n"/>
    </row>
    <row r="3941" ht="14.25" customHeight="1" s="192">
      <c r="W3941" s="235" t="n"/>
      <c r="X3941" s="235" t="n"/>
    </row>
    <row r="3942" ht="14.25" customHeight="1" s="192">
      <c r="W3942" s="228" t="n"/>
      <c r="X3942" s="228" t="n"/>
    </row>
    <row r="3943" ht="14.25" customHeight="1" s="192">
      <c r="W3943" s="235" t="n"/>
      <c r="X3943" s="235" t="n"/>
    </row>
    <row r="3944" ht="14.25" customHeight="1" s="192">
      <c r="W3944" s="235" t="n"/>
      <c r="X3944" s="235" t="n"/>
    </row>
    <row r="3945" ht="14.25" customHeight="1" s="192">
      <c r="W3945" s="235" t="n"/>
      <c r="X3945" s="235" t="n"/>
    </row>
    <row r="3946" ht="14.25" customHeight="1" s="192">
      <c r="W3946" s="239" t="n"/>
      <c r="X3946" s="239" t="n"/>
    </row>
    <row r="3947" ht="14.25" customHeight="1" s="192">
      <c r="W3947" s="239" t="n"/>
      <c r="X3947" s="239" t="n"/>
    </row>
    <row r="3948" ht="14.25" customHeight="1" s="192">
      <c r="W3948" s="239" t="n"/>
      <c r="X3948" s="239" t="n"/>
    </row>
    <row r="3949" ht="14.25" customHeight="1" s="192">
      <c r="W3949" s="235" t="n"/>
      <c r="X3949" s="235" t="n"/>
    </row>
    <row r="3950" ht="14.25" customHeight="1" s="192">
      <c r="W3950" s="235" t="n"/>
      <c r="X3950" s="235" t="n"/>
    </row>
    <row r="3951" ht="14.25" customHeight="1" s="192">
      <c r="W3951" s="235" t="n"/>
      <c r="X3951" s="235" t="n"/>
    </row>
    <row r="3952" ht="14.25" customHeight="1" s="192">
      <c r="W3952" s="239" t="n"/>
      <c r="X3952" s="239" t="n"/>
    </row>
    <row r="3953" ht="14.25" customHeight="1" s="192">
      <c r="W3953" s="239" t="n"/>
      <c r="X3953" s="239" t="n"/>
    </row>
    <row r="3954" ht="14.25" customHeight="1" s="192">
      <c r="W3954" s="235" t="n"/>
      <c r="X3954" s="235" t="n"/>
    </row>
    <row r="3955" ht="14.25" customHeight="1" s="192">
      <c r="W3955" s="235" t="n"/>
      <c r="X3955" s="235" t="n"/>
    </row>
    <row r="3956" ht="14.25" customHeight="1" s="192">
      <c r="W3956" s="239" t="n"/>
      <c r="X3956" s="239" t="n"/>
    </row>
    <row r="3957" ht="14.25" customHeight="1" s="192">
      <c r="W3957" s="235" t="n"/>
      <c r="X3957" s="235" t="n"/>
    </row>
    <row r="3958" ht="14.25" customHeight="1" s="192">
      <c r="W3958" s="239" t="n"/>
      <c r="X3958" s="239" t="n"/>
    </row>
    <row r="3960" ht="14.25" customHeight="1" s="192">
      <c r="W3960" s="235" t="n"/>
      <c r="X3960" s="235" t="n"/>
    </row>
    <row r="3961" ht="15" customHeight="1" s="192" thickBot="1">
      <c r="W3961" s="239" t="n"/>
      <c r="X3961" s="239" t="n"/>
    </row>
    <row r="3962" ht="15" customHeight="1" s="192" thickBot="1">
      <c r="W3962" s="45" t="n"/>
      <c r="X3962" s="45" t="n"/>
    </row>
    <row r="3963" ht="14.25" customHeight="1" s="192">
      <c r="W3963" s="228" t="n"/>
      <c r="X3963" s="228" t="n"/>
    </row>
    <row r="3964" ht="14.25" customHeight="1" s="192">
      <c r="W3964" s="228" t="n"/>
      <c r="X3964" s="228" t="n"/>
    </row>
    <row r="3965" ht="14.25" customHeight="1" s="192">
      <c r="W3965" s="231" t="n"/>
      <c r="X3965" s="231" t="n"/>
    </row>
    <row r="3966" ht="14.25" customHeight="1" s="192">
      <c r="W3966" s="33" t="n"/>
      <c r="X3966" s="33" t="n"/>
    </row>
    <row r="3967" ht="14.25" customHeight="1" s="192">
      <c r="W3967" s="231" t="n"/>
      <c r="X3967" s="231" t="n"/>
    </row>
    <row r="3968" ht="14.25" customHeight="1" s="192">
      <c r="W3968" s="33" t="n"/>
      <c r="X3968" s="33" t="n"/>
    </row>
    <row r="3970" ht="14.25" customHeight="1" s="192">
      <c r="W3970" s="231" t="n"/>
      <c r="X3970" s="231" t="n"/>
    </row>
    <row r="3971" ht="14.25" customHeight="1" s="192">
      <c r="W3971" s="235" t="n"/>
      <c r="X3971" s="235" t="n"/>
    </row>
    <row r="3972" ht="14.25" customHeight="1" s="192">
      <c r="W3972" s="228" t="n"/>
      <c r="X3972" s="228" t="n"/>
    </row>
    <row r="3973" ht="14.25" customHeight="1" s="192">
      <c r="W3973" s="235" t="n"/>
      <c r="X3973" s="235" t="n"/>
    </row>
    <row r="3974" ht="14.25" customHeight="1" s="192">
      <c r="W3974" s="235" t="n"/>
      <c r="X3974" s="235" t="n"/>
    </row>
    <row r="3975" ht="14.25" customHeight="1" s="192">
      <c r="W3975" s="235" t="n"/>
      <c r="X3975" s="235" t="n"/>
    </row>
    <row r="3976" ht="14.25" customHeight="1" s="192">
      <c r="W3976" s="239" t="n"/>
      <c r="X3976" s="239" t="n"/>
    </row>
    <row r="3977" ht="14.25" customHeight="1" s="192">
      <c r="W3977" s="239" t="n"/>
      <c r="X3977" s="239" t="n"/>
    </row>
    <row r="3978" ht="14.25" customHeight="1" s="192">
      <c r="W3978" s="239" t="n"/>
      <c r="X3978" s="239" t="n"/>
    </row>
    <row r="3979" ht="14.25" customHeight="1" s="192">
      <c r="W3979" s="235" t="n"/>
      <c r="X3979" s="235" t="n"/>
    </row>
    <row r="3980" ht="14.25" customHeight="1" s="192">
      <c r="W3980" s="235" t="n"/>
      <c r="X3980" s="235" t="n"/>
    </row>
    <row r="3981" ht="14.25" customHeight="1" s="192">
      <c r="W3981" s="235" t="n"/>
      <c r="X3981" s="235" t="n"/>
    </row>
    <row r="3982" ht="14.25" customHeight="1" s="192">
      <c r="W3982" s="239" t="n"/>
      <c r="X3982" s="239" t="n"/>
    </row>
    <row r="3983" ht="14.25" customHeight="1" s="192">
      <c r="W3983" s="239" t="n"/>
      <c r="X3983" s="239" t="n"/>
    </row>
    <row r="3984" ht="14.25" customHeight="1" s="192">
      <c r="W3984" s="235" t="n"/>
      <c r="X3984" s="235" t="n"/>
    </row>
    <row r="3985" ht="14.25" customHeight="1" s="192">
      <c r="W3985" s="235" t="n"/>
      <c r="X3985" s="235" t="n"/>
    </row>
    <row r="3986" ht="14.25" customHeight="1" s="192">
      <c r="W3986" s="239" t="n"/>
      <c r="X3986" s="239" t="n"/>
    </row>
    <row r="3987" ht="14.25" customHeight="1" s="192">
      <c r="W3987" s="235" t="n"/>
      <c r="X3987" s="235" t="n"/>
    </row>
    <row r="3988" ht="14.25" customHeight="1" s="192">
      <c r="W3988" s="239" t="n"/>
      <c r="X3988" s="239" t="n"/>
    </row>
    <row r="3990" ht="14.25" customHeight="1" s="192">
      <c r="W3990" s="235" t="n"/>
      <c r="X3990" s="235" t="n"/>
    </row>
    <row r="3991" ht="15" customHeight="1" s="192" thickBot="1">
      <c r="W3991" s="239" t="n"/>
      <c r="X3991" s="239" t="n"/>
    </row>
    <row r="3992" ht="15" customHeight="1" s="192" thickBot="1">
      <c r="W3992" s="45" t="n"/>
      <c r="X3992" s="45" t="n"/>
    </row>
    <row r="3993" ht="14.25" customHeight="1" s="192">
      <c r="W3993" s="228" t="n"/>
      <c r="X3993" s="228" t="n"/>
    </row>
    <row r="3994" ht="14.25" customHeight="1" s="192">
      <c r="W3994" s="228" t="n"/>
      <c r="X3994" s="228" t="n"/>
    </row>
    <row r="3995" ht="14.25" customHeight="1" s="192">
      <c r="W3995" s="231" t="n"/>
      <c r="X3995" s="231" t="n"/>
    </row>
    <row r="3996" ht="14.25" customHeight="1" s="192">
      <c r="W3996" s="33" t="n"/>
      <c r="X3996" s="33" t="n"/>
    </row>
    <row r="3997" ht="14.25" customHeight="1" s="192">
      <c r="W3997" s="231" t="n"/>
      <c r="X3997" s="231" t="n"/>
    </row>
    <row r="3998" ht="14.25" customHeight="1" s="192">
      <c r="W3998" s="33" t="n"/>
      <c r="X3998" s="33" t="n"/>
    </row>
    <row r="4000" ht="14.25" customHeight="1" s="192">
      <c r="W4000" s="231" t="n"/>
      <c r="X4000" s="231" t="n"/>
    </row>
    <row r="4001" ht="14.25" customHeight="1" s="192">
      <c r="W4001" s="235" t="n"/>
      <c r="X4001" s="235" t="n"/>
    </row>
    <row r="4002" ht="14.25" customHeight="1" s="192">
      <c r="W4002" s="228" t="n"/>
      <c r="X4002" s="228" t="n"/>
    </row>
    <row r="4003" ht="14.25" customHeight="1" s="192">
      <c r="W4003" s="235" t="n"/>
      <c r="X4003" s="235" t="n"/>
    </row>
    <row r="4004" ht="14.25" customHeight="1" s="192">
      <c r="W4004" s="235" t="n"/>
      <c r="X4004" s="235" t="n"/>
    </row>
    <row r="4005" ht="14.25" customHeight="1" s="192">
      <c r="W4005" s="235" t="n"/>
      <c r="X4005" s="235" t="n"/>
    </row>
    <row r="4006" ht="14.25" customHeight="1" s="192">
      <c r="W4006" s="239" t="n"/>
      <c r="X4006" s="239" t="n"/>
    </row>
    <row r="4007" ht="14.25" customHeight="1" s="192">
      <c r="W4007" s="239" t="n"/>
      <c r="X4007" s="239" t="n"/>
    </row>
    <row r="4008" ht="14.25" customHeight="1" s="192">
      <c r="W4008" s="239" t="n"/>
      <c r="X4008" s="239" t="n"/>
    </row>
    <row r="4009" ht="14.25" customHeight="1" s="192">
      <c r="W4009" s="235" t="n"/>
      <c r="X4009" s="235" t="n"/>
    </row>
    <row r="4010" ht="14.25" customHeight="1" s="192">
      <c r="W4010" s="235" t="n"/>
      <c r="X4010" s="235" t="n"/>
    </row>
    <row r="4011" ht="14.25" customHeight="1" s="192">
      <c r="W4011" s="235" t="n"/>
      <c r="X4011" s="235" t="n"/>
    </row>
    <row r="4012" ht="14.25" customHeight="1" s="192">
      <c r="W4012" s="239" t="n"/>
      <c r="X4012" s="239" t="n"/>
    </row>
    <row r="4013" ht="14.25" customHeight="1" s="192">
      <c r="W4013" s="239" t="n"/>
      <c r="X4013" s="239" t="n"/>
    </row>
    <row r="4014" ht="14.25" customHeight="1" s="192">
      <c r="W4014" s="235" t="n"/>
      <c r="X4014" s="235" t="n"/>
    </row>
    <row r="4015" ht="14.25" customHeight="1" s="192">
      <c r="W4015" s="235" t="n"/>
      <c r="X4015" s="235" t="n"/>
    </row>
    <row r="4016" ht="14.25" customHeight="1" s="192">
      <c r="W4016" s="239" t="n"/>
      <c r="X4016" s="239" t="n"/>
    </row>
    <row r="4017" ht="14.25" customHeight="1" s="192">
      <c r="W4017" s="235" t="n"/>
      <c r="X4017" s="235" t="n"/>
    </row>
    <row r="4018" ht="14.25" customHeight="1" s="192">
      <c r="W4018" s="239" t="n"/>
      <c r="X4018" s="239" t="n"/>
    </row>
    <row r="4020" ht="14.25" customHeight="1" s="192">
      <c r="W4020" s="235" t="n"/>
      <c r="X4020" s="235" t="n"/>
    </row>
    <row r="4021" ht="15" customHeight="1" s="192" thickBot="1">
      <c r="W4021" s="239" t="n"/>
      <c r="X4021" s="239" t="n"/>
    </row>
    <row r="4022" ht="15" customHeight="1" s="192" thickBot="1">
      <c r="W4022" s="45" t="n"/>
      <c r="X4022" s="45" t="n"/>
    </row>
    <row r="4023" ht="14.25" customHeight="1" s="192">
      <c r="W4023" s="228" t="n"/>
      <c r="X4023" s="228" t="n"/>
    </row>
    <row r="4024" ht="14.25" customHeight="1" s="192">
      <c r="W4024" s="228" t="n"/>
      <c r="X4024" s="228" t="n"/>
    </row>
    <row r="4025" ht="14.25" customHeight="1" s="192">
      <c r="W4025" s="231" t="n"/>
      <c r="X4025" s="231" t="n"/>
    </row>
    <row r="4026" ht="14.25" customHeight="1" s="192">
      <c r="W4026" s="33" t="n"/>
      <c r="X4026" s="33" t="n"/>
    </row>
    <row r="4027" ht="14.25" customHeight="1" s="192">
      <c r="W4027" s="231" t="n"/>
      <c r="X4027" s="231" t="n"/>
    </row>
    <row r="4028" ht="14.25" customHeight="1" s="192">
      <c r="W4028" s="33" t="n"/>
      <c r="X4028" s="33" t="n"/>
    </row>
    <row r="4030" ht="14.25" customHeight="1" s="192">
      <c r="W4030" s="231" t="n"/>
      <c r="X4030" s="231" t="n"/>
    </row>
    <row r="4031" ht="14.25" customHeight="1" s="192">
      <c r="W4031" s="235" t="n"/>
      <c r="X4031" s="235" t="n"/>
    </row>
    <row r="4032" ht="14.25" customHeight="1" s="192">
      <c r="W4032" s="228" t="n"/>
      <c r="X4032" s="228" t="n"/>
    </row>
    <row r="4033" ht="14.25" customHeight="1" s="192">
      <c r="W4033" s="235" t="n"/>
      <c r="X4033" s="235" t="n"/>
    </row>
    <row r="4034" ht="14.25" customHeight="1" s="192">
      <c r="W4034" s="235" t="n"/>
      <c r="X4034" s="235" t="n"/>
    </row>
    <row r="4035" ht="14.25" customHeight="1" s="192">
      <c r="W4035" s="235" t="n"/>
      <c r="X4035" s="235" t="n"/>
    </row>
    <row r="4036" ht="14.25" customHeight="1" s="192">
      <c r="W4036" s="239" t="n"/>
      <c r="X4036" s="239" t="n"/>
    </row>
    <row r="4037" ht="14.25" customHeight="1" s="192">
      <c r="W4037" s="239" t="n"/>
      <c r="X4037" s="239" t="n"/>
    </row>
    <row r="4038" ht="14.25" customHeight="1" s="192">
      <c r="W4038" s="239" t="n"/>
      <c r="X4038" s="239" t="n"/>
    </row>
    <row r="4039" ht="14.25" customHeight="1" s="192">
      <c r="W4039" s="235" t="n"/>
      <c r="X4039" s="235" t="n"/>
    </row>
    <row r="4040" ht="14.25" customHeight="1" s="192">
      <c r="W4040" s="235" t="n"/>
      <c r="X4040" s="235" t="n"/>
    </row>
    <row r="4041" ht="14.25" customHeight="1" s="192">
      <c r="W4041" s="235" t="n"/>
      <c r="X4041" s="235" t="n"/>
    </row>
    <row r="4042" ht="14.25" customHeight="1" s="192">
      <c r="W4042" s="239" t="n"/>
      <c r="X4042" s="239" t="n"/>
    </row>
    <row r="4043" ht="14.25" customHeight="1" s="192">
      <c r="W4043" s="239" t="n"/>
      <c r="X4043" s="239" t="n"/>
    </row>
    <row r="4044" ht="14.25" customHeight="1" s="192">
      <c r="W4044" s="235" t="n"/>
      <c r="X4044" s="235" t="n"/>
    </row>
    <row r="4045" ht="14.25" customHeight="1" s="192">
      <c r="W4045" s="235" t="n"/>
      <c r="X4045" s="235" t="n"/>
    </row>
    <row r="4046" ht="14.25" customHeight="1" s="192">
      <c r="W4046" s="239" t="n"/>
      <c r="X4046" s="239" t="n"/>
    </row>
    <row r="4047" ht="14.25" customHeight="1" s="192">
      <c r="W4047" s="235" t="n"/>
      <c r="X4047" s="235" t="n"/>
    </row>
    <row r="4048" ht="14.25" customHeight="1" s="192">
      <c r="W4048" s="239" t="n"/>
      <c r="X4048" s="239" t="n"/>
    </row>
    <row r="4050" ht="14.25" customHeight="1" s="192">
      <c r="W4050" s="235" t="n"/>
      <c r="X4050" s="235" t="n"/>
    </row>
    <row r="4051" ht="15" customHeight="1" s="192" thickBot="1">
      <c r="W4051" s="239" t="n"/>
      <c r="X4051" s="239" t="n"/>
    </row>
    <row r="4052" ht="15" customHeight="1" s="192" thickBot="1">
      <c r="W4052" s="45" t="n"/>
      <c r="X4052" s="45" t="n"/>
    </row>
    <row r="4053" ht="14.25" customHeight="1" s="192">
      <c r="W4053" s="228" t="n"/>
      <c r="X4053" s="228" t="n"/>
    </row>
    <row r="4054" ht="14.25" customHeight="1" s="192">
      <c r="W4054" s="228" t="n"/>
      <c r="X4054" s="228" t="n"/>
    </row>
    <row r="4055" ht="14.25" customHeight="1" s="192">
      <c r="W4055" s="231" t="n"/>
      <c r="X4055" s="231" t="n"/>
    </row>
    <row r="4056" ht="14.25" customHeight="1" s="192">
      <c r="W4056" s="33" t="n"/>
      <c r="X4056" s="33" t="n"/>
    </row>
    <row r="4057" ht="14.25" customHeight="1" s="192">
      <c r="W4057" s="231" t="n"/>
      <c r="X4057" s="231" t="n"/>
    </row>
    <row r="4058" ht="14.25" customHeight="1" s="192">
      <c r="W4058" s="33" t="n"/>
      <c r="X4058" s="33" t="n"/>
    </row>
    <row r="4060" ht="14.25" customHeight="1" s="192">
      <c r="W4060" s="231" t="n"/>
      <c r="X4060" s="231" t="n"/>
    </row>
    <row r="4061" ht="14.25" customHeight="1" s="192">
      <c r="W4061" s="235" t="n"/>
      <c r="X4061" s="235" t="n"/>
    </row>
    <row r="4062" ht="14.25" customHeight="1" s="192">
      <c r="W4062" s="228" t="n"/>
      <c r="X4062" s="228" t="n"/>
    </row>
    <row r="4063" ht="14.25" customHeight="1" s="192">
      <c r="W4063" s="235" t="n"/>
      <c r="X4063" s="235" t="n"/>
    </row>
    <row r="4064" ht="14.25" customHeight="1" s="192">
      <c r="W4064" s="235" t="n"/>
      <c r="X4064" s="235" t="n"/>
    </row>
    <row r="4065" ht="14.25" customHeight="1" s="192">
      <c r="W4065" s="235" t="n"/>
      <c r="X4065" s="235" t="n"/>
    </row>
    <row r="4066" ht="14.25" customHeight="1" s="192">
      <c r="W4066" s="239" t="n"/>
      <c r="X4066" s="239" t="n"/>
    </row>
    <row r="4067" ht="14.25" customHeight="1" s="192">
      <c r="W4067" s="239" t="n"/>
      <c r="X4067" s="239" t="n"/>
    </row>
    <row r="4068" ht="14.25" customHeight="1" s="192">
      <c r="W4068" s="239" t="n"/>
      <c r="X4068" s="239" t="n"/>
    </row>
    <row r="4069" ht="14.25" customHeight="1" s="192">
      <c r="W4069" s="235" t="n"/>
      <c r="X4069" s="235" t="n"/>
    </row>
    <row r="4070" ht="14.25" customHeight="1" s="192">
      <c r="W4070" s="235" t="n"/>
      <c r="X4070" s="235" t="n"/>
    </row>
    <row r="4071" ht="14.25" customHeight="1" s="192">
      <c r="W4071" s="235" t="n"/>
      <c r="X4071" s="235" t="n"/>
    </row>
    <row r="4072" ht="14.25" customHeight="1" s="192">
      <c r="W4072" s="239" t="n"/>
      <c r="X4072" s="239" t="n"/>
    </row>
    <row r="4073" ht="14.25" customHeight="1" s="192">
      <c r="W4073" s="239" t="n"/>
      <c r="X4073" s="239" t="n"/>
    </row>
    <row r="4074" ht="14.25" customHeight="1" s="192">
      <c r="W4074" s="235" t="n"/>
      <c r="X4074" s="235" t="n"/>
    </row>
    <row r="4075" ht="14.25" customHeight="1" s="192">
      <c r="W4075" s="235" t="n"/>
      <c r="X4075" s="235" t="n"/>
    </row>
    <row r="4076" ht="14.25" customHeight="1" s="192">
      <c r="W4076" s="239" t="n"/>
      <c r="X4076" s="239" t="n"/>
    </row>
    <row r="4077" ht="14.25" customHeight="1" s="192">
      <c r="W4077" s="235" t="n"/>
      <c r="X4077" s="235" t="n"/>
    </row>
    <row r="4078" ht="14.25" customHeight="1" s="192">
      <c r="W4078" s="239" t="n"/>
      <c r="X4078" s="239" t="n"/>
    </row>
    <row r="4080" ht="14.25" customHeight="1" s="192">
      <c r="W4080" s="235" t="n"/>
      <c r="X4080" s="235" t="n"/>
    </row>
    <row r="4081" ht="15" customHeight="1" s="192" thickBot="1">
      <c r="W4081" s="239" t="n"/>
      <c r="X4081" s="239" t="n"/>
    </row>
    <row r="4082" ht="15" customHeight="1" s="192" thickBot="1">
      <c r="W4082" s="45" t="n"/>
      <c r="X4082" s="45" t="n"/>
    </row>
    <row r="4083" ht="14.25" customHeight="1" s="192">
      <c r="W4083" s="228" t="n"/>
      <c r="X4083" s="228" t="n"/>
    </row>
    <row r="4084" ht="14.25" customHeight="1" s="192">
      <c r="W4084" s="228" t="n"/>
      <c r="X4084" s="228" t="n"/>
    </row>
    <row r="4085" ht="14.25" customHeight="1" s="192">
      <c r="W4085" s="231" t="n"/>
      <c r="X4085" s="231" t="n"/>
    </row>
    <row r="4086" ht="14.25" customHeight="1" s="192">
      <c r="W4086" s="33" t="n"/>
      <c r="X4086" s="33" t="n"/>
    </row>
    <row r="4087" ht="14.25" customHeight="1" s="192">
      <c r="W4087" s="231" t="n"/>
      <c r="X4087" s="231" t="n"/>
    </row>
    <row r="4088" ht="14.25" customHeight="1" s="192">
      <c r="W4088" s="33" t="n"/>
      <c r="X4088" s="33" t="n"/>
    </row>
    <row r="4090" ht="14.25" customHeight="1" s="192">
      <c r="W4090" s="231" t="n"/>
      <c r="X4090" s="231" t="n"/>
    </row>
    <row r="4091" ht="14.25" customHeight="1" s="192">
      <c r="W4091" s="235" t="n"/>
      <c r="X4091" s="235" t="n"/>
    </row>
    <row r="4092" ht="14.25" customHeight="1" s="192">
      <c r="W4092" s="228" t="n"/>
      <c r="X4092" s="228" t="n"/>
    </row>
    <row r="4093" ht="14.25" customHeight="1" s="192">
      <c r="W4093" s="235" t="n"/>
      <c r="X4093" s="235" t="n"/>
    </row>
    <row r="4094" ht="14.25" customHeight="1" s="192">
      <c r="W4094" s="235" t="n"/>
      <c r="X4094" s="235" t="n"/>
    </row>
    <row r="4095" ht="14.25" customHeight="1" s="192">
      <c r="W4095" s="235" t="n"/>
      <c r="X4095" s="235" t="n"/>
    </row>
    <row r="4096" ht="14.25" customHeight="1" s="192">
      <c r="W4096" s="239" t="n"/>
      <c r="X4096" s="239" t="n"/>
    </row>
    <row r="4097" ht="14.25" customHeight="1" s="192">
      <c r="W4097" s="239" t="n"/>
      <c r="X4097" s="239" t="n"/>
    </row>
    <row r="4098" ht="14.25" customHeight="1" s="192">
      <c r="W4098" s="239" t="n"/>
      <c r="X4098" s="239" t="n"/>
    </row>
    <row r="4099" ht="14.25" customHeight="1" s="192">
      <c r="W4099" s="235" t="n"/>
      <c r="X4099" s="235" t="n"/>
    </row>
    <row r="4100" ht="14.25" customHeight="1" s="192">
      <c r="W4100" s="235" t="n"/>
      <c r="X4100" s="235" t="n"/>
    </row>
    <row r="4101" ht="14.25" customHeight="1" s="192">
      <c r="W4101" s="235" t="n"/>
      <c r="X4101" s="235" t="n"/>
    </row>
    <row r="4102" ht="14.25" customHeight="1" s="192">
      <c r="W4102" s="239" t="n"/>
      <c r="X4102" s="239" t="n"/>
    </row>
    <row r="4103" ht="14.25" customHeight="1" s="192">
      <c r="W4103" s="239" t="n"/>
      <c r="X4103" s="239" t="n"/>
    </row>
    <row r="4104" ht="14.25" customHeight="1" s="192">
      <c r="W4104" s="235" t="n"/>
      <c r="X4104" s="235" t="n"/>
    </row>
    <row r="4105" ht="14.25" customHeight="1" s="192">
      <c r="W4105" s="235" t="n"/>
      <c r="X4105" s="235" t="n"/>
    </row>
    <row r="4106" ht="14.25" customHeight="1" s="192">
      <c r="W4106" s="239" t="n"/>
      <c r="X4106" s="239" t="n"/>
    </row>
    <row r="4107" ht="14.25" customHeight="1" s="192">
      <c r="W4107" s="235" t="n"/>
      <c r="X4107" s="235" t="n"/>
    </row>
    <row r="4108" ht="14.25" customHeight="1" s="192">
      <c r="W4108" s="239" t="n"/>
      <c r="X4108" s="239" t="n"/>
    </row>
    <row r="4110" ht="14.25" customHeight="1" s="192">
      <c r="W4110" s="235" t="n"/>
      <c r="X4110" s="235" t="n"/>
    </row>
    <row r="4111" ht="15" customHeight="1" s="192" thickBot="1">
      <c r="W4111" s="239" t="n"/>
      <c r="X4111" s="239" t="n"/>
    </row>
    <row r="4112" ht="15" customHeight="1" s="192" thickBot="1">
      <c r="W4112" s="45" t="n"/>
      <c r="X4112" s="45" t="n"/>
    </row>
    <row r="4113" ht="14.25" customHeight="1" s="192">
      <c r="W4113" s="228" t="n"/>
      <c r="X4113" s="228" t="n"/>
    </row>
    <row r="4114" ht="14.25" customHeight="1" s="192">
      <c r="W4114" s="228" t="n"/>
      <c r="X4114" s="228" t="n"/>
    </row>
    <row r="4115" ht="14.25" customHeight="1" s="192">
      <c r="W4115" s="231" t="n"/>
      <c r="X4115" s="231" t="n"/>
    </row>
    <row r="4116" ht="14.25" customHeight="1" s="192">
      <c r="W4116" s="33" t="n"/>
      <c r="X4116" s="33" t="n"/>
    </row>
    <row r="4117" ht="14.25" customHeight="1" s="192">
      <c r="W4117" s="231" t="n"/>
      <c r="X4117" s="231" t="n"/>
    </row>
    <row r="4118" ht="14.25" customHeight="1" s="192">
      <c r="W4118" s="33" t="n"/>
      <c r="X4118" s="33" t="n"/>
    </row>
    <row r="4120" ht="14.25" customHeight="1" s="192">
      <c r="W4120" s="231" t="n"/>
      <c r="X4120" s="231" t="n"/>
    </row>
    <row r="4121" ht="14.25" customHeight="1" s="192">
      <c r="W4121" s="235" t="n"/>
      <c r="X4121" s="235" t="n"/>
    </row>
    <row r="4122" ht="14.25" customHeight="1" s="192">
      <c r="W4122" s="228" t="n"/>
      <c r="X4122" s="228" t="n"/>
    </row>
    <row r="4123" ht="14.25" customHeight="1" s="192">
      <c r="W4123" s="235" t="n"/>
      <c r="X4123" s="235" t="n"/>
    </row>
    <row r="4124" ht="14.25" customHeight="1" s="192">
      <c r="W4124" s="235" t="n"/>
      <c r="X4124" s="235" t="n"/>
    </row>
    <row r="4125" ht="14.25" customHeight="1" s="192">
      <c r="W4125" s="235" t="n"/>
      <c r="X4125" s="235" t="n"/>
    </row>
    <row r="4126" ht="14.25" customHeight="1" s="192">
      <c r="W4126" s="239" t="n"/>
      <c r="X4126" s="239" t="n"/>
    </row>
    <row r="4127" ht="14.25" customHeight="1" s="192">
      <c r="W4127" s="239" t="n"/>
      <c r="X4127" s="239" t="n"/>
    </row>
    <row r="4128" ht="14.25" customHeight="1" s="192">
      <c r="W4128" s="239" t="n"/>
      <c r="X4128" s="239" t="n"/>
    </row>
    <row r="4129" ht="14.25" customHeight="1" s="192">
      <c r="W4129" s="235" t="n"/>
      <c r="X4129" s="235" t="n"/>
    </row>
    <row r="4130" ht="14.25" customHeight="1" s="192">
      <c r="W4130" s="235" t="n"/>
      <c r="X4130" s="235" t="n"/>
    </row>
    <row r="4131" ht="14.25" customHeight="1" s="192">
      <c r="W4131" s="235" t="n"/>
      <c r="X4131" s="235" t="n"/>
    </row>
    <row r="4132" ht="14.25" customHeight="1" s="192">
      <c r="W4132" s="239" t="n"/>
      <c r="X4132" s="239" t="n"/>
    </row>
    <row r="4133" ht="14.25" customHeight="1" s="192">
      <c r="W4133" s="239" t="n"/>
      <c r="X4133" s="239" t="n"/>
    </row>
    <row r="4134" ht="14.25" customHeight="1" s="192">
      <c r="W4134" s="235" t="n"/>
      <c r="X4134" s="235" t="n"/>
    </row>
    <row r="4135" ht="14.25" customHeight="1" s="192">
      <c r="W4135" s="235" t="n"/>
      <c r="X4135" s="235" t="n"/>
    </row>
    <row r="4136" ht="14.25" customHeight="1" s="192">
      <c r="W4136" s="239" t="n"/>
      <c r="X4136" s="239" t="n"/>
    </row>
    <row r="4137" ht="14.25" customHeight="1" s="192">
      <c r="W4137" s="235" t="n"/>
      <c r="X4137" s="235" t="n"/>
    </row>
    <row r="4138" ht="14.25" customHeight="1" s="192">
      <c r="W4138" s="239" t="n"/>
      <c r="X4138" s="239" t="n"/>
    </row>
    <row r="4140" ht="14.25" customHeight="1" s="192">
      <c r="W4140" s="235" t="n"/>
      <c r="X4140" s="235" t="n"/>
    </row>
    <row r="4141" ht="15" customHeight="1" s="192" thickBot="1">
      <c r="W4141" s="239" t="n"/>
      <c r="X4141" s="239" t="n"/>
    </row>
    <row r="4142" ht="15" customHeight="1" s="192" thickBot="1">
      <c r="W4142" s="45" t="n"/>
      <c r="X4142" s="45" t="n"/>
    </row>
    <row r="4143" ht="14.25" customHeight="1" s="192">
      <c r="W4143" s="228" t="n"/>
      <c r="X4143" s="228" t="n"/>
    </row>
    <row r="4144" ht="14.25" customHeight="1" s="192">
      <c r="W4144" s="228" t="n"/>
      <c r="X4144" s="228" t="n"/>
    </row>
    <row r="4145" ht="14.25" customHeight="1" s="192">
      <c r="W4145" s="231" t="n"/>
      <c r="X4145" s="231" t="n"/>
    </row>
    <row r="4146" ht="14.25" customHeight="1" s="192">
      <c r="W4146" s="33" t="n"/>
      <c r="X4146" s="33" t="n"/>
    </row>
    <row r="4147" ht="14.25" customHeight="1" s="192">
      <c r="W4147" s="231" t="n"/>
      <c r="X4147" s="231" t="n"/>
    </row>
    <row r="4148" ht="14.25" customHeight="1" s="192">
      <c r="W4148" s="33" t="n"/>
      <c r="X4148" s="33" t="n"/>
    </row>
    <row r="4150" ht="14.25" customHeight="1" s="192">
      <c r="W4150" s="231" t="n"/>
      <c r="X4150" s="231" t="n"/>
    </row>
    <row r="4151" ht="14.25" customHeight="1" s="192">
      <c r="W4151" s="235" t="n"/>
      <c r="X4151" s="235" t="n"/>
    </row>
    <row r="4152" ht="14.25" customHeight="1" s="192">
      <c r="W4152" s="228" t="n"/>
      <c r="X4152" s="228" t="n"/>
    </row>
    <row r="4153" ht="14.25" customHeight="1" s="192">
      <c r="W4153" s="235" t="n"/>
      <c r="X4153" s="235" t="n"/>
    </row>
    <row r="4154" ht="14.25" customHeight="1" s="192">
      <c r="W4154" s="235" t="n"/>
      <c r="X4154" s="235" t="n"/>
    </row>
    <row r="4155" ht="14.25" customHeight="1" s="192">
      <c r="W4155" s="235" t="n"/>
      <c r="X4155" s="235" t="n"/>
    </row>
    <row r="4156" ht="14.25" customHeight="1" s="192">
      <c r="W4156" s="239" t="n"/>
      <c r="X4156" s="239" t="n"/>
    </row>
    <row r="4157" ht="14.25" customHeight="1" s="192">
      <c r="W4157" s="239" t="n"/>
      <c r="X4157" s="239" t="n"/>
    </row>
    <row r="4158" ht="14.25" customHeight="1" s="192">
      <c r="W4158" s="239" t="n"/>
      <c r="X4158" s="239" t="n"/>
    </row>
    <row r="4159" ht="14.25" customHeight="1" s="192">
      <c r="W4159" s="235" t="n"/>
      <c r="X4159" s="235" t="n"/>
    </row>
    <row r="4160" ht="14.25" customHeight="1" s="192">
      <c r="W4160" s="235" t="n"/>
      <c r="X4160" s="235" t="n"/>
    </row>
    <row r="4161" ht="14.25" customHeight="1" s="192">
      <c r="W4161" s="235" t="n"/>
      <c r="X4161" s="235" t="n"/>
    </row>
    <row r="4162" ht="14.25" customHeight="1" s="192">
      <c r="W4162" s="239" t="n"/>
      <c r="X4162" s="239" t="n"/>
    </row>
    <row r="4163" ht="14.25" customHeight="1" s="192">
      <c r="W4163" s="239" t="n"/>
      <c r="X4163" s="239" t="n"/>
    </row>
    <row r="4164" ht="14.25" customHeight="1" s="192">
      <c r="W4164" s="235" t="n"/>
      <c r="X4164" s="235" t="n"/>
    </row>
    <row r="4165" ht="14.25" customHeight="1" s="192">
      <c r="W4165" s="235" t="n"/>
      <c r="X4165" s="235" t="n"/>
    </row>
    <row r="4166" ht="14.25" customHeight="1" s="192">
      <c r="W4166" s="239" t="n"/>
      <c r="X4166" s="239" t="n"/>
    </row>
    <row r="4167" ht="14.25" customHeight="1" s="192">
      <c r="W4167" s="235" t="n"/>
      <c r="X4167" s="235" t="n"/>
    </row>
    <row r="4168" ht="14.25" customHeight="1" s="192">
      <c r="W4168" s="239" t="n"/>
      <c r="X4168" s="239" t="n"/>
    </row>
    <row r="4170" ht="14.25" customHeight="1" s="192">
      <c r="W4170" s="235" t="n"/>
      <c r="X4170" s="235" t="n"/>
    </row>
    <row r="4171" ht="15" customHeight="1" s="192" thickBot="1">
      <c r="W4171" s="239" t="n"/>
      <c r="X4171" s="239" t="n"/>
    </row>
    <row r="4172" ht="15" customHeight="1" s="192" thickBot="1">
      <c r="W4172" s="45" t="n"/>
      <c r="X4172" s="45" t="n"/>
    </row>
    <row r="4173" ht="14.25" customHeight="1" s="192">
      <c r="W4173" s="228" t="n"/>
      <c r="X4173" s="228" t="n"/>
    </row>
    <row r="4174" ht="14.25" customHeight="1" s="192">
      <c r="W4174" s="228" t="n"/>
      <c r="X4174" s="228" t="n"/>
    </row>
    <row r="4175" ht="14.25" customHeight="1" s="192">
      <c r="W4175" s="231" t="n"/>
      <c r="X4175" s="231" t="n"/>
    </row>
    <row r="4176" ht="14.25" customHeight="1" s="192">
      <c r="W4176" s="33" t="n"/>
      <c r="X4176" s="33" t="n"/>
    </row>
    <row r="4177" ht="14.25" customHeight="1" s="192">
      <c r="W4177" s="231" t="n"/>
      <c r="X4177" s="231" t="n"/>
    </row>
    <row r="4178" ht="14.25" customHeight="1" s="192">
      <c r="W4178" s="33" t="n"/>
      <c r="X4178" s="33" t="n"/>
    </row>
    <row r="4180" ht="14.25" customHeight="1" s="192">
      <c r="W4180" s="231" t="n"/>
      <c r="X4180" s="231" t="n"/>
    </row>
    <row r="4181" ht="14.25" customHeight="1" s="192">
      <c r="W4181" s="235" t="n"/>
      <c r="X4181" s="235" t="n"/>
    </row>
    <row r="4182" ht="14.25" customHeight="1" s="192">
      <c r="W4182" s="228" t="n"/>
      <c r="X4182" s="228" t="n"/>
    </row>
    <row r="4183" ht="14.25" customHeight="1" s="192">
      <c r="W4183" s="235" t="n"/>
      <c r="X4183" s="235" t="n"/>
    </row>
    <row r="4184" ht="14.25" customHeight="1" s="192">
      <c r="W4184" s="235" t="n"/>
      <c r="X4184" s="235" t="n"/>
    </row>
    <row r="4185" ht="14.25" customHeight="1" s="192">
      <c r="W4185" s="235" t="n"/>
      <c r="X4185" s="235" t="n"/>
    </row>
    <row r="4186" ht="14.25" customHeight="1" s="192">
      <c r="W4186" s="239" t="n"/>
      <c r="X4186" s="239" t="n"/>
    </row>
    <row r="4187" ht="14.25" customHeight="1" s="192">
      <c r="W4187" s="239" t="n"/>
      <c r="X4187" s="239" t="n"/>
    </row>
    <row r="4188" ht="14.25" customHeight="1" s="192">
      <c r="W4188" s="239" t="n"/>
      <c r="X4188" s="239" t="n"/>
    </row>
    <row r="4189" ht="14.25" customHeight="1" s="192">
      <c r="W4189" s="235" t="n"/>
      <c r="X4189" s="235" t="n"/>
    </row>
    <row r="4190" ht="14.25" customHeight="1" s="192">
      <c r="W4190" s="235" t="n"/>
      <c r="X4190" s="235" t="n"/>
    </row>
    <row r="4191" ht="14.25" customHeight="1" s="192">
      <c r="W4191" s="235" t="n"/>
      <c r="X4191" s="235" t="n"/>
    </row>
    <row r="4192" ht="14.25" customHeight="1" s="192">
      <c r="W4192" s="239" t="n"/>
      <c r="X4192" s="239" t="n"/>
    </row>
    <row r="4193" ht="14.25" customHeight="1" s="192">
      <c r="W4193" s="239" t="n"/>
      <c r="X4193" s="239" t="n"/>
    </row>
    <row r="4194" ht="14.25" customHeight="1" s="192">
      <c r="W4194" s="235" t="n"/>
      <c r="X4194" s="235" t="n"/>
    </row>
    <row r="4195" ht="14.25" customHeight="1" s="192">
      <c r="W4195" s="235" t="n"/>
      <c r="X4195" s="235" t="n"/>
    </row>
    <row r="4196" ht="14.25" customHeight="1" s="192">
      <c r="W4196" s="239" t="n"/>
      <c r="X4196" s="239" t="n"/>
    </row>
    <row r="4197" ht="14.25" customHeight="1" s="192">
      <c r="W4197" s="235" t="n"/>
      <c r="X4197" s="235" t="n"/>
    </row>
    <row r="4198" ht="14.25" customHeight="1" s="192">
      <c r="W4198" s="239" t="n"/>
      <c r="X4198" s="239" t="n"/>
    </row>
    <row r="4200" ht="14.25" customHeight="1" s="192">
      <c r="W4200" s="235" t="n"/>
      <c r="X4200" s="235" t="n"/>
    </row>
    <row r="4201" ht="15" customHeight="1" s="192" thickBot="1">
      <c r="W4201" s="239" t="n"/>
      <c r="X4201" s="239" t="n"/>
    </row>
    <row r="4202" ht="15" customHeight="1" s="192" thickBot="1">
      <c r="W4202" s="45" t="n"/>
      <c r="X4202" s="45" t="n"/>
    </row>
    <row r="4203" ht="14.25" customHeight="1" s="192">
      <c r="W4203" s="228" t="n"/>
      <c r="X4203" s="228" t="n"/>
    </row>
    <row r="4204" ht="14.25" customHeight="1" s="192">
      <c r="W4204" s="228" t="n"/>
      <c r="X4204" s="228" t="n"/>
    </row>
    <row r="4205" ht="14.25" customHeight="1" s="192">
      <c r="W4205" s="231" t="n"/>
      <c r="X4205" s="231" t="n"/>
    </row>
    <row r="4206" ht="14.25" customHeight="1" s="192">
      <c r="W4206" s="33" t="n"/>
      <c r="X4206" s="33" t="n"/>
    </row>
    <row r="4207" ht="14.25" customHeight="1" s="192">
      <c r="W4207" s="231" t="n"/>
      <c r="X4207" s="231" t="n"/>
    </row>
    <row r="4208" ht="14.25" customHeight="1" s="192">
      <c r="W4208" s="33" t="n"/>
      <c r="X4208" s="33" t="n"/>
    </row>
    <row r="4210" ht="14.25" customHeight="1" s="192">
      <c r="W4210" s="231" t="n"/>
      <c r="X4210" s="231" t="n"/>
    </row>
    <row r="4211" ht="14.25" customHeight="1" s="192">
      <c r="W4211" s="235" t="n"/>
      <c r="X4211" s="235" t="n"/>
    </row>
    <row r="4212" ht="14.25" customHeight="1" s="192">
      <c r="W4212" s="228" t="n"/>
      <c r="X4212" s="228" t="n"/>
    </row>
    <row r="4213" ht="14.25" customHeight="1" s="192">
      <c r="W4213" s="235" t="n"/>
      <c r="X4213" s="235" t="n"/>
    </row>
    <row r="4214" ht="14.25" customHeight="1" s="192">
      <c r="W4214" s="235" t="n"/>
      <c r="X4214" s="235" t="n"/>
    </row>
    <row r="4215" ht="14.25" customHeight="1" s="192">
      <c r="W4215" s="235" t="n"/>
      <c r="X4215" s="235" t="n"/>
    </row>
    <row r="4216" ht="14.25" customHeight="1" s="192">
      <c r="W4216" s="239" t="n"/>
      <c r="X4216" s="239" t="n"/>
    </row>
    <row r="4217" ht="14.25" customHeight="1" s="192">
      <c r="W4217" s="239" t="n"/>
      <c r="X4217" s="239" t="n"/>
    </row>
    <row r="4218" ht="14.25" customHeight="1" s="192">
      <c r="W4218" s="239" t="n"/>
      <c r="X4218" s="239" t="n"/>
    </row>
    <row r="4219" ht="14.25" customHeight="1" s="192">
      <c r="W4219" s="235" t="n"/>
      <c r="X4219" s="235" t="n"/>
    </row>
    <row r="4220" ht="14.25" customHeight="1" s="192">
      <c r="W4220" s="235" t="n"/>
      <c r="X4220" s="235" t="n"/>
    </row>
    <row r="4221" ht="14.25" customHeight="1" s="192">
      <c r="W4221" s="235" t="n"/>
      <c r="X4221" s="235" t="n"/>
    </row>
    <row r="4222" ht="14.25" customHeight="1" s="192">
      <c r="W4222" s="239" t="n"/>
      <c r="X4222" s="239" t="n"/>
    </row>
    <row r="4223" ht="14.25" customHeight="1" s="192">
      <c r="W4223" s="239" t="n"/>
      <c r="X4223" s="239" t="n"/>
    </row>
    <row r="4224" ht="14.25" customHeight="1" s="192">
      <c r="W4224" s="235" t="n"/>
      <c r="X4224" s="235" t="n"/>
    </row>
    <row r="4225" ht="14.25" customHeight="1" s="192">
      <c r="W4225" s="235" t="n"/>
      <c r="X4225" s="235" t="n"/>
    </row>
    <row r="4226" ht="14.25" customHeight="1" s="192">
      <c r="W4226" s="239" t="n"/>
      <c r="X4226" s="239" t="n"/>
    </row>
    <row r="4227" ht="14.25" customHeight="1" s="192">
      <c r="W4227" s="235" t="n"/>
      <c r="X4227" s="235" t="n"/>
    </row>
    <row r="4228" ht="14.25" customHeight="1" s="192">
      <c r="W4228" s="239" t="n"/>
      <c r="X4228" s="239" t="n"/>
    </row>
    <row r="4230" ht="14.25" customHeight="1" s="192">
      <c r="W4230" s="235" t="n"/>
      <c r="X4230" s="235" t="n"/>
    </row>
    <row r="4231" ht="15" customHeight="1" s="192" thickBot="1">
      <c r="W4231" s="239" t="n"/>
      <c r="X4231" s="239" t="n"/>
    </row>
    <row r="4232" ht="15" customHeight="1" s="192" thickBot="1">
      <c r="W4232" s="45" t="n"/>
      <c r="X4232" s="45" t="n"/>
    </row>
    <row r="4233" ht="14.25" customHeight="1" s="192">
      <c r="W4233" s="228" t="n"/>
      <c r="X4233" s="228" t="n"/>
    </row>
    <row r="4234" ht="14.25" customHeight="1" s="192">
      <c r="W4234" s="228" t="n"/>
      <c r="X4234" s="228" t="n"/>
    </row>
    <row r="4235" ht="14.25" customHeight="1" s="192">
      <c r="W4235" s="231" t="n"/>
      <c r="X4235" s="231" t="n"/>
    </row>
    <row r="4236" ht="14.25" customHeight="1" s="192">
      <c r="W4236" s="33" t="n"/>
      <c r="X4236" s="33" t="n"/>
    </row>
    <row r="4237" ht="14.25" customHeight="1" s="192">
      <c r="W4237" s="231" t="n"/>
      <c r="X4237" s="231" t="n"/>
    </row>
    <row r="4238" ht="14.25" customHeight="1" s="192">
      <c r="W4238" s="33" t="n"/>
      <c r="X4238" s="33" t="n"/>
    </row>
    <row r="4240" ht="14.25" customHeight="1" s="192">
      <c r="W4240" s="231" t="n"/>
      <c r="X4240" s="231" t="n"/>
    </row>
    <row r="4241" ht="14.25" customHeight="1" s="192">
      <c r="W4241" s="235" t="n"/>
      <c r="X4241" s="235" t="n"/>
    </row>
    <row r="4242" ht="14.25" customHeight="1" s="192">
      <c r="W4242" s="228" t="n"/>
      <c r="X4242" s="228" t="n"/>
    </row>
    <row r="4243" ht="14.25" customHeight="1" s="192">
      <c r="W4243" s="235" t="n"/>
      <c r="X4243" s="235" t="n"/>
    </row>
    <row r="4244" ht="14.25" customHeight="1" s="192">
      <c r="W4244" s="235" t="n"/>
      <c r="X4244" s="235" t="n"/>
    </row>
    <row r="4245" ht="14.25" customHeight="1" s="192">
      <c r="W4245" s="235" t="n"/>
      <c r="X4245" s="235" t="n"/>
    </row>
    <row r="4246" ht="14.25" customHeight="1" s="192">
      <c r="W4246" s="239" t="n"/>
      <c r="X4246" s="239" t="n"/>
    </row>
    <row r="4247" ht="14.25" customHeight="1" s="192">
      <c r="W4247" s="239" t="n"/>
      <c r="X4247" s="239" t="n"/>
    </row>
    <row r="4248" ht="14.25" customHeight="1" s="192">
      <c r="W4248" s="239" t="n"/>
      <c r="X4248" s="239" t="n"/>
    </row>
    <row r="4249" ht="14.25" customHeight="1" s="192">
      <c r="W4249" s="235" t="n"/>
      <c r="X4249" s="235" t="n"/>
    </row>
    <row r="4250" ht="14.25" customHeight="1" s="192">
      <c r="W4250" s="235" t="n"/>
      <c r="X4250" s="235" t="n"/>
    </row>
    <row r="4251" ht="14.25" customHeight="1" s="192">
      <c r="W4251" s="235" t="n"/>
      <c r="X4251" s="235" t="n"/>
    </row>
    <row r="4252" ht="14.25" customHeight="1" s="192">
      <c r="W4252" s="239" t="n"/>
      <c r="X4252" s="239" t="n"/>
    </row>
    <row r="4253" ht="14.25" customHeight="1" s="192">
      <c r="W4253" s="239" t="n"/>
      <c r="X4253" s="239" t="n"/>
    </row>
    <row r="4254" ht="14.25" customHeight="1" s="192">
      <c r="W4254" s="235" t="n"/>
      <c r="X4254" s="235" t="n"/>
    </row>
    <row r="4255" ht="14.25" customHeight="1" s="192">
      <c r="W4255" s="235" t="n"/>
      <c r="X4255" s="235" t="n"/>
    </row>
    <row r="4256" ht="14.25" customHeight="1" s="192">
      <c r="W4256" s="239" t="n"/>
      <c r="X4256" s="239" t="n"/>
    </row>
    <row r="4257" ht="14.25" customHeight="1" s="192">
      <c r="W4257" s="235" t="n"/>
      <c r="X4257" s="235" t="n"/>
    </row>
    <row r="4258" ht="14.25" customHeight="1" s="192">
      <c r="W4258" s="239" t="n"/>
      <c r="X4258" s="239" t="n"/>
    </row>
    <row r="4260" ht="14.25" customHeight="1" s="192">
      <c r="W4260" s="235" t="n"/>
      <c r="X4260" s="235" t="n"/>
    </row>
    <row r="4261" ht="15" customHeight="1" s="192" thickBot="1">
      <c r="W4261" s="239" t="n"/>
      <c r="X4261" s="239" t="n"/>
    </row>
    <row r="4262" ht="15" customHeight="1" s="192" thickBot="1">
      <c r="W4262" s="45" t="n"/>
      <c r="X4262" s="45" t="n"/>
    </row>
    <row r="4263" ht="14.25" customHeight="1" s="192">
      <c r="W4263" s="228" t="n"/>
      <c r="X4263" s="228" t="n"/>
    </row>
    <row r="4264" ht="14.25" customHeight="1" s="192">
      <c r="W4264" s="228" t="n"/>
      <c r="X4264" s="228" t="n"/>
    </row>
    <row r="4265" ht="14.25" customHeight="1" s="192">
      <c r="W4265" s="231" t="n"/>
      <c r="X4265" s="231" t="n"/>
    </row>
    <row r="4266" ht="14.25" customHeight="1" s="192">
      <c r="W4266" s="33" t="n"/>
      <c r="X4266" s="33" t="n"/>
    </row>
    <row r="4267" ht="14.25" customHeight="1" s="192">
      <c r="W4267" s="231" t="n"/>
      <c r="X4267" s="231" t="n"/>
    </row>
    <row r="4268" ht="14.25" customHeight="1" s="192">
      <c r="W4268" s="33" t="n"/>
      <c r="X4268" s="33" t="n"/>
    </row>
    <row r="4270" ht="14.25" customHeight="1" s="192">
      <c r="W4270" s="231" t="n"/>
      <c r="X4270" s="231" t="n"/>
    </row>
    <row r="4271" ht="14.25" customHeight="1" s="192">
      <c r="W4271" s="235" t="n"/>
      <c r="X4271" s="235" t="n"/>
    </row>
    <row r="4272" ht="14.25" customHeight="1" s="192">
      <c r="W4272" s="228" t="n"/>
      <c r="X4272" s="228" t="n"/>
    </row>
    <row r="4273" ht="14.25" customHeight="1" s="192">
      <c r="W4273" s="235" t="n"/>
      <c r="X4273" s="235" t="n"/>
    </row>
    <row r="4274" ht="14.25" customHeight="1" s="192">
      <c r="W4274" s="235" t="n"/>
      <c r="X4274" s="235" t="n"/>
    </row>
    <row r="4275" ht="14.25" customHeight="1" s="192">
      <c r="W4275" s="235" t="n"/>
      <c r="X4275" s="235" t="n"/>
    </row>
    <row r="4276" ht="14.25" customHeight="1" s="192">
      <c r="W4276" s="239" t="n"/>
      <c r="X4276" s="239" t="n"/>
    </row>
    <row r="4277" ht="14.25" customHeight="1" s="192">
      <c r="W4277" s="239" t="n"/>
      <c r="X4277" s="239" t="n"/>
    </row>
    <row r="4278" ht="14.25" customHeight="1" s="192">
      <c r="W4278" s="239" t="n"/>
      <c r="X4278" s="239" t="n"/>
    </row>
    <row r="4279" ht="14.25" customHeight="1" s="192">
      <c r="W4279" s="235" t="n"/>
      <c r="X4279" s="235" t="n"/>
    </row>
    <row r="4280" ht="14.25" customHeight="1" s="192">
      <c r="W4280" s="235" t="n"/>
      <c r="X4280" s="235" t="n"/>
    </row>
    <row r="4281" ht="14.25" customHeight="1" s="192">
      <c r="W4281" s="235" t="n"/>
      <c r="X4281" s="235" t="n"/>
    </row>
    <row r="4282" ht="14.25" customHeight="1" s="192">
      <c r="W4282" s="239" t="n"/>
      <c r="X4282" s="239" t="n"/>
    </row>
    <row r="4283" ht="14.25" customHeight="1" s="192">
      <c r="W4283" s="239" t="n"/>
      <c r="X4283" s="239" t="n"/>
    </row>
    <row r="4284" ht="14.25" customHeight="1" s="192">
      <c r="W4284" s="235" t="n"/>
      <c r="X4284" s="235" t="n"/>
    </row>
    <row r="4285" ht="14.25" customHeight="1" s="192">
      <c r="W4285" s="235" t="n"/>
      <c r="X4285" s="235" t="n"/>
    </row>
    <row r="4286" ht="14.25" customHeight="1" s="192">
      <c r="W4286" s="239" t="n"/>
      <c r="X4286" s="239" t="n"/>
    </row>
    <row r="4287" ht="14.25" customHeight="1" s="192">
      <c r="W4287" s="235" t="n"/>
      <c r="X4287" s="235" t="n"/>
    </row>
    <row r="4288" ht="14.25" customHeight="1" s="192">
      <c r="W4288" s="239" t="n"/>
      <c r="X4288" s="239" t="n"/>
    </row>
    <row r="4290" ht="14.25" customHeight="1" s="192">
      <c r="W4290" s="235" t="n"/>
      <c r="X4290" s="235" t="n"/>
    </row>
    <row r="4291" ht="15" customHeight="1" s="192" thickBot="1">
      <c r="W4291" s="239" t="n"/>
      <c r="X4291" s="239" t="n"/>
    </row>
    <row r="4292" ht="15" customHeight="1" s="192" thickBot="1">
      <c r="W4292" s="45" t="n"/>
      <c r="X4292" s="45" t="n"/>
    </row>
    <row r="4293" ht="14.25" customHeight="1" s="192">
      <c r="W4293" s="228" t="n"/>
      <c r="X4293" s="228" t="n"/>
    </row>
    <row r="4294" ht="14.25" customHeight="1" s="192">
      <c r="W4294" s="228" t="n"/>
      <c r="X4294" s="228" t="n"/>
    </row>
    <row r="4295" ht="14.25" customHeight="1" s="192">
      <c r="W4295" s="231" t="n"/>
      <c r="X4295" s="231" t="n"/>
    </row>
    <row r="4296" ht="14.25" customHeight="1" s="192">
      <c r="W4296" s="33" t="n"/>
      <c r="X4296" s="33" t="n"/>
    </row>
    <row r="4297" ht="14.25" customHeight="1" s="192">
      <c r="W4297" s="231" t="n"/>
      <c r="X4297" s="231" t="n"/>
    </row>
    <row r="4298" ht="14.25" customHeight="1" s="192">
      <c r="W4298" s="33" t="n"/>
      <c r="X4298" s="33" t="n"/>
    </row>
    <row r="4300" ht="14.25" customHeight="1" s="192">
      <c r="W4300" s="231" t="n"/>
      <c r="X4300" s="231" t="n"/>
    </row>
    <row r="4301" ht="14.25" customHeight="1" s="192">
      <c r="W4301" s="235" t="n"/>
      <c r="X4301" s="235" t="n"/>
    </row>
    <row r="4302" ht="14.25" customHeight="1" s="192">
      <c r="W4302" s="228" t="n"/>
      <c r="X4302" s="228" t="n"/>
    </row>
    <row r="4303" ht="14.25" customHeight="1" s="192">
      <c r="W4303" s="235" t="n"/>
      <c r="X4303" s="235" t="n"/>
    </row>
    <row r="4304" ht="14.25" customHeight="1" s="192">
      <c r="W4304" s="235" t="n"/>
      <c r="X4304" s="235" t="n"/>
    </row>
    <row r="4305" ht="14.25" customHeight="1" s="192">
      <c r="W4305" s="235" t="n"/>
      <c r="X4305" s="235" t="n"/>
    </row>
    <row r="4306" ht="14.25" customHeight="1" s="192">
      <c r="W4306" s="239" t="n"/>
      <c r="X4306" s="239" t="n"/>
    </row>
    <row r="4307" ht="14.25" customHeight="1" s="192">
      <c r="W4307" s="239" t="n"/>
      <c r="X4307" s="239" t="n"/>
    </row>
    <row r="4308" ht="14.25" customHeight="1" s="192">
      <c r="W4308" s="239" t="n"/>
      <c r="X4308" s="239" t="n"/>
    </row>
    <row r="4309" ht="14.25" customHeight="1" s="192">
      <c r="W4309" s="235" t="n"/>
      <c r="X4309" s="235" t="n"/>
    </row>
    <row r="4310" ht="14.25" customHeight="1" s="192">
      <c r="W4310" s="235" t="n"/>
      <c r="X4310" s="235" t="n"/>
    </row>
    <row r="4311" ht="14.25" customHeight="1" s="192">
      <c r="W4311" s="235" t="n"/>
      <c r="X4311" s="235" t="n"/>
    </row>
    <row r="4312" ht="14.25" customHeight="1" s="192">
      <c r="W4312" s="239" t="n"/>
      <c r="X4312" s="239" t="n"/>
    </row>
    <row r="4313" ht="14.25" customHeight="1" s="192">
      <c r="W4313" s="239" t="n"/>
      <c r="X4313" s="239" t="n"/>
    </row>
    <row r="4314" ht="14.25" customHeight="1" s="192">
      <c r="W4314" s="235" t="n"/>
      <c r="X4314" s="235" t="n"/>
    </row>
    <row r="4315" ht="14.25" customHeight="1" s="192">
      <c r="W4315" s="235" t="n"/>
      <c r="X4315" s="235" t="n"/>
    </row>
    <row r="4316" ht="14.25" customHeight="1" s="192">
      <c r="W4316" s="239" t="n"/>
      <c r="X4316" s="239" t="n"/>
    </row>
    <row r="4317" ht="14.25" customHeight="1" s="192">
      <c r="W4317" s="235" t="n"/>
      <c r="X4317" s="235" t="n"/>
    </row>
    <row r="4318" ht="14.25" customHeight="1" s="192">
      <c r="W4318" s="239" t="n"/>
      <c r="X4318" s="239" t="n"/>
    </row>
    <row r="4320" ht="14.25" customHeight="1" s="192">
      <c r="W4320" s="235" t="n"/>
      <c r="X4320" s="235" t="n"/>
    </row>
    <row r="4321" ht="15" customHeight="1" s="192" thickBot="1">
      <c r="W4321" s="239" t="n"/>
      <c r="X4321" s="239" t="n"/>
    </row>
    <row r="4322" ht="15" customHeight="1" s="192" thickBot="1">
      <c r="W4322" s="45" t="n"/>
      <c r="X4322" s="45" t="n"/>
    </row>
    <row r="4323" ht="14.25" customHeight="1" s="192">
      <c r="W4323" s="228" t="n"/>
      <c r="X4323" s="228" t="n"/>
    </row>
    <row r="4324" ht="14.25" customHeight="1" s="192">
      <c r="W4324" s="228" t="n"/>
      <c r="X4324" s="228" t="n"/>
    </row>
    <row r="4325" ht="14.25" customHeight="1" s="192">
      <c r="W4325" s="231" t="n"/>
      <c r="X4325" s="231" t="n"/>
    </row>
    <row r="4326" ht="14.25" customHeight="1" s="192">
      <c r="W4326" s="33" t="n"/>
      <c r="X4326" s="33" t="n"/>
    </row>
    <row r="4327" ht="14.25" customHeight="1" s="192">
      <c r="W4327" s="231" t="n"/>
      <c r="X4327" s="231" t="n"/>
    </row>
    <row r="4328" ht="14.25" customHeight="1" s="192">
      <c r="W4328" s="33" t="n"/>
      <c r="X4328" s="33" t="n"/>
    </row>
    <row r="4330" ht="14.25" customHeight="1" s="192">
      <c r="W4330" s="231" t="n"/>
      <c r="X4330" s="231" t="n"/>
    </row>
    <row r="4331" ht="14.25" customHeight="1" s="192">
      <c r="W4331" s="235" t="n"/>
      <c r="X4331" s="235" t="n"/>
    </row>
    <row r="4332" ht="14.25" customHeight="1" s="192">
      <c r="W4332" s="228" t="n"/>
      <c r="X4332" s="228" t="n"/>
    </row>
    <row r="4333" ht="14.25" customHeight="1" s="192">
      <c r="W4333" s="235" t="n"/>
      <c r="X4333" s="235" t="n"/>
    </row>
    <row r="4334" ht="14.25" customHeight="1" s="192">
      <c r="W4334" s="235" t="n"/>
      <c r="X4334" s="235" t="n"/>
    </row>
    <row r="4335" ht="14.25" customHeight="1" s="192">
      <c r="W4335" s="235" t="n"/>
      <c r="X4335" s="235" t="n"/>
    </row>
    <row r="4336" ht="14.25" customHeight="1" s="192">
      <c r="W4336" s="239" t="n"/>
      <c r="X4336" s="239" t="n"/>
    </row>
    <row r="4337" ht="14.25" customHeight="1" s="192">
      <c r="W4337" s="239" t="n"/>
      <c r="X4337" s="239" t="n"/>
    </row>
    <row r="4338" ht="14.25" customHeight="1" s="192">
      <c r="W4338" s="239" t="n"/>
      <c r="X4338" s="239" t="n"/>
    </row>
    <row r="4339" ht="14.25" customHeight="1" s="192">
      <c r="W4339" s="235" t="n"/>
      <c r="X4339" s="235" t="n"/>
    </row>
    <row r="4340" ht="14.25" customHeight="1" s="192">
      <c r="W4340" s="235" t="n"/>
      <c r="X4340" s="235" t="n"/>
    </row>
    <row r="4341" ht="14.25" customHeight="1" s="192">
      <c r="W4341" s="235" t="n"/>
      <c r="X4341" s="235" t="n"/>
    </row>
    <row r="4342" ht="14.25" customHeight="1" s="192">
      <c r="W4342" s="239" t="n"/>
      <c r="X4342" s="239" t="n"/>
    </row>
    <row r="4343" ht="14.25" customHeight="1" s="192">
      <c r="W4343" s="239" t="n"/>
      <c r="X4343" s="239" t="n"/>
    </row>
    <row r="4344" ht="14.25" customHeight="1" s="192">
      <c r="W4344" s="235" t="n"/>
      <c r="X4344" s="235" t="n"/>
    </row>
    <row r="4345" ht="14.25" customHeight="1" s="192">
      <c r="W4345" s="235" t="n"/>
      <c r="X4345" s="235" t="n"/>
    </row>
    <row r="4346" ht="14.25" customHeight="1" s="192">
      <c r="W4346" s="239" t="n"/>
      <c r="X4346" s="239" t="n"/>
    </row>
    <row r="4347" ht="14.25" customHeight="1" s="192">
      <c r="W4347" s="235" t="n"/>
      <c r="X4347" s="235" t="n"/>
    </row>
    <row r="4348" ht="14.25" customHeight="1" s="192">
      <c r="W4348" s="239" t="n"/>
      <c r="X4348" s="239" t="n"/>
    </row>
    <row r="4350" ht="14.25" customHeight="1" s="192">
      <c r="W4350" s="235" t="n"/>
      <c r="X4350" s="235" t="n"/>
    </row>
    <row r="4351" ht="15" customHeight="1" s="192" thickBot="1">
      <c r="W4351" s="239" t="n"/>
      <c r="X4351" s="239" t="n"/>
    </row>
    <row r="4352" ht="15" customHeight="1" s="192" thickBot="1">
      <c r="W4352" s="45" t="n"/>
      <c r="X4352" s="45" t="n"/>
    </row>
    <row r="4353" ht="14.25" customHeight="1" s="192">
      <c r="W4353" s="228" t="n"/>
      <c r="X4353" s="228" t="n"/>
    </row>
    <row r="4354" ht="14.25" customHeight="1" s="192">
      <c r="W4354" s="228" t="n"/>
      <c r="X4354" s="228" t="n"/>
    </row>
    <row r="4355" ht="14.25" customHeight="1" s="192">
      <c r="W4355" s="231" t="n"/>
      <c r="X4355" s="231" t="n"/>
    </row>
    <row r="4356" ht="14.25" customHeight="1" s="192">
      <c r="W4356" s="33" t="n"/>
      <c r="X4356" s="33" t="n"/>
    </row>
    <row r="4357" ht="14.25" customHeight="1" s="192">
      <c r="W4357" s="231" t="n"/>
      <c r="X4357" s="231" t="n"/>
    </row>
    <row r="4358" ht="14.25" customHeight="1" s="192">
      <c r="W4358" s="33" t="n"/>
      <c r="X4358" s="33" t="n"/>
    </row>
    <row r="4360" ht="14.25" customHeight="1" s="192">
      <c r="W4360" s="231" t="n"/>
      <c r="X4360" s="231" t="n"/>
    </row>
    <row r="4361" ht="14.25" customHeight="1" s="192">
      <c r="W4361" s="235" t="n"/>
      <c r="X4361" s="235" t="n"/>
    </row>
    <row r="4362" ht="14.25" customHeight="1" s="192">
      <c r="W4362" s="228" t="n"/>
      <c r="X4362" s="228" t="n"/>
    </row>
    <row r="4363" ht="14.25" customHeight="1" s="192">
      <c r="W4363" s="235" t="n"/>
      <c r="X4363" s="235" t="n"/>
    </row>
    <row r="4364" ht="14.25" customHeight="1" s="192">
      <c r="W4364" s="235" t="n"/>
      <c r="X4364" s="235" t="n"/>
    </row>
    <row r="4365" ht="14.25" customHeight="1" s="192">
      <c r="W4365" s="235" t="n"/>
      <c r="X4365" s="235" t="n"/>
    </row>
    <row r="4366" ht="14.25" customHeight="1" s="192">
      <c r="W4366" s="239" t="n"/>
      <c r="X4366" s="239" t="n"/>
    </row>
    <row r="4367" ht="14.25" customHeight="1" s="192">
      <c r="W4367" s="239" t="n"/>
      <c r="X4367" s="239" t="n"/>
    </row>
    <row r="4368" ht="14.25" customHeight="1" s="192">
      <c r="W4368" s="239" t="n"/>
      <c r="X4368" s="239" t="n"/>
    </row>
    <row r="4369" ht="14.25" customHeight="1" s="192">
      <c r="W4369" s="235" t="n"/>
      <c r="X4369" s="235" t="n"/>
    </row>
    <row r="4370" ht="14.25" customHeight="1" s="192">
      <c r="W4370" s="235" t="n"/>
      <c r="X4370" s="235" t="n"/>
    </row>
    <row r="4371" ht="14.25" customHeight="1" s="192">
      <c r="W4371" s="235" t="n"/>
      <c r="X4371" s="235" t="n"/>
    </row>
    <row r="4372" ht="14.25" customHeight="1" s="192">
      <c r="W4372" s="239" t="n"/>
      <c r="X4372" s="239" t="n"/>
    </row>
    <row r="4373" ht="14.25" customHeight="1" s="192">
      <c r="W4373" s="239" t="n"/>
      <c r="X4373" s="239" t="n"/>
    </row>
    <row r="4374" ht="14.25" customHeight="1" s="192">
      <c r="W4374" s="235" t="n"/>
      <c r="X4374" s="235" t="n"/>
    </row>
    <row r="4375" ht="14.25" customHeight="1" s="192">
      <c r="W4375" s="235" t="n"/>
      <c r="X4375" s="235" t="n"/>
    </row>
    <row r="4376" ht="14.25" customHeight="1" s="192">
      <c r="W4376" s="239" t="n"/>
      <c r="X4376" s="239" t="n"/>
    </row>
    <row r="4377" ht="14.25" customHeight="1" s="192">
      <c r="W4377" s="235" t="n"/>
      <c r="X4377" s="235" t="n"/>
    </row>
    <row r="4378" ht="14.25" customHeight="1" s="192">
      <c r="W4378" s="239" t="n"/>
      <c r="X4378" s="239" t="n"/>
    </row>
    <row r="4380" ht="14.25" customHeight="1" s="192">
      <c r="W4380" s="235" t="n"/>
      <c r="X4380" s="235" t="n"/>
    </row>
    <row r="4381" ht="15" customHeight="1" s="192" thickBot="1">
      <c r="W4381" s="239" t="n"/>
      <c r="X4381" s="239" t="n"/>
    </row>
    <row r="4382" ht="15" customHeight="1" s="192" thickBot="1">
      <c r="W4382" s="45" t="n"/>
      <c r="X4382" s="45" t="n"/>
    </row>
    <row r="4383" ht="14.25" customHeight="1" s="192">
      <c r="W4383" s="228" t="n"/>
      <c r="X4383" s="228" t="n"/>
    </row>
    <row r="4384" ht="14.25" customHeight="1" s="192">
      <c r="W4384" s="228" t="n"/>
      <c r="X4384" s="228" t="n"/>
    </row>
    <row r="4385" ht="14.25" customHeight="1" s="192">
      <c r="W4385" s="231" t="n"/>
      <c r="X4385" s="231" t="n"/>
    </row>
    <row r="4386" ht="14.25" customHeight="1" s="192">
      <c r="W4386" s="33" t="n"/>
      <c r="X4386" s="33" t="n"/>
    </row>
    <row r="4387" ht="14.25" customHeight="1" s="192">
      <c r="W4387" s="231" t="n"/>
      <c r="X4387" s="231" t="n"/>
    </row>
    <row r="4388" ht="14.25" customHeight="1" s="192">
      <c r="W4388" s="33" t="n"/>
      <c r="X4388" s="33" t="n"/>
    </row>
    <row r="4390" ht="14.25" customHeight="1" s="192">
      <c r="W4390" s="231" t="n"/>
      <c r="X4390" s="231" t="n"/>
    </row>
    <row r="4391" ht="14.25" customHeight="1" s="192">
      <c r="W4391" s="235" t="n"/>
      <c r="X4391" s="235" t="n"/>
    </row>
    <row r="4392" ht="14.25" customHeight="1" s="192">
      <c r="W4392" s="228" t="n"/>
      <c r="X4392" s="228" t="n"/>
    </row>
    <row r="4393" ht="14.25" customHeight="1" s="192">
      <c r="W4393" s="235" t="n"/>
      <c r="X4393" s="235" t="n"/>
    </row>
    <row r="4394" ht="14.25" customHeight="1" s="192">
      <c r="W4394" s="235" t="n"/>
      <c r="X4394" s="235" t="n"/>
    </row>
    <row r="4395" ht="14.25" customHeight="1" s="192">
      <c r="W4395" s="235" t="n"/>
      <c r="X4395" s="235" t="n"/>
    </row>
    <row r="4396" ht="14.25" customHeight="1" s="192">
      <c r="W4396" s="239" t="n"/>
      <c r="X4396" s="239" t="n"/>
    </row>
    <row r="4397" ht="14.25" customHeight="1" s="192">
      <c r="W4397" s="239" t="n"/>
      <c r="X4397" s="239" t="n"/>
    </row>
    <row r="4398" ht="14.25" customHeight="1" s="192">
      <c r="W4398" s="239" t="n"/>
      <c r="X4398" s="239" t="n"/>
    </row>
    <row r="4399" ht="14.25" customHeight="1" s="192">
      <c r="W4399" s="235" t="n"/>
      <c r="X4399" s="235" t="n"/>
    </row>
    <row r="4400" ht="14.25" customHeight="1" s="192">
      <c r="W4400" s="235" t="n"/>
      <c r="X4400" s="235" t="n"/>
    </row>
    <row r="4401" ht="14.25" customHeight="1" s="192">
      <c r="W4401" s="235" t="n"/>
      <c r="X4401" s="235" t="n"/>
    </row>
    <row r="4402" ht="14.25" customHeight="1" s="192">
      <c r="W4402" s="239" t="n"/>
      <c r="X4402" s="239" t="n"/>
    </row>
    <row r="4403" ht="14.25" customHeight="1" s="192">
      <c r="W4403" s="239" t="n"/>
      <c r="X4403" s="239" t="n"/>
    </row>
    <row r="4404" ht="14.25" customHeight="1" s="192">
      <c r="W4404" s="235" t="n"/>
      <c r="X4404" s="235" t="n"/>
    </row>
    <row r="4405" ht="14.25" customHeight="1" s="192">
      <c r="W4405" s="235" t="n"/>
      <c r="X4405" s="235" t="n"/>
    </row>
    <row r="4406" ht="14.25" customHeight="1" s="192">
      <c r="W4406" s="239" t="n"/>
      <c r="X4406" s="239" t="n"/>
    </row>
    <row r="4407" ht="14.25" customHeight="1" s="192">
      <c r="W4407" s="235" t="n"/>
      <c r="X4407" s="235" t="n"/>
    </row>
    <row r="4408" ht="14.25" customHeight="1" s="192">
      <c r="W4408" s="239" t="n"/>
      <c r="X4408" s="239" t="n"/>
    </row>
    <row r="4410" ht="14.25" customHeight="1" s="192">
      <c r="W4410" s="235" t="n"/>
      <c r="X4410" s="235" t="n"/>
    </row>
    <row r="4411" ht="15" customHeight="1" s="192" thickBot="1">
      <c r="W4411" s="239" t="n"/>
      <c r="X4411" s="239" t="n"/>
    </row>
    <row r="4412" ht="15" customHeight="1" s="192" thickBot="1">
      <c r="W4412" s="45" t="n"/>
      <c r="X4412" s="45" t="n"/>
    </row>
    <row r="4413" ht="14.25" customHeight="1" s="192">
      <c r="W4413" s="228" t="n"/>
      <c r="X4413" s="228" t="n"/>
    </row>
    <row r="4414" ht="14.25" customHeight="1" s="192">
      <c r="W4414" s="228" t="n"/>
      <c r="X4414" s="228" t="n"/>
    </row>
    <row r="4415" ht="14.25" customHeight="1" s="192">
      <c r="W4415" s="231" t="n"/>
      <c r="X4415" s="231" t="n"/>
    </row>
    <row r="4416" ht="14.25" customHeight="1" s="192">
      <c r="W4416" s="33" t="n"/>
      <c r="X4416" s="33" t="n"/>
    </row>
    <row r="4417" ht="14.25" customHeight="1" s="192">
      <c r="W4417" s="231" t="n"/>
      <c r="X4417" s="231" t="n"/>
    </row>
    <row r="4418" ht="14.25" customHeight="1" s="192">
      <c r="W4418" s="33" t="n"/>
      <c r="X4418" s="33" t="n"/>
    </row>
    <row r="4420" ht="14.25" customHeight="1" s="192">
      <c r="W4420" s="231" t="n"/>
      <c r="X4420" s="231" t="n"/>
    </row>
    <row r="4421" ht="14.25" customHeight="1" s="192">
      <c r="W4421" s="235" t="n"/>
      <c r="X4421" s="235" t="n"/>
    </row>
    <row r="4422" ht="14.25" customHeight="1" s="192">
      <c r="W4422" s="228" t="n"/>
      <c r="X4422" s="228" t="n"/>
    </row>
    <row r="4423" ht="14.25" customHeight="1" s="192">
      <c r="W4423" s="235" t="n"/>
      <c r="X4423" s="235" t="n"/>
    </row>
    <row r="4424" ht="14.25" customHeight="1" s="192">
      <c r="W4424" s="235" t="n"/>
      <c r="X4424" s="235" t="n"/>
    </row>
    <row r="4425" ht="14.25" customHeight="1" s="192">
      <c r="W4425" s="235" t="n"/>
      <c r="X4425" s="235" t="n"/>
    </row>
    <row r="4426" ht="14.25" customHeight="1" s="192">
      <c r="W4426" s="239" t="n"/>
      <c r="X4426" s="239" t="n"/>
    </row>
    <row r="4427" ht="14.25" customHeight="1" s="192">
      <c r="W4427" s="239" t="n"/>
      <c r="X4427" s="239" t="n"/>
    </row>
    <row r="4428" ht="14.25" customHeight="1" s="192">
      <c r="W4428" s="239" t="n"/>
      <c r="X4428" s="239" t="n"/>
    </row>
    <row r="4429" ht="14.25" customHeight="1" s="192">
      <c r="W4429" s="235" t="n"/>
      <c r="X4429" s="235" t="n"/>
    </row>
    <row r="4430" ht="14.25" customHeight="1" s="192">
      <c r="W4430" s="235" t="n"/>
      <c r="X4430" s="235" t="n"/>
    </row>
    <row r="4431" ht="14.25" customHeight="1" s="192">
      <c r="W4431" s="235" t="n"/>
      <c r="X4431" s="235" t="n"/>
    </row>
    <row r="4432" ht="14.25" customHeight="1" s="192">
      <c r="W4432" s="239" t="n"/>
      <c r="X4432" s="239" t="n"/>
    </row>
    <row r="4433" ht="14.25" customHeight="1" s="192">
      <c r="W4433" s="239" t="n"/>
      <c r="X4433" s="239" t="n"/>
    </row>
    <row r="4434" ht="14.25" customHeight="1" s="192">
      <c r="W4434" s="235" t="n"/>
      <c r="X4434" s="235" t="n"/>
    </row>
    <row r="4435" ht="14.25" customHeight="1" s="192">
      <c r="W4435" s="235" t="n"/>
      <c r="X4435" s="235" t="n"/>
    </row>
    <row r="4436" ht="14.25" customHeight="1" s="192">
      <c r="W4436" s="239" t="n"/>
      <c r="X4436" s="239" t="n"/>
    </row>
    <row r="4437" ht="14.25" customHeight="1" s="192">
      <c r="W4437" s="235" t="n"/>
      <c r="X4437" s="235" t="n"/>
    </row>
    <row r="4438" ht="14.25" customHeight="1" s="192">
      <c r="W4438" s="239" t="n"/>
      <c r="X4438" s="239" t="n"/>
    </row>
    <row r="4440" ht="14.25" customHeight="1" s="192">
      <c r="W4440" s="235" t="n"/>
      <c r="X4440" s="235" t="n"/>
    </row>
    <row r="4441" ht="15" customHeight="1" s="192" thickBot="1">
      <c r="W4441" s="239" t="n"/>
      <c r="X4441" s="239" t="n"/>
    </row>
    <row r="4442" ht="15" customHeight="1" s="192" thickBot="1">
      <c r="W4442" s="45" t="n"/>
      <c r="X4442" s="45" t="n"/>
    </row>
    <row r="4443" ht="14.25" customHeight="1" s="192">
      <c r="W4443" s="228" t="n"/>
      <c r="X4443" s="228" t="n"/>
    </row>
    <row r="4444" ht="14.25" customHeight="1" s="192">
      <c r="W4444" s="228" t="n"/>
      <c r="X4444" s="228" t="n"/>
    </row>
    <row r="4445" ht="14.25" customHeight="1" s="192">
      <c r="W4445" s="231" t="n"/>
      <c r="X4445" s="231" t="n"/>
    </row>
    <row r="4446" ht="14.25" customHeight="1" s="192">
      <c r="W4446" s="33" t="n"/>
      <c r="X4446" s="33" t="n"/>
    </row>
    <row r="4447" ht="14.25" customHeight="1" s="192">
      <c r="W4447" s="231" t="n"/>
      <c r="X4447" s="231" t="n"/>
    </row>
    <row r="4448" ht="14.25" customHeight="1" s="192">
      <c r="W4448" s="33" t="n"/>
      <c r="X4448" s="33" t="n"/>
    </row>
    <row r="4450" ht="14.25" customHeight="1" s="192">
      <c r="W4450" s="231" t="n"/>
      <c r="X4450" s="231" t="n"/>
    </row>
    <row r="4451" ht="14.25" customHeight="1" s="192">
      <c r="W4451" s="235" t="n"/>
      <c r="X4451" s="235" t="n"/>
    </row>
    <row r="4452" ht="14.25" customHeight="1" s="192">
      <c r="W4452" s="228" t="n"/>
      <c r="X4452" s="228" t="n"/>
    </row>
    <row r="4453" ht="14.25" customHeight="1" s="192">
      <c r="W4453" s="235" t="n"/>
      <c r="X4453" s="235" t="n"/>
    </row>
    <row r="4454" ht="14.25" customHeight="1" s="192">
      <c r="W4454" s="235" t="n"/>
      <c r="X4454" s="235" t="n"/>
    </row>
    <row r="4455" ht="14.25" customHeight="1" s="192">
      <c r="W4455" s="235" t="n"/>
      <c r="X4455" s="235" t="n"/>
    </row>
    <row r="4456" ht="14.25" customHeight="1" s="192">
      <c r="W4456" s="239" t="n"/>
      <c r="X4456" s="239" t="n"/>
    </row>
    <row r="4457" ht="14.25" customHeight="1" s="192">
      <c r="W4457" s="239" t="n"/>
      <c r="X4457" s="239" t="n"/>
    </row>
    <row r="4458" ht="14.25" customHeight="1" s="192">
      <c r="W4458" s="239" t="n"/>
      <c r="X4458" s="239" t="n"/>
    </row>
    <row r="4459" ht="14.25" customHeight="1" s="192">
      <c r="W4459" s="235" t="n"/>
      <c r="X4459" s="235" t="n"/>
    </row>
    <row r="4460" ht="14.25" customHeight="1" s="192">
      <c r="W4460" s="235" t="n"/>
      <c r="X4460" s="235" t="n"/>
    </row>
    <row r="4461" ht="14.25" customHeight="1" s="192">
      <c r="W4461" s="235" t="n"/>
      <c r="X4461" s="235" t="n"/>
    </row>
    <row r="4462" ht="14.25" customHeight="1" s="192">
      <c r="W4462" s="239" t="n"/>
      <c r="X4462" s="239" t="n"/>
    </row>
    <row r="4463" ht="14.25" customHeight="1" s="192">
      <c r="W4463" s="239" t="n"/>
      <c r="X4463" s="239" t="n"/>
    </row>
    <row r="4464" ht="14.25" customHeight="1" s="192">
      <c r="W4464" s="235" t="n"/>
      <c r="X4464" s="235" t="n"/>
    </row>
    <row r="4465" ht="14.25" customHeight="1" s="192">
      <c r="W4465" s="235" t="n"/>
      <c r="X4465" s="235" t="n"/>
    </row>
    <row r="4466" ht="14.25" customHeight="1" s="192">
      <c r="W4466" s="239" t="n"/>
      <c r="X4466" s="239" t="n"/>
    </row>
    <row r="4467" ht="14.25" customHeight="1" s="192">
      <c r="W4467" s="235" t="n"/>
      <c r="X4467" s="235" t="n"/>
    </row>
    <row r="4468" ht="14.25" customHeight="1" s="192">
      <c r="W4468" s="239" t="n"/>
      <c r="X4468" s="239" t="n"/>
    </row>
    <row r="4470" ht="14.25" customHeight="1" s="192">
      <c r="W4470" s="235" t="n"/>
      <c r="X4470" s="235" t="n"/>
    </row>
    <row r="4471" ht="15" customHeight="1" s="192" thickBot="1">
      <c r="W4471" s="239" t="n"/>
      <c r="X4471" s="239" t="n"/>
    </row>
    <row r="4472" ht="15" customHeight="1" s="192" thickBot="1">
      <c r="W4472" s="45" t="n"/>
      <c r="X4472" s="45" t="n"/>
    </row>
    <row r="4473" ht="14.25" customHeight="1" s="192">
      <c r="W4473" s="228" t="n"/>
      <c r="X4473" s="228" t="n"/>
    </row>
    <row r="4474" ht="14.25" customHeight="1" s="192">
      <c r="W4474" s="228" t="n"/>
      <c r="X4474" s="228" t="n"/>
    </row>
    <row r="4475" ht="14.25" customHeight="1" s="192">
      <c r="W4475" s="231" t="n"/>
      <c r="X4475" s="231" t="n"/>
    </row>
    <row r="4476" ht="14.25" customHeight="1" s="192">
      <c r="W4476" s="33" t="n"/>
      <c r="X4476" s="33" t="n"/>
    </row>
    <row r="4477" ht="14.25" customHeight="1" s="192">
      <c r="W4477" s="231" t="n"/>
      <c r="X4477" s="231" t="n"/>
    </row>
    <row r="4478" ht="14.25" customHeight="1" s="192">
      <c r="W4478" s="33" t="n"/>
      <c r="X4478" s="33" t="n"/>
    </row>
    <row r="4480" ht="14.25" customHeight="1" s="192">
      <c r="W4480" s="231" t="n"/>
      <c r="X4480" s="231" t="n"/>
    </row>
    <row r="4481" ht="14.25" customHeight="1" s="192">
      <c r="W4481" s="235" t="n"/>
      <c r="X4481" s="235" t="n"/>
    </row>
    <row r="4482" ht="14.25" customHeight="1" s="192">
      <c r="W4482" s="228" t="n"/>
      <c r="X4482" s="228" t="n"/>
    </row>
    <row r="4483" ht="14.25" customHeight="1" s="192">
      <c r="W4483" s="235" t="n"/>
      <c r="X4483" s="235" t="n"/>
    </row>
    <row r="4484" ht="14.25" customHeight="1" s="192">
      <c r="W4484" s="235" t="n"/>
      <c r="X4484" s="235" t="n"/>
    </row>
    <row r="4485" ht="14.25" customHeight="1" s="192">
      <c r="W4485" s="235" t="n"/>
      <c r="X4485" s="235" t="n"/>
    </row>
    <row r="4486" ht="14.25" customHeight="1" s="192">
      <c r="W4486" s="239" t="n"/>
      <c r="X4486" s="239" t="n"/>
    </row>
    <row r="4487" ht="14.25" customHeight="1" s="192">
      <c r="W4487" s="239" t="n"/>
      <c r="X4487" s="239" t="n"/>
    </row>
    <row r="4488" ht="14.25" customHeight="1" s="192">
      <c r="W4488" s="239" t="n"/>
      <c r="X4488" s="239" t="n"/>
    </row>
    <row r="4489" ht="14.25" customHeight="1" s="192">
      <c r="W4489" s="235" t="n"/>
      <c r="X4489" s="235" t="n"/>
    </row>
    <row r="4490" ht="14.25" customHeight="1" s="192">
      <c r="W4490" s="235" t="n"/>
      <c r="X4490" s="235" t="n"/>
    </row>
    <row r="4491" ht="14.25" customHeight="1" s="192">
      <c r="W4491" s="235" t="n"/>
      <c r="X4491" s="235" t="n"/>
    </row>
    <row r="4492" ht="14.25" customHeight="1" s="192">
      <c r="W4492" s="239" t="n"/>
      <c r="X4492" s="239" t="n"/>
    </row>
    <row r="4493" ht="14.25" customHeight="1" s="192">
      <c r="W4493" s="239" t="n"/>
      <c r="X4493" s="239" t="n"/>
    </row>
    <row r="4494" ht="14.25" customHeight="1" s="192">
      <c r="W4494" s="235" t="n"/>
      <c r="X4494" s="235" t="n"/>
    </row>
    <row r="4495" ht="14.25" customHeight="1" s="192">
      <c r="W4495" s="235" t="n"/>
      <c r="X4495" s="235" t="n"/>
    </row>
    <row r="4496" ht="14.25" customHeight="1" s="192">
      <c r="W4496" s="239" t="n"/>
      <c r="X4496" s="239" t="n"/>
    </row>
    <row r="4497" ht="14.25" customHeight="1" s="192">
      <c r="W4497" s="235" t="n"/>
      <c r="X4497" s="235" t="n"/>
    </row>
    <row r="4498" ht="14.25" customHeight="1" s="192">
      <c r="W4498" s="239" t="n"/>
      <c r="X4498" s="239" t="n"/>
    </row>
    <row r="4500" ht="14.25" customHeight="1" s="192">
      <c r="W4500" s="235" t="n"/>
      <c r="X4500" s="235" t="n"/>
    </row>
    <row r="4501" ht="15" customHeight="1" s="192" thickBot="1">
      <c r="W4501" s="239" t="n"/>
      <c r="X4501" s="239" t="n"/>
    </row>
    <row r="4502" ht="15" customHeight="1" s="192" thickBot="1">
      <c r="W4502" s="45" t="n"/>
      <c r="X4502" s="45" t="n"/>
    </row>
    <row r="4503" ht="14.25" customHeight="1" s="192">
      <c r="W4503" s="228" t="n"/>
      <c r="X4503" s="228" t="n"/>
    </row>
    <row r="4504" ht="14.25" customHeight="1" s="192">
      <c r="W4504" s="228" t="n"/>
      <c r="X4504" s="228" t="n"/>
    </row>
    <row r="4505" ht="14.25" customHeight="1" s="192">
      <c r="W4505" s="231" t="n"/>
      <c r="X4505" s="231" t="n"/>
    </row>
    <row r="4506" ht="14.25" customHeight="1" s="192">
      <c r="W4506" s="33" t="n"/>
      <c r="X4506" s="33" t="n"/>
    </row>
    <row r="4507" ht="14.25" customHeight="1" s="192">
      <c r="W4507" s="231" t="n"/>
      <c r="X4507" s="231" t="n"/>
    </row>
    <row r="4508" ht="14.25" customHeight="1" s="192">
      <c r="W4508" s="33" t="n"/>
      <c r="X4508" s="33" t="n"/>
    </row>
    <row r="4510" ht="14.25" customHeight="1" s="192">
      <c r="W4510" s="231" t="n"/>
      <c r="X4510" s="231" t="n"/>
    </row>
    <row r="4511" ht="14.25" customHeight="1" s="192">
      <c r="W4511" s="235" t="n"/>
      <c r="X4511" s="235" t="n"/>
    </row>
    <row r="4512" ht="14.25" customHeight="1" s="192">
      <c r="W4512" s="228" t="n"/>
      <c r="X4512" s="228" t="n"/>
    </row>
    <row r="4513" ht="14.25" customHeight="1" s="192">
      <c r="W4513" s="235" t="n"/>
      <c r="X4513" s="235" t="n"/>
    </row>
    <row r="4514" ht="14.25" customHeight="1" s="192">
      <c r="W4514" s="235" t="n"/>
      <c r="X4514" s="235" t="n"/>
    </row>
    <row r="4515" ht="14.25" customHeight="1" s="192">
      <c r="W4515" s="235" t="n"/>
      <c r="X4515" s="235" t="n"/>
    </row>
    <row r="4516" ht="14.25" customHeight="1" s="192">
      <c r="W4516" s="239" t="n"/>
      <c r="X4516" s="239" t="n"/>
    </row>
    <row r="4517" ht="14.25" customHeight="1" s="192">
      <c r="W4517" s="239" t="n"/>
      <c r="X4517" s="239" t="n"/>
    </row>
    <row r="4518" ht="14.25" customHeight="1" s="192">
      <c r="W4518" s="239" t="n"/>
      <c r="X4518" s="239" t="n"/>
    </row>
    <row r="4519" ht="14.25" customHeight="1" s="192">
      <c r="W4519" s="235" t="n"/>
      <c r="X4519" s="235" t="n"/>
    </row>
    <row r="4520" ht="14.25" customHeight="1" s="192">
      <c r="W4520" s="235" t="n"/>
      <c r="X4520" s="235" t="n"/>
    </row>
    <row r="4521" ht="14.25" customHeight="1" s="192">
      <c r="W4521" s="235" t="n"/>
      <c r="X4521" s="235" t="n"/>
    </row>
    <row r="4522" ht="14.25" customHeight="1" s="192">
      <c r="W4522" s="239" t="n"/>
      <c r="X4522" s="239" t="n"/>
    </row>
    <row r="4523" ht="14.25" customHeight="1" s="192">
      <c r="W4523" s="239" t="n"/>
      <c r="X4523" s="239" t="n"/>
    </row>
    <row r="4524" ht="14.25" customHeight="1" s="192">
      <c r="W4524" s="235" t="n"/>
      <c r="X4524" s="235" t="n"/>
    </row>
    <row r="4525" ht="14.25" customHeight="1" s="192">
      <c r="W4525" s="235" t="n"/>
      <c r="X4525" s="235" t="n"/>
    </row>
    <row r="4526" ht="14.25" customHeight="1" s="192">
      <c r="W4526" s="239" t="n"/>
      <c r="X4526" s="239" t="n"/>
    </row>
    <row r="4527" ht="14.25" customHeight="1" s="192">
      <c r="W4527" s="235" t="n"/>
      <c r="X4527" s="235" t="n"/>
    </row>
    <row r="4528" ht="14.25" customHeight="1" s="192">
      <c r="W4528" s="239" t="n"/>
      <c r="X4528" s="239" t="n"/>
    </row>
    <row r="4530" ht="14.25" customHeight="1" s="192">
      <c r="W4530" s="235" t="n"/>
      <c r="X4530" s="235" t="n"/>
    </row>
    <row r="4531" ht="15" customHeight="1" s="192" thickBot="1">
      <c r="W4531" s="239" t="n"/>
      <c r="X4531" s="239" t="n"/>
    </row>
    <row r="4532" ht="15" customHeight="1" s="192" thickBot="1">
      <c r="W4532" s="45" t="n"/>
      <c r="X4532" s="45" t="n"/>
    </row>
    <row r="4533" ht="14.25" customHeight="1" s="192">
      <c r="W4533" s="228" t="n"/>
      <c r="X4533" s="228" t="n"/>
    </row>
    <row r="4534" ht="14.25" customHeight="1" s="192">
      <c r="W4534" s="228" t="n"/>
      <c r="X4534" s="228" t="n"/>
    </row>
    <row r="4535" ht="14.25" customHeight="1" s="192">
      <c r="W4535" s="231" t="n"/>
      <c r="X4535" s="231" t="n"/>
    </row>
    <row r="4536" ht="14.25" customHeight="1" s="192">
      <c r="W4536" s="33" t="n"/>
      <c r="X4536" s="33" t="n"/>
    </row>
    <row r="4537" ht="14.25" customHeight="1" s="192">
      <c r="W4537" s="231" t="n"/>
      <c r="X4537" s="231" t="n"/>
    </row>
    <row r="4538" ht="14.25" customHeight="1" s="192">
      <c r="W4538" s="33" t="n"/>
      <c r="X4538" s="33" t="n"/>
    </row>
    <row r="4540" ht="14.25" customHeight="1" s="192">
      <c r="W4540" s="231" t="n"/>
      <c r="X4540" s="231" t="n"/>
    </row>
    <row r="4541" ht="14.25" customHeight="1" s="192">
      <c r="W4541" s="235" t="n"/>
      <c r="X4541" s="235" t="n"/>
    </row>
    <row r="4542" ht="14.25" customHeight="1" s="192">
      <c r="W4542" s="228" t="n"/>
      <c r="X4542" s="228" t="n"/>
    </row>
    <row r="4543" ht="14.25" customHeight="1" s="192">
      <c r="W4543" s="235" t="n"/>
      <c r="X4543" s="235" t="n"/>
    </row>
    <row r="4544" ht="14.25" customHeight="1" s="192">
      <c r="W4544" s="235" t="n"/>
      <c r="X4544" s="235" t="n"/>
    </row>
    <row r="4545" ht="14.25" customHeight="1" s="192">
      <c r="W4545" s="235" t="n"/>
      <c r="X4545" s="235" t="n"/>
    </row>
    <row r="4546" ht="14.25" customHeight="1" s="192">
      <c r="W4546" s="239" t="n"/>
      <c r="X4546" s="239" t="n"/>
    </row>
    <row r="4547" ht="14.25" customHeight="1" s="192">
      <c r="W4547" s="239" t="n"/>
      <c r="X4547" s="239" t="n"/>
    </row>
    <row r="4548" ht="14.25" customHeight="1" s="192">
      <c r="W4548" s="239" t="n"/>
      <c r="X4548" s="239" t="n"/>
    </row>
    <row r="4549" ht="14.25" customHeight="1" s="192">
      <c r="W4549" s="235" t="n"/>
      <c r="X4549" s="235" t="n"/>
    </row>
    <row r="4550" ht="14.25" customHeight="1" s="192">
      <c r="W4550" s="235" t="n"/>
      <c r="X4550" s="235" t="n"/>
    </row>
    <row r="4551" ht="14.25" customHeight="1" s="192">
      <c r="W4551" s="235" t="n"/>
      <c r="X4551" s="235" t="n"/>
    </row>
    <row r="4552" ht="14.25" customHeight="1" s="192">
      <c r="W4552" s="239" t="n"/>
      <c r="X4552" s="239" t="n"/>
    </row>
    <row r="4553" ht="14.25" customHeight="1" s="192">
      <c r="W4553" s="239" t="n"/>
      <c r="X4553" s="239" t="n"/>
    </row>
    <row r="4554" ht="14.25" customHeight="1" s="192">
      <c r="W4554" s="235" t="n"/>
      <c r="X4554" s="235" t="n"/>
    </row>
    <row r="4555" ht="14.25" customHeight="1" s="192">
      <c r="W4555" s="235" t="n"/>
      <c r="X4555" s="235" t="n"/>
    </row>
    <row r="4556" ht="14.25" customHeight="1" s="192">
      <c r="W4556" s="239" t="n"/>
      <c r="X4556" s="239" t="n"/>
    </row>
    <row r="4557" ht="14.25" customHeight="1" s="192">
      <c r="W4557" s="235" t="n"/>
      <c r="X4557" s="235" t="n"/>
    </row>
    <row r="4558" ht="14.25" customHeight="1" s="192">
      <c r="W4558" s="239" t="n"/>
      <c r="X4558" s="239" t="n"/>
    </row>
    <row r="4560" ht="14.25" customHeight="1" s="192">
      <c r="W4560" s="235" t="n"/>
      <c r="X4560" s="235" t="n"/>
    </row>
    <row r="4561" ht="15" customHeight="1" s="192" thickBot="1">
      <c r="W4561" s="239" t="n"/>
      <c r="X4561" s="239" t="n"/>
    </row>
    <row r="4562" ht="15" customHeight="1" s="192" thickBot="1">
      <c r="W4562" s="45" t="n"/>
      <c r="X4562" s="45" t="n"/>
    </row>
    <row r="4563" ht="14.25" customHeight="1" s="192">
      <c r="W4563" s="228" t="n"/>
      <c r="X4563" s="228" t="n"/>
    </row>
    <row r="4564" ht="14.25" customHeight="1" s="192">
      <c r="W4564" s="228" t="n"/>
      <c r="X4564" s="228" t="n"/>
    </row>
    <row r="4565" ht="14.25" customHeight="1" s="192">
      <c r="W4565" s="231" t="n"/>
      <c r="X4565" s="231" t="n"/>
    </row>
    <row r="4566" ht="14.25" customHeight="1" s="192">
      <c r="W4566" s="33" t="n"/>
      <c r="X4566" s="33" t="n"/>
    </row>
    <row r="4567" ht="14.25" customHeight="1" s="192">
      <c r="W4567" s="231" t="n"/>
      <c r="X4567" s="231" t="n"/>
    </row>
    <row r="4568" ht="14.25" customHeight="1" s="192">
      <c r="W4568" s="33" t="n"/>
      <c r="X4568" s="33" t="n"/>
    </row>
    <row r="4570" ht="14.25" customHeight="1" s="192">
      <c r="W4570" s="231" t="n"/>
      <c r="X4570" s="231" t="n"/>
    </row>
    <row r="4571" ht="14.25" customHeight="1" s="192">
      <c r="W4571" s="235" t="n"/>
      <c r="X4571" s="235" t="n"/>
    </row>
    <row r="4572" ht="14.25" customHeight="1" s="192">
      <c r="W4572" s="228" t="n"/>
      <c r="X4572" s="228" t="n"/>
    </row>
    <row r="4573" ht="14.25" customHeight="1" s="192">
      <c r="W4573" s="235" t="n"/>
      <c r="X4573" s="235" t="n"/>
    </row>
    <row r="4574" ht="14.25" customHeight="1" s="192">
      <c r="W4574" s="235" t="n"/>
      <c r="X4574" s="235" t="n"/>
    </row>
    <row r="4575" ht="14.25" customHeight="1" s="192">
      <c r="W4575" s="235" t="n"/>
      <c r="X4575" s="235" t="n"/>
    </row>
    <row r="4576" ht="14.25" customHeight="1" s="192">
      <c r="W4576" s="239" t="n"/>
      <c r="X4576" s="239" t="n"/>
    </row>
    <row r="4577" ht="14.25" customHeight="1" s="192">
      <c r="W4577" s="239" t="n"/>
      <c r="X4577" s="239" t="n"/>
    </row>
    <row r="4578" ht="14.25" customHeight="1" s="192">
      <c r="W4578" s="239" t="n"/>
      <c r="X4578" s="239" t="n"/>
    </row>
    <row r="4579" ht="14.25" customHeight="1" s="192">
      <c r="W4579" s="235" t="n"/>
      <c r="X4579" s="235" t="n"/>
    </row>
    <row r="4580" ht="14.25" customHeight="1" s="192">
      <c r="W4580" s="235" t="n"/>
      <c r="X4580" s="235" t="n"/>
    </row>
    <row r="4581" ht="14.25" customHeight="1" s="192">
      <c r="W4581" s="235" t="n"/>
      <c r="X4581" s="235" t="n"/>
    </row>
    <row r="4582" ht="14.25" customHeight="1" s="192">
      <c r="W4582" s="239" t="n"/>
      <c r="X4582" s="239" t="n"/>
    </row>
    <row r="4583" ht="14.25" customHeight="1" s="192">
      <c r="W4583" s="239" t="n"/>
      <c r="X4583" s="239" t="n"/>
    </row>
    <row r="4584" ht="14.25" customHeight="1" s="192">
      <c r="W4584" s="235" t="n"/>
      <c r="X4584" s="235" t="n"/>
    </row>
    <row r="4585" ht="14.25" customHeight="1" s="192">
      <c r="W4585" s="235" t="n"/>
      <c r="X4585" s="235" t="n"/>
    </row>
    <row r="4586" ht="14.25" customHeight="1" s="192">
      <c r="W4586" s="239" t="n"/>
      <c r="X4586" s="239" t="n"/>
    </row>
    <row r="4587" ht="14.25" customHeight="1" s="192">
      <c r="W4587" s="235" t="n"/>
      <c r="X4587" s="235" t="n"/>
    </row>
    <row r="4588" ht="14.25" customHeight="1" s="192">
      <c r="W4588" s="239" t="n"/>
      <c r="X4588" s="239" t="n"/>
    </row>
    <row r="4590" ht="14.25" customHeight="1" s="192">
      <c r="W4590" s="235" t="n"/>
      <c r="X4590" s="235" t="n"/>
    </row>
    <row r="4591" ht="15" customHeight="1" s="192" thickBot="1">
      <c r="W4591" s="239" t="n"/>
      <c r="X4591" s="239" t="n"/>
    </row>
    <row r="4592" ht="15" customHeight="1" s="192" thickBot="1">
      <c r="W4592" s="45" t="n"/>
      <c r="X4592" s="45" t="n"/>
    </row>
    <row r="4593" ht="14.25" customHeight="1" s="192">
      <c r="W4593" s="228" t="n"/>
      <c r="X4593" s="228" t="n"/>
    </row>
    <row r="4594" ht="14.25" customHeight="1" s="192">
      <c r="W4594" s="228" t="n"/>
      <c r="X4594" s="228" t="n"/>
    </row>
    <row r="4595" ht="14.25" customHeight="1" s="192">
      <c r="W4595" s="231" t="n"/>
      <c r="X4595" s="231" t="n"/>
    </row>
    <row r="4596" ht="14.25" customHeight="1" s="192">
      <c r="W4596" s="33" t="n"/>
      <c r="X4596" s="33" t="n"/>
    </row>
    <row r="4597" ht="14.25" customHeight="1" s="192">
      <c r="W4597" s="231" t="n"/>
      <c r="X4597" s="231" t="n"/>
    </row>
    <row r="4598" ht="14.25" customHeight="1" s="192">
      <c r="W4598" s="33" t="n"/>
      <c r="X4598" s="33" t="n"/>
    </row>
    <row r="4600" ht="14.25" customHeight="1" s="192">
      <c r="W4600" s="231" t="n"/>
      <c r="X4600" s="231" t="n"/>
    </row>
    <row r="4601" ht="14.25" customHeight="1" s="192">
      <c r="W4601" s="235" t="n"/>
      <c r="X4601" s="235" t="n"/>
    </row>
    <row r="4602" ht="14.25" customHeight="1" s="192">
      <c r="W4602" s="228" t="n"/>
      <c r="X4602" s="228" t="n"/>
    </row>
    <row r="4603" ht="14.25" customHeight="1" s="192">
      <c r="W4603" s="235" t="n"/>
      <c r="X4603" s="235" t="n"/>
    </row>
    <row r="4604" ht="14.25" customHeight="1" s="192">
      <c r="W4604" s="235" t="n"/>
      <c r="X4604" s="235" t="n"/>
    </row>
    <row r="4605" ht="14.25" customHeight="1" s="192">
      <c r="W4605" s="235" t="n"/>
      <c r="X4605" s="235" t="n"/>
    </row>
    <row r="4606" ht="14.25" customHeight="1" s="192">
      <c r="W4606" s="239" t="n"/>
      <c r="X4606" s="239" t="n"/>
    </row>
    <row r="4607" ht="14.25" customHeight="1" s="192">
      <c r="W4607" s="239" t="n"/>
      <c r="X4607" s="239" t="n"/>
    </row>
    <row r="4608" ht="14.25" customHeight="1" s="192">
      <c r="W4608" s="239" t="n"/>
      <c r="X4608" s="239" t="n"/>
    </row>
    <row r="4609" ht="14.25" customHeight="1" s="192">
      <c r="W4609" s="235" t="n"/>
      <c r="X4609" s="235" t="n"/>
    </row>
    <row r="4610" ht="14.25" customHeight="1" s="192">
      <c r="W4610" s="235" t="n"/>
      <c r="X4610" s="235" t="n"/>
    </row>
    <row r="4611" ht="14.25" customHeight="1" s="192">
      <c r="W4611" s="235" t="n"/>
      <c r="X4611" s="235" t="n"/>
    </row>
    <row r="4612" ht="14.25" customHeight="1" s="192">
      <c r="W4612" s="239" t="n"/>
      <c r="X4612" s="239" t="n"/>
    </row>
    <row r="4613" ht="14.25" customHeight="1" s="192">
      <c r="W4613" s="239" t="n"/>
      <c r="X4613" s="239" t="n"/>
    </row>
    <row r="4614" ht="14.25" customHeight="1" s="192">
      <c r="W4614" s="235" t="n"/>
      <c r="X4614" s="235" t="n"/>
    </row>
    <row r="4615" ht="14.25" customHeight="1" s="192">
      <c r="W4615" s="235" t="n"/>
      <c r="X4615" s="235" t="n"/>
    </row>
    <row r="4616" ht="14.25" customHeight="1" s="192">
      <c r="W4616" s="239" t="n"/>
      <c r="X4616" s="239" t="n"/>
    </row>
    <row r="4617" ht="14.25" customHeight="1" s="192">
      <c r="W4617" s="235" t="n"/>
      <c r="X4617" s="235" t="n"/>
    </row>
    <row r="4618" ht="14.25" customHeight="1" s="192">
      <c r="W4618" s="239" t="n"/>
      <c r="X4618" s="239" t="n"/>
    </row>
    <row r="4620" ht="14.25" customHeight="1" s="192">
      <c r="W4620" s="235" t="n"/>
      <c r="X4620" s="235" t="n"/>
    </row>
    <row r="4621" ht="15" customHeight="1" s="192" thickBot="1">
      <c r="W4621" s="239" t="n"/>
      <c r="X4621" s="239" t="n"/>
    </row>
    <row r="4622" ht="15" customHeight="1" s="192" thickBot="1">
      <c r="W4622" s="45" t="n"/>
      <c r="X4622" s="45" t="n"/>
    </row>
    <row r="4623" ht="14.25" customHeight="1" s="192">
      <c r="W4623" s="228" t="n"/>
      <c r="X4623" s="228" t="n"/>
    </row>
    <row r="4624" ht="14.25" customHeight="1" s="192">
      <c r="W4624" s="228" t="n"/>
      <c r="X4624" s="228" t="n"/>
    </row>
    <row r="4625" ht="14.25" customHeight="1" s="192">
      <c r="W4625" s="231" t="n"/>
      <c r="X4625" s="231" t="n"/>
    </row>
    <row r="4626" ht="14.25" customHeight="1" s="192">
      <c r="W4626" s="33" t="n"/>
      <c r="X4626" s="33" t="n"/>
    </row>
    <row r="4627" ht="14.25" customHeight="1" s="192">
      <c r="W4627" s="231" t="n"/>
      <c r="X4627" s="231" t="n"/>
    </row>
    <row r="4628" ht="14.25" customHeight="1" s="192">
      <c r="W4628" s="33" t="n"/>
      <c r="X4628" s="33" t="n"/>
    </row>
    <row r="4630" ht="14.25" customHeight="1" s="192">
      <c r="W4630" s="231" t="n"/>
      <c r="X4630" s="231" t="n"/>
    </row>
    <row r="4631" ht="14.25" customHeight="1" s="192">
      <c r="W4631" s="235" t="n"/>
      <c r="X4631" s="235" t="n"/>
    </row>
    <row r="4632" ht="14.25" customHeight="1" s="192">
      <c r="W4632" s="228" t="n"/>
      <c r="X4632" s="228" t="n"/>
    </row>
    <row r="4633" ht="14.25" customHeight="1" s="192">
      <c r="W4633" s="235" t="n"/>
      <c r="X4633" s="235" t="n"/>
    </row>
    <row r="4634" ht="14.25" customHeight="1" s="192">
      <c r="W4634" s="235" t="n"/>
      <c r="X4634" s="235" t="n"/>
    </row>
    <row r="4635" ht="14.25" customHeight="1" s="192">
      <c r="W4635" s="235" t="n"/>
      <c r="X4635" s="235" t="n"/>
    </row>
    <row r="4636" ht="14.25" customHeight="1" s="192">
      <c r="W4636" s="239" t="n"/>
      <c r="X4636" s="239" t="n"/>
    </row>
    <row r="4637" ht="14.25" customHeight="1" s="192">
      <c r="W4637" s="239" t="n"/>
      <c r="X4637" s="239" t="n"/>
    </row>
    <row r="4638" ht="14.25" customHeight="1" s="192">
      <c r="W4638" s="239" t="n"/>
      <c r="X4638" s="239" t="n"/>
    </row>
    <row r="4639" ht="14.25" customHeight="1" s="192">
      <c r="W4639" s="235" t="n"/>
      <c r="X4639" s="235" t="n"/>
    </row>
    <row r="4640" ht="14.25" customHeight="1" s="192">
      <c r="W4640" s="235" t="n"/>
      <c r="X4640" s="235" t="n"/>
    </row>
    <row r="4641" ht="14.25" customHeight="1" s="192">
      <c r="W4641" s="235" t="n"/>
      <c r="X4641" s="235" t="n"/>
    </row>
    <row r="4642" ht="14.25" customHeight="1" s="192">
      <c r="W4642" s="239" t="n"/>
      <c r="X4642" s="239" t="n"/>
    </row>
    <row r="4643" ht="14.25" customHeight="1" s="192">
      <c r="W4643" s="239" t="n"/>
      <c r="X4643" s="239" t="n"/>
    </row>
    <row r="4644" ht="14.25" customHeight="1" s="192">
      <c r="W4644" s="235" t="n"/>
      <c r="X4644" s="235" t="n"/>
    </row>
    <row r="4645" ht="14.25" customHeight="1" s="192">
      <c r="W4645" s="235" t="n"/>
      <c r="X4645" s="235" t="n"/>
    </row>
    <row r="4646" ht="14.25" customHeight="1" s="192">
      <c r="W4646" s="239" t="n"/>
      <c r="X4646" s="239" t="n"/>
    </row>
    <row r="4647" ht="14.25" customHeight="1" s="192">
      <c r="W4647" s="235" t="n"/>
      <c r="X4647" s="235" t="n"/>
    </row>
    <row r="4648" ht="14.25" customHeight="1" s="192">
      <c r="W4648" s="239" t="n"/>
      <c r="X4648" s="239" t="n"/>
    </row>
    <row r="4650" ht="14.25" customHeight="1" s="192">
      <c r="W4650" s="235" t="n"/>
      <c r="X4650" s="235" t="n"/>
    </row>
    <row r="4651" ht="15" customHeight="1" s="192" thickBot="1">
      <c r="W4651" s="239" t="n"/>
      <c r="X4651" s="239" t="n"/>
    </row>
    <row r="4652" ht="15" customHeight="1" s="192" thickBot="1">
      <c r="W4652" s="45" t="n"/>
      <c r="X4652" s="45" t="n"/>
    </row>
    <row r="4653" ht="14.25" customHeight="1" s="192">
      <c r="W4653" s="228" t="n"/>
      <c r="X4653" s="228" t="n"/>
    </row>
    <row r="4654" ht="14.25" customHeight="1" s="192">
      <c r="W4654" s="228" t="n"/>
      <c r="X4654" s="228" t="n"/>
    </row>
    <row r="4655" ht="14.25" customHeight="1" s="192">
      <c r="W4655" s="231" t="n"/>
      <c r="X4655" s="231" t="n"/>
    </row>
    <row r="4656" ht="14.25" customHeight="1" s="192">
      <c r="W4656" s="33" t="n"/>
      <c r="X4656" s="33" t="n"/>
    </row>
    <row r="4657" ht="14.25" customHeight="1" s="192">
      <c r="W4657" s="231" t="n"/>
      <c r="X4657" s="231" t="n"/>
    </row>
    <row r="4658" ht="14.25" customHeight="1" s="192">
      <c r="W4658" s="33" t="n"/>
      <c r="X4658" s="33" t="n"/>
    </row>
    <row r="4660" ht="14.25" customHeight="1" s="192">
      <c r="W4660" s="231" t="n"/>
      <c r="X4660" s="231" t="n"/>
    </row>
    <row r="4661" ht="14.25" customHeight="1" s="192">
      <c r="W4661" s="235" t="n"/>
      <c r="X4661" s="235" t="n"/>
    </row>
    <row r="4662" ht="14.25" customHeight="1" s="192">
      <c r="W4662" s="228" t="n"/>
      <c r="X4662" s="228" t="n"/>
    </row>
    <row r="4663" ht="14.25" customHeight="1" s="192">
      <c r="W4663" s="235" t="n"/>
      <c r="X4663" s="235" t="n"/>
    </row>
    <row r="4664" ht="14.25" customHeight="1" s="192">
      <c r="W4664" s="235" t="n"/>
      <c r="X4664" s="235" t="n"/>
    </row>
    <row r="4665" ht="14.25" customHeight="1" s="192">
      <c r="W4665" s="235" t="n"/>
      <c r="X4665" s="235" t="n"/>
    </row>
    <row r="4666" ht="14.25" customHeight="1" s="192">
      <c r="W4666" s="239" t="n"/>
      <c r="X4666" s="239" t="n"/>
    </row>
    <row r="4667" ht="14.25" customHeight="1" s="192">
      <c r="W4667" s="239" t="n"/>
      <c r="X4667" s="239" t="n"/>
    </row>
    <row r="4668" ht="14.25" customHeight="1" s="192">
      <c r="W4668" s="239" t="n"/>
      <c r="X4668" s="239" t="n"/>
    </row>
    <row r="4669" ht="14.25" customHeight="1" s="192">
      <c r="W4669" s="235" t="n"/>
      <c r="X4669" s="235" t="n"/>
    </row>
    <row r="4670" ht="14.25" customHeight="1" s="192">
      <c r="W4670" s="235" t="n"/>
      <c r="X4670" s="235" t="n"/>
    </row>
    <row r="4671" ht="14.25" customHeight="1" s="192">
      <c r="W4671" s="235" t="n"/>
      <c r="X4671" s="235" t="n"/>
    </row>
    <row r="4672" ht="14.25" customHeight="1" s="192">
      <c r="W4672" s="239" t="n"/>
      <c r="X4672" s="239" t="n"/>
    </row>
    <row r="4673" ht="14.25" customHeight="1" s="192">
      <c r="W4673" s="239" t="n"/>
      <c r="X4673" s="239" t="n"/>
    </row>
    <row r="4674" ht="14.25" customHeight="1" s="192">
      <c r="W4674" s="235" t="n"/>
      <c r="X4674" s="235" t="n"/>
    </row>
    <row r="4675" ht="14.25" customHeight="1" s="192">
      <c r="W4675" s="235" t="n"/>
      <c r="X4675" s="235" t="n"/>
    </row>
    <row r="4676" ht="14.25" customHeight="1" s="192">
      <c r="W4676" s="239" t="n"/>
      <c r="X4676" s="239" t="n"/>
    </row>
    <row r="4677" ht="14.25" customHeight="1" s="192">
      <c r="W4677" s="235" t="n"/>
      <c r="X4677" s="235" t="n"/>
    </row>
    <row r="4678" ht="14.25" customHeight="1" s="192">
      <c r="W4678" s="239" t="n"/>
      <c r="X4678" s="239" t="n"/>
    </row>
    <row r="4680" ht="14.25" customHeight="1" s="192">
      <c r="W4680" s="235" t="n"/>
      <c r="X4680" s="235" t="n"/>
    </row>
    <row r="4681" ht="15" customHeight="1" s="192" thickBot="1">
      <c r="W4681" s="239" t="n"/>
      <c r="X4681" s="239" t="n"/>
    </row>
    <row r="4682" ht="15" customHeight="1" s="192" thickBot="1">
      <c r="W4682" s="45" t="n"/>
      <c r="X4682" s="45" t="n"/>
    </row>
    <row r="4683" ht="14.25" customHeight="1" s="192">
      <c r="W4683" s="228" t="n"/>
      <c r="X4683" s="228" t="n"/>
    </row>
    <row r="4684" ht="14.25" customHeight="1" s="192">
      <c r="W4684" s="228" t="n"/>
      <c r="X4684" s="228" t="n"/>
    </row>
    <row r="4685" ht="14.25" customHeight="1" s="192">
      <c r="W4685" s="231" t="n"/>
      <c r="X4685" s="231" t="n"/>
    </row>
    <row r="4686" ht="14.25" customHeight="1" s="192">
      <c r="W4686" s="33" t="n"/>
      <c r="X4686" s="33" t="n"/>
    </row>
    <row r="4687" ht="14.25" customHeight="1" s="192">
      <c r="W4687" s="231" t="n"/>
      <c r="X4687" s="231" t="n"/>
    </row>
    <row r="4688" ht="14.25" customHeight="1" s="192">
      <c r="W4688" s="33" t="n"/>
      <c r="X4688" s="33" t="n"/>
    </row>
    <row r="4690" ht="14.25" customHeight="1" s="192">
      <c r="W4690" s="231" t="n"/>
      <c r="X4690" s="231" t="n"/>
    </row>
    <row r="4691" ht="14.25" customHeight="1" s="192">
      <c r="W4691" s="235" t="n"/>
      <c r="X4691" s="235" t="n"/>
    </row>
    <row r="4692" ht="14.25" customHeight="1" s="192">
      <c r="W4692" s="228" t="n"/>
      <c r="X4692" s="228" t="n"/>
    </row>
    <row r="4693" ht="14.25" customHeight="1" s="192">
      <c r="W4693" s="235" t="n"/>
      <c r="X4693" s="235" t="n"/>
    </row>
    <row r="4694" ht="14.25" customHeight="1" s="192">
      <c r="W4694" s="235" t="n"/>
      <c r="X4694" s="235" t="n"/>
    </row>
    <row r="4695" ht="14.25" customHeight="1" s="192">
      <c r="W4695" s="235" t="n"/>
      <c r="X4695" s="235" t="n"/>
    </row>
    <row r="4696" ht="14.25" customHeight="1" s="192">
      <c r="W4696" s="239" t="n"/>
      <c r="X4696" s="239" t="n"/>
    </row>
    <row r="4697" ht="14.25" customHeight="1" s="192">
      <c r="W4697" s="239" t="n"/>
      <c r="X4697" s="239" t="n"/>
    </row>
    <row r="4698" ht="14.25" customHeight="1" s="192">
      <c r="W4698" s="239" t="n"/>
      <c r="X4698" s="239" t="n"/>
    </row>
    <row r="4699" ht="14.25" customHeight="1" s="192">
      <c r="W4699" s="235" t="n"/>
      <c r="X4699" s="235" t="n"/>
    </row>
    <row r="4700" ht="14.25" customHeight="1" s="192">
      <c r="W4700" s="235" t="n"/>
      <c r="X4700" s="235" t="n"/>
    </row>
    <row r="4701" ht="14.25" customHeight="1" s="192">
      <c r="W4701" s="235" t="n"/>
      <c r="X4701" s="235" t="n"/>
    </row>
    <row r="4702" ht="14.25" customHeight="1" s="192">
      <c r="W4702" s="239" t="n"/>
      <c r="X4702" s="239" t="n"/>
    </row>
    <row r="4703" ht="14.25" customHeight="1" s="192">
      <c r="W4703" s="239" t="n"/>
      <c r="X4703" s="239" t="n"/>
    </row>
    <row r="4704" ht="14.25" customHeight="1" s="192">
      <c r="W4704" s="235" t="n"/>
      <c r="X4704" s="235" t="n"/>
    </row>
    <row r="4705" ht="14.25" customHeight="1" s="192">
      <c r="W4705" s="235" t="n"/>
      <c r="X4705" s="235" t="n"/>
    </row>
    <row r="4706" ht="14.25" customHeight="1" s="192">
      <c r="W4706" s="239" t="n"/>
      <c r="X4706" s="239" t="n"/>
    </row>
    <row r="4707" ht="14.25" customHeight="1" s="192">
      <c r="W4707" s="235" t="n"/>
      <c r="X4707" s="235" t="n"/>
    </row>
    <row r="4708" ht="14.25" customHeight="1" s="192">
      <c r="W4708" s="239" t="n"/>
      <c r="X4708" s="239" t="n"/>
    </row>
    <row r="4710" ht="14.25" customHeight="1" s="192">
      <c r="W4710" s="235" t="n"/>
      <c r="X4710" s="235" t="n"/>
    </row>
    <row r="4711" ht="15" customHeight="1" s="192" thickBot="1">
      <c r="W4711" s="239" t="n"/>
      <c r="X4711" s="239" t="n"/>
    </row>
    <row r="4712" ht="15" customHeight="1" s="192" thickBot="1">
      <c r="W4712" s="45" t="n"/>
      <c r="X4712" s="45" t="n"/>
    </row>
    <row r="4713" ht="14.25" customHeight="1" s="192">
      <c r="W4713" s="228" t="n"/>
      <c r="X4713" s="228" t="n"/>
    </row>
    <row r="4714" ht="14.25" customHeight="1" s="192">
      <c r="W4714" s="228" t="n"/>
      <c r="X4714" s="228" t="n"/>
    </row>
    <row r="4715" ht="14.25" customHeight="1" s="192">
      <c r="W4715" s="231" t="n"/>
      <c r="X4715" s="231" t="n"/>
    </row>
    <row r="4716" ht="14.25" customHeight="1" s="192">
      <c r="W4716" s="33" t="n"/>
      <c r="X4716" s="33" t="n"/>
    </row>
    <row r="4717" ht="14.25" customHeight="1" s="192">
      <c r="W4717" s="231" t="n"/>
      <c r="X4717" s="231" t="n"/>
    </row>
    <row r="4718" ht="14.25" customHeight="1" s="192">
      <c r="W4718" s="33" t="n"/>
      <c r="X4718" s="33" t="n"/>
    </row>
    <row r="4720" ht="14.25" customHeight="1" s="192">
      <c r="W4720" s="231" t="n"/>
      <c r="X4720" s="231" t="n"/>
    </row>
    <row r="4721" ht="14.25" customHeight="1" s="192">
      <c r="W4721" s="235" t="n"/>
      <c r="X4721" s="235" t="n"/>
    </row>
    <row r="4722" ht="14.25" customHeight="1" s="192">
      <c r="W4722" s="228" t="n"/>
      <c r="X4722" s="228" t="n"/>
    </row>
    <row r="4723" ht="14.25" customHeight="1" s="192">
      <c r="W4723" s="235" t="n"/>
      <c r="X4723" s="235" t="n"/>
    </row>
    <row r="4724" ht="14.25" customHeight="1" s="192">
      <c r="W4724" s="235" t="n"/>
      <c r="X4724" s="235" t="n"/>
    </row>
    <row r="4725" ht="14.25" customHeight="1" s="192">
      <c r="W4725" s="235" t="n"/>
      <c r="X4725" s="235" t="n"/>
    </row>
    <row r="4726" ht="14.25" customHeight="1" s="192">
      <c r="W4726" s="239" t="n"/>
      <c r="X4726" s="239" t="n"/>
    </row>
    <row r="4727" ht="14.25" customHeight="1" s="192">
      <c r="W4727" s="239" t="n"/>
      <c r="X4727" s="239" t="n"/>
    </row>
    <row r="4728" ht="14.25" customHeight="1" s="192">
      <c r="W4728" s="239" t="n"/>
      <c r="X4728" s="239" t="n"/>
    </row>
    <row r="4729" ht="14.25" customHeight="1" s="192">
      <c r="W4729" s="235" t="n"/>
      <c r="X4729" s="235" t="n"/>
    </row>
    <row r="4730" ht="14.25" customHeight="1" s="192">
      <c r="W4730" s="235" t="n"/>
      <c r="X4730" s="235" t="n"/>
    </row>
    <row r="4731" ht="14.25" customHeight="1" s="192">
      <c r="W4731" s="235" t="n"/>
      <c r="X4731" s="235" t="n"/>
    </row>
    <row r="4732" ht="14.25" customHeight="1" s="192">
      <c r="W4732" s="239" t="n"/>
      <c r="X4732" s="239" t="n"/>
    </row>
    <row r="4733" ht="14.25" customHeight="1" s="192">
      <c r="W4733" s="239" t="n"/>
      <c r="X4733" s="239" t="n"/>
    </row>
    <row r="4734" ht="14.25" customHeight="1" s="192">
      <c r="W4734" s="235" t="n"/>
      <c r="X4734" s="235" t="n"/>
    </row>
    <row r="4735" ht="14.25" customHeight="1" s="192">
      <c r="W4735" s="235" t="n"/>
      <c r="X4735" s="235" t="n"/>
    </row>
    <row r="4736" ht="14.25" customHeight="1" s="192">
      <c r="W4736" s="239" t="n"/>
      <c r="X4736" s="239" t="n"/>
    </row>
    <row r="4737" ht="14.25" customHeight="1" s="192">
      <c r="W4737" s="235" t="n"/>
      <c r="X4737" s="235" t="n"/>
    </row>
    <row r="4738" ht="14.25" customHeight="1" s="192">
      <c r="W4738" s="239" t="n"/>
      <c r="X4738" s="239" t="n"/>
    </row>
    <row r="4740" ht="14.25" customHeight="1" s="192">
      <c r="W4740" s="235" t="n"/>
      <c r="X4740" s="235" t="n"/>
    </row>
    <row r="4741" ht="15" customHeight="1" s="192" thickBot="1">
      <c r="W4741" s="239" t="n"/>
      <c r="X4741" s="239" t="n"/>
    </row>
    <row r="4742" ht="15" customHeight="1" s="192" thickBot="1">
      <c r="W4742" s="45" t="n"/>
      <c r="X4742" s="45" t="n"/>
    </row>
    <row r="4743" ht="14.25" customHeight="1" s="192">
      <c r="W4743" s="228" t="n"/>
      <c r="X4743" s="228" t="n"/>
    </row>
    <row r="4744" ht="14.25" customHeight="1" s="192">
      <c r="W4744" s="228" t="n"/>
      <c r="X4744" s="228" t="n"/>
    </row>
    <row r="4745" ht="14.25" customHeight="1" s="192">
      <c r="W4745" s="231" t="n"/>
      <c r="X4745" s="231" t="n"/>
    </row>
    <row r="4746" ht="14.25" customHeight="1" s="192">
      <c r="W4746" s="33" t="n"/>
      <c r="X4746" s="33" t="n"/>
    </row>
    <row r="4747" ht="14.25" customHeight="1" s="192">
      <c r="W4747" s="231" t="n"/>
      <c r="X4747" s="231" t="n"/>
    </row>
    <row r="4748" ht="14.25" customHeight="1" s="192">
      <c r="W4748" s="33" t="n"/>
      <c r="X4748" s="33" t="n"/>
    </row>
    <row r="4750" ht="14.25" customHeight="1" s="192">
      <c r="W4750" s="231" t="n"/>
      <c r="X4750" s="231" t="n"/>
    </row>
    <row r="4751" ht="14.25" customHeight="1" s="192">
      <c r="W4751" s="235" t="n"/>
      <c r="X4751" s="235" t="n"/>
    </row>
    <row r="4752" ht="14.25" customHeight="1" s="192">
      <c r="W4752" s="228" t="n"/>
      <c r="X4752" s="228" t="n"/>
    </row>
    <row r="4753" ht="14.25" customHeight="1" s="192">
      <c r="W4753" s="235" t="n"/>
      <c r="X4753" s="235" t="n"/>
    </row>
    <row r="4754" ht="14.25" customHeight="1" s="192">
      <c r="W4754" s="235" t="n"/>
      <c r="X4754" s="235" t="n"/>
    </row>
    <row r="4755" ht="14.25" customHeight="1" s="192">
      <c r="W4755" s="235" t="n"/>
      <c r="X4755" s="235" t="n"/>
    </row>
    <row r="4756" ht="14.25" customHeight="1" s="192">
      <c r="W4756" s="239" t="n"/>
      <c r="X4756" s="239" t="n"/>
    </row>
    <row r="4757" ht="14.25" customHeight="1" s="192">
      <c r="W4757" s="239" t="n"/>
      <c r="X4757" s="239" t="n"/>
    </row>
    <row r="4758" ht="14.25" customHeight="1" s="192">
      <c r="W4758" s="239" t="n"/>
      <c r="X4758" s="239" t="n"/>
    </row>
    <row r="4759" ht="14.25" customHeight="1" s="192">
      <c r="W4759" s="235" t="n"/>
      <c r="X4759" s="235" t="n"/>
    </row>
    <row r="4760" ht="14.25" customHeight="1" s="192">
      <c r="W4760" s="235" t="n"/>
      <c r="X4760" s="235" t="n"/>
    </row>
    <row r="4761" ht="14.25" customHeight="1" s="192">
      <c r="W4761" s="235" t="n"/>
      <c r="X4761" s="235" t="n"/>
    </row>
    <row r="4762" ht="14.25" customHeight="1" s="192">
      <c r="W4762" s="239" t="n"/>
      <c r="X4762" s="239" t="n"/>
    </row>
    <row r="4763" ht="14.25" customHeight="1" s="192">
      <c r="W4763" s="239" t="n"/>
      <c r="X4763" s="239" t="n"/>
    </row>
    <row r="4764" ht="14.25" customHeight="1" s="192">
      <c r="W4764" s="235" t="n"/>
      <c r="X4764" s="235" t="n"/>
    </row>
    <row r="4765" ht="14.25" customHeight="1" s="192">
      <c r="W4765" s="235" t="n"/>
      <c r="X4765" s="235" t="n"/>
    </row>
    <row r="4766" ht="14.25" customHeight="1" s="192">
      <c r="W4766" s="239" t="n"/>
      <c r="X4766" s="239" t="n"/>
    </row>
    <row r="4767" ht="14.25" customHeight="1" s="192">
      <c r="W4767" s="235" t="n"/>
      <c r="X4767" s="235" t="n"/>
    </row>
    <row r="4768" ht="14.25" customHeight="1" s="192">
      <c r="W4768" s="239" t="n"/>
      <c r="X4768" s="239" t="n"/>
    </row>
    <row r="4770" ht="14.25" customHeight="1" s="192">
      <c r="W4770" s="235" t="n"/>
      <c r="X4770" s="235" t="n"/>
    </row>
    <row r="4771" ht="15" customHeight="1" s="192" thickBot="1">
      <c r="W4771" s="239" t="n"/>
      <c r="X4771" s="239" t="n"/>
    </row>
    <row r="4772" ht="15" customHeight="1" s="192" thickBot="1">
      <c r="W4772" s="45" t="n"/>
      <c r="X4772" s="45" t="n"/>
    </row>
    <row r="4773" ht="14.25" customHeight="1" s="192">
      <c r="W4773" s="228" t="n"/>
      <c r="X4773" s="228" t="n"/>
    </row>
    <row r="4774" ht="14.25" customHeight="1" s="192">
      <c r="W4774" s="228" t="n"/>
      <c r="X4774" s="228" t="n"/>
    </row>
    <row r="4775" ht="14.25" customHeight="1" s="192">
      <c r="W4775" s="231" t="n"/>
      <c r="X4775" s="231" t="n"/>
    </row>
    <row r="4776" ht="14.25" customHeight="1" s="192">
      <c r="W4776" s="33" t="n"/>
      <c r="X4776" s="33" t="n"/>
    </row>
    <row r="4777" ht="14.25" customHeight="1" s="192">
      <c r="W4777" s="231" t="n"/>
      <c r="X4777" s="231" t="n"/>
    </row>
    <row r="4778" ht="14.25" customHeight="1" s="192">
      <c r="W4778" s="33" t="n"/>
      <c r="X4778" s="33" t="n"/>
    </row>
    <row r="4780" ht="14.25" customHeight="1" s="192">
      <c r="W4780" s="231" t="n"/>
      <c r="X4780" s="231" t="n"/>
    </row>
    <row r="4781" ht="14.25" customHeight="1" s="192">
      <c r="W4781" s="235" t="n"/>
      <c r="X4781" s="235" t="n"/>
    </row>
    <row r="4782" ht="14.25" customHeight="1" s="192">
      <c r="W4782" s="228" t="n"/>
      <c r="X4782" s="228" t="n"/>
    </row>
    <row r="4783" ht="14.25" customHeight="1" s="192">
      <c r="W4783" s="235" t="n"/>
      <c r="X4783" s="235" t="n"/>
    </row>
    <row r="4784" ht="14.25" customHeight="1" s="192">
      <c r="W4784" s="235" t="n"/>
      <c r="X4784" s="235" t="n"/>
    </row>
    <row r="4785" ht="14.25" customHeight="1" s="192">
      <c r="W4785" s="235" t="n"/>
      <c r="X4785" s="235" t="n"/>
    </row>
    <row r="4786" ht="14.25" customHeight="1" s="192">
      <c r="W4786" s="239" t="n"/>
      <c r="X4786" s="239" t="n"/>
    </row>
    <row r="4787" ht="14.25" customHeight="1" s="192">
      <c r="W4787" s="239" t="n"/>
      <c r="X4787" s="239" t="n"/>
    </row>
    <row r="4788" ht="14.25" customHeight="1" s="192">
      <c r="W4788" s="239" t="n"/>
      <c r="X4788" s="239" t="n"/>
    </row>
    <row r="4789" ht="14.25" customHeight="1" s="192">
      <c r="W4789" s="235" t="n"/>
      <c r="X4789" s="235" t="n"/>
    </row>
    <row r="4790" ht="14.25" customHeight="1" s="192">
      <c r="W4790" s="235" t="n"/>
      <c r="X4790" s="235" t="n"/>
    </row>
    <row r="4791" ht="14.25" customHeight="1" s="192">
      <c r="W4791" s="235" t="n"/>
      <c r="X4791" s="235" t="n"/>
    </row>
    <row r="4792" ht="14.25" customHeight="1" s="192">
      <c r="W4792" s="239" t="n"/>
      <c r="X4792" s="239" t="n"/>
    </row>
    <row r="4793" ht="14.25" customHeight="1" s="192">
      <c r="W4793" s="239" t="n"/>
      <c r="X4793" s="239" t="n"/>
    </row>
    <row r="4794" ht="14.25" customHeight="1" s="192">
      <c r="W4794" s="235" t="n"/>
      <c r="X4794" s="235" t="n"/>
    </row>
    <row r="4795" ht="14.25" customHeight="1" s="192">
      <c r="W4795" s="235" t="n"/>
      <c r="X4795" s="235" t="n"/>
    </row>
    <row r="4796" ht="14.25" customHeight="1" s="192">
      <c r="W4796" s="239" t="n"/>
      <c r="X4796" s="239" t="n"/>
    </row>
    <row r="4797" ht="14.25" customHeight="1" s="192">
      <c r="W4797" s="235" t="n"/>
      <c r="X4797" s="235" t="n"/>
    </row>
    <row r="4798" ht="14.25" customHeight="1" s="192">
      <c r="W4798" s="239" t="n"/>
      <c r="X4798" s="239" t="n"/>
    </row>
    <row r="4800" ht="14.25" customHeight="1" s="192">
      <c r="W4800" s="235" t="n"/>
      <c r="X4800" s="235" t="n"/>
    </row>
    <row r="4801" ht="15" customHeight="1" s="192" thickBot="1">
      <c r="W4801" s="239" t="n"/>
      <c r="X4801" s="239" t="n"/>
    </row>
    <row r="4802" ht="15" customHeight="1" s="192" thickBot="1">
      <c r="W4802" s="45" t="n"/>
      <c r="X4802" s="45" t="n"/>
    </row>
    <row r="4803" ht="14.25" customHeight="1" s="192">
      <c r="W4803" s="228" t="n"/>
      <c r="X4803" s="228" t="n"/>
    </row>
    <row r="4804" ht="14.25" customHeight="1" s="192">
      <c r="W4804" s="228" t="n"/>
      <c r="X4804" s="228" t="n"/>
    </row>
    <row r="4805" ht="14.25" customHeight="1" s="192">
      <c r="W4805" s="231" t="n"/>
      <c r="X4805" s="231" t="n"/>
    </row>
    <row r="4806" ht="14.25" customHeight="1" s="192">
      <c r="W4806" s="33" t="n"/>
      <c r="X4806" s="33" t="n"/>
    </row>
    <row r="4807" ht="14.25" customHeight="1" s="192">
      <c r="W4807" s="231" t="n"/>
      <c r="X4807" s="231" t="n"/>
    </row>
    <row r="4808" ht="14.25" customHeight="1" s="192">
      <c r="W4808" s="33" t="n"/>
      <c r="X4808" s="33" t="n"/>
    </row>
    <row r="4810" ht="14.25" customHeight="1" s="192">
      <c r="W4810" s="231" t="n"/>
      <c r="X4810" s="231" t="n"/>
    </row>
    <row r="4811" ht="14.25" customHeight="1" s="192">
      <c r="W4811" s="235" t="n"/>
      <c r="X4811" s="235" t="n"/>
    </row>
    <row r="4812" ht="14.25" customHeight="1" s="192">
      <c r="W4812" s="228" t="n"/>
      <c r="X4812" s="228" t="n"/>
    </row>
    <row r="4813" ht="14.25" customHeight="1" s="192">
      <c r="W4813" s="235" t="n"/>
      <c r="X4813" s="235" t="n"/>
    </row>
    <row r="4814" ht="14.25" customHeight="1" s="192">
      <c r="W4814" s="235" t="n"/>
      <c r="X4814" s="235" t="n"/>
    </row>
    <row r="4815" ht="14.25" customHeight="1" s="192">
      <c r="W4815" s="235" t="n"/>
      <c r="X4815" s="235" t="n"/>
    </row>
    <row r="4816" ht="14.25" customHeight="1" s="192">
      <c r="W4816" s="239" t="n"/>
      <c r="X4816" s="239" t="n"/>
    </row>
    <row r="4817" ht="14.25" customHeight="1" s="192">
      <c r="W4817" s="239" t="n"/>
      <c r="X4817" s="239" t="n"/>
    </row>
    <row r="4818" ht="14.25" customHeight="1" s="192">
      <c r="W4818" s="239" t="n"/>
      <c r="X4818" s="239" t="n"/>
    </row>
    <row r="4819" ht="14.25" customHeight="1" s="192">
      <c r="W4819" s="235" t="n"/>
      <c r="X4819" s="235" t="n"/>
    </row>
    <row r="4820" ht="14.25" customHeight="1" s="192">
      <c r="W4820" s="235" t="n"/>
      <c r="X4820" s="235" t="n"/>
    </row>
    <row r="4821" ht="14.25" customHeight="1" s="192">
      <c r="W4821" s="235" t="n"/>
      <c r="X4821" s="235" t="n"/>
    </row>
    <row r="4822" ht="14.25" customHeight="1" s="192">
      <c r="W4822" s="239" t="n"/>
      <c r="X4822" s="239" t="n"/>
    </row>
    <row r="4823" ht="14.25" customHeight="1" s="192">
      <c r="W4823" s="239" t="n"/>
      <c r="X4823" s="239" t="n"/>
    </row>
    <row r="4824" ht="14.25" customHeight="1" s="192">
      <c r="W4824" s="235" t="n"/>
      <c r="X4824" s="235" t="n"/>
    </row>
    <row r="4825" ht="14.25" customHeight="1" s="192">
      <c r="W4825" s="235" t="n"/>
      <c r="X4825" s="235" t="n"/>
    </row>
    <row r="4826" ht="14.25" customHeight="1" s="192">
      <c r="W4826" s="239" t="n"/>
      <c r="X4826" s="239" t="n"/>
    </row>
    <row r="4827" ht="14.25" customHeight="1" s="192">
      <c r="W4827" s="235" t="n"/>
      <c r="X4827" s="235" t="n"/>
    </row>
    <row r="4828" ht="14.25" customHeight="1" s="192">
      <c r="W4828" s="239" t="n"/>
      <c r="X4828" s="239" t="n"/>
    </row>
    <row r="4830" ht="14.25" customHeight="1" s="192">
      <c r="W4830" s="235" t="n"/>
      <c r="X4830" s="235" t="n"/>
    </row>
    <row r="4831" ht="15" customHeight="1" s="192" thickBot="1">
      <c r="W4831" s="239" t="n"/>
      <c r="X4831" s="239" t="n"/>
    </row>
    <row r="4832" ht="15" customHeight="1" s="192" thickBot="1">
      <c r="W4832" s="45" t="n"/>
      <c r="X4832" s="45" t="n"/>
    </row>
    <row r="4833" ht="14.25" customHeight="1" s="192">
      <c r="W4833" s="228" t="n"/>
      <c r="X4833" s="228" t="n"/>
    </row>
    <row r="4834" ht="14.25" customHeight="1" s="192">
      <c r="W4834" s="228" t="n"/>
      <c r="X4834" s="228" t="n"/>
    </row>
    <row r="4835" ht="14.25" customHeight="1" s="192">
      <c r="W4835" s="231" t="n"/>
      <c r="X4835" s="231" t="n"/>
    </row>
    <row r="4836" ht="14.25" customHeight="1" s="192">
      <c r="W4836" s="33" t="n"/>
      <c r="X4836" s="33" t="n"/>
    </row>
    <row r="4837" ht="14.25" customHeight="1" s="192">
      <c r="W4837" s="231" t="n"/>
      <c r="X4837" s="231" t="n"/>
    </row>
    <row r="4838" ht="14.25" customHeight="1" s="192">
      <c r="W4838" s="33" t="n"/>
      <c r="X4838" s="33" t="n"/>
    </row>
    <row r="4840" ht="14.25" customHeight="1" s="192">
      <c r="W4840" s="231" t="n"/>
      <c r="X4840" s="231" t="n"/>
    </row>
    <row r="4841" ht="14.25" customHeight="1" s="192">
      <c r="W4841" s="235" t="n"/>
      <c r="X4841" s="235" t="n"/>
    </row>
    <row r="4842" ht="14.25" customHeight="1" s="192">
      <c r="W4842" s="228" t="n"/>
      <c r="X4842" s="228" t="n"/>
    </row>
    <row r="4843" ht="14.25" customHeight="1" s="192">
      <c r="W4843" s="235" t="n"/>
      <c r="X4843" s="235" t="n"/>
    </row>
    <row r="4844" ht="14.25" customHeight="1" s="192">
      <c r="W4844" s="235" t="n"/>
      <c r="X4844" s="235" t="n"/>
    </row>
    <row r="4845" ht="14.25" customHeight="1" s="192">
      <c r="W4845" s="235" t="n"/>
      <c r="X4845" s="235" t="n"/>
    </row>
    <row r="4846" ht="14.25" customHeight="1" s="192">
      <c r="W4846" s="239" t="n"/>
      <c r="X4846" s="239" t="n"/>
    </row>
    <row r="4847" ht="14.25" customHeight="1" s="192">
      <c r="W4847" s="239" t="n"/>
      <c r="X4847" s="239" t="n"/>
    </row>
    <row r="4848" ht="14.25" customHeight="1" s="192">
      <c r="W4848" s="239" t="n"/>
      <c r="X4848" s="239" t="n"/>
    </row>
    <row r="4849" ht="14.25" customHeight="1" s="192">
      <c r="W4849" s="235" t="n"/>
      <c r="X4849" s="235" t="n"/>
    </row>
    <row r="4850" ht="14.25" customHeight="1" s="192">
      <c r="W4850" s="235" t="n"/>
      <c r="X4850" s="235" t="n"/>
    </row>
    <row r="4851" ht="14.25" customHeight="1" s="192">
      <c r="W4851" s="235" t="n"/>
      <c r="X4851" s="235" t="n"/>
    </row>
    <row r="4852" ht="14.25" customHeight="1" s="192">
      <c r="W4852" s="239" t="n"/>
      <c r="X4852" s="239" t="n"/>
    </row>
    <row r="4853" ht="14.25" customHeight="1" s="192">
      <c r="W4853" s="239" t="n"/>
      <c r="X4853" s="239" t="n"/>
    </row>
    <row r="4854" ht="14.25" customHeight="1" s="192">
      <c r="W4854" s="235" t="n"/>
      <c r="X4854" s="235" t="n"/>
    </row>
    <row r="4855" ht="14.25" customHeight="1" s="192">
      <c r="W4855" s="235" t="n"/>
      <c r="X4855" s="235" t="n"/>
    </row>
    <row r="4856" ht="14.25" customHeight="1" s="192">
      <c r="W4856" s="239" t="n"/>
      <c r="X4856" s="239" t="n"/>
    </row>
    <row r="4857" ht="14.25" customHeight="1" s="192">
      <c r="W4857" s="235" t="n"/>
      <c r="X4857" s="235" t="n"/>
    </row>
    <row r="4858" ht="14.25" customHeight="1" s="192">
      <c r="W4858" s="239" t="n"/>
      <c r="X4858" s="239" t="n"/>
    </row>
    <row r="4860" ht="14.25" customHeight="1" s="192">
      <c r="W4860" s="235" t="n"/>
      <c r="X4860" s="235" t="n"/>
    </row>
    <row r="4861" ht="15" customHeight="1" s="192" thickBot="1">
      <c r="W4861" s="239" t="n"/>
      <c r="X4861" s="239" t="n"/>
    </row>
    <row r="4862" ht="15" customHeight="1" s="192" thickBot="1">
      <c r="W4862" s="45" t="n"/>
      <c r="X4862" s="45" t="n"/>
    </row>
    <row r="4863" ht="14.25" customHeight="1" s="192">
      <c r="W4863" s="228" t="n"/>
      <c r="X4863" s="228" t="n"/>
    </row>
    <row r="4864" ht="14.25" customHeight="1" s="192">
      <c r="W4864" s="228" t="n"/>
      <c r="X4864" s="228" t="n"/>
    </row>
    <row r="4865" ht="14.25" customHeight="1" s="192">
      <c r="W4865" s="231" t="n"/>
      <c r="X4865" s="231" t="n"/>
    </row>
    <row r="4866" ht="14.25" customHeight="1" s="192">
      <c r="W4866" s="33" t="n"/>
      <c r="X4866" s="33" t="n"/>
    </row>
    <row r="4867" ht="14.25" customHeight="1" s="192">
      <c r="W4867" s="231" t="n"/>
      <c r="X4867" s="231" t="n"/>
    </row>
    <row r="4868" ht="14.25" customHeight="1" s="192">
      <c r="W4868" s="33" t="n"/>
      <c r="X4868" s="33" t="n"/>
    </row>
    <row r="4870" ht="14.25" customHeight="1" s="192">
      <c r="W4870" s="231" t="n"/>
      <c r="X4870" s="231" t="n"/>
    </row>
    <row r="4871" ht="14.25" customHeight="1" s="192">
      <c r="W4871" s="235" t="n"/>
      <c r="X4871" s="235" t="n"/>
    </row>
    <row r="4872" ht="14.25" customHeight="1" s="192">
      <c r="W4872" s="228" t="n"/>
      <c r="X4872" s="228" t="n"/>
    </row>
    <row r="4873" ht="14.25" customHeight="1" s="192">
      <c r="W4873" s="235" t="n"/>
      <c r="X4873" s="235" t="n"/>
    </row>
    <row r="4874" ht="14.25" customHeight="1" s="192">
      <c r="W4874" s="235" t="n"/>
      <c r="X4874" s="235" t="n"/>
    </row>
    <row r="4875" ht="14.25" customHeight="1" s="192">
      <c r="W4875" s="235" t="n"/>
      <c r="X4875" s="235" t="n"/>
    </row>
    <row r="4876" ht="14.25" customHeight="1" s="192">
      <c r="W4876" s="239" t="n"/>
      <c r="X4876" s="239" t="n"/>
    </row>
    <row r="4877" ht="14.25" customHeight="1" s="192">
      <c r="W4877" s="239" t="n"/>
      <c r="X4877" s="239" t="n"/>
    </row>
    <row r="4878" ht="14.25" customHeight="1" s="192">
      <c r="W4878" s="239" t="n"/>
      <c r="X4878" s="239" t="n"/>
    </row>
    <row r="4879" ht="14.25" customHeight="1" s="192">
      <c r="W4879" s="235" t="n"/>
      <c r="X4879" s="235" t="n"/>
    </row>
    <row r="4880" ht="14.25" customHeight="1" s="192">
      <c r="W4880" s="235" t="n"/>
      <c r="X4880" s="235" t="n"/>
    </row>
    <row r="4881" ht="14.25" customHeight="1" s="192">
      <c r="W4881" s="235" t="n"/>
      <c r="X4881" s="235" t="n"/>
    </row>
    <row r="4882" ht="14.25" customHeight="1" s="192">
      <c r="W4882" s="239" t="n"/>
      <c r="X4882" s="239" t="n"/>
    </row>
    <row r="4883" ht="14.25" customHeight="1" s="192">
      <c r="W4883" s="239" t="n"/>
      <c r="X4883" s="239" t="n"/>
    </row>
    <row r="4884" ht="14.25" customHeight="1" s="192">
      <c r="W4884" s="235" t="n"/>
      <c r="X4884" s="235" t="n"/>
    </row>
    <row r="4885" ht="14.25" customHeight="1" s="192">
      <c r="W4885" s="235" t="n"/>
      <c r="X4885" s="235" t="n"/>
    </row>
    <row r="4886" ht="14.25" customHeight="1" s="192">
      <c r="W4886" s="239" t="n"/>
      <c r="X4886" s="239" t="n"/>
    </row>
    <row r="4887" ht="14.25" customHeight="1" s="192">
      <c r="W4887" s="235" t="n"/>
      <c r="X4887" s="235" t="n"/>
    </row>
    <row r="4888" ht="14.25" customHeight="1" s="192">
      <c r="W4888" s="239" t="n"/>
      <c r="X4888" s="239" t="n"/>
    </row>
    <row r="4890" ht="14.25" customHeight="1" s="192">
      <c r="W4890" s="235" t="n"/>
      <c r="X4890" s="235" t="n"/>
    </row>
    <row r="4891" ht="15" customHeight="1" s="192" thickBot="1">
      <c r="W4891" s="239" t="n"/>
      <c r="X4891" s="239" t="n"/>
    </row>
    <row r="4892" ht="15" customHeight="1" s="192" thickBot="1">
      <c r="W4892" s="45" t="n"/>
      <c r="X4892" s="45" t="n"/>
    </row>
    <row r="4893" ht="14.25" customHeight="1" s="192">
      <c r="W4893" s="228" t="n"/>
      <c r="X4893" s="228" t="n"/>
    </row>
    <row r="4894" ht="14.25" customHeight="1" s="192">
      <c r="W4894" s="228" t="n"/>
      <c r="X4894" s="228" t="n"/>
    </row>
    <row r="4895" ht="14.25" customHeight="1" s="192">
      <c r="W4895" s="231" t="n"/>
      <c r="X4895" s="231" t="n"/>
    </row>
    <row r="4896" ht="14.25" customHeight="1" s="192">
      <c r="W4896" s="33" t="n"/>
      <c r="X4896" s="33" t="n"/>
    </row>
    <row r="4897" ht="14.25" customHeight="1" s="192">
      <c r="W4897" s="231" t="n"/>
      <c r="X4897" s="231" t="n"/>
    </row>
    <row r="4898" ht="14.25" customHeight="1" s="192">
      <c r="W4898" s="33" t="n"/>
      <c r="X4898" s="33" t="n"/>
    </row>
    <row r="4900" ht="14.25" customHeight="1" s="192">
      <c r="W4900" s="231" t="n"/>
      <c r="X4900" s="231" t="n"/>
    </row>
    <row r="4901" ht="14.25" customHeight="1" s="192">
      <c r="W4901" s="235" t="n"/>
      <c r="X4901" s="235" t="n"/>
    </row>
    <row r="4902" ht="14.25" customHeight="1" s="192">
      <c r="W4902" s="228" t="n"/>
      <c r="X4902" s="228" t="n"/>
    </row>
    <row r="4903" ht="14.25" customHeight="1" s="192">
      <c r="W4903" s="235" t="n"/>
      <c r="X4903" s="235" t="n"/>
    </row>
    <row r="4904" ht="14.25" customHeight="1" s="192">
      <c r="W4904" s="235" t="n"/>
      <c r="X4904" s="235" t="n"/>
    </row>
    <row r="4905" ht="14.25" customHeight="1" s="192">
      <c r="W4905" s="235" t="n"/>
      <c r="X4905" s="235" t="n"/>
    </row>
    <row r="4906" ht="14.25" customHeight="1" s="192">
      <c r="W4906" s="239" t="n"/>
      <c r="X4906" s="239" t="n"/>
    </row>
    <row r="4907" ht="14.25" customHeight="1" s="192">
      <c r="W4907" s="239" t="n"/>
      <c r="X4907" s="239" t="n"/>
    </row>
    <row r="4908" ht="14.25" customHeight="1" s="192">
      <c r="W4908" s="239" t="n"/>
      <c r="X4908" s="239" t="n"/>
    </row>
    <row r="4909" ht="14.25" customHeight="1" s="192">
      <c r="W4909" s="235" t="n"/>
      <c r="X4909" s="235" t="n"/>
    </row>
    <row r="4910" ht="14.25" customHeight="1" s="192">
      <c r="W4910" s="235" t="n"/>
      <c r="X4910" s="235" t="n"/>
    </row>
    <row r="4911" ht="14.25" customHeight="1" s="192">
      <c r="W4911" s="235" t="n"/>
      <c r="X4911" s="235" t="n"/>
    </row>
    <row r="4912" ht="14.25" customHeight="1" s="192">
      <c r="W4912" s="239" t="n"/>
      <c r="X4912" s="239" t="n"/>
    </row>
    <row r="4913" ht="14.25" customHeight="1" s="192">
      <c r="W4913" s="239" t="n"/>
      <c r="X4913" s="239" t="n"/>
    </row>
    <row r="4914" ht="14.25" customHeight="1" s="192">
      <c r="W4914" s="235" t="n"/>
      <c r="X4914" s="235" t="n"/>
    </row>
    <row r="4915" ht="14.25" customHeight="1" s="192">
      <c r="W4915" s="235" t="n"/>
      <c r="X4915" s="235" t="n"/>
    </row>
    <row r="4916" ht="14.25" customHeight="1" s="192">
      <c r="W4916" s="239" t="n"/>
      <c r="X4916" s="239" t="n"/>
    </row>
    <row r="4917" ht="14.25" customHeight="1" s="192">
      <c r="W4917" s="235" t="n"/>
      <c r="X4917" s="235" t="n"/>
    </row>
    <row r="4918" ht="14.25" customHeight="1" s="192">
      <c r="W4918" s="239" t="n"/>
      <c r="X4918" s="239" t="n"/>
    </row>
    <row r="4920" ht="14.25" customHeight="1" s="192">
      <c r="W4920" s="235" t="n"/>
      <c r="X4920" s="235" t="n"/>
    </row>
    <row r="4921" ht="15" customHeight="1" s="192" thickBot="1">
      <c r="W4921" s="239" t="n"/>
      <c r="X4921" s="239" t="n"/>
    </row>
    <row r="4922" ht="15" customHeight="1" s="192" thickBot="1">
      <c r="W4922" s="45" t="n"/>
      <c r="X4922" s="45" t="n"/>
    </row>
    <row r="4923" ht="14.25" customHeight="1" s="192">
      <c r="W4923" s="228" t="n"/>
      <c r="X4923" s="228" t="n"/>
    </row>
    <row r="4924" ht="14.25" customHeight="1" s="192">
      <c r="W4924" s="228" t="n"/>
      <c r="X4924" s="228" t="n"/>
    </row>
    <row r="4925" ht="14.25" customHeight="1" s="192">
      <c r="W4925" s="231" t="n"/>
      <c r="X4925" s="231" t="n"/>
    </row>
    <row r="4926" ht="14.25" customHeight="1" s="192">
      <c r="W4926" s="33" t="n"/>
      <c r="X4926" s="33" t="n"/>
    </row>
    <row r="4927" ht="14.25" customHeight="1" s="192">
      <c r="W4927" s="231" t="n"/>
      <c r="X4927" s="231" t="n"/>
    </row>
    <row r="4928" ht="14.25" customHeight="1" s="192">
      <c r="W4928" s="33" t="n"/>
      <c r="X4928" s="33" t="n"/>
    </row>
    <row r="4930" ht="14.25" customHeight="1" s="192">
      <c r="W4930" s="231" t="n"/>
      <c r="X4930" s="231" t="n"/>
    </row>
    <row r="4931" ht="14.25" customHeight="1" s="192">
      <c r="W4931" s="235" t="n"/>
      <c r="X4931" s="235" t="n"/>
    </row>
    <row r="4932" ht="14.25" customHeight="1" s="192">
      <c r="W4932" s="228" t="n"/>
      <c r="X4932" s="228" t="n"/>
    </row>
    <row r="4933" ht="14.25" customHeight="1" s="192">
      <c r="W4933" s="235" t="n"/>
      <c r="X4933" s="235" t="n"/>
    </row>
    <row r="4934" ht="14.25" customHeight="1" s="192">
      <c r="W4934" s="235" t="n"/>
      <c r="X4934" s="235" t="n"/>
    </row>
    <row r="4935" ht="14.25" customHeight="1" s="192">
      <c r="W4935" s="235" t="n"/>
      <c r="X4935" s="235" t="n"/>
    </row>
    <row r="4936" ht="14.25" customHeight="1" s="192">
      <c r="W4936" s="239" t="n"/>
      <c r="X4936" s="239" t="n"/>
    </row>
    <row r="4937" ht="14.25" customHeight="1" s="192">
      <c r="W4937" s="239" t="n"/>
      <c r="X4937" s="239" t="n"/>
    </row>
    <row r="4938" ht="14.25" customHeight="1" s="192">
      <c r="W4938" s="239" t="n"/>
      <c r="X4938" s="239" t="n"/>
    </row>
    <row r="4939" ht="14.25" customHeight="1" s="192">
      <c r="W4939" s="235" t="n"/>
      <c r="X4939" s="235" t="n"/>
    </row>
    <row r="4940" ht="14.25" customHeight="1" s="192">
      <c r="W4940" s="235" t="n"/>
      <c r="X4940" s="235" t="n"/>
    </row>
    <row r="4941" ht="14.25" customHeight="1" s="192">
      <c r="W4941" s="235" t="n"/>
      <c r="X4941" s="235" t="n"/>
    </row>
    <row r="4942" ht="14.25" customHeight="1" s="192">
      <c r="W4942" s="239" t="n"/>
      <c r="X4942" s="239" t="n"/>
    </row>
    <row r="4943" ht="14.25" customHeight="1" s="192">
      <c r="W4943" s="239" t="n"/>
      <c r="X4943" s="239" t="n"/>
    </row>
    <row r="4944" ht="14.25" customHeight="1" s="192">
      <c r="W4944" s="235" t="n"/>
      <c r="X4944" s="235" t="n"/>
    </row>
    <row r="4945" ht="14.25" customHeight="1" s="192">
      <c r="W4945" s="235" t="n"/>
      <c r="X4945" s="235" t="n"/>
    </row>
    <row r="4946" ht="14.25" customHeight="1" s="192">
      <c r="W4946" s="239" t="n"/>
      <c r="X4946" s="239" t="n"/>
    </row>
    <row r="4947" ht="14.25" customHeight="1" s="192">
      <c r="W4947" s="235" t="n"/>
      <c r="X4947" s="235" t="n"/>
    </row>
    <row r="4948" ht="14.25" customHeight="1" s="192">
      <c r="W4948" s="239" t="n"/>
      <c r="X4948" s="239" t="n"/>
    </row>
    <row r="4950" ht="14.25" customHeight="1" s="192">
      <c r="W4950" s="235" t="n"/>
      <c r="X4950" s="235" t="n"/>
    </row>
    <row r="4951" ht="15" customHeight="1" s="192" thickBot="1">
      <c r="W4951" s="239" t="n"/>
      <c r="X4951" s="239" t="n"/>
    </row>
    <row r="4952" ht="15" customHeight="1" s="192" thickBot="1">
      <c r="W4952" s="45" t="n"/>
      <c r="X4952" s="45" t="n"/>
    </row>
    <row r="4953" ht="14.25" customHeight="1" s="192">
      <c r="W4953" s="228" t="n"/>
      <c r="X4953" s="228" t="n"/>
    </row>
    <row r="4954" ht="14.25" customHeight="1" s="192">
      <c r="W4954" s="228" t="n"/>
      <c r="X4954" s="228" t="n"/>
    </row>
    <row r="4955" ht="14.25" customHeight="1" s="192">
      <c r="W4955" s="231" t="n"/>
      <c r="X4955" s="231" t="n"/>
    </row>
    <row r="4956" ht="14.25" customHeight="1" s="192">
      <c r="W4956" s="33" t="n"/>
      <c r="X4956" s="33" t="n"/>
    </row>
    <row r="4957" ht="14.25" customHeight="1" s="192">
      <c r="W4957" s="231" t="n"/>
      <c r="X4957" s="231" t="n"/>
    </row>
    <row r="4958" ht="14.25" customHeight="1" s="192">
      <c r="W4958" s="33" t="n"/>
      <c r="X4958" s="33" t="n"/>
    </row>
    <row r="4960" ht="14.25" customHeight="1" s="192">
      <c r="W4960" s="231" t="n"/>
      <c r="X4960" s="231" t="n"/>
    </row>
    <row r="4961" ht="14.25" customHeight="1" s="192">
      <c r="W4961" s="235" t="n"/>
      <c r="X4961" s="235" t="n"/>
    </row>
    <row r="4962" ht="14.25" customHeight="1" s="192">
      <c r="W4962" s="228" t="n"/>
      <c r="X4962" s="228" t="n"/>
    </row>
    <row r="4963" ht="14.25" customHeight="1" s="192">
      <c r="W4963" s="235" t="n"/>
      <c r="X4963" s="235" t="n"/>
    </row>
    <row r="4964" ht="14.25" customHeight="1" s="192">
      <c r="W4964" s="235" t="n"/>
      <c r="X4964" s="235" t="n"/>
    </row>
    <row r="4965" ht="14.25" customHeight="1" s="192">
      <c r="W4965" s="235" t="n"/>
      <c r="X4965" s="235" t="n"/>
    </row>
    <row r="4966" ht="14.25" customHeight="1" s="192">
      <c r="W4966" s="239" t="n"/>
      <c r="X4966" s="239" t="n"/>
    </row>
    <row r="4967" ht="14.25" customHeight="1" s="192">
      <c r="W4967" s="239" t="n"/>
      <c r="X4967" s="239" t="n"/>
    </row>
    <row r="4968" ht="14.25" customHeight="1" s="192">
      <c r="W4968" s="239" t="n"/>
      <c r="X4968" s="239" t="n"/>
    </row>
    <row r="4969" ht="14.25" customHeight="1" s="192">
      <c r="W4969" s="235" t="n"/>
      <c r="X4969" s="235" t="n"/>
    </row>
    <row r="4970" ht="14.25" customHeight="1" s="192">
      <c r="W4970" s="235" t="n"/>
      <c r="X4970" s="235" t="n"/>
    </row>
    <row r="4971" ht="14.25" customHeight="1" s="192">
      <c r="W4971" s="235" t="n"/>
      <c r="X4971" s="235" t="n"/>
    </row>
    <row r="4972" ht="14.25" customHeight="1" s="192">
      <c r="W4972" s="239" t="n"/>
      <c r="X4972" s="239" t="n"/>
    </row>
    <row r="4973" ht="14.25" customHeight="1" s="192">
      <c r="W4973" s="239" t="n"/>
      <c r="X4973" s="239" t="n"/>
    </row>
    <row r="4974" ht="14.25" customHeight="1" s="192">
      <c r="W4974" s="235" t="n"/>
      <c r="X4974" s="235" t="n"/>
    </row>
    <row r="4975" ht="14.25" customHeight="1" s="192">
      <c r="W4975" s="235" t="n"/>
      <c r="X4975" s="235" t="n"/>
    </row>
    <row r="4976" ht="14.25" customHeight="1" s="192">
      <c r="W4976" s="239" t="n"/>
      <c r="X4976" s="239" t="n"/>
    </row>
    <row r="4977" ht="14.25" customHeight="1" s="192">
      <c r="W4977" s="235" t="n"/>
      <c r="X4977" s="235" t="n"/>
    </row>
    <row r="4978" ht="14.25" customHeight="1" s="192">
      <c r="W4978" s="239" t="n"/>
      <c r="X4978" s="239" t="n"/>
    </row>
    <row r="4980" ht="14.25" customHeight="1" s="192">
      <c r="W4980" s="235" t="n"/>
      <c r="X4980" s="235" t="n"/>
    </row>
    <row r="4981" ht="15" customHeight="1" s="192" thickBot="1">
      <c r="W4981" s="239" t="n"/>
      <c r="X4981" s="239" t="n"/>
    </row>
    <row r="4982" ht="15" customHeight="1" s="192" thickBot="1">
      <c r="W4982" s="45" t="n"/>
      <c r="X4982" s="45" t="n"/>
    </row>
    <row r="4983" ht="14.25" customHeight="1" s="192">
      <c r="W4983" s="228" t="n"/>
      <c r="X4983" s="228" t="n"/>
    </row>
    <row r="4984" ht="14.25" customHeight="1" s="192">
      <c r="W4984" s="228" t="n"/>
      <c r="X4984" s="228" t="n"/>
    </row>
    <row r="4985" ht="14.25" customHeight="1" s="192">
      <c r="W4985" s="231" t="n"/>
      <c r="X4985" s="231" t="n"/>
    </row>
    <row r="4986" ht="14.25" customHeight="1" s="192">
      <c r="W4986" s="33" t="n"/>
      <c r="X4986" s="33" t="n"/>
    </row>
    <row r="4987" ht="14.25" customHeight="1" s="192">
      <c r="W4987" s="231" t="n"/>
      <c r="X4987" s="231" t="n"/>
    </row>
    <row r="4988" ht="14.25" customHeight="1" s="192">
      <c r="W4988" s="33" t="n"/>
      <c r="X4988" s="33" t="n"/>
    </row>
    <row r="4990" ht="14.25" customHeight="1" s="192">
      <c r="W4990" s="231" t="n"/>
      <c r="X4990" s="231" t="n"/>
    </row>
    <row r="4991" ht="14.25" customHeight="1" s="192">
      <c r="W4991" s="235" t="n"/>
      <c r="X4991" s="235" t="n"/>
    </row>
    <row r="4992" ht="14.25" customHeight="1" s="192">
      <c r="W4992" s="228" t="n"/>
      <c r="X4992" s="228" t="n"/>
    </row>
    <row r="4993" ht="14.25" customHeight="1" s="192">
      <c r="W4993" s="235" t="n"/>
      <c r="X4993" s="235" t="n"/>
    </row>
    <row r="4994" ht="14.25" customHeight="1" s="192">
      <c r="W4994" s="235" t="n"/>
      <c r="X4994" s="235" t="n"/>
    </row>
    <row r="4995" ht="14.25" customHeight="1" s="192">
      <c r="W4995" s="235" t="n"/>
      <c r="X4995" s="235" t="n"/>
    </row>
    <row r="4996" ht="14.25" customHeight="1" s="192">
      <c r="W4996" s="239" t="n"/>
      <c r="X4996" s="239" t="n"/>
    </row>
    <row r="4997" ht="14.25" customHeight="1" s="192">
      <c r="W4997" s="239" t="n"/>
      <c r="X4997" s="239" t="n"/>
    </row>
    <row r="4998" ht="14.25" customHeight="1" s="192">
      <c r="W4998" s="239" t="n"/>
      <c r="X4998" s="239" t="n"/>
    </row>
    <row r="4999" ht="14.25" customHeight="1" s="192">
      <c r="W4999" s="235" t="n"/>
      <c r="X4999" s="235" t="n"/>
    </row>
    <row r="5000" ht="14.25" customHeight="1" s="192">
      <c r="W5000" s="235" t="n"/>
      <c r="X5000" s="235" t="n"/>
    </row>
    <row r="5001" ht="14.25" customHeight="1" s="192">
      <c r="W5001" s="235" t="n"/>
      <c r="X5001" s="235" t="n"/>
    </row>
    <row r="5002" ht="14.25" customHeight="1" s="192">
      <c r="W5002" s="239" t="n"/>
      <c r="X5002" s="239" t="n"/>
    </row>
    <row r="5003" ht="14.25" customHeight="1" s="192">
      <c r="W5003" s="239" t="n"/>
      <c r="X5003" s="239" t="n"/>
    </row>
    <row r="5004" ht="14.25" customHeight="1" s="192">
      <c r="W5004" s="235" t="n"/>
      <c r="X5004" s="235" t="n"/>
    </row>
    <row r="5005" ht="14.25" customHeight="1" s="192">
      <c r="W5005" s="235" t="n"/>
      <c r="X5005" s="235" t="n"/>
    </row>
    <row r="5006" ht="14.25" customHeight="1" s="192">
      <c r="W5006" s="239" t="n"/>
      <c r="X5006" s="239" t="n"/>
    </row>
    <row r="5007" ht="14.25" customHeight="1" s="192">
      <c r="W5007" s="235" t="n"/>
      <c r="X5007" s="235" t="n"/>
    </row>
    <row r="5008" ht="14.25" customHeight="1" s="192">
      <c r="W5008" s="239" t="n"/>
      <c r="X5008" s="239" t="n"/>
    </row>
    <row r="5010" ht="14.25" customHeight="1" s="192">
      <c r="W5010" s="235" t="n"/>
      <c r="X5010" s="235" t="n"/>
    </row>
    <row r="5011" ht="15" customHeight="1" s="192" thickBot="1">
      <c r="W5011" s="239" t="n"/>
      <c r="X5011" s="239" t="n"/>
    </row>
    <row r="5012" ht="15" customHeight="1" s="192" thickBot="1">
      <c r="W5012" s="45" t="n"/>
      <c r="X5012" s="45" t="n"/>
    </row>
    <row r="5013" ht="14.25" customHeight="1" s="192">
      <c r="W5013" s="228" t="n"/>
      <c r="X5013" s="228" t="n"/>
    </row>
    <row r="5014" ht="14.25" customHeight="1" s="192">
      <c r="W5014" s="228" t="n"/>
      <c r="X5014" s="228" t="n"/>
    </row>
    <row r="5015" ht="14.25" customHeight="1" s="192">
      <c r="W5015" s="231" t="n"/>
      <c r="X5015" s="231" t="n"/>
    </row>
    <row r="5016" ht="14.25" customHeight="1" s="192">
      <c r="W5016" s="33" t="n"/>
      <c r="X5016" s="33" t="n"/>
    </row>
    <row r="5017" ht="14.25" customHeight="1" s="192">
      <c r="W5017" s="231" t="n"/>
      <c r="X5017" s="231" t="n"/>
    </row>
    <row r="5018" ht="14.25" customHeight="1" s="192">
      <c r="W5018" s="33" t="n"/>
      <c r="X5018" s="33" t="n"/>
    </row>
    <row r="5020" ht="14.25" customHeight="1" s="192">
      <c r="W5020" s="231" t="n"/>
      <c r="X5020" s="231" t="n"/>
    </row>
    <row r="5021" ht="14.25" customHeight="1" s="192">
      <c r="W5021" s="235" t="n"/>
      <c r="X5021" s="235" t="n"/>
    </row>
    <row r="5022" ht="14.25" customHeight="1" s="192">
      <c r="W5022" s="228" t="n"/>
      <c r="X5022" s="228" t="n"/>
    </row>
    <row r="5023" ht="14.25" customHeight="1" s="192">
      <c r="W5023" s="235" t="n"/>
      <c r="X5023" s="235" t="n"/>
    </row>
    <row r="5024" ht="14.25" customHeight="1" s="192">
      <c r="W5024" s="235" t="n"/>
      <c r="X5024" s="235" t="n"/>
    </row>
    <row r="5025" ht="14.25" customHeight="1" s="192">
      <c r="W5025" s="235" t="n"/>
      <c r="X5025" s="235" t="n"/>
    </row>
    <row r="5026" ht="14.25" customHeight="1" s="192">
      <c r="W5026" s="239" t="n"/>
      <c r="X5026" s="239" t="n"/>
    </row>
    <row r="5027" ht="14.25" customHeight="1" s="192">
      <c r="W5027" s="239" t="n"/>
      <c r="X5027" s="239" t="n"/>
    </row>
    <row r="5028" ht="14.25" customHeight="1" s="192">
      <c r="W5028" s="239" t="n"/>
      <c r="X5028" s="239" t="n"/>
    </row>
    <row r="5029" ht="14.25" customHeight="1" s="192">
      <c r="W5029" s="235" t="n"/>
      <c r="X5029" s="235" t="n"/>
    </row>
    <row r="5030" ht="14.25" customHeight="1" s="192">
      <c r="W5030" s="235" t="n"/>
      <c r="X5030" s="235" t="n"/>
    </row>
    <row r="5031" ht="14.25" customHeight="1" s="192">
      <c r="W5031" s="235" t="n"/>
      <c r="X5031" s="235" t="n"/>
    </row>
    <row r="5032" ht="14.25" customHeight="1" s="192">
      <c r="W5032" s="239" t="n"/>
      <c r="X5032" s="239" t="n"/>
    </row>
    <row r="5033" ht="14.25" customHeight="1" s="192">
      <c r="W5033" s="239" t="n"/>
      <c r="X5033" s="239" t="n"/>
    </row>
    <row r="5034" ht="14.25" customHeight="1" s="192">
      <c r="W5034" s="235" t="n"/>
      <c r="X5034" s="235" t="n"/>
    </row>
    <row r="5035" ht="14.25" customHeight="1" s="192">
      <c r="W5035" s="235" t="n"/>
      <c r="X5035" s="235" t="n"/>
    </row>
    <row r="5036" ht="14.25" customHeight="1" s="192">
      <c r="W5036" s="239" t="n"/>
      <c r="X5036" s="239" t="n"/>
    </row>
    <row r="5037" ht="14.25" customHeight="1" s="192">
      <c r="W5037" s="235" t="n"/>
      <c r="X5037" s="235" t="n"/>
    </row>
    <row r="5038" ht="14.25" customHeight="1" s="192">
      <c r="W5038" s="239" t="n"/>
      <c r="X5038" s="239" t="n"/>
    </row>
    <row r="5040" ht="14.25" customHeight="1" s="192">
      <c r="W5040" s="235" t="n"/>
      <c r="X5040" s="235" t="n"/>
    </row>
    <row r="5041" ht="15" customHeight="1" s="192" thickBot="1">
      <c r="W5041" s="239" t="n"/>
      <c r="X5041" s="239" t="n"/>
    </row>
    <row r="5042" ht="15" customHeight="1" s="192" thickBot="1">
      <c r="W5042" s="45" t="n"/>
      <c r="X5042" s="45" t="n"/>
    </row>
    <row r="5043" ht="14.25" customHeight="1" s="192">
      <c r="W5043" s="228" t="n"/>
      <c r="X5043" s="228" t="n"/>
    </row>
    <row r="5044" ht="14.25" customHeight="1" s="192">
      <c r="W5044" s="228" t="n"/>
      <c r="X5044" s="228" t="n"/>
    </row>
    <row r="5045" ht="14.25" customHeight="1" s="192">
      <c r="W5045" s="231" t="n"/>
      <c r="X5045" s="231" t="n"/>
    </row>
    <row r="5046" ht="14.25" customHeight="1" s="192">
      <c r="W5046" s="33" t="n"/>
      <c r="X5046" s="33" t="n"/>
    </row>
    <row r="5047" ht="14.25" customHeight="1" s="192">
      <c r="W5047" s="231" t="n"/>
      <c r="X5047" s="231" t="n"/>
    </row>
    <row r="5048" ht="14.25" customHeight="1" s="192">
      <c r="W5048" s="33" t="n"/>
      <c r="X5048" s="33" t="n"/>
    </row>
    <row r="5050" ht="14.25" customHeight="1" s="192">
      <c r="W5050" s="231" t="n"/>
      <c r="X5050" s="231" t="n"/>
    </row>
    <row r="5051" ht="14.25" customHeight="1" s="192">
      <c r="W5051" s="235" t="n"/>
      <c r="X5051" s="235" t="n"/>
    </row>
    <row r="5052" ht="14.25" customHeight="1" s="192">
      <c r="W5052" s="228" t="n"/>
      <c r="X5052" s="228" t="n"/>
    </row>
    <row r="5053" ht="14.25" customHeight="1" s="192">
      <c r="W5053" s="235" t="n"/>
      <c r="X5053" s="235" t="n"/>
    </row>
    <row r="5054" ht="14.25" customHeight="1" s="192">
      <c r="W5054" s="235" t="n"/>
      <c r="X5054" s="235" t="n"/>
    </row>
    <row r="5055" ht="14.25" customHeight="1" s="192">
      <c r="W5055" s="235" t="n"/>
      <c r="X5055" s="235" t="n"/>
    </row>
    <row r="5056" ht="14.25" customHeight="1" s="192">
      <c r="W5056" s="239" t="n"/>
      <c r="X5056" s="239" t="n"/>
    </row>
    <row r="5057" ht="14.25" customHeight="1" s="192">
      <c r="W5057" s="239" t="n"/>
      <c r="X5057" s="239" t="n"/>
    </row>
    <row r="5058" ht="14.25" customHeight="1" s="192">
      <c r="W5058" s="239" t="n"/>
      <c r="X5058" s="239" t="n"/>
    </row>
    <row r="5059" ht="14.25" customHeight="1" s="192">
      <c r="W5059" s="235" t="n"/>
      <c r="X5059" s="235" t="n"/>
    </row>
    <row r="5060" ht="14.25" customHeight="1" s="192">
      <c r="W5060" s="235" t="n"/>
      <c r="X5060" s="235" t="n"/>
    </row>
    <row r="5061" ht="14.25" customHeight="1" s="192">
      <c r="W5061" s="235" t="n"/>
      <c r="X5061" s="235" t="n"/>
    </row>
    <row r="5062" ht="14.25" customHeight="1" s="192">
      <c r="W5062" s="239" t="n"/>
      <c r="X5062" s="239" t="n"/>
    </row>
    <row r="5063" ht="14.25" customHeight="1" s="192">
      <c r="W5063" s="239" t="n"/>
      <c r="X5063" s="239" t="n"/>
    </row>
    <row r="5064" ht="14.25" customHeight="1" s="192">
      <c r="W5064" s="235" t="n"/>
      <c r="X5064" s="235" t="n"/>
    </row>
    <row r="5065" ht="14.25" customHeight="1" s="192">
      <c r="W5065" s="235" t="n"/>
      <c r="X5065" s="235" t="n"/>
    </row>
    <row r="5066" ht="14.25" customHeight="1" s="192">
      <c r="W5066" s="239" t="n"/>
      <c r="X5066" s="239" t="n"/>
    </row>
    <row r="5067" ht="14.25" customHeight="1" s="192">
      <c r="W5067" s="235" t="n"/>
      <c r="X5067" s="235" t="n"/>
    </row>
    <row r="5068" ht="14.25" customHeight="1" s="192">
      <c r="W5068" s="239" t="n"/>
      <c r="X5068" s="239" t="n"/>
    </row>
    <row r="5070" ht="14.25" customHeight="1" s="192">
      <c r="W5070" s="235" t="n"/>
      <c r="X5070" s="235" t="n"/>
    </row>
    <row r="5071" ht="15" customHeight="1" s="192" thickBot="1">
      <c r="W5071" s="239" t="n"/>
      <c r="X5071" s="239" t="n"/>
    </row>
    <row r="5072" ht="15" customHeight="1" s="192" thickBot="1">
      <c r="W5072" s="45" t="n"/>
      <c r="X5072" s="45" t="n"/>
    </row>
    <row r="5073" ht="14.25" customHeight="1" s="192">
      <c r="W5073" s="228" t="n"/>
      <c r="X5073" s="228" t="n"/>
    </row>
    <row r="5074" ht="14.25" customHeight="1" s="192">
      <c r="W5074" s="228" t="n"/>
      <c r="X5074" s="228" t="n"/>
    </row>
    <row r="5075" ht="14.25" customHeight="1" s="192">
      <c r="W5075" s="231" t="n"/>
      <c r="X5075" s="231" t="n"/>
    </row>
    <row r="5076" ht="14.25" customHeight="1" s="192">
      <c r="W5076" s="33" t="n"/>
      <c r="X5076" s="33" t="n"/>
    </row>
    <row r="5077" ht="14.25" customHeight="1" s="192">
      <c r="W5077" s="231" t="n"/>
      <c r="X5077" s="231" t="n"/>
    </row>
    <row r="5078" ht="14.25" customHeight="1" s="192">
      <c r="W5078" s="33" t="n"/>
      <c r="X5078" s="33" t="n"/>
    </row>
    <row r="5080" ht="14.25" customHeight="1" s="192">
      <c r="W5080" s="231" t="n"/>
      <c r="X5080" s="231" t="n"/>
    </row>
    <row r="5081" ht="14.25" customHeight="1" s="192">
      <c r="W5081" s="235" t="n"/>
      <c r="X5081" s="235" t="n"/>
    </row>
    <row r="5082" ht="14.25" customHeight="1" s="192">
      <c r="W5082" s="228" t="n"/>
      <c r="X5082" s="228" t="n"/>
    </row>
    <row r="5083" ht="14.25" customHeight="1" s="192">
      <c r="W5083" s="235" t="n"/>
      <c r="X5083" s="235" t="n"/>
    </row>
    <row r="5084" ht="14.25" customHeight="1" s="192">
      <c r="W5084" s="235" t="n"/>
      <c r="X5084" s="235" t="n"/>
    </row>
    <row r="5085" ht="14.25" customHeight="1" s="192">
      <c r="W5085" s="235" t="n"/>
      <c r="X5085" s="235" t="n"/>
    </row>
    <row r="5086" ht="14.25" customHeight="1" s="192">
      <c r="W5086" s="239" t="n"/>
      <c r="X5086" s="239" t="n"/>
    </row>
    <row r="5087" ht="14.25" customHeight="1" s="192">
      <c r="W5087" s="239" t="n"/>
      <c r="X5087" s="239" t="n"/>
    </row>
    <row r="5088" ht="14.25" customHeight="1" s="192">
      <c r="W5088" s="239" t="n"/>
      <c r="X5088" s="239" t="n"/>
    </row>
    <row r="5089" ht="14.25" customHeight="1" s="192">
      <c r="W5089" s="235" t="n"/>
      <c r="X5089" s="235" t="n"/>
    </row>
    <row r="5090" ht="14.25" customHeight="1" s="192">
      <c r="W5090" s="235" t="n"/>
      <c r="X5090" s="235" t="n"/>
    </row>
    <row r="5091" ht="14.25" customHeight="1" s="192">
      <c r="W5091" s="235" t="n"/>
      <c r="X5091" s="235" t="n"/>
    </row>
    <row r="5092" ht="14.25" customHeight="1" s="192">
      <c r="W5092" s="239" t="n"/>
      <c r="X5092" s="239" t="n"/>
    </row>
    <row r="5093" ht="14.25" customHeight="1" s="192">
      <c r="W5093" s="239" t="n"/>
      <c r="X5093" s="239" t="n"/>
    </row>
    <row r="5094" ht="14.25" customHeight="1" s="192">
      <c r="W5094" s="235" t="n"/>
      <c r="X5094" s="235" t="n"/>
    </row>
    <row r="5095" ht="14.25" customHeight="1" s="192">
      <c r="W5095" s="235" t="n"/>
      <c r="X5095" s="235" t="n"/>
    </row>
    <row r="5096" ht="14.25" customHeight="1" s="192">
      <c r="W5096" s="239" t="n"/>
      <c r="X5096" s="239" t="n"/>
    </row>
    <row r="5097" ht="14.25" customHeight="1" s="192">
      <c r="W5097" s="235" t="n"/>
      <c r="X5097" s="235" t="n"/>
    </row>
    <row r="5098" ht="14.25" customHeight="1" s="192">
      <c r="W5098" s="239" t="n"/>
      <c r="X5098" s="239" t="n"/>
    </row>
    <row r="5100" ht="14.25" customHeight="1" s="192">
      <c r="W5100" s="235" t="n"/>
      <c r="X5100" s="235" t="n"/>
    </row>
    <row r="5101" ht="15" customHeight="1" s="192" thickBot="1">
      <c r="W5101" s="239" t="n"/>
      <c r="X5101" s="239" t="n"/>
    </row>
    <row r="5102" ht="15" customHeight="1" s="192" thickBot="1">
      <c r="W5102" s="45" t="n"/>
      <c r="X5102" s="45" t="n"/>
    </row>
    <row r="5103" ht="14.25" customHeight="1" s="192">
      <c r="W5103" s="228" t="n"/>
      <c r="X5103" s="228" t="n"/>
    </row>
    <row r="5104" ht="14.25" customHeight="1" s="192">
      <c r="W5104" s="228" t="n"/>
      <c r="X5104" s="228" t="n"/>
    </row>
    <row r="5105" ht="14.25" customHeight="1" s="192">
      <c r="W5105" s="231" t="n"/>
      <c r="X5105" s="231" t="n"/>
    </row>
    <row r="5106" ht="14.25" customHeight="1" s="192">
      <c r="W5106" s="33" t="n"/>
      <c r="X5106" s="33" t="n"/>
    </row>
    <row r="5107" ht="14.25" customHeight="1" s="192">
      <c r="W5107" s="231" t="n"/>
      <c r="X5107" s="231" t="n"/>
    </row>
    <row r="5108" ht="14.25" customHeight="1" s="192">
      <c r="W5108" s="33" t="n"/>
      <c r="X5108" s="33" t="n"/>
    </row>
    <row r="5110" ht="14.25" customHeight="1" s="192">
      <c r="W5110" s="231" t="n"/>
      <c r="X5110" s="231" t="n"/>
    </row>
    <row r="5111" ht="14.25" customHeight="1" s="192">
      <c r="W5111" s="235" t="n"/>
      <c r="X5111" s="235" t="n"/>
    </row>
    <row r="5112" ht="14.25" customHeight="1" s="192">
      <c r="W5112" s="228" t="n"/>
      <c r="X5112" s="228" t="n"/>
    </row>
    <row r="5113" ht="14.25" customHeight="1" s="192">
      <c r="W5113" s="235" t="n"/>
      <c r="X5113" s="235" t="n"/>
    </row>
    <row r="5114" ht="14.25" customHeight="1" s="192">
      <c r="W5114" s="235" t="n"/>
      <c r="X5114" s="235" t="n"/>
    </row>
    <row r="5115" ht="14.25" customHeight="1" s="192">
      <c r="W5115" s="235" t="n"/>
      <c r="X5115" s="235" t="n"/>
    </row>
    <row r="5116" ht="14.25" customHeight="1" s="192">
      <c r="W5116" s="239" t="n"/>
      <c r="X5116" s="239" t="n"/>
    </row>
    <row r="5117" ht="14.25" customHeight="1" s="192">
      <c r="W5117" s="239" t="n"/>
      <c r="X5117" s="239" t="n"/>
    </row>
    <row r="5118" ht="14.25" customHeight="1" s="192">
      <c r="W5118" s="239" t="n"/>
      <c r="X5118" s="239" t="n"/>
    </row>
    <row r="5119" ht="14.25" customHeight="1" s="192">
      <c r="W5119" s="235" t="n"/>
      <c r="X5119" s="235" t="n"/>
    </row>
    <row r="5120" ht="14.25" customHeight="1" s="192">
      <c r="W5120" s="235" t="n"/>
      <c r="X5120" s="235" t="n"/>
    </row>
    <row r="5121" ht="14.25" customHeight="1" s="192">
      <c r="W5121" s="235" t="n"/>
      <c r="X5121" s="235" t="n"/>
    </row>
    <row r="5122" ht="14.25" customHeight="1" s="192">
      <c r="W5122" s="239" t="n"/>
      <c r="X5122" s="239" t="n"/>
    </row>
    <row r="5123" ht="14.25" customHeight="1" s="192">
      <c r="W5123" s="239" t="n"/>
      <c r="X5123" s="239" t="n"/>
    </row>
    <row r="5124" ht="14.25" customHeight="1" s="192">
      <c r="W5124" s="235" t="n"/>
      <c r="X5124" s="235" t="n"/>
    </row>
    <row r="5125" ht="14.25" customHeight="1" s="192">
      <c r="W5125" s="235" t="n"/>
      <c r="X5125" s="235" t="n"/>
    </row>
    <row r="5126" ht="14.25" customHeight="1" s="192">
      <c r="W5126" s="239" t="n"/>
      <c r="X5126" s="239" t="n"/>
    </row>
    <row r="5127" ht="14.25" customHeight="1" s="192">
      <c r="W5127" s="235" t="n"/>
      <c r="X5127" s="235" t="n"/>
    </row>
    <row r="5128" ht="14.25" customHeight="1" s="192">
      <c r="W5128" s="239" t="n"/>
      <c r="X5128" s="239" t="n"/>
    </row>
    <row r="5130" ht="14.25" customHeight="1" s="192">
      <c r="W5130" s="235" t="n"/>
      <c r="X5130" s="235" t="n"/>
    </row>
    <row r="5131" ht="15" customHeight="1" s="192" thickBot="1">
      <c r="W5131" s="239" t="n"/>
      <c r="X5131" s="239" t="n"/>
    </row>
    <row r="5132" ht="15" customHeight="1" s="192" thickBot="1">
      <c r="W5132" s="45" t="n"/>
      <c r="X5132" s="45" t="n"/>
    </row>
    <row r="5133" ht="14.25" customHeight="1" s="192">
      <c r="W5133" s="228" t="n"/>
      <c r="X5133" s="228" t="n"/>
    </row>
    <row r="5134" ht="14.25" customHeight="1" s="192">
      <c r="W5134" s="228" t="n"/>
      <c r="X5134" s="228" t="n"/>
    </row>
    <row r="5135" ht="14.25" customHeight="1" s="192">
      <c r="W5135" s="231" t="n"/>
      <c r="X5135" s="231" t="n"/>
    </row>
    <row r="5136" ht="14.25" customHeight="1" s="192">
      <c r="W5136" s="33" t="n"/>
      <c r="X5136" s="33" t="n"/>
    </row>
    <row r="5137" ht="14.25" customHeight="1" s="192">
      <c r="W5137" s="231" t="n"/>
      <c r="X5137" s="231" t="n"/>
    </row>
    <row r="5138" ht="14.25" customHeight="1" s="192">
      <c r="W5138" s="33" t="n"/>
      <c r="X5138" s="33" t="n"/>
    </row>
    <row r="5140" ht="14.25" customHeight="1" s="192">
      <c r="W5140" s="231" t="n"/>
      <c r="X5140" s="231" t="n"/>
    </row>
    <row r="5141" ht="14.25" customHeight="1" s="192">
      <c r="W5141" s="235" t="n"/>
      <c r="X5141" s="235" t="n"/>
    </row>
    <row r="5142" ht="14.25" customHeight="1" s="192">
      <c r="W5142" s="228" t="n"/>
      <c r="X5142" s="228" t="n"/>
    </row>
    <row r="5143" ht="14.25" customHeight="1" s="192">
      <c r="W5143" s="235" t="n"/>
      <c r="X5143" s="235" t="n"/>
    </row>
    <row r="5144" ht="14.25" customHeight="1" s="192">
      <c r="W5144" s="235" t="n"/>
      <c r="X5144" s="235" t="n"/>
    </row>
    <row r="5145" ht="14.25" customHeight="1" s="192">
      <c r="W5145" s="235" t="n"/>
      <c r="X5145" s="235" t="n"/>
    </row>
    <row r="5146" ht="14.25" customHeight="1" s="192">
      <c r="W5146" s="239" t="n"/>
      <c r="X5146" s="239" t="n"/>
    </row>
    <row r="5147" ht="14.25" customHeight="1" s="192">
      <c r="W5147" s="239" t="n"/>
      <c r="X5147" s="239" t="n"/>
    </row>
    <row r="5148" ht="14.25" customHeight="1" s="192">
      <c r="W5148" s="239" t="n"/>
      <c r="X5148" s="239" t="n"/>
    </row>
    <row r="5149" ht="14.25" customHeight="1" s="192">
      <c r="W5149" s="235" t="n"/>
      <c r="X5149" s="235" t="n"/>
    </row>
    <row r="5150" ht="14.25" customHeight="1" s="192">
      <c r="W5150" s="235" t="n"/>
      <c r="X5150" s="235" t="n"/>
    </row>
    <row r="5151" ht="14.25" customHeight="1" s="192">
      <c r="W5151" s="235" t="n"/>
      <c r="X5151" s="235" t="n"/>
    </row>
    <row r="5152" ht="14.25" customHeight="1" s="192">
      <c r="W5152" s="239" t="n"/>
      <c r="X5152" s="239" t="n"/>
    </row>
    <row r="5153" ht="14.25" customHeight="1" s="192">
      <c r="W5153" s="239" t="n"/>
      <c r="X5153" s="239" t="n"/>
    </row>
    <row r="5154" ht="14.25" customHeight="1" s="192">
      <c r="W5154" s="235" t="n"/>
      <c r="X5154" s="235" t="n"/>
    </row>
    <row r="5155" ht="14.25" customHeight="1" s="192">
      <c r="W5155" s="235" t="n"/>
      <c r="X5155" s="235" t="n"/>
    </row>
    <row r="5156" ht="14.25" customHeight="1" s="192">
      <c r="W5156" s="239" t="n"/>
      <c r="X5156" s="239" t="n"/>
    </row>
    <row r="5157" ht="14.25" customHeight="1" s="192">
      <c r="W5157" s="235" t="n"/>
      <c r="X5157" s="235" t="n"/>
    </row>
    <row r="5158" ht="14.25" customHeight="1" s="192">
      <c r="W5158" s="239" t="n"/>
      <c r="X5158" s="239" t="n"/>
    </row>
    <row r="5160" ht="14.25" customHeight="1" s="192">
      <c r="W5160" s="235" t="n"/>
      <c r="X5160" s="235" t="n"/>
    </row>
    <row r="5161" ht="15" customHeight="1" s="192" thickBot="1">
      <c r="W5161" s="239" t="n"/>
      <c r="X5161" s="239" t="n"/>
    </row>
    <row r="5162" ht="15" customHeight="1" s="192" thickBot="1">
      <c r="W5162" s="45" t="n"/>
      <c r="X5162" s="45" t="n"/>
    </row>
    <row r="5163" ht="14.25" customHeight="1" s="192">
      <c r="W5163" s="228" t="n"/>
      <c r="X5163" s="228" t="n"/>
    </row>
    <row r="5164" ht="14.25" customHeight="1" s="192">
      <c r="W5164" s="228" t="n"/>
      <c r="X5164" s="228" t="n"/>
    </row>
    <row r="5165" ht="14.25" customHeight="1" s="192">
      <c r="W5165" s="231" t="n"/>
      <c r="X5165" s="231" t="n"/>
    </row>
    <row r="5166" ht="14.25" customHeight="1" s="192">
      <c r="W5166" s="33" t="n"/>
      <c r="X5166" s="33" t="n"/>
    </row>
    <row r="5167" ht="14.25" customHeight="1" s="192">
      <c r="W5167" s="231" t="n"/>
      <c r="X5167" s="231" t="n"/>
    </row>
    <row r="5168" ht="14.25" customHeight="1" s="192">
      <c r="W5168" s="33" t="n"/>
      <c r="X5168" s="33" t="n"/>
    </row>
    <row r="5170" ht="14.25" customHeight="1" s="192">
      <c r="W5170" s="231" t="n"/>
      <c r="X5170" s="231" t="n"/>
    </row>
    <row r="5171" ht="14.25" customHeight="1" s="192">
      <c r="W5171" s="235" t="n"/>
      <c r="X5171" s="235" t="n"/>
    </row>
    <row r="5172" ht="14.25" customHeight="1" s="192">
      <c r="W5172" s="228" t="n"/>
      <c r="X5172" s="228" t="n"/>
    </row>
    <row r="5173" ht="14.25" customHeight="1" s="192">
      <c r="W5173" s="235" t="n"/>
      <c r="X5173" s="235" t="n"/>
    </row>
    <row r="5174" ht="14.25" customHeight="1" s="192">
      <c r="W5174" s="235" t="n"/>
      <c r="X5174" s="235" t="n"/>
    </row>
    <row r="5175" ht="14.25" customHeight="1" s="192">
      <c r="W5175" s="235" t="n"/>
      <c r="X5175" s="235" t="n"/>
    </row>
    <row r="5176" ht="14.25" customHeight="1" s="192">
      <c r="W5176" s="239" t="n"/>
      <c r="X5176" s="239" t="n"/>
    </row>
    <row r="5177" ht="14.25" customHeight="1" s="192">
      <c r="W5177" s="239" t="n"/>
      <c r="X5177" s="239" t="n"/>
    </row>
    <row r="5178" ht="14.25" customHeight="1" s="192">
      <c r="W5178" s="239" t="n"/>
      <c r="X5178" s="239" t="n"/>
    </row>
    <row r="5179" ht="14.25" customHeight="1" s="192">
      <c r="W5179" s="235" t="n"/>
      <c r="X5179" s="235" t="n"/>
    </row>
    <row r="5180" ht="14.25" customHeight="1" s="192">
      <c r="W5180" s="235" t="n"/>
      <c r="X5180" s="235" t="n"/>
    </row>
    <row r="5181" ht="14.25" customHeight="1" s="192">
      <c r="W5181" s="235" t="n"/>
      <c r="X5181" s="235" t="n"/>
    </row>
    <row r="5182" ht="14.25" customHeight="1" s="192">
      <c r="W5182" s="239" t="n"/>
      <c r="X5182" s="239" t="n"/>
    </row>
    <row r="5183" ht="14.25" customHeight="1" s="192">
      <c r="W5183" s="239" t="n"/>
      <c r="X5183" s="239" t="n"/>
    </row>
    <row r="5184" ht="14.25" customHeight="1" s="192">
      <c r="W5184" s="235" t="n"/>
      <c r="X5184" s="235" t="n"/>
    </row>
    <row r="5185" ht="14.25" customHeight="1" s="192">
      <c r="W5185" s="235" t="n"/>
      <c r="X5185" s="235" t="n"/>
    </row>
    <row r="5186" ht="14.25" customHeight="1" s="192">
      <c r="W5186" s="239" t="n"/>
      <c r="X5186" s="239" t="n"/>
    </row>
    <row r="5187" ht="14.25" customHeight="1" s="192">
      <c r="W5187" s="235" t="n"/>
      <c r="X5187" s="235" t="n"/>
    </row>
    <row r="5188" ht="14.25" customHeight="1" s="192">
      <c r="W5188" s="239" t="n"/>
      <c r="X5188" s="239" t="n"/>
    </row>
    <row r="5190" ht="14.25" customHeight="1" s="192">
      <c r="W5190" s="235" t="n"/>
      <c r="X5190" s="235" t="n"/>
    </row>
    <row r="5191" ht="15" customHeight="1" s="192" thickBot="1">
      <c r="W5191" s="239" t="n"/>
      <c r="X5191" s="239" t="n"/>
    </row>
    <row r="5192" ht="15" customHeight="1" s="192" thickBot="1">
      <c r="W5192" s="45" t="n"/>
      <c r="X5192" s="45" t="n"/>
    </row>
    <row r="5193" ht="14.25" customHeight="1" s="192">
      <c r="W5193" s="228" t="n"/>
      <c r="X5193" s="228" t="n"/>
    </row>
    <row r="5194" ht="14.25" customHeight="1" s="192">
      <c r="W5194" s="228" t="n"/>
      <c r="X5194" s="228" t="n"/>
    </row>
    <row r="5195" ht="14.25" customHeight="1" s="192">
      <c r="W5195" s="231" t="n"/>
      <c r="X5195" s="231" t="n"/>
    </row>
    <row r="5196" ht="14.25" customHeight="1" s="192">
      <c r="W5196" s="33" t="n"/>
      <c r="X5196" s="33" t="n"/>
    </row>
    <row r="5197" ht="14.25" customHeight="1" s="192">
      <c r="W5197" s="231" t="n"/>
      <c r="X5197" s="231" t="n"/>
    </row>
    <row r="5198" ht="14.25" customHeight="1" s="192">
      <c r="W5198" s="33" t="n"/>
      <c r="X5198" s="33" t="n"/>
    </row>
    <row r="5200" ht="14.25" customHeight="1" s="192">
      <c r="W5200" s="231" t="n"/>
      <c r="X5200" s="231" t="n"/>
    </row>
    <row r="5201" ht="14.25" customHeight="1" s="192">
      <c r="W5201" s="235" t="n"/>
      <c r="X5201" s="235" t="n"/>
    </row>
    <row r="5202" ht="14.25" customHeight="1" s="192">
      <c r="W5202" s="228" t="n"/>
      <c r="X5202" s="228" t="n"/>
    </row>
    <row r="5203" ht="14.25" customHeight="1" s="192">
      <c r="W5203" s="235" t="n"/>
      <c r="X5203" s="235" t="n"/>
    </row>
    <row r="5204" ht="14.25" customHeight="1" s="192">
      <c r="W5204" s="235" t="n"/>
      <c r="X5204" s="235" t="n"/>
    </row>
    <row r="5205" ht="14.25" customHeight="1" s="192">
      <c r="W5205" s="235" t="n"/>
      <c r="X5205" s="235" t="n"/>
    </row>
    <row r="5206" ht="14.25" customHeight="1" s="192">
      <c r="W5206" s="239" t="n"/>
      <c r="X5206" s="239" t="n"/>
    </row>
    <row r="5207" ht="14.25" customHeight="1" s="192">
      <c r="W5207" s="239" t="n"/>
      <c r="X5207" s="239" t="n"/>
    </row>
    <row r="5208" ht="14.25" customHeight="1" s="192">
      <c r="W5208" s="239" t="n"/>
      <c r="X5208" s="239" t="n"/>
    </row>
    <row r="5209" ht="14.25" customHeight="1" s="192">
      <c r="W5209" s="235" t="n"/>
      <c r="X5209" s="235" t="n"/>
    </row>
    <row r="5210" ht="14.25" customHeight="1" s="192">
      <c r="W5210" s="235" t="n"/>
      <c r="X5210" s="235" t="n"/>
    </row>
    <row r="5211" ht="14.25" customHeight="1" s="192">
      <c r="W5211" s="235" t="n"/>
      <c r="X5211" s="235" t="n"/>
    </row>
    <row r="5212" ht="14.25" customHeight="1" s="192">
      <c r="W5212" s="239" t="n"/>
      <c r="X5212" s="239" t="n"/>
    </row>
    <row r="5213" ht="14.25" customHeight="1" s="192">
      <c r="W5213" s="239" t="n"/>
      <c r="X5213" s="239" t="n"/>
    </row>
    <row r="5214" ht="14.25" customHeight="1" s="192">
      <c r="W5214" s="235" t="n"/>
      <c r="X5214" s="235" t="n"/>
    </row>
    <row r="5215" ht="14.25" customHeight="1" s="192">
      <c r="W5215" s="235" t="n"/>
      <c r="X5215" s="235" t="n"/>
    </row>
    <row r="5216" ht="14.25" customHeight="1" s="192">
      <c r="W5216" s="239" t="n"/>
      <c r="X5216" s="239" t="n"/>
    </row>
    <row r="5217" ht="14.25" customHeight="1" s="192">
      <c r="W5217" s="235" t="n"/>
      <c r="X5217" s="235" t="n"/>
    </row>
    <row r="5218" ht="14.25" customHeight="1" s="192">
      <c r="W5218" s="239" t="n"/>
      <c r="X5218" s="239" t="n"/>
    </row>
    <row r="5220" ht="14.25" customHeight="1" s="192">
      <c r="W5220" s="235" t="n"/>
      <c r="X5220" s="235" t="n"/>
    </row>
    <row r="5221" ht="15" customHeight="1" s="192" thickBot="1">
      <c r="W5221" s="239" t="n"/>
      <c r="X5221" s="239" t="n"/>
    </row>
    <row r="5222" ht="15" customHeight="1" s="192" thickBot="1">
      <c r="W5222" s="45" t="n"/>
      <c r="X5222" s="45" t="n"/>
    </row>
    <row r="5223" ht="14.25" customHeight="1" s="192">
      <c r="W5223" s="228" t="n"/>
      <c r="X5223" s="228" t="n"/>
    </row>
    <row r="5224" ht="14.25" customHeight="1" s="192">
      <c r="W5224" s="228" t="n"/>
      <c r="X5224" s="228" t="n"/>
    </row>
    <row r="5225" ht="14.25" customHeight="1" s="192">
      <c r="W5225" s="231" t="n"/>
      <c r="X5225" s="231" t="n"/>
    </row>
    <row r="5226" ht="14.25" customHeight="1" s="192">
      <c r="W5226" s="33" t="n"/>
      <c r="X5226" s="33" t="n"/>
    </row>
    <row r="5227" ht="14.25" customHeight="1" s="192">
      <c r="W5227" s="231" t="n"/>
      <c r="X5227" s="231" t="n"/>
    </row>
    <row r="5228" ht="14.25" customHeight="1" s="192">
      <c r="W5228" s="33" t="n"/>
      <c r="X5228" s="33" t="n"/>
    </row>
    <row r="5230" ht="14.25" customHeight="1" s="192">
      <c r="W5230" s="231" t="n"/>
      <c r="X5230" s="231" t="n"/>
    </row>
    <row r="5231" ht="14.25" customHeight="1" s="192">
      <c r="W5231" s="235" t="n"/>
      <c r="X5231" s="235" t="n"/>
    </row>
    <row r="5232" ht="14.25" customHeight="1" s="192">
      <c r="W5232" s="228" t="n"/>
      <c r="X5232" s="228" t="n"/>
    </row>
    <row r="5233" ht="14.25" customHeight="1" s="192">
      <c r="W5233" s="235" t="n"/>
      <c r="X5233" s="235" t="n"/>
    </row>
    <row r="5234" ht="14.25" customHeight="1" s="192">
      <c r="W5234" s="235" t="n"/>
      <c r="X5234" s="235" t="n"/>
    </row>
    <row r="5235" ht="14.25" customHeight="1" s="192">
      <c r="W5235" s="235" t="n"/>
      <c r="X5235" s="235" t="n"/>
    </row>
    <row r="5236" ht="14.25" customHeight="1" s="192">
      <c r="W5236" s="239" t="n"/>
      <c r="X5236" s="239" t="n"/>
    </row>
    <row r="5237" ht="14.25" customHeight="1" s="192">
      <c r="W5237" s="239" t="n"/>
      <c r="X5237" s="239" t="n"/>
    </row>
    <row r="5238" ht="14.25" customHeight="1" s="192">
      <c r="W5238" s="239" t="n"/>
      <c r="X5238" s="239" t="n"/>
    </row>
    <row r="5239" ht="14.25" customHeight="1" s="192">
      <c r="W5239" s="235" t="n"/>
      <c r="X5239" s="235" t="n"/>
    </row>
    <row r="5240" ht="14.25" customHeight="1" s="192">
      <c r="W5240" s="235" t="n"/>
      <c r="X5240" s="235" t="n"/>
    </row>
    <row r="5241" ht="14.25" customHeight="1" s="192">
      <c r="W5241" s="235" t="n"/>
      <c r="X5241" s="235" t="n"/>
    </row>
    <row r="5242" ht="14.25" customHeight="1" s="192">
      <c r="W5242" s="239" t="n"/>
      <c r="X5242" s="239" t="n"/>
    </row>
    <row r="5243" ht="14.25" customHeight="1" s="192">
      <c r="W5243" s="239" t="n"/>
      <c r="X5243" s="239" t="n"/>
    </row>
    <row r="5244" ht="14.25" customHeight="1" s="192">
      <c r="W5244" s="235" t="n"/>
      <c r="X5244" s="235" t="n"/>
    </row>
    <row r="5245" ht="14.25" customHeight="1" s="192">
      <c r="W5245" s="235" t="n"/>
      <c r="X5245" s="235" t="n"/>
    </row>
    <row r="5246" ht="14.25" customHeight="1" s="192">
      <c r="W5246" s="239" t="n"/>
      <c r="X5246" s="239" t="n"/>
    </row>
    <row r="5247" ht="14.25" customHeight="1" s="192">
      <c r="W5247" s="235" t="n"/>
      <c r="X5247" s="235" t="n"/>
    </row>
    <row r="5248" ht="14.25" customHeight="1" s="192">
      <c r="W5248" s="239" t="n"/>
      <c r="X5248" s="239" t="n"/>
    </row>
    <row r="5250" ht="14.25" customHeight="1" s="192">
      <c r="W5250" s="235" t="n"/>
      <c r="X5250" s="235" t="n"/>
    </row>
    <row r="5251" ht="15" customHeight="1" s="192" thickBot="1">
      <c r="W5251" s="239" t="n"/>
      <c r="X5251" s="239" t="n"/>
    </row>
    <row r="5252" ht="15" customHeight="1" s="192" thickBot="1">
      <c r="W5252" s="45" t="n"/>
      <c r="X5252" s="45" t="n"/>
    </row>
    <row r="5253" ht="14.25" customHeight="1" s="192">
      <c r="W5253" s="228" t="n"/>
      <c r="X5253" s="228" t="n"/>
    </row>
    <row r="5254" ht="14.25" customHeight="1" s="192">
      <c r="W5254" s="228" t="n"/>
      <c r="X5254" s="228" t="n"/>
    </row>
    <row r="5255" ht="14.25" customHeight="1" s="192">
      <c r="W5255" s="231" t="n"/>
      <c r="X5255" s="231" t="n"/>
    </row>
    <row r="5256" ht="14.25" customHeight="1" s="192">
      <c r="W5256" s="33" t="n"/>
      <c r="X5256" s="33" t="n"/>
    </row>
    <row r="5257" ht="14.25" customHeight="1" s="192">
      <c r="W5257" s="231" t="n"/>
      <c r="X5257" s="231" t="n"/>
    </row>
    <row r="5258" ht="14.25" customHeight="1" s="192">
      <c r="W5258" s="33" t="n"/>
      <c r="X5258" s="33" t="n"/>
    </row>
    <row r="5260" ht="14.25" customHeight="1" s="192">
      <c r="W5260" s="231" t="n"/>
      <c r="X5260" s="231" t="n"/>
    </row>
    <row r="5261" ht="14.25" customHeight="1" s="192">
      <c r="W5261" s="235" t="n"/>
      <c r="X5261" s="235" t="n"/>
    </row>
    <row r="5262" ht="14.25" customHeight="1" s="192">
      <c r="W5262" s="228" t="n"/>
      <c r="X5262" s="228" t="n"/>
    </row>
    <row r="5263" ht="14.25" customHeight="1" s="192">
      <c r="W5263" s="235" t="n"/>
      <c r="X5263" s="235" t="n"/>
    </row>
    <row r="5264" ht="14.25" customHeight="1" s="192">
      <c r="W5264" s="235" t="n"/>
      <c r="X5264" s="235" t="n"/>
    </row>
    <row r="5265" ht="14.25" customHeight="1" s="192">
      <c r="W5265" s="235" t="n"/>
      <c r="X5265" s="235" t="n"/>
    </row>
    <row r="5266" ht="14.25" customHeight="1" s="192">
      <c r="W5266" s="239" t="n"/>
      <c r="X5266" s="239" t="n"/>
    </row>
    <row r="5267" ht="14.25" customHeight="1" s="192">
      <c r="W5267" s="239" t="n"/>
      <c r="X5267" s="239" t="n"/>
    </row>
    <row r="5268" ht="14.25" customHeight="1" s="192">
      <c r="W5268" s="239" t="n"/>
      <c r="X5268" s="239" t="n"/>
    </row>
    <row r="5269" ht="14.25" customHeight="1" s="192">
      <c r="W5269" s="235" t="n"/>
      <c r="X5269" s="235" t="n"/>
    </row>
    <row r="5270" ht="14.25" customHeight="1" s="192">
      <c r="W5270" s="235" t="n"/>
      <c r="X5270" s="235" t="n"/>
    </row>
    <row r="5271" ht="14.25" customHeight="1" s="192">
      <c r="W5271" s="235" t="n"/>
      <c r="X5271" s="235" t="n"/>
    </row>
    <row r="5272" ht="14.25" customHeight="1" s="192">
      <c r="W5272" s="239" t="n"/>
      <c r="X5272" s="239" t="n"/>
    </row>
    <row r="5273" ht="14.25" customHeight="1" s="192">
      <c r="W5273" s="239" t="n"/>
      <c r="X5273" s="239" t="n"/>
    </row>
    <row r="5274" ht="14.25" customHeight="1" s="192">
      <c r="W5274" s="235" t="n"/>
      <c r="X5274" s="235" t="n"/>
    </row>
    <row r="5275" ht="14.25" customHeight="1" s="192">
      <c r="W5275" s="235" t="n"/>
      <c r="X5275" s="235" t="n"/>
    </row>
    <row r="5276" ht="14.25" customHeight="1" s="192">
      <c r="W5276" s="239" t="n"/>
      <c r="X5276" s="239" t="n"/>
    </row>
    <row r="5277" ht="14.25" customHeight="1" s="192">
      <c r="W5277" s="235" t="n"/>
      <c r="X5277" s="235" t="n"/>
    </row>
    <row r="5278" ht="14.25" customHeight="1" s="192">
      <c r="W5278" s="239" t="n"/>
      <c r="X5278" s="239" t="n"/>
    </row>
    <row r="5280" ht="14.25" customHeight="1" s="192">
      <c r="W5280" s="235" t="n"/>
      <c r="X5280" s="235" t="n"/>
    </row>
    <row r="5281" ht="15" customHeight="1" s="192" thickBot="1">
      <c r="W5281" s="239" t="n"/>
      <c r="X5281" s="239" t="n"/>
    </row>
    <row r="5282" ht="15" customHeight="1" s="192" thickBot="1">
      <c r="W5282" s="45" t="n"/>
      <c r="X5282" s="45" t="n"/>
    </row>
    <row r="5283" ht="14.25" customHeight="1" s="192">
      <c r="W5283" s="228" t="n"/>
      <c r="X5283" s="228" t="n"/>
    </row>
    <row r="5284" ht="14.25" customHeight="1" s="192">
      <c r="W5284" s="228" t="n"/>
      <c r="X5284" s="228" t="n"/>
    </row>
    <row r="5285" ht="14.25" customHeight="1" s="192">
      <c r="W5285" s="231" t="n"/>
      <c r="X5285" s="231" t="n"/>
    </row>
    <row r="5286" ht="14.25" customHeight="1" s="192">
      <c r="W5286" s="33" t="n"/>
      <c r="X5286" s="33" t="n"/>
    </row>
    <row r="5287" ht="14.25" customHeight="1" s="192">
      <c r="W5287" s="231" t="n"/>
      <c r="X5287" s="231" t="n"/>
    </row>
    <row r="5288" ht="14.25" customHeight="1" s="192">
      <c r="W5288" s="33" t="n"/>
      <c r="X5288" s="33" t="n"/>
    </row>
    <row r="5290" ht="14.25" customHeight="1" s="192">
      <c r="W5290" s="231" t="n"/>
      <c r="X5290" s="231" t="n"/>
    </row>
    <row r="5291" ht="14.25" customHeight="1" s="192">
      <c r="W5291" s="235" t="n"/>
      <c r="X5291" s="235" t="n"/>
    </row>
    <row r="5292" ht="14.25" customHeight="1" s="192">
      <c r="W5292" s="228" t="n"/>
      <c r="X5292" s="228" t="n"/>
    </row>
    <row r="5293" ht="14.25" customHeight="1" s="192">
      <c r="W5293" s="235" t="n"/>
      <c r="X5293" s="235" t="n"/>
    </row>
    <row r="5294" ht="14.25" customHeight="1" s="192">
      <c r="W5294" s="235" t="n"/>
      <c r="X5294" s="235" t="n"/>
    </row>
    <row r="5295" ht="14.25" customHeight="1" s="192">
      <c r="W5295" s="235" t="n"/>
      <c r="X5295" s="235" t="n"/>
    </row>
    <row r="5296" ht="14.25" customHeight="1" s="192">
      <c r="W5296" s="239" t="n"/>
      <c r="X5296" s="239" t="n"/>
    </row>
    <row r="5297" ht="14.25" customHeight="1" s="192">
      <c r="W5297" s="239" t="n"/>
      <c r="X5297" s="239" t="n"/>
    </row>
    <row r="5298" ht="14.25" customHeight="1" s="192">
      <c r="W5298" s="239" t="n"/>
      <c r="X5298" s="239" t="n"/>
    </row>
    <row r="5299" ht="14.25" customHeight="1" s="192">
      <c r="W5299" s="235" t="n"/>
      <c r="X5299" s="235" t="n"/>
    </row>
    <row r="5300" ht="14.25" customHeight="1" s="192">
      <c r="W5300" s="235" t="n"/>
      <c r="X5300" s="235" t="n"/>
    </row>
    <row r="5301" ht="14.25" customHeight="1" s="192">
      <c r="W5301" s="235" t="n"/>
      <c r="X5301" s="235" t="n"/>
    </row>
    <row r="5302" ht="14.25" customHeight="1" s="192">
      <c r="W5302" s="239" t="n"/>
      <c r="X5302" s="239" t="n"/>
    </row>
    <row r="5303" ht="14.25" customHeight="1" s="192">
      <c r="W5303" s="239" t="n"/>
      <c r="X5303" s="239" t="n"/>
    </row>
    <row r="5304" ht="14.25" customHeight="1" s="192">
      <c r="W5304" s="235" t="n"/>
      <c r="X5304" s="235" t="n"/>
    </row>
    <row r="5305" ht="14.25" customHeight="1" s="192">
      <c r="W5305" s="235" t="n"/>
      <c r="X5305" s="235" t="n"/>
    </row>
    <row r="5306" ht="14.25" customHeight="1" s="192">
      <c r="W5306" s="239" t="n"/>
      <c r="X5306" s="239" t="n"/>
    </row>
    <row r="5307" ht="14.25" customHeight="1" s="192">
      <c r="W5307" s="235" t="n"/>
      <c r="X5307" s="235" t="n"/>
    </row>
    <row r="5308" ht="14.25" customHeight="1" s="192">
      <c r="W5308" s="239" t="n"/>
      <c r="X5308" s="239" t="n"/>
    </row>
    <row r="5310" ht="14.25" customHeight="1" s="192">
      <c r="W5310" s="235" t="n"/>
      <c r="X5310" s="235" t="n"/>
    </row>
    <row r="5311" ht="15" customHeight="1" s="192" thickBot="1">
      <c r="W5311" s="239" t="n"/>
      <c r="X5311" s="239" t="n"/>
    </row>
    <row r="5312" ht="15" customHeight="1" s="192" thickBot="1">
      <c r="W5312" s="45" t="n"/>
      <c r="X5312" s="45" t="n"/>
    </row>
    <row r="5313" ht="14.25" customHeight="1" s="192">
      <c r="W5313" s="228" t="n"/>
      <c r="X5313" s="228" t="n"/>
    </row>
    <row r="5314" ht="14.25" customHeight="1" s="192">
      <c r="W5314" s="228" t="n"/>
      <c r="X5314" s="228" t="n"/>
    </row>
    <row r="5315" ht="14.25" customHeight="1" s="192">
      <c r="W5315" s="231" t="n"/>
      <c r="X5315" s="231" t="n"/>
    </row>
    <row r="5316" ht="14.25" customHeight="1" s="192">
      <c r="W5316" s="33" t="n"/>
      <c r="X5316" s="33" t="n"/>
    </row>
    <row r="5317" ht="14.25" customHeight="1" s="192">
      <c r="W5317" s="231" t="n"/>
      <c r="X5317" s="231" t="n"/>
    </row>
    <row r="5318" ht="14.25" customHeight="1" s="192">
      <c r="W5318" s="33" t="n"/>
      <c r="X5318" s="33" t="n"/>
    </row>
    <row r="5320" ht="14.25" customHeight="1" s="192">
      <c r="W5320" s="231" t="n"/>
      <c r="X5320" s="231" t="n"/>
    </row>
    <row r="5321" ht="14.25" customHeight="1" s="192">
      <c r="W5321" s="235" t="n"/>
      <c r="X5321" s="235" t="n"/>
    </row>
    <row r="5322" ht="14.25" customHeight="1" s="192">
      <c r="W5322" s="228" t="n"/>
      <c r="X5322" s="228" t="n"/>
    </row>
    <row r="5323" ht="14.25" customHeight="1" s="192">
      <c r="W5323" s="235" t="n"/>
      <c r="X5323" s="235" t="n"/>
    </row>
    <row r="5324" ht="14.25" customHeight="1" s="192">
      <c r="W5324" s="235" t="n"/>
      <c r="X5324" s="235" t="n"/>
    </row>
    <row r="5325" ht="14.25" customHeight="1" s="192">
      <c r="W5325" s="235" t="n"/>
      <c r="X5325" s="235" t="n"/>
    </row>
    <row r="5326" ht="14.25" customHeight="1" s="192">
      <c r="W5326" s="239" t="n"/>
      <c r="X5326" s="239" t="n"/>
    </row>
    <row r="5327" ht="14.25" customHeight="1" s="192">
      <c r="W5327" s="239" t="n"/>
      <c r="X5327" s="239" t="n"/>
    </row>
    <row r="5328" ht="14.25" customHeight="1" s="192">
      <c r="W5328" s="239" t="n"/>
      <c r="X5328" s="239" t="n"/>
    </row>
    <row r="5329" ht="14.25" customHeight="1" s="192">
      <c r="W5329" s="235" t="n"/>
      <c r="X5329" s="235" t="n"/>
    </row>
    <row r="5330" ht="14.25" customHeight="1" s="192">
      <c r="W5330" s="235" t="n"/>
      <c r="X5330" s="235" t="n"/>
    </row>
    <row r="5331" ht="14.25" customHeight="1" s="192">
      <c r="W5331" s="235" t="n"/>
      <c r="X5331" s="235" t="n"/>
    </row>
    <row r="5332" ht="14.25" customHeight="1" s="192">
      <c r="W5332" s="239" t="n"/>
      <c r="X5332" s="239" t="n"/>
    </row>
    <row r="5333" ht="14.25" customHeight="1" s="192">
      <c r="W5333" s="239" t="n"/>
      <c r="X5333" s="239" t="n"/>
    </row>
    <row r="5334" ht="14.25" customHeight="1" s="192">
      <c r="W5334" s="235" t="n"/>
      <c r="X5334" s="235" t="n"/>
    </row>
    <row r="5335" ht="14.25" customHeight="1" s="192">
      <c r="W5335" s="235" t="n"/>
      <c r="X5335" s="235" t="n"/>
    </row>
    <row r="5336" ht="14.25" customHeight="1" s="192">
      <c r="W5336" s="239" t="n"/>
      <c r="X5336" s="239" t="n"/>
    </row>
    <row r="5337" ht="14.25" customHeight="1" s="192">
      <c r="W5337" s="235" t="n"/>
      <c r="X5337" s="235" t="n"/>
    </row>
    <row r="5338" ht="14.25" customHeight="1" s="192">
      <c r="W5338" s="239" t="n"/>
      <c r="X5338" s="239" t="n"/>
    </row>
    <row r="5340" ht="14.25" customHeight="1" s="192">
      <c r="W5340" s="235" t="n"/>
      <c r="X5340" s="235" t="n"/>
    </row>
    <row r="5341" ht="15" customHeight="1" s="192" thickBot="1">
      <c r="W5341" s="239" t="n"/>
      <c r="X5341" s="239" t="n"/>
    </row>
    <row r="5342" ht="15" customHeight="1" s="192" thickBot="1">
      <c r="W5342" s="45" t="n"/>
      <c r="X5342" s="45" t="n"/>
    </row>
    <row r="5343" ht="14.25" customHeight="1" s="192">
      <c r="W5343" s="228" t="n"/>
      <c r="X5343" s="228" t="n"/>
    </row>
    <row r="5344" ht="14.25" customHeight="1" s="192">
      <c r="W5344" s="228" t="n"/>
      <c r="X5344" s="228" t="n"/>
    </row>
    <row r="5345" ht="14.25" customHeight="1" s="192">
      <c r="W5345" s="231" t="n"/>
      <c r="X5345" s="231" t="n"/>
    </row>
    <row r="5346" ht="14.25" customHeight="1" s="192">
      <c r="W5346" s="33" t="n"/>
      <c r="X5346" s="33" t="n"/>
    </row>
    <row r="5347" ht="14.25" customHeight="1" s="192">
      <c r="W5347" s="231" t="n"/>
      <c r="X5347" s="231" t="n"/>
    </row>
    <row r="5348" ht="14.25" customHeight="1" s="192">
      <c r="W5348" s="33" t="n"/>
      <c r="X5348" s="33" t="n"/>
    </row>
    <row r="5350" ht="14.25" customHeight="1" s="192">
      <c r="W5350" s="231" t="n"/>
      <c r="X5350" s="231" t="n"/>
    </row>
    <row r="5351" ht="14.25" customHeight="1" s="192">
      <c r="W5351" s="235" t="n"/>
      <c r="X5351" s="235" t="n"/>
    </row>
    <row r="5352" ht="14.25" customHeight="1" s="192">
      <c r="W5352" s="228" t="n"/>
      <c r="X5352" s="228" t="n"/>
    </row>
    <row r="5353" ht="14.25" customHeight="1" s="192">
      <c r="W5353" s="235" t="n"/>
      <c r="X5353" s="235" t="n"/>
    </row>
    <row r="5354" ht="14.25" customHeight="1" s="192">
      <c r="W5354" s="235" t="n"/>
      <c r="X5354" s="235" t="n"/>
    </row>
    <row r="5355" ht="14.25" customHeight="1" s="192">
      <c r="W5355" s="235" t="n"/>
      <c r="X5355" s="235" t="n"/>
    </row>
    <row r="5356" ht="14.25" customHeight="1" s="192">
      <c r="W5356" s="239" t="n"/>
      <c r="X5356" s="239" t="n"/>
    </row>
    <row r="5357" ht="14.25" customHeight="1" s="192">
      <c r="W5357" s="239" t="n"/>
      <c r="X5357" s="239" t="n"/>
    </row>
    <row r="5358" ht="14.25" customHeight="1" s="192">
      <c r="W5358" s="239" t="n"/>
      <c r="X5358" s="239" t="n"/>
    </row>
    <row r="5359" ht="14.25" customHeight="1" s="192">
      <c r="W5359" s="235" t="n"/>
      <c r="X5359" s="235" t="n"/>
    </row>
    <row r="5360" ht="14.25" customHeight="1" s="192">
      <c r="W5360" s="235" t="n"/>
      <c r="X5360" s="235" t="n"/>
    </row>
    <row r="5361" ht="14.25" customHeight="1" s="192">
      <c r="W5361" s="235" t="n"/>
      <c r="X5361" s="235" t="n"/>
    </row>
    <row r="5362" ht="14.25" customHeight="1" s="192">
      <c r="W5362" s="239" t="n"/>
      <c r="X5362" s="239" t="n"/>
    </row>
    <row r="5363" ht="14.25" customHeight="1" s="192">
      <c r="W5363" s="239" t="n"/>
      <c r="X5363" s="239" t="n"/>
    </row>
    <row r="5364" ht="14.25" customHeight="1" s="192">
      <c r="W5364" s="235" t="n"/>
      <c r="X5364" s="235" t="n"/>
    </row>
    <row r="5365" ht="14.25" customHeight="1" s="192">
      <c r="W5365" s="235" t="n"/>
      <c r="X5365" s="235" t="n"/>
    </row>
    <row r="5366" ht="14.25" customHeight="1" s="192">
      <c r="W5366" s="239" t="n"/>
      <c r="X5366" s="239" t="n"/>
    </row>
    <row r="5367" ht="14.25" customHeight="1" s="192">
      <c r="W5367" s="235" t="n"/>
      <c r="X5367" s="235" t="n"/>
    </row>
    <row r="5368" ht="14.25" customHeight="1" s="192">
      <c r="W5368" s="239" t="n"/>
      <c r="X5368" s="239" t="n"/>
    </row>
    <row r="5370" ht="14.25" customHeight="1" s="192">
      <c r="W5370" s="235" t="n"/>
      <c r="X5370" s="235" t="n"/>
    </row>
    <row r="5371" ht="15" customHeight="1" s="192" thickBot="1">
      <c r="W5371" s="239" t="n"/>
      <c r="X5371" s="239" t="n"/>
    </row>
    <row r="5372" ht="15" customHeight="1" s="192" thickBot="1">
      <c r="W5372" s="45" t="n"/>
      <c r="X5372" s="45" t="n"/>
    </row>
    <row r="5373" ht="14.25" customHeight="1" s="192">
      <c r="W5373" s="228" t="n"/>
      <c r="X5373" s="228" t="n"/>
    </row>
    <row r="5374" ht="14.25" customHeight="1" s="192">
      <c r="W5374" s="228" t="n"/>
      <c r="X5374" s="228" t="n"/>
    </row>
    <row r="5375" ht="14.25" customHeight="1" s="192">
      <c r="W5375" s="231" t="n"/>
      <c r="X5375" s="231" t="n"/>
    </row>
    <row r="5376" ht="14.25" customHeight="1" s="192">
      <c r="W5376" s="33" t="n"/>
      <c r="X5376" s="33" t="n"/>
    </row>
    <row r="5377" ht="14.25" customHeight="1" s="192">
      <c r="W5377" s="231" t="n"/>
      <c r="X5377" s="231" t="n"/>
    </row>
    <row r="5378" ht="14.25" customHeight="1" s="192">
      <c r="W5378" s="33" t="n"/>
      <c r="X5378" s="33" t="n"/>
    </row>
    <row r="5380" ht="14.25" customHeight="1" s="192">
      <c r="W5380" s="231" t="n"/>
      <c r="X5380" s="231" t="n"/>
    </row>
    <row r="5381" ht="14.25" customHeight="1" s="192">
      <c r="W5381" s="235" t="n"/>
      <c r="X5381" s="235" t="n"/>
    </row>
    <row r="5382" ht="14.25" customHeight="1" s="192">
      <c r="W5382" s="228" t="n"/>
      <c r="X5382" s="228" t="n"/>
    </row>
    <row r="5383" ht="14.25" customHeight="1" s="192">
      <c r="W5383" s="235" t="n"/>
      <c r="X5383" s="235" t="n"/>
    </row>
    <row r="5384" ht="14.25" customHeight="1" s="192">
      <c r="W5384" s="235" t="n"/>
      <c r="X5384" s="235" t="n"/>
    </row>
    <row r="5385" ht="14.25" customHeight="1" s="192">
      <c r="W5385" s="235" t="n"/>
      <c r="X5385" s="235" t="n"/>
    </row>
    <row r="5386" ht="14.25" customHeight="1" s="192">
      <c r="W5386" s="239" t="n"/>
      <c r="X5386" s="239" t="n"/>
    </row>
    <row r="5387" ht="14.25" customHeight="1" s="192">
      <c r="W5387" s="239" t="n"/>
      <c r="X5387" s="239" t="n"/>
    </row>
    <row r="5388" ht="14.25" customHeight="1" s="192">
      <c r="W5388" s="239" t="n"/>
      <c r="X5388" s="239" t="n"/>
    </row>
    <row r="5389" ht="14.25" customHeight="1" s="192">
      <c r="W5389" s="235" t="n"/>
      <c r="X5389" s="235" t="n"/>
    </row>
    <row r="5390" ht="14.25" customHeight="1" s="192">
      <c r="W5390" s="235" t="n"/>
      <c r="X5390" s="235" t="n"/>
    </row>
    <row r="5391" ht="14.25" customHeight="1" s="192">
      <c r="W5391" s="235" t="n"/>
      <c r="X5391" s="235" t="n"/>
    </row>
    <row r="5392" ht="14.25" customHeight="1" s="192">
      <c r="W5392" s="239" t="n"/>
      <c r="X5392" s="239" t="n"/>
    </row>
    <row r="5393" ht="14.25" customHeight="1" s="192">
      <c r="W5393" s="239" t="n"/>
      <c r="X5393" s="239" t="n"/>
    </row>
    <row r="5394" ht="14.25" customHeight="1" s="192">
      <c r="W5394" s="235" t="n"/>
      <c r="X5394" s="235" t="n"/>
    </row>
    <row r="5395" ht="14.25" customHeight="1" s="192">
      <c r="W5395" s="235" t="n"/>
      <c r="X5395" s="235" t="n"/>
    </row>
    <row r="5396" ht="14.25" customHeight="1" s="192">
      <c r="W5396" s="239" t="n"/>
      <c r="X5396" s="239" t="n"/>
    </row>
    <row r="5397" ht="14.25" customHeight="1" s="192">
      <c r="W5397" s="235" t="n"/>
      <c r="X5397" s="235" t="n"/>
    </row>
    <row r="5398" ht="14.25" customHeight="1" s="192">
      <c r="W5398" s="239" t="n"/>
      <c r="X5398" s="239" t="n"/>
    </row>
    <row r="5400" ht="14.25" customHeight="1" s="192">
      <c r="W5400" s="235" t="n"/>
      <c r="X5400" s="235" t="n"/>
    </row>
    <row r="5401" ht="15" customHeight="1" s="192" thickBot="1">
      <c r="W5401" s="239" t="n"/>
      <c r="X5401" s="239" t="n"/>
    </row>
    <row r="5402" ht="15" customHeight="1" s="192" thickBot="1">
      <c r="W5402" s="45" t="n"/>
      <c r="X5402" s="45" t="n"/>
    </row>
    <row r="5403" ht="14.25" customHeight="1" s="192">
      <c r="W5403" s="228" t="n"/>
      <c r="X5403" s="228" t="n"/>
    </row>
    <row r="5404" ht="14.25" customHeight="1" s="192">
      <c r="W5404" s="228" t="n"/>
      <c r="X5404" s="228" t="n"/>
    </row>
    <row r="5405" ht="14.25" customHeight="1" s="192">
      <c r="W5405" s="231" t="n"/>
      <c r="X5405" s="231" t="n"/>
    </row>
    <row r="5406" ht="14.25" customHeight="1" s="192">
      <c r="W5406" s="33" t="n"/>
      <c r="X5406" s="33" t="n"/>
    </row>
    <row r="5407" ht="14.25" customHeight="1" s="192">
      <c r="W5407" s="231" t="n"/>
      <c r="X5407" s="231" t="n"/>
    </row>
    <row r="5408" ht="14.25" customHeight="1" s="192">
      <c r="W5408" s="33" t="n"/>
      <c r="X5408" s="33" t="n"/>
    </row>
    <row r="5410" ht="14.25" customHeight="1" s="192">
      <c r="W5410" s="231" t="n"/>
      <c r="X5410" s="231" t="n"/>
    </row>
    <row r="5411" ht="14.25" customHeight="1" s="192">
      <c r="W5411" s="235" t="n"/>
      <c r="X5411" s="235" t="n"/>
    </row>
    <row r="5412" ht="14.25" customHeight="1" s="192">
      <c r="W5412" s="228" t="n"/>
      <c r="X5412" s="228" t="n"/>
    </row>
    <row r="5413" ht="14.25" customHeight="1" s="192">
      <c r="W5413" s="235" t="n"/>
      <c r="X5413" s="235" t="n"/>
    </row>
    <row r="5414" ht="14.25" customHeight="1" s="192">
      <c r="W5414" s="235" t="n"/>
      <c r="X5414" s="235" t="n"/>
    </row>
    <row r="5415" ht="14.25" customHeight="1" s="192">
      <c r="W5415" s="235" t="n"/>
      <c r="X5415" s="235" t="n"/>
    </row>
    <row r="5416" ht="14.25" customHeight="1" s="192">
      <c r="W5416" s="239" t="n"/>
      <c r="X5416" s="239" t="n"/>
    </row>
    <row r="5417" ht="14.25" customHeight="1" s="192">
      <c r="W5417" s="239" t="n"/>
      <c r="X5417" s="239" t="n"/>
    </row>
    <row r="5418" ht="14.25" customHeight="1" s="192">
      <c r="W5418" s="239" t="n"/>
      <c r="X5418" s="239" t="n"/>
    </row>
    <row r="5419" ht="14.25" customHeight="1" s="192">
      <c r="W5419" s="235" t="n"/>
      <c r="X5419" s="235" t="n"/>
    </row>
    <row r="5420" ht="14.25" customHeight="1" s="192">
      <c r="W5420" s="235" t="n"/>
      <c r="X5420" s="235" t="n"/>
    </row>
    <row r="5421" ht="14.25" customHeight="1" s="192">
      <c r="W5421" s="235" t="n"/>
      <c r="X5421" s="235" t="n"/>
    </row>
    <row r="5422" ht="14.25" customHeight="1" s="192">
      <c r="W5422" s="239" t="n"/>
      <c r="X5422" s="239" t="n"/>
    </row>
    <row r="5423" ht="14.25" customHeight="1" s="192">
      <c r="W5423" s="239" t="n"/>
      <c r="X5423" s="239" t="n"/>
    </row>
    <row r="5424" ht="14.25" customHeight="1" s="192">
      <c r="W5424" s="235" t="n"/>
      <c r="X5424" s="235" t="n"/>
    </row>
    <row r="5425" ht="14.25" customHeight="1" s="192">
      <c r="W5425" s="235" t="n"/>
      <c r="X5425" s="235" t="n"/>
    </row>
    <row r="5426" ht="14.25" customHeight="1" s="192">
      <c r="W5426" s="239" t="n"/>
      <c r="X5426" s="239" t="n"/>
    </row>
    <row r="5427" ht="14.25" customHeight="1" s="192">
      <c r="W5427" s="235" t="n"/>
      <c r="X5427" s="235" t="n"/>
    </row>
    <row r="5428" ht="14.25" customHeight="1" s="192">
      <c r="W5428" s="239" t="n"/>
      <c r="X5428" s="239" t="n"/>
    </row>
    <row r="5430" ht="14.25" customHeight="1" s="192">
      <c r="W5430" s="235" t="n"/>
      <c r="X5430" s="235" t="n"/>
    </row>
    <row r="5431" ht="15" customHeight="1" s="192" thickBot="1">
      <c r="W5431" s="239" t="n"/>
      <c r="X5431" s="239" t="n"/>
    </row>
    <row r="5432" ht="15" customHeight="1" s="192" thickBot="1">
      <c r="W5432" s="45" t="n"/>
      <c r="X5432" s="45" t="n"/>
    </row>
    <row r="5433" ht="14.25" customHeight="1" s="192">
      <c r="W5433" s="228" t="n"/>
      <c r="X5433" s="228" t="n"/>
    </row>
    <row r="5434" ht="14.25" customHeight="1" s="192">
      <c r="W5434" s="228" t="n"/>
      <c r="X5434" s="228" t="n"/>
    </row>
    <row r="5435" ht="14.25" customHeight="1" s="192">
      <c r="W5435" s="231" t="n"/>
      <c r="X5435" s="231" t="n"/>
    </row>
    <row r="5436" ht="14.25" customHeight="1" s="192">
      <c r="W5436" s="33" t="n"/>
      <c r="X5436" s="33" t="n"/>
    </row>
    <row r="5437" ht="14.25" customHeight="1" s="192">
      <c r="W5437" s="231" t="n"/>
      <c r="X5437" s="231" t="n"/>
    </row>
    <row r="5438" ht="14.25" customHeight="1" s="192">
      <c r="W5438" s="33" t="n"/>
      <c r="X5438" s="33" t="n"/>
    </row>
    <row r="5440" ht="14.25" customHeight="1" s="192">
      <c r="W5440" s="231" t="n"/>
      <c r="X5440" s="231" t="n"/>
    </row>
    <row r="5441" ht="14.25" customHeight="1" s="192">
      <c r="W5441" s="235" t="n"/>
      <c r="X5441" s="235" t="n"/>
    </row>
    <row r="5442" ht="14.25" customHeight="1" s="192">
      <c r="W5442" s="228" t="n"/>
      <c r="X5442" s="228" t="n"/>
    </row>
    <row r="5443" ht="14.25" customHeight="1" s="192">
      <c r="W5443" s="235" t="n"/>
      <c r="X5443" s="235" t="n"/>
    </row>
    <row r="5444" ht="14.25" customHeight="1" s="192">
      <c r="W5444" s="235" t="n"/>
      <c r="X5444" s="235" t="n"/>
    </row>
    <row r="5445" ht="14.25" customHeight="1" s="192">
      <c r="W5445" s="235" t="n"/>
      <c r="X5445" s="235" t="n"/>
    </row>
    <row r="5446" ht="14.25" customHeight="1" s="192">
      <c r="W5446" s="239" t="n"/>
      <c r="X5446" s="239" t="n"/>
    </row>
    <row r="5447" ht="14.25" customHeight="1" s="192">
      <c r="W5447" s="239" t="n"/>
      <c r="X5447" s="239" t="n"/>
    </row>
    <row r="5448" ht="14.25" customHeight="1" s="192">
      <c r="W5448" s="239" t="n"/>
      <c r="X5448" s="239" t="n"/>
    </row>
    <row r="5449" ht="14.25" customHeight="1" s="192">
      <c r="W5449" s="235" t="n"/>
      <c r="X5449" s="235" t="n"/>
    </row>
    <row r="5450" ht="14.25" customHeight="1" s="192">
      <c r="W5450" s="235" t="n"/>
      <c r="X5450" s="235" t="n"/>
    </row>
    <row r="5451" ht="14.25" customHeight="1" s="192">
      <c r="W5451" s="235" t="n"/>
      <c r="X5451" s="235" t="n"/>
    </row>
    <row r="5452" ht="14.25" customHeight="1" s="192">
      <c r="W5452" s="239" t="n"/>
      <c r="X5452" s="239" t="n"/>
    </row>
    <row r="5453" ht="14.25" customHeight="1" s="192">
      <c r="W5453" s="239" t="n"/>
      <c r="X5453" s="239" t="n"/>
    </row>
    <row r="5454" ht="14.25" customHeight="1" s="192">
      <c r="W5454" s="235" t="n"/>
      <c r="X5454" s="235" t="n"/>
    </row>
    <row r="5455" ht="14.25" customHeight="1" s="192">
      <c r="W5455" s="235" t="n"/>
      <c r="X5455" s="235" t="n"/>
    </row>
    <row r="5456" ht="14.25" customHeight="1" s="192">
      <c r="W5456" s="239" t="n"/>
      <c r="X5456" s="239" t="n"/>
    </row>
    <row r="5457" ht="14.25" customHeight="1" s="192">
      <c r="W5457" s="235" t="n"/>
      <c r="X5457" s="235" t="n"/>
    </row>
    <row r="5458" ht="14.25" customHeight="1" s="192">
      <c r="W5458" s="239" t="n"/>
      <c r="X5458" s="239" t="n"/>
    </row>
    <row r="5460" ht="14.25" customHeight="1" s="192">
      <c r="W5460" s="235" t="n"/>
      <c r="X5460" s="235" t="n"/>
    </row>
    <row r="5461" ht="15" customHeight="1" s="192" thickBot="1">
      <c r="W5461" s="239" t="n"/>
      <c r="X5461" s="239" t="n"/>
    </row>
    <row r="5462" ht="15" customHeight="1" s="192" thickBot="1">
      <c r="W5462" s="45" t="n"/>
      <c r="X5462" s="45" t="n"/>
    </row>
    <row r="5463" ht="14.25" customHeight="1" s="192">
      <c r="W5463" s="228" t="n"/>
      <c r="X5463" s="228" t="n"/>
    </row>
    <row r="5464" ht="14.25" customHeight="1" s="192">
      <c r="W5464" s="228" t="n"/>
      <c r="X5464" s="228" t="n"/>
    </row>
    <row r="5465" ht="14.25" customHeight="1" s="192">
      <c r="W5465" s="231" t="n"/>
      <c r="X5465" s="231" t="n"/>
    </row>
    <row r="5466" ht="14.25" customHeight="1" s="192">
      <c r="W5466" s="33" t="n"/>
      <c r="X5466" s="33" t="n"/>
    </row>
    <row r="5467" ht="14.25" customHeight="1" s="192">
      <c r="W5467" s="231" t="n"/>
      <c r="X5467" s="231" t="n"/>
    </row>
    <row r="5468" ht="14.25" customHeight="1" s="192">
      <c r="W5468" s="33" t="n"/>
      <c r="X5468" s="33" t="n"/>
    </row>
    <row r="5470" ht="14.25" customHeight="1" s="192">
      <c r="W5470" s="231" t="n"/>
      <c r="X5470" s="231" t="n"/>
    </row>
    <row r="5471" ht="14.25" customHeight="1" s="192">
      <c r="W5471" s="235" t="n"/>
      <c r="X5471" s="235" t="n"/>
    </row>
    <row r="5472" ht="14.25" customHeight="1" s="192">
      <c r="W5472" s="228" t="n"/>
      <c r="X5472" s="228" t="n"/>
    </row>
    <row r="5473" ht="14.25" customHeight="1" s="192">
      <c r="W5473" s="235" t="n"/>
      <c r="X5473" s="235" t="n"/>
    </row>
    <row r="5474" ht="14.25" customHeight="1" s="192">
      <c r="W5474" s="235" t="n"/>
      <c r="X5474" s="235" t="n"/>
    </row>
    <row r="5475" ht="14.25" customHeight="1" s="192">
      <c r="W5475" s="235" t="n"/>
      <c r="X5475" s="235" t="n"/>
    </row>
    <row r="5476" ht="14.25" customHeight="1" s="192">
      <c r="W5476" s="239" t="n"/>
      <c r="X5476" s="239" t="n"/>
    </row>
    <row r="5477" ht="14.25" customHeight="1" s="192">
      <c r="W5477" s="239" t="n"/>
      <c r="X5477" s="239" t="n"/>
    </row>
    <row r="5478" ht="14.25" customHeight="1" s="192">
      <c r="W5478" s="239" t="n"/>
      <c r="X5478" s="239" t="n"/>
    </row>
    <row r="5479" ht="14.25" customHeight="1" s="192">
      <c r="W5479" s="235" t="n"/>
      <c r="X5479" s="235" t="n"/>
    </row>
    <row r="5480" ht="14.25" customHeight="1" s="192">
      <c r="W5480" s="235" t="n"/>
      <c r="X5480" s="235" t="n"/>
    </row>
    <row r="5481" ht="14.25" customHeight="1" s="192">
      <c r="W5481" s="235" t="n"/>
      <c r="X5481" s="235" t="n"/>
    </row>
    <row r="5482" ht="14.25" customHeight="1" s="192">
      <c r="W5482" s="239" t="n"/>
      <c r="X5482" s="239" t="n"/>
    </row>
    <row r="5483" ht="14.25" customHeight="1" s="192">
      <c r="W5483" s="239" t="n"/>
      <c r="X5483" s="239" t="n"/>
    </row>
    <row r="5484" ht="14.25" customHeight="1" s="192">
      <c r="W5484" s="235" t="n"/>
      <c r="X5484" s="235" t="n"/>
    </row>
    <row r="5485" ht="14.25" customHeight="1" s="192">
      <c r="W5485" s="235" t="n"/>
      <c r="X5485" s="235" t="n"/>
    </row>
    <row r="5486" ht="14.25" customHeight="1" s="192">
      <c r="W5486" s="239" t="n"/>
      <c r="X5486" s="239" t="n"/>
    </row>
    <row r="5487" ht="14.25" customHeight="1" s="192">
      <c r="W5487" s="235" t="n"/>
      <c r="X5487" s="235" t="n"/>
    </row>
    <row r="5488" ht="14.25" customHeight="1" s="192">
      <c r="W5488" s="239" t="n"/>
      <c r="X5488" s="239" t="n"/>
    </row>
    <row r="5490" ht="14.25" customHeight="1" s="192">
      <c r="W5490" s="235" t="n"/>
      <c r="X5490" s="235" t="n"/>
    </row>
    <row r="5491" ht="15" customHeight="1" s="192" thickBot="1">
      <c r="W5491" s="239" t="n"/>
      <c r="X5491" s="239" t="n"/>
    </row>
    <row r="5492" ht="15" customHeight="1" s="192" thickBot="1">
      <c r="W5492" s="45" t="n"/>
      <c r="X5492" s="45" t="n"/>
    </row>
    <row r="5493" ht="14.25" customHeight="1" s="192">
      <c r="W5493" s="228" t="n"/>
      <c r="X5493" s="228" t="n"/>
    </row>
    <row r="5494" ht="14.25" customHeight="1" s="192">
      <c r="W5494" s="228" t="n"/>
      <c r="X5494" s="228" t="n"/>
    </row>
    <row r="5495" ht="14.25" customHeight="1" s="192">
      <c r="W5495" s="231" t="n"/>
      <c r="X5495" s="231" t="n"/>
    </row>
    <row r="5496" ht="14.25" customHeight="1" s="192">
      <c r="W5496" s="33" t="n"/>
      <c r="X5496" s="33" t="n"/>
    </row>
    <row r="5497" ht="14.25" customHeight="1" s="192">
      <c r="W5497" s="231" t="n"/>
      <c r="X5497" s="231" t="n"/>
    </row>
    <row r="5498" ht="14.25" customHeight="1" s="192">
      <c r="W5498" s="33" t="n"/>
      <c r="X5498" s="33" t="n"/>
    </row>
    <row r="5500" ht="14.25" customHeight="1" s="192">
      <c r="W5500" s="231" t="n"/>
      <c r="X5500" s="231" t="n"/>
    </row>
    <row r="5501" ht="14.25" customHeight="1" s="192">
      <c r="W5501" s="235" t="n"/>
      <c r="X5501" s="235" t="n"/>
    </row>
    <row r="5502" ht="14.25" customHeight="1" s="192">
      <c r="W5502" s="228" t="n"/>
      <c r="X5502" s="228" t="n"/>
    </row>
    <row r="5503" ht="14.25" customHeight="1" s="192">
      <c r="W5503" s="235" t="n"/>
      <c r="X5503" s="235" t="n"/>
    </row>
    <row r="5504" ht="14.25" customHeight="1" s="192">
      <c r="W5504" s="235" t="n"/>
      <c r="X5504" s="235" t="n"/>
    </row>
    <row r="5505" ht="14.25" customHeight="1" s="192">
      <c r="W5505" s="235" t="n"/>
      <c r="X5505" s="235" t="n"/>
    </row>
    <row r="5506" ht="14.25" customHeight="1" s="192">
      <c r="W5506" s="239" t="n"/>
      <c r="X5506" s="239" t="n"/>
    </row>
    <row r="5507" ht="14.25" customHeight="1" s="192">
      <c r="W5507" s="239" t="n"/>
      <c r="X5507" s="239" t="n"/>
    </row>
    <row r="5508" ht="14.25" customHeight="1" s="192">
      <c r="W5508" s="239" t="n"/>
      <c r="X5508" s="239" t="n"/>
    </row>
    <row r="5509" ht="14.25" customHeight="1" s="192">
      <c r="W5509" s="235" t="n"/>
      <c r="X5509" s="235" t="n"/>
    </row>
    <row r="5510" ht="14.25" customHeight="1" s="192">
      <c r="W5510" s="235" t="n"/>
      <c r="X5510" s="235" t="n"/>
    </row>
    <row r="5511" ht="14.25" customHeight="1" s="192">
      <c r="W5511" s="235" t="n"/>
      <c r="X5511" s="235" t="n"/>
    </row>
    <row r="5512" ht="14.25" customHeight="1" s="192">
      <c r="W5512" s="239" t="n"/>
      <c r="X5512" s="239" t="n"/>
    </row>
    <row r="5513" ht="14.25" customHeight="1" s="192">
      <c r="W5513" s="239" t="n"/>
      <c r="X5513" s="239" t="n"/>
    </row>
    <row r="5514" ht="14.25" customHeight="1" s="192">
      <c r="W5514" s="235" t="n"/>
      <c r="X5514" s="235" t="n"/>
    </row>
    <row r="5515" ht="14.25" customHeight="1" s="192">
      <c r="W5515" s="235" t="n"/>
      <c r="X5515" s="235" t="n"/>
    </row>
    <row r="5516" ht="14.25" customHeight="1" s="192">
      <c r="W5516" s="239" t="n"/>
      <c r="X5516" s="239" t="n"/>
    </row>
    <row r="5517" ht="14.25" customHeight="1" s="192">
      <c r="W5517" s="235" t="n"/>
      <c r="X5517" s="235" t="n"/>
    </row>
    <row r="5518" ht="14.25" customHeight="1" s="192">
      <c r="W5518" s="239" t="n"/>
      <c r="X5518" s="239" t="n"/>
    </row>
    <row r="5520" ht="14.25" customHeight="1" s="192">
      <c r="W5520" s="235" t="n"/>
      <c r="X5520" s="235" t="n"/>
    </row>
    <row r="5521" ht="15" customHeight="1" s="192" thickBot="1">
      <c r="W5521" s="239" t="n"/>
      <c r="X5521" s="239" t="n"/>
    </row>
    <row r="5522" ht="15" customHeight="1" s="192" thickBot="1">
      <c r="W5522" s="45" t="n"/>
      <c r="X5522" s="45" t="n"/>
    </row>
    <row r="5523" ht="14.25" customHeight="1" s="192">
      <c r="W5523" s="228" t="n"/>
      <c r="X5523" s="228" t="n"/>
    </row>
    <row r="5524" ht="14.25" customHeight="1" s="192">
      <c r="W5524" s="228" t="n"/>
      <c r="X5524" s="228" t="n"/>
    </row>
    <row r="5525" ht="14.25" customHeight="1" s="192">
      <c r="W5525" s="231" t="n"/>
      <c r="X5525" s="231" t="n"/>
    </row>
    <row r="5526" ht="14.25" customHeight="1" s="192">
      <c r="W5526" s="33" t="n"/>
      <c r="X5526" s="33" t="n"/>
    </row>
    <row r="5527" ht="14.25" customHeight="1" s="192">
      <c r="W5527" s="231" t="n"/>
      <c r="X5527" s="231" t="n"/>
    </row>
    <row r="5528" ht="14.25" customHeight="1" s="192">
      <c r="W5528" s="33" t="n"/>
      <c r="X5528" s="33" t="n"/>
    </row>
    <row r="5530" ht="14.25" customHeight="1" s="192">
      <c r="W5530" s="231" t="n"/>
      <c r="X5530" s="231" t="n"/>
    </row>
    <row r="5531" ht="14.25" customHeight="1" s="192">
      <c r="W5531" s="235" t="n"/>
      <c r="X5531" s="235" t="n"/>
    </row>
    <row r="5532" ht="14.25" customHeight="1" s="192">
      <c r="W5532" s="228" t="n"/>
      <c r="X5532" s="228" t="n"/>
    </row>
    <row r="5533" ht="14.25" customHeight="1" s="192">
      <c r="W5533" s="235" t="n"/>
      <c r="X5533" s="235" t="n"/>
    </row>
    <row r="5534" ht="14.25" customHeight="1" s="192">
      <c r="W5534" s="235" t="n"/>
      <c r="X5534" s="235" t="n"/>
    </row>
    <row r="5535" ht="14.25" customHeight="1" s="192">
      <c r="W5535" s="235" t="n"/>
      <c r="X5535" s="235" t="n"/>
    </row>
    <row r="5536" ht="14.25" customHeight="1" s="192">
      <c r="W5536" s="239" t="n"/>
      <c r="X5536" s="239" t="n"/>
    </row>
    <row r="5537" ht="14.25" customHeight="1" s="192">
      <c r="W5537" s="239" t="n"/>
      <c r="X5537" s="239" t="n"/>
    </row>
    <row r="5538" ht="14.25" customHeight="1" s="192">
      <c r="W5538" s="239" t="n"/>
      <c r="X5538" s="239" t="n"/>
    </row>
    <row r="5539" ht="14.25" customHeight="1" s="192">
      <c r="W5539" s="235" t="n"/>
      <c r="X5539" s="235" t="n"/>
    </row>
    <row r="5540" ht="14.25" customHeight="1" s="192">
      <c r="W5540" s="235" t="n"/>
      <c r="X5540" s="235" t="n"/>
    </row>
    <row r="5541" ht="14.25" customHeight="1" s="192">
      <c r="W5541" s="235" t="n"/>
      <c r="X5541" s="235" t="n"/>
    </row>
    <row r="5542" ht="14.25" customHeight="1" s="192">
      <c r="W5542" s="239" t="n"/>
      <c r="X5542" s="239" t="n"/>
    </row>
    <row r="5543" ht="14.25" customHeight="1" s="192">
      <c r="W5543" s="239" t="n"/>
      <c r="X5543" s="239" t="n"/>
    </row>
    <row r="5544" ht="14.25" customHeight="1" s="192">
      <c r="W5544" s="235" t="n"/>
      <c r="X5544" s="235" t="n"/>
    </row>
    <row r="5545" ht="14.25" customHeight="1" s="192">
      <c r="W5545" s="235" t="n"/>
      <c r="X5545" s="235" t="n"/>
    </row>
    <row r="5546" ht="14.25" customHeight="1" s="192">
      <c r="W5546" s="239" t="n"/>
      <c r="X5546" s="239" t="n"/>
    </row>
    <row r="5547" ht="14.25" customHeight="1" s="192">
      <c r="W5547" s="235" t="n"/>
      <c r="X5547" s="235" t="n"/>
    </row>
    <row r="5548" ht="14.25" customHeight="1" s="192">
      <c r="W5548" s="239" t="n"/>
      <c r="X5548" s="239" t="n"/>
    </row>
    <row r="5550" ht="14.25" customHeight="1" s="192">
      <c r="W5550" s="235" t="n"/>
      <c r="X5550" s="235" t="n"/>
    </row>
    <row r="5551" ht="15" customHeight="1" s="192" thickBot="1">
      <c r="W5551" s="239" t="n"/>
      <c r="X5551" s="239" t="n"/>
    </row>
    <row r="5552" ht="15" customHeight="1" s="192" thickBot="1">
      <c r="W5552" s="45" t="n"/>
      <c r="X5552" s="45" t="n"/>
    </row>
    <row r="5553" ht="14.25" customHeight="1" s="192">
      <c r="W5553" s="228" t="n"/>
      <c r="X5553" s="228" t="n"/>
    </row>
    <row r="5554" ht="14.25" customHeight="1" s="192">
      <c r="W5554" s="228" t="n"/>
      <c r="X5554" s="228" t="n"/>
    </row>
    <row r="5555" ht="14.25" customHeight="1" s="192">
      <c r="W5555" s="231" t="n"/>
      <c r="X5555" s="231" t="n"/>
    </row>
    <row r="5556" ht="14.25" customHeight="1" s="192">
      <c r="W5556" s="33" t="n"/>
      <c r="X5556" s="33" t="n"/>
    </row>
    <row r="5557" ht="14.25" customHeight="1" s="192">
      <c r="W5557" s="231" t="n"/>
      <c r="X5557" s="231" t="n"/>
    </row>
    <row r="5558" ht="14.25" customHeight="1" s="192">
      <c r="W5558" s="33" t="n"/>
      <c r="X5558" s="33" t="n"/>
    </row>
    <row r="5560" ht="14.25" customHeight="1" s="192">
      <c r="W5560" s="231" t="n"/>
      <c r="X5560" s="231" t="n"/>
    </row>
    <row r="5561" ht="14.25" customHeight="1" s="192">
      <c r="W5561" s="235" t="n"/>
      <c r="X5561" s="235" t="n"/>
    </row>
    <row r="5562" ht="14.25" customHeight="1" s="192">
      <c r="W5562" s="228" t="n"/>
      <c r="X5562" s="228" t="n"/>
    </row>
    <row r="5563" ht="14.25" customHeight="1" s="192">
      <c r="W5563" s="235" t="n"/>
      <c r="X5563" s="235" t="n"/>
    </row>
    <row r="5564" ht="14.25" customHeight="1" s="192">
      <c r="W5564" s="235" t="n"/>
      <c r="X5564" s="235" t="n"/>
    </row>
    <row r="5565" ht="14.25" customHeight="1" s="192">
      <c r="W5565" s="235" t="n"/>
      <c r="X5565" s="235" t="n"/>
    </row>
    <row r="5566" ht="14.25" customHeight="1" s="192">
      <c r="W5566" s="239" t="n"/>
      <c r="X5566" s="239" t="n"/>
    </row>
    <row r="5567" ht="14.25" customHeight="1" s="192">
      <c r="W5567" s="239" t="n"/>
      <c r="X5567" s="239" t="n"/>
    </row>
    <row r="5568" ht="14.25" customHeight="1" s="192">
      <c r="W5568" s="239" t="n"/>
      <c r="X5568" s="239" t="n"/>
    </row>
    <row r="5569" ht="14.25" customHeight="1" s="192">
      <c r="W5569" s="235" t="n"/>
      <c r="X5569" s="235" t="n"/>
    </row>
    <row r="5570" ht="14.25" customHeight="1" s="192">
      <c r="W5570" s="235" t="n"/>
      <c r="X5570" s="235" t="n"/>
    </row>
    <row r="5571" ht="14.25" customHeight="1" s="192">
      <c r="W5571" s="235" t="n"/>
      <c r="X5571" s="235" t="n"/>
    </row>
    <row r="5572" ht="14.25" customHeight="1" s="192">
      <c r="W5572" s="239" t="n"/>
      <c r="X5572" s="239" t="n"/>
    </row>
    <row r="5573" ht="14.25" customHeight="1" s="192">
      <c r="W5573" s="239" t="n"/>
      <c r="X5573" s="239" t="n"/>
    </row>
    <row r="5574" ht="14.25" customHeight="1" s="192">
      <c r="W5574" s="235" t="n"/>
      <c r="X5574" s="235" t="n"/>
    </row>
    <row r="5575" ht="14.25" customHeight="1" s="192">
      <c r="W5575" s="235" t="n"/>
      <c r="X5575" s="235" t="n"/>
    </row>
    <row r="5576" ht="14.25" customHeight="1" s="192">
      <c r="W5576" s="239" t="n"/>
      <c r="X5576" s="239" t="n"/>
    </row>
    <row r="5577" ht="14.25" customHeight="1" s="192">
      <c r="W5577" s="235" t="n"/>
      <c r="X5577" s="235" t="n"/>
    </row>
    <row r="5578" ht="14.25" customHeight="1" s="192">
      <c r="W5578" s="239" t="n"/>
      <c r="X5578" s="239" t="n"/>
    </row>
    <row r="5580" ht="14.25" customHeight="1" s="192">
      <c r="W5580" s="235" t="n"/>
      <c r="X5580" s="235" t="n"/>
    </row>
    <row r="5581" ht="15" customHeight="1" s="192" thickBot="1">
      <c r="W5581" s="239" t="n"/>
      <c r="X5581" s="239" t="n"/>
    </row>
    <row r="5582" ht="15" customHeight="1" s="192" thickBot="1">
      <c r="W5582" s="45" t="n"/>
      <c r="X5582" s="45" t="n"/>
    </row>
    <row r="5583" ht="14.25" customHeight="1" s="192">
      <c r="W5583" s="228" t="n"/>
      <c r="X5583" s="228" t="n"/>
    </row>
    <row r="5584" ht="14.25" customHeight="1" s="192">
      <c r="W5584" s="228" t="n"/>
      <c r="X5584" s="228" t="n"/>
    </row>
    <row r="5585" ht="14.25" customHeight="1" s="192">
      <c r="W5585" s="231" t="n"/>
      <c r="X5585" s="231" t="n"/>
    </row>
    <row r="5586" ht="14.25" customHeight="1" s="192">
      <c r="W5586" s="33" t="n"/>
      <c r="X5586" s="33" t="n"/>
    </row>
    <row r="5587" ht="14.25" customHeight="1" s="192">
      <c r="W5587" s="231" t="n"/>
      <c r="X5587" s="231" t="n"/>
    </row>
    <row r="5588" ht="14.25" customHeight="1" s="192">
      <c r="W5588" s="33" t="n"/>
      <c r="X5588" s="33" t="n"/>
    </row>
    <row r="5590" ht="14.25" customHeight="1" s="192">
      <c r="W5590" s="231" t="n"/>
      <c r="X5590" s="231" t="n"/>
    </row>
    <row r="5591" ht="14.25" customHeight="1" s="192">
      <c r="W5591" s="235" t="n"/>
      <c r="X5591" s="235" t="n"/>
    </row>
    <row r="5592" ht="14.25" customHeight="1" s="192">
      <c r="W5592" s="228" t="n"/>
      <c r="X5592" s="228" t="n"/>
    </row>
    <row r="5593" ht="14.25" customHeight="1" s="192">
      <c r="W5593" s="235" t="n"/>
      <c r="X5593" s="235" t="n"/>
    </row>
    <row r="5594" ht="14.25" customHeight="1" s="192">
      <c r="W5594" s="235" t="n"/>
      <c r="X5594" s="235" t="n"/>
    </row>
    <row r="5595" ht="14.25" customHeight="1" s="192">
      <c r="W5595" s="235" t="n"/>
      <c r="X5595" s="235" t="n"/>
    </row>
    <row r="5596" ht="14.25" customHeight="1" s="192">
      <c r="W5596" s="239" t="n"/>
      <c r="X5596" s="239" t="n"/>
    </row>
    <row r="5597" ht="14.25" customHeight="1" s="192">
      <c r="W5597" s="239" t="n"/>
      <c r="X5597" s="239" t="n"/>
    </row>
    <row r="5598" ht="14.25" customHeight="1" s="192">
      <c r="W5598" s="239" t="n"/>
      <c r="X5598" s="239" t="n"/>
    </row>
    <row r="5599" ht="14.25" customHeight="1" s="192">
      <c r="W5599" s="235" t="n"/>
      <c r="X5599" s="235" t="n"/>
    </row>
    <row r="5600" ht="14.25" customHeight="1" s="192">
      <c r="W5600" s="235" t="n"/>
      <c r="X5600" s="235" t="n"/>
    </row>
    <row r="5601" ht="14.25" customHeight="1" s="192">
      <c r="W5601" s="235" t="n"/>
      <c r="X5601" s="235" t="n"/>
    </row>
    <row r="5602" ht="14.25" customHeight="1" s="192">
      <c r="W5602" s="239" t="n"/>
      <c r="X5602" s="239" t="n"/>
    </row>
    <row r="5603" ht="14.25" customHeight="1" s="192">
      <c r="W5603" s="239" t="n"/>
      <c r="X5603" s="239" t="n"/>
    </row>
    <row r="5604" ht="14.25" customHeight="1" s="192">
      <c r="W5604" s="235" t="n"/>
      <c r="X5604" s="235" t="n"/>
    </row>
    <row r="5605" ht="14.25" customHeight="1" s="192">
      <c r="W5605" s="235" t="n"/>
      <c r="X5605" s="235" t="n"/>
    </row>
    <row r="5606" ht="14.25" customHeight="1" s="192">
      <c r="W5606" s="239" t="n"/>
      <c r="X5606" s="239" t="n"/>
    </row>
    <row r="5607" ht="14.25" customHeight="1" s="192">
      <c r="W5607" s="235" t="n"/>
      <c r="X5607" s="235" t="n"/>
    </row>
    <row r="5608" ht="14.25" customHeight="1" s="192">
      <c r="W5608" s="239" t="n"/>
      <c r="X5608" s="239" t="n"/>
    </row>
    <row r="5610" ht="14.25" customHeight="1" s="192">
      <c r="W5610" s="235" t="n"/>
      <c r="X5610" s="235" t="n"/>
    </row>
    <row r="5611" ht="15" customHeight="1" s="192" thickBot="1">
      <c r="W5611" s="239" t="n"/>
      <c r="X5611" s="239" t="n"/>
    </row>
    <row r="5612" ht="15" customHeight="1" s="192" thickBot="1">
      <c r="W5612" s="45" t="n"/>
      <c r="X5612" s="45" t="n"/>
    </row>
    <row r="5613" ht="14.25" customHeight="1" s="192">
      <c r="W5613" s="228" t="n"/>
      <c r="X5613" s="228" t="n"/>
    </row>
    <row r="5614" ht="14.25" customHeight="1" s="192">
      <c r="W5614" s="228" t="n"/>
      <c r="X5614" s="228" t="n"/>
    </row>
    <row r="5615" ht="14.25" customHeight="1" s="192">
      <c r="W5615" s="231" t="n"/>
      <c r="X5615" s="231" t="n"/>
    </row>
    <row r="5616" ht="14.25" customHeight="1" s="192">
      <c r="W5616" s="33" t="n"/>
      <c r="X5616" s="33" t="n"/>
    </row>
    <row r="5617" ht="14.25" customHeight="1" s="192">
      <c r="W5617" s="231" t="n"/>
      <c r="X5617" s="231" t="n"/>
    </row>
    <row r="5618" ht="14.25" customHeight="1" s="192">
      <c r="W5618" s="33" t="n"/>
      <c r="X5618" s="33" t="n"/>
    </row>
    <row r="5620" ht="14.25" customHeight="1" s="192">
      <c r="W5620" s="231" t="n"/>
      <c r="X5620" s="231" t="n"/>
    </row>
    <row r="5621" ht="14.25" customHeight="1" s="192">
      <c r="W5621" s="235" t="n"/>
      <c r="X5621" s="235" t="n"/>
    </row>
    <row r="5622" ht="14.25" customHeight="1" s="192">
      <c r="W5622" s="228" t="n"/>
      <c r="X5622" s="228" t="n"/>
    </row>
    <row r="5623" ht="14.25" customHeight="1" s="192">
      <c r="W5623" s="235" t="n"/>
      <c r="X5623" s="235" t="n"/>
    </row>
    <row r="5624" ht="14.25" customHeight="1" s="192">
      <c r="W5624" s="235" t="n"/>
      <c r="X5624" s="235" t="n"/>
    </row>
    <row r="5625" ht="14.25" customHeight="1" s="192">
      <c r="W5625" s="235" t="n"/>
      <c r="X5625" s="235" t="n"/>
    </row>
    <row r="5626" ht="14.25" customHeight="1" s="192">
      <c r="W5626" s="239" t="n"/>
      <c r="X5626" s="239" t="n"/>
    </row>
    <row r="5627" ht="14.25" customHeight="1" s="192">
      <c r="W5627" s="239" t="n"/>
      <c r="X5627" s="239" t="n"/>
    </row>
    <row r="5628" ht="14.25" customHeight="1" s="192">
      <c r="W5628" s="239" t="n"/>
      <c r="X5628" s="239" t="n"/>
    </row>
    <row r="5629" ht="14.25" customHeight="1" s="192">
      <c r="W5629" s="235" t="n"/>
      <c r="X5629" s="235" t="n"/>
    </row>
    <row r="5630" ht="14.25" customHeight="1" s="192">
      <c r="W5630" s="235" t="n"/>
      <c r="X5630" s="235" t="n"/>
    </row>
    <row r="5631" ht="14.25" customHeight="1" s="192">
      <c r="W5631" s="235" t="n"/>
      <c r="X5631" s="235" t="n"/>
    </row>
    <row r="5632" ht="14.25" customHeight="1" s="192">
      <c r="W5632" s="239" t="n"/>
      <c r="X5632" s="239" t="n"/>
    </row>
    <row r="5633" ht="14.25" customHeight="1" s="192">
      <c r="W5633" s="239" t="n"/>
      <c r="X5633" s="239" t="n"/>
    </row>
    <row r="5634" ht="14.25" customHeight="1" s="192">
      <c r="W5634" s="235" t="n"/>
      <c r="X5634" s="235" t="n"/>
    </row>
    <row r="5635" ht="14.25" customHeight="1" s="192">
      <c r="W5635" s="235" t="n"/>
      <c r="X5635" s="235" t="n"/>
    </row>
    <row r="5636" ht="14.25" customHeight="1" s="192">
      <c r="W5636" s="239" t="n"/>
      <c r="X5636" s="239" t="n"/>
    </row>
    <row r="5637" ht="14.25" customHeight="1" s="192">
      <c r="W5637" s="235" t="n"/>
      <c r="X5637" s="235" t="n"/>
    </row>
    <row r="5638" ht="14.25" customHeight="1" s="192">
      <c r="W5638" s="239" t="n"/>
      <c r="X5638" s="239" t="n"/>
    </row>
    <row r="5640" ht="14.25" customHeight="1" s="192">
      <c r="W5640" s="235" t="n"/>
      <c r="X5640" s="235" t="n"/>
    </row>
    <row r="5641" ht="15" customHeight="1" s="192" thickBot="1">
      <c r="W5641" s="239" t="n"/>
      <c r="X5641" s="239" t="n"/>
    </row>
    <row r="5642" ht="15" customHeight="1" s="192" thickBot="1">
      <c r="W5642" s="45" t="n"/>
      <c r="X5642" s="45" t="n"/>
    </row>
    <row r="5643" ht="14.25" customHeight="1" s="192">
      <c r="W5643" s="228" t="n"/>
      <c r="X5643" s="228" t="n"/>
    </row>
    <row r="5644" ht="14.25" customHeight="1" s="192">
      <c r="W5644" s="228" t="n"/>
      <c r="X5644" s="228" t="n"/>
    </row>
    <row r="5645" ht="14.25" customHeight="1" s="192">
      <c r="W5645" s="231" t="n"/>
      <c r="X5645" s="231" t="n"/>
    </row>
    <row r="5646" ht="14.25" customHeight="1" s="192">
      <c r="W5646" s="33" t="n"/>
      <c r="X5646" s="33" t="n"/>
    </row>
    <row r="5647" ht="14.25" customHeight="1" s="192">
      <c r="W5647" s="231" t="n"/>
      <c r="X5647" s="231" t="n"/>
    </row>
    <row r="5648" ht="14.25" customHeight="1" s="192">
      <c r="W5648" s="33" t="n"/>
      <c r="X5648" s="33" t="n"/>
    </row>
    <row r="5650" ht="14.25" customHeight="1" s="192">
      <c r="W5650" s="231" t="n"/>
      <c r="X5650" s="231" t="n"/>
    </row>
    <row r="5651" ht="14.25" customHeight="1" s="192">
      <c r="W5651" s="235" t="n"/>
      <c r="X5651" s="235" t="n"/>
    </row>
    <row r="5652" ht="14.25" customHeight="1" s="192">
      <c r="W5652" s="228" t="n"/>
      <c r="X5652" s="228" t="n"/>
    </row>
    <row r="5653" ht="14.25" customHeight="1" s="192">
      <c r="W5653" s="235" t="n"/>
      <c r="X5653" s="235" t="n"/>
    </row>
    <row r="5654" ht="14.25" customHeight="1" s="192">
      <c r="W5654" s="235" t="n"/>
      <c r="X5654" s="235" t="n"/>
    </row>
    <row r="5655" ht="14.25" customHeight="1" s="192">
      <c r="W5655" s="235" t="n"/>
      <c r="X5655" s="235" t="n"/>
    </row>
    <row r="5656" ht="14.25" customHeight="1" s="192">
      <c r="W5656" s="239" t="n"/>
      <c r="X5656" s="239" t="n"/>
    </row>
    <row r="5657" ht="14.25" customHeight="1" s="192">
      <c r="W5657" s="239" t="n"/>
      <c r="X5657" s="239" t="n"/>
    </row>
    <row r="5658" ht="14.25" customHeight="1" s="192">
      <c r="W5658" s="239" t="n"/>
      <c r="X5658" s="239" t="n"/>
    </row>
    <row r="5659" ht="14.25" customHeight="1" s="192">
      <c r="W5659" s="235" t="n"/>
      <c r="X5659" s="235" t="n"/>
    </row>
    <row r="5660" ht="14.25" customHeight="1" s="192">
      <c r="W5660" s="235" t="n"/>
      <c r="X5660" s="235" t="n"/>
    </row>
    <row r="5661" ht="14.25" customHeight="1" s="192">
      <c r="W5661" s="235" t="n"/>
      <c r="X5661" s="235" t="n"/>
    </row>
    <row r="5662" ht="14.25" customHeight="1" s="192">
      <c r="W5662" s="239" t="n"/>
      <c r="X5662" s="239" t="n"/>
    </row>
    <row r="5663" ht="14.25" customHeight="1" s="192">
      <c r="W5663" s="239" t="n"/>
      <c r="X5663" s="239" t="n"/>
    </row>
    <row r="5664" ht="14.25" customHeight="1" s="192">
      <c r="W5664" s="235" t="n"/>
      <c r="X5664" s="235" t="n"/>
    </row>
    <row r="5665" ht="14.25" customHeight="1" s="192">
      <c r="W5665" s="235" t="n"/>
      <c r="X5665" s="235" t="n"/>
    </row>
    <row r="5666" ht="14.25" customHeight="1" s="192">
      <c r="W5666" s="239" t="n"/>
      <c r="X5666" s="239" t="n"/>
    </row>
    <row r="5667" ht="14.25" customHeight="1" s="192">
      <c r="W5667" s="235" t="n"/>
      <c r="X5667" s="235" t="n"/>
    </row>
    <row r="5668" ht="14.25" customHeight="1" s="192">
      <c r="W5668" s="239" t="n"/>
      <c r="X5668" s="239" t="n"/>
    </row>
    <row r="5670" ht="14.25" customHeight="1" s="192">
      <c r="W5670" s="235" t="n"/>
      <c r="X5670" s="235" t="n"/>
    </row>
    <row r="5671" ht="15" customHeight="1" s="192" thickBot="1">
      <c r="W5671" s="239" t="n"/>
      <c r="X5671" s="239" t="n"/>
    </row>
    <row r="5672" ht="15" customHeight="1" s="192" thickBot="1">
      <c r="W5672" s="45" t="n"/>
      <c r="X5672" s="45" t="n"/>
    </row>
    <row r="5673" ht="14.25" customHeight="1" s="192">
      <c r="W5673" s="228" t="n"/>
      <c r="X5673" s="228" t="n"/>
    </row>
    <row r="5674" ht="14.25" customHeight="1" s="192">
      <c r="W5674" s="228" t="n"/>
      <c r="X5674" s="228" t="n"/>
    </row>
    <row r="5675" ht="14.25" customHeight="1" s="192">
      <c r="W5675" s="231" t="n"/>
      <c r="X5675" s="231" t="n"/>
    </row>
    <row r="5676" ht="14.25" customHeight="1" s="192">
      <c r="W5676" s="33" t="n"/>
      <c r="X5676" s="33" t="n"/>
    </row>
    <row r="5677" ht="14.25" customHeight="1" s="192">
      <c r="W5677" s="231" t="n"/>
      <c r="X5677" s="231" t="n"/>
    </row>
    <row r="5678" ht="14.25" customHeight="1" s="192">
      <c r="W5678" s="33" t="n"/>
      <c r="X5678" s="33" t="n"/>
    </row>
    <row r="5680" ht="14.25" customHeight="1" s="192">
      <c r="W5680" s="231" t="n"/>
      <c r="X5680" s="231" t="n"/>
    </row>
    <row r="5681" ht="14.25" customHeight="1" s="192">
      <c r="W5681" s="235" t="n"/>
      <c r="X5681" s="235" t="n"/>
    </row>
    <row r="5682" ht="14.25" customHeight="1" s="192">
      <c r="W5682" s="228" t="n"/>
      <c r="X5682" s="228" t="n"/>
    </row>
    <row r="5683" ht="14.25" customHeight="1" s="192">
      <c r="W5683" s="235" t="n"/>
      <c r="X5683" s="235" t="n"/>
    </row>
    <row r="5684" ht="14.25" customHeight="1" s="192">
      <c r="W5684" s="235" t="n"/>
      <c r="X5684" s="235" t="n"/>
    </row>
    <row r="5685" ht="14.25" customHeight="1" s="192">
      <c r="W5685" s="235" t="n"/>
      <c r="X5685" s="235" t="n"/>
    </row>
    <row r="5686" ht="14.25" customHeight="1" s="192">
      <c r="W5686" s="239" t="n"/>
      <c r="X5686" s="239" t="n"/>
    </row>
    <row r="5687" ht="14.25" customHeight="1" s="192">
      <c r="W5687" s="239" t="n"/>
      <c r="X5687" s="239" t="n"/>
    </row>
    <row r="5688" ht="14.25" customHeight="1" s="192">
      <c r="W5688" s="239" t="n"/>
      <c r="X5688" s="239" t="n"/>
    </row>
    <row r="5689" ht="14.25" customHeight="1" s="192">
      <c r="W5689" s="235" t="n"/>
      <c r="X5689" s="235" t="n"/>
    </row>
    <row r="5690" ht="14.25" customHeight="1" s="192">
      <c r="W5690" s="235" t="n"/>
      <c r="X5690" s="235" t="n"/>
    </row>
    <row r="5691" ht="14.25" customHeight="1" s="192">
      <c r="W5691" s="235" t="n"/>
      <c r="X5691" s="235" t="n"/>
    </row>
    <row r="5692" ht="14.25" customHeight="1" s="192">
      <c r="W5692" s="239" t="n"/>
      <c r="X5692" s="239" t="n"/>
    </row>
    <row r="5693" ht="14.25" customHeight="1" s="192">
      <c r="W5693" s="239" t="n"/>
      <c r="X5693" s="239" t="n"/>
    </row>
    <row r="5694" ht="14.25" customHeight="1" s="192">
      <c r="W5694" s="235" t="n"/>
      <c r="X5694" s="235" t="n"/>
    </row>
    <row r="5695" ht="14.25" customHeight="1" s="192">
      <c r="W5695" s="235" t="n"/>
      <c r="X5695" s="235" t="n"/>
    </row>
    <row r="5696" ht="14.25" customHeight="1" s="192">
      <c r="W5696" s="239" t="n"/>
      <c r="X5696" s="239" t="n"/>
    </row>
    <row r="5697" ht="14.25" customHeight="1" s="192">
      <c r="W5697" s="235" t="n"/>
      <c r="X5697" s="235" t="n"/>
    </row>
    <row r="5698" ht="14.25" customHeight="1" s="192">
      <c r="W5698" s="239" t="n"/>
      <c r="X5698" s="239" t="n"/>
    </row>
    <row r="5700" ht="14.25" customHeight="1" s="192">
      <c r="W5700" s="235" t="n"/>
      <c r="X5700" s="235" t="n"/>
    </row>
    <row r="5701" ht="15" customHeight="1" s="192" thickBot="1">
      <c r="W5701" s="239" t="n"/>
      <c r="X5701" s="239" t="n"/>
    </row>
    <row r="5702" ht="15" customHeight="1" s="192" thickBot="1">
      <c r="W5702" s="45" t="n"/>
      <c r="X5702" s="45" t="n"/>
    </row>
    <row r="5703" ht="14.25" customHeight="1" s="192">
      <c r="W5703" s="228" t="n"/>
      <c r="X5703" s="228" t="n"/>
    </row>
    <row r="5704" ht="14.25" customHeight="1" s="192">
      <c r="W5704" s="228" t="n"/>
      <c r="X5704" s="228" t="n"/>
    </row>
    <row r="5705" ht="14.25" customHeight="1" s="192">
      <c r="W5705" s="231" t="n"/>
      <c r="X5705" s="231" t="n"/>
    </row>
    <row r="5706" ht="14.25" customHeight="1" s="192">
      <c r="W5706" s="33" t="n"/>
      <c r="X5706" s="33" t="n"/>
    </row>
    <row r="5707" ht="14.25" customHeight="1" s="192">
      <c r="W5707" s="231" t="n"/>
      <c r="X5707" s="231" t="n"/>
    </row>
    <row r="5708" ht="14.25" customHeight="1" s="192">
      <c r="W5708" s="33" t="n"/>
      <c r="X5708" s="33" t="n"/>
    </row>
    <row r="5710" ht="14.25" customHeight="1" s="192">
      <c r="W5710" s="231" t="n"/>
      <c r="X5710" s="231" t="n"/>
    </row>
    <row r="5711" ht="14.25" customHeight="1" s="192">
      <c r="W5711" s="235" t="n"/>
      <c r="X5711" s="235" t="n"/>
    </row>
    <row r="5712" ht="14.25" customHeight="1" s="192">
      <c r="W5712" s="228" t="n"/>
      <c r="X5712" s="228" t="n"/>
    </row>
    <row r="5713" ht="14.25" customHeight="1" s="192">
      <c r="W5713" s="235" t="n"/>
      <c r="X5713" s="235" t="n"/>
    </row>
    <row r="5714" ht="14.25" customHeight="1" s="192">
      <c r="W5714" s="235" t="n"/>
      <c r="X5714" s="235" t="n"/>
    </row>
    <row r="5715" ht="14.25" customHeight="1" s="192">
      <c r="W5715" s="235" t="n"/>
      <c r="X5715" s="235" t="n"/>
    </row>
    <row r="5716" ht="14.25" customHeight="1" s="192">
      <c r="W5716" s="239" t="n"/>
      <c r="X5716" s="239" t="n"/>
    </row>
    <row r="5717" ht="14.25" customHeight="1" s="192">
      <c r="W5717" s="239" t="n"/>
      <c r="X5717" s="239" t="n"/>
    </row>
    <row r="5718" ht="14.25" customHeight="1" s="192">
      <c r="W5718" s="239" t="n"/>
      <c r="X5718" s="239" t="n"/>
    </row>
    <row r="5719" ht="14.25" customHeight="1" s="192">
      <c r="W5719" s="235" t="n"/>
      <c r="X5719" s="235" t="n"/>
    </row>
    <row r="5720" ht="14.25" customHeight="1" s="192">
      <c r="W5720" s="235" t="n"/>
      <c r="X5720" s="235" t="n"/>
    </row>
    <row r="5721" ht="14.25" customHeight="1" s="192">
      <c r="W5721" s="235" t="n"/>
      <c r="X5721" s="235" t="n"/>
    </row>
    <row r="5722" ht="14.25" customHeight="1" s="192">
      <c r="W5722" s="239" t="n"/>
      <c r="X5722" s="239" t="n"/>
    </row>
    <row r="5723" ht="14.25" customHeight="1" s="192">
      <c r="W5723" s="239" t="n"/>
      <c r="X5723" s="239" t="n"/>
    </row>
    <row r="5724" ht="14.25" customHeight="1" s="192">
      <c r="W5724" s="235" t="n"/>
      <c r="X5724" s="235" t="n"/>
    </row>
    <row r="5725" ht="14.25" customHeight="1" s="192">
      <c r="W5725" s="235" t="n"/>
      <c r="X5725" s="235" t="n"/>
    </row>
    <row r="5726" ht="14.25" customHeight="1" s="192">
      <c r="W5726" s="239" t="n"/>
      <c r="X5726" s="239" t="n"/>
    </row>
    <row r="5727" ht="14.25" customHeight="1" s="192">
      <c r="W5727" s="235" t="n"/>
      <c r="X5727" s="235" t="n"/>
    </row>
    <row r="5728" ht="14.25" customHeight="1" s="192">
      <c r="W5728" s="239" t="n"/>
      <c r="X5728" s="239" t="n"/>
    </row>
    <row r="5730" ht="14.25" customHeight="1" s="192">
      <c r="W5730" s="235" t="n"/>
      <c r="X5730" s="235" t="n"/>
    </row>
    <row r="5731" ht="15" customHeight="1" s="192" thickBot="1">
      <c r="W5731" s="239" t="n"/>
      <c r="X5731" s="239" t="n"/>
    </row>
    <row r="5732" ht="15" customHeight="1" s="192" thickBot="1">
      <c r="W5732" s="45" t="n"/>
      <c r="X5732" s="45" t="n"/>
    </row>
    <row r="5733" ht="14.25" customHeight="1" s="192">
      <c r="W5733" s="228" t="n"/>
      <c r="X5733" s="228" t="n"/>
    </row>
    <row r="5734" ht="14.25" customHeight="1" s="192">
      <c r="W5734" s="228" t="n"/>
      <c r="X5734" s="228" t="n"/>
    </row>
    <row r="5735" ht="14.25" customHeight="1" s="192">
      <c r="W5735" s="231" t="n"/>
      <c r="X5735" s="231" t="n"/>
    </row>
    <row r="5736" ht="14.25" customHeight="1" s="192">
      <c r="W5736" s="33" t="n"/>
      <c r="X5736" s="33" t="n"/>
    </row>
    <row r="5737" ht="14.25" customHeight="1" s="192">
      <c r="W5737" s="231" t="n"/>
      <c r="X5737" s="231" t="n"/>
    </row>
    <row r="5738" ht="14.25" customHeight="1" s="192">
      <c r="W5738" s="33" t="n"/>
      <c r="X5738" s="33" t="n"/>
    </row>
    <row r="5740" ht="14.25" customHeight="1" s="192">
      <c r="W5740" s="231" t="n"/>
      <c r="X5740" s="231" t="n"/>
    </row>
    <row r="5741" ht="14.25" customHeight="1" s="192">
      <c r="W5741" s="235" t="n"/>
      <c r="X5741" s="235" t="n"/>
    </row>
    <row r="5742" ht="14.25" customHeight="1" s="192">
      <c r="W5742" s="228" t="n"/>
      <c r="X5742" s="228" t="n"/>
    </row>
    <row r="5743" ht="14.25" customHeight="1" s="192">
      <c r="W5743" s="235" t="n"/>
      <c r="X5743" s="235" t="n"/>
    </row>
    <row r="5744" ht="14.25" customHeight="1" s="192">
      <c r="W5744" s="235" t="n"/>
      <c r="X5744" s="235" t="n"/>
    </row>
    <row r="5745" ht="14.25" customHeight="1" s="192">
      <c r="W5745" s="235" t="n"/>
      <c r="X5745" s="235" t="n"/>
    </row>
    <row r="5746" ht="14.25" customHeight="1" s="192">
      <c r="W5746" s="239" t="n"/>
      <c r="X5746" s="239" t="n"/>
    </row>
    <row r="5747" ht="14.25" customHeight="1" s="192">
      <c r="W5747" s="239" t="n"/>
      <c r="X5747" s="239" t="n"/>
    </row>
    <row r="5748" ht="14.25" customHeight="1" s="192">
      <c r="W5748" s="239" t="n"/>
      <c r="X5748" s="239" t="n"/>
    </row>
    <row r="5749" ht="14.25" customHeight="1" s="192">
      <c r="W5749" s="235" t="n"/>
      <c r="X5749" s="235" t="n"/>
    </row>
    <row r="5750" ht="14.25" customHeight="1" s="192">
      <c r="W5750" s="235" t="n"/>
      <c r="X5750" s="235" t="n"/>
    </row>
    <row r="5751" ht="14.25" customHeight="1" s="192">
      <c r="W5751" s="235" t="n"/>
      <c r="X5751" s="235" t="n"/>
    </row>
    <row r="5752" ht="14.25" customHeight="1" s="192">
      <c r="W5752" s="239" t="n"/>
      <c r="X5752" s="239" t="n"/>
    </row>
    <row r="5753" ht="14.25" customHeight="1" s="192">
      <c r="W5753" s="239" t="n"/>
      <c r="X5753" s="239" t="n"/>
    </row>
    <row r="5754" ht="14.25" customHeight="1" s="192">
      <c r="W5754" s="235" t="n"/>
      <c r="X5754" s="235" t="n"/>
    </row>
    <row r="5755" ht="14.25" customHeight="1" s="192">
      <c r="W5755" s="235" t="n"/>
      <c r="X5755" s="235" t="n"/>
    </row>
    <row r="5756" ht="14.25" customHeight="1" s="192">
      <c r="W5756" s="239" t="n"/>
      <c r="X5756" s="239" t="n"/>
    </row>
    <row r="5757" ht="14.25" customHeight="1" s="192">
      <c r="W5757" s="235" t="n"/>
      <c r="X5757" s="235" t="n"/>
    </row>
    <row r="5758" ht="14.25" customHeight="1" s="192">
      <c r="W5758" s="239" t="n"/>
      <c r="X5758" s="239" t="n"/>
    </row>
    <row r="5760" ht="14.25" customHeight="1" s="192">
      <c r="W5760" s="235" t="n"/>
      <c r="X5760" s="235" t="n"/>
    </row>
    <row r="5761" ht="15" customHeight="1" s="192" thickBot="1">
      <c r="W5761" s="239" t="n"/>
      <c r="X5761" s="239" t="n"/>
    </row>
    <row r="5762" ht="15" customHeight="1" s="192" thickBot="1">
      <c r="W5762" s="45" t="n"/>
      <c r="X5762" s="45" t="n"/>
    </row>
    <row r="5763" ht="14.25" customHeight="1" s="192">
      <c r="W5763" s="228" t="n"/>
      <c r="X5763" s="228" t="n"/>
    </row>
    <row r="5764" ht="14.25" customHeight="1" s="192">
      <c r="W5764" s="228" t="n"/>
      <c r="X5764" s="228" t="n"/>
    </row>
    <row r="5765" ht="14.25" customHeight="1" s="192">
      <c r="W5765" s="231" t="n"/>
      <c r="X5765" s="231" t="n"/>
    </row>
    <row r="5766" ht="14.25" customHeight="1" s="192">
      <c r="W5766" s="33" t="n"/>
      <c r="X5766" s="33" t="n"/>
    </row>
    <row r="5767" ht="14.25" customHeight="1" s="192">
      <c r="W5767" s="231" t="n"/>
      <c r="X5767" s="231" t="n"/>
    </row>
    <row r="5768" ht="14.25" customHeight="1" s="192">
      <c r="W5768" s="33" t="n"/>
      <c r="X5768" s="33" t="n"/>
    </row>
    <row r="5770" ht="14.25" customHeight="1" s="192">
      <c r="W5770" s="231" t="n"/>
      <c r="X5770" s="231" t="n"/>
    </row>
    <row r="5771" ht="14.25" customHeight="1" s="192">
      <c r="W5771" s="235" t="n"/>
      <c r="X5771" s="235" t="n"/>
    </row>
    <row r="5772" ht="14.25" customHeight="1" s="192">
      <c r="W5772" s="228" t="n"/>
      <c r="X5772" s="228" t="n"/>
    </row>
    <row r="5773" ht="14.25" customHeight="1" s="192">
      <c r="W5773" s="235" t="n"/>
      <c r="X5773" s="235" t="n"/>
    </row>
    <row r="5774" ht="14.25" customHeight="1" s="192">
      <c r="W5774" s="235" t="n"/>
      <c r="X5774" s="235" t="n"/>
    </row>
    <row r="5775" ht="14.25" customHeight="1" s="192">
      <c r="W5775" s="235" t="n"/>
      <c r="X5775" s="235" t="n"/>
    </row>
    <row r="5776" ht="14.25" customHeight="1" s="192">
      <c r="W5776" s="239" t="n"/>
      <c r="X5776" s="239" t="n"/>
    </row>
    <row r="5777" ht="14.25" customHeight="1" s="192">
      <c r="W5777" s="239" t="n"/>
      <c r="X5777" s="239" t="n"/>
    </row>
    <row r="5778" ht="14.25" customHeight="1" s="192">
      <c r="W5778" s="239" t="n"/>
      <c r="X5778" s="239" t="n"/>
    </row>
    <row r="5779" ht="14.25" customHeight="1" s="192">
      <c r="W5779" s="235" t="n"/>
      <c r="X5779" s="235" t="n"/>
    </row>
    <row r="5780" ht="14.25" customHeight="1" s="192">
      <c r="W5780" s="235" t="n"/>
      <c r="X5780" s="235" t="n"/>
    </row>
    <row r="5781" ht="14.25" customHeight="1" s="192">
      <c r="W5781" s="235" t="n"/>
      <c r="X5781" s="235" t="n"/>
    </row>
    <row r="5782" ht="14.25" customHeight="1" s="192">
      <c r="W5782" s="239" t="n"/>
      <c r="X5782" s="239" t="n"/>
    </row>
    <row r="5783" ht="14.25" customHeight="1" s="192">
      <c r="W5783" s="239" t="n"/>
      <c r="X5783" s="239" t="n"/>
    </row>
    <row r="5784" ht="14.25" customHeight="1" s="192">
      <c r="W5784" s="235" t="n"/>
      <c r="X5784" s="235" t="n"/>
    </row>
    <row r="5785" ht="14.25" customHeight="1" s="192">
      <c r="W5785" s="235" t="n"/>
      <c r="X5785" s="235" t="n"/>
    </row>
    <row r="5786" ht="14.25" customHeight="1" s="192">
      <c r="W5786" s="239" t="n"/>
      <c r="X5786" s="239" t="n"/>
    </row>
    <row r="5787" ht="14.25" customHeight="1" s="192">
      <c r="W5787" s="235" t="n"/>
      <c r="X5787" s="235" t="n"/>
    </row>
    <row r="5788" ht="14.25" customHeight="1" s="192">
      <c r="W5788" s="239" t="n"/>
      <c r="X5788" s="239" t="n"/>
    </row>
    <row r="5790" ht="14.25" customHeight="1" s="192">
      <c r="W5790" s="235" t="n"/>
      <c r="X5790" s="235" t="n"/>
    </row>
    <row r="5791" ht="15" customHeight="1" s="192" thickBot="1">
      <c r="W5791" s="239" t="n"/>
      <c r="X5791" s="239" t="n"/>
    </row>
    <row r="5792" ht="15" customHeight="1" s="192" thickBot="1">
      <c r="W5792" s="45" t="n"/>
      <c r="X5792" s="45" t="n"/>
    </row>
    <row r="5793" ht="14.25" customHeight="1" s="192">
      <c r="W5793" s="228" t="n"/>
      <c r="X5793" s="228" t="n"/>
    </row>
    <row r="5794" ht="14.25" customHeight="1" s="192">
      <c r="W5794" s="228" t="n"/>
      <c r="X5794" s="228" t="n"/>
    </row>
    <row r="5795" ht="14.25" customHeight="1" s="192">
      <c r="W5795" s="231" t="n"/>
      <c r="X5795" s="231" t="n"/>
    </row>
    <row r="5796" ht="14.25" customHeight="1" s="192">
      <c r="W5796" s="33" t="n"/>
      <c r="X5796" s="33" t="n"/>
    </row>
    <row r="5797" ht="14.25" customHeight="1" s="192">
      <c r="W5797" s="231" t="n"/>
      <c r="X5797" s="231" t="n"/>
    </row>
    <row r="5798" ht="14.25" customHeight="1" s="192">
      <c r="W5798" s="33" t="n"/>
      <c r="X5798" s="33" t="n"/>
    </row>
    <row r="5800" ht="14.25" customHeight="1" s="192">
      <c r="W5800" s="231" t="n"/>
      <c r="X5800" s="231" t="n"/>
    </row>
    <row r="5801" ht="14.25" customHeight="1" s="192">
      <c r="W5801" s="235" t="n"/>
      <c r="X5801" s="235" t="n"/>
    </row>
    <row r="5802" ht="14.25" customHeight="1" s="192">
      <c r="W5802" s="228" t="n"/>
      <c r="X5802" s="228" t="n"/>
    </row>
    <row r="5803" ht="14.25" customHeight="1" s="192">
      <c r="W5803" s="235" t="n"/>
      <c r="X5803" s="235" t="n"/>
    </row>
    <row r="5804" ht="14.25" customHeight="1" s="192">
      <c r="W5804" s="235" t="n"/>
      <c r="X5804" s="235" t="n"/>
    </row>
    <row r="5805" ht="14.25" customHeight="1" s="192">
      <c r="W5805" s="235" t="n"/>
      <c r="X5805" s="235" t="n"/>
    </row>
    <row r="5806" ht="14.25" customHeight="1" s="192">
      <c r="W5806" s="239" t="n"/>
      <c r="X5806" s="239" t="n"/>
    </row>
    <row r="5807" ht="14.25" customHeight="1" s="192">
      <c r="W5807" s="239" t="n"/>
      <c r="X5807" s="239" t="n"/>
    </row>
    <row r="5808" ht="14.25" customHeight="1" s="192">
      <c r="W5808" s="239" t="n"/>
      <c r="X5808" s="239" t="n"/>
    </row>
    <row r="5809" ht="14.25" customHeight="1" s="192">
      <c r="W5809" s="235" t="n"/>
      <c r="X5809" s="235" t="n"/>
    </row>
    <row r="5810" ht="14.25" customHeight="1" s="192">
      <c r="W5810" s="235" t="n"/>
      <c r="X5810" s="235" t="n"/>
    </row>
    <row r="5811" ht="14.25" customHeight="1" s="192">
      <c r="W5811" s="235" t="n"/>
      <c r="X5811" s="235" t="n"/>
    </row>
    <row r="5812" ht="14.25" customHeight="1" s="192">
      <c r="W5812" s="239" t="n"/>
      <c r="X5812" s="239" t="n"/>
    </row>
    <row r="5813" ht="14.25" customHeight="1" s="192">
      <c r="W5813" s="239" t="n"/>
      <c r="X5813" s="239" t="n"/>
    </row>
    <row r="5814" ht="14.25" customHeight="1" s="192">
      <c r="W5814" s="235" t="n"/>
      <c r="X5814" s="235" t="n"/>
    </row>
    <row r="5815" ht="14.25" customHeight="1" s="192">
      <c r="W5815" s="235" t="n"/>
      <c r="X5815" s="235" t="n"/>
    </row>
    <row r="5816" ht="14.25" customHeight="1" s="192">
      <c r="W5816" s="239" t="n"/>
      <c r="X5816" s="239" t="n"/>
    </row>
    <row r="5817" ht="14.25" customHeight="1" s="192">
      <c r="W5817" s="235" t="n"/>
      <c r="X5817" s="235" t="n"/>
    </row>
    <row r="5818" ht="14.25" customHeight="1" s="192">
      <c r="W5818" s="239" t="n"/>
      <c r="X5818" s="239" t="n"/>
    </row>
    <row r="5820" ht="14.25" customHeight="1" s="192">
      <c r="W5820" s="235" t="n"/>
      <c r="X5820" s="235" t="n"/>
    </row>
    <row r="5821" ht="15" customHeight="1" s="192" thickBot="1">
      <c r="W5821" s="239" t="n"/>
      <c r="X5821" s="239" t="n"/>
    </row>
    <row r="5822" ht="15" customHeight="1" s="192" thickBot="1">
      <c r="W5822" s="45" t="n"/>
      <c r="X5822" s="45" t="n"/>
    </row>
    <row r="5823" ht="14.25" customHeight="1" s="192">
      <c r="W5823" s="228" t="n"/>
      <c r="X5823" s="228" t="n"/>
    </row>
    <row r="5824" ht="14.25" customHeight="1" s="192">
      <c r="W5824" s="228" t="n"/>
      <c r="X5824" s="228" t="n"/>
    </row>
    <row r="5825" ht="14.25" customHeight="1" s="192">
      <c r="W5825" s="231" t="n"/>
      <c r="X5825" s="231" t="n"/>
    </row>
    <row r="5826" ht="14.25" customHeight="1" s="192">
      <c r="W5826" s="33" t="n"/>
      <c r="X5826" s="33" t="n"/>
    </row>
    <row r="5827" ht="14.25" customHeight="1" s="192">
      <c r="W5827" s="231" t="n"/>
      <c r="X5827" s="231" t="n"/>
    </row>
    <row r="5828" ht="14.25" customHeight="1" s="192">
      <c r="W5828" s="33" t="n"/>
      <c r="X5828" s="33" t="n"/>
    </row>
    <row r="5830" ht="14.25" customHeight="1" s="192">
      <c r="W5830" s="231" t="n"/>
      <c r="X5830" s="231" t="n"/>
    </row>
    <row r="5831" ht="14.25" customHeight="1" s="192">
      <c r="W5831" s="235" t="n"/>
      <c r="X5831" s="235" t="n"/>
    </row>
    <row r="5832" ht="14.25" customHeight="1" s="192">
      <c r="W5832" s="228" t="n"/>
      <c r="X5832" s="228" t="n"/>
    </row>
    <row r="5833" ht="14.25" customHeight="1" s="192">
      <c r="W5833" s="235" t="n"/>
      <c r="X5833" s="235" t="n"/>
    </row>
    <row r="5834" ht="14.25" customHeight="1" s="192">
      <c r="W5834" s="235" t="n"/>
      <c r="X5834" s="235" t="n"/>
    </row>
    <row r="5835" ht="14.25" customHeight="1" s="192">
      <c r="W5835" s="235" t="n"/>
      <c r="X5835" s="235" t="n"/>
    </row>
    <row r="5836" ht="14.25" customHeight="1" s="192">
      <c r="W5836" s="239" t="n"/>
      <c r="X5836" s="239" t="n"/>
    </row>
    <row r="5837" ht="14.25" customHeight="1" s="192">
      <c r="W5837" s="239" t="n"/>
      <c r="X5837" s="239" t="n"/>
    </row>
    <row r="5838" ht="14.25" customHeight="1" s="192">
      <c r="W5838" s="239" t="n"/>
      <c r="X5838" s="239" t="n"/>
    </row>
    <row r="5839" ht="14.25" customHeight="1" s="192">
      <c r="W5839" s="235" t="n"/>
      <c r="X5839" s="235" t="n"/>
    </row>
    <row r="5840" ht="14.25" customHeight="1" s="192">
      <c r="W5840" s="235" t="n"/>
      <c r="X5840" s="235" t="n"/>
    </row>
    <row r="5841" ht="14.25" customHeight="1" s="192">
      <c r="W5841" s="235" t="n"/>
      <c r="X5841" s="235" t="n"/>
    </row>
    <row r="5842" ht="14.25" customHeight="1" s="192">
      <c r="W5842" s="239" t="n"/>
      <c r="X5842" s="239" t="n"/>
    </row>
    <row r="5843" ht="14.25" customHeight="1" s="192">
      <c r="W5843" s="239" t="n"/>
      <c r="X5843" s="239" t="n"/>
    </row>
    <row r="5844" ht="14.25" customHeight="1" s="192">
      <c r="W5844" s="235" t="n"/>
      <c r="X5844" s="235" t="n"/>
    </row>
    <row r="5845" ht="14.25" customHeight="1" s="192">
      <c r="W5845" s="235" t="n"/>
      <c r="X5845" s="235" t="n"/>
    </row>
    <row r="5846" ht="14.25" customHeight="1" s="192">
      <c r="W5846" s="239" t="n"/>
      <c r="X5846" s="239" t="n"/>
    </row>
    <row r="5847" ht="14.25" customHeight="1" s="192">
      <c r="W5847" s="235" t="n"/>
      <c r="X5847" s="235" t="n"/>
    </row>
    <row r="5848" ht="14.25" customHeight="1" s="192">
      <c r="W5848" s="239" t="n"/>
      <c r="X5848" s="239" t="n"/>
    </row>
    <row r="5850" ht="14.25" customHeight="1" s="192">
      <c r="W5850" s="235" t="n"/>
      <c r="X5850" s="235" t="n"/>
    </row>
    <row r="5851" ht="15" customHeight="1" s="192" thickBot="1">
      <c r="W5851" s="239" t="n"/>
      <c r="X5851" s="239" t="n"/>
    </row>
    <row r="5852" ht="15" customHeight="1" s="192" thickBot="1">
      <c r="W5852" s="45" t="n"/>
      <c r="X5852" s="45" t="n"/>
    </row>
    <row r="5853" ht="14.25" customHeight="1" s="192">
      <c r="W5853" s="228" t="n"/>
      <c r="X5853" s="228" t="n"/>
    </row>
    <row r="5854" ht="14.25" customHeight="1" s="192">
      <c r="W5854" s="228" t="n"/>
      <c r="X5854" s="228" t="n"/>
    </row>
    <row r="5855" ht="14.25" customHeight="1" s="192">
      <c r="W5855" s="231" t="n"/>
      <c r="X5855" s="231" t="n"/>
    </row>
    <row r="5856" ht="14.25" customHeight="1" s="192">
      <c r="W5856" s="33" t="n"/>
      <c r="X5856" s="33" t="n"/>
    </row>
    <row r="5857" ht="14.25" customHeight="1" s="192">
      <c r="W5857" s="231" t="n"/>
      <c r="X5857" s="231" t="n"/>
    </row>
    <row r="5858" ht="14.25" customHeight="1" s="192">
      <c r="W5858" s="33" t="n"/>
      <c r="X5858" s="33" t="n"/>
    </row>
    <row r="5860" ht="14.25" customHeight="1" s="192">
      <c r="W5860" s="231" t="n"/>
      <c r="X5860" s="231" t="n"/>
    </row>
    <row r="5861" ht="14.25" customHeight="1" s="192">
      <c r="W5861" s="235" t="n"/>
      <c r="X5861" s="235" t="n"/>
    </row>
    <row r="5862" ht="14.25" customHeight="1" s="192">
      <c r="W5862" s="228" t="n"/>
      <c r="X5862" s="228" t="n"/>
    </row>
    <row r="5863" ht="14.25" customHeight="1" s="192">
      <c r="W5863" s="235" t="n"/>
      <c r="X5863" s="235" t="n"/>
    </row>
    <row r="5864" ht="14.25" customHeight="1" s="192">
      <c r="W5864" s="235" t="n"/>
      <c r="X5864" s="235" t="n"/>
    </row>
    <row r="5865" ht="14.25" customHeight="1" s="192">
      <c r="W5865" s="235" t="n"/>
      <c r="X5865" s="235" t="n"/>
    </row>
    <row r="5866" ht="14.25" customHeight="1" s="192">
      <c r="W5866" s="239" t="n"/>
      <c r="X5866" s="239" t="n"/>
    </row>
    <row r="5867" ht="14.25" customHeight="1" s="192">
      <c r="W5867" s="239" t="n"/>
      <c r="X5867" s="239" t="n"/>
    </row>
    <row r="5868" ht="14.25" customHeight="1" s="192">
      <c r="W5868" s="239" t="n"/>
      <c r="X5868" s="239" t="n"/>
    </row>
    <row r="5869" ht="14.25" customHeight="1" s="192">
      <c r="W5869" s="235" t="n"/>
      <c r="X5869" s="235" t="n"/>
    </row>
    <row r="5870" ht="14.25" customHeight="1" s="192">
      <c r="W5870" s="235" t="n"/>
      <c r="X5870" s="235" t="n"/>
    </row>
    <row r="5871" ht="14.25" customHeight="1" s="192">
      <c r="W5871" s="235" t="n"/>
      <c r="X5871" s="235" t="n"/>
    </row>
    <row r="5872" ht="14.25" customHeight="1" s="192">
      <c r="W5872" s="239" t="n"/>
      <c r="X5872" s="239" t="n"/>
    </row>
    <row r="5873" ht="14.25" customHeight="1" s="192">
      <c r="W5873" s="239" t="n"/>
      <c r="X5873" s="239" t="n"/>
    </row>
    <row r="5874" ht="14.25" customHeight="1" s="192">
      <c r="W5874" s="235" t="n"/>
      <c r="X5874" s="235" t="n"/>
    </row>
    <row r="5875" ht="14.25" customHeight="1" s="192">
      <c r="W5875" s="235" t="n"/>
      <c r="X5875" s="235" t="n"/>
    </row>
    <row r="5876" ht="14.25" customHeight="1" s="192">
      <c r="W5876" s="239" t="n"/>
      <c r="X5876" s="239" t="n"/>
    </row>
    <row r="5877" ht="14.25" customHeight="1" s="192">
      <c r="W5877" s="235" t="n"/>
      <c r="X5877" s="235" t="n"/>
    </row>
    <row r="5878" ht="14.25" customHeight="1" s="192">
      <c r="W5878" s="239" t="n"/>
      <c r="X5878" s="239" t="n"/>
    </row>
    <row r="5880" ht="14.25" customHeight="1" s="192">
      <c r="W5880" s="235" t="n"/>
      <c r="X5880" s="235" t="n"/>
    </row>
    <row r="5881" ht="15" customHeight="1" s="192" thickBot="1">
      <c r="W5881" s="239" t="n"/>
      <c r="X5881" s="239" t="n"/>
    </row>
    <row r="5882" ht="15" customHeight="1" s="192" thickBot="1">
      <c r="W5882" s="45" t="n"/>
      <c r="X5882" s="45" t="n"/>
    </row>
    <row r="5883" ht="14.25" customHeight="1" s="192">
      <c r="W5883" s="228" t="n"/>
      <c r="X5883" s="228" t="n"/>
    </row>
    <row r="5884" ht="14.25" customHeight="1" s="192">
      <c r="W5884" s="228" t="n"/>
      <c r="X5884" s="228" t="n"/>
    </row>
    <row r="5885" ht="14.25" customHeight="1" s="192">
      <c r="W5885" s="231" t="n"/>
      <c r="X5885" s="231" t="n"/>
    </row>
    <row r="5886" ht="14.25" customHeight="1" s="192">
      <c r="W5886" s="33" t="n"/>
      <c r="X5886" s="33" t="n"/>
    </row>
    <row r="5887" ht="14.25" customHeight="1" s="192">
      <c r="W5887" s="231" t="n"/>
      <c r="X5887" s="231" t="n"/>
    </row>
    <row r="5888" ht="14.25" customHeight="1" s="192">
      <c r="W5888" s="33" t="n"/>
      <c r="X5888" s="33" t="n"/>
    </row>
    <row r="5890" ht="14.25" customHeight="1" s="192">
      <c r="W5890" s="231" t="n"/>
      <c r="X5890" s="231" t="n"/>
    </row>
    <row r="5891" ht="14.25" customHeight="1" s="192">
      <c r="W5891" s="235" t="n"/>
      <c r="X5891" s="235" t="n"/>
    </row>
    <row r="5892" ht="14.25" customHeight="1" s="192">
      <c r="W5892" s="228" t="n"/>
      <c r="X5892" s="228" t="n"/>
    </row>
    <row r="5893" ht="14.25" customHeight="1" s="192">
      <c r="W5893" s="235" t="n"/>
      <c r="X5893" s="235" t="n"/>
    </row>
    <row r="5894" ht="14.25" customHeight="1" s="192">
      <c r="W5894" s="235" t="n"/>
      <c r="X5894" s="235" t="n"/>
    </row>
    <row r="5895" ht="14.25" customHeight="1" s="192">
      <c r="W5895" s="235" t="n"/>
      <c r="X5895" s="235" t="n"/>
    </row>
    <row r="5896" ht="14.25" customHeight="1" s="192">
      <c r="W5896" s="239" t="n"/>
      <c r="X5896" s="239" t="n"/>
    </row>
    <row r="5897" ht="14.25" customHeight="1" s="192">
      <c r="W5897" s="239" t="n"/>
      <c r="X5897" s="239" t="n"/>
    </row>
    <row r="5898" ht="14.25" customHeight="1" s="192">
      <c r="W5898" s="239" t="n"/>
      <c r="X5898" s="239" t="n"/>
    </row>
    <row r="5899" ht="14.25" customHeight="1" s="192">
      <c r="W5899" s="235" t="n"/>
      <c r="X5899" s="235" t="n"/>
    </row>
    <row r="5900" ht="14.25" customHeight="1" s="192">
      <c r="W5900" s="235" t="n"/>
      <c r="X5900" s="235" t="n"/>
    </row>
    <row r="5901" ht="14.25" customHeight="1" s="192">
      <c r="W5901" s="235" t="n"/>
      <c r="X5901" s="235" t="n"/>
    </row>
    <row r="5902" ht="14.25" customHeight="1" s="192">
      <c r="W5902" s="239" t="n"/>
      <c r="X5902" s="239" t="n"/>
    </row>
    <row r="5903" ht="14.25" customHeight="1" s="192">
      <c r="W5903" s="239" t="n"/>
      <c r="X5903" s="239" t="n"/>
    </row>
    <row r="5904" ht="14.25" customHeight="1" s="192">
      <c r="W5904" s="235" t="n"/>
      <c r="X5904" s="235" t="n"/>
    </row>
    <row r="5905" ht="14.25" customHeight="1" s="192">
      <c r="W5905" s="235" t="n"/>
      <c r="X5905" s="235" t="n"/>
    </row>
    <row r="5906" ht="14.25" customHeight="1" s="192">
      <c r="W5906" s="239" t="n"/>
      <c r="X5906" s="239" t="n"/>
    </row>
    <row r="5907" ht="14.25" customHeight="1" s="192">
      <c r="W5907" s="235" t="n"/>
      <c r="X5907" s="235" t="n"/>
    </row>
    <row r="5908" ht="14.25" customHeight="1" s="192">
      <c r="W5908" s="239" t="n"/>
      <c r="X5908" s="239" t="n"/>
    </row>
    <row r="5910" ht="14.25" customHeight="1" s="192">
      <c r="W5910" s="235" t="n"/>
      <c r="X5910" s="235" t="n"/>
    </row>
    <row r="5911" ht="15" customHeight="1" s="192" thickBot="1">
      <c r="W5911" s="239" t="n"/>
      <c r="X5911" s="239" t="n"/>
    </row>
    <row r="5912" ht="15" customHeight="1" s="192" thickBot="1">
      <c r="W5912" s="45" t="n"/>
      <c r="X5912" s="45" t="n"/>
    </row>
    <row r="5913" ht="14.25" customHeight="1" s="192">
      <c r="W5913" s="228" t="n"/>
      <c r="X5913" s="228" t="n"/>
    </row>
    <row r="5914" ht="14.25" customHeight="1" s="192">
      <c r="W5914" s="228" t="n"/>
      <c r="X5914" s="228" t="n"/>
    </row>
    <row r="5915" ht="14.25" customHeight="1" s="192">
      <c r="W5915" s="231" t="n"/>
      <c r="X5915" s="231" t="n"/>
    </row>
    <row r="5916" ht="14.25" customHeight="1" s="192">
      <c r="W5916" s="33" t="n"/>
      <c r="X5916" s="33" t="n"/>
    </row>
    <row r="5917" ht="14.25" customHeight="1" s="192">
      <c r="W5917" s="231" t="n"/>
      <c r="X5917" s="231" t="n"/>
    </row>
    <row r="5918" ht="14.25" customHeight="1" s="192">
      <c r="W5918" s="33" t="n"/>
      <c r="X5918" s="33" t="n"/>
    </row>
    <row r="5920" ht="14.25" customHeight="1" s="192">
      <c r="W5920" s="231" t="n"/>
      <c r="X5920" s="231" t="n"/>
    </row>
    <row r="5921" ht="14.25" customHeight="1" s="192">
      <c r="W5921" s="235" t="n"/>
      <c r="X5921" s="235" t="n"/>
    </row>
    <row r="5922" ht="14.25" customHeight="1" s="192">
      <c r="W5922" s="228" t="n"/>
      <c r="X5922" s="228" t="n"/>
    </row>
    <row r="5923" ht="14.25" customHeight="1" s="192">
      <c r="W5923" s="235" t="n"/>
      <c r="X5923" s="235" t="n"/>
    </row>
    <row r="5924" ht="14.25" customHeight="1" s="192">
      <c r="W5924" s="235" t="n"/>
      <c r="X5924" s="235" t="n"/>
    </row>
    <row r="5925" ht="14.25" customHeight="1" s="192">
      <c r="W5925" s="235" t="n"/>
      <c r="X5925" s="235" t="n"/>
    </row>
    <row r="5926" ht="14.25" customHeight="1" s="192">
      <c r="W5926" s="239" t="n"/>
      <c r="X5926" s="239" t="n"/>
    </row>
    <row r="5927" ht="14.25" customHeight="1" s="192">
      <c r="W5927" s="239" t="n"/>
      <c r="X5927" s="239" t="n"/>
    </row>
    <row r="5928" ht="14.25" customHeight="1" s="192">
      <c r="W5928" s="239" t="n"/>
      <c r="X5928" s="239" t="n"/>
    </row>
    <row r="5929" ht="14.25" customHeight="1" s="192">
      <c r="W5929" s="235" t="n"/>
      <c r="X5929" s="235" t="n"/>
    </row>
    <row r="5930" ht="14.25" customHeight="1" s="192">
      <c r="W5930" s="235" t="n"/>
      <c r="X5930" s="235" t="n"/>
    </row>
    <row r="5931" ht="14.25" customHeight="1" s="192">
      <c r="W5931" s="235" t="n"/>
      <c r="X5931" s="235" t="n"/>
    </row>
    <row r="5932" ht="14.25" customHeight="1" s="192">
      <c r="W5932" s="239" t="n"/>
      <c r="X5932" s="239" t="n"/>
    </row>
    <row r="5933" ht="14.25" customHeight="1" s="192">
      <c r="W5933" s="239" t="n"/>
      <c r="X5933" s="239" t="n"/>
    </row>
    <row r="5934" ht="14.25" customHeight="1" s="192">
      <c r="W5934" s="235" t="n"/>
      <c r="X5934" s="235" t="n"/>
    </row>
    <row r="5935" ht="14.25" customHeight="1" s="192">
      <c r="W5935" s="235" t="n"/>
      <c r="X5935" s="235" t="n"/>
    </row>
    <row r="5936" ht="14.25" customHeight="1" s="192">
      <c r="W5936" s="239" t="n"/>
      <c r="X5936" s="239" t="n"/>
    </row>
    <row r="5937" ht="14.25" customHeight="1" s="192">
      <c r="W5937" s="235" t="n"/>
      <c r="X5937" s="235" t="n"/>
    </row>
    <row r="5938" ht="14.25" customHeight="1" s="192">
      <c r="W5938" s="239" t="n"/>
      <c r="X5938" s="239" t="n"/>
    </row>
    <row r="5940" ht="14.25" customHeight="1" s="192">
      <c r="W5940" s="235" t="n"/>
      <c r="X5940" s="235" t="n"/>
    </row>
    <row r="5941" ht="15" customHeight="1" s="192" thickBot="1">
      <c r="W5941" s="239" t="n"/>
      <c r="X5941" s="239" t="n"/>
    </row>
    <row r="5942" ht="15" customHeight="1" s="192" thickBot="1">
      <c r="W5942" s="45" t="n"/>
      <c r="X5942" s="45" t="n"/>
    </row>
    <row r="5943" ht="14.25" customHeight="1" s="192">
      <c r="W5943" s="228" t="n"/>
      <c r="X5943" s="228" t="n"/>
    </row>
    <row r="5944" ht="14.25" customHeight="1" s="192">
      <c r="W5944" s="228" t="n"/>
      <c r="X5944" s="228" t="n"/>
    </row>
    <row r="5945" ht="14.25" customHeight="1" s="192">
      <c r="W5945" s="231" t="n"/>
      <c r="X5945" s="231" t="n"/>
    </row>
    <row r="5946" ht="14.25" customHeight="1" s="192">
      <c r="W5946" s="33" t="n"/>
      <c r="X5946" s="33" t="n"/>
    </row>
    <row r="5947" ht="14.25" customHeight="1" s="192">
      <c r="W5947" s="231" t="n"/>
      <c r="X5947" s="231" t="n"/>
    </row>
    <row r="5948" ht="14.25" customHeight="1" s="192">
      <c r="W5948" s="33" t="n"/>
      <c r="X5948" s="33" t="n"/>
    </row>
    <row r="5950" ht="14.25" customHeight="1" s="192">
      <c r="W5950" s="231" t="n"/>
      <c r="X5950" s="231" t="n"/>
    </row>
    <row r="5951" ht="14.25" customHeight="1" s="192">
      <c r="W5951" s="235" t="n"/>
      <c r="X5951" s="235" t="n"/>
    </row>
    <row r="5952" ht="14.25" customHeight="1" s="192">
      <c r="W5952" s="228" t="n"/>
      <c r="X5952" s="228" t="n"/>
    </row>
    <row r="5953" ht="14.25" customHeight="1" s="192">
      <c r="W5953" s="235" t="n"/>
      <c r="X5953" s="235" t="n"/>
    </row>
    <row r="5954" ht="14.25" customHeight="1" s="192">
      <c r="W5954" s="235" t="n"/>
      <c r="X5954" s="235" t="n"/>
    </row>
    <row r="5955" ht="14.25" customHeight="1" s="192">
      <c r="W5955" s="235" t="n"/>
      <c r="X5955" s="235" t="n"/>
    </row>
    <row r="5956" ht="14.25" customHeight="1" s="192">
      <c r="W5956" s="239" t="n"/>
      <c r="X5956" s="239" t="n"/>
    </row>
    <row r="5957" ht="14.25" customHeight="1" s="192">
      <c r="W5957" s="239" t="n"/>
      <c r="X5957" s="239" t="n"/>
    </row>
    <row r="5958" ht="14.25" customHeight="1" s="192">
      <c r="W5958" s="239" t="n"/>
      <c r="X5958" s="239" t="n"/>
    </row>
    <row r="5959" ht="14.25" customHeight="1" s="192">
      <c r="W5959" s="235" t="n"/>
      <c r="X5959" s="235" t="n"/>
    </row>
    <row r="5960" ht="14.25" customHeight="1" s="192">
      <c r="W5960" s="235" t="n"/>
      <c r="X5960" s="235" t="n"/>
    </row>
    <row r="5961" ht="14.25" customHeight="1" s="192">
      <c r="W5961" s="235" t="n"/>
      <c r="X5961" s="235" t="n"/>
    </row>
    <row r="5962" ht="14.25" customHeight="1" s="192">
      <c r="W5962" s="239" t="n"/>
      <c r="X5962" s="239" t="n"/>
    </row>
    <row r="5963" ht="14.25" customHeight="1" s="192">
      <c r="W5963" s="239" t="n"/>
      <c r="X5963" s="239" t="n"/>
    </row>
    <row r="5964" ht="14.25" customHeight="1" s="192">
      <c r="W5964" s="235" t="n"/>
      <c r="X5964" s="235" t="n"/>
    </row>
    <row r="5965" ht="14.25" customHeight="1" s="192">
      <c r="W5965" s="235" t="n"/>
      <c r="X5965" s="235" t="n"/>
    </row>
    <row r="5966" ht="14.25" customHeight="1" s="192">
      <c r="W5966" s="239" t="n"/>
      <c r="X5966" s="239" t="n"/>
    </row>
    <row r="5967" ht="14.25" customHeight="1" s="192">
      <c r="W5967" s="235" t="n"/>
      <c r="X5967" s="235" t="n"/>
    </row>
    <row r="5968" ht="14.25" customHeight="1" s="192">
      <c r="W5968" s="239" t="n"/>
      <c r="X5968" s="239" t="n"/>
    </row>
    <row r="5970" ht="14.25" customHeight="1" s="192">
      <c r="W5970" s="235" t="n"/>
      <c r="X5970" s="235" t="n"/>
    </row>
    <row r="5971" ht="15" customHeight="1" s="192" thickBot="1">
      <c r="W5971" s="239" t="n"/>
      <c r="X5971" s="239" t="n"/>
    </row>
    <row r="5972" ht="15" customHeight="1" s="192" thickBot="1">
      <c r="W5972" s="45" t="n"/>
      <c r="X5972" s="45" t="n"/>
    </row>
    <row r="5973" ht="14.25" customHeight="1" s="192">
      <c r="W5973" s="228" t="n"/>
      <c r="X5973" s="228" t="n"/>
    </row>
    <row r="5974" ht="14.25" customHeight="1" s="192">
      <c r="W5974" s="228" t="n"/>
      <c r="X5974" s="228" t="n"/>
    </row>
    <row r="5975" ht="14.25" customHeight="1" s="192">
      <c r="W5975" s="231" t="n"/>
      <c r="X5975" s="231" t="n"/>
    </row>
    <row r="5976" ht="14.25" customHeight="1" s="192">
      <c r="W5976" s="33" t="n"/>
      <c r="X5976" s="33" t="n"/>
    </row>
    <row r="5977" ht="14.25" customHeight="1" s="192">
      <c r="W5977" s="231" t="n"/>
      <c r="X5977" s="231" t="n"/>
    </row>
    <row r="5978" ht="14.25" customHeight="1" s="192">
      <c r="W5978" s="33" t="n"/>
      <c r="X5978" s="33" t="n"/>
    </row>
    <row r="5980" ht="14.25" customHeight="1" s="192">
      <c r="W5980" s="231" t="n"/>
      <c r="X5980" s="231" t="n"/>
    </row>
    <row r="5981" ht="14.25" customHeight="1" s="192">
      <c r="W5981" s="235" t="n"/>
      <c r="X5981" s="235" t="n"/>
    </row>
    <row r="5982" ht="14.25" customHeight="1" s="192">
      <c r="W5982" s="228" t="n"/>
      <c r="X5982" s="228" t="n"/>
    </row>
    <row r="5983" ht="14.25" customHeight="1" s="192">
      <c r="W5983" s="235" t="n"/>
      <c r="X5983" s="235" t="n"/>
    </row>
    <row r="5984" ht="14.25" customHeight="1" s="192">
      <c r="W5984" s="235" t="n"/>
      <c r="X5984" s="235" t="n"/>
    </row>
    <row r="5985" ht="14.25" customHeight="1" s="192">
      <c r="W5985" s="235" t="n"/>
      <c r="X5985" s="235" t="n"/>
    </row>
    <row r="5986" ht="14.25" customHeight="1" s="192">
      <c r="W5986" s="239" t="n"/>
      <c r="X5986" s="239" t="n"/>
    </row>
    <row r="5987" ht="14.25" customHeight="1" s="192">
      <c r="W5987" s="239" t="n"/>
      <c r="X5987" s="239" t="n"/>
    </row>
    <row r="5988" ht="14.25" customHeight="1" s="192">
      <c r="W5988" s="239" t="n"/>
      <c r="X5988" s="239" t="n"/>
    </row>
    <row r="5989" ht="14.25" customHeight="1" s="192">
      <c r="W5989" s="235" t="n"/>
      <c r="X5989" s="235" t="n"/>
    </row>
    <row r="5990" ht="14.25" customHeight="1" s="192">
      <c r="W5990" s="235" t="n"/>
      <c r="X5990" s="235" t="n"/>
    </row>
    <row r="5991" ht="14.25" customHeight="1" s="192">
      <c r="W5991" s="235" t="n"/>
      <c r="X5991" s="235" t="n"/>
    </row>
    <row r="5992" ht="14.25" customHeight="1" s="192">
      <c r="W5992" s="239" t="n"/>
      <c r="X5992" s="239" t="n"/>
    </row>
    <row r="5993" ht="14.25" customHeight="1" s="192">
      <c r="W5993" s="239" t="n"/>
      <c r="X5993" s="239" t="n"/>
    </row>
    <row r="5994" ht="14.25" customHeight="1" s="192">
      <c r="W5994" s="235" t="n"/>
      <c r="X5994" s="235" t="n"/>
    </row>
    <row r="5995" ht="14.25" customHeight="1" s="192">
      <c r="W5995" s="235" t="n"/>
      <c r="X5995" s="235" t="n"/>
    </row>
    <row r="5996" ht="14.25" customHeight="1" s="192">
      <c r="W5996" s="239" t="n"/>
      <c r="X5996" s="239" t="n"/>
    </row>
    <row r="5997" ht="14.25" customHeight="1" s="192">
      <c r="W5997" s="235" t="n"/>
      <c r="X5997" s="235" t="n"/>
    </row>
    <row r="5998" ht="14.25" customHeight="1" s="192">
      <c r="W5998" s="239" t="n"/>
      <c r="X5998" s="239" t="n"/>
    </row>
    <row r="6000" ht="14.25" customHeight="1" s="192">
      <c r="W6000" s="235" t="n"/>
      <c r="X6000" s="235" t="n"/>
    </row>
    <row r="6001" ht="15" customHeight="1" s="192" thickBot="1">
      <c r="W6001" s="239" t="n"/>
      <c r="X6001" s="239" t="n"/>
    </row>
    <row r="6002" ht="15" customHeight="1" s="192" thickBot="1">
      <c r="W6002" s="45" t="n"/>
      <c r="X6002" s="45" t="n"/>
    </row>
    <row r="6003" ht="14.25" customHeight="1" s="192">
      <c r="W6003" s="228" t="n"/>
      <c r="X6003" s="228" t="n"/>
    </row>
    <row r="6004" ht="14.25" customHeight="1" s="192">
      <c r="W6004" s="228" t="n"/>
      <c r="X6004" s="228" t="n"/>
    </row>
    <row r="6005" ht="14.25" customHeight="1" s="192">
      <c r="W6005" s="231" t="n"/>
      <c r="X6005" s="231" t="n"/>
    </row>
    <row r="6006" ht="14.25" customHeight="1" s="192">
      <c r="W6006" s="33" t="n"/>
      <c r="X6006" s="33" t="n"/>
    </row>
    <row r="6007" ht="14.25" customHeight="1" s="192">
      <c r="W6007" s="231" t="n"/>
      <c r="X6007" s="231" t="n"/>
    </row>
    <row r="6008" ht="14.25" customHeight="1" s="192">
      <c r="W6008" s="33" t="n"/>
      <c r="X6008" s="33" t="n"/>
    </row>
    <row r="6010" ht="14.25" customHeight="1" s="192">
      <c r="W6010" s="231" t="n"/>
      <c r="X6010" s="231" t="n"/>
    </row>
    <row r="6011" ht="14.25" customHeight="1" s="192">
      <c r="W6011" s="235" t="n"/>
      <c r="X6011" s="235" t="n"/>
    </row>
    <row r="6012" ht="14.25" customHeight="1" s="192">
      <c r="W6012" s="228" t="n"/>
      <c r="X6012" s="228" t="n"/>
    </row>
    <row r="6013" ht="14.25" customHeight="1" s="192">
      <c r="W6013" s="235" t="n"/>
      <c r="X6013" s="235" t="n"/>
    </row>
    <row r="6014" ht="14.25" customHeight="1" s="192">
      <c r="W6014" s="235" t="n"/>
      <c r="X6014" s="235" t="n"/>
    </row>
    <row r="6015" ht="14.25" customHeight="1" s="192">
      <c r="W6015" s="235" t="n"/>
      <c r="X6015" s="235" t="n"/>
    </row>
    <row r="6016" ht="14.25" customHeight="1" s="192">
      <c r="W6016" s="239" t="n"/>
      <c r="X6016" s="239" t="n"/>
    </row>
    <row r="6017" ht="14.25" customHeight="1" s="192">
      <c r="W6017" s="239" t="n"/>
      <c r="X6017" s="239" t="n"/>
    </row>
    <row r="6018" ht="14.25" customHeight="1" s="192">
      <c r="W6018" s="239" t="n"/>
      <c r="X6018" s="239" t="n"/>
    </row>
    <row r="6019" ht="14.25" customHeight="1" s="192">
      <c r="W6019" s="235" t="n"/>
      <c r="X6019" s="235" t="n"/>
    </row>
    <row r="6020" ht="14.25" customHeight="1" s="192">
      <c r="W6020" s="235" t="n"/>
      <c r="X6020" s="235" t="n"/>
    </row>
    <row r="6021" ht="14.25" customHeight="1" s="192">
      <c r="W6021" s="235" t="n"/>
      <c r="X6021" s="235" t="n"/>
    </row>
    <row r="6022" ht="14.25" customHeight="1" s="192">
      <c r="W6022" s="239" t="n"/>
      <c r="X6022" s="239" t="n"/>
    </row>
    <row r="6023" ht="14.25" customHeight="1" s="192">
      <c r="W6023" s="239" t="n"/>
      <c r="X6023" s="239" t="n"/>
    </row>
    <row r="6024" ht="14.25" customHeight="1" s="192">
      <c r="W6024" s="235" t="n"/>
      <c r="X6024" s="235" t="n"/>
    </row>
    <row r="6025" ht="14.25" customHeight="1" s="192">
      <c r="W6025" s="235" t="n"/>
      <c r="X6025" s="235" t="n"/>
    </row>
    <row r="6026" ht="14.25" customHeight="1" s="192">
      <c r="W6026" s="239" t="n"/>
      <c r="X6026" s="239" t="n"/>
    </row>
    <row r="6027" ht="14.25" customHeight="1" s="192">
      <c r="W6027" s="235" t="n"/>
      <c r="X6027" s="235" t="n"/>
    </row>
    <row r="6028" ht="14.25" customHeight="1" s="192">
      <c r="W6028" s="239" t="n"/>
      <c r="X6028" s="239" t="n"/>
    </row>
    <row r="6030" ht="14.25" customHeight="1" s="192">
      <c r="W6030" s="235" t="n"/>
      <c r="X6030" s="235" t="n"/>
    </row>
    <row r="6031" ht="15" customHeight="1" s="192" thickBot="1">
      <c r="W6031" s="239" t="n"/>
      <c r="X6031" s="239" t="n"/>
    </row>
    <row r="6032" ht="15" customHeight="1" s="192" thickBot="1">
      <c r="W6032" s="45" t="n"/>
      <c r="X6032" s="45" t="n"/>
    </row>
    <row r="6033" ht="14.25" customHeight="1" s="192">
      <c r="W6033" s="228" t="n"/>
      <c r="X6033" s="228" t="n"/>
    </row>
    <row r="6034" ht="14.25" customHeight="1" s="192">
      <c r="W6034" s="228" t="n"/>
      <c r="X6034" s="228" t="n"/>
    </row>
    <row r="6035" ht="14.25" customHeight="1" s="192">
      <c r="W6035" s="231" t="n"/>
      <c r="X6035" s="231" t="n"/>
    </row>
    <row r="6036" ht="14.25" customHeight="1" s="192">
      <c r="W6036" s="33" t="n"/>
      <c r="X6036" s="33" t="n"/>
    </row>
    <row r="6037" ht="14.25" customHeight="1" s="192">
      <c r="W6037" s="231" t="n"/>
      <c r="X6037" s="231" t="n"/>
    </row>
    <row r="6038" ht="14.25" customHeight="1" s="192">
      <c r="W6038" s="33" t="n"/>
      <c r="X6038" s="33" t="n"/>
    </row>
    <row r="6040" ht="14.25" customHeight="1" s="192">
      <c r="W6040" s="231" t="n"/>
      <c r="X6040" s="231" t="n"/>
    </row>
    <row r="6041" ht="14.25" customHeight="1" s="192">
      <c r="W6041" s="235" t="n"/>
      <c r="X6041" s="235" t="n"/>
    </row>
    <row r="6042" ht="14.25" customHeight="1" s="192">
      <c r="W6042" s="228" t="n"/>
      <c r="X6042" s="228" t="n"/>
    </row>
    <row r="6043" ht="14.25" customHeight="1" s="192">
      <c r="W6043" s="235" t="n"/>
      <c r="X6043" s="235" t="n"/>
    </row>
    <row r="6044" ht="14.25" customHeight="1" s="192">
      <c r="W6044" s="235" t="n"/>
      <c r="X6044" s="235" t="n"/>
    </row>
    <row r="6045" ht="14.25" customHeight="1" s="192">
      <c r="W6045" s="235" t="n"/>
      <c r="X6045" s="235" t="n"/>
    </row>
    <row r="6046" ht="14.25" customHeight="1" s="192">
      <c r="W6046" s="239" t="n"/>
      <c r="X6046" s="239" t="n"/>
    </row>
    <row r="6047" ht="14.25" customHeight="1" s="192">
      <c r="W6047" s="239" t="n"/>
      <c r="X6047" s="239" t="n"/>
    </row>
    <row r="6048" ht="14.25" customHeight="1" s="192">
      <c r="W6048" s="239" t="n"/>
      <c r="X6048" s="239" t="n"/>
    </row>
    <row r="6049" ht="14.25" customHeight="1" s="192">
      <c r="W6049" s="235" t="n"/>
      <c r="X6049" s="235" t="n"/>
    </row>
    <row r="6050" ht="14.25" customHeight="1" s="192">
      <c r="W6050" s="235" t="n"/>
      <c r="X6050" s="235" t="n"/>
    </row>
    <row r="6051" ht="14.25" customHeight="1" s="192">
      <c r="W6051" s="235" t="n"/>
      <c r="X6051" s="235" t="n"/>
    </row>
    <row r="6052" ht="14.25" customHeight="1" s="192">
      <c r="W6052" s="239" t="n"/>
      <c r="X6052" s="239" t="n"/>
    </row>
    <row r="6053" ht="14.25" customHeight="1" s="192">
      <c r="W6053" s="239" t="n"/>
      <c r="X6053" s="239" t="n"/>
    </row>
    <row r="6054" ht="14.25" customHeight="1" s="192">
      <c r="W6054" s="235" t="n"/>
      <c r="X6054" s="235" t="n"/>
    </row>
    <row r="6055" ht="14.25" customHeight="1" s="192">
      <c r="W6055" s="235" t="n"/>
      <c r="X6055" s="235" t="n"/>
    </row>
    <row r="6056" ht="14.25" customHeight="1" s="192">
      <c r="W6056" s="239" t="n"/>
      <c r="X6056" s="239" t="n"/>
    </row>
    <row r="6057" ht="14.25" customHeight="1" s="192">
      <c r="W6057" s="235" t="n"/>
      <c r="X6057" s="235" t="n"/>
    </row>
    <row r="6058" ht="14.25" customHeight="1" s="192">
      <c r="W6058" s="239" t="n"/>
      <c r="X6058" s="239" t="n"/>
    </row>
    <row r="6060" ht="14.25" customHeight="1" s="192">
      <c r="W6060" s="235" t="n"/>
      <c r="X6060" s="235" t="n"/>
    </row>
    <row r="6061" ht="15" customHeight="1" s="192" thickBot="1">
      <c r="W6061" s="239" t="n"/>
      <c r="X6061" s="239" t="n"/>
    </row>
    <row r="6062" ht="15" customHeight="1" s="192" thickBot="1">
      <c r="W6062" s="45" t="n"/>
      <c r="X6062" s="45" t="n"/>
    </row>
    <row r="6063" ht="14.25" customHeight="1" s="192">
      <c r="W6063" s="228" t="n"/>
      <c r="X6063" s="228" t="n"/>
    </row>
    <row r="6064" ht="14.25" customHeight="1" s="192">
      <c r="W6064" s="228" t="n"/>
      <c r="X6064" s="228" t="n"/>
    </row>
    <row r="6065" ht="14.25" customHeight="1" s="192">
      <c r="W6065" s="231" t="n"/>
      <c r="X6065" s="231" t="n"/>
    </row>
    <row r="6066" ht="14.25" customHeight="1" s="192">
      <c r="W6066" s="33" t="n"/>
      <c r="X6066" s="33" t="n"/>
    </row>
    <row r="6067" ht="14.25" customHeight="1" s="192">
      <c r="W6067" s="231" t="n"/>
      <c r="X6067" s="231" t="n"/>
    </row>
    <row r="6068" ht="14.25" customHeight="1" s="192">
      <c r="W6068" s="33" t="n"/>
      <c r="X6068" s="33" t="n"/>
    </row>
    <row r="6070" ht="14.25" customHeight="1" s="192">
      <c r="W6070" s="231" t="n"/>
      <c r="X6070" s="231" t="n"/>
    </row>
    <row r="6071" ht="14.25" customHeight="1" s="192">
      <c r="W6071" s="235" t="n"/>
      <c r="X6071" s="235" t="n"/>
    </row>
    <row r="6072" ht="14.25" customHeight="1" s="192">
      <c r="W6072" s="228" t="n"/>
      <c r="X6072" s="228" t="n"/>
    </row>
    <row r="6073" ht="14.25" customHeight="1" s="192">
      <c r="W6073" s="235" t="n"/>
      <c r="X6073" s="235" t="n"/>
    </row>
    <row r="6074" ht="14.25" customHeight="1" s="192">
      <c r="W6074" s="235" t="n"/>
      <c r="X6074" s="235" t="n"/>
    </row>
    <row r="6075" ht="14.25" customHeight="1" s="192">
      <c r="W6075" s="235" t="n"/>
      <c r="X6075" s="235" t="n"/>
    </row>
    <row r="6076" ht="14.25" customHeight="1" s="192">
      <c r="W6076" s="239" t="n"/>
      <c r="X6076" s="239" t="n"/>
    </row>
    <row r="6077" ht="14.25" customHeight="1" s="192">
      <c r="W6077" s="239" t="n"/>
      <c r="X6077" s="239" t="n"/>
    </row>
    <row r="6078" ht="14.25" customHeight="1" s="192">
      <c r="W6078" s="239" t="n"/>
      <c r="X6078" s="239" t="n"/>
    </row>
    <row r="6079" ht="14.25" customHeight="1" s="192">
      <c r="W6079" s="235" t="n"/>
      <c r="X6079" s="235" t="n"/>
    </row>
    <row r="6080" ht="14.25" customHeight="1" s="192">
      <c r="W6080" s="235" t="n"/>
      <c r="X6080" s="235" t="n"/>
    </row>
    <row r="6081" ht="14.25" customHeight="1" s="192">
      <c r="W6081" s="235" t="n"/>
      <c r="X6081" s="235" t="n"/>
    </row>
    <row r="6082" ht="14.25" customHeight="1" s="192">
      <c r="W6082" s="239" t="n"/>
      <c r="X6082" s="239" t="n"/>
    </row>
    <row r="6083" ht="14.25" customHeight="1" s="192">
      <c r="W6083" s="239" t="n"/>
      <c r="X6083" s="239" t="n"/>
    </row>
    <row r="6084" ht="14.25" customHeight="1" s="192">
      <c r="W6084" s="235" t="n"/>
      <c r="X6084" s="235" t="n"/>
    </row>
    <row r="6085" ht="14.25" customHeight="1" s="192">
      <c r="W6085" s="235" t="n"/>
      <c r="X6085" s="235" t="n"/>
    </row>
    <row r="6086" ht="14.25" customHeight="1" s="192">
      <c r="W6086" s="239" t="n"/>
      <c r="X6086" s="239" t="n"/>
    </row>
    <row r="6087" ht="14.25" customHeight="1" s="192">
      <c r="W6087" s="235" t="n"/>
      <c r="X6087" s="235" t="n"/>
    </row>
    <row r="6088" ht="14.25" customHeight="1" s="192">
      <c r="W6088" s="239" t="n"/>
      <c r="X6088" s="239" t="n"/>
    </row>
    <row r="6090" ht="14.25" customHeight="1" s="192">
      <c r="W6090" s="235" t="n"/>
      <c r="X6090" s="235" t="n"/>
    </row>
    <row r="6091" ht="15" customHeight="1" s="192" thickBot="1">
      <c r="W6091" s="239" t="n"/>
      <c r="X6091" s="239" t="n"/>
    </row>
    <row r="6092" ht="15" customHeight="1" s="192" thickBot="1">
      <c r="W6092" s="45" t="n"/>
      <c r="X6092" s="45" t="n"/>
    </row>
    <row r="6093" ht="14.25" customHeight="1" s="192">
      <c r="W6093" s="228" t="n"/>
      <c r="X6093" s="228" t="n"/>
    </row>
    <row r="6094" ht="14.25" customHeight="1" s="192">
      <c r="W6094" s="228" t="n"/>
      <c r="X6094" s="228" t="n"/>
    </row>
    <row r="6095" ht="14.25" customHeight="1" s="192">
      <c r="W6095" s="231" t="n"/>
      <c r="X6095" s="231" t="n"/>
    </row>
    <row r="6096" ht="14.25" customHeight="1" s="192">
      <c r="W6096" s="33" t="n"/>
      <c r="X6096" s="33" t="n"/>
    </row>
    <row r="6097" ht="14.25" customHeight="1" s="192">
      <c r="W6097" s="231" t="n"/>
      <c r="X6097" s="231" t="n"/>
    </row>
    <row r="6098" ht="14.25" customHeight="1" s="192">
      <c r="W6098" s="33" t="n"/>
      <c r="X6098" s="33" t="n"/>
    </row>
    <row r="6100" ht="14.25" customHeight="1" s="192">
      <c r="W6100" s="231" t="n"/>
      <c r="X6100" s="231" t="n"/>
    </row>
    <row r="6101" ht="14.25" customHeight="1" s="192">
      <c r="W6101" s="235" t="n"/>
      <c r="X6101" s="235" t="n"/>
    </row>
    <row r="6102" ht="14.25" customHeight="1" s="192">
      <c r="W6102" s="228" t="n"/>
      <c r="X6102" s="228" t="n"/>
    </row>
    <row r="6103" ht="14.25" customHeight="1" s="192">
      <c r="W6103" s="235" t="n"/>
      <c r="X6103" s="235" t="n"/>
    </row>
    <row r="6104" ht="14.25" customHeight="1" s="192">
      <c r="W6104" s="235" t="n"/>
      <c r="X6104" s="235" t="n"/>
    </row>
    <row r="6105" ht="14.25" customHeight="1" s="192">
      <c r="W6105" s="235" t="n"/>
      <c r="X6105" s="235" t="n"/>
    </row>
    <row r="6106" ht="14.25" customHeight="1" s="192">
      <c r="W6106" s="239" t="n"/>
      <c r="X6106" s="239" t="n"/>
    </row>
    <row r="6107" ht="14.25" customHeight="1" s="192">
      <c r="W6107" s="239" t="n"/>
      <c r="X6107" s="239" t="n"/>
    </row>
    <row r="6108" ht="14.25" customHeight="1" s="192">
      <c r="W6108" s="239" t="n"/>
      <c r="X6108" s="239" t="n"/>
    </row>
    <row r="6109" ht="14.25" customHeight="1" s="192">
      <c r="W6109" s="235" t="n"/>
      <c r="X6109" s="235" t="n"/>
    </row>
    <row r="6110" ht="14.25" customHeight="1" s="192">
      <c r="W6110" s="235" t="n"/>
      <c r="X6110" s="235" t="n"/>
    </row>
    <row r="6111" ht="14.25" customHeight="1" s="192">
      <c r="W6111" s="235" t="n"/>
      <c r="X6111" s="235" t="n"/>
    </row>
    <row r="6112" ht="14.25" customHeight="1" s="192">
      <c r="W6112" s="239" t="n"/>
      <c r="X6112" s="239" t="n"/>
    </row>
    <row r="6113" ht="14.25" customHeight="1" s="192">
      <c r="W6113" s="239" t="n"/>
      <c r="X6113" s="239" t="n"/>
    </row>
    <row r="6114" ht="14.25" customHeight="1" s="192">
      <c r="W6114" s="235" t="n"/>
      <c r="X6114" s="235" t="n"/>
    </row>
    <row r="6115" ht="14.25" customHeight="1" s="192">
      <c r="W6115" s="235" t="n"/>
      <c r="X6115" s="235" t="n"/>
    </row>
    <row r="6116" ht="14.25" customHeight="1" s="192">
      <c r="W6116" s="239" t="n"/>
      <c r="X6116" s="239" t="n"/>
    </row>
    <row r="6117" ht="14.25" customHeight="1" s="192">
      <c r="W6117" s="235" t="n"/>
      <c r="X6117" s="235" t="n"/>
    </row>
    <row r="6118" ht="14.25" customHeight="1" s="192">
      <c r="W6118" s="239" t="n"/>
      <c r="X6118" s="239" t="n"/>
    </row>
    <row r="6120" ht="14.25" customHeight="1" s="192">
      <c r="W6120" s="235" t="n"/>
      <c r="X6120" s="235" t="n"/>
    </row>
    <row r="6121" ht="15" customHeight="1" s="192" thickBot="1">
      <c r="W6121" s="239" t="n"/>
      <c r="X6121" s="239" t="n"/>
    </row>
    <row r="6122" ht="15" customHeight="1" s="192" thickBot="1">
      <c r="W6122" s="45" t="n"/>
      <c r="X6122" s="45" t="n"/>
    </row>
    <row r="6123" ht="14.25" customHeight="1" s="192">
      <c r="W6123" s="228" t="n"/>
      <c r="X6123" s="228" t="n"/>
    </row>
    <row r="6124" ht="14.25" customHeight="1" s="192">
      <c r="W6124" s="228" t="n"/>
      <c r="X6124" s="228" t="n"/>
    </row>
    <row r="6125" ht="14.25" customHeight="1" s="192">
      <c r="W6125" s="231" t="n"/>
      <c r="X6125" s="231" t="n"/>
    </row>
    <row r="6126" ht="14.25" customHeight="1" s="192">
      <c r="W6126" s="33" t="n"/>
      <c r="X6126" s="33" t="n"/>
    </row>
    <row r="6127" ht="14.25" customHeight="1" s="192">
      <c r="W6127" s="231" t="n"/>
      <c r="X6127" s="231" t="n"/>
    </row>
    <row r="6128" ht="14.25" customHeight="1" s="192">
      <c r="W6128" s="33" t="n"/>
      <c r="X6128" s="33" t="n"/>
    </row>
    <row r="6130" ht="14.25" customHeight="1" s="192">
      <c r="W6130" s="231" t="n"/>
      <c r="X6130" s="231" t="n"/>
    </row>
    <row r="6131" ht="14.25" customHeight="1" s="192">
      <c r="W6131" s="235" t="n"/>
      <c r="X6131" s="235" t="n"/>
    </row>
    <row r="6132" ht="14.25" customHeight="1" s="192">
      <c r="W6132" s="228" t="n"/>
      <c r="X6132" s="228" t="n"/>
    </row>
    <row r="6133" ht="14.25" customHeight="1" s="192">
      <c r="W6133" s="235" t="n"/>
      <c r="X6133" s="235" t="n"/>
    </row>
    <row r="6134" ht="14.25" customHeight="1" s="192">
      <c r="W6134" s="235" t="n"/>
      <c r="X6134" s="235" t="n"/>
    </row>
    <row r="6135" ht="14.25" customHeight="1" s="192">
      <c r="W6135" s="235" t="n"/>
      <c r="X6135" s="235" t="n"/>
    </row>
    <row r="6136" ht="14.25" customHeight="1" s="192">
      <c r="W6136" s="239" t="n"/>
      <c r="X6136" s="239" t="n"/>
    </row>
    <row r="6137" ht="14.25" customHeight="1" s="192">
      <c r="W6137" s="239" t="n"/>
      <c r="X6137" s="239" t="n"/>
    </row>
    <row r="6138" ht="14.25" customHeight="1" s="192">
      <c r="W6138" s="239" t="n"/>
      <c r="X6138" s="239" t="n"/>
    </row>
    <row r="6139" ht="14.25" customHeight="1" s="192">
      <c r="W6139" s="235" t="n"/>
      <c r="X6139" s="235" t="n"/>
    </row>
    <row r="6140" ht="14.25" customHeight="1" s="192">
      <c r="W6140" s="235" t="n"/>
      <c r="X6140" s="235" t="n"/>
    </row>
    <row r="6141" ht="14.25" customHeight="1" s="192">
      <c r="W6141" s="235" t="n"/>
      <c r="X6141" s="235" t="n"/>
    </row>
    <row r="6142" ht="14.25" customHeight="1" s="192">
      <c r="W6142" s="239" t="n"/>
      <c r="X6142" s="239" t="n"/>
    </row>
    <row r="6143" ht="14.25" customHeight="1" s="192">
      <c r="W6143" s="239" t="n"/>
      <c r="X6143" s="239" t="n"/>
    </row>
    <row r="6144" ht="14.25" customHeight="1" s="192">
      <c r="W6144" s="235" t="n"/>
      <c r="X6144" s="235" t="n"/>
    </row>
    <row r="6145" ht="14.25" customHeight="1" s="192">
      <c r="W6145" s="235" t="n"/>
      <c r="X6145" s="235" t="n"/>
    </row>
    <row r="6146" ht="14.25" customHeight="1" s="192">
      <c r="W6146" s="239" t="n"/>
      <c r="X6146" s="239" t="n"/>
    </row>
    <row r="6147" ht="14.25" customHeight="1" s="192">
      <c r="W6147" s="235" t="n"/>
      <c r="X6147" s="235" t="n"/>
    </row>
    <row r="6148" ht="14.25" customHeight="1" s="192">
      <c r="W6148" s="239" t="n"/>
      <c r="X6148" s="239" t="n"/>
    </row>
    <row r="6150" ht="14.25" customHeight="1" s="192">
      <c r="W6150" s="235" t="n"/>
      <c r="X6150" s="235" t="n"/>
    </row>
    <row r="6151" ht="15" customHeight="1" s="192" thickBot="1">
      <c r="W6151" s="239" t="n"/>
      <c r="X6151" s="239" t="n"/>
    </row>
    <row r="6152" ht="15" customHeight="1" s="192" thickBot="1">
      <c r="W6152" s="45" t="n"/>
      <c r="X6152" s="45" t="n"/>
    </row>
    <row r="6153" ht="14.25" customHeight="1" s="192">
      <c r="W6153" s="228" t="n"/>
      <c r="X6153" s="228" t="n"/>
    </row>
    <row r="6154" ht="14.25" customHeight="1" s="192">
      <c r="W6154" s="228" t="n"/>
      <c r="X6154" s="228" t="n"/>
    </row>
    <row r="6155" ht="14.25" customHeight="1" s="192">
      <c r="W6155" s="231" t="n"/>
      <c r="X6155" s="231" t="n"/>
    </row>
    <row r="6156" ht="14.25" customHeight="1" s="192">
      <c r="W6156" s="33" t="n"/>
      <c r="X6156" s="33" t="n"/>
    </row>
    <row r="6157" ht="14.25" customHeight="1" s="192">
      <c r="W6157" s="231" t="n"/>
      <c r="X6157" s="231" t="n"/>
    </row>
    <row r="6158" ht="14.25" customHeight="1" s="192">
      <c r="W6158" s="33" t="n"/>
      <c r="X6158" s="33" t="n"/>
    </row>
    <row r="6160" ht="14.25" customHeight="1" s="192">
      <c r="W6160" s="231" t="n"/>
      <c r="X6160" s="231" t="n"/>
    </row>
    <row r="6161" ht="14.25" customHeight="1" s="192">
      <c r="W6161" s="235" t="n"/>
      <c r="X6161" s="235" t="n"/>
    </row>
    <row r="6162" ht="14.25" customHeight="1" s="192">
      <c r="W6162" s="228" t="n"/>
      <c r="X6162" s="228" t="n"/>
    </row>
    <row r="6163" ht="14.25" customHeight="1" s="192">
      <c r="W6163" s="235" t="n"/>
      <c r="X6163" s="235" t="n"/>
    </row>
    <row r="6164" ht="14.25" customHeight="1" s="192">
      <c r="W6164" s="235" t="n"/>
      <c r="X6164" s="235" t="n"/>
    </row>
    <row r="6165" ht="14.25" customHeight="1" s="192">
      <c r="W6165" s="235" t="n"/>
      <c r="X6165" s="235" t="n"/>
    </row>
    <row r="6166" ht="14.25" customHeight="1" s="192">
      <c r="W6166" s="239" t="n"/>
      <c r="X6166" s="239" t="n"/>
    </row>
    <row r="6167" ht="14.25" customHeight="1" s="192">
      <c r="W6167" s="239" t="n"/>
      <c r="X6167" s="239" t="n"/>
    </row>
    <row r="6168" ht="14.25" customHeight="1" s="192">
      <c r="W6168" s="239" t="n"/>
      <c r="X6168" s="239" t="n"/>
    </row>
    <row r="6169" ht="14.25" customHeight="1" s="192">
      <c r="W6169" s="235" t="n"/>
      <c r="X6169" s="235" t="n"/>
    </row>
    <row r="6170" ht="14.25" customHeight="1" s="192">
      <c r="W6170" s="235" t="n"/>
      <c r="X6170" s="235" t="n"/>
    </row>
    <row r="6171" ht="14.25" customHeight="1" s="192">
      <c r="W6171" s="235" t="n"/>
      <c r="X6171" s="235" t="n"/>
    </row>
    <row r="6172" ht="14.25" customHeight="1" s="192">
      <c r="W6172" s="239" t="n"/>
      <c r="X6172" s="239" t="n"/>
    </row>
    <row r="6173" ht="14.25" customHeight="1" s="192">
      <c r="W6173" s="239" t="n"/>
      <c r="X6173" s="239" t="n"/>
    </row>
    <row r="6174" ht="14.25" customHeight="1" s="192">
      <c r="W6174" s="235" t="n"/>
      <c r="X6174" s="235" t="n"/>
    </row>
    <row r="6175" ht="14.25" customHeight="1" s="192">
      <c r="W6175" s="235" t="n"/>
      <c r="X6175" s="235" t="n"/>
    </row>
    <row r="6176" ht="14.25" customHeight="1" s="192">
      <c r="W6176" s="239" t="n"/>
      <c r="X6176" s="239" t="n"/>
    </row>
    <row r="6177" ht="14.25" customHeight="1" s="192">
      <c r="W6177" s="235" t="n"/>
      <c r="X6177" s="235" t="n"/>
    </row>
    <row r="6178" ht="14.25" customHeight="1" s="192">
      <c r="W6178" s="239" t="n"/>
      <c r="X6178" s="239" t="n"/>
    </row>
    <row r="6180" ht="14.25" customHeight="1" s="192">
      <c r="W6180" s="235" t="n"/>
      <c r="X6180" s="235" t="n"/>
    </row>
    <row r="6181" ht="15" customHeight="1" s="192" thickBot="1">
      <c r="W6181" s="239" t="n"/>
      <c r="X6181" s="239" t="n"/>
    </row>
    <row r="6182" ht="15" customHeight="1" s="192" thickBot="1">
      <c r="W6182" s="45" t="n"/>
      <c r="X6182" s="45" t="n"/>
    </row>
    <row r="6183" ht="14.25" customHeight="1" s="192">
      <c r="W6183" s="228" t="n"/>
      <c r="X6183" s="228" t="n"/>
    </row>
    <row r="6184" ht="14.25" customHeight="1" s="192">
      <c r="W6184" s="228" t="n"/>
      <c r="X6184" s="228" t="n"/>
    </row>
    <row r="6185" ht="14.25" customHeight="1" s="192">
      <c r="W6185" s="231" t="n"/>
      <c r="X6185" s="231" t="n"/>
    </row>
    <row r="6186" ht="14.25" customHeight="1" s="192">
      <c r="W6186" s="33" t="n"/>
      <c r="X6186" s="33" t="n"/>
    </row>
    <row r="6187" ht="14.25" customHeight="1" s="192">
      <c r="W6187" s="231" t="n"/>
      <c r="X6187" s="231" t="n"/>
    </row>
    <row r="6188" ht="14.25" customHeight="1" s="192">
      <c r="W6188" s="33" t="n"/>
      <c r="X6188" s="33" t="n"/>
    </row>
    <row r="6190" ht="14.25" customHeight="1" s="192">
      <c r="W6190" s="231" t="n"/>
      <c r="X6190" s="231" t="n"/>
    </row>
    <row r="6191" ht="14.25" customHeight="1" s="192">
      <c r="W6191" s="235" t="n"/>
      <c r="X6191" s="235" t="n"/>
    </row>
    <row r="6192" ht="14.25" customHeight="1" s="192">
      <c r="W6192" s="228" t="n"/>
      <c r="X6192" s="228" t="n"/>
    </row>
    <row r="6193" ht="14.25" customHeight="1" s="192">
      <c r="W6193" s="235" t="n"/>
      <c r="X6193" s="235" t="n"/>
    </row>
    <row r="6194" ht="14.25" customHeight="1" s="192">
      <c r="W6194" s="235" t="n"/>
      <c r="X6194" s="235" t="n"/>
    </row>
    <row r="6195" ht="14.25" customHeight="1" s="192">
      <c r="W6195" s="235" t="n"/>
      <c r="X6195" s="235" t="n"/>
    </row>
    <row r="6196" ht="14.25" customHeight="1" s="192">
      <c r="W6196" s="239" t="n"/>
      <c r="X6196" s="239" t="n"/>
    </row>
    <row r="6197" ht="14.25" customHeight="1" s="192">
      <c r="W6197" s="239" t="n"/>
      <c r="X6197" s="239" t="n"/>
    </row>
    <row r="6198" ht="14.25" customHeight="1" s="192">
      <c r="W6198" s="239" t="n"/>
      <c r="X6198" s="239" t="n"/>
    </row>
    <row r="6199" ht="14.25" customHeight="1" s="192">
      <c r="W6199" s="235" t="n"/>
      <c r="X6199" s="235" t="n"/>
    </row>
    <row r="6200" ht="14.25" customHeight="1" s="192">
      <c r="W6200" s="235" t="n"/>
      <c r="X6200" s="235" t="n"/>
    </row>
    <row r="6201" ht="14.25" customHeight="1" s="192">
      <c r="W6201" s="235" t="n"/>
      <c r="X6201" s="235" t="n"/>
    </row>
    <row r="6202" ht="14.25" customHeight="1" s="192">
      <c r="W6202" s="239" t="n"/>
      <c r="X6202" s="239" t="n"/>
    </row>
    <row r="6203" ht="14.25" customHeight="1" s="192">
      <c r="W6203" s="239" t="n"/>
      <c r="X6203" s="239" t="n"/>
    </row>
    <row r="6204" ht="14.25" customHeight="1" s="192">
      <c r="W6204" s="235" t="n"/>
      <c r="X6204" s="235" t="n"/>
    </row>
    <row r="6205" ht="14.25" customHeight="1" s="192">
      <c r="W6205" s="235" t="n"/>
      <c r="X6205" s="235" t="n"/>
    </row>
    <row r="6206" ht="14.25" customHeight="1" s="192">
      <c r="W6206" s="239" t="n"/>
      <c r="X6206" s="239" t="n"/>
    </row>
    <row r="6207" ht="14.25" customHeight="1" s="192">
      <c r="W6207" s="235" t="n"/>
      <c r="X6207" s="235" t="n"/>
    </row>
    <row r="6208" ht="14.25" customHeight="1" s="192">
      <c r="W6208" s="239" t="n"/>
      <c r="X6208" s="239" t="n"/>
    </row>
    <row r="6210" ht="14.25" customHeight="1" s="192">
      <c r="W6210" s="235" t="n"/>
      <c r="X6210" s="235" t="n"/>
    </row>
    <row r="6211" ht="15" customHeight="1" s="192" thickBot="1">
      <c r="W6211" s="239" t="n"/>
      <c r="X6211" s="239" t="n"/>
    </row>
    <row r="6212" ht="15" customHeight="1" s="192" thickBot="1">
      <c r="W6212" s="45" t="n"/>
      <c r="X6212" s="45" t="n"/>
    </row>
    <row r="6213" ht="14.25" customHeight="1" s="192">
      <c r="W6213" s="228" t="n"/>
      <c r="X6213" s="228" t="n"/>
    </row>
    <row r="6214" ht="14.25" customHeight="1" s="192">
      <c r="W6214" s="228" t="n"/>
      <c r="X6214" s="228" t="n"/>
    </row>
    <row r="6215" ht="14.25" customHeight="1" s="192">
      <c r="W6215" s="231" t="n"/>
      <c r="X6215" s="231" t="n"/>
    </row>
    <row r="6216" ht="14.25" customHeight="1" s="192">
      <c r="W6216" s="33" t="n"/>
      <c r="X6216" s="33" t="n"/>
    </row>
    <row r="6217" ht="14.25" customHeight="1" s="192">
      <c r="W6217" s="231" t="n"/>
      <c r="X6217" s="231" t="n"/>
    </row>
    <row r="6218" ht="14.25" customHeight="1" s="192">
      <c r="W6218" s="33" t="n"/>
      <c r="X6218" s="33" t="n"/>
    </row>
    <row r="6220" ht="14.25" customHeight="1" s="192">
      <c r="W6220" s="231" t="n"/>
      <c r="X6220" s="231" t="n"/>
    </row>
    <row r="6221" ht="14.25" customHeight="1" s="192">
      <c r="W6221" s="235" t="n"/>
      <c r="X6221" s="235" t="n"/>
    </row>
    <row r="6222" ht="14.25" customHeight="1" s="192">
      <c r="W6222" s="228" t="n"/>
      <c r="X6222" s="228" t="n"/>
    </row>
    <row r="6223" ht="14.25" customHeight="1" s="192">
      <c r="W6223" s="235" t="n"/>
      <c r="X6223" s="235" t="n"/>
    </row>
    <row r="6224" ht="14.25" customHeight="1" s="192">
      <c r="W6224" s="235" t="n"/>
      <c r="X6224" s="235" t="n"/>
    </row>
    <row r="6225" ht="14.25" customHeight="1" s="192">
      <c r="W6225" s="235" t="n"/>
      <c r="X6225" s="235" t="n"/>
    </row>
    <row r="6226" ht="14.25" customHeight="1" s="192">
      <c r="W6226" s="239" t="n"/>
      <c r="X6226" s="239" t="n"/>
    </row>
    <row r="6227" ht="14.25" customHeight="1" s="192">
      <c r="W6227" s="239" t="n"/>
      <c r="X6227" s="239" t="n"/>
    </row>
    <row r="6228" ht="14.25" customHeight="1" s="192">
      <c r="W6228" s="239" t="n"/>
      <c r="X6228" s="239" t="n"/>
    </row>
    <row r="6229" ht="14.25" customHeight="1" s="192">
      <c r="W6229" s="235" t="n"/>
      <c r="X6229" s="235" t="n"/>
    </row>
    <row r="6230" ht="14.25" customHeight="1" s="192">
      <c r="W6230" s="235" t="n"/>
      <c r="X6230" s="235" t="n"/>
    </row>
    <row r="6231" ht="14.25" customHeight="1" s="192">
      <c r="W6231" s="235" t="n"/>
      <c r="X6231" s="235" t="n"/>
    </row>
    <row r="6232" ht="14.25" customHeight="1" s="192">
      <c r="W6232" s="239" t="n"/>
      <c r="X6232" s="239" t="n"/>
    </row>
    <row r="6233" ht="14.25" customHeight="1" s="192">
      <c r="W6233" s="239" t="n"/>
      <c r="X6233" s="239" t="n"/>
    </row>
    <row r="6234" ht="14.25" customHeight="1" s="192">
      <c r="W6234" s="235" t="n"/>
      <c r="X6234" s="235" t="n"/>
    </row>
    <row r="6235" ht="14.25" customHeight="1" s="192">
      <c r="W6235" s="235" t="n"/>
      <c r="X6235" s="235" t="n"/>
    </row>
    <row r="6236" ht="14.25" customHeight="1" s="192">
      <c r="W6236" s="239" t="n"/>
      <c r="X6236" s="239" t="n"/>
    </row>
    <row r="6237" ht="14.25" customHeight="1" s="192">
      <c r="W6237" s="235" t="n"/>
      <c r="X6237" s="235" t="n"/>
    </row>
    <row r="6238" ht="14.25" customHeight="1" s="192">
      <c r="W6238" s="239" t="n"/>
      <c r="X6238" s="239" t="n"/>
    </row>
    <row r="6240" ht="14.25" customHeight="1" s="192">
      <c r="W6240" s="235" t="n"/>
      <c r="X6240" s="235" t="n"/>
    </row>
    <row r="6241" ht="15" customHeight="1" s="192" thickBot="1">
      <c r="W6241" s="239" t="n"/>
      <c r="X6241" s="239" t="n"/>
    </row>
    <row r="6242" ht="15" customHeight="1" s="192" thickBot="1">
      <c r="W6242" s="45" t="n"/>
      <c r="X6242" s="45" t="n"/>
    </row>
    <row r="6243" ht="14.25" customHeight="1" s="192">
      <c r="W6243" s="228" t="n"/>
      <c r="X6243" s="228" t="n"/>
    </row>
    <row r="6244" ht="14.25" customHeight="1" s="192">
      <c r="W6244" s="228" t="n"/>
      <c r="X6244" s="228" t="n"/>
    </row>
    <row r="6245" ht="14.25" customHeight="1" s="192">
      <c r="W6245" s="231" t="n"/>
      <c r="X6245" s="231" t="n"/>
    </row>
    <row r="6246" ht="14.25" customHeight="1" s="192">
      <c r="W6246" s="33" t="n"/>
      <c r="X6246" s="33" t="n"/>
    </row>
    <row r="6247" ht="14.25" customHeight="1" s="192">
      <c r="W6247" s="231" t="n"/>
      <c r="X6247" s="231" t="n"/>
    </row>
    <row r="6248" ht="14.25" customHeight="1" s="192">
      <c r="W6248" s="33" t="n"/>
      <c r="X6248" s="33" t="n"/>
    </row>
    <row r="6250" ht="14.25" customHeight="1" s="192">
      <c r="W6250" s="231" t="n"/>
      <c r="X6250" s="231" t="n"/>
    </row>
    <row r="6251" ht="14.25" customHeight="1" s="192">
      <c r="W6251" s="235" t="n"/>
      <c r="X6251" s="235" t="n"/>
    </row>
    <row r="6252" ht="14.25" customHeight="1" s="192">
      <c r="W6252" s="228" t="n"/>
      <c r="X6252" s="228" t="n"/>
    </row>
    <row r="6253" ht="14.25" customHeight="1" s="192">
      <c r="W6253" s="235" t="n"/>
      <c r="X6253" s="235" t="n"/>
    </row>
    <row r="6254" ht="14.25" customHeight="1" s="192">
      <c r="W6254" s="235" t="n"/>
      <c r="X6254" s="235" t="n"/>
    </row>
    <row r="6255" ht="14.25" customHeight="1" s="192">
      <c r="W6255" s="235" t="n"/>
      <c r="X6255" s="235" t="n"/>
    </row>
    <row r="6256" ht="14.25" customHeight="1" s="192">
      <c r="W6256" s="239" t="n"/>
      <c r="X6256" s="239" t="n"/>
    </row>
    <row r="6257" ht="14.25" customHeight="1" s="192">
      <c r="W6257" s="239" t="n"/>
      <c r="X6257" s="239" t="n"/>
    </row>
    <row r="6258" ht="14.25" customHeight="1" s="192">
      <c r="W6258" s="239" t="n"/>
      <c r="X6258" s="239" t="n"/>
    </row>
    <row r="6259" ht="14.25" customHeight="1" s="192">
      <c r="W6259" s="235" t="n"/>
      <c r="X6259" s="235" t="n"/>
    </row>
    <row r="6260" ht="14.25" customHeight="1" s="192">
      <c r="W6260" s="235" t="n"/>
      <c r="X6260" s="235" t="n"/>
    </row>
    <row r="6261" ht="14.25" customHeight="1" s="192">
      <c r="W6261" s="235" t="n"/>
      <c r="X6261" s="235" t="n"/>
    </row>
    <row r="6262" ht="14.25" customHeight="1" s="192">
      <c r="W6262" s="239" t="n"/>
      <c r="X6262" s="239" t="n"/>
    </row>
    <row r="6263" ht="14.25" customHeight="1" s="192">
      <c r="W6263" s="239" t="n"/>
      <c r="X6263" s="239" t="n"/>
    </row>
    <row r="6264" ht="14.25" customHeight="1" s="192">
      <c r="W6264" s="235" t="n"/>
      <c r="X6264" s="235" t="n"/>
    </row>
    <row r="6265" ht="14.25" customHeight="1" s="192">
      <c r="W6265" s="235" t="n"/>
      <c r="X6265" s="235" t="n"/>
    </row>
    <row r="6266" ht="14.25" customHeight="1" s="192">
      <c r="W6266" s="239" t="n"/>
      <c r="X6266" s="239" t="n"/>
    </row>
    <row r="6267" ht="14.25" customHeight="1" s="192">
      <c r="W6267" s="235" t="n"/>
      <c r="X6267" s="235" t="n"/>
    </row>
    <row r="6268" ht="14.25" customHeight="1" s="192">
      <c r="W6268" s="239" t="n"/>
      <c r="X6268" s="239" t="n"/>
    </row>
    <row r="6270" ht="14.25" customHeight="1" s="192">
      <c r="W6270" s="235" t="n"/>
      <c r="X6270" s="235" t="n"/>
    </row>
    <row r="6271" ht="15" customHeight="1" s="192" thickBot="1">
      <c r="W6271" s="239" t="n"/>
      <c r="X6271" s="239" t="n"/>
    </row>
    <row r="6272" ht="15" customHeight="1" s="192" thickBot="1">
      <c r="W6272" s="45" t="n"/>
      <c r="X6272" s="45" t="n"/>
    </row>
    <row r="6273" ht="14.25" customHeight="1" s="192">
      <c r="W6273" s="228" t="n"/>
      <c r="X6273" s="228" t="n"/>
    </row>
    <row r="6274" ht="14.25" customHeight="1" s="192">
      <c r="W6274" s="228" t="n"/>
      <c r="X6274" s="228" t="n"/>
    </row>
    <row r="6275" ht="14.25" customHeight="1" s="192">
      <c r="W6275" s="231" t="n"/>
      <c r="X6275" s="231" t="n"/>
    </row>
    <row r="6276" ht="14.25" customHeight="1" s="192">
      <c r="W6276" s="33" t="n"/>
      <c r="X6276" s="33" t="n"/>
    </row>
    <row r="6277" ht="14.25" customHeight="1" s="192">
      <c r="W6277" s="231" t="n"/>
      <c r="X6277" s="231" t="n"/>
    </row>
    <row r="6278" ht="14.25" customHeight="1" s="192">
      <c r="W6278" s="33" t="n"/>
      <c r="X6278" s="33" t="n"/>
    </row>
    <row r="6280" ht="14.25" customHeight="1" s="192">
      <c r="W6280" s="231" t="n"/>
      <c r="X6280" s="231" t="n"/>
    </row>
    <row r="6281" ht="14.25" customHeight="1" s="192">
      <c r="W6281" s="235" t="n"/>
      <c r="X6281" s="235" t="n"/>
    </row>
    <row r="6282" ht="14.25" customHeight="1" s="192">
      <c r="W6282" s="228" t="n"/>
      <c r="X6282" s="228" t="n"/>
    </row>
    <row r="6283" ht="14.25" customHeight="1" s="192">
      <c r="W6283" s="235" t="n"/>
      <c r="X6283" s="235" t="n"/>
    </row>
    <row r="6284" ht="14.25" customHeight="1" s="192">
      <c r="W6284" s="235" t="n"/>
      <c r="X6284" s="235" t="n"/>
    </row>
    <row r="6285" ht="14.25" customHeight="1" s="192">
      <c r="W6285" s="235" t="n"/>
      <c r="X6285" s="235" t="n"/>
    </row>
    <row r="6286" ht="14.25" customHeight="1" s="192">
      <c r="W6286" s="239" t="n"/>
      <c r="X6286" s="239" t="n"/>
    </row>
    <row r="6287" ht="14.25" customHeight="1" s="192">
      <c r="W6287" s="239" t="n"/>
      <c r="X6287" s="239" t="n"/>
    </row>
    <row r="6288" ht="14.25" customHeight="1" s="192">
      <c r="W6288" s="239" t="n"/>
      <c r="X6288" s="239" t="n"/>
    </row>
    <row r="6289" ht="14.25" customHeight="1" s="192">
      <c r="W6289" s="235" t="n"/>
      <c r="X6289" s="235" t="n"/>
    </row>
    <row r="6290" ht="14.25" customHeight="1" s="192">
      <c r="W6290" s="235" t="n"/>
      <c r="X6290" s="235" t="n"/>
    </row>
    <row r="6291" ht="14.25" customHeight="1" s="192">
      <c r="W6291" s="235" t="n"/>
      <c r="X6291" s="235" t="n"/>
    </row>
    <row r="6292" ht="14.25" customHeight="1" s="192">
      <c r="W6292" s="239" t="n"/>
      <c r="X6292" s="239" t="n"/>
    </row>
    <row r="6293" ht="14.25" customHeight="1" s="192">
      <c r="W6293" s="239" t="n"/>
      <c r="X6293" s="239" t="n"/>
    </row>
    <row r="6294" ht="14.25" customHeight="1" s="192">
      <c r="W6294" s="235" t="n"/>
      <c r="X6294" s="235" t="n"/>
    </row>
    <row r="6295" ht="14.25" customHeight="1" s="192">
      <c r="W6295" s="235" t="n"/>
      <c r="X6295" s="235" t="n"/>
    </row>
    <row r="6296" ht="14.25" customHeight="1" s="192">
      <c r="W6296" s="239" t="n"/>
      <c r="X6296" s="239" t="n"/>
    </row>
    <row r="6297" ht="14.25" customHeight="1" s="192">
      <c r="W6297" s="235" t="n"/>
      <c r="X6297" s="235" t="n"/>
    </row>
    <row r="6298" ht="14.25" customHeight="1" s="192">
      <c r="W6298" s="239" t="n"/>
      <c r="X6298" s="239" t="n"/>
    </row>
    <row r="6300" ht="14.25" customHeight="1" s="192">
      <c r="W6300" s="235" t="n"/>
      <c r="X6300" s="235" t="n"/>
    </row>
    <row r="6301" ht="15" customHeight="1" s="192" thickBot="1">
      <c r="W6301" s="239" t="n"/>
      <c r="X6301" s="239" t="n"/>
    </row>
    <row r="6302" ht="15" customHeight="1" s="192" thickBot="1">
      <c r="W6302" s="45" t="n"/>
      <c r="X6302" s="45" t="n"/>
    </row>
    <row r="6303" ht="14.25" customHeight="1" s="192">
      <c r="W6303" s="228" t="n"/>
      <c r="X6303" s="228" t="n"/>
    </row>
    <row r="6304" ht="14.25" customHeight="1" s="192">
      <c r="W6304" s="228" t="n"/>
      <c r="X6304" s="228" t="n"/>
    </row>
    <row r="6305" ht="14.25" customHeight="1" s="192">
      <c r="W6305" s="231" t="n"/>
      <c r="X6305" s="231" t="n"/>
    </row>
    <row r="6306" ht="14.25" customHeight="1" s="192">
      <c r="W6306" s="33" t="n"/>
      <c r="X6306" s="33" t="n"/>
    </row>
    <row r="6307" ht="14.25" customHeight="1" s="192">
      <c r="W6307" s="231" t="n"/>
      <c r="X6307" s="231" t="n"/>
    </row>
    <row r="6308" ht="14.25" customHeight="1" s="192">
      <c r="W6308" s="33" t="n"/>
      <c r="X6308" s="33" t="n"/>
    </row>
    <row r="6310" ht="14.25" customHeight="1" s="192">
      <c r="W6310" s="231" t="n"/>
      <c r="X6310" s="231" t="n"/>
    </row>
    <row r="6311" ht="14.25" customHeight="1" s="192">
      <c r="W6311" s="235" t="n"/>
      <c r="X6311" s="235" t="n"/>
    </row>
    <row r="6312" ht="14.25" customHeight="1" s="192">
      <c r="W6312" s="228" t="n"/>
      <c r="X6312" s="228" t="n"/>
    </row>
    <row r="6313" ht="14.25" customHeight="1" s="192">
      <c r="W6313" s="235" t="n"/>
      <c r="X6313" s="235" t="n"/>
    </row>
    <row r="6314" ht="14.25" customHeight="1" s="192">
      <c r="W6314" s="235" t="n"/>
      <c r="X6314" s="235" t="n"/>
    </row>
    <row r="6315" ht="14.25" customHeight="1" s="192">
      <c r="W6315" s="235" t="n"/>
      <c r="X6315" s="235" t="n"/>
    </row>
    <row r="6316" ht="14.25" customHeight="1" s="192">
      <c r="W6316" s="239" t="n"/>
      <c r="X6316" s="239" t="n"/>
    </row>
    <row r="6317" ht="14.25" customHeight="1" s="192">
      <c r="W6317" s="239" t="n"/>
      <c r="X6317" s="239" t="n"/>
    </row>
    <row r="6318" ht="14.25" customHeight="1" s="192">
      <c r="W6318" s="239" t="n"/>
      <c r="X6318" s="239" t="n"/>
    </row>
    <row r="6319" ht="14.25" customHeight="1" s="192">
      <c r="W6319" s="235" t="n"/>
      <c r="X6319" s="235" t="n"/>
    </row>
    <row r="6320" ht="14.25" customHeight="1" s="192">
      <c r="W6320" s="235" t="n"/>
      <c r="X6320" s="235" t="n"/>
    </row>
    <row r="6321" ht="14.25" customHeight="1" s="192">
      <c r="W6321" s="235" t="n"/>
      <c r="X6321" s="235" t="n"/>
    </row>
    <row r="6322" ht="14.25" customHeight="1" s="192">
      <c r="W6322" s="239" t="n"/>
      <c r="X6322" s="239" t="n"/>
    </row>
    <row r="6323" ht="14.25" customHeight="1" s="192">
      <c r="W6323" s="239" t="n"/>
      <c r="X6323" s="239" t="n"/>
    </row>
    <row r="6324" ht="14.25" customHeight="1" s="192">
      <c r="W6324" s="235" t="n"/>
      <c r="X6324" s="235" t="n"/>
    </row>
    <row r="6325" ht="14.25" customHeight="1" s="192">
      <c r="W6325" s="235" t="n"/>
      <c r="X6325" s="235" t="n"/>
    </row>
    <row r="6326" ht="14.25" customHeight="1" s="192">
      <c r="W6326" s="239" t="n"/>
      <c r="X6326" s="239" t="n"/>
    </row>
    <row r="6327" ht="14.25" customHeight="1" s="192">
      <c r="W6327" s="235" t="n"/>
      <c r="X6327" s="235" t="n"/>
    </row>
    <row r="6328" ht="14.25" customHeight="1" s="192">
      <c r="W6328" s="239" t="n"/>
      <c r="X6328" s="239" t="n"/>
    </row>
    <row r="6330" ht="14.25" customHeight="1" s="192">
      <c r="W6330" s="235" t="n"/>
      <c r="X6330" s="235" t="n"/>
    </row>
    <row r="6331" ht="15" customHeight="1" s="192" thickBot="1">
      <c r="W6331" s="239" t="n"/>
      <c r="X6331" s="239" t="n"/>
    </row>
    <row r="6332" ht="15" customHeight="1" s="192" thickBot="1">
      <c r="W6332" s="45" t="n"/>
      <c r="X6332" s="45" t="n"/>
    </row>
    <row r="6333" ht="14.25" customHeight="1" s="192">
      <c r="W6333" s="228" t="n"/>
      <c r="X6333" s="228" t="n"/>
    </row>
    <row r="6334" ht="14.25" customHeight="1" s="192">
      <c r="W6334" s="228" t="n"/>
      <c r="X6334" s="228" t="n"/>
    </row>
    <row r="6335" ht="14.25" customHeight="1" s="192">
      <c r="W6335" s="231" t="n"/>
      <c r="X6335" s="231" t="n"/>
    </row>
    <row r="6336" ht="14.25" customHeight="1" s="192">
      <c r="W6336" s="33" t="n"/>
      <c r="X6336" s="33" t="n"/>
    </row>
    <row r="6337" ht="14.25" customHeight="1" s="192">
      <c r="W6337" s="231" t="n"/>
      <c r="X6337" s="231" t="n"/>
    </row>
    <row r="6338" ht="14.25" customHeight="1" s="192">
      <c r="W6338" s="33" t="n"/>
      <c r="X6338" s="33" t="n"/>
    </row>
    <row r="6340" ht="14.25" customHeight="1" s="192">
      <c r="W6340" s="231" t="n"/>
      <c r="X6340" s="231" t="n"/>
    </row>
    <row r="6341" ht="14.25" customHeight="1" s="192">
      <c r="W6341" s="235" t="n"/>
      <c r="X6341" s="235" t="n"/>
    </row>
    <row r="6342" ht="14.25" customHeight="1" s="192">
      <c r="W6342" s="228" t="n"/>
      <c r="X6342" s="228" t="n"/>
    </row>
    <row r="6343" ht="14.25" customHeight="1" s="192">
      <c r="W6343" s="235" t="n"/>
      <c r="X6343" s="235" t="n"/>
    </row>
    <row r="6344" ht="14.25" customHeight="1" s="192">
      <c r="W6344" s="235" t="n"/>
      <c r="X6344" s="235" t="n"/>
    </row>
    <row r="6345" ht="14.25" customHeight="1" s="192">
      <c r="W6345" s="235" t="n"/>
      <c r="X6345" s="235" t="n"/>
    </row>
    <row r="6346" ht="14.25" customHeight="1" s="192">
      <c r="W6346" s="239" t="n"/>
      <c r="X6346" s="239" t="n"/>
    </row>
    <row r="6347" ht="14.25" customHeight="1" s="192">
      <c r="W6347" s="239" t="n"/>
      <c r="X6347" s="239" t="n"/>
    </row>
    <row r="6348" ht="14.25" customHeight="1" s="192">
      <c r="W6348" s="239" t="n"/>
      <c r="X6348" s="239" t="n"/>
    </row>
    <row r="6349" ht="14.25" customHeight="1" s="192">
      <c r="W6349" s="235" t="n"/>
      <c r="X6349" s="235" t="n"/>
    </row>
    <row r="6350" ht="14.25" customHeight="1" s="192">
      <c r="W6350" s="235" t="n"/>
      <c r="X6350" s="235" t="n"/>
    </row>
    <row r="6351" ht="14.25" customHeight="1" s="192">
      <c r="W6351" s="235" t="n"/>
      <c r="X6351" s="235" t="n"/>
    </row>
    <row r="6352" ht="14.25" customHeight="1" s="192">
      <c r="W6352" s="239" t="n"/>
      <c r="X6352" s="239" t="n"/>
    </row>
    <row r="6353" ht="14.25" customHeight="1" s="192">
      <c r="W6353" s="239" t="n"/>
      <c r="X6353" s="239" t="n"/>
    </row>
    <row r="6354" ht="14.25" customHeight="1" s="192">
      <c r="W6354" s="235" t="n"/>
      <c r="X6354" s="235" t="n"/>
    </row>
    <row r="6355" ht="14.25" customHeight="1" s="192">
      <c r="W6355" s="235" t="n"/>
      <c r="X6355" s="235" t="n"/>
    </row>
    <row r="6356" ht="14.25" customHeight="1" s="192">
      <c r="W6356" s="239" t="n"/>
      <c r="X6356" s="239" t="n"/>
    </row>
    <row r="6357" ht="14.25" customHeight="1" s="192">
      <c r="W6357" s="235" t="n"/>
      <c r="X6357" s="235" t="n"/>
    </row>
    <row r="6358" ht="14.25" customHeight="1" s="192">
      <c r="W6358" s="239" t="n"/>
      <c r="X6358" s="239" t="n"/>
    </row>
    <row r="6360" ht="14.25" customHeight="1" s="192">
      <c r="W6360" s="235" t="n"/>
      <c r="X6360" s="235" t="n"/>
    </row>
    <row r="6361" ht="15" customHeight="1" s="192" thickBot="1">
      <c r="W6361" s="239" t="n"/>
      <c r="X6361" s="239" t="n"/>
    </row>
    <row r="6362" ht="15" customHeight="1" s="192" thickBot="1">
      <c r="W6362" s="45" t="n"/>
      <c r="X6362" s="45" t="n"/>
    </row>
    <row r="6363" ht="14.25" customHeight="1" s="192">
      <c r="W6363" s="228" t="n"/>
      <c r="X6363" s="228" t="n"/>
    </row>
    <row r="6364" ht="14.25" customHeight="1" s="192">
      <c r="W6364" s="228" t="n"/>
      <c r="X6364" s="228" t="n"/>
    </row>
    <row r="6365" ht="14.25" customHeight="1" s="192">
      <c r="W6365" s="231" t="n"/>
      <c r="X6365" s="231" t="n"/>
    </row>
    <row r="6366" ht="14.25" customHeight="1" s="192">
      <c r="W6366" s="33" t="n"/>
      <c r="X6366" s="33" t="n"/>
    </row>
    <row r="6367" ht="14.25" customHeight="1" s="192">
      <c r="W6367" s="231" t="n"/>
      <c r="X6367" s="231" t="n"/>
    </row>
    <row r="6368" ht="14.25" customHeight="1" s="192">
      <c r="W6368" s="33" t="n"/>
      <c r="X6368" s="33" t="n"/>
    </row>
    <row r="6370" ht="14.25" customHeight="1" s="192">
      <c r="W6370" s="231" t="n"/>
      <c r="X6370" s="231" t="n"/>
    </row>
    <row r="6371" ht="14.25" customHeight="1" s="192">
      <c r="W6371" s="235" t="n"/>
      <c r="X6371" s="235" t="n"/>
    </row>
    <row r="6372" ht="14.25" customHeight="1" s="192">
      <c r="W6372" s="228" t="n"/>
      <c r="X6372" s="228" t="n"/>
    </row>
    <row r="6373" ht="14.25" customHeight="1" s="192">
      <c r="W6373" s="235" t="n"/>
      <c r="X6373" s="235" t="n"/>
    </row>
    <row r="6374" ht="14.25" customHeight="1" s="192">
      <c r="W6374" s="235" t="n"/>
      <c r="X6374" s="235" t="n"/>
    </row>
    <row r="6375" ht="14.25" customHeight="1" s="192">
      <c r="W6375" s="235" t="n"/>
      <c r="X6375" s="235" t="n"/>
    </row>
    <row r="6376" ht="14.25" customHeight="1" s="192">
      <c r="W6376" s="239" t="n"/>
      <c r="X6376" s="239" t="n"/>
    </row>
    <row r="6377" ht="14.25" customHeight="1" s="192">
      <c r="W6377" s="239" t="n"/>
      <c r="X6377" s="239" t="n"/>
    </row>
    <row r="6378" ht="14.25" customHeight="1" s="192">
      <c r="W6378" s="239" t="n"/>
      <c r="X6378" s="239" t="n"/>
    </row>
    <row r="6379" ht="14.25" customHeight="1" s="192">
      <c r="W6379" s="235" t="n"/>
      <c r="X6379" s="235" t="n"/>
    </row>
    <row r="6380" ht="14.25" customHeight="1" s="192">
      <c r="W6380" s="235" t="n"/>
      <c r="X6380" s="235" t="n"/>
    </row>
    <row r="6381" ht="14.25" customHeight="1" s="192">
      <c r="W6381" s="235" t="n"/>
      <c r="X6381" s="235" t="n"/>
    </row>
    <row r="6382" ht="14.25" customHeight="1" s="192">
      <c r="W6382" s="239" t="n"/>
      <c r="X6382" s="239" t="n"/>
    </row>
    <row r="6383" ht="14.25" customHeight="1" s="192">
      <c r="W6383" s="239" t="n"/>
      <c r="X6383" s="239" t="n"/>
    </row>
    <row r="6384" ht="14.25" customHeight="1" s="192">
      <c r="W6384" s="235" t="n"/>
      <c r="X6384" s="235" t="n"/>
    </row>
    <row r="6385" ht="14.25" customHeight="1" s="192">
      <c r="W6385" s="235" t="n"/>
      <c r="X6385" s="235" t="n"/>
    </row>
    <row r="6386" ht="14.25" customHeight="1" s="192">
      <c r="W6386" s="239" t="n"/>
      <c r="X6386" s="239" t="n"/>
    </row>
    <row r="6387" ht="14.25" customHeight="1" s="192">
      <c r="W6387" s="235" t="n"/>
      <c r="X6387" s="235" t="n"/>
    </row>
    <row r="6388" ht="14.25" customHeight="1" s="192">
      <c r="W6388" s="239" t="n"/>
      <c r="X6388" s="239" t="n"/>
    </row>
    <row r="6390" ht="14.25" customHeight="1" s="192">
      <c r="W6390" s="235" t="n"/>
      <c r="X6390" s="235" t="n"/>
    </row>
    <row r="6391" ht="15" customHeight="1" s="192" thickBot="1">
      <c r="W6391" s="239" t="n"/>
      <c r="X6391" s="239" t="n"/>
    </row>
    <row r="6392" ht="15" customHeight="1" s="192" thickBot="1">
      <c r="W6392" s="45" t="n"/>
      <c r="X6392" s="45" t="n"/>
    </row>
    <row r="6393" ht="14.25" customHeight="1" s="192">
      <c r="W6393" s="228" t="n"/>
      <c r="X6393" s="228" t="n"/>
    </row>
    <row r="6394" ht="14.25" customHeight="1" s="192">
      <c r="W6394" s="228" t="n"/>
      <c r="X6394" s="228" t="n"/>
    </row>
    <row r="6395" ht="14.25" customHeight="1" s="192">
      <c r="W6395" s="231" t="n"/>
      <c r="X6395" s="231" t="n"/>
    </row>
    <row r="6396" ht="14.25" customHeight="1" s="192">
      <c r="W6396" s="33" t="n"/>
      <c r="X6396" s="33" t="n"/>
    </row>
    <row r="6397" ht="14.25" customHeight="1" s="192">
      <c r="W6397" s="231" t="n"/>
      <c r="X6397" s="231" t="n"/>
    </row>
    <row r="6398" ht="14.25" customHeight="1" s="192">
      <c r="W6398" s="33" t="n"/>
      <c r="X6398" s="33" t="n"/>
    </row>
    <row r="6400" ht="14.25" customHeight="1" s="192">
      <c r="W6400" s="231" t="n"/>
      <c r="X6400" s="231" t="n"/>
    </row>
    <row r="6401" ht="14.25" customHeight="1" s="192">
      <c r="W6401" s="235" t="n"/>
      <c r="X6401" s="235" t="n"/>
    </row>
    <row r="6402" ht="14.25" customHeight="1" s="192">
      <c r="W6402" s="228" t="n"/>
      <c r="X6402" s="228" t="n"/>
    </row>
    <row r="6403" ht="14.25" customHeight="1" s="192">
      <c r="W6403" s="235" t="n"/>
      <c r="X6403" s="235" t="n"/>
    </row>
    <row r="6404" ht="14.25" customHeight="1" s="192">
      <c r="W6404" s="235" t="n"/>
      <c r="X6404" s="235" t="n"/>
    </row>
    <row r="6405" ht="14.25" customHeight="1" s="192">
      <c r="W6405" s="235" t="n"/>
      <c r="X6405" s="235" t="n"/>
    </row>
    <row r="6406" ht="14.25" customHeight="1" s="192">
      <c r="W6406" s="239" t="n"/>
      <c r="X6406" s="239" t="n"/>
    </row>
    <row r="6407" ht="14.25" customHeight="1" s="192">
      <c r="W6407" s="239" t="n"/>
      <c r="X6407" s="239" t="n"/>
    </row>
    <row r="6408" ht="14.25" customHeight="1" s="192">
      <c r="W6408" s="239" t="n"/>
      <c r="X6408" s="239" t="n"/>
    </row>
    <row r="6409" ht="14.25" customHeight="1" s="192">
      <c r="W6409" s="235" t="n"/>
      <c r="X6409" s="235" t="n"/>
    </row>
    <row r="6410" ht="14.25" customHeight="1" s="192">
      <c r="W6410" s="235" t="n"/>
      <c r="X6410" s="235" t="n"/>
    </row>
    <row r="6411" ht="14.25" customHeight="1" s="192">
      <c r="W6411" s="235" t="n"/>
      <c r="X6411" s="235" t="n"/>
    </row>
    <row r="6412" ht="14.25" customHeight="1" s="192">
      <c r="W6412" s="239" t="n"/>
      <c r="X6412" s="239" t="n"/>
    </row>
    <row r="6413" ht="14.25" customHeight="1" s="192">
      <c r="W6413" s="239" t="n"/>
      <c r="X6413" s="239" t="n"/>
    </row>
    <row r="6414" ht="14.25" customHeight="1" s="192">
      <c r="W6414" s="235" t="n"/>
      <c r="X6414" s="235" t="n"/>
    </row>
    <row r="6415" ht="14.25" customHeight="1" s="192">
      <c r="W6415" s="235" t="n"/>
      <c r="X6415" s="235" t="n"/>
    </row>
    <row r="6416" ht="14.25" customHeight="1" s="192">
      <c r="W6416" s="239" t="n"/>
      <c r="X6416" s="239" t="n"/>
    </row>
    <row r="6417" ht="14.25" customHeight="1" s="192">
      <c r="W6417" s="235" t="n"/>
      <c r="X6417" s="235" t="n"/>
    </row>
    <row r="6418" ht="14.25" customHeight="1" s="192">
      <c r="W6418" s="239" t="n"/>
      <c r="X6418" s="239" t="n"/>
    </row>
    <row r="6420" ht="14.25" customHeight="1" s="192">
      <c r="W6420" s="235" t="n"/>
      <c r="X6420" s="235" t="n"/>
    </row>
    <row r="6421" ht="15" customHeight="1" s="192" thickBot="1">
      <c r="W6421" s="239" t="n"/>
      <c r="X6421" s="239" t="n"/>
    </row>
    <row r="6422" ht="15" customHeight="1" s="192" thickBot="1">
      <c r="W6422" s="45" t="n"/>
      <c r="X6422" s="45" t="n"/>
    </row>
    <row r="6423" ht="14.25" customHeight="1" s="192">
      <c r="W6423" s="228" t="n"/>
      <c r="X6423" s="228" t="n"/>
    </row>
    <row r="6424" ht="14.25" customHeight="1" s="192">
      <c r="W6424" s="228" t="n"/>
      <c r="X6424" s="228" t="n"/>
    </row>
    <row r="6425" ht="14.25" customHeight="1" s="192">
      <c r="W6425" s="231" t="n"/>
      <c r="X6425" s="231" t="n"/>
    </row>
    <row r="6426" ht="14.25" customHeight="1" s="192">
      <c r="W6426" s="33" t="n"/>
      <c r="X6426" s="33" t="n"/>
    </row>
    <row r="6427" ht="14.25" customHeight="1" s="192">
      <c r="W6427" s="231" t="n"/>
      <c r="X6427" s="231" t="n"/>
    </row>
    <row r="6428" ht="14.25" customHeight="1" s="192">
      <c r="W6428" s="33" t="n"/>
      <c r="X6428" s="33" t="n"/>
    </row>
    <row r="6430" ht="14.25" customHeight="1" s="192">
      <c r="W6430" s="231" t="n"/>
      <c r="X6430" s="231" t="n"/>
    </row>
    <row r="6431" ht="14.25" customHeight="1" s="192">
      <c r="W6431" s="235" t="n"/>
      <c r="X6431" s="235" t="n"/>
    </row>
    <row r="6432" ht="14.25" customHeight="1" s="192">
      <c r="W6432" s="228" t="n"/>
      <c r="X6432" s="228" t="n"/>
    </row>
    <row r="6433" ht="14.25" customHeight="1" s="192">
      <c r="W6433" s="235" t="n"/>
      <c r="X6433" s="235" t="n"/>
    </row>
    <row r="6434" ht="14.25" customHeight="1" s="192">
      <c r="W6434" s="235" t="n"/>
      <c r="X6434" s="235" t="n"/>
    </row>
    <row r="6435" ht="14.25" customHeight="1" s="192">
      <c r="W6435" s="235" t="n"/>
      <c r="X6435" s="235" t="n"/>
    </row>
    <row r="6436" ht="14.25" customHeight="1" s="192">
      <c r="W6436" s="239" t="n"/>
      <c r="X6436" s="239" t="n"/>
    </row>
    <row r="6437" ht="14.25" customHeight="1" s="192">
      <c r="W6437" s="239" t="n"/>
      <c r="X6437" s="239" t="n"/>
    </row>
    <row r="6438" ht="14.25" customHeight="1" s="192">
      <c r="W6438" s="239" t="n"/>
      <c r="X6438" s="239" t="n"/>
    </row>
    <row r="6439" ht="14.25" customHeight="1" s="192">
      <c r="W6439" s="235" t="n"/>
      <c r="X6439" s="235" t="n"/>
    </row>
    <row r="6440" ht="14.25" customHeight="1" s="192">
      <c r="W6440" s="235" t="n"/>
      <c r="X6440" s="235" t="n"/>
    </row>
    <row r="6441" ht="14.25" customHeight="1" s="192">
      <c r="W6441" s="235" t="n"/>
      <c r="X6441" s="235" t="n"/>
    </row>
    <row r="6442" ht="14.25" customHeight="1" s="192">
      <c r="W6442" s="239" t="n"/>
      <c r="X6442" s="239" t="n"/>
    </row>
    <row r="6443" ht="14.25" customHeight="1" s="192">
      <c r="W6443" s="239" t="n"/>
      <c r="X6443" s="239" t="n"/>
    </row>
    <row r="6444" ht="14.25" customHeight="1" s="192">
      <c r="W6444" s="235" t="n"/>
      <c r="X6444" s="235" t="n"/>
    </row>
    <row r="6445" ht="14.25" customHeight="1" s="192">
      <c r="W6445" s="235" t="n"/>
      <c r="X6445" s="235" t="n"/>
    </row>
    <row r="6446" ht="14.25" customHeight="1" s="192">
      <c r="W6446" s="239" t="n"/>
      <c r="X6446" s="239" t="n"/>
    </row>
    <row r="6447" ht="14.25" customHeight="1" s="192">
      <c r="W6447" s="235" t="n"/>
      <c r="X6447" s="235" t="n"/>
    </row>
    <row r="6448" ht="14.25" customHeight="1" s="192">
      <c r="W6448" s="239" t="n"/>
      <c r="X6448" s="239" t="n"/>
    </row>
    <row r="6450" ht="14.25" customHeight="1" s="192">
      <c r="W6450" s="235" t="n"/>
      <c r="X6450" s="235" t="n"/>
    </row>
    <row r="6451" ht="15" customHeight="1" s="192" thickBot="1">
      <c r="W6451" s="239" t="n"/>
      <c r="X6451" s="239" t="n"/>
    </row>
    <row r="6452" ht="15" customHeight="1" s="192" thickBot="1">
      <c r="W6452" s="45" t="n"/>
      <c r="X6452" s="45" t="n"/>
    </row>
    <row r="6453" ht="14.25" customHeight="1" s="192">
      <c r="W6453" s="228" t="n"/>
      <c r="X6453" s="228" t="n"/>
    </row>
    <row r="6454" ht="14.25" customHeight="1" s="192">
      <c r="W6454" s="228" t="n"/>
      <c r="X6454" s="228" t="n"/>
    </row>
    <row r="6455" ht="14.25" customHeight="1" s="192">
      <c r="W6455" s="231" t="n"/>
      <c r="X6455" s="231" t="n"/>
    </row>
    <row r="6456" ht="14.25" customHeight="1" s="192">
      <c r="W6456" s="33" t="n"/>
      <c r="X6456" s="33" t="n"/>
    </row>
    <row r="6457" ht="14.25" customHeight="1" s="192">
      <c r="W6457" s="231" t="n"/>
      <c r="X6457" s="231" t="n"/>
    </row>
    <row r="6458" ht="14.25" customHeight="1" s="192">
      <c r="W6458" s="33" t="n"/>
      <c r="X6458" s="33" t="n"/>
    </row>
    <row r="6460" ht="14.25" customHeight="1" s="192">
      <c r="W6460" s="231" t="n"/>
      <c r="X6460" s="231" t="n"/>
    </row>
    <row r="6461" ht="14.25" customHeight="1" s="192">
      <c r="W6461" s="235" t="n"/>
      <c r="X6461" s="235" t="n"/>
    </row>
    <row r="6462" ht="14.25" customHeight="1" s="192">
      <c r="W6462" s="228" t="n"/>
      <c r="X6462" s="228" t="n"/>
    </row>
    <row r="6463" ht="14.25" customHeight="1" s="192">
      <c r="W6463" s="235" t="n"/>
      <c r="X6463" s="235" t="n"/>
    </row>
    <row r="6464" ht="14.25" customHeight="1" s="192">
      <c r="W6464" s="235" t="n"/>
      <c r="X6464" s="235" t="n"/>
    </row>
    <row r="6465" ht="14.25" customHeight="1" s="192">
      <c r="W6465" s="235" t="n"/>
      <c r="X6465" s="235" t="n"/>
    </row>
    <row r="6466" ht="14.25" customHeight="1" s="192">
      <c r="W6466" s="239" t="n"/>
      <c r="X6466" s="239" t="n"/>
    </row>
    <row r="6467" ht="14.25" customHeight="1" s="192">
      <c r="W6467" s="239" t="n"/>
      <c r="X6467" s="239" t="n"/>
    </row>
    <row r="6468" ht="14.25" customHeight="1" s="192">
      <c r="W6468" s="239" t="n"/>
      <c r="X6468" s="239" t="n"/>
    </row>
    <row r="6469" ht="14.25" customHeight="1" s="192">
      <c r="W6469" s="235" t="n"/>
      <c r="X6469" s="235" t="n"/>
    </row>
    <row r="6470" ht="14.25" customHeight="1" s="192">
      <c r="W6470" s="235" t="n"/>
      <c r="X6470" s="235" t="n"/>
    </row>
    <row r="6471" ht="14.25" customHeight="1" s="192">
      <c r="W6471" s="235" t="n"/>
      <c r="X6471" s="235" t="n"/>
    </row>
    <row r="6472" ht="14.25" customHeight="1" s="192">
      <c r="W6472" s="239" t="n"/>
      <c r="X6472" s="239" t="n"/>
    </row>
    <row r="6473" ht="14.25" customHeight="1" s="192">
      <c r="W6473" s="239" t="n"/>
      <c r="X6473" s="239" t="n"/>
    </row>
    <row r="6474" ht="14.25" customHeight="1" s="192">
      <c r="W6474" s="235" t="n"/>
      <c r="X6474" s="235" t="n"/>
    </row>
    <row r="6475" ht="14.25" customHeight="1" s="192">
      <c r="W6475" s="235" t="n"/>
      <c r="X6475" s="235" t="n"/>
    </row>
    <row r="6476" ht="14.25" customHeight="1" s="192">
      <c r="W6476" s="239" t="n"/>
      <c r="X6476" s="239" t="n"/>
    </row>
    <row r="6477" ht="14.25" customHeight="1" s="192">
      <c r="W6477" s="235" t="n"/>
      <c r="X6477" s="235" t="n"/>
    </row>
    <row r="6478" ht="14.25" customHeight="1" s="192">
      <c r="W6478" s="239" t="n"/>
      <c r="X6478" s="239" t="n"/>
    </row>
    <row r="6480" ht="14.25" customHeight="1" s="192">
      <c r="W6480" s="235" t="n"/>
      <c r="X6480" s="235" t="n"/>
    </row>
    <row r="6481" ht="15" customHeight="1" s="192" thickBot="1">
      <c r="W6481" s="239" t="n"/>
      <c r="X6481" s="239" t="n"/>
    </row>
    <row r="6482" ht="15" customHeight="1" s="192" thickBot="1">
      <c r="W6482" s="45" t="n"/>
      <c r="X6482" s="45" t="n"/>
    </row>
    <row r="6483" ht="14.25" customHeight="1" s="192">
      <c r="W6483" s="228" t="n"/>
      <c r="X6483" s="228" t="n"/>
    </row>
    <row r="6484" ht="14.25" customHeight="1" s="192">
      <c r="W6484" s="228" t="n"/>
      <c r="X6484" s="228" t="n"/>
    </row>
    <row r="6485" ht="14.25" customHeight="1" s="192">
      <c r="W6485" s="231" t="n"/>
      <c r="X6485" s="231" t="n"/>
    </row>
    <row r="6486" ht="14.25" customHeight="1" s="192">
      <c r="W6486" s="33" t="n"/>
      <c r="X6486" s="33" t="n"/>
    </row>
    <row r="6487" ht="14.25" customHeight="1" s="192">
      <c r="W6487" s="231" t="n"/>
      <c r="X6487" s="231" t="n"/>
    </row>
    <row r="6488" ht="14.25" customHeight="1" s="192">
      <c r="W6488" s="33" t="n"/>
      <c r="X6488" s="33" t="n"/>
    </row>
    <row r="6490" ht="14.25" customHeight="1" s="192">
      <c r="W6490" s="231" t="n"/>
      <c r="X6490" s="231" t="n"/>
    </row>
    <row r="6491" ht="14.25" customHeight="1" s="192">
      <c r="W6491" s="235" t="n"/>
      <c r="X6491" s="235" t="n"/>
    </row>
    <row r="6492" ht="14.25" customHeight="1" s="192">
      <c r="W6492" s="228" t="n"/>
      <c r="X6492" s="228" t="n"/>
    </row>
    <row r="6493" ht="14.25" customHeight="1" s="192">
      <c r="W6493" s="235" t="n"/>
      <c r="X6493" s="235" t="n"/>
    </row>
    <row r="6494" ht="14.25" customHeight="1" s="192">
      <c r="W6494" s="235" t="n"/>
      <c r="X6494" s="235" t="n"/>
    </row>
    <row r="6495" ht="14.25" customHeight="1" s="192">
      <c r="W6495" s="235" t="n"/>
      <c r="X6495" s="235" t="n"/>
    </row>
    <row r="6496" ht="14.25" customHeight="1" s="192">
      <c r="W6496" s="239" t="n"/>
      <c r="X6496" s="239" t="n"/>
    </row>
    <row r="6497" ht="14.25" customHeight="1" s="192">
      <c r="W6497" s="239" t="n"/>
      <c r="X6497" s="239" t="n"/>
    </row>
    <row r="6498" ht="14.25" customHeight="1" s="192">
      <c r="W6498" s="239" t="n"/>
      <c r="X6498" s="239" t="n"/>
    </row>
    <row r="6499" ht="14.25" customHeight="1" s="192">
      <c r="W6499" s="235" t="n"/>
      <c r="X6499" s="235" t="n"/>
    </row>
    <row r="6500" ht="14.25" customHeight="1" s="192">
      <c r="W6500" s="235" t="n"/>
      <c r="X6500" s="235" t="n"/>
    </row>
    <row r="6501" ht="14.25" customHeight="1" s="192">
      <c r="W6501" s="235" t="n"/>
      <c r="X6501" s="235" t="n"/>
    </row>
    <row r="6502" ht="14.25" customHeight="1" s="192">
      <c r="W6502" s="239" t="n"/>
      <c r="X6502" s="239" t="n"/>
    </row>
    <row r="6503" ht="14.25" customHeight="1" s="192">
      <c r="W6503" s="239" t="n"/>
      <c r="X6503" s="239" t="n"/>
    </row>
    <row r="6504" ht="14.25" customHeight="1" s="192">
      <c r="W6504" s="235" t="n"/>
      <c r="X6504" s="235" t="n"/>
    </row>
    <row r="6505" ht="14.25" customHeight="1" s="192">
      <c r="W6505" s="235" t="n"/>
      <c r="X6505" s="235" t="n"/>
    </row>
    <row r="6506" ht="14.25" customHeight="1" s="192">
      <c r="W6506" s="239" t="n"/>
      <c r="X6506" s="239" t="n"/>
    </row>
    <row r="6507" ht="14.25" customHeight="1" s="192">
      <c r="W6507" s="235" t="n"/>
      <c r="X6507" s="235" t="n"/>
    </row>
    <row r="6508" ht="14.25" customHeight="1" s="192">
      <c r="W6508" s="239" t="n"/>
      <c r="X6508" s="239" t="n"/>
    </row>
    <row r="6510" ht="14.25" customHeight="1" s="192">
      <c r="W6510" s="235" t="n"/>
      <c r="X6510" s="235" t="n"/>
    </row>
    <row r="6511" ht="15" customHeight="1" s="192" thickBot="1">
      <c r="W6511" s="239" t="n"/>
      <c r="X6511" s="239" t="n"/>
    </row>
    <row r="6512" ht="15" customHeight="1" s="192" thickBot="1">
      <c r="W6512" s="45" t="n"/>
      <c r="X6512" s="45" t="n"/>
    </row>
    <row r="6513" ht="14.25" customHeight="1" s="192">
      <c r="W6513" s="228" t="n"/>
      <c r="X6513" s="228" t="n"/>
    </row>
    <row r="6514" ht="14.25" customHeight="1" s="192">
      <c r="W6514" s="228" t="n"/>
      <c r="X6514" s="228" t="n"/>
    </row>
    <row r="6515" ht="14.25" customHeight="1" s="192">
      <c r="W6515" s="231" t="n"/>
      <c r="X6515" s="231" t="n"/>
    </row>
    <row r="6516" ht="14.25" customHeight="1" s="192">
      <c r="W6516" s="33" t="n"/>
      <c r="X6516" s="33" t="n"/>
    </row>
    <row r="6517" ht="14.25" customHeight="1" s="192">
      <c r="W6517" s="231" t="n"/>
      <c r="X6517" s="231" t="n"/>
    </row>
    <row r="6518" ht="14.25" customHeight="1" s="192">
      <c r="W6518" s="33" t="n"/>
      <c r="X6518" s="33" t="n"/>
    </row>
    <row r="6520" ht="14.25" customHeight="1" s="192">
      <c r="W6520" s="231" t="n"/>
      <c r="X6520" s="231" t="n"/>
    </row>
    <row r="6521" ht="14.25" customHeight="1" s="192">
      <c r="W6521" s="235" t="n"/>
      <c r="X6521" s="235" t="n"/>
    </row>
    <row r="6522" ht="14.25" customHeight="1" s="192">
      <c r="W6522" s="228" t="n"/>
      <c r="X6522" s="228" t="n"/>
    </row>
    <row r="6523" ht="14.25" customHeight="1" s="192">
      <c r="W6523" s="235" t="n"/>
      <c r="X6523" s="235" t="n"/>
    </row>
    <row r="6524" ht="14.25" customHeight="1" s="192">
      <c r="W6524" s="235" t="n"/>
      <c r="X6524" s="235" t="n"/>
    </row>
    <row r="6525" ht="14.25" customHeight="1" s="192">
      <c r="W6525" s="235" t="n"/>
      <c r="X6525" s="235" t="n"/>
    </row>
    <row r="6526" ht="14.25" customHeight="1" s="192">
      <c r="W6526" s="239" t="n"/>
      <c r="X6526" s="239" t="n"/>
    </row>
    <row r="6527" ht="14.25" customHeight="1" s="192">
      <c r="W6527" s="239" t="n"/>
      <c r="X6527" s="239" t="n"/>
    </row>
    <row r="6528" ht="14.25" customHeight="1" s="192">
      <c r="W6528" s="239" t="n"/>
      <c r="X6528" s="239" t="n"/>
    </row>
    <row r="6529" ht="14.25" customHeight="1" s="192">
      <c r="W6529" s="235" t="n"/>
      <c r="X6529" s="235" t="n"/>
    </row>
    <row r="6530" ht="14.25" customHeight="1" s="192">
      <c r="W6530" s="235" t="n"/>
      <c r="X6530" s="235" t="n"/>
    </row>
    <row r="6531" ht="14.25" customHeight="1" s="192">
      <c r="W6531" s="235" t="n"/>
      <c r="X6531" s="235" t="n"/>
    </row>
    <row r="6532" ht="14.25" customHeight="1" s="192">
      <c r="W6532" s="239" t="n"/>
      <c r="X6532" s="239" t="n"/>
    </row>
    <row r="6533" ht="14.25" customHeight="1" s="192">
      <c r="W6533" s="239" t="n"/>
      <c r="X6533" s="239" t="n"/>
    </row>
    <row r="6534" ht="14.25" customHeight="1" s="192">
      <c r="W6534" s="235" t="n"/>
      <c r="X6534" s="235" t="n"/>
    </row>
    <row r="6535" ht="14.25" customHeight="1" s="192">
      <c r="W6535" s="235" t="n"/>
      <c r="X6535" s="235" t="n"/>
    </row>
    <row r="6536" ht="14.25" customHeight="1" s="192">
      <c r="W6536" s="239" t="n"/>
      <c r="X6536" s="239" t="n"/>
    </row>
    <row r="6537" ht="14.25" customHeight="1" s="192">
      <c r="W6537" s="235" t="n"/>
      <c r="X6537" s="235" t="n"/>
    </row>
    <row r="6538" ht="14.25" customHeight="1" s="192">
      <c r="W6538" s="239" t="n"/>
      <c r="X6538" s="239" t="n"/>
    </row>
    <row r="6540" ht="14.25" customHeight="1" s="192">
      <c r="W6540" s="235" t="n"/>
      <c r="X6540" s="235" t="n"/>
    </row>
    <row r="6541" ht="15" customHeight="1" s="192" thickBot="1">
      <c r="W6541" s="239" t="n"/>
      <c r="X6541" s="239" t="n"/>
    </row>
    <row r="6542" ht="15" customHeight="1" s="192" thickBot="1">
      <c r="W6542" s="45" t="n"/>
      <c r="X6542" s="45" t="n"/>
    </row>
    <row r="6543" ht="14.25" customHeight="1" s="192">
      <c r="W6543" s="228" t="n"/>
      <c r="X6543" s="228" t="n"/>
    </row>
    <row r="6544" ht="14.25" customHeight="1" s="192">
      <c r="W6544" s="228" t="n"/>
      <c r="X6544" s="228" t="n"/>
    </row>
    <row r="6545" ht="14.25" customHeight="1" s="192">
      <c r="W6545" s="231" t="n"/>
      <c r="X6545" s="231" t="n"/>
    </row>
    <row r="6546" ht="14.25" customHeight="1" s="192">
      <c r="W6546" s="33" t="n"/>
      <c r="X6546" s="33" t="n"/>
    </row>
    <row r="6547" ht="14.25" customHeight="1" s="192">
      <c r="W6547" s="231" t="n"/>
      <c r="X6547" s="231" t="n"/>
    </row>
    <row r="6548" ht="14.25" customHeight="1" s="192">
      <c r="W6548" s="33" t="n"/>
      <c r="X6548" s="33" t="n"/>
    </row>
    <row r="6550" ht="14.25" customHeight="1" s="192">
      <c r="W6550" s="231" t="n"/>
      <c r="X6550" s="231" t="n"/>
    </row>
    <row r="6551" ht="14.25" customHeight="1" s="192">
      <c r="W6551" s="235" t="n"/>
      <c r="X6551" s="235" t="n"/>
    </row>
    <row r="6552" ht="14.25" customHeight="1" s="192">
      <c r="W6552" s="228" t="n"/>
      <c r="X6552" s="228" t="n"/>
    </row>
    <row r="6553" ht="14.25" customHeight="1" s="192">
      <c r="W6553" s="235" t="n"/>
      <c r="X6553" s="235" t="n"/>
    </row>
    <row r="6554" ht="14.25" customHeight="1" s="192">
      <c r="W6554" s="235" t="n"/>
      <c r="X6554" s="235" t="n"/>
    </row>
    <row r="6555" ht="14.25" customHeight="1" s="192">
      <c r="W6555" s="235" t="n"/>
      <c r="X6555" s="235" t="n"/>
    </row>
    <row r="6556" ht="14.25" customHeight="1" s="192">
      <c r="W6556" s="239" t="n"/>
      <c r="X6556" s="239" t="n"/>
    </row>
    <row r="6557" ht="14.25" customHeight="1" s="192">
      <c r="W6557" s="239" t="n"/>
      <c r="X6557" s="239" t="n"/>
    </row>
    <row r="6558" ht="14.25" customHeight="1" s="192">
      <c r="W6558" s="239" t="n"/>
      <c r="X6558" s="239" t="n"/>
    </row>
    <row r="6559" ht="14.25" customHeight="1" s="192">
      <c r="W6559" s="235" t="n"/>
      <c r="X6559" s="235" t="n"/>
    </row>
    <row r="6560" ht="14.25" customHeight="1" s="192">
      <c r="W6560" s="235" t="n"/>
      <c r="X6560" s="235" t="n"/>
    </row>
    <row r="6561" ht="14.25" customHeight="1" s="192">
      <c r="W6561" s="235" t="n"/>
      <c r="X6561" s="235" t="n"/>
    </row>
    <row r="6562" ht="14.25" customHeight="1" s="192">
      <c r="W6562" s="239" t="n"/>
      <c r="X6562" s="239" t="n"/>
    </row>
    <row r="6563" ht="14.25" customHeight="1" s="192">
      <c r="W6563" s="239" t="n"/>
      <c r="X6563" s="239" t="n"/>
    </row>
    <row r="6564" ht="14.25" customHeight="1" s="192">
      <c r="W6564" s="235" t="n"/>
      <c r="X6564" s="235" t="n"/>
    </row>
    <row r="6565" ht="14.25" customHeight="1" s="192">
      <c r="W6565" s="235" t="n"/>
      <c r="X6565" s="235" t="n"/>
    </row>
    <row r="6566" ht="14.25" customHeight="1" s="192">
      <c r="W6566" s="239" t="n"/>
      <c r="X6566" s="239" t="n"/>
    </row>
    <row r="6567" ht="14.25" customHeight="1" s="192">
      <c r="W6567" s="235" t="n"/>
      <c r="X6567" s="235" t="n"/>
    </row>
    <row r="6568" ht="14.25" customHeight="1" s="192">
      <c r="W6568" s="239" t="n"/>
      <c r="X6568" s="239" t="n"/>
    </row>
    <row r="6570" ht="14.25" customHeight="1" s="192">
      <c r="W6570" s="235" t="n"/>
      <c r="X6570" s="235" t="n"/>
    </row>
    <row r="6571" ht="15" customHeight="1" s="192" thickBot="1">
      <c r="W6571" s="239" t="n"/>
      <c r="X6571" s="239" t="n"/>
    </row>
    <row r="6572" ht="15" customHeight="1" s="192" thickBot="1">
      <c r="W6572" s="45" t="n"/>
      <c r="X6572" s="45" t="n"/>
    </row>
    <row r="6573" ht="14.25" customHeight="1" s="192">
      <c r="W6573" s="228" t="n"/>
      <c r="X6573" s="228" t="n"/>
    </row>
    <row r="6574" ht="14.25" customHeight="1" s="192">
      <c r="W6574" s="228" t="n"/>
      <c r="X6574" s="228" t="n"/>
    </row>
    <row r="6575" ht="14.25" customHeight="1" s="192">
      <c r="W6575" s="231" t="n"/>
      <c r="X6575" s="231" t="n"/>
    </row>
    <row r="6576" ht="14.25" customHeight="1" s="192">
      <c r="W6576" s="33" t="n"/>
      <c r="X6576" s="33" t="n"/>
    </row>
    <row r="6577" ht="14.25" customHeight="1" s="192">
      <c r="W6577" s="231" t="n"/>
      <c r="X6577" s="231" t="n"/>
    </row>
    <row r="6578" ht="14.25" customHeight="1" s="192">
      <c r="W6578" s="33" t="n"/>
      <c r="X6578" s="33" t="n"/>
    </row>
    <row r="6580" ht="14.25" customHeight="1" s="192">
      <c r="W6580" s="231" t="n"/>
      <c r="X6580" s="231" t="n"/>
    </row>
    <row r="6581" ht="14.25" customHeight="1" s="192">
      <c r="W6581" s="235" t="n"/>
      <c r="X6581" s="235" t="n"/>
    </row>
    <row r="6582" ht="14.25" customHeight="1" s="192">
      <c r="W6582" s="228" t="n"/>
      <c r="X6582" s="228" t="n"/>
    </row>
    <row r="6583" ht="14.25" customHeight="1" s="192">
      <c r="W6583" s="235" t="n"/>
      <c r="X6583" s="235" t="n"/>
    </row>
    <row r="6584" ht="14.25" customHeight="1" s="192">
      <c r="W6584" s="235" t="n"/>
      <c r="X6584" s="235" t="n"/>
    </row>
    <row r="6585" ht="14.25" customHeight="1" s="192">
      <c r="W6585" s="235" t="n"/>
      <c r="X6585" s="235" t="n"/>
    </row>
    <row r="6586" ht="14.25" customHeight="1" s="192">
      <c r="W6586" s="239" t="n"/>
      <c r="X6586" s="239" t="n"/>
    </row>
    <row r="6587" ht="14.25" customHeight="1" s="192">
      <c r="W6587" s="239" t="n"/>
      <c r="X6587" s="239" t="n"/>
    </row>
    <row r="6588" ht="14.25" customHeight="1" s="192">
      <c r="W6588" s="239" t="n"/>
      <c r="X6588" s="239" t="n"/>
    </row>
    <row r="6589" ht="14.25" customHeight="1" s="192">
      <c r="W6589" s="235" t="n"/>
      <c r="X6589" s="235" t="n"/>
    </row>
    <row r="6590" ht="14.25" customHeight="1" s="192">
      <c r="W6590" s="235" t="n"/>
      <c r="X6590" s="235" t="n"/>
    </row>
    <row r="6591" ht="14.25" customHeight="1" s="192">
      <c r="W6591" s="235" t="n"/>
      <c r="X6591" s="235" t="n"/>
    </row>
    <row r="6592" ht="14.25" customHeight="1" s="192">
      <c r="W6592" s="239" t="n"/>
      <c r="X6592" s="239" t="n"/>
    </row>
    <row r="6593" ht="14.25" customHeight="1" s="192">
      <c r="W6593" s="239" t="n"/>
      <c r="X6593" s="239" t="n"/>
    </row>
    <row r="6594" ht="14.25" customHeight="1" s="192">
      <c r="W6594" s="235" t="n"/>
      <c r="X6594" s="235" t="n"/>
    </row>
    <row r="6595" ht="14.25" customHeight="1" s="192">
      <c r="W6595" s="235" t="n"/>
      <c r="X6595" s="235" t="n"/>
    </row>
    <row r="6596" ht="14.25" customHeight="1" s="192">
      <c r="W6596" s="239" t="n"/>
      <c r="X6596" s="239" t="n"/>
    </row>
    <row r="6597" ht="14.25" customHeight="1" s="192">
      <c r="W6597" s="235" t="n"/>
      <c r="X6597" s="235" t="n"/>
    </row>
    <row r="6598" ht="14.25" customHeight="1" s="192">
      <c r="W6598" s="239" t="n"/>
      <c r="X6598" s="239" t="n"/>
    </row>
    <row r="6600" ht="14.25" customHeight="1" s="192">
      <c r="W6600" s="235" t="n"/>
      <c r="X6600" s="235" t="n"/>
    </row>
    <row r="6601" ht="15" customHeight="1" s="192" thickBot="1">
      <c r="W6601" s="239" t="n"/>
      <c r="X6601" s="239" t="n"/>
    </row>
    <row r="6602" ht="15" customHeight="1" s="192" thickBot="1">
      <c r="W6602" s="45" t="n"/>
      <c r="X6602" s="45" t="n"/>
    </row>
    <row r="6603" ht="14.25" customHeight="1" s="192">
      <c r="W6603" s="228" t="n"/>
      <c r="X6603" s="228" t="n"/>
    </row>
    <row r="6604" ht="14.25" customHeight="1" s="192">
      <c r="W6604" s="228" t="n"/>
      <c r="X6604" s="228" t="n"/>
    </row>
    <row r="6605" ht="14.25" customHeight="1" s="192">
      <c r="W6605" s="231" t="n"/>
      <c r="X6605" s="231" t="n"/>
    </row>
    <row r="6606" ht="14.25" customHeight="1" s="192">
      <c r="W6606" s="33" t="n"/>
      <c r="X6606" s="33" t="n"/>
    </row>
    <row r="6607" ht="14.25" customHeight="1" s="192">
      <c r="W6607" s="231" t="n"/>
      <c r="X6607" s="231" t="n"/>
    </row>
    <row r="6608" ht="14.25" customHeight="1" s="192">
      <c r="W6608" s="33" t="n"/>
      <c r="X6608" s="33" t="n"/>
    </row>
    <row r="6610" ht="14.25" customHeight="1" s="192">
      <c r="W6610" s="231" t="n"/>
      <c r="X6610" s="231" t="n"/>
    </row>
    <row r="6611" ht="14.25" customHeight="1" s="192">
      <c r="W6611" s="235" t="n"/>
      <c r="X6611" s="235" t="n"/>
    </row>
    <row r="6612" ht="14.25" customHeight="1" s="192">
      <c r="W6612" s="228" t="n"/>
      <c r="X6612" s="228" t="n"/>
    </row>
    <row r="6613" ht="14.25" customHeight="1" s="192">
      <c r="W6613" s="235" t="n"/>
      <c r="X6613" s="235" t="n"/>
    </row>
    <row r="6614" ht="14.25" customHeight="1" s="192">
      <c r="W6614" s="235" t="n"/>
      <c r="X6614" s="235" t="n"/>
    </row>
    <row r="6615" ht="14.25" customHeight="1" s="192">
      <c r="W6615" s="235" t="n"/>
      <c r="X6615" s="235" t="n"/>
    </row>
    <row r="6616" ht="14.25" customHeight="1" s="192">
      <c r="W6616" s="239" t="n"/>
      <c r="X6616" s="239" t="n"/>
    </row>
    <row r="6617" ht="14.25" customHeight="1" s="192">
      <c r="W6617" s="239" t="n"/>
      <c r="X6617" s="239" t="n"/>
    </row>
    <row r="6618" ht="14.25" customHeight="1" s="192">
      <c r="W6618" s="239" t="n"/>
      <c r="X6618" s="239" t="n"/>
    </row>
    <row r="6619" ht="14.25" customHeight="1" s="192">
      <c r="W6619" s="235" t="n"/>
      <c r="X6619" s="235" t="n"/>
    </row>
    <row r="6620" ht="14.25" customHeight="1" s="192">
      <c r="W6620" s="235" t="n"/>
      <c r="X6620" s="235" t="n"/>
    </row>
    <row r="6621" ht="14.25" customHeight="1" s="192">
      <c r="W6621" s="235" t="n"/>
      <c r="X6621" s="235" t="n"/>
    </row>
    <row r="6622" ht="14.25" customHeight="1" s="192">
      <c r="W6622" s="239" t="n"/>
      <c r="X6622" s="239" t="n"/>
    </row>
    <row r="6623" ht="14.25" customHeight="1" s="192">
      <c r="W6623" s="239" t="n"/>
      <c r="X6623" s="239" t="n"/>
    </row>
    <row r="6624" ht="14.25" customHeight="1" s="192">
      <c r="W6624" s="235" t="n"/>
      <c r="X6624" s="235" t="n"/>
    </row>
    <row r="6625" ht="14.25" customHeight="1" s="192">
      <c r="W6625" s="235" t="n"/>
      <c r="X6625" s="235" t="n"/>
    </row>
    <row r="6626" ht="14.25" customHeight="1" s="192">
      <c r="W6626" s="239" t="n"/>
      <c r="X6626" s="239" t="n"/>
    </row>
    <row r="6627" ht="14.25" customHeight="1" s="192">
      <c r="W6627" s="235" t="n"/>
      <c r="X6627" s="235" t="n"/>
    </row>
    <row r="6628" ht="14.25" customHeight="1" s="192">
      <c r="W6628" s="239" t="n"/>
      <c r="X6628" s="239" t="n"/>
    </row>
    <row r="6630" ht="14.25" customHeight="1" s="192">
      <c r="W6630" s="235" t="n"/>
      <c r="X6630" s="235" t="n"/>
    </row>
    <row r="6631" ht="15" customHeight="1" s="192" thickBot="1">
      <c r="W6631" s="239" t="n"/>
      <c r="X6631" s="239" t="n"/>
    </row>
    <row r="6632" ht="15" customHeight="1" s="192" thickBot="1">
      <c r="W6632" s="45" t="n"/>
      <c r="X6632" s="45" t="n"/>
    </row>
    <row r="6633" ht="14.25" customHeight="1" s="192">
      <c r="W6633" s="228" t="n"/>
      <c r="X6633" s="228" t="n"/>
    </row>
    <row r="6634" ht="14.25" customHeight="1" s="192">
      <c r="W6634" s="228" t="n"/>
      <c r="X6634" s="228" t="n"/>
    </row>
    <row r="6635" ht="14.25" customHeight="1" s="192">
      <c r="W6635" s="231" t="n"/>
      <c r="X6635" s="231" t="n"/>
    </row>
    <row r="6636" ht="14.25" customHeight="1" s="192">
      <c r="W6636" s="33" t="n"/>
      <c r="X6636" s="33" t="n"/>
    </row>
    <row r="6637" ht="14.25" customHeight="1" s="192">
      <c r="W6637" s="231" t="n"/>
      <c r="X6637" s="231" t="n"/>
    </row>
    <row r="6638" ht="14.25" customHeight="1" s="192">
      <c r="W6638" s="33" t="n"/>
      <c r="X6638" s="33" t="n"/>
    </row>
    <row r="6640" ht="14.25" customHeight="1" s="192">
      <c r="W6640" s="231" t="n"/>
      <c r="X6640" s="231" t="n"/>
    </row>
    <row r="6641" ht="14.25" customHeight="1" s="192">
      <c r="W6641" s="235" t="n"/>
      <c r="X6641" s="235" t="n"/>
    </row>
    <row r="6642" ht="14.25" customHeight="1" s="192">
      <c r="W6642" s="228" t="n"/>
      <c r="X6642" s="228" t="n"/>
    </row>
    <row r="6643" ht="14.25" customHeight="1" s="192">
      <c r="W6643" s="235" t="n"/>
      <c r="X6643" s="235" t="n"/>
    </row>
    <row r="6644" ht="14.25" customHeight="1" s="192">
      <c r="W6644" s="235" t="n"/>
      <c r="X6644" s="235" t="n"/>
    </row>
    <row r="6645" ht="14.25" customHeight="1" s="192">
      <c r="W6645" s="235" t="n"/>
      <c r="X6645" s="235" t="n"/>
    </row>
    <row r="6646" ht="14.25" customHeight="1" s="192">
      <c r="W6646" s="239" t="n"/>
      <c r="X6646" s="239" t="n"/>
    </row>
    <row r="6647" ht="14.25" customHeight="1" s="192">
      <c r="W6647" s="239" t="n"/>
      <c r="X6647" s="239" t="n"/>
    </row>
    <row r="6648" ht="14.25" customHeight="1" s="192">
      <c r="W6648" s="239" t="n"/>
      <c r="X6648" s="239" t="n"/>
    </row>
    <row r="6649" ht="14.25" customHeight="1" s="192">
      <c r="W6649" s="235" t="n"/>
      <c r="X6649" s="235" t="n"/>
    </row>
    <row r="6650" ht="14.25" customHeight="1" s="192">
      <c r="W6650" s="235" t="n"/>
      <c r="X6650" s="235" t="n"/>
    </row>
    <row r="6651" ht="14.25" customHeight="1" s="192">
      <c r="W6651" s="235" t="n"/>
      <c r="X6651" s="235" t="n"/>
    </row>
    <row r="6652" ht="14.25" customHeight="1" s="192">
      <c r="W6652" s="239" t="n"/>
      <c r="X6652" s="239" t="n"/>
    </row>
    <row r="6653" ht="14.25" customHeight="1" s="192">
      <c r="W6653" s="239" t="n"/>
      <c r="X6653" s="239" t="n"/>
    </row>
    <row r="6654" ht="14.25" customHeight="1" s="192">
      <c r="W6654" s="235" t="n"/>
      <c r="X6654" s="235" t="n"/>
    </row>
    <row r="6655" ht="14.25" customHeight="1" s="192">
      <c r="W6655" s="235" t="n"/>
      <c r="X6655" s="235" t="n"/>
    </row>
    <row r="6656" ht="14.25" customHeight="1" s="192">
      <c r="W6656" s="239" t="n"/>
      <c r="X6656" s="239" t="n"/>
    </row>
    <row r="6657" ht="14.25" customHeight="1" s="192">
      <c r="W6657" s="235" t="n"/>
      <c r="X6657" s="235" t="n"/>
    </row>
    <row r="6658" ht="14.25" customHeight="1" s="192">
      <c r="W6658" s="239" t="n"/>
      <c r="X6658" s="239" t="n"/>
    </row>
    <row r="6660" ht="14.25" customHeight="1" s="192">
      <c r="W6660" s="235" t="n"/>
      <c r="X6660" s="235" t="n"/>
    </row>
    <row r="6661" ht="15" customHeight="1" s="192" thickBot="1">
      <c r="W6661" s="239" t="n"/>
      <c r="X6661" s="239" t="n"/>
    </row>
    <row r="6662" ht="15" customHeight="1" s="192" thickBot="1">
      <c r="W6662" s="45" t="n"/>
      <c r="X6662" s="45" t="n"/>
    </row>
    <row r="6663" ht="14.25" customHeight="1" s="192">
      <c r="W6663" s="228" t="n"/>
      <c r="X6663" s="228" t="n"/>
    </row>
    <row r="6664" ht="14.25" customHeight="1" s="192">
      <c r="W6664" s="228" t="n"/>
      <c r="X6664" s="228" t="n"/>
    </row>
    <row r="6665" ht="14.25" customHeight="1" s="192">
      <c r="W6665" s="231" t="n"/>
      <c r="X6665" s="231" t="n"/>
    </row>
    <row r="6666" ht="14.25" customHeight="1" s="192">
      <c r="W6666" s="33" t="n"/>
      <c r="X6666" s="33" t="n"/>
    </row>
    <row r="6667" ht="14.25" customHeight="1" s="192">
      <c r="W6667" s="231" t="n"/>
      <c r="X6667" s="231" t="n"/>
    </row>
    <row r="6668" ht="14.25" customHeight="1" s="192">
      <c r="W6668" s="33" t="n"/>
      <c r="X6668" s="33" t="n"/>
    </row>
    <row r="6670" ht="14.25" customHeight="1" s="192">
      <c r="W6670" s="231" t="n"/>
      <c r="X6670" s="231" t="n"/>
    </row>
    <row r="6671" ht="14.25" customHeight="1" s="192">
      <c r="W6671" s="235" t="n"/>
      <c r="X6671" s="235" t="n"/>
    </row>
    <row r="6672" ht="14.25" customHeight="1" s="192">
      <c r="W6672" s="228" t="n"/>
      <c r="X6672" s="228" t="n"/>
    </row>
    <row r="6673" ht="14.25" customHeight="1" s="192">
      <c r="W6673" s="235" t="n"/>
      <c r="X6673" s="235" t="n"/>
    </row>
    <row r="6674" ht="14.25" customHeight="1" s="192">
      <c r="W6674" s="235" t="n"/>
      <c r="X6674" s="235" t="n"/>
    </row>
    <row r="6675" ht="14.25" customHeight="1" s="192">
      <c r="W6675" s="235" t="n"/>
      <c r="X6675" s="235" t="n"/>
    </row>
    <row r="6676" ht="14.25" customHeight="1" s="192">
      <c r="W6676" s="239" t="n"/>
      <c r="X6676" s="239" t="n"/>
    </row>
    <row r="6677" ht="14.25" customHeight="1" s="192">
      <c r="W6677" s="239" t="n"/>
      <c r="X6677" s="239" t="n"/>
    </row>
    <row r="6678" ht="14.25" customHeight="1" s="192">
      <c r="W6678" s="239" t="n"/>
      <c r="X6678" s="239" t="n"/>
    </row>
    <row r="6679" ht="14.25" customHeight="1" s="192">
      <c r="W6679" s="235" t="n"/>
      <c r="X6679" s="235" t="n"/>
    </row>
    <row r="6680" ht="14.25" customHeight="1" s="192">
      <c r="W6680" s="235" t="n"/>
      <c r="X6680" s="235" t="n"/>
    </row>
    <row r="6681" ht="14.25" customHeight="1" s="192">
      <c r="W6681" s="235" t="n"/>
      <c r="X6681" s="235" t="n"/>
    </row>
    <row r="6682" ht="14.25" customHeight="1" s="192">
      <c r="W6682" s="239" t="n"/>
      <c r="X6682" s="239" t="n"/>
    </row>
    <row r="6683" ht="14.25" customHeight="1" s="192">
      <c r="W6683" s="239" t="n"/>
      <c r="X6683" s="239" t="n"/>
    </row>
    <row r="6684" ht="14.25" customHeight="1" s="192">
      <c r="W6684" s="235" t="n"/>
      <c r="X6684" s="235" t="n"/>
    </row>
    <row r="6685" ht="14.25" customHeight="1" s="192">
      <c r="W6685" s="235" t="n"/>
      <c r="X6685" s="235" t="n"/>
    </row>
    <row r="6686" ht="14.25" customHeight="1" s="192">
      <c r="W6686" s="239" t="n"/>
      <c r="X6686" s="239" t="n"/>
    </row>
    <row r="6687" ht="14.25" customHeight="1" s="192">
      <c r="W6687" s="235" t="n"/>
      <c r="X6687" s="235" t="n"/>
    </row>
    <row r="6688" ht="14.25" customHeight="1" s="192">
      <c r="W6688" s="239" t="n"/>
      <c r="X6688" s="239" t="n"/>
    </row>
    <row r="6690" ht="14.25" customHeight="1" s="192">
      <c r="W6690" s="235" t="n"/>
      <c r="X6690" s="235" t="n"/>
    </row>
    <row r="6691" ht="15" customHeight="1" s="192" thickBot="1">
      <c r="W6691" s="239" t="n"/>
      <c r="X6691" s="239" t="n"/>
    </row>
    <row r="6692" ht="15" customHeight="1" s="192" thickBot="1">
      <c r="W6692" s="45" t="n"/>
      <c r="X6692" s="45" t="n"/>
    </row>
    <row r="6693" ht="14.25" customHeight="1" s="192">
      <c r="W6693" s="228" t="n"/>
      <c r="X6693" s="228" t="n"/>
    </row>
    <row r="6694" ht="14.25" customHeight="1" s="192">
      <c r="W6694" s="228" t="n"/>
      <c r="X6694" s="228" t="n"/>
    </row>
    <row r="6695" ht="14.25" customHeight="1" s="192">
      <c r="W6695" s="231" t="n"/>
      <c r="X6695" s="231" t="n"/>
    </row>
    <row r="6696" ht="14.25" customHeight="1" s="192">
      <c r="W6696" s="33" t="n"/>
      <c r="X6696" s="33" t="n"/>
    </row>
    <row r="6697" ht="14.25" customHeight="1" s="192">
      <c r="W6697" s="231" t="n"/>
      <c r="X6697" s="231" t="n"/>
    </row>
    <row r="6698" ht="14.25" customHeight="1" s="192">
      <c r="W6698" s="33" t="n"/>
      <c r="X6698" s="33" t="n"/>
    </row>
    <row r="6700" ht="14.25" customHeight="1" s="192">
      <c r="W6700" s="231" t="n"/>
      <c r="X6700" s="231" t="n"/>
    </row>
    <row r="6701" ht="14.25" customHeight="1" s="192">
      <c r="W6701" s="235" t="n"/>
      <c r="X6701" s="235" t="n"/>
    </row>
    <row r="6702" ht="14.25" customHeight="1" s="192">
      <c r="W6702" s="228" t="n"/>
      <c r="X6702" s="228" t="n"/>
    </row>
    <row r="6703" ht="14.25" customHeight="1" s="192">
      <c r="W6703" s="235" t="n"/>
      <c r="X6703" s="235" t="n"/>
    </row>
    <row r="6704" ht="14.25" customHeight="1" s="192">
      <c r="W6704" s="235" t="n"/>
      <c r="X6704" s="235" t="n"/>
    </row>
    <row r="6705" ht="14.25" customHeight="1" s="192">
      <c r="W6705" s="235" t="n"/>
      <c r="X6705" s="235" t="n"/>
    </row>
    <row r="6706" ht="14.25" customHeight="1" s="192">
      <c r="W6706" s="239" t="n"/>
      <c r="X6706" s="239" t="n"/>
    </row>
    <row r="6707" ht="14.25" customHeight="1" s="192">
      <c r="W6707" s="239" t="n"/>
      <c r="X6707" s="239" t="n"/>
    </row>
    <row r="6708" ht="14.25" customHeight="1" s="192">
      <c r="W6708" s="239" t="n"/>
      <c r="X6708" s="239" t="n"/>
    </row>
    <row r="6709" ht="14.25" customHeight="1" s="192">
      <c r="W6709" s="235" t="n"/>
      <c r="X6709" s="235" t="n"/>
    </row>
    <row r="6710" ht="14.25" customHeight="1" s="192">
      <c r="W6710" s="235" t="n"/>
      <c r="X6710" s="235" t="n"/>
    </row>
    <row r="6711" ht="14.25" customHeight="1" s="192">
      <c r="W6711" s="235" t="n"/>
      <c r="X6711" s="235" t="n"/>
    </row>
    <row r="6712" ht="14.25" customHeight="1" s="192">
      <c r="W6712" s="239" t="n"/>
      <c r="X6712" s="239" t="n"/>
    </row>
    <row r="6713" ht="14.25" customHeight="1" s="192">
      <c r="W6713" s="239" t="n"/>
      <c r="X6713" s="239" t="n"/>
    </row>
    <row r="6714" ht="14.25" customHeight="1" s="192">
      <c r="W6714" s="235" t="n"/>
      <c r="X6714" s="235" t="n"/>
    </row>
    <row r="6715" ht="14.25" customHeight="1" s="192">
      <c r="W6715" s="235" t="n"/>
      <c r="X6715" s="235" t="n"/>
    </row>
    <row r="6716" ht="14.25" customHeight="1" s="192">
      <c r="W6716" s="239" t="n"/>
      <c r="X6716" s="239" t="n"/>
    </row>
    <row r="6717" ht="14.25" customHeight="1" s="192">
      <c r="W6717" s="235" t="n"/>
      <c r="X6717" s="235" t="n"/>
    </row>
    <row r="6718" ht="14.25" customHeight="1" s="192">
      <c r="W6718" s="239" t="n"/>
      <c r="X6718" s="239" t="n"/>
    </row>
    <row r="6720" ht="14.25" customHeight="1" s="192">
      <c r="W6720" s="235" t="n"/>
      <c r="X6720" s="235" t="n"/>
    </row>
    <row r="6721" ht="15" customHeight="1" s="192" thickBot="1">
      <c r="W6721" s="239" t="n"/>
      <c r="X6721" s="239" t="n"/>
    </row>
    <row r="6722" ht="15" customHeight="1" s="192" thickBot="1">
      <c r="W6722" s="45" t="n"/>
      <c r="X6722" s="45" t="n"/>
    </row>
    <row r="6723" ht="14.25" customHeight="1" s="192">
      <c r="W6723" s="228" t="n"/>
      <c r="X6723" s="228" t="n"/>
    </row>
    <row r="6724" ht="14.25" customHeight="1" s="192">
      <c r="W6724" s="228" t="n"/>
      <c r="X6724" s="228" t="n"/>
    </row>
    <row r="6725" ht="14.25" customHeight="1" s="192">
      <c r="W6725" s="231" t="n"/>
      <c r="X6725" s="231" t="n"/>
    </row>
    <row r="6726" ht="14.25" customHeight="1" s="192">
      <c r="W6726" s="33" t="n"/>
      <c r="X6726" s="33" t="n"/>
    </row>
    <row r="6727" ht="14.25" customHeight="1" s="192">
      <c r="W6727" s="231" t="n"/>
      <c r="X6727" s="231" t="n"/>
    </row>
    <row r="6728" ht="14.25" customHeight="1" s="192">
      <c r="W6728" s="33" t="n"/>
      <c r="X6728" s="33" t="n"/>
    </row>
    <row r="6730" ht="14.25" customHeight="1" s="192">
      <c r="W6730" s="231" t="n"/>
      <c r="X6730" s="231" t="n"/>
    </row>
    <row r="6731" ht="14.25" customHeight="1" s="192">
      <c r="W6731" s="235" t="n"/>
      <c r="X6731" s="235" t="n"/>
    </row>
    <row r="6732" ht="14.25" customHeight="1" s="192">
      <c r="W6732" s="228" t="n"/>
      <c r="X6732" s="228" t="n"/>
    </row>
    <row r="6733" ht="14.25" customHeight="1" s="192">
      <c r="W6733" s="235" t="n"/>
      <c r="X6733" s="235" t="n"/>
    </row>
    <row r="6734" ht="14.25" customHeight="1" s="192">
      <c r="W6734" s="235" t="n"/>
      <c r="X6734" s="235" t="n"/>
    </row>
    <row r="6735" ht="14.25" customHeight="1" s="192">
      <c r="W6735" s="235" t="n"/>
      <c r="X6735" s="235" t="n"/>
    </row>
    <row r="6736" ht="14.25" customHeight="1" s="192">
      <c r="W6736" s="239" t="n"/>
      <c r="X6736" s="239" t="n"/>
    </row>
    <row r="6737" ht="14.25" customHeight="1" s="192">
      <c r="W6737" s="239" t="n"/>
      <c r="X6737" s="239" t="n"/>
    </row>
    <row r="6738" ht="14.25" customHeight="1" s="192">
      <c r="W6738" s="239" t="n"/>
      <c r="X6738" s="239" t="n"/>
    </row>
    <row r="6739" ht="14.25" customHeight="1" s="192">
      <c r="W6739" s="235" t="n"/>
      <c r="X6739" s="235" t="n"/>
    </row>
    <row r="6740" ht="14.25" customHeight="1" s="192">
      <c r="W6740" s="235" t="n"/>
      <c r="X6740" s="235" t="n"/>
    </row>
    <row r="6741" ht="14.25" customHeight="1" s="192">
      <c r="W6741" s="235" t="n"/>
      <c r="X6741" s="235" t="n"/>
    </row>
    <row r="6742" ht="14.25" customHeight="1" s="192">
      <c r="W6742" s="239" t="n"/>
      <c r="X6742" s="239" t="n"/>
    </row>
    <row r="6743" ht="14.25" customHeight="1" s="192">
      <c r="W6743" s="239" t="n"/>
      <c r="X6743" s="239" t="n"/>
    </row>
    <row r="6744" ht="14.25" customHeight="1" s="192">
      <c r="W6744" s="235" t="n"/>
      <c r="X6744" s="235" t="n"/>
    </row>
    <row r="6745" ht="14.25" customHeight="1" s="192">
      <c r="W6745" s="235" t="n"/>
      <c r="X6745" s="235" t="n"/>
    </row>
    <row r="6746" ht="14.25" customHeight="1" s="192">
      <c r="W6746" s="239" t="n"/>
      <c r="X6746" s="239" t="n"/>
    </row>
    <row r="6747" ht="14.25" customHeight="1" s="192">
      <c r="W6747" s="235" t="n"/>
      <c r="X6747" s="235" t="n"/>
    </row>
    <row r="6748" ht="14.25" customHeight="1" s="192">
      <c r="W6748" s="239" t="n"/>
      <c r="X6748" s="239" t="n"/>
    </row>
    <row r="6750" ht="14.25" customHeight="1" s="192">
      <c r="W6750" s="235" t="n"/>
      <c r="X6750" s="235" t="n"/>
    </row>
    <row r="6751" ht="15" customHeight="1" s="192" thickBot="1">
      <c r="W6751" s="239" t="n"/>
      <c r="X6751" s="239" t="n"/>
    </row>
    <row r="6752" ht="15" customHeight="1" s="192" thickBot="1">
      <c r="W6752" s="45" t="n"/>
      <c r="X6752" s="45" t="n"/>
    </row>
    <row r="6753" ht="14.25" customHeight="1" s="192">
      <c r="W6753" s="228" t="n"/>
      <c r="X6753" s="228" t="n"/>
    </row>
    <row r="6754" ht="14.25" customHeight="1" s="192">
      <c r="W6754" s="228" t="n"/>
      <c r="X6754" s="228" t="n"/>
    </row>
    <row r="6755" ht="14.25" customHeight="1" s="192">
      <c r="W6755" s="231" t="n"/>
      <c r="X6755" s="231" t="n"/>
    </row>
    <row r="6756" ht="14.25" customHeight="1" s="192">
      <c r="W6756" s="33" t="n"/>
      <c r="X6756" s="33" t="n"/>
    </row>
    <row r="6757" ht="14.25" customHeight="1" s="192">
      <c r="W6757" s="231" t="n"/>
      <c r="X6757" s="231" t="n"/>
    </row>
    <row r="6758" ht="14.25" customHeight="1" s="192">
      <c r="W6758" s="33" t="n"/>
      <c r="X6758" s="33" t="n"/>
    </row>
    <row r="6760" ht="14.25" customHeight="1" s="192">
      <c r="W6760" s="231" t="n"/>
      <c r="X6760" s="231" t="n"/>
    </row>
    <row r="6761" ht="14.25" customHeight="1" s="192">
      <c r="W6761" s="235" t="n"/>
      <c r="X6761" s="235" t="n"/>
    </row>
    <row r="6762" ht="14.25" customHeight="1" s="192">
      <c r="W6762" s="228" t="n"/>
      <c r="X6762" s="228" t="n"/>
    </row>
    <row r="6763" ht="14.25" customHeight="1" s="192">
      <c r="W6763" s="235" t="n"/>
      <c r="X6763" s="235" t="n"/>
    </row>
    <row r="6764" ht="14.25" customHeight="1" s="192">
      <c r="W6764" s="235" t="n"/>
      <c r="X6764" s="235" t="n"/>
    </row>
    <row r="6765" ht="14.25" customHeight="1" s="192">
      <c r="W6765" s="235" t="n"/>
      <c r="X6765" s="235" t="n"/>
    </row>
    <row r="6766" ht="14.25" customHeight="1" s="192">
      <c r="W6766" s="239" t="n"/>
      <c r="X6766" s="239" t="n"/>
    </row>
    <row r="6767" ht="14.25" customHeight="1" s="192">
      <c r="W6767" s="239" t="n"/>
      <c r="X6767" s="239" t="n"/>
    </row>
    <row r="6768" ht="14.25" customHeight="1" s="192">
      <c r="W6768" s="239" t="n"/>
      <c r="X6768" s="239" t="n"/>
    </row>
    <row r="6769" ht="14.25" customHeight="1" s="192">
      <c r="W6769" s="235" t="n"/>
      <c r="X6769" s="235" t="n"/>
    </row>
    <row r="6770" ht="14.25" customHeight="1" s="192">
      <c r="W6770" s="235" t="n"/>
      <c r="X6770" s="235" t="n"/>
    </row>
    <row r="6771" ht="14.25" customHeight="1" s="192">
      <c r="W6771" s="235" t="n"/>
      <c r="X6771" s="235" t="n"/>
    </row>
    <row r="6772" ht="14.25" customHeight="1" s="192">
      <c r="W6772" s="239" t="n"/>
      <c r="X6772" s="239" t="n"/>
    </row>
    <row r="6773" ht="14.25" customHeight="1" s="192">
      <c r="W6773" s="239" t="n"/>
      <c r="X6773" s="239" t="n"/>
    </row>
    <row r="6774" ht="14.25" customHeight="1" s="192">
      <c r="W6774" s="235" t="n"/>
      <c r="X6774" s="235" t="n"/>
    </row>
    <row r="6775" ht="14.25" customHeight="1" s="192">
      <c r="W6775" s="235" t="n"/>
      <c r="X6775" s="235" t="n"/>
    </row>
    <row r="6776" ht="14.25" customHeight="1" s="192">
      <c r="W6776" s="239" t="n"/>
      <c r="X6776" s="239" t="n"/>
    </row>
    <row r="6777" ht="14.25" customHeight="1" s="192">
      <c r="W6777" s="235" t="n"/>
      <c r="X6777" s="235" t="n"/>
    </row>
    <row r="6778" ht="14.25" customHeight="1" s="192">
      <c r="W6778" s="239" t="n"/>
      <c r="X6778" s="239" t="n"/>
    </row>
    <row r="6780" ht="14.25" customHeight="1" s="192">
      <c r="W6780" s="235" t="n"/>
      <c r="X6780" s="235" t="n"/>
    </row>
    <row r="6781" ht="15" customHeight="1" s="192" thickBot="1">
      <c r="W6781" s="239" t="n"/>
      <c r="X6781" s="239" t="n"/>
    </row>
    <row r="6782" ht="15" customHeight="1" s="192" thickBot="1">
      <c r="W6782" s="45" t="n"/>
      <c r="X6782" s="45" t="n"/>
    </row>
    <row r="6783" ht="14.25" customHeight="1" s="192">
      <c r="W6783" s="228" t="n"/>
      <c r="X6783" s="228" t="n"/>
    </row>
    <row r="6784" ht="14.25" customHeight="1" s="192">
      <c r="W6784" s="228" t="n"/>
      <c r="X6784" s="228" t="n"/>
    </row>
    <row r="6785" ht="14.25" customHeight="1" s="192">
      <c r="W6785" s="231" t="n"/>
      <c r="X6785" s="231" t="n"/>
    </row>
    <row r="6786" ht="14.25" customHeight="1" s="192">
      <c r="W6786" s="33" t="n"/>
      <c r="X6786" s="33" t="n"/>
    </row>
    <row r="6787" ht="14.25" customHeight="1" s="192">
      <c r="W6787" s="231" t="n"/>
      <c r="X6787" s="231" t="n"/>
    </row>
    <row r="6788" ht="14.25" customHeight="1" s="192">
      <c r="W6788" s="33" t="n"/>
      <c r="X6788" s="33" t="n"/>
    </row>
    <row r="6790" ht="14.25" customHeight="1" s="192">
      <c r="W6790" s="231" t="n"/>
      <c r="X6790" s="231" t="n"/>
    </row>
    <row r="6791" ht="14.25" customHeight="1" s="192">
      <c r="W6791" s="235" t="n"/>
      <c r="X6791" s="235" t="n"/>
    </row>
    <row r="6792" ht="14.25" customHeight="1" s="192">
      <c r="W6792" s="228" t="n"/>
      <c r="X6792" s="228" t="n"/>
    </row>
    <row r="6793" ht="14.25" customHeight="1" s="192">
      <c r="W6793" s="235" t="n"/>
      <c r="X6793" s="235" t="n"/>
    </row>
    <row r="6794" ht="14.25" customHeight="1" s="192">
      <c r="W6794" s="235" t="n"/>
      <c r="X6794" s="235" t="n"/>
    </row>
    <row r="6795" ht="14.25" customHeight="1" s="192">
      <c r="W6795" s="235" t="n"/>
      <c r="X6795" s="235" t="n"/>
    </row>
    <row r="6796" ht="14.25" customHeight="1" s="192">
      <c r="W6796" s="239" t="n"/>
      <c r="X6796" s="239" t="n"/>
    </row>
    <row r="6797" ht="14.25" customHeight="1" s="192">
      <c r="W6797" s="239" t="n"/>
      <c r="X6797" s="239" t="n"/>
    </row>
    <row r="6798" ht="14.25" customHeight="1" s="192">
      <c r="W6798" s="239" t="n"/>
      <c r="X6798" s="239" t="n"/>
    </row>
    <row r="6799" ht="14.25" customHeight="1" s="192">
      <c r="W6799" s="235" t="n"/>
      <c r="X6799" s="235" t="n"/>
    </row>
    <row r="6800" ht="14.25" customHeight="1" s="192">
      <c r="W6800" s="235" t="n"/>
      <c r="X6800" s="235" t="n"/>
    </row>
    <row r="6801" ht="14.25" customHeight="1" s="192">
      <c r="W6801" s="235" t="n"/>
      <c r="X6801" s="235" t="n"/>
    </row>
    <row r="6802" ht="14.25" customHeight="1" s="192">
      <c r="W6802" s="239" t="n"/>
      <c r="X6802" s="239" t="n"/>
    </row>
    <row r="6803" ht="14.25" customHeight="1" s="192">
      <c r="W6803" s="239" t="n"/>
      <c r="X6803" s="239" t="n"/>
    </row>
    <row r="6804" ht="14.25" customHeight="1" s="192">
      <c r="W6804" s="235" t="n"/>
      <c r="X6804" s="235" t="n"/>
    </row>
    <row r="6805" ht="14.25" customHeight="1" s="192">
      <c r="W6805" s="235" t="n"/>
      <c r="X6805" s="235" t="n"/>
    </row>
    <row r="6806" ht="14.25" customHeight="1" s="192">
      <c r="W6806" s="239" t="n"/>
      <c r="X6806" s="239" t="n"/>
    </row>
    <row r="6807" ht="14.25" customHeight="1" s="192">
      <c r="W6807" s="235" t="n"/>
      <c r="X6807" s="235" t="n"/>
    </row>
    <row r="6808" ht="14.25" customHeight="1" s="192">
      <c r="W6808" s="239" t="n"/>
      <c r="X6808" s="239" t="n"/>
    </row>
    <row r="6810" ht="14.25" customHeight="1" s="192">
      <c r="W6810" s="235" t="n"/>
      <c r="X6810" s="235" t="n"/>
    </row>
    <row r="6811" ht="15" customHeight="1" s="192" thickBot="1">
      <c r="W6811" s="239" t="n"/>
      <c r="X6811" s="239" t="n"/>
    </row>
    <row r="6812" ht="15" customHeight="1" s="192" thickBot="1">
      <c r="W6812" s="45" t="n"/>
      <c r="X6812" s="45" t="n"/>
    </row>
    <row r="6813" ht="14.25" customHeight="1" s="192">
      <c r="W6813" s="228" t="n"/>
      <c r="X6813" s="228" t="n"/>
    </row>
    <row r="6814" ht="14.25" customHeight="1" s="192">
      <c r="W6814" s="228" t="n"/>
      <c r="X6814" s="228" t="n"/>
    </row>
    <row r="6815" ht="14.25" customHeight="1" s="192">
      <c r="W6815" s="231" t="n"/>
      <c r="X6815" s="231" t="n"/>
    </row>
    <row r="6816" ht="14.25" customHeight="1" s="192">
      <c r="W6816" s="33" t="n"/>
      <c r="X6816" s="33" t="n"/>
    </row>
    <row r="6817" ht="14.25" customHeight="1" s="192">
      <c r="W6817" s="231" t="n"/>
      <c r="X6817" s="231" t="n"/>
    </row>
    <row r="6818" ht="14.25" customHeight="1" s="192">
      <c r="W6818" s="33" t="n"/>
      <c r="X6818" s="33" t="n"/>
    </row>
    <row r="6820" ht="14.25" customHeight="1" s="192">
      <c r="W6820" s="231" t="n"/>
      <c r="X6820" s="231" t="n"/>
    </row>
    <row r="6821" ht="14.25" customHeight="1" s="192">
      <c r="W6821" s="235" t="n"/>
      <c r="X6821" s="235" t="n"/>
    </row>
    <row r="6822" ht="14.25" customHeight="1" s="192">
      <c r="W6822" s="228" t="n"/>
      <c r="X6822" s="228" t="n"/>
    </row>
    <row r="6823" ht="14.25" customHeight="1" s="192">
      <c r="W6823" s="235" t="n"/>
      <c r="X6823" s="235" t="n"/>
    </row>
    <row r="6824" ht="14.25" customHeight="1" s="192">
      <c r="W6824" s="235" t="n"/>
      <c r="X6824" s="235" t="n"/>
    </row>
    <row r="6825" ht="14.25" customHeight="1" s="192">
      <c r="W6825" s="235" t="n"/>
      <c r="X6825" s="235" t="n"/>
    </row>
    <row r="6826" ht="14.25" customHeight="1" s="192">
      <c r="W6826" s="239" t="n"/>
      <c r="X6826" s="239" t="n"/>
    </row>
    <row r="6827" ht="14.25" customHeight="1" s="192">
      <c r="W6827" s="239" t="n"/>
      <c r="X6827" s="239" t="n"/>
    </row>
    <row r="6828" ht="14.25" customHeight="1" s="192">
      <c r="W6828" s="239" t="n"/>
      <c r="X6828" s="239" t="n"/>
    </row>
    <row r="6829" ht="14.25" customHeight="1" s="192">
      <c r="W6829" s="235" t="n"/>
      <c r="X6829" s="235" t="n"/>
    </row>
    <row r="6830" ht="14.25" customHeight="1" s="192">
      <c r="W6830" s="235" t="n"/>
      <c r="X6830" s="235" t="n"/>
    </row>
    <row r="6831" ht="14.25" customHeight="1" s="192">
      <c r="W6831" s="235" t="n"/>
      <c r="X6831" s="235" t="n"/>
    </row>
    <row r="6832" ht="14.25" customHeight="1" s="192">
      <c r="W6832" s="239" t="n"/>
      <c r="X6832" s="239" t="n"/>
    </row>
    <row r="6833" ht="14.25" customHeight="1" s="192">
      <c r="W6833" s="239" t="n"/>
      <c r="X6833" s="239" t="n"/>
    </row>
    <row r="6834" ht="14.25" customHeight="1" s="192">
      <c r="W6834" s="235" t="n"/>
      <c r="X6834" s="235" t="n"/>
    </row>
    <row r="6835" ht="14.25" customHeight="1" s="192">
      <c r="W6835" s="235" t="n"/>
      <c r="X6835" s="235" t="n"/>
    </row>
    <row r="6836" ht="14.25" customHeight="1" s="192">
      <c r="W6836" s="239" t="n"/>
      <c r="X6836" s="239" t="n"/>
    </row>
    <row r="6837" ht="14.25" customHeight="1" s="192">
      <c r="W6837" s="235" t="n"/>
      <c r="X6837" s="235" t="n"/>
    </row>
    <row r="6838" ht="14.25" customHeight="1" s="192">
      <c r="W6838" s="239" t="n"/>
      <c r="X6838" s="239" t="n"/>
    </row>
    <row r="6840" ht="14.25" customHeight="1" s="192">
      <c r="W6840" s="235" t="n"/>
      <c r="X6840" s="235" t="n"/>
    </row>
    <row r="6841" ht="15" customHeight="1" s="192" thickBot="1">
      <c r="W6841" s="239" t="n"/>
      <c r="X6841" s="239" t="n"/>
    </row>
    <row r="6842" ht="15" customHeight="1" s="192" thickBot="1">
      <c r="W6842" s="45" t="n"/>
      <c r="X6842" s="45" t="n"/>
    </row>
    <row r="6843" ht="14.25" customHeight="1" s="192">
      <c r="W6843" s="228" t="n"/>
      <c r="X6843" s="228" t="n"/>
    </row>
    <row r="6844" ht="14.25" customHeight="1" s="192">
      <c r="W6844" s="228" t="n"/>
      <c r="X6844" s="228" t="n"/>
    </row>
    <row r="6845" ht="14.25" customHeight="1" s="192">
      <c r="W6845" s="231" t="n"/>
      <c r="X6845" s="231" t="n"/>
    </row>
    <row r="6846" ht="14.25" customHeight="1" s="192">
      <c r="W6846" s="33" t="n"/>
      <c r="X6846" s="33" t="n"/>
    </row>
    <row r="6847" ht="14.25" customHeight="1" s="192">
      <c r="W6847" s="231" t="n"/>
      <c r="X6847" s="231" t="n"/>
    </row>
    <row r="6848" ht="14.25" customHeight="1" s="192">
      <c r="W6848" s="33" t="n"/>
      <c r="X6848" s="33" t="n"/>
    </row>
    <row r="6850" ht="14.25" customHeight="1" s="192">
      <c r="W6850" s="231" t="n"/>
      <c r="X6850" s="231" t="n"/>
    </row>
    <row r="6851" ht="14.25" customHeight="1" s="192">
      <c r="W6851" s="235" t="n"/>
      <c r="X6851" s="235" t="n"/>
    </row>
    <row r="6852" ht="14.25" customHeight="1" s="192">
      <c r="W6852" s="228" t="n"/>
      <c r="X6852" s="228" t="n"/>
    </row>
    <row r="6853" ht="14.25" customHeight="1" s="192">
      <c r="W6853" s="235" t="n"/>
      <c r="X6853" s="235" t="n"/>
    </row>
    <row r="6854" ht="14.25" customHeight="1" s="192">
      <c r="W6854" s="235" t="n"/>
      <c r="X6854" s="235" t="n"/>
    </row>
    <row r="6855" ht="14.25" customHeight="1" s="192">
      <c r="W6855" s="235" t="n"/>
      <c r="X6855" s="235" t="n"/>
    </row>
    <row r="6856" ht="14.25" customHeight="1" s="192">
      <c r="W6856" s="239" t="n"/>
      <c r="X6856" s="239" t="n"/>
    </row>
    <row r="6857" ht="14.25" customHeight="1" s="192">
      <c r="W6857" s="239" t="n"/>
      <c r="X6857" s="239" t="n"/>
    </row>
    <row r="6858" ht="14.25" customHeight="1" s="192">
      <c r="W6858" s="239" t="n"/>
      <c r="X6858" s="239" t="n"/>
    </row>
    <row r="6859" ht="14.25" customHeight="1" s="192">
      <c r="W6859" s="235" t="n"/>
      <c r="X6859" s="235" t="n"/>
    </row>
    <row r="6860" ht="14.25" customHeight="1" s="192">
      <c r="W6860" s="235" t="n"/>
      <c r="X6860" s="235" t="n"/>
    </row>
    <row r="6861" ht="14.25" customHeight="1" s="192">
      <c r="W6861" s="235" t="n"/>
      <c r="X6861" s="235" t="n"/>
    </row>
    <row r="6862" ht="14.25" customHeight="1" s="192">
      <c r="W6862" s="239" t="n"/>
      <c r="X6862" s="239" t="n"/>
    </row>
    <row r="6863" ht="14.25" customHeight="1" s="192">
      <c r="W6863" s="239" t="n"/>
      <c r="X6863" s="239" t="n"/>
    </row>
    <row r="6864" ht="14.25" customHeight="1" s="192">
      <c r="W6864" s="235" t="n"/>
      <c r="X6864" s="235" t="n"/>
    </row>
    <row r="6865" ht="14.25" customHeight="1" s="192">
      <c r="W6865" s="235" t="n"/>
      <c r="X6865" s="235" t="n"/>
    </row>
    <row r="6866" ht="14.25" customHeight="1" s="192">
      <c r="W6866" s="239" t="n"/>
      <c r="X6866" s="239" t="n"/>
    </row>
    <row r="6867" ht="14.25" customHeight="1" s="192">
      <c r="W6867" s="235" t="n"/>
      <c r="X6867" s="235" t="n"/>
    </row>
    <row r="6868" ht="14.25" customHeight="1" s="192">
      <c r="W6868" s="239" t="n"/>
      <c r="X6868" s="239" t="n"/>
    </row>
    <row r="6870" ht="14.25" customHeight="1" s="192">
      <c r="W6870" s="235" t="n"/>
      <c r="X6870" s="235" t="n"/>
    </row>
    <row r="6871" ht="15" customHeight="1" s="192" thickBot="1">
      <c r="W6871" s="239" t="n"/>
      <c r="X6871" s="239" t="n"/>
    </row>
    <row r="6872" ht="15" customHeight="1" s="192" thickBot="1">
      <c r="W6872" s="45" t="n"/>
      <c r="X6872" s="45" t="n"/>
    </row>
    <row r="6873" ht="14.25" customHeight="1" s="192">
      <c r="W6873" s="228" t="n"/>
      <c r="X6873" s="228" t="n"/>
    </row>
    <row r="6874" ht="14.25" customHeight="1" s="192">
      <c r="W6874" s="228" t="n"/>
      <c r="X6874" s="228" t="n"/>
    </row>
    <row r="6875" ht="14.25" customHeight="1" s="192">
      <c r="W6875" s="231" t="n"/>
      <c r="X6875" s="231" t="n"/>
    </row>
    <row r="6876" ht="14.25" customHeight="1" s="192">
      <c r="W6876" s="33" t="n"/>
      <c r="X6876" s="33" t="n"/>
    </row>
    <row r="6877" ht="14.25" customHeight="1" s="192">
      <c r="W6877" s="231" t="n"/>
      <c r="X6877" s="231" t="n"/>
    </row>
    <row r="6878" ht="14.25" customHeight="1" s="192">
      <c r="W6878" s="33" t="n"/>
      <c r="X6878" s="33" t="n"/>
    </row>
    <row r="6880" ht="14.25" customHeight="1" s="192">
      <c r="W6880" s="231" t="n"/>
      <c r="X6880" s="231" t="n"/>
    </row>
    <row r="6881" ht="14.25" customHeight="1" s="192">
      <c r="W6881" s="235" t="n"/>
      <c r="X6881" s="235" t="n"/>
    </row>
    <row r="6882" ht="14.25" customHeight="1" s="192">
      <c r="W6882" s="228" t="n"/>
      <c r="X6882" s="228" t="n"/>
    </row>
    <row r="6883" ht="14.25" customHeight="1" s="192">
      <c r="W6883" s="235" t="n"/>
      <c r="X6883" s="235" t="n"/>
    </row>
    <row r="6884" ht="14.25" customHeight="1" s="192">
      <c r="W6884" s="235" t="n"/>
      <c r="X6884" s="235" t="n"/>
    </row>
    <row r="6885" ht="14.25" customHeight="1" s="192">
      <c r="W6885" s="235" t="n"/>
      <c r="X6885" s="235" t="n"/>
    </row>
    <row r="6886" ht="14.25" customHeight="1" s="192">
      <c r="W6886" s="239" t="n"/>
      <c r="X6886" s="239" t="n"/>
    </row>
    <row r="6887" ht="14.25" customHeight="1" s="192">
      <c r="W6887" s="239" t="n"/>
      <c r="X6887" s="239" t="n"/>
    </row>
    <row r="6888" ht="14.25" customHeight="1" s="192">
      <c r="W6888" s="239" t="n"/>
      <c r="X6888" s="239" t="n"/>
    </row>
    <row r="6889" ht="14.25" customHeight="1" s="192">
      <c r="W6889" s="235" t="n"/>
      <c r="X6889" s="235" t="n"/>
    </row>
    <row r="6890" ht="14.25" customHeight="1" s="192">
      <c r="W6890" s="235" t="n"/>
      <c r="X6890" s="235" t="n"/>
    </row>
    <row r="6891" ht="14.25" customHeight="1" s="192">
      <c r="W6891" s="235" t="n"/>
      <c r="X6891" s="235" t="n"/>
    </row>
    <row r="6892" ht="14.25" customHeight="1" s="192">
      <c r="W6892" s="239" t="n"/>
      <c r="X6892" s="239" t="n"/>
    </row>
    <row r="6893" ht="14.25" customHeight="1" s="192">
      <c r="W6893" s="239" t="n"/>
      <c r="X6893" s="239" t="n"/>
    </row>
    <row r="6894" ht="14.25" customHeight="1" s="192">
      <c r="W6894" s="235" t="n"/>
      <c r="X6894" s="235" t="n"/>
    </row>
    <row r="6895" ht="14.25" customHeight="1" s="192">
      <c r="W6895" s="235" t="n"/>
      <c r="X6895" s="235" t="n"/>
    </row>
    <row r="6896" ht="14.25" customHeight="1" s="192">
      <c r="W6896" s="239" t="n"/>
      <c r="X6896" s="239" t="n"/>
    </row>
    <row r="6897" ht="14.25" customHeight="1" s="192">
      <c r="W6897" s="235" t="n"/>
      <c r="X6897" s="235" t="n"/>
    </row>
    <row r="6898" ht="14.25" customHeight="1" s="192">
      <c r="W6898" s="239" t="n"/>
      <c r="X6898" s="239" t="n"/>
    </row>
    <row r="6900" ht="14.25" customHeight="1" s="192">
      <c r="W6900" s="235" t="n"/>
      <c r="X6900" s="235" t="n"/>
    </row>
    <row r="6901" ht="15" customHeight="1" s="192" thickBot="1">
      <c r="W6901" s="239" t="n"/>
      <c r="X6901" s="239" t="n"/>
    </row>
    <row r="6902" ht="15" customHeight="1" s="192" thickBot="1">
      <c r="W6902" s="45" t="n"/>
      <c r="X6902" s="45" t="n"/>
    </row>
    <row r="6903" ht="14.25" customHeight="1" s="192">
      <c r="W6903" s="228" t="n"/>
      <c r="X6903" s="228" t="n"/>
    </row>
    <row r="6904" ht="14.25" customHeight="1" s="192">
      <c r="W6904" s="228" t="n"/>
      <c r="X6904" s="228" t="n"/>
    </row>
    <row r="6905" ht="14.25" customHeight="1" s="192">
      <c r="W6905" s="231" t="n"/>
      <c r="X6905" s="231" t="n"/>
    </row>
    <row r="6906" ht="14.25" customHeight="1" s="192">
      <c r="W6906" s="33" t="n"/>
      <c r="X6906" s="33" t="n"/>
    </row>
    <row r="6907" ht="14.25" customHeight="1" s="192">
      <c r="W6907" s="231" t="n"/>
      <c r="X6907" s="231" t="n"/>
    </row>
    <row r="6908" ht="14.25" customHeight="1" s="192">
      <c r="W6908" s="33" t="n"/>
      <c r="X6908" s="33" t="n"/>
    </row>
    <row r="6910" ht="14.25" customHeight="1" s="192">
      <c r="W6910" s="231" t="n"/>
      <c r="X6910" s="231" t="n"/>
    </row>
    <row r="6911" ht="14.25" customHeight="1" s="192">
      <c r="W6911" s="235" t="n"/>
      <c r="X6911" s="235" t="n"/>
    </row>
    <row r="6912" ht="14.25" customHeight="1" s="192">
      <c r="W6912" s="228" t="n"/>
      <c r="X6912" s="228" t="n"/>
    </row>
    <row r="6913" ht="14.25" customHeight="1" s="192">
      <c r="W6913" s="235" t="n"/>
      <c r="X6913" s="235" t="n"/>
    </row>
    <row r="6914" ht="14.25" customHeight="1" s="192">
      <c r="W6914" s="235" t="n"/>
      <c r="X6914" s="235" t="n"/>
    </row>
    <row r="6915" ht="14.25" customHeight="1" s="192">
      <c r="W6915" s="235" t="n"/>
      <c r="X6915" s="235" t="n"/>
    </row>
    <row r="6916" ht="14.25" customHeight="1" s="192">
      <c r="W6916" s="239" t="n"/>
      <c r="X6916" s="239" t="n"/>
    </row>
    <row r="6917" ht="14.25" customHeight="1" s="192">
      <c r="W6917" s="239" t="n"/>
      <c r="X6917" s="239" t="n"/>
    </row>
    <row r="6918" ht="14.25" customHeight="1" s="192">
      <c r="W6918" s="239" t="n"/>
      <c r="X6918" s="239" t="n"/>
    </row>
    <row r="6919" ht="14.25" customHeight="1" s="192">
      <c r="W6919" s="235" t="n"/>
      <c r="X6919" s="235" t="n"/>
    </row>
    <row r="6920" ht="14.25" customHeight="1" s="192">
      <c r="W6920" s="235" t="n"/>
      <c r="X6920" s="235" t="n"/>
    </row>
    <row r="6921" ht="14.25" customHeight="1" s="192">
      <c r="W6921" s="235" t="n"/>
      <c r="X6921" s="235" t="n"/>
    </row>
    <row r="6922" ht="14.25" customHeight="1" s="192">
      <c r="W6922" s="239" t="n"/>
      <c r="X6922" s="239" t="n"/>
    </row>
    <row r="6923" ht="14.25" customHeight="1" s="192">
      <c r="W6923" s="239" t="n"/>
      <c r="X6923" s="239" t="n"/>
    </row>
    <row r="6924" ht="14.25" customHeight="1" s="192">
      <c r="W6924" s="235" t="n"/>
      <c r="X6924" s="235" t="n"/>
    </row>
    <row r="6925" ht="14.25" customHeight="1" s="192">
      <c r="W6925" s="235" t="n"/>
      <c r="X6925" s="235" t="n"/>
    </row>
    <row r="6926" ht="14.25" customHeight="1" s="192">
      <c r="W6926" s="239" t="n"/>
      <c r="X6926" s="239" t="n"/>
    </row>
    <row r="6927" ht="14.25" customHeight="1" s="192">
      <c r="W6927" s="235" t="n"/>
      <c r="X6927" s="235" t="n"/>
    </row>
    <row r="6928" ht="14.25" customHeight="1" s="192">
      <c r="W6928" s="239" t="n"/>
      <c r="X6928" s="239" t="n"/>
    </row>
    <row r="6930" ht="14.25" customHeight="1" s="192">
      <c r="W6930" s="235" t="n"/>
      <c r="X6930" s="235" t="n"/>
    </row>
    <row r="6931" ht="15" customHeight="1" s="192" thickBot="1">
      <c r="W6931" s="239" t="n"/>
      <c r="X6931" s="239" t="n"/>
    </row>
    <row r="6932" ht="15" customHeight="1" s="192" thickBot="1">
      <c r="W6932" s="45" t="n"/>
      <c r="X6932" s="45" t="n"/>
    </row>
    <row r="6933" ht="14.25" customHeight="1" s="192">
      <c r="W6933" s="228" t="n"/>
      <c r="X6933" s="228" t="n"/>
    </row>
    <row r="6934" ht="14.25" customHeight="1" s="192">
      <c r="W6934" s="228" t="n"/>
      <c r="X6934" s="228" t="n"/>
    </row>
    <row r="6935" ht="14.25" customHeight="1" s="192">
      <c r="W6935" s="231" t="n"/>
      <c r="X6935" s="231" t="n"/>
    </row>
    <row r="6936" ht="14.25" customHeight="1" s="192">
      <c r="W6936" s="33" t="n"/>
      <c r="X6936" s="33" t="n"/>
    </row>
    <row r="6937" ht="14.25" customHeight="1" s="192">
      <c r="W6937" s="231" t="n"/>
      <c r="X6937" s="231" t="n"/>
    </row>
    <row r="6938" ht="14.25" customHeight="1" s="192">
      <c r="W6938" s="33" t="n"/>
      <c r="X6938" s="33" t="n"/>
    </row>
    <row r="6940" ht="14.25" customHeight="1" s="192">
      <c r="W6940" s="231" t="n"/>
      <c r="X6940" s="231" t="n"/>
    </row>
    <row r="6941" ht="14.25" customHeight="1" s="192">
      <c r="W6941" s="235" t="n"/>
      <c r="X6941" s="235" t="n"/>
    </row>
    <row r="6942" ht="14.25" customHeight="1" s="192">
      <c r="W6942" s="228" t="n"/>
      <c r="X6942" s="228" t="n"/>
    </row>
    <row r="6943" ht="14.25" customHeight="1" s="192">
      <c r="W6943" s="235" t="n"/>
      <c r="X6943" s="235" t="n"/>
    </row>
    <row r="6944" ht="14.25" customHeight="1" s="192">
      <c r="W6944" s="235" t="n"/>
      <c r="X6944" s="235" t="n"/>
    </row>
    <row r="6945" ht="14.25" customHeight="1" s="192">
      <c r="W6945" s="235" t="n"/>
      <c r="X6945" s="235" t="n"/>
    </row>
    <row r="6946" ht="14.25" customHeight="1" s="192">
      <c r="W6946" s="239" t="n"/>
      <c r="X6946" s="239" t="n"/>
    </row>
    <row r="6947" ht="14.25" customHeight="1" s="192">
      <c r="W6947" s="239" t="n"/>
      <c r="X6947" s="239" t="n"/>
    </row>
    <row r="6948" ht="14.25" customHeight="1" s="192">
      <c r="W6948" s="239" t="n"/>
      <c r="X6948" s="239" t="n"/>
    </row>
    <row r="6949" ht="14.25" customHeight="1" s="192">
      <c r="W6949" s="235" t="n"/>
      <c r="X6949" s="235" t="n"/>
    </row>
    <row r="6950" ht="14.25" customHeight="1" s="192">
      <c r="W6950" s="235" t="n"/>
      <c r="X6950" s="235" t="n"/>
    </row>
    <row r="6951" ht="14.25" customHeight="1" s="192">
      <c r="W6951" s="235" t="n"/>
      <c r="X6951" s="235" t="n"/>
    </row>
    <row r="6952" ht="14.25" customHeight="1" s="192">
      <c r="W6952" s="239" t="n"/>
      <c r="X6952" s="239" t="n"/>
    </row>
    <row r="6953" ht="14.25" customHeight="1" s="192">
      <c r="W6953" s="239" t="n"/>
      <c r="X6953" s="239" t="n"/>
    </row>
    <row r="6954" ht="14.25" customHeight="1" s="192">
      <c r="W6954" s="235" t="n"/>
      <c r="X6954" s="235" t="n"/>
    </row>
    <row r="6955" ht="14.25" customHeight="1" s="192">
      <c r="W6955" s="235" t="n"/>
      <c r="X6955" s="235" t="n"/>
    </row>
    <row r="6956" ht="14.25" customHeight="1" s="192">
      <c r="W6956" s="239" t="n"/>
      <c r="X6956" s="239" t="n"/>
    </row>
    <row r="6957" ht="14.25" customHeight="1" s="192">
      <c r="W6957" s="235" t="n"/>
      <c r="X6957" s="235" t="n"/>
    </row>
    <row r="6958" ht="14.25" customHeight="1" s="192">
      <c r="W6958" s="239" t="n"/>
      <c r="X6958" s="239" t="n"/>
    </row>
    <row r="6960" ht="14.25" customHeight="1" s="192">
      <c r="W6960" s="235" t="n"/>
      <c r="X6960" s="235" t="n"/>
    </row>
    <row r="6961" ht="15" customHeight="1" s="192" thickBot="1">
      <c r="W6961" s="239" t="n"/>
      <c r="X6961" s="239" t="n"/>
    </row>
    <row r="6962" ht="15" customHeight="1" s="192" thickBot="1">
      <c r="W6962" s="45" t="n"/>
      <c r="X6962" s="45" t="n"/>
    </row>
    <row r="6963" ht="14.25" customHeight="1" s="192">
      <c r="W6963" s="228" t="n"/>
      <c r="X6963" s="228" t="n"/>
    </row>
    <row r="6964" ht="14.25" customHeight="1" s="192">
      <c r="W6964" s="228" t="n"/>
      <c r="X6964" s="228" t="n"/>
    </row>
    <row r="6965" ht="14.25" customHeight="1" s="192">
      <c r="W6965" s="231" t="n"/>
      <c r="X6965" s="231" t="n"/>
    </row>
    <row r="6966" ht="14.25" customHeight="1" s="192">
      <c r="W6966" s="33" t="n"/>
      <c r="X6966" s="33" t="n"/>
    </row>
    <row r="6967" ht="14.25" customHeight="1" s="192">
      <c r="W6967" s="231" t="n"/>
      <c r="X6967" s="231" t="n"/>
    </row>
    <row r="6968" ht="14.25" customHeight="1" s="192">
      <c r="W6968" s="33" t="n"/>
      <c r="X6968" s="33" t="n"/>
    </row>
    <row r="6970" ht="14.25" customHeight="1" s="192">
      <c r="W6970" s="231" t="n"/>
      <c r="X6970" s="231" t="n"/>
    </row>
    <row r="6971" ht="14.25" customHeight="1" s="192">
      <c r="W6971" s="235" t="n"/>
      <c r="X6971" s="235" t="n"/>
    </row>
    <row r="6972" ht="14.25" customHeight="1" s="192">
      <c r="W6972" s="228" t="n"/>
      <c r="X6972" s="228" t="n"/>
    </row>
    <row r="6973" ht="14.25" customHeight="1" s="192">
      <c r="W6973" s="235" t="n"/>
      <c r="X6973" s="235" t="n"/>
    </row>
    <row r="6974" ht="14.25" customHeight="1" s="192">
      <c r="W6974" s="235" t="n"/>
      <c r="X6974" s="235" t="n"/>
    </row>
    <row r="6975" ht="14.25" customHeight="1" s="192">
      <c r="W6975" s="235" t="n"/>
      <c r="X6975" s="235" t="n"/>
    </row>
    <row r="6976" ht="14.25" customHeight="1" s="192">
      <c r="W6976" s="239" t="n"/>
      <c r="X6976" s="239" t="n"/>
    </row>
    <row r="6977" ht="14.25" customHeight="1" s="192">
      <c r="W6977" s="239" t="n"/>
      <c r="X6977" s="239" t="n"/>
    </row>
    <row r="6978" ht="14.25" customHeight="1" s="192">
      <c r="W6978" s="239" t="n"/>
      <c r="X6978" s="239" t="n"/>
    </row>
    <row r="6979" ht="14.25" customHeight="1" s="192">
      <c r="W6979" s="235" t="n"/>
      <c r="X6979" s="235" t="n"/>
    </row>
    <row r="6980" ht="14.25" customHeight="1" s="192">
      <c r="W6980" s="235" t="n"/>
      <c r="X6980" s="235" t="n"/>
    </row>
    <row r="6981" ht="14.25" customHeight="1" s="192">
      <c r="W6981" s="235" t="n"/>
      <c r="X6981" s="235" t="n"/>
    </row>
    <row r="6982" ht="14.25" customHeight="1" s="192">
      <c r="W6982" s="239" t="n"/>
      <c r="X6982" s="239" t="n"/>
    </row>
    <row r="6983" ht="14.25" customHeight="1" s="192">
      <c r="W6983" s="239" t="n"/>
      <c r="X6983" s="239" t="n"/>
    </row>
    <row r="6984" ht="14.25" customHeight="1" s="192">
      <c r="W6984" s="235" t="n"/>
      <c r="X6984" s="235" t="n"/>
    </row>
    <row r="6985" ht="14.25" customHeight="1" s="192">
      <c r="W6985" s="235" t="n"/>
      <c r="X6985" s="235" t="n"/>
    </row>
    <row r="6986" ht="14.25" customHeight="1" s="192">
      <c r="W6986" s="239" t="n"/>
      <c r="X6986" s="239" t="n"/>
    </row>
    <row r="6987" ht="14.25" customHeight="1" s="192">
      <c r="W6987" s="235" t="n"/>
      <c r="X6987" s="235" t="n"/>
    </row>
    <row r="6988" ht="14.25" customHeight="1" s="192">
      <c r="W6988" s="239" t="n"/>
      <c r="X6988" s="239" t="n"/>
    </row>
    <row r="6990" ht="14.25" customHeight="1" s="192">
      <c r="W6990" s="235" t="n"/>
      <c r="X6990" s="235" t="n"/>
    </row>
    <row r="6991" ht="15" customHeight="1" s="192" thickBot="1">
      <c r="W6991" s="239" t="n"/>
      <c r="X6991" s="239" t="n"/>
    </row>
    <row r="6992" ht="15" customHeight="1" s="192" thickBot="1">
      <c r="W6992" s="45" t="n"/>
      <c r="X6992" s="45" t="n"/>
    </row>
    <row r="6993" ht="14.25" customHeight="1" s="192">
      <c r="W6993" s="228" t="n"/>
      <c r="X6993" s="228" t="n"/>
    </row>
    <row r="6994" ht="14.25" customHeight="1" s="192">
      <c r="W6994" s="228" t="n"/>
      <c r="X6994" s="228" t="n"/>
    </row>
    <row r="6995" ht="14.25" customHeight="1" s="192">
      <c r="W6995" s="231" t="n"/>
      <c r="X6995" s="231" t="n"/>
    </row>
    <row r="6996" ht="14.25" customHeight="1" s="192">
      <c r="W6996" s="33" t="n"/>
      <c r="X6996" s="33" t="n"/>
    </row>
    <row r="6997" ht="14.25" customHeight="1" s="192">
      <c r="W6997" s="231" t="n"/>
      <c r="X6997" s="231" t="n"/>
    </row>
    <row r="6998" ht="14.25" customHeight="1" s="192">
      <c r="W6998" s="33" t="n"/>
      <c r="X6998" s="33" t="n"/>
    </row>
    <row r="7000" ht="14.25" customHeight="1" s="192">
      <c r="W7000" s="231" t="n"/>
      <c r="X7000" s="231" t="n"/>
    </row>
    <row r="7001" ht="14.25" customHeight="1" s="192">
      <c r="W7001" s="235" t="n"/>
      <c r="X7001" s="235" t="n"/>
    </row>
    <row r="7002" ht="14.25" customHeight="1" s="192">
      <c r="W7002" s="228" t="n"/>
      <c r="X7002" s="228" t="n"/>
    </row>
    <row r="7003" ht="14.25" customHeight="1" s="192">
      <c r="W7003" s="235" t="n"/>
      <c r="X7003" s="235" t="n"/>
    </row>
    <row r="7004" ht="14.25" customHeight="1" s="192">
      <c r="W7004" s="235" t="n"/>
      <c r="X7004" s="235" t="n"/>
    </row>
    <row r="7005" ht="14.25" customHeight="1" s="192">
      <c r="W7005" s="235" t="n"/>
      <c r="X7005" s="235" t="n"/>
    </row>
    <row r="7006" ht="14.25" customHeight="1" s="192">
      <c r="W7006" s="239" t="n"/>
      <c r="X7006" s="239" t="n"/>
    </row>
    <row r="7007" ht="14.25" customHeight="1" s="192">
      <c r="W7007" s="239" t="n"/>
      <c r="X7007" s="239" t="n"/>
    </row>
    <row r="7008" ht="14.25" customHeight="1" s="192">
      <c r="W7008" s="239" t="n"/>
      <c r="X7008" s="239" t="n"/>
    </row>
    <row r="7009" ht="14.25" customHeight="1" s="192">
      <c r="W7009" s="235" t="n"/>
      <c r="X7009" s="235" t="n"/>
    </row>
    <row r="7010" ht="14.25" customHeight="1" s="192">
      <c r="W7010" s="235" t="n"/>
      <c r="X7010" s="235" t="n"/>
    </row>
    <row r="7011" ht="14.25" customHeight="1" s="192">
      <c r="W7011" s="235" t="n"/>
      <c r="X7011" s="235" t="n"/>
    </row>
    <row r="7012" ht="14.25" customHeight="1" s="192">
      <c r="W7012" s="239" t="n"/>
      <c r="X7012" s="239" t="n"/>
    </row>
    <row r="7013" ht="14.25" customHeight="1" s="192">
      <c r="W7013" s="239" t="n"/>
      <c r="X7013" s="239" t="n"/>
    </row>
    <row r="7014" ht="14.25" customHeight="1" s="192">
      <c r="W7014" s="235" t="n"/>
      <c r="X7014" s="235" t="n"/>
    </row>
    <row r="7015" ht="14.25" customHeight="1" s="192">
      <c r="W7015" s="235" t="n"/>
      <c r="X7015" s="235" t="n"/>
    </row>
    <row r="7016" ht="14.25" customHeight="1" s="192">
      <c r="W7016" s="239" t="n"/>
      <c r="X7016" s="239" t="n"/>
    </row>
    <row r="7017" ht="14.25" customHeight="1" s="192">
      <c r="W7017" s="235" t="n"/>
      <c r="X7017" s="235" t="n"/>
    </row>
    <row r="7018" ht="14.25" customHeight="1" s="192">
      <c r="W7018" s="239" t="n"/>
      <c r="X7018" s="239" t="n"/>
    </row>
    <row r="7020" ht="14.25" customHeight="1" s="192">
      <c r="W7020" s="235" t="n"/>
      <c r="X7020" s="235" t="n"/>
    </row>
    <row r="7021" ht="15" customHeight="1" s="192" thickBot="1">
      <c r="W7021" s="239" t="n"/>
      <c r="X7021" s="239" t="n"/>
    </row>
    <row r="7022" ht="15" customHeight="1" s="192" thickBot="1">
      <c r="W7022" s="45" t="n"/>
      <c r="X7022" s="45" t="n"/>
    </row>
    <row r="7023" ht="14.25" customHeight="1" s="192">
      <c r="W7023" s="228" t="n"/>
      <c r="X7023" s="228" t="n"/>
    </row>
    <row r="7024" ht="14.25" customHeight="1" s="192">
      <c r="W7024" s="228" t="n"/>
      <c r="X7024" s="228" t="n"/>
    </row>
    <row r="7025" ht="14.25" customHeight="1" s="192">
      <c r="W7025" s="231" t="n"/>
      <c r="X7025" s="231" t="n"/>
    </row>
    <row r="7026" ht="14.25" customHeight="1" s="192">
      <c r="W7026" s="33" t="n"/>
      <c r="X7026" s="33" t="n"/>
    </row>
    <row r="7027" ht="14.25" customHeight="1" s="192">
      <c r="W7027" s="231" t="n"/>
      <c r="X7027" s="231" t="n"/>
    </row>
    <row r="7028" ht="14.25" customHeight="1" s="192">
      <c r="W7028" s="33" t="n"/>
      <c r="X7028" s="33" t="n"/>
    </row>
    <row r="7030" ht="14.25" customHeight="1" s="192">
      <c r="W7030" s="231" t="n"/>
      <c r="X7030" s="231" t="n"/>
    </row>
    <row r="7031" ht="14.25" customHeight="1" s="192">
      <c r="W7031" s="235" t="n"/>
      <c r="X7031" s="235" t="n"/>
    </row>
    <row r="7032" ht="14.25" customHeight="1" s="192">
      <c r="W7032" s="228" t="n"/>
      <c r="X7032" s="228" t="n"/>
    </row>
    <row r="7033" ht="14.25" customHeight="1" s="192">
      <c r="W7033" s="235" t="n"/>
      <c r="X7033" s="235" t="n"/>
    </row>
    <row r="7034" ht="14.25" customHeight="1" s="192">
      <c r="W7034" s="235" t="n"/>
      <c r="X7034" s="235" t="n"/>
    </row>
    <row r="7035" ht="14.25" customHeight="1" s="192">
      <c r="W7035" s="235" t="n"/>
      <c r="X7035" s="235" t="n"/>
    </row>
    <row r="7036" ht="14.25" customHeight="1" s="192">
      <c r="W7036" s="239" t="n"/>
      <c r="X7036" s="239" t="n"/>
    </row>
    <row r="7037" ht="14.25" customHeight="1" s="192">
      <c r="W7037" s="239" t="n"/>
      <c r="X7037" s="239" t="n"/>
    </row>
    <row r="7038" ht="14.25" customHeight="1" s="192">
      <c r="W7038" s="239" t="n"/>
      <c r="X7038" s="239" t="n"/>
    </row>
    <row r="7039" ht="14.25" customHeight="1" s="192">
      <c r="W7039" s="235" t="n"/>
      <c r="X7039" s="235" t="n"/>
    </row>
    <row r="7040" ht="14.25" customHeight="1" s="192">
      <c r="W7040" s="235" t="n"/>
      <c r="X7040" s="235" t="n"/>
    </row>
    <row r="7041" ht="14.25" customHeight="1" s="192">
      <c r="W7041" s="235" t="n"/>
      <c r="X7041" s="235" t="n"/>
    </row>
    <row r="7042" ht="14.25" customHeight="1" s="192">
      <c r="W7042" s="239" t="n"/>
      <c r="X7042" s="239" t="n"/>
    </row>
    <row r="7043" ht="14.25" customHeight="1" s="192">
      <c r="W7043" s="239" t="n"/>
      <c r="X7043" s="239" t="n"/>
    </row>
    <row r="7044" ht="14.25" customHeight="1" s="192">
      <c r="W7044" s="235" t="n"/>
      <c r="X7044" s="235" t="n"/>
    </row>
    <row r="7045" ht="14.25" customHeight="1" s="192">
      <c r="W7045" s="235" t="n"/>
      <c r="X7045" s="235" t="n"/>
    </row>
    <row r="7046" ht="14.25" customHeight="1" s="192">
      <c r="W7046" s="239" t="n"/>
      <c r="X7046" s="239" t="n"/>
    </row>
    <row r="7047" ht="14.25" customHeight="1" s="192">
      <c r="W7047" s="235" t="n"/>
      <c r="X7047" s="235" t="n"/>
    </row>
    <row r="7048" ht="14.25" customHeight="1" s="192">
      <c r="W7048" s="239" t="n"/>
      <c r="X7048" s="239" t="n"/>
    </row>
    <row r="7050" ht="14.25" customHeight="1" s="192">
      <c r="W7050" s="235" t="n"/>
      <c r="X7050" s="235" t="n"/>
    </row>
    <row r="7051" ht="15" customHeight="1" s="192" thickBot="1">
      <c r="W7051" s="239" t="n"/>
      <c r="X7051" s="239" t="n"/>
    </row>
    <row r="7052" ht="15" customHeight="1" s="192" thickBot="1">
      <c r="W7052" s="45" t="n"/>
      <c r="X7052" s="45" t="n"/>
    </row>
    <row r="7053" ht="14.25" customHeight="1" s="192">
      <c r="W7053" s="228" t="n"/>
      <c r="X7053" s="228" t="n"/>
    </row>
    <row r="7054" ht="14.25" customHeight="1" s="192">
      <c r="W7054" s="228" t="n"/>
      <c r="X7054" s="228" t="n"/>
    </row>
    <row r="7055" ht="14.25" customHeight="1" s="192">
      <c r="W7055" s="231" t="n"/>
      <c r="X7055" s="231" t="n"/>
    </row>
    <row r="7056" ht="14.25" customHeight="1" s="192">
      <c r="W7056" s="33" t="n"/>
      <c r="X7056" s="33" t="n"/>
    </row>
    <row r="7057" ht="14.25" customHeight="1" s="192">
      <c r="W7057" s="231" t="n"/>
      <c r="X7057" s="231" t="n"/>
    </row>
    <row r="7058" ht="14.25" customHeight="1" s="192">
      <c r="W7058" s="33" t="n"/>
      <c r="X7058" s="33" t="n"/>
    </row>
    <row r="7060" ht="14.25" customHeight="1" s="192">
      <c r="W7060" s="231" t="n"/>
      <c r="X7060" s="231" t="n"/>
    </row>
    <row r="7061" ht="14.25" customHeight="1" s="192">
      <c r="W7061" s="235" t="n"/>
      <c r="X7061" s="235" t="n"/>
    </row>
    <row r="7062" ht="14.25" customHeight="1" s="192">
      <c r="W7062" s="228" t="n"/>
      <c r="X7062" s="228" t="n"/>
    </row>
    <row r="7063" ht="14.25" customHeight="1" s="192">
      <c r="W7063" s="235" t="n"/>
      <c r="X7063" s="235" t="n"/>
    </row>
    <row r="7064" ht="14.25" customHeight="1" s="192">
      <c r="W7064" s="235" t="n"/>
      <c r="X7064" s="235" t="n"/>
    </row>
    <row r="7065" ht="14.25" customHeight="1" s="192">
      <c r="W7065" s="235" t="n"/>
      <c r="X7065" s="235" t="n"/>
    </row>
    <row r="7066" ht="14.25" customHeight="1" s="192">
      <c r="W7066" s="239" t="n"/>
      <c r="X7066" s="239" t="n"/>
    </row>
    <row r="7067" ht="14.25" customHeight="1" s="192">
      <c r="W7067" s="239" t="n"/>
      <c r="X7067" s="239" t="n"/>
    </row>
    <row r="7068" ht="14.25" customHeight="1" s="192">
      <c r="W7068" s="239" t="n"/>
      <c r="X7068" s="239" t="n"/>
    </row>
    <row r="7069" ht="14.25" customHeight="1" s="192">
      <c r="W7069" s="235" t="n"/>
      <c r="X7069" s="235" t="n"/>
    </row>
    <row r="7070" ht="14.25" customHeight="1" s="192">
      <c r="W7070" s="235" t="n"/>
      <c r="X7070" s="235" t="n"/>
    </row>
    <row r="7071" ht="14.25" customHeight="1" s="192">
      <c r="W7071" s="235" t="n"/>
      <c r="X7071" s="235" t="n"/>
    </row>
    <row r="7072" ht="14.25" customHeight="1" s="192">
      <c r="W7072" s="239" t="n"/>
      <c r="X7072" s="239" t="n"/>
    </row>
    <row r="7073" ht="14.25" customHeight="1" s="192">
      <c r="W7073" s="239" t="n"/>
      <c r="X7073" s="239" t="n"/>
    </row>
    <row r="7074" ht="14.25" customHeight="1" s="192">
      <c r="W7074" s="235" t="n"/>
      <c r="X7074" s="235" t="n"/>
    </row>
    <row r="7075" ht="14.25" customHeight="1" s="192">
      <c r="W7075" s="235" t="n"/>
      <c r="X7075" s="235" t="n"/>
    </row>
    <row r="7076" ht="14.25" customHeight="1" s="192">
      <c r="W7076" s="239" t="n"/>
      <c r="X7076" s="239" t="n"/>
    </row>
    <row r="7077" ht="14.25" customHeight="1" s="192">
      <c r="W7077" s="235" t="n"/>
      <c r="X7077" s="235" t="n"/>
    </row>
    <row r="7078" ht="14.25" customHeight="1" s="192">
      <c r="W7078" s="239" t="n"/>
      <c r="X7078" s="239" t="n"/>
    </row>
    <row r="7080" ht="14.25" customHeight="1" s="192">
      <c r="W7080" s="235" t="n"/>
      <c r="X7080" s="235" t="n"/>
    </row>
    <row r="7081" ht="15" customHeight="1" s="192" thickBot="1">
      <c r="W7081" s="239" t="n"/>
      <c r="X7081" s="239" t="n"/>
    </row>
    <row r="7082" ht="15" customHeight="1" s="192" thickBot="1">
      <c r="W7082" s="45" t="n"/>
      <c r="X7082" s="45" t="n"/>
    </row>
    <row r="7083" ht="14.25" customHeight="1" s="192">
      <c r="W7083" s="228" t="n"/>
      <c r="X7083" s="228" t="n"/>
    </row>
    <row r="7084" ht="14.25" customHeight="1" s="192">
      <c r="W7084" s="228" t="n"/>
      <c r="X7084" s="228" t="n"/>
    </row>
    <row r="7085" ht="14.25" customHeight="1" s="192">
      <c r="W7085" s="231" t="n"/>
      <c r="X7085" s="231" t="n"/>
    </row>
    <row r="7086" ht="14.25" customHeight="1" s="192">
      <c r="W7086" s="33" t="n"/>
      <c r="X7086" s="33" t="n"/>
    </row>
    <row r="7087" ht="14.25" customHeight="1" s="192">
      <c r="W7087" s="231" t="n"/>
      <c r="X7087" s="231" t="n"/>
    </row>
    <row r="7088" ht="14.25" customHeight="1" s="192">
      <c r="W7088" s="33" t="n"/>
      <c r="X7088" s="33" t="n"/>
    </row>
    <row r="7090" ht="14.25" customHeight="1" s="192">
      <c r="W7090" s="231" t="n"/>
      <c r="X7090" s="231" t="n"/>
    </row>
    <row r="7091" ht="14.25" customHeight="1" s="192">
      <c r="W7091" s="235" t="n"/>
      <c r="X7091" s="235" t="n"/>
    </row>
    <row r="7092" ht="14.25" customHeight="1" s="192">
      <c r="W7092" s="228" t="n"/>
      <c r="X7092" s="228" t="n"/>
    </row>
    <row r="7093" ht="14.25" customHeight="1" s="192">
      <c r="W7093" s="235" t="n"/>
      <c r="X7093" s="235" t="n"/>
    </row>
    <row r="7094" ht="14.25" customHeight="1" s="192">
      <c r="W7094" s="235" t="n"/>
      <c r="X7094" s="235" t="n"/>
    </row>
    <row r="7095" ht="14.25" customHeight="1" s="192">
      <c r="W7095" s="235" t="n"/>
      <c r="X7095" s="235" t="n"/>
    </row>
    <row r="7096" ht="14.25" customHeight="1" s="192">
      <c r="W7096" s="239" t="n"/>
      <c r="X7096" s="239" t="n"/>
    </row>
    <row r="7097" ht="14.25" customHeight="1" s="192">
      <c r="W7097" s="239" t="n"/>
      <c r="X7097" s="239" t="n"/>
    </row>
    <row r="7098" ht="14.25" customHeight="1" s="192">
      <c r="W7098" s="239" t="n"/>
      <c r="X7098" s="239" t="n"/>
    </row>
    <row r="7099" ht="14.25" customHeight="1" s="192">
      <c r="W7099" s="235" t="n"/>
      <c r="X7099" s="235" t="n"/>
    </row>
    <row r="7100" ht="14.25" customHeight="1" s="192">
      <c r="W7100" s="235" t="n"/>
      <c r="X7100" s="235" t="n"/>
    </row>
    <row r="7101" ht="14.25" customHeight="1" s="192">
      <c r="W7101" s="235" t="n"/>
      <c r="X7101" s="235" t="n"/>
    </row>
    <row r="7102" ht="14.25" customHeight="1" s="192">
      <c r="W7102" s="239" t="n"/>
      <c r="X7102" s="239" t="n"/>
    </row>
    <row r="7103" ht="14.25" customHeight="1" s="192">
      <c r="W7103" s="239" t="n"/>
      <c r="X7103" s="239" t="n"/>
    </row>
    <row r="7104" ht="14.25" customHeight="1" s="192">
      <c r="W7104" s="235" t="n"/>
      <c r="X7104" s="235" t="n"/>
    </row>
    <row r="7105" ht="14.25" customHeight="1" s="192">
      <c r="W7105" s="235" t="n"/>
      <c r="X7105" s="235" t="n"/>
    </row>
    <row r="7106" ht="14.25" customHeight="1" s="192">
      <c r="W7106" s="239" t="n"/>
      <c r="X7106" s="239" t="n"/>
    </row>
    <row r="7107" ht="14.25" customHeight="1" s="192">
      <c r="W7107" s="235" t="n"/>
      <c r="X7107" s="235" t="n"/>
    </row>
    <row r="7108" ht="14.25" customHeight="1" s="192">
      <c r="W7108" s="239" t="n"/>
      <c r="X7108" s="239" t="n"/>
    </row>
    <row r="7110" ht="14.25" customHeight="1" s="192">
      <c r="W7110" s="235" t="n"/>
      <c r="X7110" s="235" t="n"/>
    </row>
    <row r="7111" ht="15" customHeight="1" s="192" thickBot="1">
      <c r="W7111" s="239" t="n"/>
      <c r="X7111" s="239" t="n"/>
    </row>
    <row r="7112" ht="15" customHeight="1" s="192" thickBot="1">
      <c r="W7112" s="45" t="n"/>
      <c r="X7112" s="45" t="n"/>
    </row>
    <row r="7113" ht="14.25" customHeight="1" s="192">
      <c r="W7113" s="228" t="n"/>
      <c r="X7113" s="228" t="n"/>
    </row>
    <row r="7114" ht="14.25" customHeight="1" s="192">
      <c r="W7114" s="228" t="n"/>
      <c r="X7114" s="228" t="n"/>
    </row>
    <row r="7115" ht="14.25" customHeight="1" s="192">
      <c r="W7115" s="231" t="n"/>
      <c r="X7115" s="231" t="n"/>
    </row>
    <row r="7116" ht="14.25" customHeight="1" s="192">
      <c r="W7116" s="33" t="n"/>
      <c r="X7116" s="33" t="n"/>
    </row>
    <row r="7117" ht="14.25" customHeight="1" s="192">
      <c r="W7117" s="231" t="n"/>
      <c r="X7117" s="231" t="n"/>
    </row>
    <row r="7118" ht="14.25" customHeight="1" s="192">
      <c r="W7118" s="33" t="n"/>
      <c r="X7118" s="33" t="n"/>
    </row>
    <row r="7120" ht="14.25" customHeight="1" s="192">
      <c r="W7120" s="231" t="n"/>
      <c r="X7120" s="231" t="n"/>
    </row>
    <row r="7121" ht="14.25" customHeight="1" s="192">
      <c r="W7121" s="235" t="n"/>
      <c r="X7121" s="235" t="n"/>
    </row>
    <row r="7122" ht="14.25" customHeight="1" s="192">
      <c r="W7122" s="228" t="n"/>
      <c r="X7122" s="228" t="n"/>
    </row>
    <row r="7123" ht="14.25" customHeight="1" s="192">
      <c r="W7123" s="235" t="n"/>
      <c r="X7123" s="235" t="n"/>
    </row>
    <row r="7124" ht="14.25" customHeight="1" s="192">
      <c r="W7124" s="235" t="n"/>
      <c r="X7124" s="235" t="n"/>
    </row>
    <row r="7125" ht="14.25" customHeight="1" s="192">
      <c r="W7125" s="235" t="n"/>
      <c r="X7125" s="235" t="n"/>
    </row>
    <row r="7126" ht="14.25" customHeight="1" s="192">
      <c r="W7126" s="239" t="n"/>
      <c r="X7126" s="239" t="n"/>
    </row>
    <row r="7127" ht="14.25" customHeight="1" s="192">
      <c r="W7127" s="239" t="n"/>
      <c r="X7127" s="239" t="n"/>
    </row>
    <row r="7128" ht="14.25" customHeight="1" s="192">
      <c r="W7128" s="239" t="n"/>
      <c r="X7128" s="239" t="n"/>
    </row>
    <row r="7129" ht="14.25" customHeight="1" s="192">
      <c r="W7129" s="235" t="n"/>
      <c r="X7129" s="235" t="n"/>
    </row>
    <row r="7130" ht="14.25" customHeight="1" s="192">
      <c r="W7130" s="235" t="n"/>
      <c r="X7130" s="235" t="n"/>
    </row>
    <row r="7131" ht="14.25" customHeight="1" s="192">
      <c r="W7131" s="235" t="n"/>
      <c r="X7131" s="235" t="n"/>
    </row>
    <row r="7132" ht="14.25" customHeight="1" s="192">
      <c r="W7132" s="239" t="n"/>
      <c r="X7132" s="239" t="n"/>
    </row>
    <row r="7133" ht="14.25" customHeight="1" s="192">
      <c r="W7133" s="239" t="n"/>
      <c r="X7133" s="239" t="n"/>
    </row>
    <row r="7134" ht="14.25" customHeight="1" s="192">
      <c r="W7134" s="235" t="n"/>
      <c r="X7134" s="235" t="n"/>
    </row>
    <row r="7135" ht="14.25" customHeight="1" s="192">
      <c r="W7135" s="235" t="n"/>
      <c r="X7135" s="235" t="n"/>
    </row>
    <row r="7136" ht="14.25" customHeight="1" s="192">
      <c r="W7136" s="239" t="n"/>
      <c r="X7136" s="239" t="n"/>
    </row>
    <row r="7137" ht="14.25" customHeight="1" s="192">
      <c r="W7137" s="235" t="n"/>
      <c r="X7137" s="235" t="n"/>
    </row>
    <row r="7138" ht="14.25" customHeight="1" s="192">
      <c r="W7138" s="239" t="n"/>
      <c r="X7138" s="239" t="n"/>
    </row>
    <row r="7140" ht="14.25" customHeight="1" s="192">
      <c r="W7140" s="235" t="n"/>
      <c r="X7140" s="235" t="n"/>
    </row>
    <row r="7141" ht="15" customHeight="1" s="192" thickBot="1">
      <c r="W7141" s="239" t="n"/>
      <c r="X7141" s="239" t="n"/>
    </row>
    <row r="7142" ht="15" customHeight="1" s="192" thickBot="1">
      <c r="W7142" s="45" t="n"/>
      <c r="X7142" s="45" t="n"/>
    </row>
    <row r="7143" ht="14.25" customHeight="1" s="192">
      <c r="W7143" s="228" t="n"/>
      <c r="X7143" s="228" t="n"/>
    </row>
    <row r="7144" ht="14.25" customHeight="1" s="192">
      <c r="W7144" s="228" t="n"/>
      <c r="X7144" s="228" t="n"/>
    </row>
    <row r="7145" ht="14.25" customHeight="1" s="192">
      <c r="W7145" s="231" t="n"/>
      <c r="X7145" s="231" t="n"/>
    </row>
    <row r="7146" ht="14.25" customHeight="1" s="192">
      <c r="W7146" s="33" t="n"/>
      <c r="X7146" s="33" t="n"/>
    </row>
    <row r="7147" ht="14.25" customHeight="1" s="192">
      <c r="W7147" s="231" t="n"/>
      <c r="X7147" s="231" t="n"/>
    </row>
    <row r="7148" ht="14.25" customHeight="1" s="192">
      <c r="W7148" s="33" t="n"/>
      <c r="X7148" s="33" t="n"/>
    </row>
    <row r="7150" ht="14.25" customHeight="1" s="192">
      <c r="W7150" s="231" t="n"/>
      <c r="X7150" s="231" t="n"/>
    </row>
    <row r="7151" ht="14.25" customHeight="1" s="192">
      <c r="W7151" s="235" t="n"/>
      <c r="X7151" s="235" t="n"/>
    </row>
    <row r="7152" ht="14.25" customHeight="1" s="192">
      <c r="W7152" s="228" t="n"/>
      <c r="X7152" s="228" t="n"/>
    </row>
    <row r="7153" ht="14.25" customHeight="1" s="192">
      <c r="W7153" s="235" t="n"/>
      <c r="X7153" s="235" t="n"/>
    </row>
    <row r="7154" ht="14.25" customHeight="1" s="192">
      <c r="W7154" s="235" t="n"/>
      <c r="X7154" s="235" t="n"/>
    </row>
    <row r="7155" ht="14.25" customHeight="1" s="192">
      <c r="W7155" s="235" t="n"/>
      <c r="X7155" s="235" t="n"/>
    </row>
    <row r="7156" ht="14.25" customHeight="1" s="192">
      <c r="W7156" s="239" t="n"/>
      <c r="X7156" s="239" t="n"/>
    </row>
    <row r="7157" ht="14.25" customHeight="1" s="192">
      <c r="W7157" s="239" t="n"/>
      <c r="X7157" s="239" t="n"/>
    </row>
    <row r="7158" ht="14.25" customHeight="1" s="192">
      <c r="W7158" s="239" t="n"/>
      <c r="X7158" s="239" t="n"/>
    </row>
    <row r="7159" ht="14.25" customHeight="1" s="192">
      <c r="W7159" s="235" t="n"/>
      <c r="X7159" s="235" t="n"/>
    </row>
    <row r="7160" ht="14.25" customHeight="1" s="192">
      <c r="W7160" s="235" t="n"/>
      <c r="X7160" s="235" t="n"/>
    </row>
    <row r="7161" ht="14.25" customHeight="1" s="192">
      <c r="W7161" s="235" t="n"/>
      <c r="X7161" s="235" t="n"/>
    </row>
    <row r="7162" ht="14.25" customHeight="1" s="192">
      <c r="W7162" s="239" t="n"/>
      <c r="X7162" s="239" t="n"/>
    </row>
    <row r="7163" ht="14.25" customHeight="1" s="192">
      <c r="W7163" s="239" t="n"/>
      <c r="X7163" s="239" t="n"/>
    </row>
    <row r="7164" ht="14.25" customHeight="1" s="192">
      <c r="W7164" s="235" t="n"/>
      <c r="X7164" s="235" t="n"/>
    </row>
    <row r="7165" ht="14.25" customHeight="1" s="192">
      <c r="W7165" s="235" t="n"/>
      <c r="X7165" s="235" t="n"/>
    </row>
    <row r="7166" ht="14.25" customHeight="1" s="192">
      <c r="W7166" s="239" t="n"/>
      <c r="X7166" s="239" t="n"/>
    </row>
    <row r="7167" ht="14.25" customHeight="1" s="192">
      <c r="W7167" s="235" t="n"/>
      <c r="X7167" s="235" t="n"/>
    </row>
    <row r="7168" ht="14.25" customHeight="1" s="192">
      <c r="W7168" s="239" t="n"/>
      <c r="X7168" s="239" t="n"/>
    </row>
    <row r="7170" ht="14.25" customHeight="1" s="192">
      <c r="W7170" s="235" t="n"/>
      <c r="X7170" s="235" t="n"/>
    </row>
    <row r="7171" ht="15" customHeight="1" s="192" thickBot="1">
      <c r="W7171" s="239" t="n"/>
      <c r="X7171" s="239" t="n"/>
    </row>
    <row r="7172" ht="15" customHeight="1" s="192" thickBot="1">
      <c r="W7172" s="45" t="n"/>
      <c r="X7172" s="45" t="n"/>
    </row>
    <row r="7173" ht="14.25" customHeight="1" s="192">
      <c r="W7173" s="228" t="n"/>
      <c r="X7173" s="228" t="n"/>
    </row>
    <row r="7174" ht="14.25" customHeight="1" s="192">
      <c r="W7174" s="228" t="n"/>
      <c r="X7174" s="228" t="n"/>
    </row>
    <row r="7175" ht="14.25" customHeight="1" s="192">
      <c r="W7175" s="231" t="n"/>
      <c r="X7175" s="231" t="n"/>
    </row>
    <row r="7176" ht="14.25" customHeight="1" s="192">
      <c r="W7176" s="33" t="n"/>
      <c r="X7176" s="33" t="n"/>
    </row>
    <row r="7177" ht="14.25" customHeight="1" s="192">
      <c r="W7177" s="231" t="n"/>
      <c r="X7177" s="231" t="n"/>
    </row>
    <row r="7178" ht="14.25" customHeight="1" s="192">
      <c r="W7178" s="33" t="n"/>
      <c r="X7178" s="33" t="n"/>
    </row>
    <row r="7180" ht="14.25" customHeight="1" s="192">
      <c r="W7180" s="231" t="n"/>
      <c r="X7180" s="231" t="n"/>
    </row>
    <row r="7181" ht="14.25" customHeight="1" s="192">
      <c r="W7181" s="235" t="n"/>
      <c r="X7181" s="235" t="n"/>
    </row>
    <row r="7182" ht="14.25" customHeight="1" s="192">
      <c r="W7182" s="228" t="n"/>
      <c r="X7182" s="228" t="n"/>
    </row>
    <row r="7183" ht="14.25" customHeight="1" s="192">
      <c r="W7183" s="235" t="n"/>
      <c r="X7183" s="235" t="n"/>
    </row>
    <row r="7184" ht="14.25" customHeight="1" s="192">
      <c r="W7184" s="235" t="n"/>
      <c r="X7184" s="235" t="n"/>
    </row>
    <row r="7185" ht="14.25" customHeight="1" s="192">
      <c r="W7185" s="235" t="n"/>
      <c r="X7185" s="235" t="n"/>
    </row>
    <row r="7186" ht="14.25" customHeight="1" s="192">
      <c r="W7186" s="239" t="n"/>
      <c r="X7186" s="239" t="n"/>
    </row>
    <row r="7187" ht="14.25" customHeight="1" s="192">
      <c r="W7187" s="239" t="n"/>
      <c r="X7187" s="239" t="n"/>
    </row>
    <row r="7188" ht="14.25" customHeight="1" s="192">
      <c r="W7188" s="239" t="n"/>
      <c r="X7188" s="239" t="n"/>
    </row>
    <row r="7189" ht="14.25" customHeight="1" s="192">
      <c r="W7189" s="235" t="n"/>
      <c r="X7189" s="235" t="n"/>
    </row>
    <row r="7190" ht="14.25" customHeight="1" s="192">
      <c r="W7190" s="235" t="n"/>
      <c r="X7190" s="235" t="n"/>
    </row>
    <row r="7191" ht="14.25" customHeight="1" s="192">
      <c r="W7191" s="235" t="n"/>
      <c r="X7191" s="235" t="n"/>
    </row>
    <row r="7192" ht="14.25" customHeight="1" s="192">
      <c r="W7192" s="239" t="n"/>
      <c r="X7192" s="239" t="n"/>
    </row>
    <row r="7193" ht="14.25" customHeight="1" s="192">
      <c r="W7193" s="239" t="n"/>
      <c r="X7193" s="239" t="n"/>
    </row>
    <row r="7194" ht="14.25" customHeight="1" s="192">
      <c r="W7194" s="235" t="n"/>
      <c r="X7194" s="235" t="n"/>
    </row>
    <row r="7195" ht="14.25" customHeight="1" s="192">
      <c r="W7195" s="235" t="n"/>
      <c r="X7195" s="235" t="n"/>
    </row>
    <row r="7196" ht="14.25" customHeight="1" s="192">
      <c r="W7196" s="239" t="n"/>
      <c r="X7196" s="239" t="n"/>
    </row>
    <row r="7197" ht="14.25" customHeight="1" s="192">
      <c r="W7197" s="235" t="n"/>
      <c r="X7197" s="235" t="n"/>
    </row>
    <row r="7198" ht="14.25" customHeight="1" s="192">
      <c r="W7198" s="239" t="n"/>
      <c r="X7198" s="239" t="n"/>
    </row>
    <row r="7200" ht="14.25" customHeight="1" s="192">
      <c r="W7200" s="235" t="n"/>
      <c r="X7200" s="235" t="n"/>
    </row>
    <row r="7201" ht="15" customHeight="1" s="192" thickBot="1">
      <c r="W7201" s="239" t="n"/>
      <c r="X7201" s="239" t="n"/>
    </row>
    <row r="7202" ht="15" customHeight="1" s="192" thickBot="1">
      <c r="W7202" s="45" t="n"/>
      <c r="X7202" s="45" t="n"/>
    </row>
    <row r="7203" ht="14.25" customHeight="1" s="192">
      <c r="W7203" s="228" t="n"/>
      <c r="X7203" s="228" t="n"/>
    </row>
    <row r="7204" ht="14.25" customHeight="1" s="192">
      <c r="W7204" s="228" t="n"/>
      <c r="X7204" s="228" t="n"/>
    </row>
    <row r="7205" ht="14.25" customHeight="1" s="192">
      <c r="W7205" s="231" t="n"/>
      <c r="X7205" s="231" t="n"/>
    </row>
    <row r="7206" ht="14.25" customHeight="1" s="192">
      <c r="W7206" s="33" t="n"/>
      <c r="X7206" s="33" t="n"/>
    </row>
    <row r="7207" ht="14.25" customHeight="1" s="192">
      <c r="W7207" s="231" t="n"/>
      <c r="X7207" s="231" t="n"/>
    </row>
    <row r="7208" ht="14.25" customHeight="1" s="192">
      <c r="W7208" s="33" t="n"/>
      <c r="X7208" s="33" t="n"/>
    </row>
    <row r="7210" ht="14.25" customHeight="1" s="192">
      <c r="W7210" s="231" t="n"/>
      <c r="X7210" s="231" t="n"/>
    </row>
    <row r="7211" ht="14.25" customHeight="1" s="192">
      <c r="W7211" s="235" t="n"/>
      <c r="X7211" s="235" t="n"/>
    </row>
    <row r="7212" ht="14.25" customHeight="1" s="192">
      <c r="W7212" s="228" t="n"/>
      <c r="X7212" s="228" t="n"/>
    </row>
    <row r="7213" ht="14.25" customHeight="1" s="192">
      <c r="W7213" s="235" t="n"/>
      <c r="X7213" s="235" t="n"/>
    </row>
    <row r="7214" ht="14.25" customHeight="1" s="192">
      <c r="W7214" s="235" t="n"/>
      <c r="X7214" s="235" t="n"/>
    </row>
    <row r="7215" ht="14.25" customHeight="1" s="192">
      <c r="W7215" s="235" t="n"/>
      <c r="X7215" s="235" t="n"/>
    </row>
    <row r="7216" ht="14.25" customHeight="1" s="192">
      <c r="W7216" s="239" t="n"/>
      <c r="X7216" s="239" t="n"/>
    </row>
    <row r="7217" ht="14.25" customHeight="1" s="192">
      <c r="W7217" s="239" t="n"/>
      <c r="X7217" s="239" t="n"/>
    </row>
    <row r="7218" ht="14.25" customHeight="1" s="192">
      <c r="W7218" s="239" t="n"/>
      <c r="X7218" s="239" t="n"/>
    </row>
    <row r="7219" ht="14.25" customHeight="1" s="192">
      <c r="W7219" s="235" t="n"/>
      <c r="X7219" s="235" t="n"/>
    </row>
    <row r="7220" ht="14.25" customHeight="1" s="192">
      <c r="W7220" s="235" t="n"/>
      <c r="X7220" s="235" t="n"/>
    </row>
    <row r="7221" ht="14.25" customHeight="1" s="192">
      <c r="W7221" s="235" t="n"/>
      <c r="X7221" s="235" t="n"/>
    </row>
    <row r="7222" ht="14.25" customHeight="1" s="192">
      <c r="W7222" s="239" t="n"/>
      <c r="X7222" s="239" t="n"/>
    </row>
    <row r="7223" ht="14.25" customHeight="1" s="192">
      <c r="W7223" s="239" t="n"/>
      <c r="X7223" s="239" t="n"/>
    </row>
    <row r="7224" ht="14.25" customHeight="1" s="192">
      <c r="W7224" s="235" t="n"/>
      <c r="X7224" s="235" t="n"/>
    </row>
    <row r="7225" ht="14.25" customHeight="1" s="192">
      <c r="W7225" s="235" t="n"/>
      <c r="X7225" s="235" t="n"/>
    </row>
    <row r="7226" ht="14.25" customHeight="1" s="192">
      <c r="W7226" s="239" t="n"/>
      <c r="X7226" s="239" t="n"/>
    </row>
    <row r="7227" ht="14.25" customHeight="1" s="192">
      <c r="W7227" s="235" t="n"/>
      <c r="X7227" s="235" t="n"/>
    </row>
    <row r="7228" ht="14.25" customHeight="1" s="192">
      <c r="W7228" s="239" t="n"/>
      <c r="X7228" s="239" t="n"/>
    </row>
    <row r="7230" ht="14.25" customHeight="1" s="192">
      <c r="W7230" s="235" t="n"/>
      <c r="X7230" s="235" t="n"/>
    </row>
    <row r="7231" ht="15" customHeight="1" s="192" thickBot="1">
      <c r="W7231" s="239" t="n"/>
      <c r="X7231" s="239" t="n"/>
    </row>
    <row r="7232" ht="15" customHeight="1" s="192" thickBot="1">
      <c r="W7232" s="45" t="n"/>
      <c r="X7232" s="45" t="n"/>
    </row>
    <row r="7233" ht="14.25" customHeight="1" s="192">
      <c r="W7233" s="228" t="n"/>
      <c r="X7233" s="228" t="n"/>
    </row>
    <row r="7234" ht="14.25" customHeight="1" s="192">
      <c r="W7234" s="228" t="n"/>
      <c r="X7234" s="228" t="n"/>
    </row>
    <row r="7235" ht="14.25" customHeight="1" s="192">
      <c r="W7235" s="231" t="n"/>
      <c r="X7235" s="231" t="n"/>
    </row>
    <row r="7236" ht="14.25" customHeight="1" s="192">
      <c r="W7236" s="33" t="n"/>
      <c r="X7236" s="33" t="n"/>
    </row>
    <row r="7237" ht="14.25" customHeight="1" s="192">
      <c r="W7237" s="231" t="n"/>
      <c r="X7237" s="231" t="n"/>
    </row>
    <row r="7238" ht="14.25" customHeight="1" s="192">
      <c r="W7238" s="33" t="n"/>
      <c r="X7238" s="33" t="n"/>
    </row>
    <row r="7240" ht="14.25" customHeight="1" s="192">
      <c r="W7240" s="231" t="n"/>
      <c r="X7240" s="231" t="n"/>
    </row>
    <row r="7241" ht="14.25" customHeight="1" s="192">
      <c r="W7241" s="235" t="n"/>
      <c r="X7241" s="235" t="n"/>
    </row>
    <row r="7242" ht="14.25" customHeight="1" s="192">
      <c r="W7242" s="228" t="n"/>
      <c r="X7242" s="228" t="n"/>
    </row>
    <row r="7243" ht="14.25" customHeight="1" s="192">
      <c r="W7243" s="235" t="n"/>
      <c r="X7243" s="235" t="n"/>
    </row>
    <row r="7244" ht="14.25" customHeight="1" s="192">
      <c r="W7244" s="235" t="n"/>
      <c r="X7244" s="235" t="n"/>
    </row>
    <row r="7245" ht="14.25" customHeight="1" s="192">
      <c r="W7245" s="235" t="n"/>
      <c r="X7245" s="235" t="n"/>
    </row>
    <row r="7246" ht="14.25" customHeight="1" s="192">
      <c r="W7246" s="239" t="n"/>
      <c r="X7246" s="239" t="n"/>
    </row>
    <row r="7247" ht="14.25" customHeight="1" s="192">
      <c r="W7247" s="239" t="n"/>
      <c r="X7247" s="239" t="n"/>
    </row>
    <row r="7248" ht="14.25" customHeight="1" s="192">
      <c r="W7248" s="239" t="n"/>
      <c r="X7248" s="239" t="n"/>
    </row>
    <row r="7249" ht="14.25" customHeight="1" s="192">
      <c r="W7249" s="235" t="n"/>
      <c r="X7249" s="235" t="n"/>
    </row>
    <row r="7250" ht="14.25" customHeight="1" s="192">
      <c r="W7250" s="235" t="n"/>
      <c r="X7250" s="235" t="n"/>
    </row>
    <row r="7251" ht="14.25" customHeight="1" s="192">
      <c r="W7251" s="235" t="n"/>
      <c r="X7251" s="235" t="n"/>
    </row>
    <row r="7252" ht="14.25" customHeight="1" s="192">
      <c r="W7252" s="239" t="n"/>
      <c r="X7252" s="239" t="n"/>
    </row>
    <row r="7253" ht="14.25" customHeight="1" s="192">
      <c r="W7253" s="239" t="n"/>
      <c r="X7253" s="239" t="n"/>
    </row>
    <row r="7254" ht="14.25" customHeight="1" s="192">
      <c r="W7254" s="235" t="n"/>
      <c r="X7254" s="235" t="n"/>
    </row>
    <row r="7255" ht="14.25" customHeight="1" s="192">
      <c r="W7255" s="235" t="n"/>
      <c r="X7255" s="235" t="n"/>
    </row>
    <row r="7256" ht="14.25" customHeight="1" s="192">
      <c r="W7256" s="239" t="n"/>
      <c r="X7256" s="239" t="n"/>
    </row>
    <row r="7257" ht="14.25" customHeight="1" s="192">
      <c r="W7257" s="235" t="n"/>
      <c r="X7257" s="235" t="n"/>
    </row>
    <row r="7258" ht="14.25" customHeight="1" s="192">
      <c r="W7258" s="239" t="n"/>
      <c r="X7258" s="239" t="n"/>
    </row>
    <row r="7260" ht="14.25" customHeight="1" s="192">
      <c r="W7260" s="235" t="n"/>
      <c r="X7260" s="235" t="n"/>
    </row>
    <row r="7261" ht="15" customHeight="1" s="192" thickBot="1">
      <c r="W7261" s="239" t="n"/>
      <c r="X7261" s="239" t="n"/>
    </row>
    <row r="7262" ht="15" customHeight="1" s="192" thickBot="1">
      <c r="W7262" s="45" t="n"/>
      <c r="X7262" s="45" t="n"/>
    </row>
    <row r="7263" ht="14.25" customHeight="1" s="192">
      <c r="W7263" s="228" t="n"/>
      <c r="X7263" s="228" t="n"/>
    </row>
    <row r="7264" ht="14.25" customHeight="1" s="192">
      <c r="W7264" s="228" t="n"/>
      <c r="X7264" s="228" t="n"/>
    </row>
    <row r="7265" ht="14.25" customHeight="1" s="192">
      <c r="W7265" s="231" t="n"/>
      <c r="X7265" s="231" t="n"/>
    </row>
    <row r="7266" ht="14.25" customHeight="1" s="192">
      <c r="W7266" s="33" t="n"/>
      <c r="X7266" s="33" t="n"/>
    </row>
    <row r="7267" ht="14.25" customHeight="1" s="192">
      <c r="W7267" s="231" t="n"/>
      <c r="X7267" s="231" t="n"/>
    </row>
    <row r="7268" ht="14.25" customHeight="1" s="192">
      <c r="W7268" s="33" t="n"/>
      <c r="X7268" s="33" t="n"/>
    </row>
    <row r="7270" ht="14.25" customHeight="1" s="192">
      <c r="W7270" s="231" t="n"/>
      <c r="X7270" s="231" t="n"/>
    </row>
    <row r="7271" ht="14.25" customHeight="1" s="192">
      <c r="W7271" s="235" t="n"/>
      <c r="X7271" s="235" t="n"/>
    </row>
    <row r="7272" ht="14.25" customHeight="1" s="192">
      <c r="W7272" s="228" t="n"/>
      <c r="X7272" s="228" t="n"/>
    </row>
    <row r="7273" ht="14.25" customHeight="1" s="192">
      <c r="W7273" s="235" t="n"/>
      <c r="X7273" s="235" t="n"/>
    </row>
    <row r="7274" ht="14.25" customHeight="1" s="192">
      <c r="W7274" s="235" t="n"/>
      <c r="X7274" s="235" t="n"/>
    </row>
    <row r="7275" ht="14.25" customHeight="1" s="192">
      <c r="W7275" s="235" t="n"/>
      <c r="X7275" s="235" t="n"/>
    </row>
    <row r="7276" ht="14.25" customHeight="1" s="192">
      <c r="W7276" s="239" t="n"/>
      <c r="X7276" s="239" t="n"/>
    </row>
    <row r="7277" ht="14.25" customHeight="1" s="192">
      <c r="W7277" s="239" t="n"/>
      <c r="X7277" s="239" t="n"/>
    </row>
    <row r="7278" ht="14.25" customHeight="1" s="192">
      <c r="W7278" s="239" t="n"/>
      <c r="X7278" s="239" t="n"/>
    </row>
    <row r="7279" ht="14.25" customHeight="1" s="192">
      <c r="W7279" s="235" t="n"/>
      <c r="X7279" s="235" t="n"/>
    </row>
    <row r="7280" ht="14.25" customHeight="1" s="192">
      <c r="W7280" s="235" t="n"/>
      <c r="X7280" s="235" t="n"/>
    </row>
    <row r="7281" ht="14.25" customHeight="1" s="192">
      <c r="W7281" s="235" t="n"/>
      <c r="X7281" s="235" t="n"/>
    </row>
    <row r="7282" ht="14.25" customHeight="1" s="192">
      <c r="W7282" s="239" t="n"/>
      <c r="X7282" s="239" t="n"/>
    </row>
    <row r="7283" ht="14.25" customHeight="1" s="192">
      <c r="W7283" s="239" t="n"/>
      <c r="X7283" s="239" t="n"/>
    </row>
    <row r="7284" ht="14.25" customHeight="1" s="192">
      <c r="W7284" s="235" t="n"/>
      <c r="X7284" s="235" t="n"/>
    </row>
    <row r="7285" ht="14.25" customHeight="1" s="192">
      <c r="W7285" s="235" t="n"/>
      <c r="X7285" s="235" t="n"/>
    </row>
    <row r="7286" ht="14.25" customHeight="1" s="192">
      <c r="W7286" s="239" t="n"/>
      <c r="X7286" s="239" t="n"/>
    </row>
    <row r="7287" ht="14.25" customHeight="1" s="192">
      <c r="W7287" s="235" t="n"/>
      <c r="X7287" s="235" t="n"/>
    </row>
    <row r="7288" ht="14.25" customHeight="1" s="192">
      <c r="W7288" s="239" t="n"/>
      <c r="X7288" s="239" t="n"/>
    </row>
    <row r="7290" ht="14.25" customHeight="1" s="192">
      <c r="W7290" s="235" t="n"/>
      <c r="X7290" s="235" t="n"/>
    </row>
    <row r="7291" ht="15" customHeight="1" s="192" thickBot="1">
      <c r="W7291" s="239" t="n"/>
      <c r="X7291" s="239" t="n"/>
    </row>
    <row r="7292" ht="15" customHeight="1" s="192" thickBot="1">
      <c r="W7292" s="45" t="n"/>
      <c r="X7292" s="45" t="n"/>
    </row>
    <row r="7293" ht="14.25" customHeight="1" s="192">
      <c r="W7293" s="228" t="n"/>
      <c r="X7293" s="228" t="n"/>
    </row>
    <row r="7294" ht="14.25" customHeight="1" s="192">
      <c r="W7294" s="228" t="n"/>
      <c r="X7294" s="228" t="n"/>
    </row>
    <row r="7295" ht="14.25" customHeight="1" s="192">
      <c r="W7295" s="231" t="n"/>
      <c r="X7295" s="231" t="n"/>
    </row>
    <row r="7296" ht="14.25" customHeight="1" s="192">
      <c r="W7296" s="33" t="n"/>
      <c r="X7296" s="33" t="n"/>
    </row>
    <row r="7297" ht="14.25" customHeight="1" s="192">
      <c r="W7297" s="231" t="n"/>
      <c r="X7297" s="231" t="n"/>
    </row>
    <row r="7298" ht="14.25" customHeight="1" s="192">
      <c r="W7298" s="33" t="n"/>
      <c r="X7298" s="33" t="n"/>
    </row>
    <row r="7300" ht="14.25" customHeight="1" s="192">
      <c r="W7300" s="231" t="n"/>
      <c r="X7300" s="231" t="n"/>
    </row>
    <row r="7301" ht="14.25" customHeight="1" s="192">
      <c r="W7301" s="235" t="n"/>
      <c r="X7301" s="235" t="n"/>
    </row>
    <row r="7302" ht="14.25" customHeight="1" s="192">
      <c r="W7302" s="228" t="n"/>
      <c r="X7302" s="228" t="n"/>
    </row>
    <row r="7303" ht="14.25" customHeight="1" s="192">
      <c r="W7303" s="235" t="n"/>
      <c r="X7303" s="235" t="n"/>
    </row>
    <row r="7304" ht="14.25" customHeight="1" s="192">
      <c r="W7304" s="235" t="n"/>
      <c r="X7304" s="235" t="n"/>
    </row>
    <row r="7305" ht="14.25" customHeight="1" s="192">
      <c r="W7305" s="235" t="n"/>
      <c r="X7305" s="235" t="n"/>
    </row>
    <row r="7306" ht="14.25" customHeight="1" s="192">
      <c r="W7306" s="239" t="n"/>
      <c r="X7306" s="239" t="n"/>
    </row>
    <row r="7307" ht="14.25" customHeight="1" s="192">
      <c r="W7307" s="239" t="n"/>
      <c r="X7307" s="239" t="n"/>
    </row>
    <row r="7308" ht="14.25" customHeight="1" s="192">
      <c r="W7308" s="239" t="n"/>
      <c r="X7308" s="239" t="n"/>
    </row>
    <row r="7309" ht="14.25" customHeight="1" s="192">
      <c r="W7309" s="235" t="n"/>
      <c r="X7309" s="235" t="n"/>
    </row>
    <row r="7310" ht="14.25" customHeight="1" s="192">
      <c r="W7310" s="235" t="n"/>
      <c r="X7310" s="235" t="n"/>
    </row>
    <row r="7311" ht="14.25" customHeight="1" s="192">
      <c r="W7311" s="235" t="n"/>
      <c r="X7311" s="235" t="n"/>
    </row>
    <row r="7312" ht="14.25" customHeight="1" s="192">
      <c r="W7312" s="239" t="n"/>
      <c r="X7312" s="239" t="n"/>
    </row>
    <row r="7313" ht="14.25" customHeight="1" s="192">
      <c r="W7313" s="239" t="n"/>
      <c r="X7313" s="239" t="n"/>
    </row>
    <row r="7314" ht="14.25" customHeight="1" s="192">
      <c r="W7314" s="235" t="n"/>
      <c r="X7314" s="235" t="n"/>
    </row>
    <row r="7315" ht="14.25" customHeight="1" s="192">
      <c r="W7315" s="235" t="n"/>
      <c r="X7315" s="235" t="n"/>
    </row>
    <row r="7316" ht="14.25" customHeight="1" s="192">
      <c r="W7316" s="239" t="n"/>
      <c r="X7316" s="239" t="n"/>
    </row>
    <row r="7317" ht="14.25" customHeight="1" s="192">
      <c r="W7317" s="235" t="n"/>
      <c r="X7317" s="235" t="n"/>
    </row>
    <row r="7318" ht="14.25" customHeight="1" s="192">
      <c r="W7318" s="239" t="n"/>
      <c r="X7318" s="239" t="n"/>
    </row>
    <row r="7320" ht="14.25" customHeight="1" s="192">
      <c r="W7320" s="235" t="n"/>
      <c r="X7320" s="235" t="n"/>
    </row>
    <row r="7321" ht="15" customHeight="1" s="192" thickBot="1">
      <c r="W7321" s="239" t="n"/>
      <c r="X7321" s="239" t="n"/>
    </row>
    <row r="7322" ht="15" customHeight="1" s="192" thickBot="1">
      <c r="W7322" s="45" t="n"/>
      <c r="X7322" s="45" t="n"/>
    </row>
    <row r="7323" ht="14.25" customHeight="1" s="192">
      <c r="W7323" s="228" t="n"/>
      <c r="X7323" s="228" t="n"/>
    </row>
    <row r="7324" ht="14.25" customHeight="1" s="192">
      <c r="W7324" s="228" t="n"/>
      <c r="X7324" s="228" t="n"/>
    </row>
    <row r="7325" ht="14.25" customHeight="1" s="192">
      <c r="W7325" s="231" t="n"/>
      <c r="X7325" s="231" t="n"/>
    </row>
    <row r="7326" ht="14.25" customHeight="1" s="192">
      <c r="W7326" s="33" t="n"/>
      <c r="X7326" s="33" t="n"/>
    </row>
    <row r="7327" ht="14.25" customHeight="1" s="192">
      <c r="W7327" s="231" t="n"/>
      <c r="X7327" s="231" t="n"/>
    </row>
    <row r="7328" ht="14.25" customHeight="1" s="192">
      <c r="W7328" s="33" t="n"/>
      <c r="X7328" s="33" t="n"/>
    </row>
    <row r="7330" ht="14.25" customHeight="1" s="192">
      <c r="W7330" s="231" t="n"/>
      <c r="X7330" s="231" t="n"/>
    </row>
    <row r="7331" ht="14.25" customHeight="1" s="192">
      <c r="W7331" s="235" t="n"/>
      <c r="X7331" s="235" t="n"/>
    </row>
    <row r="7332" ht="14.25" customHeight="1" s="192">
      <c r="W7332" s="228" t="n"/>
      <c r="X7332" s="228" t="n"/>
    </row>
    <row r="7333" ht="14.25" customHeight="1" s="192">
      <c r="W7333" s="235" t="n"/>
      <c r="X7333" s="235" t="n"/>
    </row>
    <row r="7334" ht="14.25" customHeight="1" s="192">
      <c r="W7334" s="235" t="n"/>
      <c r="X7334" s="235" t="n"/>
    </row>
    <row r="7335" ht="14.25" customHeight="1" s="192">
      <c r="W7335" s="235" t="n"/>
      <c r="X7335" s="235" t="n"/>
    </row>
    <row r="7336" ht="14.25" customHeight="1" s="192">
      <c r="W7336" s="239" t="n"/>
      <c r="X7336" s="239" t="n"/>
    </row>
    <row r="7337" ht="14.25" customHeight="1" s="192">
      <c r="W7337" s="239" t="n"/>
      <c r="X7337" s="239" t="n"/>
    </row>
    <row r="7338" ht="14.25" customHeight="1" s="192">
      <c r="W7338" s="239" t="n"/>
      <c r="X7338" s="239" t="n"/>
    </row>
    <row r="7339" ht="14.25" customHeight="1" s="192">
      <c r="W7339" s="235" t="n"/>
      <c r="X7339" s="235" t="n"/>
    </row>
    <row r="7340" ht="14.25" customHeight="1" s="192">
      <c r="W7340" s="235" t="n"/>
      <c r="X7340" s="235" t="n"/>
    </row>
    <row r="7341" ht="14.25" customHeight="1" s="192">
      <c r="W7341" s="235" t="n"/>
      <c r="X7341" s="235" t="n"/>
    </row>
    <row r="7342" ht="14.25" customHeight="1" s="192">
      <c r="W7342" s="239" t="n"/>
      <c r="X7342" s="239" t="n"/>
    </row>
    <row r="7343" ht="14.25" customHeight="1" s="192">
      <c r="W7343" s="239" t="n"/>
      <c r="X7343" s="239" t="n"/>
    </row>
    <row r="7344" ht="14.25" customHeight="1" s="192">
      <c r="W7344" s="235" t="n"/>
      <c r="X7344" s="235" t="n"/>
    </row>
    <row r="7345" ht="14.25" customHeight="1" s="192">
      <c r="W7345" s="235" t="n"/>
      <c r="X7345" s="235" t="n"/>
    </row>
    <row r="7346" ht="14.25" customHeight="1" s="192">
      <c r="W7346" s="239" t="n"/>
      <c r="X7346" s="239" t="n"/>
    </row>
    <row r="7347" ht="14.25" customHeight="1" s="192">
      <c r="W7347" s="235" t="n"/>
      <c r="X7347" s="235" t="n"/>
    </row>
    <row r="7348" ht="14.25" customHeight="1" s="192">
      <c r="W7348" s="239" t="n"/>
      <c r="X7348" s="239" t="n"/>
    </row>
    <row r="7350" ht="14.25" customHeight="1" s="192">
      <c r="W7350" s="235" t="n"/>
      <c r="X7350" s="235" t="n"/>
    </row>
    <row r="7351" ht="15" customHeight="1" s="192" thickBot="1">
      <c r="W7351" s="239" t="n"/>
      <c r="X7351" s="239" t="n"/>
    </row>
    <row r="7352" ht="15" customHeight="1" s="192" thickBot="1">
      <c r="W7352" s="45" t="n"/>
      <c r="X7352" s="45" t="n"/>
    </row>
    <row r="7353" ht="14.25" customHeight="1" s="192">
      <c r="W7353" s="228" t="n"/>
      <c r="X7353" s="228" t="n"/>
    </row>
    <row r="7354" ht="14.25" customHeight="1" s="192">
      <c r="W7354" s="228" t="n"/>
      <c r="X7354" s="228" t="n"/>
    </row>
    <row r="7355" ht="14.25" customHeight="1" s="192">
      <c r="W7355" s="231" t="n"/>
      <c r="X7355" s="231" t="n"/>
    </row>
    <row r="7356" ht="14.25" customHeight="1" s="192">
      <c r="W7356" s="33" t="n"/>
      <c r="X7356" s="33" t="n"/>
    </row>
    <row r="7357" ht="14.25" customHeight="1" s="192">
      <c r="W7357" s="231" t="n"/>
      <c r="X7357" s="231" t="n"/>
    </row>
    <row r="7358" ht="14.25" customHeight="1" s="192">
      <c r="W7358" s="33" t="n"/>
      <c r="X7358" s="33" t="n"/>
    </row>
    <row r="7360" ht="14.25" customHeight="1" s="192">
      <c r="W7360" s="231" t="n"/>
      <c r="X7360" s="231" t="n"/>
    </row>
    <row r="7361" ht="14.25" customHeight="1" s="192">
      <c r="W7361" s="235" t="n"/>
      <c r="X7361" s="235" t="n"/>
    </row>
    <row r="7362" ht="14.25" customHeight="1" s="192">
      <c r="W7362" s="228" t="n"/>
      <c r="X7362" s="228" t="n"/>
    </row>
    <row r="7363" ht="14.25" customHeight="1" s="192">
      <c r="W7363" s="235" t="n"/>
      <c r="X7363" s="235" t="n"/>
    </row>
    <row r="7364" ht="14.25" customHeight="1" s="192">
      <c r="W7364" s="235" t="n"/>
      <c r="X7364" s="235" t="n"/>
    </row>
    <row r="7365" ht="14.25" customHeight="1" s="192">
      <c r="W7365" s="235" t="n"/>
      <c r="X7365" s="235" t="n"/>
    </row>
    <row r="7366" ht="14.25" customHeight="1" s="192">
      <c r="W7366" s="239" t="n"/>
      <c r="X7366" s="239" t="n"/>
    </row>
    <row r="7367" ht="14.25" customHeight="1" s="192">
      <c r="W7367" s="239" t="n"/>
      <c r="X7367" s="239" t="n"/>
    </row>
    <row r="7368" ht="14.25" customHeight="1" s="192">
      <c r="W7368" s="239" t="n"/>
      <c r="X7368" s="239" t="n"/>
    </row>
    <row r="7369" ht="14.25" customHeight="1" s="192">
      <c r="W7369" s="235" t="n"/>
      <c r="X7369" s="235" t="n"/>
    </row>
    <row r="7370" ht="14.25" customHeight="1" s="192">
      <c r="W7370" s="235" t="n"/>
      <c r="X7370" s="235" t="n"/>
    </row>
    <row r="7371" ht="14.25" customHeight="1" s="192">
      <c r="W7371" s="235" t="n"/>
      <c r="X7371" s="235" t="n"/>
    </row>
    <row r="7372" ht="14.25" customHeight="1" s="192">
      <c r="W7372" s="239" t="n"/>
      <c r="X7372" s="239" t="n"/>
    </row>
    <row r="7373" ht="14.25" customHeight="1" s="192">
      <c r="W7373" s="239" t="n"/>
      <c r="X7373" s="239" t="n"/>
    </row>
    <row r="7374" ht="14.25" customHeight="1" s="192">
      <c r="W7374" s="235" t="n"/>
      <c r="X7374" s="235" t="n"/>
    </row>
    <row r="7375" ht="14.25" customHeight="1" s="192">
      <c r="W7375" s="235" t="n"/>
      <c r="X7375" s="235" t="n"/>
    </row>
    <row r="7376" ht="14.25" customHeight="1" s="192">
      <c r="W7376" s="239" t="n"/>
      <c r="X7376" s="239" t="n"/>
    </row>
    <row r="7377" ht="14.25" customHeight="1" s="192">
      <c r="W7377" s="235" t="n"/>
      <c r="X7377" s="235" t="n"/>
    </row>
    <row r="7378" ht="14.25" customHeight="1" s="192">
      <c r="W7378" s="239" t="n"/>
      <c r="X7378" s="239" t="n"/>
    </row>
    <row r="7380" ht="14.25" customHeight="1" s="192">
      <c r="W7380" s="235" t="n"/>
      <c r="X7380" s="235" t="n"/>
    </row>
    <row r="7381" ht="15" customHeight="1" s="192" thickBot="1">
      <c r="W7381" s="239" t="n"/>
      <c r="X7381" s="239" t="n"/>
    </row>
    <row r="7382" ht="15" customHeight="1" s="192" thickBot="1">
      <c r="W7382" s="45" t="n"/>
      <c r="X7382" s="45" t="n"/>
    </row>
    <row r="7383" ht="14.25" customHeight="1" s="192">
      <c r="W7383" s="228" t="n"/>
      <c r="X7383" s="228" t="n"/>
    </row>
    <row r="7384" ht="14.25" customHeight="1" s="192">
      <c r="W7384" s="228" t="n"/>
      <c r="X7384" s="228" t="n"/>
    </row>
    <row r="7385" ht="14.25" customHeight="1" s="192">
      <c r="W7385" s="231" t="n"/>
      <c r="X7385" s="231" t="n"/>
    </row>
    <row r="7386" ht="14.25" customHeight="1" s="192">
      <c r="W7386" s="33" t="n"/>
      <c r="X7386" s="33" t="n"/>
    </row>
    <row r="7387" ht="14.25" customHeight="1" s="192">
      <c r="W7387" s="231" t="n"/>
      <c r="X7387" s="231" t="n"/>
    </row>
    <row r="7388" ht="14.25" customHeight="1" s="192">
      <c r="W7388" s="33" t="n"/>
      <c r="X7388" s="33" t="n"/>
    </row>
    <row r="7390" ht="14.25" customHeight="1" s="192">
      <c r="W7390" s="231" t="n"/>
      <c r="X7390" s="231" t="n"/>
    </row>
    <row r="7391" ht="14.25" customHeight="1" s="192">
      <c r="W7391" s="235" t="n"/>
      <c r="X7391" s="235" t="n"/>
    </row>
    <row r="7392" ht="14.25" customHeight="1" s="192">
      <c r="W7392" s="228" t="n"/>
      <c r="X7392" s="228" t="n"/>
    </row>
    <row r="7393" ht="14.25" customHeight="1" s="192">
      <c r="W7393" s="235" t="n"/>
      <c r="X7393" s="235" t="n"/>
    </row>
    <row r="7394" ht="14.25" customHeight="1" s="192">
      <c r="W7394" s="235" t="n"/>
      <c r="X7394" s="235" t="n"/>
    </row>
    <row r="7395" ht="14.25" customHeight="1" s="192">
      <c r="W7395" s="235" t="n"/>
      <c r="X7395" s="235" t="n"/>
    </row>
    <row r="7396" ht="14.25" customHeight="1" s="192">
      <c r="W7396" s="239" t="n"/>
      <c r="X7396" s="239" t="n"/>
    </row>
    <row r="7397" ht="14.25" customHeight="1" s="192">
      <c r="W7397" s="239" t="n"/>
      <c r="X7397" s="239" t="n"/>
    </row>
    <row r="7398" ht="14.25" customHeight="1" s="192">
      <c r="W7398" s="239" t="n"/>
      <c r="X7398" s="239" t="n"/>
    </row>
    <row r="7399" ht="14.25" customHeight="1" s="192">
      <c r="W7399" s="235" t="n"/>
      <c r="X7399" s="235" t="n"/>
    </row>
    <row r="7400" ht="14.25" customHeight="1" s="192">
      <c r="W7400" s="235" t="n"/>
      <c r="X7400" s="235" t="n"/>
    </row>
    <row r="7401" ht="14.25" customHeight="1" s="192">
      <c r="W7401" s="235" t="n"/>
      <c r="X7401" s="235" t="n"/>
    </row>
    <row r="7402" ht="14.25" customHeight="1" s="192">
      <c r="W7402" s="239" t="n"/>
      <c r="X7402" s="239" t="n"/>
    </row>
    <row r="7403" ht="14.25" customHeight="1" s="192">
      <c r="W7403" s="239" t="n"/>
      <c r="X7403" s="239" t="n"/>
    </row>
    <row r="7404" ht="14.25" customHeight="1" s="192">
      <c r="W7404" s="235" t="n"/>
      <c r="X7404" s="235" t="n"/>
    </row>
    <row r="7405" ht="14.25" customHeight="1" s="192">
      <c r="W7405" s="235" t="n"/>
      <c r="X7405" s="235" t="n"/>
    </row>
    <row r="7406" ht="14.25" customHeight="1" s="192">
      <c r="W7406" s="239" t="n"/>
      <c r="X7406" s="239" t="n"/>
    </row>
    <row r="7407" ht="14.25" customHeight="1" s="192">
      <c r="W7407" s="235" t="n"/>
      <c r="X7407" s="235" t="n"/>
    </row>
    <row r="7408" ht="14.25" customHeight="1" s="192">
      <c r="W7408" s="239" t="n"/>
      <c r="X7408" s="239" t="n"/>
    </row>
    <row r="7410" ht="14.25" customHeight="1" s="192">
      <c r="W7410" s="235" t="n"/>
      <c r="X7410" s="235" t="n"/>
    </row>
    <row r="7411" ht="15" customHeight="1" s="192" thickBot="1">
      <c r="W7411" s="239" t="n"/>
      <c r="X7411" s="239" t="n"/>
    </row>
    <row r="7412" ht="15" customHeight="1" s="192" thickBot="1">
      <c r="W7412" s="45" t="n"/>
      <c r="X7412" s="45" t="n"/>
    </row>
    <row r="7413" ht="14.25" customHeight="1" s="192">
      <c r="W7413" s="228" t="n"/>
      <c r="X7413" s="228" t="n"/>
    </row>
    <row r="7414" ht="14.25" customHeight="1" s="192">
      <c r="W7414" s="228" t="n"/>
      <c r="X7414" s="228" t="n"/>
    </row>
    <row r="7415" ht="14.25" customHeight="1" s="192">
      <c r="W7415" s="231" t="n"/>
      <c r="X7415" s="231" t="n"/>
    </row>
    <row r="7416" ht="14.25" customHeight="1" s="192">
      <c r="W7416" s="33" t="n"/>
      <c r="X7416" s="33" t="n"/>
    </row>
    <row r="7417" ht="14.25" customHeight="1" s="192">
      <c r="W7417" s="231" t="n"/>
      <c r="X7417" s="231" t="n"/>
    </row>
    <row r="7418" ht="14.25" customHeight="1" s="192">
      <c r="W7418" s="33" t="n"/>
      <c r="X7418" s="33" t="n"/>
    </row>
    <row r="7420" ht="14.25" customHeight="1" s="192">
      <c r="W7420" s="231" t="n"/>
      <c r="X7420" s="231" t="n"/>
    </row>
    <row r="7421" ht="14.25" customHeight="1" s="192">
      <c r="W7421" s="235" t="n"/>
      <c r="X7421" s="235" t="n"/>
    </row>
    <row r="7422" ht="14.25" customHeight="1" s="192">
      <c r="W7422" s="228" t="n"/>
      <c r="X7422" s="228" t="n"/>
    </row>
    <row r="7423" ht="14.25" customHeight="1" s="192">
      <c r="W7423" s="235" t="n"/>
      <c r="X7423" s="235" t="n"/>
    </row>
    <row r="7424" ht="14.25" customHeight="1" s="192">
      <c r="W7424" s="235" t="n"/>
      <c r="X7424" s="235" t="n"/>
    </row>
    <row r="7425" ht="14.25" customHeight="1" s="192">
      <c r="W7425" s="235" t="n"/>
      <c r="X7425" s="235" t="n"/>
    </row>
    <row r="7426" ht="14.25" customHeight="1" s="192">
      <c r="W7426" s="239" t="n"/>
      <c r="X7426" s="239" t="n"/>
    </row>
    <row r="7427" ht="14.25" customHeight="1" s="192">
      <c r="W7427" s="239" t="n"/>
      <c r="X7427" s="239" t="n"/>
    </row>
    <row r="7428" ht="14.25" customHeight="1" s="192">
      <c r="W7428" s="239" t="n"/>
      <c r="X7428" s="239" t="n"/>
    </row>
    <row r="7429" ht="14.25" customHeight="1" s="192">
      <c r="W7429" s="235" t="n"/>
      <c r="X7429" s="235" t="n"/>
    </row>
    <row r="7430" ht="14.25" customHeight="1" s="192">
      <c r="W7430" s="235" t="n"/>
      <c r="X7430" s="235" t="n"/>
    </row>
    <row r="7431" ht="14.25" customHeight="1" s="192">
      <c r="W7431" s="235" t="n"/>
      <c r="X7431" s="235" t="n"/>
    </row>
    <row r="7432" ht="14.25" customHeight="1" s="192">
      <c r="W7432" s="239" t="n"/>
      <c r="X7432" s="239" t="n"/>
    </row>
    <row r="7433" ht="14.25" customHeight="1" s="192">
      <c r="W7433" s="239" t="n"/>
      <c r="X7433" s="239" t="n"/>
    </row>
    <row r="7434" ht="14.25" customHeight="1" s="192">
      <c r="W7434" s="235" t="n"/>
      <c r="X7434" s="235" t="n"/>
    </row>
    <row r="7435" ht="14.25" customHeight="1" s="192">
      <c r="W7435" s="235" t="n"/>
      <c r="X7435" s="235" t="n"/>
    </row>
    <row r="7436" ht="14.25" customHeight="1" s="192">
      <c r="W7436" s="239" t="n"/>
      <c r="X7436" s="239" t="n"/>
    </row>
    <row r="7437" ht="14.25" customHeight="1" s="192">
      <c r="W7437" s="235" t="n"/>
      <c r="X7437" s="235" t="n"/>
    </row>
    <row r="7438" ht="14.25" customHeight="1" s="192">
      <c r="W7438" s="239" t="n"/>
      <c r="X7438" s="239" t="n"/>
    </row>
    <row r="7440" ht="14.25" customHeight="1" s="192">
      <c r="W7440" s="235" t="n"/>
      <c r="X7440" s="235" t="n"/>
    </row>
    <row r="7441" ht="15" customHeight="1" s="192" thickBot="1">
      <c r="W7441" s="239" t="n"/>
      <c r="X7441" s="239" t="n"/>
    </row>
    <row r="7442" ht="15" customHeight="1" s="192" thickBot="1">
      <c r="W7442" s="45" t="n"/>
      <c r="X7442" s="45" t="n"/>
    </row>
    <row r="7443" ht="14.25" customHeight="1" s="192">
      <c r="W7443" s="228" t="n"/>
      <c r="X7443" s="228" t="n"/>
    </row>
    <row r="7444" ht="14.25" customHeight="1" s="192">
      <c r="W7444" s="228" t="n"/>
      <c r="X7444" s="228" t="n"/>
    </row>
    <row r="7445" ht="14.25" customHeight="1" s="192">
      <c r="W7445" s="231" t="n"/>
      <c r="X7445" s="231" t="n"/>
    </row>
    <row r="7446" ht="14.25" customHeight="1" s="192">
      <c r="W7446" s="33" t="n"/>
      <c r="X7446" s="33" t="n"/>
    </row>
    <row r="7447" ht="14.25" customHeight="1" s="192">
      <c r="W7447" s="231" t="n"/>
      <c r="X7447" s="231" t="n"/>
    </row>
    <row r="7448" ht="14.25" customHeight="1" s="192">
      <c r="W7448" s="33" t="n"/>
      <c r="X7448" s="33" t="n"/>
    </row>
    <row r="7450" ht="14.25" customHeight="1" s="192">
      <c r="W7450" s="231" t="n"/>
      <c r="X7450" s="231" t="n"/>
    </row>
    <row r="7451" ht="14.25" customHeight="1" s="192">
      <c r="W7451" s="235" t="n"/>
      <c r="X7451" s="235" t="n"/>
    </row>
    <row r="7452" ht="14.25" customHeight="1" s="192">
      <c r="W7452" s="228" t="n"/>
      <c r="X7452" s="228" t="n"/>
    </row>
    <row r="7453" ht="14.25" customHeight="1" s="192">
      <c r="W7453" s="235" t="n"/>
      <c r="X7453" s="235" t="n"/>
    </row>
    <row r="7454" ht="14.25" customHeight="1" s="192">
      <c r="W7454" s="235" t="n"/>
      <c r="X7454" s="235" t="n"/>
    </row>
    <row r="7455" ht="14.25" customHeight="1" s="192">
      <c r="W7455" s="235" t="n"/>
      <c r="X7455" s="235" t="n"/>
    </row>
    <row r="7456" ht="14.25" customHeight="1" s="192">
      <c r="W7456" s="239" t="n"/>
      <c r="X7456" s="239" t="n"/>
    </row>
    <row r="7457" ht="14.25" customHeight="1" s="192">
      <c r="W7457" s="239" t="n"/>
      <c r="X7457" s="239" t="n"/>
    </row>
    <row r="7458" ht="14.25" customHeight="1" s="192">
      <c r="W7458" s="239" t="n"/>
      <c r="X7458" s="239" t="n"/>
    </row>
    <row r="7459" ht="14.25" customHeight="1" s="192">
      <c r="W7459" s="235" t="n"/>
      <c r="X7459" s="235" t="n"/>
    </row>
    <row r="7460" ht="14.25" customHeight="1" s="192">
      <c r="W7460" s="235" t="n"/>
      <c r="X7460" s="235" t="n"/>
    </row>
    <row r="7461" ht="14.25" customHeight="1" s="192">
      <c r="W7461" s="235" t="n"/>
      <c r="X7461" s="235" t="n"/>
    </row>
    <row r="7462" ht="14.25" customHeight="1" s="192">
      <c r="W7462" s="239" t="n"/>
      <c r="X7462" s="239" t="n"/>
    </row>
    <row r="7463" ht="14.25" customHeight="1" s="192">
      <c r="W7463" s="239" t="n"/>
      <c r="X7463" s="239" t="n"/>
    </row>
    <row r="7464" ht="14.25" customHeight="1" s="192">
      <c r="W7464" s="235" t="n"/>
      <c r="X7464" s="235" t="n"/>
    </row>
    <row r="7465" ht="14.25" customHeight="1" s="192">
      <c r="W7465" s="235" t="n"/>
      <c r="X7465" s="235" t="n"/>
    </row>
    <row r="7466" ht="14.25" customHeight="1" s="192">
      <c r="W7466" s="239" t="n"/>
      <c r="X7466" s="239" t="n"/>
    </row>
    <row r="7467" ht="14.25" customHeight="1" s="192">
      <c r="W7467" s="235" t="n"/>
      <c r="X7467" s="235" t="n"/>
    </row>
    <row r="7468" ht="14.25" customHeight="1" s="192">
      <c r="W7468" s="239" t="n"/>
      <c r="X7468" s="239" t="n"/>
    </row>
    <row r="7470" ht="14.25" customHeight="1" s="192">
      <c r="W7470" s="235" t="n"/>
      <c r="X7470" s="235" t="n"/>
    </row>
    <row r="7471" ht="15" customHeight="1" s="192" thickBot="1">
      <c r="W7471" s="239" t="n"/>
      <c r="X7471" s="239" t="n"/>
    </row>
    <row r="7472" ht="15" customHeight="1" s="192" thickBot="1">
      <c r="W7472" s="45" t="n"/>
      <c r="X7472" s="45" t="n"/>
    </row>
    <row r="7473" ht="14.25" customHeight="1" s="192">
      <c r="W7473" s="228" t="n"/>
      <c r="X7473" s="228" t="n"/>
    </row>
    <row r="7474" ht="14.25" customHeight="1" s="192">
      <c r="W7474" s="228" t="n"/>
      <c r="X7474" s="228" t="n"/>
    </row>
    <row r="7475" ht="14.25" customHeight="1" s="192">
      <c r="W7475" s="231" t="n"/>
      <c r="X7475" s="231" t="n"/>
    </row>
    <row r="7476" ht="14.25" customHeight="1" s="192">
      <c r="W7476" s="33" t="n"/>
      <c r="X7476" s="33" t="n"/>
    </row>
    <row r="7477" ht="14.25" customHeight="1" s="192">
      <c r="W7477" s="231" t="n"/>
      <c r="X7477" s="231" t="n"/>
    </row>
    <row r="7478" ht="14.25" customHeight="1" s="192">
      <c r="W7478" s="33" t="n"/>
      <c r="X7478" s="33" t="n"/>
    </row>
    <row r="7480" ht="14.25" customHeight="1" s="192">
      <c r="W7480" s="231" t="n"/>
      <c r="X7480" s="231" t="n"/>
    </row>
    <row r="7481" ht="14.25" customHeight="1" s="192">
      <c r="W7481" s="235" t="n"/>
      <c r="X7481" s="235" t="n"/>
    </row>
    <row r="7482" ht="14.25" customHeight="1" s="192">
      <c r="W7482" s="228" t="n"/>
      <c r="X7482" s="228" t="n"/>
    </row>
    <row r="7483" ht="14.25" customHeight="1" s="192">
      <c r="W7483" s="235" t="n"/>
      <c r="X7483" s="235" t="n"/>
    </row>
    <row r="7484" ht="14.25" customHeight="1" s="192">
      <c r="W7484" s="235" t="n"/>
      <c r="X7484" s="235" t="n"/>
    </row>
    <row r="7485" ht="14.25" customHeight="1" s="192">
      <c r="W7485" s="235" t="n"/>
      <c r="X7485" s="235" t="n"/>
    </row>
    <row r="7486" ht="14.25" customHeight="1" s="192">
      <c r="W7486" s="239" t="n"/>
      <c r="X7486" s="239" t="n"/>
    </row>
    <row r="7487" ht="14.25" customHeight="1" s="192">
      <c r="W7487" s="239" t="n"/>
      <c r="X7487" s="239" t="n"/>
    </row>
    <row r="7488" ht="14.25" customHeight="1" s="192">
      <c r="W7488" s="239" t="n"/>
      <c r="X7488" s="239" t="n"/>
    </row>
    <row r="7489" ht="14.25" customHeight="1" s="192">
      <c r="W7489" s="235" t="n"/>
      <c r="X7489" s="235" t="n"/>
    </row>
    <row r="7490" ht="14.25" customHeight="1" s="192">
      <c r="W7490" s="235" t="n"/>
      <c r="X7490" s="235" t="n"/>
    </row>
    <row r="7491" ht="14.25" customHeight="1" s="192">
      <c r="W7491" s="235" t="n"/>
      <c r="X7491" s="235" t="n"/>
    </row>
    <row r="7492" ht="14.25" customHeight="1" s="192">
      <c r="W7492" s="239" t="n"/>
      <c r="X7492" s="239" t="n"/>
    </row>
    <row r="7493" ht="14.25" customHeight="1" s="192">
      <c r="W7493" s="239" t="n"/>
      <c r="X7493" s="239" t="n"/>
    </row>
    <row r="7494" ht="14.25" customHeight="1" s="192">
      <c r="W7494" s="235" t="n"/>
      <c r="X7494" s="235" t="n"/>
    </row>
    <row r="7495" ht="14.25" customHeight="1" s="192">
      <c r="W7495" s="235" t="n"/>
      <c r="X7495" s="235" t="n"/>
    </row>
    <row r="7496" ht="14.25" customHeight="1" s="192">
      <c r="W7496" s="239" t="n"/>
      <c r="X7496" s="239" t="n"/>
    </row>
    <row r="7497" ht="14.25" customHeight="1" s="192">
      <c r="W7497" s="235" t="n"/>
      <c r="X7497" s="235" t="n"/>
    </row>
    <row r="7498" ht="14.25" customHeight="1" s="192">
      <c r="W7498" s="239" t="n"/>
      <c r="X7498" s="239" t="n"/>
    </row>
    <row r="7500" ht="14.25" customHeight="1" s="192">
      <c r="W7500" s="235" t="n"/>
      <c r="X7500" s="235" t="n"/>
    </row>
    <row r="7501" ht="15" customHeight="1" s="192" thickBot="1">
      <c r="W7501" s="239" t="n"/>
      <c r="X7501" s="239" t="n"/>
    </row>
    <row r="7502" ht="15" customHeight="1" s="192" thickBot="1">
      <c r="W7502" s="45" t="n"/>
      <c r="X7502" s="45" t="n"/>
    </row>
    <row r="7503" ht="14.25" customHeight="1" s="192">
      <c r="W7503" s="228" t="n"/>
      <c r="X7503" s="228" t="n"/>
    </row>
    <row r="7504" ht="14.25" customHeight="1" s="192">
      <c r="W7504" s="228" t="n"/>
      <c r="X7504" s="228" t="n"/>
    </row>
    <row r="7505" ht="14.25" customHeight="1" s="192">
      <c r="W7505" s="231" t="n"/>
      <c r="X7505" s="231" t="n"/>
    </row>
    <row r="7506" ht="14.25" customHeight="1" s="192">
      <c r="W7506" s="33" t="n"/>
      <c r="X7506" s="33" t="n"/>
    </row>
    <row r="7507" ht="14.25" customHeight="1" s="192">
      <c r="W7507" s="231" t="n"/>
      <c r="X7507" s="231" t="n"/>
    </row>
    <row r="7508" ht="14.25" customHeight="1" s="192">
      <c r="W7508" s="33" t="n"/>
      <c r="X7508" s="33" t="n"/>
    </row>
    <row r="7510" ht="14.25" customHeight="1" s="192">
      <c r="W7510" s="231" t="n"/>
      <c r="X7510" s="231" t="n"/>
    </row>
    <row r="7511" ht="14.25" customHeight="1" s="192">
      <c r="W7511" s="235" t="n"/>
      <c r="X7511" s="235" t="n"/>
    </row>
    <row r="7512" ht="14.25" customHeight="1" s="192">
      <c r="W7512" s="228" t="n"/>
      <c r="X7512" s="228" t="n"/>
    </row>
    <row r="7513" ht="14.25" customHeight="1" s="192">
      <c r="W7513" s="235" t="n"/>
      <c r="X7513" s="235" t="n"/>
    </row>
    <row r="7514" ht="14.25" customHeight="1" s="192">
      <c r="W7514" s="235" t="n"/>
      <c r="X7514" s="235" t="n"/>
    </row>
    <row r="7515" ht="14.25" customHeight="1" s="192">
      <c r="W7515" s="235" t="n"/>
      <c r="X7515" s="235" t="n"/>
    </row>
    <row r="7516" ht="14.25" customHeight="1" s="192">
      <c r="W7516" s="239" t="n"/>
      <c r="X7516" s="239" t="n"/>
    </row>
    <row r="7517" ht="14.25" customHeight="1" s="192">
      <c r="W7517" s="239" t="n"/>
      <c r="X7517" s="239" t="n"/>
    </row>
    <row r="7518" ht="14.25" customHeight="1" s="192">
      <c r="W7518" s="239" t="n"/>
      <c r="X7518" s="239" t="n"/>
    </row>
    <row r="7519" ht="14.25" customHeight="1" s="192">
      <c r="W7519" s="235" t="n"/>
      <c r="X7519" s="235" t="n"/>
    </row>
    <row r="7520" ht="14.25" customHeight="1" s="192">
      <c r="W7520" s="235" t="n"/>
      <c r="X7520" s="235" t="n"/>
    </row>
    <row r="7521" ht="14.25" customHeight="1" s="192">
      <c r="W7521" s="235" t="n"/>
      <c r="X7521" s="235" t="n"/>
    </row>
    <row r="7522" ht="14.25" customHeight="1" s="192">
      <c r="W7522" s="239" t="n"/>
      <c r="X7522" s="239" t="n"/>
    </row>
    <row r="7523" ht="14.25" customHeight="1" s="192">
      <c r="W7523" s="239" t="n"/>
      <c r="X7523" s="239" t="n"/>
    </row>
    <row r="7524" ht="14.25" customHeight="1" s="192">
      <c r="W7524" s="235" t="n"/>
      <c r="X7524" s="235" t="n"/>
    </row>
    <row r="7525" ht="14.25" customHeight="1" s="192">
      <c r="W7525" s="235" t="n"/>
      <c r="X7525" s="235" t="n"/>
    </row>
    <row r="7526" ht="14.25" customHeight="1" s="192">
      <c r="W7526" s="239" t="n"/>
      <c r="X7526" s="239" t="n"/>
    </row>
    <row r="7527" ht="14.25" customHeight="1" s="192">
      <c r="W7527" s="235" t="n"/>
      <c r="X7527" s="235" t="n"/>
    </row>
    <row r="7528" ht="14.25" customHeight="1" s="192">
      <c r="W7528" s="239" t="n"/>
      <c r="X7528" s="239" t="n"/>
    </row>
    <row r="7530" ht="14.25" customHeight="1" s="192">
      <c r="W7530" s="235" t="n"/>
      <c r="X7530" s="235" t="n"/>
    </row>
    <row r="7531" ht="15" customHeight="1" s="192" thickBot="1">
      <c r="W7531" s="239" t="n"/>
      <c r="X7531" s="239" t="n"/>
    </row>
    <row r="7532" ht="15" customHeight="1" s="192" thickBot="1">
      <c r="W7532" s="45" t="n"/>
      <c r="X7532" s="45" t="n"/>
    </row>
    <row r="7533" ht="14.25" customHeight="1" s="192">
      <c r="W7533" s="228" t="n"/>
      <c r="X7533" s="228" t="n"/>
    </row>
    <row r="7534" ht="14.25" customHeight="1" s="192">
      <c r="W7534" s="228" t="n"/>
      <c r="X7534" s="228" t="n"/>
    </row>
    <row r="7535" ht="14.25" customHeight="1" s="192">
      <c r="W7535" s="231" t="n"/>
      <c r="X7535" s="231" t="n"/>
    </row>
    <row r="7536" ht="14.25" customHeight="1" s="192">
      <c r="W7536" s="33" t="n"/>
      <c r="X7536" s="33" t="n"/>
    </row>
    <row r="7537" ht="14.25" customHeight="1" s="192">
      <c r="W7537" s="231" t="n"/>
      <c r="X7537" s="231" t="n"/>
    </row>
    <row r="7538" ht="14.25" customHeight="1" s="192">
      <c r="W7538" s="33" t="n"/>
      <c r="X7538" s="33" t="n"/>
    </row>
    <row r="7540" ht="14.25" customHeight="1" s="192">
      <c r="W7540" s="231" t="n"/>
      <c r="X7540" s="231" t="n"/>
    </row>
    <row r="7541" ht="14.25" customHeight="1" s="192">
      <c r="W7541" s="235" t="n"/>
      <c r="X7541" s="235" t="n"/>
    </row>
    <row r="7542" ht="14.25" customHeight="1" s="192">
      <c r="W7542" s="228" t="n"/>
      <c r="X7542" s="228" t="n"/>
    </row>
    <row r="7543" ht="14.25" customHeight="1" s="192">
      <c r="W7543" s="235" t="n"/>
      <c r="X7543" s="235" t="n"/>
    </row>
    <row r="7544" ht="14.25" customHeight="1" s="192">
      <c r="W7544" s="235" t="n"/>
      <c r="X7544" s="235" t="n"/>
    </row>
    <row r="7545" ht="14.25" customHeight="1" s="192">
      <c r="W7545" s="235" t="n"/>
      <c r="X7545" s="235" t="n"/>
    </row>
    <row r="7546" ht="14.25" customHeight="1" s="192">
      <c r="W7546" s="239" t="n"/>
      <c r="X7546" s="239" t="n"/>
    </row>
    <row r="7547" ht="14.25" customHeight="1" s="192">
      <c r="W7547" s="239" t="n"/>
      <c r="X7547" s="239" t="n"/>
    </row>
    <row r="7548" ht="14.25" customHeight="1" s="192">
      <c r="W7548" s="239" t="n"/>
      <c r="X7548" s="239" t="n"/>
    </row>
    <row r="7549" ht="14.25" customHeight="1" s="192">
      <c r="W7549" s="235" t="n"/>
      <c r="X7549" s="235" t="n"/>
    </row>
    <row r="7550" ht="14.25" customHeight="1" s="192">
      <c r="W7550" s="235" t="n"/>
      <c r="X7550" s="235" t="n"/>
    </row>
    <row r="7551" ht="14.25" customHeight="1" s="192">
      <c r="W7551" s="235" t="n"/>
      <c r="X7551" s="235" t="n"/>
    </row>
    <row r="7552" ht="14.25" customHeight="1" s="192">
      <c r="W7552" s="239" t="n"/>
      <c r="X7552" s="239" t="n"/>
    </row>
    <row r="7553" ht="14.25" customHeight="1" s="192">
      <c r="W7553" s="239" t="n"/>
      <c r="X7553" s="239" t="n"/>
    </row>
    <row r="7554" ht="14.25" customHeight="1" s="192">
      <c r="W7554" s="235" t="n"/>
      <c r="X7554" s="235" t="n"/>
    </row>
    <row r="7555" ht="14.25" customHeight="1" s="192">
      <c r="W7555" s="235" t="n"/>
      <c r="X7555" s="235" t="n"/>
    </row>
    <row r="7556" ht="14.25" customHeight="1" s="192">
      <c r="W7556" s="239" t="n"/>
      <c r="X7556" s="239" t="n"/>
    </row>
    <row r="7557" ht="14.25" customHeight="1" s="192">
      <c r="W7557" s="235" t="n"/>
      <c r="X7557" s="235" t="n"/>
    </row>
    <row r="7558" ht="14.25" customHeight="1" s="192">
      <c r="W7558" s="239" t="n"/>
      <c r="X7558" s="239" t="n"/>
    </row>
    <row r="7560" ht="14.25" customHeight="1" s="192">
      <c r="W7560" s="235" t="n"/>
      <c r="X7560" s="235" t="n"/>
    </row>
    <row r="7561" ht="15" customHeight="1" s="192" thickBot="1">
      <c r="W7561" s="239" t="n"/>
      <c r="X7561" s="239" t="n"/>
    </row>
    <row r="7562" ht="15" customHeight="1" s="192" thickBot="1">
      <c r="W7562" s="45" t="n"/>
      <c r="X7562" s="45" t="n"/>
    </row>
    <row r="7563" ht="14.25" customHeight="1" s="192">
      <c r="W7563" s="228" t="n"/>
      <c r="X7563" s="228" t="n"/>
    </row>
    <row r="7564" ht="14.25" customHeight="1" s="192">
      <c r="W7564" s="228" t="n"/>
      <c r="X7564" s="228" t="n"/>
    </row>
    <row r="7565" ht="14.25" customHeight="1" s="192">
      <c r="W7565" s="231" t="n"/>
      <c r="X7565" s="231" t="n"/>
    </row>
    <row r="7566" ht="14.25" customHeight="1" s="192">
      <c r="W7566" s="33" t="n"/>
      <c r="X7566" s="33" t="n"/>
    </row>
    <row r="7567" ht="14.25" customHeight="1" s="192">
      <c r="W7567" s="231" t="n"/>
      <c r="X7567" s="231" t="n"/>
    </row>
    <row r="7568" ht="14.25" customHeight="1" s="192">
      <c r="W7568" s="33" t="n"/>
      <c r="X7568" s="33" t="n"/>
    </row>
    <row r="7570" ht="14.25" customHeight="1" s="192">
      <c r="W7570" s="231" t="n"/>
      <c r="X7570" s="231" t="n"/>
    </row>
    <row r="7571" ht="14.25" customHeight="1" s="192">
      <c r="W7571" s="235" t="n"/>
      <c r="X7571" s="235" t="n"/>
    </row>
    <row r="7572" ht="14.25" customHeight="1" s="192">
      <c r="W7572" s="228" t="n"/>
      <c r="X7572" s="228" t="n"/>
    </row>
    <row r="7573" ht="14.25" customHeight="1" s="192">
      <c r="W7573" s="235" t="n"/>
      <c r="X7573" s="235" t="n"/>
    </row>
    <row r="7574" ht="14.25" customHeight="1" s="192">
      <c r="W7574" s="235" t="n"/>
      <c r="X7574" s="235" t="n"/>
    </row>
    <row r="7575" ht="14.25" customHeight="1" s="192">
      <c r="W7575" s="235" t="n"/>
      <c r="X7575" s="235" t="n"/>
    </row>
    <row r="7576" ht="14.25" customHeight="1" s="192">
      <c r="W7576" s="239" t="n"/>
      <c r="X7576" s="239" t="n"/>
    </row>
    <row r="7577" ht="14.25" customHeight="1" s="192">
      <c r="W7577" s="239" t="n"/>
      <c r="X7577" s="239" t="n"/>
    </row>
    <row r="7578" ht="14.25" customHeight="1" s="192">
      <c r="W7578" s="239" t="n"/>
      <c r="X7578" s="239" t="n"/>
    </row>
    <row r="7579" ht="14.25" customHeight="1" s="192">
      <c r="W7579" s="235" t="n"/>
      <c r="X7579" s="235" t="n"/>
    </row>
    <row r="7580" ht="14.25" customHeight="1" s="192">
      <c r="W7580" s="235" t="n"/>
      <c r="X7580" s="235" t="n"/>
    </row>
    <row r="7581" ht="14.25" customHeight="1" s="192">
      <c r="W7581" s="235" t="n"/>
      <c r="X7581" s="235" t="n"/>
    </row>
    <row r="7582" ht="14.25" customHeight="1" s="192">
      <c r="W7582" s="239" t="n"/>
      <c r="X7582" s="239" t="n"/>
    </row>
    <row r="7583" ht="14.25" customHeight="1" s="192">
      <c r="W7583" s="239" t="n"/>
      <c r="X7583" s="239" t="n"/>
    </row>
    <row r="7584" ht="14.25" customHeight="1" s="192">
      <c r="W7584" s="235" t="n"/>
      <c r="X7584" s="235" t="n"/>
    </row>
    <row r="7585" ht="14.25" customHeight="1" s="192">
      <c r="W7585" s="235" t="n"/>
      <c r="X7585" s="235" t="n"/>
    </row>
    <row r="7586" ht="14.25" customHeight="1" s="192">
      <c r="W7586" s="239" t="n"/>
      <c r="X7586" s="239" t="n"/>
    </row>
    <row r="7587" ht="14.25" customHeight="1" s="192">
      <c r="W7587" s="235" t="n"/>
      <c r="X7587" s="235" t="n"/>
    </row>
    <row r="7588" ht="14.25" customHeight="1" s="192">
      <c r="W7588" s="239" t="n"/>
      <c r="X7588" s="239" t="n"/>
    </row>
    <row r="7590" ht="14.25" customHeight="1" s="192">
      <c r="W7590" s="235" t="n"/>
      <c r="X7590" s="235" t="n"/>
    </row>
    <row r="7591" ht="15" customHeight="1" s="192" thickBot="1">
      <c r="W7591" s="239" t="n"/>
      <c r="X7591" s="239" t="n"/>
    </row>
    <row r="7592" ht="15" customHeight="1" s="192" thickBot="1">
      <c r="W7592" s="45" t="n"/>
      <c r="X7592" s="45" t="n"/>
    </row>
    <row r="7593" ht="14.25" customHeight="1" s="192">
      <c r="W7593" s="228" t="n"/>
      <c r="X7593" s="228" t="n"/>
    </row>
    <row r="7594" ht="14.25" customHeight="1" s="192">
      <c r="W7594" s="228" t="n"/>
      <c r="X7594" s="228" t="n"/>
    </row>
    <row r="7595" ht="14.25" customHeight="1" s="192">
      <c r="W7595" s="231" t="n"/>
      <c r="X7595" s="231" t="n"/>
    </row>
    <row r="7596" ht="14.25" customHeight="1" s="192">
      <c r="W7596" s="33" t="n"/>
      <c r="X7596" s="33" t="n"/>
    </row>
    <row r="7597" ht="14.25" customHeight="1" s="192">
      <c r="W7597" s="231" t="n"/>
      <c r="X7597" s="231" t="n"/>
    </row>
    <row r="7598" ht="14.25" customHeight="1" s="192">
      <c r="W7598" s="33" t="n"/>
      <c r="X7598" s="33" t="n"/>
    </row>
    <row r="7600" ht="14.25" customHeight="1" s="192">
      <c r="W7600" s="231" t="n"/>
      <c r="X7600" s="231" t="n"/>
    </row>
    <row r="7601" ht="14.25" customHeight="1" s="192">
      <c r="W7601" s="235" t="n"/>
      <c r="X7601" s="235" t="n"/>
    </row>
    <row r="7602" ht="14.25" customHeight="1" s="192">
      <c r="W7602" s="228" t="n"/>
      <c r="X7602" s="228" t="n"/>
    </row>
    <row r="7603" ht="14.25" customHeight="1" s="192">
      <c r="W7603" s="235" t="n"/>
      <c r="X7603" s="235" t="n"/>
    </row>
    <row r="7604" ht="14.25" customHeight="1" s="192">
      <c r="W7604" s="235" t="n"/>
      <c r="X7604" s="235" t="n"/>
    </row>
    <row r="7605" ht="14.25" customHeight="1" s="192">
      <c r="W7605" s="235" t="n"/>
      <c r="X7605" s="235" t="n"/>
    </row>
    <row r="7606" ht="14.25" customHeight="1" s="192">
      <c r="W7606" s="239" t="n"/>
      <c r="X7606" s="239" t="n"/>
    </row>
    <row r="7607" ht="14.25" customHeight="1" s="192">
      <c r="W7607" s="239" t="n"/>
      <c r="X7607" s="239" t="n"/>
    </row>
    <row r="7608" ht="14.25" customHeight="1" s="192">
      <c r="W7608" s="239" t="n"/>
      <c r="X7608" s="239" t="n"/>
    </row>
    <row r="7609" ht="14.25" customHeight="1" s="192">
      <c r="W7609" s="235" t="n"/>
      <c r="X7609" s="235" t="n"/>
    </row>
    <row r="7610" ht="14.25" customHeight="1" s="192">
      <c r="W7610" s="235" t="n"/>
      <c r="X7610" s="235" t="n"/>
    </row>
    <row r="7611" ht="14.25" customHeight="1" s="192">
      <c r="W7611" s="235" t="n"/>
      <c r="X7611" s="235" t="n"/>
    </row>
    <row r="7612" ht="14.25" customHeight="1" s="192">
      <c r="W7612" s="239" t="n"/>
      <c r="X7612" s="239" t="n"/>
    </row>
    <row r="7613" ht="14.25" customHeight="1" s="192">
      <c r="W7613" s="239" t="n"/>
      <c r="X7613" s="239" t="n"/>
    </row>
    <row r="7614" ht="14.25" customHeight="1" s="192">
      <c r="W7614" s="235" t="n"/>
      <c r="X7614" s="235" t="n"/>
    </row>
    <row r="7615" ht="14.25" customHeight="1" s="192">
      <c r="W7615" s="235" t="n"/>
      <c r="X7615" s="235" t="n"/>
    </row>
    <row r="7616" ht="14.25" customHeight="1" s="192">
      <c r="W7616" s="239" t="n"/>
      <c r="X7616" s="239" t="n"/>
    </row>
    <row r="7617" ht="14.25" customHeight="1" s="192">
      <c r="W7617" s="235" t="n"/>
      <c r="X7617" s="235" t="n"/>
    </row>
    <row r="7618" ht="14.25" customHeight="1" s="192">
      <c r="W7618" s="239" t="n"/>
      <c r="X7618" s="239" t="n"/>
    </row>
    <row r="7620" ht="14.25" customHeight="1" s="192">
      <c r="W7620" s="235" t="n"/>
      <c r="X7620" s="235" t="n"/>
    </row>
    <row r="7621" ht="15" customHeight="1" s="192" thickBot="1">
      <c r="W7621" s="239" t="n"/>
      <c r="X7621" s="239" t="n"/>
    </row>
    <row r="7622" ht="15" customHeight="1" s="192" thickBot="1">
      <c r="W7622" s="45" t="n"/>
      <c r="X7622" s="45" t="n"/>
    </row>
    <row r="7623" ht="14.25" customHeight="1" s="192">
      <c r="W7623" s="228" t="n"/>
      <c r="X7623" s="228" t="n"/>
    </row>
    <row r="7624" ht="14.25" customHeight="1" s="192">
      <c r="W7624" s="228" t="n"/>
      <c r="X7624" s="228" t="n"/>
    </row>
    <row r="7625" ht="14.25" customHeight="1" s="192">
      <c r="W7625" s="231" t="n"/>
      <c r="X7625" s="231" t="n"/>
    </row>
    <row r="7626" ht="14.25" customHeight="1" s="192">
      <c r="W7626" s="33" t="n"/>
      <c r="X7626" s="33" t="n"/>
    </row>
    <row r="7627" ht="14.25" customHeight="1" s="192">
      <c r="W7627" s="231" t="n"/>
      <c r="X7627" s="231" t="n"/>
    </row>
    <row r="7628" ht="14.25" customHeight="1" s="192">
      <c r="W7628" s="33" t="n"/>
      <c r="X7628" s="33" t="n"/>
    </row>
    <row r="7630" ht="14.25" customHeight="1" s="192">
      <c r="W7630" s="231" t="n"/>
      <c r="X7630" s="231" t="n"/>
    </row>
    <row r="7631" ht="14.25" customHeight="1" s="192">
      <c r="W7631" s="235" t="n"/>
      <c r="X7631" s="235" t="n"/>
    </row>
    <row r="7632" ht="14.25" customHeight="1" s="192">
      <c r="W7632" s="228" t="n"/>
      <c r="X7632" s="228" t="n"/>
    </row>
    <row r="7633" ht="14.25" customHeight="1" s="192">
      <c r="W7633" s="235" t="n"/>
      <c r="X7633" s="235" t="n"/>
    </row>
    <row r="7634" ht="14.25" customHeight="1" s="192">
      <c r="W7634" s="235" t="n"/>
      <c r="X7634" s="235" t="n"/>
    </row>
    <row r="7635" ht="14.25" customHeight="1" s="192">
      <c r="W7635" s="235" t="n"/>
      <c r="X7635" s="235" t="n"/>
    </row>
    <row r="7636" ht="14.25" customHeight="1" s="192">
      <c r="W7636" s="239" t="n"/>
      <c r="X7636" s="239" t="n"/>
    </row>
    <row r="7637" ht="14.25" customHeight="1" s="192">
      <c r="W7637" s="239" t="n"/>
      <c r="X7637" s="239" t="n"/>
    </row>
    <row r="7638" ht="14.25" customHeight="1" s="192">
      <c r="W7638" s="239" t="n"/>
      <c r="X7638" s="239" t="n"/>
    </row>
    <row r="7639" ht="14.25" customHeight="1" s="192">
      <c r="W7639" s="235" t="n"/>
      <c r="X7639" s="235" t="n"/>
    </row>
    <row r="7640" ht="14.25" customHeight="1" s="192">
      <c r="W7640" s="235" t="n"/>
      <c r="X7640" s="235" t="n"/>
    </row>
    <row r="7641" ht="14.25" customHeight="1" s="192">
      <c r="W7641" s="235" t="n"/>
      <c r="X7641" s="235" t="n"/>
    </row>
    <row r="7642" ht="14.25" customHeight="1" s="192">
      <c r="W7642" s="239" t="n"/>
      <c r="X7642" s="239" t="n"/>
    </row>
    <row r="7643" ht="14.25" customHeight="1" s="192">
      <c r="W7643" s="239" t="n"/>
      <c r="X7643" s="239" t="n"/>
    </row>
    <row r="7644" ht="14.25" customHeight="1" s="192">
      <c r="W7644" s="235" t="n"/>
      <c r="X7644" s="235" t="n"/>
    </row>
    <row r="7645" ht="14.25" customHeight="1" s="192">
      <c r="W7645" s="235" t="n"/>
      <c r="X7645" s="235" t="n"/>
    </row>
    <row r="7646" ht="14.25" customHeight="1" s="192">
      <c r="W7646" s="239" t="n"/>
      <c r="X7646" s="239" t="n"/>
    </row>
    <row r="7647" ht="14.25" customHeight="1" s="192">
      <c r="W7647" s="235" t="n"/>
      <c r="X7647" s="235" t="n"/>
    </row>
    <row r="7648" ht="14.25" customHeight="1" s="192">
      <c r="W7648" s="239" t="n"/>
      <c r="X7648" s="239" t="n"/>
    </row>
    <row r="7650" ht="14.25" customHeight="1" s="192">
      <c r="W7650" s="235" t="n"/>
      <c r="X7650" s="235" t="n"/>
    </row>
    <row r="7651" ht="15" customHeight="1" s="192" thickBot="1">
      <c r="W7651" s="239" t="n"/>
      <c r="X7651" s="239" t="n"/>
    </row>
    <row r="7652" ht="15" customHeight="1" s="192" thickBot="1">
      <c r="W7652" s="45" t="n"/>
      <c r="X7652" s="45" t="n"/>
    </row>
    <row r="7653" ht="14.25" customHeight="1" s="192">
      <c r="W7653" s="228" t="n"/>
      <c r="X7653" s="228" t="n"/>
    </row>
    <row r="7654" ht="14.25" customHeight="1" s="192">
      <c r="W7654" s="228" t="n"/>
      <c r="X7654" s="228" t="n"/>
    </row>
    <row r="7655" ht="14.25" customHeight="1" s="192">
      <c r="W7655" s="231" t="n"/>
      <c r="X7655" s="231" t="n"/>
    </row>
    <row r="7656" ht="14.25" customHeight="1" s="192">
      <c r="W7656" s="33" t="n"/>
      <c r="X7656" s="33" t="n"/>
    </row>
    <row r="7657" ht="14.25" customHeight="1" s="192">
      <c r="W7657" s="231" t="n"/>
      <c r="X7657" s="231" t="n"/>
    </row>
    <row r="7658" ht="14.25" customHeight="1" s="192">
      <c r="W7658" s="33" t="n"/>
      <c r="X7658" s="33" t="n"/>
    </row>
    <row r="7660" ht="14.25" customHeight="1" s="192">
      <c r="W7660" s="231" t="n"/>
      <c r="X7660" s="231" t="n"/>
    </row>
    <row r="7661" ht="14.25" customHeight="1" s="192">
      <c r="W7661" s="235" t="n"/>
      <c r="X7661" s="235" t="n"/>
    </row>
    <row r="7662" ht="14.25" customHeight="1" s="192">
      <c r="W7662" s="228" t="n"/>
      <c r="X7662" s="228" t="n"/>
    </row>
    <row r="7663" ht="14.25" customHeight="1" s="192">
      <c r="W7663" s="235" t="n"/>
      <c r="X7663" s="235" t="n"/>
    </row>
    <row r="7664" ht="14.25" customHeight="1" s="192">
      <c r="W7664" s="235" t="n"/>
      <c r="X7664" s="235" t="n"/>
    </row>
    <row r="7665" ht="14.25" customHeight="1" s="192">
      <c r="W7665" s="235" t="n"/>
      <c r="X7665" s="235" t="n"/>
    </row>
    <row r="7666" ht="14.25" customHeight="1" s="192">
      <c r="W7666" s="239" t="n"/>
      <c r="X7666" s="239" t="n"/>
    </row>
    <row r="7667" ht="14.25" customHeight="1" s="192">
      <c r="W7667" s="239" t="n"/>
      <c r="X7667" s="239" t="n"/>
    </row>
    <row r="7668" ht="14.25" customHeight="1" s="192">
      <c r="W7668" s="239" t="n"/>
      <c r="X7668" s="239" t="n"/>
    </row>
    <row r="7669" ht="14.25" customHeight="1" s="192">
      <c r="W7669" s="235" t="n"/>
      <c r="X7669" s="235" t="n"/>
    </row>
    <row r="7670" ht="14.25" customHeight="1" s="192">
      <c r="W7670" s="235" t="n"/>
      <c r="X7670" s="235" t="n"/>
    </row>
    <row r="7671" ht="14.25" customHeight="1" s="192">
      <c r="W7671" s="235" t="n"/>
      <c r="X7671" s="235" t="n"/>
    </row>
    <row r="7672" ht="14.25" customHeight="1" s="192">
      <c r="W7672" s="239" t="n"/>
      <c r="X7672" s="239" t="n"/>
    </row>
    <row r="7673" ht="14.25" customHeight="1" s="192">
      <c r="W7673" s="239" t="n"/>
      <c r="X7673" s="239" t="n"/>
    </row>
    <row r="7674" ht="14.25" customHeight="1" s="192">
      <c r="W7674" s="235" t="n"/>
      <c r="X7674" s="235" t="n"/>
    </row>
    <row r="7675" ht="14.25" customHeight="1" s="192">
      <c r="W7675" s="235" t="n"/>
      <c r="X7675" s="235" t="n"/>
    </row>
    <row r="7676" ht="14.25" customHeight="1" s="192">
      <c r="W7676" s="239" t="n"/>
      <c r="X7676" s="239" t="n"/>
    </row>
    <row r="7677" ht="14.25" customHeight="1" s="192">
      <c r="W7677" s="235" t="n"/>
      <c r="X7677" s="235" t="n"/>
    </row>
    <row r="7678" ht="14.25" customHeight="1" s="192">
      <c r="W7678" s="239" t="n"/>
      <c r="X7678" s="239" t="n"/>
    </row>
    <row r="7680" ht="14.25" customHeight="1" s="192">
      <c r="W7680" s="235" t="n"/>
      <c r="X7680" s="235" t="n"/>
    </row>
    <row r="7681" ht="15" customHeight="1" s="192" thickBot="1">
      <c r="W7681" s="239" t="n"/>
      <c r="X7681" s="239" t="n"/>
    </row>
    <row r="7682" ht="15" customHeight="1" s="192" thickBot="1">
      <c r="W7682" s="45" t="n"/>
      <c r="X7682" s="45" t="n"/>
    </row>
    <row r="7683" ht="14.25" customHeight="1" s="192">
      <c r="W7683" s="228" t="n"/>
      <c r="X7683" s="228" t="n"/>
    </row>
    <row r="7684" ht="14.25" customHeight="1" s="192">
      <c r="W7684" s="228" t="n"/>
      <c r="X7684" s="228" t="n"/>
    </row>
    <row r="7685" ht="14.25" customHeight="1" s="192">
      <c r="W7685" s="231" t="n"/>
      <c r="X7685" s="231" t="n"/>
    </row>
    <row r="7686" ht="14.25" customHeight="1" s="192">
      <c r="W7686" s="33" t="n"/>
      <c r="X7686" s="33" t="n"/>
    </row>
    <row r="7687" ht="14.25" customHeight="1" s="192">
      <c r="W7687" s="231" t="n"/>
      <c r="X7687" s="231" t="n"/>
    </row>
    <row r="7688" ht="14.25" customHeight="1" s="192">
      <c r="W7688" s="33" t="n"/>
      <c r="X7688" s="33" t="n"/>
    </row>
    <row r="7690" ht="14.25" customHeight="1" s="192">
      <c r="W7690" s="231" t="n"/>
      <c r="X7690" s="231" t="n"/>
    </row>
    <row r="7691" ht="14.25" customHeight="1" s="192">
      <c r="W7691" s="235" t="n"/>
      <c r="X7691" s="235" t="n"/>
    </row>
    <row r="7692" ht="14.25" customHeight="1" s="192">
      <c r="W7692" s="228" t="n"/>
      <c r="X7692" s="228" t="n"/>
    </row>
    <row r="7693" ht="14.25" customHeight="1" s="192">
      <c r="W7693" s="235" t="n"/>
      <c r="X7693" s="235" t="n"/>
    </row>
    <row r="7694" ht="14.25" customHeight="1" s="192">
      <c r="W7694" s="235" t="n"/>
      <c r="X7694" s="235" t="n"/>
    </row>
    <row r="7695" ht="14.25" customHeight="1" s="192">
      <c r="W7695" s="235" t="n"/>
      <c r="X7695" s="235" t="n"/>
    </row>
    <row r="7696" ht="14.25" customHeight="1" s="192">
      <c r="W7696" s="239" t="n"/>
      <c r="X7696" s="239" t="n"/>
    </row>
    <row r="7697" ht="14.25" customHeight="1" s="192">
      <c r="W7697" s="239" t="n"/>
      <c r="X7697" s="239" t="n"/>
    </row>
    <row r="7698" ht="14.25" customHeight="1" s="192">
      <c r="W7698" s="239" t="n"/>
      <c r="X7698" s="239" t="n"/>
    </row>
    <row r="7699" ht="14.25" customHeight="1" s="192">
      <c r="W7699" s="235" t="n"/>
      <c r="X7699" s="235" t="n"/>
    </row>
    <row r="7700" ht="14.25" customHeight="1" s="192">
      <c r="W7700" s="235" t="n"/>
      <c r="X7700" s="235" t="n"/>
    </row>
    <row r="7701" ht="14.25" customHeight="1" s="192">
      <c r="W7701" s="235" t="n"/>
      <c r="X7701" s="235" t="n"/>
    </row>
    <row r="7702" ht="14.25" customHeight="1" s="192">
      <c r="W7702" s="239" t="n"/>
      <c r="X7702" s="239" t="n"/>
    </row>
    <row r="7703" ht="14.25" customHeight="1" s="192">
      <c r="W7703" s="239" t="n"/>
      <c r="X7703" s="239" t="n"/>
    </row>
    <row r="7704" ht="14.25" customHeight="1" s="192">
      <c r="W7704" s="235" t="n"/>
      <c r="X7704" s="235" t="n"/>
    </row>
    <row r="7705" ht="14.25" customHeight="1" s="192">
      <c r="W7705" s="235" t="n"/>
      <c r="X7705" s="235" t="n"/>
    </row>
    <row r="7706" ht="14.25" customHeight="1" s="192">
      <c r="W7706" s="239" t="n"/>
      <c r="X7706" s="239" t="n"/>
    </row>
    <row r="7707" ht="14.25" customHeight="1" s="192">
      <c r="W7707" s="235" t="n"/>
      <c r="X7707" s="235" t="n"/>
    </row>
    <row r="7708" ht="14.25" customHeight="1" s="192">
      <c r="W7708" s="239" t="n"/>
      <c r="X7708" s="239" t="n"/>
    </row>
    <row r="7710" ht="14.25" customHeight="1" s="192">
      <c r="W7710" s="235" t="n"/>
      <c r="X7710" s="235" t="n"/>
    </row>
    <row r="7711" ht="15" customHeight="1" s="192" thickBot="1">
      <c r="W7711" s="239" t="n"/>
      <c r="X7711" s="239" t="n"/>
    </row>
    <row r="7712" ht="15" customHeight="1" s="192" thickBot="1">
      <c r="W7712" s="45" t="n"/>
      <c r="X7712" s="45" t="n"/>
    </row>
    <row r="7713" ht="14.25" customHeight="1" s="192">
      <c r="W7713" s="228" t="n"/>
      <c r="X7713" s="228" t="n"/>
    </row>
    <row r="7714" ht="14.25" customHeight="1" s="192">
      <c r="W7714" s="228" t="n"/>
      <c r="X7714" s="228" t="n"/>
    </row>
    <row r="7715" ht="14.25" customHeight="1" s="192">
      <c r="W7715" s="231" t="n"/>
      <c r="X7715" s="231" t="n"/>
    </row>
    <row r="7716" ht="14.25" customHeight="1" s="192">
      <c r="W7716" s="33" t="n"/>
      <c r="X7716" s="33" t="n"/>
    </row>
    <row r="7717" ht="14.25" customHeight="1" s="192">
      <c r="W7717" s="231" t="n"/>
      <c r="X7717" s="231" t="n"/>
    </row>
    <row r="7718" ht="14.25" customHeight="1" s="192">
      <c r="W7718" s="33" t="n"/>
      <c r="X7718" s="33" t="n"/>
    </row>
    <row r="7720" ht="14.25" customHeight="1" s="192">
      <c r="W7720" s="231" t="n"/>
      <c r="X7720" s="231" t="n"/>
    </row>
    <row r="7721" ht="14.25" customHeight="1" s="192">
      <c r="W7721" s="235" t="n"/>
      <c r="X7721" s="235" t="n"/>
    </row>
    <row r="7722" ht="14.25" customHeight="1" s="192">
      <c r="W7722" s="228" t="n"/>
      <c r="X7722" s="228" t="n"/>
    </row>
    <row r="7723" ht="14.25" customHeight="1" s="192">
      <c r="W7723" s="235" t="n"/>
      <c r="X7723" s="235" t="n"/>
    </row>
    <row r="7724" ht="14.25" customHeight="1" s="192">
      <c r="W7724" s="235" t="n"/>
      <c r="X7724" s="235" t="n"/>
    </row>
    <row r="7725" ht="14.25" customHeight="1" s="192">
      <c r="W7725" s="235" t="n"/>
      <c r="X7725" s="235" t="n"/>
    </row>
    <row r="7726" ht="14.25" customHeight="1" s="192">
      <c r="W7726" s="239" t="n"/>
      <c r="X7726" s="239" t="n"/>
    </row>
    <row r="7727" ht="14.25" customHeight="1" s="192">
      <c r="W7727" s="239" t="n"/>
      <c r="X7727" s="239" t="n"/>
    </row>
    <row r="7728" ht="14.25" customHeight="1" s="192">
      <c r="W7728" s="239" t="n"/>
      <c r="X7728" s="239" t="n"/>
    </row>
    <row r="7729" ht="14.25" customHeight="1" s="192">
      <c r="W7729" s="235" t="n"/>
      <c r="X7729" s="235" t="n"/>
    </row>
    <row r="7730" ht="14.25" customHeight="1" s="192">
      <c r="W7730" s="235" t="n"/>
      <c r="X7730" s="235" t="n"/>
    </row>
    <row r="7731" ht="14.25" customHeight="1" s="192">
      <c r="W7731" s="235" t="n"/>
      <c r="X7731" s="235" t="n"/>
    </row>
    <row r="7732" ht="14.25" customHeight="1" s="192">
      <c r="W7732" s="239" t="n"/>
      <c r="X7732" s="239" t="n"/>
    </row>
    <row r="7733" ht="14.25" customHeight="1" s="192">
      <c r="W7733" s="239" t="n"/>
      <c r="X7733" s="239" t="n"/>
    </row>
    <row r="7734" ht="14.25" customHeight="1" s="192">
      <c r="W7734" s="235" t="n"/>
      <c r="X7734" s="235" t="n"/>
    </row>
    <row r="7735" ht="14.25" customHeight="1" s="192">
      <c r="W7735" s="235" t="n"/>
      <c r="X7735" s="235" t="n"/>
    </row>
    <row r="7736" ht="14.25" customHeight="1" s="192">
      <c r="W7736" s="239" t="n"/>
      <c r="X7736" s="239" t="n"/>
    </row>
    <row r="7737" ht="14.25" customHeight="1" s="192">
      <c r="W7737" s="235" t="n"/>
      <c r="X7737" s="235" t="n"/>
    </row>
    <row r="7738" ht="14.25" customHeight="1" s="192">
      <c r="W7738" s="239" t="n"/>
      <c r="X7738" s="239" t="n"/>
    </row>
    <row r="7740" ht="14.25" customHeight="1" s="192">
      <c r="W7740" s="235" t="n"/>
      <c r="X7740" s="235" t="n"/>
    </row>
    <row r="7741" ht="15" customHeight="1" s="192" thickBot="1">
      <c r="W7741" s="239" t="n"/>
      <c r="X7741" s="239" t="n"/>
    </row>
    <row r="7742" ht="15" customHeight="1" s="192" thickBot="1">
      <c r="W7742" s="45" t="n"/>
      <c r="X7742" s="45" t="n"/>
    </row>
    <row r="7743" ht="14.25" customHeight="1" s="192">
      <c r="W7743" s="228" t="n"/>
      <c r="X7743" s="228" t="n"/>
    </row>
    <row r="7744" ht="14.25" customHeight="1" s="192">
      <c r="W7744" s="228" t="n"/>
      <c r="X7744" s="228" t="n"/>
    </row>
    <row r="7745" ht="14.25" customHeight="1" s="192">
      <c r="W7745" s="231" t="n"/>
      <c r="X7745" s="231" t="n"/>
    </row>
    <row r="7746" ht="14.25" customHeight="1" s="192">
      <c r="W7746" s="33" t="n"/>
      <c r="X7746" s="33" t="n"/>
    </row>
    <row r="7747" ht="14.25" customHeight="1" s="192">
      <c r="W7747" s="231" t="n"/>
      <c r="X7747" s="231" t="n"/>
    </row>
    <row r="7748" ht="14.25" customHeight="1" s="192">
      <c r="W7748" s="33" t="n"/>
      <c r="X7748" s="33" t="n"/>
    </row>
    <row r="7750" ht="14.25" customHeight="1" s="192">
      <c r="W7750" s="231" t="n"/>
      <c r="X7750" s="231" t="n"/>
    </row>
    <row r="7751" ht="14.25" customHeight="1" s="192">
      <c r="W7751" s="235" t="n"/>
      <c r="X7751" s="235" t="n"/>
    </row>
    <row r="7752" ht="14.25" customHeight="1" s="192">
      <c r="W7752" s="228" t="n"/>
      <c r="X7752" s="228" t="n"/>
    </row>
    <row r="7753" ht="14.25" customHeight="1" s="192">
      <c r="W7753" s="235" t="n"/>
      <c r="X7753" s="235" t="n"/>
    </row>
    <row r="7754" ht="14.25" customHeight="1" s="192">
      <c r="W7754" s="235" t="n"/>
      <c r="X7754" s="235" t="n"/>
    </row>
    <row r="7755" ht="14.25" customHeight="1" s="192">
      <c r="W7755" s="235" t="n"/>
      <c r="X7755" s="235" t="n"/>
    </row>
    <row r="7756" ht="14.25" customHeight="1" s="192">
      <c r="W7756" s="239" t="n"/>
      <c r="X7756" s="239" t="n"/>
    </row>
    <row r="7757" ht="14.25" customHeight="1" s="192">
      <c r="W7757" s="239" t="n"/>
      <c r="X7757" s="239" t="n"/>
    </row>
    <row r="7758" ht="14.25" customHeight="1" s="192">
      <c r="W7758" s="239" t="n"/>
      <c r="X7758" s="239" t="n"/>
    </row>
    <row r="7759" ht="14.25" customHeight="1" s="192">
      <c r="W7759" s="235" t="n"/>
      <c r="X7759" s="235" t="n"/>
    </row>
    <row r="7760" ht="14.25" customHeight="1" s="192">
      <c r="W7760" s="235" t="n"/>
      <c r="X7760" s="235" t="n"/>
    </row>
    <row r="7761" ht="14.25" customHeight="1" s="192">
      <c r="W7761" s="235" t="n"/>
      <c r="X7761" s="235" t="n"/>
    </row>
    <row r="7762" ht="14.25" customHeight="1" s="192">
      <c r="W7762" s="239" t="n"/>
      <c r="X7762" s="239" t="n"/>
    </row>
    <row r="7763" ht="14.25" customHeight="1" s="192">
      <c r="W7763" s="239" t="n"/>
      <c r="X7763" s="239" t="n"/>
    </row>
    <row r="7764" ht="14.25" customHeight="1" s="192">
      <c r="W7764" s="235" t="n"/>
      <c r="X7764" s="235" t="n"/>
    </row>
    <row r="7765" ht="14.25" customHeight="1" s="192">
      <c r="W7765" s="235" t="n"/>
      <c r="X7765" s="235" t="n"/>
    </row>
    <row r="7766" ht="14.25" customHeight="1" s="192">
      <c r="W7766" s="239" t="n"/>
      <c r="X7766" s="239" t="n"/>
    </row>
    <row r="7767" ht="14.25" customHeight="1" s="192">
      <c r="W7767" s="235" t="n"/>
      <c r="X7767" s="235" t="n"/>
    </row>
    <row r="7768" ht="14.25" customHeight="1" s="192">
      <c r="W7768" s="239" t="n"/>
      <c r="X7768" s="239" t="n"/>
    </row>
    <row r="7770" ht="14.25" customHeight="1" s="192">
      <c r="W7770" s="235" t="n"/>
      <c r="X7770" s="235" t="n"/>
    </row>
    <row r="7771" ht="15" customHeight="1" s="192" thickBot="1">
      <c r="W7771" s="239" t="n"/>
      <c r="X7771" s="239" t="n"/>
    </row>
    <row r="7772" ht="15" customHeight="1" s="192" thickBot="1">
      <c r="W7772" s="45" t="n"/>
      <c r="X7772" s="45" t="n"/>
    </row>
    <row r="7773" ht="14.25" customHeight="1" s="192">
      <c r="W7773" s="228" t="n"/>
      <c r="X7773" s="228" t="n"/>
    </row>
    <row r="7774" ht="14.25" customHeight="1" s="192">
      <c r="W7774" s="228" t="n"/>
      <c r="X7774" s="228" t="n"/>
    </row>
    <row r="7775" ht="14.25" customHeight="1" s="192">
      <c r="W7775" s="231" t="n"/>
      <c r="X7775" s="231" t="n"/>
    </row>
    <row r="7776" ht="14.25" customHeight="1" s="192">
      <c r="W7776" s="33" t="n"/>
      <c r="X7776" s="33" t="n"/>
    </row>
    <row r="7777" ht="14.25" customHeight="1" s="192">
      <c r="W7777" s="231" t="n"/>
      <c r="X7777" s="231" t="n"/>
    </row>
    <row r="7778" ht="14.25" customHeight="1" s="192">
      <c r="W7778" s="33" t="n"/>
      <c r="X7778" s="33" t="n"/>
    </row>
    <row r="7780" ht="14.25" customHeight="1" s="192">
      <c r="W7780" s="231" t="n"/>
      <c r="X7780" s="231" t="n"/>
    </row>
    <row r="7781" ht="14.25" customHeight="1" s="192">
      <c r="W7781" s="235" t="n"/>
      <c r="X7781" s="235" t="n"/>
    </row>
    <row r="7782" ht="14.25" customHeight="1" s="192">
      <c r="W7782" s="228" t="n"/>
      <c r="X7782" s="228" t="n"/>
    </row>
    <row r="7783" ht="14.25" customHeight="1" s="192">
      <c r="W7783" s="235" t="n"/>
      <c r="X7783" s="235" t="n"/>
    </row>
    <row r="7784" ht="14.25" customHeight="1" s="192">
      <c r="W7784" s="235" t="n"/>
      <c r="X7784" s="235" t="n"/>
    </row>
    <row r="7785" ht="14.25" customHeight="1" s="192">
      <c r="W7785" s="235" t="n"/>
      <c r="X7785" s="235" t="n"/>
    </row>
    <row r="7786" ht="14.25" customHeight="1" s="192">
      <c r="W7786" s="239" t="n"/>
      <c r="X7786" s="239" t="n"/>
    </row>
    <row r="7787" ht="14.25" customHeight="1" s="192">
      <c r="W7787" s="239" t="n"/>
      <c r="X7787" s="239" t="n"/>
    </row>
    <row r="7788" ht="14.25" customHeight="1" s="192">
      <c r="W7788" s="239" t="n"/>
      <c r="X7788" s="239" t="n"/>
    </row>
    <row r="7789" ht="14.25" customHeight="1" s="192">
      <c r="W7789" s="235" t="n"/>
      <c r="X7789" s="235" t="n"/>
    </row>
    <row r="7790" ht="14.25" customHeight="1" s="192">
      <c r="W7790" s="235" t="n"/>
      <c r="X7790" s="235" t="n"/>
    </row>
    <row r="7791" ht="14.25" customHeight="1" s="192">
      <c r="W7791" s="235" t="n"/>
      <c r="X7791" s="235" t="n"/>
    </row>
    <row r="7792" ht="14.25" customHeight="1" s="192">
      <c r="W7792" s="239" t="n"/>
      <c r="X7792" s="239" t="n"/>
    </row>
    <row r="7793" ht="14.25" customHeight="1" s="192">
      <c r="W7793" s="239" t="n"/>
      <c r="X7793" s="239" t="n"/>
    </row>
    <row r="7794" ht="14.25" customHeight="1" s="192">
      <c r="W7794" s="235" t="n"/>
      <c r="X7794" s="235" t="n"/>
    </row>
    <row r="7795" ht="14.25" customHeight="1" s="192">
      <c r="W7795" s="235" t="n"/>
      <c r="X7795" s="235" t="n"/>
    </row>
    <row r="7796" ht="14.25" customHeight="1" s="192">
      <c r="W7796" s="239" t="n"/>
      <c r="X7796" s="239" t="n"/>
    </row>
    <row r="7797" ht="14.25" customHeight="1" s="192">
      <c r="W7797" s="235" t="n"/>
      <c r="X7797" s="235" t="n"/>
    </row>
    <row r="7798" ht="14.25" customHeight="1" s="192">
      <c r="W7798" s="239" t="n"/>
      <c r="X7798" s="239" t="n"/>
    </row>
    <row r="7800" ht="14.25" customHeight="1" s="192">
      <c r="W7800" s="235" t="n"/>
      <c r="X7800" s="235" t="n"/>
    </row>
    <row r="7801" ht="15" customHeight="1" s="192" thickBot="1">
      <c r="W7801" s="239" t="n"/>
      <c r="X7801" s="239" t="n"/>
    </row>
    <row r="7802" ht="15" customHeight="1" s="192" thickBot="1">
      <c r="W7802" s="45" t="n"/>
      <c r="X7802" s="45" t="n"/>
    </row>
    <row r="7803" ht="14.25" customHeight="1" s="192">
      <c r="W7803" s="228" t="n"/>
      <c r="X7803" s="228" t="n"/>
    </row>
    <row r="7804" ht="14.25" customHeight="1" s="192">
      <c r="W7804" s="228" t="n"/>
      <c r="X7804" s="228" t="n"/>
    </row>
    <row r="7805" ht="14.25" customHeight="1" s="192">
      <c r="W7805" s="231" t="n"/>
      <c r="X7805" s="231" t="n"/>
    </row>
    <row r="7806" ht="14.25" customHeight="1" s="192">
      <c r="W7806" s="33" t="n"/>
      <c r="X7806" s="33" t="n"/>
    </row>
    <row r="7807" ht="14.25" customHeight="1" s="192">
      <c r="W7807" s="231" t="n"/>
      <c r="X7807" s="231" t="n"/>
    </row>
    <row r="7808" ht="14.25" customHeight="1" s="192">
      <c r="W7808" s="33" t="n"/>
      <c r="X7808" s="33" t="n"/>
    </row>
    <row r="7810" ht="14.25" customHeight="1" s="192">
      <c r="W7810" s="231" t="n"/>
      <c r="X7810" s="231" t="n"/>
    </row>
    <row r="7811" ht="14.25" customHeight="1" s="192">
      <c r="W7811" s="235" t="n"/>
      <c r="X7811" s="235" t="n"/>
    </row>
    <row r="7812" ht="14.25" customHeight="1" s="192">
      <c r="W7812" s="228" t="n"/>
      <c r="X7812" s="228" t="n"/>
    </row>
    <row r="7813" ht="14.25" customHeight="1" s="192">
      <c r="W7813" s="235" t="n"/>
      <c r="X7813" s="235" t="n"/>
    </row>
    <row r="7814" ht="14.25" customHeight="1" s="192">
      <c r="W7814" s="235" t="n"/>
      <c r="X7814" s="235" t="n"/>
    </row>
    <row r="7815" ht="14.25" customHeight="1" s="192">
      <c r="W7815" s="235" t="n"/>
      <c r="X7815" s="235" t="n"/>
    </row>
    <row r="7816" ht="14.25" customHeight="1" s="192">
      <c r="W7816" s="239" t="n"/>
      <c r="X7816" s="239" t="n"/>
    </row>
    <row r="7817" ht="14.25" customHeight="1" s="192">
      <c r="W7817" s="239" t="n"/>
      <c r="X7817" s="239" t="n"/>
    </row>
    <row r="7818" ht="14.25" customHeight="1" s="192">
      <c r="W7818" s="239" t="n"/>
      <c r="X7818" s="239" t="n"/>
    </row>
    <row r="7819" ht="14.25" customHeight="1" s="192">
      <c r="W7819" s="235" t="n"/>
      <c r="X7819" s="235" t="n"/>
    </row>
    <row r="7820" ht="14.25" customHeight="1" s="192">
      <c r="W7820" s="235" t="n"/>
      <c r="X7820" s="235" t="n"/>
    </row>
    <row r="7821" ht="14.25" customHeight="1" s="192">
      <c r="W7821" s="235" t="n"/>
      <c r="X7821" s="235" t="n"/>
    </row>
    <row r="7822" ht="14.25" customHeight="1" s="192">
      <c r="W7822" s="239" t="n"/>
      <c r="X7822" s="239" t="n"/>
    </row>
    <row r="7823" ht="14.25" customHeight="1" s="192">
      <c r="W7823" s="239" t="n"/>
      <c r="X7823" s="239" t="n"/>
    </row>
    <row r="7824" ht="14.25" customHeight="1" s="192">
      <c r="W7824" s="235" t="n"/>
      <c r="X7824" s="235" t="n"/>
    </row>
    <row r="7825" ht="14.25" customHeight="1" s="192">
      <c r="W7825" s="235" t="n"/>
      <c r="X7825" s="235" t="n"/>
    </row>
    <row r="7826" ht="14.25" customHeight="1" s="192">
      <c r="W7826" s="239" t="n"/>
      <c r="X7826" s="239" t="n"/>
    </row>
    <row r="7827" ht="14.25" customHeight="1" s="192">
      <c r="W7827" s="235" t="n"/>
      <c r="X7827" s="235" t="n"/>
    </row>
    <row r="7828" ht="14.25" customHeight="1" s="192">
      <c r="W7828" s="239" t="n"/>
      <c r="X7828" s="239" t="n"/>
    </row>
    <row r="7830" ht="14.25" customHeight="1" s="192">
      <c r="W7830" s="235" t="n"/>
      <c r="X7830" s="235" t="n"/>
    </row>
    <row r="7831" ht="15" customHeight="1" s="192" thickBot="1">
      <c r="W7831" s="239" t="n"/>
      <c r="X7831" s="239" t="n"/>
    </row>
    <row r="7832" ht="15" customHeight="1" s="192" thickBot="1">
      <c r="W7832" s="45" t="n"/>
      <c r="X7832" s="45" t="n"/>
    </row>
    <row r="7833" ht="14.25" customHeight="1" s="192">
      <c r="W7833" s="228" t="n"/>
      <c r="X7833" s="228" t="n"/>
    </row>
    <row r="7834" ht="14.25" customHeight="1" s="192">
      <c r="W7834" s="228" t="n"/>
      <c r="X7834" s="228" t="n"/>
    </row>
    <row r="7835" ht="14.25" customHeight="1" s="192">
      <c r="W7835" s="231" t="n"/>
      <c r="X7835" s="231" t="n"/>
    </row>
    <row r="7836" ht="14.25" customHeight="1" s="192">
      <c r="W7836" s="33" t="n"/>
      <c r="X7836" s="33" t="n"/>
    </row>
    <row r="7837" ht="14.25" customHeight="1" s="192">
      <c r="W7837" s="231" t="n"/>
      <c r="X7837" s="231" t="n"/>
    </row>
    <row r="7838" ht="14.25" customHeight="1" s="192">
      <c r="W7838" s="33" t="n"/>
      <c r="X7838" s="33" t="n"/>
    </row>
    <row r="7840" ht="14.25" customHeight="1" s="192">
      <c r="W7840" s="231" t="n"/>
      <c r="X7840" s="231" t="n"/>
    </row>
    <row r="7841" ht="14.25" customHeight="1" s="192">
      <c r="W7841" s="235" t="n"/>
      <c r="X7841" s="235" t="n"/>
    </row>
    <row r="7842" ht="14.25" customHeight="1" s="192">
      <c r="W7842" s="228" t="n"/>
      <c r="X7842" s="228" t="n"/>
    </row>
    <row r="7843" ht="14.25" customHeight="1" s="192">
      <c r="W7843" s="235" t="n"/>
      <c r="X7843" s="235" t="n"/>
    </row>
    <row r="7844" ht="14.25" customHeight="1" s="192">
      <c r="W7844" s="235" t="n"/>
      <c r="X7844" s="235" t="n"/>
    </row>
    <row r="7845" ht="14.25" customHeight="1" s="192">
      <c r="W7845" s="235" t="n"/>
      <c r="X7845" s="235" t="n"/>
    </row>
    <row r="7846" ht="14.25" customHeight="1" s="192">
      <c r="W7846" s="239" t="n"/>
      <c r="X7846" s="239" t="n"/>
    </row>
    <row r="7847" ht="14.25" customHeight="1" s="192">
      <c r="W7847" s="239" t="n"/>
      <c r="X7847" s="239" t="n"/>
    </row>
    <row r="7848" ht="14.25" customHeight="1" s="192">
      <c r="W7848" s="239" t="n"/>
      <c r="X7848" s="239" t="n"/>
    </row>
    <row r="7849" ht="14.25" customHeight="1" s="192">
      <c r="W7849" s="235" t="n"/>
      <c r="X7849" s="235" t="n"/>
    </row>
    <row r="7850" ht="14.25" customHeight="1" s="192">
      <c r="W7850" s="235" t="n"/>
      <c r="X7850" s="235" t="n"/>
    </row>
    <row r="7851" ht="14.25" customHeight="1" s="192">
      <c r="W7851" s="235" t="n"/>
      <c r="X7851" s="235" t="n"/>
    </row>
    <row r="7852" ht="14.25" customHeight="1" s="192">
      <c r="W7852" s="239" t="n"/>
      <c r="X7852" s="239" t="n"/>
    </row>
    <row r="7853" ht="14.25" customHeight="1" s="192">
      <c r="W7853" s="239" t="n"/>
      <c r="X7853" s="239" t="n"/>
    </row>
    <row r="7854" ht="14.25" customHeight="1" s="192">
      <c r="W7854" s="235" t="n"/>
      <c r="X7854" s="235" t="n"/>
    </row>
    <row r="7855" ht="14.25" customHeight="1" s="192">
      <c r="W7855" s="235" t="n"/>
      <c r="X7855" s="235" t="n"/>
    </row>
    <row r="7856" ht="14.25" customHeight="1" s="192">
      <c r="W7856" s="239" t="n"/>
      <c r="X7856" s="239" t="n"/>
    </row>
    <row r="7857" ht="14.25" customHeight="1" s="192">
      <c r="W7857" s="235" t="n"/>
      <c r="X7857" s="235" t="n"/>
    </row>
    <row r="7858" ht="14.25" customHeight="1" s="192">
      <c r="W7858" s="239" t="n"/>
      <c r="X7858" s="239" t="n"/>
    </row>
    <row r="7860" ht="14.25" customHeight="1" s="192">
      <c r="W7860" s="235" t="n"/>
      <c r="X7860" s="235" t="n"/>
    </row>
    <row r="7861" ht="15" customHeight="1" s="192" thickBot="1">
      <c r="W7861" s="239" t="n"/>
      <c r="X7861" s="239" t="n"/>
    </row>
    <row r="7862" ht="15" customHeight="1" s="192" thickBot="1">
      <c r="W7862" s="45" t="n"/>
      <c r="X7862" s="45" t="n"/>
    </row>
    <row r="7863" ht="14.25" customHeight="1" s="192">
      <c r="W7863" s="228" t="n"/>
      <c r="X7863" s="228" t="n"/>
    </row>
    <row r="7864" ht="14.25" customHeight="1" s="192">
      <c r="W7864" s="228" t="n"/>
      <c r="X7864" s="228" t="n"/>
    </row>
    <row r="7865" ht="14.25" customHeight="1" s="192">
      <c r="W7865" s="231" t="n"/>
      <c r="X7865" s="231" t="n"/>
    </row>
    <row r="7866" ht="14.25" customHeight="1" s="192">
      <c r="W7866" s="33" t="n"/>
      <c r="X7866" s="33" t="n"/>
    </row>
    <row r="7867" ht="14.25" customHeight="1" s="192">
      <c r="W7867" s="231" t="n"/>
      <c r="X7867" s="231" t="n"/>
    </row>
    <row r="7868" ht="14.25" customHeight="1" s="192">
      <c r="W7868" s="33" t="n"/>
      <c r="X7868" s="33" t="n"/>
    </row>
    <row r="7870" ht="14.25" customHeight="1" s="192">
      <c r="W7870" s="231" t="n"/>
      <c r="X7870" s="231" t="n"/>
    </row>
    <row r="7871" ht="14.25" customHeight="1" s="192">
      <c r="W7871" s="235" t="n"/>
      <c r="X7871" s="235" t="n"/>
    </row>
    <row r="7872" ht="14.25" customHeight="1" s="192">
      <c r="W7872" s="228" t="n"/>
      <c r="X7872" s="228" t="n"/>
    </row>
    <row r="7873" ht="14.25" customHeight="1" s="192">
      <c r="W7873" s="235" t="n"/>
      <c r="X7873" s="235" t="n"/>
    </row>
    <row r="7874" ht="14.25" customHeight="1" s="192">
      <c r="W7874" s="235" t="n"/>
      <c r="X7874" s="235" t="n"/>
    </row>
    <row r="7875" ht="14.25" customHeight="1" s="192">
      <c r="W7875" s="235" t="n"/>
      <c r="X7875" s="235" t="n"/>
    </row>
    <row r="7876" ht="14.25" customHeight="1" s="192">
      <c r="W7876" s="239" t="n"/>
      <c r="X7876" s="239" t="n"/>
    </row>
    <row r="7877" ht="14.25" customHeight="1" s="192">
      <c r="W7877" s="239" t="n"/>
      <c r="X7877" s="239" t="n"/>
    </row>
    <row r="7878" ht="14.25" customHeight="1" s="192">
      <c r="W7878" s="239" t="n"/>
      <c r="X7878" s="239" t="n"/>
    </row>
    <row r="7879" ht="14.25" customHeight="1" s="192">
      <c r="W7879" s="235" t="n"/>
      <c r="X7879" s="235" t="n"/>
    </row>
    <row r="7880" ht="14.25" customHeight="1" s="192">
      <c r="W7880" s="235" t="n"/>
      <c r="X7880" s="235" t="n"/>
    </row>
    <row r="7881" ht="14.25" customHeight="1" s="192">
      <c r="W7881" s="235" t="n"/>
      <c r="X7881" s="235" t="n"/>
    </row>
    <row r="7882" ht="14.25" customHeight="1" s="192">
      <c r="W7882" s="239" t="n"/>
      <c r="X7882" s="239" t="n"/>
    </row>
    <row r="7883" ht="14.25" customHeight="1" s="192">
      <c r="W7883" s="239" t="n"/>
      <c r="X7883" s="239" t="n"/>
    </row>
    <row r="7884" ht="14.25" customHeight="1" s="192">
      <c r="W7884" s="235" t="n"/>
      <c r="X7884" s="235" t="n"/>
    </row>
    <row r="7885" ht="14.25" customHeight="1" s="192">
      <c r="W7885" s="235" t="n"/>
      <c r="X7885" s="235" t="n"/>
    </row>
    <row r="7886" ht="14.25" customHeight="1" s="192">
      <c r="W7886" s="239" t="n"/>
      <c r="X7886" s="239" t="n"/>
    </row>
    <row r="7887" ht="14.25" customHeight="1" s="192">
      <c r="W7887" s="235" t="n"/>
      <c r="X7887" s="235" t="n"/>
    </row>
    <row r="7888" ht="14.25" customHeight="1" s="192">
      <c r="W7888" s="239" t="n"/>
      <c r="X7888" s="239" t="n"/>
    </row>
    <row r="7890" ht="14.25" customHeight="1" s="192">
      <c r="W7890" s="235" t="n"/>
      <c r="X7890" s="235" t="n"/>
    </row>
    <row r="7891" ht="15" customHeight="1" s="192" thickBot="1">
      <c r="W7891" s="239" t="n"/>
      <c r="X7891" s="239" t="n"/>
    </row>
    <row r="7892" ht="15" customHeight="1" s="192" thickBot="1">
      <c r="W7892" s="45" t="n"/>
      <c r="X7892" s="45" t="n"/>
    </row>
    <row r="7893" ht="14.25" customHeight="1" s="192">
      <c r="W7893" s="228" t="n"/>
      <c r="X7893" s="228" t="n"/>
    </row>
    <row r="7894" ht="14.25" customHeight="1" s="192">
      <c r="W7894" s="228" t="n"/>
      <c r="X7894" s="228" t="n"/>
    </row>
    <row r="7895" ht="14.25" customHeight="1" s="192">
      <c r="W7895" s="231" t="n"/>
      <c r="X7895" s="231" t="n"/>
    </row>
    <row r="7896" ht="14.25" customHeight="1" s="192">
      <c r="W7896" s="33" t="n"/>
      <c r="X7896" s="33" t="n"/>
    </row>
    <row r="7897" ht="14.25" customHeight="1" s="192">
      <c r="W7897" s="231" t="n"/>
      <c r="X7897" s="231" t="n"/>
    </row>
    <row r="7898" ht="14.25" customHeight="1" s="192">
      <c r="W7898" s="33" t="n"/>
      <c r="X7898" s="33" t="n"/>
    </row>
    <row r="7900" ht="14.25" customHeight="1" s="192">
      <c r="W7900" s="231" t="n"/>
      <c r="X7900" s="231" t="n"/>
    </row>
    <row r="7901" ht="14.25" customHeight="1" s="192">
      <c r="W7901" s="235" t="n"/>
      <c r="X7901" s="235" t="n"/>
    </row>
    <row r="7902" ht="14.25" customHeight="1" s="192">
      <c r="W7902" s="228" t="n"/>
      <c r="X7902" s="228" t="n"/>
    </row>
    <row r="7903" ht="14.25" customHeight="1" s="192">
      <c r="W7903" s="235" t="n"/>
      <c r="X7903" s="235" t="n"/>
    </row>
    <row r="7904" ht="14.25" customHeight="1" s="192">
      <c r="W7904" s="235" t="n"/>
      <c r="X7904" s="235" t="n"/>
    </row>
    <row r="7905" ht="14.25" customHeight="1" s="192">
      <c r="W7905" s="235" t="n"/>
      <c r="X7905" s="235" t="n"/>
    </row>
    <row r="7906" ht="14.25" customHeight="1" s="192">
      <c r="W7906" s="239" t="n"/>
      <c r="X7906" s="239" t="n"/>
    </row>
    <row r="7907" ht="14.25" customHeight="1" s="192">
      <c r="W7907" s="239" t="n"/>
      <c r="X7907" s="239" t="n"/>
    </row>
    <row r="7908" ht="14.25" customHeight="1" s="192">
      <c r="W7908" s="239" t="n"/>
      <c r="X7908" s="239" t="n"/>
    </row>
    <row r="7909" ht="14.25" customHeight="1" s="192">
      <c r="W7909" s="235" t="n"/>
      <c r="X7909" s="235" t="n"/>
    </row>
    <row r="7910" ht="14.25" customHeight="1" s="192">
      <c r="W7910" s="235" t="n"/>
      <c r="X7910" s="235" t="n"/>
    </row>
    <row r="7911" ht="14.25" customHeight="1" s="192">
      <c r="W7911" s="235" t="n"/>
      <c r="X7911" s="235" t="n"/>
    </row>
    <row r="7912" ht="14.25" customHeight="1" s="192">
      <c r="W7912" s="239" t="n"/>
      <c r="X7912" s="239" t="n"/>
    </row>
    <row r="7913" ht="14.25" customHeight="1" s="192">
      <c r="W7913" s="239" t="n"/>
      <c r="X7913" s="239" t="n"/>
    </row>
    <row r="7914" ht="14.25" customHeight="1" s="192">
      <c r="W7914" s="235" t="n"/>
      <c r="X7914" s="235" t="n"/>
    </row>
    <row r="7915" ht="14.25" customHeight="1" s="192">
      <c r="W7915" s="235" t="n"/>
      <c r="X7915" s="235" t="n"/>
    </row>
    <row r="7916" ht="14.25" customHeight="1" s="192">
      <c r="W7916" s="239" t="n"/>
      <c r="X7916" s="239" t="n"/>
    </row>
    <row r="7917" ht="14.25" customHeight="1" s="192">
      <c r="W7917" s="235" t="n"/>
      <c r="X7917" s="235" t="n"/>
    </row>
    <row r="7918" ht="14.25" customHeight="1" s="192">
      <c r="W7918" s="239" t="n"/>
      <c r="X7918" s="239" t="n"/>
    </row>
    <row r="7920" ht="14.25" customHeight="1" s="192">
      <c r="W7920" s="235" t="n"/>
      <c r="X7920" s="235" t="n"/>
    </row>
    <row r="7921" ht="15" customHeight="1" s="192" thickBot="1">
      <c r="W7921" s="239" t="n"/>
      <c r="X7921" s="239" t="n"/>
    </row>
    <row r="7922" ht="15" customHeight="1" s="192" thickBot="1">
      <c r="W7922" s="45" t="n"/>
      <c r="X7922" s="45" t="n"/>
    </row>
    <row r="7923" ht="14.25" customHeight="1" s="192">
      <c r="W7923" s="228" t="n"/>
      <c r="X7923" s="228" t="n"/>
    </row>
    <row r="7924" ht="14.25" customHeight="1" s="192">
      <c r="W7924" s="228" t="n"/>
      <c r="X7924" s="228" t="n"/>
    </row>
    <row r="7925" ht="14.25" customHeight="1" s="192">
      <c r="W7925" s="231" t="n"/>
      <c r="X7925" s="231" t="n"/>
    </row>
    <row r="7926" ht="14.25" customHeight="1" s="192">
      <c r="W7926" s="33" t="n"/>
      <c r="X7926" s="33" t="n"/>
    </row>
    <row r="7927" ht="14.25" customHeight="1" s="192">
      <c r="W7927" s="231" t="n"/>
      <c r="X7927" s="231" t="n"/>
    </row>
    <row r="7928" ht="14.25" customHeight="1" s="192">
      <c r="W7928" s="33" t="n"/>
      <c r="X7928" s="33" t="n"/>
    </row>
    <row r="7930" ht="14.25" customHeight="1" s="192">
      <c r="W7930" s="231" t="n"/>
      <c r="X7930" s="231" t="n"/>
    </row>
    <row r="7931" ht="14.25" customHeight="1" s="192">
      <c r="W7931" s="235" t="n"/>
      <c r="X7931" s="235" t="n"/>
    </row>
    <row r="7932" ht="14.25" customHeight="1" s="192">
      <c r="W7932" s="228" t="n"/>
      <c r="X7932" s="228" t="n"/>
    </row>
    <row r="7933" ht="14.25" customHeight="1" s="192">
      <c r="W7933" s="235" t="n"/>
      <c r="X7933" s="235" t="n"/>
    </row>
    <row r="7934" ht="14.25" customHeight="1" s="192">
      <c r="W7934" s="235" t="n"/>
      <c r="X7934" s="235" t="n"/>
    </row>
    <row r="7935" ht="14.25" customHeight="1" s="192">
      <c r="W7935" s="235" t="n"/>
      <c r="X7935" s="235" t="n"/>
    </row>
    <row r="7936" ht="14.25" customHeight="1" s="192">
      <c r="W7936" s="239" t="n"/>
      <c r="X7936" s="239" t="n"/>
    </row>
    <row r="7937" ht="14.25" customHeight="1" s="192">
      <c r="W7937" s="239" t="n"/>
      <c r="X7937" s="239" t="n"/>
    </row>
    <row r="7938" ht="14.25" customHeight="1" s="192">
      <c r="W7938" s="239" t="n"/>
      <c r="X7938" s="239" t="n"/>
    </row>
    <row r="7939" ht="14.25" customHeight="1" s="192">
      <c r="W7939" s="235" t="n"/>
      <c r="X7939" s="235" t="n"/>
    </row>
    <row r="7940" ht="14.25" customHeight="1" s="192">
      <c r="W7940" s="235" t="n"/>
      <c r="X7940" s="235" t="n"/>
    </row>
    <row r="7941" ht="14.25" customHeight="1" s="192">
      <c r="W7941" s="235" t="n"/>
      <c r="X7941" s="235" t="n"/>
    </row>
    <row r="7942" ht="14.25" customHeight="1" s="192">
      <c r="W7942" s="239" t="n"/>
      <c r="X7942" s="239" t="n"/>
    </row>
    <row r="7943" ht="14.25" customHeight="1" s="192">
      <c r="W7943" s="239" t="n"/>
      <c r="X7943" s="239" t="n"/>
    </row>
    <row r="7944" ht="14.25" customHeight="1" s="192">
      <c r="W7944" s="235" t="n"/>
      <c r="X7944" s="235" t="n"/>
    </row>
    <row r="7945" ht="14.25" customHeight="1" s="192">
      <c r="W7945" s="235" t="n"/>
      <c r="X7945" s="235" t="n"/>
    </row>
    <row r="7946" ht="14.25" customHeight="1" s="192">
      <c r="W7946" s="239" t="n"/>
      <c r="X7946" s="239" t="n"/>
    </row>
    <row r="7947" ht="14.25" customHeight="1" s="192">
      <c r="W7947" s="235" t="n"/>
      <c r="X7947" s="235" t="n"/>
    </row>
    <row r="7948" ht="14.25" customHeight="1" s="192">
      <c r="W7948" s="239" t="n"/>
      <c r="X7948" s="239" t="n"/>
    </row>
    <row r="7950" ht="14.25" customHeight="1" s="192">
      <c r="W7950" s="235" t="n"/>
      <c r="X7950" s="235" t="n"/>
    </row>
    <row r="7951" ht="15" customHeight="1" s="192" thickBot="1">
      <c r="W7951" s="239" t="n"/>
      <c r="X7951" s="239" t="n"/>
    </row>
    <row r="7952" ht="15" customHeight="1" s="192" thickBot="1">
      <c r="W7952" s="45" t="n"/>
      <c r="X7952" s="45" t="n"/>
    </row>
    <row r="7953" ht="14.25" customHeight="1" s="192">
      <c r="W7953" s="228" t="n"/>
      <c r="X7953" s="228" t="n"/>
    </row>
    <row r="7954" ht="14.25" customHeight="1" s="192">
      <c r="W7954" s="228" t="n"/>
      <c r="X7954" s="228" t="n"/>
    </row>
    <row r="7955" ht="14.25" customHeight="1" s="192">
      <c r="W7955" s="231" t="n"/>
      <c r="X7955" s="231" t="n"/>
    </row>
    <row r="7956" ht="14.25" customHeight="1" s="192">
      <c r="W7956" s="33" t="n"/>
      <c r="X7956" s="33" t="n"/>
    </row>
    <row r="7957" ht="14.25" customHeight="1" s="192">
      <c r="W7957" s="231" t="n"/>
      <c r="X7957" s="231" t="n"/>
    </row>
    <row r="7958" ht="14.25" customHeight="1" s="192">
      <c r="W7958" s="33" t="n"/>
      <c r="X7958" s="33" t="n"/>
    </row>
    <row r="7960" ht="14.25" customHeight="1" s="192">
      <c r="W7960" s="231" t="n"/>
      <c r="X7960" s="231" t="n"/>
    </row>
    <row r="7961" ht="14.25" customHeight="1" s="192">
      <c r="W7961" s="235" t="n"/>
      <c r="X7961" s="235" t="n"/>
    </row>
    <row r="7962" ht="14.25" customHeight="1" s="192">
      <c r="W7962" s="228" t="n"/>
      <c r="X7962" s="228" t="n"/>
    </row>
    <row r="7963" ht="14.25" customHeight="1" s="192">
      <c r="W7963" s="235" t="n"/>
      <c r="X7963" s="235" t="n"/>
    </row>
    <row r="7964" ht="14.25" customHeight="1" s="192">
      <c r="W7964" s="235" t="n"/>
      <c r="X7964" s="235" t="n"/>
    </row>
    <row r="7965" ht="14.25" customHeight="1" s="192">
      <c r="W7965" s="235" t="n"/>
      <c r="X7965" s="235" t="n"/>
    </row>
    <row r="7966" ht="14.25" customHeight="1" s="192">
      <c r="W7966" s="239" t="n"/>
      <c r="X7966" s="239" t="n"/>
    </row>
    <row r="7967" ht="14.25" customHeight="1" s="192">
      <c r="W7967" s="239" t="n"/>
      <c r="X7967" s="239" t="n"/>
    </row>
    <row r="7968" ht="14.25" customHeight="1" s="192">
      <c r="W7968" s="239" t="n"/>
      <c r="X7968" s="239" t="n"/>
    </row>
    <row r="7969" ht="14.25" customHeight="1" s="192">
      <c r="W7969" s="235" t="n"/>
      <c r="X7969" s="235" t="n"/>
    </row>
    <row r="7970" ht="14.25" customHeight="1" s="192">
      <c r="W7970" s="235" t="n"/>
      <c r="X7970" s="235" t="n"/>
    </row>
    <row r="7971" ht="14.25" customHeight="1" s="192">
      <c r="W7971" s="235" t="n"/>
      <c r="X7971" s="235" t="n"/>
    </row>
    <row r="7972" ht="14.25" customHeight="1" s="192">
      <c r="W7972" s="239" t="n"/>
      <c r="X7972" s="239" t="n"/>
    </row>
    <row r="7973" ht="14.25" customHeight="1" s="192">
      <c r="W7973" s="239" t="n"/>
      <c r="X7973" s="239" t="n"/>
    </row>
    <row r="7974" ht="14.25" customHeight="1" s="192">
      <c r="W7974" s="235" t="n"/>
      <c r="X7974" s="235" t="n"/>
    </row>
    <row r="7975" ht="14.25" customHeight="1" s="192">
      <c r="W7975" s="235" t="n"/>
      <c r="X7975" s="235" t="n"/>
    </row>
    <row r="7976" ht="14.25" customHeight="1" s="192">
      <c r="W7976" s="239" t="n"/>
      <c r="X7976" s="239" t="n"/>
    </row>
    <row r="7977" ht="14.25" customHeight="1" s="192">
      <c r="W7977" s="235" t="n"/>
      <c r="X7977" s="235" t="n"/>
    </row>
    <row r="7978" ht="14.25" customHeight="1" s="192">
      <c r="W7978" s="239" t="n"/>
      <c r="X7978" s="239" t="n"/>
    </row>
    <row r="7980" ht="14.25" customHeight="1" s="192">
      <c r="W7980" s="235" t="n"/>
      <c r="X7980" s="235" t="n"/>
    </row>
    <row r="7981" ht="15" customHeight="1" s="192" thickBot="1">
      <c r="W7981" s="239" t="n"/>
      <c r="X7981" s="239" t="n"/>
    </row>
    <row r="7982" ht="15" customHeight="1" s="192" thickBot="1">
      <c r="W7982" s="45" t="n"/>
      <c r="X7982" s="45" t="n"/>
    </row>
    <row r="7983" ht="14.25" customHeight="1" s="192">
      <c r="W7983" s="228" t="n"/>
      <c r="X7983" s="228" t="n"/>
    </row>
    <row r="7984" ht="14.25" customHeight="1" s="192">
      <c r="W7984" s="228" t="n"/>
      <c r="X7984" s="228" t="n"/>
    </row>
    <row r="7985" ht="14.25" customHeight="1" s="192">
      <c r="W7985" s="231" t="n"/>
      <c r="X7985" s="231" t="n"/>
    </row>
    <row r="7986" ht="14.25" customHeight="1" s="192">
      <c r="W7986" s="33" t="n"/>
      <c r="X7986" s="33" t="n"/>
    </row>
    <row r="7987" ht="14.25" customHeight="1" s="192">
      <c r="W7987" s="231" t="n"/>
      <c r="X7987" s="231" t="n"/>
    </row>
    <row r="7988" ht="14.25" customHeight="1" s="192">
      <c r="W7988" s="33" t="n"/>
      <c r="X7988" s="33" t="n"/>
    </row>
    <row r="7990" ht="14.25" customHeight="1" s="192">
      <c r="W7990" s="231" t="n"/>
      <c r="X7990" s="231" t="n"/>
    </row>
    <row r="7991" ht="14.25" customHeight="1" s="192">
      <c r="W7991" s="235" t="n"/>
      <c r="X7991" s="235" t="n"/>
    </row>
    <row r="7992" ht="14.25" customHeight="1" s="192">
      <c r="W7992" s="228" t="n"/>
      <c r="X7992" s="228" t="n"/>
    </row>
    <row r="7993" ht="14.25" customHeight="1" s="192">
      <c r="W7993" s="235" t="n"/>
      <c r="X7993" s="235" t="n"/>
    </row>
    <row r="7994" ht="14.25" customHeight="1" s="192">
      <c r="W7994" s="235" t="n"/>
      <c r="X7994" s="235" t="n"/>
    </row>
    <row r="7995" ht="14.25" customHeight="1" s="192">
      <c r="W7995" s="235" t="n"/>
      <c r="X7995" s="235" t="n"/>
    </row>
    <row r="7996" ht="14.25" customHeight="1" s="192">
      <c r="W7996" s="239" t="n"/>
      <c r="X7996" s="239" t="n"/>
    </row>
    <row r="7997" ht="14.25" customHeight="1" s="192">
      <c r="W7997" s="239" t="n"/>
      <c r="X7997" s="239" t="n"/>
    </row>
    <row r="7998" ht="14.25" customHeight="1" s="192">
      <c r="W7998" s="239" t="n"/>
      <c r="X7998" s="239" t="n"/>
    </row>
    <row r="7999" ht="14.25" customHeight="1" s="192">
      <c r="W7999" s="235" t="n"/>
      <c r="X7999" s="235" t="n"/>
    </row>
    <row r="8000" ht="14.25" customHeight="1" s="192">
      <c r="W8000" s="235" t="n"/>
      <c r="X8000" s="235" t="n"/>
    </row>
    <row r="8001" ht="14.25" customHeight="1" s="192">
      <c r="W8001" s="235" t="n"/>
      <c r="X8001" s="235" t="n"/>
    </row>
    <row r="8002" ht="14.25" customHeight="1" s="192">
      <c r="W8002" s="239" t="n"/>
      <c r="X8002" s="239" t="n"/>
    </row>
    <row r="8003" ht="14.25" customHeight="1" s="192">
      <c r="W8003" s="239" t="n"/>
      <c r="X8003" s="239" t="n"/>
    </row>
    <row r="8004" ht="14.25" customHeight="1" s="192">
      <c r="W8004" s="235" t="n"/>
      <c r="X8004" s="235" t="n"/>
    </row>
    <row r="8005" ht="14.25" customHeight="1" s="192">
      <c r="W8005" s="235" t="n"/>
      <c r="X8005" s="235" t="n"/>
    </row>
    <row r="8006" ht="14.25" customHeight="1" s="192">
      <c r="W8006" s="239" t="n"/>
      <c r="X8006" s="239" t="n"/>
    </row>
    <row r="8007" ht="14.25" customHeight="1" s="192">
      <c r="W8007" s="235" t="n"/>
      <c r="X8007" s="235" t="n"/>
    </row>
    <row r="8008" ht="14.25" customHeight="1" s="192">
      <c r="W8008" s="239" t="n"/>
      <c r="X8008" s="239" t="n"/>
    </row>
    <row r="8010" ht="14.25" customHeight="1" s="192">
      <c r="W8010" s="235" t="n"/>
      <c r="X8010" s="235" t="n"/>
    </row>
    <row r="8011" ht="15" customHeight="1" s="192" thickBot="1">
      <c r="W8011" s="239" t="n"/>
      <c r="X8011" s="239" t="n"/>
    </row>
    <row r="8012" ht="15" customHeight="1" s="192" thickBot="1">
      <c r="W8012" s="45" t="n"/>
      <c r="X8012" s="45" t="n"/>
    </row>
    <row r="8013" ht="14.25" customHeight="1" s="192">
      <c r="W8013" s="228" t="n"/>
      <c r="X8013" s="228" t="n"/>
    </row>
    <row r="8014" ht="14.25" customHeight="1" s="192">
      <c r="W8014" s="228" t="n"/>
      <c r="X8014" s="228" t="n"/>
    </row>
    <row r="8015" ht="14.25" customHeight="1" s="192">
      <c r="W8015" s="231" t="n"/>
      <c r="X8015" s="231" t="n"/>
    </row>
    <row r="8016" ht="14.25" customHeight="1" s="192">
      <c r="W8016" s="33" t="n"/>
      <c r="X8016" s="33" t="n"/>
    </row>
    <row r="8017" ht="14.25" customHeight="1" s="192">
      <c r="W8017" s="231" t="n"/>
      <c r="X8017" s="231" t="n"/>
    </row>
    <row r="8018" ht="14.25" customHeight="1" s="192">
      <c r="W8018" s="33" t="n"/>
      <c r="X8018" s="33" t="n"/>
    </row>
    <row r="8020" ht="14.25" customHeight="1" s="192">
      <c r="W8020" s="231" t="n"/>
      <c r="X8020" s="231" t="n"/>
    </row>
    <row r="8021" ht="14.25" customHeight="1" s="192">
      <c r="W8021" s="235" t="n"/>
      <c r="X8021" s="235" t="n"/>
    </row>
    <row r="8022" ht="14.25" customHeight="1" s="192">
      <c r="W8022" s="228" t="n"/>
      <c r="X8022" s="228" t="n"/>
    </row>
    <row r="8023" ht="14.25" customHeight="1" s="192">
      <c r="W8023" s="235" t="n"/>
      <c r="X8023" s="235" t="n"/>
    </row>
    <row r="8024" ht="14.25" customHeight="1" s="192">
      <c r="W8024" s="235" t="n"/>
      <c r="X8024" s="235" t="n"/>
    </row>
    <row r="8025" ht="14.25" customHeight="1" s="192">
      <c r="W8025" s="235" t="n"/>
      <c r="X8025" s="235" t="n"/>
    </row>
    <row r="8026" ht="14.25" customHeight="1" s="192">
      <c r="W8026" s="239" t="n"/>
      <c r="X8026" s="239" t="n"/>
    </row>
    <row r="8027" ht="14.25" customHeight="1" s="192">
      <c r="W8027" s="239" t="n"/>
      <c r="X8027" s="239" t="n"/>
    </row>
    <row r="8028" ht="14.25" customHeight="1" s="192">
      <c r="W8028" s="239" t="n"/>
      <c r="X8028" s="239" t="n"/>
    </row>
    <row r="8029" ht="14.25" customHeight="1" s="192">
      <c r="W8029" s="235" t="n"/>
      <c r="X8029" s="235" t="n"/>
    </row>
    <row r="8030" ht="14.25" customHeight="1" s="192">
      <c r="W8030" s="235" t="n"/>
      <c r="X8030" s="235" t="n"/>
    </row>
    <row r="8031" ht="14.25" customHeight="1" s="192">
      <c r="W8031" s="235" t="n"/>
      <c r="X8031" s="235" t="n"/>
    </row>
    <row r="8032" ht="14.25" customHeight="1" s="192">
      <c r="W8032" s="239" t="n"/>
      <c r="X8032" s="239" t="n"/>
    </row>
    <row r="8033" ht="14.25" customHeight="1" s="192">
      <c r="W8033" s="239" t="n"/>
      <c r="X8033" s="239" t="n"/>
    </row>
    <row r="8034" ht="14.25" customHeight="1" s="192">
      <c r="W8034" s="235" t="n"/>
      <c r="X8034" s="235" t="n"/>
    </row>
    <row r="8035" ht="14.25" customHeight="1" s="192">
      <c r="W8035" s="235" t="n"/>
      <c r="X8035" s="235" t="n"/>
    </row>
    <row r="8036" ht="14.25" customHeight="1" s="192">
      <c r="W8036" s="239" t="n"/>
      <c r="X8036" s="239" t="n"/>
    </row>
    <row r="8037" ht="14.25" customHeight="1" s="192">
      <c r="W8037" s="235" t="n"/>
      <c r="X8037" s="235" t="n"/>
    </row>
    <row r="8038" ht="14.25" customHeight="1" s="192">
      <c r="W8038" s="239" t="n"/>
      <c r="X8038" s="239" t="n"/>
    </row>
    <row r="8040" ht="14.25" customHeight="1" s="192">
      <c r="W8040" s="235" t="n"/>
      <c r="X8040" s="235" t="n"/>
    </row>
    <row r="8041" ht="15" customHeight="1" s="192" thickBot="1">
      <c r="W8041" s="239" t="n"/>
      <c r="X8041" s="239" t="n"/>
    </row>
    <row r="8042" ht="15" customHeight="1" s="192" thickBot="1">
      <c r="W8042" s="45" t="n"/>
      <c r="X8042" s="45" t="n"/>
    </row>
    <row r="8043" ht="14.25" customHeight="1" s="192">
      <c r="W8043" s="228" t="n"/>
      <c r="X8043" s="228" t="n"/>
    </row>
    <row r="8044" ht="14.25" customHeight="1" s="192">
      <c r="W8044" s="228" t="n"/>
      <c r="X8044" s="228" t="n"/>
    </row>
    <row r="8045" ht="14.25" customHeight="1" s="192">
      <c r="W8045" s="231" t="n"/>
      <c r="X8045" s="231" t="n"/>
    </row>
    <row r="8046" ht="14.25" customHeight="1" s="192">
      <c r="W8046" s="33" t="n"/>
      <c r="X8046" s="33" t="n"/>
    </row>
    <row r="8047" ht="14.25" customHeight="1" s="192">
      <c r="W8047" s="231" t="n"/>
      <c r="X8047" s="231" t="n"/>
    </row>
    <row r="8048" ht="14.25" customHeight="1" s="192">
      <c r="W8048" s="33" t="n"/>
      <c r="X8048" s="33" t="n"/>
    </row>
    <row r="8050" ht="14.25" customHeight="1" s="192">
      <c r="W8050" s="231" t="n"/>
      <c r="X8050" s="231" t="n"/>
    </row>
    <row r="8051" ht="14.25" customHeight="1" s="192">
      <c r="W8051" s="235" t="n"/>
      <c r="X8051" s="235" t="n"/>
    </row>
    <row r="8052" ht="14.25" customHeight="1" s="192">
      <c r="W8052" s="228" t="n"/>
      <c r="X8052" s="228" t="n"/>
    </row>
    <row r="8053" ht="14.25" customHeight="1" s="192">
      <c r="W8053" s="235" t="n"/>
      <c r="X8053" s="235" t="n"/>
    </row>
    <row r="8054" ht="14.25" customHeight="1" s="192">
      <c r="W8054" s="235" t="n"/>
      <c r="X8054" s="235" t="n"/>
    </row>
    <row r="8055" ht="14.25" customHeight="1" s="192">
      <c r="W8055" s="235" t="n"/>
      <c r="X8055" s="235" t="n"/>
    </row>
    <row r="8056" ht="14.25" customHeight="1" s="192">
      <c r="W8056" s="239" t="n"/>
      <c r="X8056" s="239" t="n"/>
    </row>
    <row r="8057" ht="14.25" customHeight="1" s="192">
      <c r="W8057" s="239" t="n"/>
      <c r="X8057" s="239" t="n"/>
    </row>
    <row r="8058" ht="14.25" customHeight="1" s="192">
      <c r="W8058" s="239" t="n"/>
      <c r="X8058" s="239" t="n"/>
    </row>
    <row r="8059" ht="14.25" customHeight="1" s="192">
      <c r="W8059" s="235" t="n"/>
      <c r="X8059" s="235" t="n"/>
    </row>
    <row r="8060" ht="14.25" customHeight="1" s="192">
      <c r="W8060" s="235" t="n"/>
      <c r="X8060" s="235" t="n"/>
    </row>
    <row r="8061" ht="14.25" customHeight="1" s="192">
      <c r="W8061" s="235" t="n"/>
      <c r="X8061" s="235" t="n"/>
    </row>
    <row r="8062" ht="14.25" customHeight="1" s="192">
      <c r="W8062" s="239" t="n"/>
      <c r="X8062" s="239" t="n"/>
    </row>
    <row r="8063" ht="14.25" customHeight="1" s="192">
      <c r="W8063" s="239" t="n"/>
      <c r="X8063" s="239" t="n"/>
    </row>
    <row r="8064" ht="14.25" customHeight="1" s="192">
      <c r="W8064" s="235" t="n"/>
      <c r="X8064" s="235" t="n"/>
    </row>
    <row r="8065" ht="14.25" customHeight="1" s="192">
      <c r="W8065" s="235" t="n"/>
      <c r="X8065" s="235" t="n"/>
    </row>
    <row r="8066" ht="14.25" customHeight="1" s="192">
      <c r="W8066" s="239" t="n"/>
      <c r="X8066" s="239" t="n"/>
    </row>
    <row r="8067" ht="14.25" customHeight="1" s="192">
      <c r="W8067" s="235" t="n"/>
      <c r="X8067" s="235" t="n"/>
    </row>
    <row r="8068" ht="14.25" customHeight="1" s="192">
      <c r="W8068" s="239" t="n"/>
      <c r="X8068" s="239" t="n"/>
    </row>
    <row r="8070" ht="14.25" customHeight="1" s="192">
      <c r="W8070" s="235" t="n"/>
      <c r="X8070" s="235" t="n"/>
    </row>
    <row r="8071" ht="15" customHeight="1" s="192" thickBot="1">
      <c r="W8071" s="239" t="n"/>
      <c r="X8071" s="239" t="n"/>
    </row>
    <row r="8072" ht="15" customHeight="1" s="192" thickBot="1">
      <c r="W8072" s="45" t="n"/>
      <c r="X8072" s="45" t="n"/>
    </row>
    <row r="8073" ht="14.25" customHeight="1" s="192">
      <c r="W8073" s="228" t="n"/>
      <c r="X8073" s="228" t="n"/>
    </row>
    <row r="8074" ht="14.25" customHeight="1" s="192">
      <c r="W8074" s="228" t="n"/>
      <c r="X8074" s="228" t="n"/>
    </row>
    <row r="8075" ht="14.25" customHeight="1" s="192">
      <c r="W8075" s="231" t="n"/>
      <c r="X8075" s="231" t="n"/>
    </row>
    <row r="8076" ht="14.25" customHeight="1" s="192">
      <c r="W8076" s="33" t="n"/>
      <c r="X8076" s="33" t="n"/>
    </row>
    <row r="8077" ht="14.25" customHeight="1" s="192">
      <c r="W8077" s="231" t="n"/>
      <c r="X8077" s="231" t="n"/>
    </row>
    <row r="8078" ht="14.25" customHeight="1" s="192">
      <c r="W8078" s="33" t="n"/>
      <c r="X8078" s="33" t="n"/>
    </row>
    <row r="8080" ht="14.25" customHeight="1" s="192">
      <c r="W8080" s="231" t="n"/>
      <c r="X8080" s="231" t="n"/>
    </row>
    <row r="8081" ht="14.25" customHeight="1" s="192">
      <c r="W8081" s="235" t="n"/>
      <c r="X8081" s="235" t="n"/>
    </row>
    <row r="8082" ht="14.25" customHeight="1" s="192">
      <c r="W8082" s="228" t="n"/>
      <c r="X8082" s="228" t="n"/>
    </row>
    <row r="8083" ht="14.25" customHeight="1" s="192">
      <c r="W8083" s="235" t="n"/>
      <c r="X8083" s="235" t="n"/>
    </row>
    <row r="8084" ht="14.25" customHeight="1" s="192">
      <c r="W8084" s="235" t="n"/>
      <c r="X8084" s="235" t="n"/>
    </row>
    <row r="8085" ht="14.25" customHeight="1" s="192">
      <c r="W8085" s="235" t="n"/>
      <c r="X8085" s="235" t="n"/>
    </row>
    <row r="8086" ht="14.25" customHeight="1" s="192">
      <c r="W8086" s="239" t="n"/>
      <c r="X8086" s="239" t="n"/>
    </row>
    <row r="8087" ht="14.25" customHeight="1" s="192">
      <c r="W8087" s="239" t="n"/>
      <c r="X8087" s="239" t="n"/>
    </row>
    <row r="8088" ht="14.25" customHeight="1" s="192">
      <c r="W8088" s="239" t="n"/>
      <c r="X8088" s="239" t="n"/>
    </row>
    <row r="8089" ht="14.25" customHeight="1" s="192">
      <c r="W8089" s="235" t="n"/>
      <c r="X8089" s="235" t="n"/>
    </row>
    <row r="8090" ht="14.25" customHeight="1" s="192">
      <c r="W8090" s="235" t="n"/>
      <c r="X8090" s="235" t="n"/>
    </row>
    <row r="8091" ht="14.25" customHeight="1" s="192">
      <c r="W8091" s="235" t="n"/>
      <c r="X8091" s="235" t="n"/>
    </row>
    <row r="8092" ht="14.25" customHeight="1" s="192">
      <c r="W8092" s="239" t="n"/>
      <c r="X8092" s="239" t="n"/>
    </row>
    <row r="8093" ht="14.25" customHeight="1" s="192">
      <c r="W8093" s="239" t="n"/>
      <c r="X8093" s="239" t="n"/>
    </row>
    <row r="8094" ht="14.25" customHeight="1" s="192">
      <c r="W8094" s="235" t="n"/>
      <c r="X8094" s="235" t="n"/>
    </row>
    <row r="8095" ht="14.25" customHeight="1" s="192">
      <c r="W8095" s="235" t="n"/>
      <c r="X8095" s="235" t="n"/>
    </row>
    <row r="8096" ht="14.25" customHeight="1" s="192">
      <c r="W8096" s="239" t="n"/>
      <c r="X8096" s="239" t="n"/>
    </row>
    <row r="8097" ht="14.25" customHeight="1" s="192">
      <c r="W8097" s="235" t="n"/>
      <c r="X8097" s="235" t="n"/>
    </row>
    <row r="8098" ht="14.25" customHeight="1" s="192">
      <c r="W8098" s="239" t="n"/>
      <c r="X8098" s="239" t="n"/>
    </row>
    <row r="8100" ht="14.25" customHeight="1" s="192">
      <c r="W8100" s="235" t="n"/>
      <c r="X8100" s="235" t="n"/>
    </row>
    <row r="8101" ht="15" customHeight="1" s="192" thickBot="1">
      <c r="W8101" s="239" t="n"/>
      <c r="X8101" s="239" t="n"/>
    </row>
    <row r="8102" ht="15" customHeight="1" s="192" thickBot="1">
      <c r="W8102" s="45" t="n"/>
      <c r="X8102" s="45" t="n"/>
    </row>
    <row r="8103" ht="14.25" customHeight="1" s="192">
      <c r="W8103" s="228" t="n"/>
      <c r="X8103" s="228" t="n"/>
    </row>
    <row r="8104" ht="14.25" customHeight="1" s="192">
      <c r="W8104" s="228" t="n"/>
      <c r="X8104" s="228" t="n"/>
    </row>
    <row r="8105" ht="14.25" customHeight="1" s="192">
      <c r="W8105" s="231" t="n"/>
      <c r="X8105" s="231" t="n"/>
    </row>
    <row r="8106" ht="14.25" customHeight="1" s="192">
      <c r="W8106" s="33" t="n"/>
      <c r="X8106" s="33" t="n"/>
    </row>
    <row r="8107" ht="14.25" customHeight="1" s="192">
      <c r="W8107" s="231" t="n"/>
      <c r="X8107" s="231" t="n"/>
    </row>
    <row r="8108" ht="14.25" customHeight="1" s="192">
      <c r="W8108" s="33" t="n"/>
      <c r="X8108" s="33" t="n"/>
    </row>
    <row r="8110" ht="14.25" customHeight="1" s="192">
      <c r="W8110" s="231" t="n"/>
      <c r="X8110" s="231" t="n"/>
    </row>
    <row r="8111" ht="14.25" customHeight="1" s="192">
      <c r="W8111" s="235" t="n"/>
      <c r="X8111" s="235" t="n"/>
    </row>
    <row r="8112" ht="14.25" customHeight="1" s="192">
      <c r="W8112" s="228" t="n"/>
      <c r="X8112" s="228" t="n"/>
    </row>
    <row r="8113" ht="14.25" customHeight="1" s="192">
      <c r="W8113" s="235" t="n"/>
      <c r="X8113" s="235" t="n"/>
    </row>
    <row r="8114" ht="14.25" customHeight="1" s="192">
      <c r="W8114" s="235" t="n"/>
      <c r="X8114" s="235" t="n"/>
    </row>
    <row r="8115" ht="14.25" customHeight="1" s="192">
      <c r="W8115" s="235" t="n"/>
      <c r="X8115" s="235" t="n"/>
    </row>
    <row r="8116" ht="14.25" customHeight="1" s="192">
      <c r="W8116" s="239" t="n"/>
      <c r="X8116" s="239" t="n"/>
    </row>
    <row r="8117" ht="14.25" customHeight="1" s="192">
      <c r="W8117" s="239" t="n"/>
      <c r="X8117" s="239" t="n"/>
    </row>
    <row r="8118" ht="14.25" customHeight="1" s="192">
      <c r="W8118" s="239" t="n"/>
      <c r="X8118" s="239" t="n"/>
    </row>
    <row r="8119" ht="14.25" customHeight="1" s="192">
      <c r="W8119" s="235" t="n"/>
      <c r="X8119" s="235" t="n"/>
    </row>
    <row r="8120" ht="14.25" customHeight="1" s="192">
      <c r="W8120" s="235" t="n"/>
      <c r="X8120" s="235" t="n"/>
    </row>
    <row r="8121" ht="14.25" customHeight="1" s="192">
      <c r="W8121" s="235" t="n"/>
      <c r="X8121" s="235" t="n"/>
    </row>
    <row r="8122" ht="14.25" customHeight="1" s="192">
      <c r="W8122" s="239" t="n"/>
      <c r="X8122" s="239" t="n"/>
    </row>
    <row r="8123" ht="14.25" customHeight="1" s="192">
      <c r="W8123" s="239" t="n"/>
      <c r="X8123" s="239" t="n"/>
    </row>
    <row r="8124" ht="14.25" customHeight="1" s="192">
      <c r="W8124" s="235" t="n"/>
      <c r="X8124" s="235" t="n"/>
    </row>
    <row r="8125" ht="14.25" customHeight="1" s="192">
      <c r="W8125" s="235" t="n"/>
      <c r="X8125" s="235" t="n"/>
    </row>
    <row r="8126" ht="14.25" customHeight="1" s="192">
      <c r="W8126" s="239" t="n"/>
      <c r="X8126" s="239" t="n"/>
    </row>
    <row r="8127" ht="14.25" customHeight="1" s="192">
      <c r="W8127" s="235" t="n"/>
      <c r="X8127" s="235" t="n"/>
    </row>
    <row r="8128" ht="14.25" customHeight="1" s="192">
      <c r="W8128" s="239" t="n"/>
      <c r="X8128" s="239" t="n"/>
    </row>
    <row r="8130" ht="14.25" customHeight="1" s="192">
      <c r="W8130" s="235" t="n"/>
      <c r="X8130" s="235" t="n"/>
    </row>
    <row r="8131" ht="15" customHeight="1" s="192" thickBot="1">
      <c r="W8131" s="239" t="n"/>
      <c r="X8131" s="239" t="n"/>
    </row>
    <row r="8132" ht="15" customHeight="1" s="192" thickBot="1">
      <c r="W8132" s="45" t="n"/>
      <c r="X8132" s="45" t="n"/>
    </row>
    <row r="8133" ht="14.25" customHeight="1" s="192">
      <c r="W8133" s="228" t="n"/>
      <c r="X8133" s="228" t="n"/>
    </row>
    <row r="8134" ht="14.25" customHeight="1" s="192">
      <c r="W8134" s="228" t="n"/>
      <c r="X8134" s="228" t="n"/>
    </row>
    <row r="8135" ht="14.25" customHeight="1" s="192">
      <c r="W8135" s="231" t="n"/>
      <c r="X8135" s="231" t="n"/>
    </row>
    <row r="8136" ht="14.25" customHeight="1" s="192">
      <c r="W8136" s="33" t="n"/>
      <c r="X8136" s="33" t="n"/>
    </row>
    <row r="8137" ht="14.25" customHeight="1" s="192">
      <c r="W8137" s="231" t="n"/>
      <c r="X8137" s="231" t="n"/>
    </row>
    <row r="8138" ht="14.25" customHeight="1" s="192">
      <c r="W8138" s="33" t="n"/>
      <c r="X8138" s="33" t="n"/>
    </row>
    <row r="8140" ht="14.25" customHeight="1" s="192">
      <c r="W8140" s="231" t="n"/>
      <c r="X8140" s="231" t="n"/>
    </row>
    <row r="8141" ht="14.25" customHeight="1" s="192">
      <c r="W8141" s="235" t="n"/>
      <c r="X8141" s="235" t="n"/>
    </row>
    <row r="8142" ht="14.25" customHeight="1" s="192">
      <c r="W8142" s="228" t="n"/>
      <c r="X8142" s="228" t="n"/>
    </row>
    <row r="8143" ht="14.25" customHeight="1" s="192">
      <c r="W8143" s="235" t="n"/>
      <c r="X8143" s="235" t="n"/>
    </row>
    <row r="8144" ht="14.25" customHeight="1" s="192">
      <c r="W8144" s="235" t="n"/>
      <c r="X8144" s="235" t="n"/>
    </row>
    <row r="8145" ht="14.25" customHeight="1" s="192">
      <c r="W8145" s="235" t="n"/>
      <c r="X8145" s="235" t="n"/>
    </row>
    <row r="8146" ht="14.25" customHeight="1" s="192">
      <c r="W8146" s="239" t="n"/>
      <c r="X8146" s="239" t="n"/>
    </row>
    <row r="8147" ht="14.25" customHeight="1" s="192">
      <c r="W8147" s="239" t="n"/>
      <c r="X8147" s="239" t="n"/>
    </row>
    <row r="8148" ht="14.25" customHeight="1" s="192">
      <c r="W8148" s="239" t="n"/>
      <c r="X8148" s="239" t="n"/>
    </row>
    <row r="8149" ht="14.25" customHeight="1" s="192">
      <c r="W8149" s="235" t="n"/>
      <c r="X8149" s="235" t="n"/>
    </row>
    <row r="8150" ht="14.25" customHeight="1" s="192">
      <c r="W8150" s="235" t="n"/>
      <c r="X8150" s="235" t="n"/>
    </row>
    <row r="8151" ht="14.25" customHeight="1" s="192">
      <c r="W8151" s="235" t="n"/>
      <c r="X8151" s="235" t="n"/>
    </row>
    <row r="8152" ht="14.25" customHeight="1" s="192">
      <c r="W8152" s="239" t="n"/>
      <c r="X8152" s="239" t="n"/>
    </row>
    <row r="8153" ht="14.25" customHeight="1" s="192">
      <c r="W8153" s="239" t="n"/>
      <c r="X8153" s="239" t="n"/>
    </row>
    <row r="8154" ht="14.25" customHeight="1" s="192">
      <c r="W8154" s="235" t="n"/>
      <c r="X8154" s="235" t="n"/>
    </row>
    <row r="8155" ht="14.25" customHeight="1" s="192">
      <c r="W8155" s="235" t="n"/>
      <c r="X8155" s="235" t="n"/>
    </row>
    <row r="8156" ht="14.25" customHeight="1" s="192">
      <c r="W8156" s="239" t="n"/>
      <c r="X8156" s="239" t="n"/>
    </row>
    <row r="8157" ht="14.25" customHeight="1" s="192">
      <c r="W8157" s="235" t="n"/>
      <c r="X8157" s="235" t="n"/>
    </row>
    <row r="8158" ht="14.25" customHeight="1" s="192">
      <c r="W8158" s="239" t="n"/>
      <c r="X8158" s="239" t="n"/>
    </row>
    <row r="8160" ht="14.25" customHeight="1" s="192">
      <c r="W8160" s="235" t="n"/>
      <c r="X8160" s="235" t="n"/>
    </row>
    <row r="8161" ht="15" customHeight="1" s="192" thickBot="1">
      <c r="W8161" s="239" t="n"/>
      <c r="X8161" s="239" t="n"/>
    </row>
    <row r="8162" ht="15" customHeight="1" s="192" thickBot="1">
      <c r="W8162" s="45" t="n"/>
      <c r="X8162" s="45" t="n"/>
    </row>
    <row r="8163" ht="14.25" customHeight="1" s="192">
      <c r="W8163" s="228" t="n"/>
      <c r="X8163" s="228" t="n"/>
    </row>
    <row r="8164" ht="14.25" customHeight="1" s="192">
      <c r="W8164" s="228" t="n"/>
      <c r="X8164" s="228" t="n"/>
    </row>
    <row r="8165" ht="14.25" customHeight="1" s="192">
      <c r="W8165" s="231" t="n"/>
      <c r="X8165" s="231" t="n"/>
    </row>
    <row r="8166" ht="14.25" customHeight="1" s="192">
      <c r="W8166" s="33" t="n"/>
      <c r="X8166" s="33" t="n"/>
    </row>
    <row r="8167" ht="14.25" customHeight="1" s="192">
      <c r="W8167" s="231" t="n"/>
      <c r="X8167" s="231" t="n"/>
    </row>
    <row r="8168" ht="14.25" customHeight="1" s="192">
      <c r="W8168" s="33" t="n"/>
      <c r="X8168" s="33" t="n"/>
    </row>
    <row r="8170" ht="14.25" customHeight="1" s="192">
      <c r="W8170" s="231" t="n"/>
      <c r="X8170" s="231" t="n"/>
    </row>
    <row r="8171" ht="14.25" customHeight="1" s="192">
      <c r="W8171" s="235" t="n"/>
      <c r="X8171" s="235" t="n"/>
    </row>
    <row r="8172" ht="14.25" customHeight="1" s="192">
      <c r="W8172" s="228" t="n"/>
      <c r="X8172" s="228" t="n"/>
    </row>
    <row r="8173" ht="14.25" customHeight="1" s="192">
      <c r="W8173" s="235" t="n"/>
      <c r="X8173" s="235" t="n"/>
    </row>
    <row r="8174" ht="14.25" customHeight="1" s="192">
      <c r="W8174" s="235" t="n"/>
      <c r="X8174" s="235" t="n"/>
    </row>
    <row r="8175" ht="14.25" customHeight="1" s="192">
      <c r="W8175" s="235" t="n"/>
      <c r="X8175" s="235" t="n"/>
    </row>
    <row r="8176" ht="14.25" customHeight="1" s="192">
      <c r="W8176" s="239" t="n"/>
      <c r="X8176" s="239" t="n"/>
    </row>
    <row r="8177" ht="14.25" customHeight="1" s="192">
      <c r="W8177" s="239" t="n"/>
      <c r="X8177" s="239" t="n"/>
    </row>
    <row r="8178" ht="14.25" customHeight="1" s="192">
      <c r="W8178" s="239" t="n"/>
      <c r="X8178" s="239" t="n"/>
    </row>
    <row r="8179" ht="14.25" customHeight="1" s="192">
      <c r="W8179" s="235" t="n"/>
      <c r="X8179" s="235" t="n"/>
    </row>
    <row r="8180" ht="14.25" customHeight="1" s="192">
      <c r="W8180" s="235" t="n"/>
      <c r="X8180" s="235" t="n"/>
    </row>
    <row r="8181" ht="14.25" customHeight="1" s="192">
      <c r="W8181" s="235" t="n"/>
      <c r="X8181" s="235" t="n"/>
    </row>
    <row r="8182" ht="14.25" customHeight="1" s="192">
      <c r="W8182" s="239" t="n"/>
      <c r="X8182" s="239" t="n"/>
    </row>
    <row r="8183" ht="14.25" customHeight="1" s="192">
      <c r="W8183" s="239" t="n"/>
      <c r="X8183" s="239" t="n"/>
    </row>
    <row r="8184" ht="14.25" customHeight="1" s="192">
      <c r="W8184" s="235" t="n"/>
      <c r="X8184" s="235" t="n"/>
    </row>
    <row r="8185" ht="14.25" customHeight="1" s="192">
      <c r="W8185" s="235" t="n"/>
      <c r="X8185" s="235" t="n"/>
    </row>
    <row r="8186" ht="14.25" customHeight="1" s="192">
      <c r="W8186" s="239" t="n"/>
      <c r="X8186" s="239" t="n"/>
    </row>
    <row r="8187" ht="14.25" customHeight="1" s="192">
      <c r="W8187" s="235" t="n"/>
      <c r="X8187" s="235" t="n"/>
    </row>
    <row r="8188" ht="14.25" customHeight="1" s="192">
      <c r="W8188" s="239" t="n"/>
      <c r="X8188" s="239" t="n"/>
    </row>
    <row r="8190" ht="14.25" customHeight="1" s="192">
      <c r="W8190" s="235" t="n"/>
      <c r="X8190" s="235" t="n"/>
    </row>
    <row r="8191" ht="15" customHeight="1" s="192" thickBot="1">
      <c r="W8191" s="239" t="n"/>
      <c r="X8191" s="239" t="n"/>
    </row>
    <row r="8192" ht="15" customHeight="1" s="192" thickBot="1">
      <c r="W8192" s="45" t="n"/>
      <c r="X8192" s="45" t="n"/>
    </row>
    <row r="8193" ht="14.25" customHeight="1" s="192">
      <c r="W8193" s="228" t="n"/>
      <c r="X8193" s="228" t="n"/>
    </row>
    <row r="8194" ht="14.25" customHeight="1" s="192">
      <c r="W8194" s="228" t="n"/>
      <c r="X8194" s="228" t="n"/>
    </row>
    <row r="8195" ht="14.25" customHeight="1" s="192">
      <c r="W8195" s="231" t="n"/>
      <c r="X8195" s="231" t="n"/>
    </row>
    <row r="8196" ht="14.25" customHeight="1" s="192">
      <c r="W8196" s="33" t="n"/>
      <c r="X8196" s="33" t="n"/>
    </row>
    <row r="8197" ht="14.25" customHeight="1" s="192">
      <c r="W8197" s="231" t="n"/>
      <c r="X8197" s="231" t="n"/>
    </row>
    <row r="8198" ht="14.25" customHeight="1" s="192">
      <c r="W8198" s="33" t="n"/>
      <c r="X8198" s="33" t="n"/>
    </row>
    <row r="8200" ht="14.25" customHeight="1" s="192">
      <c r="W8200" s="231" t="n"/>
      <c r="X8200" s="231" t="n"/>
    </row>
    <row r="8201" ht="14.25" customHeight="1" s="192">
      <c r="W8201" s="235" t="n"/>
      <c r="X8201" s="235" t="n"/>
    </row>
    <row r="8202" ht="14.25" customHeight="1" s="192">
      <c r="W8202" s="228" t="n"/>
      <c r="X8202" s="228" t="n"/>
    </row>
    <row r="8203" ht="14.25" customHeight="1" s="192">
      <c r="W8203" s="235" t="n"/>
      <c r="X8203" s="235" t="n"/>
    </row>
    <row r="8204" ht="14.25" customHeight="1" s="192">
      <c r="W8204" s="235" t="n"/>
      <c r="X8204" s="235" t="n"/>
    </row>
    <row r="8205" ht="14.25" customHeight="1" s="192">
      <c r="W8205" s="235" t="n"/>
      <c r="X8205" s="235" t="n"/>
    </row>
    <row r="8206" ht="14.25" customHeight="1" s="192">
      <c r="W8206" s="239" t="n"/>
      <c r="X8206" s="239" t="n"/>
    </row>
    <row r="8207" ht="14.25" customHeight="1" s="192">
      <c r="W8207" s="239" t="n"/>
      <c r="X8207" s="239" t="n"/>
    </row>
    <row r="8208" ht="14.25" customHeight="1" s="192">
      <c r="W8208" s="239" t="n"/>
      <c r="X8208" s="239" t="n"/>
    </row>
    <row r="8209" ht="14.25" customHeight="1" s="192">
      <c r="W8209" s="235" t="n"/>
      <c r="X8209" s="235" t="n"/>
    </row>
    <row r="8210" ht="14.25" customHeight="1" s="192">
      <c r="W8210" s="235" t="n"/>
      <c r="X8210" s="235" t="n"/>
    </row>
    <row r="8211" ht="14.25" customHeight="1" s="192">
      <c r="W8211" s="235" t="n"/>
      <c r="X8211" s="235" t="n"/>
    </row>
    <row r="8212" ht="14.25" customHeight="1" s="192">
      <c r="W8212" s="239" t="n"/>
      <c r="X8212" s="239" t="n"/>
    </row>
    <row r="8213" ht="14.25" customHeight="1" s="192">
      <c r="W8213" s="239" t="n"/>
      <c r="X8213" s="239" t="n"/>
    </row>
    <row r="8214" ht="14.25" customHeight="1" s="192">
      <c r="W8214" s="235" t="n"/>
      <c r="X8214" s="235" t="n"/>
    </row>
    <row r="8215" ht="14.25" customHeight="1" s="192">
      <c r="W8215" s="235" t="n"/>
      <c r="X8215" s="235" t="n"/>
    </row>
    <row r="8216" ht="14.25" customHeight="1" s="192">
      <c r="W8216" s="239" t="n"/>
      <c r="X8216" s="239" t="n"/>
    </row>
    <row r="8217" ht="14.25" customHeight="1" s="192">
      <c r="W8217" s="235" t="n"/>
      <c r="X8217" s="235" t="n"/>
    </row>
    <row r="8218" ht="14.25" customHeight="1" s="192">
      <c r="W8218" s="239" t="n"/>
      <c r="X8218" s="239" t="n"/>
    </row>
    <row r="8220" ht="14.25" customHeight="1" s="192">
      <c r="W8220" s="235" t="n"/>
      <c r="X8220" s="235" t="n"/>
    </row>
    <row r="8221" ht="15" customHeight="1" s="192" thickBot="1">
      <c r="W8221" s="239" t="n"/>
      <c r="X8221" s="239" t="n"/>
    </row>
    <row r="8222" ht="15" customHeight="1" s="192" thickBot="1">
      <c r="W8222" s="45" t="n"/>
      <c r="X8222" s="45" t="n"/>
    </row>
    <row r="8223" ht="14.25" customHeight="1" s="192">
      <c r="W8223" s="228" t="n"/>
      <c r="X8223" s="228" t="n"/>
    </row>
    <row r="8224" ht="14.25" customHeight="1" s="192">
      <c r="W8224" s="228" t="n"/>
      <c r="X8224" s="228" t="n"/>
    </row>
    <row r="8225" ht="14.25" customHeight="1" s="192">
      <c r="W8225" s="231" t="n"/>
      <c r="X8225" s="231" t="n"/>
    </row>
    <row r="8226" ht="14.25" customHeight="1" s="192">
      <c r="W8226" s="33" t="n"/>
      <c r="X8226" s="33" t="n"/>
    </row>
    <row r="8227" ht="14.25" customHeight="1" s="192">
      <c r="W8227" s="231" t="n"/>
      <c r="X8227" s="231" t="n"/>
    </row>
    <row r="8228" ht="14.25" customHeight="1" s="192">
      <c r="W8228" s="33" t="n"/>
      <c r="X8228" s="33" t="n"/>
    </row>
    <row r="8230" ht="14.25" customHeight="1" s="192">
      <c r="W8230" s="231" t="n"/>
      <c r="X8230" s="231" t="n"/>
    </row>
    <row r="8231" ht="14.25" customHeight="1" s="192">
      <c r="W8231" s="235" t="n"/>
      <c r="X8231" s="235" t="n"/>
    </row>
    <row r="8232" ht="14.25" customHeight="1" s="192">
      <c r="W8232" s="228" t="n"/>
      <c r="X8232" s="228" t="n"/>
    </row>
    <row r="8233" ht="14.25" customHeight="1" s="192">
      <c r="W8233" s="235" t="n"/>
      <c r="X8233" s="235" t="n"/>
    </row>
    <row r="8234" ht="14.25" customHeight="1" s="192">
      <c r="W8234" s="235" t="n"/>
      <c r="X8234" s="235" t="n"/>
    </row>
    <row r="8235" ht="14.25" customHeight="1" s="192">
      <c r="W8235" s="235" t="n"/>
      <c r="X8235" s="235" t="n"/>
    </row>
    <row r="8236" ht="14.25" customHeight="1" s="192">
      <c r="W8236" s="239" t="n"/>
      <c r="X8236" s="239" t="n"/>
    </row>
    <row r="8237" ht="14.25" customHeight="1" s="192">
      <c r="W8237" s="239" t="n"/>
      <c r="X8237" s="239" t="n"/>
    </row>
    <row r="8238" ht="14.25" customHeight="1" s="192">
      <c r="W8238" s="239" t="n"/>
      <c r="X8238" s="239" t="n"/>
    </row>
    <row r="8239" ht="14.25" customHeight="1" s="192">
      <c r="W8239" s="235" t="n"/>
      <c r="X8239" s="235" t="n"/>
    </row>
    <row r="8240" ht="14.25" customHeight="1" s="192">
      <c r="W8240" s="235" t="n"/>
      <c r="X8240" s="235" t="n"/>
    </row>
    <row r="8241" ht="14.25" customHeight="1" s="192">
      <c r="W8241" s="235" t="n"/>
      <c r="X8241" s="235" t="n"/>
    </row>
    <row r="8242" ht="14.25" customHeight="1" s="192">
      <c r="W8242" s="239" t="n"/>
      <c r="X8242" s="239" t="n"/>
    </row>
    <row r="8243" ht="14.25" customHeight="1" s="192">
      <c r="W8243" s="239" t="n"/>
      <c r="X8243" s="239" t="n"/>
    </row>
    <row r="8244" ht="14.25" customHeight="1" s="192">
      <c r="W8244" s="235" t="n"/>
      <c r="X8244" s="235" t="n"/>
    </row>
    <row r="8245" ht="14.25" customHeight="1" s="192">
      <c r="W8245" s="235" t="n"/>
      <c r="X8245" s="235" t="n"/>
    </row>
    <row r="8246" ht="14.25" customHeight="1" s="192">
      <c r="W8246" s="239" t="n"/>
      <c r="X8246" s="239" t="n"/>
    </row>
    <row r="8247" ht="14.25" customHeight="1" s="192">
      <c r="W8247" s="235" t="n"/>
      <c r="X8247" s="235" t="n"/>
    </row>
    <row r="8248" ht="14.25" customHeight="1" s="192">
      <c r="W8248" s="239" t="n"/>
      <c r="X8248" s="239" t="n"/>
    </row>
    <row r="8250" ht="14.25" customHeight="1" s="192">
      <c r="W8250" s="235" t="n"/>
      <c r="X8250" s="235" t="n"/>
    </row>
    <row r="8251" ht="15" customHeight="1" s="192" thickBot="1">
      <c r="W8251" s="239" t="n"/>
      <c r="X8251" s="239" t="n"/>
    </row>
    <row r="8252" ht="15" customHeight="1" s="192" thickBot="1">
      <c r="W8252" s="45" t="n"/>
      <c r="X8252" s="45" t="n"/>
    </row>
    <row r="8253" ht="14.25" customHeight="1" s="192">
      <c r="W8253" s="228" t="n"/>
      <c r="X8253" s="228" t="n"/>
    </row>
    <row r="8254" ht="14.25" customHeight="1" s="192">
      <c r="W8254" s="228" t="n"/>
      <c r="X8254" s="228" t="n"/>
    </row>
    <row r="8255" ht="14.25" customHeight="1" s="192">
      <c r="W8255" s="231" t="n"/>
      <c r="X8255" s="231" t="n"/>
    </row>
    <row r="8256" ht="14.25" customHeight="1" s="192">
      <c r="W8256" s="33" t="n"/>
      <c r="X8256" s="33" t="n"/>
    </row>
    <row r="8257" ht="14.25" customHeight="1" s="192">
      <c r="W8257" s="231" t="n"/>
      <c r="X8257" s="231" t="n"/>
    </row>
    <row r="8258" ht="14.25" customHeight="1" s="192">
      <c r="W8258" s="33" t="n"/>
      <c r="X8258" s="33" t="n"/>
    </row>
    <row r="8260" ht="14.25" customHeight="1" s="192">
      <c r="W8260" s="231" t="n"/>
      <c r="X8260" s="231" t="n"/>
    </row>
    <row r="8261" ht="14.25" customHeight="1" s="192">
      <c r="W8261" s="235" t="n"/>
      <c r="X8261" s="235" t="n"/>
    </row>
    <row r="8262" ht="14.25" customHeight="1" s="192">
      <c r="W8262" s="228" t="n"/>
      <c r="X8262" s="228" t="n"/>
    </row>
    <row r="8263" ht="14.25" customHeight="1" s="192">
      <c r="W8263" s="235" t="n"/>
      <c r="X8263" s="235" t="n"/>
    </row>
    <row r="8264" ht="14.25" customHeight="1" s="192">
      <c r="W8264" s="235" t="n"/>
      <c r="X8264" s="235" t="n"/>
    </row>
    <row r="8265" ht="14.25" customHeight="1" s="192">
      <c r="W8265" s="235" t="n"/>
      <c r="X8265" s="235" t="n"/>
    </row>
    <row r="8266" ht="14.25" customHeight="1" s="192">
      <c r="W8266" s="239" t="n"/>
      <c r="X8266" s="239" t="n"/>
    </row>
    <row r="8267" ht="14.25" customHeight="1" s="192">
      <c r="W8267" s="239" t="n"/>
      <c r="X8267" s="239" t="n"/>
    </row>
    <row r="8268" ht="14.25" customHeight="1" s="192">
      <c r="W8268" s="239" t="n"/>
      <c r="X8268" s="239" t="n"/>
    </row>
    <row r="8269" ht="14.25" customHeight="1" s="192">
      <c r="W8269" s="235" t="n"/>
      <c r="X8269" s="235" t="n"/>
    </row>
    <row r="8270" ht="14.25" customHeight="1" s="192">
      <c r="W8270" s="235" t="n"/>
      <c r="X8270" s="235" t="n"/>
    </row>
    <row r="8271" ht="14.25" customHeight="1" s="192">
      <c r="W8271" s="235" t="n"/>
      <c r="X8271" s="235" t="n"/>
    </row>
    <row r="8272" ht="14.25" customHeight="1" s="192">
      <c r="W8272" s="239" t="n"/>
      <c r="X8272" s="239" t="n"/>
    </row>
    <row r="8273" ht="14.25" customHeight="1" s="192">
      <c r="W8273" s="239" t="n"/>
      <c r="X8273" s="239" t="n"/>
    </row>
    <row r="8274" ht="14.25" customHeight="1" s="192">
      <c r="W8274" s="235" t="n"/>
      <c r="X8274" s="235" t="n"/>
    </row>
    <row r="8275" ht="14.25" customHeight="1" s="192">
      <c r="W8275" s="235" t="n"/>
      <c r="X8275" s="235" t="n"/>
    </row>
    <row r="8276" ht="14.25" customHeight="1" s="192">
      <c r="W8276" s="239" t="n"/>
      <c r="X8276" s="239" t="n"/>
    </row>
    <row r="8277" ht="14.25" customHeight="1" s="192">
      <c r="W8277" s="235" t="n"/>
      <c r="X8277" s="235" t="n"/>
    </row>
    <row r="8278" ht="14.25" customHeight="1" s="192">
      <c r="W8278" s="239" t="n"/>
      <c r="X8278" s="239" t="n"/>
    </row>
    <row r="8280" ht="14.25" customHeight="1" s="192">
      <c r="W8280" s="235" t="n"/>
      <c r="X8280" s="235" t="n"/>
    </row>
    <row r="8281" ht="15" customHeight="1" s="192" thickBot="1">
      <c r="W8281" s="239" t="n"/>
      <c r="X8281" s="239" t="n"/>
    </row>
    <row r="8282" ht="15" customHeight="1" s="192" thickBot="1">
      <c r="W8282" s="45" t="n"/>
      <c r="X8282" s="45" t="n"/>
    </row>
    <row r="8283" ht="14.25" customHeight="1" s="192">
      <c r="W8283" s="228" t="n"/>
      <c r="X8283" s="228" t="n"/>
    </row>
    <row r="8284" ht="14.25" customHeight="1" s="192">
      <c r="W8284" s="228" t="n"/>
      <c r="X8284" s="228" t="n"/>
    </row>
    <row r="8285" ht="14.25" customHeight="1" s="192">
      <c r="W8285" s="231" t="n"/>
      <c r="X8285" s="231" t="n"/>
    </row>
    <row r="8286" ht="14.25" customHeight="1" s="192">
      <c r="W8286" s="33" t="n"/>
      <c r="X8286" s="33" t="n"/>
    </row>
    <row r="8287" ht="14.25" customHeight="1" s="192">
      <c r="W8287" s="231" t="n"/>
      <c r="X8287" s="231" t="n"/>
    </row>
    <row r="8288" ht="14.25" customHeight="1" s="192">
      <c r="W8288" s="33" t="n"/>
      <c r="X8288" s="33" t="n"/>
    </row>
    <row r="8290" ht="14.25" customHeight="1" s="192">
      <c r="W8290" s="231" t="n"/>
      <c r="X8290" s="231" t="n"/>
    </row>
    <row r="8291" ht="14.25" customHeight="1" s="192">
      <c r="W8291" s="235" t="n"/>
      <c r="X8291" s="235" t="n"/>
    </row>
    <row r="8292" ht="14.25" customHeight="1" s="192">
      <c r="W8292" s="228" t="n"/>
      <c r="X8292" s="228" t="n"/>
    </row>
    <row r="8293" ht="14.25" customHeight="1" s="192">
      <c r="W8293" s="235" t="n"/>
      <c r="X8293" s="235" t="n"/>
    </row>
    <row r="8294" ht="14.25" customHeight="1" s="192">
      <c r="W8294" s="235" t="n"/>
      <c r="X8294" s="235" t="n"/>
    </row>
    <row r="8295" ht="14.25" customHeight="1" s="192">
      <c r="W8295" s="235" t="n"/>
      <c r="X8295" s="235" t="n"/>
    </row>
    <row r="8296" ht="14.25" customHeight="1" s="192">
      <c r="W8296" s="239" t="n"/>
      <c r="X8296" s="239" t="n"/>
    </row>
    <row r="8297" ht="14.25" customHeight="1" s="192">
      <c r="W8297" s="239" t="n"/>
      <c r="X8297" s="239" t="n"/>
    </row>
    <row r="8298" ht="14.25" customHeight="1" s="192">
      <c r="W8298" s="239" t="n"/>
      <c r="X8298" s="239" t="n"/>
    </row>
    <row r="8299" ht="14.25" customHeight="1" s="192">
      <c r="W8299" s="235" t="n"/>
      <c r="X8299" s="235" t="n"/>
    </row>
    <row r="8300" ht="14.25" customHeight="1" s="192">
      <c r="W8300" s="235" t="n"/>
      <c r="X8300" s="235" t="n"/>
    </row>
    <row r="8301" ht="14.25" customHeight="1" s="192">
      <c r="W8301" s="235" t="n"/>
      <c r="X8301" s="235" t="n"/>
    </row>
    <row r="8302" ht="14.25" customHeight="1" s="192">
      <c r="W8302" s="239" t="n"/>
      <c r="X8302" s="239" t="n"/>
    </row>
    <row r="8303" ht="14.25" customHeight="1" s="192">
      <c r="W8303" s="239" t="n"/>
      <c r="X8303" s="239" t="n"/>
    </row>
    <row r="8304" ht="14.25" customHeight="1" s="192">
      <c r="W8304" s="235" t="n"/>
      <c r="X8304" s="235" t="n"/>
    </row>
    <row r="8305" ht="14.25" customHeight="1" s="192">
      <c r="W8305" s="235" t="n"/>
      <c r="X8305" s="235" t="n"/>
    </row>
    <row r="8306" ht="14.25" customHeight="1" s="192">
      <c r="W8306" s="239" t="n"/>
      <c r="X8306" s="239" t="n"/>
    </row>
    <row r="8307" ht="14.25" customHeight="1" s="192">
      <c r="W8307" s="235" t="n"/>
      <c r="X8307" s="235" t="n"/>
    </row>
    <row r="8308" ht="14.25" customHeight="1" s="192">
      <c r="W8308" s="239" t="n"/>
      <c r="X8308" s="239" t="n"/>
    </row>
    <row r="8310" ht="14.25" customHeight="1" s="192">
      <c r="W8310" s="235" t="n"/>
      <c r="X8310" s="235" t="n"/>
    </row>
    <row r="8311" ht="15" customHeight="1" s="192" thickBot="1">
      <c r="W8311" s="239" t="n"/>
      <c r="X8311" s="239" t="n"/>
    </row>
    <row r="8312" ht="15" customHeight="1" s="192" thickBot="1">
      <c r="W8312" s="45" t="n"/>
      <c r="X8312" s="45" t="n"/>
    </row>
    <row r="8313" ht="14.25" customHeight="1" s="192">
      <c r="W8313" s="228" t="n"/>
      <c r="X8313" s="228" t="n"/>
    </row>
    <row r="8314" ht="14.25" customHeight="1" s="192">
      <c r="W8314" s="228" t="n"/>
      <c r="X8314" s="228" t="n"/>
    </row>
    <row r="8315" ht="14.25" customHeight="1" s="192">
      <c r="W8315" s="231" t="n"/>
      <c r="X8315" s="231" t="n"/>
    </row>
    <row r="8316" ht="14.25" customHeight="1" s="192">
      <c r="W8316" s="33" t="n"/>
      <c r="X8316" s="33" t="n"/>
    </row>
    <row r="8317" ht="14.25" customHeight="1" s="192">
      <c r="W8317" s="231" t="n"/>
      <c r="X8317" s="231" t="n"/>
    </row>
    <row r="8318" ht="14.25" customHeight="1" s="192">
      <c r="W8318" s="33" t="n"/>
      <c r="X8318" s="33" t="n"/>
    </row>
    <row r="8320" ht="14.25" customHeight="1" s="192">
      <c r="W8320" s="231" t="n"/>
      <c r="X8320" s="231" t="n"/>
    </row>
    <row r="8321" ht="14.25" customHeight="1" s="192">
      <c r="W8321" s="235" t="n"/>
      <c r="X8321" s="235" t="n"/>
    </row>
    <row r="8322" ht="14.25" customHeight="1" s="192">
      <c r="W8322" s="228" t="n"/>
      <c r="X8322" s="228" t="n"/>
    </row>
    <row r="8323" ht="14.25" customHeight="1" s="192">
      <c r="W8323" s="235" t="n"/>
      <c r="X8323" s="235" t="n"/>
    </row>
    <row r="8324" ht="14.25" customHeight="1" s="192">
      <c r="W8324" s="235" t="n"/>
      <c r="X8324" s="235" t="n"/>
    </row>
    <row r="8325" ht="14.25" customHeight="1" s="192">
      <c r="W8325" s="235" t="n"/>
      <c r="X8325" s="235" t="n"/>
    </row>
    <row r="8326" ht="14.25" customHeight="1" s="192">
      <c r="W8326" s="239" t="n"/>
      <c r="X8326" s="239" t="n"/>
    </row>
    <row r="8327" ht="14.25" customHeight="1" s="192">
      <c r="W8327" s="239" t="n"/>
      <c r="X8327" s="239" t="n"/>
    </row>
    <row r="8328" ht="14.25" customHeight="1" s="192">
      <c r="W8328" s="239" t="n"/>
      <c r="X8328" s="239" t="n"/>
    </row>
    <row r="8329" ht="14.25" customHeight="1" s="192">
      <c r="W8329" s="235" t="n"/>
      <c r="X8329" s="235" t="n"/>
    </row>
    <row r="8330" ht="14.25" customHeight="1" s="192">
      <c r="W8330" s="235" t="n"/>
      <c r="X8330" s="235" t="n"/>
    </row>
    <row r="8331" ht="14.25" customHeight="1" s="192">
      <c r="W8331" s="235" t="n"/>
      <c r="X8331" s="235" t="n"/>
    </row>
    <row r="8332" ht="14.25" customHeight="1" s="192">
      <c r="W8332" s="239" t="n"/>
      <c r="X8332" s="239" t="n"/>
    </row>
    <row r="8333" ht="14.25" customHeight="1" s="192">
      <c r="W8333" s="239" t="n"/>
      <c r="X8333" s="239" t="n"/>
    </row>
    <row r="8334" ht="14.25" customHeight="1" s="192">
      <c r="W8334" s="235" t="n"/>
      <c r="X8334" s="235" t="n"/>
    </row>
    <row r="8335" ht="14.25" customHeight="1" s="192">
      <c r="W8335" s="235" t="n"/>
      <c r="X8335" s="235" t="n"/>
    </row>
    <row r="8336" ht="14.25" customHeight="1" s="192">
      <c r="W8336" s="239" t="n"/>
      <c r="X8336" s="239" t="n"/>
    </row>
    <row r="8337" ht="14.25" customHeight="1" s="192">
      <c r="W8337" s="235" t="n"/>
      <c r="X8337" s="235" t="n"/>
    </row>
    <row r="8338" ht="14.25" customHeight="1" s="192">
      <c r="W8338" s="239" t="n"/>
      <c r="X8338" s="239" t="n"/>
    </row>
    <row r="8340" ht="14.25" customHeight="1" s="192">
      <c r="W8340" s="235" t="n"/>
      <c r="X8340" s="235" t="n"/>
    </row>
    <row r="8341" ht="15" customHeight="1" s="192" thickBot="1">
      <c r="W8341" s="239" t="n"/>
      <c r="X8341" s="239" t="n"/>
    </row>
    <row r="8342" ht="15" customHeight="1" s="192" thickBot="1">
      <c r="W8342" s="45" t="n"/>
      <c r="X8342" s="45" t="n"/>
    </row>
    <row r="8343" ht="14.25" customHeight="1" s="192">
      <c r="W8343" s="228" t="n"/>
      <c r="X8343" s="228" t="n"/>
    </row>
    <row r="8344" ht="14.25" customHeight="1" s="192">
      <c r="W8344" s="228" t="n"/>
      <c r="X8344" s="228" t="n"/>
    </row>
    <row r="8345" ht="14.25" customHeight="1" s="192">
      <c r="W8345" s="231" t="n"/>
      <c r="X8345" s="231" t="n"/>
    </row>
    <row r="8346" ht="14.25" customHeight="1" s="192">
      <c r="W8346" s="33" t="n"/>
      <c r="X8346" s="33" t="n"/>
    </row>
    <row r="8347" ht="14.25" customHeight="1" s="192">
      <c r="W8347" s="231" t="n"/>
      <c r="X8347" s="231" t="n"/>
    </row>
    <row r="8348" ht="14.25" customHeight="1" s="192">
      <c r="W8348" s="33" t="n"/>
      <c r="X8348" s="33" t="n"/>
    </row>
    <row r="8350" ht="14.25" customHeight="1" s="192">
      <c r="W8350" s="231" t="n"/>
      <c r="X8350" s="231" t="n"/>
    </row>
    <row r="8351" ht="14.25" customHeight="1" s="192">
      <c r="W8351" s="235" t="n"/>
      <c r="X8351" s="235" t="n"/>
    </row>
    <row r="8352" ht="14.25" customHeight="1" s="192">
      <c r="W8352" s="228" t="n"/>
      <c r="X8352" s="228" t="n"/>
    </row>
    <row r="8353" ht="14.25" customHeight="1" s="192">
      <c r="W8353" s="235" t="n"/>
      <c r="X8353" s="235" t="n"/>
    </row>
    <row r="8354" ht="14.25" customHeight="1" s="192">
      <c r="W8354" s="235" t="n"/>
      <c r="X8354" s="235" t="n"/>
    </row>
    <row r="8355" ht="14.25" customHeight="1" s="192">
      <c r="W8355" s="235" t="n"/>
      <c r="X8355" s="235" t="n"/>
    </row>
    <row r="8356" ht="14.25" customHeight="1" s="192">
      <c r="W8356" s="239" t="n"/>
      <c r="X8356" s="239" t="n"/>
    </row>
    <row r="8357" ht="14.25" customHeight="1" s="192">
      <c r="W8357" s="239" t="n"/>
      <c r="X8357" s="239" t="n"/>
    </row>
    <row r="8358" ht="14.25" customHeight="1" s="192">
      <c r="W8358" s="239" t="n"/>
      <c r="X8358" s="239" t="n"/>
    </row>
    <row r="8359" ht="14.25" customHeight="1" s="192">
      <c r="W8359" s="235" t="n"/>
      <c r="X8359" s="235" t="n"/>
    </row>
    <row r="8360" ht="14.25" customHeight="1" s="192">
      <c r="W8360" s="235" t="n"/>
      <c r="X8360" s="235" t="n"/>
    </row>
    <row r="8361" ht="14.25" customHeight="1" s="192">
      <c r="W8361" s="235" t="n"/>
      <c r="X8361" s="235" t="n"/>
    </row>
    <row r="8362" ht="14.25" customHeight="1" s="192">
      <c r="W8362" s="239" t="n"/>
      <c r="X8362" s="239" t="n"/>
    </row>
    <row r="8363" ht="14.25" customHeight="1" s="192">
      <c r="W8363" s="239" t="n"/>
      <c r="X8363" s="239" t="n"/>
    </row>
    <row r="8364" ht="14.25" customHeight="1" s="192">
      <c r="W8364" s="235" t="n"/>
      <c r="X8364" s="235" t="n"/>
    </row>
    <row r="8365" ht="14.25" customHeight="1" s="192">
      <c r="W8365" s="235" t="n"/>
      <c r="X8365" s="235" t="n"/>
    </row>
    <row r="8366" ht="14.25" customHeight="1" s="192">
      <c r="W8366" s="239" t="n"/>
      <c r="X8366" s="239" t="n"/>
    </row>
    <row r="8367" ht="14.25" customHeight="1" s="192">
      <c r="W8367" s="235" t="n"/>
      <c r="X8367" s="235" t="n"/>
    </row>
    <row r="8368" ht="14.25" customHeight="1" s="192">
      <c r="W8368" s="239" t="n"/>
      <c r="X8368" s="239" t="n"/>
    </row>
    <row r="8370" ht="14.25" customHeight="1" s="192">
      <c r="W8370" s="235" t="n"/>
      <c r="X8370" s="235" t="n"/>
    </row>
    <row r="8371" ht="15" customHeight="1" s="192" thickBot="1">
      <c r="W8371" s="239" t="n"/>
      <c r="X8371" s="239" t="n"/>
    </row>
    <row r="8372" ht="15" customHeight="1" s="192" thickBot="1">
      <c r="W8372" s="45" t="n"/>
      <c r="X8372" s="45" t="n"/>
    </row>
    <row r="8373" ht="14.25" customHeight="1" s="192">
      <c r="W8373" s="228" t="n"/>
      <c r="X8373" s="228" t="n"/>
    </row>
    <row r="8374" ht="14.25" customHeight="1" s="192">
      <c r="W8374" s="228" t="n"/>
      <c r="X8374" s="228" t="n"/>
    </row>
    <row r="8375" ht="14.25" customHeight="1" s="192">
      <c r="W8375" s="231" t="n"/>
      <c r="X8375" s="231" t="n"/>
    </row>
    <row r="8376" ht="14.25" customHeight="1" s="192">
      <c r="W8376" s="33" t="n"/>
      <c r="X8376" s="33" t="n"/>
    </row>
    <row r="8377" ht="14.25" customHeight="1" s="192">
      <c r="W8377" s="231" t="n"/>
      <c r="X8377" s="231" t="n"/>
    </row>
    <row r="8378" ht="14.25" customHeight="1" s="192">
      <c r="W8378" s="33" t="n"/>
      <c r="X8378" s="33" t="n"/>
    </row>
    <row r="8380" ht="14.25" customHeight="1" s="192">
      <c r="W8380" s="231" t="n"/>
      <c r="X8380" s="231" t="n"/>
    </row>
    <row r="8381" ht="14.25" customHeight="1" s="192">
      <c r="W8381" s="235" t="n"/>
      <c r="X8381" s="235" t="n"/>
    </row>
    <row r="8382" ht="14.25" customHeight="1" s="192">
      <c r="W8382" s="228" t="n"/>
      <c r="X8382" s="228" t="n"/>
    </row>
    <row r="8383" ht="14.25" customHeight="1" s="192">
      <c r="W8383" s="235" t="n"/>
      <c r="X8383" s="235" t="n"/>
    </row>
    <row r="8384" ht="14.25" customHeight="1" s="192">
      <c r="W8384" s="235" t="n"/>
      <c r="X8384" s="235" t="n"/>
    </row>
    <row r="8385" ht="14.25" customHeight="1" s="192">
      <c r="W8385" s="235" t="n"/>
      <c r="X8385" s="235" t="n"/>
    </row>
    <row r="8386" ht="14.25" customHeight="1" s="192">
      <c r="W8386" s="239" t="n"/>
      <c r="X8386" s="239" t="n"/>
    </row>
    <row r="8387" ht="14.25" customHeight="1" s="192">
      <c r="W8387" s="239" t="n"/>
      <c r="X8387" s="239" t="n"/>
    </row>
    <row r="8388" ht="14.25" customHeight="1" s="192">
      <c r="W8388" s="239" t="n"/>
      <c r="X8388" s="239" t="n"/>
    </row>
    <row r="8389" ht="14.25" customHeight="1" s="192">
      <c r="W8389" s="235" t="n"/>
      <c r="X8389" s="235" t="n"/>
    </row>
    <row r="8390" ht="14.25" customHeight="1" s="192">
      <c r="W8390" s="235" t="n"/>
      <c r="X8390" s="235" t="n"/>
    </row>
    <row r="8391" ht="14.25" customHeight="1" s="192">
      <c r="W8391" s="235" t="n"/>
      <c r="X8391" s="235" t="n"/>
    </row>
    <row r="8392" ht="14.25" customHeight="1" s="192">
      <c r="W8392" s="239" t="n"/>
      <c r="X8392" s="239" t="n"/>
    </row>
    <row r="8393" ht="14.25" customHeight="1" s="192">
      <c r="W8393" s="239" t="n"/>
      <c r="X8393" s="239" t="n"/>
    </row>
    <row r="8394" ht="14.25" customHeight="1" s="192">
      <c r="W8394" s="235" t="n"/>
      <c r="X8394" s="235" t="n"/>
    </row>
    <row r="8395" ht="14.25" customHeight="1" s="192">
      <c r="W8395" s="235" t="n"/>
      <c r="X8395" s="235" t="n"/>
    </row>
    <row r="8396" ht="14.25" customHeight="1" s="192">
      <c r="W8396" s="239" t="n"/>
      <c r="X8396" s="239" t="n"/>
    </row>
    <row r="8397" ht="14.25" customHeight="1" s="192">
      <c r="W8397" s="235" t="n"/>
      <c r="X8397" s="235" t="n"/>
    </row>
    <row r="8398" ht="14.25" customHeight="1" s="192">
      <c r="W8398" s="239" t="n"/>
      <c r="X8398" s="239" t="n"/>
    </row>
    <row r="8400" ht="14.25" customHeight="1" s="192">
      <c r="W8400" s="235" t="n"/>
      <c r="X8400" s="235" t="n"/>
    </row>
    <row r="8401" ht="15" customHeight="1" s="192" thickBot="1">
      <c r="W8401" s="239" t="n"/>
      <c r="X8401" s="239" t="n"/>
    </row>
    <row r="8402" ht="15" customHeight="1" s="192" thickBot="1">
      <c r="W8402" s="45" t="n"/>
      <c r="X8402" s="45" t="n"/>
    </row>
    <row r="8403" ht="14.25" customHeight="1" s="192">
      <c r="W8403" s="228" t="n"/>
      <c r="X8403" s="228" t="n"/>
    </row>
    <row r="8404" ht="14.25" customHeight="1" s="192">
      <c r="W8404" s="228" t="n"/>
      <c r="X8404" s="228" t="n"/>
    </row>
    <row r="8405" ht="14.25" customHeight="1" s="192">
      <c r="W8405" s="231" t="n"/>
      <c r="X8405" s="231" t="n"/>
    </row>
    <row r="8406" ht="14.25" customHeight="1" s="192">
      <c r="W8406" s="33" t="n"/>
      <c r="X8406" s="33" t="n"/>
    </row>
    <row r="8407" ht="14.25" customHeight="1" s="192">
      <c r="W8407" s="231" t="n"/>
      <c r="X8407" s="231" t="n"/>
    </row>
    <row r="8408" ht="14.25" customHeight="1" s="192">
      <c r="W8408" s="33" t="n"/>
      <c r="X8408" s="33" t="n"/>
    </row>
    <row r="8410" ht="14.25" customHeight="1" s="192">
      <c r="W8410" s="231" t="n"/>
      <c r="X8410" s="231" t="n"/>
    </row>
    <row r="8411" ht="14.25" customHeight="1" s="192">
      <c r="W8411" s="235" t="n"/>
      <c r="X8411" s="235" t="n"/>
    </row>
    <row r="8412" ht="14.25" customHeight="1" s="192">
      <c r="W8412" s="228" t="n"/>
      <c r="X8412" s="228" t="n"/>
    </row>
    <row r="8413" ht="14.25" customHeight="1" s="192">
      <c r="W8413" s="235" t="n"/>
      <c r="X8413" s="235" t="n"/>
    </row>
    <row r="8414" ht="14.25" customHeight="1" s="192">
      <c r="W8414" s="235" t="n"/>
      <c r="X8414" s="235" t="n"/>
    </row>
    <row r="8415" ht="14.25" customHeight="1" s="192">
      <c r="W8415" s="235" t="n"/>
      <c r="X8415" s="235" t="n"/>
    </row>
    <row r="8416" ht="14.25" customHeight="1" s="192">
      <c r="W8416" s="239" t="n"/>
      <c r="X8416" s="239" t="n"/>
    </row>
    <row r="8417" ht="14.25" customHeight="1" s="192">
      <c r="W8417" s="239" t="n"/>
      <c r="X8417" s="239" t="n"/>
    </row>
    <row r="8418" ht="14.25" customHeight="1" s="192">
      <c r="W8418" s="239" t="n"/>
      <c r="X8418" s="239" t="n"/>
    </row>
    <row r="8419" ht="14.25" customHeight="1" s="192">
      <c r="W8419" s="235" t="n"/>
      <c r="X8419" s="235" t="n"/>
    </row>
    <row r="8420" ht="14.25" customHeight="1" s="192">
      <c r="W8420" s="235" t="n"/>
      <c r="X8420" s="235" t="n"/>
    </row>
    <row r="8421" ht="14.25" customHeight="1" s="192">
      <c r="W8421" s="235" t="n"/>
      <c r="X8421" s="235" t="n"/>
    </row>
    <row r="8422" ht="14.25" customHeight="1" s="192">
      <c r="W8422" s="239" t="n"/>
      <c r="X8422" s="239" t="n"/>
    </row>
    <row r="8423" ht="14.25" customHeight="1" s="192">
      <c r="W8423" s="239" t="n"/>
      <c r="X8423" s="239" t="n"/>
    </row>
    <row r="8424" ht="14.25" customHeight="1" s="192">
      <c r="W8424" s="235" t="n"/>
      <c r="X8424" s="235" t="n"/>
    </row>
    <row r="8425" ht="14.25" customHeight="1" s="192">
      <c r="W8425" s="235" t="n"/>
      <c r="X8425" s="235" t="n"/>
    </row>
    <row r="8426" ht="14.25" customHeight="1" s="192">
      <c r="W8426" s="239" t="n"/>
      <c r="X8426" s="239" t="n"/>
    </row>
    <row r="8427" ht="14.25" customHeight="1" s="192">
      <c r="W8427" s="235" t="n"/>
      <c r="X8427" s="235" t="n"/>
    </row>
    <row r="8428" ht="14.25" customHeight="1" s="192">
      <c r="W8428" s="239" t="n"/>
      <c r="X8428" s="239" t="n"/>
    </row>
    <row r="8430" ht="14.25" customHeight="1" s="192">
      <c r="W8430" s="235" t="n"/>
      <c r="X8430" s="235" t="n"/>
    </row>
    <row r="8431" ht="15" customHeight="1" s="192" thickBot="1">
      <c r="W8431" s="239" t="n"/>
      <c r="X8431" s="239" t="n"/>
    </row>
    <row r="8432" ht="15" customHeight="1" s="192" thickBot="1">
      <c r="W8432" s="45" t="n"/>
      <c r="X8432" s="45" t="n"/>
    </row>
    <row r="8433" ht="14.25" customHeight="1" s="192">
      <c r="W8433" s="228" t="n"/>
      <c r="X8433" s="228" t="n"/>
    </row>
    <row r="8434" ht="14.25" customHeight="1" s="192">
      <c r="W8434" s="228" t="n"/>
      <c r="X8434" s="228" t="n"/>
    </row>
    <row r="8435" ht="14.25" customHeight="1" s="192">
      <c r="W8435" s="231" t="n"/>
      <c r="X8435" s="231" t="n"/>
    </row>
    <row r="8436" ht="14.25" customHeight="1" s="192">
      <c r="W8436" s="33" t="n"/>
      <c r="X8436" s="33" t="n"/>
    </row>
    <row r="8437" ht="14.25" customHeight="1" s="192">
      <c r="W8437" s="231" t="n"/>
      <c r="X8437" s="231" t="n"/>
    </row>
    <row r="8438" ht="14.25" customHeight="1" s="192">
      <c r="W8438" s="33" t="n"/>
      <c r="X8438" s="33" t="n"/>
    </row>
    <row r="8440" ht="14.25" customHeight="1" s="192">
      <c r="W8440" s="231" t="n"/>
      <c r="X8440" s="231" t="n"/>
    </row>
    <row r="8441" ht="14.25" customHeight="1" s="192">
      <c r="W8441" s="235" t="n"/>
      <c r="X8441" s="235" t="n"/>
    </row>
    <row r="8442" ht="14.25" customHeight="1" s="192">
      <c r="W8442" s="228" t="n"/>
      <c r="X8442" s="228" t="n"/>
    </row>
    <row r="8443" ht="14.25" customHeight="1" s="192">
      <c r="W8443" s="235" t="n"/>
      <c r="X8443" s="235" t="n"/>
    </row>
    <row r="8444" ht="14.25" customHeight="1" s="192">
      <c r="W8444" s="235" t="n"/>
      <c r="X8444" s="235" t="n"/>
    </row>
    <row r="8445" ht="14.25" customHeight="1" s="192">
      <c r="W8445" s="235" t="n"/>
      <c r="X8445" s="235" t="n"/>
    </row>
    <row r="8446" ht="14.25" customHeight="1" s="192">
      <c r="W8446" s="239" t="n"/>
      <c r="X8446" s="239" t="n"/>
    </row>
    <row r="8447" ht="14.25" customHeight="1" s="192">
      <c r="W8447" s="239" t="n"/>
      <c r="X8447" s="239" t="n"/>
    </row>
    <row r="8448" ht="14.25" customHeight="1" s="192">
      <c r="W8448" s="239" t="n"/>
      <c r="X8448" s="239" t="n"/>
    </row>
    <row r="8449" ht="14.25" customHeight="1" s="192">
      <c r="W8449" s="235" t="n"/>
      <c r="X8449" s="235" t="n"/>
    </row>
    <row r="8450" ht="14.25" customHeight="1" s="192">
      <c r="W8450" s="235" t="n"/>
      <c r="X8450" s="235" t="n"/>
    </row>
    <row r="8451" ht="14.25" customHeight="1" s="192">
      <c r="W8451" s="235" t="n"/>
      <c r="X8451" s="235" t="n"/>
    </row>
    <row r="8452" ht="14.25" customHeight="1" s="192">
      <c r="W8452" s="239" t="n"/>
      <c r="X8452" s="239" t="n"/>
    </row>
    <row r="8453" ht="14.25" customHeight="1" s="192">
      <c r="W8453" s="239" t="n"/>
      <c r="X8453" s="239" t="n"/>
    </row>
    <row r="8454" ht="14.25" customHeight="1" s="192">
      <c r="W8454" s="235" t="n"/>
      <c r="X8454" s="235" t="n"/>
    </row>
    <row r="8455" ht="14.25" customHeight="1" s="192">
      <c r="W8455" s="235" t="n"/>
      <c r="X8455" s="235" t="n"/>
    </row>
    <row r="8456" ht="14.25" customHeight="1" s="192">
      <c r="W8456" s="239" t="n"/>
      <c r="X8456" s="239" t="n"/>
    </row>
    <row r="8457" ht="14.25" customHeight="1" s="192">
      <c r="W8457" s="235" t="n"/>
      <c r="X8457" s="235" t="n"/>
    </row>
    <row r="8458" ht="14.25" customHeight="1" s="192">
      <c r="W8458" s="239" t="n"/>
      <c r="X8458" s="239" t="n"/>
    </row>
    <row r="8460" ht="14.25" customHeight="1" s="192">
      <c r="W8460" s="235" t="n"/>
      <c r="X8460" s="235" t="n"/>
    </row>
    <row r="8461" ht="15" customHeight="1" s="192" thickBot="1">
      <c r="W8461" s="239" t="n"/>
      <c r="X8461" s="239" t="n"/>
    </row>
    <row r="8462" ht="15" customHeight="1" s="192" thickBot="1">
      <c r="W8462" s="45" t="n"/>
      <c r="X8462" s="45" t="n"/>
    </row>
    <row r="8463" ht="14.25" customHeight="1" s="192">
      <c r="W8463" s="228" t="n"/>
      <c r="X8463" s="228" t="n"/>
    </row>
    <row r="8464" ht="14.25" customHeight="1" s="192">
      <c r="W8464" s="228" t="n"/>
      <c r="X8464" s="228" t="n"/>
    </row>
    <row r="8465" ht="14.25" customHeight="1" s="192">
      <c r="W8465" s="231" t="n"/>
      <c r="X8465" s="231" t="n"/>
    </row>
    <row r="8466" ht="14.25" customHeight="1" s="192">
      <c r="W8466" s="33" t="n"/>
      <c r="X8466" s="33" t="n"/>
    </row>
    <row r="8467" ht="14.25" customHeight="1" s="192">
      <c r="W8467" s="231" t="n"/>
      <c r="X8467" s="231" t="n"/>
    </row>
    <row r="8468" ht="14.25" customHeight="1" s="192">
      <c r="W8468" s="33" t="n"/>
      <c r="X8468" s="33" t="n"/>
    </row>
    <row r="8470" ht="14.25" customHeight="1" s="192">
      <c r="W8470" s="231" t="n"/>
      <c r="X8470" s="231" t="n"/>
    </row>
    <row r="8471" ht="14.25" customHeight="1" s="192">
      <c r="W8471" s="235" t="n"/>
      <c r="X8471" s="235" t="n"/>
    </row>
    <row r="8472" ht="14.25" customHeight="1" s="192">
      <c r="W8472" s="228" t="n"/>
      <c r="X8472" s="228" t="n"/>
    </row>
    <row r="8473" ht="14.25" customHeight="1" s="192">
      <c r="W8473" s="235" t="n"/>
      <c r="X8473" s="235" t="n"/>
    </row>
    <row r="8474" ht="14.25" customHeight="1" s="192">
      <c r="W8474" s="235" t="n"/>
      <c r="X8474" s="235" t="n"/>
    </row>
    <row r="8475" ht="14.25" customHeight="1" s="192">
      <c r="W8475" s="235" t="n"/>
      <c r="X8475" s="235" t="n"/>
    </row>
    <row r="8476" ht="14.25" customHeight="1" s="192">
      <c r="W8476" s="239" t="n"/>
      <c r="X8476" s="239" t="n"/>
    </row>
    <row r="8477" ht="14.25" customHeight="1" s="192">
      <c r="W8477" s="239" t="n"/>
      <c r="X8477" s="239" t="n"/>
    </row>
    <row r="8478" ht="14.25" customHeight="1" s="192">
      <c r="W8478" s="239" t="n"/>
      <c r="X8478" s="239" t="n"/>
    </row>
    <row r="8479" ht="14.25" customHeight="1" s="192">
      <c r="W8479" s="235" t="n"/>
      <c r="X8479" s="235" t="n"/>
    </row>
    <row r="8480" ht="14.25" customHeight="1" s="192">
      <c r="W8480" s="235" t="n"/>
      <c r="X8480" s="235" t="n"/>
    </row>
    <row r="8481" ht="14.25" customHeight="1" s="192">
      <c r="W8481" s="235" t="n"/>
      <c r="X8481" s="235" t="n"/>
    </row>
    <row r="8482" ht="14.25" customHeight="1" s="192">
      <c r="W8482" s="239" t="n"/>
      <c r="X8482" s="239" t="n"/>
    </row>
    <row r="8483" ht="14.25" customHeight="1" s="192">
      <c r="W8483" s="239" t="n"/>
      <c r="X8483" s="239" t="n"/>
    </row>
    <row r="8484" ht="14.25" customHeight="1" s="192">
      <c r="W8484" s="235" t="n"/>
      <c r="X8484" s="235" t="n"/>
    </row>
    <row r="8485" ht="14.25" customHeight="1" s="192">
      <c r="W8485" s="235" t="n"/>
      <c r="X8485" s="235" t="n"/>
    </row>
    <row r="8486" ht="14.25" customHeight="1" s="192">
      <c r="W8486" s="239" t="n"/>
      <c r="X8486" s="239" t="n"/>
    </row>
    <row r="8487" ht="14.25" customHeight="1" s="192">
      <c r="W8487" s="235" t="n"/>
      <c r="X8487" s="235" t="n"/>
    </row>
    <row r="8488" ht="14.25" customHeight="1" s="192">
      <c r="W8488" s="239" t="n"/>
      <c r="X8488" s="239" t="n"/>
    </row>
    <row r="8490" ht="14.25" customHeight="1" s="192">
      <c r="W8490" s="235" t="n"/>
      <c r="X8490" s="235" t="n"/>
    </row>
    <row r="8491" ht="15" customHeight="1" s="192" thickBot="1">
      <c r="W8491" s="239" t="n"/>
      <c r="X8491" s="239" t="n"/>
    </row>
    <row r="8492" ht="15" customHeight="1" s="192" thickBot="1">
      <c r="W8492" s="45" t="n"/>
      <c r="X8492" s="45" t="n"/>
    </row>
    <row r="8493" ht="14.25" customHeight="1" s="192">
      <c r="W8493" s="228" t="n"/>
      <c r="X8493" s="228" t="n"/>
    </row>
    <row r="8494" ht="14.25" customHeight="1" s="192">
      <c r="W8494" s="228" t="n"/>
      <c r="X8494" s="228" t="n"/>
    </row>
    <row r="8495" ht="14.25" customHeight="1" s="192">
      <c r="W8495" s="231" t="n"/>
      <c r="X8495" s="231" t="n"/>
    </row>
    <row r="8496" ht="14.25" customHeight="1" s="192">
      <c r="W8496" s="33" t="n"/>
      <c r="X8496" s="33" t="n"/>
    </row>
    <row r="8497" ht="14.25" customHeight="1" s="192">
      <c r="W8497" s="231" t="n"/>
      <c r="X8497" s="231" t="n"/>
    </row>
    <row r="8498" ht="14.25" customHeight="1" s="192">
      <c r="W8498" s="33" t="n"/>
      <c r="X8498" s="33" t="n"/>
    </row>
    <row r="8500" ht="14.25" customHeight="1" s="192">
      <c r="W8500" s="231" t="n"/>
      <c r="X8500" s="231" t="n"/>
    </row>
    <row r="8501" ht="14.25" customHeight="1" s="192">
      <c r="W8501" s="235" t="n"/>
      <c r="X8501" s="235" t="n"/>
    </row>
    <row r="8502" ht="14.25" customHeight="1" s="192">
      <c r="W8502" s="228" t="n"/>
      <c r="X8502" s="228" t="n"/>
    </row>
    <row r="8503" ht="14.25" customHeight="1" s="192">
      <c r="W8503" s="235" t="n"/>
      <c r="X8503" s="235" t="n"/>
    </row>
    <row r="8504" ht="14.25" customHeight="1" s="192">
      <c r="W8504" s="235" t="n"/>
      <c r="X8504" s="235" t="n"/>
    </row>
    <row r="8505" ht="14.25" customHeight="1" s="192">
      <c r="W8505" s="235" t="n"/>
      <c r="X8505" s="235" t="n"/>
    </row>
    <row r="8506" ht="14.25" customHeight="1" s="192">
      <c r="W8506" s="239" t="n"/>
      <c r="X8506" s="239" t="n"/>
    </row>
    <row r="8507" ht="14.25" customHeight="1" s="192">
      <c r="W8507" s="239" t="n"/>
      <c r="X8507" s="239" t="n"/>
    </row>
    <row r="8508" ht="14.25" customHeight="1" s="192">
      <c r="W8508" s="239" t="n"/>
      <c r="X8508" s="239" t="n"/>
    </row>
    <row r="8509" ht="14.25" customHeight="1" s="192">
      <c r="W8509" s="235" t="n"/>
      <c r="X8509" s="235" t="n"/>
    </row>
    <row r="8510" ht="14.25" customHeight="1" s="192">
      <c r="W8510" s="235" t="n"/>
      <c r="X8510" s="235" t="n"/>
    </row>
    <row r="8511" ht="14.25" customHeight="1" s="192">
      <c r="W8511" s="235" t="n"/>
      <c r="X8511" s="235" t="n"/>
    </row>
    <row r="8512" ht="14.25" customHeight="1" s="192">
      <c r="W8512" s="239" t="n"/>
      <c r="X8512" s="239" t="n"/>
    </row>
    <row r="8513" ht="14.25" customHeight="1" s="192">
      <c r="W8513" s="239" t="n"/>
      <c r="X8513" s="239" t="n"/>
    </row>
    <row r="8514" ht="14.25" customHeight="1" s="192">
      <c r="W8514" s="235" t="n"/>
      <c r="X8514" s="235" t="n"/>
    </row>
    <row r="8515" ht="14.25" customHeight="1" s="192">
      <c r="W8515" s="235" t="n"/>
      <c r="X8515" s="235" t="n"/>
    </row>
    <row r="8516" ht="14.25" customHeight="1" s="192">
      <c r="W8516" s="239" t="n"/>
      <c r="X8516" s="239" t="n"/>
    </row>
    <row r="8517" ht="14.25" customHeight="1" s="192">
      <c r="W8517" s="235" t="n"/>
      <c r="X8517" s="235" t="n"/>
    </row>
    <row r="8518" ht="14.25" customHeight="1" s="192">
      <c r="W8518" s="239" t="n"/>
      <c r="X8518" s="239" t="n"/>
    </row>
    <row r="8520" ht="14.25" customHeight="1" s="192">
      <c r="W8520" s="235" t="n"/>
      <c r="X8520" s="235" t="n"/>
    </row>
    <row r="8521" ht="15" customHeight="1" s="192" thickBot="1">
      <c r="W8521" s="239" t="n"/>
      <c r="X8521" s="239" t="n"/>
    </row>
    <row r="8522" ht="15" customHeight="1" s="192" thickBot="1">
      <c r="W8522" s="45" t="n"/>
      <c r="X8522" s="45" t="n"/>
    </row>
    <row r="8523" ht="14.25" customHeight="1" s="192">
      <c r="W8523" s="228" t="n"/>
      <c r="X8523" s="228" t="n"/>
    </row>
    <row r="8524" ht="14.25" customHeight="1" s="192">
      <c r="W8524" s="228" t="n"/>
      <c r="X8524" s="228" t="n"/>
    </row>
    <row r="8525" ht="14.25" customHeight="1" s="192">
      <c r="W8525" s="231" t="n"/>
      <c r="X8525" s="231" t="n"/>
    </row>
    <row r="8526" ht="14.25" customHeight="1" s="192">
      <c r="W8526" s="33" t="n"/>
      <c r="X8526" s="33" t="n"/>
    </row>
    <row r="8527" ht="14.25" customHeight="1" s="192">
      <c r="W8527" s="231" t="n"/>
      <c r="X8527" s="231" t="n"/>
    </row>
    <row r="8528" ht="14.25" customHeight="1" s="192">
      <c r="W8528" s="33" t="n"/>
      <c r="X8528" s="33" t="n"/>
    </row>
    <row r="8530" ht="14.25" customHeight="1" s="192">
      <c r="W8530" s="231" t="n"/>
      <c r="X8530" s="231" t="n"/>
    </row>
    <row r="8531" ht="14.25" customHeight="1" s="192">
      <c r="W8531" s="235" t="n"/>
      <c r="X8531" s="235" t="n"/>
    </row>
    <row r="8532" ht="14.25" customHeight="1" s="192">
      <c r="W8532" s="228" t="n"/>
      <c r="X8532" s="228" t="n"/>
    </row>
    <row r="8533" ht="14.25" customHeight="1" s="192">
      <c r="W8533" s="235" t="n"/>
      <c r="X8533" s="235" t="n"/>
    </row>
    <row r="8534" ht="14.25" customHeight="1" s="192">
      <c r="W8534" s="235" t="n"/>
      <c r="X8534" s="235" t="n"/>
    </row>
    <row r="8535" ht="14.25" customHeight="1" s="192">
      <c r="W8535" s="235" t="n"/>
      <c r="X8535" s="235" t="n"/>
    </row>
    <row r="8536" ht="14.25" customHeight="1" s="192">
      <c r="W8536" s="239" t="n"/>
      <c r="X8536" s="239" t="n"/>
    </row>
    <row r="8537" ht="14.25" customHeight="1" s="192">
      <c r="W8537" s="239" t="n"/>
      <c r="X8537" s="239" t="n"/>
    </row>
    <row r="8538" ht="14.25" customHeight="1" s="192">
      <c r="W8538" s="239" t="n"/>
      <c r="X8538" s="239" t="n"/>
    </row>
    <row r="8539" ht="14.25" customHeight="1" s="192">
      <c r="W8539" s="235" t="n"/>
      <c r="X8539" s="235" t="n"/>
    </row>
    <row r="8540" ht="14.25" customHeight="1" s="192">
      <c r="W8540" s="235" t="n"/>
      <c r="X8540" s="235" t="n"/>
    </row>
    <row r="8541" ht="14.25" customHeight="1" s="192">
      <c r="W8541" s="235" t="n"/>
      <c r="X8541" s="235" t="n"/>
    </row>
    <row r="8542" ht="14.25" customHeight="1" s="192">
      <c r="W8542" s="239" t="n"/>
      <c r="X8542" s="239" t="n"/>
    </row>
    <row r="8543" ht="14.25" customHeight="1" s="192">
      <c r="W8543" s="239" t="n"/>
      <c r="X8543" s="239" t="n"/>
    </row>
    <row r="8544" ht="14.25" customHeight="1" s="192">
      <c r="W8544" s="235" t="n"/>
      <c r="X8544" s="235" t="n"/>
    </row>
    <row r="8545" ht="14.25" customHeight="1" s="192">
      <c r="W8545" s="235" t="n"/>
      <c r="X8545" s="235" t="n"/>
    </row>
    <row r="8546" ht="14.25" customHeight="1" s="192">
      <c r="W8546" s="239" t="n"/>
      <c r="X8546" s="239" t="n"/>
    </row>
    <row r="8547" ht="14.25" customHeight="1" s="192">
      <c r="W8547" s="235" t="n"/>
      <c r="X8547" s="235" t="n"/>
    </row>
    <row r="8548" ht="14.25" customHeight="1" s="192">
      <c r="W8548" s="239" t="n"/>
      <c r="X8548" s="239" t="n"/>
    </row>
    <row r="8550" ht="14.25" customHeight="1" s="192">
      <c r="W8550" s="235" t="n"/>
      <c r="X8550" s="235" t="n"/>
    </row>
    <row r="8551" ht="15" customHeight="1" s="192" thickBot="1">
      <c r="W8551" s="239" t="n"/>
      <c r="X8551" s="239" t="n"/>
    </row>
    <row r="8552" ht="15" customHeight="1" s="192" thickBot="1">
      <c r="W8552" s="45" t="n"/>
      <c r="X8552" s="45" t="n"/>
    </row>
    <row r="8553" ht="14.25" customHeight="1" s="192">
      <c r="W8553" s="228" t="n"/>
      <c r="X8553" s="228" t="n"/>
    </row>
    <row r="8554" ht="14.25" customHeight="1" s="192">
      <c r="W8554" s="228" t="n"/>
      <c r="X8554" s="228" t="n"/>
    </row>
    <row r="8555" ht="14.25" customHeight="1" s="192">
      <c r="W8555" s="231" t="n"/>
      <c r="X8555" s="231" t="n"/>
    </row>
    <row r="8556" ht="14.25" customHeight="1" s="192">
      <c r="W8556" s="33" t="n"/>
      <c r="X8556" s="33" t="n"/>
    </row>
    <row r="8557" ht="14.25" customHeight="1" s="192">
      <c r="W8557" s="231" t="n"/>
      <c r="X8557" s="231" t="n"/>
    </row>
    <row r="8558" ht="14.25" customHeight="1" s="192">
      <c r="W8558" s="33" t="n"/>
      <c r="X8558" s="33" t="n"/>
    </row>
    <row r="8560" ht="14.25" customHeight="1" s="192">
      <c r="W8560" s="231" t="n"/>
      <c r="X8560" s="231" t="n"/>
    </row>
    <row r="8561" ht="14.25" customHeight="1" s="192">
      <c r="W8561" s="235" t="n"/>
      <c r="X8561" s="235" t="n"/>
    </row>
    <row r="8562" ht="14.25" customHeight="1" s="192">
      <c r="W8562" s="228" t="n"/>
      <c r="X8562" s="228" t="n"/>
    </row>
    <row r="8563" ht="14.25" customHeight="1" s="192">
      <c r="W8563" s="235" t="n"/>
      <c r="X8563" s="235" t="n"/>
    </row>
    <row r="8564" ht="14.25" customHeight="1" s="192">
      <c r="W8564" s="235" t="n"/>
      <c r="X8564" s="235" t="n"/>
    </row>
    <row r="8565" ht="14.25" customHeight="1" s="192">
      <c r="W8565" s="235" t="n"/>
      <c r="X8565" s="235" t="n"/>
    </row>
    <row r="8566" ht="14.25" customHeight="1" s="192">
      <c r="W8566" s="239" t="n"/>
      <c r="X8566" s="239" t="n"/>
    </row>
    <row r="8567" ht="14.25" customHeight="1" s="192">
      <c r="W8567" s="239" t="n"/>
      <c r="X8567" s="239" t="n"/>
    </row>
    <row r="8568" ht="14.25" customHeight="1" s="192">
      <c r="W8568" s="239" t="n"/>
      <c r="X8568" s="239" t="n"/>
    </row>
    <row r="8569" ht="14.25" customHeight="1" s="192">
      <c r="W8569" s="235" t="n"/>
      <c r="X8569" s="235" t="n"/>
    </row>
    <row r="8570" ht="14.25" customHeight="1" s="192">
      <c r="W8570" s="235" t="n"/>
      <c r="X8570" s="235" t="n"/>
    </row>
    <row r="8571" ht="14.25" customHeight="1" s="192">
      <c r="W8571" s="235" t="n"/>
      <c r="X8571" s="235" t="n"/>
    </row>
    <row r="8572" ht="14.25" customHeight="1" s="192">
      <c r="W8572" s="239" t="n"/>
      <c r="X8572" s="239" t="n"/>
    </row>
    <row r="8573" ht="14.25" customHeight="1" s="192">
      <c r="W8573" s="239" t="n"/>
      <c r="X8573" s="239" t="n"/>
    </row>
    <row r="8574" ht="14.25" customHeight="1" s="192">
      <c r="W8574" s="235" t="n"/>
      <c r="X8574" s="235" t="n"/>
    </row>
    <row r="8575" ht="14.25" customHeight="1" s="192">
      <c r="W8575" s="235" t="n"/>
      <c r="X8575" s="235" t="n"/>
    </row>
    <row r="8576" ht="14.25" customHeight="1" s="192">
      <c r="W8576" s="239" t="n"/>
      <c r="X8576" s="239" t="n"/>
    </row>
    <row r="8577" ht="14.25" customHeight="1" s="192">
      <c r="W8577" s="235" t="n"/>
      <c r="X8577" s="235" t="n"/>
    </row>
    <row r="8578" ht="14.25" customHeight="1" s="192">
      <c r="W8578" s="239" t="n"/>
      <c r="X8578" s="239" t="n"/>
    </row>
    <row r="8580" ht="14.25" customHeight="1" s="192">
      <c r="W8580" s="235" t="n"/>
      <c r="X8580" s="235" t="n"/>
    </row>
    <row r="8581" ht="15" customHeight="1" s="192" thickBot="1">
      <c r="W8581" s="239" t="n"/>
      <c r="X8581" s="239" t="n"/>
    </row>
    <row r="8582" ht="15" customHeight="1" s="192" thickBot="1">
      <c r="W8582" s="45" t="n"/>
      <c r="X8582" s="45" t="n"/>
    </row>
    <row r="8583" ht="14.25" customHeight="1" s="192">
      <c r="W8583" s="228" t="n"/>
      <c r="X8583" s="228" t="n"/>
    </row>
    <row r="8584" ht="14.25" customHeight="1" s="192">
      <c r="W8584" s="228" t="n"/>
      <c r="X8584" s="228" t="n"/>
    </row>
    <row r="8585" ht="14.25" customHeight="1" s="192">
      <c r="W8585" s="231" t="n"/>
      <c r="X8585" s="231" t="n"/>
    </row>
    <row r="8586" ht="14.25" customHeight="1" s="192">
      <c r="W8586" s="33" t="n"/>
      <c r="X8586" s="33" t="n"/>
    </row>
    <row r="8587" ht="14.25" customHeight="1" s="192">
      <c r="W8587" s="231" t="n"/>
      <c r="X8587" s="231" t="n"/>
    </row>
    <row r="8588" ht="14.25" customHeight="1" s="192">
      <c r="W8588" s="33" t="n"/>
      <c r="X8588" s="33" t="n"/>
    </row>
    <row r="8590" ht="14.25" customHeight="1" s="192">
      <c r="W8590" s="231" t="n"/>
      <c r="X8590" s="231" t="n"/>
    </row>
    <row r="8591" ht="14.25" customHeight="1" s="192">
      <c r="W8591" s="235" t="n"/>
      <c r="X8591" s="235" t="n"/>
    </row>
    <row r="8592" ht="14.25" customHeight="1" s="192">
      <c r="W8592" s="228" t="n"/>
      <c r="X8592" s="228" t="n"/>
    </row>
    <row r="8593" ht="14.25" customHeight="1" s="192">
      <c r="W8593" s="235" t="n"/>
      <c r="X8593" s="235" t="n"/>
    </row>
    <row r="8594" ht="14.25" customHeight="1" s="192">
      <c r="W8594" s="235" t="n"/>
      <c r="X8594" s="235" t="n"/>
    </row>
    <row r="8595" ht="14.25" customHeight="1" s="192">
      <c r="W8595" s="235" t="n"/>
      <c r="X8595" s="235" t="n"/>
    </row>
    <row r="8596" ht="14.25" customHeight="1" s="192">
      <c r="W8596" s="239" t="n"/>
      <c r="X8596" s="239" t="n"/>
    </row>
    <row r="8597" ht="14.25" customHeight="1" s="192">
      <c r="W8597" s="239" t="n"/>
      <c r="X8597" s="239" t="n"/>
    </row>
    <row r="8598" ht="14.25" customHeight="1" s="192">
      <c r="W8598" s="239" t="n"/>
      <c r="X8598" s="239" t="n"/>
    </row>
    <row r="8599" ht="14.25" customHeight="1" s="192">
      <c r="W8599" s="235" t="n"/>
      <c r="X8599" s="235" t="n"/>
    </row>
    <row r="8600" ht="14.25" customHeight="1" s="192">
      <c r="W8600" s="235" t="n"/>
      <c r="X8600" s="235" t="n"/>
    </row>
    <row r="8601" ht="14.25" customHeight="1" s="192">
      <c r="W8601" s="235" t="n"/>
      <c r="X8601" s="235" t="n"/>
    </row>
    <row r="8602" ht="14.25" customHeight="1" s="192">
      <c r="W8602" s="239" t="n"/>
      <c r="X8602" s="239" t="n"/>
    </row>
    <row r="8603" ht="14.25" customHeight="1" s="192">
      <c r="W8603" s="239" t="n"/>
      <c r="X8603" s="239" t="n"/>
    </row>
    <row r="8604" ht="14.25" customHeight="1" s="192">
      <c r="W8604" s="235" t="n"/>
      <c r="X8604" s="235" t="n"/>
    </row>
    <row r="8605" ht="14.25" customHeight="1" s="192">
      <c r="W8605" s="235" t="n"/>
      <c r="X8605" s="235" t="n"/>
    </row>
    <row r="8606" ht="14.25" customHeight="1" s="192">
      <c r="W8606" s="239" t="n"/>
      <c r="X8606" s="239" t="n"/>
    </row>
    <row r="8607" ht="14.25" customHeight="1" s="192">
      <c r="W8607" s="235" t="n"/>
      <c r="X8607" s="235" t="n"/>
    </row>
    <row r="8608" ht="14.25" customHeight="1" s="192">
      <c r="W8608" s="239" t="n"/>
      <c r="X8608" s="239" t="n"/>
    </row>
    <row r="8610" ht="14.25" customHeight="1" s="192">
      <c r="W8610" s="235" t="n"/>
      <c r="X8610" s="235" t="n"/>
    </row>
    <row r="8611" ht="15" customHeight="1" s="192" thickBot="1">
      <c r="W8611" s="239" t="n"/>
      <c r="X8611" s="239" t="n"/>
    </row>
    <row r="8612" ht="15" customHeight="1" s="192" thickBot="1">
      <c r="W8612" s="45" t="n"/>
      <c r="X8612" s="45" t="n"/>
    </row>
    <row r="8613" ht="14.25" customHeight="1" s="192">
      <c r="W8613" s="228" t="n"/>
      <c r="X8613" s="228" t="n"/>
    </row>
    <row r="8614" ht="14.25" customHeight="1" s="192">
      <c r="W8614" s="228" t="n"/>
      <c r="X8614" s="228" t="n"/>
    </row>
    <row r="8615" ht="14.25" customHeight="1" s="192">
      <c r="W8615" s="231" t="n"/>
      <c r="X8615" s="231" t="n"/>
    </row>
    <row r="8616" ht="14.25" customHeight="1" s="192">
      <c r="W8616" s="33" t="n"/>
      <c r="X8616" s="33" t="n"/>
    </row>
    <row r="8617" ht="14.25" customHeight="1" s="192">
      <c r="W8617" s="231" t="n"/>
      <c r="X8617" s="231" t="n"/>
    </row>
    <row r="8618" ht="14.25" customHeight="1" s="192">
      <c r="W8618" s="33" t="n"/>
      <c r="X8618" s="33" t="n"/>
    </row>
    <row r="8620" ht="14.25" customHeight="1" s="192">
      <c r="W8620" s="231" t="n"/>
      <c r="X8620" s="231" t="n"/>
    </row>
    <row r="8621" ht="14.25" customHeight="1" s="192">
      <c r="W8621" s="235" t="n"/>
      <c r="X8621" s="235" t="n"/>
    </row>
    <row r="8622" ht="14.25" customHeight="1" s="192">
      <c r="W8622" s="228" t="n"/>
      <c r="X8622" s="228" t="n"/>
    </row>
    <row r="8623" ht="14.25" customHeight="1" s="192">
      <c r="W8623" s="235" t="n"/>
      <c r="X8623" s="235" t="n"/>
    </row>
    <row r="8624" ht="14.25" customHeight="1" s="192">
      <c r="W8624" s="235" t="n"/>
      <c r="X8624" s="235" t="n"/>
    </row>
    <row r="8625" ht="14.25" customHeight="1" s="192">
      <c r="W8625" s="235" t="n"/>
      <c r="X8625" s="235" t="n"/>
    </row>
    <row r="8626" ht="14.25" customHeight="1" s="192">
      <c r="W8626" s="239" t="n"/>
      <c r="X8626" s="239" t="n"/>
    </row>
    <row r="8627" ht="14.25" customHeight="1" s="192">
      <c r="W8627" s="239" t="n"/>
      <c r="X8627" s="239" t="n"/>
    </row>
    <row r="8628" ht="14.25" customHeight="1" s="192">
      <c r="W8628" s="239" t="n"/>
      <c r="X8628" s="239" t="n"/>
    </row>
    <row r="8629" ht="14.25" customHeight="1" s="192">
      <c r="W8629" s="235" t="n"/>
      <c r="X8629" s="235" t="n"/>
    </row>
    <row r="8630" ht="14.25" customHeight="1" s="192">
      <c r="W8630" s="235" t="n"/>
      <c r="X8630" s="235" t="n"/>
    </row>
    <row r="8631" ht="14.25" customHeight="1" s="192">
      <c r="W8631" s="235" t="n"/>
      <c r="X8631" s="235" t="n"/>
    </row>
    <row r="8632" ht="14.25" customHeight="1" s="192">
      <c r="W8632" s="239" t="n"/>
      <c r="X8632" s="239" t="n"/>
    </row>
    <row r="8633" ht="14.25" customHeight="1" s="192">
      <c r="W8633" s="239" t="n"/>
      <c r="X8633" s="239" t="n"/>
    </row>
    <row r="8634" ht="14.25" customHeight="1" s="192">
      <c r="W8634" s="235" t="n"/>
      <c r="X8634" s="235" t="n"/>
    </row>
    <row r="8635" ht="14.25" customHeight="1" s="192">
      <c r="W8635" s="235" t="n"/>
      <c r="X8635" s="235" t="n"/>
    </row>
    <row r="8636" ht="14.25" customHeight="1" s="192">
      <c r="W8636" s="239" t="n"/>
      <c r="X8636" s="239" t="n"/>
    </row>
    <row r="8637" ht="14.25" customHeight="1" s="192">
      <c r="W8637" s="235" t="n"/>
      <c r="X8637" s="235" t="n"/>
    </row>
    <row r="8638" ht="14.25" customHeight="1" s="192">
      <c r="W8638" s="239" t="n"/>
      <c r="X8638" s="239" t="n"/>
    </row>
    <row r="8640" ht="14.25" customHeight="1" s="192">
      <c r="W8640" s="235" t="n"/>
      <c r="X8640" s="235" t="n"/>
    </row>
    <row r="8641" ht="15" customHeight="1" s="192" thickBot="1">
      <c r="W8641" s="239" t="n"/>
      <c r="X8641" s="239" t="n"/>
    </row>
    <row r="8642" ht="15" customHeight="1" s="192" thickBot="1">
      <c r="W8642" s="45" t="n"/>
      <c r="X8642" s="45" t="n"/>
    </row>
    <row r="8643" ht="14.25" customHeight="1" s="192">
      <c r="W8643" s="228" t="n"/>
      <c r="X8643" s="228" t="n"/>
    </row>
    <row r="8644" ht="14.25" customHeight="1" s="192">
      <c r="W8644" s="228" t="n"/>
      <c r="X8644" s="228" t="n"/>
    </row>
    <row r="8645" ht="14.25" customHeight="1" s="192">
      <c r="W8645" s="231" t="n"/>
      <c r="X8645" s="231" t="n"/>
    </row>
    <row r="8646" ht="14.25" customHeight="1" s="192">
      <c r="W8646" s="33" t="n"/>
      <c r="X8646" s="33" t="n"/>
    </row>
    <row r="8647" ht="14.25" customHeight="1" s="192">
      <c r="W8647" s="231" t="n"/>
      <c r="X8647" s="231" t="n"/>
    </row>
    <row r="8648" ht="14.25" customHeight="1" s="192">
      <c r="W8648" s="33" t="n"/>
      <c r="X8648" s="33" t="n"/>
    </row>
    <row r="8650" ht="14.25" customHeight="1" s="192">
      <c r="W8650" s="231" t="n"/>
      <c r="X8650" s="231" t="n"/>
    </row>
    <row r="8651" ht="14.25" customHeight="1" s="192">
      <c r="W8651" s="235" t="n"/>
      <c r="X8651" s="235" t="n"/>
    </row>
    <row r="8652" ht="14.25" customHeight="1" s="192">
      <c r="W8652" s="228" t="n"/>
      <c r="X8652" s="228" t="n"/>
    </row>
    <row r="8653" ht="14.25" customHeight="1" s="192">
      <c r="W8653" s="235" t="n"/>
      <c r="X8653" s="235" t="n"/>
    </row>
    <row r="8654" ht="14.25" customHeight="1" s="192">
      <c r="W8654" s="235" t="n"/>
      <c r="X8654" s="235" t="n"/>
    </row>
    <row r="8655" ht="14.25" customHeight="1" s="192">
      <c r="W8655" s="235" t="n"/>
      <c r="X8655" s="235" t="n"/>
    </row>
    <row r="8656" ht="14.25" customHeight="1" s="192">
      <c r="W8656" s="239" t="n"/>
      <c r="X8656" s="239" t="n"/>
    </row>
    <row r="8657" ht="14.25" customHeight="1" s="192">
      <c r="W8657" s="239" t="n"/>
      <c r="X8657" s="239" t="n"/>
    </row>
    <row r="8658" ht="14.25" customHeight="1" s="192">
      <c r="W8658" s="239" t="n"/>
      <c r="X8658" s="239" t="n"/>
    </row>
    <row r="8659" ht="14.25" customHeight="1" s="192">
      <c r="W8659" s="235" t="n"/>
      <c r="X8659" s="235" t="n"/>
    </row>
    <row r="8660" ht="14.25" customHeight="1" s="192">
      <c r="W8660" s="235" t="n"/>
      <c r="X8660" s="235" t="n"/>
    </row>
    <row r="8661" ht="14.25" customHeight="1" s="192">
      <c r="W8661" s="235" t="n"/>
      <c r="X8661" s="235" t="n"/>
    </row>
    <row r="8662" ht="14.25" customHeight="1" s="192">
      <c r="W8662" s="239" t="n"/>
      <c r="X8662" s="239" t="n"/>
    </row>
    <row r="8663" ht="14.25" customHeight="1" s="192">
      <c r="W8663" s="239" t="n"/>
      <c r="X8663" s="239" t="n"/>
    </row>
    <row r="8664" ht="14.25" customHeight="1" s="192">
      <c r="W8664" s="235" t="n"/>
      <c r="X8664" s="235" t="n"/>
    </row>
    <row r="8665" ht="14.25" customHeight="1" s="192">
      <c r="W8665" s="235" t="n"/>
      <c r="X8665" s="235" t="n"/>
    </row>
    <row r="8666" ht="14.25" customHeight="1" s="192">
      <c r="W8666" s="239" t="n"/>
      <c r="X8666" s="239" t="n"/>
    </row>
    <row r="8667" ht="14.25" customHeight="1" s="192">
      <c r="W8667" s="235" t="n"/>
      <c r="X8667" s="235" t="n"/>
    </row>
    <row r="8668" ht="14.25" customHeight="1" s="192">
      <c r="W8668" s="239" t="n"/>
      <c r="X8668" s="239" t="n"/>
    </row>
    <row r="8670" ht="14.25" customHeight="1" s="192">
      <c r="W8670" s="235" t="n"/>
      <c r="X8670" s="235" t="n"/>
    </row>
    <row r="8671" ht="15" customHeight="1" s="192" thickBot="1">
      <c r="W8671" s="239" t="n"/>
      <c r="X8671" s="239" t="n"/>
    </row>
    <row r="8672" ht="15" customHeight="1" s="192" thickBot="1">
      <c r="W8672" s="45" t="n"/>
      <c r="X8672" s="45" t="n"/>
    </row>
    <row r="8673" ht="14.25" customHeight="1" s="192">
      <c r="W8673" s="228" t="n"/>
      <c r="X8673" s="228" t="n"/>
    </row>
    <row r="8674" ht="14.25" customHeight="1" s="192">
      <c r="W8674" s="228" t="n"/>
      <c r="X8674" s="228" t="n"/>
    </row>
    <row r="8675" ht="14.25" customHeight="1" s="192">
      <c r="W8675" s="231" t="n"/>
      <c r="X8675" s="231" t="n"/>
    </row>
    <row r="8676" ht="14.25" customHeight="1" s="192">
      <c r="W8676" s="33" t="n"/>
      <c r="X8676" s="33" t="n"/>
    </row>
    <row r="8677" ht="14.25" customHeight="1" s="192">
      <c r="W8677" s="231" t="n"/>
      <c r="X8677" s="231" t="n"/>
    </row>
    <row r="8678" ht="14.25" customHeight="1" s="192">
      <c r="W8678" s="33" t="n"/>
      <c r="X8678" s="33" t="n"/>
    </row>
    <row r="8680" ht="14.25" customHeight="1" s="192">
      <c r="W8680" s="231" t="n"/>
      <c r="X8680" s="231" t="n"/>
    </row>
    <row r="8681" ht="14.25" customHeight="1" s="192">
      <c r="W8681" s="235" t="n"/>
      <c r="X8681" s="235" t="n"/>
    </row>
    <row r="8682" ht="14.25" customHeight="1" s="192">
      <c r="W8682" s="228" t="n"/>
      <c r="X8682" s="228" t="n"/>
    </row>
    <row r="8683" ht="14.25" customHeight="1" s="192">
      <c r="W8683" s="235" t="n"/>
      <c r="X8683" s="235" t="n"/>
    </row>
    <row r="8684" ht="14.25" customHeight="1" s="192">
      <c r="W8684" s="235" t="n"/>
      <c r="X8684" s="235" t="n"/>
    </row>
    <row r="8685" ht="14.25" customHeight="1" s="192">
      <c r="W8685" s="235" t="n"/>
      <c r="X8685" s="235" t="n"/>
    </row>
    <row r="8686" ht="14.25" customHeight="1" s="192">
      <c r="W8686" s="239" t="n"/>
      <c r="X8686" s="239" t="n"/>
    </row>
    <row r="8687" ht="14.25" customHeight="1" s="192">
      <c r="W8687" s="239" t="n"/>
      <c r="X8687" s="239" t="n"/>
    </row>
    <row r="8688" ht="14.25" customHeight="1" s="192">
      <c r="W8688" s="239" t="n"/>
      <c r="X8688" s="239" t="n"/>
    </row>
    <row r="8689" ht="14.25" customHeight="1" s="192">
      <c r="W8689" s="235" t="n"/>
      <c r="X8689" s="235" t="n"/>
    </row>
    <row r="8690" ht="14.25" customHeight="1" s="192">
      <c r="W8690" s="235" t="n"/>
      <c r="X8690" s="235" t="n"/>
    </row>
    <row r="8691" ht="14.25" customHeight="1" s="192">
      <c r="W8691" s="235" t="n"/>
      <c r="X8691" s="235" t="n"/>
    </row>
    <row r="8692" ht="14.25" customHeight="1" s="192">
      <c r="W8692" s="239" t="n"/>
      <c r="X8692" s="239" t="n"/>
    </row>
    <row r="8693" ht="14.25" customHeight="1" s="192">
      <c r="W8693" s="239" t="n"/>
      <c r="X8693" s="239" t="n"/>
    </row>
    <row r="8694" ht="14.25" customHeight="1" s="192">
      <c r="W8694" s="235" t="n"/>
      <c r="X8694" s="235" t="n"/>
    </row>
    <row r="8695" ht="14.25" customHeight="1" s="192">
      <c r="W8695" s="235" t="n"/>
      <c r="X8695" s="235" t="n"/>
    </row>
    <row r="8696" ht="14.25" customHeight="1" s="192">
      <c r="W8696" s="239" t="n"/>
      <c r="X8696" s="239" t="n"/>
    </row>
    <row r="8697" ht="14.25" customHeight="1" s="192">
      <c r="W8697" s="235" t="n"/>
      <c r="X8697" s="235" t="n"/>
    </row>
    <row r="8698" ht="14.25" customHeight="1" s="192">
      <c r="W8698" s="239" t="n"/>
      <c r="X8698" s="239" t="n"/>
    </row>
    <row r="8700" ht="14.25" customHeight="1" s="192">
      <c r="W8700" s="235" t="n"/>
      <c r="X8700" s="235" t="n"/>
    </row>
    <row r="8701" ht="15" customHeight="1" s="192" thickBot="1">
      <c r="W8701" s="239" t="n"/>
      <c r="X8701" s="239" t="n"/>
    </row>
    <row r="8702" ht="15" customHeight="1" s="192" thickBot="1">
      <c r="W8702" s="45" t="n"/>
      <c r="X8702" s="45" t="n"/>
    </row>
    <row r="8703" ht="14.25" customHeight="1" s="192">
      <c r="W8703" s="228" t="n"/>
      <c r="X8703" s="228" t="n"/>
    </row>
    <row r="8704" ht="14.25" customHeight="1" s="192">
      <c r="W8704" s="228" t="n"/>
      <c r="X8704" s="228" t="n"/>
    </row>
    <row r="8705" ht="14.25" customHeight="1" s="192">
      <c r="W8705" s="231" t="n"/>
      <c r="X8705" s="231" t="n"/>
    </row>
    <row r="8706" ht="14.25" customHeight="1" s="192">
      <c r="W8706" s="33" t="n"/>
      <c r="X8706" s="33" t="n"/>
    </row>
    <row r="8707" ht="14.25" customHeight="1" s="192">
      <c r="W8707" s="231" t="n"/>
      <c r="X8707" s="231" t="n"/>
    </row>
    <row r="8708" ht="14.25" customHeight="1" s="192">
      <c r="W8708" s="33" t="n"/>
      <c r="X8708" s="33" t="n"/>
    </row>
    <row r="8710" ht="14.25" customHeight="1" s="192">
      <c r="W8710" s="231" t="n"/>
      <c r="X8710" s="231" t="n"/>
    </row>
    <row r="8711" ht="14.25" customHeight="1" s="192">
      <c r="W8711" s="235" t="n"/>
      <c r="X8711" s="235" t="n"/>
    </row>
    <row r="8712" ht="14.25" customHeight="1" s="192">
      <c r="W8712" s="228" t="n"/>
      <c r="X8712" s="228" t="n"/>
    </row>
    <row r="8713" ht="14.25" customHeight="1" s="192">
      <c r="W8713" s="235" t="n"/>
      <c r="X8713" s="235" t="n"/>
    </row>
    <row r="8714" ht="14.25" customHeight="1" s="192">
      <c r="W8714" s="235" t="n"/>
      <c r="X8714" s="235" t="n"/>
    </row>
    <row r="8715" ht="14.25" customHeight="1" s="192">
      <c r="W8715" s="235" t="n"/>
      <c r="X8715" s="235" t="n"/>
    </row>
    <row r="8716" ht="14.25" customHeight="1" s="192">
      <c r="W8716" s="239" t="n"/>
      <c r="X8716" s="239" t="n"/>
    </row>
    <row r="8717" ht="14.25" customHeight="1" s="192">
      <c r="W8717" s="239" t="n"/>
      <c r="X8717" s="239" t="n"/>
    </row>
    <row r="8718" ht="14.25" customHeight="1" s="192">
      <c r="W8718" s="239" t="n"/>
      <c r="X8718" s="239" t="n"/>
    </row>
    <row r="8719" ht="14.25" customHeight="1" s="192">
      <c r="W8719" s="235" t="n"/>
      <c r="X8719" s="235" t="n"/>
    </row>
    <row r="8720" ht="14.25" customHeight="1" s="192">
      <c r="W8720" s="235" t="n"/>
      <c r="X8720" s="235" t="n"/>
    </row>
    <row r="8721" ht="14.25" customHeight="1" s="192">
      <c r="W8721" s="235" t="n"/>
      <c r="X8721" s="235" t="n"/>
    </row>
    <row r="8722" ht="14.25" customHeight="1" s="192">
      <c r="W8722" s="239" t="n"/>
      <c r="X8722" s="239" t="n"/>
    </row>
    <row r="8723" ht="14.25" customHeight="1" s="192">
      <c r="W8723" s="239" t="n"/>
      <c r="X8723" s="239" t="n"/>
    </row>
    <row r="8724" ht="14.25" customHeight="1" s="192">
      <c r="W8724" s="235" t="n"/>
      <c r="X8724" s="235" t="n"/>
    </row>
    <row r="8725" ht="14.25" customHeight="1" s="192">
      <c r="W8725" s="235" t="n"/>
      <c r="X8725" s="235" t="n"/>
    </row>
    <row r="8726" ht="14.25" customHeight="1" s="192">
      <c r="W8726" s="239" t="n"/>
      <c r="X8726" s="239" t="n"/>
    </row>
    <row r="8727" ht="14.25" customHeight="1" s="192">
      <c r="W8727" s="235" t="n"/>
      <c r="X8727" s="235" t="n"/>
    </row>
    <row r="8728" ht="14.25" customHeight="1" s="192">
      <c r="W8728" s="239" t="n"/>
      <c r="X8728" s="239" t="n"/>
    </row>
    <row r="8730" ht="14.25" customHeight="1" s="192">
      <c r="W8730" s="235" t="n"/>
      <c r="X8730" s="235" t="n"/>
    </row>
    <row r="8731" ht="15" customHeight="1" s="192" thickBot="1">
      <c r="W8731" s="239" t="n"/>
      <c r="X8731" s="239" t="n"/>
    </row>
    <row r="8732" ht="15" customHeight="1" s="192" thickBot="1">
      <c r="W8732" s="45" t="n"/>
      <c r="X8732" s="45" t="n"/>
    </row>
    <row r="8733" ht="14.25" customHeight="1" s="192">
      <c r="W8733" s="228" t="n"/>
      <c r="X8733" s="228" t="n"/>
    </row>
    <row r="8734" ht="14.25" customHeight="1" s="192">
      <c r="W8734" s="228" t="n"/>
      <c r="X8734" s="228" t="n"/>
    </row>
    <row r="8735" ht="14.25" customHeight="1" s="192">
      <c r="W8735" s="231" t="n"/>
      <c r="X8735" s="231" t="n"/>
    </row>
    <row r="8736" ht="14.25" customHeight="1" s="192">
      <c r="W8736" s="33" t="n"/>
      <c r="X8736" s="33" t="n"/>
    </row>
    <row r="8737" ht="14.25" customHeight="1" s="192">
      <c r="W8737" s="231" t="n"/>
      <c r="X8737" s="231" t="n"/>
    </row>
    <row r="8738" ht="14.25" customHeight="1" s="192">
      <c r="W8738" s="33" t="n"/>
      <c r="X8738" s="33" t="n"/>
    </row>
    <row r="8740" ht="14.25" customHeight="1" s="192">
      <c r="W8740" s="231" t="n"/>
      <c r="X8740" s="231" t="n"/>
    </row>
    <row r="8741" ht="14.25" customHeight="1" s="192">
      <c r="W8741" s="235" t="n"/>
      <c r="X8741" s="235" t="n"/>
    </row>
    <row r="8742" ht="14.25" customHeight="1" s="192">
      <c r="W8742" s="228" t="n"/>
      <c r="X8742" s="228" t="n"/>
    </row>
    <row r="8743" ht="14.25" customHeight="1" s="192">
      <c r="W8743" s="235" t="n"/>
      <c r="X8743" s="235" t="n"/>
    </row>
    <row r="8744" ht="14.25" customHeight="1" s="192">
      <c r="W8744" s="235" t="n"/>
      <c r="X8744" s="235" t="n"/>
    </row>
    <row r="8745" ht="14.25" customHeight="1" s="192">
      <c r="W8745" s="235" t="n"/>
      <c r="X8745" s="235" t="n"/>
    </row>
    <row r="8746" ht="14.25" customHeight="1" s="192">
      <c r="W8746" s="239" t="n"/>
      <c r="X8746" s="239" t="n"/>
    </row>
    <row r="8747" ht="14.25" customHeight="1" s="192">
      <c r="W8747" s="239" t="n"/>
      <c r="X8747" s="239" t="n"/>
    </row>
    <row r="8748" ht="14.25" customHeight="1" s="192">
      <c r="W8748" s="239" t="n"/>
      <c r="X8748" s="239" t="n"/>
    </row>
    <row r="8749" ht="14.25" customHeight="1" s="192">
      <c r="W8749" s="235" t="n"/>
      <c r="X8749" s="235" t="n"/>
    </row>
    <row r="8750" ht="14.25" customHeight="1" s="192">
      <c r="W8750" s="235" t="n"/>
      <c r="X8750" s="235" t="n"/>
    </row>
    <row r="8751" ht="14.25" customHeight="1" s="192">
      <c r="W8751" s="235" t="n"/>
      <c r="X8751" s="235" t="n"/>
    </row>
    <row r="8752" ht="14.25" customHeight="1" s="192">
      <c r="W8752" s="239" t="n"/>
      <c r="X8752" s="239" t="n"/>
    </row>
    <row r="8753" ht="14.25" customHeight="1" s="192">
      <c r="W8753" s="239" t="n"/>
      <c r="X8753" s="239" t="n"/>
    </row>
    <row r="8754" ht="14.25" customHeight="1" s="192">
      <c r="W8754" s="235" t="n"/>
      <c r="X8754" s="235" t="n"/>
    </row>
    <row r="8755" ht="14.25" customHeight="1" s="192">
      <c r="W8755" s="235" t="n"/>
      <c r="X8755" s="235" t="n"/>
    </row>
    <row r="8756" ht="14.25" customHeight="1" s="192">
      <c r="W8756" s="239" t="n"/>
      <c r="X8756" s="239" t="n"/>
    </row>
    <row r="8757" ht="14.25" customHeight="1" s="192">
      <c r="W8757" s="235" t="n"/>
      <c r="X8757" s="235" t="n"/>
    </row>
    <row r="8758" ht="14.25" customHeight="1" s="192">
      <c r="W8758" s="239" t="n"/>
      <c r="X8758" s="239" t="n"/>
    </row>
    <row r="8760" ht="14.25" customHeight="1" s="192">
      <c r="W8760" s="235" t="n"/>
      <c r="X8760" s="235" t="n"/>
    </row>
    <row r="8761" ht="15" customHeight="1" s="192" thickBot="1">
      <c r="W8761" s="239" t="n"/>
      <c r="X8761" s="239" t="n"/>
    </row>
    <row r="8762" ht="15" customHeight="1" s="192" thickBot="1">
      <c r="W8762" s="45" t="n"/>
      <c r="X8762" s="45" t="n"/>
    </row>
    <row r="8763" ht="14.25" customHeight="1" s="192">
      <c r="W8763" s="228" t="n"/>
      <c r="X8763" s="228" t="n"/>
    </row>
    <row r="8764" ht="14.25" customHeight="1" s="192">
      <c r="W8764" s="228" t="n"/>
      <c r="X8764" s="228" t="n"/>
    </row>
    <row r="8765" ht="14.25" customHeight="1" s="192">
      <c r="W8765" s="231" t="n"/>
      <c r="X8765" s="231" t="n"/>
    </row>
    <row r="8766" ht="14.25" customHeight="1" s="192">
      <c r="W8766" s="33" t="n"/>
      <c r="X8766" s="33" t="n"/>
    </row>
    <row r="8767" ht="14.25" customHeight="1" s="192">
      <c r="W8767" s="231" t="n"/>
      <c r="X8767" s="231" t="n"/>
    </row>
    <row r="8768" ht="14.25" customHeight="1" s="192">
      <c r="W8768" s="33" t="n"/>
      <c r="X8768" s="33" t="n"/>
    </row>
    <row r="8770" ht="14.25" customHeight="1" s="192">
      <c r="W8770" s="231" t="n"/>
      <c r="X8770" s="231" t="n"/>
    </row>
    <row r="8771" ht="14.25" customHeight="1" s="192">
      <c r="W8771" s="235" t="n"/>
      <c r="X8771" s="235" t="n"/>
    </row>
    <row r="8772" ht="14.25" customHeight="1" s="192">
      <c r="W8772" s="228" t="n"/>
      <c r="X8772" s="228" t="n"/>
    </row>
    <row r="8773" ht="14.25" customHeight="1" s="192">
      <c r="W8773" s="235" t="n"/>
      <c r="X8773" s="235" t="n"/>
    </row>
    <row r="8774" ht="14.25" customHeight="1" s="192">
      <c r="W8774" s="235" t="n"/>
      <c r="X8774" s="235" t="n"/>
    </row>
    <row r="8775" ht="14.25" customHeight="1" s="192">
      <c r="W8775" s="235" t="n"/>
      <c r="X8775" s="235" t="n"/>
    </row>
    <row r="8776" ht="14.25" customHeight="1" s="192">
      <c r="W8776" s="239" t="n"/>
      <c r="X8776" s="239" t="n"/>
    </row>
    <row r="8777" ht="14.25" customHeight="1" s="192">
      <c r="W8777" s="239" t="n"/>
      <c r="X8777" s="239" t="n"/>
    </row>
    <row r="8778" ht="14.25" customHeight="1" s="192">
      <c r="W8778" s="239" t="n"/>
      <c r="X8778" s="239" t="n"/>
    </row>
    <row r="8779" ht="14.25" customHeight="1" s="192">
      <c r="W8779" s="235" t="n"/>
      <c r="X8779" s="235" t="n"/>
    </row>
    <row r="8780" ht="14.25" customHeight="1" s="192">
      <c r="W8780" s="235" t="n"/>
      <c r="X8780" s="235" t="n"/>
    </row>
    <row r="8781" ht="14.25" customHeight="1" s="192">
      <c r="W8781" s="235" t="n"/>
      <c r="X8781" s="235" t="n"/>
    </row>
    <row r="8782" ht="14.25" customHeight="1" s="192">
      <c r="W8782" s="239" t="n"/>
      <c r="X8782" s="239" t="n"/>
    </row>
    <row r="8783" ht="14.25" customHeight="1" s="192">
      <c r="W8783" s="239" t="n"/>
      <c r="X8783" s="239" t="n"/>
    </row>
    <row r="8784" ht="14.25" customHeight="1" s="192">
      <c r="W8784" s="235" t="n"/>
      <c r="X8784" s="235" t="n"/>
    </row>
    <row r="8785" ht="14.25" customHeight="1" s="192">
      <c r="W8785" s="235" t="n"/>
      <c r="X8785" s="235" t="n"/>
    </row>
    <row r="8786" ht="14.25" customHeight="1" s="192">
      <c r="W8786" s="239" t="n"/>
      <c r="X8786" s="239" t="n"/>
    </row>
    <row r="8787" ht="14.25" customHeight="1" s="192">
      <c r="W8787" s="235" t="n"/>
      <c r="X8787" s="235" t="n"/>
    </row>
    <row r="8788" ht="14.25" customHeight="1" s="192">
      <c r="W8788" s="239" t="n"/>
      <c r="X8788" s="239" t="n"/>
    </row>
    <row r="8790" ht="14.25" customHeight="1" s="192">
      <c r="W8790" s="235" t="n"/>
      <c r="X8790" s="235" t="n"/>
    </row>
    <row r="8791" ht="15" customHeight="1" s="192" thickBot="1">
      <c r="W8791" s="239" t="n"/>
      <c r="X8791" s="239" t="n"/>
    </row>
    <row r="8792" ht="15" customHeight="1" s="192" thickBot="1">
      <c r="W8792" s="45" t="n"/>
      <c r="X8792" s="45" t="n"/>
    </row>
    <row r="8793" ht="14.25" customHeight="1" s="192">
      <c r="W8793" s="228" t="n"/>
      <c r="X8793" s="228" t="n"/>
    </row>
    <row r="8794" ht="14.25" customHeight="1" s="192">
      <c r="W8794" s="228" t="n"/>
      <c r="X8794" s="228" t="n"/>
    </row>
    <row r="8795" ht="14.25" customHeight="1" s="192">
      <c r="W8795" s="231" t="n"/>
      <c r="X8795" s="231" t="n"/>
    </row>
    <row r="8796" ht="14.25" customHeight="1" s="192">
      <c r="W8796" s="33" t="n"/>
      <c r="X8796" s="33" t="n"/>
    </row>
    <row r="8797" ht="14.25" customHeight="1" s="192">
      <c r="W8797" s="231" t="n"/>
      <c r="X8797" s="231" t="n"/>
    </row>
    <row r="8798" ht="14.25" customHeight="1" s="192">
      <c r="W8798" s="33" t="n"/>
      <c r="X8798" s="33" t="n"/>
    </row>
    <row r="8800" ht="14.25" customHeight="1" s="192">
      <c r="W8800" s="231" t="n"/>
      <c r="X8800" s="231" t="n"/>
    </row>
    <row r="8801" ht="14.25" customHeight="1" s="192">
      <c r="W8801" s="235" t="n"/>
      <c r="X8801" s="235" t="n"/>
    </row>
    <row r="8802" ht="14.25" customHeight="1" s="192">
      <c r="W8802" s="228" t="n"/>
      <c r="X8802" s="228" t="n"/>
    </row>
    <row r="8803" ht="14.25" customHeight="1" s="192">
      <c r="W8803" s="235" t="n"/>
      <c r="X8803" s="235" t="n"/>
    </row>
    <row r="8804" ht="14.25" customHeight="1" s="192">
      <c r="W8804" s="235" t="n"/>
      <c r="X8804" s="235" t="n"/>
    </row>
    <row r="8805" ht="14.25" customHeight="1" s="192">
      <c r="W8805" s="235" t="n"/>
      <c r="X8805" s="235" t="n"/>
    </row>
    <row r="8806" ht="14.25" customHeight="1" s="192">
      <c r="W8806" s="239" t="n"/>
      <c r="X8806" s="239" t="n"/>
    </row>
    <row r="8807" ht="14.25" customHeight="1" s="192">
      <c r="W8807" s="239" t="n"/>
      <c r="X8807" s="239" t="n"/>
    </row>
    <row r="8808" ht="14.25" customHeight="1" s="192">
      <c r="W8808" s="239" t="n"/>
      <c r="X8808" s="239" t="n"/>
    </row>
    <row r="8809" ht="14.25" customHeight="1" s="192">
      <c r="W8809" s="235" t="n"/>
      <c r="X8809" s="235" t="n"/>
    </row>
    <row r="8810" ht="14.25" customHeight="1" s="192">
      <c r="W8810" s="235" t="n"/>
      <c r="X8810" s="235" t="n"/>
    </row>
    <row r="8811" ht="14.25" customHeight="1" s="192">
      <c r="W8811" s="235" t="n"/>
      <c r="X8811" s="235" t="n"/>
    </row>
    <row r="8812" ht="14.25" customHeight="1" s="192">
      <c r="W8812" s="239" t="n"/>
      <c r="X8812" s="239" t="n"/>
    </row>
    <row r="8813" ht="14.25" customHeight="1" s="192">
      <c r="W8813" s="239" t="n"/>
      <c r="X8813" s="239" t="n"/>
    </row>
    <row r="8814" ht="14.25" customHeight="1" s="192">
      <c r="W8814" s="235" t="n"/>
      <c r="X8814" s="235" t="n"/>
    </row>
    <row r="8815" ht="14.25" customHeight="1" s="192">
      <c r="W8815" s="235" t="n"/>
      <c r="X8815" s="235" t="n"/>
    </row>
    <row r="8816" ht="14.25" customHeight="1" s="192">
      <c r="W8816" s="239" t="n"/>
      <c r="X8816" s="239" t="n"/>
    </row>
    <row r="8817" ht="14.25" customHeight="1" s="192">
      <c r="W8817" s="235" t="n"/>
      <c r="X8817" s="235" t="n"/>
    </row>
    <row r="8818" ht="14.25" customHeight="1" s="192">
      <c r="W8818" s="239" t="n"/>
      <c r="X8818" s="239" t="n"/>
    </row>
    <row r="8820" ht="14.25" customHeight="1" s="192">
      <c r="W8820" s="235" t="n"/>
      <c r="X8820" s="235" t="n"/>
    </row>
    <row r="8821" ht="15" customHeight="1" s="192" thickBot="1">
      <c r="W8821" s="239" t="n"/>
      <c r="X8821" s="239" t="n"/>
    </row>
    <row r="8822" ht="15" customHeight="1" s="192" thickBot="1">
      <c r="W8822" s="45" t="n"/>
      <c r="X8822" s="45" t="n"/>
    </row>
    <row r="8823" ht="14.25" customHeight="1" s="192">
      <c r="W8823" s="228" t="n"/>
      <c r="X8823" s="228" t="n"/>
    </row>
    <row r="8824" ht="14.25" customHeight="1" s="192">
      <c r="W8824" s="228" t="n"/>
      <c r="X8824" s="228" t="n"/>
    </row>
    <row r="8825" ht="14.25" customHeight="1" s="192">
      <c r="W8825" s="231" t="n"/>
      <c r="X8825" s="231" t="n"/>
    </row>
    <row r="8826" ht="14.25" customHeight="1" s="192">
      <c r="W8826" s="33" t="n"/>
      <c r="X8826" s="33" t="n"/>
    </row>
    <row r="8827" ht="14.25" customHeight="1" s="192">
      <c r="W8827" s="231" t="n"/>
      <c r="X8827" s="231" t="n"/>
    </row>
    <row r="8828" ht="14.25" customHeight="1" s="192">
      <c r="W8828" s="33" t="n"/>
      <c r="X8828" s="33" t="n"/>
    </row>
    <row r="8830" ht="14.25" customHeight="1" s="192">
      <c r="W8830" s="231" t="n"/>
      <c r="X8830" s="231" t="n"/>
    </row>
    <row r="8831" ht="14.25" customHeight="1" s="192">
      <c r="W8831" s="235" t="n"/>
      <c r="X8831" s="235" t="n"/>
    </row>
    <row r="8832" ht="14.25" customHeight="1" s="192">
      <c r="W8832" s="228" t="n"/>
      <c r="X8832" s="228" t="n"/>
    </row>
    <row r="8833" ht="14.25" customHeight="1" s="192">
      <c r="W8833" s="235" t="n"/>
      <c r="X8833" s="235" t="n"/>
    </row>
    <row r="8834" ht="14.25" customHeight="1" s="192">
      <c r="W8834" s="235" t="n"/>
      <c r="X8834" s="235" t="n"/>
    </row>
    <row r="8835" ht="14.25" customHeight="1" s="192">
      <c r="W8835" s="235" t="n"/>
      <c r="X8835" s="235" t="n"/>
    </row>
    <row r="8836" ht="14.25" customHeight="1" s="192">
      <c r="W8836" s="239" t="n"/>
      <c r="X8836" s="239" t="n"/>
    </row>
    <row r="8837" ht="14.25" customHeight="1" s="192">
      <c r="W8837" s="239" t="n"/>
      <c r="X8837" s="239" t="n"/>
    </row>
    <row r="8838" ht="14.25" customHeight="1" s="192">
      <c r="W8838" s="239" t="n"/>
      <c r="X8838" s="239" t="n"/>
    </row>
    <row r="8839" ht="14.25" customHeight="1" s="192">
      <c r="W8839" s="235" t="n"/>
      <c r="X8839" s="235" t="n"/>
    </row>
    <row r="8840" ht="14.25" customHeight="1" s="192">
      <c r="W8840" s="235" t="n"/>
      <c r="X8840" s="235" t="n"/>
    </row>
    <row r="8841" ht="14.25" customHeight="1" s="192">
      <c r="W8841" s="235" t="n"/>
      <c r="X8841" s="235" t="n"/>
    </row>
    <row r="8842" ht="14.25" customHeight="1" s="192">
      <c r="W8842" s="239" t="n"/>
      <c r="X8842" s="239" t="n"/>
    </row>
    <row r="8843" ht="14.25" customHeight="1" s="192">
      <c r="W8843" s="239" t="n"/>
      <c r="X8843" s="239" t="n"/>
    </row>
    <row r="8844" ht="14.25" customHeight="1" s="192">
      <c r="W8844" s="235" t="n"/>
      <c r="X8844" s="235" t="n"/>
    </row>
    <row r="8845" ht="14.25" customHeight="1" s="192">
      <c r="W8845" s="235" t="n"/>
      <c r="X8845" s="235" t="n"/>
    </row>
    <row r="8846" ht="14.25" customHeight="1" s="192">
      <c r="W8846" s="239" t="n"/>
      <c r="X8846" s="239" t="n"/>
    </row>
    <row r="8847" ht="14.25" customHeight="1" s="192">
      <c r="W8847" s="235" t="n"/>
      <c r="X8847" s="235" t="n"/>
    </row>
    <row r="8848" ht="14.25" customHeight="1" s="192">
      <c r="W8848" s="239" t="n"/>
      <c r="X8848" s="239" t="n"/>
    </row>
    <row r="8850" ht="14.25" customHeight="1" s="192">
      <c r="W8850" s="235" t="n"/>
      <c r="X8850" s="235" t="n"/>
    </row>
    <row r="8851" ht="15" customHeight="1" s="192" thickBot="1">
      <c r="W8851" s="239" t="n"/>
      <c r="X8851" s="239" t="n"/>
    </row>
    <row r="8852" ht="15" customHeight="1" s="192" thickBot="1">
      <c r="W8852" s="45" t="n"/>
      <c r="X8852" s="45" t="n"/>
    </row>
    <row r="8853" ht="14.25" customHeight="1" s="192">
      <c r="W8853" s="228" t="n"/>
      <c r="X8853" s="228" t="n"/>
    </row>
    <row r="8854" ht="14.25" customHeight="1" s="192">
      <c r="W8854" s="228" t="n"/>
      <c r="X8854" s="228" t="n"/>
    </row>
    <row r="8855" ht="14.25" customHeight="1" s="192">
      <c r="W8855" s="231" t="n"/>
      <c r="X8855" s="231" t="n"/>
    </row>
    <row r="8856" ht="14.25" customHeight="1" s="192">
      <c r="W8856" s="33" t="n"/>
      <c r="X8856" s="33" t="n"/>
    </row>
    <row r="8857" ht="14.25" customHeight="1" s="192">
      <c r="W8857" s="231" t="n"/>
      <c r="X8857" s="231" t="n"/>
    </row>
    <row r="8858" ht="14.25" customHeight="1" s="192">
      <c r="W8858" s="33" t="n"/>
      <c r="X8858" s="33" t="n"/>
    </row>
    <row r="8860" ht="14.25" customHeight="1" s="192">
      <c r="W8860" s="231" t="n"/>
      <c r="X8860" s="231" t="n"/>
    </row>
    <row r="8861" ht="14.25" customHeight="1" s="192">
      <c r="W8861" s="235" t="n"/>
      <c r="X8861" s="235" t="n"/>
    </row>
    <row r="8862" ht="14.25" customHeight="1" s="192">
      <c r="W8862" s="228" t="n"/>
      <c r="X8862" s="228" t="n"/>
    </row>
    <row r="8863" ht="14.25" customHeight="1" s="192">
      <c r="W8863" s="235" t="n"/>
      <c r="X8863" s="235" t="n"/>
    </row>
    <row r="8864" ht="14.25" customHeight="1" s="192">
      <c r="W8864" s="235" t="n"/>
      <c r="X8864" s="235" t="n"/>
    </row>
    <row r="8865" ht="14.25" customHeight="1" s="192">
      <c r="W8865" s="235" t="n"/>
      <c r="X8865" s="235" t="n"/>
    </row>
    <row r="8866" ht="14.25" customHeight="1" s="192">
      <c r="W8866" s="239" t="n"/>
      <c r="X8866" s="239" t="n"/>
    </row>
    <row r="8867" ht="14.25" customHeight="1" s="192">
      <c r="W8867" s="239" t="n"/>
      <c r="X8867" s="239" t="n"/>
    </row>
    <row r="8868" ht="14.25" customHeight="1" s="192">
      <c r="W8868" s="239" t="n"/>
      <c r="X8868" s="239" t="n"/>
    </row>
    <row r="8869" ht="14.25" customHeight="1" s="192">
      <c r="W8869" s="235" t="n"/>
      <c r="X8869" s="235" t="n"/>
    </row>
    <row r="8870" ht="14.25" customHeight="1" s="192">
      <c r="W8870" s="235" t="n"/>
      <c r="X8870" s="235" t="n"/>
    </row>
    <row r="8871" ht="14.25" customHeight="1" s="192">
      <c r="W8871" s="235" t="n"/>
      <c r="X8871" s="235" t="n"/>
    </row>
    <row r="8872" ht="14.25" customHeight="1" s="192">
      <c r="W8872" s="239" t="n"/>
      <c r="X8872" s="239" t="n"/>
    </row>
    <row r="8873" ht="14.25" customHeight="1" s="192">
      <c r="W8873" s="239" t="n"/>
      <c r="X8873" s="239" t="n"/>
    </row>
    <row r="8874" ht="14.25" customHeight="1" s="192">
      <c r="W8874" s="235" t="n"/>
      <c r="X8874" s="235" t="n"/>
    </row>
    <row r="8875" ht="14.25" customHeight="1" s="192">
      <c r="W8875" s="235" t="n"/>
      <c r="X8875" s="235" t="n"/>
    </row>
    <row r="8876" ht="14.25" customHeight="1" s="192">
      <c r="W8876" s="239" t="n"/>
      <c r="X8876" s="239" t="n"/>
    </row>
    <row r="8877" ht="14.25" customHeight="1" s="192">
      <c r="W8877" s="235" t="n"/>
      <c r="X8877" s="235" t="n"/>
    </row>
    <row r="8878" ht="14.25" customHeight="1" s="192">
      <c r="W8878" s="239" t="n"/>
      <c r="X8878" s="239" t="n"/>
    </row>
    <row r="8880" ht="14.25" customHeight="1" s="192">
      <c r="W8880" s="235" t="n"/>
      <c r="X8880" s="235" t="n"/>
    </row>
    <row r="8881" ht="15" customHeight="1" s="192" thickBot="1">
      <c r="W8881" s="239" t="n"/>
      <c r="X8881" s="239" t="n"/>
    </row>
    <row r="8882" ht="15" customHeight="1" s="192" thickBot="1">
      <c r="W8882" s="45" t="n"/>
      <c r="X8882" s="45" t="n"/>
    </row>
    <row r="8883" ht="14.25" customHeight="1" s="192">
      <c r="W8883" s="228" t="n"/>
      <c r="X8883" s="228" t="n"/>
    </row>
    <row r="8884" ht="14.25" customHeight="1" s="192">
      <c r="W8884" s="228" t="n"/>
      <c r="X8884" s="228" t="n"/>
    </row>
    <row r="8885" ht="14.25" customHeight="1" s="192">
      <c r="W8885" s="231" t="n"/>
      <c r="X8885" s="231" t="n"/>
    </row>
    <row r="8886" ht="14.25" customHeight="1" s="192">
      <c r="W8886" s="33" t="n"/>
      <c r="X8886" s="33" t="n"/>
    </row>
    <row r="8887" ht="14.25" customHeight="1" s="192">
      <c r="W8887" s="231" t="n"/>
      <c r="X8887" s="231" t="n"/>
    </row>
    <row r="8888" ht="14.25" customHeight="1" s="192">
      <c r="W8888" s="33" t="n"/>
      <c r="X8888" s="33" t="n"/>
    </row>
    <row r="8890" ht="14.25" customHeight="1" s="192">
      <c r="W8890" s="231" t="n"/>
      <c r="X8890" s="231" t="n"/>
    </row>
    <row r="8891" ht="14.25" customHeight="1" s="192">
      <c r="W8891" s="235" t="n"/>
      <c r="X8891" s="235" t="n"/>
    </row>
    <row r="8892" ht="14.25" customHeight="1" s="192">
      <c r="W8892" s="228" t="n"/>
      <c r="X8892" s="228" t="n"/>
    </row>
    <row r="8893" ht="14.25" customHeight="1" s="192">
      <c r="W8893" s="235" t="n"/>
      <c r="X8893" s="235" t="n"/>
    </row>
    <row r="8894" ht="14.25" customHeight="1" s="192">
      <c r="W8894" s="235" t="n"/>
      <c r="X8894" s="235" t="n"/>
    </row>
    <row r="8895" ht="14.25" customHeight="1" s="192">
      <c r="W8895" s="235" t="n"/>
      <c r="X8895" s="235" t="n"/>
    </row>
    <row r="8896" ht="14.25" customHeight="1" s="192">
      <c r="W8896" s="239" t="n"/>
      <c r="X8896" s="239" t="n"/>
    </row>
    <row r="8897" ht="14.25" customHeight="1" s="192">
      <c r="W8897" s="239" t="n"/>
      <c r="X8897" s="239" t="n"/>
    </row>
    <row r="8898" ht="14.25" customHeight="1" s="192">
      <c r="W8898" s="239" t="n"/>
      <c r="X8898" s="239" t="n"/>
    </row>
    <row r="8899" ht="14.25" customHeight="1" s="192">
      <c r="W8899" s="235" t="n"/>
      <c r="X8899" s="235" t="n"/>
    </row>
    <row r="8900" ht="14.25" customHeight="1" s="192">
      <c r="W8900" s="235" t="n"/>
      <c r="X8900" s="235" t="n"/>
    </row>
    <row r="8901" ht="14.25" customHeight="1" s="192">
      <c r="W8901" s="235" t="n"/>
      <c r="X8901" s="235" t="n"/>
    </row>
    <row r="8902" ht="14.25" customHeight="1" s="192">
      <c r="W8902" s="239" t="n"/>
      <c r="X8902" s="239" t="n"/>
    </row>
    <row r="8903" ht="14.25" customHeight="1" s="192">
      <c r="W8903" s="239" t="n"/>
      <c r="X8903" s="239" t="n"/>
    </row>
    <row r="8904" ht="14.25" customHeight="1" s="192">
      <c r="W8904" s="235" t="n"/>
      <c r="X8904" s="235" t="n"/>
    </row>
    <row r="8905" ht="14.25" customHeight="1" s="192">
      <c r="W8905" s="235" t="n"/>
      <c r="X8905" s="235" t="n"/>
    </row>
    <row r="8906" ht="14.25" customHeight="1" s="192">
      <c r="W8906" s="239" t="n"/>
      <c r="X8906" s="239" t="n"/>
    </row>
    <row r="8907" ht="14.25" customHeight="1" s="192">
      <c r="W8907" s="235" t="n"/>
      <c r="X8907" s="235" t="n"/>
    </row>
    <row r="8908" ht="14.25" customHeight="1" s="192">
      <c r="W8908" s="239" t="n"/>
      <c r="X8908" s="239" t="n"/>
    </row>
    <row r="8910" ht="14.25" customHeight="1" s="192">
      <c r="W8910" s="235" t="n"/>
      <c r="X8910" s="235" t="n"/>
    </row>
    <row r="8911" ht="15" customHeight="1" s="192" thickBot="1">
      <c r="W8911" s="239" t="n"/>
      <c r="X8911" s="239" t="n"/>
    </row>
    <row r="8912" ht="15" customHeight="1" s="192" thickBot="1">
      <c r="W8912" s="45" t="n"/>
      <c r="X8912" s="45" t="n"/>
    </row>
    <row r="8913" ht="14.25" customHeight="1" s="192">
      <c r="W8913" s="228" t="n"/>
      <c r="X8913" s="228" t="n"/>
    </row>
    <row r="8914" ht="14.25" customHeight="1" s="192">
      <c r="W8914" s="228" t="n"/>
      <c r="X8914" s="228" t="n"/>
    </row>
    <row r="8915" ht="14.25" customHeight="1" s="192">
      <c r="W8915" s="231" t="n"/>
      <c r="X8915" s="231" t="n"/>
    </row>
    <row r="8916" ht="14.25" customHeight="1" s="192">
      <c r="W8916" s="33" t="n"/>
      <c r="X8916" s="33" t="n"/>
    </row>
    <row r="8917" ht="14.25" customHeight="1" s="192">
      <c r="W8917" s="231" t="n"/>
      <c r="X8917" s="231" t="n"/>
    </row>
    <row r="8918" ht="14.25" customHeight="1" s="192">
      <c r="W8918" s="33" t="n"/>
      <c r="X8918" s="33" t="n"/>
    </row>
    <row r="8920" ht="14.25" customHeight="1" s="192">
      <c r="W8920" s="231" t="n"/>
      <c r="X8920" s="231" t="n"/>
    </row>
    <row r="8921" ht="14.25" customHeight="1" s="192">
      <c r="W8921" s="235" t="n"/>
      <c r="X8921" s="235" t="n"/>
    </row>
    <row r="8922" ht="14.25" customHeight="1" s="192">
      <c r="W8922" s="228" t="n"/>
      <c r="X8922" s="228" t="n"/>
    </row>
    <row r="8923" ht="14.25" customHeight="1" s="192">
      <c r="W8923" s="235" t="n"/>
      <c r="X8923" s="235" t="n"/>
    </row>
    <row r="8924" ht="14.25" customHeight="1" s="192">
      <c r="W8924" s="235" t="n"/>
      <c r="X8924" s="235" t="n"/>
    </row>
    <row r="8925" ht="14.25" customHeight="1" s="192">
      <c r="W8925" s="235" t="n"/>
      <c r="X8925" s="235" t="n"/>
    </row>
    <row r="8926" ht="14.25" customHeight="1" s="192">
      <c r="W8926" s="239" t="n"/>
      <c r="X8926" s="239" t="n"/>
    </row>
    <row r="8927" ht="14.25" customHeight="1" s="192">
      <c r="W8927" s="239" t="n"/>
      <c r="X8927" s="239" t="n"/>
    </row>
    <row r="8928" ht="14.25" customHeight="1" s="192">
      <c r="W8928" s="239" t="n"/>
      <c r="X8928" s="239" t="n"/>
    </row>
    <row r="8929" ht="14.25" customHeight="1" s="192">
      <c r="W8929" s="235" t="n"/>
      <c r="X8929" s="235" t="n"/>
    </row>
    <row r="8930" ht="14.25" customHeight="1" s="192">
      <c r="W8930" s="235" t="n"/>
      <c r="X8930" s="235" t="n"/>
    </row>
    <row r="8931" ht="14.25" customHeight="1" s="192">
      <c r="W8931" s="235" t="n"/>
      <c r="X8931" s="235" t="n"/>
    </row>
    <row r="8932" ht="14.25" customHeight="1" s="192">
      <c r="W8932" s="239" t="n"/>
      <c r="X8932" s="239" t="n"/>
    </row>
    <row r="8933" ht="14.25" customHeight="1" s="192">
      <c r="W8933" s="239" t="n"/>
      <c r="X8933" s="239" t="n"/>
    </row>
    <row r="8934" ht="14.25" customHeight="1" s="192">
      <c r="W8934" s="235" t="n"/>
      <c r="X8934" s="235" t="n"/>
    </row>
    <row r="8935" ht="14.25" customHeight="1" s="192">
      <c r="W8935" s="235" t="n"/>
      <c r="X8935" s="235" t="n"/>
    </row>
    <row r="8936" ht="14.25" customHeight="1" s="192">
      <c r="W8936" s="239" t="n"/>
      <c r="X8936" s="239" t="n"/>
    </row>
    <row r="8937" ht="14.25" customHeight="1" s="192">
      <c r="W8937" s="235" t="n"/>
      <c r="X8937" s="235" t="n"/>
    </row>
    <row r="8938" ht="14.25" customHeight="1" s="192">
      <c r="W8938" s="239" t="n"/>
      <c r="X8938" s="239" t="n"/>
    </row>
    <row r="8940" ht="14.25" customHeight="1" s="192">
      <c r="W8940" s="235" t="n"/>
      <c r="X8940" s="235" t="n"/>
    </row>
    <row r="8941" ht="15" customHeight="1" s="192" thickBot="1">
      <c r="W8941" s="239" t="n"/>
      <c r="X8941" s="239" t="n"/>
    </row>
    <row r="8942" ht="15" customHeight="1" s="192" thickBot="1">
      <c r="W8942" s="45" t="n"/>
      <c r="X8942" s="45" t="n"/>
    </row>
    <row r="8943" ht="14.25" customHeight="1" s="192">
      <c r="W8943" s="228" t="n"/>
      <c r="X8943" s="228" t="n"/>
    </row>
    <row r="8944" ht="14.25" customHeight="1" s="192">
      <c r="W8944" s="228" t="n"/>
      <c r="X8944" s="228" t="n"/>
    </row>
    <row r="8945" ht="14.25" customHeight="1" s="192">
      <c r="W8945" s="231" t="n"/>
      <c r="X8945" s="231" t="n"/>
    </row>
    <row r="8946" ht="14.25" customHeight="1" s="192">
      <c r="W8946" s="33" t="n"/>
      <c r="X8946" s="33" t="n"/>
    </row>
    <row r="8947" ht="14.25" customHeight="1" s="192">
      <c r="W8947" s="231" t="n"/>
      <c r="X8947" s="231" t="n"/>
    </row>
    <row r="8948" ht="14.25" customHeight="1" s="192">
      <c r="W8948" s="33" t="n"/>
      <c r="X8948" s="33" t="n"/>
    </row>
    <row r="8950" ht="14.25" customHeight="1" s="192">
      <c r="W8950" s="231" t="n"/>
      <c r="X8950" s="231" t="n"/>
    </row>
    <row r="8951" ht="14.25" customHeight="1" s="192">
      <c r="W8951" s="235" t="n"/>
      <c r="X8951" s="235" t="n"/>
    </row>
    <row r="8952" ht="14.25" customHeight="1" s="192">
      <c r="W8952" s="228" t="n"/>
      <c r="X8952" s="228" t="n"/>
    </row>
    <row r="8953" ht="14.25" customHeight="1" s="192">
      <c r="W8953" s="235" t="n"/>
      <c r="X8953" s="235" t="n"/>
    </row>
    <row r="8954" ht="14.25" customHeight="1" s="192">
      <c r="W8954" s="235" t="n"/>
      <c r="X8954" s="235" t="n"/>
    </row>
    <row r="8955" ht="14.25" customHeight="1" s="192">
      <c r="W8955" s="235" t="n"/>
      <c r="X8955" s="235" t="n"/>
    </row>
    <row r="8956" ht="14.25" customHeight="1" s="192">
      <c r="W8956" s="239" t="n"/>
      <c r="X8956" s="239" t="n"/>
    </row>
    <row r="8957" ht="14.25" customHeight="1" s="192">
      <c r="W8957" s="239" t="n"/>
      <c r="X8957" s="239" t="n"/>
    </row>
    <row r="8958" ht="14.25" customHeight="1" s="192">
      <c r="W8958" s="239" t="n"/>
      <c r="X8958" s="239" t="n"/>
    </row>
    <row r="8959" ht="14.25" customHeight="1" s="192">
      <c r="W8959" s="235" t="n"/>
      <c r="X8959" s="235" t="n"/>
    </row>
    <row r="8960" ht="14.25" customHeight="1" s="192">
      <c r="W8960" s="235" t="n"/>
      <c r="X8960" s="235" t="n"/>
    </row>
    <row r="8961" ht="14.25" customHeight="1" s="192">
      <c r="W8961" s="235" t="n"/>
      <c r="X8961" s="235" t="n"/>
    </row>
    <row r="8962" ht="14.25" customHeight="1" s="192">
      <c r="W8962" s="239" t="n"/>
      <c r="X8962" s="239" t="n"/>
    </row>
    <row r="8963" ht="14.25" customHeight="1" s="192">
      <c r="W8963" s="239" t="n"/>
      <c r="X8963" s="239" t="n"/>
    </row>
    <row r="8964" ht="14.25" customHeight="1" s="192">
      <c r="W8964" s="235" t="n"/>
      <c r="X8964" s="235" t="n"/>
    </row>
    <row r="8965" ht="14.25" customHeight="1" s="192">
      <c r="W8965" s="235" t="n"/>
      <c r="X8965" s="235" t="n"/>
    </row>
    <row r="8966" ht="14.25" customHeight="1" s="192">
      <c r="W8966" s="239" t="n"/>
      <c r="X8966" s="239" t="n"/>
    </row>
    <row r="8967" ht="14.25" customHeight="1" s="192">
      <c r="W8967" s="235" t="n"/>
      <c r="X8967" s="235" t="n"/>
    </row>
    <row r="8968" ht="14.25" customHeight="1" s="192">
      <c r="W8968" s="239" t="n"/>
      <c r="X8968" s="239" t="n"/>
    </row>
    <row r="8970" ht="14.25" customHeight="1" s="192">
      <c r="W8970" s="235" t="n"/>
      <c r="X8970" s="235" t="n"/>
    </row>
    <row r="8971" ht="15" customHeight="1" s="192" thickBot="1">
      <c r="W8971" s="239" t="n"/>
      <c r="X8971" s="239" t="n"/>
    </row>
    <row r="8972" ht="15" customHeight="1" s="192" thickBot="1">
      <c r="W8972" s="45" t="n"/>
      <c r="X8972" s="45" t="n"/>
    </row>
    <row r="8973" ht="14.25" customHeight="1" s="192">
      <c r="W8973" s="228" t="n"/>
      <c r="X8973" s="228" t="n"/>
    </row>
    <row r="8974" ht="14.25" customHeight="1" s="192">
      <c r="W8974" s="228" t="n"/>
      <c r="X8974" s="228" t="n"/>
    </row>
    <row r="8975" ht="14.25" customHeight="1" s="192">
      <c r="W8975" s="231" t="n"/>
      <c r="X8975" s="231" t="n"/>
    </row>
    <row r="8976" ht="14.25" customHeight="1" s="192">
      <c r="W8976" s="33" t="n"/>
      <c r="X8976" s="33" t="n"/>
    </row>
    <row r="8977" ht="14.25" customHeight="1" s="192">
      <c r="W8977" s="231" t="n"/>
      <c r="X8977" s="231" t="n"/>
    </row>
    <row r="8978" ht="14.25" customHeight="1" s="192">
      <c r="W8978" s="33" t="n"/>
      <c r="X8978" s="33" t="n"/>
    </row>
    <row r="8980" ht="14.25" customHeight="1" s="192">
      <c r="W8980" s="231" t="n"/>
      <c r="X8980" s="231" t="n"/>
    </row>
    <row r="8981" ht="14.25" customHeight="1" s="192">
      <c r="W8981" s="235" t="n"/>
      <c r="X8981" s="235" t="n"/>
    </row>
    <row r="8982" ht="14.25" customHeight="1" s="192">
      <c r="W8982" s="228" t="n"/>
      <c r="X8982" s="228" t="n"/>
    </row>
    <row r="8983" ht="14.25" customHeight="1" s="192">
      <c r="W8983" s="235" t="n"/>
      <c r="X8983" s="235" t="n"/>
    </row>
    <row r="8984" ht="14.25" customHeight="1" s="192">
      <c r="W8984" s="235" t="n"/>
      <c r="X8984" s="235" t="n"/>
    </row>
    <row r="8985" ht="14.25" customHeight="1" s="192">
      <c r="W8985" s="235" t="n"/>
      <c r="X8985" s="235" t="n"/>
    </row>
    <row r="8986" ht="14.25" customHeight="1" s="192">
      <c r="W8986" s="239" t="n"/>
      <c r="X8986" s="239" t="n"/>
    </row>
    <row r="8987" ht="14.25" customHeight="1" s="192">
      <c r="W8987" s="239" t="n"/>
      <c r="X8987" s="239" t="n"/>
    </row>
    <row r="8988" ht="14.25" customHeight="1" s="192">
      <c r="W8988" s="239" t="n"/>
      <c r="X8988" s="239" t="n"/>
    </row>
    <row r="8989" ht="14.25" customHeight="1" s="192">
      <c r="W8989" s="235" t="n"/>
      <c r="X8989" s="235" t="n"/>
    </row>
    <row r="8990" ht="14.25" customHeight="1" s="192">
      <c r="W8990" s="235" t="n"/>
      <c r="X8990" s="235" t="n"/>
    </row>
    <row r="8991" ht="14.25" customHeight="1" s="192">
      <c r="W8991" s="235" t="n"/>
      <c r="X8991" s="235" t="n"/>
    </row>
    <row r="8992" ht="14.25" customHeight="1" s="192">
      <c r="W8992" s="239" t="n"/>
      <c r="X8992" s="239" t="n"/>
    </row>
    <row r="8993" ht="14.25" customHeight="1" s="192">
      <c r="W8993" s="239" t="n"/>
      <c r="X8993" s="239" t="n"/>
    </row>
    <row r="8994" ht="14.25" customHeight="1" s="192">
      <c r="W8994" s="235" t="n"/>
      <c r="X8994" s="235" t="n"/>
    </row>
    <row r="8995" ht="14.25" customHeight="1" s="192">
      <c r="W8995" s="235" t="n"/>
      <c r="X8995" s="235" t="n"/>
    </row>
    <row r="8996" ht="14.25" customHeight="1" s="192">
      <c r="W8996" s="239" t="n"/>
      <c r="X8996" s="239" t="n"/>
    </row>
    <row r="8997" ht="14.25" customHeight="1" s="192">
      <c r="W8997" s="235" t="n"/>
      <c r="X8997" s="235" t="n"/>
    </row>
    <row r="8998" ht="14.25" customHeight="1" s="192">
      <c r="W8998" s="239" t="n"/>
      <c r="X8998" s="239" t="n"/>
    </row>
    <row r="9000" ht="14.25" customHeight="1" s="192">
      <c r="W9000" s="235" t="n"/>
      <c r="X9000" s="235" t="n"/>
    </row>
    <row r="9001" ht="15" customHeight="1" s="192" thickBot="1">
      <c r="W9001" s="239" t="n"/>
      <c r="X9001" s="239" t="n"/>
    </row>
    <row r="9002" ht="15" customHeight="1" s="192" thickBot="1">
      <c r="W9002" s="45" t="n"/>
      <c r="X9002" s="45" t="n"/>
    </row>
    <row r="9003" ht="14.25" customHeight="1" s="192">
      <c r="W9003" s="228" t="n"/>
      <c r="X9003" s="228" t="n"/>
    </row>
    <row r="9004" ht="14.25" customHeight="1" s="192">
      <c r="W9004" s="228" t="n"/>
      <c r="X9004" s="228" t="n"/>
    </row>
    <row r="9005" ht="14.25" customHeight="1" s="192">
      <c r="W9005" s="231" t="n"/>
      <c r="X9005" s="231" t="n"/>
    </row>
    <row r="9006" ht="14.25" customHeight="1" s="192">
      <c r="W9006" s="33" t="n"/>
      <c r="X9006" s="33" t="n"/>
    </row>
    <row r="9007" ht="14.25" customHeight="1" s="192">
      <c r="W9007" s="231" t="n"/>
      <c r="X9007" s="231" t="n"/>
    </row>
    <row r="9008" ht="14.25" customHeight="1" s="192">
      <c r="W9008" s="33" t="n"/>
      <c r="X9008" s="33" t="n"/>
    </row>
    <row r="9010" ht="14.25" customHeight="1" s="192">
      <c r="W9010" s="231" t="n"/>
      <c r="X9010" s="231" t="n"/>
    </row>
    <row r="9011" ht="14.25" customHeight="1" s="192">
      <c r="W9011" s="235" t="n"/>
      <c r="X9011" s="235" t="n"/>
    </row>
    <row r="9012" ht="14.25" customHeight="1" s="192">
      <c r="W9012" s="228" t="n"/>
      <c r="X9012" s="228" t="n"/>
    </row>
    <row r="9013" ht="14.25" customHeight="1" s="192">
      <c r="W9013" s="235" t="n"/>
      <c r="X9013" s="235" t="n"/>
    </row>
    <row r="9014" ht="14.25" customHeight="1" s="192">
      <c r="W9014" s="235" t="n"/>
      <c r="X9014" s="235" t="n"/>
    </row>
    <row r="9015" ht="14.25" customHeight="1" s="192">
      <c r="W9015" s="235" t="n"/>
      <c r="X9015" s="235" t="n"/>
    </row>
    <row r="9016" ht="14.25" customHeight="1" s="192">
      <c r="W9016" s="239" t="n"/>
      <c r="X9016" s="239" t="n"/>
    </row>
    <row r="9017" ht="14.25" customHeight="1" s="192">
      <c r="W9017" s="239" t="n"/>
      <c r="X9017" s="239" t="n"/>
    </row>
    <row r="9018" ht="14.25" customHeight="1" s="192">
      <c r="W9018" s="239" t="n"/>
      <c r="X9018" s="239" t="n"/>
    </row>
    <row r="9019" ht="14.25" customHeight="1" s="192">
      <c r="W9019" s="235" t="n"/>
      <c r="X9019" s="235" t="n"/>
    </row>
    <row r="9020" ht="14.25" customHeight="1" s="192">
      <c r="W9020" s="235" t="n"/>
      <c r="X9020" s="235" t="n"/>
    </row>
    <row r="9021" ht="14.25" customHeight="1" s="192">
      <c r="W9021" s="235" t="n"/>
      <c r="X9021" s="235" t="n"/>
    </row>
    <row r="9022" ht="14.25" customHeight="1" s="192">
      <c r="W9022" s="239" t="n"/>
      <c r="X9022" s="239" t="n"/>
    </row>
    <row r="9023" ht="14.25" customHeight="1" s="192">
      <c r="W9023" s="239" t="n"/>
      <c r="X9023" s="239" t="n"/>
    </row>
    <row r="9024" ht="14.25" customHeight="1" s="192">
      <c r="W9024" s="235" t="n"/>
      <c r="X9024" s="235" t="n"/>
    </row>
    <row r="9025" ht="14.25" customHeight="1" s="192">
      <c r="W9025" s="235" t="n"/>
      <c r="X9025" s="235" t="n"/>
    </row>
    <row r="9026" ht="14.25" customHeight="1" s="192">
      <c r="W9026" s="239" t="n"/>
      <c r="X9026" s="239" t="n"/>
    </row>
    <row r="9027" ht="14.25" customHeight="1" s="192">
      <c r="W9027" s="235" t="n"/>
      <c r="X9027" s="235" t="n"/>
    </row>
    <row r="9028" ht="14.25" customHeight="1" s="192">
      <c r="W9028" s="239" t="n"/>
      <c r="X9028" s="239" t="n"/>
    </row>
    <row r="9030" ht="14.25" customHeight="1" s="192">
      <c r="W9030" s="235" t="n"/>
      <c r="X9030" s="235" t="n"/>
    </row>
    <row r="9031" ht="15" customHeight="1" s="192" thickBot="1">
      <c r="W9031" s="239" t="n"/>
      <c r="X9031" s="239" t="n"/>
    </row>
    <row r="9032" ht="15" customHeight="1" s="192" thickBot="1">
      <c r="W9032" s="45" t="n"/>
      <c r="X9032" s="45" t="n"/>
    </row>
    <row r="9033" ht="14.25" customHeight="1" s="192">
      <c r="W9033" s="228" t="n"/>
      <c r="X9033" s="228" t="n"/>
    </row>
    <row r="9034" ht="14.25" customHeight="1" s="192">
      <c r="W9034" s="228" t="n"/>
      <c r="X9034" s="228" t="n"/>
    </row>
    <row r="9035" ht="14.25" customHeight="1" s="192">
      <c r="W9035" s="231" t="n"/>
      <c r="X9035" s="231" t="n"/>
    </row>
    <row r="9036" ht="14.25" customHeight="1" s="192">
      <c r="W9036" s="33" t="n"/>
      <c r="X9036" s="33" t="n"/>
    </row>
    <row r="9037" ht="14.25" customHeight="1" s="192">
      <c r="W9037" s="231" t="n"/>
      <c r="X9037" s="231" t="n"/>
    </row>
    <row r="9038" ht="14.25" customHeight="1" s="192">
      <c r="W9038" s="33" t="n"/>
      <c r="X9038" s="33" t="n"/>
    </row>
    <row r="9040" ht="14.25" customHeight="1" s="192">
      <c r="W9040" s="231" t="n"/>
      <c r="X9040" s="231" t="n"/>
    </row>
    <row r="9041" ht="14.25" customHeight="1" s="192">
      <c r="W9041" s="235" t="n"/>
      <c r="X9041" s="235" t="n"/>
    </row>
    <row r="9042" ht="14.25" customHeight="1" s="192">
      <c r="W9042" s="228" t="n"/>
      <c r="X9042" s="228" t="n"/>
    </row>
    <row r="9043" ht="14.25" customHeight="1" s="192">
      <c r="W9043" s="235" t="n"/>
      <c r="X9043" s="235" t="n"/>
    </row>
    <row r="9044" ht="14.25" customHeight="1" s="192">
      <c r="W9044" s="235" t="n"/>
      <c r="X9044" s="235" t="n"/>
    </row>
    <row r="9045" ht="14.25" customHeight="1" s="192">
      <c r="W9045" s="235" t="n"/>
      <c r="X9045" s="235" t="n"/>
    </row>
    <row r="9046" ht="14.25" customHeight="1" s="192">
      <c r="W9046" s="239" t="n"/>
      <c r="X9046" s="239" t="n"/>
    </row>
    <row r="9047" ht="14.25" customHeight="1" s="192">
      <c r="W9047" s="239" t="n"/>
      <c r="X9047" s="239" t="n"/>
    </row>
    <row r="9048" ht="14.25" customHeight="1" s="192">
      <c r="W9048" s="239" t="n"/>
      <c r="X9048" s="239" t="n"/>
    </row>
    <row r="9049" ht="14.25" customHeight="1" s="192">
      <c r="W9049" s="235" t="n"/>
      <c r="X9049" s="235" t="n"/>
    </row>
    <row r="9050" ht="14.25" customHeight="1" s="192">
      <c r="W9050" s="235" t="n"/>
      <c r="X9050" s="235" t="n"/>
    </row>
    <row r="9051" ht="14.25" customHeight="1" s="192">
      <c r="W9051" s="235" t="n"/>
      <c r="X9051" s="235" t="n"/>
    </row>
    <row r="9052" ht="14.25" customHeight="1" s="192">
      <c r="W9052" s="239" t="n"/>
      <c r="X9052" s="239" t="n"/>
    </row>
    <row r="9053" ht="14.25" customHeight="1" s="192">
      <c r="W9053" s="239" t="n"/>
      <c r="X9053" s="239" t="n"/>
    </row>
    <row r="9054" ht="14.25" customHeight="1" s="192">
      <c r="W9054" s="235" t="n"/>
      <c r="X9054" s="235" t="n"/>
    </row>
    <row r="9055" ht="14.25" customHeight="1" s="192">
      <c r="W9055" s="235" t="n"/>
      <c r="X9055" s="235" t="n"/>
    </row>
    <row r="9056" ht="14.25" customHeight="1" s="192">
      <c r="W9056" s="239" t="n"/>
      <c r="X9056" s="239" t="n"/>
    </row>
    <row r="9057" ht="14.25" customHeight="1" s="192">
      <c r="W9057" s="235" t="n"/>
      <c r="X9057" s="235" t="n"/>
    </row>
    <row r="9058" ht="14.25" customHeight="1" s="192">
      <c r="W9058" s="239" t="n"/>
      <c r="X9058" s="239" t="n"/>
    </row>
    <row r="9060" ht="14.25" customHeight="1" s="192">
      <c r="W9060" s="235" t="n"/>
      <c r="X9060" s="235" t="n"/>
    </row>
    <row r="9061" ht="15" customHeight="1" s="192" thickBot="1">
      <c r="W9061" s="239" t="n"/>
      <c r="X9061" s="239" t="n"/>
    </row>
    <row r="9062" ht="15" customHeight="1" s="192" thickBot="1">
      <c r="W9062" s="45" t="n"/>
      <c r="X9062" s="45" t="n"/>
    </row>
    <row r="9063" ht="14.25" customHeight="1" s="192">
      <c r="W9063" s="228" t="n"/>
      <c r="X9063" s="228" t="n"/>
    </row>
    <row r="9064" ht="14.25" customHeight="1" s="192">
      <c r="W9064" s="228" t="n"/>
      <c r="X9064" s="228" t="n"/>
    </row>
    <row r="9065" ht="14.25" customHeight="1" s="192">
      <c r="W9065" s="231" t="n"/>
      <c r="X9065" s="231" t="n"/>
    </row>
    <row r="9066" ht="14.25" customHeight="1" s="192">
      <c r="W9066" s="33" t="n"/>
      <c r="X9066" s="33" t="n"/>
    </row>
    <row r="9067" ht="14.25" customHeight="1" s="192">
      <c r="W9067" s="231" t="n"/>
      <c r="X9067" s="231" t="n"/>
    </row>
    <row r="9068" ht="14.25" customHeight="1" s="192">
      <c r="W9068" s="33" t="n"/>
      <c r="X9068" s="33" t="n"/>
    </row>
    <row r="9070" ht="14.25" customHeight="1" s="192">
      <c r="W9070" s="231" t="n"/>
      <c r="X9070" s="231" t="n"/>
    </row>
    <row r="9071" ht="14.25" customHeight="1" s="192">
      <c r="W9071" s="235" t="n"/>
      <c r="X9071" s="235" t="n"/>
    </row>
    <row r="9072" ht="14.25" customHeight="1" s="192">
      <c r="W9072" s="228" t="n"/>
      <c r="X9072" s="228" t="n"/>
    </row>
    <row r="9073" ht="14.25" customHeight="1" s="192">
      <c r="W9073" s="235" t="n"/>
      <c r="X9073" s="235" t="n"/>
    </row>
    <row r="9074" ht="14.25" customHeight="1" s="192">
      <c r="W9074" s="235" t="n"/>
      <c r="X9074" s="235" t="n"/>
    </row>
    <row r="9075" ht="14.25" customHeight="1" s="192">
      <c r="W9075" s="235" t="n"/>
      <c r="X9075" s="235" t="n"/>
    </row>
    <row r="9076" ht="14.25" customHeight="1" s="192">
      <c r="W9076" s="239" t="n"/>
      <c r="X9076" s="239" t="n"/>
    </row>
    <row r="9077" ht="14.25" customHeight="1" s="192">
      <c r="W9077" s="239" t="n"/>
      <c r="X9077" s="239" t="n"/>
    </row>
    <row r="9078" ht="14.25" customHeight="1" s="192">
      <c r="W9078" s="239" t="n"/>
      <c r="X9078" s="239" t="n"/>
    </row>
    <row r="9079" ht="14.25" customHeight="1" s="192">
      <c r="W9079" s="235" t="n"/>
      <c r="X9079" s="235" t="n"/>
    </row>
    <row r="9080" ht="14.25" customHeight="1" s="192">
      <c r="W9080" s="235" t="n"/>
      <c r="X9080" s="235" t="n"/>
    </row>
    <row r="9081" ht="14.25" customHeight="1" s="192">
      <c r="W9081" s="235" t="n"/>
      <c r="X9081" s="235" t="n"/>
    </row>
    <row r="9082" ht="14.25" customHeight="1" s="192">
      <c r="W9082" s="239" t="n"/>
      <c r="X9082" s="239" t="n"/>
    </row>
    <row r="9083" ht="14.25" customHeight="1" s="192">
      <c r="W9083" s="239" t="n"/>
      <c r="X9083" s="239" t="n"/>
    </row>
    <row r="9084" ht="14.25" customHeight="1" s="192">
      <c r="W9084" s="235" t="n"/>
      <c r="X9084" s="235" t="n"/>
    </row>
    <row r="9085" ht="14.25" customHeight="1" s="192">
      <c r="W9085" s="235" t="n"/>
      <c r="X9085" s="235" t="n"/>
    </row>
    <row r="9086" ht="14.25" customHeight="1" s="192">
      <c r="W9086" s="239" t="n"/>
      <c r="X9086" s="239" t="n"/>
    </row>
    <row r="9087" ht="14.25" customHeight="1" s="192">
      <c r="W9087" s="235" t="n"/>
      <c r="X9087" s="235" t="n"/>
    </row>
    <row r="9088" ht="14.25" customHeight="1" s="192">
      <c r="W9088" s="239" t="n"/>
      <c r="X9088" s="239" t="n"/>
    </row>
    <row r="9090" ht="14.25" customHeight="1" s="192">
      <c r="W9090" s="235" t="n"/>
      <c r="X9090" s="235" t="n"/>
    </row>
    <row r="9091" ht="15" customHeight="1" s="192" thickBot="1">
      <c r="W9091" s="239" t="n"/>
      <c r="X9091" s="239" t="n"/>
    </row>
    <row r="9092" ht="15" customHeight="1" s="192" thickBot="1">
      <c r="W9092" s="45" t="n"/>
      <c r="X9092" s="45" t="n"/>
    </row>
    <row r="9093" ht="14.25" customHeight="1" s="192">
      <c r="W9093" s="228" t="n"/>
      <c r="X9093" s="228" t="n"/>
    </row>
    <row r="9094" ht="14.25" customHeight="1" s="192">
      <c r="W9094" s="228" t="n"/>
      <c r="X9094" s="228" t="n"/>
    </row>
    <row r="9095" ht="14.25" customHeight="1" s="192">
      <c r="W9095" s="231" t="n"/>
      <c r="X9095" s="231" t="n"/>
    </row>
    <row r="9096" ht="14.25" customHeight="1" s="192">
      <c r="W9096" s="33" t="n"/>
      <c r="X9096" s="33" t="n"/>
    </row>
    <row r="9097" ht="14.25" customHeight="1" s="192">
      <c r="W9097" s="231" t="n"/>
      <c r="X9097" s="231" t="n"/>
    </row>
    <row r="9098" ht="14.25" customHeight="1" s="192">
      <c r="W9098" s="33" t="n"/>
      <c r="X9098" s="33" t="n"/>
    </row>
    <row r="9100" ht="14.25" customHeight="1" s="192">
      <c r="W9100" s="231" t="n"/>
      <c r="X9100" s="231" t="n"/>
    </row>
    <row r="9101" ht="14.25" customHeight="1" s="192">
      <c r="W9101" s="235" t="n"/>
      <c r="X9101" s="235" t="n"/>
    </row>
    <row r="9102" ht="14.25" customHeight="1" s="192">
      <c r="W9102" s="228" t="n"/>
      <c r="X9102" s="228" t="n"/>
    </row>
    <row r="9103" ht="14.25" customHeight="1" s="192">
      <c r="W9103" s="235" t="n"/>
      <c r="X9103" s="235" t="n"/>
    </row>
    <row r="9104" ht="14.25" customHeight="1" s="192">
      <c r="W9104" s="235" t="n"/>
      <c r="X9104" s="235" t="n"/>
    </row>
    <row r="9105" ht="14.25" customHeight="1" s="192">
      <c r="W9105" s="235" t="n"/>
      <c r="X9105" s="235" t="n"/>
    </row>
    <row r="9106" ht="14.25" customHeight="1" s="192">
      <c r="W9106" s="239" t="n"/>
      <c r="X9106" s="239" t="n"/>
    </row>
    <row r="9107" ht="14.25" customHeight="1" s="192">
      <c r="W9107" s="239" t="n"/>
      <c r="X9107" s="239" t="n"/>
    </row>
    <row r="9108" ht="14.25" customHeight="1" s="192">
      <c r="W9108" s="239" t="n"/>
      <c r="X9108" s="239" t="n"/>
    </row>
    <row r="9109" ht="14.25" customHeight="1" s="192">
      <c r="W9109" s="235" t="n"/>
      <c r="X9109" s="235" t="n"/>
    </row>
    <row r="9110" ht="14.25" customHeight="1" s="192">
      <c r="W9110" s="235" t="n"/>
      <c r="X9110" s="235" t="n"/>
    </row>
    <row r="9111" ht="14.25" customHeight="1" s="192">
      <c r="W9111" s="235" t="n"/>
      <c r="X9111" s="235" t="n"/>
    </row>
    <row r="9112" ht="14.25" customHeight="1" s="192">
      <c r="W9112" s="239" t="n"/>
      <c r="X9112" s="239" t="n"/>
    </row>
    <row r="9113" ht="14.25" customHeight="1" s="192">
      <c r="W9113" s="239" t="n"/>
      <c r="X9113" s="239" t="n"/>
    </row>
    <row r="9114" ht="14.25" customHeight="1" s="192">
      <c r="W9114" s="235" t="n"/>
      <c r="X9114" s="235" t="n"/>
    </row>
    <row r="9115" ht="14.25" customHeight="1" s="192">
      <c r="W9115" s="235" t="n"/>
      <c r="X9115" s="235" t="n"/>
    </row>
    <row r="9116" ht="14.25" customHeight="1" s="192">
      <c r="W9116" s="239" t="n"/>
      <c r="X9116" s="239" t="n"/>
    </row>
    <row r="9117" ht="14.25" customHeight="1" s="192">
      <c r="W9117" s="235" t="n"/>
      <c r="X9117" s="235" t="n"/>
    </row>
    <row r="9118" ht="14.25" customHeight="1" s="192">
      <c r="W9118" s="239" t="n"/>
      <c r="X9118" s="239" t="n"/>
    </row>
    <row r="9120" ht="14.25" customHeight="1" s="192">
      <c r="W9120" s="235" t="n"/>
      <c r="X9120" s="235" t="n"/>
    </row>
    <row r="9121" ht="15" customHeight="1" s="192" thickBot="1">
      <c r="W9121" s="239" t="n"/>
      <c r="X9121" s="239" t="n"/>
    </row>
    <row r="9122" ht="15" customHeight="1" s="192" thickBot="1">
      <c r="W9122" s="45" t="n"/>
      <c r="X9122" s="45" t="n"/>
    </row>
    <row r="9123" ht="14.25" customHeight="1" s="192">
      <c r="W9123" s="228" t="n"/>
      <c r="X9123" s="228" t="n"/>
    </row>
    <row r="9124" ht="14.25" customHeight="1" s="192">
      <c r="W9124" s="228" t="n"/>
      <c r="X9124" s="228" t="n"/>
    </row>
    <row r="9125" ht="14.25" customHeight="1" s="192">
      <c r="W9125" s="231" t="n"/>
      <c r="X9125" s="231" t="n"/>
    </row>
    <row r="9126" ht="14.25" customHeight="1" s="192">
      <c r="W9126" s="33" t="n"/>
      <c r="X9126" s="33" t="n"/>
    </row>
    <row r="9127" ht="14.25" customHeight="1" s="192">
      <c r="W9127" s="231" t="n"/>
      <c r="X9127" s="231" t="n"/>
    </row>
    <row r="9128" ht="14.25" customHeight="1" s="192">
      <c r="W9128" s="33" t="n"/>
      <c r="X9128" s="33" t="n"/>
    </row>
    <row r="9130" ht="14.25" customHeight="1" s="192">
      <c r="W9130" s="231" t="n"/>
      <c r="X9130" s="231" t="n"/>
    </row>
    <row r="9131" ht="14.25" customHeight="1" s="192">
      <c r="W9131" s="235" t="n"/>
      <c r="X9131" s="235" t="n"/>
    </row>
    <row r="9132" ht="14.25" customHeight="1" s="192">
      <c r="W9132" s="228" t="n"/>
      <c r="X9132" s="228" t="n"/>
    </row>
    <row r="9133" ht="14.25" customHeight="1" s="192">
      <c r="W9133" s="235" t="n"/>
      <c r="X9133" s="235" t="n"/>
    </row>
    <row r="9134" ht="14.25" customHeight="1" s="192">
      <c r="W9134" s="235" t="n"/>
      <c r="X9134" s="235" t="n"/>
    </row>
    <row r="9135" ht="14.25" customHeight="1" s="192">
      <c r="W9135" s="235" t="n"/>
      <c r="X9135" s="235" t="n"/>
    </row>
    <row r="9136" ht="14.25" customHeight="1" s="192">
      <c r="W9136" s="239" t="n"/>
      <c r="X9136" s="239" t="n"/>
    </row>
    <row r="9137" ht="14.25" customHeight="1" s="192">
      <c r="W9137" s="239" t="n"/>
      <c r="X9137" s="239" t="n"/>
    </row>
    <row r="9138" ht="14.25" customHeight="1" s="192">
      <c r="W9138" s="239" t="n"/>
      <c r="X9138" s="239" t="n"/>
    </row>
    <row r="9139" ht="14.25" customHeight="1" s="192">
      <c r="W9139" s="235" t="n"/>
      <c r="X9139" s="235" t="n"/>
    </row>
    <row r="9140" ht="14.25" customHeight="1" s="192">
      <c r="W9140" s="235" t="n"/>
      <c r="X9140" s="235" t="n"/>
    </row>
    <row r="9141" ht="14.25" customHeight="1" s="192">
      <c r="W9141" s="235" t="n"/>
      <c r="X9141" s="235" t="n"/>
    </row>
    <row r="9142" ht="14.25" customHeight="1" s="192">
      <c r="W9142" s="239" t="n"/>
      <c r="X9142" s="239" t="n"/>
    </row>
    <row r="9143" ht="14.25" customHeight="1" s="192">
      <c r="W9143" s="239" t="n"/>
      <c r="X9143" s="239" t="n"/>
    </row>
    <row r="9144" ht="14.25" customHeight="1" s="192">
      <c r="W9144" s="235" t="n"/>
      <c r="X9144" s="235" t="n"/>
    </row>
    <row r="9145" ht="14.25" customHeight="1" s="192">
      <c r="W9145" s="235" t="n"/>
      <c r="X9145" s="235" t="n"/>
    </row>
    <row r="9146" ht="14.25" customHeight="1" s="192">
      <c r="W9146" s="239" t="n"/>
      <c r="X9146" s="239" t="n"/>
    </row>
    <row r="9147" ht="14.25" customHeight="1" s="192">
      <c r="W9147" s="235" t="n"/>
      <c r="X9147" s="235" t="n"/>
    </row>
    <row r="9148" ht="14.25" customHeight="1" s="192">
      <c r="W9148" s="239" t="n"/>
      <c r="X9148" s="239" t="n"/>
    </row>
    <row r="9150" ht="14.25" customHeight="1" s="192">
      <c r="W9150" s="235" t="n"/>
      <c r="X9150" s="235" t="n"/>
    </row>
    <row r="9151" ht="15" customHeight="1" s="192" thickBot="1">
      <c r="W9151" s="239" t="n"/>
      <c r="X9151" s="239" t="n"/>
    </row>
    <row r="9152" ht="15" customHeight="1" s="192" thickBot="1">
      <c r="W9152" s="45" t="n"/>
      <c r="X9152" s="45" t="n"/>
    </row>
    <row r="9153" ht="14.25" customHeight="1" s="192">
      <c r="W9153" s="228" t="n"/>
      <c r="X9153" s="228" t="n"/>
    </row>
    <row r="9154" ht="14.25" customHeight="1" s="192">
      <c r="W9154" s="228" t="n"/>
      <c r="X9154" s="228" t="n"/>
    </row>
    <row r="9155" ht="14.25" customHeight="1" s="192">
      <c r="W9155" s="231" t="n"/>
      <c r="X9155" s="231" t="n"/>
    </row>
    <row r="9156" ht="14.25" customHeight="1" s="192">
      <c r="W9156" s="33" t="n"/>
      <c r="X9156" s="33" t="n"/>
    </row>
    <row r="9157" ht="14.25" customHeight="1" s="192">
      <c r="W9157" s="231" t="n"/>
      <c r="X9157" s="231" t="n"/>
    </row>
    <row r="9158" ht="14.25" customHeight="1" s="192">
      <c r="W9158" s="33" t="n"/>
      <c r="X9158" s="33" t="n"/>
    </row>
    <row r="9160" ht="14.25" customHeight="1" s="192">
      <c r="W9160" s="231" t="n"/>
      <c r="X9160" s="231" t="n"/>
    </row>
    <row r="9161" ht="14.25" customHeight="1" s="192">
      <c r="W9161" s="235" t="n"/>
      <c r="X9161" s="235" t="n"/>
    </row>
    <row r="9162" ht="14.25" customHeight="1" s="192">
      <c r="W9162" s="228" t="n"/>
      <c r="X9162" s="228" t="n"/>
    </row>
    <row r="9163" ht="14.25" customHeight="1" s="192">
      <c r="W9163" s="235" t="n"/>
      <c r="X9163" s="235" t="n"/>
    </row>
    <row r="9164" ht="14.25" customHeight="1" s="192">
      <c r="W9164" s="235" t="n"/>
      <c r="X9164" s="235" t="n"/>
    </row>
    <row r="9165" ht="14.25" customHeight="1" s="192">
      <c r="W9165" s="235" t="n"/>
      <c r="X9165" s="235" t="n"/>
    </row>
    <row r="9166" ht="14.25" customHeight="1" s="192">
      <c r="W9166" s="239" t="n"/>
      <c r="X9166" s="239" t="n"/>
    </row>
    <row r="9167" ht="14.25" customHeight="1" s="192">
      <c r="W9167" s="239" t="n"/>
      <c r="X9167" s="239" t="n"/>
    </row>
    <row r="9168" ht="14.25" customHeight="1" s="192">
      <c r="W9168" s="239" t="n"/>
      <c r="X9168" s="239" t="n"/>
    </row>
    <row r="9169" ht="14.25" customHeight="1" s="192">
      <c r="W9169" s="235" t="n"/>
      <c r="X9169" s="235" t="n"/>
    </row>
    <row r="9170" ht="14.25" customHeight="1" s="192">
      <c r="W9170" s="235" t="n"/>
      <c r="X9170" s="235" t="n"/>
    </row>
    <row r="9171" ht="14.25" customHeight="1" s="192">
      <c r="W9171" s="235" t="n"/>
      <c r="X9171" s="235" t="n"/>
    </row>
    <row r="9172" ht="14.25" customHeight="1" s="192">
      <c r="W9172" s="239" t="n"/>
      <c r="X9172" s="239" t="n"/>
    </row>
    <row r="9173" ht="14.25" customHeight="1" s="192">
      <c r="W9173" s="239" t="n"/>
      <c r="X9173" s="239" t="n"/>
    </row>
    <row r="9174" ht="14.25" customHeight="1" s="192">
      <c r="W9174" s="235" t="n"/>
      <c r="X9174" s="235" t="n"/>
    </row>
    <row r="9175" ht="14.25" customHeight="1" s="192">
      <c r="W9175" s="235" t="n"/>
      <c r="X9175" s="235" t="n"/>
    </row>
    <row r="9176" ht="14.25" customHeight="1" s="192">
      <c r="W9176" s="239" t="n"/>
      <c r="X9176" s="239" t="n"/>
    </row>
    <row r="9177" ht="14.25" customHeight="1" s="192">
      <c r="W9177" s="235" t="n"/>
      <c r="X9177" s="235" t="n"/>
    </row>
    <row r="9178" ht="14.25" customHeight="1" s="192">
      <c r="W9178" s="239" t="n"/>
      <c r="X9178" s="239" t="n"/>
    </row>
    <row r="9180" ht="14.25" customHeight="1" s="192">
      <c r="W9180" s="235" t="n"/>
      <c r="X9180" s="235" t="n"/>
    </row>
    <row r="9181" ht="15" customHeight="1" s="192" thickBot="1">
      <c r="W9181" s="239" t="n"/>
      <c r="X9181" s="239" t="n"/>
    </row>
    <row r="9182" ht="15" customHeight="1" s="192" thickBot="1">
      <c r="W9182" s="45" t="n"/>
      <c r="X9182" s="45" t="n"/>
    </row>
    <row r="9183" ht="14.25" customHeight="1" s="192">
      <c r="W9183" s="228" t="n"/>
      <c r="X9183" s="228" t="n"/>
    </row>
    <row r="9184" ht="14.25" customHeight="1" s="192">
      <c r="W9184" s="228" t="n"/>
      <c r="X9184" s="228" t="n"/>
    </row>
    <row r="9185" ht="14.25" customHeight="1" s="192">
      <c r="W9185" s="231" t="n"/>
      <c r="X9185" s="231" t="n"/>
    </row>
    <row r="9186" ht="14.25" customHeight="1" s="192">
      <c r="W9186" s="33" t="n"/>
      <c r="X9186" s="33" t="n"/>
    </row>
    <row r="9187" ht="14.25" customHeight="1" s="192">
      <c r="W9187" s="231" t="n"/>
      <c r="X9187" s="231" t="n"/>
    </row>
    <row r="9188" ht="14.25" customHeight="1" s="192">
      <c r="W9188" s="33" t="n"/>
      <c r="X9188" s="33" t="n"/>
    </row>
    <row r="9190" ht="14.25" customHeight="1" s="192">
      <c r="W9190" s="231" t="n"/>
      <c r="X9190" s="231" t="n"/>
    </row>
    <row r="9191" ht="14.25" customHeight="1" s="192">
      <c r="W9191" s="235" t="n"/>
      <c r="X9191" s="235" t="n"/>
    </row>
    <row r="9192" ht="14.25" customHeight="1" s="192">
      <c r="W9192" s="228" t="n"/>
      <c r="X9192" s="228" t="n"/>
    </row>
    <row r="9193" ht="14.25" customHeight="1" s="192">
      <c r="W9193" s="235" t="n"/>
      <c r="X9193" s="235" t="n"/>
    </row>
    <row r="9194" ht="14.25" customHeight="1" s="192">
      <c r="W9194" s="235" t="n"/>
      <c r="X9194" s="235" t="n"/>
    </row>
    <row r="9195" ht="14.25" customHeight="1" s="192">
      <c r="W9195" s="235" t="n"/>
      <c r="X9195" s="235" t="n"/>
    </row>
    <row r="9196" ht="14.25" customHeight="1" s="192">
      <c r="W9196" s="239" t="n"/>
      <c r="X9196" s="239" t="n"/>
    </row>
    <row r="9197" ht="14.25" customHeight="1" s="192">
      <c r="W9197" s="239" t="n"/>
      <c r="X9197" s="239" t="n"/>
    </row>
    <row r="9198" ht="14.25" customHeight="1" s="192">
      <c r="W9198" s="239" t="n"/>
      <c r="X9198" s="239" t="n"/>
    </row>
    <row r="9199" ht="14.25" customHeight="1" s="192">
      <c r="W9199" s="235" t="n"/>
      <c r="X9199" s="235" t="n"/>
    </row>
    <row r="9200" ht="14.25" customHeight="1" s="192">
      <c r="W9200" s="235" t="n"/>
      <c r="X9200" s="235" t="n"/>
    </row>
    <row r="9201" ht="14.25" customHeight="1" s="192">
      <c r="W9201" s="235" t="n"/>
      <c r="X9201" s="235" t="n"/>
    </row>
    <row r="9202" ht="14.25" customHeight="1" s="192">
      <c r="W9202" s="239" t="n"/>
      <c r="X9202" s="239" t="n"/>
    </row>
    <row r="9203" ht="14.25" customHeight="1" s="192">
      <c r="W9203" s="239" t="n"/>
      <c r="X9203" s="239" t="n"/>
    </row>
    <row r="9204" ht="14.25" customHeight="1" s="192">
      <c r="W9204" s="235" t="n"/>
      <c r="X9204" s="235" t="n"/>
    </row>
    <row r="9205" ht="14.25" customHeight="1" s="192">
      <c r="W9205" s="235" t="n"/>
      <c r="X9205" s="235" t="n"/>
    </row>
    <row r="9206" ht="14.25" customHeight="1" s="192">
      <c r="W9206" s="239" t="n"/>
      <c r="X9206" s="239" t="n"/>
    </row>
    <row r="9207" ht="14.25" customHeight="1" s="192">
      <c r="W9207" s="235" t="n"/>
      <c r="X9207" s="235" t="n"/>
    </row>
    <row r="9208" ht="14.25" customHeight="1" s="192">
      <c r="W9208" s="239" t="n"/>
      <c r="X9208" s="239" t="n"/>
    </row>
    <row r="9210" ht="14.25" customHeight="1" s="192">
      <c r="W9210" s="235" t="n"/>
      <c r="X9210" s="235" t="n"/>
    </row>
    <row r="9211" ht="15" customHeight="1" s="192" thickBot="1">
      <c r="W9211" s="239" t="n"/>
      <c r="X9211" s="239" t="n"/>
    </row>
    <row r="9212" ht="15" customHeight="1" s="192" thickBot="1">
      <c r="W9212" s="45" t="n"/>
      <c r="X9212" s="45" t="n"/>
    </row>
    <row r="9213" ht="14.25" customHeight="1" s="192">
      <c r="W9213" s="228" t="n"/>
      <c r="X9213" s="228" t="n"/>
    </row>
    <row r="9214" ht="14.25" customHeight="1" s="192">
      <c r="W9214" s="228" t="n"/>
      <c r="X9214" s="228" t="n"/>
    </row>
    <row r="9215" ht="14.25" customHeight="1" s="192">
      <c r="W9215" s="231" t="n"/>
      <c r="X9215" s="231" t="n"/>
    </row>
    <row r="9216" ht="14.25" customHeight="1" s="192">
      <c r="W9216" s="33" t="n"/>
      <c r="X9216" s="33" t="n"/>
    </row>
    <row r="9217" ht="14.25" customHeight="1" s="192">
      <c r="W9217" s="231" t="n"/>
      <c r="X9217" s="231" t="n"/>
    </row>
    <row r="9218" ht="14.25" customHeight="1" s="192">
      <c r="W9218" s="33" t="n"/>
      <c r="X9218" s="33" t="n"/>
    </row>
    <row r="9220" ht="14.25" customHeight="1" s="192">
      <c r="W9220" s="231" t="n"/>
      <c r="X9220" s="231" t="n"/>
    </row>
    <row r="9221" ht="14.25" customHeight="1" s="192">
      <c r="W9221" s="235" t="n"/>
      <c r="X9221" s="235" t="n"/>
    </row>
    <row r="9222" ht="14.25" customHeight="1" s="192">
      <c r="W9222" s="228" t="n"/>
      <c r="X9222" s="228" t="n"/>
    </row>
    <row r="9223" ht="14.25" customHeight="1" s="192">
      <c r="W9223" s="235" t="n"/>
      <c r="X9223" s="235" t="n"/>
    </row>
    <row r="9224" ht="14.25" customHeight="1" s="192">
      <c r="W9224" s="235" t="n"/>
      <c r="X9224" s="235" t="n"/>
    </row>
    <row r="9225" ht="14.25" customHeight="1" s="192">
      <c r="W9225" s="235" t="n"/>
      <c r="X9225" s="235" t="n"/>
    </row>
    <row r="9226" ht="14.25" customHeight="1" s="192">
      <c r="W9226" s="239" t="n"/>
      <c r="X9226" s="239" t="n"/>
    </row>
    <row r="9227" ht="14.25" customHeight="1" s="192">
      <c r="W9227" s="239" t="n"/>
      <c r="X9227" s="239" t="n"/>
    </row>
    <row r="9228" ht="14.25" customHeight="1" s="192">
      <c r="W9228" s="239" t="n"/>
      <c r="X9228" s="239" t="n"/>
    </row>
    <row r="9229" ht="14.25" customHeight="1" s="192">
      <c r="W9229" s="235" t="n"/>
      <c r="X9229" s="235" t="n"/>
    </row>
    <row r="9230" ht="14.25" customHeight="1" s="192">
      <c r="W9230" s="235" t="n"/>
      <c r="X9230" s="235" t="n"/>
    </row>
    <row r="9231" ht="14.25" customHeight="1" s="192">
      <c r="W9231" s="235" t="n"/>
      <c r="X9231" s="235" t="n"/>
    </row>
    <row r="9232" ht="14.25" customHeight="1" s="192">
      <c r="W9232" s="239" t="n"/>
      <c r="X9232" s="239" t="n"/>
    </row>
    <row r="9233" ht="14.25" customHeight="1" s="192">
      <c r="W9233" s="239" t="n"/>
      <c r="X9233" s="239" t="n"/>
    </row>
    <row r="9234" ht="14.25" customHeight="1" s="192">
      <c r="W9234" s="235" t="n"/>
      <c r="X9234" s="235" t="n"/>
    </row>
    <row r="9235" ht="14.25" customHeight="1" s="192">
      <c r="W9235" s="235" t="n"/>
      <c r="X9235" s="235" t="n"/>
    </row>
    <row r="9236" ht="14.25" customHeight="1" s="192">
      <c r="W9236" s="239" t="n"/>
      <c r="X9236" s="239" t="n"/>
    </row>
    <row r="9237" ht="14.25" customHeight="1" s="192">
      <c r="W9237" s="235" t="n"/>
      <c r="X9237" s="235" t="n"/>
    </row>
    <row r="9238" ht="14.25" customHeight="1" s="192">
      <c r="W9238" s="239" t="n"/>
      <c r="X9238" s="239" t="n"/>
    </row>
    <row r="9240" ht="14.25" customHeight="1" s="192">
      <c r="W9240" s="235" t="n"/>
      <c r="X9240" s="235" t="n"/>
    </row>
    <row r="9241" ht="15" customHeight="1" s="192" thickBot="1">
      <c r="W9241" s="239" t="n"/>
      <c r="X9241" s="239" t="n"/>
    </row>
    <row r="9242" ht="15" customHeight="1" s="192" thickBot="1">
      <c r="W9242" s="45" t="n"/>
      <c r="X9242" s="45" t="n"/>
    </row>
    <row r="9243" ht="14.25" customHeight="1" s="192">
      <c r="W9243" s="228" t="n"/>
      <c r="X9243" s="228" t="n"/>
    </row>
    <row r="9244" ht="14.25" customHeight="1" s="192">
      <c r="W9244" s="228" t="n"/>
      <c r="X9244" s="228" t="n"/>
    </row>
    <row r="9245" ht="14.25" customHeight="1" s="192">
      <c r="W9245" s="231" t="n"/>
      <c r="X9245" s="231" t="n"/>
    </row>
    <row r="9246" ht="14.25" customHeight="1" s="192">
      <c r="W9246" s="33" t="n"/>
      <c r="X9246" s="33" t="n"/>
    </row>
    <row r="9247" ht="14.25" customHeight="1" s="192">
      <c r="W9247" s="231" t="n"/>
      <c r="X9247" s="231" t="n"/>
    </row>
    <row r="9248" ht="14.25" customHeight="1" s="192">
      <c r="W9248" s="33" t="n"/>
      <c r="X9248" s="33" t="n"/>
    </row>
    <row r="9250" ht="14.25" customHeight="1" s="192">
      <c r="W9250" s="231" t="n"/>
      <c r="X9250" s="231" t="n"/>
    </row>
    <row r="9251" ht="14.25" customHeight="1" s="192">
      <c r="W9251" s="235" t="n"/>
      <c r="X9251" s="235" t="n"/>
    </row>
    <row r="9252" ht="14.25" customHeight="1" s="192">
      <c r="W9252" s="228" t="n"/>
      <c r="X9252" s="228" t="n"/>
    </row>
    <row r="9253" ht="14.25" customHeight="1" s="192">
      <c r="W9253" s="235" t="n"/>
      <c r="X9253" s="235" t="n"/>
    </row>
    <row r="9254" ht="14.25" customHeight="1" s="192">
      <c r="W9254" s="235" t="n"/>
      <c r="X9254" s="235" t="n"/>
    </row>
    <row r="9255" ht="14.25" customHeight="1" s="192">
      <c r="W9255" s="235" t="n"/>
      <c r="X9255" s="235" t="n"/>
    </row>
    <row r="9256" ht="14.25" customHeight="1" s="192">
      <c r="W9256" s="239" t="n"/>
      <c r="X9256" s="239" t="n"/>
    </row>
    <row r="9257" ht="14.25" customHeight="1" s="192">
      <c r="W9257" s="239" t="n"/>
      <c r="X9257" s="239" t="n"/>
    </row>
    <row r="9258" ht="14.25" customHeight="1" s="192">
      <c r="W9258" s="239" t="n"/>
      <c r="X9258" s="239" t="n"/>
    </row>
    <row r="9259" ht="14.25" customHeight="1" s="192">
      <c r="W9259" s="235" t="n"/>
      <c r="X9259" s="235" t="n"/>
    </row>
    <row r="9260" ht="14.25" customHeight="1" s="192">
      <c r="W9260" s="235" t="n"/>
      <c r="X9260" s="235" t="n"/>
    </row>
    <row r="9261" ht="14.25" customHeight="1" s="192">
      <c r="W9261" s="235" t="n"/>
      <c r="X9261" s="235" t="n"/>
    </row>
    <row r="9262" ht="14.25" customHeight="1" s="192">
      <c r="W9262" s="239" t="n"/>
      <c r="X9262" s="239" t="n"/>
    </row>
    <row r="9263" ht="14.25" customHeight="1" s="192">
      <c r="W9263" s="239" t="n"/>
      <c r="X9263" s="239" t="n"/>
    </row>
    <row r="9264" ht="14.25" customHeight="1" s="192">
      <c r="W9264" s="235" t="n"/>
      <c r="X9264" s="235" t="n"/>
    </row>
    <row r="9265" ht="14.25" customHeight="1" s="192">
      <c r="W9265" s="235" t="n"/>
      <c r="X9265" s="235" t="n"/>
    </row>
    <row r="9266" ht="14.25" customHeight="1" s="192">
      <c r="W9266" s="239" t="n"/>
      <c r="X9266" s="239" t="n"/>
    </row>
    <row r="9267" ht="14.25" customHeight="1" s="192">
      <c r="W9267" s="235" t="n"/>
      <c r="X9267" s="235" t="n"/>
    </row>
    <row r="9268" ht="14.25" customHeight="1" s="192">
      <c r="W9268" s="239" t="n"/>
      <c r="X9268" s="239" t="n"/>
    </row>
    <row r="9270" ht="14.25" customHeight="1" s="192">
      <c r="W9270" s="235" t="n"/>
      <c r="X9270" s="235" t="n"/>
    </row>
    <row r="9271" ht="15" customHeight="1" s="192" thickBot="1">
      <c r="W9271" s="239" t="n"/>
      <c r="X9271" s="239" t="n"/>
    </row>
    <row r="9272" ht="15" customHeight="1" s="192" thickBot="1">
      <c r="W9272" s="45" t="n"/>
      <c r="X9272" s="45" t="n"/>
    </row>
    <row r="9273" ht="14.25" customHeight="1" s="192">
      <c r="W9273" s="228" t="n"/>
      <c r="X9273" s="228" t="n"/>
    </row>
    <row r="9274" ht="14.25" customHeight="1" s="192">
      <c r="W9274" s="228" t="n"/>
      <c r="X9274" s="228" t="n"/>
    </row>
    <row r="9275" ht="14.25" customHeight="1" s="192">
      <c r="W9275" s="231" t="n"/>
      <c r="X9275" s="231" t="n"/>
    </row>
    <row r="9276" ht="14.25" customHeight="1" s="192">
      <c r="W9276" s="33" t="n"/>
      <c r="X9276" s="33" t="n"/>
    </row>
    <row r="9277" ht="14.25" customHeight="1" s="192">
      <c r="W9277" s="231" t="n"/>
      <c r="X9277" s="231" t="n"/>
    </row>
    <row r="9278" ht="14.25" customHeight="1" s="192">
      <c r="W9278" s="33" t="n"/>
      <c r="X9278" s="33" t="n"/>
    </row>
    <row r="9280" ht="14.25" customHeight="1" s="192">
      <c r="W9280" s="231" t="n"/>
      <c r="X9280" s="231" t="n"/>
    </row>
    <row r="9281" ht="14.25" customHeight="1" s="192">
      <c r="W9281" s="235" t="n"/>
      <c r="X9281" s="235" t="n"/>
    </row>
    <row r="9282" ht="14.25" customHeight="1" s="192">
      <c r="W9282" s="228" t="n"/>
      <c r="X9282" s="228" t="n"/>
    </row>
    <row r="9283" ht="14.25" customHeight="1" s="192">
      <c r="W9283" s="235" t="n"/>
      <c r="X9283" s="235" t="n"/>
    </row>
    <row r="9284" ht="14.25" customHeight="1" s="192">
      <c r="W9284" s="235" t="n"/>
      <c r="X9284" s="235" t="n"/>
    </row>
    <row r="9285" ht="14.25" customHeight="1" s="192">
      <c r="W9285" s="235" t="n"/>
      <c r="X9285" s="235" t="n"/>
    </row>
    <row r="9286" ht="14.25" customHeight="1" s="192">
      <c r="W9286" s="239" t="n"/>
      <c r="X9286" s="239" t="n"/>
    </row>
    <row r="9287" ht="14.25" customHeight="1" s="192">
      <c r="W9287" s="239" t="n"/>
      <c r="X9287" s="239" t="n"/>
    </row>
    <row r="9288" ht="14.25" customHeight="1" s="192">
      <c r="W9288" s="239" t="n"/>
      <c r="X9288" s="239" t="n"/>
    </row>
    <row r="9289" ht="14.25" customHeight="1" s="192">
      <c r="W9289" s="235" t="n"/>
      <c r="X9289" s="235" t="n"/>
    </row>
    <row r="9290" ht="14.25" customHeight="1" s="192">
      <c r="W9290" s="235" t="n"/>
      <c r="X9290" s="235" t="n"/>
    </row>
    <row r="9291" ht="14.25" customHeight="1" s="192">
      <c r="W9291" s="235" t="n"/>
      <c r="X9291" s="235" t="n"/>
    </row>
    <row r="9292" ht="14.25" customHeight="1" s="192">
      <c r="W9292" s="239" t="n"/>
      <c r="X9292" s="239" t="n"/>
    </row>
    <row r="9293" ht="14.25" customHeight="1" s="192">
      <c r="W9293" s="239" t="n"/>
      <c r="X9293" s="239" t="n"/>
    </row>
    <row r="9294" ht="14.25" customHeight="1" s="192">
      <c r="W9294" s="235" t="n"/>
      <c r="X9294" s="235" t="n"/>
    </row>
    <row r="9295" ht="14.25" customHeight="1" s="192">
      <c r="W9295" s="235" t="n"/>
      <c r="X9295" s="235" t="n"/>
    </row>
    <row r="9296" ht="14.25" customHeight="1" s="192">
      <c r="W9296" s="239" t="n"/>
      <c r="X9296" s="239" t="n"/>
    </row>
    <row r="9297" ht="14.25" customHeight="1" s="192">
      <c r="W9297" s="235" t="n"/>
      <c r="X9297" s="235" t="n"/>
    </row>
    <row r="9298" ht="14.25" customHeight="1" s="192">
      <c r="W9298" s="239" t="n"/>
      <c r="X9298" s="239" t="n"/>
    </row>
    <row r="9300" ht="14.25" customHeight="1" s="192">
      <c r="W9300" s="235" t="n"/>
      <c r="X9300" s="235" t="n"/>
    </row>
    <row r="9301" ht="15" customHeight="1" s="192" thickBot="1">
      <c r="W9301" s="239" t="n"/>
      <c r="X9301" s="239" t="n"/>
    </row>
    <row r="9302" ht="15" customHeight="1" s="192" thickBot="1">
      <c r="W9302" s="45" t="n"/>
      <c r="X9302" s="45" t="n"/>
    </row>
    <row r="9303" ht="14.25" customHeight="1" s="192">
      <c r="W9303" s="228" t="n"/>
      <c r="X9303" s="228" t="n"/>
    </row>
    <row r="9304" ht="14.25" customHeight="1" s="192">
      <c r="W9304" s="228" t="n"/>
      <c r="X9304" s="228" t="n"/>
    </row>
    <row r="9305" ht="14.25" customHeight="1" s="192">
      <c r="W9305" s="231" t="n"/>
      <c r="X9305" s="231" t="n"/>
    </row>
    <row r="9306" ht="14.25" customHeight="1" s="192">
      <c r="W9306" s="33" t="n"/>
      <c r="X9306" s="33" t="n"/>
    </row>
    <row r="9307" ht="14.25" customHeight="1" s="192">
      <c r="W9307" s="231" t="n"/>
      <c r="X9307" s="231" t="n"/>
    </row>
    <row r="9308" ht="14.25" customHeight="1" s="192">
      <c r="W9308" s="33" t="n"/>
      <c r="X9308" s="33" t="n"/>
    </row>
    <row r="9310" ht="14.25" customHeight="1" s="192">
      <c r="W9310" s="231" t="n"/>
      <c r="X9310" s="231" t="n"/>
    </row>
    <row r="9311" ht="14.25" customHeight="1" s="192">
      <c r="W9311" s="235" t="n"/>
      <c r="X9311" s="235" t="n"/>
    </row>
    <row r="9312" ht="14.25" customHeight="1" s="192">
      <c r="W9312" s="228" t="n"/>
      <c r="X9312" s="228" t="n"/>
    </row>
    <row r="9313" ht="14.25" customHeight="1" s="192">
      <c r="W9313" s="235" t="n"/>
      <c r="X9313" s="235" t="n"/>
    </row>
    <row r="9314" ht="14.25" customHeight="1" s="192">
      <c r="W9314" s="235" t="n"/>
      <c r="X9314" s="235" t="n"/>
    </row>
    <row r="9315" ht="14.25" customHeight="1" s="192">
      <c r="W9315" s="235" t="n"/>
      <c r="X9315" s="235" t="n"/>
    </row>
    <row r="9316" ht="14.25" customHeight="1" s="192">
      <c r="W9316" s="239" t="n"/>
      <c r="X9316" s="239" t="n"/>
    </row>
    <row r="9317" ht="14.25" customHeight="1" s="192">
      <c r="W9317" s="239" t="n"/>
      <c r="X9317" s="239" t="n"/>
    </row>
    <row r="9318" ht="14.25" customHeight="1" s="192">
      <c r="W9318" s="239" t="n"/>
      <c r="X9318" s="239" t="n"/>
    </row>
    <row r="9319" ht="14.25" customHeight="1" s="192">
      <c r="W9319" s="235" t="n"/>
      <c r="X9319" s="235" t="n"/>
    </row>
    <row r="9320" ht="14.25" customHeight="1" s="192">
      <c r="W9320" s="235" t="n"/>
      <c r="X9320" s="235" t="n"/>
    </row>
    <row r="9321" ht="14.25" customHeight="1" s="192">
      <c r="W9321" s="235" t="n"/>
      <c r="X9321" s="235" t="n"/>
    </row>
    <row r="9322" ht="14.25" customHeight="1" s="192">
      <c r="W9322" s="239" t="n"/>
      <c r="X9322" s="239" t="n"/>
    </row>
    <row r="9323" ht="14.25" customHeight="1" s="192">
      <c r="W9323" s="239" t="n"/>
      <c r="X9323" s="239" t="n"/>
    </row>
    <row r="9324" ht="14.25" customHeight="1" s="192">
      <c r="W9324" s="235" t="n"/>
      <c r="X9324" s="235" t="n"/>
    </row>
    <row r="9325" ht="14.25" customHeight="1" s="192">
      <c r="W9325" s="235" t="n"/>
      <c r="X9325" s="235" t="n"/>
    </row>
    <row r="9326" ht="14.25" customHeight="1" s="192">
      <c r="W9326" s="239" t="n"/>
      <c r="X9326" s="239" t="n"/>
    </row>
    <row r="9327" ht="14.25" customHeight="1" s="192">
      <c r="W9327" s="235" t="n"/>
      <c r="X9327" s="235" t="n"/>
    </row>
    <row r="9328" ht="14.25" customHeight="1" s="192">
      <c r="W9328" s="239" t="n"/>
      <c r="X9328" s="239" t="n"/>
    </row>
    <row r="9330" ht="14.25" customHeight="1" s="192">
      <c r="W9330" s="235" t="n"/>
      <c r="X9330" s="235" t="n"/>
    </row>
    <row r="9331" ht="15" customHeight="1" s="192" thickBot="1">
      <c r="W9331" s="239" t="n"/>
      <c r="X9331" s="239" t="n"/>
    </row>
    <row r="9332" ht="15" customHeight="1" s="192" thickBot="1">
      <c r="W9332" s="45" t="n"/>
      <c r="X9332" s="45" t="n"/>
    </row>
    <row r="9333" ht="14.25" customHeight="1" s="192">
      <c r="W9333" s="228" t="n"/>
      <c r="X9333" s="228" t="n"/>
    </row>
    <row r="9334" ht="14.25" customHeight="1" s="192">
      <c r="W9334" s="228" t="n"/>
      <c r="X9334" s="228" t="n"/>
    </row>
    <row r="9335" ht="14.25" customHeight="1" s="192">
      <c r="W9335" s="231" t="n"/>
      <c r="X9335" s="231" t="n"/>
    </row>
    <row r="9336" ht="14.25" customHeight="1" s="192">
      <c r="W9336" s="33" t="n"/>
      <c r="X9336" s="33" t="n"/>
    </row>
    <row r="9337" ht="14.25" customHeight="1" s="192">
      <c r="W9337" s="231" t="n"/>
      <c r="X9337" s="231" t="n"/>
    </row>
    <row r="9338" ht="14.25" customHeight="1" s="192">
      <c r="W9338" s="33" t="n"/>
      <c r="X9338" s="33" t="n"/>
    </row>
    <row r="9340" ht="14.25" customHeight="1" s="192">
      <c r="W9340" s="231" t="n"/>
      <c r="X9340" s="231" t="n"/>
    </row>
    <row r="9341" ht="14.25" customHeight="1" s="192">
      <c r="W9341" s="235" t="n"/>
      <c r="X9341" s="235" t="n"/>
    </row>
    <row r="9342" ht="14.25" customHeight="1" s="192">
      <c r="W9342" s="228" t="n"/>
      <c r="X9342" s="228" t="n"/>
    </row>
    <row r="9343" ht="14.25" customHeight="1" s="192">
      <c r="W9343" s="235" t="n"/>
      <c r="X9343" s="235" t="n"/>
    </row>
    <row r="9344" ht="14.25" customHeight="1" s="192">
      <c r="W9344" s="235" t="n"/>
      <c r="X9344" s="235" t="n"/>
    </row>
    <row r="9345" ht="14.25" customHeight="1" s="192">
      <c r="W9345" s="235" t="n"/>
      <c r="X9345" s="235" t="n"/>
    </row>
    <row r="9346" ht="14.25" customHeight="1" s="192">
      <c r="W9346" s="239" t="n"/>
      <c r="X9346" s="239" t="n"/>
    </row>
    <row r="9347" ht="14.25" customHeight="1" s="192">
      <c r="W9347" s="239" t="n"/>
      <c r="X9347" s="239" t="n"/>
    </row>
    <row r="9348" ht="14.25" customHeight="1" s="192">
      <c r="W9348" s="239" t="n"/>
      <c r="X9348" s="239" t="n"/>
    </row>
    <row r="9349" ht="14.25" customHeight="1" s="192">
      <c r="W9349" s="235" t="n"/>
      <c r="X9349" s="235" t="n"/>
    </row>
    <row r="9350" ht="14.25" customHeight="1" s="192">
      <c r="W9350" s="235" t="n"/>
      <c r="X9350" s="235" t="n"/>
    </row>
    <row r="9351" ht="14.25" customHeight="1" s="192">
      <c r="W9351" s="235" t="n"/>
      <c r="X9351" s="235" t="n"/>
    </row>
    <row r="9352" ht="14.25" customHeight="1" s="192">
      <c r="W9352" s="239" t="n"/>
      <c r="X9352" s="239" t="n"/>
    </row>
    <row r="9353" ht="14.25" customHeight="1" s="192">
      <c r="W9353" s="239" t="n"/>
      <c r="X9353" s="239" t="n"/>
    </row>
    <row r="9354" ht="14.25" customHeight="1" s="192">
      <c r="W9354" s="235" t="n"/>
      <c r="X9354" s="235" t="n"/>
    </row>
    <row r="9355" ht="14.25" customHeight="1" s="192">
      <c r="W9355" s="235" t="n"/>
      <c r="X9355" s="235" t="n"/>
    </row>
    <row r="9356" ht="14.25" customHeight="1" s="192">
      <c r="W9356" s="239" t="n"/>
      <c r="X9356" s="239" t="n"/>
    </row>
    <row r="9357" ht="14.25" customHeight="1" s="192">
      <c r="W9357" s="235" t="n"/>
      <c r="X9357" s="235" t="n"/>
    </row>
    <row r="9358" ht="14.25" customHeight="1" s="192">
      <c r="W9358" s="239" t="n"/>
      <c r="X9358" s="239" t="n"/>
    </row>
    <row r="9360" ht="14.25" customHeight="1" s="192">
      <c r="W9360" s="235" t="n"/>
      <c r="X9360" s="235" t="n"/>
    </row>
    <row r="9361" ht="15" customHeight="1" s="192" thickBot="1">
      <c r="W9361" s="239" t="n"/>
      <c r="X9361" s="239" t="n"/>
    </row>
    <row r="9362" ht="15" customHeight="1" s="192" thickBot="1">
      <c r="W9362" s="45" t="n"/>
      <c r="X9362" s="45" t="n"/>
    </row>
    <row r="9363" ht="14.25" customHeight="1" s="192">
      <c r="W9363" s="228" t="n"/>
      <c r="X9363" s="228" t="n"/>
    </row>
    <row r="9364" ht="14.25" customHeight="1" s="192">
      <c r="W9364" s="228" t="n"/>
      <c r="X9364" s="228" t="n"/>
    </row>
    <row r="9365" ht="14.25" customHeight="1" s="192">
      <c r="W9365" s="231" t="n"/>
      <c r="X9365" s="231" t="n"/>
    </row>
    <row r="9366" ht="14.25" customHeight="1" s="192">
      <c r="W9366" s="33" t="n"/>
      <c r="X9366" s="33" t="n"/>
    </row>
    <row r="9367" ht="14.25" customHeight="1" s="192">
      <c r="W9367" s="231" t="n"/>
      <c r="X9367" s="231" t="n"/>
    </row>
    <row r="9368" ht="14.25" customHeight="1" s="192">
      <c r="W9368" s="33" t="n"/>
      <c r="X9368" s="33" t="n"/>
    </row>
    <row r="9370" ht="14.25" customHeight="1" s="192">
      <c r="W9370" s="231" t="n"/>
      <c r="X9370" s="231" t="n"/>
    </row>
    <row r="9371" ht="14.25" customHeight="1" s="192">
      <c r="W9371" s="235" t="n"/>
      <c r="X9371" s="235" t="n"/>
    </row>
    <row r="9372" ht="14.25" customHeight="1" s="192">
      <c r="W9372" s="228" t="n"/>
      <c r="X9372" s="228" t="n"/>
    </row>
    <row r="9373" ht="14.25" customHeight="1" s="192">
      <c r="W9373" s="235" t="n"/>
      <c r="X9373" s="235" t="n"/>
    </row>
    <row r="9374" ht="14.25" customHeight="1" s="192">
      <c r="W9374" s="235" t="n"/>
      <c r="X9374" s="235" t="n"/>
    </row>
    <row r="9375" ht="14.25" customHeight="1" s="192">
      <c r="W9375" s="235" t="n"/>
      <c r="X9375" s="235" t="n"/>
    </row>
    <row r="9376" ht="14.25" customHeight="1" s="192">
      <c r="W9376" s="239" t="n"/>
      <c r="X9376" s="239" t="n"/>
    </row>
    <row r="9377" ht="14.25" customHeight="1" s="192">
      <c r="W9377" s="239" t="n"/>
      <c r="X9377" s="239" t="n"/>
    </row>
    <row r="9378" ht="14.25" customHeight="1" s="192">
      <c r="W9378" s="239" t="n"/>
      <c r="X9378" s="239" t="n"/>
    </row>
    <row r="9379" ht="14.25" customHeight="1" s="192">
      <c r="W9379" s="235" t="n"/>
      <c r="X9379" s="235" t="n"/>
    </row>
    <row r="9380" ht="14.25" customHeight="1" s="192">
      <c r="W9380" s="235" t="n"/>
      <c r="X9380" s="235" t="n"/>
    </row>
    <row r="9381" ht="14.25" customHeight="1" s="192">
      <c r="W9381" s="235" t="n"/>
      <c r="X9381" s="235" t="n"/>
    </row>
    <row r="9382" ht="14.25" customHeight="1" s="192">
      <c r="W9382" s="239" t="n"/>
      <c r="X9382" s="239" t="n"/>
    </row>
    <row r="9383" ht="14.25" customHeight="1" s="192">
      <c r="W9383" s="239" t="n"/>
      <c r="X9383" s="239" t="n"/>
    </row>
    <row r="9384" ht="14.25" customHeight="1" s="192">
      <c r="W9384" s="235" t="n"/>
      <c r="X9384" s="235" t="n"/>
    </row>
    <row r="9385" ht="14.25" customHeight="1" s="192">
      <c r="W9385" s="235" t="n"/>
      <c r="X9385" s="235" t="n"/>
    </row>
    <row r="9386" ht="14.25" customHeight="1" s="192">
      <c r="W9386" s="239" t="n"/>
      <c r="X9386" s="239" t="n"/>
    </row>
    <row r="9387" ht="14.25" customHeight="1" s="192">
      <c r="W9387" s="235" t="n"/>
      <c r="X9387" s="235" t="n"/>
    </row>
    <row r="9388" ht="14.25" customHeight="1" s="192">
      <c r="W9388" s="239" t="n"/>
      <c r="X9388" s="239" t="n"/>
    </row>
    <row r="9390" ht="14.25" customHeight="1" s="192">
      <c r="W9390" s="235" t="n"/>
      <c r="X9390" s="235" t="n"/>
    </row>
    <row r="9391" ht="15" customHeight="1" s="192" thickBot="1">
      <c r="W9391" s="239" t="n"/>
      <c r="X9391" s="239" t="n"/>
    </row>
    <row r="9392" ht="15" customHeight="1" s="192" thickBot="1">
      <c r="W9392" s="45" t="n"/>
      <c r="X9392" s="45" t="n"/>
    </row>
    <row r="9393" ht="14.25" customHeight="1" s="192">
      <c r="W9393" s="228" t="n"/>
      <c r="X9393" s="228" t="n"/>
    </row>
    <row r="9394" ht="14.25" customHeight="1" s="192">
      <c r="W9394" s="228" t="n"/>
      <c r="X9394" s="228" t="n"/>
    </row>
    <row r="9395" ht="14.25" customHeight="1" s="192">
      <c r="W9395" s="231" t="n"/>
      <c r="X9395" s="231" t="n"/>
    </row>
    <row r="9396" ht="14.25" customHeight="1" s="192">
      <c r="W9396" s="33" t="n"/>
      <c r="X9396" s="33" t="n"/>
    </row>
    <row r="9397" ht="14.25" customHeight="1" s="192">
      <c r="W9397" s="231" t="n"/>
      <c r="X9397" s="231" t="n"/>
    </row>
    <row r="9398" ht="14.25" customHeight="1" s="192">
      <c r="W9398" s="33" t="n"/>
      <c r="X9398" s="33" t="n"/>
    </row>
    <row r="9400" ht="14.25" customHeight="1" s="192">
      <c r="W9400" s="231" t="n"/>
      <c r="X9400" s="231" t="n"/>
    </row>
    <row r="9401" ht="14.25" customHeight="1" s="192">
      <c r="W9401" s="235" t="n"/>
      <c r="X9401" s="235" t="n"/>
    </row>
    <row r="9402" ht="14.25" customHeight="1" s="192">
      <c r="W9402" s="228" t="n"/>
      <c r="X9402" s="228" t="n"/>
    </row>
    <row r="9403" ht="14.25" customHeight="1" s="192">
      <c r="W9403" s="235" t="n"/>
      <c r="X9403" s="235" t="n"/>
    </row>
    <row r="9404" ht="14.25" customHeight="1" s="192">
      <c r="W9404" s="235" t="n"/>
      <c r="X9404" s="235" t="n"/>
    </row>
    <row r="9405" ht="14.25" customHeight="1" s="192">
      <c r="W9405" s="235" t="n"/>
      <c r="X9405" s="235" t="n"/>
    </row>
    <row r="9406" ht="14.25" customHeight="1" s="192">
      <c r="W9406" s="239" t="n"/>
      <c r="X9406" s="239" t="n"/>
    </row>
    <row r="9407" ht="14.25" customHeight="1" s="192">
      <c r="W9407" s="239" t="n"/>
      <c r="X9407" s="239" t="n"/>
    </row>
    <row r="9408" ht="14.25" customHeight="1" s="192">
      <c r="W9408" s="239" t="n"/>
      <c r="X9408" s="239" t="n"/>
    </row>
    <row r="9409" ht="14.25" customHeight="1" s="192">
      <c r="W9409" s="235" t="n"/>
      <c r="X9409" s="235" t="n"/>
    </row>
    <row r="9410" ht="14.25" customHeight="1" s="192">
      <c r="W9410" s="235" t="n"/>
      <c r="X9410" s="235" t="n"/>
    </row>
    <row r="9411" ht="14.25" customHeight="1" s="192">
      <c r="W9411" s="235" t="n"/>
      <c r="X9411" s="235" t="n"/>
    </row>
    <row r="9412" ht="14.25" customHeight="1" s="192">
      <c r="W9412" s="239" t="n"/>
      <c r="X9412" s="239" t="n"/>
    </row>
    <row r="9413" ht="14.25" customHeight="1" s="192">
      <c r="W9413" s="239" t="n"/>
      <c r="X9413" s="239" t="n"/>
    </row>
    <row r="9414" ht="14.25" customHeight="1" s="192">
      <c r="W9414" s="235" t="n"/>
      <c r="X9414" s="235" t="n"/>
    </row>
    <row r="9415" ht="14.25" customHeight="1" s="192">
      <c r="W9415" s="235" t="n"/>
      <c r="X9415" s="235" t="n"/>
    </row>
    <row r="9416" ht="14.25" customHeight="1" s="192">
      <c r="W9416" s="239" t="n"/>
      <c r="X9416" s="239" t="n"/>
    </row>
    <row r="9417" ht="14.25" customHeight="1" s="192">
      <c r="W9417" s="235" t="n"/>
      <c r="X9417" s="235" t="n"/>
    </row>
    <row r="9418" ht="14.25" customHeight="1" s="192">
      <c r="W9418" s="239" t="n"/>
      <c r="X9418" s="239" t="n"/>
    </row>
    <row r="9420" ht="14.25" customHeight="1" s="192">
      <c r="W9420" s="235" t="n"/>
      <c r="X9420" s="235" t="n"/>
    </row>
    <row r="9421" ht="15" customHeight="1" s="192" thickBot="1">
      <c r="W9421" s="239" t="n"/>
      <c r="X9421" s="239" t="n"/>
    </row>
    <row r="9422" ht="15" customHeight="1" s="192" thickBot="1">
      <c r="W9422" s="45" t="n"/>
      <c r="X9422" s="45" t="n"/>
    </row>
    <row r="9423" ht="14.25" customHeight="1" s="192">
      <c r="W9423" s="228" t="n"/>
      <c r="X9423" s="228" t="n"/>
    </row>
    <row r="9424" ht="14.25" customHeight="1" s="192">
      <c r="W9424" s="228" t="n"/>
      <c r="X9424" s="228" t="n"/>
    </row>
    <row r="9425" ht="14.25" customHeight="1" s="192">
      <c r="W9425" s="231" t="n"/>
      <c r="X9425" s="231" t="n"/>
    </row>
    <row r="9426" ht="14.25" customHeight="1" s="192">
      <c r="W9426" s="33" t="n"/>
      <c r="X9426" s="33" t="n"/>
    </row>
    <row r="9427" ht="14.25" customHeight="1" s="192">
      <c r="W9427" s="231" t="n"/>
      <c r="X9427" s="231" t="n"/>
    </row>
    <row r="9428" ht="14.25" customHeight="1" s="192">
      <c r="W9428" s="33" t="n"/>
      <c r="X9428" s="33" t="n"/>
    </row>
    <row r="9430" ht="14.25" customHeight="1" s="192">
      <c r="W9430" s="231" t="n"/>
      <c r="X9430" s="231" t="n"/>
    </row>
    <row r="9431" ht="14.25" customHeight="1" s="192">
      <c r="W9431" s="235" t="n"/>
      <c r="X9431" s="235" t="n"/>
    </row>
    <row r="9432" ht="14.25" customHeight="1" s="192">
      <c r="W9432" s="228" t="n"/>
      <c r="X9432" s="228" t="n"/>
    </row>
    <row r="9433" ht="14.25" customHeight="1" s="192">
      <c r="W9433" s="235" t="n"/>
      <c r="X9433" s="235" t="n"/>
    </row>
    <row r="9434" ht="14.25" customHeight="1" s="192">
      <c r="W9434" s="235" t="n"/>
      <c r="X9434" s="235" t="n"/>
    </row>
    <row r="9435" ht="14.25" customHeight="1" s="192">
      <c r="W9435" s="235" t="n"/>
      <c r="X9435" s="235" t="n"/>
    </row>
    <row r="9436" ht="14.25" customHeight="1" s="192">
      <c r="W9436" s="239" t="n"/>
      <c r="X9436" s="239" t="n"/>
    </row>
    <row r="9437" ht="14.25" customHeight="1" s="192">
      <c r="W9437" s="239" t="n"/>
      <c r="X9437" s="239" t="n"/>
    </row>
    <row r="9438" ht="14.25" customHeight="1" s="192">
      <c r="W9438" s="239" t="n"/>
      <c r="X9438" s="239" t="n"/>
    </row>
    <row r="9439" ht="14.25" customHeight="1" s="192">
      <c r="W9439" s="235" t="n"/>
      <c r="X9439" s="235" t="n"/>
    </row>
    <row r="9440" ht="14.25" customHeight="1" s="192">
      <c r="W9440" s="235" t="n"/>
      <c r="X9440" s="235" t="n"/>
    </row>
    <row r="9441" ht="14.25" customHeight="1" s="192">
      <c r="W9441" s="235" t="n"/>
      <c r="X9441" s="235" t="n"/>
    </row>
    <row r="9442" ht="14.25" customHeight="1" s="192">
      <c r="W9442" s="239" t="n"/>
      <c r="X9442" s="239" t="n"/>
    </row>
    <row r="9443" ht="14.25" customHeight="1" s="192">
      <c r="W9443" s="239" t="n"/>
      <c r="X9443" s="239" t="n"/>
    </row>
    <row r="9444" ht="14.25" customHeight="1" s="192">
      <c r="W9444" s="235" t="n"/>
      <c r="X9444" s="235" t="n"/>
    </row>
    <row r="9445" ht="14.25" customHeight="1" s="192">
      <c r="W9445" s="235" t="n"/>
      <c r="X9445" s="235" t="n"/>
    </row>
    <row r="9446" ht="14.25" customHeight="1" s="192">
      <c r="W9446" s="239" t="n"/>
      <c r="X9446" s="239" t="n"/>
    </row>
    <row r="9447" ht="14.25" customHeight="1" s="192">
      <c r="W9447" s="235" t="n"/>
      <c r="X9447" s="235" t="n"/>
    </row>
    <row r="9448" ht="14.25" customHeight="1" s="192">
      <c r="W9448" s="239" t="n"/>
      <c r="X9448" s="239" t="n"/>
    </row>
    <row r="9450" ht="14.25" customHeight="1" s="192">
      <c r="W9450" s="235" t="n"/>
      <c r="X9450" s="235" t="n"/>
    </row>
    <row r="9451" ht="15" customHeight="1" s="192" thickBot="1">
      <c r="W9451" s="239" t="n"/>
      <c r="X9451" s="239" t="n"/>
    </row>
    <row r="9452" ht="15" customHeight="1" s="192" thickBot="1">
      <c r="W9452" s="45" t="n"/>
      <c r="X9452" s="45" t="n"/>
    </row>
    <row r="9453" ht="14.25" customHeight="1" s="192">
      <c r="W9453" s="228" t="n"/>
      <c r="X9453" s="228" t="n"/>
    </row>
    <row r="9454" ht="14.25" customHeight="1" s="192">
      <c r="W9454" s="228" t="n"/>
      <c r="X9454" s="228" t="n"/>
    </row>
    <row r="9455" ht="14.25" customHeight="1" s="192">
      <c r="W9455" s="231" t="n"/>
      <c r="X9455" s="231" t="n"/>
    </row>
    <row r="9456" ht="14.25" customHeight="1" s="192">
      <c r="W9456" s="33" t="n"/>
      <c r="X9456" s="33" t="n"/>
    </row>
    <row r="9457" ht="14.25" customHeight="1" s="192">
      <c r="W9457" s="231" t="n"/>
      <c r="X9457" s="231" t="n"/>
    </row>
    <row r="9458" ht="14.25" customHeight="1" s="192">
      <c r="W9458" s="33" t="n"/>
      <c r="X9458" s="33" t="n"/>
    </row>
    <row r="9460" ht="14.25" customHeight="1" s="192">
      <c r="W9460" s="231" t="n"/>
      <c r="X9460" s="231" t="n"/>
    </row>
    <row r="9461" ht="14.25" customHeight="1" s="192">
      <c r="W9461" s="235" t="n"/>
      <c r="X9461" s="235" t="n"/>
    </row>
    <row r="9462" ht="14.25" customHeight="1" s="192">
      <c r="W9462" s="228" t="n"/>
      <c r="X9462" s="228" t="n"/>
    </row>
    <row r="9463" ht="14.25" customHeight="1" s="192">
      <c r="W9463" s="235" t="n"/>
      <c r="X9463" s="235" t="n"/>
    </row>
    <row r="9464" ht="14.25" customHeight="1" s="192">
      <c r="W9464" s="235" t="n"/>
      <c r="X9464" s="235" t="n"/>
    </row>
    <row r="9465" ht="14.25" customHeight="1" s="192">
      <c r="W9465" s="235" t="n"/>
      <c r="X9465" s="235" t="n"/>
    </row>
    <row r="9466" ht="14.25" customHeight="1" s="192">
      <c r="W9466" s="239" t="n"/>
      <c r="X9466" s="239" t="n"/>
    </row>
    <row r="9467" ht="14.25" customHeight="1" s="192">
      <c r="W9467" s="239" t="n"/>
      <c r="X9467" s="239" t="n"/>
    </row>
    <row r="9468" ht="14.25" customHeight="1" s="192">
      <c r="W9468" s="239" t="n"/>
      <c r="X9468" s="239" t="n"/>
    </row>
    <row r="9469" ht="14.25" customHeight="1" s="192">
      <c r="W9469" s="235" t="n"/>
      <c r="X9469" s="235" t="n"/>
    </row>
    <row r="9470" ht="14.25" customHeight="1" s="192">
      <c r="W9470" s="235" t="n"/>
      <c r="X9470" s="235" t="n"/>
    </row>
    <row r="9471" ht="14.25" customHeight="1" s="192">
      <c r="W9471" s="235" t="n"/>
      <c r="X9471" s="235" t="n"/>
    </row>
    <row r="9472" ht="14.25" customHeight="1" s="192">
      <c r="W9472" s="239" t="n"/>
      <c r="X9472" s="239" t="n"/>
    </row>
    <row r="9473" ht="14.25" customHeight="1" s="192">
      <c r="W9473" s="239" t="n"/>
      <c r="X9473" s="239" t="n"/>
    </row>
    <row r="9474" ht="14.25" customHeight="1" s="192">
      <c r="W9474" s="235" t="n"/>
      <c r="X9474" s="235" t="n"/>
    </row>
    <row r="9475" ht="14.25" customHeight="1" s="192">
      <c r="W9475" s="235" t="n"/>
      <c r="X9475" s="235" t="n"/>
    </row>
    <row r="9476" ht="14.25" customHeight="1" s="192">
      <c r="W9476" s="239" t="n"/>
      <c r="X9476" s="239" t="n"/>
    </row>
    <row r="9477" ht="14.25" customHeight="1" s="192">
      <c r="W9477" s="235" t="n"/>
      <c r="X9477" s="235" t="n"/>
    </row>
    <row r="9478" ht="14.25" customHeight="1" s="192">
      <c r="W9478" s="239" t="n"/>
      <c r="X9478" s="239" t="n"/>
    </row>
    <row r="9480" ht="14.25" customHeight="1" s="192">
      <c r="W9480" s="235" t="n"/>
      <c r="X9480" s="235" t="n"/>
    </row>
    <row r="9481" ht="15" customHeight="1" s="192" thickBot="1">
      <c r="W9481" s="239" t="n"/>
      <c r="X9481" s="239" t="n"/>
    </row>
    <row r="9482" ht="15" customHeight="1" s="192" thickBot="1">
      <c r="W9482" s="45" t="n"/>
      <c r="X9482" s="45" t="n"/>
    </row>
    <row r="9483" ht="14.25" customHeight="1" s="192">
      <c r="W9483" s="228" t="n"/>
      <c r="X9483" s="228" t="n"/>
    </row>
    <row r="9484" ht="14.25" customHeight="1" s="192">
      <c r="W9484" s="228" t="n"/>
      <c r="X9484" s="228" t="n"/>
    </row>
    <row r="9485" ht="14.25" customHeight="1" s="192">
      <c r="W9485" s="231" t="n"/>
      <c r="X9485" s="231" t="n"/>
    </row>
    <row r="9486" ht="14.25" customHeight="1" s="192">
      <c r="W9486" s="33" t="n"/>
      <c r="X9486" s="33" t="n"/>
    </row>
    <row r="9487" ht="14.25" customHeight="1" s="192">
      <c r="W9487" s="231" t="n"/>
      <c r="X9487" s="231" t="n"/>
    </row>
    <row r="9488" ht="14.25" customHeight="1" s="192">
      <c r="W9488" s="33" t="n"/>
      <c r="X9488" s="33" t="n"/>
    </row>
    <row r="9490" ht="14.25" customHeight="1" s="192">
      <c r="W9490" s="231" t="n"/>
      <c r="X9490" s="231" t="n"/>
    </row>
    <row r="9491" ht="14.25" customHeight="1" s="192">
      <c r="W9491" s="235" t="n"/>
      <c r="X9491" s="235" t="n"/>
    </row>
    <row r="9492" ht="14.25" customHeight="1" s="192">
      <c r="W9492" s="228" t="n"/>
      <c r="X9492" s="228" t="n"/>
    </row>
    <row r="9493" ht="14.25" customHeight="1" s="192">
      <c r="W9493" s="235" t="n"/>
      <c r="X9493" s="235" t="n"/>
    </row>
    <row r="9494" ht="14.25" customHeight="1" s="192">
      <c r="W9494" s="235" t="n"/>
      <c r="X9494" s="235" t="n"/>
    </row>
    <row r="9495" ht="14.25" customHeight="1" s="192">
      <c r="W9495" s="235" t="n"/>
      <c r="X9495" s="235" t="n"/>
    </row>
    <row r="9496" ht="14.25" customHeight="1" s="192">
      <c r="W9496" s="239" t="n"/>
      <c r="X9496" s="239" t="n"/>
    </row>
    <row r="9497" ht="14.25" customHeight="1" s="192">
      <c r="W9497" s="239" t="n"/>
      <c r="X9497" s="239" t="n"/>
    </row>
    <row r="9498" ht="14.25" customHeight="1" s="192">
      <c r="W9498" s="239" t="n"/>
      <c r="X9498" s="239" t="n"/>
    </row>
    <row r="9499" ht="14.25" customHeight="1" s="192">
      <c r="W9499" s="235" t="n"/>
      <c r="X9499" s="235" t="n"/>
    </row>
    <row r="9500" ht="14.25" customHeight="1" s="192">
      <c r="W9500" s="235" t="n"/>
      <c r="X9500" s="235" t="n"/>
    </row>
    <row r="9501" ht="14.25" customHeight="1" s="192">
      <c r="W9501" s="235" t="n"/>
      <c r="X9501" s="235" t="n"/>
    </row>
    <row r="9502" ht="14.25" customHeight="1" s="192">
      <c r="W9502" s="239" t="n"/>
      <c r="X9502" s="239" t="n"/>
    </row>
    <row r="9503" ht="14.25" customHeight="1" s="192">
      <c r="W9503" s="239" t="n"/>
      <c r="X9503" s="239" t="n"/>
    </row>
    <row r="9504" ht="14.25" customHeight="1" s="192">
      <c r="W9504" s="235" t="n"/>
      <c r="X9504" s="235" t="n"/>
    </row>
    <row r="9505" ht="14.25" customHeight="1" s="192">
      <c r="W9505" s="235" t="n"/>
      <c r="X9505" s="235" t="n"/>
    </row>
    <row r="9506" ht="14.25" customHeight="1" s="192">
      <c r="W9506" s="239" t="n"/>
      <c r="X9506" s="239" t="n"/>
    </row>
    <row r="9507" ht="14.25" customHeight="1" s="192">
      <c r="W9507" s="235" t="n"/>
      <c r="X9507" s="235" t="n"/>
    </row>
    <row r="9508" ht="14.25" customHeight="1" s="192">
      <c r="W9508" s="239" t="n"/>
      <c r="X9508" s="239" t="n"/>
    </row>
    <row r="9510" ht="14.25" customHeight="1" s="192">
      <c r="W9510" s="235" t="n"/>
      <c r="X9510" s="235" t="n"/>
    </row>
    <row r="9511" ht="15" customHeight="1" s="192" thickBot="1">
      <c r="W9511" s="239" t="n"/>
      <c r="X9511" s="239" t="n"/>
    </row>
    <row r="9512" ht="15" customHeight="1" s="192" thickBot="1">
      <c r="W9512" s="45" t="n"/>
      <c r="X9512" s="45" t="n"/>
    </row>
    <row r="9513" ht="14.25" customHeight="1" s="192">
      <c r="W9513" s="228" t="n"/>
      <c r="X9513" s="228" t="n"/>
    </row>
    <row r="9514" ht="14.25" customHeight="1" s="192">
      <c r="W9514" s="228" t="n"/>
      <c r="X9514" s="228" t="n"/>
    </row>
    <row r="9515" ht="14.25" customHeight="1" s="192">
      <c r="W9515" s="231" t="n"/>
      <c r="X9515" s="231" t="n"/>
    </row>
    <row r="9516" ht="14.25" customHeight="1" s="192">
      <c r="W9516" s="33" t="n"/>
      <c r="X9516" s="33" t="n"/>
    </row>
    <row r="9517" ht="14.25" customHeight="1" s="192">
      <c r="W9517" s="231" t="n"/>
      <c r="X9517" s="231" t="n"/>
    </row>
    <row r="9518" ht="14.25" customHeight="1" s="192">
      <c r="W9518" s="33" t="n"/>
      <c r="X9518" s="33" t="n"/>
    </row>
    <row r="9520" ht="14.25" customHeight="1" s="192">
      <c r="W9520" s="231" t="n"/>
      <c r="X9520" s="231" t="n"/>
    </row>
    <row r="9521" ht="14.25" customHeight="1" s="192">
      <c r="W9521" s="235" t="n"/>
      <c r="X9521" s="235" t="n"/>
    </row>
    <row r="9522" ht="14.25" customHeight="1" s="192">
      <c r="W9522" s="228" t="n"/>
      <c r="X9522" s="228" t="n"/>
    </row>
    <row r="9523" ht="14.25" customHeight="1" s="192">
      <c r="W9523" s="235" t="n"/>
      <c r="X9523" s="235" t="n"/>
    </row>
    <row r="9524" ht="14.25" customHeight="1" s="192">
      <c r="W9524" s="235" t="n"/>
      <c r="X9524" s="235" t="n"/>
    </row>
    <row r="9525" ht="14.25" customHeight="1" s="192">
      <c r="W9525" s="235" t="n"/>
      <c r="X9525" s="235" t="n"/>
    </row>
    <row r="9526" ht="14.25" customHeight="1" s="192">
      <c r="W9526" s="239" t="n"/>
      <c r="X9526" s="239" t="n"/>
    </row>
    <row r="9527" ht="14.25" customHeight="1" s="192">
      <c r="W9527" s="239" t="n"/>
      <c r="X9527" s="239" t="n"/>
    </row>
    <row r="9528" ht="14.25" customHeight="1" s="192">
      <c r="W9528" s="239" t="n"/>
      <c r="X9528" s="239" t="n"/>
    </row>
    <row r="9529" ht="14.25" customHeight="1" s="192">
      <c r="W9529" s="235" t="n"/>
      <c r="X9529" s="235" t="n"/>
    </row>
    <row r="9530" ht="14.25" customHeight="1" s="192">
      <c r="W9530" s="235" t="n"/>
      <c r="X9530" s="235" t="n"/>
    </row>
    <row r="9531" ht="14.25" customHeight="1" s="192">
      <c r="W9531" s="235" t="n"/>
      <c r="X9531" s="235" t="n"/>
    </row>
    <row r="9532" ht="14.25" customHeight="1" s="192">
      <c r="W9532" s="239" t="n"/>
      <c r="X9532" s="239" t="n"/>
    </row>
    <row r="9533" ht="14.25" customHeight="1" s="192">
      <c r="W9533" s="239" t="n"/>
      <c r="X9533" s="239" t="n"/>
    </row>
    <row r="9534" ht="14.25" customHeight="1" s="192">
      <c r="W9534" s="235" t="n"/>
      <c r="X9534" s="235" t="n"/>
    </row>
    <row r="9535" ht="14.25" customHeight="1" s="192">
      <c r="W9535" s="235" t="n"/>
      <c r="X9535" s="235" t="n"/>
    </row>
    <row r="9536" ht="14.25" customHeight="1" s="192">
      <c r="W9536" s="239" t="n"/>
      <c r="X9536" s="239" t="n"/>
    </row>
    <row r="9537" ht="14.25" customHeight="1" s="192">
      <c r="W9537" s="235" t="n"/>
      <c r="X9537" s="235" t="n"/>
    </row>
    <row r="9538" ht="14.25" customHeight="1" s="192">
      <c r="W9538" s="239" t="n"/>
      <c r="X9538" s="239" t="n"/>
    </row>
    <row r="9540" ht="14.25" customHeight="1" s="192">
      <c r="W9540" s="235" t="n"/>
      <c r="X9540" s="235" t="n"/>
    </row>
    <row r="9541" ht="15" customHeight="1" s="192" thickBot="1">
      <c r="W9541" s="239" t="n"/>
      <c r="X9541" s="239" t="n"/>
    </row>
    <row r="9542" ht="15" customHeight="1" s="192" thickBot="1">
      <c r="W9542" s="45" t="n"/>
      <c r="X9542" s="45" t="n"/>
    </row>
    <row r="9543" ht="14.25" customHeight="1" s="192">
      <c r="W9543" s="228" t="n"/>
      <c r="X9543" s="228" t="n"/>
    </row>
    <row r="9544" ht="14.25" customHeight="1" s="192">
      <c r="W9544" s="228" t="n"/>
      <c r="X9544" s="228" t="n"/>
    </row>
    <row r="9545" ht="14.25" customHeight="1" s="192">
      <c r="W9545" s="231" t="n"/>
      <c r="X9545" s="231" t="n"/>
    </row>
    <row r="9546" ht="14.25" customHeight="1" s="192">
      <c r="W9546" s="33" t="n"/>
      <c r="X9546" s="33" t="n"/>
    </row>
    <row r="9547" ht="14.25" customHeight="1" s="192">
      <c r="W9547" s="231" t="n"/>
      <c r="X9547" s="231" t="n"/>
    </row>
    <row r="9548" ht="14.25" customHeight="1" s="192">
      <c r="W9548" s="33" t="n"/>
      <c r="X9548" s="33" t="n"/>
    </row>
    <row r="9550" ht="14.25" customHeight="1" s="192">
      <c r="W9550" s="231" t="n"/>
      <c r="X9550" s="231" t="n"/>
    </row>
    <row r="9551" ht="14.25" customHeight="1" s="192">
      <c r="W9551" s="235" t="n"/>
      <c r="X9551" s="235" t="n"/>
    </row>
    <row r="9552" ht="14.25" customHeight="1" s="192">
      <c r="W9552" s="228" t="n"/>
      <c r="X9552" s="228" t="n"/>
    </row>
    <row r="9553" ht="14.25" customHeight="1" s="192">
      <c r="W9553" s="235" t="n"/>
      <c r="X9553" s="235" t="n"/>
    </row>
    <row r="9554" ht="14.25" customHeight="1" s="192">
      <c r="W9554" s="235" t="n"/>
      <c r="X9554" s="235" t="n"/>
    </row>
    <row r="9555" ht="14.25" customHeight="1" s="192">
      <c r="W9555" s="235" t="n"/>
      <c r="X9555" s="235" t="n"/>
    </row>
    <row r="9556" ht="14.25" customHeight="1" s="192">
      <c r="W9556" s="239" t="n"/>
      <c r="X9556" s="239" t="n"/>
    </row>
    <row r="9557" ht="14.25" customHeight="1" s="192">
      <c r="W9557" s="239" t="n"/>
      <c r="X9557" s="239" t="n"/>
    </row>
    <row r="9558" ht="14.25" customHeight="1" s="192">
      <c r="W9558" s="239" t="n"/>
      <c r="X9558" s="239" t="n"/>
    </row>
    <row r="9559" ht="14.25" customHeight="1" s="192">
      <c r="W9559" s="235" t="n"/>
      <c r="X9559" s="235" t="n"/>
    </row>
    <row r="9560" ht="14.25" customHeight="1" s="192">
      <c r="W9560" s="235" t="n"/>
      <c r="X9560" s="235" t="n"/>
    </row>
    <row r="9561" ht="14.25" customHeight="1" s="192">
      <c r="W9561" s="235" t="n"/>
      <c r="X9561" s="235" t="n"/>
    </row>
    <row r="9562" ht="14.25" customHeight="1" s="192">
      <c r="W9562" s="239" t="n"/>
      <c r="X9562" s="239" t="n"/>
    </row>
    <row r="9563" ht="14.25" customHeight="1" s="192">
      <c r="W9563" s="239" t="n"/>
      <c r="X9563" s="239" t="n"/>
    </row>
    <row r="9564" ht="14.25" customHeight="1" s="192">
      <c r="W9564" s="235" t="n"/>
      <c r="X9564" s="235" t="n"/>
    </row>
    <row r="9565" ht="14.25" customHeight="1" s="192">
      <c r="W9565" s="235" t="n"/>
      <c r="X9565" s="235" t="n"/>
    </row>
    <row r="9566" ht="14.25" customHeight="1" s="192">
      <c r="W9566" s="239" t="n"/>
      <c r="X9566" s="239" t="n"/>
    </row>
    <row r="9567" ht="14.25" customHeight="1" s="192">
      <c r="W9567" s="235" t="n"/>
      <c r="X9567" s="235" t="n"/>
    </row>
    <row r="9568" ht="14.25" customHeight="1" s="192">
      <c r="W9568" s="239" t="n"/>
      <c r="X9568" s="239" t="n"/>
    </row>
    <row r="9570" ht="14.25" customHeight="1" s="192">
      <c r="W9570" s="235" t="n"/>
      <c r="X9570" s="235" t="n"/>
    </row>
    <row r="9571" ht="15" customHeight="1" s="192" thickBot="1">
      <c r="W9571" s="239" t="n"/>
      <c r="X9571" s="239" t="n"/>
    </row>
    <row r="9572" ht="15" customHeight="1" s="192" thickBot="1">
      <c r="W9572" s="45" t="n"/>
      <c r="X9572" s="45" t="n"/>
    </row>
    <row r="9573" ht="14.25" customHeight="1" s="192">
      <c r="W9573" s="228" t="n"/>
      <c r="X9573" s="228" t="n"/>
    </row>
    <row r="9574" ht="14.25" customHeight="1" s="192">
      <c r="W9574" s="228" t="n"/>
      <c r="X9574" s="228" t="n"/>
    </row>
    <row r="9575" ht="14.25" customHeight="1" s="192">
      <c r="W9575" s="231" t="n"/>
      <c r="X9575" s="231" t="n"/>
    </row>
    <row r="9576" ht="14.25" customHeight="1" s="192">
      <c r="W9576" s="33" t="n"/>
      <c r="X9576" s="33" t="n"/>
    </row>
    <row r="9577" ht="14.25" customHeight="1" s="192">
      <c r="W9577" s="231" t="n"/>
      <c r="X9577" s="231" t="n"/>
    </row>
    <row r="9578" ht="14.25" customHeight="1" s="192">
      <c r="W9578" s="33" t="n"/>
      <c r="X9578" s="33" t="n"/>
    </row>
    <row r="9580" ht="14.25" customHeight="1" s="192">
      <c r="W9580" s="231" t="n"/>
      <c r="X9580" s="231" t="n"/>
    </row>
    <row r="9581" ht="14.25" customHeight="1" s="192">
      <c r="W9581" s="235" t="n"/>
      <c r="X9581" s="235" t="n"/>
    </row>
    <row r="9582" ht="14.25" customHeight="1" s="192">
      <c r="W9582" s="228" t="n"/>
      <c r="X9582" s="228" t="n"/>
    </row>
    <row r="9583" ht="14.25" customHeight="1" s="192">
      <c r="W9583" s="235" t="n"/>
      <c r="X9583" s="235" t="n"/>
    </row>
    <row r="9584" ht="14.25" customHeight="1" s="192">
      <c r="W9584" s="235" t="n"/>
      <c r="X9584" s="235" t="n"/>
    </row>
    <row r="9585" ht="14.25" customHeight="1" s="192">
      <c r="W9585" s="235" t="n"/>
      <c r="X9585" s="235" t="n"/>
    </row>
    <row r="9586" ht="14.25" customHeight="1" s="192">
      <c r="W9586" s="239" t="n"/>
      <c r="X9586" s="239" t="n"/>
    </row>
    <row r="9587" ht="14.25" customHeight="1" s="192">
      <c r="W9587" s="239" t="n"/>
      <c r="X9587" s="239" t="n"/>
    </row>
    <row r="9588" ht="14.25" customHeight="1" s="192">
      <c r="W9588" s="239" t="n"/>
      <c r="X9588" s="239" t="n"/>
    </row>
    <row r="9589" ht="14.25" customHeight="1" s="192">
      <c r="W9589" s="235" t="n"/>
      <c r="X9589" s="235" t="n"/>
    </row>
    <row r="9590" ht="14.25" customHeight="1" s="192">
      <c r="W9590" s="235" t="n"/>
      <c r="X9590" s="235" t="n"/>
    </row>
    <row r="9591" ht="14.25" customHeight="1" s="192">
      <c r="W9591" s="235" t="n"/>
      <c r="X9591" s="235" t="n"/>
    </row>
    <row r="9592" ht="14.25" customHeight="1" s="192">
      <c r="W9592" s="239" t="n"/>
      <c r="X9592" s="239" t="n"/>
    </row>
    <row r="9593" ht="14.25" customHeight="1" s="192">
      <c r="W9593" s="239" t="n"/>
      <c r="X9593" s="239" t="n"/>
    </row>
    <row r="9594" ht="14.25" customHeight="1" s="192">
      <c r="W9594" s="235" t="n"/>
      <c r="X9594" s="235" t="n"/>
    </row>
    <row r="9595" ht="14.25" customHeight="1" s="192">
      <c r="W9595" s="235" t="n"/>
      <c r="X9595" s="235" t="n"/>
    </row>
    <row r="9596" ht="14.25" customHeight="1" s="192">
      <c r="W9596" s="239" t="n"/>
      <c r="X9596" s="239" t="n"/>
    </row>
    <row r="9597" ht="14.25" customHeight="1" s="192">
      <c r="W9597" s="235" t="n"/>
      <c r="X9597" s="235" t="n"/>
    </row>
    <row r="9598" ht="14.25" customHeight="1" s="192">
      <c r="W9598" s="239" t="n"/>
      <c r="X9598" s="239" t="n"/>
    </row>
    <row r="9600" ht="14.25" customHeight="1" s="192">
      <c r="W9600" s="235" t="n"/>
      <c r="X9600" s="235" t="n"/>
    </row>
    <row r="9601" ht="15" customHeight="1" s="192" thickBot="1">
      <c r="W9601" s="239" t="n"/>
      <c r="X9601" s="239" t="n"/>
    </row>
    <row r="9602" ht="15" customHeight="1" s="192" thickBot="1">
      <c r="W9602" s="45" t="n"/>
      <c r="X9602" s="45" t="n"/>
    </row>
    <row r="9603" ht="14.25" customHeight="1" s="192">
      <c r="W9603" s="228" t="n"/>
      <c r="X9603" s="228" t="n"/>
    </row>
    <row r="9604" ht="14.25" customHeight="1" s="192">
      <c r="W9604" s="228" t="n"/>
      <c r="X9604" s="228" t="n"/>
    </row>
    <row r="9605" ht="14.25" customHeight="1" s="192">
      <c r="W9605" s="231" t="n"/>
      <c r="X9605" s="231" t="n"/>
    </row>
    <row r="9606" ht="14.25" customHeight="1" s="192">
      <c r="W9606" s="33" t="n"/>
      <c r="X9606" s="33" t="n"/>
    </row>
    <row r="9607" ht="14.25" customHeight="1" s="192">
      <c r="W9607" s="231" t="n"/>
      <c r="X9607" s="231" t="n"/>
    </row>
    <row r="9608" ht="14.25" customHeight="1" s="192">
      <c r="W9608" s="33" t="n"/>
      <c r="X9608" s="33" t="n"/>
    </row>
    <row r="9610" ht="14.25" customHeight="1" s="192">
      <c r="W9610" s="231" t="n"/>
      <c r="X9610" s="231" t="n"/>
    </row>
    <row r="9611" ht="14.25" customHeight="1" s="192">
      <c r="W9611" s="235" t="n"/>
      <c r="X9611" s="235" t="n"/>
    </row>
    <row r="9612" ht="14.25" customHeight="1" s="192">
      <c r="W9612" s="228" t="n"/>
      <c r="X9612" s="228" t="n"/>
    </row>
    <row r="9613" ht="14.25" customHeight="1" s="192">
      <c r="W9613" s="235" t="n"/>
      <c r="X9613" s="235" t="n"/>
    </row>
    <row r="9614" ht="14.25" customHeight="1" s="192">
      <c r="W9614" s="235" t="n"/>
      <c r="X9614" s="235" t="n"/>
    </row>
    <row r="9615" ht="14.25" customHeight="1" s="192">
      <c r="W9615" s="235" t="n"/>
      <c r="X9615" s="235" t="n"/>
    </row>
    <row r="9616" ht="14.25" customHeight="1" s="192">
      <c r="W9616" s="239" t="n"/>
      <c r="X9616" s="239" t="n"/>
    </row>
    <row r="9617" ht="14.25" customHeight="1" s="192">
      <c r="W9617" s="239" t="n"/>
      <c r="X9617" s="239" t="n"/>
    </row>
    <row r="9618" ht="14.25" customHeight="1" s="192">
      <c r="W9618" s="239" t="n"/>
      <c r="X9618" s="239" t="n"/>
    </row>
    <row r="9619" ht="14.25" customHeight="1" s="192">
      <c r="W9619" s="235" t="n"/>
      <c r="X9619" s="235" t="n"/>
    </row>
    <row r="9620" ht="14.25" customHeight="1" s="192">
      <c r="W9620" s="235" t="n"/>
      <c r="X9620" s="235" t="n"/>
    </row>
    <row r="9621" ht="14.25" customHeight="1" s="192">
      <c r="W9621" s="235" t="n"/>
      <c r="X9621" s="235" t="n"/>
    </row>
    <row r="9622" ht="14.25" customHeight="1" s="192">
      <c r="W9622" s="239" t="n"/>
      <c r="X9622" s="239" t="n"/>
    </row>
    <row r="9623" ht="14.25" customHeight="1" s="192">
      <c r="W9623" s="239" t="n"/>
      <c r="X9623" s="239" t="n"/>
    </row>
    <row r="9624" ht="14.25" customHeight="1" s="192">
      <c r="W9624" s="235" t="n"/>
      <c r="X9624" s="235" t="n"/>
    </row>
    <row r="9625" ht="14.25" customHeight="1" s="192">
      <c r="W9625" s="235" t="n"/>
      <c r="X9625" s="235" t="n"/>
    </row>
    <row r="9626" ht="14.25" customHeight="1" s="192">
      <c r="W9626" s="239" t="n"/>
      <c r="X9626" s="239" t="n"/>
    </row>
    <row r="9627" ht="14.25" customHeight="1" s="192">
      <c r="W9627" s="235" t="n"/>
      <c r="X9627" s="235" t="n"/>
    </row>
    <row r="9628" ht="14.25" customHeight="1" s="192">
      <c r="W9628" s="239" t="n"/>
      <c r="X9628" s="239" t="n"/>
    </row>
    <row r="9630" ht="14.25" customHeight="1" s="192">
      <c r="W9630" s="235" t="n"/>
      <c r="X9630" s="235" t="n"/>
    </row>
    <row r="9631" ht="15" customHeight="1" s="192" thickBot="1">
      <c r="W9631" s="239" t="n"/>
      <c r="X9631" s="239" t="n"/>
    </row>
    <row r="9632" ht="15" customHeight="1" s="192" thickBot="1">
      <c r="W9632" s="45" t="n"/>
      <c r="X9632" s="45" t="n"/>
    </row>
    <row r="9633" ht="14.25" customHeight="1" s="192">
      <c r="W9633" s="228" t="n"/>
      <c r="X9633" s="228" t="n"/>
    </row>
    <row r="9634" ht="14.25" customHeight="1" s="192">
      <c r="W9634" s="228" t="n"/>
      <c r="X9634" s="228" t="n"/>
    </row>
    <row r="9635" ht="14.25" customHeight="1" s="192">
      <c r="W9635" s="231" t="n"/>
      <c r="X9635" s="231" t="n"/>
    </row>
    <row r="9636" ht="14.25" customHeight="1" s="192">
      <c r="W9636" s="33" t="n"/>
      <c r="X9636" s="33" t="n"/>
    </row>
    <row r="9637" ht="14.25" customHeight="1" s="192">
      <c r="W9637" s="231" t="n"/>
      <c r="X9637" s="231" t="n"/>
    </row>
    <row r="9638" ht="14.25" customHeight="1" s="192">
      <c r="W9638" s="33" t="n"/>
      <c r="X9638" s="33" t="n"/>
    </row>
    <row r="9640" ht="14.25" customHeight="1" s="192">
      <c r="W9640" s="231" t="n"/>
      <c r="X9640" s="231" t="n"/>
    </row>
    <row r="9641" ht="14.25" customHeight="1" s="192">
      <c r="W9641" s="235" t="n"/>
      <c r="X9641" s="235" t="n"/>
    </row>
    <row r="9642" ht="14.25" customHeight="1" s="192">
      <c r="W9642" s="228" t="n"/>
      <c r="X9642" s="228" t="n"/>
    </row>
    <row r="9643" ht="14.25" customHeight="1" s="192">
      <c r="W9643" s="235" t="n"/>
      <c r="X9643" s="235" t="n"/>
    </row>
    <row r="9644" ht="14.25" customHeight="1" s="192">
      <c r="W9644" s="235" t="n"/>
      <c r="X9644" s="235" t="n"/>
    </row>
    <row r="9645" ht="14.25" customHeight="1" s="192">
      <c r="W9645" s="235" t="n"/>
      <c r="X9645" s="235" t="n"/>
    </row>
    <row r="9646" ht="14.25" customHeight="1" s="192">
      <c r="W9646" s="239" t="n"/>
      <c r="X9646" s="239" t="n"/>
    </row>
    <row r="9647" ht="14.25" customHeight="1" s="192">
      <c r="W9647" s="239" t="n"/>
      <c r="X9647" s="239" t="n"/>
    </row>
    <row r="9648" ht="14.25" customHeight="1" s="192">
      <c r="W9648" s="239" t="n"/>
      <c r="X9648" s="239" t="n"/>
    </row>
    <row r="9649" ht="14.25" customHeight="1" s="192">
      <c r="W9649" s="235" t="n"/>
      <c r="X9649" s="235" t="n"/>
    </row>
    <row r="9650" ht="14.25" customHeight="1" s="192">
      <c r="W9650" s="235" t="n"/>
      <c r="X9650" s="235" t="n"/>
    </row>
    <row r="9651" ht="14.25" customHeight="1" s="192">
      <c r="W9651" s="235" t="n"/>
      <c r="X9651" s="235" t="n"/>
    </row>
    <row r="9652" ht="14.25" customHeight="1" s="192">
      <c r="W9652" s="239" t="n"/>
      <c r="X9652" s="239" t="n"/>
    </row>
    <row r="9653" ht="14.25" customHeight="1" s="192">
      <c r="W9653" s="239" t="n"/>
      <c r="X9653" s="239" t="n"/>
    </row>
    <row r="9654" ht="14.25" customHeight="1" s="192">
      <c r="W9654" s="235" t="n"/>
      <c r="X9654" s="235" t="n"/>
    </row>
    <row r="9655" ht="14.25" customHeight="1" s="192">
      <c r="W9655" s="235" t="n"/>
      <c r="X9655" s="235" t="n"/>
    </row>
    <row r="9656" ht="14.25" customHeight="1" s="192">
      <c r="W9656" s="239" t="n"/>
      <c r="X9656" s="239" t="n"/>
    </row>
    <row r="9657" ht="14.25" customHeight="1" s="192">
      <c r="W9657" s="235" t="n"/>
      <c r="X9657" s="235" t="n"/>
    </row>
    <row r="9658" ht="14.25" customHeight="1" s="192">
      <c r="W9658" s="239" t="n"/>
      <c r="X9658" s="239" t="n"/>
    </row>
    <row r="9660" ht="14.25" customHeight="1" s="192">
      <c r="W9660" s="235" t="n"/>
      <c r="X9660" s="235" t="n"/>
    </row>
    <row r="9661" ht="15" customHeight="1" s="192" thickBot="1">
      <c r="W9661" s="239" t="n"/>
      <c r="X9661" s="239" t="n"/>
    </row>
    <row r="9662" ht="15" customHeight="1" s="192" thickBot="1">
      <c r="W9662" s="45" t="n"/>
      <c r="X9662" s="45" t="n"/>
    </row>
    <row r="9663" ht="14.25" customHeight="1" s="192">
      <c r="W9663" s="228" t="n"/>
      <c r="X9663" s="228" t="n"/>
    </row>
    <row r="9664" ht="14.25" customHeight="1" s="192">
      <c r="W9664" s="228" t="n"/>
      <c r="X9664" s="228" t="n"/>
    </row>
    <row r="9665" ht="14.25" customHeight="1" s="192">
      <c r="W9665" s="231" t="n"/>
      <c r="X9665" s="231" t="n"/>
    </row>
    <row r="9666" ht="14.25" customHeight="1" s="192">
      <c r="W9666" s="33" t="n"/>
      <c r="X9666" s="33" t="n"/>
    </row>
    <row r="9667" ht="14.25" customHeight="1" s="192">
      <c r="W9667" s="231" t="n"/>
      <c r="X9667" s="231" t="n"/>
    </row>
    <row r="9668" ht="14.25" customHeight="1" s="192">
      <c r="W9668" s="33" t="n"/>
      <c r="X9668" s="33" t="n"/>
    </row>
    <row r="9670" ht="14.25" customHeight="1" s="192">
      <c r="W9670" s="231" t="n"/>
      <c r="X9670" s="231" t="n"/>
    </row>
    <row r="9671" ht="14.25" customHeight="1" s="192">
      <c r="W9671" s="235" t="n"/>
      <c r="X9671" s="235" t="n"/>
    </row>
    <row r="9672" ht="14.25" customHeight="1" s="192">
      <c r="W9672" s="228" t="n"/>
      <c r="X9672" s="228" t="n"/>
    </row>
    <row r="9673" ht="14.25" customHeight="1" s="192">
      <c r="W9673" s="235" t="n"/>
      <c r="X9673" s="235" t="n"/>
    </row>
    <row r="9674" ht="14.25" customHeight="1" s="192">
      <c r="W9674" s="235" t="n"/>
      <c r="X9674" s="235" t="n"/>
    </row>
    <row r="9675" ht="14.25" customHeight="1" s="192">
      <c r="W9675" s="235" t="n"/>
      <c r="X9675" s="235" t="n"/>
    </row>
    <row r="9676" ht="14.25" customHeight="1" s="192">
      <c r="W9676" s="239" t="n"/>
      <c r="X9676" s="239" t="n"/>
    </row>
    <row r="9677" ht="14.25" customHeight="1" s="192">
      <c r="W9677" s="239" t="n"/>
      <c r="X9677" s="239" t="n"/>
    </row>
    <row r="9678" ht="14.25" customHeight="1" s="192">
      <c r="W9678" s="239" t="n"/>
      <c r="X9678" s="239" t="n"/>
    </row>
    <row r="9679" ht="14.25" customHeight="1" s="192">
      <c r="W9679" s="235" t="n"/>
      <c r="X9679" s="235" t="n"/>
    </row>
    <row r="9680" ht="14.25" customHeight="1" s="192">
      <c r="W9680" s="235" t="n"/>
      <c r="X9680" s="235" t="n"/>
    </row>
    <row r="9681" ht="14.25" customHeight="1" s="192">
      <c r="W9681" s="235" t="n"/>
      <c r="X9681" s="235" t="n"/>
    </row>
    <row r="9682" ht="14.25" customHeight="1" s="192">
      <c r="W9682" s="239" t="n"/>
      <c r="X9682" s="239" t="n"/>
    </row>
    <row r="9683" ht="14.25" customHeight="1" s="192">
      <c r="W9683" s="239" t="n"/>
      <c r="X9683" s="239" t="n"/>
    </row>
    <row r="9684" ht="14.25" customHeight="1" s="192">
      <c r="W9684" s="235" t="n"/>
      <c r="X9684" s="235" t="n"/>
    </row>
    <row r="9685" ht="14.25" customHeight="1" s="192">
      <c r="W9685" s="235" t="n"/>
      <c r="X9685" s="235" t="n"/>
    </row>
    <row r="9686" ht="14.25" customHeight="1" s="192">
      <c r="W9686" s="239" t="n"/>
      <c r="X9686" s="239" t="n"/>
    </row>
    <row r="9687" ht="14.25" customHeight="1" s="192">
      <c r="W9687" s="235" t="n"/>
      <c r="X9687" s="235" t="n"/>
    </row>
    <row r="9688" ht="14.25" customHeight="1" s="192">
      <c r="W9688" s="239" t="n"/>
      <c r="X9688" s="239" t="n"/>
    </row>
    <row r="9690" ht="14.25" customHeight="1" s="192">
      <c r="W9690" s="235" t="n"/>
      <c r="X9690" s="235" t="n"/>
    </row>
    <row r="9691" ht="15" customHeight="1" s="192" thickBot="1">
      <c r="W9691" s="239" t="n"/>
      <c r="X9691" s="239" t="n"/>
    </row>
    <row r="9692" ht="15" customHeight="1" s="192" thickBot="1">
      <c r="W9692" s="45" t="n"/>
      <c r="X9692" s="45" t="n"/>
    </row>
    <row r="9693" ht="14.25" customHeight="1" s="192">
      <c r="W9693" s="228" t="n"/>
      <c r="X9693" s="228" t="n"/>
    </row>
    <row r="9694" ht="14.25" customHeight="1" s="192">
      <c r="W9694" s="228" t="n"/>
      <c r="X9694" s="228" t="n"/>
    </row>
    <row r="9695" ht="14.25" customHeight="1" s="192">
      <c r="W9695" s="231" t="n"/>
      <c r="X9695" s="231" t="n"/>
    </row>
    <row r="9696" ht="14.25" customHeight="1" s="192">
      <c r="W9696" s="33" t="n"/>
      <c r="X9696" s="33" t="n"/>
    </row>
    <row r="9697" ht="14.25" customHeight="1" s="192">
      <c r="W9697" s="231" t="n"/>
      <c r="X9697" s="231" t="n"/>
    </row>
    <row r="9698" ht="14.25" customHeight="1" s="192">
      <c r="W9698" s="33" t="n"/>
      <c r="X9698" s="33" t="n"/>
    </row>
    <row r="9700" ht="14.25" customHeight="1" s="192">
      <c r="W9700" s="231" t="n"/>
      <c r="X9700" s="231" t="n"/>
    </row>
    <row r="9701" ht="14.25" customHeight="1" s="192">
      <c r="W9701" s="235" t="n"/>
      <c r="X9701" s="235" t="n"/>
    </row>
    <row r="9702" ht="14.25" customHeight="1" s="192">
      <c r="W9702" s="228" t="n"/>
      <c r="X9702" s="228" t="n"/>
    </row>
    <row r="9703" ht="14.25" customHeight="1" s="192">
      <c r="W9703" s="235" t="n"/>
      <c r="X9703" s="235" t="n"/>
    </row>
    <row r="9704" ht="14.25" customHeight="1" s="192">
      <c r="W9704" s="235" t="n"/>
      <c r="X9704" s="235" t="n"/>
    </row>
    <row r="9705" ht="14.25" customHeight="1" s="192">
      <c r="W9705" s="235" t="n"/>
      <c r="X9705" s="235" t="n"/>
    </row>
    <row r="9706" ht="14.25" customHeight="1" s="192">
      <c r="W9706" s="239" t="n"/>
      <c r="X9706" s="239" t="n"/>
    </row>
    <row r="9707" ht="14.25" customHeight="1" s="192">
      <c r="W9707" s="239" t="n"/>
      <c r="X9707" s="239" t="n"/>
    </row>
    <row r="9708" ht="14.25" customHeight="1" s="192">
      <c r="W9708" s="239" t="n"/>
      <c r="X9708" s="239" t="n"/>
    </row>
    <row r="9709" ht="14.25" customHeight="1" s="192">
      <c r="W9709" s="235" t="n"/>
      <c r="X9709" s="235" t="n"/>
    </row>
    <row r="9710" ht="14.25" customHeight="1" s="192">
      <c r="W9710" s="235" t="n"/>
      <c r="X9710" s="235" t="n"/>
    </row>
    <row r="9711" ht="14.25" customHeight="1" s="192">
      <c r="W9711" s="235" t="n"/>
      <c r="X9711" s="235" t="n"/>
    </row>
    <row r="9712" ht="14.25" customHeight="1" s="192">
      <c r="W9712" s="239" t="n"/>
      <c r="X9712" s="239" t="n"/>
    </row>
    <row r="9713" ht="14.25" customHeight="1" s="192">
      <c r="W9713" s="239" t="n"/>
      <c r="X9713" s="239" t="n"/>
    </row>
    <row r="9714" ht="14.25" customHeight="1" s="192">
      <c r="W9714" s="235" t="n"/>
      <c r="X9714" s="235" t="n"/>
    </row>
    <row r="9715" ht="14.25" customHeight="1" s="192">
      <c r="W9715" s="235" t="n"/>
      <c r="X9715" s="235" t="n"/>
    </row>
    <row r="9716" ht="14.25" customHeight="1" s="192">
      <c r="W9716" s="239" t="n"/>
      <c r="X9716" s="239" t="n"/>
    </row>
    <row r="9717" ht="14.25" customHeight="1" s="192">
      <c r="W9717" s="235" t="n"/>
      <c r="X9717" s="235" t="n"/>
    </row>
    <row r="9718" ht="14.25" customHeight="1" s="192">
      <c r="W9718" s="239" t="n"/>
      <c r="X9718" s="239" t="n"/>
    </row>
    <row r="9720" ht="14.25" customHeight="1" s="192">
      <c r="W9720" s="235" t="n"/>
      <c r="X9720" s="235" t="n"/>
    </row>
    <row r="9721" ht="15" customHeight="1" s="192" thickBot="1">
      <c r="W9721" s="239" t="n"/>
      <c r="X9721" s="239" t="n"/>
    </row>
    <row r="9722" ht="15" customHeight="1" s="192" thickBot="1">
      <c r="W9722" s="45" t="n"/>
      <c r="X9722" s="45" t="n"/>
    </row>
    <row r="9723" ht="14.25" customHeight="1" s="192">
      <c r="W9723" s="228" t="n"/>
      <c r="X9723" s="228" t="n"/>
    </row>
    <row r="9724" ht="14.25" customHeight="1" s="192">
      <c r="W9724" s="228" t="n"/>
      <c r="X9724" s="228" t="n"/>
    </row>
    <row r="9725" ht="14.25" customHeight="1" s="192">
      <c r="W9725" s="231" t="n"/>
      <c r="X9725" s="231" t="n"/>
    </row>
    <row r="9726" ht="14.25" customHeight="1" s="192">
      <c r="W9726" s="33" t="n"/>
      <c r="X9726" s="33" t="n"/>
    </row>
    <row r="9727" ht="14.25" customHeight="1" s="192">
      <c r="W9727" s="231" t="n"/>
      <c r="X9727" s="231" t="n"/>
    </row>
    <row r="9728" ht="14.25" customHeight="1" s="192">
      <c r="W9728" s="33" t="n"/>
      <c r="X9728" s="33" t="n"/>
    </row>
    <row r="9730" ht="14.25" customHeight="1" s="192">
      <c r="W9730" s="231" t="n"/>
      <c r="X9730" s="231" t="n"/>
    </row>
    <row r="9731" ht="14.25" customHeight="1" s="192">
      <c r="W9731" s="235" t="n"/>
      <c r="X9731" s="235" t="n"/>
    </row>
    <row r="9732" ht="14.25" customHeight="1" s="192">
      <c r="W9732" s="228" t="n"/>
      <c r="X9732" s="228" t="n"/>
    </row>
    <row r="9733" ht="14.25" customHeight="1" s="192">
      <c r="W9733" s="235" t="n"/>
      <c r="X9733" s="235" t="n"/>
    </row>
    <row r="9734" ht="14.25" customHeight="1" s="192">
      <c r="W9734" s="235" t="n"/>
      <c r="X9734" s="235" t="n"/>
    </row>
    <row r="9735" ht="14.25" customHeight="1" s="192">
      <c r="W9735" s="235" t="n"/>
      <c r="X9735" s="235" t="n"/>
    </row>
    <row r="9736" ht="14.25" customHeight="1" s="192">
      <c r="W9736" s="239" t="n"/>
      <c r="X9736" s="239" t="n"/>
    </row>
    <row r="9737" ht="14.25" customHeight="1" s="192">
      <c r="W9737" s="239" t="n"/>
      <c r="X9737" s="239" t="n"/>
    </row>
    <row r="9738" ht="14.25" customHeight="1" s="192">
      <c r="W9738" s="239" t="n"/>
      <c r="X9738" s="239" t="n"/>
    </row>
    <row r="9739" ht="14.25" customHeight="1" s="192">
      <c r="W9739" s="235" t="n"/>
      <c r="X9739" s="235" t="n"/>
    </row>
    <row r="9740" ht="14.25" customHeight="1" s="192">
      <c r="W9740" s="235" t="n"/>
      <c r="X9740" s="235" t="n"/>
    </row>
    <row r="9741" ht="14.25" customHeight="1" s="192">
      <c r="W9741" s="235" t="n"/>
      <c r="X9741" s="235" t="n"/>
    </row>
    <row r="9742" ht="14.25" customHeight="1" s="192">
      <c r="W9742" s="239" t="n"/>
      <c r="X9742" s="239" t="n"/>
    </row>
    <row r="9743" ht="14.25" customHeight="1" s="192">
      <c r="W9743" s="239" t="n"/>
      <c r="X9743" s="239" t="n"/>
    </row>
    <row r="9744" ht="14.25" customHeight="1" s="192">
      <c r="W9744" s="235" t="n"/>
      <c r="X9744" s="235" t="n"/>
    </row>
    <row r="9745" ht="14.25" customHeight="1" s="192">
      <c r="W9745" s="235" t="n"/>
      <c r="X9745" s="235" t="n"/>
    </row>
    <row r="9746" ht="14.25" customHeight="1" s="192">
      <c r="W9746" s="239" t="n"/>
      <c r="X9746" s="239" t="n"/>
    </row>
    <row r="9747" ht="14.25" customHeight="1" s="192">
      <c r="W9747" s="235" t="n"/>
      <c r="X9747" s="235" t="n"/>
    </row>
    <row r="9748" ht="14.25" customHeight="1" s="192">
      <c r="W9748" s="239" t="n"/>
      <c r="X9748" s="239" t="n"/>
    </row>
    <row r="9750" ht="14.25" customHeight="1" s="192">
      <c r="W9750" s="235" t="n"/>
      <c r="X9750" s="235" t="n"/>
    </row>
    <row r="9751" ht="15" customHeight="1" s="192" thickBot="1">
      <c r="W9751" s="239" t="n"/>
      <c r="X9751" s="239" t="n"/>
    </row>
    <row r="9752" ht="15" customHeight="1" s="192" thickBot="1">
      <c r="W9752" s="45" t="n"/>
      <c r="X9752" s="45" t="n"/>
    </row>
    <row r="9753" ht="14.25" customHeight="1" s="192">
      <c r="W9753" s="228" t="n"/>
      <c r="X9753" s="228" t="n"/>
    </row>
    <row r="9754" ht="14.25" customHeight="1" s="192">
      <c r="W9754" s="228" t="n"/>
      <c r="X9754" s="228" t="n"/>
    </row>
    <row r="9755" ht="14.25" customHeight="1" s="192">
      <c r="W9755" s="231" t="n"/>
      <c r="X9755" s="231" t="n"/>
    </row>
    <row r="9756" ht="14.25" customHeight="1" s="192">
      <c r="W9756" s="33" t="n"/>
      <c r="X9756" s="33" t="n"/>
    </row>
    <row r="9757" ht="14.25" customHeight="1" s="192">
      <c r="W9757" s="231" t="n"/>
      <c r="X9757" s="231" t="n"/>
    </row>
    <row r="9758" ht="14.25" customHeight="1" s="192">
      <c r="W9758" s="33" t="n"/>
      <c r="X9758" s="33" t="n"/>
    </row>
    <row r="9760" ht="14.25" customHeight="1" s="192">
      <c r="W9760" s="231" t="n"/>
      <c r="X9760" s="231" t="n"/>
    </row>
    <row r="9761" ht="14.25" customHeight="1" s="192">
      <c r="W9761" s="235" t="n"/>
      <c r="X9761" s="235" t="n"/>
    </row>
    <row r="9762" ht="14.25" customHeight="1" s="192">
      <c r="W9762" s="228" t="n"/>
      <c r="X9762" s="228" t="n"/>
    </row>
    <row r="9763" ht="14.25" customHeight="1" s="192">
      <c r="W9763" s="235" t="n"/>
      <c r="X9763" s="235" t="n"/>
    </row>
    <row r="9764" ht="14.25" customHeight="1" s="192">
      <c r="W9764" s="235" t="n"/>
      <c r="X9764" s="235" t="n"/>
    </row>
    <row r="9765" ht="14.25" customHeight="1" s="192">
      <c r="W9765" s="235" t="n"/>
      <c r="X9765" s="235" t="n"/>
    </row>
    <row r="9766" ht="14.25" customHeight="1" s="192">
      <c r="W9766" s="239" t="n"/>
      <c r="X9766" s="239" t="n"/>
    </row>
    <row r="9767" ht="14.25" customHeight="1" s="192">
      <c r="W9767" s="239" t="n"/>
      <c r="X9767" s="239" t="n"/>
    </row>
    <row r="9768" ht="14.25" customHeight="1" s="192">
      <c r="W9768" s="239" t="n"/>
      <c r="X9768" s="239" t="n"/>
    </row>
    <row r="9769" ht="14.25" customHeight="1" s="192">
      <c r="W9769" s="235" t="n"/>
      <c r="X9769" s="235" t="n"/>
    </row>
    <row r="9770" ht="14.25" customHeight="1" s="192">
      <c r="W9770" s="235" t="n"/>
      <c r="X9770" s="235" t="n"/>
    </row>
    <row r="9771" ht="14.25" customHeight="1" s="192">
      <c r="W9771" s="235" t="n"/>
      <c r="X9771" s="235" t="n"/>
    </row>
    <row r="9772" ht="14.25" customHeight="1" s="192">
      <c r="W9772" s="239" t="n"/>
      <c r="X9772" s="239" t="n"/>
    </row>
    <row r="9773" ht="14.25" customHeight="1" s="192">
      <c r="W9773" s="239" t="n"/>
      <c r="X9773" s="239" t="n"/>
    </row>
    <row r="9774" ht="14.25" customHeight="1" s="192">
      <c r="W9774" s="235" t="n"/>
      <c r="X9774" s="235" t="n"/>
    </row>
    <row r="9775" ht="14.25" customHeight="1" s="192">
      <c r="W9775" s="235" t="n"/>
      <c r="X9775" s="235" t="n"/>
    </row>
    <row r="9776" ht="14.25" customHeight="1" s="192">
      <c r="W9776" s="239" t="n"/>
      <c r="X9776" s="239" t="n"/>
    </row>
    <row r="9777" ht="14.25" customHeight="1" s="192">
      <c r="W9777" s="235" t="n"/>
      <c r="X9777" s="235" t="n"/>
    </row>
    <row r="9778" ht="14.25" customHeight="1" s="192">
      <c r="W9778" s="239" t="n"/>
      <c r="X9778" s="239" t="n"/>
    </row>
    <row r="9780" ht="14.25" customHeight="1" s="192">
      <c r="W9780" s="235" t="n"/>
      <c r="X9780" s="235" t="n"/>
    </row>
    <row r="9781" ht="15" customHeight="1" s="192" thickBot="1">
      <c r="W9781" s="239" t="n"/>
      <c r="X9781" s="239" t="n"/>
    </row>
    <row r="9782" ht="15" customHeight="1" s="192" thickBot="1">
      <c r="W9782" s="45" t="n"/>
      <c r="X9782" s="45" t="n"/>
    </row>
    <row r="9783" ht="14.25" customHeight="1" s="192">
      <c r="W9783" s="228" t="n"/>
      <c r="X9783" s="228" t="n"/>
    </row>
    <row r="9784" ht="14.25" customHeight="1" s="192">
      <c r="W9784" s="228" t="n"/>
      <c r="X9784" s="228" t="n"/>
    </row>
    <row r="9785" ht="14.25" customHeight="1" s="192">
      <c r="W9785" s="231" t="n"/>
      <c r="X9785" s="231" t="n"/>
    </row>
    <row r="9786" ht="14.25" customHeight="1" s="192">
      <c r="W9786" s="33" t="n"/>
      <c r="X9786" s="33" t="n"/>
    </row>
    <row r="9787" ht="14.25" customHeight="1" s="192">
      <c r="W9787" s="231" t="n"/>
      <c r="X9787" s="231" t="n"/>
    </row>
    <row r="9788" ht="14.25" customHeight="1" s="192">
      <c r="W9788" s="33" t="n"/>
      <c r="X9788" s="33" t="n"/>
    </row>
    <row r="9790" ht="14.25" customHeight="1" s="192">
      <c r="W9790" s="231" t="n"/>
      <c r="X9790" s="231" t="n"/>
    </row>
    <row r="9791" ht="14.25" customHeight="1" s="192">
      <c r="W9791" s="235" t="n"/>
      <c r="X9791" s="235" t="n"/>
    </row>
    <row r="9792" ht="14.25" customHeight="1" s="192">
      <c r="W9792" s="228" t="n"/>
      <c r="X9792" s="228" t="n"/>
    </row>
    <row r="9793" ht="14.25" customHeight="1" s="192">
      <c r="W9793" s="235" t="n"/>
      <c r="X9793" s="235" t="n"/>
    </row>
    <row r="9794" ht="14.25" customHeight="1" s="192">
      <c r="W9794" s="235" t="n"/>
      <c r="X9794" s="235" t="n"/>
    </row>
    <row r="9795" ht="14.25" customHeight="1" s="192">
      <c r="W9795" s="235" t="n"/>
      <c r="X9795" s="235" t="n"/>
    </row>
    <row r="9796" ht="14.25" customHeight="1" s="192">
      <c r="W9796" s="239" t="n"/>
      <c r="X9796" s="239" t="n"/>
    </row>
    <row r="9797" ht="14.25" customHeight="1" s="192">
      <c r="W9797" s="239" t="n"/>
      <c r="X9797" s="239" t="n"/>
    </row>
    <row r="9798" ht="14.25" customHeight="1" s="192">
      <c r="W9798" s="239" t="n"/>
      <c r="X9798" s="239" t="n"/>
    </row>
    <row r="9799" ht="14.25" customHeight="1" s="192">
      <c r="W9799" s="235" t="n"/>
      <c r="X9799" s="235" t="n"/>
    </row>
    <row r="9800" ht="14.25" customHeight="1" s="192">
      <c r="W9800" s="235" t="n"/>
      <c r="X9800" s="235" t="n"/>
    </row>
    <row r="9801" ht="14.25" customHeight="1" s="192">
      <c r="W9801" s="235" t="n"/>
      <c r="X9801" s="235" t="n"/>
    </row>
    <row r="9802" ht="14.25" customHeight="1" s="192">
      <c r="W9802" s="239" t="n"/>
      <c r="X9802" s="239" t="n"/>
    </row>
    <row r="9803" ht="14.25" customHeight="1" s="192">
      <c r="W9803" s="239" t="n"/>
      <c r="X9803" s="239" t="n"/>
    </row>
    <row r="9804" ht="14.25" customHeight="1" s="192">
      <c r="W9804" s="235" t="n"/>
      <c r="X9804" s="235" t="n"/>
    </row>
    <row r="9805" ht="14.25" customHeight="1" s="192">
      <c r="W9805" s="235" t="n"/>
      <c r="X9805" s="235" t="n"/>
    </row>
    <row r="9806" ht="14.25" customHeight="1" s="192">
      <c r="W9806" s="239" t="n"/>
      <c r="X9806" s="239" t="n"/>
    </row>
    <row r="9807" ht="14.25" customHeight="1" s="192">
      <c r="W9807" s="235" t="n"/>
      <c r="X9807" s="235" t="n"/>
    </row>
    <row r="9808" ht="14.25" customHeight="1" s="192">
      <c r="W9808" s="239" t="n"/>
      <c r="X9808" s="239" t="n"/>
    </row>
    <row r="9810" ht="14.25" customHeight="1" s="192">
      <c r="W9810" s="235" t="n"/>
      <c r="X9810" s="235" t="n"/>
    </row>
    <row r="9811" ht="15" customHeight="1" s="192" thickBot="1">
      <c r="W9811" s="239" t="n"/>
      <c r="X9811" s="239" t="n"/>
    </row>
    <row r="9812" ht="15" customHeight="1" s="192" thickBot="1">
      <c r="W9812" s="45" t="n"/>
      <c r="X9812" s="45" t="n"/>
    </row>
    <row r="9813" ht="14.25" customHeight="1" s="192">
      <c r="W9813" s="228" t="n"/>
      <c r="X9813" s="228" t="n"/>
    </row>
    <row r="9814" ht="14.25" customHeight="1" s="192">
      <c r="W9814" s="228" t="n"/>
      <c r="X9814" s="228" t="n"/>
    </row>
    <row r="9815" ht="14.25" customHeight="1" s="192">
      <c r="W9815" s="231" t="n"/>
      <c r="X9815" s="231" t="n"/>
    </row>
    <row r="9816" ht="14.25" customHeight="1" s="192">
      <c r="W9816" s="33" t="n"/>
      <c r="X9816" s="33" t="n"/>
    </row>
    <row r="9817" ht="14.25" customHeight="1" s="192">
      <c r="W9817" s="231" t="n"/>
      <c r="X9817" s="231" t="n"/>
    </row>
    <row r="9818" ht="14.25" customHeight="1" s="192">
      <c r="W9818" s="33" t="n"/>
      <c r="X9818" s="33" t="n"/>
    </row>
    <row r="9820" ht="14.25" customHeight="1" s="192">
      <c r="W9820" s="231" t="n"/>
      <c r="X9820" s="231" t="n"/>
    </row>
    <row r="9821" ht="14.25" customHeight="1" s="192">
      <c r="W9821" s="235" t="n"/>
      <c r="X9821" s="235" t="n"/>
    </row>
    <row r="9822" ht="14.25" customHeight="1" s="192">
      <c r="W9822" s="228" t="n"/>
      <c r="X9822" s="228" t="n"/>
    </row>
    <row r="9823" ht="14.25" customHeight="1" s="192">
      <c r="W9823" s="235" t="n"/>
      <c r="X9823" s="235" t="n"/>
    </row>
    <row r="9824" ht="14.25" customHeight="1" s="192">
      <c r="W9824" s="235" t="n"/>
      <c r="X9824" s="235" t="n"/>
    </row>
    <row r="9825" ht="14.25" customHeight="1" s="192">
      <c r="W9825" s="235" t="n"/>
      <c r="X9825" s="235" t="n"/>
    </row>
    <row r="9826" ht="14.25" customHeight="1" s="192">
      <c r="W9826" s="239" t="n"/>
      <c r="X9826" s="239" t="n"/>
    </row>
    <row r="9827" ht="14.25" customHeight="1" s="192">
      <c r="W9827" s="239" t="n"/>
      <c r="X9827" s="239" t="n"/>
    </row>
    <row r="9828" ht="14.25" customHeight="1" s="192">
      <c r="W9828" s="239" t="n"/>
      <c r="X9828" s="239" t="n"/>
    </row>
    <row r="9829" ht="14.25" customHeight="1" s="192">
      <c r="W9829" s="235" t="n"/>
      <c r="X9829" s="235" t="n"/>
    </row>
    <row r="9830" ht="14.25" customHeight="1" s="192">
      <c r="W9830" s="235" t="n"/>
      <c r="X9830" s="235" t="n"/>
    </row>
    <row r="9831" ht="14.25" customHeight="1" s="192">
      <c r="W9831" s="235" t="n"/>
      <c r="X9831" s="235" t="n"/>
    </row>
    <row r="9832" ht="14.25" customHeight="1" s="192">
      <c r="W9832" s="239" t="n"/>
      <c r="X9832" s="239" t="n"/>
    </row>
    <row r="9833" ht="14.25" customHeight="1" s="192">
      <c r="W9833" s="239" t="n"/>
      <c r="X9833" s="239" t="n"/>
    </row>
    <row r="9834" ht="14.25" customHeight="1" s="192">
      <c r="W9834" s="235" t="n"/>
      <c r="X9834" s="235" t="n"/>
    </row>
    <row r="9835" ht="14.25" customHeight="1" s="192">
      <c r="W9835" s="235" t="n"/>
      <c r="X9835" s="235" t="n"/>
    </row>
    <row r="9836" ht="14.25" customHeight="1" s="192">
      <c r="W9836" s="239" t="n"/>
      <c r="X9836" s="239" t="n"/>
    </row>
    <row r="9837" ht="14.25" customHeight="1" s="192">
      <c r="W9837" s="235" t="n"/>
      <c r="X9837" s="235" t="n"/>
    </row>
    <row r="9838" ht="14.25" customHeight="1" s="192">
      <c r="W9838" s="239" t="n"/>
      <c r="X9838" s="239" t="n"/>
    </row>
    <row r="9840" ht="14.25" customHeight="1" s="192">
      <c r="W9840" s="235" t="n"/>
      <c r="X9840" s="235" t="n"/>
    </row>
    <row r="9841" ht="15" customHeight="1" s="192" thickBot="1">
      <c r="W9841" s="239" t="n"/>
      <c r="X9841" s="239" t="n"/>
    </row>
    <row r="9842" ht="15" customHeight="1" s="192" thickBot="1">
      <c r="W9842" s="45" t="n"/>
      <c r="X9842" s="45" t="n"/>
    </row>
    <row r="9843" ht="14.25" customHeight="1" s="192">
      <c r="W9843" s="228" t="n"/>
      <c r="X9843" s="228" t="n"/>
    </row>
    <row r="9844" ht="14.25" customHeight="1" s="192">
      <c r="W9844" s="228" t="n"/>
      <c r="X9844" s="228" t="n"/>
    </row>
    <row r="9845" ht="14.25" customHeight="1" s="192">
      <c r="W9845" s="231" t="n"/>
      <c r="X9845" s="231" t="n"/>
    </row>
    <row r="9846" ht="14.25" customHeight="1" s="192">
      <c r="W9846" s="33" t="n"/>
      <c r="X9846" s="33" t="n"/>
    </row>
    <row r="9847" ht="14.25" customHeight="1" s="192">
      <c r="W9847" s="231" t="n"/>
      <c r="X9847" s="231" t="n"/>
    </row>
    <row r="9848" ht="14.25" customHeight="1" s="192">
      <c r="W9848" s="33" t="n"/>
      <c r="X9848" s="33" t="n"/>
    </row>
    <row r="9850" ht="14.25" customHeight="1" s="192">
      <c r="W9850" s="231" t="n"/>
      <c r="X9850" s="231" t="n"/>
    </row>
    <row r="9851" ht="14.25" customHeight="1" s="192">
      <c r="W9851" s="235" t="n"/>
      <c r="X9851" s="235" t="n"/>
    </row>
    <row r="9852" ht="14.25" customHeight="1" s="192">
      <c r="W9852" s="228" t="n"/>
      <c r="X9852" s="228" t="n"/>
    </row>
    <row r="9853" ht="14.25" customHeight="1" s="192">
      <c r="W9853" s="235" t="n"/>
      <c r="X9853" s="235" t="n"/>
    </row>
    <row r="9854" ht="14.25" customHeight="1" s="192">
      <c r="W9854" s="235" t="n"/>
      <c r="X9854" s="235" t="n"/>
    </row>
    <row r="9855" ht="14.25" customHeight="1" s="192">
      <c r="W9855" s="235" t="n"/>
      <c r="X9855" s="235" t="n"/>
    </row>
    <row r="9856" ht="14.25" customHeight="1" s="192">
      <c r="W9856" s="239" t="n"/>
      <c r="X9856" s="239" t="n"/>
    </row>
    <row r="9857" ht="14.25" customHeight="1" s="192">
      <c r="W9857" s="239" t="n"/>
      <c r="X9857" s="239" t="n"/>
    </row>
    <row r="9858" ht="14.25" customHeight="1" s="192">
      <c r="W9858" s="239" t="n"/>
      <c r="X9858" s="239" t="n"/>
    </row>
    <row r="9859" ht="14.25" customHeight="1" s="192">
      <c r="W9859" s="235" t="n"/>
      <c r="X9859" s="235" t="n"/>
    </row>
    <row r="9860" ht="14.25" customHeight="1" s="192">
      <c r="W9860" s="235" t="n"/>
      <c r="X9860" s="235" t="n"/>
    </row>
    <row r="9861" ht="14.25" customHeight="1" s="192">
      <c r="W9861" s="235" t="n"/>
      <c r="X9861" s="235" t="n"/>
    </row>
    <row r="9862" ht="14.25" customHeight="1" s="192">
      <c r="W9862" s="239" t="n"/>
      <c r="X9862" s="239" t="n"/>
    </row>
    <row r="9863" ht="14.25" customHeight="1" s="192">
      <c r="W9863" s="239" t="n"/>
      <c r="X9863" s="239" t="n"/>
    </row>
    <row r="9864" ht="14.25" customHeight="1" s="192">
      <c r="W9864" s="235" t="n"/>
      <c r="X9864" s="235" t="n"/>
    </row>
    <row r="9865" ht="14.25" customHeight="1" s="192">
      <c r="W9865" s="235" t="n"/>
      <c r="X9865" s="235" t="n"/>
    </row>
    <row r="9866" ht="14.25" customHeight="1" s="192">
      <c r="W9866" s="239" t="n"/>
      <c r="X9866" s="239" t="n"/>
    </row>
    <row r="9867" ht="14.25" customHeight="1" s="192">
      <c r="W9867" s="235" t="n"/>
      <c r="X9867" s="235" t="n"/>
    </row>
    <row r="9868" ht="14.25" customHeight="1" s="192">
      <c r="W9868" s="239" t="n"/>
      <c r="X9868" s="239" t="n"/>
    </row>
    <row r="9870" ht="14.25" customHeight="1" s="192">
      <c r="W9870" s="235" t="n"/>
      <c r="X9870" s="235" t="n"/>
    </row>
    <row r="9871" ht="15" customHeight="1" s="192" thickBot="1">
      <c r="W9871" s="239" t="n"/>
      <c r="X9871" s="239" t="n"/>
    </row>
    <row r="9872" ht="15" customHeight="1" s="192" thickBot="1">
      <c r="W9872" s="45" t="n"/>
      <c r="X9872" s="45" t="n"/>
    </row>
    <row r="9873" ht="14.25" customHeight="1" s="192">
      <c r="W9873" s="228" t="n"/>
      <c r="X9873" s="228" t="n"/>
    </row>
    <row r="9874" ht="14.25" customHeight="1" s="192">
      <c r="W9874" s="228" t="n"/>
      <c r="X9874" s="228" t="n"/>
    </row>
    <row r="9875" ht="14.25" customHeight="1" s="192">
      <c r="W9875" s="231" t="n"/>
      <c r="X9875" s="231" t="n"/>
    </row>
    <row r="9876" ht="14.25" customHeight="1" s="192">
      <c r="W9876" s="33" t="n"/>
      <c r="X9876" s="33" t="n"/>
    </row>
    <row r="9877" ht="14.25" customHeight="1" s="192">
      <c r="W9877" s="231" t="n"/>
      <c r="X9877" s="231" t="n"/>
    </row>
    <row r="9878" ht="14.25" customHeight="1" s="192">
      <c r="W9878" s="33" t="n"/>
      <c r="X9878" s="33" t="n"/>
    </row>
    <row r="9880" ht="14.25" customHeight="1" s="192">
      <c r="W9880" s="231" t="n"/>
      <c r="X9880" s="231" t="n"/>
    </row>
    <row r="9881" ht="14.25" customHeight="1" s="192">
      <c r="W9881" s="235" t="n"/>
      <c r="X9881" s="235" t="n"/>
    </row>
    <row r="9882" ht="14.25" customHeight="1" s="192">
      <c r="W9882" s="228" t="n"/>
      <c r="X9882" s="228" t="n"/>
    </row>
    <row r="9883" ht="14.25" customHeight="1" s="192">
      <c r="W9883" s="235" t="n"/>
      <c r="X9883" s="235" t="n"/>
    </row>
    <row r="9884" ht="14.25" customHeight="1" s="192">
      <c r="W9884" s="235" t="n"/>
      <c r="X9884" s="235" t="n"/>
    </row>
    <row r="9885" ht="14.25" customHeight="1" s="192">
      <c r="W9885" s="235" t="n"/>
      <c r="X9885" s="235" t="n"/>
    </row>
    <row r="9886" ht="14.25" customHeight="1" s="192">
      <c r="W9886" s="239" t="n"/>
      <c r="X9886" s="239" t="n"/>
    </row>
    <row r="9887" ht="14.25" customHeight="1" s="192">
      <c r="W9887" s="239" t="n"/>
      <c r="X9887" s="239" t="n"/>
    </row>
    <row r="9888" ht="14.25" customHeight="1" s="192">
      <c r="W9888" s="239" t="n"/>
      <c r="X9888" s="239" t="n"/>
    </row>
    <row r="9889" ht="14.25" customHeight="1" s="192">
      <c r="W9889" s="235" t="n"/>
      <c r="X9889" s="235" t="n"/>
    </row>
    <row r="9890" ht="14.25" customHeight="1" s="192">
      <c r="W9890" s="235" t="n"/>
      <c r="X9890" s="235" t="n"/>
    </row>
    <row r="9891" ht="14.25" customHeight="1" s="192">
      <c r="W9891" s="235" t="n"/>
      <c r="X9891" s="235" t="n"/>
    </row>
    <row r="9892" ht="14.25" customHeight="1" s="192">
      <c r="W9892" s="239" t="n"/>
      <c r="X9892" s="239" t="n"/>
    </row>
    <row r="9893" ht="14.25" customHeight="1" s="192">
      <c r="W9893" s="239" t="n"/>
      <c r="X9893" s="239" t="n"/>
    </row>
    <row r="9894" ht="14.25" customHeight="1" s="192">
      <c r="W9894" s="235" t="n"/>
      <c r="X9894" s="235" t="n"/>
    </row>
    <row r="9895" ht="14.25" customHeight="1" s="192">
      <c r="W9895" s="235" t="n"/>
      <c r="X9895" s="235" t="n"/>
    </row>
    <row r="9896" ht="14.25" customHeight="1" s="192">
      <c r="W9896" s="239" t="n"/>
      <c r="X9896" s="239" t="n"/>
    </row>
    <row r="9897" ht="14.25" customHeight="1" s="192">
      <c r="W9897" s="235" t="n"/>
      <c r="X9897" s="235" t="n"/>
    </row>
    <row r="9898" ht="14.25" customHeight="1" s="192">
      <c r="W9898" s="239" t="n"/>
      <c r="X9898" s="239" t="n"/>
    </row>
    <row r="9900" ht="14.25" customHeight="1" s="192">
      <c r="W9900" s="235" t="n"/>
      <c r="X9900" s="235" t="n"/>
    </row>
    <row r="9901" ht="15" customHeight="1" s="192" thickBot="1">
      <c r="W9901" s="239" t="n"/>
      <c r="X9901" s="239" t="n"/>
    </row>
    <row r="9902" ht="15" customHeight="1" s="192" thickBot="1">
      <c r="W9902" s="45" t="n"/>
      <c r="X9902" s="45" t="n"/>
    </row>
    <row r="9903" ht="14.25" customHeight="1" s="192">
      <c r="W9903" s="228" t="n"/>
      <c r="X9903" s="228" t="n"/>
    </row>
    <row r="9904" ht="14.25" customHeight="1" s="192">
      <c r="W9904" s="228" t="n"/>
      <c r="X9904" s="228" t="n"/>
    </row>
    <row r="9905" ht="14.25" customHeight="1" s="192">
      <c r="W9905" s="231" t="n"/>
      <c r="X9905" s="231" t="n"/>
    </row>
    <row r="9906" ht="14.25" customHeight="1" s="192">
      <c r="W9906" s="33" t="n"/>
      <c r="X9906" s="33" t="n"/>
    </row>
    <row r="9907" ht="14.25" customHeight="1" s="192">
      <c r="W9907" s="231" t="n"/>
      <c r="X9907" s="231" t="n"/>
    </row>
    <row r="9908" ht="14.25" customHeight="1" s="192">
      <c r="W9908" s="33" t="n"/>
      <c r="X9908" s="33" t="n"/>
    </row>
    <row r="9910" ht="14.25" customHeight="1" s="192">
      <c r="W9910" s="231" t="n"/>
      <c r="X9910" s="231" t="n"/>
    </row>
    <row r="9911" ht="14.25" customHeight="1" s="192">
      <c r="W9911" s="235" t="n"/>
      <c r="X9911" s="235" t="n"/>
    </row>
    <row r="9912" ht="14.25" customHeight="1" s="192">
      <c r="W9912" s="228" t="n"/>
      <c r="X9912" s="228" t="n"/>
    </row>
    <row r="9913" ht="14.25" customHeight="1" s="192">
      <c r="W9913" s="235" t="n"/>
      <c r="X9913" s="235" t="n"/>
    </row>
    <row r="9914" ht="14.25" customHeight="1" s="192">
      <c r="W9914" s="235" t="n"/>
      <c r="X9914" s="235" t="n"/>
    </row>
    <row r="9915" ht="14.25" customHeight="1" s="192">
      <c r="W9915" s="235" t="n"/>
      <c r="X9915" s="235" t="n"/>
    </row>
    <row r="9916" ht="14.25" customHeight="1" s="192">
      <c r="W9916" s="239" t="n"/>
      <c r="X9916" s="239" t="n"/>
    </row>
    <row r="9917" ht="14.25" customHeight="1" s="192">
      <c r="W9917" s="239" t="n"/>
      <c r="X9917" s="239" t="n"/>
    </row>
    <row r="9918" ht="14.25" customHeight="1" s="192">
      <c r="W9918" s="239" t="n"/>
      <c r="X9918" s="239" t="n"/>
    </row>
    <row r="9919" ht="14.25" customHeight="1" s="192">
      <c r="W9919" s="235" t="n"/>
      <c r="X9919" s="235" t="n"/>
    </row>
    <row r="9920" ht="14.25" customHeight="1" s="192">
      <c r="W9920" s="235" t="n"/>
      <c r="X9920" s="235" t="n"/>
    </row>
    <row r="9921" ht="14.25" customHeight="1" s="192">
      <c r="W9921" s="235" t="n"/>
      <c r="X9921" s="235" t="n"/>
    </row>
    <row r="9922" ht="14.25" customHeight="1" s="192">
      <c r="W9922" s="239" t="n"/>
      <c r="X9922" s="239" t="n"/>
    </row>
    <row r="9923" ht="14.25" customHeight="1" s="192">
      <c r="W9923" s="239" t="n"/>
      <c r="X9923" s="239" t="n"/>
    </row>
    <row r="9924" ht="14.25" customHeight="1" s="192">
      <c r="W9924" s="235" t="n"/>
      <c r="X9924" s="235" t="n"/>
    </row>
    <row r="9925" ht="14.25" customHeight="1" s="192">
      <c r="W9925" s="235" t="n"/>
      <c r="X9925" s="235" t="n"/>
    </row>
    <row r="9926" ht="14.25" customHeight="1" s="192">
      <c r="W9926" s="239" t="n"/>
      <c r="X9926" s="239" t="n"/>
    </row>
    <row r="9927" ht="14.25" customHeight="1" s="192">
      <c r="W9927" s="235" t="n"/>
      <c r="X9927" s="235" t="n"/>
    </row>
    <row r="9928" ht="14.25" customHeight="1" s="192">
      <c r="W9928" s="239" t="n"/>
      <c r="X9928" s="239" t="n"/>
    </row>
    <row r="9930" ht="14.25" customHeight="1" s="192">
      <c r="W9930" s="235" t="n"/>
      <c r="X9930" s="235" t="n"/>
    </row>
    <row r="9931" ht="15" customHeight="1" s="192" thickBot="1">
      <c r="W9931" s="239" t="n"/>
      <c r="X9931" s="239" t="n"/>
    </row>
    <row r="9932" ht="15" customHeight="1" s="192" thickBot="1">
      <c r="W9932" s="45" t="n"/>
      <c r="X9932" s="45" t="n"/>
    </row>
    <row r="9933" ht="14.25" customHeight="1" s="192">
      <c r="W9933" s="228" t="n"/>
      <c r="X9933" s="228" t="n"/>
    </row>
    <row r="9934" ht="14.25" customHeight="1" s="192">
      <c r="W9934" s="228" t="n"/>
      <c r="X9934" s="228" t="n"/>
    </row>
    <row r="9935" ht="14.25" customHeight="1" s="192">
      <c r="W9935" s="231" t="n"/>
      <c r="X9935" s="231" t="n"/>
    </row>
    <row r="9936" ht="14.25" customHeight="1" s="192">
      <c r="W9936" s="33" t="n"/>
      <c r="X9936" s="33" t="n"/>
    </row>
    <row r="9937" ht="14.25" customHeight="1" s="192">
      <c r="W9937" s="231" t="n"/>
      <c r="X9937" s="231" t="n"/>
    </row>
    <row r="9938" ht="14.25" customHeight="1" s="192">
      <c r="W9938" s="33" t="n"/>
      <c r="X9938" s="33" t="n"/>
    </row>
    <row r="9940" ht="14.25" customHeight="1" s="192">
      <c r="W9940" s="231" t="n"/>
      <c r="X9940" s="231" t="n"/>
    </row>
    <row r="9941" ht="14.25" customHeight="1" s="192">
      <c r="W9941" s="235" t="n"/>
      <c r="X9941" s="235" t="n"/>
    </row>
    <row r="9942" ht="14.25" customHeight="1" s="192">
      <c r="W9942" s="228" t="n"/>
      <c r="X9942" s="228" t="n"/>
    </row>
    <row r="9943" ht="14.25" customHeight="1" s="192">
      <c r="W9943" s="235" t="n"/>
      <c r="X9943" s="235" t="n"/>
    </row>
    <row r="9944" ht="14.25" customHeight="1" s="192">
      <c r="W9944" s="235" t="n"/>
      <c r="X9944" s="235" t="n"/>
    </row>
    <row r="9945" ht="14.25" customHeight="1" s="192">
      <c r="W9945" s="235" t="n"/>
      <c r="X9945" s="235" t="n"/>
    </row>
    <row r="9946" ht="14.25" customHeight="1" s="192">
      <c r="W9946" s="239" t="n"/>
      <c r="X9946" s="239" t="n"/>
    </row>
    <row r="9947" ht="14.25" customHeight="1" s="192">
      <c r="W9947" s="239" t="n"/>
      <c r="X9947" s="239" t="n"/>
    </row>
    <row r="9948" ht="14.25" customHeight="1" s="192">
      <c r="W9948" s="239" t="n"/>
      <c r="X9948" s="239" t="n"/>
    </row>
    <row r="9949" ht="14.25" customHeight="1" s="192">
      <c r="W9949" s="235" t="n"/>
      <c r="X9949" s="235" t="n"/>
    </row>
    <row r="9950" ht="14.25" customHeight="1" s="192">
      <c r="W9950" s="235" t="n"/>
      <c r="X9950" s="235" t="n"/>
    </row>
    <row r="9951" ht="14.25" customHeight="1" s="192">
      <c r="W9951" s="235" t="n"/>
      <c r="X9951" s="235" t="n"/>
    </row>
    <row r="9952" ht="14.25" customHeight="1" s="192">
      <c r="W9952" s="239" t="n"/>
      <c r="X9952" s="239" t="n"/>
    </row>
    <row r="9953" ht="14.25" customHeight="1" s="192">
      <c r="W9953" s="239" t="n"/>
      <c r="X9953" s="239" t="n"/>
    </row>
    <row r="9954" ht="14.25" customHeight="1" s="192">
      <c r="W9954" s="235" t="n"/>
      <c r="X9954" s="235" t="n"/>
    </row>
    <row r="9955" ht="14.25" customHeight="1" s="192">
      <c r="W9955" s="235" t="n"/>
      <c r="X9955" s="235" t="n"/>
    </row>
    <row r="9956" ht="14.25" customHeight="1" s="192">
      <c r="W9956" s="239" t="n"/>
      <c r="X9956" s="239" t="n"/>
    </row>
    <row r="9957" ht="14.25" customHeight="1" s="192">
      <c r="W9957" s="235" t="n"/>
      <c r="X9957" s="235" t="n"/>
    </row>
    <row r="9958" ht="14.25" customHeight="1" s="192">
      <c r="W9958" s="239" t="n"/>
      <c r="X9958" s="239" t="n"/>
    </row>
    <row r="9960" ht="14.25" customHeight="1" s="192">
      <c r="W9960" s="235" t="n"/>
      <c r="X9960" s="235" t="n"/>
    </row>
    <row r="9961" ht="15" customHeight="1" s="192" thickBot="1">
      <c r="W9961" s="239" t="n"/>
      <c r="X9961" s="239" t="n"/>
    </row>
    <row r="9962" ht="15" customHeight="1" s="192" thickBot="1">
      <c r="W9962" s="45" t="n"/>
      <c r="X9962" s="45" t="n"/>
    </row>
    <row r="9963" ht="14.25" customHeight="1" s="192">
      <c r="W9963" s="228" t="n"/>
      <c r="X9963" s="228" t="n"/>
    </row>
    <row r="9964" ht="14.25" customHeight="1" s="192">
      <c r="W9964" s="228" t="n"/>
      <c r="X9964" s="228" t="n"/>
    </row>
    <row r="9965" ht="14.25" customHeight="1" s="192">
      <c r="W9965" s="231" t="n"/>
      <c r="X9965" s="231" t="n"/>
    </row>
    <row r="9966" ht="14.25" customHeight="1" s="192">
      <c r="W9966" s="33" t="n"/>
      <c r="X9966" s="33" t="n"/>
    </row>
    <row r="9967" ht="14.25" customHeight="1" s="192">
      <c r="W9967" s="231" t="n"/>
      <c r="X9967" s="231" t="n"/>
    </row>
    <row r="9968" ht="14.25" customHeight="1" s="192">
      <c r="W9968" s="33" t="n"/>
      <c r="X9968" s="33" t="n"/>
    </row>
    <row r="9970" ht="14.25" customHeight="1" s="192">
      <c r="W9970" s="231" t="n"/>
      <c r="X9970" s="231" t="n"/>
    </row>
    <row r="9971" ht="14.25" customHeight="1" s="192">
      <c r="W9971" s="235" t="n"/>
      <c r="X9971" s="235" t="n"/>
    </row>
    <row r="9972" ht="14.25" customHeight="1" s="192">
      <c r="W9972" s="228" t="n"/>
      <c r="X9972" s="228" t="n"/>
    </row>
    <row r="9973" ht="14.25" customHeight="1" s="192">
      <c r="W9973" s="235" t="n"/>
      <c r="X9973" s="235" t="n"/>
    </row>
    <row r="9974" ht="14.25" customHeight="1" s="192">
      <c r="W9974" s="235" t="n"/>
      <c r="X9974" s="235" t="n"/>
    </row>
    <row r="9975" ht="14.25" customHeight="1" s="192">
      <c r="W9975" s="235" t="n"/>
      <c r="X9975" s="235" t="n"/>
    </row>
    <row r="9976" ht="14.25" customHeight="1" s="192">
      <c r="W9976" s="239" t="n"/>
      <c r="X9976" s="239" t="n"/>
    </row>
    <row r="9977" ht="14.25" customHeight="1" s="192">
      <c r="W9977" s="239" t="n"/>
      <c r="X9977" s="239" t="n"/>
    </row>
    <row r="9978" ht="14.25" customHeight="1" s="192">
      <c r="W9978" s="239" t="n"/>
      <c r="X9978" s="239" t="n"/>
    </row>
    <row r="9979" ht="14.25" customHeight="1" s="192">
      <c r="W9979" s="235" t="n"/>
      <c r="X9979" s="235" t="n"/>
    </row>
    <row r="9980" ht="14.25" customHeight="1" s="192">
      <c r="W9980" s="235" t="n"/>
      <c r="X9980" s="235" t="n"/>
    </row>
    <row r="9981" ht="14.25" customHeight="1" s="192">
      <c r="W9981" s="235" t="n"/>
      <c r="X9981" s="235" t="n"/>
    </row>
    <row r="9982" ht="14.25" customHeight="1" s="192">
      <c r="W9982" s="239" t="n"/>
      <c r="X9982" s="239" t="n"/>
    </row>
    <row r="9983" ht="14.25" customHeight="1" s="192">
      <c r="W9983" s="239" t="n"/>
      <c r="X9983" s="239" t="n"/>
    </row>
    <row r="9984" ht="14.25" customHeight="1" s="192">
      <c r="W9984" s="235" t="n"/>
      <c r="X9984" s="235" t="n"/>
    </row>
    <row r="9985" ht="14.25" customHeight="1" s="192">
      <c r="W9985" s="235" t="n"/>
      <c r="X9985" s="235" t="n"/>
    </row>
    <row r="9986" ht="14.25" customHeight="1" s="192">
      <c r="W9986" s="239" t="n"/>
      <c r="X9986" s="239" t="n"/>
    </row>
    <row r="9987" ht="14.25" customHeight="1" s="192">
      <c r="W9987" s="235" t="n"/>
      <c r="X9987" s="235" t="n"/>
    </row>
    <row r="9988" ht="14.25" customHeight="1" s="192">
      <c r="W9988" s="239" t="n"/>
      <c r="X9988" s="239" t="n"/>
    </row>
    <row r="9990" ht="14.25" customHeight="1" s="192">
      <c r="W9990" s="235" t="n"/>
      <c r="X9990" s="235" t="n"/>
    </row>
    <row r="9991" ht="15" customHeight="1" s="192" thickBot="1">
      <c r="W9991" s="239" t="n"/>
      <c r="X9991" s="239" t="n"/>
    </row>
    <row r="9992" ht="15" customHeight="1" s="192" thickBot="1">
      <c r="W9992" s="45" t="n"/>
      <c r="X9992" s="45" t="n"/>
    </row>
    <row r="9993" ht="14.25" customHeight="1" s="192">
      <c r="W9993" s="228" t="n"/>
      <c r="X9993" s="228" t="n"/>
    </row>
    <row r="9994" ht="14.25" customHeight="1" s="192">
      <c r="W9994" s="228" t="n"/>
      <c r="X9994" s="228" t="n"/>
    </row>
    <row r="9995" ht="14.25" customHeight="1" s="192">
      <c r="W9995" s="231" t="n"/>
      <c r="X9995" s="231" t="n"/>
    </row>
    <row r="9996" ht="14.25" customHeight="1" s="192">
      <c r="W9996" s="33" t="n"/>
      <c r="X9996" s="33" t="n"/>
    </row>
    <row r="9997" ht="14.25" customHeight="1" s="192">
      <c r="W9997" s="231" t="n"/>
      <c r="X9997" s="231" t="n"/>
    </row>
    <row r="9998" ht="14.25" customHeight="1" s="192">
      <c r="W9998" s="33" t="n"/>
      <c r="X9998" s="33" t="n"/>
    </row>
    <row r="10000" ht="14.25" customHeight="1" s="192">
      <c r="W10000" s="231" t="n"/>
      <c r="X10000" s="231" t="n"/>
    </row>
    <row r="10001" ht="14.25" customHeight="1" s="192">
      <c r="W10001" s="235" t="n"/>
      <c r="X10001" s="235" t="n"/>
    </row>
    <row r="10002" ht="14.25" customHeight="1" s="192">
      <c r="W10002" s="228" t="n"/>
      <c r="X10002" s="228" t="n"/>
    </row>
    <row r="10003" ht="14.25" customHeight="1" s="192">
      <c r="W10003" s="235" t="n"/>
      <c r="X10003" s="235" t="n"/>
    </row>
    <row r="10004" ht="14.25" customHeight="1" s="192">
      <c r="W10004" s="235" t="n"/>
      <c r="X10004" s="235" t="n"/>
    </row>
    <row r="10005" ht="14.25" customHeight="1" s="192">
      <c r="W10005" s="235" t="n"/>
      <c r="X10005" s="235" t="n"/>
    </row>
    <row r="10006" ht="14.25" customHeight="1" s="192">
      <c r="W10006" s="239" t="n"/>
      <c r="X10006" s="239" t="n"/>
    </row>
    <row r="10007" ht="14.25" customHeight="1" s="192">
      <c r="W10007" s="239" t="n"/>
      <c r="X10007" s="239" t="n"/>
    </row>
    <row r="10008" ht="14.25" customHeight="1" s="192">
      <c r="W10008" s="239" t="n"/>
      <c r="X10008" s="239" t="n"/>
    </row>
    <row r="10009" ht="14.25" customHeight="1" s="192">
      <c r="W10009" s="235" t="n"/>
      <c r="X10009" s="235" t="n"/>
    </row>
    <row r="10010" ht="14.25" customHeight="1" s="192">
      <c r="W10010" s="235" t="n"/>
      <c r="X10010" s="235" t="n"/>
    </row>
    <row r="10011" ht="14.25" customHeight="1" s="192">
      <c r="W10011" s="235" t="n"/>
      <c r="X10011" s="235" t="n"/>
    </row>
    <row r="10012" ht="14.25" customHeight="1" s="192">
      <c r="W10012" s="239" t="n"/>
      <c r="X10012" s="239" t="n"/>
    </row>
    <row r="10013" ht="14.25" customHeight="1" s="192">
      <c r="W10013" s="239" t="n"/>
      <c r="X10013" s="239" t="n"/>
    </row>
    <row r="10014" ht="14.25" customHeight="1" s="192">
      <c r="W10014" s="235" t="n"/>
      <c r="X10014" s="235" t="n"/>
    </row>
    <row r="10015" ht="14.25" customHeight="1" s="192">
      <c r="W10015" s="235" t="n"/>
      <c r="X10015" s="235" t="n"/>
    </row>
    <row r="10016" ht="14.25" customHeight="1" s="192">
      <c r="W10016" s="239" t="n"/>
      <c r="X10016" s="239" t="n"/>
    </row>
    <row r="10017" ht="14.25" customHeight="1" s="192">
      <c r="W10017" s="235" t="n"/>
      <c r="X10017" s="235" t="n"/>
    </row>
    <row r="10018" ht="14.25" customHeight="1" s="192">
      <c r="W10018" s="239" t="n"/>
      <c r="X10018" s="239" t="n"/>
    </row>
    <row r="10020" ht="14.25" customHeight="1" s="192">
      <c r="W10020" s="235" t="n"/>
      <c r="X10020" s="235" t="n"/>
    </row>
    <row r="10021" ht="15" customHeight="1" s="192" thickBot="1">
      <c r="W10021" s="239" t="n"/>
      <c r="X10021" s="239" t="n"/>
    </row>
    <row r="10022" ht="15" customHeight="1" s="192" thickBot="1">
      <c r="W10022" s="45" t="n"/>
      <c r="X10022" s="45" t="n"/>
    </row>
    <row r="10023" ht="14.25" customHeight="1" s="192">
      <c r="W10023" s="228" t="n"/>
      <c r="X10023" s="228" t="n"/>
    </row>
    <row r="10024" ht="14.25" customHeight="1" s="192">
      <c r="W10024" s="228" t="n"/>
      <c r="X10024" s="228" t="n"/>
    </row>
    <row r="10025" ht="14.25" customHeight="1" s="192">
      <c r="W10025" s="231" t="n"/>
      <c r="X10025" s="231" t="n"/>
    </row>
    <row r="10026" ht="14.25" customHeight="1" s="192">
      <c r="W10026" s="33" t="n"/>
      <c r="X10026" s="33" t="n"/>
    </row>
    <row r="10027" ht="14.25" customHeight="1" s="192">
      <c r="W10027" s="231" t="n"/>
      <c r="X10027" s="231" t="n"/>
    </row>
    <row r="10028" ht="14.25" customHeight="1" s="192">
      <c r="W10028" s="33" t="n"/>
      <c r="X10028" s="33" t="n"/>
    </row>
    <row r="10030" ht="14.25" customHeight="1" s="192">
      <c r="W10030" s="231" t="n"/>
      <c r="X10030" s="231" t="n"/>
    </row>
    <row r="10031" ht="14.25" customHeight="1" s="192">
      <c r="W10031" s="235" t="n"/>
      <c r="X10031" s="235" t="n"/>
    </row>
    <row r="10032" ht="14.25" customHeight="1" s="192">
      <c r="W10032" s="228" t="n"/>
      <c r="X10032" s="228" t="n"/>
    </row>
    <row r="10033" ht="14.25" customHeight="1" s="192">
      <c r="W10033" s="235" t="n"/>
      <c r="X10033" s="235" t="n"/>
    </row>
    <row r="10034" ht="14.25" customHeight="1" s="192">
      <c r="W10034" s="235" t="n"/>
      <c r="X10034" s="235" t="n"/>
    </row>
    <row r="10035" ht="14.25" customHeight="1" s="192">
      <c r="W10035" s="235" t="n"/>
      <c r="X10035" s="235" t="n"/>
    </row>
    <row r="10036" ht="14.25" customHeight="1" s="192">
      <c r="W10036" s="239" t="n"/>
      <c r="X10036" s="239" t="n"/>
    </row>
    <row r="10037" ht="14.25" customHeight="1" s="192">
      <c r="W10037" s="239" t="n"/>
      <c r="X10037" s="239" t="n"/>
    </row>
    <row r="10038" ht="14.25" customHeight="1" s="192">
      <c r="W10038" s="239" t="n"/>
      <c r="X10038" s="239" t="n"/>
    </row>
    <row r="10039" ht="14.25" customHeight="1" s="192">
      <c r="W10039" s="235" t="n"/>
      <c r="X10039" s="235" t="n"/>
    </row>
    <row r="10040" ht="14.25" customHeight="1" s="192">
      <c r="W10040" s="235" t="n"/>
      <c r="X10040" s="235" t="n"/>
    </row>
    <row r="10041" ht="14.25" customHeight="1" s="192">
      <c r="W10041" s="235" t="n"/>
      <c r="X10041" s="235" t="n"/>
    </row>
    <row r="10042" ht="14.25" customHeight="1" s="192">
      <c r="W10042" s="239" t="n"/>
      <c r="X10042" s="239" t="n"/>
    </row>
    <row r="10043" ht="14.25" customHeight="1" s="192">
      <c r="W10043" s="239" t="n"/>
      <c r="X10043" s="239" t="n"/>
    </row>
    <row r="10044" ht="14.25" customHeight="1" s="192">
      <c r="W10044" s="235" t="n"/>
      <c r="X10044" s="235" t="n"/>
    </row>
    <row r="10045" ht="14.25" customHeight="1" s="192">
      <c r="W10045" s="235" t="n"/>
      <c r="X10045" s="235" t="n"/>
    </row>
    <row r="10046" ht="14.25" customHeight="1" s="192">
      <c r="W10046" s="239" t="n"/>
      <c r="X10046" s="239" t="n"/>
    </row>
    <row r="10047" ht="14.25" customHeight="1" s="192">
      <c r="W10047" s="235" t="n"/>
      <c r="X10047" s="235" t="n"/>
    </row>
    <row r="10048" ht="14.25" customHeight="1" s="192">
      <c r="W10048" s="239" t="n"/>
      <c r="X10048" s="239" t="n"/>
    </row>
    <row r="10050" ht="14.25" customHeight="1" s="192">
      <c r="W10050" s="235" t="n"/>
      <c r="X10050" s="235" t="n"/>
    </row>
    <row r="10051" ht="15" customHeight="1" s="192" thickBot="1">
      <c r="W10051" s="239" t="n"/>
      <c r="X10051" s="239" t="n"/>
    </row>
    <row r="10052" ht="15" customHeight="1" s="192" thickBot="1">
      <c r="W10052" s="45" t="n"/>
      <c r="X10052" s="45" t="n"/>
    </row>
    <row r="10053" ht="14.25" customHeight="1" s="192">
      <c r="W10053" s="228" t="n"/>
      <c r="X10053" s="228" t="n"/>
    </row>
    <row r="10054" ht="14.25" customHeight="1" s="192">
      <c r="W10054" s="228" t="n"/>
      <c r="X10054" s="228" t="n"/>
    </row>
    <row r="10055" ht="14.25" customHeight="1" s="192">
      <c r="W10055" s="231" t="n"/>
      <c r="X10055" s="231" t="n"/>
    </row>
    <row r="10056" ht="14.25" customHeight="1" s="192">
      <c r="W10056" s="33" t="n"/>
      <c r="X10056" s="33" t="n"/>
    </row>
    <row r="10057" ht="14.25" customHeight="1" s="192">
      <c r="W10057" s="231" t="n"/>
      <c r="X10057" s="231" t="n"/>
    </row>
    <row r="10058" ht="14.25" customHeight="1" s="192">
      <c r="W10058" s="33" t="n"/>
      <c r="X10058" s="33" t="n"/>
    </row>
    <row r="10060" ht="14.25" customHeight="1" s="192">
      <c r="W10060" s="231" t="n"/>
      <c r="X10060" s="231" t="n"/>
    </row>
    <row r="10061" ht="14.25" customHeight="1" s="192">
      <c r="W10061" s="235" t="n"/>
      <c r="X10061" s="235" t="n"/>
    </row>
    <row r="10062" ht="14.25" customHeight="1" s="192">
      <c r="W10062" s="228" t="n"/>
      <c r="X10062" s="228" t="n"/>
    </row>
    <row r="10063" ht="14.25" customHeight="1" s="192">
      <c r="W10063" s="235" t="n"/>
      <c r="X10063" s="235" t="n"/>
    </row>
    <row r="10064" ht="14.25" customHeight="1" s="192">
      <c r="W10064" s="235" t="n"/>
      <c r="X10064" s="235" t="n"/>
    </row>
    <row r="10065" ht="14.25" customHeight="1" s="192">
      <c r="W10065" s="235" t="n"/>
      <c r="X10065" s="235" t="n"/>
    </row>
    <row r="10066" ht="14.25" customHeight="1" s="192">
      <c r="W10066" s="239" t="n"/>
      <c r="X10066" s="239" t="n"/>
    </row>
    <row r="10067" ht="14.25" customHeight="1" s="192">
      <c r="W10067" s="239" t="n"/>
      <c r="X10067" s="239" t="n"/>
    </row>
    <row r="10068" ht="14.25" customHeight="1" s="192">
      <c r="W10068" s="239" t="n"/>
      <c r="X10068" s="239" t="n"/>
    </row>
    <row r="10069" ht="14.25" customHeight="1" s="192">
      <c r="W10069" s="235" t="n"/>
      <c r="X10069" s="235" t="n"/>
    </row>
    <row r="10070" ht="14.25" customHeight="1" s="192">
      <c r="W10070" s="235" t="n"/>
      <c r="X10070" s="235" t="n"/>
    </row>
    <row r="10071" ht="14.25" customHeight="1" s="192">
      <c r="W10071" s="235" t="n"/>
      <c r="X10071" s="235" t="n"/>
    </row>
    <row r="10072" ht="14.25" customHeight="1" s="192">
      <c r="W10072" s="239" t="n"/>
      <c r="X10072" s="239" t="n"/>
    </row>
    <row r="10073" ht="14.25" customHeight="1" s="192">
      <c r="W10073" s="239" t="n"/>
      <c r="X10073" s="239" t="n"/>
    </row>
    <row r="10074" ht="14.25" customHeight="1" s="192">
      <c r="W10074" s="235" t="n"/>
      <c r="X10074" s="235" t="n"/>
    </row>
    <row r="10075" ht="14.25" customHeight="1" s="192">
      <c r="W10075" s="235" t="n"/>
      <c r="X10075" s="235" t="n"/>
    </row>
    <row r="10076" ht="14.25" customHeight="1" s="192">
      <c r="W10076" s="239" t="n"/>
      <c r="X10076" s="239" t="n"/>
    </row>
    <row r="10077" ht="14.25" customHeight="1" s="192">
      <c r="W10077" s="235" t="n"/>
      <c r="X10077" s="235" t="n"/>
    </row>
    <row r="10078" ht="14.25" customHeight="1" s="192">
      <c r="W10078" s="239" t="n"/>
      <c r="X10078" s="239" t="n"/>
    </row>
    <row r="10080" ht="14.25" customHeight="1" s="192">
      <c r="W10080" s="235" t="n"/>
      <c r="X10080" s="235" t="n"/>
    </row>
    <row r="10081" ht="15" customHeight="1" s="192" thickBot="1">
      <c r="W10081" s="239" t="n"/>
      <c r="X10081" s="239" t="n"/>
    </row>
    <row r="10082" ht="15" customHeight="1" s="192" thickBot="1">
      <c r="W10082" s="45" t="n"/>
      <c r="X10082" s="45" t="n"/>
    </row>
    <row r="10083" ht="14.25" customHeight="1" s="192">
      <c r="W10083" s="228" t="n"/>
      <c r="X10083" s="228" t="n"/>
    </row>
    <row r="10084" ht="14.25" customHeight="1" s="192">
      <c r="W10084" s="228" t="n"/>
      <c r="X10084" s="228" t="n"/>
    </row>
    <row r="10085" ht="14.25" customHeight="1" s="192">
      <c r="W10085" s="231" t="n"/>
      <c r="X10085" s="231" t="n"/>
    </row>
    <row r="10086" ht="14.25" customHeight="1" s="192">
      <c r="W10086" s="33" t="n"/>
      <c r="X10086" s="33" t="n"/>
    </row>
    <row r="10087" ht="14.25" customHeight="1" s="192">
      <c r="W10087" s="231" t="n"/>
      <c r="X10087" s="231" t="n"/>
    </row>
    <row r="10088" ht="14.25" customHeight="1" s="192">
      <c r="W10088" s="33" t="n"/>
      <c r="X10088" s="33" t="n"/>
    </row>
    <row r="10090" ht="14.25" customHeight="1" s="192">
      <c r="W10090" s="231" t="n"/>
      <c r="X10090" s="231" t="n"/>
    </row>
    <row r="10091" ht="14.25" customHeight="1" s="192">
      <c r="W10091" s="235" t="n"/>
      <c r="X10091" s="235" t="n"/>
    </row>
    <row r="10092" ht="14.25" customHeight="1" s="192">
      <c r="W10092" s="228" t="n"/>
      <c r="X10092" s="228" t="n"/>
    </row>
    <row r="10093" ht="14.25" customHeight="1" s="192">
      <c r="W10093" s="235" t="n"/>
      <c r="X10093" s="235" t="n"/>
    </row>
    <row r="10094" ht="14.25" customHeight="1" s="192">
      <c r="W10094" s="235" t="n"/>
      <c r="X10094" s="235" t="n"/>
    </row>
    <row r="10095" ht="14.25" customHeight="1" s="192">
      <c r="W10095" s="235" t="n"/>
      <c r="X10095" s="235" t="n"/>
    </row>
    <row r="10096" ht="14.25" customHeight="1" s="192">
      <c r="W10096" s="239" t="n"/>
      <c r="X10096" s="239" t="n"/>
    </row>
    <row r="10097" ht="14.25" customHeight="1" s="192">
      <c r="W10097" s="239" t="n"/>
      <c r="X10097" s="239" t="n"/>
    </row>
    <row r="10098" ht="14.25" customHeight="1" s="192">
      <c r="W10098" s="239" t="n"/>
      <c r="X10098" s="239" t="n"/>
    </row>
    <row r="10099" ht="14.25" customHeight="1" s="192">
      <c r="W10099" s="235" t="n"/>
      <c r="X10099" s="235" t="n"/>
    </row>
    <row r="10100" ht="14.25" customHeight="1" s="192">
      <c r="W10100" s="235" t="n"/>
      <c r="X10100" s="235" t="n"/>
    </row>
    <row r="10101" ht="14.25" customHeight="1" s="192">
      <c r="W10101" s="235" t="n"/>
      <c r="X10101" s="235" t="n"/>
    </row>
    <row r="10102" ht="14.25" customHeight="1" s="192">
      <c r="W10102" s="239" t="n"/>
      <c r="X10102" s="239" t="n"/>
    </row>
    <row r="10103" ht="14.25" customHeight="1" s="192">
      <c r="W10103" s="239" t="n"/>
      <c r="X10103" s="239" t="n"/>
    </row>
    <row r="10104" ht="14.25" customHeight="1" s="192">
      <c r="W10104" s="235" t="n"/>
      <c r="X10104" s="235" t="n"/>
    </row>
    <row r="10105" ht="14.25" customHeight="1" s="192">
      <c r="W10105" s="235" t="n"/>
      <c r="X10105" s="235" t="n"/>
    </row>
    <row r="10106" ht="14.25" customHeight="1" s="192">
      <c r="W10106" s="239" t="n"/>
      <c r="X10106" s="239" t="n"/>
    </row>
    <row r="10107" ht="14.25" customHeight="1" s="192">
      <c r="W10107" s="235" t="n"/>
      <c r="X10107" s="235" t="n"/>
    </row>
    <row r="10108" ht="14.25" customHeight="1" s="192">
      <c r="W10108" s="239" t="n"/>
      <c r="X10108" s="239" t="n"/>
    </row>
    <row r="10110" ht="14.25" customHeight="1" s="192">
      <c r="W10110" s="235" t="n"/>
      <c r="X10110" s="235" t="n"/>
    </row>
    <row r="10111" ht="15" customHeight="1" s="192" thickBot="1">
      <c r="W10111" s="239" t="n"/>
      <c r="X10111" s="239" t="n"/>
    </row>
    <row r="10112" ht="15" customHeight="1" s="192" thickBot="1">
      <c r="W10112" s="45" t="n"/>
      <c r="X10112" s="45" t="n"/>
    </row>
    <row r="10113" ht="14.25" customHeight="1" s="192">
      <c r="W10113" s="228" t="n"/>
      <c r="X10113" s="228" t="n"/>
    </row>
    <row r="10114" ht="14.25" customHeight="1" s="192">
      <c r="W10114" s="228" t="n"/>
      <c r="X10114" s="228" t="n"/>
    </row>
    <row r="10115" ht="14.25" customHeight="1" s="192">
      <c r="W10115" s="231" t="n"/>
      <c r="X10115" s="231" t="n"/>
    </row>
    <row r="10116" ht="14.25" customHeight="1" s="192">
      <c r="W10116" s="33" t="n"/>
      <c r="X10116" s="33" t="n"/>
    </row>
    <row r="10117" ht="14.25" customHeight="1" s="192">
      <c r="W10117" s="231" t="n"/>
      <c r="X10117" s="231" t="n"/>
    </row>
    <row r="10118" ht="14.25" customHeight="1" s="192">
      <c r="W10118" s="33" t="n"/>
      <c r="X10118" s="33" t="n"/>
    </row>
    <row r="10120" ht="14.25" customHeight="1" s="192">
      <c r="W10120" s="231" t="n"/>
      <c r="X10120" s="231" t="n"/>
    </row>
    <row r="10121" ht="14.25" customHeight="1" s="192">
      <c r="W10121" s="235" t="n"/>
      <c r="X10121" s="235" t="n"/>
    </row>
    <row r="10122" ht="14.25" customHeight="1" s="192">
      <c r="W10122" s="228" t="n"/>
      <c r="X10122" s="228" t="n"/>
    </row>
    <row r="10123" ht="14.25" customHeight="1" s="192">
      <c r="W10123" s="235" t="n"/>
      <c r="X10123" s="235" t="n"/>
    </row>
    <row r="10124" ht="14.25" customHeight="1" s="192">
      <c r="W10124" s="235" t="n"/>
      <c r="X10124" s="235" t="n"/>
    </row>
    <row r="10125" ht="14.25" customHeight="1" s="192">
      <c r="W10125" s="235" t="n"/>
      <c r="X10125" s="235" t="n"/>
    </row>
    <row r="10126" ht="14.25" customHeight="1" s="192">
      <c r="W10126" s="239" t="n"/>
      <c r="X10126" s="239" t="n"/>
    </row>
    <row r="10127" ht="14.25" customHeight="1" s="192">
      <c r="W10127" s="239" t="n"/>
      <c r="X10127" s="239" t="n"/>
    </row>
    <row r="10128" ht="14.25" customHeight="1" s="192">
      <c r="W10128" s="239" t="n"/>
      <c r="X10128" s="239" t="n"/>
    </row>
    <row r="10129" ht="14.25" customHeight="1" s="192">
      <c r="W10129" s="235" t="n"/>
      <c r="X10129" s="235" t="n"/>
    </row>
    <row r="10130" ht="14.25" customHeight="1" s="192">
      <c r="W10130" s="235" t="n"/>
      <c r="X10130" s="235" t="n"/>
    </row>
    <row r="10131" ht="14.25" customHeight="1" s="192">
      <c r="W10131" s="235" t="n"/>
      <c r="X10131" s="235" t="n"/>
    </row>
    <row r="10132" ht="14.25" customHeight="1" s="192">
      <c r="W10132" s="239" t="n"/>
      <c r="X10132" s="239" t="n"/>
    </row>
    <row r="10133" ht="14.25" customHeight="1" s="192">
      <c r="W10133" s="239" t="n"/>
      <c r="X10133" s="239" t="n"/>
    </row>
    <row r="10134" ht="14.25" customHeight="1" s="192">
      <c r="W10134" s="235" t="n"/>
      <c r="X10134" s="235" t="n"/>
    </row>
    <row r="10135" ht="14.25" customHeight="1" s="192">
      <c r="W10135" s="235" t="n"/>
      <c r="X10135" s="235" t="n"/>
    </row>
    <row r="10136" ht="14.25" customHeight="1" s="192">
      <c r="W10136" s="239" t="n"/>
      <c r="X10136" s="239" t="n"/>
    </row>
    <row r="10137" ht="14.25" customHeight="1" s="192">
      <c r="W10137" s="235" t="n"/>
      <c r="X10137" s="235" t="n"/>
    </row>
    <row r="10138" ht="14.25" customHeight="1" s="192">
      <c r="W10138" s="239" t="n"/>
      <c r="X10138" s="239" t="n"/>
    </row>
    <row r="10140" ht="14.25" customHeight="1" s="192">
      <c r="W10140" s="235" t="n"/>
      <c r="X10140" s="235" t="n"/>
    </row>
    <row r="10141" ht="15" customHeight="1" s="192" thickBot="1">
      <c r="W10141" s="239" t="n"/>
      <c r="X10141" s="239" t="n"/>
    </row>
    <row r="10142" ht="15" customHeight="1" s="192" thickBot="1">
      <c r="W10142" s="45" t="n"/>
      <c r="X10142" s="45" t="n"/>
    </row>
    <row r="10143" ht="14.25" customHeight="1" s="192">
      <c r="W10143" s="228" t="n"/>
      <c r="X10143" s="228" t="n"/>
    </row>
    <row r="10144" ht="14.25" customHeight="1" s="192">
      <c r="W10144" s="228" t="n"/>
      <c r="X10144" s="228" t="n"/>
    </row>
    <row r="10145" ht="14.25" customHeight="1" s="192">
      <c r="W10145" s="231" t="n"/>
      <c r="X10145" s="231" t="n"/>
    </row>
    <row r="10146" ht="14.25" customHeight="1" s="192">
      <c r="W10146" s="33" t="n"/>
      <c r="X10146" s="33" t="n"/>
    </row>
    <row r="10147" ht="14.25" customHeight="1" s="192">
      <c r="W10147" s="231" t="n"/>
      <c r="X10147" s="231" t="n"/>
    </row>
    <row r="10148" ht="14.25" customHeight="1" s="192">
      <c r="W10148" s="33" t="n"/>
      <c r="X10148" s="33" t="n"/>
    </row>
    <row r="10150" ht="14.25" customHeight="1" s="192">
      <c r="W10150" s="231" t="n"/>
      <c r="X10150" s="231" t="n"/>
    </row>
    <row r="10151" ht="14.25" customHeight="1" s="192">
      <c r="W10151" s="235" t="n"/>
      <c r="X10151" s="235" t="n"/>
    </row>
    <row r="10152" ht="14.25" customHeight="1" s="192">
      <c r="W10152" s="228" t="n"/>
      <c r="X10152" s="228" t="n"/>
    </row>
    <row r="10153" ht="14.25" customHeight="1" s="192">
      <c r="W10153" s="235" t="n"/>
      <c r="X10153" s="235" t="n"/>
    </row>
    <row r="10154" ht="14.25" customHeight="1" s="192">
      <c r="W10154" s="235" t="n"/>
      <c r="X10154" s="235" t="n"/>
    </row>
    <row r="10155" ht="14.25" customHeight="1" s="192">
      <c r="W10155" s="235" t="n"/>
      <c r="X10155" s="235" t="n"/>
    </row>
    <row r="10156" ht="14.25" customHeight="1" s="192">
      <c r="W10156" s="239" t="n"/>
      <c r="X10156" s="239" t="n"/>
    </row>
    <row r="10157" ht="14.25" customHeight="1" s="192">
      <c r="W10157" s="239" t="n"/>
      <c r="X10157" s="239" t="n"/>
    </row>
    <row r="10158" ht="14.25" customHeight="1" s="192">
      <c r="W10158" s="239" t="n"/>
      <c r="X10158" s="239" t="n"/>
    </row>
    <row r="10159" ht="14.25" customHeight="1" s="192">
      <c r="W10159" s="235" t="n"/>
      <c r="X10159" s="235" t="n"/>
    </row>
    <row r="10160" ht="14.25" customHeight="1" s="192">
      <c r="W10160" s="235" t="n"/>
      <c r="X10160" s="235" t="n"/>
    </row>
    <row r="10161" ht="14.25" customHeight="1" s="192">
      <c r="W10161" s="235" t="n"/>
      <c r="X10161" s="235" t="n"/>
    </row>
    <row r="10162" ht="14.25" customHeight="1" s="192">
      <c r="W10162" s="239" t="n"/>
      <c r="X10162" s="239" t="n"/>
    </row>
    <row r="10163" ht="14.25" customHeight="1" s="192">
      <c r="W10163" s="239" t="n"/>
      <c r="X10163" s="239" t="n"/>
    </row>
    <row r="10164" ht="14.25" customHeight="1" s="192">
      <c r="W10164" s="235" t="n"/>
      <c r="X10164" s="235" t="n"/>
    </row>
    <row r="10165" ht="14.25" customHeight="1" s="192">
      <c r="W10165" s="235" t="n"/>
      <c r="X10165" s="235" t="n"/>
    </row>
    <row r="10166" ht="14.25" customHeight="1" s="192">
      <c r="W10166" s="239" t="n"/>
      <c r="X10166" s="239" t="n"/>
    </row>
    <row r="10167" ht="14.25" customHeight="1" s="192">
      <c r="W10167" s="235" t="n"/>
      <c r="X10167" s="235" t="n"/>
    </row>
    <row r="10168" ht="14.25" customHeight="1" s="192">
      <c r="W10168" s="239" t="n"/>
      <c r="X10168" s="239" t="n"/>
    </row>
    <row r="10170" ht="14.25" customHeight="1" s="192">
      <c r="W10170" s="235" t="n"/>
      <c r="X10170" s="235" t="n"/>
    </row>
    <row r="10171" ht="15" customHeight="1" s="192" thickBot="1">
      <c r="W10171" s="239" t="n"/>
      <c r="X10171" s="239" t="n"/>
    </row>
    <row r="10172" ht="15" customHeight="1" s="192" thickBot="1">
      <c r="W10172" s="45" t="n"/>
      <c r="X10172" s="45" t="n"/>
    </row>
    <row r="10173" ht="14.25" customHeight="1" s="192">
      <c r="W10173" s="228" t="n"/>
      <c r="X10173" s="228" t="n"/>
    </row>
    <row r="10174" ht="14.25" customHeight="1" s="192">
      <c r="W10174" s="228" t="n"/>
      <c r="X10174" s="228" t="n"/>
    </row>
    <row r="10175" ht="14.25" customHeight="1" s="192">
      <c r="W10175" s="231" t="n"/>
      <c r="X10175" s="231" t="n"/>
    </row>
    <row r="10176" ht="14.25" customHeight="1" s="192">
      <c r="W10176" s="33" t="n"/>
      <c r="X10176" s="33" t="n"/>
    </row>
    <row r="10177" ht="14.25" customHeight="1" s="192">
      <c r="W10177" s="231" t="n"/>
      <c r="X10177" s="231" t="n"/>
    </row>
    <row r="10178" ht="14.25" customHeight="1" s="192">
      <c r="W10178" s="33" t="n"/>
      <c r="X10178" s="33" t="n"/>
    </row>
    <row r="10180" ht="14.25" customHeight="1" s="192">
      <c r="W10180" s="231" t="n"/>
      <c r="X10180" s="231" t="n"/>
    </row>
    <row r="10181" ht="14.25" customHeight="1" s="192">
      <c r="W10181" s="235" t="n"/>
      <c r="X10181" s="235" t="n"/>
    </row>
    <row r="10182" ht="14.25" customHeight="1" s="192">
      <c r="W10182" s="228" t="n"/>
      <c r="X10182" s="228" t="n"/>
    </row>
    <row r="10183" ht="14.25" customHeight="1" s="192">
      <c r="W10183" s="235" t="n"/>
      <c r="X10183" s="235" t="n"/>
    </row>
    <row r="10184" ht="14.25" customHeight="1" s="192">
      <c r="W10184" s="235" t="n"/>
      <c r="X10184" s="235" t="n"/>
    </row>
    <row r="10185" ht="14.25" customHeight="1" s="192">
      <c r="W10185" s="235" t="n"/>
      <c r="X10185" s="235" t="n"/>
    </row>
    <row r="10186" ht="14.25" customHeight="1" s="192">
      <c r="W10186" s="239" t="n"/>
      <c r="X10186" s="239" t="n"/>
    </row>
    <row r="10187" ht="14.25" customHeight="1" s="192">
      <c r="W10187" s="239" t="n"/>
      <c r="X10187" s="239" t="n"/>
    </row>
    <row r="10188" ht="14.25" customHeight="1" s="192">
      <c r="W10188" s="239" t="n"/>
      <c r="X10188" s="239" t="n"/>
    </row>
    <row r="10189" ht="14.25" customHeight="1" s="192">
      <c r="W10189" s="235" t="n"/>
      <c r="X10189" s="235" t="n"/>
    </row>
    <row r="10190" ht="14.25" customHeight="1" s="192">
      <c r="W10190" s="235" t="n"/>
      <c r="X10190" s="235" t="n"/>
    </row>
    <row r="10191" ht="14.25" customHeight="1" s="192">
      <c r="W10191" s="235" t="n"/>
      <c r="X10191" s="235" t="n"/>
    </row>
    <row r="10192" ht="14.25" customHeight="1" s="192">
      <c r="W10192" s="239" t="n"/>
      <c r="X10192" s="239" t="n"/>
    </row>
    <row r="10193" ht="14.25" customHeight="1" s="192">
      <c r="W10193" s="239" t="n"/>
      <c r="X10193" s="239" t="n"/>
    </row>
    <row r="10194" ht="14.25" customHeight="1" s="192">
      <c r="W10194" s="235" t="n"/>
      <c r="X10194" s="235" t="n"/>
    </row>
    <row r="10195" ht="14.25" customHeight="1" s="192">
      <c r="W10195" s="235" t="n"/>
      <c r="X10195" s="235" t="n"/>
    </row>
    <row r="10196" ht="14.25" customHeight="1" s="192">
      <c r="W10196" s="239" t="n"/>
      <c r="X10196" s="239" t="n"/>
    </row>
    <row r="10197" ht="14.25" customHeight="1" s="192">
      <c r="W10197" s="235" t="n"/>
      <c r="X10197" s="235" t="n"/>
    </row>
    <row r="10198" ht="14.25" customHeight="1" s="192">
      <c r="W10198" s="239" t="n"/>
      <c r="X10198" s="239" t="n"/>
    </row>
    <row r="10200" ht="14.25" customHeight="1" s="192">
      <c r="W10200" s="235" t="n"/>
      <c r="X10200" s="235" t="n"/>
    </row>
    <row r="10201" ht="15" customHeight="1" s="192" thickBot="1">
      <c r="W10201" s="239" t="n"/>
      <c r="X10201" s="239" t="n"/>
    </row>
    <row r="10202" ht="15" customHeight="1" s="192" thickBot="1">
      <c r="W10202" s="45" t="n"/>
      <c r="X10202" s="45" t="n"/>
    </row>
    <row r="10203" ht="14.25" customHeight="1" s="192">
      <c r="W10203" s="228" t="n"/>
      <c r="X10203" s="228" t="n"/>
    </row>
    <row r="10204" ht="14.25" customHeight="1" s="192">
      <c r="W10204" s="228" t="n"/>
      <c r="X10204" s="228" t="n"/>
    </row>
    <row r="10205" ht="14.25" customHeight="1" s="192">
      <c r="W10205" s="231" t="n"/>
      <c r="X10205" s="231" t="n"/>
    </row>
    <row r="10206" ht="14.25" customHeight="1" s="192">
      <c r="W10206" s="33" t="n"/>
      <c r="X10206" s="33" t="n"/>
    </row>
    <row r="10207" ht="14.25" customHeight="1" s="192">
      <c r="W10207" s="231" t="n"/>
      <c r="X10207" s="231" t="n"/>
    </row>
    <row r="10208" ht="14.25" customHeight="1" s="192">
      <c r="W10208" s="33" t="n"/>
      <c r="X10208" s="33" t="n"/>
    </row>
    <row r="10210" ht="14.25" customHeight="1" s="192">
      <c r="W10210" s="231" t="n"/>
      <c r="X10210" s="231" t="n"/>
    </row>
    <row r="10211" ht="14.25" customHeight="1" s="192">
      <c r="W10211" s="235" t="n"/>
      <c r="X10211" s="235" t="n"/>
    </row>
    <row r="10212" ht="14.25" customHeight="1" s="192">
      <c r="W10212" s="228" t="n"/>
      <c r="X10212" s="228" t="n"/>
    </row>
    <row r="10213" ht="14.25" customHeight="1" s="192">
      <c r="W10213" s="235" t="n"/>
      <c r="X10213" s="235" t="n"/>
    </row>
    <row r="10214" ht="14.25" customHeight="1" s="192">
      <c r="W10214" s="235" t="n"/>
      <c r="X10214" s="235" t="n"/>
    </row>
    <row r="10215" ht="14.25" customHeight="1" s="192">
      <c r="W10215" s="235" t="n"/>
      <c r="X10215" s="235" t="n"/>
    </row>
    <row r="10216" ht="14.25" customHeight="1" s="192">
      <c r="W10216" s="239" t="n"/>
      <c r="X10216" s="239" t="n"/>
    </row>
    <row r="10217" ht="14.25" customHeight="1" s="192">
      <c r="W10217" s="239" t="n"/>
      <c r="X10217" s="239" t="n"/>
    </row>
    <row r="10218" ht="14.25" customHeight="1" s="192">
      <c r="W10218" s="239" t="n"/>
      <c r="X10218" s="239" t="n"/>
    </row>
    <row r="10219" ht="14.25" customHeight="1" s="192">
      <c r="W10219" s="235" t="n"/>
      <c r="X10219" s="235" t="n"/>
    </row>
    <row r="10220" ht="14.25" customHeight="1" s="192">
      <c r="W10220" s="235" t="n"/>
      <c r="X10220" s="235" t="n"/>
    </row>
    <row r="10221" ht="14.25" customHeight="1" s="192">
      <c r="W10221" s="235" t="n"/>
      <c r="X10221" s="235" t="n"/>
    </row>
    <row r="10222" ht="14.25" customHeight="1" s="192">
      <c r="W10222" s="239" t="n"/>
      <c r="X10222" s="239" t="n"/>
    </row>
    <row r="10223" ht="14.25" customHeight="1" s="192">
      <c r="W10223" s="239" t="n"/>
      <c r="X10223" s="239" t="n"/>
    </row>
    <row r="10224" ht="14.25" customHeight="1" s="192">
      <c r="W10224" s="235" t="n"/>
      <c r="X10224" s="235" t="n"/>
    </row>
    <row r="10225" ht="14.25" customHeight="1" s="192">
      <c r="W10225" s="235" t="n"/>
      <c r="X10225" s="235" t="n"/>
    </row>
    <row r="10226" ht="14.25" customHeight="1" s="192">
      <c r="W10226" s="239" t="n"/>
      <c r="X10226" s="239" t="n"/>
    </row>
    <row r="10227" ht="14.25" customHeight="1" s="192">
      <c r="W10227" s="235" t="n"/>
      <c r="X10227" s="235" t="n"/>
    </row>
    <row r="10228" ht="14.25" customHeight="1" s="192">
      <c r="W10228" s="239" t="n"/>
      <c r="X10228" s="239" t="n"/>
    </row>
    <row r="10230" ht="14.25" customHeight="1" s="192">
      <c r="W10230" s="235" t="n"/>
      <c r="X10230" s="235" t="n"/>
    </row>
    <row r="10231" ht="15" customHeight="1" s="192" thickBot="1">
      <c r="W10231" s="239" t="n"/>
      <c r="X10231" s="239" t="n"/>
    </row>
    <row r="10232" ht="15" customHeight="1" s="192" thickBot="1">
      <c r="W10232" s="45" t="n"/>
      <c r="X10232" s="45" t="n"/>
    </row>
    <row r="10233" ht="14.25" customHeight="1" s="192">
      <c r="W10233" s="228" t="n"/>
      <c r="X10233" s="228" t="n"/>
    </row>
    <row r="10234" ht="14.25" customHeight="1" s="192">
      <c r="W10234" s="228" t="n"/>
      <c r="X10234" s="228" t="n"/>
    </row>
    <row r="10235" ht="14.25" customHeight="1" s="192">
      <c r="W10235" s="231" t="n"/>
      <c r="X10235" s="231" t="n"/>
    </row>
    <row r="10236" ht="14.25" customHeight="1" s="192">
      <c r="W10236" s="33" t="n"/>
      <c r="X10236" s="33" t="n"/>
    </row>
    <row r="10237" ht="14.25" customHeight="1" s="192">
      <c r="W10237" s="231" t="n"/>
      <c r="X10237" s="231" t="n"/>
    </row>
    <row r="10238" ht="14.25" customHeight="1" s="192">
      <c r="W10238" s="33" t="n"/>
      <c r="X10238" s="33" t="n"/>
    </row>
    <row r="10240" ht="14.25" customHeight="1" s="192">
      <c r="W10240" s="231" t="n"/>
      <c r="X10240" s="231" t="n"/>
    </row>
    <row r="10241" ht="14.25" customHeight="1" s="192">
      <c r="W10241" s="235" t="n"/>
      <c r="X10241" s="235" t="n"/>
    </row>
    <row r="10242" ht="14.25" customHeight="1" s="192">
      <c r="W10242" s="228" t="n"/>
      <c r="X10242" s="228" t="n"/>
    </row>
    <row r="10243" ht="14.25" customHeight="1" s="192">
      <c r="W10243" s="235" t="n"/>
      <c r="X10243" s="235" t="n"/>
    </row>
    <row r="10244" ht="14.25" customHeight="1" s="192">
      <c r="W10244" s="235" t="n"/>
      <c r="X10244" s="235" t="n"/>
    </row>
    <row r="10245" ht="14.25" customHeight="1" s="192">
      <c r="W10245" s="235" t="n"/>
      <c r="X10245" s="235" t="n"/>
    </row>
    <row r="10246" ht="14.25" customHeight="1" s="192">
      <c r="W10246" s="239" t="n"/>
      <c r="X10246" s="239" t="n"/>
    </row>
    <row r="10247" ht="14.25" customHeight="1" s="192">
      <c r="W10247" s="239" t="n"/>
      <c r="X10247" s="239" t="n"/>
    </row>
    <row r="10248" ht="14.25" customHeight="1" s="192">
      <c r="W10248" s="239" t="n"/>
      <c r="X10248" s="239" t="n"/>
    </row>
    <row r="10249" ht="14.25" customHeight="1" s="192">
      <c r="W10249" s="235" t="n"/>
      <c r="X10249" s="235" t="n"/>
    </row>
    <row r="10250" ht="14.25" customHeight="1" s="192">
      <c r="W10250" s="235" t="n"/>
      <c r="X10250" s="235" t="n"/>
    </row>
    <row r="10251" ht="14.25" customHeight="1" s="192">
      <c r="W10251" s="235" t="n"/>
      <c r="X10251" s="235" t="n"/>
    </row>
    <row r="10252" ht="14.25" customHeight="1" s="192">
      <c r="W10252" s="239" t="n"/>
      <c r="X10252" s="239" t="n"/>
    </row>
    <row r="10253" ht="14.25" customHeight="1" s="192">
      <c r="W10253" s="239" t="n"/>
      <c r="X10253" s="239" t="n"/>
    </row>
    <row r="10254" ht="14.25" customHeight="1" s="192">
      <c r="W10254" s="235" t="n"/>
      <c r="X10254" s="235" t="n"/>
    </row>
    <row r="10255" ht="14.25" customHeight="1" s="192">
      <c r="W10255" s="235" t="n"/>
      <c r="X10255" s="235" t="n"/>
    </row>
    <row r="10256" ht="14.25" customHeight="1" s="192">
      <c r="W10256" s="239" t="n"/>
      <c r="X10256" s="239" t="n"/>
    </row>
    <row r="10257" ht="14.25" customHeight="1" s="192">
      <c r="W10257" s="235" t="n"/>
      <c r="X10257" s="235" t="n"/>
    </row>
    <row r="10258" ht="14.25" customHeight="1" s="192">
      <c r="W10258" s="239" t="n"/>
      <c r="X10258" s="239" t="n"/>
    </row>
    <row r="10260" ht="14.25" customHeight="1" s="192">
      <c r="W10260" s="235" t="n"/>
      <c r="X10260" s="235" t="n"/>
    </row>
    <row r="10261" ht="15" customHeight="1" s="192" thickBot="1">
      <c r="W10261" s="239" t="n"/>
      <c r="X10261" s="239" t="n"/>
    </row>
    <row r="10262" ht="15" customHeight="1" s="192" thickBot="1">
      <c r="W10262" s="45" t="n"/>
      <c r="X10262" s="45" t="n"/>
    </row>
    <row r="10263" ht="14.25" customHeight="1" s="192">
      <c r="W10263" s="228" t="n"/>
      <c r="X10263" s="228" t="n"/>
    </row>
    <row r="10264" ht="14.25" customHeight="1" s="192">
      <c r="W10264" s="228" t="n"/>
      <c r="X10264" s="228" t="n"/>
    </row>
    <row r="10265" ht="14.25" customHeight="1" s="192">
      <c r="W10265" s="231" t="n"/>
      <c r="X10265" s="231" t="n"/>
    </row>
    <row r="10266" ht="14.25" customHeight="1" s="192">
      <c r="W10266" s="33" t="n"/>
      <c r="X10266" s="33" t="n"/>
    </row>
    <row r="10267" ht="14.25" customHeight="1" s="192">
      <c r="W10267" s="231" t="n"/>
      <c r="X10267" s="231" t="n"/>
    </row>
    <row r="10268" ht="14.25" customHeight="1" s="192">
      <c r="W10268" s="33" t="n"/>
      <c r="X10268" s="33" t="n"/>
    </row>
    <row r="10270" ht="14.25" customHeight="1" s="192">
      <c r="W10270" s="231" t="n"/>
      <c r="X10270" s="231" t="n"/>
    </row>
    <row r="10271" ht="14.25" customHeight="1" s="192">
      <c r="W10271" s="235" t="n"/>
      <c r="X10271" s="235" t="n"/>
    </row>
    <row r="10272" ht="14.25" customHeight="1" s="192">
      <c r="W10272" s="228" t="n"/>
      <c r="X10272" s="228" t="n"/>
    </row>
    <row r="10273" ht="14.25" customHeight="1" s="192">
      <c r="W10273" s="235" t="n"/>
      <c r="X10273" s="235" t="n"/>
    </row>
    <row r="10274" ht="14.25" customHeight="1" s="192">
      <c r="W10274" s="235" t="n"/>
      <c r="X10274" s="235" t="n"/>
    </row>
    <row r="10275" ht="14.25" customHeight="1" s="192">
      <c r="W10275" s="235" t="n"/>
      <c r="X10275" s="235" t="n"/>
    </row>
    <row r="10276" ht="14.25" customHeight="1" s="192">
      <c r="W10276" s="239" t="n"/>
      <c r="X10276" s="239" t="n"/>
    </row>
    <row r="10277" ht="14.25" customHeight="1" s="192">
      <c r="W10277" s="239" t="n"/>
      <c r="X10277" s="239" t="n"/>
    </row>
    <row r="10278" ht="14.25" customHeight="1" s="192">
      <c r="W10278" s="239" t="n"/>
      <c r="X10278" s="239" t="n"/>
    </row>
    <row r="10279" ht="14.25" customHeight="1" s="192">
      <c r="W10279" s="235" t="n"/>
      <c r="X10279" s="235" t="n"/>
    </row>
    <row r="10280" ht="14.25" customHeight="1" s="192">
      <c r="W10280" s="235" t="n"/>
      <c r="X10280" s="235" t="n"/>
    </row>
    <row r="10281" ht="14.25" customHeight="1" s="192">
      <c r="W10281" s="235" t="n"/>
      <c r="X10281" s="235" t="n"/>
    </row>
    <row r="10282" ht="14.25" customHeight="1" s="192">
      <c r="W10282" s="239" t="n"/>
      <c r="X10282" s="239" t="n"/>
    </row>
    <row r="10283" ht="14.25" customHeight="1" s="192">
      <c r="W10283" s="239" t="n"/>
      <c r="X10283" s="239" t="n"/>
    </row>
    <row r="10284" ht="14.25" customHeight="1" s="192">
      <c r="W10284" s="235" t="n"/>
      <c r="X10284" s="235" t="n"/>
    </row>
    <row r="10285" ht="14.25" customHeight="1" s="192">
      <c r="W10285" s="235" t="n"/>
      <c r="X10285" s="235" t="n"/>
    </row>
    <row r="10286" ht="14.25" customHeight="1" s="192">
      <c r="W10286" s="239" t="n"/>
      <c r="X10286" s="239" t="n"/>
    </row>
    <row r="10287" ht="14.25" customHeight="1" s="192">
      <c r="W10287" s="235" t="n"/>
      <c r="X10287" s="235" t="n"/>
    </row>
    <row r="10288" ht="14.25" customHeight="1" s="192">
      <c r="W10288" s="239" t="n"/>
      <c r="X10288" s="239" t="n"/>
    </row>
    <row r="10290" ht="14.25" customHeight="1" s="192">
      <c r="W10290" s="235" t="n"/>
      <c r="X10290" s="235" t="n"/>
    </row>
    <row r="10291" ht="15" customHeight="1" s="192" thickBot="1">
      <c r="W10291" s="239" t="n"/>
      <c r="X10291" s="239" t="n"/>
    </row>
    <row r="10292" ht="15" customHeight="1" s="192" thickBot="1">
      <c r="W10292" s="45" t="n"/>
      <c r="X10292" s="45" t="n"/>
    </row>
    <row r="10293" ht="14.25" customHeight="1" s="192">
      <c r="W10293" s="228" t="n"/>
      <c r="X10293" s="228" t="n"/>
    </row>
    <row r="10294" ht="14.25" customHeight="1" s="192">
      <c r="W10294" s="228" t="n"/>
      <c r="X10294" s="228" t="n"/>
    </row>
    <row r="10295" ht="14.25" customHeight="1" s="192">
      <c r="W10295" s="231" t="n"/>
      <c r="X10295" s="231" t="n"/>
    </row>
    <row r="10296" ht="14.25" customHeight="1" s="192">
      <c r="W10296" s="33" t="n"/>
      <c r="X10296" s="33" t="n"/>
    </row>
    <row r="10297" ht="14.25" customHeight="1" s="192">
      <c r="W10297" s="231" t="n"/>
      <c r="X10297" s="231" t="n"/>
    </row>
    <row r="10298" ht="14.25" customHeight="1" s="192">
      <c r="W10298" s="33" t="n"/>
      <c r="X10298" s="33" t="n"/>
    </row>
    <row r="10300" ht="14.25" customHeight="1" s="192">
      <c r="W10300" s="231" t="n"/>
      <c r="X10300" s="231" t="n"/>
    </row>
    <row r="10301" ht="14.25" customHeight="1" s="192">
      <c r="W10301" s="235" t="n"/>
      <c r="X10301" s="235" t="n"/>
    </row>
    <row r="10302" ht="14.25" customHeight="1" s="192">
      <c r="W10302" s="228" t="n"/>
      <c r="X10302" s="228" t="n"/>
    </row>
    <row r="10303" ht="14.25" customHeight="1" s="192">
      <c r="W10303" s="235" t="n"/>
      <c r="X10303" s="235" t="n"/>
    </row>
    <row r="10304" ht="14.25" customHeight="1" s="192">
      <c r="W10304" s="235" t="n"/>
      <c r="X10304" s="235" t="n"/>
    </row>
    <row r="10305" ht="14.25" customHeight="1" s="192">
      <c r="W10305" s="235" t="n"/>
      <c r="X10305" s="235" t="n"/>
    </row>
    <row r="10306" ht="14.25" customHeight="1" s="192">
      <c r="W10306" s="239" t="n"/>
      <c r="X10306" s="239" t="n"/>
    </row>
    <row r="10307" ht="14.25" customHeight="1" s="192">
      <c r="W10307" s="239" t="n"/>
      <c r="X10307" s="239" t="n"/>
    </row>
    <row r="10308" ht="14.25" customHeight="1" s="192">
      <c r="W10308" s="239" t="n"/>
      <c r="X10308" s="239" t="n"/>
    </row>
    <row r="10309" ht="14.25" customHeight="1" s="192">
      <c r="W10309" s="235" t="n"/>
      <c r="X10309" s="235" t="n"/>
    </row>
    <row r="10310" ht="14.25" customHeight="1" s="192">
      <c r="W10310" s="235" t="n"/>
      <c r="X10310" s="235" t="n"/>
    </row>
    <row r="10311" ht="14.25" customHeight="1" s="192">
      <c r="W10311" s="235" t="n"/>
      <c r="X10311" s="235" t="n"/>
    </row>
    <row r="10312" ht="14.25" customHeight="1" s="192">
      <c r="W10312" s="239" t="n"/>
      <c r="X10312" s="239" t="n"/>
    </row>
    <row r="10313" ht="14.25" customHeight="1" s="192">
      <c r="W10313" s="239" t="n"/>
      <c r="X10313" s="239" t="n"/>
    </row>
    <row r="10314" ht="14.25" customHeight="1" s="192">
      <c r="W10314" s="235" t="n"/>
      <c r="X10314" s="235" t="n"/>
    </row>
    <row r="10315" ht="14.25" customHeight="1" s="192">
      <c r="W10315" s="235" t="n"/>
      <c r="X10315" s="235" t="n"/>
    </row>
    <row r="10316" ht="14.25" customHeight="1" s="192">
      <c r="W10316" s="239" t="n"/>
      <c r="X10316" s="239" t="n"/>
    </row>
    <row r="10317" ht="14.25" customHeight="1" s="192">
      <c r="W10317" s="235" t="n"/>
      <c r="X10317" s="235" t="n"/>
    </row>
    <row r="10318" ht="14.25" customHeight="1" s="192">
      <c r="W10318" s="239" t="n"/>
      <c r="X10318" s="239" t="n"/>
    </row>
    <row r="10320" ht="14.25" customHeight="1" s="192">
      <c r="W10320" s="235" t="n"/>
      <c r="X10320" s="235" t="n"/>
    </row>
    <row r="10321" ht="15" customHeight="1" s="192" thickBot="1">
      <c r="W10321" s="239" t="n"/>
      <c r="X10321" s="239" t="n"/>
    </row>
    <row r="10322" ht="15" customHeight="1" s="192" thickBot="1">
      <c r="W10322" s="45" t="n"/>
      <c r="X10322" s="45" t="n"/>
    </row>
    <row r="10323" ht="14.25" customHeight="1" s="192">
      <c r="W10323" s="228" t="n"/>
      <c r="X10323" s="228" t="n"/>
    </row>
    <row r="10324" ht="14.25" customHeight="1" s="192">
      <c r="W10324" s="228" t="n"/>
      <c r="X10324" s="228" t="n"/>
    </row>
    <row r="10325" ht="14.25" customHeight="1" s="192">
      <c r="W10325" s="231" t="n"/>
      <c r="X10325" s="231" t="n"/>
    </row>
    <row r="10326" ht="14.25" customHeight="1" s="192">
      <c r="W10326" s="33" t="n"/>
      <c r="X10326" s="33" t="n"/>
    </row>
    <row r="10327" ht="14.25" customHeight="1" s="192">
      <c r="W10327" s="231" t="n"/>
      <c r="X10327" s="231" t="n"/>
    </row>
    <row r="10328" ht="14.25" customHeight="1" s="192">
      <c r="W10328" s="33" t="n"/>
      <c r="X10328" s="33" t="n"/>
    </row>
    <row r="10330" ht="14.25" customHeight="1" s="192">
      <c r="W10330" s="231" t="n"/>
      <c r="X10330" s="231" t="n"/>
    </row>
    <row r="10331" ht="14.25" customHeight="1" s="192">
      <c r="W10331" s="235" t="n"/>
      <c r="X10331" s="235" t="n"/>
    </row>
    <row r="10332" ht="14.25" customHeight="1" s="192">
      <c r="W10332" s="228" t="n"/>
      <c r="X10332" s="228" t="n"/>
    </row>
    <row r="10333" ht="14.25" customHeight="1" s="192">
      <c r="W10333" s="235" t="n"/>
      <c r="X10333" s="235" t="n"/>
    </row>
    <row r="10334" ht="14.25" customHeight="1" s="192">
      <c r="W10334" s="235" t="n"/>
      <c r="X10334" s="235" t="n"/>
    </row>
    <row r="10335" ht="14.25" customHeight="1" s="192">
      <c r="W10335" s="235" t="n"/>
      <c r="X10335" s="235" t="n"/>
    </row>
    <row r="10336" ht="14.25" customHeight="1" s="192">
      <c r="W10336" s="239" t="n"/>
      <c r="X10336" s="239" t="n"/>
    </row>
    <row r="10337" ht="14.25" customHeight="1" s="192">
      <c r="W10337" s="239" t="n"/>
      <c r="X10337" s="239" t="n"/>
    </row>
    <row r="10338" ht="14.25" customHeight="1" s="192">
      <c r="W10338" s="239" t="n"/>
      <c r="X10338" s="239" t="n"/>
    </row>
    <row r="10339" ht="14.25" customHeight="1" s="192">
      <c r="W10339" s="235" t="n"/>
      <c r="X10339" s="235" t="n"/>
    </row>
    <row r="10340" ht="14.25" customHeight="1" s="192">
      <c r="W10340" s="235" t="n"/>
      <c r="X10340" s="235" t="n"/>
    </row>
    <row r="10341" ht="14.25" customHeight="1" s="192">
      <c r="W10341" s="235" t="n"/>
      <c r="X10341" s="235" t="n"/>
    </row>
    <row r="10342" ht="14.25" customHeight="1" s="192">
      <c r="W10342" s="239" t="n"/>
      <c r="X10342" s="239" t="n"/>
    </row>
    <row r="10343" ht="14.25" customHeight="1" s="192">
      <c r="W10343" s="239" t="n"/>
      <c r="X10343" s="239" t="n"/>
    </row>
    <row r="10344" ht="14.25" customHeight="1" s="192">
      <c r="W10344" s="235" t="n"/>
      <c r="X10344" s="235" t="n"/>
    </row>
    <row r="10345" ht="14.25" customHeight="1" s="192">
      <c r="W10345" s="235" t="n"/>
      <c r="X10345" s="235" t="n"/>
    </row>
    <row r="10346" ht="14.25" customHeight="1" s="192">
      <c r="W10346" s="239" t="n"/>
      <c r="X10346" s="239" t="n"/>
    </row>
    <row r="10347" ht="14.25" customHeight="1" s="192">
      <c r="W10347" s="235" t="n"/>
      <c r="X10347" s="235" t="n"/>
    </row>
    <row r="10348" ht="14.25" customHeight="1" s="192">
      <c r="W10348" s="239" t="n"/>
      <c r="X10348" s="239" t="n"/>
    </row>
    <row r="10350" ht="14.25" customHeight="1" s="192">
      <c r="W10350" s="235" t="n"/>
      <c r="X10350" s="235" t="n"/>
    </row>
    <row r="10351" ht="15" customHeight="1" s="192" thickBot="1">
      <c r="W10351" s="239" t="n"/>
      <c r="X10351" s="239" t="n"/>
    </row>
    <row r="10352" ht="15" customHeight="1" s="192" thickBot="1">
      <c r="W10352" s="45" t="n"/>
      <c r="X10352" s="45" t="n"/>
    </row>
    <row r="10353" ht="14.25" customHeight="1" s="192">
      <c r="W10353" s="228" t="n"/>
      <c r="X10353" s="228" t="n"/>
    </row>
    <row r="10354" ht="14.25" customHeight="1" s="192">
      <c r="W10354" s="228" t="n"/>
      <c r="X10354" s="228" t="n"/>
    </row>
    <row r="10355" ht="14.25" customHeight="1" s="192">
      <c r="W10355" s="231" t="n"/>
      <c r="X10355" s="231" t="n"/>
    </row>
    <row r="10356" ht="14.25" customHeight="1" s="192">
      <c r="W10356" s="33" t="n"/>
      <c r="X10356" s="33" t="n"/>
    </row>
    <row r="10357" ht="14.25" customHeight="1" s="192">
      <c r="W10357" s="231" t="n"/>
      <c r="X10357" s="231" t="n"/>
    </row>
    <row r="10358" ht="14.25" customHeight="1" s="192">
      <c r="W10358" s="33" t="n"/>
      <c r="X10358" s="33" t="n"/>
    </row>
    <row r="10360" ht="14.25" customHeight="1" s="192">
      <c r="W10360" s="231" t="n"/>
      <c r="X10360" s="231" t="n"/>
    </row>
    <row r="10361" ht="14.25" customHeight="1" s="192">
      <c r="W10361" s="235" t="n"/>
      <c r="X10361" s="235" t="n"/>
    </row>
    <row r="10362" ht="14.25" customHeight="1" s="192">
      <c r="W10362" s="228" t="n"/>
      <c r="X10362" s="228" t="n"/>
    </row>
    <row r="10363" ht="14.25" customHeight="1" s="192">
      <c r="W10363" s="235" t="n"/>
      <c r="X10363" s="235" t="n"/>
    </row>
    <row r="10364" ht="14.25" customHeight="1" s="192">
      <c r="W10364" s="235" t="n"/>
      <c r="X10364" s="235" t="n"/>
    </row>
    <row r="10365" ht="14.25" customHeight="1" s="192">
      <c r="W10365" s="235" t="n"/>
      <c r="X10365" s="235" t="n"/>
    </row>
    <row r="10366" ht="14.25" customHeight="1" s="192">
      <c r="W10366" s="239" t="n"/>
      <c r="X10366" s="239" t="n"/>
    </row>
    <row r="10367" ht="14.25" customHeight="1" s="192">
      <c r="W10367" s="239" t="n"/>
      <c r="X10367" s="239" t="n"/>
    </row>
    <row r="10368" ht="14.25" customHeight="1" s="192">
      <c r="W10368" s="239" t="n"/>
      <c r="X10368" s="239" t="n"/>
    </row>
    <row r="10369" ht="14.25" customHeight="1" s="192">
      <c r="W10369" s="235" t="n"/>
      <c r="X10369" s="235" t="n"/>
    </row>
    <row r="10370" ht="14.25" customHeight="1" s="192">
      <c r="W10370" s="235" t="n"/>
      <c r="X10370" s="235" t="n"/>
    </row>
    <row r="10371" ht="14.25" customHeight="1" s="192">
      <c r="W10371" s="235" t="n"/>
      <c r="X10371" s="235" t="n"/>
    </row>
    <row r="10372" ht="14.25" customHeight="1" s="192">
      <c r="W10372" s="239" t="n"/>
      <c r="X10372" s="239" t="n"/>
    </row>
    <row r="10373" ht="14.25" customHeight="1" s="192">
      <c r="W10373" s="239" t="n"/>
      <c r="X10373" s="239" t="n"/>
    </row>
    <row r="10374" ht="14.25" customHeight="1" s="192">
      <c r="W10374" s="235" t="n"/>
      <c r="X10374" s="235" t="n"/>
    </row>
    <row r="10375" ht="14.25" customHeight="1" s="192">
      <c r="W10375" s="235" t="n"/>
      <c r="X10375" s="235" t="n"/>
    </row>
    <row r="10376" ht="14.25" customHeight="1" s="192">
      <c r="W10376" s="239" t="n"/>
      <c r="X10376" s="239" t="n"/>
    </row>
    <row r="10377" ht="14.25" customHeight="1" s="192">
      <c r="W10377" s="235" t="n"/>
      <c r="X10377" s="235" t="n"/>
    </row>
    <row r="10378" ht="14.25" customHeight="1" s="192">
      <c r="W10378" s="239" t="n"/>
      <c r="X10378" s="239" t="n"/>
    </row>
    <row r="10380" ht="14.25" customHeight="1" s="192">
      <c r="W10380" s="235" t="n"/>
      <c r="X10380" s="235" t="n"/>
    </row>
    <row r="10381" ht="15" customHeight="1" s="192" thickBot="1">
      <c r="W10381" s="239" t="n"/>
      <c r="X10381" s="239" t="n"/>
    </row>
    <row r="10382" ht="15" customHeight="1" s="192" thickBot="1">
      <c r="W10382" s="45" t="n"/>
      <c r="X10382" s="45" t="n"/>
    </row>
    <row r="10383" ht="14.25" customHeight="1" s="192">
      <c r="W10383" s="228" t="n"/>
      <c r="X10383" s="228" t="n"/>
    </row>
    <row r="10384" ht="14.25" customHeight="1" s="192">
      <c r="W10384" s="228" t="n"/>
      <c r="X10384" s="228" t="n"/>
    </row>
    <row r="10385" ht="14.25" customHeight="1" s="192">
      <c r="W10385" s="231" t="n"/>
      <c r="X10385" s="231" t="n"/>
    </row>
    <row r="10386" ht="14.25" customHeight="1" s="192">
      <c r="W10386" s="33" t="n"/>
      <c r="X10386" s="33" t="n"/>
    </row>
    <row r="10387" ht="14.25" customHeight="1" s="192">
      <c r="W10387" s="231" t="n"/>
      <c r="X10387" s="231" t="n"/>
    </row>
    <row r="10388" ht="14.25" customHeight="1" s="192">
      <c r="W10388" s="33" t="n"/>
      <c r="X10388" s="33" t="n"/>
    </row>
    <row r="10390" ht="14.25" customHeight="1" s="192">
      <c r="W10390" s="231" t="n"/>
      <c r="X10390" s="231" t="n"/>
    </row>
    <row r="10391" ht="14.25" customHeight="1" s="192">
      <c r="W10391" s="235" t="n"/>
      <c r="X10391" s="235" t="n"/>
    </row>
    <row r="10392" ht="14.25" customHeight="1" s="192">
      <c r="W10392" s="228" t="n"/>
      <c r="X10392" s="228" t="n"/>
    </row>
    <row r="10393" ht="14.25" customHeight="1" s="192">
      <c r="W10393" s="235" t="n"/>
      <c r="X10393" s="235" t="n"/>
    </row>
    <row r="10394" ht="14.25" customHeight="1" s="192">
      <c r="W10394" s="235" t="n"/>
      <c r="X10394" s="235" t="n"/>
    </row>
    <row r="10395" ht="14.25" customHeight="1" s="192">
      <c r="W10395" s="235" t="n"/>
      <c r="X10395" s="235" t="n"/>
    </row>
    <row r="10396" ht="14.25" customHeight="1" s="192">
      <c r="W10396" s="239" t="n"/>
      <c r="X10396" s="239" t="n"/>
    </row>
    <row r="10397" ht="14.25" customHeight="1" s="192">
      <c r="W10397" s="239" t="n"/>
      <c r="X10397" s="239" t="n"/>
    </row>
    <row r="10398" ht="14.25" customHeight="1" s="192">
      <c r="W10398" s="239" t="n"/>
      <c r="X10398" s="239" t="n"/>
    </row>
    <row r="10399" ht="14.25" customHeight="1" s="192">
      <c r="W10399" s="235" t="n"/>
      <c r="X10399" s="235" t="n"/>
    </row>
    <row r="10400" ht="14.25" customHeight="1" s="192">
      <c r="W10400" s="235" t="n"/>
      <c r="X10400" s="235" t="n"/>
    </row>
    <row r="10401" ht="14.25" customHeight="1" s="192">
      <c r="W10401" s="235" t="n"/>
      <c r="X10401" s="235" t="n"/>
    </row>
    <row r="10402" ht="14.25" customHeight="1" s="192">
      <c r="W10402" s="239" t="n"/>
      <c r="X10402" s="239" t="n"/>
    </row>
    <row r="10403" ht="14.25" customHeight="1" s="192">
      <c r="W10403" s="239" t="n"/>
      <c r="X10403" s="239" t="n"/>
    </row>
    <row r="10404" ht="14.25" customHeight="1" s="192">
      <c r="W10404" s="235" t="n"/>
      <c r="X10404" s="235" t="n"/>
    </row>
    <row r="10405" ht="14.25" customHeight="1" s="192">
      <c r="W10405" s="235" t="n"/>
      <c r="X10405" s="235" t="n"/>
    </row>
    <row r="10406" ht="14.25" customHeight="1" s="192">
      <c r="W10406" s="239" t="n"/>
      <c r="X10406" s="239" t="n"/>
    </row>
    <row r="10407" ht="14.25" customHeight="1" s="192">
      <c r="W10407" s="235" t="n"/>
      <c r="X10407" s="235" t="n"/>
    </row>
    <row r="10408" ht="14.25" customHeight="1" s="192">
      <c r="W10408" s="239" t="n"/>
      <c r="X10408" s="239" t="n"/>
    </row>
    <row r="10410" ht="14.25" customHeight="1" s="192">
      <c r="W10410" s="235" t="n"/>
      <c r="X10410" s="235" t="n"/>
    </row>
    <row r="10411" ht="15" customHeight="1" s="192" thickBot="1">
      <c r="W10411" s="239" t="n"/>
      <c r="X10411" s="239" t="n"/>
    </row>
    <row r="10412" ht="15" customHeight="1" s="192" thickBot="1">
      <c r="W10412" s="45" t="n"/>
      <c r="X10412" s="45" t="n"/>
    </row>
    <row r="10413" ht="14.25" customHeight="1" s="192">
      <c r="W10413" s="228" t="n"/>
      <c r="X10413" s="228" t="n"/>
    </row>
    <row r="10414" ht="14.25" customHeight="1" s="192">
      <c r="W10414" s="228" t="n"/>
      <c r="X10414" s="228" t="n"/>
    </row>
    <row r="10415" ht="14.25" customHeight="1" s="192">
      <c r="W10415" s="231" t="n"/>
      <c r="X10415" s="231" t="n"/>
    </row>
    <row r="10416" ht="14.25" customHeight="1" s="192">
      <c r="W10416" s="33" t="n"/>
      <c r="X10416" s="33" t="n"/>
    </row>
    <row r="10417" ht="14.25" customHeight="1" s="192">
      <c r="W10417" s="231" t="n"/>
      <c r="X10417" s="231" t="n"/>
    </row>
    <row r="10418" ht="14.25" customHeight="1" s="192">
      <c r="W10418" s="33" t="n"/>
      <c r="X10418" s="33" t="n"/>
    </row>
    <row r="10420" ht="14.25" customHeight="1" s="192">
      <c r="W10420" s="231" t="n"/>
      <c r="X10420" s="231" t="n"/>
    </row>
    <row r="10421" ht="14.25" customHeight="1" s="192">
      <c r="W10421" s="235" t="n"/>
      <c r="X10421" s="235" t="n"/>
    </row>
    <row r="10422" ht="14.25" customHeight="1" s="192">
      <c r="W10422" s="228" t="n"/>
      <c r="X10422" s="228" t="n"/>
    </row>
    <row r="10423" ht="14.25" customHeight="1" s="192">
      <c r="W10423" s="235" t="n"/>
      <c r="X10423" s="235" t="n"/>
    </row>
    <row r="10424" ht="14.25" customHeight="1" s="192">
      <c r="W10424" s="235" t="n"/>
      <c r="X10424" s="235" t="n"/>
    </row>
    <row r="10425" ht="14.25" customHeight="1" s="192">
      <c r="W10425" s="235" t="n"/>
      <c r="X10425" s="235" t="n"/>
    </row>
    <row r="10426" ht="14.25" customHeight="1" s="192">
      <c r="W10426" s="239" t="n"/>
      <c r="X10426" s="239" t="n"/>
    </row>
    <row r="10427" ht="14.25" customHeight="1" s="192">
      <c r="W10427" s="239" t="n"/>
      <c r="X10427" s="239" t="n"/>
    </row>
    <row r="10428" ht="14.25" customHeight="1" s="192">
      <c r="W10428" s="239" t="n"/>
      <c r="X10428" s="239" t="n"/>
    </row>
    <row r="10429" ht="14.25" customHeight="1" s="192">
      <c r="W10429" s="235" t="n"/>
      <c r="X10429" s="235" t="n"/>
    </row>
    <row r="10430" ht="14.25" customHeight="1" s="192">
      <c r="W10430" s="235" t="n"/>
      <c r="X10430" s="235" t="n"/>
    </row>
    <row r="10431" ht="14.25" customHeight="1" s="192">
      <c r="W10431" s="235" t="n"/>
      <c r="X10431" s="235" t="n"/>
    </row>
    <row r="10432" ht="14.25" customHeight="1" s="192">
      <c r="W10432" s="239" t="n"/>
      <c r="X10432" s="239" t="n"/>
    </row>
    <row r="10433" ht="14.25" customHeight="1" s="192">
      <c r="W10433" s="239" t="n"/>
      <c r="X10433" s="239" t="n"/>
    </row>
    <row r="10434" ht="14.25" customHeight="1" s="192">
      <c r="W10434" s="235" t="n"/>
      <c r="X10434" s="235" t="n"/>
    </row>
    <row r="10435" ht="14.25" customHeight="1" s="192">
      <c r="W10435" s="235" t="n"/>
      <c r="X10435" s="235" t="n"/>
    </row>
    <row r="10436" ht="14.25" customHeight="1" s="192">
      <c r="W10436" s="239" t="n"/>
      <c r="X10436" s="239" t="n"/>
    </row>
    <row r="10437" ht="14.25" customHeight="1" s="192">
      <c r="W10437" s="235" t="n"/>
      <c r="X10437" s="235" t="n"/>
    </row>
    <row r="10438" ht="14.25" customHeight="1" s="192">
      <c r="W10438" s="239" t="n"/>
      <c r="X10438" s="239" t="n"/>
    </row>
    <row r="10440" ht="14.25" customHeight="1" s="192">
      <c r="W10440" s="235" t="n"/>
      <c r="X10440" s="235" t="n"/>
    </row>
    <row r="10441" ht="15" customHeight="1" s="192" thickBot="1">
      <c r="W10441" s="239" t="n"/>
      <c r="X10441" s="239" t="n"/>
    </row>
    <row r="10442" ht="15" customHeight="1" s="192" thickBot="1">
      <c r="W10442" s="45" t="n"/>
      <c r="X10442" s="45" t="n"/>
    </row>
    <row r="10443" ht="14.25" customHeight="1" s="192">
      <c r="W10443" s="228" t="n"/>
      <c r="X10443" s="228" t="n"/>
    </row>
    <row r="10444" ht="14.25" customHeight="1" s="192">
      <c r="W10444" s="228" t="n"/>
      <c r="X10444" s="228" t="n"/>
    </row>
    <row r="10445" ht="14.25" customHeight="1" s="192">
      <c r="W10445" s="231" t="n"/>
      <c r="X10445" s="231" t="n"/>
    </row>
    <row r="10446" ht="14.25" customHeight="1" s="192">
      <c r="W10446" s="33" t="n"/>
      <c r="X10446" s="33" t="n"/>
    </row>
    <row r="10447" ht="14.25" customHeight="1" s="192">
      <c r="W10447" s="231" t="n"/>
      <c r="X10447" s="231" t="n"/>
    </row>
    <row r="10448" ht="14.25" customHeight="1" s="192">
      <c r="W10448" s="33" t="n"/>
      <c r="X10448" s="33" t="n"/>
    </row>
    <row r="10450" ht="14.25" customHeight="1" s="192">
      <c r="W10450" s="231" t="n"/>
      <c r="X10450" s="231" t="n"/>
    </row>
    <row r="10451" ht="14.25" customHeight="1" s="192">
      <c r="W10451" s="235" t="n"/>
      <c r="X10451" s="235" t="n"/>
    </row>
    <row r="10452" ht="14.25" customHeight="1" s="192">
      <c r="W10452" s="228" t="n"/>
      <c r="X10452" s="228" t="n"/>
    </row>
    <row r="10453" ht="14.25" customHeight="1" s="192">
      <c r="W10453" s="235" t="n"/>
      <c r="X10453" s="235" t="n"/>
    </row>
    <row r="10454" ht="14.25" customHeight="1" s="192">
      <c r="W10454" s="235" t="n"/>
      <c r="X10454" s="235" t="n"/>
    </row>
    <row r="10455" ht="14.25" customHeight="1" s="192">
      <c r="W10455" s="235" t="n"/>
      <c r="X10455" s="235" t="n"/>
    </row>
    <row r="10456" ht="14.25" customHeight="1" s="192">
      <c r="W10456" s="239" t="n"/>
      <c r="X10456" s="239" t="n"/>
    </row>
    <row r="10457" ht="14.25" customHeight="1" s="192">
      <c r="W10457" s="239" t="n"/>
      <c r="X10457" s="239" t="n"/>
    </row>
    <row r="10458" ht="14.25" customHeight="1" s="192">
      <c r="W10458" s="239" t="n"/>
      <c r="X10458" s="239" t="n"/>
    </row>
    <row r="10459" ht="14.25" customHeight="1" s="192">
      <c r="W10459" s="235" t="n"/>
      <c r="X10459" s="235" t="n"/>
    </row>
    <row r="10460" ht="14.25" customHeight="1" s="192">
      <c r="W10460" s="235" t="n"/>
      <c r="X10460" s="235" t="n"/>
    </row>
    <row r="10461" ht="14.25" customHeight="1" s="192">
      <c r="W10461" s="235" t="n"/>
      <c r="X10461" s="235" t="n"/>
    </row>
    <row r="10462" ht="14.25" customHeight="1" s="192">
      <c r="W10462" s="239" t="n"/>
      <c r="X10462" s="239" t="n"/>
    </row>
    <row r="10463" ht="14.25" customHeight="1" s="192">
      <c r="W10463" s="239" t="n"/>
      <c r="X10463" s="239" t="n"/>
    </row>
    <row r="10464" ht="14.25" customHeight="1" s="192">
      <c r="W10464" s="235" t="n"/>
      <c r="X10464" s="235" t="n"/>
    </row>
    <row r="10465" ht="14.25" customHeight="1" s="192">
      <c r="W10465" s="235" t="n"/>
      <c r="X10465" s="235" t="n"/>
    </row>
    <row r="10466" ht="14.25" customHeight="1" s="192">
      <c r="W10466" s="239" t="n"/>
      <c r="X10466" s="239" t="n"/>
    </row>
    <row r="10467" ht="14.25" customHeight="1" s="192">
      <c r="W10467" s="235" t="n"/>
      <c r="X10467" s="235" t="n"/>
    </row>
    <row r="10468" ht="14.25" customHeight="1" s="192">
      <c r="W10468" s="239" t="n"/>
      <c r="X10468" s="239" t="n"/>
    </row>
    <row r="10470" ht="14.25" customHeight="1" s="192">
      <c r="W10470" s="235" t="n"/>
      <c r="X10470" s="235" t="n"/>
    </row>
    <row r="10471" ht="15" customHeight="1" s="192" thickBot="1">
      <c r="W10471" s="239" t="n"/>
      <c r="X10471" s="239" t="n"/>
    </row>
    <row r="10472" ht="15" customHeight="1" s="192" thickBot="1">
      <c r="W10472" s="45" t="n"/>
      <c r="X10472" s="45" t="n"/>
    </row>
    <row r="10473" ht="14.25" customHeight="1" s="192">
      <c r="W10473" s="228" t="n"/>
      <c r="X10473" s="228" t="n"/>
    </row>
    <row r="10474" ht="14.25" customHeight="1" s="192">
      <c r="W10474" s="228" t="n"/>
      <c r="X10474" s="228" t="n"/>
    </row>
    <row r="10475" ht="14.25" customHeight="1" s="192">
      <c r="W10475" s="231" t="n"/>
      <c r="X10475" s="231" t="n"/>
    </row>
    <row r="10476" ht="14.25" customHeight="1" s="192">
      <c r="W10476" s="33" t="n"/>
      <c r="X10476" s="33" t="n"/>
    </row>
    <row r="10477" ht="14.25" customHeight="1" s="192">
      <c r="W10477" s="231" t="n"/>
      <c r="X10477" s="231" t="n"/>
    </row>
    <row r="10478" ht="14.25" customHeight="1" s="192">
      <c r="W10478" s="33" t="n"/>
      <c r="X10478" s="33" t="n"/>
    </row>
    <row r="10480" ht="14.25" customHeight="1" s="192">
      <c r="W10480" s="231" t="n"/>
      <c r="X10480" s="231" t="n"/>
    </row>
    <row r="10481" ht="14.25" customHeight="1" s="192">
      <c r="W10481" s="235" t="n"/>
      <c r="X10481" s="235" t="n"/>
    </row>
    <row r="10482" ht="14.25" customHeight="1" s="192">
      <c r="W10482" s="228" t="n"/>
      <c r="X10482" s="228" t="n"/>
    </row>
    <row r="10483" ht="14.25" customHeight="1" s="192">
      <c r="W10483" s="235" t="n"/>
      <c r="X10483" s="235" t="n"/>
    </row>
    <row r="10484" ht="14.25" customHeight="1" s="192">
      <c r="W10484" s="235" t="n"/>
      <c r="X10484" s="235" t="n"/>
    </row>
    <row r="10485" ht="14.25" customHeight="1" s="192">
      <c r="W10485" s="235" t="n"/>
      <c r="X10485" s="235" t="n"/>
    </row>
    <row r="10486" ht="14.25" customHeight="1" s="192">
      <c r="W10486" s="239" t="n"/>
      <c r="X10486" s="239" t="n"/>
    </row>
    <row r="10487" ht="14.25" customHeight="1" s="192">
      <c r="W10487" s="239" t="n"/>
      <c r="X10487" s="239" t="n"/>
    </row>
    <row r="10488" ht="14.25" customHeight="1" s="192">
      <c r="W10488" s="239" t="n"/>
      <c r="X10488" s="239" t="n"/>
    </row>
    <row r="10489" ht="14.25" customHeight="1" s="192">
      <c r="W10489" s="235" t="n"/>
      <c r="X10489" s="235" t="n"/>
    </row>
    <row r="10490" ht="14.25" customHeight="1" s="192">
      <c r="W10490" s="235" t="n"/>
      <c r="X10490" s="235" t="n"/>
    </row>
    <row r="10491" ht="14.25" customHeight="1" s="192">
      <c r="W10491" s="235" t="n"/>
      <c r="X10491" s="235" t="n"/>
    </row>
    <row r="10492" ht="14.25" customHeight="1" s="192">
      <c r="W10492" s="239" t="n"/>
      <c r="X10492" s="239" t="n"/>
    </row>
    <row r="10493" ht="14.25" customHeight="1" s="192">
      <c r="W10493" s="239" t="n"/>
      <c r="X10493" s="239" t="n"/>
    </row>
    <row r="10494" ht="14.25" customHeight="1" s="192">
      <c r="W10494" s="235" t="n"/>
      <c r="X10494" s="235" t="n"/>
    </row>
    <row r="10495" ht="14.25" customHeight="1" s="192">
      <c r="W10495" s="235" t="n"/>
      <c r="X10495" s="235" t="n"/>
    </row>
    <row r="10496" ht="14.25" customHeight="1" s="192">
      <c r="W10496" s="239" t="n"/>
      <c r="X10496" s="239" t="n"/>
    </row>
    <row r="10497" ht="14.25" customHeight="1" s="192">
      <c r="W10497" s="235" t="n"/>
      <c r="X10497" s="235" t="n"/>
    </row>
    <row r="10498" ht="14.25" customHeight="1" s="192">
      <c r="W10498" s="239" t="n"/>
      <c r="X10498" s="239" t="n"/>
    </row>
    <row r="10500" ht="14.25" customHeight="1" s="192">
      <c r="W10500" s="235" t="n"/>
      <c r="X10500" s="235" t="n"/>
    </row>
    <row r="10501" ht="15" customHeight="1" s="192" thickBot="1">
      <c r="W10501" s="239" t="n"/>
      <c r="X10501" s="239" t="n"/>
    </row>
    <row r="10502" ht="15" customHeight="1" s="192" thickBot="1">
      <c r="W10502" s="45" t="n"/>
      <c r="X10502" s="45" t="n"/>
    </row>
    <row r="10503" ht="14.25" customHeight="1" s="192">
      <c r="W10503" s="228" t="n"/>
      <c r="X10503" s="228" t="n"/>
    </row>
    <row r="10504" ht="14.25" customHeight="1" s="192">
      <c r="W10504" s="228" t="n"/>
      <c r="X10504" s="228" t="n"/>
    </row>
    <row r="10505" ht="14.25" customHeight="1" s="192">
      <c r="W10505" s="231" t="n"/>
      <c r="X10505" s="231" t="n"/>
    </row>
    <row r="10506" ht="14.25" customHeight="1" s="192">
      <c r="W10506" s="33" t="n"/>
      <c r="X10506" s="33" t="n"/>
    </row>
    <row r="10507" ht="14.25" customHeight="1" s="192">
      <c r="W10507" s="231" t="n"/>
      <c r="X10507" s="231" t="n"/>
    </row>
    <row r="10508" ht="14.25" customHeight="1" s="192">
      <c r="W10508" s="33" t="n"/>
      <c r="X10508" s="33" t="n"/>
    </row>
    <row r="10510" ht="14.25" customHeight="1" s="192">
      <c r="W10510" s="231" t="n"/>
      <c r="X10510" s="231" t="n"/>
    </row>
    <row r="10511" ht="14.25" customHeight="1" s="192">
      <c r="W10511" s="235" t="n"/>
      <c r="X10511" s="235" t="n"/>
    </row>
    <row r="10512" ht="14.25" customHeight="1" s="192">
      <c r="W10512" s="228" t="n"/>
      <c r="X10512" s="228" t="n"/>
    </row>
    <row r="10513" ht="14.25" customHeight="1" s="192">
      <c r="W10513" s="235" t="n"/>
      <c r="X10513" s="235" t="n"/>
    </row>
    <row r="10514" ht="14.25" customHeight="1" s="192">
      <c r="W10514" s="235" t="n"/>
      <c r="X10514" s="235" t="n"/>
    </row>
    <row r="10515" ht="14.25" customHeight="1" s="192">
      <c r="W10515" s="235" t="n"/>
      <c r="X10515" s="235" t="n"/>
    </row>
    <row r="10516" ht="14.25" customHeight="1" s="192">
      <c r="W10516" s="239" t="n"/>
      <c r="X10516" s="239" t="n"/>
    </row>
    <row r="10517" ht="14.25" customHeight="1" s="192">
      <c r="W10517" s="239" t="n"/>
      <c r="X10517" s="239" t="n"/>
    </row>
    <row r="10518" ht="14.25" customHeight="1" s="192">
      <c r="W10518" s="239" t="n"/>
      <c r="X10518" s="239" t="n"/>
    </row>
    <row r="10519" ht="14.25" customHeight="1" s="192">
      <c r="W10519" s="235" t="n"/>
      <c r="X10519" s="235" t="n"/>
    </row>
    <row r="10520" ht="14.25" customHeight="1" s="192">
      <c r="W10520" s="235" t="n"/>
      <c r="X10520" s="235" t="n"/>
    </row>
    <row r="10521" ht="14.25" customHeight="1" s="192">
      <c r="W10521" s="235" t="n"/>
      <c r="X10521" s="235" t="n"/>
    </row>
    <row r="10522" ht="14.25" customHeight="1" s="192">
      <c r="W10522" s="239" t="n"/>
      <c r="X10522" s="239" t="n"/>
    </row>
    <row r="10523" ht="14.25" customHeight="1" s="192">
      <c r="W10523" s="239" t="n"/>
      <c r="X10523" s="239" t="n"/>
    </row>
    <row r="10524" ht="14.25" customHeight="1" s="192">
      <c r="W10524" s="235" t="n"/>
      <c r="X10524" s="235" t="n"/>
    </row>
    <row r="10525" ht="14.25" customHeight="1" s="192">
      <c r="W10525" s="235" t="n"/>
      <c r="X10525" s="235" t="n"/>
    </row>
    <row r="10526" ht="14.25" customHeight="1" s="192">
      <c r="W10526" s="239" t="n"/>
      <c r="X10526" s="239" t="n"/>
    </row>
    <row r="10527" ht="14.25" customHeight="1" s="192">
      <c r="W10527" s="235" t="n"/>
      <c r="X10527" s="235" t="n"/>
    </row>
    <row r="10528" ht="14.25" customHeight="1" s="192">
      <c r="W10528" s="239" t="n"/>
      <c r="X10528" s="239" t="n"/>
    </row>
    <row r="10530" ht="14.25" customHeight="1" s="192">
      <c r="W10530" s="235" t="n"/>
      <c r="X10530" s="235" t="n"/>
    </row>
    <row r="10531" ht="15" customHeight="1" s="192" thickBot="1">
      <c r="W10531" s="239" t="n"/>
      <c r="X10531" s="239" t="n"/>
    </row>
    <row r="10532" ht="15" customHeight="1" s="192" thickBot="1">
      <c r="W10532" s="45" t="n"/>
      <c r="X10532" s="45" t="n"/>
    </row>
    <row r="10533" ht="14.25" customHeight="1" s="192">
      <c r="W10533" s="228" t="n"/>
      <c r="X10533" s="228" t="n"/>
    </row>
    <row r="10534" ht="14.25" customHeight="1" s="192">
      <c r="W10534" s="228" t="n"/>
      <c r="X10534" s="228" t="n"/>
    </row>
    <row r="10535" ht="14.25" customHeight="1" s="192">
      <c r="W10535" s="231" t="n"/>
      <c r="X10535" s="231" t="n"/>
    </row>
    <row r="10536" ht="14.25" customHeight="1" s="192">
      <c r="W10536" s="33" t="n"/>
      <c r="X10536" s="33" t="n"/>
    </row>
    <row r="10537" ht="14.25" customHeight="1" s="192">
      <c r="W10537" s="231" t="n"/>
      <c r="X10537" s="231" t="n"/>
    </row>
    <row r="10538" ht="14.25" customHeight="1" s="192">
      <c r="W10538" s="33" t="n"/>
      <c r="X10538" s="33" t="n"/>
    </row>
    <row r="10540" ht="14.25" customHeight="1" s="192">
      <c r="W10540" s="231" t="n"/>
      <c r="X10540" s="231" t="n"/>
    </row>
    <row r="10541" ht="14.25" customHeight="1" s="192">
      <c r="W10541" s="235" t="n"/>
      <c r="X10541" s="235" t="n"/>
    </row>
    <row r="10542" ht="14.25" customHeight="1" s="192">
      <c r="W10542" s="228" t="n"/>
      <c r="X10542" s="228" t="n"/>
    </row>
    <row r="10543" ht="14.25" customHeight="1" s="192">
      <c r="W10543" s="235" t="n"/>
      <c r="X10543" s="235" t="n"/>
    </row>
    <row r="10544" ht="14.25" customHeight="1" s="192">
      <c r="W10544" s="235" t="n"/>
      <c r="X10544" s="235" t="n"/>
    </row>
    <row r="10545" ht="14.25" customHeight="1" s="192">
      <c r="W10545" s="235" t="n"/>
      <c r="X10545" s="235" t="n"/>
    </row>
    <row r="10546" ht="14.25" customHeight="1" s="192">
      <c r="W10546" s="239" t="n"/>
      <c r="X10546" s="239" t="n"/>
    </row>
    <row r="10547" ht="14.25" customHeight="1" s="192">
      <c r="W10547" s="239" t="n"/>
      <c r="X10547" s="239" t="n"/>
    </row>
    <row r="10548" ht="14.25" customHeight="1" s="192">
      <c r="W10548" s="239" t="n"/>
      <c r="X10548" s="239" t="n"/>
    </row>
    <row r="10549" ht="14.25" customHeight="1" s="192">
      <c r="W10549" s="235" t="n"/>
      <c r="X10549" s="235" t="n"/>
    </row>
    <row r="10550" ht="14.25" customHeight="1" s="192">
      <c r="W10550" s="235" t="n"/>
      <c r="X10550" s="235" t="n"/>
    </row>
    <row r="10551" ht="14.25" customHeight="1" s="192">
      <c r="W10551" s="235" t="n"/>
      <c r="X10551" s="235" t="n"/>
    </row>
    <row r="10552" ht="14.25" customHeight="1" s="192">
      <c r="W10552" s="239" t="n"/>
      <c r="X10552" s="239" t="n"/>
    </row>
    <row r="10553" ht="14.25" customHeight="1" s="192">
      <c r="W10553" s="239" t="n"/>
      <c r="X10553" s="239" t="n"/>
    </row>
    <row r="10554" ht="14.25" customHeight="1" s="192">
      <c r="W10554" s="235" t="n"/>
      <c r="X10554" s="235" t="n"/>
    </row>
    <row r="10555" ht="14.25" customHeight="1" s="192">
      <c r="W10555" s="235" t="n"/>
      <c r="X10555" s="235" t="n"/>
    </row>
    <row r="10556" ht="14.25" customHeight="1" s="192">
      <c r="W10556" s="239" t="n"/>
      <c r="X10556" s="239" t="n"/>
    </row>
    <row r="10557" ht="14.25" customHeight="1" s="192">
      <c r="W10557" s="235" t="n"/>
      <c r="X10557" s="235" t="n"/>
    </row>
    <row r="10558" ht="14.25" customHeight="1" s="192">
      <c r="W10558" s="239" t="n"/>
      <c r="X10558" s="239" t="n"/>
    </row>
    <row r="10560" ht="14.25" customHeight="1" s="192">
      <c r="W10560" s="235" t="n"/>
      <c r="X10560" s="235" t="n"/>
    </row>
    <row r="10561" ht="15" customHeight="1" s="192" thickBot="1">
      <c r="W10561" s="239" t="n"/>
      <c r="X10561" s="239" t="n"/>
    </row>
    <row r="10562" ht="15" customHeight="1" s="192" thickBot="1">
      <c r="W10562" s="45" t="n"/>
      <c r="X10562" s="45" t="n"/>
    </row>
    <row r="10563" ht="14.25" customHeight="1" s="192">
      <c r="W10563" s="228" t="n"/>
      <c r="X10563" s="228" t="n"/>
    </row>
    <row r="10564" ht="14.25" customHeight="1" s="192">
      <c r="W10564" s="228" t="n"/>
      <c r="X10564" s="228" t="n"/>
    </row>
    <row r="10565" ht="14.25" customHeight="1" s="192">
      <c r="W10565" s="231" t="n"/>
      <c r="X10565" s="231" t="n"/>
    </row>
    <row r="10566" ht="14.25" customHeight="1" s="192">
      <c r="W10566" s="33" t="n"/>
      <c r="X10566" s="33" t="n"/>
    </row>
    <row r="10567" ht="14.25" customHeight="1" s="192">
      <c r="W10567" s="231" t="n"/>
      <c r="X10567" s="231" t="n"/>
    </row>
    <row r="10568" ht="14.25" customHeight="1" s="192">
      <c r="W10568" s="33" t="n"/>
      <c r="X10568" s="33" t="n"/>
    </row>
    <row r="10570" ht="14.25" customHeight="1" s="192">
      <c r="W10570" s="231" t="n"/>
      <c r="X10570" s="231" t="n"/>
    </row>
    <row r="10571" ht="14.25" customHeight="1" s="192">
      <c r="W10571" s="235" t="n"/>
      <c r="X10571" s="235" t="n"/>
    </row>
    <row r="10572" ht="14.25" customHeight="1" s="192">
      <c r="W10572" s="228" t="n"/>
      <c r="X10572" s="228" t="n"/>
    </row>
    <row r="10573" ht="14.25" customHeight="1" s="192">
      <c r="W10573" s="235" t="n"/>
      <c r="X10573" s="235" t="n"/>
    </row>
    <row r="10574" ht="14.25" customHeight="1" s="192">
      <c r="W10574" s="235" t="n"/>
      <c r="X10574" s="235" t="n"/>
    </row>
    <row r="10575" ht="14.25" customHeight="1" s="192">
      <c r="W10575" s="235" t="n"/>
      <c r="X10575" s="235" t="n"/>
    </row>
    <row r="10576" ht="14.25" customHeight="1" s="192">
      <c r="W10576" s="239" t="n"/>
      <c r="X10576" s="239" t="n"/>
    </row>
    <row r="10577" ht="14.25" customHeight="1" s="192">
      <c r="W10577" s="239" t="n"/>
      <c r="X10577" s="239" t="n"/>
    </row>
    <row r="10578" ht="14.25" customHeight="1" s="192">
      <c r="W10578" s="239" t="n"/>
      <c r="X10578" s="239" t="n"/>
    </row>
    <row r="10579" ht="14.25" customHeight="1" s="192">
      <c r="W10579" s="235" t="n"/>
      <c r="X10579" s="235" t="n"/>
    </row>
    <row r="10580" ht="14.25" customHeight="1" s="192">
      <c r="W10580" s="235" t="n"/>
      <c r="X10580" s="235" t="n"/>
    </row>
    <row r="10581" ht="14.25" customHeight="1" s="192">
      <c r="W10581" s="235" t="n"/>
      <c r="X10581" s="235" t="n"/>
    </row>
    <row r="10582" ht="14.25" customHeight="1" s="192">
      <c r="W10582" s="239" t="n"/>
      <c r="X10582" s="239" t="n"/>
    </row>
    <row r="10583" ht="14.25" customHeight="1" s="192">
      <c r="W10583" s="239" t="n"/>
      <c r="X10583" s="239" t="n"/>
    </row>
    <row r="10584" ht="14.25" customHeight="1" s="192">
      <c r="W10584" s="235" t="n"/>
      <c r="X10584" s="235" t="n"/>
    </row>
    <row r="10585" ht="14.25" customHeight="1" s="192">
      <c r="W10585" s="235" t="n"/>
      <c r="X10585" s="235" t="n"/>
    </row>
    <row r="10586" ht="14.25" customHeight="1" s="192">
      <c r="W10586" s="239" t="n"/>
      <c r="X10586" s="239" t="n"/>
    </row>
    <row r="10587" ht="14.25" customHeight="1" s="192">
      <c r="W10587" s="235" t="n"/>
      <c r="X10587" s="235" t="n"/>
    </row>
    <row r="10588" ht="14.25" customHeight="1" s="192">
      <c r="W10588" s="239" t="n"/>
      <c r="X10588" s="239" t="n"/>
    </row>
    <row r="10590" ht="14.25" customHeight="1" s="192">
      <c r="W10590" s="235" t="n"/>
      <c r="X10590" s="235" t="n"/>
    </row>
    <row r="10591" ht="15" customHeight="1" s="192" thickBot="1">
      <c r="W10591" s="239" t="n"/>
      <c r="X10591" s="239" t="n"/>
    </row>
    <row r="10592" ht="15" customHeight="1" s="192" thickBot="1">
      <c r="W10592" s="45" t="n"/>
      <c r="X10592" s="45" t="n"/>
    </row>
    <row r="10593" ht="14.25" customHeight="1" s="192">
      <c r="W10593" s="228" t="n"/>
      <c r="X10593" s="228" t="n"/>
    </row>
    <row r="10594" ht="14.25" customHeight="1" s="192">
      <c r="W10594" s="228" t="n"/>
      <c r="X10594" s="228" t="n"/>
    </row>
    <row r="10595" ht="14.25" customHeight="1" s="192">
      <c r="W10595" s="231" t="n"/>
      <c r="X10595" s="231" t="n"/>
    </row>
    <row r="10596" ht="14.25" customHeight="1" s="192">
      <c r="W10596" s="33" t="n"/>
      <c r="X10596" s="33" t="n"/>
    </row>
    <row r="10597" ht="14.25" customHeight="1" s="192">
      <c r="W10597" s="231" t="n"/>
      <c r="X10597" s="231" t="n"/>
    </row>
    <row r="10598" ht="14.25" customHeight="1" s="192">
      <c r="W10598" s="33" t="n"/>
      <c r="X10598" s="33" t="n"/>
    </row>
    <row r="10600" ht="14.25" customHeight="1" s="192">
      <c r="W10600" s="231" t="n"/>
      <c r="X10600" s="231" t="n"/>
    </row>
    <row r="10601" ht="14.25" customHeight="1" s="192">
      <c r="W10601" s="235" t="n"/>
      <c r="X10601" s="235" t="n"/>
    </row>
    <row r="10602" ht="14.25" customHeight="1" s="192">
      <c r="W10602" s="228" t="n"/>
      <c r="X10602" s="228" t="n"/>
    </row>
    <row r="10603" ht="14.25" customHeight="1" s="192">
      <c r="W10603" s="235" t="n"/>
      <c r="X10603" s="235" t="n"/>
    </row>
    <row r="10604" ht="14.25" customHeight="1" s="192">
      <c r="W10604" s="235" t="n"/>
      <c r="X10604" s="235" t="n"/>
    </row>
    <row r="10605" ht="14.25" customHeight="1" s="192">
      <c r="W10605" s="235" t="n"/>
      <c r="X10605" s="235" t="n"/>
    </row>
    <row r="10606" ht="14.25" customHeight="1" s="192">
      <c r="W10606" s="239" t="n"/>
      <c r="X10606" s="239" t="n"/>
    </row>
    <row r="10607" ht="14.25" customHeight="1" s="192">
      <c r="W10607" s="239" t="n"/>
      <c r="X10607" s="239" t="n"/>
    </row>
    <row r="10608" ht="14.25" customHeight="1" s="192">
      <c r="W10608" s="239" t="n"/>
      <c r="X10608" s="239" t="n"/>
    </row>
    <row r="10609" ht="14.25" customHeight="1" s="192">
      <c r="W10609" s="235" t="n"/>
      <c r="X10609" s="235" t="n"/>
    </row>
    <row r="10610" ht="14.25" customHeight="1" s="192">
      <c r="W10610" s="235" t="n"/>
      <c r="X10610" s="235" t="n"/>
    </row>
    <row r="10611" ht="14.25" customHeight="1" s="192">
      <c r="W10611" s="235" t="n"/>
      <c r="X10611" s="235" t="n"/>
    </row>
    <row r="10612" ht="14.25" customHeight="1" s="192">
      <c r="W10612" s="239" t="n"/>
      <c r="X10612" s="239" t="n"/>
    </row>
    <row r="10613" ht="14.25" customHeight="1" s="192">
      <c r="W10613" s="239" t="n"/>
      <c r="X10613" s="239" t="n"/>
    </row>
    <row r="10614" ht="14.25" customHeight="1" s="192">
      <c r="W10614" s="235" t="n"/>
      <c r="X10614" s="235" t="n"/>
    </row>
    <row r="10615" ht="14.25" customHeight="1" s="192">
      <c r="W10615" s="235" t="n"/>
      <c r="X10615" s="235" t="n"/>
    </row>
    <row r="10616" ht="14.25" customHeight="1" s="192">
      <c r="W10616" s="239" t="n"/>
      <c r="X10616" s="239" t="n"/>
    </row>
    <row r="10617" ht="14.25" customHeight="1" s="192">
      <c r="W10617" s="235" t="n"/>
      <c r="X10617" s="235" t="n"/>
    </row>
    <row r="10618" ht="14.25" customHeight="1" s="192">
      <c r="W10618" s="239" t="n"/>
      <c r="X10618" s="239" t="n"/>
    </row>
    <row r="10620" ht="14.25" customHeight="1" s="192">
      <c r="W10620" s="235" t="n"/>
      <c r="X10620" s="235" t="n"/>
    </row>
    <row r="10621" ht="15" customHeight="1" s="192" thickBot="1">
      <c r="W10621" s="239" t="n"/>
      <c r="X10621" s="239" t="n"/>
    </row>
    <row r="10622" ht="15" customHeight="1" s="192" thickBot="1">
      <c r="W10622" s="45" t="n"/>
      <c r="X10622" s="45" t="n"/>
    </row>
    <row r="10623" ht="14.25" customHeight="1" s="192">
      <c r="W10623" s="228" t="n"/>
      <c r="X10623" s="228" t="n"/>
    </row>
    <row r="10624" ht="14.25" customHeight="1" s="192">
      <c r="W10624" s="228" t="n"/>
      <c r="X10624" s="228" t="n"/>
    </row>
    <row r="10625" ht="14.25" customHeight="1" s="192">
      <c r="W10625" s="231" t="n"/>
      <c r="X10625" s="231" t="n"/>
    </row>
    <row r="10626" ht="14.25" customHeight="1" s="192">
      <c r="W10626" s="33" t="n"/>
      <c r="X10626" s="33" t="n"/>
    </row>
    <row r="10627" ht="14.25" customHeight="1" s="192">
      <c r="W10627" s="231" t="n"/>
      <c r="X10627" s="231" t="n"/>
    </row>
    <row r="10628" ht="14.25" customHeight="1" s="192">
      <c r="W10628" s="33" t="n"/>
      <c r="X10628" s="33" t="n"/>
    </row>
    <row r="10630" ht="14.25" customHeight="1" s="192">
      <c r="W10630" s="231" t="n"/>
      <c r="X10630" s="231" t="n"/>
    </row>
    <row r="10631" ht="14.25" customHeight="1" s="192">
      <c r="W10631" s="235" t="n"/>
      <c r="X10631" s="235" t="n"/>
    </row>
    <row r="10632" ht="14.25" customHeight="1" s="192">
      <c r="W10632" s="228" t="n"/>
      <c r="X10632" s="228" t="n"/>
    </row>
    <row r="10633" ht="14.25" customHeight="1" s="192">
      <c r="W10633" s="235" t="n"/>
      <c r="X10633" s="235" t="n"/>
    </row>
    <row r="10634" ht="14.25" customHeight="1" s="192">
      <c r="W10634" s="235" t="n"/>
      <c r="X10634" s="235" t="n"/>
    </row>
    <row r="10635" ht="14.25" customHeight="1" s="192">
      <c r="W10635" s="235" t="n"/>
      <c r="X10635" s="235" t="n"/>
    </row>
    <row r="10636" ht="14.25" customHeight="1" s="192">
      <c r="W10636" s="239" t="n"/>
      <c r="X10636" s="239" t="n"/>
    </row>
    <row r="10637" ht="14.25" customHeight="1" s="192">
      <c r="W10637" s="239" t="n"/>
      <c r="X10637" s="239" t="n"/>
    </row>
    <row r="10638" ht="14.25" customHeight="1" s="192">
      <c r="W10638" s="239" t="n"/>
      <c r="X10638" s="239" t="n"/>
    </row>
    <row r="10639" ht="14.25" customHeight="1" s="192">
      <c r="W10639" s="235" t="n"/>
      <c r="X10639" s="235" t="n"/>
    </row>
    <row r="10640" ht="14.25" customHeight="1" s="192">
      <c r="W10640" s="235" t="n"/>
      <c r="X10640" s="235" t="n"/>
    </row>
    <row r="10641" ht="14.25" customHeight="1" s="192">
      <c r="W10641" s="235" t="n"/>
      <c r="X10641" s="235" t="n"/>
    </row>
    <row r="10642" ht="14.25" customHeight="1" s="192">
      <c r="W10642" s="239" t="n"/>
      <c r="X10642" s="239" t="n"/>
    </row>
    <row r="10643" ht="14.25" customHeight="1" s="192">
      <c r="W10643" s="239" t="n"/>
      <c r="X10643" s="239" t="n"/>
    </row>
    <row r="10644" ht="14.25" customHeight="1" s="192">
      <c r="W10644" s="235" t="n"/>
      <c r="X10644" s="235" t="n"/>
    </row>
    <row r="10645" ht="14.25" customHeight="1" s="192">
      <c r="W10645" s="235" t="n"/>
      <c r="X10645" s="235" t="n"/>
    </row>
    <row r="10646" ht="14.25" customHeight="1" s="192">
      <c r="W10646" s="239" t="n"/>
      <c r="X10646" s="239" t="n"/>
    </row>
    <row r="10647" ht="14.25" customHeight="1" s="192">
      <c r="W10647" s="235" t="n"/>
      <c r="X10647" s="235" t="n"/>
    </row>
    <row r="10648" ht="14.25" customHeight="1" s="192">
      <c r="W10648" s="239" t="n"/>
      <c r="X10648" s="239" t="n"/>
    </row>
    <row r="10650" ht="14.25" customHeight="1" s="192">
      <c r="W10650" s="235" t="n"/>
      <c r="X10650" s="235" t="n"/>
    </row>
    <row r="10651" ht="15" customHeight="1" s="192" thickBot="1">
      <c r="W10651" s="239" t="n"/>
      <c r="X10651" s="239" t="n"/>
    </row>
    <row r="10652" ht="15" customHeight="1" s="192" thickBot="1">
      <c r="W10652" s="45" t="n"/>
      <c r="X10652" s="45" t="n"/>
    </row>
    <row r="10653" ht="14.25" customHeight="1" s="192">
      <c r="W10653" s="228" t="n"/>
      <c r="X10653" s="228" t="n"/>
    </row>
    <row r="10654" ht="14.25" customHeight="1" s="192">
      <c r="W10654" s="228" t="n"/>
      <c r="X10654" s="228" t="n"/>
    </row>
    <row r="10655" ht="14.25" customHeight="1" s="192">
      <c r="W10655" s="231" t="n"/>
      <c r="X10655" s="231" t="n"/>
    </row>
    <row r="10656" ht="14.25" customHeight="1" s="192">
      <c r="W10656" s="33" t="n"/>
      <c r="X10656" s="33" t="n"/>
    </row>
    <row r="10657" ht="14.25" customHeight="1" s="192">
      <c r="W10657" s="231" t="n"/>
      <c r="X10657" s="231" t="n"/>
    </row>
    <row r="10658" ht="14.25" customHeight="1" s="192">
      <c r="W10658" s="33" t="n"/>
      <c r="X10658" s="33" t="n"/>
    </row>
    <row r="10660" ht="14.25" customHeight="1" s="192">
      <c r="W10660" s="231" t="n"/>
      <c r="X10660" s="231" t="n"/>
    </row>
    <row r="10661" ht="14.25" customHeight="1" s="192">
      <c r="W10661" s="235" t="n"/>
      <c r="X10661" s="235" t="n"/>
    </row>
    <row r="10662" ht="14.25" customHeight="1" s="192">
      <c r="W10662" s="228" t="n"/>
      <c r="X10662" s="228" t="n"/>
    </row>
    <row r="10663" ht="14.25" customHeight="1" s="192">
      <c r="W10663" s="235" t="n"/>
      <c r="X10663" s="235" t="n"/>
    </row>
    <row r="10664" ht="14.25" customHeight="1" s="192">
      <c r="W10664" s="235" t="n"/>
      <c r="X10664" s="235" t="n"/>
    </row>
    <row r="10665" ht="14.25" customHeight="1" s="192">
      <c r="W10665" s="235" t="n"/>
      <c r="X10665" s="235" t="n"/>
    </row>
    <row r="10666" ht="14.25" customHeight="1" s="192">
      <c r="W10666" s="239" t="n"/>
      <c r="X10666" s="239" t="n"/>
    </row>
    <row r="10667" ht="14.25" customHeight="1" s="192">
      <c r="W10667" s="239" t="n"/>
      <c r="X10667" s="239" t="n"/>
    </row>
    <row r="10668" ht="14.25" customHeight="1" s="192">
      <c r="W10668" s="239" t="n"/>
      <c r="X10668" s="239" t="n"/>
    </row>
    <row r="10669" ht="14.25" customHeight="1" s="192">
      <c r="W10669" s="235" t="n"/>
      <c r="X10669" s="235" t="n"/>
    </row>
    <row r="10670" ht="14.25" customHeight="1" s="192">
      <c r="W10670" s="235" t="n"/>
      <c r="X10670" s="235" t="n"/>
    </row>
    <row r="10671" ht="14.25" customHeight="1" s="192">
      <c r="W10671" s="235" t="n"/>
      <c r="X10671" s="235" t="n"/>
    </row>
    <row r="10672" ht="14.25" customHeight="1" s="192">
      <c r="W10672" s="239" t="n"/>
      <c r="X10672" s="239" t="n"/>
    </row>
    <row r="10673" ht="14.25" customHeight="1" s="192">
      <c r="W10673" s="239" t="n"/>
      <c r="X10673" s="239" t="n"/>
    </row>
    <row r="10674" ht="14.25" customHeight="1" s="192">
      <c r="W10674" s="235" t="n"/>
      <c r="X10674" s="235" t="n"/>
    </row>
    <row r="10675" ht="14.25" customHeight="1" s="192">
      <c r="W10675" s="235" t="n"/>
      <c r="X10675" s="235" t="n"/>
    </row>
    <row r="10676" ht="14.25" customHeight="1" s="192">
      <c r="W10676" s="239" t="n"/>
      <c r="X10676" s="239" t="n"/>
    </row>
    <row r="10677" ht="14.25" customHeight="1" s="192">
      <c r="W10677" s="235" t="n"/>
      <c r="X10677" s="235" t="n"/>
    </row>
    <row r="10678" ht="14.25" customHeight="1" s="192">
      <c r="W10678" s="239" t="n"/>
      <c r="X10678" s="239" t="n"/>
    </row>
    <row r="10680" ht="14.25" customHeight="1" s="192">
      <c r="W10680" s="235" t="n"/>
      <c r="X10680" s="235" t="n"/>
    </row>
    <row r="10681" ht="15" customHeight="1" s="192" thickBot="1">
      <c r="W10681" s="239" t="n"/>
      <c r="X10681" s="239" t="n"/>
    </row>
    <row r="10682" ht="15" customHeight="1" s="192" thickBot="1">
      <c r="W10682" s="45" t="n"/>
      <c r="X10682" s="45" t="n"/>
    </row>
    <row r="10683" ht="14.25" customHeight="1" s="192">
      <c r="W10683" s="228" t="n"/>
      <c r="X10683" s="228" t="n"/>
    </row>
    <row r="10684" ht="14.25" customHeight="1" s="192">
      <c r="W10684" s="228" t="n"/>
      <c r="X10684" s="228" t="n"/>
    </row>
    <row r="10685" ht="14.25" customHeight="1" s="192">
      <c r="W10685" s="231" t="n"/>
      <c r="X10685" s="231" t="n"/>
    </row>
    <row r="10686" ht="14.25" customHeight="1" s="192">
      <c r="W10686" s="33" t="n"/>
      <c r="X10686" s="33" t="n"/>
    </row>
    <row r="10687" ht="14.25" customHeight="1" s="192">
      <c r="W10687" s="231" t="n"/>
      <c r="X10687" s="231" t="n"/>
    </row>
    <row r="10688" ht="14.25" customHeight="1" s="192">
      <c r="W10688" s="33" t="n"/>
      <c r="X10688" s="33" t="n"/>
    </row>
    <row r="10690" ht="14.25" customHeight="1" s="192">
      <c r="W10690" s="231" t="n"/>
      <c r="X10690" s="231" t="n"/>
    </row>
    <row r="10691" ht="14.25" customHeight="1" s="192">
      <c r="W10691" s="235" t="n"/>
      <c r="X10691" s="235" t="n"/>
    </row>
    <row r="10692" ht="14.25" customHeight="1" s="192">
      <c r="W10692" s="228" t="n"/>
      <c r="X10692" s="228" t="n"/>
    </row>
    <row r="10693" ht="14.25" customHeight="1" s="192">
      <c r="W10693" s="235" t="n"/>
      <c r="X10693" s="235" t="n"/>
    </row>
    <row r="10694" ht="14.25" customHeight="1" s="192">
      <c r="W10694" s="235" t="n"/>
      <c r="X10694" s="235" t="n"/>
    </row>
    <row r="10695" ht="14.25" customHeight="1" s="192">
      <c r="W10695" s="235" t="n"/>
      <c r="X10695" s="235" t="n"/>
    </row>
    <row r="10696" ht="14.25" customHeight="1" s="192">
      <c r="W10696" s="239" t="n"/>
      <c r="X10696" s="239" t="n"/>
    </row>
    <row r="10697" ht="14.25" customHeight="1" s="192">
      <c r="W10697" s="239" t="n"/>
      <c r="X10697" s="239" t="n"/>
    </row>
    <row r="10698" ht="14.25" customHeight="1" s="192">
      <c r="W10698" s="239" t="n"/>
      <c r="X10698" s="239" t="n"/>
    </row>
    <row r="10699" ht="14.25" customHeight="1" s="192">
      <c r="W10699" s="235" t="n"/>
      <c r="X10699" s="235" t="n"/>
    </row>
    <row r="10700" ht="14.25" customHeight="1" s="192">
      <c r="W10700" s="235" t="n"/>
      <c r="X10700" s="235" t="n"/>
    </row>
    <row r="10701" ht="14.25" customHeight="1" s="192">
      <c r="W10701" s="235" t="n"/>
      <c r="X10701" s="235" t="n"/>
    </row>
    <row r="10702" ht="14.25" customHeight="1" s="192">
      <c r="W10702" s="239" t="n"/>
      <c r="X10702" s="239" t="n"/>
    </row>
    <row r="10703" ht="14.25" customHeight="1" s="192">
      <c r="W10703" s="239" t="n"/>
      <c r="X10703" s="239" t="n"/>
    </row>
    <row r="10704" ht="14.25" customHeight="1" s="192">
      <c r="W10704" s="235" t="n"/>
      <c r="X10704" s="235" t="n"/>
    </row>
    <row r="10705" ht="14.25" customHeight="1" s="192">
      <c r="W10705" s="235" t="n"/>
      <c r="X10705" s="235" t="n"/>
    </row>
    <row r="10706" ht="14.25" customHeight="1" s="192">
      <c r="W10706" s="239" t="n"/>
      <c r="X10706" s="239" t="n"/>
    </row>
    <row r="10707" ht="14.25" customHeight="1" s="192">
      <c r="W10707" s="235" t="n"/>
      <c r="X10707" s="235" t="n"/>
    </row>
    <row r="10708" ht="14.25" customHeight="1" s="192">
      <c r="W10708" s="239" t="n"/>
      <c r="X10708" s="239" t="n"/>
    </row>
    <row r="10710" ht="14.25" customHeight="1" s="192">
      <c r="W10710" s="235" t="n"/>
      <c r="X10710" s="235" t="n"/>
    </row>
    <row r="10711" ht="15" customHeight="1" s="192" thickBot="1">
      <c r="W10711" s="239" t="n"/>
      <c r="X10711" s="239" t="n"/>
    </row>
    <row r="10712" ht="15" customHeight="1" s="192" thickBot="1">
      <c r="W10712" s="45" t="n"/>
      <c r="X10712" s="45" t="n"/>
    </row>
    <row r="10713" ht="14.25" customHeight="1" s="192">
      <c r="W10713" s="228" t="n"/>
      <c r="X10713" s="228" t="n"/>
    </row>
    <row r="10714" ht="14.25" customHeight="1" s="192">
      <c r="W10714" s="228" t="n"/>
      <c r="X10714" s="228" t="n"/>
    </row>
    <row r="10715" ht="14.25" customHeight="1" s="192">
      <c r="W10715" s="231" t="n"/>
      <c r="X10715" s="231" t="n"/>
    </row>
    <row r="10716" ht="14.25" customHeight="1" s="192">
      <c r="W10716" s="33" t="n"/>
      <c r="X10716" s="33" t="n"/>
    </row>
    <row r="10717" ht="14.25" customHeight="1" s="192">
      <c r="W10717" s="231" t="n"/>
      <c r="X10717" s="231" t="n"/>
    </row>
    <row r="10718" ht="14.25" customHeight="1" s="192">
      <c r="W10718" s="33" t="n"/>
      <c r="X10718" s="33" t="n"/>
    </row>
    <row r="10720" ht="14.25" customHeight="1" s="192">
      <c r="W10720" s="231" t="n"/>
      <c r="X10720" s="231" t="n"/>
    </row>
    <row r="10721" ht="14.25" customHeight="1" s="192">
      <c r="W10721" s="235" t="n"/>
      <c r="X10721" s="235" t="n"/>
    </row>
    <row r="10722" ht="14.25" customHeight="1" s="192">
      <c r="W10722" s="228" t="n"/>
      <c r="X10722" s="228" t="n"/>
    </row>
    <row r="10723" ht="14.25" customHeight="1" s="192">
      <c r="W10723" s="235" t="n"/>
      <c r="X10723" s="235" t="n"/>
    </row>
    <row r="10724" ht="14.25" customHeight="1" s="192">
      <c r="W10724" s="235" t="n"/>
      <c r="X10724" s="235" t="n"/>
    </row>
    <row r="10725" ht="14.25" customHeight="1" s="192">
      <c r="W10725" s="235" t="n"/>
      <c r="X10725" s="235" t="n"/>
    </row>
    <row r="10726" ht="14.25" customHeight="1" s="192">
      <c r="W10726" s="239" t="n"/>
      <c r="X10726" s="239" t="n"/>
    </row>
    <row r="10727" ht="14.25" customHeight="1" s="192">
      <c r="W10727" s="239" t="n"/>
      <c r="X10727" s="239" t="n"/>
    </row>
    <row r="10728" ht="14.25" customHeight="1" s="192">
      <c r="W10728" s="239" t="n"/>
      <c r="X10728" s="239" t="n"/>
    </row>
    <row r="10729" ht="14.25" customHeight="1" s="192">
      <c r="W10729" s="235" t="n"/>
      <c r="X10729" s="235" t="n"/>
    </row>
    <row r="10730" ht="14.25" customHeight="1" s="192">
      <c r="W10730" s="235" t="n"/>
      <c r="X10730" s="235" t="n"/>
    </row>
    <row r="10731" ht="14.25" customHeight="1" s="192">
      <c r="W10731" s="235" t="n"/>
      <c r="X10731" s="235" t="n"/>
    </row>
    <row r="10732" ht="14.25" customHeight="1" s="192">
      <c r="W10732" s="239" t="n"/>
      <c r="X10732" s="239" t="n"/>
    </row>
    <row r="10733" ht="14.25" customHeight="1" s="192">
      <c r="W10733" s="239" t="n"/>
      <c r="X10733" s="239" t="n"/>
    </row>
    <row r="10734" ht="14.25" customHeight="1" s="192">
      <c r="W10734" s="235" t="n"/>
      <c r="X10734" s="235" t="n"/>
    </row>
    <row r="10735" ht="14.25" customHeight="1" s="192">
      <c r="W10735" s="235" t="n"/>
      <c r="X10735" s="235" t="n"/>
    </row>
    <row r="10736" ht="14.25" customHeight="1" s="192">
      <c r="W10736" s="239" t="n"/>
      <c r="X10736" s="239" t="n"/>
    </row>
    <row r="10737" ht="14.25" customHeight="1" s="192">
      <c r="W10737" s="235" t="n"/>
      <c r="X10737" s="235" t="n"/>
    </row>
    <row r="10738" ht="14.25" customHeight="1" s="192">
      <c r="W10738" s="239" t="n"/>
      <c r="X10738" s="239" t="n"/>
    </row>
    <row r="10740" ht="14.25" customHeight="1" s="192">
      <c r="W10740" s="235" t="n"/>
      <c r="X10740" s="235" t="n"/>
    </row>
    <row r="10741" ht="15" customHeight="1" s="192" thickBot="1">
      <c r="W10741" s="239" t="n"/>
      <c r="X10741" s="239" t="n"/>
    </row>
    <row r="10742" ht="15" customHeight="1" s="192" thickBot="1">
      <c r="W10742" s="45" t="n"/>
      <c r="X10742" s="45" t="n"/>
    </row>
    <row r="10743" ht="14.25" customHeight="1" s="192">
      <c r="W10743" s="228" t="n"/>
      <c r="X10743" s="228" t="n"/>
    </row>
    <row r="10744" ht="14.25" customHeight="1" s="192">
      <c r="W10744" s="228" t="n"/>
      <c r="X10744" s="228" t="n"/>
    </row>
    <row r="10745" ht="14.25" customHeight="1" s="192">
      <c r="W10745" s="231" t="n"/>
      <c r="X10745" s="231" t="n"/>
    </row>
    <row r="10746" ht="14.25" customHeight="1" s="192">
      <c r="W10746" s="33" t="n"/>
      <c r="X10746" s="33" t="n"/>
    </row>
    <row r="10747" ht="14.25" customHeight="1" s="192">
      <c r="W10747" s="231" t="n"/>
      <c r="X10747" s="231" t="n"/>
    </row>
    <row r="10748" ht="14.25" customHeight="1" s="192">
      <c r="W10748" s="33" t="n"/>
      <c r="X10748" s="33" t="n"/>
    </row>
    <row r="10750" ht="14.25" customHeight="1" s="192">
      <c r="W10750" s="231" t="n"/>
      <c r="X10750" s="231" t="n"/>
    </row>
    <row r="10751" ht="14.25" customHeight="1" s="192">
      <c r="W10751" s="235" t="n"/>
      <c r="X10751" s="235" t="n"/>
    </row>
    <row r="10752" ht="14.25" customHeight="1" s="192">
      <c r="W10752" s="228" t="n"/>
      <c r="X10752" s="228" t="n"/>
    </row>
    <row r="10753" ht="14.25" customHeight="1" s="192">
      <c r="W10753" s="235" t="n"/>
      <c r="X10753" s="235" t="n"/>
    </row>
    <row r="10754" ht="14.25" customHeight="1" s="192">
      <c r="W10754" s="235" t="n"/>
      <c r="X10754" s="235" t="n"/>
    </row>
    <row r="10755" ht="14.25" customHeight="1" s="192">
      <c r="W10755" s="235" t="n"/>
      <c r="X10755" s="235" t="n"/>
    </row>
    <row r="10756" ht="14.25" customHeight="1" s="192">
      <c r="W10756" s="239" t="n"/>
      <c r="X10756" s="239" t="n"/>
    </row>
    <row r="10757" ht="14.25" customHeight="1" s="192">
      <c r="W10757" s="239" t="n"/>
      <c r="X10757" s="239" t="n"/>
    </row>
    <row r="10758" ht="14.25" customHeight="1" s="192">
      <c r="W10758" s="239" t="n"/>
      <c r="X10758" s="239" t="n"/>
    </row>
    <row r="10759" ht="14.25" customHeight="1" s="192">
      <c r="W10759" s="235" t="n"/>
      <c r="X10759" s="235" t="n"/>
    </row>
    <row r="10760" ht="14.25" customHeight="1" s="192">
      <c r="W10760" s="235" t="n"/>
      <c r="X10760" s="235" t="n"/>
    </row>
    <row r="10761" ht="14.25" customHeight="1" s="192">
      <c r="W10761" s="235" t="n"/>
      <c r="X10761" s="235" t="n"/>
    </row>
    <row r="10762" ht="14.25" customHeight="1" s="192">
      <c r="W10762" s="239" t="n"/>
      <c r="X10762" s="239" t="n"/>
    </row>
    <row r="10763" ht="14.25" customHeight="1" s="192">
      <c r="W10763" s="239" t="n"/>
      <c r="X10763" s="239" t="n"/>
    </row>
    <row r="10764" ht="14.25" customHeight="1" s="192">
      <c r="W10764" s="235" t="n"/>
      <c r="X10764" s="235" t="n"/>
    </row>
    <row r="10765" ht="14.25" customHeight="1" s="192">
      <c r="W10765" s="235" t="n"/>
      <c r="X10765" s="235" t="n"/>
    </row>
    <row r="10766" ht="14.25" customHeight="1" s="192">
      <c r="W10766" s="239" t="n"/>
      <c r="X10766" s="239" t="n"/>
    </row>
    <row r="10767" ht="14.25" customHeight="1" s="192">
      <c r="W10767" s="235" t="n"/>
      <c r="X10767" s="235" t="n"/>
    </row>
    <row r="10768" ht="14.25" customHeight="1" s="192">
      <c r="W10768" s="239" t="n"/>
      <c r="X10768" s="239" t="n"/>
    </row>
    <row r="10770" ht="14.25" customHeight="1" s="192">
      <c r="W10770" s="235" t="n"/>
      <c r="X10770" s="235" t="n"/>
    </row>
    <row r="10771" ht="15" customHeight="1" s="192" thickBot="1">
      <c r="W10771" s="239" t="n"/>
      <c r="X10771" s="239" t="n"/>
    </row>
    <row r="10772" ht="15" customHeight="1" s="192" thickBot="1">
      <c r="W10772" s="45" t="n"/>
      <c r="X10772" s="45" t="n"/>
    </row>
    <row r="10773" ht="14.25" customHeight="1" s="192">
      <c r="W10773" s="228" t="n"/>
      <c r="X10773" s="228" t="n"/>
    </row>
    <row r="10774" ht="14.25" customHeight="1" s="192">
      <c r="W10774" s="228" t="n"/>
      <c r="X10774" s="228" t="n"/>
    </row>
    <row r="10775" ht="14.25" customHeight="1" s="192">
      <c r="W10775" s="231" t="n"/>
      <c r="X10775" s="231" t="n"/>
    </row>
    <row r="10776" ht="14.25" customHeight="1" s="192">
      <c r="W10776" s="33" t="n"/>
      <c r="X10776" s="33" t="n"/>
    </row>
    <row r="10777" ht="14.25" customHeight="1" s="192">
      <c r="W10777" s="231" t="n"/>
      <c r="X10777" s="231" t="n"/>
    </row>
    <row r="10778" ht="14.25" customHeight="1" s="192">
      <c r="W10778" s="33" t="n"/>
      <c r="X10778" s="33" t="n"/>
    </row>
    <row r="10780" ht="14.25" customHeight="1" s="192">
      <c r="W10780" s="231" t="n"/>
      <c r="X10780" s="231" t="n"/>
    </row>
    <row r="10781" ht="14.25" customHeight="1" s="192">
      <c r="W10781" s="235" t="n"/>
      <c r="X10781" s="235" t="n"/>
    </row>
    <row r="10782" ht="14.25" customHeight="1" s="192">
      <c r="W10782" s="228" t="n"/>
      <c r="X10782" s="228" t="n"/>
    </row>
    <row r="10783" ht="14.25" customHeight="1" s="192">
      <c r="W10783" s="235" t="n"/>
      <c r="X10783" s="235" t="n"/>
    </row>
    <row r="10784" ht="14.25" customHeight="1" s="192">
      <c r="W10784" s="235" t="n"/>
      <c r="X10784" s="235" t="n"/>
    </row>
    <row r="10785" ht="14.25" customHeight="1" s="192">
      <c r="W10785" s="235" t="n"/>
      <c r="X10785" s="235" t="n"/>
    </row>
    <row r="10786" ht="14.25" customHeight="1" s="192">
      <c r="W10786" s="239" t="n"/>
      <c r="X10786" s="239" t="n"/>
    </row>
    <row r="10787" ht="14.25" customHeight="1" s="192">
      <c r="W10787" s="239" t="n"/>
      <c r="X10787" s="239" t="n"/>
    </row>
    <row r="10788" ht="14.25" customHeight="1" s="192">
      <c r="W10788" s="239" t="n"/>
      <c r="X10788" s="239" t="n"/>
    </row>
    <row r="10789" ht="14.25" customHeight="1" s="192">
      <c r="W10789" s="235" t="n"/>
      <c r="X10789" s="235" t="n"/>
    </row>
    <row r="10790" ht="14.25" customHeight="1" s="192">
      <c r="W10790" s="235" t="n"/>
      <c r="X10790" s="235" t="n"/>
    </row>
    <row r="10791" ht="14.25" customHeight="1" s="192">
      <c r="W10791" s="235" t="n"/>
      <c r="X10791" s="235" t="n"/>
    </row>
    <row r="10792" ht="14.25" customHeight="1" s="192">
      <c r="W10792" s="239" t="n"/>
      <c r="X10792" s="239" t="n"/>
    </row>
    <row r="10793" ht="14.25" customHeight="1" s="192">
      <c r="W10793" s="239" t="n"/>
      <c r="X10793" s="239" t="n"/>
    </row>
    <row r="10794" ht="14.25" customHeight="1" s="192">
      <c r="W10794" s="235" t="n"/>
      <c r="X10794" s="235" t="n"/>
    </row>
    <row r="10795" ht="14.25" customHeight="1" s="192">
      <c r="W10795" s="235" t="n"/>
      <c r="X10795" s="235" t="n"/>
    </row>
    <row r="10796" ht="14.25" customHeight="1" s="192">
      <c r="W10796" s="239" t="n"/>
      <c r="X10796" s="239" t="n"/>
    </row>
    <row r="10797" ht="14.25" customHeight="1" s="192">
      <c r="W10797" s="235" t="n"/>
      <c r="X10797" s="235" t="n"/>
    </row>
    <row r="10798" ht="14.25" customHeight="1" s="192">
      <c r="W10798" s="239" t="n"/>
      <c r="X10798" s="239" t="n"/>
    </row>
    <row r="10800" ht="14.25" customHeight="1" s="192">
      <c r="W10800" s="235" t="n"/>
      <c r="X10800" s="235" t="n"/>
    </row>
    <row r="10801" ht="15" customHeight="1" s="192" thickBot="1">
      <c r="W10801" s="239" t="n"/>
      <c r="X10801" s="239" t="n"/>
    </row>
    <row r="10802" ht="15" customHeight="1" s="192" thickBot="1">
      <c r="W10802" s="45" t="n"/>
      <c r="X10802" s="45" t="n"/>
    </row>
    <row r="10803" ht="14.25" customHeight="1" s="192">
      <c r="W10803" s="228" t="n"/>
      <c r="X10803" s="228" t="n"/>
    </row>
    <row r="10804" ht="14.25" customHeight="1" s="192">
      <c r="W10804" s="228" t="n"/>
      <c r="X10804" s="228" t="n"/>
    </row>
    <row r="10805" ht="14.25" customHeight="1" s="192">
      <c r="W10805" s="231" t="n"/>
      <c r="X10805" s="231" t="n"/>
    </row>
    <row r="10806" ht="14.25" customHeight="1" s="192">
      <c r="W10806" s="33" t="n"/>
      <c r="X10806" s="33" t="n"/>
    </row>
    <row r="10807" ht="14.25" customHeight="1" s="192">
      <c r="W10807" s="231" t="n"/>
      <c r="X10807" s="231" t="n"/>
    </row>
    <row r="10808" ht="14.25" customHeight="1" s="192">
      <c r="W10808" s="33" t="n"/>
      <c r="X10808" s="33" t="n"/>
    </row>
    <row r="10810" ht="14.25" customHeight="1" s="192">
      <c r="W10810" s="231" t="n"/>
      <c r="X10810" s="231" t="n"/>
    </row>
    <row r="10811" ht="14.25" customHeight="1" s="192">
      <c r="W10811" s="235" t="n"/>
      <c r="X10811" s="235" t="n"/>
    </row>
    <row r="10812" ht="14.25" customHeight="1" s="192">
      <c r="W10812" s="228" t="n"/>
      <c r="X10812" s="228" t="n"/>
    </row>
    <row r="10813" ht="14.25" customHeight="1" s="192">
      <c r="W10813" s="235" t="n"/>
      <c r="X10813" s="235" t="n"/>
    </row>
    <row r="10814" ht="14.25" customHeight="1" s="192">
      <c r="W10814" s="235" t="n"/>
      <c r="X10814" s="235" t="n"/>
    </row>
    <row r="10815" ht="14.25" customHeight="1" s="192">
      <c r="W10815" s="235" t="n"/>
      <c r="X10815" s="235" t="n"/>
    </row>
    <row r="10816" ht="14.25" customHeight="1" s="192">
      <c r="W10816" s="239" t="n"/>
      <c r="X10816" s="239" t="n"/>
    </row>
    <row r="10817" ht="14.25" customHeight="1" s="192">
      <c r="W10817" s="239" t="n"/>
      <c r="X10817" s="239" t="n"/>
    </row>
    <row r="10818" ht="14.25" customHeight="1" s="192">
      <c r="W10818" s="239" t="n"/>
      <c r="X10818" s="239" t="n"/>
    </row>
    <row r="10819" ht="14.25" customHeight="1" s="192">
      <c r="W10819" s="235" t="n"/>
      <c r="X10819" s="235" t="n"/>
    </row>
    <row r="10820" ht="14.25" customHeight="1" s="192">
      <c r="W10820" s="235" t="n"/>
      <c r="X10820" s="235" t="n"/>
    </row>
    <row r="10821" ht="14.25" customHeight="1" s="192">
      <c r="W10821" s="235" t="n"/>
      <c r="X10821" s="235" t="n"/>
    </row>
    <row r="10822" ht="14.25" customHeight="1" s="192">
      <c r="W10822" s="239" t="n"/>
      <c r="X10822" s="239" t="n"/>
    </row>
    <row r="10823" ht="14.25" customHeight="1" s="192">
      <c r="W10823" s="239" t="n"/>
      <c r="X10823" s="239" t="n"/>
    </row>
    <row r="10824" ht="14.25" customHeight="1" s="192">
      <c r="W10824" s="235" t="n"/>
      <c r="X10824" s="235" t="n"/>
    </row>
    <row r="10825" ht="14.25" customHeight="1" s="192">
      <c r="W10825" s="235" t="n"/>
      <c r="X10825" s="235" t="n"/>
    </row>
    <row r="10826" ht="14.25" customHeight="1" s="192">
      <c r="W10826" s="239" t="n"/>
      <c r="X10826" s="239" t="n"/>
    </row>
    <row r="10827" ht="14.25" customHeight="1" s="192">
      <c r="W10827" s="235" t="n"/>
      <c r="X10827" s="235" t="n"/>
    </row>
    <row r="10828" ht="14.25" customHeight="1" s="192">
      <c r="W10828" s="239" t="n"/>
      <c r="X10828" s="239" t="n"/>
    </row>
    <row r="10830" ht="14.25" customHeight="1" s="192">
      <c r="W10830" s="235" t="n"/>
      <c r="X10830" s="235" t="n"/>
    </row>
    <row r="10831" ht="15" customHeight="1" s="192" thickBot="1">
      <c r="W10831" s="239" t="n"/>
      <c r="X10831" s="239" t="n"/>
    </row>
    <row r="10832" ht="15" customHeight="1" s="192" thickBot="1">
      <c r="W10832" s="45" t="n"/>
      <c r="X10832" s="45" t="n"/>
    </row>
    <row r="10833" ht="14.25" customHeight="1" s="192">
      <c r="W10833" s="228" t="n"/>
      <c r="X10833" s="228" t="n"/>
    </row>
    <row r="10834" ht="14.25" customHeight="1" s="192">
      <c r="W10834" s="228" t="n"/>
      <c r="X10834" s="228" t="n"/>
    </row>
    <row r="10835" ht="14.25" customHeight="1" s="192">
      <c r="W10835" s="231" t="n"/>
      <c r="X10835" s="231" t="n"/>
    </row>
    <row r="10836" ht="14.25" customHeight="1" s="192">
      <c r="W10836" s="33" t="n"/>
      <c r="X10836" s="33" t="n"/>
    </row>
    <row r="10837" ht="14.25" customHeight="1" s="192">
      <c r="W10837" s="231" t="n"/>
      <c r="X10837" s="231" t="n"/>
    </row>
    <row r="10838" ht="14.25" customHeight="1" s="192">
      <c r="W10838" s="33" t="n"/>
      <c r="X10838" s="33" t="n"/>
    </row>
    <row r="10840" ht="14.25" customHeight="1" s="192">
      <c r="W10840" s="231" t="n"/>
      <c r="X10840" s="231" t="n"/>
    </row>
    <row r="10841" ht="14.25" customHeight="1" s="192">
      <c r="W10841" s="235" t="n"/>
      <c r="X10841" s="235" t="n"/>
    </row>
    <row r="10842" ht="14.25" customHeight="1" s="192">
      <c r="W10842" s="228" t="n"/>
      <c r="X10842" s="228" t="n"/>
    </row>
    <row r="10843" ht="14.25" customHeight="1" s="192">
      <c r="W10843" s="235" t="n"/>
      <c r="X10843" s="235" t="n"/>
    </row>
    <row r="10844" ht="14.25" customHeight="1" s="192">
      <c r="W10844" s="235" t="n"/>
      <c r="X10844" s="235" t="n"/>
    </row>
    <row r="10845" ht="14.25" customHeight="1" s="192">
      <c r="W10845" s="235" t="n"/>
      <c r="X10845" s="235" t="n"/>
    </row>
    <row r="10846" ht="14.25" customHeight="1" s="192">
      <c r="W10846" s="239" t="n"/>
      <c r="X10846" s="239" t="n"/>
    </row>
    <row r="10847" ht="14.25" customHeight="1" s="192">
      <c r="W10847" s="239" t="n"/>
      <c r="X10847" s="239" t="n"/>
    </row>
    <row r="10848" ht="14.25" customHeight="1" s="192">
      <c r="W10848" s="239" t="n"/>
      <c r="X10848" s="239" t="n"/>
    </row>
    <row r="10849" ht="14.25" customHeight="1" s="192">
      <c r="W10849" s="235" t="n"/>
      <c r="X10849" s="235" t="n"/>
    </row>
    <row r="10850" ht="14.25" customHeight="1" s="192">
      <c r="W10850" s="235" t="n"/>
      <c r="X10850" s="235" t="n"/>
    </row>
    <row r="10851" ht="14.25" customHeight="1" s="192">
      <c r="W10851" s="235" t="n"/>
      <c r="X10851" s="235" t="n"/>
    </row>
    <row r="10852" ht="14.25" customHeight="1" s="192">
      <c r="W10852" s="239" t="n"/>
      <c r="X10852" s="239" t="n"/>
    </row>
    <row r="10853" ht="14.25" customHeight="1" s="192">
      <c r="W10853" s="239" t="n"/>
      <c r="X10853" s="239" t="n"/>
    </row>
    <row r="10854" ht="14.25" customHeight="1" s="192">
      <c r="W10854" s="235" t="n"/>
      <c r="X10854" s="235" t="n"/>
    </row>
    <row r="10855" ht="14.25" customHeight="1" s="192">
      <c r="W10855" s="235" t="n"/>
      <c r="X10855" s="235" t="n"/>
    </row>
    <row r="10856" ht="14.25" customHeight="1" s="192">
      <c r="W10856" s="239" t="n"/>
      <c r="X10856" s="239" t="n"/>
    </row>
    <row r="10857" ht="14.25" customHeight="1" s="192">
      <c r="W10857" s="235" t="n"/>
      <c r="X10857" s="235" t="n"/>
    </row>
    <row r="10858" ht="14.25" customHeight="1" s="192">
      <c r="W10858" s="239" t="n"/>
      <c r="X10858" s="239" t="n"/>
    </row>
    <row r="10860" ht="14.25" customHeight="1" s="192">
      <c r="W10860" s="235" t="n"/>
      <c r="X10860" s="235" t="n"/>
    </row>
    <row r="10861" ht="15" customHeight="1" s="192" thickBot="1">
      <c r="W10861" s="239" t="n"/>
      <c r="X10861" s="239" t="n"/>
    </row>
    <row r="10862" ht="15" customHeight="1" s="192" thickBot="1">
      <c r="W10862" s="45" t="n"/>
      <c r="X10862" s="45" t="n"/>
    </row>
    <row r="10863" ht="14.25" customHeight="1" s="192">
      <c r="W10863" s="228" t="n"/>
      <c r="X10863" s="228" t="n"/>
    </row>
    <row r="10864" ht="14.25" customHeight="1" s="192">
      <c r="W10864" s="228" t="n"/>
      <c r="X10864" s="228" t="n"/>
    </row>
    <row r="10865" ht="14.25" customHeight="1" s="192">
      <c r="W10865" s="231" t="n"/>
      <c r="X10865" s="231" t="n"/>
    </row>
    <row r="10866" ht="14.25" customHeight="1" s="192">
      <c r="W10866" s="33" t="n"/>
      <c r="X10866" s="33" t="n"/>
    </row>
    <row r="10867" ht="14.25" customHeight="1" s="192">
      <c r="W10867" s="231" t="n"/>
      <c r="X10867" s="231" t="n"/>
    </row>
    <row r="10868" ht="14.25" customHeight="1" s="192">
      <c r="W10868" s="33" t="n"/>
      <c r="X10868" s="33" t="n"/>
    </row>
    <row r="10870" ht="14.25" customHeight="1" s="192">
      <c r="W10870" s="231" t="n"/>
      <c r="X10870" s="231" t="n"/>
    </row>
    <row r="10871" ht="14.25" customHeight="1" s="192">
      <c r="W10871" s="235" t="n"/>
      <c r="X10871" s="235" t="n"/>
    </row>
    <row r="10872" ht="14.25" customHeight="1" s="192">
      <c r="W10872" s="228" t="n"/>
      <c r="X10872" s="228" t="n"/>
    </row>
    <row r="10873" ht="14.25" customHeight="1" s="192">
      <c r="W10873" s="235" t="n"/>
      <c r="X10873" s="235" t="n"/>
    </row>
    <row r="10874" ht="14.25" customHeight="1" s="192">
      <c r="W10874" s="235" t="n"/>
      <c r="X10874" s="235" t="n"/>
    </row>
    <row r="10875" ht="14.25" customHeight="1" s="192">
      <c r="W10875" s="235" t="n"/>
      <c r="X10875" s="235" t="n"/>
    </row>
    <row r="10876" ht="14.25" customHeight="1" s="192">
      <c r="W10876" s="239" t="n"/>
      <c r="X10876" s="239" t="n"/>
    </row>
    <row r="10877" ht="14.25" customHeight="1" s="192">
      <c r="W10877" s="239" t="n"/>
      <c r="X10877" s="239" t="n"/>
    </row>
    <row r="10878" ht="14.25" customHeight="1" s="192">
      <c r="W10878" s="239" t="n"/>
      <c r="X10878" s="239" t="n"/>
    </row>
    <row r="10879" ht="14.25" customHeight="1" s="192">
      <c r="W10879" s="235" t="n"/>
      <c r="X10879" s="235" t="n"/>
    </row>
    <row r="10880" ht="14.25" customHeight="1" s="192">
      <c r="W10880" s="235" t="n"/>
      <c r="X10880" s="235" t="n"/>
    </row>
    <row r="10881" ht="14.25" customHeight="1" s="192">
      <c r="W10881" s="235" t="n"/>
      <c r="X10881" s="235" t="n"/>
    </row>
    <row r="10882" ht="14.25" customHeight="1" s="192">
      <c r="W10882" s="239" t="n"/>
      <c r="X10882" s="239" t="n"/>
    </row>
    <row r="10883" ht="14.25" customHeight="1" s="192">
      <c r="W10883" s="239" t="n"/>
      <c r="X10883" s="239" t="n"/>
    </row>
    <row r="10884" ht="14.25" customHeight="1" s="192">
      <c r="W10884" s="235" t="n"/>
      <c r="X10884" s="235" t="n"/>
    </row>
    <row r="10885" ht="14.25" customHeight="1" s="192">
      <c r="W10885" s="235" t="n"/>
      <c r="X10885" s="235" t="n"/>
    </row>
    <row r="10886" ht="14.25" customHeight="1" s="192">
      <c r="W10886" s="239" t="n"/>
      <c r="X10886" s="239" t="n"/>
    </row>
    <row r="10887" ht="14.25" customHeight="1" s="192">
      <c r="W10887" s="235" t="n"/>
      <c r="X10887" s="235" t="n"/>
    </row>
    <row r="10888" ht="14.25" customHeight="1" s="192">
      <c r="W10888" s="239" t="n"/>
      <c r="X10888" s="239" t="n"/>
    </row>
    <row r="10890" ht="14.25" customHeight="1" s="192">
      <c r="W10890" s="235" t="n"/>
      <c r="X10890" s="235" t="n"/>
    </row>
    <row r="10891" ht="15" customHeight="1" s="192" thickBot="1">
      <c r="W10891" s="239" t="n"/>
      <c r="X10891" s="239" t="n"/>
    </row>
    <row r="10892" ht="15" customHeight="1" s="192" thickBot="1">
      <c r="W10892" s="45" t="n"/>
      <c r="X10892" s="45" t="n"/>
    </row>
    <row r="10893" ht="14.25" customHeight="1" s="192">
      <c r="W10893" s="228" t="n"/>
      <c r="X10893" s="228" t="n"/>
    </row>
    <row r="10894" ht="14.25" customHeight="1" s="192">
      <c r="W10894" s="228" t="n"/>
      <c r="X10894" s="228" t="n"/>
    </row>
    <row r="10895" ht="14.25" customHeight="1" s="192">
      <c r="W10895" s="231" t="n"/>
      <c r="X10895" s="231" t="n"/>
    </row>
    <row r="10896" ht="14.25" customHeight="1" s="192">
      <c r="W10896" s="33" t="n"/>
      <c r="X10896" s="33" t="n"/>
    </row>
    <row r="10897" ht="14.25" customHeight="1" s="192">
      <c r="W10897" s="231" t="n"/>
      <c r="X10897" s="231" t="n"/>
    </row>
    <row r="10898" ht="14.25" customHeight="1" s="192">
      <c r="W10898" s="33" t="n"/>
      <c r="X10898" s="33" t="n"/>
    </row>
    <row r="10900" ht="14.25" customHeight="1" s="192">
      <c r="W10900" s="231" t="n"/>
      <c r="X10900" s="231" t="n"/>
    </row>
    <row r="10901" ht="14.25" customHeight="1" s="192">
      <c r="W10901" s="235" t="n"/>
      <c r="X10901" s="235" t="n"/>
    </row>
    <row r="10902" ht="14.25" customHeight="1" s="192">
      <c r="W10902" s="228" t="n"/>
      <c r="X10902" s="228" t="n"/>
    </row>
    <row r="10903" ht="14.25" customHeight="1" s="192">
      <c r="W10903" s="235" t="n"/>
      <c r="X10903" s="235" t="n"/>
    </row>
    <row r="10904" ht="14.25" customHeight="1" s="192">
      <c r="W10904" s="235" t="n"/>
      <c r="X10904" s="235" t="n"/>
    </row>
    <row r="10905" ht="14.25" customHeight="1" s="192">
      <c r="W10905" s="235" t="n"/>
      <c r="X10905" s="235" t="n"/>
    </row>
    <row r="10906" ht="14.25" customHeight="1" s="192">
      <c r="W10906" s="239" t="n"/>
      <c r="X10906" s="239" t="n"/>
    </row>
    <row r="10907" ht="14.25" customHeight="1" s="192">
      <c r="W10907" s="239" t="n"/>
      <c r="X10907" s="239" t="n"/>
    </row>
    <row r="10908" ht="14.25" customHeight="1" s="192">
      <c r="W10908" s="239" t="n"/>
      <c r="X10908" s="239" t="n"/>
    </row>
    <row r="10909" ht="14.25" customHeight="1" s="192">
      <c r="W10909" s="235" t="n"/>
      <c r="X10909" s="235" t="n"/>
    </row>
    <row r="10910" ht="14.25" customHeight="1" s="192">
      <c r="W10910" s="235" t="n"/>
      <c r="X10910" s="235" t="n"/>
    </row>
    <row r="10911" ht="14.25" customHeight="1" s="192">
      <c r="W10911" s="235" t="n"/>
      <c r="X10911" s="235" t="n"/>
    </row>
    <row r="10912" ht="14.25" customHeight="1" s="192">
      <c r="W10912" s="239" t="n"/>
      <c r="X10912" s="239" t="n"/>
    </row>
    <row r="10913" ht="14.25" customHeight="1" s="192">
      <c r="W10913" s="239" t="n"/>
      <c r="X10913" s="239" t="n"/>
    </row>
    <row r="10914" ht="14.25" customHeight="1" s="192">
      <c r="W10914" s="235" t="n"/>
      <c r="X10914" s="235" t="n"/>
    </row>
    <row r="10915" ht="14.25" customHeight="1" s="192">
      <c r="W10915" s="235" t="n"/>
      <c r="X10915" s="235" t="n"/>
    </row>
    <row r="10916" ht="14.25" customHeight="1" s="192">
      <c r="W10916" s="239" t="n"/>
      <c r="X10916" s="239" t="n"/>
    </row>
    <row r="10917" ht="14.25" customHeight="1" s="192">
      <c r="W10917" s="235" t="n"/>
      <c r="X10917" s="235" t="n"/>
    </row>
    <row r="10918" ht="14.25" customHeight="1" s="192">
      <c r="W10918" s="239" t="n"/>
      <c r="X10918" s="239" t="n"/>
    </row>
    <row r="10920" ht="14.25" customHeight="1" s="192">
      <c r="W10920" s="235" t="n"/>
      <c r="X10920" s="235" t="n"/>
    </row>
    <row r="10921" ht="15" customHeight="1" s="192" thickBot="1">
      <c r="W10921" s="239" t="n"/>
      <c r="X10921" s="239" t="n"/>
    </row>
    <row r="10922" ht="15" customHeight="1" s="192" thickBot="1">
      <c r="W10922" s="45" t="n"/>
      <c r="X10922" s="45" t="n"/>
    </row>
    <row r="10923" ht="14.25" customHeight="1" s="192">
      <c r="W10923" s="228" t="n"/>
      <c r="X10923" s="228" t="n"/>
    </row>
    <row r="10924" ht="14.25" customHeight="1" s="192">
      <c r="W10924" s="228" t="n"/>
      <c r="X10924" s="228" t="n"/>
    </row>
    <row r="10925" ht="14.25" customHeight="1" s="192">
      <c r="W10925" s="231" t="n"/>
      <c r="X10925" s="231" t="n"/>
    </row>
    <row r="10926" ht="14.25" customHeight="1" s="192">
      <c r="W10926" s="33" t="n"/>
      <c r="X10926" s="33" t="n"/>
    </row>
    <row r="10927" ht="14.25" customHeight="1" s="192">
      <c r="W10927" s="231" t="n"/>
      <c r="X10927" s="231" t="n"/>
    </row>
    <row r="10928" ht="14.25" customHeight="1" s="192">
      <c r="W10928" s="33" t="n"/>
      <c r="X10928" s="33" t="n"/>
    </row>
    <row r="10930" ht="14.25" customHeight="1" s="192">
      <c r="W10930" s="231" t="n"/>
      <c r="X10930" s="231" t="n"/>
    </row>
    <row r="10931" ht="14.25" customHeight="1" s="192">
      <c r="W10931" s="235" t="n"/>
      <c r="X10931" s="235" t="n"/>
    </row>
    <row r="10932" ht="14.25" customHeight="1" s="192">
      <c r="W10932" s="228" t="n"/>
      <c r="X10932" s="228" t="n"/>
    </row>
    <row r="10933" ht="14.25" customHeight="1" s="192">
      <c r="W10933" s="235" t="n"/>
      <c r="X10933" s="235" t="n"/>
    </row>
    <row r="10934" ht="14.25" customHeight="1" s="192">
      <c r="W10934" s="235" t="n"/>
      <c r="X10934" s="235" t="n"/>
    </row>
    <row r="10935" ht="14.25" customHeight="1" s="192">
      <c r="W10935" s="235" t="n"/>
      <c r="X10935" s="235" t="n"/>
    </row>
    <row r="10936" ht="14.25" customHeight="1" s="192">
      <c r="W10936" s="239" t="n"/>
      <c r="X10936" s="239" t="n"/>
    </row>
    <row r="10937" ht="14.25" customHeight="1" s="192">
      <c r="W10937" s="239" t="n"/>
      <c r="X10937" s="239" t="n"/>
    </row>
    <row r="10938" ht="14.25" customHeight="1" s="192">
      <c r="W10938" s="239" t="n"/>
      <c r="X10938" s="239" t="n"/>
    </row>
    <row r="10939" ht="14.25" customHeight="1" s="192">
      <c r="W10939" s="235" t="n"/>
      <c r="X10939" s="235" t="n"/>
    </row>
    <row r="10940" ht="14.25" customHeight="1" s="192">
      <c r="W10940" s="235" t="n"/>
      <c r="X10940" s="235" t="n"/>
    </row>
    <row r="10941" ht="14.25" customHeight="1" s="192">
      <c r="W10941" s="235" t="n"/>
      <c r="X10941" s="235" t="n"/>
    </row>
    <row r="10942" ht="14.25" customHeight="1" s="192">
      <c r="W10942" s="239" t="n"/>
      <c r="X10942" s="239" t="n"/>
    </row>
    <row r="10943" ht="14.25" customHeight="1" s="192">
      <c r="W10943" s="239" t="n"/>
      <c r="X10943" s="239" t="n"/>
    </row>
    <row r="10944" ht="14.25" customHeight="1" s="192">
      <c r="W10944" s="235" t="n"/>
      <c r="X10944" s="235" t="n"/>
    </row>
    <row r="10945" ht="14.25" customHeight="1" s="192">
      <c r="W10945" s="235" t="n"/>
      <c r="X10945" s="235" t="n"/>
    </row>
    <row r="10946" ht="14.25" customHeight="1" s="192">
      <c r="W10946" s="239" t="n"/>
      <c r="X10946" s="239" t="n"/>
    </row>
    <row r="10947" ht="14.25" customHeight="1" s="192">
      <c r="W10947" s="235" t="n"/>
      <c r="X10947" s="235" t="n"/>
    </row>
    <row r="10948" ht="14.25" customHeight="1" s="192">
      <c r="W10948" s="239" t="n"/>
      <c r="X10948" s="239" t="n"/>
    </row>
    <row r="10950" ht="14.25" customHeight="1" s="192">
      <c r="W10950" s="235" t="n"/>
      <c r="X10950" s="235" t="n"/>
    </row>
    <row r="10951" ht="15" customHeight="1" s="192" thickBot="1">
      <c r="W10951" s="239" t="n"/>
      <c r="X10951" s="239" t="n"/>
    </row>
    <row r="10952" ht="15" customHeight="1" s="192" thickBot="1">
      <c r="W10952" s="45" t="n"/>
      <c r="X10952" s="45" t="n"/>
    </row>
    <row r="10953" ht="14.25" customHeight="1" s="192">
      <c r="W10953" s="228" t="n"/>
      <c r="X10953" s="228" t="n"/>
    </row>
    <row r="10954" ht="14.25" customHeight="1" s="192">
      <c r="W10954" s="228" t="n"/>
      <c r="X10954" s="228" t="n"/>
    </row>
    <row r="10955" ht="14.25" customHeight="1" s="192">
      <c r="W10955" s="231" t="n"/>
      <c r="X10955" s="231" t="n"/>
    </row>
    <row r="10956" ht="14.25" customHeight="1" s="192">
      <c r="W10956" s="33" t="n"/>
      <c r="X10956" s="33" t="n"/>
    </row>
    <row r="10957" ht="14.25" customHeight="1" s="192">
      <c r="W10957" s="231" t="n"/>
      <c r="X10957" s="231" t="n"/>
    </row>
    <row r="10958" ht="14.25" customHeight="1" s="192">
      <c r="W10958" s="33" t="n"/>
      <c r="X10958" s="33" t="n"/>
    </row>
    <row r="10960" ht="14.25" customHeight="1" s="192">
      <c r="W10960" s="231" t="n"/>
      <c r="X10960" s="231" t="n"/>
    </row>
    <row r="10961" ht="14.25" customHeight="1" s="192">
      <c r="W10961" s="235" t="n"/>
      <c r="X10961" s="235" t="n"/>
    </row>
    <row r="10962" ht="14.25" customHeight="1" s="192">
      <c r="W10962" s="228" t="n"/>
      <c r="X10962" s="228" t="n"/>
    </row>
    <row r="10963" ht="14.25" customHeight="1" s="192">
      <c r="W10963" s="235" t="n"/>
      <c r="X10963" s="235" t="n"/>
    </row>
    <row r="10964" ht="14.25" customHeight="1" s="192">
      <c r="W10964" s="235" t="n"/>
      <c r="X10964" s="235" t="n"/>
    </row>
    <row r="10965" ht="14.25" customHeight="1" s="192">
      <c r="W10965" s="235" t="n"/>
      <c r="X10965" s="235" t="n"/>
    </row>
    <row r="10966" ht="14.25" customHeight="1" s="192">
      <c r="W10966" s="239" t="n"/>
      <c r="X10966" s="239" t="n"/>
    </row>
    <row r="10967" ht="14.25" customHeight="1" s="192">
      <c r="W10967" s="239" t="n"/>
      <c r="X10967" s="239" t="n"/>
    </row>
    <row r="10968" ht="14.25" customHeight="1" s="192">
      <c r="W10968" s="239" t="n"/>
      <c r="X10968" s="239" t="n"/>
    </row>
    <row r="10969" ht="14.25" customHeight="1" s="192">
      <c r="W10969" s="235" t="n"/>
      <c r="X10969" s="235" t="n"/>
    </row>
    <row r="10970" ht="14.25" customHeight="1" s="192">
      <c r="W10970" s="235" t="n"/>
      <c r="X10970" s="235" t="n"/>
    </row>
    <row r="10971" ht="14.25" customHeight="1" s="192">
      <c r="W10971" s="235" t="n"/>
      <c r="X10971" s="235" t="n"/>
    </row>
    <row r="10972" ht="14.25" customHeight="1" s="192">
      <c r="W10972" s="239" t="n"/>
      <c r="X10972" s="239" t="n"/>
    </row>
    <row r="10973" ht="14.25" customHeight="1" s="192">
      <c r="W10973" s="239" t="n"/>
      <c r="X10973" s="239" t="n"/>
    </row>
    <row r="10974" ht="14.25" customHeight="1" s="192">
      <c r="W10974" s="235" t="n"/>
      <c r="X10974" s="235" t="n"/>
    </row>
    <row r="10975" ht="14.25" customHeight="1" s="192">
      <c r="W10975" s="235" t="n"/>
      <c r="X10975" s="235" t="n"/>
    </row>
    <row r="10976" ht="14.25" customHeight="1" s="192">
      <c r="W10976" s="239" t="n"/>
      <c r="X10976" s="239" t="n"/>
    </row>
    <row r="10977" ht="14.25" customHeight="1" s="192">
      <c r="W10977" s="235" t="n"/>
      <c r="X10977" s="235" t="n"/>
    </row>
    <row r="10978" ht="14.25" customHeight="1" s="192">
      <c r="W10978" s="239" t="n"/>
      <c r="X10978" s="239" t="n"/>
    </row>
    <row r="10980" ht="14.25" customHeight="1" s="192">
      <c r="W10980" s="235" t="n"/>
      <c r="X10980" s="235" t="n"/>
    </row>
    <row r="10981" ht="15" customHeight="1" s="192" thickBot="1">
      <c r="W10981" s="239" t="n"/>
      <c r="X10981" s="239" t="n"/>
    </row>
    <row r="10982" ht="15" customHeight="1" s="192" thickBot="1">
      <c r="W10982" s="45" t="n"/>
      <c r="X10982" s="45" t="n"/>
    </row>
    <row r="10983" ht="14.25" customHeight="1" s="192">
      <c r="W10983" s="228" t="n"/>
      <c r="X10983" s="228" t="n"/>
    </row>
    <row r="10984" ht="14.25" customHeight="1" s="192">
      <c r="W10984" s="228" t="n"/>
      <c r="X10984" s="228" t="n"/>
    </row>
    <row r="10985" ht="14.25" customHeight="1" s="192">
      <c r="W10985" s="231" t="n"/>
      <c r="X10985" s="231" t="n"/>
    </row>
    <row r="10986" ht="14.25" customHeight="1" s="192">
      <c r="W10986" s="33" t="n"/>
      <c r="X10986" s="33" t="n"/>
    </row>
    <row r="10987" ht="14.25" customHeight="1" s="192">
      <c r="W10987" s="231" t="n"/>
      <c r="X10987" s="231" t="n"/>
    </row>
    <row r="10988" ht="14.25" customHeight="1" s="192">
      <c r="W10988" s="33" t="n"/>
      <c r="X10988" s="33" t="n"/>
    </row>
    <row r="10990" ht="14.25" customHeight="1" s="192">
      <c r="W10990" s="231" t="n"/>
      <c r="X10990" s="231" t="n"/>
    </row>
    <row r="10991" ht="14.25" customHeight="1" s="192">
      <c r="W10991" s="235" t="n"/>
      <c r="X10991" s="235" t="n"/>
    </row>
    <row r="10992" ht="14.25" customHeight="1" s="192">
      <c r="W10992" s="228" t="n"/>
      <c r="X10992" s="228" t="n"/>
    </row>
    <row r="10993" ht="14.25" customHeight="1" s="192">
      <c r="W10993" s="235" t="n"/>
      <c r="X10993" s="235" t="n"/>
    </row>
    <row r="10994" ht="14.25" customHeight="1" s="192">
      <c r="W10994" s="235" t="n"/>
      <c r="X10994" s="235" t="n"/>
    </row>
    <row r="10995" ht="14.25" customHeight="1" s="192">
      <c r="W10995" s="235" t="n"/>
      <c r="X10995" s="235" t="n"/>
    </row>
    <row r="10996" ht="14.25" customHeight="1" s="192">
      <c r="W10996" s="239" t="n"/>
      <c r="X10996" s="239" t="n"/>
    </row>
    <row r="10997" ht="14.25" customHeight="1" s="192">
      <c r="W10997" s="239" t="n"/>
      <c r="X10997" s="239" t="n"/>
    </row>
    <row r="10998" ht="14.25" customHeight="1" s="192">
      <c r="W10998" s="239" t="n"/>
      <c r="X10998" s="239" t="n"/>
    </row>
    <row r="10999" ht="14.25" customHeight="1" s="192">
      <c r="W10999" s="235" t="n"/>
      <c r="X10999" s="235" t="n"/>
    </row>
    <row r="11000" ht="14.25" customHeight="1" s="192">
      <c r="W11000" s="235" t="n"/>
      <c r="X11000" s="235" t="n"/>
    </row>
    <row r="11001" ht="14.25" customHeight="1" s="192">
      <c r="W11001" s="235" t="n"/>
      <c r="X11001" s="235" t="n"/>
    </row>
    <row r="11002" ht="14.25" customHeight="1" s="192">
      <c r="W11002" s="239" t="n"/>
      <c r="X11002" s="239" t="n"/>
    </row>
    <row r="11003" ht="14.25" customHeight="1" s="192">
      <c r="W11003" s="239" t="n"/>
      <c r="X11003" s="239" t="n"/>
    </row>
    <row r="11004" ht="14.25" customHeight="1" s="192">
      <c r="W11004" s="235" t="n"/>
      <c r="X11004" s="235" t="n"/>
    </row>
    <row r="11005" ht="14.25" customHeight="1" s="192">
      <c r="W11005" s="235" t="n"/>
      <c r="X11005" s="235" t="n"/>
    </row>
    <row r="11006" ht="14.25" customHeight="1" s="192">
      <c r="W11006" s="239" t="n"/>
      <c r="X11006" s="239" t="n"/>
    </row>
    <row r="11007" ht="14.25" customHeight="1" s="192">
      <c r="W11007" s="235" t="n"/>
      <c r="X11007" s="235" t="n"/>
    </row>
    <row r="11008" ht="14.25" customHeight="1" s="192">
      <c r="W11008" s="239" t="n"/>
      <c r="X11008" s="239" t="n"/>
    </row>
    <row r="11010" ht="14.25" customHeight="1" s="192">
      <c r="W11010" s="235" t="n"/>
      <c r="X11010" s="235" t="n"/>
    </row>
    <row r="11011" ht="15" customHeight="1" s="192" thickBot="1">
      <c r="W11011" s="239" t="n"/>
      <c r="X11011" s="239" t="n"/>
    </row>
    <row r="11012" ht="15" customHeight="1" s="192" thickBot="1">
      <c r="W11012" s="45" t="n"/>
      <c r="X11012" s="45" t="n"/>
    </row>
    <row r="11013" ht="14.25" customHeight="1" s="192">
      <c r="W11013" s="228" t="n"/>
      <c r="X11013" s="228" t="n"/>
    </row>
    <row r="11014" ht="14.25" customHeight="1" s="192">
      <c r="W11014" s="228" t="n"/>
      <c r="X11014" s="228" t="n"/>
    </row>
    <row r="11015" ht="14.25" customHeight="1" s="192">
      <c r="W11015" s="231" t="n"/>
      <c r="X11015" s="231" t="n"/>
    </row>
    <row r="11016" ht="14.25" customHeight="1" s="192">
      <c r="W11016" s="33" t="n"/>
      <c r="X11016" s="33" t="n"/>
    </row>
    <row r="11017" ht="14.25" customHeight="1" s="192">
      <c r="W11017" s="231" t="n"/>
      <c r="X11017" s="231" t="n"/>
    </row>
    <row r="11018" ht="14.25" customHeight="1" s="192">
      <c r="W11018" s="33" t="n"/>
      <c r="X11018" s="33" t="n"/>
    </row>
    <row r="11020" ht="14.25" customHeight="1" s="192">
      <c r="W11020" s="231" t="n"/>
      <c r="X11020" s="231" t="n"/>
    </row>
    <row r="11021" ht="14.25" customHeight="1" s="192">
      <c r="W11021" s="235" t="n"/>
      <c r="X11021" s="235" t="n"/>
    </row>
    <row r="11022" ht="14.25" customHeight="1" s="192">
      <c r="W11022" s="228" t="n"/>
      <c r="X11022" s="228" t="n"/>
    </row>
    <row r="11023" ht="14.25" customHeight="1" s="192">
      <c r="W11023" s="235" t="n"/>
      <c r="X11023" s="235" t="n"/>
    </row>
    <row r="11024" ht="14.25" customHeight="1" s="192">
      <c r="W11024" s="235" t="n"/>
      <c r="X11024" s="235" t="n"/>
    </row>
    <row r="11025" ht="14.25" customHeight="1" s="192">
      <c r="W11025" s="235" t="n"/>
      <c r="X11025" s="235" t="n"/>
    </row>
    <row r="11026" ht="14.25" customHeight="1" s="192">
      <c r="W11026" s="239" t="n"/>
      <c r="X11026" s="239" t="n"/>
    </row>
    <row r="11027" ht="14.25" customHeight="1" s="192">
      <c r="W11027" s="239" t="n"/>
      <c r="X11027" s="239" t="n"/>
    </row>
    <row r="11028" ht="14.25" customHeight="1" s="192">
      <c r="W11028" s="239" t="n"/>
      <c r="X11028" s="239" t="n"/>
    </row>
    <row r="11029" ht="14.25" customHeight="1" s="192">
      <c r="W11029" s="235" t="n"/>
      <c r="X11029" s="235" t="n"/>
    </row>
    <row r="11030" ht="14.25" customHeight="1" s="192">
      <c r="W11030" s="235" t="n"/>
      <c r="X11030" s="235" t="n"/>
    </row>
    <row r="11031" ht="14.25" customHeight="1" s="192">
      <c r="W11031" s="235" t="n"/>
      <c r="X11031" s="235" t="n"/>
    </row>
    <row r="11032" ht="14.25" customHeight="1" s="192">
      <c r="W11032" s="239" t="n"/>
      <c r="X11032" s="239" t="n"/>
    </row>
    <row r="11033" ht="14.25" customHeight="1" s="192">
      <c r="W11033" s="239" t="n"/>
      <c r="X11033" s="239" t="n"/>
    </row>
    <row r="11034" ht="14.25" customHeight="1" s="192">
      <c r="W11034" s="235" t="n"/>
      <c r="X11034" s="235" t="n"/>
    </row>
    <row r="11035" ht="14.25" customHeight="1" s="192">
      <c r="W11035" s="235" t="n"/>
      <c r="X11035" s="235" t="n"/>
    </row>
    <row r="11036" ht="14.25" customHeight="1" s="192">
      <c r="W11036" s="239" t="n"/>
      <c r="X11036" s="239" t="n"/>
    </row>
    <row r="11037" ht="14.25" customHeight="1" s="192">
      <c r="W11037" s="235" t="n"/>
      <c r="X11037" s="235" t="n"/>
    </row>
    <row r="11038" ht="14.25" customHeight="1" s="192">
      <c r="W11038" s="239" t="n"/>
      <c r="X11038" s="239" t="n"/>
    </row>
    <row r="11040" ht="14.25" customHeight="1" s="192">
      <c r="W11040" s="235" t="n"/>
      <c r="X11040" s="235" t="n"/>
    </row>
    <row r="11041" ht="15" customHeight="1" s="192" thickBot="1">
      <c r="W11041" s="239" t="n"/>
      <c r="X11041" s="239" t="n"/>
    </row>
    <row r="11042" ht="15" customHeight="1" s="192" thickBot="1">
      <c r="W11042" s="45" t="n"/>
      <c r="X11042" s="45" t="n"/>
    </row>
    <row r="11043" ht="14.25" customHeight="1" s="192">
      <c r="W11043" s="228" t="n"/>
      <c r="X11043" s="228" t="n"/>
    </row>
    <row r="11044" ht="14.25" customHeight="1" s="192">
      <c r="W11044" s="228" t="n"/>
      <c r="X11044" s="228" t="n"/>
    </row>
    <row r="11045" ht="14.25" customHeight="1" s="192">
      <c r="W11045" s="231" t="n"/>
      <c r="X11045" s="231" t="n"/>
    </row>
    <row r="11046" ht="14.25" customHeight="1" s="192">
      <c r="W11046" s="33" t="n"/>
      <c r="X11046" s="33" t="n"/>
    </row>
    <row r="11047" ht="14.25" customHeight="1" s="192">
      <c r="W11047" s="231" t="n"/>
      <c r="X11047" s="231" t="n"/>
    </row>
    <row r="11048" ht="14.25" customHeight="1" s="192">
      <c r="W11048" s="33" t="n"/>
      <c r="X11048" s="33" t="n"/>
    </row>
    <row r="11050" ht="14.25" customHeight="1" s="192">
      <c r="W11050" s="231" t="n"/>
      <c r="X11050" s="231" t="n"/>
    </row>
    <row r="11051" ht="14.25" customHeight="1" s="192">
      <c r="W11051" s="235" t="n"/>
      <c r="X11051" s="235" t="n"/>
    </row>
    <row r="11052" ht="14.25" customHeight="1" s="192">
      <c r="W11052" s="228" t="n"/>
      <c r="X11052" s="228" t="n"/>
    </row>
    <row r="11053" ht="14.25" customHeight="1" s="192">
      <c r="W11053" s="235" t="n"/>
      <c r="X11053" s="235" t="n"/>
    </row>
    <row r="11054" ht="14.25" customHeight="1" s="192">
      <c r="W11054" s="235" t="n"/>
      <c r="X11054" s="235" t="n"/>
    </row>
    <row r="11055" ht="14.25" customHeight="1" s="192">
      <c r="W11055" s="235" t="n"/>
      <c r="X11055" s="235" t="n"/>
    </row>
    <row r="11056" ht="14.25" customHeight="1" s="192">
      <c r="W11056" s="239" t="n"/>
      <c r="X11056" s="239" t="n"/>
    </row>
    <row r="11057" ht="14.25" customHeight="1" s="192">
      <c r="W11057" s="239" t="n"/>
      <c r="X11057" s="239" t="n"/>
    </row>
    <row r="11058" ht="14.25" customHeight="1" s="192">
      <c r="W11058" s="239" t="n"/>
      <c r="X11058" s="239" t="n"/>
    </row>
    <row r="11059" ht="14.25" customHeight="1" s="192">
      <c r="W11059" s="235" t="n"/>
      <c r="X11059" s="235" t="n"/>
    </row>
    <row r="11060" ht="14.25" customHeight="1" s="192">
      <c r="W11060" s="235" t="n"/>
      <c r="X11060" s="235" t="n"/>
    </row>
    <row r="11061" ht="14.25" customHeight="1" s="192">
      <c r="W11061" s="235" t="n"/>
      <c r="X11061" s="235" t="n"/>
    </row>
    <row r="11062" ht="14.25" customHeight="1" s="192">
      <c r="W11062" s="239" t="n"/>
      <c r="X11062" s="239" t="n"/>
    </row>
    <row r="11063" ht="14.25" customHeight="1" s="192">
      <c r="W11063" s="239" t="n"/>
      <c r="X11063" s="239" t="n"/>
    </row>
    <row r="11064" ht="14.25" customHeight="1" s="192">
      <c r="W11064" s="235" t="n"/>
      <c r="X11064" s="235" t="n"/>
    </row>
    <row r="11065" ht="14.25" customHeight="1" s="192">
      <c r="W11065" s="235" t="n"/>
      <c r="X11065" s="235" t="n"/>
    </row>
    <row r="11066" ht="14.25" customHeight="1" s="192">
      <c r="W11066" s="239" t="n"/>
      <c r="X11066" s="239" t="n"/>
    </row>
    <row r="11067" ht="14.25" customHeight="1" s="192">
      <c r="W11067" s="235" t="n"/>
      <c r="X11067" s="235" t="n"/>
    </row>
    <row r="11068" ht="14.25" customHeight="1" s="192">
      <c r="W11068" s="239" t="n"/>
      <c r="X11068" s="239" t="n"/>
    </row>
    <row r="11070" ht="14.25" customHeight="1" s="192">
      <c r="W11070" s="235" t="n"/>
      <c r="X11070" s="235" t="n"/>
    </row>
    <row r="11071" ht="15" customHeight="1" s="192" thickBot="1">
      <c r="W11071" s="239" t="n"/>
      <c r="X11071" s="239" t="n"/>
    </row>
    <row r="11072" ht="15" customHeight="1" s="192" thickBot="1">
      <c r="W11072" s="45" t="n"/>
      <c r="X11072" s="45" t="n"/>
    </row>
    <row r="11073" ht="14.25" customHeight="1" s="192">
      <c r="W11073" s="228" t="n"/>
      <c r="X11073" s="228" t="n"/>
    </row>
    <row r="11074" ht="14.25" customHeight="1" s="192">
      <c r="W11074" s="228" t="n"/>
      <c r="X11074" s="228" t="n"/>
    </row>
    <row r="11075" ht="14.25" customHeight="1" s="192">
      <c r="W11075" s="231" t="n"/>
      <c r="X11075" s="231" t="n"/>
    </row>
    <row r="11076" ht="14.25" customHeight="1" s="192">
      <c r="W11076" s="33" t="n"/>
      <c r="X11076" s="33" t="n"/>
    </row>
    <row r="11077" ht="14.25" customHeight="1" s="192">
      <c r="W11077" s="231" t="n"/>
      <c r="X11077" s="231" t="n"/>
    </row>
    <row r="11078" ht="14.25" customHeight="1" s="192">
      <c r="W11078" s="33" t="n"/>
      <c r="X11078" s="33" t="n"/>
    </row>
    <row r="11080" ht="14.25" customHeight="1" s="192">
      <c r="W11080" s="231" t="n"/>
      <c r="X11080" s="231" t="n"/>
    </row>
    <row r="11081" ht="14.25" customHeight="1" s="192">
      <c r="W11081" s="235" t="n"/>
      <c r="X11081" s="235" t="n"/>
    </row>
    <row r="11082" ht="14.25" customHeight="1" s="192">
      <c r="W11082" s="228" t="n"/>
      <c r="X11082" s="228" t="n"/>
    </row>
    <row r="11083" ht="14.25" customHeight="1" s="192">
      <c r="W11083" s="235" t="n"/>
      <c r="X11083" s="235" t="n"/>
    </row>
    <row r="11084" ht="14.25" customHeight="1" s="192">
      <c r="W11084" s="235" t="n"/>
      <c r="X11084" s="235" t="n"/>
    </row>
    <row r="11085" ht="14.25" customHeight="1" s="192">
      <c r="W11085" s="235" t="n"/>
      <c r="X11085" s="235" t="n"/>
    </row>
    <row r="11086" ht="14.25" customHeight="1" s="192">
      <c r="W11086" s="239" t="n"/>
      <c r="X11086" s="239" t="n"/>
    </row>
    <row r="11087" ht="14.25" customHeight="1" s="192">
      <c r="W11087" s="239" t="n"/>
      <c r="X11087" s="239" t="n"/>
    </row>
    <row r="11088" ht="14.25" customHeight="1" s="192">
      <c r="W11088" s="239" t="n"/>
      <c r="X11088" s="239" t="n"/>
    </row>
    <row r="11089" ht="14.25" customHeight="1" s="192">
      <c r="W11089" s="235" t="n"/>
      <c r="X11089" s="235" t="n"/>
    </row>
    <row r="11090" ht="14.25" customHeight="1" s="192">
      <c r="W11090" s="235" t="n"/>
      <c r="X11090" s="235" t="n"/>
    </row>
    <row r="11091" ht="14.25" customHeight="1" s="192">
      <c r="W11091" s="235" t="n"/>
      <c r="X11091" s="235" t="n"/>
    </row>
    <row r="11092" ht="14.25" customHeight="1" s="192">
      <c r="W11092" s="239" t="n"/>
      <c r="X11092" s="239" t="n"/>
    </row>
    <row r="11093" ht="14.25" customHeight="1" s="192">
      <c r="W11093" s="239" t="n"/>
      <c r="X11093" s="239" t="n"/>
    </row>
    <row r="11094" ht="14.25" customHeight="1" s="192">
      <c r="W11094" s="235" t="n"/>
      <c r="X11094" s="235" t="n"/>
    </row>
    <row r="11095" ht="14.25" customHeight="1" s="192">
      <c r="W11095" s="235" t="n"/>
      <c r="X11095" s="235" t="n"/>
    </row>
    <row r="11096" ht="14.25" customHeight="1" s="192">
      <c r="W11096" s="239" t="n"/>
      <c r="X11096" s="239" t="n"/>
    </row>
    <row r="11097" ht="14.25" customHeight="1" s="192">
      <c r="W11097" s="235" t="n"/>
      <c r="X11097" s="235" t="n"/>
    </row>
    <row r="11098" ht="14.25" customHeight="1" s="192">
      <c r="W11098" s="239" t="n"/>
      <c r="X11098" s="239" t="n"/>
    </row>
    <row r="11100" ht="14.25" customHeight="1" s="192">
      <c r="W11100" s="235" t="n"/>
      <c r="X11100" s="235" t="n"/>
    </row>
    <row r="11101" ht="15" customHeight="1" s="192" thickBot="1">
      <c r="W11101" s="239" t="n"/>
      <c r="X11101" s="239" t="n"/>
    </row>
    <row r="11102" ht="15" customHeight="1" s="192" thickBot="1">
      <c r="W11102" s="45" t="n"/>
      <c r="X11102" s="45" t="n"/>
    </row>
    <row r="11103" ht="14.25" customHeight="1" s="192">
      <c r="W11103" s="228" t="n"/>
      <c r="X11103" s="228" t="n"/>
    </row>
    <row r="11104" ht="14.25" customHeight="1" s="192">
      <c r="W11104" s="228" t="n"/>
      <c r="X11104" s="228" t="n"/>
    </row>
    <row r="11105" ht="14.25" customHeight="1" s="192">
      <c r="W11105" s="231" t="n"/>
      <c r="X11105" s="231" t="n"/>
    </row>
    <row r="11106" ht="14.25" customHeight="1" s="192">
      <c r="W11106" s="33" t="n"/>
      <c r="X11106" s="33" t="n"/>
    </row>
    <row r="11107" ht="14.25" customHeight="1" s="192">
      <c r="W11107" s="231" t="n"/>
      <c r="X11107" s="231" t="n"/>
    </row>
    <row r="11108" ht="14.25" customHeight="1" s="192">
      <c r="W11108" s="33" t="n"/>
      <c r="X11108" s="33" t="n"/>
    </row>
    <row r="11110" ht="14.25" customHeight="1" s="192">
      <c r="W11110" s="231" t="n"/>
      <c r="X11110" s="231" t="n"/>
    </row>
    <row r="11111" ht="14.25" customHeight="1" s="192">
      <c r="W11111" s="235" t="n"/>
      <c r="X11111" s="235" t="n"/>
    </row>
    <row r="11112" ht="14.25" customHeight="1" s="192">
      <c r="W11112" s="228" t="n"/>
      <c r="X11112" s="228" t="n"/>
    </row>
    <row r="11113" ht="14.25" customHeight="1" s="192">
      <c r="W11113" s="235" t="n"/>
      <c r="X11113" s="235" t="n"/>
    </row>
    <row r="11114" ht="14.25" customHeight="1" s="192">
      <c r="W11114" s="235" t="n"/>
      <c r="X11114" s="235" t="n"/>
    </row>
    <row r="11115" ht="14.25" customHeight="1" s="192">
      <c r="W11115" s="235" t="n"/>
      <c r="X11115" s="235" t="n"/>
    </row>
    <row r="11116" ht="14.25" customHeight="1" s="192">
      <c r="W11116" s="239" t="n"/>
      <c r="X11116" s="239" t="n"/>
    </row>
    <row r="11117" ht="14.25" customHeight="1" s="192">
      <c r="W11117" s="239" t="n"/>
      <c r="X11117" s="239" t="n"/>
    </row>
    <row r="11118" ht="14.25" customHeight="1" s="192">
      <c r="W11118" s="239" t="n"/>
      <c r="X11118" s="239" t="n"/>
    </row>
    <row r="11119" ht="14.25" customHeight="1" s="192">
      <c r="W11119" s="235" t="n"/>
      <c r="X11119" s="235" t="n"/>
    </row>
    <row r="11120" ht="14.25" customHeight="1" s="192">
      <c r="W11120" s="235" t="n"/>
      <c r="X11120" s="235" t="n"/>
    </row>
    <row r="11121" ht="14.25" customHeight="1" s="192">
      <c r="W11121" s="235" t="n"/>
      <c r="X11121" s="235" t="n"/>
    </row>
    <row r="11122" ht="14.25" customHeight="1" s="192">
      <c r="W11122" s="239" t="n"/>
      <c r="X11122" s="239" t="n"/>
    </row>
    <row r="11123" ht="14.25" customHeight="1" s="192">
      <c r="W11123" s="239" t="n"/>
      <c r="X11123" s="239" t="n"/>
    </row>
    <row r="11124" ht="14.25" customHeight="1" s="192">
      <c r="W11124" s="235" t="n"/>
      <c r="X11124" s="235" t="n"/>
    </row>
    <row r="11125" ht="14.25" customHeight="1" s="192">
      <c r="W11125" s="235" t="n"/>
      <c r="X11125" s="235" t="n"/>
    </row>
    <row r="11126" ht="14.25" customHeight="1" s="192">
      <c r="W11126" s="239" t="n"/>
      <c r="X11126" s="239" t="n"/>
    </row>
    <row r="11127" ht="14.25" customHeight="1" s="192">
      <c r="W11127" s="235" t="n"/>
      <c r="X11127" s="235" t="n"/>
    </row>
    <row r="11128" ht="14.25" customHeight="1" s="192">
      <c r="W11128" s="239" t="n"/>
      <c r="X11128" s="239" t="n"/>
    </row>
    <row r="11130" ht="14.25" customHeight="1" s="192">
      <c r="W11130" s="235" t="n"/>
      <c r="X11130" s="235" t="n"/>
    </row>
    <row r="11131" ht="15" customHeight="1" s="192" thickBot="1">
      <c r="W11131" s="239" t="n"/>
      <c r="X11131" s="239" t="n"/>
    </row>
    <row r="11132" ht="15" customHeight="1" s="192" thickBot="1">
      <c r="W11132" s="45" t="n"/>
      <c r="X11132" s="45" t="n"/>
    </row>
    <row r="11133" ht="14.25" customHeight="1" s="192">
      <c r="W11133" s="228" t="n"/>
      <c r="X11133" s="228" t="n"/>
    </row>
    <row r="11134" ht="14.25" customHeight="1" s="192">
      <c r="W11134" s="228" t="n"/>
      <c r="X11134" s="228" t="n"/>
    </row>
    <row r="11135" ht="14.25" customHeight="1" s="192">
      <c r="W11135" s="231" t="n"/>
      <c r="X11135" s="231" t="n"/>
    </row>
    <row r="11136" ht="14.25" customHeight="1" s="192">
      <c r="W11136" s="33" t="n"/>
      <c r="X11136" s="33" t="n"/>
    </row>
    <row r="11137" ht="14.25" customHeight="1" s="192">
      <c r="W11137" s="231" t="n"/>
      <c r="X11137" s="231" t="n"/>
    </row>
    <row r="11138" ht="14.25" customHeight="1" s="192">
      <c r="W11138" s="33" t="n"/>
      <c r="X11138" s="33" t="n"/>
    </row>
    <row r="11140" ht="14.25" customHeight="1" s="192">
      <c r="W11140" s="231" t="n"/>
      <c r="X11140" s="231" t="n"/>
    </row>
    <row r="11141" ht="14.25" customHeight="1" s="192">
      <c r="W11141" s="235" t="n"/>
      <c r="X11141" s="235" t="n"/>
    </row>
    <row r="11142" ht="14.25" customHeight="1" s="192">
      <c r="W11142" s="228" t="n"/>
      <c r="X11142" s="228" t="n"/>
    </row>
    <row r="11143" ht="14.25" customHeight="1" s="192">
      <c r="W11143" s="235" t="n"/>
      <c r="X11143" s="235" t="n"/>
    </row>
    <row r="11144" ht="14.25" customHeight="1" s="192">
      <c r="W11144" s="235" t="n"/>
      <c r="X11144" s="235" t="n"/>
    </row>
    <row r="11145" ht="14.25" customHeight="1" s="192">
      <c r="W11145" s="235" t="n"/>
      <c r="X11145" s="235" t="n"/>
    </row>
    <row r="11146" ht="14.25" customHeight="1" s="192">
      <c r="W11146" s="239" t="n"/>
      <c r="X11146" s="239" t="n"/>
    </row>
    <row r="11147" ht="14.25" customHeight="1" s="192">
      <c r="W11147" s="239" t="n"/>
      <c r="X11147" s="239" t="n"/>
    </row>
    <row r="11148" ht="14.25" customHeight="1" s="192">
      <c r="W11148" s="239" t="n"/>
      <c r="X11148" s="239" t="n"/>
    </row>
    <row r="11149" ht="14.25" customHeight="1" s="192">
      <c r="W11149" s="235" t="n"/>
      <c r="X11149" s="235" t="n"/>
    </row>
    <row r="11150" ht="14.25" customHeight="1" s="192">
      <c r="W11150" s="235" t="n"/>
      <c r="X11150" s="235" t="n"/>
    </row>
    <row r="11151" ht="14.25" customHeight="1" s="192">
      <c r="W11151" s="235" t="n"/>
      <c r="X11151" s="235" t="n"/>
    </row>
    <row r="11152" ht="14.25" customHeight="1" s="192">
      <c r="W11152" s="239" t="n"/>
      <c r="X11152" s="239" t="n"/>
    </row>
    <row r="11153" ht="14.25" customHeight="1" s="192">
      <c r="W11153" s="239" t="n"/>
      <c r="X11153" s="239" t="n"/>
    </row>
    <row r="11154" ht="14.25" customHeight="1" s="192">
      <c r="W11154" s="235" t="n"/>
      <c r="X11154" s="235" t="n"/>
    </row>
    <row r="11155" ht="14.25" customHeight="1" s="192">
      <c r="W11155" s="235" t="n"/>
      <c r="X11155" s="235" t="n"/>
    </row>
    <row r="11156" ht="14.25" customHeight="1" s="192">
      <c r="W11156" s="239" t="n"/>
      <c r="X11156" s="239" t="n"/>
    </row>
    <row r="11157" ht="14.25" customHeight="1" s="192">
      <c r="W11157" s="235" t="n"/>
      <c r="X11157" s="235" t="n"/>
    </row>
    <row r="11158" ht="14.25" customHeight="1" s="192">
      <c r="W11158" s="239" t="n"/>
      <c r="X11158" s="239" t="n"/>
    </row>
    <row r="11160" ht="14.25" customHeight="1" s="192">
      <c r="W11160" s="235" t="n"/>
      <c r="X11160" s="235" t="n"/>
    </row>
    <row r="11161" ht="15" customHeight="1" s="192" thickBot="1">
      <c r="W11161" s="239" t="n"/>
      <c r="X11161" s="239" t="n"/>
    </row>
    <row r="11162" ht="15" customHeight="1" s="192" thickBot="1">
      <c r="W11162" s="45" t="n"/>
      <c r="X11162" s="45" t="n"/>
    </row>
    <row r="11163" ht="14.25" customHeight="1" s="192">
      <c r="W11163" s="228" t="n"/>
      <c r="X11163" s="228" t="n"/>
    </row>
    <row r="11164" ht="14.25" customHeight="1" s="192">
      <c r="W11164" s="228" t="n"/>
      <c r="X11164" s="228" t="n"/>
    </row>
    <row r="11165" ht="14.25" customHeight="1" s="192">
      <c r="W11165" s="231" t="n"/>
      <c r="X11165" s="231" t="n"/>
    </row>
    <row r="11166" ht="14.25" customHeight="1" s="192">
      <c r="W11166" s="33" t="n"/>
      <c r="X11166" s="33" t="n"/>
    </row>
    <row r="11167" ht="14.25" customHeight="1" s="192">
      <c r="W11167" s="231" t="n"/>
      <c r="X11167" s="231" t="n"/>
    </row>
    <row r="11168" ht="14.25" customHeight="1" s="192">
      <c r="W11168" s="33" t="n"/>
      <c r="X11168" s="33" t="n"/>
    </row>
    <row r="11170" ht="14.25" customHeight="1" s="192">
      <c r="W11170" s="231" t="n"/>
      <c r="X11170" s="231" t="n"/>
    </row>
    <row r="11171" ht="14.25" customHeight="1" s="192">
      <c r="W11171" s="235" t="n"/>
      <c r="X11171" s="235" t="n"/>
    </row>
    <row r="11172" ht="14.25" customHeight="1" s="192">
      <c r="W11172" s="228" t="n"/>
      <c r="X11172" s="228" t="n"/>
    </row>
    <row r="11173" ht="14.25" customHeight="1" s="192">
      <c r="W11173" s="235" t="n"/>
      <c r="X11173" s="235" t="n"/>
    </row>
    <row r="11174" ht="14.25" customHeight="1" s="192">
      <c r="W11174" s="235" t="n"/>
      <c r="X11174" s="235" t="n"/>
    </row>
    <row r="11175" ht="14.25" customHeight="1" s="192">
      <c r="W11175" s="235" t="n"/>
      <c r="X11175" s="235" t="n"/>
    </row>
    <row r="11176" ht="14.25" customHeight="1" s="192">
      <c r="W11176" s="239" t="n"/>
      <c r="X11176" s="239" t="n"/>
    </row>
    <row r="11177" ht="14.25" customHeight="1" s="192">
      <c r="W11177" s="239" t="n"/>
      <c r="X11177" s="239" t="n"/>
    </row>
    <row r="11178" ht="14.25" customHeight="1" s="192">
      <c r="W11178" s="239" t="n"/>
      <c r="X11178" s="239" t="n"/>
    </row>
    <row r="11179" ht="14.25" customHeight="1" s="192">
      <c r="W11179" s="235" t="n"/>
      <c r="X11179" s="235" t="n"/>
    </row>
    <row r="11180" ht="14.25" customHeight="1" s="192">
      <c r="W11180" s="235" t="n"/>
      <c r="X11180" s="235" t="n"/>
    </row>
    <row r="11181" ht="14.25" customHeight="1" s="192">
      <c r="W11181" s="235" t="n"/>
      <c r="X11181" s="235" t="n"/>
    </row>
    <row r="11182" ht="14.25" customHeight="1" s="192">
      <c r="W11182" s="239" t="n"/>
      <c r="X11182" s="239" t="n"/>
    </row>
    <row r="11183" ht="14.25" customHeight="1" s="192">
      <c r="W11183" s="239" t="n"/>
      <c r="X11183" s="239" t="n"/>
    </row>
    <row r="11184" ht="14.25" customHeight="1" s="192">
      <c r="W11184" s="235" t="n"/>
      <c r="X11184" s="235" t="n"/>
    </row>
    <row r="11185" ht="14.25" customHeight="1" s="192">
      <c r="W11185" s="235" t="n"/>
      <c r="X11185" s="235" t="n"/>
    </row>
    <row r="11186" ht="14.25" customHeight="1" s="192">
      <c r="W11186" s="239" t="n"/>
      <c r="X11186" s="239" t="n"/>
    </row>
    <row r="11187" ht="14.25" customHeight="1" s="192">
      <c r="W11187" s="235" t="n"/>
      <c r="X11187" s="235" t="n"/>
    </row>
    <row r="11188" ht="14.25" customHeight="1" s="192">
      <c r="W11188" s="239" t="n"/>
      <c r="X11188" s="239" t="n"/>
    </row>
    <row r="11190" ht="14.25" customHeight="1" s="192">
      <c r="W11190" s="235" t="n"/>
      <c r="X11190" s="235" t="n"/>
    </row>
    <row r="11191" ht="15" customHeight="1" s="192" thickBot="1">
      <c r="W11191" s="239" t="n"/>
      <c r="X11191" s="239" t="n"/>
    </row>
    <row r="11192" ht="15" customHeight="1" s="192" thickBot="1">
      <c r="W11192" s="45" t="n"/>
      <c r="X11192" s="45" t="n"/>
    </row>
    <row r="11193" ht="14.25" customHeight="1" s="192">
      <c r="W11193" s="228" t="n"/>
      <c r="X11193" s="228" t="n"/>
    </row>
    <row r="11194" ht="14.25" customHeight="1" s="192">
      <c r="W11194" s="228" t="n"/>
      <c r="X11194" s="228" t="n"/>
    </row>
    <row r="11195" ht="14.25" customHeight="1" s="192">
      <c r="W11195" s="231" t="n"/>
      <c r="X11195" s="231" t="n"/>
    </row>
    <row r="11196" ht="14.25" customHeight="1" s="192">
      <c r="W11196" s="33" t="n"/>
      <c r="X11196" s="33" t="n"/>
    </row>
    <row r="11197" ht="14.25" customHeight="1" s="192">
      <c r="W11197" s="231" t="n"/>
      <c r="X11197" s="231" t="n"/>
    </row>
    <row r="11198" ht="14.25" customHeight="1" s="192">
      <c r="W11198" s="33" t="n"/>
      <c r="X11198" s="33" t="n"/>
    </row>
    <row r="11200" ht="14.25" customHeight="1" s="192">
      <c r="W11200" s="231" t="n"/>
      <c r="X11200" s="231" t="n"/>
    </row>
    <row r="11201" ht="14.25" customHeight="1" s="192">
      <c r="W11201" s="235" t="n"/>
      <c r="X11201" s="235" t="n"/>
    </row>
    <row r="11202" ht="14.25" customHeight="1" s="192">
      <c r="W11202" s="228" t="n"/>
      <c r="X11202" s="228" t="n"/>
    </row>
    <row r="11203" ht="14.25" customHeight="1" s="192">
      <c r="W11203" s="235" t="n"/>
      <c r="X11203" s="235" t="n"/>
    </row>
    <row r="11204" ht="14.25" customHeight="1" s="192">
      <c r="W11204" s="235" t="n"/>
      <c r="X11204" s="235" t="n"/>
    </row>
    <row r="11205" ht="14.25" customHeight="1" s="192">
      <c r="W11205" s="235" t="n"/>
      <c r="X11205" s="235" t="n"/>
    </row>
    <row r="11206" ht="14.25" customHeight="1" s="192">
      <c r="W11206" s="239" t="n"/>
      <c r="X11206" s="239" t="n"/>
    </row>
    <row r="11207" ht="14.25" customHeight="1" s="192">
      <c r="W11207" s="239" t="n"/>
      <c r="X11207" s="239" t="n"/>
    </row>
    <row r="11208" ht="14.25" customHeight="1" s="192">
      <c r="W11208" s="239" t="n"/>
      <c r="X11208" s="239" t="n"/>
    </row>
    <row r="11209" ht="14.25" customHeight="1" s="192">
      <c r="W11209" s="235" t="n"/>
      <c r="X11209" s="235" t="n"/>
    </row>
    <row r="11210" ht="14.25" customHeight="1" s="192">
      <c r="W11210" s="235" t="n"/>
      <c r="X11210" s="235" t="n"/>
    </row>
    <row r="11211" ht="14.25" customHeight="1" s="192">
      <c r="W11211" s="235" t="n"/>
      <c r="X11211" s="235" t="n"/>
    </row>
    <row r="11212" ht="14.25" customHeight="1" s="192">
      <c r="W11212" s="239" t="n"/>
      <c r="X11212" s="239" t="n"/>
    </row>
    <row r="11213" ht="14.25" customHeight="1" s="192">
      <c r="W11213" s="239" t="n"/>
      <c r="X11213" s="239" t="n"/>
    </row>
    <row r="11214" ht="14.25" customHeight="1" s="192">
      <c r="W11214" s="235" t="n"/>
      <c r="X11214" s="235" t="n"/>
    </row>
    <row r="11215" ht="14.25" customHeight="1" s="192">
      <c r="W11215" s="235" t="n"/>
      <c r="X11215" s="235" t="n"/>
    </row>
    <row r="11216" ht="14.25" customHeight="1" s="192">
      <c r="W11216" s="239" t="n"/>
      <c r="X11216" s="239" t="n"/>
    </row>
    <row r="11217" ht="14.25" customHeight="1" s="192">
      <c r="W11217" s="235" t="n"/>
      <c r="X11217" s="235" t="n"/>
    </row>
    <row r="11218" ht="14.25" customHeight="1" s="192">
      <c r="W11218" s="239" t="n"/>
      <c r="X11218" s="239" t="n"/>
    </row>
    <row r="11220" ht="14.25" customHeight="1" s="192">
      <c r="W11220" s="235" t="n"/>
      <c r="X11220" s="235" t="n"/>
    </row>
    <row r="11221" ht="15" customHeight="1" s="192" thickBot="1">
      <c r="W11221" s="239" t="n"/>
      <c r="X11221" s="239" t="n"/>
    </row>
    <row r="11222" ht="15" customHeight="1" s="192" thickBot="1">
      <c r="W11222" s="45" t="n"/>
      <c r="X11222" s="45" t="n"/>
    </row>
    <row r="11223" ht="14.25" customHeight="1" s="192">
      <c r="W11223" s="228" t="n"/>
      <c r="X11223" s="228" t="n"/>
    </row>
    <row r="11224" ht="14.25" customHeight="1" s="192">
      <c r="W11224" s="228" t="n"/>
      <c r="X11224" s="228" t="n"/>
    </row>
    <row r="11225" ht="14.25" customHeight="1" s="192">
      <c r="W11225" s="231" t="n"/>
      <c r="X11225" s="231" t="n"/>
    </row>
    <row r="11226" ht="14.25" customHeight="1" s="192">
      <c r="W11226" s="33" t="n"/>
      <c r="X11226" s="33" t="n"/>
    </row>
    <row r="11227" ht="14.25" customHeight="1" s="192">
      <c r="W11227" s="231" t="n"/>
      <c r="X11227" s="231" t="n"/>
    </row>
    <row r="11228" ht="14.25" customHeight="1" s="192">
      <c r="W11228" s="33" t="n"/>
      <c r="X11228" s="33" t="n"/>
    </row>
    <row r="11230" ht="14.25" customHeight="1" s="192">
      <c r="W11230" s="231" t="n"/>
      <c r="X11230" s="231" t="n"/>
    </row>
    <row r="11231" ht="14.25" customHeight="1" s="192">
      <c r="W11231" s="235" t="n"/>
      <c r="X11231" s="235" t="n"/>
    </row>
    <row r="11232" ht="14.25" customHeight="1" s="192">
      <c r="W11232" s="228" t="n"/>
      <c r="X11232" s="228" t="n"/>
    </row>
    <row r="11233" ht="14.25" customHeight="1" s="192">
      <c r="W11233" s="235" t="n"/>
      <c r="X11233" s="235" t="n"/>
    </row>
    <row r="11234" ht="14.25" customHeight="1" s="192">
      <c r="W11234" s="235" t="n"/>
      <c r="X11234" s="235" t="n"/>
    </row>
    <row r="11235" ht="14.25" customHeight="1" s="192">
      <c r="W11235" s="235" t="n"/>
      <c r="X11235" s="235" t="n"/>
    </row>
    <row r="11236" ht="14.25" customHeight="1" s="192">
      <c r="W11236" s="239" t="n"/>
      <c r="X11236" s="239" t="n"/>
    </row>
    <row r="11237" ht="14.25" customHeight="1" s="192">
      <c r="W11237" s="239" t="n"/>
      <c r="X11237" s="239" t="n"/>
    </row>
    <row r="11238" ht="14.25" customHeight="1" s="192">
      <c r="W11238" s="239" t="n"/>
      <c r="X11238" s="239" t="n"/>
    </row>
    <row r="11239" ht="14.25" customHeight="1" s="192">
      <c r="W11239" s="235" t="n"/>
      <c r="X11239" s="235" t="n"/>
    </row>
    <row r="11240" ht="14.25" customHeight="1" s="192">
      <c r="W11240" s="235" t="n"/>
      <c r="X11240" s="235" t="n"/>
    </row>
    <row r="11241" ht="14.25" customHeight="1" s="192">
      <c r="W11241" s="235" t="n"/>
      <c r="X11241" s="235" t="n"/>
    </row>
    <row r="11242" ht="14.25" customHeight="1" s="192">
      <c r="W11242" s="239" t="n"/>
      <c r="X11242" s="239" t="n"/>
    </row>
    <row r="11243" ht="14.25" customHeight="1" s="192">
      <c r="W11243" s="239" t="n"/>
      <c r="X11243" s="239" t="n"/>
    </row>
    <row r="11244" ht="14.25" customHeight="1" s="192">
      <c r="W11244" s="235" t="n"/>
      <c r="X11244" s="235" t="n"/>
    </row>
    <row r="11245" ht="14.25" customHeight="1" s="192">
      <c r="W11245" s="235" t="n"/>
      <c r="X11245" s="235" t="n"/>
    </row>
    <row r="11246" ht="14.25" customHeight="1" s="192">
      <c r="W11246" s="239" t="n"/>
      <c r="X11246" s="239" t="n"/>
    </row>
    <row r="11247" ht="14.25" customHeight="1" s="192">
      <c r="W11247" s="235" t="n"/>
      <c r="X11247" s="235" t="n"/>
    </row>
    <row r="11248" ht="14.25" customHeight="1" s="192">
      <c r="W11248" s="239" t="n"/>
      <c r="X11248" s="239" t="n"/>
    </row>
    <row r="11250" ht="14.25" customHeight="1" s="192">
      <c r="W11250" s="235" t="n"/>
      <c r="X11250" s="235" t="n"/>
    </row>
    <row r="11251" ht="15" customHeight="1" s="192" thickBot="1">
      <c r="W11251" s="239" t="n"/>
      <c r="X11251" s="239" t="n"/>
    </row>
    <row r="11252" ht="15" customHeight="1" s="192" thickBot="1">
      <c r="W11252" s="45" t="n"/>
      <c r="X11252" s="45" t="n"/>
    </row>
    <row r="11253" ht="14.25" customHeight="1" s="192">
      <c r="W11253" s="228" t="n"/>
      <c r="X11253" s="228" t="n"/>
    </row>
    <row r="11254" ht="14.25" customHeight="1" s="192">
      <c r="W11254" s="228" t="n"/>
      <c r="X11254" s="228" t="n"/>
    </row>
    <row r="11255" ht="14.25" customHeight="1" s="192">
      <c r="W11255" s="231" t="n"/>
      <c r="X11255" s="231" t="n"/>
    </row>
    <row r="11256" ht="14.25" customHeight="1" s="192">
      <c r="W11256" s="33" t="n"/>
      <c r="X11256" s="33" t="n"/>
    </row>
    <row r="11257" ht="14.25" customHeight="1" s="192">
      <c r="W11257" s="231" t="n"/>
      <c r="X11257" s="231" t="n"/>
    </row>
    <row r="11258" ht="14.25" customHeight="1" s="192">
      <c r="W11258" s="33" t="n"/>
      <c r="X11258" s="33" t="n"/>
    </row>
    <row r="11260" ht="14.25" customHeight="1" s="192">
      <c r="W11260" s="231" t="n"/>
      <c r="X11260" s="231" t="n"/>
    </row>
    <row r="11261" ht="14.25" customHeight="1" s="192">
      <c r="W11261" s="235" t="n"/>
      <c r="X11261" s="235" t="n"/>
    </row>
    <row r="11262" ht="14.25" customHeight="1" s="192">
      <c r="W11262" s="228" t="n"/>
      <c r="X11262" s="228" t="n"/>
    </row>
    <row r="11263" ht="14.25" customHeight="1" s="192">
      <c r="W11263" s="235" t="n"/>
      <c r="X11263" s="235" t="n"/>
    </row>
    <row r="11264" ht="14.25" customHeight="1" s="192">
      <c r="W11264" s="235" t="n"/>
      <c r="X11264" s="235" t="n"/>
    </row>
    <row r="11265" ht="14.25" customHeight="1" s="192">
      <c r="W11265" s="235" t="n"/>
      <c r="X11265" s="235" t="n"/>
    </row>
    <row r="11266" ht="14.25" customHeight="1" s="192">
      <c r="W11266" s="239" t="n"/>
      <c r="X11266" s="239" t="n"/>
    </row>
    <row r="11267" ht="14.25" customHeight="1" s="192">
      <c r="W11267" s="239" t="n"/>
      <c r="X11267" s="239" t="n"/>
    </row>
    <row r="11268" ht="14.25" customHeight="1" s="192">
      <c r="W11268" s="239" t="n"/>
      <c r="X11268" s="239" t="n"/>
    </row>
    <row r="11269" ht="14.25" customHeight="1" s="192">
      <c r="W11269" s="235" t="n"/>
      <c r="X11269" s="235" t="n"/>
    </row>
    <row r="11270" ht="14.25" customHeight="1" s="192">
      <c r="W11270" s="235" t="n"/>
      <c r="X11270" s="235" t="n"/>
    </row>
    <row r="11271" ht="14.25" customHeight="1" s="192">
      <c r="W11271" s="235" t="n"/>
      <c r="X11271" s="235" t="n"/>
    </row>
    <row r="11272" ht="14.25" customHeight="1" s="192">
      <c r="W11272" s="239" t="n"/>
      <c r="X11272" s="239" t="n"/>
    </row>
    <row r="11273" ht="14.25" customHeight="1" s="192">
      <c r="W11273" s="239" t="n"/>
      <c r="X11273" s="239" t="n"/>
    </row>
    <row r="11274" ht="14.25" customHeight="1" s="192">
      <c r="W11274" s="235" t="n"/>
      <c r="X11274" s="235" t="n"/>
    </row>
    <row r="11275" ht="14.25" customHeight="1" s="192">
      <c r="W11275" s="235" t="n"/>
      <c r="X11275" s="235" t="n"/>
    </row>
    <row r="11276" ht="14.25" customHeight="1" s="192">
      <c r="W11276" s="239" t="n"/>
      <c r="X11276" s="239" t="n"/>
    </row>
    <row r="11277" ht="14.25" customHeight="1" s="192">
      <c r="W11277" s="235" t="n"/>
      <c r="X11277" s="235" t="n"/>
    </row>
    <row r="11278" ht="14.25" customHeight="1" s="192">
      <c r="W11278" s="239" t="n"/>
      <c r="X11278" s="239" t="n"/>
    </row>
    <row r="11280" ht="14.25" customHeight="1" s="192">
      <c r="W11280" s="235" t="n"/>
      <c r="X11280" s="235" t="n"/>
    </row>
    <row r="11281" ht="15" customHeight="1" s="192" thickBot="1">
      <c r="W11281" s="239" t="n"/>
      <c r="X11281" s="239" t="n"/>
    </row>
    <row r="11282" ht="15" customHeight="1" s="192" thickBot="1">
      <c r="W11282" s="45" t="n"/>
      <c r="X11282" s="45" t="n"/>
    </row>
    <row r="11283" ht="14.25" customHeight="1" s="192">
      <c r="W11283" s="228" t="n"/>
      <c r="X11283" s="228" t="n"/>
    </row>
    <row r="11284" ht="14.25" customHeight="1" s="192">
      <c r="W11284" s="228" t="n"/>
      <c r="X11284" s="228" t="n"/>
    </row>
    <row r="11285" ht="14.25" customHeight="1" s="192">
      <c r="W11285" s="231" t="n"/>
      <c r="X11285" s="231" t="n"/>
    </row>
    <row r="11286" ht="14.25" customHeight="1" s="192">
      <c r="W11286" s="33" t="n"/>
      <c r="X11286" s="33" t="n"/>
    </row>
    <row r="11287" ht="14.25" customHeight="1" s="192">
      <c r="W11287" s="231" t="n"/>
      <c r="X11287" s="231" t="n"/>
    </row>
    <row r="11288" ht="14.25" customHeight="1" s="192">
      <c r="W11288" s="33" t="n"/>
      <c r="X11288" s="33" t="n"/>
    </row>
    <row r="11290" ht="14.25" customHeight="1" s="192">
      <c r="W11290" s="231" t="n"/>
      <c r="X11290" s="231" t="n"/>
    </row>
    <row r="11291" ht="14.25" customHeight="1" s="192">
      <c r="W11291" s="235" t="n"/>
      <c r="X11291" s="235" t="n"/>
    </row>
    <row r="11292" ht="14.25" customHeight="1" s="192">
      <c r="W11292" s="228" t="n"/>
      <c r="X11292" s="228" t="n"/>
    </row>
    <row r="11293" ht="14.25" customHeight="1" s="192">
      <c r="W11293" s="235" t="n"/>
      <c r="X11293" s="235" t="n"/>
    </row>
    <row r="11294" ht="14.25" customHeight="1" s="192">
      <c r="W11294" s="235" t="n"/>
      <c r="X11294" s="235" t="n"/>
    </row>
    <row r="11295" ht="14.25" customHeight="1" s="192">
      <c r="W11295" s="235" t="n"/>
      <c r="X11295" s="235" t="n"/>
    </row>
    <row r="11296" ht="14.25" customHeight="1" s="192">
      <c r="W11296" s="239" t="n"/>
      <c r="X11296" s="239" t="n"/>
    </row>
    <row r="11297" ht="14.25" customHeight="1" s="192">
      <c r="W11297" s="239" t="n"/>
      <c r="X11297" s="239" t="n"/>
    </row>
    <row r="11298" ht="14.25" customHeight="1" s="192">
      <c r="W11298" s="239" t="n"/>
      <c r="X11298" s="239" t="n"/>
    </row>
    <row r="11299" ht="14.25" customHeight="1" s="192">
      <c r="W11299" s="235" t="n"/>
      <c r="X11299" s="235" t="n"/>
    </row>
    <row r="11300" ht="14.25" customHeight="1" s="192">
      <c r="W11300" s="235" t="n"/>
      <c r="X11300" s="235" t="n"/>
    </row>
    <row r="11301" ht="14.25" customHeight="1" s="192">
      <c r="W11301" s="235" t="n"/>
      <c r="X11301" s="235" t="n"/>
    </row>
    <row r="11302" ht="14.25" customHeight="1" s="192">
      <c r="W11302" s="239" t="n"/>
      <c r="X11302" s="239" t="n"/>
    </row>
    <row r="11303" ht="14.25" customHeight="1" s="192">
      <c r="W11303" s="239" t="n"/>
      <c r="X11303" s="239" t="n"/>
    </row>
    <row r="11304" ht="14.25" customHeight="1" s="192">
      <c r="W11304" s="235" t="n"/>
      <c r="X11304" s="235" t="n"/>
    </row>
    <row r="11305" ht="14.25" customHeight="1" s="192">
      <c r="W11305" s="235" t="n"/>
      <c r="X11305" s="235" t="n"/>
    </row>
    <row r="11306" ht="14.25" customHeight="1" s="192">
      <c r="W11306" s="239" t="n"/>
      <c r="X11306" s="239" t="n"/>
    </row>
    <row r="11307" ht="14.25" customHeight="1" s="192">
      <c r="W11307" s="235" t="n"/>
      <c r="X11307" s="235" t="n"/>
    </row>
    <row r="11308" ht="14.25" customHeight="1" s="192">
      <c r="W11308" s="239" t="n"/>
      <c r="X11308" s="239" t="n"/>
    </row>
    <row r="11310" ht="14.25" customHeight="1" s="192">
      <c r="W11310" s="235" t="n"/>
      <c r="X11310" s="235" t="n"/>
    </row>
    <row r="11311" ht="15" customHeight="1" s="192" thickBot="1">
      <c r="W11311" s="239" t="n"/>
      <c r="X11311" s="239" t="n"/>
    </row>
    <row r="11312" ht="15" customHeight="1" s="192" thickBot="1">
      <c r="W11312" s="45" t="n"/>
      <c r="X11312" s="45" t="n"/>
    </row>
    <row r="11313" ht="14.25" customHeight="1" s="192">
      <c r="W11313" s="228" t="n"/>
      <c r="X11313" s="228" t="n"/>
    </row>
    <row r="11314" ht="14.25" customHeight="1" s="192">
      <c r="W11314" s="228" t="n"/>
      <c r="X11314" s="228" t="n"/>
    </row>
    <row r="11315" ht="14.25" customHeight="1" s="192">
      <c r="W11315" s="231" t="n"/>
      <c r="X11315" s="231" t="n"/>
    </row>
    <row r="11316" ht="14.25" customHeight="1" s="192">
      <c r="W11316" s="33" t="n"/>
      <c r="X11316" s="33" t="n"/>
    </row>
    <row r="11317" ht="14.25" customHeight="1" s="192">
      <c r="W11317" s="231" t="n"/>
      <c r="X11317" s="231" t="n"/>
    </row>
    <row r="11318" ht="14.25" customHeight="1" s="192">
      <c r="W11318" s="33" t="n"/>
      <c r="X11318" s="33" t="n"/>
    </row>
    <row r="11320" ht="14.25" customHeight="1" s="192">
      <c r="W11320" s="231" t="n"/>
      <c r="X11320" s="231" t="n"/>
    </row>
    <row r="11321" ht="14.25" customHeight="1" s="192">
      <c r="W11321" s="235" t="n"/>
      <c r="X11321" s="235" t="n"/>
    </row>
    <row r="11322" ht="14.25" customHeight="1" s="192">
      <c r="W11322" s="228" t="n"/>
      <c r="X11322" s="228" t="n"/>
    </row>
    <row r="11323" ht="14.25" customHeight="1" s="192">
      <c r="W11323" s="235" t="n"/>
      <c r="X11323" s="235" t="n"/>
    </row>
    <row r="11324" ht="14.25" customHeight="1" s="192">
      <c r="W11324" s="235" t="n"/>
      <c r="X11324" s="235" t="n"/>
    </row>
    <row r="11325" ht="14.25" customHeight="1" s="192">
      <c r="W11325" s="235" t="n"/>
      <c r="X11325" s="235" t="n"/>
    </row>
    <row r="11326" ht="14.25" customHeight="1" s="192">
      <c r="W11326" s="239" t="n"/>
      <c r="X11326" s="239" t="n"/>
    </row>
    <row r="11327" ht="14.25" customHeight="1" s="192">
      <c r="W11327" s="239" t="n"/>
      <c r="X11327" s="239" t="n"/>
    </row>
    <row r="11328" ht="14.25" customHeight="1" s="192">
      <c r="W11328" s="239" t="n"/>
      <c r="X11328" s="239" t="n"/>
    </row>
    <row r="11329" ht="14.25" customHeight="1" s="192">
      <c r="W11329" s="235" t="n"/>
      <c r="X11329" s="235" t="n"/>
    </row>
    <row r="11330" ht="14.25" customHeight="1" s="192">
      <c r="W11330" s="235" t="n"/>
      <c r="X11330" s="235" t="n"/>
    </row>
    <row r="11331" ht="14.25" customHeight="1" s="192">
      <c r="W11331" s="235" t="n"/>
      <c r="X11331" s="235" t="n"/>
    </row>
    <row r="11332" ht="14.25" customHeight="1" s="192">
      <c r="W11332" s="239" t="n"/>
      <c r="X11332" s="239" t="n"/>
    </row>
    <row r="11333" ht="14.25" customHeight="1" s="192">
      <c r="W11333" s="239" t="n"/>
      <c r="X11333" s="239" t="n"/>
    </row>
    <row r="11334" ht="14.25" customHeight="1" s="192">
      <c r="W11334" s="235" t="n"/>
      <c r="X11334" s="235" t="n"/>
    </row>
    <row r="11335" ht="14.25" customHeight="1" s="192">
      <c r="W11335" s="235" t="n"/>
      <c r="X11335" s="235" t="n"/>
    </row>
    <row r="11336" ht="14.25" customHeight="1" s="192">
      <c r="W11336" s="239" t="n"/>
      <c r="X11336" s="239" t="n"/>
    </row>
    <row r="11337" ht="14.25" customHeight="1" s="192">
      <c r="W11337" s="235" t="n"/>
      <c r="X11337" s="235" t="n"/>
    </row>
    <row r="11338" ht="14.25" customHeight="1" s="192">
      <c r="W11338" s="239" t="n"/>
      <c r="X11338" s="239" t="n"/>
    </row>
    <row r="11340" ht="14.25" customHeight="1" s="192">
      <c r="W11340" s="235" t="n"/>
      <c r="X11340" s="235" t="n"/>
    </row>
    <row r="11341" ht="15" customHeight="1" s="192" thickBot="1">
      <c r="W11341" s="239" t="n"/>
      <c r="X11341" s="239" t="n"/>
    </row>
    <row r="11342" ht="15" customHeight="1" s="192" thickBot="1">
      <c r="W11342" s="45" t="n"/>
      <c r="X11342" s="45" t="n"/>
    </row>
    <row r="11343" ht="14.25" customHeight="1" s="192">
      <c r="W11343" s="228" t="n"/>
      <c r="X11343" s="228" t="n"/>
    </row>
    <row r="11344" ht="14.25" customHeight="1" s="192">
      <c r="W11344" s="228" t="n"/>
      <c r="X11344" s="228" t="n"/>
    </row>
    <row r="11345" ht="14.25" customHeight="1" s="192">
      <c r="W11345" s="231" t="n"/>
      <c r="X11345" s="231" t="n"/>
    </row>
    <row r="11346" ht="14.25" customHeight="1" s="192">
      <c r="W11346" s="33" t="n"/>
      <c r="X11346" s="33" t="n"/>
    </row>
    <row r="11347" ht="14.25" customHeight="1" s="192">
      <c r="W11347" s="231" t="n"/>
      <c r="X11347" s="231" t="n"/>
    </row>
    <row r="11348" ht="14.25" customHeight="1" s="192">
      <c r="W11348" s="33" t="n"/>
      <c r="X11348" s="33" t="n"/>
    </row>
    <row r="11350" ht="14.25" customHeight="1" s="192">
      <c r="W11350" s="231" t="n"/>
      <c r="X11350" s="231" t="n"/>
    </row>
    <row r="11351" ht="14.25" customHeight="1" s="192">
      <c r="W11351" s="235" t="n"/>
      <c r="X11351" s="235" t="n"/>
    </row>
    <row r="11352" ht="14.25" customHeight="1" s="192">
      <c r="W11352" s="228" t="n"/>
      <c r="X11352" s="228" t="n"/>
    </row>
    <row r="11353" ht="14.25" customHeight="1" s="192">
      <c r="W11353" s="235" t="n"/>
      <c r="X11353" s="235" t="n"/>
    </row>
    <row r="11354" ht="14.25" customHeight="1" s="192">
      <c r="W11354" s="235" t="n"/>
      <c r="X11354" s="235" t="n"/>
    </row>
    <row r="11355" ht="14.25" customHeight="1" s="192">
      <c r="W11355" s="235" t="n"/>
      <c r="X11355" s="235" t="n"/>
    </row>
    <row r="11356" ht="14.25" customHeight="1" s="192">
      <c r="W11356" s="239" t="n"/>
      <c r="X11356" s="239" t="n"/>
    </row>
    <row r="11357" ht="14.25" customHeight="1" s="192">
      <c r="W11357" s="239" t="n"/>
      <c r="X11357" s="239" t="n"/>
    </row>
    <row r="11358" ht="14.25" customHeight="1" s="192">
      <c r="W11358" s="239" t="n"/>
      <c r="X11358" s="239" t="n"/>
    </row>
    <row r="11359" ht="14.25" customHeight="1" s="192">
      <c r="W11359" s="235" t="n"/>
      <c r="X11359" s="235" t="n"/>
    </row>
    <row r="11360" ht="14.25" customHeight="1" s="192">
      <c r="W11360" s="235" t="n"/>
      <c r="X11360" s="235" t="n"/>
    </row>
    <row r="11361" ht="14.25" customHeight="1" s="192">
      <c r="W11361" s="235" t="n"/>
      <c r="X11361" s="235" t="n"/>
    </row>
    <row r="11362" ht="14.25" customHeight="1" s="192">
      <c r="W11362" s="239" t="n"/>
      <c r="X11362" s="239" t="n"/>
    </row>
    <row r="11363" ht="14.25" customHeight="1" s="192">
      <c r="W11363" s="239" t="n"/>
      <c r="X11363" s="239" t="n"/>
    </row>
    <row r="11364" ht="14.25" customHeight="1" s="192">
      <c r="W11364" s="235" t="n"/>
      <c r="X11364" s="235" t="n"/>
    </row>
    <row r="11365" ht="14.25" customHeight="1" s="192">
      <c r="W11365" s="235" t="n"/>
      <c r="X11365" s="235" t="n"/>
    </row>
    <row r="11366" ht="14.25" customHeight="1" s="192">
      <c r="W11366" s="239" t="n"/>
      <c r="X11366" s="239" t="n"/>
    </row>
    <row r="11367" ht="14.25" customHeight="1" s="192">
      <c r="W11367" s="235" t="n"/>
      <c r="X11367" s="235" t="n"/>
    </row>
    <row r="11368" ht="14.25" customHeight="1" s="192">
      <c r="W11368" s="239" t="n"/>
      <c r="X11368" s="239" t="n"/>
    </row>
    <row r="11370" ht="14.25" customHeight="1" s="192">
      <c r="W11370" s="235" t="n"/>
      <c r="X11370" s="235" t="n"/>
    </row>
    <row r="11371" ht="15" customHeight="1" s="192" thickBot="1">
      <c r="W11371" s="239" t="n"/>
      <c r="X11371" s="239" t="n"/>
    </row>
    <row r="11372" ht="15" customHeight="1" s="192" thickBot="1">
      <c r="W11372" s="45" t="n"/>
      <c r="X11372" s="45" t="n"/>
    </row>
    <row r="11373" ht="14.25" customHeight="1" s="192">
      <c r="W11373" s="228" t="n"/>
      <c r="X11373" s="228" t="n"/>
    </row>
    <row r="11374" ht="14.25" customHeight="1" s="192">
      <c r="W11374" s="228" t="n"/>
      <c r="X11374" s="228" t="n"/>
    </row>
    <row r="11375" ht="14.25" customHeight="1" s="192">
      <c r="W11375" s="231" t="n"/>
      <c r="X11375" s="231" t="n"/>
    </row>
    <row r="11376" ht="14.25" customHeight="1" s="192">
      <c r="W11376" s="33" t="n"/>
      <c r="X11376" s="33" t="n"/>
    </row>
    <row r="11377" ht="14.25" customHeight="1" s="192">
      <c r="W11377" s="231" t="n"/>
      <c r="X11377" s="231" t="n"/>
    </row>
    <row r="11378" ht="14.25" customHeight="1" s="192">
      <c r="W11378" s="33" t="n"/>
      <c r="X11378" s="33" t="n"/>
    </row>
    <row r="11380" ht="14.25" customHeight="1" s="192">
      <c r="W11380" s="231" t="n"/>
      <c r="X11380" s="231" t="n"/>
    </row>
    <row r="11381" ht="14.25" customHeight="1" s="192">
      <c r="W11381" s="235" t="n"/>
      <c r="X11381" s="235" t="n"/>
    </row>
    <row r="11382" ht="14.25" customHeight="1" s="192">
      <c r="W11382" s="228" t="n"/>
      <c r="X11382" s="228" t="n"/>
    </row>
    <row r="11383" ht="14.25" customHeight="1" s="192">
      <c r="W11383" s="235" t="n"/>
      <c r="X11383" s="235" t="n"/>
    </row>
    <row r="11384" ht="14.25" customHeight="1" s="192">
      <c r="W11384" s="235" t="n"/>
      <c r="X11384" s="235" t="n"/>
    </row>
    <row r="11385" ht="14.25" customHeight="1" s="192">
      <c r="W11385" s="235" t="n"/>
      <c r="X11385" s="235" t="n"/>
    </row>
    <row r="11386" ht="14.25" customHeight="1" s="192">
      <c r="W11386" s="239" t="n"/>
      <c r="X11386" s="239" t="n"/>
    </row>
    <row r="11387" ht="14.25" customHeight="1" s="192">
      <c r="W11387" s="239" t="n"/>
      <c r="X11387" s="239" t="n"/>
    </row>
    <row r="11388" ht="14.25" customHeight="1" s="192">
      <c r="W11388" s="239" t="n"/>
      <c r="X11388" s="239" t="n"/>
    </row>
    <row r="11389" ht="14.25" customHeight="1" s="192">
      <c r="W11389" s="235" t="n"/>
      <c r="X11389" s="235" t="n"/>
    </row>
    <row r="11390" ht="14.25" customHeight="1" s="192">
      <c r="W11390" s="235" t="n"/>
      <c r="X11390" s="235" t="n"/>
    </row>
    <row r="11391" ht="14.25" customHeight="1" s="192">
      <c r="W11391" s="235" t="n"/>
      <c r="X11391" s="235" t="n"/>
    </row>
    <row r="11392" ht="14.25" customHeight="1" s="192">
      <c r="W11392" s="239" t="n"/>
      <c r="X11392" s="239" t="n"/>
    </row>
    <row r="11393" ht="14.25" customHeight="1" s="192">
      <c r="W11393" s="239" t="n"/>
      <c r="X11393" s="239" t="n"/>
    </row>
    <row r="11394" ht="14.25" customHeight="1" s="192">
      <c r="W11394" s="235" t="n"/>
      <c r="X11394" s="235" t="n"/>
    </row>
    <row r="11395" ht="14.25" customHeight="1" s="192">
      <c r="W11395" s="235" t="n"/>
      <c r="X11395" s="235" t="n"/>
    </row>
    <row r="11396" ht="14.25" customHeight="1" s="192">
      <c r="W11396" s="239" t="n"/>
      <c r="X11396" s="239" t="n"/>
    </row>
    <row r="11397" ht="14.25" customHeight="1" s="192">
      <c r="W11397" s="235" t="n"/>
      <c r="X11397" s="235" t="n"/>
    </row>
    <row r="11398" ht="14.25" customHeight="1" s="192">
      <c r="W11398" s="239" t="n"/>
      <c r="X11398" s="239" t="n"/>
    </row>
    <row r="11400" ht="14.25" customHeight="1" s="192">
      <c r="W11400" s="235" t="n"/>
      <c r="X11400" s="235" t="n"/>
    </row>
    <row r="11401" ht="15" customHeight="1" s="192" thickBot="1">
      <c r="W11401" s="239" t="n"/>
      <c r="X11401" s="239" t="n"/>
    </row>
    <row r="11402" ht="15" customHeight="1" s="192" thickBot="1">
      <c r="W11402" s="45" t="n"/>
      <c r="X11402" s="45" t="n"/>
    </row>
    <row r="11403" ht="14.25" customHeight="1" s="192">
      <c r="W11403" s="228" t="n"/>
      <c r="X11403" s="228" t="n"/>
    </row>
    <row r="11404" ht="14.25" customHeight="1" s="192">
      <c r="W11404" s="228" t="n"/>
      <c r="X11404" s="228" t="n"/>
    </row>
    <row r="11405" ht="14.25" customHeight="1" s="192">
      <c r="W11405" s="231" t="n"/>
      <c r="X11405" s="231" t="n"/>
    </row>
    <row r="11406" ht="14.25" customHeight="1" s="192">
      <c r="W11406" s="33" t="n"/>
      <c r="X11406" s="33" t="n"/>
    </row>
    <row r="11407" ht="14.25" customHeight="1" s="192">
      <c r="W11407" s="231" t="n"/>
      <c r="X11407" s="231" t="n"/>
    </row>
    <row r="11408" ht="14.25" customHeight="1" s="192">
      <c r="W11408" s="33" t="n"/>
      <c r="X11408" s="33" t="n"/>
    </row>
    <row r="11410" ht="14.25" customHeight="1" s="192">
      <c r="W11410" s="231" t="n"/>
      <c r="X11410" s="231" t="n"/>
    </row>
    <row r="11411" ht="14.25" customHeight="1" s="192">
      <c r="W11411" s="235" t="n"/>
      <c r="X11411" s="235" t="n"/>
    </row>
    <row r="11412" ht="14.25" customHeight="1" s="192">
      <c r="W11412" s="228" t="n"/>
      <c r="X11412" s="228" t="n"/>
    </row>
    <row r="11413" ht="14.25" customHeight="1" s="192">
      <c r="W11413" s="235" t="n"/>
      <c r="X11413" s="235" t="n"/>
    </row>
    <row r="11414" ht="14.25" customHeight="1" s="192">
      <c r="W11414" s="235" t="n"/>
      <c r="X11414" s="235" t="n"/>
    </row>
    <row r="11415" ht="14.25" customHeight="1" s="192">
      <c r="W11415" s="235" t="n"/>
      <c r="X11415" s="235" t="n"/>
    </row>
    <row r="11416" ht="14.25" customHeight="1" s="192">
      <c r="W11416" s="239" t="n"/>
      <c r="X11416" s="239" t="n"/>
    </row>
    <row r="11417" ht="14.25" customHeight="1" s="192">
      <c r="W11417" s="239" t="n"/>
      <c r="X11417" s="239" t="n"/>
    </row>
    <row r="11418" ht="14.25" customHeight="1" s="192">
      <c r="W11418" s="239" t="n"/>
      <c r="X11418" s="239" t="n"/>
    </row>
    <row r="11419" ht="14.25" customHeight="1" s="192">
      <c r="W11419" s="235" t="n"/>
      <c r="X11419" s="235" t="n"/>
    </row>
    <row r="11420" ht="14.25" customHeight="1" s="192">
      <c r="W11420" s="235" t="n"/>
      <c r="X11420" s="235" t="n"/>
    </row>
    <row r="11421" ht="14.25" customHeight="1" s="192">
      <c r="W11421" s="235" t="n"/>
      <c r="X11421" s="235" t="n"/>
    </row>
    <row r="11422" ht="14.25" customHeight="1" s="192">
      <c r="W11422" s="239" t="n"/>
      <c r="X11422" s="239" t="n"/>
    </row>
    <row r="11423" ht="14.25" customHeight="1" s="192">
      <c r="W11423" s="239" t="n"/>
      <c r="X11423" s="239" t="n"/>
    </row>
    <row r="11424" ht="14.25" customHeight="1" s="192">
      <c r="W11424" s="235" t="n"/>
      <c r="X11424" s="235" t="n"/>
    </row>
    <row r="11425" ht="14.25" customHeight="1" s="192">
      <c r="W11425" s="235" t="n"/>
      <c r="X11425" s="235" t="n"/>
    </row>
    <row r="11426" ht="14.25" customHeight="1" s="192">
      <c r="W11426" s="239" t="n"/>
      <c r="X11426" s="239" t="n"/>
    </row>
    <row r="11427" ht="14.25" customHeight="1" s="192">
      <c r="W11427" s="235" t="n"/>
      <c r="X11427" s="235" t="n"/>
    </row>
    <row r="11428" ht="14.25" customHeight="1" s="192">
      <c r="W11428" s="239" t="n"/>
      <c r="X11428" s="239" t="n"/>
    </row>
    <row r="11430" ht="14.25" customHeight="1" s="192">
      <c r="W11430" s="235" t="n"/>
      <c r="X11430" s="235" t="n"/>
    </row>
    <row r="11431" ht="15" customHeight="1" s="192" thickBot="1">
      <c r="W11431" s="239" t="n"/>
      <c r="X11431" s="239" t="n"/>
    </row>
    <row r="11432" ht="15" customHeight="1" s="192" thickBot="1">
      <c r="W11432" s="45" t="n"/>
      <c r="X11432" s="45" t="n"/>
    </row>
    <row r="11433" ht="14.25" customHeight="1" s="192">
      <c r="W11433" s="228" t="n"/>
      <c r="X11433" s="228" t="n"/>
    </row>
    <row r="11434" ht="14.25" customHeight="1" s="192">
      <c r="W11434" s="228" t="n"/>
      <c r="X11434" s="228" t="n"/>
    </row>
    <row r="11435" ht="14.25" customHeight="1" s="192">
      <c r="W11435" s="231" t="n"/>
      <c r="X11435" s="231" t="n"/>
    </row>
    <row r="11436" ht="14.25" customHeight="1" s="192">
      <c r="W11436" s="33" t="n"/>
      <c r="X11436" s="33" t="n"/>
    </row>
    <row r="11437" ht="14.25" customHeight="1" s="192">
      <c r="W11437" s="231" t="n"/>
      <c r="X11437" s="231" t="n"/>
    </row>
    <row r="11438" ht="14.25" customHeight="1" s="192">
      <c r="W11438" s="33" t="n"/>
      <c r="X11438" s="33" t="n"/>
    </row>
    <row r="11440" ht="14.25" customHeight="1" s="192">
      <c r="W11440" s="231" t="n"/>
      <c r="X11440" s="231" t="n"/>
    </row>
    <row r="11441" ht="14.25" customHeight="1" s="192">
      <c r="W11441" s="235" t="n"/>
      <c r="X11441" s="235" t="n"/>
    </row>
    <row r="11442" ht="14.25" customHeight="1" s="192">
      <c r="W11442" s="228" t="n"/>
      <c r="X11442" s="228" t="n"/>
    </row>
    <row r="11443" ht="14.25" customHeight="1" s="192">
      <c r="W11443" s="235" t="n"/>
      <c r="X11443" s="235" t="n"/>
    </row>
    <row r="11444" ht="14.25" customHeight="1" s="192">
      <c r="W11444" s="235" t="n"/>
      <c r="X11444" s="235" t="n"/>
    </row>
    <row r="11445" ht="14.25" customHeight="1" s="192">
      <c r="W11445" s="235" t="n"/>
      <c r="X11445" s="235" t="n"/>
    </row>
    <row r="11446" ht="14.25" customHeight="1" s="192">
      <c r="W11446" s="239" t="n"/>
      <c r="X11446" s="239" t="n"/>
    </row>
    <row r="11447" ht="14.25" customHeight="1" s="192">
      <c r="W11447" s="239" t="n"/>
      <c r="X11447" s="239" t="n"/>
    </row>
    <row r="11448" ht="14.25" customHeight="1" s="192">
      <c r="W11448" s="239" t="n"/>
      <c r="X11448" s="239" t="n"/>
    </row>
    <row r="11449" ht="14.25" customHeight="1" s="192">
      <c r="W11449" s="235" t="n"/>
      <c r="X11449" s="235" t="n"/>
    </row>
    <row r="11450" ht="14.25" customHeight="1" s="192">
      <c r="W11450" s="235" t="n"/>
      <c r="X11450" s="235" t="n"/>
    </row>
    <row r="11451" ht="14.25" customHeight="1" s="192">
      <c r="W11451" s="235" t="n"/>
      <c r="X11451" s="235" t="n"/>
    </row>
    <row r="11452" ht="14.25" customHeight="1" s="192">
      <c r="W11452" s="239" t="n"/>
      <c r="X11452" s="239" t="n"/>
    </row>
    <row r="11453" ht="14.25" customHeight="1" s="192">
      <c r="W11453" s="239" t="n"/>
      <c r="X11453" s="239" t="n"/>
    </row>
    <row r="11454" ht="14.25" customHeight="1" s="192">
      <c r="W11454" s="235" t="n"/>
      <c r="X11454" s="235" t="n"/>
    </row>
    <row r="11455" ht="14.25" customHeight="1" s="192">
      <c r="W11455" s="235" t="n"/>
      <c r="X11455" s="235" t="n"/>
    </row>
    <row r="11456" ht="14.25" customHeight="1" s="192">
      <c r="W11456" s="239" t="n"/>
      <c r="X11456" s="239" t="n"/>
    </row>
    <row r="11457" ht="14.25" customHeight="1" s="192">
      <c r="W11457" s="235" t="n"/>
      <c r="X11457" s="235" t="n"/>
    </row>
    <row r="11458" ht="14.25" customHeight="1" s="192">
      <c r="W11458" s="239" t="n"/>
      <c r="X11458" s="239" t="n"/>
    </row>
    <row r="11460" ht="14.25" customHeight="1" s="192">
      <c r="W11460" s="235" t="n"/>
      <c r="X11460" s="235" t="n"/>
    </row>
    <row r="11461" ht="15" customHeight="1" s="192" thickBot="1">
      <c r="W11461" s="239" t="n"/>
      <c r="X11461" s="239" t="n"/>
    </row>
    <row r="11462" ht="15" customHeight="1" s="192" thickBot="1">
      <c r="W11462" s="45" t="n"/>
      <c r="X11462" s="45" t="n"/>
    </row>
    <row r="11463" ht="14.25" customHeight="1" s="192">
      <c r="W11463" s="228" t="n"/>
      <c r="X11463" s="228" t="n"/>
    </row>
    <row r="11464" ht="14.25" customHeight="1" s="192">
      <c r="W11464" s="228" t="n"/>
      <c r="X11464" s="228" t="n"/>
    </row>
    <row r="11465" ht="14.25" customHeight="1" s="192">
      <c r="W11465" s="231" t="n"/>
      <c r="X11465" s="231" t="n"/>
    </row>
    <row r="11466" ht="14.25" customHeight="1" s="192">
      <c r="W11466" s="33" t="n"/>
      <c r="X11466" s="33" t="n"/>
    </row>
    <row r="11467" ht="14.25" customHeight="1" s="192">
      <c r="W11467" s="231" t="n"/>
      <c r="X11467" s="231" t="n"/>
    </row>
    <row r="11468" ht="14.25" customHeight="1" s="192">
      <c r="W11468" s="33" t="n"/>
      <c r="X11468" s="33" t="n"/>
    </row>
    <row r="11470" ht="14.25" customHeight="1" s="192">
      <c r="W11470" s="231" t="n"/>
      <c r="X11470" s="231" t="n"/>
    </row>
    <row r="11471" ht="14.25" customHeight="1" s="192">
      <c r="W11471" s="235" t="n"/>
      <c r="X11471" s="235" t="n"/>
    </row>
    <row r="11472" ht="14.25" customHeight="1" s="192">
      <c r="W11472" s="228" t="n"/>
      <c r="X11472" s="228" t="n"/>
    </row>
    <row r="11473" ht="14.25" customHeight="1" s="192">
      <c r="W11473" s="235" t="n"/>
      <c r="X11473" s="235" t="n"/>
    </row>
    <row r="11474" ht="14.25" customHeight="1" s="192">
      <c r="W11474" s="235" t="n"/>
      <c r="X11474" s="235" t="n"/>
    </row>
    <row r="11475" ht="14.25" customHeight="1" s="192">
      <c r="W11475" s="235" t="n"/>
      <c r="X11475" s="235" t="n"/>
    </row>
    <row r="11476" ht="14.25" customHeight="1" s="192">
      <c r="W11476" s="239" t="n"/>
      <c r="X11476" s="239" t="n"/>
    </row>
    <row r="11477" ht="14.25" customHeight="1" s="192">
      <c r="W11477" s="239" t="n"/>
      <c r="X11477" s="239" t="n"/>
    </row>
    <row r="11478" ht="14.25" customHeight="1" s="192">
      <c r="W11478" s="239" t="n"/>
      <c r="X11478" s="239" t="n"/>
    </row>
    <row r="11479" ht="14.25" customHeight="1" s="192">
      <c r="W11479" s="235" t="n"/>
      <c r="X11479" s="235" t="n"/>
    </row>
    <row r="11480" ht="14.25" customHeight="1" s="192">
      <c r="W11480" s="235" t="n"/>
      <c r="X11480" s="235" t="n"/>
    </row>
    <row r="11481" ht="14.25" customHeight="1" s="192">
      <c r="W11481" s="235" t="n"/>
      <c r="X11481" s="235" t="n"/>
    </row>
    <row r="11482" ht="14.25" customHeight="1" s="192">
      <c r="W11482" s="239" t="n"/>
      <c r="X11482" s="239" t="n"/>
    </row>
    <row r="11483" ht="14.25" customHeight="1" s="192">
      <c r="W11483" s="239" t="n"/>
      <c r="X11483" s="239" t="n"/>
    </row>
    <row r="11484" ht="14.25" customHeight="1" s="192">
      <c r="W11484" s="235" t="n"/>
      <c r="X11484" s="235" t="n"/>
    </row>
    <row r="11485" ht="14.25" customHeight="1" s="192">
      <c r="W11485" s="235" t="n"/>
      <c r="X11485" s="235" t="n"/>
    </row>
    <row r="11486" ht="14.25" customHeight="1" s="192">
      <c r="W11486" s="239" t="n"/>
      <c r="X11486" s="239" t="n"/>
    </row>
    <row r="11487" ht="14.25" customHeight="1" s="192">
      <c r="W11487" s="235" t="n"/>
      <c r="X11487" s="235" t="n"/>
    </row>
    <row r="11488" ht="14.25" customHeight="1" s="192">
      <c r="W11488" s="239" t="n"/>
      <c r="X11488" s="239" t="n"/>
    </row>
    <row r="11490" ht="14.25" customHeight="1" s="192">
      <c r="W11490" s="235" t="n"/>
      <c r="X11490" s="235" t="n"/>
    </row>
    <row r="11491" ht="15" customHeight="1" s="192" thickBot="1">
      <c r="W11491" s="239" t="n"/>
      <c r="X11491" s="239" t="n"/>
    </row>
    <row r="11492" ht="15" customHeight="1" s="192" thickBot="1">
      <c r="W11492" s="45" t="n"/>
      <c r="X11492" s="45" t="n"/>
    </row>
    <row r="11493" ht="14.25" customHeight="1" s="192">
      <c r="W11493" s="228" t="n"/>
      <c r="X11493" s="228" t="n"/>
    </row>
    <row r="11494" ht="14.25" customHeight="1" s="192">
      <c r="W11494" s="228" t="n"/>
      <c r="X11494" s="228" t="n"/>
    </row>
    <row r="11495" ht="14.25" customHeight="1" s="192">
      <c r="W11495" s="231" t="n"/>
      <c r="X11495" s="231" t="n"/>
    </row>
    <row r="11496" ht="14.25" customHeight="1" s="192">
      <c r="W11496" s="33" t="n"/>
      <c r="X11496" s="33" t="n"/>
    </row>
    <row r="11497" ht="14.25" customHeight="1" s="192">
      <c r="W11497" s="231" t="n"/>
      <c r="X11497" s="231" t="n"/>
    </row>
    <row r="11498" ht="14.25" customHeight="1" s="192">
      <c r="W11498" s="33" t="n"/>
      <c r="X11498" s="33" t="n"/>
    </row>
    <row r="11500" ht="14.25" customHeight="1" s="192">
      <c r="W11500" s="231" t="n"/>
      <c r="X11500" s="231" t="n"/>
    </row>
    <row r="11501" ht="14.25" customHeight="1" s="192">
      <c r="W11501" s="235" t="n"/>
      <c r="X11501" s="235" t="n"/>
    </row>
    <row r="11502" ht="14.25" customHeight="1" s="192">
      <c r="W11502" s="228" t="n"/>
      <c r="X11502" s="228" t="n"/>
    </row>
    <row r="11503" ht="14.25" customHeight="1" s="192">
      <c r="W11503" s="235" t="n"/>
      <c r="X11503" s="235" t="n"/>
    </row>
    <row r="11504" ht="14.25" customHeight="1" s="192">
      <c r="W11504" s="235" t="n"/>
      <c r="X11504" s="235" t="n"/>
    </row>
    <row r="11505" ht="14.25" customHeight="1" s="192">
      <c r="W11505" s="235" t="n"/>
      <c r="X11505" s="235" t="n"/>
    </row>
    <row r="11506" ht="14.25" customHeight="1" s="192">
      <c r="W11506" s="239" t="n"/>
      <c r="X11506" s="239" t="n"/>
    </row>
    <row r="11507" ht="14.25" customHeight="1" s="192">
      <c r="W11507" s="239" t="n"/>
      <c r="X11507" s="239" t="n"/>
    </row>
    <row r="11508" ht="14.25" customHeight="1" s="192">
      <c r="W11508" s="239" t="n"/>
      <c r="X11508" s="239" t="n"/>
    </row>
    <row r="11509" ht="14.25" customHeight="1" s="192">
      <c r="W11509" s="235" t="n"/>
      <c r="X11509" s="235" t="n"/>
    </row>
    <row r="11510" ht="14.25" customHeight="1" s="192">
      <c r="W11510" s="235" t="n"/>
      <c r="X11510" s="235" t="n"/>
    </row>
    <row r="11511" ht="14.25" customHeight="1" s="192">
      <c r="W11511" s="235" t="n"/>
      <c r="X11511" s="235" t="n"/>
    </row>
    <row r="11512" ht="14.25" customHeight="1" s="192">
      <c r="W11512" s="239" t="n"/>
      <c r="X11512" s="239" t="n"/>
    </row>
    <row r="11513" ht="14.25" customHeight="1" s="192">
      <c r="W11513" s="239" t="n"/>
      <c r="X11513" s="239" t="n"/>
    </row>
    <row r="11514" ht="14.25" customHeight="1" s="192">
      <c r="W11514" s="235" t="n"/>
      <c r="X11514" s="235" t="n"/>
    </row>
    <row r="11515" ht="14.25" customHeight="1" s="192">
      <c r="W11515" s="235" t="n"/>
      <c r="X11515" s="235" t="n"/>
    </row>
    <row r="11516" ht="14.25" customHeight="1" s="192">
      <c r="W11516" s="239" t="n"/>
      <c r="X11516" s="239" t="n"/>
    </row>
    <row r="11517" ht="14.25" customHeight="1" s="192">
      <c r="W11517" s="235" t="n"/>
      <c r="X11517" s="235" t="n"/>
    </row>
    <row r="11518" ht="14.25" customHeight="1" s="192">
      <c r="W11518" s="239" t="n"/>
      <c r="X11518" s="239" t="n"/>
    </row>
    <row r="11520" ht="14.25" customHeight="1" s="192">
      <c r="W11520" s="235" t="n"/>
      <c r="X11520" s="235" t="n"/>
    </row>
    <row r="11521" ht="15" customHeight="1" s="192" thickBot="1">
      <c r="W11521" s="239" t="n"/>
      <c r="X11521" s="239" t="n"/>
    </row>
    <row r="11522" ht="15" customHeight="1" s="192" thickBot="1">
      <c r="W11522" s="45" t="n"/>
      <c r="X11522" s="45" t="n"/>
    </row>
    <row r="11523" ht="14.25" customHeight="1" s="192">
      <c r="W11523" s="228" t="n"/>
      <c r="X11523" s="228" t="n"/>
    </row>
    <row r="11524" ht="14.25" customHeight="1" s="192">
      <c r="W11524" s="228" t="n"/>
      <c r="X11524" s="228" t="n"/>
    </row>
    <row r="11525" ht="14.25" customHeight="1" s="192">
      <c r="W11525" s="231" t="n"/>
      <c r="X11525" s="231" t="n"/>
    </row>
    <row r="11526" ht="14.25" customHeight="1" s="192">
      <c r="W11526" s="33" t="n"/>
      <c r="X11526" s="33" t="n"/>
    </row>
    <row r="11527" ht="14.25" customHeight="1" s="192">
      <c r="W11527" s="231" t="n"/>
      <c r="X11527" s="231" t="n"/>
    </row>
    <row r="11528" ht="14.25" customHeight="1" s="192">
      <c r="W11528" s="33" t="n"/>
      <c r="X11528" s="33" t="n"/>
    </row>
    <row r="11530" ht="14.25" customHeight="1" s="192">
      <c r="W11530" s="231" t="n"/>
      <c r="X11530" s="231" t="n"/>
    </row>
    <row r="11531" ht="14.25" customHeight="1" s="192">
      <c r="W11531" s="235" t="n"/>
      <c r="X11531" s="235" t="n"/>
    </row>
    <row r="11532" ht="14.25" customHeight="1" s="192">
      <c r="W11532" s="228" t="n"/>
      <c r="X11532" s="228" t="n"/>
    </row>
    <row r="11533" ht="14.25" customHeight="1" s="192">
      <c r="W11533" s="235" t="n"/>
      <c r="X11533" s="235" t="n"/>
    </row>
    <row r="11534" ht="14.25" customHeight="1" s="192">
      <c r="W11534" s="235" t="n"/>
      <c r="X11534" s="235" t="n"/>
    </row>
    <row r="11535" ht="14.25" customHeight="1" s="192">
      <c r="W11535" s="235" t="n"/>
      <c r="X11535" s="235" t="n"/>
    </row>
    <row r="11536" ht="14.25" customHeight="1" s="192">
      <c r="W11536" s="239" t="n"/>
      <c r="X11536" s="239" t="n"/>
    </row>
    <row r="11537" ht="14.25" customHeight="1" s="192">
      <c r="W11537" s="239" t="n"/>
      <c r="X11537" s="239" t="n"/>
    </row>
    <row r="11538" ht="14.25" customHeight="1" s="192">
      <c r="W11538" s="239" t="n"/>
      <c r="X11538" s="239" t="n"/>
    </row>
    <row r="11539" ht="14.25" customHeight="1" s="192">
      <c r="W11539" s="235" t="n"/>
      <c r="X11539" s="235" t="n"/>
    </row>
    <row r="11540" ht="14.25" customHeight="1" s="192">
      <c r="W11540" s="235" t="n"/>
      <c r="X11540" s="235" t="n"/>
    </row>
    <row r="11541" ht="14.25" customHeight="1" s="192">
      <c r="W11541" s="235" t="n"/>
      <c r="X11541" s="235" t="n"/>
    </row>
    <row r="11542" ht="14.25" customHeight="1" s="192">
      <c r="W11542" s="239" t="n"/>
      <c r="X11542" s="239" t="n"/>
    </row>
    <row r="11543" ht="14.25" customHeight="1" s="192">
      <c r="W11543" s="239" t="n"/>
      <c r="X11543" s="239" t="n"/>
    </row>
    <row r="11544" ht="14.25" customHeight="1" s="192">
      <c r="W11544" s="235" t="n"/>
      <c r="X11544" s="235" t="n"/>
    </row>
    <row r="11545" ht="14.25" customHeight="1" s="192">
      <c r="W11545" s="235" t="n"/>
      <c r="X11545" s="235" t="n"/>
    </row>
    <row r="11546" ht="14.25" customHeight="1" s="192">
      <c r="W11546" s="239" t="n"/>
      <c r="X11546" s="239" t="n"/>
    </row>
    <row r="11547" ht="14.25" customHeight="1" s="192">
      <c r="W11547" s="235" t="n"/>
      <c r="X11547" s="235" t="n"/>
    </row>
    <row r="11548" ht="14.25" customHeight="1" s="192">
      <c r="W11548" s="239" t="n"/>
      <c r="X11548" s="239" t="n"/>
    </row>
    <row r="11550" ht="14.25" customHeight="1" s="192">
      <c r="W11550" s="235" t="n"/>
      <c r="X11550" s="235" t="n"/>
    </row>
    <row r="11551" ht="15" customHeight="1" s="192" thickBot="1">
      <c r="W11551" s="239" t="n"/>
      <c r="X11551" s="239" t="n"/>
    </row>
    <row r="11552" ht="15" customHeight="1" s="192" thickBot="1">
      <c r="W11552" s="45" t="n"/>
      <c r="X11552" s="45" t="n"/>
    </row>
    <row r="11553" ht="14.25" customHeight="1" s="192">
      <c r="W11553" s="228" t="n"/>
      <c r="X11553" s="228" t="n"/>
    </row>
    <row r="11554" ht="14.25" customHeight="1" s="192">
      <c r="W11554" s="228" t="n"/>
      <c r="X11554" s="228" t="n"/>
    </row>
    <row r="11555" ht="14.25" customHeight="1" s="192">
      <c r="W11555" s="231" t="n"/>
      <c r="X11555" s="231" t="n"/>
    </row>
    <row r="11556" ht="14.25" customHeight="1" s="192">
      <c r="W11556" s="33" t="n"/>
      <c r="X11556" s="33" t="n"/>
    </row>
    <row r="11557" ht="14.25" customHeight="1" s="192">
      <c r="W11557" s="231" t="n"/>
      <c r="X11557" s="231" t="n"/>
    </row>
    <row r="11558" ht="14.25" customHeight="1" s="192">
      <c r="W11558" s="33" t="n"/>
      <c r="X11558" s="33" t="n"/>
    </row>
    <row r="11560" ht="14.25" customHeight="1" s="192">
      <c r="W11560" s="231" t="n"/>
      <c r="X11560" s="231" t="n"/>
    </row>
    <row r="11561" ht="14.25" customHeight="1" s="192">
      <c r="W11561" s="235" t="n"/>
      <c r="X11561" s="235" t="n"/>
    </row>
    <row r="11562" ht="14.25" customHeight="1" s="192">
      <c r="W11562" s="228" t="n"/>
      <c r="X11562" s="228" t="n"/>
    </row>
    <row r="11563" ht="14.25" customHeight="1" s="192">
      <c r="W11563" s="235" t="n"/>
      <c r="X11563" s="235" t="n"/>
    </row>
    <row r="11564" ht="14.25" customHeight="1" s="192">
      <c r="W11564" s="235" t="n"/>
      <c r="X11564" s="235" t="n"/>
    </row>
    <row r="11565" ht="14.25" customHeight="1" s="192">
      <c r="W11565" s="235" t="n"/>
      <c r="X11565" s="235" t="n"/>
    </row>
    <row r="11566" ht="14.25" customHeight="1" s="192">
      <c r="W11566" s="239" t="n"/>
      <c r="X11566" s="239" t="n"/>
    </row>
    <row r="11567" ht="14.25" customHeight="1" s="192">
      <c r="W11567" s="239" t="n"/>
      <c r="X11567" s="239" t="n"/>
    </row>
    <row r="11568" ht="14.25" customHeight="1" s="192">
      <c r="W11568" s="239" t="n"/>
      <c r="X11568" s="239" t="n"/>
    </row>
    <row r="11569" ht="14.25" customHeight="1" s="192">
      <c r="W11569" s="235" t="n"/>
      <c r="X11569" s="235" t="n"/>
    </row>
    <row r="11570" ht="14.25" customHeight="1" s="192">
      <c r="W11570" s="235" t="n"/>
      <c r="X11570" s="235" t="n"/>
    </row>
    <row r="11571" ht="14.25" customHeight="1" s="192">
      <c r="W11571" s="235" t="n"/>
      <c r="X11571" s="235" t="n"/>
    </row>
    <row r="11572" ht="14.25" customHeight="1" s="192">
      <c r="W11572" s="239" t="n"/>
      <c r="X11572" s="239" t="n"/>
    </row>
    <row r="11573" ht="14.25" customHeight="1" s="192">
      <c r="W11573" s="239" t="n"/>
      <c r="X11573" s="239" t="n"/>
    </row>
    <row r="11574" ht="14.25" customHeight="1" s="192">
      <c r="W11574" s="235" t="n"/>
      <c r="X11574" s="235" t="n"/>
    </row>
    <row r="11575" ht="14.25" customHeight="1" s="192">
      <c r="W11575" s="235" t="n"/>
      <c r="X11575" s="235" t="n"/>
    </row>
    <row r="11576" ht="14.25" customHeight="1" s="192">
      <c r="W11576" s="239" t="n"/>
      <c r="X11576" s="239" t="n"/>
    </row>
    <row r="11577" ht="14.25" customHeight="1" s="192">
      <c r="W11577" s="235" t="n"/>
      <c r="X11577" s="235" t="n"/>
    </row>
    <row r="11578" ht="14.25" customHeight="1" s="192">
      <c r="W11578" s="239" t="n"/>
      <c r="X11578" s="239" t="n"/>
    </row>
    <row r="11580" ht="14.25" customHeight="1" s="192">
      <c r="W11580" s="235" t="n"/>
      <c r="X11580" s="235" t="n"/>
    </row>
    <row r="11581" ht="15" customHeight="1" s="192" thickBot="1">
      <c r="W11581" s="239" t="n"/>
      <c r="X11581" s="239" t="n"/>
    </row>
    <row r="11582" ht="15" customHeight="1" s="192" thickBot="1">
      <c r="W11582" s="45" t="n"/>
      <c r="X11582" s="45" t="n"/>
    </row>
    <row r="11583" ht="14.25" customHeight="1" s="192">
      <c r="W11583" s="228" t="n"/>
      <c r="X11583" s="228" t="n"/>
    </row>
    <row r="11584" ht="14.25" customHeight="1" s="192">
      <c r="W11584" s="228" t="n"/>
      <c r="X11584" s="228" t="n"/>
    </row>
    <row r="11585" ht="14.25" customHeight="1" s="192">
      <c r="W11585" s="231" t="n"/>
      <c r="X11585" s="231" t="n"/>
    </row>
    <row r="11586" ht="14.25" customHeight="1" s="192">
      <c r="W11586" s="33" t="n"/>
      <c r="X11586" s="33" t="n"/>
    </row>
    <row r="11587" ht="14.25" customHeight="1" s="192">
      <c r="W11587" s="231" t="n"/>
      <c r="X11587" s="231" t="n"/>
    </row>
    <row r="11588" ht="14.25" customHeight="1" s="192">
      <c r="W11588" s="33" t="n"/>
      <c r="X11588" s="33" t="n"/>
    </row>
    <row r="11590" ht="14.25" customHeight="1" s="192">
      <c r="W11590" s="231" t="n"/>
      <c r="X11590" s="231" t="n"/>
    </row>
    <row r="11591" ht="14.25" customHeight="1" s="192">
      <c r="W11591" s="235" t="n"/>
      <c r="X11591" s="235" t="n"/>
    </row>
    <row r="11592" ht="14.25" customHeight="1" s="192">
      <c r="W11592" s="228" t="n"/>
      <c r="X11592" s="228" t="n"/>
    </row>
    <row r="11593" ht="14.25" customHeight="1" s="192">
      <c r="W11593" s="235" t="n"/>
      <c r="X11593" s="235" t="n"/>
    </row>
    <row r="11594" ht="14.25" customHeight="1" s="192">
      <c r="W11594" s="235" t="n"/>
      <c r="X11594" s="235" t="n"/>
    </row>
    <row r="11595" ht="14.25" customHeight="1" s="192">
      <c r="W11595" s="235" t="n"/>
      <c r="X11595" s="235" t="n"/>
    </row>
    <row r="11596" ht="14.25" customHeight="1" s="192">
      <c r="W11596" s="239" t="n"/>
      <c r="X11596" s="239" t="n"/>
    </row>
    <row r="11597" ht="14.25" customHeight="1" s="192">
      <c r="W11597" s="239" t="n"/>
      <c r="X11597" s="239" t="n"/>
    </row>
    <row r="11598" ht="14.25" customHeight="1" s="192">
      <c r="W11598" s="239" t="n"/>
      <c r="X11598" s="239" t="n"/>
    </row>
    <row r="11599" ht="14.25" customHeight="1" s="192">
      <c r="W11599" s="235" t="n"/>
      <c r="X11599" s="235" t="n"/>
    </row>
    <row r="11600" ht="14.25" customHeight="1" s="192">
      <c r="W11600" s="235" t="n"/>
      <c r="X11600" s="235" t="n"/>
    </row>
    <row r="11601" ht="14.25" customHeight="1" s="192">
      <c r="W11601" s="235" t="n"/>
      <c r="X11601" s="235" t="n"/>
    </row>
    <row r="11602" ht="14.25" customHeight="1" s="192">
      <c r="W11602" s="239" t="n"/>
      <c r="X11602" s="239" t="n"/>
    </row>
    <row r="11603" ht="14.25" customHeight="1" s="192">
      <c r="W11603" s="239" t="n"/>
      <c r="X11603" s="239" t="n"/>
    </row>
    <row r="11604" ht="14.25" customHeight="1" s="192">
      <c r="W11604" s="235" t="n"/>
      <c r="X11604" s="235" t="n"/>
    </row>
    <row r="11605" ht="14.25" customHeight="1" s="192">
      <c r="W11605" s="235" t="n"/>
      <c r="X11605" s="235" t="n"/>
    </row>
    <row r="11606" ht="14.25" customHeight="1" s="192">
      <c r="W11606" s="239" t="n"/>
      <c r="X11606" s="239" t="n"/>
    </row>
    <row r="11607" ht="14.25" customHeight="1" s="192">
      <c r="W11607" s="235" t="n"/>
      <c r="X11607" s="235" t="n"/>
    </row>
    <row r="11608" ht="14.25" customHeight="1" s="192">
      <c r="W11608" s="239" t="n"/>
      <c r="X11608" s="239" t="n"/>
    </row>
    <row r="11610" ht="14.25" customHeight="1" s="192">
      <c r="W11610" s="235" t="n"/>
      <c r="X11610" s="235" t="n"/>
    </row>
    <row r="11611" ht="15" customHeight="1" s="192" thickBot="1">
      <c r="W11611" s="239" t="n"/>
      <c r="X11611" s="239" t="n"/>
    </row>
    <row r="11612" ht="15" customHeight="1" s="192" thickBot="1">
      <c r="W11612" s="45" t="n"/>
      <c r="X11612" s="45" t="n"/>
    </row>
    <row r="11613" ht="14.25" customHeight="1" s="192">
      <c r="W11613" s="228" t="n"/>
      <c r="X11613" s="228" t="n"/>
    </row>
    <row r="11614" ht="14.25" customHeight="1" s="192">
      <c r="W11614" s="228" t="n"/>
      <c r="X11614" s="228" t="n"/>
    </row>
    <row r="11615" ht="14.25" customHeight="1" s="192">
      <c r="W11615" s="231" t="n"/>
      <c r="X11615" s="231" t="n"/>
    </row>
    <row r="11616" ht="14.25" customHeight="1" s="192">
      <c r="W11616" s="33" t="n"/>
      <c r="X11616" s="33" t="n"/>
    </row>
    <row r="11617" ht="14.25" customHeight="1" s="192">
      <c r="W11617" s="231" t="n"/>
      <c r="X11617" s="231" t="n"/>
    </row>
    <row r="11618" ht="14.25" customHeight="1" s="192">
      <c r="W11618" s="33" t="n"/>
      <c r="X11618" s="33" t="n"/>
    </row>
    <row r="11620" ht="14.25" customHeight="1" s="192">
      <c r="W11620" s="231" t="n"/>
      <c r="X11620" s="231" t="n"/>
    </row>
    <row r="11621" ht="14.25" customHeight="1" s="192">
      <c r="W11621" s="235" t="n"/>
      <c r="X11621" s="235" t="n"/>
    </row>
    <row r="11622" ht="14.25" customHeight="1" s="192">
      <c r="W11622" s="228" t="n"/>
      <c r="X11622" s="228" t="n"/>
    </row>
    <row r="11623" ht="14.25" customHeight="1" s="192">
      <c r="W11623" s="235" t="n"/>
      <c r="X11623" s="235" t="n"/>
    </row>
    <row r="11624" ht="14.25" customHeight="1" s="192">
      <c r="W11624" s="235" t="n"/>
      <c r="X11624" s="235" t="n"/>
    </row>
    <row r="11625" ht="14.25" customHeight="1" s="192">
      <c r="W11625" s="235" t="n"/>
      <c r="X11625" s="235" t="n"/>
    </row>
    <row r="11626" ht="14.25" customHeight="1" s="192">
      <c r="W11626" s="239" t="n"/>
      <c r="X11626" s="239" t="n"/>
    </row>
    <row r="11627" ht="14.25" customHeight="1" s="192">
      <c r="W11627" s="239" t="n"/>
      <c r="X11627" s="239" t="n"/>
    </row>
    <row r="11628" ht="14.25" customHeight="1" s="192">
      <c r="W11628" s="239" t="n"/>
      <c r="X11628" s="239" t="n"/>
    </row>
    <row r="11629" ht="14.25" customHeight="1" s="192">
      <c r="W11629" s="235" t="n"/>
      <c r="X11629" s="235" t="n"/>
    </row>
    <row r="11630" ht="14.25" customHeight="1" s="192">
      <c r="W11630" s="235" t="n"/>
      <c r="X11630" s="235" t="n"/>
    </row>
    <row r="11631" ht="14.25" customHeight="1" s="192">
      <c r="W11631" s="235" t="n"/>
      <c r="X11631" s="235" t="n"/>
    </row>
    <row r="11632" ht="14.25" customHeight="1" s="192">
      <c r="W11632" s="239" t="n"/>
      <c r="X11632" s="239" t="n"/>
    </row>
    <row r="11633" ht="14.25" customHeight="1" s="192">
      <c r="W11633" s="239" t="n"/>
      <c r="X11633" s="239" t="n"/>
    </row>
    <row r="11634" ht="14.25" customHeight="1" s="192">
      <c r="W11634" s="235" t="n"/>
      <c r="X11634" s="235" t="n"/>
    </row>
    <row r="11635" ht="14.25" customHeight="1" s="192">
      <c r="W11635" s="235" t="n"/>
      <c r="X11635" s="235" t="n"/>
    </row>
    <row r="11636" ht="14.25" customHeight="1" s="192">
      <c r="W11636" s="239" t="n"/>
      <c r="X11636" s="239" t="n"/>
    </row>
    <row r="11637" ht="14.25" customHeight="1" s="192">
      <c r="W11637" s="235" t="n"/>
      <c r="X11637" s="235" t="n"/>
    </row>
    <row r="11638" ht="14.25" customHeight="1" s="192">
      <c r="W11638" s="239" t="n"/>
      <c r="X11638" s="239" t="n"/>
    </row>
    <row r="11640" ht="14.25" customHeight="1" s="192">
      <c r="W11640" s="235" t="n"/>
      <c r="X11640" s="235" t="n"/>
    </row>
    <row r="11641" ht="15" customHeight="1" s="192" thickBot="1">
      <c r="W11641" s="239" t="n"/>
      <c r="X11641" s="239" t="n"/>
    </row>
    <row r="11642" ht="15" customHeight="1" s="192" thickBot="1">
      <c r="W11642" s="45" t="n"/>
      <c r="X11642" s="45" t="n"/>
    </row>
    <row r="11643" ht="14.25" customHeight="1" s="192">
      <c r="W11643" s="228" t="n"/>
      <c r="X11643" s="228" t="n"/>
    </row>
    <row r="11644" ht="14.25" customHeight="1" s="192">
      <c r="W11644" s="228" t="n"/>
      <c r="X11644" s="228" t="n"/>
    </row>
    <row r="11645" ht="14.25" customHeight="1" s="192">
      <c r="W11645" s="231" t="n"/>
      <c r="X11645" s="231" t="n"/>
    </row>
    <row r="11646" ht="14.25" customHeight="1" s="192">
      <c r="W11646" s="33" t="n"/>
      <c r="X11646" s="33" t="n"/>
    </row>
    <row r="11647" ht="14.25" customHeight="1" s="192">
      <c r="W11647" s="231" t="n"/>
      <c r="X11647" s="231" t="n"/>
    </row>
    <row r="11648" ht="14.25" customHeight="1" s="192">
      <c r="W11648" s="33" t="n"/>
      <c r="X11648" s="33" t="n"/>
    </row>
    <row r="11650" ht="14.25" customHeight="1" s="192">
      <c r="W11650" s="231" t="n"/>
      <c r="X11650" s="231" t="n"/>
    </row>
    <row r="11651" ht="14.25" customHeight="1" s="192">
      <c r="W11651" s="235" t="n"/>
      <c r="X11651" s="235" t="n"/>
    </row>
    <row r="11652" ht="14.25" customHeight="1" s="192">
      <c r="W11652" s="228" t="n"/>
      <c r="X11652" s="228" t="n"/>
    </row>
    <row r="11653" ht="14.25" customHeight="1" s="192">
      <c r="W11653" s="235" t="n"/>
      <c r="X11653" s="235" t="n"/>
    </row>
    <row r="11654" ht="14.25" customHeight="1" s="192">
      <c r="W11654" s="235" t="n"/>
      <c r="X11654" s="235" t="n"/>
    </row>
    <row r="11655" ht="14.25" customHeight="1" s="192">
      <c r="W11655" s="235" t="n"/>
      <c r="X11655" s="235" t="n"/>
    </row>
    <row r="11656" ht="14.25" customHeight="1" s="192">
      <c r="W11656" s="239" t="n"/>
      <c r="X11656" s="239" t="n"/>
    </row>
    <row r="11657" ht="14.25" customHeight="1" s="192">
      <c r="W11657" s="239" t="n"/>
      <c r="X11657" s="239" t="n"/>
    </row>
    <row r="11658" ht="14.25" customHeight="1" s="192">
      <c r="W11658" s="239" t="n"/>
      <c r="X11658" s="239" t="n"/>
    </row>
    <row r="11659" ht="14.25" customHeight="1" s="192">
      <c r="W11659" s="235" t="n"/>
      <c r="X11659" s="235" t="n"/>
    </row>
    <row r="11660" ht="14.25" customHeight="1" s="192">
      <c r="W11660" s="235" t="n"/>
      <c r="X11660" s="235" t="n"/>
    </row>
    <row r="11661" ht="14.25" customHeight="1" s="192">
      <c r="W11661" s="235" t="n"/>
      <c r="X11661" s="235" t="n"/>
    </row>
    <row r="11662" ht="14.25" customHeight="1" s="192">
      <c r="W11662" s="239" t="n"/>
      <c r="X11662" s="239" t="n"/>
    </row>
    <row r="11663" ht="14.25" customHeight="1" s="192">
      <c r="W11663" s="239" t="n"/>
      <c r="X11663" s="239" t="n"/>
    </row>
    <row r="11664" ht="14.25" customHeight="1" s="192">
      <c r="W11664" s="235" t="n"/>
      <c r="X11664" s="235" t="n"/>
    </row>
    <row r="11665" ht="14.25" customHeight="1" s="192">
      <c r="W11665" s="235" t="n"/>
      <c r="X11665" s="235" t="n"/>
    </row>
    <row r="11666" ht="14.25" customHeight="1" s="192">
      <c r="W11666" s="239" t="n"/>
      <c r="X11666" s="239" t="n"/>
    </row>
    <row r="11667" ht="14.25" customHeight="1" s="192">
      <c r="W11667" s="235" t="n"/>
      <c r="X11667" s="235" t="n"/>
    </row>
    <row r="11668" ht="14.25" customHeight="1" s="192">
      <c r="W11668" s="239" t="n"/>
      <c r="X11668" s="239" t="n"/>
    </row>
    <row r="11670" ht="14.25" customHeight="1" s="192">
      <c r="W11670" s="235" t="n"/>
      <c r="X11670" s="235" t="n"/>
    </row>
    <row r="11671" ht="15" customHeight="1" s="192" thickBot="1">
      <c r="W11671" s="239" t="n"/>
      <c r="X11671" s="239" t="n"/>
    </row>
    <row r="11672" ht="15" customHeight="1" s="192" thickBot="1">
      <c r="W11672" s="45" t="n"/>
      <c r="X11672" s="45" t="n"/>
    </row>
    <row r="11673" ht="14.25" customHeight="1" s="192">
      <c r="W11673" s="228" t="n"/>
      <c r="X11673" s="228" t="n"/>
    </row>
    <row r="11674" ht="14.25" customHeight="1" s="192">
      <c r="W11674" s="228" t="n"/>
      <c r="X11674" s="228" t="n"/>
    </row>
    <row r="11675" ht="14.25" customHeight="1" s="192">
      <c r="W11675" s="231" t="n"/>
      <c r="X11675" s="231" t="n"/>
    </row>
    <row r="11676" ht="14.25" customHeight="1" s="192">
      <c r="W11676" s="33" t="n"/>
      <c r="X11676" s="33" t="n"/>
    </row>
    <row r="11677" ht="14.25" customHeight="1" s="192">
      <c r="W11677" s="231" t="n"/>
      <c r="X11677" s="231" t="n"/>
    </row>
    <row r="11678" ht="14.25" customHeight="1" s="192">
      <c r="W11678" s="33" t="n"/>
      <c r="X11678" s="33" t="n"/>
    </row>
    <row r="11680" ht="14.25" customHeight="1" s="192">
      <c r="W11680" s="231" t="n"/>
      <c r="X11680" s="231" t="n"/>
    </row>
    <row r="11681" ht="14.25" customHeight="1" s="192">
      <c r="W11681" s="235" t="n"/>
      <c r="X11681" s="235" t="n"/>
    </row>
    <row r="11682" ht="14.25" customHeight="1" s="192">
      <c r="W11682" s="228" t="n"/>
      <c r="X11682" s="228" t="n"/>
    </row>
    <row r="11683" ht="14.25" customHeight="1" s="192">
      <c r="W11683" s="235" t="n"/>
      <c r="X11683" s="235" t="n"/>
    </row>
    <row r="11684" ht="14.25" customHeight="1" s="192">
      <c r="W11684" s="235" t="n"/>
      <c r="X11684" s="235" t="n"/>
    </row>
    <row r="11685" ht="14.25" customHeight="1" s="192">
      <c r="W11685" s="235" t="n"/>
      <c r="X11685" s="235" t="n"/>
    </row>
    <row r="11686" ht="14.25" customHeight="1" s="192">
      <c r="W11686" s="239" t="n"/>
      <c r="X11686" s="239" t="n"/>
    </row>
    <row r="11687" ht="14.25" customHeight="1" s="192">
      <c r="W11687" s="239" t="n"/>
      <c r="X11687" s="239" t="n"/>
    </row>
    <row r="11688" ht="14.25" customHeight="1" s="192">
      <c r="W11688" s="239" t="n"/>
      <c r="X11688" s="239" t="n"/>
    </row>
    <row r="11689" ht="14.25" customHeight="1" s="192">
      <c r="W11689" s="235" t="n"/>
      <c r="X11689" s="235" t="n"/>
    </row>
    <row r="11690" ht="14.25" customHeight="1" s="192">
      <c r="W11690" s="235" t="n"/>
      <c r="X11690" s="235" t="n"/>
    </row>
    <row r="11691" ht="14.25" customHeight="1" s="192">
      <c r="W11691" s="235" t="n"/>
      <c r="X11691" s="235" t="n"/>
    </row>
    <row r="11692" ht="14.25" customHeight="1" s="192">
      <c r="W11692" s="239" t="n"/>
      <c r="X11692" s="239" t="n"/>
    </row>
    <row r="11693" ht="14.25" customHeight="1" s="192">
      <c r="W11693" s="239" t="n"/>
      <c r="X11693" s="239" t="n"/>
    </row>
    <row r="11694" ht="14.25" customHeight="1" s="192">
      <c r="W11694" s="235" t="n"/>
      <c r="X11694" s="235" t="n"/>
    </row>
    <row r="11695" ht="14.25" customHeight="1" s="192">
      <c r="W11695" s="235" t="n"/>
      <c r="X11695" s="235" t="n"/>
    </row>
    <row r="11696" ht="14.25" customHeight="1" s="192">
      <c r="W11696" s="239" t="n"/>
      <c r="X11696" s="239" t="n"/>
    </row>
    <row r="11697" ht="14.25" customHeight="1" s="192">
      <c r="W11697" s="235" t="n"/>
      <c r="X11697" s="235" t="n"/>
    </row>
    <row r="11698" ht="14.25" customHeight="1" s="192">
      <c r="W11698" s="239" t="n"/>
      <c r="X11698" s="239" t="n"/>
    </row>
    <row r="11700" ht="14.25" customHeight="1" s="192">
      <c r="W11700" s="235" t="n"/>
      <c r="X11700" s="235" t="n"/>
    </row>
    <row r="11701" ht="15" customHeight="1" s="192" thickBot="1">
      <c r="W11701" s="239" t="n"/>
      <c r="X11701" s="239" t="n"/>
    </row>
    <row r="11702" ht="15" customHeight="1" s="192" thickBot="1">
      <c r="W11702" s="45" t="n"/>
      <c r="X11702" s="45" t="n"/>
    </row>
    <row r="11703" ht="14.25" customHeight="1" s="192">
      <c r="W11703" s="228" t="n"/>
      <c r="X11703" s="228" t="n"/>
    </row>
    <row r="11704" ht="14.25" customHeight="1" s="192">
      <c r="W11704" s="228" t="n"/>
      <c r="X11704" s="228" t="n"/>
    </row>
    <row r="11705" ht="14.25" customHeight="1" s="192">
      <c r="W11705" s="231" t="n"/>
      <c r="X11705" s="231" t="n"/>
    </row>
    <row r="11706" ht="14.25" customHeight="1" s="192">
      <c r="W11706" s="33" t="n"/>
      <c r="X11706" s="33" t="n"/>
    </row>
    <row r="11707" ht="14.25" customHeight="1" s="192">
      <c r="W11707" s="231" t="n"/>
      <c r="X11707" s="231" t="n"/>
    </row>
    <row r="11708" ht="14.25" customHeight="1" s="192">
      <c r="W11708" s="33" t="n"/>
      <c r="X11708" s="33" t="n"/>
    </row>
    <row r="11710" ht="14.25" customHeight="1" s="192">
      <c r="W11710" s="231" t="n"/>
      <c r="X11710" s="231" t="n"/>
    </row>
    <row r="11711" ht="14.25" customHeight="1" s="192">
      <c r="W11711" s="235" t="n"/>
      <c r="X11711" s="235" t="n"/>
    </row>
    <row r="11712" ht="14.25" customHeight="1" s="192">
      <c r="W11712" s="228" t="n"/>
      <c r="X11712" s="228" t="n"/>
    </row>
    <row r="11713" ht="14.25" customHeight="1" s="192">
      <c r="W11713" s="235" t="n"/>
      <c r="X11713" s="235" t="n"/>
    </row>
    <row r="11714" ht="14.25" customHeight="1" s="192">
      <c r="W11714" s="235" t="n"/>
      <c r="X11714" s="235" t="n"/>
    </row>
    <row r="11715" ht="14.25" customHeight="1" s="192">
      <c r="W11715" s="235" t="n"/>
      <c r="X11715" s="235" t="n"/>
    </row>
    <row r="11716" ht="14.25" customHeight="1" s="192">
      <c r="W11716" s="239" t="n"/>
      <c r="X11716" s="239" t="n"/>
    </row>
    <row r="11717" ht="14.25" customHeight="1" s="192">
      <c r="W11717" s="239" t="n"/>
      <c r="X11717" s="239" t="n"/>
    </row>
    <row r="11718" ht="14.25" customHeight="1" s="192">
      <c r="W11718" s="239" t="n"/>
      <c r="X11718" s="239" t="n"/>
    </row>
    <row r="11719" ht="14.25" customHeight="1" s="192">
      <c r="W11719" s="235" t="n"/>
      <c r="X11719" s="235" t="n"/>
    </row>
    <row r="11720" ht="14.25" customHeight="1" s="192">
      <c r="W11720" s="235" t="n"/>
      <c r="X11720" s="235" t="n"/>
    </row>
    <row r="11721" ht="14.25" customHeight="1" s="192">
      <c r="W11721" s="235" t="n"/>
      <c r="X11721" s="235" t="n"/>
    </row>
    <row r="11722" ht="14.25" customHeight="1" s="192">
      <c r="W11722" s="239" t="n"/>
      <c r="X11722" s="239" t="n"/>
    </row>
    <row r="11723" ht="14.25" customHeight="1" s="192">
      <c r="W11723" s="239" t="n"/>
      <c r="X11723" s="239" t="n"/>
    </row>
    <row r="11724" ht="14.25" customHeight="1" s="192">
      <c r="W11724" s="235" t="n"/>
      <c r="X11724" s="235" t="n"/>
    </row>
    <row r="11725" ht="14.25" customHeight="1" s="192">
      <c r="W11725" s="235" t="n"/>
      <c r="X11725" s="235" t="n"/>
    </row>
    <row r="11726" ht="14.25" customHeight="1" s="192">
      <c r="W11726" s="239" t="n"/>
      <c r="X11726" s="239" t="n"/>
    </row>
    <row r="11727" ht="14.25" customHeight="1" s="192">
      <c r="W11727" s="235" t="n"/>
      <c r="X11727" s="235" t="n"/>
    </row>
    <row r="11728" ht="14.25" customHeight="1" s="192">
      <c r="W11728" s="239" t="n"/>
      <c r="X11728" s="239" t="n"/>
    </row>
    <row r="11730" ht="14.25" customHeight="1" s="192">
      <c r="W11730" s="235" t="n"/>
      <c r="X11730" s="235" t="n"/>
    </row>
    <row r="11731" ht="15" customHeight="1" s="192" thickBot="1">
      <c r="W11731" s="239" t="n"/>
      <c r="X11731" s="239" t="n"/>
    </row>
    <row r="11732" ht="15" customHeight="1" s="192" thickBot="1">
      <c r="W11732" s="45" t="n"/>
      <c r="X11732" s="45" t="n"/>
    </row>
    <row r="11733" ht="14.25" customHeight="1" s="192">
      <c r="W11733" s="228" t="n"/>
      <c r="X11733" s="228" t="n"/>
    </row>
    <row r="11734" ht="14.25" customHeight="1" s="192">
      <c r="W11734" s="228" t="n"/>
      <c r="X11734" s="228" t="n"/>
    </row>
    <row r="11735" ht="14.25" customHeight="1" s="192">
      <c r="W11735" s="231" t="n"/>
      <c r="X11735" s="231" t="n"/>
    </row>
    <row r="11736" ht="14.25" customHeight="1" s="192">
      <c r="W11736" s="33" t="n"/>
      <c r="X11736" s="33" t="n"/>
    </row>
    <row r="11737" ht="14.25" customHeight="1" s="192">
      <c r="W11737" s="231" t="n"/>
      <c r="X11737" s="231" t="n"/>
    </row>
    <row r="11738" ht="14.25" customHeight="1" s="192">
      <c r="W11738" s="33" t="n"/>
      <c r="X11738" s="33" t="n"/>
    </row>
    <row r="11740" ht="14.25" customHeight="1" s="192">
      <c r="W11740" s="231" t="n"/>
      <c r="X11740" s="231" t="n"/>
    </row>
    <row r="11741" ht="14.25" customHeight="1" s="192">
      <c r="W11741" s="235" t="n"/>
      <c r="X11741" s="235" t="n"/>
    </row>
    <row r="11742" ht="14.25" customHeight="1" s="192">
      <c r="W11742" s="228" t="n"/>
      <c r="X11742" s="228" t="n"/>
    </row>
    <row r="11743" ht="14.25" customHeight="1" s="192">
      <c r="W11743" s="235" t="n"/>
      <c r="X11743" s="235" t="n"/>
    </row>
    <row r="11744" ht="14.25" customHeight="1" s="192">
      <c r="W11744" s="235" t="n"/>
      <c r="X11744" s="235" t="n"/>
    </row>
    <row r="11745" ht="14.25" customHeight="1" s="192">
      <c r="W11745" s="235" t="n"/>
      <c r="X11745" s="235" t="n"/>
    </row>
    <row r="11746" ht="14.25" customHeight="1" s="192">
      <c r="W11746" s="239" t="n"/>
      <c r="X11746" s="239" t="n"/>
    </row>
    <row r="11747" ht="14.25" customHeight="1" s="192">
      <c r="W11747" s="239" t="n"/>
      <c r="X11747" s="239" t="n"/>
    </row>
    <row r="11748" ht="14.25" customHeight="1" s="192">
      <c r="W11748" s="239" t="n"/>
      <c r="X11748" s="239" t="n"/>
    </row>
    <row r="11749" ht="14.25" customHeight="1" s="192">
      <c r="W11749" s="235" t="n"/>
      <c r="X11749" s="235" t="n"/>
    </row>
    <row r="11750" ht="14.25" customHeight="1" s="192">
      <c r="W11750" s="235" t="n"/>
      <c r="X11750" s="235" t="n"/>
    </row>
    <row r="11751" ht="14.25" customHeight="1" s="192">
      <c r="W11751" s="235" t="n"/>
      <c r="X11751" s="235" t="n"/>
    </row>
    <row r="11752" ht="14.25" customHeight="1" s="192">
      <c r="W11752" s="239" t="n"/>
      <c r="X11752" s="239" t="n"/>
    </row>
    <row r="11753" ht="14.25" customHeight="1" s="192">
      <c r="W11753" s="239" t="n"/>
      <c r="X11753" s="239" t="n"/>
    </row>
    <row r="11754" ht="14.25" customHeight="1" s="192">
      <c r="W11754" s="235" t="n"/>
      <c r="X11754" s="235" t="n"/>
    </row>
    <row r="11755" ht="14.25" customHeight="1" s="192">
      <c r="W11755" s="235" t="n"/>
      <c r="X11755" s="235" t="n"/>
    </row>
    <row r="11756" ht="14.25" customHeight="1" s="192">
      <c r="W11756" s="239" t="n"/>
      <c r="X11756" s="239" t="n"/>
    </row>
    <row r="11757" ht="14.25" customHeight="1" s="192">
      <c r="W11757" s="235" t="n"/>
      <c r="X11757" s="235" t="n"/>
    </row>
    <row r="11758" ht="14.25" customHeight="1" s="192">
      <c r="W11758" s="239" t="n"/>
      <c r="X11758" s="239" t="n"/>
    </row>
    <row r="11760" ht="14.25" customHeight="1" s="192">
      <c r="W11760" s="235" t="n"/>
      <c r="X11760" s="235" t="n"/>
    </row>
    <row r="11761" ht="15" customHeight="1" s="192" thickBot="1">
      <c r="W11761" s="239" t="n"/>
      <c r="X11761" s="239" t="n"/>
    </row>
    <row r="11762" ht="15" customHeight="1" s="192" thickBot="1">
      <c r="W11762" s="45" t="n"/>
      <c r="X11762" s="45" t="n"/>
    </row>
    <row r="11763" ht="14.25" customHeight="1" s="192">
      <c r="W11763" s="228" t="n"/>
      <c r="X11763" s="228" t="n"/>
    </row>
    <row r="11764" ht="14.25" customHeight="1" s="192">
      <c r="W11764" s="228" t="n"/>
      <c r="X11764" s="228" t="n"/>
    </row>
    <row r="11765" ht="14.25" customHeight="1" s="192">
      <c r="W11765" s="231" t="n"/>
      <c r="X11765" s="231" t="n"/>
    </row>
    <row r="11766" ht="14.25" customHeight="1" s="192">
      <c r="W11766" s="33" t="n"/>
      <c r="X11766" s="33" t="n"/>
    </row>
    <row r="11767" ht="14.25" customHeight="1" s="192">
      <c r="W11767" s="231" t="n"/>
      <c r="X11767" s="231" t="n"/>
    </row>
    <row r="11768" ht="14.25" customHeight="1" s="192">
      <c r="W11768" s="33" t="n"/>
      <c r="X11768" s="33" t="n"/>
    </row>
    <row r="11770" ht="14.25" customHeight="1" s="192">
      <c r="W11770" s="231" t="n"/>
      <c r="X11770" s="231" t="n"/>
    </row>
    <row r="11771" ht="14.25" customHeight="1" s="192">
      <c r="W11771" s="235" t="n"/>
      <c r="X11771" s="235" t="n"/>
    </row>
    <row r="11772" ht="14.25" customHeight="1" s="192">
      <c r="W11772" s="228" t="n"/>
      <c r="X11772" s="228" t="n"/>
    </row>
    <row r="11773" ht="14.25" customHeight="1" s="192">
      <c r="W11773" s="235" t="n"/>
      <c r="X11773" s="235" t="n"/>
    </row>
    <row r="11774" ht="14.25" customHeight="1" s="192">
      <c r="W11774" s="235" t="n"/>
      <c r="X11774" s="235" t="n"/>
    </row>
    <row r="11775" ht="14.25" customHeight="1" s="192">
      <c r="W11775" s="235" t="n"/>
      <c r="X11775" s="235" t="n"/>
    </row>
    <row r="11776" ht="14.25" customHeight="1" s="192">
      <c r="W11776" s="239" t="n"/>
      <c r="X11776" s="239" t="n"/>
    </row>
    <row r="11777" ht="14.25" customHeight="1" s="192">
      <c r="W11777" s="239" t="n"/>
      <c r="X11777" s="239" t="n"/>
    </row>
    <row r="11778" ht="14.25" customHeight="1" s="192">
      <c r="W11778" s="239" t="n"/>
      <c r="X11778" s="239" t="n"/>
    </row>
    <row r="11779" ht="14.25" customHeight="1" s="192">
      <c r="W11779" s="235" t="n"/>
      <c r="X11779" s="235" t="n"/>
    </row>
    <row r="11780" ht="14.25" customHeight="1" s="192">
      <c r="W11780" s="235" t="n"/>
      <c r="X11780" s="235" t="n"/>
    </row>
    <row r="11781" ht="14.25" customHeight="1" s="192">
      <c r="W11781" s="235" t="n"/>
      <c r="X11781" s="235" t="n"/>
    </row>
    <row r="11782" ht="14.25" customHeight="1" s="192">
      <c r="W11782" s="239" t="n"/>
      <c r="X11782" s="239" t="n"/>
    </row>
    <row r="11783" ht="14.25" customHeight="1" s="192">
      <c r="W11783" s="239" t="n"/>
      <c r="X11783" s="239" t="n"/>
    </row>
    <row r="11784" ht="14.25" customHeight="1" s="192">
      <c r="W11784" s="235" t="n"/>
      <c r="X11784" s="235" t="n"/>
    </row>
    <row r="11785" ht="14.25" customHeight="1" s="192">
      <c r="W11785" s="235" t="n"/>
      <c r="X11785" s="235" t="n"/>
    </row>
    <row r="11786" ht="14.25" customHeight="1" s="192">
      <c r="W11786" s="239" t="n"/>
      <c r="X11786" s="239" t="n"/>
    </row>
    <row r="11787" ht="14.25" customHeight="1" s="192">
      <c r="W11787" s="235" t="n"/>
      <c r="X11787" s="235" t="n"/>
    </row>
    <row r="11788" ht="14.25" customHeight="1" s="192">
      <c r="W11788" s="239" t="n"/>
      <c r="X11788" s="239" t="n"/>
    </row>
    <row r="11790" ht="14.25" customHeight="1" s="192">
      <c r="W11790" s="235" t="n"/>
      <c r="X11790" s="235" t="n"/>
    </row>
    <row r="11791" ht="15" customHeight="1" s="192" thickBot="1">
      <c r="W11791" s="239" t="n"/>
      <c r="X11791" s="239" t="n"/>
    </row>
    <row r="11792" ht="15" customHeight="1" s="192" thickBot="1">
      <c r="W11792" s="45" t="n"/>
      <c r="X11792" s="45" t="n"/>
    </row>
    <row r="11793" ht="14.25" customHeight="1" s="192">
      <c r="W11793" s="228" t="n"/>
      <c r="X11793" s="228" t="n"/>
    </row>
    <row r="11794" ht="14.25" customHeight="1" s="192">
      <c r="W11794" s="228" t="n"/>
      <c r="X11794" s="228" t="n"/>
    </row>
    <row r="11795" ht="14.25" customHeight="1" s="192">
      <c r="W11795" s="231" t="n"/>
      <c r="X11795" s="231" t="n"/>
    </row>
    <row r="11796" ht="14.25" customHeight="1" s="192">
      <c r="W11796" s="33" t="n"/>
      <c r="X11796" s="33" t="n"/>
    </row>
    <row r="11797" ht="14.25" customHeight="1" s="192">
      <c r="W11797" s="231" t="n"/>
      <c r="X11797" s="231" t="n"/>
    </row>
    <row r="11798" ht="14.25" customHeight="1" s="192">
      <c r="W11798" s="33" t="n"/>
      <c r="X11798" s="33" t="n"/>
    </row>
    <row r="11800" ht="14.25" customHeight="1" s="192">
      <c r="W11800" s="231" t="n"/>
      <c r="X11800" s="231" t="n"/>
    </row>
    <row r="11801" ht="14.25" customHeight="1" s="192">
      <c r="W11801" s="235" t="n"/>
      <c r="X11801" s="235" t="n"/>
    </row>
    <row r="11802" ht="14.25" customHeight="1" s="192">
      <c r="W11802" s="228" t="n"/>
      <c r="X11802" s="228" t="n"/>
    </row>
    <row r="11803" ht="14.25" customHeight="1" s="192">
      <c r="W11803" s="235" t="n"/>
      <c r="X11803" s="235" t="n"/>
    </row>
    <row r="11804" ht="14.25" customHeight="1" s="192">
      <c r="W11804" s="235" t="n"/>
      <c r="X11804" s="235" t="n"/>
    </row>
    <row r="11805" ht="14.25" customHeight="1" s="192">
      <c r="W11805" s="235" t="n"/>
      <c r="X11805" s="235" t="n"/>
    </row>
    <row r="11806" ht="14.25" customHeight="1" s="192">
      <c r="W11806" s="239" t="n"/>
      <c r="X11806" s="239" t="n"/>
    </row>
    <row r="11807" ht="14.25" customHeight="1" s="192">
      <c r="W11807" s="239" t="n"/>
      <c r="X11807" s="239" t="n"/>
    </row>
    <row r="11808" ht="14.25" customHeight="1" s="192">
      <c r="W11808" s="239" t="n"/>
      <c r="X11808" s="239" t="n"/>
    </row>
    <row r="11809" ht="14.25" customHeight="1" s="192">
      <c r="W11809" s="235" t="n"/>
      <c r="X11809" s="235" t="n"/>
    </row>
    <row r="11810" ht="14.25" customHeight="1" s="192">
      <c r="W11810" s="235" t="n"/>
      <c r="X11810" s="235" t="n"/>
    </row>
    <row r="11811" ht="14.25" customHeight="1" s="192">
      <c r="W11811" s="235" t="n"/>
      <c r="X11811" s="235" t="n"/>
    </row>
    <row r="11812" ht="14.25" customHeight="1" s="192">
      <c r="W11812" s="239" t="n"/>
      <c r="X11812" s="239" t="n"/>
    </row>
    <row r="11813" ht="14.25" customHeight="1" s="192">
      <c r="W11813" s="239" t="n"/>
      <c r="X11813" s="239" t="n"/>
    </row>
    <row r="11814" ht="14.25" customHeight="1" s="192">
      <c r="W11814" s="235" t="n"/>
      <c r="X11814" s="235" t="n"/>
    </row>
    <row r="11815" ht="14.25" customHeight="1" s="192">
      <c r="W11815" s="235" t="n"/>
      <c r="X11815" s="235" t="n"/>
    </row>
    <row r="11816" ht="14.25" customHeight="1" s="192">
      <c r="W11816" s="239" t="n"/>
      <c r="X11816" s="239" t="n"/>
    </row>
    <row r="11817" ht="14.25" customHeight="1" s="192">
      <c r="W11817" s="235" t="n"/>
      <c r="X11817" s="235" t="n"/>
    </row>
    <row r="11818" ht="14.25" customHeight="1" s="192">
      <c r="W11818" s="239" t="n"/>
      <c r="X11818" s="239" t="n"/>
    </row>
    <row r="11820" ht="14.25" customHeight="1" s="192">
      <c r="W11820" s="235" t="n"/>
      <c r="X11820" s="235" t="n"/>
    </row>
    <row r="11821" ht="15" customHeight="1" s="192" thickBot="1">
      <c r="W11821" s="239" t="n"/>
      <c r="X11821" s="239" t="n"/>
    </row>
    <row r="11822" ht="15" customHeight="1" s="192" thickBot="1">
      <c r="W11822" s="45" t="n"/>
      <c r="X11822" s="45" t="n"/>
    </row>
    <row r="11823" ht="14.25" customHeight="1" s="192">
      <c r="W11823" s="228" t="n"/>
      <c r="X11823" s="228" t="n"/>
    </row>
    <row r="11824" ht="14.25" customHeight="1" s="192">
      <c r="W11824" s="228" t="n"/>
      <c r="X11824" s="228" t="n"/>
    </row>
    <row r="11825" ht="14.25" customHeight="1" s="192">
      <c r="W11825" s="231" t="n"/>
      <c r="X11825" s="231" t="n"/>
    </row>
    <row r="11826" ht="14.25" customHeight="1" s="192">
      <c r="W11826" s="33" t="n"/>
      <c r="X11826" s="33" t="n"/>
    </row>
    <row r="11827" ht="14.25" customHeight="1" s="192">
      <c r="W11827" s="231" t="n"/>
      <c r="X11827" s="231" t="n"/>
    </row>
    <row r="11828" ht="14.25" customHeight="1" s="192">
      <c r="W11828" s="33" t="n"/>
      <c r="X11828" s="33" t="n"/>
    </row>
    <row r="11830" ht="14.25" customHeight="1" s="192">
      <c r="W11830" s="231" t="n"/>
      <c r="X11830" s="231" t="n"/>
    </row>
    <row r="11831" ht="14.25" customHeight="1" s="192">
      <c r="W11831" s="235" t="n"/>
      <c r="X11831" s="235" t="n"/>
    </row>
    <row r="11832" ht="14.25" customHeight="1" s="192">
      <c r="W11832" s="228" t="n"/>
      <c r="X11832" s="228" t="n"/>
    </row>
    <row r="11833" ht="14.25" customHeight="1" s="192">
      <c r="W11833" s="235" t="n"/>
      <c r="X11833" s="235" t="n"/>
    </row>
    <row r="11834" ht="14.25" customHeight="1" s="192">
      <c r="W11834" s="235" t="n"/>
      <c r="X11834" s="235" t="n"/>
    </row>
    <row r="11835" ht="14.25" customHeight="1" s="192">
      <c r="W11835" s="235" t="n"/>
      <c r="X11835" s="235" t="n"/>
    </row>
    <row r="11836" ht="14.25" customHeight="1" s="192">
      <c r="W11836" s="239" t="n"/>
      <c r="X11836" s="239" t="n"/>
    </row>
    <row r="11837" ht="14.25" customHeight="1" s="192">
      <c r="W11837" s="239" t="n"/>
      <c r="X11837" s="239" t="n"/>
    </row>
    <row r="11838" ht="14.25" customHeight="1" s="192">
      <c r="W11838" s="239" t="n"/>
      <c r="X11838" s="239" t="n"/>
    </row>
    <row r="11839" ht="14.25" customHeight="1" s="192">
      <c r="W11839" s="235" t="n"/>
      <c r="X11839" s="235" t="n"/>
    </row>
    <row r="11840" ht="14.25" customHeight="1" s="192">
      <c r="W11840" s="235" t="n"/>
      <c r="X11840" s="235" t="n"/>
    </row>
    <row r="11841" ht="14.25" customHeight="1" s="192">
      <c r="W11841" s="235" t="n"/>
      <c r="X11841" s="235" t="n"/>
    </row>
    <row r="11842" ht="14.25" customHeight="1" s="192">
      <c r="W11842" s="239" t="n"/>
      <c r="X11842" s="239" t="n"/>
    </row>
    <row r="11843" ht="14.25" customHeight="1" s="192">
      <c r="W11843" s="239" t="n"/>
      <c r="X11843" s="239" t="n"/>
    </row>
    <row r="11844" ht="14.25" customHeight="1" s="192">
      <c r="W11844" s="235" t="n"/>
      <c r="X11844" s="235" t="n"/>
    </row>
    <row r="11845" ht="14.25" customHeight="1" s="192">
      <c r="W11845" s="235" t="n"/>
      <c r="X11845" s="235" t="n"/>
    </row>
    <row r="11846" ht="14.25" customHeight="1" s="192">
      <c r="W11846" s="239" t="n"/>
      <c r="X11846" s="239" t="n"/>
    </row>
    <row r="11847" ht="14.25" customHeight="1" s="192">
      <c r="W11847" s="235" t="n"/>
      <c r="X11847" s="235" t="n"/>
    </row>
    <row r="11848" ht="14.25" customHeight="1" s="192">
      <c r="W11848" s="239" t="n"/>
      <c r="X11848" s="239" t="n"/>
    </row>
    <row r="11850" ht="14.25" customHeight="1" s="192">
      <c r="W11850" s="235" t="n"/>
      <c r="X11850" s="235" t="n"/>
    </row>
    <row r="11851" ht="15" customHeight="1" s="192" thickBot="1">
      <c r="W11851" s="239" t="n"/>
      <c r="X11851" s="239" t="n"/>
    </row>
    <row r="11852" ht="15" customHeight="1" s="192" thickBot="1">
      <c r="W11852" s="45" t="n"/>
      <c r="X11852" s="45" t="n"/>
    </row>
    <row r="11853" ht="14.25" customHeight="1" s="192">
      <c r="W11853" s="228" t="n"/>
      <c r="X11853" s="228" t="n"/>
    </row>
    <row r="11854" ht="14.25" customHeight="1" s="192">
      <c r="W11854" s="228" t="n"/>
      <c r="X11854" s="228" t="n"/>
    </row>
    <row r="11855" ht="14.25" customHeight="1" s="192">
      <c r="W11855" s="231" t="n"/>
      <c r="X11855" s="231" t="n"/>
    </row>
    <row r="11856" ht="14.25" customHeight="1" s="192">
      <c r="W11856" s="33" t="n"/>
      <c r="X11856" s="33" t="n"/>
    </row>
    <row r="11857" ht="14.25" customHeight="1" s="192">
      <c r="W11857" s="231" t="n"/>
      <c r="X11857" s="231" t="n"/>
    </row>
    <row r="11858" ht="14.25" customHeight="1" s="192">
      <c r="W11858" s="33" t="n"/>
      <c r="X11858" s="33" t="n"/>
    </row>
    <row r="11860" ht="14.25" customHeight="1" s="192">
      <c r="W11860" s="231" t="n"/>
      <c r="X11860" s="231" t="n"/>
    </row>
    <row r="11861" ht="14.25" customHeight="1" s="192">
      <c r="W11861" s="235" t="n"/>
      <c r="X11861" s="235" t="n"/>
    </row>
    <row r="11862" ht="14.25" customHeight="1" s="192">
      <c r="W11862" s="228" t="n"/>
      <c r="X11862" s="228" t="n"/>
    </row>
    <row r="11863" ht="14.25" customHeight="1" s="192">
      <c r="W11863" s="235" t="n"/>
      <c r="X11863" s="235" t="n"/>
    </row>
    <row r="11864" ht="14.25" customHeight="1" s="192">
      <c r="W11864" s="235" t="n"/>
      <c r="X11864" s="235" t="n"/>
    </row>
    <row r="11865" ht="14.25" customHeight="1" s="192">
      <c r="W11865" s="235" t="n"/>
      <c r="X11865" s="235" t="n"/>
    </row>
    <row r="11866" ht="14.25" customHeight="1" s="192">
      <c r="W11866" s="239" t="n"/>
      <c r="X11866" s="239" t="n"/>
    </row>
    <row r="11867" ht="14.25" customHeight="1" s="192">
      <c r="W11867" s="239" t="n"/>
      <c r="X11867" s="239" t="n"/>
    </row>
    <row r="11868" ht="14.25" customHeight="1" s="192">
      <c r="W11868" s="239" t="n"/>
      <c r="X11868" s="239" t="n"/>
    </row>
    <row r="11869" ht="14.25" customHeight="1" s="192">
      <c r="W11869" s="235" t="n"/>
      <c r="X11869" s="235" t="n"/>
    </row>
    <row r="11870" ht="14.25" customHeight="1" s="192">
      <c r="W11870" s="235" t="n"/>
      <c r="X11870" s="235" t="n"/>
    </row>
    <row r="11871" ht="14.25" customHeight="1" s="192">
      <c r="W11871" s="235" t="n"/>
      <c r="X11871" s="235" t="n"/>
    </row>
    <row r="11872" ht="14.25" customHeight="1" s="192">
      <c r="W11872" s="239" t="n"/>
      <c r="X11872" s="239" t="n"/>
    </row>
    <row r="11873" ht="14.25" customHeight="1" s="192">
      <c r="W11873" s="239" t="n"/>
      <c r="X11873" s="239" t="n"/>
    </row>
    <row r="11874" ht="14.25" customHeight="1" s="192">
      <c r="W11874" s="235" t="n"/>
      <c r="X11874" s="235" t="n"/>
    </row>
    <row r="11875" ht="14.25" customHeight="1" s="192">
      <c r="W11875" s="235" t="n"/>
      <c r="X11875" s="235" t="n"/>
    </row>
    <row r="11876" ht="14.25" customHeight="1" s="192">
      <c r="W11876" s="239" t="n"/>
      <c r="X11876" s="239" t="n"/>
    </row>
    <row r="11877" ht="14.25" customHeight="1" s="192">
      <c r="W11877" s="235" t="n"/>
      <c r="X11877" s="235" t="n"/>
    </row>
    <row r="11878" ht="14.25" customHeight="1" s="192">
      <c r="W11878" s="239" t="n"/>
      <c r="X11878" s="239" t="n"/>
    </row>
    <row r="11880" ht="14.25" customHeight="1" s="192">
      <c r="W11880" s="235" t="n"/>
      <c r="X11880" s="235" t="n"/>
    </row>
    <row r="11881" ht="15" customHeight="1" s="192" thickBot="1">
      <c r="W11881" s="239" t="n"/>
      <c r="X11881" s="239" t="n"/>
    </row>
    <row r="11882" ht="15" customHeight="1" s="192" thickBot="1">
      <c r="W11882" s="45" t="n"/>
      <c r="X11882" s="45" t="n"/>
    </row>
    <row r="11883" ht="14.25" customHeight="1" s="192">
      <c r="W11883" s="228" t="n"/>
      <c r="X11883" s="228" t="n"/>
    </row>
    <row r="11884" ht="14.25" customHeight="1" s="192">
      <c r="W11884" s="228" t="n"/>
      <c r="X11884" s="228" t="n"/>
    </row>
    <row r="11885" ht="14.25" customHeight="1" s="192">
      <c r="W11885" s="231" t="n"/>
      <c r="X11885" s="231" t="n"/>
    </row>
    <row r="11886" ht="14.25" customHeight="1" s="192">
      <c r="W11886" s="33" t="n"/>
      <c r="X11886" s="33" t="n"/>
    </row>
    <row r="11887" ht="14.25" customHeight="1" s="192">
      <c r="W11887" s="231" t="n"/>
      <c r="X11887" s="231" t="n"/>
    </row>
    <row r="11888" ht="14.25" customHeight="1" s="192">
      <c r="W11888" s="33" t="n"/>
      <c r="X11888" s="33" t="n"/>
    </row>
    <row r="11890" ht="14.25" customHeight="1" s="192">
      <c r="W11890" s="231" t="n"/>
      <c r="X11890" s="231" t="n"/>
    </row>
    <row r="11891" ht="14.25" customHeight="1" s="192">
      <c r="W11891" s="235" t="n"/>
      <c r="X11891" s="235" t="n"/>
    </row>
    <row r="11892" ht="14.25" customHeight="1" s="192">
      <c r="W11892" s="228" t="n"/>
      <c r="X11892" s="228" t="n"/>
    </row>
    <row r="11893" ht="14.25" customHeight="1" s="192">
      <c r="W11893" s="235" t="n"/>
      <c r="X11893" s="235" t="n"/>
    </row>
    <row r="11894" ht="14.25" customHeight="1" s="192">
      <c r="W11894" s="235" t="n"/>
      <c r="X11894" s="235" t="n"/>
    </row>
    <row r="11895" ht="14.25" customHeight="1" s="192">
      <c r="W11895" s="235" t="n"/>
      <c r="X11895" s="235" t="n"/>
    </row>
    <row r="11896" ht="14.25" customHeight="1" s="192">
      <c r="W11896" s="239" t="n"/>
      <c r="X11896" s="239" t="n"/>
    </row>
    <row r="11897" ht="14.25" customHeight="1" s="192">
      <c r="W11897" s="239" t="n"/>
      <c r="X11897" s="239" t="n"/>
    </row>
    <row r="11898" ht="14.25" customHeight="1" s="192">
      <c r="W11898" s="239" t="n"/>
      <c r="X11898" s="239" t="n"/>
    </row>
    <row r="11899" ht="14.25" customHeight="1" s="192">
      <c r="W11899" s="235" t="n"/>
      <c r="X11899" s="235" t="n"/>
    </row>
    <row r="11900" ht="14.25" customHeight="1" s="192">
      <c r="W11900" s="235" t="n"/>
      <c r="X11900" s="235" t="n"/>
    </row>
    <row r="11901" ht="14.25" customHeight="1" s="192">
      <c r="W11901" s="235" t="n"/>
      <c r="X11901" s="235" t="n"/>
    </row>
    <row r="11902" ht="14.25" customHeight="1" s="192">
      <c r="W11902" s="239" t="n"/>
      <c r="X11902" s="239" t="n"/>
    </row>
    <row r="11903" ht="14.25" customHeight="1" s="192">
      <c r="W11903" s="239" t="n"/>
      <c r="X11903" s="239" t="n"/>
    </row>
    <row r="11904" ht="14.25" customHeight="1" s="192">
      <c r="W11904" s="235" t="n"/>
      <c r="X11904" s="235" t="n"/>
    </row>
    <row r="11905" ht="14.25" customHeight="1" s="192">
      <c r="W11905" s="235" t="n"/>
      <c r="X11905" s="235" t="n"/>
    </row>
    <row r="11906" ht="14.25" customHeight="1" s="192">
      <c r="W11906" s="239" t="n"/>
      <c r="X11906" s="239" t="n"/>
    </row>
    <row r="11907" ht="14.25" customHeight="1" s="192">
      <c r="W11907" s="235" t="n"/>
      <c r="X11907" s="235" t="n"/>
    </row>
    <row r="11908" ht="14.25" customHeight="1" s="192">
      <c r="W11908" s="239" t="n"/>
      <c r="X11908" s="239" t="n"/>
    </row>
    <row r="11910" ht="14.25" customHeight="1" s="192">
      <c r="W11910" s="235" t="n"/>
      <c r="X11910" s="235" t="n"/>
    </row>
    <row r="11911" ht="15" customHeight="1" s="192" thickBot="1">
      <c r="W11911" s="239" t="n"/>
      <c r="X11911" s="239" t="n"/>
    </row>
    <row r="11912" ht="15" customHeight="1" s="192" thickBot="1">
      <c r="W11912" s="45" t="n"/>
      <c r="X11912" s="45" t="n"/>
    </row>
    <row r="11913" ht="14.25" customHeight="1" s="192">
      <c r="W11913" s="228" t="n"/>
      <c r="X11913" s="228" t="n"/>
    </row>
    <row r="11914" ht="14.25" customHeight="1" s="192">
      <c r="W11914" s="228" t="n"/>
      <c r="X11914" s="228" t="n"/>
    </row>
    <row r="11915" ht="14.25" customHeight="1" s="192">
      <c r="W11915" s="231" t="n"/>
      <c r="X11915" s="231" t="n"/>
    </row>
    <row r="11916" ht="14.25" customHeight="1" s="192">
      <c r="W11916" s="33" t="n"/>
      <c r="X11916" s="33" t="n"/>
    </row>
    <row r="11917" ht="14.25" customHeight="1" s="192">
      <c r="W11917" s="231" t="n"/>
      <c r="X11917" s="231" t="n"/>
    </row>
    <row r="11918" ht="14.25" customHeight="1" s="192">
      <c r="W11918" s="33" t="n"/>
      <c r="X11918" s="33" t="n"/>
    </row>
    <row r="11920" ht="14.25" customHeight="1" s="192">
      <c r="W11920" s="231" t="n"/>
      <c r="X11920" s="231" t="n"/>
    </row>
    <row r="11921" ht="14.25" customHeight="1" s="192">
      <c r="W11921" s="235" t="n"/>
      <c r="X11921" s="235" t="n"/>
    </row>
    <row r="11922" ht="14.25" customHeight="1" s="192">
      <c r="W11922" s="228" t="n"/>
      <c r="X11922" s="228" t="n"/>
    </row>
    <row r="11923" ht="14.25" customHeight="1" s="192">
      <c r="W11923" s="235" t="n"/>
      <c r="X11923" s="235" t="n"/>
    </row>
    <row r="11924" ht="14.25" customHeight="1" s="192">
      <c r="W11924" s="235" t="n"/>
      <c r="X11924" s="235" t="n"/>
    </row>
    <row r="11925" ht="14.25" customHeight="1" s="192">
      <c r="W11925" s="235" t="n"/>
      <c r="X11925" s="235" t="n"/>
    </row>
    <row r="11926" ht="14.25" customHeight="1" s="192">
      <c r="W11926" s="239" t="n"/>
      <c r="X11926" s="239" t="n"/>
    </row>
    <row r="11927" ht="14.25" customHeight="1" s="192">
      <c r="W11927" s="239" t="n"/>
      <c r="X11927" s="239" t="n"/>
    </row>
    <row r="11928" ht="14.25" customHeight="1" s="192">
      <c r="W11928" s="239" t="n"/>
      <c r="X11928" s="239" t="n"/>
    </row>
    <row r="11929" ht="14.25" customHeight="1" s="192">
      <c r="W11929" s="235" t="n"/>
      <c r="X11929" s="235" t="n"/>
    </row>
    <row r="11930" ht="14.25" customHeight="1" s="192">
      <c r="W11930" s="235" t="n"/>
      <c r="X11930" s="235" t="n"/>
    </row>
    <row r="11931" ht="14.25" customHeight="1" s="192">
      <c r="W11931" s="235" t="n"/>
      <c r="X11931" s="235" t="n"/>
    </row>
    <row r="11932" ht="14.25" customHeight="1" s="192">
      <c r="W11932" s="239" t="n"/>
      <c r="X11932" s="239" t="n"/>
    </row>
    <row r="11933" ht="14.25" customHeight="1" s="192">
      <c r="W11933" s="239" t="n"/>
      <c r="X11933" s="239" t="n"/>
    </row>
    <row r="11934" ht="14.25" customHeight="1" s="192">
      <c r="W11934" s="235" t="n"/>
      <c r="X11934" s="235" t="n"/>
    </row>
    <row r="11935" ht="14.25" customHeight="1" s="192">
      <c r="W11935" s="235" t="n"/>
      <c r="X11935" s="235" t="n"/>
    </row>
    <row r="11936" ht="14.25" customHeight="1" s="192">
      <c r="W11936" s="239" t="n"/>
      <c r="X11936" s="239" t="n"/>
    </row>
    <row r="11937" ht="14.25" customHeight="1" s="192">
      <c r="W11937" s="235" t="n"/>
      <c r="X11937" s="235" t="n"/>
    </row>
    <row r="11938" ht="14.25" customHeight="1" s="192">
      <c r="W11938" s="239" t="n"/>
      <c r="X11938" s="239" t="n"/>
    </row>
    <row r="11940" ht="14.25" customHeight="1" s="192">
      <c r="W11940" s="235" t="n"/>
      <c r="X11940" s="235" t="n"/>
    </row>
    <row r="11941" ht="15" customHeight="1" s="192" thickBot="1">
      <c r="W11941" s="239" t="n"/>
      <c r="X11941" s="239" t="n"/>
    </row>
    <row r="11942" ht="15" customHeight="1" s="192" thickBot="1">
      <c r="W11942" s="45" t="n"/>
      <c r="X11942" s="45" t="n"/>
    </row>
    <row r="11943" ht="14.25" customHeight="1" s="192">
      <c r="W11943" s="228" t="n"/>
      <c r="X11943" s="228" t="n"/>
    </row>
    <row r="11944" ht="14.25" customHeight="1" s="192">
      <c r="W11944" s="228" t="n"/>
      <c r="X11944" s="228" t="n"/>
    </row>
    <row r="11945" ht="14.25" customHeight="1" s="192">
      <c r="W11945" s="231" t="n"/>
      <c r="X11945" s="231" t="n"/>
    </row>
    <row r="11946" ht="14.25" customHeight="1" s="192">
      <c r="W11946" s="33" t="n"/>
      <c r="X11946" s="33" t="n"/>
    </row>
    <row r="11947" ht="14.25" customHeight="1" s="192">
      <c r="W11947" s="231" t="n"/>
      <c r="X11947" s="231" t="n"/>
    </row>
    <row r="11948" ht="14.25" customHeight="1" s="192">
      <c r="W11948" s="33" t="n"/>
      <c r="X11948" s="33" t="n"/>
    </row>
    <row r="11950" ht="14.25" customHeight="1" s="192">
      <c r="W11950" s="231" t="n"/>
      <c r="X11950" s="231" t="n"/>
    </row>
    <row r="11951" ht="14.25" customHeight="1" s="192">
      <c r="W11951" s="235" t="n"/>
      <c r="X11951" s="235" t="n"/>
    </row>
    <row r="11952" ht="14.25" customHeight="1" s="192">
      <c r="W11952" s="228" t="n"/>
      <c r="X11952" s="228" t="n"/>
    </row>
    <row r="11953" ht="14.25" customHeight="1" s="192">
      <c r="W11953" s="235" t="n"/>
      <c r="X11953" s="235" t="n"/>
    </row>
    <row r="11954" ht="14.25" customHeight="1" s="192">
      <c r="W11954" s="235" t="n"/>
      <c r="X11954" s="235" t="n"/>
    </row>
    <row r="11955" ht="14.25" customHeight="1" s="192">
      <c r="W11955" s="235" t="n"/>
      <c r="X11955" s="235" t="n"/>
    </row>
    <row r="11956" ht="14.25" customHeight="1" s="192">
      <c r="W11956" s="239" t="n"/>
      <c r="X11956" s="239" t="n"/>
    </row>
    <row r="11957" ht="14.25" customHeight="1" s="192">
      <c r="W11957" s="239" t="n"/>
      <c r="X11957" s="239" t="n"/>
    </row>
    <row r="11958" ht="14.25" customHeight="1" s="192">
      <c r="W11958" s="239" t="n"/>
      <c r="X11958" s="239" t="n"/>
    </row>
    <row r="11959" ht="14.25" customHeight="1" s="192">
      <c r="W11959" s="235" t="n"/>
      <c r="X11959" s="235" t="n"/>
    </row>
    <row r="11960" ht="14.25" customHeight="1" s="192">
      <c r="W11960" s="235" t="n"/>
      <c r="X11960" s="235" t="n"/>
    </row>
    <row r="11961" ht="14.25" customHeight="1" s="192">
      <c r="W11961" s="235" t="n"/>
      <c r="X11961" s="235" t="n"/>
    </row>
    <row r="11962" ht="14.25" customHeight="1" s="192">
      <c r="W11962" s="239" t="n"/>
      <c r="X11962" s="239" t="n"/>
    </row>
    <row r="11963" ht="14.25" customHeight="1" s="192">
      <c r="W11963" s="239" t="n"/>
      <c r="X11963" s="239" t="n"/>
    </row>
    <row r="11964" ht="14.25" customHeight="1" s="192">
      <c r="W11964" s="235" t="n"/>
      <c r="X11964" s="235" t="n"/>
    </row>
    <row r="11965" ht="14.25" customHeight="1" s="192">
      <c r="W11965" s="235" t="n"/>
      <c r="X11965" s="235" t="n"/>
    </row>
    <row r="11966" ht="14.25" customHeight="1" s="192">
      <c r="W11966" s="239" t="n"/>
      <c r="X11966" s="239" t="n"/>
    </row>
    <row r="11967" ht="14.25" customHeight="1" s="192">
      <c r="W11967" s="235" t="n"/>
      <c r="X11967" s="235" t="n"/>
    </row>
    <row r="11968" ht="14.25" customHeight="1" s="192">
      <c r="W11968" s="239" t="n"/>
      <c r="X11968" s="239" t="n"/>
    </row>
    <row r="11970" ht="14.25" customHeight="1" s="192">
      <c r="W11970" s="235" t="n"/>
      <c r="X11970" s="235" t="n"/>
    </row>
    <row r="11971" ht="15" customHeight="1" s="192" thickBot="1">
      <c r="W11971" s="239" t="n"/>
      <c r="X11971" s="239" t="n"/>
    </row>
    <row r="11972" ht="15" customHeight="1" s="192" thickBot="1">
      <c r="W11972" s="45" t="n"/>
      <c r="X11972" s="45" t="n"/>
    </row>
    <row r="11973" ht="14.25" customHeight="1" s="192">
      <c r="W11973" s="228" t="n"/>
      <c r="X11973" s="228" t="n"/>
    </row>
    <row r="11974" ht="14.25" customHeight="1" s="192">
      <c r="W11974" s="228" t="n"/>
      <c r="X11974" s="228" t="n"/>
    </row>
    <row r="11975" ht="14.25" customHeight="1" s="192">
      <c r="W11975" s="231" t="n"/>
      <c r="X11975" s="231" t="n"/>
    </row>
    <row r="11976" ht="14.25" customHeight="1" s="192">
      <c r="W11976" s="33" t="n"/>
      <c r="X11976" s="33" t="n"/>
    </row>
    <row r="11977" ht="14.25" customHeight="1" s="192">
      <c r="W11977" s="231" t="n"/>
      <c r="X11977" s="231" t="n"/>
    </row>
    <row r="11978" ht="14.25" customHeight="1" s="192">
      <c r="W11978" s="33" t="n"/>
      <c r="X11978" s="33" t="n"/>
    </row>
    <row r="11980" ht="14.25" customHeight="1" s="192">
      <c r="W11980" s="231" t="n"/>
      <c r="X11980" s="231" t="n"/>
    </row>
    <row r="11981" ht="14.25" customHeight="1" s="192">
      <c r="W11981" s="235" t="n"/>
      <c r="X11981" s="235" t="n"/>
    </row>
    <row r="11982" ht="14.25" customHeight="1" s="192">
      <c r="W11982" s="228" t="n"/>
      <c r="X11982" s="228" t="n"/>
    </row>
    <row r="11983" ht="14.25" customHeight="1" s="192">
      <c r="W11983" s="235" t="n"/>
      <c r="X11983" s="235" t="n"/>
    </row>
    <row r="11984" ht="14.25" customHeight="1" s="192">
      <c r="W11984" s="235" t="n"/>
      <c r="X11984" s="235" t="n"/>
    </row>
    <row r="11985" ht="14.25" customHeight="1" s="192">
      <c r="W11985" s="235" t="n"/>
      <c r="X11985" s="235" t="n"/>
    </row>
    <row r="11986" ht="14.25" customHeight="1" s="192">
      <c r="W11986" s="239" t="n"/>
      <c r="X11986" s="239" t="n"/>
    </row>
    <row r="11987" ht="14.25" customHeight="1" s="192">
      <c r="W11987" s="239" t="n"/>
      <c r="X11987" s="239" t="n"/>
    </row>
    <row r="11988" ht="14.25" customHeight="1" s="192">
      <c r="W11988" s="239" t="n"/>
      <c r="X11988" s="239" t="n"/>
    </row>
    <row r="11989" ht="14.25" customHeight="1" s="192">
      <c r="W11989" s="235" t="n"/>
      <c r="X11989" s="235" t="n"/>
    </row>
    <row r="11990" ht="14.25" customHeight="1" s="192">
      <c r="W11990" s="235" t="n"/>
      <c r="X11990" s="235" t="n"/>
    </row>
    <row r="11991" ht="14.25" customHeight="1" s="192">
      <c r="W11991" s="235" t="n"/>
      <c r="X11991" s="235" t="n"/>
    </row>
    <row r="11992" ht="14.25" customHeight="1" s="192">
      <c r="W11992" s="239" t="n"/>
      <c r="X11992" s="239" t="n"/>
    </row>
    <row r="11993" ht="14.25" customHeight="1" s="192">
      <c r="W11993" s="239" t="n"/>
      <c r="X11993" s="239" t="n"/>
    </row>
    <row r="11994" ht="14.25" customHeight="1" s="192">
      <c r="W11994" s="235" t="n"/>
      <c r="X11994" s="235" t="n"/>
    </row>
    <row r="11995" ht="14.25" customHeight="1" s="192">
      <c r="W11995" s="235" t="n"/>
      <c r="X11995" s="235" t="n"/>
    </row>
    <row r="11996" ht="14.25" customHeight="1" s="192">
      <c r="W11996" s="239" t="n"/>
      <c r="X11996" s="239" t="n"/>
    </row>
    <row r="11997" ht="14.25" customHeight="1" s="192">
      <c r="W11997" s="235" t="n"/>
      <c r="X11997" s="235" t="n"/>
    </row>
    <row r="11998" ht="14.25" customHeight="1" s="192">
      <c r="W11998" s="239" t="n"/>
      <c r="X11998" s="239" t="n"/>
    </row>
    <row r="12000" ht="14.25" customHeight="1" s="192">
      <c r="W12000" s="235" t="n"/>
      <c r="X12000" s="235" t="n"/>
    </row>
    <row r="12001" ht="15" customHeight="1" s="192" thickBot="1">
      <c r="W12001" s="239" t="n"/>
      <c r="X12001" s="239" t="n"/>
    </row>
    <row r="12002" ht="15" customHeight="1" s="192" thickBot="1">
      <c r="W12002" s="45" t="n"/>
      <c r="X12002" s="45" t="n"/>
    </row>
    <row r="12003" ht="14.25" customHeight="1" s="192">
      <c r="W12003" s="228" t="n"/>
      <c r="X12003" s="228" t="n"/>
    </row>
    <row r="12004" ht="14.25" customHeight="1" s="192">
      <c r="W12004" s="228" t="n"/>
      <c r="X12004" s="228" t="n"/>
    </row>
    <row r="12005" ht="14.25" customHeight="1" s="192">
      <c r="W12005" s="231" t="n"/>
      <c r="X12005" s="231" t="n"/>
    </row>
    <row r="12006" ht="14.25" customHeight="1" s="192">
      <c r="W12006" s="33" t="n"/>
      <c r="X12006" s="33" t="n"/>
    </row>
    <row r="12007" ht="14.25" customHeight="1" s="192">
      <c r="W12007" s="231" t="n"/>
      <c r="X12007" s="231" t="n"/>
    </row>
    <row r="12008" ht="14.25" customHeight="1" s="192">
      <c r="W12008" s="33" t="n"/>
      <c r="X12008" s="33" t="n"/>
    </row>
    <row r="12010" ht="14.25" customHeight="1" s="192">
      <c r="W12010" s="231" t="n"/>
      <c r="X12010" s="231" t="n"/>
    </row>
    <row r="12011" ht="14.25" customHeight="1" s="192">
      <c r="W12011" s="235" t="n"/>
      <c r="X12011" s="235" t="n"/>
    </row>
    <row r="12012" ht="14.25" customHeight="1" s="192">
      <c r="W12012" s="228" t="n"/>
      <c r="X12012" s="228" t="n"/>
    </row>
    <row r="12013" ht="14.25" customHeight="1" s="192">
      <c r="W12013" s="235" t="n"/>
      <c r="X12013" s="235" t="n"/>
    </row>
    <row r="12014" ht="14.25" customHeight="1" s="192">
      <c r="W12014" s="235" t="n"/>
      <c r="X12014" s="235" t="n"/>
    </row>
    <row r="12015" ht="14.25" customHeight="1" s="192">
      <c r="W12015" s="235" t="n"/>
      <c r="X12015" s="235" t="n"/>
    </row>
    <row r="12016" ht="14.25" customHeight="1" s="192">
      <c r="W12016" s="239" t="n"/>
      <c r="X12016" s="239" t="n"/>
    </row>
    <row r="12017" ht="14.25" customHeight="1" s="192">
      <c r="W12017" s="239" t="n"/>
      <c r="X12017" s="239" t="n"/>
    </row>
    <row r="12018" ht="14.25" customHeight="1" s="192">
      <c r="W12018" s="239" t="n"/>
      <c r="X12018" s="239" t="n"/>
    </row>
    <row r="12019" ht="14.25" customHeight="1" s="192">
      <c r="W12019" s="235" t="n"/>
      <c r="X12019" s="235" t="n"/>
    </row>
    <row r="12020" ht="14.25" customHeight="1" s="192">
      <c r="W12020" s="235" t="n"/>
      <c r="X12020" s="235" t="n"/>
    </row>
    <row r="12021" ht="14.25" customHeight="1" s="192">
      <c r="W12021" s="235" t="n"/>
      <c r="X12021" s="235" t="n"/>
    </row>
    <row r="12022" ht="14.25" customHeight="1" s="192">
      <c r="W12022" s="239" t="n"/>
      <c r="X12022" s="239" t="n"/>
    </row>
    <row r="12023" ht="14.25" customHeight="1" s="192">
      <c r="W12023" s="239" t="n"/>
      <c r="X12023" s="239" t="n"/>
    </row>
    <row r="12024" ht="14.25" customHeight="1" s="192">
      <c r="W12024" s="235" t="n"/>
      <c r="X12024" s="235" t="n"/>
    </row>
    <row r="12025" ht="14.25" customHeight="1" s="192">
      <c r="W12025" s="235" t="n"/>
      <c r="X12025" s="235" t="n"/>
    </row>
    <row r="12026" ht="14.25" customHeight="1" s="192">
      <c r="W12026" s="239" t="n"/>
      <c r="X12026" s="239" t="n"/>
    </row>
    <row r="12027" ht="14.25" customHeight="1" s="192">
      <c r="W12027" s="235" t="n"/>
      <c r="X12027" s="235" t="n"/>
    </row>
    <row r="12028" ht="14.25" customHeight="1" s="192">
      <c r="W12028" s="239" t="n"/>
      <c r="X12028" s="239" t="n"/>
    </row>
    <row r="12030" ht="14.25" customHeight="1" s="192">
      <c r="W12030" s="235" t="n"/>
      <c r="X12030" s="235" t="n"/>
    </row>
    <row r="12031" ht="15" customHeight="1" s="192" thickBot="1">
      <c r="W12031" s="239" t="n"/>
      <c r="X12031" s="239" t="n"/>
    </row>
    <row r="12032" ht="15" customHeight="1" s="192" thickBot="1">
      <c r="W12032" s="45" t="n"/>
      <c r="X12032" s="45" t="n"/>
    </row>
    <row r="12033" ht="14.25" customHeight="1" s="192">
      <c r="W12033" s="228" t="n"/>
      <c r="X12033" s="228" t="n"/>
    </row>
    <row r="12034" ht="14.25" customHeight="1" s="192">
      <c r="W12034" s="228" t="n"/>
      <c r="X12034" s="228" t="n"/>
    </row>
    <row r="12035" ht="14.25" customHeight="1" s="192">
      <c r="W12035" s="231" t="n"/>
      <c r="X12035" s="231" t="n"/>
    </row>
    <row r="12036" ht="14.25" customHeight="1" s="192">
      <c r="W12036" s="33" t="n"/>
      <c r="X12036" s="33" t="n"/>
    </row>
    <row r="12037" ht="14.25" customHeight="1" s="192">
      <c r="W12037" s="231" t="n"/>
      <c r="X12037" s="231" t="n"/>
    </row>
    <row r="12038" ht="14.25" customHeight="1" s="192">
      <c r="W12038" s="33" t="n"/>
      <c r="X12038" s="33" t="n"/>
    </row>
    <row r="12040" ht="14.25" customHeight="1" s="192">
      <c r="W12040" s="231" t="n"/>
      <c r="X12040" s="231" t="n"/>
    </row>
    <row r="12041" ht="14.25" customHeight="1" s="192">
      <c r="W12041" s="235" t="n"/>
      <c r="X12041" s="235" t="n"/>
    </row>
    <row r="12042" ht="14.25" customHeight="1" s="192">
      <c r="W12042" s="228" t="n"/>
      <c r="X12042" s="228" t="n"/>
    </row>
    <row r="12043" ht="14.25" customHeight="1" s="192">
      <c r="W12043" s="235" t="n"/>
      <c r="X12043" s="235" t="n"/>
    </row>
    <row r="12044" ht="14.25" customHeight="1" s="192">
      <c r="W12044" s="235" t="n"/>
      <c r="X12044" s="235" t="n"/>
    </row>
    <row r="12045" ht="14.25" customHeight="1" s="192">
      <c r="W12045" s="235" t="n"/>
      <c r="X12045" s="235" t="n"/>
    </row>
    <row r="12046" ht="14.25" customHeight="1" s="192">
      <c r="W12046" s="239" t="n"/>
      <c r="X12046" s="239" t="n"/>
    </row>
    <row r="12047" ht="14.25" customHeight="1" s="192">
      <c r="W12047" s="239" t="n"/>
      <c r="X12047" s="239" t="n"/>
    </row>
    <row r="12048" ht="14.25" customHeight="1" s="192">
      <c r="W12048" s="239" t="n"/>
      <c r="X12048" s="239" t="n"/>
    </row>
    <row r="12049" ht="14.25" customHeight="1" s="192">
      <c r="W12049" s="235" t="n"/>
      <c r="X12049" s="235" t="n"/>
    </row>
    <row r="12050" ht="14.25" customHeight="1" s="192">
      <c r="W12050" s="235" t="n"/>
      <c r="X12050" s="235" t="n"/>
    </row>
    <row r="12051" ht="14.25" customHeight="1" s="192">
      <c r="W12051" s="235" t="n"/>
      <c r="X12051" s="235" t="n"/>
    </row>
    <row r="12052" ht="14.25" customHeight="1" s="192">
      <c r="W12052" s="239" t="n"/>
      <c r="X12052" s="239" t="n"/>
    </row>
    <row r="12053" ht="14.25" customHeight="1" s="192">
      <c r="W12053" s="239" t="n"/>
      <c r="X12053" s="239" t="n"/>
    </row>
    <row r="12054" ht="14.25" customHeight="1" s="192">
      <c r="W12054" s="235" t="n"/>
      <c r="X12054" s="235" t="n"/>
    </row>
    <row r="12055" ht="14.25" customHeight="1" s="192">
      <c r="W12055" s="235" t="n"/>
      <c r="X12055" s="235" t="n"/>
    </row>
    <row r="12056" ht="14.25" customHeight="1" s="192">
      <c r="W12056" s="239" t="n"/>
      <c r="X12056" s="239" t="n"/>
    </row>
    <row r="12057" ht="14.25" customHeight="1" s="192">
      <c r="W12057" s="235" t="n"/>
      <c r="X12057" s="235" t="n"/>
    </row>
    <row r="12058" ht="14.25" customHeight="1" s="192">
      <c r="W12058" s="239" t="n"/>
      <c r="X12058" s="239" t="n"/>
    </row>
    <row r="12060" ht="14.25" customHeight="1" s="192">
      <c r="W12060" s="235" t="n"/>
      <c r="X12060" s="235" t="n"/>
    </row>
    <row r="12061" ht="15" customHeight="1" s="192" thickBot="1">
      <c r="W12061" s="239" t="n"/>
      <c r="X12061" s="239" t="n"/>
    </row>
    <row r="12062" ht="15" customHeight="1" s="192" thickBot="1">
      <c r="W12062" s="45" t="n"/>
      <c r="X12062" s="45" t="n"/>
    </row>
    <row r="12063" ht="14.25" customHeight="1" s="192">
      <c r="W12063" s="228" t="n"/>
      <c r="X12063" s="228" t="n"/>
    </row>
    <row r="12064" ht="14.25" customHeight="1" s="192">
      <c r="W12064" s="228" t="n"/>
      <c r="X12064" s="228" t="n"/>
    </row>
    <row r="12065" ht="14.25" customHeight="1" s="192">
      <c r="W12065" s="231" t="n"/>
      <c r="X12065" s="231" t="n"/>
    </row>
    <row r="12066" ht="14.25" customHeight="1" s="192">
      <c r="W12066" s="33" t="n"/>
      <c r="X12066" s="33" t="n"/>
    </row>
    <row r="12067" ht="14.25" customHeight="1" s="192">
      <c r="W12067" s="231" t="n"/>
      <c r="X12067" s="231" t="n"/>
    </row>
    <row r="12068" ht="14.25" customHeight="1" s="192">
      <c r="W12068" s="33" t="n"/>
      <c r="X12068" s="33" t="n"/>
    </row>
    <row r="12070" ht="14.25" customHeight="1" s="192">
      <c r="W12070" s="231" t="n"/>
      <c r="X12070" s="231" t="n"/>
    </row>
    <row r="12071" ht="14.25" customHeight="1" s="192">
      <c r="W12071" s="235" t="n"/>
      <c r="X12071" s="235" t="n"/>
    </row>
    <row r="12072" ht="14.25" customHeight="1" s="192">
      <c r="W12072" s="228" t="n"/>
      <c r="X12072" s="228" t="n"/>
    </row>
    <row r="12073" ht="14.25" customHeight="1" s="192">
      <c r="W12073" s="235" t="n"/>
      <c r="X12073" s="235" t="n"/>
    </row>
    <row r="12074" ht="14.25" customHeight="1" s="192">
      <c r="W12074" s="235" t="n"/>
      <c r="X12074" s="235" t="n"/>
    </row>
    <row r="12075" ht="14.25" customHeight="1" s="192">
      <c r="W12075" s="235" t="n"/>
      <c r="X12075" s="235" t="n"/>
    </row>
    <row r="12076" ht="14.25" customHeight="1" s="192">
      <c r="W12076" s="239" t="n"/>
      <c r="X12076" s="239" t="n"/>
    </row>
    <row r="12077" ht="14.25" customHeight="1" s="192">
      <c r="W12077" s="239" t="n"/>
      <c r="X12077" s="239" t="n"/>
    </row>
    <row r="12078" ht="14.25" customHeight="1" s="192">
      <c r="W12078" s="239" t="n"/>
      <c r="X12078" s="239" t="n"/>
    </row>
    <row r="12079" ht="14.25" customHeight="1" s="192">
      <c r="W12079" s="235" t="n"/>
      <c r="X12079" s="235" t="n"/>
    </row>
    <row r="12080" ht="14.25" customHeight="1" s="192">
      <c r="W12080" s="235" t="n"/>
      <c r="X12080" s="235" t="n"/>
    </row>
    <row r="12081" ht="14.25" customHeight="1" s="192">
      <c r="W12081" s="235" t="n"/>
      <c r="X12081" s="235" t="n"/>
    </row>
    <row r="12082" ht="14.25" customHeight="1" s="192">
      <c r="W12082" s="239" t="n"/>
      <c r="X12082" s="239" t="n"/>
    </row>
    <row r="12083" ht="14.25" customHeight="1" s="192">
      <c r="W12083" s="239" t="n"/>
      <c r="X12083" s="239" t="n"/>
    </row>
    <row r="12084" ht="14.25" customHeight="1" s="192">
      <c r="W12084" s="235" t="n"/>
      <c r="X12084" s="235" t="n"/>
    </row>
    <row r="12085" ht="14.25" customHeight="1" s="192">
      <c r="W12085" s="235" t="n"/>
      <c r="X12085" s="235" t="n"/>
    </row>
    <row r="12086" ht="14.25" customHeight="1" s="192">
      <c r="W12086" s="239" t="n"/>
      <c r="X12086" s="239" t="n"/>
    </row>
    <row r="12087" ht="14.25" customHeight="1" s="192">
      <c r="W12087" s="235" t="n"/>
      <c r="X12087" s="235" t="n"/>
    </row>
    <row r="12088" ht="14.25" customHeight="1" s="192">
      <c r="W12088" s="239" t="n"/>
      <c r="X12088" s="239" t="n"/>
    </row>
    <row r="12090" ht="14.25" customHeight="1" s="192">
      <c r="W12090" s="235" t="n"/>
      <c r="X12090" s="235" t="n"/>
    </row>
    <row r="12091" ht="15" customHeight="1" s="192" thickBot="1">
      <c r="W12091" s="239" t="n"/>
      <c r="X12091" s="239" t="n"/>
    </row>
    <row r="12092" ht="15" customHeight="1" s="192" thickBot="1">
      <c r="W12092" s="45" t="n"/>
      <c r="X12092" s="45" t="n"/>
    </row>
    <row r="12093" ht="14.25" customHeight="1" s="192">
      <c r="W12093" s="228" t="n"/>
      <c r="X12093" s="228" t="n"/>
    </row>
    <row r="12094" ht="14.25" customHeight="1" s="192">
      <c r="W12094" s="228" t="n"/>
      <c r="X12094" s="228" t="n"/>
    </row>
    <row r="12095" ht="14.25" customHeight="1" s="192">
      <c r="W12095" s="231" t="n"/>
      <c r="X12095" s="231" t="n"/>
    </row>
    <row r="12096" ht="14.25" customHeight="1" s="192">
      <c r="W12096" s="33" t="n"/>
      <c r="X12096" s="33" t="n"/>
    </row>
    <row r="12097" ht="14.25" customHeight="1" s="192">
      <c r="W12097" s="231" t="n"/>
      <c r="X12097" s="231" t="n"/>
    </row>
    <row r="12098" ht="14.25" customHeight="1" s="192">
      <c r="W12098" s="33" t="n"/>
      <c r="X12098" s="33" t="n"/>
    </row>
    <row r="12100" ht="14.25" customHeight="1" s="192">
      <c r="W12100" s="231" t="n"/>
      <c r="X12100" s="231" t="n"/>
    </row>
    <row r="12101" ht="14.25" customHeight="1" s="192">
      <c r="W12101" s="235" t="n"/>
      <c r="X12101" s="235" t="n"/>
    </row>
    <row r="12102" ht="14.25" customHeight="1" s="192">
      <c r="W12102" s="228" t="n"/>
      <c r="X12102" s="228" t="n"/>
    </row>
    <row r="12103" ht="14.25" customHeight="1" s="192">
      <c r="W12103" s="235" t="n"/>
      <c r="X12103" s="235" t="n"/>
    </row>
    <row r="12104" ht="14.25" customHeight="1" s="192">
      <c r="W12104" s="235" t="n"/>
      <c r="X12104" s="235" t="n"/>
    </row>
    <row r="12105" ht="14.25" customHeight="1" s="192">
      <c r="W12105" s="235" t="n"/>
      <c r="X12105" s="235" t="n"/>
    </row>
    <row r="12106" ht="14.25" customHeight="1" s="192">
      <c r="W12106" s="239" t="n"/>
      <c r="X12106" s="239" t="n"/>
    </row>
    <row r="12107" ht="14.25" customHeight="1" s="192">
      <c r="W12107" s="239" t="n"/>
      <c r="X12107" s="239" t="n"/>
    </row>
    <row r="12108" ht="14.25" customHeight="1" s="192">
      <c r="W12108" s="239" t="n"/>
      <c r="X12108" s="239" t="n"/>
    </row>
    <row r="12109" ht="14.25" customHeight="1" s="192">
      <c r="W12109" s="235" t="n"/>
      <c r="X12109" s="235" t="n"/>
    </row>
    <row r="12110" ht="14.25" customHeight="1" s="192">
      <c r="W12110" s="235" t="n"/>
      <c r="X12110" s="235" t="n"/>
    </row>
    <row r="12111" ht="14.25" customHeight="1" s="192">
      <c r="W12111" s="235" t="n"/>
      <c r="X12111" s="235" t="n"/>
    </row>
    <row r="12112" ht="14.25" customHeight="1" s="192">
      <c r="W12112" s="239" t="n"/>
      <c r="X12112" s="239" t="n"/>
    </row>
    <row r="12113" ht="14.25" customHeight="1" s="192">
      <c r="W12113" s="239" t="n"/>
      <c r="X12113" s="239" t="n"/>
    </row>
    <row r="12114" ht="14.25" customHeight="1" s="192">
      <c r="W12114" s="235" t="n"/>
      <c r="X12114" s="235" t="n"/>
    </row>
    <row r="12115" ht="14.25" customHeight="1" s="192">
      <c r="W12115" s="235" t="n"/>
      <c r="X12115" s="235" t="n"/>
    </row>
    <row r="12116" ht="14.25" customHeight="1" s="192">
      <c r="W12116" s="239" t="n"/>
      <c r="X12116" s="239" t="n"/>
    </row>
    <row r="12117" ht="14.25" customHeight="1" s="192">
      <c r="W12117" s="235" t="n"/>
      <c r="X12117" s="235" t="n"/>
    </row>
    <row r="12118" ht="14.25" customHeight="1" s="192">
      <c r="W12118" s="239" t="n"/>
      <c r="X12118" s="239" t="n"/>
    </row>
    <row r="12120" ht="14.25" customHeight="1" s="192">
      <c r="W12120" s="235" t="n"/>
      <c r="X12120" s="235" t="n"/>
    </row>
    <row r="12121" ht="15" customHeight="1" s="192" thickBot="1">
      <c r="W12121" s="239" t="n"/>
      <c r="X12121" s="239" t="n"/>
    </row>
    <row r="12122" ht="15" customHeight="1" s="192" thickBot="1">
      <c r="W12122" s="45" t="n"/>
      <c r="X12122" s="45" t="n"/>
    </row>
    <row r="12123" ht="14.25" customHeight="1" s="192">
      <c r="W12123" s="228" t="n"/>
      <c r="X12123" s="228" t="n"/>
    </row>
    <row r="12124" ht="14.25" customHeight="1" s="192">
      <c r="W12124" s="228" t="n"/>
      <c r="X12124" s="228" t="n"/>
    </row>
    <row r="12125" ht="14.25" customHeight="1" s="192">
      <c r="W12125" s="231" t="n"/>
      <c r="X12125" s="231" t="n"/>
    </row>
    <row r="12126" ht="14.25" customHeight="1" s="192">
      <c r="W12126" s="33" t="n"/>
      <c r="X12126" s="33" t="n"/>
    </row>
    <row r="12127" ht="14.25" customHeight="1" s="192">
      <c r="W12127" s="231" t="n"/>
      <c r="X12127" s="231" t="n"/>
    </row>
    <row r="12128" ht="14.25" customHeight="1" s="192">
      <c r="W12128" s="33" t="n"/>
      <c r="X12128" s="33" t="n"/>
    </row>
    <row r="12130" ht="14.25" customHeight="1" s="192">
      <c r="W12130" s="231" t="n"/>
      <c r="X12130" s="231" t="n"/>
    </row>
    <row r="12131" ht="14.25" customHeight="1" s="192">
      <c r="W12131" s="235" t="n"/>
      <c r="X12131" s="235" t="n"/>
    </row>
    <row r="12132" ht="14.25" customHeight="1" s="192">
      <c r="W12132" s="228" t="n"/>
      <c r="X12132" s="228" t="n"/>
    </row>
    <row r="12133" ht="14.25" customHeight="1" s="192">
      <c r="W12133" s="235" t="n"/>
      <c r="X12133" s="235" t="n"/>
    </row>
    <row r="12134" ht="14.25" customHeight="1" s="192">
      <c r="W12134" s="235" t="n"/>
      <c r="X12134" s="235" t="n"/>
    </row>
    <row r="12135" ht="14.25" customHeight="1" s="192">
      <c r="W12135" s="235" t="n"/>
      <c r="X12135" s="235" t="n"/>
    </row>
    <row r="12136" ht="14.25" customHeight="1" s="192">
      <c r="W12136" s="239" t="n"/>
      <c r="X12136" s="239" t="n"/>
    </row>
    <row r="12137" ht="14.25" customHeight="1" s="192">
      <c r="W12137" s="239" t="n"/>
      <c r="X12137" s="239" t="n"/>
    </row>
    <row r="12138" ht="14.25" customHeight="1" s="192">
      <c r="W12138" s="239" t="n"/>
      <c r="X12138" s="239" t="n"/>
    </row>
    <row r="12139" ht="14.25" customHeight="1" s="192">
      <c r="W12139" s="235" t="n"/>
      <c r="X12139" s="235" t="n"/>
    </row>
    <row r="12140" ht="14.25" customHeight="1" s="192">
      <c r="W12140" s="235" t="n"/>
      <c r="X12140" s="235" t="n"/>
    </row>
    <row r="12141" ht="14.25" customHeight="1" s="192">
      <c r="W12141" s="235" t="n"/>
      <c r="X12141" s="235" t="n"/>
    </row>
    <row r="12142" ht="14.25" customHeight="1" s="192">
      <c r="W12142" s="239" t="n"/>
      <c r="X12142" s="239" t="n"/>
    </row>
    <row r="12143" ht="14.25" customHeight="1" s="192">
      <c r="W12143" s="239" t="n"/>
      <c r="X12143" s="239" t="n"/>
    </row>
    <row r="12144" ht="14.25" customHeight="1" s="192">
      <c r="W12144" s="235" t="n"/>
      <c r="X12144" s="235" t="n"/>
    </row>
    <row r="12145" ht="14.25" customHeight="1" s="192">
      <c r="W12145" s="235" t="n"/>
      <c r="X12145" s="235" t="n"/>
    </row>
    <row r="12146" ht="14.25" customHeight="1" s="192">
      <c r="W12146" s="239" t="n"/>
      <c r="X12146" s="239" t="n"/>
    </row>
    <row r="12147" ht="14.25" customHeight="1" s="192">
      <c r="W12147" s="235" t="n"/>
      <c r="X12147" s="235" t="n"/>
    </row>
    <row r="12148" ht="14.25" customHeight="1" s="192">
      <c r="W12148" s="239" t="n"/>
      <c r="X12148" s="239" t="n"/>
    </row>
    <row r="12150" ht="14.25" customHeight="1" s="192">
      <c r="W12150" s="235" t="n"/>
      <c r="X12150" s="235" t="n"/>
    </row>
    <row r="12151" ht="15" customHeight="1" s="192" thickBot="1">
      <c r="W12151" s="239" t="n"/>
      <c r="X12151" s="239" t="n"/>
    </row>
    <row r="12152" ht="15" customHeight="1" s="192" thickBot="1">
      <c r="W12152" s="45" t="n"/>
      <c r="X12152" s="45" t="n"/>
    </row>
    <row r="12153" ht="14.25" customHeight="1" s="192">
      <c r="W12153" s="228" t="n"/>
      <c r="X12153" s="228" t="n"/>
    </row>
    <row r="12154" ht="14.25" customHeight="1" s="192">
      <c r="W12154" s="228" t="n"/>
      <c r="X12154" s="228" t="n"/>
    </row>
    <row r="12155" ht="14.25" customHeight="1" s="192">
      <c r="W12155" s="231" t="n"/>
      <c r="X12155" s="231" t="n"/>
    </row>
    <row r="12156" ht="14.25" customHeight="1" s="192">
      <c r="W12156" s="33" t="n"/>
      <c r="X12156" s="33" t="n"/>
    </row>
    <row r="12157" ht="14.25" customHeight="1" s="192">
      <c r="W12157" s="231" t="n"/>
      <c r="X12157" s="231" t="n"/>
    </row>
    <row r="12158" ht="14.25" customHeight="1" s="192">
      <c r="W12158" s="33" t="n"/>
      <c r="X12158" s="33" t="n"/>
    </row>
    <row r="12160" ht="14.25" customHeight="1" s="192">
      <c r="W12160" s="231" t="n"/>
      <c r="X12160" s="231" t="n"/>
    </row>
    <row r="12161" ht="14.25" customHeight="1" s="192">
      <c r="W12161" s="235" t="n"/>
      <c r="X12161" s="235" t="n"/>
    </row>
    <row r="12162" ht="14.25" customHeight="1" s="192">
      <c r="W12162" s="228" t="n"/>
      <c r="X12162" s="228" t="n"/>
    </row>
    <row r="12163" ht="14.25" customHeight="1" s="192">
      <c r="W12163" s="235" t="n"/>
      <c r="X12163" s="235" t="n"/>
    </row>
    <row r="12164" ht="14.25" customHeight="1" s="192">
      <c r="W12164" s="235" t="n"/>
      <c r="X12164" s="235" t="n"/>
    </row>
    <row r="12165" ht="14.25" customHeight="1" s="192">
      <c r="W12165" s="235" t="n"/>
      <c r="X12165" s="235" t="n"/>
    </row>
    <row r="12166" ht="14.25" customHeight="1" s="192">
      <c r="W12166" s="239" t="n"/>
      <c r="X12166" s="239" t="n"/>
    </row>
    <row r="12167" ht="14.25" customHeight="1" s="192">
      <c r="W12167" s="239" t="n"/>
      <c r="X12167" s="239" t="n"/>
    </row>
    <row r="12168" ht="14.25" customHeight="1" s="192">
      <c r="W12168" s="239" t="n"/>
      <c r="X12168" s="239" t="n"/>
    </row>
    <row r="12169" ht="14.25" customHeight="1" s="192">
      <c r="W12169" s="235" t="n"/>
      <c r="X12169" s="235" t="n"/>
    </row>
    <row r="12170" ht="14.25" customHeight="1" s="192">
      <c r="W12170" s="235" t="n"/>
      <c r="X12170" s="235" t="n"/>
    </row>
    <row r="12171" ht="14.25" customHeight="1" s="192">
      <c r="W12171" s="235" t="n"/>
      <c r="X12171" s="235" t="n"/>
    </row>
    <row r="12172" ht="14.25" customHeight="1" s="192">
      <c r="W12172" s="239" t="n"/>
      <c r="X12172" s="239" t="n"/>
    </row>
    <row r="12173" ht="14.25" customHeight="1" s="192">
      <c r="W12173" s="239" t="n"/>
      <c r="X12173" s="239" t="n"/>
    </row>
    <row r="12174" ht="14.25" customHeight="1" s="192">
      <c r="W12174" s="235" t="n"/>
      <c r="X12174" s="235" t="n"/>
    </row>
    <row r="12175" ht="14.25" customHeight="1" s="192">
      <c r="W12175" s="235" t="n"/>
      <c r="X12175" s="235" t="n"/>
    </row>
    <row r="12176" ht="14.25" customHeight="1" s="192">
      <c r="W12176" s="239" t="n"/>
      <c r="X12176" s="239" t="n"/>
    </row>
    <row r="12177" ht="14.25" customHeight="1" s="192">
      <c r="W12177" s="235" t="n"/>
      <c r="X12177" s="235" t="n"/>
    </row>
    <row r="12178" ht="14.25" customHeight="1" s="192">
      <c r="W12178" s="239" t="n"/>
      <c r="X12178" s="239" t="n"/>
    </row>
    <row r="12180" ht="14.25" customHeight="1" s="192">
      <c r="W12180" s="235" t="n"/>
      <c r="X12180" s="235" t="n"/>
    </row>
    <row r="12181" ht="15" customHeight="1" s="192" thickBot="1">
      <c r="W12181" s="239" t="n"/>
      <c r="X12181" s="239" t="n"/>
    </row>
    <row r="12182" ht="15" customHeight="1" s="192" thickBot="1">
      <c r="W12182" s="45" t="n"/>
      <c r="X12182" s="45" t="n"/>
    </row>
    <row r="12183" ht="14.25" customHeight="1" s="192">
      <c r="W12183" s="228" t="n"/>
      <c r="X12183" s="228" t="n"/>
    </row>
    <row r="12184" ht="14.25" customHeight="1" s="192">
      <c r="W12184" s="228" t="n"/>
      <c r="X12184" s="228" t="n"/>
    </row>
    <row r="12185" ht="14.25" customHeight="1" s="192">
      <c r="W12185" s="231" t="n"/>
      <c r="X12185" s="231" t="n"/>
    </row>
    <row r="12186" ht="14.25" customHeight="1" s="192">
      <c r="W12186" s="33" t="n"/>
      <c r="X12186" s="33" t="n"/>
    </row>
    <row r="12187" ht="14.25" customHeight="1" s="192">
      <c r="W12187" s="231" t="n"/>
      <c r="X12187" s="231" t="n"/>
    </row>
    <row r="12188" ht="14.25" customHeight="1" s="192">
      <c r="W12188" s="33" t="n"/>
      <c r="X12188" s="33" t="n"/>
    </row>
    <row r="12190" ht="14.25" customHeight="1" s="192">
      <c r="W12190" s="231" t="n"/>
      <c r="X12190" s="231" t="n"/>
    </row>
    <row r="12191" ht="14.25" customHeight="1" s="192">
      <c r="W12191" s="235" t="n"/>
      <c r="X12191" s="235" t="n"/>
    </row>
    <row r="12192" ht="14.25" customHeight="1" s="192">
      <c r="W12192" s="228" t="n"/>
      <c r="X12192" s="228" t="n"/>
    </row>
    <row r="12193" ht="14.25" customHeight="1" s="192">
      <c r="W12193" s="235" t="n"/>
      <c r="X12193" s="235" t="n"/>
    </row>
    <row r="12194" ht="14.25" customHeight="1" s="192">
      <c r="W12194" s="235" t="n"/>
      <c r="X12194" s="235" t="n"/>
    </row>
    <row r="12195" ht="14.25" customHeight="1" s="192">
      <c r="W12195" s="235" t="n"/>
      <c r="X12195" s="235" t="n"/>
    </row>
    <row r="12196" ht="14.25" customHeight="1" s="192">
      <c r="W12196" s="239" t="n"/>
      <c r="X12196" s="239" t="n"/>
    </row>
    <row r="12197" ht="14.25" customHeight="1" s="192">
      <c r="W12197" s="239" t="n"/>
      <c r="X12197" s="239" t="n"/>
    </row>
    <row r="12198" ht="14.25" customHeight="1" s="192">
      <c r="W12198" s="239" t="n"/>
      <c r="X12198" s="239" t="n"/>
    </row>
    <row r="12199" ht="14.25" customHeight="1" s="192">
      <c r="W12199" s="235" t="n"/>
      <c r="X12199" s="235" t="n"/>
    </row>
    <row r="12200" ht="14.25" customHeight="1" s="192">
      <c r="W12200" s="235" t="n"/>
      <c r="X12200" s="235" t="n"/>
    </row>
    <row r="12201" ht="14.25" customHeight="1" s="192">
      <c r="W12201" s="235" t="n"/>
      <c r="X12201" s="235" t="n"/>
    </row>
    <row r="12202" ht="14.25" customHeight="1" s="192">
      <c r="W12202" s="239" t="n"/>
      <c r="X12202" s="239" t="n"/>
    </row>
    <row r="12203" ht="14.25" customHeight="1" s="192">
      <c r="W12203" s="239" t="n"/>
      <c r="X12203" s="239" t="n"/>
    </row>
    <row r="12204" ht="14.25" customHeight="1" s="192">
      <c r="W12204" s="235" t="n"/>
      <c r="X12204" s="235" t="n"/>
    </row>
    <row r="12205" ht="14.25" customHeight="1" s="192">
      <c r="W12205" s="235" t="n"/>
      <c r="X12205" s="235" t="n"/>
    </row>
    <row r="12206" ht="14.25" customHeight="1" s="192">
      <c r="W12206" s="239" t="n"/>
      <c r="X12206" s="239" t="n"/>
    </row>
    <row r="12207" ht="14.25" customHeight="1" s="192">
      <c r="W12207" s="235" t="n"/>
      <c r="X12207" s="235" t="n"/>
    </row>
    <row r="12208" ht="14.25" customHeight="1" s="192">
      <c r="W12208" s="239" t="n"/>
      <c r="X12208" s="239" t="n"/>
    </row>
    <row r="12210" ht="14.25" customHeight="1" s="192">
      <c r="W12210" s="235" t="n"/>
      <c r="X12210" s="235" t="n"/>
    </row>
    <row r="12211" ht="15" customHeight="1" s="192" thickBot="1">
      <c r="W12211" s="239" t="n"/>
      <c r="X12211" s="239" t="n"/>
    </row>
    <row r="12212" ht="15" customHeight="1" s="192" thickBot="1">
      <c r="W12212" s="45" t="n"/>
      <c r="X12212" s="45" t="n"/>
    </row>
    <row r="12213" ht="14.25" customHeight="1" s="192">
      <c r="W12213" s="228" t="n"/>
      <c r="X12213" s="228" t="n"/>
    </row>
    <row r="12214" ht="14.25" customHeight="1" s="192">
      <c r="W12214" s="228" t="n"/>
      <c r="X12214" s="228" t="n"/>
    </row>
    <row r="12215" ht="14.25" customHeight="1" s="192">
      <c r="W12215" s="231" t="n"/>
      <c r="X12215" s="231" t="n"/>
    </row>
    <row r="12216" ht="14.25" customHeight="1" s="192">
      <c r="W12216" s="33" t="n"/>
      <c r="X12216" s="33" t="n"/>
    </row>
    <row r="12217" ht="14.25" customHeight="1" s="192">
      <c r="W12217" s="231" t="n"/>
      <c r="X12217" s="231" t="n"/>
    </row>
    <row r="12218" ht="14.25" customHeight="1" s="192">
      <c r="W12218" s="33" t="n"/>
      <c r="X12218" s="33" t="n"/>
    </row>
    <row r="12220" ht="14.25" customHeight="1" s="192">
      <c r="W12220" s="231" t="n"/>
      <c r="X12220" s="231" t="n"/>
    </row>
    <row r="12221" ht="14.25" customHeight="1" s="192">
      <c r="W12221" s="235" t="n"/>
      <c r="X12221" s="235" t="n"/>
    </row>
    <row r="12222" ht="14.25" customHeight="1" s="192">
      <c r="W12222" s="228" t="n"/>
      <c r="X12222" s="228" t="n"/>
    </row>
    <row r="12223" ht="14.25" customHeight="1" s="192">
      <c r="W12223" s="235" t="n"/>
      <c r="X12223" s="235" t="n"/>
    </row>
    <row r="12224" ht="14.25" customHeight="1" s="192">
      <c r="W12224" s="235" t="n"/>
      <c r="X12224" s="235" t="n"/>
    </row>
    <row r="12225" ht="14.25" customHeight="1" s="192">
      <c r="W12225" s="235" t="n"/>
      <c r="X12225" s="235" t="n"/>
    </row>
    <row r="12226" ht="14.25" customHeight="1" s="192">
      <c r="W12226" s="239" t="n"/>
      <c r="X12226" s="239" t="n"/>
    </row>
    <row r="12227" ht="14.25" customHeight="1" s="192">
      <c r="W12227" s="239" t="n"/>
      <c r="X12227" s="239" t="n"/>
    </row>
    <row r="12228" ht="14.25" customHeight="1" s="192">
      <c r="W12228" s="239" t="n"/>
      <c r="X12228" s="239" t="n"/>
    </row>
    <row r="12229" ht="14.25" customHeight="1" s="192">
      <c r="W12229" s="235" t="n"/>
      <c r="X12229" s="235" t="n"/>
    </row>
    <row r="12230" ht="14.25" customHeight="1" s="192">
      <c r="W12230" s="235" t="n"/>
      <c r="X12230" s="235" t="n"/>
    </row>
    <row r="12231" ht="14.25" customHeight="1" s="192">
      <c r="W12231" s="235" t="n"/>
      <c r="X12231" s="235" t="n"/>
    </row>
    <row r="12232" ht="14.25" customHeight="1" s="192">
      <c r="W12232" s="239" t="n"/>
      <c r="X12232" s="239" t="n"/>
    </row>
    <row r="12233" ht="14.25" customHeight="1" s="192">
      <c r="W12233" s="239" t="n"/>
      <c r="X12233" s="239" t="n"/>
    </row>
    <row r="12234" ht="14.25" customHeight="1" s="192">
      <c r="W12234" s="235" t="n"/>
      <c r="X12234" s="235" t="n"/>
    </row>
    <row r="12235" ht="14.25" customHeight="1" s="192">
      <c r="W12235" s="235" t="n"/>
      <c r="X12235" s="235" t="n"/>
    </row>
    <row r="12236" ht="14.25" customHeight="1" s="192">
      <c r="W12236" s="239" t="n"/>
      <c r="X12236" s="239" t="n"/>
    </row>
    <row r="12237" ht="14.25" customHeight="1" s="192">
      <c r="W12237" s="235" t="n"/>
      <c r="X12237" s="235" t="n"/>
    </row>
    <row r="12238" ht="14.25" customHeight="1" s="192">
      <c r="W12238" s="239" t="n"/>
      <c r="X12238" s="239" t="n"/>
    </row>
    <row r="12240" ht="14.25" customHeight="1" s="192">
      <c r="W12240" s="235" t="n"/>
      <c r="X12240" s="235" t="n"/>
    </row>
    <row r="12241" ht="15" customHeight="1" s="192" thickBot="1">
      <c r="W12241" s="239" t="n"/>
      <c r="X12241" s="239" t="n"/>
    </row>
    <row r="12242" ht="15" customHeight="1" s="192" thickBot="1">
      <c r="W12242" s="45" t="n"/>
      <c r="X12242" s="45" t="n"/>
    </row>
    <row r="12243" ht="14.25" customHeight="1" s="192">
      <c r="W12243" s="228" t="n"/>
      <c r="X12243" s="228" t="n"/>
    </row>
    <row r="12244" ht="14.25" customHeight="1" s="192">
      <c r="W12244" s="228" t="n"/>
      <c r="X12244" s="228" t="n"/>
    </row>
    <row r="12245" ht="14.25" customHeight="1" s="192">
      <c r="W12245" s="231" t="n"/>
      <c r="X12245" s="231" t="n"/>
    </row>
    <row r="12246" ht="14.25" customHeight="1" s="192">
      <c r="W12246" s="33" t="n"/>
      <c r="X12246" s="33" t="n"/>
    </row>
    <row r="12247" ht="14.25" customHeight="1" s="192">
      <c r="W12247" s="231" t="n"/>
      <c r="X12247" s="231" t="n"/>
    </row>
    <row r="12248" ht="14.25" customHeight="1" s="192">
      <c r="W12248" s="33" t="n"/>
      <c r="X12248" s="33" t="n"/>
    </row>
    <row r="12250" ht="14.25" customHeight="1" s="192">
      <c r="W12250" s="231" t="n"/>
      <c r="X12250" s="231" t="n"/>
    </row>
    <row r="12251" ht="14.25" customHeight="1" s="192">
      <c r="W12251" s="235" t="n"/>
      <c r="X12251" s="235" t="n"/>
    </row>
    <row r="12252" ht="14.25" customHeight="1" s="192">
      <c r="W12252" s="228" t="n"/>
      <c r="X12252" s="228" t="n"/>
    </row>
    <row r="12253" ht="14.25" customHeight="1" s="192">
      <c r="W12253" s="235" t="n"/>
      <c r="X12253" s="235" t="n"/>
    </row>
    <row r="12254" ht="14.25" customHeight="1" s="192">
      <c r="W12254" s="235" t="n"/>
      <c r="X12254" s="235" t="n"/>
    </row>
    <row r="12255" ht="14.25" customHeight="1" s="192">
      <c r="W12255" s="235" t="n"/>
      <c r="X12255" s="235" t="n"/>
    </row>
    <row r="12256" ht="14.25" customHeight="1" s="192">
      <c r="W12256" s="239" t="n"/>
      <c r="X12256" s="239" t="n"/>
    </row>
    <row r="12257" ht="14.25" customHeight="1" s="192">
      <c r="W12257" s="239" t="n"/>
      <c r="X12257" s="239" t="n"/>
    </row>
    <row r="12258" ht="14.25" customHeight="1" s="192">
      <c r="W12258" s="239" t="n"/>
      <c r="X12258" s="239" t="n"/>
    </row>
    <row r="12259" ht="14.25" customHeight="1" s="192">
      <c r="W12259" s="235" t="n"/>
      <c r="X12259" s="235" t="n"/>
    </row>
    <row r="12260" ht="14.25" customHeight="1" s="192">
      <c r="W12260" s="235" t="n"/>
      <c r="X12260" s="235" t="n"/>
    </row>
    <row r="12261" ht="14.25" customHeight="1" s="192">
      <c r="W12261" s="235" t="n"/>
      <c r="X12261" s="235" t="n"/>
    </row>
    <row r="12262" ht="14.25" customHeight="1" s="192">
      <c r="W12262" s="239" t="n"/>
      <c r="X12262" s="239" t="n"/>
    </row>
    <row r="12263" ht="14.25" customHeight="1" s="192">
      <c r="W12263" s="239" t="n"/>
      <c r="X12263" s="239" t="n"/>
    </row>
    <row r="12264" ht="14.25" customHeight="1" s="192">
      <c r="W12264" s="235" t="n"/>
      <c r="X12264" s="235" t="n"/>
    </row>
    <row r="12265" ht="14.25" customHeight="1" s="192">
      <c r="W12265" s="235" t="n"/>
      <c r="X12265" s="235" t="n"/>
    </row>
    <row r="12266" ht="14.25" customHeight="1" s="192">
      <c r="W12266" s="239" t="n"/>
      <c r="X12266" s="239" t="n"/>
    </row>
    <row r="12267" ht="14.25" customHeight="1" s="192">
      <c r="W12267" s="235" t="n"/>
      <c r="X12267" s="235" t="n"/>
    </row>
    <row r="12268" ht="14.25" customHeight="1" s="192">
      <c r="W12268" s="239" t="n"/>
      <c r="X12268" s="239" t="n"/>
    </row>
    <row r="12270" ht="14.25" customHeight="1" s="192">
      <c r="W12270" s="235" t="n"/>
      <c r="X12270" s="235" t="n"/>
    </row>
    <row r="12271" ht="15" customHeight="1" s="192" thickBot="1">
      <c r="W12271" s="239" t="n"/>
      <c r="X12271" s="239" t="n"/>
    </row>
    <row r="12272" ht="15" customHeight="1" s="192" thickBot="1">
      <c r="W12272" s="45" t="n"/>
      <c r="X12272" s="45" t="n"/>
    </row>
    <row r="12273" ht="14.25" customHeight="1" s="192">
      <c r="W12273" s="228" t="n"/>
      <c r="X12273" s="228" t="n"/>
    </row>
    <row r="12274" ht="14.25" customHeight="1" s="192">
      <c r="W12274" s="228" t="n"/>
      <c r="X12274" s="228" t="n"/>
    </row>
    <row r="12275" ht="14.25" customHeight="1" s="192">
      <c r="W12275" s="231" t="n"/>
      <c r="X12275" s="231" t="n"/>
    </row>
    <row r="12276" ht="14.25" customHeight="1" s="192">
      <c r="W12276" s="33" t="n"/>
      <c r="X12276" s="33" t="n"/>
    </row>
    <row r="12277" ht="14.25" customHeight="1" s="192">
      <c r="W12277" s="231" t="n"/>
      <c r="X12277" s="231" t="n"/>
    </row>
    <row r="12278" ht="14.25" customHeight="1" s="192">
      <c r="W12278" s="33" t="n"/>
      <c r="X12278" s="33" t="n"/>
    </row>
    <row r="12280" ht="14.25" customHeight="1" s="192">
      <c r="W12280" s="231" t="n"/>
      <c r="X12280" s="231" t="n"/>
    </row>
    <row r="12281" ht="14.25" customHeight="1" s="192">
      <c r="W12281" s="235" t="n"/>
      <c r="X12281" s="235" t="n"/>
    </row>
    <row r="12282" ht="14.25" customHeight="1" s="192">
      <c r="W12282" s="228" t="n"/>
      <c r="X12282" s="228" t="n"/>
    </row>
    <row r="12283" ht="14.25" customHeight="1" s="192">
      <c r="W12283" s="235" t="n"/>
      <c r="X12283" s="235" t="n"/>
    </row>
    <row r="12284" ht="14.25" customHeight="1" s="192">
      <c r="W12284" s="235" t="n"/>
      <c r="X12284" s="235" t="n"/>
    </row>
    <row r="12285" ht="14.25" customHeight="1" s="192">
      <c r="W12285" s="235" t="n"/>
      <c r="X12285" s="235" t="n"/>
    </row>
    <row r="12286" ht="14.25" customHeight="1" s="192">
      <c r="W12286" s="239" t="n"/>
      <c r="X12286" s="239" t="n"/>
    </row>
    <row r="12287" ht="14.25" customHeight="1" s="192">
      <c r="W12287" s="239" t="n"/>
      <c r="X12287" s="239" t="n"/>
    </row>
    <row r="12288" ht="14.25" customHeight="1" s="192">
      <c r="W12288" s="239" t="n"/>
      <c r="X12288" s="239" t="n"/>
    </row>
    <row r="12289" ht="14.25" customHeight="1" s="192">
      <c r="W12289" s="235" t="n"/>
      <c r="X12289" s="235" t="n"/>
    </row>
    <row r="12290" ht="14.25" customHeight="1" s="192">
      <c r="W12290" s="235" t="n"/>
      <c r="X12290" s="235" t="n"/>
    </row>
    <row r="12291" ht="14.25" customHeight="1" s="192">
      <c r="W12291" s="235" t="n"/>
      <c r="X12291" s="235" t="n"/>
    </row>
    <row r="12292" ht="14.25" customHeight="1" s="192">
      <c r="W12292" s="239" t="n"/>
      <c r="X12292" s="239" t="n"/>
    </row>
    <row r="12293" ht="14.25" customHeight="1" s="192">
      <c r="W12293" s="239" t="n"/>
      <c r="X12293" s="239" t="n"/>
    </row>
    <row r="12294" ht="14.25" customHeight="1" s="192">
      <c r="W12294" s="235" t="n"/>
      <c r="X12294" s="235" t="n"/>
    </row>
    <row r="12295" ht="14.25" customHeight="1" s="192">
      <c r="W12295" s="235" t="n"/>
      <c r="X12295" s="235" t="n"/>
    </row>
    <row r="12296" ht="14.25" customHeight="1" s="192">
      <c r="W12296" s="239" t="n"/>
      <c r="X12296" s="239" t="n"/>
    </row>
    <row r="12297" ht="14.25" customHeight="1" s="192">
      <c r="W12297" s="235" t="n"/>
      <c r="X12297" s="235" t="n"/>
    </row>
    <row r="12298" ht="14.25" customHeight="1" s="192">
      <c r="W12298" s="239" t="n"/>
      <c r="X12298" s="239" t="n"/>
    </row>
    <row r="12300" ht="14.25" customHeight="1" s="192">
      <c r="W12300" s="235" t="n"/>
      <c r="X12300" s="235" t="n"/>
    </row>
    <row r="12301" ht="15" customHeight="1" s="192" thickBot="1">
      <c r="W12301" s="239" t="n"/>
      <c r="X12301" s="239" t="n"/>
    </row>
    <row r="12302" ht="15" customHeight="1" s="192" thickBot="1">
      <c r="W12302" s="45" t="n"/>
      <c r="X12302" s="45" t="n"/>
    </row>
    <row r="12303" ht="14.25" customHeight="1" s="192">
      <c r="W12303" s="228" t="n"/>
      <c r="X12303" s="228" t="n"/>
    </row>
    <row r="12304" ht="14.25" customHeight="1" s="192">
      <c r="W12304" s="228" t="n"/>
      <c r="X12304" s="228" t="n"/>
    </row>
    <row r="12305" ht="14.25" customHeight="1" s="192">
      <c r="W12305" s="231" t="n"/>
      <c r="X12305" s="231" t="n"/>
    </row>
    <row r="12306" ht="14.25" customHeight="1" s="192">
      <c r="W12306" s="33" t="n"/>
      <c r="X12306" s="33" t="n"/>
    </row>
    <row r="12307" ht="14.25" customHeight="1" s="192">
      <c r="W12307" s="231" t="n"/>
      <c r="X12307" s="231" t="n"/>
    </row>
    <row r="12308" ht="14.25" customHeight="1" s="192">
      <c r="W12308" s="33" t="n"/>
      <c r="X12308" s="33" t="n"/>
    </row>
    <row r="12310" ht="14.25" customHeight="1" s="192">
      <c r="W12310" s="231" t="n"/>
      <c r="X12310" s="231" t="n"/>
    </row>
    <row r="12311" ht="14.25" customHeight="1" s="192">
      <c r="W12311" s="235" t="n"/>
      <c r="X12311" s="235" t="n"/>
    </row>
    <row r="12312" ht="14.25" customHeight="1" s="192">
      <c r="W12312" s="228" t="n"/>
      <c r="X12312" s="228" t="n"/>
    </row>
    <row r="12313" ht="14.25" customHeight="1" s="192">
      <c r="W12313" s="235" t="n"/>
      <c r="X12313" s="235" t="n"/>
    </row>
    <row r="12314" ht="14.25" customHeight="1" s="192">
      <c r="W12314" s="235" t="n"/>
      <c r="X12314" s="235" t="n"/>
    </row>
    <row r="12315" ht="14.25" customHeight="1" s="192">
      <c r="W12315" s="235" t="n"/>
      <c r="X12315" s="235" t="n"/>
    </row>
    <row r="12316" ht="14.25" customHeight="1" s="192">
      <c r="W12316" s="239" t="n"/>
      <c r="X12316" s="239" t="n"/>
    </row>
    <row r="12317" ht="14.25" customHeight="1" s="192">
      <c r="W12317" s="239" t="n"/>
      <c r="X12317" s="239" t="n"/>
    </row>
    <row r="12318" ht="14.25" customHeight="1" s="192">
      <c r="W12318" s="239" t="n"/>
      <c r="X12318" s="239" t="n"/>
    </row>
    <row r="12319" ht="14.25" customHeight="1" s="192">
      <c r="W12319" s="235" t="n"/>
      <c r="X12319" s="235" t="n"/>
    </row>
    <row r="12320" ht="14.25" customHeight="1" s="192">
      <c r="W12320" s="235" t="n"/>
      <c r="X12320" s="235" t="n"/>
    </row>
    <row r="12321" ht="14.25" customHeight="1" s="192">
      <c r="W12321" s="235" t="n"/>
      <c r="X12321" s="235" t="n"/>
    </row>
    <row r="12322" ht="14.25" customHeight="1" s="192">
      <c r="W12322" s="239" t="n"/>
      <c r="X12322" s="239" t="n"/>
    </row>
    <row r="12323" ht="14.25" customHeight="1" s="192">
      <c r="W12323" s="239" t="n"/>
      <c r="X12323" s="239" t="n"/>
    </row>
    <row r="12324" ht="14.25" customHeight="1" s="192">
      <c r="W12324" s="235" t="n"/>
      <c r="X12324" s="235" t="n"/>
    </row>
    <row r="12325" ht="14.25" customHeight="1" s="192">
      <c r="W12325" s="235" t="n"/>
      <c r="X12325" s="235" t="n"/>
    </row>
    <row r="12326" ht="14.25" customHeight="1" s="192">
      <c r="W12326" s="239" t="n"/>
      <c r="X12326" s="239" t="n"/>
    </row>
    <row r="12327" ht="14.25" customHeight="1" s="192">
      <c r="W12327" s="235" t="n"/>
      <c r="X12327" s="235" t="n"/>
    </row>
    <row r="12328" ht="14.25" customHeight="1" s="192">
      <c r="W12328" s="239" t="n"/>
      <c r="X12328" s="239" t="n"/>
    </row>
    <row r="12330" ht="14.25" customHeight="1" s="192">
      <c r="W12330" s="235" t="n"/>
      <c r="X12330" s="235" t="n"/>
    </row>
    <row r="12331" ht="15" customHeight="1" s="192" thickBot="1">
      <c r="W12331" s="239" t="n"/>
      <c r="X12331" s="239" t="n"/>
    </row>
    <row r="12332" ht="15" customHeight="1" s="192" thickBot="1">
      <c r="W12332" s="45" t="n"/>
      <c r="X12332" s="45" t="n"/>
    </row>
    <row r="12333" ht="14.25" customHeight="1" s="192">
      <c r="W12333" s="228" t="n"/>
      <c r="X12333" s="228" t="n"/>
    </row>
    <row r="12334" ht="14.25" customHeight="1" s="192">
      <c r="W12334" s="228" t="n"/>
      <c r="X12334" s="228" t="n"/>
    </row>
    <row r="12335" ht="14.25" customHeight="1" s="192">
      <c r="W12335" s="231" t="n"/>
      <c r="X12335" s="231" t="n"/>
    </row>
    <row r="12336" ht="14.25" customHeight="1" s="192">
      <c r="W12336" s="33" t="n"/>
      <c r="X12336" s="33" t="n"/>
    </row>
    <row r="12337" ht="14.25" customHeight="1" s="192">
      <c r="W12337" s="231" t="n"/>
      <c r="X12337" s="231" t="n"/>
    </row>
    <row r="12338" ht="14.25" customHeight="1" s="192">
      <c r="W12338" s="33" t="n"/>
      <c r="X12338" s="33" t="n"/>
    </row>
    <row r="12340" ht="14.25" customHeight="1" s="192">
      <c r="W12340" s="231" t="n"/>
      <c r="X12340" s="231" t="n"/>
    </row>
    <row r="12341" ht="14.25" customHeight="1" s="192">
      <c r="W12341" s="235" t="n"/>
      <c r="X12341" s="235" t="n"/>
    </row>
    <row r="12342" ht="14.25" customHeight="1" s="192">
      <c r="W12342" s="228" t="n"/>
      <c r="X12342" s="228" t="n"/>
    </row>
    <row r="12343" ht="14.25" customHeight="1" s="192">
      <c r="W12343" s="235" t="n"/>
      <c r="X12343" s="235" t="n"/>
    </row>
    <row r="12344" ht="14.25" customHeight="1" s="192">
      <c r="W12344" s="235" t="n"/>
      <c r="X12344" s="235" t="n"/>
    </row>
    <row r="12345" ht="14.25" customHeight="1" s="192">
      <c r="W12345" s="235" t="n"/>
      <c r="X12345" s="235" t="n"/>
    </row>
    <row r="12346" ht="14.25" customHeight="1" s="192">
      <c r="W12346" s="239" t="n"/>
      <c r="X12346" s="239" t="n"/>
    </row>
    <row r="12347" ht="14.25" customHeight="1" s="192">
      <c r="W12347" s="239" t="n"/>
      <c r="X12347" s="239" t="n"/>
    </row>
    <row r="12348" ht="14.25" customHeight="1" s="192">
      <c r="W12348" s="239" t="n"/>
      <c r="X12348" s="239" t="n"/>
    </row>
    <row r="12349" ht="14.25" customHeight="1" s="192">
      <c r="W12349" s="235" t="n"/>
      <c r="X12349" s="235" t="n"/>
    </row>
    <row r="12350" ht="14.25" customHeight="1" s="192">
      <c r="W12350" s="235" t="n"/>
      <c r="X12350" s="235" t="n"/>
    </row>
    <row r="12351" ht="14.25" customHeight="1" s="192">
      <c r="W12351" s="235" t="n"/>
      <c r="X12351" s="235" t="n"/>
    </row>
    <row r="12352" ht="14.25" customHeight="1" s="192">
      <c r="W12352" s="239" t="n"/>
      <c r="X12352" s="239" t="n"/>
    </row>
    <row r="12353" ht="14.25" customHeight="1" s="192">
      <c r="W12353" s="239" t="n"/>
      <c r="X12353" s="239" t="n"/>
    </row>
    <row r="12354" ht="14.25" customHeight="1" s="192">
      <c r="W12354" s="235" t="n"/>
      <c r="X12354" s="235" t="n"/>
    </row>
    <row r="12355" ht="14.25" customHeight="1" s="192">
      <c r="W12355" s="235" t="n"/>
      <c r="X12355" s="235" t="n"/>
    </row>
    <row r="12356" ht="14.25" customHeight="1" s="192">
      <c r="W12356" s="239" t="n"/>
      <c r="X12356" s="239" t="n"/>
    </row>
    <row r="12357" ht="14.25" customHeight="1" s="192">
      <c r="W12357" s="235" t="n"/>
      <c r="X12357" s="235" t="n"/>
    </row>
    <row r="12358" ht="14.25" customHeight="1" s="192">
      <c r="W12358" s="239" t="n"/>
      <c r="X12358" s="239" t="n"/>
    </row>
    <row r="12360" ht="14.25" customHeight="1" s="192">
      <c r="W12360" s="235" t="n"/>
      <c r="X12360" s="235" t="n"/>
    </row>
    <row r="12361" ht="15" customHeight="1" s="192" thickBot="1">
      <c r="W12361" s="239" t="n"/>
      <c r="X12361" s="239" t="n"/>
    </row>
    <row r="12362" ht="15" customHeight="1" s="192" thickBot="1">
      <c r="W12362" s="45" t="n"/>
      <c r="X12362" s="45" t="n"/>
    </row>
    <row r="12363" ht="14.25" customHeight="1" s="192">
      <c r="W12363" s="228" t="n"/>
      <c r="X12363" s="228" t="n"/>
    </row>
    <row r="12364" ht="14.25" customHeight="1" s="192">
      <c r="W12364" s="228" t="n"/>
      <c r="X12364" s="228" t="n"/>
    </row>
    <row r="12365" ht="14.25" customHeight="1" s="192">
      <c r="W12365" s="231" t="n"/>
      <c r="X12365" s="231" t="n"/>
    </row>
    <row r="12366" ht="14.25" customHeight="1" s="192">
      <c r="W12366" s="33" t="n"/>
      <c r="X12366" s="33" t="n"/>
    </row>
    <row r="12367" ht="14.25" customHeight="1" s="192">
      <c r="W12367" s="231" t="n"/>
      <c r="X12367" s="231" t="n"/>
    </row>
    <row r="12368" ht="14.25" customHeight="1" s="192">
      <c r="W12368" s="33" t="n"/>
      <c r="X12368" s="33" t="n"/>
    </row>
    <row r="12370" ht="14.25" customHeight="1" s="192">
      <c r="W12370" s="231" t="n"/>
      <c r="X12370" s="231" t="n"/>
    </row>
    <row r="12371" ht="14.25" customHeight="1" s="192">
      <c r="W12371" s="235" t="n"/>
      <c r="X12371" s="235" t="n"/>
    </row>
    <row r="12372" ht="14.25" customHeight="1" s="192">
      <c r="W12372" s="228" t="n"/>
      <c r="X12372" s="228" t="n"/>
    </row>
    <row r="12373" ht="14.25" customHeight="1" s="192">
      <c r="W12373" s="235" t="n"/>
      <c r="X12373" s="235" t="n"/>
    </row>
    <row r="12374" ht="14.25" customHeight="1" s="192">
      <c r="W12374" s="235" t="n"/>
      <c r="X12374" s="235" t="n"/>
    </row>
    <row r="12375" ht="14.25" customHeight="1" s="192">
      <c r="W12375" s="235" t="n"/>
      <c r="X12375" s="235" t="n"/>
    </row>
    <row r="12376" ht="14.25" customHeight="1" s="192">
      <c r="W12376" s="239" t="n"/>
      <c r="X12376" s="239" t="n"/>
    </row>
    <row r="12377" ht="14.25" customHeight="1" s="192">
      <c r="W12377" s="239" t="n"/>
      <c r="X12377" s="239" t="n"/>
    </row>
    <row r="12378" ht="14.25" customHeight="1" s="192">
      <c r="W12378" s="239" t="n"/>
      <c r="X12378" s="239" t="n"/>
    </row>
    <row r="12379" ht="14.25" customHeight="1" s="192">
      <c r="W12379" s="235" t="n"/>
      <c r="X12379" s="235" t="n"/>
    </row>
    <row r="12380" ht="14.25" customHeight="1" s="192">
      <c r="W12380" s="235" t="n"/>
      <c r="X12380" s="235" t="n"/>
    </row>
    <row r="12381" ht="14.25" customHeight="1" s="192">
      <c r="W12381" s="235" t="n"/>
      <c r="X12381" s="235" t="n"/>
    </row>
    <row r="12382" ht="14.25" customHeight="1" s="192">
      <c r="W12382" s="239" t="n"/>
      <c r="X12382" s="239" t="n"/>
    </row>
    <row r="12383" ht="14.25" customHeight="1" s="192">
      <c r="W12383" s="239" t="n"/>
      <c r="X12383" s="239" t="n"/>
    </row>
    <row r="12384" ht="14.25" customHeight="1" s="192">
      <c r="W12384" s="235" t="n"/>
      <c r="X12384" s="235" t="n"/>
    </row>
    <row r="12385" ht="14.25" customHeight="1" s="192">
      <c r="W12385" s="235" t="n"/>
      <c r="X12385" s="235" t="n"/>
    </row>
    <row r="12386" ht="14.25" customHeight="1" s="192">
      <c r="W12386" s="239" t="n"/>
      <c r="X12386" s="239" t="n"/>
    </row>
    <row r="12387" ht="14.25" customHeight="1" s="192">
      <c r="W12387" s="235" t="n"/>
      <c r="X12387" s="235" t="n"/>
    </row>
    <row r="12388" ht="14.25" customHeight="1" s="192">
      <c r="W12388" s="239" t="n"/>
      <c r="X12388" s="239" t="n"/>
    </row>
    <row r="12390" ht="14.25" customHeight="1" s="192">
      <c r="W12390" s="235" t="n"/>
      <c r="X12390" s="235" t="n"/>
    </row>
    <row r="12391" ht="15" customHeight="1" s="192" thickBot="1">
      <c r="W12391" s="239" t="n"/>
      <c r="X12391" s="239" t="n"/>
    </row>
    <row r="12392" ht="15" customHeight="1" s="192" thickBot="1">
      <c r="W12392" s="45" t="n"/>
      <c r="X12392" s="45" t="n"/>
    </row>
    <row r="12393" ht="14.25" customHeight="1" s="192">
      <c r="W12393" s="228" t="n"/>
      <c r="X12393" s="228" t="n"/>
    </row>
    <row r="12394" ht="14.25" customHeight="1" s="192">
      <c r="W12394" s="228" t="n"/>
      <c r="X12394" s="228" t="n"/>
    </row>
    <row r="12395" ht="14.25" customHeight="1" s="192">
      <c r="W12395" s="231" t="n"/>
      <c r="X12395" s="231" t="n"/>
    </row>
    <row r="12396" ht="14.25" customHeight="1" s="192">
      <c r="W12396" s="33" t="n"/>
      <c r="X12396" s="33" t="n"/>
    </row>
    <row r="12397" ht="14.25" customHeight="1" s="192">
      <c r="W12397" s="231" t="n"/>
      <c r="X12397" s="231" t="n"/>
    </row>
    <row r="12398" ht="14.25" customHeight="1" s="192">
      <c r="W12398" s="33" t="n"/>
      <c r="X12398" s="33" t="n"/>
    </row>
    <row r="12400" ht="14.25" customHeight="1" s="192">
      <c r="W12400" s="231" t="n"/>
      <c r="X12400" s="231" t="n"/>
    </row>
    <row r="12401" ht="14.25" customHeight="1" s="192">
      <c r="W12401" s="235" t="n"/>
      <c r="X12401" s="235" t="n"/>
    </row>
    <row r="12402" ht="14.25" customHeight="1" s="192">
      <c r="W12402" s="228" t="n"/>
      <c r="X12402" s="228" t="n"/>
    </row>
    <row r="12403" ht="14.25" customHeight="1" s="192">
      <c r="W12403" s="235" t="n"/>
      <c r="X12403" s="235" t="n"/>
    </row>
    <row r="12404" ht="14.25" customHeight="1" s="192">
      <c r="W12404" s="235" t="n"/>
      <c r="X12404" s="235" t="n"/>
    </row>
    <row r="12405" ht="14.25" customHeight="1" s="192">
      <c r="W12405" s="235" t="n"/>
      <c r="X12405" s="235" t="n"/>
    </row>
    <row r="12406" ht="14.25" customHeight="1" s="192">
      <c r="W12406" s="239" t="n"/>
      <c r="X12406" s="239" t="n"/>
    </row>
    <row r="12407" ht="14.25" customHeight="1" s="192">
      <c r="W12407" s="239" t="n"/>
      <c r="X12407" s="239" t="n"/>
    </row>
    <row r="12408" ht="14.25" customHeight="1" s="192">
      <c r="W12408" s="239" t="n"/>
      <c r="X12408" s="239" t="n"/>
    </row>
    <row r="12409" ht="14.25" customHeight="1" s="192">
      <c r="W12409" s="235" t="n"/>
      <c r="X12409" s="235" t="n"/>
    </row>
    <row r="12410" ht="14.25" customHeight="1" s="192">
      <c r="W12410" s="235" t="n"/>
      <c r="X12410" s="235" t="n"/>
    </row>
    <row r="12411" ht="14.25" customHeight="1" s="192">
      <c r="W12411" s="235" t="n"/>
      <c r="X12411" s="235" t="n"/>
    </row>
    <row r="12412" ht="14.25" customHeight="1" s="192">
      <c r="W12412" s="239" t="n"/>
      <c r="X12412" s="239" t="n"/>
    </row>
    <row r="12413" ht="14.25" customHeight="1" s="192">
      <c r="W12413" s="239" t="n"/>
      <c r="X12413" s="239" t="n"/>
    </row>
    <row r="12414" ht="14.25" customHeight="1" s="192">
      <c r="W12414" s="235" t="n"/>
      <c r="X12414" s="235" t="n"/>
    </row>
    <row r="12415" ht="14.25" customHeight="1" s="192">
      <c r="W12415" s="235" t="n"/>
      <c r="X12415" s="235" t="n"/>
    </row>
    <row r="12416" ht="14.25" customHeight="1" s="192">
      <c r="W12416" s="239" t="n"/>
      <c r="X12416" s="239" t="n"/>
    </row>
    <row r="12417" ht="14.25" customHeight="1" s="192">
      <c r="W12417" s="235" t="n"/>
      <c r="X12417" s="235" t="n"/>
    </row>
    <row r="12418" ht="14.25" customHeight="1" s="192">
      <c r="W12418" s="239" t="n"/>
      <c r="X12418" s="239" t="n"/>
    </row>
    <row r="12420" ht="14.25" customHeight="1" s="192">
      <c r="W12420" s="235" t="n"/>
      <c r="X12420" s="235" t="n"/>
    </row>
    <row r="12421" ht="15" customHeight="1" s="192" thickBot="1">
      <c r="W12421" s="239" t="n"/>
      <c r="X12421" s="239" t="n"/>
    </row>
    <row r="12422" ht="15" customHeight="1" s="192" thickBot="1">
      <c r="W12422" s="45" t="n"/>
      <c r="X12422" s="45" t="n"/>
    </row>
    <row r="12423" ht="14.25" customHeight="1" s="192">
      <c r="W12423" s="228" t="n"/>
      <c r="X12423" s="228" t="n"/>
    </row>
    <row r="12424" ht="14.25" customHeight="1" s="192">
      <c r="W12424" s="228" t="n"/>
      <c r="X12424" s="228" t="n"/>
    </row>
    <row r="12425" ht="14.25" customHeight="1" s="192">
      <c r="W12425" s="231" t="n"/>
      <c r="X12425" s="231" t="n"/>
    </row>
    <row r="12426" ht="14.25" customHeight="1" s="192">
      <c r="W12426" s="33" t="n"/>
      <c r="X12426" s="33" t="n"/>
    </row>
    <row r="12427" ht="14.25" customHeight="1" s="192">
      <c r="W12427" s="231" t="n"/>
      <c r="X12427" s="231" t="n"/>
    </row>
    <row r="12428" ht="14.25" customHeight="1" s="192">
      <c r="W12428" s="33" t="n"/>
      <c r="X12428" s="33" t="n"/>
    </row>
    <row r="12430" ht="14.25" customHeight="1" s="192">
      <c r="W12430" s="231" t="n"/>
      <c r="X12430" s="231" t="n"/>
    </row>
    <row r="12431" ht="14.25" customHeight="1" s="192">
      <c r="W12431" s="235" t="n"/>
      <c r="X12431" s="235" t="n"/>
    </row>
    <row r="12432" ht="14.25" customHeight="1" s="192">
      <c r="W12432" s="228" t="n"/>
      <c r="X12432" s="228" t="n"/>
    </row>
    <row r="12433" ht="14.25" customHeight="1" s="192">
      <c r="W12433" s="235" t="n"/>
      <c r="X12433" s="235" t="n"/>
    </row>
    <row r="12434" ht="14.25" customHeight="1" s="192">
      <c r="W12434" s="235" t="n"/>
      <c r="X12434" s="235" t="n"/>
    </row>
    <row r="12435" ht="14.25" customHeight="1" s="192">
      <c r="W12435" s="235" t="n"/>
      <c r="X12435" s="235" t="n"/>
    </row>
    <row r="12436" ht="14.25" customHeight="1" s="192">
      <c r="W12436" s="239" t="n"/>
      <c r="X12436" s="239" t="n"/>
    </row>
    <row r="12437" ht="14.25" customHeight="1" s="192">
      <c r="W12437" s="239" t="n"/>
      <c r="X12437" s="239" t="n"/>
    </row>
    <row r="12438" ht="14.25" customHeight="1" s="192">
      <c r="W12438" s="239" t="n"/>
      <c r="X12438" s="239" t="n"/>
    </row>
    <row r="12439" ht="14.25" customHeight="1" s="192">
      <c r="W12439" s="235" t="n"/>
      <c r="X12439" s="235" t="n"/>
    </row>
    <row r="12440" ht="14.25" customHeight="1" s="192">
      <c r="W12440" s="235" t="n"/>
      <c r="X12440" s="235" t="n"/>
    </row>
    <row r="12441" ht="14.25" customHeight="1" s="192">
      <c r="W12441" s="235" t="n"/>
      <c r="X12441" s="235" t="n"/>
    </row>
    <row r="12442" ht="14.25" customHeight="1" s="192">
      <c r="W12442" s="239" t="n"/>
      <c r="X12442" s="239" t="n"/>
    </row>
    <row r="12443" ht="14.25" customHeight="1" s="192">
      <c r="W12443" s="239" t="n"/>
      <c r="X12443" s="239" t="n"/>
    </row>
    <row r="12444" ht="14.25" customHeight="1" s="192">
      <c r="W12444" s="235" t="n"/>
      <c r="X12444" s="235" t="n"/>
    </row>
    <row r="12445" ht="14.25" customHeight="1" s="192">
      <c r="W12445" s="235" t="n"/>
      <c r="X12445" s="235" t="n"/>
    </row>
    <row r="12446" ht="14.25" customHeight="1" s="192">
      <c r="W12446" s="239" t="n"/>
      <c r="X12446" s="239" t="n"/>
    </row>
    <row r="12447" ht="14.25" customHeight="1" s="192">
      <c r="W12447" s="235" t="n"/>
      <c r="X12447" s="235" t="n"/>
    </row>
    <row r="12448" ht="14.25" customHeight="1" s="192">
      <c r="W12448" s="239" t="n"/>
      <c r="X12448" s="239" t="n"/>
    </row>
    <row r="12450" ht="14.25" customHeight="1" s="192">
      <c r="W12450" s="235" t="n"/>
      <c r="X12450" s="235" t="n"/>
    </row>
    <row r="12451" ht="15" customHeight="1" s="192" thickBot="1">
      <c r="W12451" s="239" t="n"/>
      <c r="X12451" s="239" t="n"/>
    </row>
    <row r="12452" ht="15" customHeight="1" s="192" thickBot="1">
      <c r="W12452" s="45" t="n"/>
      <c r="X12452" s="45" t="n"/>
    </row>
    <row r="12453" ht="14.25" customHeight="1" s="192">
      <c r="W12453" s="228" t="n"/>
      <c r="X12453" s="228" t="n"/>
    </row>
    <row r="12454" ht="14.25" customHeight="1" s="192">
      <c r="W12454" s="228" t="n"/>
      <c r="X12454" s="228" t="n"/>
    </row>
    <row r="12455" ht="14.25" customHeight="1" s="192">
      <c r="W12455" s="231" t="n"/>
      <c r="X12455" s="231" t="n"/>
    </row>
    <row r="12456" ht="14.25" customHeight="1" s="192">
      <c r="W12456" s="33" t="n"/>
      <c r="X12456" s="33" t="n"/>
    </row>
    <row r="12457" ht="14.25" customHeight="1" s="192">
      <c r="W12457" s="231" t="n"/>
      <c r="X12457" s="231" t="n"/>
    </row>
    <row r="12458" ht="14.25" customHeight="1" s="192">
      <c r="W12458" s="33" t="n"/>
      <c r="X12458" s="33" t="n"/>
    </row>
    <row r="12460" ht="14.25" customHeight="1" s="192">
      <c r="W12460" s="231" t="n"/>
      <c r="X12460" s="231" t="n"/>
    </row>
    <row r="12461" ht="14.25" customHeight="1" s="192">
      <c r="W12461" s="235" t="n"/>
      <c r="X12461" s="235" t="n"/>
    </row>
    <row r="12462" ht="14.25" customHeight="1" s="192">
      <c r="W12462" s="228" t="n"/>
      <c r="X12462" s="228" t="n"/>
    </row>
    <row r="12463" ht="14.25" customHeight="1" s="192">
      <c r="W12463" s="235" t="n"/>
      <c r="X12463" s="235" t="n"/>
    </row>
    <row r="12464" ht="14.25" customHeight="1" s="192">
      <c r="W12464" s="235" t="n"/>
      <c r="X12464" s="235" t="n"/>
    </row>
    <row r="12465" ht="14.25" customHeight="1" s="192">
      <c r="W12465" s="235" t="n"/>
      <c r="X12465" s="235" t="n"/>
    </row>
    <row r="12466" ht="14.25" customHeight="1" s="192">
      <c r="W12466" s="239" t="n"/>
      <c r="X12466" s="239" t="n"/>
    </row>
    <row r="12467" ht="14.25" customHeight="1" s="192">
      <c r="W12467" s="239" t="n"/>
      <c r="X12467" s="239" t="n"/>
    </row>
    <row r="12468" ht="14.25" customHeight="1" s="192">
      <c r="W12468" s="239" t="n"/>
      <c r="X12468" s="239" t="n"/>
    </row>
    <row r="12469" ht="14.25" customHeight="1" s="192">
      <c r="W12469" s="235" t="n"/>
      <c r="X12469" s="235" t="n"/>
    </row>
    <row r="12470" ht="14.25" customHeight="1" s="192">
      <c r="W12470" s="235" t="n"/>
      <c r="X12470" s="235" t="n"/>
    </row>
    <row r="12471" ht="14.25" customHeight="1" s="192">
      <c r="W12471" s="235" t="n"/>
      <c r="X12471" s="235" t="n"/>
    </row>
    <row r="12472" ht="14.25" customHeight="1" s="192">
      <c r="W12472" s="239" t="n"/>
      <c r="X12472" s="239" t="n"/>
    </row>
    <row r="12473" ht="14.25" customHeight="1" s="192">
      <c r="W12473" s="239" t="n"/>
      <c r="X12473" s="239" t="n"/>
    </row>
    <row r="12474" ht="14.25" customHeight="1" s="192">
      <c r="W12474" s="235" t="n"/>
      <c r="X12474" s="235" t="n"/>
    </row>
    <row r="12475" ht="14.25" customHeight="1" s="192">
      <c r="W12475" s="235" t="n"/>
      <c r="X12475" s="235" t="n"/>
    </row>
    <row r="12476" ht="14.25" customHeight="1" s="192">
      <c r="W12476" s="239" t="n"/>
      <c r="X12476" s="239" t="n"/>
    </row>
    <row r="12477" ht="14.25" customHeight="1" s="192">
      <c r="W12477" s="235" t="n"/>
      <c r="X12477" s="235" t="n"/>
    </row>
    <row r="12478" ht="14.25" customHeight="1" s="192">
      <c r="W12478" s="239" t="n"/>
      <c r="X12478" s="239" t="n"/>
    </row>
    <row r="12480" ht="14.25" customHeight="1" s="192">
      <c r="W12480" s="235" t="n"/>
      <c r="X12480" s="235" t="n"/>
    </row>
    <row r="12481" ht="15" customHeight="1" s="192" thickBot="1">
      <c r="W12481" s="239" t="n"/>
      <c r="X12481" s="239" t="n"/>
    </row>
    <row r="12482" ht="15" customHeight="1" s="192" thickBot="1">
      <c r="W12482" s="45" t="n"/>
      <c r="X12482" s="45" t="n"/>
    </row>
    <row r="12483" ht="14.25" customHeight="1" s="192">
      <c r="W12483" s="228" t="n"/>
      <c r="X12483" s="228" t="n"/>
    </row>
    <row r="12484" ht="14.25" customHeight="1" s="192">
      <c r="W12484" s="228" t="n"/>
      <c r="X12484" s="228" t="n"/>
    </row>
    <row r="12485" ht="14.25" customHeight="1" s="192">
      <c r="W12485" s="231" t="n"/>
      <c r="X12485" s="231" t="n"/>
    </row>
    <row r="12486" ht="14.25" customHeight="1" s="192">
      <c r="W12486" s="33" t="n"/>
      <c r="X12486" s="33" t="n"/>
    </row>
    <row r="12487" ht="14.25" customHeight="1" s="192">
      <c r="W12487" s="231" t="n"/>
      <c r="X12487" s="231" t="n"/>
    </row>
    <row r="12488" ht="14.25" customHeight="1" s="192">
      <c r="W12488" s="33" t="n"/>
      <c r="X12488" s="33" t="n"/>
    </row>
    <row r="12490" ht="14.25" customHeight="1" s="192">
      <c r="W12490" s="231" t="n"/>
      <c r="X12490" s="231" t="n"/>
    </row>
    <row r="12491" ht="14.25" customHeight="1" s="192">
      <c r="W12491" s="235" t="n"/>
      <c r="X12491" s="235" t="n"/>
    </row>
    <row r="12492" ht="14.25" customHeight="1" s="192">
      <c r="W12492" s="228" t="n"/>
      <c r="X12492" s="228" t="n"/>
    </row>
    <row r="12493" ht="14.25" customHeight="1" s="192">
      <c r="W12493" s="235" t="n"/>
      <c r="X12493" s="235" t="n"/>
    </row>
    <row r="12494" ht="14.25" customHeight="1" s="192">
      <c r="W12494" s="235" t="n"/>
      <c r="X12494" s="235" t="n"/>
    </row>
    <row r="12495" ht="14.25" customHeight="1" s="192">
      <c r="W12495" s="235" t="n"/>
      <c r="X12495" s="235" t="n"/>
    </row>
    <row r="12496" ht="14.25" customHeight="1" s="192">
      <c r="W12496" s="239" t="n"/>
      <c r="X12496" s="239" t="n"/>
    </row>
    <row r="12497" ht="14.25" customHeight="1" s="192">
      <c r="W12497" s="239" t="n"/>
      <c r="X12497" s="239" t="n"/>
    </row>
    <row r="12498" ht="14.25" customHeight="1" s="192">
      <c r="W12498" s="239" t="n"/>
      <c r="X12498" s="239" t="n"/>
    </row>
    <row r="12499" ht="14.25" customHeight="1" s="192">
      <c r="W12499" s="235" t="n"/>
      <c r="X12499" s="235" t="n"/>
    </row>
    <row r="12500" ht="14.25" customHeight="1" s="192">
      <c r="W12500" s="235" t="n"/>
      <c r="X12500" s="235" t="n"/>
    </row>
    <row r="12501" ht="14.25" customHeight="1" s="192">
      <c r="W12501" s="235" t="n"/>
      <c r="X12501" s="235" t="n"/>
    </row>
    <row r="12502" ht="14.25" customHeight="1" s="192">
      <c r="W12502" s="239" t="n"/>
      <c r="X12502" s="239" t="n"/>
    </row>
    <row r="12503" ht="14.25" customHeight="1" s="192">
      <c r="W12503" s="239" t="n"/>
      <c r="X12503" s="239" t="n"/>
    </row>
    <row r="12504" ht="14.25" customHeight="1" s="192">
      <c r="W12504" s="235" t="n"/>
      <c r="X12504" s="235" t="n"/>
    </row>
    <row r="12505" ht="14.25" customHeight="1" s="192">
      <c r="W12505" s="235" t="n"/>
      <c r="X12505" s="235" t="n"/>
    </row>
    <row r="12506" ht="14.25" customHeight="1" s="192">
      <c r="W12506" s="239" t="n"/>
      <c r="X12506" s="239" t="n"/>
    </row>
    <row r="12507" ht="14.25" customHeight="1" s="192">
      <c r="W12507" s="235" t="n"/>
      <c r="X12507" s="235" t="n"/>
    </row>
    <row r="12508" ht="14.25" customHeight="1" s="192">
      <c r="W12508" s="239" t="n"/>
      <c r="X12508" s="239" t="n"/>
    </row>
    <row r="12510" ht="14.25" customHeight="1" s="192">
      <c r="W12510" s="235" t="n"/>
      <c r="X12510" s="235" t="n"/>
    </row>
    <row r="12511" ht="15" customHeight="1" s="192" thickBot="1">
      <c r="W12511" s="239" t="n"/>
      <c r="X12511" s="239" t="n"/>
    </row>
    <row r="12512" ht="15" customHeight="1" s="192" thickBot="1">
      <c r="W12512" s="45" t="n"/>
      <c r="X12512" s="45" t="n"/>
    </row>
    <row r="12513" ht="14.25" customHeight="1" s="192">
      <c r="W12513" s="228" t="n"/>
      <c r="X12513" s="228" t="n"/>
    </row>
    <row r="12514" ht="14.25" customHeight="1" s="192">
      <c r="W12514" s="228" t="n"/>
      <c r="X12514" s="228" t="n"/>
    </row>
    <row r="12515" ht="14.25" customHeight="1" s="192">
      <c r="W12515" s="231" t="n"/>
      <c r="X12515" s="231" t="n"/>
    </row>
    <row r="12516" ht="14.25" customHeight="1" s="192">
      <c r="W12516" s="33" t="n"/>
      <c r="X12516" s="33" t="n"/>
    </row>
    <row r="12517" ht="14.25" customHeight="1" s="192">
      <c r="W12517" s="231" t="n"/>
      <c r="X12517" s="231" t="n"/>
    </row>
    <row r="12518" ht="14.25" customHeight="1" s="192">
      <c r="W12518" s="33" t="n"/>
      <c r="X12518" s="33" t="n"/>
    </row>
    <row r="12520" ht="14.25" customHeight="1" s="192">
      <c r="W12520" s="231" t="n"/>
      <c r="X12520" s="231" t="n"/>
    </row>
    <row r="12521" ht="14.25" customHeight="1" s="192">
      <c r="W12521" s="235" t="n"/>
      <c r="X12521" s="235" t="n"/>
    </row>
    <row r="12522" ht="14.25" customHeight="1" s="192">
      <c r="W12522" s="228" t="n"/>
      <c r="X12522" s="228" t="n"/>
    </row>
    <row r="12523" ht="14.25" customHeight="1" s="192">
      <c r="W12523" s="235" t="n"/>
      <c r="X12523" s="235" t="n"/>
    </row>
    <row r="12524" ht="14.25" customHeight="1" s="192">
      <c r="W12524" s="235" t="n"/>
      <c r="X12524" s="235" t="n"/>
    </row>
    <row r="12525" ht="14.25" customHeight="1" s="192">
      <c r="W12525" s="235" t="n"/>
      <c r="X12525" s="235" t="n"/>
    </row>
    <row r="12526" ht="14.25" customHeight="1" s="192">
      <c r="W12526" s="239" t="n"/>
      <c r="X12526" s="239" t="n"/>
    </row>
    <row r="12527" ht="14.25" customHeight="1" s="192">
      <c r="W12527" s="239" t="n"/>
      <c r="X12527" s="239" t="n"/>
    </row>
    <row r="12528" ht="14.25" customHeight="1" s="192">
      <c r="W12528" s="239" t="n"/>
      <c r="X12528" s="239" t="n"/>
    </row>
    <row r="12529" ht="14.25" customHeight="1" s="192">
      <c r="W12529" s="235" t="n"/>
      <c r="X12529" s="235" t="n"/>
    </row>
    <row r="12530" ht="14.25" customHeight="1" s="192">
      <c r="W12530" s="235" t="n"/>
      <c r="X12530" s="235" t="n"/>
    </row>
    <row r="12531" ht="14.25" customHeight="1" s="192">
      <c r="W12531" s="235" t="n"/>
      <c r="X12531" s="235" t="n"/>
    </row>
    <row r="12532" ht="14.25" customHeight="1" s="192">
      <c r="W12532" s="239" t="n"/>
      <c r="X12532" s="239" t="n"/>
    </row>
    <row r="12533" ht="14.25" customHeight="1" s="192">
      <c r="W12533" s="239" t="n"/>
      <c r="X12533" s="239" t="n"/>
    </row>
    <row r="12534" ht="14.25" customHeight="1" s="192">
      <c r="W12534" s="235" t="n"/>
      <c r="X12534" s="235" t="n"/>
    </row>
    <row r="12535" ht="14.25" customHeight="1" s="192">
      <c r="W12535" s="235" t="n"/>
      <c r="X12535" s="235" t="n"/>
    </row>
    <row r="12536" ht="14.25" customHeight="1" s="192">
      <c r="W12536" s="239" t="n"/>
      <c r="X12536" s="239" t="n"/>
    </row>
    <row r="12537" ht="14.25" customHeight="1" s="192">
      <c r="W12537" s="235" t="n"/>
      <c r="X12537" s="235" t="n"/>
    </row>
    <row r="12538" ht="14.25" customHeight="1" s="192">
      <c r="W12538" s="239" t="n"/>
      <c r="X12538" s="239" t="n"/>
    </row>
    <row r="12540" ht="14.25" customHeight="1" s="192">
      <c r="W12540" s="235" t="n"/>
      <c r="X12540" s="235" t="n"/>
    </row>
    <row r="12541" ht="15" customHeight="1" s="192" thickBot="1">
      <c r="W12541" s="239" t="n"/>
      <c r="X12541" s="239" t="n"/>
    </row>
    <row r="12542" ht="15" customHeight="1" s="192" thickBot="1">
      <c r="W12542" s="45" t="n"/>
      <c r="X12542" s="45" t="n"/>
    </row>
    <row r="12543" ht="14.25" customHeight="1" s="192">
      <c r="W12543" s="228" t="n"/>
      <c r="X12543" s="228" t="n"/>
    </row>
    <row r="12544" ht="14.25" customHeight="1" s="192">
      <c r="W12544" s="228" t="n"/>
      <c r="X12544" s="228" t="n"/>
    </row>
    <row r="12545" ht="14.25" customHeight="1" s="192">
      <c r="W12545" s="231" t="n"/>
      <c r="X12545" s="231" t="n"/>
    </row>
    <row r="12546" ht="14.25" customHeight="1" s="192">
      <c r="W12546" s="33" t="n"/>
      <c r="X12546" s="33" t="n"/>
    </row>
    <row r="12547" ht="14.25" customHeight="1" s="192">
      <c r="W12547" s="231" t="n"/>
      <c r="X12547" s="231" t="n"/>
    </row>
    <row r="12548" ht="14.25" customHeight="1" s="192">
      <c r="W12548" s="33" t="n"/>
      <c r="X12548" s="33" t="n"/>
    </row>
    <row r="12550" ht="14.25" customHeight="1" s="192">
      <c r="W12550" s="231" t="n"/>
      <c r="X12550" s="231" t="n"/>
    </row>
    <row r="12551" ht="14.25" customHeight="1" s="192">
      <c r="W12551" s="235" t="n"/>
      <c r="X12551" s="235" t="n"/>
    </row>
    <row r="12552" ht="14.25" customHeight="1" s="192">
      <c r="W12552" s="228" t="n"/>
      <c r="X12552" s="228" t="n"/>
    </row>
    <row r="12553" ht="14.25" customHeight="1" s="192">
      <c r="W12553" s="235" t="n"/>
      <c r="X12553" s="235" t="n"/>
    </row>
    <row r="12554" ht="14.25" customHeight="1" s="192">
      <c r="W12554" s="235" t="n"/>
      <c r="X12554" s="235" t="n"/>
    </row>
    <row r="12555" ht="14.25" customHeight="1" s="192">
      <c r="W12555" s="235" t="n"/>
      <c r="X12555" s="235" t="n"/>
    </row>
    <row r="12556" ht="14.25" customHeight="1" s="192">
      <c r="W12556" s="239" t="n"/>
      <c r="X12556" s="239" t="n"/>
    </row>
    <row r="12557" ht="14.25" customHeight="1" s="192">
      <c r="W12557" s="239" t="n"/>
      <c r="X12557" s="239" t="n"/>
    </row>
    <row r="12558" ht="14.25" customHeight="1" s="192">
      <c r="W12558" s="239" t="n"/>
      <c r="X12558" s="239" t="n"/>
    </row>
    <row r="12559" ht="14.25" customHeight="1" s="192">
      <c r="W12559" s="235" t="n"/>
      <c r="X12559" s="235" t="n"/>
    </row>
    <row r="12560" ht="14.25" customHeight="1" s="192">
      <c r="W12560" s="235" t="n"/>
      <c r="X12560" s="235" t="n"/>
    </row>
    <row r="12561" ht="14.25" customHeight="1" s="192">
      <c r="W12561" s="235" t="n"/>
      <c r="X12561" s="235" t="n"/>
    </row>
    <row r="12562" ht="14.25" customHeight="1" s="192">
      <c r="W12562" s="239" t="n"/>
      <c r="X12562" s="239" t="n"/>
    </row>
    <row r="12563" ht="14.25" customHeight="1" s="192">
      <c r="W12563" s="239" t="n"/>
      <c r="X12563" s="239" t="n"/>
    </row>
    <row r="12564" ht="14.25" customHeight="1" s="192">
      <c r="W12564" s="235" t="n"/>
      <c r="X12564" s="235" t="n"/>
    </row>
    <row r="12565" ht="14.25" customHeight="1" s="192">
      <c r="W12565" s="235" t="n"/>
      <c r="X12565" s="235" t="n"/>
    </row>
    <row r="12566" ht="14.25" customHeight="1" s="192">
      <c r="W12566" s="239" t="n"/>
      <c r="X12566" s="239" t="n"/>
    </row>
    <row r="12567" ht="14.25" customHeight="1" s="192">
      <c r="W12567" s="235" t="n"/>
      <c r="X12567" s="235" t="n"/>
    </row>
    <row r="12568" ht="14.25" customHeight="1" s="192">
      <c r="W12568" s="239" t="n"/>
      <c r="X12568" s="239" t="n"/>
    </row>
    <row r="12570" ht="14.25" customHeight="1" s="192">
      <c r="W12570" s="235" t="n"/>
      <c r="X12570" s="235" t="n"/>
    </row>
    <row r="12571" ht="15" customHeight="1" s="192" thickBot="1">
      <c r="W12571" s="239" t="n"/>
      <c r="X12571" s="239" t="n"/>
    </row>
    <row r="12572" ht="15" customHeight="1" s="192" thickBot="1">
      <c r="W12572" s="45" t="n"/>
      <c r="X12572" s="45" t="n"/>
    </row>
    <row r="12573" ht="14.25" customHeight="1" s="192">
      <c r="W12573" s="228" t="n"/>
      <c r="X12573" s="228" t="n"/>
    </row>
    <row r="12574" ht="14.25" customHeight="1" s="192">
      <c r="W12574" s="228" t="n"/>
      <c r="X12574" s="228" t="n"/>
    </row>
    <row r="12575" ht="14.25" customHeight="1" s="192">
      <c r="W12575" s="231" t="n"/>
      <c r="X12575" s="231" t="n"/>
    </row>
    <row r="12576" ht="14.25" customHeight="1" s="192">
      <c r="W12576" s="33" t="n"/>
      <c r="X12576" s="33" t="n"/>
    </row>
    <row r="12577" ht="14.25" customHeight="1" s="192">
      <c r="W12577" s="231" t="n"/>
      <c r="X12577" s="231" t="n"/>
    </row>
    <row r="12578" ht="14.25" customHeight="1" s="192">
      <c r="W12578" s="33" t="n"/>
      <c r="X12578" s="33" t="n"/>
    </row>
    <row r="12580" ht="14.25" customHeight="1" s="192">
      <c r="W12580" s="231" t="n"/>
      <c r="X12580" s="231" t="n"/>
    </row>
    <row r="12581" ht="14.25" customHeight="1" s="192">
      <c r="W12581" s="235" t="n"/>
      <c r="X12581" s="235" t="n"/>
    </row>
    <row r="12582" ht="14.25" customHeight="1" s="192">
      <c r="W12582" s="228" t="n"/>
      <c r="X12582" s="228" t="n"/>
    </row>
    <row r="12583" ht="14.25" customHeight="1" s="192">
      <c r="W12583" s="235" t="n"/>
      <c r="X12583" s="235" t="n"/>
    </row>
    <row r="12584" ht="14.25" customHeight="1" s="192">
      <c r="W12584" s="235" t="n"/>
      <c r="X12584" s="235" t="n"/>
    </row>
    <row r="12585" ht="14.25" customHeight="1" s="192">
      <c r="W12585" s="235" t="n"/>
      <c r="X12585" s="235" t="n"/>
    </row>
    <row r="12586" ht="14.25" customHeight="1" s="192">
      <c r="W12586" s="239" t="n"/>
      <c r="X12586" s="239" t="n"/>
    </row>
    <row r="12587" ht="14.25" customHeight="1" s="192">
      <c r="W12587" s="239" t="n"/>
      <c r="X12587" s="239" t="n"/>
    </row>
    <row r="12588" ht="14.25" customHeight="1" s="192">
      <c r="W12588" s="239" t="n"/>
      <c r="X12588" s="239" t="n"/>
    </row>
    <row r="12589" ht="14.25" customHeight="1" s="192">
      <c r="W12589" s="235" t="n"/>
      <c r="X12589" s="235" t="n"/>
    </row>
    <row r="12590" ht="14.25" customHeight="1" s="192">
      <c r="W12590" s="235" t="n"/>
      <c r="X12590" s="235" t="n"/>
    </row>
    <row r="12591" ht="14.25" customHeight="1" s="192">
      <c r="W12591" s="235" t="n"/>
      <c r="X12591" s="235" t="n"/>
    </row>
    <row r="12592" ht="14.25" customHeight="1" s="192">
      <c r="W12592" s="239" t="n"/>
      <c r="X12592" s="239" t="n"/>
    </row>
    <row r="12593" ht="14.25" customHeight="1" s="192">
      <c r="W12593" s="239" t="n"/>
      <c r="X12593" s="239" t="n"/>
    </row>
    <row r="12594" ht="14.25" customHeight="1" s="192">
      <c r="W12594" s="235" t="n"/>
      <c r="X12594" s="235" t="n"/>
    </row>
    <row r="12595" ht="14.25" customHeight="1" s="192">
      <c r="W12595" s="235" t="n"/>
      <c r="X12595" s="235" t="n"/>
    </row>
    <row r="12596" ht="14.25" customHeight="1" s="192">
      <c r="W12596" s="239" t="n"/>
      <c r="X12596" s="239" t="n"/>
    </row>
    <row r="12597" ht="14.25" customHeight="1" s="192">
      <c r="W12597" s="235" t="n"/>
      <c r="X12597" s="235" t="n"/>
    </row>
    <row r="12598" ht="14.25" customHeight="1" s="192">
      <c r="W12598" s="239" t="n"/>
      <c r="X12598" s="239" t="n"/>
    </row>
    <row r="12600" ht="14.25" customHeight="1" s="192">
      <c r="W12600" s="235" t="n"/>
      <c r="X12600" s="235" t="n"/>
    </row>
    <row r="12601" ht="15" customHeight="1" s="192" thickBot="1">
      <c r="W12601" s="239" t="n"/>
      <c r="X12601" s="239" t="n"/>
    </row>
    <row r="12602" ht="15" customHeight="1" s="192" thickBot="1">
      <c r="W12602" s="45" t="n"/>
      <c r="X12602" s="45" t="n"/>
    </row>
    <row r="12603" ht="14.25" customHeight="1" s="192">
      <c r="W12603" s="228" t="n"/>
      <c r="X12603" s="228" t="n"/>
    </row>
    <row r="12604" ht="14.25" customHeight="1" s="192">
      <c r="W12604" s="228" t="n"/>
      <c r="X12604" s="228" t="n"/>
    </row>
    <row r="12605" ht="14.25" customHeight="1" s="192">
      <c r="W12605" s="231" t="n"/>
      <c r="X12605" s="231" t="n"/>
    </row>
    <row r="12606" ht="14.25" customHeight="1" s="192">
      <c r="W12606" s="33" t="n"/>
      <c r="X12606" s="33" t="n"/>
    </row>
    <row r="12607" ht="14.25" customHeight="1" s="192">
      <c r="W12607" s="231" t="n"/>
      <c r="X12607" s="231" t="n"/>
    </row>
    <row r="12608" ht="14.25" customHeight="1" s="192">
      <c r="W12608" s="33" t="n"/>
      <c r="X12608" s="33" t="n"/>
    </row>
    <row r="12610" ht="14.25" customHeight="1" s="192">
      <c r="W12610" s="231" t="n"/>
      <c r="X12610" s="231" t="n"/>
    </row>
    <row r="12611" ht="14.25" customHeight="1" s="192">
      <c r="W12611" s="235" t="n"/>
      <c r="X12611" s="235" t="n"/>
    </row>
    <row r="12612" ht="14.25" customHeight="1" s="192">
      <c r="W12612" s="228" t="n"/>
      <c r="X12612" s="228" t="n"/>
    </row>
    <row r="12613" ht="14.25" customHeight="1" s="192">
      <c r="W12613" s="235" t="n"/>
      <c r="X12613" s="235" t="n"/>
    </row>
    <row r="12614" ht="14.25" customHeight="1" s="192">
      <c r="W12614" s="235" t="n"/>
      <c r="X12614" s="235" t="n"/>
    </row>
    <row r="12615" ht="14.25" customHeight="1" s="192">
      <c r="W12615" s="235" t="n"/>
      <c r="X12615" s="235" t="n"/>
    </row>
    <row r="12616" ht="14.25" customHeight="1" s="192">
      <c r="W12616" s="239" t="n"/>
      <c r="X12616" s="239" t="n"/>
    </row>
    <row r="12617" ht="14.25" customHeight="1" s="192">
      <c r="W12617" s="239" t="n"/>
      <c r="X12617" s="239" t="n"/>
    </row>
    <row r="12618" ht="14.25" customHeight="1" s="192">
      <c r="W12618" s="239" t="n"/>
      <c r="X12618" s="239" t="n"/>
    </row>
    <row r="12619" ht="14.25" customHeight="1" s="192">
      <c r="W12619" s="235" t="n"/>
      <c r="X12619" s="235" t="n"/>
    </row>
    <row r="12620" ht="14.25" customHeight="1" s="192">
      <c r="W12620" s="235" t="n"/>
      <c r="X12620" s="235" t="n"/>
    </row>
    <row r="12621" ht="14.25" customHeight="1" s="192">
      <c r="W12621" s="235" t="n"/>
      <c r="X12621" s="235" t="n"/>
    </row>
    <row r="12622" ht="14.25" customHeight="1" s="192">
      <c r="W12622" s="239" t="n"/>
      <c r="X12622" s="239" t="n"/>
    </row>
    <row r="12623" ht="14.25" customHeight="1" s="192">
      <c r="W12623" s="239" t="n"/>
      <c r="X12623" s="239" t="n"/>
    </row>
    <row r="12624" ht="14.25" customHeight="1" s="192">
      <c r="W12624" s="235" t="n"/>
      <c r="X12624" s="235" t="n"/>
    </row>
    <row r="12625" ht="14.25" customHeight="1" s="192">
      <c r="W12625" s="235" t="n"/>
      <c r="X12625" s="235" t="n"/>
    </row>
    <row r="12626" ht="14.25" customHeight="1" s="192">
      <c r="W12626" s="239" t="n"/>
      <c r="X12626" s="239" t="n"/>
    </row>
    <row r="12627" ht="14.25" customHeight="1" s="192">
      <c r="W12627" s="235" t="n"/>
      <c r="X12627" s="235" t="n"/>
    </row>
    <row r="12628" ht="14.25" customHeight="1" s="192">
      <c r="W12628" s="239" t="n"/>
      <c r="X12628" s="239" t="n"/>
    </row>
    <row r="12630" ht="14.25" customHeight="1" s="192">
      <c r="W12630" s="235" t="n"/>
      <c r="X12630" s="235" t="n"/>
    </row>
    <row r="12631" ht="15" customHeight="1" s="192" thickBot="1">
      <c r="W12631" s="239" t="n"/>
      <c r="X12631" s="239" t="n"/>
    </row>
    <row r="12632" ht="15" customHeight="1" s="192" thickBot="1">
      <c r="W12632" s="45" t="n"/>
      <c r="X12632" s="45" t="n"/>
    </row>
    <row r="12633" ht="14.25" customHeight="1" s="192">
      <c r="W12633" s="228" t="n"/>
      <c r="X12633" s="228" t="n"/>
    </row>
    <row r="12634" ht="14.25" customHeight="1" s="192">
      <c r="W12634" s="228" t="n"/>
      <c r="X12634" s="228" t="n"/>
    </row>
    <row r="12635" ht="14.25" customHeight="1" s="192">
      <c r="W12635" s="231" t="n"/>
      <c r="X12635" s="231" t="n"/>
    </row>
    <row r="12636" ht="14.25" customHeight="1" s="192">
      <c r="W12636" s="33" t="n"/>
      <c r="X12636" s="33" t="n"/>
    </row>
    <row r="12637" ht="14.25" customHeight="1" s="192">
      <c r="W12637" s="231" t="n"/>
      <c r="X12637" s="231" t="n"/>
    </row>
    <row r="12638" ht="14.25" customHeight="1" s="192">
      <c r="W12638" s="33" t="n"/>
      <c r="X12638" s="33" t="n"/>
    </row>
    <row r="12640" ht="14.25" customHeight="1" s="192">
      <c r="W12640" s="231" t="n"/>
      <c r="X12640" s="231" t="n"/>
    </row>
    <row r="12641" ht="14.25" customHeight="1" s="192">
      <c r="W12641" s="235" t="n"/>
      <c r="X12641" s="235" t="n"/>
    </row>
    <row r="12642" ht="14.25" customHeight="1" s="192">
      <c r="W12642" s="228" t="n"/>
      <c r="X12642" s="228" t="n"/>
    </row>
    <row r="12643" ht="14.25" customHeight="1" s="192">
      <c r="W12643" s="235" t="n"/>
      <c r="X12643" s="235" t="n"/>
    </row>
    <row r="12644" ht="14.25" customHeight="1" s="192">
      <c r="W12644" s="235" t="n"/>
      <c r="X12644" s="235" t="n"/>
    </row>
    <row r="12645" ht="14.25" customHeight="1" s="192">
      <c r="W12645" s="235" t="n"/>
      <c r="X12645" s="235" t="n"/>
    </row>
    <row r="12646" ht="14.25" customHeight="1" s="192">
      <c r="W12646" s="239" t="n"/>
      <c r="X12646" s="239" t="n"/>
    </row>
    <row r="12647" ht="14.25" customHeight="1" s="192">
      <c r="W12647" s="239" t="n"/>
      <c r="X12647" s="239" t="n"/>
    </row>
    <row r="12648" ht="14.25" customHeight="1" s="192">
      <c r="W12648" s="239" t="n"/>
      <c r="X12648" s="239" t="n"/>
    </row>
    <row r="12649" ht="14.25" customHeight="1" s="192">
      <c r="W12649" s="235" t="n"/>
      <c r="X12649" s="235" t="n"/>
    </row>
    <row r="12650" ht="14.25" customHeight="1" s="192">
      <c r="W12650" s="235" t="n"/>
      <c r="X12650" s="235" t="n"/>
    </row>
    <row r="12651" ht="14.25" customHeight="1" s="192">
      <c r="W12651" s="235" t="n"/>
      <c r="X12651" s="235" t="n"/>
    </row>
    <row r="12652" ht="14.25" customHeight="1" s="192">
      <c r="W12652" s="239" t="n"/>
      <c r="X12652" s="239" t="n"/>
    </row>
    <row r="12653" ht="14.25" customHeight="1" s="192">
      <c r="W12653" s="239" t="n"/>
      <c r="X12653" s="239" t="n"/>
    </row>
    <row r="12654" ht="14.25" customHeight="1" s="192">
      <c r="W12654" s="235" t="n"/>
      <c r="X12654" s="235" t="n"/>
    </row>
    <row r="12655" ht="14.25" customHeight="1" s="192">
      <c r="W12655" s="235" t="n"/>
      <c r="X12655" s="235" t="n"/>
    </row>
    <row r="12656" ht="14.25" customHeight="1" s="192">
      <c r="W12656" s="239" t="n"/>
      <c r="X12656" s="239" t="n"/>
    </row>
    <row r="12657" ht="14.25" customHeight="1" s="192">
      <c r="W12657" s="235" t="n"/>
      <c r="X12657" s="235" t="n"/>
    </row>
    <row r="12658" ht="14.25" customHeight="1" s="192">
      <c r="W12658" s="239" t="n"/>
      <c r="X12658" s="239" t="n"/>
    </row>
    <row r="12660" ht="14.25" customHeight="1" s="192">
      <c r="W12660" s="235" t="n"/>
      <c r="X12660" s="235" t="n"/>
    </row>
    <row r="12661" ht="15" customHeight="1" s="192" thickBot="1">
      <c r="W12661" s="239" t="n"/>
      <c r="X12661" s="239" t="n"/>
    </row>
    <row r="12662" ht="15" customHeight="1" s="192" thickBot="1">
      <c r="W12662" s="45" t="n"/>
      <c r="X12662" s="45" t="n"/>
    </row>
    <row r="12663" ht="14.25" customHeight="1" s="192">
      <c r="W12663" s="228" t="n"/>
      <c r="X12663" s="228" t="n"/>
    </row>
    <row r="12664" ht="14.25" customHeight="1" s="192">
      <c r="W12664" s="228" t="n"/>
      <c r="X12664" s="228" t="n"/>
    </row>
    <row r="12665" ht="14.25" customHeight="1" s="192">
      <c r="W12665" s="231" t="n"/>
      <c r="X12665" s="231" t="n"/>
    </row>
    <row r="12666" ht="14.25" customHeight="1" s="192">
      <c r="W12666" s="33" t="n"/>
      <c r="X12666" s="33" t="n"/>
    </row>
    <row r="12667" ht="14.25" customHeight="1" s="192">
      <c r="W12667" s="231" t="n"/>
      <c r="X12667" s="231" t="n"/>
    </row>
    <row r="12668" ht="14.25" customHeight="1" s="192">
      <c r="W12668" s="33" t="n"/>
      <c r="X12668" s="33" t="n"/>
    </row>
    <row r="12670" ht="14.25" customHeight="1" s="192">
      <c r="W12670" s="231" t="n"/>
      <c r="X12670" s="231" t="n"/>
    </row>
    <row r="12671" ht="14.25" customHeight="1" s="192">
      <c r="W12671" s="235" t="n"/>
      <c r="X12671" s="235" t="n"/>
    </row>
    <row r="12672" ht="14.25" customHeight="1" s="192">
      <c r="W12672" s="228" t="n"/>
      <c r="X12672" s="228" t="n"/>
    </row>
    <row r="12673" ht="14.25" customHeight="1" s="192">
      <c r="W12673" s="235" t="n"/>
      <c r="X12673" s="235" t="n"/>
    </row>
    <row r="12674" ht="14.25" customHeight="1" s="192">
      <c r="W12674" s="235" t="n"/>
      <c r="X12674" s="235" t="n"/>
    </row>
    <row r="12675" ht="14.25" customHeight="1" s="192">
      <c r="W12675" s="235" t="n"/>
      <c r="X12675" s="235" t="n"/>
    </row>
    <row r="12676" ht="14.25" customHeight="1" s="192">
      <c r="W12676" s="239" t="n"/>
      <c r="X12676" s="239" t="n"/>
    </row>
    <row r="12677" ht="14.25" customHeight="1" s="192">
      <c r="W12677" s="239" t="n"/>
      <c r="X12677" s="239" t="n"/>
    </row>
    <row r="12678" ht="14.25" customHeight="1" s="192">
      <c r="W12678" s="239" t="n"/>
      <c r="X12678" s="239" t="n"/>
    </row>
    <row r="12679" ht="14.25" customHeight="1" s="192">
      <c r="W12679" s="235" t="n"/>
      <c r="X12679" s="235" t="n"/>
    </row>
    <row r="12680" ht="14.25" customHeight="1" s="192">
      <c r="W12680" s="235" t="n"/>
      <c r="X12680" s="235" t="n"/>
    </row>
    <row r="12681" ht="14.25" customHeight="1" s="192">
      <c r="W12681" s="235" t="n"/>
      <c r="X12681" s="235" t="n"/>
    </row>
    <row r="12682" ht="14.25" customHeight="1" s="192">
      <c r="W12682" s="239" t="n"/>
      <c r="X12682" s="239" t="n"/>
    </row>
    <row r="12683" ht="14.25" customHeight="1" s="192">
      <c r="W12683" s="239" t="n"/>
      <c r="X12683" s="239" t="n"/>
    </row>
    <row r="12684" ht="14.25" customHeight="1" s="192">
      <c r="W12684" s="235" t="n"/>
      <c r="X12684" s="235" t="n"/>
    </row>
    <row r="12685" ht="14.25" customHeight="1" s="192">
      <c r="W12685" s="235" t="n"/>
      <c r="X12685" s="235" t="n"/>
    </row>
    <row r="12686" ht="14.25" customHeight="1" s="192">
      <c r="W12686" s="239" t="n"/>
      <c r="X12686" s="239" t="n"/>
    </row>
    <row r="12687" ht="14.25" customHeight="1" s="192">
      <c r="W12687" s="235" t="n"/>
      <c r="X12687" s="235" t="n"/>
    </row>
    <row r="12688" ht="14.25" customHeight="1" s="192">
      <c r="W12688" s="239" t="n"/>
      <c r="X12688" s="239" t="n"/>
    </row>
    <row r="12690" ht="14.25" customHeight="1" s="192">
      <c r="W12690" s="235" t="n"/>
      <c r="X12690" s="235" t="n"/>
    </row>
    <row r="12691" ht="15" customHeight="1" s="192" thickBot="1">
      <c r="W12691" s="239" t="n"/>
      <c r="X12691" s="239" t="n"/>
    </row>
    <row r="12692" ht="15" customHeight="1" s="192" thickBot="1">
      <c r="W12692" s="45" t="n"/>
      <c r="X12692" s="45" t="n"/>
    </row>
    <row r="12693" ht="14.25" customHeight="1" s="192">
      <c r="W12693" s="228" t="n"/>
      <c r="X12693" s="228" t="n"/>
    </row>
    <row r="12694" ht="14.25" customHeight="1" s="192">
      <c r="W12694" s="228" t="n"/>
      <c r="X12694" s="228" t="n"/>
    </row>
    <row r="12695" ht="14.25" customHeight="1" s="192">
      <c r="W12695" s="231" t="n"/>
      <c r="X12695" s="231" t="n"/>
    </row>
    <row r="12696" ht="14.25" customHeight="1" s="192">
      <c r="W12696" s="33" t="n"/>
      <c r="X12696" s="33" t="n"/>
    </row>
    <row r="12697" ht="14.25" customHeight="1" s="192">
      <c r="W12697" s="231" t="n"/>
      <c r="X12697" s="231" t="n"/>
    </row>
    <row r="12698" ht="14.25" customHeight="1" s="192">
      <c r="W12698" s="33" t="n"/>
      <c r="X12698" s="33" t="n"/>
    </row>
    <row r="12700" ht="14.25" customHeight="1" s="192">
      <c r="W12700" s="231" t="n"/>
      <c r="X12700" s="231" t="n"/>
    </row>
    <row r="12701" ht="14.25" customHeight="1" s="192">
      <c r="W12701" s="235" t="n"/>
      <c r="X12701" s="235" t="n"/>
    </row>
    <row r="12702" ht="14.25" customHeight="1" s="192">
      <c r="W12702" s="228" t="n"/>
      <c r="X12702" s="228" t="n"/>
    </row>
    <row r="12703" ht="14.25" customHeight="1" s="192">
      <c r="W12703" s="235" t="n"/>
      <c r="X12703" s="235" t="n"/>
    </row>
    <row r="12704" ht="14.25" customHeight="1" s="192">
      <c r="W12704" s="235" t="n"/>
      <c r="X12704" s="235" t="n"/>
    </row>
    <row r="12705" ht="14.25" customHeight="1" s="192">
      <c r="W12705" s="235" t="n"/>
      <c r="X12705" s="235" t="n"/>
    </row>
    <row r="12706" ht="14.25" customHeight="1" s="192">
      <c r="W12706" s="239" t="n"/>
      <c r="X12706" s="239" t="n"/>
    </row>
    <row r="12707" ht="14.25" customHeight="1" s="192">
      <c r="W12707" s="239" t="n"/>
      <c r="X12707" s="239" t="n"/>
    </row>
    <row r="12708" ht="14.25" customHeight="1" s="192">
      <c r="W12708" s="239" t="n"/>
      <c r="X12708" s="239" t="n"/>
    </row>
    <row r="12709" ht="14.25" customHeight="1" s="192">
      <c r="W12709" s="235" t="n"/>
      <c r="X12709" s="235" t="n"/>
    </row>
    <row r="12710" ht="14.25" customHeight="1" s="192">
      <c r="W12710" s="235" t="n"/>
      <c r="X12710" s="235" t="n"/>
    </row>
    <row r="12711" ht="14.25" customHeight="1" s="192">
      <c r="W12711" s="235" t="n"/>
      <c r="X12711" s="235" t="n"/>
    </row>
    <row r="12712" ht="14.25" customHeight="1" s="192">
      <c r="W12712" s="239" t="n"/>
      <c r="X12712" s="239" t="n"/>
    </row>
    <row r="12713" ht="14.25" customHeight="1" s="192">
      <c r="W12713" s="239" t="n"/>
      <c r="X12713" s="239" t="n"/>
    </row>
    <row r="12714" ht="14.25" customHeight="1" s="192">
      <c r="W12714" s="235" t="n"/>
      <c r="X12714" s="235" t="n"/>
    </row>
    <row r="12715" ht="14.25" customHeight="1" s="192">
      <c r="W12715" s="235" t="n"/>
      <c r="X12715" s="235" t="n"/>
    </row>
    <row r="12716" ht="14.25" customHeight="1" s="192">
      <c r="W12716" s="239" t="n"/>
      <c r="X12716" s="239" t="n"/>
    </row>
    <row r="12717" ht="14.25" customHeight="1" s="192">
      <c r="W12717" s="235" t="n"/>
      <c r="X12717" s="235" t="n"/>
    </row>
    <row r="12718" ht="14.25" customHeight="1" s="192">
      <c r="W12718" s="239" t="n"/>
      <c r="X12718" s="239" t="n"/>
    </row>
    <row r="12720" ht="14.25" customHeight="1" s="192">
      <c r="W12720" s="235" t="n"/>
      <c r="X12720" s="235" t="n"/>
    </row>
    <row r="12721" ht="15" customHeight="1" s="192" thickBot="1">
      <c r="W12721" s="239" t="n"/>
      <c r="X12721" s="239" t="n"/>
    </row>
    <row r="12722" ht="15" customHeight="1" s="192" thickBot="1">
      <c r="W12722" s="45" t="n"/>
      <c r="X12722" s="45" t="n"/>
    </row>
    <row r="12723" ht="14.25" customHeight="1" s="192">
      <c r="W12723" s="228" t="n"/>
      <c r="X12723" s="228" t="n"/>
    </row>
    <row r="12724" ht="14.25" customHeight="1" s="192">
      <c r="W12724" s="228" t="n"/>
      <c r="X12724" s="228" t="n"/>
    </row>
    <row r="12725" ht="14.25" customHeight="1" s="192">
      <c r="W12725" s="231" t="n"/>
      <c r="X12725" s="231" t="n"/>
    </row>
    <row r="12726" ht="14.25" customHeight="1" s="192">
      <c r="W12726" s="33" t="n"/>
      <c r="X12726" s="33" t="n"/>
    </row>
    <row r="12727" ht="14.25" customHeight="1" s="192">
      <c r="W12727" s="231" t="n"/>
      <c r="X12727" s="231" t="n"/>
    </row>
    <row r="12728" ht="14.25" customHeight="1" s="192">
      <c r="W12728" s="33" t="n"/>
      <c r="X12728" s="33" t="n"/>
    </row>
    <row r="12730" ht="14.25" customHeight="1" s="192">
      <c r="W12730" s="231" t="n"/>
      <c r="X12730" s="231" t="n"/>
    </row>
    <row r="12731" ht="14.25" customHeight="1" s="192">
      <c r="W12731" s="235" t="n"/>
      <c r="X12731" s="235" t="n"/>
    </row>
    <row r="12732" ht="14.25" customHeight="1" s="192">
      <c r="W12732" s="228" t="n"/>
      <c r="X12732" s="228" t="n"/>
    </row>
    <row r="12733" ht="14.25" customHeight="1" s="192">
      <c r="W12733" s="235" t="n"/>
      <c r="X12733" s="235" t="n"/>
    </row>
    <row r="12734" ht="14.25" customHeight="1" s="192">
      <c r="W12734" s="235" t="n"/>
      <c r="X12734" s="235" t="n"/>
    </row>
    <row r="12735" ht="14.25" customHeight="1" s="192">
      <c r="W12735" s="235" t="n"/>
      <c r="X12735" s="235" t="n"/>
    </row>
    <row r="12736" ht="14.25" customHeight="1" s="192">
      <c r="W12736" s="239" t="n"/>
      <c r="X12736" s="239" t="n"/>
    </row>
    <row r="12737" ht="14.25" customHeight="1" s="192">
      <c r="W12737" s="239" t="n"/>
      <c r="X12737" s="239" t="n"/>
    </row>
    <row r="12738" ht="14.25" customHeight="1" s="192">
      <c r="W12738" s="239" t="n"/>
      <c r="X12738" s="239" t="n"/>
    </row>
    <row r="12739" ht="14.25" customHeight="1" s="192">
      <c r="W12739" s="235" t="n"/>
      <c r="X12739" s="235" t="n"/>
    </row>
    <row r="12740" ht="14.25" customHeight="1" s="192">
      <c r="W12740" s="235" t="n"/>
      <c r="X12740" s="235" t="n"/>
    </row>
    <row r="12741" ht="14.25" customHeight="1" s="192">
      <c r="W12741" s="235" t="n"/>
      <c r="X12741" s="235" t="n"/>
    </row>
    <row r="12742" ht="14.25" customHeight="1" s="192">
      <c r="W12742" s="239" t="n"/>
      <c r="X12742" s="239" t="n"/>
    </row>
    <row r="12743" ht="14.25" customHeight="1" s="192">
      <c r="W12743" s="239" t="n"/>
      <c r="X12743" s="239" t="n"/>
    </row>
    <row r="12744" ht="14.25" customHeight="1" s="192">
      <c r="W12744" s="235" t="n"/>
      <c r="X12744" s="235" t="n"/>
    </row>
    <row r="12745" ht="14.25" customHeight="1" s="192">
      <c r="W12745" s="235" t="n"/>
      <c r="X12745" s="235" t="n"/>
    </row>
    <row r="12746" ht="14.25" customHeight="1" s="192">
      <c r="W12746" s="239" t="n"/>
      <c r="X12746" s="239" t="n"/>
    </row>
    <row r="12747" ht="14.25" customHeight="1" s="192">
      <c r="W12747" s="235" t="n"/>
      <c r="X12747" s="235" t="n"/>
    </row>
    <row r="12748" ht="14.25" customHeight="1" s="192">
      <c r="W12748" s="239" t="n"/>
      <c r="X12748" s="239" t="n"/>
    </row>
    <row r="12750" ht="14.25" customHeight="1" s="192">
      <c r="W12750" s="235" t="n"/>
      <c r="X12750" s="235" t="n"/>
    </row>
    <row r="12751" ht="15" customHeight="1" s="192" thickBot="1">
      <c r="W12751" s="239" t="n"/>
      <c r="X12751" s="239" t="n"/>
    </row>
    <row r="12752" ht="15" customHeight="1" s="192" thickBot="1">
      <c r="W12752" s="45" t="n"/>
      <c r="X12752" s="45" t="n"/>
    </row>
    <row r="12753" ht="14.25" customHeight="1" s="192">
      <c r="W12753" s="228" t="n"/>
      <c r="X12753" s="228" t="n"/>
    </row>
    <row r="12754" ht="14.25" customHeight="1" s="192">
      <c r="W12754" s="228" t="n"/>
      <c r="X12754" s="228" t="n"/>
    </row>
    <row r="12755" ht="14.25" customHeight="1" s="192">
      <c r="W12755" s="231" t="n"/>
      <c r="X12755" s="231" t="n"/>
    </row>
    <row r="12756" ht="14.25" customHeight="1" s="192">
      <c r="W12756" s="33" t="n"/>
      <c r="X12756" s="33" t="n"/>
    </row>
    <row r="12757" ht="14.25" customHeight="1" s="192">
      <c r="W12757" s="231" t="n"/>
      <c r="X12757" s="231" t="n"/>
    </row>
    <row r="12758" ht="14.25" customHeight="1" s="192">
      <c r="W12758" s="33" t="n"/>
      <c r="X12758" s="33" t="n"/>
    </row>
    <row r="12760" ht="14.25" customHeight="1" s="192">
      <c r="W12760" s="231" t="n"/>
      <c r="X12760" s="231" t="n"/>
    </row>
    <row r="12761" ht="14.25" customHeight="1" s="192">
      <c r="W12761" s="235" t="n"/>
      <c r="X12761" s="235" t="n"/>
    </row>
    <row r="12762" ht="14.25" customHeight="1" s="192">
      <c r="W12762" s="228" t="n"/>
      <c r="X12762" s="228" t="n"/>
    </row>
    <row r="12763" ht="14.25" customHeight="1" s="192">
      <c r="W12763" s="235" t="n"/>
      <c r="X12763" s="235" t="n"/>
    </row>
    <row r="12764" ht="14.25" customHeight="1" s="192">
      <c r="W12764" s="235" t="n"/>
      <c r="X12764" s="235" t="n"/>
    </row>
    <row r="12765" ht="14.25" customHeight="1" s="192">
      <c r="W12765" s="235" t="n"/>
      <c r="X12765" s="235" t="n"/>
    </row>
    <row r="12766" ht="14.25" customHeight="1" s="192">
      <c r="W12766" s="239" t="n"/>
      <c r="X12766" s="239" t="n"/>
    </row>
    <row r="12767" ht="14.25" customHeight="1" s="192">
      <c r="W12767" s="239" t="n"/>
      <c r="X12767" s="239" t="n"/>
    </row>
    <row r="12768" ht="14.25" customHeight="1" s="192">
      <c r="W12768" s="239" t="n"/>
      <c r="X12768" s="239" t="n"/>
    </row>
    <row r="12769" ht="14.25" customHeight="1" s="192">
      <c r="W12769" s="235" t="n"/>
      <c r="X12769" s="235" t="n"/>
    </row>
    <row r="12770" ht="14.25" customHeight="1" s="192">
      <c r="W12770" s="235" t="n"/>
      <c r="X12770" s="235" t="n"/>
    </row>
    <row r="12771" ht="14.25" customHeight="1" s="192">
      <c r="W12771" s="235" t="n"/>
      <c r="X12771" s="235" t="n"/>
    </row>
    <row r="12772" ht="14.25" customHeight="1" s="192">
      <c r="W12772" s="239" t="n"/>
      <c r="X12772" s="239" t="n"/>
    </row>
    <row r="12773" ht="14.25" customHeight="1" s="192">
      <c r="W12773" s="239" t="n"/>
      <c r="X12773" s="239" t="n"/>
    </row>
    <row r="12774" ht="14.25" customHeight="1" s="192">
      <c r="W12774" s="235" t="n"/>
      <c r="X12774" s="235" t="n"/>
    </row>
    <row r="12775" ht="14.25" customHeight="1" s="192">
      <c r="W12775" s="235" t="n"/>
      <c r="X12775" s="235" t="n"/>
    </row>
    <row r="12776" ht="14.25" customHeight="1" s="192">
      <c r="W12776" s="239" t="n"/>
      <c r="X12776" s="239" t="n"/>
    </row>
    <row r="12777" ht="14.25" customHeight="1" s="192">
      <c r="W12777" s="235" t="n"/>
      <c r="X12777" s="235" t="n"/>
    </row>
    <row r="12778" ht="14.25" customHeight="1" s="192">
      <c r="W12778" s="239" t="n"/>
      <c r="X12778" s="239" t="n"/>
    </row>
    <row r="12780" ht="14.25" customHeight="1" s="192">
      <c r="W12780" s="235" t="n"/>
      <c r="X12780" s="235" t="n"/>
    </row>
    <row r="12781" ht="15" customHeight="1" s="192" thickBot="1">
      <c r="W12781" s="239" t="n"/>
      <c r="X12781" s="239" t="n"/>
    </row>
    <row r="12782" ht="15" customHeight="1" s="192" thickBot="1">
      <c r="W12782" s="45" t="n"/>
      <c r="X12782" s="45" t="n"/>
    </row>
    <row r="12783" ht="14.25" customHeight="1" s="192">
      <c r="W12783" s="228" t="n"/>
      <c r="X12783" s="228" t="n"/>
    </row>
    <row r="12784" ht="14.25" customHeight="1" s="192">
      <c r="W12784" s="228" t="n"/>
      <c r="X12784" s="228" t="n"/>
    </row>
    <row r="12785" ht="14.25" customHeight="1" s="192">
      <c r="W12785" s="231" t="n"/>
      <c r="X12785" s="231" t="n"/>
    </row>
    <row r="12786" ht="14.25" customHeight="1" s="192">
      <c r="W12786" s="33" t="n"/>
      <c r="X12786" s="33" t="n"/>
    </row>
    <row r="12787" ht="14.25" customHeight="1" s="192">
      <c r="W12787" s="231" t="n"/>
      <c r="X12787" s="231" t="n"/>
    </row>
    <row r="12788" ht="14.25" customHeight="1" s="192">
      <c r="W12788" s="33" t="n"/>
      <c r="X12788" s="33" t="n"/>
    </row>
    <row r="12790" ht="14.25" customHeight="1" s="192">
      <c r="W12790" s="231" t="n"/>
      <c r="X12790" s="231" t="n"/>
    </row>
    <row r="12791" ht="14.25" customHeight="1" s="192">
      <c r="W12791" s="235" t="n"/>
      <c r="X12791" s="235" t="n"/>
    </row>
    <row r="12792" ht="14.25" customHeight="1" s="192">
      <c r="W12792" s="228" t="n"/>
      <c r="X12792" s="228" t="n"/>
    </row>
    <row r="12793" ht="14.25" customHeight="1" s="192">
      <c r="W12793" s="235" t="n"/>
      <c r="X12793" s="235" t="n"/>
    </row>
    <row r="12794" ht="14.25" customHeight="1" s="192">
      <c r="W12794" s="235" t="n"/>
      <c r="X12794" s="235" t="n"/>
    </row>
    <row r="12795" ht="14.25" customHeight="1" s="192">
      <c r="W12795" s="235" t="n"/>
      <c r="X12795" s="235" t="n"/>
    </row>
    <row r="12796" ht="14.25" customHeight="1" s="192">
      <c r="W12796" s="239" t="n"/>
      <c r="X12796" s="239" t="n"/>
    </row>
    <row r="12797" ht="14.25" customHeight="1" s="192">
      <c r="W12797" s="239" t="n"/>
      <c r="X12797" s="239" t="n"/>
    </row>
    <row r="12798" ht="14.25" customHeight="1" s="192">
      <c r="W12798" s="239" t="n"/>
      <c r="X12798" s="239" t="n"/>
    </row>
    <row r="12799" ht="14.25" customHeight="1" s="192">
      <c r="W12799" s="235" t="n"/>
      <c r="X12799" s="235" t="n"/>
    </row>
    <row r="12800" ht="14.25" customHeight="1" s="192">
      <c r="W12800" s="235" t="n"/>
      <c r="X12800" s="235" t="n"/>
    </row>
    <row r="12801" ht="14.25" customHeight="1" s="192">
      <c r="W12801" s="235" t="n"/>
      <c r="X12801" s="235" t="n"/>
    </row>
    <row r="12802" ht="14.25" customHeight="1" s="192">
      <c r="W12802" s="239" t="n"/>
      <c r="X12802" s="239" t="n"/>
    </row>
    <row r="12803" ht="14.25" customHeight="1" s="192">
      <c r="W12803" s="239" t="n"/>
      <c r="X12803" s="239" t="n"/>
    </row>
    <row r="12804" ht="14.25" customHeight="1" s="192">
      <c r="W12804" s="235" t="n"/>
      <c r="X12804" s="235" t="n"/>
    </row>
    <row r="12805" ht="14.25" customHeight="1" s="192">
      <c r="W12805" s="235" t="n"/>
      <c r="X12805" s="235" t="n"/>
    </row>
    <row r="12806" ht="14.25" customHeight="1" s="192">
      <c r="W12806" s="239" t="n"/>
      <c r="X12806" s="239" t="n"/>
    </row>
    <row r="12807" ht="14.25" customHeight="1" s="192">
      <c r="W12807" s="235" t="n"/>
      <c r="X12807" s="235" t="n"/>
    </row>
    <row r="12808" ht="14.25" customHeight="1" s="192">
      <c r="W12808" s="239" t="n"/>
      <c r="X12808" s="239" t="n"/>
    </row>
    <row r="12810" ht="14.25" customHeight="1" s="192">
      <c r="W12810" s="235" t="n"/>
      <c r="X12810" s="235" t="n"/>
    </row>
    <row r="12811" ht="15" customHeight="1" s="192" thickBot="1">
      <c r="W12811" s="239" t="n"/>
      <c r="X12811" s="239" t="n"/>
    </row>
    <row r="12812" ht="15" customHeight="1" s="192" thickBot="1">
      <c r="W12812" s="45" t="n"/>
      <c r="X12812" s="45" t="n"/>
    </row>
    <row r="12813" ht="14.25" customHeight="1" s="192">
      <c r="W12813" s="228" t="n"/>
      <c r="X12813" s="228" t="n"/>
    </row>
    <row r="12814" ht="14.25" customHeight="1" s="192">
      <c r="W12814" s="228" t="n"/>
      <c r="X12814" s="228" t="n"/>
    </row>
    <row r="12815" ht="14.25" customHeight="1" s="192">
      <c r="W12815" s="231" t="n"/>
      <c r="X12815" s="231" t="n"/>
    </row>
    <row r="12816" ht="14.25" customHeight="1" s="192">
      <c r="W12816" s="33" t="n"/>
      <c r="X12816" s="33" t="n"/>
    </row>
    <row r="12817" ht="14.25" customHeight="1" s="192">
      <c r="W12817" s="231" t="n"/>
      <c r="X12817" s="231" t="n"/>
    </row>
    <row r="12818" ht="14.25" customHeight="1" s="192">
      <c r="W12818" s="33" t="n"/>
      <c r="X12818" s="33" t="n"/>
    </row>
    <row r="12820" ht="14.25" customHeight="1" s="192">
      <c r="W12820" s="231" t="n"/>
      <c r="X12820" s="231" t="n"/>
    </row>
    <row r="12821" ht="14.25" customHeight="1" s="192">
      <c r="W12821" s="235" t="n"/>
      <c r="X12821" s="235" t="n"/>
    </row>
    <row r="12822" ht="14.25" customHeight="1" s="192">
      <c r="W12822" s="228" t="n"/>
      <c r="X12822" s="228" t="n"/>
    </row>
    <row r="12823" ht="14.25" customHeight="1" s="192">
      <c r="W12823" s="235" t="n"/>
      <c r="X12823" s="235" t="n"/>
    </row>
    <row r="12824" ht="14.25" customHeight="1" s="192">
      <c r="W12824" s="235" t="n"/>
      <c r="X12824" s="235" t="n"/>
    </row>
    <row r="12825" ht="14.25" customHeight="1" s="192">
      <c r="W12825" s="235" t="n"/>
      <c r="X12825" s="235" t="n"/>
    </row>
    <row r="12826" ht="14.25" customHeight="1" s="192">
      <c r="W12826" s="239" t="n"/>
      <c r="X12826" s="239" t="n"/>
    </row>
    <row r="12827" ht="14.25" customHeight="1" s="192">
      <c r="W12827" s="239" t="n"/>
      <c r="X12827" s="239" t="n"/>
    </row>
    <row r="12828" ht="14.25" customHeight="1" s="192">
      <c r="W12828" s="239" t="n"/>
      <c r="X12828" s="239" t="n"/>
    </row>
    <row r="12829" ht="14.25" customHeight="1" s="192">
      <c r="W12829" s="235" t="n"/>
      <c r="X12829" s="235" t="n"/>
    </row>
    <row r="12830" ht="14.25" customHeight="1" s="192">
      <c r="W12830" s="235" t="n"/>
      <c r="X12830" s="235" t="n"/>
    </row>
    <row r="12831" ht="14.25" customHeight="1" s="192">
      <c r="W12831" s="235" t="n"/>
      <c r="X12831" s="235" t="n"/>
    </row>
    <row r="12832" ht="14.25" customHeight="1" s="192">
      <c r="W12832" s="239" t="n"/>
      <c r="X12832" s="239" t="n"/>
    </row>
    <row r="12833" ht="14.25" customHeight="1" s="192">
      <c r="W12833" s="239" t="n"/>
      <c r="X12833" s="239" t="n"/>
    </row>
    <row r="12834" ht="14.25" customHeight="1" s="192">
      <c r="W12834" s="235" t="n"/>
      <c r="X12834" s="235" t="n"/>
    </row>
    <row r="12835" ht="14.25" customHeight="1" s="192">
      <c r="W12835" s="235" t="n"/>
      <c r="X12835" s="235" t="n"/>
    </row>
    <row r="12836" ht="14.25" customHeight="1" s="192">
      <c r="W12836" s="239" t="n"/>
      <c r="X12836" s="239" t="n"/>
    </row>
    <row r="12837" ht="14.25" customHeight="1" s="192">
      <c r="W12837" s="235" t="n"/>
      <c r="X12837" s="235" t="n"/>
    </row>
    <row r="12838" ht="14.25" customHeight="1" s="192">
      <c r="W12838" s="239" t="n"/>
      <c r="X12838" s="239" t="n"/>
    </row>
    <row r="12840" ht="14.25" customHeight="1" s="192">
      <c r="W12840" s="235" t="n"/>
      <c r="X12840" s="235" t="n"/>
    </row>
    <row r="12841" ht="15" customHeight="1" s="192" thickBot="1">
      <c r="W12841" s="239" t="n"/>
      <c r="X12841" s="239" t="n"/>
    </row>
    <row r="12842" ht="15" customHeight="1" s="192" thickBot="1">
      <c r="W12842" s="45" t="n"/>
      <c r="X12842" s="45" t="n"/>
    </row>
    <row r="12843" ht="14.25" customHeight="1" s="192">
      <c r="W12843" s="228" t="n"/>
      <c r="X12843" s="228" t="n"/>
    </row>
    <row r="12844" ht="14.25" customHeight="1" s="192">
      <c r="W12844" s="228" t="n"/>
      <c r="X12844" s="228" t="n"/>
    </row>
    <row r="12845" ht="14.25" customHeight="1" s="192">
      <c r="W12845" s="231" t="n"/>
      <c r="X12845" s="231" t="n"/>
    </row>
    <row r="12846" ht="14.25" customHeight="1" s="192">
      <c r="W12846" s="33" t="n"/>
      <c r="X12846" s="33" t="n"/>
    </row>
    <row r="12847" ht="14.25" customHeight="1" s="192">
      <c r="W12847" s="231" t="n"/>
      <c r="X12847" s="231" t="n"/>
    </row>
    <row r="12848" ht="14.25" customHeight="1" s="192">
      <c r="W12848" s="33" t="n"/>
      <c r="X12848" s="33" t="n"/>
    </row>
    <row r="12850" ht="14.25" customHeight="1" s="192">
      <c r="W12850" s="231" t="n"/>
      <c r="X12850" s="231" t="n"/>
    </row>
    <row r="12851" ht="14.25" customHeight="1" s="192">
      <c r="W12851" s="235" t="n"/>
      <c r="X12851" s="235" t="n"/>
    </row>
    <row r="12852" ht="14.25" customHeight="1" s="192">
      <c r="W12852" s="228" t="n"/>
      <c r="X12852" s="228" t="n"/>
    </row>
    <row r="12853" ht="14.25" customHeight="1" s="192">
      <c r="W12853" s="235" t="n"/>
      <c r="X12853" s="235" t="n"/>
    </row>
    <row r="12854" ht="14.25" customHeight="1" s="192">
      <c r="W12854" s="235" t="n"/>
      <c r="X12854" s="235" t="n"/>
    </row>
    <row r="12855" ht="14.25" customHeight="1" s="192">
      <c r="W12855" s="235" t="n"/>
      <c r="X12855" s="235" t="n"/>
    </row>
    <row r="12856" ht="14.25" customHeight="1" s="192">
      <c r="W12856" s="239" t="n"/>
      <c r="X12856" s="239" t="n"/>
    </row>
    <row r="12857" ht="14.25" customHeight="1" s="192">
      <c r="W12857" s="239" t="n"/>
      <c r="X12857" s="239" t="n"/>
    </row>
    <row r="12858" ht="14.25" customHeight="1" s="192">
      <c r="W12858" s="239" t="n"/>
      <c r="X12858" s="239" t="n"/>
    </row>
    <row r="12859" ht="14.25" customHeight="1" s="192">
      <c r="W12859" s="235" t="n"/>
      <c r="X12859" s="235" t="n"/>
    </row>
    <row r="12860" ht="14.25" customHeight="1" s="192">
      <c r="W12860" s="235" t="n"/>
      <c r="X12860" s="235" t="n"/>
    </row>
    <row r="12861" ht="14.25" customHeight="1" s="192">
      <c r="W12861" s="235" t="n"/>
      <c r="X12861" s="235" t="n"/>
    </row>
    <row r="12862" ht="14.25" customHeight="1" s="192">
      <c r="W12862" s="239" t="n"/>
      <c r="X12862" s="239" t="n"/>
    </row>
    <row r="12863" ht="14.25" customHeight="1" s="192">
      <c r="W12863" s="239" t="n"/>
      <c r="X12863" s="239" t="n"/>
    </row>
    <row r="12864" ht="14.25" customHeight="1" s="192">
      <c r="W12864" s="235" t="n"/>
      <c r="X12864" s="235" t="n"/>
    </row>
    <row r="12865" ht="14.25" customHeight="1" s="192">
      <c r="W12865" s="235" t="n"/>
      <c r="X12865" s="235" t="n"/>
    </row>
    <row r="12866" ht="14.25" customHeight="1" s="192">
      <c r="W12866" s="239" t="n"/>
      <c r="X12866" s="239" t="n"/>
    </row>
    <row r="12867" ht="14.25" customHeight="1" s="192">
      <c r="W12867" s="235" t="n"/>
      <c r="X12867" s="235" t="n"/>
    </row>
    <row r="12868" ht="14.25" customHeight="1" s="192">
      <c r="W12868" s="239" t="n"/>
      <c r="X12868" s="239" t="n"/>
    </row>
    <row r="12870" ht="14.25" customHeight="1" s="192">
      <c r="W12870" s="235" t="n"/>
      <c r="X12870" s="235" t="n"/>
    </row>
    <row r="12871" ht="15" customHeight="1" s="192" thickBot="1">
      <c r="W12871" s="239" t="n"/>
      <c r="X12871" s="239" t="n"/>
    </row>
    <row r="12872" ht="15" customHeight="1" s="192" thickBot="1">
      <c r="W12872" s="45" t="n"/>
      <c r="X12872" s="45" t="n"/>
    </row>
    <row r="12873" ht="14.25" customHeight="1" s="192">
      <c r="W12873" s="228" t="n"/>
      <c r="X12873" s="228" t="n"/>
    </row>
    <row r="12874" ht="14.25" customHeight="1" s="192">
      <c r="W12874" s="228" t="n"/>
      <c r="X12874" s="228" t="n"/>
    </row>
    <row r="12875" ht="14.25" customHeight="1" s="192">
      <c r="W12875" s="231" t="n"/>
      <c r="X12875" s="231" t="n"/>
    </row>
    <row r="12876" ht="14.25" customHeight="1" s="192">
      <c r="W12876" s="33" t="n"/>
      <c r="X12876" s="33" t="n"/>
    </row>
    <row r="12877" ht="14.25" customHeight="1" s="192">
      <c r="W12877" s="231" t="n"/>
      <c r="X12877" s="231" t="n"/>
    </row>
    <row r="12878" ht="14.25" customHeight="1" s="192">
      <c r="W12878" s="33" t="n"/>
      <c r="X12878" s="33" t="n"/>
    </row>
    <row r="12880" ht="14.25" customHeight="1" s="192">
      <c r="W12880" s="231" t="n"/>
      <c r="X12880" s="231" t="n"/>
    </row>
    <row r="12881" ht="14.25" customHeight="1" s="192">
      <c r="W12881" s="235" t="n"/>
      <c r="X12881" s="235" t="n"/>
    </row>
    <row r="12882" ht="14.25" customHeight="1" s="192">
      <c r="W12882" s="228" t="n"/>
      <c r="X12882" s="228" t="n"/>
    </row>
    <row r="12883" ht="14.25" customHeight="1" s="192">
      <c r="W12883" s="235" t="n"/>
      <c r="X12883" s="235" t="n"/>
    </row>
    <row r="12884" ht="14.25" customHeight="1" s="192">
      <c r="W12884" s="235" t="n"/>
      <c r="X12884" s="235" t="n"/>
    </row>
    <row r="12885" ht="14.25" customHeight="1" s="192">
      <c r="W12885" s="235" t="n"/>
      <c r="X12885" s="235" t="n"/>
    </row>
    <row r="12886" ht="14.25" customHeight="1" s="192">
      <c r="W12886" s="239" t="n"/>
      <c r="X12886" s="239" t="n"/>
    </row>
    <row r="12887" ht="14.25" customHeight="1" s="192">
      <c r="W12887" s="239" t="n"/>
      <c r="X12887" s="239" t="n"/>
    </row>
    <row r="12888" ht="14.25" customHeight="1" s="192">
      <c r="W12888" s="239" t="n"/>
      <c r="X12888" s="239" t="n"/>
    </row>
    <row r="12889" ht="14.25" customHeight="1" s="192">
      <c r="W12889" s="235" t="n"/>
      <c r="X12889" s="235" t="n"/>
    </row>
    <row r="12890" ht="14.25" customHeight="1" s="192">
      <c r="W12890" s="235" t="n"/>
      <c r="X12890" s="235" t="n"/>
    </row>
    <row r="12891" ht="14.25" customHeight="1" s="192">
      <c r="W12891" s="235" t="n"/>
      <c r="X12891" s="235" t="n"/>
    </row>
    <row r="12892" ht="14.25" customHeight="1" s="192">
      <c r="W12892" s="239" t="n"/>
      <c r="X12892" s="239" t="n"/>
    </row>
    <row r="12893" ht="14.25" customHeight="1" s="192">
      <c r="W12893" s="239" t="n"/>
      <c r="X12893" s="239" t="n"/>
    </row>
    <row r="12894" ht="14.25" customHeight="1" s="192">
      <c r="W12894" s="235" t="n"/>
      <c r="X12894" s="235" t="n"/>
    </row>
    <row r="12895" ht="14.25" customHeight="1" s="192">
      <c r="W12895" s="235" t="n"/>
      <c r="X12895" s="235" t="n"/>
    </row>
    <row r="12896" ht="14.25" customHeight="1" s="192">
      <c r="W12896" s="239" t="n"/>
      <c r="X12896" s="239" t="n"/>
    </row>
    <row r="12897" ht="14.25" customHeight="1" s="192">
      <c r="W12897" s="235" t="n"/>
      <c r="X12897" s="235" t="n"/>
    </row>
    <row r="12898" ht="14.25" customHeight="1" s="192">
      <c r="W12898" s="239" t="n"/>
      <c r="X12898" s="239" t="n"/>
    </row>
    <row r="12900" ht="14.25" customHeight="1" s="192">
      <c r="W12900" s="235" t="n"/>
      <c r="X12900" s="235" t="n"/>
    </row>
    <row r="12901" ht="15" customHeight="1" s="192" thickBot="1">
      <c r="W12901" s="239" t="n"/>
      <c r="X12901" s="239" t="n"/>
    </row>
    <row r="12902" ht="15" customHeight="1" s="192" thickBot="1">
      <c r="W12902" s="45" t="n"/>
      <c r="X12902" s="45" t="n"/>
    </row>
    <row r="12903" ht="14.25" customHeight="1" s="192">
      <c r="W12903" s="228" t="n"/>
      <c r="X12903" s="228" t="n"/>
    </row>
    <row r="12904" ht="14.25" customHeight="1" s="192">
      <c r="W12904" s="228" t="n"/>
      <c r="X12904" s="228" t="n"/>
    </row>
    <row r="12905" ht="14.25" customHeight="1" s="192">
      <c r="W12905" s="231" t="n"/>
      <c r="X12905" s="231" t="n"/>
    </row>
    <row r="12906" ht="14.25" customHeight="1" s="192">
      <c r="W12906" s="33" t="n"/>
      <c r="X12906" s="33" t="n"/>
    </row>
    <row r="12907" ht="14.25" customHeight="1" s="192">
      <c r="W12907" s="231" t="n"/>
      <c r="X12907" s="231" t="n"/>
    </row>
    <row r="12908" ht="14.25" customHeight="1" s="192">
      <c r="W12908" s="33" t="n"/>
      <c r="X12908" s="33" t="n"/>
    </row>
    <row r="12910" ht="14.25" customHeight="1" s="192">
      <c r="W12910" s="231" t="n"/>
      <c r="X12910" s="231" t="n"/>
    </row>
    <row r="12911" ht="14.25" customHeight="1" s="192">
      <c r="W12911" s="235" t="n"/>
      <c r="X12911" s="235" t="n"/>
    </row>
    <row r="12912" ht="14.25" customHeight="1" s="192">
      <c r="W12912" s="228" t="n"/>
      <c r="X12912" s="228" t="n"/>
    </row>
    <row r="12913" ht="14.25" customHeight="1" s="192">
      <c r="W12913" s="235" t="n"/>
      <c r="X12913" s="235" t="n"/>
    </row>
    <row r="12914" ht="14.25" customHeight="1" s="192">
      <c r="W12914" s="235" t="n"/>
      <c r="X12914" s="235" t="n"/>
    </row>
    <row r="12915" ht="14.25" customHeight="1" s="192">
      <c r="W12915" s="235" t="n"/>
      <c r="X12915" s="235" t="n"/>
    </row>
    <row r="12916" ht="14.25" customHeight="1" s="192">
      <c r="W12916" s="239" t="n"/>
      <c r="X12916" s="239" t="n"/>
    </row>
    <row r="12917" ht="14.25" customHeight="1" s="192">
      <c r="W12917" s="239" t="n"/>
      <c r="X12917" s="239" t="n"/>
    </row>
    <row r="12918" ht="14.25" customHeight="1" s="192">
      <c r="W12918" s="239" t="n"/>
      <c r="X12918" s="239" t="n"/>
    </row>
    <row r="12919" ht="14.25" customHeight="1" s="192">
      <c r="W12919" s="235" t="n"/>
      <c r="X12919" s="235" t="n"/>
    </row>
    <row r="12920" ht="14.25" customHeight="1" s="192">
      <c r="W12920" s="235" t="n"/>
      <c r="X12920" s="235" t="n"/>
    </row>
    <row r="12921" ht="14.25" customHeight="1" s="192">
      <c r="W12921" s="235" t="n"/>
      <c r="X12921" s="235" t="n"/>
    </row>
    <row r="12922" ht="14.25" customHeight="1" s="192">
      <c r="W12922" s="239" t="n"/>
      <c r="X12922" s="239" t="n"/>
    </row>
    <row r="12923" ht="14.25" customHeight="1" s="192">
      <c r="W12923" s="239" t="n"/>
      <c r="X12923" s="239" t="n"/>
    </row>
    <row r="12924" ht="14.25" customHeight="1" s="192">
      <c r="W12924" s="235" t="n"/>
      <c r="X12924" s="235" t="n"/>
    </row>
    <row r="12925" ht="14.25" customHeight="1" s="192">
      <c r="W12925" s="235" t="n"/>
      <c r="X12925" s="235" t="n"/>
    </row>
    <row r="12926" ht="14.25" customHeight="1" s="192">
      <c r="W12926" s="239" t="n"/>
      <c r="X12926" s="239" t="n"/>
    </row>
    <row r="12927" ht="14.25" customHeight="1" s="192">
      <c r="W12927" s="235" t="n"/>
      <c r="X12927" s="235" t="n"/>
    </row>
    <row r="12928" ht="14.25" customHeight="1" s="192">
      <c r="W12928" s="239" t="n"/>
      <c r="X12928" s="239" t="n"/>
    </row>
    <row r="12930" ht="14.25" customHeight="1" s="192">
      <c r="W12930" s="235" t="n"/>
      <c r="X12930" s="235" t="n"/>
    </row>
    <row r="12931" ht="15" customHeight="1" s="192" thickBot="1">
      <c r="W12931" s="239" t="n"/>
      <c r="X12931" s="239" t="n"/>
    </row>
    <row r="12932" ht="15" customHeight="1" s="192" thickBot="1">
      <c r="W12932" s="45" t="n"/>
      <c r="X12932" s="45" t="n"/>
    </row>
    <row r="12933" ht="14.25" customHeight="1" s="192">
      <c r="W12933" s="228" t="n"/>
      <c r="X12933" s="228" t="n"/>
    </row>
    <row r="12934" ht="14.25" customHeight="1" s="192">
      <c r="W12934" s="228" t="n"/>
      <c r="X12934" s="228" t="n"/>
    </row>
    <row r="12935" ht="14.25" customHeight="1" s="192">
      <c r="W12935" s="231" t="n"/>
      <c r="X12935" s="231" t="n"/>
    </row>
    <row r="12936" ht="14.25" customHeight="1" s="192">
      <c r="W12936" s="33" t="n"/>
      <c r="X12936" s="33" t="n"/>
    </row>
    <row r="12937" ht="14.25" customHeight="1" s="192">
      <c r="W12937" s="231" t="n"/>
      <c r="X12937" s="231" t="n"/>
    </row>
    <row r="12938" ht="14.25" customHeight="1" s="192">
      <c r="W12938" s="33" t="n"/>
      <c r="X12938" s="33" t="n"/>
    </row>
    <row r="12940" ht="14.25" customHeight="1" s="192">
      <c r="W12940" s="231" t="n"/>
      <c r="X12940" s="231" t="n"/>
    </row>
    <row r="12941" ht="14.25" customHeight="1" s="192">
      <c r="W12941" s="235" t="n"/>
      <c r="X12941" s="235" t="n"/>
    </row>
    <row r="12942" ht="14.25" customHeight="1" s="192">
      <c r="W12942" s="228" t="n"/>
      <c r="X12942" s="228" t="n"/>
    </row>
    <row r="12943" ht="14.25" customHeight="1" s="192">
      <c r="W12943" s="235" t="n"/>
      <c r="X12943" s="235" t="n"/>
    </row>
    <row r="12944" ht="14.25" customHeight="1" s="192">
      <c r="W12944" s="235" t="n"/>
      <c r="X12944" s="235" t="n"/>
    </row>
    <row r="12945" ht="14.25" customHeight="1" s="192">
      <c r="W12945" s="235" t="n"/>
      <c r="X12945" s="235" t="n"/>
    </row>
    <row r="12946" ht="14.25" customHeight="1" s="192">
      <c r="W12946" s="239" t="n"/>
      <c r="X12946" s="239" t="n"/>
    </row>
    <row r="12947" ht="14.25" customHeight="1" s="192">
      <c r="W12947" s="239" t="n"/>
      <c r="X12947" s="239" t="n"/>
    </row>
    <row r="12948" ht="14.25" customHeight="1" s="192">
      <c r="W12948" s="239" t="n"/>
      <c r="X12948" s="239" t="n"/>
    </row>
    <row r="12949" ht="14.25" customHeight="1" s="192">
      <c r="W12949" s="235" t="n"/>
      <c r="X12949" s="235" t="n"/>
    </row>
    <row r="12950" ht="14.25" customHeight="1" s="192">
      <c r="W12950" s="235" t="n"/>
      <c r="X12950" s="235" t="n"/>
    </row>
    <row r="12951" ht="14.25" customHeight="1" s="192">
      <c r="W12951" s="235" t="n"/>
      <c r="X12951" s="235" t="n"/>
    </row>
    <row r="12952" ht="14.25" customHeight="1" s="192">
      <c r="W12952" s="239" t="n"/>
      <c r="X12952" s="239" t="n"/>
    </row>
    <row r="12953" ht="14.25" customHeight="1" s="192">
      <c r="W12953" s="239" t="n"/>
      <c r="X12953" s="239" t="n"/>
    </row>
    <row r="12954" ht="14.25" customHeight="1" s="192">
      <c r="W12954" s="235" t="n"/>
      <c r="X12954" s="235" t="n"/>
    </row>
    <row r="12955" ht="14.25" customHeight="1" s="192">
      <c r="W12955" s="235" t="n"/>
      <c r="X12955" s="235" t="n"/>
    </row>
    <row r="12956" ht="14.25" customHeight="1" s="192">
      <c r="W12956" s="239" t="n"/>
      <c r="X12956" s="239" t="n"/>
    </row>
    <row r="12957" ht="14.25" customHeight="1" s="192">
      <c r="W12957" s="235" t="n"/>
      <c r="X12957" s="235" t="n"/>
    </row>
    <row r="12958" ht="14.25" customHeight="1" s="192">
      <c r="W12958" s="239" t="n"/>
      <c r="X12958" s="239" t="n"/>
    </row>
    <row r="12960" ht="14.25" customHeight="1" s="192">
      <c r="W12960" s="235" t="n"/>
      <c r="X12960" s="235" t="n"/>
    </row>
    <row r="12961" ht="15" customHeight="1" s="192" thickBot="1">
      <c r="W12961" s="239" t="n"/>
      <c r="X12961" s="239" t="n"/>
    </row>
    <row r="12962" ht="15" customHeight="1" s="192" thickBot="1">
      <c r="W12962" s="45" t="n"/>
      <c r="X12962" s="45" t="n"/>
    </row>
    <row r="12963" ht="14.25" customHeight="1" s="192">
      <c r="W12963" s="228" t="n"/>
      <c r="X12963" s="228" t="n"/>
    </row>
    <row r="12964" ht="14.25" customHeight="1" s="192">
      <c r="W12964" s="228" t="n"/>
      <c r="X12964" s="228" t="n"/>
    </row>
    <row r="12965" ht="14.25" customHeight="1" s="192">
      <c r="W12965" s="231" t="n"/>
      <c r="X12965" s="231" t="n"/>
    </row>
    <row r="12966" ht="14.25" customHeight="1" s="192">
      <c r="W12966" s="33" t="n"/>
      <c r="X12966" s="33" t="n"/>
    </row>
    <row r="12967" ht="14.25" customHeight="1" s="192">
      <c r="W12967" s="231" t="n"/>
      <c r="X12967" s="231" t="n"/>
    </row>
    <row r="12968" ht="14.25" customHeight="1" s="192">
      <c r="W12968" s="33" t="n"/>
      <c r="X12968" s="33" t="n"/>
    </row>
    <row r="12970" ht="14.25" customHeight="1" s="192">
      <c r="W12970" s="231" t="n"/>
      <c r="X12970" s="231" t="n"/>
    </row>
    <row r="12971" ht="14.25" customHeight="1" s="192">
      <c r="W12971" s="235" t="n"/>
      <c r="X12971" s="235" t="n"/>
    </row>
    <row r="12972" ht="14.25" customHeight="1" s="192">
      <c r="W12972" s="228" t="n"/>
      <c r="X12972" s="228" t="n"/>
    </row>
    <row r="12973" ht="14.25" customHeight="1" s="192">
      <c r="W12973" s="235" t="n"/>
      <c r="X12973" s="235" t="n"/>
    </row>
    <row r="12974" ht="14.25" customHeight="1" s="192">
      <c r="W12974" s="235" t="n"/>
      <c r="X12974" s="235" t="n"/>
    </row>
    <row r="12975" ht="14.25" customHeight="1" s="192">
      <c r="W12975" s="235" t="n"/>
      <c r="X12975" s="235" t="n"/>
    </row>
    <row r="12976" ht="14.25" customHeight="1" s="192">
      <c r="W12976" s="239" t="n"/>
      <c r="X12976" s="239" t="n"/>
    </row>
    <row r="12977" ht="14.25" customHeight="1" s="192">
      <c r="W12977" s="239" t="n"/>
      <c r="X12977" s="239" t="n"/>
    </row>
    <row r="12978" ht="14.25" customHeight="1" s="192">
      <c r="W12978" s="239" t="n"/>
      <c r="X12978" s="239" t="n"/>
    </row>
    <row r="12979" ht="14.25" customHeight="1" s="192">
      <c r="W12979" s="235" t="n"/>
      <c r="X12979" s="235" t="n"/>
    </row>
    <row r="12980" ht="14.25" customHeight="1" s="192">
      <c r="W12980" s="235" t="n"/>
      <c r="X12980" s="235" t="n"/>
    </row>
    <row r="12981" ht="14.25" customHeight="1" s="192">
      <c r="W12981" s="235" t="n"/>
      <c r="X12981" s="235" t="n"/>
    </row>
    <row r="12982" ht="14.25" customHeight="1" s="192">
      <c r="W12982" s="239" t="n"/>
      <c r="X12982" s="239" t="n"/>
    </row>
    <row r="12983" ht="14.25" customHeight="1" s="192">
      <c r="W12983" s="239" t="n"/>
      <c r="X12983" s="239" t="n"/>
    </row>
    <row r="12984" ht="14.25" customHeight="1" s="192">
      <c r="W12984" s="235" t="n"/>
      <c r="X12984" s="235" t="n"/>
    </row>
    <row r="12985" ht="14.25" customHeight="1" s="192">
      <c r="W12985" s="235" t="n"/>
      <c r="X12985" s="235" t="n"/>
    </row>
    <row r="12986" ht="14.25" customHeight="1" s="192">
      <c r="W12986" s="239" t="n"/>
      <c r="X12986" s="239" t="n"/>
    </row>
    <row r="12987" ht="14.25" customHeight="1" s="192">
      <c r="W12987" s="235" t="n"/>
      <c r="X12987" s="235" t="n"/>
    </row>
    <row r="12988" ht="14.25" customHeight="1" s="192">
      <c r="W12988" s="239" t="n"/>
      <c r="X12988" s="239" t="n"/>
    </row>
    <row r="12990" ht="14.25" customHeight="1" s="192">
      <c r="W12990" s="235" t="n"/>
      <c r="X12990" s="235" t="n"/>
    </row>
    <row r="12991" ht="15" customHeight="1" s="192" thickBot="1">
      <c r="W12991" s="239" t="n"/>
      <c r="X12991" s="239" t="n"/>
    </row>
    <row r="12992" ht="15" customHeight="1" s="192" thickBot="1">
      <c r="W12992" s="45" t="n"/>
      <c r="X12992" s="45" t="n"/>
    </row>
    <row r="12993" ht="14.25" customHeight="1" s="192">
      <c r="W12993" s="228" t="n"/>
      <c r="X12993" s="228" t="n"/>
    </row>
    <row r="12994" ht="14.25" customHeight="1" s="192">
      <c r="W12994" s="228" t="n"/>
      <c r="X12994" s="228" t="n"/>
    </row>
    <row r="12995" ht="14.25" customHeight="1" s="192">
      <c r="W12995" s="231" t="n"/>
      <c r="X12995" s="231" t="n"/>
    </row>
    <row r="12996" ht="14.25" customHeight="1" s="192">
      <c r="W12996" s="33" t="n"/>
      <c r="X12996" s="33" t="n"/>
    </row>
    <row r="12997" ht="14.25" customHeight="1" s="192">
      <c r="W12997" s="231" t="n"/>
      <c r="X12997" s="231" t="n"/>
    </row>
    <row r="12998" ht="14.25" customHeight="1" s="192">
      <c r="W12998" s="33" t="n"/>
      <c r="X12998" s="33" t="n"/>
    </row>
    <row r="13000" ht="14.25" customHeight="1" s="192">
      <c r="W13000" s="231" t="n"/>
      <c r="X13000" s="231" t="n"/>
    </row>
    <row r="13001" ht="14.25" customHeight="1" s="192">
      <c r="W13001" s="235" t="n"/>
      <c r="X13001" s="235" t="n"/>
    </row>
    <row r="13002" ht="14.25" customHeight="1" s="192">
      <c r="W13002" s="228" t="n"/>
      <c r="X13002" s="228" t="n"/>
    </row>
    <row r="13003" ht="14.25" customHeight="1" s="192">
      <c r="W13003" s="235" t="n"/>
      <c r="X13003" s="235" t="n"/>
    </row>
    <row r="13004" ht="14.25" customHeight="1" s="192">
      <c r="W13004" s="235" t="n"/>
      <c r="X13004" s="235" t="n"/>
    </row>
    <row r="13005" ht="14.25" customHeight="1" s="192">
      <c r="W13005" s="235" t="n"/>
      <c r="X13005" s="235" t="n"/>
    </row>
    <row r="13006" ht="14.25" customHeight="1" s="192">
      <c r="W13006" s="239" t="n"/>
      <c r="X13006" s="239" t="n"/>
    </row>
    <row r="13007" ht="14.25" customHeight="1" s="192">
      <c r="W13007" s="239" t="n"/>
      <c r="X13007" s="239" t="n"/>
    </row>
    <row r="13008" ht="14.25" customHeight="1" s="192">
      <c r="W13008" s="239" t="n"/>
      <c r="X13008" s="239" t="n"/>
    </row>
    <row r="13009" ht="14.25" customHeight="1" s="192">
      <c r="W13009" s="235" t="n"/>
      <c r="X13009" s="235" t="n"/>
    </row>
    <row r="13010" ht="14.25" customHeight="1" s="192">
      <c r="W13010" s="235" t="n"/>
      <c r="X13010" s="235" t="n"/>
    </row>
    <row r="13011" ht="14.25" customHeight="1" s="192">
      <c r="W13011" s="235" t="n"/>
      <c r="X13011" s="235" t="n"/>
    </row>
    <row r="13012" ht="14.25" customHeight="1" s="192">
      <c r="W13012" s="239" t="n"/>
      <c r="X13012" s="239" t="n"/>
    </row>
    <row r="13013" ht="14.25" customHeight="1" s="192">
      <c r="W13013" s="239" t="n"/>
      <c r="X13013" s="239" t="n"/>
    </row>
    <row r="13014" ht="14.25" customHeight="1" s="192">
      <c r="W13014" s="235" t="n"/>
      <c r="X13014" s="235" t="n"/>
    </row>
    <row r="13015" ht="14.25" customHeight="1" s="192">
      <c r="W13015" s="235" t="n"/>
      <c r="X13015" s="235" t="n"/>
    </row>
    <row r="13016" ht="14.25" customHeight="1" s="192">
      <c r="W13016" s="239" t="n"/>
      <c r="X13016" s="239" t="n"/>
    </row>
    <row r="13017" ht="14.25" customHeight="1" s="192">
      <c r="W13017" s="235" t="n"/>
      <c r="X13017" s="235" t="n"/>
    </row>
    <row r="13018" ht="14.25" customHeight="1" s="192">
      <c r="W13018" s="239" t="n"/>
      <c r="X13018" s="239" t="n"/>
    </row>
    <row r="13020" ht="14.25" customHeight="1" s="192">
      <c r="W13020" s="235" t="n"/>
      <c r="X13020" s="235" t="n"/>
    </row>
    <row r="13021" ht="15" customHeight="1" s="192" thickBot="1">
      <c r="W13021" s="239" t="n"/>
      <c r="X13021" s="239" t="n"/>
    </row>
    <row r="13022" ht="15" customHeight="1" s="192" thickBot="1">
      <c r="W13022" s="45" t="n"/>
      <c r="X13022" s="45" t="n"/>
    </row>
    <row r="13023" ht="14.25" customHeight="1" s="192">
      <c r="W13023" s="228" t="n"/>
      <c r="X13023" s="228" t="n"/>
    </row>
    <row r="13024" ht="14.25" customHeight="1" s="192">
      <c r="W13024" s="228" t="n"/>
      <c r="X13024" s="228" t="n"/>
    </row>
    <row r="13025" ht="14.25" customHeight="1" s="192">
      <c r="W13025" s="231" t="n"/>
      <c r="X13025" s="231" t="n"/>
    </row>
    <row r="13026" ht="14.25" customHeight="1" s="192">
      <c r="W13026" s="33" t="n"/>
      <c r="X13026" s="33" t="n"/>
    </row>
    <row r="13027" ht="14.25" customHeight="1" s="192">
      <c r="W13027" s="231" t="n"/>
      <c r="X13027" s="231" t="n"/>
    </row>
    <row r="13028" ht="14.25" customHeight="1" s="192">
      <c r="W13028" s="33" t="n"/>
      <c r="X13028" s="33" t="n"/>
    </row>
    <row r="13030" ht="14.25" customHeight="1" s="192">
      <c r="W13030" s="231" t="n"/>
      <c r="X13030" s="231" t="n"/>
    </row>
    <row r="13031" ht="14.25" customHeight="1" s="192">
      <c r="W13031" s="235" t="n"/>
      <c r="X13031" s="235" t="n"/>
    </row>
    <row r="13032" ht="14.25" customHeight="1" s="192">
      <c r="W13032" s="228" t="n"/>
      <c r="X13032" s="228" t="n"/>
    </row>
    <row r="13033" ht="14.25" customHeight="1" s="192">
      <c r="W13033" s="235" t="n"/>
      <c r="X13033" s="235" t="n"/>
    </row>
    <row r="13034" ht="14.25" customHeight="1" s="192">
      <c r="W13034" s="235" t="n"/>
      <c r="X13034" s="235" t="n"/>
    </row>
    <row r="13035" ht="14.25" customHeight="1" s="192">
      <c r="W13035" s="235" t="n"/>
      <c r="X13035" s="235" t="n"/>
    </row>
    <row r="13036" ht="14.25" customHeight="1" s="192">
      <c r="W13036" s="239" t="n"/>
      <c r="X13036" s="239" t="n"/>
    </row>
    <row r="13037" ht="14.25" customHeight="1" s="192">
      <c r="W13037" s="239" t="n"/>
      <c r="X13037" s="239" t="n"/>
    </row>
    <row r="13038" ht="14.25" customHeight="1" s="192">
      <c r="W13038" s="239" t="n"/>
      <c r="X13038" s="239" t="n"/>
    </row>
    <row r="13039" ht="14.25" customHeight="1" s="192">
      <c r="W13039" s="235" t="n"/>
      <c r="X13039" s="235" t="n"/>
    </row>
    <row r="13040" ht="14.25" customHeight="1" s="192">
      <c r="W13040" s="235" t="n"/>
      <c r="X13040" s="235" t="n"/>
    </row>
    <row r="13041" ht="14.25" customHeight="1" s="192">
      <c r="W13041" s="235" t="n"/>
      <c r="X13041" s="235" t="n"/>
    </row>
    <row r="13042" ht="14.25" customHeight="1" s="192">
      <c r="W13042" s="239" t="n"/>
      <c r="X13042" s="239" t="n"/>
    </row>
    <row r="13043" ht="14.25" customHeight="1" s="192">
      <c r="W13043" s="239" t="n"/>
      <c r="X13043" s="239" t="n"/>
    </row>
    <row r="13044" ht="14.25" customHeight="1" s="192">
      <c r="W13044" s="235" t="n"/>
      <c r="X13044" s="235" t="n"/>
    </row>
    <row r="13045" ht="14.25" customHeight="1" s="192">
      <c r="W13045" s="235" t="n"/>
      <c r="X13045" s="235" t="n"/>
    </row>
    <row r="13046" ht="14.25" customHeight="1" s="192">
      <c r="W13046" s="239" t="n"/>
      <c r="X13046" s="239" t="n"/>
    </row>
    <row r="13047" ht="14.25" customHeight="1" s="192">
      <c r="W13047" s="235" t="n"/>
      <c r="X13047" s="235" t="n"/>
    </row>
    <row r="13048" ht="14.25" customHeight="1" s="192">
      <c r="W13048" s="239" t="n"/>
      <c r="X13048" s="239" t="n"/>
    </row>
    <row r="13050" ht="14.25" customHeight="1" s="192">
      <c r="W13050" s="235" t="n"/>
      <c r="X13050" s="235" t="n"/>
    </row>
    <row r="13051" ht="15" customHeight="1" s="192" thickBot="1">
      <c r="W13051" s="239" t="n"/>
      <c r="X13051" s="239" t="n"/>
    </row>
    <row r="13052" ht="15" customHeight="1" s="192" thickBot="1">
      <c r="W13052" s="45" t="n"/>
      <c r="X13052" s="45" t="n"/>
    </row>
    <row r="13053" ht="14.25" customHeight="1" s="192">
      <c r="W13053" s="228" t="n"/>
      <c r="X13053" s="228" t="n"/>
    </row>
    <row r="13054" ht="14.25" customHeight="1" s="192">
      <c r="W13054" s="228" t="n"/>
      <c r="X13054" s="228" t="n"/>
    </row>
    <row r="13055" ht="14.25" customHeight="1" s="192">
      <c r="W13055" s="231" t="n"/>
      <c r="X13055" s="231" t="n"/>
    </row>
    <row r="13056" ht="14.25" customHeight="1" s="192">
      <c r="W13056" s="33" t="n"/>
      <c r="X13056" s="33" t="n"/>
    </row>
    <row r="13057" ht="14.25" customHeight="1" s="192">
      <c r="W13057" s="231" t="n"/>
      <c r="X13057" s="231" t="n"/>
    </row>
    <row r="13058" ht="14.25" customHeight="1" s="192">
      <c r="W13058" s="33" t="n"/>
      <c r="X13058" s="33" t="n"/>
    </row>
    <row r="13060" ht="14.25" customHeight="1" s="192">
      <c r="W13060" s="231" t="n"/>
      <c r="X13060" s="231" t="n"/>
    </row>
    <row r="13061" ht="14.25" customHeight="1" s="192">
      <c r="W13061" s="235" t="n"/>
      <c r="X13061" s="235" t="n"/>
    </row>
    <row r="13062" ht="14.25" customHeight="1" s="192">
      <c r="W13062" s="228" t="n"/>
      <c r="X13062" s="228" t="n"/>
    </row>
    <row r="13063" ht="14.25" customHeight="1" s="192">
      <c r="W13063" s="235" t="n"/>
      <c r="X13063" s="235" t="n"/>
    </row>
    <row r="13064" ht="14.25" customHeight="1" s="192">
      <c r="W13064" s="235" t="n"/>
      <c r="X13064" s="235" t="n"/>
    </row>
    <row r="13065" ht="14.25" customHeight="1" s="192">
      <c r="W13065" s="235" t="n"/>
      <c r="X13065" s="235" t="n"/>
    </row>
    <row r="13066" ht="14.25" customHeight="1" s="192">
      <c r="W13066" s="239" t="n"/>
      <c r="X13066" s="239" t="n"/>
    </row>
    <row r="13067" ht="14.25" customHeight="1" s="192">
      <c r="W13067" s="239" t="n"/>
      <c r="X13067" s="239" t="n"/>
    </row>
    <row r="13068" ht="14.25" customHeight="1" s="192">
      <c r="W13068" s="239" t="n"/>
      <c r="X13068" s="239" t="n"/>
    </row>
    <row r="13069" ht="14.25" customHeight="1" s="192">
      <c r="W13069" s="235" t="n"/>
      <c r="X13069" s="235" t="n"/>
    </row>
    <row r="13070" ht="14.25" customHeight="1" s="192">
      <c r="W13070" s="235" t="n"/>
      <c r="X13070" s="235" t="n"/>
    </row>
    <row r="13071" ht="14.25" customHeight="1" s="192">
      <c r="W13071" s="235" t="n"/>
      <c r="X13071" s="235" t="n"/>
    </row>
    <row r="13072" ht="14.25" customHeight="1" s="192">
      <c r="W13072" s="239" t="n"/>
      <c r="X13072" s="239" t="n"/>
    </row>
    <row r="13073" ht="14.25" customHeight="1" s="192">
      <c r="W13073" s="239" t="n"/>
      <c r="X13073" s="239" t="n"/>
    </row>
    <row r="13074" ht="14.25" customHeight="1" s="192">
      <c r="W13074" s="235" t="n"/>
      <c r="X13074" s="235" t="n"/>
    </row>
    <row r="13075" ht="14.25" customHeight="1" s="192">
      <c r="W13075" s="235" t="n"/>
      <c r="X13075" s="235" t="n"/>
    </row>
    <row r="13076" ht="14.25" customHeight="1" s="192">
      <c r="W13076" s="239" t="n"/>
      <c r="X13076" s="239" t="n"/>
    </row>
    <row r="13077" ht="14.25" customHeight="1" s="192">
      <c r="W13077" s="235" t="n"/>
      <c r="X13077" s="235" t="n"/>
    </row>
    <row r="13078" ht="14.25" customHeight="1" s="192">
      <c r="W13078" s="239" t="n"/>
      <c r="X13078" s="239" t="n"/>
    </row>
    <row r="13080" ht="14.25" customHeight="1" s="192">
      <c r="W13080" s="235" t="n"/>
      <c r="X13080" s="235" t="n"/>
    </row>
    <row r="13081" ht="15" customHeight="1" s="192" thickBot="1">
      <c r="W13081" s="239" t="n"/>
      <c r="X13081" s="239" t="n"/>
    </row>
    <row r="13082" ht="15" customHeight="1" s="192" thickBot="1">
      <c r="W13082" s="45" t="n"/>
      <c r="X13082" s="45" t="n"/>
    </row>
    <row r="13083" ht="14.25" customHeight="1" s="192">
      <c r="W13083" s="228" t="n"/>
      <c r="X13083" s="228" t="n"/>
    </row>
    <row r="13084" ht="14.25" customHeight="1" s="192">
      <c r="W13084" s="228" t="n"/>
      <c r="X13084" s="228" t="n"/>
    </row>
    <row r="13085" ht="14.25" customHeight="1" s="192">
      <c r="W13085" s="231" t="n"/>
      <c r="X13085" s="231" t="n"/>
    </row>
    <row r="13086" ht="14.25" customHeight="1" s="192">
      <c r="W13086" s="33" t="n"/>
      <c r="X13086" s="33" t="n"/>
    </row>
    <row r="13087" ht="14.25" customHeight="1" s="192">
      <c r="W13087" s="231" t="n"/>
      <c r="X13087" s="231" t="n"/>
    </row>
    <row r="13088" ht="14.25" customHeight="1" s="192">
      <c r="W13088" s="33" t="n"/>
      <c r="X13088" s="33" t="n"/>
    </row>
    <row r="13090" ht="14.25" customHeight="1" s="192">
      <c r="W13090" s="231" t="n"/>
      <c r="X13090" s="231" t="n"/>
    </row>
    <row r="13091" ht="14.25" customHeight="1" s="192">
      <c r="W13091" s="235" t="n"/>
      <c r="X13091" s="235" t="n"/>
    </row>
    <row r="13092" ht="14.25" customHeight="1" s="192">
      <c r="W13092" s="228" t="n"/>
      <c r="X13092" s="228" t="n"/>
    </row>
    <row r="13093" ht="14.25" customHeight="1" s="192">
      <c r="W13093" s="235" t="n"/>
      <c r="X13093" s="235" t="n"/>
    </row>
    <row r="13094" ht="14.25" customHeight="1" s="192">
      <c r="W13094" s="235" t="n"/>
      <c r="X13094" s="235" t="n"/>
    </row>
    <row r="13095" ht="14.25" customHeight="1" s="192">
      <c r="W13095" s="235" t="n"/>
      <c r="X13095" s="235" t="n"/>
    </row>
    <row r="13096" ht="14.25" customHeight="1" s="192">
      <c r="W13096" s="239" t="n"/>
      <c r="X13096" s="239" t="n"/>
    </row>
    <row r="13097" ht="14.25" customHeight="1" s="192">
      <c r="W13097" s="239" t="n"/>
      <c r="X13097" s="239" t="n"/>
    </row>
    <row r="13098" ht="14.25" customHeight="1" s="192">
      <c r="W13098" s="239" t="n"/>
      <c r="X13098" s="239" t="n"/>
    </row>
    <row r="13099" ht="14.25" customHeight="1" s="192">
      <c r="W13099" s="235" t="n"/>
      <c r="X13099" s="235" t="n"/>
    </row>
    <row r="13100" ht="14.25" customHeight="1" s="192">
      <c r="W13100" s="235" t="n"/>
      <c r="X13100" s="235" t="n"/>
    </row>
    <row r="13101" ht="14.25" customHeight="1" s="192">
      <c r="W13101" s="235" t="n"/>
      <c r="X13101" s="235" t="n"/>
    </row>
    <row r="13102" ht="14.25" customHeight="1" s="192">
      <c r="W13102" s="239" t="n"/>
      <c r="X13102" s="239" t="n"/>
    </row>
    <row r="13103" ht="14.25" customHeight="1" s="192">
      <c r="W13103" s="239" t="n"/>
      <c r="X13103" s="239" t="n"/>
    </row>
    <row r="13104" ht="14.25" customHeight="1" s="192">
      <c r="W13104" s="235" t="n"/>
      <c r="X13104" s="235" t="n"/>
    </row>
    <row r="13105" ht="14.25" customHeight="1" s="192">
      <c r="W13105" s="235" t="n"/>
      <c r="X13105" s="235" t="n"/>
    </row>
    <row r="13106" ht="14.25" customHeight="1" s="192">
      <c r="W13106" s="239" t="n"/>
      <c r="X13106" s="239" t="n"/>
    </row>
    <row r="13107" ht="14.25" customHeight="1" s="192">
      <c r="W13107" s="235" t="n"/>
      <c r="X13107" s="235" t="n"/>
    </row>
    <row r="13108" ht="14.25" customHeight="1" s="192">
      <c r="W13108" s="239" t="n"/>
      <c r="X13108" s="239" t="n"/>
    </row>
    <row r="13110" ht="14.25" customHeight="1" s="192">
      <c r="W13110" s="235" t="n"/>
      <c r="X13110" s="235" t="n"/>
    </row>
    <row r="13111" ht="15" customHeight="1" s="192" thickBot="1">
      <c r="W13111" s="239" t="n"/>
      <c r="X13111" s="239" t="n"/>
    </row>
    <row r="13112" ht="15" customHeight="1" s="192" thickBot="1">
      <c r="W13112" s="45" t="n"/>
      <c r="X13112" s="45" t="n"/>
    </row>
    <row r="13113" ht="14.25" customHeight="1" s="192">
      <c r="W13113" s="228" t="n"/>
      <c r="X13113" s="228" t="n"/>
    </row>
    <row r="13114" ht="14.25" customHeight="1" s="192">
      <c r="W13114" s="228" t="n"/>
      <c r="X13114" s="228" t="n"/>
    </row>
    <row r="13115" ht="14.25" customHeight="1" s="192">
      <c r="W13115" s="231" t="n"/>
      <c r="X13115" s="231" t="n"/>
    </row>
    <row r="13116" ht="14.25" customHeight="1" s="192">
      <c r="W13116" s="33" t="n"/>
      <c r="X13116" s="33" t="n"/>
    </row>
    <row r="13117" ht="14.25" customHeight="1" s="192">
      <c r="W13117" s="231" t="n"/>
      <c r="X13117" s="231" t="n"/>
    </row>
    <row r="13118" ht="14.25" customHeight="1" s="192">
      <c r="W13118" s="33" t="n"/>
      <c r="X13118" s="33" t="n"/>
    </row>
    <row r="13120" ht="14.25" customHeight="1" s="192">
      <c r="W13120" s="231" t="n"/>
      <c r="X13120" s="231" t="n"/>
    </row>
    <row r="13121" ht="14.25" customHeight="1" s="192">
      <c r="W13121" s="235" t="n"/>
      <c r="X13121" s="235" t="n"/>
    </row>
    <row r="13122" ht="14.25" customHeight="1" s="192">
      <c r="W13122" s="228" t="n"/>
      <c r="X13122" s="228" t="n"/>
    </row>
    <row r="13123" ht="14.25" customHeight="1" s="192">
      <c r="W13123" s="235" t="n"/>
      <c r="X13123" s="235" t="n"/>
    </row>
    <row r="13124" ht="14.25" customHeight="1" s="192">
      <c r="W13124" s="235" t="n"/>
      <c r="X13124" s="235" t="n"/>
    </row>
    <row r="13125" ht="14.25" customHeight="1" s="192">
      <c r="W13125" s="235" t="n"/>
      <c r="X13125" s="235" t="n"/>
    </row>
    <row r="13126" ht="14.25" customHeight="1" s="192">
      <c r="W13126" s="239" t="n"/>
      <c r="X13126" s="239" t="n"/>
    </row>
    <row r="13127" ht="14.25" customHeight="1" s="192">
      <c r="W13127" s="239" t="n"/>
      <c r="X13127" s="239" t="n"/>
    </row>
    <row r="13128" ht="14.25" customHeight="1" s="192">
      <c r="W13128" s="239" t="n"/>
      <c r="X13128" s="239" t="n"/>
    </row>
    <row r="13129" ht="14.25" customHeight="1" s="192">
      <c r="W13129" s="235" t="n"/>
      <c r="X13129" s="235" t="n"/>
    </row>
    <row r="13130" ht="14.25" customHeight="1" s="192">
      <c r="W13130" s="235" t="n"/>
      <c r="X13130" s="235" t="n"/>
    </row>
    <row r="13131" ht="14.25" customHeight="1" s="192">
      <c r="W13131" s="235" t="n"/>
      <c r="X13131" s="235" t="n"/>
    </row>
    <row r="13132" ht="14.25" customHeight="1" s="192">
      <c r="W13132" s="239" t="n"/>
      <c r="X13132" s="239" t="n"/>
    </row>
    <row r="13133" ht="14.25" customHeight="1" s="192">
      <c r="W13133" s="239" t="n"/>
      <c r="X13133" s="239" t="n"/>
    </row>
    <row r="13134" ht="14.25" customHeight="1" s="192">
      <c r="W13134" s="235" t="n"/>
      <c r="X13134" s="235" t="n"/>
    </row>
    <row r="13135" ht="14.25" customHeight="1" s="192">
      <c r="W13135" s="235" t="n"/>
      <c r="X13135" s="235" t="n"/>
    </row>
    <row r="13136" ht="14.25" customHeight="1" s="192">
      <c r="W13136" s="239" t="n"/>
      <c r="X13136" s="239" t="n"/>
    </row>
    <row r="13137" ht="14.25" customHeight="1" s="192">
      <c r="W13137" s="235" t="n"/>
      <c r="X13137" s="235" t="n"/>
    </row>
    <row r="13138" ht="14.25" customHeight="1" s="192">
      <c r="W13138" s="239" t="n"/>
      <c r="X13138" s="239" t="n"/>
    </row>
    <row r="13140" ht="14.25" customHeight="1" s="192">
      <c r="W13140" s="235" t="n"/>
      <c r="X13140" s="235" t="n"/>
    </row>
    <row r="13141" ht="15" customHeight="1" s="192" thickBot="1">
      <c r="W13141" s="239" t="n"/>
      <c r="X13141" s="239" t="n"/>
    </row>
    <row r="13142" ht="15" customHeight="1" s="192" thickBot="1">
      <c r="W13142" s="45" t="n"/>
      <c r="X13142" s="45" t="n"/>
    </row>
    <row r="13143" ht="14.25" customHeight="1" s="192">
      <c r="W13143" s="228" t="n"/>
      <c r="X13143" s="228" t="n"/>
    </row>
    <row r="13144" ht="14.25" customHeight="1" s="192">
      <c r="W13144" s="228" t="n"/>
      <c r="X13144" s="228" t="n"/>
    </row>
    <row r="13145" ht="14.25" customHeight="1" s="192">
      <c r="W13145" s="231" t="n"/>
      <c r="X13145" s="231" t="n"/>
    </row>
    <row r="13146" ht="14.25" customHeight="1" s="192">
      <c r="W13146" s="33" t="n"/>
      <c r="X13146" s="33" t="n"/>
    </row>
    <row r="13147" ht="14.25" customHeight="1" s="192">
      <c r="W13147" s="231" t="n"/>
      <c r="X13147" s="231" t="n"/>
    </row>
    <row r="13148" ht="14.25" customHeight="1" s="192">
      <c r="W13148" s="33" t="n"/>
      <c r="X13148" s="33" t="n"/>
    </row>
    <row r="13150" ht="14.25" customHeight="1" s="192">
      <c r="W13150" s="231" t="n"/>
      <c r="X13150" s="231" t="n"/>
    </row>
    <row r="13151" ht="14.25" customHeight="1" s="192">
      <c r="W13151" s="235" t="n"/>
      <c r="X13151" s="235" t="n"/>
    </row>
    <row r="13152" ht="14.25" customHeight="1" s="192">
      <c r="W13152" s="228" t="n"/>
      <c r="X13152" s="228" t="n"/>
    </row>
    <row r="13153" ht="14.25" customHeight="1" s="192">
      <c r="W13153" s="235" t="n"/>
      <c r="X13153" s="235" t="n"/>
    </row>
    <row r="13154" ht="14.25" customHeight="1" s="192">
      <c r="W13154" s="235" t="n"/>
      <c r="X13154" s="235" t="n"/>
    </row>
    <row r="13155" ht="14.25" customHeight="1" s="192">
      <c r="W13155" s="235" t="n"/>
      <c r="X13155" s="235" t="n"/>
    </row>
    <row r="13156" ht="14.25" customHeight="1" s="192">
      <c r="W13156" s="239" t="n"/>
      <c r="X13156" s="239" t="n"/>
    </row>
    <row r="13157" ht="14.25" customHeight="1" s="192">
      <c r="W13157" s="239" t="n"/>
      <c r="X13157" s="239" t="n"/>
    </row>
    <row r="13158" ht="14.25" customHeight="1" s="192">
      <c r="W13158" s="239" t="n"/>
      <c r="X13158" s="239" t="n"/>
    </row>
    <row r="13159" ht="14.25" customHeight="1" s="192">
      <c r="W13159" s="235" t="n"/>
      <c r="X13159" s="235" t="n"/>
    </row>
    <row r="13160" ht="14.25" customHeight="1" s="192">
      <c r="W13160" s="235" t="n"/>
      <c r="X13160" s="235" t="n"/>
    </row>
    <row r="13161" ht="14.25" customHeight="1" s="192">
      <c r="W13161" s="235" t="n"/>
      <c r="X13161" s="235" t="n"/>
    </row>
    <row r="13162" ht="14.25" customHeight="1" s="192">
      <c r="W13162" s="239" t="n"/>
      <c r="X13162" s="239" t="n"/>
    </row>
    <row r="13163" ht="14.25" customHeight="1" s="192">
      <c r="W13163" s="239" t="n"/>
      <c r="X13163" s="239" t="n"/>
    </row>
    <row r="13164" ht="14.25" customHeight="1" s="192">
      <c r="W13164" s="235" t="n"/>
      <c r="X13164" s="235" t="n"/>
    </row>
    <row r="13165" ht="14.25" customHeight="1" s="192">
      <c r="W13165" s="235" t="n"/>
      <c r="X13165" s="235" t="n"/>
    </row>
    <row r="13166" ht="14.25" customHeight="1" s="192">
      <c r="W13166" s="239" t="n"/>
      <c r="X13166" s="239" t="n"/>
    </row>
    <row r="13167" ht="14.25" customHeight="1" s="192">
      <c r="W13167" s="235" t="n"/>
      <c r="X13167" s="235" t="n"/>
    </row>
    <row r="13168" ht="14.25" customHeight="1" s="192">
      <c r="W13168" s="239" t="n"/>
      <c r="X13168" s="239" t="n"/>
    </row>
    <row r="13170" ht="14.25" customHeight="1" s="192">
      <c r="W13170" s="235" t="n"/>
      <c r="X13170" s="235" t="n"/>
    </row>
    <row r="13171" ht="15" customHeight="1" s="192" thickBot="1">
      <c r="W13171" s="239" t="n"/>
      <c r="X13171" s="239" t="n"/>
    </row>
    <row r="13172" ht="15" customHeight="1" s="192" thickBot="1">
      <c r="W13172" s="45" t="n"/>
      <c r="X13172" s="45" t="n"/>
    </row>
    <row r="13173" ht="14.25" customHeight="1" s="192">
      <c r="W13173" s="228" t="n"/>
      <c r="X13173" s="228" t="n"/>
    </row>
    <row r="13174" ht="14.25" customHeight="1" s="192">
      <c r="W13174" s="228" t="n"/>
      <c r="X13174" s="228" t="n"/>
    </row>
    <row r="13175" ht="14.25" customHeight="1" s="192">
      <c r="W13175" s="231" t="n"/>
      <c r="X13175" s="231" t="n"/>
    </row>
    <row r="13176" ht="14.25" customHeight="1" s="192">
      <c r="W13176" s="33" t="n"/>
      <c r="X13176" s="33" t="n"/>
    </row>
    <row r="13177" ht="14.25" customHeight="1" s="192">
      <c r="W13177" s="231" t="n"/>
      <c r="X13177" s="231" t="n"/>
    </row>
    <row r="13178" ht="14.25" customHeight="1" s="192">
      <c r="W13178" s="33" t="n"/>
      <c r="X13178" s="33" t="n"/>
    </row>
    <row r="13180" ht="14.25" customHeight="1" s="192">
      <c r="W13180" s="231" t="n"/>
      <c r="X13180" s="231" t="n"/>
    </row>
    <row r="13181" ht="14.25" customHeight="1" s="192">
      <c r="W13181" s="235" t="n"/>
      <c r="X13181" s="235" t="n"/>
    </row>
    <row r="13182" ht="14.25" customHeight="1" s="192">
      <c r="W13182" s="228" t="n"/>
      <c r="X13182" s="228" t="n"/>
    </row>
    <row r="13183" ht="14.25" customHeight="1" s="192">
      <c r="W13183" s="235" t="n"/>
      <c r="X13183" s="235" t="n"/>
    </row>
    <row r="13184" ht="14.25" customHeight="1" s="192">
      <c r="W13184" s="235" t="n"/>
      <c r="X13184" s="235" t="n"/>
    </row>
    <row r="13185" ht="14.25" customHeight="1" s="192">
      <c r="W13185" s="235" t="n"/>
      <c r="X13185" s="235" t="n"/>
    </row>
    <row r="13186" ht="14.25" customHeight="1" s="192">
      <c r="W13186" s="239" t="n"/>
      <c r="X13186" s="239" t="n"/>
    </row>
    <row r="13187" ht="14.25" customHeight="1" s="192">
      <c r="W13187" s="239" t="n"/>
      <c r="X13187" s="239" t="n"/>
    </row>
    <row r="13188" ht="14.25" customHeight="1" s="192">
      <c r="W13188" s="239" t="n"/>
      <c r="X13188" s="239" t="n"/>
    </row>
    <row r="13189" ht="14.25" customHeight="1" s="192">
      <c r="W13189" s="235" t="n"/>
      <c r="X13189" s="235" t="n"/>
    </row>
    <row r="13190" ht="14.25" customHeight="1" s="192">
      <c r="W13190" s="235" t="n"/>
      <c r="X13190" s="235" t="n"/>
    </row>
    <row r="13191" ht="14.25" customHeight="1" s="192">
      <c r="W13191" s="235" t="n"/>
      <c r="X13191" s="235" t="n"/>
    </row>
    <row r="13192" ht="14.25" customHeight="1" s="192">
      <c r="W13192" s="239" t="n"/>
      <c r="X13192" s="239" t="n"/>
    </row>
    <row r="13193" ht="14.25" customHeight="1" s="192">
      <c r="W13193" s="239" t="n"/>
      <c r="X13193" s="239" t="n"/>
    </row>
    <row r="13194" ht="14.25" customHeight="1" s="192">
      <c r="W13194" s="235" t="n"/>
      <c r="X13194" s="235" t="n"/>
    </row>
    <row r="13195" ht="14.25" customHeight="1" s="192">
      <c r="W13195" s="235" t="n"/>
      <c r="X13195" s="235" t="n"/>
    </row>
    <row r="13196" ht="14.25" customHeight="1" s="192">
      <c r="W13196" s="239" t="n"/>
      <c r="X13196" s="239" t="n"/>
    </row>
    <row r="13197" ht="14.25" customHeight="1" s="192">
      <c r="W13197" s="235" t="n"/>
      <c r="X13197" s="235" t="n"/>
    </row>
    <row r="13198" ht="14.25" customHeight="1" s="192">
      <c r="W13198" s="239" t="n"/>
      <c r="X13198" s="239" t="n"/>
    </row>
    <row r="13200" ht="14.25" customHeight="1" s="192">
      <c r="W13200" s="235" t="n"/>
      <c r="X13200" s="235" t="n"/>
    </row>
    <row r="13201" ht="15" customHeight="1" s="192" thickBot="1">
      <c r="W13201" s="239" t="n"/>
      <c r="X13201" s="239" t="n"/>
    </row>
    <row r="13202" ht="15" customHeight="1" s="192" thickBot="1">
      <c r="W13202" s="45" t="n"/>
      <c r="X13202" s="45" t="n"/>
    </row>
    <row r="13203" ht="14.25" customHeight="1" s="192">
      <c r="W13203" s="228" t="n"/>
      <c r="X13203" s="228" t="n"/>
    </row>
    <row r="13204" ht="14.25" customHeight="1" s="192">
      <c r="W13204" s="228" t="n"/>
      <c r="X13204" s="228" t="n"/>
    </row>
    <row r="13205" ht="14.25" customHeight="1" s="192">
      <c r="W13205" s="231" t="n"/>
      <c r="X13205" s="231" t="n"/>
    </row>
    <row r="13206" ht="14.25" customHeight="1" s="192">
      <c r="W13206" s="33" t="n"/>
      <c r="X13206" s="33" t="n"/>
    </row>
    <row r="13207" ht="14.25" customHeight="1" s="192">
      <c r="W13207" s="231" t="n"/>
      <c r="X13207" s="231" t="n"/>
    </row>
    <row r="13208" ht="14.25" customHeight="1" s="192">
      <c r="W13208" s="33" t="n"/>
      <c r="X13208" s="33" t="n"/>
    </row>
    <row r="13210" ht="14.25" customHeight="1" s="192">
      <c r="W13210" s="231" t="n"/>
      <c r="X13210" s="231" t="n"/>
    </row>
    <row r="13211" ht="14.25" customHeight="1" s="192">
      <c r="W13211" s="235" t="n"/>
      <c r="X13211" s="235" t="n"/>
    </row>
    <row r="13212" ht="14.25" customHeight="1" s="192">
      <c r="W13212" s="228" t="n"/>
      <c r="X13212" s="228" t="n"/>
    </row>
    <row r="13213" ht="14.25" customHeight="1" s="192">
      <c r="W13213" s="235" t="n"/>
      <c r="X13213" s="235" t="n"/>
    </row>
    <row r="13214" ht="14.25" customHeight="1" s="192">
      <c r="W13214" s="235" t="n"/>
      <c r="X13214" s="235" t="n"/>
    </row>
    <row r="13215" ht="14.25" customHeight="1" s="192">
      <c r="W13215" s="235" t="n"/>
      <c r="X13215" s="235" t="n"/>
    </row>
    <row r="13216" ht="14.25" customHeight="1" s="192">
      <c r="W13216" s="239" t="n"/>
      <c r="X13216" s="239" t="n"/>
    </row>
    <row r="13217" ht="14.25" customHeight="1" s="192">
      <c r="W13217" s="239" t="n"/>
      <c r="X13217" s="239" t="n"/>
    </row>
    <row r="13218" ht="14.25" customHeight="1" s="192">
      <c r="W13218" s="239" t="n"/>
      <c r="X13218" s="239" t="n"/>
    </row>
    <row r="13219" ht="14.25" customHeight="1" s="192">
      <c r="W13219" s="235" t="n"/>
      <c r="X13219" s="235" t="n"/>
    </row>
    <row r="13220" ht="14.25" customHeight="1" s="192">
      <c r="W13220" s="235" t="n"/>
      <c r="X13220" s="235" t="n"/>
    </row>
    <row r="13221" ht="14.25" customHeight="1" s="192">
      <c r="W13221" s="235" t="n"/>
      <c r="X13221" s="235" t="n"/>
    </row>
    <row r="13222" ht="14.25" customHeight="1" s="192">
      <c r="W13222" s="239" t="n"/>
      <c r="X13222" s="239" t="n"/>
    </row>
    <row r="13223" ht="14.25" customHeight="1" s="192">
      <c r="W13223" s="239" t="n"/>
      <c r="X13223" s="239" t="n"/>
    </row>
    <row r="13224" ht="14.25" customHeight="1" s="192">
      <c r="W13224" s="235" t="n"/>
      <c r="X13224" s="235" t="n"/>
    </row>
    <row r="13225" ht="14.25" customHeight="1" s="192">
      <c r="W13225" s="235" t="n"/>
      <c r="X13225" s="235" t="n"/>
    </row>
    <row r="13226" ht="14.25" customHeight="1" s="192">
      <c r="W13226" s="239" t="n"/>
      <c r="X13226" s="239" t="n"/>
    </row>
    <row r="13227" ht="14.25" customHeight="1" s="192">
      <c r="W13227" s="235" t="n"/>
      <c r="X13227" s="235" t="n"/>
    </row>
    <row r="13228" ht="14.25" customHeight="1" s="192">
      <c r="W13228" s="239" t="n"/>
      <c r="X13228" s="239" t="n"/>
    </row>
    <row r="13230" ht="14.25" customHeight="1" s="192">
      <c r="W13230" s="235" t="n"/>
      <c r="X13230" s="235" t="n"/>
    </row>
    <row r="13231" ht="15" customHeight="1" s="192" thickBot="1">
      <c r="W13231" s="239" t="n"/>
      <c r="X13231" s="239" t="n"/>
    </row>
    <row r="13232" ht="15" customHeight="1" s="192" thickBot="1">
      <c r="W13232" s="45" t="n"/>
      <c r="X13232" s="45" t="n"/>
    </row>
    <row r="13233" ht="14.25" customHeight="1" s="192">
      <c r="W13233" s="228" t="n"/>
      <c r="X13233" s="228" t="n"/>
    </row>
    <row r="13234" ht="14.25" customHeight="1" s="192">
      <c r="W13234" s="228" t="n"/>
      <c r="X13234" s="228" t="n"/>
    </row>
    <row r="13235" ht="14.25" customHeight="1" s="192">
      <c r="W13235" s="231" t="n"/>
      <c r="X13235" s="231" t="n"/>
    </row>
    <row r="13236" ht="14.25" customHeight="1" s="192">
      <c r="W13236" s="33" t="n"/>
      <c r="X13236" s="33" t="n"/>
    </row>
    <row r="13237" ht="14.25" customHeight="1" s="192">
      <c r="W13237" s="231" t="n"/>
      <c r="X13237" s="231" t="n"/>
    </row>
    <row r="13238" ht="14.25" customHeight="1" s="192">
      <c r="W13238" s="33" t="n"/>
      <c r="X13238" s="33" t="n"/>
    </row>
    <row r="13240" ht="14.25" customHeight="1" s="192">
      <c r="W13240" s="231" t="n"/>
      <c r="X13240" s="231" t="n"/>
    </row>
    <row r="13241" ht="14.25" customHeight="1" s="192">
      <c r="W13241" s="235" t="n"/>
      <c r="X13241" s="235" t="n"/>
    </row>
    <row r="13242" ht="14.25" customHeight="1" s="192">
      <c r="W13242" s="228" t="n"/>
      <c r="X13242" s="228" t="n"/>
    </row>
    <row r="13243" ht="14.25" customHeight="1" s="192">
      <c r="W13243" s="235" t="n"/>
      <c r="X13243" s="235" t="n"/>
    </row>
    <row r="13244" ht="14.25" customHeight="1" s="192">
      <c r="W13244" s="235" t="n"/>
      <c r="X13244" s="235" t="n"/>
    </row>
    <row r="13245" ht="14.25" customHeight="1" s="192">
      <c r="W13245" s="235" t="n"/>
      <c r="X13245" s="235" t="n"/>
    </row>
    <row r="13246" ht="14.25" customHeight="1" s="192">
      <c r="W13246" s="239" t="n"/>
      <c r="X13246" s="239" t="n"/>
    </row>
    <row r="13247" ht="14.25" customHeight="1" s="192">
      <c r="W13247" s="239" t="n"/>
      <c r="X13247" s="239" t="n"/>
    </row>
    <row r="13248" ht="14.25" customHeight="1" s="192">
      <c r="W13248" s="239" t="n"/>
      <c r="X13248" s="239" t="n"/>
    </row>
    <row r="13249" ht="14.25" customHeight="1" s="192">
      <c r="W13249" s="235" t="n"/>
      <c r="X13249" s="235" t="n"/>
    </row>
    <row r="13250" ht="14.25" customHeight="1" s="192">
      <c r="W13250" s="235" t="n"/>
      <c r="X13250" s="235" t="n"/>
    </row>
    <row r="13251" ht="14.25" customHeight="1" s="192">
      <c r="W13251" s="235" t="n"/>
      <c r="X13251" s="235" t="n"/>
    </row>
    <row r="13252" ht="14.25" customHeight="1" s="192">
      <c r="W13252" s="239" t="n"/>
      <c r="X13252" s="239" t="n"/>
    </row>
    <row r="13253" ht="14.25" customHeight="1" s="192">
      <c r="W13253" s="239" t="n"/>
      <c r="X13253" s="239" t="n"/>
    </row>
    <row r="13254" ht="14.25" customHeight="1" s="192">
      <c r="W13254" s="235" t="n"/>
      <c r="X13254" s="235" t="n"/>
    </row>
    <row r="13255" ht="14.25" customHeight="1" s="192">
      <c r="W13255" s="235" t="n"/>
      <c r="X13255" s="235" t="n"/>
    </row>
    <row r="13256" ht="14.25" customHeight="1" s="192">
      <c r="W13256" s="239" t="n"/>
      <c r="X13256" s="239" t="n"/>
    </row>
    <row r="13257" ht="14.25" customHeight="1" s="192">
      <c r="W13257" s="235" t="n"/>
      <c r="X13257" s="235" t="n"/>
    </row>
    <row r="13258" ht="14.25" customHeight="1" s="192">
      <c r="W13258" s="239" t="n"/>
      <c r="X13258" s="239" t="n"/>
    </row>
    <row r="13260" ht="14.25" customHeight="1" s="192">
      <c r="W13260" s="235" t="n"/>
      <c r="X13260" s="235" t="n"/>
    </row>
    <row r="13261" ht="15" customHeight="1" s="192" thickBot="1">
      <c r="W13261" s="239" t="n"/>
      <c r="X13261" s="239" t="n"/>
    </row>
    <row r="13262" ht="15" customHeight="1" s="192" thickBot="1">
      <c r="W13262" s="45" t="n"/>
      <c r="X13262" s="45" t="n"/>
    </row>
    <row r="13263" ht="14.25" customHeight="1" s="192">
      <c r="W13263" s="228" t="n"/>
      <c r="X13263" s="228" t="n"/>
    </row>
    <row r="13264" ht="14.25" customHeight="1" s="192">
      <c r="W13264" s="228" t="n"/>
      <c r="X13264" s="228" t="n"/>
    </row>
    <row r="13265" ht="14.25" customHeight="1" s="192">
      <c r="W13265" s="231" t="n"/>
      <c r="X13265" s="231" t="n"/>
    </row>
    <row r="13266" ht="14.25" customHeight="1" s="192">
      <c r="W13266" s="33" t="n"/>
      <c r="X13266" s="33" t="n"/>
    </row>
    <row r="13267" ht="14.25" customHeight="1" s="192">
      <c r="W13267" s="231" t="n"/>
      <c r="X13267" s="231" t="n"/>
    </row>
    <row r="13268" ht="14.25" customHeight="1" s="192">
      <c r="W13268" s="33" t="n"/>
      <c r="X13268" s="33" t="n"/>
    </row>
    <row r="13270" ht="14.25" customHeight="1" s="192">
      <c r="W13270" s="231" t="n"/>
      <c r="X13270" s="231" t="n"/>
    </row>
    <row r="13271" ht="14.25" customHeight="1" s="192">
      <c r="W13271" s="235" t="n"/>
      <c r="X13271" s="235" t="n"/>
    </row>
    <row r="13272" ht="14.25" customHeight="1" s="192">
      <c r="W13272" s="228" t="n"/>
      <c r="X13272" s="228" t="n"/>
    </row>
    <row r="13273" ht="14.25" customHeight="1" s="192">
      <c r="W13273" s="235" t="n"/>
      <c r="X13273" s="235" t="n"/>
    </row>
    <row r="13274" ht="14.25" customHeight="1" s="192">
      <c r="W13274" s="235" t="n"/>
      <c r="X13274" s="235" t="n"/>
    </row>
    <row r="13275" ht="14.25" customHeight="1" s="192">
      <c r="W13275" s="235" t="n"/>
      <c r="X13275" s="235" t="n"/>
    </row>
    <row r="13276" ht="14.25" customHeight="1" s="192">
      <c r="W13276" s="239" t="n"/>
      <c r="X13276" s="239" t="n"/>
    </row>
    <row r="13277" ht="14.25" customHeight="1" s="192">
      <c r="W13277" s="239" t="n"/>
      <c r="X13277" s="239" t="n"/>
    </row>
    <row r="13278" ht="14.25" customHeight="1" s="192">
      <c r="W13278" s="239" t="n"/>
      <c r="X13278" s="239" t="n"/>
    </row>
    <row r="13279" ht="14.25" customHeight="1" s="192">
      <c r="W13279" s="235" t="n"/>
      <c r="X13279" s="235" t="n"/>
    </row>
    <row r="13280" ht="14.25" customHeight="1" s="192">
      <c r="W13280" s="235" t="n"/>
      <c r="X13280" s="235" t="n"/>
    </row>
    <row r="13281" ht="14.25" customHeight="1" s="192">
      <c r="W13281" s="235" t="n"/>
      <c r="X13281" s="235" t="n"/>
    </row>
    <row r="13282" ht="14.25" customHeight="1" s="192">
      <c r="W13282" s="239" t="n"/>
      <c r="X13282" s="239" t="n"/>
    </row>
    <row r="13283" ht="14.25" customHeight="1" s="192">
      <c r="W13283" s="239" t="n"/>
      <c r="X13283" s="239" t="n"/>
    </row>
    <row r="13284" ht="14.25" customHeight="1" s="192">
      <c r="W13284" s="235" t="n"/>
      <c r="X13284" s="235" t="n"/>
    </row>
    <row r="13285" ht="14.25" customHeight="1" s="192">
      <c r="W13285" s="235" t="n"/>
      <c r="X13285" s="235" t="n"/>
    </row>
    <row r="13286" ht="14.25" customHeight="1" s="192">
      <c r="W13286" s="239" t="n"/>
      <c r="X13286" s="239" t="n"/>
    </row>
    <row r="13287" ht="14.25" customHeight="1" s="192">
      <c r="W13287" s="235" t="n"/>
      <c r="X13287" s="235" t="n"/>
    </row>
    <row r="13288" ht="14.25" customHeight="1" s="192">
      <c r="W13288" s="239" t="n"/>
      <c r="X13288" s="239" t="n"/>
    </row>
    <row r="13290" ht="14.25" customHeight="1" s="192">
      <c r="W13290" s="235" t="n"/>
      <c r="X13290" s="235" t="n"/>
    </row>
    <row r="13291" ht="15" customHeight="1" s="192" thickBot="1">
      <c r="W13291" s="239" t="n"/>
      <c r="X13291" s="239" t="n"/>
    </row>
    <row r="13292" ht="15" customHeight="1" s="192" thickBot="1">
      <c r="W13292" s="45" t="n"/>
      <c r="X13292" s="45" t="n"/>
    </row>
    <row r="13293" ht="14.25" customHeight="1" s="192">
      <c r="W13293" s="228" t="n"/>
      <c r="X13293" s="228" t="n"/>
    </row>
    <row r="13294" ht="14.25" customHeight="1" s="192">
      <c r="W13294" s="228" t="n"/>
      <c r="X13294" s="228" t="n"/>
    </row>
    <row r="13295" ht="14.25" customHeight="1" s="192">
      <c r="W13295" s="231" t="n"/>
      <c r="X13295" s="231" t="n"/>
    </row>
    <row r="13296" ht="14.25" customHeight="1" s="192">
      <c r="W13296" s="33" t="n"/>
      <c r="X13296" s="33" t="n"/>
    </row>
    <row r="13297" ht="14.25" customHeight="1" s="192">
      <c r="W13297" s="231" t="n"/>
      <c r="X13297" s="231" t="n"/>
    </row>
    <row r="13298" ht="14.25" customHeight="1" s="192">
      <c r="W13298" s="33" t="n"/>
      <c r="X13298" s="33" t="n"/>
    </row>
    <row r="13300" ht="14.25" customHeight="1" s="192">
      <c r="W13300" s="231" t="n"/>
      <c r="X13300" s="231" t="n"/>
    </row>
    <row r="13301" ht="14.25" customHeight="1" s="192">
      <c r="W13301" s="235" t="n"/>
      <c r="X13301" s="235" t="n"/>
    </row>
    <row r="13302" ht="14.25" customHeight="1" s="192">
      <c r="W13302" s="228" t="n"/>
      <c r="X13302" s="228" t="n"/>
    </row>
    <row r="13303" ht="14.25" customHeight="1" s="192">
      <c r="W13303" s="235" t="n"/>
      <c r="X13303" s="235" t="n"/>
    </row>
    <row r="13304" ht="14.25" customHeight="1" s="192">
      <c r="W13304" s="235" t="n"/>
      <c r="X13304" s="235" t="n"/>
    </row>
    <row r="13305" ht="14.25" customHeight="1" s="192">
      <c r="W13305" s="235" t="n"/>
      <c r="X13305" s="235" t="n"/>
    </row>
    <row r="13306" ht="14.25" customHeight="1" s="192">
      <c r="W13306" s="239" t="n"/>
      <c r="X13306" s="239" t="n"/>
    </row>
    <row r="13307" ht="14.25" customHeight="1" s="192">
      <c r="W13307" s="239" t="n"/>
      <c r="X13307" s="239" t="n"/>
    </row>
    <row r="13308" ht="14.25" customHeight="1" s="192">
      <c r="W13308" s="239" t="n"/>
      <c r="X13308" s="239" t="n"/>
    </row>
    <row r="13309" ht="14.25" customHeight="1" s="192">
      <c r="W13309" s="235" t="n"/>
      <c r="X13309" s="235" t="n"/>
    </row>
    <row r="13310" ht="14.25" customHeight="1" s="192">
      <c r="W13310" s="235" t="n"/>
      <c r="X13310" s="235" t="n"/>
    </row>
    <row r="13311" ht="14.25" customHeight="1" s="192">
      <c r="W13311" s="235" t="n"/>
      <c r="X13311" s="235" t="n"/>
    </row>
    <row r="13312" ht="14.25" customHeight="1" s="192">
      <c r="W13312" s="239" t="n"/>
      <c r="X13312" s="239" t="n"/>
    </row>
    <row r="13313" ht="14.25" customHeight="1" s="192">
      <c r="W13313" s="239" t="n"/>
      <c r="X13313" s="239" t="n"/>
    </row>
    <row r="13314" ht="14.25" customHeight="1" s="192">
      <c r="W13314" s="235" t="n"/>
      <c r="X13314" s="235" t="n"/>
    </row>
    <row r="13315" ht="14.25" customHeight="1" s="192">
      <c r="W13315" s="235" t="n"/>
      <c r="X13315" s="235" t="n"/>
    </row>
    <row r="13316" ht="14.25" customHeight="1" s="192">
      <c r="W13316" s="239" t="n"/>
      <c r="X13316" s="239" t="n"/>
    </row>
    <row r="13317" ht="14.25" customHeight="1" s="192">
      <c r="W13317" s="235" t="n"/>
      <c r="X13317" s="235" t="n"/>
    </row>
    <row r="13318" ht="14.25" customHeight="1" s="192">
      <c r="W13318" s="239" t="n"/>
      <c r="X13318" s="239" t="n"/>
    </row>
    <row r="13320" ht="14.25" customHeight="1" s="192">
      <c r="W13320" s="235" t="n"/>
      <c r="X13320" s="235" t="n"/>
    </row>
    <row r="13321" ht="15" customHeight="1" s="192" thickBot="1">
      <c r="W13321" s="239" t="n"/>
      <c r="X13321" s="239" t="n"/>
    </row>
    <row r="13322" ht="15" customHeight="1" s="192" thickBot="1">
      <c r="W13322" s="45" t="n"/>
      <c r="X13322" s="45" t="n"/>
    </row>
    <row r="13323" ht="14.25" customHeight="1" s="192">
      <c r="W13323" s="228" t="n"/>
      <c r="X13323" s="228" t="n"/>
    </row>
    <row r="13324" ht="14.25" customHeight="1" s="192">
      <c r="W13324" s="228" t="n"/>
      <c r="X13324" s="228" t="n"/>
    </row>
    <row r="13325" ht="14.25" customHeight="1" s="192">
      <c r="W13325" s="231" t="n"/>
      <c r="X13325" s="231" t="n"/>
    </row>
    <row r="13326" ht="14.25" customHeight="1" s="192">
      <c r="W13326" s="33" t="n"/>
      <c r="X13326" s="33" t="n"/>
    </row>
    <row r="13327" ht="14.25" customHeight="1" s="192">
      <c r="W13327" s="231" t="n"/>
      <c r="X13327" s="231" t="n"/>
    </row>
    <row r="13328" ht="14.25" customHeight="1" s="192">
      <c r="W13328" s="33" t="n"/>
      <c r="X13328" s="33" t="n"/>
    </row>
    <row r="13330" ht="14.25" customHeight="1" s="192">
      <c r="W13330" s="231" t="n"/>
      <c r="X13330" s="231" t="n"/>
    </row>
    <row r="13331" ht="14.25" customHeight="1" s="192">
      <c r="W13331" s="235" t="n"/>
      <c r="X13331" s="235" t="n"/>
    </row>
    <row r="13332" ht="14.25" customHeight="1" s="192">
      <c r="W13332" s="228" t="n"/>
      <c r="X13332" s="228" t="n"/>
    </row>
    <row r="13333" ht="14.25" customHeight="1" s="192">
      <c r="W13333" s="235" t="n"/>
      <c r="X13333" s="235" t="n"/>
    </row>
    <row r="13334" ht="14.25" customHeight="1" s="192">
      <c r="W13334" s="235" t="n"/>
      <c r="X13334" s="235" t="n"/>
    </row>
    <row r="13335" ht="14.25" customHeight="1" s="192">
      <c r="W13335" s="235" t="n"/>
      <c r="X13335" s="235" t="n"/>
    </row>
    <row r="13336" ht="14.25" customHeight="1" s="192">
      <c r="W13336" s="239" t="n"/>
      <c r="X13336" s="239" t="n"/>
    </row>
    <row r="13337" ht="14.25" customHeight="1" s="192">
      <c r="W13337" s="239" t="n"/>
      <c r="X13337" s="239" t="n"/>
    </row>
    <row r="13338" ht="14.25" customHeight="1" s="192">
      <c r="W13338" s="239" t="n"/>
      <c r="X13338" s="239" t="n"/>
    </row>
    <row r="13339" ht="14.25" customHeight="1" s="192">
      <c r="W13339" s="235" t="n"/>
      <c r="X13339" s="235" t="n"/>
    </row>
    <row r="13340" ht="14.25" customHeight="1" s="192">
      <c r="W13340" s="235" t="n"/>
      <c r="X13340" s="235" t="n"/>
    </row>
    <row r="13341" ht="14.25" customHeight="1" s="192">
      <c r="W13341" s="235" t="n"/>
      <c r="X13341" s="235" t="n"/>
    </row>
    <row r="13342" ht="14.25" customHeight="1" s="192">
      <c r="W13342" s="239" t="n"/>
      <c r="X13342" s="239" t="n"/>
    </row>
    <row r="13343" ht="14.25" customHeight="1" s="192">
      <c r="W13343" s="239" t="n"/>
      <c r="X13343" s="239" t="n"/>
    </row>
    <row r="13344" ht="14.25" customHeight="1" s="192">
      <c r="W13344" s="235" t="n"/>
      <c r="X13344" s="235" t="n"/>
    </row>
    <row r="13345" ht="14.25" customHeight="1" s="192">
      <c r="W13345" s="235" t="n"/>
      <c r="X13345" s="235" t="n"/>
    </row>
    <row r="13346" ht="14.25" customHeight="1" s="192">
      <c r="W13346" s="239" t="n"/>
      <c r="X13346" s="239" t="n"/>
    </row>
    <row r="13347" ht="14.25" customHeight="1" s="192">
      <c r="W13347" s="235" t="n"/>
      <c r="X13347" s="235" t="n"/>
    </row>
    <row r="13348" ht="14.25" customHeight="1" s="192">
      <c r="W13348" s="239" t="n"/>
      <c r="X13348" s="239" t="n"/>
    </row>
    <row r="13350" ht="14.25" customHeight="1" s="192">
      <c r="W13350" s="235" t="n"/>
      <c r="X13350" s="235" t="n"/>
    </row>
    <row r="13351" ht="15" customHeight="1" s="192" thickBot="1">
      <c r="W13351" s="239" t="n"/>
      <c r="X13351" s="239" t="n"/>
    </row>
    <row r="13352" ht="15" customHeight="1" s="192" thickBot="1">
      <c r="W13352" s="45" t="n"/>
      <c r="X13352" s="45" t="n"/>
    </row>
    <row r="13353" ht="14.25" customHeight="1" s="192">
      <c r="W13353" s="228" t="n"/>
      <c r="X13353" s="228" t="n"/>
    </row>
    <row r="13354" ht="14.25" customHeight="1" s="192">
      <c r="W13354" s="228" t="n"/>
      <c r="X13354" s="228" t="n"/>
    </row>
    <row r="13355" ht="14.25" customHeight="1" s="192">
      <c r="W13355" s="231" t="n"/>
      <c r="X13355" s="231" t="n"/>
    </row>
    <row r="13356" ht="14.25" customHeight="1" s="192">
      <c r="W13356" s="33" t="n"/>
      <c r="X13356" s="33" t="n"/>
    </row>
    <row r="13357" ht="14.25" customHeight="1" s="192">
      <c r="W13357" s="231" t="n"/>
      <c r="X13357" s="231" t="n"/>
    </row>
    <row r="13358" ht="14.25" customHeight="1" s="192">
      <c r="W13358" s="33" t="n"/>
      <c r="X13358" s="33" t="n"/>
    </row>
    <row r="13360" ht="14.25" customHeight="1" s="192">
      <c r="W13360" s="231" t="n"/>
      <c r="X13360" s="231" t="n"/>
    </row>
    <row r="13361" ht="14.25" customHeight="1" s="192">
      <c r="W13361" s="235" t="n"/>
      <c r="X13361" s="235" t="n"/>
    </row>
    <row r="13362" ht="14.25" customHeight="1" s="192">
      <c r="W13362" s="228" t="n"/>
      <c r="X13362" s="228" t="n"/>
    </row>
    <row r="13363" ht="14.25" customHeight="1" s="192">
      <c r="W13363" s="235" t="n"/>
      <c r="X13363" s="235" t="n"/>
    </row>
    <row r="13364" ht="14.25" customHeight="1" s="192">
      <c r="W13364" s="235" t="n"/>
      <c r="X13364" s="235" t="n"/>
    </row>
    <row r="13365" ht="14.25" customHeight="1" s="192">
      <c r="W13365" s="235" t="n"/>
      <c r="X13365" s="235" t="n"/>
    </row>
    <row r="13366" ht="14.25" customHeight="1" s="192">
      <c r="W13366" s="239" t="n"/>
      <c r="X13366" s="239" t="n"/>
    </row>
    <row r="13367" ht="14.25" customHeight="1" s="192">
      <c r="W13367" s="239" t="n"/>
      <c r="X13367" s="239" t="n"/>
    </row>
    <row r="13368" ht="14.25" customHeight="1" s="192">
      <c r="W13368" s="239" t="n"/>
      <c r="X13368" s="239" t="n"/>
    </row>
    <row r="13369" ht="14.25" customHeight="1" s="192">
      <c r="W13369" s="235" t="n"/>
      <c r="X13369" s="235" t="n"/>
    </row>
    <row r="13370" ht="14.25" customHeight="1" s="192">
      <c r="W13370" s="235" t="n"/>
      <c r="X13370" s="235" t="n"/>
    </row>
    <row r="13371" ht="14.25" customHeight="1" s="192">
      <c r="W13371" s="235" t="n"/>
      <c r="X13371" s="235" t="n"/>
    </row>
    <row r="13372" ht="14.25" customHeight="1" s="192">
      <c r="W13372" s="239" t="n"/>
      <c r="X13372" s="239" t="n"/>
    </row>
    <row r="13373" ht="14.25" customHeight="1" s="192">
      <c r="W13373" s="239" t="n"/>
      <c r="X13373" s="239" t="n"/>
    </row>
    <row r="13374" ht="14.25" customHeight="1" s="192">
      <c r="W13374" s="235" t="n"/>
      <c r="X13374" s="235" t="n"/>
    </row>
    <row r="13375" ht="14.25" customHeight="1" s="192">
      <c r="W13375" s="235" t="n"/>
      <c r="X13375" s="235" t="n"/>
    </row>
    <row r="13376" ht="14.25" customHeight="1" s="192">
      <c r="W13376" s="239" t="n"/>
      <c r="X13376" s="239" t="n"/>
    </row>
    <row r="13377" ht="14.25" customHeight="1" s="192">
      <c r="W13377" s="235" t="n"/>
      <c r="X13377" s="235" t="n"/>
    </row>
    <row r="13378" ht="14.25" customHeight="1" s="192">
      <c r="W13378" s="239" t="n"/>
      <c r="X13378" s="239" t="n"/>
    </row>
    <row r="13380" ht="14.25" customHeight="1" s="192">
      <c r="W13380" s="235" t="n"/>
      <c r="X13380" s="235" t="n"/>
    </row>
    <row r="13381" ht="15" customHeight="1" s="192" thickBot="1">
      <c r="W13381" s="239" t="n"/>
      <c r="X13381" s="239" t="n"/>
    </row>
    <row r="13382" ht="15" customHeight="1" s="192" thickBot="1">
      <c r="W13382" s="45" t="n"/>
      <c r="X13382" s="45" t="n"/>
    </row>
    <row r="13383" ht="14.25" customHeight="1" s="192">
      <c r="W13383" s="228" t="n"/>
      <c r="X13383" s="228" t="n"/>
    </row>
    <row r="13384" ht="14.25" customHeight="1" s="192">
      <c r="W13384" s="228" t="n"/>
      <c r="X13384" s="228" t="n"/>
    </row>
    <row r="13385" ht="14.25" customHeight="1" s="192">
      <c r="W13385" s="231" t="n"/>
      <c r="X13385" s="231" t="n"/>
    </row>
    <row r="13386" ht="14.25" customHeight="1" s="192">
      <c r="W13386" s="33" t="n"/>
      <c r="X13386" s="33" t="n"/>
    </row>
    <row r="13387" ht="14.25" customHeight="1" s="192">
      <c r="W13387" s="231" t="n"/>
      <c r="X13387" s="231" t="n"/>
    </row>
    <row r="13388" ht="14.25" customHeight="1" s="192">
      <c r="W13388" s="33" t="n"/>
      <c r="X13388" s="33" t="n"/>
    </row>
    <row r="13390" ht="14.25" customHeight="1" s="192">
      <c r="W13390" s="231" t="n"/>
      <c r="X13390" s="231" t="n"/>
    </row>
    <row r="13391" ht="14.25" customHeight="1" s="192">
      <c r="W13391" s="235" t="n"/>
      <c r="X13391" s="235" t="n"/>
    </row>
    <row r="13392" ht="14.25" customHeight="1" s="192">
      <c r="W13392" s="228" t="n"/>
      <c r="X13392" s="228" t="n"/>
    </row>
    <row r="13393" ht="14.25" customHeight="1" s="192">
      <c r="W13393" s="235" t="n"/>
      <c r="X13393" s="235" t="n"/>
    </row>
    <row r="13394" ht="14.25" customHeight="1" s="192">
      <c r="W13394" s="235" t="n"/>
      <c r="X13394" s="235" t="n"/>
    </row>
    <row r="13395" ht="14.25" customHeight="1" s="192">
      <c r="W13395" s="235" t="n"/>
      <c r="X13395" s="235" t="n"/>
    </row>
    <row r="13396" ht="14.25" customHeight="1" s="192">
      <c r="W13396" s="239" t="n"/>
      <c r="X13396" s="239" t="n"/>
    </row>
    <row r="13397" ht="14.25" customHeight="1" s="192">
      <c r="W13397" s="239" t="n"/>
      <c r="X13397" s="239" t="n"/>
    </row>
    <row r="13398" ht="14.25" customHeight="1" s="192">
      <c r="W13398" s="239" t="n"/>
      <c r="X13398" s="239" t="n"/>
    </row>
    <row r="13399" ht="14.25" customHeight="1" s="192">
      <c r="W13399" s="235" t="n"/>
      <c r="X13399" s="235" t="n"/>
    </row>
    <row r="13400" ht="14.25" customHeight="1" s="192">
      <c r="W13400" s="235" t="n"/>
      <c r="X13400" s="235" t="n"/>
    </row>
    <row r="13401" ht="14.25" customHeight="1" s="192">
      <c r="W13401" s="235" t="n"/>
      <c r="X13401" s="235" t="n"/>
    </row>
    <row r="13402" ht="14.25" customHeight="1" s="192">
      <c r="W13402" s="239" t="n"/>
      <c r="X13402" s="239" t="n"/>
    </row>
    <row r="13403" ht="14.25" customHeight="1" s="192">
      <c r="W13403" s="239" t="n"/>
      <c r="X13403" s="239" t="n"/>
    </row>
    <row r="13404" ht="14.25" customHeight="1" s="192">
      <c r="W13404" s="235" t="n"/>
      <c r="X13404" s="235" t="n"/>
    </row>
    <row r="13405" ht="14.25" customHeight="1" s="192">
      <c r="W13405" s="235" t="n"/>
      <c r="X13405" s="235" t="n"/>
    </row>
    <row r="13406" ht="14.25" customHeight="1" s="192">
      <c r="W13406" s="239" t="n"/>
      <c r="X13406" s="239" t="n"/>
    </row>
    <row r="13407" ht="14.25" customHeight="1" s="192">
      <c r="W13407" s="235" t="n"/>
      <c r="X13407" s="235" t="n"/>
    </row>
    <row r="13408" ht="14.25" customHeight="1" s="192">
      <c r="W13408" s="239" t="n"/>
      <c r="X13408" s="239" t="n"/>
    </row>
    <row r="13410" ht="14.25" customHeight="1" s="192">
      <c r="W13410" s="235" t="n"/>
      <c r="X13410" s="235" t="n"/>
    </row>
    <row r="13411" ht="15" customHeight="1" s="192" thickBot="1">
      <c r="W13411" s="239" t="n"/>
      <c r="X13411" s="239" t="n"/>
    </row>
    <row r="13412" ht="15" customHeight="1" s="192" thickBot="1">
      <c r="W13412" s="45" t="n"/>
      <c r="X13412" s="45" t="n"/>
    </row>
    <row r="13413" ht="14.25" customHeight="1" s="192">
      <c r="W13413" s="228" t="n"/>
      <c r="X13413" s="228" t="n"/>
    </row>
    <row r="13414" ht="14.25" customHeight="1" s="192">
      <c r="W13414" s="228" t="n"/>
      <c r="X13414" s="228" t="n"/>
    </row>
    <row r="13415" ht="14.25" customHeight="1" s="192">
      <c r="W13415" s="231" t="n"/>
      <c r="X13415" s="231" t="n"/>
    </row>
    <row r="13416" ht="14.25" customHeight="1" s="192">
      <c r="W13416" s="33" t="n"/>
      <c r="X13416" s="33" t="n"/>
    </row>
    <row r="13417" ht="14.25" customHeight="1" s="192">
      <c r="W13417" s="231" t="n"/>
      <c r="X13417" s="231" t="n"/>
    </row>
    <row r="13418" ht="14.25" customHeight="1" s="192">
      <c r="W13418" s="33" t="n"/>
      <c r="X13418" s="33" t="n"/>
    </row>
    <row r="13420" ht="14.25" customHeight="1" s="192">
      <c r="W13420" s="231" t="n"/>
      <c r="X13420" s="231" t="n"/>
    </row>
    <row r="13421" ht="14.25" customHeight="1" s="192">
      <c r="W13421" s="235" t="n"/>
      <c r="X13421" s="235" t="n"/>
    </row>
    <row r="13422" ht="14.25" customHeight="1" s="192">
      <c r="W13422" s="228" t="n"/>
      <c r="X13422" s="228" t="n"/>
    </row>
    <row r="13423" ht="14.25" customHeight="1" s="192">
      <c r="W13423" s="235" t="n"/>
      <c r="X13423" s="235" t="n"/>
    </row>
    <row r="13424" ht="14.25" customHeight="1" s="192">
      <c r="W13424" s="235" t="n"/>
      <c r="X13424" s="235" t="n"/>
    </row>
    <row r="13425" ht="14.25" customHeight="1" s="192">
      <c r="W13425" s="235" t="n"/>
      <c r="X13425" s="235" t="n"/>
    </row>
    <row r="13426" ht="14.25" customHeight="1" s="192">
      <c r="W13426" s="239" t="n"/>
      <c r="X13426" s="239" t="n"/>
    </row>
    <row r="13427" ht="14.25" customHeight="1" s="192">
      <c r="W13427" s="239" t="n"/>
      <c r="X13427" s="239" t="n"/>
    </row>
    <row r="13428" ht="14.25" customHeight="1" s="192">
      <c r="W13428" s="239" t="n"/>
      <c r="X13428" s="239" t="n"/>
    </row>
    <row r="13429" ht="14.25" customHeight="1" s="192">
      <c r="W13429" s="235" t="n"/>
      <c r="X13429" s="235" t="n"/>
    </row>
    <row r="13430" ht="14.25" customHeight="1" s="192">
      <c r="W13430" s="235" t="n"/>
      <c r="X13430" s="235" t="n"/>
    </row>
    <row r="13431" ht="14.25" customHeight="1" s="192">
      <c r="W13431" s="235" t="n"/>
      <c r="X13431" s="235" t="n"/>
    </row>
    <row r="13432" ht="14.25" customHeight="1" s="192">
      <c r="W13432" s="239" t="n"/>
      <c r="X13432" s="239" t="n"/>
    </row>
    <row r="13433" ht="14.25" customHeight="1" s="192">
      <c r="W13433" s="239" t="n"/>
      <c r="X13433" s="239" t="n"/>
    </row>
    <row r="13434" ht="14.25" customHeight="1" s="192">
      <c r="W13434" s="235" t="n"/>
      <c r="X13434" s="235" t="n"/>
    </row>
    <row r="13435" ht="14.25" customHeight="1" s="192">
      <c r="W13435" s="235" t="n"/>
      <c r="X13435" s="235" t="n"/>
    </row>
    <row r="13436" ht="14.25" customHeight="1" s="192">
      <c r="W13436" s="239" t="n"/>
      <c r="X13436" s="239" t="n"/>
    </row>
    <row r="13437" ht="14.25" customHeight="1" s="192">
      <c r="W13437" s="235" t="n"/>
      <c r="X13437" s="235" t="n"/>
    </row>
    <row r="13438" ht="14.25" customHeight="1" s="192">
      <c r="W13438" s="239" t="n"/>
      <c r="X13438" s="239" t="n"/>
    </row>
    <row r="13440" ht="14.25" customHeight="1" s="192">
      <c r="W13440" s="235" t="n"/>
      <c r="X13440" s="235" t="n"/>
    </row>
    <row r="13441" ht="15" customHeight="1" s="192" thickBot="1">
      <c r="W13441" s="239" t="n"/>
      <c r="X13441" s="239" t="n"/>
    </row>
    <row r="13442" ht="15" customHeight="1" s="192" thickBot="1">
      <c r="W13442" s="45" t="n"/>
      <c r="X13442" s="45" t="n"/>
    </row>
    <row r="13443" ht="14.25" customHeight="1" s="192">
      <c r="W13443" s="228" t="n"/>
      <c r="X13443" s="228" t="n"/>
    </row>
    <row r="13444" ht="14.25" customHeight="1" s="192">
      <c r="W13444" s="228" t="n"/>
      <c r="X13444" s="228" t="n"/>
    </row>
    <row r="13445" ht="14.25" customHeight="1" s="192">
      <c r="W13445" s="231" t="n"/>
      <c r="X13445" s="231" t="n"/>
    </row>
    <row r="13446" ht="14.25" customHeight="1" s="192">
      <c r="W13446" s="33" t="n"/>
      <c r="X13446" s="33" t="n"/>
    </row>
    <row r="13447" ht="14.25" customHeight="1" s="192">
      <c r="W13447" s="231" t="n"/>
      <c r="X13447" s="231" t="n"/>
    </row>
    <row r="13448" ht="14.25" customHeight="1" s="192">
      <c r="W13448" s="33" t="n"/>
      <c r="X13448" s="33" t="n"/>
    </row>
    <row r="13450" ht="14.25" customHeight="1" s="192">
      <c r="W13450" s="231" t="n"/>
      <c r="X13450" s="231" t="n"/>
    </row>
    <row r="13451" ht="14.25" customHeight="1" s="192">
      <c r="W13451" s="235" t="n"/>
      <c r="X13451" s="235" t="n"/>
    </row>
    <row r="13452" ht="14.25" customHeight="1" s="192">
      <c r="W13452" s="228" t="n"/>
      <c r="X13452" s="228" t="n"/>
    </row>
    <row r="13453" ht="14.25" customHeight="1" s="192">
      <c r="W13453" s="235" t="n"/>
      <c r="X13453" s="235" t="n"/>
    </row>
    <row r="13454" ht="14.25" customHeight="1" s="192">
      <c r="W13454" s="235" t="n"/>
      <c r="X13454" s="235" t="n"/>
    </row>
    <row r="13455" ht="14.25" customHeight="1" s="192">
      <c r="W13455" s="235" t="n"/>
      <c r="X13455" s="235" t="n"/>
    </row>
    <row r="13456" ht="14.25" customHeight="1" s="192">
      <c r="W13456" s="239" t="n"/>
      <c r="X13456" s="239" t="n"/>
    </row>
    <row r="13457" ht="14.25" customHeight="1" s="192">
      <c r="W13457" s="239" t="n"/>
      <c r="X13457" s="239" t="n"/>
    </row>
    <row r="13458" ht="14.25" customHeight="1" s="192">
      <c r="W13458" s="239" t="n"/>
      <c r="X13458" s="239" t="n"/>
    </row>
    <row r="13459" ht="14.25" customHeight="1" s="192">
      <c r="W13459" s="235" t="n"/>
      <c r="X13459" s="235" t="n"/>
    </row>
    <row r="13460" ht="14.25" customHeight="1" s="192">
      <c r="W13460" s="235" t="n"/>
      <c r="X13460" s="235" t="n"/>
    </row>
    <row r="13461" ht="14.25" customHeight="1" s="192">
      <c r="W13461" s="235" t="n"/>
      <c r="X13461" s="235" t="n"/>
    </row>
    <row r="13462" ht="14.25" customHeight="1" s="192">
      <c r="W13462" s="239" t="n"/>
      <c r="X13462" s="239" t="n"/>
    </row>
    <row r="13463" ht="14.25" customHeight="1" s="192">
      <c r="W13463" s="239" t="n"/>
      <c r="X13463" s="239" t="n"/>
    </row>
    <row r="13464" ht="14.25" customHeight="1" s="192">
      <c r="W13464" s="235" t="n"/>
      <c r="X13464" s="235" t="n"/>
    </row>
    <row r="13465" ht="14.25" customHeight="1" s="192">
      <c r="W13465" s="235" t="n"/>
      <c r="X13465" s="235" t="n"/>
    </row>
    <row r="13466" ht="14.25" customHeight="1" s="192">
      <c r="W13466" s="239" t="n"/>
      <c r="X13466" s="239" t="n"/>
    </row>
    <row r="13467" ht="14.25" customHeight="1" s="192">
      <c r="W13467" s="235" t="n"/>
      <c r="X13467" s="235" t="n"/>
    </row>
    <row r="13468" ht="14.25" customHeight="1" s="192">
      <c r="W13468" s="239" t="n"/>
      <c r="X13468" s="239" t="n"/>
    </row>
    <row r="13470" ht="14.25" customHeight="1" s="192">
      <c r="W13470" s="235" t="n"/>
      <c r="X13470" s="235" t="n"/>
    </row>
    <row r="13471" ht="15" customHeight="1" s="192" thickBot="1">
      <c r="W13471" s="239" t="n"/>
      <c r="X13471" s="239" t="n"/>
    </row>
    <row r="13472" ht="15" customHeight="1" s="192" thickBot="1">
      <c r="W13472" s="45" t="n"/>
      <c r="X13472" s="45" t="n"/>
    </row>
    <row r="13473" ht="14.25" customHeight="1" s="192">
      <c r="W13473" s="228" t="n"/>
      <c r="X13473" s="228" t="n"/>
    </row>
    <row r="13474" ht="14.25" customHeight="1" s="192">
      <c r="W13474" s="228" t="n"/>
      <c r="X13474" s="228" t="n"/>
    </row>
    <row r="13475" ht="14.25" customHeight="1" s="192">
      <c r="W13475" s="231" t="n"/>
      <c r="X13475" s="231" t="n"/>
    </row>
    <row r="13476" ht="14.25" customHeight="1" s="192">
      <c r="W13476" s="33" t="n"/>
      <c r="X13476" s="33" t="n"/>
    </row>
    <row r="13477" ht="14.25" customHeight="1" s="192">
      <c r="W13477" s="231" t="n"/>
      <c r="X13477" s="231" t="n"/>
    </row>
    <row r="13478" ht="14.25" customHeight="1" s="192">
      <c r="W13478" s="33" t="n"/>
      <c r="X13478" s="33" t="n"/>
    </row>
    <row r="13480" ht="14.25" customHeight="1" s="192">
      <c r="W13480" s="231" t="n"/>
      <c r="X13480" s="231" t="n"/>
    </row>
    <row r="13481" ht="14.25" customHeight="1" s="192">
      <c r="W13481" s="235" t="n"/>
      <c r="X13481" s="235" t="n"/>
    </row>
    <row r="13482" ht="14.25" customHeight="1" s="192">
      <c r="W13482" s="228" t="n"/>
      <c r="X13482" s="228" t="n"/>
    </row>
    <row r="13483" ht="14.25" customHeight="1" s="192">
      <c r="W13483" s="235" t="n"/>
      <c r="X13483" s="235" t="n"/>
    </row>
    <row r="13484" ht="14.25" customHeight="1" s="192">
      <c r="W13484" s="235" t="n"/>
      <c r="X13484" s="235" t="n"/>
    </row>
    <row r="13485" ht="14.25" customHeight="1" s="192">
      <c r="W13485" s="235" t="n"/>
      <c r="X13485" s="235" t="n"/>
    </row>
    <row r="13486" ht="14.25" customHeight="1" s="192">
      <c r="W13486" s="239" t="n"/>
      <c r="X13486" s="239" t="n"/>
    </row>
    <row r="13487" ht="14.25" customHeight="1" s="192">
      <c r="W13487" s="239" t="n"/>
      <c r="X13487" s="239" t="n"/>
    </row>
    <row r="13488" ht="14.25" customHeight="1" s="192">
      <c r="W13488" s="239" t="n"/>
      <c r="X13488" s="239" t="n"/>
    </row>
    <row r="13489" ht="14.25" customHeight="1" s="192">
      <c r="W13489" s="235" t="n"/>
      <c r="X13489" s="235" t="n"/>
    </row>
    <row r="13490" ht="14.25" customHeight="1" s="192">
      <c r="W13490" s="235" t="n"/>
      <c r="X13490" s="235" t="n"/>
    </row>
    <row r="13491" ht="14.25" customHeight="1" s="192">
      <c r="W13491" s="235" t="n"/>
      <c r="X13491" s="235" t="n"/>
    </row>
    <row r="13492" ht="14.25" customHeight="1" s="192">
      <c r="W13492" s="239" t="n"/>
      <c r="X13492" s="239" t="n"/>
    </row>
    <row r="13493" ht="14.25" customHeight="1" s="192">
      <c r="W13493" s="239" t="n"/>
      <c r="X13493" s="239" t="n"/>
    </row>
    <row r="13494" ht="14.25" customHeight="1" s="192">
      <c r="W13494" s="235" t="n"/>
      <c r="X13494" s="235" t="n"/>
    </row>
    <row r="13495" ht="14.25" customHeight="1" s="192">
      <c r="W13495" s="235" t="n"/>
      <c r="X13495" s="235" t="n"/>
    </row>
    <row r="13496" ht="14.25" customHeight="1" s="192">
      <c r="W13496" s="239" t="n"/>
      <c r="X13496" s="239" t="n"/>
    </row>
    <row r="13497" ht="14.25" customHeight="1" s="192">
      <c r="W13497" s="235" t="n"/>
      <c r="X13497" s="235" t="n"/>
    </row>
    <row r="13498" ht="14.25" customHeight="1" s="192">
      <c r="W13498" s="239" t="n"/>
      <c r="X13498" s="239" t="n"/>
    </row>
    <row r="13500" ht="14.25" customHeight="1" s="192">
      <c r="W13500" s="235" t="n"/>
      <c r="X13500" s="235" t="n"/>
    </row>
    <row r="13501" ht="15" customHeight="1" s="192" thickBot="1">
      <c r="W13501" s="239" t="n"/>
      <c r="X13501" s="239" t="n"/>
    </row>
    <row r="13502" ht="15" customHeight="1" s="192" thickBot="1">
      <c r="W13502" s="45" t="n"/>
      <c r="X13502" s="45" t="n"/>
    </row>
    <row r="13503" ht="14.25" customHeight="1" s="192">
      <c r="W13503" s="228" t="n"/>
      <c r="X13503" s="228" t="n"/>
    </row>
    <row r="13504" ht="14.25" customHeight="1" s="192">
      <c r="W13504" s="228" t="n"/>
      <c r="X13504" s="228" t="n"/>
    </row>
    <row r="13505" ht="14.25" customHeight="1" s="192">
      <c r="W13505" s="231" t="n"/>
      <c r="X13505" s="231" t="n"/>
    </row>
    <row r="13506" ht="14.25" customHeight="1" s="192">
      <c r="W13506" s="33" t="n"/>
      <c r="X13506" s="33" t="n"/>
    </row>
    <row r="13507" ht="14.25" customHeight="1" s="192">
      <c r="W13507" s="231" t="n"/>
      <c r="X13507" s="231" t="n"/>
    </row>
    <row r="13508" ht="14.25" customHeight="1" s="192">
      <c r="W13508" s="33" t="n"/>
      <c r="X13508" s="33" t="n"/>
    </row>
    <row r="13510" ht="14.25" customHeight="1" s="192">
      <c r="W13510" s="231" t="n"/>
      <c r="X13510" s="231" t="n"/>
    </row>
    <row r="13511" ht="14.25" customHeight="1" s="192">
      <c r="W13511" s="235" t="n"/>
      <c r="X13511" s="235" t="n"/>
    </row>
    <row r="13512" ht="14.25" customHeight="1" s="192">
      <c r="W13512" s="228" t="n"/>
      <c r="X13512" s="228" t="n"/>
    </row>
    <row r="13513" ht="14.25" customHeight="1" s="192">
      <c r="W13513" s="235" t="n"/>
      <c r="X13513" s="235" t="n"/>
    </row>
    <row r="13514" ht="14.25" customHeight="1" s="192">
      <c r="W13514" s="235" t="n"/>
      <c r="X13514" s="235" t="n"/>
    </row>
    <row r="13515" ht="14.25" customHeight="1" s="192">
      <c r="W13515" s="235" t="n"/>
      <c r="X13515" s="235" t="n"/>
    </row>
    <row r="13516" ht="14.25" customHeight="1" s="192">
      <c r="W13516" s="239" t="n"/>
      <c r="X13516" s="239" t="n"/>
    </row>
    <row r="13517" ht="14.25" customHeight="1" s="192">
      <c r="W13517" s="239" t="n"/>
      <c r="X13517" s="239" t="n"/>
    </row>
    <row r="13518" ht="14.25" customHeight="1" s="192">
      <c r="W13518" s="239" t="n"/>
      <c r="X13518" s="239" t="n"/>
    </row>
    <row r="13519" ht="14.25" customHeight="1" s="192">
      <c r="W13519" s="235" t="n"/>
      <c r="X13519" s="235" t="n"/>
    </row>
    <row r="13520" ht="14.25" customHeight="1" s="192">
      <c r="W13520" s="235" t="n"/>
      <c r="X13520" s="235" t="n"/>
    </row>
    <row r="13521" ht="14.25" customHeight="1" s="192">
      <c r="W13521" s="235" t="n"/>
      <c r="X13521" s="235" t="n"/>
    </row>
    <row r="13522" ht="14.25" customHeight="1" s="192">
      <c r="W13522" s="239" t="n"/>
      <c r="X13522" s="239" t="n"/>
    </row>
    <row r="13523" ht="14.25" customHeight="1" s="192">
      <c r="W13523" s="239" t="n"/>
      <c r="X13523" s="239" t="n"/>
    </row>
    <row r="13524" ht="14.25" customHeight="1" s="192">
      <c r="W13524" s="235" t="n"/>
      <c r="X13524" s="235" t="n"/>
    </row>
    <row r="13525" ht="14.25" customHeight="1" s="192">
      <c r="W13525" s="235" t="n"/>
      <c r="X13525" s="235" t="n"/>
    </row>
    <row r="13526" ht="14.25" customHeight="1" s="192">
      <c r="W13526" s="239" t="n"/>
      <c r="X13526" s="239" t="n"/>
    </row>
    <row r="13527" ht="14.25" customHeight="1" s="192">
      <c r="W13527" s="235" t="n"/>
      <c r="X13527" s="235" t="n"/>
    </row>
    <row r="13528" ht="14.25" customHeight="1" s="192">
      <c r="W13528" s="239" t="n"/>
      <c r="X13528" s="239" t="n"/>
    </row>
    <row r="13530" ht="14.25" customHeight="1" s="192">
      <c r="W13530" s="235" t="n"/>
      <c r="X13530" s="235" t="n"/>
    </row>
    <row r="13531" ht="15" customHeight="1" s="192" thickBot="1">
      <c r="W13531" s="239" t="n"/>
      <c r="X13531" s="239" t="n"/>
    </row>
    <row r="13532" ht="15" customHeight="1" s="192" thickBot="1">
      <c r="W13532" s="45" t="n"/>
      <c r="X13532" s="45" t="n"/>
    </row>
    <row r="13533" ht="14.25" customHeight="1" s="192">
      <c r="W13533" s="228" t="n"/>
      <c r="X13533" s="228" t="n"/>
    </row>
    <row r="13534" ht="14.25" customHeight="1" s="192">
      <c r="W13534" s="228" t="n"/>
      <c r="X13534" s="228" t="n"/>
    </row>
    <row r="13535" ht="14.25" customHeight="1" s="192">
      <c r="W13535" s="231" t="n"/>
      <c r="X13535" s="231" t="n"/>
    </row>
    <row r="13536" ht="14.25" customHeight="1" s="192">
      <c r="W13536" s="33" t="n"/>
      <c r="X13536" s="33" t="n"/>
    </row>
    <row r="13537" ht="14.25" customHeight="1" s="192">
      <c r="W13537" s="231" t="n"/>
      <c r="X13537" s="231" t="n"/>
    </row>
    <row r="13538" ht="14.25" customHeight="1" s="192">
      <c r="W13538" s="33" t="n"/>
      <c r="X13538" s="33" t="n"/>
    </row>
    <row r="13540" ht="14.25" customHeight="1" s="192">
      <c r="W13540" s="231" t="n"/>
      <c r="X13540" s="231" t="n"/>
    </row>
    <row r="13541" ht="14.25" customHeight="1" s="192">
      <c r="W13541" s="235" t="n"/>
      <c r="X13541" s="235" t="n"/>
    </row>
    <row r="13542" ht="14.25" customHeight="1" s="192">
      <c r="W13542" s="228" t="n"/>
      <c r="X13542" s="228" t="n"/>
    </row>
    <row r="13543" ht="14.25" customHeight="1" s="192">
      <c r="W13543" s="235" t="n"/>
      <c r="X13543" s="235" t="n"/>
    </row>
    <row r="13544" ht="14.25" customHeight="1" s="192">
      <c r="W13544" s="235" t="n"/>
      <c r="X13544" s="235" t="n"/>
    </row>
    <row r="13545" ht="14.25" customHeight="1" s="192">
      <c r="W13545" s="235" t="n"/>
      <c r="X13545" s="235" t="n"/>
    </row>
    <row r="13546" ht="14.25" customHeight="1" s="192">
      <c r="W13546" s="239" t="n"/>
      <c r="X13546" s="239" t="n"/>
    </row>
    <row r="13547" ht="14.25" customHeight="1" s="192">
      <c r="W13547" s="239" t="n"/>
      <c r="X13547" s="239" t="n"/>
    </row>
    <row r="13548" ht="14.25" customHeight="1" s="192">
      <c r="W13548" s="239" t="n"/>
      <c r="X13548" s="239" t="n"/>
    </row>
    <row r="13549" ht="14.25" customHeight="1" s="192">
      <c r="W13549" s="235" t="n"/>
      <c r="X13549" s="235" t="n"/>
    </row>
    <row r="13550" ht="14.25" customHeight="1" s="192">
      <c r="W13550" s="235" t="n"/>
      <c r="X13550" s="235" t="n"/>
    </row>
    <row r="13551" ht="14.25" customHeight="1" s="192">
      <c r="W13551" s="235" t="n"/>
      <c r="X13551" s="235" t="n"/>
    </row>
    <row r="13552" ht="14.25" customHeight="1" s="192">
      <c r="W13552" s="239" t="n"/>
      <c r="X13552" s="239" t="n"/>
    </row>
    <row r="13553" ht="14.25" customHeight="1" s="192">
      <c r="W13553" s="239" t="n"/>
      <c r="X13553" s="239" t="n"/>
    </row>
    <row r="13554" ht="14.25" customHeight="1" s="192">
      <c r="W13554" s="235" t="n"/>
      <c r="X13554" s="235" t="n"/>
    </row>
    <row r="13555" ht="14.25" customHeight="1" s="192">
      <c r="W13555" s="235" t="n"/>
      <c r="X13555" s="235" t="n"/>
    </row>
    <row r="13556" ht="14.25" customHeight="1" s="192">
      <c r="W13556" s="239" t="n"/>
      <c r="X13556" s="239" t="n"/>
    </row>
    <row r="13557" ht="14.25" customHeight="1" s="192">
      <c r="W13557" s="235" t="n"/>
      <c r="X13557" s="235" t="n"/>
    </row>
    <row r="13558" ht="14.25" customHeight="1" s="192">
      <c r="W13558" s="239" t="n"/>
      <c r="X13558" s="239" t="n"/>
    </row>
    <row r="13560" ht="14.25" customHeight="1" s="192">
      <c r="W13560" s="235" t="n"/>
      <c r="X13560" s="235" t="n"/>
    </row>
    <row r="13561" ht="15" customHeight="1" s="192" thickBot="1">
      <c r="W13561" s="239" t="n"/>
      <c r="X13561" s="239" t="n"/>
    </row>
    <row r="13562" ht="15" customHeight="1" s="192" thickBot="1">
      <c r="W13562" s="45" t="n"/>
      <c r="X13562" s="45" t="n"/>
    </row>
    <row r="13563" ht="14.25" customHeight="1" s="192">
      <c r="W13563" s="228" t="n"/>
      <c r="X13563" s="228" t="n"/>
    </row>
    <row r="13564" ht="14.25" customHeight="1" s="192">
      <c r="W13564" s="228" t="n"/>
      <c r="X13564" s="228" t="n"/>
    </row>
    <row r="13565" ht="14.25" customHeight="1" s="192">
      <c r="W13565" s="231" t="n"/>
      <c r="X13565" s="231" t="n"/>
    </row>
    <row r="13566" ht="14.25" customHeight="1" s="192">
      <c r="W13566" s="33" t="n"/>
      <c r="X13566" s="33" t="n"/>
    </row>
    <row r="13567" ht="14.25" customHeight="1" s="192">
      <c r="W13567" s="231" t="n"/>
      <c r="X13567" s="231" t="n"/>
    </row>
    <row r="13568" ht="14.25" customHeight="1" s="192">
      <c r="W13568" s="33" t="n"/>
      <c r="X13568" s="33" t="n"/>
    </row>
    <row r="13570" ht="14.25" customHeight="1" s="192">
      <c r="W13570" s="231" t="n"/>
      <c r="X13570" s="231" t="n"/>
    </row>
    <row r="13571" ht="14.25" customHeight="1" s="192">
      <c r="W13571" s="235" t="n"/>
      <c r="X13571" s="235" t="n"/>
    </row>
    <row r="13572" ht="14.25" customHeight="1" s="192">
      <c r="W13572" s="228" t="n"/>
      <c r="X13572" s="228" t="n"/>
    </row>
    <row r="13573" ht="14.25" customHeight="1" s="192">
      <c r="W13573" s="235" t="n"/>
      <c r="X13573" s="235" t="n"/>
    </row>
    <row r="13574" ht="14.25" customHeight="1" s="192">
      <c r="W13574" s="235" t="n"/>
      <c r="X13574" s="235" t="n"/>
    </row>
    <row r="13575" ht="14.25" customHeight="1" s="192">
      <c r="W13575" s="235" t="n"/>
      <c r="X13575" s="235" t="n"/>
    </row>
    <row r="13576" ht="14.25" customHeight="1" s="192">
      <c r="W13576" s="239" t="n"/>
      <c r="X13576" s="239" t="n"/>
    </row>
    <row r="13577" ht="14.25" customHeight="1" s="192">
      <c r="W13577" s="239" t="n"/>
      <c r="X13577" s="239" t="n"/>
    </row>
    <row r="13578" ht="14.25" customHeight="1" s="192">
      <c r="W13578" s="239" t="n"/>
      <c r="X13578" s="239" t="n"/>
    </row>
    <row r="13579" ht="14.25" customHeight="1" s="192">
      <c r="W13579" s="235" t="n"/>
      <c r="X13579" s="235" t="n"/>
    </row>
    <row r="13580" ht="14.25" customHeight="1" s="192">
      <c r="W13580" s="235" t="n"/>
      <c r="X13580" s="235" t="n"/>
    </row>
    <row r="13581" ht="14.25" customHeight="1" s="192">
      <c r="W13581" s="235" t="n"/>
      <c r="X13581" s="235" t="n"/>
    </row>
    <row r="13582" ht="14.25" customHeight="1" s="192">
      <c r="W13582" s="239" t="n"/>
      <c r="X13582" s="239" t="n"/>
    </row>
    <row r="13583" ht="14.25" customHeight="1" s="192">
      <c r="W13583" s="239" t="n"/>
      <c r="X13583" s="239" t="n"/>
    </row>
    <row r="13584" ht="14.25" customHeight="1" s="192">
      <c r="W13584" s="235" t="n"/>
      <c r="X13584" s="235" t="n"/>
    </row>
    <row r="13585" ht="14.25" customHeight="1" s="192">
      <c r="W13585" s="235" t="n"/>
      <c r="X13585" s="235" t="n"/>
    </row>
    <row r="13586" ht="14.25" customHeight="1" s="192">
      <c r="W13586" s="239" t="n"/>
      <c r="X13586" s="239" t="n"/>
    </row>
    <row r="13587" ht="14.25" customHeight="1" s="192">
      <c r="W13587" s="235" t="n"/>
      <c r="X13587" s="235" t="n"/>
    </row>
    <row r="13588" ht="14.25" customHeight="1" s="192">
      <c r="W13588" s="239" t="n"/>
      <c r="X13588" s="239" t="n"/>
    </row>
    <row r="13590" ht="14.25" customHeight="1" s="192">
      <c r="W13590" s="235" t="n"/>
      <c r="X13590" s="235" t="n"/>
    </row>
    <row r="13591" ht="15" customHeight="1" s="192" thickBot="1">
      <c r="W13591" s="239" t="n"/>
      <c r="X13591" s="239" t="n"/>
    </row>
    <row r="13592" ht="15" customHeight="1" s="192" thickBot="1">
      <c r="W13592" s="45" t="n"/>
      <c r="X13592" s="45" t="n"/>
    </row>
    <row r="13593" ht="14.25" customHeight="1" s="192">
      <c r="W13593" s="228" t="n"/>
      <c r="X13593" s="228" t="n"/>
    </row>
    <row r="13594" ht="14.25" customHeight="1" s="192">
      <c r="W13594" s="228" t="n"/>
      <c r="X13594" s="228" t="n"/>
    </row>
    <row r="13595" ht="14.25" customHeight="1" s="192">
      <c r="W13595" s="231" t="n"/>
      <c r="X13595" s="231" t="n"/>
    </row>
    <row r="13596" ht="14.25" customHeight="1" s="192">
      <c r="W13596" s="33" t="n"/>
      <c r="X13596" s="33" t="n"/>
    </row>
    <row r="13597" ht="14.25" customHeight="1" s="192">
      <c r="W13597" s="231" t="n"/>
      <c r="X13597" s="231" t="n"/>
    </row>
    <row r="13598" ht="14.25" customHeight="1" s="192">
      <c r="W13598" s="33" t="n"/>
      <c r="X13598" s="33" t="n"/>
    </row>
    <row r="13600" ht="14.25" customHeight="1" s="192">
      <c r="W13600" s="231" t="n"/>
      <c r="X13600" s="231" t="n"/>
    </row>
    <row r="13601" ht="14.25" customHeight="1" s="192">
      <c r="W13601" s="235" t="n"/>
      <c r="X13601" s="235" t="n"/>
    </row>
    <row r="13602" ht="14.25" customHeight="1" s="192">
      <c r="W13602" s="228" t="n"/>
      <c r="X13602" s="228" t="n"/>
    </row>
    <row r="13603" ht="14.25" customHeight="1" s="192">
      <c r="W13603" s="235" t="n"/>
      <c r="X13603" s="235" t="n"/>
    </row>
    <row r="13604" ht="14.25" customHeight="1" s="192">
      <c r="W13604" s="235" t="n"/>
      <c r="X13604" s="235" t="n"/>
    </row>
    <row r="13605" ht="14.25" customHeight="1" s="192">
      <c r="W13605" s="235" t="n"/>
      <c r="X13605" s="235" t="n"/>
    </row>
    <row r="13606" ht="14.25" customHeight="1" s="192">
      <c r="W13606" s="239" t="n"/>
      <c r="X13606" s="239" t="n"/>
    </row>
    <row r="13607" ht="14.25" customHeight="1" s="192">
      <c r="W13607" s="239" t="n"/>
      <c r="X13607" s="239" t="n"/>
    </row>
    <row r="13608" ht="14.25" customHeight="1" s="192">
      <c r="W13608" s="239" t="n"/>
      <c r="X13608" s="239" t="n"/>
    </row>
    <row r="13609" ht="14.25" customHeight="1" s="192">
      <c r="W13609" s="235" t="n"/>
      <c r="X13609" s="235" t="n"/>
    </row>
    <row r="13610" ht="14.25" customHeight="1" s="192">
      <c r="W13610" s="235" t="n"/>
      <c r="X13610" s="235" t="n"/>
    </row>
    <row r="13611" ht="14.25" customHeight="1" s="192">
      <c r="W13611" s="235" t="n"/>
      <c r="X13611" s="235" t="n"/>
    </row>
    <row r="13612" ht="14.25" customHeight="1" s="192">
      <c r="W13612" s="239" t="n"/>
      <c r="X13612" s="239" t="n"/>
    </row>
    <row r="13613" ht="14.25" customHeight="1" s="192">
      <c r="W13613" s="239" t="n"/>
      <c r="X13613" s="239" t="n"/>
    </row>
    <row r="13614" ht="14.25" customHeight="1" s="192">
      <c r="W13614" s="235" t="n"/>
      <c r="X13614" s="235" t="n"/>
    </row>
    <row r="13615" ht="14.25" customHeight="1" s="192">
      <c r="W13615" s="235" t="n"/>
      <c r="X13615" s="235" t="n"/>
    </row>
    <row r="13616" ht="14.25" customHeight="1" s="192">
      <c r="W13616" s="239" t="n"/>
      <c r="X13616" s="239" t="n"/>
    </row>
    <row r="13617" ht="14.25" customHeight="1" s="192">
      <c r="W13617" s="235" t="n"/>
      <c r="X13617" s="235" t="n"/>
    </row>
    <row r="13618" ht="14.25" customHeight="1" s="192">
      <c r="W13618" s="239" t="n"/>
      <c r="X13618" s="239" t="n"/>
    </row>
    <row r="13620" ht="14.25" customHeight="1" s="192">
      <c r="W13620" s="235" t="n"/>
      <c r="X13620" s="235" t="n"/>
    </row>
    <row r="13621" ht="15" customHeight="1" s="192" thickBot="1">
      <c r="W13621" s="239" t="n"/>
      <c r="X13621" s="239" t="n"/>
    </row>
    <row r="13622" ht="15" customHeight="1" s="192" thickBot="1">
      <c r="W13622" s="45" t="n"/>
      <c r="X13622" s="45" t="n"/>
    </row>
    <row r="13623" ht="14.25" customHeight="1" s="192">
      <c r="W13623" s="228" t="n"/>
      <c r="X13623" s="228" t="n"/>
    </row>
    <row r="13624" ht="14.25" customHeight="1" s="192">
      <c r="W13624" s="228" t="n"/>
      <c r="X13624" s="228" t="n"/>
    </row>
    <row r="13625" ht="14.25" customHeight="1" s="192">
      <c r="W13625" s="231" t="n"/>
      <c r="X13625" s="231" t="n"/>
    </row>
    <row r="13626" ht="14.25" customHeight="1" s="192">
      <c r="W13626" s="33" t="n"/>
      <c r="X13626" s="33" t="n"/>
    </row>
    <row r="13627" ht="14.25" customHeight="1" s="192">
      <c r="W13627" s="231" t="n"/>
      <c r="X13627" s="231" t="n"/>
    </row>
    <row r="13628" ht="14.25" customHeight="1" s="192">
      <c r="W13628" s="33" t="n"/>
      <c r="X13628" s="33" t="n"/>
    </row>
    <row r="13630" ht="14.25" customHeight="1" s="192">
      <c r="W13630" s="231" t="n"/>
      <c r="X13630" s="231" t="n"/>
    </row>
    <row r="13631" ht="14.25" customHeight="1" s="192">
      <c r="W13631" s="235" t="n"/>
      <c r="X13631" s="235" t="n"/>
    </row>
    <row r="13632" ht="14.25" customHeight="1" s="192">
      <c r="W13632" s="228" t="n"/>
      <c r="X13632" s="228" t="n"/>
    </row>
    <row r="13633" ht="14.25" customHeight="1" s="192">
      <c r="W13633" s="235" t="n"/>
      <c r="X13633" s="235" t="n"/>
    </row>
    <row r="13634" ht="14.25" customHeight="1" s="192">
      <c r="W13634" s="235" t="n"/>
      <c r="X13634" s="235" t="n"/>
    </row>
    <row r="13635" ht="14.25" customHeight="1" s="192">
      <c r="W13635" s="235" t="n"/>
      <c r="X13635" s="235" t="n"/>
    </row>
    <row r="13636" ht="14.25" customHeight="1" s="192">
      <c r="W13636" s="239" t="n"/>
      <c r="X13636" s="239" t="n"/>
    </row>
    <row r="13637" ht="14.25" customHeight="1" s="192">
      <c r="W13637" s="239" t="n"/>
      <c r="X13637" s="239" t="n"/>
    </row>
    <row r="13638" ht="14.25" customHeight="1" s="192">
      <c r="W13638" s="239" t="n"/>
      <c r="X13638" s="239" t="n"/>
    </row>
    <row r="13639" ht="14.25" customHeight="1" s="192">
      <c r="W13639" s="235" t="n"/>
      <c r="X13639" s="235" t="n"/>
    </row>
    <row r="13640" ht="14.25" customHeight="1" s="192">
      <c r="W13640" s="235" t="n"/>
      <c r="X13640" s="235" t="n"/>
    </row>
    <row r="13641" ht="14.25" customHeight="1" s="192">
      <c r="W13641" s="235" t="n"/>
      <c r="X13641" s="235" t="n"/>
    </row>
    <row r="13642" ht="14.25" customHeight="1" s="192">
      <c r="W13642" s="239" t="n"/>
      <c r="X13642" s="239" t="n"/>
    </row>
    <row r="13643" ht="14.25" customHeight="1" s="192">
      <c r="W13643" s="239" t="n"/>
      <c r="X13643" s="239" t="n"/>
    </row>
    <row r="13644" ht="14.25" customHeight="1" s="192">
      <c r="W13644" s="235" t="n"/>
      <c r="X13644" s="235" t="n"/>
    </row>
    <row r="13645" ht="14.25" customHeight="1" s="192">
      <c r="W13645" s="235" t="n"/>
      <c r="X13645" s="235" t="n"/>
    </row>
    <row r="13646" ht="14.25" customHeight="1" s="192">
      <c r="W13646" s="239" t="n"/>
      <c r="X13646" s="239" t="n"/>
    </row>
    <row r="13647" ht="14.25" customHeight="1" s="192">
      <c r="W13647" s="235" t="n"/>
      <c r="X13647" s="235" t="n"/>
    </row>
    <row r="13648" ht="14.25" customHeight="1" s="192">
      <c r="W13648" s="239" t="n"/>
      <c r="X13648" s="239" t="n"/>
    </row>
    <row r="13650" ht="14.25" customHeight="1" s="192">
      <c r="W13650" s="235" t="n"/>
      <c r="X13650" s="235" t="n"/>
    </row>
    <row r="13651" ht="15" customHeight="1" s="192" thickBot="1">
      <c r="W13651" s="239" t="n"/>
      <c r="X13651" s="239" t="n"/>
    </row>
    <row r="13652" ht="15" customHeight="1" s="192" thickBot="1">
      <c r="W13652" s="45" t="n"/>
      <c r="X13652" s="45" t="n"/>
    </row>
    <row r="13653" ht="14.25" customHeight="1" s="192">
      <c r="W13653" s="228" t="n"/>
      <c r="X13653" s="228" t="n"/>
    </row>
    <row r="13654" ht="14.25" customHeight="1" s="192">
      <c r="W13654" s="228" t="n"/>
      <c r="X13654" s="228" t="n"/>
    </row>
    <row r="13655" ht="14.25" customHeight="1" s="192">
      <c r="W13655" s="231" t="n"/>
      <c r="X13655" s="231" t="n"/>
    </row>
    <row r="13656" ht="14.25" customHeight="1" s="192">
      <c r="W13656" s="33" t="n"/>
      <c r="X13656" s="33" t="n"/>
    </row>
    <row r="13657" ht="14.25" customHeight="1" s="192">
      <c r="W13657" s="231" t="n"/>
      <c r="X13657" s="231" t="n"/>
    </row>
    <row r="13658" ht="14.25" customHeight="1" s="192">
      <c r="W13658" s="33" t="n"/>
      <c r="X13658" s="33" t="n"/>
    </row>
    <row r="13660" ht="14.25" customHeight="1" s="192">
      <c r="W13660" s="231" t="n"/>
      <c r="X13660" s="231" t="n"/>
    </row>
    <row r="13661" ht="14.25" customHeight="1" s="192">
      <c r="W13661" s="235" t="n"/>
      <c r="X13661" s="235" t="n"/>
    </row>
    <row r="13662" ht="14.25" customHeight="1" s="192">
      <c r="W13662" s="228" t="n"/>
      <c r="X13662" s="228" t="n"/>
    </row>
    <row r="13663" ht="14.25" customHeight="1" s="192">
      <c r="W13663" s="235" t="n"/>
      <c r="X13663" s="235" t="n"/>
    </row>
    <row r="13664" ht="14.25" customHeight="1" s="192">
      <c r="W13664" s="235" t="n"/>
      <c r="X13664" s="235" t="n"/>
    </row>
    <row r="13665" ht="14.25" customHeight="1" s="192">
      <c r="W13665" s="235" t="n"/>
      <c r="X13665" s="235" t="n"/>
    </row>
    <row r="13666" ht="14.25" customHeight="1" s="192">
      <c r="W13666" s="239" t="n"/>
      <c r="X13666" s="239" t="n"/>
    </row>
    <row r="13667" ht="14.25" customHeight="1" s="192">
      <c r="W13667" s="239" t="n"/>
      <c r="X13667" s="239" t="n"/>
    </row>
    <row r="13668" ht="14.25" customHeight="1" s="192">
      <c r="W13668" s="239" t="n"/>
      <c r="X13668" s="239" t="n"/>
    </row>
    <row r="13669" ht="14.25" customHeight="1" s="192">
      <c r="W13669" s="235" t="n"/>
      <c r="X13669" s="235" t="n"/>
    </row>
    <row r="13670" ht="14.25" customHeight="1" s="192">
      <c r="W13670" s="235" t="n"/>
      <c r="X13670" s="235" t="n"/>
    </row>
    <row r="13671" ht="14.25" customHeight="1" s="192">
      <c r="W13671" s="235" t="n"/>
      <c r="X13671" s="235" t="n"/>
    </row>
    <row r="13672" ht="14.25" customHeight="1" s="192">
      <c r="W13672" s="239" t="n"/>
      <c r="X13672" s="239" t="n"/>
    </row>
    <row r="13673" ht="14.25" customHeight="1" s="192">
      <c r="W13673" s="239" t="n"/>
      <c r="X13673" s="239" t="n"/>
    </row>
    <row r="13674" ht="14.25" customHeight="1" s="192">
      <c r="W13674" s="235" t="n"/>
      <c r="X13674" s="235" t="n"/>
    </row>
    <row r="13675" ht="14.25" customHeight="1" s="192">
      <c r="W13675" s="235" t="n"/>
      <c r="X13675" s="235" t="n"/>
    </row>
    <row r="13676" ht="14.25" customHeight="1" s="192">
      <c r="W13676" s="239" t="n"/>
      <c r="X13676" s="239" t="n"/>
    </row>
    <row r="13677" ht="14.25" customHeight="1" s="192">
      <c r="W13677" s="235" t="n"/>
      <c r="X13677" s="235" t="n"/>
    </row>
    <row r="13678" ht="14.25" customHeight="1" s="192">
      <c r="W13678" s="239" t="n"/>
      <c r="X13678" s="239" t="n"/>
    </row>
    <row r="13680" ht="14.25" customHeight="1" s="192">
      <c r="W13680" s="235" t="n"/>
      <c r="X13680" s="235" t="n"/>
    </row>
    <row r="13681" ht="15" customHeight="1" s="192" thickBot="1">
      <c r="W13681" s="239" t="n"/>
      <c r="X13681" s="239" t="n"/>
    </row>
    <row r="13682" ht="15" customHeight="1" s="192" thickBot="1">
      <c r="W13682" s="45" t="n"/>
      <c r="X13682" s="45" t="n"/>
    </row>
    <row r="13683" ht="14.25" customHeight="1" s="192">
      <c r="W13683" s="228" t="n"/>
      <c r="X13683" s="228" t="n"/>
    </row>
    <row r="13684" ht="14.25" customHeight="1" s="192">
      <c r="W13684" s="228" t="n"/>
      <c r="X13684" s="228" t="n"/>
    </row>
    <row r="13685" ht="14.25" customHeight="1" s="192">
      <c r="W13685" s="231" t="n"/>
      <c r="X13685" s="231" t="n"/>
    </row>
    <row r="13686" ht="14.25" customHeight="1" s="192">
      <c r="W13686" s="33" t="n"/>
      <c r="X13686" s="33" t="n"/>
    </row>
    <row r="13687" ht="14.25" customHeight="1" s="192">
      <c r="W13687" s="231" t="n"/>
      <c r="X13687" s="231" t="n"/>
    </row>
    <row r="13688" ht="14.25" customHeight="1" s="192">
      <c r="W13688" s="33" t="n"/>
      <c r="X13688" s="33" t="n"/>
    </row>
    <row r="13690" ht="14.25" customHeight="1" s="192">
      <c r="W13690" s="231" t="n"/>
      <c r="X13690" s="231" t="n"/>
    </row>
    <row r="13691" ht="14.25" customHeight="1" s="192">
      <c r="W13691" s="235" t="n"/>
      <c r="X13691" s="235" t="n"/>
    </row>
    <row r="13692" ht="14.25" customHeight="1" s="192">
      <c r="W13692" s="228" t="n"/>
      <c r="X13692" s="228" t="n"/>
    </row>
    <row r="13693" ht="14.25" customHeight="1" s="192">
      <c r="W13693" s="235" t="n"/>
      <c r="X13693" s="235" t="n"/>
    </row>
    <row r="13694" ht="14.25" customHeight="1" s="192">
      <c r="W13694" s="235" t="n"/>
      <c r="X13694" s="235" t="n"/>
    </row>
    <row r="13695" ht="14.25" customHeight="1" s="192">
      <c r="W13695" s="235" t="n"/>
      <c r="X13695" s="235" t="n"/>
    </row>
    <row r="13696" ht="14.25" customHeight="1" s="192">
      <c r="W13696" s="239" t="n"/>
      <c r="X13696" s="239" t="n"/>
    </row>
    <row r="13697" ht="14.25" customHeight="1" s="192">
      <c r="W13697" s="239" t="n"/>
      <c r="X13697" s="239" t="n"/>
    </row>
    <row r="13698" ht="14.25" customHeight="1" s="192">
      <c r="W13698" s="239" t="n"/>
      <c r="X13698" s="239" t="n"/>
    </row>
    <row r="13699" ht="14.25" customHeight="1" s="192">
      <c r="W13699" s="235" t="n"/>
      <c r="X13699" s="235" t="n"/>
    </row>
    <row r="13700" ht="14.25" customHeight="1" s="192">
      <c r="W13700" s="235" t="n"/>
      <c r="X13700" s="235" t="n"/>
    </row>
    <row r="13701" ht="14.25" customHeight="1" s="192">
      <c r="W13701" s="235" t="n"/>
      <c r="X13701" s="235" t="n"/>
    </row>
    <row r="13702" ht="14.25" customHeight="1" s="192">
      <c r="W13702" s="239" t="n"/>
      <c r="X13702" s="239" t="n"/>
    </row>
    <row r="13703" ht="14.25" customHeight="1" s="192">
      <c r="W13703" s="239" t="n"/>
      <c r="X13703" s="239" t="n"/>
    </row>
    <row r="13704" ht="14.25" customHeight="1" s="192">
      <c r="W13704" s="235" t="n"/>
      <c r="X13704" s="235" t="n"/>
    </row>
    <row r="13705" ht="14.25" customHeight="1" s="192">
      <c r="W13705" s="235" t="n"/>
      <c r="X13705" s="235" t="n"/>
    </row>
    <row r="13706" ht="14.25" customHeight="1" s="192">
      <c r="W13706" s="239" t="n"/>
      <c r="X13706" s="239" t="n"/>
    </row>
    <row r="13707" ht="14.25" customHeight="1" s="192">
      <c r="W13707" s="235" t="n"/>
      <c r="X13707" s="235" t="n"/>
    </row>
    <row r="13708" ht="14.25" customHeight="1" s="192">
      <c r="W13708" s="239" t="n"/>
      <c r="X13708" s="239" t="n"/>
    </row>
    <row r="13710" ht="14.25" customHeight="1" s="192">
      <c r="W13710" s="235" t="n"/>
      <c r="X13710" s="235" t="n"/>
    </row>
    <row r="13711" ht="15" customHeight="1" s="192" thickBot="1">
      <c r="W13711" s="239" t="n"/>
      <c r="X13711" s="239" t="n"/>
    </row>
    <row r="13712" ht="15" customHeight="1" s="192" thickBot="1">
      <c r="W13712" s="45" t="n"/>
      <c r="X13712" s="45" t="n"/>
    </row>
    <row r="13713" ht="14.25" customHeight="1" s="192">
      <c r="W13713" s="228" t="n"/>
      <c r="X13713" s="228" t="n"/>
    </row>
    <row r="13714" ht="14.25" customHeight="1" s="192">
      <c r="W13714" s="228" t="n"/>
      <c r="X13714" s="228" t="n"/>
    </row>
    <row r="13715" ht="14.25" customHeight="1" s="192">
      <c r="W13715" s="231" t="n"/>
      <c r="X13715" s="231" t="n"/>
    </row>
    <row r="13716" ht="14.25" customHeight="1" s="192">
      <c r="W13716" s="33" t="n"/>
      <c r="X13716" s="33" t="n"/>
    </row>
    <row r="13717" ht="14.25" customHeight="1" s="192">
      <c r="W13717" s="231" t="n"/>
      <c r="X13717" s="231" t="n"/>
    </row>
    <row r="13718" ht="14.25" customHeight="1" s="192">
      <c r="W13718" s="33" t="n"/>
      <c r="X13718" s="33" t="n"/>
    </row>
    <row r="13720" ht="14.25" customHeight="1" s="192">
      <c r="W13720" s="231" t="n"/>
      <c r="X13720" s="231" t="n"/>
    </row>
    <row r="13721" ht="14.25" customHeight="1" s="192">
      <c r="W13721" s="235" t="n"/>
      <c r="X13721" s="235" t="n"/>
    </row>
    <row r="13722" ht="14.25" customHeight="1" s="192">
      <c r="W13722" s="228" t="n"/>
      <c r="X13722" s="228" t="n"/>
    </row>
    <row r="13723" ht="14.25" customHeight="1" s="192">
      <c r="W13723" s="235" t="n"/>
      <c r="X13723" s="235" t="n"/>
    </row>
    <row r="13724" ht="14.25" customHeight="1" s="192">
      <c r="W13724" s="235" t="n"/>
      <c r="X13724" s="235" t="n"/>
    </row>
    <row r="13725" ht="14.25" customHeight="1" s="192">
      <c r="W13725" s="235" t="n"/>
      <c r="X13725" s="235" t="n"/>
    </row>
    <row r="13726" ht="14.25" customHeight="1" s="192">
      <c r="W13726" s="239" t="n"/>
      <c r="X13726" s="239" t="n"/>
    </row>
    <row r="13727" ht="14.25" customHeight="1" s="192">
      <c r="W13727" s="239" t="n"/>
      <c r="X13727" s="239" t="n"/>
    </row>
    <row r="13728" ht="14.25" customHeight="1" s="192">
      <c r="W13728" s="239" t="n"/>
      <c r="X13728" s="239" t="n"/>
    </row>
    <row r="13729" ht="14.25" customHeight="1" s="192">
      <c r="W13729" s="235" t="n"/>
      <c r="X13729" s="235" t="n"/>
    </row>
    <row r="13730" ht="14.25" customHeight="1" s="192">
      <c r="W13730" s="235" t="n"/>
      <c r="X13730" s="235" t="n"/>
    </row>
    <row r="13731" ht="14.25" customHeight="1" s="192">
      <c r="W13731" s="235" t="n"/>
      <c r="X13731" s="235" t="n"/>
    </row>
    <row r="13732" ht="14.25" customHeight="1" s="192">
      <c r="W13732" s="239" t="n"/>
      <c r="X13732" s="239" t="n"/>
    </row>
    <row r="13733" ht="14.25" customHeight="1" s="192">
      <c r="W13733" s="239" t="n"/>
      <c r="X13733" s="239" t="n"/>
    </row>
    <row r="13734" ht="14.25" customHeight="1" s="192">
      <c r="W13734" s="235" t="n"/>
      <c r="X13734" s="235" t="n"/>
    </row>
    <row r="13735" ht="14.25" customHeight="1" s="192">
      <c r="W13735" s="235" t="n"/>
      <c r="X13735" s="235" t="n"/>
    </row>
    <row r="13736" ht="14.25" customHeight="1" s="192">
      <c r="W13736" s="239" t="n"/>
      <c r="X13736" s="239" t="n"/>
    </row>
    <row r="13737" ht="14.25" customHeight="1" s="192">
      <c r="W13737" s="235" t="n"/>
      <c r="X13737" s="235" t="n"/>
    </row>
    <row r="13738" ht="14.25" customHeight="1" s="192">
      <c r="W13738" s="239" t="n"/>
      <c r="X13738" s="239" t="n"/>
    </row>
    <row r="13740" ht="14.25" customHeight="1" s="192">
      <c r="W13740" s="235" t="n"/>
      <c r="X13740" s="235" t="n"/>
    </row>
    <row r="13741" ht="15" customHeight="1" s="192" thickBot="1">
      <c r="W13741" s="239" t="n"/>
      <c r="X13741" s="239" t="n"/>
    </row>
    <row r="13742" ht="15" customHeight="1" s="192" thickBot="1">
      <c r="W13742" s="45" t="n"/>
      <c r="X13742" s="45" t="n"/>
    </row>
    <row r="13743" ht="14.25" customHeight="1" s="192">
      <c r="W13743" s="228" t="n"/>
      <c r="X13743" s="228" t="n"/>
    </row>
    <row r="13744" ht="14.25" customHeight="1" s="192">
      <c r="W13744" s="228" t="n"/>
      <c r="X13744" s="228" t="n"/>
    </row>
    <row r="13745" ht="14.25" customHeight="1" s="192">
      <c r="W13745" s="231" t="n"/>
      <c r="X13745" s="231" t="n"/>
    </row>
    <row r="13746" ht="14.25" customHeight="1" s="192">
      <c r="W13746" s="33" t="n"/>
      <c r="X13746" s="33" t="n"/>
    </row>
    <row r="13747" ht="14.25" customHeight="1" s="192">
      <c r="W13747" s="231" t="n"/>
      <c r="X13747" s="231" t="n"/>
    </row>
    <row r="13748" ht="14.25" customHeight="1" s="192">
      <c r="W13748" s="33" t="n"/>
      <c r="X13748" s="33" t="n"/>
    </row>
    <row r="13750" ht="14.25" customHeight="1" s="192">
      <c r="W13750" s="231" t="n"/>
      <c r="X13750" s="231" t="n"/>
    </row>
    <row r="13751" ht="14.25" customHeight="1" s="192">
      <c r="W13751" s="235" t="n"/>
      <c r="X13751" s="235" t="n"/>
    </row>
    <row r="13752" ht="14.25" customHeight="1" s="192">
      <c r="W13752" s="228" t="n"/>
      <c r="X13752" s="228" t="n"/>
    </row>
    <row r="13753" ht="14.25" customHeight="1" s="192">
      <c r="W13753" s="235" t="n"/>
      <c r="X13753" s="235" t="n"/>
    </row>
    <row r="13754" ht="14.25" customHeight="1" s="192">
      <c r="W13754" s="235" t="n"/>
      <c r="X13754" s="235" t="n"/>
    </row>
    <row r="13755" ht="14.25" customHeight="1" s="192">
      <c r="W13755" s="235" t="n"/>
      <c r="X13755" s="235" t="n"/>
    </row>
    <row r="13756" ht="14.25" customHeight="1" s="192">
      <c r="W13756" s="239" t="n"/>
      <c r="X13756" s="239" t="n"/>
    </row>
    <row r="13757" ht="14.25" customHeight="1" s="192">
      <c r="W13757" s="239" t="n"/>
      <c r="X13757" s="239" t="n"/>
    </row>
    <row r="13758" ht="14.25" customHeight="1" s="192">
      <c r="W13758" s="239" t="n"/>
      <c r="X13758" s="239" t="n"/>
    </row>
    <row r="13759" ht="14.25" customHeight="1" s="192">
      <c r="W13759" s="235" t="n"/>
      <c r="X13759" s="235" t="n"/>
    </row>
    <row r="13760" ht="14.25" customHeight="1" s="192">
      <c r="W13760" s="235" t="n"/>
      <c r="X13760" s="235" t="n"/>
    </row>
    <row r="13761" ht="14.25" customHeight="1" s="192">
      <c r="W13761" s="235" t="n"/>
      <c r="X13761" s="235" t="n"/>
    </row>
    <row r="13762" ht="14.25" customHeight="1" s="192">
      <c r="W13762" s="239" t="n"/>
      <c r="X13762" s="239" t="n"/>
    </row>
    <row r="13763" ht="14.25" customHeight="1" s="192">
      <c r="W13763" s="239" t="n"/>
      <c r="X13763" s="239" t="n"/>
    </row>
    <row r="13764" ht="14.25" customHeight="1" s="192">
      <c r="W13764" s="235" t="n"/>
      <c r="X13764" s="235" t="n"/>
    </row>
    <row r="13765" ht="14.25" customHeight="1" s="192">
      <c r="W13765" s="235" t="n"/>
      <c r="X13765" s="235" t="n"/>
    </row>
    <row r="13766" ht="14.25" customHeight="1" s="192">
      <c r="W13766" s="239" t="n"/>
      <c r="X13766" s="239" t="n"/>
    </row>
    <row r="13767" ht="14.25" customHeight="1" s="192">
      <c r="W13767" s="235" t="n"/>
      <c r="X13767" s="235" t="n"/>
    </row>
    <row r="13768" ht="14.25" customHeight="1" s="192">
      <c r="W13768" s="239" t="n"/>
      <c r="X13768" s="239" t="n"/>
    </row>
    <row r="13770" ht="14.25" customHeight="1" s="192">
      <c r="W13770" s="235" t="n"/>
      <c r="X13770" s="235" t="n"/>
    </row>
    <row r="13771" ht="15" customHeight="1" s="192" thickBot="1">
      <c r="W13771" s="239" t="n"/>
      <c r="X13771" s="239" t="n"/>
    </row>
    <row r="13772" ht="15" customHeight="1" s="192" thickBot="1">
      <c r="W13772" s="45" t="n"/>
      <c r="X13772" s="45" t="n"/>
    </row>
    <row r="13773" ht="14.25" customHeight="1" s="192">
      <c r="W13773" s="228" t="n"/>
      <c r="X13773" s="228" t="n"/>
    </row>
    <row r="13774" ht="14.25" customHeight="1" s="192">
      <c r="W13774" s="228" t="n"/>
      <c r="X13774" s="228" t="n"/>
    </row>
    <row r="13775" ht="14.25" customHeight="1" s="192">
      <c r="W13775" s="231" t="n"/>
      <c r="X13775" s="231" t="n"/>
    </row>
    <row r="13776" ht="14.25" customHeight="1" s="192">
      <c r="W13776" s="33" t="n"/>
      <c r="X13776" s="33" t="n"/>
    </row>
    <row r="13777" ht="14.25" customHeight="1" s="192">
      <c r="W13777" s="231" t="n"/>
      <c r="X13777" s="231" t="n"/>
    </row>
    <row r="13778" ht="14.25" customHeight="1" s="192">
      <c r="W13778" s="33" t="n"/>
      <c r="X13778" s="33" t="n"/>
    </row>
    <row r="13780" ht="14.25" customHeight="1" s="192">
      <c r="W13780" s="231" t="n"/>
      <c r="X13780" s="231" t="n"/>
    </row>
    <row r="13781" ht="14.25" customHeight="1" s="192">
      <c r="W13781" s="235" t="n"/>
      <c r="X13781" s="235" t="n"/>
    </row>
    <row r="13782" ht="14.25" customHeight="1" s="192">
      <c r="W13782" s="228" t="n"/>
      <c r="X13782" s="228" t="n"/>
    </row>
    <row r="13783" ht="14.25" customHeight="1" s="192">
      <c r="W13783" s="235" t="n"/>
      <c r="X13783" s="235" t="n"/>
    </row>
    <row r="13784" ht="14.25" customHeight="1" s="192">
      <c r="W13784" s="235" t="n"/>
      <c r="X13784" s="235" t="n"/>
    </row>
    <row r="13785" ht="14.25" customHeight="1" s="192">
      <c r="W13785" s="235" t="n"/>
      <c r="X13785" s="235" t="n"/>
    </row>
    <row r="13786" ht="14.25" customHeight="1" s="192">
      <c r="W13786" s="239" t="n"/>
      <c r="X13786" s="239" t="n"/>
    </row>
    <row r="13787" ht="14.25" customHeight="1" s="192">
      <c r="W13787" s="239" t="n"/>
      <c r="X13787" s="239" t="n"/>
    </row>
    <row r="13788" ht="14.25" customHeight="1" s="192">
      <c r="W13788" s="239" t="n"/>
      <c r="X13788" s="239" t="n"/>
    </row>
    <row r="13789" ht="14.25" customHeight="1" s="192">
      <c r="W13789" s="235" t="n"/>
      <c r="X13789" s="235" t="n"/>
    </row>
    <row r="13790" ht="14.25" customHeight="1" s="192">
      <c r="W13790" s="235" t="n"/>
      <c r="X13790" s="235" t="n"/>
    </row>
    <row r="13791" ht="14.25" customHeight="1" s="192">
      <c r="W13791" s="235" t="n"/>
      <c r="X13791" s="235" t="n"/>
    </row>
    <row r="13792" ht="14.25" customHeight="1" s="192">
      <c r="W13792" s="239" t="n"/>
      <c r="X13792" s="239" t="n"/>
    </row>
    <row r="13793" ht="14.25" customHeight="1" s="192">
      <c r="W13793" s="239" t="n"/>
      <c r="X13793" s="239" t="n"/>
    </row>
    <row r="13794" ht="14.25" customHeight="1" s="192">
      <c r="W13794" s="235" t="n"/>
      <c r="X13794" s="235" t="n"/>
    </row>
    <row r="13795" ht="14.25" customHeight="1" s="192">
      <c r="W13795" s="235" t="n"/>
      <c r="X13795" s="235" t="n"/>
    </row>
    <row r="13796" ht="14.25" customHeight="1" s="192">
      <c r="W13796" s="239" t="n"/>
      <c r="X13796" s="239" t="n"/>
    </row>
    <row r="13797" ht="14.25" customHeight="1" s="192">
      <c r="W13797" s="235" t="n"/>
      <c r="X13797" s="235" t="n"/>
    </row>
    <row r="13798" ht="14.25" customHeight="1" s="192">
      <c r="W13798" s="239" t="n"/>
      <c r="X13798" s="239" t="n"/>
    </row>
    <row r="13800" ht="14.25" customHeight="1" s="192">
      <c r="W13800" s="235" t="n"/>
      <c r="X13800" s="235" t="n"/>
    </row>
    <row r="13801" ht="15" customHeight="1" s="192" thickBot="1">
      <c r="W13801" s="239" t="n"/>
      <c r="X13801" s="239" t="n"/>
    </row>
    <row r="13802" ht="15" customHeight="1" s="192" thickBot="1">
      <c r="W13802" s="45" t="n"/>
      <c r="X13802" s="45" t="n"/>
    </row>
    <row r="13803" ht="14.25" customHeight="1" s="192">
      <c r="W13803" s="228" t="n"/>
      <c r="X13803" s="228" t="n"/>
    </row>
    <row r="13804" ht="14.25" customHeight="1" s="192">
      <c r="W13804" s="228" t="n"/>
      <c r="X13804" s="228" t="n"/>
    </row>
    <row r="13805" ht="14.25" customHeight="1" s="192">
      <c r="W13805" s="231" t="n"/>
      <c r="X13805" s="231" t="n"/>
    </row>
    <row r="13806" ht="14.25" customHeight="1" s="192">
      <c r="W13806" s="33" t="n"/>
      <c r="X13806" s="33" t="n"/>
    </row>
    <row r="13807" ht="14.25" customHeight="1" s="192">
      <c r="W13807" s="231" t="n"/>
      <c r="X13807" s="231" t="n"/>
    </row>
    <row r="13808" ht="14.25" customHeight="1" s="192">
      <c r="W13808" s="33" t="n"/>
      <c r="X13808" s="33" t="n"/>
    </row>
    <row r="13810" ht="14.25" customHeight="1" s="192">
      <c r="W13810" s="231" t="n"/>
      <c r="X13810" s="231" t="n"/>
    </row>
    <row r="13811" ht="14.25" customHeight="1" s="192">
      <c r="W13811" s="235" t="n"/>
      <c r="X13811" s="235" t="n"/>
    </row>
    <row r="13812" ht="14.25" customHeight="1" s="192">
      <c r="W13812" s="228" t="n"/>
      <c r="X13812" s="228" t="n"/>
    </row>
    <row r="13813" ht="14.25" customHeight="1" s="192">
      <c r="W13813" s="235" t="n"/>
      <c r="X13813" s="235" t="n"/>
    </row>
    <row r="13814" ht="14.25" customHeight="1" s="192">
      <c r="W13814" s="235" t="n"/>
      <c r="X13814" s="235" t="n"/>
    </row>
    <row r="13815" ht="14.25" customHeight="1" s="192">
      <c r="W13815" s="235" t="n"/>
      <c r="X13815" s="235" t="n"/>
    </row>
    <row r="13816" ht="14.25" customHeight="1" s="192">
      <c r="W13816" s="239" t="n"/>
      <c r="X13816" s="239" t="n"/>
    </row>
    <row r="13817" ht="14.25" customHeight="1" s="192">
      <c r="W13817" s="239" t="n"/>
      <c r="X13817" s="239" t="n"/>
    </row>
    <row r="13818" ht="14.25" customHeight="1" s="192">
      <c r="W13818" s="239" t="n"/>
      <c r="X13818" s="239" t="n"/>
    </row>
    <row r="13819" ht="14.25" customHeight="1" s="192">
      <c r="W13819" s="235" t="n"/>
      <c r="X13819" s="235" t="n"/>
    </row>
    <row r="13820" ht="14.25" customHeight="1" s="192">
      <c r="W13820" s="235" t="n"/>
      <c r="X13820" s="235" t="n"/>
    </row>
    <row r="13821" ht="14.25" customHeight="1" s="192">
      <c r="W13821" s="235" t="n"/>
      <c r="X13821" s="235" t="n"/>
    </row>
    <row r="13822" ht="14.25" customHeight="1" s="192">
      <c r="W13822" s="239" t="n"/>
      <c r="X13822" s="239" t="n"/>
    </row>
    <row r="13823" ht="14.25" customHeight="1" s="192">
      <c r="W13823" s="239" t="n"/>
      <c r="X13823" s="239" t="n"/>
    </row>
    <row r="13824" ht="14.25" customHeight="1" s="192">
      <c r="W13824" s="235" t="n"/>
      <c r="X13824" s="235" t="n"/>
    </row>
    <row r="13825" ht="14.25" customHeight="1" s="192">
      <c r="W13825" s="235" t="n"/>
      <c r="X13825" s="235" t="n"/>
    </row>
    <row r="13826" ht="14.25" customHeight="1" s="192">
      <c r="W13826" s="239" t="n"/>
      <c r="X13826" s="239" t="n"/>
    </row>
    <row r="13827" ht="14.25" customHeight="1" s="192">
      <c r="W13827" s="235" t="n"/>
      <c r="X13827" s="235" t="n"/>
    </row>
    <row r="13828" ht="14.25" customHeight="1" s="192">
      <c r="W13828" s="239" t="n"/>
      <c r="X13828" s="239" t="n"/>
    </row>
    <row r="13830" ht="14.25" customHeight="1" s="192">
      <c r="W13830" s="235" t="n"/>
      <c r="X13830" s="235" t="n"/>
    </row>
    <row r="13831" ht="15" customHeight="1" s="192" thickBot="1">
      <c r="W13831" s="239" t="n"/>
      <c r="X13831" s="239" t="n"/>
    </row>
    <row r="13832" ht="15" customHeight="1" s="192" thickBot="1">
      <c r="W13832" s="45" t="n"/>
      <c r="X13832" s="45" t="n"/>
    </row>
    <row r="13833" ht="14.25" customHeight="1" s="192">
      <c r="W13833" s="228" t="n"/>
      <c r="X13833" s="228" t="n"/>
    </row>
    <row r="13834" ht="14.25" customHeight="1" s="192">
      <c r="W13834" s="228" t="n"/>
      <c r="X13834" s="228" t="n"/>
    </row>
    <row r="13835" ht="14.25" customHeight="1" s="192">
      <c r="W13835" s="231" t="n"/>
      <c r="X13835" s="231" t="n"/>
    </row>
    <row r="13836" ht="14.25" customHeight="1" s="192">
      <c r="W13836" s="33" t="n"/>
      <c r="X13836" s="33" t="n"/>
    </row>
    <row r="13837" ht="14.25" customHeight="1" s="192">
      <c r="W13837" s="231" t="n"/>
      <c r="X13837" s="231" t="n"/>
    </row>
    <row r="13838" ht="14.25" customHeight="1" s="192">
      <c r="W13838" s="33" t="n"/>
      <c r="X13838" s="33" t="n"/>
    </row>
    <row r="13840" ht="14.25" customHeight="1" s="192">
      <c r="W13840" s="231" t="n"/>
      <c r="X13840" s="231" t="n"/>
    </row>
    <row r="13841" ht="14.25" customHeight="1" s="192">
      <c r="W13841" s="235" t="n"/>
      <c r="X13841" s="235" t="n"/>
    </row>
    <row r="13842" ht="14.25" customHeight="1" s="192">
      <c r="W13842" s="228" t="n"/>
      <c r="X13842" s="228" t="n"/>
    </row>
    <row r="13843" ht="14.25" customHeight="1" s="192">
      <c r="W13843" s="235" t="n"/>
      <c r="X13843" s="235" t="n"/>
    </row>
    <row r="13844" ht="14.25" customHeight="1" s="192">
      <c r="W13844" s="235" t="n"/>
      <c r="X13844" s="235" t="n"/>
    </row>
    <row r="13845" ht="14.25" customHeight="1" s="192">
      <c r="W13845" s="235" t="n"/>
      <c r="X13845" s="235" t="n"/>
    </row>
    <row r="13846" ht="14.25" customHeight="1" s="192">
      <c r="W13846" s="239" t="n"/>
      <c r="X13846" s="239" t="n"/>
    </row>
    <row r="13847" ht="14.25" customHeight="1" s="192">
      <c r="W13847" s="239" t="n"/>
      <c r="X13847" s="239" t="n"/>
    </row>
    <row r="13848" ht="14.25" customHeight="1" s="192">
      <c r="W13848" s="239" t="n"/>
      <c r="X13848" s="239" t="n"/>
    </row>
    <row r="13849" ht="14.25" customHeight="1" s="192">
      <c r="W13849" s="235" t="n"/>
      <c r="X13849" s="235" t="n"/>
    </row>
    <row r="13850" ht="14.25" customHeight="1" s="192">
      <c r="W13850" s="235" t="n"/>
      <c r="X13850" s="235" t="n"/>
    </row>
    <row r="13851" ht="14.25" customHeight="1" s="192">
      <c r="W13851" s="235" t="n"/>
      <c r="X13851" s="235" t="n"/>
    </row>
    <row r="13852" ht="14.25" customHeight="1" s="192">
      <c r="W13852" s="239" t="n"/>
      <c r="X13852" s="239" t="n"/>
    </row>
    <row r="13853" ht="14.25" customHeight="1" s="192">
      <c r="W13853" s="239" t="n"/>
      <c r="X13853" s="239" t="n"/>
    </row>
    <row r="13854" ht="14.25" customHeight="1" s="192">
      <c r="W13854" s="235" t="n"/>
      <c r="X13854" s="235" t="n"/>
    </row>
    <row r="13855" ht="14.25" customHeight="1" s="192">
      <c r="W13855" s="235" t="n"/>
      <c r="X13855" s="235" t="n"/>
    </row>
    <row r="13856" ht="14.25" customHeight="1" s="192">
      <c r="W13856" s="239" t="n"/>
      <c r="X13856" s="239" t="n"/>
    </row>
    <row r="13857" ht="14.25" customHeight="1" s="192">
      <c r="W13857" s="235" t="n"/>
      <c r="X13857" s="235" t="n"/>
    </row>
    <row r="13858" ht="14.25" customHeight="1" s="192">
      <c r="W13858" s="239" t="n"/>
      <c r="X13858" s="239" t="n"/>
    </row>
    <row r="13860" ht="14.25" customHeight="1" s="192">
      <c r="W13860" s="235" t="n"/>
      <c r="X13860" s="235" t="n"/>
    </row>
    <row r="13861" ht="15" customHeight="1" s="192" thickBot="1">
      <c r="W13861" s="239" t="n"/>
      <c r="X13861" s="239" t="n"/>
    </row>
    <row r="13862" ht="15" customHeight="1" s="192" thickBot="1">
      <c r="W13862" s="45" t="n"/>
      <c r="X13862" s="45" t="n"/>
    </row>
    <row r="13863" ht="14.25" customHeight="1" s="192">
      <c r="W13863" s="228" t="n"/>
      <c r="X13863" s="228" t="n"/>
    </row>
    <row r="13864" ht="14.25" customHeight="1" s="192">
      <c r="W13864" s="228" t="n"/>
      <c r="X13864" s="228" t="n"/>
    </row>
    <row r="13865" ht="14.25" customHeight="1" s="192">
      <c r="W13865" s="231" t="n"/>
      <c r="X13865" s="231" t="n"/>
    </row>
    <row r="13866" ht="14.25" customHeight="1" s="192">
      <c r="W13866" s="33" t="n"/>
      <c r="X13866" s="33" t="n"/>
    </row>
    <row r="13867" ht="14.25" customHeight="1" s="192">
      <c r="W13867" s="231" t="n"/>
      <c r="X13867" s="231" t="n"/>
    </row>
    <row r="13868" ht="14.25" customHeight="1" s="192">
      <c r="W13868" s="33" t="n"/>
      <c r="X13868" s="33" t="n"/>
    </row>
    <row r="13870" ht="14.25" customHeight="1" s="192">
      <c r="W13870" s="231" t="n"/>
      <c r="X13870" s="231" t="n"/>
    </row>
    <row r="13871" ht="14.25" customHeight="1" s="192">
      <c r="W13871" s="235" t="n"/>
      <c r="X13871" s="235" t="n"/>
    </row>
    <row r="13872" ht="14.25" customHeight="1" s="192">
      <c r="W13872" s="228" t="n"/>
      <c r="X13872" s="228" t="n"/>
    </row>
    <row r="13873" ht="14.25" customHeight="1" s="192">
      <c r="W13873" s="235" t="n"/>
      <c r="X13873" s="235" t="n"/>
    </row>
    <row r="13874" ht="14.25" customHeight="1" s="192">
      <c r="W13874" s="235" t="n"/>
      <c r="X13874" s="235" t="n"/>
    </row>
    <row r="13875" ht="14.25" customHeight="1" s="192">
      <c r="W13875" s="235" t="n"/>
      <c r="X13875" s="235" t="n"/>
    </row>
    <row r="13876" ht="14.25" customHeight="1" s="192">
      <c r="W13876" s="239" t="n"/>
      <c r="X13876" s="239" t="n"/>
    </row>
    <row r="13877" ht="14.25" customHeight="1" s="192">
      <c r="W13877" s="239" t="n"/>
      <c r="X13877" s="239" t="n"/>
    </row>
    <row r="13878" ht="14.25" customHeight="1" s="192">
      <c r="W13878" s="239" t="n"/>
      <c r="X13878" s="239" t="n"/>
    </row>
    <row r="13879" ht="14.25" customHeight="1" s="192">
      <c r="W13879" s="235" t="n"/>
      <c r="X13879" s="235" t="n"/>
    </row>
    <row r="13880" ht="14.25" customHeight="1" s="192">
      <c r="W13880" s="235" t="n"/>
      <c r="X13880" s="235" t="n"/>
    </row>
    <row r="13881" ht="14.25" customHeight="1" s="192">
      <c r="W13881" s="235" t="n"/>
      <c r="X13881" s="235" t="n"/>
    </row>
    <row r="13882" ht="14.25" customHeight="1" s="192">
      <c r="W13882" s="239" t="n"/>
      <c r="X13882" s="239" t="n"/>
    </row>
    <row r="13883" ht="14.25" customHeight="1" s="192">
      <c r="W13883" s="239" t="n"/>
      <c r="X13883" s="239" t="n"/>
    </row>
    <row r="13884" ht="14.25" customHeight="1" s="192">
      <c r="W13884" s="235" t="n"/>
      <c r="X13884" s="235" t="n"/>
    </row>
    <row r="13885" ht="14.25" customHeight="1" s="192">
      <c r="W13885" s="235" t="n"/>
      <c r="X13885" s="235" t="n"/>
    </row>
    <row r="13886" ht="14.25" customHeight="1" s="192">
      <c r="W13886" s="239" t="n"/>
      <c r="X13886" s="239" t="n"/>
    </row>
    <row r="13887" ht="14.25" customHeight="1" s="192">
      <c r="W13887" s="235" t="n"/>
      <c r="X13887" s="235" t="n"/>
    </row>
    <row r="13888" ht="14.25" customHeight="1" s="192">
      <c r="W13888" s="239" t="n"/>
      <c r="X13888" s="239" t="n"/>
    </row>
    <row r="13890" ht="14.25" customHeight="1" s="192">
      <c r="W13890" s="235" t="n"/>
      <c r="X13890" s="235" t="n"/>
    </row>
    <row r="13891" ht="15" customHeight="1" s="192" thickBot="1">
      <c r="W13891" s="239" t="n"/>
      <c r="X13891" s="239" t="n"/>
    </row>
    <row r="13892" ht="15" customHeight="1" s="192" thickBot="1">
      <c r="W13892" s="45" t="n"/>
      <c r="X13892" s="45" t="n"/>
    </row>
    <row r="13893" ht="14.25" customHeight="1" s="192">
      <c r="W13893" s="228" t="n"/>
      <c r="X13893" s="228" t="n"/>
    </row>
    <row r="13894" ht="14.25" customHeight="1" s="192">
      <c r="W13894" s="228" t="n"/>
      <c r="X13894" s="228" t="n"/>
    </row>
    <row r="13895" ht="14.25" customHeight="1" s="192">
      <c r="W13895" s="231" t="n"/>
      <c r="X13895" s="231" t="n"/>
    </row>
    <row r="13896" ht="14.25" customHeight="1" s="192">
      <c r="W13896" s="33" t="n"/>
      <c r="X13896" s="33" t="n"/>
    </row>
    <row r="13897" ht="14.25" customHeight="1" s="192">
      <c r="W13897" s="231" t="n"/>
      <c r="X13897" s="231" t="n"/>
    </row>
    <row r="13898" ht="14.25" customHeight="1" s="192">
      <c r="W13898" s="33" t="n"/>
      <c r="X13898" s="33" t="n"/>
    </row>
    <row r="13900" ht="14.25" customHeight="1" s="192">
      <c r="W13900" s="231" t="n"/>
      <c r="X13900" s="231" t="n"/>
    </row>
    <row r="13901" ht="14.25" customHeight="1" s="192">
      <c r="W13901" s="235" t="n"/>
      <c r="X13901" s="235" t="n"/>
    </row>
    <row r="13902" ht="14.25" customHeight="1" s="192">
      <c r="W13902" s="228" t="n"/>
      <c r="X13902" s="228" t="n"/>
    </row>
    <row r="13903" ht="14.25" customHeight="1" s="192">
      <c r="W13903" s="235" t="n"/>
      <c r="X13903" s="235" t="n"/>
    </row>
    <row r="13904" ht="14.25" customHeight="1" s="192">
      <c r="W13904" s="235" t="n"/>
      <c r="X13904" s="235" t="n"/>
    </row>
    <row r="13905" ht="14.25" customHeight="1" s="192">
      <c r="W13905" s="235" t="n"/>
      <c r="X13905" s="235" t="n"/>
    </row>
    <row r="13906" ht="14.25" customHeight="1" s="192">
      <c r="W13906" s="239" t="n"/>
      <c r="X13906" s="239" t="n"/>
    </row>
    <row r="13907" ht="14.25" customHeight="1" s="192">
      <c r="W13907" s="239" t="n"/>
      <c r="X13907" s="239" t="n"/>
    </row>
    <row r="13908" ht="14.25" customHeight="1" s="192">
      <c r="W13908" s="239" t="n"/>
      <c r="X13908" s="239" t="n"/>
    </row>
    <row r="13909" ht="14.25" customHeight="1" s="192">
      <c r="W13909" s="235" t="n"/>
      <c r="X13909" s="235" t="n"/>
    </row>
    <row r="13910" ht="14.25" customHeight="1" s="192">
      <c r="W13910" s="235" t="n"/>
      <c r="X13910" s="235" t="n"/>
    </row>
    <row r="13911" ht="14.25" customHeight="1" s="192">
      <c r="W13911" s="235" t="n"/>
      <c r="X13911" s="235" t="n"/>
    </row>
    <row r="13912" ht="14.25" customHeight="1" s="192">
      <c r="W13912" s="239" t="n"/>
      <c r="X13912" s="239" t="n"/>
    </row>
    <row r="13913" ht="14.25" customHeight="1" s="192">
      <c r="W13913" s="239" t="n"/>
      <c r="X13913" s="239" t="n"/>
    </row>
    <row r="13914" ht="14.25" customHeight="1" s="192">
      <c r="W13914" s="235" t="n"/>
      <c r="X13914" s="235" t="n"/>
    </row>
    <row r="13915" ht="14.25" customHeight="1" s="192">
      <c r="W13915" s="235" t="n"/>
      <c r="X13915" s="235" t="n"/>
    </row>
    <row r="13916" ht="14.25" customHeight="1" s="192">
      <c r="W13916" s="239" t="n"/>
      <c r="X13916" s="239" t="n"/>
    </row>
    <row r="13917" ht="14.25" customHeight="1" s="192">
      <c r="W13917" s="235" t="n"/>
      <c r="X13917" s="235" t="n"/>
    </row>
    <row r="13918" ht="14.25" customHeight="1" s="192">
      <c r="W13918" s="239" t="n"/>
      <c r="X13918" s="239" t="n"/>
    </row>
    <row r="13920" ht="14.25" customHeight="1" s="192">
      <c r="W13920" s="235" t="n"/>
      <c r="X13920" s="235" t="n"/>
    </row>
    <row r="13921" ht="15" customHeight="1" s="192" thickBot="1">
      <c r="W13921" s="239" t="n"/>
      <c r="X13921" s="239" t="n"/>
    </row>
    <row r="13922" ht="15" customHeight="1" s="192" thickBot="1">
      <c r="W13922" s="45" t="n"/>
      <c r="X13922" s="45" t="n"/>
    </row>
    <row r="13923" ht="14.25" customHeight="1" s="192">
      <c r="W13923" s="228" t="n"/>
      <c r="X13923" s="228" t="n"/>
    </row>
    <row r="13924" ht="14.25" customHeight="1" s="192">
      <c r="W13924" s="228" t="n"/>
      <c r="X13924" s="228" t="n"/>
    </row>
    <row r="13925" ht="14.25" customHeight="1" s="192">
      <c r="W13925" s="231" t="n"/>
      <c r="X13925" s="231" t="n"/>
    </row>
    <row r="13926" ht="14.25" customHeight="1" s="192">
      <c r="W13926" s="33" t="n"/>
      <c r="X13926" s="33" t="n"/>
    </row>
    <row r="13927" ht="14.25" customHeight="1" s="192">
      <c r="W13927" s="231" t="n"/>
      <c r="X13927" s="231" t="n"/>
    </row>
    <row r="13928" ht="14.25" customHeight="1" s="192">
      <c r="W13928" s="33" t="n"/>
      <c r="X13928" s="33" t="n"/>
    </row>
    <row r="13930" ht="14.25" customHeight="1" s="192">
      <c r="W13930" s="231" t="n"/>
      <c r="X13930" s="231" t="n"/>
    </row>
    <row r="13931" ht="14.25" customHeight="1" s="192">
      <c r="W13931" s="235" t="n"/>
      <c r="X13931" s="235" t="n"/>
    </row>
    <row r="13932" ht="14.25" customHeight="1" s="192">
      <c r="W13932" s="228" t="n"/>
      <c r="X13932" s="228" t="n"/>
    </row>
    <row r="13933" ht="14.25" customHeight="1" s="192">
      <c r="W13933" s="235" t="n"/>
      <c r="X13933" s="235" t="n"/>
    </row>
    <row r="13934" ht="14.25" customHeight="1" s="192">
      <c r="W13934" s="235" t="n"/>
      <c r="X13934" s="235" t="n"/>
    </row>
    <row r="13935" ht="14.25" customHeight="1" s="192">
      <c r="W13935" s="235" t="n"/>
      <c r="X13935" s="235" t="n"/>
    </row>
    <row r="13936" ht="14.25" customHeight="1" s="192">
      <c r="W13936" s="239" t="n"/>
      <c r="X13936" s="239" t="n"/>
    </row>
    <row r="13937" ht="14.25" customHeight="1" s="192">
      <c r="W13937" s="239" t="n"/>
      <c r="X13937" s="239" t="n"/>
    </row>
    <row r="13938" ht="14.25" customHeight="1" s="192">
      <c r="W13938" s="239" t="n"/>
      <c r="X13938" s="239" t="n"/>
    </row>
    <row r="13939" ht="14.25" customHeight="1" s="192">
      <c r="W13939" s="235" t="n"/>
      <c r="X13939" s="235" t="n"/>
    </row>
    <row r="13940" ht="14.25" customHeight="1" s="192">
      <c r="W13940" s="235" t="n"/>
      <c r="X13940" s="235" t="n"/>
    </row>
    <row r="13941" ht="14.25" customHeight="1" s="192">
      <c r="W13941" s="235" t="n"/>
      <c r="X13941" s="235" t="n"/>
    </row>
    <row r="13942" ht="14.25" customHeight="1" s="192">
      <c r="W13942" s="239" t="n"/>
      <c r="X13942" s="239" t="n"/>
    </row>
    <row r="13943" ht="14.25" customHeight="1" s="192">
      <c r="W13943" s="239" t="n"/>
      <c r="X13943" s="239" t="n"/>
    </row>
    <row r="13944" ht="14.25" customHeight="1" s="192">
      <c r="W13944" s="235" t="n"/>
      <c r="X13944" s="235" t="n"/>
    </row>
    <row r="13945" ht="14.25" customHeight="1" s="192">
      <c r="W13945" s="235" t="n"/>
      <c r="X13945" s="235" t="n"/>
    </row>
    <row r="13946" ht="14.25" customHeight="1" s="192">
      <c r="W13946" s="239" t="n"/>
      <c r="X13946" s="239" t="n"/>
    </row>
    <row r="13947" ht="14.25" customHeight="1" s="192">
      <c r="W13947" s="235" t="n"/>
      <c r="X13947" s="235" t="n"/>
    </row>
    <row r="13948" ht="14.25" customHeight="1" s="192">
      <c r="W13948" s="239" t="n"/>
      <c r="X13948" s="239" t="n"/>
    </row>
    <row r="13950" ht="14.25" customHeight="1" s="192">
      <c r="W13950" s="235" t="n"/>
      <c r="X13950" s="235" t="n"/>
    </row>
    <row r="13951" ht="15" customHeight="1" s="192" thickBot="1">
      <c r="W13951" s="239" t="n"/>
      <c r="X13951" s="239" t="n"/>
    </row>
    <row r="13952" ht="15" customHeight="1" s="192" thickBot="1">
      <c r="W13952" s="45" t="n"/>
      <c r="X13952" s="45" t="n"/>
    </row>
    <row r="13953" ht="14.25" customHeight="1" s="192">
      <c r="W13953" s="228" t="n"/>
      <c r="X13953" s="228" t="n"/>
    </row>
    <row r="13954" ht="14.25" customHeight="1" s="192">
      <c r="W13954" s="228" t="n"/>
      <c r="X13954" s="228" t="n"/>
    </row>
    <row r="13955" ht="14.25" customHeight="1" s="192">
      <c r="W13955" s="231" t="n"/>
      <c r="X13955" s="231" t="n"/>
    </row>
    <row r="13956" ht="14.25" customHeight="1" s="192">
      <c r="W13956" s="33" t="n"/>
      <c r="X13956" s="33" t="n"/>
    </row>
    <row r="13957" ht="14.25" customHeight="1" s="192">
      <c r="W13957" s="231" t="n"/>
      <c r="X13957" s="231" t="n"/>
    </row>
    <row r="13958" ht="14.25" customHeight="1" s="192">
      <c r="W13958" s="33" t="n"/>
      <c r="X13958" s="33" t="n"/>
    </row>
    <row r="13960" ht="14.25" customHeight="1" s="192">
      <c r="W13960" s="231" t="n"/>
      <c r="X13960" s="231" t="n"/>
    </row>
    <row r="13961" ht="14.25" customHeight="1" s="192">
      <c r="W13961" s="235" t="n"/>
      <c r="X13961" s="235" t="n"/>
    </row>
    <row r="13962" ht="14.25" customHeight="1" s="192">
      <c r="W13962" s="228" t="n"/>
      <c r="X13962" s="228" t="n"/>
    </row>
    <row r="13963" ht="14.25" customHeight="1" s="192">
      <c r="W13963" s="235" t="n"/>
      <c r="X13963" s="235" t="n"/>
    </row>
    <row r="13964" ht="14.25" customHeight="1" s="192">
      <c r="W13964" s="235" t="n"/>
      <c r="X13964" s="235" t="n"/>
    </row>
    <row r="13965" ht="14.25" customHeight="1" s="192">
      <c r="W13965" s="235" t="n"/>
      <c r="X13965" s="235" t="n"/>
    </row>
    <row r="13966" ht="14.25" customHeight="1" s="192">
      <c r="W13966" s="239" t="n"/>
      <c r="X13966" s="239" t="n"/>
    </row>
    <row r="13967" ht="14.25" customHeight="1" s="192">
      <c r="W13967" s="239" t="n"/>
      <c r="X13967" s="239" t="n"/>
    </row>
    <row r="13968" ht="14.25" customHeight="1" s="192">
      <c r="W13968" s="239" t="n"/>
      <c r="X13968" s="239" t="n"/>
    </row>
    <row r="13969" ht="14.25" customHeight="1" s="192">
      <c r="W13969" s="235" t="n"/>
      <c r="X13969" s="235" t="n"/>
    </row>
    <row r="13970" ht="14.25" customHeight="1" s="192">
      <c r="W13970" s="235" t="n"/>
      <c r="X13970" s="235" t="n"/>
    </row>
    <row r="13971" ht="14.25" customHeight="1" s="192">
      <c r="W13971" s="235" t="n"/>
      <c r="X13971" s="235" t="n"/>
    </row>
    <row r="13972" ht="14.25" customHeight="1" s="192">
      <c r="W13972" s="239" t="n"/>
      <c r="X13972" s="239" t="n"/>
    </row>
    <row r="13973" ht="14.25" customHeight="1" s="192">
      <c r="W13973" s="239" t="n"/>
      <c r="X13973" s="239" t="n"/>
    </row>
    <row r="13974" ht="14.25" customHeight="1" s="192">
      <c r="W13974" s="235" t="n"/>
      <c r="X13974" s="235" t="n"/>
    </row>
    <row r="13975" ht="14.25" customHeight="1" s="192">
      <c r="W13975" s="235" t="n"/>
      <c r="X13975" s="235" t="n"/>
    </row>
    <row r="13976" ht="14.25" customHeight="1" s="192">
      <c r="W13976" s="239" t="n"/>
      <c r="X13976" s="239" t="n"/>
    </row>
    <row r="13977" ht="14.25" customHeight="1" s="192">
      <c r="W13977" s="235" t="n"/>
      <c r="X13977" s="235" t="n"/>
    </row>
    <row r="13978" ht="14.25" customHeight="1" s="192">
      <c r="W13978" s="239" t="n"/>
      <c r="X13978" s="239" t="n"/>
    </row>
    <row r="13980" ht="14.25" customHeight="1" s="192">
      <c r="W13980" s="235" t="n"/>
      <c r="X13980" s="235" t="n"/>
    </row>
    <row r="13981" ht="15" customHeight="1" s="192" thickBot="1">
      <c r="W13981" s="239" t="n"/>
      <c r="X13981" s="239" t="n"/>
    </row>
    <row r="13982" ht="15" customHeight="1" s="192" thickBot="1">
      <c r="W13982" s="45" t="n"/>
      <c r="X13982" s="45" t="n"/>
    </row>
    <row r="13983" ht="14.25" customHeight="1" s="192">
      <c r="W13983" s="228" t="n"/>
      <c r="X13983" s="228" t="n"/>
    </row>
    <row r="13984" ht="14.25" customHeight="1" s="192">
      <c r="W13984" s="228" t="n"/>
      <c r="X13984" s="228" t="n"/>
    </row>
    <row r="13985" ht="14.25" customHeight="1" s="192">
      <c r="W13985" s="231" t="n"/>
      <c r="X13985" s="231" t="n"/>
    </row>
    <row r="13986" ht="14.25" customHeight="1" s="192">
      <c r="W13986" s="33" t="n"/>
      <c r="X13986" s="33" t="n"/>
    </row>
    <row r="13987" ht="14.25" customHeight="1" s="192">
      <c r="W13987" s="231" t="n"/>
      <c r="X13987" s="231" t="n"/>
    </row>
    <row r="13988" ht="14.25" customHeight="1" s="192">
      <c r="W13988" s="33" t="n"/>
      <c r="X13988" s="33" t="n"/>
    </row>
    <row r="13990" ht="14.25" customHeight="1" s="192">
      <c r="W13990" s="231" t="n"/>
      <c r="X13990" s="231" t="n"/>
    </row>
    <row r="13991" ht="14.25" customHeight="1" s="192">
      <c r="W13991" s="235" t="n"/>
      <c r="X13991" s="235" t="n"/>
    </row>
    <row r="13992" ht="14.25" customHeight="1" s="192">
      <c r="W13992" s="228" t="n"/>
      <c r="X13992" s="228" t="n"/>
    </row>
    <row r="13993" ht="14.25" customHeight="1" s="192">
      <c r="W13993" s="235" t="n"/>
      <c r="X13993" s="235" t="n"/>
    </row>
    <row r="13994" ht="14.25" customHeight="1" s="192">
      <c r="W13994" s="235" t="n"/>
      <c r="X13994" s="235" t="n"/>
    </row>
    <row r="13995" ht="14.25" customHeight="1" s="192">
      <c r="W13995" s="235" t="n"/>
      <c r="X13995" s="235" t="n"/>
    </row>
    <row r="13996" ht="14.25" customHeight="1" s="192">
      <c r="W13996" s="239" t="n"/>
      <c r="X13996" s="239" t="n"/>
    </row>
    <row r="13997" ht="14.25" customHeight="1" s="192">
      <c r="W13997" s="239" t="n"/>
      <c r="X13997" s="239" t="n"/>
    </row>
    <row r="13998" ht="14.25" customHeight="1" s="192">
      <c r="W13998" s="239" t="n"/>
      <c r="X13998" s="239" t="n"/>
    </row>
    <row r="13999" ht="14.25" customHeight="1" s="192">
      <c r="W13999" s="235" t="n"/>
      <c r="X13999" s="235" t="n"/>
    </row>
    <row r="14000" ht="14.25" customHeight="1" s="192">
      <c r="W14000" s="235" t="n"/>
      <c r="X14000" s="235" t="n"/>
    </row>
    <row r="14001" ht="14.25" customHeight="1" s="192">
      <c r="W14001" s="235" t="n"/>
      <c r="X14001" s="235" t="n"/>
    </row>
    <row r="14002" ht="14.25" customHeight="1" s="192">
      <c r="W14002" s="239" t="n"/>
      <c r="X14002" s="239" t="n"/>
    </row>
    <row r="14003" ht="14.25" customHeight="1" s="192">
      <c r="W14003" s="239" t="n"/>
      <c r="X14003" s="239" t="n"/>
    </row>
    <row r="14004" ht="14.25" customHeight="1" s="192">
      <c r="W14004" s="235" t="n"/>
      <c r="X14004" s="235" t="n"/>
    </row>
    <row r="14005" ht="14.25" customHeight="1" s="192">
      <c r="W14005" s="235" t="n"/>
      <c r="X14005" s="235" t="n"/>
    </row>
    <row r="14006" ht="14.25" customHeight="1" s="192">
      <c r="W14006" s="239" t="n"/>
      <c r="X14006" s="239" t="n"/>
    </row>
    <row r="14007" ht="14.25" customHeight="1" s="192">
      <c r="W14007" s="235" t="n"/>
      <c r="X14007" s="235" t="n"/>
    </row>
    <row r="14008" ht="14.25" customHeight="1" s="192">
      <c r="W14008" s="239" t="n"/>
      <c r="X14008" s="239" t="n"/>
    </row>
    <row r="14010" ht="14.25" customHeight="1" s="192">
      <c r="W14010" s="235" t="n"/>
      <c r="X14010" s="235" t="n"/>
    </row>
    <row r="14011" ht="15" customHeight="1" s="192" thickBot="1">
      <c r="W14011" s="239" t="n"/>
      <c r="X14011" s="239" t="n"/>
    </row>
    <row r="14012" ht="15" customHeight="1" s="192" thickBot="1">
      <c r="W14012" s="45" t="n"/>
      <c r="X14012" s="45" t="n"/>
    </row>
    <row r="14013" ht="14.25" customHeight="1" s="192">
      <c r="W14013" s="228" t="n"/>
      <c r="X14013" s="228" t="n"/>
    </row>
    <row r="14014" ht="14.25" customHeight="1" s="192">
      <c r="W14014" s="228" t="n"/>
      <c r="X14014" s="228" t="n"/>
    </row>
    <row r="14015" ht="14.25" customHeight="1" s="192">
      <c r="W14015" s="231" t="n"/>
      <c r="X14015" s="231" t="n"/>
    </row>
    <row r="14016" ht="14.25" customHeight="1" s="192">
      <c r="W14016" s="33" t="n"/>
      <c r="X14016" s="33" t="n"/>
    </row>
    <row r="14017" ht="14.25" customHeight="1" s="192">
      <c r="W14017" s="231" t="n"/>
      <c r="X14017" s="231" t="n"/>
    </row>
    <row r="14018" ht="14.25" customHeight="1" s="192">
      <c r="W14018" s="33" t="n"/>
      <c r="X14018" s="33" t="n"/>
    </row>
    <row r="14020" ht="14.25" customHeight="1" s="192">
      <c r="W14020" s="231" t="n"/>
      <c r="X14020" s="231" t="n"/>
    </row>
    <row r="14021" ht="14.25" customHeight="1" s="192">
      <c r="W14021" s="235" t="n"/>
      <c r="X14021" s="235" t="n"/>
    </row>
    <row r="14022" ht="14.25" customHeight="1" s="192">
      <c r="W14022" s="228" t="n"/>
      <c r="X14022" s="228" t="n"/>
    </row>
    <row r="14023" ht="14.25" customHeight="1" s="192">
      <c r="W14023" s="235" t="n"/>
      <c r="X14023" s="235" t="n"/>
    </row>
    <row r="14024" ht="14.25" customHeight="1" s="192">
      <c r="W14024" s="235" t="n"/>
      <c r="X14024" s="235" t="n"/>
    </row>
    <row r="14025" ht="14.25" customHeight="1" s="192">
      <c r="W14025" s="235" t="n"/>
      <c r="X14025" s="235" t="n"/>
    </row>
    <row r="14026" ht="14.25" customHeight="1" s="192">
      <c r="W14026" s="239" t="n"/>
      <c r="X14026" s="239" t="n"/>
    </row>
    <row r="14027" ht="14.25" customHeight="1" s="192">
      <c r="W14027" s="239" t="n"/>
      <c r="X14027" s="239" t="n"/>
    </row>
    <row r="14028" ht="14.25" customHeight="1" s="192">
      <c r="W14028" s="239" t="n"/>
      <c r="X14028" s="239" t="n"/>
    </row>
    <row r="14029" ht="14.25" customHeight="1" s="192">
      <c r="W14029" s="235" t="n"/>
      <c r="X14029" s="235" t="n"/>
    </row>
    <row r="14030" ht="14.25" customHeight="1" s="192">
      <c r="W14030" s="235" t="n"/>
      <c r="X14030" s="235" t="n"/>
    </row>
    <row r="14031" ht="14.25" customHeight="1" s="192">
      <c r="W14031" s="235" t="n"/>
      <c r="X14031" s="235" t="n"/>
    </row>
    <row r="14032" ht="14.25" customHeight="1" s="192">
      <c r="W14032" s="239" t="n"/>
      <c r="X14032" s="239" t="n"/>
    </row>
    <row r="14033" ht="14.25" customHeight="1" s="192">
      <c r="W14033" s="239" t="n"/>
      <c r="X14033" s="239" t="n"/>
    </row>
    <row r="14034" ht="14.25" customHeight="1" s="192">
      <c r="W14034" s="235" t="n"/>
      <c r="X14034" s="235" t="n"/>
    </row>
    <row r="14035" ht="14.25" customHeight="1" s="192">
      <c r="W14035" s="235" t="n"/>
      <c r="X14035" s="235" t="n"/>
    </row>
    <row r="14036" ht="14.25" customHeight="1" s="192">
      <c r="W14036" s="239" t="n"/>
      <c r="X14036" s="239" t="n"/>
    </row>
    <row r="14037" ht="14.25" customHeight="1" s="192">
      <c r="W14037" s="235" t="n"/>
      <c r="X14037" s="235" t="n"/>
    </row>
    <row r="14038" ht="14.25" customHeight="1" s="192">
      <c r="W14038" s="239" t="n"/>
      <c r="X14038" s="239" t="n"/>
    </row>
    <row r="14040" ht="14.25" customHeight="1" s="192">
      <c r="W14040" s="235" t="n"/>
      <c r="X14040" s="235" t="n"/>
    </row>
    <row r="14041" ht="15" customHeight="1" s="192" thickBot="1">
      <c r="W14041" s="239" t="n"/>
      <c r="X14041" s="239" t="n"/>
    </row>
    <row r="14042" ht="15" customHeight="1" s="192" thickBot="1">
      <c r="W14042" s="45" t="n"/>
      <c r="X14042" s="45" t="n"/>
    </row>
    <row r="14043" ht="14.25" customHeight="1" s="192">
      <c r="W14043" s="228" t="n"/>
      <c r="X14043" s="228" t="n"/>
    </row>
    <row r="14044" ht="14.25" customHeight="1" s="192">
      <c r="W14044" s="228" t="n"/>
      <c r="X14044" s="228" t="n"/>
    </row>
    <row r="14045" ht="14.25" customHeight="1" s="192">
      <c r="W14045" s="231" t="n"/>
      <c r="X14045" s="231" t="n"/>
    </row>
    <row r="14046" ht="14.25" customHeight="1" s="192">
      <c r="W14046" s="33" t="n"/>
      <c r="X14046" s="33" t="n"/>
    </row>
    <row r="14047" ht="14.25" customHeight="1" s="192">
      <c r="W14047" s="231" t="n"/>
      <c r="X14047" s="231" t="n"/>
    </row>
    <row r="14048" ht="14.25" customHeight="1" s="192">
      <c r="W14048" s="33" t="n"/>
      <c r="X14048" s="33" t="n"/>
    </row>
    <row r="14050" ht="14.25" customHeight="1" s="192">
      <c r="W14050" s="231" t="n"/>
      <c r="X14050" s="231" t="n"/>
    </row>
    <row r="14051" ht="14.25" customHeight="1" s="192">
      <c r="W14051" s="235" t="n"/>
      <c r="X14051" s="235" t="n"/>
    </row>
    <row r="14052" ht="14.25" customHeight="1" s="192">
      <c r="W14052" s="228" t="n"/>
      <c r="X14052" s="228" t="n"/>
    </row>
    <row r="14053" ht="14.25" customHeight="1" s="192">
      <c r="W14053" s="235" t="n"/>
      <c r="X14053" s="235" t="n"/>
    </row>
    <row r="14054" ht="14.25" customHeight="1" s="192">
      <c r="W14054" s="235" t="n"/>
      <c r="X14054" s="235" t="n"/>
    </row>
    <row r="14055" ht="14.25" customHeight="1" s="192">
      <c r="W14055" s="235" t="n"/>
      <c r="X14055" s="235" t="n"/>
    </row>
    <row r="14056" ht="14.25" customHeight="1" s="192">
      <c r="W14056" s="239" t="n"/>
      <c r="X14056" s="239" t="n"/>
    </row>
    <row r="14057" ht="14.25" customHeight="1" s="192">
      <c r="W14057" s="239" t="n"/>
      <c r="X14057" s="239" t="n"/>
    </row>
    <row r="14058" ht="14.25" customHeight="1" s="192">
      <c r="W14058" s="239" t="n"/>
      <c r="X14058" s="239" t="n"/>
    </row>
    <row r="14059" ht="14.25" customHeight="1" s="192">
      <c r="W14059" s="235" t="n"/>
      <c r="X14059" s="235" t="n"/>
    </row>
    <row r="14060" ht="14.25" customHeight="1" s="192">
      <c r="W14060" s="235" t="n"/>
      <c r="X14060" s="235" t="n"/>
    </row>
    <row r="14061" ht="14.25" customHeight="1" s="192">
      <c r="W14061" s="235" t="n"/>
      <c r="X14061" s="235" t="n"/>
    </row>
    <row r="14062" ht="14.25" customHeight="1" s="192">
      <c r="W14062" s="239" t="n"/>
      <c r="X14062" s="239" t="n"/>
    </row>
    <row r="14063" ht="14.25" customHeight="1" s="192">
      <c r="W14063" s="239" t="n"/>
      <c r="X14063" s="239" t="n"/>
    </row>
    <row r="14064" ht="14.25" customHeight="1" s="192">
      <c r="W14064" s="235" t="n"/>
      <c r="X14064" s="235" t="n"/>
    </row>
    <row r="14065" ht="14.25" customHeight="1" s="192">
      <c r="W14065" s="235" t="n"/>
      <c r="X14065" s="235" t="n"/>
    </row>
    <row r="14066" ht="14.25" customHeight="1" s="192">
      <c r="W14066" s="239" t="n"/>
      <c r="X14066" s="239" t="n"/>
    </row>
    <row r="14067" ht="14.25" customHeight="1" s="192">
      <c r="W14067" s="235" t="n"/>
      <c r="X14067" s="235" t="n"/>
    </row>
    <row r="14068" ht="14.25" customHeight="1" s="192">
      <c r="W14068" s="239" t="n"/>
      <c r="X14068" s="239" t="n"/>
    </row>
    <row r="14070" ht="14.25" customHeight="1" s="192">
      <c r="W14070" s="235" t="n"/>
      <c r="X14070" s="235" t="n"/>
    </row>
    <row r="14071" ht="15" customHeight="1" s="192" thickBot="1">
      <c r="W14071" s="239" t="n"/>
      <c r="X14071" s="239" t="n"/>
    </row>
    <row r="14072" ht="15" customHeight="1" s="192" thickBot="1">
      <c r="W14072" s="45" t="n"/>
      <c r="X14072" s="45" t="n"/>
    </row>
    <row r="14073" ht="14.25" customHeight="1" s="192">
      <c r="W14073" s="228" t="n"/>
      <c r="X14073" s="228" t="n"/>
    </row>
    <row r="14074" ht="14.25" customHeight="1" s="192">
      <c r="W14074" s="228" t="n"/>
      <c r="X14074" s="228" t="n"/>
    </row>
    <row r="14075" ht="14.25" customHeight="1" s="192">
      <c r="W14075" s="231" t="n"/>
      <c r="X14075" s="231" t="n"/>
    </row>
    <row r="14076" ht="14.25" customHeight="1" s="192">
      <c r="W14076" s="33" t="n"/>
      <c r="X14076" s="33" t="n"/>
    </row>
    <row r="14077" ht="14.25" customHeight="1" s="192">
      <c r="W14077" s="231" t="n"/>
      <c r="X14077" s="231" t="n"/>
    </row>
    <row r="14078" ht="14.25" customHeight="1" s="192">
      <c r="W14078" s="33" t="n"/>
      <c r="X14078" s="33" t="n"/>
    </row>
    <row r="14080" ht="14.25" customHeight="1" s="192">
      <c r="W14080" s="231" t="n"/>
      <c r="X14080" s="231" t="n"/>
    </row>
    <row r="14081" ht="14.25" customHeight="1" s="192">
      <c r="W14081" s="235" t="n"/>
      <c r="X14081" s="235" t="n"/>
    </row>
    <row r="14082" ht="14.25" customHeight="1" s="192">
      <c r="W14082" s="228" t="n"/>
      <c r="X14082" s="228" t="n"/>
    </row>
    <row r="14083" ht="14.25" customHeight="1" s="192">
      <c r="W14083" s="235" t="n"/>
      <c r="X14083" s="235" t="n"/>
    </row>
    <row r="14084" ht="14.25" customHeight="1" s="192">
      <c r="W14084" s="235" t="n"/>
      <c r="X14084" s="235" t="n"/>
    </row>
    <row r="14085" ht="14.25" customHeight="1" s="192">
      <c r="W14085" s="235" t="n"/>
      <c r="X14085" s="235" t="n"/>
    </row>
    <row r="14086" ht="14.25" customHeight="1" s="192">
      <c r="W14086" s="239" t="n"/>
      <c r="X14086" s="239" t="n"/>
    </row>
    <row r="14087" ht="14.25" customHeight="1" s="192">
      <c r="W14087" s="239" t="n"/>
      <c r="X14087" s="239" t="n"/>
    </row>
    <row r="14088" ht="14.25" customHeight="1" s="192">
      <c r="W14088" s="239" t="n"/>
      <c r="X14088" s="239" t="n"/>
    </row>
    <row r="14089" ht="14.25" customHeight="1" s="192">
      <c r="W14089" s="235" t="n"/>
      <c r="X14089" s="235" t="n"/>
    </row>
    <row r="14090" ht="14.25" customHeight="1" s="192">
      <c r="W14090" s="235" t="n"/>
      <c r="X14090" s="235" t="n"/>
    </row>
    <row r="14091" ht="14.25" customHeight="1" s="192">
      <c r="W14091" s="235" t="n"/>
      <c r="X14091" s="235" t="n"/>
    </row>
    <row r="14092" ht="14.25" customHeight="1" s="192">
      <c r="W14092" s="239" t="n"/>
      <c r="X14092" s="239" t="n"/>
    </row>
    <row r="14093" ht="14.25" customHeight="1" s="192">
      <c r="W14093" s="239" t="n"/>
      <c r="X14093" s="239" t="n"/>
    </row>
    <row r="14094" ht="14.25" customHeight="1" s="192">
      <c r="W14094" s="235" t="n"/>
      <c r="X14094" s="235" t="n"/>
    </row>
    <row r="14095" ht="14.25" customHeight="1" s="192">
      <c r="W14095" s="235" t="n"/>
      <c r="X14095" s="235" t="n"/>
    </row>
    <row r="14096" ht="14.25" customHeight="1" s="192">
      <c r="W14096" s="239" t="n"/>
      <c r="X14096" s="239" t="n"/>
    </row>
    <row r="14097" ht="14.25" customHeight="1" s="192">
      <c r="W14097" s="235" t="n"/>
      <c r="X14097" s="235" t="n"/>
    </row>
    <row r="14098" ht="14.25" customHeight="1" s="192">
      <c r="W14098" s="239" t="n"/>
      <c r="X14098" s="239" t="n"/>
    </row>
    <row r="14100" ht="14.25" customHeight="1" s="192">
      <c r="W14100" s="235" t="n"/>
      <c r="X14100" s="235" t="n"/>
    </row>
    <row r="14101" ht="15" customHeight="1" s="192" thickBot="1">
      <c r="W14101" s="239" t="n"/>
      <c r="X14101" s="239" t="n"/>
    </row>
    <row r="14102" ht="15" customHeight="1" s="192" thickBot="1">
      <c r="W14102" s="45" t="n"/>
      <c r="X14102" s="45" t="n"/>
    </row>
    <row r="14103" ht="14.25" customHeight="1" s="192">
      <c r="W14103" s="228" t="n"/>
      <c r="X14103" s="228" t="n"/>
    </row>
    <row r="14104" ht="14.25" customHeight="1" s="192">
      <c r="W14104" s="228" t="n"/>
      <c r="X14104" s="228" t="n"/>
    </row>
    <row r="14105" ht="14.25" customHeight="1" s="192">
      <c r="W14105" s="231" t="n"/>
      <c r="X14105" s="231" t="n"/>
    </row>
    <row r="14106" ht="14.25" customHeight="1" s="192">
      <c r="W14106" s="33" t="n"/>
      <c r="X14106" s="33" t="n"/>
    </row>
    <row r="14107" ht="14.25" customHeight="1" s="192">
      <c r="W14107" s="231" t="n"/>
      <c r="X14107" s="231" t="n"/>
    </row>
    <row r="14108" ht="14.25" customHeight="1" s="192">
      <c r="W14108" s="33" t="n"/>
      <c r="X14108" s="33" t="n"/>
    </row>
    <row r="14110" ht="14.25" customHeight="1" s="192">
      <c r="W14110" s="231" t="n"/>
      <c r="X14110" s="231" t="n"/>
    </row>
    <row r="14111" ht="14.25" customHeight="1" s="192">
      <c r="W14111" s="235" t="n"/>
      <c r="X14111" s="235" t="n"/>
    </row>
    <row r="14112" ht="14.25" customHeight="1" s="192">
      <c r="W14112" s="228" t="n"/>
      <c r="X14112" s="228" t="n"/>
    </row>
    <row r="14113" ht="14.25" customHeight="1" s="192">
      <c r="W14113" s="235" t="n"/>
      <c r="X14113" s="235" t="n"/>
    </row>
    <row r="14114" ht="14.25" customHeight="1" s="192">
      <c r="W14114" s="235" t="n"/>
      <c r="X14114" s="235" t="n"/>
    </row>
    <row r="14115" ht="14.25" customHeight="1" s="192">
      <c r="W14115" s="235" t="n"/>
      <c r="X14115" s="235" t="n"/>
    </row>
    <row r="14116" ht="14.25" customHeight="1" s="192">
      <c r="W14116" s="239" t="n"/>
      <c r="X14116" s="239" t="n"/>
    </row>
    <row r="14117" ht="14.25" customHeight="1" s="192">
      <c r="W14117" s="239" t="n"/>
      <c r="X14117" s="239" t="n"/>
    </row>
    <row r="14118" ht="14.25" customHeight="1" s="192">
      <c r="W14118" s="239" t="n"/>
      <c r="X14118" s="239" t="n"/>
    </row>
    <row r="14119" ht="14.25" customHeight="1" s="192">
      <c r="W14119" s="235" t="n"/>
      <c r="X14119" s="235" t="n"/>
    </row>
    <row r="14120" ht="14.25" customHeight="1" s="192">
      <c r="W14120" s="235" t="n"/>
      <c r="X14120" s="235" t="n"/>
    </row>
    <row r="14121" ht="14.25" customHeight="1" s="192">
      <c r="W14121" s="235" t="n"/>
      <c r="X14121" s="235" t="n"/>
    </row>
    <row r="14122" ht="14.25" customHeight="1" s="192">
      <c r="W14122" s="239" t="n"/>
      <c r="X14122" s="239" t="n"/>
    </row>
    <row r="14123" ht="14.25" customHeight="1" s="192">
      <c r="W14123" s="239" t="n"/>
      <c r="X14123" s="239" t="n"/>
    </row>
    <row r="14124" ht="14.25" customHeight="1" s="192">
      <c r="W14124" s="235" t="n"/>
      <c r="X14124" s="235" t="n"/>
    </row>
    <row r="14125" ht="14.25" customHeight="1" s="192">
      <c r="W14125" s="235" t="n"/>
      <c r="X14125" s="235" t="n"/>
    </row>
    <row r="14126" ht="14.25" customHeight="1" s="192">
      <c r="W14126" s="239" t="n"/>
      <c r="X14126" s="239" t="n"/>
    </row>
    <row r="14127" ht="14.25" customHeight="1" s="192">
      <c r="W14127" s="235" t="n"/>
      <c r="X14127" s="235" t="n"/>
    </row>
    <row r="14128" ht="14.25" customHeight="1" s="192">
      <c r="W14128" s="239" t="n"/>
      <c r="X14128" s="239" t="n"/>
    </row>
    <row r="14130" ht="14.25" customHeight="1" s="192">
      <c r="W14130" s="235" t="n"/>
      <c r="X14130" s="235" t="n"/>
    </row>
    <row r="14131" ht="15" customHeight="1" s="192" thickBot="1">
      <c r="W14131" s="239" t="n"/>
      <c r="X14131" s="239" t="n"/>
    </row>
    <row r="14132" ht="15" customHeight="1" s="192" thickBot="1">
      <c r="W14132" s="45" t="n"/>
      <c r="X14132" s="45" t="n"/>
    </row>
    <row r="14133" ht="14.25" customHeight="1" s="192">
      <c r="W14133" s="228" t="n"/>
      <c r="X14133" s="228" t="n"/>
    </row>
    <row r="14134" ht="14.25" customHeight="1" s="192">
      <c r="W14134" s="228" t="n"/>
      <c r="X14134" s="228" t="n"/>
    </row>
    <row r="14135" ht="14.25" customHeight="1" s="192">
      <c r="W14135" s="231" t="n"/>
      <c r="X14135" s="231" t="n"/>
    </row>
    <row r="14136" ht="14.25" customHeight="1" s="192">
      <c r="W14136" s="33" t="n"/>
      <c r="X14136" s="33" t="n"/>
    </row>
    <row r="14137" ht="14.25" customHeight="1" s="192">
      <c r="W14137" s="231" t="n"/>
      <c r="X14137" s="231" t="n"/>
    </row>
    <row r="14138" ht="14.25" customHeight="1" s="192">
      <c r="W14138" s="33" t="n"/>
      <c r="X14138" s="33" t="n"/>
    </row>
    <row r="14140" ht="14.25" customHeight="1" s="192">
      <c r="W14140" s="231" t="n"/>
      <c r="X14140" s="231" t="n"/>
    </row>
    <row r="14141" ht="14.25" customHeight="1" s="192">
      <c r="W14141" s="235" t="n"/>
      <c r="X14141" s="235" t="n"/>
    </row>
    <row r="14142" ht="14.25" customHeight="1" s="192">
      <c r="W14142" s="228" t="n"/>
      <c r="X14142" s="228" t="n"/>
    </row>
    <row r="14143" ht="14.25" customHeight="1" s="192">
      <c r="W14143" s="235" t="n"/>
      <c r="X14143" s="235" t="n"/>
    </row>
    <row r="14144" ht="14.25" customHeight="1" s="192">
      <c r="W14144" s="235" t="n"/>
      <c r="X14144" s="235" t="n"/>
    </row>
    <row r="14145" ht="14.25" customHeight="1" s="192">
      <c r="W14145" s="235" t="n"/>
      <c r="X14145" s="235" t="n"/>
    </row>
    <row r="14146" ht="14.25" customHeight="1" s="192">
      <c r="W14146" s="239" t="n"/>
      <c r="X14146" s="239" t="n"/>
    </row>
    <row r="14147" ht="14.25" customHeight="1" s="192">
      <c r="W14147" s="239" t="n"/>
      <c r="X14147" s="239" t="n"/>
    </row>
    <row r="14148" ht="14.25" customHeight="1" s="192">
      <c r="W14148" s="239" t="n"/>
      <c r="X14148" s="239" t="n"/>
    </row>
    <row r="14149" ht="14.25" customHeight="1" s="192">
      <c r="W14149" s="235" t="n"/>
      <c r="X14149" s="235" t="n"/>
    </row>
    <row r="14150" ht="14.25" customHeight="1" s="192">
      <c r="W14150" s="235" t="n"/>
      <c r="X14150" s="235" t="n"/>
    </row>
    <row r="14151" ht="14.25" customHeight="1" s="192">
      <c r="W14151" s="235" t="n"/>
      <c r="X14151" s="235" t="n"/>
    </row>
    <row r="14152" ht="14.25" customHeight="1" s="192">
      <c r="W14152" s="239" t="n"/>
      <c r="X14152" s="239" t="n"/>
    </row>
    <row r="14153" ht="14.25" customHeight="1" s="192">
      <c r="W14153" s="239" t="n"/>
      <c r="X14153" s="239" t="n"/>
    </row>
    <row r="14154" ht="14.25" customHeight="1" s="192">
      <c r="W14154" s="235" t="n"/>
      <c r="X14154" s="235" t="n"/>
    </row>
    <row r="14155" ht="14.25" customHeight="1" s="192">
      <c r="W14155" s="235" t="n"/>
      <c r="X14155" s="235" t="n"/>
    </row>
    <row r="14156" ht="14.25" customHeight="1" s="192">
      <c r="W14156" s="239" t="n"/>
      <c r="X14156" s="239" t="n"/>
    </row>
    <row r="14157" ht="14.25" customHeight="1" s="192">
      <c r="W14157" s="235" t="n"/>
      <c r="X14157" s="235" t="n"/>
    </row>
    <row r="14158" ht="14.25" customHeight="1" s="192">
      <c r="W14158" s="239" t="n"/>
      <c r="X14158" s="239" t="n"/>
    </row>
    <row r="14160" ht="14.25" customHeight="1" s="192">
      <c r="W14160" s="235" t="n"/>
      <c r="X14160" s="235" t="n"/>
    </row>
    <row r="14161" ht="15" customHeight="1" s="192" thickBot="1">
      <c r="W14161" s="239" t="n"/>
      <c r="X14161" s="239" t="n"/>
    </row>
    <row r="14162" ht="15" customHeight="1" s="192" thickBot="1">
      <c r="W14162" s="45" t="n"/>
      <c r="X14162" s="45" t="n"/>
    </row>
    <row r="14163" ht="14.25" customHeight="1" s="192">
      <c r="W14163" s="228" t="n"/>
      <c r="X14163" s="228" t="n"/>
    </row>
    <row r="14164" ht="14.25" customHeight="1" s="192">
      <c r="W14164" s="228" t="n"/>
      <c r="X14164" s="228" t="n"/>
    </row>
    <row r="14165" ht="14.25" customHeight="1" s="192">
      <c r="W14165" s="231" t="n"/>
      <c r="X14165" s="231" t="n"/>
    </row>
    <row r="14166" ht="14.25" customHeight="1" s="192">
      <c r="W14166" s="33" t="n"/>
      <c r="X14166" s="33" t="n"/>
    </row>
    <row r="14167" ht="14.25" customHeight="1" s="192">
      <c r="W14167" s="231" t="n"/>
      <c r="X14167" s="231" t="n"/>
    </row>
    <row r="14168" ht="14.25" customHeight="1" s="192">
      <c r="W14168" s="33" t="n"/>
      <c r="X14168" s="33" t="n"/>
    </row>
    <row r="14170" ht="14.25" customHeight="1" s="192">
      <c r="W14170" s="231" t="n"/>
      <c r="X14170" s="231" t="n"/>
    </row>
    <row r="14171" ht="14.25" customHeight="1" s="192">
      <c r="W14171" s="235" t="n"/>
      <c r="X14171" s="235" t="n"/>
    </row>
    <row r="14172" ht="14.25" customHeight="1" s="192">
      <c r="W14172" s="228" t="n"/>
      <c r="X14172" s="228" t="n"/>
    </row>
    <row r="14173" ht="14.25" customHeight="1" s="192">
      <c r="W14173" s="235" t="n"/>
      <c r="X14173" s="235" t="n"/>
    </row>
    <row r="14174" ht="14.25" customHeight="1" s="192">
      <c r="W14174" s="235" t="n"/>
      <c r="X14174" s="235" t="n"/>
    </row>
    <row r="14175" ht="14.25" customHeight="1" s="192">
      <c r="W14175" s="235" t="n"/>
      <c r="X14175" s="235" t="n"/>
    </row>
    <row r="14176" ht="14.25" customHeight="1" s="192">
      <c r="W14176" s="239" t="n"/>
      <c r="X14176" s="239" t="n"/>
    </row>
    <row r="14177" ht="14.25" customHeight="1" s="192">
      <c r="W14177" s="239" t="n"/>
      <c r="X14177" s="239" t="n"/>
    </row>
    <row r="14178" ht="14.25" customHeight="1" s="192">
      <c r="W14178" s="239" t="n"/>
      <c r="X14178" s="239" t="n"/>
    </row>
    <row r="14179" ht="14.25" customHeight="1" s="192">
      <c r="W14179" s="235" t="n"/>
      <c r="X14179" s="235" t="n"/>
    </row>
    <row r="14180" ht="14.25" customHeight="1" s="192">
      <c r="W14180" s="235" t="n"/>
      <c r="X14180" s="235" t="n"/>
    </row>
    <row r="14181" ht="14.25" customHeight="1" s="192">
      <c r="W14181" s="235" t="n"/>
      <c r="X14181" s="235" t="n"/>
    </row>
    <row r="14182" ht="14.25" customHeight="1" s="192">
      <c r="W14182" s="239" t="n"/>
      <c r="X14182" s="239" t="n"/>
    </row>
    <row r="14183" ht="14.25" customHeight="1" s="192">
      <c r="W14183" s="239" t="n"/>
      <c r="X14183" s="239" t="n"/>
    </row>
    <row r="14184" ht="14.25" customHeight="1" s="192">
      <c r="W14184" s="235" t="n"/>
      <c r="X14184" s="235" t="n"/>
    </row>
    <row r="14185" ht="14.25" customHeight="1" s="192">
      <c r="W14185" s="235" t="n"/>
      <c r="X14185" s="235" t="n"/>
    </row>
    <row r="14186" ht="14.25" customHeight="1" s="192">
      <c r="W14186" s="239" t="n"/>
      <c r="X14186" s="239" t="n"/>
    </row>
    <row r="14187" ht="14.25" customHeight="1" s="192">
      <c r="W14187" s="235" t="n"/>
      <c r="X14187" s="235" t="n"/>
    </row>
    <row r="14188" ht="14.25" customHeight="1" s="192">
      <c r="W14188" s="239" t="n"/>
      <c r="X14188" s="239" t="n"/>
    </row>
    <row r="14190" ht="14.25" customHeight="1" s="192">
      <c r="W14190" s="235" t="n"/>
      <c r="X14190" s="235" t="n"/>
    </row>
    <row r="14191" ht="15" customHeight="1" s="192" thickBot="1">
      <c r="W14191" s="239" t="n"/>
      <c r="X14191" s="239" t="n"/>
    </row>
    <row r="14192" ht="15" customHeight="1" s="192" thickBot="1">
      <c r="W14192" s="45" t="n"/>
      <c r="X14192" s="45" t="n"/>
    </row>
    <row r="14193" ht="14.25" customHeight="1" s="192">
      <c r="W14193" s="228" t="n"/>
      <c r="X14193" s="228" t="n"/>
    </row>
    <row r="14194" ht="14.25" customHeight="1" s="192">
      <c r="W14194" s="228" t="n"/>
      <c r="X14194" s="228" t="n"/>
    </row>
    <row r="14195" ht="14.25" customHeight="1" s="192">
      <c r="W14195" s="231" t="n"/>
      <c r="X14195" s="231" t="n"/>
    </row>
    <row r="14196" ht="14.25" customHeight="1" s="192">
      <c r="W14196" s="33" t="n"/>
      <c r="X14196" s="33" t="n"/>
    </row>
    <row r="14197" ht="14.25" customHeight="1" s="192">
      <c r="W14197" s="231" t="n"/>
      <c r="X14197" s="231" t="n"/>
    </row>
    <row r="14198" ht="14.25" customHeight="1" s="192">
      <c r="W14198" s="33" t="n"/>
      <c r="X14198" s="33" t="n"/>
    </row>
    <row r="14200" ht="14.25" customHeight="1" s="192">
      <c r="W14200" s="231" t="n"/>
      <c r="X14200" s="231" t="n"/>
    </row>
    <row r="14201" ht="14.25" customHeight="1" s="192">
      <c r="W14201" s="235" t="n"/>
      <c r="X14201" s="235" t="n"/>
    </row>
    <row r="14202" ht="14.25" customHeight="1" s="192">
      <c r="W14202" s="228" t="n"/>
      <c r="X14202" s="228" t="n"/>
    </row>
    <row r="14203" ht="14.25" customHeight="1" s="192">
      <c r="W14203" s="235" t="n"/>
      <c r="X14203" s="235" t="n"/>
    </row>
    <row r="14204" ht="14.25" customHeight="1" s="192">
      <c r="W14204" s="235" t="n"/>
      <c r="X14204" s="235" t="n"/>
    </row>
    <row r="14205" ht="14.25" customHeight="1" s="192">
      <c r="W14205" s="235" t="n"/>
      <c r="X14205" s="235" t="n"/>
    </row>
    <row r="14206" ht="14.25" customHeight="1" s="192">
      <c r="W14206" s="239" t="n"/>
      <c r="X14206" s="239" t="n"/>
    </row>
    <row r="14207" ht="14.25" customHeight="1" s="192">
      <c r="W14207" s="239" t="n"/>
      <c r="X14207" s="239" t="n"/>
    </row>
    <row r="14208" ht="14.25" customHeight="1" s="192">
      <c r="W14208" s="239" t="n"/>
      <c r="X14208" s="239" t="n"/>
    </row>
    <row r="14209" ht="14.25" customHeight="1" s="192">
      <c r="W14209" s="235" t="n"/>
      <c r="X14209" s="235" t="n"/>
    </row>
    <row r="14210" ht="14.25" customHeight="1" s="192">
      <c r="W14210" s="235" t="n"/>
      <c r="X14210" s="235" t="n"/>
    </row>
    <row r="14211" ht="14.25" customHeight="1" s="192">
      <c r="W14211" s="235" t="n"/>
      <c r="X14211" s="235" t="n"/>
    </row>
    <row r="14212" ht="14.25" customHeight="1" s="192">
      <c r="W14212" s="239" t="n"/>
      <c r="X14212" s="239" t="n"/>
    </row>
    <row r="14213" ht="14.25" customHeight="1" s="192">
      <c r="W14213" s="239" t="n"/>
      <c r="X14213" s="239" t="n"/>
    </row>
    <row r="14214" ht="14.25" customHeight="1" s="192">
      <c r="W14214" s="235" t="n"/>
      <c r="X14214" s="235" t="n"/>
    </row>
    <row r="14215" ht="14.25" customHeight="1" s="192">
      <c r="W14215" s="235" t="n"/>
      <c r="X14215" s="235" t="n"/>
    </row>
    <row r="14216" ht="14.25" customHeight="1" s="192">
      <c r="W14216" s="239" t="n"/>
      <c r="X14216" s="239" t="n"/>
    </row>
    <row r="14217" ht="14.25" customHeight="1" s="192">
      <c r="W14217" s="235" t="n"/>
      <c r="X14217" s="235" t="n"/>
    </row>
    <row r="14218" ht="14.25" customHeight="1" s="192">
      <c r="W14218" s="239" t="n"/>
      <c r="X14218" s="239" t="n"/>
    </row>
    <row r="14220" ht="14.25" customHeight="1" s="192">
      <c r="W14220" s="235" t="n"/>
      <c r="X14220" s="235" t="n"/>
    </row>
    <row r="14221" ht="15" customHeight="1" s="192" thickBot="1">
      <c r="W14221" s="239" t="n"/>
      <c r="X14221" s="239" t="n"/>
    </row>
    <row r="14222" ht="15" customHeight="1" s="192" thickBot="1">
      <c r="W14222" s="45" t="n"/>
      <c r="X14222" s="45" t="n"/>
    </row>
    <row r="14223" ht="14.25" customHeight="1" s="192">
      <c r="W14223" s="228" t="n"/>
      <c r="X14223" s="228" t="n"/>
    </row>
    <row r="14224" ht="14.25" customHeight="1" s="192">
      <c r="W14224" s="228" t="n"/>
      <c r="X14224" s="228" t="n"/>
    </row>
    <row r="14225" ht="14.25" customHeight="1" s="192">
      <c r="W14225" s="231" t="n"/>
      <c r="X14225" s="231" t="n"/>
    </row>
    <row r="14226" ht="14.25" customHeight="1" s="192">
      <c r="W14226" s="33" t="n"/>
      <c r="X14226" s="33" t="n"/>
    </row>
    <row r="14227" ht="14.25" customHeight="1" s="192">
      <c r="W14227" s="231" t="n"/>
      <c r="X14227" s="231" t="n"/>
    </row>
    <row r="14228" ht="14.25" customHeight="1" s="192">
      <c r="W14228" s="33" t="n"/>
      <c r="X14228" s="33" t="n"/>
    </row>
    <row r="14230" ht="14.25" customHeight="1" s="192">
      <c r="W14230" s="231" t="n"/>
      <c r="X14230" s="231" t="n"/>
    </row>
    <row r="14231" ht="14.25" customHeight="1" s="192">
      <c r="W14231" s="235" t="n"/>
      <c r="X14231" s="235" t="n"/>
    </row>
    <row r="14232" ht="14.25" customHeight="1" s="192">
      <c r="W14232" s="228" t="n"/>
      <c r="X14232" s="228" t="n"/>
    </row>
    <row r="14233" ht="14.25" customHeight="1" s="192">
      <c r="W14233" s="235" t="n"/>
      <c r="X14233" s="235" t="n"/>
    </row>
    <row r="14234" ht="14.25" customHeight="1" s="192">
      <c r="W14234" s="235" t="n"/>
      <c r="X14234" s="235" t="n"/>
    </row>
    <row r="14235" ht="14.25" customHeight="1" s="192">
      <c r="W14235" s="235" t="n"/>
      <c r="X14235" s="235" t="n"/>
    </row>
    <row r="14236" ht="14.25" customHeight="1" s="192">
      <c r="W14236" s="239" t="n"/>
      <c r="X14236" s="239" t="n"/>
    </row>
    <row r="14237" ht="14.25" customHeight="1" s="192">
      <c r="W14237" s="239" t="n"/>
      <c r="X14237" s="239" t="n"/>
    </row>
    <row r="14238" ht="14.25" customHeight="1" s="192">
      <c r="W14238" s="239" t="n"/>
      <c r="X14238" s="239" t="n"/>
    </row>
    <row r="14239" ht="14.25" customHeight="1" s="192">
      <c r="W14239" s="235" t="n"/>
      <c r="X14239" s="235" t="n"/>
    </row>
    <row r="14240" ht="14.25" customHeight="1" s="192">
      <c r="W14240" s="235" t="n"/>
      <c r="X14240" s="235" t="n"/>
    </row>
    <row r="14241" ht="14.25" customHeight="1" s="192">
      <c r="W14241" s="235" t="n"/>
      <c r="X14241" s="235" t="n"/>
    </row>
    <row r="14242" ht="14.25" customHeight="1" s="192">
      <c r="W14242" s="239" t="n"/>
      <c r="X14242" s="239" t="n"/>
    </row>
    <row r="14243" ht="14.25" customHeight="1" s="192">
      <c r="W14243" s="239" t="n"/>
      <c r="X14243" s="239" t="n"/>
    </row>
    <row r="14244" ht="14.25" customHeight="1" s="192">
      <c r="W14244" s="235" t="n"/>
      <c r="X14244" s="235" t="n"/>
    </row>
    <row r="14245" ht="14.25" customHeight="1" s="192">
      <c r="W14245" s="235" t="n"/>
      <c r="X14245" s="235" t="n"/>
    </row>
    <row r="14246" ht="14.25" customHeight="1" s="192">
      <c r="W14246" s="239" t="n"/>
      <c r="X14246" s="239" t="n"/>
    </row>
    <row r="14247" ht="14.25" customHeight="1" s="192">
      <c r="W14247" s="235" t="n"/>
      <c r="X14247" s="235" t="n"/>
    </row>
    <row r="14248" ht="14.25" customHeight="1" s="192">
      <c r="W14248" s="239" t="n"/>
      <c r="X14248" s="239" t="n"/>
    </row>
    <row r="14250" ht="14.25" customHeight="1" s="192">
      <c r="W14250" s="235" t="n"/>
      <c r="X14250" s="235" t="n"/>
    </row>
    <row r="14251" ht="15" customHeight="1" s="192" thickBot="1">
      <c r="W14251" s="239" t="n"/>
      <c r="X14251" s="239" t="n"/>
    </row>
    <row r="14252" ht="15" customHeight="1" s="192" thickBot="1">
      <c r="W14252" s="45" t="n"/>
      <c r="X14252" s="45" t="n"/>
    </row>
    <row r="14253" ht="14.25" customHeight="1" s="192">
      <c r="W14253" s="228" t="n"/>
      <c r="X14253" s="228" t="n"/>
    </row>
    <row r="14254" ht="14.25" customHeight="1" s="192">
      <c r="W14254" s="228" t="n"/>
      <c r="X14254" s="228" t="n"/>
    </row>
    <row r="14255" ht="14.25" customHeight="1" s="192">
      <c r="W14255" s="231" t="n"/>
      <c r="X14255" s="231" t="n"/>
    </row>
    <row r="14256" ht="14.25" customHeight="1" s="192">
      <c r="W14256" s="33" t="n"/>
      <c r="X14256" s="33" t="n"/>
    </row>
    <row r="14257" ht="14.25" customHeight="1" s="192">
      <c r="W14257" s="231" t="n"/>
      <c r="X14257" s="231" t="n"/>
    </row>
    <row r="14258" ht="14.25" customHeight="1" s="192">
      <c r="W14258" s="33" t="n"/>
      <c r="X14258" s="33" t="n"/>
    </row>
    <row r="14260" ht="14.25" customHeight="1" s="192">
      <c r="W14260" s="231" t="n"/>
      <c r="X14260" s="231" t="n"/>
    </row>
    <row r="14261" ht="14.25" customHeight="1" s="192">
      <c r="W14261" s="235" t="n"/>
      <c r="X14261" s="235" t="n"/>
    </row>
    <row r="14262" ht="14.25" customHeight="1" s="192">
      <c r="W14262" s="228" t="n"/>
      <c r="X14262" s="228" t="n"/>
    </row>
    <row r="14263" ht="14.25" customHeight="1" s="192">
      <c r="W14263" s="235" t="n"/>
      <c r="X14263" s="235" t="n"/>
    </row>
    <row r="14264" ht="14.25" customHeight="1" s="192">
      <c r="W14264" s="235" t="n"/>
      <c r="X14264" s="235" t="n"/>
    </row>
    <row r="14265" ht="14.25" customHeight="1" s="192">
      <c r="W14265" s="235" t="n"/>
      <c r="X14265" s="235" t="n"/>
    </row>
    <row r="14266" ht="14.25" customHeight="1" s="192">
      <c r="W14266" s="239" t="n"/>
      <c r="X14266" s="239" t="n"/>
    </row>
    <row r="14267" ht="14.25" customHeight="1" s="192">
      <c r="W14267" s="239" t="n"/>
      <c r="X14267" s="239" t="n"/>
    </row>
    <row r="14268" ht="14.25" customHeight="1" s="192">
      <c r="W14268" s="239" t="n"/>
      <c r="X14268" s="239" t="n"/>
    </row>
    <row r="14269" ht="14.25" customHeight="1" s="192">
      <c r="W14269" s="235" t="n"/>
      <c r="X14269" s="235" t="n"/>
    </row>
    <row r="14270" ht="14.25" customHeight="1" s="192">
      <c r="W14270" s="235" t="n"/>
      <c r="X14270" s="235" t="n"/>
    </row>
    <row r="14271" ht="14.25" customHeight="1" s="192">
      <c r="W14271" s="235" t="n"/>
      <c r="X14271" s="235" t="n"/>
    </row>
    <row r="14272" ht="14.25" customHeight="1" s="192">
      <c r="W14272" s="239" t="n"/>
      <c r="X14272" s="239" t="n"/>
    </row>
    <row r="14273" ht="14.25" customHeight="1" s="192">
      <c r="W14273" s="239" t="n"/>
      <c r="X14273" s="239" t="n"/>
    </row>
    <row r="14274" ht="14.25" customHeight="1" s="192">
      <c r="W14274" s="235" t="n"/>
      <c r="X14274" s="235" t="n"/>
    </row>
    <row r="14275" ht="14.25" customHeight="1" s="192">
      <c r="W14275" s="235" t="n"/>
      <c r="X14275" s="235" t="n"/>
    </row>
    <row r="14276" ht="14.25" customHeight="1" s="192">
      <c r="W14276" s="239" t="n"/>
      <c r="X14276" s="239" t="n"/>
    </row>
    <row r="14277" ht="14.25" customHeight="1" s="192">
      <c r="W14277" s="235" t="n"/>
      <c r="X14277" s="235" t="n"/>
    </row>
    <row r="14278" ht="14.25" customHeight="1" s="192">
      <c r="W14278" s="239" t="n"/>
      <c r="X14278" s="239" t="n"/>
    </row>
    <row r="14280" ht="14.25" customHeight="1" s="192">
      <c r="W14280" s="235" t="n"/>
      <c r="X14280" s="235" t="n"/>
    </row>
    <row r="14281" ht="15" customHeight="1" s="192" thickBot="1">
      <c r="W14281" s="239" t="n"/>
      <c r="X14281" s="239" t="n"/>
    </row>
    <row r="14282" ht="15" customHeight="1" s="192" thickBot="1">
      <c r="W14282" s="45" t="n"/>
      <c r="X14282" s="45" t="n"/>
    </row>
    <row r="14283" ht="14.25" customHeight="1" s="192">
      <c r="W14283" s="228" t="n"/>
      <c r="X14283" s="228" t="n"/>
    </row>
    <row r="14284" ht="14.25" customHeight="1" s="192">
      <c r="W14284" s="228" t="n"/>
      <c r="X14284" s="228" t="n"/>
    </row>
    <row r="14285" ht="14.25" customHeight="1" s="192">
      <c r="W14285" s="231" t="n"/>
      <c r="X14285" s="231" t="n"/>
    </row>
    <row r="14286" ht="14.25" customHeight="1" s="192">
      <c r="W14286" s="33" t="n"/>
      <c r="X14286" s="33" t="n"/>
    </row>
    <row r="14287" ht="14.25" customHeight="1" s="192">
      <c r="W14287" s="231" t="n"/>
      <c r="X14287" s="231" t="n"/>
    </row>
    <row r="14288" ht="14.25" customHeight="1" s="192">
      <c r="W14288" s="33" t="n"/>
      <c r="X14288" s="33" t="n"/>
    </row>
    <row r="14290" ht="14.25" customHeight="1" s="192">
      <c r="W14290" s="231" t="n"/>
      <c r="X14290" s="231" t="n"/>
    </row>
    <row r="14291" ht="14.25" customHeight="1" s="192">
      <c r="W14291" s="235" t="n"/>
      <c r="X14291" s="235" t="n"/>
    </row>
    <row r="14292" ht="14.25" customHeight="1" s="192">
      <c r="W14292" s="228" t="n"/>
      <c r="X14292" s="228" t="n"/>
    </row>
    <row r="14293" ht="14.25" customHeight="1" s="192">
      <c r="W14293" s="235" t="n"/>
      <c r="X14293" s="235" t="n"/>
    </row>
    <row r="14294" ht="14.25" customHeight="1" s="192">
      <c r="W14294" s="235" t="n"/>
      <c r="X14294" s="235" t="n"/>
    </row>
    <row r="14295" ht="14.25" customHeight="1" s="192">
      <c r="W14295" s="235" t="n"/>
      <c r="X14295" s="235" t="n"/>
    </row>
    <row r="14296" ht="14.25" customHeight="1" s="192">
      <c r="W14296" s="239" t="n"/>
      <c r="X14296" s="239" t="n"/>
    </row>
    <row r="14297" ht="14.25" customHeight="1" s="192">
      <c r="W14297" s="239" t="n"/>
      <c r="X14297" s="239" t="n"/>
    </row>
    <row r="14298" ht="14.25" customHeight="1" s="192">
      <c r="W14298" s="239" t="n"/>
      <c r="X14298" s="239" t="n"/>
    </row>
    <row r="14299" ht="14.25" customHeight="1" s="192">
      <c r="W14299" s="235" t="n"/>
      <c r="X14299" s="235" t="n"/>
    </row>
    <row r="14300" ht="14.25" customHeight="1" s="192">
      <c r="W14300" s="235" t="n"/>
      <c r="X14300" s="235" t="n"/>
    </row>
    <row r="14301" ht="14.25" customHeight="1" s="192">
      <c r="W14301" s="235" t="n"/>
      <c r="X14301" s="235" t="n"/>
    </row>
    <row r="14302" ht="14.25" customHeight="1" s="192">
      <c r="W14302" s="239" t="n"/>
      <c r="X14302" s="239" t="n"/>
    </row>
    <row r="14303" ht="14.25" customHeight="1" s="192">
      <c r="W14303" s="239" t="n"/>
      <c r="X14303" s="239" t="n"/>
    </row>
    <row r="14304" ht="14.25" customHeight="1" s="192">
      <c r="W14304" s="235" t="n"/>
      <c r="X14304" s="235" t="n"/>
    </row>
    <row r="14305" ht="14.25" customHeight="1" s="192">
      <c r="W14305" s="235" t="n"/>
      <c r="X14305" s="235" t="n"/>
    </row>
    <row r="14306" ht="14.25" customHeight="1" s="192">
      <c r="W14306" s="239" t="n"/>
      <c r="X14306" s="239" t="n"/>
    </row>
    <row r="14307" ht="14.25" customHeight="1" s="192">
      <c r="W14307" s="235" t="n"/>
      <c r="X14307" s="235" t="n"/>
    </row>
    <row r="14308" ht="14.25" customHeight="1" s="192">
      <c r="W14308" s="239" t="n"/>
      <c r="X14308" s="239" t="n"/>
    </row>
    <row r="14310" ht="14.25" customHeight="1" s="192">
      <c r="W14310" s="235" t="n"/>
      <c r="X14310" s="235" t="n"/>
    </row>
    <row r="14311" ht="15" customHeight="1" s="192" thickBot="1">
      <c r="W14311" s="239" t="n"/>
      <c r="X14311" s="239" t="n"/>
    </row>
    <row r="14312" ht="15" customHeight="1" s="192" thickBot="1">
      <c r="W14312" s="45" t="n"/>
      <c r="X14312" s="45" t="n"/>
    </row>
    <row r="14313" ht="14.25" customHeight="1" s="192">
      <c r="W14313" s="228" t="n"/>
      <c r="X14313" s="228" t="n"/>
    </row>
    <row r="14314" ht="14.25" customHeight="1" s="192">
      <c r="W14314" s="228" t="n"/>
      <c r="X14314" s="228" t="n"/>
    </row>
    <row r="14315" ht="14.25" customHeight="1" s="192">
      <c r="W14315" s="231" t="n"/>
      <c r="X14315" s="231" t="n"/>
    </row>
    <row r="14316" ht="14.25" customHeight="1" s="192">
      <c r="W14316" s="33" t="n"/>
      <c r="X14316" s="33" t="n"/>
    </row>
    <row r="14317" ht="14.25" customHeight="1" s="192">
      <c r="W14317" s="231" t="n"/>
      <c r="X14317" s="231" t="n"/>
    </row>
    <row r="14318" ht="14.25" customHeight="1" s="192">
      <c r="W14318" s="33" t="n"/>
      <c r="X14318" s="33" t="n"/>
    </row>
    <row r="14320" ht="14.25" customHeight="1" s="192">
      <c r="W14320" s="231" t="n"/>
      <c r="X14320" s="231" t="n"/>
    </row>
    <row r="14321" ht="14.25" customHeight="1" s="192">
      <c r="W14321" s="235" t="n"/>
      <c r="X14321" s="235" t="n"/>
    </row>
    <row r="14322" ht="14.25" customHeight="1" s="192">
      <c r="W14322" s="228" t="n"/>
      <c r="X14322" s="228" t="n"/>
    </row>
    <row r="14323" ht="14.25" customHeight="1" s="192">
      <c r="W14323" s="235" t="n"/>
      <c r="X14323" s="235" t="n"/>
    </row>
    <row r="14324" ht="14.25" customHeight="1" s="192">
      <c r="W14324" s="235" t="n"/>
      <c r="X14324" s="235" t="n"/>
    </row>
    <row r="14325" ht="14.25" customHeight="1" s="192">
      <c r="W14325" s="235" t="n"/>
      <c r="X14325" s="235" t="n"/>
    </row>
    <row r="14326" ht="14.25" customHeight="1" s="192">
      <c r="W14326" s="239" t="n"/>
      <c r="X14326" s="239" t="n"/>
    </row>
    <row r="14327" ht="14.25" customHeight="1" s="192">
      <c r="W14327" s="239" t="n"/>
      <c r="X14327" s="239" t="n"/>
    </row>
    <row r="14328" ht="14.25" customHeight="1" s="192">
      <c r="W14328" s="239" t="n"/>
      <c r="X14328" s="239" t="n"/>
    </row>
    <row r="14329" ht="14.25" customHeight="1" s="192">
      <c r="W14329" s="235" t="n"/>
      <c r="X14329" s="235" t="n"/>
    </row>
    <row r="14330" ht="14.25" customHeight="1" s="192">
      <c r="W14330" s="235" t="n"/>
      <c r="X14330" s="235" t="n"/>
    </row>
    <row r="14331" ht="14.25" customHeight="1" s="192">
      <c r="W14331" s="235" t="n"/>
      <c r="X14331" s="235" t="n"/>
    </row>
    <row r="14332" ht="14.25" customHeight="1" s="192">
      <c r="W14332" s="239" t="n"/>
      <c r="X14332" s="239" t="n"/>
    </row>
    <row r="14333" ht="14.25" customHeight="1" s="192">
      <c r="W14333" s="239" t="n"/>
      <c r="X14333" s="239" t="n"/>
    </row>
    <row r="14334" ht="14.25" customHeight="1" s="192">
      <c r="W14334" s="235" t="n"/>
      <c r="X14334" s="235" t="n"/>
    </row>
    <row r="14335" ht="14.25" customHeight="1" s="192">
      <c r="W14335" s="235" t="n"/>
      <c r="X14335" s="235" t="n"/>
    </row>
    <row r="14336" ht="14.25" customHeight="1" s="192">
      <c r="W14336" s="239" t="n"/>
      <c r="X14336" s="239" t="n"/>
    </row>
    <row r="14337" ht="14.25" customHeight="1" s="192">
      <c r="W14337" s="235" t="n"/>
      <c r="X14337" s="235" t="n"/>
    </row>
    <row r="14338" ht="14.25" customHeight="1" s="192">
      <c r="W14338" s="239" t="n"/>
      <c r="X14338" s="239" t="n"/>
    </row>
    <row r="14340" ht="14.25" customHeight="1" s="192">
      <c r="W14340" s="235" t="n"/>
      <c r="X14340" s="235" t="n"/>
    </row>
    <row r="14341" ht="15" customHeight="1" s="192" thickBot="1">
      <c r="W14341" s="239" t="n"/>
      <c r="X14341" s="239" t="n"/>
    </row>
    <row r="14342" ht="15" customHeight="1" s="192" thickBot="1">
      <c r="W14342" s="45" t="n"/>
      <c r="X14342" s="45" t="n"/>
    </row>
    <row r="14343" ht="14.25" customHeight="1" s="192">
      <c r="W14343" s="228" t="n"/>
      <c r="X14343" s="228" t="n"/>
    </row>
    <row r="14344" ht="14.25" customHeight="1" s="192">
      <c r="W14344" s="228" t="n"/>
      <c r="X14344" s="228" t="n"/>
    </row>
    <row r="14345" ht="14.25" customHeight="1" s="192">
      <c r="W14345" s="231" t="n"/>
      <c r="X14345" s="231" t="n"/>
    </row>
    <row r="14346" ht="14.25" customHeight="1" s="192">
      <c r="W14346" s="33" t="n"/>
      <c r="X14346" s="33" t="n"/>
    </row>
    <row r="14347" ht="14.25" customHeight="1" s="192">
      <c r="W14347" s="231" t="n"/>
      <c r="X14347" s="231" t="n"/>
    </row>
    <row r="14348" ht="14.25" customHeight="1" s="192">
      <c r="W14348" s="33" t="n"/>
      <c r="X14348" s="33" t="n"/>
    </row>
    <row r="14350" ht="14.25" customHeight="1" s="192">
      <c r="W14350" s="231" t="n"/>
      <c r="X14350" s="231" t="n"/>
    </row>
    <row r="14351" ht="14.25" customHeight="1" s="192">
      <c r="W14351" s="235" t="n"/>
      <c r="X14351" s="235" t="n"/>
    </row>
    <row r="14352" ht="14.25" customHeight="1" s="192">
      <c r="W14352" s="228" t="n"/>
      <c r="X14352" s="228" t="n"/>
    </row>
    <row r="14353" ht="14.25" customHeight="1" s="192">
      <c r="W14353" s="235" t="n"/>
      <c r="X14353" s="235" t="n"/>
    </row>
    <row r="14354" ht="14.25" customHeight="1" s="192">
      <c r="W14354" s="235" t="n"/>
      <c r="X14354" s="235" t="n"/>
    </row>
    <row r="14355" ht="14.25" customHeight="1" s="192">
      <c r="W14355" s="235" t="n"/>
      <c r="X14355" s="235" t="n"/>
    </row>
    <row r="14356" ht="14.25" customHeight="1" s="192">
      <c r="W14356" s="239" t="n"/>
      <c r="X14356" s="239" t="n"/>
    </row>
    <row r="14357" ht="14.25" customHeight="1" s="192">
      <c r="W14357" s="239" t="n"/>
      <c r="X14357" s="239" t="n"/>
    </row>
    <row r="14358" ht="14.25" customHeight="1" s="192">
      <c r="W14358" s="239" t="n"/>
      <c r="X14358" s="239" t="n"/>
    </row>
    <row r="14359" ht="14.25" customHeight="1" s="192">
      <c r="W14359" s="235" t="n"/>
      <c r="X14359" s="235" t="n"/>
    </row>
    <row r="14360" ht="14.25" customHeight="1" s="192">
      <c r="W14360" s="235" t="n"/>
      <c r="X14360" s="235" t="n"/>
    </row>
    <row r="14361" ht="14.25" customHeight="1" s="192">
      <c r="W14361" s="235" t="n"/>
      <c r="X14361" s="235" t="n"/>
    </row>
    <row r="14362" ht="14.25" customHeight="1" s="192">
      <c r="W14362" s="239" t="n"/>
      <c r="X14362" s="239" t="n"/>
    </row>
    <row r="14363" ht="14.25" customHeight="1" s="192">
      <c r="W14363" s="239" t="n"/>
      <c r="X14363" s="239" t="n"/>
    </row>
    <row r="14364" ht="14.25" customHeight="1" s="192">
      <c r="W14364" s="235" t="n"/>
      <c r="X14364" s="235" t="n"/>
    </row>
    <row r="14365" ht="14.25" customHeight="1" s="192">
      <c r="W14365" s="235" t="n"/>
      <c r="X14365" s="235" t="n"/>
    </row>
    <row r="14366" ht="14.25" customHeight="1" s="192">
      <c r="W14366" s="239" t="n"/>
      <c r="X14366" s="239" t="n"/>
    </row>
    <row r="14367" ht="14.25" customHeight="1" s="192">
      <c r="W14367" s="235" t="n"/>
      <c r="X14367" s="235" t="n"/>
    </row>
    <row r="14368" ht="14.25" customHeight="1" s="192">
      <c r="W14368" s="239" t="n"/>
      <c r="X14368" s="239" t="n"/>
    </row>
    <row r="14370" ht="14.25" customHeight="1" s="192">
      <c r="W14370" s="235" t="n"/>
      <c r="X14370" s="235" t="n"/>
    </row>
    <row r="14371" ht="15" customHeight="1" s="192" thickBot="1">
      <c r="W14371" s="239" t="n"/>
      <c r="X14371" s="239" t="n"/>
    </row>
    <row r="14372" ht="15" customHeight="1" s="192" thickBot="1">
      <c r="W14372" s="45" t="n"/>
      <c r="X14372" s="45" t="n"/>
    </row>
    <row r="14373" ht="14.25" customHeight="1" s="192">
      <c r="W14373" s="228" t="n"/>
      <c r="X14373" s="228" t="n"/>
    </row>
    <row r="14374" ht="14.25" customHeight="1" s="192">
      <c r="W14374" s="228" t="n"/>
      <c r="X14374" s="228" t="n"/>
    </row>
    <row r="14375" ht="14.25" customHeight="1" s="192">
      <c r="W14375" s="231" t="n"/>
      <c r="X14375" s="231" t="n"/>
    </row>
    <row r="14376" ht="14.25" customHeight="1" s="192">
      <c r="W14376" s="33" t="n"/>
      <c r="X14376" s="33" t="n"/>
    </row>
    <row r="14377" ht="14.25" customHeight="1" s="192">
      <c r="W14377" s="231" t="n"/>
      <c r="X14377" s="231" t="n"/>
    </row>
    <row r="14378" ht="14.25" customHeight="1" s="192">
      <c r="W14378" s="33" t="n"/>
      <c r="X14378" s="33" t="n"/>
    </row>
    <row r="14380" ht="14.25" customHeight="1" s="192">
      <c r="W14380" s="231" t="n"/>
      <c r="X14380" s="231" t="n"/>
    </row>
    <row r="14381" ht="14.25" customHeight="1" s="192">
      <c r="W14381" s="235" t="n"/>
      <c r="X14381" s="235" t="n"/>
    </row>
    <row r="14382" ht="14.25" customHeight="1" s="192">
      <c r="W14382" s="228" t="n"/>
      <c r="X14382" s="228" t="n"/>
    </row>
    <row r="14383" ht="14.25" customHeight="1" s="192">
      <c r="W14383" s="235" t="n"/>
      <c r="X14383" s="235" t="n"/>
    </row>
    <row r="14384" ht="14.25" customHeight="1" s="192">
      <c r="W14384" s="235" t="n"/>
      <c r="X14384" s="235" t="n"/>
    </row>
    <row r="14385" ht="14.25" customHeight="1" s="192">
      <c r="W14385" s="235" t="n"/>
      <c r="X14385" s="235" t="n"/>
    </row>
    <row r="14386" ht="14.25" customHeight="1" s="192">
      <c r="W14386" s="239" t="n"/>
      <c r="X14386" s="239" t="n"/>
    </row>
    <row r="14387" ht="14.25" customHeight="1" s="192">
      <c r="W14387" s="239" t="n"/>
      <c r="X14387" s="239" t="n"/>
    </row>
    <row r="14388" ht="14.25" customHeight="1" s="192">
      <c r="W14388" s="239" t="n"/>
      <c r="X14388" s="239" t="n"/>
    </row>
    <row r="14389" ht="14.25" customHeight="1" s="192">
      <c r="W14389" s="235" t="n"/>
      <c r="X14389" s="235" t="n"/>
    </row>
    <row r="14390" ht="14.25" customHeight="1" s="192">
      <c r="W14390" s="235" t="n"/>
      <c r="X14390" s="235" t="n"/>
    </row>
    <row r="14391" ht="14.25" customHeight="1" s="192">
      <c r="W14391" s="235" t="n"/>
      <c r="X14391" s="235" t="n"/>
    </row>
    <row r="14392" ht="14.25" customHeight="1" s="192">
      <c r="W14392" s="239" t="n"/>
      <c r="X14392" s="239" t="n"/>
    </row>
    <row r="14393" ht="14.25" customHeight="1" s="192">
      <c r="W14393" s="239" t="n"/>
      <c r="X14393" s="239" t="n"/>
    </row>
    <row r="14394" ht="14.25" customHeight="1" s="192">
      <c r="W14394" s="235" t="n"/>
      <c r="X14394" s="235" t="n"/>
    </row>
    <row r="14395" ht="14.25" customHeight="1" s="192">
      <c r="W14395" s="235" t="n"/>
      <c r="X14395" s="235" t="n"/>
    </row>
    <row r="14396" ht="14.25" customHeight="1" s="192">
      <c r="W14396" s="239" t="n"/>
      <c r="X14396" s="239" t="n"/>
    </row>
    <row r="14397" ht="14.25" customHeight="1" s="192">
      <c r="W14397" s="235" t="n"/>
      <c r="X14397" s="235" t="n"/>
    </row>
    <row r="14398" ht="14.25" customHeight="1" s="192">
      <c r="W14398" s="239" t="n"/>
      <c r="X14398" s="239" t="n"/>
    </row>
    <row r="14400" ht="14.25" customHeight="1" s="192">
      <c r="W14400" s="235" t="n"/>
      <c r="X14400" s="235" t="n"/>
    </row>
    <row r="14401" ht="15" customHeight="1" s="192" thickBot="1">
      <c r="W14401" s="239" t="n"/>
      <c r="X14401" s="239" t="n"/>
    </row>
    <row r="14402" ht="15" customHeight="1" s="192" thickBot="1">
      <c r="W14402" s="45" t="n"/>
      <c r="X14402" s="45" t="n"/>
    </row>
    <row r="14403" ht="14.25" customHeight="1" s="192">
      <c r="W14403" s="228" t="n"/>
      <c r="X14403" s="228" t="n"/>
    </row>
    <row r="14404" ht="14.25" customHeight="1" s="192">
      <c r="W14404" s="228" t="n"/>
      <c r="X14404" s="228" t="n"/>
    </row>
    <row r="14405" ht="14.25" customHeight="1" s="192">
      <c r="W14405" s="231" t="n"/>
      <c r="X14405" s="231" t="n"/>
    </row>
    <row r="14406" ht="14.25" customHeight="1" s="192">
      <c r="W14406" s="33" t="n"/>
      <c r="X14406" s="33" t="n"/>
    </row>
    <row r="14407" ht="14.25" customHeight="1" s="192">
      <c r="W14407" s="231" t="n"/>
      <c r="X14407" s="231" t="n"/>
    </row>
    <row r="14408" ht="14.25" customHeight="1" s="192">
      <c r="W14408" s="33" t="n"/>
      <c r="X14408" s="33" t="n"/>
    </row>
    <row r="14410" ht="14.25" customHeight="1" s="192">
      <c r="W14410" s="231" t="n"/>
      <c r="X14410" s="231" t="n"/>
    </row>
    <row r="14411" ht="14.25" customHeight="1" s="192">
      <c r="W14411" s="235" t="n"/>
      <c r="X14411" s="235" t="n"/>
    </row>
    <row r="14412" ht="14.25" customHeight="1" s="192">
      <c r="W14412" s="228" t="n"/>
      <c r="X14412" s="228" t="n"/>
    </row>
    <row r="14413" ht="14.25" customHeight="1" s="192">
      <c r="W14413" s="235" t="n"/>
      <c r="X14413" s="235" t="n"/>
    </row>
    <row r="14414" ht="14.25" customHeight="1" s="192">
      <c r="W14414" s="235" t="n"/>
      <c r="X14414" s="235" t="n"/>
    </row>
    <row r="14415" ht="14.25" customHeight="1" s="192">
      <c r="W14415" s="235" t="n"/>
      <c r="X14415" s="235" t="n"/>
    </row>
    <row r="14416" ht="14.25" customHeight="1" s="192">
      <c r="W14416" s="239" t="n"/>
      <c r="X14416" s="239" t="n"/>
    </row>
    <row r="14417" ht="14.25" customHeight="1" s="192">
      <c r="W14417" s="239" t="n"/>
      <c r="X14417" s="239" t="n"/>
    </row>
    <row r="14418" ht="14.25" customHeight="1" s="192">
      <c r="W14418" s="239" t="n"/>
      <c r="X14418" s="239" t="n"/>
    </row>
    <row r="14419" ht="14.25" customHeight="1" s="192">
      <c r="W14419" s="235" t="n"/>
      <c r="X14419" s="235" t="n"/>
    </row>
    <row r="14420" ht="14.25" customHeight="1" s="192">
      <c r="W14420" s="235" t="n"/>
      <c r="X14420" s="235" t="n"/>
    </row>
    <row r="14421" ht="14.25" customHeight="1" s="192">
      <c r="W14421" s="235" t="n"/>
      <c r="X14421" s="235" t="n"/>
    </row>
    <row r="14422" ht="14.25" customHeight="1" s="192">
      <c r="W14422" s="239" t="n"/>
      <c r="X14422" s="239" t="n"/>
    </row>
    <row r="14423" ht="14.25" customHeight="1" s="192">
      <c r="W14423" s="239" t="n"/>
      <c r="X14423" s="239" t="n"/>
    </row>
    <row r="14424" ht="14.25" customHeight="1" s="192">
      <c r="W14424" s="235" t="n"/>
      <c r="X14424" s="235" t="n"/>
    </row>
    <row r="14425" ht="14.25" customHeight="1" s="192">
      <c r="W14425" s="235" t="n"/>
      <c r="X14425" s="235" t="n"/>
    </row>
    <row r="14426" ht="14.25" customHeight="1" s="192">
      <c r="W14426" s="239" t="n"/>
      <c r="X14426" s="239" t="n"/>
    </row>
    <row r="14427" ht="14.25" customHeight="1" s="192">
      <c r="W14427" s="235" t="n"/>
      <c r="X14427" s="235" t="n"/>
    </row>
    <row r="14428" ht="14.25" customHeight="1" s="192">
      <c r="W14428" s="239" t="n"/>
      <c r="X14428" s="239" t="n"/>
    </row>
    <row r="14430" ht="14.25" customHeight="1" s="192">
      <c r="W14430" s="235" t="n"/>
      <c r="X14430" s="235" t="n"/>
    </row>
    <row r="14431" ht="15" customHeight="1" s="192" thickBot="1">
      <c r="W14431" s="239" t="n"/>
      <c r="X14431" s="239" t="n"/>
    </row>
    <row r="14432" ht="15" customHeight="1" s="192" thickBot="1">
      <c r="W14432" s="45" t="n"/>
      <c r="X14432" s="45" t="n"/>
    </row>
    <row r="14433" ht="14.25" customHeight="1" s="192">
      <c r="W14433" s="228" t="n"/>
      <c r="X14433" s="228" t="n"/>
    </row>
    <row r="14434" ht="14.25" customHeight="1" s="192">
      <c r="W14434" s="228" t="n"/>
      <c r="X14434" s="228" t="n"/>
    </row>
    <row r="14435" ht="14.25" customHeight="1" s="192">
      <c r="W14435" s="231" t="n"/>
      <c r="X14435" s="231" t="n"/>
    </row>
    <row r="14436" ht="14.25" customHeight="1" s="192">
      <c r="W14436" s="33" t="n"/>
      <c r="X14436" s="33" t="n"/>
    </row>
    <row r="14437" ht="14.25" customHeight="1" s="192">
      <c r="W14437" s="231" t="n"/>
      <c r="X14437" s="231" t="n"/>
    </row>
    <row r="14438" ht="14.25" customHeight="1" s="192">
      <c r="W14438" s="33" t="n"/>
      <c r="X14438" s="33" t="n"/>
    </row>
    <row r="14440" ht="14.25" customHeight="1" s="192">
      <c r="W14440" s="231" t="n"/>
      <c r="X14440" s="231" t="n"/>
    </row>
    <row r="14441" ht="14.25" customHeight="1" s="192">
      <c r="W14441" s="235" t="n"/>
      <c r="X14441" s="235" t="n"/>
    </row>
    <row r="14442" ht="14.25" customHeight="1" s="192">
      <c r="W14442" s="228" t="n"/>
      <c r="X14442" s="228" t="n"/>
    </row>
    <row r="14443" ht="14.25" customHeight="1" s="192">
      <c r="W14443" s="235" t="n"/>
      <c r="X14443" s="235" t="n"/>
    </row>
    <row r="14444" ht="14.25" customHeight="1" s="192">
      <c r="W14444" s="235" t="n"/>
      <c r="X14444" s="235" t="n"/>
    </row>
    <row r="14445" ht="14.25" customHeight="1" s="192">
      <c r="W14445" s="235" t="n"/>
      <c r="X14445" s="235" t="n"/>
    </row>
    <row r="14446" ht="14.25" customHeight="1" s="192">
      <c r="W14446" s="239" t="n"/>
      <c r="X14446" s="239" t="n"/>
    </row>
    <row r="14447" ht="14.25" customHeight="1" s="192">
      <c r="W14447" s="239" t="n"/>
      <c r="X14447" s="239" t="n"/>
    </row>
    <row r="14448" ht="14.25" customHeight="1" s="192">
      <c r="W14448" s="239" t="n"/>
      <c r="X14448" s="239" t="n"/>
    </row>
    <row r="14449" ht="14.25" customHeight="1" s="192">
      <c r="W14449" s="235" t="n"/>
      <c r="X14449" s="235" t="n"/>
    </row>
    <row r="14450" ht="14.25" customHeight="1" s="192">
      <c r="W14450" s="235" t="n"/>
      <c r="X14450" s="235" t="n"/>
    </row>
    <row r="14451" ht="14.25" customHeight="1" s="192">
      <c r="W14451" s="235" t="n"/>
      <c r="X14451" s="235" t="n"/>
    </row>
    <row r="14452" ht="14.25" customHeight="1" s="192">
      <c r="W14452" s="239" t="n"/>
      <c r="X14452" s="239" t="n"/>
    </row>
    <row r="14453" ht="14.25" customHeight="1" s="192">
      <c r="W14453" s="239" t="n"/>
      <c r="X14453" s="239" t="n"/>
    </row>
    <row r="14454" ht="14.25" customHeight="1" s="192">
      <c r="W14454" s="235" t="n"/>
      <c r="X14454" s="235" t="n"/>
    </row>
    <row r="14455" ht="14.25" customHeight="1" s="192">
      <c r="W14455" s="235" t="n"/>
      <c r="X14455" s="235" t="n"/>
    </row>
    <row r="14456" ht="14.25" customHeight="1" s="192">
      <c r="W14456" s="239" t="n"/>
      <c r="X14456" s="239" t="n"/>
    </row>
    <row r="14457" ht="14.25" customHeight="1" s="192">
      <c r="W14457" s="235" t="n"/>
      <c r="X14457" s="235" t="n"/>
    </row>
    <row r="14458" ht="14.25" customHeight="1" s="192">
      <c r="W14458" s="239" t="n"/>
      <c r="X14458" s="239" t="n"/>
    </row>
    <row r="14460" ht="14.25" customHeight="1" s="192">
      <c r="W14460" s="235" t="n"/>
      <c r="X14460" s="235" t="n"/>
    </row>
    <row r="14461" ht="15" customHeight="1" s="192" thickBot="1">
      <c r="W14461" s="239" t="n"/>
      <c r="X14461" s="239" t="n"/>
    </row>
    <row r="14462" ht="15" customHeight="1" s="192" thickBot="1">
      <c r="W14462" s="45" t="n"/>
      <c r="X14462" s="45" t="n"/>
    </row>
    <row r="14463" ht="14.25" customHeight="1" s="192">
      <c r="W14463" s="228" t="n"/>
      <c r="X14463" s="228" t="n"/>
    </row>
    <row r="14464" ht="14.25" customHeight="1" s="192">
      <c r="W14464" s="228" t="n"/>
      <c r="X14464" s="228" t="n"/>
    </row>
    <row r="14465" ht="14.25" customHeight="1" s="192">
      <c r="W14465" s="231" t="n"/>
      <c r="X14465" s="231" t="n"/>
    </row>
    <row r="14466" ht="14.25" customHeight="1" s="192">
      <c r="W14466" s="33" t="n"/>
      <c r="X14466" s="33" t="n"/>
    </row>
    <row r="14467" ht="14.25" customHeight="1" s="192">
      <c r="W14467" s="231" t="n"/>
      <c r="X14467" s="231" t="n"/>
    </row>
    <row r="14468" ht="14.25" customHeight="1" s="192">
      <c r="W14468" s="33" t="n"/>
      <c r="X14468" s="33" t="n"/>
    </row>
    <row r="14470" ht="14.25" customHeight="1" s="192">
      <c r="W14470" s="231" t="n"/>
      <c r="X14470" s="231" t="n"/>
    </row>
    <row r="14471" ht="14.25" customHeight="1" s="192">
      <c r="W14471" s="235" t="n"/>
      <c r="X14471" s="235" t="n"/>
    </row>
    <row r="14472" ht="14.25" customHeight="1" s="192">
      <c r="W14472" s="228" t="n"/>
      <c r="X14472" s="228" t="n"/>
    </row>
    <row r="14473" ht="14.25" customHeight="1" s="192">
      <c r="W14473" s="235" t="n"/>
      <c r="X14473" s="235" t="n"/>
    </row>
    <row r="14474" ht="14.25" customHeight="1" s="192">
      <c r="W14474" s="235" t="n"/>
      <c r="X14474" s="235" t="n"/>
    </row>
    <row r="14475" ht="14.25" customHeight="1" s="192">
      <c r="W14475" s="235" t="n"/>
      <c r="X14475" s="235" t="n"/>
    </row>
    <row r="14476" ht="14.25" customHeight="1" s="192">
      <c r="W14476" s="239" t="n"/>
      <c r="X14476" s="239" t="n"/>
    </row>
    <row r="14477" ht="14.25" customHeight="1" s="192">
      <c r="W14477" s="239" t="n"/>
      <c r="X14477" s="239" t="n"/>
    </row>
    <row r="14478" ht="14.25" customHeight="1" s="192">
      <c r="W14478" s="239" t="n"/>
      <c r="X14478" s="239" t="n"/>
    </row>
    <row r="14479" ht="14.25" customHeight="1" s="192">
      <c r="W14479" s="235" t="n"/>
      <c r="X14479" s="235" t="n"/>
    </row>
    <row r="14480" ht="14.25" customHeight="1" s="192">
      <c r="W14480" s="235" t="n"/>
      <c r="X14480" s="235" t="n"/>
    </row>
    <row r="14481" ht="14.25" customHeight="1" s="192">
      <c r="W14481" s="235" t="n"/>
      <c r="X14481" s="235" t="n"/>
    </row>
    <row r="14482" ht="14.25" customHeight="1" s="192">
      <c r="W14482" s="239" t="n"/>
      <c r="X14482" s="239" t="n"/>
    </row>
    <row r="14483" ht="14.25" customHeight="1" s="192">
      <c r="W14483" s="239" t="n"/>
      <c r="X14483" s="239" t="n"/>
    </row>
    <row r="14484" ht="14.25" customHeight="1" s="192">
      <c r="W14484" s="235" t="n"/>
      <c r="X14484" s="235" t="n"/>
    </row>
    <row r="14485" ht="14.25" customHeight="1" s="192">
      <c r="W14485" s="235" t="n"/>
      <c r="X14485" s="235" t="n"/>
    </row>
    <row r="14486" ht="14.25" customHeight="1" s="192">
      <c r="W14486" s="239" t="n"/>
      <c r="X14486" s="239" t="n"/>
    </row>
    <row r="14487" ht="14.25" customHeight="1" s="192">
      <c r="W14487" s="235" t="n"/>
      <c r="X14487" s="235" t="n"/>
    </row>
    <row r="14488" ht="14.25" customHeight="1" s="192">
      <c r="W14488" s="239" t="n"/>
      <c r="X14488" s="239" t="n"/>
    </row>
    <row r="14490" ht="14.25" customHeight="1" s="192">
      <c r="W14490" s="235" t="n"/>
      <c r="X14490" s="235" t="n"/>
    </row>
    <row r="14491" ht="15" customHeight="1" s="192" thickBot="1">
      <c r="W14491" s="239" t="n"/>
      <c r="X14491" s="239" t="n"/>
    </row>
    <row r="14492" ht="15" customHeight="1" s="192" thickBot="1">
      <c r="W14492" s="45" t="n"/>
      <c r="X14492" s="45" t="n"/>
    </row>
    <row r="14493" ht="14.25" customHeight="1" s="192">
      <c r="W14493" s="228" t="n"/>
      <c r="X14493" s="228" t="n"/>
    </row>
    <row r="14494" ht="14.25" customHeight="1" s="192">
      <c r="W14494" s="228" t="n"/>
      <c r="X14494" s="228" t="n"/>
    </row>
    <row r="14495" ht="14.25" customHeight="1" s="192">
      <c r="W14495" s="231" t="n"/>
      <c r="X14495" s="231" t="n"/>
    </row>
    <row r="14496" ht="14.25" customHeight="1" s="192">
      <c r="W14496" s="33" t="n"/>
      <c r="X14496" s="33" t="n"/>
    </row>
    <row r="14497" ht="14.25" customHeight="1" s="192">
      <c r="W14497" s="231" t="n"/>
      <c r="X14497" s="231" t="n"/>
    </row>
    <row r="14498" ht="14.25" customHeight="1" s="192">
      <c r="W14498" s="33" t="n"/>
      <c r="X14498" s="33" t="n"/>
    </row>
    <row r="14500" ht="14.25" customHeight="1" s="192">
      <c r="W14500" s="231" t="n"/>
      <c r="X14500" s="231" t="n"/>
    </row>
    <row r="14501" ht="14.25" customHeight="1" s="192">
      <c r="W14501" s="235" t="n"/>
      <c r="X14501" s="235" t="n"/>
    </row>
    <row r="14502" ht="14.25" customHeight="1" s="192">
      <c r="W14502" s="228" t="n"/>
      <c r="X14502" s="228" t="n"/>
    </row>
    <row r="14503" ht="14.25" customHeight="1" s="192">
      <c r="W14503" s="235" t="n"/>
      <c r="X14503" s="235" t="n"/>
    </row>
    <row r="14504" ht="14.25" customHeight="1" s="192">
      <c r="W14504" s="235" t="n"/>
      <c r="X14504" s="235" t="n"/>
    </row>
    <row r="14505" ht="14.25" customHeight="1" s="192">
      <c r="W14505" s="235" t="n"/>
      <c r="X14505" s="235" t="n"/>
    </row>
    <row r="14506" ht="14.25" customHeight="1" s="192">
      <c r="W14506" s="239" t="n"/>
      <c r="X14506" s="239" t="n"/>
    </row>
    <row r="14507" ht="14.25" customHeight="1" s="192">
      <c r="W14507" s="239" t="n"/>
      <c r="X14507" s="239" t="n"/>
    </row>
    <row r="14508" ht="14.25" customHeight="1" s="192">
      <c r="W14508" s="239" t="n"/>
      <c r="X14508" s="239" t="n"/>
    </row>
    <row r="14509" ht="14.25" customHeight="1" s="192">
      <c r="W14509" s="235" t="n"/>
      <c r="X14509" s="235" t="n"/>
    </row>
    <row r="14510" ht="14.25" customHeight="1" s="192">
      <c r="W14510" s="235" t="n"/>
      <c r="X14510" s="235" t="n"/>
    </row>
    <row r="14511" ht="14.25" customHeight="1" s="192">
      <c r="W14511" s="235" t="n"/>
      <c r="X14511" s="235" t="n"/>
    </row>
    <row r="14512" ht="14.25" customHeight="1" s="192">
      <c r="W14512" s="239" t="n"/>
      <c r="X14512" s="239" t="n"/>
    </row>
    <row r="14513" ht="14.25" customHeight="1" s="192">
      <c r="W14513" s="239" t="n"/>
      <c r="X14513" s="239" t="n"/>
    </row>
    <row r="14514" ht="14.25" customHeight="1" s="192">
      <c r="W14514" s="235" t="n"/>
      <c r="X14514" s="235" t="n"/>
    </row>
    <row r="14515" ht="14.25" customHeight="1" s="192">
      <c r="W14515" s="235" t="n"/>
      <c r="X14515" s="235" t="n"/>
    </row>
    <row r="14516" ht="14.25" customHeight="1" s="192">
      <c r="W14516" s="239" t="n"/>
      <c r="X14516" s="239" t="n"/>
    </row>
    <row r="14517" ht="14.25" customHeight="1" s="192">
      <c r="W14517" s="235" t="n"/>
      <c r="X14517" s="235" t="n"/>
    </row>
    <row r="14518" ht="14.25" customHeight="1" s="192">
      <c r="W14518" s="239" t="n"/>
      <c r="X14518" s="239" t="n"/>
    </row>
    <row r="14520" ht="14.25" customHeight="1" s="192">
      <c r="W14520" s="235" t="n"/>
      <c r="X14520" s="235" t="n"/>
    </row>
    <row r="14521" ht="15" customHeight="1" s="192" thickBot="1">
      <c r="W14521" s="239" t="n"/>
      <c r="X14521" s="239" t="n"/>
    </row>
    <row r="14522" ht="15" customHeight="1" s="192" thickBot="1">
      <c r="W14522" s="45" t="n"/>
      <c r="X14522" s="45" t="n"/>
    </row>
    <row r="14523" ht="14.25" customHeight="1" s="192">
      <c r="W14523" s="228" t="n"/>
      <c r="X14523" s="228" t="n"/>
    </row>
    <row r="14524" ht="14.25" customHeight="1" s="192">
      <c r="W14524" s="228" t="n"/>
      <c r="X14524" s="228" t="n"/>
    </row>
    <row r="14525" ht="14.25" customHeight="1" s="192">
      <c r="W14525" s="231" t="n"/>
      <c r="X14525" s="231" t="n"/>
    </row>
    <row r="14526" ht="14.25" customHeight="1" s="192">
      <c r="W14526" s="33" t="n"/>
      <c r="X14526" s="33" t="n"/>
    </row>
    <row r="14527" ht="14.25" customHeight="1" s="192">
      <c r="W14527" s="231" t="n"/>
      <c r="X14527" s="231" t="n"/>
    </row>
    <row r="14528" ht="14.25" customHeight="1" s="192">
      <c r="W14528" s="33" t="n"/>
      <c r="X14528" s="33" t="n"/>
    </row>
    <row r="14530" ht="14.25" customHeight="1" s="192">
      <c r="W14530" s="231" t="n"/>
      <c r="X14530" s="231" t="n"/>
    </row>
    <row r="14531" ht="14.25" customHeight="1" s="192">
      <c r="W14531" s="235" t="n"/>
      <c r="X14531" s="235" t="n"/>
    </row>
    <row r="14532" ht="14.25" customHeight="1" s="192">
      <c r="W14532" s="228" t="n"/>
      <c r="X14532" s="228" t="n"/>
    </row>
    <row r="14533" ht="14.25" customHeight="1" s="192">
      <c r="W14533" s="235" t="n"/>
      <c r="X14533" s="235" t="n"/>
    </row>
    <row r="14534" ht="14.25" customHeight="1" s="192">
      <c r="W14534" s="235" t="n"/>
      <c r="X14534" s="235" t="n"/>
    </row>
    <row r="14535" ht="14.25" customHeight="1" s="192">
      <c r="W14535" s="235" t="n"/>
      <c r="X14535" s="235" t="n"/>
    </row>
    <row r="14536" ht="14.25" customHeight="1" s="192">
      <c r="W14536" s="239" t="n"/>
      <c r="X14536" s="239" t="n"/>
    </row>
    <row r="14537" ht="14.25" customHeight="1" s="192">
      <c r="W14537" s="239" t="n"/>
      <c r="X14537" s="239" t="n"/>
    </row>
    <row r="14538" ht="14.25" customHeight="1" s="192">
      <c r="W14538" s="239" t="n"/>
      <c r="X14538" s="239" t="n"/>
    </row>
    <row r="14539" ht="14.25" customHeight="1" s="192">
      <c r="W14539" s="235" t="n"/>
      <c r="X14539" s="235" t="n"/>
    </row>
    <row r="14540" ht="14.25" customHeight="1" s="192">
      <c r="W14540" s="235" t="n"/>
      <c r="X14540" s="235" t="n"/>
    </row>
    <row r="14541" ht="14.25" customHeight="1" s="192">
      <c r="W14541" s="235" t="n"/>
      <c r="X14541" s="235" t="n"/>
    </row>
    <row r="14542" ht="14.25" customHeight="1" s="192">
      <c r="W14542" s="239" t="n"/>
      <c r="X14542" s="239" t="n"/>
    </row>
    <row r="14543" ht="14.25" customHeight="1" s="192">
      <c r="W14543" s="239" t="n"/>
      <c r="X14543" s="239" t="n"/>
    </row>
    <row r="14544" ht="14.25" customHeight="1" s="192">
      <c r="W14544" s="235" t="n"/>
      <c r="X14544" s="235" t="n"/>
    </row>
    <row r="14545" ht="14.25" customHeight="1" s="192">
      <c r="W14545" s="235" t="n"/>
      <c r="X14545" s="235" t="n"/>
    </row>
    <row r="14546" ht="14.25" customHeight="1" s="192">
      <c r="W14546" s="239" t="n"/>
      <c r="X14546" s="239" t="n"/>
    </row>
    <row r="14547" ht="14.25" customHeight="1" s="192">
      <c r="W14547" s="235" t="n"/>
      <c r="X14547" s="235" t="n"/>
    </row>
    <row r="14548" ht="14.25" customHeight="1" s="192">
      <c r="W14548" s="239" t="n"/>
      <c r="X14548" s="239" t="n"/>
    </row>
    <row r="14550" ht="14.25" customHeight="1" s="192">
      <c r="W14550" s="235" t="n"/>
      <c r="X14550" s="235" t="n"/>
    </row>
    <row r="14551" ht="15" customHeight="1" s="192" thickBot="1">
      <c r="W14551" s="239" t="n"/>
      <c r="X14551" s="239" t="n"/>
    </row>
    <row r="14552" ht="15" customHeight="1" s="192" thickBot="1">
      <c r="W14552" s="45" t="n"/>
      <c r="X14552" s="45" t="n"/>
    </row>
    <row r="14553" ht="14.25" customHeight="1" s="192">
      <c r="W14553" s="228" t="n"/>
      <c r="X14553" s="228" t="n"/>
    </row>
    <row r="14554" ht="14.25" customHeight="1" s="192">
      <c r="W14554" s="228" t="n"/>
      <c r="X14554" s="228" t="n"/>
    </row>
    <row r="14555" ht="14.25" customHeight="1" s="192">
      <c r="W14555" s="231" t="n"/>
      <c r="X14555" s="231" t="n"/>
    </row>
    <row r="14556" ht="14.25" customHeight="1" s="192">
      <c r="W14556" s="33" t="n"/>
      <c r="X14556" s="33" t="n"/>
    </row>
    <row r="14557" ht="14.25" customHeight="1" s="192">
      <c r="W14557" s="231" t="n"/>
      <c r="X14557" s="231" t="n"/>
    </row>
    <row r="14558" ht="14.25" customHeight="1" s="192">
      <c r="W14558" s="33" t="n"/>
      <c r="X14558" s="33" t="n"/>
    </row>
    <row r="14560" ht="14.25" customHeight="1" s="192">
      <c r="W14560" s="231" t="n"/>
      <c r="X14560" s="231" t="n"/>
    </row>
    <row r="14561" ht="14.25" customHeight="1" s="192">
      <c r="W14561" s="235" t="n"/>
      <c r="X14561" s="235" t="n"/>
    </row>
    <row r="14562" ht="14.25" customHeight="1" s="192">
      <c r="W14562" s="228" t="n"/>
      <c r="X14562" s="228" t="n"/>
    </row>
    <row r="14563" ht="14.25" customHeight="1" s="192">
      <c r="W14563" s="235" t="n"/>
      <c r="X14563" s="235" t="n"/>
    </row>
    <row r="14564" ht="14.25" customHeight="1" s="192">
      <c r="W14564" s="235" t="n"/>
      <c r="X14564" s="235" t="n"/>
    </row>
    <row r="14565" ht="14.25" customHeight="1" s="192">
      <c r="W14565" s="235" t="n"/>
      <c r="X14565" s="235" t="n"/>
    </row>
    <row r="14566" ht="14.25" customHeight="1" s="192">
      <c r="W14566" s="239" t="n"/>
      <c r="X14566" s="239" t="n"/>
    </row>
    <row r="14567" ht="14.25" customHeight="1" s="192">
      <c r="W14567" s="239" t="n"/>
      <c r="X14567" s="239" t="n"/>
    </row>
    <row r="14568" ht="14.25" customHeight="1" s="192">
      <c r="W14568" s="239" t="n"/>
      <c r="X14568" s="239" t="n"/>
    </row>
    <row r="14569" ht="14.25" customHeight="1" s="192">
      <c r="W14569" s="235" t="n"/>
      <c r="X14569" s="235" t="n"/>
    </row>
    <row r="14570" ht="14.25" customHeight="1" s="192">
      <c r="W14570" s="235" t="n"/>
      <c r="X14570" s="235" t="n"/>
    </row>
    <row r="14571" ht="14.25" customHeight="1" s="192">
      <c r="W14571" s="235" t="n"/>
      <c r="X14571" s="235" t="n"/>
    </row>
    <row r="14572" ht="14.25" customHeight="1" s="192">
      <c r="W14572" s="239" t="n"/>
      <c r="X14572" s="239" t="n"/>
    </row>
    <row r="14573" ht="14.25" customHeight="1" s="192">
      <c r="W14573" s="239" t="n"/>
      <c r="X14573" s="239" t="n"/>
    </row>
    <row r="14574" ht="14.25" customHeight="1" s="192">
      <c r="W14574" s="235" t="n"/>
      <c r="X14574" s="235" t="n"/>
    </row>
    <row r="14575" ht="14.25" customHeight="1" s="192">
      <c r="W14575" s="235" t="n"/>
      <c r="X14575" s="235" t="n"/>
    </row>
    <row r="14576" ht="14.25" customHeight="1" s="192">
      <c r="W14576" s="239" t="n"/>
      <c r="X14576" s="239" t="n"/>
    </row>
    <row r="14577" ht="14.25" customHeight="1" s="192">
      <c r="W14577" s="235" t="n"/>
      <c r="X14577" s="235" t="n"/>
    </row>
    <row r="14578" ht="14.25" customHeight="1" s="192">
      <c r="W14578" s="239" t="n"/>
      <c r="X14578" s="239" t="n"/>
    </row>
    <row r="14580" ht="14.25" customHeight="1" s="192">
      <c r="W14580" s="235" t="n"/>
      <c r="X14580" s="235" t="n"/>
    </row>
    <row r="14581" ht="15" customHeight="1" s="192" thickBot="1">
      <c r="W14581" s="239" t="n"/>
      <c r="X14581" s="239" t="n"/>
    </row>
    <row r="14582" ht="15" customHeight="1" s="192" thickBot="1">
      <c r="W14582" s="45" t="n"/>
      <c r="X14582" s="45" t="n"/>
    </row>
    <row r="14583" ht="14.25" customHeight="1" s="192">
      <c r="W14583" s="228" t="n"/>
      <c r="X14583" s="228" t="n"/>
    </row>
    <row r="14584" ht="14.25" customHeight="1" s="192">
      <c r="W14584" s="228" t="n"/>
      <c r="X14584" s="228" t="n"/>
    </row>
    <row r="14585" ht="14.25" customHeight="1" s="192">
      <c r="W14585" s="231" t="n"/>
      <c r="X14585" s="231" t="n"/>
    </row>
    <row r="14586" ht="14.25" customHeight="1" s="192">
      <c r="W14586" s="33" t="n"/>
      <c r="X14586" s="33" t="n"/>
    </row>
    <row r="14587" ht="14.25" customHeight="1" s="192">
      <c r="W14587" s="231" t="n"/>
      <c r="X14587" s="231" t="n"/>
    </row>
    <row r="14588" ht="14.25" customHeight="1" s="192">
      <c r="W14588" s="33" t="n"/>
      <c r="X14588" s="33" t="n"/>
    </row>
    <row r="14590" ht="14.25" customHeight="1" s="192">
      <c r="W14590" s="231" t="n"/>
      <c r="X14590" s="231" t="n"/>
    </row>
    <row r="14591" ht="14.25" customHeight="1" s="192">
      <c r="W14591" s="235" t="n"/>
      <c r="X14591" s="235" t="n"/>
    </row>
    <row r="14592" ht="14.25" customHeight="1" s="192">
      <c r="W14592" s="228" t="n"/>
      <c r="X14592" s="228" t="n"/>
    </row>
    <row r="14593" ht="14.25" customHeight="1" s="192">
      <c r="W14593" s="235" t="n"/>
      <c r="X14593" s="235" t="n"/>
    </row>
    <row r="14594" ht="14.25" customHeight="1" s="192">
      <c r="W14594" s="235" t="n"/>
      <c r="X14594" s="235" t="n"/>
    </row>
    <row r="14595" ht="14.25" customHeight="1" s="192">
      <c r="W14595" s="235" t="n"/>
      <c r="X14595" s="235" t="n"/>
    </row>
    <row r="14596" ht="14.25" customHeight="1" s="192">
      <c r="W14596" s="239" t="n"/>
      <c r="X14596" s="239" t="n"/>
    </row>
    <row r="14597" ht="14.25" customHeight="1" s="192">
      <c r="W14597" s="239" t="n"/>
      <c r="X14597" s="239" t="n"/>
    </row>
    <row r="14598" ht="14.25" customHeight="1" s="192">
      <c r="W14598" s="239" t="n"/>
      <c r="X14598" s="239" t="n"/>
    </row>
    <row r="14599" ht="14.25" customHeight="1" s="192">
      <c r="W14599" s="235" t="n"/>
      <c r="X14599" s="235" t="n"/>
    </row>
    <row r="14600" ht="14.25" customHeight="1" s="192">
      <c r="W14600" s="235" t="n"/>
      <c r="X14600" s="235" t="n"/>
    </row>
    <row r="14601" ht="14.25" customHeight="1" s="192">
      <c r="W14601" s="235" t="n"/>
      <c r="X14601" s="235" t="n"/>
    </row>
    <row r="14602" ht="14.25" customHeight="1" s="192">
      <c r="W14602" s="239" t="n"/>
      <c r="X14602" s="239" t="n"/>
    </row>
    <row r="14603" ht="14.25" customHeight="1" s="192">
      <c r="W14603" s="239" t="n"/>
      <c r="X14603" s="239" t="n"/>
    </row>
    <row r="14604" ht="14.25" customHeight="1" s="192">
      <c r="W14604" s="235" t="n"/>
      <c r="X14604" s="235" t="n"/>
    </row>
    <row r="14605" ht="14.25" customHeight="1" s="192">
      <c r="W14605" s="235" t="n"/>
      <c r="X14605" s="235" t="n"/>
    </row>
    <row r="14606" ht="14.25" customHeight="1" s="192">
      <c r="W14606" s="239" t="n"/>
      <c r="X14606" s="239" t="n"/>
    </row>
    <row r="14607" ht="14.25" customHeight="1" s="192">
      <c r="W14607" s="235" t="n"/>
      <c r="X14607" s="235" t="n"/>
    </row>
    <row r="14608" ht="14.25" customHeight="1" s="192">
      <c r="W14608" s="239" t="n"/>
      <c r="X14608" s="239" t="n"/>
    </row>
    <row r="14610" ht="14.25" customHeight="1" s="192">
      <c r="W14610" s="235" t="n"/>
      <c r="X14610" s="235" t="n"/>
    </row>
    <row r="14611" ht="15" customHeight="1" s="192" thickBot="1">
      <c r="W14611" s="239" t="n"/>
      <c r="X14611" s="239" t="n"/>
    </row>
    <row r="14612" ht="15" customHeight="1" s="192" thickBot="1">
      <c r="W14612" s="45" t="n"/>
      <c r="X14612" s="45" t="n"/>
    </row>
    <row r="14613" ht="14.25" customHeight="1" s="192">
      <c r="W14613" s="228" t="n"/>
      <c r="X14613" s="228" t="n"/>
    </row>
    <row r="14614" ht="14.25" customHeight="1" s="192">
      <c r="W14614" s="228" t="n"/>
      <c r="X14614" s="228" t="n"/>
    </row>
    <row r="14615" ht="14.25" customHeight="1" s="192">
      <c r="W14615" s="231" t="n"/>
      <c r="X14615" s="231" t="n"/>
    </row>
    <row r="14616" ht="14.25" customHeight="1" s="192">
      <c r="W14616" s="33" t="n"/>
      <c r="X14616" s="33" t="n"/>
    </row>
    <row r="14617" ht="14.25" customHeight="1" s="192">
      <c r="W14617" s="231" t="n"/>
      <c r="X14617" s="231" t="n"/>
    </row>
    <row r="14618" ht="14.25" customHeight="1" s="192">
      <c r="W14618" s="33" t="n"/>
      <c r="X14618" s="33" t="n"/>
    </row>
    <row r="14620" ht="14.25" customHeight="1" s="192">
      <c r="W14620" s="231" t="n"/>
      <c r="X14620" s="231" t="n"/>
    </row>
    <row r="14621" ht="14.25" customHeight="1" s="192">
      <c r="W14621" s="235" t="n"/>
      <c r="X14621" s="235" t="n"/>
    </row>
    <row r="14622" ht="14.25" customHeight="1" s="192">
      <c r="W14622" s="228" t="n"/>
      <c r="X14622" s="228" t="n"/>
    </row>
    <row r="14623" ht="14.25" customHeight="1" s="192">
      <c r="W14623" s="235" t="n"/>
      <c r="X14623" s="235" t="n"/>
    </row>
    <row r="14624" ht="14.25" customHeight="1" s="192">
      <c r="W14624" s="235" t="n"/>
      <c r="X14624" s="235" t="n"/>
    </row>
    <row r="14625" ht="14.25" customHeight="1" s="192">
      <c r="W14625" s="235" t="n"/>
      <c r="X14625" s="235" t="n"/>
    </row>
    <row r="14626" ht="14.25" customHeight="1" s="192">
      <c r="W14626" s="239" t="n"/>
      <c r="X14626" s="239" t="n"/>
    </row>
    <row r="14627" ht="14.25" customHeight="1" s="192">
      <c r="W14627" s="239" t="n"/>
      <c r="X14627" s="239" t="n"/>
    </row>
    <row r="14628" ht="14.25" customHeight="1" s="192">
      <c r="W14628" s="239" t="n"/>
      <c r="X14628" s="239" t="n"/>
    </row>
    <row r="14629" ht="14.25" customHeight="1" s="192">
      <c r="W14629" s="235" t="n"/>
      <c r="X14629" s="235" t="n"/>
    </row>
    <row r="14630" ht="14.25" customHeight="1" s="192">
      <c r="W14630" s="235" t="n"/>
      <c r="X14630" s="235" t="n"/>
    </row>
    <row r="14631" ht="14.25" customHeight="1" s="192">
      <c r="W14631" s="235" t="n"/>
      <c r="X14631" s="235" t="n"/>
    </row>
    <row r="14632" ht="14.25" customHeight="1" s="192">
      <c r="W14632" s="239" t="n"/>
      <c r="X14632" s="239" t="n"/>
    </row>
    <row r="14633" ht="14.25" customHeight="1" s="192">
      <c r="W14633" s="239" t="n"/>
      <c r="X14633" s="239" t="n"/>
    </row>
    <row r="14634" ht="14.25" customHeight="1" s="192">
      <c r="W14634" s="235" t="n"/>
      <c r="X14634" s="235" t="n"/>
    </row>
    <row r="14635" ht="14.25" customHeight="1" s="192">
      <c r="W14635" s="235" t="n"/>
      <c r="X14635" s="235" t="n"/>
    </row>
    <row r="14636" ht="14.25" customHeight="1" s="192">
      <c r="W14636" s="239" t="n"/>
      <c r="X14636" s="239" t="n"/>
    </row>
    <row r="14637" ht="14.25" customHeight="1" s="192">
      <c r="W14637" s="235" t="n"/>
      <c r="X14637" s="235" t="n"/>
    </row>
    <row r="14638" ht="14.25" customHeight="1" s="192">
      <c r="W14638" s="239" t="n"/>
      <c r="X14638" s="239" t="n"/>
    </row>
    <row r="14640" ht="14.25" customHeight="1" s="192">
      <c r="W14640" s="235" t="n"/>
      <c r="X14640" s="235" t="n"/>
    </row>
    <row r="14641" ht="15" customHeight="1" s="192" thickBot="1">
      <c r="W14641" s="239" t="n"/>
      <c r="X14641" s="239" t="n"/>
    </row>
    <row r="14642" ht="15" customHeight="1" s="192" thickBot="1">
      <c r="W14642" s="45" t="n"/>
      <c r="X14642" s="45" t="n"/>
    </row>
    <row r="14643" ht="14.25" customHeight="1" s="192">
      <c r="W14643" s="228" t="n"/>
      <c r="X14643" s="228" t="n"/>
    </row>
    <row r="14644" ht="14.25" customHeight="1" s="192">
      <c r="W14644" s="228" t="n"/>
      <c r="X14644" s="228" t="n"/>
    </row>
    <row r="14645" ht="14.25" customHeight="1" s="192">
      <c r="W14645" s="231" t="n"/>
      <c r="X14645" s="231" t="n"/>
    </row>
    <row r="14646" ht="14.25" customHeight="1" s="192">
      <c r="W14646" s="33" t="n"/>
      <c r="X14646" s="33" t="n"/>
    </row>
    <row r="14647" ht="14.25" customHeight="1" s="192">
      <c r="W14647" s="231" t="n"/>
      <c r="X14647" s="231" t="n"/>
    </row>
    <row r="14648" ht="14.25" customHeight="1" s="192">
      <c r="W14648" s="33" t="n"/>
      <c r="X14648" s="33" t="n"/>
    </row>
    <row r="14650" ht="14.25" customHeight="1" s="192">
      <c r="W14650" s="231" t="n"/>
      <c r="X14650" s="231" t="n"/>
    </row>
    <row r="14651" ht="14.25" customHeight="1" s="192">
      <c r="W14651" s="235" t="n"/>
      <c r="X14651" s="235" t="n"/>
    </row>
    <row r="14652" ht="14.25" customHeight="1" s="192">
      <c r="W14652" s="228" t="n"/>
      <c r="X14652" s="228" t="n"/>
    </row>
    <row r="14653" ht="14.25" customHeight="1" s="192">
      <c r="W14653" s="235" t="n"/>
      <c r="X14653" s="235" t="n"/>
    </row>
    <row r="14654" ht="14.25" customHeight="1" s="192">
      <c r="W14654" s="235" t="n"/>
      <c r="X14654" s="235" t="n"/>
    </row>
    <row r="14655" ht="14.25" customHeight="1" s="192">
      <c r="W14655" s="235" t="n"/>
      <c r="X14655" s="235" t="n"/>
    </row>
    <row r="14656" ht="14.25" customHeight="1" s="192">
      <c r="W14656" s="239" t="n"/>
      <c r="X14656" s="239" t="n"/>
    </row>
    <row r="14657" ht="14.25" customHeight="1" s="192">
      <c r="W14657" s="239" t="n"/>
      <c r="X14657" s="239" t="n"/>
    </row>
    <row r="14658" ht="14.25" customHeight="1" s="192">
      <c r="W14658" s="239" t="n"/>
      <c r="X14658" s="239" t="n"/>
    </row>
    <row r="14659" ht="14.25" customHeight="1" s="192">
      <c r="W14659" s="235" t="n"/>
      <c r="X14659" s="235" t="n"/>
    </row>
    <row r="14660" ht="14.25" customHeight="1" s="192">
      <c r="W14660" s="235" t="n"/>
      <c r="X14660" s="235" t="n"/>
    </row>
    <row r="14661" ht="14.25" customHeight="1" s="192">
      <c r="W14661" s="235" t="n"/>
      <c r="X14661" s="235" t="n"/>
    </row>
    <row r="14662" ht="14.25" customHeight="1" s="192">
      <c r="W14662" s="239" t="n"/>
      <c r="X14662" s="239" t="n"/>
    </row>
    <row r="14663" ht="14.25" customHeight="1" s="192">
      <c r="W14663" s="239" t="n"/>
      <c r="X14663" s="239" t="n"/>
    </row>
    <row r="14664" ht="14.25" customHeight="1" s="192">
      <c r="W14664" s="235" t="n"/>
      <c r="X14664" s="235" t="n"/>
    </row>
    <row r="14665" ht="14.25" customHeight="1" s="192">
      <c r="W14665" s="235" t="n"/>
      <c r="X14665" s="235" t="n"/>
    </row>
    <row r="14666" ht="14.25" customHeight="1" s="192">
      <c r="W14666" s="239" t="n"/>
      <c r="X14666" s="239" t="n"/>
    </row>
    <row r="14667" ht="14.25" customHeight="1" s="192">
      <c r="W14667" s="235" t="n"/>
      <c r="X14667" s="235" t="n"/>
    </row>
    <row r="14668" ht="14.25" customHeight="1" s="192">
      <c r="W14668" s="239" t="n"/>
      <c r="X14668" s="239" t="n"/>
    </row>
    <row r="14670" ht="14.25" customHeight="1" s="192">
      <c r="W14670" s="235" t="n"/>
      <c r="X14670" s="235" t="n"/>
    </row>
    <row r="14671" ht="15" customHeight="1" s="192" thickBot="1">
      <c r="W14671" s="239" t="n"/>
      <c r="X14671" s="239" t="n"/>
    </row>
    <row r="14672" ht="15" customHeight="1" s="192" thickBot="1">
      <c r="W14672" s="45" t="n"/>
      <c r="X14672" s="45" t="n"/>
    </row>
    <row r="14673" ht="14.25" customHeight="1" s="192">
      <c r="W14673" s="228" t="n"/>
      <c r="X14673" s="228" t="n"/>
    </row>
    <row r="14674" ht="14.25" customHeight="1" s="192">
      <c r="W14674" s="228" t="n"/>
      <c r="X14674" s="228" t="n"/>
    </row>
    <row r="14675" ht="14.25" customHeight="1" s="192">
      <c r="W14675" s="231" t="n"/>
      <c r="X14675" s="231" t="n"/>
    </row>
    <row r="14676" ht="14.25" customHeight="1" s="192">
      <c r="W14676" s="33" t="n"/>
      <c r="X14676" s="33" t="n"/>
    </row>
    <row r="14677" ht="14.25" customHeight="1" s="192">
      <c r="W14677" s="231" t="n"/>
      <c r="X14677" s="231" t="n"/>
    </row>
    <row r="14678" ht="14.25" customHeight="1" s="192">
      <c r="W14678" s="33" t="n"/>
      <c r="X14678" s="33" t="n"/>
    </row>
    <row r="14680" ht="14.25" customHeight="1" s="192">
      <c r="W14680" s="231" t="n"/>
      <c r="X14680" s="231" t="n"/>
    </row>
    <row r="14681" ht="14.25" customHeight="1" s="192">
      <c r="W14681" s="235" t="n"/>
      <c r="X14681" s="235" t="n"/>
    </row>
    <row r="14682" ht="14.25" customHeight="1" s="192">
      <c r="W14682" s="228" t="n"/>
      <c r="X14682" s="228" t="n"/>
    </row>
    <row r="14683" ht="14.25" customHeight="1" s="192">
      <c r="W14683" s="235" t="n"/>
      <c r="X14683" s="235" t="n"/>
    </row>
    <row r="14684" ht="14.25" customHeight="1" s="192">
      <c r="W14684" s="235" t="n"/>
      <c r="X14684" s="235" t="n"/>
    </row>
    <row r="14685" ht="14.25" customHeight="1" s="192">
      <c r="W14685" s="235" t="n"/>
      <c r="X14685" s="235" t="n"/>
    </row>
    <row r="14686" ht="14.25" customHeight="1" s="192">
      <c r="W14686" s="239" t="n"/>
      <c r="X14686" s="239" t="n"/>
    </row>
    <row r="14687" ht="14.25" customHeight="1" s="192">
      <c r="W14687" s="239" t="n"/>
      <c r="X14687" s="239" t="n"/>
    </row>
    <row r="14688" ht="14.25" customHeight="1" s="192">
      <c r="W14688" s="239" t="n"/>
      <c r="X14688" s="239" t="n"/>
    </row>
    <row r="14689" ht="14.25" customHeight="1" s="192">
      <c r="W14689" s="235" t="n"/>
      <c r="X14689" s="235" t="n"/>
    </row>
    <row r="14690" ht="14.25" customHeight="1" s="192">
      <c r="W14690" s="235" t="n"/>
      <c r="X14690" s="235" t="n"/>
    </row>
    <row r="14691" ht="14.25" customHeight="1" s="192">
      <c r="W14691" s="235" t="n"/>
      <c r="X14691" s="235" t="n"/>
    </row>
    <row r="14692" ht="14.25" customHeight="1" s="192">
      <c r="W14692" s="239" t="n"/>
      <c r="X14692" s="239" t="n"/>
    </row>
    <row r="14693" ht="14.25" customHeight="1" s="192">
      <c r="W14693" s="239" t="n"/>
      <c r="X14693" s="239" t="n"/>
    </row>
    <row r="14694" ht="14.25" customHeight="1" s="192">
      <c r="W14694" s="235" t="n"/>
      <c r="X14694" s="235" t="n"/>
    </row>
    <row r="14695" ht="14.25" customHeight="1" s="192">
      <c r="W14695" s="235" t="n"/>
      <c r="X14695" s="235" t="n"/>
    </row>
    <row r="14696" ht="14.25" customHeight="1" s="192">
      <c r="W14696" s="239" t="n"/>
      <c r="X14696" s="239" t="n"/>
    </row>
    <row r="14697" ht="14.25" customHeight="1" s="192">
      <c r="W14697" s="235" t="n"/>
      <c r="X14697" s="235" t="n"/>
    </row>
    <row r="14698" ht="14.25" customHeight="1" s="192">
      <c r="W14698" s="239" t="n"/>
      <c r="X14698" s="239" t="n"/>
    </row>
    <row r="14700" ht="14.25" customHeight="1" s="192">
      <c r="W14700" s="235" t="n"/>
      <c r="X14700" s="235" t="n"/>
    </row>
    <row r="14701" ht="15" customHeight="1" s="192" thickBot="1">
      <c r="W14701" s="239" t="n"/>
      <c r="X14701" s="239" t="n"/>
    </row>
    <row r="14702" ht="15" customHeight="1" s="192" thickBot="1">
      <c r="W14702" s="45" t="n"/>
      <c r="X14702" s="45" t="n"/>
    </row>
    <row r="14703" ht="14.25" customHeight="1" s="192">
      <c r="W14703" s="228" t="n"/>
      <c r="X14703" s="228" t="n"/>
    </row>
    <row r="14704" ht="14.25" customHeight="1" s="192">
      <c r="W14704" s="228" t="n"/>
      <c r="X14704" s="228" t="n"/>
    </row>
    <row r="14705" ht="14.25" customHeight="1" s="192">
      <c r="W14705" s="231" t="n"/>
      <c r="X14705" s="231" t="n"/>
    </row>
    <row r="14706" ht="14.25" customHeight="1" s="192">
      <c r="W14706" s="33" t="n"/>
      <c r="X14706" s="33" t="n"/>
    </row>
    <row r="14707" ht="14.25" customHeight="1" s="192">
      <c r="W14707" s="231" t="n"/>
      <c r="X14707" s="231" t="n"/>
    </row>
    <row r="14708" ht="14.25" customHeight="1" s="192">
      <c r="W14708" s="33" t="n"/>
      <c r="X14708" s="33" t="n"/>
    </row>
    <row r="14710" ht="14.25" customHeight="1" s="192">
      <c r="W14710" s="231" t="n"/>
      <c r="X14710" s="231" t="n"/>
    </row>
    <row r="14711" ht="14.25" customHeight="1" s="192">
      <c r="W14711" s="235" t="n"/>
      <c r="X14711" s="235" t="n"/>
    </row>
    <row r="14712" ht="14.25" customHeight="1" s="192">
      <c r="W14712" s="228" t="n"/>
      <c r="X14712" s="228" t="n"/>
    </row>
    <row r="14713" ht="14.25" customHeight="1" s="192">
      <c r="W14713" s="235" t="n"/>
      <c r="X14713" s="235" t="n"/>
    </row>
    <row r="14714" ht="14.25" customHeight="1" s="192">
      <c r="W14714" s="235" t="n"/>
      <c r="X14714" s="235" t="n"/>
    </row>
    <row r="14715" ht="14.25" customHeight="1" s="192">
      <c r="W14715" s="235" t="n"/>
      <c r="X14715" s="235" t="n"/>
    </row>
    <row r="14716" ht="14.25" customHeight="1" s="192">
      <c r="W14716" s="239" t="n"/>
      <c r="X14716" s="239" t="n"/>
    </row>
    <row r="14717" ht="14.25" customHeight="1" s="192">
      <c r="W14717" s="239" t="n"/>
      <c r="X14717" s="239" t="n"/>
    </row>
    <row r="14718" ht="14.25" customHeight="1" s="192">
      <c r="W14718" s="239" t="n"/>
      <c r="X14718" s="239" t="n"/>
    </row>
    <row r="14719" ht="14.25" customHeight="1" s="192">
      <c r="W14719" s="235" t="n"/>
      <c r="X14719" s="235" t="n"/>
    </row>
    <row r="14720" ht="14.25" customHeight="1" s="192">
      <c r="W14720" s="235" t="n"/>
      <c r="X14720" s="235" t="n"/>
    </row>
    <row r="14721" ht="14.25" customHeight="1" s="192">
      <c r="W14721" s="235" t="n"/>
      <c r="X14721" s="235" t="n"/>
    </row>
    <row r="14722" ht="14.25" customHeight="1" s="192">
      <c r="W14722" s="239" t="n"/>
      <c r="X14722" s="239" t="n"/>
    </row>
    <row r="14723" ht="14.25" customHeight="1" s="192">
      <c r="W14723" s="239" t="n"/>
      <c r="X14723" s="239" t="n"/>
    </row>
    <row r="14724" ht="14.25" customHeight="1" s="192">
      <c r="W14724" s="235" t="n"/>
      <c r="X14724" s="235" t="n"/>
    </row>
    <row r="14725" ht="14.25" customHeight="1" s="192">
      <c r="W14725" s="235" t="n"/>
      <c r="X14725" s="235" t="n"/>
    </row>
    <row r="14726" ht="14.25" customHeight="1" s="192">
      <c r="W14726" s="239" t="n"/>
      <c r="X14726" s="239" t="n"/>
    </row>
    <row r="14727" ht="14.25" customHeight="1" s="192">
      <c r="W14727" s="235" t="n"/>
      <c r="X14727" s="235" t="n"/>
    </row>
    <row r="14728" ht="14.25" customHeight="1" s="192">
      <c r="W14728" s="239" t="n"/>
      <c r="X14728" s="239" t="n"/>
    </row>
    <row r="14730" ht="14.25" customHeight="1" s="192">
      <c r="W14730" s="235" t="n"/>
      <c r="X14730" s="235" t="n"/>
    </row>
    <row r="14731" ht="15" customHeight="1" s="192" thickBot="1">
      <c r="W14731" s="239" t="n"/>
      <c r="X14731" s="239" t="n"/>
    </row>
    <row r="14732" ht="15" customHeight="1" s="192" thickBot="1">
      <c r="W14732" s="45" t="n"/>
      <c r="X14732" s="45" t="n"/>
    </row>
    <row r="14733" ht="14.25" customHeight="1" s="192">
      <c r="W14733" s="228" t="n"/>
      <c r="X14733" s="228" t="n"/>
    </row>
    <row r="14734" ht="14.25" customHeight="1" s="192">
      <c r="W14734" s="228" t="n"/>
      <c r="X14734" s="228" t="n"/>
    </row>
    <row r="14735" ht="14.25" customHeight="1" s="192">
      <c r="W14735" s="231" t="n"/>
      <c r="X14735" s="231" t="n"/>
    </row>
    <row r="14736" ht="14.25" customHeight="1" s="192">
      <c r="W14736" s="33" t="n"/>
      <c r="X14736" s="33" t="n"/>
    </row>
    <row r="14737" ht="14.25" customHeight="1" s="192">
      <c r="W14737" s="231" t="n"/>
      <c r="X14737" s="231" t="n"/>
    </row>
    <row r="14738" ht="14.25" customHeight="1" s="192">
      <c r="W14738" s="33" t="n"/>
      <c r="X14738" s="33" t="n"/>
    </row>
    <row r="14740" ht="14.25" customHeight="1" s="192">
      <c r="W14740" s="231" t="n"/>
      <c r="X14740" s="231" t="n"/>
    </row>
    <row r="14741" ht="14.25" customHeight="1" s="192">
      <c r="W14741" s="235" t="n"/>
      <c r="X14741" s="235" t="n"/>
    </row>
    <row r="14742" ht="14.25" customHeight="1" s="192">
      <c r="W14742" s="228" t="n"/>
      <c r="X14742" s="228" t="n"/>
    </row>
    <row r="14743" ht="14.25" customHeight="1" s="192">
      <c r="W14743" s="235" t="n"/>
      <c r="X14743" s="235" t="n"/>
    </row>
    <row r="14744" ht="14.25" customHeight="1" s="192">
      <c r="W14744" s="235" t="n"/>
      <c r="X14744" s="235" t="n"/>
    </row>
    <row r="14745" ht="14.25" customHeight="1" s="192">
      <c r="W14745" s="235" t="n"/>
      <c r="X14745" s="235" t="n"/>
    </row>
    <row r="14746" ht="14.25" customHeight="1" s="192">
      <c r="W14746" s="239" t="n"/>
      <c r="X14746" s="239" t="n"/>
    </row>
    <row r="14747" ht="14.25" customHeight="1" s="192">
      <c r="W14747" s="239" t="n"/>
      <c r="X14747" s="239" t="n"/>
    </row>
    <row r="14748" ht="14.25" customHeight="1" s="192">
      <c r="W14748" s="239" t="n"/>
      <c r="X14748" s="239" t="n"/>
    </row>
    <row r="14749" ht="14.25" customHeight="1" s="192">
      <c r="W14749" s="235" t="n"/>
      <c r="X14749" s="235" t="n"/>
    </row>
    <row r="14750" ht="14.25" customHeight="1" s="192">
      <c r="W14750" s="235" t="n"/>
      <c r="X14750" s="235" t="n"/>
    </row>
    <row r="14751" ht="14.25" customHeight="1" s="192">
      <c r="W14751" s="235" t="n"/>
      <c r="X14751" s="235" t="n"/>
    </row>
    <row r="14752" ht="14.25" customHeight="1" s="192">
      <c r="W14752" s="239" t="n"/>
      <c r="X14752" s="239" t="n"/>
    </row>
    <row r="14753" ht="14.25" customHeight="1" s="192">
      <c r="W14753" s="239" t="n"/>
      <c r="X14753" s="239" t="n"/>
    </row>
    <row r="14754" ht="14.25" customHeight="1" s="192">
      <c r="W14754" s="235" t="n"/>
      <c r="X14754" s="235" t="n"/>
    </row>
    <row r="14755" ht="14.25" customHeight="1" s="192">
      <c r="W14755" s="235" t="n"/>
      <c r="X14755" s="235" t="n"/>
    </row>
    <row r="14756" ht="14.25" customHeight="1" s="192">
      <c r="W14756" s="239" t="n"/>
      <c r="X14756" s="239" t="n"/>
    </row>
    <row r="14757" ht="14.25" customHeight="1" s="192">
      <c r="W14757" s="235" t="n"/>
      <c r="X14757" s="235" t="n"/>
    </row>
    <row r="14758" ht="14.25" customHeight="1" s="192">
      <c r="W14758" s="239" t="n"/>
      <c r="X14758" s="239" t="n"/>
    </row>
    <row r="14760" ht="14.25" customHeight="1" s="192">
      <c r="W14760" s="235" t="n"/>
      <c r="X14760" s="235" t="n"/>
    </row>
    <row r="14761" ht="15" customHeight="1" s="192" thickBot="1">
      <c r="W14761" s="239" t="n"/>
      <c r="X14761" s="239" t="n"/>
    </row>
    <row r="14762" ht="15" customHeight="1" s="192" thickBot="1">
      <c r="W14762" s="45" t="n"/>
      <c r="X14762" s="45" t="n"/>
    </row>
    <row r="14763" ht="14.25" customHeight="1" s="192">
      <c r="W14763" s="228" t="n"/>
      <c r="X14763" s="228" t="n"/>
    </row>
    <row r="14764" ht="14.25" customHeight="1" s="192">
      <c r="W14764" s="228" t="n"/>
      <c r="X14764" s="228" t="n"/>
    </row>
    <row r="14765" ht="14.25" customHeight="1" s="192">
      <c r="W14765" s="231" t="n"/>
      <c r="X14765" s="231" t="n"/>
    </row>
    <row r="14766" ht="14.25" customHeight="1" s="192">
      <c r="W14766" s="33" t="n"/>
      <c r="X14766" s="33" t="n"/>
    </row>
    <row r="14767" ht="14.25" customHeight="1" s="192">
      <c r="W14767" s="231" t="n"/>
      <c r="X14767" s="231" t="n"/>
    </row>
    <row r="14768" ht="14.25" customHeight="1" s="192">
      <c r="W14768" s="33" t="n"/>
      <c r="X14768" s="33" t="n"/>
    </row>
    <row r="14770" ht="14.25" customHeight="1" s="192">
      <c r="W14770" s="231" t="n"/>
      <c r="X14770" s="231" t="n"/>
    </row>
    <row r="14771" ht="14.25" customHeight="1" s="192">
      <c r="W14771" s="235" t="n"/>
      <c r="X14771" s="235" t="n"/>
    </row>
    <row r="14772" ht="14.25" customHeight="1" s="192">
      <c r="W14772" s="228" t="n"/>
      <c r="X14772" s="228" t="n"/>
    </row>
    <row r="14773" ht="14.25" customHeight="1" s="192">
      <c r="W14773" s="235" t="n"/>
      <c r="X14773" s="235" t="n"/>
    </row>
    <row r="14774" ht="14.25" customHeight="1" s="192">
      <c r="W14774" s="235" t="n"/>
      <c r="X14774" s="235" t="n"/>
    </row>
    <row r="14775" ht="14.25" customHeight="1" s="192">
      <c r="W14775" s="235" t="n"/>
      <c r="X14775" s="235" t="n"/>
    </row>
    <row r="14776" ht="14.25" customHeight="1" s="192">
      <c r="W14776" s="239" t="n"/>
      <c r="X14776" s="239" t="n"/>
    </row>
    <row r="14777" ht="14.25" customHeight="1" s="192">
      <c r="W14777" s="239" t="n"/>
      <c r="X14777" s="239" t="n"/>
    </row>
    <row r="14778" ht="14.25" customHeight="1" s="192">
      <c r="W14778" s="239" t="n"/>
      <c r="X14778" s="239" t="n"/>
    </row>
    <row r="14779" ht="14.25" customHeight="1" s="192">
      <c r="W14779" s="235" t="n"/>
      <c r="X14779" s="235" t="n"/>
    </row>
    <row r="14780" ht="14.25" customHeight="1" s="192">
      <c r="W14780" s="235" t="n"/>
      <c r="X14780" s="235" t="n"/>
    </row>
    <row r="14781" ht="14.25" customHeight="1" s="192">
      <c r="W14781" s="235" t="n"/>
      <c r="X14781" s="235" t="n"/>
    </row>
    <row r="14782" ht="14.25" customHeight="1" s="192">
      <c r="W14782" s="239" t="n"/>
      <c r="X14782" s="239" t="n"/>
    </row>
    <row r="14783" ht="14.25" customHeight="1" s="192">
      <c r="W14783" s="239" t="n"/>
      <c r="X14783" s="239" t="n"/>
    </row>
    <row r="14784" ht="14.25" customHeight="1" s="192">
      <c r="W14784" s="235" t="n"/>
      <c r="X14784" s="235" t="n"/>
    </row>
    <row r="14785" ht="14.25" customHeight="1" s="192">
      <c r="W14785" s="235" t="n"/>
      <c r="X14785" s="235" t="n"/>
    </row>
    <row r="14786" ht="14.25" customHeight="1" s="192">
      <c r="W14786" s="239" t="n"/>
      <c r="X14786" s="239" t="n"/>
    </row>
    <row r="14787" ht="14.25" customHeight="1" s="192">
      <c r="W14787" s="235" t="n"/>
      <c r="X14787" s="235" t="n"/>
    </row>
    <row r="14788" ht="14.25" customHeight="1" s="192">
      <c r="W14788" s="239" t="n"/>
      <c r="X14788" s="239" t="n"/>
    </row>
    <row r="14790" ht="14.25" customHeight="1" s="192">
      <c r="W14790" s="235" t="n"/>
      <c r="X14790" s="235" t="n"/>
    </row>
    <row r="14791" ht="15" customHeight="1" s="192" thickBot="1">
      <c r="W14791" s="239" t="n"/>
      <c r="X14791" s="239" t="n"/>
    </row>
    <row r="14792" ht="15" customHeight="1" s="192" thickBot="1">
      <c r="W14792" s="45" t="n"/>
      <c r="X14792" s="45" t="n"/>
    </row>
    <row r="14793" ht="14.25" customHeight="1" s="192">
      <c r="W14793" s="228" t="n"/>
      <c r="X14793" s="228" t="n"/>
    </row>
    <row r="14794" ht="14.25" customHeight="1" s="192">
      <c r="W14794" s="228" t="n"/>
      <c r="X14794" s="228" t="n"/>
    </row>
    <row r="14795" ht="14.25" customHeight="1" s="192">
      <c r="W14795" s="231" t="n"/>
      <c r="X14795" s="231" t="n"/>
    </row>
    <row r="14796" ht="14.25" customHeight="1" s="192">
      <c r="W14796" s="33" t="n"/>
      <c r="X14796" s="33" t="n"/>
    </row>
    <row r="14797" ht="14.25" customHeight="1" s="192">
      <c r="W14797" s="231" t="n"/>
      <c r="X14797" s="231" t="n"/>
    </row>
    <row r="14798" ht="14.25" customHeight="1" s="192">
      <c r="W14798" s="33" t="n"/>
      <c r="X14798" s="33" t="n"/>
    </row>
    <row r="14800" ht="14.25" customHeight="1" s="192">
      <c r="W14800" s="231" t="n"/>
      <c r="X14800" s="231" t="n"/>
    </row>
    <row r="14801" ht="14.25" customHeight="1" s="192">
      <c r="W14801" s="235" t="n"/>
      <c r="X14801" s="235" t="n"/>
    </row>
    <row r="14802" ht="14.25" customHeight="1" s="192">
      <c r="W14802" s="228" t="n"/>
      <c r="X14802" s="228" t="n"/>
    </row>
    <row r="14803" ht="14.25" customHeight="1" s="192">
      <c r="W14803" s="235" t="n"/>
      <c r="X14803" s="235" t="n"/>
    </row>
    <row r="14804" ht="14.25" customHeight="1" s="192">
      <c r="W14804" s="235" t="n"/>
      <c r="X14804" s="235" t="n"/>
    </row>
    <row r="14805" ht="14.25" customHeight="1" s="192">
      <c r="W14805" s="235" t="n"/>
      <c r="X14805" s="235" t="n"/>
    </row>
    <row r="14806" ht="14.25" customHeight="1" s="192">
      <c r="W14806" s="239" t="n"/>
      <c r="X14806" s="239" t="n"/>
    </row>
    <row r="14807" ht="14.25" customHeight="1" s="192">
      <c r="W14807" s="239" t="n"/>
      <c r="X14807" s="239" t="n"/>
    </row>
    <row r="14808" ht="14.25" customHeight="1" s="192">
      <c r="W14808" s="239" t="n"/>
      <c r="X14808" s="239" t="n"/>
    </row>
    <row r="14809" ht="14.25" customHeight="1" s="192">
      <c r="W14809" s="235" t="n"/>
      <c r="X14809" s="235" t="n"/>
    </row>
    <row r="14810" ht="14.25" customHeight="1" s="192">
      <c r="W14810" s="235" t="n"/>
      <c r="X14810" s="235" t="n"/>
    </row>
    <row r="14811" ht="14.25" customHeight="1" s="192">
      <c r="W14811" s="235" t="n"/>
      <c r="X14811" s="235" t="n"/>
    </row>
    <row r="14812" ht="14.25" customHeight="1" s="192">
      <c r="W14812" s="239" t="n"/>
      <c r="X14812" s="239" t="n"/>
    </row>
    <row r="14813" ht="14.25" customHeight="1" s="192">
      <c r="W14813" s="239" t="n"/>
      <c r="X14813" s="239" t="n"/>
    </row>
    <row r="14814" ht="14.25" customHeight="1" s="192">
      <c r="W14814" s="235" t="n"/>
      <c r="X14814" s="235" t="n"/>
    </row>
    <row r="14815" ht="14.25" customHeight="1" s="192">
      <c r="W14815" s="235" t="n"/>
      <c r="X14815" s="235" t="n"/>
    </row>
    <row r="14816" ht="14.25" customHeight="1" s="192">
      <c r="W14816" s="239" t="n"/>
      <c r="X14816" s="239" t="n"/>
    </row>
    <row r="14817" ht="14.25" customHeight="1" s="192">
      <c r="W14817" s="235" t="n"/>
      <c r="X14817" s="235" t="n"/>
    </row>
    <row r="14818" ht="14.25" customHeight="1" s="192">
      <c r="W14818" s="239" t="n"/>
      <c r="X14818" s="239" t="n"/>
    </row>
    <row r="14820" ht="14.25" customHeight="1" s="192">
      <c r="W14820" s="235" t="n"/>
      <c r="X14820" s="235" t="n"/>
    </row>
    <row r="14821" ht="15" customHeight="1" s="192" thickBot="1">
      <c r="W14821" s="239" t="n"/>
      <c r="X14821" s="239" t="n"/>
    </row>
    <row r="14822" ht="15" customHeight="1" s="192" thickBot="1">
      <c r="W14822" s="45" t="n"/>
      <c r="X14822" s="45" t="n"/>
    </row>
    <row r="14823" ht="14.25" customHeight="1" s="192">
      <c r="W14823" s="228" t="n"/>
      <c r="X14823" s="228" t="n"/>
    </row>
    <row r="14824" ht="14.25" customHeight="1" s="192">
      <c r="W14824" s="228" t="n"/>
      <c r="X14824" s="228" t="n"/>
    </row>
    <row r="14825" ht="14.25" customHeight="1" s="192">
      <c r="W14825" s="231" t="n"/>
      <c r="X14825" s="231" t="n"/>
    </row>
    <row r="14826" ht="14.25" customHeight="1" s="192">
      <c r="W14826" s="33" t="n"/>
      <c r="X14826" s="33" t="n"/>
    </row>
    <row r="14827" ht="14.25" customHeight="1" s="192">
      <c r="W14827" s="231" t="n"/>
      <c r="X14827" s="231" t="n"/>
    </row>
    <row r="14828" ht="14.25" customHeight="1" s="192">
      <c r="W14828" s="33" t="n"/>
      <c r="X14828" s="33" t="n"/>
    </row>
    <row r="14830" ht="14.25" customHeight="1" s="192">
      <c r="W14830" s="231" t="n"/>
      <c r="X14830" s="231" t="n"/>
    </row>
    <row r="14831" ht="14.25" customHeight="1" s="192">
      <c r="W14831" s="235" t="n"/>
      <c r="X14831" s="235" t="n"/>
    </row>
    <row r="14832" ht="14.25" customHeight="1" s="192">
      <c r="W14832" s="228" t="n"/>
      <c r="X14832" s="228" t="n"/>
    </row>
    <row r="14833" ht="14.25" customHeight="1" s="192">
      <c r="W14833" s="235" t="n"/>
      <c r="X14833" s="235" t="n"/>
    </row>
    <row r="14834" ht="14.25" customHeight="1" s="192">
      <c r="W14834" s="235" t="n"/>
      <c r="X14834" s="235" t="n"/>
    </row>
    <row r="14835" ht="14.25" customHeight="1" s="192">
      <c r="W14835" s="235" t="n"/>
      <c r="X14835" s="235" t="n"/>
    </row>
    <row r="14836" ht="14.25" customHeight="1" s="192">
      <c r="W14836" s="239" t="n"/>
      <c r="X14836" s="239" t="n"/>
    </row>
    <row r="14837" ht="14.25" customHeight="1" s="192">
      <c r="W14837" s="239" t="n"/>
      <c r="X14837" s="239" t="n"/>
    </row>
    <row r="14838" ht="14.25" customHeight="1" s="192">
      <c r="W14838" s="239" t="n"/>
      <c r="X14838" s="239" t="n"/>
    </row>
    <row r="14839" ht="14.25" customHeight="1" s="192">
      <c r="W14839" s="235" t="n"/>
      <c r="X14839" s="235" t="n"/>
    </row>
    <row r="14840" ht="14.25" customHeight="1" s="192">
      <c r="W14840" s="235" t="n"/>
      <c r="X14840" s="235" t="n"/>
    </row>
    <row r="14841" ht="14.25" customHeight="1" s="192">
      <c r="W14841" s="235" t="n"/>
      <c r="X14841" s="235" t="n"/>
    </row>
    <row r="14842" ht="14.25" customHeight="1" s="192">
      <c r="W14842" s="239" t="n"/>
      <c r="X14842" s="239" t="n"/>
    </row>
    <row r="14843" ht="14.25" customHeight="1" s="192">
      <c r="W14843" s="239" t="n"/>
      <c r="X14843" s="239" t="n"/>
    </row>
    <row r="14844" ht="14.25" customHeight="1" s="192">
      <c r="W14844" s="235" t="n"/>
      <c r="X14844" s="235" t="n"/>
    </row>
    <row r="14845" ht="14.25" customHeight="1" s="192">
      <c r="W14845" s="235" t="n"/>
      <c r="X14845" s="235" t="n"/>
    </row>
    <row r="14846" ht="14.25" customHeight="1" s="192">
      <c r="W14846" s="239" t="n"/>
      <c r="X14846" s="239" t="n"/>
    </row>
    <row r="14847" ht="14.25" customHeight="1" s="192">
      <c r="W14847" s="235" t="n"/>
      <c r="X14847" s="235" t="n"/>
    </row>
    <row r="14848" ht="14.25" customHeight="1" s="192">
      <c r="W14848" s="239" t="n"/>
      <c r="X14848" s="239" t="n"/>
    </row>
    <row r="14850" ht="14.25" customHeight="1" s="192">
      <c r="W14850" s="235" t="n"/>
      <c r="X14850" s="235" t="n"/>
    </row>
    <row r="14851" ht="15" customHeight="1" s="192" thickBot="1">
      <c r="W14851" s="239" t="n"/>
      <c r="X14851" s="239" t="n"/>
    </row>
    <row r="14852" ht="15" customHeight="1" s="192" thickBot="1">
      <c r="W14852" s="45" t="n"/>
      <c r="X14852" s="45" t="n"/>
    </row>
    <row r="14853" ht="14.25" customHeight="1" s="192">
      <c r="W14853" s="228" t="n"/>
      <c r="X14853" s="228" t="n"/>
    </row>
    <row r="14854" ht="14.25" customHeight="1" s="192">
      <c r="W14854" s="228" t="n"/>
      <c r="X14854" s="228" t="n"/>
    </row>
    <row r="14855" ht="14.25" customHeight="1" s="192">
      <c r="W14855" s="231" t="n"/>
      <c r="X14855" s="231" t="n"/>
    </row>
    <row r="14856" ht="14.25" customHeight="1" s="192">
      <c r="W14856" s="33" t="n"/>
      <c r="X14856" s="33" t="n"/>
    </row>
    <row r="14857" ht="14.25" customHeight="1" s="192">
      <c r="W14857" s="231" t="n"/>
      <c r="X14857" s="231" t="n"/>
    </row>
    <row r="14858" ht="14.25" customHeight="1" s="192">
      <c r="W14858" s="33" t="n"/>
      <c r="X14858" s="33" t="n"/>
    </row>
    <row r="14860" ht="14.25" customHeight="1" s="192">
      <c r="W14860" s="231" t="n"/>
      <c r="X14860" s="231" t="n"/>
    </row>
    <row r="14861" ht="14.25" customHeight="1" s="192">
      <c r="W14861" s="235" t="n"/>
      <c r="X14861" s="235" t="n"/>
    </row>
    <row r="14862" ht="14.25" customHeight="1" s="192">
      <c r="W14862" s="228" t="n"/>
      <c r="X14862" s="228" t="n"/>
    </row>
    <row r="14863" ht="14.25" customHeight="1" s="192">
      <c r="W14863" s="235" t="n"/>
      <c r="X14863" s="235" t="n"/>
    </row>
    <row r="14864" ht="14.25" customHeight="1" s="192">
      <c r="W14864" s="235" t="n"/>
      <c r="X14864" s="235" t="n"/>
    </row>
    <row r="14865" ht="14.25" customHeight="1" s="192">
      <c r="W14865" s="235" t="n"/>
      <c r="X14865" s="235" t="n"/>
    </row>
    <row r="14866" ht="14.25" customHeight="1" s="192">
      <c r="W14866" s="239" t="n"/>
      <c r="X14866" s="239" t="n"/>
    </row>
    <row r="14867" ht="14.25" customHeight="1" s="192">
      <c r="W14867" s="239" t="n"/>
      <c r="X14867" s="239" t="n"/>
    </row>
    <row r="14868" ht="14.25" customHeight="1" s="192">
      <c r="W14868" s="239" t="n"/>
      <c r="X14868" s="239" t="n"/>
    </row>
    <row r="14869" ht="14.25" customHeight="1" s="192">
      <c r="W14869" s="235" t="n"/>
      <c r="X14869" s="235" t="n"/>
    </row>
    <row r="14870" ht="14.25" customHeight="1" s="192">
      <c r="W14870" s="235" t="n"/>
      <c r="X14870" s="235" t="n"/>
    </row>
    <row r="14871" ht="14.25" customHeight="1" s="192">
      <c r="W14871" s="235" t="n"/>
      <c r="X14871" s="235" t="n"/>
    </row>
    <row r="14872" ht="14.25" customHeight="1" s="192">
      <c r="W14872" s="239" t="n"/>
      <c r="X14872" s="239" t="n"/>
    </row>
    <row r="14873" ht="14.25" customHeight="1" s="192">
      <c r="W14873" s="239" t="n"/>
      <c r="X14873" s="239" t="n"/>
    </row>
    <row r="14874" ht="14.25" customHeight="1" s="192">
      <c r="W14874" s="235" t="n"/>
      <c r="X14874" s="235" t="n"/>
    </row>
    <row r="14875" ht="14.25" customHeight="1" s="192">
      <c r="W14875" s="235" t="n"/>
      <c r="X14875" s="235" t="n"/>
    </row>
    <row r="14876" ht="14.25" customHeight="1" s="192">
      <c r="W14876" s="239" t="n"/>
      <c r="X14876" s="239" t="n"/>
    </row>
    <row r="14877" ht="14.25" customHeight="1" s="192">
      <c r="W14877" s="235" t="n"/>
      <c r="X14877" s="235" t="n"/>
    </row>
    <row r="14878" ht="14.25" customHeight="1" s="192">
      <c r="W14878" s="239" t="n"/>
      <c r="X14878" s="239" t="n"/>
    </row>
    <row r="14880" ht="14.25" customHeight="1" s="192">
      <c r="W14880" s="235" t="n"/>
      <c r="X14880" s="235" t="n"/>
    </row>
    <row r="14881" ht="15" customHeight="1" s="192" thickBot="1">
      <c r="W14881" s="239" t="n"/>
      <c r="X14881" s="239" t="n"/>
    </row>
    <row r="14882" ht="15" customHeight="1" s="192" thickBot="1">
      <c r="W14882" s="45" t="n"/>
      <c r="X14882" s="45" t="n"/>
    </row>
    <row r="14883" ht="14.25" customHeight="1" s="192">
      <c r="W14883" s="228" t="n"/>
      <c r="X14883" s="228" t="n"/>
    </row>
    <row r="14884" ht="14.25" customHeight="1" s="192">
      <c r="W14884" s="228" t="n"/>
      <c r="X14884" s="228" t="n"/>
    </row>
    <row r="14885" ht="14.25" customHeight="1" s="192">
      <c r="W14885" s="231" t="n"/>
      <c r="X14885" s="231" t="n"/>
    </row>
    <row r="14886" ht="14.25" customHeight="1" s="192">
      <c r="W14886" s="33" t="n"/>
      <c r="X14886" s="33" t="n"/>
    </row>
    <row r="14887" ht="14.25" customHeight="1" s="192">
      <c r="W14887" s="231" t="n"/>
      <c r="X14887" s="231" t="n"/>
    </row>
    <row r="14888" ht="14.25" customHeight="1" s="192">
      <c r="W14888" s="33" t="n"/>
      <c r="X14888" s="33" t="n"/>
    </row>
    <row r="14890" ht="14.25" customHeight="1" s="192">
      <c r="W14890" s="231" t="n"/>
      <c r="X14890" s="231" t="n"/>
    </row>
    <row r="14891" ht="14.25" customHeight="1" s="192">
      <c r="W14891" s="235" t="n"/>
      <c r="X14891" s="235" t="n"/>
    </row>
    <row r="14892" ht="14.25" customHeight="1" s="192">
      <c r="W14892" s="228" t="n"/>
      <c r="X14892" s="228" t="n"/>
    </row>
    <row r="14893" ht="14.25" customHeight="1" s="192">
      <c r="W14893" s="235" t="n"/>
      <c r="X14893" s="235" t="n"/>
    </row>
    <row r="14894" ht="14.25" customHeight="1" s="192">
      <c r="W14894" s="235" t="n"/>
      <c r="X14894" s="235" t="n"/>
    </row>
    <row r="14895" ht="14.25" customHeight="1" s="192">
      <c r="W14895" s="235" t="n"/>
      <c r="X14895" s="235" t="n"/>
    </row>
    <row r="14896" ht="14.25" customHeight="1" s="192">
      <c r="W14896" s="239" t="n"/>
      <c r="X14896" s="239" t="n"/>
    </row>
    <row r="14897" ht="14.25" customHeight="1" s="192">
      <c r="W14897" s="239" t="n"/>
      <c r="X14897" s="239" t="n"/>
    </row>
    <row r="14898" ht="14.25" customHeight="1" s="192">
      <c r="W14898" s="239" t="n"/>
      <c r="X14898" s="239" t="n"/>
    </row>
    <row r="14899" ht="14.25" customHeight="1" s="192">
      <c r="W14899" s="235" t="n"/>
      <c r="X14899" s="235" t="n"/>
    </row>
    <row r="14900" ht="14.25" customHeight="1" s="192">
      <c r="W14900" s="235" t="n"/>
      <c r="X14900" s="235" t="n"/>
    </row>
    <row r="14901" ht="14.25" customHeight="1" s="192">
      <c r="W14901" s="235" t="n"/>
      <c r="X14901" s="235" t="n"/>
    </row>
    <row r="14902" ht="14.25" customHeight="1" s="192">
      <c r="W14902" s="239" t="n"/>
      <c r="X14902" s="239" t="n"/>
    </row>
    <row r="14903" ht="14.25" customHeight="1" s="192">
      <c r="W14903" s="239" t="n"/>
      <c r="X14903" s="239" t="n"/>
    </row>
    <row r="14904" ht="14.25" customHeight="1" s="192">
      <c r="W14904" s="235" t="n"/>
      <c r="X14904" s="235" t="n"/>
    </row>
    <row r="14905" ht="14.25" customHeight="1" s="192">
      <c r="W14905" s="235" t="n"/>
      <c r="X14905" s="235" t="n"/>
    </row>
    <row r="14906" ht="14.25" customHeight="1" s="192">
      <c r="W14906" s="239" t="n"/>
      <c r="X14906" s="239" t="n"/>
    </row>
    <row r="14907" ht="14.25" customHeight="1" s="192">
      <c r="W14907" s="235" t="n"/>
      <c r="X14907" s="235" t="n"/>
    </row>
    <row r="14908" ht="14.25" customHeight="1" s="192">
      <c r="W14908" s="239" t="n"/>
      <c r="X14908" s="239" t="n"/>
    </row>
    <row r="14910" ht="14.25" customHeight="1" s="192">
      <c r="W14910" s="235" t="n"/>
      <c r="X14910" s="235" t="n"/>
    </row>
    <row r="14911" ht="15" customHeight="1" s="192" thickBot="1">
      <c r="W14911" s="239" t="n"/>
      <c r="X14911" s="239" t="n"/>
    </row>
    <row r="14912" ht="15" customHeight="1" s="192" thickBot="1">
      <c r="W14912" s="45" t="n"/>
      <c r="X14912" s="45" t="n"/>
    </row>
    <row r="14913" ht="14.25" customHeight="1" s="192">
      <c r="W14913" s="228" t="n"/>
      <c r="X14913" s="228" t="n"/>
    </row>
    <row r="14914" ht="14.25" customHeight="1" s="192">
      <c r="W14914" s="228" t="n"/>
      <c r="X14914" s="228" t="n"/>
    </row>
    <row r="14915" ht="14.25" customHeight="1" s="192">
      <c r="W14915" s="231" t="n"/>
      <c r="X14915" s="231" t="n"/>
    </row>
    <row r="14916" ht="14.25" customHeight="1" s="192">
      <c r="W14916" s="33" t="n"/>
      <c r="X14916" s="33" t="n"/>
    </row>
    <row r="14917" ht="14.25" customHeight="1" s="192">
      <c r="W14917" s="231" t="n"/>
      <c r="X14917" s="231" t="n"/>
    </row>
    <row r="14918" ht="14.25" customHeight="1" s="192">
      <c r="W14918" s="33" t="n"/>
      <c r="X14918" s="33" t="n"/>
    </row>
    <row r="14920" ht="14.25" customHeight="1" s="192">
      <c r="W14920" s="231" t="n"/>
      <c r="X14920" s="231" t="n"/>
    </row>
    <row r="14921" ht="14.25" customHeight="1" s="192">
      <c r="W14921" s="235" t="n"/>
      <c r="X14921" s="235" t="n"/>
    </row>
    <row r="14922" ht="14.25" customHeight="1" s="192">
      <c r="W14922" s="228" t="n"/>
      <c r="X14922" s="228" t="n"/>
    </row>
    <row r="14923" ht="14.25" customHeight="1" s="192">
      <c r="W14923" s="235" t="n"/>
      <c r="X14923" s="235" t="n"/>
    </row>
    <row r="14924" ht="14.25" customHeight="1" s="192">
      <c r="W14924" s="235" t="n"/>
      <c r="X14924" s="235" t="n"/>
    </row>
    <row r="14925" ht="14.25" customHeight="1" s="192">
      <c r="W14925" s="235" t="n"/>
      <c r="X14925" s="235" t="n"/>
    </row>
    <row r="14926" ht="14.25" customHeight="1" s="192">
      <c r="W14926" s="239" t="n"/>
      <c r="X14926" s="239" t="n"/>
    </row>
    <row r="14927" ht="14.25" customHeight="1" s="192">
      <c r="W14927" s="239" t="n"/>
      <c r="X14927" s="239" t="n"/>
    </row>
    <row r="14928" ht="14.25" customHeight="1" s="192">
      <c r="W14928" s="239" t="n"/>
      <c r="X14928" s="239" t="n"/>
    </row>
    <row r="14929" ht="14.25" customHeight="1" s="192">
      <c r="W14929" s="235" t="n"/>
      <c r="X14929" s="235" t="n"/>
    </row>
    <row r="14930" ht="14.25" customHeight="1" s="192">
      <c r="W14930" s="235" t="n"/>
      <c r="X14930" s="235" t="n"/>
    </row>
    <row r="14931" ht="14.25" customHeight="1" s="192">
      <c r="W14931" s="235" t="n"/>
      <c r="X14931" s="235" t="n"/>
    </row>
    <row r="14932" ht="14.25" customHeight="1" s="192">
      <c r="W14932" s="239" t="n"/>
      <c r="X14932" s="239" t="n"/>
    </row>
    <row r="14933" ht="14.25" customHeight="1" s="192">
      <c r="W14933" s="239" t="n"/>
      <c r="X14933" s="239" t="n"/>
    </row>
    <row r="14934" ht="14.25" customHeight="1" s="192">
      <c r="W14934" s="235" t="n"/>
      <c r="X14934" s="235" t="n"/>
    </row>
    <row r="14935" ht="14.25" customHeight="1" s="192">
      <c r="W14935" s="235" t="n"/>
      <c r="X14935" s="235" t="n"/>
    </row>
    <row r="14936" ht="14.25" customHeight="1" s="192">
      <c r="W14936" s="239" t="n"/>
      <c r="X14936" s="239" t="n"/>
    </row>
    <row r="14937" ht="14.25" customHeight="1" s="192">
      <c r="W14937" s="235" t="n"/>
      <c r="X14937" s="235" t="n"/>
    </row>
    <row r="14938" ht="14.25" customHeight="1" s="192">
      <c r="W14938" s="239" t="n"/>
      <c r="X14938" s="239" t="n"/>
    </row>
    <row r="14940" ht="14.25" customHeight="1" s="192">
      <c r="W14940" s="235" t="n"/>
      <c r="X14940" s="235" t="n"/>
    </row>
    <row r="14941" ht="15" customHeight="1" s="192" thickBot="1">
      <c r="W14941" s="239" t="n"/>
      <c r="X14941" s="239" t="n"/>
    </row>
    <row r="14942" ht="15" customHeight="1" s="192" thickBot="1">
      <c r="W14942" s="45" t="n"/>
      <c r="X14942" s="45" t="n"/>
    </row>
    <row r="14943" ht="14.25" customHeight="1" s="192">
      <c r="W14943" s="228" t="n"/>
      <c r="X14943" s="228" t="n"/>
    </row>
    <row r="14944" ht="14.25" customHeight="1" s="192">
      <c r="W14944" s="228" t="n"/>
      <c r="X14944" s="228" t="n"/>
    </row>
    <row r="14945" ht="14.25" customHeight="1" s="192">
      <c r="W14945" s="231" t="n"/>
      <c r="X14945" s="231" t="n"/>
    </row>
    <row r="14946" ht="14.25" customHeight="1" s="192">
      <c r="W14946" s="33" t="n"/>
      <c r="X14946" s="33" t="n"/>
    </row>
    <row r="14947" ht="14.25" customHeight="1" s="192">
      <c r="W14947" s="231" t="n"/>
      <c r="X14947" s="231" t="n"/>
    </row>
    <row r="14948" ht="14.25" customHeight="1" s="192">
      <c r="W14948" s="33" t="n"/>
      <c r="X14948" s="33" t="n"/>
    </row>
    <row r="14950" ht="14.25" customHeight="1" s="192">
      <c r="W14950" s="231" t="n"/>
      <c r="X14950" s="231" t="n"/>
    </row>
    <row r="14951" ht="14.25" customHeight="1" s="192">
      <c r="W14951" s="235" t="n"/>
      <c r="X14951" s="235" t="n"/>
    </row>
    <row r="14952" ht="14.25" customHeight="1" s="192">
      <c r="W14952" s="228" t="n"/>
      <c r="X14952" s="228" t="n"/>
    </row>
    <row r="14953" ht="14.25" customHeight="1" s="192">
      <c r="W14953" s="235" t="n"/>
      <c r="X14953" s="235" t="n"/>
    </row>
    <row r="14954" ht="14.25" customHeight="1" s="192">
      <c r="W14954" s="235" t="n"/>
      <c r="X14954" s="235" t="n"/>
    </row>
    <row r="14955" ht="14.25" customHeight="1" s="192">
      <c r="W14955" s="235" t="n"/>
      <c r="X14955" s="235" t="n"/>
    </row>
    <row r="14956" ht="14.25" customHeight="1" s="192">
      <c r="W14956" s="239" t="n"/>
      <c r="X14956" s="239" t="n"/>
    </row>
    <row r="14957" ht="14.25" customHeight="1" s="192">
      <c r="W14957" s="239" t="n"/>
      <c r="X14957" s="239" t="n"/>
    </row>
    <row r="14958" ht="14.25" customHeight="1" s="192">
      <c r="W14958" s="239" t="n"/>
      <c r="X14958" s="239" t="n"/>
    </row>
    <row r="14959" ht="14.25" customHeight="1" s="192">
      <c r="W14959" s="235" t="n"/>
      <c r="X14959" s="235" t="n"/>
    </row>
    <row r="14960" ht="14.25" customHeight="1" s="192">
      <c r="W14960" s="235" t="n"/>
      <c r="X14960" s="235" t="n"/>
    </row>
    <row r="14961" ht="14.25" customHeight="1" s="192">
      <c r="W14961" s="235" t="n"/>
      <c r="X14961" s="235" t="n"/>
    </row>
    <row r="14962" ht="14.25" customHeight="1" s="192">
      <c r="W14962" s="239" t="n"/>
      <c r="X14962" s="239" t="n"/>
    </row>
    <row r="14963" ht="14.25" customHeight="1" s="192">
      <c r="W14963" s="239" t="n"/>
      <c r="X14963" s="239" t="n"/>
    </row>
    <row r="14964" ht="14.25" customHeight="1" s="192">
      <c r="W14964" s="235" t="n"/>
      <c r="X14964" s="235" t="n"/>
    </row>
    <row r="14965" ht="14.25" customHeight="1" s="192">
      <c r="W14965" s="235" t="n"/>
      <c r="X14965" s="235" t="n"/>
    </row>
    <row r="14966" ht="14.25" customHeight="1" s="192">
      <c r="W14966" s="239" t="n"/>
      <c r="X14966" s="239" t="n"/>
    </row>
    <row r="14967" ht="14.25" customHeight="1" s="192">
      <c r="W14967" s="235" t="n"/>
      <c r="X14967" s="235" t="n"/>
    </row>
    <row r="14968" ht="14.25" customHeight="1" s="192">
      <c r="W14968" s="239" t="n"/>
      <c r="X14968" s="239" t="n"/>
    </row>
    <row r="14970" ht="14.25" customHeight="1" s="192">
      <c r="W14970" s="235" t="n"/>
      <c r="X14970" s="235" t="n"/>
    </row>
    <row r="14971" ht="15" customHeight="1" s="192" thickBot="1">
      <c r="W14971" s="239" t="n"/>
      <c r="X14971" s="239" t="n"/>
    </row>
    <row r="14972" ht="15" customHeight="1" s="192" thickBot="1">
      <c r="W14972" s="45" t="n"/>
      <c r="X14972" s="45" t="n"/>
    </row>
    <row r="14973" ht="14.25" customHeight="1" s="192">
      <c r="W14973" s="228" t="n"/>
      <c r="X14973" s="228" t="n"/>
    </row>
    <row r="14974" ht="14.25" customHeight="1" s="192">
      <c r="W14974" s="228" t="n"/>
      <c r="X14974" s="228" t="n"/>
    </row>
    <row r="14975" ht="14.25" customHeight="1" s="192">
      <c r="W14975" s="231" t="n"/>
      <c r="X14975" s="231" t="n"/>
    </row>
    <row r="14976" ht="14.25" customHeight="1" s="192">
      <c r="W14976" s="33" t="n"/>
      <c r="X14976" s="33" t="n"/>
    </row>
    <row r="14977" ht="14.25" customHeight="1" s="192">
      <c r="W14977" s="231" t="n"/>
      <c r="X14977" s="231" t="n"/>
    </row>
    <row r="14978" ht="14.25" customHeight="1" s="192">
      <c r="W14978" s="33" t="n"/>
      <c r="X14978" s="33" t="n"/>
    </row>
    <row r="14980" ht="14.25" customHeight="1" s="192">
      <c r="W14980" s="231" t="n"/>
      <c r="X14980" s="231" t="n"/>
    </row>
    <row r="14981" ht="14.25" customHeight="1" s="192">
      <c r="W14981" s="235" t="n"/>
      <c r="X14981" s="235" t="n"/>
    </row>
    <row r="14982" ht="14.25" customHeight="1" s="192">
      <c r="W14982" s="228" t="n"/>
      <c r="X14982" s="228" t="n"/>
    </row>
    <row r="14983" ht="14.25" customHeight="1" s="192">
      <c r="W14983" s="235" t="n"/>
      <c r="X14983" s="235" t="n"/>
    </row>
    <row r="14984" ht="14.25" customHeight="1" s="192">
      <c r="W14984" s="235" t="n"/>
      <c r="X14984" s="235" t="n"/>
    </row>
    <row r="14985" ht="14.25" customHeight="1" s="192">
      <c r="W14985" s="235" t="n"/>
      <c r="X14985" s="235" t="n"/>
    </row>
    <row r="14986" ht="14.25" customHeight="1" s="192">
      <c r="W14986" s="239" t="n"/>
      <c r="X14986" s="239" t="n"/>
    </row>
    <row r="14987" ht="14.25" customHeight="1" s="192">
      <c r="W14987" s="239" t="n"/>
      <c r="X14987" s="239" t="n"/>
    </row>
    <row r="14988" ht="14.25" customHeight="1" s="192">
      <c r="W14988" s="239" t="n"/>
      <c r="X14988" s="239" t="n"/>
    </row>
    <row r="14989" ht="14.25" customHeight="1" s="192">
      <c r="W14989" s="235" t="n"/>
      <c r="X14989" s="235" t="n"/>
    </row>
    <row r="14990" ht="14.25" customHeight="1" s="192">
      <c r="W14990" s="235" t="n"/>
      <c r="X14990" s="235" t="n"/>
    </row>
    <row r="14991" ht="14.25" customHeight="1" s="192">
      <c r="W14991" s="235" t="n"/>
      <c r="X14991" s="235" t="n"/>
    </row>
    <row r="14992" ht="14.25" customHeight="1" s="192">
      <c r="W14992" s="239" t="n"/>
      <c r="X14992" s="239" t="n"/>
    </row>
    <row r="14993" ht="14.25" customHeight="1" s="192">
      <c r="W14993" s="239" t="n"/>
      <c r="X14993" s="239" t="n"/>
    </row>
    <row r="14994" ht="14.25" customHeight="1" s="192">
      <c r="W14994" s="235" t="n"/>
      <c r="X14994" s="235" t="n"/>
    </row>
    <row r="14995" ht="14.25" customHeight="1" s="192">
      <c r="W14995" s="235" t="n"/>
      <c r="X14995" s="235" t="n"/>
    </row>
    <row r="14996" ht="14.25" customHeight="1" s="192">
      <c r="W14996" s="239" t="n"/>
      <c r="X14996" s="239" t="n"/>
    </row>
    <row r="14997" ht="14.25" customHeight="1" s="192">
      <c r="W14997" s="235" t="n"/>
      <c r="X14997" s="235" t="n"/>
    </row>
    <row r="14998" ht="14.25" customHeight="1" s="192">
      <c r="W14998" s="239" t="n"/>
      <c r="X14998" s="239" t="n"/>
    </row>
    <row r="15000" ht="14.25" customHeight="1" s="192">
      <c r="W15000" s="235" t="n"/>
      <c r="X15000" s="235" t="n"/>
    </row>
    <row r="15001" ht="15" customHeight="1" s="192" thickBot="1">
      <c r="W15001" s="239" t="n"/>
      <c r="X15001" s="239" t="n"/>
    </row>
    <row r="15002" ht="15" customHeight="1" s="192" thickBot="1">
      <c r="W15002" s="45" t="n"/>
      <c r="X15002" s="45" t="n"/>
    </row>
    <row r="15003" ht="14.25" customHeight="1" s="192">
      <c r="W15003" s="228" t="n"/>
      <c r="X15003" s="228" t="n"/>
    </row>
    <row r="15004" ht="14.25" customHeight="1" s="192">
      <c r="W15004" s="228" t="n"/>
      <c r="X15004" s="228" t="n"/>
    </row>
    <row r="15005" ht="14.25" customHeight="1" s="192">
      <c r="W15005" s="231" t="n"/>
      <c r="X15005" s="231" t="n"/>
    </row>
    <row r="15006" ht="14.25" customHeight="1" s="192">
      <c r="W15006" s="33" t="n"/>
      <c r="X15006" s="33" t="n"/>
    </row>
    <row r="15007" ht="14.25" customHeight="1" s="192">
      <c r="W15007" s="231" t="n"/>
      <c r="X15007" s="231" t="n"/>
    </row>
    <row r="15008" ht="14.25" customHeight="1" s="192">
      <c r="W15008" s="33" t="n"/>
      <c r="X15008" s="33" t="n"/>
    </row>
    <row r="15010" ht="14.25" customHeight="1" s="192">
      <c r="W15010" s="231" t="n"/>
      <c r="X15010" s="231" t="n"/>
    </row>
    <row r="15011" ht="14.25" customHeight="1" s="192">
      <c r="W15011" s="235" t="n"/>
      <c r="X15011" s="235" t="n"/>
    </row>
    <row r="15012" ht="14.25" customHeight="1" s="192">
      <c r="W15012" s="228" t="n"/>
      <c r="X15012" s="228" t="n"/>
    </row>
    <row r="15013" ht="14.25" customHeight="1" s="192">
      <c r="W15013" s="235" t="n"/>
      <c r="X15013" s="235" t="n"/>
    </row>
    <row r="15014" ht="14.25" customHeight="1" s="192">
      <c r="W15014" s="235" t="n"/>
      <c r="X15014" s="235" t="n"/>
    </row>
    <row r="15015" ht="14.25" customHeight="1" s="192">
      <c r="W15015" s="235" t="n"/>
      <c r="X15015" s="235" t="n"/>
    </row>
    <row r="15016" ht="14.25" customHeight="1" s="192">
      <c r="W15016" s="239" t="n"/>
      <c r="X15016" s="239" t="n"/>
    </row>
    <row r="15017" ht="14.25" customHeight="1" s="192">
      <c r="W15017" s="239" t="n"/>
      <c r="X15017" s="239" t="n"/>
    </row>
    <row r="15018" ht="14.25" customHeight="1" s="192">
      <c r="W15018" s="239" t="n"/>
      <c r="X15018" s="239" t="n"/>
    </row>
    <row r="15019" ht="14.25" customHeight="1" s="192">
      <c r="W15019" s="235" t="n"/>
      <c r="X15019" s="235" t="n"/>
    </row>
    <row r="15020" ht="14.25" customHeight="1" s="192">
      <c r="W15020" s="235" t="n"/>
      <c r="X15020" s="235" t="n"/>
    </row>
    <row r="15021" ht="14.25" customHeight="1" s="192">
      <c r="W15021" s="235" t="n"/>
      <c r="X15021" s="235" t="n"/>
    </row>
    <row r="15022" ht="14.25" customHeight="1" s="192">
      <c r="W15022" s="239" t="n"/>
      <c r="X15022" s="239" t="n"/>
    </row>
    <row r="15023" ht="14.25" customHeight="1" s="192">
      <c r="W15023" s="239" t="n"/>
      <c r="X15023" s="239" t="n"/>
    </row>
    <row r="15024" ht="14.25" customHeight="1" s="192">
      <c r="W15024" s="235" t="n"/>
      <c r="X15024" s="235" t="n"/>
    </row>
    <row r="15025" ht="14.25" customHeight="1" s="192">
      <c r="W15025" s="235" t="n"/>
      <c r="X15025" s="235" t="n"/>
    </row>
    <row r="15026" ht="14.25" customHeight="1" s="192">
      <c r="W15026" s="239" t="n"/>
      <c r="X15026" s="239" t="n"/>
    </row>
    <row r="15027" ht="14.25" customHeight="1" s="192">
      <c r="W15027" s="235" t="n"/>
      <c r="X15027" s="235" t="n"/>
    </row>
    <row r="15028" ht="14.25" customHeight="1" s="192">
      <c r="W15028" s="239" t="n"/>
      <c r="X15028" s="239" t="n"/>
    </row>
    <row r="15030" ht="14.25" customHeight="1" s="192">
      <c r="W15030" s="235" t="n"/>
      <c r="X15030" s="235" t="n"/>
    </row>
    <row r="15031" ht="15" customHeight="1" s="192" thickBot="1">
      <c r="W15031" s="239" t="n"/>
      <c r="X15031" s="239" t="n"/>
    </row>
    <row r="15032" ht="15" customHeight="1" s="192" thickBot="1">
      <c r="W15032" s="45" t="n"/>
      <c r="X15032" s="45" t="n"/>
    </row>
    <row r="15033" ht="14.25" customHeight="1" s="192">
      <c r="W15033" s="228" t="n"/>
      <c r="X15033" s="228" t="n"/>
    </row>
    <row r="15034" ht="14.25" customHeight="1" s="192">
      <c r="W15034" s="228" t="n"/>
      <c r="X15034" s="228" t="n"/>
    </row>
    <row r="15035" ht="14.25" customHeight="1" s="192">
      <c r="W15035" s="231" t="n"/>
      <c r="X15035" s="231" t="n"/>
    </row>
    <row r="15036" ht="14.25" customHeight="1" s="192">
      <c r="W15036" s="33" t="n"/>
      <c r="X15036" s="33" t="n"/>
    </row>
    <row r="15037" ht="14.25" customHeight="1" s="192">
      <c r="W15037" s="231" t="n"/>
      <c r="X15037" s="231" t="n"/>
    </row>
    <row r="15038" ht="14.25" customHeight="1" s="192">
      <c r="W15038" s="33" t="n"/>
      <c r="X15038" s="33" t="n"/>
    </row>
    <row r="15040" ht="14.25" customHeight="1" s="192">
      <c r="W15040" s="231" t="n"/>
      <c r="X15040" s="231" t="n"/>
    </row>
    <row r="15041" ht="14.25" customHeight="1" s="192">
      <c r="W15041" s="235" t="n"/>
      <c r="X15041" s="235" t="n"/>
    </row>
    <row r="15042" ht="14.25" customHeight="1" s="192">
      <c r="W15042" s="228" t="n"/>
      <c r="X15042" s="228" t="n"/>
    </row>
    <row r="15043" ht="14.25" customHeight="1" s="192">
      <c r="W15043" s="235" t="n"/>
      <c r="X15043" s="235" t="n"/>
    </row>
    <row r="15044" ht="14.25" customHeight="1" s="192">
      <c r="W15044" s="235" t="n"/>
      <c r="X15044" s="235" t="n"/>
    </row>
    <row r="15045" ht="14.25" customHeight="1" s="192">
      <c r="W15045" s="235" t="n"/>
      <c r="X15045" s="235" t="n"/>
    </row>
    <row r="15046" ht="14.25" customHeight="1" s="192">
      <c r="W15046" s="239" t="n"/>
      <c r="X15046" s="239" t="n"/>
    </row>
    <row r="15047" ht="14.25" customHeight="1" s="192">
      <c r="W15047" s="239" t="n"/>
      <c r="X15047" s="239" t="n"/>
    </row>
    <row r="15048" ht="14.25" customHeight="1" s="192">
      <c r="W15048" s="239" t="n"/>
      <c r="X15048" s="239" t="n"/>
    </row>
    <row r="15049" ht="14.25" customHeight="1" s="192">
      <c r="W15049" s="235" t="n"/>
      <c r="X15049" s="235" t="n"/>
    </row>
    <row r="15050" ht="14.25" customHeight="1" s="192">
      <c r="W15050" s="235" t="n"/>
      <c r="X15050" s="235" t="n"/>
    </row>
    <row r="15051" ht="14.25" customHeight="1" s="192">
      <c r="W15051" s="235" t="n"/>
      <c r="X15051" s="235" t="n"/>
    </row>
    <row r="15052" ht="14.25" customHeight="1" s="192">
      <c r="W15052" s="239" t="n"/>
      <c r="X15052" s="239" t="n"/>
    </row>
    <row r="15053" ht="14.25" customHeight="1" s="192">
      <c r="W15053" s="239" t="n"/>
      <c r="X15053" s="239" t="n"/>
    </row>
    <row r="15054" ht="14.25" customHeight="1" s="192">
      <c r="W15054" s="235" t="n"/>
      <c r="X15054" s="235" t="n"/>
    </row>
    <row r="15055" ht="14.25" customHeight="1" s="192">
      <c r="W15055" s="235" t="n"/>
      <c r="X15055" s="235" t="n"/>
    </row>
    <row r="15056" ht="14.25" customHeight="1" s="192">
      <c r="W15056" s="239" t="n"/>
      <c r="X15056" s="239" t="n"/>
    </row>
    <row r="15057" ht="14.25" customHeight="1" s="192">
      <c r="W15057" s="235" t="n"/>
      <c r="X15057" s="235" t="n"/>
    </row>
    <row r="15058" ht="14.25" customHeight="1" s="192">
      <c r="W15058" s="239" t="n"/>
      <c r="X15058" s="239" t="n"/>
    </row>
    <row r="15060" ht="14.25" customHeight="1" s="192">
      <c r="W15060" s="235" t="n"/>
      <c r="X15060" s="235" t="n"/>
    </row>
    <row r="15061" ht="15" customHeight="1" s="192" thickBot="1">
      <c r="W15061" s="239" t="n"/>
      <c r="X15061" s="239" t="n"/>
    </row>
    <row r="15062" ht="15" customHeight="1" s="192" thickBot="1">
      <c r="W15062" s="45" t="n"/>
      <c r="X15062" s="45" t="n"/>
    </row>
    <row r="15063" ht="14.25" customHeight="1" s="192">
      <c r="W15063" s="228" t="n"/>
      <c r="X15063" s="228" t="n"/>
    </row>
    <row r="15064" ht="14.25" customHeight="1" s="192">
      <c r="W15064" s="228" t="n"/>
      <c r="X15064" s="228" t="n"/>
    </row>
    <row r="15065" ht="14.25" customHeight="1" s="192">
      <c r="W15065" s="231" t="n"/>
      <c r="X15065" s="231" t="n"/>
    </row>
    <row r="15066" ht="14.25" customHeight="1" s="192">
      <c r="W15066" s="33" t="n"/>
      <c r="X15066" s="33" t="n"/>
    </row>
    <row r="15067" ht="14.25" customHeight="1" s="192">
      <c r="W15067" s="231" t="n"/>
      <c r="X15067" s="231" t="n"/>
    </row>
    <row r="15068" ht="14.25" customHeight="1" s="192">
      <c r="W15068" s="33" t="n"/>
      <c r="X15068" s="33" t="n"/>
    </row>
    <row r="15070" ht="14.25" customHeight="1" s="192">
      <c r="W15070" s="231" t="n"/>
      <c r="X15070" s="231" t="n"/>
    </row>
    <row r="15071" ht="14.25" customHeight="1" s="192">
      <c r="W15071" s="235" t="n"/>
      <c r="X15071" s="235" t="n"/>
    </row>
    <row r="15072" ht="14.25" customHeight="1" s="192">
      <c r="W15072" s="228" t="n"/>
      <c r="X15072" s="228" t="n"/>
    </row>
    <row r="15073" ht="14.25" customHeight="1" s="192">
      <c r="W15073" s="235" t="n"/>
      <c r="X15073" s="235" t="n"/>
    </row>
    <row r="15074" ht="14.25" customHeight="1" s="192">
      <c r="W15074" s="235" t="n"/>
      <c r="X15074" s="235" t="n"/>
    </row>
    <row r="15075" ht="14.25" customHeight="1" s="192">
      <c r="W15075" s="235" t="n"/>
      <c r="X15075" s="235" t="n"/>
    </row>
    <row r="15076" ht="14.25" customHeight="1" s="192">
      <c r="W15076" s="239" t="n"/>
      <c r="X15076" s="239" t="n"/>
    </row>
    <row r="15077" ht="14.25" customHeight="1" s="192">
      <c r="W15077" s="239" t="n"/>
      <c r="X15077" s="239" t="n"/>
    </row>
    <row r="15078" ht="14.25" customHeight="1" s="192">
      <c r="W15078" s="239" t="n"/>
      <c r="X15078" s="239" t="n"/>
    </row>
    <row r="15079" ht="14.25" customHeight="1" s="192">
      <c r="W15079" s="235" t="n"/>
      <c r="X15079" s="235" t="n"/>
    </row>
    <row r="15080" ht="14.25" customHeight="1" s="192">
      <c r="W15080" s="235" t="n"/>
      <c r="X15080" s="235" t="n"/>
    </row>
    <row r="15081" ht="14.25" customHeight="1" s="192">
      <c r="W15081" s="235" t="n"/>
      <c r="X15081" s="235" t="n"/>
    </row>
    <row r="15082" ht="14.25" customHeight="1" s="192">
      <c r="W15082" s="239" t="n"/>
      <c r="X15082" s="239" t="n"/>
    </row>
    <row r="15083" ht="14.25" customHeight="1" s="192">
      <c r="W15083" s="239" t="n"/>
      <c r="X15083" s="239" t="n"/>
    </row>
    <row r="15084" ht="14.25" customHeight="1" s="192">
      <c r="W15084" s="235" t="n"/>
      <c r="X15084" s="235" t="n"/>
    </row>
    <row r="15085" ht="14.25" customHeight="1" s="192">
      <c r="W15085" s="235" t="n"/>
      <c r="X15085" s="235" t="n"/>
    </row>
    <row r="15086" ht="14.25" customHeight="1" s="192">
      <c r="W15086" s="239" t="n"/>
      <c r="X15086" s="239" t="n"/>
    </row>
    <row r="15087" ht="14.25" customHeight="1" s="192">
      <c r="W15087" s="235" t="n"/>
      <c r="X15087" s="235" t="n"/>
    </row>
    <row r="15088" ht="14.25" customHeight="1" s="192">
      <c r="W15088" s="239" t="n"/>
      <c r="X15088" s="239" t="n"/>
    </row>
    <row r="15090" ht="14.25" customHeight="1" s="192">
      <c r="W15090" s="235" t="n"/>
      <c r="X15090" s="235" t="n"/>
    </row>
    <row r="15091" ht="15" customHeight="1" s="192" thickBot="1">
      <c r="W15091" s="239" t="n"/>
      <c r="X15091" s="239" t="n"/>
    </row>
    <row r="15092" ht="15" customHeight="1" s="192" thickBot="1">
      <c r="W15092" s="45" t="n"/>
      <c r="X15092" s="45" t="n"/>
    </row>
    <row r="15093" ht="14.25" customHeight="1" s="192">
      <c r="W15093" s="228" t="n"/>
      <c r="X15093" s="228" t="n"/>
    </row>
    <row r="15094" ht="14.25" customHeight="1" s="192">
      <c r="W15094" s="228" t="n"/>
      <c r="X15094" s="228" t="n"/>
    </row>
    <row r="15095" ht="14.25" customHeight="1" s="192">
      <c r="W15095" s="231" t="n"/>
      <c r="X15095" s="231" t="n"/>
    </row>
    <row r="15096" ht="14.25" customHeight="1" s="192">
      <c r="W15096" s="33" t="n"/>
      <c r="X15096" s="33" t="n"/>
    </row>
    <row r="15097" ht="14.25" customHeight="1" s="192">
      <c r="W15097" s="231" t="n"/>
      <c r="X15097" s="231" t="n"/>
    </row>
    <row r="15098" ht="14.25" customHeight="1" s="192">
      <c r="W15098" s="33" t="n"/>
      <c r="X15098" s="33" t="n"/>
    </row>
    <row r="15100" ht="14.25" customHeight="1" s="192">
      <c r="W15100" s="231" t="n"/>
      <c r="X15100" s="231" t="n"/>
    </row>
    <row r="15101" ht="14.25" customHeight="1" s="192">
      <c r="W15101" s="235" t="n"/>
      <c r="X15101" s="235" t="n"/>
    </row>
    <row r="15102" ht="14.25" customHeight="1" s="192">
      <c r="W15102" s="228" t="n"/>
      <c r="X15102" s="228" t="n"/>
    </row>
    <row r="15103" ht="14.25" customHeight="1" s="192">
      <c r="W15103" s="235" t="n"/>
      <c r="X15103" s="235" t="n"/>
    </row>
    <row r="15104" ht="14.25" customHeight="1" s="192">
      <c r="W15104" s="235" t="n"/>
      <c r="X15104" s="235" t="n"/>
    </row>
    <row r="15105" ht="14.25" customHeight="1" s="192">
      <c r="W15105" s="235" t="n"/>
      <c r="X15105" s="235" t="n"/>
    </row>
    <row r="15106" ht="14.25" customHeight="1" s="192">
      <c r="W15106" s="239" t="n"/>
      <c r="X15106" s="239" t="n"/>
    </row>
    <row r="15107" ht="14.25" customHeight="1" s="192">
      <c r="W15107" s="239" t="n"/>
      <c r="X15107" s="239" t="n"/>
    </row>
    <row r="15108" ht="14.25" customHeight="1" s="192">
      <c r="W15108" s="239" t="n"/>
      <c r="X15108" s="239" t="n"/>
    </row>
    <row r="15109" ht="14.25" customHeight="1" s="192">
      <c r="W15109" s="235" t="n"/>
      <c r="X15109" s="235" t="n"/>
    </row>
    <row r="15110" ht="14.25" customHeight="1" s="192">
      <c r="W15110" s="235" t="n"/>
      <c r="X15110" s="235" t="n"/>
    </row>
    <row r="15111" ht="14.25" customHeight="1" s="192">
      <c r="W15111" s="235" t="n"/>
      <c r="X15111" s="235" t="n"/>
    </row>
    <row r="15112" ht="14.25" customHeight="1" s="192">
      <c r="W15112" s="239" t="n"/>
      <c r="X15112" s="239" t="n"/>
    </row>
    <row r="15113" ht="14.25" customHeight="1" s="192">
      <c r="W15113" s="239" t="n"/>
      <c r="X15113" s="239" t="n"/>
    </row>
    <row r="15114" ht="14.25" customHeight="1" s="192">
      <c r="W15114" s="235" t="n"/>
      <c r="X15114" s="235" t="n"/>
    </row>
    <row r="15115" ht="14.25" customHeight="1" s="192">
      <c r="W15115" s="235" t="n"/>
      <c r="X15115" s="235" t="n"/>
    </row>
    <row r="15116" ht="14.25" customHeight="1" s="192">
      <c r="W15116" s="239" t="n"/>
      <c r="X15116" s="239" t="n"/>
    </row>
    <row r="15117" ht="14.25" customHeight="1" s="192">
      <c r="W15117" s="235" t="n"/>
      <c r="X15117" s="235" t="n"/>
    </row>
    <row r="15118" ht="14.25" customHeight="1" s="192">
      <c r="W15118" s="239" t="n"/>
      <c r="X15118" s="239" t="n"/>
    </row>
    <row r="15120" ht="14.25" customHeight="1" s="192">
      <c r="W15120" s="235" t="n"/>
      <c r="X15120" s="235" t="n"/>
    </row>
    <row r="15121" ht="15" customHeight="1" s="192" thickBot="1">
      <c r="W15121" s="239" t="n"/>
      <c r="X15121" s="239" t="n"/>
    </row>
    <row r="15122" ht="15" customHeight="1" s="192" thickBot="1">
      <c r="W15122" s="45" t="n"/>
      <c r="X15122" s="45" t="n"/>
    </row>
    <row r="15123" ht="14.25" customHeight="1" s="192">
      <c r="W15123" s="228" t="n"/>
      <c r="X15123" s="228" t="n"/>
    </row>
    <row r="15124" ht="14.25" customHeight="1" s="192">
      <c r="W15124" s="228" t="n"/>
      <c r="X15124" s="228" t="n"/>
    </row>
    <row r="15125" ht="14.25" customHeight="1" s="192">
      <c r="W15125" s="231" t="n"/>
      <c r="X15125" s="231" t="n"/>
    </row>
    <row r="15126" ht="14.25" customHeight="1" s="192">
      <c r="W15126" s="33" t="n"/>
      <c r="X15126" s="33" t="n"/>
    </row>
    <row r="15127" ht="14.25" customHeight="1" s="192">
      <c r="W15127" s="231" t="n"/>
      <c r="X15127" s="231" t="n"/>
    </row>
    <row r="15128" ht="14.25" customHeight="1" s="192">
      <c r="W15128" s="33" t="n"/>
      <c r="X15128" s="33" t="n"/>
    </row>
    <row r="15130" ht="14.25" customHeight="1" s="192">
      <c r="W15130" s="231" t="n"/>
      <c r="X15130" s="231" t="n"/>
    </row>
    <row r="15131" ht="14.25" customHeight="1" s="192">
      <c r="W15131" s="235" t="n"/>
      <c r="X15131" s="235" t="n"/>
    </row>
    <row r="15132" ht="14.25" customHeight="1" s="192">
      <c r="W15132" s="228" t="n"/>
      <c r="X15132" s="228" t="n"/>
    </row>
    <row r="15133" ht="14.25" customHeight="1" s="192">
      <c r="W15133" s="235" t="n"/>
      <c r="X15133" s="235" t="n"/>
    </row>
    <row r="15134" ht="14.25" customHeight="1" s="192">
      <c r="W15134" s="235" t="n"/>
      <c r="X15134" s="235" t="n"/>
    </row>
    <row r="15135" ht="14.25" customHeight="1" s="192">
      <c r="W15135" s="235" t="n"/>
      <c r="X15135" s="235" t="n"/>
    </row>
    <row r="15136" ht="14.25" customHeight="1" s="192">
      <c r="W15136" s="239" t="n"/>
      <c r="X15136" s="239" t="n"/>
    </row>
    <row r="15137" ht="14.25" customHeight="1" s="192">
      <c r="W15137" s="239" t="n"/>
      <c r="X15137" s="239" t="n"/>
    </row>
    <row r="15138" ht="14.25" customHeight="1" s="192">
      <c r="W15138" s="239" t="n"/>
      <c r="X15138" s="239" t="n"/>
    </row>
    <row r="15139" ht="14.25" customHeight="1" s="192">
      <c r="W15139" s="235" t="n"/>
      <c r="X15139" s="235" t="n"/>
    </row>
    <row r="15140" ht="14.25" customHeight="1" s="192">
      <c r="W15140" s="235" t="n"/>
      <c r="X15140" s="235" t="n"/>
    </row>
    <row r="15141" ht="14.25" customHeight="1" s="192">
      <c r="W15141" s="235" t="n"/>
      <c r="X15141" s="235" t="n"/>
    </row>
    <row r="15142" ht="14.25" customHeight="1" s="192">
      <c r="W15142" s="239" t="n"/>
      <c r="X15142" s="239" t="n"/>
    </row>
    <row r="15143" ht="14.25" customHeight="1" s="192">
      <c r="W15143" s="239" t="n"/>
      <c r="X15143" s="239" t="n"/>
    </row>
    <row r="15144" ht="14.25" customHeight="1" s="192">
      <c r="W15144" s="235" t="n"/>
      <c r="X15144" s="235" t="n"/>
    </row>
    <row r="15145" ht="14.25" customHeight="1" s="192">
      <c r="W15145" s="235" t="n"/>
      <c r="X15145" s="235" t="n"/>
    </row>
    <row r="15146" ht="14.25" customHeight="1" s="192">
      <c r="W15146" s="239" t="n"/>
      <c r="X15146" s="239" t="n"/>
    </row>
    <row r="15147" ht="14.25" customHeight="1" s="192">
      <c r="W15147" s="235" t="n"/>
      <c r="X15147" s="235" t="n"/>
    </row>
    <row r="15148" ht="14.25" customHeight="1" s="192">
      <c r="W15148" s="239" t="n"/>
      <c r="X15148" s="239" t="n"/>
    </row>
    <row r="15150" ht="14.25" customHeight="1" s="192">
      <c r="W15150" s="235" t="n"/>
      <c r="X15150" s="235" t="n"/>
    </row>
    <row r="15151" ht="15" customHeight="1" s="192" thickBot="1">
      <c r="W15151" s="239" t="n"/>
      <c r="X15151" s="239" t="n"/>
    </row>
    <row r="15152" ht="15" customHeight="1" s="192" thickBot="1">
      <c r="W15152" s="45" t="n"/>
      <c r="X15152" s="45" t="n"/>
    </row>
    <row r="15153" ht="14.25" customHeight="1" s="192">
      <c r="W15153" s="228" t="n"/>
      <c r="X15153" s="228" t="n"/>
    </row>
    <row r="15154" ht="14.25" customHeight="1" s="192">
      <c r="W15154" s="228" t="n"/>
      <c r="X15154" s="228" t="n"/>
    </row>
    <row r="15155" ht="14.25" customHeight="1" s="192">
      <c r="W15155" s="231" t="n"/>
      <c r="X15155" s="231" t="n"/>
    </row>
    <row r="15156" ht="14.25" customHeight="1" s="192">
      <c r="W15156" s="33" t="n"/>
      <c r="X15156" s="33" t="n"/>
    </row>
    <row r="15157" ht="14.25" customHeight="1" s="192">
      <c r="W15157" s="231" t="n"/>
      <c r="X15157" s="231" t="n"/>
    </row>
    <row r="15158" ht="14.25" customHeight="1" s="192">
      <c r="W15158" s="33" t="n"/>
      <c r="X15158" s="33" t="n"/>
    </row>
    <row r="15160" ht="14.25" customHeight="1" s="192">
      <c r="W15160" s="231" t="n"/>
      <c r="X15160" s="231" t="n"/>
    </row>
    <row r="15161" ht="14.25" customHeight="1" s="192">
      <c r="W15161" s="235" t="n"/>
      <c r="X15161" s="235" t="n"/>
    </row>
    <row r="15162" ht="14.25" customHeight="1" s="192">
      <c r="W15162" s="228" t="n"/>
      <c r="X15162" s="228" t="n"/>
    </row>
    <row r="15163" ht="14.25" customHeight="1" s="192">
      <c r="W15163" s="235" t="n"/>
      <c r="X15163" s="235" t="n"/>
    </row>
    <row r="15164" ht="14.25" customHeight="1" s="192">
      <c r="W15164" s="235" t="n"/>
      <c r="X15164" s="235" t="n"/>
    </row>
    <row r="15165" ht="14.25" customHeight="1" s="192">
      <c r="W15165" s="235" t="n"/>
      <c r="X15165" s="235" t="n"/>
    </row>
    <row r="15166" ht="14.25" customHeight="1" s="192">
      <c r="W15166" s="239" t="n"/>
      <c r="X15166" s="239" t="n"/>
    </row>
    <row r="15167" ht="14.25" customHeight="1" s="192">
      <c r="W15167" s="239" t="n"/>
      <c r="X15167" s="239" t="n"/>
    </row>
    <row r="15168" ht="14.25" customHeight="1" s="192">
      <c r="W15168" s="239" t="n"/>
      <c r="X15168" s="239" t="n"/>
    </row>
    <row r="15169" ht="14.25" customHeight="1" s="192">
      <c r="W15169" s="235" t="n"/>
      <c r="X15169" s="235" t="n"/>
    </row>
    <row r="15170" ht="14.25" customHeight="1" s="192">
      <c r="W15170" s="235" t="n"/>
      <c r="X15170" s="235" t="n"/>
    </row>
    <row r="15171" ht="14.25" customHeight="1" s="192">
      <c r="W15171" s="235" t="n"/>
      <c r="X15171" s="235" t="n"/>
    </row>
    <row r="15172" ht="14.25" customHeight="1" s="192">
      <c r="W15172" s="239" t="n"/>
      <c r="X15172" s="239" t="n"/>
    </row>
    <row r="15173" ht="14.25" customHeight="1" s="192">
      <c r="W15173" s="239" t="n"/>
      <c r="X15173" s="239" t="n"/>
    </row>
    <row r="15174" ht="14.25" customHeight="1" s="192">
      <c r="W15174" s="235" t="n"/>
      <c r="X15174" s="235" t="n"/>
    </row>
    <row r="15175" ht="14.25" customHeight="1" s="192">
      <c r="W15175" s="235" t="n"/>
      <c r="X15175" s="235" t="n"/>
    </row>
    <row r="15176" ht="14.25" customHeight="1" s="192">
      <c r="W15176" s="239" t="n"/>
      <c r="X15176" s="239" t="n"/>
    </row>
    <row r="15177" ht="14.25" customHeight="1" s="192">
      <c r="W15177" s="235" t="n"/>
      <c r="X15177" s="235" t="n"/>
    </row>
    <row r="15178" ht="14.25" customHeight="1" s="192">
      <c r="W15178" s="239" t="n"/>
      <c r="X15178" s="239" t="n"/>
    </row>
    <row r="15180" ht="14.25" customHeight="1" s="192">
      <c r="W15180" s="235" t="n"/>
      <c r="X15180" s="235" t="n"/>
    </row>
    <row r="15181" ht="15" customHeight="1" s="192" thickBot="1">
      <c r="W15181" s="239" t="n"/>
      <c r="X15181" s="239" t="n"/>
    </row>
    <row r="15182" ht="15" customHeight="1" s="192" thickBot="1">
      <c r="W15182" s="45" t="n"/>
      <c r="X15182" s="45" t="n"/>
    </row>
    <row r="15183" ht="14.25" customHeight="1" s="192">
      <c r="W15183" s="228" t="n"/>
      <c r="X15183" s="228" t="n"/>
    </row>
    <row r="15184" ht="14.25" customHeight="1" s="192">
      <c r="W15184" s="228" t="n"/>
      <c r="X15184" s="228" t="n"/>
    </row>
    <row r="15185" ht="14.25" customHeight="1" s="192">
      <c r="W15185" s="231" t="n"/>
      <c r="X15185" s="231" t="n"/>
    </row>
    <row r="15186" ht="14.25" customHeight="1" s="192">
      <c r="W15186" s="33" t="n"/>
      <c r="X15186" s="33" t="n"/>
    </row>
    <row r="15187" ht="14.25" customHeight="1" s="192">
      <c r="W15187" s="231" t="n"/>
      <c r="X15187" s="231" t="n"/>
    </row>
    <row r="15188" ht="14.25" customHeight="1" s="192">
      <c r="W15188" s="33" t="n"/>
      <c r="X15188" s="33" t="n"/>
    </row>
    <row r="15190" ht="14.25" customHeight="1" s="192">
      <c r="W15190" s="231" t="n"/>
      <c r="X15190" s="231" t="n"/>
    </row>
    <row r="15191" ht="14.25" customHeight="1" s="192">
      <c r="W15191" s="235" t="n"/>
      <c r="X15191" s="235" t="n"/>
    </row>
    <row r="15192" ht="14.25" customHeight="1" s="192">
      <c r="W15192" s="228" t="n"/>
      <c r="X15192" s="228" t="n"/>
    </row>
    <row r="15193" ht="14.25" customHeight="1" s="192">
      <c r="W15193" s="235" t="n"/>
      <c r="X15193" s="235" t="n"/>
    </row>
    <row r="15194" ht="14.25" customHeight="1" s="192">
      <c r="W15194" s="235" t="n"/>
      <c r="X15194" s="235" t="n"/>
    </row>
    <row r="15195" ht="14.25" customHeight="1" s="192">
      <c r="W15195" s="235" t="n"/>
      <c r="X15195" s="235" t="n"/>
    </row>
    <row r="15196" ht="14.25" customHeight="1" s="192">
      <c r="W15196" s="239" t="n"/>
      <c r="X15196" s="239" t="n"/>
    </row>
    <row r="15197" ht="14.25" customHeight="1" s="192">
      <c r="W15197" s="239" t="n"/>
      <c r="X15197" s="239" t="n"/>
    </row>
    <row r="15198" ht="14.25" customHeight="1" s="192">
      <c r="W15198" s="239" t="n"/>
      <c r="X15198" s="239" t="n"/>
    </row>
    <row r="15199" ht="14.25" customHeight="1" s="192">
      <c r="W15199" s="235" t="n"/>
      <c r="X15199" s="235" t="n"/>
    </row>
    <row r="15200" ht="14.25" customHeight="1" s="192">
      <c r="W15200" s="235" t="n"/>
      <c r="X15200" s="235" t="n"/>
    </row>
    <row r="15201" ht="14.25" customHeight="1" s="192">
      <c r="W15201" s="235" t="n"/>
      <c r="X15201" s="235" t="n"/>
    </row>
    <row r="15202" ht="14.25" customHeight="1" s="192">
      <c r="W15202" s="239" t="n"/>
      <c r="X15202" s="239" t="n"/>
    </row>
    <row r="15203" ht="14.25" customHeight="1" s="192">
      <c r="W15203" s="239" t="n"/>
      <c r="X15203" s="239" t="n"/>
    </row>
    <row r="15204" ht="14.25" customHeight="1" s="192">
      <c r="W15204" s="235" t="n"/>
      <c r="X15204" s="235" t="n"/>
    </row>
    <row r="15205" ht="14.25" customHeight="1" s="192">
      <c r="W15205" s="235" t="n"/>
      <c r="X15205" s="235" t="n"/>
    </row>
    <row r="15206" ht="14.25" customHeight="1" s="192">
      <c r="W15206" s="239" t="n"/>
      <c r="X15206" s="239" t="n"/>
    </row>
    <row r="15207" ht="14.25" customHeight="1" s="192">
      <c r="W15207" s="235" t="n"/>
      <c r="X15207" s="235" t="n"/>
    </row>
    <row r="15208" ht="14.25" customHeight="1" s="192">
      <c r="W15208" s="239" t="n"/>
      <c r="X15208" s="239" t="n"/>
    </row>
    <row r="15210" ht="14.25" customHeight="1" s="192">
      <c r="W15210" s="235" t="n"/>
      <c r="X15210" s="235" t="n"/>
    </row>
    <row r="15211" ht="15" customHeight="1" s="192" thickBot="1">
      <c r="W15211" s="239" t="n"/>
      <c r="X15211" s="239" t="n"/>
    </row>
    <row r="15212" ht="15" customHeight="1" s="192" thickBot="1">
      <c r="W15212" s="45" t="n"/>
      <c r="X15212" s="45" t="n"/>
    </row>
    <row r="15213" ht="14.25" customHeight="1" s="192">
      <c r="W15213" s="228" t="n"/>
      <c r="X15213" s="228" t="n"/>
    </row>
    <row r="15214" ht="14.25" customHeight="1" s="192">
      <c r="W15214" s="228" t="n"/>
      <c r="X15214" s="228" t="n"/>
    </row>
    <row r="15215" ht="14.25" customHeight="1" s="192">
      <c r="W15215" s="231" t="n"/>
      <c r="X15215" s="231" t="n"/>
    </row>
    <row r="15216" ht="14.25" customHeight="1" s="192">
      <c r="W15216" s="33" t="n"/>
      <c r="X15216" s="33" t="n"/>
    </row>
    <row r="15217" ht="14.25" customHeight="1" s="192">
      <c r="W15217" s="231" t="n"/>
      <c r="X15217" s="231" t="n"/>
    </row>
    <row r="15218" ht="14.25" customHeight="1" s="192">
      <c r="W15218" s="33" t="n"/>
      <c r="X15218" s="33" t="n"/>
    </row>
    <row r="15220" ht="14.25" customHeight="1" s="192">
      <c r="W15220" s="231" t="n"/>
      <c r="X15220" s="231" t="n"/>
    </row>
    <row r="15221" ht="14.25" customHeight="1" s="192">
      <c r="W15221" s="235" t="n"/>
      <c r="X15221" s="235" t="n"/>
    </row>
    <row r="15222" ht="14.25" customHeight="1" s="192">
      <c r="W15222" s="228" t="n"/>
      <c r="X15222" s="228" t="n"/>
    </row>
    <row r="15223" ht="14.25" customHeight="1" s="192">
      <c r="W15223" s="235" t="n"/>
      <c r="X15223" s="235" t="n"/>
    </row>
    <row r="15224" ht="14.25" customHeight="1" s="192">
      <c r="W15224" s="235" t="n"/>
      <c r="X15224" s="235" t="n"/>
    </row>
    <row r="15225" ht="14.25" customHeight="1" s="192">
      <c r="W15225" s="235" t="n"/>
      <c r="X15225" s="235" t="n"/>
    </row>
    <row r="15226" ht="14.25" customHeight="1" s="192">
      <c r="W15226" s="239" t="n"/>
      <c r="X15226" s="239" t="n"/>
    </row>
    <row r="15227" ht="14.25" customHeight="1" s="192">
      <c r="W15227" s="239" t="n"/>
      <c r="X15227" s="239" t="n"/>
    </row>
    <row r="15228" ht="14.25" customHeight="1" s="192">
      <c r="W15228" s="239" t="n"/>
      <c r="X15228" s="239" t="n"/>
    </row>
    <row r="15229" ht="14.25" customHeight="1" s="192">
      <c r="W15229" s="235" t="n"/>
      <c r="X15229" s="235" t="n"/>
    </row>
    <row r="15230" ht="14.25" customHeight="1" s="192">
      <c r="W15230" s="235" t="n"/>
      <c r="X15230" s="235" t="n"/>
    </row>
    <row r="15231" ht="14.25" customHeight="1" s="192">
      <c r="W15231" s="235" t="n"/>
      <c r="X15231" s="235" t="n"/>
    </row>
    <row r="15232" ht="14.25" customHeight="1" s="192">
      <c r="W15232" s="239" t="n"/>
      <c r="X15232" s="239" t="n"/>
    </row>
    <row r="15233" ht="14.25" customHeight="1" s="192">
      <c r="W15233" s="239" t="n"/>
      <c r="X15233" s="239" t="n"/>
    </row>
    <row r="15234" ht="14.25" customHeight="1" s="192">
      <c r="W15234" s="235" t="n"/>
      <c r="X15234" s="235" t="n"/>
    </row>
    <row r="15235" ht="14.25" customHeight="1" s="192">
      <c r="W15235" s="235" t="n"/>
      <c r="X15235" s="235" t="n"/>
    </row>
    <row r="15236" ht="14.25" customHeight="1" s="192">
      <c r="W15236" s="239" t="n"/>
      <c r="X15236" s="239" t="n"/>
    </row>
    <row r="15237" ht="14.25" customHeight="1" s="192">
      <c r="W15237" s="235" t="n"/>
      <c r="X15237" s="235" t="n"/>
    </row>
    <row r="15238" ht="14.25" customHeight="1" s="192">
      <c r="W15238" s="239" t="n"/>
      <c r="X15238" s="239" t="n"/>
    </row>
    <row r="15240" ht="14.25" customHeight="1" s="192">
      <c r="W15240" s="235" t="n"/>
      <c r="X15240" s="235" t="n"/>
    </row>
    <row r="15241" ht="15" customHeight="1" s="192" thickBot="1">
      <c r="W15241" s="239" t="n"/>
      <c r="X15241" s="239" t="n"/>
    </row>
    <row r="15242" ht="15" customHeight="1" s="192" thickBot="1">
      <c r="W15242" s="45" t="n"/>
      <c r="X15242" s="45" t="n"/>
    </row>
    <row r="15243" ht="14.25" customHeight="1" s="192">
      <c r="W15243" s="228" t="n"/>
      <c r="X15243" s="228" t="n"/>
    </row>
    <row r="15244" ht="14.25" customHeight="1" s="192">
      <c r="W15244" s="228" t="n"/>
      <c r="X15244" s="228" t="n"/>
    </row>
    <row r="15245" ht="14.25" customHeight="1" s="192">
      <c r="W15245" s="231" t="n"/>
      <c r="X15245" s="231" t="n"/>
    </row>
    <row r="15246" ht="14.25" customHeight="1" s="192">
      <c r="W15246" s="33" t="n"/>
      <c r="X15246" s="33" t="n"/>
    </row>
    <row r="15247" ht="14.25" customHeight="1" s="192">
      <c r="W15247" s="231" t="n"/>
      <c r="X15247" s="231" t="n"/>
    </row>
    <row r="15248" ht="14.25" customHeight="1" s="192">
      <c r="W15248" s="33" t="n"/>
      <c r="X15248" s="33" t="n"/>
    </row>
    <row r="15250" ht="14.25" customHeight="1" s="192">
      <c r="W15250" s="231" t="n"/>
      <c r="X15250" s="231" t="n"/>
    </row>
    <row r="15251" ht="14.25" customHeight="1" s="192">
      <c r="W15251" s="235" t="n"/>
      <c r="X15251" s="235" t="n"/>
    </row>
    <row r="15252" ht="14.25" customHeight="1" s="192">
      <c r="W15252" s="228" t="n"/>
      <c r="X15252" s="228" t="n"/>
    </row>
    <row r="15253" ht="14.25" customHeight="1" s="192">
      <c r="W15253" s="235" t="n"/>
      <c r="X15253" s="235" t="n"/>
    </row>
    <row r="15254" ht="14.25" customHeight="1" s="192">
      <c r="W15254" s="235" t="n"/>
      <c r="X15254" s="235" t="n"/>
    </row>
    <row r="15255" ht="14.25" customHeight="1" s="192">
      <c r="W15255" s="235" t="n"/>
      <c r="X15255" s="235" t="n"/>
    </row>
    <row r="15256" ht="14.25" customHeight="1" s="192">
      <c r="W15256" s="239" t="n"/>
      <c r="X15256" s="239" t="n"/>
    </row>
    <row r="15257" ht="14.25" customHeight="1" s="192">
      <c r="W15257" s="239" t="n"/>
      <c r="X15257" s="239" t="n"/>
    </row>
    <row r="15258" ht="14.25" customHeight="1" s="192">
      <c r="W15258" s="239" t="n"/>
      <c r="X15258" s="239" t="n"/>
    </row>
    <row r="15259" ht="14.25" customHeight="1" s="192">
      <c r="W15259" s="235" t="n"/>
      <c r="X15259" s="235" t="n"/>
    </row>
    <row r="15260" ht="14.25" customHeight="1" s="192">
      <c r="W15260" s="235" t="n"/>
      <c r="X15260" s="235" t="n"/>
    </row>
    <row r="15261" ht="14.25" customHeight="1" s="192">
      <c r="W15261" s="235" t="n"/>
      <c r="X15261" s="235" t="n"/>
    </row>
    <row r="15262" ht="14.25" customHeight="1" s="192">
      <c r="W15262" s="239" t="n"/>
      <c r="X15262" s="239" t="n"/>
    </row>
    <row r="15263" ht="14.25" customHeight="1" s="192">
      <c r="W15263" s="239" t="n"/>
      <c r="X15263" s="239" t="n"/>
    </row>
    <row r="15264" ht="14.25" customHeight="1" s="192">
      <c r="W15264" s="235" t="n"/>
      <c r="X15264" s="235" t="n"/>
    </row>
    <row r="15265" ht="14.25" customHeight="1" s="192">
      <c r="W15265" s="235" t="n"/>
      <c r="X15265" s="235" t="n"/>
    </row>
    <row r="15266" ht="14.25" customHeight="1" s="192">
      <c r="W15266" s="239" t="n"/>
      <c r="X15266" s="239" t="n"/>
    </row>
    <row r="15267" ht="14.25" customHeight="1" s="192">
      <c r="W15267" s="235" t="n"/>
      <c r="X15267" s="235" t="n"/>
    </row>
    <row r="15268" ht="14.25" customHeight="1" s="192">
      <c r="W15268" s="239" t="n"/>
      <c r="X15268" s="239" t="n"/>
    </row>
    <row r="15270" ht="14.25" customHeight="1" s="192">
      <c r="W15270" s="235" t="n"/>
      <c r="X15270" s="235" t="n"/>
    </row>
    <row r="15271" ht="15" customHeight="1" s="192" thickBot="1">
      <c r="W15271" s="239" t="n"/>
      <c r="X15271" s="239" t="n"/>
    </row>
    <row r="15272" ht="15" customHeight="1" s="192" thickBot="1">
      <c r="W15272" s="45" t="n"/>
      <c r="X15272" s="45" t="n"/>
    </row>
    <row r="15273" ht="14.25" customHeight="1" s="192">
      <c r="W15273" s="228" t="n"/>
      <c r="X15273" s="228" t="n"/>
    </row>
    <row r="15274" ht="14.25" customHeight="1" s="192">
      <c r="W15274" s="228" t="n"/>
      <c r="X15274" s="228" t="n"/>
    </row>
    <row r="15275" ht="14.25" customHeight="1" s="192">
      <c r="W15275" s="231" t="n"/>
      <c r="X15275" s="231" t="n"/>
    </row>
    <row r="15276" ht="14.25" customHeight="1" s="192">
      <c r="W15276" s="33" t="n"/>
      <c r="X15276" s="33" t="n"/>
    </row>
    <row r="15277" ht="14.25" customHeight="1" s="192">
      <c r="W15277" s="231" t="n"/>
      <c r="X15277" s="231" t="n"/>
    </row>
    <row r="15278" ht="14.25" customHeight="1" s="192">
      <c r="W15278" s="33" t="n"/>
      <c r="X15278" s="33" t="n"/>
    </row>
    <row r="15280" ht="14.25" customHeight="1" s="192">
      <c r="W15280" s="231" t="n"/>
      <c r="X15280" s="231" t="n"/>
    </row>
    <row r="15281" ht="14.25" customHeight="1" s="192">
      <c r="W15281" s="235" t="n"/>
      <c r="X15281" s="235" t="n"/>
    </row>
    <row r="15282" ht="14.25" customHeight="1" s="192">
      <c r="W15282" s="228" t="n"/>
      <c r="X15282" s="228" t="n"/>
    </row>
    <row r="15283" ht="14.25" customHeight="1" s="192">
      <c r="W15283" s="235" t="n"/>
      <c r="X15283" s="235" t="n"/>
    </row>
    <row r="15284" ht="14.25" customHeight="1" s="192">
      <c r="W15284" s="235" t="n"/>
      <c r="X15284" s="235" t="n"/>
    </row>
    <row r="15285" ht="14.25" customHeight="1" s="192">
      <c r="W15285" s="235" t="n"/>
      <c r="X15285" s="235" t="n"/>
    </row>
    <row r="15286" ht="14.25" customHeight="1" s="192">
      <c r="W15286" s="239" t="n"/>
      <c r="X15286" s="239" t="n"/>
    </row>
    <row r="15287" ht="14.25" customHeight="1" s="192">
      <c r="W15287" s="239" t="n"/>
      <c r="X15287" s="239" t="n"/>
    </row>
    <row r="15288" ht="14.25" customHeight="1" s="192">
      <c r="W15288" s="239" t="n"/>
      <c r="X15288" s="239" t="n"/>
    </row>
    <row r="15289" ht="14.25" customHeight="1" s="192">
      <c r="W15289" s="235" t="n"/>
      <c r="X15289" s="235" t="n"/>
    </row>
    <row r="15290" ht="14.25" customHeight="1" s="192">
      <c r="W15290" s="235" t="n"/>
      <c r="X15290" s="235" t="n"/>
    </row>
    <row r="15291" ht="14.25" customHeight="1" s="192">
      <c r="W15291" s="235" t="n"/>
      <c r="X15291" s="235" t="n"/>
    </row>
    <row r="15292" ht="14.25" customHeight="1" s="192">
      <c r="W15292" s="239" t="n"/>
      <c r="X15292" s="239" t="n"/>
    </row>
    <row r="15293" ht="14.25" customHeight="1" s="192">
      <c r="W15293" s="239" t="n"/>
      <c r="X15293" s="239" t="n"/>
    </row>
    <row r="15294" ht="14.25" customHeight="1" s="192">
      <c r="W15294" s="235" t="n"/>
      <c r="X15294" s="235" t="n"/>
    </row>
    <row r="15295" ht="14.25" customHeight="1" s="192">
      <c r="W15295" s="235" t="n"/>
      <c r="X15295" s="235" t="n"/>
    </row>
    <row r="15296" ht="14.25" customHeight="1" s="192">
      <c r="W15296" s="239" t="n"/>
      <c r="X15296" s="239" t="n"/>
    </row>
    <row r="15297" ht="14.25" customHeight="1" s="192">
      <c r="W15297" s="235" t="n"/>
      <c r="X15297" s="235" t="n"/>
    </row>
    <row r="15298" ht="14.25" customHeight="1" s="192">
      <c r="W15298" s="239" t="n"/>
      <c r="X15298" s="239" t="n"/>
    </row>
    <row r="15300" ht="14.25" customHeight="1" s="192">
      <c r="W15300" s="235" t="n"/>
      <c r="X15300" s="235" t="n"/>
    </row>
    <row r="15301" ht="15" customHeight="1" s="192" thickBot="1">
      <c r="W15301" s="239" t="n"/>
      <c r="X15301" s="239" t="n"/>
    </row>
    <row r="15302" ht="15" customHeight="1" s="192" thickBot="1">
      <c r="W15302" s="45" t="n"/>
      <c r="X15302" s="45" t="n"/>
    </row>
    <row r="15303" ht="14.25" customHeight="1" s="192">
      <c r="W15303" s="228" t="n"/>
      <c r="X15303" s="228" t="n"/>
    </row>
    <row r="15304" ht="14.25" customHeight="1" s="192">
      <c r="W15304" s="228" t="n"/>
      <c r="X15304" s="228" t="n"/>
    </row>
    <row r="15305" ht="14.25" customHeight="1" s="192">
      <c r="W15305" s="231" t="n"/>
      <c r="X15305" s="231" t="n"/>
    </row>
    <row r="15306" ht="14.25" customHeight="1" s="192">
      <c r="W15306" s="33" t="n"/>
      <c r="X15306" s="33" t="n"/>
    </row>
    <row r="15307" ht="14.25" customHeight="1" s="192">
      <c r="W15307" s="231" t="n"/>
      <c r="X15307" s="231" t="n"/>
    </row>
    <row r="15308" ht="14.25" customHeight="1" s="192">
      <c r="W15308" s="33" t="n"/>
      <c r="X15308" s="33" t="n"/>
    </row>
    <row r="15310" ht="14.25" customHeight="1" s="192">
      <c r="W15310" s="231" t="n"/>
      <c r="X15310" s="231" t="n"/>
    </row>
    <row r="15311" ht="14.25" customHeight="1" s="192">
      <c r="W15311" s="235" t="n"/>
      <c r="X15311" s="235" t="n"/>
    </row>
    <row r="15312" ht="14.25" customHeight="1" s="192">
      <c r="W15312" s="228" t="n"/>
      <c r="X15312" s="228" t="n"/>
    </row>
    <row r="15313" ht="14.25" customHeight="1" s="192">
      <c r="W15313" s="235" t="n"/>
      <c r="X15313" s="235" t="n"/>
    </row>
    <row r="15314" ht="14.25" customHeight="1" s="192">
      <c r="W15314" s="235" t="n"/>
      <c r="X15314" s="235" t="n"/>
    </row>
    <row r="15315" ht="14.25" customHeight="1" s="192">
      <c r="W15315" s="235" t="n"/>
      <c r="X15315" s="235" t="n"/>
    </row>
    <row r="15316" ht="14.25" customHeight="1" s="192">
      <c r="W15316" s="239" t="n"/>
      <c r="X15316" s="239" t="n"/>
    </row>
    <row r="15317" ht="14.25" customHeight="1" s="192">
      <c r="W15317" s="239" t="n"/>
      <c r="X15317" s="239" t="n"/>
    </row>
    <row r="15318" ht="14.25" customHeight="1" s="192">
      <c r="W15318" s="239" t="n"/>
      <c r="X15318" s="239" t="n"/>
    </row>
    <row r="15319" ht="14.25" customHeight="1" s="192">
      <c r="W15319" s="235" t="n"/>
      <c r="X15319" s="235" t="n"/>
    </row>
    <row r="15320" ht="14.25" customHeight="1" s="192">
      <c r="W15320" s="235" t="n"/>
      <c r="X15320" s="235" t="n"/>
    </row>
    <row r="15321" ht="14.25" customHeight="1" s="192">
      <c r="W15321" s="235" t="n"/>
      <c r="X15321" s="235" t="n"/>
    </row>
    <row r="15322" ht="14.25" customHeight="1" s="192">
      <c r="W15322" s="239" t="n"/>
      <c r="X15322" s="239" t="n"/>
    </row>
    <row r="15323" ht="14.25" customHeight="1" s="192">
      <c r="W15323" s="239" t="n"/>
      <c r="X15323" s="239" t="n"/>
    </row>
    <row r="15324" ht="14.25" customHeight="1" s="192">
      <c r="W15324" s="235" t="n"/>
      <c r="X15324" s="235" t="n"/>
    </row>
    <row r="15325" ht="14.25" customHeight="1" s="192">
      <c r="W15325" s="235" t="n"/>
      <c r="X15325" s="235" t="n"/>
    </row>
    <row r="15326" ht="14.25" customHeight="1" s="192">
      <c r="W15326" s="239" t="n"/>
      <c r="X15326" s="239" t="n"/>
    </row>
    <row r="15327" ht="14.25" customHeight="1" s="192">
      <c r="W15327" s="235" t="n"/>
      <c r="X15327" s="235" t="n"/>
    </row>
    <row r="15328" ht="14.25" customHeight="1" s="192">
      <c r="W15328" s="239" t="n"/>
      <c r="X15328" s="239" t="n"/>
    </row>
    <row r="15330" ht="14.25" customHeight="1" s="192">
      <c r="W15330" s="235" t="n"/>
      <c r="X15330" s="235" t="n"/>
    </row>
    <row r="15331" ht="15" customHeight="1" s="192" thickBot="1">
      <c r="W15331" s="239" t="n"/>
      <c r="X15331" s="239" t="n"/>
    </row>
    <row r="15332" ht="15" customHeight="1" s="192" thickBot="1">
      <c r="W15332" s="45" t="n"/>
      <c r="X15332" s="45" t="n"/>
    </row>
    <row r="15333" ht="14.25" customHeight="1" s="192">
      <c r="W15333" s="228" t="n"/>
      <c r="X15333" s="228" t="n"/>
    </row>
    <row r="15334" ht="14.25" customHeight="1" s="192">
      <c r="W15334" s="228" t="n"/>
      <c r="X15334" s="228" t="n"/>
    </row>
    <row r="15335" ht="14.25" customHeight="1" s="192">
      <c r="W15335" s="231" t="n"/>
      <c r="X15335" s="231" t="n"/>
    </row>
    <row r="15336" ht="14.25" customHeight="1" s="192">
      <c r="W15336" s="33" t="n"/>
      <c r="X15336" s="33" t="n"/>
    </row>
    <row r="15337" ht="14.25" customHeight="1" s="192">
      <c r="W15337" s="231" t="n"/>
      <c r="X15337" s="231" t="n"/>
    </row>
    <row r="15338" ht="14.25" customHeight="1" s="192">
      <c r="W15338" s="33" t="n"/>
      <c r="X15338" s="33" t="n"/>
    </row>
    <row r="15340" ht="14.25" customHeight="1" s="192">
      <c r="W15340" s="231" t="n"/>
      <c r="X15340" s="231" t="n"/>
    </row>
    <row r="15341" ht="14.25" customHeight="1" s="192">
      <c r="W15341" s="235" t="n"/>
      <c r="X15341" s="235" t="n"/>
    </row>
    <row r="15342" ht="14.25" customHeight="1" s="192">
      <c r="W15342" s="228" t="n"/>
      <c r="X15342" s="228" t="n"/>
    </row>
    <row r="15343" ht="14.25" customHeight="1" s="192">
      <c r="W15343" s="235" t="n"/>
      <c r="X15343" s="235" t="n"/>
    </row>
    <row r="15344" ht="14.25" customHeight="1" s="192">
      <c r="W15344" s="235" t="n"/>
      <c r="X15344" s="235" t="n"/>
    </row>
    <row r="15345" ht="14.25" customHeight="1" s="192">
      <c r="W15345" s="235" t="n"/>
      <c r="X15345" s="235" t="n"/>
    </row>
    <row r="15346" ht="14.25" customHeight="1" s="192">
      <c r="W15346" s="239" t="n"/>
      <c r="X15346" s="239" t="n"/>
    </row>
    <row r="15347" ht="14.25" customHeight="1" s="192">
      <c r="W15347" s="239" t="n"/>
      <c r="X15347" s="239" t="n"/>
    </row>
    <row r="15348" ht="14.25" customHeight="1" s="192">
      <c r="W15348" s="239" t="n"/>
      <c r="X15348" s="239" t="n"/>
    </row>
    <row r="15349" ht="14.25" customHeight="1" s="192">
      <c r="W15349" s="235" t="n"/>
      <c r="X15349" s="235" t="n"/>
    </row>
    <row r="15350" ht="14.25" customHeight="1" s="192">
      <c r="W15350" s="235" t="n"/>
      <c r="X15350" s="235" t="n"/>
    </row>
    <row r="15351" ht="14.25" customHeight="1" s="192">
      <c r="W15351" s="235" t="n"/>
      <c r="X15351" s="235" t="n"/>
    </row>
    <row r="15352" ht="14.25" customHeight="1" s="192">
      <c r="W15352" s="239" t="n"/>
      <c r="X15352" s="239" t="n"/>
    </row>
    <row r="15353" ht="14.25" customHeight="1" s="192">
      <c r="W15353" s="239" t="n"/>
      <c r="X15353" s="239" t="n"/>
    </row>
    <row r="15354" ht="14.25" customHeight="1" s="192">
      <c r="W15354" s="235" t="n"/>
      <c r="X15354" s="235" t="n"/>
    </row>
    <row r="15355" ht="14.25" customHeight="1" s="192">
      <c r="W15355" s="235" t="n"/>
      <c r="X15355" s="235" t="n"/>
    </row>
    <row r="15356" ht="14.25" customHeight="1" s="192">
      <c r="W15356" s="239" t="n"/>
      <c r="X15356" s="239" t="n"/>
    </row>
    <row r="15357" ht="14.25" customHeight="1" s="192">
      <c r="W15357" s="235" t="n"/>
      <c r="X15357" s="235" t="n"/>
    </row>
    <row r="15358" ht="14.25" customHeight="1" s="192">
      <c r="W15358" s="239" t="n"/>
      <c r="X15358" s="239" t="n"/>
    </row>
    <row r="15360" ht="14.25" customHeight="1" s="192">
      <c r="W15360" s="235" t="n"/>
      <c r="X15360" s="235" t="n"/>
    </row>
    <row r="15361" ht="15" customHeight="1" s="192" thickBot="1">
      <c r="W15361" s="239" t="n"/>
      <c r="X15361" s="239" t="n"/>
    </row>
    <row r="15362" ht="15" customHeight="1" s="192" thickBot="1">
      <c r="W15362" s="45" t="n"/>
      <c r="X15362" s="45" t="n"/>
    </row>
    <row r="15363" ht="14.25" customHeight="1" s="192">
      <c r="W15363" s="228" t="n"/>
      <c r="X15363" s="228" t="n"/>
    </row>
    <row r="15364" ht="14.25" customHeight="1" s="192">
      <c r="W15364" s="228" t="n"/>
      <c r="X15364" s="228" t="n"/>
    </row>
    <row r="15365" ht="14.25" customHeight="1" s="192">
      <c r="W15365" s="231" t="n"/>
      <c r="X15365" s="231" t="n"/>
    </row>
    <row r="15366" ht="14.25" customHeight="1" s="192">
      <c r="W15366" s="33" t="n"/>
      <c r="X15366" s="33" t="n"/>
    </row>
    <row r="15367" ht="14.25" customHeight="1" s="192">
      <c r="W15367" s="231" t="n"/>
      <c r="X15367" s="231" t="n"/>
    </row>
    <row r="15368" ht="14.25" customHeight="1" s="192">
      <c r="W15368" s="33" t="n"/>
      <c r="X15368" s="33" t="n"/>
    </row>
    <row r="15370" ht="14.25" customHeight="1" s="192">
      <c r="W15370" s="231" t="n"/>
      <c r="X15370" s="231" t="n"/>
    </row>
    <row r="15371" ht="14.25" customHeight="1" s="192">
      <c r="W15371" s="235" t="n"/>
      <c r="X15371" s="235" t="n"/>
    </row>
    <row r="15372" ht="14.25" customHeight="1" s="192">
      <c r="W15372" s="228" t="n"/>
      <c r="X15372" s="228" t="n"/>
    </row>
    <row r="15373" ht="14.25" customHeight="1" s="192">
      <c r="W15373" s="235" t="n"/>
      <c r="X15373" s="235" t="n"/>
    </row>
    <row r="15374" ht="14.25" customHeight="1" s="192">
      <c r="W15374" s="235" t="n"/>
      <c r="X15374" s="235" t="n"/>
    </row>
    <row r="15375" ht="14.25" customHeight="1" s="192">
      <c r="W15375" s="235" t="n"/>
      <c r="X15375" s="235" t="n"/>
    </row>
    <row r="15376" ht="14.25" customHeight="1" s="192">
      <c r="W15376" s="239" t="n"/>
      <c r="X15376" s="239" t="n"/>
    </row>
    <row r="15377" ht="14.25" customHeight="1" s="192">
      <c r="W15377" s="239" t="n"/>
      <c r="X15377" s="239" t="n"/>
    </row>
    <row r="15378" ht="14.25" customHeight="1" s="192">
      <c r="W15378" s="239" t="n"/>
      <c r="X15378" s="239" t="n"/>
    </row>
    <row r="15379" ht="14.25" customHeight="1" s="192">
      <c r="W15379" s="235" t="n"/>
      <c r="X15379" s="235" t="n"/>
    </row>
    <row r="15380" ht="14.25" customHeight="1" s="192">
      <c r="W15380" s="235" t="n"/>
      <c r="X15380" s="235" t="n"/>
    </row>
    <row r="15381" ht="14.25" customHeight="1" s="192">
      <c r="W15381" s="235" t="n"/>
      <c r="X15381" s="235" t="n"/>
    </row>
    <row r="15382" ht="14.25" customHeight="1" s="192">
      <c r="W15382" s="239" t="n"/>
      <c r="X15382" s="239" t="n"/>
    </row>
    <row r="15383" ht="14.25" customHeight="1" s="192">
      <c r="W15383" s="239" t="n"/>
      <c r="X15383" s="239" t="n"/>
    </row>
    <row r="15384" ht="14.25" customHeight="1" s="192">
      <c r="W15384" s="235" t="n"/>
      <c r="X15384" s="235" t="n"/>
    </row>
    <row r="15385" ht="14.25" customHeight="1" s="192">
      <c r="W15385" s="235" t="n"/>
      <c r="X15385" s="235" t="n"/>
    </row>
    <row r="15386" ht="14.25" customHeight="1" s="192">
      <c r="W15386" s="239" t="n"/>
      <c r="X15386" s="239" t="n"/>
    </row>
    <row r="15387" ht="14.25" customHeight="1" s="192">
      <c r="W15387" s="235" t="n"/>
      <c r="X15387" s="235" t="n"/>
    </row>
    <row r="15388" ht="14.25" customHeight="1" s="192">
      <c r="W15388" s="239" t="n"/>
      <c r="X15388" s="239" t="n"/>
    </row>
    <row r="15390" ht="14.25" customHeight="1" s="192">
      <c r="W15390" s="235" t="n"/>
      <c r="X15390" s="235" t="n"/>
    </row>
    <row r="15391" ht="15" customHeight="1" s="192" thickBot="1">
      <c r="W15391" s="239" t="n"/>
      <c r="X15391" s="239" t="n"/>
    </row>
    <row r="15392" ht="15" customHeight="1" s="192" thickBot="1">
      <c r="W15392" s="45" t="n"/>
      <c r="X15392" s="45" t="n"/>
    </row>
    <row r="15393" ht="14.25" customHeight="1" s="192">
      <c r="W15393" s="228" t="n"/>
      <c r="X15393" s="228" t="n"/>
    </row>
    <row r="15394" ht="14.25" customHeight="1" s="192">
      <c r="W15394" s="228" t="n"/>
      <c r="X15394" s="228" t="n"/>
    </row>
    <row r="15395" ht="14.25" customHeight="1" s="192">
      <c r="W15395" s="231" t="n"/>
      <c r="X15395" s="231" t="n"/>
    </row>
    <row r="15396" ht="14.25" customHeight="1" s="192">
      <c r="W15396" s="33" t="n"/>
      <c r="X15396" s="33" t="n"/>
    </row>
    <row r="15397" ht="14.25" customHeight="1" s="192">
      <c r="W15397" s="231" t="n"/>
      <c r="X15397" s="231" t="n"/>
    </row>
    <row r="15398" ht="14.25" customHeight="1" s="192">
      <c r="W15398" s="33" t="n"/>
      <c r="X15398" s="33" t="n"/>
    </row>
    <row r="15400" ht="14.25" customHeight="1" s="192">
      <c r="W15400" s="231" t="n"/>
      <c r="X15400" s="231" t="n"/>
    </row>
    <row r="15401" ht="14.25" customHeight="1" s="192">
      <c r="W15401" s="235" t="n"/>
      <c r="X15401" s="235" t="n"/>
    </row>
    <row r="15402" ht="14.25" customHeight="1" s="192">
      <c r="W15402" s="228" t="n"/>
      <c r="X15402" s="228" t="n"/>
    </row>
    <row r="15403" ht="14.25" customHeight="1" s="192">
      <c r="W15403" s="235" t="n"/>
      <c r="X15403" s="235" t="n"/>
    </row>
    <row r="15404" ht="14.25" customHeight="1" s="192">
      <c r="W15404" s="235" t="n"/>
      <c r="X15404" s="235" t="n"/>
    </row>
    <row r="15405" ht="14.25" customHeight="1" s="192">
      <c r="W15405" s="235" t="n"/>
      <c r="X15405" s="235" t="n"/>
    </row>
    <row r="15406" ht="14.25" customHeight="1" s="192">
      <c r="W15406" s="239" t="n"/>
      <c r="X15406" s="239" t="n"/>
    </row>
    <row r="15407" ht="14.25" customHeight="1" s="192">
      <c r="W15407" s="239" t="n"/>
      <c r="X15407" s="239" t="n"/>
    </row>
    <row r="15408" ht="14.25" customHeight="1" s="192">
      <c r="W15408" s="239" t="n"/>
      <c r="X15408" s="239" t="n"/>
    </row>
    <row r="15409" ht="14.25" customHeight="1" s="192">
      <c r="W15409" s="235" t="n"/>
      <c r="X15409" s="235" t="n"/>
    </row>
    <row r="15410" ht="14.25" customHeight="1" s="192">
      <c r="W15410" s="235" t="n"/>
      <c r="X15410" s="235" t="n"/>
    </row>
    <row r="15411" ht="14.25" customHeight="1" s="192">
      <c r="W15411" s="235" t="n"/>
      <c r="X15411" s="235" t="n"/>
    </row>
    <row r="15412" ht="14.25" customHeight="1" s="192">
      <c r="W15412" s="239" t="n"/>
      <c r="X15412" s="239" t="n"/>
    </row>
    <row r="15413" ht="14.25" customHeight="1" s="192">
      <c r="W15413" s="239" t="n"/>
      <c r="X15413" s="239" t="n"/>
    </row>
    <row r="15414" ht="14.25" customHeight="1" s="192">
      <c r="W15414" s="235" t="n"/>
      <c r="X15414" s="235" t="n"/>
    </row>
    <row r="15415" ht="14.25" customHeight="1" s="192">
      <c r="W15415" s="235" t="n"/>
      <c r="X15415" s="235" t="n"/>
    </row>
    <row r="15416" ht="14.25" customHeight="1" s="192">
      <c r="W15416" s="239" t="n"/>
      <c r="X15416" s="239" t="n"/>
    </row>
    <row r="15417" ht="14.25" customHeight="1" s="192">
      <c r="W15417" s="235" t="n"/>
      <c r="X15417" s="235" t="n"/>
    </row>
    <row r="15418" ht="14.25" customHeight="1" s="192">
      <c r="W15418" s="239" t="n"/>
      <c r="X15418" s="239" t="n"/>
    </row>
    <row r="15420" ht="14.25" customHeight="1" s="192">
      <c r="W15420" s="235" t="n"/>
      <c r="X15420" s="235" t="n"/>
    </row>
    <row r="15421" ht="15" customHeight="1" s="192" thickBot="1">
      <c r="W15421" s="239" t="n"/>
      <c r="X15421" s="239" t="n"/>
    </row>
    <row r="15422" ht="15" customHeight="1" s="192" thickBot="1">
      <c r="W15422" s="45" t="n"/>
      <c r="X15422" s="45" t="n"/>
    </row>
    <row r="15423" ht="14.25" customHeight="1" s="192">
      <c r="W15423" s="228" t="n"/>
      <c r="X15423" s="228" t="n"/>
    </row>
    <row r="15424" ht="14.25" customHeight="1" s="192">
      <c r="W15424" s="228" t="n"/>
      <c r="X15424" s="228" t="n"/>
    </row>
    <row r="15425" ht="14.25" customHeight="1" s="192">
      <c r="W15425" s="231" t="n"/>
      <c r="X15425" s="231" t="n"/>
    </row>
    <row r="15426" ht="14.25" customHeight="1" s="192">
      <c r="W15426" s="33" t="n"/>
      <c r="X15426" s="33" t="n"/>
    </row>
    <row r="15427" ht="14.25" customHeight="1" s="192">
      <c r="W15427" s="231" t="n"/>
      <c r="X15427" s="231" t="n"/>
    </row>
    <row r="15428" ht="14.25" customHeight="1" s="192">
      <c r="W15428" s="33" t="n"/>
      <c r="X15428" s="33" t="n"/>
    </row>
    <row r="15430" ht="14.25" customHeight="1" s="192">
      <c r="W15430" s="231" t="n"/>
      <c r="X15430" s="231" t="n"/>
    </row>
    <row r="15431" ht="14.25" customHeight="1" s="192">
      <c r="W15431" s="235" t="n"/>
      <c r="X15431" s="235" t="n"/>
    </row>
    <row r="15432" ht="14.25" customHeight="1" s="192">
      <c r="W15432" s="228" t="n"/>
      <c r="X15432" s="228" t="n"/>
    </row>
    <row r="15433" ht="14.25" customHeight="1" s="192">
      <c r="W15433" s="235" t="n"/>
      <c r="X15433" s="235" t="n"/>
    </row>
    <row r="15434" ht="14.25" customHeight="1" s="192">
      <c r="W15434" s="235" t="n"/>
      <c r="X15434" s="235" t="n"/>
    </row>
    <row r="15435" ht="14.25" customHeight="1" s="192">
      <c r="W15435" s="235" t="n"/>
      <c r="X15435" s="235" t="n"/>
    </row>
    <row r="15436" ht="14.25" customHeight="1" s="192">
      <c r="W15436" s="239" t="n"/>
      <c r="X15436" s="239" t="n"/>
    </row>
    <row r="15437" ht="14.25" customHeight="1" s="192">
      <c r="W15437" s="239" t="n"/>
      <c r="X15437" s="239" t="n"/>
    </row>
    <row r="15438" ht="14.25" customHeight="1" s="192">
      <c r="W15438" s="239" t="n"/>
      <c r="X15438" s="239" t="n"/>
    </row>
    <row r="15439" ht="14.25" customHeight="1" s="192">
      <c r="W15439" s="235" t="n"/>
      <c r="X15439" s="235" t="n"/>
    </row>
    <row r="15440" ht="14.25" customHeight="1" s="192">
      <c r="W15440" s="235" t="n"/>
      <c r="X15440" s="235" t="n"/>
    </row>
    <row r="15441" ht="14.25" customHeight="1" s="192">
      <c r="W15441" s="235" t="n"/>
      <c r="X15441" s="235" t="n"/>
    </row>
    <row r="15442" ht="14.25" customHeight="1" s="192">
      <c r="W15442" s="239" t="n"/>
      <c r="X15442" s="239" t="n"/>
    </row>
    <row r="15443" ht="14.25" customHeight="1" s="192">
      <c r="W15443" s="239" t="n"/>
      <c r="X15443" s="239" t="n"/>
    </row>
    <row r="15444" ht="14.25" customHeight="1" s="192">
      <c r="W15444" s="235" t="n"/>
      <c r="X15444" s="235" t="n"/>
    </row>
    <row r="15445" ht="14.25" customHeight="1" s="192">
      <c r="W15445" s="235" t="n"/>
      <c r="X15445" s="235" t="n"/>
    </row>
    <row r="15446" ht="14.25" customHeight="1" s="192">
      <c r="W15446" s="239" t="n"/>
      <c r="X15446" s="239" t="n"/>
    </row>
    <row r="15447" ht="14.25" customHeight="1" s="192">
      <c r="W15447" s="235" t="n"/>
      <c r="X15447" s="235" t="n"/>
    </row>
    <row r="15448" ht="14.25" customHeight="1" s="192">
      <c r="W15448" s="239" t="n"/>
      <c r="X15448" s="239" t="n"/>
    </row>
    <row r="15450" ht="14.25" customHeight="1" s="192">
      <c r="W15450" s="235" t="n"/>
      <c r="X15450" s="235" t="n"/>
    </row>
    <row r="15451" ht="15" customHeight="1" s="192" thickBot="1">
      <c r="W15451" s="239" t="n"/>
      <c r="X15451" s="239" t="n"/>
    </row>
    <row r="15452" ht="15" customHeight="1" s="192" thickBot="1">
      <c r="W15452" s="45" t="n"/>
      <c r="X15452" s="45" t="n"/>
    </row>
    <row r="15453" ht="14.25" customHeight="1" s="192">
      <c r="W15453" s="228" t="n"/>
      <c r="X15453" s="228" t="n"/>
    </row>
    <row r="15454" ht="14.25" customHeight="1" s="192">
      <c r="W15454" s="228" t="n"/>
      <c r="X15454" s="228" t="n"/>
    </row>
    <row r="15455" ht="14.25" customHeight="1" s="192">
      <c r="W15455" s="231" t="n"/>
      <c r="X15455" s="231" t="n"/>
    </row>
    <row r="15456" ht="14.25" customHeight="1" s="192">
      <c r="W15456" s="33" t="n"/>
      <c r="X15456" s="33" t="n"/>
    </row>
    <row r="15457" ht="14.25" customHeight="1" s="192">
      <c r="W15457" s="231" t="n"/>
      <c r="X15457" s="231" t="n"/>
    </row>
    <row r="15458" ht="14.25" customHeight="1" s="192">
      <c r="W15458" s="33" t="n"/>
      <c r="X15458" s="33" t="n"/>
    </row>
    <row r="15460" ht="14.25" customHeight="1" s="192">
      <c r="W15460" s="231" t="n"/>
      <c r="X15460" s="231" t="n"/>
    </row>
    <row r="15461" ht="14.25" customHeight="1" s="192">
      <c r="W15461" s="235" t="n"/>
      <c r="X15461" s="235" t="n"/>
    </row>
    <row r="15462" ht="14.25" customHeight="1" s="192">
      <c r="W15462" s="228" t="n"/>
      <c r="X15462" s="228" t="n"/>
    </row>
    <row r="15463" ht="14.25" customHeight="1" s="192">
      <c r="W15463" s="235" t="n"/>
      <c r="X15463" s="235" t="n"/>
    </row>
    <row r="15464" ht="14.25" customHeight="1" s="192">
      <c r="W15464" s="235" t="n"/>
      <c r="X15464" s="235" t="n"/>
    </row>
    <row r="15465" ht="14.25" customHeight="1" s="192">
      <c r="W15465" s="235" t="n"/>
      <c r="X15465" s="235" t="n"/>
    </row>
    <row r="15466" ht="14.25" customHeight="1" s="192">
      <c r="W15466" s="239" t="n"/>
      <c r="X15466" s="239" t="n"/>
    </row>
    <row r="15467" ht="14.25" customHeight="1" s="192">
      <c r="W15467" s="239" t="n"/>
      <c r="X15467" s="239" t="n"/>
    </row>
    <row r="15468" ht="14.25" customHeight="1" s="192">
      <c r="W15468" s="239" t="n"/>
      <c r="X15468" s="239" t="n"/>
    </row>
    <row r="15469" ht="14.25" customHeight="1" s="192">
      <c r="W15469" s="235" t="n"/>
      <c r="X15469" s="235" t="n"/>
    </row>
    <row r="15470" ht="14.25" customHeight="1" s="192">
      <c r="W15470" s="235" t="n"/>
      <c r="X15470" s="235" t="n"/>
    </row>
    <row r="15471" ht="14.25" customHeight="1" s="192">
      <c r="W15471" s="235" t="n"/>
      <c r="X15471" s="235" t="n"/>
    </row>
    <row r="15472" ht="14.25" customHeight="1" s="192">
      <c r="W15472" s="239" t="n"/>
      <c r="X15472" s="239" t="n"/>
    </row>
    <row r="15473" ht="14.25" customHeight="1" s="192">
      <c r="W15473" s="239" t="n"/>
      <c r="X15473" s="239" t="n"/>
    </row>
    <row r="15474" ht="14.25" customHeight="1" s="192">
      <c r="W15474" s="235" t="n"/>
      <c r="X15474" s="235" t="n"/>
    </row>
    <row r="15475" ht="14.25" customHeight="1" s="192">
      <c r="W15475" s="235" t="n"/>
      <c r="X15475" s="235" t="n"/>
    </row>
    <row r="15476" ht="14.25" customHeight="1" s="192">
      <c r="W15476" s="239" t="n"/>
      <c r="X15476" s="239" t="n"/>
    </row>
    <row r="15477" ht="14.25" customHeight="1" s="192">
      <c r="W15477" s="235" t="n"/>
      <c r="X15477" s="235" t="n"/>
    </row>
    <row r="15478" ht="14.25" customHeight="1" s="192">
      <c r="W15478" s="239" t="n"/>
      <c r="X15478" s="239" t="n"/>
    </row>
    <row r="15480" ht="14.25" customHeight="1" s="192">
      <c r="W15480" s="235" t="n"/>
      <c r="X15480" s="235" t="n"/>
    </row>
    <row r="15481" ht="15" customHeight="1" s="192" thickBot="1">
      <c r="W15481" s="239" t="n"/>
      <c r="X15481" s="239" t="n"/>
    </row>
    <row r="15482" ht="15" customHeight="1" s="192" thickBot="1">
      <c r="W15482" s="45" t="n"/>
      <c r="X15482" s="45" t="n"/>
    </row>
    <row r="15483" ht="14.25" customHeight="1" s="192">
      <c r="W15483" s="228" t="n"/>
      <c r="X15483" s="228" t="n"/>
    </row>
    <row r="15484" ht="14.25" customHeight="1" s="192">
      <c r="W15484" s="228" t="n"/>
      <c r="X15484" s="228" t="n"/>
    </row>
    <row r="15485" ht="14.25" customHeight="1" s="192">
      <c r="W15485" s="231" t="n"/>
      <c r="X15485" s="231" t="n"/>
    </row>
    <row r="15486" ht="14.25" customHeight="1" s="192">
      <c r="W15486" s="33" t="n"/>
      <c r="X15486" s="33" t="n"/>
    </row>
    <row r="15487" ht="14.25" customHeight="1" s="192">
      <c r="W15487" s="231" t="n"/>
      <c r="X15487" s="231" t="n"/>
    </row>
    <row r="15488" ht="14.25" customHeight="1" s="192">
      <c r="W15488" s="33" t="n"/>
      <c r="X15488" s="33" t="n"/>
    </row>
    <row r="15490" ht="14.25" customHeight="1" s="192">
      <c r="W15490" s="231" t="n"/>
      <c r="X15490" s="231" t="n"/>
    </row>
    <row r="15491" ht="14.25" customHeight="1" s="192">
      <c r="W15491" s="235" t="n"/>
      <c r="X15491" s="235" t="n"/>
    </row>
    <row r="15492" ht="14.25" customHeight="1" s="192">
      <c r="W15492" s="228" t="n"/>
      <c r="X15492" s="228" t="n"/>
    </row>
    <row r="15493" ht="14.25" customHeight="1" s="192">
      <c r="W15493" s="235" t="n"/>
      <c r="X15493" s="235" t="n"/>
    </row>
    <row r="15494" ht="14.25" customHeight="1" s="192">
      <c r="W15494" s="235" t="n"/>
      <c r="X15494" s="235" t="n"/>
    </row>
    <row r="15495" ht="14.25" customHeight="1" s="192">
      <c r="W15495" s="235" t="n"/>
      <c r="X15495" s="235" t="n"/>
    </row>
    <row r="15496" ht="14.25" customHeight="1" s="192">
      <c r="W15496" s="239" t="n"/>
      <c r="X15496" s="239" t="n"/>
    </row>
    <row r="15497" ht="14.25" customHeight="1" s="192">
      <c r="W15497" s="239" t="n"/>
      <c r="X15497" s="239" t="n"/>
    </row>
    <row r="15498" ht="14.25" customHeight="1" s="192">
      <c r="W15498" s="239" t="n"/>
      <c r="X15498" s="239" t="n"/>
    </row>
    <row r="15499" ht="14.25" customHeight="1" s="192">
      <c r="W15499" s="235" t="n"/>
      <c r="X15499" s="235" t="n"/>
    </row>
    <row r="15500" ht="14.25" customHeight="1" s="192">
      <c r="W15500" s="235" t="n"/>
      <c r="X15500" s="235" t="n"/>
    </row>
    <row r="15501" ht="14.25" customHeight="1" s="192">
      <c r="W15501" s="235" t="n"/>
      <c r="X15501" s="235" t="n"/>
    </row>
    <row r="15502" ht="14.25" customHeight="1" s="192">
      <c r="W15502" s="239" t="n"/>
      <c r="X15502" s="239" t="n"/>
    </row>
    <row r="15503" ht="14.25" customHeight="1" s="192">
      <c r="W15503" s="239" t="n"/>
      <c r="X15503" s="239" t="n"/>
    </row>
    <row r="15504" ht="14.25" customHeight="1" s="192">
      <c r="W15504" s="235" t="n"/>
      <c r="X15504" s="235" t="n"/>
    </row>
    <row r="15505" ht="14.25" customHeight="1" s="192">
      <c r="W15505" s="235" t="n"/>
      <c r="X15505" s="235" t="n"/>
    </row>
    <row r="15506" ht="14.25" customHeight="1" s="192">
      <c r="W15506" s="239" t="n"/>
      <c r="X15506" s="239" t="n"/>
    </row>
    <row r="15507" ht="14.25" customHeight="1" s="192">
      <c r="W15507" s="235" t="n"/>
      <c r="X15507" s="235" t="n"/>
    </row>
    <row r="15508" ht="14.25" customHeight="1" s="192">
      <c r="W15508" s="239" t="n"/>
      <c r="X15508" s="239" t="n"/>
    </row>
    <row r="15510" ht="14.25" customHeight="1" s="192">
      <c r="W15510" s="235" t="n"/>
      <c r="X15510" s="235" t="n"/>
    </row>
    <row r="15511" ht="15" customHeight="1" s="192" thickBot="1">
      <c r="W15511" s="239" t="n"/>
      <c r="X15511" s="239" t="n"/>
    </row>
    <row r="15512" ht="15" customHeight="1" s="192" thickBot="1">
      <c r="W15512" s="45" t="n"/>
      <c r="X15512" s="45" t="n"/>
    </row>
    <row r="15513" ht="14.25" customHeight="1" s="192">
      <c r="W15513" s="228" t="n"/>
      <c r="X15513" s="228" t="n"/>
    </row>
    <row r="15514" ht="14.25" customHeight="1" s="192">
      <c r="W15514" s="228" t="n"/>
      <c r="X15514" s="228" t="n"/>
    </row>
    <row r="15515" ht="14.25" customHeight="1" s="192">
      <c r="W15515" s="231" t="n"/>
      <c r="X15515" s="231" t="n"/>
    </row>
    <row r="15516" ht="14.25" customHeight="1" s="192">
      <c r="W15516" s="33" t="n"/>
      <c r="X15516" s="33" t="n"/>
    </row>
    <row r="15517" ht="14.25" customHeight="1" s="192">
      <c r="W15517" s="231" t="n"/>
      <c r="X15517" s="231" t="n"/>
    </row>
    <row r="15518" ht="14.25" customHeight="1" s="192">
      <c r="W15518" s="33" t="n"/>
      <c r="X15518" s="33" t="n"/>
    </row>
    <row r="15520" ht="14.25" customHeight="1" s="192">
      <c r="W15520" s="231" t="n"/>
      <c r="X15520" s="231" t="n"/>
    </row>
    <row r="15521" ht="14.25" customHeight="1" s="192">
      <c r="W15521" s="235" t="n"/>
      <c r="X15521" s="235" t="n"/>
    </row>
    <row r="15522" ht="14.25" customHeight="1" s="192">
      <c r="W15522" s="228" t="n"/>
      <c r="X15522" s="228" t="n"/>
    </row>
    <row r="15523" ht="14.25" customHeight="1" s="192">
      <c r="W15523" s="235" t="n"/>
      <c r="X15523" s="235" t="n"/>
    </row>
    <row r="15524" ht="14.25" customHeight="1" s="192">
      <c r="W15524" s="235" t="n"/>
      <c r="X15524" s="235" t="n"/>
    </row>
    <row r="15525" ht="14.25" customHeight="1" s="192">
      <c r="W15525" s="235" t="n"/>
      <c r="X15525" s="235" t="n"/>
    </row>
    <row r="15526" ht="14.25" customHeight="1" s="192">
      <c r="W15526" s="239" t="n"/>
      <c r="X15526" s="239" t="n"/>
    </row>
    <row r="15527" ht="14.25" customHeight="1" s="192">
      <c r="W15527" s="239" t="n"/>
      <c r="X15527" s="239" t="n"/>
    </row>
    <row r="15528" ht="14.25" customHeight="1" s="192">
      <c r="W15528" s="239" t="n"/>
      <c r="X15528" s="239" t="n"/>
    </row>
    <row r="15529" ht="14.25" customHeight="1" s="192">
      <c r="W15529" s="235" t="n"/>
      <c r="X15529" s="235" t="n"/>
    </row>
    <row r="15530" ht="14.25" customHeight="1" s="192">
      <c r="W15530" s="235" t="n"/>
      <c r="X15530" s="235" t="n"/>
    </row>
    <row r="15531" ht="14.25" customHeight="1" s="192">
      <c r="W15531" s="235" t="n"/>
      <c r="X15531" s="235" t="n"/>
    </row>
    <row r="15532" ht="14.25" customHeight="1" s="192">
      <c r="W15532" s="239" t="n"/>
      <c r="X15532" s="239" t="n"/>
    </row>
    <row r="15533" ht="14.25" customHeight="1" s="192">
      <c r="W15533" s="239" t="n"/>
      <c r="X15533" s="239" t="n"/>
    </row>
    <row r="15534" ht="14.25" customHeight="1" s="192">
      <c r="W15534" s="235" t="n"/>
      <c r="X15534" s="235" t="n"/>
    </row>
    <row r="15535" ht="14.25" customHeight="1" s="192">
      <c r="W15535" s="235" t="n"/>
      <c r="X15535" s="235" t="n"/>
    </row>
    <row r="15536" ht="14.25" customHeight="1" s="192">
      <c r="W15536" s="239" t="n"/>
      <c r="X15536" s="239" t="n"/>
    </row>
    <row r="15537" ht="14.25" customHeight="1" s="192">
      <c r="W15537" s="235" t="n"/>
      <c r="X15537" s="235" t="n"/>
    </row>
    <row r="15538" ht="14.25" customHeight="1" s="192">
      <c r="W15538" s="239" t="n"/>
      <c r="X15538" s="239" t="n"/>
    </row>
    <row r="15540" ht="14.25" customHeight="1" s="192">
      <c r="W15540" s="235" t="n"/>
      <c r="X15540" s="235" t="n"/>
    </row>
    <row r="15541" ht="15" customHeight="1" s="192" thickBot="1">
      <c r="W15541" s="239" t="n"/>
      <c r="X15541" s="239" t="n"/>
    </row>
    <row r="15542" ht="15" customHeight="1" s="192" thickBot="1">
      <c r="W15542" s="45" t="n"/>
      <c r="X15542" s="45" t="n"/>
    </row>
    <row r="15543" ht="14.25" customHeight="1" s="192">
      <c r="W15543" s="228" t="n"/>
      <c r="X15543" s="228" t="n"/>
    </row>
    <row r="15544" ht="14.25" customHeight="1" s="192">
      <c r="W15544" s="228" t="n"/>
      <c r="X15544" s="228" t="n"/>
    </row>
    <row r="15545" ht="14.25" customHeight="1" s="192">
      <c r="W15545" s="231" t="n"/>
      <c r="X15545" s="231" t="n"/>
    </row>
    <row r="15546" ht="14.25" customHeight="1" s="192">
      <c r="W15546" s="33" t="n"/>
      <c r="X15546" s="33" t="n"/>
    </row>
    <row r="15547" ht="14.25" customHeight="1" s="192">
      <c r="W15547" s="231" t="n"/>
      <c r="X15547" s="231" t="n"/>
    </row>
    <row r="15548" ht="14.25" customHeight="1" s="192">
      <c r="W15548" s="33" t="n"/>
      <c r="X15548" s="33" t="n"/>
    </row>
    <row r="15550" ht="14.25" customHeight="1" s="192">
      <c r="W15550" s="231" t="n"/>
      <c r="X15550" s="231" t="n"/>
    </row>
    <row r="15551" ht="14.25" customHeight="1" s="192">
      <c r="W15551" s="235" t="n"/>
      <c r="X15551" s="235" t="n"/>
    </row>
    <row r="15552" ht="14.25" customHeight="1" s="192">
      <c r="W15552" s="228" t="n"/>
      <c r="X15552" s="228" t="n"/>
    </row>
    <row r="15553" ht="14.25" customHeight="1" s="192">
      <c r="W15553" s="235" t="n"/>
      <c r="X15553" s="235" t="n"/>
    </row>
    <row r="15554" ht="14.25" customHeight="1" s="192">
      <c r="W15554" s="235" t="n"/>
      <c r="X15554" s="235" t="n"/>
    </row>
    <row r="15555" ht="14.25" customHeight="1" s="192">
      <c r="W15555" s="235" t="n"/>
      <c r="X15555" s="235" t="n"/>
    </row>
    <row r="15556" ht="14.25" customHeight="1" s="192">
      <c r="W15556" s="239" t="n"/>
      <c r="X15556" s="239" t="n"/>
    </row>
    <row r="15557" ht="14.25" customHeight="1" s="192">
      <c r="W15557" s="239" t="n"/>
      <c r="X15557" s="239" t="n"/>
    </row>
    <row r="15558" ht="14.25" customHeight="1" s="192">
      <c r="W15558" s="239" t="n"/>
      <c r="X15558" s="239" t="n"/>
    </row>
    <row r="15559" ht="14.25" customHeight="1" s="192">
      <c r="W15559" s="235" t="n"/>
      <c r="X15559" s="235" t="n"/>
    </row>
    <row r="15560" ht="14.25" customHeight="1" s="192">
      <c r="W15560" s="235" t="n"/>
      <c r="X15560" s="235" t="n"/>
    </row>
    <row r="15561" ht="14.25" customHeight="1" s="192">
      <c r="W15561" s="235" t="n"/>
      <c r="X15561" s="235" t="n"/>
    </row>
    <row r="15562" ht="14.25" customHeight="1" s="192">
      <c r="W15562" s="239" t="n"/>
      <c r="X15562" s="239" t="n"/>
    </row>
    <row r="15563" ht="14.25" customHeight="1" s="192">
      <c r="W15563" s="239" t="n"/>
      <c r="X15563" s="239" t="n"/>
    </row>
    <row r="15564" ht="14.25" customHeight="1" s="192">
      <c r="W15564" s="235" t="n"/>
      <c r="X15564" s="235" t="n"/>
    </row>
    <row r="15565" ht="14.25" customHeight="1" s="192">
      <c r="W15565" s="235" t="n"/>
      <c r="X15565" s="235" t="n"/>
    </row>
    <row r="15566" ht="14.25" customHeight="1" s="192">
      <c r="W15566" s="239" t="n"/>
      <c r="X15566" s="239" t="n"/>
    </row>
    <row r="15567" ht="14.25" customHeight="1" s="192">
      <c r="W15567" s="235" t="n"/>
      <c r="X15567" s="235" t="n"/>
    </row>
    <row r="15568" ht="14.25" customHeight="1" s="192">
      <c r="W15568" s="239" t="n"/>
      <c r="X15568" s="239" t="n"/>
    </row>
    <row r="15570" ht="14.25" customHeight="1" s="192">
      <c r="W15570" s="235" t="n"/>
      <c r="X15570" s="235" t="n"/>
    </row>
    <row r="15571" ht="15" customHeight="1" s="192" thickBot="1">
      <c r="W15571" s="239" t="n"/>
      <c r="X15571" s="239" t="n"/>
    </row>
    <row r="15572" ht="15" customHeight="1" s="192" thickBot="1">
      <c r="W15572" s="45" t="n"/>
      <c r="X15572" s="45" t="n"/>
    </row>
    <row r="15573" ht="14.25" customHeight="1" s="192">
      <c r="W15573" s="228" t="n"/>
      <c r="X15573" s="228" t="n"/>
    </row>
    <row r="15574" ht="14.25" customHeight="1" s="192">
      <c r="W15574" s="228" t="n"/>
      <c r="X15574" s="228" t="n"/>
    </row>
    <row r="15575" ht="14.25" customHeight="1" s="192">
      <c r="W15575" s="231" t="n"/>
      <c r="X15575" s="231" t="n"/>
    </row>
    <row r="15576" ht="14.25" customHeight="1" s="192">
      <c r="W15576" s="33" t="n"/>
      <c r="X15576" s="33" t="n"/>
    </row>
    <row r="15577" ht="14.25" customHeight="1" s="192">
      <c r="W15577" s="231" t="n"/>
      <c r="X15577" s="231" t="n"/>
    </row>
    <row r="15578" ht="14.25" customHeight="1" s="192">
      <c r="W15578" s="33" t="n"/>
      <c r="X15578" s="33" t="n"/>
    </row>
    <row r="15580" ht="14.25" customHeight="1" s="192">
      <c r="W15580" s="231" t="n"/>
      <c r="X15580" s="231" t="n"/>
    </row>
    <row r="15581" ht="14.25" customHeight="1" s="192">
      <c r="W15581" s="235" t="n"/>
      <c r="X15581" s="235" t="n"/>
    </row>
    <row r="15582" ht="14.25" customHeight="1" s="192">
      <c r="W15582" s="228" t="n"/>
      <c r="X15582" s="228" t="n"/>
    </row>
    <row r="15583" ht="14.25" customHeight="1" s="192">
      <c r="W15583" s="235" t="n"/>
      <c r="X15583" s="235" t="n"/>
    </row>
    <row r="15584" ht="14.25" customHeight="1" s="192">
      <c r="W15584" s="235" t="n"/>
      <c r="X15584" s="235" t="n"/>
    </row>
    <row r="15585" ht="14.25" customHeight="1" s="192">
      <c r="W15585" s="235" t="n"/>
      <c r="X15585" s="235" t="n"/>
    </row>
    <row r="15586" ht="14.25" customHeight="1" s="192">
      <c r="W15586" s="239" t="n"/>
      <c r="X15586" s="239" t="n"/>
    </row>
    <row r="15587" ht="14.25" customHeight="1" s="192">
      <c r="W15587" s="239" t="n"/>
      <c r="X15587" s="239" t="n"/>
    </row>
    <row r="15588" ht="14.25" customHeight="1" s="192">
      <c r="W15588" s="239" t="n"/>
      <c r="X15588" s="239" t="n"/>
    </row>
    <row r="15589" ht="14.25" customHeight="1" s="192">
      <c r="W15589" s="235" t="n"/>
      <c r="X15589" s="235" t="n"/>
    </row>
    <row r="15590" ht="14.25" customHeight="1" s="192">
      <c r="W15590" s="235" t="n"/>
      <c r="X15590" s="235" t="n"/>
    </row>
    <row r="15591" ht="14.25" customHeight="1" s="192">
      <c r="W15591" s="235" t="n"/>
      <c r="X15591" s="235" t="n"/>
    </row>
    <row r="15592" ht="14.25" customHeight="1" s="192">
      <c r="W15592" s="239" t="n"/>
      <c r="X15592" s="239" t="n"/>
    </row>
    <row r="15593" ht="14.25" customHeight="1" s="192">
      <c r="W15593" s="239" t="n"/>
      <c r="X15593" s="239" t="n"/>
    </row>
    <row r="15594" ht="14.25" customHeight="1" s="192">
      <c r="W15594" s="235" t="n"/>
      <c r="X15594" s="235" t="n"/>
    </row>
    <row r="15595" ht="14.25" customHeight="1" s="192">
      <c r="W15595" s="235" t="n"/>
      <c r="X15595" s="235" t="n"/>
    </row>
    <row r="15596" ht="14.25" customHeight="1" s="192">
      <c r="W15596" s="239" t="n"/>
      <c r="X15596" s="239" t="n"/>
    </row>
    <row r="15597" ht="14.25" customHeight="1" s="192">
      <c r="W15597" s="235" t="n"/>
      <c r="X15597" s="235" t="n"/>
    </row>
    <row r="15598" ht="14.25" customHeight="1" s="192">
      <c r="W15598" s="239" t="n"/>
      <c r="X15598" s="239" t="n"/>
    </row>
    <row r="15600" ht="14.25" customHeight="1" s="192">
      <c r="W15600" s="235" t="n"/>
      <c r="X15600" s="235" t="n"/>
    </row>
    <row r="15601" ht="15" customHeight="1" s="192" thickBot="1">
      <c r="W15601" s="239" t="n"/>
      <c r="X15601" s="239" t="n"/>
    </row>
    <row r="15602" ht="15" customHeight="1" s="192" thickBot="1">
      <c r="W15602" s="45" t="n"/>
      <c r="X15602" s="45" t="n"/>
    </row>
    <row r="15603" ht="14.25" customHeight="1" s="192">
      <c r="W15603" s="228" t="n"/>
      <c r="X15603" s="228" t="n"/>
    </row>
    <row r="15604" ht="14.25" customHeight="1" s="192">
      <c r="W15604" s="228" t="n"/>
      <c r="X15604" s="228" t="n"/>
    </row>
    <row r="15605" ht="14.25" customHeight="1" s="192">
      <c r="W15605" s="231" t="n"/>
      <c r="X15605" s="231" t="n"/>
    </row>
    <row r="15606" ht="14.25" customHeight="1" s="192">
      <c r="W15606" s="33" t="n"/>
      <c r="X15606" s="33" t="n"/>
    </row>
    <row r="15607" ht="14.25" customHeight="1" s="192">
      <c r="W15607" s="231" t="n"/>
      <c r="X15607" s="231" t="n"/>
    </row>
    <row r="15608" ht="14.25" customHeight="1" s="192">
      <c r="W15608" s="33" t="n"/>
      <c r="X15608" s="33" t="n"/>
    </row>
    <row r="15610" ht="14.25" customHeight="1" s="192">
      <c r="W15610" s="231" t="n"/>
      <c r="X15610" s="231" t="n"/>
    </row>
    <row r="15611" ht="14.25" customHeight="1" s="192">
      <c r="W15611" s="235" t="n"/>
      <c r="X15611" s="235" t="n"/>
    </row>
    <row r="15612" ht="14.25" customHeight="1" s="192">
      <c r="W15612" s="228" t="n"/>
      <c r="X15612" s="228" t="n"/>
    </row>
    <row r="15613" ht="14.25" customHeight="1" s="192">
      <c r="W15613" s="235" t="n"/>
      <c r="X15613" s="235" t="n"/>
    </row>
    <row r="15614" ht="14.25" customHeight="1" s="192">
      <c r="W15614" s="235" t="n"/>
      <c r="X15614" s="235" t="n"/>
    </row>
    <row r="15615" ht="14.25" customHeight="1" s="192">
      <c r="W15615" s="235" t="n"/>
      <c r="X15615" s="235" t="n"/>
    </row>
    <row r="15616" ht="14.25" customHeight="1" s="192">
      <c r="W15616" s="239" t="n"/>
      <c r="X15616" s="239" t="n"/>
    </row>
    <row r="15617" ht="14.25" customHeight="1" s="192">
      <c r="W15617" s="239" t="n"/>
      <c r="X15617" s="239" t="n"/>
    </row>
    <row r="15618" ht="14.25" customHeight="1" s="192">
      <c r="W15618" s="239" t="n"/>
      <c r="X15618" s="239" t="n"/>
    </row>
    <row r="15619" ht="14.25" customHeight="1" s="192">
      <c r="W15619" s="235" t="n"/>
      <c r="X15619" s="235" t="n"/>
    </row>
    <row r="15620" ht="14.25" customHeight="1" s="192">
      <c r="W15620" s="235" t="n"/>
      <c r="X15620" s="235" t="n"/>
    </row>
    <row r="15621" ht="14.25" customHeight="1" s="192">
      <c r="W15621" s="235" t="n"/>
      <c r="X15621" s="235" t="n"/>
    </row>
    <row r="15622" ht="14.25" customHeight="1" s="192">
      <c r="W15622" s="239" t="n"/>
      <c r="X15622" s="239" t="n"/>
    </row>
    <row r="15623" ht="14.25" customHeight="1" s="192">
      <c r="W15623" s="239" t="n"/>
      <c r="X15623" s="239" t="n"/>
    </row>
    <row r="15624" ht="14.25" customHeight="1" s="192">
      <c r="W15624" s="235" t="n"/>
      <c r="X15624" s="235" t="n"/>
    </row>
    <row r="15625" ht="14.25" customHeight="1" s="192">
      <c r="W15625" s="235" t="n"/>
      <c r="X15625" s="235" t="n"/>
    </row>
    <row r="15626" ht="14.25" customHeight="1" s="192">
      <c r="W15626" s="239" t="n"/>
      <c r="X15626" s="239" t="n"/>
    </row>
    <row r="15627" ht="14.25" customHeight="1" s="192">
      <c r="W15627" s="235" t="n"/>
      <c r="X15627" s="235" t="n"/>
    </row>
    <row r="15628" ht="14.25" customHeight="1" s="192">
      <c r="W15628" s="239" t="n"/>
      <c r="X15628" s="239" t="n"/>
    </row>
    <row r="15630" ht="14.25" customHeight="1" s="192">
      <c r="W15630" s="235" t="n"/>
      <c r="X15630" s="235" t="n"/>
    </row>
    <row r="15631" ht="15" customHeight="1" s="192" thickBot="1">
      <c r="W15631" s="239" t="n"/>
      <c r="X15631" s="239" t="n"/>
    </row>
    <row r="15632" ht="15" customHeight="1" s="192" thickBot="1">
      <c r="W15632" s="45" t="n"/>
      <c r="X15632" s="45" t="n"/>
    </row>
    <row r="15633" ht="14.25" customHeight="1" s="192">
      <c r="W15633" s="228" t="n"/>
      <c r="X15633" s="228" t="n"/>
    </row>
    <row r="15634" ht="14.25" customHeight="1" s="192">
      <c r="W15634" s="228" t="n"/>
      <c r="X15634" s="228" t="n"/>
    </row>
    <row r="15635" ht="14.25" customHeight="1" s="192">
      <c r="W15635" s="231" t="n"/>
      <c r="X15635" s="231" t="n"/>
    </row>
    <row r="15636" ht="14.25" customHeight="1" s="192">
      <c r="W15636" s="33" t="n"/>
      <c r="X15636" s="33" t="n"/>
    </row>
    <row r="15637" ht="14.25" customHeight="1" s="192">
      <c r="W15637" s="231" t="n"/>
      <c r="X15637" s="231" t="n"/>
    </row>
    <row r="15638" ht="14.25" customHeight="1" s="192">
      <c r="W15638" s="33" t="n"/>
      <c r="X15638" s="33" t="n"/>
    </row>
    <row r="15640" ht="14.25" customHeight="1" s="192">
      <c r="W15640" s="231" t="n"/>
      <c r="X15640" s="231" t="n"/>
    </row>
    <row r="15641" ht="14.25" customHeight="1" s="192">
      <c r="W15641" s="235" t="n"/>
      <c r="X15641" s="235" t="n"/>
    </row>
    <row r="15642" ht="14.25" customHeight="1" s="192">
      <c r="W15642" s="228" t="n"/>
      <c r="X15642" s="228" t="n"/>
    </row>
    <row r="15643" ht="14.25" customHeight="1" s="192">
      <c r="W15643" s="235" t="n"/>
      <c r="X15643" s="235" t="n"/>
    </row>
    <row r="15644" ht="14.25" customHeight="1" s="192">
      <c r="W15644" s="235" t="n"/>
      <c r="X15644" s="235" t="n"/>
    </row>
    <row r="15645" ht="14.25" customHeight="1" s="192">
      <c r="W15645" s="235" t="n"/>
      <c r="X15645" s="235" t="n"/>
    </row>
    <row r="15646" ht="14.25" customHeight="1" s="192">
      <c r="W15646" s="239" t="n"/>
      <c r="X15646" s="239" t="n"/>
    </row>
    <row r="15647" ht="14.25" customHeight="1" s="192">
      <c r="W15647" s="239" t="n"/>
      <c r="X15647" s="239" t="n"/>
    </row>
    <row r="15648" ht="14.25" customHeight="1" s="192">
      <c r="W15648" s="239" t="n"/>
      <c r="X15648" s="239" t="n"/>
    </row>
    <row r="15649" ht="14.25" customHeight="1" s="192">
      <c r="W15649" s="235" t="n"/>
      <c r="X15649" s="235" t="n"/>
    </row>
    <row r="15650" ht="14.25" customHeight="1" s="192">
      <c r="W15650" s="235" t="n"/>
      <c r="X15650" s="235" t="n"/>
    </row>
    <row r="15651" ht="14.25" customHeight="1" s="192">
      <c r="W15651" s="235" t="n"/>
      <c r="X15651" s="235" t="n"/>
    </row>
    <row r="15652" ht="14.25" customHeight="1" s="192">
      <c r="W15652" s="239" t="n"/>
      <c r="X15652" s="239" t="n"/>
    </row>
    <row r="15653" ht="14.25" customHeight="1" s="192">
      <c r="W15653" s="239" t="n"/>
      <c r="X15653" s="239" t="n"/>
    </row>
    <row r="15654" ht="14.25" customHeight="1" s="192">
      <c r="W15654" s="235" t="n"/>
      <c r="X15654" s="235" t="n"/>
    </row>
    <row r="15655" ht="14.25" customHeight="1" s="192">
      <c r="W15655" s="235" t="n"/>
      <c r="X15655" s="235" t="n"/>
    </row>
    <row r="15656" ht="14.25" customHeight="1" s="192">
      <c r="W15656" s="239" t="n"/>
      <c r="X15656" s="239" t="n"/>
    </row>
    <row r="15657" ht="14.25" customHeight="1" s="192">
      <c r="W15657" s="235" t="n"/>
      <c r="X15657" s="235" t="n"/>
    </row>
    <row r="15658" ht="14.25" customHeight="1" s="192">
      <c r="W15658" s="239" t="n"/>
      <c r="X15658" s="239" t="n"/>
    </row>
    <row r="15660" ht="14.25" customHeight="1" s="192">
      <c r="W15660" s="235" t="n"/>
      <c r="X15660" s="235" t="n"/>
    </row>
    <row r="15661" ht="15" customHeight="1" s="192" thickBot="1">
      <c r="W15661" s="239" t="n"/>
      <c r="X15661" s="239" t="n"/>
    </row>
    <row r="15662" ht="15" customHeight="1" s="192" thickBot="1">
      <c r="W15662" s="45" t="n"/>
      <c r="X15662" s="45" t="n"/>
    </row>
    <row r="15663" ht="14.25" customHeight="1" s="192">
      <c r="W15663" s="228" t="n"/>
      <c r="X15663" s="228" t="n"/>
    </row>
    <row r="15664" ht="14.25" customHeight="1" s="192">
      <c r="W15664" s="228" t="n"/>
      <c r="X15664" s="228" t="n"/>
    </row>
    <row r="15665" ht="14.25" customHeight="1" s="192">
      <c r="W15665" s="231" t="n"/>
      <c r="X15665" s="231" t="n"/>
    </row>
    <row r="15666" ht="14.25" customHeight="1" s="192">
      <c r="W15666" s="33" t="n"/>
      <c r="X15666" s="33" t="n"/>
    </row>
    <row r="15667" ht="14.25" customHeight="1" s="192">
      <c r="W15667" s="231" t="n"/>
      <c r="X15667" s="231" t="n"/>
    </row>
    <row r="15668" ht="14.25" customHeight="1" s="192">
      <c r="W15668" s="33" t="n"/>
      <c r="X15668" s="33" t="n"/>
    </row>
    <row r="15670" ht="14.25" customHeight="1" s="192">
      <c r="W15670" s="231" t="n"/>
      <c r="X15670" s="231" t="n"/>
    </row>
    <row r="15671" ht="14.25" customHeight="1" s="192">
      <c r="W15671" s="235" t="n"/>
      <c r="X15671" s="235" t="n"/>
    </row>
    <row r="15672" ht="14.25" customHeight="1" s="192">
      <c r="W15672" s="228" t="n"/>
      <c r="X15672" s="228" t="n"/>
    </row>
    <row r="15673" ht="14.25" customHeight="1" s="192">
      <c r="W15673" s="235" t="n"/>
      <c r="X15673" s="235" t="n"/>
    </row>
    <row r="15674" ht="14.25" customHeight="1" s="192">
      <c r="W15674" s="235" t="n"/>
      <c r="X15674" s="235" t="n"/>
    </row>
    <row r="15675" ht="14.25" customHeight="1" s="192">
      <c r="W15675" s="235" t="n"/>
      <c r="X15675" s="235" t="n"/>
    </row>
    <row r="15676" ht="14.25" customHeight="1" s="192">
      <c r="W15676" s="239" t="n"/>
      <c r="X15676" s="239" t="n"/>
    </row>
    <row r="15677" ht="14.25" customHeight="1" s="192">
      <c r="W15677" s="239" t="n"/>
      <c r="X15677" s="239" t="n"/>
    </row>
    <row r="15678" ht="14.25" customHeight="1" s="192">
      <c r="W15678" s="239" t="n"/>
      <c r="X15678" s="239" t="n"/>
    </row>
    <row r="15679" ht="14.25" customHeight="1" s="192">
      <c r="W15679" s="235" t="n"/>
      <c r="X15679" s="235" t="n"/>
    </row>
    <row r="15680" ht="14.25" customHeight="1" s="192">
      <c r="W15680" s="235" t="n"/>
      <c r="X15680" s="235" t="n"/>
    </row>
    <row r="15681" ht="14.25" customHeight="1" s="192">
      <c r="W15681" s="235" t="n"/>
      <c r="X15681" s="235" t="n"/>
    </row>
    <row r="15682" ht="14.25" customHeight="1" s="192">
      <c r="W15682" s="239" t="n"/>
      <c r="X15682" s="239" t="n"/>
    </row>
    <row r="15683" ht="14.25" customHeight="1" s="192">
      <c r="W15683" s="239" t="n"/>
      <c r="X15683" s="239" t="n"/>
    </row>
    <row r="15684" ht="14.25" customHeight="1" s="192">
      <c r="W15684" s="235" t="n"/>
      <c r="X15684" s="235" t="n"/>
    </row>
    <row r="15685" ht="14.25" customHeight="1" s="192">
      <c r="W15685" s="235" t="n"/>
      <c r="X15685" s="235" t="n"/>
    </row>
    <row r="15686" ht="14.25" customHeight="1" s="192">
      <c r="W15686" s="239" t="n"/>
      <c r="X15686" s="239" t="n"/>
    </row>
    <row r="15687" ht="14.25" customHeight="1" s="192">
      <c r="W15687" s="235" t="n"/>
      <c r="X15687" s="235" t="n"/>
    </row>
    <row r="15688" ht="14.25" customHeight="1" s="192">
      <c r="W15688" s="239" t="n"/>
      <c r="X15688" s="239" t="n"/>
    </row>
    <row r="15690" ht="14.25" customHeight="1" s="192">
      <c r="W15690" s="235" t="n"/>
      <c r="X15690" s="235" t="n"/>
    </row>
    <row r="15691" ht="15" customHeight="1" s="192" thickBot="1">
      <c r="W15691" s="239" t="n"/>
      <c r="X15691" s="239" t="n"/>
    </row>
    <row r="15692" ht="15" customHeight="1" s="192" thickBot="1">
      <c r="W15692" s="45" t="n"/>
      <c r="X15692" s="45" t="n"/>
    </row>
    <row r="15693" ht="14.25" customHeight="1" s="192">
      <c r="W15693" s="228" t="n"/>
      <c r="X15693" s="228" t="n"/>
    </row>
    <row r="15694" ht="14.25" customHeight="1" s="192">
      <c r="W15694" s="228" t="n"/>
      <c r="X15694" s="228" t="n"/>
    </row>
    <row r="15695" ht="14.25" customHeight="1" s="192">
      <c r="W15695" s="231" t="n"/>
      <c r="X15695" s="231" t="n"/>
    </row>
    <row r="15696" ht="14.25" customHeight="1" s="192">
      <c r="W15696" s="33" t="n"/>
      <c r="X15696" s="33" t="n"/>
    </row>
    <row r="15697" ht="14.25" customHeight="1" s="192">
      <c r="W15697" s="231" t="n"/>
      <c r="X15697" s="231" t="n"/>
    </row>
    <row r="15698" ht="14.25" customHeight="1" s="192">
      <c r="W15698" s="33" t="n"/>
      <c r="X15698" s="33" t="n"/>
    </row>
    <row r="15700" ht="14.25" customHeight="1" s="192">
      <c r="W15700" s="231" t="n"/>
      <c r="X15700" s="231" t="n"/>
    </row>
    <row r="15701" ht="14.25" customHeight="1" s="192">
      <c r="W15701" s="235" t="n"/>
      <c r="X15701" s="235" t="n"/>
    </row>
    <row r="15702" ht="14.25" customHeight="1" s="192">
      <c r="W15702" s="228" t="n"/>
      <c r="X15702" s="228" t="n"/>
    </row>
    <row r="15703" ht="14.25" customHeight="1" s="192">
      <c r="W15703" s="235" t="n"/>
      <c r="X15703" s="235" t="n"/>
    </row>
    <row r="15704" ht="14.25" customHeight="1" s="192">
      <c r="W15704" s="235" t="n"/>
      <c r="X15704" s="235" t="n"/>
    </row>
    <row r="15705" ht="14.25" customHeight="1" s="192">
      <c r="W15705" s="235" t="n"/>
      <c r="X15705" s="235" t="n"/>
    </row>
    <row r="15706" ht="14.25" customHeight="1" s="192">
      <c r="W15706" s="239" t="n"/>
      <c r="X15706" s="239" t="n"/>
    </row>
    <row r="15707" ht="14.25" customHeight="1" s="192">
      <c r="W15707" s="239" t="n"/>
      <c r="X15707" s="239" t="n"/>
    </row>
    <row r="15708" ht="14.25" customHeight="1" s="192">
      <c r="W15708" s="239" t="n"/>
      <c r="X15708" s="239" t="n"/>
    </row>
    <row r="15709" ht="14.25" customHeight="1" s="192">
      <c r="W15709" s="235" t="n"/>
      <c r="X15709" s="235" t="n"/>
    </row>
    <row r="15710" ht="14.25" customHeight="1" s="192">
      <c r="W15710" s="235" t="n"/>
      <c r="X15710" s="235" t="n"/>
    </row>
    <row r="15711" ht="14.25" customHeight="1" s="192">
      <c r="W15711" s="235" t="n"/>
      <c r="X15711" s="235" t="n"/>
    </row>
    <row r="15712" ht="14.25" customHeight="1" s="192">
      <c r="W15712" s="239" t="n"/>
      <c r="X15712" s="239" t="n"/>
    </row>
    <row r="15713" ht="14.25" customHeight="1" s="192">
      <c r="W15713" s="239" t="n"/>
      <c r="X15713" s="239" t="n"/>
    </row>
    <row r="15714" ht="14.25" customHeight="1" s="192">
      <c r="W15714" s="235" t="n"/>
      <c r="X15714" s="235" t="n"/>
    </row>
    <row r="15715" ht="14.25" customHeight="1" s="192">
      <c r="W15715" s="235" t="n"/>
      <c r="X15715" s="235" t="n"/>
    </row>
    <row r="15716" ht="14.25" customHeight="1" s="192">
      <c r="W15716" s="239" t="n"/>
      <c r="X15716" s="239" t="n"/>
    </row>
    <row r="15717" ht="14.25" customHeight="1" s="192">
      <c r="W15717" s="235" t="n"/>
      <c r="X15717" s="235" t="n"/>
    </row>
    <row r="15718" ht="14.25" customHeight="1" s="192">
      <c r="W15718" s="239" t="n"/>
      <c r="X15718" s="239" t="n"/>
    </row>
    <row r="15720" ht="14.25" customHeight="1" s="192">
      <c r="W15720" s="235" t="n"/>
      <c r="X15720" s="235" t="n"/>
    </row>
    <row r="15721" ht="15" customHeight="1" s="192" thickBot="1">
      <c r="W15721" s="239" t="n"/>
      <c r="X15721" s="239" t="n"/>
    </row>
    <row r="15722" ht="15" customHeight="1" s="192" thickBot="1">
      <c r="W15722" s="45" t="n"/>
      <c r="X15722" s="45" t="n"/>
    </row>
    <row r="15723" ht="14.25" customHeight="1" s="192">
      <c r="W15723" s="228" t="n"/>
      <c r="X15723" s="228" t="n"/>
    </row>
    <row r="15724" ht="14.25" customHeight="1" s="192">
      <c r="W15724" s="228" t="n"/>
      <c r="X15724" s="228" t="n"/>
    </row>
    <row r="15725" ht="14.25" customHeight="1" s="192">
      <c r="W15725" s="231" t="n"/>
      <c r="X15725" s="231" t="n"/>
    </row>
    <row r="15726" ht="14.25" customHeight="1" s="192">
      <c r="W15726" s="33" t="n"/>
      <c r="X15726" s="33" t="n"/>
    </row>
    <row r="15727" ht="14.25" customHeight="1" s="192">
      <c r="W15727" s="231" t="n"/>
      <c r="X15727" s="231" t="n"/>
    </row>
    <row r="15728" ht="14.25" customHeight="1" s="192">
      <c r="W15728" s="33" t="n"/>
      <c r="X15728" s="33" t="n"/>
    </row>
    <row r="15730" ht="14.25" customHeight="1" s="192">
      <c r="W15730" s="231" t="n"/>
      <c r="X15730" s="231" t="n"/>
    </row>
    <row r="15731" ht="14.25" customHeight="1" s="192">
      <c r="W15731" s="235" t="n"/>
      <c r="X15731" s="235" t="n"/>
    </row>
    <row r="15732" ht="14.25" customHeight="1" s="192">
      <c r="W15732" s="228" t="n"/>
      <c r="X15732" s="228" t="n"/>
    </row>
    <row r="15733" ht="14.25" customHeight="1" s="192">
      <c r="W15733" s="235" t="n"/>
      <c r="X15733" s="235" t="n"/>
    </row>
    <row r="15734" ht="14.25" customHeight="1" s="192">
      <c r="W15734" s="235" t="n"/>
      <c r="X15734" s="235" t="n"/>
    </row>
    <row r="15735" ht="14.25" customHeight="1" s="192">
      <c r="W15735" s="235" t="n"/>
      <c r="X15735" s="235" t="n"/>
    </row>
    <row r="15736" ht="14.25" customHeight="1" s="192">
      <c r="W15736" s="239" t="n"/>
      <c r="X15736" s="239" t="n"/>
    </row>
    <row r="15737" ht="14.25" customHeight="1" s="192">
      <c r="W15737" s="239" t="n"/>
      <c r="X15737" s="239" t="n"/>
    </row>
    <row r="15738" ht="14.25" customHeight="1" s="192">
      <c r="W15738" s="239" t="n"/>
      <c r="X15738" s="239" t="n"/>
    </row>
    <row r="15739" ht="14.25" customHeight="1" s="192">
      <c r="W15739" s="235" t="n"/>
      <c r="X15739" s="235" t="n"/>
    </row>
    <row r="15740" ht="14.25" customHeight="1" s="192">
      <c r="W15740" s="235" t="n"/>
      <c r="X15740" s="235" t="n"/>
    </row>
    <row r="15741" ht="14.25" customHeight="1" s="192">
      <c r="W15741" s="235" t="n"/>
      <c r="X15741" s="235" t="n"/>
    </row>
    <row r="15742" ht="14.25" customHeight="1" s="192">
      <c r="W15742" s="239" t="n"/>
      <c r="X15742" s="239" t="n"/>
    </row>
    <row r="15743" ht="14.25" customHeight="1" s="192">
      <c r="W15743" s="239" t="n"/>
      <c r="X15743" s="239" t="n"/>
    </row>
    <row r="15744" ht="14.25" customHeight="1" s="192">
      <c r="W15744" s="235" t="n"/>
      <c r="X15744" s="235" t="n"/>
    </row>
    <row r="15745" ht="14.25" customHeight="1" s="192">
      <c r="W15745" s="235" t="n"/>
      <c r="X15745" s="235" t="n"/>
    </row>
    <row r="15746" ht="14.25" customHeight="1" s="192">
      <c r="W15746" s="239" t="n"/>
      <c r="X15746" s="239" t="n"/>
    </row>
    <row r="15747" ht="14.25" customHeight="1" s="192">
      <c r="W15747" s="235" t="n"/>
      <c r="X15747" s="235" t="n"/>
    </row>
    <row r="15748" ht="14.25" customHeight="1" s="192">
      <c r="W15748" s="239" t="n"/>
      <c r="X15748" s="239" t="n"/>
    </row>
    <row r="15750" ht="14.25" customHeight="1" s="192">
      <c r="W15750" s="235" t="n"/>
      <c r="X15750" s="235" t="n"/>
    </row>
    <row r="15751" ht="15" customHeight="1" s="192" thickBot="1">
      <c r="W15751" s="239" t="n"/>
      <c r="X15751" s="239" t="n"/>
    </row>
    <row r="15752" ht="15" customHeight="1" s="192" thickBot="1">
      <c r="W15752" s="45" t="n"/>
      <c r="X15752" s="45" t="n"/>
    </row>
    <row r="15753" ht="14.25" customHeight="1" s="192">
      <c r="W15753" s="228" t="n"/>
      <c r="X15753" s="228" t="n"/>
    </row>
    <row r="15754" ht="14.25" customHeight="1" s="192">
      <c r="W15754" s="228" t="n"/>
      <c r="X15754" s="228" t="n"/>
    </row>
    <row r="15755" ht="14.25" customHeight="1" s="192">
      <c r="W15755" s="231" t="n"/>
      <c r="X15755" s="231" t="n"/>
    </row>
    <row r="15756" ht="14.25" customHeight="1" s="192">
      <c r="W15756" s="33" t="n"/>
      <c r="X15756" s="33" t="n"/>
    </row>
    <row r="15757" ht="14.25" customHeight="1" s="192">
      <c r="W15757" s="231" t="n"/>
      <c r="X15757" s="231" t="n"/>
    </row>
    <row r="15758" ht="14.25" customHeight="1" s="192">
      <c r="W15758" s="33" t="n"/>
      <c r="X15758" s="33" t="n"/>
    </row>
    <row r="15760" ht="14.25" customHeight="1" s="192">
      <c r="W15760" s="231" t="n"/>
      <c r="X15760" s="231" t="n"/>
    </row>
    <row r="15761" ht="14.25" customHeight="1" s="192">
      <c r="W15761" s="235" t="n"/>
      <c r="X15761" s="235" t="n"/>
    </row>
    <row r="15762" ht="14.25" customHeight="1" s="192">
      <c r="W15762" s="228" t="n"/>
      <c r="X15762" s="228" t="n"/>
    </row>
    <row r="15763" ht="14.25" customHeight="1" s="192">
      <c r="W15763" s="235" t="n"/>
      <c r="X15763" s="235" t="n"/>
    </row>
    <row r="15764" ht="14.25" customHeight="1" s="192">
      <c r="W15764" s="235" t="n"/>
      <c r="X15764" s="235" t="n"/>
    </row>
    <row r="15765" ht="14.25" customHeight="1" s="192">
      <c r="W15765" s="235" t="n"/>
      <c r="X15765" s="235" t="n"/>
    </row>
    <row r="15766" ht="14.25" customHeight="1" s="192">
      <c r="W15766" s="239" t="n"/>
      <c r="X15766" s="239" t="n"/>
    </row>
    <row r="15767" ht="14.25" customHeight="1" s="192">
      <c r="W15767" s="239" t="n"/>
      <c r="X15767" s="239" t="n"/>
    </row>
    <row r="15768" ht="14.25" customHeight="1" s="192">
      <c r="W15768" s="239" t="n"/>
      <c r="X15768" s="239" t="n"/>
    </row>
    <row r="15769" ht="14.25" customHeight="1" s="192">
      <c r="W15769" s="235" t="n"/>
      <c r="X15769" s="235" t="n"/>
    </row>
    <row r="15770" ht="14.25" customHeight="1" s="192">
      <c r="W15770" s="235" t="n"/>
      <c r="X15770" s="235" t="n"/>
    </row>
    <row r="15771" ht="14.25" customHeight="1" s="192">
      <c r="W15771" s="235" t="n"/>
      <c r="X15771" s="235" t="n"/>
    </row>
    <row r="15772" ht="14.25" customHeight="1" s="192">
      <c r="W15772" s="239" t="n"/>
      <c r="X15772" s="239" t="n"/>
    </row>
    <row r="15773" ht="14.25" customHeight="1" s="192">
      <c r="W15773" s="239" t="n"/>
      <c r="X15773" s="239" t="n"/>
    </row>
    <row r="15774" ht="14.25" customHeight="1" s="192">
      <c r="W15774" s="235" t="n"/>
      <c r="X15774" s="235" t="n"/>
    </row>
    <row r="15775" ht="14.25" customHeight="1" s="192">
      <c r="W15775" s="235" t="n"/>
      <c r="X15775" s="235" t="n"/>
    </row>
    <row r="15776" ht="14.25" customHeight="1" s="192">
      <c r="W15776" s="239" t="n"/>
      <c r="X15776" s="239" t="n"/>
    </row>
    <row r="15777" ht="14.25" customHeight="1" s="192">
      <c r="W15777" s="235" t="n"/>
      <c r="X15777" s="235" t="n"/>
    </row>
    <row r="15778" ht="14.25" customHeight="1" s="192">
      <c r="W15778" s="239" t="n"/>
      <c r="X15778" s="239" t="n"/>
    </row>
    <row r="15780" ht="14.25" customHeight="1" s="192">
      <c r="W15780" s="235" t="n"/>
      <c r="X15780" s="235" t="n"/>
    </row>
    <row r="15781" ht="15" customHeight="1" s="192" thickBot="1">
      <c r="W15781" s="239" t="n"/>
      <c r="X15781" s="239" t="n"/>
    </row>
    <row r="15782" ht="15" customHeight="1" s="192" thickBot="1">
      <c r="W15782" s="45" t="n"/>
      <c r="X15782" s="45" t="n"/>
    </row>
    <row r="15783" ht="14.25" customHeight="1" s="192">
      <c r="W15783" s="228" t="n"/>
      <c r="X15783" s="228" t="n"/>
    </row>
    <row r="15784" ht="14.25" customHeight="1" s="192">
      <c r="W15784" s="228" t="n"/>
      <c r="X15784" s="228" t="n"/>
    </row>
    <row r="15785" ht="14.25" customHeight="1" s="192">
      <c r="W15785" s="231" t="n"/>
      <c r="X15785" s="231" t="n"/>
    </row>
    <row r="15786" ht="14.25" customHeight="1" s="192">
      <c r="W15786" s="33" t="n"/>
      <c r="X15786" s="33" t="n"/>
    </row>
    <row r="15787" ht="14.25" customHeight="1" s="192">
      <c r="W15787" s="231" t="n"/>
      <c r="X15787" s="231" t="n"/>
    </row>
    <row r="15788" ht="14.25" customHeight="1" s="192">
      <c r="W15788" s="33" t="n"/>
      <c r="X15788" s="33" t="n"/>
    </row>
    <row r="15790" ht="14.25" customHeight="1" s="192">
      <c r="W15790" s="231" t="n"/>
      <c r="X15790" s="231" t="n"/>
    </row>
    <row r="15791" ht="14.25" customHeight="1" s="192">
      <c r="W15791" s="235" t="n"/>
      <c r="X15791" s="235" t="n"/>
    </row>
    <row r="15792" ht="14.25" customHeight="1" s="192">
      <c r="W15792" s="228" t="n"/>
      <c r="X15792" s="228" t="n"/>
    </row>
    <row r="15793" ht="14.25" customHeight="1" s="192">
      <c r="W15793" s="235" t="n"/>
      <c r="X15793" s="235" t="n"/>
    </row>
    <row r="15794" ht="14.25" customHeight="1" s="192">
      <c r="W15794" s="235" t="n"/>
      <c r="X15794" s="235" t="n"/>
    </row>
    <row r="15795" ht="14.25" customHeight="1" s="192">
      <c r="W15795" s="235" t="n"/>
      <c r="X15795" s="235" t="n"/>
    </row>
    <row r="15796" ht="14.25" customHeight="1" s="192">
      <c r="W15796" s="239" t="n"/>
      <c r="X15796" s="239" t="n"/>
    </row>
    <row r="15797" ht="14.25" customHeight="1" s="192">
      <c r="W15797" s="239" t="n"/>
      <c r="X15797" s="239" t="n"/>
    </row>
    <row r="15798" ht="14.25" customHeight="1" s="192">
      <c r="W15798" s="239" t="n"/>
      <c r="X15798" s="239" t="n"/>
    </row>
    <row r="15799" ht="14.25" customHeight="1" s="192">
      <c r="W15799" s="235" t="n"/>
      <c r="X15799" s="235" t="n"/>
    </row>
    <row r="15800" ht="14.25" customHeight="1" s="192">
      <c r="W15800" s="235" t="n"/>
      <c r="X15800" s="235" t="n"/>
    </row>
    <row r="15801" ht="14.25" customHeight="1" s="192">
      <c r="W15801" s="235" t="n"/>
      <c r="X15801" s="235" t="n"/>
    </row>
    <row r="15802" ht="14.25" customHeight="1" s="192">
      <c r="W15802" s="239" t="n"/>
      <c r="X15802" s="239" t="n"/>
    </row>
    <row r="15803" ht="14.25" customHeight="1" s="192">
      <c r="W15803" s="239" t="n"/>
      <c r="X15803" s="239" t="n"/>
    </row>
    <row r="15804" ht="14.25" customHeight="1" s="192">
      <c r="W15804" s="235" t="n"/>
      <c r="X15804" s="235" t="n"/>
    </row>
    <row r="15805" ht="14.25" customHeight="1" s="192">
      <c r="W15805" s="235" t="n"/>
      <c r="X15805" s="235" t="n"/>
    </row>
    <row r="15806" ht="14.25" customHeight="1" s="192">
      <c r="W15806" s="239" t="n"/>
      <c r="X15806" s="239" t="n"/>
    </row>
    <row r="15807" ht="14.25" customHeight="1" s="192">
      <c r="W15807" s="235" t="n"/>
      <c r="X15807" s="235" t="n"/>
    </row>
    <row r="15808" ht="14.25" customHeight="1" s="192">
      <c r="W15808" s="239" t="n"/>
      <c r="X15808" s="239" t="n"/>
    </row>
    <row r="15810" ht="14.25" customHeight="1" s="192">
      <c r="W15810" s="235" t="n"/>
      <c r="X15810" s="235" t="n"/>
    </row>
    <row r="15811" ht="15" customHeight="1" s="192" thickBot="1">
      <c r="W15811" s="239" t="n"/>
      <c r="X15811" s="239" t="n"/>
    </row>
    <row r="15812" ht="15" customHeight="1" s="192" thickBot="1">
      <c r="W15812" s="45" t="n"/>
      <c r="X15812" s="45" t="n"/>
    </row>
    <row r="15813" ht="14.25" customHeight="1" s="192">
      <c r="W15813" s="228" t="n"/>
      <c r="X15813" s="228" t="n"/>
    </row>
    <row r="15814" ht="14.25" customHeight="1" s="192">
      <c r="W15814" s="228" t="n"/>
      <c r="X15814" s="228" t="n"/>
    </row>
    <row r="15815" ht="14.25" customHeight="1" s="192">
      <c r="W15815" s="231" t="n"/>
      <c r="X15815" s="231" t="n"/>
    </row>
    <row r="15816" ht="14.25" customHeight="1" s="192">
      <c r="W15816" s="33" t="n"/>
      <c r="X15816" s="33" t="n"/>
    </row>
    <row r="15817" ht="14.25" customHeight="1" s="192">
      <c r="W15817" s="231" t="n"/>
      <c r="X15817" s="231" t="n"/>
    </row>
    <row r="15818" ht="14.25" customHeight="1" s="192">
      <c r="W15818" s="33" t="n"/>
      <c r="X15818" s="33" t="n"/>
    </row>
    <row r="15820" ht="14.25" customHeight="1" s="192">
      <c r="W15820" s="231" t="n"/>
      <c r="X15820" s="231" t="n"/>
    </row>
    <row r="15821" ht="14.25" customHeight="1" s="192">
      <c r="W15821" s="235" t="n"/>
      <c r="X15821" s="235" t="n"/>
    </row>
    <row r="15822" ht="14.25" customHeight="1" s="192">
      <c r="W15822" s="228" t="n"/>
      <c r="X15822" s="228" t="n"/>
    </row>
    <row r="15823" ht="14.25" customHeight="1" s="192">
      <c r="W15823" s="235" t="n"/>
      <c r="X15823" s="235" t="n"/>
    </row>
    <row r="15824" ht="14.25" customHeight="1" s="192">
      <c r="W15824" s="235" t="n"/>
      <c r="X15824" s="235" t="n"/>
    </row>
    <row r="15825" ht="14.25" customHeight="1" s="192">
      <c r="W15825" s="235" t="n"/>
      <c r="X15825" s="235" t="n"/>
    </row>
    <row r="15826" ht="14.25" customHeight="1" s="192">
      <c r="W15826" s="239" t="n"/>
      <c r="X15826" s="239" t="n"/>
    </row>
    <row r="15827" ht="14.25" customHeight="1" s="192">
      <c r="W15827" s="239" t="n"/>
      <c r="X15827" s="239" t="n"/>
    </row>
    <row r="15828" ht="14.25" customHeight="1" s="192">
      <c r="W15828" s="239" t="n"/>
      <c r="X15828" s="239" t="n"/>
    </row>
    <row r="15829" ht="14.25" customHeight="1" s="192">
      <c r="W15829" s="235" t="n"/>
      <c r="X15829" s="235" t="n"/>
    </row>
    <row r="15830" ht="14.25" customHeight="1" s="192">
      <c r="W15830" s="235" t="n"/>
      <c r="X15830" s="235" t="n"/>
    </row>
    <row r="15831" ht="14.25" customHeight="1" s="192">
      <c r="W15831" s="235" t="n"/>
      <c r="X15831" s="235" t="n"/>
    </row>
    <row r="15832" ht="14.25" customHeight="1" s="192">
      <c r="W15832" s="239" t="n"/>
      <c r="X15832" s="239" t="n"/>
    </row>
    <row r="15833" ht="14.25" customHeight="1" s="192">
      <c r="W15833" s="239" t="n"/>
      <c r="X15833" s="239" t="n"/>
    </row>
    <row r="15834" ht="14.25" customHeight="1" s="192">
      <c r="W15834" s="235" t="n"/>
      <c r="X15834" s="235" t="n"/>
    </row>
    <row r="15835" ht="14.25" customHeight="1" s="192">
      <c r="W15835" s="235" t="n"/>
      <c r="X15835" s="235" t="n"/>
    </row>
    <row r="15836" ht="14.25" customHeight="1" s="192">
      <c r="W15836" s="239" t="n"/>
      <c r="X15836" s="239" t="n"/>
    </row>
    <row r="15837" ht="14.25" customHeight="1" s="192">
      <c r="W15837" s="235" t="n"/>
      <c r="X15837" s="235" t="n"/>
    </row>
    <row r="15838" ht="14.25" customHeight="1" s="192">
      <c r="W15838" s="239" t="n"/>
      <c r="X15838" s="239" t="n"/>
    </row>
    <row r="15840" ht="14.25" customHeight="1" s="192">
      <c r="W15840" s="235" t="n"/>
      <c r="X15840" s="235" t="n"/>
    </row>
    <row r="15841" ht="15" customHeight="1" s="192" thickBot="1">
      <c r="W15841" s="239" t="n"/>
      <c r="X15841" s="239" t="n"/>
    </row>
    <row r="15842" ht="15" customHeight="1" s="192" thickBot="1">
      <c r="W15842" s="45" t="n"/>
      <c r="X15842" s="45" t="n"/>
    </row>
    <row r="15843" ht="14.25" customHeight="1" s="192">
      <c r="W15843" s="228" t="n"/>
      <c r="X15843" s="228" t="n"/>
    </row>
    <row r="15844" ht="14.25" customHeight="1" s="192">
      <c r="W15844" s="228" t="n"/>
      <c r="X15844" s="228" t="n"/>
    </row>
    <row r="15845" ht="14.25" customHeight="1" s="192">
      <c r="W15845" s="231" t="n"/>
      <c r="X15845" s="231" t="n"/>
    </row>
    <row r="15846" ht="14.25" customHeight="1" s="192">
      <c r="W15846" s="33" t="n"/>
      <c r="X15846" s="33" t="n"/>
    </row>
    <row r="15847" ht="14.25" customHeight="1" s="192">
      <c r="W15847" s="231" t="n"/>
      <c r="X15847" s="231" t="n"/>
    </row>
    <row r="15848" ht="14.25" customHeight="1" s="192">
      <c r="W15848" s="33" t="n"/>
      <c r="X15848" s="33" t="n"/>
    </row>
    <row r="15850" ht="14.25" customHeight="1" s="192">
      <c r="W15850" s="231" t="n"/>
      <c r="X15850" s="231" t="n"/>
    </row>
    <row r="15851" ht="14.25" customHeight="1" s="192">
      <c r="W15851" s="235" t="n"/>
      <c r="X15851" s="235" t="n"/>
    </row>
    <row r="15852" ht="14.25" customHeight="1" s="192">
      <c r="W15852" s="228" t="n"/>
      <c r="X15852" s="228" t="n"/>
    </row>
    <row r="15853" ht="14.25" customHeight="1" s="192">
      <c r="W15853" s="235" t="n"/>
      <c r="X15853" s="235" t="n"/>
    </row>
    <row r="15854" ht="14.25" customHeight="1" s="192">
      <c r="W15854" s="235" t="n"/>
      <c r="X15854" s="235" t="n"/>
    </row>
    <row r="15855" ht="14.25" customHeight="1" s="192">
      <c r="W15855" s="235" t="n"/>
      <c r="X15855" s="235" t="n"/>
    </row>
    <row r="15856" ht="14.25" customHeight="1" s="192">
      <c r="W15856" s="239" t="n"/>
      <c r="X15856" s="239" t="n"/>
    </row>
    <row r="15857" ht="14.25" customHeight="1" s="192">
      <c r="W15857" s="239" t="n"/>
      <c r="X15857" s="239" t="n"/>
    </row>
    <row r="15858" ht="14.25" customHeight="1" s="192">
      <c r="W15858" s="239" t="n"/>
      <c r="X15858" s="239" t="n"/>
    </row>
    <row r="15859" ht="14.25" customHeight="1" s="192">
      <c r="W15859" s="235" t="n"/>
      <c r="X15859" s="235" t="n"/>
    </row>
    <row r="15860" ht="14.25" customHeight="1" s="192">
      <c r="W15860" s="235" t="n"/>
      <c r="X15860" s="235" t="n"/>
    </row>
    <row r="15861" ht="14.25" customHeight="1" s="192">
      <c r="W15861" s="235" t="n"/>
      <c r="X15861" s="235" t="n"/>
    </row>
    <row r="15862" ht="14.25" customHeight="1" s="192">
      <c r="W15862" s="239" t="n"/>
      <c r="X15862" s="239" t="n"/>
    </row>
    <row r="15863" ht="14.25" customHeight="1" s="192">
      <c r="W15863" s="239" t="n"/>
      <c r="X15863" s="239" t="n"/>
    </row>
    <row r="15864" ht="14.25" customHeight="1" s="192">
      <c r="W15864" s="235" t="n"/>
      <c r="X15864" s="235" t="n"/>
    </row>
    <row r="15865" ht="14.25" customHeight="1" s="192">
      <c r="W15865" s="235" t="n"/>
      <c r="X15865" s="235" t="n"/>
    </row>
    <row r="15866" ht="14.25" customHeight="1" s="192">
      <c r="W15866" s="239" t="n"/>
      <c r="X15866" s="239" t="n"/>
    </row>
    <row r="15867" ht="14.25" customHeight="1" s="192">
      <c r="W15867" s="235" t="n"/>
      <c r="X15867" s="235" t="n"/>
    </row>
    <row r="15868" ht="14.25" customHeight="1" s="192">
      <c r="W15868" s="239" t="n"/>
      <c r="X15868" s="239" t="n"/>
    </row>
    <row r="15870" ht="14.25" customHeight="1" s="192">
      <c r="W15870" s="235" t="n"/>
      <c r="X15870" s="235" t="n"/>
    </row>
    <row r="15871" ht="15" customHeight="1" s="192" thickBot="1">
      <c r="W15871" s="239" t="n"/>
      <c r="X15871" s="239" t="n"/>
    </row>
    <row r="15872" ht="15" customHeight="1" s="192" thickBot="1">
      <c r="W15872" s="45" t="n"/>
      <c r="X15872" s="45" t="n"/>
    </row>
    <row r="15873" ht="14.25" customHeight="1" s="192">
      <c r="W15873" s="228" t="n"/>
      <c r="X15873" s="228" t="n"/>
    </row>
    <row r="15874" ht="14.25" customHeight="1" s="192">
      <c r="W15874" s="228" t="n"/>
      <c r="X15874" s="228" t="n"/>
    </row>
    <row r="15875" ht="14.25" customHeight="1" s="192">
      <c r="W15875" s="231" t="n"/>
      <c r="X15875" s="231" t="n"/>
    </row>
    <row r="15876" ht="14.25" customHeight="1" s="192">
      <c r="W15876" s="33" t="n"/>
      <c r="X15876" s="33" t="n"/>
    </row>
    <row r="15877" ht="14.25" customHeight="1" s="192">
      <c r="W15877" s="231" t="n"/>
      <c r="X15877" s="231" t="n"/>
    </row>
    <row r="15878" ht="14.25" customHeight="1" s="192">
      <c r="W15878" s="33" t="n"/>
      <c r="X15878" s="33" t="n"/>
    </row>
    <row r="15880" ht="14.25" customHeight="1" s="192">
      <c r="W15880" s="231" t="n"/>
      <c r="X15880" s="231" t="n"/>
    </row>
    <row r="15881" ht="14.25" customHeight="1" s="192">
      <c r="W15881" s="235" t="n"/>
      <c r="X15881" s="235" t="n"/>
    </row>
    <row r="15882" ht="14.25" customHeight="1" s="192">
      <c r="W15882" s="228" t="n"/>
      <c r="X15882" s="228" t="n"/>
    </row>
    <row r="15883" ht="14.25" customHeight="1" s="192">
      <c r="W15883" s="235" t="n"/>
      <c r="X15883" s="235" t="n"/>
    </row>
    <row r="15884" ht="14.25" customHeight="1" s="192">
      <c r="W15884" s="235" t="n"/>
      <c r="X15884" s="235" t="n"/>
    </row>
    <row r="15885" ht="14.25" customHeight="1" s="192">
      <c r="W15885" s="235" t="n"/>
      <c r="X15885" s="235" t="n"/>
    </row>
    <row r="15886" ht="14.25" customHeight="1" s="192">
      <c r="W15886" s="239" t="n"/>
      <c r="X15886" s="239" t="n"/>
    </row>
    <row r="15887" ht="14.25" customHeight="1" s="192">
      <c r="W15887" s="239" t="n"/>
      <c r="X15887" s="239" t="n"/>
    </row>
    <row r="15888" ht="14.25" customHeight="1" s="192">
      <c r="W15888" s="239" t="n"/>
      <c r="X15888" s="239" t="n"/>
    </row>
    <row r="15889" ht="14.25" customHeight="1" s="192">
      <c r="W15889" s="235" t="n"/>
      <c r="X15889" s="235" t="n"/>
    </row>
    <row r="15890" ht="14.25" customHeight="1" s="192">
      <c r="W15890" s="235" t="n"/>
      <c r="X15890" s="235" t="n"/>
    </row>
    <row r="15891" ht="14.25" customHeight="1" s="192">
      <c r="W15891" s="235" t="n"/>
      <c r="X15891" s="235" t="n"/>
    </row>
    <row r="15892" ht="14.25" customHeight="1" s="192">
      <c r="W15892" s="239" t="n"/>
      <c r="X15892" s="239" t="n"/>
    </row>
    <row r="15893" ht="14.25" customHeight="1" s="192">
      <c r="W15893" s="239" t="n"/>
      <c r="X15893" s="239" t="n"/>
    </row>
    <row r="15894" ht="14.25" customHeight="1" s="192">
      <c r="W15894" s="235" t="n"/>
      <c r="X15894" s="235" t="n"/>
    </row>
    <row r="15895" ht="14.25" customHeight="1" s="192">
      <c r="W15895" s="235" t="n"/>
      <c r="X15895" s="235" t="n"/>
    </row>
    <row r="15896" ht="14.25" customHeight="1" s="192">
      <c r="W15896" s="239" t="n"/>
      <c r="X15896" s="239" t="n"/>
    </row>
    <row r="15897" ht="14.25" customHeight="1" s="192">
      <c r="W15897" s="235" t="n"/>
      <c r="X15897" s="235" t="n"/>
    </row>
    <row r="15898" ht="14.25" customHeight="1" s="192">
      <c r="W15898" s="239" t="n"/>
      <c r="X15898" s="239" t="n"/>
    </row>
    <row r="15900" ht="14.25" customHeight="1" s="192">
      <c r="W15900" s="235" t="n"/>
      <c r="X15900" s="235" t="n"/>
    </row>
    <row r="15901" ht="15" customHeight="1" s="192" thickBot="1">
      <c r="W15901" s="239" t="n"/>
      <c r="X15901" s="239" t="n"/>
    </row>
    <row r="15902" ht="15" customHeight="1" s="192" thickBot="1">
      <c r="W15902" s="45" t="n"/>
      <c r="X15902" s="45" t="n"/>
    </row>
    <row r="15903" ht="14.25" customHeight="1" s="192">
      <c r="W15903" s="228" t="n"/>
      <c r="X15903" s="228" t="n"/>
    </row>
    <row r="15904" ht="14.25" customHeight="1" s="192">
      <c r="W15904" s="228" t="n"/>
      <c r="X15904" s="228" t="n"/>
    </row>
    <row r="15905" ht="14.25" customHeight="1" s="192">
      <c r="W15905" s="231" t="n"/>
      <c r="X15905" s="231" t="n"/>
    </row>
    <row r="15906" ht="14.25" customHeight="1" s="192">
      <c r="W15906" s="33" t="n"/>
      <c r="X15906" s="33" t="n"/>
    </row>
    <row r="15907" ht="14.25" customHeight="1" s="192">
      <c r="W15907" s="231" t="n"/>
      <c r="X15907" s="231" t="n"/>
    </row>
    <row r="15908" ht="14.25" customHeight="1" s="192">
      <c r="W15908" s="33" t="n"/>
      <c r="X15908" s="33" t="n"/>
    </row>
    <row r="15910" ht="14.25" customHeight="1" s="192">
      <c r="W15910" s="231" t="n"/>
      <c r="X15910" s="231" t="n"/>
    </row>
    <row r="15911" ht="14.25" customHeight="1" s="192">
      <c r="W15911" s="235" t="n"/>
      <c r="X15911" s="235" t="n"/>
    </row>
    <row r="15912" ht="14.25" customHeight="1" s="192">
      <c r="W15912" s="228" t="n"/>
      <c r="X15912" s="228" t="n"/>
    </row>
    <row r="15913" ht="14.25" customHeight="1" s="192">
      <c r="W15913" s="235" t="n"/>
      <c r="X15913" s="235" t="n"/>
    </row>
    <row r="15914" ht="14.25" customHeight="1" s="192">
      <c r="W15914" s="235" t="n"/>
      <c r="X15914" s="235" t="n"/>
    </row>
    <row r="15915" ht="14.25" customHeight="1" s="192">
      <c r="W15915" s="235" t="n"/>
      <c r="X15915" s="235" t="n"/>
    </row>
    <row r="15916" ht="14.25" customHeight="1" s="192">
      <c r="W15916" s="239" t="n"/>
      <c r="X15916" s="239" t="n"/>
    </row>
    <row r="15917" ht="14.25" customHeight="1" s="192">
      <c r="W15917" s="239" t="n"/>
      <c r="X15917" s="239" t="n"/>
    </row>
    <row r="15918" ht="14.25" customHeight="1" s="192">
      <c r="W15918" s="239" t="n"/>
      <c r="X15918" s="239" t="n"/>
    </row>
    <row r="15919" ht="14.25" customHeight="1" s="192">
      <c r="W15919" s="235" t="n"/>
      <c r="X15919" s="235" t="n"/>
    </row>
    <row r="15920" ht="14.25" customHeight="1" s="192">
      <c r="W15920" s="235" t="n"/>
      <c r="X15920" s="235" t="n"/>
    </row>
    <row r="15921" ht="14.25" customHeight="1" s="192">
      <c r="W15921" s="235" t="n"/>
      <c r="X15921" s="235" t="n"/>
    </row>
    <row r="15922" ht="14.25" customHeight="1" s="192">
      <c r="W15922" s="239" t="n"/>
      <c r="X15922" s="239" t="n"/>
    </row>
    <row r="15923" ht="14.25" customHeight="1" s="192">
      <c r="W15923" s="239" t="n"/>
      <c r="X15923" s="239" t="n"/>
    </row>
    <row r="15924" ht="14.25" customHeight="1" s="192">
      <c r="W15924" s="235" t="n"/>
      <c r="X15924" s="235" t="n"/>
    </row>
    <row r="15925" ht="14.25" customHeight="1" s="192">
      <c r="W15925" s="235" t="n"/>
      <c r="X15925" s="235" t="n"/>
    </row>
    <row r="15926" ht="14.25" customHeight="1" s="192">
      <c r="W15926" s="239" t="n"/>
      <c r="X15926" s="239" t="n"/>
    </row>
    <row r="15927" ht="14.25" customHeight="1" s="192">
      <c r="W15927" s="235" t="n"/>
      <c r="X15927" s="235" t="n"/>
    </row>
    <row r="15928" ht="14.25" customHeight="1" s="192">
      <c r="W15928" s="239" t="n"/>
      <c r="X15928" s="239" t="n"/>
    </row>
    <row r="15930" ht="14.25" customHeight="1" s="192">
      <c r="W15930" s="235" t="n"/>
      <c r="X15930" s="235" t="n"/>
    </row>
    <row r="15931" ht="15" customHeight="1" s="192" thickBot="1">
      <c r="W15931" s="239" t="n"/>
      <c r="X15931" s="239" t="n"/>
    </row>
    <row r="15932" ht="15" customHeight="1" s="192" thickBot="1">
      <c r="W15932" s="45" t="n"/>
      <c r="X15932" s="45" t="n"/>
    </row>
    <row r="15933" ht="14.25" customHeight="1" s="192">
      <c r="W15933" s="228" t="n"/>
      <c r="X15933" s="228" t="n"/>
    </row>
    <row r="15934" ht="14.25" customHeight="1" s="192">
      <c r="W15934" s="228" t="n"/>
      <c r="X15934" s="228" t="n"/>
    </row>
    <row r="15935" ht="14.25" customHeight="1" s="192">
      <c r="W15935" s="231" t="n"/>
      <c r="X15935" s="231" t="n"/>
    </row>
    <row r="15936" ht="14.25" customHeight="1" s="192">
      <c r="W15936" s="33" t="n"/>
      <c r="X15936" s="33" t="n"/>
    </row>
    <row r="15937" ht="14.25" customHeight="1" s="192">
      <c r="W15937" s="231" t="n"/>
      <c r="X15937" s="231" t="n"/>
    </row>
    <row r="15938" ht="14.25" customHeight="1" s="192">
      <c r="W15938" s="33" t="n"/>
      <c r="X15938" s="33" t="n"/>
    </row>
    <row r="15940" ht="14.25" customHeight="1" s="192">
      <c r="W15940" s="231" t="n"/>
      <c r="X15940" s="231" t="n"/>
    </row>
    <row r="15941" ht="14.25" customHeight="1" s="192">
      <c r="W15941" s="235" t="n"/>
      <c r="X15941" s="235" t="n"/>
    </row>
    <row r="15942" ht="14.25" customHeight="1" s="192">
      <c r="W15942" s="228" t="n"/>
      <c r="X15942" s="228" t="n"/>
    </row>
    <row r="15943" ht="14.25" customHeight="1" s="192">
      <c r="W15943" s="235" t="n"/>
      <c r="X15943" s="235" t="n"/>
    </row>
    <row r="15944" ht="14.25" customHeight="1" s="192">
      <c r="W15944" s="235" t="n"/>
      <c r="X15944" s="235" t="n"/>
    </row>
    <row r="15945" ht="14.25" customHeight="1" s="192">
      <c r="W15945" s="235" t="n"/>
      <c r="X15945" s="235" t="n"/>
    </row>
    <row r="15946" ht="14.25" customHeight="1" s="192">
      <c r="W15946" s="239" t="n"/>
      <c r="X15946" s="239" t="n"/>
    </row>
    <row r="15947" ht="14.25" customHeight="1" s="192">
      <c r="W15947" s="239" t="n"/>
      <c r="X15947" s="239" t="n"/>
    </row>
    <row r="15948" ht="14.25" customHeight="1" s="192">
      <c r="W15948" s="239" t="n"/>
      <c r="X15948" s="239" t="n"/>
    </row>
    <row r="15949" ht="14.25" customHeight="1" s="192">
      <c r="W15949" s="235" t="n"/>
      <c r="X15949" s="235" t="n"/>
    </row>
    <row r="15950" ht="14.25" customHeight="1" s="192">
      <c r="W15950" s="235" t="n"/>
      <c r="X15950" s="235" t="n"/>
    </row>
    <row r="15951" ht="14.25" customHeight="1" s="192">
      <c r="W15951" s="235" t="n"/>
      <c r="X15951" s="235" t="n"/>
    </row>
    <row r="15952" ht="14.25" customHeight="1" s="192">
      <c r="W15952" s="239" t="n"/>
      <c r="X15952" s="239" t="n"/>
    </row>
    <row r="15953" ht="14.25" customHeight="1" s="192">
      <c r="W15953" s="239" t="n"/>
      <c r="X15953" s="239" t="n"/>
    </row>
    <row r="15954" ht="14.25" customHeight="1" s="192">
      <c r="W15954" s="235" t="n"/>
      <c r="X15954" s="235" t="n"/>
    </row>
    <row r="15955" ht="14.25" customHeight="1" s="192">
      <c r="W15955" s="235" t="n"/>
      <c r="X15955" s="235" t="n"/>
    </row>
    <row r="15956" ht="14.25" customHeight="1" s="192">
      <c r="W15956" s="239" t="n"/>
      <c r="X15956" s="239" t="n"/>
    </row>
    <row r="15957" ht="14.25" customHeight="1" s="192">
      <c r="W15957" s="235" t="n"/>
      <c r="X15957" s="235" t="n"/>
    </row>
    <row r="15958" ht="14.25" customHeight="1" s="192">
      <c r="W15958" s="239" t="n"/>
      <c r="X15958" s="239" t="n"/>
    </row>
    <row r="15960" ht="14.25" customHeight="1" s="192">
      <c r="W15960" s="235" t="n"/>
      <c r="X15960" s="235" t="n"/>
    </row>
    <row r="15961" ht="15" customHeight="1" s="192" thickBot="1">
      <c r="W15961" s="239" t="n"/>
      <c r="X15961" s="239" t="n"/>
    </row>
    <row r="15962" ht="15" customHeight="1" s="192" thickBot="1">
      <c r="W15962" s="45" t="n"/>
      <c r="X15962" s="45" t="n"/>
    </row>
    <row r="15963" ht="14.25" customHeight="1" s="192">
      <c r="W15963" s="228" t="n"/>
      <c r="X15963" s="228" t="n"/>
    </row>
    <row r="15964" ht="14.25" customHeight="1" s="192">
      <c r="W15964" s="228" t="n"/>
      <c r="X15964" s="228" t="n"/>
    </row>
    <row r="15965" ht="14.25" customHeight="1" s="192">
      <c r="W15965" s="231" t="n"/>
      <c r="X15965" s="231" t="n"/>
    </row>
    <row r="15966" ht="14.25" customHeight="1" s="192">
      <c r="W15966" s="33" t="n"/>
      <c r="X15966" s="33" t="n"/>
    </row>
    <row r="15967" ht="14.25" customHeight="1" s="192">
      <c r="W15967" s="231" t="n"/>
      <c r="X15967" s="231" t="n"/>
    </row>
    <row r="15968" ht="14.25" customHeight="1" s="192">
      <c r="W15968" s="33" t="n"/>
      <c r="X15968" s="33" t="n"/>
    </row>
    <row r="15970" ht="14.25" customHeight="1" s="192">
      <c r="W15970" s="231" t="n"/>
      <c r="X15970" s="231" t="n"/>
    </row>
    <row r="15971" ht="14.25" customHeight="1" s="192">
      <c r="W15971" s="235" t="n"/>
      <c r="X15971" s="235" t="n"/>
    </row>
    <row r="15972" ht="14.25" customHeight="1" s="192">
      <c r="W15972" s="228" t="n"/>
      <c r="X15972" s="228" t="n"/>
    </row>
    <row r="15973" ht="14.25" customHeight="1" s="192">
      <c r="W15973" s="235" t="n"/>
      <c r="X15973" s="235" t="n"/>
    </row>
    <row r="15974" ht="14.25" customHeight="1" s="192">
      <c r="W15974" s="235" t="n"/>
      <c r="X15974" s="235" t="n"/>
    </row>
    <row r="15975" ht="14.25" customHeight="1" s="192">
      <c r="W15975" s="235" t="n"/>
      <c r="X15975" s="235" t="n"/>
    </row>
    <row r="15976" ht="14.25" customHeight="1" s="192">
      <c r="W15976" s="239" t="n"/>
      <c r="X15976" s="239" t="n"/>
    </row>
    <row r="15977" ht="14.25" customHeight="1" s="192">
      <c r="W15977" s="239" t="n"/>
      <c r="X15977" s="239" t="n"/>
    </row>
    <row r="15978" ht="14.25" customHeight="1" s="192">
      <c r="W15978" s="239" t="n"/>
      <c r="X15978" s="239" t="n"/>
    </row>
    <row r="15979" ht="14.25" customHeight="1" s="192">
      <c r="W15979" s="235" t="n"/>
      <c r="X15979" s="235" t="n"/>
    </row>
    <row r="15980" ht="14.25" customHeight="1" s="192">
      <c r="W15980" s="235" t="n"/>
      <c r="X15980" s="235" t="n"/>
    </row>
    <row r="15981" ht="14.25" customHeight="1" s="192">
      <c r="W15981" s="235" t="n"/>
      <c r="X15981" s="235" t="n"/>
    </row>
    <row r="15982" ht="14.25" customHeight="1" s="192">
      <c r="W15982" s="239" t="n"/>
      <c r="X15982" s="239" t="n"/>
    </row>
    <row r="15983" ht="14.25" customHeight="1" s="192">
      <c r="W15983" s="239" t="n"/>
      <c r="X15983" s="239" t="n"/>
    </row>
    <row r="15984" ht="14.25" customHeight="1" s="192">
      <c r="W15984" s="235" t="n"/>
      <c r="X15984" s="235" t="n"/>
    </row>
    <row r="15985" ht="14.25" customHeight="1" s="192">
      <c r="W15985" s="235" t="n"/>
      <c r="X15985" s="235" t="n"/>
    </row>
    <row r="15986" ht="14.25" customHeight="1" s="192">
      <c r="W15986" s="239" t="n"/>
      <c r="X15986" s="239" t="n"/>
    </row>
    <row r="15987" ht="14.25" customHeight="1" s="192">
      <c r="W15987" s="235" t="n"/>
      <c r="X15987" s="235" t="n"/>
    </row>
    <row r="15988" ht="14.25" customHeight="1" s="192">
      <c r="W15988" s="239" t="n"/>
      <c r="X15988" s="239" t="n"/>
    </row>
    <row r="15990" ht="14.25" customHeight="1" s="192">
      <c r="W15990" s="235" t="n"/>
      <c r="X15990" s="235" t="n"/>
    </row>
    <row r="15991" ht="15" customHeight="1" s="192" thickBot="1">
      <c r="W15991" s="239" t="n"/>
      <c r="X15991" s="239" t="n"/>
    </row>
    <row r="15992" ht="15" customHeight="1" s="192" thickBot="1">
      <c r="W15992" s="45" t="n"/>
      <c r="X15992" s="45" t="n"/>
    </row>
    <row r="15993" ht="14.25" customHeight="1" s="192">
      <c r="W15993" s="228" t="n"/>
      <c r="X15993" s="228" t="n"/>
    </row>
    <row r="15994" ht="14.25" customHeight="1" s="192">
      <c r="W15994" s="228" t="n"/>
      <c r="X15994" s="228" t="n"/>
    </row>
    <row r="15995" ht="14.25" customHeight="1" s="192">
      <c r="W15995" s="231" t="n"/>
      <c r="X15995" s="231" t="n"/>
    </row>
    <row r="15996" ht="14.25" customHeight="1" s="192">
      <c r="W15996" s="33" t="n"/>
      <c r="X15996" s="33" t="n"/>
    </row>
    <row r="15997" ht="14.25" customHeight="1" s="192">
      <c r="W15997" s="231" t="n"/>
      <c r="X15997" s="231" t="n"/>
    </row>
    <row r="15998" ht="14.25" customHeight="1" s="192">
      <c r="W15998" s="33" t="n"/>
      <c r="X15998" s="33" t="n"/>
    </row>
    <row r="16000" ht="14.25" customHeight="1" s="192">
      <c r="W16000" s="231" t="n"/>
      <c r="X16000" s="231" t="n"/>
    </row>
    <row r="16001" ht="14.25" customHeight="1" s="192">
      <c r="W16001" s="235" t="n"/>
      <c r="X16001" s="235" t="n"/>
    </row>
    <row r="16002" ht="14.25" customHeight="1" s="192">
      <c r="W16002" s="228" t="n"/>
      <c r="X16002" s="228" t="n"/>
    </row>
    <row r="16003" ht="14.25" customHeight="1" s="192">
      <c r="W16003" s="235" t="n"/>
      <c r="X16003" s="235" t="n"/>
    </row>
    <row r="16004" ht="14.25" customHeight="1" s="192">
      <c r="W16004" s="235" t="n"/>
      <c r="X16004" s="235" t="n"/>
    </row>
    <row r="16005" ht="14.25" customHeight="1" s="192">
      <c r="W16005" s="235" t="n"/>
      <c r="X16005" s="235" t="n"/>
    </row>
    <row r="16006" ht="14.25" customHeight="1" s="192">
      <c r="W16006" s="239" t="n"/>
      <c r="X16006" s="239" t="n"/>
    </row>
    <row r="16007" ht="14.25" customHeight="1" s="192">
      <c r="W16007" s="239" t="n"/>
      <c r="X16007" s="239" t="n"/>
    </row>
    <row r="16008" ht="14.25" customHeight="1" s="192">
      <c r="W16008" s="239" t="n"/>
      <c r="X16008" s="239" t="n"/>
    </row>
    <row r="16009" ht="14.25" customHeight="1" s="192">
      <c r="W16009" s="235" t="n"/>
      <c r="X16009" s="235" t="n"/>
    </row>
    <row r="16010" ht="14.25" customHeight="1" s="192">
      <c r="W16010" s="235" t="n"/>
      <c r="X16010" s="235" t="n"/>
    </row>
    <row r="16011" ht="14.25" customHeight="1" s="192">
      <c r="W16011" s="235" t="n"/>
      <c r="X16011" s="235" t="n"/>
    </row>
    <row r="16012" ht="14.25" customHeight="1" s="192">
      <c r="W16012" s="239" t="n"/>
      <c r="X16012" s="239" t="n"/>
    </row>
    <row r="16013" ht="14.25" customHeight="1" s="192">
      <c r="W16013" s="239" t="n"/>
      <c r="X16013" s="239" t="n"/>
    </row>
    <row r="16014" ht="14.25" customHeight="1" s="192">
      <c r="W16014" s="235" t="n"/>
      <c r="X16014" s="235" t="n"/>
    </row>
    <row r="16015" ht="14.25" customHeight="1" s="192">
      <c r="W16015" s="235" t="n"/>
      <c r="X16015" s="235" t="n"/>
    </row>
    <row r="16016" ht="14.25" customHeight="1" s="192">
      <c r="W16016" s="239" t="n"/>
      <c r="X16016" s="239" t="n"/>
    </row>
    <row r="16017" ht="14.25" customHeight="1" s="192">
      <c r="W16017" s="235" t="n"/>
      <c r="X16017" s="235" t="n"/>
    </row>
    <row r="16018" ht="14.25" customHeight="1" s="192">
      <c r="W16018" s="239" t="n"/>
      <c r="X16018" s="239" t="n"/>
    </row>
    <row r="16020" ht="14.25" customHeight="1" s="192">
      <c r="W16020" s="235" t="n"/>
      <c r="X16020" s="235" t="n"/>
    </row>
    <row r="16021" ht="15" customHeight="1" s="192" thickBot="1">
      <c r="W16021" s="239" t="n"/>
      <c r="X16021" s="239" t="n"/>
    </row>
    <row r="16022" ht="15" customHeight="1" s="192" thickBot="1">
      <c r="W16022" s="45" t="n"/>
      <c r="X16022" s="45" t="n"/>
    </row>
    <row r="16023" ht="14.25" customHeight="1" s="192">
      <c r="W16023" s="228" t="n"/>
      <c r="X16023" s="228" t="n"/>
    </row>
    <row r="16024" ht="14.25" customHeight="1" s="192">
      <c r="W16024" s="228" t="n"/>
      <c r="X16024" s="228" t="n"/>
    </row>
    <row r="16025" ht="14.25" customHeight="1" s="192">
      <c r="W16025" s="231" t="n"/>
      <c r="X16025" s="231" t="n"/>
    </row>
    <row r="16026" ht="14.25" customHeight="1" s="192">
      <c r="W16026" s="33" t="n"/>
      <c r="X16026" s="33" t="n"/>
    </row>
    <row r="16027" ht="14.25" customHeight="1" s="192">
      <c r="W16027" s="231" t="n"/>
      <c r="X16027" s="231" t="n"/>
    </row>
    <row r="16028" ht="14.25" customHeight="1" s="192">
      <c r="W16028" s="33" t="n"/>
      <c r="X16028" s="33" t="n"/>
    </row>
    <row r="16030" ht="14.25" customHeight="1" s="192">
      <c r="W16030" s="231" t="n"/>
      <c r="X16030" s="231" t="n"/>
    </row>
    <row r="16031" ht="14.25" customHeight="1" s="192">
      <c r="W16031" s="235" t="n"/>
      <c r="X16031" s="235" t="n"/>
    </row>
    <row r="16032" ht="14.25" customHeight="1" s="192">
      <c r="W16032" s="228" t="n"/>
      <c r="X16032" s="228" t="n"/>
    </row>
    <row r="16033" ht="14.25" customHeight="1" s="192">
      <c r="W16033" s="235" t="n"/>
      <c r="X16033" s="235" t="n"/>
    </row>
    <row r="16034" ht="14.25" customHeight="1" s="192">
      <c r="W16034" s="235" t="n"/>
      <c r="X16034" s="235" t="n"/>
    </row>
    <row r="16035" ht="14.25" customHeight="1" s="192">
      <c r="W16035" s="235" t="n"/>
      <c r="X16035" s="235" t="n"/>
    </row>
    <row r="16036" ht="14.25" customHeight="1" s="192">
      <c r="W16036" s="239" t="n"/>
      <c r="X16036" s="239" t="n"/>
    </row>
    <row r="16037" ht="14.25" customHeight="1" s="192">
      <c r="W16037" s="239" t="n"/>
      <c r="X16037" s="239" t="n"/>
    </row>
    <row r="16038" ht="14.25" customHeight="1" s="192">
      <c r="W16038" s="239" t="n"/>
      <c r="X16038" s="239" t="n"/>
    </row>
    <row r="16039" ht="14.25" customHeight="1" s="192">
      <c r="W16039" s="235" t="n"/>
      <c r="X16039" s="235" t="n"/>
    </row>
    <row r="16040" ht="14.25" customHeight="1" s="192">
      <c r="W16040" s="235" t="n"/>
      <c r="X16040" s="235" t="n"/>
    </row>
    <row r="16041" ht="14.25" customHeight="1" s="192">
      <c r="W16041" s="235" t="n"/>
      <c r="X16041" s="235" t="n"/>
    </row>
    <row r="16042" ht="14.25" customHeight="1" s="192">
      <c r="W16042" s="239" t="n"/>
      <c r="X16042" s="239" t="n"/>
    </row>
    <row r="16043" ht="14.25" customHeight="1" s="192">
      <c r="W16043" s="239" t="n"/>
      <c r="X16043" s="239" t="n"/>
    </row>
    <row r="16044" ht="14.25" customHeight="1" s="192">
      <c r="W16044" s="235" t="n"/>
      <c r="X16044" s="235" t="n"/>
    </row>
    <row r="16045" ht="14.25" customHeight="1" s="192">
      <c r="W16045" s="235" t="n"/>
      <c r="X16045" s="235" t="n"/>
    </row>
    <row r="16046" ht="14.25" customHeight="1" s="192">
      <c r="W16046" s="239" t="n"/>
      <c r="X16046" s="239" t="n"/>
    </row>
    <row r="16047" ht="14.25" customHeight="1" s="192">
      <c r="W16047" s="235" t="n"/>
      <c r="X16047" s="235" t="n"/>
    </row>
    <row r="16048" ht="14.25" customHeight="1" s="192">
      <c r="W16048" s="239" t="n"/>
      <c r="X16048" s="239" t="n"/>
    </row>
    <row r="16050" ht="14.25" customHeight="1" s="192">
      <c r="W16050" s="235" t="n"/>
      <c r="X16050" s="235" t="n"/>
    </row>
    <row r="16051" ht="15" customHeight="1" s="192" thickBot="1">
      <c r="W16051" s="239" t="n"/>
      <c r="X16051" s="239" t="n"/>
    </row>
    <row r="16052" ht="15" customHeight="1" s="192" thickBot="1">
      <c r="W16052" s="45" t="n"/>
      <c r="X16052" s="45" t="n"/>
    </row>
    <row r="16053" ht="14.25" customHeight="1" s="192">
      <c r="W16053" s="228" t="n"/>
      <c r="X16053" s="228" t="n"/>
    </row>
    <row r="16054" ht="14.25" customHeight="1" s="192">
      <c r="W16054" s="228" t="n"/>
      <c r="X16054" s="228" t="n"/>
    </row>
    <row r="16055" ht="14.25" customHeight="1" s="192">
      <c r="W16055" s="231" t="n"/>
      <c r="X16055" s="231" t="n"/>
    </row>
    <row r="16056" ht="14.25" customHeight="1" s="192">
      <c r="W16056" s="33" t="n"/>
      <c r="X16056" s="33" t="n"/>
    </row>
    <row r="16057" ht="14.25" customHeight="1" s="192">
      <c r="W16057" s="231" t="n"/>
      <c r="X16057" s="231" t="n"/>
    </row>
    <row r="16058" ht="14.25" customHeight="1" s="192">
      <c r="W16058" s="33" t="n"/>
      <c r="X16058" s="33" t="n"/>
    </row>
    <row r="16060" ht="14.25" customHeight="1" s="192">
      <c r="W16060" s="231" t="n"/>
      <c r="X16060" s="231" t="n"/>
    </row>
    <row r="16061" ht="14.25" customHeight="1" s="192">
      <c r="W16061" s="235" t="n"/>
      <c r="X16061" s="235" t="n"/>
    </row>
    <row r="16062" ht="14.25" customHeight="1" s="192">
      <c r="W16062" s="228" t="n"/>
      <c r="X16062" s="228" t="n"/>
    </row>
    <row r="16063" ht="14.25" customHeight="1" s="192">
      <c r="W16063" s="235" t="n"/>
      <c r="X16063" s="235" t="n"/>
    </row>
    <row r="16064" ht="14.25" customHeight="1" s="192">
      <c r="W16064" s="235" t="n"/>
      <c r="X16064" s="235" t="n"/>
    </row>
    <row r="16065" ht="14.25" customHeight="1" s="192">
      <c r="W16065" s="235" t="n"/>
      <c r="X16065" s="235" t="n"/>
    </row>
    <row r="16066" ht="14.25" customHeight="1" s="192">
      <c r="W16066" s="239" t="n"/>
      <c r="X16066" s="239" t="n"/>
    </row>
    <row r="16067" ht="14.25" customHeight="1" s="192">
      <c r="W16067" s="239" t="n"/>
      <c r="X16067" s="239" t="n"/>
    </row>
    <row r="16068" ht="14.25" customHeight="1" s="192">
      <c r="W16068" s="239" t="n"/>
      <c r="X16068" s="239" t="n"/>
    </row>
    <row r="16069" ht="14.25" customHeight="1" s="192">
      <c r="W16069" s="235" t="n"/>
      <c r="X16069" s="235" t="n"/>
    </row>
    <row r="16070" ht="14.25" customHeight="1" s="192">
      <c r="W16070" s="235" t="n"/>
      <c r="X16070" s="235" t="n"/>
    </row>
    <row r="16071" ht="14.25" customHeight="1" s="192">
      <c r="W16071" s="235" t="n"/>
      <c r="X16071" s="235" t="n"/>
    </row>
    <row r="16072" ht="14.25" customHeight="1" s="192">
      <c r="W16072" s="239" t="n"/>
      <c r="X16072" s="239" t="n"/>
    </row>
    <row r="16073" ht="14.25" customHeight="1" s="192">
      <c r="W16073" s="239" t="n"/>
      <c r="X16073" s="239" t="n"/>
    </row>
    <row r="16074" ht="14.25" customHeight="1" s="192">
      <c r="W16074" s="235" t="n"/>
      <c r="X16074" s="235" t="n"/>
    </row>
    <row r="16075" ht="14.25" customHeight="1" s="192">
      <c r="W16075" s="235" t="n"/>
      <c r="X16075" s="235" t="n"/>
    </row>
    <row r="16076" ht="14.25" customHeight="1" s="192">
      <c r="W16076" s="239" t="n"/>
      <c r="X16076" s="239" t="n"/>
    </row>
    <row r="16077" ht="14.25" customHeight="1" s="192">
      <c r="W16077" s="235" t="n"/>
      <c r="X16077" s="235" t="n"/>
    </row>
    <row r="16078" ht="14.25" customHeight="1" s="192">
      <c r="W16078" s="239" t="n"/>
      <c r="X16078" s="239" t="n"/>
    </row>
    <row r="16080" ht="14.25" customHeight="1" s="192">
      <c r="W16080" s="235" t="n"/>
      <c r="X16080" s="235" t="n"/>
    </row>
    <row r="16081" ht="15" customHeight="1" s="192" thickBot="1">
      <c r="W16081" s="239" t="n"/>
      <c r="X16081" s="239" t="n"/>
    </row>
    <row r="16082" ht="15" customHeight="1" s="192" thickBot="1">
      <c r="W16082" s="45" t="n"/>
      <c r="X16082" s="45" t="n"/>
    </row>
    <row r="16083" ht="14.25" customHeight="1" s="192">
      <c r="W16083" s="228" t="n"/>
      <c r="X16083" s="228" t="n"/>
    </row>
    <row r="16084" ht="14.25" customHeight="1" s="192">
      <c r="W16084" s="228" t="n"/>
      <c r="X16084" s="228" t="n"/>
    </row>
    <row r="16085" ht="14.25" customHeight="1" s="192">
      <c r="W16085" s="231" t="n"/>
      <c r="X16085" s="231" t="n"/>
    </row>
    <row r="16086" ht="14.25" customHeight="1" s="192">
      <c r="W16086" s="33" t="n"/>
      <c r="X16086" s="33" t="n"/>
    </row>
    <row r="16087" ht="14.25" customHeight="1" s="192">
      <c r="W16087" s="231" t="n"/>
      <c r="X16087" s="231" t="n"/>
    </row>
    <row r="16088" ht="14.25" customHeight="1" s="192">
      <c r="W16088" s="33" t="n"/>
      <c r="X16088" s="33" t="n"/>
    </row>
    <row r="16090" ht="14.25" customHeight="1" s="192">
      <c r="W16090" s="231" t="n"/>
      <c r="X16090" s="231" t="n"/>
    </row>
    <row r="16091" ht="14.25" customHeight="1" s="192">
      <c r="W16091" s="235" t="n"/>
      <c r="X16091" s="235" t="n"/>
    </row>
    <row r="16092" ht="14.25" customHeight="1" s="192">
      <c r="W16092" s="228" t="n"/>
      <c r="X16092" s="228" t="n"/>
    </row>
    <row r="16093" ht="14.25" customHeight="1" s="192">
      <c r="W16093" s="235" t="n"/>
      <c r="X16093" s="235" t="n"/>
    </row>
    <row r="16094" ht="14.25" customHeight="1" s="192">
      <c r="W16094" s="235" t="n"/>
      <c r="X16094" s="235" t="n"/>
    </row>
    <row r="16095" ht="14.25" customHeight="1" s="192">
      <c r="W16095" s="235" t="n"/>
      <c r="X16095" s="235" t="n"/>
    </row>
    <row r="16096" ht="14.25" customHeight="1" s="192">
      <c r="W16096" s="239" t="n"/>
      <c r="X16096" s="239" t="n"/>
    </row>
    <row r="16097" ht="14.25" customHeight="1" s="192">
      <c r="W16097" s="239" t="n"/>
      <c r="X16097" s="239" t="n"/>
    </row>
    <row r="16098" ht="14.25" customHeight="1" s="192">
      <c r="W16098" s="239" t="n"/>
      <c r="X16098" s="239" t="n"/>
    </row>
    <row r="16099" ht="14.25" customHeight="1" s="192">
      <c r="W16099" s="235" t="n"/>
      <c r="X16099" s="235" t="n"/>
    </row>
    <row r="16100" ht="14.25" customHeight="1" s="192">
      <c r="W16100" s="235" t="n"/>
      <c r="X16100" s="235" t="n"/>
    </row>
    <row r="16101" ht="14.25" customHeight="1" s="192">
      <c r="W16101" s="235" t="n"/>
      <c r="X16101" s="235" t="n"/>
    </row>
    <row r="16102" ht="14.25" customHeight="1" s="192">
      <c r="W16102" s="239" t="n"/>
      <c r="X16102" s="239" t="n"/>
    </row>
    <row r="16103" ht="14.25" customHeight="1" s="192">
      <c r="W16103" s="239" t="n"/>
      <c r="X16103" s="239" t="n"/>
    </row>
    <row r="16104" ht="14.25" customHeight="1" s="192">
      <c r="W16104" s="235" t="n"/>
      <c r="X16104" s="235" t="n"/>
    </row>
    <row r="16105" ht="14.25" customHeight="1" s="192">
      <c r="W16105" s="235" t="n"/>
      <c r="X16105" s="235" t="n"/>
    </row>
    <row r="16106" ht="14.25" customHeight="1" s="192">
      <c r="W16106" s="239" t="n"/>
      <c r="X16106" s="239" t="n"/>
    </row>
    <row r="16107" ht="14.25" customHeight="1" s="192">
      <c r="W16107" s="235" t="n"/>
      <c r="X16107" s="235" t="n"/>
    </row>
    <row r="16108" ht="14.25" customHeight="1" s="192">
      <c r="W16108" s="239" t="n"/>
      <c r="X16108" s="239" t="n"/>
    </row>
    <row r="16110" ht="14.25" customHeight="1" s="192">
      <c r="W16110" s="235" t="n"/>
      <c r="X16110" s="235" t="n"/>
    </row>
    <row r="16111" ht="15" customHeight="1" s="192" thickBot="1">
      <c r="W16111" s="239" t="n"/>
      <c r="X16111" s="239" t="n"/>
    </row>
    <row r="16112" ht="15" customHeight="1" s="192" thickBot="1">
      <c r="W16112" s="45" t="n"/>
      <c r="X16112" s="45" t="n"/>
    </row>
    <row r="16113" ht="14.25" customHeight="1" s="192">
      <c r="W16113" s="228" t="n"/>
      <c r="X16113" s="228" t="n"/>
    </row>
    <row r="16114" ht="14.25" customHeight="1" s="192">
      <c r="W16114" s="228" t="n"/>
      <c r="X16114" s="228" t="n"/>
    </row>
    <row r="16115" ht="14.25" customHeight="1" s="192">
      <c r="W16115" s="231" t="n"/>
      <c r="X16115" s="231" t="n"/>
    </row>
    <row r="16116" ht="14.25" customHeight="1" s="192">
      <c r="W16116" s="33" t="n"/>
      <c r="X16116" s="33" t="n"/>
    </row>
    <row r="16117" ht="14.25" customHeight="1" s="192">
      <c r="W16117" s="231" t="n"/>
      <c r="X16117" s="231" t="n"/>
    </row>
    <row r="16118" ht="14.25" customHeight="1" s="192">
      <c r="W16118" s="33" t="n"/>
      <c r="X16118" s="33" t="n"/>
    </row>
    <row r="16120" ht="14.25" customHeight="1" s="192">
      <c r="W16120" s="231" t="n"/>
      <c r="X16120" s="231" t="n"/>
    </row>
    <row r="16121" ht="14.25" customHeight="1" s="192">
      <c r="W16121" s="235" t="n"/>
      <c r="X16121" s="235" t="n"/>
    </row>
    <row r="16122" ht="14.25" customHeight="1" s="192">
      <c r="W16122" s="228" t="n"/>
      <c r="X16122" s="228" t="n"/>
    </row>
    <row r="16123" ht="14.25" customHeight="1" s="192">
      <c r="W16123" s="235" t="n"/>
      <c r="X16123" s="235" t="n"/>
    </row>
    <row r="16124" ht="14.25" customHeight="1" s="192">
      <c r="W16124" s="235" t="n"/>
      <c r="X16124" s="235" t="n"/>
    </row>
    <row r="16125" ht="14.25" customHeight="1" s="192">
      <c r="W16125" s="235" t="n"/>
      <c r="X16125" s="235" t="n"/>
    </row>
    <row r="16126" ht="14.25" customHeight="1" s="192">
      <c r="W16126" s="239" t="n"/>
      <c r="X16126" s="239" t="n"/>
    </row>
    <row r="16127" ht="14.25" customHeight="1" s="192">
      <c r="W16127" s="239" t="n"/>
      <c r="X16127" s="239" t="n"/>
    </row>
    <row r="16128" ht="14.25" customHeight="1" s="192">
      <c r="W16128" s="239" t="n"/>
      <c r="X16128" s="239" t="n"/>
    </row>
    <row r="16129" ht="14.25" customHeight="1" s="192">
      <c r="W16129" s="235" t="n"/>
      <c r="X16129" s="235" t="n"/>
    </row>
    <row r="16130" ht="14.25" customHeight="1" s="192">
      <c r="W16130" s="235" t="n"/>
      <c r="X16130" s="235" t="n"/>
    </row>
    <row r="16131" ht="14.25" customHeight="1" s="192">
      <c r="W16131" s="235" t="n"/>
      <c r="X16131" s="235" t="n"/>
    </row>
    <row r="16132" ht="14.25" customHeight="1" s="192">
      <c r="W16132" s="239" t="n"/>
      <c r="X16132" s="239" t="n"/>
    </row>
    <row r="16133" ht="14.25" customHeight="1" s="192">
      <c r="W16133" s="239" t="n"/>
      <c r="X16133" s="239" t="n"/>
    </row>
    <row r="16134" ht="14.25" customHeight="1" s="192">
      <c r="W16134" s="235" t="n"/>
      <c r="X16134" s="235" t="n"/>
    </row>
    <row r="16135" ht="14.25" customHeight="1" s="192">
      <c r="W16135" s="235" t="n"/>
      <c r="X16135" s="235" t="n"/>
    </row>
    <row r="16136" ht="14.25" customHeight="1" s="192">
      <c r="W16136" s="239" t="n"/>
      <c r="X16136" s="239" t="n"/>
    </row>
    <row r="16137" ht="14.25" customHeight="1" s="192">
      <c r="W16137" s="235" t="n"/>
      <c r="X16137" s="235" t="n"/>
    </row>
    <row r="16138" ht="14.25" customHeight="1" s="192">
      <c r="W16138" s="239" t="n"/>
      <c r="X16138" s="239" t="n"/>
    </row>
    <row r="16140" ht="14.25" customHeight="1" s="192">
      <c r="W16140" s="235" t="n"/>
      <c r="X16140" s="235" t="n"/>
    </row>
    <row r="16141" ht="15" customHeight="1" s="192" thickBot="1">
      <c r="W16141" s="239" t="n"/>
      <c r="X16141" s="239" t="n"/>
    </row>
    <row r="16142" ht="15" customHeight="1" s="192" thickBot="1">
      <c r="W16142" s="45" t="n"/>
      <c r="X16142" s="45" t="n"/>
    </row>
    <row r="16143" ht="14.25" customHeight="1" s="192">
      <c r="W16143" s="228" t="n"/>
      <c r="X16143" s="228" t="n"/>
    </row>
    <row r="16144" ht="14.25" customHeight="1" s="192">
      <c r="W16144" s="228" t="n"/>
      <c r="X16144" s="228" t="n"/>
    </row>
    <row r="16145" ht="14.25" customHeight="1" s="192">
      <c r="W16145" s="231" t="n"/>
      <c r="X16145" s="231" t="n"/>
    </row>
    <row r="16146" ht="14.25" customHeight="1" s="192">
      <c r="W16146" s="33" t="n"/>
      <c r="X16146" s="33" t="n"/>
    </row>
    <row r="16147" ht="14.25" customHeight="1" s="192">
      <c r="W16147" s="231" t="n"/>
      <c r="X16147" s="231" t="n"/>
    </row>
    <row r="16148" ht="14.25" customHeight="1" s="192">
      <c r="W16148" s="33" t="n"/>
      <c r="X16148" s="33" t="n"/>
    </row>
    <row r="16150" ht="14.25" customHeight="1" s="192">
      <c r="W16150" s="231" t="n"/>
      <c r="X16150" s="231" t="n"/>
    </row>
    <row r="16151" ht="14.25" customHeight="1" s="192">
      <c r="W16151" s="235" t="n"/>
      <c r="X16151" s="235" t="n"/>
    </row>
    <row r="16152" ht="14.25" customHeight="1" s="192">
      <c r="W16152" s="228" t="n"/>
      <c r="X16152" s="228" t="n"/>
    </row>
    <row r="16153" ht="14.25" customHeight="1" s="192">
      <c r="W16153" s="235" t="n"/>
      <c r="X16153" s="235" t="n"/>
    </row>
    <row r="16154" ht="14.25" customHeight="1" s="192">
      <c r="W16154" s="235" t="n"/>
      <c r="X16154" s="235" t="n"/>
    </row>
    <row r="16155" ht="14.25" customHeight="1" s="192">
      <c r="W16155" s="235" t="n"/>
      <c r="X16155" s="235" t="n"/>
    </row>
    <row r="16156" ht="14.25" customHeight="1" s="192">
      <c r="W16156" s="239" t="n"/>
      <c r="X16156" s="239" t="n"/>
    </row>
    <row r="16157" ht="14.25" customHeight="1" s="192">
      <c r="W16157" s="239" t="n"/>
      <c r="X16157" s="239" t="n"/>
    </row>
    <row r="16158" ht="14.25" customHeight="1" s="192">
      <c r="W16158" s="239" t="n"/>
      <c r="X16158" s="239" t="n"/>
    </row>
    <row r="16159" ht="14.25" customHeight="1" s="192">
      <c r="W16159" s="235" t="n"/>
      <c r="X16159" s="235" t="n"/>
    </row>
    <row r="16160" ht="14.25" customHeight="1" s="192">
      <c r="W16160" s="235" t="n"/>
      <c r="X16160" s="235" t="n"/>
    </row>
    <row r="16161" ht="14.25" customHeight="1" s="192">
      <c r="W16161" s="235" t="n"/>
      <c r="X16161" s="235" t="n"/>
    </row>
    <row r="16162" ht="14.25" customHeight="1" s="192">
      <c r="W16162" s="239" t="n"/>
      <c r="X16162" s="239" t="n"/>
    </row>
    <row r="16163" ht="14.25" customHeight="1" s="192">
      <c r="W16163" s="239" t="n"/>
      <c r="X16163" s="239" t="n"/>
    </row>
    <row r="16164" ht="14.25" customHeight="1" s="192">
      <c r="W16164" s="235" t="n"/>
      <c r="X16164" s="235" t="n"/>
    </row>
    <row r="16165" ht="14.25" customHeight="1" s="192">
      <c r="W16165" s="235" t="n"/>
      <c r="X16165" s="235" t="n"/>
    </row>
    <row r="16166" ht="14.25" customHeight="1" s="192">
      <c r="W16166" s="239" t="n"/>
      <c r="X16166" s="239" t="n"/>
    </row>
    <row r="16167" ht="14.25" customHeight="1" s="192">
      <c r="W16167" s="235" t="n"/>
      <c r="X16167" s="235" t="n"/>
    </row>
    <row r="16168" ht="14.25" customHeight="1" s="192">
      <c r="W16168" s="239" t="n"/>
      <c r="X16168" s="239" t="n"/>
    </row>
    <row r="16170" ht="14.25" customHeight="1" s="192">
      <c r="W16170" s="235" t="n"/>
      <c r="X16170" s="235" t="n"/>
    </row>
    <row r="16171" ht="15" customHeight="1" s="192" thickBot="1">
      <c r="W16171" s="239" t="n"/>
      <c r="X16171" s="239" t="n"/>
    </row>
    <row r="16172" ht="15" customHeight="1" s="192" thickBot="1">
      <c r="W16172" s="45" t="n"/>
      <c r="X16172" s="45" t="n"/>
    </row>
    <row r="16173" ht="14.25" customHeight="1" s="192">
      <c r="W16173" s="228" t="n"/>
      <c r="X16173" s="228" t="n"/>
    </row>
    <row r="16174" ht="14.25" customHeight="1" s="192">
      <c r="W16174" s="228" t="n"/>
      <c r="X16174" s="228" t="n"/>
    </row>
    <row r="16175" ht="14.25" customHeight="1" s="192">
      <c r="W16175" s="231" t="n"/>
      <c r="X16175" s="231" t="n"/>
    </row>
    <row r="16176" ht="14.25" customHeight="1" s="192">
      <c r="W16176" s="33" t="n"/>
      <c r="X16176" s="33" t="n"/>
    </row>
    <row r="16177" ht="14.25" customHeight="1" s="192">
      <c r="W16177" s="231" t="n"/>
      <c r="X16177" s="231" t="n"/>
    </row>
    <row r="16178" ht="14.25" customHeight="1" s="192">
      <c r="W16178" s="33" t="n"/>
      <c r="X16178" s="33" t="n"/>
    </row>
    <row r="16180" ht="14.25" customHeight="1" s="192">
      <c r="W16180" s="231" t="n"/>
      <c r="X16180" s="231" t="n"/>
    </row>
    <row r="16181" ht="14.25" customHeight="1" s="192">
      <c r="W16181" s="235" t="n"/>
      <c r="X16181" s="235" t="n"/>
    </row>
    <row r="16182" ht="14.25" customHeight="1" s="192">
      <c r="W16182" s="228" t="n"/>
      <c r="X16182" s="228" t="n"/>
    </row>
    <row r="16183" ht="14.25" customHeight="1" s="192">
      <c r="W16183" s="235" t="n"/>
      <c r="X16183" s="235" t="n"/>
    </row>
    <row r="16184" ht="14.25" customHeight="1" s="192">
      <c r="W16184" s="235" t="n"/>
      <c r="X16184" s="235" t="n"/>
    </row>
    <row r="16185" ht="14.25" customHeight="1" s="192">
      <c r="W16185" s="235" t="n"/>
      <c r="X16185" s="235" t="n"/>
    </row>
    <row r="16186" ht="14.25" customHeight="1" s="192">
      <c r="W16186" s="239" t="n"/>
      <c r="X16186" s="239" t="n"/>
    </row>
    <row r="16187" ht="14.25" customHeight="1" s="192">
      <c r="W16187" s="239" t="n"/>
      <c r="X16187" s="239" t="n"/>
    </row>
    <row r="16188" ht="14.25" customHeight="1" s="192">
      <c r="W16188" s="239" t="n"/>
      <c r="X16188" s="239" t="n"/>
    </row>
    <row r="16189" ht="14.25" customHeight="1" s="192">
      <c r="W16189" s="235" t="n"/>
      <c r="X16189" s="235" t="n"/>
    </row>
    <row r="16190" ht="14.25" customHeight="1" s="192">
      <c r="W16190" s="235" t="n"/>
      <c r="X16190" s="235" t="n"/>
    </row>
    <row r="16191" ht="14.25" customHeight="1" s="192">
      <c r="W16191" s="235" t="n"/>
      <c r="X16191" s="235" t="n"/>
    </row>
    <row r="16192" ht="14.25" customHeight="1" s="192">
      <c r="W16192" s="239" t="n"/>
      <c r="X16192" s="239" t="n"/>
    </row>
    <row r="16193" ht="14.25" customHeight="1" s="192">
      <c r="W16193" s="239" t="n"/>
      <c r="X16193" s="239" t="n"/>
    </row>
    <row r="16194" ht="14.25" customHeight="1" s="192">
      <c r="W16194" s="235" t="n"/>
      <c r="X16194" s="235" t="n"/>
    </row>
    <row r="16195" ht="14.25" customHeight="1" s="192">
      <c r="W16195" s="235" t="n"/>
      <c r="X16195" s="235" t="n"/>
    </row>
    <row r="16196" ht="14.25" customHeight="1" s="192">
      <c r="W16196" s="239" t="n"/>
      <c r="X16196" s="239" t="n"/>
    </row>
    <row r="16197" ht="14.25" customHeight="1" s="192">
      <c r="W16197" s="235" t="n"/>
      <c r="X16197" s="235" t="n"/>
    </row>
    <row r="16198" ht="14.25" customHeight="1" s="192">
      <c r="W16198" s="239" t="n"/>
      <c r="X16198" s="239" t="n"/>
    </row>
    <row r="16200" ht="14.25" customHeight="1" s="192">
      <c r="W16200" s="235" t="n"/>
      <c r="X16200" s="235" t="n"/>
    </row>
    <row r="16201" ht="15" customHeight="1" s="192" thickBot="1">
      <c r="W16201" s="239" t="n"/>
      <c r="X16201" s="239" t="n"/>
    </row>
    <row r="16202" ht="15" customHeight="1" s="192" thickBot="1">
      <c r="W16202" s="45" t="n"/>
      <c r="X16202" s="45" t="n"/>
    </row>
    <row r="16203" ht="14.25" customHeight="1" s="192">
      <c r="W16203" s="228" t="n"/>
      <c r="X16203" s="228" t="n"/>
    </row>
    <row r="16204" ht="14.25" customHeight="1" s="192">
      <c r="W16204" s="228" t="n"/>
      <c r="X16204" s="228" t="n"/>
    </row>
    <row r="16205" ht="14.25" customHeight="1" s="192">
      <c r="W16205" s="231" t="n"/>
      <c r="X16205" s="231" t="n"/>
    </row>
    <row r="16206" ht="14.25" customHeight="1" s="192">
      <c r="W16206" s="33" t="n"/>
      <c r="X16206" s="33" t="n"/>
    </row>
    <row r="16207" ht="14.25" customHeight="1" s="192">
      <c r="W16207" s="231" t="n"/>
      <c r="X16207" s="231" t="n"/>
    </row>
    <row r="16208" ht="14.25" customHeight="1" s="192">
      <c r="W16208" s="33" t="n"/>
      <c r="X16208" s="33" t="n"/>
    </row>
    <row r="16210" ht="14.25" customHeight="1" s="192">
      <c r="W16210" s="231" t="n"/>
      <c r="X16210" s="231" t="n"/>
    </row>
    <row r="16211" ht="14.25" customHeight="1" s="192">
      <c r="W16211" s="235" t="n"/>
      <c r="X16211" s="235" t="n"/>
    </row>
    <row r="16212" ht="14.25" customHeight="1" s="192">
      <c r="W16212" s="228" t="n"/>
      <c r="X16212" s="228" t="n"/>
    </row>
    <row r="16213" ht="14.25" customHeight="1" s="192">
      <c r="W16213" s="235" t="n"/>
      <c r="X16213" s="235" t="n"/>
    </row>
    <row r="16214" ht="14.25" customHeight="1" s="192">
      <c r="W16214" s="235" t="n"/>
      <c r="X16214" s="235" t="n"/>
    </row>
    <row r="16215" ht="14.25" customHeight="1" s="192">
      <c r="W16215" s="235" t="n"/>
      <c r="X16215" s="235" t="n"/>
    </row>
    <row r="16216" ht="14.25" customHeight="1" s="192">
      <c r="W16216" s="239" t="n"/>
      <c r="X16216" s="239" t="n"/>
    </row>
    <row r="16217" ht="14.25" customHeight="1" s="192">
      <c r="W16217" s="239" t="n"/>
      <c r="X16217" s="239" t="n"/>
    </row>
    <row r="16218" ht="14.25" customHeight="1" s="192">
      <c r="W16218" s="239" t="n"/>
      <c r="X16218" s="239" t="n"/>
    </row>
    <row r="16219" ht="14.25" customHeight="1" s="192">
      <c r="W16219" s="235" t="n"/>
      <c r="X16219" s="235" t="n"/>
    </row>
    <row r="16220" ht="14.25" customHeight="1" s="192">
      <c r="W16220" s="235" t="n"/>
      <c r="X16220" s="235" t="n"/>
    </row>
    <row r="16221" ht="14.25" customHeight="1" s="192">
      <c r="W16221" s="235" t="n"/>
      <c r="X16221" s="235" t="n"/>
    </row>
    <row r="16222" ht="14.25" customHeight="1" s="192">
      <c r="W16222" s="239" t="n"/>
      <c r="X16222" s="239" t="n"/>
    </row>
    <row r="16223" ht="14.25" customHeight="1" s="192">
      <c r="W16223" s="239" t="n"/>
      <c r="X16223" s="239" t="n"/>
    </row>
    <row r="16224" ht="14.25" customHeight="1" s="192">
      <c r="W16224" s="235" t="n"/>
      <c r="X16224" s="235" t="n"/>
    </row>
    <row r="16225" ht="14.25" customHeight="1" s="192">
      <c r="W16225" s="235" t="n"/>
      <c r="X16225" s="235" t="n"/>
    </row>
    <row r="16226" ht="14.25" customHeight="1" s="192">
      <c r="W16226" s="239" t="n"/>
      <c r="X16226" s="239" t="n"/>
    </row>
    <row r="16227" ht="14.25" customHeight="1" s="192">
      <c r="W16227" s="235" t="n"/>
      <c r="X16227" s="235" t="n"/>
    </row>
    <row r="16228" ht="14.25" customHeight="1" s="192">
      <c r="W16228" s="239" t="n"/>
      <c r="X16228" s="239" t="n"/>
    </row>
    <row r="16230" ht="14.25" customHeight="1" s="192">
      <c r="W16230" s="235" t="n"/>
      <c r="X16230" s="235" t="n"/>
    </row>
    <row r="16231" ht="15" customHeight="1" s="192" thickBot="1">
      <c r="W16231" s="239" t="n"/>
      <c r="X16231" s="239" t="n"/>
    </row>
    <row r="16232" ht="15" customHeight="1" s="192" thickBot="1">
      <c r="W16232" s="45" t="n"/>
      <c r="X16232" s="45" t="n"/>
    </row>
    <row r="16233" ht="14.25" customHeight="1" s="192">
      <c r="W16233" s="228" t="n"/>
      <c r="X16233" s="228" t="n"/>
    </row>
    <row r="16234" ht="14.25" customHeight="1" s="192">
      <c r="W16234" s="228" t="n"/>
      <c r="X16234" s="228" t="n"/>
    </row>
    <row r="16235" ht="14.25" customHeight="1" s="192">
      <c r="W16235" s="231" t="n"/>
      <c r="X16235" s="231" t="n"/>
    </row>
    <row r="16236" ht="14.25" customHeight="1" s="192">
      <c r="W16236" s="33" t="n"/>
      <c r="X16236" s="33" t="n"/>
    </row>
    <row r="16237" ht="14.25" customHeight="1" s="192">
      <c r="W16237" s="231" t="n"/>
      <c r="X16237" s="231" t="n"/>
    </row>
    <row r="16238" ht="14.25" customHeight="1" s="192">
      <c r="W16238" s="33" t="n"/>
      <c r="X16238" s="33" t="n"/>
    </row>
    <row r="16240" ht="14.25" customHeight="1" s="192">
      <c r="W16240" s="231" t="n"/>
      <c r="X16240" s="231" t="n"/>
    </row>
    <row r="16241" ht="14.25" customHeight="1" s="192">
      <c r="W16241" s="235" t="n"/>
      <c r="X16241" s="235" t="n"/>
    </row>
    <row r="16242" ht="14.25" customHeight="1" s="192">
      <c r="W16242" s="228" t="n"/>
      <c r="X16242" s="228" t="n"/>
    </row>
    <row r="16243" ht="14.25" customHeight="1" s="192">
      <c r="W16243" s="235" t="n"/>
      <c r="X16243" s="235" t="n"/>
    </row>
    <row r="16244" ht="14.25" customHeight="1" s="192">
      <c r="W16244" s="235" t="n"/>
      <c r="X16244" s="235" t="n"/>
    </row>
    <row r="16245" ht="14.25" customHeight="1" s="192">
      <c r="W16245" s="235" t="n"/>
      <c r="X16245" s="235" t="n"/>
    </row>
    <row r="16246" ht="14.25" customHeight="1" s="192">
      <c r="W16246" s="239" t="n"/>
      <c r="X16246" s="239" t="n"/>
    </row>
    <row r="16247" ht="14.25" customHeight="1" s="192">
      <c r="W16247" s="239" t="n"/>
      <c r="X16247" s="239" t="n"/>
    </row>
    <row r="16248" ht="14.25" customHeight="1" s="192">
      <c r="W16248" s="239" t="n"/>
      <c r="X16248" s="239" t="n"/>
    </row>
    <row r="16249" ht="14.25" customHeight="1" s="192">
      <c r="W16249" s="235" t="n"/>
      <c r="X16249" s="235" t="n"/>
    </row>
    <row r="16250" ht="14.25" customHeight="1" s="192">
      <c r="W16250" s="235" t="n"/>
      <c r="X16250" s="235" t="n"/>
    </row>
    <row r="16251" ht="14.25" customHeight="1" s="192">
      <c r="W16251" s="235" t="n"/>
      <c r="X16251" s="235" t="n"/>
    </row>
    <row r="16252" ht="14.25" customHeight="1" s="192">
      <c r="W16252" s="239" t="n"/>
      <c r="X16252" s="239" t="n"/>
    </row>
    <row r="16253" ht="14.25" customHeight="1" s="192">
      <c r="W16253" s="239" t="n"/>
      <c r="X16253" s="239" t="n"/>
    </row>
    <row r="16254" ht="14.25" customHeight="1" s="192">
      <c r="W16254" s="235" t="n"/>
      <c r="X16254" s="235" t="n"/>
    </row>
    <row r="16255" ht="14.25" customHeight="1" s="192">
      <c r="W16255" s="235" t="n"/>
      <c r="X16255" s="235" t="n"/>
    </row>
    <row r="16256" ht="14.25" customHeight="1" s="192">
      <c r="W16256" s="239" t="n"/>
      <c r="X16256" s="239" t="n"/>
    </row>
    <row r="16257" ht="14.25" customHeight="1" s="192">
      <c r="W16257" s="235" t="n"/>
      <c r="X16257" s="235" t="n"/>
    </row>
    <row r="16258" ht="14.25" customHeight="1" s="192">
      <c r="W16258" s="239" t="n"/>
      <c r="X16258" s="239" t="n"/>
    </row>
    <row r="16260" ht="14.25" customHeight="1" s="192">
      <c r="W16260" s="235" t="n"/>
      <c r="X16260" s="235" t="n"/>
    </row>
    <row r="16261" ht="15" customHeight="1" s="192" thickBot="1">
      <c r="W16261" s="239" t="n"/>
      <c r="X16261" s="239" t="n"/>
    </row>
    <row r="16262" ht="15" customHeight="1" s="192" thickBot="1">
      <c r="W16262" s="45" t="n"/>
      <c r="X16262" s="45" t="n"/>
    </row>
    <row r="16263" ht="14.25" customHeight="1" s="192">
      <c r="W16263" s="228" t="n"/>
      <c r="X16263" s="228" t="n"/>
    </row>
    <row r="16264" ht="14.25" customHeight="1" s="192">
      <c r="W16264" s="228" t="n"/>
      <c r="X16264" s="228" t="n"/>
    </row>
    <row r="16265" ht="14.25" customHeight="1" s="192">
      <c r="W16265" s="231" t="n"/>
      <c r="X16265" s="231" t="n"/>
    </row>
    <row r="16266" ht="14.25" customHeight="1" s="192">
      <c r="W16266" s="33" t="n"/>
      <c r="X16266" s="33" t="n"/>
    </row>
    <row r="16267" ht="14.25" customHeight="1" s="192">
      <c r="W16267" s="231" t="n"/>
      <c r="X16267" s="231" t="n"/>
    </row>
    <row r="16268" ht="14.25" customHeight="1" s="192">
      <c r="W16268" s="33" t="n"/>
      <c r="X16268" s="33" t="n"/>
    </row>
    <row r="16270" ht="14.25" customHeight="1" s="192">
      <c r="W16270" s="231" t="n"/>
      <c r="X16270" s="231" t="n"/>
    </row>
    <row r="16271" ht="14.25" customHeight="1" s="192">
      <c r="W16271" s="235" t="n"/>
      <c r="X16271" s="235" t="n"/>
    </row>
    <row r="16272" ht="14.25" customHeight="1" s="192">
      <c r="W16272" s="228" t="n"/>
      <c r="X16272" s="228" t="n"/>
    </row>
    <row r="16273" ht="14.25" customHeight="1" s="192">
      <c r="W16273" s="235" t="n"/>
      <c r="X16273" s="235" t="n"/>
    </row>
    <row r="16274" ht="14.25" customHeight="1" s="192">
      <c r="W16274" s="235" t="n"/>
      <c r="X16274" s="235" t="n"/>
    </row>
    <row r="16275" ht="14.25" customHeight="1" s="192">
      <c r="W16275" s="235" t="n"/>
      <c r="X16275" s="235" t="n"/>
    </row>
    <row r="16276" ht="14.25" customHeight="1" s="192">
      <c r="W16276" s="239" t="n"/>
      <c r="X16276" s="239" t="n"/>
    </row>
    <row r="16277" ht="14.25" customHeight="1" s="192">
      <c r="W16277" s="239" t="n"/>
      <c r="X16277" s="239" t="n"/>
    </row>
    <row r="16278" ht="14.25" customHeight="1" s="192">
      <c r="W16278" s="239" t="n"/>
      <c r="X16278" s="239" t="n"/>
    </row>
    <row r="16279" ht="14.25" customHeight="1" s="192">
      <c r="W16279" s="235" t="n"/>
      <c r="X16279" s="235" t="n"/>
    </row>
    <row r="16280" ht="14.25" customHeight="1" s="192">
      <c r="W16280" s="235" t="n"/>
      <c r="X16280" s="235" t="n"/>
    </row>
    <row r="16281" ht="14.25" customHeight="1" s="192">
      <c r="W16281" s="235" t="n"/>
      <c r="X16281" s="235" t="n"/>
    </row>
    <row r="16282" ht="14.25" customHeight="1" s="192">
      <c r="W16282" s="239" t="n"/>
      <c r="X16282" s="239" t="n"/>
    </row>
    <row r="16283" ht="14.25" customHeight="1" s="192">
      <c r="W16283" s="239" t="n"/>
      <c r="X16283" s="239" t="n"/>
    </row>
    <row r="16284" ht="14.25" customHeight="1" s="192">
      <c r="W16284" s="235" t="n"/>
      <c r="X16284" s="235" t="n"/>
    </row>
    <row r="16285" ht="14.25" customHeight="1" s="192">
      <c r="W16285" s="235" t="n"/>
      <c r="X16285" s="235" t="n"/>
    </row>
    <row r="16286" ht="14.25" customHeight="1" s="192">
      <c r="W16286" s="239" t="n"/>
      <c r="X16286" s="239" t="n"/>
    </row>
    <row r="16287" ht="14.25" customHeight="1" s="192">
      <c r="W16287" s="235" t="n"/>
      <c r="X16287" s="235" t="n"/>
    </row>
    <row r="16288" ht="14.25" customHeight="1" s="192">
      <c r="W16288" s="239" t="n"/>
      <c r="X16288" s="239" t="n"/>
    </row>
    <row r="16290" ht="14.25" customHeight="1" s="192">
      <c r="W16290" s="235" t="n"/>
      <c r="X16290" s="235" t="n"/>
    </row>
    <row r="16291" ht="15" customHeight="1" s="192" thickBot="1">
      <c r="W16291" s="239" t="n"/>
      <c r="X16291" s="239" t="n"/>
    </row>
    <row r="16292" ht="15" customHeight="1" s="192" thickBot="1">
      <c r="W16292" s="45" t="n"/>
      <c r="X16292" s="45" t="n"/>
    </row>
    <row r="16293" ht="14.25" customHeight="1" s="192">
      <c r="W16293" s="228" t="n"/>
      <c r="X16293" s="228" t="n"/>
    </row>
    <row r="16294" ht="14.25" customHeight="1" s="192">
      <c r="W16294" s="228" t="n"/>
      <c r="X16294" s="228" t="n"/>
    </row>
    <row r="16295" ht="14.25" customHeight="1" s="192">
      <c r="W16295" s="231" t="n"/>
      <c r="X16295" s="231" t="n"/>
    </row>
    <row r="16296" ht="14.25" customHeight="1" s="192">
      <c r="W16296" s="33" t="n"/>
      <c r="X16296" s="33" t="n"/>
    </row>
    <row r="16297" ht="14.25" customHeight="1" s="192">
      <c r="W16297" s="231" t="n"/>
      <c r="X16297" s="231" t="n"/>
    </row>
    <row r="16298" ht="14.25" customHeight="1" s="192">
      <c r="W16298" s="33" t="n"/>
      <c r="X16298" s="33" t="n"/>
    </row>
    <row r="16300" ht="14.25" customHeight="1" s="192">
      <c r="W16300" s="231" t="n"/>
      <c r="X16300" s="231" t="n"/>
    </row>
    <row r="16301" ht="14.25" customHeight="1" s="192">
      <c r="W16301" s="235" t="n"/>
      <c r="X16301" s="235" t="n"/>
    </row>
    <row r="16302" ht="14.25" customHeight="1" s="192">
      <c r="W16302" s="228" t="n"/>
      <c r="X16302" s="228" t="n"/>
    </row>
    <row r="16303" ht="14.25" customHeight="1" s="192">
      <c r="W16303" s="235" t="n"/>
      <c r="X16303" s="235" t="n"/>
    </row>
    <row r="16304" ht="14.25" customHeight="1" s="192">
      <c r="W16304" s="235" t="n"/>
      <c r="X16304" s="235" t="n"/>
    </row>
    <row r="16305" ht="14.25" customHeight="1" s="192">
      <c r="W16305" s="235" t="n"/>
      <c r="X16305" s="235" t="n"/>
    </row>
    <row r="16306" ht="14.25" customHeight="1" s="192">
      <c r="W16306" s="239" t="n"/>
      <c r="X16306" s="239" t="n"/>
    </row>
    <row r="16307" ht="14.25" customHeight="1" s="192">
      <c r="W16307" s="239" t="n"/>
      <c r="X16307" s="239" t="n"/>
    </row>
    <row r="16308" ht="14.25" customHeight="1" s="192">
      <c r="W16308" s="239" t="n"/>
      <c r="X16308" s="239" t="n"/>
    </row>
    <row r="16309" ht="14.25" customHeight="1" s="192">
      <c r="W16309" s="235" t="n"/>
      <c r="X16309" s="235" t="n"/>
    </row>
    <row r="16310" ht="14.25" customHeight="1" s="192">
      <c r="W16310" s="235" t="n"/>
      <c r="X16310" s="235" t="n"/>
    </row>
    <row r="16311" ht="14.25" customHeight="1" s="192">
      <c r="W16311" s="235" t="n"/>
      <c r="X16311" s="235" t="n"/>
    </row>
    <row r="16312" ht="14.25" customHeight="1" s="192">
      <c r="W16312" s="239" t="n"/>
      <c r="X16312" s="239" t="n"/>
    </row>
    <row r="16313" ht="14.25" customHeight="1" s="192">
      <c r="W16313" s="239" t="n"/>
      <c r="X16313" s="239" t="n"/>
    </row>
    <row r="16314" ht="14.25" customHeight="1" s="192">
      <c r="W16314" s="235" t="n"/>
      <c r="X16314" s="235" t="n"/>
    </row>
    <row r="16315" ht="14.25" customHeight="1" s="192">
      <c r="W16315" s="235" t="n"/>
      <c r="X16315" s="235" t="n"/>
    </row>
    <row r="16316" ht="14.25" customHeight="1" s="192">
      <c r="W16316" s="239" t="n"/>
      <c r="X16316" s="239" t="n"/>
    </row>
    <row r="16317" ht="14.25" customHeight="1" s="192">
      <c r="W16317" s="235" t="n"/>
      <c r="X16317" s="235" t="n"/>
    </row>
    <row r="16318" ht="14.25" customHeight="1" s="192">
      <c r="W16318" s="239" t="n"/>
      <c r="X16318" s="239" t="n"/>
    </row>
    <row r="16320" ht="14.25" customHeight="1" s="192">
      <c r="W16320" s="235" t="n"/>
      <c r="X16320" s="235" t="n"/>
    </row>
    <row r="16321" ht="15" customHeight="1" s="192" thickBot="1">
      <c r="W16321" s="239" t="n"/>
      <c r="X16321" s="239" t="n"/>
    </row>
    <row r="16322" ht="15" customHeight="1" s="192" thickBot="1">
      <c r="W16322" s="45" t="n"/>
      <c r="X16322" s="45" t="n"/>
    </row>
    <row r="16323" ht="14.25" customHeight="1" s="192">
      <c r="W16323" s="228" t="n"/>
      <c r="X16323" s="228" t="n"/>
    </row>
    <row r="16324" ht="14.25" customHeight="1" s="192">
      <c r="W16324" s="228" t="n"/>
      <c r="X16324" s="228" t="n"/>
    </row>
    <row r="16325" ht="14.25" customHeight="1" s="192">
      <c r="W16325" s="231" t="n"/>
      <c r="X16325" s="231" t="n"/>
    </row>
    <row r="16326" ht="14.25" customHeight="1" s="192">
      <c r="W16326" s="33" t="n"/>
      <c r="X16326" s="33" t="n"/>
    </row>
    <row r="16327" ht="14.25" customHeight="1" s="192">
      <c r="W16327" s="231" t="n"/>
      <c r="X16327" s="231" t="n"/>
    </row>
    <row r="16328" ht="14.25" customHeight="1" s="192">
      <c r="W16328" s="33" t="n"/>
      <c r="X16328" s="33" t="n"/>
    </row>
    <row r="16330" ht="14.25" customHeight="1" s="192">
      <c r="W16330" s="231" t="n"/>
      <c r="X16330" s="231" t="n"/>
    </row>
    <row r="16331" ht="14.25" customHeight="1" s="192">
      <c r="W16331" s="235" t="n"/>
      <c r="X16331" s="235" t="n"/>
    </row>
    <row r="16332" ht="14.25" customHeight="1" s="192">
      <c r="W16332" s="228" t="n"/>
      <c r="X16332" s="228" t="n"/>
    </row>
    <row r="16333" ht="14.25" customHeight="1" s="192">
      <c r="W16333" s="235" t="n"/>
      <c r="X16333" s="235" t="n"/>
    </row>
    <row r="16334" ht="14.25" customHeight="1" s="192">
      <c r="W16334" s="235" t="n"/>
      <c r="X16334" s="235" t="n"/>
    </row>
    <row r="16335" ht="14.25" customHeight="1" s="192">
      <c r="W16335" s="235" t="n"/>
      <c r="X16335" s="235" t="n"/>
    </row>
    <row r="16336" ht="14.25" customHeight="1" s="192">
      <c r="W16336" s="239" t="n"/>
      <c r="X16336" s="239" t="n"/>
    </row>
    <row r="16337" ht="14.25" customHeight="1" s="192">
      <c r="W16337" s="239" t="n"/>
      <c r="X16337" s="239" t="n"/>
    </row>
    <row r="16338" ht="14.25" customHeight="1" s="192">
      <c r="W16338" s="239" t="n"/>
      <c r="X16338" s="239" t="n"/>
    </row>
    <row r="16339" ht="14.25" customHeight="1" s="192">
      <c r="W16339" s="235" t="n"/>
      <c r="X16339" s="235" t="n"/>
    </row>
    <row r="16340" ht="14.25" customHeight="1" s="192">
      <c r="W16340" s="235" t="n"/>
      <c r="X16340" s="235" t="n"/>
    </row>
    <row r="16341" ht="14.25" customHeight="1" s="192">
      <c r="W16341" s="235" t="n"/>
      <c r="X16341" s="235" t="n"/>
    </row>
    <row r="16342" ht="14.25" customHeight="1" s="192">
      <c r="W16342" s="239" t="n"/>
      <c r="X16342" s="239" t="n"/>
    </row>
    <row r="16343" ht="14.25" customHeight="1" s="192">
      <c r="W16343" s="239" t="n"/>
      <c r="X16343" s="239" t="n"/>
    </row>
    <row r="16344" ht="14.25" customHeight="1" s="192">
      <c r="W16344" s="235" t="n"/>
      <c r="X16344" s="235" t="n"/>
    </row>
    <row r="16345" ht="14.25" customHeight="1" s="192">
      <c r="W16345" s="235" t="n"/>
      <c r="X16345" s="235" t="n"/>
    </row>
    <row r="16346" ht="14.25" customHeight="1" s="192">
      <c r="W16346" s="239" t="n"/>
      <c r="X16346" s="239" t="n"/>
    </row>
    <row r="16347" ht="14.25" customHeight="1" s="192">
      <c r="W16347" s="235" t="n"/>
      <c r="X16347" s="235" t="n"/>
    </row>
    <row r="16348" ht="14.25" customHeight="1" s="192">
      <c r="W16348" s="239" t="n"/>
      <c r="X16348" s="239" t="n"/>
    </row>
    <row r="16350" ht="14.25" customHeight="1" s="192">
      <c r="W16350" s="235" t="n"/>
      <c r="X16350" s="235" t="n"/>
    </row>
    <row r="16351" ht="15" customHeight="1" s="192" thickBot="1">
      <c r="W16351" s="239" t="n"/>
      <c r="X16351" s="239" t="n"/>
    </row>
    <row r="16352" ht="15" customHeight="1" s="192" thickBot="1">
      <c r="W16352" s="45" t="n"/>
      <c r="X16352" s="45" t="n"/>
    </row>
    <row r="16353" ht="14.25" customHeight="1" s="192">
      <c r="W16353" s="228" t="n"/>
      <c r="X16353" s="228" t="n"/>
    </row>
    <row r="16354" ht="14.25" customHeight="1" s="192">
      <c r="W16354" s="228" t="n"/>
      <c r="X16354" s="228" t="n"/>
    </row>
    <row r="16355" ht="14.25" customHeight="1" s="192">
      <c r="W16355" s="231" t="n"/>
      <c r="X16355" s="231" t="n"/>
    </row>
    <row r="16356" ht="14.25" customHeight="1" s="192">
      <c r="W16356" s="33" t="n"/>
      <c r="X16356" s="33" t="n"/>
    </row>
    <row r="16357" ht="14.25" customHeight="1" s="192">
      <c r="W16357" s="231" t="n"/>
      <c r="X16357" s="231" t="n"/>
    </row>
    <row r="16358" ht="14.25" customHeight="1" s="192">
      <c r="W16358" s="33" t="n"/>
      <c r="X16358" s="33" t="n"/>
    </row>
    <row r="16360" ht="14.25" customHeight="1" s="192">
      <c r="W16360" s="231" t="n"/>
      <c r="X16360" s="231" t="n"/>
    </row>
    <row r="16361" ht="14.25" customHeight="1" s="192">
      <c r="W16361" s="235" t="n"/>
      <c r="X16361" s="235" t="n"/>
    </row>
    <row r="16362" ht="14.25" customHeight="1" s="192">
      <c r="W16362" s="228" t="n"/>
      <c r="X16362" s="228" t="n"/>
    </row>
    <row r="16363" ht="14.25" customHeight="1" s="192">
      <c r="W16363" s="235" t="n"/>
      <c r="X16363" s="235" t="n"/>
    </row>
    <row r="16364" ht="14.25" customHeight="1" s="192">
      <c r="W16364" s="235" t="n"/>
      <c r="X16364" s="235" t="n"/>
    </row>
    <row r="16365" ht="14.25" customHeight="1" s="192">
      <c r="W16365" s="235" t="n"/>
      <c r="X16365" s="235" t="n"/>
    </row>
    <row r="16366" ht="14.25" customHeight="1" s="192">
      <c r="W16366" s="239" t="n"/>
      <c r="X16366" s="239" t="n"/>
    </row>
    <row r="16367" ht="14.25" customHeight="1" s="192">
      <c r="W16367" s="239" t="n"/>
      <c r="X16367" s="239" t="n"/>
    </row>
    <row r="16368" ht="14.25" customHeight="1" s="192">
      <c r="W16368" s="239" t="n"/>
      <c r="X16368" s="239" t="n"/>
    </row>
    <row r="16369" ht="14.25" customHeight="1" s="192">
      <c r="W16369" s="235" t="n"/>
      <c r="X16369" s="235" t="n"/>
    </row>
    <row r="16370" ht="14.25" customHeight="1" s="192">
      <c r="W16370" s="235" t="n"/>
      <c r="X16370" s="235" t="n"/>
    </row>
    <row r="16371" ht="14.25" customHeight="1" s="192">
      <c r="W16371" s="235" t="n"/>
      <c r="X16371" s="235" t="n"/>
    </row>
    <row r="16372" ht="14.25" customHeight="1" s="192">
      <c r="W16372" s="239" t="n"/>
      <c r="X16372" s="239" t="n"/>
    </row>
    <row r="16373" ht="14.25" customHeight="1" s="192">
      <c r="W16373" s="239" t="n"/>
      <c r="X16373" s="239" t="n"/>
    </row>
    <row r="16374" ht="14.25" customHeight="1" s="192">
      <c r="W16374" s="235" t="n"/>
      <c r="X16374" s="235" t="n"/>
    </row>
    <row r="16375" ht="14.25" customHeight="1" s="192">
      <c r="W16375" s="235" t="n"/>
      <c r="X16375" s="235" t="n"/>
    </row>
    <row r="16376" ht="14.25" customHeight="1" s="192">
      <c r="W16376" s="239" t="n"/>
      <c r="X16376" s="239" t="n"/>
    </row>
    <row r="16377" ht="14.25" customHeight="1" s="192">
      <c r="W16377" s="235" t="n"/>
      <c r="X16377" s="235" t="n"/>
    </row>
    <row r="16378" ht="14.25" customHeight="1" s="192">
      <c r="W16378" s="239" t="n"/>
      <c r="X16378" s="239" t="n"/>
    </row>
    <row r="16380" ht="14.25" customHeight="1" s="192">
      <c r="W16380" s="235" t="n"/>
      <c r="X16380" s="235" t="n"/>
    </row>
    <row r="16381" ht="15" customHeight="1" s="192" thickBot="1">
      <c r="W16381" s="239" t="n"/>
      <c r="X16381" s="239" t="n"/>
    </row>
    <row r="16382" ht="15" customHeight="1" s="192" thickBot="1">
      <c r="W16382" s="45" t="n"/>
      <c r="X16382" s="45" t="n"/>
    </row>
    <row r="16383" ht="14.25" customHeight="1" s="192">
      <c r="W16383" s="228" t="n"/>
      <c r="X16383" s="228" t="n"/>
    </row>
    <row r="16384" ht="14.25" customHeight="1" s="192">
      <c r="W16384" s="228" t="n"/>
      <c r="X16384" s="228" t="n"/>
    </row>
    <row r="16385" ht="14.25" customHeight="1" s="192">
      <c r="W16385" s="231" t="n"/>
      <c r="X16385" s="231" t="n"/>
    </row>
    <row r="16386" ht="14.25" customHeight="1" s="192">
      <c r="W16386" s="33" t="n"/>
      <c r="X16386" s="33" t="n"/>
    </row>
    <row r="16387" ht="14.25" customHeight="1" s="192">
      <c r="W16387" s="231" t="n"/>
      <c r="X16387" s="231" t="n"/>
    </row>
    <row r="16388" ht="14.25" customHeight="1" s="192">
      <c r="W16388" s="33" t="n"/>
      <c r="X16388" s="33" t="n"/>
    </row>
    <row r="16390" ht="14.25" customHeight="1" s="192">
      <c r="W16390" s="231" t="n"/>
      <c r="X16390" s="231" t="n"/>
    </row>
    <row r="16391" ht="14.25" customHeight="1" s="192">
      <c r="W16391" s="235" t="n"/>
      <c r="X16391" s="235" t="n"/>
    </row>
    <row r="16392" ht="14.25" customHeight="1" s="192">
      <c r="W16392" s="228" t="n"/>
      <c r="X16392" s="228" t="n"/>
    </row>
    <row r="16393" ht="14.25" customHeight="1" s="192">
      <c r="W16393" s="235" t="n"/>
      <c r="X16393" s="235" t="n"/>
    </row>
    <row r="16394" ht="14.25" customHeight="1" s="192">
      <c r="W16394" s="235" t="n"/>
      <c r="X16394" s="235" t="n"/>
    </row>
    <row r="16395" ht="14.25" customHeight="1" s="192">
      <c r="W16395" s="235" t="n"/>
      <c r="X16395" s="235" t="n"/>
    </row>
    <row r="16396" ht="14.25" customHeight="1" s="192">
      <c r="W16396" s="239" t="n"/>
      <c r="X16396" s="239" t="n"/>
    </row>
    <row r="16397" ht="14.25" customHeight="1" s="192">
      <c r="W16397" s="239" t="n"/>
      <c r="X16397" s="239" t="n"/>
    </row>
    <row r="16398" ht="14.25" customHeight="1" s="192">
      <c r="W16398" s="239" t="n"/>
      <c r="X16398" s="239" t="n"/>
    </row>
    <row r="16399" ht="14.25" customHeight="1" s="192">
      <c r="W16399" s="235" t="n"/>
      <c r="X16399" s="235" t="n"/>
    </row>
    <row r="16400" ht="14.25" customHeight="1" s="192">
      <c r="W16400" s="235" t="n"/>
      <c r="X16400" s="235" t="n"/>
    </row>
    <row r="16401" ht="14.25" customHeight="1" s="192">
      <c r="W16401" s="235" t="n"/>
      <c r="X16401" s="235" t="n"/>
    </row>
    <row r="16402" ht="14.25" customHeight="1" s="192">
      <c r="W16402" s="239" t="n"/>
      <c r="X16402" s="239" t="n"/>
    </row>
    <row r="16403" ht="14.25" customHeight="1" s="192">
      <c r="W16403" s="239" t="n"/>
      <c r="X16403" s="239" t="n"/>
    </row>
    <row r="16404" ht="14.25" customHeight="1" s="192">
      <c r="W16404" s="235" t="n"/>
      <c r="X16404" s="235" t="n"/>
    </row>
    <row r="16405" ht="14.25" customHeight="1" s="192">
      <c r="W16405" s="235" t="n"/>
      <c r="X16405" s="235" t="n"/>
    </row>
    <row r="16406" ht="14.25" customHeight="1" s="192">
      <c r="W16406" s="239" t="n"/>
      <c r="X16406" s="239" t="n"/>
    </row>
    <row r="16407" ht="14.25" customHeight="1" s="192">
      <c r="W16407" s="235" t="n"/>
      <c r="X16407" s="235" t="n"/>
    </row>
    <row r="16408" ht="14.25" customHeight="1" s="192">
      <c r="W16408" s="239" t="n"/>
      <c r="X16408" s="239" t="n"/>
    </row>
    <row r="16410" ht="14.25" customHeight="1" s="192">
      <c r="W16410" s="235" t="n"/>
      <c r="X16410" s="235" t="n"/>
    </row>
    <row r="16411" ht="15" customHeight="1" s="192" thickBot="1">
      <c r="W16411" s="239" t="n"/>
      <c r="X16411" s="239" t="n"/>
    </row>
    <row r="16412" ht="15" customHeight="1" s="192" thickBot="1">
      <c r="W16412" s="45" t="n"/>
      <c r="X16412" s="45" t="n"/>
    </row>
    <row r="16413" ht="14.25" customHeight="1" s="192">
      <c r="W16413" s="228" t="n"/>
      <c r="X16413" s="228" t="n"/>
    </row>
    <row r="16414" ht="14.25" customHeight="1" s="192">
      <c r="W16414" s="228" t="n"/>
      <c r="X16414" s="228" t="n"/>
    </row>
    <row r="16415" ht="14.25" customHeight="1" s="192">
      <c r="W16415" s="231" t="n"/>
      <c r="X16415" s="231" t="n"/>
    </row>
    <row r="16416" ht="14.25" customHeight="1" s="192">
      <c r="W16416" s="33" t="n"/>
      <c r="X16416" s="33" t="n"/>
    </row>
    <row r="16417" ht="14.25" customHeight="1" s="192">
      <c r="W16417" s="231" t="n"/>
      <c r="X16417" s="231" t="n"/>
    </row>
    <row r="16418" ht="14.25" customHeight="1" s="192">
      <c r="W16418" s="33" t="n"/>
      <c r="X16418" s="33" t="n"/>
    </row>
    <row r="16420" ht="14.25" customHeight="1" s="192">
      <c r="W16420" s="231" t="n"/>
      <c r="X16420" s="231" t="n"/>
    </row>
    <row r="16421" ht="14.25" customHeight="1" s="192">
      <c r="W16421" s="235" t="n"/>
      <c r="X16421" s="235" t="n"/>
    </row>
    <row r="16422" ht="14.25" customHeight="1" s="192">
      <c r="W16422" s="228" t="n"/>
      <c r="X16422" s="228" t="n"/>
    </row>
    <row r="16423" ht="14.25" customHeight="1" s="192">
      <c r="W16423" s="235" t="n"/>
      <c r="X16423" s="235" t="n"/>
    </row>
    <row r="16424" ht="14.25" customHeight="1" s="192">
      <c r="W16424" s="235" t="n"/>
      <c r="X16424" s="235" t="n"/>
    </row>
    <row r="16425" ht="14.25" customHeight="1" s="192">
      <c r="W16425" s="235" t="n"/>
      <c r="X16425" s="235" t="n"/>
    </row>
    <row r="16426" ht="14.25" customHeight="1" s="192">
      <c r="W16426" s="239" t="n"/>
      <c r="X16426" s="239" t="n"/>
    </row>
    <row r="16427" ht="14.25" customHeight="1" s="192">
      <c r="W16427" s="239" t="n"/>
      <c r="X16427" s="239" t="n"/>
    </row>
    <row r="16428" ht="14.25" customHeight="1" s="192">
      <c r="W16428" s="239" t="n"/>
      <c r="X16428" s="239" t="n"/>
    </row>
    <row r="16429" ht="14.25" customHeight="1" s="192">
      <c r="W16429" s="235" t="n"/>
      <c r="X16429" s="235" t="n"/>
    </row>
    <row r="16430" ht="14.25" customHeight="1" s="192">
      <c r="W16430" s="235" t="n"/>
      <c r="X16430" s="235" t="n"/>
    </row>
    <row r="16431" ht="14.25" customHeight="1" s="192">
      <c r="W16431" s="235" t="n"/>
      <c r="X16431" s="235" t="n"/>
    </row>
    <row r="16432" ht="14.25" customHeight="1" s="192">
      <c r="W16432" s="239" t="n"/>
      <c r="X16432" s="239" t="n"/>
    </row>
    <row r="16433" ht="14.25" customHeight="1" s="192">
      <c r="W16433" s="239" t="n"/>
      <c r="X16433" s="239" t="n"/>
    </row>
    <row r="16434" ht="14.25" customHeight="1" s="192">
      <c r="W16434" s="235" t="n"/>
      <c r="X16434" s="235" t="n"/>
    </row>
    <row r="16435" ht="14.25" customHeight="1" s="192">
      <c r="W16435" s="235" t="n"/>
      <c r="X16435" s="235" t="n"/>
    </row>
    <row r="16436" ht="14.25" customHeight="1" s="192">
      <c r="W16436" s="239" t="n"/>
      <c r="X16436" s="239" t="n"/>
    </row>
    <row r="16437" ht="14.25" customHeight="1" s="192">
      <c r="W16437" s="235" t="n"/>
      <c r="X16437" s="235" t="n"/>
    </row>
    <row r="16438" ht="14.25" customHeight="1" s="192">
      <c r="W16438" s="239" t="n"/>
      <c r="X16438" s="239" t="n"/>
    </row>
    <row r="16440" ht="14.25" customHeight="1" s="192">
      <c r="W16440" s="235" t="n"/>
      <c r="X16440" s="235" t="n"/>
    </row>
    <row r="16441" ht="15" customHeight="1" s="192" thickBot="1">
      <c r="W16441" s="239" t="n"/>
      <c r="X16441" s="239" t="n"/>
    </row>
    <row r="16442" ht="15" customHeight="1" s="192" thickBot="1">
      <c r="W16442" s="45" t="n"/>
      <c r="X16442" s="45" t="n"/>
    </row>
    <row r="16443" ht="14.25" customHeight="1" s="192">
      <c r="W16443" s="228" t="n"/>
      <c r="X16443" s="228" t="n"/>
    </row>
    <row r="16444" ht="14.25" customHeight="1" s="192">
      <c r="W16444" s="228" t="n"/>
      <c r="X16444" s="228" t="n"/>
    </row>
    <row r="16445" ht="14.25" customHeight="1" s="192">
      <c r="W16445" s="231" t="n"/>
      <c r="X16445" s="231" t="n"/>
    </row>
    <row r="16446" ht="14.25" customHeight="1" s="192">
      <c r="W16446" s="33" t="n"/>
      <c r="X16446" s="33" t="n"/>
    </row>
    <row r="16447" ht="14.25" customHeight="1" s="192">
      <c r="W16447" s="231" t="n"/>
      <c r="X16447" s="231" t="n"/>
    </row>
    <row r="16448" ht="14.25" customHeight="1" s="192">
      <c r="W16448" s="33" t="n"/>
      <c r="X16448" s="33" t="n"/>
    </row>
    <row r="16450" ht="14.25" customHeight="1" s="192">
      <c r="W16450" s="231" t="n"/>
      <c r="X16450" s="231" t="n"/>
    </row>
    <row r="16451" ht="14.25" customHeight="1" s="192">
      <c r="W16451" s="235" t="n"/>
      <c r="X16451" s="235" t="n"/>
    </row>
    <row r="16452" ht="14.25" customHeight="1" s="192">
      <c r="W16452" s="228" t="n"/>
      <c r="X16452" s="228" t="n"/>
    </row>
    <row r="16453" ht="14.25" customHeight="1" s="192">
      <c r="W16453" s="235" t="n"/>
      <c r="X16453" s="235" t="n"/>
    </row>
    <row r="16454" ht="14.25" customHeight="1" s="192">
      <c r="W16454" s="235" t="n"/>
      <c r="X16454" s="235" t="n"/>
    </row>
    <row r="16455" ht="14.25" customHeight="1" s="192">
      <c r="W16455" s="235" t="n"/>
      <c r="X16455" s="235" t="n"/>
    </row>
    <row r="16456" ht="14.25" customHeight="1" s="192">
      <c r="W16456" s="239" t="n"/>
      <c r="X16456" s="239" t="n"/>
    </row>
    <row r="16457" ht="14.25" customHeight="1" s="192">
      <c r="W16457" s="239" t="n"/>
      <c r="X16457" s="239" t="n"/>
    </row>
    <row r="16458" ht="14.25" customHeight="1" s="192">
      <c r="W16458" s="239" t="n"/>
      <c r="X16458" s="239" t="n"/>
    </row>
    <row r="16459" ht="14.25" customHeight="1" s="192">
      <c r="W16459" s="235" t="n"/>
      <c r="X16459" s="235" t="n"/>
    </row>
    <row r="16460" ht="14.25" customHeight="1" s="192">
      <c r="W16460" s="235" t="n"/>
      <c r="X16460" s="235" t="n"/>
    </row>
    <row r="16461" ht="14.25" customHeight="1" s="192">
      <c r="W16461" s="235" t="n"/>
      <c r="X16461" s="235" t="n"/>
    </row>
    <row r="16462" ht="14.25" customHeight="1" s="192">
      <c r="W16462" s="239" t="n"/>
      <c r="X16462" s="239" t="n"/>
    </row>
    <row r="16463" ht="14.25" customHeight="1" s="192">
      <c r="W16463" s="239" t="n"/>
      <c r="X16463" s="239" t="n"/>
    </row>
    <row r="16464" ht="14.25" customHeight="1" s="192">
      <c r="W16464" s="235" t="n"/>
      <c r="X16464" s="235" t="n"/>
    </row>
    <row r="16465" ht="14.25" customHeight="1" s="192">
      <c r="W16465" s="235" t="n"/>
      <c r="X16465" s="235" t="n"/>
    </row>
    <row r="16466" ht="14.25" customHeight="1" s="192">
      <c r="W16466" s="239" t="n"/>
      <c r="X16466" s="239" t="n"/>
    </row>
    <row r="16467" ht="14.25" customHeight="1" s="192">
      <c r="W16467" s="235" t="n"/>
      <c r="X16467" s="235" t="n"/>
    </row>
    <row r="16468" ht="14.25" customHeight="1" s="192">
      <c r="W16468" s="239" t="n"/>
      <c r="X16468" s="239" t="n"/>
    </row>
    <row r="16470" ht="14.25" customHeight="1" s="192">
      <c r="W16470" s="235" t="n"/>
      <c r="X16470" s="235" t="n"/>
    </row>
    <row r="16471" ht="15" customHeight="1" s="192" thickBot="1">
      <c r="W16471" s="239" t="n"/>
      <c r="X16471" s="239" t="n"/>
    </row>
    <row r="16472" ht="15" customHeight="1" s="192" thickBot="1">
      <c r="W16472" s="45" t="n"/>
      <c r="X16472" s="45" t="n"/>
    </row>
    <row r="16473" ht="14.25" customHeight="1" s="192">
      <c r="W16473" s="228" t="n"/>
      <c r="X16473" s="228" t="n"/>
    </row>
    <row r="16474" ht="14.25" customHeight="1" s="192">
      <c r="W16474" s="228" t="n"/>
      <c r="X16474" s="228" t="n"/>
    </row>
    <row r="16475" ht="14.25" customHeight="1" s="192">
      <c r="W16475" s="231" t="n"/>
      <c r="X16475" s="231" t="n"/>
    </row>
    <row r="16476" ht="14.25" customHeight="1" s="192">
      <c r="W16476" s="33" t="n"/>
      <c r="X16476" s="33" t="n"/>
    </row>
    <row r="16477" ht="14.25" customHeight="1" s="192">
      <c r="W16477" s="231" t="n"/>
      <c r="X16477" s="231" t="n"/>
    </row>
    <row r="16478" ht="14.25" customHeight="1" s="192">
      <c r="W16478" s="33" t="n"/>
      <c r="X16478" s="33" t="n"/>
    </row>
    <row r="16480" ht="14.25" customHeight="1" s="192">
      <c r="W16480" s="231" t="n"/>
      <c r="X16480" s="231" t="n"/>
    </row>
    <row r="16481" ht="14.25" customHeight="1" s="192">
      <c r="W16481" s="235" t="n"/>
      <c r="X16481" s="235" t="n"/>
    </row>
    <row r="16482" ht="14.25" customHeight="1" s="192">
      <c r="W16482" s="228" t="n"/>
      <c r="X16482" s="228" t="n"/>
    </row>
    <row r="16483" ht="14.25" customHeight="1" s="192">
      <c r="W16483" s="235" t="n"/>
      <c r="X16483" s="235" t="n"/>
    </row>
    <row r="16484" ht="14.25" customHeight="1" s="192">
      <c r="W16484" s="235" t="n"/>
      <c r="X16484" s="235" t="n"/>
    </row>
    <row r="16485" ht="14.25" customHeight="1" s="192">
      <c r="W16485" s="235" t="n"/>
      <c r="X16485" s="235" t="n"/>
    </row>
    <row r="16486" ht="14.25" customHeight="1" s="192">
      <c r="W16486" s="239" t="n"/>
      <c r="X16486" s="239" t="n"/>
    </row>
    <row r="16487" ht="14.25" customHeight="1" s="192">
      <c r="W16487" s="239" t="n"/>
      <c r="X16487" s="239" t="n"/>
    </row>
    <row r="16488" ht="14.25" customHeight="1" s="192">
      <c r="W16488" s="239" t="n"/>
      <c r="X16488" s="239" t="n"/>
    </row>
    <row r="16489" ht="14.25" customHeight="1" s="192">
      <c r="W16489" s="235" t="n"/>
      <c r="X16489" s="235" t="n"/>
    </row>
    <row r="16490" ht="14.25" customHeight="1" s="192">
      <c r="W16490" s="235" t="n"/>
      <c r="X16490" s="235" t="n"/>
    </row>
    <row r="16491" ht="14.25" customHeight="1" s="192">
      <c r="W16491" s="235" t="n"/>
      <c r="X16491" s="235" t="n"/>
    </row>
    <row r="16492" ht="14.25" customHeight="1" s="192">
      <c r="W16492" s="239" t="n"/>
      <c r="X16492" s="239" t="n"/>
    </row>
    <row r="16493" ht="14.25" customHeight="1" s="192">
      <c r="W16493" s="239" t="n"/>
      <c r="X16493" s="239" t="n"/>
    </row>
    <row r="16494" ht="14.25" customHeight="1" s="192">
      <c r="W16494" s="235" t="n"/>
      <c r="X16494" s="235" t="n"/>
    </row>
    <row r="16495" ht="14.25" customHeight="1" s="192">
      <c r="W16495" s="235" t="n"/>
      <c r="X16495" s="235" t="n"/>
    </row>
    <row r="16496" ht="14.25" customHeight="1" s="192">
      <c r="W16496" s="239" t="n"/>
      <c r="X16496" s="239" t="n"/>
    </row>
    <row r="16497" ht="14.25" customHeight="1" s="192">
      <c r="W16497" s="235" t="n"/>
      <c r="X16497" s="235" t="n"/>
    </row>
    <row r="16498" ht="14.25" customHeight="1" s="192">
      <c r="W16498" s="239" t="n"/>
      <c r="X16498" s="239" t="n"/>
    </row>
    <row r="16500" ht="14.25" customHeight="1" s="192">
      <c r="W16500" s="235" t="n"/>
      <c r="X16500" s="235" t="n"/>
    </row>
    <row r="16501" ht="15" customHeight="1" s="192" thickBot="1">
      <c r="W16501" s="239" t="n"/>
      <c r="X16501" s="239" t="n"/>
    </row>
    <row r="16502" ht="15" customHeight="1" s="192" thickBot="1">
      <c r="W16502" s="45" t="n"/>
      <c r="X16502" s="45" t="n"/>
    </row>
    <row r="16503" ht="14.25" customHeight="1" s="192">
      <c r="W16503" s="228" t="n"/>
      <c r="X16503" s="228" t="n"/>
    </row>
    <row r="16504" ht="14.25" customHeight="1" s="192">
      <c r="W16504" s="228" t="n"/>
      <c r="X16504" s="228" t="n"/>
    </row>
    <row r="16505" ht="14.25" customHeight="1" s="192">
      <c r="W16505" s="231" t="n"/>
      <c r="X16505" s="231" t="n"/>
    </row>
    <row r="16506" ht="14.25" customHeight="1" s="192">
      <c r="W16506" s="33" t="n"/>
      <c r="X16506" s="33" t="n"/>
    </row>
    <row r="16507" ht="14.25" customHeight="1" s="192">
      <c r="W16507" s="231" t="n"/>
      <c r="X16507" s="231" t="n"/>
    </row>
    <row r="16508" ht="14.25" customHeight="1" s="192">
      <c r="W16508" s="33" t="n"/>
      <c r="X16508" s="33" t="n"/>
    </row>
    <row r="16510" ht="14.25" customHeight="1" s="192">
      <c r="W16510" s="231" t="n"/>
      <c r="X16510" s="231" t="n"/>
    </row>
    <row r="16511" ht="14.25" customHeight="1" s="192">
      <c r="W16511" s="235" t="n"/>
      <c r="X16511" s="235" t="n"/>
    </row>
    <row r="16512" ht="14.25" customHeight="1" s="192">
      <c r="W16512" s="228" t="n"/>
      <c r="X16512" s="228" t="n"/>
    </row>
    <row r="16513" ht="14.25" customHeight="1" s="192">
      <c r="W16513" s="235" t="n"/>
      <c r="X16513" s="235" t="n"/>
    </row>
    <row r="16514" ht="14.25" customHeight="1" s="192">
      <c r="W16514" s="235" t="n"/>
      <c r="X16514" s="235" t="n"/>
    </row>
    <row r="16515" ht="14.25" customHeight="1" s="192">
      <c r="W16515" s="235" t="n"/>
      <c r="X16515" s="235" t="n"/>
    </row>
    <row r="16516" ht="14.25" customHeight="1" s="192">
      <c r="W16516" s="239" t="n"/>
      <c r="X16516" s="239" t="n"/>
    </row>
    <row r="16517" ht="14.25" customHeight="1" s="192">
      <c r="W16517" s="239" t="n"/>
      <c r="X16517" s="239" t="n"/>
    </row>
    <row r="16518" ht="14.25" customHeight="1" s="192">
      <c r="W16518" s="239" t="n"/>
      <c r="X16518" s="239" t="n"/>
    </row>
    <row r="16519" ht="14.25" customHeight="1" s="192">
      <c r="W16519" s="235" t="n"/>
      <c r="X16519" s="235" t="n"/>
    </row>
    <row r="16520" ht="14.25" customHeight="1" s="192">
      <c r="W16520" s="235" t="n"/>
      <c r="X16520" s="235" t="n"/>
    </row>
    <row r="16521" ht="14.25" customHeight="1" s="192">
      <c r="W16521" s="235" t="n"/>
      <c r="X16521" s="235" t="n"/>
    </row>
    <row r="16522" ht="14.25" customHeight="1" s="192">
      <c r="W16522" s="239" t="n"/>
      <c r="X16522" s="239" t="n"/>
    </row>
    <row r="16523" ht="14.25" customHeight="1" s="192">
      <c r="W16523" s="239" t="n"/>
      <c r="X16523" s="239" t="n"/>
    </row>
    <row r="16524" ht="14.25" customHeight="1" s="192">
      <c r="W16524" s="235" t="n"/>
      <c r="X16524" s="235" t="n"/>
    </row>
    <row r="16525" ht="14.25" customHeight="1" s="192">
      <c r="W16525" s="235" t="n"/>
      <c r="X16525" s="235" t="n"/>
    </row>
    <row r="16526" ht="14.25" customHeight="1" s="192">
      <c r="W16526" s="239" t="n"/>
      <c r="X16526" s="239" t="n"/>
    </row>
    <row r="16527" ht="14.25" customHeight="1" s="192">
      <c r="W16527" s="235" t="n"/>
      <c r="X16527" s="235" t="n"/>
    </row>
    <row r="16528" ht="14.25" customHeight="1" s="192">
      <c r="W16528" s="239" t="n"/>
      <c r="X16528" s="239" t="n"/>
    </row>
    <row r="16530" ht="14.25" customHeight="1" s="192">
      <c r="W16530" s="235" t="n"/>
      <c r="X16530" s="235" t="n"/>
    </row>
    <row r="16531" ht="15" customHeight="1" s="192" thickBot="1">
      <c r="W16531" s="239" t="n"/>
      <c r="X16531" s="239" t="n"/>
    </row>
    <row r="16532" ht="15" customHeight="1" s="192" thickBot="1">
      <c r="W16532" s="45" t="n"/>
      <c r="X16532" s="45" t="n"/>
    </row>
    <row r="16533" ht="14.25" customHeight="1" s="192">
      <c r="W16533" s="228" t="n"/>
      <c r="X16533" s="228" t="n"/>
    </row>
    <row r="16534" ht="14.25" customHeight="1" s="192">
      <c r="W16534" s="228" t="n"/>
      <c r="X16534" s="228" t="n"/>
    </row>
    <row r="16535" ht="14.25" customHeight="1" s="192">
      <c r="W16535" s="231" t="n"/>
      <c r="X16535" s="231" t="n"/>
    </row>
    <row r="16536" ht="14.25" customHeight="1" s="192">
      <c r="W16536" s="33" t="n"/>
      <c r="X16536" s="33" t="n"/>
    </row>
    <row r="16537" ht="14.25" customHeight="1" s="192">
      <c r="W16537" s="231" t="n"/>
      <c r="X16537" s="231" t="n"/>
    </row>
    <row r="16538" ht="14.25" customHeight="1" s="192">
      <c r="W16538" s="33" t="n"/>
      <c r="X16538" s="33" t="n"/>
    </row>
    <row r="16540" ht="14.25" customHeight="1" s="192">
      <c r="W16540" s="231" t="n"/>
      <c r="X16540" s="231" t="n"/>
    </row>
    <row r="16541" ht="14.25" customHeight="1" s="192">
      <c r="W16541" s="235" t="n"/>
      <c r="X16541" s="235" t="n"/>
    </row>
    <row r="16542" ht="14.25" customHeight="1" s="192">
      <c r="W16542" s="228" t="n"/>
      <c r="X16542" s="228" t="n"/>
    </row>
    <row r="16543" ht="14.25" customHeight="1" s="192">
      <c r="W16543" s="235" t="n"/>
      <c r="X16543" s="235" t="n"/>
    </row>
    <row r="16544" ht="14.25" customHeight="1" s="192">
      <c r="W16544" s="235" t="n"/>
      <c r="X16544" s="235" t="n"/>
    </row>
    <row r="16545" ht="14.25" customHeight="1" s="192">
      <c r="W16545" s="235" t="n"/>
      <c r="X16545" s="235" t="n"/>
    </row>
    <row r="16546" ht="14.25" customHeight="1" s="192">
      <c r="W16546" s="239" t="n"/>
      <c r="X16546" s="239" t="n"/>
    </row>
    <row r="16547" ht="14.25" customHeight="1" s="192">
      <c r="W16547" s="239" t="n"/>
      <c r="X16547" s="239" t="n"/>
    </row>
    <row r="16548" ht="14.25" customHeight="1" s="192">
      <c r="W16548" s="239" t="n"/>
      <c r="X16548" s="239" t="n"/>
    </row>
    <row r="16549" ht="14.25" customHeight="1" s="192">
      <c r="W16549" s="235" t="n"/>
      <c r="X16549" s="235" t="n"/>
    </row>
    <row r="16550" ht="14.25" customHeight="1" s="192">
      <c r="W16550" s="235" t="n"/>
      <c r="X16550" s="235" t="n"/>
    </row>
    <row r="16551" ht="14.25" customHeight="1" s="192">
      <c r="W16551" s="235" t="n"/>
      <c r="X16551" s="235" t="n"/>
    </row>
    <row r="16552" ht="14.25" customHeight="1" s="192">
      <c r="W16552" s="239" t="n"/>
      <c r="X16552" s="239" t="n"/>
    </row>
    <row r="16553" ht="14.25" customHeight="1" s="192">
      <c r="W16553" s="239" t="n"/>
      <c r="X16553" s="239" t="n"/>
    </row>
    <row r="16554" ht="14.25" customHeight="1" s="192">
      <c r="W16554" s="235" t="n"/>
      <c r="X16554" s="235" t="n"/>
    </row>
    <row r="16555" ht="14.25" customHeight="1" s="192">
      <c r="W16555" s="235" t="n"/>
      <c r="X16555" s="235" t="n"/>
    </row>
    <row r="16556" ht="14.25" customHeight="1" s="192">
      <c r="W16556" s="239" t="n"/>
      <c r="X16556" s="239" t="n"/>
    </row>
    <row r="16557" ht="14.25" customHeight="1" s="192">
      <c r="W16557" s="235" t="n"/>
      <c r="X16557" s="235" t="n"/>
    </row>
    <row r="16558" ht="14.25" customHeight="1" s="192">
      <c r="W16558" s="239" t="n"/>
      <c r="X16558" s="239" t="n"/>
    </row>
    <row r="16560" ht="14.25" customHeight="1" s="192">
      <c r="W16560" s="235" t="n"/>
      <c r="X16560" s="235" t="n"/>
    </row>
    <row r="16561" ht="15" customHeight="1" s="192" thickBot="1">
      <c r="W16561" s="239" t="n"/>
      <c r="X16561" s="239" t="n"/>
    </row>
    <row r="16562" ht="15" customHeight="1" s="192" thickBot="1">
      <c r="W16562" s="45" t="n"/>
      <c r="X16562" s="45" t="n"/>
    </row>
    <row r="16563" ht="14.25" customHeight="1" s="192">
      <c r="W16563" s="228" t="n"/>
      <c r="X16563" s="228" t="n"/>
    </row>
    <row r="16564" ht="14.25" customHeight="1" s="192">
      <c r="W16564" s="228" t="n"/>
      <c r="X16564" s="228" t="n"/>
    </row>
    <row r="16565" ht="14.25" customHeight="1" s="192">
      <c r="W16565" s="231" t="n"/>
      <c r="X16565" s="231" t="n"/>
    </row>
    <row r="16566" ht="14.25" customHeight="1" s="192">
      <c r="W16566" s="33" t="n"/>
      <c r="X16566" s="33" t="n"/>
    </row>
    <row r="16567" ht="14.25" customHeight="1" s="192">
      <c r="W16567" s="231" t="n"/>
      <c r="X16567" s="231" t="n"/>
    </row>
    <row r="16568" ht="14.25" customHeight="1" s="192">
      <c r="W16568" s="33" t="n"/>
      <c r="X16568" s="33" t="n"/>
    </row>
    <row r="16570" ht="14.25" customHeight="1" s="192">
      <c r="W16570" s="231" t="n"/>
      <c r="X16570" s="231" t="n"/>
    </row>
    <row r="16571" ht="14.25" customHeight="1" s="192">
      <c r="W16571" s="235" t="n"/>
      <c r="X16571" s="235" t="n"/>
    </row>
    <row r="16572" ht="14.25" customHeight="1" s="192">
      <c r="W16572" s="228" t="n"/>
      <c r="X16572" s="228" t="n"/>
    </row>
    <row r="16573" ht="14.25" customHeight="1" s="192">
      <c r="W16573" s="235" t="n"/>
      <c r="X16573" s="235" t="n"/>
    </row>
    <row r="16574" ht="14.25" customHeight="1" s="192">
      <c r="W16574" s="235" t="n"/>
      <c r="X16574" s="235" t="n"/>
    </row>
    <row r="16575" ht="14.25" customHeight="1" s="192">
      <c r="W16575" s="235" t="n"/>
      <c r="X16575" s="235" t="n"/>
    </row>
    <row r="16576" ht="14.25" customHeight="1" s="192">
      <c r="W16576" s="239" t="n"/>
      <c r="X16576" s="239" t="n"/>
    </row>
    <row r="16577" ht="14.25" customHeight="1" s="192">
      <c r="W16577" s="239" t="n"/>
      <c r="X16577" s="239" t="n"/>
    </row>
    <row r="16578" ht="14.25" customHeight="1" s="192">
      <c r="W16578" s="239" t="n"/>
      <c r="X16578" s="239" t="n"/>
    </row>
    <row r="16579" ht="14.25" customHeight="1" s="192">
      <c r="W16579" s="235" t="n"/>
      <c r="X16579" s="235" t="n"/>
    </row>
    <row r="16580" ht="14.25" customHeight="1" s="192">
      <c r="W16580" s="235" t="n"/>
      <c r="X16580" s="235" t="n"/>
    </row>
    <row r="16581" ht="14.25" customHeight="1" s="192">
      <c r="W16581" s="235" t="n"/>
      <c r="X16581" s="235" t="n"/>
    </row>
    <row r="16582" ht="14.25" customHeight="1" s="192">
      <c r="W16582" s="239" t="n"/>
      <c r="X16582" s="239" t="n"/>
    </row>
    <row r="16583" ht="14.25" customHeight="1" s="192">
      <c r="W16583" s="239" t="n"/>
      <c r="X16583" s="239" t="n"/>
    </row>
    <row r="16584" ht="14.25" customHeight="1" s="192">
      <c r="W16584" s="235" t="n"/>
      <c r="X16584" s="235" t="n"/>
    </row>
    <row r="16585" ht="14.25" customHeight="1" s="192">
      <c r="W16585" s="235" t="n"/>
      <c r="X16585" s="235" t="n"/>
    </row>
    <row r="16586" ht="14.25" customHeight="1" s="192">
      <c r="W16586" s="239" t="n"/>
      <c r="X16586" s="239" t="n"/>
    </row>
    <row r="16587" ht="14.25" customHeight="1" s="192">
      <c r="W16587" s="235" t="n"/>
      <c r="X16587" s="235" t="n"/>
    </row>
    <row r="16588" ht="14.25" customHeight="1" s="192">
      <c r="W16588" s="239" t="n"/>
      <c r="X16588" s="239" t="n"/>
    </row>
    <row r="16590" ht="14.25" customHeight="1" s="192">
      <c r="W16590" s="235" t="n"/>
      <c r="X16590" s="235" t="n"/>
    </row>
    <row r="16591" ht="15" customHeight="1" s="192" thickBot="1">
      <c r="W16591" s="239" t="n"/>
      <c r="X16591" s="239" t="n"/>
    </row>
    <row r="16592" ht="15" customHeight="1" s="192" thickBot="1">
      <c r="W16592" s="45" t="n"/>
      <c r="X16592" s="45" t="n"/>
    </row>
    <row r="16593" ht="14.25" customHeight="1" s="192">
      <c r="W16593" s="228" t="n"/>
      <c r="X16593" s="228" t="n"/>
    </row>
    <row r="16594" ht="14.25" customHeight="1" s="192">
      <c r="W16594" s="228" t="n"/>
      <c r="X16594" s="228" t="n"/>
    </row>
    <row r="16595" ht="14.25" customHeight="1" s="192">
      <c r="W16595" s="231" t="n"/>
      <c r="X16595" s="231" t="n"/>
    </row>
    <row r="16596" ht="14.25" customHeight="1" s="192">
      <c r="W16596" s="33" t="n"/>
      <c r="X16596" s="33" t="n"/>
    </row>
    <row r="16597" ht="14.25" customHeight="1" s="192">
      <c r="W16597" s="231" t="n"/>
      <c r="X16597" s="231" t="n"/>
    </row>
    <row r="16598" ht="14.25" customHeight="1" s="192">
      <c r="W16598" s="33" t="n"/>
      <c r="X16598" s="33" t="n"/>
    </row>
    <row r="16600" ht="14.25" customHeight="1" s="192">
      <c r="W16600" s="231" t="n"/>
      <c r="X16600" s="231" t="n"/>
    </row>
    <row r="16601" ht="14.25" customHeight="1" s="192">
      <c r="W16601" s="235" t="n"/>
      <c r="X16601" s="235" t="n"/>
    </row>
    <row r="16602" ht="14.25" customHeight="1" s="192">
      <c r="W16602" s="228" t="n"/>
      <c r="X16602" s="228" t="n"/>
    </row>
    <row r="16603" ht="14.25" customHeight="1" s="192">
      <c r="W16603" s="235" t="n"/>
      <c r="X16603" s="235" t="n"/>
    </row>
    <row r="16604" ht="14.25" customHeight="1" s="192">
      <c r="W16604" s="235" t="n"/>
      <c r="X16604" s="235" t="n"/>
    </row>
    <row r="16605" ht="14.25" customHeight="1" s="192">
      <c r="W16605" s="235" t="n"/>
      <c r="X16605" s="235" t="n"/>
    </row>
    <row r="16606" ht="14.25" customHeight="1" s="192">
      <c r="W16606" s="239" t="n"/>
      <c r="X16606" s="239" t="n"/>
    </row>
    <row r="16607" ht="14.25" customHeight="1" s="192">
      <c r="W16607" s="239" t="n"/>
      <c r="X16607" s="239" t="n"/>
    </row>
    <row r="16608" ht="14.25" customHeight="1" s="192">
      <c r="W16608" s="239" t="n"/>
      <c r="X16608" s="239" t="n"/>
    </row>
    <row r="16609" ht="14.25" customHeight="1" s="192">
      <c r="W16609" s="235" t="n"/>
      <c r="X16609" s="235" t="n"/>
    </row>
    <row r="16610" ht="14.25" customHeight="1" s="192">
      <c r="W16610" s="235" t="n"/>
      <c r="X16610" s="235" t="n"/>
    </row>
    <row r="16611" ht="14.25" customHeight="1" s="192">
      <c r="W16611" s="235" t="n"/>
      <c r="X16611" s="235" t="n"/>
    </row>
    <row r="16612" ht="14.25" customHeight="1" s="192">
      <c r="W16612" s="239" t="n"/>
      <c r="X16612" s="239" t="n"/>
    </row>
    <row r="16613" ht="14.25" customHeight="1" s="192">
      <c r="W16613" s="239" t="n"/>
      <c r="X16613" s="239" t="n"/>
    </row>
    <row r="16614" ht="14.25" customHeight="1" s="192">
      <c r="W16614" s="235" t="n"/>
      <c r="X16614" s="235" t="n"/>
    </row>
    <row r="16615" ht="14.25" customHeight="1" s="192">
      <c r="W16615" s="235" t="n"/>
      <c r="X16615" s="235" t="n"/>
    </row>
    <row r="16616" ht="14.25" customHeight="1" s="192">
      <c r="W16616" s="239" t="n"/>
      <c r="X16616" s="239" t="n"/>
    </row>
    <row r="16617" ht="14.25" customHeight="1" s="192">
      <c r="W16617" s="235" t="n"/>
      <c r="X16617" s="235" t="n"/>
    </row>
    <row r="16618" ht="14.25" customHeight="1" s="192">
      <c r="W16618" s="239" t="n"/>
      <c r="X16618" s="239" t="n"/>
    </row>
    <row r="16620" ht="14.25" customHeight="1" s="192">
      <c r="W16620" s="235" t="n"/>
      <c r="X16620" s="235" t="n"/>
    </row>
    <row r="16621" ht="15" customHeight="1" s="192" thickBot="1">
      <c r="W16621" s="239" t="n"/>
      <c r="X16621" s="239" t="n"/>
    </row>
    <row r="16622" ht="15" customHeight="1" s="192" thickBot="1">
      <c r="W16622" s="45" t="n"/>
      <c r="X16622" s="45" t="n"/>
    </row>
    <row r="16623" ht="14.25" customHeight="1" s="192">
      <c r="W16623" s="228" t="n"/>
      <c r="X16623" s="228" t="n"/>
    </row>
    <row r="16624" ht="14.25" customHeight="1" s="192">
      <c r="W16624" s="228" t="n"/>
      <c r="X16624" s="228" t="n"/>
    </row>
    <row r="16625" ht="14.25" customHeight="1" s="192">
      <c r="W16625" s="231" t="n"/>
      <c r="X16625" s="231" t="n"/>
    </row>
    <row r="16626" ht="14.25" customHeight="1" s="192">
      <c r="W16626" s="33" t="n"/>
      <c r="X16626" s="33" t="n"/>
    </row>
    <row r="16627" ht="14.25" customHeight="1" s="192">
      <c r="W16627" s="231" t="n"/>
      <c r="X16627" s="231" t="n"/>
    </row>
    <row r="16628" ht="14.25" customHeight="1" s="192">
      <c r="W16628" s="33" t="n"/>
      <c r="X16628" s="33" t="n"/>
    </row>
    <row r="16630" ht="14.25" customHeight="1" s="192">
      <c r="W16630" s="231" t="n"/>
      <c r="X16630" s="231" t="n"/>
    </row>
    <row r="16631" ht="14.25" customHeight="1" s="192">
      <c r="W16631" s="235" t="n"/>
      <c r="X16631" s="235" t="n"/>
    </row>
    <row r="16632" ht="14.25" customHeight="1" s="192">
      <c r="W16632" s="228" t="n"/>
      <c r="X16632" s="228" t="n"/>
    </row>
    <row r="16633" ht="14.25" customHeight="1" s="192">
      <c r="W16633" s="235" t="n"/>
      <c r="X16633" s="235" t="n"/>
    </row>
    <row r="16634" ht="14.25" customHeight="1" s="192">
      <c r="W16634" s="235" t="n"/>
      <c r="X16634" s="235" t="n"/>
    </row>
    <row r="16635" ht="14.25" customHeight="1" s="192">
      <c r="W16635" s="235" t="n"/>
      <c r="X16635" s="235" t="n"/>
    </row>
    <row r="16636" ht="14.25" customHeight="1" s="192">
      <c r="W16636" s="239" t="n"/>
      <c r="X16636" s="239" t="n"/>
    </row>
    <row r="16637" ht="14.25" customHeight="1" s="192">
      <c r="W16637" s="239" t="n"/>
      <c r="X16637" s="239" t="n"/>
    </row>
    <row r="16638" ht="14.25" customHeight="1" s="192">
      <c r="W16638" s="239" t="n"/>
      <c r="X16638" s="239" t="n"/>
    </row>
    <row r="16639" ht="14.25" customHeight="1" s="192">
      <c r="W16639" s="235" t="n"/>
      <c r="X16639" s="235" t="n"/>
    </row>
    <row r="16640" ht="14.25" customHeight="1" s="192">
      <c r="W16640" s="235" t="n"/>
      <c r="X16640" s="235" t="n"/>
    </row>
    <row r="16641" ht="14.25" customHeight="1" s="192">
      <c r="W16641" s="235" t="n"/>
      <c r="X16641" s="235" t="n"/>
    </row>
    <row r="16642" ht="14.25" customHeight="1" s="192">
      <c r="W16642" s="239" t="n"/>
      <c r="X16642" s="239" t="n"/>
    </row>
    <row r="16643" ht="14.25" customHeight="1" s="192">
      <c r="W16643" s="239" t="n"/>
      <c r="X16643" s="239" t="n"/>
    </row>
    <row r="16644" ht="14.25" customHeight="1" s="192">
      <c r="W16644" s="235" t="n"/>
      <c r="X16644" s="235" t="n"/>
    </row>
    <row r="16645" ht="14.25" customHeight="1" s="192">
      <c r="W16645" s="235" t="n"/>
      <c r="X16645" s="235" t="n"/>
    </row>
    <row r="16646" ht="14.25" customHeight="1" s="192">
      <c r="W16646" s="239" t="n"/>
      <c r="X16646" s="239" t="n"/>
    </row>
    <row r="16647" ht="14.25" customHeight="1" s="192">
      <c r="W16647" s="235" t="n"/>
      <c r="X16647" s="235" t="n"/>
    </row>
    <row r="16648" ht="14.25" customHeight="1" s="192">
      <c r="W16648" s="239" t="n"/>
      <c r="X16648" s="239" t="n"/>
    </row>
    <row r="16650" ht="14.25" customHeight="1" s="192">
      <c r="W16650" s="235" t="n"/>
      <c r="X16650" s="235" t="n"/>
    </row>
    <row r="16651" ht="15" customHeight="1" s="192" thickBot="1">
      <c r="W16651" s="239" t="n"/>
      <c r="X16651" s="239" t="n"/>
    </row>
    <row r="16652" ht="15" customHeight="1" s="192" thickBot="1">
      <c r="W16652" s="45" t="n"/>
      <c r="X16652" s="45" t="n"/>
    </row>
    <row r="16653" ht="14.25" customHeight="1" s="192">
      <c r="W16653" s="228" t="n"/>
      <c r="X16653" s="228" t="n"/>
    </row>
    <row r="16654" ht="14.25" customHeight="1" s="192">
      <c r="W16654" s="228" t="n"/>
      <c r="X16654" s="228" t="n"/>
    </row>
    <row r="16655" ht="14.25" customHeight="1" s="192">
      <c r="W16655" s="231" t="n"/>
      <c r="X16655" s="231" t="n"/>
    </row>
    <row r="16656" ht="14.25" customHeight="1" s="192">
      <c r="W16656" s="33" t="n"/>
      <c r="X16656" s="33" t="n"/>
    </row>
    <row r="16657" ht="14.25" customHeight="1" s="192">
      <c r="W16657" s="231" t="n"/>
      <c r="X16657" s="231" t="n"/>
    </row>
    <row r="16658" ht="14.25" customHeight="1" s="192">
      <c r="W16658" s="33" t="n"/>
      <c r="X16658" s="33" t="n"/>
    </row>
    <row r="16660" ht="14.25" customHeight="1" s="192">
      <c r="W16660" s="231" t="n"/>
      <c r="X16660" s="231" t="n"/>
    </row>
    <row r="16661" ht="14.25" customHeight="1" s="192">
      <c r="W16661" s="235" t="n"/>
      <c r="X16661" s="235" t="n"/>
    </row>
    <row r="16662" ht="14.25" customHeight="1" s="192">
      <c r="W16662" s="228" t="n"/>
      <c r="X16662" s="228" t="n"/>
    </row>
    <row r="16663" ht="14.25" customHeight="1" s="192">
      <c r="W16663" s="235" t="n"/>
      <c r="X16663" s="235" t="n"/>
    </row>
    <row r="16664" ht="14.25" customHeight="1" s="192">
      <c r="W16664" s="235" t="n"/>
      <c r="X16664" s="235" t="n"/>
    </row>
    <row r="16665" ht="14.25" customHeight="1" s="192">
      <c r="W16665" s="235" t="n"/>
      <c r="X16665" s="235" t="n"/>
    </row>
    <row r="16666" ht="14.25" customHeight="1" s="192">
      <c r="W16666" s="239" t="n"/>
      <c r="X16666" s="239" t="n"/>
    </row>
    <row r="16667" ht="14.25" customHeight="1" s="192">
      <c r="W16667" s="239" t="n"/>
      <c r="X16667" s="239" t="n"/>
    </row>
    <row r="16668" ht="14.25" customHeight="1" s="192">
      <c r="W16668" s="239" t="n"/>
      <c r="X16668" s="239" t="n"/>
    </row>
    <row r="16669" ht="14.25" customHeight="1" s="192">
      <c r="W16669" s="235" t="n"/>
      <c r="X16669" s="235" t="n"/>
    </row>
    <row r="16670" ht="14.25" customHeight="1" s="192">
      <c r="W16670" s="235" t="n"/>
      <c r="X16670" s="235" t="n"/>
    </row>
    <row r="16671" ht="14.25" customHeight="1" s="192">
      <c r="W16671" s="235" t="n"/>
      <c r="X16671" s="235" t="n"/>
    </row>
    <row r="16672" ht="14.25" customHeight="1" s="192">
      <c r="W16672" s="239" t="n"/>
      <c r="X16672" s="239" t="n"/>
    </row>
    <row r="16673" ht="14.25" customHeight="1" s="192">
      <c r="W16673" s="239" t="n"/>
      <c r="X16673" s="239" t="n"/>
    </row>
    <row r="16674" ht="14.25" customHeight="1" s="192">
      <c r="W16674" s="235" t="n"/>
      <c r="X16674" s="235" t="n"/>
    </row>
    <row r="16675" ht="14.25" customHeight="1" s="192">
      <c r="W16675" s="235" t="n"/>
      <c r="X16675" s="235" t="n"/>
    </row>
    <row r="16676" ht="14.25" customHeight="1" s="192">
      <c r="W16676" s="239" t="n"/>
      <c r="X16676" s="239" t="n"/>
    </row>
    <row r="16677" ht="14.25" customHeight="1" s="192">
      <c r="W16677" s="235" t="n"/>
      <c r="X16677" s="235" t="n"/>
    </row>
    <row r="16678" ht="14.25" customHeight="1" s="192">
      <c r="W16678" s="239" t="n"/>
      <c r="X16678" s="239" t="n"/>
    </row>
    <row r="16680" ht="14.25" customHeight="1" s="192">
      <c r="W16680" s="235" t="n"/>
      <c r="X16680" s="235" t="n"/>
    </row>
    <row r="16681" ht="15" customHeight="1" s="192" thickBot="1">
      <c r="W16681" s="239" t="n"/>
      <c r="X16681" s="239" t="n"/>
    </row>
    <row r="16682" ht="15" customHeight="1" s="192" thickBot="1">
      <c r="W16682" s="45" t="n"/>
      <c r="X16682" s="45" t="n"/>
    </row>
    <row r="16683" ht="14.25" customHeight="1" s="192">
      <c r="W16683" s="228" t="n"/>
      <c r="X16683" s="228" t="n"/>
    </row>
    <row r="16684" ht="14.25" customHeight="1" s="192">
      <c r="W16684" s="228" t="n"/>
      <c r="X16684" s="228" t="n"/>
    </row>
    <row r="16685" ht="14.25" customHeight="1" s="192">
      <c r="W16685" s="231" t="n"/>
      <c r="X16685" s="231" t="n"/>
    </row>
    <row r="16686" ht="14.25" customHeight="1" s="192">
      <c r="W16686" s="33" t="n"/>
      <c r="X16686" s="33" t="n"/>
    </row>
    <row r="16687" ht="14.25" customHeight="1" s="192">
      <c r="W16687" s="231" t="n"/>
      <c r="X16687" s="231" t="n"/>
    </row>
    <row r="16688" ht="14.25" customHeight="1" s="192">
      <c r="W16688" s="33" t="n"/>
      <c r="X16688" s="33" t="n"/>
    </row>
    <row r="16690" ht="14.25" customHeight="1" s="192">
      <c r="W16690" s="231" t="n"/>
      <c r="X16690" s="231" t="n"/>
    </row>
    <row r="16691" ht="14.25" customHeight="1" s="192">
      <c r="W16691" s="235" t="n"/>
      <c r="X16691" s="235" t="n"/>
    </row>
    <row r="16692" ht="14.25" customHeight="1" s="192">
      <c r="W16692" s="228" t="n"/>
      <c r="X16692" s="228" t="n"/>
    </row>
    <row r="16693" ht="14.25" customHeight="1" s="192">
      <c r="W16693" s="235" t="n"/>
      <c r="X16693" s="235" t="n"/>
    </row>
    <row r="16694" ht="14.25" customHeight="1" s="192">
      <c r="W16694" s="235" t="n"/>
      <c r="X16694" s="235" t="n"/>
    </row>
    <row r="16695" ht="14.25" customHeight="1" s="192">
      <c r="W16695" s="235" t="n"/>
      <c r="X16695" s="235" t="n"/>
    </row>
    <row r="16696" ht="14.25" customHeight="1" s="192">
      <c r="W16696" s="239" t="n"/>
      <c r="X16696" s="239" t="n"/>
    </row>
    <row r="16697" ht="14.25" customHeight="1" s="192">
      <c r="W16697" s="239" t="n"/>
      <c r="X16697" s="239" t="n"/>
    </row>
    <row r="16698" ht="14.25" customHeight="1" s="192">
      <c r="W16698" s="239" t="n"/>
      <c r="X16698" s="239" t="n"/>
    </row>
    <row r="16699" ht="14.25" customHeight="1" s="192">
      <c r="W16699" s="235" t="n"/>
      <c r="X16699" s="235" t="n"/>
    </row>
    <row r="16700" ht="14.25" customHeight="1" s="192">
      <c r="W16700" s="235" t="n"/>
      <c r="X16700" s="235" t="n"/>
    </row>
    <row r="16701" ht="14.25" customHeight="1" s="192">
      <c r="W16701" s="235" t="n"/>
      <c r="X16701" s="235" t="n"/>
    </row>
    <row r="16702" ht="14.25" customHeight="1" s="192">
      <c r="W16702" s="239" t="n"/>
      <c r="X16702" s="239" t="n"/>
    </row>
    <row r="16703" ht="14.25" customHeight="1" s="192">
      <c r="W16703" s="239" t="n"/>
      <c r="X16703" s="239" t="n"/>
    </row>
    <row r="16704" ht="14.25" customHeight="1" s="192">
      <c r="W16704" s="235" t="n"/>
      <c r="X16704" s="235" t="n"/>
    </row>
    <row r="16705" ht="14.25" customHeight="1" s="192">
      <c r="W16705" s="235" t="n"/>
      <c r="X16705" s="235" t="n"/>
    </row>
    <row r="16706" ht="14.25" customHeight="1" s="192">
      <c r="W16706" s="239" t="n"/>
      <c r="X16706" s="239" t="n"/>
    </row>
    <row r="16707" ht="14.25" customHeight="1" s="192">
      <c r="W16707" s="235" t="n"/>
      <c r="X16707" s="235" t="n"/>
    </row>
    <row r="16708" ht="14.25" customHeight="1" s="192">
      <c r="W16708" s="239" t="n"/>
      <c r="X16708" s="239" t="n"/>
    </row>
    <row r="16710" ht="14.25" customHeight="1" s="192">
      <c r="W16710" s="235" t="n"/>
      <c r="X16710" s="235" t="n"/>
    </row>
    <row r="16711" ht="15" customHeight="1" s="192" thickBot="1">
      <c r="W16711" s="239" t="n"/>
      <c r="X16711" s="239" t="n"/>
    </row>
    <row r="16712" ht="15" customHeight="1" s="192" thickBot="1">
      <c r="W16712" s="45" t="n"/>
      <c r="X16712" s="45" t="n"/>
    </row>
    <row r="16713" ht="14.25" customHeight="1" s="192">
      <c r="W16713" s="228" t="n"/>
      <c r="X16713" s="228" t="n"/>
    </row>
    <row r="16714" ht="14.25" customHeight="1" s="192">
      <c r="W16714" s="228" t="n"/>
      <c r="X16714" s="228" t="n"/>
    </row>
    <row r="16715" ht="14.25" customHeight="1" s="192">
      <c r="W16715" s="231" t="n"/>
      <c r="X16715" s="231" t="n"/>
    </row>
    <row r="16716" ht="14.25" customHeight="1" s="192">
      <c r="W16716" s="33" t="n"/>
      <c r="X16716" s="33" t="n"/>
    </row>
    <row r="16717" ht="14.25" customHeight="1" s="192">
      <c r="W16717" s="231" t="n"/>
      <c r="X16717" s="231" t="n"/>
    </row>
    <row r="16718" ht="14.25" customHeight="1" s="192">
      <c r="W16718" s="33" t="n"/>
      <c r="X16718" s="33" t="n"/>
    </row>
    <row r="16720" ht="14.25" customHeight="1" s="192">
      <c r="W16720" s="231" t="n"/>
      <c r="X16720" s="231" t="n"/>
    </row>
    <row r="16721" ht="14.25" customHeight="1" s="192">
      <c r="W16721" s="235" t="n"/>
      <c r="X16721" s="235" t="n"/>
    </row>
    <row r="16722" ht="14.25" customHeight="1" s="192">
      <c r="W16722" s="228" t="n"/>
      <c r="X16722" s="228" t="n"/>
    </row>
    <row r="16723" ht="14.25" customHeight="1" s="192">
      <c r="W16723" s="235" t="n"/>
      <c r="X16723" s="235" t="n"/>
    </row>
    <row r="16724" ht="14.25" customHeight="1" s="192">
      <c r="W16724" s="235" t="n"/>
      <c r="X16724" s="235" t="n"/>
    </row>
    <row r="16725" ht="14.25" customHeight="1" s="192">
      <c r="W16725" s="235" t="n"/>
      <c r="X16725" s="235" t="n"/>
    </row>
    <row r="16726" ht="14.25" customHeight="1" s="192">
      <c r="W16726" s="239" t="n"/>
      <c r="X16726" s="239" t="n"/>
    </row>
    <row r="16727" ht="14.25" customHeight="1" s="192">
      <c r="W16727" s="239" t="n"/>
      <c r="X16727" s="239" t="n"/>
    </row>
    <row r="16728" ht="14.25" customHeight="1" s="192">
      <c r="W16728" s="239" t="n"/>
      <c r="X16728" s="239" t="n"/>
    </row>
    <row r="16729" ht="14.25" customHeight="1" s="192">
      <c r="W16729" s="235" t="n"/>
      <c r="X16729" s="235" t="n"/>
    </row>
    <row r="16730" ht="14.25" customHeight="1" s="192">
      <c r="W16730" s="235" t="n"/>
      <c r="X16730" s="235" t="n"/>
    </row>
    <row r="16731" ht="14.25" customHeight="1" s="192">
      <c r="W16731" s="235" t="n"/>
      <c r="X16731" s="235" t="n"/>
    </row>
    <row r="16732" ht="14.25" customHeight="1" s="192">
      <c r="W16732" s="239" t="n"/>
      <c r="X16732" s="239" t="n"/>
    </row>
    <row r="16733" ht="14.25" customHeight="1" s="192">
      <c r="W16733" s="239" t="n"/>
      <c r="X16733" s="239" t="n"/>
    </row>
    <row r="16734" ht="14.25" customHeight="1" s="192">
      <c r="W16734" s="235" t="n"/>
      <c r="X16734" s="235" t="n"/>
    </row>
    <row r="16735" ht="14.25" customHeight="1" s="192">
      <c r="W16735" s="235" t="n"/>
      <c r="X16735" s="235" t="n"/>
    </row>
    <row r="16736" ht="14.25" customHeight="1" s="192">
      <c r="W16736" s="239" t="n"/>
      <c r="X16736" s="239" t="n"/>
    </row>
    <row r="16737" ht="14.25" customHeight="1" s="192">
      <c r="W16737" s="235" t="n"/>
      <c r="X16737" s="235" t="n"/>
    </row>
    <row r="16738" ht="14.25" customHeight="1" s="192">
      <c r="W16738" s="239" t="n"/>
      <c r="X16738" s="239" t="n"/>
    </row>
    <row r="16740" ht="14.25" customHeight="1" s="192">
      <c r="W16740" s="235" t="n"/>
      <c r="X16740" s="235" t="n"/>
    </row>
    <row r="16741" ht="15" customHeight="1" s="192" thickBot="1">
      <c r="W16741" s="239" t="n"/>
      <c r="X16741" s="239" t="n"/>
    </row>
    <row r="16742" ht="15" customHeight="1" s="192" thickBot="1">
      <c r="W16742" s="45" t="n"/>
      <c r="X16742" s="45" t="n"/>
    </row>
    <row r="16743" ht="14.25" customHeight="1" s="192">
      <c r="W16743" s="228" t="n"/>
      <c r="X16743" s="228" t="n"/>
    </row>
    <row r="16744" ht="14.25" customHeight="1" s="192">
      <c r="W16744" s="228" t="n"/>
      <c r="X16744" s="228" t="n"/>
    </row>
    <row r="16745" ht="14.25" customHeight="1" s="192">
      <c r="W16745" s="231" t="n"/>
      <c r="X16745" s="231" t="n"/>
    </row>
    <row r="16746" ht="14.25" customHeight="1" s="192">
      <c r="W16746" s="33" t="n"/>
      <c r="X16746" s="33" t="n"/>
    </row>
    <row r="16747" ht="14.25" customHeight="1" s="192">
      <c r="W16747" s="231" t="n"/>
      <c r="X16747" s="231" t="n"/>
    </row>
    <row r="16748" ht="14.25" customHeight="1" s="192">
      <c r="W16748" s="33" t="n"/>
      <c r="X16748" s="33" t="n"/>
    </row>
    <row r="16750" ht="14.25" customHeight="1" s="192">
      <c r="W16750" s="231" t="n"/>
      <c r="X16750" s="231" t="n"/>
    </row>
    <row r="16751" ht="14.25" customHeight="1" s="192">
      <c r="W16751" s="235" t="n"/>
      <c r="X16751" s="235" t="n"/>
    </row>
    <row r="16752" ht="14.25" customHeight="1" s="192">
      <c r="W16752" s="228" t="n"/>
      <c r="X16752" s="228" t="n"/>
    </row>
    <row r="16753" ht="14.25" customHeight="1" s="192">
      <c r="W16753" s="235" t="n"/>
      <c r="X16753" s="235" t="n"/>
    </row>
    <row r="16754" ht="14.25" customHeight="1" s="192">
      <c r="W16754" s="235" t="n"/>
      <c r="X16754" s="235" t="n"/>
    </row>
    <row r="16755" ht="14.25" customHeight="1" s="192">
      <c r="W16755" s="235" t="n"/>
      <c r="X16755" s="235" t="n"/>
    </row>
    <row r="16756" ht="14.25" customHeight="1" s="192">
      <c r="W16756" s="239" t="n"/>
      <c r="X16756" s="239" t="n"/>
    </row>
    <row r="16757" ht="14.25" customHeight="1" s="192">
      <c r="W16757" s="239" t="n"/>
      <c r="X16757" s="239" t="n"/>
    </row>
    <row r="16758" ht="14.25" customHeight="1" s="192">
      <c r="W16758" s="239" t="n"/>
      <c r="X16758" s="239" t="n"/>
    </row>
    <row r="16759" ht="14.25" customHeight="1" s="192">
      <c r="W16759" s="235" t="n"/>
      <c r="X16759" s="235" t="n"/>
    </row>
    <row r="16760" ht="14.25" customHeight="1" s="192">
      <c r="W16760" s="235" t="n"/>
      <c r="X16760" s="235" t="n"/>
    </row>
    <row r="16761" ht="14.25" customHeight="1" s="192">
      <c r="W16761" s="235" t="n"/>
      <c r="X16761" s="235" t="n"/>
    </row>
    <row r="16762" ht="14.25" customHeight="1" s="192">
      <c r="W16762" s="239" t="n"/>
      <c r="X16762" s="239" t="n"/>
    </row>
    <row r="16763" ht="14.25" customHeight="1" s="192">
      <c r="W16763" s="239" t="n"/>
      <c r="X16763" s="239" t="n"/>
    </row>
    <row r="16764" ht="14.25" customHeight="1" s="192">
      <c r="W16764" s="235" t="n"/>
      <c r="X16764" s="235" t="n"/>
    </row>
    <row r="16765" ht="14.25" customHeight="1" s="192">
      <c r="W16765" s="235" t="n"/>
      <c r="X16765" s="235" t="n"/>
    </row>
    <row r="16766" ht="14.25" customHeight="1" s="192">
      <c r="W16766" s="239" t="n"/>
      <c r="X16766" s="239" t="n"/>
    </row>
    <row r="16767" ht="14.25" customHeight="1" s="192">
      <c r="W16767" s="235" t="n"/>
      <c r="X16767" s="235" t="n"/>
    </row>
    <row r="16768" ht="14.25" customHeight="1" s="192">
      <c r="W16768" s="239" t="n"/>
      <c r="X16768" s="239" t="n"/>
    </row>
    <row r="16770" ht="14.25" customHeight="1" s="192">
      <c r="W16770" s="235" t="n"/>
      <c r="X16770" s="235" t="n"/>
    </row>
    <row r="16771" ht="15" customHeight="1" s="192" thickBot="1">
      <c r="W16771" s="239" t="n"/>
      <c r="X16771" s="239" t="n"/>
    </row>
    <row r="16772" ht="15" customHeight="1" s="192" thickBot="1">
      <c r="W16772" s="45" t="n"/>
      <c r="X16772" s="45" t="n"/>
    </row>
    <row r="16773" ht="14.25" customHeight="1" s="192">
      <c r="W16773" s="228" t="n"/>
      <c r="X16773" s="228" t="n"/>
    </row>
    <row r="16774" ht="14.25" customHeight="1" s="192">
      <c r="W16774" s="228" t="n"/>
      <c r="X16774" s="228" t="n"/>
    </row>
    <row r="16775" ht="14.25" customHeight="1" s="192">
      <c r="W16775" s="231" t="n"/>
      <c r="X16775" s="231" t="n"/>
    </row>
    <row r="16776" ht="14.25" customHeight="1" s="192">
      <c r="W16776" s="33" t="n"/>
      <c r="X16776" s="33" t="n"/>
    </row>
    <row r="16777" ht="14.25" customHeight="1" s="192">
      <c r="W16777" s="231" t="n"/>
      <c r="X16777" s="231" t="n"/>
    </row>
    <row r="16778" ht="14.25" customHeight="1" s="192">
      <c r="W16778" s="33" t="n"/>
      <c r="X16778" s="33" t="n"/>
    </row>
    <row r="16780" ht="14.25" customHeight="1" s="192">
      <c r="W16780" s="231" t="n"/>
      <c r="X16780" s="231" t="n"/>
    </row>
    <row r="16781" ht="14.25" customHeight="1" s="192">
      <c r="W16781" s="235" t="n"/>
      <c r="X16781" s="235" t="n"/>
    </row>
    <row r="16782" ht="14.25" customHeight="1" s="192">
      <c r="W16782" s="228" t="n"/>
      <c r="X16782" s="228" t="n"/>
    </row>
    <row r="16783" ht="14.25" customHeight="1" s="192">
      <c r="W16783" s="235" t="n"/>
      <c r="X16783" s="235" t="n"/>
    </row>
    <row r="16784" ht="14.25" customHeight="1" s="192">
      <c r="W16784" s="235" t="n"/>
      <c r="X16784" s="235" t="n"/>
    </row>
    <row r="16785" ht="14.25" customHeight="1" s="192">
      <c r="W16785" s="235" t="n"/>
      <c r="X16785" s="235" t="n"/>
    </row>
    <row r="16786" ht="14.25" customHeight="1" s="192">
      <c r="W16786" s="239" t="n"/>
      <c r="X16786" s="239" t="n"/>
    </row>
    <row r="16787" ht="14.25" customHeight="1" s="192">
      <c r="W16787" s="239" t="n"/>
      <c r="X16787" s="239" t="n"/>
    </row>
    <row r="16788" ht="14.25" customHeight="1" s="192">
      <c r="W16788" s="239" t="n"/>
      <c r="X16788" s="239" t="n"/>
    </row>
    <row r="16789" ht="14.25" customHeight="1" s="192">
      <c r="W16789" s="235" t="n"/>
      <c r="X16789" s="235" t="n"/>
    </row>
    <row r="16790" ht="14.25" customHeight="1" s="192">
      <c r="W16790" s="235" t="n"/>
      <c r="X16790" s="235" t="n"/>
    </row>
    <row r="16791" ht="14.25" customHeight="1" s="192">
      <c r="W16791" s="235" t="n"/>
      <c r="X16791" s="235" t="n"/>
    </row>
    <row r="16792" ht="14.25" customHeight="1" s="192">
      <c r="W16792" s="239" t="n"/>
      <c r="X16792" s="239" t="n"/>
    </row>
    <row r="16793" ht="14.25" customHeight="1" s="192">
      <c r="W16793" s="239" t="n"/>
      <c r="X16793" s="239" t="n"/>
    </row>
    <row r="16794" ht="14.25" customHeight="1" s="192">
      <c r="W16794" s="235" t="n"/>
      <c r="X16794" s="235" t="n"/>
    </row>
    <row r="16795" ht="14.25" customHeight="1" s="192">
      <c r="W16795" s="235" t="n"/>
      <c r="X16795" s="235" t="n"/>
    </row>
    <row r="16796" ht="14.25" customHeight="1" s="192">
      <c r="W16796" s="239" t="n"/>
      <c r="X16796" s="239" t="n"/>
    </row>
    <row r="16797" ht="14.25" customHeight="1" s="192">
      <c r="W16797" s="235" t="n"/>
      <c r="X16797" s="235" t="n"/>
    </row>
    <row r="16798" ht="14.25" customHeight="1" s="192">
      <c r="W16798" s="239" t="n"/>
      <c r="X16798" s="239" t="n"/>
    </row>
    <row r="16800" ht="14.25" customHeight="1" s="192">
      <c r="W16800" s="235" t="n"/>
      <c r="X16800" s="235" t="n"/>
    </row>
    <row r="16801" ht="15" customHeight="1" s="192" thickBot="1">
      <c r="W16801" s="239" t="n"/>
      <c r="X16801" s="239" t="n"/>
    </row>
    <row r="16802" ht="15" customHeight="1" s="192" thickBot="1">
      <c r="W16802" s="45" t="n"/>
      <c r="X16802" s="45" t="n"/>
    </row>
    <row r="16803" ht="14.25" customHeight="1" s="192">
      <c r="W16803" s="228" t="n"/>
      <c r="X16803" s="228" t="n"/>
    </row>
    <row r="16804" ht="14.25" customHeight="1" s="192">
      <c r="W16804" s="228" t="n"/>
      <c r="X16804" s="228" t="n"/>
    </row>
    <row r="16805" ht="14.25" customHeight="1" s="192">
      <c r="W16805" s="231" t="n"/>
      <c r="X16805" s="231" t="n"/>
    </row>
    <row r="16806" ht="14.25" customHeight="1" s="192">
      <c r="W16806" s="33" t="n"/>
      <c r="X16806" s="33" t="n"/>
    </row>
    <row r="16807" ht="14.25" customHeight="1" s="192">
      <c r="W16807" s="231" t="n"/>
      <c r="X16807" s="231" t="n"/>
    </row>
    <row r="16808" ht="14.25" customHeight="1" s="192">
      <c r="W16808" s="33" t="n"/>
      <c r="X16808" s="33" t="n"/>
    </row>
    <row r="16810" ht="14.25" customHeight="1" s="192">
      <c r="W16810" s="231" t="n"/>
      <c r="X16810" s="231" t="n"/>
    </row>
    <row r="16811" ht="14.25" customHeight="1" s="192">
      <c r="W16811" s="235" t="n"/>
      <c r="X16811" s="235" t="n"/>
    </row>
    <row r="16812" ht="14.25" customHeight="1" s="192">
      <c r="W16812" s="228" t="n"/>
      <c r="X16812" s="228" t="n"/>
    </row>
    <row r="16813" ht="14.25" customHeight="1" s="192">
      <c r="W16813" s="235" t="n"/>
      <c r="X16813" s="235" t="n"/>
    </row>
    <row r="16814" ht="14.25" customHeight="1" s="192">
      <c r="W16814" s="235" t="n"/>
      <c r="X16814" s="235" t="n"/>
    </row>
    <row r="16815" ht="14.25" customHeight="1" s="192">
      <c r="W16815" s="235" t="n"/>
      <c r="X16815" s="235" t="n"/>
    </row>
    <row r="16816" ht="14.25" customHeight="1" s="192">
      <c r="W16816" s="239" t="n"/>
      <c r="X16816" s="239" t="n"/>
    </row>
    <row r="16817" ht="14.25" customHeight="1" s="192">
      <c r="W16817" s="239" t="n"/>
      <c r="X16817" s="239" t="n"/>
    </row>
    <row r="16818" ht="14.25" customHeight="1" s="192">
      <c r="W16818" s="239" t="n"/>
      <c r="X16818" s="239" t="n"/>
    </row>
    <row r="16819" ht="14.25" customHeight="1" s="192">
      <c r="W16819" s="235" t="n"/>
      <c r="X16819" s="235" t="n"/>
    </row>
    <row r="16820" ht="14.25" customHeight="1" s="192">
      <c r="W16820" s="235" t="n"/>
      <c r="X16820" s="235" t="n"/>
    </row>
    <row r="16821" ht="14.25" customHeight="1" s="192">
      <c r="W16821" s="235" t="n"/>
      <c r="X16821" s="235" t="n"/>
    </row>
    <row r="16822" ht="14.25" customHeight="1" s="192">
      <c r="W16822" s="239" t="n"/>
      <c r="X16822" s="239" t="n"/>
    </row>
    <row r="16823" ht="14.25" customHeight="1" s="192">
      <c r="W16823" s="239" t="n"/>
      <c r="X16823" s="239" t="n"/>
    </row>
    <row r="16824" ht="14.25" customHeight="1" s="192">
      <c r="W16824" s="235" t="n"/>
      <c r="X16824" s="235" t="n"/>
    </row>
    <row r="16825" ht="14.25" customHeight="1" s="192">
      <c r="W16825" s="235" t="n"/>
      <c r="X16825" s="235" t="n"/>
    </row>
    <row r="16826" ht="14.25" customHeight="1" s="192">
      <c r="W16826" s="239" t="n"/>
      <c r="X16826" s="239" t="n"/>
    </row>
    <row r="16827" ht="14.25" customHeight="1" s="192">
      <c r="W16827" s="235" t="n"/>
      <c r="X16827" s="235" t="n"/>
    </row>
    <row r="16828" ht="14.25" customHeight="1" s="192">
      <c r="W16828" s="239" t="n"/>
      <c r="X16828" s="239" t="n"/>
    </row>
    <row r="16830" ht="14.25" customHeight="1" s="192">
      <c r="W16830" s="235" t="n"/>
      <c r="X16830" s="235" t="n"/>
    </row>
    <row r="16831" ht="15" customHeight="1" s="192" thickBot="1">
      <c r="W16831" s="239" t="n"/>
      <c r="X16831" s="239" t="n"/>
    </row>
    <row r="16832" ht="15" customHeight="1" s="192" thickBot="1">
      <c r="W16832" s="45" t="n"/>
      <c r="X16832" s="45" t="n"/>
    </row>
    <row r="16833" ht="14.25" customHeight="1" s="192">
      <c r="W16833" s="228" t="n"/>
      <c r="X16833" s="228" t="n"/>
    </row>
    <row r="16834" ht="14.25" customHeight="1" s="192">
      <c r="W16834" s="228" t="n"/>
      <c r="X16834" s="228" t="n"/>
    </row>
    <row r="16835" ht="14.25" customHeight="1" s="192">
      <c r="W16835" s="231" t="n"/>
      <c r="X16835" s="231" t="n"/>
    </row>
    <row r="16836" ht="14.25" customHeight="1" s="192">
      <c r="W16836" s="33" t="n"/>
      <c r="X16836" s="33" t="n"/>
    </row>
    <row r="16837" ht="14.25" customHeight="1" s="192">
      <c r="W16837" s="231" t="n"/>
      <c r="X16837" s="231" t="n"/>
    </row>
    <row r="16838" ht="14.25" customHeight="1" s="192">
      <c r="W16838" s="33" t="n"/>
      <c r="X16838" s="33" t="n"/>
    </row>
    <row r="16840" ht="14.25" customHeight="1" s="192">
      <c r="W16840" s="231" t="n"/>
      <c r="X16840" s="231" t="n"/>
    </row>
    <row r="16841" ht="14.25" customHeight="1" s="192">
      <c r="W16841" s="235" t="n"/>
      <c r="X16841" s="235" t="n"/>
    </row>
    <row r="16842" ht="14.25" customHeight="1" s="192">
      <c r="W16842" s="228" t="n"/>
      <c r="X16842" s="228" t="n"/>
    </row>
    <row r="16843" ht="14.25" customHeight="1" s="192">
      <c r="W16843" s="235" t="n"/>
      <c r="X16843" s="235" t="n"/>
    </row>
    <row r="16844" ht="14.25" customHeight="1" s="192">
      <c r="W16844" s="235" t="n"/>
      <c r="X16844" s="235" t="n"/>
    </row>
    <row r="16845" ht="14.25" customHeight="1" s="192">
      <c r="W16845" s="235" t="n"/>
      <c r="X16845" s="235" t="n"/>
    </row>
    <row r="16846" ht="14.25" customHeight="1" s="192">
      <c r="W16846" s="239" t="n"/>
      <c r="X16846" s="239" t="n"/>
    </row>
    <row r="16847" ht="14.25" customHeight="1" s="192">
      <c r="W16847" s="239" t="n"/>
      <c r="X16847" s="239" t="n"/>
    </row>
    <row r="16848" ht="14.25" customHeight="1" s="192">
      <c r="W16848" s="239" t="n"/>
      <c r="X16848" s="239" t="n"/>
    </row>
    <row r="16849" ht="14.25" customHeight="1" s="192">
      <c r="W16849" s="235" t="n"/>
      <c r="X16849" s="235" t="n"/>
    </row>
    <row r="16850" ht="14.25" customHeight="1" s="192">
      <c r="W16850" s="235" t="n"/>
      <c r="X16850" s="235" t="n"/>
    </row>
    <row r="16851" ht="14.25" customHeight="1" s="192">
      <c r="W16851" s="235" t="n"/>
      <c r="X16851" s="235" t="n"/>
    </row>
    <row r="16852" ht="14.25" customHeight="1" s="192">
      <c r="W16852" s="239" t="n"/>
      <c r="X16852" s="239" t="n"/>
    </row>
    <row r="16853" ht="14.25" customHeight="1" s="192">
      <c r="W16853" s="239" t="n"/>
      <c r="X16853" s="239" t="n"/>
    </row>
    <row r="16854" ht="14.25" customHeight="1" s="192">
      <c r="W16854" s="235" t="n"/>
      <c r="X16854" s="235" t="n"/>
    </row>
    <row r="16855" ht="14.25" customHeight="1" s="192">
      <c r="W16855" s="235" t="n"/>
      <c r="X16855" s="235" t="n"/>
    </row>
    <row r="16856" ht="14.25" customHeight="1" s="192">
      <c r="W16856" s="239" t="n"/>
      <c r="X16856" s="239" t="n"/>
    </row>
    <row r="16857" ht="14.25" customHeight="1" s="192">
      <c r="W16857" s="235" t="n"/>
      <c r="X16857" s="235" t="n"/>
    </row>
    <row r="16858" ht="14.25" customHeight="1" s="192">
      <c r="W16858" s="239" t="n"/>
      <c r="X16858" s="239" t="n"/>
    </row>
    <row r="16860" ht="14.25" customHeight="1" s="192">
      <c r="W16860" s="235" t="n"/>
      <c r="X16860" s="235" t="n"/>
    </row>
    <row r="16861" ht="15" customHeight="1" s="192" thickBot="1">
      <c r="W16861" s="239" t="n"/>
      <c r="X16861" s="239" t="n"/>
    </row>
    <row r="16862" ht="15" customHeight="1" s="192" thickBot="1">
      <c r="W16862" s="45" t="n"/>
      <c r="X16862" s="45" t="n"/>
    </row>
    <row r="16863" ht="14.25" customHeight="1" s="192">
      <c r="W16863" s="228" t="n"/>
      <c r="X16863" s="228" t="n"/>
    </row>
    <row r="16864" ht="14.25" customHeight="1" s="192">
      <c r="W16864" s="228" t="n"/>
      <c r="X16864" s="228" t="n"/>
    </row>
    <row r="16865" ht="14.25" customHeight="1" s="192">
      <c r="W16865" s="231" t="n"/>
      <c r="X16865" s="231" t="n"/>
    </row>
    <row r="16866" ht="14.25" customHeight="1" s="192">
      <c r="W16866" s="33" t="n"/>
      <c r="X16866" s="33" t="n"/>
    </row>
    <row r="16867" ht="14.25" customHeight="1" s="192">
      <c r="W16867" s="231" t="n"/>
      <c r="X16867" s="231" t="n"/>
    </row>
    <row r="16868" ht="14.25" customHeight="1" s="192">
      <c r="W16868" s="33" t="n"/>
      <c r="X16868" s="33" t="n"/>
    </row>
    <row r="16870" ht="14.25" customHeight="1" s="192">
      <c r="W16870" s="231" t="n"/>
      <c r="X16870" s="231" t="n"/>
    </row>
    <row r="16871" ht="14.25" customHeight="1" s="192">
      <c r="W16871" s="235" t="n"/>
      <c r="X16871" s="235" t="n"/>
    </row>
    <row r="16872" ht="14.25" customHeight="1" s="192">
      <c r="W16872" s="228" t="n"/>
      <c r="X16872" s="228" t="n"/>
    </row>
    <row r="16873" ht="14.25" customHeight="1" s="192">
      <c r="W16873" s="235" t="n"/>
      <c r="X16873" s="235" t="n"/>
    </row>
    <row r="16874" ht="14.25" customHeight="1" s="192">
      <c r="W16874" s="235" t="n"/>
      <c r="X16874" s="235" t="n"/>
    </row>
    <row r="16875" ht="14.25" customHeight="1" s="192">
      <c r="W16875" s="235" t="n"/>
      <c r="X16875" s="235" t="n"/>
    </row>
    <row r="16876" ht="14.25" customHeight="1" s="192">
      <c r="W16876" s="239" t="n"/>
      <c r="X16876" s="239" t="n"/>
    </row>
    <row r="16877" ht="14.25" customHeight="1" s="192">
      <c r="W16877" s="239" t="n"/>
      <c r="X16877" s="239" t="n"/>
    </row>
    <row r="16878" ht="14.25" customHeight="1" s="192">
      <c r="W16878" s="239" t="n"/>
      <c r="X16878" s="239" t="n"/>
    </row>
    <row r="16879" ht="14.25" customHeight="1" s="192">
      <c r="W16879" s="235" t="n"/>
      <c r="X16879" s="235" t="n"/>
    </row>
    <row r="16880" ht="14.25" customHeight="1" s="192">
      <c r="W16880" s="235" t="n"/>
      <c r="X16880" s="235" t="n"/>
    </row>
    <row r="16881" ht="14.25" customHeight="1" s="192">
      <c r="W16881" s="235" t="n"/>
      <c r="X16881" s="235" t="n"/>
    </row>
    <row r="16882" ht="14.25" customHeight="1" s="192">
      <c r="W16882" s="239" t="n"/>
      <c r="X16882" s="239" t="n"/>
    </row>
    <row r="16883" ht="14.25" customHeight="1" s="192">
      <c r="W16883" s="239" t="n"/>
      <c r="X16883" s="239" t="n"/>
    </row>
    <row r="16884" ht="14.25" customHeight="1" s="192">
      <c r="W16884" s="235" t="n"/>
      <c r="X16884" s="235" t="n"/>
    </row>
    <row r="16885" ht="14.25" customHeight="1" s="192">
      <c r="W16885" s="235" t="n"/>
      <c r="X16885" s="235" t="n"/>
    </row>
    <row r="16886" ht="14.25" customHeight="1" s="192">
      <c r="W16886" s="239" t="n"/>
      <c r="X16886" s="239" t="n"/>
    </row>
    <row r="16887" ht="14.25" customHeight="1" s="192">
      <c r="W16887" s="235" t="n"/>
      <c r="X16887" s="235" t="n"/>
    </row>
    <row r="16888" ht="14.25" customHeight="1" s="192">
      <c r="W16888" s="239" t="n"/>
      <c r="X16888" s="239" t="n"/>
    </row>
    <row r="16890" ht="14.25" customHeight="1" s="192">
      <c r="W16890" s="235" t="n"/>
      <c r="X16890" s="235" t="n"/>
    </row>
    <row r="16891" ht="15" customHeight="1" s="192" thickBot="1">
      <c r="W16891" s="239" t="n"/>
      <c r="X16891" s="239" t="n"/>
    </row>
    <row r="16892" ht="15" customHeight="1" s="192" thickBot="1">
      <c r="W16892" s="45" t="n"/>
      <c r="X16892" s="45" t="n"/>
    </row>
    <row r="16893" ht="14.25" customHeight="1" s="192">
      <c r="W16893" s="228" t="n"/>
      <c r="X16893" s="228" t="n"/>
    </row>
    <row r="16894" ht="14.25" customHeight="1" s="192">
      <c r="W16894" s="228" t="n"/>
      <c r="X16894" s="228" t="n"/>
    </row>
    <row r="16895" ht="14.25" customHeight="1" s="192">
      <c r="W16895" s="231" t="n"/>
      <c r="X16895" s="231" t="n"/>
    </row>
    <row r="16896" ht="14.25" customHeight="1" s="192">
      <c r="W16896" s="33" t="n"/>
      <c r="X16896" s="33" t="n"/>
    </row>
    <row r="16897" ht="14.25" customHeight="1" s="192">
      <c r="W16897" s="231" t="n"/>
      <c r="X16897" s="231" t="n"/>
    </row>
    <row r="16898" ht="14.25" customHeight="1" s="192">
      <c r="W16898" s="33" t="n"/>
      <c r="X16898" s="33" t="n"/>
    </row>
    <row r="16900" ht="14.25" customHeight="1" s="192">
      <c r="W16900" s="231" t="n"/>
      <c r="X16900" s="231" t="n"/>
    </row>
    <row r="16901" ht="14.25" customHeight="1" s="192">
      <c r="W16901" s="235" t="n"/>
      <c r="X16901" s="235" t="n"/>
    </row>
    <row r="16902" ht="14.25" customHeight="1" s="192">
      <c r="W16902" s="228" t="n"/>
      <c r="X16902" s="228" t="n"/>
    </row>
    <row r="16903" ht="14.25" customHeight="1" s="192">
      <c r="W16903" s="235" t="n"/>
      <c r="X16903" s="235" t="n"/>
    </row>
    <row r="16904" ht="14.25" customHeight="1" s="192">
      <c r="W16904" s="235" t="n"/>
      <c r="X16904" s="235" t="n"/>
    </row>
    <row r="16905" ht="14.25" customHeight="1" s="192">
      <c r="W16905" s="235" t="n"/>
      <c r="X16905" s="235" t="n"/>
    </row>
    <row r="16906" ht="14.25" customHeight="1" s="192">
      <c r="W16906" s="239" t="n"/>
      <c r="X16906" s="239" t="n"/>
    </row>
    <row r="16907" ht="14.25" customHeight="1" s="192">
      <c r="W16907" s="239" t="n"/>
      <c r="X16907" s="239" t="n"/>
    </row>
    <row r="16908" ht="14.25" customHeight="1" s="192">
      <c r="W16908" s="239" t="n"/>
      <c r="X16908" s="239" t="n"/>
    </row>
    <row r="16909" ht="14.25" customHeight="1" s="192">
      <c r="W16909" s="235" t="n"/>
      <c r="X16909" s="235" t="n"/>
    </row>
    <row r="16910" ht="14.25" customHeight="1" s="192">
      <c r="W16910" s="235" t="n"/>
      <c r="X16910" s="235" t="n"/>
    </row>
    <row r="16911" ht="14.25" customHeight="1" s="192">
      <c r="W16911" s="235" t="n"/>
      <c r="X16911" s="235" t="n"/>
    </row>
    <row r="16912" ht="14.25" customHeight="1" s="192">
      <c r="W16912" s="239" t="n"/>
      <c r="X16912" s="239" t="n"/>
    </row>
    <row r="16913" ht="14.25" customHeight="1" s="192">
      <c r="W16913" s="239" t="n"/>
      <c r="X16913" s="239" t="n"/>
    </row>
    <row r="16914" ht="14.25" customHeight="1" s="192">
      <c r="W16914" s="235" t="n"/>
      <c r="X16914" s="235" t="n"/>
    </row>
    <row r="16915" ht="14.25" customHeight="1" s="192">
      <c r="W16915" s="235" t="n"/>
      <c r="X16915" s="235" t="n"/>
    </row>
    <row r="16916" ht="14.25" customHeight="1" s="192">
      <c r="W16916" s="239" t="n"/>
      <c r="X16916" s="239" t="n"/>
    </row>
    <row r="16917" ht="14.25" customHeight="1" s="192">
      <c r="W16917" s="235" t="n"/>
      <c r="X16917" s="235" t="n"/>
    </row>
    <row r="16918" ht="14.25" customHeight="1" s="192">
      <c r="W16918" s="239" t="n"/>
      <c r="X16918" s="239" t="n"/>
    </row>
    <row r="16920" ht="14.25" customHeight="1" s="192">
      <c r="W16920" s="235" t="n"/>
      <c r="X16920" s="235" t="n"/>
    </row>
    <row r="16921" ht="15" customHeight="1" s="192" thickBot="1">
      <c r="W16921" s="239" t="n"/>
      <c r="X16921" s="239" t="n"/>
    </row>
    <row r="16922" ht="15" customHeight="1" s="192" thickBot="1">
      <c r="W16922" s="45" t="n"/>
      <c r="X16922" s="45" t="n"/>
    </row>
    <row r="16923" ht="14.25" customHeight="1" s="192">
      <c r="W16923" s="228" t="n"/>
      <c r="X16923" s="228" t="n"/>
    </row>
    <row r="16924" ht="14.25" customHeight="1" s="192">
      <c r="W16924" s="228" t="n"/>
      <c r="X16924" s="228" t="n"/>
    </row>
    <row r="16925" ht="14.25" customHeight="1" s="192">
      <c r="W16925" s="231" t="n"/>
      <c r="X16925" s="231" t="n"/>
    </row>
    <row r="16926" ht="14.25" customHeight="1" s="192">
      <c r="W16926" s="33" t="n"/>
      <c r="X16926" s="33" t="n"/>
    </row>
    <row r="16927" ht="14.25" customHeight="1" s="192">
      <c r="W16927" s="231" t="n"/>
      <c r="X16927" s="231" t="n"/>
    </row>
    <row r="16928" ht="14.25" customHeight="1" s="192">
      <c r="W16928" s="33" t="n"/>
      <c r="X16928" s="33" t="n"/>
    </row>
    <row r="16930" ht="14.25" customHeight="1" s="192">
      <c r="W16930" s="231" t="n"/>
      <c r="X16930" s="231" t="n"/>
    </row>
    <row r="16931" ht="14.25" customHeight="1" s="192">
      <c r="W16931" s="235" t="n"/>
      <c r="X16931" s="235" t="n"/>
    </row>
    <row r="16932" ht="14.25" customHeight="1" s="192">
      <c r="W16932" s="228" t="n"/>
      <c r="X16932" s="228" t="n"/>
    </row>
    <row r="16933" ht="14.25" customHeight="1" s="192">
      <c r="W16933" s="235" t="n"/>
      <c r="X16933" s="235" t="n"/>
    </row>
    <row r="16934" ht="14.25" customHeight="1" s="192">
      <c r="W16934" s="235" t="n"/>
      <c r="X16934" s="235" t="n"/>
    </row>
    <row r="16935" ht="14.25" customHeight="1" s="192">
      <c r="W16935" s="235" t="n"/>
      <c r="X16935" s="235" t="n"/>
    </row>
    <row r="16936" ht="14.25" customHeight="1" s="192">
      <c r="W16936" s="239" t="n"/>
      <c r="X16936" s="239" t="n"/>
    </row>
    <row r="16937" ht="14.25" customHeight="1" s="192">
      <c r="W16937" s="239" t="n"/>
      <c r="X16937" s="239" t="n"/>
    </row>
    <row r="16938" ht="14.25" customHeight="1" s="192">
      <c r="W16938" s="239" t="n"/>
      <c r="X16938" s="239" t="n"/>
    </row>
    <row r="16939" ht="14.25" customHeight="1" s="192">
      <c r="W16939" s="235" t="n"/>
      <c r="X16939" s="235" t="n"/>
    </row>
    <row r="16940" ht="14.25" customHeight="1" s="192">
      <c r="W16940" s="235" t="n"/>
      <c r="X16940" s="235" t="n"/>
    </row>
    <row r="16941" ht="14.25" customHeight="1" s="192">
      <c r="W16941" s="235" t="n"/>
      <c r="X16941" s="235" t="n"/>
    </row>
    <row r="16942" ht="14.25" customHeight="1" s="192">
      <c r="W16942" s="239" t="n"/>
      <c r="X16942" s="239" t="n"/>
    </row>
    <row r="16943" ht="14.25" customHeight="1" s="192">
      <c r="W16943" s="239" t="n"/>
      <c r="X16943" s="239" t="n"/>
    </row>
    <row r="16944" ht="14.25" customHeight="1" s="192">
      <c r="W16944" s="235" t="n"/>
      <c r="X16944" s="235" t="n"/>
    </row>
    <row r="16945" ht="14.25" customHeight="1" s="192">
      <c r="W16945" s="235" t="n"/>
      <c r="X16945" s="235" t="n"/>
    </row>
    <row r="16946" ht="14.25" customHeight="1" s="192">
      <c r="W16946" s="239" t="n"/>
      <c r="X16946" s="239" t="n"/>
    </row>
    <row r="16947" ht="14.25" customHeight="1" s="192">
      <c r="W16947" s="235" t="n"/>
      <c r="X16947" s="235" t="n"/>
    </row>
    <row r="16948" ht="14.25" customHeight="1" s="192">
      <c r="W16948" s="239" t="n"/>
      <c r="X16948" s="239" t="n"/>
    </row>
    <row r="16950" ht="14.25" customHeight="1" s="192">
      <c r="W16950" s="235" t="n"/>
      <c r="X16950" s="235" t="n"/>
    </row>
    <row r="16951" ht="15" customHeight="1" s="192" thickBot="1">
      <c r="W16951" s="239" t="n"/>
      <c r="X16951" s="239" t="n"/>
    </row>
    <row r="16952" ht="15" customHeight="1" s="192" thickBot="1">
      <c r="W16952" s="45" t="n"/>
      <c r="X16952" s="45" t="n"/>
    </row>
    <row r="16953" ht="14.25" customHeight="1" s="192">
      <c r="W16953" s="228" t="n"/>
      <c r="X16953" s="228" t="n"/>
    </row>
    <row r="16954" ht="14.25" customHeight="1" s="192">
      <c r="W16954" s="228" t="n"/>
      <c r="X16954" s="228" t="n"/>
    </row>
    <row r="16955" ht="14.25" customHeight="1" s="192">
      <c r="W16955" s="231" t="n"/>
      <c r="X16955" s="231" t="n"/>
    </row>
    <row r="16956" ht="14.25" customHeight="1" s="192">
      <c r="W16956" s="33" t="n"/>
      <c r="X16956" s="33" t="n"/>
    </row>
    <row r="16957" ht="14.25" customHeight="1" s="192">
      <c r="W16957" s="231" t="n"/>
      <c r="X16957" s="231" t="n"/>
    </row>
    <row r="16958" ht="14.25" customHeight="1" s="192">
      <c r="W16958" s="33" t="n"/>
      <c r="X16958" s="33" t="n"/>
    </row>
    <row r="16960" ht="14.25" customHeight="1" s="192">
      <c r="W16960" s="231" t="n"/>
      <c r="X16960" s="231" t="n"/>
    </row>
    <row r="16961" ht="14.25" customHeight="1" s="192">
      <c r="W16961" s="235" t="n"/>
      <c r="X16961" s="235" t="n"/>
    </row>
    <row r="16962" ht="14.25" customHeight="1" s="192">
      <c r="W16962" s="228" t="n"/>
      <c r="X16962" s="228" t="n"/>
    </row>
    <row r="16963" ht="14.25" customHeight="1" s="192">
      <c r="W16963" s="235" t="n"/>
      <c r="X16963" s="235" t="n"/>
    </row>
    <row r="16964" ht="14.25" customHeight="1" s="192">
      <c r="W16964" s="235" t="n"/>
      <c r="X16964" s="235" t="n"/>
    </row>
    <row r="16965" ht="14.25" customHeight="1" s="192">
      <c r="W16965" s="235" t="n"/>
      <c r="X16965" s="235" t="n"/>
    </row>
    <row r="16966" ht="14.25" customHeight="1" s="192">
      <c r="W16966" s="239" t="n"/>
      <c r="X16966" s="239" t="n"/>
    </row>
    <row r="16967" ht="14.25" customHeight="1" s="192">
      <c r="W16967" s="239" t="n"/>
      <c r="X16967" s="239" t="n"/>
    </row>
    <row r="16968" ht="14.25" customHeight="1" s="192">
      <c r="W16968" s="239" t="n"/>
      <c r="X16968" s="239" t="n"/>
    </row>
    <row r="16969" ht="14.25" customHeight="1" s="192">
      <c r="W16969" s="235" t="n"/>
      <c r="X16969" s="235" t="n"/>
    </row>
    <row r="16970" ht="14.25" customHeight="1" s="192">
      <c r="W16970" s="235" t="n"/>
      <c r="X16970" s="235" t="n"/>
    </row>
    <row r="16971" ht="14.25" customHeight="1" s="192">
      <c r="W16971" s="235" t="n"/>
      <c r="X16971" s="235" t="n"/>
    </row>
    <row r="16972" ht="14.25" customHeight="1" s="192">
      <c r="W16972" s="239" t="n"/>
      <c r="X16972" s="239" t="n"/>
    </row>
    <row r="16973" ht="14.25" customHeight="1" s="192">
      <c r="W16973" s="239" t="n"/>
      <c r="X16973" s="239" t="n"/>
    </row>
    <row r="16974" ht="14.25" customHeight="1" s="192">
      <c r="W16974" s="235" t="n"/>
      <c r="X16974" s="235" t="n"/>
    </row>
    <row r="16975" ht="14.25" customHeight="1" s="192">
      <c r="W16975" s="235" t="n"/>
      <c r="X16975" s="235" t="n"/>
    </row>
    <row r="16976" ht="14.25" customHeight="1" s="192">
      <c r="W16976" s="239" t="n"/>
      <c r="X16976" s="239" t="n"/>
    </row>
    <row r="16977" ht="14.25" customHeight="1" s="192">
      <c r="W16977" s="235" t="n"/>
      <c r="X16977" s="235" t="n"/>
    </row>
    <row r="16978" ht="14.25" customHeight="1" s="192">
      <c r="W16978" s="239" t="n"/>
      <c r="X16978" s="239" t="n"/>
    </row>
    <row r="16980" ht="14.25" customHeight="1" s="192">
      <c r="W16980" s="235" t="n"/>
      <c r="X16980" s="235" t="n"/>
    </row>
    <row r="16981" ht="15" customHeight="1" s="192" thickBot="1">
      <c r="W16981" s="239" t="n"/>
      <c r="X16981" s="239" t="n"/>
    </row>
    <row r="16982" ht="15" customHeight="1" s="192" thickBot="1">
      <c r="W16982" s="45" t="n"/>
      <c r="X16982" s="45" t="n"/>
    </row>
    <row r="16983" ht="14.25" customHeight="1" s="192">
      <c r="W16983" s="228" t="n"/>
      <c r="X16983" s="228" t="n"/>
    </row>
    <row r="16984" ht="14.25" customHeight="1" s="192">
      <c r="W16984" s="228" t="n"/>
      <c r="X16984" s="228" t="n"/>
    </row>
    <row r="16985" ht="14.25" customHeight="1" s="192">
      <c r="W16985" s="231" t="n"/>
      <c r="X16985" s="231" t="n"/>
    </row>
    <row r="16986" ht="14.25" customHeight="1" s="192">
      <c r="W16986" s="33" t="n"/>
      <c r="X16986" s="33" t="n"/>
    </row>
    <row r="16987" ht="14.25" customHeight="1" s="192">
      <c r="W16987" s="231" t="n"/>
      <c r="X16987" s="231" t="n"/>
    </row>
    <row r="16988" ht="14.25" customHeight="1" s="192">
      <c r="W16988" s="33" t="n"/>
      <c r="X16988" s="33" t="n"/>
    </row>
    <row r="16990" ht="14.25" customHeight="1" s="192">
      <c r="W16990" s="231" t="n"/>
      <c r="X16990" s="231" t="n"/>
    </row>
    <row r="16991" ht="14.25" customHeight="1" s="192">
      <c r="W16991" s="235" t="n"/>
      <c r="X16991" s="235" t="n"/>
    </row>
    <row r="16992" ht="14.25" customHeight="1" s="192">
      <c r="W16992" s="228" t="n"/>
      <c r="X16992" s="228" t="n"/>
    </row>
    <row r="16993" ht="14.25" customHeight="1" s="192">
      <c r="W16993" s="235" t="n"/>
      <c r="X16993" s="235" t="n"/>
    </row>
    <row r="16994" ht="14.25" customHeight="1" s="192">
      <c r="W16994" s="235" t="n"/>
      <c r="X16994" s="235" t="n"/>
    </row>
    <row r="16995" ht="14.25" customHeight="1" s="192">
      <c r="W16995" s="235" t="n"/>
      <c r="X16995" s="235" t="n"/>
    </row>
    <row r="16996" ht="14.25" customHeight="1" s="192">
      <c r="W16996" s="239" t="n"/>
      <c r="X16996" s="239" t="n"/>
    </row>
    <row r="16997" ht="14.25" customHeight="1" s="192">
      <c r="W16997" s="239" t="n"/>
      <c r="X16997" s="239" t="n"/>
    </row>
    <row r="16998" ht="14.25" customHeight="1" s="192">
      <c r="W16998" s="239" t="n"/>
      <c r="X16998" s="239" t="n"/>
    </row>
    <row r="16999" ht="14.25" customHeight="1" s="192">
      <c r="W16999" s="235" t="n"/>
      <c r="X16999" s="235" t="n"/>
    </row>
    <row r="17000" ht="14.25" customHeight="1" s="192">
      <c r="W17000" s="235" t="n"/>
      <c r="X17000" s="235" t="n"/>
    </row>
    <row r="17001" ht="14.25" customHeight="1" s="192">
      <c r="W17001" s="235" t="n"/>
      <c r="X17001" s="235" t="n"/>
    </row>
    <row r="17002" ht="14.25" customHeight="1" s="192">
      <c r="W17002" s="239" t="n"/>
      <c r="X17002" s="239" t="n"/>
    </row>
    <row r="17003" ht="14.25" customHeight="1" s="192">
      <c r="W17003" s="239" t="n"/>
      <c r="X17003" s="239" t="n"/>
    </row>
    <row r="17004" ht="14.25" customHeight="1" s="192">
      <c r="W17004" s="235" t="n"/>
      <c r="X17004" s="235" t="n"/>
    </row>
    <row r="17005" ht="14.25" customHeight="1" s="192">
      <c r="W17005" s="235" t="n"/>
      <c r="X17005" s="235" t="n"/>
    </row>
    <row r="17006" ht="14.25" customHeight="1" s="192">
      <c r="W17006" s="239" t="n"/>
      <c r="X17006" s="239" t="n"/>
    </row>
    <row r="17007" ht="14.25" customHeight="1" s="192">
      <c r="W17007" s="235" t="n"/>
      <c r="X17007" s="235" t="n"/>
    </row>
    <row r="17008" ht="14.25" customHeight="1" s="192">
      <c r="W17008" s="239" t="n"/>
      <c r="X17008" s="239" t="n"/>
    </row>
    <row r="17010" ht="14.25" customHeight="1" s="192">
      <c r="W17010" s="235" t="n"/>
      <c r="X17010" s="235" t="n"/>
    </row>
    <row r="17011" ht="15" customHeight="1" s="192" thickBot="1">
      <c r="W17011" s="239" t="n"/>
      <c r="X17011" s="239" t="n"/>
    </row>
    <row r="17012" ht="15" customHeight="1" s="192" thickBot="1">
      <c r="W17012" s="45" t="n"/>
      <c r="X17012" s="45" t="n"/>
    </row>
    <row r="17013" ht="14.25" customHeight="1" s="192">
      <c r="W17013" s="228" t="n"/>
      <c r="X17013" s="228" t="n"/>
    </row>
    <row r="17014" ht="14.25" customHeight="1" s="192">
      <c r="W17014" s="228" t="n"/>
      <c r="X17014" s="228" t="n"/>
    </row>
    <row r="17015" ht="14.25" customHeight="1" s="192">
      <c r="W17015" s="231" t="n"/>
      <c r="X17015" s="231" t="n"/>
    </row>
    <row r="17016" ht="14.25" customHeight="1" s="192">
      <c r="W17016" s="33" t="n"/>
      <c r="X17016" s="33" t="n"/>
    </row>
    <row r="17017" ht="14.25" customHeight="1" s="192">
      <c r="W17017" s="231" t="n"/>
      <c r="X17017" s="231" t="n"/>
    </row>
    <row r="17018" ht="14.25" customHeight="1" s="192">
      <c r="W17018" s="33" t="n"/>
      <c r="X17018" s="33" t="n"/>
    </row>
    <row r="17020" ht="14.25" customHeight="1" s="192">
      <c r="W17020" s="231" t="n"/>
      <c r="X17020" s="231" t="n"/>
    </row>
    <row r="17021" ht="14.25" customHeight="1" s="192">
      <c r="W17021" s="235" t="n"/>
      <c r="X17021" s="235" t="n"/>
    </row>
    <row r="17022" ht="14.25" customHeight="1" s="192">
      <c r="W17022" s="228" t="n"/>
      <c r="X17022" s="228" t="n"/>
    </row>
    <row r="17023" ht="14.25" customHeight="1" s="192">
      <c r="W17023" s="235" t="n"/>
      <c r="X17023" s="235" t="n"/>
    </row>
    <row r="17024" ht="14.25" customHeight="1" s="192">
      <c r="W17024" s="235" t="n"/>
      <c r="X17024" s="235" t="n"/>
    </row>
    <row r="17025" ht="14.25" customHeight="1" s="192">
      <c r="W17025" s="235" t="n"/>
      <c r="X17025" s="235" t="n"/>
    </row>
    <row r="17026" ht="14.25" customHeight="1" s="192">
      <c r="W17026" s="239" t="n"/>
      <c r="X17026" s="239" t="n"/>
    </row>
    <row r="17027" ht="14.25" customHeight="1" s="192">
      <c r="W17027" s="239" t="n"/>
      <c r="X17027" s="239" t="n"/>
    </row>
    <row r="17028" ht="14.25" customHeight="1" s="192">
      <c r="W17028" s="239" t="n"/>
      <c r="X17028" s="239" t="n"/>
    </row>
    <row r="17029" ht="14.25" customHeight="1" s="192">
      <c r="W17029" s="235" t="n"/>
      <c r="X17029" s="235" t="n"/>
    </row>
    <row r="17030" ht="14.25" customHeight="1" s="192">
      <c r="W17030" s="235" t="n"/>
      <c r="X17030" s="235" t="n"/>
    </row>
    <row r="17031" ht="14.25" customHeight="1" s="192">
      <c r="W17031" s="235" t="n"/>
      <c r="X17031" s="235" t="n"/>
    </row>
    <row r="17032" ht="14.25" customHeight="1" s="192">
      <c r="W17032" s="239" t="n"/>
      <c r="X17032" s="239" t="n"/>
    </row>
    <row r="17033" ht="14.25" customHeight="1" s="192">
      <c r="W17033" s="239" t="n"/>
      <c r="X17033" s="239" t="n"/>
    </row>
    <row r="17034" ht="14.25" customHeight="1" s="192">
      <c r="W17034" s="235" t="n"/>
      <c r="X17034" s="235" t="n"/>
    </row>
    <row r="17035" ht="14.25" customHeight="1" s="192">
      <c r="W17035" s="235" t="n"/>
      <c r="X17035" s="235" t="n"/>
    </row>
    <row r="17036" ht="14.25" customHeight="1" s="192">
      <c r="W17036" s="239" t="n"/>
      <c r="X17036" s="239" t="n"/>
    </row>
    <row r="17037" ht="14.25" customHeight="1" s="192">
      <c r="W17037" s="235" t="n"/>
      <c r="X17037" s="235" t="n"/>
    </row>
    <row r="17038" ht="14.25" customHeight="1" s="192">
      <c r="W17038" s="239" t="n"/>
      <c r="X17038" s="239" t="n"/>
    </row>
    <row r="17040" ht="14.25" customHeight="1" s="192">
      <c r="W17040" s="235" t="n"/>
      <c r="X17040" s="235" t="n"/>
    </row>
    <row r="17041" ht="15" customHeight="1" s="192" thickBot="1">
      <c r="W17041" s="239" t="n"/>
      <c r="X17041" s="239" t="n"/>
    </row>
    <row r="17042" ht="15" customHeight="1" s="192" thickBot="1">
      <c r="W17042" s="45" t="n"/>
      <c r="X17042" s="45" t="n"/>
    </row>
    <row r="17043" ht="14.25" customHeight="1" s="192">
      <c r="W17043" s="228" t="n"/>
      <c r="X17043" s="228" t="n"/>
    </row>
    <row r="17044" ht="14.25" customHeight="1" s="192">
      <c r="W17044" s="228" t="n"/>
      <c r="X17044" s="228" t="n"/>
    </row>
    <row r="17045" ht="14.25" customHeight="1" s="192">
      <c r="W17045" s="231" t="n"/>
      <c r="X17045" s="231" t="n"/>
    </row>
    <row r="17046" ht="14.25" customHeight="1" s="192">
      <c r="W17046" s="33" t="n"/>
      <c r="X17046" s="33" t="n"/>
    </row>
    <row r="17047" ht="14.25" customHeight="1" s="192">
      <c r="W17047" s="231" t="n"/>
      <c r="X17047" s="231" t="n"/>
    </row>
    <row r="17048" ht="14.25" customHeight="1" s="192">
      <c r="W17048" s="33" t="n"/>
      <c r="X17048" s="33" t="n"/>
    </row>
    <row r="17050" ht="14.25" customHeight="1" s="192">
      <c r="W17050" s="231" t="n"/>
      <c r="X17050" s="231" t="n"/>
    </row>
    <row r="17051" ht="14.25" customHeight="1" s="192">
      <c r="W17051" s="235" t="n"/>
      <c r="X17051" s="235" t="n"/>
    </row>
    <row r="17052" ht="14.25" customHeight="1" s="192">
      <c r="W17052" s="228" t="n"/>
      <c r="X17052" s="228" t="n"/>
    </row>
    <row r="17053" ht="14.25" customHeight="1" s="192">
      <c r="W17053" s="235" t="n"/>
      <c r="X17053" s="235" t="n"/>
    </row>
    <row r="17054" ht="14.25" customHeight="1" s="192">
      <c r="W17054" s="235" t="n"/>
      <c r="X17054" s="235" t="n"/>
    </row>
    <row r="17055" ht="14.25" customHeight="1" s="192">
      <c r="W17055" s="235" t="n"/>
      <c r="X17055" s="235" t="n"/>
    </row>
    <row r="17056" ht="14.25" customHeight="1" s="192">
      <c r="W17056" s="239" t="n"/>
      <c r="X17056" s="239" t="n"/>
    </row>
    <row r="17057" ht="14.25" customHeight="1" s="192">
      <c r="W17057" s="239" t="n"/>
      <c r="X17057" s="239" t="n"/>
    </row>
    <row r="17058" ht="14.25" customHeight="1" s="192">
      <c r="W17058" s="239" t="n"/>
      <c r="X17058" s="239" t="n"/>
    </row>
    <row r="17059" ht="14.25" customHeight="1" s="192">
      <c r="W17059" s="235" t="n"/>
      <c r="X17059" s="235" t="n"/>
    </row>
    <row r="17060" ht="14.25" customHeight="1" s="192">
      <c r="W17060" s="235" t="n"/>
      <c r="X17060" s="235" t="n"/>
    </row>
    <row r="17061" ht="14.25" customHeight="1" s="192">
      <c r="W17061" s="235" t="n"/>
      <c r="X17061" s="235" t="n"/>
    </row>
    <row r="17062" ht="14.25" customHeight="1" s="192">
      <c r="W17062" s="239" t="n"/>
      <c r="X17062" s="239" t="n"/>
    </row>
    <row r="17063" ht="14.25" customHeight="1" s="192">
      <c r="W17063" s="239" t="n"/>
      <c r="X17063" s="239" t="n"/>
    </row>
    <row r="17064" ht="14.25" customHeight="1" s="192">
      <c r="W17064" s="235" t="n"/>
      <c r="X17064" s="235" t="n"/>
    </row>
    <row r="17065" ht="14.25" customHeight="1" s="192">
      <c r="W17065" s="235" t="n"/>
      <c r="X17065" s="235" t="n"/>
    </row>
    <row r="17066" ht="14.25" customHeight="1" s="192">
      <c r="W17066" s="239" t="n"/>
      <c r="X17066" s="239" t="n"/>
    </row>
    <row r="17067" ht="14.25" customHeight="1" s="192">
      <c r="W17067" s="235" t="n"/>
      <c r="X17067" s="235" t="n"/>
    </row>
    <row r="17068" ht="14.25" customHeight="1" s="192">
      <c r="W17068" s="239" t="n"/>
      <c r="X17068" s="239" t="n"/>
    </row>
    <row r="17070" ht="14.25" customHeight="1" s="192">
      <c r="W17070" s="235" t="n"/>
      <c r="X17070" s="235" t="n"/>
    </row>
    <row r="17071" ht="15" customHeight="1" s="192" thickBot="1">
      <c r="W17071" s="239" t="n"/>
      <c r="X17071" s="239" t="n"/>
    </row>
    <row r="17072" ht="15" customHeight="1" s="192" thickBot="1">
      <c r="W17072" s="45" t="n"/>
      <c r="X17072" s="45" t="n"/>
    </row>
    <row r="17073" ht="14.25" customHeight="1" s="192">
      <c r="W17073" s="228" t="n"/>
      <c r="X17073" s="228" t="n"/>
    </row>
    <row r="17074" ht="14.25" customHeight="1" s="192">
      <c r="W17074" s="228" t="n"/>
      <c r="X17074" s="228" t="n"/>
    </row>
    <row r="17075" ht="14.25" customHeight="1" s="192">
      <c r="W17075" s="231" t="n"/>
      <c r="X17075" s="231" t="n"/>
    </row>
    <row r="17076" ht="14.25" customHeight="1" s="192">
      <c r="W17076" s="33" t="n"/>
      <c r="X17076" s="33" t="n"/>
    </row>
    <row r="17077" ht="14.25" customHeight="1" s="192">
      <c r="W17077" s="231" t="n"/>
      <c r="X17077" s="231" t="n"/>
    </row>
    <row r="17078" ht="14.25" customHeight="1" s="192">
      <c r="W17078" s="33" t="n"/>
      <c r="X17078" s="33" t="n"/>
    </row>
    <row r="17080" ht="14.25" customHeight="1" s="192">
      <c r="W17080" s="231" t="n"/>
      <c r="X17080" s="231" t="n"/>
    </row>
    <row r="17081" ht="14.25" customHeight="1" s="192">
      <c r="W17081" s="235" t="n"/>
      <c r="X17081" s="235" t="n"/>
    </row>
    <row r="17082" ht="14.25" customHeight="1" s="192">
      <c r="W17082" s="228" t="n"/>
      <c r="X17082" s="228" t="n"/>
    </row>
    <row r="17083" ht="14.25" customHeight="1" s="192">
      <c r="W17083" s="235" t="n"/>
      <c r="X17083" s="235" t="n"/>
    </row>
    <row r="17084" ht="14.25" customHeight="1" s="192">
      <c r="W17084" s="235" t="n"/>
      <c r="X17084" s="235" t="n"/>
    </row>
    <row r="17085" ht="14.25" customHeight="1" s="192">
      <c r="W17085" s="235" t="n"/>
      <c r="X17085" s="235" t="n"/>
    </row>
    <row r="17086" ht="14.25" customHeight="1" s="192">
      <c r="W17086" s="239" t="n"/>
      <c r="X17086" s="239" t="n"/>
    </row>
    <row r="17087" ht="14.25" customHeight="1" s="192">
      <c r="W17087" s="239" t="n"/>
      <c r="X17087" s="239" t="n"/>
    </row>
    <row r="17088" ht="14.25" customHeight="1" s="192">
      <c r="W17088" s="239" t="n"/>
      <c r="X17088" s="239" t="n"/>
    </row>
    <row r="17089" ht="14.25" customHeight="1" s="192">
      <c r="W17089" s="235" t="n"/>
      <c r="X17089" s="235" t="n"/>
    </row>
    <row r="17090" ht="14.25" customHeight="1" s="192">
      <c r="W17090" s="235" t="n"/>
      <c r="X17090" s="235" t="n"/>
    </row>
    <row r="17091" ht="14.25" customHeight="1" s="192">
      <c r="W17091" s="235" t="n"/>
      <c r="X17091" s="235" t="n"/>
    </row>
    <row r="17092" ht="14.25" customHeight="1" s="192">
      <c r="W17092" s="239" t="n"/>
      <c r="X17092" s="239" t="n"/>
    </row>
    <row r="17093" ht="14.25" customHeight="1" s="192">
      <c r="W17093" s="239" t="n"/>
      <c r="X17093" s="239" t="n"/>
    </row>
    <row r="17094" ht="14.25" customHeight="1" s="192">
      <c r="W17094" s="235" t="n"/>
      <c r="X17094" s="235" t="n"/>
    </row>
    <row r="17095" ht="14.25" customHeight="1" s="192">
      <c r="W17095" s="235" t="n"/>
      <c r="X17095" s="235" t="n"/>
    </row>
    <row r="17096" ht="14.25" customHeight="1" s="192">
      <c r="W17096" s="239" t="n"/>
      <c r="X17096" s="239" t="n"/>
    </row>
    <row r="17097" ht="14.25" customHeight="1" s="192">
      <c r="W17097" s="235" t="n"/>
      <c r="X17097" s="235" t="n"/>
    </row>
    <row r="17098" ht="14.25" customHeight="1" s="192">
      <c r="W17098" s="239" t="n"/>
      <c r="X17098" s="239" t="n"/>
    </row>
    <row r="17100" ht="14.25" customHeight="1" s="192">
      <c r="W17100" s="235" t="n"/>
      <c r="X17100" s="235" t="n"/>
    </row>
    <row r="17101" ht="15" customHeight="1" s="192" thickBot="1">
      <c r="W17101" s="239" t="n"/>
      <c r="X17101" s="239" t="n"/>
    </row>
    <row r="17102" ht="15" customHeight="1" s="192" thickBot="1">
      <c r="W17102" s="45" t="n"/>
      <c r="X17102" s="45" t="n"/>
    </row>
    <row r="17103" ht="14.25" customHeight="1" s="192">
      <c r="W17103" s="228" t="n"/>
      <c r="X17103" s="228" t="n"/>
    </row>
    <row r="17104" ht="14.25" customHeight="1" s="192">
      <c r="W17104" s="228" t="n"/>
      <c r="X17104" s="228" t="n"/>
    </row>
    <row r="17105" ht="14.25" customHeight="1" s="192">
      <c r="W17105" s="231" t="n"/>
      <c r="X17105" s="231" t="n"/>
    </row>
    <row r="17106" ht="14.25" customHeight="1" s="192">
      <c r="W17106" s="33" t="n"/>
      <c r="X17106" s="33" t="n"/>
    </row>
    <row r="17107" ht="14.25" customHeight="1" s="192">
      <c r="W17107" s="231" t="n"/>
      <c r="X17107" s="231" t="n"/>
    </row>
    <row r="17108" ht="14.25" customHeight="1" s="192">
      <c r="W17108" s="33" t="n"/>
      <c r="X17108" s="33" t="n"/>
    </row>
    <row r="17110" ht="14.25" customHeight="1" s="192">
      <c r="W17110" s="231" t="n"/>
      <c r="X17110" s="231" t="n"/>
    </row>
    <row r="17111" ht="14.25" customHeight="1" s="192">
      <c r="W17111" s="235" t="n"/>
      <c r="X17111" s="235" t="n"/>
    </row>
    <row r="17112" ht="14.25" customHeight="1" s="192">
      <c r="W17112" s="228" t="n"/>
      <c r="X17112" s="228" t="n"/>
    </row>
    <row r="17113" ht="14.25" customHeight="1" s="192">
      <c r="W17113" s="235" t="n"/>
      <c r="X17113" s="235" t="n"/>
    </row>
    <row r="17114" ht="14.25" customHeight="1" s="192">
      <c r="W17114" s="235" t="n"/>
      <c r="X17114" s="235" t="n"/>
    </row>
    <row r="17115" ht="14.25" customHeight="1" s="192">
      <c r="W17115" s="235" t="n"/>
      <c r="X17115" s="235" t="n"/>
    </row>
    <row r="17116" ht="14.25" customHeight="1" s="192">
      <c r="W17116" s="239" t="n"/>
      <c r="X17116" s="239" t="n"/>
    </row>
    <row r="17117" ht="14.25" customHeight="1" s="192">
      <c r="W17117" s="239" t="n"/>
      <c r="X17117" s="239" t="n"/>
    </row>
    <row r="17118" ht="14.25" customHeight="1" s="192">
      <c r="W17118" s="239" t="n"/>
      <c r="X17118" s="239" t="n"/>
    </row>
    <row r="17119" ht="14.25" customHeight="1" s="192">
      <c r="W17119" s="235" t="n"/>
      <c r="X17119" s="235" t="n"/>
    </row>
    <row r="17120" ht="14.25" customHeight="1" s="192">
      <c r="W17120" s="235" t="n"/>
      <c r="X17120" s="235" t="n"/>
    </row>
    <row r="17121" ht="14.25" customHeight="1" s="192">
      <c r="W17121" s="235" t="n"/>
      <c r="X17121" s="235" t="n"/>
    </row>
    <row r="17122" ht="14.25" customHeight="1" s="192">
      <c r="W17122" s="239" t="n"/>
      <c r="X17122" s="239" t="n"/>
    </row>
    <row r="17123" ht="14.25" customHeight="1" s="192">
      <c r="W17123" s="239" t="n"/>
      <c r="X17123" s="239" t="n"/>
    </row>
    <row r="17124" ht="14.25" customHeight="1" s="192">
      <c r="W17124" s="235" t="n"/>
      <c r="X17124" s="235" t="n"/>
    </row>
    <row r="17125" ht="14.25" customHeight="1" s="192">
      <c r="W17125" s="235" t="n"/>
      <c r="X17125" s="235" t="n"/>
    </row>
    <row r="17126" ht="14.25" customHeight="1" s="192">
      <c r="W17126" s="239" t="n"/>
      <c r="X17126" s="239" t="n"/>
    </row>
    <row r="17127" ht="14.25" customHeight="1" s="192">
      <c r="W17127" s="235" t="n"/>
      <c r="X17127" s="235" t="n"/>
    </row>
    <row r="17128" ht="14.25" customHeight="1" s="192">
      <c r="W17128" s="239" t="n"/>
      <c r="X17128" s="239" t="n"/>
    </row>
    <row r="17130" ht="14.25" customHeight="1" s="192">
      <c r="W17130" s="235" t="n"/>
      <c r="X17130" s="235" t="n"/>
    </row>
    <row r="17131" ht="15" customHeight="1" s="192" thickBot="1">
      <c r="W17131" s="239" t="n"/>
      <c r="X17131" s="239" t="n"/>
    </row>
    <row r="17132" ht="15" customHeight="1" s="192" thickBot="1">
      <c r="W17132" s="45" t="n"/>
      <c r="X17132" s="45" t="n"/>
    </row>
    <row r="17133" ht="14.25" customHeight="1" s="192">
      <c r="W17133" s="228" t="n"/>
      <c r="X17133" s="228" t="n"/>
    </row>
    <row r="17134" ht="14.25" customHeight="1" s="192">
      <c r="W17134" s="228" t="n"/>
      <c r="X17134" s="228" t="n"/>
    </row>
    <row r="17135" ht="14.25" customHeight="1" s="192">
      <c r="W17135" s="231" t="n"/>
      <c r="X17135" s="231" t="n"/>
    </row>
    <row r="17136" ht="14.25" customHeight="1" s="192">
      <c r="W17136" s="33" t="n"/>
      <c r="X17136" s="33" t="n"/>
    </row>
    <row r="17137" ht="14.25" customHeight="1" s="192">
      <c r="W17137" s="231" t="n"/>
      <c r="X17137" s="231" t="n"/>
    </row>
    <row r="17138" ht="14.25" customHeight="1" s="192">
      <c r="W17138" s="33" t="n"/>
      <c r="X17138" s="33" t="n"/>
    </row>
    <row r="17140" ht="14.25" customHeight="1" s="192">
      <c r="W17140" s="231" t="n"/>
      <c r="X17140" s="231" t="n"/>
    </row>
    <row r="17141" ht="14.25" customHeight="1" s="192">
      <c r="W17141" s="235" t="n"/>
      <c r="X17141" s="235" t="n"/>
    </row>
    <row r="17142" ht="14.25" customHeight="1" s="192">
      <c r="W17142" s="228" t="n"/>
      <c r="X17142" s="228" t="n"/>
    </row>
    <row r="17143" ht="14.25" customHeight="1" s="192">
      <c r="W17143" s="235" t="n"/>
      <c r="X17143" s="235" t="n"/>
    </row>
    <row r="17144" ht="14.25" customHeight="1" s="192">
      <c r="W17144" s="235" t="n"/>
      <c r="X17144" s="235" t="n"/>
    </row>
    <row r="17145" ht="14.25" customHeight="1" s="192">
      <c r="W17145" s="235" t="n"/>
      <c r="X17145" s="235" t="n"/>
    </row>
    <row r="17146" ht="14.25" customHeight="1" s="192">
      <c r="W17146" s="239" t="n"/>
      <c r="X17146" s="239" t="n"/>
    </row>
    <row r="17147" ht="14.25" customHeight="1" s="192">
      <c r="W17147" s="239" t="n"/>
      <c r="X17147" s="239" t="n"/>
    </row>
    <row r="17148" ht="14.25" customHeight="1" s="192">
      <c r="W17148" s="239" t="n"/>
      <c r="X17148" s="239" t="n"/>
    </row>
    <row r="17149" ht="14.25" customHeight="1" s="192">
      <c r="W17149" s="235" t="n"/>
      <c r="X17149" s="235" t="n"/>
    </row>
    <row r="17150" ht="14.25" customHeight="1" s="192">
      <c r="W17150" s="235" t="n"/>
      <c r="X17150" s="235" t="n"/>
    </row>
    <row r="17151" ht="14.25" customHeight="1" s="192">
      <c r="W17151" s="235" t="n"/>
      <c r="X17151" s="235" t="n"/>
    </row>
    <row r="17152" ht="14.25" customHeight="1" s="192">
      <c r="W17152" s="239" t="n"/>
      <c r="X17152" s="239" t="n"/>
    </row>
    <row r="17153" ht="14.25" customHeight="1" s="192">
      <c r="W17153" s="239" t="n"/>
      <c r="X17153" s="239" t="n"/>
    </row>
    <row r="17154" ht="14.25" customHeight="1" s="192">
      <c r="W17154" s="235" t="n"/>
      <c r="X17154" s="235" t="n"/>
    </row>
    <row r="17155" ht="14.25" customHeight="1" s="192">
      <c r="W17155" s="235" t="n"/>
      <c r="X17155" s="235" t="n"/>
    </row>
    <row r="17156" ht="14.25" customHeight="1" s="192">
      <c r="W17156" s="239" t="n"/>
      <c r="X17156" s="239" t="n"/>
    </row>
    <row r="17157" ht="14.25" customHeight="1" s="192">
      <c r="W17157" s="235" t="n"/>
      <c r="X17157" s="235" t="n"/>
    </row>
    <row r="17158" ht="14.25" customHeight="1" s="192">
      <c r="W17158" s="239" t="n"/>
      <c r="X17158" s="239" t="n"/>
    </row>
    <row r="17160" ht="14.25" customHeight="1" s="192">
      <c r="W17160" s="235" t="n"/>
      <c r="X17160" s="235" t="n"/>
    </row>
    <row r="17161" ht="15" customHeight="1" s="192" thickBot="1">
      <c r="W17161" s="239" t="n"/>
      <c r="X17161" s="239" t="n"/>
    </row>
    <row r="17162" ht="15" customHeight="1" s="192" thickBot="1">
      <c r="W17162" s="45" t="n"/>
      <c r="X17162" s="45" t="n"/>
    </row>
    <row r="17163" ht="14.25" customHeight="1" s="192">
      <c r="W17163" s="228" t="n"/>
      <c r="X17163" s="228" t="n"/>
    </row>
    <row r="17164" ht="14.25" customHeight="1" s="192">
      <c r="W17164" s="228" t="n"/>
      <c r="X17164" s="228" t="n"/>
    </row>
    <row r="17165" ht="14.25" customHeight="1" s="192">
      <c r="W17165" s="231" t="n"/>
      <c r="X17165" s="231" t="n"/>
    </row>
    <row r="17166" ht="14.25" customHeight="1" s="192">
      <c r="W17166" s="33" t="n"/>
      <c r="X17166" s="33" t="n"/>
    </row>
    <row r="17167" ht="14.25" customHeight="1" s="192">
      <c r="W17167" s="231" t="n"/>
      <c r="X17167" s="231" t="n"/>
    </row>
    <row r="17168" ht="14.25" customHeight="1" s="192">
      <c r="W17168" s="33" t="n"/>
      <c r="X17168" s="33" t="n"/>
    </row>
    <row r="17170" ht="14.25" customHeight="1" s="192">
      <c r="W17170" s="231" t="n"/>
      <c r="X17170" s="231" t="n"/>
    </row>
    <row r="17171" ht="14.25" customHeight="1" s="192">
      <c r="W17171" s="235" t="n"/>
      <c r="X17171" s="235" t="n"/>
    </row>
    <row r="17172" ht="14.25" customHeight="1" s="192">
      <c r="W17172" s="228" t="n"/>
      <c r="X17172" s="228" t="n"/>
    </row>
    <row r="17173" ht="14.25" customHeight="1" s="192">
      <c r="W17173" s="235" t="n"/>
      <c r="X17173" s="235" t="n"/>
    </row>
    <row r="17174" ht="14.25" customHeight="1" s="192">
      <c r="W17174" s="235" t="n"/>
      <c r="X17174" s="235" t="n"/>
    </row>
    <row r="17175" ht="14.25" customHeight="1" s="192">
      <c r="W17175" s="235" t="n"/>
      <c r="X17175" s="235" t="n"/>
    </row>
    <row r="17176" ht="14.25" customHeight="1" s="192">
      <c r="W17176" s="239" t="n"/>
      <c r="X17176" s="239" t="n"/>
    </row>
    <row r="17177" ht="14.25" customHeight="1" s="192">
      <c r="W17177" s="239" t="n"/>
      <c r="X17177" s="239" t="n"/>
    </row>
    <row r="17178" ht="14.25" customHeight="1" s="192">
      <c r="W17178" s="239" t="n"/>
      <c r="X17178" s="239" t="n"/>
    </row>
    <row r="17179" ht="14.25" customHeight="1" s="192">
      <c r="W17179" s="235" t="n"/>
      <c r="X17179" s="235" t="n"/>
    </row>
    <row r="17180" ht="14.25" customHeight="1" s="192">
      <c r="W17180" s="235" t="n"/>
      <c r="X17180" s="235" t="n"/>
    </row>
    <row r="17181" ht="14.25" customHeight="1" s="192">
      <c r="W17181" s="235" t="n"/>
      <c r="X17181" s="235" t="n"/>
    </row>
    <row r="17182" ht="14.25" customHeight="1" s="192">
      <c r="W17182" s="239" t="n"/>
      <c r="X17182" s="239" t="n"/>
    </row>
    <row r="17183" ht="14.25" customHeight="1" s="192">
      <c r="W17183" s="239" t="n"/>
      <c r="X17183" s="239" t="n"/>
    </row>
    <row r="17184" ht="14.25" customHeight="1" s="192">
      <c r="W17184" s="235" t="n"/>
      <c r="X17184" s="235" t="n"/>
    </row>
    <row r="17185" ht="14.25" customHeight="1" s="192">
      <c r="W17185" s="235" t="n"/>
      <c r="X17185" s="235" t="n"/>
    </row>
    <row r="17186" ht="14.25" customHeight="1" s="192">
      <c r="W17186" s="239" t="n"/>
      <c r="X17186" s="239" t="n"/>
    </row>
    <row r="17187" ht="14.25" customHeight="1" s="192">
      <c r="W17187" s="235" t="n"/>
      <c r="X17187" s="235" t="n"/>
    </row>
    <row r="17188" ht="14.25" customHeight="1" s="192">
      <c r="W17188" s="239" t="n"/>
      <c r="X17188" s="239" t="n"/>
    </row>
    <row r="17190" ht="14.25" customHeight="1" s="192">
      <c r="W17190" s="235" t="n"/>
      <c r="X17190" s="235" t="n"/>
    </row>
    <row r="17191" ht="15" customHeight="1" s="192" thickBot="1">
      <c r="W17191" s="239" t="n"/>
      <c r="X17191" s="239" t="n"/>
    </row>
    <row r="17192" ht="15" customHeight="1" s="192" thickBot="1">
      <c r="W17192" s="45" t="n"/>
      <c r="X17192" s="45" t="n"/>
    </row>
    <row r="17193" ht="14.25" customHeight="1" s="192">
      <c r="W17193" s="228" t="n"/>
      <c r="X17193" s="228" t="n"/>
    </row>
    <row r="17194" ht="14.25" customHeight="1" s="192">
      <c r="W17194" s="228" t="n"/>
      <c r="X17194" s="228" t="n"/>
    </row>
    <row r="17195" ht="14.25" customHeight="1" s="192">
      <c r="W17195" s="231" t="n"/>
      <c r="X17195" s="231" t="n"/>
    </row>
    <row r="17196" ht="14.25" customHeight="1" s="192">
      <c r="W17196" s="33" t="n"/>
      <c r="X17196" s="33" t="n"/>
    </row>
    <row r="17197" ht="14.25" customHeight="1" s="192">
      <c r="W17197" s="231" t="n"/>
      <c r="X17197" s="231" t="n"/>
    </row>
    <row r="17198" ht="14.25" customHeight="1" s="192">
      <c r="W17198" s="33" t="n"/>
      <c r="X17198" s="33" t="n"/>
    </row>
    <row r="17200" ht="14.25" customHeight="1" s="192">
      <c r="W17200" s="231" t="n"/>
      <c r="X17200" s="231" t="n"/>
    </row>
    <row r="17201" ht="14.25" customHeight="1" s="192">
      <c r="W17201" s="235" t="n"/>
      <c r="X17201" s="235" t="n"/>
    </row>
    <row r="17202" ht="14.25" customHeight="1" s="192">
      <c r="W17202" s="228" t="n"/>
      <c r="X17202" s="228" t="n"/>
    </row>
    <row r="17203" ht="14.25" customHeight="1" s="192">
      <c r="W17203" s="235" t="n"/>
      <c r="X17203" s="235" t="n"/>
    </row>
    <row r="17204" ht="14.25" customHeight="1" s="192">
      <c r="W17204" s="235" t="n"/>
      <c r="X17204" s="235" t="n"/>
    </row>
    <row r="17205" ht="14.25" customHeight="1" s="192">
      <c r="W17205" s="235" t="n"/>
      <c r="X17205" s="235" t="n"/>
    </row>
    <row r="17206" ht="14.25" customHeight="1" s="192">
      <c r="W17206" s="239" t="n"/>
      <c r="X17206" s="239" t="n"/>
    </row>
    <row r="17207" ht="14.25" customHeight="1" s="192">
      <c r="W17207" s="239" t="n"/>
      <c r="X17207" s="239" t="n"/>
    </row>
    <row r="17208" ht="14.25" customHeight="1" s="192">
      <c r="W17208" s="239" t="n"/>
      <c r="X17208" s="239" t="n"/>
    </row>
    <row r="17209" ht="14.25" customHeight="1" s="192">
      <c r="W17209" s="235" t="n"/>
      <c r="X17209" s="235" t="n"/>
    </row>
    <row r="17210" ht="14.25" customHeight="1" s="192">
      <c r="W17210" s="235" t="n"/>
      <c r="X17210" s="235" t="n"/>
    </row>
    <row r="17211" ht="14.25" customHeight="1" s="192">
      <c r="W17211" s="235" t="n"/>
      <c r="X17211" s="235" t="n"/>
    </row>
    <row r="17212" ht="14.25" customHeight="1" s="192">
      <c r="W17212" s="239" t="n"/>
      <c r="X17212" s="239" t="n"/>
    </row>
    <row r="17213" ht="14.25" customHeight="1" s="192">
      <c r="W17213" s="239" t="n"/>
      <c r="X17213" s="239" t="n"/>
    </row>
    <row r="17214" ht="14.25" customHeight="1" s="192">
      <c r="W17214" s="235" t="n"/>
      <c r="X17214" s="235" t="n"/>
    </row>
    <row r="17215" ht="14.25" customHeight="1" s="192">
      <c r="W17215" s="235" t="n"/>
      <c r="X17215" s="235" t="n"/>
    </row>
    <row r="17216" ht="14.25" customHeight="1" s="192">
      <c r="W17216" s="239" t="n"/>
      <c r="X17216" s="239" t="n"/>
    </row>
    <row r="17217" ht="14.25" customHeight="1" s="192">
      <c r="W17217" s="235" t="n"/>
      <c r="X17217" s="235" t="n"/>
    </row>
    <row r="17218" ht="14.25" customHeight="1" s="192">
      <c r="W17218" s="239" t="n"/>
      <c r="X17218" s="239" t="n"/>
    </row>
    <row r="17220" ht="14.25" customHeight="1" s="192">
      <c r="W17220" s="235" t="n"/>
      <c r="X17220" s="235" t="n"/>
    </row>
    <row r="17221" ht="15" customHeight="1" s="192" thickBot="1">
      <c r="W17221" s="239" t="n"/>
      <c r="X17221" s="239" t="n"/>
    </row>
    <row r="17222" ht="15" customHeight="1" s="192" thickBot="1">
      <c r="W17222" s="45" t="n"/>
      <c r="X17222" s="45" t="n"/>
    </row>
    <row r="17223" ht="14.25" customHeight="1" s="192">
      <c r="W17223" s="228" t="n"/>
      <c r="X17223" s="228" t="n"/>
    </row>
    <row r="17224" ht="14.25" customHeight="1" s="192">
      <c r="W17224" s="228" t="n"/>
      <c r="X17224" s="228" t="n"/>
    </row>
    <row r="17225" ht="14.25" customHeight="1" s="192">
      <c r="W17225" s="231" t="n"/>
      <c r="X17225" s="231" t="n"/>
    </row>
    <row r="17226" ht="14.25" customHeight="1" s="192">
      <c r="W17226" s="33" t="n"/>
      <c r="X17226" s="33" t="n"/>
    </row>
    <row r="17227" ht="14.25" customHeight="1" s="192">
      <c r="W17227" s="231" t="n"/>
      <c r="X17227" s="231" t="n"/>
    </row>
    <row r="17228" ht="14.25" customHeight="1" s="192">
      <c r="W17228" s="33" t="n"/>
      <c r="X17228" s="33" t="n"/>
    </row>
    <row r="17230" ht="14.25" customHeight="1" s="192">
      <c r="W17230" s="231" t="n"/>
      <c r="X17230" s="231" t="n"/>
    </row>
    <row r="17231" ht="14.25" customHeight="1" s="192">
      <c r="W17231" s="235" t="n"/>
      <c r="X17231" s="235" t="n"/>
    </row>
    <row r="17232" ht="14.25" customHeight="1" s="192">
      <c r="W17232" s="228" t="n"/>
      <c r="X17232" s="228" t="n"/>
    </row>
    <row r="17233" ht="14.25" customHeight="1" s="192">
      <c r="W17233" s="235" t="n"/>
      <c r="X17233" s="235" t="n"/>
    </row>
    <row r="17234" ht="14.25" customHeight="1" s="192">
      <c r="W17234" s="235" t="n"/>
      <c r="X17234" s="235" t="n"/>
    </row>
    <row r="17235" ht="14.25" customHeight="1" s="192">
      <c r="W17235" s="235" t="n"/>
      <c r="X17235" s="235" t="n"/>
    </row>
    <row r="17236" ht="14.25" customHeight="1" s="192">
      <c r="W17236" s="239" t="n"/>
      <c r="X17236" s="239" t="n"/>
    </row>
    <row r="17237" ht="14.25" customHeight="1" s="192">
      <c r="W17237" s="239" t="n"/>
      <c r="X17237" s="239" t="n"/>
    </row>
    <row r="17238" ht="14.25" customHeight="1" s="192">
      <c r="W17238" s="239" t="n"/>
      <c r="X17238" s="239" t="n"/>
    </row>
    <row r="17239" ht="14.25" customHeight="1" s="192">
      <c r="W17239" s="235" t="n"/>
      <c r="X17239" s="235" t="n"/>
    </row>
    <row r="17240" ht="14.25" customHeight="1" s="192">
      <c r="W17240" s="235" t="n"/>
      <c r="X17240" s="235" t="n"/>
    </row>
    <row r="17241" ht="14.25" customHeight="1" s="192">
      <c r="W17241" s="235" t="n"/>
      <c r="X17241" s="235" t="n"/>
    </row>
    <row r="17242" ht="14.25" customHeight="1" s="192">
      <c r="W17242" s="239" t="n"/>
      <c r="X17242" s="239" t="n"/>
    </row>
    <row r="17243" ht="14.25" customHeight="1" s="192">
      <c r="W17243" s="239" t="n"/>
      <c r="X17243" s="239" t="n"/>
    </row>
    <row r="17244" ht="14.25" customHeight="1" s="192">
      <c r="W17244" s="235" t="n"/>
      <c r="X17244" s="235" t="n"/>
    </row>
    <row r="17245" ht="14.25" customHeight="1" s="192">
      <c r="W17245" s="235" t="n"/>
      <c r="X17245" s="235" t="n"/>
    </row>
    <row r="17246" ht="14.25" customHeight="1" s="192">
      <c r="W17246" s="239" t="n"/>
      <c r="X17246" s="239" t="n"/>
    </row>
    <row r="17247" ht="14.25" customHeight="1" s="192">
      <c r="W17247" s="235" t="n"/>
      <c r="X17247" s="235" t="n"/>
    </row>
    <row r="17248" ht="14.25" customHeight="1" s="192">
      <c r="W17248" s="239" t="n"/>
      <c r="X17248" s="239" t="n"/>
    </row>
    <row r="17250" ht="14.25" customHeight="1" s="192">
      <c r="W17250" s="235" t="n"/>
      <c r="X17250" s="235" t="n"/>
    </row>
    <row r="17251" ht="15" customHeight="1" s="192" thickBot="1">
      <c r="W17251" s="239" t="n"/>
      <c r="X17251" s="239" t="n"/>
    </row>
    <row r="17252" ht="15" customHeight="1" s="192" thickBot="1">
      <c r="W17252" s="45" t="n"/>
      <c r="X17252" s="45" t="n"/>
    </row>
    <row r="17253" ht="14.25" customHeight="1" s="192">
      <c r="W17253" s="228" t="n"/>
      <c r="X17253" s="228" t="n"/>
    </row>
    <row r="17254" ht="14.25" customHeight="1" s="192">
      <c r="W17254" s="228" t="n"/>
      <c r="X17254" s="228" t="n"/>
    </row>
    <row r="17255" ht="14.25" customHeight="1" s="192">
      <c r="W17255" s="231" t="n"/>
      <c r="X17255" s="231" t="n"/>
    </row>
    <row r="17256" ht="14.25" customHeight="1" s="192">
      <c r="W17256" s="33" t="n"/>
      <c r="X17256" s="33" t="n"/>
    </row>
    <row r="17257" ht="14.25" customHeight="1" s="192">
      <c r="W17257" s="231" t="n"/>
      <c r="X17257" s="231" t="n"/>
    </row>
    <row r="17258" ht="14.25" customHeight="1" s="192">
      <c r="W17258" s="33" t="n"/>
      <c r="X17258" s="33" t="n"/>
    </row>
    <row r="17260" ht="14.25" customHeight="1" s="192">
      <c r="W17260" s="231" t="n"/>
      <c r="X17260" s="231" t="n"/>
    </row>
    <row r="17261" ht="14.25" customHeight="1" s="192">
      <c r="W17261" s="235" t="n"/>
      <c r="X17261" s="235" t="n"/>
    </row>
    <row r="17262" ht="14.25" customHeight="1" s="192">
      <c r="W17262" s="228" t="n"/>
      <c r="X17262" s="228" t="n"/>
    </row>
    <row r="17263" ht="14.25" customHeight="1" s="192">
      <c r="W17263" s="235" t="n"/>
      <c r="X17263" s="235" t="n"/>
    </row>
    <row r="17264" ht="14.25" customHeight="1" s="192">
      <c r="W17264" s="235" t="n"/>
      <c r="X17264" s="235" t="n"/>
    </row>
    <row r="17265" ht="14.25" customHeight="1" s="192">
      <c r="W17265" s="235" t="n"/>
      <c r="X17265" s="235" t="n"/>
    </row>
    <row r="17266" ht="14.25" customHeight="1" s="192">
      <c r="W17266" s="239" t="n"/>
      <c r="X17266" s="239" t="n"/>
    </row>
    <row r="17267" ht="14.25" customHeight="1" s="192">
      <c r="W17267" s="239" t="n"/>
      <c r="X17267" s="239" t="n"/>
    </row>
    <row r="17268" ht="14.25" customHeight="1" s="192">
      <c r="W17268" s="239" t="n"/>
      <c r="X17268" s="239" t="n"/>
    </row>
    <row r="17269" ht="14.25" customHeight="1" s="192">
      <c r="W17269" s="235" t="n"/>
      <c r="X17269" s="235" t="n"/>
    </row>
    <row r="17270" ht="14.25" customHeight="1" s="192">
      <c r="W17270" s="235" t="n"/>
      <c r="X17270" s="235" t="n"/>
    </row>
    <row r="17271" ht="14.25" customHeight="1" s="192">
      <c r="W17271" s="235" t="n"/>
      <c r="X17271" s="235" t="n"/>
    </row>
    <row r="17272" ht="14.25" customHeight="1" s="192">
      <c r="W17272" s="239" t="n"/>
      <c r="X17272" s="239" t="n"/>
    </row>
    <row r="17273" ht="14.25" customHeight="1" s="192">
      <c r="W17273" s="239" t="n"/>
      <c r="X17273" s="239" t="n"/>
    </row>
    <row r="17274" ht="14.25" customHeight="1" s="192">
      <c r="W17274" s="235" t="n"/>
      <c r="X17274" s="235" t="n"/>
    </row>
    <row r="17275" ht="14.25" customHeight="1" s="192">
      <c r="W17275" s="235" t="n"/>
      <c r="X17275" s="235" t="n"/>
    </row>
    <row r="17276" ht="14.25" customHeight="1" s="192">
      <c r="W17276" s="239" t="n"/>
      <c r="X17276" s="239" t="n"/>
    </row>
    <row r="17277" ht="14.25" customHeight="1" s="192">
      <c r="W17277" s="235" t="n"/>
      <c r="X17277" s="235" t="n"/>
    </row>
    <row r="17278" ht="14.25" customHeight="1" s="192">
      <c r="W17278" s="239" t="n"/>
      <c r="X17278" s="239" t="n"/>
    </row>
    <row r="17280" ht="14.25" customHeight="1" s="192">
      <c r="W17280" s="235" t="n"/>
      <c r="X17280" s="235" t="n"/>
    </row>
    <row r="17281" ht="15" customHeight="1" s="192" thickBot="1">
      <c r="W17281" s="239" t="n"/>
      <c r="X17281" s="239" t="n"/>
    </row>
    <row r="17282" ht="15" customHeight="1" s="192" thickBot="1">
      <c r="W17282" s="45" t="n"/>
      <c r="X17282" s="45" t="n"/>
    </row>
    <row r="17283" ht="14.25" customHeight="1" s="192">
      <c r="W17283" s="228" t="n"/>
      <c r="X17283" s="228" t="n"/>
    </row>
    <row r="17284" ht="14.25" customHeight="1" s="192">
      <c r="W17284" s="228" t="n"/>
      <c r="X17284" s="228" t="n"/>
    </row>
    <row r="17285" ht="14.25" customHeight="1" s="192">
      <c r="W17285" s="231" t="n"/>
      <c r="X17285" s="231" t="n"/>
    </row>
    <row r="17286" ht="14.25" customHeight="1" s="192">
      <c r="W17286" s="33" t="n"/>
      <c r="X17286" s="33" t="n"/>
    </row>
    <row r="17287" ht="14.25" customHeight="1" s="192">
      <c r="W17287" s="231" t="n"/>
      <c r="X17287" s="231" t="n"/>
    </row>
    <row r="17288" ht="14.25" customHeight="1" s="192">
      <c r="W17288" s="33" t="n"/>
      <c r="X17288" s="33" t="n"/>
    </row>
    <row r="17290" ht="14.25" customHeight="1" s="192">
      <c r="W17290" s="231" t="n"/>
      <c r="X17290" s="231" t="n"/>
    </row>
    <row r="17291" ht="14.25" customHeight="1" s="192">
      <c r="W17291" s="235" t="n"/>
      <c r="X17291" s="235" t="n"/>
    </row>
    <row r="17292" ht="14.25" customHeight="1" s="192">
      <c r="W17292" s="228" t="n"/>
      <c r="X17292" s="228" t="n"/>
    </row>
    <row r="17293" ht="14.25" customHeight="1" s="192">
      <c r="W17293" s="235" t="n"/>
      <c r="X17293" s="235" t="n"/>
    </row>
    <row r="17294" ht="14.25" customHeight="1" s="192">
      <c r="W17294" s="235" t="n"/>
      <c r="X17294" s="235" t="n"/>
    </row>
    <row r="17295" ht="14.25" customHeight="1" s="192">
      <c r="W17295" s="235" t="n"/>
      <c r="X17295" s="235" t="n"/>
    </row>
    <row r="17296" ht="14.25" customHeight="1" s="192">
      <c r="W17296" s="239" t="n"/>
      <c r="X17296" s="239" t="n"/>
    </row>
    <row r="17297" ht="14.25" customHeight="1" s="192">
      <c r="W17297" s="239" t="n"/>
      <c r="X17297" s="239" t="n"/>
    </row>
    <row r="17298" ht="14.25" customHeight="1" s="192">
      <c r="W17298" s="239" t="n"/>
      <c r="X17298" s="239" t="n"/>
    </row>
    <row r="17299" ht="14.25" customHeight="1" s="192">
      <c r="W17299" s="235" t="n"/>
      <c r="X17299" s="235" t="n"/>
    </row>
    <row r="17300" ht="14.25" customHeight="1" s="192">
      <c r="W17300" s="235" t="n"/>
      <c r="X17300" s="235" t="n"/>
    </row>
    <row r="17301" ht="14.25" customHeight="1" s="192">
      <c r="W17301" s="235" t="n"/>
      <c r="X17301" s="235" t="n"/>
    </row>
    <row r="17302" ht="14.25" customHeight="1" s="192">
      <c r="W17302" s="239" t="n"/>
      <c r="X17302" s="239" t="n"/>
    </row>
    <row r="17303" ht="14.25" customHeight="1" s="192">
      <c r="W17303" s="239" t="n"/>
      <c r="X17303" s="239" t="n"/>
    </row>
    <row r="17304" ht="14.25" customHeight="1" s="192">
      <c r="W17304" s="235" t="n"/>
      <c r="X17304" s="235" t="n"/>
    </row>
    <row r="17305" ht="14.25" customHeight="1" s="192">
      <c r="W17305" s="235" t="n"/>
      <c r="X17305" s="235" t="n"/>
    </row>
    <row r="17306" ht="14.25" customHeight="1" s="192">
      <c r="W17306" s="239" t="n"/>
      <c r="X17306" s="239" t="n"/>
    </row>
    <row r="17307" ht="14.25" customHeight="1" s="192">
      <c r="W17307" s="235" t="n"/>
      <c r="X17307" s="235" t="n"/>
    </row>
    <row r="17308" ht="14.25" customHeight="1" s="192">
      <c r="W17308" s="239" t="n"/>
      <c r="X17308" s="239" t="n"/>
    </row>
    <row r="17310" ht="14.25" customHeight="1" s="192">
      <c r="W17310" s="235" t="n"/>
      <c r="X17310" s="235" t="n"/>
    </row>
    <row r="17311" ht="15" customHeight="1" s="192" thickBot="1">
      <c r="W17311" s="239" t="n"/>
      <c r="X17311" s="239" t="n"/>
    </row>
    <row r="17312" ht="15" customHeight="1" s="192" thickBot="1">
      <c r="W17312" s="45" t="n"/>
      <c r="X17312" s="45" t="n"/>
    </row>
    <row r="17313" ht="14.25" customHeight="1" s="192">
      <c r="W17313" s="228" t="n"/>
      <c r="X17313" s="228" t="n"/>
    </row>
    <row r="17314" ht="14.25" customHeight="1" s="192">
      <c r="W17314" s="228" t="n"/>
      <c r="X17314" s="228" t="n"/>
    </row>
    <row r="17315" ht="14.25" customHeight="1" s="192">
      <c r="W17315" s="231" t="n"/>
      <c r="X17315" s="231" t="n"/>
    </row>
    <row r="17316" ht="14.25" customHeight="1" s="192">
      <c r="W17316" s="33" t="n"/>
      <c r="X17316" s="33" t="n"/>
    </row>
    <row r="17317" ht="14.25" customHeight="1" s="192">
      <c r="W17317" s="231" t="n"/>
      <c r="X17317" s="231" t="n"/>
    </row>
    <row r="17318" ht="14.25" customHeight="1" s="192">
      <c r="W17318" s="33" t="n"/>
      <c r="X17318" s="33" t="n"/>
    </row>
    <row r="17320" ht="14.25" customHeight="1" s="192">
      <c r="W17320" s="231" t="n"/>
      <c r="X17320" s="231" t="n"/>
    </row>
    <row r="17321" ht="14.25" customHeight="1" s="192">
      <c r="W17321" s="235" t="n"/>
      <c r="X17321" s="235" t="n"/>
    </row>
    <row r="17322" ht="14.25" customHeight="1" s="192">
      <c r="W17322" s="228" t="n"/>
      <c r="X17322" s="228" t="n"/>
    </row>
    <row r="17323" ht="14.25" customHeight="1" s="192">
      <c r="W17323" s="235" t="n"/>
      <c r="X17323" s="235" t="n"/>
    </row>
    <row r="17324" ht="14.25" customHeight="1" s="192">
      <c r="W17324" s="235" t="n"/>
      <c r="X17324" s="235" t="n"/>
    </row>
    <row r="17325" ht="14.25" customHeight="1" s="192">
      <c r="W17325" s="235" t="n"/>
      <c r="X17325" s="235" t="n"/>
    </row>
    <row r="17326" ht="14.25" customHeight="1" s="192">
      <c r="W17326" s="239" t="n"/>
      <c r="X17326" s="239" t="n"/>
    </row>
    <row r="17327" ht="14.25" customHeight="1" s="192">
      <c r="W17327" s="239" t="n"/>
      <c r="X17327" s="239" t="n"/>
    </row>
    <row r="17328" ht="14.25" customHeight="1" s="192">
      <c r="W17328" s="239" t="n"/>
      <c r="X17328" s="239" t="n"/>
    </row>
    <row r="17329" ht="14.25" customHeight="1" s="192">
      <c r="W17329" s="235" t="n"/>
      <c r="X17329" s="235" t="n"/>
    </row>
    <row r="17330" ht="14.25" customHeight="1" s="192">
      <c r="W17330" s="235" t="n"/>
      <c r="X17330" s="235" t="n"/>
    </row>
    <row r="17331" ht="14.25" customHeight="1" s="192">
      <c r="W17331" s="235" t="n"/>
      <c r="X17331" s="235" t="n"/>
    </row>
    <row r="17332" ht="14.25" customHeight="1" s="192">
      <c r="W17332" s="239" t="n"/>
      <c r="X17332" s="239" t="n"/>
    </row>
    <row r="17333" ht="14.25" customHeight="1" s="192">
      <c r="W17333" s="239" t="n"/>
      <c r="X17333" s="239" t="n"/>
    </row>
    <row r="17334" ht="14.25" customHeight="1" s="192">
      <c r="W17334" s="235" t="n"/>
      <c r="X17334" s="235" t="n"/>
    </row>
    <row r="17335" ht="14.25" customHeight="1" s="192">
      <c r="W17335" s="235" t="n"/>
      <c r="X17335" s="235" t="n"/>
    </row>
    <row r="17336" ht="14.25" customHeight="1" s="192">
      <c r="W17336" s="239" t="n"/>
      <c r="X17336" s="239" t="n"/>
    </row>
    <row r="17337" ht="14.25" customHeight="1" s="192">
      <c r="W17337" s="235" t="n"/>
      <c r="X17337" s="235" t="n"/>
    </row>
    <row r="17338" ht="14.25" customHeight="1" s="192">
      <c r="W17338" s="239" t="n"/>
      <c r="X17338" s="239" t="n"/>
    </row>
    <row r="17340" ht="14.25" customHeight="1" s="192">
      <c r="W17340" s="235" t="n"/>
      <c r="X17340" s="235" t="n"/>
    </row>
    <row r="17341" ht="15" customHeight="1" s="192" thickBot="1">
      <c r="W17341" s="239" t="n"/>
      <c r="X17341" s="239" t="n"/>
    </row>
    <row r="17342" ht="15" customHeight="1" s="192" thickBot="1">
      <c r="W17342" s="45" t="n"/>
      <c r="X17342" s="45" t="n"/>
    </row>
    <row r="17343" ht="14.25" customHeight="1" s="192">
      <c r="W17343" s="228" t="n"/>
      <c r="X17343" s="228" t="n"/>
    </row>
    <row r="17344" ht="14.25" customHeight="1" s="192">
      <c r="W17344" s="228" t="n"/>
      <c r="X17344" s="228" t="n"/>
    </row>
    <row r="17345" ht="14.25" customHeight="1" s="192">
      <c r="W17345" s="231" t="n"/>
      <c r="X17345" s="231" t="n"/>
    </row>
    <row r="17346" ht="14.25" customHeight="1" s="192">
      <c r="W17346" s="33" t="n"/>
      <c r="X17346" s="33" t="n"/>
    </row>
    <row r="17347" ht="14.25" customHeight="1" s="192">
      <c r="W17347" s="231" t="n"/>
      <c r="X17347" s="231" t="n"/>
    </row>
    <row r="17348" ht="14.25" customHeight="1" s="192">
      <c r="W17348" s="33" t="n"/>
      <c r="X17348" s="33" t="n"/>
    </row>
    <row r="17350" ht="14.25" customHeight="1" s="192">
      <c r="W17350" s="231" t="n"/>
      <c r="X17350" s="231" t="n"/>
    </row>
    <row r="17351" ht="14.25" customHeight="1" s="192">
      <c r="W17351" s="235" t="n"/>
      <c r="X17351" s="235" t="n"/>
    </row>
    <row r="17352" ht="14.25" customHeight="1" s="192">
      <c r="W17352" s="228" t="n"/>
      <c r="X17352" s="228" t="n"/>
    </row>
    <row r="17353" ht="14.25" customHeight="1" s="192">
      <c r="W17353" s="235" t="n"/>
      <c r="X17353" s="235" t="n"/>
    </row>
    <row r="17354" ht="14.25" customHeight="1" s="192">
      <c r="W17354" s="235" t="n"/>
      <c r="X17354" s="235" t="n"/>
    </row>
    <row r="17355" ht="14.25" customHeight="1" s="192">
      <c r="W17355" s="235" t="n"/>
      <c r="X17355" s="235" t="n"/>
    </row>
    <row r="17356" ht="14.25" customHeight="1" s="192">
      <c r="W17356" s="239" t="n"/>
      <c r="X17356" s="239" t="n"/>
    </row>
    <row r="17357" ht="14.25" customHeight="1" s="192">
      <c r="W17357" s="239" t="n"/>
      <c r="X17357" s="239" t="n"/>
    </row>
    <row r="17358" ht="14.25" customHeight="1" s="192">
      <c r="W17358" s="239" t="n"/>
      <c r="X17358" s="239" t="n"/>
    </row>
    <row r="17359" ht="14.25" customHeight="1" s="192">
      <c r="W17359" s="235" t="n"/>
      <c r="X17359" s="235" t="n"/>
    </row>
    <row r="17360" ht="14.25" customHeight="1" s="192">
      <c r="W17360" s="235" t="n"/>
      <c r="X17360" s="235" t="n"/>
    </row>
    <row r="17361" ht="14.25" customHeight="1" s="192">
      <c r="W17361" s="235" t="n"/>
      <c r="X17361" s="235" t="n"/>
    </row>
    <row r="17362" ht="14.25" customHeight="1" s="192">
      <c r="W17362" s="239" t="n"/>
      <c r="X17362" s="239" t="n"/>
    </row>
    <row r="17363" ht="14.25" customHeight="1" s="192">
      <c r="W17363" s="239" t="n"/>
      <c r="X17363" s="239" t="n"/>
    </row>
    <row r="17364" ht="14.25" customHeight="1" s="192">
      <c r="W17364" s="235" t="n"/>
      <c r="X17364" s="235" t="n"/>
    </row>
    <row r="17365" ht="14.25" customHeight="1" s="192">
      <c r="W17365" s="235" t="n"/>
      <c r="X17365" s="235" t="n"/>
    </row>
    <row r="17366" ht="14.25" customHeight="1" s="192">
      <c r="W17366" s="239" t="n"/>
      <c r="X17366" s="239" t="n"/>
    </row>
    <row r="17367" ht="14.25" customHeight="1" s="192">
      <c r="W17367" s="235" t="n"/>
      <c r="X17367" s="235" t="n"/>
    </row>
    <row r="17368" ht="14.25" customHeight="1" s="192">
      <c r="W17368" s="239" t="n"/>
      <c r="X17368" s="239" t="n"/>
    </row>
    <row r="17370" ht="14.25" customHeight="1" s="192">
      <c r="W17370" s="235" t="n"/>
      <c r="X17370" s="235" t="n"/>
    </row>
    <row r="17371" ht="15" customHeight="1" s="192" thickBot="1">
      <c r="W17371" s="239" t="n"/>
      <c r="X17371" s="239" t="n"/>
    </row>
    <row r="17372" ht="15" customHeight="1" s="192" thickBot="1">
      <c r="W17372" s="45" t="n"/>
      <c r="X17372" s="45" t="n"/>
    </row>
    <row r="17373" ht="14.25" customHeight="1" s="192">
      <c r="W17373" s="228" t="n"/>
      <c r="X17373" s="228" t="n"/>
    </row>
    <row r="17374" ht="14.25" customHeight="1" s="192">
      <c r="W17374" s="228" t="n"/>
      <c r="X17374" s="228" t="n"/>
    </row>
    <row r="17375" ht="14.25" customHeight="1" s="192">
      <c r="W17375" s="231" t="n"/>
      <c r="X17375" s="231" t="n"/>
    </row>
    <row r="17376" ht="14.25" customHeight="1" s="192">
      <c r="W17376" s="33" t="n"/>
      <c r="X17376" s="33" t="n"/>
    </row>
    <row r="17377" ht="14.25" customHeight="1" s="192">
      <c r="W17377" s="231" t="n"/>
      <c r="X17377" s="231" t="n"/>
    </row>
    <row r="17378" ht="14.25" customHeight="1" s="192">
      <c r="W17378" s="33" t="n"/>
      <c r="X17378" s="33" t="n"/>
    </row>
    <row r="17380" ht="14.25" customHeight="1" s="192">
      <c r="W17380" s="231" t="n"/>
      <c r="X17380" s="231" t="n"/>
    </row>
    <row r="17381" ht="14.25" customHeight="1" s="192">
      <c r="W17381" s="235" t="n"/>
      <c r="X17381" s="235" t="n"/>
    </row>
    <row r="17382" ht="14.25" customHeight="1" s="192">
      <c r="W17382" s="228" t="n"/>
      <c r="X17382" s="228" t="n"/>
    </row>
    <row r="17383" ht="14.25" customHeight="1" s="192">
      <c r="W17383" s="235" t="n"/>
      <c r="X17383" s="235" t="n"/>
    </row>
    <row r="17384" ht="14.25" customHeight="1" s="192">
      <c r="W17384" s="235" t="n"/>
      <c r="X17384" s="235" t="n"/>
    </row>
    <row r="17385" ht="14.25" customHeight="1" s="192">
      <c r="W17385" s="235" t="n"/>
      <c r="X17385" s="235" t="n"/>
    </row>
    <row r="17386" ht="14.25" customHeight="1" s="192">
      <c r="W17386" s="239" t="n"/>
      <c r="X17386" s="239" t="n"/>
    </row>
    <row r="17387" ht="14.25" customHeight="1" s="192">
      <c r="W17387" s="239" t="n"/>
      <c r="X17387" s="239" t="n"/>
    </row>
    <row r="17388" ht="14.25" customHeight="1" s="192">
      <c r="W17388" s="239" t="n"/>
      <c r="X17388" s="239" t="n"/>
    </row>
    <row r="17389" ht="14.25" customHeight="1" s="192">
      <c r="W17389" s="235" t="n"/>
      <c r="X17389" s="235" t="n"/>
    </row>
    <row r="17390" ht="14.25" customHeight="1" s="192">
      <c r="W17390" s="235" t="n"/>
      <c r="X17390" s="235" t="n"/>
    </row>
    <row r="17391" ht="14.25" customHeight="1" s="192">
      <c r="W17391" s="235" t="n"/>
      <c r="X17391" s="235" t="n"/>
    </row>
    <row r="17392" ht="14.25" customHeight="1" s="192">
      <c r="W17392" s="239" t="n"/>
      <c r="X17392" s="239" t="n"/>
    </row>
    <row r="17393" ht="14.25" customHeight="1" s="192">
      <c r="W17393" s="239" t="n"/>
      <c r="X17393" s="239" t="n"/>
    </row>
    <row r="17394" ht="14.25" customHeight="1" s="192">
      <c r="W17394" s="235" t="n"/>
      <c r="X17394" s="235" t="n"/>
    </row>
    <row r="17395" ht="14.25" customHeight="1" s="192">
      <c r="W17395" s="235" t="n"/>
      <c r="X17395" s="235" t="n"/>
    </row>
    <row r="17396" ht="14.25" customHeight="1" s="192">
      <c r="W17396" s="239" t="n"/>
      <c r="X17396" s="239" t="n"/>
    </row>
    <row r="17397" ht="14.25" customHeight="1" s="192">
      <c r="W17397" s="235" t="n"/>
      <c r="X17397" s="235" t="n"/>
    </row>
    <row r="17398" ht="14.25" customHeight="1" s="192">
      <c r="W17398" s="239" t="n"/>
      <c r="X17398" s="239" t="n"/>
    </row>
    <row r="17400" ht="14.25" customHeight="1" s="192">
      <c r="W17400" s="235" t="n"/>
      <c r="X17400" s="235" t="n"/>
    </row>
    <row r="17401" ht="15" customHeight="1" s="192" thickBot="1">
      <c r="W17401" s="239" t="n"/>
      <c r="X17401" s="239" t="n"/>
    </row>
    <row r="17402" ht="15" customHeight="1" s="192" thickBot="1">
      <c r="W17402" s="45" t="n"/>
      <c r="X17402" s="45" t="n"/>
    </row>
    <row r="17403" ht="14.25" customHeight="1" s="192">
      <c r="W17403" s="228" t="n"/>
      <c r="X17403" s="228" t="n"/>
    </row>
    <row r="17404" ht="14.25" customHeight="1" s="192">
      <c r="W17404" s="228" t="n"/>
      <c r="X17404" s="228" t="n"/>
    </row>
    <row r="17405" ht="14.25" customHeight="1" s="192">
      <c r="W17405" s="231" t="n"/>
      <c r="X17405" s="231" t="n"/>
    </row>
    <row r="17406" ht="14.25" customHeight="1" s="192">
      <c r="W17406" s="33" t="n"/>
      <c r="X17406" s="33" t="n"/>
    </row>
    <row r="17407" ht="14.25" customHeight="1" s="192">
      <c r="W17407" s="231" t="n"/>
      <c r="X17407" s="231" t="n"/>
    </row>
    <row r="17408" ht="14.25" customHeight="1" s="192">
      <c r="W17408" s="33" t="n"/>
      <c r="X17408" s="33" t="n"/>
    </row>
    <row r="17410" ht="14.25" customHeight="1" s="192">
      <c r="W17410" s="231" t="n"/>
      <c r="X17410" s="231" t="n"/>
    </row>
    <row r="17411" ht="14.25" customHeight="1" s="192">
      <c r="W17411" s="235" t="n"/>
      <c r="X17411" s="235" t="n"/>
    </row>
    <row r="17412" ht="14.25" customHeight="1" s="192">
      <c r="W17412" s="228" t="n"/>
      <c r="X17412" s="228" t="n"/>
    </row>
    <row r="17413" ht="14.25" customHeight="1" s="192">
      <c r="W17413" s="235" t="n"/>
      <c r="X17413" s="235" t="n"/>
    </row>
    <row r="17414" ht="14.25" customHeight="1" s="192">
      <c r="W17414" s="235" t="n"/>
      <c r="X17414" s="235" t="n"/>
    </row>
    <row r="17415" ht="14.25" customHeight="1" s="192">
      <c r="W17415" s="235" t="n"/>
      <c r="X17415" s="235" t="n"/>
    </row>
    <row r="17416" ht="14.25" customHeight="1" s="192">
      <c r="W17416" s="239" t="n"/>
      <c r="X17416" s="239" t="n"/>
    </row>
    <row r="17417" ht="14.25" customHeight="1" s="192">
      <c r="W17417" s="239" t="n"/>
      <c r="X17417" s="239" t="n"/>
    </row>
    <row r="17418" ht="14.25" customHeight="1" s="192">
      <c r="W17418" s="239" t="n"/>
      <c r="X17418" s="239" t="n"/>
    </row>
    <row r="17419" ht="14.25" customHeight="1" s="192">
      <c r="W17419" s="235" t="n"/>
      <c r="X17419" s="235" t="n"/>
    </row>
    <row r="17420" ht="14.25" customHeight="1" s="192">
      <c r="W17420" s="235" t="n"/>
      <c r="X17420" s="235" t="n"/>
    </row>
    <row r="17421" ht="14.25" customHeight="1" s="192">
      <c r="W17421" s="235" t="n"/>
      <c r="X17421" s="235" t="n"/>
    </row>
    <row r="17422" ht="14.25" customHeight="1" s="192">
      <c r="W17422" s="239" t="n"/>
      <c r="X17422" s="239" t="n"/>
    </row>
    <row r="17423" ht="14.25" customHeight="1" s="192">
      <c r="W17423" s="239" t="n"/>
      <c r="X17423" s="239" t="n"/>
    </row>
    <row r="17424" ht="14.25" customHeight="1" s="192">
      <c r="W17424" s="235" t="n"/>
      <c r="X17424" s="235" t="n"/>
    </row>
    <row r="17425" ht="14.25" customHeight="1" s="192">
      <c r="W17425" s="235" t="n"/>
      <c r="X17425" s="235" t="n"/>
    </row>
    <row r="17426" ht="14.25" customHeight="1" s="192">
      <c r="W17426" s="239" t="n"/>
      <c r="X17426" s="239" t="n"/>
    </row>
    <row r="17427" ht="14.25" customHeight="1" s="192">
      <c r="W17427" s="235" t="n"/>
      <c r="X17427" s="235" t="n"/>
    </row>
    <row r="17428" ht="14.25" customHeight="1" s="192">
      <c r="W17428" s="239" t="n"/>
      <c r="X17428" s="239" t="n"/>
    </row>
    <row r="17430" ht="14.25" customHeight="1" s="192">
      <c r="W17430" s="235" t="n"/>
      <c r="X17430" s="235" t="n"/>
    </row>
    <row r="17431" ht="15" customHeight="1" s="192" thickBot="1">
      <c r="W17431" s="239" t="n"/>
      <c r="X17431" s="239" t="n"/>
    </row>
    <row r="17432" ht="15" customHeight="1" s="192" thickBot="1">
      <c r="W17432" s="45" t="n"/>
      <c r="X17432" s="45" t="n"/>
    </row>
    <row r="17433" ht="14.25" customHeight="1" s="192">
      <c r="W17433" s="228" t="n"/>
      <c r="X17433" s="228" t="n"/>
    </row>
    <row r="17434" ht="14.25" customHeight="1" s="192">
      <c r="W17434" s="228" t="n"/>
      <c r="X17434" s="228" t="n"/>
    </row>
    <row r="17435" ht="14.25" customHeight="1" s="192">
      <c r="W17435" s="231" t="n"/>
      <c r="X17435" s="231" t="n"/>
    </row>
    <row r="17436" ht="14.25" customHeight="1" s="192">
      <c r="W17436" s="33" t="n"/>
      <c r="X17436" s="33" t="n"/>
    </row>
    <row r="17437" ht="14.25" customHeight="1" s="192">
      <c r="W17437" s="231" t="n"/>
      <c r="X17437" s="231" t="n"/>
    </row>
    <row r="17438" ht="14.25" customHeight="1" s="192">
      <c r="W17438" s="33" t="n"/>
      <c r="X17438" s="33" t="n"/>
    </row>
    <row r="17440" ht="14.25" customHeight="1" s="192">
      <c r="W17440" s="231" t="n"/>
      <c r="X17440" s="231" t="n"/>
    </row>
    <row r="17441" ht="14.25" customHeight="1" s="192">
      <c r="W17441" s="235" t="n"/>
      <c r="X17441" s="235" t="n"/>
    </row>
    <row r="17442" ht="14.25" customHeight="1" s="192">
      <c r="W17442" s="228" t="n"/>
      <c r="X17442" s="228" t="n"/>
    </row>
    <row r="17443" ht="14.25" customHeight="1" s="192">
      <c r="W17443" s="235" t="n"/>
      <c r="X17443" s="235" t="n"/>
    </row>
    <row r="17444" ht="14.25" customHeight="1" s="192">
      <c r="W17444" s="235" t="n"/>
      <c r="X17444" s="235" t="n"/>
    </row>
    <row r="17445" ht="14.25" customHeight="1" s="192">
      <c r="W17445" s="235" t="n"/>
      <c r="X17445" s="235" t="n"/>
    </row>
    <row r="17446" ht="14.25" customHeight="1" s="192">
      <c r="W17446" s="239" t="n"/>
      <c r="X17446" s="239" t="n"/>
    </row>
    <row r="17447" ht="14.25" customHeight="1" s="192">
      <c r="W17447" s="239" t="n"/>
      <c r="X17447" s="239" t="n"/>
    </row>
    <row r="17448" ht="14.25" customHeight="1" s="192">
      <c r="W17448" s="239" t="n"/>
      <c r="X17448" s="239" t="n"/>
    </row>
    <row r="17449" ht="14.25" customHeight="1" s="192">
      <c r="W17449" s="235" t="n"/>
      <c r="X17449" s="235" t="n"/>
    </row>
    <row r="17450" ht="14.25" customHeight="1" s="192">
      <c r="W17450" s="235" t="n"/>
      <c r="X17450" s="235" t="n"/>
    </row>
    <row r="17451" ht="14.25" customHeight="1" s="192">
      <c r="W17451" s="235" t="n"/>
      <c r="X17451" s="235" t="n"/>
    </row>
    <row r="17452" ht="14.25" customHeight="1" s="192">
      <c r="W17452" s="239" t="n"/>
      <c r="X17452" s="239" t="n"/>
    </row>
    <row r="17453" ht="14.25" customHeight="1" s="192">
      <c r="W17453" s="239" t="n"/>
      <c r="X17453" s="239" t="n"/>
    </row>
    <row r="17454" ht="14.25" customHeight="1" s="192">
      <c r="W17454" s="235" t="n"/>
      <c r="X17454" s="235" t="n"/>
    </row>
    <row r="17455" ht="14.25" customHeight="1" s="192">
      <c r="W17455" s="235" t="n"/>
      <c r="X17455" s="235" t="n"/>
    </row>
    <row r="17456" ht="14.25" customHeight="1" s="192">
      <c r="W17456" s="239" t="n"/>
      <c r="X17456" s="239" t="n"/>
    </row>
    <row r="17457" ht="14.25" customHeight="1" s="192">
      <c r="W17457" s="235" t="n"/>
      <c r="X17457" s="235" t="n"/>
    </row>
    <row r="17458" ht="14.25" customHeight="1" s="192">
      <c r="W17458" s="239" t="n"/>
      <c r="X17458" s="239" t="n"/>
    </row>
    <row r="17460" ht="14.25" customHeight="1" s="192">
      <c r="W17460" s="235" t="n"/>
      <c r="X17460" s="235" t="n"/>
    </row>
    <row r="17461" ht="15" customHeight="1" s="192" thickBot="1">
      <c r="W17461" s="239" t="n"/>
      <c r="X17461" s="239" t="n"/>
    </row>
    <row r="17462" ht="15" customHeight="1" s="192" thickBot="1">
      <c r="W17462" s="45" t="n"/>
      <c r="X17462" s="45" t="n"/>
    </row>
    <row r="17463" ht="14.25" customHeight="1" s="192">
      <c r="W17463" s="228" t="n"/>
      <c r="X17463" s="228" t="n"/>
    </row>
    <row r="17464" ht="14.25" customHeight="1" s="192">
      <c r="W17464" s="228" t="n"/>
      <c r="X17464" s="228" t="n"/>
    </row>
    <row r="17465" ht="14.25" customHeight="1" s="192">
      <c r="W17465" s="231" t="n"/>
      <c r="X17465" s="231" t="n"/>
    </row>
    <row r="17466" ht="14.25" customHeight="1" s="192">
      <c r="W17466" s="33" t="n"/>
      <c r="X17466" s="33" t="n"/>
    </row>
    <row r="17467" ht="14.25" customHeight="1" s="192">
      <c r="W17467" s="231" t="n"/>
      <c r="X17467" s="231" t="n"/>
    </row>
    <row r="17468" ht="14.25" customHeight="1" s="192">
      <c r="W17468" s="33" t="n"/>
      <c r="X17468" s="33" t="n"/>
    </row>
    <row r="17470" ht="14.25" customHeight="1" s="192">
      <c r="W17470" s="231" t="n"/>
      <c r="X17470" s="231" t="n"/>
    </row>
    <row r="17471" ht="14.25" customHeight="1" s="192">
      <c r="W17471" s="235" t="n"/>
      <c r="X17471" s="235" t="n"/>
    </row>
    <row r="17472" ht="14.25" customHeight="1" s="192">
      <c r="W17472" s="228" t="n"/>
      <c r="X17472" s="228" t="n"/>
    </row>
    <row r="17473" ht="14.25" customHeight="1" s="192">
      <c r="W17473" s="235" t="n"/>
      <c r="X17473" s="235" t="n"/>
    </row>
    <row r="17474" ht="14.25" customHeight="1" s="192">
      <c r="W17474" s="235" t="n"/>
      <c r="X17474" s="235" t="n"/>
    </row>
    <row r="17475" ht="14.25" customHeight="1" s="192">
      <c r="W17475" s="235" t="n"/>
      <c r="X17475" s="235" t="n"/>
    </row>
    <row r="17476" ht="14.25" customHeight="1" s="192">
      <c r="W17476" s="239" t="n"/>
      <c r="X17476" s="239" t="n"/>
    </row>
    <row r="17477" ht="14.25" customHeight="1" s="192">
      <c r="W17477" s="239" t="n"/>
      <c r="X17477" s="239" t="n"/>
    </row>
    <row r="17478" ht="14.25" customHeight="1" s="192">
      <c r="W17478" s="239" t="n"/>
      <c r="X17478" s="239" t="n"/>
    </row>
    <row r="17479" ht="14.25" customHeight="1" s="192">
      <c r="W17479" s="235" t="n"/>
      <c r="X17479" s="235" t="n"/>
    </row>
    <row r="17480" ht="14.25" customHeight="1" s="192">
      <c r="W17480" s="235" t="n"/>
      <c r="X17480" s="235" t="n"/>
    </row>
    <row r="17481" ht="14.25" customHeight="1" s="192">
      <c r="W17481" s="235" t="n"/>
      <c r="X17481" s="235" t="n"/>
    </row>
    <row r="17482" ht="14.25" customHeight="1" s="192">
      <c r="W17482" s="239" t="n"/>
      <c r="X17482" s="239" t="n"/>
    </row>
    <row r="17483" ht="14.25" customHeight="1" s="192">
      <c r="W17483" s="239" t="n"/>
      <c r="X17483" s="239" t="n"/>
    </row>
    <row r="17484" ht="14.25" customHeight="1" s="192">
      <c r="W17484" s="235" t="n"/>
      <c r="X17484" s="235" t="n"/>
    </row>
    <row r="17485" ht="14.25" customHeight="1" s="192">
      <c r="W17485" s="235" t="n"/>
      <c r="X17485" s="235" t="n"/>
    </row>
    <row r="17486" ht="14.25" customHeight="1" s="192">
      <c r="W17486" s="239" t="n"/>
      <c r="X17486" s="239" t="n"/>
    </row>
    <row r="17487" ht="14.25" customHeight="1" s="192">
      <c r="W17487" s="235" t="n"/>
      <c r="X17487" s="235" t="n"/>
    </row>
    <row r="17488" ht="14.25" customHeight="1" s="192">
      <c r="W17488" s="239" t="n"/>
      <c r="X17488" s="239" t="n"/>
    </row>
    <row r="17490" ht="14.25" customHeight="1" s="192">
      <c r="W17490" s="235" t="n"/>
      <c r="X17490" s="235" t="n"/>
    </row>
    <row r="17491" ht="15" customHeight="1" s="192" thickBot="1">
      <c r="W17491" s="239" t="n"/>
      <c r="X17491" s="239" t="n"/>
    </row>
    <row r="17492" ht="15" customHeight="1" s="192" thickBot="1">
      <c r="W17492" s="45" t="n"/>
      <c r="X17492" s="45" t="n"/>
    </row>
    <row r="17493" ht="14.25" customHeight="1" s="192">
      <c r="W17493" s="228" t="n"/>
      <c r="X17493" s="228" t="n"/>
    </row>
    <row r="17494" ht="14.25" customHeight="1" s="192">
      <c r="W17494" s="228" t="n"/>
      <c r="X17494" s="228" t="n"/>
    </row>
    <row r="17495" ht="14.25" customHeight="1" s="192">
      <c r="W17495" s="231" t="n"/>
      <c r="X17495" s="231" t="n"/>
    </row>
    <row r="17496" ht="14.25" customHeight="1" s="192">
      <c r="W17496" s="33" t="n"/>
      <c r="X17496" s="33" t="n"/>
    </row>
    <row r="17497" ht="14.25" customHeight="1" s="192">
      <c r="W17497" s="231" t="n"/>
      <c r="X17497" s="231" t="n"/>
    </row>
    <row r="17498" ht="14.25" customHeight="1" s="192">
      <c r="W17498" s="33" t="n"/>
      <c r="X17498" s="33" t="n"/>
    </row>
    <row r="17500" ht="14.25" customHeight="1" s="192">
      <c r="W17500" s="231" t="n"/>
      <c r="X17500" s="231" t="n"/>
    </row>
    <row r="17501" ht="14.25" customHeight="1" s="192">
      <c r="W17501" s="235" t="n"/>
      <c r="X17501" s="235" t="n"/>
    </row>
    <row r="17502" ht="14.25" customHeight="1" s="192">
      <c r="W17502" s="228" t="n"/>
      <c r="X17502" s="228" t="n"/>
    </row>
    <row r="17503" ht="14.25" customHeight="1" s="192">
      <c r="W17503" s="235" t="n"/>
      <c r="X17503" s="235" t="n"/>
    </row>
    <row r="17504" ht="14.25" customHeight="1" s="192">
      <c r="W17504" s="235" t="n"/>
      <c r="X17504" s="235" t="n"/>
    </row>
    <row r="17505" ht="14.25" customHeight="1" s="192">
      <c r="W17505" s="235" t="n"/>
      <c r="X17505" s="235" t="n"/>
    </row>
    <row r="17506" ht="14.25" customHeight="1" s="192">
      <c r="W17506" s="239" t="n"/>
      <c r="X17506" s="239" t="n"/>
    </row>
    <row r="17507" ht="14.25" customHeight="1" s="192">
      <c r="W17507" s="239" t="n"/>
      <c r="X17507" s="239" t="n"/>
    </row>
    <row r="17508" ht="14.25" customHeight="1" s="192">
      <c r="W17508" s="239" t="n"/>
      <c r="X17508" s="239" t="n"/>
    </row>
    <row r="17509" ht="14.25" customHeight="1" s="192">
      <c r="W17509" s="235" t="n"/>
      <c r="X17509" s="235" t="n"/>
    </row>
    <row r="17510" ht="14.25" customHeight="1" s="192">
      <c r="W17510" s="235" t="n"/>
      <c r="X17510" s="235" t="n"/>
    </row>
    <row r="17511" ht="14.25" customHeight="1" s="192">
      <c r="W17511" s="235" t="n"/>
      <c r="X17511" s="235" t="n"/>
    </row>
    <row r="17512" ht="14.25" customHeight="1" s="192">
      <c r="W17512" s="239" t="n"/>
      <c r="X17512" s="239" t="n"/>
    </row>
    <row r="17513" ht="14.25" customHeight="1" s="192">
      <c r="W17513" s="239" t="n"/>
      <c r="X17513" s="239" t="n"/>
    </row>
    <row r="17514" ht="14.25" customHeight="1" s="192">
      <c r="W17514" s="235" t="n"/>
      <c r="X17514" s="235" t="n"/>
    </row>
    <row r="17515" ht="14.25" customHeight="1" s="192">
      <c r="W17515" s="235" t="n"/>
      <c r="X17515" s="235" t="n"/>
    </row>
    <row r="17516" ht="14.25" customHeight="1" s="192">
      <c r="W17516" s="239" t="n"/>
      <c r="X17516" s="239" t="n"/>
    </row>
    <row r="17517" ht="14.25" customHeight="1" s="192">
      <c r="W17517" s="235" t="n"/>
      <c r="X17517" s="235" t="n"/>
    </row>
    <row r="17518" ht="14.25" customHeight="1" s="192">
      <c r="W17518" s="239" t="n"/>
      <c r="X17518" s="239" t="n"/>
    </row>
    <row r="17520" ht="14.25" customHeight="1" s="192">
      <c r="W17520" s="235" t="n"/>
      <c r="X17520" s="235" t="n"/>
    </row>
    <row r="17521" ht="15" customHeight="1" s="192" thickBot="1">
      <c r="W17521" s="239" t="n"/>
      <c r="X17521" s="239" t="n"/>
    </row>
    <row r="17522" ht="15" customHeight="1" s="192" thickBot="1">
      <c r="W17522" s="45" t="n"/>
      <c r="X17522" s="45" t="n"/>
    </row>
    <row r="17523" ht="14.25" customHeight="1" s="192">
      <c r="W17523" s="228" t="n"/>
      <c r="X17523" s="228" t="n"/>
    </row>
    <row r="17524" ht="14.25" customHeight="1" s="192">
      <c r="W17524" s="228" t="n"/>
      <c r="X17524" s="228" t="n"/>
    </row>
    <row r="17525" ht="14.25" customHeight="1" s="192">
      <c r="W17525" s="231" t="n"/>
      <c r="X17525" s="231" t="n"/>
    </row>
    <row r="17526" ht="14.25" customHeight="1" s="192">
      <c r="W17526" s="33" t="n"/>
      <c r="X17526" s="33" t="n"/>
    </row>
    <row r="17527" ht="14.25" customHeight="1" s="192">
      <c r="W17527" s="231" t="n"/>
      <c r="X17527" s="231" t="n"/>
    </row>
    <row r="17528" ht="14.25" customHeight="1" s="192">
      <c r="W17528" s="33" t="n"/>
      <c r="X17528" s="33" t="n"/>
    </row>
    <row r="17530" ht="14.25" customHeight="1" s="192">
      <c r="W17530" s="231" t="n"/>
      <c r="X17530" s="231" t="n"/>
    </row>
    <row r="17531" ht="14.25" customHeight="1" s="192">
      <c r="W17531" s="235" t="n"/>
      <c r="X17531" s="235" t="n"/>
    </row>
    <row r="17532" ht="14.25" customHeight="1" s="192">
      <c r="W17532" s="228" t="n"/>
      <c r="X17532" s="228" t="n"/>
    </row>
    <row r="17533" ht="14.25" customHeight="1" s="192">
      <c r="W17533" s="235" t="n"/>
      <c r="X17533" s="235" t="n"/>
    </row>
    <row r="17534" ht="14.25" customHeight="1" s="192">
      <c r="W17534" s="235" t="n"/>
      <c r="X17534" s="235" t="n"/>
    </row>
    <row r="17535" ht="14.25" customHeight="1" s="192">
      <c r="W17535" s="235" t="n"/>
      <c r="X17535" s="235" t="n"/>
    </row>
    <row r="17536" ht="14.25" customHeight="1" s="192">
      <c r="W17536" s="239" t="n"/>
      <c r="X17536" s="239" t="n"/>
    </row>
    <row r="17537" ht="14.25" customHeight="1" s="192">
      <c r="W17537" s="239" t="n"/>
      <c r="X17537" s="239" t="n"/>
    </row>
    <row r="17538" ht="14.25" customHeight="1" s="192">
      <c r="W17538" s="239" t="n"/>
      <c r="X17538" s="239" t="n"/>
    </row>
    <row r="17539" ht="14.25" customHeight="1" s="192">
      <c r="W17539" s="235" t="n"/>
      <c r="X17539" s="235" t="n"/>
    </row>
    <row r="17540" ht="14.25" customHeight="1" s="192">
      <c r="W17540" s="235" t="n"/>
      <c r="X17540" s="235" t="n"/>
    </row>
    <row r="17541" ht="14.25" customHeight="1" s="192">
      <c r="W17541" s="235" t="n"/>
      <c r="X17541" s="235" t="n"/>
    </row>
    <row r="17542" ht="14.25" customHeight="1" s="192">
      <c r="W17542" s="239" t="n"/>
      <c r="X17542" s="239" t="n"/>
    </row>
    <row r="17543" ht="14.25" customHeight="1" s="192">
      <c r="W17543" s="239" t="n"/>
      <c r="X17543" s="239" t="n"/>
    </row>
    <row r="17544" ht="14.25" customHeight="1" s="192">
      <c r="W17544" s="235" t="n"/>
      <c r="X17544" s="235" t="n"/>
    </row>
    <row r="17545" ht="14.25" customHeight="1" s="192">
      <c r="W17545" s="235" t="n"/>
      <c r="X17545" s="235" t="n"/>
    </row>
    <row r="17546" ht="14.25" customHeight="1" s="192">
      <c r="W17546" s="239" t="n"/>
      <c r="X17546" s="239" t="n"/>
    </row>
    <row r="17547" ht="14.25" customHeight="1" s="192">
      <c r="W17547" s="235" t="n"/>
      <c r="X17547" s="235" t="n"/>
    </row>
    <row r="17548" ht="14.25" customHeight="1" s="192">
      <c r="W17548" s="239" t="n"/>
      <c r="X17548" s="239" t="n"/>
    </row>
    <row r="17550" ht="14.25" customHeight="1" s="192">
      <c r="W17550" s="235" t="n"/>
      <c r="X17550" s="235" t="n"/>
    </row>
    <row r="17551" ht="15" customHeight="1" s="192" thickBot="1">
      <c r="W17551" s="239" t="n"/>
      <c r="X17551" s="239" t="n"/>
    </row>
    <row r="17552" ht="15" customHeight="1" s="192" thickBot="1">
      <c r="W17552" s="45" t="n"/>
      <c r="X17552" s="45" t="n"/>
    </row>
    <row r="17553" ht="14.25" customHeight="1" s="192">
      <c r="W17553" s="228" t="n"/>
      <c r="X17553" s="228" t="n"/>
    </row>
    <row r="17554" ht="14.25" customHeight="1" s="192">
      <c r="W17554" s="228" t="n"/>
      <c r="X17554" s="228" t="n"/>
    </row>
    <row r="17555" ht="14.25" customHeight="1" s="192">
      <c r="W17555" s="231" t="n"/>
      <c r="X17555" s="231" t="n"/>
    </row>
    <row r="17556" ht="14.25" customHeight="1" s="192">
      <c r="W17556" s="33" t="n"/>
      <c r="X17556" s="33" t="n"/>
    </row>
    <row r="17557" ht="14.25" customHeight="1" s="192">
      <c r="W17557" s="231" t="n"/>
      <c r="X17557" s="231" t="n"/>
    </row>
    <row r="17558" ht="14.25" customHeight="1" s="192">
      <c r="W17558" s="33" t="n"/>
      <c r="X17558" s="33" t="n"/>
    </row>
    <row r="17560" ht="14.25" customHeight="1" s="192">
      <c r="W17560" s="231" t="n"/>
      <c r="X17560" s="231" t="n"/>
    </row>
    <row r="17561" ht="14.25" customHeight="1" s="192">
      <c r="W17561" s="235" t="n"/>
      <c r="X17561" s="235" t="n"/>
    </row>
    <row r="17562" ht="14.25" customHeight="1" s="192">
      <c r="W17562" s="228" t="n"/>
      <c r="X17562" s="228" t="n"/>
    </row>
    <row r="17563" ht="14.25" customHeight="1" s="192">
      <c r="W17563" s="235" t="n"/>
      <c r="X17563" s="235" t="n"/>
    </row>
    <row r="17564" ht="14.25" customHeight="1" s="192">
      <c r="W17564" s="235" t="n"/>
      <c r="X17564" s="235" t="n"/>
    </row>
    <row r="17565" ht="14.25" customHeight="1" s="192">
      <c r="W17565" s="235" t="n"/>
      <c r="X17565" s="235" t="n"/>
    </row>
    <row r="17566" ht="14.25" customHeight="1" s="192">
      <c r="W17566" s="239" t="n"/>
      <c r="X17566" s="239" t="n"/>
    </row>
    <row r="17567" ht="14.25" customHeight="1" s="192">
      <c r="W17567" s="239" t="n"/>
      <c r="X17567" s="239" t="n"/>
    </row>
    <row r="17568" ht="14.25" customHeight="1" s="192">
      <c r="W17568" s="239" t="n"/>
      <c r="X17568" s="239" t="n"/>
    </row>
    <row r="17569" ht="14.25" customHeight="1" s="192">
      <c r="W17569" s="235" t="n"/>
      <c r="X17569" s="235" t="n"/>
    </row>
    <row r="17570" ht="14.25" customHeight="1" s="192">
      <c r="W17570" s="235" t="n"/>
      <c r="X17570" s="235" t="n"/>
    </row>
    <row r="17571" ht="14.25" customHeight="1" s="192">
      <c r="W17571" s="235" t="n"/>
      <c r="X17571" s="235" t="n"/>
    </row>
    <row r="17572" ht="14.25" customHeight="1" s="192">
      <c r="W17572" s="239" t="n"/>
      <c r="X17572" s="239" t="n"/>
    </row>
    <row r="17573" ht="14.25" customHeight="1" s="192">
      <c r="W17573" s="239" t="n"/>
      <c r="X17573" s="239" t="n"/>
    </row>
    <row r="17574" ht="14.25" customHeight="1" s="192">
      <c r="W17574" s="235" t="n"/>
      <c r="X17574" s="235" t="n"/>
    </row>
    <row r="17575" ht="14.25" customHeight="1" s="192">
      <c r="W17575" s="235" t="n"/>
      <c r="X17575" s="235" t="n"/>
    </row>
    <row r="17576" ht="14.25" customHeight="1" s="192">
      <c r="W17576" s="239" t="n"/>
      <c r="X17576" s="239" t="n"/>
    </row>
    <row r="17577" ht="14.25" customHeight="1" s="192">
      <c r="W17577" s="235" t="n"/>
      <c r="X17577" s="235" t="n"/>
    </row>
    <row r="17578" ht="14.25" customHeight="1" s="192">
      <c r="W17578" s="239" t="n"/>
      <c r="X17578" s="239" t="n"/>
    </row>
    <row r="17580" ht="14.25" customHeight="1" s="192">
      <c r="W17580" s="235" t="n"/>
      <c r="X17580" s="235" t="n"/>
    </row>
    <row r="17581" ht="15" customHeight="1" s="192" thickBot="1">
      <c r="W17581" s="239" t="n"/>
      <c r="X17581" s="239" t="n"/>
    </row>
    <row r="17582" ht="15" customHeight="1" s="192" thickBot="1">
      <c r="W17582" s="45" t="n"/>
      <c r="X17582" s="45" t="n"/>
    </row>
    <row r="17583" ht="14.25" customHeight="1" s="192">
      <c r="W17583" s="228" t="n"/>
      <c r="X17583" s="228" t="n"/>
    </row>
    <row r="17584" ht="14.25" customHeight="1" s="192">
      <c r="W17584" s="228" t="n"/>
      <c r="X17584" s="228" t="n"/>
    </row>
    <row r="17585" ht="14.25" customHeight="1" s="192">
      <c r="W17585" s="231" t="n"/>
      <c r="X17585" s="231" t="n"/>
    </row>
    <row r="17586" ht="14.25" customHeight="1" s="192">
      <c r="W17586" s="33" t="n"/>
      <c r="X17586" s="33" t="n"/>
    </row>
    <row r="17587" ht="14.25" customHeight="1" s="192">
      <c r="W17587" s="231" t="n"/>
      <c r="X17587" s="231" t="n"/>
    </row>
    <row r="17588" ht="14.25" customHeight="1" s="192">
      <c r="W17588" s="33" t="n"/>
      <c r="X17588" s="33" t="n"/>
    </row>
    <row r="17590" ht="14.25" customHeight="1" s="192">
      <c r="W17590" s="231" t="n"/>
      <c r="X17590" s="231" t="n"/>
    </row>
    <row r="17591" ht="14.25" customHeight="1" s="192">
      <c r="W17591" s="235" t="n"/>
      <c r="X17591" s="235" t="n"/>
    </row>
    <row r="17592" ht="14.25" customHeight="1" s="192">
      <c r="W17592" s="228" t="n"/>
      <c r="X17592" s="228" t="n"/>
    </row>
    <row r="17593" ht="14.25" customHeight="1" s="192">
      <c r="W17593" s="235" t="n"/>
      <c r="X17593" s="235" t="n"/>
    </row>
    <row r="17594" ht="14.25" customHeight="1" s="192">
      <c r="W17594" s="235" t="n"/>
      <c r="X17594" s="235" t="n"/>
    </row>
    <row r="17595" ht="14.25" customHeight="1" s="192">
      <c r="W17595" s="235" t="n"/>
      <c r="X17595" s="235" t="n"/>
    </row>
    <row r="17596" ht="14.25" customHeight="1" s="192">
      <c r="W17596" s="239" t="n"/>
      <c r="X17596" s="239" t="n"/>
    </row>
    <row r="17597" ht="14.25" customHeight="1" s="192">
      <c r="W17597" s="239" t="n"/>
      <c r="X17597" s="239" t="n"/>
    </row>
    <row r="17598" ht="14.25" customHeight="1" s="192">
      <c r="W17598" s="239" t="n"/>
      <c r="X17598" s="239" t="n"/>
    </row>
    <row r="17599" ht="14.25" customHeight="1" s="192">
      <c r="W17599" s="235" t="n"/>
      <c r="X17599" s="235" t="n"/>
    </row>
    <row r="17600" ht="14.25" customHeight="1" s="192">
      <c r="W17600" s="235" t="n"/>
      <c r="X17600" s="235" t="n"/>
    </row>
    <row r="17601" ht="14.25" customHeight="1" s="192">
      <c r="W17601" s="235" t="n"/>
      <c r="X17601" s="235" t="n"/>
    </row>
    <row r="17602" ht="14.25" customHeight="1" s="192">
      <c r="W17602" s="239" t="n"/>
      <c r="X17602" s="239" t="n"/>
    </row>
    <row r="17603" ht="14.25" customHeight="1" s="192">
      <c r="W17603" s="239" t="n"/>
      <c r="X17603" s="239" t="n"/>
    </row>
    <row r="17604" ht="14.25" customHeight="1" s="192">
      <c r="W17604" s="235" t="n"/>
      <c r="X17604" s="235" t="n"/>
    </row>
    <row r="17605" ht="14.25" customHeight="1" s="192">
      <c r="W17605" s="235" t="n"/>
      <c r="X17605" s="235" t="n"/>
    </row>
    <row r="17606" ht="14.25" customHeight="1" s="192">
      <c r="W17606" s="239" t="n"/>
      <c r="X17606" s="239" t="n"/>
    </row>
    <row r="17607" ht="14.25" customHeight="1" s="192">
      <c r="W17607" s="235" t="n"/>
      <c r="X17607" s="235" t="n"/>
    </row>
    <row r="17608" ht="14.25" customHeight="1" s="192">
      <c r="W17608" s="239" t="n"/>
      <c r="X17608" s="239" t="n"/>
    </row>
    <row r="17610" ht="14.25" customHeight="1" s="192">
      <c r="W17610" s="235" t="n"/>
      <c r="X17610" s="235" t="n"/>
    </row>
    <row r="17611" ht="15" customHeight="1" s="192" thickBot="1">
      <c r="W17611" s="239" t="n"/>
      <c r="X17611" s="239" t="n"/>
    </row>
    <row r="17612" ht="15" customHeight="1" s="192" thickBot="1">
      <c r="W17612" s="45" t="n"/>
      <c r="X17612" s="45" t="n"/>
    </row>
    <row r="17613" ht="14.25" customHeight="1" s="192">
      <c r="W17613" s="228" t="n"/>
      <c r="X17613" s="228" t="n"/>
    </row>
    <row r="17614" ht="14.25" customHeight="1" s="192">
      <c r="W17614" s="228" t="n"/>
      <c r="X17614" s="228" t="n"/>
    </row>
    <row r="17615" ht="14.25" customHeight="1" s="192">
      <c r="W17615" s="231" t="n"/>
      <c r="X17615" s="231" t="n"/>
    </row>
    <row r="17616" ht="14.25" customHeight="1" s="192">
      <c r="W17616" s="33" t="n"/>
      <c r="X17616" s="33" t="n"/>
    </row>
    <row r="17617" ht="14.25" customHeight="1" s="192">
      <c r="W17617" s="231" t="n"/>
      <c r="X17617" s="231" t="n"/>
    </row>
    <row r="17618" ht="14.25" customHeight="1" s="192">
      <c r="W17618" s="33" t="n"/>
      <c r="X17618" s="33" t="n"/>
    </row>
    <row r="17620" ht="14.25" customHeight="1" s="192">
      <c r="W17620" s="231" t="n"/>
      <c r="X17620" s="231" t="n"/>
    </row>
    <row r="17621" ht="14.25" customHeight="1" s="192">
      <c r="W17621" s="235" t="n"/>
      <c r="X17621" s="235" t="n"/>
    </row>
    <row r="17622" ht="14.25" customHeight="1" s="192">
      <c r="W17622" s="228" t="n"/>
      <c r="X17622" s="228" t="n"/>
    </row>
    <row r="17623" ht="14.25" customHeight="1" s="192">
      <c r="W17623" s="235" t="n"/>
      <c r="X17623" s="235" t="n"/>
    </row>
    <row r="17624" ht="14.25" customHeight="1" s="192">
      <c r="W17624" s="235" t="n"/>
      <c r="X17624" s="235" t="n"/>
    </row>
    <row r="17625" ht="14.25" customHeight="1" s="192">
      <c r="W17625" s="235" t="n"/>
      <c r="X17625" s="235" t="n"/>
    </row>
    <row r="17626" ht="14.25" customHeight="1" s="192">
      <c r="W17626" s="239" t="n"/>
      <c r="X17626" s="239" t="n"/>
    </row>
    <row r="17627" ht="14.25" customHeight="1" s="192">
      <c r="W17627" s="239" t="n"/>
      <c r="X17627" s="239" t="n"/>
    </row>
    <row r="17628" ht="14.25" customHeight="1" s="192">
      <c r="W17628" s="239" t="n"/>
      <c r="X17628" s="239" t="n"/>
    </row>
    <row r="17629" ht="14.25" customHeight="1" s="192">
      <c r="W17629" s="235" t="n"/>
      <c r="X17629" s="235" t="n"/>
    </row>
    <row r="17630" ht="14.25" customHeight="1" s="192">
      <c r="W17630" s="235" t="n"/>
      <c r="X17630" s="235" t="n"/>
    </row>
    <row r="17631" ht="14.25" customHeight="1" s="192">
      <c r="W17631" s="235" t="n"/>
      <c r="X17631" s="235" t="n"/>
    </row>
    <row r="17632" ht="14.25" customHeight="1" s="192">
      <c r="W17632" s="239" t="n"/>
      <c r="X17632" s="239" t="n"/>
    </row>
    <row r="17633" ht="14.25" customHeight="1" s="192">
      <c r="W17633" s="239" t="n"/>
      <c r="X17633" s="239" t="n"/>
    </row>
    <row r="17634" ht="14.25" customHeight="1" s="192">
      <c r="W17634" s="235" t="n"/>
      <c r="X17634" s="235" t="n"/>
    </row>
    <row r="17635" ht="14.25" customHeight="1" s="192">
      <c r="W17635" s="235" t="n"/>
      <c r="X17635" s="235" t="n"/>
    </row>
    <row r="17636" ht="14.25" customHeight="1" s="192">
      <c r="W17636" s="239" t="n"/>
      <c r="X17636" s="239" t="n"/>
    </row>
    <row r="17637" ht="14.25" customHeight="1" s="192">
      <c r="W17637" s="235" t="n"/>
      <c r="X17637" s="235" t="n"/>
    </row>
    <row r="17638" ht="14.25" customHeight="1" s="192">
      <c r="W17638" s="239" t="n"/>
      <c r="X17638" s="239" t="n"/>
    </row>
    <row r="17640" ht="14.25" customHeight="1" s="192">
      <c r="W17640" s="235" t="n"/>
      <c r="X17640" s="235" t="n"/>
    </row>
    <row r="17641" ht="15" customHeight="1" s="192" thickBot="1">
      <c r="W17641" s="239" t="n"/>
      <c r="X17641" s="239" t="n"/>
    </row>
    <row r="17642" ht="15" customHeight="1" s="192" thickBot="1">
      <c r="W17642" s="45" t="n"/>
      <c r="X17642" s="45" t="n"/>
    </row>
    <row r="17643" ht="14.25" customHeight="1" s="192">
      <c r="W17643" s="228" t="n"/>
      <c r="X17643" s="228" t="n"/>
    </row>
    <row r="17644" ht="14.25" customHeight="1" s="192">
      <c r="W17644" s="228" t="n"/>
      <c r="X17644" s="228" t="n"/>
    </row>
    <row r="17645" ht="14.25" customHeight="1" s="192">
      <c r="W17645" s="231" t="n"/>
      <c r="X17645" s="231" t="n"/>
    </row>
    <row r="17646" ht="14.25" customHeight="1" s="192">
      <c r="W17646" s="33" t="n"/>
      <c r="X17646" s="33" t="n"/>
    </row>
    <row r="17647" ht="14.25" customHeight="1" s="192">
      <c r="W17647" s="231" t="n"/>
      <c r="X17647" s="231" t="n"/>
    </row>
    <row r="17648" ht="14.25" customHeight="1" s="192">
      <c r="W17648" s="33" t="n"/>
      <c r="X17648" s="33" t="n"/>
    </row>
    <row r="17650" ht="14.25" customHeight="1" s="192">
      <c r="W17650" s="231" t="n"/>
      <c r="X17650" s="231" t="n"/>
    </row>
    <row r="17651" ht="14.25" customHeight="1" s="192">
      <c r="W17651" s="235" t="n"/>
      <c r="X17651" s="235" t="n"/>
    </row>
    <row r="17652" ht="14.25" customHeight="1" s="192">
      <c r="W17652" s="228" t="n"/>
      <c r="X17652" s="228" t="n"/>
    </row>
    <row r="17653" ht="14.25" customHeight="1" s="192">
      <c r="W17653" s="235" t="n"/>
      <c r="X17653" s="235" t="n"/>
    </row>
    <row r="17654" ht="14.25" customHeight="1" s="192">
      <c r="W17654" s="235" t="n"/>
      <c r="X17654" s="235" t="n"/>
    </row>
    <row r="17655" ht="14.25" customHeight="1" s="192">
      <c r="W17655" s="235" t="n"/>
      <c r="X17655" s="235" t="n"/>
    </row>
    <row r="17656" ht="14.25" customHeight="1" s="192">
      <c r="W17656" s="239" t="n"/>
      <c r="X17656" s="239" t="n"/>
    </row>
    <row r="17657" ht="14.25" customHeight="1" s="192">
      <c r="W17657" s="239" t="n"/>
      <c r="X17657" s="239" t="n"/>
    </row>
    <row r="17658" ht="14.25" customHeight="1" s="192">
      <c r="W17658" s="239" t="n"/>
      <c r="X17658" s="239" t="n"/>
    </row>
    <row r="17659" ht="14.25" customHeight="1" s="192">
      <c r="W17659" s="235" t="n"/>
      <c r="X17659" s="235" t="n"/>
    </row>
    <row r="17660" ht="14.25" customHeight="1" s="192">
      <c r="W17660" s="235" t="n"/>
      <c r="X17660" s="235" t="n"/>
    </row>
    <row r="17661" ht="14.25" customHeight="1" s="192">
      <c r="W17661" s="235" t="n"/>
      <c r="X17661" s="235" t="n"/>
    </row>
    <row r="17662" ht="14.25" customHeight="1" s="192">
      <c r="W17662" s="239" t="n"/>
      <c r="X17662" s="239" t="n"/>
    </row>
    <row r="17663" ht="14.25" customHeight="1" s="192">
      <c r="W17663" s="239" t="n"/>
      <c r="X17663" s="239" t="n"/>
    </row>
    <row r="17664" ht="14.25" customHeight="1" s="192">
      <c r="W17664" s="235" t="n"/>
      <c r="X17664" s="235" t="n"/>
    </row>
    <row r="17665" ht="14.25" customHeight="1" s="192">
      <c r="W17665" s="235" t="n"/>
      <c r="X17665" s="235" t="n"/>
    </row>
    <row r="17666" ht="14.25" customHeight="1" s="192">
      <c r="W17666" s="239" t="n"/>
      <c r="X17666" s="239" t="n"/>
    </row>
    <row r="17667" ht="14.25" customHeight="1" s="192">
      <c r="W17667" s="235" t="n"/>
      <c r="X17667" s="235" t="n"/>
    </row>
    <row r="17668" ht="14.25" customHeight="1" s="192">
      <c r="W17668" s="239" t="n"/>
      <c r="X17668" s="239" t="n"/>
    </row>
    <row r="17670" ht="14.25" customHeight="1" s="192">
      <c r="W17670" s="235" t="n"/>
      <c r="X17670" s="235" t="n"/>
    </row>
    <row r="17671" ht="15" customHeight="1" s="192" thickBot="1">
      <c r="W17671" s="239" t="n"/>
      <c r="X17671" s="239" t="n"/>
    </row>
    <row r="17672" ht="15" customHeight="1" s="192" thickBot="1">
      <c r="W17672" s="45" t="n"/>
      <c r="X17672" s="45" t="n"/>
    </row>
    <row r="17673" ht="14.25" customHeight="1" s="192">
      <c r="W17673" s="228" t="n"/>
      <c r="X17673" s="228" t="n"/>
    </row>
    <row r="17674" ht="14.25" customHeight="1" s="192">
      <c r="W17674" s="228" t="n"/>
      <c r="X17674" s="228" t="n"/>
    </row>
    <row r="17675" ht="14.25" customHeight="1" s="192">
      <c r="W17675" s="231" t="n"/>
      <c r="X17675" s="231" t="n"/>
    </row>
    <row r="17676" ht="14.25" customHeight="1" s="192">
      <c r="W17676" s="33" t="n"/>
      <c r="X17676" s="33" t="n"/>
    </row>
    <row r="17677" ht="14.25" customHeight="1" s="192">
      <c r="W17677" s="231" t="n"/>
      <c r="X17677" s="231" t="n"/>
    </row>
    <row r="17678" ht="14.25" customHeight="1" s="192">
      <c r="W17678" s="33" t="n"/>
      <c r="X17678" s="33" t="n"/>
    </row>
    <row r="17680" ht="14.25" customHeight="1" s="192">
      <c r="W17680" s="231" t="n"/>
      <c r="X17680" s="231" t="n"/>
    </row>
    <row r="17681" ht="14.25" customHeight="1" s="192">
      <c r="W17681" s="235" t="n"/>
      <c r="X17681" s="235" t="n"/>
    </row>
    <row r="17682" ht="14.25" customHeight="1" s="192">
      <c r="W17682" s="228" t="n"/>
      <c r="X17682" s="228" t="n"/>
    </row>
    <row r="17683" ht="14.25" customHeight="1" s="192">
      <c r="W17683" s="235" t="n"/>
      <c r="X17683" s="235" t="n"/>
    </row>
    <row r="17684" ht="14.25" customHeight="1" s="192">
      <c r="W17684" s="235" t="n"/>
      <c r="X17684" s="235" t="n"/>
    </row>
    <row r="17685" ht="14.25" customHeight="1" s="192">
      <c r="W17685" s="235" t="n"/>
      <c r="X17685" s="235" t="n"/>
    </row>
    <row r="17686" ht="14.25" customHeight="1" s="192">
      <c r="W17686" s="239" t="n"/>
      <c r="X17686" s="239" t="n"/>
    </row>
    <row r="17687" ht="14.25" customHeight="1" s="192">
      <c r="W17687" s="239" t="n"/>
      <c r="X17687" s="239" t="n"/>
    </row>
    <row r="17688" ht="14.25" customHeight="1" s="192">
      <c r="W17688" s="239" t="n"/>
      <c r="X17688" s="239" t="n"/>
    </row>
    <row r="17689" ht="14.25" customHeight="1" s="192">
      <c r="W17689" s="235" t="n"/>
      <c r="X17689" s="235" t="n"/>
    </row>
    <row r="17690" ht="14.25" customHeight="1" s="192">
      <c r="W17690" s="235" t="n"/>
      <c r="X17690" s="235" t="n"/>
    </row>
    <row r="17691" ht="14.25" customHeight="1" s="192">
      <c r="W17691" s="235" t="n"/>
      <c r="X17691" s="235" t="n"/>
    </row>
    <row r="17692" ht="14.25" customHeight="1" s="192">
      <c r="W17692" s="239" t="n"/>
      <c r="X17692" s="239" t="n"/>
    </row>
    <row r="17693" ht="14.25" customHeight="1" s="192">
      <c r="W17693" s="239" t="n"/>
      <c r="X17693" s="239" t="n"/>
    </row>
    <row r="17694" ht="14.25" customHeight="1" s="192">
      <c r="W17694" s="235" t="n"/>
      <c r="X17694" s="235" t="n"/>
    </row>
    <row r="17695" ht="14.25" customHeight="1" s="192">
      <c r="W17695" s="235" t="n"/>
      <c r="X17695" s="235" t="n"/>
    </row>
    <row r="17696" ht="14.25" customHeight="1" s="192">
      <c r="W17696" s="239" t="n"/>
      <c r="X17696" s="239" t="n"/>
    </row>
    <row r="17697" ht="14.25" customHeight="1" s="192">
      <c r="W17697" s="235" t="n"/>
      <c r="X17697" s="235" t="n"/>
    </row>
    <row r="17698" ht="14.25" customHeight="1" s="192">
      <c r="W17698" s="239" t="n"/>
      <c r="X17698" s="239" t="n"/>
    </row>
    <row r="17700" ht="14.25" customHeight="1" s="192">
      <c r="W17700" s="235" t="n"/>
      <c r="X17700" s="235" t="n"/>
    </row>
    <row r="17701" ht="15" customHeight="1" s="192" thickBot="1">
      <c r="W17701" s="239" t="n"/>
      <c r="X17701" s="239" t="n"/>
    </row>
    <row r="17702" ht="15" customHeight="1" s="192" thickBot="1">
      <c r="W17702" s="45" t="n"/>
      <c r="X17702" s="45" t="n"/>
    </row>
    <row r="17703" ht="14.25" customHeight="1" s="192">
      <c r="W17703" s="228" t="n"/>
      <c r="X17703" s="228" t="n"/>
    </row>
    <row r="17704" ht="14.25" customHeight="1" s="192">
      <c r="W17704" s="228" t="n"/>
      <c r="X17704" s="228" t="n"/>
    </row>
    <row r="17705" ht="14.25" customHeight="1" s="192">
      <c r="W17705" s="231" t="n"/>
      <c r="X17705" s="231" t="n"/>
    </row>
    <row r="17706" ht="14.25" customHeight="1" s="192">
      <c r="W17706" s="33" t="n"/>
      <c r="X17706" s="33" t="n"/>
    </row>
    <row r="17707" ht="14.25" customHeight="1" s="192">
      <c r="W17707" s="231" t="n"/>
      <c r="X17707" s="231" t="n"/>
    </row>
    <row r="17708" ht="14.25" customHeight="1" s="192">
      <c r="W17708" s="33" t="n"/>
      <c r="X17708" s="33" t="n"/>
    </row>
    <row r="17710" ht="14.25" customHeight="1" s="192">
      <c r="W17710" s="231" t="n"/>
      <c r="X17710" s="231" t="n"/>
    </row>
    <row r="17711" ht="14.25" customHeight="1" s="192">
      <c r="W17711" s="235" t="n"/>
      <c r="X17711" s="235" t="n"/>
    </row>
    <row r="17712" ht="14.25" customHeight="1" s="192">
      <c r="W17712" s="228" t="n"/>
      <c r="X17712" s="228" t="n"/>
    </row>
    <row r="17713" ht="14.25" customHeight="1" s="192">
      <c r="W17713" s="235" t="n"/>
      <c r="X17713" s="235" t="n"/>
    </row>
    <row r="17714" ht="14.25" customHeight="1" s="192">
      <c r="W17714" s="235" t="n"/>
      <c r="X17714" s="235" t="n"/>
    </row>
    <row r="17715" ht="14.25" customHeight="1" s="192">
      <c r="W17715" s="235" t="n"/>
      <c r="X17715" s="235" t="n"/>
    </row>
    <row r="17716" ht="14.25" customHeight="1" s="192">
      <c r="W17716" s="239" t="n"/>
      <c r="X17716" s="239" t="n"/>
    </row>
    <row r="17717" ht="14.25" customHeight="1" s="192">
      <c r="W17717" s="239" t="n"/>
      <c r="X17717" s="239" t="n"/>
    </row>
    <row r="17718" ht="14.25" customHeight="1" s="192">
      <c r="W17718" s="239" t="n"/>
      <c r="X17718" s="239" t="n"/>
    </row>
    <row r="17719" ht="14.25" customHeight="1" s="192">
      <c r="W17719" s="235" t="n"/>
      <c r="X17719" s="235" t="n"/>
    </row>
    <row r="17720" ht="14.25" customHeight="1" s="192">
      <c r="W17720" s="235" t="n"/>
      <c r="X17720" s="235" t="n"/>
    </row>
    <row r="17721" ht="14.25" customHeight="1" s="192">
      <c r="W17721" s="235" t="n"/>
      <c r="X17721" s="235" t="n"/>
    </row>
    <row r="17722" ht="14.25" customHeight="1" s="192">
      <c r="W17722" s="239" t="n"/>
      <c r="X17722" s="239" t="n"/>
    </row>
    <row r="17723" ht="14.25" customHeight="1" s="192">
      <c r="W17723" s="239" t="n"/>
      <c r="X17723" s="239" t="n"/>
    </row>
    <row r="17724" ht="14.25" customHeight="1" s="192">
      <c r="W17724" s="235" t="n"/>
      <c r="X17724" s="235" t="n"/>
    </row>
    <row r="17725" ht="14.25" customHeight="1" s="192">
      <c r="W17725" s="235" t="n"/>
      <c r="X17725" s="235" t="n"/>
    </row>
    <row r="17726" ht="14.25" customHeight="1" s="192">
      <c r="W17726" s="239" t="n"/>
      <c r="X17726" s="239" t="n"/>
    </row>
    <row r="17727" ht="14.25" customHeight="1" s="192">
      <c r="W17727" s="235" t="n"/>
      <c r="X17727" s="235" t="n"/>
    </row>
    <row r="17728" ht="14.25" customHeight="1" s="192">
      <c r="W17728" s="239" t="n"/>
      <c r="X17728" s="239" t="n"/>
    </row>
    <row r="17730" ht="14.25" customHeight="1" s="192">
      <c r="W17730" s="235" t="n"/>
      <c r="X17730" s="235" t="n"/>
    </row>
    <row r="17731" ht="15" customHeight="1" s="192" thickBot="1">
      <c r="W17731" s="239" t="n"/>
      <c r="X17731" s="239" t="n"/>
    </row>
    <row r="17732" ht="15" customHeight="1" s="192" thickBot="1">
      <c r="W17732" s="45" t="n"/>
      <c r="X17732" s="45" t="n"/>
    </row>
    <row r="17733" ht="14.25" customHeight="1" s="192">
      <c r="W17733" s="228" t="n"/>
      <c r="X17733" s="228" t="n"/>
    </row>
    <row r="17734" ht="14.25" customHeight="1" s="192">
      <c r="W17734" s="228" t="n"/>
      <c r="X17734" s="228" t="n"/>
    </row>
    <row r="17735" ht="14.25" customHeight="1" s="192">
      <c r="W17735" s="231" t="n"/>
      <c r="X17735" s="231" t="n"/>
    </row>
    <row r="17736" ht="14.25" customHeight="1" s="192">
      <c r="W17736" s="33" t="n"/>
      <c r="X17736" s="33" t="n"/>
    </row>
    <row r="17737" ht="14.25" customHeight="1" s="192">
      <c r="W17737" s="231" t="n"/>
      <c r="X17737" s="231" t="n"/>
    </row>
    <row r="17738" ht="14.25" customHeight="1" s="192">
      <c r="W17738" s="33" t="n"/>
      <c r="X17738" s="33" t="n"/>
    </row>
    <row r="17740" ht="14.25" customHeight="1" s="192">
      <c r="W17740" s="231" t="n"/>
      <c r="X17740" s="231" t="n"/>
    </row>
    <row r="17741" ht="14.25" customHeight="1" s="192">
      <c r="W17741" s="235" t="n"/>
      <c r="X17741" s="235" t="n"/>
    </row>
    <row r="17742" ht="14.25" customHeight="1" s="192">
      <c r="W17742" s="228" t="n"/>
      <c r="X17742" s="228" t="n"/>
    </row>
    <row r="17743" ht="14.25" customHeight="1" s="192">
      <c r="W17743" s="235" t="n"/>
      <c r="X17743" s="235" t="n"/>
    </row>
    <row r="17744" ht="14.25" customHeight="1" s="192">
      <c r="W17744" s="235" t="n"/>
      <c r="X17744" s="235" t="n"/>
    </row>
    <row r="17745" ht="14.25" customHeight="1" s="192">
      <c r="W17745" s="235" t="n"/>
      <c r="X17745" s="235" t="n"/>
    </row>
    <row r="17746" ht="14.25" customHeight="1" s="192">
      <c r="W17746" s="239" t="n"/>
      <c r="X17746" s="239" t="n"/>
    </row>
    <row r="17747" ht="14.25" customHeight="1" s="192">
      <c r="W17747" s="239" t="n"/>
      <c r="X17747" s="239" t="n"/>
    </row>
    <row r="17748" ht="14.25" customHeight="1" s="192">
      <c r="W17748" s="239" t="n"/>
      <c r="X17748" s="239" t="n"/>
    </row>
    <row r="17749" ht="14.25" customHeight="1" s="192">
      <c r="W17749" s="235" t="n"/>
      <c r="X17749" s="235" t="n"/>
    </row>
    <row r="17750" ht="14.25" customHeight="1" s="192">
      <c r="W17750" s="235" t="n"/>
      <c r="X17750" s="235" t="n"/>
    </row>
    <row r="17751" ht="14.25" customHeight="1" s="192">
      <c r="W17751" s="235" t="n"/>
      <c r="X17751" s="235" t="n"/>
    </row>
    <row r="17752" ht="14.25" customHeight="1" s="192">
      <c r="W17752" s="239" t="n"/>
      <c r="X17752" s="239" t="n"/>
    </row>
    <row r="17753" ht="14.25" customHeight="1" s="192">
      <c r="W17753" s="239" t="n"/>
      <c r="X17753" s="239" t="n"/>
    </row>
    <row r="17754" ht="14.25" customHeight="1" s="192">
      <c r="W17754" s="235" t="n"/>
      <c r="X17754" s="235" t="n"/>
    </row>
    <row r="17755" ht="14.25" customHeight="1" s="192">
      <c r="W17755" s="235" t="n"/>
      <c r="X17755" s="235" t="n"/>
    </row>
    <row r="17756" ht="14.25" customHeight="1" s="192">
      <c r="W17756" s="239" t="n"/>
      <c r="X17756" s="239" t="n"/>
    </row>
    <row r="17757" ht="14.25" customHeight="1" s="192">
      <c r="W17757" s="235" t="n"/>
      <c r="X17757" s="235" t="n"/>
    </row>
    <row r="17758" ht="14.25" customHeight="1" s="192">
      <c r="W17758" s="239" t="n"/>
      <c r="X17758" s="239" t="n"/>
    </row>
    <row r="17760" ht="14.25" customHeight="1" s="192">
      <c r="W17760" s="235" t="n"/>
      <c r="X17760" s="235" t="n"/>
    </row>
    <row r="17761" ht="15" customHeight="1" s="192" thickBot="1">
      <c r="W17761" s="239" t="n"/>
      <c r="X17761" s="239" t="n"/>
    </row>
    <row r="17762" ht="15" customHeight="1" s="192" thickBot="1">
      <c r="W17762" s="45" t="n"/>
      <c r="X17762" s="45" t="n"/>
    </row>
    <row r="17763" ht="14.25" customHeight="1" s="192">
      <c r="W17763" s="228" t="n"/>
      <c r="X17763" s="228" t="n"/>
    </row>
    <row r="17764" ht="14.25" customHeight="1" s="192">
      <c r="W17764" s="228" t="n"/>
      <c r="X17764" s="228" t="n"/>
    </row>
    <row r="17765" ht="14.25" customHeight="1" s="192">
      <c r="W17765" s="231" t="n"/>
      <c r="X17765" s="231" t="n"/>
    </row>
    <row r="17766" ht="14.25" customHeight="1" s="192">
      <c r="W17766" s="33" t="n"/>
      <c r="X17766" s="33" t="n"/>
    </row>
    <row r="17767" ht="14.25" customHeight="1" s="192">
      <c r="W17767" s="231" t="n"/>
      <c r="X17767" s="231" t="n"/>
    </row>
    <row r="17768" ht="14.25" customHeight="1" s="192">
      <c r="W17768" s="33" t="n"/>
      <c r="X17768" s="33" t="n"/>
    </row>
    <row r="17770" ht="14.25" customHeight="1" s="192">
      <c r="W17770" s="231" t="n"/>
      <c r="X17770" s="231" t="n"/>
    </row>
    <row r="17771" ht="14.25" customHeight="1" s="192">
      <c r="W17771" s="235" t="n"/>
      <c r="X17771" s="235" t="n"/>
    </row>
    <row r="17772" ht="14.25" customHeight="1" s="192">
      <c r="W17772" s="228" t="n"/>
      <c r="X17772" s="228" t="n"/>
    </row>
    <row r="17773" ht="14.25" customHeight="1" s="192">
      <c r="W17773" s="235" t="n"/>
      <c r="X17773" s="235" t="n"/>
    </row>
    <row r="17774" ht="14.25" customHeight="1" s="192">
      <c r="W17774" s="235" t="n"/>
      <c r="X17774" s="235" t="n"/>
    </row>
    <row r="17775" ht="14.25" customHeight="1" s="192">
      <c r="W17775" s="235" t="n"/>
      <c r="X17775" s="235" t="n"/>
    </row>
    <row r="17776" ht="14.25" customHeight="1" s="192">
      <c r="W17776" s="239" t="n"/>
      <c r="X17776" s="239" t="n"/>
    </row>
    <row r="17777" ht="14.25" customHeight="1" s="192">
      <c r="W17777" s="239" t="n"/>
      <c r="X17777" s="239" t="n"/>
    </row>
    <row r="17778" ht="14.25" customHeight="1" s="192">
      <c r="W17778" s="239" t="n"/>
      <c r="X17778" s="239" t="n"/>
    </row>
    <row r="17779" ht="14.25" customHeight="1" s="192">
      <c r="W17779" s="235" t="n"/>
      <c r="X17779" s="235" t="n"/>
    </row>
    <row r="17780" ht="14.25" customHeight="1" s="192">
      <c r="W17780" s="235" t="n"/>
      <c r="X17780" s="235" t="n"/>
    </row>
    <row r="17781" ht="14.25" customHeight="1" s="192">
      <c r="W17781" s="235" t="n"/>
      <c r="X17781" s="235" t="n"/>
    </row>
    <row r="17782" ht="14.25" customHeight="1" s="192">
      <c r="W17782" s="239" t="n"/>
      <c r="X17782" s="239" t="n"/>
    </row>
    <row r="17783" ht="14.25" customHeight="1" s="192">
      <c r="W17783" s="239" t="n"/>
      <c r="X17783" s="239" t="n"/>
    </row>
    <row r="17784" ht="14.25" customHeight="1" s="192">
      <c r="W17784" s="235" t="n"/>
      <c r="X17784" s="235" t="n"/>
    </row>
    <row r="17785" ht="14.25" customHeight="1" s="192">
      <c r="W17785" s="235" t="n"/>
      <c r="X17785" s="235" t="n"/>
    </row>
    <row r="17786" ht="14.25" customHeight="1" s="192">
      <c r="W17786" s="239" t="n"/>
      <c r="X17786" s="239" t="n"/>
    </row>
    <row r="17787" ht="14.25" customHeight="1" s="192">
      <c r="W17787" s="235" t="n"/>
      <c r="X17787" s="235" t="n"/>
    </row>
    <row r="17788" ht="14.25" customHeight="1" s="192">
      <c r="W17788" s="239" t="n"/>
      <c r="X17788" s="239" t="n"/>
    </row>
    <row r="17790" ht="14.25" customHeight="1" s="192">
      <c r="W17790" s="235" t="n"/>
      <c r="X17790" s="235" t="n"/>
    </row>
    <row r="17791" ht="15" customHeight="1" s="192" thickBot="1">
      <c r="W17791" s="239" t="n"/>
      <c r="X17791" s="239" t="n"/>
    </row>
    <row r="17792" ht="15" customHeight="1" s="192" thickBot="1">
      <c r="W17792" s="45" t="n"/>
      <c r="X17792" s="45" t="n"/>
    </row>
    <row r="17793" ht="14.25" customHeight="1" s="192">
      <c r="W17793" s="228" t="n"/>
      <c r="X17793" s="228" t="n"/>
    </row>
    <row r="17794" ht="14.25" customHeight="1" s="192">
      <c r="W17794" s="228" t="n"/>
      <c r="X17794" s="228" t="n"/>
    </row>
    <row r="17795" ht="14.25" customHeight="1" s="192">
      <c r="W17795" s="231" t="n"/>
      <c r="X17795" s="231" t="n"/>
    </row>
    <row r="17796" ht="14.25" customHeight="1" s="192">
      <c r="W17796" s="33" t="n"/>
      <c r="X17796" s="33" t="n"/>
    </row>
    <row r="17797" ht="14.25" customHeight="1" s="192">
      <c r="W17797" s="231" t="n"/>
      <c r="X17797" s="231" t="n"/>
    </row>
    <row r="17798" ht="14.25" customHeight="1" s="192">
      <c r="W17798" s="33" t="n"/>
      <c r="X17798" s="33" t="n"/>
    </row>
    <row r="17800" ht="14.25" customHeight="1" s="192">
      <c r="W17800" s="231" t="n"/>
      <c r="X17800" s="231" t="n"/>
    </row>
    <row r="17801" ht="14.25" customHeight="1" s="192">
      <c r="W17801" s="235" t="n"/>
      <c r="X17801" s="235" t="n"/>
    </row>
    <row r="17802" ht="14.25" customHeight="1" s="192">
      <c r="W17802" s="228" t="n"/>
      <c r="X17802" s="228" t="n"/>
    </row>
    <row r="17803" ht="14.25" customHeight="1" s="192">
      <c r="W17803" s="235" t="n"/>
      <c r="X17803" s="235" t="n"/>
    </row>
    <row r="17804" ht="14.25" customHeight="1" s="192">
      <c r="W17804" s="235" t="n"/>
      <c r="X17804" s="235" t="n"/>
    </row>
    <row r="17805" ht="14.25" customHeight="1" s="192">
      <c r="W17805" s="235" t="n"/>
      <c r="X17805" s="235" t="n"/>
    </row>
    <row r="17806" ht="14.25" customHeight="1" s="192">
      <c r="W17806" s="239" t="n"/>
      <c r="X17806" s="239" t="n"/>
    </row>
    <row r="17807" ht="14.25" customHeight="1" s="192">
      <c r="W17807" s="239" t="n"/>
      <c r="X17807" s="239" t="n"/>
    </row>
    <row r="17808" ht="14.25" customHeight="1" s="192">
      <c r="W17808" s="239" t="n"/>
      <c r="X17808" s="239" t="n"/>
    </row>
    <row r="17809" ht="14.25" customHeight="1" s="192">
      <c r="W17809" s="235" t="n"/>
      <c r="X17809" s="235" t="n"/>
    </row>
    <row r="17810" ht="14.25" customHeight="1" s="192">
      <c r="W17810" s="235" t="n"/>
      <c r="X17810" s="235" t="n"/>
    </row>
    <row r="17811" ht="14.25" customHeight="1" s="192">
      <c r="W17811" s="235" t="n"/>
      <c r="X17811" s="235" t="n"/>
    </row>
    <row r="17812" ht="14.25" customHeight="1" s="192">
      <c r="W17812" s="239" t="n"/>
      <c r="X17812" s="239" t="n"/>
    </row>
    <row r="17813" ht="14.25" customHeight="1" s="192">
      <c r="W17813" s="239" t="n"/>
      <c r="X17813" s="239" t="n"/>
    </row>
    <row r="17814" ht="14.25" customHeight="1" s="192">
      <c r="W17814" s="235" t="n"/>
      <c r="X17814" s="235" t="n"/>
    </row>
    <row r="17815" ht="14.25" customHeight="1" s="192">
      <c r="W17815" s="235" t="n"/>
      <c r="X17815" s="235" t="n"/>
    </row>
    <row r="17816" ht="14.25" customHeight="1" s="192">
      <c r="W17816" s="239" t="n"/>
      <c r="X17816" s="239" t="n"/>
    </row>
    <row r="17817" ht="14.25" customHeight="1" s="192">
      <c r="W17817" s="235" t="n"/>
      <c r="X17817" s="235" t="n"/>
    </row>
    <row r="17818" ht="14.25" customHeight="1" s="192">
      <c r="W17818" s="239" t="n"/>
      <c r="X17818" s="239" t="n"/>
    </row>
    <row r="17820" ht="14.25" customHeight="1" s="192">
      <c r="W17820" s="235" t="n"/>
      <c r="X17820" s="235" t="n"/>
    </row>
    <row r="17821" ht="15" customHeight="1" s="192" thickBot="1">
      <c r="W17821" s="239" t="n"/>
      <c r="X17821" s="239" t="n"/>
    </row>
    <row r="17822" ht="15" customHeight="1" s="192" thickBot="1">
      <c r="W17822" s="45" t="n"/>
      <c r="X17822" s="45" t="n"/>
    </row>
    <row r="17823" ht="14.25" customHeight="1" s="192">
      <c r="W17823" s="228" t="n"/>
      <c r="X17823" s="228" t="n"/>
    </row>
    <row r="17824" ht="14.25" customHeight="1" s="192">
      <c r="W17824" s="228" t="n"/>
      <c r="X17824" s="228" t="n"/>
    </row>
    <row r="17825" ht="14.25" customHeight="1" s="192">
      <c r="W17825" s="231" t="n"/>
      <c r="X17825" s="231" t="n"/>
    </row>
    <row r="17826" ht="14.25" customHeight="1" s="192">
      <c r="W17826" s="33" t="n"/>
      <c r="X17826" s="33" t="n"/>
    </row>
    <row r="17827" ht="14.25" customHeight="1" s="192">
      <c r="W17827" s="231" t="n"/>
      <c r="X17827" s="231" t="n"/>
    </row>
    <row r="17828" ht="14.25" customHeight="1" s="192">
      <c r="W17828" s="33" t="n"/>
      <c r="X17828" s="33" t="n"/>
    </row>
    <row r="17830" ht="14.25" customHeight="1" s="192">
      <c r="W17830" s="231" t="n"/>
      <c r="X17830" s="231" t="n"/>
    </row>
    <row r="17831" ht="14.25" customHeight="1" s="192">
      <c r="W17831" s="235" t="n"/>
      <c r="X17831" s="235" t="n"/>
    </row>
    <row r="17832" ht="14.25" customHeight="1" s="192">
      <c r="W17832" s="228" t="n"/>
      <c r="X17832" s="228" t="n"/>
    </row>
    <row r="17833" ht="14.25" customHeight="1" s="192">
      <c r="W17833" s="235" t="n"/>
      <c r="X17833" s="235" t="n"/>
    </row>
    <row r="17834" ht="14.25" customHeight="1" s="192">
      <c r="W17834" s="235" t="n"/>
      <c r="X17834" s="235" t="n"/>
    </row>
    <row r="17835" ht="14.25" customHeight="1" s="192">
      <c r="W17835" s="235" t="n"/>
      <c r="X17835" s="235" t="n"/>
    </row>
    <row r="17836" ht="14.25" customHeight="1" s="192">
      <c r="W17836" s="239" t="n"/>
      <c r="X17836" s="239" t="n"/>
    </row>
    <row r="17837" ht="14.25" customHeight="1" s="192">
      <c r="W17837" s="239" t="n"/>
      <c r="X17837" s="239" t="n"/>
    </row>
    <row r="17838" ht="14.25" customHeight="1" s="192">
      <c r="W17838" s="239" t="n"/>
      <c r="X17838" s="239" t="n"/>
    </row>
    <row r="17839" ht="14.25" customHeight="1" s="192">
      <c r="W17839" s="235" t="n"/>
      <c r="X17839" s="235" t="n"/>
    </row>
    <row r="17840" ht="14.25" customHeight="1" s="192">
      <c r="W17840" s="235" t="n"/>
      <c r="X17840" s="235" t="n"/>
    </row>
    <row r="17841" ht="14.25" customHeight="1" s="192">
      <c r="W17841" s="235" t="n"/>
      <c r="X17841" s="235" t="n"/>
    </row>
    <row r="17842" ht="14.25" customHeight="1" s="192">
      <c r="W17842" s="239" t="n"/>
      <c r="X17842" s="239" t="n"/>
    </row>
    <row r="17843" ht="14.25" customHeight="1" s="192">
      <c r="W17843" s="239" t="n"/>
      <c r="X17843" s="239" t="n"/>
    </row>
    <row r="17844" ht="14.25" customHeight="1" s="192">
      <c r="W17844" s="235" t="n"/>
      <c r="X17844" s="235" t="n"/>
    </row>
    <row r="17845" ht="14.25" customHeight="1" s="192">
      <c r="W17845" s="235" t="n"/>
      <c r="X17845" s="235" t="n"/>
    </row>
    <row r="17846" ht="14.25" customHeight="1" s="192">
      <c r="W17846" s="239" t="n"/>
      <c r="X17846" s="239" t="n"/>
    </row>
    <row r="17847" ht="14.25" customHeight="1" s="192">
      <c r="W17847" s="235" t="n"/>
      <c r="X17847" s="235" t="n"/>
    </row>
    <row r="17848" ht="14.25" customHeight="1" s="192">
      <c r="W17848" s="239" t="n"/>
      <c r="X17848" s="239" t="n"/>
    </row>
    <row r="17850" ht="14.25" customHeight="1" s="192">
      <c r="W17850" s="235" t="n"/>
      <c r="X17850" s="235" t="n"/>
    </row>
    <row r="17851" ht="15" customHeight="1" s="192" thickBot="1">
      <c r="W17851" s="239" t="n"/>
      <c r="X17851" s="239" t="n"/>
    </row>
    <row r="17852" ht="15" customHeight="1" s="192" thickBot="1">
      <c r="W17852" s="45" t="n"/>
      <c r="X17852" s="45" t="n"/>
    </row>
    <row r="17853" ht="14.25" customHeight="1" s="192">
      <c r="W17853" s="228" t="n"/>
      <c r="X17853" s="228" t="n"/>
    </row>
    <row r="17854" ht="14.25" customHeight="1" s="192">
      <c r="W17854" s="228" t="n"/>
      <c r="X17854" s="228" t="n"/>
    </row>
    <row r="17855" ht="14.25" customHeight="1" s="192">
      <c r="W17855" s="231" t="n"/>
      <c r="X17855" s="231" t="n"/>
    </row>
    <row r="17856" ht="14.25" customHeight="1" s="192">
      <c r="W17856" s="33" t="n"/>
      <c r="X17856" s="33" t="n"/>
    </row>
    <row r="17857" ht="14.25" customHeight="1" s="192">
      <c r="W17857" s="231" t="n"/>
      <c r="X17857" s="231" t="n"/>
    </row>
    <row r="17858" ht="14.25" customHeight="1" s="192">
      <c r="W17858" s="33" t="n"/>
      <c r="X17858" s="33" t="n"/>
    </row>
    <row r="17860" ht="14.25" customHeight="1" s="192">
      <c r="W17860" s="231" t="n"/>
      <c r="X17860" s="231" t="n"/>
    </row>
    <row r="17861" ht="14.25" customHeight="1" s="192">
      <c r="W17861" s="235" t="n"/>
      <c r="X17861" s="235" t="n"/>
    </row>
    <row r="17862" ht="14.25" customHeight="1" s="192">
      <c r="W17862" s="228" t="n"/>
      <c r="X17862" s="228" t="n"/>
    </row>
    <row r="17863" ht="14.25" customHeight="1" s="192">
      <c r="W17863" s="235" t="n"/>
      <c r="X17863" s="235" t="n"/>
    </row>
    <row r="17864" ht="14.25" customHeight="1" s="192">
      <c r="W17864" s="235" t="n"/>
      <c r="X17864" s="235" t="n"/>
    </row>
    <row r="17865" ht="14.25" customHeight="1" s="192">
      <c r="W17865" s="235" t="n"/>
      <c r="X17865" s="235" t="n"/>
    </row>
    <row r="17866" ht="14.25" customHeight="1" s="192">
      <c r="W17866" s="239" t="n"/>
      <c r="X17866" s="239" t="n"/>
    </row>
    <row r="17867" ht="14.25" customHeight="1" s="192">
      <c r="W17867" s="239" t="n"/>
      <c r="X17867" s="239" t="n"/>
    </row>
    <row r="17868" ht="14.25" customHeight="1" s="192">
      <c r="W17868" s="239" t="n"/>
      <c r="X17868" s="239" t="n"/>
    </row>
    <row r="17869" ht="14.25" customHeight="1" s="192">
      <c r="W17869" s="235" t="n"/>
      <c r="X17869" s="235" t="n"/>
    </row>
    <row r="17870" ht="14.25" customHeight="1" s="192">
      <c r="W17870" s="235" t="n"/>
      <c r="X17870" s="235" t="n"/>
    </row>
    <row r="17871" ht="14.25" customHeight="1" s="192">
      <c r="W17871" s="235" t="n"/>
      <c r="X17871" s="235" t="n"/>
    </row>
    <row r="17872" ht="14.25" customHeight="1" s="192">
      <c r="W17872" s="239" t="n"/>
      <c r="X17872" s="239" t="n"/>
    </row>
    <row r="17873" ht="14.25" customHeight="1" s="192">
      <c r="W17873" s="239" t="n"/>
      <c r="X17873" s="239" t="n"/>
    </row>
    <row r="17874" ht="14.25" customHeight="1" s="192">
      <c r="W17874" s="235" t="n"/>
      <c r="X17874" s="235" t="n"/>
    </row>
    <row r="17875" ht="14.25" customHeight="1" s="192">
      <c r="W17875" s="235" t="n"/>
      <c r="X17875" s="235" t="n"/>
    </row>
    <row r="17876" ht="14.25" customHeight="1" s="192">
      <c r="W17876" s="239" t="n"/>
      <c r="X17876" s="239" t="n"/>
    </row>
    <row r="17877" ht="14.25" customHeight="1" s="192">
      <c r="W17877" s="235" t="n"/>
      <c r="X17877" s="235" t="n"/>
    </row>
    <row r="17878" ht="14.25" customHeight="1" s="192">
      <c r="W17878" s="239" t="n"/>
      <c r="X17878" s="239" t="n"/>
    </row>
    <row r="17880" ht="14.25" customHeight="1" s="192">
      <c r="W17880" s="235" t="n"/>
      <c r="X17880" s="235" t="n"/>
    </row>
    <row r="17881" ht="15" customHeight="1" s="192" thickBot="1">
      <c r="W17881" s="239" t="n"/>
      <c r="X17881" s="239" t="n"/>
    </row>
    <row r="17882" ht="15" customHeight="1" s="192" thickBot="1">
      <c r="W17882" s="45" t="n"/>
      <c r="X17882" s="45" t="n"/>
    </row>
    <row r="17883" ht="14.25" customHeight="1" s="192">
      <c r="W17883" s="228" t="n"/>
      <c r="X17883" s="228" t="n"/>
    </row>
    <row r="17884" ht="14.25" customHeight="1" s="192">
      <c r="W17884" s="228" t="n"/>
      <c r="X17884" s="228" t="n"/>
    </row>
    <row r="17885" ht="14.25" customHeight="1" s="192">
      <c r="W17885" s="231" t="n"/>
      <c r="X17885" s="231" t="n"/>
    </row>
    <row r="17886" ht="14.25" customHeight="1" s="192">
      <c r="W17886" s="33" t="n"/>
      <c r="X17886" s="33" t="n"/>
    </row>
    <row r="17887" ht="14.25" customHeight="1" s="192">
      <c r="W17887" s="231" t="n"/>
      <c r="X17887" s="231" t="n"/>
    </row>
    <row r="17888" ht="14.25" customHeight="1" s="192">
      <c r="W17888" s="33" t="n"/>
      <c r="X17888" s="33" t="n"/>
    </row>
    <row r="17890" ht="14.25" customHeight="1" s="192">
      <c r="W17890" s="231" t="n"/>
      <c r="X17890" s="231" t="n"/>
    </row>
    <row r="17891" ht="14.25" customHeight="1" s="192">
      <c r="W17891" s="235" t="n"/>
      <c r="X17891" s="235" t="n"/>
    </row>
    <row r="17892" ht="14.25" customHeight="1" s="192">
      <c r="W17892" s="228" t="n"/>
      <c r="X17892" s="228" t="n"/>
    </row>
    <row r="17893" ht="14.25" customHeight="1" s="192">
      <c r="W17893" s="235" t="n"/>
      <c r="X17893" s="235" t="n"/>
    </row>
    <row r="17894" ht="14.25" customHeight="1" s="192">
      <c r="W17894" s="235" t="n"/>
      <c r="X17894" s="235" t="n"/>
    </row>
    <row r="17895" ht="14.25" customHeight="1" s="192">
      <c r="W17895" s="235" t="n"/>
      <c r="X17895" s="235" t="n"/>
    </row>
    <row r="17896" ht="14.25" customHeight="1" s="192">
      <c r="W17896" s="239" t="n"/>
      <c r="X17896" s="239" t="n"/>
    </row>
    <row r="17897" ht="14.25" customHeight="1" s="192">
      <c r="W17897" s="239" t="n"/>
      <c r="X17897" s="239" t="n"/>
    </row>
    <row r="17898" ht="14.25" customHeight="1" s="192">
      <c r="W17898" s="239" t="n"/>
      <c r="X17898" s="239" t="n"/>
    </row>
    <row r="17899" ht="14.25" customHeight="1" s="192">
      <c r="W17899" s="235" t="n"/>
      <c r="X17899" s="235" t="n"/>
    </row>
    <row r="17900" ht="14.25" customHeight="1" s="192">
      <c r="W17900" s="235" t="n"/>
      <c r="X17900" s="235" t="n"/>
    </row>
    <row r="17901" ht="14.25" customHeight="1" s="192">
      <c r="W17901" s="235" t="n"/>
      <c r="X17901" s="235" t="n"/>
    </row>
    <row r="17902" ht="14.25" customHeight="1" s="192">
      <c r="W17902" s="239" t="n"/>
      <c r="X17902" s="239" t="n"/>
    </row>
    <row r="17903" ht="14.25" customHeight="1" s="192">
      <c r="W17903" s="239" t="n"/>
      <c r="X17903" s="239" t="n"/>
    </row>
    <row r="17904" ht="14.25" customHeight="1" s="192">
      <c r="W17904" s="235" t="n"/>
      <c r="X17904" s="235" t="n"/>
    </row>
    <row r="17905" ht="14.25" customHeight="1" s="192">
      <c r="W17905" s="235" t="n"/>
      <c r="X17905" s="235" t="n"/>
    </row>
    <row r="17906" ht="14.25" customHeight="1" s="192">
      <c r="W17906" s="239" t="n"/>
      <c r="X17906" s="239" t="n"/>
    </row>
    <row r="17907" ht="14.25" customHeight="1" s="192">
      <c r="W17907" s="235" t="n"/>
      <c r="X17907" s="235" t="n"/>
    </row>
    <row r="17908" ht="14.25" customHeight="1" s="192">
      <c r="W17908" s="239" t="n"/>
      <c r="X17908" s="239" t="n"/>
    </row>
    <row r="17910" ht="14.25" customHeight="1" s="192">
      <c r="W17910" s="235" t="n"/>
      <c r="X17910" s="235" t="n"/>
    </row>
    <row r="17911" ht="15" customHeight="1" s="192" thickBot="1">
      <c r="W17911" s="239" t="n"/>
      <c r="X17911" s="239" t="n"/>
    </row>
    <row r="17912" ht="15" customHeight="1" s="192" thickBot="1">
      <c r="W17912" s="45" t="n"/>
      <c r="X17912" s="45" t="n"/>
    </row>
    <row r="17913" ht="14.25" customHeight="1" s="192">
      <c r="W17913" s="228" t="n"/>
      <c r="X17913" s="228" t="n"/>
    </row>
    <row r="17914" ht="14.25" customHeight="1" s="192">
      <c r="W17914" s="228" t="n"/>
      <c r="X17914" s="228" t="n"/>
    </row>
    <row r="17915" ht="14.25" customHeight="1" s="192">
      <c r="W17915" s="231" t="n"/>
      <c r="X17915" s="231" t="n"/>
    </row>
    <row r="17916" ht="14.25" customHeight="1" s="192">
      <c r="W17916" s="33" t="n"/>
      <c r="X17916" s="33" t="n"/>
    </row>
    <row r="17917" ht="14.25" customHeight="1" s="192">
      <c r="W17917" s="231" t="n"/>
      <c r="X17917" s="231" t="n"/>
    </row>
    <row r="17918" ht="14.25" customHeight="1" s="192">
      <c r="W17918" s="33" t="n"/>
      <c r="X17918" s="33" t="n"/>
    </row>
    <row r="17920" ht="14.25" customHeight="1" s="192">
      <c r="W17920" s="231" t="n"/>
      <c r="X17920" s="231" t="n"/>
    </row>
    <row r="17921" ht="14.25" customHeight="1" s="192">
      <c r="W17921" s="235" t="n"/>
      <c r="X17921" s="235" t="n"/>
    </row>
    <row r="17922" ht="14.25" customHeight="1" s="192">
      <c r="W17922" s="228" t="n"/>
      <c r="X17922" s="228" t="n"/>
    </row>
    <row r="17923" ht="14.25" customHeight="1" s="192">
      <c r="W17923" s="235" t="n"/>
      <c r="X17923" s="235" t="n"/>
    </row>
    <row r="17924" ht="14.25" customHeight="1" s="192">
      <c r="W17924" s="235" t="n"/>
      <c r="X17924" s="235" t="n"/>
    </row>
    <row r="17925" ht="14.25" customHeight="1" s="192">
      <c r="W17925" s="235" t="n"/>
      <c r="X17925" s="235" t="n"/>
    </row>
    <row r="17926" ht="14.25" customHeight="1" s="192">
      <c r="W17926" s="239" t="n"/>
      <c r="X17926" s="239" t="n"/>
    </row>
    <row r="17927" ht="14.25" customHeight="1" s="192">
      <c r="W17927" s="239" t="n"/>
      <c r="X17927" s="239" t="n"/>
    </row>
    <row r="17928" ht="14.25" customHeight="1" s="192">
      <c r="W17928" s="239" t="n"/>
      <c r="X17928" s="239" t="n"/>
    </row>
    <row r="17929" ht="14.25" customHeight="1" s="192">
      <c r="W17929" s="235" t="n"/>
      <c r="X17929" s="235" t="n"/>
    </row>
    <row r="17930" ht="14.25" customHeight="1" s="192">
      <c r="W17930" s="235" t="n"/>
      <c r="X17930" s="235" t="n"/>
    </row>
    <row r="17931" ht="14.25" customHeight="1" s="192">
      <c r="W17931" s="235" t="n"/>
      <c r="X17931" s="235" t="n"/>
    </row>
    <row r="17932" ht="14.25" customHeight="1" s="192">
      <c r="W17932" s="239" t="n"/>
      <c r="X17932" s="239" t="n"/>
    </row>
    <row r="17933" ht="14.25" customHeight="1" s="192">
      <c r="W17933" s="239" t="n"/>
      <c r="X17933" s="239" t="n"/>
    </row>
    <row r="17934" ht="14.25" customHeight="1" s="192">
      <c r="W17934" s="235" t="n"/>
      <c r="X17934" s="235" t="n"/>
    </row>
    <row r="17935" ht="14.25" customHeight="1" s="192">
      <c r="W17935" s="235" t="n"/>
      <c r="X17935" s="235" t="n"/>
    </row>
    <row r="17936" ht="14.25" customHeight="1" s="192">
      <c r="W17936" s="239" t="n"/>
      <c r="X17936" s="239" t="n"/>
    </row>
    <row r="17937" ht="14.25" customHeight="1" s="192">
      <c r="W17937" s="235" t="n"/>
      <c r="X17937" s="235" t="n"/>
    </row>
    <row r="17938" ht="14.25" customHeight="1" s="192">
      <c r="W17938" s="239" t="n"/>
      <c r="X17938" s="239" t="n"/>
    </row>
    <row r="17940" ht="14.25" customHeight="1" s="192">
      <c r="W17940" s="235" t="n"/>
      <c r="X17940" s="235" t="n"/>
    </row>
    <row r="17941" ht="15" customHeight="1" s="192" thickBot="1">
      <c r="W17941" s="239" t="n"/>
      <c r="X17941" s="239" t="n"/>
    </row>
    <row r="17942" ht="15" customHeight="1" s="192" thickBot="1">
      <c r="W17942" s="45" t="n"/>
      <c r="X17942" s="45" t="n"/>
    </row>
    <row r="17943" ht="14.25" customHeight="1" s="192">
      <c r="W17943" s="228" t="n"/>
      <c r="X17943" s="228" t="n"/>
    </row>
    <row r="17944" ht="14.25" customHeight="1" s="192">
      <c r="W17944" s="228" t="n"/>
      <c r="X17944" s="228" t="n"/>
    </row>
    <row r="17945" ht="14.25" customHeight="1" s="192">
      <c r="W17945" s="231" t="n"/>
      <c r="X17945" s="231" t="n"/>
    </row>
    <row r="17946" ht="14.25" customHeight="1" s="192">
      <c r="W17946" s="33" t="n"/>
      <c r="X17946" s="33" t="n"/>
    </row>
    <row r="17947" ht="14.25" customHeight="1" s="192">
      <c r="W17947" s="231" t="n"/>
      <c r="X17947" s="231" t="n"/>
    </row>
    <row r="17948" ht="14.25" customHeight="1" s="192">
      <c r="W17948" s="33" t="n"/>
      <c r="X17948" s="33" t="n"/>
    </row>
    <row r="17950" ht="14.25" customHeight="1" s="192">
      <c r="W17950" s="231" t="n"/>
      <c r="X17950" s="231" t="n"/>
    </row>
    <row r="17951" ht="14.25" customHeight="1" s="192">
      <c r="W17951" s="235" t="n"/>
      <c r="X17951" s="235" t="n"/>
    </row>
    <row r="17952" ht="14.25" customHeight="1" s="192">
      <c r="W17952" s="228" t="n"/>
      <c r="X17952" s="228" t="n"/>
    </row>
    <row r="17953" ht="14.25" customHeight="1" s="192">
      <c r="W17953" s="235" t="n"/>
      <c r="X17953" s="235" t="n"/>
    </row>
    <row r="17954" ht="14.25" customHeight="1" s="192">
      <c r="W17954" s="235" t="n"/>
      <c r="X17954" s="235" t="n"/>
    </row>
    <row r="17955" ht="14.25" customHeight="1" s="192">
      <c r="W17955" s="235" t="n"/>
      <c r="X17955" s="235" t="n"/>
    </row>
    <row r="17956" ht="14.25" customHeight="1" s="192">
      <c r="W17956" s="239" t="n"/>
      <c r="X17956" s="239" t="n"/>
    </row>
    <row r="17957" ht="14.25" customHeight="1" s="192">
      <c r="W17957" s="239" t="n"/>
      <c r="X17957" s="239" t="n"/>
    </row>
    <row r="17958" ht="14.25" customHeight="1" s="192">
      <c r="W17958" s="239" t="n"/>
      <c r="X17958" s="239" t="n"/>
    </row>
    <row r="17959" ht="14.25" customHeight="1" s="192">
      <c r="W17959" s="235" t="n"/>
      <c r="X17959" s="235" t="n"/>
    </row>
    <row r="17960" ht="14.25" customHeight="1" s="192">
      <c r="W17960" s="235" t="n"/>
      <c r="X17960" s="235" t="n"/>
    </row>
    <row r="17961" ht="14.25" customHeight="1" s="192">
      <c r="W17961" s="235" t="n"/>
      <c r="X17961" s="235" t="n"/>
    </row>
    <row r="17962" ht="14.25" customHeight="1" s="192">
      <c r="W17962" s="239" t="n"/>
      <c r="X17962" s="239" t="n"/>
    </row>
    <row r="17963" ht="14.25" customHeight="1" s="192">
      <c r="W17963" s="239" t="n"/>
      <c r="X17963" s="239" t="n"/>
    </row>
    <row r="17964" ht="14.25" customHeight="1" s="192">
      <c r="W17964" s="235" t="n"/>
      <c r="X17964" s="235" t="n"/>
    </row>
    <row r="17965" ht="14.25" customHeight="1" s="192">
      <c r="W17965" s="235" t="n"/>
      <c r="X17965" s="235" t="n"/>
    </row>
    <row r="17966" ht="14.25" customHeight="1" s="192">
      <c r="W17966" s="239" t="n"/>
      <c r="X17966" s="239" t="n"/>
    </row>
    <row r="17967" ht="14.25" customHeight="1" s="192">
      <c r="W17967" s="235" t="n"/>
      <c r="X17967" s="235" t="n"/>
    </row>
    <row r="17968" ht="14.25" customHeight="1" s="192">
      <c r="W17968" s="239" t="n"/>
      <c r="X17968" s="239" t="n"/>
    </row>
    <row r="17970" ht="14.25" customHeight="1" s="192">
      <c r="W17970" s="235" t="n"/>
      <c r="X17970" s="235" t="n"/>
    </row>
    <row r="17971" ht="15" customHeight="1" s="192" thickBot="1">
      <c r="W17971" s="239" t="n"/>
      <c r="X17971" s="239" t="n"/>
    </row>
    <row r="17972" ht="15" customHeight="1" s="192" thickBot="1">
      <c r="W17972" s="45" t="n"/>
      <c r="X17972" s="45" t="n"/>
    </row>
    <row r="17973" ht="14.25" customHeight="1" s="192">
      <c r="W17973" s="228" t="n"/>
      <c r="X17973" s="228" t="n"/>
    </row>
    <row r="17974" ht="14.25" customHeight="1" s="192">
      <c r="W17974" s="228" t="n"/>
      <c r="X17974" s="228" t="n"/>
    </row>
    <row r="17975" ht="14.25" customHeight="1" s="192">
      <c r="W17975" s="231" t="n"/>
      <c r="X17975" s="231" t="n"/>
    </row>
    <row r="17976" ht="14.25" customHeight="1" s="192">
      <c r="W17976" s="33" t="n"/>
      <c r="X17976" s="33" t="n"/>
    </row>
    <row r="17977" ht="14.25" customHeight="1" s="192">
      <c r="W17977" s="231" t="n"/>
      <c r="X17977" s="231" t="n"/>
    </row>
    <row r="17978" ht="14.25" customHeight="1" s="192">
      <c r="W17978" s="33" t="n"/>
      <c r="X17978" s="33" t="n"/>
    </row>
    <row r="17980" ht="14.25" customHeight="1" s="192">
      <c r="W17980" s="231" t="n"/>
      <c r="X17980" s="231" t="n"/>
    </row>
    <row r="17981" ht="14.25" customHeight="1" s="192">
      <c r="W17981" s="235" t="n"/>
      <c r="X17981" s="235" t="n"/>
    </row>
    <row r="17982" ht="14.25" customHeight="1" s="192">
      <c r="W17982" s="228" t="n"/>
      <c r="X17982" s="228" t="n"/>
    </row>
    <row r="17983" ht="14.25" customHeight="1" s="192">
      <c r="W17983" s="235" t="n"/>
      <c r="X17983" s="235" t="n"/>
    </row>
    <row r="17984" ht="14.25" customHeight="1" s="192">
      <c r="W17984" s="235" t="n"/>
      <c r="X17984" s="235" t="n"/>
    </row>
    <row r="17985" ht="14.25" customHeight="1" s="192">
      <c r="W17985" s="235" t="n"/>
      <c r="X17985" s="235" t="n"/>
    </row>
    <row r="17986" ht="14.25" customHeight="1" s="192">
      <c r="W17986" s="239" t="n"/>
      <c r="X17986" s="239" t="n"/>
    </row>
    <row r="17987" ht="14.25" customHeight="1" s="192">
      <c r="W17987" s="239" t="n"/>
      <c r="X17987" s="239" t="n"/>
    </row>
    <row r="17988" ht="14.25" customHeight="1" s="192">
      <c r="W17988" s="239" t="n"/>
      <c r="X17988" s="239" t="n"/>
    </row>
    <row r="17989" ht="14.25" customHeight="1" s="192">
      <c r="W17989" s="235" t="n"/>
      <c r="X17989" s="235" t="n"/>
    </row>
    <row r="17990" ht="14.25" customHeight="1" s="192">
      <c r="W17990" s="235" t="n"/>
      <c r="X17990" s="235" t="n"/>
    </row>
    <row r="17991" ht="14.25" customHeight="1" s="192">
      <c r="W17991" s="235" t="n"/>
      <c r="X17991" s="235" t="n"/>
    </row>
    <row r="17992" ht="14.25" customHeight="1" s="192">
      <c r="W17992" s="239" t="n"/>
      <c r="X17992" s="239" t="n"/>
    </row>
    <row r="17993" ht="14.25" customHeight="1" s="192">
      <c r="W17993" s="239" t="n"/>
      <c r="X17993" s="239" t="n"/>
    </row>
    <row r="17994" ht="14.25" customHeight="1" s="192">
      <c r="W17994" s="235" t="n"/>
      <c r="X17994" s="235" t="n"/>
    </row>
    <row r="17995" ht="14.25" customHeight="1" s="192">
      <c r="W17995" s="235" t="n"/>
      <c r="X17995" s="235" t="n"/>
    </row>
    <row r="17996" ht="14.25" customHeight="1" s="192">
      <c r="W17996" s="239" t="n"/>
      <c r="X17996" s="239" t="n"/>
    </row>
    <row r="17997" ht="14.25" customHeight="1" s="192">
      <c r="W17997" s="235" t="n"/>
      <c r="X17997" s="235" t="n"/>
    </row>
    <row r="17998" ht="14.25" customHeight="1" s="192">
      <c r="W17998" s="239" t="n"/>
      <c r="X17998" s="239" t="n"/>
    </row>
    <row r="18000" ht="14.25" customHeight="1" s="192">
      <c r="W18000" s="235" t="n"/>
      <c r="X18000" s="235" t="n"/>
    </row>
    <row r="18001" ht="15" customHeight="1" s="192" thickBot="1">
      <c r="W18001" s="239" t="n"/>
      <c r="X18001" s="239" t="n"/>
    </row>
    <row r="18002" ht="15" customHeight="1" s="192" thickBot="1">
      <c r="W18002" s="45" t="n"/>
      <c r="X18002" s="45" t="n"/>
    </row>
    <row r="18003" ht="14.25" customHeight="1" s="192">
      <c r="W18003" s="228" t="n"/>
      <c r="X18003" s="228" t="n"/>
    </row>
    <row r="18004" ht="14.25" customHeight="1" s="192">
      <c r="W18004" s="228" t="n"/>
      <c r="X18004" s="228" t="n"/>
    </row>
    <row r="18005" ht="14.25" customHeight="1" s="192">
      <c r="W18005" s="231" t="n"/>
      <c r="X18005" s="231" t="n"/>
    </row>
    <row r="18006" ht="14.25" customHeight="1" s="192">
      <c r="W18006" s="33" t="n"/>
      <c r="X18006" s="33" t="n"/>
    </row>
    <row r="18007" ht="14.25" customHeight="1" s="192">
      <c r="W18007" s="231" t="n"/>
      <c r="X18007" s="231" t="n"/>
    </row>
    <row r="18008" ht="14.25" customHeight="1" s="192">
      <c r="W18008" s="33" t="n"/>
      <c r="X18008" s="33" t="n"/>
    </row>
    <row r="18010" ht="14.25" customHeight="1" s="192">
      <c r="W18010" s="231" t="n"/>
      <c r="X18010" s="231" t="n"/>
    </row>
    <row r="18011" ht="14.25" customHeight="1" s="192">
      <c r="W18011" s="235" t="n"/>
      <c r="X18011" s="235" t="n"/>
    </row>
    <row r="18012" ht="14.25" customHeight="1" s="192">
      <c r="W18012" s="228" t="n"/>
      <c r="X18012" s="228" t="n"/>
    </row>
    <row r="18013" ht="14.25" customHeight="1" s="192">
      <c r="W18013" s="235" t="n"/>
      <c r="X18013" s="235" t="n"/>
    </row>
    <row r="18014" ht="14.25" customHeight="1" s="192">
      <c r="W18014" s="235" t="n"/>
      <c r="X18014" s="235" t="n"/>
    </row>
    <row r="18015" ht="14.25" customHeight="1" s="192">
      <c r="W18015" s="235" t="n"/>
      <c r="X18015" s="235" t="n"/>
    </row>
    <row r="18016" ht="14.25" customHeight="1" s="192">
      <c r="W18016" s="239" t="n"/>
      <c r="X18016" s="239" t="n"/>
    </row>
    <row r="18017" ht="14.25" customHeight="1" s="192">
      <c r="W18017" s="239" t="n"/>
      <c r="X18017" s="239" t="n"/>
    </row>
    <row r="18018" ht="14.25" customHeight="1" s="192">
      <c r="W18018" s="239" t="n"/>
      <c r="X18018" s="239" t="n"/>
    </row>
    <row r="18019" ht="14.25" customHeight="1" s="192">
      <c r="W18019" s="235" t="n"/>
      <c r="X18019" s="235" t="n"/>
    </row>
    <row r="18020" ht="14.25" customHeight="1" s="192">
      <c r="W18020" s="235" t="n"/>
      <c r="X18020" s="235" t="n"/>
    </row>
    <row r="18021" ht="14.25" customHeight="1" s="192">
      <c r="W18021" s="235" t="n"/>
      <c r="X18021" s="235" t="n"/>
    </row>
    <row r="18022" ht="14.25" customHeight="1" s="192">
      <c r="W18022" s="239" t="n"/>
      <c r="X18022" s="239" t="n"/>
    </row>
    <row r="18023" ht="14.25" customHeight="1" s="192">
      <c r="W18023" s="239" t="n"/>
      <c r="X18023" s="239" t="n"/>
    </row>
    <row r="18024" ht="14.25" customHeight="1" s="192">
      <c r="W18024" s="235" t="n"/>
      <c r="X18024" s="235" t="n"/>
    </row>
    <row r="18025" ht="14.25" customHeight="1" s="192">
      <c r="W18025" s="235" t="n"/>
      <c r="X18025" s="235" t="n"/>
    </row>
    <row r="18026" ht="14.25" customHeight="1" s="192">
      <c r="W18026" s="239" t="n"/>
      <c r="X18026" s="239" t="n"/>
    </row>
    <row r="18027" ht="14.25" customHeight="1" s="192">
      <c r="W18027" s="235" t="n"/>
      <c r="X18027" s="235" t="n"/>
    </row>
    <row r="18028" ht="14.25" customHeight="1" s="192">
      <c r="W18028" s="239" t="n"/>
      <c r="X18028" s="239" t="n"/>
    </row>
    <row r="18030" ht="14.25" customHeight="1" s="192">
      <c r="W18030" s="235" t="n"/>
      <c r="X18030" s="235" t="n"/>
    </row>
    <row r="18031" ht="15" customHeight="1" s="192" thickBot="1">
      <c r="W18031" s="239" t="n"/>
      <c r="X18031" s="239" t="n"/>
    </row>
    <row r="18032" ht="15" customHeight="1" s="192" thickBot="1">
      <c r="W18032" s="45" t="n"/>
      <c r="X18032" s="45" t="n"/>
    </row>
    <row r="18033" ht="14.25" customHeight="1" s="192">
      <c r="W18033" s="228" t="n"/>
      <c r="X18033" s="228" t="n"/>
    </row>
    <row r="18034" ht="14.25" customHeight="1" s="192">
      <c r="W18034" s="228" t="n"/>
      <c r="X18034" s="228" t="n"/>
    </row>
    <row r="18035" ht="14.25" customHeight="1" s="192">
      <c r="W18035" s="231" t="n"/>
      <c r="X18035" s="231" t="n"/>
    </row>
    <row r="18036" ht="14.25" customHeight="1" s="192">
      <c r="W18036" s="33" t="n"/>
      <c r="X18036" s="33" t="n"/>
    </row>
    <row r="18037" ht="14.25" customHeight="1" s="192">
      <c r="W18037" s="231" t="n"/>
      <c r="X18037" s="231" t="n"/>
    </row>
    <row r="18038" ht="14.25" customHeight="1" s="192">
      <c r="W18038" s="33" t="n"/>
      <c r="X18038" s="33" t="n"/>
    </row>
    <row r="18040" ht="14.25" customHeight="1" s="192">
      <c r="W18040" s="231" t="n"/>
      <c r="X18040" s="231" t="n"/>
    </row>
    <row r="18041" ht="14.25" customHeight="1" s="192">
      <c r="W18041" s="235" t="n"/>
      <c r="X18041" s="235" t="n"/>
    </row>
    <row r="18042" ht="14.25" customHeight="1" s="192">
      <c r="W18042" s="228" t="n"/>
      <c r="X18042" s="228" t="n"/>
    </row>
    <row r="18043" ht="14.25" customHeight="1" s="192">
      <c r="W18043" s="235" t="n"/>
      <c r="X18043" s="235" t="n"/>
    </row>
    <row r="18044" ht="14.25" customHeight="1" s="192">
      <c r="W18044" s="235" t="n"/>
      <c r="X18044" s="235" t="n"/>
    </row>
    <row r="18045" ht="14.25" customHeight="1" s="192">
      <c r="W18045" s="235" t="n"/>
      <c r="X18045" s="235" t="n"/>
    </row>
    <row r="18046" ht="14.25" customHeight="1" s="192">
      <c r="W18046" s="239" t="n"/>
      <c r="X18046" s="239" t="n"/>
    </row>
    <row r="18047" ht="14.25" customHeight="1" s="192">
      <c r="W18047" s="239" t="n"/>
      <c r="X18047" s="239" t="n"/>
    </row>
    <row r="18048" ht="14.25" customHeight="1" s="192">
      <c r="W18048" s="239" t="n"/>
      <c r="X18048" s="239" t="n"/>
    </row>
    <row r="18049" ht="14.25" customHeight="1" s="192">
      <c r="W18049" s="235" t="n"/>
      <c r="X18049" s="235" t="n"/>
    </row>
    <row r="18050" ht="14.25" customHeight="1" s="192">
      <c r="W18050" s="235" t="n"/>
      <c r="X18050" s="235" t="n"/>
    </row>
    <row r="18051" ht="14.25" customHeight="1" s="192">
      <c r="W18051" s="235" t="n"/>
      <c r="X18051" s="235" t="n"/>
    </row>
    <row r="18052" ht="14.25" customHeight="1" s="192">
      <c r="W18052" s="239" t="n"/>
      <c r="X18052" s="239" t="n"/>
    </row>
    <row r="18053" ht="14.25" customHeight="1" s="192">
      <c r="W18053" s="239" t="n"/>
      <c r="X18053" s="239" t="n"/>
    </row>
    <row r="18054" ht="14.25" customHeight="1" s="192">
      <c r="W18054" s="235" t="n"/>
      <c r="X18054" s="235" t="n"/>
    </row>
    <row r="18055" ht="14.25" customHeight="1" s="192">
      <c r="W18055" s="235" t="n"/>
      <c r="X18055" s="235" t="n"/>
    </row>
    <row r="18056" ht="14.25" customHeight="1" s="192">
      <c r="W18056" s="239" t="n"/>
      <c r="X18056" s="239" t="n"/>
    </row>
    <row r="18057" ht="14.25" customHeight="1" s="192">
      <c r="W18057" s="235" t="n"/>
      <c r="X18057" s="235" t="n"/>
    </row>
    <row r="18058" ht="14.25" customHeight="1" s="192">
      <c r="W18058" s="239" t="n"/>
      <c r="X18058" s="239" t="n"/>
    </row>
    <row r="18060" ht="14.25" customHeight="1" s="192">
      <c r="W18060" s="235" t="n"/>
      <c r="X18060" s="235" t="n"/>
    </row>
    <row r="18061" ht="15" customHeight="1" s="192" thickBot="1">
      <c r="W18061" s="239" t="n"/>
      <c r="X18061" s="239" t="n"/>
    </row>
    <row r="18062" ht="15" customHeight="1" s="192" thickBot="1">
      <c r="W18062" s="45" t="n"/>
      <c r="X18062" s="45" t="n"/>
    </row>
    <row r="18063" ht="14.25" customHeight="1" s="192">
      <c r="W18063" s="228" t="n"/>
      <c r="X18063" s="228" t="n"/>
    </row>
    <row r="18064" ht="14.25" customHeight="1" s="192">
      <c r="W18064" s="228" t="n"/>
      <c r="X18064" s="228" t="n"/>
    </row>
    <row r="18065" ht="14.25" customHeight="1" s="192">
      <c r="W18065" s="231" t="n"/>
      <c r="X18065" s="231" t="n"/>
    </row>
    <row r="18066" ht="14.25" customHeight="1" s="192">
      <c r="W18066" s="33" t="n"/>
      <c r="X18066" s="33" t="n"/>
    </row>
    <row r="18067" ht="14.25" customHeight="1" s="192">
      <c r="W18067" s="231" t="n"/>
      <c r="X18067" s="231" t="n"/>
    </row>
    <row r="18068" ht="14.25" customHeight="1" s="192">
      <c r="W18068" s="33" t="n"/>
      <c r="X18068" s="33" t="n"/>
    </row>
    <row r="18070" ht="14.25" customHeight="1" s="192">
      <c r="W18070" s="231" t="n"/>
      <c r="X18070" s="231" t="n"/>
    </row>
    <row r="18071" ht="14.25" customHeight="1" s="192">
      <c r="W18071" s="235" t="n"/>
      <c r="X18071" s="235" t="n"/>
    </row>
    <row r="18072" ht="14.25" customHeight="1" s="192">
      <c r="W18072" s="228" t="n"/>
      <c r="X18072" s="228" t="n"/>
    </row>
    <row r="18073" ht="14.25" customHeight="1" s="192">
      <c r="W18073" s="235" t="n"/>
      <c r="X18073" s="235" t="n"/>
    </row>
    <row r="18074" ht="14.25" customHeight="1" s="192">
      <c r="W18074" s="235" t="n"/>
      <c r="X18074" s="235" t="n"/>
    </row>
    <row r="18075" ht="14.25" customHeight="1" s="192">
      <c r="W18075" s="235" t="n"/>
      <c r="X18075" s="235" t="n"/>
    </row>
    <row r="18076" ht="14.25" customHeight="1" s="192">
      <c r="W18076" s="239" t="n"/>
      <c r="X18076" s="239" t="n"/>
    </row>
    <row r="18077" ht="14.25" customHeight="1" s="192">
      <c r="W18077" s="239" t="n"/>
      <c r="X18077" s="239" t="n"/>
    </row>
    <row r="18078" ht="14.25" customHeight="1" s="192">
      <c r="W18078" s="239" t="n"/>
      <c r="X18078" s="239" t="n"/>
    </row>
    <row r="18079" ht="14.25" customHeight="1" s="192">
      <c r="W18079" s="235" t="n"/>
      <c r="X18079" s="235" t="n"/>
    </row>
    <row r="18080" ht="14.25" customHeight="1" s="192">
      <c r="W18080" s="235" t="n"/>
      <c r="X18080" s="235" t="n"/>
    </row>
    <row r="18081" ht="14.25" customHeight="1" s="192">
      <c r="W18081" s="235" t="n"/>
      <c r="X18081" s="235" t="n"/>
    </row>
    <row r="18082" ht="14.25" customHeight="1" s="192">
      <c r="W18082" s="239" t="n"/>
      <c r="X18082" s="239" t="n"/>
    </row>
    <row r="18083" ht="14.25" customHeight="1" s="192">
      <c r="W18083" s="239" t="n"/>
      <c r="X18083" s="239" t="n"/>
    </row>
    <row r="18084" ht="14.25" customHeight="1" s="192">
      <c r="W18084" s="235" t="n"/>
      <c r="X18084" s="235" t="n"/>
    </row>
    <row r="18085" ht="14.25" customHeight="1" s="192">
      <c r="W18085" s="235" t="n"/>
      <c r="X18085" s="235" t="n"/>
    </row>
    <row r="18086" ht="14.25" customHeight="1" s="192">
      <c r="W18086" s="239" t="n"/>
      <c r="X18086" s="239" t="n"/>
    </row>
    <row r="18087" ht="14.25" customHeight="1" s="192">
      <c r="W18087" s="235" t="n"/>
      <c r="X18087" s="235" t="n"/>
    </row>
    <row r="18088" ht="14.25" customHeight="1" s="192">
      <c r="W18088" s="239" t="n"/>
      <c r="X18088" s="239" t="n"/>
    </row>
    <row r="18090" ht="14.25" customHeight="1" s="192">
      <c r="W18090" s="235" t="n"/>
      <c r="X18090" s="235" t="n"/>
    </row>
    <row r="18091" ht="15" customHeight="1" s="192" thickBot="1">
      <c r="W18091" s="239" t="n"/>
      <c r="X18091" s="239" t="n"/>
    </row>
    <row r="18092" ht="15" customHeight="1" s="192" thickBot="1">
      <c r="W18092" s="45" t="n"/>
      <c r="X18092" s="45" t="n"/>
    </row>
    <row r="18093" ht="14.25" customHeight="1" s="192">
      <c r="W18093" s="228" t="n"/>
      <c r="X18093" s="228" t="n"/>
    </row>
    <row r="18094" ht="14.25" customHeight="1" s="192">
      <c r="W18094" s="228" t="n"/>
      <c r="X18094" s="228" t="n"/>
    </row>
    <row r="18095" ht="14.25" customHeight="1" s="192">
      <c r="W18095" s="231" t="n"/>
      <c r="X18095" s="231" t="n"/>
    </row>
    <row r="18096" ht="14.25" customHeight="1" s="192">
      <c r="W18096" s="33" t="n"/>
      <c r="X18096" s="33" t="n"/>
    </row>
    <row r="18097" ht="14.25" customHeight="1" s="192">
      <c r="W18097" s="231" t="n"/>
      <c r="X18097" s="231" t="n"/>
    </row>
    <row r="18098" ht="14.25" customHeight="1" s="192">
      <c r="W18098" s="33" t="n"/>
      <c r="X18098" s="33" t="n"/>
    </row>
    <row r="18100" ht="14.25" customHeight="1" s="192">
      <c r="W18100" s="231" t="n"/>
      <c r="X18100" s="231" t="n"/>
    </row>
    <row r="18101" ht="14.25" customHeight="1" s="192">
      <c r="W18101" s="235" t="n"/>
      <c r="X18101" s="235" t="n"/>
    </row>
    <row r="18102" ht="14.25" customHeight="1" s="192">
      <c r="W18102" s="228" t="n"/>
      <c r="X18102" s="228" t="n"/>
    </row>
    <row r="18103" ht="14.25" customHeight="1" s="192">
      <c r="W18103" s="235" t="n"/>
      <c r="X18103" s="235" t="n"/>
    </row>
    <row r="18104" ht="14.25" customHeight="1" s="192">
      <c r="W18104" s="235" t="n"/>
      <c r="X18104" s="235" t="n"/>
    </row>
    <row r="18105" ht="14.25" customHeight="1" s="192">
      <c r="W18105" s="235" t="n"/>
      <c r="X18105" s="235" t="n"/>
    </row>
    <row r="18106" ht="14.25" customHeight="1" s="192">
      <c r="W18106" s="239" t="n"/>
      <c r="X18106" s="239" t="n"/>
    </row>
    <row r="18107" ht="14.25" customHeight="1" s="192">
      <c r="W18107" s="239" t="n"/>
      <c r="X18107" s="239" t="n"/>
    </row>
    <row r="18108" ht="14.25" customHeight="1" s="192">
      <c r="W18108" s="239" t="n"/>
      <c r="X18108" s="239" t="n"/>
    </row>
    <row r="18109" ht="14.25" customHeight="1" s="192">
      <c r="W18109" s="235" t="n"/>
      <c r="X18109" s="235" t="n"/>
    </row>
    <row r="18110" ht="14.25" customHeight="1" s="192">
      <c r="W18110" s="235" t="n"/>
      <c r="X18110" s="235" t="n"/>
    </row>
    <row r="18111" ht="14.25" customHeight="1" s="192">
      <c r="W18111" s="235" t="n"/>
      <c r="X18111" s="235" t="n"/>
    </row>
    <row r="18112" ht="14.25" customHeight="1" s="192">
      <c r="W18112" s="239" t="n"/>
      <c r="X18112" s="239" t="n"/>
    </row>
    <row r="18113" ht="14.25" customHeight="1" s="192">
      <c r="W18113" s="239" t="n"/>
      <c r="X18113" s="239" t="n"/>
    </row>
    <row r="18114" ht="14.25" customHeight="1" s="192">
      <c r="W18114" s="235" t="n"/>
      <c r="X18114" s="235" t="n"/>
    </row>
    <row r="18115" ht="14.25" customHeight="1" s="192">
      <c r="W18115" s="235" t="n"/>
      <c r="X18115" s="235" t="n"/>
    </row>
    <row r="18116" ht="14.25" customHeight="1" s="192">
      <c r="W18116" s="239" t="n"/>
      <c r="X18116" s="239" t="n"/>
    </row>
    <row r="18117" ht="14.25" customHeight="1" s="192">
      <c r="W18117" s="235" t="n"/>
      <c r="X18117" s="235" t="n"/>
    </row>
    <row r="18118" ht="14.25" customHeight="1" s="192">
      <c r="W18118" s="239" t="n"/>
      <c r="X18118" s="239" t="n"/>
    </row>
    <row r="18120" ht="14.25" customHeight="1" s="192">
      <c r="W18120" s="235" t="n"/>
      <c r="X18120" s="235" t="n"/>
    </row>
    <row r="18121" ht="15" customHeight="1" s="192" thickBot="1">
      <c r="W18121" s="239" t="n"/>
      <c r="X18121" s="239" t="n"/>
    </row>
    <row r="18122" ht="15" customHeight="1" s="192" thickBot="1">
      <c r="W18122" s="45" t="n"/>
      <c r="X18122" s="45" t="n"/>
    </row>
    <row r="18123" ht="14.25" customHeight="1" s="192">
      <c r="W18123" s="228" t="n"/>
      <c r="X18123" s="228" t="n"/>
    </row>
    <row r="18124" ht="14.25" customHeight="1" s="192">
      <c r="W18124" s="228" t="n"/>
      <c r="X18124" s="228" t="n"/>
    </row>
    <row r="18125" ht="14.25" customHeight="1" s="192">
      <c r="W18125" s="231" t="n"/>
      <c r="X18125" s="231" t="n"/>
    </row>
    <row r="18126" ht="14.25" customHeight="1" s="192">
      <c r="W18126" s="33" t="n"/>
      <c r="X18126" s="33" t="n"/>
    </row>
    <row r="18127" ht="14.25" customHeight="1" s="192">
      <c r="W18127" s="231" t="n"/>
      <c r="X18127" s="231" t="n"/>
    </row>
    <row r="18128" ht="14.25" customHeight="1" s="192">
      <c r="W18128" s="33" t="n"/>
      <c r="X18128" s="33" t="n"/>
    </row>
    <row r="18130" ht="14.25" customHeight="1" s="192">
      <c r="W18130" s="231" t="n"/>
      <c r="X18130" s="231" t="n"/>
    </row>
    <row r="18131" ht="14.25" customHeight="1" s="192">
      <c r="W18131" s="235" t="n"/>
      <c r="X18131" s="235" t="n"/>
    </row>
    <row r="18132" ht="14.25" customHeight="1" s="192">
      <c r="W18132" s="228" t="n"/>
      <c r="X18132" s="228" t="n"/>
    </row>
    <row r="18133" ht="14.25" customHeight="1" s="192">
      <c r="W18133" s="235" t="n"/>
      <c r="X18133" s="235" t="n"/>
    </row>
    <row r="18134" ht="14.25" customHeight="1" s="192">
      <c r="W18134" s="235" t="n"/>
      <c r="X18134" s="235" t="n"/>
    </row>
    <row r="18135" ht="14.25" customHeight="1" s="192">
      <c r="W18135" s="235" t="n"/>
      <c r="X18135" s="235" t="n"/>
    </row>
    <row r="18136" ht="14.25" customHeight="1" s="192">
      <c r="W18136" s="239" t="n"/>
      <c r="X18136" s="239" t="n"/>
    </row>
    <row r="18137" ht="14.25" customHeight="1" s="192">
      <c r="W18137" s="239" t="n"/>
      <c r="X18137" s="239" t="n"/>
    </row>
    <row r="18138" ht="14.25" customHeight="1" s="192">
      <c r="W18138" s="239" t="n"/>
      <c r="X18138" s="239" t="n"/>
    </row>
    <row r="18139" ht="14.25" customHeight="1" s="192">
      <c r="W18139" s="235" t="n"/>
      <c r="X18139" s="235" t="n"/>
    </row>
    <row r="18140" ht="14.25" customHeight="1" s="192">
      <c r="W18140" s="235" t="n"/>
      <c r="X18140" s="235" t="n"/>
    </row>
    <row r="18141" ht="14.25" customHeight="1" s="192">
      <c r="W18141" s="235" t="n"/>
      <c r="X18141" s="235" t="n"/>
    </row>
    <row r="18142" ht="14.25" customHeight="1" s="192">
      <c r="W18142" s="239" t="n"/>
      <c r="X18142" s="239" t="n"/>
    </row>
    <row r="18143" ht="14.25" customHeight="1" s="192">
      <c r="W18143" s="239" t="n"/>
      <c r="X18143" s="239" t="n"/>
    </row>
    <row r="18144" ht="14.25" customHeight="1" s="192">
      <c r="W18144" s="235" t="n"/>
      <c r="X18144" s="235" t="n"/>
    </row>
    <row r="18145" ht="14.25" customHeight="1" s="192">
      <c r="W18145" s="235" t="n"/>
      <c r="X18145" s="235" t="n"/>
    </row>
    <row r="18146" ht="14.25" customHeight="1" s="192">
      <c r="W18146" s="239" t="n"/>
      <c r="X18146" s="239" t="n"/>
    </row>
    <row r="18147" ht="14.25" customHeight="1" s="192">
      <c r="W18147" s="235" t="n"/>
      <c r="X18147" s="235" t="n"/>
    </row>
    <row r="18148" ht="14.25" customHeight="1" s="192">
      <c r="W18148" s="239" t="n"/>
      <c r="X18148" s="239" t="n"/>
    </row>
    <row r="18150" ht="14.25" customHeight="1" s="192">
      <c r="W18150" s="235" t="n"/>
      <c r="X18150" s="235" t="n"/>
    </row>
    <row r="18151" ht="15" customHeight="1" s="192" thickBot="1">
      <c r="W18151" s="239" t="n"/>
      <c r="X18151" s="239" t="n"/>
    </row>
    <row r="18152" ht="15" customHeight="1" s="192" thickBot="1">
      <c r="W18152" s="45" t="n"/>
      <c r="X18152" s="45" t="n"/>
    </row>
    <row r="18153" ht="14.25" customHeight="1" s="192">
      <c r="W18153" s="228" t="n"/>
      <c r="X18153" s="228" t="n"/>
    </row>
    <row r="18154" ht="14.25" customHeight="1" s="192">
      <c r="W18154" s="228" t="n"/>
      <c r="X18154" s="228" t="n"/>
    </row>
    <row r="18155" ht="14.25" customHeight="1" s="192">
      <c r="W18155" s="231" t="n"/>
      <c r="X18155" s="231" t="n"/>
    </row>
    <row r="18156" ht="14.25" customHeight="1" s="192">
      <c r="W18156" s="33" t="n"/>
      <c r="X18156" s="33" t="n"/>
    </row>
    <row r="18157" ht="14.25" customHeight="1" s="192">
      <c r="W18157" s="231" t="n"/>
      <c r="X18157" s="231" t="n"/>
    </row>
    <row r="18158" ht="14.25" customHeight="1" s="192">
      <c r="W18158" s="33" t="n"/>
      <c r="X18158" s="33" t="n"/>
    </row>
    <row r="18160" ht="14.25" customHeight="1" s="192">
      <c r="W18160" s="231" t="n"/>
      <c r="X18160" s="231" t="n"/>
    </row>
    <row r="18161" ht="14.25" customHeight="1" s="192">
      <c r="W18161" s="235" t="n"/>
      <c r="X18161" s="235" t="n"/>
    </row>
    <row r="18162" ht="14.25" customHeight="1" s="192">
      <c r="W18162" s="228" t="n"/>
      <c r="X18162" s="228" t="n"/>
    </row>
    <row r="18163" ht="14.25" customHeight="1" s="192">
      <c r="W18163" s="235" t="n"/>
      <c r="X18163" s="235" t="n"/>
    </row>
    <row r="18164" ht="14.25" customHeight="1" s="192">
      <c r="W18164" s="235" t="n"/>
      <c r="X18164" s="235" t="n"/>
    </row>
    <row r="18165" ht="14.25" customHeight="1" s="192">
      <c r="W18165" s="235" t="n"/>
      <c r="X18165" s="235" t="n"/>
    </row>
    <row r="18166" ht="14.25" customHeight="1" s="192">
      <c r="W18166" s="239" t="n"/>
      <c r="X18166" s="239" t="n"/>
    </row>
    <row r="18167" ht="14.25" customHeight="1" s="192">
      <c r="W18167" s="239" t="n"/>
      <c r="X18167" s="239" t="n"/>
    </row>
    <row r="18168" ht="14.25" customHeight="1" s="192">
      <c r="W18168" s="239" t="n"/>
      <c r="X18168" s="239" t="n"/>
    </row>
    <row r="18169" ht="14.25" customHeight="1" s="192">
      <c r="W18169" s="235" t="n"/>
      <c r="X18169" s="235" t="n"/>
    </row>
    <row r="18170" ht="14.25" customHeight="1" s="192">
      <c r="W18170" s="235" t="n"/>
      <c r="X18170" s="235" t="n"/>
    </row>
    <row r="18171" ht="14.25" customHeight="1" s="192">
      <c r="W18171" s="235" t="n"/>
      <c r="X18171" s="235" t="n"/>
    </row>
    <row r="18172" ht="14.25" customHeight="1" s="192">
      <c r="W18172" s="239" t="n"/>
      <c r="X18172" s="239" t="n"/>
    </row>
    <row r="18173" ht="14.25" customHeight="1" s="192">
      <c r="W18173" s="239" t="n"/>
      <c r="X18173" s="239" t="n"/>
    </row>
    <row r="18174" ht="14.25" customHeight="1" s="192">
      <c r="W18174" s="235" t="n"/>
      <c r="X18174" s="235" t="n"/>
    </row>
    <row r="18175" ht="14.25" customHeight="1" s="192">
      <c r="W18175" s="235" t="n"/>
      <c r="X18175" s="235" t="n"/>
    </row>
    <row r="18176" ht="14.25" customHeight="1" s="192">
      <c r="W18176" s="239" t="n"/>
      <c r="X18176" s="239" t="n"/>
    </row>
    <row r="18177" ht="14.25" customHeight="1" s="192">
      <c r="W18177" s="235" t="n"/>
      <c r="X18177" s="235" t="n"/>
    </row>
    <row r="18178" ht="14.25" customHeight="1" s="192">
      <c r="W18178" s="239" t="n"/>
      <c r="X18178" s="239" t="n"/>
    </row>
    <row r="18180" ht="14.25" customHeight="1" s="192">
      <c r="W18180" s="235" t="n"/>
      <c r="X18180" s="235" t="n"/>
    </row>
    <row r="18181" ht="15" customHeight="1" s="192" thickBot="1">
      <c r="W18181" s="239" t="n"/>
      <c r="X18181" s="239" t="n"/>
    </row>
    <row r="18182" ht="15" customHeight="1" s="192" thickBot="1">
      <c r="W18182" s="45" t="n"/>
      <c r="X18182" s="45" t="n"/>
    </row>
    <row r="18183" ht="14.25" customHeight="1" s="192">
      <c r="W18183" s="228" t="n"/>
      <c r="X18183" s="228" t="n"/>
    </row>
    <row r="18184" ht="14.25" customHeight="1" s="192">
      <c r="W18184" s="228" t="n"/>
      <c r="X18184" s="228" t="n"/>
    </row>
    <row r="18185" ht="14.25" customHeight="1" s="192">
      <c r="W18185" s="231" t="n"/>
      <c r="X18185" s="231" t="n"/>
    </row>
    <row r="18186" ht="14.25" customHeight="1" s="192">
      <c r="W18186" s="33" t="n"/>
      <c r="X18186" s="33" t="n"/>
    </row>
    <row r="18187" ht="14.25" customHeight="1" s="192">
      <c r="W18187" s="231" t="n"/>
      <c r="X18187" s="231" t="n"/>
    </row>
    <row r="18188" ht="14.25" customHeight="1" s="192">
      <c r="W18188" s="33" t="n"/>
      <c r="X18188" s="33" t="n"/>
    </row>
    <row r="18190" ht="14.25" customHeight="1" s="192">
      <c r="W18190" s="231" t="n"/>
      <c r="X18190" s="231" t="n"/>
    </row>
    <row r="18191" ht="14.25" customHeight="1" s="192">
      <c r="W18191" s="235" t="n"/>
      <c r="X18191" s="235" t="n"/>
    </row>
    <row r="18192" ht="14.25" customHeight="1" s="192">
      <c r="W18192" s="228" t="n"/>
      <c r="X18192" s="228" t="n"/>
    </row>
    <row r="18193" ht="14.25" customHeight="1" s="192">
      <c r="W18193" s="235" t="n"/>
      <c r="X18193" s="235" t="n"/>
    </row>
    <row r="18194" ht="14.25" customHeight="1" s="192">
      <c r="W18194" s="235" t="n"/>
      <c r="X18194" s="235" t="n"/>
    </row>
    <row r="18195" ht="14.25" customHeight="1" s="192">
      <c r="W18195" s="235" t="n"/>
      <c r="X18195" s="235" t="n"/>
    </row>
    <row r="18196" ht="14.25" customHeight="1" s="192">
      <c r="W18196" s="239" t="n"/>
      <c r="X18196" s="239" t="n"/>
    </row>
    <row r="18197" ht="14.25" customHeight="1" s="192">
      <c r="W18197" s="239" t="n"/>
      <c r="X18197" s="239" t="n"/>
    </row>
    <row r="18198" ht="14.25" customHeight="1" s="192">
      <c r="W18198" s="239" t="n"/>
      <c r="X18198" s="239" t="n"/>
    </row>
    <row r="18199" ht="14.25" customHeight="1" s="192">
      <c r="W18199" s="235" t="n"/>
      <c r="X18199" s="235" t="n"/>
    </row>
    <row r="18200" ht="14.25" customHeight="1" s="192">
      <c r="W18200" s="235" t="n"/>
      <c r="X18200" s="235" t="n"/>
    </row>
    <row r="18201" ht="14.25" customHeight="1" s="192">
      <c r="W18201" s="235" t="n"/>
      <c r="X18201" s="235" t="n"/>
    </row>
    <row r="18202" ht="14.25" customHeight="1" s="192">
      <c r="W18202" s="239" t="n"/>
      <c r="X18202" s="239" t="n"/>
    </row>
    <row r="18203" ht="14.25" customHeight="1" s="192">
      <c r="W18203" s="239" t="n"/>
      <c r="X18203" s="239" t="n"/>
    </row>
    <row r="18204" ht="14.25" customHeight="1" s="192">
      <c r="W18204" s="235" t="n"/>
      <c r="X18204" s="235" t="n"/>
    </row>
    <row r="18205" ht="14.25" customHeight="1" s="192">
      <c r="W18205" s="235" t="n"/>
      <c r="X18205" s="235" t="n"/>
    </row>
    <row r="18206" ht="14.25" customHeight="1" s="192">
      <c r="W18206" s="239" t="n"/>
      <c r="X18206" s="239" t="n"/>
    </row>
    <row r="18207" ht="14.25" customHeight="1" s="192">
      <c r="W18207" s="235" t="n"/>
      <c r="X18207" s="235" t="n"/>
    </row>
    <row r="18208" ht="14.25" customHeight="1" s="192">
      <c r="W18208" s="239" t="n"/>
      <c r="X18208" s="239" t="n"/>
    </row>
    <row r="18210" ht="14.25" customHeight="1" s="192">
      <c r="W18210" s="235" t="n"/>
      <c r="X18210" s="235" t="n"/>
    </row>
    <row r="18211" ht="15" customHeight="1" s="192" thickBot="1">
      <c r="W18211" s="239" t="n"/>
      <c r="X18211" s="239" t="n"/>
    </row>
    <row r="18212" ht="15" customHeight="1" s="192" thickBot="1">
      <c r="W18212" s="45" t="n"/>
      <c r="X18212" s="45" t="n"/>
    </row>
    <row r="18213" ht="14.25" customHeight="1" s="192">
      <c r="W18213" s="228" t="n"/>
      <c r="X18213" s="228" t="n"/>
    </row>
    <row r="18214" ht="14.25" customHeight="1" s="192">
      <c r="W18214" s="228" t="n"/>
      <c r="X18214" s="228" t="n"/>
    </row>
    <row r="18215" ht="14.25" customHeight="1" s="192">
      <c r="W18215" s="231" t="n"/>
      <c r="X18215" s="231" t="n"/>
    </row>
    <row r="18216" ht="14.25" customHeight="1" s="192">
      <c r="W18216" s="33" t="n"/>
      <c r="X18216" s="33" t="n"/>
    </row>
    <row r="18217" ht="14.25" customHeight="1" s="192">
      <c r="W18217" s="231" t="n"/>
      <c r="X18217" s="231" t="n"/>
    </row>
    <row r="18218" ht="14.25" customHeight="1" s="192">
      <c r="W18218" s="33" t="n"/>
      <c r="X18218" s="33" t="n"/>
    </row>
    <row r="18220" ht="14.25" customHeight="1" s="192">
      <c r="W18220" s="231" t="n"/>
      <c r="X18220" s="231" t="n"/>
    </row>
    <row r="18221" ht="14.25" customHeight="1" s="192">
      <c r="W18221" s="235" t="n"/>
      <c r="X18221" s="235" t="n"/>
    </row>
    <row r="18222" ht="14.25" customHeight="1" s="192">
      <c r="W18222" s="228" t="n"/>
      <c r="X18222" s="228" t="n"/>
    </row>
    <row r="18223" ht="14.25" customHeight="1" s="192">
      <c r="W18223" s="235" t="n"/>
      <c r="X18223" s="235" t="n"/>
    </row>
    <row r="18224" ht="14.25" customHeight="1" s="192">
      <c r="W18224" s="235" t="n"/>
      <c r="X18224" s="235" t="n"/>
    </row>
    <row r="18225" ht="14.25" customHeight="1" s="192">
      <c r="W18225" s="235" t="n"/>
      <c r="X18225" s="235" t="n"/>
    </row>
    <row r="18226" ht="14.25" customHeight="1" s="192">
      <c r="W18226" s="239" t="n"/>
      <c r="X18226" s="239" t="n"/>
    </row>
    <row r="18227" ht="14.25" customHeight="1" s="192">
      <c r="W18227" s="239" t="n"/>
      <c r="X18227" s="239" t="n"/>
    </row>
    <row r="18228" ht="14.25" customHeight="1" s="192">
      <c r="W18228" s="239" t="n"/>
      <c r="X18228" s="239" t="n"/>
    </row>
    <row r="18229" ht="14.25" customHeight="1" s="192">
      <c r="W18229" s="235" t="n"/>
      <c r="X18229" s="235" t="n"/>
    </row>
    <row r="18230" ht="14.25" customHeight="1" s="192">
      <c r="W18230" s="235" t="n"/>
      <c r="X18230" s="235" t="n"/>
    </row>
    <row r="18231" ht="14.25" customHeight="1" s="192">
      <c r="W18231" s="235" t="n"/>
      <c r="X18231" s="235" t="n"/>
    </row>
    <row r="18232" ht="14.25" customHeight="1" s="192">
      <c r="W18232" s="239" t="n"/>
      <c r="X18232" s="239" t="n"/>
    </row>
    <row r="18233" ht="14.25" customHeight="1" s="192">
      <c r="W18233" s="239" t="n"/>
      <c r="X18233" s="239" t="n"/>
    </row>
    <row r="18234" ht="14.25" customHeight="1" s="192">
      <c r="W18234" s="235" t="n"/>
      <c r="X18234" s="235" t="n"/>
    </row>
    <row r="18235" ht="14.25" customHeight="1" s="192">
      <c r="W18235" s="235" t="n"/>
      <c r="X18235" s="235" t="n"/>
    </row>
    <row r="18236" ht="14.25" customHeight="1" s="192">
      <c r="W18236" s="239" t="n"/>
      <c r="X18236" s="239" t="n"/>
    </row>
    <row r="18237" ht="14.25" customHeight="1" s="192">
      <c r="W18237" s="235" t="n"/>
      <c r="X18237" s="235" t="n"/>
    </row>
    <row r="18238" ht="14.25" customHeight="1" s="192">
      <c r="W18238" s="239" t="n"/>
      <c r="X18238" s="239" t="n"/>
    </row>
    <row r="18240" ht="14.25" customHeight="1" s="192">
      <c r="W18240" s="235" t="n"/>
      <c r="X18240" s="235" t="n"/>
    </row>
    <row r="18241" ht="15" customHeight="1" s="192" thickBot="1">
      <c r="W18241" s="239" t="n"/>
      <c r="X18241" s="239" t="n"/>
    </row>
    <row r="18242" ht="15" customHeight="1" s="192" thickBot="1">
      <c r="W18242" s="45" t="n"/>
      <c r="X18242" s="45" t="n"/>
    </row>
    <row r="18243" ht="14.25" customHeight="1" s="192">
      <c r="W18243" s="228" t="n"/>
      <c r="X18243" s="228" t="n"/>
    </row>
    <row r="18244" ht="14.25" customHeight="1" s="192">
      <c r="W18244" s="228" t="n"/>
      <c r="X18244" s="228" t="n"/>
    </row>
    <row r="18245" ht="14.25" customHeight="1" s="192">
      <c r="W18245" s="231" t="n"/>
      <c r="X18245" s="231" t="n"/>
    </row>
    <row r="18246" ht="14.25" customHeight="1" s="192">
      <c r="W18246" s="33" t="n"/>
      <c r="X18246" s="33" t="n"/>
    </row>
    <row r="18247" ht="14.25" customHeight="1" s="192">
      <c r="W18247" s="231" t="n"/>
      <c r="X18247" s="231" t="n"/>
    </row>
    <row r="18248" ht="14.25" customHeight="1" s="192">
      <c r="W18248" s="33" t="n"/>
      <c r="X18248" s="33" t="n"/>
    </row>
    <row r="18250" ht="14.25" customHeight="1" s="192">
      <c r="W18250" s="231" t="n"/>
      <c r="X18250" s="231" t="n"/>
    </row>
    <row r="18251" ht="14.25" customHeight="1" s="192">
      <c r="W18251" s="235" t="n"/>
      <c r="X18251" s="235" t="n"/>
    </row>
    <row r="18252" ht="14.25" customHeight="1" s="192">
      <c r="W18252" s="228" t="n"/>
      <c r="X18252" s="228" t="n"/>
    </row>
    <row r="18253" ht="14.25" customHeight="1" s="192">
      <c r="W18253" s="235" t="n"/>
      <c r="X18253" s="235" t="n"/>
    </row>
    <row r="18254" ht="14.25" customHeight="1" s="192">
      <c r="W18254" s="235" t="n"/>
      <c r="X18254" s="235" t="n"/>
    </row>
    <row r="18255" ht="14.25" customHeight="1" s="192">
      <c r="W18255" s="235" t="n"/>
      <c r="X18255" s="235" t="n"/>
    </row>
    <row r="18256" ht="14.25" customHeight="1" s="192">
      <c r="W18256" s="239" t="n"/>
      <c r="X18256" s="239" t="n"/>
    </row>
    <row r="18257" ht="14.25" customHeight="1" s="192">
      <c r="W18257" s="239" t="n"/>
      <c r="X18257" s="239" t="n"/>
    </row>
    <row r="18258" ht="14.25" customHeight="1" s="192">
      <c r="W18258" s="239" t="n"/>
      <c r="X18258" s="239" t="n"/>
    </row>
    <row r="18259" ht="14.25" customHeight="1" s="192">
      <c r="W18259" s="235" t="n"/>
      <c r="X18259" s="235" t="n"/>
    </row>
    <row r="18260" ht="14.25" customHeight="1" s="192">
      <c r="W18260" s="235" t="n"/>
      <c r="X18260" s="235" t="n"/>
    </row>
    <row r="18261" ht="14.25" customHeight="1" s="192">
      <c r="W18261" s="235" t="n"/>
      <c r="X18261" s="235" t="n"/>
    </row>
    <row r="18262" ht="14.25" customHeight="1" s="192">
      <c r="W18262" s="239" t="n"/>
      <c r="X18262" s="239" t="n"/>
    </row>
    <row r="18263" ht="14.25" customHeight="1" s="192">
      <c r="W18263" s="239" t="n"/>
      <c r="X18263" s="239" t="n"/>
    </row>
    <row r="18264" ht="14.25" customHeight="1" s="192">
      <c r="W18264" s="235" t="n"/>
      <c r="X18264" s="235" t="n"/>
    </row>
    <row r="18265" ht="14.25" customHeight="1" s="192">
      <c r="W18265" s="235" t="n"/>
      <c r="X18265" s="235" t="n"/>
    </row>
    <row r="18266" ht="14.25" customHeight="1" s="192">
      <c r="W18266" s="239" t="n"/>
      <c r="X18266" s="239" t="n"/>
    </row>
    <row r="18267" ht="14.25" customHeight="1" s="192">
      <c r="W18267" s="235" t="n"/>
      <c r="X18267" s="235" t="n"/>
    </row>
    <row r="18268" ht="14.25" customHeight="1" s="192">
      <c r="W18268" s="239" t="n"/>
      <c r="X18268" s="239" t="n"/>
    </row>
    <row r="18270" ht="14.25" customHeight="1" s="192">
      <c r="W18270" s="235" t="n"/>
      <c r="X18270" s="235" t="n"/>
    </row>
    <row r="18271" ht="15" customHeight="1" s="192" thickBot="1">
      <c r="W18271" s="239" t="n"/>
      <c r="X18271" s="239" t="n"/>
    </row>
    <row r="18272" ht="15" customHeight="1" s="192" thickBot="1">
      <c r="W18272" s="45" t="n"/>
      <c r="X18272" s="45" t="n"/>
    </row>
    <row r="18273" ht="14.25" customHeight="1" s="192">
      <c r="W18273" s="228" t="n"/>
      <c r="X18273" s="228" t="n"/>
    </row>
    <row r="18274" ht="14.25" customHeight="1" s="192">
      <c r="W18274" s="228" t="n"/>
      <c r="X18274" s="228" t="n"/>
    </row>
    <row r="18275" ht="14.25" customHeight="1" s="192">
      <c r="W18275" s="231" t="n"/>
      <c r="X18275" s="231" t="n"/>
    </row>
    <row r="18276" ht="14.25" customHeight="1" s="192">
      <c r="W18276" s="33" t="n"/>
      <c r="X18276" s="33" t="n"/>
    </row>
    <row r="18277" ht="14.25" customHeight="1" s="192">
      <c r="W18277" s="231" t="n"/>
      <c r="X18277" s="231" t="n"/>
    </row>
    <row r="18278" ht="14.25" customHeight="1" s="192">
      <c r="W18278" s="33" t="n"/>
      <c r="X18278" s="33" t="n"/>
    </row>
    <row r="18280" ht="14.25" customHeight="1" s="192">
      <c r="W18280" s="231" t="n"/>
      <c r="X18280" s="231" t="n"/>
    </row>
    <row r="18281" ht="14.25" customHeight="1" s="192">
      <c r="W18281" s="235" t="n"/>
      <c r="X18281" s="235" t="n"/>
    </row>
    <row r="18282" ht="14.25" customHeight="1" s="192">
      <c r="W18282" s="228" t="n"/>
      <c r="X18282" s="228" t="n"/>
    </row>
    <row r="18283" ht="14.25" customHeight="1" s="192">
      <c r="W18283" s="235" t="n"/>
      <c r="X18283" s="235" t="n"/>
    </row>
    <row r="18284" ht="14.25" customHeight="1" s="192">
      <c r="W18284" s="235" t="n"/>
      <c r="X18284" s="235" t="n"/>
    </row>
    <row r="18285" ht="14.25" customHeight="1" s="192">
      <c r="W18285" s="235" t="n"/>
      <c r="X18285" s="235" t="n"/>
    </row>
    <row r="18286" ht="14.25" customHeight="1" s="192">
      <c r="W18286" s="239" t="n"/>
      <c r="X18286" s="239" t="n"/>
    </row>
    <row r="18287" ht="14.25" customHeight="1" s="192">
      <c r="W18287" s="239" t="n"/>
      <c r="X18287" s="239" t="n"/>
    </row>
    <row r="18288" ht="14.25" customHeight="1" s="192">
      <c r="W18288" s="239" t="n"/>
      <c r="X18288" s="239" t="n"/>
    </row>
    <row r="18289" ht="14.25" customHeight="1" s="192">
      <c r="W18289" s="235" t="n"/>
      <c r="X18289" s="235" t="n"/>
    </row>
    <row r="18290" ht="14.25" customHeight="1" s="192">
      <c r="W18290" s="235" t="n"/>
      <c r="X18290" s="235" t="n"/>
    </row>
    <row r="18291" ht="14.25" customHeight="1" s="192">
      <c r="W18291" s="235" t="n"/>
      <c r="X18291" s="235" t="n"/>
    </row>
    <row r="18292" ht="14.25" customHeight="1" s="192">
      <c r="W18292" s="239" t="n"/>
      <c r="X18292" s="239" t="n"/>
    </row>
    <row r="18293" ht="14.25" customHeight="1" s="192">
      <c r="W18293" s="239" t="n"/>
      <c r="X18293" s="239" t="n"/>
    </row>
    <row r="18294" ht="14.25" customHeight="1" s="192">
      <c r="W18294" s="235" t="n"/>
      <c r="X18294" s="235" t="n"/>
    </row>
    <row r="18295" ht="14.25" customHeight="1" s="192">
      <c r="W18295" s="235" t="n"/>
      <c r="X18295" s="235" t="n"/>
    </row>
    <row r="18296" ht="14.25" customHeight="1" s="192">
      <c r="W18296" s="239" t="n"/>
      <c r="X18296" s="239" t="n"/>
    </row>
    <row r="18297" ht="14.25" customHeight="1" s="192">
      <c r="W18297" s="235" t="n"/>
      <c r="X18297" s="235" t="n"/>
    </row>
    <row r="18298" ht="14.25" customHeight="1" s="192">
      <c r="W18298" s="239" t="n"/>
      <c r="X18298" s="239" t="n"/>
    </row>
    <row r="18300" ht="14.25" customHeight="1" s="192">
      <c r="W18300" s="235" t="n"/>
      <c r="X18300" s="235" t="n"/>
    </row>
    <row r="18301" ht="15" customHeight="1" s="192" thickBot="1">
      <c r="W18301" s="239" t="n"/>
      <c r="X18301" s="239" t="n"/>
    </row>
    <row r="18302" ht="15" customHeight="1" s="192" thickBot="1">
      <c r="W18302" s="45" t="n"/>
      <c r="X18302" s="45" t="n"/>
    </row>
    <row r="18303" ht="14.25" customHeight="1" s="192">
      <c r="W18303" s="228" t="n"/>
      <c r="X18303" s="228" t="n"/>
    </row>
    <row r="18304" ht="14.25" customHeight="1" s="192">
      <c r="W18304" s="228" t="n"/>
      <c r="X18304" s="228" t="n"/>
    </row>
    <row r="18305" ht="14.25" customHeight="1" s="192">
      <c r="W18305" s="231" t="n"/>
      <c r="X18305" s="231" t="n"/>
    </row>
    <row r="18306" ht="14.25" customHeight="1" s="192">
      <c r="W18306" s="33" t="n"/>
      <c r="X18306" s="33" t="n"/>
    </row>
    <row r="18307" ht="14.25" customHeight="1" s="192">
      <c r="W18307" s="231" t="n"/>
      <c r="X18307" s="231" t="n"/>
    </row>
    <row r="18308" ht="14.25" customHeight="1" s="192">
      <c r="W18308" s="33" t="n"/>
      <c r="X18308" s="33" t="n"/>
    </row>
    <row r="18310" ht="14.25" customHeight="1" s="192">
      <c r="W18310" s="231" t="n"/>
      <c r="X18310" s="231" t="n"/>
    </row>
    <row r="18311" ht="14.25" customHeight="1" s="192">
      <c r="W18311" s="235" t="n"/>
      <c r="X18311" s="235" t="n"/>
    </row>
    <row r="18312" ht="14.25" customHeight="1" s="192">
      <c r="W18312" s="228" t="n"/>
      <c r="X18312" s="228" t="n"/>
    </row>
    <row r="18313" ht="14.25" customHeight="1" s="192">
      <c r="W18313" s="235" t="n"/>
      <c r="X18313" s="235" t="n"/>
    </row>
    <row r="18314" ht="14.25" customHeight="1" s="192">
      <c r="W18314" s="235" t="n"/>
      <c r="X18314" s="235" t="n"/>
    </row>
    <row r="18315" ht="14.25" customHeight="1" s="192">
      <c r="W18315" s="235" t="n"/>
      <c r="X18315" s="235" t="n"/>
    </row>
    <row r="18316" ht="14.25" customHeight="1" s="192">
      <c r="W18316" s="239" t="n"/>
      <c r="X18316" s="239" t="n"/>
    </row>
    <row r="18317" ht="14.25" customHeight="1" s="192">
      <c r="W18317" s="239" t="n"/>
      <c r="X18317" s="239" t="n"/>
    </row>
    <row r="18318" ht="14.25" customHeight="1" s="192">
      <c r="W18318" s="239" t="n"/>
      <c r="X18318" s="239" t="n"/>
    </row>
    <row r="18319" ht="14.25" customHeight="1" s="192">
      <c r="W18319" s="235" t="n"/>
      <c r="X18319" s="235" t="n"/>
    </row>
    <row r="18320" ht="14.25" customHeight="1" s="192">
      <c r="W18320" s="235" t="n"/>
      <c r="X18320" s="235" t="n"/>
    </row>
    <row r="18321" ht="14.25" customHeight="1" s="192">
      <c r="W18321" s="235" t="n"/>
      <c r="X18321" s="235" t="n"/>
    </row>
    <row r="18322" ht="14.25" customHeight="1" s="192">
      <c r="W18322" s="239" t="n"/>
      <c r="X18322" s="239" t="n"/>
    </row>
    <row r="18323" ht="14.25" customHeight="1" s="192">
      <c r="W18323" s="239" t="n"/>
      <c r="X18323" s="239" t="n"/>
    </row>
    <row r="18324" ht="14.25" customHeight="1" s="192">
      <c r="W18324" s="235" t="n"/>
      <c r="X18324" s="235" t="n"/>
    </row>
    <row r="18325" ht="14.25" customHeight="1" s="192">
      <c r="W18325" s="235" t="n"/>
      <c r="X18325" s="235" t="n"/>
    </row>
    <row r="18326" ht="14.25" customHeight="1" s="192">
      <c r="W18326" s="239" t="n"/>
      <c r="X18326" s="239" t="n"/>
    </row>
    <row r="18327" ht="14.25" customHeight="1" s="192">
      <c r="W18327" s="235" t="n"/>
      <c r="X18327" s="235" t="n"/>
    </row>
    <row r="18328" ht="14.25" customHeight="1" s="192">
      <c r="W18328" s="239" t="n"/>
      <c r="X18328" s="239" t="n"/>
    </row>
    <row r="18330" ht="14.25" customHeight="1" s="192">
      <c r="W18330" s="235" t="n"/>
      <c r="X18330" s="235" t="n"/>
    </row>
    <row r="18331" ht="15" customHeight="1" s="192" thickBot="1">
      <c r="W18331" s="239" t="n"/>
      <c r="X18331" s="239" t="n"/>
    </row>
    <row r="18332" ht="15" customHeight="1" s="192" thickBot="1">
      <c r="W18332" s="45" t="n"/>
      <c r="X18332" s="45" t="n"/>
    </row>
    <row r="18333" ht="14.25" customHeight="1" s="192">
      <c r="W18333" s="228" t="n"/>
      <c r="X18333" s="228" t="n"/>
    </row>
    <row r="18334" ht="14.25" customHeight="1" s="192">
      <c r="W18334" s="228" t="n"/>
      <c r="X18334" s="228" t="n"/>
    </row>
    <row r="18335" ht="14.25" customHeight="1" s="192">
      <c r="W18335" s="231" t="n"/>
      <c r="X18335" s="231" t="n"/>
    </row>
    <row r="18336" ht="14.25" customHeight="1" s="192">
      <c r="W18336" s="33" t="n"/>
      <c r="X18336" s="33" t="n"/>
    </row>
    <row r="18337" ht="14.25" customHeight="1" s="192">
      <c r="W18337" s="231" t="n"/>
      <c r="X18337" s="231" t="n"/>
    </row>
    <row r="18338" ht="14.25" customHeight="1" s="192">
      <c r="W18338" s="33" t="n"/>
      <c r="X18338" s="33" t="n"/>
    </row>
    <row r="18340" ht="14.25" customHeight="1" s="192">
      <c r="W18340" s="231" t="n"/>
      <c r="X18340" s="231" t="n"/>
    </row>
    <row r="18341" ht="14.25" customHeight="1" s="192">
      <c r="W18341" s="235" t="n"/>
      <c r="X18341" s="235" t="n"/>
    </row>
    <row r="18342" ht="14.25" customHeight="1" s="192">
      <c r="W18342" s="228" t="n"/>
      <c r="X18342" s="228" t="n"/>
    </row>
    <row r="18343" ht="14.25" customHeight="1" s="192">
      <c r="W18343" s="235" t="n"/>
      <c r="X18343" s="235" t="n"/>
    </row>
    <row r="18344" ht="14.25" customHeight="1" s="192">
      <c r="W18344" s="235" t="n"/>
      <c r="X18344" s="235" t="n"/>
    </row>
    <row r="18345" ht="14.25" customHeight="1" s="192">
      <c r="W18345" s="235" t="n"/>
      <c r="X18345" s="235" t="n"/>
    </row>
    <row r="18346" ht="14.25" customHeight="1" s="192">
      <c r="W18346" s="239" t="n"/>
      <c r="X18346" s="239" t="n"/>
    </row>
    <row r="18347" ht="14.25" customHeight="1" s="192">
      <c r="W18347" s="239" t="n"/>
      <c r="X18347" s="239" t="n"/>
    </row>
    <row r="18348" ht="14.25" customHeight="1" s="192">
      <c r="W18348" s="239" t="n"/>
      <c r="X18348" s="239" t="n"/>
    </row>
    <row r="18349" ht="14.25" customHeight="1" s="192">
      <c r="W18349" s="235" t="n"/>
      <c r="X18349" s="235" t="n"/>
    </row>
    <row r="18350" ht="14.25" customHeight="1" s="192">
      <c r="W18350" s="235" t="n"/>
      <c r="X18350" s="235" t="n"/>
    </row>
    <row r="18351" ht="14.25" customHeight="1" s="192">
      <c r="W18351" s="235" t="n"/>
      <c r="X18351" s="235" t="n"/>
    </row>
    <row r="18352" ht="14.25" customHeight="1" s="192">
      <c r="W18352" s="239" t="n"/>
      <c r="X18352" s="239" t="n"/>
    </row>
    <row r="18353" ht="14.25" customHeight="1" s="192">
      <c r="W18353" s="239" t="n"/>
      <c r="X18353" s="239" t="n"/>
    </row>
    <row r="18354" ht="14.25" customHeight="1" s="192">
      <c r="W18354" s="235" t="n"/>
      <c r="X18354" s="235" t="n"/>
    </row>
    <row r="18355" ht="14.25" customHeight="1" s="192">
      <c r="W18355" s="235" t="n"/>
      <c r="X18355" s="235" t="n"/>
    </row>
    <row r="18356" ht="14.25" customHeight="1" s="192">
      <c r="W18356" s="239" t="n"/>
      <c r="X18356" s="239" t="n"/>
    </row>
    <row r="18357" ht="14.25" customHeight="1" s="192">
      <c r="W18357" s="235" t="n"/>
      <c r="X18357" s="235" t="n"/>
    </row>
    <row r="18358" ht="14.25" customHeight="1" s="192">
      <c r="W18358" s="239" t="n"/>
      <c r="X18358" s="239" t="n"/>
    </row>
    <row r="18360" ht="14.25" customHeight="1" s="192">
      <c r="W18360" s="235" t="n"/>
      <c r="X18360" s="235" t="n"/>
    </row>
    <row r="18361" ht="15" customHeight="1" s="192" thickBot="1">
      <c r="W18361" s="239" t="n"/>
      <c r="X18361" s="239" t="n"/>
    </row>
    <row r="18362" ht="15" customHeight="1" s="192" thickBot="1">
      <c r="W18362" s="45" t="n"/>
      <c r="X18362" s="45" t="n"/>
    </row>
    <row r="18363" ht="14.25" customHeight="1" s="192">
      <c r="W18363" s="228" t="n"/>
      <c r="X18363" s="228" t="n"/>
    </row>
    <row r="18364" ht="14.25" customHeight="1" s="192">
      <c r="W18364" s="228" t="n"/>
      <c r="X18364" s="228" t="n"/>
    </row>
    <row r="18365" ht="14.25" customHeight="1" s="192">
      <c r="W18365" s="231" t="n"/>
      <c r="X18365" s="231" t="n"/>
    </row>
    <row r="18366" ht="14.25" customHeight="1" s="192">
      <c r="W18366" s="33" t="n"/>
      <c r="X18366" s="33" t="n"/>
    </row>
    <row r="18367" ht="14.25" customHeight="1" s="192">
      <c r="W18367" s="231" t="n"/>
      <c r="X18367" s="231" t="n"/>
    </row>
    <row r="18368" ht="14.25" customHeight="1" s="192">
      <c r="W18368" s="33" t="n"/>
      <c r="X18368" s="33" t="n"/>
    </row>
    <row r="18370" ht="14.25" customHeight="1" s="192">
      <c r="W18370" s="231" t="n"/>
      <c r="X18370" s="231" t="n"/>
    </row>
    <row r="18371" ht="14.25" customHeight="1" s="192">
      <c r="W18371" s="235" t="n"/>
      <c r="X18371" s="235" t="n"/>
    </row>
    <row r="18372" ht="14.25" customHeight="1" s="192">
      <c r="W18372" s="228" t="n"/>
      <c r="X18372" s="228" t="n"/>
    </row>
    <row r="18373" ht="14.25" customHeight="1" s="192">
      <c r="W18373" s="235" t="n"/>
      <c r="X18373" s="235" t="n"/>
    </row>
    <row r="18374" ht="14.25" customHeight="1" s="192">
      <c r="W18374" s="235" t="n"/>
      <c r="X18374" s="235" t="n"/>
    </row>
    <row r="18375" ht="14.25" customHeight="1" s="192">
      <c r="W18375" s="235" t="n"/>
      <c r="X18375" s="235" t="n"/>
    </row>
    <row r="18376" ht="14.25" customHeight="1" s="192">
      <c r="W18376" s="239" t="n"/>
      <c r="X18376" s="239" t="n"/>
    </row>
    <row r="18377" ht="14.25" customHeight="1" s="192">
      <c r="W18377" s="239" t="n"/>
      <c r="X18377" s="239" t="n"/>
    </row>
    <row r="18378" ht="14.25" customHeight="1" s="192">
      <c r="W18378" s="239" t="n"/>
      <c r="X18378" s="239" t="n"/>
    </row>
    <row r="18379" ht="14.25" customHeight="1" s="192">
      <c r="W18379" s="235" t="n"/>
      <c r="X18379" s="235" t="n"/>
    </row>
    <row r="18380" ht="14.25" customHeight="1" s="192">
      <c r="W18380" s="235" t="n"/>
      <c r="X18380" s="235" t="n"/>
    </row>
    <row r="18381" ht="14.25" customHeight="1" s="192">
      <c r="W18381" s="235" t="n"/>
      <c r="X18381" s="235" t="n"/>
    </row>
    <row r="18382" ht="14.25" customHeight="1" s="192">
      <c r="W18382" s="239" t="n"/>
      <c r="X18382" s="239" t="n"/>
    </row>
    <row r="18383" ht="14.25" customHeight="1" s="192">
      <c r="W18383" s="239" t="n"/>
      <c r="X18383" s="239" t="n"/>
    </row>
    <row r="18384" ht="14.25" customHeight="1" s="192">
      <c r="W18384" s="235" t="n"/>
      <c r="X18384" s="235" t="n"/>
    </row>
    <row r="18385" ht="14.25" customHeight="1" s="192">
      <c r="W18385" s="235" t="n"/>
      <c r="X18385" s="235" t="n"/>
    </row>
    <row r="18386" ht="14.25" customHeight="1" s="192">
      <c r="W18386" s="239" t="n"/>
      <c r="X18386" s="239" t="n"/>
    </row>
    <row r="18387" ht="14.25" customHeight="1" s="192">
      <c r="W18387" s="235" t="n"/>
      <c r="X18387" s="235" t="n"/>
    </row>
    <row r="18388" ht="14.25" customHeight="1" s="192">
      <c r="W18388" s="239" t="n"/>
      <c r="X18388" s="239" t="n"/>
    </row>
    <row r="18390" ht="14.25" customHeight="1" s="192">
      <c r="W18390" s="235" t="n"/>
      <c r="X18390" s="235" t="n"/>
    </row>
    <row r="18391" ht="15" customHeight="1" s="192" thickBot="1">
      <c r="W18391" s="239" t="n"/>
      <c r="X18391" s="239" t="n"/>
    </row>
    <row r="18392" ht="15" customHeight="1" s="192" thickBot="1">
      <c r="W18392" s="45" t="n"/>
      <c r="X18392" s="45" t="n"/>
    </row>
    <row r="18393" ht="14.25" customHeight="1" s="192">
      <c r="W18393" s="228" t="n"/>
      <c r="X18393" s="228" t="n"/>
    </row>
    <row r="18394" ht="14.25" customHeight="1" s="192">
      <c r="W18394" s="228" t="n"/>
      <c r="X18394" s="228" t="n"/>
    </row>
    <row r="18395" ht="14.25" customHeight="1" s="192">
      <c r="W18395" s="231" t="n"/>
      <c r="X18395" s="231" t="n"/>
    </row>
    <row r="18396" ht="14.25" customHeight="1" s="192">
      <c r="W18396" s="33" t="n"/>
      <c r="X18396" s="33" t="n"/>
    </row>
    <row r="18397" ht="14.25" customHeight="1" s="192">
      <c r="W18397" s="231" t="n"/>
      <c r="X18397" s="231" t="n"/>
    </row>
    <row r="18398" ht="14.25" customHeight="1" s="192">
      <c r="W18398" s="33" t="n"/>
      <c r="X18398" s="33" t="n"/>
    </row>
    <row r="18400" ht="14.25" customHeight="1" s="192">
      <c r="W18400" s="231" t="n"/>
      <c r="X18400" s="231" t="n"/>
    </row>
    <row r="18401" ht="14.25" customHeight="1" s="192">
      <c r="W18401" s="235" t="n"/>
      <c r="X18401" s="235" t="n"/>
    </row>
    <row r="18402" ht="14.25" customHeight="1" s="192">
      <c r="W18402" s="228" t="n"/>
      <c r="X18402" s="228" t="n"/>
    </row>
    <row r="18403" ht="14.25" customHeight="1" s="192">
      <c r="W18403" s="235" t="n"/>
      <c r="X18403" s="235" t="n"/>
    </row>
    <row r="18404" ht="14.25" customHeight="1" s="192">
      <c r="W18404" s="235" t="n"/>
      <c r="X18404" s="235" t="n"/>
    </row>
    <row r="18405" ht="14.25" customHeight="1" s="192">
      <c r="W18405" s="235" t="n"/>
      <c r="X18405" s="235" t="n"/>
    </row>
    <row r="18406" ht="14.25" customHeight="1" s="192">
      <c r="W18406" s="239" t="n"/>
      <c r="X18406" s="239" t="n"/>
    </row>
    <row r="18407" ht="14.25" customHeight="1" s="192">
      <c r="W18407" s="239" t="n"/>
      <c r="X18407" s="239" t="n"/>
    </row>
    <row r="18408" ht="14.25" customHeight="1" s="192">
      <c r="W18408" s="239" t="n"/>
      <c r="X18408" s="239" t="n"/>
    </row>
    <row r="18409" ht="14.25" customHeight="1" s="192">
      <c r="W18409" s="235" t="n"/>
      <c r="X18409" s="235" t="n"/>
    </row>
    <row r="18410" ht="14.25" customHeight="1" s="192">
      <c r="W18410" s="235" t="n"/>
      <c r="X18410" s="235" t="n"/>
    </row>
    <row r="18411" ht="14.25" customHeight="1" s="192">
      <c r="W18411" s="235" t="n"/>
      <c r="X18411" s="235" t="n"/>
    </row>
    <row r="18412" ht="14.25" customHeight="1" s="192">
      <c r="W18412" s="239" t="n"/>
      <c r="X18412" s="239" t="n"/>
    </row>
    <row r="18413" ht="14.25" customHeight="1" s="192">
      <c r="W18413" s="239" t="n"/>
      <c r="X18413" s="239" t="n"/>
    </row>
    <row r="18414" ht="14.25" customHeight="1" s="192">
      <c r="W18414" s="235" t="n"/>
      <c r="X18414" s="235" t="n"/>
    </row>
    <row r="18415" ht="14.25" customHeight="1" s="192">
      <c r="W18415" s="235" t="n"/>
      <c r="X18415" s="235" t="n"/>
    </row>
    <row r="18416" ht="14.25" customHeight="1" s="192">
      <c r="W18416" s="239" t="n"/>
      <c r="X18416" s="239" t="n"/>
    </row>
    <row r="18417" ht="14.25" customHeight="1" s="192">
      <c r="W18417" s="235" t="n"/>
      <c r="X18417" s="235" t="n"/>
    </row>
    <row r="18418" ht="14.25" customHeight="1" s="192">
      <c r="W18418" s="239" t="n"/>
      <c r="X18418" s="239" t="n"/>
    </row>
    <row r="18420" ht="14.25" customHeight="1" s="192">
      <c r="W18420" s="235" t="n"/>
      <c r="X18420" s="235" t="n"/>
    </row>
    <row r="18421" ht="15" customHeight="1" s="192" thickBot="1">
      <c r="W18421" s="239" t="n"/>
      <c r="X18421" s="239" t="n"/>
    </row>
    <row r="18422" ht="15" customHeight="1" s="192" thickBot="1">
      <c r="W18422" s="45" t="n"/>
      <c r="X18422" s="45" t="n"/>
    </row>
    <row r="18423" ht="14.25" customHeight="1" s="192">
      <c r="W18423" s="228" t="n"/>
      <c r="X18423" s="228" t="n"/>
    </row>
    <row r="18424" ht="14.25" customHeight="1" s="192">
      <c r="W18424" s="228" t="n"/>
      <c r="X18424" s="228" t="n"/>
    </row>
    <row r="18425" ht="14.25" customHeight="1" s="192">
      <c r="W18425" s="231" t="n"/>
      <c r="X18425" s="231" t="n"/>
    </row>
    <row r="18426" ht="14.25" customHeight="1" s="192">
      <c r="W18426" s="33" t="n"/>
      <c r="X18426" s="33" t="n"/>
    </row>
    <row r="18427" ht="14.25" customHeight="1" s="192">
      <c r="W18427" s="231" t="n"/>
      <c r="X18427" s="231" t="n"/>
    </row>
    <row r="18428" ht="14.25" customHeight="1" s="192">
      <c r="W18428" s="33" t="n"/>
      <c r="X18428" s="33" t="n"/>
    </row>
    <row r="18430" ht="14.25" customHeight="1" s="192">
      <c r="W18430" s="231" t="n"/>
      <c r="X18430" s="231" t="n"/>
    </row>
    <row r="18431" ht="14.25" customHeight="1" s="192">
      <c r="W18431" s="235" t="n"/>
      <c r="X18431" s="235" t="n"/>
    </row>
    <row r="18432" ht="14.25" customHeight="1" s="192">
      <c r="W18432" s="228" t="n"/>
      <c r="X18432" s="228" t="n"/>
    </row>
    <row r="18433" ht="14.25" customHeight="1" s="192">
      <c r="W18433" s="235" t="n"/>
      <c r="X18433" s="235" t="n"/>
    </row>
    <row r="18434" ht="14.25" customHeight="1" s="192">
      <c r="W18434" s="235" t="n"/>
      <c r="X18434" s="235" t="n"/>
    </row>
    <row r="18435" ht="14.25" customHeight="1" s="192">
      <c r="W18435" s="235" t="n"/>
      <c r="X18435" s="235" t="n"/>
    </row>
    <row r="18436" ht="14.25" customHeight="1" s="192">
      <c r="W18436" s="239" t="n"/>
      <c r="X18436" s="239" t="n"/>
    </row>
    <row r="18437" ht="14.25" customHeight="1" s="192">
      <c r="W18437" s="239" t="n"/>
      <c r="X18437" s="239" t="n"/>
    </row>
    <row r="18438" ht="14.25" customHeight="1" s="192">
      <c r="W18438" s="239" t="n"/>
      <c r="X18438" s="239" t="n"/>
    </row>
    <row r="18439" ht="14.25" customHeight="1" s="192">
      <c r="W18439" s="235" t="n"/>
      <c r="X18439" s="235" t="n"/>
    </row>
    <row r="18440" ht="14.25" customHeight="1" s="192">
      <c r="W18440" s="235" t="n"/>
      <c r="X18440" s="235" t="n"/>
    </row>
    <row r="18441" ht="14.25" customHeight="1" s="192">
      <c r="W18441" s="235" t="n"/>
      <c r="X18441" s="235" t="n"/>
    </row>
    <row r="18442" ht="14.25" customHeight="1" s="192">
      <c r="W18442" s="239" t="n"/>
      <c r="X18442" s="239" t="n"/>
    </row>
    <row r="18443" ht="14.25" customHeight="1" s="192">
      <c r="W18443" s="239" t="n"/>
      <c r="X18443" s="239" t="n"/>
    </row>
    <row r="18444" ht="14.25" customHeight="1" s="192">
      <c r="W18444" s="235" t="n"/>
      <c r="X18444" s="235" t="n"/>
    </row>
    <row r="18445" ht="14.25" customHeight="1" s="192">
      <c r="W18445" s="235" t="n"/>
      <c r="X18445" s="235" t="n"/>
    </row>
    <row r="18446" ht="14.25" customHeight="1" s="192">
      <c r="W18446" s="239" t="n"/>
      <c r="X18446" s="239" t="n"/>
    </row>
    <row r="18447" ht="14.25" customHeight="1" s="192">
      <c r="W18447" s="235" t="n"/>
      <c r="X18447" s="235" t="n"/>
    </row>
    <row r="18448" ht="14.25" customHeight="1" s="192">
      <c r="W18448" s="239" t="n"/>
      <c r="X18448" s="239" t="n"/>
    </row>
    <row r="18450" ht="14.25" customHeight="1" s="192">
      <c r="W18450" s="235" t="n"/>
      <c r="X18450" s="235" t="n"/>
    </row>
    <row r="18451" ht="15" customHeight="1" s="192" thickBot="1">
      <c r="W18451" s="239" t="n"/>
      <c r="X18451" s="239" t="n"/>
    </row>
    <row r="18452" ht="15" customHeight="1" s="192" thickBot="1">
      <c r="W18452" s="45" t="n"/>
      <c r="X18452" s="45" t="n"/>
    </row>
    <row r="18453" ht="14.25" customHeight="1" s="192">
      <c r="W18453" s="228" t="n"/>
      <c r="X18453" s="228" t="n"/>
    </row>
    <row r="18454" ht="14.25" customHeight="1" s="192">
      <c r="W18454" s="228" t="n"/>
      <c r="X18454" s="228" t="n"/>
    </row>
    <row r="18455" ht="14.25" customHeight="1" s="192">
      <c r="W18455" s="231" t="n"/>
      <c r="X18455" s="231" t="n"/>
    </row>
    <row r="18456" ht="14.25" customHeight="1" s="192">
      <c r="W18456" s="33" t="n"/>
      <c r="X18456" s="33" t="n"/>
    </row>
    <row r="18457" ht="14.25" customHeight="1" s="192">
      <c r="W18457" s="231" t="n"/>
      <c r="X18457" s="231" t="n"/>
    </row>
    <row r="18458" ht="14.25" customHeight="1" s="192">
      <c r="W18458" s="33" t="n"/>
      <c r="X18458" s="33" t="n"/>
    </row>
    <row r="18460" ht="14.25" customHeight="1" s="192">
      <c r="W18460" s="231" t="n"/>
      <c r="X18460" s="231" t="n"/>
    </row>
    <row r="18461" ht="14.25" customHeight="1" s="192">
      <c r="W18461" s="235" t="n"/>
      <c r="X18461" s="235" t="n"/>
    </row>
    <row r="18462" ht="14.25" customHeight="1" s="192">
      <c r="W18462" s="228" t="n"/>
      <c r="X18462" s="228" t="n"/>
    </row>
    <row r="18463" ht="14.25" customHeight="1" s="192">
      <c r="W18463" s="235" t="n"/>
      <c r="X18463" s="235" t="n"/>
    </row>
    <row r="18464" ht="14.25" customHeight="1" s="192">
      <c r="W18464" s="235" t="n"/>
      <c r="X18464" s="235" t="n"/>
    </row>
    <row r="18465" ht="14.25" customHeight="1" s="192">
      <c r="W18465" s="235" t="n"/>
      <c r="X18465" s="235" t="n"/>
    </row>
    <row r="18466" ht="14.25" customHeight="1" s="192">
      <c r="W18466" s="239" t="n"/>
      <c r="X18466" s="239" t="n"/>
    </row>
    <row r="18467" ht="14.25" customHeight="1" s="192">
      <c r="W18467" s="239" t="n"/>
      <c r="X18467" s="239" t="n"/>
    </row>
    <row r="18468" ht="14.25" customHeight="1" s="192">
      <c r="W18468" s="239" t="n"/>
      <c r="X18468" s="239" t="n"/>
    </row>
    <row r="18469" ht="14.25" customHeight="1" s="192">
      <c r="W18469" s="235" t="n"/>
      <c r="X18469" s="235" t="n"/>
    </row>
    <row r="18470" ht="14.25" customHeight="1" s="192">
      <c r="W18470" s="235" t="n"/>
      <c r="X18470" s="235" t="n"/>
    </row>
    <row r="18471" ht="14.25" customHeight="1" s="192">
      <c r="W18471" s="235" t="n"/>
      <c r="X18471" s="235" t="n"/>
    </row>
    <row r="18472" ht="14.25" customHeight="1" s="192">
      <c r="W18472" s="239" t="n"/>
      <c r="X18472" s="239" t="n"/>
    </row>
    <row r="18473" ht="14.25" customHeight="1" s="192">
      <c r="W18473" s="239" t="n"/>
      <c r="X18473" s="239" t="n"/>
    </row>
    <row r="18474" ht="14.25" customHeight="1" s="192">
      <c r="W18474" s="235" t="n"/>
      <c r="X18474" s="235" t="n"/>
    </row>
    <row r="18475" ht="14.25" customHeight="1" s="192">
      <c r="W18475" s="235" t="n"/>
      <c r="X18475" s="235" t="n"/>
    </row>
    <row r="18476" ht="14.25" customHeight="1" s="192">
      <c r="W18476" s="239" t="n"/>
      <c r="X18476" s="239" t="n"/>
    </row>
    <row r="18477" ht="14.25" customHeight="1" s="192">
      <c r="W18477" s="235" t="n"/>
      <c r="X18477" s="235" t="n"/>
    </row>
    <row r="18478" ht="14.25" customHeight="1" s="192">
      <c r="W18478" s="239" t="n"/>
      <c r="X18478" s="239" t="n"/>
    </row>
    <row r="18480" ht="14.25" customHeight="1" s="192">
      <c r="W18480" s="235" t="n"/>
      <c r="X18480" s="235" t="n"/>
    </row>
    <row r="18481" ht="15" customHeight="1" s="192" thickBot="1">
      <c r="W18481" s="239" t="n"/>
      <c r="X18481" s="239" t="n"/>
    </row>
    <row r="18482" ht="15" customHeight="1" s="192" thickBot="1">
      <c r="W18482" s="45" t="n"/>
      <c r="X18482" s="45" t="n"/>
    </row>
    <row r="18483" ht="14.25" customHeight="1" s="192">
      <c r="W18483" s="228" t="n"/>
      <c r="X18483" s="228" t="n"/>
    </row>
    <row r="18484" ht="14.25" customHeight="1" s="192">
      <c r="W18484" s="228" t="n"/>
      <c r="X18484" s="228" t="n"/>
    </row>
    <row r="18485" ht="14.25" customHeight="1" s="192">
      <c r="W18485" s="231" t="n"/>
      <c r="X18485" s="231" t="n"/>
    </row>
    <row r="18486" ht="14.25" customHeight="1" s="192">
      <c r="W18486" s="33" t="n"/>
      <c r="X18486" s="33" t="n"/>
    </row>
    <row r="18487" ht="14.25" customHeight="1" s="192">
      <c r="W18487" s="231" t="n"/>
      <c r="X18487" s="231" t="n"/>
    </row>
    <row r="18488" ht="14.25" customHeight="1" s="192">
      <c r="W18488" s="33" t="n"/>
      <c r="X18488" s="33" t="n"/>
    </row>
    <row r="18490" ht="14.25" customHeight="1" s="192">
      <c r="W18490" s="231" t="n"/>
      <c r="X18490" s="231" t="n"/>
    </row>
    <row r="18491" ht="14.25" customHeight="1" s="192">
      <c r="W18491" s="235" t="n"/>
      <c r="X18491" s="235" t="n"/>
    </row>
    <row r="18492" ht="14.25" customHeight="1" s="192">
      <c r="W18492" s="228" t="n"/>
      <c r="X18492" s="228" t="n"/>
    </row>
    <row r="18493" ht="14.25" customHeight="1" s="192">
      <c r="W18493" s="235" t="n"/>
      <c r="X18493" s="235" t="n"/>
    </row>
    <row r="18494" ht="14.25" customHeight="1" s="192">
      <c r="W18494" s="235" t="n"/>
      <c r="X18494" s="235" t="n"/>
    </row>
    <row r="18495" ht="14.25" customHeight="1" s="192">
      <c r="W18495" s="235" t="n"/>
      <c r="X18495" s="235" t="n"/>
    </row>
    <row r="18496" ht="14.25" customHeight="1" s="192">
      <c r="W18496" s="239" t="n"/>
      <c r="X18496" s="239" t="n"/>
    </row>
    <row r="18497" ht="14.25" customHeight="1" s="192">
      <c r="W18497" s="239" t="n"/>
      <c r="X18497" s="239" t="n"/>
    </row>
    <row r="18498" ht="14.25" customHeight="1" s="192">
      <c r="W18498" s="239" t="n"/>
      <c r="X18498" s="239" t="n"/>
    </row>
    <row r="18499" ht="14.25" customHeight="1" s="192">
      <c r="W18499" s="235" t="n"/>
      <c r="X18499" s="235" t="n"/>
    </row>
    <row r="18500" ht="14.25" customHeight="1" s="192">
      <c r="W18500" s="235" t="n"/>
      <c r="X18500" s="235" t="n"/>
    </row>
    <row r="18501" ht="14.25" customHeight="1" s="192">
      <c r="W18501" s="235" t="n"/>
      <c r="X18501" s="235" t="n"/>
    </row>
    <row r="18502" ht="14.25" customHeight="1" s="192">
      <c r="W18502" s="239" t="n"/>
      <c r="X18502" s="239" t="n"/>
    </row>
    <row r="18503" ht="14.25" customHeight="1" s="192">
      <c r="W18503" s="239" t="n"/>
      <c r="X18503" s="239" t="n"/>
    </row>
    <row r="18504" ht="14.25" customHeight="1" s="192">
      <c r="W18504" s="235" t="n"/>
      <c r="X18504" s="235" t="n"/>
    </row>
    <row r="18505" ht="14.25" customHeight="1" s="192">
      <c r="W18505" s="235" t="n"/>
      <c r="X18505" s="235" t="n"/>
    </row>
    <row r="18506" ht="14.25" customHeight="1" s="192">
      <c r="W18506" s="239" t="n"/>
      <c r="X18506" s="239" t="n"/>
    </row>
    <row r="18507" ht="14.25" customHeight="1" s="192">
      <c r="W18507" s="235" t="n"/>
      <c r="X18507" s="235" t="n"/>
    </row>
    <row r="18508" ht="14.25" customHeight="1" s="192">
      <c r="W18508" s="239" t="n"/>
      <c r="X18508" s="239" t="n"/>
    </row>
    <row r="18510" ht="14.25" customHeight="1" s="192">
      <c r="W18510" s="235" t="n"/>
      <c r="X18510" s="235" t="n"/>
    </row>
    <row r="18511" ht="15" customHeight="1" s="192" thickBot="1">
      <c r="W18511" s="239" t="n"/>
      <c r="X18511" s="239" t="n"/>
    </row>
    <row r="18512" ht="15" customHeight="1" s="192" thickBot="1">
      <c r="W18512" s="45" t="n"/>
      <c r="X18512" s="45" t="n"/>
    </row>
    <row r="18513" ht="14.25" customHeight="1" s="192">
      <c r="W18513" s="228" t="n"/>
      <c r="X18513" s="228" t="n"/>
    </row>
    <row r="18514" ht="14.25" customHeight="1" s="192">
      <c r="W18514" s="228" t="n"/>
      <c r="X18514" s="228" t="n"/>
    </row>
    <row r="18515" ht="14.25" customHeight="1" s="192">
      <c r="W18515" s="231" t="n"/>
      <c r="X18515" s="231" t="n"/>
    </row>
    <row r="18516" ht="14.25" customHeight="1" s="192">
      <c r="W18516" s="33" t="n"/>
      <c r="X18516" s="33" t="n"/>
    </row>
    <row r="18517" ht="14.25" customHeight="1" s="192">
      <c r="W18517" s="231" t="n"/>
      <c r="X18517" s="231" t="n"/>
    </row>
    <row r="18518" ht="14.25" customHeight="1" s="192">
      <c r="W18518" s="33" t="n"/>
      <c r="X18518" s="33" t="n"/>
    </row>
    <row r="18520" ht="14.25" customHeight="1" s="192">
      <c r="W18520" s="231" t="n"/>
      <c r="X18520" s="231" t="n"/>
    </row>
    <row r="18521" ht="14.25" customHeight="1" s="192">
      <c r="W18521" s="235" t="n"/>
      <c r="X18521" s="235" t="n"/>
    </row>
    <row r="18522" ht="14.25" customHeight="1" s="192">
      <c r="W18522" s="228" t="n"/>
      <c r="X18522" s="228" t="n"/>
    </row>
    <row r="18523" ht="14.25" customHeight="1" s="192">
      <c r="W18523" s="235" t="n"/>
      <c r="X18523" s="235" t="n"/>
    </row>
    <row r="18524" ht="14.25" customHeight="1" s="192">
      <c r="W18524" s="235" t="n"/>
      <c r="X18524" s="235" t="n"/>
    </row>
    <row r="18525" ht="14.25" customHeight="1" s="192">
      <c r="W18525" s="235" t="n"/>
      <c r="X18525" s="235" t="n"/>
    </row>
    <row r="18526" ht="14.25" customHeight="1" s="192">
      <c r="W18526" s="239" t="n"/>
      <c r="X18526" s="239" t="n"/>
    </row>
    <row r="18527" ht="14.25" customHeight="1" s="192">
      <c r="W18527" s="239" t="n"/>
      <c r="X18527" s="239" t="n"/>
    </row>
    <row r="18528" ht="14.25" customHeight="1" s="192">
      <c r="W18528" s="239" t="n"/>
      <c r="X18528" s="239" t="n"/>
    </row>
    <row r="18529" ht="14.25" customHeight="1" s="192">
      <c r="W18529" s="235" t="n"/>
      <c r="X18529" s="235" t="n"/>
    </row>
    <row r="18530" ht="14.25" customHeight="1" s="192">
      <c r="W18530" s="235" t="n"/>
      <c r="X18530" s="235" t="n"/>
    </row>
    <row r="18531" ht="14.25" customHeight="1" s="192">
      <c r="W18531" s="235" t="n"/>
      <c r="X18531" s="235" t="n"/>
    </row>
    <row r="18532" ht="14.25" customHeight="1" s="192">
      <c r="W18532" s="239" t="n"/>
      <c r="X18532" s="239" t="n"/>
    </row>
    <row r="18533" ht="14.25" customHeight="1" s="192">
      <c r="W18533" s="239" t="n"/>
      <c r="X18533" s="239" t="n"/>
    </row>
    <row r="18534" ht="14.25" customHeight="1" s="192">
      <c r="W18534" s="235" t="n"/>
      <c r="X18534" s="235" t="n"/>
    </row>
    <row r="18535" ht="14.25" customHeight="1" s="192">
      <c r="W18535" s="235" t="n"/>
      <c r="X18535" s="235" t="n"/>
    </row>
    <row r="18536" ht="14.25" customHeight="1" s="192">
      <c r="W18536" s="239" t="n"/>
      <c r="X18536" s="239" t="n"/>
    </row>
    <row r="18537" ht="14.25" customHeight="1" s="192">
      <c r="W18537" s="235" t="n"/>
      <c r="X18537" s="235" t="n"/>
    </row>
    <row r="18538" ht="14.25" customHeight="1" s="192">
      <c r="W18538" s="239" t="n"/>
      <c r="X18538" s="239" t="n"/>
    </row>
    <row r="18540" ht="14.25" customHeight="1" s="192">
      <c r="W18540" s="235" t="n"/>
      <c r="X18540" s="235" t="n"/>
    </row>
    <row r="18541" ht="15" customHeight="1" s="192" thickBot="1">
      <c r="W18541" s="239" t="n"/>
      <c r="X18541" s="239" t="n"/>
    </row>
    <row r="18542" ht="15" customHeight="1" s="192" thickBot="1">
      <c r="W18542" s="45" t="n"/>
      <c r="X18542" s="45" t="n"/>
    </row>
    <row r="18543" ht="14.25" customHeight="1" s="192">
      <c r="W18543" s="228" t="n"/>
      <c r="X18543" s="228" t="n"/>
    </row>
    <row r="18544" ht="14.25" customHeight="1" s="192">
      <c r="W18544" s="228" t="n"/>
      <c r="X18544" s="228" t="n"/>
    </row>
    <row r="18545" ht="14.25" customHeight="1" s="192">
      <c r="W18545" s="231" t="n"/>
      <c r="X18545" s="231" t="n"/>
    </row>
    <row r="18546" ht="14.25" customHeight="1" s="192">
      <c r="W18546" s="33" t="n"/>
      <c r="X18546" s="33" t="n"/>
    </row>
    <row r="18547" ht="14.25" customHeight="1" s="192">
      <c r="W18547" s="231" t="n"/>
      <c r="X18547" s="231" t="n"/>
    </row>
    <row r="18548" ht="14.25" customHeight="1" s="192">
      <c r="W18548" s="33" t="n"/>
      <c r="X18548" s="33" t="n"/>
    </row>
    <row r="18550" ht="14.25" customHeight="1" s="192">
      <c r="W18550" s="231" t="n"/>
      <c r="X18550" s="231" t="n"/>
    </row>
    <row r="18551" ht="14.25" customHeight="1" s="192">
      <c r="W18551" s="235" t="n"/>
      <c r="X18551" s="235" t="n"/>
    </row>
    <row r="18552" ht="14.25" customHeight="1" s="192">
      <c r="W18552" s="228" t="n"/>
      <c r="X18552" s="228" t="n"/>
    </row>
    <row r="18553" ht="14.25" customHeight="1" s="192">
      <c r="W18553" s="235" t="n"/>
      <c r="X18553" s="235" t="n"/>
    </row>
    <row r="18554" ht="14.25" customHeight="1" s="192">
      <c r="W18554" s="235" t="n"/>
      <c r="X18554" s="235" t="n"/>
    </row>
    <row r="18555" ht="14.25" customHeight="1" s="192">
      <c r="W18555" s="235" t="n"/>
      <c r="X18555" s="235" t="n"/>
    </row>
    <row r="18556" ht="14.25" customHeight="1" s="192">
      <c r="W18556" s="239" t="n"/>
      <c r="X18556" s="239" t="n"/>
    </row>
    <row r="18557" ht="14.25" customHeight="1" s="192">
      <c r="W18557" s="239" t="n"/>
      <c r="X18557" s="239" t="n"/>
    </row>
    <row r="18558" ht="14.25" customHeight="1" s="192">
      <c r="W18558" s="239" t="n"/>
      <c r="X18558" s="239" t="n"/>
    </row>
    <row r="18559" ht="14.25" customHeight="1" s="192">
      <c r="W18559" s="235" t="n"/>
      <c r="X18559" s="235" t="n"/>
    </row>
    <row r="18560" ht="14.25" customHeight="1" s="192">
      <c r="W18560" s="235" t="n"/>
      <c r="X18560" s="235" t="n"/>
    </row>
    <row r="18561" ht="14.25" customHeight="1" s="192">
      <c r="W18561" s="235" t="n"/>
      <c r="X18561" s="235" t="n"/>
    </row>
    <row r="18562" ht="14.25" customHeight="1" s="192">
      <c r="W18562" s="239" t="n"/>
      <c r="X18562" s="239" t="n"/>
    </row>
    <row r="18563" ht="14.25" customHeight="1" s="192">
      <c r="W18563" s="239" t="n"/>
      <c r="X18563" s="239" t="n"/>
    </row>
    <row r="18564" ht="14.25" customHeight="1" s="192">
      <c r="W18564" s="235" t="n"/>
      <c r="X18564" s="235" t="n"/>
    </row>
    <row r="18565" ht="14.25" customHeight="1" s="192">
      <c r="W18565" s="235" t="n"/>
      <c r="X18565" s="235" t="n"/>
    </row>
    <row r="18566" ht="14.25" customHeight="1" s="192">
      <c r="W18566" s="239" t="n"/>
      <c r="X18566" s="239" t="n"/>
    </row>
    <row r="18567" ht="14.25" customHeight="1" s="192">
      <c r="W18567" s="235" t="n"/>
      <c r="X18567" s="235" t="n"/>
    </row>
    <row r="18568" ht="14.25" customHeight="1" s="192">
      <c r="W18568" s="239" t="n"/>
      <c r="X18568" s="239" t="n"/>
    </row>
    <row r="18570" ht="14.25" customHeight="1" s="192">
      <c r="W18570" s="235" t="n"/>
      <c r="X18570" s="235" t="n"/>
    </row>
    <row r="18571" ht="15" customHeight="1" s="192" thickBot="1">
      <c r="W18571" s="239" t="n"/>
      <c r="X18571" s="239" t="n"/>
    </row>
    <row r="18572" ht="15" customHeight="1" s="192" thickBot="1">
      <c r="W18572" s="45" t="n"/>
      <c r="X18572" s="45" t="n"/>
    </row>
    <row r="18573" ht="14.25" customHeight="1" s="192">
      <c r="W18573" s="228" t="n"/>
      <c r="X18573" s="228" t="n"/>
    </row>
    <row r="18574" ht="14.25" customHeight="1" s="192">
      <c r="W18574" s="228" t="n"/>
      <c r="X18574" s="228" t="n"/>
    </row>
    <row r="18575" ht="14.25" customHeight="1" s="192">
      <c r="W18575" s="231" t="n"/>
      <c r="X18575" s="231" t="n"/>
    </row>
    <row r="18576" ht="14.25" customHeight="1" s="192">
      <c r="W18576" s="33" t="n"/>
      <c r="X18576" s="33" t="n"/>
    </row>
    <row r="18577" ht="14.25" customHeight="1" s="192">
      <c r="W18577" s="231" t="n"/>
      <c r="X18577" s="231" t="n"/>
    </row>
    <row r="18578" ht="14.25" customHeight="1" s="192">
      <c r="W18578" s="33" t="n"/>
      <c r="X18578" s="33" t="n"/>
    </row>
    <row r="18580" ht="14.25" customHeight="1" s="192">
      <c r="W18580" s="231" t="n"/>
      <c r="X18580" s="231" t="n"/>
    </row>
    <row r="18581" ht="14.25" customHeight="1" s="192">
      <c r="W18581" s="235" t="n"/>
      <c r="X18581" s="235" t="n"/>
    </row>
    <row r="18582" ht="14.25" customHeight="1" s="192">
      <c r="W18582" s="228" t="n"/>
      <c r="X18582" s="228" t="n"/>
    </row>
    <row r="18583" ht="14.25" customHeight="1" s="192">
      <c r="W18583" s="235" t="n"/>
      <c r="X18583" s="235" t="n"/>
    </row>
    <row r="18584" ht="14.25" customHeight="1" s="192">
      <c r="W18584" s="235" t="n"/>
      <c r="X18584" s="235" t="n"/>
    </row>
    <row r="18585" ht="14.25" customHeight="1" s="192">
      <c r="W18585" s="235" t="n"/>
      <c r="X18585" s="235" t="n"/>
    </row>
    <row r="18586" ht="14.25" customHeight="1" s="192">
      <c r="W18586" s="239" t="n"/>
      <c r="X18586" s="239" t="n"/>
    </row>
    <row r="18587" ht="14.25" customHeight="1" s="192">
      <c r="W18587" s="239" t="n"/>
      <c r="X18587" s="239" t="n"/>
    </row>
    <row r="18588" ht="14.25" customHeight="1" s="192">
      <c r="W18588" s="239" t="n"/>
      <c r="X18588" s="239" t="n"/>
    </row>
    <row r="18589" ht="14.25" customHeight="1" s="192">
      <c r="W18589" s="235" t="n"/>
      <c r="X18589" s="235" t="n"/>
    </row>
    <row r="18590" ht="14.25" customHeight="1" s="192">
      <c r="W18590" s="235" t="n"/>
      <c r="X18590" s="235" t="n"/>
    </row>
    <row r="18591" ht="14.25" customHeight="1" s="192">
      <c r="W18591" s="235" t="n"/>
      <c r="X18591" s="235" t="n"/>
    </row>
    <row r="18592" ht="14.25" customHeight="1" s="192">
      <c r="W18592" s="239" t="n"/>
      <c r="X18592" s="239" t="n"/>
    </row>
    <row r="18593" ht="14.25" customHeight="1" s="192">
      <c r="W18593" s="239" t="n"/>
      <c r="X18593" s="239" t="n"/>
    </row>
    <row r="18594" ht="14.25" customHeight="1" s="192">
      <c r="W18594" s="235" t="n"/>
      <c r="X18594" s="235" t="n"/>
    </row>
    <row r="18595" ht="14.25" customHeight="1" s="192">
      <c r="W18595" s="235" t="n"/>
      <c r="X18595" s="235" t="n"/>
    </row>
    <row r="18596" ht="14.25" customHeight="1" s="192">
      <c r="W18596" s="239" t="n"/>
      <c r="X18596" s="239" t="n"/>
    </row>
    <row r="18597" ht="14.25" customHeight="1" s="192">
      <c r="W18597" s="235" t="n"/>
      <c r="X18597" s="235" t="n"/>
    </row>
    <row r="18598" ht="14.25" customHeight="1" s="192">
      <c r="W18598" s="239" t="n"/>
      <c r="X18598" s="239" t="n"/>
    </row>
    <row r="18600" ht="14.25" customHeight="1" s="192">
      <c r="W18600" s="235" t="n"/>
      <c r="X18600" s="235" t="n"/>
    </row>
    <row r="18601" ht="15" customHeight="1" s="192" thickBot="1">
      <c r="W18601" s="239" t="n"/>
      <c r="X18601" s="239" t="n"/>
    </row>
    <row r="18602" ht="15" customHeight="1" s="192" thickBot="1">
      <c r="W18602" s="45" t="n"/>
      <c r="X18602" s="45" t="n"/>
    </row>
    <row r="18603" ht="14.25" customHeight="1" s="192">
      <c r="W18603" s="228" t="n"/>
      <c r="X18603" s="228" t="n"/>
    </row>
    <row r="18604" ht="14.25" customHeight="1" s="192">
      <c r="W18604" s="228" t="n"/>
      <c r="X18604" s="228" t="n"/>
    </row>
    <row r="18605" ht="14.25" customHeight="1" s="192">
      <c r="W18605" s="231" t="n"/>
      <c r="X18605" s="231" t="n"/>
    </row>
    <row r="18606" ht="14.25" customHeight="1" s="192">
      <c r="W18606" s="33" t="n"/>
      <c r="X18606" s="33" t="n"/>
    </row>
    <row r="18607" ht="14.25" customHeight="1" s="192">
      <c r="W18607" s="231" t="n"/>
      <c r="X18607" s="231" t="n"/>
    </row>
    <row r="18608" ht="14.25" customHeight="1" s="192">
      <c r="W18608" s="33" t="n"/>
      <c r="X18608" s="33" t="n"/>
    </row>
    <row r="18610" ht="14.25" customHeight="1" s="192">
      <c r="W18610" s="231" t="n"/>
      <c r="X18610" s="231" t="n"/>
    </row>
    <row r="18611" ht="14.25" customHeight="1" s="192">
      <c r="W18611" s="235" t="n"/>
      <c r="X18611" s="235" t="n"/>
    </row>
    <row r="18612" ht="14.25" customHeight="1" s="192">
      <c r="W18612" s="228" t="n"/>
      <c r="X18612" s="228" t="n"/>
    </row>
    <row r="18613" ht="14.25" customHeight="1" s="192">
      <c r="W18613" s="235" t="n"/>
      <c r="X18613" s="235" t="n"/>
    </row>
    <row r="18614" ht="14.25" customHeight="1" s="192">
      <c r="W18614" s="235" t="n"/>
      <c r="X18614" s="235" t="n"/>
    </row>
    <row r="18615" ht="14.25" customHeight="1" s="192">
      <c r="W18615" s="235" t="n"/>
      <c r="X18615" s="235" t="n"/>
    </row>
    <row r="18616" ht="14.25" customHeight="1" s="192">
      <c r="W18616" s="239" t="n"/>
      <c r="X18616" s="239" t="n"/>
    </row>
    <row r="18617" ht="14.25" customHeight="1" s="192">
      <c r="W18617" s="239" t="n"/>
      <c r="X18617" s="239" t="n"/>
    </row>
    <row r="18618" ht="14.25" customHeight="1" s="192">
      <c r="W18618" s="239" t="n"/>
      <c r="X18618" s="239" t="n"/>
    </row>
    <row r="18619" ht="14.25" customHeight="1" s="192">
      <c r="W18619" s="235" t="n"/>
      <c r="X18619" s="235" t="n"/>
    </row>
    <row r="18620" ht="14.25" customHeight="1" s="192">
      <c r="W18620" s="235" t="n"/>
      <c r="X18620" s="235" t="n"/>
    </row>
    <row r="18621" ht="14.25" customHeight="1" s="192">
      <c r="W18621" s="235" t="n"/>
      <c r="X18621" s="235" t="n"/>
    </row>
    <row r="18622" ht="14.25" customHeight="1" s="192">
      <c r="W18622" s="239" t="n"/>
      <c r="X18622" s="239" t="n"/>
    </row>
    <row r="18623" ht="14.25" customHeight="1" s="192">
      <c r="W18623" s="239" t="n"/>
      <c r="X18623" s="239" t="n"/>
    </row>
    <row r="18624" ht="14.25" customHeight="1" s="192">
      <c r="W18624" s="235" t="n"/>
      <c r="X18624" s="235" t="n"/>
    </row>
    <row r="18625" ht="14.25" customHeight="1" s="192">
      <c r="W18625" s="235" t="n"/>
      <c r="X18625" s="235" t="n"/>
    </row>
    <row r="18626" ht="14.25" customHeight="1" s="192">
      <c r="W18626" s="239" t="n"/>
      <c r="X18626" s="239" t="n"/>
    </row>
    <row r="18627" ht="14.25" customHeight="1" s="192">
      <c r="W18627" s="235" t="n"/>
      <c r="X18627" s="235" t="n"/>
    </row>
    <row r="18628" ht="14.25" customHeight="1" s="192">
      <c r="W18628" s="239" t="n"/>
      <c r="X18628" s="239" t="n"/>
    </row>
    <row r="18630" ht="14.25" customHeight="1" s="192">
      <c r="W18630" s="235" t="n"/>
      <c r="X18630" s="235" t="n"/>
    </row>
    <row r="18631" ht="15" customHeight="1" s="192" thickBot="1">
      <c r="W18631" s="239" t="n"/>
      <c r="X18631" s="239" t="n"/>
    </row>
    <row r="18632" ht="15" customHeight="1" s="192" thickBot="1">
      <c r="W18632" s="45" t="n"/>
      <c r="X18632" s="45" t="n"/>
    </row>
    <row r="18633" ht="14.25" customHeight="1" s="192">
      <c r="W18633" s="228" t="n"/>
      <c r="X18633" s="228" t="n"/>
    </row>
    <row r="18634" ht="14.25" customHeight="1" s="192">
      <c r="W18634" s="228" t="n"/>
      <c r="X18634" s="228" t="n"/>
    </row>
    <row r="18635" ht="14.25" customHeight="1" s="192">
      <c r="W18635" s="231" t="n"/>
      <c r="X18635" s="231" t="n"/>
    </row>
    <row r="18636" ht="14.25" customHeight="1" s="192">
      <c r="W18636" s="33" t="n"/>
      <c r="X18636" s="33" t="n"/>
    </row>
    <row r="18637" ht="14.25" customHeight="1" s="192">
      <c r="W18637" s="231" t="n"/>
      <c r="X18637" s="231" t="n"/>
    </row>
    <row r="18638" ht="14.25" customHeight="1" s="192">
      <c r="W18638" s="33" t="n"/>
      <c r="X18638" s="33" t="n"/>
    </row>
    <row r="18640" ht="14.25" customHeight="1" s="192">
      <c r="W18640" s="231" t="n"/>
      <c r="X18640" s="231" t="n"/>
    </row>
    <row r="18641" ht="14.25" customHeight="1" s="192">
      <c r="W18641" s="235" t="n"/>
      <c r="X18641" s="235" t="n"/>
    </row>
    <row r="18642" ht="14.25" customHeight="1" s="192">
      <c r="W18642" s="228" t="n"/>
      <c r="X18642" s="228" t="n"/>
    </row>
    <row r="18643" ht="14.25" customHeight="1" s="192">
      <c r="W18643" s="235" t="n"/>
      <c r="X18643" s="235" t="n"/>
    </row>
    <row r="18644" ht="14.25" customHeight="1" s="192">
      <c r="W18644" s="235" t="n"/>
      <c r="X18644" s="235" t="n"/>
    </row>
    <row r="18645" ht="14.25" customHeight="1" s="192">
      <c r="W18645" s="235" t="n"/>
      <c r="X18645" s="235" t="n"/>
    </row>
    <row r="18646" ht="14.25" customHeight="1" s="192">
      <c r="W18646" s="239" t="n"/>
      <c r="X18646" s="239" t="n"/>
    </row>
    <row r="18647" ht="14.25" customHeight="1" s="192">
      <c r="W18647" s="239" t="n"/>
      <c r="X18647" s="239" t="n"/>
    </row>
    <row r="18648" ht="14.25" customHeight="1" s="192">
      <c r="W18648" s="239" t="n"/>
      <c r="X18648" s="239" t="n"/>
    </row>
    <row r="18649" ht="14.25" customHeight="1" s="192">
      <c r="W18649" s="235" t="n"/>
      <c r="X18649" s="235" t="n"/>
    </row>
    <row r="18650" ht="14.25" customHeight="1" s="192">
      <c r="W18650" s="235" t="n"/>
      <c r="X18650" s="235" t="n"/>
    </row>
    <row r="18651" ht="14.25" customHeight="1" s="192">
      <c r="W18651" s="235" t="n"/>
      <c r="X18651" s="235" t="n"/>
    </row>
    <row r="18652" ht="14.25" customHeight="1" s="192">
      <c r="W18652" s="239" t="n"/>
      <c r="X18652" s="239" t="n"/>
    </row>
    <row r="18653" ht="14.25" customHeight="1" s="192">
      <c r="W18653" s="239" t="n"/>
      <c r="X18653" s="239" t="n"/>
    </row>
    <row r="18654" ht="14.25" customHeight="1" s="192">
      <c r="W18654" s="235" t="n"/>
      <c r="X18654" s="235" t="n"/>
    </row>
    <row r="18655" ht="14.25" customHeight="1" s="192">
      <c r="W18655" s="235" t="n"/>
      <c r="X18655" s="235" t="n"/>
    </row>
    <row r="18656" ht="14.25" customHeight="1" s="192">
      <c r="W18656" s="239" t="n"/>
      <c r="X18656" s="239" t="n"/>
    </row>
    <row r="18657" ht="14.25" customHeight="1" s="192">
      <c r="W18657" s="235" t="n"/>
      <c r="X18657" s="235" t="n"/>
    </row>
    <row r="18658" ht="14.25" customHeight="1" s="192">
      <c r="W18658" s="239" t="n"/>
      <c r="X18658" s="239" t="n"/>
    </row>
    <row r="18660" ht="14.25" customHeight="1" s="192">
      <c r="W18660" s="235" t="n"/>
      <c r="X18660" s="235" t="n"/>
    </row>
    <row r="18661" ht="15" customHeight="1" s="192" thickBot="1">
      <c r="W18661" s="239" t="n"/>
      <c r="X18661" s="239" t="n"/>
    </row>
    <row r="18662" ht="15" customHeight="1" s="192" thickBot="1">
      <c r="W18662" s="45" t="n"/>
      <c r="X18662" s="45" t="n"/>
    </row>
    <row r="18663" ht="14.25" customHeight="1" s="192">
      <c r="W18663" s="228" t="n"/>
      <c r="X18663" s="228" t="n"/>
    </row>
    <row r="18664" ht="14.25" customHeight="1" s="192">
      <c r="W18664" s="228" t="n"/>
      <c r="X18664" s="228" t="n"/>
    </row>
    <row r="18665" ht="14.25" customHeight="1" s="192">
      <c r="W18665" s="231" t="n"/>
      <c r="X18665" s="231" t="n"/>
    </row>
    <row r="18666" ht="14.25" customHeight="1" s="192">
      <c r="W18666" s="33" t="n"/>
      <c r="X18666" s="33" t="n"/>
    </row>
    <row r="18667" ht="14.25" customHeight="1" s="192">
      <c r="W18667" s="231" t="n"/>
      <c r="X18667" s="231" t="n"/>
    </row>
    <row r="18668" ht="14.25" customHeight="1" s="192">
      <c r="W18668" s="33" t="n"/>
      <c r="X18668" s="33" t="n"/>
    </row>
    <row r="18670" ht="14.25" customHeight="1" s="192">
      <c r="W18670" s="231" t="n"/>
      <c r="X18670" s="231" t="n"/>
    </row>
    <row r="18671" ht="14.25" customHeight="1" s="192">
      <c r="W18671" s="235" t="n"/>
      <c r="X18671" s="235" t="n"/>
    </row>
    <row r="18672" ht="14.25" customHeight="1" s="192">
      <c r="W18672" s="228" t="n"/>
      <c r="X18672" s="228" t="n"/>
    </row>
    <row r="18673" ht="14.25" customHeight="1" s="192">
      <c r="W18673" s="235" t="n"/>
      <c r="X18673" s="235" t="n"/>
    </row>
    <row r="18674" ht="14.25" customHeight="1" s="192">
      <c r="W18674" s="235" t="n"/>
      <c r="X18674" s="235" t="n"/>
    </row>
    <row r="18675" ht="14.25" customHeight="1" s="192">
      <c r="W18675" s="235" t="n"/>
      <c r="X18675" s="235" t="n"/>
    </row>
    <row r="18676" ht="14.25" customHeight="1" s="192">
      <c r="W18676" s="239" t="n"/>
      <c r="X18676" s="239" t="n"/>
    </row>
    <row r="18677" ht="14.25" customHeight="1" s="192">
      <c r="W18677" s="239" t="n"/>
      <c r="X18677" s="239" t="n"/>
    </row>
    <row r="18678" ht="14.25" customHeight="1" s="192">
      <c r="W18678" s="239" t="n"/>
      <c r="X18678" s="239" t="n"/>
    </row>
    <row r="18679" ht="14.25" customHeight="1" s="192">
      <c r="W18679" s="235" t="n"/>
      <c r="X18679" s="235" t="n"/>
    </row>
    <row r="18680" ht="14.25" customHeight="1" s="192">
      <c r="W18680" s="235" t="n"/>
      <c r="X18680" s="235" t="n"/>
    </row>
    <row r="18681" ht="14.25" customHeight="1" s="192">
      <c r="W18681" s="235" t="n"/>
      <c r="X18681" s="235" t="n"/>
    </row>
    <row r="18682" ht="14.25" customHeight="1" s="192">
      <c r="W18682" s="239" t="n"/>
      <c r="X18682" s="239" t="n"/>
    </row>
    <row r="18683" ht="14.25" customHeight="1" s="192">
      <c r="W18683" s="239" t="n"/>
      <c r="X18683" s="239" t="n"/>
    </row>
    <row r="18684" ht="14.25" customHeight="1" s="192">
      <c r="W18684" s="235" t="n"/>
      <c r="X18684" s="235" t="n"/>
    </row>
    <row r="18685" ht="14.25" customHeight="1" s="192">
      <c r="W18685" s="235" t="n"/>
      <c r="X18685" s="235" t="n"/>
    </row>
    <row r="18686" ht="14.25" customHeight="1" s="192">
      <c r="W18686" s="239" t="n"/>
      <c r="X18686" s="239" t="n"/>
    </row>
    <row r="18687" ht="14.25" customHeight="1" s="192">
      <c r="W18687" s="235" t="n"/>
      <c r="X18687" s="235" t="n"/>
    </row>
    <row r="18688" ht="14.25" customHeight="1" s="192">
      <c r="W18688" s="239" t="n"/>
      <c r="X18688" s="239" t="n"/>
    </row>
    <row r="18690" ht="14.25" customHeight="1" s="192">
      <c r="W18690" s="235" t="n"/>
      <c r="X18690" s="235" t="n"/>
    </row>
    <row r="18691" ht="15" customHeight="1" s="192" thickBot="1">
      <c r="W18691" s="239" t="n"/>
      <c r="X18691" s="239" t="n"/>
    </row>
    <row r="18692" ht="15" customHeight="1" s="192" thickBot="1">
      <c r="W18692" s="45" t="n"/>
      <c r="X18692" s="45" t="n"/>
    </row>
    <row r="18693" ht="14.25" customHeight="1" s="192">
      <c r="W18693" s="228" t="n"/>
      <c r="X18693" s="228" t="n"/>
    </row>
    <row r="18694" ht="14.25" customHeight="1" s="192">
      <c r="W18694" s="228" t="n"/>
      <c r="X18694" s="228" t="n"/>
    </row>
    <row r="18695" ht="14.25" customHeight="1" s="192">
      <c r="W18695" s="231" t="n"/>
      <c r="X18695" s="231" t="n"/>
    </row>
    <row r="18696" ht="14.25" customHeight="1" s="192">
      <c r="W18696" s="33" t="n"/>
      <c r="X18696" s="33" t="n"/>
    </row>
    <row r="18697" ht="14.25" customHeight="1" s="192">
      <c r="W18697" s="231" t="n"/>
      <c r="X18697" s="231" t="n"/>
    </row>
    <row r="18698" ht="14.25" customHeight="1" s="192">
      <c r="W18698" s="33" t="n"/>
      <c r="X18698" s="33" t="n"/>
    </row>
    <row r="18700" ht="14.25" customHeight="1" s="192">
      <c r="W18700" s="231" t="n"/>
      <c r="X18700" s="231" t="n"/>
    </row>
    <row r="18701" ht="14.25" customHeight="1" s="192">
      <c r="W18701" s="235" t="n"/>
      <c r="X18701" s="235" t="n"/>
    </row>
    <row r="18702" ht="14.25" customHeight="1" s="192">
      <c r="W18702" s="228" t="n"/>
      <c r="X18702" s="228" t="n"/>
    </row>
    <row r="18703" ht="14.25" customHeight="1" s="192">
      <c r="W18703" s="235" t="n"/>
      <c r="X18703" s="235" t="n"/>
    </row>
    <row r="18704" ht="14.25" customHeight="1" s="192">
      <c r="W18704" s="235" t="n"/>
      <c r="X18704" s="235" t="n"/>
    </row>
    <row r="18705" ht="14.25" customHeight="1" s="192">
      <c r="W18705" s="235" t="n"/>
      <c r="X18705" s="235" t="n"/>
    </row>
    <row r="18706" ht="14.25" customHeight="1" s="192">
      <c r="W18706" s="239" t="n"/>
      <c r="X18706" s="239" t="n"/>
    </row>
    <row r="18707" ht="14.25" customHeight="1" s="192">
      <c r="W18707" s="239" t="n"/>
      <c r="X18707" s="239" t="n"/>
    </row>
    <row r="18708" ht="14.25" customHeight="1" s="192">
      <c r="W18708" s="239" t="n"/>
      <c r="X18708" s="239" t="n"/>
    </row>
    <row r="18709" ht="14.25" customHeight="1" s="192">
      <c r="W18709" s="235" t="n"/>
      <c r="X18709" s="235" t="n"/>
    </row>
    <row r="18710" ht="14.25" customHeight="1" s="192">
      <c r="W18710" s="235" t="n"/>
      <c r="X18710" s="235" t="n"/>
    </row>
    <row r="18711" ht="14.25" customHeight="1" s="192">
      <c r="W18711" s="235" t="n"/>
      <c r="X18711" s="235" t="n"/>
    </row>
    <row r="18712" ht="14.25" customHeight="1" s="192">
      <c r="W18712" s="239" t="n"/>
      <c r="X18712" s="239" t="n"/>
    </row>
    <row r="18713" ht="14.25" customHeight="1" s="192">
      <c r="W18713" s="239" t="n"/>
      <c r="X18713" s="239" t="n"/>
    </row>
    <row r="18714" ht="14.25" customHeight="1" s="192">
      <c r="W18714" s="235" t="n"/>
      <c r="X18714" s="235" t="n"/>
    </row>
    <row r="18715" ht="14.25" customHeight="1" s="192">
      <c r="W18715" s="235" t="n"/>
      <c r="X18715" s="235" t="n"/>
    </row>
    <row r="18716" ht="14.25" customHeight="1" s="192">
      <c r="W18716" s="239" t="n"/>
      <c r="X18716" s="239" t="n"/>
    </row>
    <row r="18717" ht="14.25" customHeight="1" s="192">
      <c r="W18717" s="235" t="n"/>
      <c r="X18717" s="235" t="n"/>
    </row>
    <row r="18718" ht="14.25" customHeight="1" s="192">
      <c r="W18718" s="239" t="n"/>
      <c r="X18718" s="239" t="n"/>
    </row>
    <row r="18720" ht="14.25" customHeight="1" s="192">
      <c r="W18720" s="235" t="n"/>
      <c r="X18720" s="235" t="n"/>
    </row>
    <row r="18721" ht="15" customHeight="1" s="192" thickBot="1">
      <c r="W18721" s="239" t="n"/>
      <c r="X18721" s="239" t="n"/>
    </row>
    <row r="18722" ht="15" customHeight="1" s="192" thickBot="1">
      <c r="W18722" s="45" t="n"/>
      <c r="X18722" s="45" t="n"/>
    </row>
    <row r="18723" ht="14.25" customHeight="1" s="192">
      <c r="W18723" s="228" t="n"/>
      <c r="X18723" s="228" t="n"/>
    </row>
    <row r="18724" ht="14.25" customHeight="1" s="192">
      <c r="W18724" s="228" t="n"/>
      <c r="X18724" s="228" t="n"/>
    </row>
    <row r="18725" ht="14.25" customHeight="1" s="192">
      <c r="W18725" s="231" t="n"/>
      <c r="X18725" s="231" t="n"/>
    </row>
    <row r="18726" ht="14.25" customHeight="1" s="192">
      <c r="W18726" s="33" t="n"/>
      <c r="X18726" s="33" t="n"/>
    </row>
    <row r="18727" ht="14.25" customHeight="1" s="192">
      <c r="W18727" s="231" t="n"/>
      <c r="X18727" s="231" t="n"/>
    </row>
    <row r="18728" ht="14.25" customHeight="1" s="192">
      <c r="W18728" s="33" t="n"/>
      <c r="X18728" s="33" t="n"/>
    </row>
    <row r="18730" ht="14.25" customHeight="1" s="192">
      <c r="W18730" s="231" t="n"/>
      <c r="X18730" s="231" t="n"/>
    </row>
    <row r="18731" ht="14.25" customHeight="1" s="192">
      <c r="W18731" s="235" t="n"/>
      <c r="X18731" s="235" t="n"/>
    </row>
    <row r="18732" ht="14.25" customHeight="1" s="192">
      <c r="W18732" s="228" t="n"/>
      <c r="X18732" s="228" t="n"/>
    </row>
    <row r="18733" ht="14.25" customHeight="1" s="192">
      <c r="W18733" s="235" t="n"/>
      <c r="X18733" s="235" t="n"/>
    </row>
    <row r="18734" ht="14.25" customHeight="1" s="192">
      <c r="W18734" s="235" t="n"/>
      <c r="X18734" s="235" t="n"/>
    </row>
    <row r="18735" ht="14.25" customHeight="1" s="192">
      <c r="W18735" s="235" t="n"/>
      <c r="X18735" s="235" t="n"/>
    </row>
    <row r="18736" ht="14.25" customHeight="1" s="192">
      <c r="W18736" s="239" t="n"/>
      <c r="X18736" s="239" t="n"/>
    </row>
    <row r="18737" ht="14.25" customHeight="1" s="192">
      <c r="W18737" s="239" t="n"/>
      <c r="X18737" s="239" t="n"/>
    </row>
    <row r="18738" ht="14.25" customHeight="1" s="192">
      <c r="W18738" s="239" t="n"/>
      <c r="X18738" s="239" t="n"/>
    </row>
    <row r="18739" ht="14.25" customHeight="1" s="192">
      <c r="W18739" s="235" t="n"/>
      <c r="X18739" s="235" t="n"/>
    </row>
    <row r="18740" ht="14.25" customHeight="1" s="192">
      <c r="W18740" s="235" t="n"/>
      <c r="X18740" s="235" t="n"/>
    </row>
    <row r="18741" ht="14.25" customHeight="1" s="192">
      <c r="W18741" s="235" t="n"/>
      <c r="X18741" s="235" t="n"/>
    </row>
    <row r="18742" ht="14.25" customHeight="1" s="192">
      <c r="W18742" s="239" t="n"/>
      <c r="X18742" s="239" t="n"/>
    </row>
    <row r="18743" ht="14.25" customHeight="1" s="192">
      <c r="W18743" s="239" t="n"/>
      <c r="X18743" s="239" t="n"/>
    </row>
    <row r="18744" ht="14.25" customHeight="1" s="192">
      <c r="W18744" s="235" t="n"/>
      <c r="X18744" s="235" t="n"/>
    </row>
    <row r="18745" ht="14.25" customHeight="1" s="192">
      <c r="W18745" s="235" t="n"/>
      <c r="X18745" s="235" t="n"/>
    </row>
    <row r="18746" ht="14.25" customHeight="1" s="192">
      <c r="W18746" s="239" t="n"/>
      <c r="X18746" s="239" t="n"/>
    </row>
    <row r="18747" ht="14.25" customHeight="1" s="192">
      <c r="W18747" s="235" t="n"/>
      <c r="X18747" s="235" t="n"/>
    </row>
    <row r="18748" ht="14.25" customHeight="1" s="192">
      <c r="W18748" s="239" t="n"/>
      <c r="X18748" s="239" t="n"/>
    </row>
    <row r="18750" ht="14.25" customHeight="1" s="192">
      <c r="W18750" s="235" t="n"/>
      <c r="X18750" s="235" t="n"/>
    </row>
    <row r="18751" ht="15" customHeight="1" s="192" thickBot="1">
      <c r="W18751" s="239" t="n"/>
      <c r="X18751" s="239" t="n"/>
    </row>
    <row r="18752" ht="15" customHeight="1" s="192" thickBot="1">
      <c r="W18752" s="45" t="n"/>
      <c r="X18752" s="45" t="n"/>
    </row>
    <row r="18753" ht="14.25" customHeight="1" s="192">
      <c r="W18753" s="228" t="n"/>
      <c r="X18753" s="228" t="n"/>
    </row>
    <row r="18754" ht="14.25" customHeight="1" s="192">
      <c r="W18754" s="228" t="n"/>
      <c r="X18754" s="228" t="n"/>
    </row>
    <row r="18755" ht="14.25" customHeight="1" s="192">
      <c r="W18755" s="231" t="n"/>
      <c r="X18755" s="231" t="n"/>
    </row>
    <row r="18756" ht="14.25" customHeight="1" s="192">
      <c r="W18756" s="33" t="n"/>
      <c r="X18756" s="33" t="n"/>
    </row>
    <row r="18757" ht="14.25" customHeight="1" s="192">
      <c r="W18757" s="231" t="n"/>
      <c r="X18757" s="231" t="n"/>
    </row>
    <row r="18758" ht="14.25" customHeight="1" s="192">
      <c r="W18758" s="33" t="n"/>
      <c r="X18758" s="33" t="n"/>
    </row>
    <row r="18760" ht="14.25" customHeight="1" s="192">
      <c r="W18760" s="231" t="n"/>
      <c r="X18760" s="231" t="n"/>
    </row>
    <row r="18761" ht="14.25" customHeight="1" s="192">
      <c r="W18761" s="235" t="n"/>
      <c r="X18761" s="235" t="n"/>
    </row>
    <row r="18762" ht="14.25" customHeight="1" s="192">
      <c r="W18762" s="228" t="n"/>
      <c r="X18762" s="228" t="n"/>
    </row>
    <row r="18763" ht="14.25" customHeight="1" s="192">
      <c r="W18763" s="235" t="n"/>
      <c r="X18763" s="235" t="n"/>
    </row>
    <row r="18764" ht="14.25" customHeight="1" s="192">
      <c r="W18764" s="235" t="n"/>
      <c r="X18764" s="235" t="n"/>
    </row>
    <row r="18765" ht="14.25" customHeight="1" s="192">
      <c r="W18765" s="235" t="n"/>
      <c r="X18765" s="235" t="n"/>
    </row>
    <row r="18766" ht="14.25" customHeight="1" s="192">
      <c r="W18766" s="239" t="n"/>
      <c r="X18766" s="239" t="n"/>
    </row>
    <row r="18767" ht="14.25" customHeight="1" s="192">
      <c r="W18767" s="239" t="n"/>
      <c r="X18767" s="239" t="n"/>
    </row>
    <row r="18768" ht="14.25" customHeight="1" s="192">
      <c r="W18768" s="239" t="n"/>
      <c r="X18768" s="239" t="n"/>
    </row>
    <row r="18769" ht="14.25" customHeight="1" s="192">
      <c r="W18769" s="235" t="n"/>
      <c r="X18769" s="235" t="n"/>
    </row>
    <row r="18770" ht="14.25" customHeight="1" s="192">
      <c r="W18770" s="235" t="n"/>
      <c r="X18770" s="235" t="n"/>
    </row>
    <row r="18771" ht="14.25" customHeight="1" s="192">
      <c r="W18771" s="235" t="n"/>
      <c r="X18771" s="235" t="n"/>
    </row>
    <row r="18772" ht="14.25" customHeight="1" s="192">
      <c r="W18772" s="239" t="n"/>
      <c r="X18772" s="239" t="n"/>
    </row>
    <row r="18773" ht="14.25" customHeight="1" s="192">
      <c r="W18773" s="239" t="n"/>
      <c r="X18773" s="239" t="n"/>
    </row>
    <row r="18774" ht="14.25" customHeight="1" s="192">
      <c r="W18774" s="235" t="n"/>
      <c r="X18774" s="235" t="n"/>
    </row>
    <row r="18775" ht="14.25" customHeight="1" s="192">
      <c r="W18775" s="235" t="n"/>
      <c r="X18775" s="235" t="n"/>
    </row>
    <row r="18776" ht="14.25" customHeight="1" s="192">
      <c r="W18776" s="239" t="n"/>
      <c r="X18776" s="239" t="n"/>
    </row>
    <row r="18777" ht="14.25" customHeight="1" s="192">
      <c r="W18777" s="235" t="n"/>
      <c r="X18777" s="235" t="n"/>
    </row>
    <row r="18778" ht="14.25" customHeight="1" s="192">
      <c r="W18778" s="239" t="n"/>
      <c r="X18778" s="239" t="n"/>
    </row>
    <row r="18780" ht="14.25" customHeight="1" s="192">
      <c r="W18780" s="235" t="n"/>
      <c r="X18780" s="235" t="n"/>
    </row>
    <row r="18781" ht="15" customHeight="1" s="192" thickBot="1">
      <c r="W18781" s="239" t="n"/>
      <c r="X18781" s="239" t="n"/>
    </row>
    <row r="18782" ht="15" customHeight="1" s="192" thickBot="1">
      <c r="W18782" s="45" t="n"/>
      <c r="X18782" s="45" t="n"/>
    </row>
    <row r="18783" ht="14.25" customHeight="1" s="192">
      <c r="W18783" s="228" t="n"/>
      <c r="X18783" s="228" t="n"/>
    </row>
    <row r="18784" ht="14.25" customHeight="1" s="192">
      <c r="W18784" s="228" t="n"/>
      <c r="X18784" s="228" t="n"/>
    </row>
    <row r="18785" ht="14.25" customHeight="1" s="192">
      <c r="W18785" s="231" t="n"/>
      <c r="X18785" s="231" t="n"/>
    </row>
    <row r="18786" ht="14.25" customHeight="1" s="192">
      <c r="W18786" s="33" t="n"/>
      <c r="X18786" s="33" t="n"/>
    </row>
    <row r="18787" ht="14.25" customHeight="1" s="192">
      <c r="W18787" s="231" t="n"/>
      <c r="X18787" s="231" t="n"/>
    </row>
    <row r="18788" ht="14.25" customHeight="1" s="192">
      <c r="W18788" s="33" t="n"/>
      <c r="X18788" s="33" t="n"/>
    </row>
    <row r="18790" ht="14.25" customHeight="1" s="192">
      <c r="W18790" s="231" t="n"/>
      <c r="X18790" s="231" t="n"/>
    </row>
    <row r="18791" ht="14.25" customHeight="1" s="192">
      <c r="W18791" s="235" t="n"/>
      <c r="X18791" s="235" t="n"/>
    </row>
    <row r="18792" ht="14.25" customHeight="1" s="192">
      <c r="W18792" s="228" t="n"/>
      <c r="X18792" s="228" t="n"/>
    </row>
    <row r="18793" ht="14.25" customHeight="1" s="192">
      <c r="W18793" s="235" t="n"/>
      <c r="X18793" s="235" t="n"/>
    </row>
    <row r="18794" ht="14.25" customHeight="1" s="192">
      <c r="W18794" s="235" t="n"/>
      <c r="X18794" s="235" t="n"/>
    </row>
    <row r="18795" ht="14.25" customHeight="1" s="192">
      <c r="W18795" s="235" t="n"/>
      <c r="X18795" s="235" t="n"/>
    </row>
    <row r="18796" ht="14.25" customHeight="1" s="192">
      <c r="W18796" s="239" t="n"/>
      <c r="X18796" s="239" t="n"/>
    </row>
    <row r="18797" ht="14.25" customHeight="1" s="192">
      <c r="W18797" s="239" t="n"/>
      <c r="X18797" s="239" t="n"/>
    </row>
    <row r="18798" ht="14.25" customHeight="1" s="192">
      <c r="W18798" s="239" t="n"/>
      <c r="X18798" s="239" t="n"/>
    </row>
    <row r="18799" ht="14.25" customHeight="1" s="192">
      <c r="W18799" s="235" t="n"/>
      <c r="X18799" s="235" t="n"/>
    </row>
    <row r="18800" ht="14.25" customHeight="1" s="192">
      <c r="W18800" s="235" t="n"/>
      <c r="X18800" s="235" t="n"/>
    </row>
    <row r="18801" ht="14.25" customHeight="1" s="192">
      <c r="W18801" s="235" t="n"/>
      <c r="X18801" s="235" t="n"/>
    </row>
    <row r="18802" ht="14.25" customHeight="1" s="192">
      <c r="W18802" s="239" t="n"/>
      <c r="X18802" s="239" t="n"/>
    </row>
    <row r="18803" ht="14.25" customHeight="1" s="192">
      <c r="W18803" s="239" t="n"/>
      <c r="X18803" s="239" t="n"/>
    </row>
    <row r="18804" ht="14.25" customHeight="1" s="192">
      <c r="W18804" s="235" t="n"/>
      <c r="X18804" s="235" t="n"/>
    </row>
    <row r="18805" ht="14.25" customHeight="1" s="192">
      <c r="W18805" s="235" t="n"/>
      <c r="X18805" s="235" t="n"/>
    </row>
    <row r="18806" ht="14.25" customHeight="1" s="192">
      <c r="W18806" s="239" t="n"/>
      <c r="X18806" s="239" t="n"/>
    </row>
    <row r="18807" ht="14.25" customHeight="1" s="192">
      <c r="W18807" s="235" t="n"/>
      <c r="X18807" s="235" t="n"/>
    </row>
    <row r="18808" ht="14.25" customHeight="1" s="192">
      <c r="W18808" s="239" t="n"/>
      <c r="X18808" s="239" t="n"/>
    </row>
    <row r="18810" ht="14.25" customHeight="1" s="192">
      <c r="W18810" s="235" t="n"/>
      <c r="X18810" s="235" t="n"/>
    </row>
    <row r="18811" ht="15" customHeight="1" s="192" thickBot="1">
      <c r="W18811" s="239" t="n"/>
      <c r="X18811" s="239" t="n"/>
    </row>
    <row r="18812" ht="15" customHeight="1" s="192" thickBot="1">
      <c r="W18812" s="45" t="n"/>
      <c r="X18812" s="45" t="n"/>
    </row>
    <row r="18813" ht="14.25" customHeight="1" s="192">
      <c r="W18813" s="228" t="n"/>
      <c r="X18813" s="228" t="n"/>
    </row>
    <row r="18814" ht="14.25" customHeight="1" s="192">
      <c r="W18814" s="228" t="n"/>
      <c r="X18814" s="228" t="n"/>
    </row>
    <row r="18815" ht="14.25" customHeight="1" s="192">
      <c r="W18815" s="231" t="n"/>
      <c r="X18815" s="231" t="n"/>
    </row>
    <row r="18816" ht="14.25" customHeight="1" s="192">
      <c r="W18816" s="33" t="n"/>
      <c r="X18816" s="33" t="n"/>
    </row>
    <row r="18817" ht="14.25" customHeight="1" s="192">
      <c r="W18817" s="231" t="n"/>
      <c r="X18817" s="231" t="n"/>
    </row>
    <row r="18818" ht="14.25" customHeight="1" s="192">
      <c r="W18818" s="33" t="n"/>
      <c r="X18818" s="33" t="n"/>
    </row>
    <row r="18820" ht="14.25" customHeight="1" s="192">
      <c r="W18820" s="231" t="n"/>
      <c r="X18820" s="231" t="n"/>
    </row>
    <row r="18821" ht="14.25" customHeight="1" s="192">
      <c r="W18821" s="235" t="n"/>
      <c r="X18821" s="235" t="n"/>
    </row>
    <row r="18822" ht="14.25" customHeight="1" s="192">
      <c r="W18822" s="228" t="n"/>
      <c r="X18822" s="228" t="n"/>
    </row>
    <row r="18823" ht="14.25" customHeight="1" s="192">
      <c r="W18823" s="235" t="n"/>
      <c r="X18823" s="235" t="n"/>
    </row>
    <row r="18824" ht="14.25" customHeight="1" s="192">
      <c r="W18824" s="235" t="n"/>
      <c r="X18824" s="235" t="n"/>
    </row>
    <row r="18825" ht="14.25" customHeight="1" s="192">
      <c r="W18825" s="235" t="n"/>
      <c r="X18825" s="235" t="n"/>
    </row>
    <row r="18826" ht="14.25" customHeight="1" s="192">
      <c r="W18826" s="239" t="n"/>
      <c r="X18826" s="239" t="n"/>
    </row>
    <row r="18827" ht="14.25" customHeight="1" s="192">
      <c r="W18827" s="239" t="n"/>
      <c r="X18827" s="239" t="n"/>
    </row>
    <row r="18828" ht="14.25" customHeight="1" s="192">
      <c r="W18828" s="239" t="n"/>
      <c r="X18828" s="239" t="n"/>
    </row>
    <row r="18829" ht="14.25" customHeight="1" s="192">
      <c r="W18829" s="235" t="n"/>
      <c r="X18829" s="235" t="n"/>
    </row>
    <row r="18830" ht="14.25" customHeight="1" s="192">
      <c r="W18830" s="235" t="n"/>
      <c r="X18830" s="235" t="n"/>
    </row>
    <row r="18831" ht="14.25" customHeight="1" s="192">
      <c r="W18831" s="235" t="n"/>
      <c r="X18831" s="235" t="n"/>
    </row>
    <row r="18832" ht="14.25" customHeight="1" s="192">
      <c r="W18832" s="239" t="n"/>
      <c r="X18832" s="239" t="n"/>
    </row>
    <row r="18833" ht="14.25" customHeight="1" s="192">
      <c r="W18833" s="239" t="n"/>
      <c r="X18833" s="239" t="n"/>
    </row>
    <row r="18834" ht="14.25" customHeight="1" s="192">
      <c r="W18834" s="235" t="n"/>
      <c r="X18834" s="235" t="n"/>
    </row>
    <row r="18835" ht="14.25" customHeight="1" s="192">
      <c r="W18835" s="235" t="n"/>
      <c r="X18835" s="235" t="n"/>
    </row>
    <row r="18836" ht="14.25" customHeight="1" s="192">
      <c r="W18836" s="239" t="n"/>
      <c r="X18836" s="239" t="n"/>
    </row>
    <row r="18837" ht="14.25" customHeight="1" s="192">
      <c r="W18837" s="235" t="n"/>
      <c r="X18837" s="235" t="n"/>
    </row>
    <row r="18838" ht="14.25" customHeight="1" s="192">
      <c r="W18838" s="239" t="n"/>
      <c r="X18838" s="239" t="n"/>
    </row>
    <row r="18840" ht="14.25" customHeight="1" s="192">
      <c r="W18840" s="235" t="n"/>
      <c r="X18840" s="235" t="n"/>
    </row>
    <row r="18841" ht="15" customHeight="1" s="192" thickBot="1">
      <c r="W18841" s="239" t="n"/>
      <c r="X18841" s="239" t="n"/>
    </row>
    <row r="18842" ht="15" customHeight="1" s="192" thickBot="1">
      <c r="W18842" s="45" t="n"/>
      <c r="X18842" s="45" t="n"/>
    </row>
    <row r="18843" ht="14.25" customHeight="1" s="192">
      <c r="W18843" s="228" t="n"/>
      <c r="X18843" s="228" t="n"/>
    </row>
    <row r="18844" ht="14.25" customHeight="1" s="192">
      <c r="W18844" s="228" t="n"/>
      <c r="X18844" s="228" t="n"/>
    </row>
    <row r="18845" ht="14.25" customHeight="1" s="192">
      <c r="W18845" s="231" t="n"/>
      <c r="X18845" s="231" t="n"/>
    </row>
    <row r="18846" ht="14.25" customHeight="1" s="192">
      <c r="W18846" s="33" t="n"/>
      <c r="X18846" s="33" t="n"/>
    </row>
    <row r="18847" ht="14.25" customHeight="1" s="192">
      <c r="W18847" s="231" t="n"/>
      <c r="X18847" s="231" t="n"/>
    </row>
    <row r="18848" ht="14.25" customHeight="1" s="192">
      <c r="W18848" s="33" t="n"/>
      <c r="X18848" s="33" t="n"/>
    </row>
    <row r="18850" ht="14.25" customHeight="1" s="192">
      <c r="W18850" s="231" t="n"/>
      <c r="X18850" s="231" t="n"/>
    </row>
    <row r="18851" ht="14.25" customHeight="1" s="192">
      <c r="W18851" s="235" t="n"/>
      <c r="X18851" s="235" t="n"/>
    </row>
    <row r="18852" ht="14.25" customHeight="1" s="192">
      <c r="W18852" s="228" t="n"/>
      <c r="X18852" s="228" t="n"/>
    </row>
    <row r="18853" ht="14.25" customHeight="1" s="192">
      <c r="W18853" s="235" t="n"/>
      <c r="X18853" s="235" t="n"/>
    </row>
    <row r="18854" ht="14.25" customHeight="1" s="192">
      <c r="W18854" s="235" t="n"/>
      <c r="X18854" s="235" t="n"/>
    </row>
    <row r="18855" ht="14.25" customHeight="1" s="192">
      <c r="W18855" s="235" t="n"/>
      <c r="X18855" s="235" t="n"/>
    </row>
    <row r="18856" ht="14.25" customHeight="1" s="192">
      <c r="W18856" s="239" t="n"/>
      <c r="X18856" s="239" t="n"/>
    </row>
    <row r="18857" ht="14.25" customHeight="1" s="192">
      <c r="W18857" s="239" t="n"/>
      <c r="X18857" s="239" t="n"/>
    </row>
    <row r="18858" ht="14.25" customHeight="1" s="192">
      <c r="W18858" s="239" t="n"/>
      <c r="X18858" s="239" t="n"/>
    </row>
    <row r="18859" ht="14.25" customHeight="1" s="192">
      <c r="W18859" s="235" t="n"/>
      <c r="X18859" s="235" t="n"/>
    </row>
    <row r="18860" ht="14.25" customHeight="1" s="192">
      <c r="W18860" s="235" t="n"/>
      <c r="X18860" s="235" t="n"/>
    </row>
    <row r="18861" ht="14.25" customHeight="1" s="192">
      <c r="W18861" s="235" t="n"/>
      <c r="X18861" s="235" t="n"/>
    </row>
    <row r="18862" ht="14.25" customHeight="1" s="192">
      <c r="W18862" s="239" t="n"/>
      <c r="X18862" s="239" t="n"/>
    </row>
    <row r="18863" ht="14.25" customHeight="1" s="192">
      <c r="W18863" s="239" t="n"/>
      <c r="X18863" s="239" t="n"/>
    </row>
    <row r="18864" ht="14.25" customHeight="1" s="192">
      <c r="W18864" s="235" t="n"/>
      <c r="X18864" s="235" t="n"/>
    </row>
    <row r="18865" ht="14.25" customHeight="1" s="192">
      <c r="W18865" s="235" t="n"/>
      <c r="X18865" s="235" t="n"/>
    </row>
    <row r="18866" ht="14.25" customHeight="1" s="192">
      <c r="W18866" s="239" t="n"/>
      <c r="X18866" s="239" t="n"/>
    </row>
    <row r="18867" ht="14.25" customHeight="1" s="192">
      <c r="W18867" s="235" t="n"/>
      <c r="X18867" s="235" t="n"/>
    </row>
    <row r="18868" ht="14.25" customHeight="1" s="192">
      <c r="W18868" s="239" t="n"/>
      <c r="X18868" s="239" t="n"/>
    </row>
    <row r="18870" ht="14.25" customHeight="1" s="192">
      <c r="W18870" s="235" t="n"/>
      <c r="X18870" s="235" t="n"/>
    </row>
    <row r="18871" ht="15" customHeight="1" s="192" thickBot="1">
      <c r="W18871" s="239" t="n"/>
      <c r="X18871" s="239" t="n"/>
    </row>
    <row r="18872" ht="15" customHeight="1" s="192" thickBot="1">
      <c r="W18872" s="45" t="n"/>
      <c r="X18872" s="45" t="n"/>
    </row>
    <row r="18873" ht="14.25" customHeight="1" s="192">
      <c r="W18873" s="228" t="n"/>
      <c r="X18873" s="228" t="n"/>
    </row>
    <row r="18874" ht="14.25" customHeight="1" s="192">
      <c r="W18874" s="228" t="n"/>
      <c r="X18874" s="228" t="n"/>
    </row>
    <row r="18875" ht="14.25" customHeight="1" s="192">
      <c r="W18875" s="231" t="n"/>
      <c r="X18875" s="231" t="n"/>
    </row>
    <row r="18876" ht="14.25" customHeight="1" s="192">
      <c r="W18876" s="33" t="n"/>
      <c r="X18876" s="33" t="n"/>
    </row>
    <row r="18877" ht="14.25" customHeight="1" s="192">
      <c r="W18877" s="231" t="n"/>
      <c r="X18877" s="231" t="n"/>
    </row>
    <row r="18878" ht="14.25" customHeight="1" s="192">
      <c r="W18878" s="33" t="n"/>
      <c r="X18878" s="33" t="n"/>
    </row>
    <row r="18880" ht="14.25" customHeight="1" s="192">
      <c r="W18880" s="231" t="n"/>
      <c r="X18880" s="231" t="n"/>
    </row>
    <row r="18881" ht="14.25" customHeight="1" s="192">
      <c r="W18881" s="235" t="n"/>
      <c r="X18881" s="235" t="n"/>
    </row>
    <row r="18882" ht="14.25" customHeight="1" s="192">
      <c r="W18882" s="228" t="n"/>
      <c r="X18882" s="228" t="n"/>
    </row>
    <row r="18883" ht="14.25" customHeight="1" s="192">
      <c r="W18883" s="235" t="n"/>
      <c r="X18883" s="235" t="n"/>
    </row>
    <row r="18884" ht="14.25" customHeight="1" s="192">
      <c r="W18884" s="235" t="n"/>
      <c r="X18884" s="235" t="n"/>
    </row>
    <row r="18885" ht="14.25" customHeight="1" s="192">
      <c r="W18885" s="235" t="n"/>
      <c r="X18885" s="235" t="n"/>
    </row>
    <row r="18886" ht="14.25" customHeight="1" s="192">
      <c r="W18886" s="239" t="n"/>
      <c r="X18886" s="239" t="n"/>
    </row>
    <row r="18887" ht="14.25" customHeight="1" s="192">
      <c r="W18887" s="239" t="n"/>
      <c r="X18887" s="239" t="n"/>
    </row>
    <row r="18888" ht="14.25" customHeight="1" s="192">
      <c r="W18888" s="239" t="n"/>
      <c r="X18888" s="239" t="n"/>
    </row>
    <row r="18889" ht="14.25" customHeight="1" s="192">
      <c r="W18889" s="235" t="n"/>
      <c r="X18889" s="235" t="n"/>
    </row>
    <row r="18890" ht="14.25" customHeight="1" s="192">
      <c r="W18890" s="235" t="n"/>
      <c r="X18890" s="235" t="n"/>
    </row>
    <row r="18891" ht="14.25" customHeight="1" s="192">
      <c r="W18891" s="235" t="n"/>
      <c r="X18891" s="235" t="n"/>
    </row>
    <row r="18892" ht="14.25" customHeight="1" s="192">
      <c r="W18892" s="239" t="n"/>
      <c r="X18892" s="239" t="n"/>
    </row>
    <row r="18893" ht="14.25" customHeight="1" s="192">
      <c r="W18893" s="239" t="n"/>
      <c r="X18893" s="239" t="n"/>
    </row>
    <row r="18894" ht="14.25" customHeight="1" s="192">
      <c r="W18894" s="235" t="n"/>
      <c r="X18894" s="235" t="n"/>
    </row>
    <row r="18895" ht="14.25" customHeight="1" s="192">
      <c r="W18895" s="235" t="n"/>
      <c r="X18895" s="235" t="n"/>
    </row>
    <row r="18896" ht="14.25" customHeight="1" s="192">
      <c r="W18896" s="239" t="n"/>
      <c r="X18896" s="239" t="n"/>
    </row>
    <row r="18897" ht="14.25" customHeight="1" s="192">
      <c r="W18897" s="235" t="n"/>
      <c r="X18897" s="235" t="n"/>
    </row>
    <row r="18898" ht="14.25" customHeight="1" s="192">
      <c r="W18898" s="239" t="n"/>
      <c r="X18898" s="239" t="n"/>
    </row>
    <row r="18900" ht="14.25" customHeight="1" s="192">
      <c r="W18900" s="235" t="n"/>
      <c r="X18900" s="235" t="n"/>
    </row>
    <row r="18901" ht="15" customHeight="1" s="192" thickBot="1">
      <c r="W18901" s="239" t="n"/>
      <c r="X18901" s="239" t="n"/>
    </row>
    <row r="18902" ht="15" customHeight="1" s="192" thickBot="1">
      <c r="W18902" s="45" t="n"/>
      <c r="X18902" s="45" t="n"/>
    </row>
    <row r="18903" ht="14.25" customHeight="1" s="192">
      <c r="W18903" s="228" t="n"/>
      <c r="X18903" s="228" t="n"/>
    </row>
    <row r="18904" ht="14.25" customHeight="1" s="192">
      <c r="W18904" s="228" t="n"/>
      <c r="X18904" s="228" t="n"/>
    </row>
    <row r="18905" ht="14.25" customHeight="1" s="192">
      <c r="W18905" s="231" t="n"/>
      <c r="X18905" s="231" t="n"/>
    </row>
    <row r="18906" ht="14.25" customHeight="1" s="192">
      <c r="W18906" s="33" t="n"/>
      <c r="X18906" s="33" t="n"/>
    </row>
    <row r="18907" ht="14.25" customHeight="1" s="192">
      <c r="W18907" s="231" t="n"/>
      <c r="X18907" s="231" t="n"/>
    </row>
    <row r="18908" ht="14.25" customHeight="1" s="192">
      <c r="W18908" s="33" t="n"/>
      <c r="X18908" s="33" t="n"/>
    </row>
    <row r="18910" ht="14.25" customHeight="1" s="192">
      <c r="W18910" s="231" t="n"/>
      <c r="X18910" s="231" t="n"/>
    </row>
    <row r="18911" ht="14.25" customHeight="1" s="192">
      <c r="W18911" s="235" t="n"/>
      <c r="X18911" s="235" t="n"/>
    </row>
    <row r="18912" ht="14.25" customHeight="1" s="192">
      <c r="W18912" s="228" t="n"/>
      <c r="X18912" s="228" t="n"/>
    </row>
    <row r="18913" ht="14.25" customHeight="1" s="192">
      <c r="W18913" s="235" t="n"/>
      <c r="X18913" s="235" t="n"/>
    </row>
    <row r="18914" ht="14.25" customHeight="1" s="192">
      <c r="W18914" s="235" t="n"/>
      <c r="X18914" s="235" t="n"/>
    </row>
    <row r="18915" ht="14.25" customHeight="1" s="192">
      <c r="W18915" s="235" t="n"/>
      <c r="X18915" s="235" t="n"/>
    </row>
    <row r="18916" ht="14.25" customHeight="1" s="192">
      <c r="W18916" s="239" t="n"/>
      <c r="X18916" s="239" t="n"/>
    </row>
    <row r="18917" ht="14.25" customHeight="1" s="192">
      <c r="W18917" s="239" t="n"/>
      <c r="X18917" s="239" t="n"/>
    </row>
    <row r="18918" ht="14.25" customHeight="1" s="192">
      <c r="W18918" s="239" t="n"/>
      <c r="X18918" s="239" t="n"/>
    </row>
    <row r="18919" ht="14.25" customHeight="1" s="192">
      <c r="W18919" s="235" t="n"/>
      <c r="X18919" s="235" t="n"/>
    </row>
    <row r="18920" ht="14.25" customHeight="1" s="192">
      <c r="W18920" s="235" t="n"/>
      <c r="X18920" s="235" t="n"/>
    </row>
    <row r="18921" ht="14.25" customHeight="1" s="192">
      <c r="W18921" s="235" t="n"/>
      <c r="X18921" s="235" t="n"/>
    </row>
    <row r="18922" ht="14.25" customHeight="1" s="192">
      <c r="W18922" s="239" t="n"/>
      <c r="X18922" s="239" t="n"/>
    </row>
    <row r="18923" ht="14.25" customHeight="1" s="192">
      <c r="W18923" s="239" t="n"/>
      <c r="X18923" s="239" t="n"/>
    </row>
    <row r="18924" ht="14.25" customHeight="1" s="192">
      <c r="W18924" s="235" t="n"/>
      <c r="X18924" s="235" t="n"/>
    </row>
    <row r="18925" ht="14.25" customHeight="1" s="192">
      <c r="W18925" s="235" t="n"/>
      <c r="X18925" s="235" t="n"/>
    </row>
    <row r="18926" ht="14.25" customHeight="1" s="192">
      <c r="W18926" s="239" t="n"/>
      <c r="X18926" s="239" t="n"/>
    </row>
    <row r="18927" ht="14.25" customHeight="1" s="192">
      <c r="W18927" s="235" t="n"/>
      <c r="X18927" s="235" t="n"/>
    </row>
    <row r="18928" ht="14.25" customHeight="1" s="192">
      <c r="W18928" s="239" t="n"/>
      <c r="X18928" s="239" t="n"/>
    </row>
    <row r="18930" ht="14.25" customHeight="1" s="192">
      <c r="W18930" s="235" t="n"/>
      <c r="X18930" s="235" t="n"/>
    </row>
    <row r="18931" ht="15" customHeight="1" s="192" thickBot="1">
      <c r="W18931" s="239" t="n"/>
      <c r="X18931" s="239" t="n"/>
    </row>
    <row r="18932" ht="15" customHeight="1" s="192" thickBot="1">
      <c r="W18932" s="45" t="n"/>
      <c r="X18932" s="45" t="n"/>
    </row>
    <row r="18933" ht="14.25" customHeight="1" s="192">
      <c r="W18933" s="228" t="n"/>
      <c r="X18933" s="228" t="n"/>
    </row>
    <row r="18934" ht="14.25" customHeight="1" s="192">
      <c r="W18934" s="228" t="n"/>
      <c r="X18934" s="228" t="n"/>
    </row>
    <row r="18935" ht="14.25" customHeight="1" s="192">
      <c r="W18935" s="231" t="n"/>
      <c r="X18935" s="231" t="n"/>
    </row>
    <row r="18936" ht="14.25" customHeight="1" s="192">
      <c r="W18936" s="33" t="n"/>
      <c r="X18936" s="33" t="n"/>
    </row>
    <row r="18937" ht="14.25" customHeight="1" s="192">
      <c r="W18937" s="231" t="n"/>
      <c r="X18937" s="231" t="n"/>
    </row>
    <row r="18938" ht="14.25" customHeight="1" s="192">
      <c r="W18938" s="33" t="n"/>
      <c r="X18938" s="33" t="n"/>
    </row>
    <row r="18940" ht="14.25" customHeight="1" s="192">
      <c r="W18940" s="231" t="n"/>
      <c r="X18940" s="231" t="n"/>
    </row>
    <row r="18941" ht="14.25" customHeight="1" s="192">
      <c r="W18941" s="235" t="n"/>
      <c r="X18941" s="235" t="n"/>
    </row>
    <row r="18942" ht="14.25" customHeight="1" s="192">
      <c r="W18942" s="228" t="n"/>
      <c r="X18942" s="228" t="n"/>
    </row>
    <row r="18943" ht="14.25" customHeight="1" s="192">
      <c r="W18943" s="235" t="n"/>
      <c r="X18943" s="235" t="n"/>
    </row>
    <row r="18944" ht="14.25" customHeight="1" s="192">
      <c r="W18944" s="235" t="n"/>
      <c r="X18944" s="235" t="n"/>
    </row>
    <row r="18945" ht="14.25" customHeight="1" s="192">
      <c r="W18945" s="235" t="n"/>
      <c r="X18945" s="235" t="n"/>
    </row>
    <row r="18946" ht="14.25" customHeight="1" s="192">
      <c r="W18946" s="239" t="n"/>
      <c r="X18946" s="239" t="n"/>
    </row>
    <row r="18947" ht="14.25" customHeight="1" s="192">
      <c r="W18947" s="239" t="n"/>
      <c r="X18947" s="239" t="n"/>
    </row>
    <row r="18948" ht="14.25" customHeight="1" s="192">
      <c r="W18948" s="239" t="n"/>
      <c r="X18948" s="239" t="n"/>
    </row>
    <row r="18949" ht="14.25" customHeight="1" s="192">
      <c r="W18949" s="235" t="n"/>
      <c r="X18949" s="235" t="n"/>
    </row>
    <row r="18950" ht="14.25" customHeight="1" s="192">
      <c r="W18950" s="235" t="n"/>
      <c r="X18950" s="235" t="n"/>
    </row>
    <row r="18951" ht="14.25" customHeight="1" s="192">
      <c r="W18951" s="235" t="n"/>
      <c r="X18951" s="235" t="n"/>
    </row>
    <row r="18952" ht="14.25" customHeight="1" s="192">
      <c r="W18952" s="239" t="n"/>
      <c r="X18952" s="239" t="n"/>
    </row>
    <row r="18953" ht="14.25" customHeight="1" s="192">
      <c r="W18953" s="239" t="n"/>
      <c r="X18953" s="239" t="n"/>
    </row>
    <row r="18954" ht="14.25" customHeight="1" s="192">
      <c r="W18954" s="235" t="n"/>
      <c r="X18954" s="235" t="n"/>
    </row>
    <row r="18955" ht="14.25" customHeight="1" s="192">
      <c r="W18955" s="235" t="n"/>
      <c r="X18955" s="235" t="n"/>
    </row>
    <row r="18956" ht="14.25" customHeight="1" s="192">
      <c r="W18956" s="239" t="n"/>
      <c r="X18956" s="239" t="n"/>
    </row>
    <row r="18957" ht="14.25" customHeight="1" s="192">
      <c r="W18957" s="235" t="n"/>
      <c r="X18957" s="235" t="n"/>
    </row>
    <row r="18958" ht="14.25" customHeight="1" s="192">
      <c r="W18958" s="239" t="n"/>
      <c r="X18958" s="239" t="n"/>
    </row>
    <row r="18960" ht="14.25" customHeight="1" s="192">
      <c r="W18960" s="235" t="n"/>
      <c r="X18960" s="235" t="n"/>
    </row>
    <row r="18961" ht="15" customHeight="1" s="192" thickBot="1">
      <c r="W18961" s="239" t="n"/>
      <c r="X18961" s="239" t="n"/>
    </row>
    <row r="18962" ht="15" customHeight="1" s="192" thickBot="1">
      <c r="W18962" s="45" t="n"/>
      <c r="X18962" s="45" t="n"/>
    </row>
    <row r="18963" ht="14.25" customHeight="1" s="192">
      <c r="W18963" s="228" t="n"/>
      <c r="X18963" s="228" t="n"/>
    </row>
    <row r="18964" ht="14.25" customHeight="1" s="192">
      <c r="W18964" s="228" t="n"/>
      <c r="X18964" s="228" t="n"/>
    </row>
    <row r="18965" ht="14.25" customHeight="1" s="192">
      <c r="W18965" s="231" t="n"/>
      <c r="X18965" s="231" t="n"/>
    </row>
    <row r="18966" ht="14.25" customHeight="1" s="192">
      <c r="W18966" s="33" t="n"/>
      <c r="X18966" s="33" t="n"/>
    </row>
    <row r="18967" ht="14.25" customHeight="1" s="192">
      <c r="W18967" s="231" t="n"/>
      <c r="X18967" s="231" t="n"/>
    </row>
    <row r="18968" ht="14.25" customHeight="1" s="192">
      <c r="W18968" s="33" t="n"/>
      <c r="X18968" s="33" t="n"/>
    </row>
    <row r="18970" ht="14.25" customHeight="1" s="192">
      <c r="W18970" s="231" t="n"/>
      <c r="X18970" s="231" t="n"/>
    </row>
    <row r="18971" ht="14.25" customHeight="1" s="192">
      <c r="W18971" s="235" t="n"/>
      <c r="X18971" s="235" t="n"/>
    </row>
    <row r="18972" ht="14.25" customHeight="1" s="192">
      <c r="W18972" s="228" t="n"/>
      <c r="X18972" s="228" t="n"/>
    </row>
    <row r="18973" ht="14.25" customHeight="1" s="192">
      <c r="W18973" s="235" t="n"/>
      <c r="X18973" s="235" t="n"/>
    </row>
    <row r="18974" ht="14.25" customHeight="1" s="192">
      <c r="W18974" s="235" t="n"/>
      <c r="X18974" s="235" t="n"/>
    </row>
    <row r="18975" ht="14.25" customHeight="1" s="192">
      <c r="W18975" s="235" t="n"/>
      <c r="X18975" s="235" t="n"/>
    </row>
    <row r="18976" ht="14.25" customHeight="1" s="192">
      <c r="W18976" s="239" t="n"/>
      <c r="X18976" s="239" t="n"/>
    </row>
    <row r="18977" ht="14.25" customHeight="1" s="192">
      <c r="W18977" s="239" t="n"/>
      <c r="X18977" s="239" t="n"/>
    </row>
    <row r="18978" ht="14.25" customHeight="1" s="192">
      <c r="W18978" s="239" t="n"/>
      <c r="X18978" s="239" t="n"/>
    </row>
    <row r="18979" ht="14.25" customHeight="1" s="192">
      <c r="W18979" s="235" t="n"/>
      <c r="X18979" s="235" t="n"/>
    </row>
    <row r="18980" ht="14.25" customHeight="1" s="192">
      <c r="W18980" s="235" t="n"/>
      <c r="X18980" s="235" t="n"/>
    </row>
    <row r="18981" ht="14.25" customHeight="1" s="192">
      <c r="W18981" s="235" t="n"/>
      <c r="X18981" s="235" t="n"/>
    </row>
    <row r="18982" ht="14.25" customHeight="1" s="192">
      <c r="W18982" s="239" t="n"/>
      <c r="X18982" s="239" t="n"/>
    </row>
    <row r="18983" ht="14.25" customHeight="1" s="192">
      <c r="W18983" s="239" t="n"/>
      <c r="X18983" s="239" t="n"/>
    </row>
    <row r="18984" ht="14.25" customHeight="1" s="192">
      <c r="W18984" s="235" t="n"/>
      <c r="X18984" s="235" t="n"/>
    </row>
    <row r="18985" ht="14.25" customHeight="1" s="192">
      <c r="W18985" s="235" t="n"/>
      <c r="X18985" s="235" t="n"/>
    </row>
    <row r="18986" ht="14.25" customHeight="1" s="192">
      <c r="W18986" s="239" t="n"/>
      <c r="X18986" s="239" t="n"/>
    </row>
    <row r="18987" ht="14.25" customHeight="1" s="192">
      <c r="W18987" s="235" t="n"/>
      <c r="X18987" s="235" t="n"/>
    </row>
    <row r="18988" ht="14.25" customHeight="1" s="192">
      <c r="W18988" s="239" t="n"/>
      <c r="X18988" s="239" t="n"/>
    </row>
    <row r="18990" ht="14.25" customHeight="1" s="192">
      <c r="W18990" s="235" t="n"/>
      <c r="X18990" s="235" t="n"/>
    </row>
    <row r="18991" ht="15" customHeight="1" s="192" thickBot="1">
      <c r="W18991" s="239" t="n"/>
      <c r="X18991" s="239" t="n"/>
    </row>
    <row r="18992" ht="15" customHeight="1" s="192" thickBot="1">
      <c r="W18992" s="45" t="n"/>
      <c r="X18992" s="45" t="n"/>
    </row>
    <row r="18993" ht="14.25" customHeight="1" s="192">
      <c r="W18993" s="228" t="n"/>
      <c r="X18993" s="228" t="n"/>
    </row>
    <row r="18994" ht="14.25" customHeight="1" s="192">
      <c r="W18994" s="228" t="n"/>
      <c r="X18994" s="228" t="n"/>
    </row>
    <row r="18995" ht="14.25" customHeight="1" s="192">
      <c r="W18995" s="231" t="n"/>
      <c r="X18995" s="231" t="n"/>
    </row>
    <row r="18996" ht="14.25" customHeight="1" s="192">
      <c r="W18996" s="33" t="n"/>
      <c r="X18996" s="33" t="n"/>
    </row>
    <row r="18997" ht="14.25" customHeight="1" s="192">
      <c r="W18997" s="231" t="n"/>
      <c r="X18997" s="231" t="n"/>
    </row>
    <row r="18998" ht="14.25" customHeight="1" s="192">
      <c r="W18998" s="33" t="n"/>
      <c r="X18998" s="33" t="n"/>
    </row>
    <row r="19000" ht="14.25" customHeight="1" s="192">
      <c r="W19000" s="231" t="n"/>
      <c r="X19000" s="231" t="n"/>
    </row>
    <row r="19001" ht="14.25" customHeight="1" s="192">
      <c r="W19001" s="235" t="n"/>
      <c r="X19001" s="235" t="n"/>
    </row>
    <row r="19002" ht="14.25" customHeight="1" s="192">
      <c r="W19002" s="228" t="n"/>
      <c r="X19002" s="228" t="n"/>
    </row>
    <row r="19003" ht="14.25" customHeight="1" s="192">
      <c r="W19003" s="235" t="n"/>
      <c r="X19003" s="235" t="n"/>
    </row>
    <row r="19004" ht="14.25" customHeight="1" s="192">
      <c r="W19004" s="235" t="n"/>
      <c r="X19004" s="235" t="n"/>
    </row>
    <row r="19005" ht="14.25" customHeight="1" s="192">
      <c r="W19005" s="235" t="n"/>
      <c r="X19005" s="235" t="n"/>
    </row>
    <row r="19006" ht="14.25" customHeight="1" s="192">
      <c r="W19006" s="239" t="n"/>
      <c r="X19006" s="239" t="n"/>
    </row>
    <row r="19007" ht="14.25" customHeight="1" s="192">
      <c r="W19007" s="239" t="n"/>
      <c r="X19007" s="239" t="n"/>
    </row>
    <row r="19008" ht="14.25" customHeight="1" s="192">
      <c r="W19008" s="239" t="n"/>
      <c r="X19008" s="239" t="n"/>
    </row>
    <row r="19009" ht="14.25" customHeight="1" s="192">
      <c r="W19009" s="235" t="n"/>
      <c r="X19009" s="235" t="n"/>
    </row>
    <row r="19010" ht="14.25" customHeight="1" s="192">
      <c r="W19010" s="235" t="n"/>
      <c r="X19010" s="235" t="n"/>
    </row>
    <row r="19011" ht="14.25" customHeight="1" s="192">
      <c r="W19011" s="235" t="n"/>
      <c r="X19011" s="235" t="n"/>
    </row>
    <row r="19012" ht="14.25" customHeight="1" s="192">
      <c r="W19012" s="239" t="n"/>
      <c r="X19012" s="239" t="n"/>
    </row>
    <row r="19013" ht="14.25" customHeight="1" s="192">
      <c r="W19013" s="239" t="n"/>
      <c r="X19013" s="239" t="n"/>
    </row>
    <row r="19014" ht="14.25" customHeight="1" s="192">
      <c r="W19014" s="235" t="n"/>
      <c r="X19014" s="235" t="n"/>
    </row>
    <row r="19015" ht="14.25" customHeight="1" s="192">
      <c r="W19015" s="235" t="n"/>
      <c r="X19015" s="235" t="n"/>
    </row>
    <row r="19016" ht="14.25" customHeight="1" s="192">
      <c r="W19016" s="239" t="n"/>
      <c r="X19016" s="239" t="n"/>
    </row>
    <row r="19017" ht="14.25" customHeight="1" s="192">
      <c r="W19017" s="235" t="n"/>
      <c r="X19017" s="235" t="n"/>
    </row>
    <row r="19018" ht="14.25" customHeight="1" s="192">
      <c r="W19018" s="239" t="n"/>
      <c r="X19018" s="239" t="n"/>
    </row>
    <row r="19020" ht="14.25" customHeight="1" s="192">
      <c r="W19020" s="235" t="n"/>
      <c r="X19020" s="235" t="n"/>
    </row>
    <row r="19021" ht="15" customHeight="1" s="192" thickBot="1">
      <c r="W19021" s="239" t="n"/>
      <c r="X19021" s="239" t="n"/>
    </row>
    <row r="19022" ht="15" customHeight="1" s="192" thickBot="1">
      <c r="W19022" s="45" t="n"/>
      <c r="X19022" s="45" t="n"/>
    </row>
    <row r="19023" ht="14.25" customHeight="1" s="192">
      <c r="W19023" s="228" t="n"/>
      <c r="X19023" s="228" t="n"/>
    </row>
    <row r="19024" ht="14.25" customHeight="1" s="192">
      <c r="W19024" s="228" t="n"/>
      <c r="X19024" s="228" t="n"/>
    </row>
    <row r="19025" ht="14.25" customHeight="1" s="192">
      <c r="W19025" s="231" t="n"/>
      <c r="X19025" s="231" t="n"/>
    </row>
    <row r="19026" ht="14.25" customHeight="1" s="192">
      <c r="W19026" s="33" t="n"/>
      <c r="X19026" s="33" t="n"/>
    </row>
    <row r="19027" ht="14.25" customHeight="1" s="192">
      <c r="W19027" s="231" t="n"/>
      <c r="X19027" s="231" t="n"/>
    </row>
    <row r="19028" ht="14.25" customHeight="1" s="192">
      <c r="W19028" s="33" t="n"/>
      <c r="X19028" s="33" t="n"/>
    </row>
    <row r="19030" ht="14.25" customHeight="1" s="192">
      <c r="W19030" s="231" t="n"/>
      <c r="X19030" s="231" t="n"/>
    </row>
    <row r="19031" ht="14.25" customHeight="1" s="192">
      <c r="W19031" s="235" t="n"/>
      <c r="X19031" s="235" t="n"/>
    </row>
    <row r="19032" ht="14.25" customHeight="1" s="192">
      <c r="W19032" s="228" t="n"/>
      <c r="X19032" s="228" t="n"/>
    </row>
    <row r="19033" ht="14.25" customHeight="1" s="192">
      <c r="W19033" s="235" t="n"/>
      <c r="X19033" s="235" t="n"/>
    </row>
    <row r="19034" ht="14.25" customHeight="1" s="192">
      <c r="W19034" s="235" t="n"/>
      <c r="X19034" s="235" t="n"/>
    </row>
    <row r="19035" ht="14.25" customHeight="1" s="192">
      <c r="W19035" s="235" t="n"/>
      <c r="X19035" s="235" t="n"/>
    </row>
    <row r="19036" ht="14.25" customHeight="1" s="192">
      <c r="W19036" s="239" t="n"/>
      <c r="X19036" s="239" t="n"/>
    </row>
    <row r="19037" ht="14.25" customHeight="1" s="192">
      <c r="W19037" s="239" t="n"/>
      <c r="X19037" s="239" t="n"/>
    </row>
    <row r="19038" ht="14.25" customHeight="1" s="192">
      <c r="W19038" s="239" t="n"/>
      <c r="X19038" s="239" t="n"/>
    </row>
    <row r="19039" ht="14.25" customHeight="1" s="192">
      <c r="W19039" s="235" t="n"/>
      <c r="X19039" s="235" t="n"/>
    </row>
    <row r="19040" ht="14.25" customHeight="1" s="192">
      <c r="W19040" s="235" t="n"/>
      <c r="X19040" s="235" t="n"/>
    </row>
    <row r="19041" ht="14.25" customHeight="1" s="192">
      <c r="W19041" s="235" t="n"/>
      <c r="X19041" s="235" t="n"/>
    </row>
    <row r="19042" ht="14.25" customHeight="1" s="192">
      <c r="W19042" s="239" t="n"/>
      <c r="X19042" s="239" t="n"/>
    </row>
    <row r="19043" ht="14.25" customHeight="1" s="192">
      <c r="W19043" s="239" t="n"/>
      <c r="X19043" s="239" t="n"/>
    </row>
    <row r="19044" ht="14.25" customHeight="1" s="192">
      <c r="W19044" s="235" t="n"/>
      <c r="X19044" s="235" t="n"/>
    </row>
    <row r="19045" ht="14.25" customHeight="1" s="192">
      <c r="W19045" s="235" t="n"/>
      <c r="X19045" s="235" t="n"/>
    </row>
    <row r="19046" ht="14.25" customHeight="1" s="192">
      <c r="W19046" s="239" t="n"/>
      <c r="X19046" s="239" t="n"/>
    </row>
    <row r="19047" ht="14.25" customHeight="1" s="192">
      <c r="W19047" s="235" t="n"/>
      <c r="X19047" s="235" t="n"/>
    </row>
    <row r="19048" ht="14.25" customHeight="1" s="192">
      <c r="W19048" s="239" t="n"/>
      <c r="X19048" s="239" t="n"/>
    </row>
    <row r="19050" ht="14.25" customHeight="1" s="192">
      <c r="W19050" s="235" t="n"/>
      <c r="X19050" s="235" t="n"/>
    </row>
    <row r="19051" ht="15" customHeight="1" s="192" thickBot="1">
      <c r="W19051" s="239" t="n"/>
      <c r="X19051" s="239" t="n"/>
    </row>
    <row r="19052" ht="15" customHeight="1" s="192" thickBot="1">
      <c r="W19052" s="45" t="n"/>
      <c r="X19052" s="45" t="n"/>
    </row>
    <row r="19053" ht="14.25" customHeight="1" s="192">
      <c r="W19053" s="228" t="n"/>
      <c r="X19053" s="228" t="n"/>
    </row>
    <row r="19054" ht="14.25" customHeight="1" s="192">
      <c r="W19054" s="228" t="n"/>
      <c r="X19054" s="228" t="n"/>
    </row>
    <row r="19055" ht="14.25" customHeight="1" s="192">
      <c r="W19055" s="231" t="n"/>
      <c r="X19055" s="231" t="n"/>
    </row>
    <row r="19056" ht="14.25" customHeight="1" s="192">
      <c r="W19056" s="33" t="n"/>
      <c r="X19056" s="33" t="n"/>
    </row>
    <row r="19057" ht="14.25" customHeight="1" s="192">
      <c r="W19057" s="231" t="n"/>
      <c r="X19057" s="231" t="n"/>
    </row>
    <row r="19058" ht="14.25" customHeight="1" s="192">
      <c r="W19058" s="33" t="n"/>
      <c r="X19058" s="33" t="n"/>
    </row>
    <row r="19060" ht="14.25" customHeight="1" s="192">
      <c r="W19060" s="231" t="n"/>
      <c r="X19060" s="231" t="n"/>
    </row>
    <row r="19061" ht="14.25" customHeight="1" s="192">
      <c r="W19061" s="235" t="n"/>
      <c r="X19061" s="235" t="n"/>
    </row>
    <row r="19062" ht="14.25" customHeight="1" s="192">
      <c r="W19062" s="228" t="n"/>
      <c r="X19062" s="228" t="n"/>
    </row>
    <row r="19063" ht="14.25" customHeight="1" s="192">
      <c r="W19063" s="235" t="n"/>
      <c r="X19063" s="235" t="n"/>
    </row>
    <row r="19064" ht="14.25" customHeight="1" s="192">
      <c r="W19064" s="235" t="n"/>
      <c r="X19064" s="235" t="n"/>
    </row>
    <row r="19065" ht="14.25" customHeight="1" s="192">
      <c r="W19065" s="235" t="n"/>
      <c r="X19065" s="235" t="n"/>
    </row>
    <row r="19066" ht="14.25" customHeight="1" s="192">
      <c r="W19066" s="239" t="n"/>
      <c r="X19066" s="239" t="n"/>
    </row>
    <row r="19067" ht="14.25" customHeight="1" s="192">
      <c r="W19067" s="239" t="n"/>
      <c r="X19067" s="239" t="n"/>
    </row>
    <row r="19068" ht="14.25" customHeight="1" s="192">
      <c r="W19068" s="239" t="n"/>
      <c r="X19068" s="239" t="n"/>
    </row>
    <row r="19069" ht="14.25" customHeight="1" s="192">
      <c r="W19069" s="235" t="n"/>
      <c r="X19069" s="235" t="n"/>
    </row>
    <row r="19070" ht="14.25" customHeight="1" s="192">
      <c r="W19070" s="235" t="n"/>
      <c r="X19070" s="235" t="n"/>
    </row>
    <row r="19071" ht="14.25" customHeight="1" s="192">
      <c r="W19071" s="235" t="n"/>
      <c r="X19071" s="235" t="n"/>
    </row>
    <row r="19072" ht="14.25" customHeight="1" s="192">
      <c r="W19072" s="239" t="n"/>
      <c r="X19072" s="239" t="n"/>
    </row>
    <row r="19073" ht="14.25" customHeight="1" s="192">
      <c r="W19073" s="239" t="n"/>
      <c r="X19073" s="239" t="n"/>
    </row>
    <row r="19074" ht="14.25" customHeight="1" s="192">
      <c r="W19074" s="235" t="n"/>
      <c r="X19074" s="235" t="n"/>
    </row>
    <row r="19075" ht="14.25" customHeight="1" s="192">
      <c r="W19075" s="235" t="n"/>
      <c r="X19075" s="235" t="n"/>
    </row>
    <row r="19076" ht="14.25" customHeight="1" s="192">
      <c r="W19076" s="239" t="n"/>
      <c r="X19076" s="239" t="n"/>
    </row>
    <row r="19077" ht="14.25" customHeight="1" s="192">
      <c r="W19077" s="235" t="n"/>
      <c r="X19077" s="235" t="n"/>
    </row>
    <row r="19078" ht="14.25" customHeight="1" s="192">
      <c r="W19078" s="239" t="n"/>
      <c r="X19078" s="239" t="n"/>
    </row>
    <row r="19080" ht="14.25" customHeight="1" s="192">
      <c r="W19080" s="235" t="n"/>
      <c r="X19080" s="235" t="n"/>
    </row>
    <row r="19081" ht="15" customHeight="1" s="192" thickBot="1">
      <c r="W19081" s="239" t="n"/>
      <c r="X19081" s="239" t="n"/>
    </row>
    <row r="19082" ht="15" customHeight="1" s="192" thickBot="1">
      <c r="W19082" s="45" t="n"/>
      <c r="X19082" s="45" t="n"/>
    </row>
    <row r="19083" ht="14.25" customHeight="1" s="192">
      <c r="W19083" s="228" t="n"/>
      <c r="X19083" s="228" t="n"/>
    </row>
    <row r="19084" ht="14.25" customHeight="1" s="192">
      <c r="W19084" s="228" t="n"/>
      <c r="X19084" s="228" t="n"/>
    </row>
    <row r="19085" ht="14.25" customHeight="1" s="192">
      <c r="W19085" s="231" t="n"/>
      <c r="X19085" s="231" t="n"/>
    </row>
    <row r="19086" ht="14.25" customHeight="1" s="192">
      <c r="W19086" s="33" t="n"/>
      <c r="X19086" s="33" t="n"/>
    </row>
    <row r="19087" ht="14.25" customHeight="1" s="192">
      <c r="W19087" s="231" t="n"/>
      <c r="X19087" s="231" t="n"/>
    </row>
    <row r="19088" ht="14.25" customHeight="1" s="192">
      <c r="W19088" s="33" t="n"/>
      <c r="X19088" s="33" t="n"/>
    </row>
    <row r="19090" ht="14.25" customHeight="1" s="192">
      <c r="W19090" s="231" t="n"/>
      <c r="X19090" s="231" t="n"/>
    </row>
    <row r="19091" ht="14.25" customHeight="1" s="192">
      <c r="W19091" s="235" t="n"/>
      <c r="X19091" s="235" t="n"/>
    </row>
    <row r="19092" ht="14.25" customHeight="1" s="192">
      <c r="W19092" s="228" t="n"/>
      <c r="X19092" s="228" t="n"/>
    </row>
    <row r="19093" ht="14.25" customHeight="1" s="192">
      <c r="W19093" s="235" t="n"/>
      <c r="X19093" s="235" t="n"/>
    </row>
    <row r="19094" ht="14.25" customHeight="1" s="192">
      <c r="W19094" s="235" t="n"/>
      <c r="X19094" s="235" t="n"/>
    </row>
    <row r="19095" ht="14.25" customHeight="1" s="192">
      <c r="W19095" s="235" t="n"/>
      <c r="X19095" s="235" t="n"/>
    </row>
    <row r="19096" ht="14.25" customHeight="1" s="192">
      <c r="W19096" s="239" t="n"/>
      <c r="X19096" s="239" t="n"/>
    </row>
    <row r="19097" ht="14.25" customHeight="1" s="192">
      <c r="W19097" s="239" t="n"/>
      <c r="X19097" s="239" t="n"/>
    </row>
    <row r="19098" ht="14.25" customHeight="1" s="192">
      <c r="W19098" s="239" t="n"/>
      <c r="X19098" s="239" t="n"/>
    </row>
    <row r="19099" ht="14.25" customHeight="1" s="192">
      <c r="W19099" s="235" t="n"/>
      <c r="X19099" s="235" t="n"/>
    </row>
    <row r="19100" ht="14.25" customHeight="1" s="192">
      <c r="W19100" s="235" t="n"/>
      <c r="X19100" s="235" t="n"/>
    </row>
    <row r="19101" ht="14.25" customHeight="1" s="192">
      <c r="W19101" s="235" t="n"/>
      <c r="X19101" s="235" t="n"/>
    </row>
    <row r="19102" ht="14.25" customHeight="1" s="192">
      <c r="W19102" s="239" t="n"/>
      <c r="X19102" s="239" t="n"/>
    </row>
    <row r="19103" ht="14.25" customHeight="1" s="192">
      <c r="W19103" s="239" t="n"/>
      <c r="X19103" s="239" t="n"/>
    </row>
    <row r="19104" ht="14.25" customHeight="1" s="192">
      <c r="W19104" s="235" t="n"/>
      <c r="X19104" s="235" t="n"/>
    </row>
    <row r="19105" ht="14.25" customHeight="1" s="192">
      <c r="W19105" s="235" t="n"/>
      <c r="X19105" s="235" t="n"/>
    </row>
    <row r="19106" ht="14.25" customHeight="1" s="192">
      <c r="W19106" s="239" t="n"/>
      <c r="X19106" s="239" t="n"/>
    </row>
    <row r="19107" ht="14.25" customHeight="1" s="192">
      <c r="W19107" s="235" t="n"/>
      <c r="X19107" s="235" t="n"/>
    </row>
    <row r="19108" ht="14.25" customHeight="1" s="192">
      <c r="W19108" s="239" t="n"/>
      <c r="X19108" s="239" t="n"/>
    </row>
    <row r="19110" ht="14.25" customHeight="1" s="192">
      <c r="W19110" s="235" t="n"/>
      <c r="X19110" s="235" t="n"/>
    </row>
    <row r="19111" ht="15" customHeight="1" s="192" thickBot="1">
      <c r="W19111" s="239" t="n"/>
      <c r="X19111" s="239" t="n"/>
    </row>
    <row r="19112" ht="15" customHeight="1" s="192" thickBot="1">
      <c r="W19112" s="45" t="n"/>
      <c r="X19112" s="45" t="n"/>
    </row>
    <row r="19113" ht="14.25" customHeight="1" s="192">
      <c r="W19113" s="228" t="n"/>
      <c r="X19113" s="228" t="n"/>
    </row>
    <row r="19114" ht="14.25" customHeight="1" s="192">
      <c r="W19114" s="228" t="n"/>
      <c r="X19114" s="228" t="n"/>
    </row>
    <row r="19115" ht="14.25" customHeight="1" s="192">
      <c r="W19115" s="231" t="n"/>
      <c r="X19115" s="231" t="n"/>
    </row>
    <row r="19116" ht="14.25" customHeight="1" s="192">
      <c r="W19116" s="33" t="n"/>
      <c r="X19116" s="33" t="n"/>
    </row>
    <row r="19117" ht="14.25" customHeight="1" s="192">
      <c r="W19117" s="231" t="n"/>
      <c r="X19117" s="231" t="n"/>
    </row>
    <row r="19118" ht="14.25" customHeight="1" s="192">
      <c r="W19118" s="33" t="n"/>
      <c r="X19118" s="33" t="n"/>
    </row>
    <row r="19120" ht="14.25" customHeight="1" s="192">
      <c r="W19120" s="231" t="n"/>
      <c r="X19120" s="231" t="n"/>
    </row>
    <row r="19121" ht="14.25" customHeight="1" s="192">
      <c r="W19121" s="235" t="n"/>
      <c r="X19121" s="235" t="n"/>
    </row>
    <row r="19122" ht="14.25" customHeight="1" s="192">
      <c r="W19122" s="228" t="n"/>
      <c r="X19122" s="228" t="n"/>
    </row>
    <row r="19123" ht="14.25" customHeight="1" s="192">
      <c r="W19123" s="235" t="n"/>
      <c r="X19123" s="235" t="n"/>
    </row>
    <row r="19124" ht="14.25" customHeight="1" s="192">
      <c r="W19124" s="235" t="n"/>
      <c r="X19124" s="235" t="n"/>
    </row>
    <row r="19125" ht="14.25" customHeight="1" s="192">
      <c r="W19125" s="235" t="n"/>
      <c r="X19125" s="235" t="n"/>
    </row>
    <row r="19126" ht="14.25" customHeight="1" s="192">
      <c r="W19126" s="239" t="n"/>
      <c r="X19126" s="239" t="n"/>
    </row>
    <row r="19127" ht="14.25" customHeight="1" s="192">
      <c r="W19127" s="239" t="n"/>
      <c r="X19127" s="239" t="n"/>
    </row>
    <row r="19128" ht="14.25" customHeight="1" s="192">
      <c r="W19128" s="239" t="n"/>
      <c r="X19128" s="239" t="n"/>
    </row>
    <row r="19129" ht="14.25" customHeight="1" s="192">
      <c r="W19129" s="235" t="n"/>
      <c r="X19129" s="235" t="n"/>
    </row>
    <row r="19130" ht="14.25" customHeight="1" s="192">
      <c r="W19130" s="235" t="n"/>
      <c r="X19130" s="235" t="n"/>
    </row>
    <row r="19131" ht="14.25" customHeight="1" s="192">
      <c r="W19131" s="235" t="n"/>
      <c r="X19131" s="235" t="n"/>
    </row>
    <row r="19132" ht="14.25" customHeight="1" s="192">
      <c r="W19132" s="239" t="n"/>
      <c r="X19132" s="239" t="n"/>
    </row>
    <row r="19133" ht="14.25" customHeight="1" s="192">
      <c r="W19133" s="239" t="n"/>
      <c r="X19133" s="239" t="n"/>
    </row>
    <row r="19134" ht="14.25" customHeight="1" s="192">
      <c r="W19134" s="235" t="n"/>
      <c r="X19134" s="235" t="n"/>
    </row>
    <row r="19135" ht="14.25" customHeight="1" s="192">
      <c r="W19135" s="235" t="n"/>
      <c r="X19135" s="235" t="n"/>
    </row>
    <row r="19136" ht="14.25" customHeight="1" s="192">
      <c r="W19136" s="239" t="n"/>
      <c r="X19136" s="239" t="n"/>
    </row>
    <row r="19137" ht="14.25" customHeight="1" s="192">
      <c r="W19137" s="235" t="n"/>
      <c r="X19137" s="235" t="n"/>
    </row>
    <row r="19138" ht="14.25" customHeight="1" s="192">
      <c r="W19138" s="239" t="n"/>
      <c r="X19138" s="239" t="n"/>
    </row>
    <row r="19140" ht="14.25" customHeight="1" s="192">
      <c r="W19140" s="235" t="n"/>
      <c r="X19140" s="235" t="n"/>
    </row>
    <row r="19141" ht="15" customHeight="1" s="192" thickBot="1">
      <c r="W19141" s="239" t="n"/>
      <c r="X19141" s="239" t="n"/>
    </row>
    <row r="19142" ht="15" customHeight="1" s="192" thickBot="1">
      <c r="W19142" s="45" t="n"/>
      <c r="X19142" s="45" t="n"/>
    </row>
    <row r="19143" ht="14.25" customHeight="1" s="192">
      <c r="W19143" s="228" t="n"/>
      <c r="X19143" s="228" t="n"/>
    </row>
    <row r="19144" ht="14.25" customHeight="1" s="192">
      <c r="W19144" s="228" t="n"/>
      <c r="X19144" s="228" t="n"/>
    </row>
    <row r="19145" ht="14.25" customHeight="1" s="192">
      <c r="W19145" s="231" t="n"/>
      <c r="X19145" s="231" t="n"/>
    </row>
    <row r="19146" ht="14.25" customHeight="1" s="192">
      <c r="W19146" s="33" t="n"/>
      <c r="X19146" s="33" t="n"/>
    </row>
    <row r="19147" ht="14.25" customHeight="1" s="192">
      <c r="W19147" s="231" t="n"/>
      <c r="X19147" s="231" t="n"/>
    </row>
    <row r="19148" ht="14.25" customHeight="1" s="192">
      <c r="W19148" s="33" t="n"/>
      <c r="X19148" s="33" t="n"/>
    </row>
    <row r="19150" ht="14.25" customHeight="1" s="192">
      <c r="W19150" s="231" t="n"/>
      <c r="X19150" s="231" t="n"/>
    </row>
    <row r="19151" ht="14.25" customHeight="1" s="192">
      <c r="W19151" s="235" t="n"/>
      <c r="X19151" s="235" t="n"/>
    </row>
    <row r="19152" ht="14.25" customHeight="1" s="192">
      <c r="W19152" s="228" t="n"/>
      <c r="X19152" s="228" t="n"/>
    </row>
    <row r="19153" ht="14.25" customHeight="1" s="192">
      <c r="W19153" s="235" t="n"/>
      <c r="X19153" s="235" t="n"/>
    </row>
    <row r="19154" ht="14.25" customHeight="1" s="192">
      <c r="W19154" s="235" t="n"/>
      <c r="X19154" s="235" t="n"/>
    </row>
    <row r="19155" ht="14.25" customHeight="1" s="192">
      <c r="W19155" s="235" t="n"/>
      <c r="X19155" s="235" t="n"/>
    </row>
    <row r="19156" ht="14.25" customHeight="1" s="192">
      <c r="W19156" s="239" t="n"/>
      <c r="X19156" s="239" t="n"/>
    </row>
    <row r="19157" ht="14.25" customHeight="1" s="192">
      <c r="W19157" s="239" t="n"/>
      <c r="X19157" s="239" t="n"/>
    </row>
    <row r="19158" ht="14.25" customHeight="1" s="192">
      <c r="W19158" s="239" t="n"/>
      <c r="X19158" s="239" t="n"/>
    </row>
    <row r="19159" ht="14.25" customHeight="1" s="192">
      <c r="W19159" s="235" t="n"/>
      <c r="X19159" s="235" t="n"/>
    </row>
    <row r="19160" ht="14.25" customHeight="1" s="192">
      <c r="W19160" s="235" t="n"/>
      <c r="X19160" s="235" t="n"/>
    </row>
    <row r="19161" ht="14.25" customHeight="1" s="192">
      <c r="W19161" s="235" t="n"/>
      <c r="X19161" s="235" t="n"/>
    </row>
    <row r="19162" ht="14.25" customHeight="1" s="192">
      <c r="W19162" s="239" t="n"/>
      <c r="X19162" s="239" t="n"/>
    </row>
    <row r="19163" ht="14.25" customHeight="1" s="192">
      <c r="W19163" s="239" t="n"/>
      <c r="X19163" s="239" t="n"/>
    </row>
    <row r="19164" ht="14.25" customHeight="1" s="192">
      <c r="W19164" s="235" t="n"/>
      <c r="X19164" s="235" t="n"/>
    </row>
    <row r="19165" ht="14.25" customHeight="1" s="192">
      <c r="W19165" s="235" t="n"/>
      <c r="X19165" s="235" t="n"/>
    </row>
    <row r="19166" ht="14.25" customHeight="1" s="192">
      <c r="W19166" s="239" t="n"/>
      <c r="X19166" s="239" t="n"/>
    </row>
    <row r="19167" ht="14.25" customHeight="1" s="192">
      <c r="W19167" s="235" t="n"/>
      <c r="X19167" s="235" t="n"/>
    </row>
    <row r="19168" ht="14.25" customHeight="1" s="192">
      <c r="W19168" s="239" t="n"/>
      <c r="X19168" s="239" t="n"/>
    </row>
    <row r="19170" ht="14.25" customHeight="1" s="192">
      <c r="W19170" s="235" t="n"/>
      <c r="X19170" s="235" t="n"/>
    </row>
    <row r="19171" ht="15" customHeight="1" s="192" thickBot="1">
      <c r="W19171" s="239" t="n"/>
      <c r="X19171" s="239" t="n"/>
    </row>
    <row r="19172" ht="15" customHeight="1" s="192" thickBot="1">
      <c r="W19172" s="45" t="n"/>
      <c r="X19172" s="45" t="n"/>
    </row>
    <row r="19173" ht="14.25" customHeight="1" s="192">
      <c r="W19173" s="228" t="n"/>
      <c r="X19173" s="228" t="n"/>
    </row>
    <row r="19174" ht="14.25" customHeight="1" s="192">
      <c r="W19174" s="228" t="n"/>
      <c r="X19174" s="228" t="n"/>
    </row>
    <row r="19175" ht="14.25" customHeight="1" s="192">
      <c r="W19175" s="231" t="n"/>
      <c r="X19175" s="231" t="n"/>
    </row>
    <row r="19176" ht="14.25" customHeight="1" s="192">
      <c r="W19176" s="33" t="n"/>
      <c r="X19176" s="33" t="n"/>
    </row>
    <row r="19177" ht="14.25" customHeight="1" s="192">
      <c r="W19177" s="231" t="n"/>
      <c r="X19177" s="231" t="n"/>
    </row>
    <row r="19178" ht="14.25" customHeight="1" s="192">
      <c r="W19178" s="33" t="n"/>
      <c r="X19178" s="33" t="n"/>
    </row>
    <row r="19180" ht="14.25" customHeight="1" s="192">
      <c r="W19180" s="231" t="n"/>
      <c r="X19180" s="231" t="n"/>
    </row>
    <row r="19181" ht="14.25" customHeight="1" s="192">
      <c r="W19181" s="235" t="n"/>
      <c r="X19181" s="235" t="n"/>
    </row>
    <row r="19182" ht="14.25" customHeight="1" s="192">
      <c r="W19182" s="228" t="n"/>
      <c r="X19182" s="228" t="n"/>
    </row>
    <row r="19183" ht="14.25" customHeight="1" s="192">
      <c r="W19183" s="235" t="n"/>
      <c r="X19183" s="235" t="n"/>
    </row>
    <row r="19184" ht="14.25" customHeight="1" s="192">
      <c r="W19184" s="235" t="n"/>
      <c r="X19184" s="235" t="n"/>
    </row>
    <row r="19185" ht="14.25" customHeight="1" s="192">
      <c r="W19185" s="235" t="n"/>
      <c r="X19185" s="235" t="n"/>
    </row>
    <row r="19186" ht="14.25" customHeight="1" s="192">
      <c r="W19186" s="239" t="n"/>
      <c r="X19186" s="239" t="n"/>
    </row>
    <row r="19187" ht="14.25" customHeight="1" s="192">
      <c r="W19187" s="239" t="n"/>
      <c r="X19187" s="239" t="n"/>
    </row>
    <row r="19188" ht="14.25" customHeight="1" s="192">
      <c r="W19188" s="239" t="n"/>
      <c r="X19188" s="239" t="n"/>
    </row>
    <row r="19189" ht="14.25" customHeight="1" s="192">
      <c r="W19189" s="235" t="n"/>
      <c r="X19189" s="235" t="n"/>
    </row>
    <row r="19190" ht="14.25" customHeight="1" s="192">
      <c r="W19190" s="235" t="n"/>
      <c r="X19190" s="235" t="n"/>
    </row>
    <row r="19191" ht="14.25" customHeight="1" s="192">
      <c r="W19191" s="235" t="n"/>
      <c r="X19191" s="235" t="n"/>
    </row>
    <row r="19192" ht="14.25" customHeight="1" s="192">
      <c r="W19192" s="239" t="n"/>
      <c r="X19192" s="239" t="n"/>
    </row>
    <row r="19193" ht="14.25" customHeight="1" s="192">
      <c r="W19193" s="239" t="n"/>
      <c r="X19193" s="239" t="n"/>
    </row>
    <row r="19194" ht="14.25" customHeight="1" s="192">
      <c r="W19194" s="235" t="n"/>
      <c r="X19194" s="235" t="n"/>
    </row>
    <row r="19195" ht="14.25" customHeight="1" s="192">
      <c r="W19195" s="235" t="n"/>
      <c r="X19195" s="235" t="n"/>
    </row>
    <row r="19196" ht="14.25" customHeight="1" s="192">
      <c r="W19196" s="239" t="n"/>
      <c r="X19196" s="239" t="n"/>
    </row>
    <row r="19197" ht="14.25" customHeight="1" s="192">
      <c r="W19197" s="235" t="n"/>
      <c r="X19197" s="235" t="n"/>
    </row>
    <row r="19198" ht="14.25" customHeight="1" s="192">
      <c r="W19198" s="239" t="n"/>
      <c r="X19198" s="239" t="n"/>
    </row>
    <row r="19200" ht="14.25" customHeight="1" s="192">
      <c r="W19200" s="235" t="n"/>
      <c r="X19200" s="235" t="n"/>
    </row>
    <row r="19201" ht="15" customHeight="1" s="192" thickBot="1">
      <c r="W19201" s="239" t="n"/>
      <c r="X19201" s="239" t="n"/>
    </row>
    <row r="19202" ht="15" customHeight="1" s="192" thickBot="1">
      <c r="W19202" s="45" t="n"/>
      <c r="X19202" s="45" t="n"/>
    </row>
    <row r="19203" ht="14.25" customHeight="1" s="192">
      <c r="W19203" s="228" t="n"/>
      <c r="X19203" s="228" t="n"/>
    </row>
    <row r="19204" ht="14.25" customHeight="1" s="192">
      <c r="W19204" s="228" t="n"/>
      <c r="X19204" s="228" t="n"/>
    </row>
    <row r="19205" ht="14.25" customHeight="1" s="192">
      <c r="W19205" s="231" t="n"/>
      <c r="X19205" s="231" t="n"/>
    </row>
    <row r="19206" ht="14.25" customHeight="1" s="192">
      <c r="W19206" s="33" t="n"/>
      <c r="X19206" s="33" t="n"/>
    </row>
    <row r="19207" ht="14.25" customHeight="1" s="192">
      <c r="W19207" s="231" t="n"/>
      <c r="X19207" s="231" t="n"/>
    </row>
    <row r="19208" ht="14.25" customHeight="1" s="192">
      <c r="W19208" s="33" t="n"/>
      <c r="X19208" s="33" t="n"/>
    </row>
    <row r="19210" ht="14.25" customHeight="1" s="192">
      <c r="W19210" s="231" t="n"/>
      <c r="X19210" s="231" t="n"/>
    </row>
    <row r="19211" ht="14.25" customHeight="1" s="192">
      <c r="W19211" s="235" t="n"/>
      <c r="X19211" s="235" t="n"/>
    </row>
    <row r="19212" ht="14.25" customHeight="1" s="192">
      <c r="W19212" s="228" t="n"/>
      <c r="X19212" s="228" t="n"/>
    </row>
    <row r="19213" ht="14.25" customHeight="1" s="192">
      <c r="W19213" s="235" t="n"/>
      <c r="X19213" s="235" t="n"/>
    </row>
    <row r="19214" ht="14.25" customHeight="1" s="192">
      <c r="W19214" s="235" t="n"/>
      <c r="X19214" s="235" t="n"/>
    </row>
    <row r="19215" ht="14.25" customHeight="1" s="192">
      <c r="W19215" s="235" t="n"/>
      <c r="X19215" s="235" t="n"/>
    </row>
    <row r="19216" ht="14.25" customHeight="1" s="192">
      <c r="W19216" s="239" t="n"/>
      <c r="X19216" s="239" t="n"/>
    </row>
    <row r="19217" ht="14.25" customHeight="1" s="192">
      <c r="W19217" s="239" t="n"/>
      <c r="X19217" s="239" t="n"/>
    </row>
    <row r="19218" ht="14.25" customHeight="1" s="192">
      <c r="W19218" s="239" t="n"/>
      <c r="X19218" s="239" t="n"/>
    </row>
    <row r="19219" ht="14.25" customHeight="1" s="192">
      <c r="W19219" s="235" t="n"/>
      <c r="X19219" s="235" t="n"/>
    </row>
    <row r="19220" ht="14.25" customHeight="1" s="192">
      <c r="W19220" s="235" t="n"/>
      <c r="X19220" s="235" t="n"/>
    </row>
    <row r="19221" ht="14.25" customHeight="1" s="192">
      <c r="W19221" s="235" t="n"/>
      <c r="X19221" s="235" t="n"/>
    </row>
    <row r="19222" ht="14.25" customHeight="1" s="192">
      <c r="W19222" s="239" t="n"/>
      <c r="X19222" s="239" t="n"/>
    </row>
    <row r="19223" ht="14.25" customHeight="1" s="192">
      <c r="W19223" s="239" t="n"/>
      <c r="X19223" s="239" t="n"/>
    </row>
    <row r="19224" ht="14.25" customHeight="1" s="192">
      <c r="W19224" s="235" t="n"/>
      <c r="X19224" s="235" t="n"/>
    </row>
    <row r="19225" ht="14.25" customHeight="1" s="192">
      <c r="W19225" s="235" t="n"/>
      <c r="X19225" s="235" t="n"/>
    </row>
    <row r="19226" ht="14.25" customHeight="1" s="192">
      <c r="W19226" s="239" t="n"/>
      <c r="X19226" s="239" t="n"/>
    </row>
    <row r="19227" ht="14.25" customHeight="1" s="192">
      <c r="W19227" s="235" t="n"/>
      <c r="X19227" s="235" t="n"/>
    </row>
    <row r="19228" ht="14.25" customHeight="1" s="192">
      <c r="W19228" s="239" t="n"/>
      <c r="X19228" s="239" t="n"/>
    </row>
    <row r="19230" ht="14.25" customHeight="1" s="192">
      <c r="W19230" s="235" t="n"/>
      <c r="X19230" s="235" t="n"/>
    </row>
    <row r="19231" ht="15" customHeight="1" s="192" thickBot="1">
      <c r="W19231" s="239" t="n"/>
      <c r="X19231" s="239" t="n"/>
    </row>
    <row r="19232" ht="15" customHeight="1" s="192" thickBot="1">
      <c r="W19232" s="45" t="n"/>
      <c r="X19232" s="45" t="n"/>
    </row>
    <row r="19233" ht="14.25" customHeight="1" s="192">
      <c r="W19233" s="228" t="n"/>
      <c r="X19233" s="228" t="n"/>
    </row>
    <row r="19234" ht="14.25" customHeight="1" s="192">
      <c r="W19234" s="228" t="n"/>
      <c r="X19234" s="228" t="n"/>
    </row>
    <row r="19235" ht="14.25" customHeight="1" s="192">
      <c r="W19235" s="231" t="n"/>
      <c r="X19235" s="231" t="n"/>
    </row>
    <row r="19236" ht="14.25" customHeight="1" s="192">
      <c r="W19236" s="33" t="n"/>
      <c r="X19236" s="33" t="n"/>
    </row>
    <row r="19237" ht="14.25" customHeight="1" s="192">
      <c r="W19237" s="231" t="n"/>
      <c r="X19237" s="231" t="n"/>
    </row>
    <row r="19238" ht="14.25" customHeight="1" s="192">
      <c r="W19238" s="33" t="n"/>
      <c r="X19238" s="33" t="n"/>
    </row>
    <row r="19240" ht="14.25" customHeight="1" s="192">
      <c r="W19240" s="231" t="n"/>
      <c r="X19240" s="231" t="n"/>
    </row>
    <row r="19241" ht="14.25" customHeight="1" s="192">
      <c r="W19241" s="235" t="n"/>
      <c r="X19241" s="235" t="n"/>
    </row>
    <row r="19242" ht="14.25" customHeight="1" s="192">
      <c r="W19242" s="228" t="n"/>
      <c r="X19242" s="228" t="n"/>
    </row>
    <row r="19243" ht="14.25" customHeight="1" s="192">
      <c r="W19243" s="235" t="n"/>
      <c r="X19243" s="235" t="n"/>
    </row>
    <row r="19244" ht="14.25" customHeight="1" s="192">
      <c r="W19244" s="235" t="n"/>
      <c r="X19244" s="235" t="n"/>
    </row>
    <row r="19245" ht="14.25" customHeight="1" s="192">
      <c r="W19245" s="235" t="n"/>
      <c r="X19245" s="235" t="n"/>
    </row>
    <row r="19246" ht="14.25" customHeight="1" s="192">
      <c r="W19246" s="239" t="n"/>
      <c r="X19246" s="239" t="n"/>
    </row>
    <row r="19247" ht="14.25" customHeight="1" s="192">
      <c r="W19247" s="239" t="n"/>
      <c r="X19247" s="239" t="n"/>
    </row>
    <row r="19248" ht="14.25" customHeight="1" s="192">
      <c r="W19248" s="239" t="n"/>
      <c r="X19248" s="239" t="n"/>
    </row>
    <row r="19249" ht="14.25" customHeight="1" s="192">
      <c r="W19249" s="235" t="n"/>
      <c r="X19249" s="235" t="n"/>
    </row>
    <row r="19250" ht="14.25" customHeight="1" s="192">
      <c r="W19250" s="235" t="n"/>
      <c r="X19250" s="235" t="n"/>
    </row>
    <row r="19251" ht="14.25" customHeight="1" s="192">
      <c r="W19251" s="235" t="n"/>
      <c r="X19251" s="235" t="n"/>
    </row>
    <row r="19252" ht="14.25" customHeight="1" s="192">
      <c r="W19252" s="239" t="n"/>
      <c r="X19252" s="239" t="n"/>
    </row>
    <row r="19253" ht="14.25" customHeight="1" s="192">
      <c r="W19253" s="239" t="n"/>
      <c r="X19253" s="239" t="n"/>
    </row>
    <row r="19254" ht="14.25" customHeight="1" s="192">
      <c r="W19254" s="235" t="n"/>
      <c r="X19254" s="235" t="n"/>
    </row>
    <row r="19255" ht="14.25" customHeight="1" s="192">
      <c r="W19255" s="235" t="n"/>
      <c r="X19255" s="235" t="n"/>
    </row>
    <row r="19256" ht="14.25" customHeight="1" s="192">
      <c r="W19256" s="239" t="n"/>
      <c r="X19256" s="239" t="n"/>
    </row>
    <row r="19257" ht="14.25" customHeight="1" s="192">
      <c r="W19257" s="235" t="n"/>
      <c r="X19257" s="235" t="n"/>
    </row>
    <row r="19258" ht="14.25" customHeight="1" s="192">
      <c r="W19258" s="239" t="n"/>
      <c r="X19258" s="239" t="n"/>
    </row>
    <row r="19260" ht="14.25" customHeight="1" s="192">
      <c r="W19260" s="235" t="n"/>
      <c r="X19260" s="235" t="n"/>
    </row>
    <row r="19261" ht="15" customHeight="1" s="192" thickBot="1">
      <c r="W19261" s="239" t="n"/>
      <c r="X19261" s="239" t="n"/>
    </row>
    <row r="19262" ht="15" customHeight="1" s="192" thickBot="1">
      <c r="W19262" s="45" t="n"/>
      <c r="X19262" s="45" t="n"/>
    </row>
    <row r="19263" ht="14.25" customHeight="1" s="192">
      <c r="W19263" s="228" t="n"/>
      <c r="X19263" s="228" t="n"/>
    </row>
    <row r="19264" ht="14.25" customHeight="1" s="192">
      <c r="W19264" s="228" t="n"/>
      <c r="X19264" s="228" t="n"/>
    </row>
    <row r="19265" ht="14.25" customHeight="1" s="192">
      <c r="W19265" s="231" t="n"/>
      <c r="X19265" s="231" t="n"/>
    </row>
    <row r="19266" ht="14.25" customHeight="1" s="192">
      <c r="W19266" s="33" t="n"/>
      <c r="X19266" s="33" t="n"/>
    </row>
    <row r="19267" ht="14.25" customHeight="1" s="192">
      <c r="W19267" s="231" t="n"/>
      <c r="X19267" s="231" t="n"/>
    </row>
    <row r="19268" ht="14.25" customHeight="1" s="192">
      <c r="W19268" s="33" t="n"/>
      <c r="X19268" s="33" t="n"/>
    </row>
    <row r="19270" ht="14.25" customHeight="1" s="192">
      <c r="W19270" s="231" t="n"/>
      <c r="X19270" s="231" t="n"/>
    </row>
    <row r="19271" ht="14.25" customHeight="1" s="192">
      <c r="W19271" s="235" t="n"/>
      <c r="X19271" s="235" t="n"/>
    </row>
    <row r="19272" ht="14.25" customHeight="1" s="192">
      <c r="W19272" s="228" t="n"/>
      <c r="X19272" s="228" t="n"/>
    </row>
    <row r="19273" ht="14.25" customHeight="1" s="192">
      <c r="W19273" s="235" t="n"/>
      <c r="X19273" s="235" t="n"/>
    </row>
    <row r="19274" ht="14.25" customHeight="1" s="192">
      <c r="W19274" s="235" t="n"/>
      <c r="X19274" s="235" t="n"/>
    </row>
    <row r="19275" ht="14.25" customHeight="1" s="192">
      <c r="W19275" s="235" t="n"/>
      <c r="X19275" s="235" t="n"/>
    </row>
    <row r="19276" ht="14.25" customHeight="1" s="192">
      <c r="W19276" s="239" t="n"/>
      <c r="X19276" s="239" t="n"/>
    </row>
    <row r="19277" ht="14.25" customHeight="1" s="192">
      <c r="W19277" s="239" t="n"/>
      <c r="X19277" s="239" t="n"/>
    </row>
    <row r="19278" ht="14.25" customHeight="1" s="192">
      <c r="W19278" s="239" t="n"/>
      <c r="X19278" s="239" t="n"/>
    </row>
    <row r="19279" ht="14.25" customHeight="1" s="192">
      <c r="W19279" s="235" t="n"/>
      <c r="X19279" s="235" t="n"/>
    </row>
    <row r="19280" ht="14.25" customHeight="1" s="192">
      <c r="W19280" s="235" t="n"/>
      <c r="X19280" s="235" t="n"/>
    </row>
    <row r="19281" ht="14.25" customHeight="1" s="192">
      <c r="W19281" s="235" t="n"/>
      <c r="X19281" s="235" t="n"/>
    </row>
    <row r="19282" ht="14.25" customHeight="1" s="192">
      <c r="W19282" s="239" t="n"/>
      <c r="X19282" s="239" t="n"/>
    </row>
    <row r="19283" ht="14.25" customHeight="1" s="192">
      <c r="W19283" s="239" t="n"/>
      <c r="X19283" s="239" t="n"/>
    </row>
    <row r="19284" ht="14.25" customHeight="1" s="192">
      <c r="W19284" s="235" t="n"/>
      <c r="X19284" s="235" t="n"/>
    </row>
    <row r="19285" ht="14.25" customHeight="1" s="192">
      <c r="W19285" s="235" t="n"/>
      <c r="X19285" s="235" t="n"/>
    </row>
    <row r="19286" ht="14.25" customHeight="1" s="192">
      <c r="W19286" s="239" t="n"/>
      <c r="X19286" s="239" t="n"/>
    </row>
    <row r="19287" ht="14.25" customHeight="1" s="192">
      <c r="W19287" s="235" t="n"/>
      <c r="X19287" s="235" t="n"/>
    </row>
    <row r="19288" ht="14.25" customHeight="1" s="192">
      <c r="W19288" s="239" t="n"/>
      <c r="X19288" s="239" t="n"/>
    </row>
    <row r="19290" ht="14.25" customHeight="1" s="192">
      <c r="W19290" s="235" t="n"/>
      <c r="X19290" s="235" t="n"/>
    </row>
    <row r="19291" ht="15" customHeight="1" s="192" thickBot="1">
      <c r="W19291" s="239" t="n"/>
      <c r="X19291" s="239" t="n"/>
    </row>
    <row r="19292" ht="15" customHeight="1" s="192" thickBot="1">
      <c r="W19292" s="45" t="n"/>
      <c r="X19292" s="45" t="n"/>
    </row>
    <row r="19293" ht="14.25" customHeight="1" s="192">
      <c r="W19293" s="228" t="n"/>
      <c r="X19293" s="228" t="n"/>
    </row>
    <row r="19294" ht="14.25" customHeight="1" s="192">
      <c r="W19294" s="228" t="n"/>
      <c r="X19294" s="228" t="n"/>
    </row>
    <row r="19295" ht="14.25" customHeight="1" s="192">
      <c r="W19295" s="231" t="n"/>
      <c r="X19295" s="231" t="n"/>
    </row>
    <row r="19296" ht="14.25" customHeight="1" s="192">
      <c r="W19296" s="33" t="n"/>
      <c r="X19296" s="33" t="n"/>
    </row>
    <row r="19297" ht="14.25" customHeight="1" s="192">
      <c r="W19297" s="231" t="n"/>
      <c r="X19297" s="231" t="n"/>
    </row>
    <row r="19298" ht="14.25" customHeight="1" s="192">
      <c r="W19298" s="33" t="n"/>
      <c r="X19298" s="33" t="n"/>
    </row>
    <row r="19300" ht="14.25" customHeight="1" s="192">
      <c r="W19300" s="231" t="n"/>
      <c r="X19300" s="231" t="n"/>
    </row>
    <row r="19301" ht="14.25" customHeight="1" s="192">
      <c r="W19301" s="235" t="n"/>
      <c r="X19301" s="235" t="n"/>
    </row>
    <row r="19302" ht="14.25" customHeight="1" s="192">
      <c r="W19302" s="228" t="n"/>
      <c r="X19302" s="228" t="n"/>
    </row>
    <row r="19303" ht="14.25" customHeight="1" s="192">
      <c r="W19303" s="235" t="n"/>
      <c r="X19303" s="235" t="n"/>
    </row>
    <row r="19304" ht="14.25" customHeight="1" s="192">
      <c r="W19304" s="235" t="n"/>
      <c r="X19304" s="235" t="n"/>
    </row>
    <row r="19305" ht="14.25" customHeight="1" s="192">
      <c r="W19305" s="235" t="n"/>
      <c r="X19305" s="235" t="n"/>
    </row>
    <row r="19306" ht="14.25" customHeight="1" s="192">
      <c r="W19306" s="239" t="n"/>
      <c r="X19306" s="239" t="n"/>
    </row>
    <row r="19307" ht="14.25" customHeight="1" s="192">
      <c r="W19307" s="239" t="n"/>
      <c r="X19307" s="239" t="n"/>
    </row>
    <row r="19308" ht="14.25" customHeight="1" s="192">
      <c r="W19308" s="239" t="n"/>
      <c r="X19308" s="239" t="n"/>
    </row>
    <row r="19309" ht="14.25" customHeight="1" s="192">
      <c r="W19309" s="235" t="n"/>
      <c r="X19309" s="235" t="n"/>
    </row>
    <row r="19310" ht="14.25" customHeight="1" s="192">
      <c r="W19310" s="235" t="n"/>
      <c r="X19310" s="235" t="n"/>
    </row>
    <row r="19311" ht="14.25" customHeight="1" s="192">
      <c r="W19311" s="235" t="n"/>
      <c r="X19311" s="235" t="n"/>
    </row>
    <row r="19312" ht="14.25" customHeight="1" s="192">
      <c r="W19312" s="239" t="n"/>
      <c r="X19312" s="239" t="n"/>
    </row>
    <row r="19313" ht="14.25" customHeight="1" s="192">
      <c r="W19313" s="239" t="n"/>
      <c r="X19313" s="239" t="n"/>
    </row>
    <row r="19314" ht="14.25" customHeight="1" s="192">
      <c r="W19314" s="235" t="n"/>
      <c r="X19314" s="235" t="n"/>
    </row>
    <row r="19315" ht="14.25" customHeight="1" s="192">
      <c r="W19315" s="235" t="n"/>
      <c r="X19315" s="235" t="n"/>
    </row>
    <row r="19316" ht="14.25" customHeight="1" s="192">
      <c r="W19316" s="239" t="n"/>
      <c r="X19316" s="239" t="n"/>
    </row>
    <row r="19317" ht="14.25" customHeight="1" s="192">
      <c r="W19317" s="235" t="n"/>
      <c r="X19317" s="235" t="n"/>
    </row>
    <row r="19318" ht="14.25" customHeight="1" s="192">
      <c r="W19318" s="239" t="n"/>
      <c r="X19318" s="239" t="n"/>
    </row>
    <row r="19320" ht="14.25" customHeight="1" s="192">
      <c r="W19320" s="235" t="n"/>
      <c r="X19320" s="235" t="n"/>
    </row>
    <row r="19321" ht="15" customHeight="1" s="192" thickBot="1">
      <c r="W19321" s="239" t="n"/>
      <c r="X19321" s="239" t="n"/>
    </row>
    <row r="19322" ht="15" customHeight="1" s="192" thickBot="1">
      <c r="W19322" s="45" t="n"/>
      <c r="X19322" s="45" t="n"/>
    </row>
    <row r="19323" ht="14.25" customHeight="1" s="192">
      <c r="W19323" s="228" t="n"/>
      <c r="X19323" s="228" t="n"/>
    </row>
    <row r="19324" ht="14.25" customHeight="1" s="192">
      <c r="W19324" s="228" t="n"/>
      <c r="X19324" s="228" t="n"/>
    </row>
    <row r="19325" ht="14.25" customHeight="1" s="192">
      <c r="W19325" s="231" t="n"/>
      <c r="X19325" s="231" t="n"/>
    </row>
    <row r="19326" ht="14.25" customHeight="1" s="192">
      <c r="W19326" s="33" t="n"/>
      <c r="X19326" s="33" t="n"/>
    </row>
    <row r="19327" ht="14.25" customHeight="1" s="192">
      <c r="W19327" s="231" t="n"/>
      <c r="X19327" s="231" t="n"/>
    </row>
    <row r="19328" ht="14.25" customHeight="1" s="192">
      <c r="W19328" s="33" t="n"/>
      <c r="X19328" s="33" t="n"/>
    </row>
    <row r="19330" ht="14.25" customHeight="1" s="192">
      <c r="W19330" s="231" t="n"/>
      <c r="X19330" s="231" t="n"/>
    </row>
    <row r="19331" ht="14.25" customHeight="1" s="192">
      <c r="W19331" s="235" t="n"/>
      <c r="X19331" s="235" t="n"/>
    </row>
    <row r="19332" ht="14.25" customHeight="1" s="192">
      <c r="W19332" s="228" t="n"/>
      <c r="X19332" s="228" t="n"/>
    </row>
    <row r="19333" ht="14.25" customHeight="1" s="192">
      <c r="W19333" s="235" t="n"/>
      <c r="X19333" s="235" t="n"/>
    </row>
    <row r="19334" ht="14.25" customHeight="1" s="192">
      <c r="W19334" s="235" t="n"/>
      <c r="X19334" s="235" t="n"/>
    </row>
    <row r="19335" ht="14.25" customHeight="1" s="192">
      <c r="W19335" s="235" t="n"/>
      <c r="X19335" s="235" t="n"/>
    </row>
    <row r="19336" ht="14.25" customHeight="1" s="192">
      <c r="W19336" s="239" t="n"/>
      <c r="X19336" s="239" t="n"/>
    </row>
    <row r="19337" ht="14.25" customHeight="1" s="192">
      <c r="W19337" s="239" t="n"/>
      <c r="X19337" s="239" t="n"/>
    </row>
    <row r="19338" ht="14.25" customHeight="1" s="192">
      <c r="W19338" s="239" t="n"/>
      <c r="X19338" s="239" t="n"/>
    </row>
    <row r="19339" ht="14.25" customHeight="1" s="192">
      <c r="W19339" s="235" t="n"/>
      <c r="X19339" s="235" t="n"/>
    </row>
    <row r="19340" ht="14.25" customHeight="1" s="192">
      <c r="W19340" s="235" t="n"/>
      <c r="X19340" s="235" t="n"/>
    </row>
    <row r="19341" ht="14.25" customHeight="1" s="192">
      <c r="W19341" s="235" t="n"/>
      <c r="X19341" s="235" t="n"/>
    </row>
    <row r="19342" ht="14.25" customHeight="1" s="192">
      <c r="W19342" s="239" t="n"/>
      <c r="X19342" s="239" t="n"/>
    </row>
    <row r="19343" ht="14.25" customHeight="1" s="192">
      <c r="W19343" s="239" t="n"/>
      <c r="X19343" s="239" t="n"/>
    </row>
    <row r="19344" ht="14.25" customHeight="1" s="192">
      <c r="W19344" s="235" t="n"/>
      <c r="X19344" s="235" t="n"/>
    </row>
    <row r="19345" ht="14.25" customHeight="1" s="192">
      <c r="W19345" s="235" t="n"/>
      <c r="X19345" s="235" t="n"/>
    </row>
    <row r="19346" ht="14.25" customHeight="1" s="192">
      <c r="W19346" s="239" t="n"/>
      <c r="X19346" s="239" t="n"/>
    </row>
    <row r="19347" ht="14.25" customHeight="1" s="192">
      <c r="W19347" s="235" t="n"/>
      <c r="X19347" s="235" t="n"/>
    </row>
    <row r="19348" ht="14.25" customHeight="1" s="192">
      <c r="W19348" s="239" t="n"/>
      <c r="X19348" s="239" t="n"/>
    </row>
    <row r="19350" ht="14.25" customHeight="1" s="192">
      <c r="W19350" s="235" t="n"/>
      <c r="X19350" s="235" t="n"/>
    </row>
    <row r="19351" ht="15" customHeight="1" s="192" thickBot="1">
      <c r="W19351" s="239" t="n"/>
      <c r="X19351" s="239" t="n"/>
    </row>
    <row r="19352" ht="15" customHeight="1" s="192" thickBot="1">
      <c r="W19352" s="45" t="n"/>
      <c r="X19352" s="45" t="n"/>
    </row>
    <row r="19353" ht="14.25" customHeight="1" s="192">
      <c r="W19353" s="228" t="n"/>
      <c r="X19353" s="228" t="n"/>
    </row>
    <row r="19354" ht="14.25" customHeight="1" s="192">
      <c r="W19354" s="228" t="n"/>
      <c r="X19354" s="228" t="n"/>
    </row>
    <row r="19355" ht="14.25" customHeight="1" s="192">
      <c r="W19355" s="231" t="n"/>
      <c r="X19355" s="231" t="n"/>
    </row>
    <row r="19356" ht="14.25" customHeight="1" s="192">
      <c r="W19356" s="33" t="n"/>
      <c r="X19356" s="33" t="n"/>
    </row>
    <row r="19357" ht="14.25" customHeight="1" s="192">
      <c r="W19357" s="231" t="n"/>
      <c r="X19357" s="231" t="n"/>
    </row>
    <row r="19358" ht="14.25" customHeight="1" s="192">
      <c r="W19358" s="33" t="n"/>
      <c r="X19358" s="33" t="n"/>
    </row>
    <row r="19360" ht="14.25" customHeight="1" s="192">
      <c r="W19360" s="231" t="n"/>
      <c r="X19360" s="231" t="n"/>
    </row>
    <row r="19361" ht="14.25" customHeight="1" s="192">
      <c r="W19361" s="235" t="n"/>
      <c r="X19361" s="235" t="n"/>
    </row>
    <row r="19362" ht="14.25" customHeight="1" s="192">
      <c r="W19362" s="228" t="n"/>
      <c r="X19362" s="228" t="n"/>
    </row>
    <row r="19363" ht="14.25" customHeight="1" s="192">
      <c r="W19363" s="235" t="n"/>
      <c r="X19363" s="235" t="n"/>
    </row>
    <row r="19364" ht="14.25" customHeight="1" s="192">
      <c r="W19364" s="235" t="n"/>
      <c r="X19364" s="235" t="n"/>
    </row>
    <row r="19365" ht="14.25" customHeight="1" s="192">
      <c r="W19365" s="235" t="n"/>
      <c r="X19365" s="235" t="n"/>
    </row>
    <row r="19366" ht="14.25" customHeight="1" s="192">
      <c r="W19366" s="239" t="n"/>
      <c r="X19366" s="239" t="n"/>
    </row>
    <row r="19367" ht="14.25" customHeight="1" s="192">
      <c r="W19367" s="239" t="n"/>
      <c r="X19367" s="239" t="n"/>
    </row>
    <row r="19368" ht="14.25" customHeight="1" s="192">
      <c r="W19368" s="239" t="n"/>
      <c r="X19368" s="239" t="n"/>
    </row>
    <row r="19369" ht="14.25" customHeight="1" s="192">
      <c r="W19369" s="235" t="n"/>
      <c r="X19369" s="235" t="n"/>
    </row>
    <row r="19370" ht="14.25" customHeight="1" s="192">
      <c r="W19370" s="235" t="n"/>
      <c r="X19370" s="235" t="n"/>
    </row>
    <row r="19371" ht="14.25" customHeight="1" s="192">
      <c r="W19371" s="235" t="n"/>
      <c r="X19371" s="235" t="n"/>
    </row>
    <row r="19372" ht="14.25" customHeight="1" s="192">
      <c r="W19372" s="239" t="n"/>
      <c r="X19372" s="239" t="n"/>
    </row>
    <row r="19373" ht="14.25" customHeight="1" s="192">
      <c r="W19373" s="239" t="n"/>
      <c r="X19373" s="239" t="n"/>
    </row>
    <row r="19374" ht="14.25" customHeight="1" s="192">
      <c r="W19374" s="235" t="n"/>
      <c r="X19374" s="235" t="n"/>
    </row>
    <row r="19375" ht="14.25" customHeight="1" s="192">
      <c r="W19375" s="235" t="n"/>
      <c r="X19375" s="235" t="n"/>
    </row>
    <row r="19376" ht="14.25" customHeight="1" s="192">
      <c r="W19376" s="239" t="n"/>
      <c r="X19376" s="239" t="n"/>
    </row>
    <row r="19377" ht="14.25" customHeight="1" s="192">
      <c r="W19377" s="235" t="n"/>
      <c r="X19377" s="235" t="n"/>
    </row>
    <row r="19378" ht="14.25" customHeight="1" s="192">
      <c r="W19378" s="239" t="n"/>
      <c r="X19378" s="239" t="n"/>
    </row>
    <row r="19380" ht="14.25" customHeight="1" s="192">
      <c r="W19380" s="235" t="n"/>
      <c r="X19380" s="235" t="n"/>
    </row>
    <row r="19381" ht="15" customHeight="1" s="192" thickBot="1">
      <c r="W19381" s="239" t="n"/>
      <c r="X19381" s="239" t="n"/>
    </row>
    <row r="19382" ht="15" customHeight="1" s="192" thickBot="1">
      <c r="W19382" s="45" t="n"/>
      <c r="X19382" s="45" t="n"/>
    </row>
    <row r="19383" ht="14.25" customHeight="1" s="192">
      <c r="W19383" s="228" t="n"/>
      <c r="X19383" s="228" t="n"/>
    </row>
    <row r="19384" ht="14.25" customHeight="1" s="192">
      <c r="W19384" s="228" t="n"/>
      <c r="X19384" s="228" t="n"/>
    </row>
    <row r="19385" ht="14.25" customHeight="1" s="192">
      <c r="W19385" s="231" t="n"/>
      <c r="X19385" s="231" t="n"/>
    </row>
    <row r="19386" ht="14.25" customHeight="1" s="192">
      <c r="W19386" s="33" t="n"/>
      <c r="X19386" s="33" t="n"/>
    </row>
    <row r="19387" ht="14.25" customHeight="1" s="192">
      <c r="W19387" s="231" t="n"/>
      <c r="X19387" s="231" t="n"/>
    </row>
    <row r="19388" ht="14.25" customHeight="1" s="192">
      <c r="W19388" s="33" t="n"/>
      <c r="X19388" s="33" t="n"/>
    </row>
    <row r="19390" ht="14.25" customHeight="1" s="192">
      <c r="W19390" s="231" t="n"/>
      <c r="X19390" s="231" t="n"/>
    </row>
    <row r="19391" ht="14.25" customHeight="1" s="192">
      <c r="W19391" s="235" t="n"/>
      <c r="X19391" s="235" t="n"/>
    </row>
    <row r="19392" ht="14.25" customHeight="1" s="192">
      <c r="W19392" s="228" t="n"/>
      <c r="X19392" s="228" t="n"/>
    </row>
    <row r="19393" ht="14.25" customHeight="1" s="192">
      <c r="W19393" s="235" t="n"/>
      <c r="X19393" s="235" t="n"/>
    </row>
    <row r="19394" ht="14.25" customHeight="1" s="192">
      <c r="W19394" s="235" t="n"/>
      <c r="X19394" s="235" t="n"/>
    </row>
    <row r="19395" ht="14.25" customHeight="1" s="192">
      <c r="W19395" s="235" t="n"/>
      <c r="X19395" s="235" t="n"/>
    </row>
    <row r="19396" ht="14.25" customHeight="1" s="192">
      <c r="W19396" s="239" t="n"/>
      <c r="X19396" s="239" t="n"/>
    </row>
    <row r="19397" ht="14.25" customHeight="1" s="192">
      <c r="W19397" s="239" t="n"/>
      <c r="X19397" s="239" t="n"/>
    </row>
    <row r="19398" ht="14.25" customHeight="1" s="192">
      <c r="W19398" s="239" t="n"/>
      <c r="X19398" s="239" t="n"/>
    </row>
    <row r="19399" ht="14.25" customHeight="1" s="192">
      <c r="W19399" s="235" t="n"/>
      <c r="X19399" s="235" t="n"/>
    </row>
    <row r="19400" ht="14.25" customHeight="1" s="192">
      <c r="W19400" s="235" t="n"/>
      <c r="X19400" s="235" t="n"/>
    </row>
    <row r="19401" ht="14.25" customHeight="1" s="192">
      <c r="W19401" s="235" t="n"/>
      <c r="X19401" s="235" t="n"/>
    </row>
    <row r="19402" ht="14.25" customHeight="1" s="192">
      <c r="W19402" s="239" t="n"/>
      <c r="X19402" s="239" t="n"/>
    </row>
    <row r="19403" ht="14.25" customHeight="1" s="192">
      <c r="W19403" s="239" t="n"/>
      <c r="X19403" s="239" t="n"/>
    </row>
    <row r="19404" ht="14.25" customHeight="1" s="192">
      <c r="W19404" s="235" t="n"/>
      <c r="X19404" s="235" t="n"/>
    </row>
    <row r="19405" ht="14.25" customHeight="1" s="192">
      <c r="W19405" s="235" t="n"/>
      <c r="X19405" s="235" t="n"/>
    </row>
    <row r="19406" ht="14.25" customHeight="1" s="192">
      <c r="W19406" s="239" t="n"/>
      <c r="X19406" s="239" t="n"/>
    </row>
    <row r="19407" ht="14.25" customHeight="1" s="192">
      <c r="W19407" s="235" t="n"/>
      <c r="X19407" s="235" t="n"/>
    </row>
    <row r="19408" ht="14.25" customHeight="1" s="192">
      <c r="W19408" s="239" t="n"/>
      <c r="X19408" s="239" t="n"/>
    </row>
    <row r="19410" ht="14.25" customHeight="1" s="192">
      <c r="W19410" s="235" t="n"/>
      <c r="X19410" s="235" t="n"/>
    </row>
    <row r="19411" ht="15" customHeight="1" s="192" thickBot="1">
      <c r="W19411" s="239" t="n"/>
      <c r="X19411" s="239" t="n"/>
    </row>
    <row r="19412" ht="15" customHeight="1" s="192" thickBot="1">
      <c r="W19412" s="45" t="n"/>
      <c r="X19412" s="45" t="n"/>
    </row>
    <row r="19413" ht="14.25" customHeight="1" s="192">
      <c r="W19413" s="228" t="n"/>
      <c r="X19413" s="228" t="n"/>
    </row>
    <row r="19414" ht="14.25" customHeight="1" s="192">
      <c r="W19414" s="228" t="n"/>
      <c r="X19414" s="228" t="n"/>
    </row>
    <row r="19415" ht="14.25" customHeight="1" s="192">
      <c r="W19415" s="231" t="n"/>
      <c r="X19415" s="231" t="n"/>
    </row>
    <row r="19416" ht="14.25" customHeight="1" s="192">
      <c r="W19416" s="33" t="n"/>
      <c r="X19416" s="33" t="n"/>
    </row>
    <row r="19417" ht="14.25" customHeight="1" s="192">
      <c r="W19417" s="231" t="n"/>
      <c r="X19417" s="231" t="n"/>
    </row>
    <row r="19418" ht="14.25" customHeight="1" s="192">
      <c r="W19418" s="33" t="n"/>
      <c r="X19418" s="33" t="n"/>
    </row>
    <row r="19420" ht="14.25" customHeight="1" s="192">
      <c r="W19420" s="231" t="n"/>
      <c r="X19420" s="231" t="n"/>
    </row>
    <row r="19421" ht="14.25" customHeight="1" s="192">
      <c r="W19421" s="235" t="n"/>
      <c r="X19421" s="235" t="n"/>
    </row>
    <row r="19422" ht="14.25" customHeight="1" s="192">
      <c r="W19422" s="228" t="n"/>
      <c r="X19422" s="228" t="n"/>
    </row>
    <row r="19423" ht="14.25" customHeight="1" s="192">
      <c r="W19423" s="235" t="n"/>
      <c r="X19423" s="235" t="n"/>
    </row>
    <row r="19424" ht="14.25" customHeight="1" s="192">
      <c r="W19424" s="235" t="n"/>
      <c r="X19424" s="235" t="n"/>
    </row>
    <row r="19425" ht="14.25" customHeight="1" s="192">
      <c r="W19425" s="235" t="n"/>
      <c r="X19425" s="235" t="n"/>
    </row>
    <row r="19426" ht="14.25" customHeight="1" s="192">
      <c r="W19426" s="239" t="n"/>
      <c r="X19426" s="239" t="n"/>
    </row>
    <row r="19427" ht="14.25" customHeight="1" s="192">
      <c r="W19427" s="239" t="n"/>
      <c r="X19427" s="239" t="n"/>
    </row>
    <row r="19428" ht="14.25" customHeight="1" s="192">
      <c r="W19428" s="239" t="n"/>
      <c r="X19428" s="239" t="n"/>
    </row>
    <row r="19429" ht="14.25" customHeight="1" s="192">
      <c r="W19429" s="235" t="n"/>
      <c r="X19429" s="235" t="n"/>
    </row>
    <row r="19430" ht="14.25" customHeight="1" s="192">
      <c r="W19430" s="235" t="n"/>
      <c r="X19430" s="235" t="n"/>
    </row>
    <row r="19431" ht="14.25" customHeight="1" s="192">
      <c r="W19431" s="235" t="n"/>
      <c r="X19431" s="235" t="n"/>
    </row>
    <row r="19432" ht="14.25" customHeight="1" s="192">
      <c r="W19432" s="239" t="n"/>
      <c r="X19432" s="239" t="n"/>
    </row>
    <row r="19433" ht="14.25" customHeight="1" s="192">
      <c r="W19433" s="239" t="n"/>
      <c r="X19433" s="239" t="n"/>
    </row>
    <row r="19434" ht="14.25" customHeight="1" s="192">
      <c r="W19434" s="235" t="n"/>
      <c r="X19434" s="235" t="n"/>
    </row>
    <row r="19435" ht="14.25" customHeight="1" s="192">
      <c r="W19435" s="235" t="n"/>
      <c r="X19435" s="235" t="n"/>
    </row>
    <row r="19436" ht="14.25" customHeight="1" s="192">
      <c r="W19436" s="239" t="n"/>
      <c r="X19436" s="239" t="n"/>
    </row>
    <row r="19437" ht="14.25" customHeight="1" s="192">
      <c r="W19437" s="235" t="n"/>
      <c r="X19437" s="235" t="n"/>
    </row>
    <row r="19438" ht="14.25" customHeight="1" s="192">
      <c r="W19438" s="239" t="n"/>
      <c r="X19438" s="239" t="n"/>
    </row>
    <row r="19440" ht="14.25" customHeight="1" s="192">
      <c r="W19440" s="235" t="n"/>
      <c r="X19440" s="235" t="n"/>
    </row>
    <row r="19441" ht="15" customHeight="1" s="192" thickBot="1">
      <c r="W19441" s="239" t="n"/>
      <c r="X19441" s="239" t="n"/>
    </row>
    <row r="19442" ht="15" customHeight="1" s="192" thickBot="1">
      <c r="W19442" s="45" t="n"/>
      <c r="X19442" s="45" t="n"/>
    </row>
    <row r="19443" ht="14.25" customHeight="1" s="192">
      <c r="W19443" s="228" t="n"/>
      <c r="X19443" s="228" t="n"/>
    </row>
    <row r="19444" ht="14.25" customHeight="1" s="192">
      <c r="W19444" s="228" t="n"/>
      <c r="X19444" s="228" t="n"/>
    </row>
    <row r="19445" ht="14.25" customHeight="1" s="192">
      <c r="W19445" s="231" t="n"/>
      <c r="X19445" s="231" t="n"/>
    </row>
    <row r="19446" ht="14.25" customHeight="1" s="192">
      <c r="W19446" s="33" t="n"/>
      <c r="X19446" s="33" t="n"/>
    </row>
    <row r="19447" ht="14.25" customHeight="1" s="192">
      <c r="W19447" s="231" t="n"/>
      <c r="X19447" s="231" t="n"/>
    </row>
    <row r="19448" ht="14.25" customHeight="1" s="192">
      <c r="W19448" s="33" t="n"/>
      <c r="X19448" s="33" t="n"/>
    </row>
    <row r="19450" ht="14.25" customHeight="1" s="192">
      <c r="W19450" s="231" t="n"/>
      <c r="X19450" s="231" t="n"/>
    </row>
    <row r="19451" ht="14.25" customHeight="1" s="192">
      <c r="W19451" s="235" t="n"/>
      <c r="X19451" s="235" t="n"/>
    </row>
    <row r="19452" ht="14.25" customHeight="1" s="192">
      <c r="W19452" s="228" t="n"/>
      <c r="X19452" s="228" t="n"/>
    </row>
    <row r="19453" ht="14.25" customHeight="1" s="192">
      <c r="W19453" s="235" t="n"/>
      <c r="X19453" s="235" t="n"/>
    </row>
    <row r="19454" ht="14.25" customHeight="1" s="192">
      <c r="W19454" s="235" t="n"/>
      <c r="X19454" s="235" t="n"/>
    </row>
    <row r="19455" ht="14.25" customHeight="1" s="192">
      <c r="W19455" s="235" t="n"/>
      <c r="X19455" s="235" t="n"/>
    </row>
    <row r="19456" ht="14.25" customHeight="1" s="192">
      <c r="W19456" s="239" t="n"/>
      <c r="X19456" s="239" t="n"/>
    </row>
    <row r="19457" ht="14.25" customHeight="1" s="192">
      <c r="W19457" s="239" t="n"/>
      <c r="X19457" s="239" t="n"/>
    </row>
    <row r="19458" ht="14.25" customHeight="1" s="192">
      <c r="W19458" s="239" t="n"/>
      <c r="X19458" s="239" t="n"/>
    </row>
    <row r="19459" ht="14.25" customHeight="1" s="192">
      <c r="W19459" s="235" t="n"/>
      <c r="X19459" s="235" t="n"/>
    </row>
    <row r="19460" ht="14.25" customHeight="1" s="192">
      <c r="W19460" s="235" t="n"/>
      <c r="X19460" s="235" t="n"/>
    </row>
    <row r="19461" ht="14.25" customHeight="1" s="192">
      <c r="W19461" s="235" t="n"/>
      <c r="X19461" s="235" t="n"/>
    </row>
    <row r="19462" ht="14.25" customHeight="1" s="192">
      <c r="W19462" s="239" t="n"/>
      <c r="X19462" s="239" t="n"/>
    </row>
    <row r="19463" ht="14.25" customHeight="1" s="192">
      <c r="W19463" s="239" t="n"/>
      <c r="X19463" s="239" t="n"/>
    </row>
    <row r="19464" ht="14.25" customHeight="1" s="192">
      <c r="W19464" s="235" t="n"/>
      <c r="X19464" s="235" t="n"/>
    </row>
    <row r="19465" ht="14.25" customHeight="1" s="192">
      <c r="W19465" s="235" t="n"/>
      <c r="X19465" s="235" t="n"/>
    </row>
    <row r="19466" ht="14.25" customHeight="1" s="192">
      <c r="W19466" s="239" t="n"/>
      <c r="X19466" s="239" t="n"/>
    </row>
    <row r="19467" ht="14.25" customHeight="1" s="192">
      <c r="W19467" s="235" t="n"/>
      <c r="X19467" s="235" t="n"/>
    </row>
    <row r="19468" ht="14.25" customHeight="1" s="192">
      <c r="W19468" s="239" t="n"/>
      <c r="X19468" s="239" t="n"/>
    </row>
    <row r="19470" ht="14.25" customHeight="1" s="192">
      <c r="W19470" s="235" t="n"/>
      <c r="X19470" s="235" t="n"/>
    </row>
    <row r="19471" ht="15" customHeight="1" s="192" thickBot="1">
      <c r="W19471" s="239" t="n"/>
      <c r="X19471" s="239" t="n"/>
    </row>
    <row r="19472" ht="15" customHeight="1" s="192" thickBot="1">
      <c r="W19472" s="45" t="n"/>
      <c r="X19472" s="45" t="n"/>
    </row>
    <row r="19473" ht="14.25" customHeight="1" s="192">
      <c r="W19473" s="228" t="n"/>
      <c r="X19473" s="228" t="n"/>
    </row>
    <row r="19474" ht="14.25" customHeight="1" s="192">
      <c r="W19474" s="228" t="n"/>
      <c r="X19474" s="228" t="n"/>
    </row>
    <row r="19475" ht="14.25" customHeight="1" s="192">
      <c r="W19475" s="231" t="n"/>
      <c r="X19475" s="231" t="n"/>
    </row>
    <row r="19476" ht="14.25" customHeight="1" s="192">
      <c r="W19476" s="33" t="n"/>
      <c r="X19476" s="33" t="n"/>
    </row>
    <row r="19477" ht="14.25" customHeight="1" s="192">
      <c r="W19477" s="231" t="n"/>
      <c r="X19477" s="231" t="n"/>
    </row>
    <row r="19478" ht="14.25" customHeight="1" s="192">
      <c r="W19478" s="33" t="n"/>
      <c r="X19478" s="33" t="n"/>
    </row>
    <row r="19480" ht="14.25" customHeight="1" s="192">
      <c r="W19480" s="231" t="n"/>
      <c r="X19480" s="231" t="n"/>
    </row>
    <row r="19481" ht="14.25" customHeight="1" s="192">
      <c r="W19481" s="235" t="n"/>
      <c r="X19481" s="235" t="n"/>
    </row>
    <row r="19482" ht="14.25" customHeight="1" s="192">
      <c r="W19482" s="228" t="n"/>
      <c r="X19482" s="228" t="n"/>
    </row>
    <row r="19483" ht="14.25" customHeight="1" s="192">
      <c r="W19483" s="235" t="n"/>
      <c r="X19483" s="235" t="n"/>
    </row>
    <row r="19484" ht="14.25" customHeight="1" s="192">
      <c r="W19484" s="235" t="n"/>
      <c r="X19484" s="235" t="n"/>
    </row>
    <row r="19485" ht="14.25" customHeight="1" s="192">
      <c r="W19485" s="235" t="n"/>
      <c r="X19485" s="235" t="n"/>
    </row>
    <row r="19486" ht="14.25" customHeight="1" s="192">
      <c r="W19486" s="239" t="n"/>
      <c r="X19486" s="239" t="n"/>
    </row>
    <row r="19487" ht="14.25" customHeight="1" s="192">
      <c r="W19487" s="239" t="n"/>
      <c r="X19487" s="239" t="n"/>
    </row>
    <row r="19488" ht="14.25" customHeight="1" s="192">
      <c r="W19488" s="239" t="n"/>
      <c r="X19488" s="239" t="n"/>
    </row>
    <row r="19489" ht="14.25" customHeight="1" s="192">
      <c r="W19489" s="235" t="n"/>
      <c r="X19489" s="235" t="n"/>
    </row>
    <row r="19490" ht="14.25" customHeight="1" s="192">
      <c r="W19490" s="235" t="n"/>
      <c r="X19490" s="235" t="n"/>
    </row>
    <row r="19491" ht="14.25" customHeight="1" s="192">
      <c r="W19491" s="235" t="n"/>
      <c r="X19491" s="235" t="n"/>
    </row>
    <row r="19492" ht="14.25" customHeight="1" s="192">
      <c r="W19492" s="239" t="n"/>
      <c r="X19492" s="239" t="n"/>
    </row>
    <row r="19493" ht="14.25" customHeight="1" s="192">
      <c r="W19493" s="239" t="n"/>
      <c r="X19493" s="239" t="n"/>
    </row>
    <row r="19494" ht="14.25" customHeight="1" s="192">
      <c r="W19494" s="235" t="n"/>
      <c r="X19494" s="235" t="n"/>
    </row>
    <row r="19495" ht="14.25" customHeight="1" s="192">
      <c r="W19495" s="235" t="n"/>
      <c r="X19495" s="235" t="n"/>
    </row>
    <row r="19496" ht="14.25" customHeight="1" s="192">
      <c r="W19496" s="239" t="n"/>
      <c r="X19496" s="239" t="n"/>
    </row>
    <row r="19497" ht="14.25" customHeight="1" s="192">
      <c r="W19497" s="235" t="n"/>
      <c r="X19497" s="235" t="n"/>
    </row>
    <row r="19498" ht="14.25" customHeight="1" s="192">
      <c r="W19498" s="239" t="n"/>
      <c r="X19498" s="239" t="n"/>
    </row>
    <row r="19500" ht="14.25" customHeight="1" s="192">
      <c r="W19500" s="235" t="n"/>
      <c r="X19500" s="235" t="n"/>
    </row>
    <row r="19501" ht="15" customHeight="1" s="192" thickBot="1">
      <c r="W19501" s="239" t="n"/>
      <c r="X19501" s="239" t="n"/>
    </row>
    <row r="19502" ht="15" customHeight="1" s="192" thickBot="1">
      <c r="W19502" s="45" t="n"/>
      <c r="X19502" s="45" t="n"/>
    </row>
    <row r="19503" ht="14.25" customHeight="1" s="192">
      <c r="W19503" s="228" t="n"/>
      <c r="X19503" s="228" t="n"/>
    </row>
    <row r="19504" ht="14.25" customHeight="1" s="192">
      <c r="W19504" s="228" t="n"/>
      <c r="X19504" s="228" t="n"/>
    </row>
    <row r="19505" ht="14.25" customHeight="1" s="192">
      <c r="W19505" s="231" t="n"/>
      <c r="X19505" s="231" t="n"/>
    </row>
    <row r="19506" ht="14.25" customHeight="1" s="192">
      <c r="W19506" s="33" t="n"/>
      <c r="X19506" s="33" t="n"/>
    </row>
    <row r="19507" ht="14.25" customHeight="1" s="192">
      <c r="W19507" s="231" t="n"/>
      <c r="X19507" s="231" t="n"/>
    </row>
    <row r="19508" ht="14.25" customHeight="1" s="192">
      <c r="W19508" s="33" t="n"/>
      <c r="X19508" s="33" t="n"/>
    </row>
    <row r="19510" ht="14.25" customHeight="1" s="192">
      <c r="W19510" s="231" t="n"/>
      <c r="X19510" s="231" t="n"/>
    </row>
    <row r="19511" ht="14.25" customHeight="1" s="192">
      <c r="W19511" s="235" t="n"/>
      <c r="X19511" s="235" t="n"/>
    </row>
    <row r="19512" ht="14.25" customHeight="1" s="192">
      <c r="W19512" s="228" t="n"/>
      <c r="X19512" s="228" t="n"/>
    </row>
    <row r="19513" ht="14.25" customHeight="1" s="192">
      <c r="W19513" s="235" t="n"/>
      <c r="X19513" s="235" t="n"/>
    </row>
    <row r="19514" ht="14.25" customHeight="1" s="192">
      <c r="W19514" s="235" t="n"/>
      <c r="X19514" s="235" t="n"/>
    </row>
    <row r="19515" ht="14.25" customHeight="1" s="192">
      <c r="W19515" s="235" t="n"/>
      <c r="X19515" s="235" t="n"/>
    </row>
    <row r="19516" ht="14.25" customHeight="1" s="192">
      <c r="W19516" s="239" t="n"/>
      <c r="X19516" s="239" t="n"/>
    </row>
    <row r="19517" ht="14.25" customHeight="1" s="192">
      <c r="W19517" s="239" t="n"/>
      <c r="X19517" s="239" t="n"/>
    </row>
    <row r="19518" ht="14.25" customHeight="1" s="192">
      <c r="W19518" s="239" t="n"/>
      <c r="X19518" s="239" t="n"/>
    </row>
    <row r="19519" ht="14.25" customHeight="1" s="192">
      <c r="W19519" s="235" t="n"/>
      <c r="X19519" s="235" t="n"/>
    </row>
    <row r="19520" ht="14.25" customHeight="1" s="192">
      <c r="W19520" s="235" t="n"/>
      <c r="X19520" s="235" t="n"/>
    </row>
    <row r="19521" ht="14.25" customHeight="1" s="192">
      <c r="W19521" s="235" t="n"/>
      <c r="X19521" s="235" t="n"/>
    </row>
    <row r="19522" ht="14.25" customHeight="1" s="192">
      <c r="W19522" s="239" t="n"/>
      <c r="X19522" s="239" t="n"/>
    </row>
    <row r="19523" ht="14.25" customHeight="1" s="192">
      <c r="W19523" s="239" t="n"/>
      <c r="X19523" s="239" t="n"/>
    </row>
    <row r="19524" ht="14.25" customHeight="1" s="192">
      <c r="W19524" s="235" t="n"/>
      <c r="X19524" s="235" t="n"/>
    </row>
    <row r="19525" ht="14.25" customHeight="1" s="192">
      <c r="W19525" s="235" t="n"/>
      <c r="X19525" s="235" t="n"/>
    </row>
    <row r="19526" ht="14.25" customHeight="1" s="192">
      <c r="W19526" s="239" t="n"/>
      <c r="X19526" s="239" t="n"/>
    </row>
    <row r="19527" ht="14.25" customHeight="1" s="192">
      <c r="W19527" s="235" t="n"/>
      <c r="X19527" s="235" t="n"/>
    </row>
    <row r="19528" ht="14.25" customHeight="1" s="192">
      <c r="W19528" s="239" t="n"/>
      <c r="X19528" s="239" t="n"/>
    </row>
    <row r="19530" ht="14.25" customHeight="1" s="192">
      <c r="W19530" s="235" t="n"/>
      <c r="X19530" s="235" t="n"/>
    </row>
    <row r="19531" ht="15" customHeight="1" s="192" thickBot="1">
      <c r="W19531" s="239" t="n"/>
      <c r="X19531" s="239" t="n"/>
    </row>
    <row r="19532" ht="15" customHeight="1" s="192" thickBot="1">
      <c r="W19532" s="45" t="n"/>
      <c r="X19532" s="45" t="n"/>
    </row>
    <row r="19533" ht="14.25" customHeight="1" s="192">
      <c r="W19533" s="228" t="n"/>
      <c r="X19533" s="228" t="n"/>
    </row>
    <row r="19534" ht="14.25" customHeight="1" s="192">
      <c r="W19534" s="228" t="n"/>
      <c r="X19534" s="228" t="n"/>
    </row>
    <row r="19535" ht="14.25" customHeight="1" s="192">
      <c r="W19535" s="231" t="n"/>
      <c r="X19535" s="231" t="n"/>
    </row>
    <row r="19536" ht="14.25" customHeight="1" s="192">
      <c r="W19536" s="33" t="n"/>
      <c r="X19536" s="33" t="n"/>
    </row>
    <row r="19537" ht="14.25" customHeight="1" s="192">
      <c r="W19537" s="231" t="n"/>
      <c r="X19537" s="231" t="n"/>
    </row>
    <row r="19538" ht="14.25" customHeight="1" s="192">
      <c r="W19538" s="33" t="n"/>
      <c r="X19538" s="33" t="n"/>
    </row>
    <row r="19540" ht="14.25" customHeight="1" s="192">
      <c r="W19540" s="231" t="n"/>
      <c r="X19540" s="231" t="n"/>
    </row>
    <row r="19541" ht="14.25" customHeight="1" s="192">
      <c r="W19541" s="235" t="n"/>
      <c r="X19541" s="235" t="n"/>
    </row>
    <row r="19542" ht="14.25" customHeight="1" s="192">
      <c r="W19542" s="228" t="n"/>
      <c r="X19542" s="228" t="n"/>
    </row>
    <row r="19543" ht="14.25" customHeight="1" s="192">
      <c r="W19543" s="235" t="n"/>
      <c r="X19543" s="235" t="n"/>
    </row>
    <row r="19544" ht="14.25" customHeight="1" s="192">
      <c r="W19544" s="235" t="n"/>
      <c r="X19544" s="235" t="n"/>
    </row>
    <row r="19545" ht="14.25" customHeight="1" s="192">
      <c r="W19545" s="235" t="n"/>
      <c r="X19545" s="235" t="n"/>
    </row>
    <row r="19546" ht="14.25" customHeight="1" s="192">
      <c r="W19546" s="239" t="n"/>
      <c r="X19546" s="239" t="n"/>
    </row>
    <row r="19547" ht="14.25" customHeight="1" s="192">
      <c r="W19547" s="239" t="n"/>
      <c r="X19547" s="239" t="n"/>
    </row>
    <row r="19548" ht="14.25" customHeight="1" s="192">
      <c r="W19548" s="239" t="n"/>
      <c r="X19548" s="239" t="n"/>
    </row>
    <row r="19549" ht="14.25" customHeight="1" s="192">
      <c r="W19549" s="235" t="n"/>
      <c r="X19549" s="235" t="n"/>
    </row>
    <row r="19550" ht="14.25" customHeight="1" s="192">
      <c r="W19550" s="235" t="n"/>
      <c r="X19550" s="235" t="n"/>
    </row>
    <row r="19551" ht="14.25" customHeight="1" s="192">
      <c r="W19551" s="235" t="n"/>
      <c r="X19551" s="235" t="n"/>
    </row>
    <row r="19552" ht="14.25" customHeight="1" s="192">
      <c r="W19552" s="239" t="n"/>
      <c r="X19552" s="239" t="n"/>
    </row>
    <row r="19553" ht="14.25" customHeight="1" s="192">
      <c r="W19553" s="239" t="n"/>
      <c r="X19553" s="239" t="n"/>
    </row>
    <row r="19554" ht="14.25" customHeight="1" s="192">
      <c r="W19554" s="235" t="n"/>
      <c r="X19554" s="235" t="n"/>
    </row>
    <row r="19555" ht="14.25" customHeight="1" s="192">
      <c r="W19555" s="235" t="n"/>
      <c r="X19555" s="235" t="n"/>
    </row>
    <row r="19556" ht="14.25" customHeight="1" s="192">
      <c r="W19556" s="239" t="n"/>
      <c r="X19556" s="239" t="n"/>
    </row>
    <row r="19557" ht="14.25" customHeight="1" s="192">
      <c r="W19557" s="235" t="n"/>
      <c r="X19557" s="235" t="n"/>
    </row>
    <row r="19558" ht="14.25" customHeight="1" s="192">
      <c r="W19558" s="239" t="n"/>
      <c r="X19558" s="239" t="n"/>
    </row>
    <row r="19560" ht="14.25" customHeight="1" s="192">
      <c r="W19560" s="235" t="n"/>
      <c r="X19560" s="235" t="n"/>
    </row>
    <row r="19561" ht="15" customHeight="1" s="192" thickBot="1">
      <c r="W19561" s="239" t="n"/>
      <c r="X19561" s="239" t="n"/>
    </row>
    <row r="19562" ht="15" customHeight="1" s="192" thickBot="1">
      <c r="W19562" s="45" t="n"/>
      <c r="X19562" s="45" t="n"/>
    </row>
    <row r="19563" ht="14.25" customHeight="1" s="192">
      <c r="W19563" s="228" t="n"/>
      <c r="X19563" s="228" t="n"/>
    </row>
    <row r="19564" ht="14.25" customHeight="1" s="192">
      <c r="W19564" s="228" t="n"/>
      <c r="X19564" s="228" t="n"/>
    </row>
    <row r="19565" ht="14.25" customHeight="1" s="192">
      <c r="W19565" s="231" t="n"/>
      <c r="X19565" s="231" t="n"/>
    </row>
    <row r="19566" ht="14.25" customHeight="1" s="192">
      <c r="W19566" s="33" t="n"/>
      <c r="X19566" s="33" t="n"/>
    </row>
    <row r="19567" ht="14.25" customHeight="1" s="192">
      <c r="W19567" s="231" t="n"/>
      <c r="X19567" s="231" t="n"/>
    </row>
    <row r="19568" ht="14.25" customHeight="1" s="192">
      <c r="W19568" s="33" t="n"/>
      <c r="X19568" s="33" t="n"/>
    </row>
    <row r="19570" ht="14.25" customHeight="1" s="192">
      <c r="W19570" s="231" t="n"/>
      <c r="X19570" s="231" t="n"/>
    </row>
    <row r="19571" ht="14.25" customHeight="1" s="192">
      <c r="W19571" s="235" t="n"/>
      <c r="X19571" s="235" t="n"/>
    </row>
    <row r="19572" ht="14.25" customHeight="1" s="192">
      <c r="W19572" s="228" t="n"/>
      <c r="X19572" s="228" t="n"/>
    </row>
    <row r="19573" ht="14.25" customHeight="1" s="192">
      <c r="W19573" s="235" t="n"/>
      <c r="X19573" s="235" t="n"/>
    </row>
    <row r="19574" ht="14.25" customHeight="1" s="192">
      <c r="W19574" s="235" t="n"/>
      <c r="X19574" s="235" t="n"/>
    </row>
    <row r="19575" ht="14.25" customHeight="1" s="192">
      <c r="W19575" s="235" t="n"/>
      <c r="X19575" s="235" t="n"/>
    </row>
    <row r="19576" ht="14.25" customHeight="1" s="192">
      <c r="W19576" s="239" t="n"/>
      <c r="X19576" s="239" t="n"/>
    </row>
    <row r="19577" ht="14.25" customHeight="1" s="192">
      <c r="W19577" s="239" t="n"/>
      <c r="X19577" s="239" t="n"/>
    </row>
    <row r="19578" ht="14.25" customHeight="1" s="192">
      <c r="W19578" s="239" t="n"/>
      <c r="X19578" s="239" t="n"/>
    </row>
    <row r="19579" ht="14.25" customHeight="1" s="192">
      <c r="W19579" s="235" t="n"/>
      <c r="X19579" s="235" t="n"/>
    </row>
    <row r="19580" ht="14.25" customHeight="1" s="192">
      <c r="W19580" s="235" t="n"/>
      <c r="X19580" s="235" t="n"/>
    </row>
    <row r="19581" ht="14.25" customHeight="1" s="192">
      <c r="W19581" s="235" t="n"/>
      <c r="X19581" s="235" t="n"/>
    </row>
    <row r="19582" ht="14.25" customHeight="1" s="192">
      <c r="W19582" s="239" t="n"/>
      <c r="X19582" s="239" t="n"/>
    </row>
    <row r="19583" ht="14.25" customHeight="1" s="192">
      <c r="W19583" s="239" t="n"/>
      <c r="X19583" s="239" t="n"/>
    </row>
    <row r="19584" ht="14.25" customHeight="1" s="192">
      <c r="W19584" s="235" t="n"/>
      <c r="X19584" s="235" t="n"/>
    </row>
    <row r="19585" ht="14.25" customHeight="1" s="192">
      <c r="W19585" s="235" t="n"/>
      <c r="X19585" s="235" t="n"/>
    </row>
    <row r="19586" ht="14.25" customHeight="1" s="192">
      <c r="W19586" s="239" t="n"/>
      <c r="X19586" s="239" t="n"/>
    </row>
    <row r="19587" ht="14.25" customHeight="1" s="192">
      <c r="W19587" s="235" t="n"/>
      <c r="X19587" s="235" t="n"/>
    </row>
    <row r="19588" ht="14.25" customHeight="1" s="192">
      <c r="W19588" s="239" t="n"/>
      <c r="X19588" s="239" t="n"/>
    </row>
    <row r="19590" ht="14.25" customHeight="1" s="192">
      <c r="W19590" s="235" t="n"/>
      <c r="X19590" s="235" t="n"/>
    </row>
    <row r="19591" ht="15" customHeight="1" s="192" thickBot="1">
      <c r="W19591" s="239" t="n"/>
      <c r="X19591" s="239" t="n"/>
    </row>
    <row r="19592" ht="15" customHeight="1" s="192" thickBot="1">
      <c r="W19592" s="45" t="n"/>
      <c r="X19592" s="45" t="n"/>
    </row>
    <row r="19593" ht="14.25" customHeight="1" s="192">
      <c r="W19593" s="228" t="n"/>
      <c r="X19593" s="228" t="n"/>
    </row>
    <row r="19594" ht="14.25" customHeight="1" s="192">
      <c r="W19594" s="228" t="n"/>
      <c r="X19594" s="228" t="n"/>
    </row>
    <row r="19595" ht="14.25" customHeight="1" s="192">
      <c r="W19595" s="231" t="n"/>
      <c r="X19595" s="231" t="n"/>
    </row>
    <row r="19596" ht="14.25" customHeight="1" s="192">
      <c r="W19596" s="33" t="n"/>
      <c r="X19596" s="33" t="n"/>
    </row>
    <row r="19597" ht="14.25" customHeight="1" s="192">
      <c r="W19597" s="231" t="n"/>
      <c r="X19597" s="231" t="n"/>
    </row>
    <row r="19598" ht="14.25" customHeight="1" s="192">
      <c r="W19598" s="33" t="n"/>
      <c r="X19598" s="33" t="n"/>
    </row>
    <row r="19600" ht="14.25" customHeight="1" s="192">
      <c r="W19600" s="231" t="n"/>
      <c r="X19600" s="231" t="n"/>
    </row>
    <row r="19601" ht="14.25" customHeight="1" s="192">
      <c r="W19601" s="235" t="n"/>
      <c r="X19601" s="235" t="n"/>
    </row>
    <row r="19602" ht="14.25" customHeight="1" s="192">
      <c r="W19602" s="228" t="n"/>
      <c r="X19602" s="228" t="n"/>
    </row>
    <row r="19603" ht="14.25" customHeight="1" s="192">
      <c r="W19603" s="235" t="n"/>
      <c r="X19603" s="235" t="n"/>
    </row>
    <row r="19604" ht="14.25" customHeight="1" s="192">
      <c r="W19604" s="235" t="n"/>
      <c r="X19604" s="235" t="n"/>
    </row>
    <row r="19605" ht="14.25" customHeight="1" s="192">
      <c r="W19605" s="235" t="n"/>
      <c r="X19605" s="235" t="n"/>
    </row>
    <row r="19606" ht="14.25" customHeight="1" s="192">
      <c r="W19606" s="239" t="n"/>
      <c r="X19606" s="239" t="n"/>
    </row>
    <row r="19607" ht="14.25" customHeight="1" s="192">
      <c r="W19607" s="239" t="n"/>
      <c r="X19607" s="239" t="n"/>
    </row>
    <row r="19608" ht="14.25" customHeight="1" s="192">
      <c r="W19608" s="239" t="n"/>
      <c r="X19608" s="239" t="n"/>
    </row>
    <row r="19609" ht="14.25" customHeight="1" s="192">
      <c r="W19609" s="235" t="n"/>
      <c r="X19609" s="235" t="n"/>
    </row>
    <row r="19610" ht="14.25" customHeight="1" s="192">
      <c r="W19610" s="235" t="n"/>
      <c r="X19610" s="235" t="n"/>
    </row>
    <row r="19611" ht="14.25" customHeight="1" s="192">
      <c r="W19611" s="235" t="n"/>
      <c r="X19611" s="235" t="n"/>
    </row>
    <row r="19612" ht="14.25" customHeight="1" s="192">
      <c r="W19612" s="239" t="n"/>
      <c r="X19612" s="239" t="n"/>
    </row>
    <row r="19613" ht="14.25" customHeight="1" s="192">
      <c r="W19613" s="239" t="n"/>
      <c r="X19613" s="239" t="n"/>
    </row>
    <row r="19614" ht="14.25" customHeight="1" s="192">
      <c r="W19614" s="235" t="n"/>
      <c r="X19614" s="235" t="n"/>
    </row>
    <row r="19615" ht="14.25" customHeight="1" s="192">
      <c r="W19615" s="235" t="n"/>
      <c r="X19615" s="235" t="n"/>
    </row>
    <row r="19616" ht="14.25" customHeight="1" s="192">
      <c r="W19616" s="239" t="n"/>
      <c r="X19616" s="239" t="n"/>
    </row>
    <row r="19617" ht="14.25" customHeight="1" s="192">
      <c r="W19617" s="235" t="n"/>
      <c r="X19617" s="235" t="n"/>
    </row>
    <row r="19618" ht="14.25" customHeight="1" s="192">
      <c r="W19618" s="239" t="n"/>
      <c r="X19618" s="239" t="n"/>
    </row>
    <row r="19620" ht="14.25" customHeight="1" s="192">
      <c r="W19620" s="235" t="n"/>
      <c r="X19620" s="235" t="n"/>
    </row>
    <row r="19621" ht="15" customHeight="1" s="192" thickBot="1">
      <c r="W19621" s="239" t="n"/>
      <c r="X19621" s="239" t="n"/>
    </row>
    <row r="19622" ht="15" customHeight="1" s="192" thickBot="1">
      <c r="W19622" s="45" t="n"/>
      <c r="X19622" s="45" t="n"/>
    </row>
    <row r="19623" ht="14.25" customHeight="1" s="192">
      <c r="W19623" s="228" t="n"/>
      <c r="X19623" s="228" t="n"/>
    </row>
    <row r="19624" ht="14.25" customHeight="1" s="192">
      <c r="W19624" s="228" t="n"/>
      <c r="X19624" s="228" t="n"/>
    </row>
    <row r="19625" ht="14.25" customHeight="1" s="192">
      <c r="W19625" s="231" t="n"/>
      <c r="X19625" s="231" t="n"/>
    </row>
    <row r="19626" ht="14.25" customHeight="1" s="192">
      <c r="W19626" s="33" t="n"/>
      <c r="X19626" s="33" t="n"/>
    </row>
    <row r="19627" ht="14.25" customHeight="1" s="192">
      <c r="W19627" s="231" t="n"/>
      <c r="X19627" s="231" t="n"/>
    </row>
    <row r="19628" ht="14.25" customHeight="1" s="192">
      <c r="W19628" s="33" t="n"/>
      <c r="X19628" s="33" t="n"/>
    </row>
    <row r="19630" ht="14.25" customHeight="1" s="192">
      <c r="W19630" s="231" t="n"/>
      <c r="X19630" s="231" t="n"/>
    </row>
    <row r="19631" ht="14.25" customHeight="1" s="192">
      <c r="W19631" s="235" t="n"/>
      <c r="X19631" s="235" t="n"/>
    </row>
    <row r="19632" ht="14.25" customHeight="1" s="192">
      <c r="W19632" s="228" t="n"/>
      <c r="X19632" s="228" t="n"/>
    </row>
    <row r="19633" ht="14.25" customHeight="1" s="192">
      <c r="W19633" s="235" t="n"/>
      <c r="X19633" s="235" t="n"/>
    </row>
    <row r="19634" ht="14.25" customHeight="1" s="192">
      <c r="W19634" s="235" t="n"/>
      <c r="X19634" s="235" t="n"/>
    </row>
    <row r="19635" ht="14.25" customHeight="1" s="192">
      <c r="W19635" s="235" t="n"/>
      <c r="X19635" s="235" t="n"/>
    </row>
    <row r="19636" ht="14.25" customHeight="1" s="192">
      <c r="W19636" s="239" t="n"/>
      <c r="X19636" s="239" t="n"/>
    </row>
    <row r="19637" ht="14.25" customHeight="1" s="192">
      <c r="W19637" s="239" t="n"/>
      <c r="X19637" s="239" t="n"/>
    </row>
    <row r="19638" ht="14.25" customHeight="1" s="192">
      <c r="W19638" s="239" t="n"/>
      <c r="X19638" s="239" t="n"/>
    </row>
    <row r="19639" ht="14.25" customHeight="1" s="192">
      <c r="W19639" s="235" t="n"/>
      <c r="X19639" s="235" t="n"/>
    </row>
    <row r="19640" ht="14.25" customHeight="1" s="192">
      <c r="W19640" s="235" t="n"/>
      <c r="X19640" s="235" t="n"/>
    </row>
    <row r="19641" ht="14.25" customHeight="1" s="192">
      <c r="W19641" s="235" t="n"/>
      <c r="X19641" s="235" t="n"/>
    </row>
    <row r="19642" ht="14.25" customHeight="1" s="192">
      <c r="W19642" s="239" t="n"/>
      <c r="X19642" s="239" t="n"/>
    </row>
    <row r="19643" ht="14.25" customHeight="1" s="192">
      <c r="W19643" s="239" t="n"/>
      <c r="X19643" s="239" t="n"/>
    </row>
    <row r="19644" ht="14.25" customHeight="1" s="192">
      <c r="W19644" s="235" t="n"/>
      <c r="X19644" s="235" t="n"/>
    </row>
    <row r="19645" ht="14.25" customHeight="1" s="192">
      <c r="W19645" s="235" t="n"/>
      <c r="X19645" s="235" t="n"/>
    </row>
    <row r="19646" ht="14.25" customHeight="1" s="192">
      <c r="W19646" s="239" t="n"/>
      <c r="X19646" s="239" t="n"/>
    </row>
    <row r="19647" ht="14.25" customHeight="1" s="192">
      <c r="W19647" s="235" t="n"/>
      <c r="X19647" s="235" t="n"/>
    </row>
    <row r="19648" ht="14.25" customHeight="1" s="192">
      <c r="W19648" s="239" t="n"/>
      <c r="X19648" s="239" t="n"/>
    </row>
    <row r="19650" ht="14.25" customHeight="1" s="192">
      <c r="W19650" s="235" t="n"/>
      <c r="X19650" s="235" t="n"/>
    </row>
    <row r="19651" ht="15" customHeight="1" s="192" thickBot="1">
      <c r="W19651" s="239" t="n"/>
      <c r="X19651" s="239" t="n"/>
    </row>
    <row r="19652" ht="15" customHeight="1" s="192" thickBot="1">
      <c r="W19652" s="45" t="n"/>
      <c r="X19652" s="45" t="n"/>
    </row>
    <row r="19653" ht="14.25" customHeight="1" s="192">
      <c r="W19653" s="228" t="n"/>
      <c r="X19653" s="228" t="n"/>
    </row>
    <row r="19654" ht="14.25" customHeight="1" s="192">
      <c r="W19654" s="228" t="n"/>
      <c r="X19654" s="228" t="n"/>
    </row>
    <row r="19655" ht="14.25" customHeight="1" s="192">
      <c r="W19655" s="231" t="n"/>
      <c r="X19655" s="231" t="n"/>
    </row>
    <row r="19656" ht="14.25" customHeight="1" s="192">
      <c r="W19656" s="33" t="n"/>
      <c r="X19656" s="33" t="n"/>
    </row>
    <row r="19657" ht="14.25" customHeight="1" s="192">
      <c r="W19657" s="231" t="n"/>
      <c r="X19657" s="231" t="n"/>
    </row>
    <row r="19658" ht="14.25" customHeight="1" s="192">
      <c r="W19658" s="33" t="n"/>
      <c r="X19658" s="33" t="n"/>
    </row>
    <row r="19660" ht="14.25" customHeight="1" s="192">
      <c r="W19660" s="231" t="n"/>
      <c r="X19660" s="231" t="n"/>
    </row>
    <row r="19661" ht="14.25" customHeight="1" s="192">
      <c r="W19661" s="235" t="n"/>
      <c r="X19661" s="235" t="n"/>
    </row>
    <row r="19662" ht="14.25" customHeight="1" s="192">
      <c r="W19662" s="228" t="n"/>
      <c r="X19662" s="228" t="n"/>
    </row>
    <row r="19663" ht="14.25" customHeight="1" s="192">
      <c r="W19663" s="235" t="n"/>
      <c r="X19663" s="235" t="n"/>
    </row>
    <row r="19664" ht="14.25" customHeight="1" s="192">
      <c r="W19664" s="235" t="n"/>
      <c r="X19664" s="235" t="n"/>
    </row>
    <row r="19665" ht="14.25" customHeight="1" s="192">
      <c r="W19665" s="235" t="n"/>
      <c r="X19665" s="235" t="n"/>
    </row>
    <row r="19666" ht="14.25" customHeight="1" s="192">
      <c r="W19666" s="239" t="n"/>
      <c r="X19666" s="239" t="n"/>
    </row>
    <row r="19667" ht="14.25" customHeight="1" s="192">
      <c r="W19667" s="239" t="n"/>
      <c r="X19667" s="239" t="n"/>
    </row>
    <row r="19668" ht="14.25" customHeight="1" s="192">
      <c r="W19668" s="239" t="n"/>
      <c r="X19668" s="239" t="n"/>
    </row>
    <row r="19669" ht="14.25" customHeight="1" s="192">
      <c r="W19669" s="235" t="n"/>
      <c r="X19669" s="235" t="n"/>
    </row>
    <row r="19670" ht="14.25" customHeight="1" s="192">
      <c r="W19670" s="235" t="n"/>
      <c r="X19670" s="235" t="n"/>
    </row>
    <row r="19671" ht="14.25" customHeight="1" s="192">
      <c r="W19671" s="235" t="n"/>
      <c r="X19671" s="235" t="n"/>
    </row>
    <row r="19672" ht="14.25" customHeight="1" s="192">
      <c r="W19672" s="239" t="n"/>
      <c r="X19672" s="239" t="n"/>
    </row>
    <row r="19673" ht="14.25" customHeight="1" s="192">
      <c r="W19673" s="239" t="n"/>
      <c r="X19673" s="239" t="n"/>
    </row>
    <row r="19674" ht="14.25" customHeight="1" s="192">
      <c r="W19674" s="235" t="n"/>
      <c r="X19674" s="235" t="n"/>
    </row>
    <row r="19675" ht="14.25" customHeight="1" s="192">
      <c r="W19675" s="235" t="n"/>
      <c r="X19675" s="235" t="n"/>
    </row>
    <row r="19676" ht="14.25" customHeight="1" s="192">
      <c r="W19676" s="239" t="n"/>
      <c r="X19676" s="239" t="n"/>
    </row>
    <row r="19677" ht="14.25" customHeight="1" s="192">
      <c r="W19677" s="235" t="n"/>
      <c r="X19677" s="235" t="n"/>
    </row>
    <row r="19678" ht="14.25" customHeight="1" s="192">
      <c r="W19678" s="239" t="n"/>
      <c r="X19678" s="239" t="n"/>
    </row>
    <row r="19680" ht="14.25" customHeight="1" s="192">
      <c r="W19680" s="235" t="n"/>
      <c r="X19680" s="235" t="n"/>
    </row>
    <row r="19681" ht="15" customHeight="1" s="192" thickBot="1">
      <c r="W19681" s="239" t="n"/>
      <c r="X19681" s="239" t="n"/>
    </row>
    <row r="19682" ht="15" customHeight="1" s="192" thickBot="1">
      <c r="W19682" s="45" t="n"/>
      <c r="X19682" s="45" t="n"/>
    </row>
    <row r="19683" ht="14.25" customHeight="1" s="192">
      <c r="W19683" s="228" t="n"/>
      <c r="X19683" s="228" t="n"/>
    </row>
    <row r="19684" ht="14.25" customHeight="1" s="192">
      <c r="W19684" s="228" t="n"/>
      <c r="X19684" s="228" t="n"/>
    </row>
    <row r="19685" ht="14.25" customHeight="1" s="192">
      <c r="W19685" s="231" t="n"/>
      <c r="X19685" s="231" t="n"/>
    </row>
    <row r="19686" ht="14.25" customHeight="1" s="192">
      <c r="W19686" s="33" t="n"/>
      <c r="X19686" s="33" t="n"/>
    </row>
    <row r="19687" ht="14.25" customHeight="1" s="192">
      <c r="W19687" s="231" t="n"/>
      <c r="X19687" s="231" t="n"/>
    </row>
    <row r="19688" ht="14.25" customHeight="1" s="192">
      <c r="W19688" s="33" t="n"/>
      <c r="X19688" s="33" t="n"/>
    </row>
    <row r="19690" ht="14.25" customHeight="1" s="192">
      <c r="W19690" s="231" t="n"/>
      <c r="X19690" s="231" t="n"/>
    </row>
    <row r="19691" ht="14.25" customHeight="1" s="192">
      <c r="W19691" s="235" t="n"/>
      <c r="X19691" s="235" t="n"/>
    </row>
    <row r="19692" ht="14.25" customHeight="1" s="192">
      <c r="W19692" s="228" t="n"/>
      <c r="X19692" s="228" t="n"/>
    </row>
    <row r="19693" ht="14.25" customHeight="1" s="192">
      <c r="W19693" s="235" t="n"/>
      <c r="X19693" s="235" t="n"/>
    </row>
    <row r="19694" ht="14.25" customHeight="1" s="192">
      <c r="W19694" s="235" t="n"/>
      <c r="X19694" s="235" t="n"/>
    </row>
    <row r="19695" ht="14.25" customHeight="1" s="192">
      <c r="W19695" s="235" t="n"/>
      <c r="X19695" s="235" t="n"/>
    </row>
    <row r="19696" ht="14.25" customHeight="1" s="192">
      <c r="W19696" s="239" t="n"/>
      <c r="X19696" s="239" t="n"/>
    </row>
    <row r="19697" ht="14.25" customHeight="1" s="192">
      <c r="W19697" s="239" t="n"/>
      <c r="X19697" s="239" t="n"/>
    </row>
    <row r="19698" ht="14.25" customHeight="1" s="192">
      <c r="W19698" s="239" t="n"/>
      <c r="X19698" s="239" t="n"/>
    </row>
    <row r="19699" ht="14.25" customHeight="1" s="192">
      <c r="W19699" s="235" t="n"/>
      <c r="X19699" s="235" t="n"/>
    </row>
    <row r="19700" ht="14.25" customHeight="1" s="192">
      <c r="W19700" s="235" t="n"/>
      <c r="X19700" s="235" t="n"/>
    </row>
    <row r="19701" ht="14.25" customHeight="1" s="192">
      <c r="W19701" s="235" t="n"/>
      <c r="X19701" s="235" t="n"/>
    </row>
    <row r="19702" ht="14.25" customHeight="1" s="192">
      <c r="W19702" s="239" t="n"/>
      <c r="X19702" s="239" t="n"/>
    </row>
    <row r="19703" ht="14.25" customHeight="1" s="192">
      <c r="W19703" s="239" t="n"/>
      <c r="X19703" s="239" t="n"/>
    </row>
    <row r="19704" ht="14.25" customHeight="1" s="192">
      <c r="W19704" s="235" t="n"/>
      <c r="X19704" s="235" t="n"/>
    </row>
    <row r="19705" ht="14.25" customHeight="1" s="192">
      <c r="W19705" s="235" t="n"/>
      <c r="X19705" s="235" t="n"/>
    </row>
    <row r="19706" ht="14.25" customHeight="1" s="192">
      <c r="W19706" s="239" t="n"/>
      <c r="X19706" s="239" t="n"/>
    </row>
    <row r="19707" ht="14.25" customHeight="1" s="192">
      <c r="W19707" s="235" t="n"/>
      <c r="X19707" s="235" t="n"/>
    </row>
    <row r="19708" ht="14.25" customHeight="1" s="192">
      <c r="W19708" s="239" t="n"/>
      <c r="X19708" s="239" t="n"/>
    </row>
    <row r="19710" ht="14.25" customHeight="1" s="192">
      <c r="W19710" s="235" t="n"/>
      <c r="X19710" s="235" t="n"/>
    </row>
    <row r="19711" ht="15" customHeight="1" s="192" thickBot="1">
      <c r="W19711" s="239" t="n"/>
      <c r="X19711" s="239" t="n"/>
    </row>
    <row r="19712" ht="15" customHeight="1" s="192" thickBot="1">
      <c r="W19712" s="45" t="n"/>
      <c r="X19712" s="45" t="n"/>
    </row>
    <row r="19713" ht="14.25" customHeight="1" s="192">
      <c r="W19713" s="228" t="n"/>
      <c r="X19713" s="228" t="n"/>
    </row>
    <row r="19714" ht="14.25" customHeight="1" s="192">
      <c r="W19714" s="228" t="n"/>
      <c r="X19714" s="228" t="n"/>
    </row>
    <row r="19715" ht="14.25" customHeight="1" s="192">
      <c r="W19715" s="231" t="n"/>
      <c r="X19715" s="231" t="n"/>
    </row>
    <row r="19716" ht="14.25" customHeight="1" s="192">
      <c r="W19716" s="33" t="n"/>
      <c r="X19716" s="33" t="n"/>
    </row>
    <row r="19717" ht="14.25" customHeight="1" s="192">
      <c r="W19717" s="231" t="n"/>
      <c r="X19717" s="231" t="n"/>
    </row>
    <row r="19718" ht="14.25" customHeight="1" s="192">
      <c r="W19718" s="33" t="n"/>
      <c r="X19718" s="33" t="n"/>
    </row>
    <row r="19720" ht="14.25" customHeight="1" s="192">
      <c r="W19720" s="231" t="n"/>
      <c r="X19720" s="231" t="n"/>
    </row>
    <row r="19721" ht="14.25" customHeight="1" s="192">
      <c r="W19721" s="235" t="n"/>
      <c r="X19721" s="235" t="n"/>
    </row>
    <row r="19722" ht="14.25" customHeight="1" s="192">
      <c r="W19722" s="228" t="n"/>
      <c r="X19722" s="228" t="n"/>
    </row>
    <row r="19723" ht="14.25" customHeight="1" s="192">
      <c r="W19723" s="235" t="n"/>
      <c r="X19723" s="235" t="n"/>
    </row>
    <row r="19724" ht="14.25" customHeight="1" s="192">
      <c r="W19724" s="235" t="n"/>
      <c r="X19724" s="235" t="n"/>
    </row>
    <row r="19725" ht="14.25" customHeight="1" s="192">
      <c r="W19725" s="235" t="n"/>
      <c r="X19725" s="235" t="n"/>
    </row>
    <row r="19726" ht="14.25" customHeight="1" s="192">
      <c r="W19726" s="239" t="n"/>
      <c r="X19726" s="239" t="n"/>
    </row>
    <row r="19727" ht="14.25" customHeight="1" s="192">
      <c r="W19727" s="239" t="n"/>
      <c r="X19727" s="239" t="n"/>
    </row>
    <row r="19728" ht="14.25" customHeight="1" s="192">
      <c r="W19728" s="239" t="n"/>
      <c r="X19728" s="239" t="n"/>
    </row>
    <row r="19729" ht="14.25" customHeight="1" s="192">
      <c r="W19729" s="235" t="n"/>
      <c r="X19729" s="235" t="n"/>
    </row>
    <row r="19730" ht="14.25" customHeight="1" s="192">
      <c r="W19730" s="235" t="n"/>
      <c r="X19730" s="235" t="n"/>
    </row>
    <row r="19731" ht="14.25" customHeight="1" s="192">
      <c r="W19731" s="235" t="n"/>
      <c r="X19731" s="235" t="n"/>
    </row>
    <row r="19732" ht="14.25" customHeight="1" s="192">
      <c r="W19732" s="239" t="n"/>
      <c r="X19732" s="239" t="n"/>
    </row>
    <row r="19733" ht="14.25" customHeight="1" s="192">
      <c r="W19733" s="239" t="n"/>
      <c r="X19733" s="239" t="n"/>
    </row>
    <row r="19734" ht="14.25" customHeight="1" s="192">
      <c r="W19734" s="235" t="n"/>
      <c r="X19734" s="235" t="n"/>
    </row>
    <row r="19735" ht="14.25" customHeight="1" s="192">
      <c r="W19735" s="235" t="n"/>
      <c r="X19735" s="235" t="n"/>
    </row>
    <row r="19736" ht="14.25" customHeight="1" s="192">
      <c r="W19736" s="239" t="n"/>
      <c r="X19736" s="239" t="n"/>
    </row>
    <row r="19737" ht="14.25" customHeight="1" s="192">
      <c r="W19737" s="235" t="n"/>
      <c r="X19737" s="235" t="n"/>
    </row>
    <row r="19738" ht="14.25" customHeight="1" s="192">
      <c r="W19738" s="239" t="n"/>
      <c r="X19738" s="239" t="n"/>
    </row>
    <row r="19740" ht="14.25" customHeight="1" s="192">
      <c r="W19740" s="235" t="n"/>
      <c r="X19740" s="235" t="n"/>
    </row>
    <row r="19741" ht="15" customHeight="1" s="192" thickBot="1">
      <c r="W19741" s="239" t="n"/>
      <c r="X19741" s="239" t="n"/>
    </row>
    <row r="19742" ht="15" customHeight="1" s="192" thickBot="1">
      <c r="W19742" s="45" t="n"/>
      <c r="X19742" s="45" t="n"/>
    </row>
    <row r="19743" ht="14.25" customHeight="1" s="192">
      <c r="W19743" s="228" t="n"/>
      <c r="X19743" s="228" t="n"/>
    </row>
    <row r="19744" ht="14.25" customHeight="1" s="192">
      <c r="W19744" s="228" t="n"/>
      <c r="X19744" s="228" t="n"/>
    </row>
    <row r="19745" ht="14.25" customHeight="1" s="192">
      <c r="W19745" s="231" t="n"/>
      <c r="X19745" s="231" t="n"/>
    </row>
    <row r="19746" ht="14.25" customHeight="1" s="192">
      <c r="W19746" s="33" t="n"/>
      <c r="X19746" s="33" t="n"/>
    </row>
    <row r="19747" ht="14.25" customHeight="1" s="192">
      <c r="W19747" s="231" t="n"/>
      <c r="X19747" s="231" t="n"/>
    </row>
    <row r="19748" ht="14.25" customHeight="1" s="192">
      <c r="W19748" s="33" t="n"/>
      <c r="X19748" s="33" t="n"/>
    </row>
    <row r="19750" ht="14.25" customHeight="1" s="192">
      <c r="W19750" s="231" t="n"/>
      <c r="X19750" s="231" t="n"/>
    </row>
    <row r="19751" ht="14.25" customHeight="1" s="192">
      <c r="W19751" s="235" t="n"/>
      <c r="X19751" s="235" t="n"/>
    </row>
    <row r="19752" ht="14.25" customHeight="1" s="192">
      <c r="W19752" s="228" t="n"/>
      <c r="X19752" s="228" t="n"/>
    </row>
    <row r="19753" ht="14.25" customHeight="1" s="192">
      <c r="W19753" s="235" t="n"/>
      <c r="X19753" s="235" t="n"/>
    </row>
    <row r="19754" ht="14.25" customHeight="1" s="192">
      <c r="W19754" s="235" t="n"/>
      <c r="X19754" s="235" t="n"/>
    </row>
    <row r="19755" ht="14.25" customHeight="1" s="192">
      <c r="W19755" s="235" t="n"/>
      <c r="X19755" s="235" t="n"/>
    </row>
    <row r="19756" ht="14.25" customHeight="1" s="192">
      <c r="W19756" s="239" t="n"/>
      <c r="X19756" s="239" t="n"/>
    </row>
    <row r="19757" ht="14.25" customHeight="1" s="192">
      <c r="W19757" s="239" t="n"/>
      <c r="X19757" s="239" t="n"/>
    </row>
    <row r="19758" ht="14.25" customHeight="1" s="192">
      <c r="W19758" s="239" t="n"/>
      <c r="X19758" s="239" t="n"/>
    </row>
    <row r="19759" ht="14.25" customHeight="1" s="192">
      <c r="W19759" s="235" t="n"/>
      <c r="X19759" s="235" t="n"/>
    </row>
    <row r="19760" ht="14.25" customHeight="1" s="192">
      <c r="W19760" s="235" t="n"/>
      <c r="X19760" s="235" t="n"/>
    </row>
    <row r="19761" ht="14.25" customHeight="1" s="192">
      <c r="W19761" s="235" t="n"/>
      <c r="X19761" s="235" t="n"/>
    </row>
    <row r="19762" ht="14.25" customHeight="1" s="192">
      <c r="W19762" s="239" t="n"/>
      <c r="X19762" s="239" t="n"/>
    </row>
    <row r="19763" ht="14.25" customHeight="1" s="192">
      <c r="W19763" s="239" t="n"/>
      <c r="X19763" s="239" t="n"/>
    </row>
    <row r="19764" ht="14.25" customHeight="1" s="192">
      <c r="W19764" s="235" t="n"/>
      <c r="X19764" s="235" t="n"/>
    </row>
    <row r="19765" ht="14.25" customHeight="1" s="192">
      <c r="W19765" s="235" t="n"/>
      <c r="X19765" s="235" t="n"/>
    </row>
    <row r="19766" ht="14.25" customHeight="1" s="192">
      <c r="W19766" s="239" t="n"/>
      <c r="X19766" s="239" t="n"/>
    </row>
    <row r="19767" ht="14.25" customHeight="1" s="192">
      <c r="W19767" s="235" t="n"/>
      <c r="X19767" s="235" t="n"/>
    </row>
    <row r="19768" ht="14.25" customHeight="1" s="192">
      <c r="W19768" s="239" t="n"/>
      <c r="X19768" s="239" t="n"/>
    </row>
    <row r="19770" ht="14.25" customHeight="1" s="192">
      <c r="W19770" s="235" t="n"/>
      <c r="X19770" s="235" t="n"/>
    </row>
    <row r="19771" ht="15" customHeight="1" s="192" thickBot="1">
      <c r="W19771" s="239" t="n"/>
      <c r="X19771" s="239" t="n"/>
    </row>
    <row r="19772" ht="15" customHeight="1" s="192" thickBot="1">
      <c r="W19772" s="45" t="n"/>
      <c r="X19772" s="45" t="n"/>
    </row>
    <row r="19773" ht="14.25" customHeight="1" s="192">
      <c r="W19773" s="228" t="n"/>
      <c r="X19773" s="228" t="n"/>
    </row>
    <row r="19774" ht="14.25" customHeight="1" s="192">
      <c r="W19774" s="228" t="n"/>
      <c r="X19774" s="228" t="n"/>
    </row>
    <row r="19775" ht="14.25" customHeight="1" s="192">
      <c r="W19775" s="231" t="n"/>
      <c r="X19775" s="231" t="n"/>
    </row>
    <row r="19776" ht="14.25" customHeight="1" s="192">
      <c r="W19776" s="33" t="n"/>
      <c r="X19776" s="33" t="n"/>
    </row>
    <row r="19777" ht="14.25" customHeight="1" s="192">
      <c r="W19777" s="231" t="n"/>
      <c r="X19777" s="231" t="n"/>
    </row>
    <row r="19778" ht="14.25" customHeight="1" s="192">
      <c r="W19778" s="33" t="n"/>
      <c r="X19778" s="33" t="n"/>
    </row>
    <row r="19780" ht="14.25" customHeight="1" s="192">
      <c r="W19780" s="231" t="n"/>
      <c r="X19780" s="231" t="n"/>
    </row>
    <row r="19781" ht="14.25" customHeight="1" s="192">
      <c r="W19781" s="235" t="n"/>
      <c r="X19781" s="235" t="n"/>
    </row>
    <row r="19782" ht="14.25" customHeight="1" s="192">
      <c r="W19782" s="228" t="n"/>
      <c r="X19782" s="228" t="n"/>
    </row>
    <row r="19783" ht="14.25" customHeight="1" s="192">
      <c r="W19783" s="235" t="n"/>
      <c r="X19783" s="235" t="n"/>
    </row>
    <row r="19784" ht="14.25" customHeight="1" s="192">
      <c r="W19784" s="235" t="n"/>
      <c r="X19784" s="235" t="n"/>
    </row>
    <row r="19785" ht="14.25" customHeight="1" s="192">
      <c r="W19785" s="235" t="n"/>
      <c r="X19785" s="235" t="n"/>
    </row>
    <row r="19786" ht="14.25" customHeight="1" s="192">
      <c r="W19786" s="239" t="n"/>
      <c r="X19786" s="239" t="n"/>
    </row>
    <row r="19787" ht="14.25" customHeight="1" s="192">
      <c r="W19787" s="239" t="n"/>
      <c r="X19787" s="239" t="n"/>
    </row>
    <row r="19788" ht="14.25" customHeight="1" s="192">
      <c r="W19788" s="239" t="n"/>
      <c r="X19788" s="239" t="n"/>
    </row>
    <row r="19789" ht="14.25" customHeight="1" s="192">
      <c r="W19789" s="235" t="n"/>
      <c r="X19789" s="235" t="n"/>
    </row>
    <row r="19790" ht="14.25" customHeight="1" s="192">
      <c r="W19790" s="235" t="n"/>
      <c r="X19790" s="235" t="n"/>
    </row>
    <row r="19791" ht="14.25" customHeight="1" s="192">
      <c r="W19791" s="235" t="n"/>
      <c r="X19791" s="235" t="n"/>
    </row>
    <row r="19792" ht="14.25" customHeight="1" s="192">
      <c r="W19792" s="239" t="n"/>
      <c r="X19792" s="239" t="n"/>
    </row>
    <row r="19793" ht="14.25" customHeight="1" s="192">
      <c r="W19793" s="239" t="n"/>
      <c r="X19793" s="239" t="n"/>
    </row>
    <row r="19794" ht="14.25" customHeight="1" s="192">
      <c r="W19794" s="235" t="n"/>
      <c r="X19794" s="235" t="n"/>
    </row>
    <row r="19795" ht="14.25" customHeight="1" s="192">
      <c r="W19795" s="235" t="n"/>
      <c r="X19795" s="235" t="n"/>
    </row>
    <row r="19796" ht="14.25" customHeight="1" s="192">
      <c r="W19796" s="239" t="n"/>
      <c r="X19796" s="239" t="n"/>
    </row>
    <row r="19797" ht="14.25" customHeight="1" s="192">
      <c r="W19797" s="235" t="n"/>
      <c r="X19797" s="235" t="n"/>
    </row>
    <row r="19798" ht="14.25" customHeight="1" s="192">
      <c r="W19798" s="239" t="n"/>
      <c r="X19798" s="239" t="n"/>
    </row>
    <row r="19800" ht="14.25" customHeight="1" s="192">
      <c r="W19800" s="235" t="n"/>
      <c r="X19800" s="235" t="n"/>
    </row>
    <row r="19801" ht="15" customHeight="1" s="192" thickBot="1">
      <c r="W19801" s="239" t="n"/>
      <c r="X19801" s="239" t="n"/>
    </row>
    <row r="19802" ht="15" customHeight="1" s="192" thickBot="1">
      <c r="W19802" s="45" t="n"/>
      <c r="X19802" s="45" t="n"/>
    </row>
    <row r="19803" ht="14.25" customHeight="1" s="192">
      <c r="W19803" s="228" t="n"/>
      <c r="X19803" s="228" t="n"/>
    </row>
    <row r="19804" ht="14.25" customHeight="1" s="192">
      <c r="W19804" s="228" t="n"/>
      <c r="X19804" s="228" t="n"/>
    </row>
    <row r="19805" ht="14.25" customHeight="1" s="192">
      <c r="W19805" s="231" t="n"/>
      <c r="X19805" s="231" t="n"/>
    </row>
    <row r="19806" ht="14.25" customHeight="1" s="192">
      <c r="W19806" s="33" t="n"/>
      <c r="X19806" s="33" t="n"/>
    </row>
    <row r="19807" ht="14.25" customHeight="1" s="192">
      <c r="W19807" s="231" t="n"/>
      <c r="X19807" s="231" t="n"/>
    </row>
    <row r="19808" ht="14.25" customHeight="1" s="192">
      <c r="W19808" s="33" t="n"/>
      <c r="X19808" s="33" t="n"/>
    </row>
    <row r="19810" ht="14.25" customHeight="1" s="192">
      <c r="W19810" s="231" t="n"/>
      <c r="X19810" s="231" t="n"/>
    </row>
    <row r="19811" ht="14.25" customHeight="1" s="192">
      <c r="W19811" s="235" t="n"/>
      <c r="X19811" s="235" t="n"/>
    </row>
    <row r="19812" ht="14.25" customHeight="1" s="192">
      <c r="W19812" s="228" t="n"/>
      <c r="X19812" s="228" t="n"/>
    </row>
    <row r="19813" ht="14.25" customHeight="1" s="192">
      <c r="W19813" s="235" t="n"/>
      <c r="X19813" s="235" t="n"/>
    </row>
    <row r="19814" ht="14.25" customHeight="1" s="192">
      <c r="W19814" s="235" t="n"/>
      <c r="X19814" s="235" t="n"/>
    </row>
    <row r="19815" ht="14.25" customHeight="1" s="192">
      <c r="W19815" s="235" t="n"/>
      <c r="X19815" s="235" t="n"/>
    </row>
    <row r="19816" ht="14.25" customHeight="1" s="192">
      <c r="W19816" s="239" t="n"/>
      <c r="X19816" s="239" t="n"/>
    </row>
    <row r="19817" ht="14.25" customHeight="1" s="192">
      <c r="W19817" s="239" t="n"/>
      <c r="X19817" s="239" t="n"/>
    </row>
    <row r="19818" ht="14.25" customHeight="1" s="192">
      <c r="W19818" s="239" t="n"/>
      <c r="X19818" s="239" t="n"/>
    </row>
    <row r="19819" ht="14.25" customHeight="1" s="192">
      <c r="W19819" s="235" t="n"/>
      <c r="X19819" s="235" t="n"/>
    </row>
    <row r="19820" ht="14.25" customHeight="1" s="192">
      <c r="W19820" s="235" t="n"/>
      <c r="X19820" s="235" t="n"/>
    </row>
    <row r="19821" ht="14.25" customHeight="1" s="192">
      <c r="W19821" s="235" t="n"/>
      <c r="X19821" s="235" t="n"/>
    </row>
    <row r="19822" ht="14.25" customHeight="1" s="192">
      <c r="W19822" s="239" t="n"/>
      <c r="X19822" s="239" t="n"/>
    </row>
    <row r="19823" ht="14.25" customHeight="1" s="192">
      <c r="W19823" s="239" t="n"/>
      <c r="X19823" s="239" t="n"/>
    </row>
    <row r="19824" ht="14.25" customHeight="1" s="192">
      <c r="W19824" s="235" t="n"/>
      <c r="X19824" s="235" t="n"/>
    </row>
    <row r="19825" ht="14.25" customHeight="1" s="192">
      <c r="W19825" s="235" t="n"/>
      <c r="X19825" s="235" t="n"/>
    </row>
    <row r="19826" ht="14.25" customHeight="1" s="192">
      <c r="W19826" s="239" t="n"/>
      <c r="X19826" s="239" t="n"/>
    </row>
    <row r="19827" ht="14.25" customHeight="1" s="192">
      <c r="W19827" s="235" t="n"/>
      <c r="X19827" s="235" t="n"/>
    </row>
    <row r="19828" ht="14.25" customHeight="1" s="192">
      <c r="W19828" s="239" t="n"/>
      <c r="X19828" s="239" t="n"/>
    </row>
    <row r="19830" ht="14.25" customHeight="1" s="192">
      <c r="W19830" s="235" t="n"/>
      <c r="X19830" s="235" t="n"/>
    </row>
    <row r="19831" ht="15" customHeight="1" s="192" thickBot="1">
      <c r="W19831" s="239" t="n"/>
      <c r="X19831" s="239" t="n"/>
    </row>
    <row r="19832" ht="15" customHeight="1" s="192" thickBot="1">
      <c r="W19832" s="45" t="n"/>
      <c r="X19832" s="45" t="n"/>
    </row>
    <row r="19833" ht="14.25" customHeight="1" s="192">
      <c r="W19833" s="228" t="n"/>
      <c r="X19833" s="228" t="n"/>
    </row>
    <row r="19834" ht="14.25" customHeight="1" s="192">
      <c r="W19834" s="228" t="n"/>
      <c r="X19834" s="228" t="n"/>
    </row>
    <row r="19835" ht="14.25" customHeight="1" s="192">
      <c r="W19835" s="231" t="n"/>
      <c r="X19835" s="231" t="n"/>
    </row>
    <row r="19836" ht="14.25" customHeight="1" s="192">
      <c r="W19836" s="33" t="n"/>
      <c r="X19836" s="33" t="n"/>
    </row>
    <row r="19837" ht="14.25" customHeight="1" s="192">
      <c r="W19837" s="231" t="n"/>
      <c r="X19837" s="231" t="n"/>
    </row>
    <row r="19838" ht="14.25" customHeight="1" s="192">
      <c r="W19838" s="33" t="n"/>
      <c r="X19838" s="33" t="n"/>
    </row>
    <row r="19840" ht="14.25" customHeight="1" s="192">
      <c r="W19840" s="231" t="n"/>
      <c r="X19840" s="231" t="n"/>
    </row>
    <row r="19841" ht="14.25" customHeight="1" s="192">
      <c r="W19841" s="235" t="n"/>
      <c r="X19841" s="235" t="n"/>
    </row>
    <row r="19842" ht="14.25" customHeight="1" s="192">
      <c r="W19842" s="228" t="n"/>
      <c r="X19842" s="228" t="n"/>
    </row>
    <row r="19843" ht="14.25" customHeight="1" s="192">
      <c r="W19843" s="235" t="n"/>
      <c r="X19843" s="235" t="n"/>
    </row>
    <row r="19844" ht="14.25" customHeight="1" s="192">
      <c r="W19844" s="235" t="n"/>
      <c r="X19844" s="235" t="n"/>
    </row>
    <row r="19845" ht="14.25" customHeight="1" s="192">
      <c r="W19845" s="235" t="n"/>
      <c r="X19845" s="235" t="n"/>
    </row>
    <row r="19846" ht="14.25" customHeight="1" s="192">
      <c r="W19846" s="239" t="n"/>
      <c r="X19846" s="239" t="n"/>
    </row>
    <row r="19847" ht="14.25" customHeight="1" s="192">
      <c r="W19847" s="239" t="n"/>
      <c r="X19847" s="239" t="n"/>
    </row>
    <row r="19848" ht="14.25" customHeight="1" s="192">
      <c r="W19848" s="239" t="n"/>
      <c r="X19848" s="239" t="n"/>
    </row>
    <row r="19849" ht="14.25" customHeight="1" s="192">
      <c r="W19849" s="235" t="n"/>
      <c r="X19849" s="235" t="n"/>
    </row>
    <row r="19850" ht="14.25" customHeight="1" s="192">
      <c r="W19850" s="235" t="n"/>
      <c r="X19850" s="235" t="n"/>
    </row>
    <row r="19851" ht="14.25" customHeight="1" s="192">
      <c r="W19851" s="235" t="n"/>
      <c r="X19851" s="235" t="n"/>
    </row>
    <row r="19852" ht="14.25" customHeight="1" s="192">
      <c r="W19852" s="239" t="n"/>
      <c r="X19852" s="239" t="n"/>
    </row>
    <row r="19853" ht="14.25" customHeight="1" s="192">
      <c r="W19853" s="239" t="n"/>
      <c r="X19853" s="239" t="n"/>
    </row>
    <row r="19854" ht="14.25" customHeight="1" s="192">
      <c r="W19854" s="235" t="n"/>
      <c r="X19854" s="235" t="n"/>
    </row>
    <row r="19855" ht="14.25" customHeight="1" s="192">
      <c r="W19855" s="235" t="n"/>
      <c r="X19855" s="235" t="n"/>
    </row>
    <row r="19856" ht="14.25" customHeight="1" s="192">
      <c r="W19856" s="239" t="n"/>
      <c r="X19856" s="239" t="n"/>
    </row>
    <row r="19857" ht="14.25" customHeight="1" s="192">
      <c r="W19857" s="235" t="n"/>
      <c r="X19857" s="235" t="n"/>
    </row>
    <row r="19858" ht="14.25" customHeight="1" s="192">
      <c r="W19858" s="239" t="n"/>
      <c r="X19858" s="239" t="n"/>
    </row>
    <row r="19860" ht="14.25" customHeight="1" s="192">
      <c r="W19860" s="235" t="n"/>
      <c r="X19860" s="235" t="n"/>
    </row>
    <row r="19861" ht="15" customHeight="1" s="192" thickBot="1">
      <c r="W19861" s="239" t="n"/>
      <c r="X19861" s="239" t="n"/>
    </row>
    <row r="19862" ht="15" customHeight="1" s="192" thickBot="1">
      <c r="W19862" s="45" t="n"/>
      <c r="X19862" s="45" t="n"/>
    </row>
    <row r="19863" ht="14.25" customHeight="1" s="192">
      <c r="W19863" s="228" t="n"/>
      <c r="X19863" s="228" t="n"/>
    </row>
    <row r="19864" ht="14.25" customHeight="1" s="192">
      <c r="W19864" s="228" t="n"/>
      <c r="X19864" s="228" t="n"/>
    </row>
    <row r="19865" ht="14.25" customHeight="1" s="192">
      <c r="W19865" s="231" t="n"/>
      <c r="X19865" s="231" t="n"/>
    </row>
    <row r="19866" ht="14.25" customHeight="1" s="192">
      <c r="W19866" s="33" t="n"/>
      <c r="X19866" s="33" t="n"/>
    </row>
    <row r="19867" ht="14.25" customHeight="1" s="192">
      <c r="W19867" s="231" t="n"/>
      <c r="X19867" s="231" t="n"/>
    </row>
    <row r="19868" ht="14.25" customHeight="1" s="192">
      <c r="W19868" s="33" t="n"/>
      <c r="X19868" s="33" t="n"/>
    </row>
    <row r="19870" ht="14.25" customHeight="1" s="192">
      <c r="W19870" s="231" t="n"/>
      <c r="X19870" s="231" t="n"/>
    </row>
    <row r="19871" ht="14.25" customHeight="1" s="192">
      <c r="W19871" s="235" t="n"/>
      <c r="X19871" s="235" t="n"/>
    </row>
    <row r="19872" ht="14.25" customHeight="1" s="192">
      <c r="W19872" s="228" t="n"/>
      <c r="X19872" s="228" t="n"/>
    </row>
    <row r="19873" ht="14.25" customHeight="1" s="192">
      <c r="W19873" s="235" t="n"/>
      <c r="X19873" s="235" t="n"/>
    </row>
    <row r="19874" ht="14.25" customHeight="1" s="192">
      <c r="W19874" s="235" t="n"/>
      <c r="X19874" s="235" t="n"/>
    </row>
    <row r="19875" ht="14.25" customHeight="1" s="192">
      <c r="W19875" s="235" t="n"/>
      <c r="X19875" s="235" t="n"/>
    </row>
    <row r="19876" ht="14.25" customHeight="1" s="192">
      <c r="W19876" s="239" t="n"/>
      <c r="X19876" s="239" t="n"/>
    </row>
    <row r="19877" ht="14.25" customHeight="1" s="192">
      <c r="W19877" s="239" t="n"/>
      <c r="X19877" s="239" t="n"/>
    </row>
    <row r="19878" ht="14.25" customHeight="1" s="192">
      <c r="W19878" s="239" t="n"/>
      <c r="X19878" s="239" t="n"/>
    </row>
    <row r="19879" ht="14.25" customHeight="1" s="192">
      <c r="W19879" s="235" t="n"/>
      <c r="X19879" s="235" t="n"/>
    </row>
    <row r="19880" ht="14.25" customHeight="1" s="192">
      <c r="W19880" s="235" t="n"/>
      <c r="X19880" s="235" t="n"/>
    </row>
    <row r="19881" ht="14.25" customHeight="1" s="192">
      <c r="W19881" s="235" t="n"/>
      <c r="X19881" s="235" t="n"/>
    </row>
    <row r="19882" ht="14.25" customHeight="1" s="192">
      <c r="W19882" s="239" t="n"/>
      <c r="X19882" s="239" t="n"/>
    </row>
    <row r="19883" ht="14.25" customHeight="1" s="192">
      <c r="W19883" s="239" t="n"/>
      <c r="X19883" s="239" t="n"/>
    </row>
    <row r="19884" ht="14.25" customHeight="1" s="192">
      <c r="W19884" s="235" t="n"/>
      <c r="X19884" s="235" t="n"/>
    </row>
    <row r="19885" ht="14.25" customHeight="1" s="192">
      <c r="W19885" s="235" t="n"/>
      <c r="X19885" s="235" t="n"/>
    </row>
    <row r="19886" ht="14.25" customHeight="1" s="192">
      <c r="W19886" s="239" t="n"/>
      <c r="X19886" s="239" t="n"/>
    </row>
    <row r="19887" ht="14.25" customHeight="1" s="192">
      <c r="W19887" s="235" t="n"/>
      <c r="X19887" s="235" t="n"/>
    </row>
    <row r="19888" ht="14.25" customHeight="1" s="192">
      <c r="W19888" s="239" t="n"/>
      <c r="X19888" s="239" t="n"/>
    </row>
    <row r="19890" ht="14.25" customHeight="1" s="192">
      <c r="W19890" s="235" t="n"/>
      <c r="X19890" s="235" t="n"/>
    </row>
    <row r="19891" ht="15" customHeight="1" s="192" thickBot="1">
      <c r="W19891" s="239" t="n"/>
      <c r="X19891" s="239" t="n"/>
    </row>
    <row r="19892" ht="15" customHeight="1" s="192" thickBot="1">
      <c r="W19892" s="45" t="n"/>
      <c r="X19892" s="45" t="n"/>
    </row>
    <row r="19893" ht="14.25" customHeight="1" s="192">
      <c r="W19893" s="228" t="n"/>
      <c r="X19893" s="228" t="n"/>
    </row>
    <row r="19894" ht="14.25" customHeight="1" s="192">
      <c r="W19894" s="228" t="n"/>
      <c r="X19894" s="228" t="n"/>
    </row>
    <row r="19895" ht="14.25" customHeight="1" s="192">
      <c r="W19895" s="231" t="n"/>
      <c r="X19895" s="231" t="n"/>
    </row>
    <row r="19896" ht="14.25" customHeight="1" s="192">
      <c r="W19896" s="33" t="n"/>
      <c r="X19896" s="33" t="n"/>
    </row>
    <row r="19897" ht="14.25" customHeight="1" s="192">
      <c r="W19897" s="231" t="n"/>
      <c r="X19897" s="231" t="n"/>
    </row>
    <row r="19898" ht="14.25" customHeight="1" s="192">
      <c r="W19898" s="33" t="n"/>
      <c r="X19898" s="33" t="n"/>
    </row>
    <row r="19900" ht="14.25" customHeight="1" s="192">
      <c r="W19900" s="231" t="n"/>
      <c r="X19900" s="231" t="n"/>
    </row>
    <row r="19901" ht="14.25" customHeight="1" s="192">
      <c r="W19901" s="235" t="n"/>
      <c r="X19901" s="235" t="n"/>
    </row>
    <row r="19902" ht="14.25" customHeight="1" s="192">
      <c r="W19902" s="228" t="n"/>
      <c r="X19902" s="228" t="n"/>
    </row>
    <row r="19903" ht="14.25" customHeight="1" s="192">
      <c r="W19903" s="235" t="n"/>
      <c r="X19903" s="235" t="n"/>
    </row>
    <row r="19904" ht="14.25" customHeight="1" s="192">
      <c r="W19904" s="235" t="n"/>
      <c r="X19904" s="235" t="n"/>
    </row>
    <row r="19905" ht="14.25" customHeight="1" s="192">
      <c r="W19905" s="235" t="n"/>
      <c r="X19905" s="235" t="n"/>
    </row>
    <row r="19906" ht="14.25" customHeight="1" s="192">
      <c r="W19906" s="239" t="n"/>
      <c r="X19906" s="239" t="n"/>
    </row>
    <row r="19907" ht="14.25" customHeight="1" s="192">
      <c r="W19907" s="239" t="n"/>
      <c r="X19907" s="239" t="n"/>
    </row>
    <row r="19908" ht="14.25" customHeight="1" s="192">
      <c r="W19908" s="239" t="n"/>
      <c r="X19908" s="239" t="n"/>
    </row>
    <row r="19909" ht="14.25" customHeight="1" s="192">
      <c r="W19909" s="235" t="n"/>
      <c r="X19909" s="235" t="n"/>
    </row>
    <row r="19910" ht="14.25" customHeight="1" s="192">
      <c r="W19910" s="235" t="n"/>
      <c r="X19910" s="235" t="n"/>
    </row>
    <row r="19911" ht="14.25" customHeight="1" s="192">
      <c r="W19911" s="235" t="n"/>
      <c r="X19911" s="235" t="n"/>
    </row>
    <row r="19912" ht="14.25" customHeight="1" s="192">
      <c r="W19912" s="239" t="n"/>
      <c r="X19912" s="239" t="n"/>
    </row>
    <row r="19913" ht="14.25" customHeight="1" s="192">
      <c r="W19913" s="239" t="n"/>
      <c r="X19913" s="239" t="n"/>
    </row>
    <row r="19914" ht="14.25" customHeight="1" s="192">
      <c r="W19914" s="235" t="n"/>
      <c r="X19914" s="235" t="n"/>
    </row>
    <row r="19915" ht="14.25" customHeight="1" s="192">
      <c r="W19915" s="235" t="n"/>
      <c r="X19915" s="235" t="n"/>
    </row>
    <row r="19916" ht="14.25" customHeight="1" s="192">
      <c r="W19916" s="239" t="n"/>
      <c r="X19916" s="239" t="n"/>
    </row>
    <row r="19917" ht="14.25" customHeight="1" s="192">
      <c r="W19917" s="235" t="n"/>
      <c r="X19917" s="235" t="n"/>
    </row>
    <row r="19918" ht="14.25" customHeight="1" s="192">
      <c r="W19918" s="239" t="n"/>
      <c r="X19918" s="239" t="n"/>
    </row>
    <row r="19920" ht="14.25" customHeight="1" s="192">
      <c r="W19920" s="235" t="n"/>
      <c r="X19920" s="235" t="n"/>
    </row>
    <row r="19921" ht="15" customHeight="1" s="192" thickBot="1">
      <c r="W19921" s="239" t="n"/>
      <c r="X19921" s="239" t="n"/>
    </row>
    <row r="19922" ht="15" customHeight="1" s="192" thickBot="1">
      <c r="W19922" s="45" t="n"/>
      <c r="X19922" s="45" t="n"/>
    </row>
    <row r="19923" ht="14.25" customHeight="1" s="192">
      <c r="W19923" s="228" t="n"/>
      <c r="X19923" s="228" t="n"/>
    </row>
    <row r="19924" ht="14.25" customHeight="1" s="192">
      <c r="W19924" s="228" t="n"/>
      <c r="X19924" s="228" t="n"/>
    </row>
    <row r="19925" ht="14.25" customHeight="1" s="192">
      <c r="W19925" s="231" t="n"/>
      <c r="X19925" s="231" t="n"/>
    </row>
    <row r="19926" ht="14.25" customHeight="1" s="192">
      <c r="W19926" s="33" t="n"/>
      <c r="X19926" s="33" t="n"/>
    </row>
    <row r="19927" ht="14.25" customHeight="1" s="192">
      <c r="W19927" s="231" t="n"/>
      <c r="X19927" s="231" t="n"/>
    </row>
    <row r="19928" ht="14.25" customHeight="1" s="192">
      <c r="W19928" s="33" t="n"/>
      <c r="X19928" s="33" t="n"/>
    </row>
    <row r="19930" ht="14.25" customHeight="1" s="192">
      <c r="W19930" s="231" t="n"/>
      <c r="X19930" s="231" t="n"/>
    </row>
    <row r="19931" ht="14.25" customHeight="1" s="192">
      <c r="W19931" s="235" t="n"/>
      <c r="X19931" s="235" t="n"/>
    </row>
    <row r="19932" ht="14.25" customHeight="1" s="192">
      <c r="W19932" s="228" t="n"/>
      <c r="X19932" s="228" t="n"/>
    </row>
    <row r="19933" ht="14.25" customHeight="1" s="192">
      <c r="W19933" s="235" t="n"/>
      <c r="X19933" s="235" t="n"/>
    </row>
    <row r="19934" ht="14.25" customHeight="1" s="192">
      <c r="W19934" s="235" t="n"/>
      <c r="X19934" s="235" t="n"/>
    </row>
    <row r="19935" ht="14.25" customHeight="1" s="192">
      <c r="W19935" s="235" t="n"/>
      <c r="X19935" s="235" t="n"/>
    </row>
    <row r="19936" ht="14.25" customHeight="1" s="192">
      <c r="W19936" s="239" t="n"/>
      <c r="X19936" s="239" t="n"/>
    </row>
    <row r="19937" ht="14.25" customHeight="1" s="192">
      <c r="W19937" s="239" t="n"/>
      <c r="X19937" s="239" t="n"/>
    </row>
    <row r="19938" ht="14.25" customHeight="1" s="192">
      <c r="W19938" s="239" t="n"/>
      <c r="X19938" s="239" t="n"/>
    </row>
    <row r="19939" ht="14.25" customHeight="1" s="192">
      <c r="W19939" s="235" t="n"/>
      <c r="X19939" s="235" t="n"/>
    </row>
    <row r="19940" ht="14.25" customHeight="1" s="192">
      <c r="W19940" s="235" t="n"/>
      <c r="X19940" s="235" t="n"/>
    </row>
    <row r="19941" ht="14.25" customHeight="1" s="192">
      <c r="W19941" s="235" t="n"/>
      <c r="X19941" s="235" t="n"/>
    </row>
    <row r="19942" ht="14.25" customHeight="1" s="192">
      <c r="W19942" s="239" t="n"/>
      <c r="X19942" s="239" t="n"/>
    </row>
    <row r="19943" ht="14.25" customHeight="1" s="192">
      <c r="W19943" s="239" t="n"/>
      <c r="X19943" s="239" t="n"/>
    </row>
    <row r="19944" ht="14.25" customHeight="1" s="192">
      <c r="W19944" s="235" t="n"/>
      <c r="X19944" s="235" t="n"/>
    </row>
    <row r="19945" ht="14.25" customHeight="1" s="192">
      <c r="W19945" s="235" t="n"/>
      <c r="X19945" s="235" t="n"/>
    </row>
    <row r="19946" ht="14.25" customHeight="1" s="192">
      <c r="W19946" s="239" t="n"/>
      <c r="X19946" s="239" t="n"/>
    </row>
    <row r="19947" ht="14.25" customHeight="1" s="192">
      <c r="W19947" s="235" t="n"/>
      <c r="X19947" s="235" t="n"/>
    </row>
    <row r="19948" ht="14.25" customHeight="1" s="192">
      <c r="W19948" s="239" t="n"/>
      <c r="X19948" s="239" t="n"/>
    </row>
    <row r="19950" ht="14.25" customHeight="1" s="192">
      <c r="W19950" s="235" t="n"/>
      <c r="X19950" s="235" t="n"/>
    </row>
    <row r="19951" ht="15" customHeight="1" s="192" thickBot="1">
      <c r="W19951" s="239" t="n"/>
      <c r="X19951" s="239" t="n"/>
    </row>
    <row r="19952" ht="15" customHeight="1" s="192" thickBot="1">
      <c r="W19952" s="45" t="n"/>
      <c r="X19952" s="45" t="n"/>
    </row>
    <row r="19953" ht="14.25" customHeight="1" s="192">
      <c r="W19953" s="228" t="n"/>
      <c r="X19953" s="228" t="n"/>
    </row>
    <row r="19954" ht="14.25" customHeight="1" s="192">
      <c r="W19954" s="228" t="n"/>
      <c r="X19954" s="228" t="n"/>
    </row>
    <row r="19955" ht="14.25" customHeight="1" s="192">
      <c r="W19955" s="231" t="n"/>
      <c r="X19955" s="231" t="n"/>
    </row>
    <row r="19956" ht="14.25" customHeight="1" s="192">
      <c r="W19956" s="33" t="n"/>
      <c r="X19956" s="33" t="n"/>
    </row>
    <row r="19957" ht="14.25" customHeight="1" s="192">
      <c r="W19957" s="231" t="n"/>
      <c r="X19957" s="231" t="n"/>
    </row>
    <row r="19958" ht="14.25" customHeight="1" s="192">
      <c r="W19958" s="33" t="n"/>
      <c r="X19958" s="33" t="n"/>
    </row>
    <row r="19960" ht="14.25" customHeight="1" s="192">
      <c r="W19960" s="231" t="n"/>
      <c r="X19960" s="231" t="n"/>
    </row>
    <row r="19961" ht="14.25" customHeight="1" s="192">
      <c r="W19961" s="235" t="n"/>
      <c r="X19961" s="235" t="n"/>
    </row>
    <row r="19962" ht="14.25" customHeight="1" s="192">
      <c r="W19962" s="228" t="n"/>
      <c r="X19962" s="228" t="n"/>
    </row>
    <row r="19963" ht="14.25" customHeight="1" s="192">
      <c r="W19963" s="235" t="n"/>
      <c r="X19963" s="235" t="n"/>
    </row>
    <row r="19964" ht="14.25" customHeight="1" s="192">
      <c r="W19964" s="235" t="n"/>
      <c r="X19964" s="235" t="n"/>
    </row>
    <row r="19965" ht="14.25" customHeight="1" s="192">
      <c r="W19965" s="235" t="n"/>
      <c r="X19965" s="235" t="n"/>
    </row>
    <row r="19966" ht="14.25" customHeight="1" s="192">
      <c r="W19966" s="239" t="n"/>
      <c r="X19966" s="239" t="n"/>
    </row>
    <row r="19967" ht="14.25" customHeight="1" s="192">
      <c r="W19967" s="239" t="n"/>
      <c r="X19967" s="239" t="n"/>
    </row>
    <row r="19968" ht="14.25" customHeight="1" s="192">
      <c r="W19968" s="239" t="n"/>
      <c r="X19968" s="239" t="n"/>
    </row>
    <row r="19969" ht="14.25" customHeight="1" s="192">
      <c r="W19969" s="235" t="n"/>
      <c r="X19969" s="235" t="n"/>
    </row>
    <row r="19970" ht="14.25" customHeight="1" s="192">
      <c r="W19970" s="235" t="n"/>
      <c r="X19970" s="235" t="n"/>
    </row>
    <row r="19971" ht="14.25" customHeight="1" s="192">
      <c r="W19971" s="235" t="n"/>
      <c r="X19971" s="235" t="n"/>
    </row>
    <row r="19972" ht="14.25" customHeight="1" s="192">
      <c r="W19972" s="239" t="n"/>
      <c r="X19972" s="239" t="n"/>
    </row>
    <row r="19973" ht="14.25" customHeight="1" s="192">
      <c r="W19973" s="239" t="n"/>
      <c r="X19973" s="239" t="n"/>
    </row>
    <row r="19974" ht="14.25" customHeight="1" s="192">
      <c r="W19974" s="235" t="n"/>
      <c r="X19974" s="235" t="n"/>
    </row>
    <row r="19975" ht="14.25" customHeight="1" s="192">
      <c r="W19975" s="235" t="n"/>
      <c r="X19975" s="235" t="n"/>
    </row>
    <row r="19976" ht="14.25" customHeight="1" s="192">
      <c r="W19976" s="239" t="n"/>
      <c r="X19976" s="239" t="n"/>
    </row>
    <row r="19977" ht="14.25" customHeight="1" s="192">
      <c r="W19977" s="235" t="n"/>
      <c r="X19977" s="235" t="n"/>
    </row>
    <row r="19978" ht="14.25" customHeight="1" s="192">
      <c r="W19978" s="239" t="n"/>
      <c r="X19978" s="239" t="n"/>
    </row>
    <row r="19980" ht="14.25" customHeight="1" s="192">
      <c r="W19980" s="235" t="n"/>
      <c r="X19980" s="235" t="n"/>
    </row>
    <row r="19981" ht="15" customHeight="1" s="192" thickBot="1">
      <c r="W19981" s="239" t="n"/>
      <c r="X19981" s="239" t="n"/>
    </row>
    <row r="19982" ht="15" customHeight="1" s="192" thickBot="1">
      <c r="W19982" s="45" t="n"/>
      <c r="X19982" s="45" t="n"/>
    </row>
    <row r="19983" ht="14.25" customHeight="1" s="192">
      <c r="W19983" s="228" t="n"/>
      <c r="X19983" s="228" t="n"/>
    </row>
    <row r="19984" ht="14.25" customHeight="1" s="192">
      <c r="W19984" s="228" t="n"/>
      <c r="X19984" s="228" t="n"/>
    </row>
    <row r="19985" ht="14.25" customHeight="1" s="192">
      <c r="W19985" s="231" t="n"/>
      <c r="X19985" s="231" t="n"/>
    </row>
    <row r="19986" ht="14.25" customHeight="1" s="192">
      <c r="W19986" s="33" t="n"/>
      <c r="X19986" s="33" t="n"/>
    </row>
    <row r="19987" ht="14.25" customHeight="1" s="192">
      <c r="W19987" s="231" t="n"/>
      <c r="X19987" s="231" t="n"/>
    </row>
    <row r="19988" ht="14.25" customHeight="1" s="192">
      <c r="W19988" s="33" t="n"/>
      <c r="X19988" s="33" t="n"/>
    </row>
    <row r="19990" ht="14.25" customHeight="1" s="192">
      <c r="W19990" s="231" t="n"/>
      <c r="X19990" s="231" t="n"/>
    </row>
    <row r="19991" ht="14.25" customHeight="1" s="192">
      <c r="W19991" s="235" t="n"/>
      <c r="X19991" s="235" t="n"/>
    </row>
    <row r="19992" ht="14.25" customHeight="1" s="192">
      <c r="W19992" s="228" t="n"/>
      <c r="X19992" s="228" t="n"/>
    </row>
    <row r="19993" ht="14.25" customHeight="1" s="192">
      <c r="W19993" s="235" t="n"/>
      <c r="X19993" s="235" t="n"/>
    </row>
    <row r="19994" ht="14.25" customHeight="1" s="192">
      <c r="W19994" s="235" t="n"/>
      <c r="X19994" s="235" t="n"/>
    </row>
    <row r="19995" ht="14.25" customHeight="1" s="192">
      <c r="W19995" s="235" t="n"/>
      <c r="X19995" s="235" t="n"/>
    </row>
    <row r="19996" ht="14.25" customHeight="1" s="192">
      <c r="W19996" s="239" t="n"/>
      <c r="X19996" s="239" t="n"/>
    </row>
    <row r="19997" ht="14.25" customHeight="1" s="192">
      <c r="W19997" s="239" t="n"/>
      <c r="X19997" s="239" t="n"/>
    </row>
    <row r="19998" ht="14.25" customHeight="1" s="192">
      <c r="W19998" s="239" t="n"/>
      <c r="X19998" s="239" t="n"/>
    </row>
    <row r="19999" ht="14.25" customHeight="1" s="192">
      <c r="W19999" s="235" t="n"/>
      <c r="X19999" s="235" t="n"/>
    </row>
    <row r="20000" ht="14.25" customHeight="1" s="192">
      <c r="W20000" s="235" t="n"/>
      <c r="X20000" s="235" t="n"/>
    </row>
    <row r="20001" ht="14.25" customHeight="1" s="192">
      <c r="W20001" s="235" t="n"/>
      <c r="X20001" s="235" t="n"/>
    </row>
    <row r="20002" ht="14.25" customHeight="1" s="192">
      <c r="W20002" s="239" t="n"/>
      <c r="X20002" s="239" t="n"/>
    </row>
    <row r="20003" ht="14.25" customHeight="1" s="192">
      <c r="W20003" s="239" t="n"/>
      <c r="X20003" s="239" t="n"/>
    </row>
    <row r="20004" ht="14.25" customHeight="1" s="192">
      <c r="W20004" s="235" t="n"/>
      <c r="X20004" s="235" t="n"/>
    </row>
    <row r="20005" ht="14.25" customHeight="1" s="192">
      <c r="W20005" s="235" t="n"/>
      <c r="X20005" s="235" t="n"/>
    </row>
    <row r="20006" ht="14.25" customHeight="1" s="192">
      <c r="W20006" s="239" t="n"/>
      <c r="X20006" s="239" t="n"/>
    </row>
    <row r="20007" ht="14.25" customHeight="1" s="192">
      <c r="W20007" s="235" t="n"/>
      <c r="X20007" s="235" t="n"/>
    </row>
    <row r="20008" ht="14.25" customHeight="1" s="192">
      <c r="W20008" s="239" t="n"/>
      <c r="X20008" s="239" t="n"/>
    </row>
    <row r="20010" ht="14.25" customHeight="1" s="192">
      <c r="W20010" s="235" t="n"/>
      <c r="X20010" s="235" t="n"/>
    </row>
    <row r="20011" ht="15" customHeight="1" s="192" thickBot="1">
      <c r="W20011" s="239" t="n"/>
      <c r="X20011" s="239" t="n"/>
    </row>
    <row r="20012" ht="15" customHeight="1" s="192" thickBot="1">
      <c r="W20012" s="45" t="n"/>
      <c r="X20012" s="45" t="n"/>
    </row>
    <row r="20013" ht="14.25" customHeight="1" s="192">
      <c r="W20013" s="228" t="n"/>
      <c r="X20013" s="228" t="n"/>
    </row>
    <row r="20014" ht="14.25" customHeight="1" s="192">
      <c r="W20014" s="228" t="n"/>
      <c r="X20014" s="228" t="n"/>
    </row>
    <row r="20015" ht="14.25" customHeight="1" s="192">
      <c r="W20015" s="231" t="n"/>
      <c r="X20015" s="231" t="n"/>
    </row>
    <row r="20016" ht="14.25" customHeight="1" s="192">
      <c r="W20016" s="33" t="n"/>
      <c r="X20016" s="33" t="n"/>
    </row>
    <row r="20017" ht="14.25" customHeight="1" s="192">
      <c r="W20017" s="231" t="n"/>
      <c r="X20017" s="231" t="n"/>
    </row>
    <row r="20018" ht="14.25" customHeight="1" s="192">
      <c r="W20018" s="33" t="n"/>
      <c r="X20018" s="33" t="n"/>
    </row>
    <row r="20020" ht="14.25" customHeight="1" s="192">
      <c r="W20020" s="231" t="n"/>
      <c r="X20020" s="231" t="n"/>
    </row>
    <row r="20021" ht="14.25" customHeight="1" s="192">
      <c r="W20021" s="235" t="n"/>
      <c r="X20021" s="235" t="n"/>
    </row>
    <row r="20022" ht="14.25" customHeight="1" s="192">
      <c r="W20022" s="228" t="n"/>
      <c r="X20022" s="228" t="n"/>
    </row>
    <row r="20023" ht="14.25" customHeight="1" s="192">
      <c r="W20023" s="235" t="n"/>
      <c r="X20023" s="235" t="n"/>
    </row>
    <row r="20024" ht="14.25" customHeight="1" s="192">
      <c r="W20024" s="235" t="n"/>
      <c r="X20024" s="235" t="n"/>
    </row>
    <row r="20025" ht="14.25" customHeight="1" s="192">
      <c r="W20025" s="235" t="n"/>
      <c r="X20025" s="235" t="n"/>
    </row>
    <row r="20026" ht="14.25" customHeight="1" s="192">
      <c r="W20026" s="239" t="n"/>
      <c r="X20026" s="239" t="n"/>
    </row>
    <row r="20027" ht="14.25" customHeight="1" s="192">
      <c r="W20027" s="239" t="n"/>
      <c r="X20027" s="239" t="n"/>
    </row>
    <row r="20028" ht="14.25" customHeight="1" s="192">
      <c r="W20028" s="239" t="n"/>
      <c r="X20028" s="239" t="n"/>
    </row>
    <row r="20029" ht="14.25" customHeight="1" s="192">
      <c r="W20029" s="235" t="n"/>
      <c r="X20029" s="235" t="n"/>
    </row>
    <row r="20030" ht="14.25" customHeight="1" s="192">
      <c r="W20030" s="235" t="n"/>
      <c r="X20030" s="235" t="n"/>
    </row>
    <row r="20031" ht="14.25" customHeight="1" s="192">
      <c r="W20031" s="235" t="n"/>
      <c r="X20031" s="235" t="n"/>
    </row>
    <row r="20032" ht="14.25" customHeight="1" s="192">
      <c r="W20032" s="239" t="n"/>
      <c r="X20032" s="239" t="n"/>
    </row>
    <row r="20033" ht="14.25" customHeight="1" s="192">
      <c r="W20033" s="239" t="n"/>
      <c r="X20033" s="239" t="n"/>
    </row>
    <row r="20034" ht="14.25" customHeight="1" s="192">
      <c r="W20034" s="235" t="n"/>
      <c r="X20034" s="235" t="n"/>
    </row>
    <row r="20035" ht="14.25" customHeight="1" s="192">
      <c r="W20035" s="235" t="n"/>
      <c r="X20035" s="235" t="n"/>
    </row>
    <row r="20036" ht="14.25" customHeight="1" s="192">
      <c r="W20036" s="239" t="n"/>
      <c r="X20036" s="239" t="n"/>
    </row>
    <row r="20037" ht="14.25" customHeight="1" s="192">
      <c r="W20037" s="235" t="n"/>
      <c r="X20037" s="235" t="n"/>
    </row>
    <row r="20038" ht="14.25" customHeight="1" s="192">
      <c r="W20038" s="239" t="n"/>
      <c r="X20038" s="239" t="n"/>
    </row>
    <row r="20040" ht="14.25" customHeight="1" s="192">
      <c r="W20040" s="235" t="n"/>
      <c r="X20040" s="235" t="n"/>
    </row>
    <row r="20041" ht="15" customHeight="1" s="192" thickBot="1">
      <c r="W20041" s="239" t="n"/>
      <c r="X20041" s="239" t="n"/>
    </row>
    <row r="20042" ht="15" customHeight="1" s="192" thickBot="1">
      <c r="W20042" s="45" t="n"/>
      <c r="X20042" s="45" t="n"/>
    </row>
    <row r="20043" ht="14.25" customHeight="1" s="192">
      <c r="W20043" s="228" t="n"/>
      <c r="X20043" s="228" t="n"/>
    </row>
    <row r="20044" ht="14.25" customHeight="1" s="192">
      <c r="W20044" s="228" t="n"/>
      <c r="X20044" s="228" t="n"/>
    </row>
    <row r="20045" ht="14.25" customHeight="1" s="192">
      <c r="W20045" s="231" t="n"/>
      <c r="X20045" s="231" t="n"/>
    </row>
    <row r="20046" ht="14.25" customHeight="1" s="192">
      <c r="W20046" s="33" t="n"/>
      <c r="X20046" s="33" t="n"/>
    </row>
    <row r="20047" ht="14.25" customHeight="1" s="192">
      <c r="W20047" s="231" t="n"/>
      <c r="X20047" s="231" t="n"/>
    </row>
    <row r="20048" ht="14.25" customHeight="1" s="192">
      <c r="W20048" s="33" t="n"/>
      <c r="X20048" s="33" t="n"/>
    </row>
    <row r="20050" ht="14.25" customHeight="1" s="192">
      <c r="W20050" s="231" t="n"/>
      <c r="X20050" s="231" t="n"/>
    </row>
    <row r="20051" ht="14.25" customHeight="1" s="192">
      <c r="W20051" s="235" t="n"/>
      <c r="X20051" s="235" t="n"/>
    </row>
    <row r="20052" ht="14.25" customHeight="1" s="192">
      <c r="W20052" s="228" t="n"/>
      <c r="X20052" s="228" t="n"/>
    </row>
    <row r="20053" ht="14.25" customHeight="1" s="192">
      <c r="W20053" s="235" t="n"/>
      <c r="X20053" s="235" t="n"/>
    </row>
    <row r="20054" ht="14.25" customHeight="1" s="192">
      <c r="W20054" s="235" t="n"/>
      <c r="X20054" s="235" t="n"/>
    </row>
    <row r="20055" ht="14.25" customHeight="1" s="192">
      <c r="W20055" s="235" t="n"/>
      <c r="X20055" s="235" t="n"/>
    </row>
    <row r="20056" ht="14.25" customHeight="1" s="192">
      <c r="W20056" s="239" t="n"/>
      <c r="X20056" s="239" t="n"/>
    </row>
    <row r="20057" ht="14.25" customHeight="1" s="192">
      <c r="W20057" s="239" t="n"/>
      <c r="X20057" s="239" t="n"/>
    </row>
    <row r="20058" ht="14.25" customHeight="1" s="192">
      <c r="W20058" s="239" t="n"/>
      <c r="X20058" s="239" t="n"/>
    </row>
    <row r="20059" ht="14.25" customHeight="1" s="192">
      <c r="W20059" s="235" t="n"/>
      <c r="X20059" s="235" t="n"/>
    </row>
    <row r="20060" ht="14.25" customHeight="1" s="192">
      <c r="W20060" s="235" t="n"/>
      <c r="X20060" s="235" t="n"/>
    </row>
    <row r="20061" ht="14.25" customHeight="1" s="192">
      <c r="W20061" s="235" t="n"/>
      <c r="X20061" s="235" t="n"/>
    </row>
    <row r="20062" ht="14.25" customHeight="1" s="192">
      <c r="W20062" s="239" t="n"/>
      <c r="X20062" s="239" t="n"/>
    </row>
    <row r="20063" ht="14.25" customHeight="1" s="192">
      <c r="W20063" s="239" t="n"/>
      <c r="X20063" s="239" t="n"/>
    </row>
    <row r="20064" ht="14.25" customHeight="1" s="192">
      <c r="W20064" s="235" t="n"/>
      <c r="X20064" s="235" t="n"/>
    </row>
    <row r="20065" ht="14.25" customHeight="1" s="192">
      <c r="W20065" s="235" t="n"/>
      <c r="X20065" s="235" t="n"/>
    </row>
    <row r="20066" ht="14.25" customHeight="1" s="192">
      <c r="W20066" s="239" t="n"/>
      <c r="X20066" s="239" t="n"/>
    </row>
    <row r="20067" ht="14.25" customHeight="1" s="192">
      <c r="W20067" s="235" t="n"/>
      <c r="X20067" s="235" t="n"/>
    </row>
    <row r="20068" ht="14.25" customHeight="1" s="192">
      <c r="W20068" s="239" t="n"/>
      <c r="X20068" s="239" t="n"/>
    </row>
    <row r="20070" ht="14.25" customHeight="1" s="192">
      <c r="W20070" s="235" t="n"/>
      <c r="X20070" s="235" t="n"/>
    </row>
    <row r="20071" ht="15" customHeight="1" s="192" thickBot="1">
      <c r="W20071" s="239" t="n"/>
      <c r="X20071" s="239" t="n"/>
    </row>
    <row r="20072" ht="15" customHeight="1" s="192" thickBot="1">
      <c r="W20072" s="45" t="n"/>
      <c r="X20072" s="45" t="n"/>
    </row>
    <row r="20073" ht="14.25" customHeight="1" s="192">
      <c r="W20073" s="228" t="n"/>
      <c r="X20073" s="228" t="n"/>
    </row>
    <row r="20074" ht="14.25" customHeight="1" s="192">
      <c r="W20074" s="228" t="n"/>
      <c r="X20074" s="228" t="n"/>
    </row>
    <row r="20075" ht="14.25" customHeight="1" s="192">
      <c r="W20075" s="231" t="n"/>
      <c r="X20075" s="231" t="n"/>
    </row>
    <row r="20076" ht="14.25" customHeight="1" s="192">
      <c r="W20076" s="33" t="n"/>
      <c r="X20076" s="33" t="n"/>
    </row>
    <row r="20077" ht="14.25" customHeight="1" s="192">
      <c r="W20077" s="231" t="n"/>
      <c r="X20077" s="231" t="n"/>
    </row>
    <row r="20078" ht="14.25" customHeight="1" s="192">
      <c r="W20078" s="33" t="n"/>
      <c r="X20078" s="33" t="n"/>
    </row>
    <row r="20080" ht="14.25" customHeight="1" s="192">
      <c r="W20080" s="231" t="n"/>
      <c r="X20080" s="231" t="n"/>
    </row>
    <row r="20081" ht="14.25" customHeight="1" s="192">
      <c r="W20081" s="235" t="n"/>
      <c r="X20081" s="235" t="n"/>
    </row>
    <row r="20082" ht="14.25" customHeight="1" s="192">
      <c r="W20082" s="228" t="n"/>
      <c r="X20082" s="228" t="n"/>
    </row>
    <row r="20083" ht="14.25" customHeight="1" s="192">
      <c r="W20083" s="235" t="n"/>
      <c r="X20083" s="235" t="n"/>
    </row>
    <row r="20084" ht="14.25" customHeight="1" s="192">
      <c r="W20084" s="235" t="n"/>
      <c r="X20084" s="235" t="n"/>
    </row>
    <row r="20085" ht="14.25" customHeight="1" s="192">
      <c r="W20085" s="235" t="n"/>
      <c r="X20085" s="235" t="n"/>
    </row>
    <row r="20086" ht="14.25" customHeight="1" s="192">
      <c r="W20086" s="239" t="n"/>
      <c r="X20086" s="239" t="n"/>
    </row>
    <row r="20087" ht="14.25" customHeight="1" s="192">
      <c r="W20087" s="239" t="n"/>
      <c r="X20087" s="239" t="n"/>
    </row>
    <row r="20088" ht="14.25" customHeight="1" s="192">
      <c r="W20088" s="239" t="n"/>
      <c r="X20088" s="239" t="n"/>
    </row>
    <row r="20089" ht="14.25" customHeight="1" s="192">
      <c r="W20089" s="235" t="n"/>
      <c r="X20089" s="235" t="n"/>
    </row>
    <row r="20090" ht="14.25" customHeight="1" s="192">
      <c r="W20090" s="235" t="n"/>
      <c r="X20090" s="235" t="n"/>
    </row>
    <row r="20091" ht="14.25" customHeight="1" s="192">
      <c r="W20091" s="235" t="n"/>
      <c r="X20091" s="235" t="n"/>
    </row>
    <row r="20092" ht="14.25" customHeight="1" s="192">
      <c r="W20092" s="239" t="n"/>
      <c r="X20092" s="239" t="n"/>
    </row>
    <row r="20093" ht="14.25" customHeight="1" s="192">
      <c r="W20093" s="239" t="n"/>
      <c r="X20093" s="239" t="n"/>
    </row>
    <row r="20094" ht="14.25" customHeight="1" s="192">
      <c r="W20094" s="235" t="n"/>
      <c r="X20094" s="235" t="n"/>
    </row>
    <row r="20095" ht="14.25" customHeight="1" s="192">
      <c r="W20095" s="235" t="n"/>
      <c r="X20095" s="235" t="n"/>
    </row>
    <row r="20096" ht="14.25" customHeight="1" s="192">
      <c r="W20096" s="239" t="n"/>
      <c r="X20096" s="239" t="n"/>
    </row>
    <row r="20097" ht="14.25" customHeight="1" s="192">
      <c r="W20097" s="235" t="n"/>
      <c r="X20097" s="235" t="n"/>
    </row>
    <row r="20098" ht="14.25" customHeight="1" s="192">
      <c r="W20098" s="239" t="n"/>
      <c r="X20098" s="239" t="n"/>
    </row>
    <row r="20100" ht="14.25" customHeight="1" s="192">
      <c r="W20100" s="235" t="n"/>
      <c r="X20100" s="235" t="n"/>
    </row>
    <row r="20101" ht="15" customHeight="1" s="192" thickBot="1">
      <c r="W20101" s="239" t="n"/>
      <c r="X20101" s="239" t="n"/>
    </row>
    <row r="20102" ht="15" customHeight="1" s="192" thickBot="1">
      <c r="W20102" s="45" t="n"/>
      <c r="X20102" s="45" t="n"/>
    </row>
    <row r="20103" ht="14.25" customHeight="1" s="192">
      <c r="W20103" s="228" t="n"/>
      <c r="X20103" s="228" t="n"/>
    </row>
    <row r="20104" ht="14.25" customHeight="1" s="192">
      <c r="W20104" s="228" t="n"/>
      <c r="X20104" s="228" t="n"/>
    </row>
    <row r="20105" ht="14.25" customHeight="1" s="192">
      <c r="W20105" s="231" t="n"/>
      <c r="X20105" s="231" t="n"/>
    </row>
    <row r="20106" ht="14.25" customHeight="1" s="192">
      <c r="W20106" s="33" t="n"/>
      <c r="X20106" s="33" t="n"/>
    </row>
    <row r="20107" ht="14.25" customHeight="1" s="192">
      <c r="W20107" s="231" t="n"/>
      <c r="X20107" s="231" t="n"/>
    </row>
    <row r="20108" ht="14.25" customHeight="1" s="192">
      <c r="W20108" s="33" t="n"/>
      <c r="X20108" s="33" t="n"/>
    </row>
    <row r="20110" ht="14.25" customHeight="1" s="192">
      <c r="W20110" s="231" t="n"/>
      <c r="X20110" s="231" t="n"/>
    </row>
    <row r="20111" ht="14.25" customHeight="1" s="192">
      <c r="W20111" s="235" t="n"/>
      <c r="X20111" s="235" t="n"/>
    </row>
    <row r="20112" ht="14.25" customHeight="1" s="192">
      <c r="W20112" s="228" t="n"/>
      <c r="X20112" s="228" t="n"/>
    </row>
    <row r="20113" ht="14.25" customHeight="1" s="192">
      <c r="W20113" s="235" t="n"/>
      <c r="X20113" s="235" t="n"/>
    </row>
    <row r="20114" ht="14.25" customHeight="1" s="192">
      <c r="W20114" s="235" t="n"/>
      <c r="X20114" s="235" t="n"/>
    </row>
    <row r="20115" ht="14.25" customHeight="1" s="192">
      <c r="W20115" s="235" t="n"/>
      <c r="X20115" s="235" t="n"/>
    </row>
    <row r="20116" ht="14.25" customHeight="1" s="192">
      <c r="W20116" s="239" t="n"/>
      <c r="X20116" s="239" t="n"/>
    </row>
    <row r="20117" ht="14.25" customHeight="1" s="192">
      <c r="W20117" s="239" t="n"/>
      <c r="X20117" s="239" t="n"/>
    </row>
    <row r="20118" ht="14.25" customHeight="1" s="192">
      <c r="W20118" s="239" t="n"/>
      <c r="X20118" s="239" t="n"/>
    </row>
    <row r="20119" ht="14.25" customHeight="1" s="192">
      <c r="W20119" s="235" t="n"/>
      <c r="X20119" s="235" t="n"/>
    </row>
    <row r="20120" ht="14.25" customHeight="1" s="192">
      <c r="W20120" s="235" t="n"/>
      <c r="X20120" s="235" t="n"/>
    </row>
    <row r="20121" ht="14.25" customHeight="1" s="192">
      <c r="W20121" s="235" t="n"/>
      <c r="X20121" s="235" t="n"/>
    </row>
    <row r="20122" ht="14.25" customHeight="1" s="192">
      <c r="W20122" s="239" t="n"/>
      <c r="X20122" s="239" t="n"/>
    </row>
    <row r="20123" ht="14.25" customHeight="1" s="192">
      <c r="W20123" s="239" t="n"/>
      <c r="X20123" s="239" t="n"/>
    </row>
    <row r="20124" ht="14.25" customHeight="1" s="192">
      <c r="W20124" s="235" t="n"/>
      <c r="X20124" s="235" t="n"/>
    </row>
    <row r="20125" ht="14.25" customHeight="1" s="192">
      <c r="W20125" s="235" t="n"/>
      <c r="X20125" s="235" t="n"/>
    </row>
    <row r="20126" ht="14.25" customHeight="1" s="192">
      <c r="W20126" s="239" t="n"/>
      <c r="X20126" s="239" t="n"/>
    </row>
    <row r="20127" ht="14.25" customHeight="1" s="192">
      <c r="W20127" s="235" t="n"/>
      <c r="X20127" s="235" t="n"/>
    </row>
    <row r="20128" ht="14.25" customHeight="1" s="192">
      <c r="W20128" s="239" t="n"/>
      <c r="X20128" s="239" t="n"/>
    </row>
    <row r="20130" ht="14.25" customHeight="1" s="192">
      <c r="W20130" s="235" t="n"/>
      <c r="X20130" s="235" t="n"/>
    </row>
    <row r="20131" ht="15" customHeight="1" s="192" thickBot="1">
      <c r="W20131" s="239" t="n"/>
      <c r="X20131" s="239" t="n"/>
    </row>
    <row r="20132" ht="15" customHeight="1" s="192" thickBot="1">
      <c r="W20132" s="45" t="n"/>
      <c r="X20132" s="45" t="n"/>
    </row>
    <row r="20133" ht="14.25" customHeight="1" s="192">
      <c r="W20133" s="228" t="n"/>
      <c r="X20133" s="228" t="n"/>
    </row>
    <row r="20134" ht="14.25" customHeight="1" s="192">
      <c r="W20134" s="228" t="n"/>
      <c r="X20134" s="228" t="n"/>
    </row>
    <row r="20135" ht="14.25" customHeight="1" s="192">
      <c r="W20135" s="231" t="n"/>
      <c r="X20135" s="231" t="n"/>
    </row>
    <row r="20136" ht="14.25" customHeight="1" s="192">
      <c r="W20136" s="33" t="n"/>
      <c r="X20136" s="33" t="n"/>
    </row>
    <row r="20137" ht="14.25" customHeight="1" s="192">
      <c r="W20137" s="231" t="n"/>
      <c r="X20137" s="231" t="n"/>
    </row>
    <row r="20138" ht="14.25" customHeight="1" s="192">
      <c r="W20138" s="33" t="n"/>
      <c r="X20138" s="33" t="n"/>
    </row>
    <row r="20140" ht="14.25" customHeight="1" s="192">
      <c r="W20140" s="231" t="n"/>
      <c r="X20140" s="231" t="n"/>
    </row>
    <row r="20141" ht="14.25" customHeight="1" s="192">
      <c r="W20141" s="235" t="n"/>
      <c r="X20141" s="235" t="n"/>
    </row>
    <row r="20142" ht="14.25" customHeight="1" s="192">
      <c r="W20142" s="228" t="n"/>
      <c r="X20142" s="228" t="n"/>
    </row>
    <row r="20143" ht="14.25" customHeight="1" s="192">
      <c r="W20143" s="235" t="n"/>
      <c r="X20143" s="235" t="n"/>
    </row>
    <row r="20144" ht="14.25" customHeight="1" s="192">
      <c r="W20144" s="235" t="n"/>
      <c r="X20144" s="235" t="n"/>
    </row>
    <row r="20145" ht="14.25" customHeight="1" s="192">
      <c r="W20145" s="235" t="n"/>
      <c r="X20145" s="235" t="n"/>
    </row>
    <row r="20146" ht="14.25" customHeight="1" s="192">
      <c r="W20146" s="239" t="n"/>
      <c r="X20146" s="239" t="n"/>
    </row>
    <row r="20147" ht="14.25" customHeight="1" s="192">
      <c r="W20147" s="239" t="n"/>
      <c r="X20147" s="239" t="n"/>
    </row>
    <row r="20148" ht="14.25" customHeight="1" s="192">
      <c r="W20148" s="239" t="n"/>
      <c r="X20148" s="239" t="n"/>
    </row>
    <row r="20149" ht="14.25" customHeight="1" s="192">
      <c r="W20149" s="235" t="n"/>
      <c r="X20149" s="235" t="n"/>
    </row>
    <row r="20150" ht="14.25" customHeight="1" s="192">
      <c r="W20150" s="235" t="n"/>
      <c r="X20150" s="235" t="n"/>
    </row>
    <row r="20151" ht="14.25" customHeight="1" s="192">
      <c r="W20151" s="235" t="n"/>
      <c r="X20151" s="235" t="n"/>
    </row>
    <row r="20152" ht="14.25" customHeight="1" s="192">
      <c r="W20152" s="239" t="n"/>
      <c r="X20152" s="239" t="n"/>
    </row>
    <row r="20153" ht="14.25" customHeight="1" s="192">
      <c r="W20153" s="239" t="n"/>
      <c r="X20153" s="239" t="n"/>
    </row>
    <row r="20154" ht="14.25" customHeight="1" s="192">
      <c r="W20154" s="235" t="n"/>
      <c r="X20154" s="235" t="n"/>
    </row>
    <row r="20155" ht="14.25" customHeight="1" s="192">
      <c r="W20155" s="235" t="n"/>
      <c r="X20155" s="235" t="n"/>
    </row>
    <row r="20156" ht="14.25" customHeight="1" s="192">
      <c r="W20156" s="239" t="n"/>
      <c r="X20156" s="239" t="n"/>
    </row>
    <row r="20157" ht="14.25" customHeight="1" s="192">
      <c r="W20157" s="235" t="n"/>
      <c r="X20157" s="235" t="n"/>
    </row>
    <row r="20158" ht="14.25" customHeight="1" s="192">
      <c r="W20158" s="239" t="n"/>
      <c r="X20158" s="239" t="n"/>
    </row>
    <row r="20160" ht="14.25" customHeight="1" s="192">
      <c r="W20160" s="235" t="n"/>
      <c r="X20160" s="235" t="n"/>
    </row>
    <row r="20161" ht="15" customHeight="1" s="192" thickBot="1">
      <c r="W20161" s="239" t="n"/>
      <c r="X20161" s="239" t="n"/>
    </row>
    <row r="20162" ht="15" customHeight="1" s="192" thickBot="1">
      <c r="W20162" s="45" t="n"/>
      <c r="X20162" s="45" t="n"/>
    </row>
    <row r="20163" ht="14.25" customHeight="1" s="192">
      <c r="W20163" s="228" t="n"/>
      <c r="X20163" s="228" t="n"/>
    </row>
    <row r="20164" ht="14.25" customHeight="1" s="192">
      <c r="W20164" s="228" t="n"/>
      <c r="X20164" s="228" t="n"/>
    </row>
    <row r="20165" ht="14.25" customHeight="1" s="192">
      <c r="W20165" s="231" t="n"/>
      <c r="X20165" s="231" t="n"/>
    </row>
    <row r="20166" ht="14.25" customHeight="1" s="192">
      <c r="W20166" s="33" t="n"/>
      <c r="X20166" s="33" t="n"/>
    </row>
    <row r="20167" ht="14.25" customHeight="1" s="192">
      <c r="W20167" s="231" t="n"/>
      <c r="X20167" s="231" t="n"/>
    </row>
    <row r="20168" ht="14.25" customHeight="1" s="192">
      <c r="W20168" s="33" t="n"/>
      <c r="X20168" s="33" t="n"/>
    </row>
    <row r="20170" ht="14.25" customHeight="1" s="192">
      <c r="W20170" s="231" t="n"/>
      <c r="X20170" s="231" t="n"/>
    </row>
    <row r="20171" ht="14.25" customHeight="1" s="192">
      <c r="W20171" s="235" t="n"/>
      <c r="X20171" s="235" t="n"/>
    </row>
    <row r="20172" ht="14.25" customHeight="1" s="192">
      <c r="W20172" s="228" t="n"/>
      <c r="X20172" s="228" t="n"/>
    </row>
    <row r="20173" ht="14.25" customHeight="1" s="192">
      <c r="W20173" s="235" t="n"/>
      <c r="X20173" s="235" t="n"/>
    </row>
    <row r="20174" ht="14.25" customHeight="1" s="192">
      <c r="W20174" s="235" t="n"/>
      <c r="X20174" s="235" t="n"/>
    </row>
    <row r="20175" ht="14.25" customHeight="1" s="192">
      <c r="W20175" s="235" t="n"/>
      <c r="X20175" s="235" t="n"/>
    </row>
    <row r="20176" ht="14.25" customHeight="1" s="192">
      <c r="W20176" s="239" t="n"/>
      <c r="X20176" s="239" t="n"/>
    </row>
    <row r="20177" ht="14.25" customHeight="1" s="192">
      <c r="W20177" s="239" t="n"/>
      <c r="X20177" s="239" t="n"/>
    </row>
    <row r="20178" ht="14.25" customHeight="1" s="192">
      <c r="W20178" s="239" t="n"/>
      <c r="X20178" s="239" t="n"/>
    </row>
    <row r="20179" ht="14.25" customHeight="1" s="192">
      <c r="W20179" s="235" t="n"/>
      <c r="X20179" s="235" t="n"/>
    </row>
    <row r="20180" ht="14.25" customHeight="1" s="192">
      <c r="W20180" s="235" t="n"/>
      <c r="X20180" s="235" t="n"/>
    </row>
    <row r="20181" ht="14.25" customHeight="1" s="192">
      <c r="W20181" s="235" t="n"/>
      <c r="X20181" s="235" t="n"/>
    </row>
    <row r="20182" ht="14.25" customHeight="1" s="192">
      <c r="W20182" s="239" t="n"/>
      <c r="X20182" s="239" t="n"/>
    </row>
    <row r="20183" ht="14.25" customHeight="1" s="192">
      <c r="W20183" s="239" t="n"/>
      <c r="X20183" s="239" t="n"/>
    </row>
    <row r="20184" ht="14.25" customHeight="1" s="192">
      <c r="W20184" s="235" t="n"/>
      <c r="X20184" s="235" t="n"/>
    </row>
    <row r="20185" ht="14.25" customHeight="1" s="192">
      <c r="W20185" s="235" t="n"/>
      <c r="X20185" s="235" t="n"/>
    </row>
    <row r="20186" ht="14.25" customHeight="1" s="192">
      <c r="W20186" s="239" t="n"/>
      <c r="X20186" s="239" t="n"/>
    </row>
    <row r="20187" ht="14.25" customHeight="1" s="192">
      <c r="W20187" s="235" t="n"/>
      <c r="X20187" s="235" t="n"/>
    </row>
    <row r="20188" ht="14.25" customHeight="1" s="192">
      <c r="W20188" s="239" t="n"/>
      <c r="X20188" s="239" t="n"/>
    </row>
    <row r="20190" ht="14.25" customHeight="1" s="192">
      <c r="W20190" s="235" t="n"/>
      <c r="X20190" s="235" t="n"/>
    </row>
    <row r="20191" ht="15" customHeight="1" s="192" thickBot="1">
      <c r="W20191" s="239" t="n"/>
      <c r="X20191" s="239" t="n"/>
    </row>
    <row r="20192" ht="15" customHeight="1" s="192" thickBot="1">
      <c r="W20192" s="45" t="n"/>
      <c r="X20192" s="45" t="n"/>
    </row>
    <row r="20193" ht="14.25" customHeight="1" s="192">
      <c r="W20193" s="228" t="n"/>
      <c r="X20193" s="228" t="n"/>
    </row>
    <row r="20194" ht="14.25" customHeight="1" s="192">
      <c r="W20194" s="228" t="n"/>
      <c r="X20194" s="228" t="n"/>
    </row>
    <row r="20195" ht="14.25" customHeight="1" s="192">
      <c r="W20195" s="231" t="n"/>
      <c r="X20195" s="231" t="n"/>
    </row>
    <row r="20196" ht="14.25" customHeight="1" s="192">
      <c r="W20196" s="33" t="n"/>
      <c r="X20196" s="33" t="n"/>
    </row>
    <row r="20197" ht="14.25" customHeight="1" s="192">
      <c r="W20197" s="231" t="n"/>
      <c r="X20197" s="231" t="n"/>
    </row>
    <row r="20198" ht="14.25" customHeight="1" s="192">
      <c r="W20198" s="33" t="n"/>
      <c r="X20198" s="33" t="n"/>
    </row>
    <row r="20200" ht="14.25" customHeight="1" s="192">
      <c r="W20200" s="231" t="n"/>
      <c r="X20200" s="231" t="n"/>
    </row>
    <row r="20201" ht="14.25" customHeight="1" s="192">
      <c r="W20201" s="235" t="n"/>
      <c r="X20201" s="235" t="n"/>
    </row>
    <row r="20202" ht="14.25" customHeight="1" s="192">
      <c r="W20202" s="228" t="n"/>
      <c r="X20202" s="228" t="n"/>
    </row>
    <row r="20203" ht="14.25" customHeight="1" s="192">
      <c r="W20203" s="235" t="n"/>
      <c r="X20203" s="235" t="n"/>
    </row>
    <row r="20204" ht="14.25" customHeight="1" s="192">
      <c r="W20204" s="235" t="n"/>
      <c r="X20204" s="235" t="n"/>
    </row>
    <row r="20205" ht="14.25" customHeight="1" s="192">
      <c r="W20205" s="235" t="n"/>
      <c r="X20205" s="235" t="n"/>
    </row>
    <row r="20206" ht="14.25" customHeight="1" s="192">
      <c r="W20206" s="239" t="n"/>
      <c r="X20206" s="239" t="n"/>
    </row>
    <row r="20207" ht="14.25" customHeight="1" s="192">
      <c r="W20207" s="239" t="n"/>
      <c r="X20207" s="239" t="n"/>
    </row>
    <row r="20208" ht="14.25" customHeight="1" s="192">
      <c r="W20208" s="239" t="n"/>
      <c r="X20208" s="239" t="n"/>
    </row>
    <row r="20209" ht="14.25" customHeight="1" s="192">
      <c r="W20209" s="235" t="n"/>
      <c r="X20209" s="235" t="n"/>
    </row>
    <row r="20210" ht="14.25" customHeight="1" s="192">
      <c r="W20210" s="235" t="n"/>
      <c r="X20210" s="235" t="n"/>
    </row>
    <row r="20211" ht="14.25" customHeight="1" s="192">
      <c r="W20211" s="235" t="n"/>
      <c r="X20211" s="235" t="n"/>
    </row>
    <row r="20212" ht="14.25" customHeight="1" s="192">
      <c r="W20212" s="239" t="n"/>
      <c r="X20212" s="239" t="n"/>
    </row>
    <row r="20213" ht="14.25" customHeight="1" s="192">
      <c r="W20213" s="239" t="n"/>
      <c r="X20213" s="239" t="n"/>
    </row>
    <row r="20214" ht="14.25" customHeight="1" s="192">
      <c r="W20214" s="235" t="n"/>
      <c r="X20214" s="235" t="n"/>
    </row>
    <row r="20215" ht="14.25" customHeight="1" s="192">
      <c r="W20215" s="235" t="n"/>
      <c r="X20215" s="235" t="n"/>
    </row>
    <row r="20216" ht="14.25" customHeight="1" s="192">
      <c r="W20216" s="239" t="n"/>
      <c r="X20216" s="239" t="n"/>
    </row>
    <row r="20217" ht="14.25" customHeight="1" s="192">
      <c r="W20217" s="235" t="n"/>
      <c r="X20217" s="235" t="n"/>
    </row>
    <row r="20218" ht="14.25" customHeight="1" s="192">
      <c r="W20218" s="239" t="n"/>
      <c r="X20218" s="239" t="n"/>
    </row>
    <row r="20220" ht="14.25" customHeight="1" s="192">
      <c r="W20220" s="235" t="n"/>
      <c r="X20220" s="235" t="n"/>
    </row>
    <row r="20221" ht="15" customHeight="1" s="192" thickBot="1">
      <c r="W20221" s="239" t="n"/>
      <c r="X20221" s="239" t="n"/>
    </row>
    <row r="20222" ht="15" customHeight="1" s="192" thickBot="1">
      <c r="W20222" s="45" t="n"/>
      <c r="X20222" s="45" t="n"/>
    </row>
    <row r="20223" ht="14.25" customHeight="1" s="192">
      <c r="W20223" s="228" t="n"/>
      <c r="X20223" s="228" t="n"/>
    </row>
    <row r="20224" ht="14.25" customHeight="1" s="192">
      <c r="W20224" s="228" t="n"/>
      <c r="X20224" s="228" t="n"/>
    </row>
    <row r="20225" ht="14.25" customHeight="1" s="192">
      <c r="W20225" s="231" t="n"/>
      <c r="X20225" s="231" t="n"/>
    </row>
    <row r="20226" ht="14.25" customHeight="1" s="192">
      <c r="W20226" s="33" t="n"/>
      <c r="X20226" s="33" t="n"/>
    </row>
    <row r="20227" ht="14.25" customHeight="1" s="192">
      <c r="W20227" s="231" t="n"/>
      <c r="X20227" s="231" t="n"/>
    </row>
    <row r="20228" ht="14.25" customHeight="1" s="192">
      <c r="W20228" s="33" t="n"/>
      <c r="X20228" s="33" t="n"/>
    </row>
    <row r="20230" ht="14.25" customHeight="1" s="192">
      <c r="W20230" s="231" t="n"/>
      <c r="X20230" s="231" t="n"/>
    </row>
    <row r="20231" ht="14.25" customHeight="1" s="192">
      <c r="W20231" s="235" t="n"/>
      <c r="X20231" s="235" t="n"/>
    </row>
    <row r="20232" ht="14.25" customHeight="1" s="192">
      <c r="W20232" s="228" t="n"/>
      <c r="X20232" s="228" t="n"/>
    </row>
    <row r="20233" ht="14.25" customHeight="1" s="192">
      <c r="W20233" s="235" t="n"/>
      <c r="X20233" s="235" t="n"/>
    </row>
    <row r="20234" ht="14.25" customHeight="1" s="192">
      <c r="W20234" s="235" t="n"/>
      <c r="X20234" s="235" t="n"/>
    </row>
    <row r="20235" ht="14.25" customHeight="1" s="192">
      <c r="W20235" s="235" t="n"/>
      <c r="X20235" s="235" t="n"/>
    </row>
    <row r="20236" ht="14.25" customHeight="1" s="192">
      <c r="W20236" s="239" t="n"/>
      <c r="X20236" s="239" t="n"/>
    </row>
    <row r="20237" ht="14.25" customHeight="1" s="192">
      <c r="W20237" s="239" t="n"/>
      <c r="X20237" s="239" t="n"/>
    </row>
    <row r="20238" ht="14.25" customHeight="1" s="192">
      <c r="W20238" s="239" t="n"/>
      <c r="X20238" s="239" t="n"/>
    </row>
    <row r="20239" ht="14.25" customHeight="1" s="192">
      <c r="W20239" s="235" t="n"/>
      <c r="X20239" s="235" t="n"/>
    </row>
    <row r="20240" ht="14.25" customHeight="1" s="192">
      <c r="W20240" s="235" t="n"/>
      <c r="X20240" s="235" t="n"/>
    </row>
    <row r="20241" ht="14.25" customHeight="1" s="192">
      <c r="W20241" s="235" t="n"/>
      <c r="X20241" s="235" t="n"/>
    </row>
    <row r="20242" ht="14.25" customHeight="1" s="192">
      <c r="W20242" s="239" t="n"/>
      <c r="X20242" s="239" t="n"/>
    </row>
    <row r="20243" ht="14.25" customHeight="1" s="192">
      <c r="W20243" s="239" t="n"/>
      <c r="X20243" s="239" t="n"/>
    </row>
    <row r="20244" ht="14.25" customHeight="1" s="192">
      <c r="W20244" s="235" t="n"/>
      <c r="X20244" s="235" t="n"/>
    </row>
    <row r="20245" ht="14.25" customHeight="1" s="192">
      <c r="W20245" s="235" t="n"/>
      <c r="X20245" s="235" t="n"/>
    </row>
    <row r="20246" ht="14.25" customHeight="1" s="192">
      <c r="W20246" s="239" t="n"/>
      <c r="X20246" s="239" t="n"/>
    </row>
    <row r="20247" ht="14.25" customHeight="1" s="192">
      <c r="W20247" s="235" t="n"/>
      <c r="X20247" s="235" t="n"/>
    </row>
    <row r="20248" ht="14.25" customHeight="1" s="192">
      <c r="W20248" s="239" t="n"/>
      <c r="X20248" s="239" t="n"/>
    </row>
    <row r="20250" ht="14.25" customHeight="1" s="192">
      <c r="W20250" s="235" t="n"/>
      <c r="X20250" s="235" t="n"/>
    </row>
    <row r="20251" ht="15" customHeight="1" s="192" thickBot="1">
      <c r="W20251" s="239" t="n"/>
      <c r="X20251" s="239" t="n"/>
    </row>
    <row r="20252" ht="15" customHeight="1" s="192" thickBot="1">
      <c r="W20252" s="45" t="n"/>
      <c r="X20252" s="45" t="n"/>
    </row>
    <row r="20253" ht="14.25" customHeight="1" s="192">
      <c r="W20253" s="228" t="n"/>
      <c r="X20253" s="228" t="n"/>
    </row>
    <row r="20254" ht="14.25" customHeight="1" s="192">
      <c r="W20254" s="228" t="n"/>
      <c r="X20254" s="228" t="n"/>
    </row>
    <row r="20255" ht="14.25" customHeight="1" s="192">
      <c r="W20255" s="231" t="n"/>
      <c r="X20255" s="231" t="n"/>
    </row>
    <row r="20256" ht="14.25" customHeight="1" s="192">
      <c r="W20256" s="33" t="n"/>
      <c r="X20256" s="33" t="n"/>
    </row>
    <row r="20257" ht="14.25" customHeight="1" s="192">
      <c r="W20257" s="231" t="n"/>
      <c r="X20257" s="231" t="n"/>
    </row>
    <row r="20258" ht="14.25" customHeight="1" s="192">
      <c r="W20258" s="33" t="n"/>
      <c r="X20258" s="33" t="n"/>
    </row>
    <row r="20260" ht="14.25" customHeight="1" s="192">
      <c r="W20260" s="231" t="n"/>
      <c r="X20260" s="231" t="n"/>
    </row>
    <row r="20261" ht="14.25" customHeight="1" s="192">
      <c r="W20261" s="235" t="n"/>
      <c r="X20261" s="235" t="n"/>
    </row>
    <row r="20262" ht="14.25" customHeight="1" s="192">
      <c r="W20262" s="228" t="n"/>
      <c r="X20262" s="228" t="n"/>
    </row>
    <row r="20263" ht="14.25" customHeight="1" s="192">
      <c r="W20263" s="235" t="n"/>
      <c r="X20263" s="235" t="n"/>
    </row>
    <row r="20264" ht="14.25" customHeight="1" s="192">
      <c r="W20264" s="235" t="n"/>
      <c r="X20264" s="235" t="n"/>
    </row>
    <row r="20265" ht="14.25" customHeight="1" s="192">
      <c r="W20265" s="235" t="n"/>
      <c r="X20265" s="235" t="n"/>
    </row>
    <row r="20266" ht="14.25" customHeight="1" s="192">
      <c r="W20266" s="239" t="n"/>
      <c r="X20266" s="239" t="n"/>
    </row>
    <row r="20267" ht="14.25" customHeight="1" s="192">
      <c r="W20267" s="239" t="n"/>
      <c r="X20267" s="239" t="n"/>
    </row>
    <row r="20268" ht="14.25" customHeight="1" s="192">
      <c r="W20268" s="239" t="n"/>
      <c r="X20268" s="239" t="n"/>
    </row>
    <row r="20269" ht="14.25" customHeight="1" s="192">
      <c r="W20269" s="235" t="n"/>
      <c r="X20269" s="235" t="n"/>
    </row>
    <row r="20270" ht="14.25" customHeight="1" s="192">
      <c r="W20270" s="235" t="n"/>
      <c r="X20270" s="235" t="n"/>
    </row>
    <row r="20271" ht="14.25" customHeight="1" s="192">
      <c r="W20271" s="235" t="n"/>
      <c r="X20271" s="235" t="n"/>
    </row>
    <row r="20272" ht="14.25" customHeight="1" s="192">
      <c r="W20272" s="239" t="n"/>
      <c r="X20272" s="239" t="n"/>
    </row>
    <row r="20273" ht="14.25" customHeight="1" s="192">
      <c r="W20273" s="239" t="n"/>
      <c r="X20273" s="239" t="n"/>
    </row>
    <row r="20274" ht="14.25" customHeight="1" s="192">
      <c r="W20274" s="235" t="n"/>
      <c r="X20274" s="235" t="n"/>
    </row>
    <row r="20275" ht="14.25" customHeight="1" s="192">
      <c r="W20275" s="235" t="n"/>
      <c r="X20275" s="235" t="n"/>
    </row>
    <row r="20276" ht="14.25" customHeight="1" s="192">
      <c r="W20276" s="239" t="n"/>
      <c r="X20276" s="239" t="n"/>
    </row>
    <row r="20277" ht="14.25" customHeight="1" s="192">
      <c r="W20277" s="235" t="n"/>
      <c r="X20277" s="235" t="n"/>
    </row>
    <row r="20278" ht="14.25" customHeight="1" s="192">
      <c r="W20278" s="239" t="n"/>
      <c r="X20278" s="239" t="n"/>
    </row>
    <row r="20280" ht="14.25" customHeight="1" s="192">
      <c r="W20280" s="235" t="n"/>
      <c r="X20280" s="235" t="n"/>
    </row>
    <row r="20281" ht="15" customHeight="1" s="192" thickBot="1">
      <c r="W20281" s="239" t="n"/>
      <c r="X20281" s="239" t="n"/>
    </row>
    <row r="20282" ht="15" customHeight="1" s="192" thickBot="1">
      <c r="W20282" s="45" t="n"/>
      <c r="X20282" s="45" t="n"/>
    </row>
    <row r="20283" ht="14.25" customHeight="1" s="192">
      <c r="W20283" s="228" t="n"/>
      <c r="X20283" s="228" t="n"/>
    </row>
    <row r="20284" ht="14.25" customHeight="1" s="192">
      <c r="W20284" s="228" t="n"/>
      <c r="X20284" s="228" t="n"/>
    </row>
    <row r="20285" ht="14.25" customHeight="1" s="192">
      <c r="W20285" s="231" t="n"/>
      <c r="X20285" s="231" t="n"/>
    </row>
    <row r="20286" ht="14.25" customHeight="1" s="192">
      <c r="W20286" s="33" t="n"/>
      <c r="X20286" s="33" t="n"/>
    </row>
    <row r="20287" ht="14.25" customHeight="1" s="192">
      <c r="W20287" s="231" t="n"/>
      <c r="X20287" s="231" t="n"/>
    </row>
    <row r="20288" ht="14.25" customHeight="1" s="192">
      <c r="W20288" s="33" t="n"/>
      <c r="X20288" s="33" t="n"/>
    </row>
    <row r="20290" ht="14.25" customHeight="1" s="192">
      <c r="W20290" s="231" t="n"/>
      <c r="X20290" s="231" t="n"/>
    </row>
    <row r="20291" ht="14.25" customHeight="1" s="192">
      <c r="W20291" s="235" t="n"/>
      <c r="X20291" s="235" t="n"/>
    </row>
    <row r="20292" ht="14.25" customHeight="1" s="192">
      <c r="W20292" s="228" t="n"/>
      <c r="X20292" s="228" t="n"/>
    </row>
    <row r="20293" ht="14.25" customHeight="1" s="192">
      <c r="W20293" s="235" t="n"/>
      <c r="X20293" s="235" t="n"/>
    </row>
    <row r="20294" ht="14.25" customHeight="1" s="192">
      <c r="W20294" s="235" t="n"/>
      <c r="X20294" s="235" t="n"/>
    </row>
    <row r="20295" ht="14.25" customHeight="1" s="192">
      <c r="W20295" s="235" t="n"/>
      <c r="X20295" s="235" t="n"/>
    </row>
    <row r="20296" ht="14.25" customHeight="1" s="192">
      <c r="W20296" s="239" t="n"/>
      <c r="X20296" s="239" t="n"/>
    </row>
    <row r="20297" ht="14.25" customHeight="1" s="192">
      <c r="W20297" s="239" t="n"/>
      <c r="X20297" s="239" t="n"/>
    </row>
    <row r="20298" ht="14.25" customHeight="1" s="192">
      <c r="W20298" s="239" t="n"/>
      <c r="X20298" s="239" t="n"/>
    </row>
    <row r="20299" ht="14.25" customHeight="1" s="192">
      <c r="W20299" s="235" t="n"/>
      <c r="X20299" s="235" t="n"/>
    </row>
    <row r="20300" ht="14.25" customHeight="1" s="192">
      <c r="W20300" s="235" t="n"/>
      <c r="X20300" s="235" t="n"/>
    </row>
    <row r="20301" ht="14.25" customHeight="1" s="192">
      <c r="W20301" s="235" t="n"/>
      <c r="X20301" s="235" t="n"/>
    </row>
    <row r="20302" ht="14.25" customHeight="1" s="192">
      <c r="W20302" s="239" t="n"/>
      <c r="X20302" s="239" t="n"/>
    </row>
    <row r="20303" ht="14.25" customHeight="1" s="192">
      <c r="W20303" s="239" t="n"/>
      <c r="X20303" s="239" t="n"/>
    </row>
    <row r="20304" ht="14.25" customHeight="1" s="192">
      <c r="W20304" s="235" t="n"/>
      <c r="X20304" s="235" t="n"/>
    </row>
    <row r="20305" ht="14.25" customHeight="1" s="192">
      <c r="W20305" s="235" t="n"/>
      <c r="X20305" s="235" t="n"/>
    </row>
    <row r="20306" ht="14.25" customHeight="1" s="192">
      <c r="W20306" s="239" t="n"/>
      <c r="X20306" s="239" t="n"/>
    </row>
    <row r="20307" ht="14.25" customHeight="1" s="192">
      <c r="W20307" s="235" t="n"/>
      <c r="X20307" s="235" t="n"/>
    </row>
    <row r="20308" ht="14.25" customHeight="1" s="192">
      <c r="W20308" s="239" t="n"/>
      <c r="X20308" s="239" t="n"/>
    </row>
    <row r="20310" ht="14.25" customHeight="1" s="192">
      <c r="W20310" s="235" t="n"/>
      <c r="X20310" s="235" t="n"/>
    </row>
    <row r="20311" ht="15" customHeight="1" s="192" thickBot="1">
      <c r="W20311" s="239" t="n"/>
      <c r="X20311" s="239" t="n"/>
    </row>
    <row r="20312" ht="15" customHeight="1" s="192" thickBot="1">
      <c r="W20312" s="45" t="n"/>
      <c r="X20312" s="45" t="n"/>
    </row>
    <row r="20313" ht="14.25" customHeight="1" s="192">
      <c r="W20313" s="228" t="n"/>
      <c r="X20313" s="228" t="n"/>
    </row>
    <row r="20314" ht="14.25" customHeight="1" s="192">
      <c r="W20314" s="228" t="n"/>
      <c r="X20314" s="228" t="n"/>
    </row>
    <row r="20315" ht="14.25" customHeight="1" s="192">
      <c r="W20315" s="231" t="n"/>
      <c r="X20315" s="231" t="n"/>
    </row>
    <row r="20316" ht="14.25" customHeight="1" s="192">
      <c r="W20316" s="33" t="n"/>
      <c r="X20316" s="33" t="n"/>
    </row>
    <row r="20317" ht="14.25" customHeight="1" s="192">
      <c r="W20317" s="231" t="n"/>
      <c r="X20317" s="231" t="n"/>
    </row>
    <row r="20318" ht="14.25" customHeight="1" s="192">
      <c r="W20318" s="33" t="n"/>
      <c r="X20318" s="33" t="n"/>
    </row>
    <row r="20320" ht="14.25" customHeight="1" s="192">
      <c r="W20320" s="231" t="n"/>
      <c r="X20320" s="231" t="n"/>
    </row>
    <row r="20321" ht="14.25" customHeight="1" s="192">
      <c r="W20321" s="235" t="n"/>
      <c r="X20321" s="235" t="n"/>
    </row>
    <row r="20322" ht="14.25" customHeight="1" s="192">
      <c r="W20322" s="228" t="n"/>
      <c r="X20322" s="228" t="n"/>
    </row>
    <row r="20323" ht="14.25" customHeight="1" s="192">
      <c r="W20323" s="235" t="n"/>
      <c r="X20323" s="235" t="n"/>
    </row>
    <row r="20324" ht="14.25" customHeight="1" s="192">
      <c r="W20324" s="235" t="n"/>
      <c r="X20324" s="235" t="n"/>
    </row>
    <row r="20325" ht="14.25" customHeight="1" s="192">
      <c r="W20325" s="235" t="n"/>
      <c r="X20325" s="235" t="n"/>
    </row>
    <row r="20326" ht="14.25" customHeight="1" s="192">
      <c r="W20326" s="239" t="n"/>
      <c r="X20326" s="239" t="n"/>
    </row>
    <row r="20327" ht="14.25" customHeight="1" s="192">
      <c r="W20327" s="239" t="n"/>
      <c r="X20327" s="239" t="n"/>
    </row>
    <row r="20328" ht="14.25" customHeight="1" s="192">
      <c r="W20328" s="239" t="n"/>
      <c r="X20328" s="239" t="n"/>
    </row>
    <row r="20329" ht="14.25" customHeight="1" s="192">
      <c r="W20329" s="235" t="n"/>
      <c r="X20329" s="235" t="n"/>
    </row>
    <row r="20330" ht="14.25" customHeight="1" s="192">
      <c r="W20330" s="235" t="n"/>
      <c r="X20330" s="235" t="n"/>
    </row>
    <row r="20331" ht="14.25" customHeight="1" s="192">
      <c r="W20331" s="235" t="n"/>
      <c r="X20331" s="235" t="n"/>
    </row>
    <row r="20332" ht="14.25" customHeight="1" s="192">
      <c r="W20332" s="239" t="n"/>
      <c r="X20332" s="239" t="n"/>
    </row>
    <row r="20333" ht="14.25" customHeight="1" s="192">
      <c r="W20333" s="239" t="n"/>
      <c r="X20333" s="239" t="n"/>
    </row>
    <row r="20334" ht="14.25" customHeight="1" s="192">
      <c r="W20334" s="235" t="n"/>
      <c r="X20334" s="235" t="n"/>
    </row>
    <row r="20335" ht="14.25" customHeight="1" s="192">
      <c r="W20335" s="235" t="n"/>
      <c r="X20335" s="235" t="n"/>
    </row>
    <row r="20336" ht="14.25" customHeight="1" s="192">
      <c r="W20336" s="239" t="n"/>
      <c r="X20336" s="239" t="n"/>
    </row>
    <row r="20337" ht="14.25" customHeight="1" s="192">
      <c r="W20337" s="235" t="n"/>
      <c r="X20337" s="235" t="n"/>
    </row>
    <row r="20338" ht="14.25" customHeight="1" s="192">
      <c r="W20338" s="239" t="n"/>
      <c r="X20338" s="239" t="n"/>
    </row>
    <row r="20340" ht="14.25" customHeight="1" s="192">
      <c r="W20340" s="235" t="n"/>
      <c r="X20340" s="235" t="n"/>
    </row>
    <row r="20341" ht="15" customHeight="1" s="192" thickBot="1">
      <c r="W20341" s="239" t="n"/>
      <c r="X20341" s="239" t="n"/>
    </row>
    <row r="20342" ht="15" customHeight="1" s="192" thickBot="1">
      <c r="W20342" s="45" t="n"/>
      <c r="X20342" s="45" t="n"/>
    </row>
    <row r="20343" ht="14.25" customHeight="1" s="192">
      <c r="W20343" s="228" t="n"/>
      <c r="X20343" s="228" t="n"/>
    </row>
    <row r="20344" ht="14.25" customHeight="1" s="192">
      <c r="W20344" s="228" t="n"/>
      <c r="X20344" s="228" t="n"/>
    </row>
    <row r="20345" ht="14.25" customHeight="1" s="192">
      <c r="W20345" s="231" t="n"/>
      <c r="X20345" s="231" t="n"/>
    </row>
    <row r="20346" ht="14.25" customHeight="1" s="192">
      <c r="W20346" s="33" t="n"/>
      <c r="X20346" s="33" t="n"/>
    </row>
    <row r="20347" ht="14.25" customHeight="1" s="192">
      <c r="W20347" s="231" t="n"/>
      <c r="X20347" s="231" t="n"/>
    </row>
    <row r="20348" ht="14.25" customHeight="1" s="192">
      <c r="W20348" s="33" t="n"/>
      <c r="X20348" s="33" t="n"/>
    </row>
    <row r="20350" ht="14.25" customHeight="1" s="192">
      <c r="W20350" s="231" t="n"/>
      <c r="X20350" s="231" t="n"/>
    </row>
    <row r="20351" ht="14.25" customHeight="1" s="192">
      <c r="W20351" s="235" t="n"/>
      <c r="X20351" s="235" t="n"/>
    </row>
    <row r="20352" ht="14.25" customHeight="1" s="192">
      <c r="W20352" s="228" t="n"/>
      <c r="X20352" s="228" t="n"/>
    </row>
    <row r="20353" ht="14.25" customHeight="1" s="192">
      <c r="W20353" s="235" t="n"/>
      <c r="X20353" s="235" t="n"/>
    </row>
    <row r="20354" ht="14.25" customHeight="1" s="192">
      <c r="W20354" s="235" t="n"/>
      <c r="X20354" s="235" t="n"/>
    </row>
    <row r="20355" ht="14.25" customHeight="1" s="192">
      <c r="W20355" s="235" t="n"/>
      <c r="X20355" s="235" t="n"/>
    </row>
    <row r="20356" ht="14.25" customHeight="1" s="192">
      <c r="W20356" s="239" t="n"/>
      <c r="X20356" s="239" t="n"/>
    </row>
    <row r="20357" ht="14.25" customHeight="1" s="192">
      <c r="W20357" s="239" t="n"/>
      <c r="X20357" s="239" t="n"/>
    </row>
    <row r="20358" ht="14.25" customHeight="1" s="192">
      <c r="W20358" s="239" t="n"/>
      <c r="X20358" s="239" t="n"/>
    </row>
    <row r="20359" ht="14.25" customHeight="1" s="192">
      <c r="W20359" s="235" t="n"/>
      <c r="X20359" s="235" t="n"/>
    </row>
    <row r="20360" ht="14.25" customHeight="1" s="192">
      <c r="W20360" s="235" t="n"/>
      <c r="X20360" s="235" t="n"/>
    </row>
    <row r="20361" ht="14.25" customHeight="1" s="192">
      <c r="W20361" s="235" t="n"/>
      <c r="X20361" s="235" t="n"/>
    </row>
    <row r="20362" ht="14.25" customHeight="1" s="192">
      <c r="W20362" s="239" t="n"/>
      <c r="X20362" s="239" t="n"/>
    </row>
    <row r="20363" ht="14.25" customHeight="1" s="192">
      <c r="W20363" s="239" t="n"/>
      <c r="X20363" s="239" t="n"/>
    </row>
    <row r="20364" ht="14.25" customHeight="1" s="192">
      <c r="W20364" s="235" t="n"/>
      <c r="X20364" s="235" t="n"/>
    </row>
    <row r="20365" ht="14.25" customHeight="1" s="192">
      <c r="W20365" s="235" t="n"/>
      <c r="X20365" s="235" t="n"/>
    </row>
    <row r="20366" ht="14.25" customHeight="1" s="192">
      <c r="W20366" s="239" t="n"/>
      <c r="X20366" s="239" t="n"/>
    </row>
    <row r="20367" ht="14.25" customHeight="1" s="192">
      <c r="W20367" s="235" t="n"/>
      <c r="X20367" s="235" t="n"/>
    </row>
    <row r="20368" ht="14.25" customHeight="1" s="192">
      <c r="W20368" s="239" t="n"/>
      <c r="X20368" s="239" t="n"/>
    </row>
    <row r="20370" ht="14.25" customHeight="1" s="192">
      <c r="W20370" s="235" t="n"/>
      <c r="X20370" s="235" t="n"/>
    </row>
    <row r="20371" ht="15" customHeight="1" s="192" thickBot="1">
      <c r="W20371" s="239" t="n"/>
      <c r="X20371" s="239" t="n"/>
    </row>
    <row r="20372" ht="15" customHeight="1" s="192" thickBot="1">
      <c r="W20372" s="45" t="n"/>
      <c r="X20372" s="45" t="n"/>
    </row>
    <row r="20373" ht="14.25" customHeight="1" s="192">
      <c r="W20373" s="228" t="n"/>
      <c r="X20373" s="228" t="n"/>
    </row>
    <row r="20374" ht="14.25" customHeight="1" s="192">
      <c r="W20374" s="228" t="n"/>
      <c r="X20374" s="228" t="n"/>
    </row>
    <row r="20375" ht="14.25" customHeight="1" s="192">
      <c r="W20375" s="231" t="n"/>
      <c r="X20375" s="231" t="n"/>
    </row>
    <row r="20376" ht="14.25" customHeight="1" s="192">
      <c r="W20376" s="33" t="n"/>
      <c r="X20376" s="33" t="n"/>
    </row>
    <row r="20377" ht="14.25" customHeight="1" s="192">
      <c r="W20377" s="231" t="n"/>
      <c r="X20377" s="231" t="n"/>
    </row>
    <row r="20378" ht="14.25" customHeight="1" s="192">
      <c r="W20378" s="33" t="n"/>
      <c r="X20378" s="33" t="n"/>
    </row>
    <row r="20380" ht="14.25" customHeight="1" s="192">
      <c r="W20380" s="231" t="n"/>
      <c r="X20380" s="231" t="n"/>
    </row>
    <row r="20381" ht="14.25" customHeight="1" s="192">
      <c r="W20381" s="235" t="n"/>
      <c r="X20381" s="235" t="n"/>
    </row>
    <row r="20382" ht="14.25" customHeight="1" s="192">
      <c r="W20382" s="228" t="n"/>
      <c r="X20382" s="228" t="n"/>
    </row>
    <row r="20383" ht="14.25" customHeight="1" s="192">
      <c r="W20383" s="235" t="n"/>
      <c r="X20383" s="235" t="n"/>
    </row>
    <row r="20384" ht="14.25" customHeight="1" s="192">
      <c r="W20384" s="235" t="n"/>
      <c r="X20384" s="235" t="n"/>
    </row>
    <row r="20385" ht="14.25" customHeight="1" s="192">
      <c r="W20385" s="235" t="n"/>
      <c r="X20385" s="235" t="n"/>
    </row>
    <row r="20386" ht="14.25" customHeight="1" s="192">
      <c r="W20386" s="239" t="n"/>
      <c r="X20386" s="239" t="n"/>
    </row>
    <row r="20387" ht="14.25" customHeight="1" s="192">
      <c r="W20387" s="239" t="n"/>
      <c r="X20387" s="239" t="n"/>
    </row>
    <row r="20388" ht="14.25" customHeight="1" s="192">
      <c r="W20388" s="239" t="n"/>
      <c r="X20388" s="239" t="n"/>
    </row>
    <row r="20389" ht="14.25" customHeight="1" s="192">
      <c r="W20389" s="235" t="n"/>
      <c r="X20389" s="235" t="n"/>
    </row>
    <row r="20390" ht="14.25" customHeight="1" s="192">
      <c r="W20390" s="235" t="n"/>
      <c r="X20390" s="235" t="n"/>
    </row>
    <row r="20391" ht="14.25" customHeight="1" s="192">
      <c r="W20391" s="235" t="n"/>
      <c r="X20391" s="235" t="n"/>
    </row>
    <row r="20392" ht="14.25" customHeight="1" s="192">
      <c r="W20392" s="239" t="n"/>
      <c r="X20392" s="239" t="n"/>
    </row>
    <row r="20393" ht="14.25" customHeight="1" s="192">
      <c r="W20393" s="239" t="n"/>
      <c r="X20393" s="239" t="n"/>
    </row>
    <row r="20394" ht="14.25" customHeight="1" s="192">
      <c r="W20394" s="235" t="n"/>
      <c r="X20394" s="235" t="n"/>
    </row>
    <row r="20395" ht="14.25" customHeight="1" s="192">
      <c r="W20395" s="235" t="n"/>
      <c r="X20395" s="235" t="n"/>
    </row>
    <row r="20396" ht="14.25" customHeight="1" s="192">
      <c r="W20396" s="239" t="n"/>
      <c r="X20396" s="239" t="n"/>
    </row>
    <row r="20397" ht="14.25" customHeight="1" s="192">
      <c r="W20397" s="235" t="n"/>
      <c r="X20397" s="235" t="n"/>
    </row>
    <row r="20398" ht="14.25" customHeight="1" s="192">
      <c r="W20398" s="239" t="n"/>
      <c r="X20398" s="239" t="n"/>
    </row>
    <row r="20400" ht="14.25" customHeight="1" s="192">
      <c r="W20400" s="235" t="n"/>
      <c r="X20400" s="235" t="n"/>
    </row>
    <row r="20401" ht="15" customHeight="1" s="192" thickBot="1">
      <c r="W20401" s="239" t="n"/>
      <c r="X20401" s="239" t="n"/>
    </row>
    <row r="20402" ht="15" customHeight="1" s="192" thickBot="1">
      <c r="W20402" s="45" t="n"/>
      <c r="X20402" s="45" t="n"/>
    </row>
    <row r="20403" ht="14.25" customHeight="1" s="192">
      <c r="W20403" s="228" t="n"/>
      <c r="X20403" s="228" t="n"/>
    </row>
    <row r="20404" ht="14.25" customHeight="1" s="192">
      <c r="W20404" s="228" t="n"/>
      <c r="X20404" s="228" t="n"/>
    </row>
    <row r="20405" ht="14.25" customHeight="1" s="192">
      <c r="W20405" s="231" t="n"/>
      <c r="X20405" s="231" t="n"/>
    </row>
    <row r="20406" ht="14.25" customHeight="1" s="192">
      <c r="W20406" s="33" t="n"/>
      <c r="X20406" s="33" t="n"/>
    </row>
    <row r="20407" ht="14.25" customHeight="1" s="192">
      <c r="W20407" s="231" t="n"/>
      <c r="X20407" s="231" t="n"/>
    </row>
    <row r="20408" ht="14.25" customHeight="1" s="192">
      <c r="W20408" s="33" t="n"/>
      <c r="X20408" s="33" t="n"/>
    </row>
    <row r="20410" ht="14.25" customHeight="1" s="192">
      <c r="W20410" s="231" t="n"/>
      <c r="X20410" s="231" t="n"/>
    </row>
    <row r="20411" ht="14.25" customHeight="1" s="192">
      <c r="W20411" s="235" t="n"/>
      <c r="X20411" s="235" t="n"/>
    </row>
    <row r="20412" ht="14.25" customHeight="1" s="192">
      <c r="W20412" s="228" t="n"/>
      <c r="X20412" s="228" t="n"/>
    </row>
    <row r="20413" ht="14.25" customHeight="1" s="192">
      <c r="W20413" s="235" t="n"/>
      <c r="X20413" s="235" t="n"/>
    </row>
    <row r="20414" ht="14.25" customHeight="1" s="192">
      <c r="W20414" s="235" t="n"/>
      <c r="X20414" s="235" t="n"/>
    </row>
    <row r="20415" ht="14.25" customHeight="1" s="192">
      <c r="W20415" s="235" t="n"/>
      <c r="X20415" s="235" t="n"/>
    </row>
    <row r="20416" ht="14.25" customHeight="1" s="192">
      <c r="W20416" s="239" t="n"/>
      <c r="X20416" s="239" t="n"/>
    </row>
    <row r="20417" ht="14.25" customHeight="1" s="192">
      <c r="W20417" s="239" t="n"/>
      <c r="X20417" s="239" t="n"/>
    </row>
    <row r="20418" ht="14.25" customHeight="1" s="192">
      <c r="W20418" s="239" t="n"/>
      <c r="X20418" s="239" t="n"/>
    </row>
    <row r="20419" ht="14.25" customHeight="1" s="192">
      <c r="W20419" s="235" t="n"/>
      <c r="X20419" s="235" t="n"/>
    </row>
    <row r="20420" ht="14.25" customHeight="1" s="192">
      <c r="W20420" s="235" t="n"/>
      <c r="X20420" s="235" t="n"/>
    </row>
    <row r="20421" ht="14.25" customHeight="1" s="192">
      <c r="W20421" s="235" t="n"/>
      <c r="X20421" s="235" t="n"/>
    </row>
    <row r="20422" ht="14.25" customHeight="1" s="192">
      <c r="W20422" s="239" t="n"/>
      <c r="X20422" s="239" t="n"/>
    </row>
    <row r="20423" ht="14.25" customHeight="1" s="192">
      <c r="W20423" s="239" t="n"/>
      <c r="X20423" s="239" t="n"/>
    </row>
    <row r="20424" ht="14.25" customHeight="1" s="192">
      <c r="W20424" s="235" t="n"/>
      <c r="X20424" s="235" t="n"/>
    </row>
    <row r="20425" ht="14.25" customHeight="1" s="192">
      <c r="W20425" s="235" t="n"/>
      <c r="X20425" s="235" t="n"/>
    </row>
    <row r="20426" ht="14.25" customHeight="1" s="192">
      <c r="W20426" s="239" t="n"/>
      <c r="X20426" s="239" t="n"/>
    </row>
    <row r="20427" ht="14.25" customHeight="1" s="192">
      <c r="W20427" s="235" t="n"/>
      <c r="X20427" s="235" t="n"/>
    </row>
    <row r="20428" ht="14.25" customHeight="1" s="192">
      <c r="W20428" s="239" t="n"/>
      <c r="X20428" s="239" t="n"/>
    </row>
    <row r="20430" ht="14.25" customHeight="1" s="192">
      <c r="W20430" s="235" t="n"/>
      <c r="X20430" s="235" t="n"/>
    </row>
    <row r="20431" ht="15" customHeight="1" s="192" thickBot="1">
      <c r="W20431" s="239" t="n"/>
      <c r="X20431" s="239" t="n"/>
    </row>
    <row r="20432" ht="15" customHeight="1" s="192" thickBot="1">
      <c r="W20432" s="45" t="n"/>
      <c r="X20432" s="45" t="n"/>
    </row>
    <row r="20433" ht="14.25" customHeight="1" s="192">
      <c r="W20433" s="228" t="n"/>
      <c r="X20433" s="228" t="n"/>
    </row>
    <row r="20434" ht="14.25" customHeight="1" s="192">
      <c r="W20434" s="228" t="n"/>
      <c r="X20434" s="228" t="n"/>
    </row>
    <row r="20435" ht="14.25" customHeight="1" s="192">
      <c r="W20435" s="231" t="n"/>
      <c r="X20435" s="231" t="n"/>
    </row>
    <row r="20436" ht="14.25" customHeight="1" s="192">
      <c r="W20436" s="33" t="n"/>
      <c r="X20436" s="33" t="n"/>
    </row>
    <row r="20437" ht="14.25" customHeight="1" s="192">
      <c r="W20437" s="231" t="n"/>
      <c r="X20437" s="231" t="n"/>
    </row>
    <row r="20438" ht="14.25" customHeight="1" s="192">
      <c r="W20438" s="33" t="n"/>
      <c r="X20438" s="33" t="n"/>
    </row>
    <row r="20440" ht="14.25" customHeight="1" s="192">
      <c r="W20440" s="231" t="n"/>
      <c r="X20440" s="231" t="n"/>
    </row>
    <row r="20441" ht="14.25" customHeight="1" s="192">
      <c r="W20441" s="235" t="n"/>
      <c r="X20441" s="235" t="n"/>
    </row>
    <row r="20442" ht="14.25" customHeight="1" s="192">
      <c r="W20442" s="228" t="n"/>
      <c r="X20442" s="228" t="n"/>
    </row>
    <row r="20443" ht="14.25" customHeight="1" s="192">
      <c r="W20443" s="235" t="n"/>
      <c r="X20443" s="235" t="n"/>
    </row>
    <row r="20444" ht="14.25" customHeight="1" s="192">
      <c r="W20444" s="235" t="n"/>
      <c r="X20444" s="235" t="n"/>
    </row>
    <row r="20445" ht="14.25" customHeight="1" s="192">
      <c r="W20445" s="235" t="n"/>
      <c r="X20445" s="235" t="n"/>
    </row>
    <row r="20446" ht="14.25" customHeight="1" s="192">
      <c r="W20446" s="239" t="n"/>
      <c r="X20446" s="239" t="n"/>
    </row>
    <row r="20447" ht="14.25" customHeight="1" s="192">
      <c r="W20447" s="239" t="n"/>
      <c r="X20447" s="239" t="n"/>
    </row>
    <row r="20448" ht="14.25" customHeight="1" s="192">
      <c r="W20448" s="239" t="n"/>
      <c r="X20448" s="239" t="n"/>
    </row>
    <row r="20449" ht="14.25" customHeight="1" s="192">
      <c r="W20449" s="235" t="n"/>
      <c r="X20449" s="235" t="n"/>
    </row>
    <row r="20450" ht="14.25" customHeight="1" s="192">
      <c r="W20450" s="235" t="n"/>
      <c r="X20450" s="235" t="n"/>
    </row>
    <row r="20451" ht="14.25" customHeight="1" s="192">
      <c r="W20451" s="235" t="n"/>
      <c r="X20451" s="235" t="n"/>
    </row>
    <row r="20452" ht="14.25" customHeight="1" s="192">
      <c r="W20452" s="239" t="n"/>
      <c r="X20452" s="239" t="n"/>
    </row>
    <row r="20453" ht="14.25" customHeight="1" s="192">
      <c r="W20453" s="239" t="n"/>
      <c r="X20453" s="239" t="n"/>
    </row>
    <row r="20454" ht="14.25" customHeight="1" s="192">
      <c r="W20454" s="235" t="n"/>
      <c r="X20454" s="235" t="n"/>
    </row>
    <row r="20455" ht="14.25" customHeight="1" s="192">
      <c r="W20455" s="235" t="n"/>
      <c r="X20455" s="235" t="n"/>
    </row>
    <row r="20456" ht="14.25" customHeight="1" s="192">
      <c r="W20456" s="239" t="n"/>
      <c r="X20456" s="239" t="n"/>
    </row>
    <row r="20457" ht="14.25" customHeight="1" s="192">
      <c r="W20457" s="235" t="n"/>
      <c r="X20457" s="235" t="n"/>
    </row>
    <row r="20458" ht="14.25" customHeight="1" s="192">
      <c r="W20458" s="239" t="n"/>
      <c r="X20458" s="239" t="n"/>
    </row>
    <row r="20460" ht="14.25" customHeight="1" s="192">
      <c r="W20460" s="235" t="n"/>
      <c r="X20460" s="235" t="n"/>
    </row>
    <row r="20461" ht="15" customHeight="1" s="192" thickBot="1">
      <c r="W20461" s="239" t="n"/>
      <c r="X20461" s="239" t="n"/>
    </row>
    <row r="20462" ht="15" customHeight="1" s="192" thickBot="1">
      <c r="W20462" s="45" t="n"/>
      <c r="X20462" s="45" t="n"/>
    </row>
    <row r="20463" ht="14.25" customHeight="1" s="192">
      <c r="W20463" s="228" t="n"/>
      <c r="X20463" s="228" t="n"/>
    </row>
    <row r="20464" ht="14.25" customHeight="1" s="192">
      <c r="W20464" s="228" t="n"/>
      <c r="X20464" s="228" t="n"/>
    </row>
    <row r="20465" ht="14.25" customHeight="1" s="192">
      <c r="W20465" s="231" t="n"/>
      <c r="X20465" s="231" t="n"/>
    </row>
    <row r="20466" ht="14.25" customHeight="1" s="192">
      <c r="W20466" s="33" t="n"/>
      <c r="X20466" s="33" t="n"/>
    </row>
    <row r="20467" ht="14.25" customHeight="1" s="192">
      <c r="W20467" s="231" t="n"/>
      <c r="X20467" s="231" t="n"/>
    </row>
    <row r="20468" ht="14.25" customHeight="1" s="192">
      <c r="W20468" s="33" t="n"/>
      <c r="X20468" s="33" t="n"/>
    </row>
    <row r="20470" ht="14.25" customHeight="1" s="192">
      <c r="W20470" s="231" t="n"/>
      <c r="X20470" s="231" t="n"/>
    </row>
    <row r="20471" ht="14.25" customHeight="1" s="192">
      <c r="W20471" s="235" t="n"/>
      <c r="X20471" s="235" t="n"/>
    </row>
    <row r="20472" ht="14.25" customHeight="1" s="192">
      <c r="W20472" s="228" t="n"/>
      <c r="X20472" s="228" t="n"/>
    </row>
    <row r="20473" ht="14.25" customHeight="1" s="192">
      <c r="W20473" s="235" t="n"/>
      <c r="X20473" s="235" t="n"/>
    </row>
    <row r="20474" ht="14.25" customHeight="1" s="192">
      <c r="W20474" s="235" t="n"/>
      <c r="X20474" s="235" t="n"/>
    </row>
    <row r="20475" ht="14.25" customHeight="1" s="192">
      <c r="W20475" s="235" t="n"/>
      <c r="X20475" s="235" t="n"/>
    </row>
    <row r="20476" ht="14.25" customHeight="1" s="192">
      <c r="W20476" s="239" t="n"/>
      <c r="X20476" s="239" t="n"/>
    </row>
    <row r="20477" ht="14.25" customHeight="1" s="192">
      <c r="W20477" s="239" t="n"/>
      <c r="X20477" s="239" t="n"/>
    </row>
    <row r="20478" ht="14.25" customHeight="1" s="192">
      <c r="W20478" s="239" t="n"/>
      <c r="X20478" s="239" t="n"/>
    </row>
    <row r="20479" ht="14.25" customHeight="1" s="192">
      <c r="W20479" s="235" t="n"/>
      <c r="X20479" s="235" t="n"/>
    </row>
    <row r="20480" ht="14.25" customHeight="1" s="192">
      <c r="W20480" s="235" t="n"/>
      <c r="X20480" s="235" t="n"/>
    </row>
    <row r="20481" ht="14.25" customHeight="1" s="192">
      <c r="W20481" s="235" t="n"/>
      <c r="X20481" s="235" t="n"/>
    </row>
    <row r="20482" ht="14.25" customHeight="1" s="192">
      <c r="W20482" s="239" t="n"/>
      <c r="X20482" s="239" t="n"/>
    </row>
    <row r="20483" ht="14.25" customHeight="1" s="192">
      <c r="W20483" s="239" t="n"/>
      <c r="X20483" s="239" t="n"/>
    </row>
    <row r="20484" ht="14.25" customHeight="1" s="192">
      <c r="W20484" s="235" t="n"/>
      <c r="X20484" s="235" t="n"/>
    </row>
    <row r="20485" ht="14.25" customHeight="1" s="192">
      <c r="W20485" s="235" t="n"/>
      <c r="X20485" s="235" t="n"/>
    </row>
    <row r="20486" ht="14.25" customHeight="1" s="192">
      <c r="W20486" s="239" t="n"/>
      <c r="X20486" s="239" t="n"/>
    </row>
    <row r="20487" ht="14.25" customHeight="1" s="192">
      <c r="W20487" s="235" t="n"/>
      <c r="X20487" s="235" t="n"/>
    </row>
    <row r="20488" ht="14.25" customHeight="1" s="192">
      <c r="W20488" s="239" t="n"/>
      <c r="X20488" s="239" t="n"/>
    </row>
    <row r="20490" ht="14.25" customHeight="1" s="192">
      <c r="W20490" s="235" t="n"/>
      <c r="X20490" s="235" t="n"/>
    </row>
    <row r="20491" ht="15" customHeight="1" s="192" thickBot="1">
      <c r="W20491" s="239" t="n"/>
      <c r="X20491" s="239" t="n"/>
    </row>
    <row r="20492" ht="15" customHeight="1" s="192" thickBot="1">
      <c r="W20492" s="45" t="n"/>
      <c r="X20492" s="45" t="n"/>
    </row>
    <row r="20493" ht="14.25" customHeight="1" s="192">
      <c r="W20493" s="228" t="n"/>
      <c r="X20493" s="228" t="n"/>
    </row>
    <row r="20494" ht="14.25" customHeight="1" s="192">
      <c r="W20494" s="228" t="n"/>
      <c r="X20494" s="228" t="n"/>
    </row>
    <row r="20495" ht="14.25" customHeight="1" s="192">
      <c r="W20495" s="231" t="n"/>
      <c r="X20495" s="231" t="n"/>
    </row>
    <row r="20496" ht="14.25" customHeight="1" s="192">
      <c r="W20496" s="33" t="n"/>
      <c r="X20496" s="33" t="n"/>
    </row>
    <row r="20497" ht="14.25" customHeight="1" s="192">
      <c r="W20497" s="231" t="n"/>
      <c r="X20497" s="231" t="n"/>
    </row>
    <row r="20498" ht="14.25" customHeight="1" s="192">
      <c r="W20498" s="33" t="n"/>
      <c r="X20498" s="33" t="n"/>
    </row>
    <row r="20500" ht="14.25" customHeight="1" s="192">
      <c r="W20500" s="231" t="n"/>
      <c r="X20500" s="231" t="n"/>
    </row>
    <row r="20501" ht="14.25" customHeight="1" s="192">
      <c r="W20501" s="235" t="n"/>
      <c r="X20501" s="235" t="n"/>
    </row>
    <row r="20502" ht="14.25" customHeight="1" s="192">
      <c r="W20502" s="228" t="n"/>
      <c r="X20502" s="228" t="n"/>
    </row>
    <row r="20503" ht="14.25" customHeight="1" s="192">
      <c r="W20503" s="235" t="n"/>
      <c r="X20503" s="235" t="n"/>
    </row>
    <row r="20504" ht="14.25" customHeight="1" s="192">
      <c r="W20504" s="235" t="n"/>
      <c r="X20504" s="235" t="n"/>
    </row>
    <row r="20505" ht="14.25" customHeight="1" s="192">
      <c r="W20505" s="235" t="n"/>
      <c r="X20505" s="235" t="n"/>
    </row>
    <row r="20506" ht="14.25" customHeight="1" s="192">
      <c r="W20506" s="239" t="n"/>
      <c r="X20506" s="239" t="n"/>
    </row>
    <row r="20507" ht="14.25" customHeight="1" s="192">
      <c r="W20507" s="239" t="n"/>
      <c r="X20507" s="239" t="n"/>
    </row>
    <row r="20508" ht="14.25" customHeight="1" s="192">
      <c r="W20508" s="239" t="n"/>
      <c r="X20508" s="239" t="n"/>
    </row>
    <row r="20509" ht="14.25" customHeight="1" s="192">
      <c r="W20509" s="235" t="n"/>
      <c r="X20509" s="235" t="n"/>
    </row>
    <row r="20510" ht="14.25" customHeight="1" s="192">
      <c r="W20510" s="235" t="n"/>
      <c r="X20510" s="235" t="n"/>
    </row>
    <row r="20511" ht="14.25" customHeight="1" s="192">
      <c r="W20511" s="235" t="n"/>
      <c r="X20511" s="235" t="n"/>
    </row>
    <row r="20512" ht="14.25" customHeight="1" s="192">
      <c r="W20512" s="239" t="n"/>
      <c r="X20512" s="239" t="n"/>
    </row>
    <row r="20513" ht="14.25" customHeight="1" s="192">
      <c r="W20513" s="239" t="n"/>
      <c r="X20513" s="239" t="n"/>
    </row>
    <row r="20514" ht="14.25" customHeight="1" s="192">
      <c r="W20514" s="235" t="n"/>
      <c r="X20514" s="235" t="n"/>
    </row>
    <row r="20515" ht="14.25" customHeight="1" s="192">
      <c r="W20515" s="235" t="n"/>
      <c r="X20515" s="235" t="n"/>
    </row>
    <row r="20516" ht="14.25" customHeight="1" s="192">
      <c r="W20516" s="239" t="n"/>
      <c r="X20516" s="239" t="n"/>
    </row>
    <row r="20517" ht="14.25" customHeight="1" s="192">
      <c r="W20517" s="235" t="n"/>
      <c r="X20517" s="235" t="n"/>
    </row>
    <row r="20518" ht="14.25" customHeight="1" s="192">
      <c r="W20518" s="239" t="n"/>
      <c r="X20518" s="239" t="n"/>
    </row>
    <row r="20520" ht="14.25" customHeight="1" s="192">
      <c r="W20520" s="235" t="n"/>
      <c r="X20520" s="235" t="n"/>
    </row>
    <row r="20521" ht="15" customHeight="1" s="192" thickBot="1">
      <c r="W20521" s="239" t="n"/>
      <c r="X20521" s="239" t="n"/>
    </row>
    <row r="20522" ht="15" customHeight="1" s="192" thickBot="1">
      <c r="W20522" s="45" t="n"/>
      <c r="X20522" s="45" t="n"/>
    </row>
    <row r="20523" ht="14.25" customHeight="1" s="192">
      <c r="W20523" s="228" t="n"/>
      <c r="X20523" s="228" t="n"/>
    </row>
    <row r="20524" ht="14.25" customHeight="1" s="192">
      <c r="W20524" s="228" t="n"/>
      <c r="X20524" s="228" t="n"/>
    </row>
    <row r="20525" ht="14.25" customHeight="1" s="192">
      <c r="W20525" s="231" t="n"/>
      <c r="X20525" s="231" t="n"/>
    </row>
    <row r="20526" ht="14.25" customHeight="1" s="192">
      <c r="W20526" s="33" t="n"/>
      <c r="X20526" s="33" t="n"/>
    </row>
    <row r="20527" ht="14.25" customHeight="1" s="192">
      <c r="W20527" s="231" t="n"/>
      <c r="X20527" s="231" t="n"/>
    </row>
    <row r="20528" ht="14.25" customHeight="1" s="192">
      <c r="W20528" s="33" t="n"/>
      <c r="X20528" s="33" t="n"/>
    </row>
    <row r="20530" ht="14.25" customHeight="1" s="192">
      <c r="W20530" s="231" t="n"/>
      <c r="X20530" s="231" t="n"/>
    </row>
    <row r="20531" ht="14.25" customHeight="1" s="192">
      <c r="W20531" s="235" t="n"/>
      <c r="X20531" s="235" t="n"/>
    </row>
    <row r="20532" ht="14.25" customHeight="1" s="192">
      <c r="W20532" s="228" t="n"/>
      <c r="X20532" s="228" t="n"/>
    </row>
    <row r="20533" ht="14.25" customHeight="1" s="192">
      <c r="W20533" s="235" t="n"/>
      <c r="X20533" s="235" t="n"/>
    </row>
    <row r="20534" ht="14.25" customHeight="1" s="192">
      <c r="W20534" s="235" t="n"/>
      <c r="X20534" s="235" t="n"/>
    </row>
    <row r="20535" ht="14.25" customHeight="1" s="192">
      <c r="W20535" s="235" t="n"/>
      <c r="X20535" s="235" t="n"/>
    </row>
    <row r="20536" ht="14.25" customHeight="1" s="192">
      <c r="W20536" s="239" t="n"/>
      <c r="X20536" s="239" t="n"/>
    </row>
    <row r="20537" ht="14.25" customHeight="1" s="192">
      <c r="W20537" s="239" t="n"/>
      <c r="X20537" s="239" t="n"/>
    </row>
    <row r="20538" ht="14.25" customHeight="1" s="192">
      <c r="W20538" s="239" t="n"/>
      <c r="X20538" s="239" t="n"/>
    </row>
    <row r="20539" ht="14.25" customHeight="1" s="192">
      <c r="W20539" s="235" t="n"/>
      <c r="X20539" s="235" t="n"/>
    </row>
    <row r="20540" ht="14.25" customHeight="1" s="192">
      <c r="W20540" s="235" t="n"/>
      <c r="X20540" s="235" t="n"/>
    </row>
    <row r="20541" ht="14.25" customHeight="1" s="192">
      <c r="W20541" s="235" t="n"/>
      <c r="X20541" s="235" t="n"/>
    </row>
    <row r="20542" ht="14.25" customHeight="1" s="192">
      <c r="W20542" s="239" t="n"/>
      <c r="X20542" s="239" t="n"/>
    </row>
    <row r="20543" ht="14.25" customHeight="1" s="192">
      <c r="W20543" s="239" t="n"/>
      <c r="X20543" s="239" t="n"/>
    </row>
    <row r="20544" ht="14.25" customHeight="1" s="192">
      <c r="W20544" s="235" t="n"/>
      <c r="X20544" s="235" t="n"/>
    </row>
    <row r="20545" ht="14.25" customHeight="1" s="192">
      <c r="W20545" s="235" t="n"/>
      <c r="X20545" s="235" t="n"/>
    </row>
    <row r="20546" ht="14.25" customHeight="1" s="192">
      <c r="W20546" s="239" t="n"/>
      <c r="X20546" s="239" t="n"/>
    </row>
    <row r="20547" ht="14.25" customHeight="1" s="192">
      <c r="W20547" s="235" t="n"/>
      <c r="X20547" s="235" t="n"/>
    </row>
    <row r="20548" ht="14.25" customHeight="1" s="192">
      <c r="W20548" s="239" t="n"/>
      <c r="X20548" s="239" t="n"/>
    </row>
    <row r="20550" ht="14.25" customHeight="1" s="192">
      <c r="W20550" s="235" t="n"/>
      <c r="X20550" s="235" t="n"/>
    </row>
    <row r="20551" ht="15" customHeight="1" s="192" thickBot="1">
      <c r="W20551" s="239" t="n"/>
      <c r="X20551" s="239" t="n"/>
    </row>
    <row r="20552" ht="15" customHeight="1" s="192" thickBot="1">
      <c r="W20552" s="45" t="n"/>
      <c r="X20552" s="45" t="n"/>
    </row>
    <row r="20553" ht="14.25" customHeight="1" s="192">
      <c r="W20553" s="228" t="n"/>
      <c r="X20553" s="228" t="n"/>
    </row>
    <row r="20554" ht="14.25" customHeight="1" s="192">
      <c r="W20554" s="228" t="n"/>
      <c r="X20554" s="228" t="n"/>
    </row>
    <row r="20555" ht="14.25" customHeight="1" s="192">
      <c r="W20555" s="231" t="n"/>
      <c r="X20555" s="231" t="n"/>
    </row>
    <row r="20556" ht="14.25" customHeight="1" s="192">
      <c r="W20556" s="33" t="n"/>
      <c r="X20556" s="33" t="n"/>
    </row>
    <row r="20557" ht="14.25" customHeight="1" s="192">
      <c r="W20557" s="231" t="n"/>
      <c r="X20557" s="231" t="n"/>
    </row>
    <row r="20558" ht="14.25" customHeight="1" s="192">
      <c r="W20558" s="33" t="n"/>
      <c r="X20558" s="33" t="n"/>
    </row>
    <row r="20560" ht="14.25" customHeight="1" s="192">
      <c r="W20560" s="231" t="n"/>
      <c r="X20560" s="231" t="n"/>
    </row>
    <row r="20561" ht="14.25" customHeight="1" s="192">
      <c r="W20561" s="235" t="n"/>
      <c r="X20561" s="235" t="n"/>
    </row>
    <row r="20562" ht="14.25" customHeight="1" s="192">
      <c r="W20562" s="228" t="n"/>
      <c r="X20562" s="228" t="n"/>
    </row>
    <row r="20563" ht="14.25" customHeight="1" s="192">
      <c r="W20563" s="235" t="n"/>
      <c r="X20563" s="235" t="n"/>
    </row>
    <row r="20564" ht="14.25" customHeight="1" s="192">
      <c r="W20564" s="235" t="n"/>
      <c r="X20564" s="235" t="n"/>
    </row>
    <row r="20565" ht="14.25" customHeight="1" s="192">
      <c r="W20565" s="235" t="n"/>
      <c r="X20565" s="235" t="n"/>
    </row>
    <row r="20566" ht="14.25" customHeight="1" s="192">
      <c r="W20566" s="239" t="n"/>
      <c r="X20566" s="239" t="n"/>
    </row>
    <row r="20567" ht="14.25" customHeight="1" s="192">
      <c r="W20567" s="239" t="n"/>
      <c r="X20567" s="239" t="n"/>
    </row>
    <row r="20568" ht="14.25" customHeight="1" s="192">
      <c r="W20568" s="239" t="n"/>
      <c r="X20568" s="239" t="n"/>
    </row>
    <row r="20569" ht="14.25" customHeight="1" s="192">
      <c r="W20569" s="235" t="n"/>
      <c r="X20569" s="235" t="n"/>
    </row>
    <row r="20570" ht="14.25" customHeight="1" s="192">
      <c r="W20570" s="235" t="n"/>
      <c r="X20570" s="235" t="n"/>
    </row>
    <row r="20571" ht="14.25" customHeight="1" s="192">
      <c r="W20571" s="235" t="n"/>
      <c r="X20571" s="235" t="n"/>
    </row>
    <row r="20572" ht="14.25" customHeight="1" s="192">
      <c r="W20572" s="239" t="n"/>
      <c r="X20572" s="239" t="n"/>
    </row>
    <row r="20573" ht="14.25" customHeight="1" s="192">
      <c r="W20573" s="239" t="n"/>
      <c r="X20573" s="239" t="n"/>
    </row>
    <row r="20574" ht="14.25" customHeight="1" s="192">
      <c r="W20574" s="235" t="n"/>
      <c r="X20574" s="235" t="n"/>
    </row>
    <row r="20575" ht="14.25" customHeight="1" s="192">
      <c r="W20575" s="235" t="n"/>
      <c r="X20575" s="235" t="n"/>
    </row>
    <row r="20576" ht="14.25" customHeight="1" s="192">
      <c r="W20576" s="239" t="n"/>
      <c r="X20576" s="239" t="n"/>
    </row>
    <row r="20577" ht="14.25" customHeight="1" s="192">
      <c r="W20577" s="235" t="n"/>
      <c r="X20577" s="235" t="n"/>
    </row>
    <row r="20578" ht="14.25" customHeight="1" s="192">
      <c r="W20578" s="239" t="n"/>
      <c r="X20578" s="239" t="n"/>
    </row>
    <row r="20580" ht="14.25" customHeight="1" s="192">
      <c r="W20580" s="235" t="n"/>
      <c r="X20580" s="235" t="n"/>
    </row>
    <row r="20581" ht="15" customHeight="1" s="192" thickBot="1">
      <c r="W20581" s="239" t="n"/>
      <c r="X20581" s="239" t="n"/>
    </row>
    <row r="20582" ht="15" customHeight="1" s="192" thickBot="1">
      <c r="W20582" s="45" t="n"/>
      <c r="X20582" s="45" t="n"/>
    </row>
    <row r="20583" ht="14.25" customHeight="1" s="192">
      <c r="W20583" s="228" t="n"/>
      <c r="X20583" s="228" t="n"/>
    </row>
    <row r="20584" ht="14.25" customHeight="1" s="192">
      <c r="W20584" s="228" t="n"/>
      <c r="X20584" s="228" t="n"/>
    </row>
    <row r="20585" ht="14.25" customHeight="1" s="192">
      <c r="W20585" s="231" t="n"/>
      <c r="X20585" s="231" t="n"/>
    </row>
    <row r="20586" ht="14.25" customHeight="1" s="192">
      <c r="W20586" s="33" t="n"/>
      <c r="X20586" s="33" t="n"/>
    </row>
    <row r="20587" ht="14.25" customHeight="1" s="192">
      <c r="W20587" s="231" t="n"/>
      <c r="X20587" s="231" t="n"/>
    </row>
    <row r="20588" ht="14.25" customHeight="1" s="192">
      <c r="W20588" s="33" t="n"/>
      <c r="X20588" s="33" t="n"/>
    </row>
    <row r="20590" ht="14.25" customHeight="1" s="192">
      <c r="W20590" s="231" t="n"/>
      <c r="X20590" s="231" t="n"/>
    </row>
    <row r="20591" ht="14.25" customHeight="1" s="192">
      <c r="W20591" s="235" t="n"/>
      <c r="X20591" s="235" t="n"/>
    </row>
    <row r="20592" ht="14.25" customHeight="1" s="192">
      <c r="W20592" s="228" t="n"/>
      <c r="X20592" s="228" t="n"/>
    </row>
    <row r="20593" ht="14.25" customHeight="1" s="192">
      <c r="W20593" s="235" t="n"/>
      <c r="X20593" s="235" t="n"/>
    </row>
    <row r="20594" ht="14.25" customHeight="1" s="192">
      <c r="W20594" s="235" t="n"/>
      <c r="X20594" s="235" t="n"/>
    </row>
    <row r="20595" ht="14.25" customHeight="1" s="192">
      <c r="W20595" s="235" t="n"/>
      <c r="X20595" s="235" t="n"/>
    </row>
    <row r="20596" ht="14.25" customHeight="1" s="192">
      <c r="W20596" s="239" t="n"/>
      <c r="X20596" s="239" t="n"/>
    </row>
    <row r="20597" ht="14.25" customHeight="1" s="192">
      <c r="W20597" s="239" t="n"/>
      <c r="X20597" s="239" t="n"/>
    </row>
    <row r="20598" ht="14.25" customHeight="1" s="192">
      <c r="W20598" s="239" t="n"/>
      <c r="X20598" s="239" t="n"/>
    </row>
    <row r="20599" ht="14.25" customHeight="1" s="192">
      <c r="W20599" s="235" t="n"/>
      <c r="X20599" s="235" t="n"/>
    </row>
    <row r="20600" ht="14.25" customHeight="1" s="192">
      <c r="W20600" s="235" t="n"/>
      <c r="X20600" s="235" t="n"/>
    </row>
    <row r="20601" ht="14.25" customHeight="1" s="192">
      <c r="W20601" s="235" t="n"/>
      <c r="X20601" s="235" t="n"/>
    </row>
    <row r="20602" ht="14.25" customHeight="1" s="192">
      <c r="W20602" s="239" t="n"/>
      <c r="X20602" s="239" t="n"/>
    </row>
    <row r="20603" ht="14.25" customHeight="1" s="192">
      <c r="W20603" s="239" t="n"/>
      <c r="X20603" s="239" t="n"/>
    </row>
    <row r="20604" ht="14.25" customHeight="1" s="192">
      <c r="W20604" s="235" t="n"/>
      <c r="X20604" s="235" t="n"/>
    </row>
    <row r="20605" ht="14.25" customHeight="1" s="192">
      <c r="W20605" s="235" t="n"/>
      <c r="X20605" s="235" t="n"/>
    </row>
    <row r="20606" ht="14.25" customHeight="1" s="192">
      <c r="W20606" s="239" t="n"/>
      <c r="X20606" s="239" t="n"/>
    </row>
    <row r="20607" ht="14.25" customHeight="1" s="192">
      <c r="W20607" s="235" t="n"/>
      <c r="X20607" s="235" t="n"/>
    </row>
    <row r="20608" ht="14.25" customHeight="1" s="192">
      <c r="W20608" s="239" t="n"/>
      <c r="X20608" s="239" t="n"/>
    </row>
    <row r="20610" ht="14.25" customHeight="1" s="192">
      <c r="W20610" s="235" t="n"/>
      <c r="X20610" s="235" t="n"/>
    </row>
    <row r="20611" ht="15" customHeight="1" s="192" thickBot="1">
      <c r="W20611" s="239" t="n"/>
      <c r="X20611" s="239" t="n"/>
    </row>
    <row r="20612" ht="15" customHeight="1" s="192" thickBot="1">
      <c r="W20612" s="45" t="n"/>
      <c r="X20612" s="45" t="n"/>
    </row>
    <row r="20613" ht="14.25" customHeight="1" s="192">
      <c r="W20613" s="228" t="n"/>
      <c r="X20613" s="228" t="n"/>
    </row>
    <row r="20614" ht="14.25" customHeight="1" s="192">
      <c r="W20614" s="228" t="n"/>
      <c r="X20614" s="228" t="n"/>
    </row>
    <row r="20615" ht="14.25" customHeight="1" s="192">
      <c r="W20615" s="231" t="n"/>
      <c r="X20615" s="231" t="n"/>
    </row>
    <row r="20616" ht="14.25" customHeight="1" s="192">
      <c r="W20616" s="33" t="n"/>
      <c r="X20616" s="33" t="n"/>
    </row>
    <row r="20617" ht="14.25" customHeight="1" s="192">
      <c r="W20617" s="231" t="n"/>
      <c r="X20617" s="231" t="n"/>
    </row>
    <row r="20618" ht="14.25" customHeight="1" s="192">
      <c r="W20618" s="33" t="n"/>
      <c r="X20618" s="33" t="n"/>
    </row>
    <row r="20620" ht="14.25" customHeight="1" s="192">
      <c r="W20620" s="231" t="n"/>
      <c r="X20620" s="231" t="n"/>
    </row>
    <row r="20621" ht="14.25" customHeight="1" s="192">
      <c r="W20621" s="235" t="n"/>
      <c r="X20621" s="235" t="n"/>
    </row>
    <row r="20622" ht="14.25" customHeight="1" s="192">
      <c r="W20622" s="228" t="n"/>
      <c r="X20622" s="228" t="n"/>
    </row>
    <row r="20623" ht="14.25" customHeight="1" s="192">
      <c r="W20623" s="235" t="n"/>
      <c r="X20623" s="235" t="n"/>
    </row>
    <row r="20624" ht="14.25" customHeight="1" s="192">
      <c r="W20624" s="235" t="n"/>
      <c r="X20624" s="235" t="n"/>
    </row>
    <row r="20625" ht="14.25" customHeight="1" s="192">
      <c r="W20625" s="235" t="n"/>
      <c r="X20625" s="235" t="n"/>
    </row>
    <row r="20626" ht="14.25" customHeight="1" s="192">
      <c r="W20626" s="239" t="n"/>
      <c r="X20626" s="239" t="n"/>
    </row>
    <row r="20627" ht="14.25" customHeight="1" s="192">
      <c r="W20627" s="239" t="n"/>
      <c r="X20627" s="239" t="n"/>
    </row>
    <row r="20628" ht="14.25" customHeight="1" s="192">
      <c r="W20628" s="239" t="n"/>
      <c r="X20628" s="239" t="n"/>
    </row>
    <row r="20629" ht="14.25" customHeight="1" s="192">
      <c r="W20629" s="235" t="n"/>
      <c r="X20629" s="235" t="n"/>
    </row>
    <row r="20630" ht="14.25" customHeight="1" s="192">
      <c r="W20630" s="235" t="n"/>
      <c r="X20630" s="235" t="n"/>
    </row>
    <row r="20631" ht="14.25" customHeight="1" s="192">
      <c r="W20631" s="235" t="n"/>
      <c r="X20631" s="235" t="n"/>
    </row>
    <row r="20632" ht="14.25" customHeight="1" s="192">
      <c r="W20632" s="239" t="n"/>
      <c r="X20632" s="239" t="n"/>
    </row>
    <row r="20633" ht="14.25" customHeight="1" s="192">
      <c r="W20633" s="239" t="n"/>
      <c r="X20633" s="239" t="n"/>
    </row>
    <row r="20634" ht="14.25" customHeight="1" s="192">
      <c r="W20634" s="235" t="n"/>
      <c r="X20634" s="235" t="n"/>
    </row>
    <row r="20635" ht="14.25" customHeight="1" s="192">
      <c r="W20635" s="235" t="n"/>
      <c r="X20635" s="235" t="n"/>
    </row>
    <row r="20636" ht="14.25" customHeight="1" s="192">
      <c r="W20636" s="239" t="n"/>
      <c r="X20636" s="239" t="n"/>
    </row>
    <row r="20637" ht="14.25" customHeight="1" s="192">
      <c r="W20637" s="235" t="n"/>
      <c r="X20637" s="235" t="n"/>
    </row>
    <row r="20638" ht="14.25" customHeight="1" s="192">
      <c r="W20638" s="239" t="n"/>
      <c r="X20638" s="239" t="n"/>
    </row>
    <row r="20640" ht="14.25" customHeight="1" s="192">
      <c r="W20640" s="235" t="n"/>
      <c r="X20640" s="235" t="n"/>
    </row>
    <row r="20641" ht="15" customHeight="1" s="192" thickBot="1">
      <c r="W20641" s="239" t="n"/>
      <c r="X20641" s="239" t="n"/>
    </row>
    <row r="20642" ht="15" customHeight="1" s="192" thickBot="1">
      <c r="W20642" s="45" t="n"/>
      <c r="X20642" s="45" t="n"/>
    </row>
    <row r="20643" ht="14.25" customHeight="1" s="192">
      <c r="W20643" s="228" t="n"/>
      <c r="X20643" s="228" t="n"/>
    </row>
    <row r="20644" ht="14.25" customHeight="1" s="192">
      <c r="W20644" s="228" t="n"/>
      <c r="X20644" s="228" t="n"/>
    </row>
    <row r="20645" ht="14.25" customHeight="1" s="192">
      <c r="W20645" s="231" t="n"/>
      <c r="X20645" s="231" t="n"/>
    </row>
    <row r="20646" ht="14.25" customHeight="1" s="192">
      <c r="W20646" s="33" t="n"/>
      <c r="X20646" s="33" t="n"/>
    </row>
    <row r="20647" ht="14.25" customHeight="1" s="192">
      <c r="W20647" s="231" t="n"/>
      <c r="X20647" s="231" t="n"/>
    </row>
    <row r="20648" ht="14.25" customHeight="1" s="192">
      <c r="W20648" s="33" t="n"/>
      <c r="X20648" s="33" t="n"/>
    </row>
    <row r="20650" ht="14.25" customHeight="1" s="192">
      <c r="W20650" s="231" t="n"/>
      <c r="X20650" s="231" t="n"/>
    </row>
    <row r="20651" ht="14.25" customHeight="1" s="192">
      <c r="W20651" s="235" t="n"/>
      <c r="X20651" s="235" t="n"/>
    </row>
    <row r="20652" ht="14.25" customHeight="1" s="192">
      <c r="W20652" s="228" t="n"/>
      <c r="X20652" s="228" t="n"/>
    </row>
    <row r="20653" ht="14.25" customHeight="1" s="192">
      <c r="W20653" s="235" t="n"/>
      <c r="X20653" s="235" t="n"/>
    </row>
    <row r="20654" ht="14.25" customHeight="1" s="192">
      <c r="W20654" s="235" t="n"/>
      <c r="X20654" s="235" t="n"/>
    </row>
    <row r="20655" ht="14.25" customHeight="1" s="192">
      <c r="W20655" s="235" t="n"/>
      <c r="X20655" s="235" t="n"/>
    </row>
    <row r="20656" ht="14.25" customHeight="1" s="192">
      <c r="W20656" s="239" t="n"/>
      <c r="X20656" s="239" t="n"/>
    </row>
    <row r="20657" ht="14.25" customHeight="1" s="192">
      <c r="W20657" s="239" t="n"/>
      <c r="X20657" s="239" t="n"/>
    </row>
    <row r="20658" ht="14.25" customHeight="1" s="192">
      <c r="W20658" s="239" t="n"/>
      <c r="X20658" s="239" t="n"/>
    </row>
    <row r="20659" ht="14.25" customHeight="1" s="192">
      <c r="W20659" s="235" t="n"/>
      <c r="X20659" s="235" t="n"/>
    </row>
    <row r="20660" ht="14.25" customHeight="1" s="192">
      <c r="W20660" s="235" t="n"/>
      <c r="X20660" s="235" t="n"/>
    </row>
    <row r="20661" ht="14.25" customHeight="1" s="192">
      <c r="W20661" s="235" t="n"/>
      <c r="X20661" s="235" t="n"/>
    </row>
    <row r="20662" ht="14.25" customHeight="1" s="192">
      <c r="W20662" s="239" t="n"/>
      <c r="X20662" s="239" t="n"/>
    </row>
    <row r="20663" ht="14.25" customHeight="1" s="192">
      <c r="W20663" s="239" t="n"/>
      <c r="X20663" s="239" t="n"/>
    </row>
    <row r="20664" ht="14.25" customHeight="1" s="192">
      <c r="W20664" s="235" t="n"/>
      <c r="X20664" s="235" t="n"/>
    </row>
    <row r="20665" ht="14.25" customHeight="1" s="192">
      <c r="W20665" s="235" t="n"/>
      <c r="X20665" s="235" t="n"/>
    </row>
    <row r="20666" ht="14.25" customHeight="1" s="192">
      <c r="W20666" s="239" t="n"/>
      <c r="X20666" s="239" t="n"/>
    </row>
    <row r="20667" ht="14.25" customHeight="1" s="192">
      <c r="W20667" s="235" t="n"/>
      <c r="X20667" s="235" t="n"/>
    </row>
    <row r="20668" ht="14.25" customHeight="1" s="192">
      <c r="W20668" s="239" t="n"/>
      <c r="X20668" s="239" t="n"/>
    </row>
    <row r="20670" ht="14.25" customHeight="1" s="192">
      <c r="W20670" s="235" t="n"/>
      <c r="X20670" s="235" t="n"/>
    </row>
    <row r="20671" ht="15" customHeight="1" s="192" thickBot="1">
      <c r="W20671" s="239" t="n"/>
      <c r="X20671" s="239" t="n"/>
    </row>
    <row r="20672" ht="15" customHeight="1" s="192" thickBot="1">
      <c r="W20672" s="45" t="n"/>
      <c r="X20672" s="45" t="n"/>
    </row>
    <row r="20673" ht="14.25" customHeight="1" s="192">
      <c r="W20673" s="228" t="n"/>
      <c r="X20673" s="228" t="n"/>
    </row>
    <row r="20674" ht="14.25" customHeight="1" s="192">
      <c r="W20674" s="228" t="n"/>
      <c r="X20674" s="228" t="n"/>
    </row>
    <row r="20675" ht="14.25" customHeight="1" s="192">
      <c r="W20675" s="231" t="n"/>
      <c r="X20675" s="231" t="n"/>
    </row>
    <row r="20676" ht="14.25" customHeight="1" s="192">
      <c r="W20676" s="33" t="n"/>
      <c r="X20676" s="33" t="n"/>
    </row>
    <row r="20677" ht="14.25" customHeight="1" s="192">
      <c r="W20677" s="231" t="n"/>
      <c r="X20677" s="231" t="n"/>
    </row>
    <row r="20678" ht="14.25" customHeight="1" s="192">
      <c r="W20678" s="33" t="n"/>
      <c r="X20678" s="33" t="n"/>
    </row>
    <row r="20680" ht="14.25" customHeight="1" s="192">
      <c r="W20680" s="231" t="n"/>
      <c r="X20680" s="231" t="n"/>
    </row>
    <row r="20681" ht="14.25" customHeight="1" s="192">
      <c r="W20681" s="235" t="n"/>
      <c r="X20681" s="235" t="n"/>
    </row>
    <row r="20682" ht="14.25" customHeight="1" s="192">
      <c r="W20682" s="228" t="n"/>
      <c r="X20682" s="228" t="n"/>
    </row>
    <row r="20683" ht="14.25" customHeight="1" s="192">
      <c r="W20683" s="235" t="n"/>
      <c r="X20683" s="235" t="n"/>
    </row>
    <row r="20684" ht="14.25" customHeight="1" s="192">
      <c r="W20684" s="235" t="n"/>
      <c r="X20684" s="235" t="n"/>
    </row>
    <row r="20685" ht="14.25" customHeight="1" s="192">
      <c r="W20685" s="235" t="n"/>
      <c r="X20685" s="235" t="n"/>
    </row>
    <row r="20686" ht="14.25" customHeight="1" s="192">
      <c r="W20686" s="239" t="n"/>
      <c r="X20686" s="239" t="n"/>
    </row>
    <row r="20687" ht="14.25" customHeight="1" s="192">
      <c r="W20687" s="239" t="n"/>
      <c r="X20687" s="239" t="n"/>
    </row>
    <row r="20688" ht="14.25" customHeight="1" s="192">
      <c r="W20688" s="239" t="n"/>
      <c r="X20688" s="239" t="n"/>
    </row>
    <row r="20689" ht="14.25" customHeight="1" s="192">
      <c r="W20689" s="235" t="n"/>
      <c r="X20689" s="235" t="n"/>
    </row>
    <row r="20690" ht="14.25" customHeight="1" s="192">
      <c r="W20690" s="235" t="n"/>
      <c r="X20690" s="235" t="n"/>
    </row>
    <row r="20691" ht="14.25" customHeight="1" s="192">
      <c r="W20691" s="235" t="n"/>
      <c r="X20691" s="235" t="n"/>
    </row>
    <row r="20692" ht="14.25" customHeight="1" s="192">
      <c r="W20692" s="239" t="n"/>
      <c r="X20692" s="239" t="n"/>
    </row>
    <row r="20693" ht="14.25" customHeight="1" s="192">
      <c r="W20693" s="239" t="n"/>
      <c r="X20693" s="239" t="n"/>
    </row>
    <row r="20694" ht="14.25" customHeight="1" s="192">
      <c r="W20694" s="235" t="n"/>
      <c r="X20694" s="235" t="n"/>
    </row>
    <row r="20695" ht="14.25" customHeight="1" s="192">
      <c r="W20695" s="235" t="n"/>
      <c r="X20695" s="235" t="n"/>
    </row>
    <row r="20696" ht="14.25" customHeight="1" s="192">
      <c r="W20696" s="239" t="n"/>
      <c r="X20696" s="239" t="n"/>
    </row>
    <row r="20697" ht="14.25" customHeight="1" s="192">
      <c r="W20697" s="235" t="n"/>
      <c r="X20697" s="235" t="n"/>
    </row>
    <row r="20698" ht="14.25" customHeight="1" s="192">
      <c r="W20698" s="239" t="n"/>
      <c r="X20698" s="239" t="n"/>
    </row>
    <row r="20700" ht="14.25" customHeight="1" s="192">
      <c r="W20700" s="235" t="n"/>
      <c r="X20700" s="235" t="n"/>
    </row>
    <row r="20701" ht="15" customHeight="1" s="192" thickBot="1">
      <c r="W20701" s="239" t="n"/>
      <c r="X20701" s="239" t="n"/>
    </row>
    <row r="20702" ht="15" customHeight="1" s="192" thickBot="1">
      <c r="W20702" s="45" t="n"/>
      <c r="X20702" s="45" t="n"/>
    </row>
    <row r="20703" ht="14.25" customHeight="1" s="192">
      <c r="W20703" s="228" t="n"/>
      <c r="X20703" s="228" t="n"/>
    </row>
    <row r="20704" ht="14.25" customHeight="1" s="192">
      <c r="W20704" s="228" t="n"/>
      <c r="X20704" s="228" t="n"/>
    </row>
    <row r="20705" ht="14.25" customHeight="1" s="192">
      <c r="W20705" s="231" t="n"/>
      <c r="X20705" s="231" t="n"/>
    </row>
    <row r="20706" ht="14.25" customHeight="1" s="192">
      <c r="W20706" s="33" t="n"/>
      <c r="X20706" s="33" t="n"/>
    </row>
    <row r="20707" ht="14.25" customHeight="1" s="192">
      <c r="W20707" s="231" t="n"/>
      <c r="X20707" s="231" t="n"/>
    </row>
    <row r="20708" ht="14.25" customHeight="1" s="192">
      <c r="W20708" s="33" t="n"/>
      <c r="X20708" s="33" t="n"/>
    </row>
    <row r="20710" ht="14.25" customHeight="1" s="192">
      <c r="W20710" s="231" t="n"/>
      <c r="X20710" s="231" t="n"/>
    </row>
    <row r="20711" ht="14.25" customHeight="1" s="192">
      <c r="W20711" s="235" t="n"/>
      <c r="X20711" s="235" t="n"/>
    </row>
    <row r="20712" ht="14.25" customHeight="1" s="192">
      <c r="W20712" s="228" t="n"/>
      <c r="X20712" s="228" t="n"/>
    </row>
    <row r="20713" ht="14.25" customHeight="1" s="192">
      <c r="W20713" s="235" t="n"/>
      <c r="X20713" s="235" t="n"/>
    </row>
    <row r="20714" ht="14.25" customHeight="1" s="192">
      <c r="W20714" s="235" t="n"/>
      <c r="X20714" s="235" t="n"/>
    </row>
    <row r="20715" ht="14.25" customHeight="1" s="192">
      <c r="W20715" s="235" t="n"/>
      <c r="X20715" s="235" t="n"/>
    </row>
    <row r="20716" ht="14.25" customHeight="1" s="192">
      <c r="W20716" s="239" t="n"/>
      <c r="X20716" s="239" t="n"/>
    </row>
    <row r="20717" ht="14.25" customHeight="1" s="192">
      <c r="W20717" s="239" t="n"/>
      <c r="X20717" s="239" t="n"/>
    </row>
    <row r="20718" ht="14.25" customHeight="1" s="192">
      <c r="W20718" s="239" t="n"/>
      <c r="X20718" s="239" t="n"/>
    </row>
    <row r="20719" ht="14.25" customHeight="1" s="192">
      <c r="W20719" s="235" t="n"/>
      <c r="X20719" s="235" t="n"/>
    </row>
    <row r="20720" ht="14.25" customHeight="1" s="192">
      <c r="W20720" s="235" t="n"/>
      <c r="X20720" s="235" t="n"/>
    </row>
    <row r="20721" ht="14.25" customHeight="1" s="192">
      <c r="W20721" s="235" t="n"/>
      <c r="X20721" s="235" t="n"/>
    </row>
    <row r="20722" ht="14.25" customHeight="1" s="192">
      <c r="W20722" s="239" t="n"/>
      <c r="X20722" s="239" t="n"/>
    </row>
    <row r="20723" ht="14.25" customHeight="1" s="192">
      <c r="W20723" s="239" t="n"/>
      <c r="X20723" s="239" t="n"/>
    </row>
    <row r="20724" ht="14.25" customHeight="1" s="192">
      <c r="W20724" s="235" t="n"/>
      <c r="X20724" s="235" t="n"/>
    </row>
    <row r="20725" ht="14.25" customHeight="1" s="192">
      <c r="W20725" s="235" t="n"/>
      <c r="X20725" s="235" t="n"/>
    </row>
    <row r="20726" ht="14.25" customHeight="1" s="192">
      <c r="W20726" s="239" t="n"/>
      <c r="X20726" s="239" t="n"/>
    </row>
    <row r="20727" ht="14.25" customHeight="1" s="192">
      <c r="W20727" s="235" t="n"/>
      <c r="X20727" s="235" t="n"/>
    </row>
    <row r="20728" ht="14.25" customHeight="1" s="192">
      <c r="W20728" s="239" t="n"/>
      <c r="X20728" s="239" t="n"/>
    </row>
    <row r="20730" ht="14.25" customHeight="1" s="192">
      <c r="W20730" s="235" t="n"/>
      <c r="X20730" s="235" t="n"/>
    </row>
    <row r="20731" ht="15" customHeight="1" s="192" thickBot="1">
      <c r="W20731" s="239" t="n"/>
      <c r="X20731" s="239" t="n"/>
    </row>
    <row r="20732" ht="15" customHeight="1" s="192" thickBot="1">
      <c r="W20732" s="45" t="n"/>
      <c r="X20732" s="45" t="n"/>
    </row>
    <row r="20733" ht="14.25" customHeight="1" s="192">
      <c r="W20733" s="228" t="n"/>
      <c r="X20733" s="228" t="n"/>
    </row>
    <row r="20734" ht="14.25" customHeight="1" s="192">
      <c r="W20734" s="228" t="n"/>
      <c r="X20734" s="228" t="n"/>
    </row>
    <row r="20735" ht="14.25" customHeight="1" s="192">
      <c r="W20735" s="231" t="n"/>
      <c r="X20735" s="231" t="n"/>
    </row>
    <row r="20736" ht="14.25" customHeight="1" s="192">
      <c r="W20736" s="33" t="n"/>
      <c r="X20736" s="33" t="n"/>
    </row>
    <row r="20737" ht="14.25" customHeight="1" s="192">
      <c r="W20737" s="231" t="n"/>
      <c r="X20737" s="231" t="n"/>
    </row>
    <row r="20738" ht="14.25" customHeight="1" s="192">
      <c r="W20738" s="33" t="n"/>
      <c r="X20738" s="33" t="n"/>
    </row>
    <row r="20740" ht="14.25" customHeight="1" s="192">
      <c r="W20740" s="231" t="n"/>
      <c r="X20740" s="231" t="n"/>
    </row>
    <row r="20741" ht="14.25" customHeight="1" s="192">
      <c r="W20741" s="235" t="n"/>
      <c r="X20741" s="235" t="n"/>
    </row>
    <row r="20742" ht="14.25" customHeight="1" s="192">
      <c r="W20742" s="228" t="n"/>
      <c r="X20742" s="228" t="n"/>
    </row>
    <row r="20743" ht="14.25" customHeight="1" s="192">
      <c r="W20743" s="235" t="n"/>
      <c r="X20743" s="235" t="n"/>
    </row>
    <row r="20744" ht="14.25" customHeight="1" s="192">
      <c r="W20744" s="235" t="n"/>
      <c r="X20744" s="235" t="n"/>
    </row>
    <row r="20745" ht="14.25" customHeight="1" s="192">
      <c r="W20745" s="235" t="n"/>
      <c r="X20745" s="235" t="n"/>
    </row>
    <row r="20746" ht="14.25" customHeight="1" s="192">
      <c r="W20746" s="239" t="n"/>
      <c r="X20746" s="239" t="n"/>
    </row>
    <row r="20747" ht="14.25" customHeight="1" s="192">
      <c r="W20747" s="239" t="n"/>
      <c r="X20747" s="239" t="n"/>
    </row>
    <row r="20748" ht="14.25" customHeight="1" s="192">
      <c r="W20748" s="239" t="n"/>
      <c r="X20748" s="239" t="n"/>
    </row>
    <row r="20749" ht="14.25" customHeight="1" s="192">
      <c r="W20749" s="235" t="n"/>
      <c r="X20749" s="235" t="n"/>
    </row>
    <row r="20750" ht="14.25" customHeight="1" s="192">
      <c r="W20750" s="235" t="n"/>
      <c r="X20750" s="235" t="n"/>
    </row>
    <row r="20751" ht="14.25" customHeight="1" s="192">
      <c r="W20751" s="235" t="n"/>
      <c r="X20751" s="235" t="n"/>
    </row>
    <row r="20752" ht="14.25" customHeight="1" s="192">
      <c r="W20752" s="239" t="n"/>
      <c r="X20752" s="239" t="n"/>
    </row>
    <row r="20753" ht="14.25" customHeight="1" s="192">
      <c r="W20753" s="239" t="n"/>
      <c r="X20753" s="239" t="n"/>
    </row>
    <row r="20754" ht="14.25" customHeight="1" s="192">
      <c r="W20754" s="235" t="n"/>
      <c r="X20754" s="235" t="n"/>
    </row>
    <row r="20755" ht="14.25" customHeight="1" s="192">
      <c r="W20755" s="235" t="n"/>
      <c r="X20755" s="235" t="n"/>
    </row>
    <row r="20756" ht="14.25" customHeight="1" s="192">
      <c r="W20756" s="239" t="n"/>
      <c r="X20756" s="239" t="n"/>
    </row>
    <row r="20757" ht="14.25" customHeight="1" s="192">
      <c r="W20757" s="235" t="n"/>
      <c r="X20757" s="235" t="n"/>
    </row>
    <row r="20758" ht="14.25" customHeight="1" s="192">
      <c r="W20758" s="239" t="n"/>
      <c r="X20758" s="239" t="n"/>
    </row>
    <row r="20760" ht="14.25" customHeight="1" s="192">
      <c r="W20760" s="235" t="n"/>
      <c r="X20760" s="235" t="n"/>
    </row>
    <row r="20761" ht="15" customHeight="1" s="192" thickBot="1">
      <c r="W20761" s="239" t="n"/>
      <c r="X20761" s="239" t="n"/>
    </row>
    <row r="20762" ht="15" customHeight="1" s="192" thickBot="1">
      <c r="W20762" s="45" t="n"/>
      <c r="X20762" s="45" t="n"/>
    </row>
    <row r="20763" ht="14.25" customHeight="1" s="192">
      <c r="W20763" s="228" t="n"/>
      <c r="X20763" s="228" t="n"/>
    </row>
    <row r="20764" ht="14.25" customHeight="1" s="192">
      <c r="W20764" s="228" t="n"/>
      <c r="X20764" s="228" t="n"/>
    </row>
    <row r="20765" ht="14.25" customHeight="1" s="192">
      <c r="W20765" s="231" t="n"/>
      <c r="X20765" s="231" t="n"/>
    </row>
    <row r="20766" ht="14.25" customHeight="1" s="192">
      <c r="W20766" s="33" t="n"/>
      <c r="X20766" s="33" t="n"/>
    </row>
    <row r="20767" ht="14.25" customHeight="1" s="192">
      <c r="W20767" s="231" t="n"/>
      <c r="X20767" s="231" t="n"/>
    </row>
    <row r="20768" ht="14.25" customHeight="1" s="192">
      <c r="W20768" s="33" t="n"/>
      <c r="X20768" s="33" t="n"/>
    </row>
    <row r="20770" ht="14.25" customHeight="1" s="192">
      <c r="W20770" s="231" t="n"/>
      <c r="X20770" s="231" t="n"/>
    </row>
    <row r="20771" ht="14.25" customHeight="1" s="192">
      <c r="W20771" s="235" t="n"/>
      <c r="X20771" s="235" t="n"/>
    </row>
    <row r="20772" ht="14.25" customHeight="1" s="192">
      <c r="W20772" s="228" t="n"/>
      <c r="X20772" s="228" t="n"/>
    </row>
    <row r="20773" ht="14.25" customHeight="1" s="192">
      <c r="W20773" s="235" t="n"/>
      <c r="X20773" s="235" t="n"/>
    </row>
    <row r="20774" ht="14.25" customHeight="1" s="192">
      <c r="W20774" s="235" t="n"/>
      <c r="X20774" s="235" t="n"/>
    </row>
    <row r="20775" ht="14.25" customHeight="1" s="192">
      <c r="W20775" s="235" t="n"/>
      <c r="X20775" s="235" t="n"/>
    </row>
    <row r="20776" ht="14.25" customHeight="1" s="192">
      <c r="W20776" s="239" t="n"/>
      <c r="X20776" s="239" t="n"/>
    </row>
    <row r="20777" ht="14.25" customHeight="1" s="192">
      <c r="W20777" s="239" t="n"/>
      <c r="X20777" s="239" t="n"/>
    </row>
    <row r="20778" ht="14.25" customHeight="1" s="192">
      <c r="W20778" s="239" t="n"/>
      <c r="X20778" s="239" t="n"/>
    </row>
    <row r="20779" ht="14.25" customHeight="1" s="192">
      <c r="W20779" s="235" t="n"/>
      <c r="X20779" s="235" t="n"/>
    </row>
    <row r="20780" ht="14.25" customHeight="1" s="192">
      <c r="W20780" s="235" t="n"/>
      <c r="X20780" s="235" t="n"/>
    </row>
    <row r="20781" ht="14.25" customHeight="1" s="192">
      <c r="W20781" s="235" t="n"/>
      <c r="X20781" s="235" t="n"/>
    </row>
    <row r="20782" ht="14.25" customHeight="1" s="192">
      <c r="W20782" s="239" t="n"/>
      <c r="X20782" s="239" t="n"/>
    </row>
    <row r="20783" ht="14.25" customHeight="1" s="192">
      <c r="W20783" s="239" t="n"/>
      <c r="X20783" s="239" t="n"/>
    </row>
    <row r="20784" ht="14.25" customHeight="1" s="192">
      <c r="W20784" s="235" t="n"/>
      <c r="X20784" s="235" t="n"/>
    </row>
    <row r="20785" ht="14.25" customHeight="1" s="192">
      <c r="W20785" s="235" t="n"/>
      <c r="X20785" s="235" t="n"/>
    </row>
    <row r="20786" ht="14.25" customHeight="1" s="192">
      <c r="W20786" s="239" t="n"/>
      <c r="X20786" s="239" t="n"/>
    </row>
    <row r="20787" ht="14.25" customHeight="1" s="192">
      <c r="W20787" s="235" t="n"/>
      <c r="X20787" s="235" t="n"/>
    </row>
    <row r="20788" ht="14.25" customHeight="1" s="192">
      <c r="W20788" s="239" t="n"/>
      <c r="X20788" s="239" t="n"/>
    </row>
    <row r="20790" ht="14.25" customHeight="1" s="192">
      <c r="W20790" s="235" t="n"/>
      <c r="X20790" s="235" t="n"/>
    </row>
    <row r="20791" ht="15" customHeight="1" s="192" thickBot="1">
      <c r="W20791" s="239" t="n"/>
      <c r="X20791" s="239" t="n"/>
    </row>
    <row r="20792" ht="15" customHeight="1" s="192" thickBot="1">
      <c r="W20792" s="45" t="n"/>
      <c r="X20792" s="45" t="n"/>
    </row>
    <row r="20793" ht="14.25" customHeight="1" s="192">
      <c r="W20793" s="228" t="n"/>
      <c r="X20793" s="228" t="n"/>
    </row>
    <row r="20794" ht="14.25" customHeight="1" s="192">
      <c r="W20794" s="228" t="n"/>
      <c r="X20794" s="228" t="n"/>
    </row>
    <row r="20795" ht="14.25" customHeight="1" s="192">
      <c r="W20795" s="231" t="n"/>
      <c r="X20795" s="231" t="n"/>
    </row>
    <row r="20796" ht="14.25" customHeight="1" s="192">
      <c r="W20796" s="33" t="n"/>
      <c r="X20796" s="33" t="n"/>
    </row>
    <row r="20797" ht="14.25" customHeight="1" s="192">
      <c r="W20797" s="231" t="n"/>
      <c r="X20797" s="231" t="n"/>
    </row>
    <row r="20798" ht="14.25" customHeight="1" s="192">
      <c r="W20798" s="33" t="n"/>
      <c r="X20798" s="33" t="n"/>
    </row>
    <row r="20800" ht="14.25" customHeight="1" s="192">
      <c r="W20800" s="231" t="n"/>
      <c r="X20800" s="231" t="n"/>
    </row>
    <row r="20801" ht="14.25" customHeight="1" s="192">
      <c r="W20801" s="235" t="n"/>
      <c r="X20801" s="235" t="n"/>
    </row>
    <row r="20802" ht="14.25" customHeight="1" s="192">
      <c r="W20802" s="228" t="n"/>
      <c r="X20802" s="228" t="n"/>
    </row>
    <row r="20803" ht="14.25" customHeight="1" s="192">
      <c r="W20803" s="235" t="n"/>
      <c r="X20803" s="235" t="n"/>
    </row>
    <row r="20804" ht="14.25" customHeight="1" s="192">
      <c r="W20804" s="235" t="n"/>
      <c r="X20804" s="235" t="n"/>
    </row>
    <row r="20805" ht="14.25" customHeight="1" s="192">
      <c r="W20805" s="235" t="n"/>
      <c r="X20805" s="235" t="n"/>
    </row>
    <row r="20806" ht="14.25" customHeight="1" s="192">
      <c r="W20806" s="239" t="n"/>
      <c r="X20806" s="239" t="n"/>
    </row>
    <row r="20807" ht="14.25" customHeight="1" s="192">
      <c r="W20807" s="239" t="n"/>
      <c r="X20807" s="239" t="n"/>
    </row>
    <row r="20808" ht="14.25" customHeight="1" s="192">
      <c r="W20808" s="239" t="n"/>
      <c r="X20808" s="239" t="n"/>
    </row>
    <row r="20809" ht="14.25" customHeight="1" s="192">
      <c r="W20809" s="235" t="n"/>
      <c r="X20809" s="235" t="n"/>
    </row>
    <row r="20810" ht="14.25" customHeight="1" s="192">
      <c r="W20810" s="235" t="n"/>
      <c r="X20810" s="235" t="n"/>
    </row>
    <row r="20811" ht="14.25" customHeight="1" s="192">
      <c r="W20811" s="235" t="n"/>
      <c r="X20811" s="235" t="n"/>
    </row>
    <row r="20812" ht="14.25" customHeight="1" s="192">
      <c r="W20812" s="239" t="n"/>
      <c r="X20812" s="239" t="n"/>
    </row>
    <row r="20813" ht="14.25" customHeight="1" s="192">
      <c r="W20813" s="239" t="n"/>
      <c r="X20813" s="239" t="n"/>
    </row>
    <row r="20814" ht="14.25" customHeight="1" s="192">
      <c r="W20814" s="235" t="n"/>
      <c r="X20814" s="235" t="n"/>
    </row>
    <row r="20815" ht="14.25" customHeight="1" s="192">
      <c r="W20815" s="235" t="n"/>
      <c r="X20815" s="235" t="n"/>
    </row>
    <row r="20816" ht="14.25" customHeight="1" s="192">
      <c r="W20816" s="239" t="n"/>
      <c r="X20816" s="239" t="n"/>
    </row>
    <row r="20817" ht="14.25" customHeight="1" s="192">
      <c r="W20817" s="235" t="n"/>
      <c r="X20817" s="235" t="n"/>
    </row>
    <row r="20818" ht="14.25" customHeight="1" s="192">
      <c r="W20818" s="239" t="n"/>
      <c r="X20818" s="239" t="n"/>
    </row>
    <row r="20820" ht="14.25" customHeight="1" s="192">
      <c r="W20820" s="235" t="n"/>
      <c r="X20820" s="235" t="n"/>
    </row>
    <row r="20821" ht="15" customHeight="1" s="192" thickBot="1">
      <c r="W20821" s="239" t="n"/>
      <c r="X20821" s="239" t="n"/>
    </row>
    <row r="20822" ht="15" customHeight="1" s="192" thickBot="1">
      <c r="W20822" s="45" t="n"/>
      <c r="X20822" s="45" t="n"/>
    </row>
    <row r="20823" ht="14.25" customHeight="1" s="192">
      <c r="W20823" s="228" t="n"/>
      <c r="X20823" s="228" t="n"/>
    </row>
    <row r="20824" ht="14.25" customHeight="1" s="192">
      <c r="W20824" s="228" t="n"/>
      <c r="X20824" s="228" t="n"/>
    </row>
    <row r="20825" ht="14.25" customHeight="1" s="192">
      <c r="W20825" s="231" t="n"/>
      <c r="X20825" s="231" t="n"/>
    </row>
    <row r="20826" ht="14.25" customHeight="1" s="192">
      <c r="W20826" s="33" t="n"/>
      <c r="X20826" s="33" t="n"/>
    </row>
    <row r="20827" ht="14.25" customHeight="1" s="192">
      <c r="W20827" s="231" t="n"/>
      <c r="X20827" s="231" t="n"/>
    </row>
    <row r="20828" ht="14.25" customHeight="1" s="192">
      <c r="W20828" s="33" t="n"/>
      <c r="X20828" s="33" t="n"/>
    </row>
    <row r="20830" ht="14.25" customHeight="1" s="192">
      <c r="W20830" s="231" t="n"/>
      <c r="X20830" s="231" t="n"/>
    </row>
    <row r="20831" ht="14.25" customHeight="1" s="192">
      <c r="W20831" s="235" t="n"/>
      <c r="X20831" s="235" t="n"/>
    </row>
    <row r="20832" ht="14.25" customHeight="1" s="192">
      <c r="W20832" s="228" t="n"/>
      <c r="X20832" s="228" t="n"/>
    </row>
    <row r="20833" ht="14.25" customHeight="1" s="192">
      <c r="W20833" s="235" t="n"/>
      <c r="X20833" s="235" t="n"/>
    </row>
    <row r="20834" ht="14.25" customHeight="1" s="192">
      <c r="W20834" s="235" t="n"/>
      <c r="X20834" s="235" t="n"/>
    </row>
    <row r="20835" ht="14.25" customHeight="1" s="192">
      <c r="W20835" s="235" t="n"/>
      <c r="X20835" s="235" t="n"/>
    </row>
    <row r="20836" ht="14.25" customHeight="1" s="192">
      <c r="W20836" s="239" t="n"/>
      <c r="X20836" s="239" t="n"/>
    </row>
    <row r="20837" ht="14.25" customHeight="1" s="192">
      <c r="W20837" s="239" t="n"/>
      <c r="X20837" s="239" t="n"/>
    </row>
    <row r="20838" ht="14.25" customHeight="1" s="192">
      <c r="W20838" s="239" t="n"/>
      <c r="X20838" s="239" t="n"/>
    </row>
    <row r="20839" ht="14.25" customHeight="1" s="192">
      <c r="W20839" s="235" t="n"/>
      <c r="X20839" s="235" t="n"/>
    </row>
    <row r="20840" ht="14.25" customHeight="1" s="192">
      <c r="W20840" s="235" t="n"/>
      <c r="X20840" s="235" t="n"/>
    </row>
    <row r="20841" ht="14.25" customHeight="1" s="192">
      <c r="W20841" s="235" t="n"/>
      <c r="X20841" s="235" t="n"/>
    </row>
    <row r="20842" ht="14.25" customHeight="1" s="192">
      <c r="W20842" s="239" t="n"/>
      <c r="X20842" s="239" t="n"/>
    </row>
    <row r="20843" ht="14.25" customHeight="1" s="192">
      <c r="W20843" s="239" t="n"/>
      <c r="X20843" s="239" t="n"/>
    </row>
    <row r="20844" ht="14.25" customHeight="1" s="192">
      <c r="W20844" s="235" t="n"/>
      <c r="X20844" s="235" t="n"/>
    </row>
    <row r="20845" ht="14.25" customHeight="1" s="192">
      <c r="W20845" s="235" t="n"/>
      <c r="X20845" s="235" t="n"/>
    </row>
    <row r="20846" ht="14.25" customHeight="1" s="192">
      <c r="W20846" s="239" t="n"/>
      <c r="X20846" s="239" t="n"/>
    </row>
    <row r="20847" ht="14.25" customHeight="1" s="192">
      <c r="W20847" s="235" t="n"/>
      <c r="X20847" s="235" t="n"/>
    </row>
    <row r="20848" ht="14.25" customHeight="1" s="192">
      <c r="W20848" s="239" t="n"/>
      <c r="X20848" s="239" t="n"/>
    </row>
    <row r="20850" ht="14.25" customHeight="1" s="192">
      <c r="W20850" s="235" t="n"/>
      <c r="X20850" s="235" t="n"/>
    </row>
    <row r="20851" ht="15" customHeight="1" s="192" thickBot="1">
      <c r="W20851" s="239" t="n"/>
      <c r="X20851" s="239" t="n"/>
    </row>
    <row r="20852" ht="15" customHeight="1" s="192" thickBot="1">
      <c r="W20852" s="45" t="n"/>
      <c r="X20852" s="45" t="n"/>
    </row>
    <row r="20853" ht="14.25" customHeight="1" s="192">
      <c r="W20853" s="228" t="n"/>
      <c r="X20853" s="228" t="n"/>
    </row>
    <row r="20854" ht="14.25" customHeight="1" s="192">
      <c r="W20854" s="228" t="n"/>
      <c r="X20854" s="228" t="n"/>
    </row>
    <row r="20855" ht="14.25" customHeight="1" s="192">
      <c r="W20855" s="231" t="n"/>
      <c r="X20855" s="231" t="n"/>
    </row>
    <row r="20856" ht="14.25" customHeight="1" s="192">
      <c r="W20856" s="33" t="n"/>
      <c r="X20856" s="33" t="n"/>
    </row>
    <row r="20857" ht="14.25" customHeight="1" s="192">
      <c r="W20857" s="231" t="n"/>
      <c r="X20857" s="231" t="n"/>
    </row>
    <row r="20858" ht="14.25" customHeight="1" s="192">
      <c r="W20858" s="33" t="n"/>
      <c r="X20858" s="33" t="n"/>
    </row>
    <row r="20860" ht="14.25" customHeight="1" s="192">
      <c r="W20860" s="231" t="n"/>
      <c r="X20860" s="231" t="n"/>
    </row>
    <row r="20861" ht="14.25" customHeight="1" s="192">
      <c r="W20861" s="235" t="n"/>
      <c r="X20861" s="235" t="n"/>
    </row>
    <row r="20862" ht="14.25" customHeight="1" s="192">
      <c r="W20862" s="228" t="n"/>
      <c r="X20862" s="228" t="n"/>
    </row>
    <row r="20863" ht="14.25" customHeight="1" s="192">
      <c r="W20863" s="235" t="n"/>
      <c r="X20863" s="235" t="n"/>
    </row>
    <row r="20864" ht="14.25" customHeight="1" s="192">
      <c r="W20864" s="235" t="n"/>
      <c r="X20864" s="235" t="n"/>
    </row>
    <row r="20865" ht="14.25" customHeight="1" s="192">
      <c r="W20865" s="235" t="n"/>
      <c r="X20865" s="235" t="n"/>
    </row>
    <row r="20866" ht="14.25" customHeight="1" s="192">
      <c r="W20866" s="239" t="n"/>
      <c r="X20866" s="239" t="n"/>
    </row>
    <row r="20867" ht="14.25" customHeight="1" s="192">
      <c r="W20867" s="239" t="n"/>
      <c r="X20867" s="239" t="n"/>
    </row>
    <row r="20868" ht="14.25" customHeight="1" s="192">
      <c r="W20868" s="239" t="n"/>
      <c r="X20868" s="239" t="n"/>
    </row>
    <row r="20869" ht="14.25" customHeight="1" s="192">
      <c r="W20869" s="235" t="n"/>
      <c r="X20869" s="235" t="n"/>
    </row>
    <row r="20870" ht="14.25" customHeight="1" s="192">
      <c r="W20870" s="235" t="n"/>
      <c r="X20870" s="235" t="n"/>
    </row>
    <row r="20871" ht="14.25" customHeight="1" s="192">
      <c r="W20871" s="235" t="n"/>
      <c r="X20871" s="235" t="n"/>
    </row>
    <row r="20872" ht="14.25" customHeight="1" s="192">
      <c r="W20872" s="239" t="n"/>
      <c r="X20872" s="239" t="n"/>
    </row>
    <row r="20873" ht="14.25" customHeight="1" s="192">
      <c r="W20873" s="239" t="n"/>
      <c r="X20873" s="239" t="n"/>
    </row>
    <row r="20874" ht="14.25" customHeight="1" s="192">
      <c r="W20874" s="235" t="n"/>
      <c r="X20874" s="235" t="n"/>
    </row>
    <row r="20875" ht="14.25" customHeight="1" s="192">
      <c r="W20875" s="235" t="n"/>
      <c r="X20875" s="235" t="n"/>
    </row>
    <row r="20876" ht="14.25" customHeight="1" s="192">
      <c r="W20876" s="239" t="n"/>
      <c r="X20876" s="239" t="n"/>
    </row>
    <row r="20877" ht="14.25" customHeight="1" s="192">
      <c r="W20877" s="235" t="n"/>
      <c r="X20877" s="235" t="n"/>
    </row>
    <row r="20878" ht="14.25" customHeight="1" s="192">
      <c r="W20878" s="239" t="n"/>
      <c r="X20878" s="239" t="n"/>
    </row>
    <row r="20880" ht="14.25" customHeight="1" s="192">
      <c r="W20880" s="235" t="n"/>
      <c r="X20880" s="235" t="n"/>
    </row>
    <row r="20881" ht="15" customHeight="1" s="192" thickBot="1">
      <c r="W20881" s="239" t="n"/>
      <c r="X20881" s="239" t="n"/>
    </row>
    <row r="20882" ht="15" customHeight="1" s="192" thickBot="1">
      <c r="W20882" s="45" t="n"/>
      <c r="X20882" s="45" t="n"/>
    </row>
    <row r="20883" ht="14.25" customHeight="1" s="192">
      <c r="W20883" s="228" t="n"/>
      <c r="X20883" s="228" t="n"/>
    </row>
    <row r="20884" ht="14.25" customHeight="1" s="192">
      <c r="W20884" s="228" t="n"/>
      <c r="X20884" s="228" t="n"/>
    </row>
    <row r="20885" ht="14.25" customHeight="1" s="192">
      <c r="W20885" s="231" t="n"/>
      <c r="X20885" s="231" t="n"/>
    </row>
    <row r="20886" ht="14.25" customHeight="1" s="192">
      <c r="W20886" s="33" t="n"/>
      <c r="X20886" s="33" t="n"/>
    </row>
    <row r="20887" ht="14.25" customHeight="1" s="192">
      <c r="W20887" s="231" t="n"/>
      <c r="X20887" s="231" t="n"/>
    </row>
    <row r="20888" ht="14.25" customHeight="1" s="192">
      <c r="W20888" s="33" t="n"/>
      <c r="X20888" s="33" t="n"/>
    </row>
    <row r="20890" ht="14.25" customHeight="1" s="192">
      <c r="W20890" s="231" t="n"/>
      <c r="X20890" s="231" t="n"/>
    </row>
    <row r="20891" ht="14.25" customHeight="1" s="192">
      <c r="W20891" s="235" t="n"/>
      <c r="X20891" s="235" t="n"/>
    </row>
    <row r="20892" ht="14.25" customHeight="1" s="192">
      <c r="W20892" s="228" t="n"/>
      <c r="X20892" s="228" t="n"/>
    </row>
    <row r="20893" ht="14.25" customHeight="1" s="192">
      <c r="W20893" s="235" t="n"/>
      <c r="X20893" s="235" t="n"/>
    </row>
    <row r="20894" ht="14.25" customHeight="1" s="192">
      <c r="W20894" s="235" t="n"/>
      <c r="X20894" s="235" t="n"/>
    </row>
    <row r="20895" ht="14.25" customHeight="1" s="192">
      <c r="W20895" s="235" t="n"/>
      <c r="X20895" s="235" t="n"/>
    </row>
    <row r="20896" ht="14.25" customHeight="1" s="192">
      <c r="W20896" s="239" t="n"/>
      <c r="X20896" s="239" t="n"/>
    </row>
    <row r="20897" ht="14.25" customHeight="1" s="192">
      <c r="W20897" s="239" t="n"/>
      <c r="X20897" s="239" t="n"/>
    </row>
    <row r="20898" ht="14.25" customHeight="1" s="192">
      <c r="W20898" s="239" t="n"/>
      <c r="X20898" s="239" t="n"/>
    </row>
    <row r="20899" ht="14.25" customHeight="1" s="192">
      <c r="W20899" s="235" t="n"/>
      <c r="X20899" s="235" t="n"/>
    </row>
    <row r="20900" ht="14.25" customHeight="1" s="192">
      <c r="W20900" s="235" t="n"/>
      <c r="X20900" s="235" t="n"/>
    </row>
    <row r="20901" ht="14.25" customHeight="1" s="192">
      <c r="W20901" s="235" t="n"/>
      <c r="X20901" s="235" t="n"/>
    </row>
    <row r="20902" ht="14.25" customHeight="1" s="192">
      <c r="W20902" s="239" t="n"/>
      <c r="X20902" s="239" t="n"/>
    </row>
    <row r="20903" ht="14.25" customHeight="1" s="192">
      <c r="W20903" s="239" t="n"/>
      <c r="X20903" s="239" t="n"/>
    </row>
    <row r="20904" ht="14.25" customHeight="1" s="192">
      <c r="W20904" s="235" t="n"/>
      <c r="X20904" s="235" t="n"/>
    </row>
    <row r="20905" ht="14.25" customHeight="1" s="192">
      <c r="W20905" s="235" t="n"/>
      <c r="X20905" s="235" t="n"/>
    </row>
    <row r="20906" ht="14.25" customHeight="1" s="192">
      <c r="W20906" s="239" t="n"/>
      <c r="X20906" s="239" t="n"/>
    </row>
    <row r="20907" ht="14.25" customHeight="1" s="192">
      <c r="W20907" s="235" t="n"/>
      <c r="X20907" s="235" t="n"/>
    </row>
    <row r="20908" ht="14.25" customHeight="1" s="192">
      <c r="W20908" s="239" t="n"/>
      <c r="X20908" s="239" t="n"/>
    </row>
    <row r="20910" ht="14.25" customHeight="1" s="192">
      <c r="W20910" s="235" t="n"/>
      <c r="X20910" s="235" t="n"/>
    </row>
    <row r="20911" ht="15" customHeight="1" s="192" thickBot="1">
      <c r="W20911" s="239" t="n"/>
      <c r="X20911" s="239" t="n"/>
    </row>
    <row r="20912" ht="15" customHeight="1" s="192" thickBot="1">
      <c r="W20912" s="45" t="n"/>
      <c r="X20912" s="45" t="n"/>
    </row>
    <row r="20913" ht="14.25" customHeight="1" s="192">
      <c r="W20913" s="228" t="n"/>
      <c r="X20913" s="228" t="n"/>
    </row>
    <row r="20914" ht="14.25" customHeight="1" s="192">
      <c r="W20914" s="228" t="n"/>
      <c r="X20914" s="228" t="n"/>
    </row>
    <row r="20915" ht="14.25" customHeight="1" s="192">
      <c r="W20915" s="231" t="n"/>
      <c r="X20915" s="231" t="n"/>
    </row>
    <row r="20916" ht="14.25" customHeight="1" s="192">
      <c r="W20916" s="33" t="n"/>
      <c r="X20916" s="33" t="n"/>
    </row>
    <row r="20917" ht="14.25" customHeight="1" s="192">
      <c r="W20917" s="231" t="n"/>
      <c r="X20917" s="231" t="n"/>
    </row>
    <row r="20918" ht="14.25" customHeight="1" s="192">
      <c r="W20918" s="33" t="n"/>
      <c r="X20918" s="33" t="n"/>
    </row>
    <row r="20920" ht="14.25" customHeight="1" s="192">
      <c r="W20920" s="231" t="n"/>
      <c r="X20920" s="231" t="n"/>
    </row>
    <row r="20921" ht="14.25" customHeight="1" s="192">
      <c r="W20921" s="235" t="n"/>
      <c r="X20921" s="235" t="n"/>
    </row>
    <row r="20922" ht="14.25" customHeight="1" s="192">
      <c r="W20922" s="228" t="n"/>
      <c r="X20922" s="228" t="n"/>
    </row>
    <row r="20923" ht="14.25" customHeight="1" s="192">
      <c r="W20923" s="235" t="n"/>
      <c r="X20923" s="235" t="n"/>
    </row>
    <row r="20924" ht="14.25" customHeight="1" s="192">
      <c r="W20924" s="235" t="n"/>
      <c r="X20924" s="235" t="n"/>
    </row>
    <row r="20925" ht="14.25" customHeight="1" s="192">
      <c r="W20925" s="235" t="n"/>
      <c r="X20925" s="235" t="n"/>
    </row>
    <row r="20926" ht="14.25" customHeight="1" s="192">
      <c r="W20926" s="239" t="n"/>
      <c r="X20926" s="239" t="n"/>
    </row>
    <row r="20927" ht="14.25" customHeight="1" s="192">
      <c r="W20927" s="239" t="n"/>
      <c r="X20927" s="239" t="n"/>
    </row>
    <row r="20928" ht="14.25" customHeight="1" s="192">
      <c r="W20928" s="239" t="n"/>
      <c r="X20928" s="239" t="n"/>
    </row>
    <row r="20929" ht="14.25" customHeight="1" s="192">
      <c r="W20929" s="235" t="n"/>
      <c r="X20929" s="235" t="n"/>
    </row>
    <row r="20930" ht="14.25" customHeight="1" s="192">
      <c r="W20930" s="235" t="n"/>
      <c r="X20930" s="235" t="n"/>
    </row>
    <row r="20931" ht="14.25" customHeight="1" s="192">
      <c r="W20931" s="235" t="n"/>
      <c r="X20931" s="235" t="n"/>
    </row>
    <row r="20932" ht="14.25" customHeight="1" s="192">
      <c r="W20932" s="239" t="n"/>
      <c r="X20932" s="239" t="n"/>
    </row>
    <row r="20933" ht="14.25" customHeight="1" s="192">
      <c r="W20933" s="239" t="n"/>
      <c r="X20933" s="239" t="n"/>
    </row>
    <row r="20934" ht="14.25" customHeight="1" s="192">
      <c r="W20934" s="235" t="n"/>
      <c r="X20934" s="235" t="n"/>
    </row>
    <row r="20935" ht="14.25" customHeight="1" s="192">
      <c r="W20935" s="235" t="n"/>
      <c r="X20935" s="235" t="n"/>
    </row>
    <row r="20936" ht="14.25" customHeight="1" s="192">
      <c r="W20936" s="239" t="n"/>
      <c r="X20936" s="239" t="n"/>
    </row>
    <row r="20937" ht="14.25" customHeight="1" s="192">
      <c r="W20937" s="235" t="n"/>
      <c r="X20937" s="235" t="n"/>
    </row>
    <row r="20938" ht="14.25" customHeight="1" s="192">
      <c r="W20938" s="239" t="n"/>
      <c r="X20938" s="239" t="n"/>
    </row>
    <row r="20940" ht="14.25" customHeight="1" s="192">
      <c r="W20940" s="235" t="n"/>
      <c r="X20940" s="235" t="n"/>
    </row>
    <row r="20941" ht="15" customHeight="1" s="192" thickBot="1">
      <c r="W20941" s="239" t="n"/>
      <c r="X20941" s="239" t="n"/>
    </row>
    <row r="20942" ht="15" customHeight="1" s="192" thickBot="1">
      <c r="W20942" s="45" t="n"/>
      <c r="X20942" s="45" t="n"/>
    </row>
    <row r="20943" ht="14.25" customHeight="1" s="192">
      <c r="W20943" s="228" t="n"/>
      <c r="X20943" s="228" t="n"/>
    </row>
    <row r="20944" ht="14.25" customHeight="1" s="192">
      <c r="W20944" s="228" t="n"/>
      <c r="X20944" s="228" t="n"/>
    </row>
    <row r="20945" ht="14.25" customHeight="1" s="192">
      <c r="W20945" s="231" t="n"/>
      <c r="X20945" s="231" t="n"/>
    </row>
    <row r="20946" ht="14.25" customHeight="1" s="192">
      <c r="W20946" s="33" t="n"/>
      <c r="X20946" s="33" t="n"/>
    </row>
    <row r="20947" ht="14.25" customHeight="1" s="192">
      <c r="W20947" s="231" t="n"/>
      <c r="X20947" s="231" t="n"/>
    </row>
    <row r="20948" ht="14.25" customHeight="1" s="192">
      <c r="W20948" s="33" t="n"/>
      <c r="X20948" s="33" t="n"/>
    </row>
    <row r="20950" ht="14.25" customHeight="1" s="192">
      <c r="W20950" s="231" t="n"/>
      <c r="X20950" s="231" t="n"/>
    </row>
    <row r="20951" ht="14.25" customHeight="1" s="192">
      <c r="W20951" s="235" t="n"/>
      <c r="X20951" s="235" t="n"/>
    </row>
    <row r="20952" ht="14.25" customHeight="1" s="192">
      <c r="W20952" s="228" t="n"/>
      <c r="X20952" s="228" t="n"/>
    </row>
    <row r="20953" ht="14.25" customHeight="1" s="192">
      <c r="W20953" s="235" t="n"/>
      <c r="X20953" s="235" t="n"/>
    </row>
    <row r="20954" ht="14.25" customHeight="1" s="192">
      <c r="W20954" s="235" t="n"/>
      <c r="X20954" s="235" t="n"/>
    </row>
    <row r="20955" ht="14.25" customHeight="1" s="192">
      <c r="W20955" s="235" t="n"/>
      <c r="X20955" s="235" t="n"/>
    </row>
    <row r="20956" ht="14.25" customHeight="1" s="192">
      <c r="W20956" s="239" t="n"/>
      <c r="X20956" s="239" t="n"/>
    </row>
    <row r="20957" ht="14.25" customHeight="1" s="192">
      <c r="W20957" s="239" t="n"/>
      <c r="X20957" s="239" t="n"/>
    </row>
    <row r="20958" ht="14.25" customHeight="1" s="192">
      <c r="W20958" s="239" t="n"/>
      <c r="X20958" s="239" t="n"/>
    </row>
    <row r="20959" ht="14.25" customHeight="1" s="192">
      <c r="W20959" s="235" t="n"/>
      <c r="X20959" s="235" t="n"/>
    </row>
    <row r="20960" ht="14.25" customHeight="1" s="192">
      <c r="W20960" s="235" t="n"/>
      <c r="X20960" s="235" t="n"/>
    </row>
    <row r="20961" ht="14.25" customHeight="1" s="192">
      <c r="W20961" s="235" t="n"/>
      <c r="X20961" s="235" t="n"/>
    </row>
    <row r="20962" ht="14.25" customHeight="1" s="192">
      <c r="W20962" s="239" t="n"/>
      <c r="X20962" s="239" t="n"/>
    </row>
    <row r="20963" ht="14.25" customHeight="1" s="192">
      <c r="W20963" s="239" t="n"/>
      <c r="X20963" s="239" t="n"/>
    </row>
    <row r="20964" ht="14.25" customHeight="1" s="192">
      <c r="W20964" s="235" t="n"/>
      <c r="X20964" s="235" t="n"/>
    </row>
    <row r="20965" ht="14.25" customHeight="1" s="192">
      <c r="W20965" s="235" t="n"/>
      <c r="X20965" s="235" t="n"/>
    </row>
    <row r="20966" ht="14.25" customHeight="1" s="192">
      <c r="W20966" s="239" t="n"/>
      <c r="X20966" s="239" t="n"/>
    </row>
    <row r="20967" ht="14.25" customHeight="1" s="192">
      <c r="W20967" s="235" t="n"/>
      <c r="X20967" s="235" t="n"/>
    </row>
    <row r="20968" ht="14.25" customHeight="1" s="192">
      <c r="W20968" s="239" t="n"/>
      <c r="X20968" s="239" t="n"/>
    </row>
    <row r="20970" ht="14.25" customHeight="1" s="192">
      <c r="W20970" s="235" t="n"/>
      <c r="X20970" s="235" t="n"/>
    </row>
    <row r="20971" ht="15" customHeight="1" s="192" thickBot="1">
      <c r="W20971" s="239" t="n"/>
      <c r="X20971" s="239" t="n"/>
    </row>
    <row r="20972" ht="15" customHeight="1" s="192" thickBot="1">
      <c r="W20972" s="45" t="n"/>
      <c r="X20972" s="45" t="n"/>
    </row>
    <row r="20973" ht="14.25" customHeight="1" s="192">
      <c r="W20973" s="228" t="n"/>
      <c r="X20973" s="228" t="n"/>
    </row>
    <row r="20974" ht="14.25" customHeight="1" s="192">
      <c r="W20974" s="228" t="n"/>
      <c r="X20974" s="228" t="n"/>
    </row>
    <row r="20975" ht="14.25" customHeight="1" s="192">
      <c r="W20975" s="231" t="n"/>
      <c r="X20975" s="231" t="n"/>
    </row>
    <row r="20976" ht="14.25" customHeight="1" s="192">
      <c r="W20976" s="33" t="n"/>
      <c r="X20976" s="33" t="n"/>
    </row>
    <row r="20977" ht="14.25" customHeight="1" s="192">
      <c r="W20977" s="231" t="n"/>
      <c r="X20977" s="231" t="n"/>
    </row>
    <row r="20978" ht="14.25" customHeight="1" s="192">
      <c r="W20978" s="33" t="n"/>
      <c r="X20978" s="33" t="n"/>
    </row>
    <row r="20980" ht="14.25" customHeight="1" s="192">
      <c r="W20980" s="231" t="n"/>
      <c r="X20980" s="231" t="n"/>
    </row>
    <row r="20981" ht="14.25" customHeight="1" s="192">
      <c r="W20981" s="235" t="n"/>
      <c r="X20981" s="235" t="n"/>
    </row>
    <row r="20982" ht="14.25" customHeight="1" s="192">
      <c r="W20982" s="228" t="n"/>
      <c r="X20982" s="228" t="n"/>
    </row>
    <row r="20983" ht="14.25" customHeight="1" s="192">
      <c r="W20983" s="235" t="n"/>
      <c r="X20983" s="235" t="n"/>
    </row>
    <row r="20984" ht="14.25" customHeight="1" s="192">
      <c r="W20984" s="235" t="n"/>
      <c r="X20984" s="235" t="n"/>
    </row>
    <row r="20985" ht="14.25" customHeight="1" s="192">
      <c r="W20985" s="235" t="n"/>
      <c r="X20985" s="235" t="n"/>
    </row>
    <row r="20986" ht="14.25" customHeight="1" s="192">
      <c r="W20986" s="239" t="n"/>
      <c r="X20986" s="239" t="n"/>
    </row>
    <row r="20987" ht="14.25" customHeight="1" s="192">
      <c r="W20987" s="239" t="n"/>
      <c r="X20987" s="239" t="n"/>
    </row>
    <row r="20988" ht="14.25" customHeight="1" s="192">
      <c r="W20988" s="239" t="n"/>
      <c r="X20988" s="239" t="n"/>
    </row>
    <row r="20989" ht="14.25" customHeight="1" s="192">
      <c r="W20989" s="235" t="n"/>
      <c r="X20989" s="235" t="n"/>
    </row>
    <row r="20990" ht="14.25" customHeight="1" s="192">
      <c r="W20990" s="235" t="n"/>
      <c r="X20990" s="235" t="n"/>
    </row>
    <row r="20991" ht="14.25" customHeight="1" s="192">
      <c r="W20991" s="235" t="n"/>
      <c r="X20991" s="235" t="n"/>
    </row>
    <row r="20992" ht="14.25" customHeight="1" s="192">
      <c r="W20992" s="239" t="n"/>
      <c r="X20992" s="239" t="n"/>
    </row>
    <row r="20993" ht="14.25" customHeight="1" s="192">
      <c r="W20993" s="239" t="n"/>
      <c r="X20993" s="239" t="n"/>
    </row>
    <row r="20994" ht="14.25" customHeight="1" s="192">
      <c r="W20994" s="235" t="n"/>
      <c r="X20994" s="235" t="n"/>
    </row>
    <row r="20995" ht="14.25" customHeight="1" s="192">
      <c r="W20995" s="235" t="n"/>
      <c r="X20995" s="235" t="n"/>
    </row>
    <row r="20996" ht="14.25" customHeight="1" s="192">
      <c r="W20996" s="239" t="n"/>
      <c r="X20996" s="239" t="n"/>
    </row>
    <row r="20997" ht="14.25" customHeight="1" s="192">
      <c r="W20997" s="235" t="n"/>
      <c r="X20997" s="235" t="n"/>
    </row>
    <row r="20998" ht="14.25" customHeight="1" s="192">
      <c r="W20998" s="239" t="n"/>
      <c r="X20998" s="239" t="n"/>
    </row>
    <row r="21000" ht="14.25" customHeight="1" s="192">
      <c r="W21000" s="235" t="n"/>
      <c r="X21000" s="235" t="n"/>
    </row>
    <row r="21001" ht="15" customHeight="1" s="192" thickBot="1">
      <c r="W21001" s="239" t="n"/>
      <c r="X21001" s="239" t="n"/>
    </row>
    <row r="21002" ht="15" customHeight="1" s="192" thickBot="1">
      <c r="W21002" s="45" t="n"/>
      <c r="X21002" s="45" t="n"/>
    </row>
    <row r="21003" ht="14.25" customHeight="1" s="192">
      <c r="W21003" s="228" t="n"/>
      <c r="X21003" s="228" t="n"/>
    </row>
    <row r="21004" ht="14.25" customHeight="1" s="192">
      <c r="W21004" s="228" t="n"/>
      <c r="X21004" s="228" t="n"/>
    </row>
    <row r="21005" ht="14.25" customHeight="1" s="192">
      <c r="W21005" s="231" t="n"/>
      <c r="X21005" s="231" t="n"/>
    </row>
    <row r="21006" ht="14.25" customHeight="1" s="192">
      <c r="W21006" s="33" t="n"/>
      <c r="X21006" s="33" t="n"/>
    </row>
    <row r="21007" ht="14.25" customHeight="1" s="192">
      <c r="W21007" s="231" t="n"/>
      <c r="X21007" s="231" t="n"/>
    </row>
    <row r="21008" ht="14.25" customHeight="1" s="192">
      <c r="W21008" s="33" t="n"/>
      <c r="X21008" s="33" t="n"/>
    </row>
    <row r="21010" ht="14.25" customHeight="1" s="192">
      <c r="W21010" s="231" t="n"/>
      <c r="X21010" s="231" t="n"/>
    </row>
    <row r="21011" ht="14.25" customHeight="1" s="192">
      <c r="W21011" s="235" t="n"/>
      <c r="X21011" s="235" t="n"/>
    </row>
    <row r="21012" ht="14.25" customHeight="1" s="192">
      <c r="W21012" s="228" t="n"/>
      <c r="X21012" s="228" t="n"/>
    </row>
    <row r="21013" ht="14.25" customHeight="1" s="192">
      <c r="W21013" s="235" t="n"/>
      <c r="X21013" s="235" t="n"/>
    </row>
    <row r="21014" ht="14.25" customHeight="1" s="192">
      <c r="W21014" s="235" t="n"/>
      <c r="X21014" s="235" t="n"/>
    </row>
    <row r="21015" ht="14.25" customHeight="1" s="192">
      <c r="W21015" s="235" t="n"/>
      <c r="X21015" s="235" t="n"/>
    </row>
    <row r="21016" ht="14.25" customHeight="1" s="192">
      <c r="W21016" s="239" t="n"/>
      <c r="X21016" s="239" t="n"/>
    </row>
    <row r="21017" ht="14.25" customHeight="1" s="192">
      <c r="W21017" s="239" t="n"/>
      <c r="X21017" s="239" t="n"/>
    </row>
    <row r="21018" ht="14.25" customHeight="1" s="192">
      <c r="W21018" s="239" t="n"/>
      <c r="X21018" s="239" t="n"/>
    </row>
    <row r="21019" ht="14.25" customHeight="1" s="192">
      <c r="W21019" s="235" t="n"/>
      <c r="X21019" s="235" t="n"/>
    </row>
    <row r="21020" ht="14.25" customHeight="1" s="192">
      <c r="W21020" s="235" t="n"/>
      <c r="X21020" s="235" t="n"/>
    </row>
    <row r="21021" ht="14.25" customHeight="1" s="192">
      <c r="W21021" s="235" t="n"/>
      <c r="X21021" s="235" t="n"/>
    </row>
    <row r="21022" ht="14.25" customHeight="1" s="192">
      <c r="W21022" s="239" t="n"/>
      <c r="X21022" s="239" t="n"/>
    </row>
    <row r="21023" ht="14.25" customHeight="1" s="192">
      <c r="W21023" s="239" t="n"/>
      <c r="X21023" s="239" t="n"/>
    </row>
    <row r="21024" ht="14.25" customHeight="1" s="192">
      <c r="W21024" s="235" t="n"/>
      <c r="X21024" s="235" t="n"/>
    </row>
    <row r="21025" ht="14.25" customHeight="1" s="192">
      <c r="W21025" s="235" t="n"/>
      <c r="X21025" s="235" t="n"/>
    </row>
    <row r="21026" ht="14.25" customHeight="1" s="192">
      <c r="W21026" s="239" t="n"/>
      <c r="X21026" s="239" t="n"/>
    </row>
    <row r="21027" ht="14.25" customHeight="1" s="192">
      <c r="W21027" s="235" t="n"/>
      <c r="X21027" s="235" t="n"/>
    </row>
    <row r="21028" ht="14.25" customHeight="1" s="192">
      <c r="W21028" s="239" t="n"/>
      <c r="X21028" s="239" t="n"/>
    </row>
    <row r="21030" ht="14.25" customHeight="1" s="192">
      <c r="W21030" s="235" t="n"/>
      <c r="X21030" s="235" t="n"/>
    </row>
    <row r="21031" ht="15" customHeight="1" s="192" thickBot="1">
      <c r="W21031" s="239" t="n"/>
      <c r="X21031" s="239" t="n"/>
    </row>
    <row r="21032" ht="15" customHeight="1" s="192" thickBot="1">
      <c r="W21032" s="45" t="n"/>
      <c r="X21032" s="45" t="n"/>
    </row>
    <row r="21033" ht="14.25" customHeight="1" s="192">
      <c r="W21033" s="228" t="n"/>
      <c r="X21033" s="228" t="n"/>
    </row>
    <row r="21034" ht="14.25" customHeight="1" s="192">
      <c r="W21034" s="228" t="n"/>
      <c r="X21034" s="228" t="n"/>
    </row>
    <row r="21035" ht="14.25" customHeight="1" s="192">
      <c r="W21035" s="231" t="n"/>
      <c r="X21035" s="231" t="n"/>
    </row>
    <row r="21036" ht="14.25" customHeight="1" s="192">
      <c r="W21036" s="33" t="n"/>
      <c r="X21036" s="33" t="n"/>
    </row>
    <row r="21037" ht="14.25" customHeight="1" s="192">
      <c r="W21037" s="231" t="n"/>
      <c r="X21037" s="231" t="n"/>
    </row>
    <row r="21038" ht="14.25" customHeight="1" s="192">
      <c r="W21038" s="33" t="n"/>
      <c r="X21038" s="33" t="n"/>
    </row>
    <row r="21040" ht="14.25" customHeight="1" s="192">
      <c r="W21040" s="231" t="n"/>
      <c r="X21040" s="231" t="n"/>
    </row>
    <row r="21041" ht="14.25" customHeight="1" s="192">
      <c r="W21041" s="235" t="n"/>
      <c r="X21041" s="235" t="n"/>
    </row>
    <row r="21042" ht="14.25" customHeight="1" s="192">
      <c r="W21042" s="228" t="n"/>
      <c r="X21042" s="228" t="n"/>
    </row>
    <row r="21043" ht="14.25" customHeight="1" s="192">
      <c r="W21043" s="235" t="n"/>
      <c r="X21043" s="235" t="n"/>
    </row>
    <row r="21044" ht="14.25" customHeight="1" s="192">
      <c r="W21044" s="235" t="n"/>
      <c r="X21044" s="235" t="n"/>
    </row>
    <row r="21045" ht="14.25" customHeight="1" s="192">
      <c r="W21045" s="235" t="n"/>
      <c r="X21045" s="235" t="n"/>
    </row>
    <row r="21046" ht="14.25" customHeight="1" s="192">
      <c r="W21046" s="239" t="n"/>
      <c r="X21046" s="239" t="n"/>
    </row>
    <row r="21047" ht="14.25" customHeight="1" s="192">
      <c r="W21047" s="239" t="n"/>
      <c r="X21047" s="239" t="n"/>
    </row>
    <row r="21048" ht="14.25" customHeight="1" s="192">
      <c r="W21048" s="239" t="n"/>
      <c r="X21048" s="239" t="n"/>
    </row>
    <row r="21049" ht="14.25" customHeight="1" s="192">
      <c r="W21049" s="235" t="n"/>
      <c r="X21049" s="235" t="n"/>
    </row>
    <row r="21050" ht="14.25" customHeight="1" s="192">
      <c r="W21050" s="235" t="n"/>
      <c r="X21050" s="235" t="n"/>
    </row>
    <row r="21051" ht="14.25" customHeight="1" s="192">
      <c r="W21051" s="235" t="n"/>
      <c r="X21051" s="235" t="n"/>
    </row>
    <row r="21052" ht="14.25" customHeight="1" s="192">
      <c r="W21052" s="239" t="n"/>
      <c r="X21052" s="239" t="n"/>
    </row>
    <row r="21053" ht="14.25" customHeight="1" s="192">
      <c r="W21053" s="239" t="n"/>
      <c r="X21053" s="239" t="n"/>
    </row>
    <row r="21054" ht="14.25" customHeight="1" s="192">
      <c r="W21054" s="235" t="n"/>
      <c r="X21054" s="235" t="n"/>
    </row>
    <row r="21055" ht="14.25" customHeight="1" s="192">
      <c r="W21055" s="235" t="n"/>
      <c r="X21055" s="235" t="n"/>
    </row>
    <row r="21056" ht="14.25" customHeight="1" s="192">
      <c r="W21056" s="239" t="n"/>
      <c r="X21056" s="239" t="n"/>
    </row>
    <row r="21057" ht="14.25" customHeight="1" s="192">
      <c r="W21057" s="235" t="n"/>
      <c r="X21057" s="235" t="n"/>
    </row>
    <row r="21058" ht="14.25" customHeight="1" s="192">
      <c r="W21058" s="239" t="n"/>
      <c r="X21058" s="239" t="n"/>
    </row>
    <row r="21060" ht="14.25" customHeight="1" s="192">
      <c r="W21060" s="235" t="n"/>
      <c r="X21060" s="235" t="n"/>
    </row>
    <row r="21061" ht="15" customHeight="1" s="192" thickBot="1">
      <c r="W21061" s="239" t="n"/>
      <c r="X21061" s="239" t="n"/>
    </row>
    <row r="21062" ht="15" customHeight="1" s="192" thickBot="1">
      <c r="W21062" s="45" t="n"/>
      <c r="X21062" s="45" t="n"/>
    </row>
    <row r="21063" ht="14.25" customHeight="1" s="192">
      <c r="W21063" s="228" t="n"/>
      <c r="X21063" s="228" t="n"/>
    </row>
    <row r="21064" ht="14.25" customHeight="1" s="192">
      <c r="W21064" s="228" t="n"/>
      <c r="X21064" s="228" t="n"/>
    </row>
    <row r="21065" ht="14.25" customHeight="1" s="192">
      <c r="W21065" s="231" t="n"/>
      <c r="X21065" s="231" t="n"/>
    </row>
    <row r="21066" ht="14.25" customHeight="1" s="192">
      <c r="W21066" s="33" t="n"/>
      <c r="X21066" s="33" t="n"/>
    </row>
    <row r="21067" ht="14.25" customHeight="1" s="192">
      <c r="W21067" s="231" t="n"/>
      <c r="X21067" s="231" t="n"/>
    </row>
    <row r="21068" ht="14.25" customHeight="1" s="192">
      <c r="W21068" s="33" t="n"/>
      <c r="X21068" s="33" t="n"/>
    </row>
    <row r="21070" ht="14.25" customHeight="1" s="192">
      <c r="W21070" s="231" t="n"/>
      <c r="X21070" s="231" t="n"/>
    </row>
    <row r="21071" ht="14.25" customHeight="1" s="192">
      <c r="W21071" s="235" t="n"/>
      <c r="X21071" s="235" t="n"/>
    </row>
    <row r="21072" ht="14.25" customHeight="1" s="192">
      <c r="W21072" s="228" t="n"/>
      <c r="X21072" s="228" t="n"/>
    </row>
    <row r="21073" ht="14.25" customHeight="1" s="192">
      <c r="W21073" s="235" t="n"/>
      <c r="X21073" s="235" t="n"/>
    </row>
    <row r="21074" ht="14.25" customHeight="1" s="192">
      <c r="W21074" s="235" t="n"/>
      <c r="X21074" s="235" t="n"/>
    </row>
    <row r="21075" ht="14.25" customHeight="1" s="192">
      <c r="W21075" s="235" t="n"/>
      <c r="X21075" s="235" t="n"/>
    </row>
    <row r="21076" ht="14.25" customHeight="1" s="192">
      <c r="W21076" s="239" t="n"/>
      <c r="X21076" s="239" t="n"/>
    </row>
    <row r="21077" ht="14.25" customHeight="1" s="192">
      <c r="W21077" s="239" t="n"/>
      <c r="X21077" s="239" t="n"/>
    </row>
    <row r="21078" ht="14.25" customHeight="1" s="192">
      <c r="W21078" s="239" t="n"/>
      <c r="X21078" s="239" t="n"/>
    </row>
    <row r="21079" ht="14.25" customHeight="1" s="192">
      <c r="W21079" s="235" t="n"/>
      <c r="X21079" s="235" t="n"/>
    </row>
    <row r="21080" ht="14.25" customHeight="1" s="192">
      <c r="W21080" s="235" t="n"/>
      <c r="X21080" s="235" t="n"/>
    </row>
    <row r="21081" ht="14.25" customHeight="1" s="192">
      <c r="W21081" s="235" t="n"/>
      <c r="X21081" s="235" t="n"/>
    </row>
    <row r="21082" ht="14.25" customHeight="1" s="192">
      <c r="W21082" s="239" t="n"/>
      <c r="X21082" s="239" t="n"/>
    </row>
    <row r="21083" ht="14.25" customHeight="1" s="192">
      <c r="W21083" s="239" t="n"/>
      <c r="X21083" s="239" t="n"/>
    </row>
    <row r="21084" ht="14.25" customHeight="1" s="192">
      <c r="W21084" s="235" t="n"/>
      <c r="X21084" s="235" t="n"/>
    </row>
    <row r="21085" ht="14.25" customHeight="1" s="192">
      <c r="W21085" s="235" t="n"/>
      <c r="X21085" s="235" t="n"/>
    </row>
    <row r="21086" ht="14.25" customHeight="1" s="192">
      <c r="W21086" s="239" t="n"/>
      <c r="X21086" s="239" t="n"/>
    </row>
    <row r="21087" ht="14.25" customHeight="1" s="192">
      <c r="W21087" s="235" t="n"/>
      <c r="X21087" s="235" t="n"/>
    </row>
    <row r="21088" ht="14.25" customHeight="1" s="192">
      <c r="W21088" s="239" t="n"/>
      <c r="X21088" s="239" t="n"/>
    </row>
    <row r="21090" ht="14.25" customHeight="1" s="192">
      <c r="W21090" s="235" t="n"/>
      <c r="X21090" s="235" t="n"/>
    </row>
    <row r="21091" ht="15" customHeight="1" s="192" thickBot="1">
      <c r="W21091" s="239" t="n"/>
      <c r="X21091" s="239" t="n"/>
    </row>
    <row r="21092" ht="15" customHeight="1" s="192" thickBot="1">
      <c r="W21092" s="45" t="n"/>
      <c r="X21092" s="45" t="n"/>
    </row>
    <row r="21093" ht="14.25" customHeight="1" s="192">
      <c r="W21093" s="228" t="n"/>
      <c r="X21093" s="228" t="n"/>
    </row>
    <row r="21094" ht="14.25" customHeight="1" s="192">
      <c r="W21094" s="228" t="n"/>
      <c r="X21094" s="228" t="n"/>
    </row>
    <row r="21095" ht="14.25" customHeight="1" s="192">
      <c r="W21095" s="231" t="n"/>
      <c r="X21095" s="231" t="n"/>
    </row>
    <row r="21096" ht="14.25" customHeight="1" s="192">
      <c r="W21096" s="33" t="n"/>
      <c r="X21096" s="33" t="n"/>
    </row>
    <row r="21097" ht="14.25" customHeight="1" s="192">
      <c r="W21097" s="231" t="n"/>
      <c r="X21097" s="231" t="n"/>
    </row>
    <row r="21098" ht="14.25" customHeight="1" s="192">
      <c r="W21098" s="33" t="n"/>
      <c r="X21098" s="33" t="n"/>
    </row>
    <row r="21100" ht="14.25" customHeight="1" s="192">
      <c r="W21100" s="231" t="n"/>
      <c r="X21100" s="231" t="n"/>
    </row>
    <row r="21101" ht="14.25" customHeight="1" s="192">
      <c r="W21101" s="235" t="n"/>
      <c r="X21101" s="235" t="n"/>
    </row>
    <row r="21102" ht="14.25" customHeight="1" s="192">
      <c r="W21102" s="228" t="n"/>
      <c r="X21102" s="228" t="n"/>
    </row>
    <row r="21103" ht="14.25" customHeight="1" s="192">
      <c r="W21103" s="235" t="n"/>
      <c r="X21103" s="235" t="n"/>
    </row>
    <row r="21104" ht="14.25" customHeight="1" s="192">
      <c r="W21104" s="235" t="n"/>
      <c r="X21104" s="235" t="n"/>
    </row>
    <row r="21105" ht="14.25" customHeight="1" s="192">
      <c r="W21105" s="235" t="n"/>
      <c r="X21105" s="235" t="n"/>
    </row>
    <row r="21106" ht="14.25" customHeight="1" s="192">
      <c r="W21106" s="239" t="n"/>
      <c r="X21106" s="239" t="n"/>
    </row>
    <row r="21107" ht="14.25" customHeight="1" s="192">
      <c r="W21107" s="239" t="n"/>
      <c r="X21107" s="239" t="n"/>
    </row>
    <row r="21108" ht="14.25" customHeight="1" s="192">
      <c r="W21108" s="239" t="n"/>
      <c r="X21108" s="239" t="n"/>
    </row>
    <row r="21109" ht="14.25" customHeight="1" s="192">
      <c r="W21109" s="235" t="n"/>
      <c r="X21109" s="235" t="n"/>
    </row>
    <row r="21110" ht="14.25" customHeight="1" s="192">
      <c r="W21110" s="235" t="n"/>
      <c r="X21110" s="235" t="n"/>
    </row>
    <row r="21111" ht="14.25" customHeight="1" s="192">
      <c r="W21111" s="235" t="n"/>
      <c r="X21111" s="235" t="n"/>
    </row>
    <row r="21112" ht="14.25" customHeight="1" s="192">
      <c r="W21112" s="239" t="n"/>
      <c r="X21112" s="239" t="n"/>
    </row>
    <row r="21113" ht="14.25" customHeight="1" s="192">
      <c r="W21113" s="239" t="n"/>
      <c r="X21113" s="239" t="n"/>
    </row>
    <row r="21114" ht="14.25" customHeight="1" s="192">
      <c r="W21114" s="235" t="n"/>
      <c r="X21114" s="235" t="n"/>
    </row>
    <row r="21115" ht="14.25" customHeight="1" s="192">
      <c r="W21115" s="235" t="n"/>
      <c r="X21115" s="235" t="n"/>
    </row>
    <row r="21116" ht="14.25" customHeight="1" s="192">
      <c r="W21116" s="239" t="n"/>
      <c r="X21116" s="239" t="n"/>
    </row>
    <row r="21117" ht="14.25" customHeight="1" s="192">
      <c r="W21117" s="235" t="n"/>
      <c r="X21117" s="235" t="n"/>
    </row>
    <row r="21118" ht="14.25" customHeight="1" s="192">
      <c r="W21118" s="239" t="n"/>
      <c r="X21118" s="239" t="n"/>
    </row>
    <row r="21120" ht="14.25" customHeight="1" s="192">
      <c r="W21120" s="235" t="n"/>
      <c r="X21120" s="235" t="n"/>
    </row>
    <row r="21121" ht="15" customHeight="1" s="192" thickBot="1">
      <c r="W21121" s="239" t="n"/>
      <c r="X21121" s="239" t="n"/>
    </row>
    <row r="21122" ht="15" customHeight="1" s="192" thickBot="1">
      <c r="W21122" s="45" t="n"/>
      <c r="X21122" s="45" t="n"/>
    </row>
    <row r="21123" ht="14.25" customHeight="1" s="192">
      <c r="W21123" s="228" t="n"/>
      <c r="X21123" s="228" t="n"/>
    </row>
    <row r="21124" ht="14.25" customHeight="1" s="192">
      <c r="W21124" s="228" t="n"/>
      <c r="X21124" s="228" t="n"/>
    </row>
    <row r="21125" ht="14.25" customHeight="1" s="192">
      <c r="W21125" s="231" t="n"/>
      <c r="X21125" s="231" t="n"/>
    </row>
    <row r="21126" ht="14.25" customHeight="1" s="192">
      <c r="W21126" s="33" t="n"/>
      <c r="X21126" s="33" t="n"/>
    </row>
    <row r="21127" ht="14.25" customHeight="1" s="192">
      <c r="W21127" s="231" t="n"/>
      <c r="X21127" s="231" t="n"/>
    </row>
    <row r="21128" ht="14.25" customHeight="1" s="192">
      <c r="W21128" s="33" t="n"/>
      <c r="X21128" s="33" t="n"/>
    </row>
    <row r="21130" ht="14.25" customHeight="1" s="192">
      <c r="W21130" s="231" t="n"/>
      <c r="X21130" s="231" t="n"/>
    </row>
    <row r="21131" ht="14.25" customHeight="1" s="192">
      <c r="W21131" s="235" t="n"/>
      <c r="X21131" s="235" t="n"/>
    </row>
    <row r="21132" ht="14.25" customHeight="1" s="192">
      <c r="W21132" s="228" t="n"/>
      <c r="X21132" s="228" t="n"/>
    </row>
    <row r="21133" ht="14.25" customHeight="1" s="192">
      <c r="W21133" s="235" t="n"/>
      <c r="X21133" s="235" t="n"/>
    </row>
    <row r="21134" ht="14.25" customHeight="1" s="192">
      <c r="W21134" s="235" t="n"/>
      <c r="X21134" s="235" t="n"/>
    </row>
    <row r="21135" ht="14.25" customHeight="1" s="192">
      <c r="W21135" s="235" t="n"/>
      <c r="X21135" s="235" t="n"/>
    </row>
    <row r="21136" ht="14.25" customHeight="1" s="192">
      <c r="W21136" s="239" t="n"/>
      <c r="X21136" s="239" t="n"/>
    </row>
    <row r="21137" ht="14.25" customHeight="1" s="192">
      <c r="W21137" s="239" t="n"/>
      <c r="X21137" s="239" t="n"/>
    </row>
    <row r="21138" ht="14.25" customHeight="1" s="192">
      <c r="W21138" s="239" t="n"/>
      <c r="X21138" s="239" t="n"/>
    </row>
    <row r="21139" ht="14.25" customHeight="1" s="192">
      <c r="W21139" s="235" t="n"/>
      <c r="X21139" s="235" t="n"/>
    </row>
    <row r="21140" ht="14.25" customHeight="1" s="192">
      <c r="W21140" s="235" t="n"/>
      <c r="X21140" s="235" t="n"/>
    </row>
    <row r="21141" ht="14.25" customHeight="1" s="192">
      <c r="W21141" s="235" t="n"/>
      <c r="X21141" s="235" t="n"/>
    </row>
    <row r="21142" ht="14.25" customHeight="1" s="192">
      <c r="W21142" s="239" t="n"/>
      <c r="X21142" s="239" t="n"/>
    </row>
    <row r="21143" ht="14.25" customHeight="1" s="192">
      <c r="W21143" s="239" t="n"/>
      <c r="X21143" s="239" t="n"/>
    </row>
    <row r="21144" ht="14.25" customHeight="1" s="192">
      <c r="W21144" s="235" t="n"/>
      <c r="X21144" s="235" t="n"/>
    </row>
    <row r="21145" ht="14.25" customHeight="1" s="192">
      <c r="W21145" s="235" t="n"/>
      <c r="X21145" s="235" t="n"/>
    </row>
    <row r="21146" ht="14.25" customHeight="1" s="192">
      <c r="W21146" s="239" t="n"/>
      <c r="X21146" s="239" t="n"/>
    </row>
    <row r="21147" ht="14.25" customHeight="1" s="192">
      <c r="W21147" s="235" t="n"/>
      <c r="X21147" s="235" t="n"/>
    </row>
    <row r="21148" ht="14.25" customHeight="1" s="192">
      <c r="W21148" s="239" t="n"/>
      <c r="X21148" s="239" t="n"/>
    </row>
    <row r="21150" ht="14.25" customHeight="1" s="192">
      <c r="W21150" s="235" t="n"/>
      <c r="X21150" s="235" t="n"/>
    </row>
    <row r="21151" ht="15" customHeight="1" s="192" thickBot="1">
      <c r="W21151" s="239" t="n"/>
      <c r="X21151" s="239" t="n"/>
    </row>
    <row r="21152" ht="15" customHeight="1" s="192" thickBot="1">
      <c r="W21152" s="45" t="n"/>
      <c r="X21152" s="45" t="n"/>
    </row>
    <row r="21153" ht="14.25" customHeight="1" s="192">
      <c r="W21153" s="228" t="n"/>
      <c r="X21153" s="228" t="n"/>
    </row>
    <row r="21154" ht="14.25" customHeight="1" s="192">
      <c r="W21154" s="228" t="n"/>
      <c r="X21154" s="228" t="n"/>
    </row>
    <row r="21155" ht="14.25" customHeight="1" s="192">
      <c r="W21155" s="231" t="n"/>
      <c r="X21155" s="231" t="n"/>
    </row>
    <row r="21156" ht="14.25" customHeight="1" s="192">
      <c r="W21156" s="33" t="n"/>
      <c r="X21156" s="33" t="n"/>
    </row>
    <row r="21157" ht="14.25" customHeight="1" s="192">
      <c r="W21157" s="231" t="n"/>
      <c r="X21157" s="231" t="n"/>
    </row>
    <row r="21158" ht="14.25" customHeight="1" s="192">
      <c r="W21158" s="33" t="n"/>
      <c r="X21158" s="33" t="n"/>
    </row>
    <row r="21160" ht="14.25" customHeight="1" s="192">
      <c r="W21160" s="231" t="n"/>
      <c r="X21160" s="231" t="n"/>
    </row>
    <row r="21161" ht="14.25" customHeight="1" s="192">
      <c r="W21161" s="235" t="n"/>
      <c r="X21161" s="235" t="n"/>
    </row>
    <row r="21162" ht="14.25" customHeight="1" s="192">
      <c r="W21162" s="228" t="n"/>
      <c r="X21162" s="228" t="n"/>
    </row>
    <row r="21163" ht="14.25" customHeight="1" s="192">
      <c r="W21163" s="235" t="n"/>
      <c r="X21163" s="235" t="n"/>
    </row>
    <row r="21164" ht="14.25" customHeight="1" s="192">
      <c r="W21164" s="235" t="n"/>
      <c r="X21164" s="235" t="n"/>
    </row>
    <row r="21165" ht="14.25" customHeight="1" s="192">
      <c r="W21165" s="235" t="n"/>
      <c r="X21165" s="235" t="n"/>
    </row>
    <row r="21166" ht="14.25" customHeight="1" s="192">
      <c r="W21166" s="239" t="n"/>
      <c r="X21166" s="239" t="n"/>
    </row>
    <row r="21167" ht="14.25" customHeight="1" s="192">
      <c r="W21167" s="239" t="n"/>
      <c r="X21167" s="239" t="n"/>
    </row>
    <row r="21168" ht="14.25" customHeight="1" s="192">
      <c r="W21168" s="239" t="n"/>
      <c r="X21168" s="239" t="n"/>
    </row>
    <row r="21169" ht="14.25" customHeight="1" s="192">
      <c r="W21169" s="235" t="n"/>
      <c r="X21169" s="235" t="n"/>
    </row>
    <row r="21170" ht="14.25" customHeight="1" s="192">
      <c r="W21170" s="235" t="n"/>
      <c r="X21170" s="235" t="n"/>
    </row>
    <row r="21171" ht="14.25" customHeight="1" s="192">
      <c r="W21171" s="235" t="n"/>
      <c r="X21171" s="235" t="n"/>
    </row>
    <row r="21172" ht="14.25" customHeight="1" s="192">
      <c r="W21172" s="239" t="n"/>
      <c r="X21172" s="239" t="n"/>
    </row>
    <row r="21173" ht="14.25" customHeight="1" s="192">
      <c r="W21173" s="239" t="n"/>
      <c r="X21173" s="239" t="n"/>
    </row>
    <row r="21174" ht="14.25" customHeight="1" s="192">
      <c r="W21174" s="235" t="n"/>
      <c r="X21174" s="235" t="n"/>
    </row>
    <row r="21175" ht="14.25" customHeight="1" s="192">
      <c r="W21175" s="235" t="n"/>
      <c r="X21175" s="235" t="n"/>
    </row>
    <row r="21176" ht="14.25" customHeight="1" s="192">
      <c r="W21176" s="239" t="n"/>
      <c r="X21176" s="239" t="n"/>
    </row>
    <row r="21177" ht="14.25" customHeight="1" s="192">
      <c r="W21177" s="235" t="n"/>
      <c r="X21177" s="235" t="n"/>
    </row>
    <row r="21178" ht="14.25" customHeight="1" s="192">
      <c r="W21178" s="239" t="n"/>
      <c r="X21178" s="239" t="n"/>
    </row>
    <row r="21180" ht="14.25" customHeight="1" s="192">
      <c r="W21180" s="235" t="n"/>
      <c r="X21180" s="235" t="n"/>
    </row>
    <row r="21181" ht="15" customHeight="1" s="192" thickBot="1">
      <c r="W21181" s="239" t="n"/>
      <c r="X21181" s="239" t="n"/>
    </row>
    <row r="21182" ht="15" customHeight="1" s="192" thickBot="1">
      <c r="W21182" s="45" t="n"/>
      <c r="X21182" s="45" t="n"/>
    </row>
    <row r="21183" ht="14.25" customHeight="1" s="192">
      <c r="W21183" s="228" t="n"/>
      <c r="X21183" s="228" t="n"/>
    </row>
    <row r="21184" ht="14.25" customHeight="1" s="192">
      <c r="W21184" s="228" t="n"/>
      <c r="X21184" s="228" t="n"/>
    </row>
    <row r="21185" ht="14.25" customHeight="1" s="192">
      <c r="W21185" s="231" t="n"/>
      <c r="X21185" s="231" t="n"/>
    </row>
    <row r="21186" ht="14.25" customHeight="1" s="192">
      <c r="W21186" s="33" t="n"/>
      <c r="X21186" s="33" t="n"/>
    </row>
    <row r="21187" ht="14.25" customHeight="1" s="192">
      <c r="W21187" s="231" t="n"/>
      <c r="X21187" s="231" t="n"/>
    </row>
    <row r="21188" ht="14.25" customHeight="1" s="192">
      <c r="W21188" s="33" t="n"/>
      <c r="X21188" s="33" t="n"/>
    </row>
    <row r="21190" ht="14.25" customHeight="1" s="192">
      <c r="W21190" s="231" t="n"/>
      <c r="X21190" s="231" t="n"/>
    </row>
    <row r="21191" ht="14.25" customHeight="1" s="192">
      <c r="W21191" s="235" t="n"/>
      <c r="X21191" s="235" t="n"/>
    </row>
    <row r="21192" ht="14.25" customHeight="1" s="192">
      <c r="W21192" s="228" t="n"/>
      <c r="X21192" s="228" t="n"/>
    </row>
    <row r="21193" ht="14.25" customHeight="1" s="192">
      <c r="W21193" s="235" t="n"/>
      <c r="X21193" s="235" t="n"/>
    </row>
    <row r="21194" ht="14.25" customHeight="1" s="192">
      <c r="W21194" s="235" t="n"/>
      <c r="X21194" s="235" t="n"/>
    </row>
    <row r="21195" ht="14.25" customHeight="1" s="192">
      <c r="W21195" s="235" t="n"/>
      <c r="X21195" s="235" t="n"/>
    </row>
    <row r="21196" ht="14.25" customHeight="1" s="192">
      <c r="W21196" s="239" t="n"/>
      <c r="X21196" s="239" t="n"/>
    </row>
    <row r="21197" ht="14.25" customHeight="1" s="192">
      <c r="W21197" s="239" t="n"/>
      <c r="X21197" s="239" t="n"/>
    </row>
    <row r="21198" ht="14.25" customHeight="1" s="192">
      <c r="W21198" s="239" t="n"/>
      <c r="X21198" s="239" t="n"/>
    </row>
    <row r="21199" ht="14.25" customHeight="1" s="192">
      <c r="W21199" s="235" t="n"/>
      <c r="X21199" s="235" t="n"/>
    </row>
    <row r="21200" ht="14.25" customHeight="1" s="192">
      <c r="W21200" s="235" t="n"/>
      <c r="X21200" s="235" t="n"/>
    </row>
    <row r="21201" ht="14.25" customHeight="1" s="192">
      <c r="W21201" s="235" t="n"/>
      <c r="X21201" s="235" t="n"/>
    </row>
    <row r="21202" ht="14.25" customHeight="1" s="192">
      <c r="W21202" s="239" t="n"/>
      <c r="X21202" s="239" t="n"/>
    </row>
    <row r="21203" ht="14.25" customHeight="1" s="192">
      <c r="W21203" s="239" t="n"/>
      <c r="X21203" s="239" t="n"/>
    </row>
    <row r="21204" ht="14.25" customHeight="1" s="192">
      <c r="W21204" s="235" t="n"/>
      <c r="X21204" s="235" t="n"/>
    </row>
    <row r="21205" ht="14.25" customHeight="1" s="192">
      <c r="W21205" s="235" t="n"/>
      <c r="X21205" s="235" t="n"/>
    </row>
    <row r="21206" ht="14.25" customHeight="1" s="192">
      <c r="W21206" s="239" t="n"/>
      <c r="X21206" s="239" t="n"/>
    </row>
    <row r="21207" ht="14.25" customHeight="1" s="192">
      <c r="W21207" s="235" t="n"/>
      <c r="X21207" s="235" t="n"/>
    </row>
    <row r="21208" ht="14.25" customHeight="1" s="192">
      <c r="W21208" s="239" t="n"/>
      <c r="X21208" s="239" t="n"/>
    </row>
    <row r="21210" ht="14.25" customHeight="1" s="192">
      <c r="W21210" s="235" t="n"/>
      <c r="X21210" s="235" t="n"/>
    </row>
    <row r="21211" ht="15" customHeight="1" s="192" thickBot="1">
      <c r="W21211" s="239" t="n"/>
      <c r="X21211" s="239" t="n"/>
    </row>
    <row r="21212" ht="15" customHeight="1" s="192" thickBot="1">
      <c r="W21212" s="45" t="n"/>
      <c r="X21212" s="45" t="n"/>
    </row>
    <row r="21213" ht="14.25" customHeight="1" s="192">
      <c r="W21213" s="228" t="n"/>
      <c r="X21213" s="228" t="n"/>
    </row>
    <row r="21214" ht="14.25" customHeight="1" s="192">
      <c r="W21214" s="228" t="n"/>
      <c r="X21214" s="228" t="n"/>
    </row>
    <row r="21215" ht="14.25" customHeight="1" s="192">
      <c r="W21215" s="231" t="n"/>
      <c r="X21215" s="231" t="n"/>
    </row>
    <row r="21216" ht="14.25" customHeight="1" s="192">
      <c r="W21216" s="33" t="n"/>
      <c r="X21216" s="33" t="n"/>
    </row>
    <row r="21217" ht="14.25" customHeight="1" s="192">
      <c r="W21217" s="231" t="n"/>
      <c r="X21217" s="231" t="n"/>
    </row>
    <row r="21218" ht="14.25" customHeight="1" s="192">
      <c r="W21218" s="33" t="n"/>
      <c r="X21218" s="33" t="n"/>
    </row>
    <row r="21220" ht="14.25" customHeight="1" s="192">
      <c r="W21220" s="231" t="n"/>
      <c r="X21220" s="231" t="n"/>
    </row>
    <row r="21221" ht="14.25" customHeight="1" s="192">
      <c r="W21221" s="235" t="n"/>
      <c r="X21221" s="235" t="n"/>
    </row>
    <row r="21222" ht="14.25" customHeight="1" s="192">
      <c r="W21222" s="228" t="n"/>
      <c r="X21222" s="228" t="n"/>
    </row>
    <row r="21223" ht="14.25" customHeight="1" s="192">
      <c r="W21223" s="235" t="n"/>
      <c r="X21223" s="235" t="n"/>
    </row>
    <row r="21224" ht="14.25" customHeight="1" s="192">
      <c r="W21224" s="235" t="n"/>
      <c r="X21224" s="235" t="n"/>
    </row>
    <row r="21225" ht="14.25" customHeight="1" s="192">
      <c r="W21225" s="235" t="n"/>
      <c r="X21225" s="235" t="n"/>
    </row>
    <row r="21226" ht="14.25" customHeight="1" s="192">
      <c r="W21226" s="239" t="n"/>
      <c r="X21226" s="239" t="n"/>
    </row>
    <row r="21227" ht="14.25" customHeight="1" s="192">
      <c r="W21227" s="239" t="n"/>
      <c r="X21227" s="239" t="n"/>
    </row>
    <row r="21228" ht="14.25" customHeight="1" s="192">
      <c r="W21228" s="239" t="n"/>
      <c r="X21228" s="239" t="n"/>
    </row>
    <row r="21229" ht="14.25" customHeight="1" s="192">
      <c r="W21229" s="235" t="n"/>
      <c r="X21229" s="235" t="n"/>
    </row>
    <row r="21230" ht="14.25" customHeight="1" s="192">
      <c r="W21230" s="235" t="n"/>
      <c r="X21230" s="235" t="n"/>
    </row>
    <row r="21231" ht="14.25" customHeight="1" s="192">
      <c r="W21231" s="235" t="n"/>
      <c r="X21231" s="235" t="n"/>
    </row>
    <row r="21232" ht="14.25" customHeight="1" s="192">
      <c r="W21232" s="239" t="n"/>
      <c r="X21232" s="239" t="n"/>
    </row>
    <row r="21233" ht="14.25" customHeight="1" s="192">
      <c r="W21233" s="239" t="n"/>
      <c r="X21233" s="239" t="n"/>
    </row>
    <row r="21234" ht="14.25" customHeight="1" s="192">
      <c r="W21234" s="235" t="n"/>
      <c r="X21234" s="235" t="n"/>
    </row>
    <row r="21235" ht="14.25" customHeight="1" s="192">
      <c r="W21235" s="235" t="n"/>
      <c r="X21235" s="235" t="n"/>
    </row>
    <row r="21236" ht="14.25" customHeight="1" s="192">
      <c r="W21236" s="239" t="n"/>
      <c r="X21236" s="239" t="n"/>
    </row>
    <row r="21237" ht="14.25" customHeight="1" s="192">
      <c r="W21237" s="235" t="n"/>
      <c r="X21237" s="235" t="n"/>
    </row>
    <row r="21238" ht="14.25" customHeight="1" s="192">
      <c r="W21238" s="239" t="n"/>
      <c r="X21238" s="239" t="n"/>
    </row>
    <row r="21240" ht="14.25" customHeight="1" s="192">
      <c r="W21240" s="235" t="n"/>
      <c r="X21240" s="235" t="n"/>
    </row>
    <row r="21241" ht="15" customHeight="1" s="192" thickBot="1">
      <c r="W21241" s="239" t="n"/>
      <c r="X21241" s="239" t="n"/>
    </row>
    <row r="21242" ht="15" customHeight="1" s="192" thickBot="1">
      <c r="W21242" s="45" t="n"/>
      <c r="X21242" s="45" t="n"/>
    </row>
    <row r="21243" ht="14.25" customHeight="1" s="192">
      <c r="W21243" s="228" t="n"/>
      <c r="X21243" s="228" t="n"/>
    </row>
    <row r="21244" ht="14.25" customHeight="1" s="192">
      <c r="W21244" s="228" t="n"/>
      <c r="X21244" s="228" t="n"/>
    </row>
    <row r="21245" ht="14.25" customHeight="1" s="192">
      <c r="W21245" s="231" t="n"/>
      <c r="X21245" s="231" t="n"/>
    </row>
    <row r="21246" ht="14.25" customHeight="1" s="192">
      <c r="W21246" s="33" t="n"/>
      <c r="X21246" s="33" t="n"/>
    </row>
    <row r="21247" ht="14.25" customHeight="1" s="192">
      <c r="W21247" s="231" t="n"/>
      <c r="X21247" s="231" t="n"/>
    </row>
    <row r="21248" ht="14.25" customHeight="1" s="192">
      <c r="W21248" s="33" t="n"/>
      <c r="X21248" s="33" t="n"/>
    </row>
    <row r="21250" ht="14.25" customHeight="1" s="192">
      <c r="W21250" s="231" t="n"/>
      <c r="X21250" s="231" t="n"/>
    </row>
    <row r="21251" ht="14.25" customHeight="1" s="192">
      <c r="W21251" s="235" t="n"/>
      <c r="X21251" s="235" t="n"/>
    </row>
    <row r="21252" ht="14.25" customHeight="1" s="192">
      <c r="W21252" s="228" t="n"/>
      <c r="X21252" s="228" t="n"/>
    </row>
    <row r="21253" ht="14.25" customHeight="1" s="192">
      <c r="W21253" s="235" t="n"/>
      <c r="X21253" s="235" t="n"/>
    </row>
    <row r="21254" ht="14.25" customHeight="1" s="192">
      <c r="W21254" s="235" t="n"/>
      <c r="X21254" s="235" t="n"/>
    </row>
    <row r="21255" ht="14.25" customHeight="1" s="192">
      <c r="W21255" s="235" t="n"/>
      <c r="X21255" s="235" t="n"/>
    </row>
    <row r="21256" ht="14.25" customHeight="1" s="192">
      <c r="W21256" s="239" t="n"/>
      <c r="X21256" s="239" t="n"/>
    </row>
    <row r="21257" ht="14.25" customHeight="1" s="192">
      <c r="W21257" s="239" t="n"/>
      <c r="X21257" s="239" t="n"/>
    </row>
    <row r="21258" ht="14.25" customHeight="1" s="192">
      <c r="W21258" s="239" t="n"/>
      <c r="X21258" s="239" t="n"/>
    </row>
    <row r="21259" ht="14.25" customHeight="1" s="192">
      <c r="W21259" s="235" t="n"/>
      <c r="X21259" s="235" t="n"/>
    </row>
    <row r="21260" ht="14.25" customHeight="1" s="192">
      <c r="W21260" s="235" t="n"/>
      <c r="X21260" s="235" t="n"/>
    </row>
    <row r="21261" ht="14.25" customHeight="1" s="192">
      <c r="W21261" s="235" t="n"/>
      <c r="X21261" s="235" t="n"/>
    </row>
    <row r="21262" ht="14.25" customHeight="1" s="192">
      <c r="W21262" s="239" t="n"/>
      <c r="X21262" s="239" t="n"/>
    </row>
    <row r="21263" ht="14.25" customHeight="1" s="192">
      <c r="W21263" s="239" t="n"/>
      <c r="X21263" s="239" t="n"/>
    </row>
    <row r="21264" ht="14.25" customHeight="1" s="192">
      <c r="W21264" s="235" t="n"/>
      <c r="X21264" s="235" t="n"/>
    </row>
    <row r="21265" ht="14.25" customHeight="1" s="192">
      <c r="W21265" s="235" t="n"/>
      <c r="X21265" s="235" t="n"/>
    </row>
    <row r="21266" ht="14.25" customHeight="1" s="192">
      <c r="W21266" s="239" t="n"/>
      <c r="X21266" s="239" t="n"/>
    </row>
    <row r="21267" ht="14.25" customHeight="1" s="192">
      <c r="W21267" s="235" t="n"/>
      <c r="X21267" s="235" t="n"/>
    </row>
    <row r="21268" ht="14.25" customHeight="1" s="192">
      <c r="W21268" s="239" t="n"/>
      <c r="X21268" s="239" t="n"/>
    </row>
    <row r="21270" ht="14.25" customHeight="1" s="192">
      <c r="W21270" s="235" t="n"/>
      <c r="X21270" s="235" t="n"/>
    </row>
    <row r="21271" ht="15" customHeight="1" s="192" thickBot="1">
      <c r="W21271" s="239" t="n"/>
      <c r="X21271" s="239" t="n"/>
    </row>
    <row r="21272" ht="15" customHeight="1" s="192" thickBot="1">
      <c r="W21272" s="45" t="n"/>
      <c r="X21272" s="45" t="n"/>
    </row>
    <row r="21273" ht="14.25" customHeight="1" s="192">
      <c r="W21273" s="228" t="n"/>
      <c r="X21273" s="228" t="n"/>
    </row>
    <row r="21274" ht="14.25" customHeight="1" s="192">
      <c r="W21274" s="228" t="n"/>
      <c r="X21274" s="228" t="n"/>
    </row>
    <row r="21275" ht="14.25" customHeight="1" s="192">
      <c r="W21275" s="231" t="n"/>
      <c r="X21275" s="231" t="n"/>
    </row>
    <row r="21276" ht="14.25" customHeight="1" s="192">
      <c r="W21276" s="33" t="n"/>
      <c r="X21276" s="33" t="n"/>
    </row>
    <row r="21277" ht="14.25" customHeight="1" s="192">
      <c r="W21277" s="231" t="n"/>
      <c r="X21277" s="231" t="n"/>
    </row>
    <row r="21278" ht="14.25" customHeight="1" s="192">
      <c r="W21278" s="33" t="n"/>
      <c r="X21278" s="33" t="n"/>
    </row>
    <row r="21280" ht="14.25" customHeight="1" s="192">
      <c r="W21280" s="231" t="n"/>
      <c r="X21280" s="231" t="n"/>
    </row>
    <row r="21281" ht="14.25" customHeight="1" s="192">
      <c r="W21281" s="235" t="n"/>
      <c r="X21281" s="235" t="n"/>
    </row>
    <row r="21282" ht="14.25" customHeight="1" s="192">
      <c r="W21282" s="228" t="n"/>
      <c r="X21282" s="228" t="n"/>
    </row>
    <row r="21283" ht="14.25" customHeight="1" s="192">
      <c r="W21283" s="235" t="n"/>
      <c r="X21283" s="235" t="n"/>
    </row>
    <row r="21284" ht="14.25" customHeight="1" s="192">
      <c r="W21284" s="235" t="n"/>
      <c r="X21284" s="235" t="n"/>
    </row>
    <row r="21285" ht="14.25" customHeight="1" s="192">
      <c r="W21285" s="235" t="n"/>
      <c r="X21285" s="235" t="n"/>
    </row>
    <row r="21286" ht="14.25" customHeight="1" s="192">
      <c r="W21286" s="239" t="n"/>
      <c r="X21286" s="239" t="n"/>
    </row>
    <row r="21287" ht="14.25" customHeight="1" s="192">
      <c r="W21287" s="239" t="n"/>
      <c r="X21287" s="239" t="n"/>
    </row>
    <row r="21288" ht="14.25" customHeight="1" s="192">
      <c r="W21288" s="239" t="n"/>
      <c r="X21288" s="239" t="n"/>
    </row>
    <row r="21289" ht="14.25" customHeight="1" s="192">
      <c r="W21289" s="235" t="n"/>
      <c r="X21289" s="235" t="n"/>
    </row>
    <row r="21290" ht="14.25" customHeight="1" s="192">
      <c r="W21290" s="235" t="n"/>
      <c r="X21290" s="235" t="n"/>
    </row>
    <row r="21291" ht="14.25" customHeight="1" s="192">
      <c r="W21291" s="235" t="n"/>
      <c r="X21291" s="235" t="n"/>
    </row>
    <row r="21292" ht="14.25" customHeight="1" s="192">
      <c r="W21292" s="239" t="n"/>
      <c r="X21292" s="239" t="n"/>
    </row>
    <row r="21293" ht="14.25" customHeight="1" s="192">
      <c r="W21293" s="239" t="n"/>
      <c r="X21293" s="239" t="n"/>
    </row>
    <row r="21294" ht="14.25" customHeight="1" s="192">
      <c r="W21294" s="235" t="n"/>
      <c r="X21294" s="235" t="n"/>
    </row>
    <row r="21295" ht="14.25" customHeight="1" s="192">
      <c r="W21295" s="235" t="n"/>
      <c r="X21295" s="235" t="n"/>
    </row>
    <row r="21296" ht="14.25" customHeight="1" s="192">
      <c r="W21296" s="239" t="n"/>
      <c r="X21296" s="239" t="n"/>
    </row>
    <row r="21297" ht="14.25" customHeight="1" s="192">
      <c r="W21297" s="235" t="n"/>
      <c r="X21297" s="235" t="n"/>
    </row>
    <row r="21298" ht="14.25" customHeight="1" s="192">
      <c r="W21298" s="239" t="n"/>
      <c r="X21298" s="239" t="n"/>
    </row>
    <row r="21300" ht="14.25" customHeight="1" s="192">
      <c r="W21300" s="235" t="n"/>
      <c r="X21300" s="235" t="n"/>
    </row>
    <row r="21301" ht="15" customHeight="1" s="192" thickBot="1">
      <c r="W21301" s="239" t="n"/>
      <c r="X21301" s="239" t="n"/>
    </row>
    <row r="21302" ht="15" customHeight="1" s="192" thickBot="1">
      <c r="W21302" s="45" t="n"/>
      <c r="X21302" s="45" t="n"/>
    </row>
    <row r="21303" ht="14.25" customHeight="1" s="192">
      <c r="W21303" s="228" t="n"/>
      <c r="X21303" s="228" t="n"/>
    </row>
    <row r="21304" ht="14.25" customHeight="1" s="192">
      <c r="W21304" s="228" t="n"/>
      <c r="X21304" s="228" t="n"/>
    </row>
    <row r="21305" ht="14.25" customHeight="1" s="192">
      <c r="W21305" s="231" t="n"/>
      <c r="X21305" s="231" t="n"/>
    </row>
    <row r="21306" ht="14.25" customHeight="1" s="192">
      <c r="W21306" s="33" t="n"/>
      <c r="X21306" s="33" t="n"/>
    </row>
    <row r="21307" ht="14.25" customHeight="1" s="192">
      <c r="W21307" s="231" t="n"/>
      <c r="X21307" s="231" t="n"/>
    </row>
    <row r="21308" ht="14.25" customHeight="1" s="192">
      <c r="W21308" s="33" t="n"/>
      <c r="X21308" s="33" t="n"/>
    </row>
    <row r="21310" ht="14.25" customHeight="1" s="192">
      <c r="W21310" s="231" t="n"/>
      <c r="X21310" s="231" t="n"/>
    </row>
    <row r="21311" ht="14.25" customHeight="1" s="192">
      <c r="W21311" s="235" t="n"/>
      <c r="X21311" s="235" t="n"/>
    </row>
    <row r="21312" ht="14.25" customHeight="1" s="192">
      <c r="W21312" s="228" t="n"/>
      <c r="X21312" s="228" t="n"/>
    </row>
    <row r="21313" ht="14.25" customHeight="1" s="192">
      <c r="W21313" s="235" t="n"/>
      <c r="X21313" s="235" t="n"/>
    </row>
    <row r="21314" ht="14.25" customHeight="1" s="192">
      <c r="W21314" s="235" t="n"/>
      <c r="X21314" s="235" t="n"/>
    </row>
    <row r="21315" ht="14.25" customHeight="1" s="192">
      <c r="W21315" s="235" t="n"/>
      <c r="X21315" s="235" t="n"/>
    </row>
    <row r="21316" ht="14.25" customHeight="1" s="192">
      <c r="W21316" s="239" t="n"/>
      <c r="X21316" s="239" t="n"/>
    </row>
    <row r="21317" ht="14.25" customHeight="1" s="192">
      <c r="W21317" s="239" t="n"/>
      <c r="X21317" s="239" t="n"/>
    </row>
    <row r="21318" ht="14.25" customHeight="1" s="192">
      <c r="W21318" s="239" t="n"/>
      <c r="X21318" s="239" t="n"/>
    </row>
    <row r="21319" ht="14.25" customHeight="1" s="192">
      <c r="W21319" s="235" t="n"/>
      <c r="X21319" s="235" t="n"/>
    </row>
    <row r="21320" ht="14.25" customHeight="1" s="192">
      <c r="W21320" s="235" t="n"/>
      <c r="X21320" s="235" t="n"/>
    </row>
    <row r="21321" ht="14.25" customHeight="1" s="192">
      <c r="W21321" s="235" t="n"/>
      <c r="X21321" s="235" t="n"/>
    </row>
    <row r="21322" ht="14.25" customHeight="1" s="192">
      <c r="W21322" s="239" t="n"/>
      <c r="X21322" s="239" t="n"/>
    </row>
    <row r="21323" ht="14.25" customHeight="1" s="192">
      <c r="W21323" s="239" t="n"/>
      <c r="X21323" s="239" t="n"/>
    </row>
    <row r="21324" ht="14.25" customHeight="1" s="192">
      <c r="W21324" s="235" t="n"/>
      <c r="X21324" s="235" t="n"/>
    </row>
    <row r="21325" ht="14.25" customHeight="1" s="192">
      <c r="W21325" s="235" t="n"/>
      <c r="X21325" s="235" t="n"/>
    </row>
    <row r="21326" ht="14.25" customHeight="1" s="192">
      <c r="W21326" s="239" t="n"/>
      <c r="X21326" s="239" t="n"/>
    </row>
    <row r="21327" ht="14.25" customHeight="1" s="192">
      <c r="W21327" s="235" t="n"/>
      <c r="X21327" s="235" t="n"/>
    </row>
    <row r="21328" ht="14.25" customHeight="1" s="192">
      <c r="W21328" s="239" t="n"/>
      <c r="X21328" s="239" t="n"/>
    </row>
    <row r="21330" ht="14.25" customHeight="1" s="192">
      <c r="W21330" s="235" t="n"/>
      <c r="X21330" s="235" t="n"/>
    </row>
    <row r="21331" ht="15" customHeight="1" s="192" thickBot="1">
      <c r="W21331" s="239" t="n"/>
      <c r="X21331" s="239" t="n"/>
    </row>
    <row r="21332" ht="15" customHeight="1" s="192" thickBot="1">
      <c r="W21332" s="45" t="n"/>
      <c r="X21332" s="45" t="n"/>
    </row>
    <row r="21333" ht="14.25" customHeight="1" s="192">
      <c r="W21333" s="228" t="n"/>
      <c r="X21333" s="228" t="n"/>
    </row>
    <row r="21334" ht="14.25" customHeight="1" s="192">
      <c r="W21334" s="228" t="n"/>
      <c r="X21334" s="228" t="n"/>
    </row>
    <row r="21335" ht="14.25" customHeight="1" s="192">
      <c r="W21335" s="231" t="n"/>
      <c r="X21335" s="231" t="n"/>
    </row>
    <row r="21336" ht="14.25" customHeight="1" s="192">
      <c r="W21336" s="33" t="n"/>
      <c r="X21336" s="33" t="n"/>
    </row>
    <row r="21337" ht="14.25" customHeight="1" s="192">
      <c r="W21337" s="231" t="n"/>
      <c r="X21337" s="231" t="n"/>
    </row>
    <row r="21338" ht="14.25" customHeight="1" s="192">
      <c r="W21338" s="33" t="n"/>
      <c r="X21338" s="33" t="n"/>
    </row>
    <row r="21340" ht="14.25" customHeight="1" s="192">
      <c r="W21340" s="231" t="n"/>
      <c r="X21340" s="231" t="n"/>
    </row>
    <row r="21341" ht="14.25" customHeight="1" s="192">
      <c r="W21341" s="235" t="n"/>
      <c r="X21341" s="235" t="n"/>
    </row>
    <row r="21342" ht="14.25" customHeight="1" s="192">
      <c r="W21342" s="228" t="n"/>
      <c r="X21342" s="228" t="n"/>
    </row>
    <row r="21343" ht="14.25" customHeight="1" s="192">
      <c r="W21343" s="235" t="n"/>
      <c r="X21343" s="235" t="n"/>
    </row>
    <row r="21344" ht="14.25" customHeight="1" s="192">
      <c r="W21344" s="235" t="n"/>
      <c r="X21344" s="235" t="n"/>
    </row>
    <row r="21345" ht="14.25" customHeight="1" s="192">
      <c r="W21345" s="235" t="n"/>
      <c r="X21345" s="235" t="n"/>
    </row>
    <row r="21346" ht="14.25" customHeight="1" s="192">
      <c r="W21346" s="239" t="n"/>
      <c r="X21346" s="239" t="n"/>
    </row>
    <row r="21347" ht="14.25" customHeight="1" s="192">
      <c r="W21347" s="239" t="n"/>
      <c r="X21347" s="239" t="n"/>
    </row>
    <row r="21348" ht="14.25" customHeight="1" s="192">
      <c r="W21348" s="239" t="n"/>
      <c r="X21348" s="239" t="n"/>
    </row>
    <row r="21349" ht="14.25" customHeight="1" s="192">
      <c r="W21349" s="235" t="n"/>
      <c r="X21349" s="235" t="n"/>
    </row>
    <row r="21350" ht="14.25" customHeight="1" s="192">
      <c r="W21350" s="235" t="n"/>
      <c r="X21350" s="235" t="n"/>
    </row>
    <row r="21351" ht="14.25" customHeight="1" s="192">
      <c r="W21351" s="235" t="n"/>
      <c r="X21351" s="235" t="n"/>
    </row>
    <row r="21352" ht="14.25" customHeight="1" s="192">
      <c r="W21352" s="239" t="n"/>
      <c r="X21352" s="239" t="n"/>
    </row>
    <row r="21353" ht="14.25" customHeight="1" s="192">
      <c r="W21353" s="239" t="n"/>
      <c r="X21353" s="239" t="n"/>
    </row>
    <row r="21354" ht="14.25" customHeight="1" s="192">
      <c r="W21354" s="235" t="n"/>
      <c r="X21354" s="235" t="n"/>
    </row>
    <row r="21355" ht="14.25" customHeight="1" s="192">
      <c r="W21355" s="235" t="n"/>
      <c r="X21355" s="235" t="n"/>
    </row>
    <row r="21356" ht="14.25" customHeight="1" s="192">
      <c r="W21356" s="239" t="n"/>
      <c r="X21356" s="239" t="n"/>
    </row>
    <row r="21357" ht="14.25" customHeight="1" s="192">
      <c r="W21357" s="235" t="n"/>
      <c r="X21357" s="235" t="n"/>
    </row>
    <row r="21358" ht="14.25" customHeight="1" s="192">
      <c r="W21358" s="239" t="n"/>
      <c r="X21358" s="239" t="n"/>
    </row>
    <row r="21360" ht="14.25" customHeight="1" s="192">
      <c r="W21360" s="235" t="n"/>
      <c r="X21360" s="235" t="n"/>
    </row>
    <row r="21361" ht="15" customHeight="1" s="192" thickBot="1">
      <c r="W21361" s="239" t="n"/>
      <c r="X21361" s="239" t="n"/>
    </row>
    <row r="21362" ht="15" customHeight="1" s="192" thickBot="1">
      <c r="W21362" s="45" t="n"/>
      <c r="X21362" s="45" t="n"/>
    </row>
    <row r="21363" ht="14.25" customHeight="1" s="192">
      <c r="W21363" s="228" t="n"/>
      <c r="X21363" s="228" t="n"/>
    </row>
    <row r="21364" ht="14.25" customHeight="1" s="192">
      <c r="W21364" s="228" t="n"/>
      <c r="X21364" s="228" t="n"/>
    </row>
    <row r="21365" ht="14.25" customHeight="1" s="192">
      <c r="W21365" s="231" t="n"/>
      <c r="X21365" s="231" t="n"/>
    </row>
    <row r="21366" ht="14.25" customHeight="1" s="192">
      <c r="W21366" s="33" t="n"/>
      <c r="X21366" s="33" t="n"/>
    </row>
    <row r="21367" ht="14.25" customHeight="1" s="192">
      <c r="W21367" s="231" t="n"/>
      <c r="X21367" s="231" t="n"/>
    </row>
    <row r="21368" ht="14.25" customHeight="1" s="192">
      <c r="W21368" s="33" t="n"/>
      <c r="X21368" s="33" t="n"/>
    </row>
    <row r="21370" ht="14.25" customHeight="1" s="192">
      <c r="W21370" s="231" t="n"/>
      <c r="X21370" s="231" t="n"/>
    </row>
    <row r="21371" ht="14.25" customHeight="1" s="192">
      <c r="W21371" s="235" t="n"/>
      <c r="X21371" s="235" t="n"/>
    </row>
    <row r="21372" ht="14.25" customHeight="1" s="192">
      <c r="W21372" s="228" t="n"/>
      <c r="X21372" s="228" t="n"/>
    </row>
    <row r="21373" ht="14.25" customHeight="1" s="192">
      <c r="W21373" s="235" t="n"/>
      <c r="X21373" s="235" t="n"/>
    </row>
    <row r="21374" ht="14.25" customHeight="1" s="192">
      <c r="W21374" s="235" t="n"/>
      <c r="X21374" s="235" t="n"/>
    </row>
    <row r="21375" ht="14.25" customHeight="1" s="192">
      <c r="W21375" s="235" t="n"/>
      <c r="X21375" s="235" t="n"/>
    </row>
    <row r="21376" ht="14.25" customHeight="1" s="192">
      <c r="W21376" s="239" t="n"/>
      <c r="X21376" s="239" t="n"/>
    </row>
    <row r="21377" ht="14.25" customHeight="1" s="192">
      <c r="W21377" s="239" t="n"/>
      <c r="X21377" s="239" t="n"/>
    </row>
    <row r="21378" ht="14.25" customHeight="1" s="192">
      <c r="W21378" s="239" t="n"/>
      <c r="X21378" s="239" t="n"/>
    </row>
    <row r="21379" ht="14.25" customHeight="1" s="192">
      <c r="W21379" s="235" t="n"/>
      <c r="X21379" s="235" t="n"/>
    </row>
    <row r="21380" ht="14.25" customHeight="1" s="192">
      <c r="W21380" s="235" t="n"/>
      <c r="X21380" s="235" t="n"/>
    </row>
    <row r="21381" ht="14.25" customHeight="1" s="192">
      <c r="W21381" s="235" t="n"/>
      <c r="X21381" s="235" t="n"/>
    </row>
    <row r="21382" ht="14.25" customHeight="1" s="192">
      <c r="W21382" s="239" t="n"/>
      <c r="X21382" s="239" t="n"/>
    </row>
    <row r="21383" ht="14.25" customHeight="1" s="192">
      <c r="W21383" s="239" t="n"/>
      <c r="X21383" s="239" t="n"/>
    </row>
    <row r="21384" ht="14.25" customHeight="1" s="192">
      <c r="W21384" s="235" t="n"/>
      <c r="X21384" s="235" t="n"/>
    </row>
    <row r="21385" ht="14.25" customHeight="1" s="192">
      <c r="W21385" s="235" t="n"/>
      <c r="X21385" s="235" t="n"/>
    </row>
    <row r="21386" ht="14.25" customHeight="1" s="192">
      <c r="W21386" s="239" t="n"/>
      <c r="X21386" s="239" t="n"/>
    </row>
    <row r="21387" ht="14.25" customHeight="1" s="192">
      <c r="W21387" s="235" t="n"/>
      <c r="X21387" s="235" t="n"/>
    </row>
    <row r="21388" ht="14.25" customHeight="1" s="192">
      <c r="W21388" s="239" t="n"/>
      <c r="X21388" s="239" t="n"/>
    </row>
    <row r="21390" ht="14.25" customHeight="1" s="192">
      <c r="W21390" s="235" t="n"/>
      <c r="X21390" s="235" t="n"/>
    </row>
    <row r="21391" ht="15" customHeight="1" s="192" thickBot="1">
      <c r="W21391" s="239" t="n"/>
      <c r="X21391" s="239" t="n"/>
    </row>
    <row r="21392" ht="15" customHeight="1" s="192" thickBot="1">
      <c r="W21392" s="45" t="n"/>
      <c r="X21392" s="45" t="n"/>
    </row>
    <row r="21393" ht="14.25" customHeight="1" s="192">
      <c r="W21393" s="228" t="n"/>
      <c r="X21393" s="228" t="n"/>
    </row>
    <row r="21394" ht="14.25" customHeight="1" s="192">
      <c r="W21394" s="228" t="n"/>
      <c r="X21394" s="228" t="n"/>
    </row>
    <row r="21395" ht="14.25" customHeight="1" s="192">
      <c r="W21395" s="231" t="n"/>
      <c r="X21395" s="231" t="n"/>
    </row>
    <row r="21396" ht="14.25" customHeight="1" s="192">
      <c r="W21396" s="33" t="n"/>
      <c r="X21396" s="33" t="n"/>
    </row>
    <row r="21397" ht="14.25" customHeight="1" s="192">
      <c r="W21397" s="231" t="n"/>
      <c r="X21397" s="231" t="n"/>
    </row>
    <row r="21398" ht="14.25" customHeight="1" s="192">
      <c r="W21398" s="33" t="n"/>
      <c r="X21398" s="33" t="n"/>
    </row>
    <row r="21400" ht="14.25" customHeight="1" s="192">
      <c r="W21400" s="231" t="n"/>
      <c r="X21400" s="231" t="n"/>
    </row>
    <row r="21401" ht="14.25" customHeight="1" s="192">
      <c r="W21401" s="235" t="n"/>
      <c r="X21401" s="235" t="n"/>
    </row>
    <row r="21402" ht="14.25" customHeight="1" s="192">
      <c r="W21402" s="228" t="n"/>
      <c r="X21402" s="228" t="n"/>
    </row>
    <row r="21403" ht="14.25" customHeight="1" s="192">
      <c r="W21403" s="235" t="n"/>
      <c r="X21403" s="235" t="n"/>
    </row>
    <row r="21404" ht="14.25" customHeight="1" s="192">
      <c r="W21404" s="235" t="n"/>
      <c r="X21404" s="235" t="n"/>
    </row>
    <row r="21405" ht="14.25" customHeight="1" s="192">
      <c r="W21405" s="235" t="n"/>
      <c r="X21405" s="235" t="n"/>
    </row>
    <row r="21406" ht="14.25" customHeight="1" s="192">
      <c r="W21406" s="239" t="n"/>
      <c r="X21406" s="239" t="n"/>
    </row>
    <row r="21407" ht="14.25" customHeight="1" s="192">
      <c r="W21407" s="239" t="n"/>
      <c r="X21407" s="239" t="n"/>
    </row>
    <row r="21408" ht="14.25" customHeight="1" s="192">
      <c r="W21408" s="239" t="n"/>
      <c r="X21408" s="239" t="n"/>
    </row>
    <row r="21409" ht="14.25" customHeight="1" s="192">
      <c r="W21409" s="235" t="n"/>
      <c r="X21409" s="235" t="n"/>
    </row>
    <row r="21410" ht="14.25" customHeight="1" s="192">
      <c r="W21410" s="235" t="n"/>
      <c r="X21410" s="235" t="n"/>
    </row>
    <row r="21411" ht="14.25" customHeight="1" s="192">
      <c r="W21411" s="235" t="n"/>
      <c r="X21411" s="235" t="n"/>
    </row>
    <row r="21412" ht="14.25" customHeight="1" s="192">
      <c r="W21412" s="239" t="n"/>
      <c r="X21412" s="239" t="n"/>
    </row>
    <row r="21413" ht="14.25" customHeight="1" s="192">
      <c r="W21413" s="239" t="n"/>
      <c r="X21413" s="239" t="n"/>
    </row>
    <row r="21414" ht="14.25" customHeight="1" s="192">
      <c r="W21414" s="235" t="n"/>
      <c r="X21414" s="235" t="n"/>
    </row>
    <row r="21415" ht="14.25" customHeight="1" s="192">
      <c r="W21415" s="235" t="n"/>
      <c r="X21415" s="235" t="n"/>
    </row>
    <row r="21416" ht="14.25" customHeight="1" s="192">
      <c r="W21416" s="239" t="n"/>
      <c r="X21416" s="239" t="n"/>
    </row>
    <row r="21417" ht="14.25" customHeight="1" s="192">
      <c r="W21417" s="235" t="n"/>
      <c r="X21417" s="235" t="n"/>
    </row>
    <row r="21418" ht="14.25" customHeight="1" s="192">
      <c r="W21418" s="239" t="n"/>
      <c r="X21418" s="239" t="n"/>
    </row>
    <row r="21420" ht="14.25" customHeight="1" s="192">
      <c r="W21420" s="235" t="n"/>
      <c r="X21420" s="235" t="n"/>
    </row>
    <row r="21421" ht="15" customHeight="1" s="192" thickBot="1">
      <c r="W21421" s="239" t="n"/>
      <c r="X21421" s="239" t="n"/>
    </row>
    <row r="21422" ht="15" customHeight="1" s="192" thickBot="1">
      <c r="W21422" s="45" t="n"/>
      <c r="X21422" s="45" t="n"/>
    </row>
    <row r="21423" ht="14.25" customHeight="1" s="192">
      <c r="W21423" s="228" t="n"/>
      <c r="X21423" s="228" t="n"/>
    </row>
    <row r="21424" ht="14.25" customHeight="1" s="192">
      <c r="W21424" s="228" t="n"/>
      <c r="X21424" s="228" t="n"/>
    </row>
    <row r="21425" ht="14.25" customHeight="1" s="192">
      <c r="W21425" s="231" t="n"/>
      <c r="X21425" s="231" t="n"/>
    </row>
    <row r="21426" ht="14.25" customHeight="1" s="192">
      <c r="W21426" s="33" t="n"/>
      <c r="X21426" s="33" t="n"/>
    </row>
    <row r="21427" ht="14.25" customHeight="1" s="192">
      <c r="W21427" s="231" t="n"/>
      <c r="X21427" s="231" t="n"/>
    </row>
    <row r="21428" ht="14.25" customHeight="1" s="192">
      <c r="W21428" s="33" t="n"/>
      <c r="X21428" s="33" t="n"/>
    </row>
    <row r="21430" ht="14.25" customHeight="1" s="192">
      <c r="W21430" s="231" t="n"/>
      <c r="X21430" s="231" t="n"/>
    </row>
    <row r="21431" ht="14.25" customHeight="1" s="192">
      <c r="W21431" s="235" t="n"/>
      <c r="X21431" s="235" t="n"/>
    </row>
    <row r="21432" ht="14.25" customHeight="1" s="192">
      <c r="W21432" s="228" t="n"/>
      <c r="X21432" s="228" t="n"/>
    </row>
    <row r="21433" ht="14.25" customHeight="1" s="192">
      <c r="W21433" s="235" t="n"/>
      <c r="X21433" s="235" t="n"/>
    </row>
    <row r="21434" ht="14.25" customHeight="1" s="192">
      <c r="W21434" s="235" t="n"/>
      <c r="X21434" s="235" t="n"/>
    </row>
    <row r="21435" ht="14.25" customHeight="1" s="192">
      <c r="W21435" s="235" t="n"/>
      <c r="X21435" s="235" t="n"/>
    </row>
    <row r="21436" ht="14.25" customHeight="1" s="192">
      <c r="W21436" s="239" t="n"/>
      <c r="X21436" s="239" t="n"/>
    </row>
    <row r="21437" ht="14.25" customHeight="1" s="192">
      <c r="W21437" s="239" t="n"/>
      <c r="X21437" s="239" t="n"/>
    </row>
    <row r="21438" ht="14.25" customHeight="1" s="192">
      <c r="W21438" s="239" t="n"/>
      <c r="X21438" s="239" t="n"/>
    </row>
    <row r="21439" ht="14.25" customHeight="1" s="192">
      <c r="W21439" s="235" t="n"/>
      <c r="X21439" s="235" t="n"/>
    </row>
    <row r="21440" ht="14.25" customHeight="1" s="192">
      <c r="W21440" s="235" t="n"/>
      <c r="X21440" s="235" t="n"/>
    </row>
    <row r="21441" ht="14.25" customHeight="1" s="192">
      <c r="W21441" s="235" t="n"/>
      <c r="X21441" s="235" t="n"/>
    </row>
    <row r="21442" ht="14.25" customHeight="1" s="192">
      <c r="W21442" s="239" t="n"/>
      <c r="X21442" s="239" t="n"/>
    </row>
    <row r="21443" ht="14.25" customHeight="1" s="192">
      <c r="W21443" s="239" t="n"/>
      <c r="X21443" s="239" t="n"/>
    </row>
    <row r="21444" ht="14.25" customHeight="1" s="192">
      <c r="W21444" s="235" t="n"/>
      <c r="X21444" s="235" t="n"/>
    </row>
    <row r="21445" ht="14.25" customHeight="1" s="192">
      <c r="W21445" s="235" t="n"/>
      <c r="X21445" s="235" t="n"/>
    </row>
    <row r="21446" ht="14.25" customHeight="1" s="192">
      <c r="W21446" s="239" t="n"/>
      <c r="X21446" s="239" t="n"/>
    </row>
    <row r="21447" ht="14.25" customHeight="1" s="192">
      <c r="W21447" s="235" t="n"/>
      <c r="X21447" s="235" t="n"/>
    </row>
    <row r="21448" ht="14.25" customHeight="1" s="192">
      <c r="W21448" s="239" t="n"/>
      <c r="X21448" s="239" t="n"/>
    </row>
    <row r="21450" ht="14.25" customHeight="1" s="192">
      <c r="W21450" s="235" t="n"/>
      <c r="X21450" s="235" t="n"/>
    </row>
    <row r="21451" ht="15" customHeight="1" s="192" thickBot="1">
      <c r="W21451" s="239" t="n"/>
      <c r="X21451" s="239" t="n"/>
    </row>
    <row r="21452" ht="15" customHeight="1" s="192" thickBot="1">
      <c r="W21452" s="45" t="n"/>
      <c r="X21452" s="45" t="n"/>
    </row>
    <row r="21453" ht="14.25" customHeight="1" s="192">
      <c r="W21453" s="228" t="n"/>
      <c r="X21453" s="228" t="n"/>
    </row>
    <row r="21454" ht="14.25" customHeight="1" s="192">
      <c r="W21454" s="228" t="n"/>
      <c r="X21454" s="228" t="n"/>
    </row>
    <row r="21455" ht="14.25" customHeight="1" s="192">
      <c r="W21455" s="231" t="n"/>
      <c r="X21455" s="231" t="n"/>
    </row>
    <row r="21456" ht="14.25" customHeight="1" s="192">
      <c r="W21456" s="33" t="n"/>
      <c r="X21456" s="33" t="n"/>
    </row>
    <row r="21457" ht="14.25" customHeight="1" s="192">
      <c r="W21457" s="231" t="n"/>
      <c r="X21457" s="231" t="n"/>
    </row>
    <row r="21458" ht="14.25" customHeight="1" s="192">
      <c r="W21458" s="33" t="n"/>
      <c r="X21458" s="33" t="n"/>
    </row>
    <row r="21460" ht="14.25" customHeight="1" s="192">
      <c r="W21460" s="231" t="n"/>
      <c r="X21460" s="231" t="n"/>
    </row>
    <row r="21461" ht="14.25" customHeight="1" s="192">
      <c r="W21461" s="235" t="n"/>
      <c r="X21461" s="235" t="n"/>
    </row>
    <row r="21462" ht="14.25" customHeight="1" s="192">
      <c r="W21462" s="228" t="n"/>
      <c r="X21462" s="228" t="n"/>
    </row>
    <row r="21463" ht="14.25" customHeight="1" s="192">
      <c r="W21463" s="235" t="n"/>
      <c r="X21463" s="235" t="n"/>
    </row>
    <row r="21464" ht="14.25" customHeight="1" s="192">
      <c r="W21464" s="235" t="n"/>
      <c r="X21464" s="235" t="n"/>
    </row>
    <row r="21465" ht="14.25" customHeight="1" s="192">
      <c r="W21465" s="235" t="n"/>
      <c r="X21465" s="235" t="n"/>
    </row>
    <row r="21466" ht="14.25" customHeight="1" s="192">
      <c r="W21466" s="239" t="n"/>
      <c r="X21466" s="239" t="n"/>
    </row>
    <row r="21467" ht="14.25" customHeight="1" s="192">
      <c r="W21467" s="239" t="n"/>
      <c r="X21467" s="239" t="n"/>
    </row>
    <row r="21468" ht="14.25" customHeight="1" s="192">
      <c r="W21468" s="239" t="n"/>
      <c r="X21468" s="239" t="n"/>
    </row>
    <row r="21469" ht="14.25" customHeight="1" s="192">
      <c r="W21469" s="235" t="n"/>
      <c r="X21469" s="235" t="n"/>
    </row>
    <row r="21470" ht="14.25" customHeight="1" s="192">
      <c r="W21470" s="235" t="n"/>
      <c r="X21470" s="235" t="n"/>
    </row>
    <row r="21471" ht="14.25" customHeight="1" s="192">
      <c r="W21471" s="235" t="n"/>
      <c r="X21471" s="235" t="n"/>
    </row>
    <row r="21472" ht="14.25" customHeight="1" s="192">
      <c r="W21472" s="239" t="n"/>
      <c r="X21472" s="239" t="n"/>
    </row>
    <row r="21473" ht="14.25" customHeight="1" s="192">
      <c r="W21473" s="239" t="n"/>
      <c r="X21473" s="239" t="n"/>
    </row>
    <row r="21474" ht="14.25" customHeight="1" s="192">
      <c r="W21474" s="235" t="n"/>
      <c r="X21474" s="235" t="n"/>
    </row>
    <row r="21475" ht="14.25" customHeight="1" s="192">
      <c r="W21475" s="235" t="n"/>
      <c r="X21475" s="235" t="n"/>
    </row>
    <row r="21476" ht="14.25" customHeight="1" s="192">
      <c r="W21476" s="239" t="n"/>
      <c r="X21476" s="239" t="n"/>
    </row>
    <row r="21477" ht="14.25" customHeight="1" s="192">
      <c r="W21477" s="235" t="n"/>
      <c r="X21477" s="235" t="n"/>
    </row>
    <row r="21478" ht="14.25" customHeight="1" s="192">
      <c r="W21478" s="239" t="n"/>
      <c r="X21478" s="239" t="n"/>
    </row>
    <row r="21480" ht="14.25" customHeight="1" s="192">
      <c r="W21480" s="235" t="n"/>
      <c r="X21480" s="235" t="n"/>
    </row>
    <row r="21481" ht="15" customHeight="1" s="192" thickBot="1">
      <c r="W21481" s="239" t="n"/>
      <c r="X21481" s="239" t="n"/>
    </row>
    <row r="21482" ht="15" customHeight="1" s="192" thickBot="1">
      <c r="W21482" s="45" t="n"/>
      <c r="X21482" s="45" t="n"/>
    </row>
    <row r="21483" ht="14.25" customHeight="1" s="192">
      <c r="W21483" s="228" t="n"/>
      <c r="X21483" s="228" t="n"/>
    </row>
    <row r="21484" ht="14.25" customHeight="1" s="192">
      <c r="W21484" s="228" t="n"/>
      <c r="X21484" s="228" t="n"/>
    </row>
    <row r="21485" ht="14.25" customHeight="1" s="192">
      <c r="W21485" s="231" t="n"/>
      <c r="X21485" s="231" t="n"/>
    </row>
    <row r="21486" ht="14.25" customHeight="1" s="192">
      <c r="W21486" s="33" t="n"/>
      <c r="X21486" s="33" t="n"/>
    </row>
    <row r="21487" ht="14.25" customHeight="1" s="192">
      <c r="W21487" s="231" t="n"/>
      <c r="X21487" s="231" t="n"/>
    </row>
    <row r="21488" ht="14.25" customHeight="1" s="192">
      <c r="W21488" s="33" t="n"/>
      <c r="X21488" s="33" t="n"/>
    </row>
    <row r="21490" ht="14.25" customHeight="1" s="192">
      <c r="W21490" s="231" t="n"/>
      <c r="X21490" s="231" t="n"/>
    </row>
    <row r="21491" ht="14.25" customHeight="1" s="192">
      <c r="W21491" s="235" t="n"/>
      <c r="X21491" s="235" t="n"/>
    </row>
    <row r="21492" ht="14.25" customHeight="1" s="192">
      <c r="W21492" s="228" t="n"/>
      <c r="X21492" s="228" t="n"/>
    </row>
    <row r="21493" ht="14.25" customHeight="1" s="192">
      <c r="W21493" s="235" t="n"/>
      <c r="X21493" s="235" t="n"/>
    </row>
    <row r="21494" ht="14.25" customHeight="1" s="192">
      <c r="W21494" s="235" t="n"/>
      <c r="X21494" s="235" t="n"/>
    </row>
    <row r="21495" ht="14.25" customHeight="1" s="192">
      <c r="W21495" s="235" t="n"/>
      <c r="X21495" s="235" t="n"/>
    </row>
    <row r="21496" ht="14.25" customHeight="1" s="192">
      <c r="W21496" s="239" t="n"/>
      <c r="X21496" s="239" t="n"/>
    </row>
    <row r="21497" ht="14.25" customHeight="1" s="192">
      <c r="W21497" s="239" t="n"/>
      <c r="X21497" s="239" t="n"/>
    </row>
    <row r="21498" ht="14.25" customHeight="1" s="192">
      <c r="W21498" s="239" t="n"/>
      <c r="X21498" s="239" t="n"/>
    </row>
    <row r="21499" ht="14.25" customHeight="1" s="192">
      <c r="W21499" s="235" t="n"/>
      <c r="X21499" s="235" t="n"/>
    </row>
    <row r="21500" ht="14.25" customHeight="1" s="192">
      <c r="W21500" s="235" t="n"/>
      <c r="X21500" s="235" t="n"/>
    </row>
    <row r="21501" ht="14.25" customHeight="1" s="192">
      <c r="W21501" s="235" t="n"/>
      <c r="X21501" s="235" t="n"/>
    </row>
    <row r="21502" ht="14.25" customHeight="1" s="192">
      <c r="W21502" s="239" t="n"/>
      <c r="X21502" s="239" t="n"/>
    </row>
    <row r="21503" ht="14.25" customHeight="1" s="192">
      <c r="W21503" s="239" t="n"/>
      <c r="X21503" s="239" t="n"/>
    </row>
    <row r="21504" ht="14.25" customHeight="1" s="192">
      <c r="W21504" s="235" t="n"/>
      <c r="X21504" s="235" t="n"/>
    </row>
    <row r="21505" ht="14.25" customHeight="1" s="192">
      <c r="W21505" s="235" t="n"/>
      <c r="X21505" s="235" t="n"/>
    </row>
    <row r="21506" ht="14.25" customHeight="1" s="192">
      <c r="W21506" s="239" t="n"/>
      <c r="X21506" s="239" t="n"/>
    </row>
    <row r="21507" ht="14.25" customHeight="1" s="192">
      <c r="W21507" s="235" t="n"/>
      <c r="X21507" s="235" t="n"/>
    </row>
    <row r="21508" ht="14.25" customHeight="1" s="192">
      <c r="W21508" s="239" t="n"/>
      <c r="X21508" s="239" t="n"/>
    </row>
    <row r="21510" ht="14.25" customHeight="1" s="192">
      <c r="W21510" s="235" t="n"/>
      <c r="X21510" s="235" t="n"/>
    </row>
    <row r="21511" ht="15" customHeight="1" s="192" thickBot="1">
      <c r="W21511" s="239" t="n"/>
      <c r="X21511" s="239" t="n"/>
    </row>
    <row r="21512" ht="15" customHeight="1" s="192" thickBot="1">
      <c r="W21512" s="45" t="n"/>
      <c r="X21512" s="45" t="n"/>
    </row>
    <row r="21513" ht="14.25" customHeight="1" s="192">
      <c r="W21513" s="228" t="n"/>
      <c r="X21513" s="228" t="n"/>
    </row>
    <row r="21514" ht="14.25" customHeight="1" s="192">
      <c r="W21514" s="228" t="n"/>
      <c r="X21514" s="228" t="n"/>
    </row>
    <row r="21515" ht="14.25" customHeight="1" s="192">
      <c r="W21515" s="231" t="n"/>
      <c r="X21515" s="231" t="n"/>
    </row>
    <row r="21516" ht="14.25" customHeight="1" s="192">
      <c r="W21516" s="33" t="n"/>
      <c r="X21516" s="33" t="n"/>
    </row>
    <row r="21517" ht="14.25" customHeight="1" s="192">
      <c r="W21517" s="231" t="n"/>
      <c r="X21517" s="231" t="n"/>
    </row>
    <row r="21518" ht="14.25" customHeight="1" s="192">
      <c r="W21518" s="33" t="n"/>
      <c r="X21518" s="33" t="n"/>
    </row>
    <row r="21520" ht="14.25" customHeight="1" s="192">
      <c r="W21520" s="231" t="n"/>
      <c r="X21520" s="231" t="n"/>
    </row>
    <row r="21521" ht="14.25" customHeight="1" s="192">
      <c r="W21521" s="235" t="n"/>
      <c r="X21521" s="235" t="n"/>
    </row>
    <row r="21522" ht="14.25" customHeight="1" s="192">
      <c r="W21522" s="228" t="n"/>
      <c r="X21522" s="228" t="n"/>
    </row>
    <row r="21523" ht="14.25" customHeight="1" s="192">
      <c r="W21523" s="235" t="n"/>
      <c r="X21523" s="235" t="n"/>
    </row>
    <row r="21524" ht="14.25" customHeight="1" s="192">
      <c r="W21524" s="235" t="n"/>
      <c r="X21524" s="235" t="n"/>
    </row>
    <row r="21525" ht="14.25" customHeight="1" s="192">
      <c r="W21525" s="235" t="n"/>
      <c r="X21525" s="235" t="n"/>
    </row>
    <row r="21526" ht="14.25" customHeight="1" s="192">
      <c r="W21526" s="239" t="n"/>
      <c r="X21526" s="239" t="n"/>
    </row>
    <row r="21527" ht="14.25" customHeight="1" s="192">
      <c r="W21527" s="239" t="n"/>
      <c r="X21527" s="239" t="n"/>
    </row>
    <row r="21528" ht="14.25" customHeight="1" s="192">
      <c r="W21528" s="239" t="n"/>
      <c r="X21528" s="239" t="n"/>
    </row>
    <row r="21529" ht="14.25" customHeight="1" s="192">
      <c r="W21529" s="235" t="n"/>
      <c r="X21529" s="235" t="n"/>
    </row>
    <row r="21530" ht="14.25" customHeight="1" s="192">
      <c r="W21530" s="235" t="n"/>
      <c r="X21530" s="235" t="n"/>
    </row>
    <row r="21531" ht="14.25" customHeight="1" s="192">
      <c r="W21531" s="235" t="n"/>
      <c r="X21531" s="235" t="n"/>
    </row>
    <row r="21532" ht="14.25" customHeight="1" s="192">
      <c r="W21532" s="239" t="n"/>
      <c r="X21532" s="239" t="n"/>
    </row>
    <row r="21533" ht="14.25" customHeight="1" s="192">
      <c r="W21533" s="239" t="n"/>
      <c r="X21533" s="239" t="n"/>
    </row>
    <row r="21534" ht="14.25" customHeight="1" s="192">
      <c r="W21534" s="235" t="n"/>
      <c r="X21534" s="235" t="n"/>
    </row>
    <row r="21535" ht="14.25" customHeight="1" s="192">
      <c r="W21535" s="235" t="n"/>
      <c r="X21535" s="235" t="n"/>
    </row>
    <row r="21536" ht="14.25" customHeight="1" s="192">
      <c r="W21536" s="239" t="n"/>
      <c r="X21536" s="239" t="n"/>
    </row>
    <row r="21537" ht="14.25" customHeight="1" s="192">
      <c r="W21537" s="235" t="n"/>
      <c r="X21537" s="235" t="n"/>
    </row>
    <row r="21538" ht="14.25" customHeight="1" s="192">
      <c r="W21538" s="239" t="n"/>
      <c r="X21538" s="239" t="n"/>
    </row>
    <row r="21540" ht="14.25" customHeight="1" s="192">
      <c r="W21540" s="235" t="n"/>
      <c r="X21540" s="235" t="n"/>
    </row>
    <row r="21541" ht="15" customHeight="1" s="192" thickBot="1">
      <c r="W21541" s="239" t="n"/>
      <c r="X21541" s="239" t="n"/>
    </row>
    <row r="21542" ht="15" customHeight="1" s="192" thickBot="1">
      <c r="W21542" s="45" t="n"/>
      <c r="X21542" s="45" t="n"/>
    </row>
    <row r="21543" ht="14.25" customHeight="1" s="192">
      <c r="W21543" s="228" t="n"/>
      <c r="X21543" s="228" t="n"/>
    </row>
    <row r="21544" ht="14.25" customHeight="1" s="192">
      <c r="W21544" s="228" t="n"/>
      <c r="X21544" s="228" t="n"/>
    </row>
    <row r="21545" ht="14.25" customHeight="1" s="192">
      <c r="W21545" s="231" t="n"/>
      <c r="X21545" s="231" t="n"/>
    </row>
    <row r="21546" ht="14.25" customHeight="1" s="192">
      <c r="W21546" s="33" t="n"/>
      <c r="X21546" s="33" t="n"/>
    </row>
    <row r="21547" ht="14.25" customHeight="1" s="192">
      <c r="W21547" s="231" t="n"/>
      <c r="X21547" s="231" t="n"/>
    </row>
    <row r="21548" ht="14.25" customHeight="1" s="192">
      <c r="W21548" s="33" t="n"/>
      <c r="X21548" s="33" t="n"/>
    </row>
    <row r="21550" ht="14.25" customHeight="1" s="192">
      <c r="W21550" s="231" t="n"/>
      <c r="X21550" s="231" t="n"/>
    </row>
    <row r="21551" ht="14.25" customHeight="1" s="192">
      <c r="W21551" s="235" t="n"/>
      <c r="X21551" s="235" t="n"/>
    </row>
    <row r="21552" ht="14.25" customHeight="1" s="192">
      <c r="W21552" s="228" t="n"/>
      <c r="X21552" s="228" t="n"/>
    </row>
    <row r="21553" ht="14.25" customHeight="1" s="192">
      <c r="W21553" s="235" t="n"/>
      <c r="X21553" s="235" t="n"/>
    </row>
    <row r="21554" ht="14.25" customHeight="1" s="192">
      <c r="W21554" s="235" t="n"/>
      <c r="X21554" s="235" t="n"/>
    </row>
    <row r="21555" ht="14.25" customHeight="1" s="192">
      <c r="W21555" s="235" t="n"/>
      <c r="X21555" s="235" t="n"/>
    </row>
    <row r="21556" ht="14.25" customHeight="1" s="192">
      <c r="W21556" s="239" t="n"/>
      <c r="X21556" s="239" t="n"/>
    </row>
    <row r="21557" ht="14.25" customHeight="1" s="192">
      <c r="W21557" s="239" t="n"/>
      <c r="X21557" s="239" t="n"/>
    </row>
    <row r="21558" ht="14.25" customHeight="1" s="192">
      <c r="W21558" s="239" t="n"/>
      <c r="X21558" s="239" t="n"/>
    </row>
    <row r="21559" ht="14.25" customHeight="1" s="192">
      <c r="W21559" s="235" t="n"/>
      <c r="X21559" s="235" t="n"/>
    </row>
    <row r="21560" ht="14.25" customHeight="1" s="192">
      <c r="W21560" s="235" t="n"/>
      <c r="X21560" s="235" t="n"/>
    </row>
    <row r="21561" ht="14.25" customHeight="1" s="192">
      <c r="W21561" s="235" t="n"/>
      <c r="X21561" s="235" t="n"/>
    </row>
    <row r="21562" ht="14.25" customHeight="1" s="192">
      <c r="W21562" s="239" t="n"/>
      <c r="X21562" s="239" t="n"/>
    </row>
    <row r="21563" ht="14.25" customHeight="1" s="192">
      <c r="W21563" s="239" t="n"/>
      <c r="X21563" s="239" t="n"/>
    </row>
    <row r="21564" ht="14.25" customHeight="1" s="192">
      <c r="W21564" s="235" t="n"/>
      <c r="X21564" s="235" t="n"/>
    </row>
    <row r="21565" ht="14.25" customHeight="1" s="192">
      <c r="W21565" s="235" t="n"/>
      <c r="X21565" s="235" t="n"/>
    </row>
    <row r="21566" ht="14.25" customHeight="1" s="192">
      <c r="W21566" s="239" t="n"/>
      <c r="X21566" s="239" t="n"/>
    </row>
    <row r="21567" ht="14.25" customHeight="1" s="192">
      <c r="W21567" s="235" t="n"/>
      <c r="X21567" s="235" t="n"/>
    </row>
    <row r="21568" ht="14.25" customHeight="1" s="192">
      <c r="W21568" s="239" t="n"/>
      <c r="X21568" s="239" t="n"/>
    </row>
    <row r="21570" ht="14.25" customHeight="1" s="192">
      <c r="W21570" s="235" t="n"/>
      <c r="X21570" s="235" t="n"/>
    </row>
    <row r="21571" ht="15" customHeight="1" s="192" thickBot="1">
      <c r="W21571" s="239" t="n"/>
      <c r="X21571" s="239" t="n"/>
    </row>
    <row r="21572" ht="15" customHeight="1" s="192" thickBot="1">
      <c r="W21572" s="45" t="n"/>
      <c r="X21572" s="45" t="n"/>
    </row>
    <row r="21573" ht="14.25" customHeight="1" s="192">
      <c r="W21573" s="228" t="n"/>
      <c r="X21573" s="228" t="n"/>
    </row>
    <row r="21574" ht="14.25" customHeight="1" s="192">
      <c r="W21574" s="228" t="n"/>
      <c r="X21574" s="228" t="n"/>
    </row>
    <row r="21575" ht="14.25" customHeight="1" s="192">
      <c r="W21575" s="231" t="n"/>
      <c r="X21575" s="231" t="n"/>
    </row>
    <row r="21576" ht="14.25" customHeight="1" s="192">
      <c r="W21576" s="33" t="n"/>
      <c r="X21576" s="33" t="n"/>
    </row>
    <row r="21577" ht="14.25" customHeight="1" s="192">
      <c r="W21577" s="231" t="n"/>
      <c r="X21577" s="231" t="n"/>
    </row>
    <row r="21578" ht="14.25" customHeight="1" s="192">
      <c r="W21578" s="33" t="n"/>
      <c r="X21578" s="33" t="n"/>
    </row>
    <row r="21580" ht="14.25" customHeight="1" s="192">
      <c r="W21580" s="231" t="n"/>
      <c r="X21580" s="231" t="n"/>
    </row>
    <row r="21581" ht="14.25" customHeight="1" s="192">
      <c r="W21581" s="235" t="n"/>
      <c r="X21581" s="235" t="n"/>
    </row>
    <row r="21582" ht="14.25" customHeight="1" s="192">
      <c r="W21582" s="228" t="n"/>
      <c r="X21582" s="228" t="n"/>
    </row>
    <row r="21583" ht="14.25" customHeight="1" s="192">
      <c r="W21583" s="235" t="n"/>
      <c r="X21583" s="235" t="n"/>
    </row>
    <row r="21584" ht="14.25" customHeight="1" s="192">
      <c r="W21584" s="235" t="n"/>
      <c r="X21584" s="235" t="n"/>
    </row>
    <row r="21585" ht="14.25" customHeight="1" s="192">
      <c r="W21585" s="235" t="n"/>
      <c r="X21585" s="235" t="n"/>
    </row>
    <row r="21586" ht="14.25" customHeight="1" s="192">
      <c r="W21586" s="239" t="n"/>
      <c r="X21586" s="239" t="n"/>
    </row>
    <row r="21587" ht="14.25" customHeight="1" s="192">
      <c r="W21587" s="239" t="n"/>
      <c r="X21587" s="239" t="n"/>
    </row>
    <row r="21588" ht="14.25" customHeight="1" s="192">
      <c r="W21588" s="239" t="n"/>
      <c r="X21588" s="239" t="n"/>
    </row>
    <row r="21589" ht="14.25" customHeight="1" s="192">
      <c r="W21589" s="235" t="n"/>
      <c r="X21589" s="235" t="n"/>
    </row>
    <row r="21590" ht="14.25" customHeight="1" s="192">
      <c r="W21590" s="235" t="n"/>
      <c r="X21590" s="235" t="n"/>
    </row>
    <row r="21591" ht="14.25" customHeight="1" s="192">
      <c r="W21591" s="235" t="n"/>
      <c r="X21591" s="235" t="n"/>
    </row>
    <row r="21592" ht="14.25" customHeight="1" s="192">
      <c r="W21592" s="239" t="n"/>
      <c r="X21592" s="239" t="n"/>
    </row>
    <row r="21593" ht="14.25" customHeight="1" s="192">
      <c r="W21593" s="239" t="n"/>
      <c r="X21593" s="239" t="n"/>
    </row>
    <row r="21594" ht="14.25" customHeight="1" s="192">
      <c r="W21594" s="235" t="n"/>
      <c r="X21594" s="235" t="n"/>
    </row>
    <row r="21595" ht="14.25" customHeight="1" s="192">
      <c r="W21595" s="235" t="n"/>
      <c r="X21595" s="235" t="n"/>
    </row>
    <row r="21596" ht="14.25" customHeight="1" s="192">
      <c r="W21596" s="239" t="n"/>
      <c r="X21596" s="239" t="n"/>
    </row>
    <row r="21597" ht="14.25" customHeight="1" s="192">
      <c r="W21597" s="235" t="n"/>
      <c r="X21597" s="235" t="n"/>
    </row>
    <row r="21598" ht="14.25" customHeight="1" s="192">
      <c r="W21598" s="239" t="n"/>
      <c r="X21598" s="239" t="n"/>
    </row>
    <row r="21600" ht="14.25" customHeight="1" s="192">
      <c r="W21600" s="235" t="n"/>
      <c r="X21600" s="235" t="n"/>
    </row>
    <row r="21601" ht="15" customHeight="1" s="192" thickBot="1">
      <c r="W21601" s="239" t="n"/>
      <c r="X21601" s="239" t="n"/>
    </row>
    <row r="21602" ht="15" customHeight="1" s="192" thickBot="1">
      <c r="W21602" s="45" t="n"/>
      <c r="X21602" s="45" t="n"/>
    </row>
    <row r="21603" ht="14.25" customHeight="1" s="192">
      <c r="W21603" s="228" t="n"/>
      <c r="X21603" s="228" t="n"/>
    </row>
    <row r="21604" ht="14.25" customHeight="1" s="192">
      <c r="W21604" s="228" t="n"/>
      <c r="X21604" s="228" t="n"/>
    </row>
    <row r="21605" ht="14.25" customHeight="1" s="192">
      <c r="W21605" s="231" t="n"/>
      <c r="X21605" s="231" t="n"/>
    </row>
    <row r="21606" ht="14.25" customHeight="1" s="192">
      <c r="W21606" s="33" t="n"/>
      <c r="X21606" s="33" t="n"/>
    </row>
    <row r="21607" ht="14.25" customHeight="1" s="192">
      <c r="W21607" s="231" t="n"/>
      <c r="X21607" s="231" t="n"/>
    </row>
    <row r="21608" ht="14.25" customHeight="1" s="192">
      <c r="W21608" s="33" t="n"/>
      <c r="X21608" s="33" t="n"/>
    </row>
    <row r="21610" ht="14.25" customHeight="1" s="192">
      <c r="W21610" s="231" t="n"/>
      <c r="X21610" s="231" t="n"/>
    </row>
    <row r="21611" ht="14.25" customHeight="1" s="192">
      <c r="W21611" s="235" t="n"/>
      <c r="X21611" s="235" t="n"/>
    </row>
    <row r="21612" ht="14.25" customHeight="1" s="192">
      <c r="W21612" s="228" t="n"/>
      <c r="X21612" s="228" t="n"/>
    </row>
    <row r="21613" ht="14.25" customHeight="1" s="192">
      <c r="W21613" s="235" t="n"/>
      <c r="X21613" s="235" t="n"/>
    </row>
    <row r="21614" ht="14.25" customHeight="1" s="192">
      <c r="W21614" s="235" t="n"/>
      <c r="X21614" s="235" t="n"/>
    </row>
    <row r="21615" ht="14.25" customHeight="1" s="192">
      <c r="W21615" s="235" t="n"/>
      <c r="X21615" s="235" t="n"/>
    </row>
    <row r="21616" ht="14.25" customHeight="1" s="192">
      <c r="W21616" s="239" t="n"/>
      <c r="X21616" s="239" t="n"/>
    </row>
    <row r="21617" ht="14.25" customHeight="1" s="192">
      <c r="W21617" s="239" t="n"/>
      <c r="X21617" s="239" t="n"/>
    </row>
    <row r="21618" ht="14.25" customHeight="1" s="192">
      <c r="W21618" s="239" t="n"/>
      <c r="X21618" s="239" t="n"/>
    </row>
    <row r="21619" ht="14.25" customHeight="1" s="192">
      <c r="W21619" s="235" t="n"/>
      <c r="X21619" s="235" t="n"/>
    </row>
    <row r="21620" ht="14.25" customHeight="1" s="192">
      <c r="W21620" s="235" t="n"/>
      <c r="X21620" s="235" t="n"/>
    </row>
    <row r="21621" ht="14.25" customHeight="1" s="192">
      <c r="W21621" s="235" t="n"/>
      <c r="X21621" s="235" t="n"/>
    </row>
    <row r="21622" ht="14.25" customHeight="1" s="192">
      <c r="W21622" s="239" t="n"/>
      <c r="X21622" s="239" t="n"/>
    </row>
    <row r="21623" ht="14.25" customHeight="1" s="192">
      <c r="W21623" s="239" t="n"/>
      <c r="X21623" s="239" t="n"/>
    </row>
    <row r="21624" ht="14.25" customHeight="1" s="192">
      <c r="W21624" s="235" t="n"/>
      <c r="X21624" s="235" t="n"/>
    </row>
    <row r="21625" ht="14.25" customHeight="1" s="192">
      <c r="W21625" s="235" t="n"/>
      <c r="X21625" s="235" t="n"/>
    </row>
    <row r="21626" ht="14.25" customHeight="1" s="192">
      <c r="W21626" s="239" t="n"/>
      <c r="X21626" s="239" t="n"/>
    </row>
    <row r="21627" ht="14.25" customHeight="1" s="192">
      <c r="W21627" s="235" t="n"/>
      <c r="X21627" s="235" t="n"/>
    </row>
    <row r="21628" ht="14.25" customHeight="1" s="192">
      <c r="W21628" s="239" t="n"/>
      <c r="X21628" s="239" t="n"/>
    </row>
    <row r="21630" ht="14.25" customHeight="1" s="192">
      <c r="W21630" s="235" t="n"/>
      <c r="X21630" s="235" t="n"/>
    </row>
    <row r="21631" ht="15" customHeight="1" s="192" thickBot="1">
      <c r="W21631" s="239" t="n"/>
      <c r="X21631" s="239" t="n"/>
    </row>
    <row r="21632" ht="15" customHeight="1" s="192" thickBot="1">
      <c r="W21632" s="45" t="n"/>
      <c r="X21632" s="45" t="n"/>
    </row>
    <row r="21633" ht="14.25" customHeight="1" s="192">
      <c r="W21633" s="228" t="n"/>
      <c r="X21633" s="228" t="n"/>
    </row>
    <row r="21634" ht="14.25" customHeight="1" s="192">
      <c r="W21634" s="228" t="n"/>
      <c r="X21634" s="228" t="n"/>
    </row>
    <row r="21635" ht="14.25" customHeight="1" s="192">
      <c r="W21635" s="231" t="n"/>
      <c r="X21635" s="231" t="n"/>
    </row>
    <row r="21636" ht="14.25" customHeight="1" s="192">
      <c r="W21636" s="33" t="n"/>
      <c r="X21636" s="33" t="n"/>
    </row>
    <row r="21637" ht="14.25" customHeight="1" s="192">
      <c r="W21637" s="231" t="n"/>
      <c r="X21637" s="231" t="n"/>
    </row>
    <row r="21638" ht="14.25" customHeight="1" s="192">
      <c r="W21638" s="33" t="n"/>
      <c r="X21638" s="33" t="n"/>
    </row>
    <row r="21640" ht="14.25" customHeight="1" s="192">
      <c r="W21640" s="231" t="n"/>
      <c r="X21640" s="231" t="n"/>
    </row>
    <row r="21641" ht="14.25" customHeight="1" s="192">
      <c r="W21641" s="235" t="n"/>
      <c r="X21641" s="235" t="n"/>
    </row>
    <row r="21642" ht="14.25" customHeight="1" s="192">
      <c r="W21642" s="228" t="n"/>
      <c r="X21642" s="228" t="n"/>
    </row>
    <row r="21643" ht="14.25" customHeight="1" s="192">
      <c r="W21643" s="235" t="n"/>
      <c r="X21643" s="235" t="n"/>
    </row>
    <row r="21644" ht="14.25" customHeight="1" s="192">
      <c r="W21644" s="235" t="n"/>
      <c r="X21644" s="235" t="n"/>
    </row>
    <row r="21645" ht="14.25" customHeight="1" s="192">
      <c r="W21645" s="235" t="n"/>
      <c r="X21645" s="235" t="n"/>
    </row>
    <row r="21646" ht="14.25" customHeight="1" s="192">
      <c r="W21646" s="239" t="n"/>
      <c r="X21646" s="239" t="n"/>
    </row>
    <row r="21647" ht="14.25" customHeight="1" s="192">
      <c r="W21647" s="239" t="n"/>
      <c r="X21647" s="239" t="n"/>
    </row>
    <row r="21648" ht="14.25" customHeight="1" s="192">
      <c r="W21648" s="239" t="n"/>
      <c r="X21648" s="239" t="n"/>
    </row>
    <row r="21649" ht="14.25" customHeight="1" s="192">
      <c r="W21649" s="235" t="n"/>
      <c r="X21649" s="235" t="n"/>
    </row>
    <row r="21650" ht="14.25" customHeight="1" s="192">
      <c r="W21650" s="235" t="n"/>
      <c r="X21650" s="235" t="n"/>
    </row>
    <row r="21651" ht="14.25" customHeight="1" s="192">
      <c r="W21651" s="235" t="n"/>
      <c r="X21651" s="235" t="n"/>
    </row>
    <row r="21652" ht="14.25" customHeight="1" s="192">
      <c r="W21652" s="239" t="n"/>
      <c r="X21652" s="239" t="n"/>
    </row>
    <row r="21653" ht="14.25" customHeight="1" s="192">
      <c r="W21653" s="239" t="n"/>
      <c r="X21653" s="239" t="n"/>
    </row>
    <row r="21654" ht="14.25" customHeight="1" s="192">
      <c r="W21654" s="235" t="n"/>
      <c r="X21654" s="235" t="n"/>
    </row>
    <row r="21655" ht="14.25" customHeight="1" s="192">
      <c r="W21655" s="235" t="n"/>
      <c r="X21655" s="235" t="n"/>
    </row>
    <row r="21656" ht="14.25" customHeight="1" s="192">
      <c r="W21656" s="239" t="n"/>
      <c r="X21656" s="239" t="n"/>
    </row>
    <row r="21657" ht="14.25" customHeight="1" s="192">
      <c r="W21657" s="235" t="n"/>
      <c r="X21657" s="235" t="n"/>
    </row>
    <row r="21658" ht="14.25" customHeight="1" s="192">
      <c r="W21658" s="239" t="n"/>
      <c r="X21658" s="239" t="n"/>
    </row>
    <row r="21660" ht="14.25" customHeight="1" s="192">
      <c r="W21660" s="235" t="n"/>
      <c r="X21660" s="235" t="n"/>
    </row>
    <row r="21661" ht="15" customHeight="1" s="192" thickBot="1">
      <c r="W21661" s="239" t="n"/>
      <c r="X21661" s="239" t="n"/>
    </row>
    <row r="21662" ht="15" customHeight="1" s="192" thickBot="1">
      <c r="W21662" s="45" t="n"/>
      <c r="X21662" s="45" t="n"/>
    </row>
    <row r="21663" ht="14.25" customHeight="1" s="192">
      <c r="W21663" s="228" t="n"/>
      <c r="X21663" s="228" t="n"/>
    </row>
    <row r="21664" ht="14.25" customHeight="1" s="192">
      <c r="W21664" s="228" t="n"/>
      <c r="X21664" s="228" t="n"/>
    </row>
    <row r="21665" ht="14.25" customHeight="1" s="192">
      <c r="W21665" s="231" t="n"/>
      <c r="X21665" s="231" t="n"/>
    </row>
    <row r="21666" ht="14.25" customHeight="1" s="192">
      <c r="W21666" s="33" t="n"/>
      <c r="X21666" s="33" t="n"/>
    </row>
    <row r="21667" ht="14.25" customHeight="1" s="192">
      <c r="W21667" s="231" t="n"/>
      <c r="X21667" s="231" t="n"/>
    </row>
    <row r="21668" ht="14.25" customHeight="1" s="192">
      <c r="W21668" s="33" t="n"/>
      <c r="X21668" s="33" t="n"/>
    </row>
    <row r="21670" ht="14.25" customHeight="1" s="192">
      <c r="W21670" s="231" t="n"/>
      <c r="X21670" s="231" t="n"/>
    </row>
    <row r="21671" ht="14.25" customHeight="1" s="192">
      <c r="W21671" s="235" t="n"/>
      <c r="X21671" s="235" t="n"/>
    </row>
    <row r="21672" ht="14.25" customHeight="1" s="192">
      <c r="W21672" s="228" t="n"/>
      <c r="X21672" s="228" t="n"/>
    </row>
    <row r="21673" ht="14.25" customHeight="1" s="192">
      <c r="W21673" s="235" t="n"/>
      <c r="X21673" s="235" t="n"/>
    </row>
    <row r="21674" ht="14.25" customHeight="1" s="192">
      <c r="W21674" s="235" t="n"/>
      <c r="X21674" s="235" t="n"/>
    </row>
    <row r="21675" ht="14.25" customHeight="1" s="192">
      <c r="W21675" s="235" t="n"/>
      <c r="X21675" s="235" t="n"/>
    </row>
    <row r="21676" ht="14.25" customHeight="1" s="192">
      <c r="W21676" s="239" t="n"/>
      <c r="X21676" s="239" t="n"/>
    </row>
    <row r="21677" ht="14.25" customHeight="1" s="192">
      <c r="W21677" s="239" t="n"/>
      <c r="X21677" s="239" t="n"/>
    </row>
    <row r="21678" ht="14.25" customHeight="1" s="192">
      <c r="W21678" s="239" t="n"/>
      <c r="X21678" s="239" t="n"/>
    </row>
    <row r="21679" ht="14.25" customHeight="1" s="192">
      <c r="W21679" s="235" t="n"/>
      <c r="X21679" s="235" t="n"/>
    </row>
    <row r="21680" ht="14.25" customHeight="1" s="192">
      <c r="W21680" s="235" t="n"/>
      <c r="X21680" s="235" t="n"/>
    </row>
    <row r="21681" ht="14.25" customHeight="1" s="192">
      <c r="W21681" s="235" t="n"/>
      <c r="X21681" s="235" t="n"/>
    </row>
    <row r="21682" ht="14.25" customHeight="1" s="192">
      <c r="W21682" s="239" t="n"/>
      <c r="X21682" s="239" t="n"/>
    </row>
    <row r="21683" ht="14.25" customHeight="1" s="192">
      <c r="W21683" s="239" t="n"/>
      <c r="X21683" s="239" t="n"/>
    </row>
    <row r="21684" ht="14.25" customHeight="1" s="192">
      <c r="W21684" s="235" t="n"/>
      <c r="X21684" s="235" t="n"/>
    </row>
    <row r="21685" ht="14.25" customHeight="1" s="192">
      <c r="W21685" s="235" t="n"/>
      <c r="X21685" s="235" t="n"/>
    </row>
    <row r="21686" ht="14.25" customHeight="1" s="192">
      <c r="W21686" s="239" t="n"/>
      <c r="X21686" s="239" t="n"/>
    </row>
    <row r="21687" ht="14.25" customHeight="1" s="192">
      <c r="W21687" s="235" t="n"/>
      <c r="X21687" s="235" t="n"/>
    </row>
    <row r="21688" ht="14.25" customHeight="1" s="192">
      <c r="W21688" s="239" t="n"/>
      <c r="X21688" s="239" t="n"/>
    </row>
    <row r="21690" ht="14.25" customHeight="1" s="192">
      <c r="W21690" s="235" t="n"/>
      <c r="X21690" s="235" t="n"/>
    </row>
    <row r="21691" ht="15" customHeight="1" s="192" thickBot="1">
      <c r="W21691" s="239" t="n"/>
      <c r="X21691" s="239" t="n"/>
    </row>
    <row r="21692" ht="15" customHeight="1" s="192" thickBot="1">
      <c r="W21692" s="45" t="n"/>
      <c r="X21692" s="45" t="n"/>
    </row>
    <row r="21693" ht="14.25" customHeight="1" s="192">
      <c r="W21693" s="228" t="n"/>
      <c r="X21693" s="228" t="n"/>
    </row>
    <row r="21694" ht="14.25" customHeight="1" s="192">
      <c r="W21694" s="228" t="n"/>
      <c r="X21694" s="228" t="n"/>
    </row>
    <row r="21695" ht="14.25" customHeight="1" s="192">
      <c r="W21695" s="231" t="n"/>
      <c r="X21695" s="231" t="n"/>
    </row>
    <row r="21696" ht="14.25" customHeight="1" s="192">
      <c r="W21696" s="33" t="n"/>
      <c r="X21696" s="33" t="n"/>
    </row>
    <row r="21697" ht="14.25" customHeight="1" s="192">
      <c r="W21697" s="231" t="n"/>
      <c r="X21697" s="231" t="n"/>
    </row>
    <row r="21698" ht="14.25" customHeight="1" s="192">
      <c r="W21698" s="33" t="n"/>
      <c r="X21698" s="33" t="n"/>
    </row>
    <row r="21700" ht="14.25" customHeight="1" s="192">
      <c r="W21700" s="231" t="n"/>
      <c r="X21700" s="231" t="n"/>
    </row>
    <row r="21701" ht="14.25" customHeight="1" s="192">
      <c r="W21701" s="235" t="n"/>
      <c r="X21701" s="235" t="n"/>
    </row>
    <row r="21702" ht="14.25" customHeight="1" s="192">
      <c r="W21702" s="228" t="n"/>
      <c r="X21702" s="228" t="n"/>
    </row>
    <row r="21703" ht="14.25" customHeight="1" s="192">
      <c r="W21703" s="235" t="n"/>
      <c r="X21703" s="235" t="n"/>
    </row>
    <row r="21704" ht="14.25" customHeight="1" s="192">
      <c r="W21704" s="235" t="n"/>
      <c r="X21704" s="235" t="n"/>
    </row>
    <row r="21705" ht="14.25" customHeight="1" s="192">
      <c r="W21705" s="235" t="n"/>
      <c r="X21705" s="235" t="n"/>
    </row>
    <row r="21706" ht="14.25" customHeight="1" s="192">
      <c r="W21706" s="239" t="n"/>
      <c r="X21706" s="239" t="n"/>
    </row>
    <row r="21707" ht="14.25" customHeight="1" s="192">
      <c r="W21707" s="239" t="n"/>
      <c r="X21707" s="239" t="n"/>
    </row>
    <row r="21708" ht="14.25" customHeight="1" s="192">
      <c r="W21708" s="239" t="n"/>
      <c r="X21708" s="239" t="n"/>
    </row>
    <row r="21709" ht="14.25" customHeight="1" s="192">
      <c r="W21709" s="235" t="n"/>
      <c r="X21709" s="235" t="n"/>
    </row>
    <row r="21710" ht="14.25" customHeight="1" s="192">
      <c r="W21710" s="235" t="n"/>
      <c r="X21710" s="235" t="n"/>
    </row>
    <row r="21711" ht="14.25" customHeight="1" s="192">
      <c r="W21711" s="235" t="n"/>
      <c r="X21711" s="235" t="n"/>
    </row>
    <row r="21712" ht="14.25" customHeight="1" s="192">
      <c r="W21712" s="239" t="n"/>
      <c r="X21712" s="239" t="n"/>
    </row>
    <row r="21713" ht="14.25" customHeight="1" s="192">
      <c r="W21713" s="239" t="n"/>
      <c r="X21713" s="239" t="n"/>
    </row>
    <row r="21714" ht="14.25" customHeight="1" s="192">
      <c r="W21714" s="235" t="n"/>
      <c r="X21714" s="235" t="n"/>
    </row>
    <row r="21715" ht="14.25" customHeight="1" s="192">
      <c r="W21715" s="235" t="n"/>
      <c r="X21715" s="235" t="n"/>
    </row>
    <row r="21716" ht="14.25" customHeight="1" s="192">
      <c r="W21716" s="239" t="n"/>
      <c r="X21716" s="239" t="n"/>
    </row>
    <row r="21717" ht="14.25" customHeight="1" s="192">
      <c r="W21717" s="235" t="n"/>
      <c r="X21717" s="235" t="n"/>
    </row>
    <row r="21718" ht="14.25" customHeight="1" s="192">
      <c r="W21718" s="239" t="n"/>
      <c r="X21718" s="239" t="n"/>
    </row>
    <row r="21720" ht="14.25" customHeight="1" s="192">
      <c r="W21720" s="235" t="n"/>
      <c r="X21720" s="235" t="n"/>
    </row>
    <row r="21721" ht="15" customHeight="1" s="192" thickBot="1">
      <c r="W21721" s="239" t="n"/>
      <c r="X21721" s="239" t="n"/>
    </row>
    <row r="21722" ht="15" customHeight="1" s="192" thickBot="1">
      <c r="W21722" s="45" t="n"/>
      <c r="X21722" s="45" t="n"/>
    </row>
    <row r="21723" ht="14.25" customHeight="1" s="192">
      <c r="W21723" s="228" t="n"/>
      <c r="X21723" s="228" t="n"/>
    </row>
    <row r="21724" ht="14.25" customHeight="1" s="192">
      <c r="W21724" s="228" t="n"/>
      <c r="X21724" s="228" t="n"/>
    </row>
    <row r="21725" ht="14.25" customHeight="1" s="192">
      <c r="W21725" s="231" t="n"/>
      <c r="X21725" s="231" t="n"/>
    </row>
    <row r="21726" ht="14.25" customHeight="1" s="192">
      <c r="W21726" s="33" t="n"/>
      <c r="X21726" s="33" t="n"/>
    </row>
    <row r="21727" ht="14.25" customHeight="1" s="192">
      <c r="W21727" s="231" t="n"/>
      <c r="X21727" s="231" t="n"/>
    </row>
    <row r="21728" ht="14.25" customHeight="1" s="192">
      <c r="W21728" s="33" t="n"/>
      <c r="X21728" s="33" t="n"/>
    </row>
    <row r="21730" ht="14.25" customHeight="1" s="192">
      <c r="W21730" s="231" t="n"/>
      <c r="X21730" s="231" t="n"/>
    </row>
    <row r="21731" ht="14.25" customHeight="1" s="192">
      <c r="W21731" s="235" t="n"/>
      <c r="X21731" s="235" t="n"/>
    </row>
    <row r="21732" ht="14.25" customHeight="1" s="192">
      <c r="W21732" s="228" t="n"/>
      <c r="X21732" s="228" t="n"/>
    </row>
    <row r="21733" ht="14.25" customHeight="1" s="192">
      <c r="W21733" s="235" t="n"/>
      <c r="X21733" s="235" t="n"/>
    </row>
    <row r="21734" ht="14.25" customHeight="1" s="192">
      <c r="W21734" s="235" t="n"/>
      <c r="X21734" s="235" t="n"/>
    </row>
    <row r="21735" ht="14.25" customHeight="1" s="192">
      <c r="W21735" s="235" t="n"/>
      <c r="X21735" s="235" t="n"/>
    </row>
    <row r="21736" ht="14.25" customHeight="1" s="192">
      <c r="W21736" s="239" t="n"/>
      <c r="X21736" s="239" t="n"/>
    </row>
    <row r="21737" ht="14.25" customHeight="1" s="192">
      <c r="W21737" s="239" t="n"/>
      <c r="X21737" s="239" t="n"/>
    </row>
    <row r="21738" ht="14.25" customHeight="1" s="192">
      <c r="W21738" s="239" t="n"/>
      <c r="X21738" s="239" t="n"/>
    </row>
    <row r="21739" ht="14.25" customHeight="1" s="192">
      <c r="W21739" s="235" t="n"/>
      <c r="X21739" s="235" t="n"/>
    </row>
    <row r="21740" ht="14.25" customHeight="1" s="192">
      <c r="W21740" s="235" t="n"/>
      <c r="X21740" s="235" t="n"/>
    </row>
    <row r="21741" ht="14.25" customHeight="1" s="192">
      <c r="W21741" s="235" t="n"/>
      <c r="X21741" s="235" t="n"/>
    </row>
    <row r="21742" ht="14.25" customHeight="1" s="192">
      <c r="W21742" s="239" t="n"/>
      <c r="X21742" s="239" t="n"/>
    </row>
    <row r="21743" ht="14.25" customHeight="1" s="192">
      <c r="W21743" s="239" t="n"/>
      <c r="X21743" s="239" t="n"/>
    </row>
    <row r="21744" ht="14.25" customHeight="1" s="192">
      <c r="W21744" s="235" t="n"/>
      <c r="X21744" s="235" t="n"/>
    </row>
    <row r="21745" ht="14.25" customHeight="1" s="192">
      <c r="W21745" s="235" t="n"/>
      <c r="X21745" s="235" t="n"/>
    </row>
    <row r="21746" ht="14.25" customHeight="1" s="192">
      <c r="W21746" s="239" t="n"/>
      <c r="X21746" s="239" t="n"/>
    </row>
    <row r="21747" ht="14.25" customHeight="1" s="192">
      <c r="W21747" s="235" t="n"/>
      <c r="X21747" s="235" t="n"/>
    </row>
    <row r="21748" ht="14.25" customHeight="1" s="192">
      <c r="W21748" s="239" t="n"/>
      <c r="X21748" s="239" t="n"/>
    </row>
    <row r="21750" ht="14.25" customHeight="1" s="192">
      <c r="W21750" s="235" t="n"/>
      <c r="X21750" s="235" t="n"/>
    </row>
    <row r="21751" ht="15" customHeight="1" s="192" thickBot="1">
      <c r="W21751" s="239" t="n"/>
      <c r="X21751" s="239" t="n"/>
    </row>
    <row r="21752" ht="15" customHeight="1" s="192" thickBot="1">
      <c r="W21752" s="45" t="n"/>
      <c r="X21752" s="45" t="n"/>
    </row>
    <row r="21753" ht="14.25" customHeight="1" s="192">
      <c r="W21753" s="228" t="n"/>
      <c r="X21753" s="228" t="n"/>
    </row>
    <row r="21754" ht="14.25" customHeight="1" s="192">
      <c r="W21754" s="228" t="n"/>
      <c r="X21754" s="228" t="n"/>
    </row>
    <row r="21755" ht="14.25" customHeight="1" s="192">
      <c r="W21755" s="231" t="n"/>
      <c r="X21755" s="231" t="n"/>
    </row>
    <row r="21756" ht="14.25" customHeight="1" s="192">
      <c r="W21756" s="33" t="n"/>
      <c r="X21756" s="33" t="n"/>
    </row>
    <row r="21757" ht="14.25" customHeight="1" s="192">
      <c r="W21757" s="231" t="n"/>
      <c r="X21757" s="231" t="n"/>
    </row>
    <row r="21758" ht="14.25" customHeight="1" s="192">
      <c r="W21758" s="33" t="n"/>
      <c r="X21758" s="33" t="n"/>
    </row>
    <row r="21760" ht="14.25" customHeight="1" s="192">
      <c r="W21760" s="231" t="n"/>
      <c r="X21760" s="231" t="n"/>
    </row>
    <row r="21761" ht="14.25" customHeight="1" s="192">
      <c r="W21761" s="235" t="n"/>
      <c r="X21761" s="235" t="n"/>
    </row>
    <row r="21762" ht="14.25" customHeight="1" s="192">
      <c r="W21762" s="228" t="n"/>
      <c r="X21762" s="228" t="n"/>
    </row>
    <row r="21763" ht="14.25" customHeight="1" s="192">
      <c r="W21763" s="235" t="n"/>
      <c r="X21763" s="235" t="n"/>
    </row>
    <row r="21764" ht="14.25" customHeight="1" s="192">
      <c r="W21764" s="235" t="n"/>
      <c r="X21764" s="235" t="n"/>
    </row>
    <row r="21765" ht="14.25" customHeight="1" s="192">
      <c r="W21765" s="235" t="n"/>
      <c r="X21765" s="235" t="n"/>
    </row>
    <row r="21766" ht="14.25" customHeight="1" s="192">
      <c r="W21766" s="239" t="n"/>
      <c r="X21766" s="239" t="n"/>
    </row>
    <row r="21767" ht="14.25" customHeight="1" s="192">
      <c r="W21767" s="239" t="n"/>
      <c r="X21767" s="239" t="n"/>
    </row>
    <row r="21768" ht="14.25" customHeight="1" s="192">
      <c r="W21768" s="239" t="n"/>
      <c r="X21768" s="239" t="n"/>
    </row>
    <row r="21769" ht="14.25" customHeight="1" s="192">
      <c r="W21769" s="235" t="n"/>
      <c r="X21769" s="235" t="n"/>
    </row>
    <row r="21770" ht="14.25" customHeight="1" s="192">
      <c r="W21770" s="235" t="n"/>
      <c r="X21770" s="235" t="n"/>
    </row>
    <row r="21771" ht="14.25" customHeight="1" s="192">
      <c r="W21771" s="235" t="n"/>
      <c r="X21771" s="235" t="n"/>
    </row>
    <row r="21772" ht="14.25" customHeight="1" s="192">
      <c r="W21772" s="239" t="n"/>
      <c r="X21772" s="239" t="n"/>
    </row>
    <row r="21773" ht="14.25" customHeight="1" s="192">
      <c r="W21773" s="239" t="n"/>
      <c r="X21773" s="239" t="n"/>
    </row>
    <row r="21774" ht="14.25" customHeight="1" s="192">
      <c r="W21774" s="235" t="n"/>
      <c r="X21774" s="235" t="n"/>
    </row>
    <row r="21775" ht="14.25" customHeight="1" s="192">
      <c r="W21775" s="235" t="n"/>
      <c r="X21775" s="235" t="n"/>
    </row>
    <row r="21776" ht="14.25" customHeight="1" s="192">
      <c r="W21776" s="239" t="n"/>
      <c r="X21776" s="239" t="n"/>
    </row>
    <row r="21777" ht="14.25" customHeight="1" s="192">
      <c r="W21777" s="235" t="n"/>
      <c r="X21777" s="235" t="n"/>
    </row>
    <row r="21778" ht="14.25" customHeight="1" s="192">
      <c r="W21778" s="239" t="n"/>
      <c r="X21778" s="239" t="n"/>
    </row>
    <row r="21780" ht="14.25" customHeight="1" s="192">
      <c r="W21780" s="235" t="n"/>
      <c r="X21780" s="235" t="n"/>
    </row>
    <row r="21781" ht="15" customHeight="1" s="192" thickBot="1">
      <c r="W21781" s="239" t="n"/>
      <c r="X21781" s="239" t="n"/>
    </row>
    <row r="21782" ht="15" customHeight="1" s="192" thickBot="1">
      <c r="W21782" s="45" t="n"/>
      <c r="X21782" s="45" t="n"/>
    </row>
    <row r="21783" ht="14.25" customHeight="1" s="192">
      <c r="W21783" s="228" t="n"/>
      <c r="X21783" s="228" t="n"/>
    </row>
    <row r="21784" ht="14.25" customHeight="1" s="192">
      <c r="W21784" s="228" t="n"/>
      <c r="X21784" s="228" t="n"/>
    </row>
    <row r="21785" ht="14.25" customHeight="1" s="192">
      <c r="W21785" s="231" t="n"/>
      <c r="X21785" s="231" t="n"/>
    </row>
    <row r="21786" ht="14.25" customHeight="1" s="192">
      <c r="W21786" s="33" t="n"/>
      <c r="X21786" s="33" t="n"/>
    </row>
    <row r="21787" ht="14.25" customHeight="1" s="192">
      <c r="W21787" s="231" t="n"/>
      <c r="X21787" s="231" t="n"/>
    </row>
    <row r="21788" ht="14.25" customHeight="1" s="192">
      <c r="W21788" s="33" t="n"/>
      <c r="X21788" s="33" t="n"/>
    </row>
    <row r="21790" ht="14.25" customHeight="1" s="192">
      <c r="W21790" s="231" t="n"/>
      <c r="X21790" s="231" t="n"/>
    </row>
    <row r="21791" ht="14.25" customHeight="1" s="192">
      <c r="W21791" s="235" t="n"/>
      <c r="X21791" s="235" t="n"/>
    </row>
    <row r="21792" ht="14.25" customHeight="1" s="192">
      <c r="W21792" s="228" t="n"/>
      <c r="X21792" s="228" t="n"/>
    </row>
    <row r="21793" ht="14.25" customHeight="1" s="192">
      <c r="W21793" s="235" t="n"/>
      <c r="X21793" s="235" t="n"/>
    </row>
    <row r="21794" ht="14.25" customHeight="1" s="192">
      <c r="W21794" s="235" t="n"/>
      <c r="X21794" s="235" t="n"/>
    </row>
    <row r="21795" ht="14.25" customHeight="1" s="192">
      <c r="W21795" s="235" t="n"/>
      <c r="X21795" s="235" t="n"/>
    </row>
    <row r="21796" ht="14.25" customHeight="1" s="192">
      <c r="W21796" s="239" t="n"/>
      <c r="X21796" s="239" t="n"/>
    </row>
    <row r="21797" ht="14.25" customHeight="1" s="192">
      <c r="W21797" s="239" t="n"/>
      <c r="X21797" s="239" t="n"/>
    </row>
    <row r="21798" ht="14.25" customHeight="1" s="192">
      <c r="W21798" s="239" t="n"/>
      <c r="X21798" s="239" t="n"/>
    </row>
    <row r="21799" ht="14.25" customHeight="1" s="192">
      <c r="W21799" s="235" t="n"/>
      <c r="X21799" s="235" t="n"/>
    </row>
    <row r="21800" ht="14.25" customHeight="1" s="192">
      <c r="W21800" s="235" t="n"/>
      <c r="X21800" s="235" t="n"/>
    </row>
    <row r="21801" ht="14.25" customHeight="1" s="192">
      <c r="W21801" s="235" t="n"/>
      <c r="X21801" s="235" t="n"/>
    </row>
    <row r="21802" ht="14.25" customHeight="1" s="192">
      <c r="W21802" s="239" t="n"/>
      <c r="X21802" s="239" t="n"/>
    </row>
    <row r="21803" ht="14.25" customHeight="1" s="192">
      <c r="W21803" s="239" t="n"/>
      <c r="X21803" s="239" t="n"/>
    </row>
    <row r="21804" ht="14.25" customHeight="1" s="192">
      <c r="W21804" s="235" t="n"/>
      <c r="X21804" s="235" t="n"/>
    </row>
    <row r="21805" ht="14.25" customHeight="1" s="192">
      <c r="W21805" s="235" t="n"/>
      <c r="X21805" s="235" t="n"/>
    </row>
    <row r="21806" ht="14.25" customHeight="1" s="192">
      <c r="W21806" s="239" t="n"/>
      <c r="X21806" s="239" t="n"/>
    </row>
    <row r="21807" ht="14.25" customHeight="1" s="192">
      <c r="W21807" s="235" t="n"/>
      <c r="X21807" s="235" t="n"/>
    </row>
    <row r="21808" ht="14.25" customHeight="1" s="192">
      <c r="W21808" s="239" t="n"/>
      <c r="X21808" s="239" t="n"/>
    </row>
    <row r="21810" ht="14.25" customHeight="1" s="192">
      <c r="W21810" s="235" t="n"/>
      <c r="X21810" s="235" t="n"/>
    </row>
    <row r="21811" ht="15" customHeight="1" s="192" thickBot="1">
      <c r="W21811" s="239" t="n"/>
      <c r="X21811" s="239" t="n"/>
    </row>
    <row r="21812" ht="15" customHeight="1" s="192" thickBot="1">
      <c r="W21812" s="45" t="n"/>
      <c r="X21812" s="45" t="n"/>
    </row>
    <row r="21813" ht="14.25" customHeight="1" s="192">
      <c r="W21813" s="228" t="n"/>
      <c r="X21813" s="228" t="n"/>
    </row>
    <row r="21814" ht="14.25" customHeight="1" s="192">
      <c r="W21814" s="228" t="n"/>
      <c r="X21814" s="228" t="n"/>
    </row>
    <row r="21815" ht="14.25" customHeight="1" s="192">
      <c r="W21815" s="231" t="n"/>
      <c r="X21815" s="231" t="n"/>
    </row>
    <row r="21816" ht="14.25" customHeight="1" s="192">
      <c r="W21816" s="33" t="n"/>
      <c r="X21816" s="33" t="n"/>
    </row>
    <row r="21817" ht="14.25" customHeight="1" s="192">
      <c r="W21817" s="231" t="n"/>
      <c r="X21817" s="231" t="n"/>
    </row>
    <row r="21818" ht="14.25" customHeight="1" s="192">
      <c r="W21818" s="33" t="n"/>
      <c r="X21818" s="33" t="n"/>
    </row>
    <row r="21820" ht="14.25" customHeight="1" s="192">
      <c r="W21820" s="231" t="n"/>
      <c r="X21820" s="231" t="n"/>
    </row>
    <row r="21821" ht="14.25" customHeight="1" s="192">
      <c r="W21821" s="235" t="n"/>
      <c r="X21821" s="235" t="n"/>
    </row>
    <row r="21822" ht="14.25" customHeight="1" s="192">
      <c r="W21822" s="228" t="n"/>
      <c r="X21822" s="228" t="n"/>
    </row>
    <row r="21823" ht="14.25" customHeight="1" s="192">
      <c r="W21823" s="235" t="n"/>
      <c r="X21823" s="235" t="n"/>
    </row>
    <row r="21824" ht="14.25" customHeight="1" s="192">
      <c r="W21824" s="235" t="n"/>
      <c r="X21824" s="235" t="n"/>
    </row>
    <row r="21825" ht="14.25" customHeight="1" s="192">
      <c r="W21825" s="235" t="n"/>
      <c r="X21825" s="235" t="n"/>
    </row>
    <row r="21826" ht="14.25" customHeight="1" s="192">
      <c r="W21826" s="239" t="n"/>
      <c r="X21826" s="239" t="n"/>
    </row>
    <row r="21827" ht="14.25" customHeight="1" s="192">
      <c r="W21827" s="239" t="n"/>
      <c r="X21827" s="239" t="n"/>
    </row>
    <row r="21828" ht="14.25" customHeight="1" s="192">
      <c r="W21828" s="239" t="n"/>
      <c r="X21828" s="239" t="n"/>
    </row>
    <row r="21829" ht="14.25" customHeight="1" s="192">
      <c r="W21829" s="235" t="n"/>
      <c r="X21829" s="235" t="n"/>
    </row>
    <row r="21830" ht="14.25" customHeight="1" s="192">
      <c r="W21830" s="235" t="n"/>
      <c r="X21830" s="235" t="n"/>
    </row>
    <row r="21831" ht="14.25" customHeight="1" s="192">
      <c r="W21831" s="235" t="n"/>
      <c r="X21831" s="235" t="n"/>
    </row>
    <row r="21832" ht="14.25" customHeight="1" s="192">
      <c r="W21832" s="239" t="n"/>
      <c r="X21832" s="239" t="n"/>
    </row>
    <row r="21833" ht="14.25" customHeight="1" s="192">
      <c r="W21833" s="239" t="n"/>
      <c r="X21833" s="239" t="n"/>
    </row>
    <row r="21834" ht="14.25" customHeight="1" s="192">
      <c r="W21834" s="235" t="n"/>
      <c r="X21834" s="235" t="n"/>
    </row>
    <row r="21835" ht="14.25" customHeight="1" s="192">
      <c r="W21835" s="235" t="n"/>
      <c r="X21835" s="235" t="n"/>
    </row>
    <row r="21836" ht="14.25" customHeight="1" s="192">
      <c r="W21836" s="239" t="n"/>
      <c r="X21836" s="239" t="n"/>
    </row>
    <row r="21837" ht="14.25" customHeight="1" s="192">
      <c r="W21837" s="235" t="n"/>
      <c r="X21837" s="235" t="n"/>
    </row>
    <row r="21838" ht="14.25" customHeight="1" s="192">
      <c r="W21838" s="239" t="n"/>
      <c r="X21838" s="239" t="n"/>
    </row>
    <row r="21840" ht="14.25" customHeight="1" s="192">
      <c r="W21840" s="235" t="n"/>
      <c r="X21840" s="235" t="n"/>
    </row>
    <row r="21841" ht="15" customHeight="1" s="192" thickBot="1">
      <c r="W21841" s="239" t="n"/>
      <c r="X21841" s="239" t="n"/>
    </row>
    <row r="21842" ht="15" customHeight="1" s="192" thickBot="1">
      <c r="W21842" s="45" t="n"/>
      <c r="X21842" s="45" t="n"/>
    </row>
    <row r="21843" ht="14.25" customHeight="1" s="192">
      <c r="W21843" s="228" t="n"/>
      <c r="X21843" s="228" t="n"/>
    </row>
    <row r="21844" ht="14.25" customHeight="1" s="192">
      <c r="W21844" s="228" t="n"/>
      <c r="X21844" s="228" t="n"/>
    </row>
    <row r="21845" ht="14.25" customHeight="1" s="192">
      <c r="W21845" s="231" t="n"/>
      <c r="X21845" s="231" t="n"/>
    </row>
    <row r="21846" ht="14.25" customHeight="1" s="192">
      <c r="W21846" s="33" t="n"/>
      <c r="X21846" s="33" t="n"/>
    </row>
    <row r="21847" ht="14.25" customHeight="1" s="192">
      <c r="W21847" s="231" t="n"/>
      <c r="X21847" s="231" t="n"/>
    </row>
    <row r="21848" ht="14.25" customHeight="1" s="192">
      <c r="W21848" s="33" t="n"/>
      <c r="X21848" s="33" t="n"/>
    </row>
    <row r="21850" ht="14.25" customHeight="1" s="192">
      <c r="W21850" s="231" t="n"/>
      <c r="X21850" s="231" t="n"/>
    </row>
    <row r="21851" ht="14.25" customHeight="1" s="192">
      <c r="W21851" s="235" t="n"/>
      <c r="X21851" s="235" t="n"/>
    </row>
    <row r="21852" ht="14.25" customHeight="1" s="192">
      <c r="W21852" s="228" t="n"/>
      <c r="X21852" s="228" t="n"/>
    </row>
    <row r="21853" ht="14.25" customHeight="1" s="192">
      <c r="W21853" s="235" t="n"/>
      <c r="X21853" s="235" t="n"/>
    </row>
    <row r="21854" ht="14.25" customHeight="1" s="192">
      <c r="W21854" s="235" t="n"/>
      <c r="X21854" s="235" t="n"/>
    </row>
    <row r="21855" ht="14.25" customHeight="1" s="192">
      <c r="W21855" s="235" t="n"/>
      <c r="X21855" s="235" t="n"/>
    </row>
    <row r="21856" ht="14.25" customHeight="1" s="192">
      <c r="W21856" s="239" t="n"/>
      <c r="X21856" s="239" t="n"/>
    </row>
    <row r="21857" ht="14.25" customHeight="1" s="192">
      <c r="W21857" s="239" t="n"/>
      <c r="X21857" s="239" t="n"/>
    </row>
    <row r="21858" ht="14.25" customHeight="1" s="192">
      <c r="W21858" s="239" t="n"/>
      <c r="X21858" s="239" t="n"/>
    </row>
    <row r="21859" ht="14.25" customHeight="1" s="192">
      <c r="W21859" s="235" t="n"/>
      <c r="X21859" s="235" t="n"/>
    </row>
    <row r="21860" ht="14.25" customHeight="1" s="192">
      <c r="W21860" s="235" t="n"/>
      <c r="X21860" s="235" t="n"/>
    </row>
    <row r="21861" ht="14.25" customHeight="1" s="192">
      <c r="W21861" s="235" t="n"/>
      <c r="X21861" s="235" t="n"/>
    </row>
    <row r="21862" ht="14.25" customHeight="1" s="192">
      <c r="W21862" s="239" t="n"/>
      <c r="X21862" s="239" t="n"/>
    </row>
    <row r="21863" ht="14.25" customHeight="1" s="192">
      <c r="W21863" s="239" t="n"/>
      <c r="X21863" s="239" t="n"/>
    </row>
    <row r="21864" ht="14.25" customHeight="1" s="192">
      <c r="W21864" s="235" t="n"/>
      <c r="X21864" s="235" t="n"/>
    </row>
    <row r="21865" ht="14.25" customHeight="1" s="192">
      <c r="W21865" s="235" t="n"/>
      <c r="X21865" s="235" t="n"/>
    </row>
    <row r="21866" ht="14.25" customHeight="1" s="192">
      <c r="W21866" s="239" t="n"/>
      <c r="X21866" s="239" t="n"/>
    </row>
    <row r="21867" ht="14.25" customHeight="1" s="192">
      <c r="W21867" s="235" t="n"/>
      <c r="X21867" s="235" t="n"/>
    </row>
    <row r="21868" ht="14.25" customHeight="1" s="192">
      <c r="W21868" s="239" t="n"/>
      <c r="X21868" s="239" t="n"/>
    </row>
    <row r="21870" ht="14.25" customHeight="1" s="192">
      <c r="W21870" s="235" t="n"/>
      <c r="X21870" s="235" t="n"/>
    </row>
    <row r="21871" ht="15" customHeight="1" s="192" thickBot="1">
      <c r="W21871" s="239" t="n"/>
      <c r="X21871" s="239" t="n"/>
    </row>
    <row r="21872" ht="15" customHeight="1" s="192" thickBot="1">
      <c r="W21872" s="45" t="n"/>
      <c r="X21872" s="45" t="n"/>
    </row>
    <row r="21873" ht="14.25" customHeight="1" s="192">
      <c r="W21873" s="228" t="n"/>
      <c r="X21873" s="228" t="n"/>
    </row>
    <row r="21874" ht="14.25" customHeight="1" s="192">
      <c r="W21874" s="228" t="n"/>
      <c r="X21874" s="228" t="n"/>
    </row>
    <row r="21875" ht="14.25" customHeight="1" s="192">
      <c r="W21875" s="231" t="n"/>
      <c r="X21875" s="231" t="n"/>
    </row>
    <row r="21876" ht="14.25" customHeight="1" s="192">
      <c r="W21876" s="33" t="n"/>
      <c r="X21876" s="33" t="n"/>
    </row>
    <row r="21877" ht="14.25" customHeight="1" s="192">
      <c r="W21877" s="231" t="n"/>
      <c r="X21877" s="231" t="n"/>
    </row>
    <row r="21878" ht="14.25" customHeight="1" s="192">
      <c r="W21878" s="33" t="n"/>
      <c r="X21878" s="33" t="n"/>
    </row>
    <row r="21880" ht="14.25" customHeight="1" s="192">
      <c r="W21880" s="231" t="n"/>
      <c r="X21880" s="231" t="n"/>
    </row>
    <row r="21881" ht="14.25" customHeight="1" s="192">
      <c r="W21881" s="235" t="n"/>
      <c r="X21881" s="235" t="n"/>
    </row>
    <row r="21882" ht="14.25" customHeight="1" s="192">
      <c r="W21882" s="228" t="n"/>
      <c r="X21882" s="228" t="n"/>
    </row>
    <row r="21883" ht="14.25" customHeight="1" s="192">
      <c r="W21883" s="235" t="n"/>
      <c r="X21883" s="235" t="n"/>
    </row>
    <row r="21884" ht="14.25" customHeight="1" s="192">
      <c r="W21884" s="235" t="n"/>
      <c r="X21884" s="235" t="n"/>
    </row>
    <row r="21885" ht="14.25" customHeight="1" s="192">
      <c r="W21885" s="235" t="n"/>
      <c r="X21885" s="235" t="n"/>
    </row>
    <row r="21886" ht="14.25" customHeight="1" s="192">
      <c r="W21886" s="239" t="n"/>
      <c r="X21886" s="239" t="n"/>
    </row>
    <row r="21887" ht="14.25" customHeight="1" s="192">
      <c r="W21887" s="239" t="n"/>
      <c r="X21887" s="239" t="n"/>
    </row>
    <row r="21888" ht="14.25" customHeight="1" s="192">
      <c r="W21888" s="239" t="n"/>
      <c r="X21888" s="239" t="n"/>
    </row>
    <row r="21889" ht="14.25" customHeight="1" s="192">
      <c r="W21889" s="235" t="n"/>
      <c r="X21889" s="235" t="n"/>
    </row>
    <row r="21890" ht="14.25" customHeight="1" s="192">
      <c r="W21890" s="235" t="n"/>
      <c r="X21890" s="235" t="n"/>
    </row>
    <row r="21891" ht="14.25" customHeight="1" s="192">
      <c r="W21891" s="235" t="n"/>
      <c r="X21891" s="235" t="n"/>
    </row>
    <row r="21892" ht="14.25" customHeight="1" s="192">
      <c r="W21892" s="239" t="n"/>
      <c r="X21892" s="239" t="n"/>
    </row>
    <row r="21893" ht="14.25" customHeight="1" s="192">
      <c r="W21893" s="239" t="n"/>
      <c r="X21893" s="239" t="n"/>
    </row>
    <row r="21894" ht="14.25" customHeight="1" s="192">
      <c r="W21894" s="235" t="n"/>
      <c r="X21894" s="235" t="n"/>
    </row>
    <row r="21895" ht="14.25" customHeight="1" s="192">
      <c r="W21895" s="235" t="n"/>
      <c r="X21895" s="235" t="n"/>
    </row>
    <row r="21896" ht="14.25" customHeight="1" s="192">
      <c r="W21896" s="239" t="n"/>
      <c r="X21896" s="239" t="n"/>
    </row>
    <row r="21897" ht="14.25" customHeight="1" s="192">
      <c r="W21897" s="235" t="n"/>
      <c r="X21897" s="235" t="n"/>
    </row>
    <row r="21898" ht="14.25" customHeight="1" s="192">
      <c r="W21898" s="239" t="n"/>
      <c r="X21898" s="239" t="n"/>
    </row>
    <row r="21900" ht="14.25" customHeight="1" s="192">
      <c r="W21900" s="235" t="n"/>
      <c r="X21900" s="235" t="n"/>
    </row>
    <row r="21901" ht="15" customHeight="1" s="192" thickBot="1">
      <c r="W21901" s="239" t="n"/>
      <c r="X21901" s="239" t="n"/>
    </row>
    <row r="21902" ht="15" customHeight="1" s="192" thickBot="1">
      <c r="W21902" s="45" t="n"/>
      <c r="X21902" s="45" t="n"/>
    </row>
    <row r="21903" ht="14.25" customHeight="1" s="192">
      <c r="W21903" s="228" t="n"/>
      <c r="X21903" s="228" t="n"/>
    </row>
    <row r="21904" ht="14.25" customHeight="1" s="192">
      <c r="W21904" s="228" t="n"/>
      <c r="X21904" s="228" t="n"/>
    </row>
    <row r="21905" ht="14.25" customHeight="1" s="192">
      <c r="W21905" s="231" t="n"/>
      <c r="X21905" s="231" t="n"/>
    </row>
    <row r="21906" ht="14.25" customHeight="1" s="192">
      <c r="W21906" s="33" t="n"/>
      <c r="X21906" s="33" t="n"/>
    </row>
    <row r="21907" ht="14.25" customHeight="1" s="192">
      <c r="W21907" s="231" t="n"/>
      <c r="X21907" s="231" t="n"/>
    </row>
    <row r="21908" ht="14.25" customHeight="1" s="192">
      <c r="W21908" s="33" t="n"/>
      <c r="X21908" s="33" t="n"/>
    </row>
    <row r="21910" ht="14.25" customHeight="1" s="192">
      <c r="W21910" s="231" t="n"/>
      <c r="X21910" s="231" t="n"/>
    </row>
    <row r="21911" ht="14.25" customHeight="1" s="192">
      <c r="W21911" s="235" t="n"/>
      <c r="X21911" s="235" t="n"/>
    </row>
    <row r="21912" ht="14.25" customHeight="1" s="192">
      <c r="W21912" s="228" t="n"/>
      <c r="X21912" s="228" t="n"/>
    </row>
    <row r="21913" ht="14.25" customHeight="1" s="192">
      <c r="W21913" s="235" t="n"/>
      <c r="X21913" s="235" t="n"/>
    </row>
    <row r="21914" ht="14.25" customHeight="1" s="192">
      <c r="W21914" s="235" t="n"/>
      <c r="X21914" s="235" t="n"/>
    </row>
    <row r="21915" ht="14.25" customHeight="1" s="192">
      <c r="W21915" s="235" t="n"/>
      <c r="X21915" s="235" t="n"/>
    </row>
    <row r="21916" ht="14.25" customHeight="1" s="192">
      <c r="W21916" s="239" t="n"/>
      <c r="X21916" s="239" t="n"/>
    </row>
    <row r="21917" ht="14.25" customHeight="1" s="192">
      <c r="W21917" s="239" t="n"/>
      <c r="X21917" s="239" t="n"/>
    </row>
    <row r="21918" ht="14.25" customHeight="1" s="192">
      <c r="W21918" s="239" t="n"/>
      <c r="X21918" s="239" t="n"/>
    </row>
    <row r="21919" ht="14.25" customHeight="1" s="192">
      <c r="W21919" s="235" t="n"/>
      <c r="X21919" s="235" t="n"/>
    </row>
    <row r="21920" ht="14.25" customHeight="1" s="192">
      <c r="W21920" s="235" t="n"/>
      <c r="X21920" s="235" t="n"/>
    </row>
    <row r="21921" ht="14.25" customHeight="1" s="192">
      <c r="W21921" s="235" t="n"/>
      <c r="X21921" s="235" t="n"/>
    </row>
    <row r="21922" ht="14.25" customHeight="1" s="192">
      <c r="W21922" s="239" t="n"/>
      <c r="X21922" s="239" t="n"/>
    </row>
    <row r="21923" ht="14.25" customHeight="1" s="192">
      <c r="W21923" s="239" t="n"/>
      <c r="X21923" s="239" t="n"/>
    </row>
    <row r="21924" ht="14.25" customHeight="1" s="192">
      <c r="W21924" s="235" t="n"/>
      <c r="X21924" s="235" t="n"/>
    </row>
    <row r="21925" ht="14.25" customHeight="1" s="192">
      <c r="W21925" s="235" t="n"/>
      <c r="X21925" s="235" t="n"/>
    </row>
    <row r="21926" ht="14.25" customHeight="1" s="192">
      <c r="W21926" s="239" t="n"/>
      <c r="X21926" s="239" t="n"/>
    </row>
    <row r="21927" ht="14.25" customHeight="1" s="192">
      <c r="W21927" s="235" t="n"/>
      <c r="X21927" s="235" t="n"/>
    </row>
    <row r="21928" ht="14.25" customHeight="1" s="192">
      <c r="W21928" s="239" t="n"/>
      <c r="X21928" s="239" t="n"/>
    </row>
    <row r="21930" ht="14.25" customHeight="1" s="192">
      <c r="W21930" s="235" t="n"/>
      <c r="X21930" s="235" t="n"/>
    </row>
    <row r="21931" ht="15" customHeight="1" s="192" thickBot="1">
      <c r="W21931" s="239" t="n"/>
      <c r="X21931" s="239" t="n"/>
    </row>
    <row r="21932" ht="15" customHeight="1" s="192" thickBot="1">
      <c r="W21932" s="45" t="n"/>
      <c r="X21932" s="45" t="n"/>
    </row>
    <row r="21933" ht="14.25" customHeight="1" s="192">
      <c r="W21933" s="228" t="n"/>
      <c r="X21933" s="228" t="n"/>
    </row>
    <row r="21934" ht="14.25" customHeight="1" s="192">
      <c r="W21934" s="228" t="n"/>
      <c r="X21934" s="228" t="n"/>
    </row>
    <row r="21935" ht="14.25" customHeight="1" s="192">
      <c r="W21935" s="231" t="n"/>
      <c r="X21935" s="231" t="n"/>
    </row>
    <row r="21936" ht="14.25" customHeight="1" s="192">
      <c r="W21936" s="33" t="n"/>
      <c r="X21936" s="33" t="n"/>
    </row>
    <row r="21937" ht="14.25" customHeight="1" s="192">
      <c r="W21937" s="231" t="n"/>
      <c r="X21937" s="231" t="n"/>
    </row>
    <row r="21938" ht="14.25" customHeight="1" s="192">
      <c r="W21938" s="33" t="n"/>
      <c r="X21938" s="33" t="n"/>
    </row>
    <row r="21940" ht="14.25" customHeight="1" s="192">
      <c r="W21940" s="231" t="n"/>
      <c r="X21940" s="231" t="n"/>
    </row>
    <row r="21941" ht="14.25" customHeight="1" s="192">
      <c r="W21941" s="235" t="n"/>
      <c r="X21941" s="235" t="n"/>
    </row>
    <row r="21942" ht="14.25" customHeight="1" s="192">
      <c r="W21942" s="228" t="n"/>
      <c r="X21942" s="228" t="n"/>
    </row>
    <row r="21943" ht="14.25" customHeight="1" s="192">
      <c r="W21943" s="235" t="n"/>
      <c r="X21943" s="235" t="n"/>
    </row>
    <row r="21944" ht="14.25" customHeight="1" s="192">
      <c r="W21944" s="235" t="n"/>
      <c r="X21944" s="235" t="n"/>
    </row>
    <row r="21945" ht="14.25" customHeight="1" s="192">
      <c r="W21945" s="235" t="n"/>
      <c r="X21945" s="235" t="n"/>
    </row>
    <row r="21946" ht="14.25" customHeight="1" s="192">
      <c r="W21946" s="239" t="n"/>
      <c r="X21946" s="239" t="n"/>
    </row>
    <row r="21947" ht="14.25" customHeight="1" s="192">
      <c r="W21947" s="239" t="n"/>
      <c r="X21947" s="239" t="n"/>
    </row>
    <row r="21948" ht="14.25" customHeight="1" s="192">
      <c r="W21948" s="239" t="n"/>
      <c r="X21948" s="239" t="n"/>
    </row>
    <row r="21949" ht="14.25" customHeight="1" s="192">
      <c r="W21949" s="235" t="n"/>
      <c r="X21949" s="235" t="n"/>
    </row>
    <row r="21950" ht="14.25" customHeight="1" s="192">
      <c r="W21950" s="235" t="n"/>
      <c r="X21950" s="235" t="n"/>
    </row>
    <row r="21951" ht="14.25" customHeight="1" s="192">
      <c r="W21951" s="235" t="n"/>
      <c r="X21951" s="235" t="n"/>
    </row>
    <row r="21952" ht="14.25" customHeight="1" s="192">
      <c r="W21952" s="239" t="n"/>
      <c r="X21952" s="239" t="n"/>
    </row>
    <row r="21953" ht="14.25" customHeight="1" s="192">
      <c r="W21953" s="239" t="n"/>
      <c r="X21953" s="239" t="n"/>
    </row>
    <row r="21954" ht="14.25" customHeight="1" s="192">
      <c r="W21954" s="235" t="n"/>
      <c r="X21954" s="235" t="n"/>
    </row>
    <row r="21955" ht="14.25" customHeight="1" s="192">
      <c r="W21955" s="235" t="n"/>
      <c r="X21955" s="235" t="n"/>
    </row>
    <row r="21956" ht="14.25" customHeight="1" s="192">
      <c r="W21956" s="239" t="n"/>
      <c r="X21956" s="239" t="n"/>
    </row>
    <row r="21957" ht="14.25" customHeight="1" s="192">
      <c r="W21957" s="235" t="n"/>
      <c r="X21957" s="235" t="n"/>
    </row>
    <row r="21958" ht="14.25" customHeight="1" s="192">
      <c r="W21958" s="239" t="n"/>
      <c r="X21958" s="239" t="n"/>
    </row>
    <row r="21960" ht="14.25" customHeight="1" s="192">
      <c r="W21960" s="235" t="n"/>
      <c r="X21960" s="235" t="n"/>
    </row>
    <row r="21961" ht="15" customHeight="1" s="192" thickBot="1">
      <c r="W21961" s="239" t="n"/>
      <c r="X21961" s="239" t="n"/>
    </row>
    <row r="21962" ht="15" customHeight="1" s="192" thickBot="1">
      <c r="W21962" s="45" t="n"/>
      <c r="X21962" s="45" t="n"/>
    </row>
    <row r="21963" ht="14.25" customHeight="1" s="192">
      <c r="W21963" s="228" t="n"/>
      <c r="X21963" s="228" t="n"/>
    </row>
    <row r="21964" ht="14.25" customHeight="1" s="192">
      <c r="W21964" s="228" t="n"/>
      <c r="X21964" s="228" t="n"/>
    </row>
    <row r="21965" ht="14.25" customHeight="1" s="192">
      <c r="W21965" s="231" t="n"/>
      <c r="X21965" s="231" t="n"/>
    </row>
    <row r="21966" ht="14.25" customHeight="1" s="192">
      <c r="W21966" s="33" t="n"/>
      <c r="X21966" s="33" t="n"/>
    </row>
    <row r="21967" ht="14.25" customHeight="1" s="192">
      <c r="W21967" s="231" t="n"/>
      <c r="X21967" s="231" t="n"/>
    </row>
    <row r="21968" ht="14.25" customHeight="1" s="192">
      <c r="W21968" s="33" t="n"/>
      <c r="X21968" s="33" t="n"/>
    </row>
    <row r="21970" ht="14.25" customHeight="1" s="192">
      <c r="W21970" s="231" t="n"/>
      <c r="X21970" s="231" t="n"/>
    </row>
    <row r="21971" ht="14.25" customHeight="1" s="192">
      <c r="W21971" s="235" t="n"/>
      <c r="X21971" s="235" t="n"/>
    </row>
    <row r="21972" ht="14.25" customHeight="1" s="192">
      <c r="W21972" s="228" t="n"/>
      <c r="X21972" s="228" t="n"/>
    </row>
    <row r="21973" ht="14.25" customHeight="1" s="192">
      <c r="W21973" s="235" t="n"/>
      <c r="X21973" s="235" t="n"/>
    </row>
    <row r="21974" ht="14.25" customHeight="1" s="192">
      <c r="W21974" s="235" t="n"/>
      <c r="X21974" s="235" t="n"/>
    </row>
    <row r="21975" ht="14.25" customHeight="1" s="192">
      <c r="W21975" s="235" t="n"/>
      <c r="X21975" s="235" t="n"/>
    </row>
    <row r="21976" ht="14.25" customHeight="1" s="192">
      <c r="W21976" s="239" t="n"/>
      <c r="X21976" s="239" t="n"/>
    </row>
    <row r="21977" ht="14.25" customHeight="1" s="192">
      <c r="W21977" s="239" t="n"/>
      <c r="X21977" s="239" t="n"/>
    </row>
    <row r="21978" ht="14.25" customHeight="1" s="192">
      <c r="W21978" s="239" t="n"/>
      <c r="X21978" s="239" t="n"/>
    </row>
    <row r="21979" ht="14.25" customHeight="1" s="192">
      <c r="W21979" s="235" t="n"/>
      <c r="X21979" s="235" t="n"/>
    </row>
    <row r="21980" ht="14.25" customHeight="1" s="192">
      <c r="W21980" s="235" t="n"/>
      <c r="X21980" s="235" t="n"/>
    </row>
    <row r="21981" ht="14.25" customHeight="1" s="192">
      <c r="W21981" s="235" t="n"/>
      <c r="X21981" s="235" t="n"/>
    </row>
    <row r="21982" ht="14.25" customHeight="1" s="192">
      <c r="W21982" s="239" t="n"/>
      <c r="X21982" s="239" t="n"/>
    </row>
    <row r="21983" ht="14.25" customHeight="1" s="192">
      <c r="W21983" s="239" t="n"/>
      <c r="X21983" s="239" t="n"/>
    </row>
    <row r="21984" ht="14.25" customHeight="1" s="192">
      <c r="W21984" s="235" t="n"/>
      <c r="X21984" s="235" t="n"/>
    </row>
    <row r="21985" ht="14.25" customHeight="1" s="192">
      <c r="W21985" s="235" t="n"/>
      <c r="X21985" s="235" t="n"/>
    </row>
    <row r="21986" ht="14.25" customHeight="1" s="192">
      <c r="W21986" s="239" t="n"/>
      <c r="X21986" s="239" t="n"/>
    </row>
    <row r="21987" ht="14.25" customHeight="1" s="192">
      <c r="W21987" s="235" t="n"/>
      <c r="X21987" s="235" t="n"/>
    </row>
    <row r="21988" ht="14.25" customHeight="1" s="192">
      <c r="W21988" s="239" t="n"/>
      <c r="X21988" s="239" t="n"/>
    </row>
    <row r="21990" ht="14.25" customHeight="1" s="192">
      <c r="W21990" s="235" t="n"/>
      <c r="X21990" s="235" t="n"/>
    </row>
    <row r="21991" ht="15" customHeight="1" s="192" thickBot="1">
      <c r="W21991" s="239" t="n"/>
      <c r="X21991" s="239" t="n"/>
    </row>
    <row r="21992" ht="15" customHeight="1" s="192" thickBot="1">
      <c r="W21992" s="45" t="n"/>
      <c r="X21992" s="45" t="n"/>
    </row>
    <row r="21993" ht="14.25" customHeight="1" s="192">
      <c r="W21993" s="228" t="n"/>
      <c r="X21993" s="228" t="n"/>
    </row>
    <row r="21994" ht="14.25" customHeight="1" s="192">
      <c r="W21994" s="228" t="n"/>
      <c r="X21994" s="228" t="n"/>
    </row>
    <row r="21995" ht="14.25" customHeight="1" s="192">
      <c r="W21995" s="231" t="n"/>
      <c r="X21995" s="231" t="n"/>
    </row>
    <row r="21996" ht="14.25" customHeight="1" s="192">
      <c r="W21996" s="33" t="n"/>
      <c r="X21996" s="33" t="n"/>
    </row>
    <row r="21997" ht="14.25" customHeight="1" s="192">
      <c r="W21997" s="231" t="n"/>
      <c r="X21997" s="231" t="n"/>
    </row>
    <row r="21998" ht="14.25" customHeight="1" s="192">
      <c r="W21998" s="33" t="n"/>
      <c r="X21998" s="33" t="n"/>
    </row>
    <row r="22000" ht="14.25" customHeight="1" s="192">
      <c r="W22000" s="231" t="n"/>
      <c r="X22000" s="231" t="n"/>
    </row>
    <row r="22001" ht="14.25" customHeight="1" s="192">
      <c r="W22001" s="235" t="n"/>
      <c r="X22001" s="235" t="n"/>
    </row>
    <row r="22002" ht="14.25" customHeight="1" s="192">
      <c r="W22002" s="228" t="n"/>
      <c r="X22002" s="228" t="n"/>
    </row>
    <row r="22003" ht="14.25" customHeight="1" s="192">
      <c r="W22003" s="235" t="n"/>
      <c r="X22003" s="235" t="n"/>
    </row>
    <row r="22004" ht="14.25" customHeight="1" s="192">
      <c r="W22004" s="235" t="n"/>
      <c r="X22004" s="235" t="n"/>
    </row>
    <row r="22005" ht="14.25" customHeight="1" s="192">
      <c r="W22005" s="235" t="n"/>
      <c r="X22005" s="235" t="n"/>
    </row>
    <row r="22006" ht="14.25" customHeight="1" s="192">
      <c r="W22006" s="239" t="n"/>
      <c r="X22006" s="239" t="n"/>
    </row>
    <row r="22007" ht="14.25" customHeight="1" s="192">
      <c r="W22007" s="239" t="n"/>
      <c r="X22007" s="239" t="n"/>
    </row>
    <row r="22008" ht="14.25" customHeight="1" s="192">
      <c r="W22008" s="239" t="n"/>
      <c r="X22008" s="239" t="n"/>
    </row>
    <row r="22009" ht="14.25" customHeight="1" s="192">
      <c r="W22009" s="235" t="n"/>
      <c r="X22009" s="235" t="n"/>
    </row>
    <row r="22010" ht="14.25" customHeight="1" s="192">
      <c r="W22010" s="235" t="n"/>
      <c r="X22010" s="235" t="n"/>
    </row>
    <row r="22011" ht="14.25" customHeight="1" s="192">
      <c r="W22011" s="235" t="n"/>
      <c r="X22011" s="235" t="n"/>
    </row>
    <row r="22012" ht="14.25" customHeight="1" s="192">
      <c r="W22012" s="239" t="n"/>
      <c r="X22012" s="239" t="n"/>
    </row>
    <row r="22013" ht="14.25" customHeight="1" s="192">
      <c r="W22013" s="239" t="n"/>
      <c r="X22013" s="239" t="n"/>
    </row>
    <row r="22014" ht="14.25" customHeight="1" s="192">
      <c r="W22014" s="235" t="n"/>
      <c r="X22014" s="235" t="n"/>
    </row>
    <row r="22015" ht="14.25" customHeight="1" s="192">
      <c r="W22015" s="235" t="n"/>
      <c r="X22015" s="235" t="n"/>
    </row>
    <row r="22016" ht="14.25" customHeight="1" s="192">
      <c r="W22016" s="239" t="n"/>
      <c r="X22016" s="239" t="n"/>
    </row>
    <row r="22017" ht="14.25" customHeight="1" s="192">
      <c r="W22017" s="235" t="n"/>
      <c r="X22017" s="235" t="n"/>
    </row>
    <row r="22018" ht="14.25" customHeight="1" s="192">
      <c r="W22018" s="239" t="n"/>
      <c r="X22018" s="239" t="n"/>
    </row>
    <row r="22020" ht="14.25" customHeight="1" s="192">
      <c r="W22020" s="235" t="n"/>
      <c r="X22020" s="235" t="n"/>
    </row>
    <row r="22021" ht="15" customHeight="1" s="192" thickBot="1">
      <c r="W22021" s="239" t="n"/>
      <c r="X22021" s="239" t="n"/>
    </row>
    <row r="22022" ht="15" customHeight="1" s="192" thickBot="1">
      <c r="W22022" s="45" t="n"/>
      <c r="X22022" s="45" t="n"/>
    </row>
    <row r="22023" ht="14.25" customHeight="1" s="192">
      <c r="W22023" s="228" t="n"/>
      <c r="X22023" s="228" t="n"/>
    </row>
    <row r="22024" ht="14.25" customHeight="1" s="192">
      <c r="W22024" s="228" t="n"/>
      <c r="X22024" s="228" t="n"/>
    </row>
    <row r="22025" ht="14.25" customHeight="1" s="192">
      <c r="W22025" s="231" t="n"/>
      <c r="X22025" s="231" t="n"/>
    </row>
    <row r="22026" ht="14.25" customHeight="1" s="192">
      <c r="W22026" s="33" t="n"/>
      <c r="X22026" s="33" t="n"/>
    </row>
    <row r="22027" ht="14.25" customHeight="1" s="192">
      <c r="W22027" s="231" t="n"/>
      <c r="X22027" s="231" t="n"/>
    </row>
    <row r="22028" ht="14.25" customHeight="1" s="192">
      <c r="W22028" s="33" t="n"/>
      <c r="X22028" s="33" t="n"/>
    </row>
    <row r="22030" ht="14.25" customHeight="1" s="192">
      <c r="W22030" s="231" t="n"/>
      <c r="X22030" s="231" t="n"/>
    </row>
    <row r="22031" ht="14.25" customHeight="1" s="192">
      <c r="W22031" s="235" t="n"/>
      <c r="X22031" s="235" t="n"/>
    </row>
    <row r="22032" ht="14.25" customHeight="1" s="192">
      <c r="W22032" s="228" t="n"/>
      <c r="X22032" s="228" t="n"/>
    </row>
    <row r="22033" ht="14.25" customHeight="1" s="192">
      <c r="W22033" s="235" t="n"/>
      <c r="X22033" s="235" t="n"/>
    </row>
    <row r="22034" ht="14.25" customHeight="1" s="192">
      <c r="W22034" s="235" t="n"/>
      <c r="X22034" s="235" t="n"/>
    </row>
    <row r="22035" ht="14.25" customHeight="1" s="192">
      <c r="W22035" s="235" t="n"/>
      <c r="X22035" s="235" t="n"/>
    </row>
    <row r="22036" ht="14.25" customHeight="1" s="192">
      <c r="W22036" s="239" t="n"/>
      <c r="X22036" s="239" t="n"/>
    </row>
    <row r="22037" ht="14.25" customHeight="1" s="192">
      <c r="W22037" s="239" t="n"/>
      <c r="X22037" s="239" t="n"/>
    </row>
    <row r="22038" ht="14.25" customHeight="1" s="192">
      <c r="W22038" s="239" t="n"/>
      <c r="X22038" s="239" t="n"/>
    </row>
    <row r="22039" ht="14.25" customHeight="1" s="192">
      <c r="W22039" s="235" t="n"/>
      <c r="X22039" s="235" t="n"/>
    </row>
    <row r="22040" ht="14.25" customHeight="1" s="192">
      <c r="W22040" s="235" t="n"/>
      <c r="X22040" s="235" t="n"/>
    </row>
    <row r="22041" ht="14.25" customHeight="1" s="192">
      <c r="W22041" s="235" t="n"/>
      <c r="X22041" s="235" t="n"/>
    </row>
    <row r="22042" ht="14.25" customHeight="1" s="192">
      <c r="W22042" s="239" t="n"/>
      <c r="X22042" s="239" t="n"/>
    </row>
    <row r="22043" ht="14.25" customHeight="1" s="192">
      <c r="W22043" s="239" t="n"/>
      <c r="X22043" s="239" t="n"/>
    </row>
    <row r="22044" ht="14.25" customHeight="1" s="192">
      <c r="W22044" s="235" t="n"/>
      <c r="X22044" s="235" t="n"/>
    </row>
    <row r="22045" ht="14.25" customHeight="1" s="192">
      <c r="W22045" s="235" t="n"/>
      <c r="X22045" s="235" t="n"/>
    </row>
    <row r="22046" ht="14.25" customHeight="1" s="192">
      <c r="W22046" s="239" t="n"/>
      <c r="X22046" s="239" t="n"/>
    </row>
    <row r="22047" ht="14.25" customHeight="1" s="192">
      <c r="W22047" s="235" t="n"/>
      <c r="X22047" s="235" t="n"/>
    </row>
    <row r="22048" ht="14.25" customHeight="1" s="192">
      <c r="W22048" s="239" t="n"/>
      <c r="X22048" s="239" t="n"/>
    </row>
    <row r="22050" ht="14.25" customHeight="1" s="192">
      <c r="W22050" s="235" t="n"/>
      <c r="X22050" s="235" t="n"/>
    </row>
    <row r="22051" ht="15" customHeight="1" s="192" thickBot="1">
      <c r="W22051" s="239" t="n"/>
      <c r="X22051" s="239" t="n"/>
    </row>
    <row r="22052" ht="15" customHeight="1" s="192" thickBot="1">
      <c r="W22052" s="45" t="n"/>
      <c r="X22052" s="45" t="n"/>
    </row>
    <row r="22053" ht="14.25" customHeight="1" s="192">
      <c r="W22053" s="228" t="n"/>
      <c r="X22053" s="228" t="n"/>
    </row>
    <row r="22054" ht="14.25" customHeight="1" s="192">
      <c r="W22054" s="228" t="n"/>
      <c r="X22054" s="228" t="n"/>
    </row>
    <row r="22055" ht="14.25" customHeight="1" s="192">
      <c r="W22055" s="231" t="n"/>
      <c r="X22055" s="231" t="n"/>
    </row>
    <row r="22056" ht="14.25" customHeight="1" s="192">
      <c r="W22056" s="33" t="n"/>
      <c r="X22056" s="33" t="n"/>
    </row>
    <row r="22057" ht="14.25" customHeight="1" s="192">
      <c r="W22057" s="231" t="n"/>
      <c r="X22057" s="231" t="n"/>
    </row>
    <row r="22058" ht="14.25" customHeight="1" s="192">
      <c r="W22058" s="33" t="n"/>
      <c r="X22058" s="33" t="n"/>
    </row>
    <row r="22060" ht="14.25" customHeight="1" s="192">
      <c r="W22060" s="231" t="n"/>
      <c r="X22060" s="231" t="n"/>
    </row>
    <row r="22061" ht="14.25" customHeight="1" s="192">
      <c r="W22061" s="235" t="n"/>
      <c r="X22061" s="235" t="n"/>
    </row>
    <row r="22062" ht="14.25" customHeight="1" s="192">
      <c r="W22062" s="228" t="n"/>
      <c r="X22062" s="228" t="n"/>
    </row>
    <row r="22063" ht="14.25" customHeight="1" s="192">
      <c r="W22063" s="235" t="n"/>
      <c r="X22063" s="235" t="n"/>
    </row>
    <row r="22064" ht="14.25" customHeight="1" s="192">
      <c r="W22064" s="235" t="n"/>
      <c r="X22064" s="235" t="n"/>
    </row>
    <row r="22065" ht="14.25" customHeight="1" s="192">
      <c r="W22065" s="235" t="n"/>
      <c r="X22065" s="235" t="n"/>
    </row>
    <row r="22066" ht="14.25" customHeight="1" s="192">
      <c r="W22066" s="239" t="n"/>
      <c r="X22066" s="239" t="n"/>
    </row>
    <row r="22067" ht="14.25" customHeight="1" s="192">
      <c r="W22067" s="239" t="n"/>
      <c r="X22067" s="239" t="n"/>
    </row>
    <row r="22068" ht="14.25" customHeight="1" s="192">
      <c r="W22068" s="239" t="n"/>
      <c r="X22068" s="239" t="n"/>
    </row>
    <row r="22069" ht="14.25" customHeight="1" s="192">
      <c r="W22069" s="235" t="n"/>
      <c r="X22069" s="235" t="n"/>
    </row>
    <row r="22070" ht="14.25" customHeight="1" s="192">
      <c r="W22070" s="235" t="n"/>
      <c r="X22070" s="235" t="n"/>
    </row>
    <row r="22071" ht="14.25" customHeight="1" s="192">
      <c r="W22071" s="235" t="n"/>
      <c r="X22071" s="235" t="n"/>
    </row>
    <row r="22072" ht="14.25" customHeight="1" s="192">
      <c r="W22072" s="239" t="n"/>
      <c r="X22072" s="239" t="n"/>
    </row>
    <row r="22073" ht="14.25" customHeight="1" s="192">
      <c r="W22073" s="239" t="n"/>
      <c r="X22073" s="239" t="n"/>
    </row>
    <row r="22074" ht="14.25" customHeight="1" s="192">
      <c r="W22074" s="235" t="n"/>
      <c r="X22074" s="235" t="n"/>
    </row>
    <row r="22075" ht="14.25" customHeight="1" s="192">
      <c r="W22075" s="235" t="n"/>
      <c r="X22075" s="235" t="n"/>
    </row>
    <row r="22076" ht="14.25" customHeight="1" s="192">
      <c r="W22076" s="239" t="n"/>
      <c r="X22076" s="239" t="n"/>
    </row>
    <row r="22077" ht="14.25" customHeight="1" s="192">
      <c r="W22077" s="235" t="n"/>
      <c r="X22077" s="235" t="n"/>
    </row>
    <row r="22078" ht="14.25" customHeight="1" s="192">
      <c r="W22078" s="239" t="n"/>
      <c r="X22078" s="239" t="n"/>
    </row>
    <row r="22080" ht="14.25" customHeight="1" s="192">
      <c r="W22080" s="235" t="n"/>
      <c r="X22080" s="235" t="n"/>
    </row>
    <row r="22081" ht="15" customHeight="1" s="192" thickBot="1">
      <c r="W22081" s="239" t="n"/>
      <c r="X22081" s="239" t="n"/>
    </row>
    <row r="22082" ht="15" customHeight="1" s="192" thickBot="1">
      <c r="W22082" s="45" t="n"/>
      <c r="X22082" s="45" t="n"/>
    </row>
    <row r="22083" ht="14.25" customHeight="1" s="192">
      <c r="W22083" s="228" t="n"/>
      <c r="X22083" s="228" t="n"/>
    </row>
    <row r="22084" ht="14.25" customHeight="1" s="192">
      <c r="W22084" s="228" t="n"/>
      <c r="X22084" s="228" t="n"/>
    </row>
    <row r="22085" ht="14.25" customHeight="1" s="192">
      <c r="W22085" s="231" t="n"/>
      <c r="X22085" s="231" t="n"/>
    </row>
    <row r="22086" ht="14.25" customHeight="1" s="192">
      <c r="W22086" s="33" t="n"/>
      <c r="X22086" s="33" t="n"/>
    </row>
    <row r="22087" ht="14.25" customHeight="1" s="192">
      <c r="W22087" s="231" t="n"/>
      <c r="X22087" s="231" t="n"/>
    </row>
    <row r="22088" ht="14.25" customHeight="1" s="192">
      <c r="W22088" s="33" t="n"/>
      <c r="X22088" s="33" t="n"/>
    </row>
    <row r="22090" ht="14.25" customHeight="1" s="192">
      <c r="W22090" s="231" t="n"/>
      <c r="X22090" s="231" t="n"/>
    </row>
    <row r="22091" ht="14.25" customHeight="1" s="192">
      <c r="W22091" s="235" t="n"/>
      <c r="X22091" s="235" t="n"/>
    </row>
    <row r="22092" ht="14.25" customHeight="1" s="192">
      <c r="W22092" s="228" t="n"/>
      <c r="X22092" s="228" t="n"/>
    </row>
    <row r="22093" ht="14.25" customHeight="1" s="192">
      <c r="W22093" s="235" t="n"/>
      <c r="X22093" s="235" t="n"/>
    </row>
    <row r="22094" ht="14.25" customHeight="1" s="192">
      <c r="W22094" s="235" t="n"/>
      <c r="X22094" s="235" t="n"/>
    </row>
    <row r="22095" ht="14.25" customHeight="1" s="192">
      <c r="W22095" s="235" t="n"/>
      <c r="X22095" s="235" t="n"/>
    </row>
    <row r="22096" ht="14.25" customHeight="1" s="192">
      <c r="W22096" s="239" t="n"/>
      <c r="X22096" s="239" t="n"/>
    </row>
    <row r="22097" ht="14.25" customHeight="1" s="192">
      <c r="W22097" s="239" t="n"/>
      <c r="X22097" s="239" t="n"/>
    </row>
    <row r="22098" ht="14.25" customHeight="1" s="192">
      <c r="W22098" s="239" t="n"/>
      <c r="X22098" s="239" t="n"/>
    </row>
    <row r="22099" ht="14.25" customHeight="1" s="192">
      <c r="W22099" s="235" t="n"/>
      <c r="X22099" s="235" t="n"/>
    </row>
    <row r="22100" ht="14.25" customHeight="1" s="192">
      <c r="W22100" s="235" t="n"/>
      <c r="X22100" s="235" t="n"/>
    </row>
    <row r="22101" ht="14.25" customHeight="1" s="192">
      <c r="W22101" s="235" t="n"/>
      <c r="X22101" s="235" t="n"/>
    </row>
    <row r="22102" ht="14.25" customHeight="1" s="192">
      <c r="W22102" s="239" t="n"/>
      <c r="X22102" s="239" t="n"/>
    </row>
    <row r="22103" ht="14.25" customHeight="1" s="192">
      <c r="W22103" s="239" t="n"/>
      <c r="X22103" s="239" t="n"/>
    </row>
    <row r="22104" ht="14.25" customHeight="1" s="192">
      <c r="W22104" s="235" t="n"/>
      <c r="X22104" s="235" t="n"/>
    </row>
    <row r="22105" ht="14.25" customHeight="1" s="192">
      <c r="W22105" s="235" t="n"/>
      <c r="X22105" s="235" t="n"/>
    </row>
    <row r="22106" ht="14.25" customHeight="1" s="192">
      <c r="W22106" s="239" t="n"/>
      <c r="X22106" s="239" t="n"/>
    </row>
    <row r="22107" ht="14.25" customHeight="1" s="192">
      <c r="W22107" s="235" t="n"/>
      <c r="X22107" s="235" t="n"/>
    </row>
    <row r="22108" ht="14.25" customHeight="1" s="192">
      <c r="W22108" s="239" t="n"/>
      <c r="X22108" s="239" t="n"/>
    </row>
    <row r="22110" ht="14.25" customHeight="1" s="192">
      <c r="W22110" s="235" t="n"/>
      <c r="X22110" s="235" t="n"/>
    </row>
    <row r="22111" ht="15" customHeight="1" s="192" thickBot="1">
      <c r="W22111" s="239" t="n"/>
      <c r="X22111" s="239" t="n"/>
    </row>
    <row r="22112" ht="15" customHeight="1" s="192" thickBot="1">
      <c r="W22112" s="45" t="n"/>
      <c r="X22112" s="45" t="n"/>
    </row>
    <row r="22113" ht="14.25" customHeight="1" s="192">
      <c r="W22113" s="228" t="n"/>
      <c r="X22113" s="228" t="n"/>
    </row>
    <row r="22114" ht="14.25" customHeight="1" s="192">
      <c r="W22114" s="228" t="n"/>
      <c r="X22114" s="228" t="n"/>
    </row>
    <row r="22115" ht="14.25" customHeight="1" s="192">
      <c r="W22115" s="231" t="n"/>
      <c r="X22115" s="231" t="n"/>
    </row>
    <row r="22116" ht="14.25" customHeight="1" s="192">
      <c r="W22116" s="33" t="n"/>
      <c r="X22116" s="33" t="n"/>
    </row>
    <row r="22117" ht="14.25" customHeight="1" s="192">
      <c r="W22117" s="231" t="n"/>
      <c r="X22117" s="231" t="n"/>
    </row>
    <row r="22118" ht="14.25" customHeight="1" s="192">
      <c r="W22118" s="33" t="n"/>
      <c r="X22118" s="33" t="n"/>
    </row>
    <row r="22120" ht="14.25" customHeight="1" s="192">
      <c r="W22120" s="231" t="n"/>
      <c r="X22120" s="231" t="n"/>
    </row>
    <row r="22121" ht="14.25" customHeight="1" s="192">
      <c r="W22121" s="235" t="n"/>
      <c r="X22121" s="235" t="n"/>
    </row>
    <row r="22122" ht="14.25" customHeight="1" s="192">
      <c r="W22122" s="228" t="n"/>
      <c r="X22122" s="228" t="n"/>
    </row>
    <row r="22123" ht="14.25" customHeight="1" s="192">
      <c r="W22123" s="235" t="n"/>
      <c r="X22123" s="235" t="n"/>
    </row>
    <row r="22124" ht="14.25" customHeight="1" s="192">
      <c r="W22124" s="235" t="n"/>
      <c r="X22124" s="235" t="n"/>
    </row>
    <row r="22125" ht="14.25" customHeight="1" s="192">
      <c r="W22125" s="235" t="n"/>
      <c r="X22125" s="235" t="n"/>
    </row>
    <row r="22126" ht="14.25" customHeight="1" s="192">
      <c r="W22126" s="239" t="n"/>
      <c r="X22126" s="239" t="n"/>
    </row>
    <row r="22127" ht="14.25" customHeight="1" s="192">
      <c r="W22127" s="239" t="n"/>
      <c r="X22127" s="239" t="n"/>
    </row>
    <row r="22128" ht="14.25" customHeight="1" s="192">
      <c r="W22128" s="239" t="n"/>
      <c r="X22128" s="239" t="n"/>
    </row>
    <row r="22129" ht="14.25" customHeight="1" s="192">
      <c r="W22129" s="235" t="n"/>
      <c r="X22129" s="235" t="n"/>
    </row>
    <row r="22130" ht="14.25" customHeight="1" s="192">
      <c r="W22130" s="235" t="n"/>
      <c r="X22130" s="235" t="n"/>
    </row>
    <row r="22131" ht="14.25" customHeight="1" s="192">
      <c r="W22131" s="235" t="n"/>
      <c r="X22131" s="235" t="n"/>
    </row>
    <row r="22132" ht="14.25" customHeight="1" s="192">
      <c r="W22132" s="239" t="n"/>
      <c r="X22132" s="239" t="n"/>
    </row>
    <row r="22133" ht="14.25" customHeight="1" s="192">
      <c r="W22133" s="239" t="n"/>
      <c r="X22133" s="239" t="n"/>
    </row>
    <row r="22134" ht="14.25" customHeight="1" s="192">
      <c r="W22134" s="235" t="n"/>
      <c r="X22134" s="235" t="n"/>
    </row>
    <row r="22135" ht="14.25" customHeight="1" s="192">
      <c r="W22135" s="235" t="n"/>
      <c r="X22135" s="235" t="n"/>
    </row>
    <row r="22136" ht="14.25" customHeight="1" s="192">
      <c r="W22136" s="239" t="n"/>
      <c r="X22136" s="239" t="n"/>
    </row>
    <row r="22137" ht="14.25" customHeight="1" s="192">
      <c r="W22137" s="235" t="n"/>
      <c r="X22137" s="235" t="n"/>
    </row>
    <row r="22138" ht="14.25" customHeight="1" s="192">
      <c r="W22138" s="239" t="n"/>
      <c r="X22138" s="239" t="n"/>
    </row>
    <row r="22140" ht="14.25" customHeight="1" s="192">
      <c r="W22140" s="235" t="n"/>
      <c r="X22140" s="235" t="n"/>
    </row>
    <row r="22141" ht="15" customHeight="1" s="192" thickBot="1">
      <c r="W22141" s="239" t="n"/>
      <c r="X22141" s="239" t="n"/>
    </row>
    <row r="22142" ht="15" customHeight="1" s="192" thickBot="1">
      <c r="W22142" s="45" t="n"/>
      <c r="X22142" s="45" t="n"/>
    </row>
    <row r="22143" ht="14.25" customHeight="1" s="192">
      <c r="W22143" s="228" t="n"/>
      <c r="X22143" s="228" t="n"/>
    </row>
    <row r="22144" ht="14.25" customHeight="1" s="192">
      <c r="W22144" s="228" t="n"/>
      <c r="X22144" s="228" t="n"/>
    </row>
    <row r="22145" ht="14.25" customHeight="1" s="192">
      <c r="W22145" s="231" t="n"/>
      <c r="X22145" s="231" t="n"/>
    </row>
    <row r="22146" ht="14.25" customHeight="1" s="192">
      <c r="W22146" s="33" t="n"/>
      <c r="X22146" s="33" t="n"/>
    </row>
    <row r="22147" ht="14.25" customHeight="1" s="192">
      <c r="W22147" s="231" t="n"/>
      <c r="X22147" s="231" t="n"/>
    </row>
    <row r="22148" ht="14.25" customHeight="1" s="192">
      <c r="W22148" s="33" t="n"/>
      <c r="X22148" s="33" t="n"/>
    </row>
    <row r="22150" ht="14.25" customHeight="1" s="192">
      <c r="W22150" s="231" t="n"/>
      <c r="X22150" s="231" t="n"/>
    </row>
    <row r="22151" ht="14.25" customHeight="1" s="192">
      <c r="W22151" s="235" t="n"/>
      <c r="X22151" s="235" t="n"/>
    </row>
    <row r="22152" ht="14.25" customHeight="1" s="192">
      <c r="W22152" s="228" t="n"/>
      <c r="X22152" s="228" t="n"/>
    </row>
    <row r="22153" ht="14.25" customHeight="1" s="192">
      <c r="W22153" s="235" t="n"/>
      <c r="X22153" s="235" t="n"/>
    </row>
    <row r="22154" ht="14.25" customHeight="1" s="192">
      <c r="W22154" s="235" t="n"/>
      <c r="X22154" s="235" t="n"/>
    </row>
    <row r="22155" ht="14.25" customHeight="1" s="192">
      <c r="W22155" s="235" t="n"/>
      <c r="X22155" s="235" t="n"/>
    </row>
    <row r="22156" ht="14.25" customHeight="1" s="192">
      <c r="W22156" s="239" t="n"/>
      <c r="X22156" s="239" t="n"/>
    </row>
    <row r="22157" ht="14.25" customHeight="1" s="192">
      <c r="W22157" s="239" t="n"/>
      <c r="X22157" s="239" t="n"/>
    </row>
    <row r="22158" ht="14.25" customHeight="1" s="192">
      <c r="W22158" s="239" t="n"/>
      <c r="X22158" s="239" t="n"/>
    </row>
    <row r="22159" ht="14.25" customHeight="1" s="192">
      <c r="W22159" s="235" t="n"/>
      <c r="X22159" s="235" t="n"/>
    </row>
    <row r="22160" ht="14.25" customHeight="1" s="192">
      <c r="W22160" s="235" t="n"/>
      <c r="X22160" s="235" t="n"/>
    </row>
    <row r="22161" ht="14.25" customHeight="1" s="192">
      <c r="W22161" s="235" t="n"/>
      <c r="X22161" s="235" t="n"/>
    </row>
    <row r="22162" ht="14.25" customHeight="1" s="192">
      <c r="W22162" s="239" t="n"/>
      <c r="X22162" s="239" t="n"/>
    </row>
    <row r="22163" ht="14.25" customHeight="1" s="192">
      <c r="W22163" s="239" t="n"/>
      <c r="X22163" s="239" t="n"/>
    </row>
    <row r="22164" ht="14.25" customHeight="1" s="192">
      <c r="W22164" s="235" t="n"/>
      <c r="X22164" s="235" t="n"/>
    </row>
    <row r="22165" ht="14.25" customHeight="1" s="192">
      <c r="W22165" s="235" t="n"/>
      <c r="X22165" s="235" t="n"/>
    </row>
    <row r="22166" ht="14.25" customHeight="1" s="192">
      <c r="W22166" s="239" t="n"/>
      <c r="X22166" s="239" t="n"/>
    </row>
    <row r="22167" ht="14.25" customHeight="1" s="192">
      <c r="W22167" s="235" t="n"/>
      <c r="X22167" s="235" t="n"/>
    </row>
    <row r="22168" ht="14.25" customHeight="1" s="192">
      <c r="W22168" s="239" t="n"/>
      <c r="X22168" s="239" t="n"/>
    </row>
    <row r="22170" ht="14.25" customHeight="1" s="192">
      <c r="W22170" s="235" t="n"/>
      <c r="X22170" s="235" t="n"/>
    </row>
    <row r="22171" ht="15" customHeight="1" s="192" thickBot="1">
      <c r="W22171" s="239" t="n"/>
      <c r="X22171" s="239" t="n"/>
    </row>
    <row r="22172" ht="15" customHeight="1" s="192" thickBot="1">
      <c r="W22172" s="45" t="n"/>
      <c r="X22172" s="45" t="n"/>
    </row>
    <row r="22173" ht="14.25" customHeight="1" s="192">
      <c r="W22173" s="228" t="n"/>
      <c r="X22173" s="228" t="n"/>
    </row>
    <row r="22174" ht="14.25" customHeight="1" s="192">
      <c r="W22174" s="228" t="n"/>
      <c r="X22174" s="228" t="n"/>
    </row>
    <row r="22175" ht="14.25" customHeight="1" s="192">
      <c r="W22175" s="231" t="n"/>
      <c r="X22175" s="231" t="n"/>
    </row>
    <row r="22176" ht="14.25" customHeight="1" s="192">
      <c r="W22176" s="33" t="n"/>
      <c r="X22176" s="33" t="n"/>
    </row>
    <row r="22177" ht="14.25" customHeight="1" s="192">
      <c r="W22177" s="231" t="n"/>
      <c r="X22177" s="231" t="n"/>
    </row>
    <row r="22178" ht="14.25" customHeight="1" s="192">
      <c r="W22178" s="33" t="n"/>
      <c r="X22178" s="33" t="n"/>
    </row>
    <row r="22180" ht="14.25" customHeight="1" s="192">
      <c r="W22180" s="231" t="n"/>
      <c r="X22180" s="231" t="n"/>
    </row>
    <row r="22181" ht="14.25" customHeight="1" s="192">
      <c r="W22181" s="235" t="n"/>
      <c r="X22181" s="235" t="n"/>
    </row>
    <row r="22182" ht="14.25" customHeight="1" s="192">
      <c r="W22182" s="228" t="n"/>
      <c r="X22182" s="228" t="n"/>
    </row>
    <row r="22183" ht="14.25" customHeight="1" s="192">
      <c r="W22183" s="235" t="n"/>
      <c r="X22183" s="235" t="n"/>
    </row>
    <row r="22184" ht="14.25" customHeight="1" s="192">
      <c r="W22184" s="235" t="n"/>
      <c r="X22184" s="235" t="n"/>
    </row>
    <row r="22185" ht="14.25" customHeight="1" s="192">
      <c r="W22185" s="235" t="n"/>
      <c r="X22185" s="235" t="n"/>
    </row>
    <row r="22186" ht="14.25" customHeight="1" s="192">
      <c r="W22186" s="239" t="n"/>
      <c r="X22186" s="239" t="n"/>
    </row>
    <row r="22187" ht="14.25" customHeight="1" s="192">
      <c r="W22187" s="239" t="n"/>
      <c r="X22187" s="239" t="n"/>
    </row>
    <row r="22188" ht="14.25" customHeight="1" s="192">
      <c r="W22188" s="239" t="n"/>
      <c r="X22188" s="239" t="n"/>
    </row>
    <row r="22189" ht="14.25" customHeight="1" s="192">
      <c r="W22189" s="235" t="n"/>
      <c r="X22189" s="235" t="n"/>
    </row>
    <row r="22190" ht="14.25" customHeight="1" s="192">
      <c r="W22190" s="235" t="n"/>
      <c r="X22190" s="235" t="n"/>
    </row>
    <row r="22191" ht="14.25" customHeight="1" s="192">
      <c r="W22191" s="235" t="n"/>
      <c r="X22191" s="235" t="n"/>
    </row>
    <row r="22192" ht="14.25" customHeight="1" s="192">
      <c r="W22192" s="239" t="n"/>
      <c r="X22192" s="239" t="n"/>
    </row>
    <row r="22193" ht="14.25" customHeight="1" s="192">
      <c r="W22193" s="239" t="n"/>
      <c r="X22193" s="239" t="n"/>
    </row>
    <row r="22194" ht="14.25" customHeight="1" s="192">
      <c r="W22194" s="235" t="n"/>
      <c r="X22194" s="235" t="n"/>
    </row>
    <row r="22195" ht="14.25" customHeight="1" s="192">
      <c r="W22195" s="235" t="n"/>
      <c r="X22195" s="235" t="n"/>
    </row>
    <row r="22196" ht="14.25" customHeight="1" s="192">
      <c r="W22196" s="239" t="n"/>
      <c r="X22196" s="239" t="n"/>
    </row>
    <row r="22197" ht="14.25" customHeight="1" s="192">
      <c r="W22197" s="235" t="n"/>
      <c r="X22197" s="235" t="n"/>
    </row>
    <row r="22198" ht="14.25" customHeight="1" s="192">
      <c r="W22198" s="239" t="n"/>
      <c r="X22198" s="239" t="n"/>
    </row>
    <row r="22200" ht="14.25" customHeight="1" s="192">
      <c r="W22200" s="235" t="n"/>
      <c r="X22200" s="235" t="n"/>
    </row>
    <row r="22201" ht="15" customHeight="1" s="192" thickBot="1">
      <c r="W22201" s="239" t="n"/>
      <c r="X22201" s="239" t="n"/>
    </row>
    <row r="22202" ht="15" customHeight="1" s="192" thickBot="1">
      <c r="W22202" s="45" t="n"/>
      <c r="X22202" s="45" t="n"/>
    </row>
    <row r="22203" ht="14.25" customHeight="1" s="192">
      <c r="W22203" s="228" t="n"/>
      <c r="X22203" s="228" t="n"/>
    </row>
    <row r="22204" ht="14.25" customHeight="1" s="192">
      <c r="W22204" s="228" t="n"/>
      <c r="X22204" s="228" t="n"/>
    </row>
    <row r="22205" ht="14.25" customHeight="1" s="192">
      <c r="W22205" s="231" t="n"/>
      <c r="X22205" s="231" t="n"/>
    </row>
    <row r="22206" ht="14.25" customHeight="1" s="192">
      <c r="W22206" s="33" t="n"/>
      <c r="X22206" s="33" t="n"/>
    </row>
    <row r="22207" ht="14.25" customHeight="1" s="192">
      <c r="W22207" s="231" t="n"/>
      <c r="X22207" s="231" t="n"/>
    </row>
    <row r="22208" ht="14.25" customHeight="1" s="192">
      <c r="W22208" s="33" t="n"/>
      <c r="X22208" s="33" t="n"/>
    </row>
    <row r="22210" ht="14.25" customHeight="1" s="192">
      <c r="W22210" s="231" t="n"/>
      <c r="X22210" s="231" t="n"/>
    </row>
    <row r="22211" ht="14.25" customHeight="1" s="192">
      <c r="W22211" s="235" t="n"/>
      <c r="X22211" s="235" t="n"/>
    </row>
    <row r="22212" ht="14.25" customHeight="1" s="192">
      <c r="W22212" s="228" t="n"/>
      <c r="X22212" s="228" t="n"/>
    </row>
    <row r="22213" ht="14.25" customHeight="1" s="192">
      <c r="W22213" s="235" t="n"/>
      <c r="X22213" s="235" t="n"/>
    </row>
    <row r="22214" ht="14.25" customHeight="1" s="192">
      <c r="W22214" s="235" t="n"/>
      <c r="X22214" s="235" t="n"/>
    </row>
    <row r="22215" ht="14.25" customHeight="1" s="192">
      <c r="W22215" s="235" t="n"/>
      <c r="X22215" s="235" t="n"/>
    </row>
    <row r="22216" ht="14.25" customHeight="1" s="192">
      <c r="W22216" s="239" t="n"/>
      <c r="X22216" s="239" t="n"/>
    </row>
    <row r="22217" ht="14.25" customHeight="1" s="192">
      <c r="W22217" s="239" t="n"/>
      <c r="X22217" s="239" t="n"/>
    </row>
    <row r="22218" ht="14.25" customHeight="1" s="192">
      <c r="W22218" s="239" t="n"/>
      <c r="X22218" s="239" t="n"/>
    </row>
    <row r="22219" ht="14.25" customHeight="1" s="192">
      <c r="W22219" s="235" t="n"/>
      <c r="X22219" s="235" t="n"/>
    </row>
    <row r="22220" ht="14.25" customHeight="1" s="192">
      <c r="W22220" s="235" t="n"/>
      <c r="X22220" s="235" t="n"/>
    </row>
    <row r="22221" ht="14.25" customHeight="1" s="192">
      <c r="W22221" s="235" t="n"/>
      <c r="X22221" s="235" t="n"/>
    </row>
    <row r="22222" ht="14.25" customHeight="1" s="192">
      <c r="W22222" s="239" t="n"/>
      <c r="X22222" s="239" t="n"/>
    </row>
    <row r="22223" ht="14.25" customHeight="1" s="192">
      <c r="W22223" s="239" t="n"/>
      <c r="X22223" s="239" t="n"/>
    </row>
    <row r="22224" ht="14.25" customHeight="1" s="192">
      <c r="W22224" s="235" t="n"/>
      <c r="X22224" s="235" t="n"/>
    </row>
    <row r="22225" ht="14.25" customHeight="1" s="192">
      <c r="W22225" s="235" t="n"/>
      <c r="X22225" s="235" t="n"/>
    </row>
    <row r="22226" ht="14.25" customHeight="1" s="192">
      <c r="W22226" s="239" t="n"/>
      <c r="X22226" s="239" t="n"/>
    </row>
    <row r="22227" ht="14.25" customHeight="1" s="192">
      <c r="W22227" s="235" t="n"/>
      <c r="X22227" s="235" t="n"/>
    </row>
    <row r="22228" ht="14.25" customHeight="1" s="192">
      <c r="W22228" s="239" t="n"/>
      <c r="X22228" s="239" t="n"/>
    </row>
    <row r="22230" ht="14.25" customHeight="1" s="192">
      <c r="W22230" s="235" t="n"/>
      <c r="X22230" s="235" t="n"/>
    </row>
    <row r="22231" ht="15" customHeight="1" s="192" thickBot="1">
      <c r="W22231" s="239" t="n"/>
      <c r="X22231" s="239" t="n"/>
    </row>
    <row r="22232" ht="15" customHeight="1" s="192" thickBot="1">
      <c r="W22232" s="45" t="n"/>
      <c r="X22232" s="45" t="n"/>
    </row>
    <row r="22233" ht="14.25" customHeight="1" s="192">
      <c r="W22233" s="228" t="n"/>
      <c r="X22233" s="228" t="n"/>
    </row>
    <row r="22234" ht="14.25" customHeight="1" s="192">
      <c r="W22234" s="228" t="n"/>
      <c r="X22234" s="228" t="n"/>
    </row>
    <row r="22235" ht="14.25" customHeight="1" s="192">
      <c r="W22235" s="231" t="n"/>
      <c r="X22235" s="231" t="n"/>
    </row>
    <row r="22236" ht="14.25" customHeight="1" s="192">
      <c r="W22236" s="33" t="n"/>
      <c r="X22236" s="33" t="n"/>
    </row>
    <row r="22237" ht="14.25" customHeight="1" s="192">
      <c r="W22237" s="231" t="n"/>
      <c r="X22237" s="231" t="n"/>
    </row>
    <row r="22238" ht="14.25" customHeight="1" s="192">
      <c r="W22238" s="33" t="n"/>
      <c r="X22238" s="33" t="n"/>
    </row>
    <row r="22240" ht="14.25" customHeight="1" s="192">
      <c r="W22240" s="231" t="n"/>
      <c r="X22240" s="231" t="n"/>
    </row>
    <row r="22241" ht="14.25" customHeight="1" s="192">
      <c r="W22241" s="235" t="n"/>
      <c r="X22241" s="235" t="n"/>
    </row>
    <row r="22242" ht="14.25" customHeight="1" s="192">
      <c r="W22242" s="228" t="n"/>
      <c r="X22242" s="228" t="n"/>
    </row>
    <row r="22243" ht="14.25" customHeight="1" s="192">
      <c r="W22243" s="235" t="n"/>
      <c r="X22243" s="235" t="n"/>
    </row>
    <row r="22244" ht="14.25" customHeight="1" s="192">
      <c r="W22244" s="235" t="n"/>
      <c r="X22244" s="235" t="n"/>
    </row>
    <row r="22245" ht="14.25" customHeight="1" s="192">
      <c r="W22245" s="235" t="n"/>
      <c r="X22245" s="235" t="n"/>
    </row>
    <row r="22246" ht="14.25" customHeight="1" s="192">
      <c r="W22246" s="239" t="n"/>
      <c r="X22246" s="239" t="n"/>
    </row>
    <row r="22247" ht="14.25" customHeight="1" s="192">
      <c r="W22247" s="239" t="n"/>
      <c r="X22247" s="239" t="n"/>
    </row>
    <row r="22248" ht="14.25" customHeight="1" s="192">
      <c r="W22248" s="239" t="n"/>
      <c r="X22248" s="239" t="n"/>
    </row>
    <row r="22249" ht="14.25" customHeight="1" s="192">
      <c r="W22249" s="235" t="n"/>
      <c r="X22249" s="235" t="n"/>
    </row>
    <row r="22250" ht="14.25" customHeight="1" s="192">
      <c r="W22250" s="235" t="n"/>
      <c r="X22250" s="235" t="n"/>
    </row>
    <row r="22251" ht="14.25" customHeight="1" s="192">
      <c r="W22251" s="235" t="n"/>
      <c r="X22251" s="235" t="n"/>
    </row>
    <row r="22252" ht="14.25" customHeight="1" s="192">
      <c r="W22252" s="239" t="n"/>
      <c r="X22252" s="239" t="n"/>
    </row>
    <row r="22253" ht="14.25" customHeight="1" s="192">
      <c r="W22253" s="239" t="n"/>
      <c r="X22253" s="239" t="n"/>
    </row>
    <row r="22254" ht="14.25" customHeight="1" s="192">
      <c r="W22254" s="235" t="n"/>
      <c r="X22254" s="235" t="n"/>
    </row>
    <row r="22255" ht="14.25" customHeight="1" s="192">
      <c r="W22255" s="235" t="n"/>
      <c r="X22255" s="235" t="n"/>
    </row>
    <row r="22256" ht="14.25" customHeight="1" s="192">
      <c r="W22256" s="239" t="n"/>
      <c r="X22256" s="239" t="n"/>
    </row>
    <row r="22257" ht="14.25" customHeight="1" s="192">
      <c r="W22257" s="235" t="n"/>
      <c r="X22257" s="235" t="n"/>
    </row>
    <row r="22258" ht="14.25" customHeight="1" s="192">
      <c r="W22258" s="239" t="n"/>
      <c r="X22258" s="239" t="n"/>
    </row>
    <row r="22260" ht="14.25" customHeight="1" s="192">
      <c r="W22260" s="235" t="n"/>
      <c r="X22260" s="235" t="n"/>
    </row>
    <row r="22261" ht="15" customHeight="1" s="192" thickBot="1">
      <c r="W22261" s="239" t="n"/>
      <c r="X22261" s="239" t="n"/>
    </row>
    <row r="22262" ht="15" customHeight="1" s="192" thickBot="1">
      <c r="W22262" s="45" t="n"/>
      <c r="X22262" s="45" t="n"/>
    </row>
    <row r="22263" ht="14.25" customHeight="1" s="192">
      <c r="W22263" s="228" t="n"/>
      <c r="X22263" s="228" t="n"/>
    </row>
    <row r="22264" ht="14.25" customHeight="1" s="192">
      <c r="W22264" s="228" t="n"/>
      <c r="X22264" s="228" t="n"/>
    </row>
    <row r="22265" ht="14.25" customHeight="1" s="192">
      <c r="W22265" s="231" t="n"/>
      <c r="X22265" s="231" t="n"/>
    </row>
    <row r="22266" ht="14.25" customHeight="1" s="192">
      <c r="W22266" s="33" t="n"/>
      <c r="X22266" s="33" t="n"/>
    </row>
    <row r="22267" ht="14.25" customHeight="1" s="192">
      <c r="W22267" s="231" t="n"/>
      <c r="X22267" s="231" t="n"/>
    </row>
    <row r="22268" ht="14.25" customHeight="1" s="192">
      <c r="W22268" s="33" t="n"/>
      <c r="X22268" s="33" t="n"/>
    </row>
    <row r="22270" ht="14.25" customHeight="1" s="192">
      <c r="W22270" s="231" t="n"/>
      <c r="X22270" s="231" t="n"/>
    </row>
    <row r="22271" ht="14.25" customHeight="1" s="192">
      <c r="W22271" s="235" t="n"/>
      <c r="X22271" s="235" t="n"/>
    </row>
    <row r="22272" ht="14.25" customHeight="1" s="192">
      <c r="W22272" s="228" t="n"/>
      <c r="X22272" s="228" t="n"/>
    </row>
    <row r="22273" ht="14.25" customHeight="1" s="192">
      <c r="W22273" s="235" t="n"/>
      <c r="X22273" s="235" t="n"/>
    </row>
    <row r="22274" ht="14.25" customHeight="1" s="192">
      <c r="W22274" s="235" t="n"/>
      <c r="X22274" s="235" t="n"/>
    </row>
    <row r="22275" ht="14.25" customHeight="1" s="192">
      <c r="W22275" s="235" t="n"/>
      <c r="X22275" s="235" t="n"/>
    </row>
    <row r="22276" ht="14.25" customHeight="1" s="192">
      <c r="W22276" s="239" t="n"/>
      <c r="X22276" s="239" t="n"/>
    </row>
    <row r="22277" ht="14.25" customHeight="1" s="192">
      <c r="W22277" s="239" t="n"/>
      <c r="X22277" s="239" t="n"/>
    </row>
    <row r="22278" ht="14.25" customHeight="1" s="192">
      <c r="W22278" s="239" t="n"/>
      <c r="X22278" s="239" t="n"/>
    </row>
    <row r="22279" ht="14.25" customHeight="1" s="192">
      <c r="W22279" s="235" t="n"/>
      <c r="X22279" s="235" t="n"/>
    </row>
    <row r="22280" ht="14.25" customHeight="1" s="192">
      <c r="W22280" s="235" t="n"/>
      <c r="X22280" s="235" t="n"/>
    </row>
    <row r="22281" ht="14.25" customHeight="1" s="192">
      <c r="W22281" s="235" t="n"/>
      <c r="X22281" s="235" t="n"/>
    </row>
    <row r="22282" ht="14.25" customHeight="1" s="192">
      <c r="W22282" s="239" t="n"/>
      <c r="X22282" s="239" t="n"/>
    </row>
    <row r="22283" ht="14.25" customHeight="1" s="192">
      <c r="W22283" s="239" t="n"/>
      <c r="X22283" s="239" t="n"/>
    </row>
    <row r="22284" ht="14.25" customHeight="1" s="192">
      <c r="W22284" s="235" t="n"/>
      <c r="X22284" s="235" t="n"/>
    </row>
    <row r="22285" ht="14.25" customHeight="1" s="192">
      <c r="W22285" s="235" t="n"/>
      <c r="X22285" s="235" t="n"/>
    </row>
    <row r="22286" ht="14.25" customHeight="1" s="192">
      <c r="W22286" s="239" t="n"/>
      <c r="X22286" s="239" t="n"/>
    </row>
    <row r="22287" ht="14.25" customHeight="1" s="192">
      <c r="W22287" s="235" t="n"/>
      <c r="X22287" s="235" t="n"/>
    </row>
    <row r="22288" ht="14.25" customHeight="1" s="192">
      <c r="W22288" s="239" t="n"/>
      <c r="X22288" s="239" t="n"/>
    </row>
    <row r="22290" ht="14.25" customHeight="1" s="192">
      <c r="W22290" s="235" t="n"/>
      <c r="X22290" s="235" t="n"/>
    </row>
    <row r="22291" ht="15" customHeight="1" s="192" thickBot="1">
      <c r="W22291" s="239" t="n"/>
      <c r="X22291" s="239" t="n"/>
    </row>
    <row r="22292" ht="15" customHeight="1" s="192" thickBot="1">
      <c r="W22292" s="45" t="n"/>
      <c r="X22292" s="45" t="n"/>
    </row>
    <row r="22293" ht="14.25" customHeight="1" s="192">
      <c r="W22293" s="228" t="n"/>
      <c r="X22293" s="228" t="n"/>
    </row>
    <row r="22294" ht="14.25" customHeight="1" s="192">
      <c r="W22294" s="228" t="n"/>
      <c r="X22294" s="228" t="n"/>
    </row>
    <row r="22295" ht="14.25" customHeight="1" s="192">
      <c r="W22295" s="231" t="n"/>
      <c r="X22295" s="231" t="n"/>
    </row>
    <row r="22296" ht="14.25" customHeight="1" s="192">
      <c r="W22296" s="33" t="n"/>
      <c r="X22296" s="33" t="n"/>
    </row>
    <row r="22297" ht="14.25" customHeight="1" s="192">
      <c r="W22297" s="231" t="n"/>
      <c r="X22297" s="231" t="n"/>
    </row>
    <row r="22298" ht="14.25" customHeight="1" s="192">
      <c r="W22298" s="33" t="n"/>
      <c r="X22298" s="33" t="n"/>
    </row>
    <row r="22300" ht="14.25" customHeight="1" s="192">
      <c r="W22300" s="231" t="n"/>
      <c r="X22300" s="231" t="n"/>
    </row>
    <row r="22301" ht="14.25" customHeight="1" s="192">
      <c r="W22301" s="235" t="n"/>
      <c r="X22301" s="235" t="n"/>
    </row>
    <row r="22302" ht="14.25" customHeight="1" s="192">
      <c r="W22302" s="228" t="n"/>
      <c r="X22302" s="228" t="n"/>
    </row>
    <row r="22303" ht="14.25" customHeight="1" s="192">
      <c r="W22303" s="235" t="n"/>
      <c r="X22303" s="235" t="n"/>
    </row>
    <row r="22304" ht="14.25" customHeight="1" s="192">
      <c r="W22304" s="235" t="n"/>
      <c r="X22304" s="235" t="n"/>
    </row>
    <row r="22305" ht="14.25" customHeight="1" s="192">
      <c r="W22305" s="235" t="n"/>
      <c r="X22305" s="235" t="n"/>
    </row>
    <row r="22306" ht="14.25" customHeight="1" s="192">
      <c r="W22306" s="239" t="n"/>
      <c r="X22306" s="239" t="n"/>
    </row>
    <row r="22307" ht="14.25" customHeight="1" s="192">
      <c r="W22307" s="239" t="n"/>
      <c r="X22307" s="239" t="n"/>
    </row>
    <row r="22308" ht="14.25" customHeight="1" s="192">
      <c r="W22308" s="239" t="n"/>
      <c r="X22308" s="239" t="n"/>
    </row>
    <row r="22309" ht="14.25" customHeight="1" s="192">
      <c r="W22309" s="235" t="n"/>
      <c r="X22309" s="235" t="n"/>
    </row>
    <row r="22310" ht="14.25" customHeight="1" s="192">
      <c r="W22310" s="235" t="n"/>
      <c r="X22310" s="235" t="n"/>
    </row>
    <row r="22311" ht="14.25" customHeight="1" s="192">
      <c r="W22311" s="235" t="n"/>
      <c r="X22311" s="235" t="n"/>
    </row>
    <row r="22312" ht="14.25" customHeight="1" s="192">
      <c r="W22312" s="239" t="n"/>
      <c r="X22312" s="239" t="n"/>
    </row>
    <row r="22313" ht="14.25" customHeight="1" s="192">
      <c r="W22313" s="239" t="n"/>
      <c r="X22313" s="239" t="n"/>
    </row>
    <row r="22314" ht="14.25" customHeight="1" s="192">
      <c r="W22314" s="235" t="n"/>
      <c r="X22314" s="235" t="n"/>
    </row>
    <row r="22315" ht="14.25" customHeight="1" s="192">
      <c r="W22315" s="235" t="n"/>
      <c r="X22315" s="235" t="n"/>
    </row>
    <row r="22316" ht="14.25" customHeight="1" s="192">
      <c r="W22316" s="239" t="n"/>
      <c r="X22316" s="239" t="n"/>
    </row>
    <row r="22317" ht="14.25" customHeight="1" s="192">
      <c r="W22317" s="235" t="n"/>
      <c r="X22317" s="235" t="n"/>
    </row>
    <row r="22318" ht="14.25" customHeight="1" s="192">
      <c r="W22318" s="239" t="n"/>
      <c r="X22318" s="239" t="n"/>
    </row>
    <row r="22320" ht="14.25" customHeight="1" s="192">
      <c r="W22320" s="235" t="n"/>
      <c r="X22320" s="235" t="n"/>
    </row>
    <row r="22321" ht="15" customHeight="1" s="192" thickBot="1">
      <c r="W22321" s="239" t="n"/>
      <c r="X22321" s="239" t="n"/>
    </row>
    <row r="22322" ht="15" customHeight="1" s="192" thickBot="1">
      <c r="W22322" s="45" t="n"/>
      <c r="X22322" s="45" t="n"/>
    </row>
    <row r="22323" ht="14.25" customHeight="1" s="192">
      <c r="W22323" s="228" t="n"/>
      <c r="X22323" s="228" t="n"/>
    </row>
    <row r="22324" ht="14.25" customHeight="1" s="192">
      <c r="W22324" s="228" t="n"/>
      <c r="X22324" s="228" t="n"/>
    </row>
    <row r="22325" ht="14.25" customHeight="1" s="192">
      <c r="W22325" s="231" t="n"/>
      <c r="X22325" s="231" t="n"/>
    </row>
    <row r="22326" ht="14.25" customHeight="1" s="192">
      <c r="W22326" s="33" t="n"/>
      <c r="X22326" s="33" t="n"/>
    </row>
    <row r="22327" ht="14.25" customHeight="1" s="192">
      <c r="W22327" s="231" t="n"/>
      <c r="X22327" s="231" t="n"/>
    </row>
    <row r="22328" ht="14.25" customHeight="1" s="192">
      <c r="W22328" s="33" t="n"/>
      <c r="X22328" s="33" t="n"/>
    </row>
    <row r="22330" ht="14.25" customHeight="1" s="192">
      <c r="W22330" s="231" t="n"/>
      <c r="X22330" s="231" t="n"/>
    </row>
    <row r="22331" ht="14.25" customHeight="1" s="192">
      <c r="W22331" s="235" t="n"/>
      <c r="X22331" s="235" t="n"/>
    </row>
    <row r="22332" ht="14.25" customHeight="1" s="192">
      <c r="W22332" s="228" t="n"/>
      <c r="X22332" s="228" t="n"/>
    </row>
    <row r="22333" ht="14.25" customHeight="1" s="192">
      <c r="W22333" s="235" t="n"/>
      <c r="X22333" s="235" t="n"/>
    </row>
    <row r="22334" ht="14.25" customHeight="1" s="192">
      <c r="W22334" s="235" t="n"/>
      <c r="X22334" s="235" t="n"/>
    </row>
    <row r="22335" ht="14.25" customHeight="1" s="192">
      <c r="W22335" s="235" t="n"/>
      <c r="X22335" s="235" t="n"/>
    </row>
    <row r="22336" ht="14.25" customHeight="1" s="192">
      <c r="W22336" s="239" t="n"/>
      <c r="X22336" s="239" t="n"/>
    </row>
    <row r="22337" ht="14.25" customHeight="1" s="192">
      <c r="W22337" s="239" t="n"/>
      <c r="X22337" s="239" t="n"/>
    </row>
    <row r="22338" ht="14.25" customHeight="1" s="192">
      <c r="W22338" s="239" t="n"/>
      <c r="X22338" s="239" t="n"/>
    </row>
    <row r="22339" ht="14.25" customHeight="1" s="192">
      <c r="W22339" s="235" t="n"/>
      <c r="X22339" s="235" t="n"/>
    </row>
    <row r="22340" ht="14.25" customHeight="1" s="192">
      <c r="W22340" s="235" t="n"/>
      <c r="X22340" s="235" t="n"/>
    </row>
    <row r="22341" ht="14.25" customHeight="1" s="192">
      <c r="W22341" s="235" t="n"/>
      <c r="X22341" s="235" t="n"/>
    </row>
    <row r="22342" ht="14.25" customHeight="1" s="192">
      <c r="W22342" s="239" t="n"/>
      <c r="X22342" s="239" t="n"/>
    </row>
    <row r="22343" ht="14.25" customHeight="1" s="192">
      <c r="W22343" s="239" t="n"/>
      <c r="X22343" s="239" t="n"/>
    </row>
    <row r="22344" ht="14.25" customHeight="1" s="192">
      <c r="W22344" s="235" t="n"/>
      <c r="X22344" s="235" t="n"/>
    </row>
    <row r="22345" ht="14.25" customHeight="1" s="192">
      <c r="W22345" s="235" t="n"/>
      <c r="X22345" s="235" t="n"/>
    </row>
    <row r="22346" ht="14.25" customHeight="1" s="192">
      <c r="W22346" s="239" t="n"/>
      <c r="X22346" s="239" t="n"/>
    </row>
    <row r="22347" ht="14.25" customHeight="1" s="192">
      <c r="W22347" s="235" t="n"/>
      <c r="X22347" s="235" t="n"/>
    </row>
    <row r="22348" ht="14.25" customHeight="1" s="192">
      <c r="W22348" s="239" t="n"/>
      <c r="X22348" s="239" t="n"/>
    </row>
    <row r="22350" ht="14.25" customHeight="1" s="192">
      <c r="W22350" s="235" t="n"/>
      <c r="X22350" s="235" t="n"/>
    </row>
    <row r="22351" ht="15" customHeight="1" s="192" thickBot="1">
      <c r="W22351" s="239" t="n"/>
      <c r="X22351" s="239" t="n"/>
    </row>
    <row r="22352" ht="15" customHeight="1" s="192" thickBot="1">
      <c r="W22352" s="45" t="n"/>
      <c r="X22352" s="45" t="n"/>
    </row>
    <row r="22353" ht="14.25" customHeight="1" s="192">
      <c r="W22353" s="228" t="n"/>
      <c r="X22353" s="228" t="n"/>
    </row>
    <row r="22354" ht="14.25" customHeight="1" s="192">
      <c r="W22354" s="228" t="n"/>
      <c r="X22354" s="228" t="n"/>
    </row>
    <row r="22355" ht="14.25" customHeight="1" s="192">
      <c r="W22355" s="231" t="n"/>
      <c r="X22355" s="231" t="n"/>
    </row>
    <row r="22356" ht="14.25" customHeight="1" s="192">
      <c r="W22356" s="33" t="n"/>
      <c r="X22356" s="33" t="n"/>
    </row>
    <row r="22357" ht="14.25" customHeight="1" s="192">
      <c r="W22357" s="231" t="n"/>
      <c r="X22357" s="231" t="n"/>
    </row>
    <row r="22358" ht="14.25" customHeight="1" s="192">
      <c r="W22358" s="33" t="n"/>
      <c r="X22358" s="33" t="n"/>
    </row>
    <row r="22360" ht="14.25" customHeight="1" s="192">
      <c r="W22360" s="231" t="n"/>
      <c r="X22360" s="231" t="n"/>
    </row>
    <row r="22361" ht="14.25" customHeight="1" s="192">
      <c r="W22361" s="235" t="n"/>
      <c r="X22361" s="235" t="n"/>
    </row>
    <row r="22362" ht="14.25" customHeight="1" s="192">
      <c r="W22362" s="228" t="n"/>
      <c r="X22362" s="228" t="n"/>
    </row>
    <row r="22363" ht="14.25" customHeight="1" s="192">
      <c r="W22363" s="235" t="n"/>
      <c r="X22363" s="235" t="n"/>
    </row>
    <row r="22364" ht="14.25" customHeight="1" s="192">
      <c r="W22364" s="235" t="n"/>
      <c r="X22364" s="235" t="n"/>
    </row>
    <row r="22365" ht="14.25" customHeight="1" s="192">
      <c r="W22365" s="235" t="n"/>
      <c r="X22365" s="235" t="n"/>
    </row>
    <row r="22366" ht="14.25" customHeight="1" s="192">
      <c r="W22366" s="239" t="n"/>
      <c r="X22366" s="239" t="n"/>
    </row>
    <row r="22367" ht="14.25" customHeight="1" s="192">
      <c r="W22367" s="239" t="n"/>
      <c r="X22367" s="239" t="n"/>
    </row>
    <row r="22368" ht="14.25" customHeight="1" s="192">
      <c r="W22368" s="239" t="n"/>
      <c r="X22368" s="239" t="n"/>
    </row>
    <row r="22369" ht="14.25" customHeight="1" s="192">
      <c r="W22369" s="235" t="n"/>
      <c r="X22369" s="235" t="n"/>
    </row>
    <row r="22370" ht="14.25" customHeight="1" s="192">
      <c r="W22370" s="235" t="n"/>
      <c r="X22370" s="235" t="n"/>
    </row>
    <row r="22371" ht="14.25" customHeight="1" s="192">
      <c r="W22371" s="235" t="n"/>
      <c r="X22371" s="235" t="n"/>
    </row>
    <row r="22372" ht="14.25" customHeight="1" s="192">
      <c r="W22372" s="239" t="n"/>
      <c r="X22372" s="239" t="n"/>
    </row>
    <row r="22373" ht="14.25" customHeight="1" s="192">
      <c r="W22373" s="239" t="n"/>
      <c r="X22373" s="239" t="n"/>
    </row>
    <row r="22374" ht="14.25" customHeight="1" s="192">
      <c r="W22374" s="235" t="n"/>
      <c r="X22374" s="235" t="n"/>
    </row>
    <row r="22375" ht="14.25" customHeight="1" s="192">
      <c r="W22375" s="235" t="n"/>
      <c r="X22375" s="235" t="n"/>
    </row>
    <row r="22376" ht="14.25" customHeight="1" s="192">
      <c r="W22376" s="239" t="n"/>
      <c r="X22376" s="239" t="n"/>
    </row>
    <row r="22377" ht="14.25" customHeight="1" s="192">
      <c r="W22377" s="235" t="n"/>
      <c r="X22377" s="235" t="n"/>
    </row>
    <row r="22378" ht="14.25" customHeight="1" s="192">
      <c r="W22378" s="239" t="n"/>
      <c r="X22378" s="239" t="n"/>
    </row>
    <row r="22380" ht="14.25" customHeight="1" s="192">
      <c r="W22380" s="235" t="n"/>
      <c r="X22380" s="235" t="n"/>
    </row>
    <row r="22381" ht="15" customHeight="1" s="192" thickBot="1">
      <c r="W22381" s="239" t="n"/>
      <c r="X22381" s="239" t="n"/>
    </row>
    <row r="22382" ht="15" customHeight="1" s="192" thickBot="1">
      <c r="W22382" s="45" t="n"/>
      <c r="X22382" s="45" t="n"/>
    </row>
    <row r="22383" ht="14.25" customHeight="1" s="192">
      <c r="W22383" s="228" t="n"/>
      <c r="X22383" s="228" t="n"/>
    </row>
    <row r="22384" ht="14.25" customHeight="1" s="192">
      <c r="W22384" s="228" t="n"/>
      <c r="X22384" s="228" t="n"/>
    </row>
    <row r="22385" ht="14.25" customHeight="1" s="192">
      <c r="W22385" s="231" t="n"/>
      <c r="X22385" s="231" t="n"/>
    </row>
    <row r="22386" ht="14.25" customHeight="1" s="192">
      <c r="W22386" s="33" t="n"/>
      <c r="X22386" s="33" t="n"/>
    </row>
    <row r="22387" ht="14.25" customHeight="1" s="192">
      <c r="W22387" s="231" t="n"/>
      <c r="X22387" s="231" t="n"/>
    </row>
    <row r="22388" ht="14.25" customHeight="1" s="192">
      <c r="W22388" s="33" t="n"/>
      <c r="X22388" s="33" t="n"/>
    </row>
    <row r="22390" ht="14.25" customHeight="1" s="192">
      <c r="W22390" s="231" t="n"/>
      <c r="X22390" s="231" t="n"/>
    </row>
    <row r="22391" ht="14.25" customHeight="1" s="192">
      <c r="W22391" s="235" t="n"/>
      <c r="X22391" s="235" t="n"/>
    </row>
    <row r="22392" ht="14.25" customHeight="1" s="192">
      <c r="W22392" s="228" t="n"/>
      <c r="X22392" s="228" t="n"/>
    </row>
    <row r="22393" ht="14.25" customHeight="1" s="192">
      <c r="W22393" s="235" t="n"/>
      <c r="X22393" s="235" t="n"/>
    </row>
    <row r="22394" ht="14.25" customHeight="1" s="192">
      <c r="W22394" s="235" t="n"/>
      <c r="X22394" s="235" t="n"/>
    </row>
    <row r="22395" ht="14.25" customHeight="1" s="192">
      <c r="W22395" s="235" t="n"/>
      <c r="X22395" s="235" t="n"/>
    </row>
    <row r="22396" ht="14.25" customHeight="1" s="192">
      <c r="W22396" s="239" t="n"/>
      <c r="X22396" s="239" t="n"/>
    </row>
    <row r="22397" ht="14.25" customHeight="1" s="192">
      <c r="W22397" s="239" t="n"/>
      <c r="X22397" s="239" t="n"/>
    </row>
    <row r="22398" ht="14.25" customHeight="1" s="192">
      <c r="W22398" s="239" t="n"/>
      <c r="X22398" s="239" t="n"/>
    </row>
    <row r="22399" ht="14.25" customHeight="1" s="192">
      <c r="W22399" s="235" t="n"/>
      <c r="X22399" s="235" t="n"/>
    </row>
    <row r="22400" ht="14.25" customHeight="1" s="192">
      <c r="W22400" s="235" t="n"/>
      <c r="X22400" s="235" t="n"/>
    </row>
    <row r="22401" ht="14.25" customHeight="1" s="192">
      <c r="W22401" s="235" t="n"/>
      <c r="X22401" s="235" t="n"/>
    </row>
    <row r="22402" ht="14.25" customHeight="1" s="192">
      <c r="W22402" s="239" t="n"/>
      <c r="X22402" s="239" t="n"/>
    </row>
    <row r="22403" ht="14.25" customHeight="1" s="192">
      <c r="W22403" s="239" t="n"/>
      <c r="X22403" s="239" t="n"/>
    </row>
    <row r="22404" ht="14.25" customHeight="1" s="192">
      <c r="W22404" s="235" t="n"/>
      <c r="X22404" s="235" t="n"/>
    </row>
    <row r="22405" ht="14.25" customHeight="1" s="192">
      <c r="W22405" s="235" t="n"/>
      <c r="X22405" s="235" t="n"/>
    </row>
    <row r="22406" ht="14.25" customHeight="1" s="192">
      <c r="W22406" s="239" t="n"/>
      <c r="X22406" s="239" t="n"/>
    </row>
    <row r="22407" ht="14.25" customHeight="1" s="192">
      <c r="W22407" s="235" t="n"/>
      <c r="X22407" s="235" t="n"/>
    </row>
    <row r="22408" ht="14.25" customHeight="1" s="192">
      <c r="W22408" s="239" t="n"/>
      <c r="X22408" s="239" t="n"/>
    </row>
    <row r="22410" ht="14.25" customHeight="1" s="192">
      <c r="W22410" s="235" t="n"/>
      <c r="X22410" s="235" t="n"/>
    </row>
    <row r="22411" ht="15" customHeight="1" s="192" thickBot="1">
      <c r="W22411" s="239" t="n"/>
      <c r="X22411" s="239" t="n"/>
    </row>
    <row r="22412" ht="15" customHeight="1" s="192" thickBot="1">
      <c r="W22412" s="45" t="n"/>
      <c r="X22412" s="45" t="n"/>
    </row>
    <row r="22413" ht="14.25" customHeight="1" s="192">
      <c r="W22413" s="228" t="n"/>
      <c r="X22413" s="228" t="n"/>
    </row>
    <row r="22414" ht="14.25" customHeight="1" s="192">
      <c r="W22414" s="228" t="n"/>
      <c r="X22414" s="228" t="n"/>
    </row>
    <row r="22415" ht="14.25" customHeight="1" s="192">
      <c r="W22415" s="231" t="n"/>
      <c r="X22415" s="231" t="n"/>
    </row>
    <row r="22416" ht="14.25" customHeight="1" s="192">
      <c r="W22416" s="33" t="n"/>
      <c r="X22416" s="33" t="n"/>
    </row>
    <row r="22417" ht="14.25" customHeight="1" s="192">
      <c r="W22417" s="231" t="n"/>
      <c r="X22417" s="231" t="n"/>
    </row>
    <row r="22418" ht="14.25" customHeight="1" s="192">
      <c r="W22418" s="33" t="n"/>
      <c r="X22418" s="33" t="n"/>
    </row>
    <row r="22420" ht="14.25" customHeight="1" s="192">
      <c r="W22420" s="231" t="n"/>
      <c r="X22420" s="231" t="n"/>
    </row>
    <row r="22421" ht="14.25" customHeight="1" s="192">
      <c r="W22421" s="235" t="n"/>
      <c r="X22421" s="235" t="n"/>
    </row>
    <row r="22422" ht="14.25" customHeight="1" s="192">
      <c r="W22422" s="228" t="n"/>
      <c r="X22422" s="228" t="n"/>
    </row>
    <row r="22423" ht="14.25" customHeight="1" s="192">
      <c r="W22423" s="235" t="n"/>
      <c r="X22423" s="235" t="n"/>
    </row>
    <row r="22424" ht="14.25" customHeight="1" s="192">
      <c r="W22424" s="235" t="n"/>
      <c r="X22424" s="235" t="n"/>
    </row>
    <row r="22425" ht="14.25" customHeight="1" s="192">
      <c r="W22425" s="235" t="n"/>
      <c r="X22425" s="235" t="n"/>
    </row>
    <row r="22426" ht="14.25" customHeight="1" s="192">
      <c r="W22426" s="239" t="n"/>
      <c r="X22426" s="239" t="n"/>
    </row>
    <row r="22427" ht="14.25" customHeight="1" s="192">
      <c r="W22427" s="239" t="n"/>
      <c r="X22427" s="239" t="n"/>
    </row>
    <row r="22428" ht="14.25" customHeight="1" s="192">
      <c r="W22428" s="239" t="n"/>
      <c r="X22428" s="239" t="n"/>
    </row>
    <row r="22429" ht="14.25" customHeight="1" s="192">
      <c r="W22429" s="235" t="n"/>
      <c r="X22429" s="235" t="n"/>
    </row>
    <row r="22430" ht="14.25" customHeight="1" s="192">
      <c r="W22430" s="235" t="n"/>
      <c r="X22430" s="235" t="n"/>
    </row>
    <row r="22431" ht="14.25" customHeight="1" s="192">
      <c r="W22431" s="235" t="n"/>
      <c r="X22431" s="235" t="n"/>
    </row>
    <row r="22432" ht="14.25" customHeight="1" s="192">
      <c r="W22432" s="239" t="n"/>
      <c r="X22432" s="239" t="n"/>
    </row>
    <row r="22433" ht="14.25" customHeight="1" s="192">
      <c r="W22433" s="239" t="n"/>
      <c r="X22433" s="239" t="n"/>
    </row>
    <row r="22434" ht="14.25" customHeight="1" s="192">
      <c r="W22434" s="235" t="n"/>
      <c r="X22434" s="235" t="n"/>
    </row>
    <row r="22435" ht="14.25" customHeight="1" s="192">
      <c r="W22435" s="235" t="n"/>
      <c r="X22435" s="235" t="n"/>
    </row>
    <row r="22436" ht="14.25" customHeight="1" s="192">
      <c r="W22436" s="239" t="n"/>
      <c r="X22436" s="239" t="n"/>
    </row>
    <row r="22437" ht="14.25" customHeight="1" s="192">
      <c r="W22437" s="235" t="n"/>
      <c r="X22437" s="235" t="n"/>
    </row>
    <row r="22438" ht="14.25" customHeight="1" s="192">
      <c r="W22438" s="239" t="n"/>
      <c r="X22438" s="239" t="n"/>
    </row>
    <row r="22440" ht="14.25" customHeight="1" s="192">
      <c r="W22440" s="235" t="n"/>
      <c r="X22440" s="235" t="n"/>
    </row>
    <row r="22441" ht="15" customHeight="1" s="192" thickBot="1">
      <c r="W22441" s="239" t="n"/>
      <c r="X22441" s="239" t="n"/>
    </row>
    <row r="22442" ht="15" customHeight="1" s="192" thickBot="1">
      <c r="W22442" s="45" t="n"/>
      <c r="X22442" s="45" t="n"/>
    </row>
    <row r="22443" ht="14.25" customHeight="1" s="192">
      <c r="W22443" s="228" t="n"/>
      <c r="X22443" s="228" t="n"/>
    </row>
    <row r="22444" ht="14.25" customHeight="1" s="192">
      <c r="W22444" s="228" t="n"/>
      <c r="X22444" s="228" t="n"/>
    </row>
    <row r="22445" ht="14.25" customHeight="1" s="192">
      <c r="W22445" s="231" t="n"/>
      <c r="X22445" s="231" t="n"/>
    </row>
    <row r="22446" ht="14.25" customHeight="1" s="192">
      <c r="W22446" s="33" t="n"/>
      <c r="X22446" s="33" t="n"/>
    </row>
    <row r="22447" ht="14.25" customHeight="1" s="192">
      <c r="W22447" s="231" t="n"/>
      <c r="X22447" s="231" t="n"/>
    </row>
    <row r="22448" ht="14.25" customHeight="1" s="192">
      <c r="W22448" s="33" t="n"/>
      <c r="X22448" s="33" t="n"/>
    </row>
    <row r="22450" ht="14.25" customHeight="1" s="192">
      <c r="W22450" s="231" t="n"/>
      <c r="X22450" s="231" t="n"/>
    </row>
    <row r="22451" ht="14.25" customHeight="1" s="192">
      <c r="W22451" s="235" t="n"/>
      <c r="X22451" s="235" t="n"/>
    </row>
    <row r="22452" ht="14.25" customHeight="1" s="192">
      <c r="W22452" s="228" t="n"/>
      <c r="X22452" s="228" t="n"/>
    </row>
    <row r="22453" ht="14.25" customHeight="1" s="192">
      <c r="W22453" s="235" t="n"/>
      <c r="X22453" s="235" t="n"/>
    </row>
    <row r="22454" ht="14.25" customHeight="1" s="192">
      <c r="W22454" s="235" t="n"/>
      <c r="X22454" s="235" t="n"/>
    </row>
    <row r="22455" ht="14.25" customHeight="1" s="192">
      <c r="W22455" s="235" t="n"/>
      <c r="X22455" s="235" t="n"/>
    </row>
    <row r="22456" ht="14.25" customHeight="1" s="192">
      <c r="W22456" s="239" t="n"/>
      <c r="X22456" s="239" t="n"/>
    </row>
    <row r="22457" ht="14.25" customHeight="1" s="192">
      <c r="W22457" s="239" t="n"/>
      <c r="X22457" s="239" t="n"/>
    </row>
    <row r="22458" ht="14.25" customHeight="1" s="192">
      <c r="W22458" s="239" t="n"/>
      <c r="X22458" s="239" t="n"/>
    </row>
    <row r="22459" ht="14.25" customHeight="1" s="192">
      <c r="W22459" s="235" t="n"/>
      <c r="X22459" s="235" t="n"/>
    </row>
    <row r="22460" ht="14.25" customHeight="1" s="192">
      <c r="W22460" s="235" t="n"/>
      <c r="X22460" s="235" t="n"/>
    </row>
    <row r="22461" ht="14.25" customHeight="1" s="192">
      <c r="W22461" s="235" t="n"/>
      <c r="X22461" s="235" t="n"/>
    </row>
    <row r="22462" ht="14.25" customHeight="1" s="192">
      <c r="W22462" s="239" t="n"/>
      <c r="X22462" s="239" t="n"/>
    </row>
    <row r="22463" ht="14.25" customHeight="1" s="192">
      <c r="W22463" s="239" t="n"/>
      <c r="X22463" s="239" t="n"/>
    </row>
    <row r="22464" ht="14.25" customHeight="1" s="192">
      <c r="W22464" s="235" t="n"/>
      <c r="X22464" s="235" t="n"/>
    </row>
    <row r="22465" ht="14.25" customHeight="1" s="192">
      <c r="W22465" s="235" t="n"/>
      <c r="X22465" s="235" t="n"/>
    </row>
    <row r="22466" ht="14.25" customHeight="1" s="192">
      <c r="W22466" s="239" t="n"/>
      <c r="X22466" s="239" t="n"/>
    </row>
    <row r="22467" ht="14.25" customHeight="1" s="192">
      <c r="W22467" s="235" t="n"/>
      <c r="X22467" s="235" t="n"/>
    </row>
    <row r="22468" ht="14.25" customHeight="1" s="192">
      <c r="W22468" s="239" t="n"/>
      <c r="X22468" s="239" t="n"/>
    </row>
    <row r="22470" ht="14.25" customHeight="1" s="192">
      <c r="W22470" s="235" t="n"/>
      <c r="X22470" s="235" t="n"/>
    </row>
    <row r="22471" ht="15" customHeight="1" s="192" thickBot="1">
      <c r="W22471" s="239" t="n"/>
      <c r="X22471" s="239" t="n"/>
    </row>
    <row r="22472" ht="15" customHeight="1" s="192" thickBot="1">
      <c r="W22472" s="45" t="n"/>
      <c r="X22472" s="45" t="n"/>
    </row>
    <row r="22473" ht="14.25" customHeight="1" s="192">
      <c r="W22473" s="228" t="n"/>
      <c r="X22473" s="228" t="n"/>
    </row>
    <row r="22474" ht="14.25" customHeight="1" s="192">
      <c r="W22474" s="228" t="n"/>
      <c r="X22474" s="228" t="n"/>
    </row>
    <row r="22475" ht="14.25" customHeight="1" s="192">
      <c r="W22475" s="231" t="n"/>
      <c r="X22475" s="231" t="n"/>
    </row>
    <row r="22476" ht="14.25" customHeight="1" s="192">
      <c r="W22476" s="33" t="n"/>
      <c r="X22476" s="33" t="n"/>
    </row>
    <row r="22477" ht="14.25" customHeight="1" s="192">
      <c r="W22477" s="231" t="n"/>
      <c r="X22477" s="231" t="n"/>
    </row>
    <row r="22478" ht="14.25" customHeight="1" s="192">
      <c r="W22478" s="33" t="n"/>
      <c r="X22478" s="33" t="n"/>
    </row>
    <row r="22480" ht="14.25" customHeight="1" s="192">
      <c r="W22480" s="231" t="n"/>
      <c r="X22480" s="231" t="n"/>
    </row>
    <row r="22481" ht="14.25" customHeight="1" s="192">
      <c r="W22481" s="235" t="n"/>
      <c r="X22481" s="235" t="n"/>
    </row>
    <row r="22482" ht="14.25" customHeight="1" s="192">
      <c r="W22482" s="228" t="n"/>
      <c r="X22482" s="228" t="n"/>
    </row>
    <row r="22483" ht="14.25" customHeight="1" s="192">
      <c r="W22483" s="235" t="n"/>
      <c r="X22483" s="235" t="n"/>
    </row>
    <row r="22484" ht="14.25" customHeight="1" s="192">
      <c r="W22484" s="235" t="n"/>
      <c r="X22484" s="235" t="n"/>
    </row>
    <row r="22485" ht="14.25" customHeight="1" s="192">
      <c r="W22485" s="235" t="n"/>
      <c r="X22485" s="235" t="n"/>
    </row>
    <row r="22486" ht="14.25" customHeight="1" s="192">
      <c r="W22486" s="239" t="n"/>
      <c r="X22486" s="239" t="n"/>
    </row>
    <row r="22487" ht="14.25" customHeight="1" s="192">
      <c r="W22487" s="239" t="n"/>
      <c r="X22487" s="239" t="n"/>
    </row>
    <row r="22488" ht="14.25" customHeight="1" s="192">
      <c r="W22488" s="239" t="n"/>
      <c r="X22488" s="239" t="n"/>
    </row>
    <row r="22489" ht="14.25" customHeight="1" s="192">
      <c r="W22489" s="235" t="n"/>
      <c r="X22489" s="235" t="n"/>
    </row>
    <row r="22490" ht="14.25" customHeight="1" s="192">
      <c r="W22490" s="235" t="n"/>
      <c r="X22490" s="235" t="n"/>
    </row>
    <row r="22491" ht="14.25" customHeight="1" s="192">
      <c r="W22491" s="235" t="n"/>
      <c r="X22491" s="235" t="n"/>
    </row>
    <row r="22492" ht="14.25" customHeight="1" s="192">
      <c r="W22492" s="239" t="n"/>
      <c r="X22492" s="239" t="n"/>
    </row>
    <row r="22493" ht="14.25" customHeight="1" s="192">
      <c r="W22493" s="239" t="n"/>
      <c r="X22493" s="239" t="n"/>
    </row>
    <row r="22494" ht="14.25" customHeight="1" s="192">
      <c r="W22494" s="235" t="n"/>
      <c r="X22494" s="235" t="n"/>
    </row>
    <row r="22495" ht="14.25" customHeight="1" s="192">
      <c r="W22495" s="235" t="n"/>
      <c r="X22495" s="235" t="n"/>
    </row>
    <row r="22496" ht="14.25" customHeight="1" s="192">
      <c r="W22496" s="239" t="n"/>
      <c r="X22496" s="239" t="n"/>
    </row>
    <row r="22497" ht="14.25" customHeight="1" s="192">
      <c r="W22497" s="235" t="n"/>
      <c r="X22497" s="235" t="n"/>
    </row>
    <row r="22498" ht="14.25" customHeight="1" s="192">
      <c r="W22498" s="239" t="n"/>
      <c r="X22498" s="239" t="n"/>
    </row>
    <row r="22500" ht="14.25" customHeight="1" s="192">
      <c r="W22500" s="235" t="n"/>
      <c r="X22500" s="235" t="n"/>
    </row>
    <row r="22501" ht="15" customHeight="1" s="192" thickBot="1">
      <c r="W22501" s="239" t="n"/>
      <c r="X22501" s="239" t="n"/>
    </row>
    <row r="22502" ht="15" customHeight="1" s="192" thickBot="1">
      <c r="W22502" s="45" t="n"/>
      <c r="X22502" s="45" t="n"/>
    </row>
    <row r="22503" ht="14.25" customHeight="1" s="192">
      <c r="W22503" s="228" t="n"/>
      <c r="X22503" s="228" t="n"/>
    </row>
    <row r="22504" ht="14.25" customHeight="1" s="192">
      <c r="W22504" s="228" t="n"/>
      <c r="X22504" s="228" t="n"/>
    </row>
    <row r="22505" ht="14.25" customHeight="1" s="192">
      <c r="W22505" s="231" t="n"/>
      <c r="X22505" s="231" t="n"/>
    </row>
    <row r="22506" ht="14.25" customHeight="1" s="192">
      <c r="W22506" s="33" t="n"/>
      <c r="X22506" s="33" t="n"/>
    </row>
    <row r="22507" ht="14.25" customHeight="1" s="192">
      <c r="W22507" s="231" t="n"/>
      <c r="X22507" s="231" t="n"/>
    </row>
    <row r="22508" ht="14.25" customHeight="1" s="192">
      <c r="W22508" s="33" t="n"/>
      <c r="X22508" s="33" t="n"/>
    </row>
    <row r="22510" ht="14.25" customHeight="1" s="192">
      <c r="W22510" s="231" t="n"/>
      <c r="X22510" s="231" t="n"/>
    </row>
    <row r="22511" ht="14.25" customHeight="1" s="192">
      <c r="W22511" s="235" t="n"/>
      <c r="X22511" s="235" t="n"/>
    </row>
    <row r="22512" ht="14.25" customHeight="1" s="192">
      <c r="W22512" s="228" t="n"/>
      <c r="X22512" s="228" t="n"/>
    </row>
    <row r="22513" ht="14.25" customHeight="1" s="192">
      <c r="W22513" s="235" t="n"/>
      <c r="X22513" s="235" t="n"/>
    </row>
    <row r="22514" ht="14.25" customHeight="1" s="192">
      <c r="W22514" s="235" t="n"/>
      <c r="X22514" s="235" t="n"/>
    </row>
    <row r="22515" ht="14.25" customHeight="1" s="192">
      <c r="W22515" s="235" t="n"/>
      <c r="X22515" s="235" t="n"/>
    </row>
    <row r="22516" ht="14.25" customHeight="1" s="192">
      <c r="W22516" s="239" t="n"/>
      <c r="X22516" s="239" t="n"/>
    </row>
    <row r="22517" ht="14.25" customHeight="1" s="192">
      <c r="W22517" s="239" t="n"/>
      <c r="X22517" s="239" t="n"/>
    </row>
    <row r="22518" ht="14.25" customHeight="1" s="192">
      <c r="W22518" s="239" t="n"/>
      <c r="X22518" s="239" t="n"/>
    </row>
    <row r="22519" ht="14.25" customHeight="1" s="192">
      <c r="W22519" s="235" t="n"/>
      <c r="X22519" s="235" t="n"/>
    </row>
    <row r="22520" ht="14.25" customHeight="1" s="192">
      <c r="W22520" s="235" t="n"/>
      <c r="X22520" s="235" t="n"/>
    </row>
    <row r="22521" ht="14.25" customHeight="1" s="192">
      <c r="W22521" s="235" t="n"/>
      <c r="X22521" s="235" t="n"/>
    </row>
    <row r="22522" ht="14.25" customHeight="1" s="192">
      <c r="W22522" s="239" t="n"/>
      <c r="X22522" s="239" t="n"/>
    </row>
    <row r="22523" ht="14.25" customHeight="1" s="192">
      <c r="W22523" s="239" t="n"/>
      <c r="X22523" s="239" t="n"/>
    </row>
    <row r="22524" ht="14.25" customHeight="1" s="192">
      <c r="W22524" s="235" t="n"/>
      <c r="X22524" s="235" t="n"/>
    </row>
    <row r="22525" ht="14.25" customHeight="1" s="192">
      <c r="W22525" s="235" t="n"/>
      <c r="X22525" s="235" t="n"/>
    </row>
    <row r="22526" ht="14.25" customHeight="1" s="192">
      <c r="W22526" s="239" t="n"/>
      <c r="X22526" s="239" t="n"/>
    </row>
    <row r="22527" ht="14.25" customHeight="1" s="192">
      <c r="W22527" s="235" t="n"/>
      <c r="X22527" s="235" t="n"/>
    </row>
    <row r="22528" ht="14.25" customHeight="1" s="192">
      <c r="W22528" s="239" t="n"/>
      <c r="X22528" s="239" t="n"/>
    </row>
    <row r="22530" ht="14.25" customHeight="1" s="192">
      <c r="W22530" s="235" t="n"/>
      <c r="X22530" s="235" t="n"/>
    </row>
    <row r="22531" ht="15" customHeight="1" s="192" thickBot="1">
      <c r="W22531" s="239" t="n"/>
      <c r="X22531" s="239" t="n"/>
    </row>
    <row r="22532" ht="15" customHeight="1" s="192" thickBot="1">
      <c r="W22532" s="45" t="n"/>
      <c r="X22532" s="45" t="n"/>
    </row>
    <row r="22533" ht="14.25" customHeight="1" s="192">
      <c r="W22533" s="228" t="n"/>
      <c r="X22533" s="228" t="n"/>
    </row>
    <row r="22534" ht="14.25" customHeight="1" s="192">
      <c r="W22534" s="228" t="n"/>
      <c r="X22534" s="228" t="n"/>
    </row>
    <row r="22535" ht="14.25" customHeight="1" s="192">
      <c r="W22535" s="231" t="n"/>
      <c r="X22535" s="231" t="n"/>
    </row>
    <row r="22536" ht="14.25" customHeight="1" s="192">
      <c r="W22536" s="33" t="n"/>
      <c r="X22536" s="33" t="n"/>
    </row>
    <row r="22537" ht="14.25" customHeight="1" s="192">
      <c r="W22537" s="231" t="n"/>
      <c r="X22537" s="231" t="n"/>
    </row>
    <row r="22538" ht="14.25" customHeight="1" s="192">
      <c r="W22538" s="33" t="n"/>
      <c r="X22538" s="33" t="n"/>
    </row>
    <row r="22540" ht="14.25" customHeight="1" s="192">
      <c r="W22540" s="231" t="n"/>
      <c r="X22540" s="231" t="n"/>
    </row>
    <row r="22541" ht="14.25" customHeight="1" s="192">
      <c r="W22541" s="235" t="n"/>
      <c r="X22541" s="235" t="n"/>
    </row>
    <row r="22542" ht="14.25" customHeight="1" s="192">
      <c r="W22542" s="228" t="n"/>
      <c r="X22542" s="228" t="n"/>
    </row>
    <row r="22543" ht="14.25" customHeight="1" s="192">
      <c r="W22543" s="235" t="n"/>
      <c r="X22543" s="235" t="n"/>
    </row>
    <row r="22544" ht="14.25" customHeight="1" s="192">
      <c r="W22544" s="235" t="n"/>
      <c r="X22544" s="235" t="n"/>
    </row>
    <row r="22545" ht="14.25" customHeight="1" s="192">
      <c r="W22545" s="235" t="n"/>
      <c r="X22545" s="235" t="n"/>
    </row>
    <row r="22546" ht="14.25" customHeight="1" s="192">
      <c r="W22546" s="239" t="n"/>
      <c r="X22546" s="239" t="n"/>
    </row>
    <row r="22547" ht="14.25" customHeight="1" s="192">
      <c r="W22547" s="239" t="n"/>
      <c r="X22547" s="239" t="n"/>
    </row>
    <row r="22548" ht="14.25" customHeight="1" s="192">
      <c r="W22548" s="239" t="n"/>
      <c r="X22548" s="239" t="n"/>
    </row>
    <row r="22549" ht="14.25" customHeight="1" s="192">
      <c r="W22549" s="235" t="n"/>
      <c r="X22549" s="235" t="n"/>
    </row>
    <row r="22550" ht="14.25" customHeight="1" s="192">
      <c r="W22550" s="235" t="n"/>
      <c r="X22550" s="235" t="n"/>
    </row>
    <row r="22551" ht="14.25" customHeight="1" s="192">
      <c r="W22551" s="235" t="n"/>
      <c r="X22551" s="235" t="n"/>
    </row>
    <row r="22552" ht="14.25" customHeight="1" s="192">
      <c r="W22552" s="239" t="n"/>
      <c r="X22552" s="239" t="n"/>
    </row>
    <row r="22553" ht="14.25" customHeight="1" s="192">
      <c r="W22553" s="239" t="n"/>
      <c r="X22553" s="239" t="n"/>
    </row>
    <row r="22554" ht="14.25" customHeight="1" s="192">
      <c r="W22554" s="235" t="n"/>
      <c r="X22554" s="235" t="n"/>
    </row>
    <row r="22555" ht="14.25" customHeight="1" s="192">
      <c r="W22555" s="235" t="n"/>
      <c r="X22555" s="235" t="n"/>
    </row>
    <row r="22556" ht="14.25" customHeight="1" s="192">
      <c r="W22556" s="239" t="n"/>
      <c r="X22556" s="239" t="n"/>
    </row>
    <row r="22557" ht="14.25" customHeight="1" s="192">
      <c r="W22557" s="235" t="n"/>
      <c r="X22557" s="235" t="n"/>
    </row>
    <row r="22558" ht="14.25" customHeight="1" s="192">
      <c r="W22558" s="239" t="n"/>
      <c r="X22558" s="239" t="n"/>
    </row>
    <row r="22560" ht="14.25" customHeight="1" s="192">
      <c r="W22560" s="235" t="n"/>
      <c r="X22560" s="235" t="n"/>
    </row>
    <row r="22561" ht="15" customHeight="1" s="192" thickBot="1">
      <c r="W22561" s="239" t="n"/>
      <c r="X22561" s="239" t="n"/>
    </row>
    <row r="22562" ht="15" customHeight="1" s="192" thickBot="1">
      <c r="W22562" s="45" t="n"/>
      <c r="X22562" s="45" t="n"/>
    </row>
    <row r="22563" ht="14.25" customHeight="1" s="192">
      <c r="W22563" s="228" t="n"/>
      <c r="X22563" s="228" t="n"/>
    </row>
    <row r="22564" ht="14.25" customHeight="1" s="192">
      <c r="W22564" s="228" t="n"/>
      <c r="X22564" s="228" t="n"/>
    </row>
    <row r="22565" ht="14.25" customHeight="1" s="192">
      <c r="W22565" s="231" t="n"/>
      <c r="X22565" s="231" t="n"/>
    </row>
    <row r="22566" ht="14.25" customHeight="1" s="192">
      <c r="W22566" s="33" t="n"/>
      <c r="X22566" s="33" t="n"/>
    </row>
    <row r="22567" ht="14.25" customHeight="1" s="192">
      <c r="W22567" s="231" t="n"/>
      <c r="X22567" s="231" t="n"/>
    </row>
    <row r="22568" ht="14.25" customHeight="1" s="192">
      <c r="W22568" s="33" t="n"/>
      <c r="X22568" s="33" t="n"/>
    </row>
    <row r="22570" ht="14.25" customHeight="1" s="192">
      <c r="W22570" s="231" t="n"/>
      <c r="X22570" s="231" t="n"/>
    </row>
    <row r="22571" ht="14.25" customHeight="1" s="192">
      <c r="W22571" s="235" t="n"/>
      <c r="X22571" s="235" t="n"/>
    </row>
    <row r="22572" ht="14.25" customHeight="1" s="192">
      <c r="W22572" s="228" t="n"/>
      <c r="X22572" s="228" t="n"/>
    </row>
    <row r="22573" ht="14.25" customHeight="1" s="192">
      <c r="W22573" s="235" t="n"/>
      <c r="X22573" s="235" t="n"/>
    </row>
    <row r="22574" ht="14.25" customHeight="1" s="192">
      <c r="W22574" s="235" t="n"/>
      <c r="X22574" s="235" t="n"/>
    </row>
    <row r="22575" ht="14.25" customHeight="1" s="192">
      <c r="W22575" s="235" t="n"/>
      <c r="X22575" s="235" t="n"/>
    </row>
    <row r="22576" ht="14.25" customHeight="1" s="192">
      <c r="W22576" s="239" t="n"/>
      <c r="X22576" s="239" t="n"/>
    </row>
    <row r="22577" ht="14.25" customHeight="1" s="192">
      <c r="W22577" s="239" t="n"/>
      <c r="X22577" s="239" t="n"/>
    </row>
    <row r="22578" ht="14.25" customHeight="1" s="192">
      <c r="W22578" s="239" t="n"/>
      <c r="X22578" s="239" t="n"/>
    </row>
    <row r="22579" ht="14.25" customHeight="1" s="192">
      <c r="W22579" s="235" t="n"/>
      <c r="X22579" s="235" t="n"/>
    </row>
    <row r="22580" ht="14.25" customHeight="1" s="192">
      <c r="W22580" s="235" t="n"/>
      <c r="X22580" s="235" t="n"/>
    </row>
    <row r="22581" ht="14.25" customHeight="1" s="192">
      <c r="W22581" s="235" t="n"/>
      <c r="X22581" s="235" t="n"/>
    </row>
    <row r="22582" ht="14.25" customHeight="1" s="192">
      <c r="W22582" s="239" t="n"/>
      <c r="X22582" s="239" t="n"/>
    </row>
    <row r="22583" ht="14.25" customHeight="1" s="192">
      <c r="W22583" s="239" t="n"/>
      <c r="X22583" s="239" t="n"/>
    </row>
    <row r="22584" ht="14.25" customHeight="1" s="192">
      <c r="W22584" s="235" t="n"/>
      <c r="X22584" s="235" t="n"/>
    </row>
    <row r="22585" ht="14.25" customHeight="1" s="192">
      <c r="W22585" s="235" t="n"/>
      <c r="X22585" s="235" t="n"/>
    </row>
    <row r="22586" ht="14.25" customHeight="1" s="192">
      <c r="W22586" s="239" t="n"/>
      <c r="X22586" s="239" t="n"/>
    </row>
    <row r="22587" ht="14.25" customHeight="1" s="192">
      <c r="W22587" s="235" t="n"/>
      <c r="X22587" s="235" t="n"/>
    </row>
    <row r="22588" ht="14.25" customHeight="1" s="192">
      <c r="W22588" s="239" t="n"/>
      <c r="X22588" s="239" t="n"/>
    </row>
    <row r="22590" ht="14.25" customHeight="1" s="192">
      <c r="W22590" s="235" t="n"/>
      <c r="X22590" s="235" t="n"/>
    </row>
    <row r="22591" ht="15" customHeight="1" s="192" thickBot="1">
      <c r="W22591" s="239" t="n"/>
      <c r="X22591" s="239" t="n"/>
    </row>
    <row r="22592" ht="15" customHeight="1" s="192" thickBot="1">
      <c r="W22592" s="45" t="n"/>
      <c r="X22592" s="45" t="n"/>
    </row>
    <row r="22593" ht="14.25" customHeight="1" s="192">
      <c r="W22593" s="228" t="n"/>
      <c r="X22593" s="228" t="n"/>
    </row>
    <row r="22594" ht="14.25" customHeight="1" s="192">
      <c r="W22594" s="228" t="n"/>
      <c r="X22594" s="228" t="n"/>
    </row>
    <row r="22595" ht="14.25" customHeight="1" s="192">
      <c r="W22595" s="231" t="n"/>
      <c r="X22595" s="231" t="n"/>
    </row>
    <row r="22596" ht="14.25" customHeight="1" s="192">
      <c r="W22596" s="33" t="n"/>
      <c r="X22596" s="33" t="n"/>
    </row>
    <row r="22597" ht="14.25" customHeight="1" s="192">
      <c r="W22597" s="231" t="n"/>
      <c r="X22597" s="231" t="n"/>
    </row>
    <row r="22598" ht="14.25" customHeight="1" s="192">
      <c r="W22598" s="33" t="n"/>
      <c r="X22598" s="33" t="n"/>
    </row>
    <row r="22600" ht="14.25" customHeight="1" s="192">
      <c r="W22600" s="231" t="n"/>
      <c r="X22600" s="231" t="n"/>
    </row>
    <row r="22601" ht="14.25" customHeight="1" s="192">
      <c r="W22601" s="235" t="n"/>
      <c r="X22601" s="235" t="n"/>
    </row>
    <row r="22602" ht="14.25" customHeight="1" s="192">
      <c r="W22602" s="228" t="n"/>
      <c r="X22602" s="228" t="n"/>
    </row>
    <row r="22603" ht="14.25" customHeight="1" s="192">
      <c r="W22603" s="235" t="n"/>
      <c r="X22603" s="235" t="n"/>
    </row>
    <row r="22604" ht="14.25" customHeight="1" s="192">
      <c r="W22604" s="235" t="n"/>
      <c r="X22604" s="235" t="n"/>
    </row>
    <row r="22605" ht="14.25" customHeight="1" s="192">
      <c r="W22605" s="235" t="n"/>
      <c r="X22605" s="235" t="n"/>
    </row>
    <row r="22606" ht="14.25" customHeight="1" s="192">
      <c r="W22606" s="239" t="n"/>
      <c r="X22606" s="239" t="n"/>
    </row>
    <row r="22607" ht="14.25" customHeight="1" s="192">
      <c r="W22607" s="239" t="n"/>
      <c r="X22607" s="239" t="n"/>
    </row>
    <row r="22608" ht="14.25" customHeight="1" s="192">
      <c r="W22608" s="239" t="n"/>
      <c r="X22608" s="239" t="n"/>
    </row>
    <row r="22609" ht="14.25" customHeight="1" s="192">
      <c r="W22609" s="235" t="n"/>
      <c r="X22609" s="235" t="n"/>
    </row>
    <row r="22610" ht="14.25" customHeight="1" s="192">
      <c r="W22610" s="235" t="n"/>
      <c r="X22610" s="235" t="n"/>
    </row>
    <row r="22611" ht="14.25" customHeight="1" s="192">
      <c r="W22611" s="235" t="n"/>
      <c r="X22611" s="235" t="n"/>
    </row>
    <row r="22612" ht="14.25" customHeight="1" s="192">
      <c r="W22612" s="239" t="n"/>
      <c r="X22612" s="239" t="n"/>
    </row>
    <row r="22613" ht="14.25" customHeight="1" s="192">
      <c r="W22613" s="239" t="n"/>
      <c r="X22613" s="239" t="n"/>
    </row>
    <row r="22614" ht="14.25" customHeight="1" s="192">
      <c r="W22614" s="235" t="n"/>
      <c r="X22614" s="235" t="n"/>
    </row>
    <row r="22615" ht="14.25" customHeight="1" s="192">
      <c r="W22615" s="235" t="n"/>
      <c r="X22615" s="235" t="n"/>
    </row>
    <row r="22616" ht="14.25" customHeight="1" s="192">
      <c r="W22616" s="239" t="n"/>
      <c r="X22616" s="239" t="n"/>
    </row>
    <row r="22617" ht="14.25" customHeight="1" s="192">
      <c r="W22617" s="235" t="n"/>
      <c r="X22617" s="235" t="n"/>
    </row>
    <row r="22618" ht="14.25" customHeight="1" s="192">
      <c r="W22618" s="239" t="n"/>
      <c r="X22618" s="239" t="n"/>
    </row>
    <row r="22620" ht="14.25" customHeight="1" s="192">
      <c r="W22620" s="235" t="n"/>
      <c r="X22620" s="235" t="n"/>
    </row>
    <row r="22621" ht="15" customHeight="1" s="192" thickBot="1">
      <c r="W22621" s="239" t="n"/>
      <c r="X22621" s="239" t="n"/>
    </row>
    <row r="22622" ht="15" customHeight="1" s="192" thickBot="1">
      <c r="W22622" s="45" t="n"/>
      <c r="X22622" s="45" t="n"/>
    </row>
    <row r="22623" ht="14.25" customHeight="1" s="192">
      <c r="W22623" s="228" t="n"/>
      <c r="X22623" s="228" t="n"/>
    </row>
    <row r="22624" ht="14.25" customHeight="1" s="192">
      <c r="W22624" s="228" t="n"/>
      <c r="X22624" s="228" t="n"/>
    </row>
    <row r="22625" ht="14.25" customHeight="1" s="192">
      <c r="W22625" s="231" t="n"/>
      <c r="X22625" s="231" t="n"/>
    </row>
    <row r="22626" ht="14.25" customHeight="1" s="192">
      <c r="W22626" s="33" t="n"/>
      <c r="X22626" s="33" t="n"/>
    </row>
    <row r="22627" ht="14.25" customHeight="1" s="192">
      <c r="W22627" s="231" t="n"/>
      <c r="X22627" s="231" t="n"/>
    </row>
    <row r="22628" ht="14.25" customHeight="1" s="192">
      <c r="W22628" s="33" t="n"/>
      <c r="X22628" s="33" t="n"/>
    </row>
    <row r="22630" ht="14.25" customHeight="1" s="192">
      <c r="W22630" s="231" t="n"/>
      <c r="X22630" s="231" t="n"/>
    </row>
    <row r="22631" ht="14.25" customHeight="1" s="192">
      <c r="W22631" s="235" t="n"/>
      <c r="X22631" s="235" t="n"/>
    </row>
    <row r="22632" ht="14.25" customHeight="1" s="192">
      <c r="W22632" s="228" t="n"/>
      <c r="X22632" s="228" t="n"/>
    </row>
    <row r="22633" ht="14.25" customHeight="1" s="192">
      <c r="W22633" s="235" t="n"/>
      <c r="X22633" s="235" t="n"/>
    </row>
    <row r="22634" ht="14.25" customHeight="1" s="192">
      <c r="W22634" s="235" t="n"/>
      <c r="X22634" s="235" t="n"/>
    </row>
    <row r="22635" ht="14.25" customHeight="1" s="192">
      <c r="W22635" s="235" t="n"/>
      <c r="X22635" s="235" t="n"/>
    </row>
    <row r="22636" ht="14.25" customHeight="1" s="192">
      <c r="W22636" s="239" t="n"/>
      <c r="X22636" s="239" t="n"/>
    </row>
    <row r="22637" ht="14.25" customHeight="1" s="192">
      <c r="W22637" s="239" t="n"/>
      <c r="X22637" s="239" t="n"/>
    </row>
    <row r="22638" ht="14.25" customHeight="1" s="192">
      <c r="W22638" s="239" t="n"/>
      <c r="X22638" s="239" t="n"/>
    </row>
    <row r="22639" ht="14.25" customHeight="1" s="192">
      <c r="W22639" s="235" t="n"/>
      <c r="X22639" s="235" t="n"/>
    </row>
    <row r="22640" ht="14.25" customHeight="1" s="192">
      <c r="W22640" s="235" t="n"/>
      <c r="X22640" s="235" t="n"/>
    </row>
    <row r="22641" ht="14.25" customHeight="1" s="192">
      <c r="W22641" s="235" t="n"/>
      <c r="X22641" s="235" t="n"/>
    </row>
    <row r="22642" ht="14.25" customHeight="1" s="192">
      <c r="W22642" s="239" t="n"/>
      <c r="X22642" s="239" t="n"/>
    </row>
    <row r="22643" ht="14.25" customHeight="1" s="192">
      <c r="W22643" s="239" t="n"/>
      <c r="X22643" s="239" t="n"/>
    </row>
    <row r="22644" ht="14.25" customHeight="1" s="192">
      <c r="W22644" s="235" t="n"/>
      <c r="X22644" s="235" t="n"/>
    </row>
    <row r="22645" ht="14.25" customHeight="1" s="192">
      <c r="W22645" s="235" t="n"/>
      <c r="X22645" s="235" t="n"/>
    </row>
    <row r="22646" ht="14.25" customHeight="1" s="192">
      <c r="W22646" s="239" t="n"/>
      <c r="X22646" s="239" t="n"/>
    </row>
    <row r="22647" ht="14.25" customHeight="1" s="192">
      <c r="W22647" s="235" t="n"/>
      <c r="X22647" s="235" t="n"/>
    </row>
    <row r="22648" ht="14.25" customHeight="1" s="192">
      <c r="W22648" s="239" t="n"/>
      <c r="X22648" s="239" t="n"/>
    </row>
    <row r="22650" ht="14.25" customHeight="1" s="192">
      <c r="W22650" s="235" t="n"/>
      <c r="X22650" s="235" t="n"/>
    </row>
    <row r="22651" ht="15" customHeight="1" s="192" thickBot="1">
      <c r="W22651" s="239" t="n"/>
      <c r="X22651" s="239" t="n"/>
    </row>
    <row r="22652" ht="15" customHeight="1" s="192" thickBot="1">
      <c r="W22652" s="45" t="n"/>
      <c r="X22652" s="45" t="n"/>
    </row>
    <row r="22653" ht="14.25" customHeight="1" s="192">
      <c r="W22653" s="228" t="n"/>
      <c r="X22653" s="228" t="n"/>
    </row>
    <row r="22654" ht="14.25" customHeight="1" s="192">
      <c r="W22654" s="228" t="n"/>
      <c r="X22654" s="228" t="n"/>
    </row>
    <row r="22655" ht="14.25" customHeight="1" s="192">
      <c r="W22655" s="231" t="n"/>
      <c r="X22655" s="231" t="n"/>
    </row>
    <row r="22656" ht="14.25" customHeight="1" s="192">
      <c r="W22656" s="33" t="n"/>
      <c r="X22656" s="33" t="n"/>
    </row>
    <row r="22657" ht="14.25" customHeight="1" s="192">
      <c r="W22657" s="231" t="n"/>
      <c r="X22657" s="231" t="n"/>
    </row>
    <row r="22658" ht="14.25" customHeight="1" s="192">
      <c r="W22658" s="33" t="n"/>
      <c r="X22658" s="33" t="n"/>
    </row>
    <row r="22660" ht="14.25" customHeight="1" s="192">
      <c r="W22660" s="231" t="n"/>
      <c r="X22660" s="231" t="n"/>
    </row>
    <row r="22661" ht="14.25" customHeight="1" s="192">
      <c r="W22661" s="235" t="n"/>
      <c r="X22661" s="235" t="n"/>
    </row>
    <row r="22662" ht="14.25" customHeight="1" s="192">
      <c r="W22662" s="228" t="n"/>
      <c r="X22662" s="228" t="n"/>
    </row>
    <row r="22663" ht="14.25" customHeight="1" s="192">
      <c r="W22663" s="235" t="n"/>
      <c r="X22663" s="235" t="n"/>
    </row>
    <row r="22664" ht="14.25" customHeight="1" s="192">
      <c r="W22664" s="235" t="n"/>
      <c r="X22664" s="235" t="n"/>
    </row>
    <row r="22665" ht="14.25" customHeight="1" s="192">
      <c r="W22665" s="235" t="n"/>
      <c r="X22665" s="235" t="n"/>
    </row>
    <row r="22666" ht="14.25" customHeight="1" s="192">
      <c r="W22666" s="239" t="n"/>
      <c r="X22666" s="239" t="n"/>
    </row>
    <row r="22667" ht="14.25" customHeight="1" s="192">
      <c r="W22667" s="239" t="n"/>
      <c r="X22667" s="239" t="n"/>
    </row>
    <row r="22668" ht="14.25" customHeight="1" s="192">
      <c r="W22668" s="239" t="n"/>
      <c r="X22668" s="239" t="n"/>
    </row>
    <row r="22669" ht="14.25" customHeight="1" s="192">
      <c r="W22669" s="235" t="n"/>
      <c r="X22669" s="235" t="n"/>
    </row>
    <row r="22670" ht="14.25" customHeight="1" s="192">
      <c r="W22670" s="235" t="n"/>
      <c r="X22670" s="235" t="n"/>
    </row>
    <row r="22671" ht="14.25" customHeight="1" s="192">
      <c r="W22671" s="235" t="n"/>
      <c r="X22671" s="235" t="n"/>
    </row>
    <row r="22672" ht="14.25" customHeight="1" s="192">
      <c r="W22672" s="239" t="n"/>
      <c r="X22672" s="239" t="n"/>
    </row>
    <row r="22673" ht="14.25" customHeight="1" s="192">
      <c r="W22673" s="239" t="n"/>
      <c r="X22673" s="239" t="n"/>
    </row>
    <row r="22674" ht="14.25" customHeight="1" s="192">
      <c r="W22674" s="235" t="n"/>
      <c r="X22674" s="235" t="n"/>
    </row>
    <row r="22675" ht="14.25" customHeight="1" s="192">
      <c r="W22675" s="235" t="n"/>
      <c r="X22675" s="235" t="n"/>
    </row>
    <row r="22676" ht="14.25" customHeight="1" s="192">
      <c r="W22676" s="239" t="n"/>
      <c r="X22676" s="239" t="n"/>
    </row>
    <row r="22677" ht="14.25" customHeight="1" s="192">
      <c r="W22677" s="235" t="n"/>
      <c r="X22677" s="235" t="n"/>
    </row>
    <row r="22678" ht="14.25" customHeight="1" s="192">
      <c r="W22678" s="239" t="n"/>
      <c r="X22678" s="239" t="n"/>
    </row>
    <row r="22680" ht="14.25" customHeight="1" s="192">
      <c r="W22680" s="235" t="n"/>
      <c r="X22680" s="235" t="n"/>
    </row>
    <row r="22681" ht="15" customHeight="1" s="192" thickBot="1">
      <c r="W22681" s="239" t="n"/>
      <c r="X22681" s="239" t="n"/>
    </row>
    <row r="22682" ht="15" customHeight="1" s="192" thickBot="1">
      <c r="W22682" s="45" t="n"/>
      <c r="X22682" s="45" t="n"/>
    </row>
    <row r="22683" ht="14.25" customHeight="1" s="192">
      <c r="W22683" s="228" t="n"/>
      <c r="X22683" s="228" t="n"/>
    </row>
    <row r="22684" ht="14.25" customHeight="1" s="192">
      <c r="W22684" s="228" t="n"/>
      <c r="X22684" s="228" t="n"/>
    </row>
    <row r="22685" ht="14.25" customHeight="1" s="192">
      <c r="W22685" s="231" t="n"/>
      <c r="X22685" s="231" t="n"/>
    </row>
    <row r="22686" ht="14.25" customHeight="1" s="192">
      <c r="W22686" s="33" t="n"/>
      <c r="X22686" s="33" t="n"/>
    </row>
    <row r="22687" ht="14.25" customHeight="1" s="192">
      <c r="W22687" s="231" t="n"/>
      <c r="X22687" s="231" t="n"/>
    </row>
    <row r="22688" ht="14.25" customHeight="1" s="192">
      <c r="W22688" s="33" t="n"/>
      <c r="X22688" s="33" t="n"/>
    </row>
    <row r="22690" ht="14.25" customHeight="1" s="192">
      <c r="W22690" s="231" t="n"/>
      <c r="X22690" s="231" t="n"/>
    </row>
    <row r="22691" ht="14.25" customHeight="1" s="192">
      <c r="W22691" s="235" t="n"/>
      <c r="X22691" s="235" t="n"/>
    </row>
    <row r="22692" ht="14.25" customHeight="1" s="192">
      <c r="W22692" s="228" t="n"/>
      <c r="X22692" s="228" t="n"/>
    </row>
    <row r="22693" ht="14.25" customHeight="1" s="192">
      <c r="W22693" s="235" t="n"/>
      <c r="X22693" s="235" t="n"/>
    </row>
    <row r="22694" ht="14.25" customHeight="1" s="192">
      <c r="W22694" s="235" t="n"/>
      <c r="X22694" s="235" t="n"/>
    </row>
    <row r="22695" ht="14.25" customHeight="1" s="192">
      <c r="W22695" s="235" t="n"/>
      <c r="X22695" s="235" t="n"/>
    </row>
    <row r="22696" ht="14.25" customHeight="1" s="192">
      <c r="W22696" s="239" t="n"/>
      <c r="X22696" s="239" t="n"/>
    </row>
    <row r="22697" ht="14.25" customHeight="1" s="192">
      <c r="W22697" s="239" t="n"/>
      <c r="X22697" s="239" t="n"/>
    </row>
    <row r="22698" ht="14.25" customHeight="1" s="192">
      <c r="W22698" s="239" t="n"/>
      <c r="X22698" s="239" t="n"/>
    </row>
    <row r="22699" ht="14.25" customHeight="1" s="192">
      <c r="W22699" s="235" t="n"/>
      <c r="X22699" s="235" t="n"/>
    </row>
    <row r="22700" ht="14.25" customHeight="1" s="192">
      <c r="W22700" s="235" t="n"/>
      <c r="X22700" s="235" t="n"/>
    </row>
    <row r="22701" ht="14.25" customHeight="1" s="192">
      <c r="W22701" s="235" t="n"/>
      <c r="X22701" s="235" t="n"/>
    </row>
    <row r="22702" ht="14.25" customHeight="1" s="192">
      <c r="W22702" s="239" t="n"/>
      <c r="X22702" s="239" t="n"/>
    </row>
    <row r="22703" ht="14.25" customHeight="1" s="192">
      <c r="W22703" s="239" t="n"/>
      <c r="X22703" s="239" t="n"/>
    </row>
    <row r="22704" ht="14.25" customHeight="1" s="192">
      <c r="W22704" s="235" t="n"/>
      <c r="X22704" s="235" t="n"/>
    </row>
    <row r="22705" ht="14.25" customHeight="1" s="192">
      <c r="W22705" s="235" t="n"/>
      <c r="X22705" s="235" t="n"/>
    </row>
    <row r="22706" ht="14.25" customHeight="1" s="192">
      <c r="W22706" s="239" t="n"/>
      <c r="X22706" s="239" t="n"/>
    </row>
    <row r="22707" ht="14.25" customHeight="1" s="192">
      <c r="W22707" s="235" t="n"/>
      <c r="X22707" s="235" t="n"/>
    </row>
    <row r="22708" ht="14.25" customHeight="1" s="192">
      <c r="W22708" s="239" t="n"/>
      <c r="X22708" s="239" t="n"/>
    </row>
    <row r="22710" ht="14.25" customHeight="1" s="192">
      <c r="W22710" s="235" t="n"/>
      <c r="X22710" s="235" t="n"/>
    </row>
    <row r="22711" ht="15" customHeight="1" s="192" thickBot="1">
      <c r="W22711" s="239" t="n"/>
      <c r="X22711" s="239" t="n"/>
    </row>
    <row r="22712" ht="15" customHeight="1" s="192" thickBot="1">
      <c r="W22712" s="45" t="n"/>
      <c r="X22712" s="45" t="n"/>
    </row>
    <row r="22713" ht="14.25" customHeight="1" s="192">
      <c r="W22713" s="228" t="n"/>
      <c r="X22713" s="228" t="n"/>
    </row>
    <row r="22714" ht="14.25" customHeight="1" s="192">
      <c r="W22714" s="228" t="n"/>
      <c r="X22714" s="228" t="n"/>
    </row>
    <row r="22715" ht="14.25" customHeight="1" s="192">
      <c r="W22715" s="231" t="n"/>
      <c r="X22715" s="231" t="n"/>
    </row>
    <row r="22716" ht="14.25" customHeight="1" s="192">
      <c r="W22716" s="33" t="n"/>
      <c r="X22716" s="33" t="n"/>
    </row>
    <row r="22717" ht="14.25" customHeight="1" s="192">
      <c r="W22717" s="231" t="n"/>
      <c r="X22717" s="231" t="n"/>
    </row>
    <row r="22718" ht="14.25" customHeight="1" s="192">
      <c r="W22718" s="33" t="n"/>
      <c r="X22718" s="33" t="n"/>
    </row>
    <row r="22720" ht="14.25" customHeight="1" s="192">
      <c r="W22720" s="231" t="n"/>
      <c r="X22720" s="231" t="n"/>
    </row>
    <row r="22721" ht="14.25" customHeight="1" s="192">
      <c r="W22721" s="235" t="n"/>
      <c r="X22721" s="235" t="n"/>
    </row>
    <row r="22722" ht="14.25" customHeight="1" s="192">
      <c r="W22722" s="228" t="n"/>
      <c r="X22722" s="228" t="n"/>
    </row>
    <row r="22723" ht="14.25" customHeight="1" s="192">
      <c r="W22723" s="235" t="n"/>
      <c r="X22723" s="235" t="n"/>
    </row>
    <row r="22724" ht="14.25" customHeight="1" s="192">
      <c r="W22724" s="235" t="n"/>
      <c r="X22724" s="235" t="n"/>
    </row>
    <row r="22725" ht="14.25" customHeight="1" s="192">
      <c r="W22725" s="235" t="n"/>
      <c r="X22725" s="235" t="n"/>
    </row>
    <row r="22726" ht="14.25" customHeight="1" s="192">
      <c r="W22726" s="239" t="n"/>
      <c r="X22726" s="239" t="n"/>
    </row>
    <row r="22727" ht="14.25" customHeight="1" s="192">
      <c r="W22727" s="239" t="n"/>
      <c r="X22727" s="239" t="n"/>
    </row>
    <row r="22728" ht="14.25" customHeight="1" s="192">
      <c r="W22728" s="239" t="n"/>
      <c r="X22728" s="239" t="n"/>
    </row>
    <row r="22729" ht="14.25" customHeight="1" s="192">
      <c r="W22729" s="235" t="n"/>
      <c r="X22729" s="235" t="n"/>
    </row>
    <row r="22730" ht="14.25" customHeight="1" s="192">
      <c r="W22730" s="235" t="n"/>
      <c r="X22730" s="235" t="n"/>
    </row>
    <row r="22731" ht="14.25" customHeight="1" s="192">
      <c r="W22731" s="235" t="n"/>
      <c r="X22731" s="235" t="n"/>
    </row>
    <row r="22732" ht="14.25" customHeight="1" s="192">
      <c r="W22732" s="239" t="n"/>
      <c r="X22732" s="239" t="n"/>
    </row>
    <row r="22733" ht="14.25" customHeight="1" s="192">
      <c r="W22733" s="239" t="n"/>
      <c r="X22733" s="239" t="n"/>
    </row>
    <row r="22734" ht="14.25" customHeight="1" s="192">
      <c r="W22734" s="235" t="n"/>
      <c r="X22734" s="235" t="n"/>
    </row>
    <row r="22735" ht="14.25" customHeight="1" s="192">
      <c r="W22735" s="235" t="n"/>
      <c r="X22735" s="235" t="n"/>
    </row>
    <row r="22736" ht="14.25" customHeight="1" s="192">
      <c r="W22736" s="239" t="n"/>
      <c r="X22736" s="239" t="n"/>
    </row>
    <row r="22737" ht="14.25" customHeight="1" s="192">
      <c r="W22737" s="235" t="n"/>
      <c r="X22737" s="235" t="n"/>
    </row>
    <row r="22738" ht="14.25" customHeight="1" s="192">
      <c r="W22738" s="239" t="n"/>
      <c r="X22738" s="239" t="n"/>
    </row>
    <row r="22740" ht="14.25" customHeight="1" s="192">
      <c r="W22740" s="235" t="n"/>
      <c r="X22740" s="235" t="n"/>
    </row>
    <row r="22741" ht="15" customHeight="1" s="192" thickBot="1">
      <c r="W22741" s="239" t="n"/>
      <c r="X22741" s="239" t="n"/>
    </row>
    <row r="22742" ht="15" customHeight="1" s="192" thickBot="1">
      <c r="W22742" s="45" t="n"/>
      <c r="X22742" s="45" t="n"/>
    </row>
    <row r="22743" ht="14.25" customHeight="1" s="192">
      <c r="W22743" s="228" t="n"/>
      <c r="X22743" s="228" t="n"/>
    </row>
    <row r="22744" ht="14.25" customHeight="1" s="192">
      <c r="W22744" s="228" t="n"/>
      <c r="X22744" s="228" t="n"/>
    </row>
    <row r="22745" ht="14.25" customHeight="1" s="192">
      <c r="W22745" s="231" t="n"/>
      <c r="X22745" s="231" t="n"/>
    </row>
    <row r="22746" ht="14.25" customHeight="1" s="192">
      <c r="W22746" s="33" t="n"/>
      <c r="X22746" s="33" t="n"/>
    </row>
    <row r="22747" ht="14.25" customHeight="1" s="192">
      <c r="W22747" s="231" t="n"/>
      <c r="X22747" s="231" t="n"/>
    </row>
    <row r="22748" ht="14.25" customHeight="1" s="192">
      <c r="W22748" s="33" t="n"/>
      <c r="X22748" s="33" t="n"/>
    </row>
    <row r="22750" ht="14.25" customHeight="1" s="192">
      <c r="W22750" s="231" t="n"/>
      <c r="X22750" s="231" t="n"/>
    </row>
    <row r="22751" ht="14.25" customHeight="1" s="192">
      <c r="W22751" s="235" t="n"/>
      <c r="X22751" s="235" t="n"/>
    </row>
    <row r="22752" ht="14.25" customHeight="1" s="192">
      <c r="W22752" s="228" t="n"/>
      <c r="X22752" s="228" t="n"/>
    </row>
    <row r="22753" ht="14.25" customHeight="1" s="192">
      <c r="W22753" s="235" t="n"/>
      <c r="X22753" s="235" t="n"/>
    </row>
    <row r="22754" ht="14.25" customHeight="1" s="192">
      <c r="W22754" s="235" t="n"/>
      <c r="X22754" s="235" t="n"/>
    </row>
    <row r="22755" ht="14.25" customHeight="1" s="192">
      <c r="W22755" s="235" t="n"/>
      <c r="X22755" s="235" t="n"/>
    </row>
    <row r="22756" ht="14.25" customHeight="1" s="192">
      <c r="W22756" s="239" t="n"/>
      <c r="X22756" s="239" t="n"/>
    </row>
    <row r="22757" ht="14.25" customHeight="1" s="192">
      <c r="W22757" s="239" t="n"/>
      <c r="X22757" s="239" t="n"/>
    </row>
    <row r="22758" ht="14.25" customHeight="1" s="192">
      <c r="W22758" s="239" t="n"/>
      <c r="X22758" s="239" t="n"/>
    </row>
    <row r="22759" ht="14.25" customHeight="1" s="192">
      <c r="W22759" s="235" t="n"/>
      <c r="X22759" s="235" t="n"/>
    </row>
    <row r="22760" ht="14.25" customHeight="1" s="192">
      <c r="W22760" s="235" t="n"/>
      <c r="X22760" s="235" t="n"/>
    </row>
    <row r="22761" ht="14.25" customHeight="1" s="192">
      <c r="W22761" s="235" t="n"/>
      <c r="X22761" s="235" t="n"/>
    </row>
    <row r="22762" ht="14.25" customHeight="1" s="192">
      <c r="W22762" s="239" t="n"/>
      <c r="X22762" s="239" t="n"/>
    </row>
    <row r="22763" ht="14.25" customHeight="1" s="192">
      <c r="W22763" s="239" t="n"/>
      <c r="X22763" s="239" t="n"/>
    </row>
    <row r="22764" ht="14.25" customHeight="1" s="192">
      <c r="W22764" s="235" t="n"/>
      <c r="X22764" s="235" t="n"/>
    </row>
    <row r="22765" ht="14.25" customHeight="1" s="192">
      <c r="W22765" s="235" t="n"/>
      <c r="X22765" s="235" t="n"/>
    </row>
    <row r="22766" ht="14.25" customHeight="1" s="192">
      <c r="W22766" s="239" t="n"/>
      <c r="X22766" s="239" t="n"/>
    </row>
    <row r="22767" ht="14.25" customHeight="1" s="192">
      <c r="W22767" s="235" t="n"/>
      <c r="X22767" s="235" t="n"/>
    </row>
    <row r="22768" ht="14.25" customHeight="1" s="192">
      <c r="W22768" s="239" t="n"/>
      <c r="X22768" s="239" t="n"/>
    </row>
    <row r="22770" ht="14.25" customHeight="1" s="192">
      <c r="W22770" s="235" t="n"/>
      <c r="X22770" s="235" t="n"/>
    </row>
    <row r="22771" ht="15" customHeight="1" s="192" thickBot="1">
      <c r="W22771" s="239" t="n"/>
      <c r="X22771" s="239" t="n"/>
    </row>
    <row r="22772" ht="15" customHeight="1" s="192" thickBot="1">
      <c r="W22772" s="45" t="n"/>
      <c r="X22772" s="45" t="n"/>
    </row>
    <row r="22773" ht="14.25" customHeight="1" s="192">
      <c r="W22773" s="228" t="n"/>
      <c r="X22773" s="228" t="n"/>
    </row>
    <row r="22774" ht="14.25" customHeight="1" s="192">
      <c r="W22774" s="228" t="n"/>
      <c r="X22774" s="228" t="n"/>
    </row>
    <row r="22775" ht="14.25" customHeight="1" s="192">
      <c r="W22775" s="231" t="n"/>
      <c r="X22775" s="231" t="n"/>
    </row>
    <row r="22776" ht="14.25" customHeight="1" s="192">
      <c r="W22776" s="33" t="n"/>
      <c r="X22776" s="33" t="n"/>
    </row>
    <row r="22777" ht="14.25" customHeight="1" s="192">
      <c r="W22777" s="231" t="n"/>
      <c r="X22777" s="231" t="n"/>
    </row>
    <row r="22778" ht="14.25" customHeight="1" s="192">
      <c r="W22778" s="33" t="n"/>
      <c r="X22778" s="33" t="n"/>
    </row>
    <row r="22780" ht="14.25" customHeight="1" s="192">
      <c r="W22780" s="231" t="n"/>
      <c r="X22780" s="231" t="n"/>
    </row>
    <row r="22781" ht="14.25" customHeight="1" s="192">
      <c r="W22781" s="235" t="n"/>
      <c r="X22781" s="235" t="n"/>
    </row>
    <row r="22782" ht="14.25" customHeight="1" s="192">
      <c r="W22782" s="228" t="n"/>
      <c r="X22782" s="228" t="n"/>
    </row>
    <row r="22783" ht="14.25" customHeight="1" s="192">
      <c r="W22783" s="235" t="n"/>
      <c r="X22783" s="235" t="n"/>
    </row>
    <row r="22784" ht="14.25" customHeight="1" s="192">
      <c r="W22784" s="235" t="n"/>
      <c r="X22784" s="235" t="n"/>
    </row>
    <row r="22785" ht="14.25" customHeight="1" s="192">
      <c r="W22785" s="235" t="n"/>
      <c r="X22785" s="235" t="n"/>
    </row>
    <row r="22786" ht="14.25" customHeight="1" s="192">
      <c r="W22786" s="239" t="n"/>
      <c r="X22786" s="239" t="n"/>
    </row>
    <row r="22787" ht="14.25" customHeight="1" s="192">
      <c r="W22787" s="239" t="n"/>
      <c r="X22787" s="239" t="n"/>
    </row>
    <row r="22788" ht="14.25" customHeight="1" s="192">
      <c r="W22788" s="239" t="n"/>
      <c r="X22788" s="239" t="n"/>
    </row>
    <row r="22789" ht="14.25" customHeight="1" s="192">
      <c r="W22789" s="235" t="n"/>
      <c r="X22789" s="235" t="n"/>
    </row>
    <row r="22790" ht="14.25" customHeight="1" s="192">
      <c r="W22790" s="235" t="n"/>
      <c r="X22790" s="235" t="n"/>
    </row>
    <row r="22791" ht="14.25" customHeight="1" s="192">
      <c r="W22791" s="235" t="n"/>
      <c r="X22791" s="235" t="n"/>
    </row>
    <row r="22792" ht="14.25" customHeight="1" s="192">
      <c r="W22792" s="239" t="n"/>
      <c r="X22792" s="239" t="n"/>
    </row>
    <row r="22793" ht="14.25" customHeight="1" s="192">
      <c r="W22793" s="239" t="n"/>
      <c r="X22793" s="239" t="n"/>
    </row>
    <row r="22794" ht="14.25" customHeight="1" s="192">
      <c r="W22794" s="235" t="n"/>
      <c r="X22794" s="235" t="n"/>
    </row>
    <row r="22795" ht="14.25" customHeight="1" s="192">
      <c r="W22795" s="235" t="n"/>
      <c r="X22795" s="235" t="n"/>
    </row>
    <row r="22796" ht="14.25" customHeight="1" s="192">
      <c r="W22796" s="239" t="n"/>
      <c r="X22796" s="239" t="n"/>
    </row>
    <row r="22797" ht="14.25" customHeight="1" s="192">
      <c r="W22797" s="235" t="n"/>
      <c r="X22797" s="235" t="n"/>
    </row>
    <row r="22798" ht="14.25" customHeight="1" s="192">
      <c r="W22798" s="239" t="n"/>
      <c r="X22798" s="239" t="n"/>
    </row>
    <row r="22800" ht="14.25" customHeight="1" s="192">
      <c r="W22800" s="235" t="n"/>
      <c r="X22800" s="235" t="n"/>
    </row>
    <row r="22801" ht="15" customHeight="1" s="192" thickBot="1">
      <c r="W22801" s="239" t="n"/>
      <c r="X22801" s="239" t="n"/>
    </row>
    <row r="22802" ht="15" customHeight="1" s="192" thickBot="1">
      <c r="W22802" s="45" t="n"/>
      <c r="X22802" s="45" t="n"/>
    </row>
    <row r="22803" ht="14.25" customHeight="1" s="192">
      <c r="W22803" s="228" t="n"/>
      <c r="X22803" s="228" t="n"/>
    </row>
    <row r="22804" ht="14.25" customHeight="1" s="192">
      <c r="W22804" s="228" t="n"/>
      <c r="X22804" s="228" t="n"/>
    </row>
    <row r="22805" ht="14.25" customHeight="1" s="192">
      <c r="W22805" s="231" t="n"/>
      <c r="X22805" s="231" t="n"/>
    </row>
    <row r="22806" ht="14.25" customHeight="1" s="192">
      <c r="W22806" s="33" t="n"/>
      <c r="X22806" s="33" t="n"/>
    </row>
    <row r="22807" ht="14.25" customHeight="1" s="192">
      <c r="W22807" s="231" t="n"/>
      <c r="X22807" s="231" t="n"/>
    </row>
    <row r="22808" ht="14.25" customHeight="1" s="192">
      <c r="W22808" s="33" t="n"/>
      <c r="X22808" s="33" t="n"/>
    </row>
    <row r="22810" ht="14.25" customHeight="1" s="192">
      <c r="W22810" s="231" t="n"/>
      <c r="X22810" s="231" t="n"/>
    </row>
    <row r="22811" ht="14.25" customHeight="1" s="192">
      <c r="W22811" s="235" t="n"/>
      <c r="X22811" s="235" t="n"/>
    </row>
    <row r="22812" ht="14.25" customHeight="1" s="192">
      <c r="W22812" s="228" t="n"/>
      <c r="X22812" s="228" t="n"/>
    </row>
    <row r="22813" ht="14.25" customHeight="1" s="192">
      <c r="W22813" s="235" t="n"/>
      <c r="X22813" s="235" t="n"/>
    </row>
    <row r="22814" ht="14.25" customHeight="1" s="192">
      <c r="W22814" s="235" t="n"/>
      <c r="X22814" s="235" t="n"/>
    </row>
    <row r="22815" ht="14.25" customHeight="1" s="192">
      <c r="W22815" s="235" t="n"/>
      <c r="X22815" s="235" t="n"/>
    </row>
    <row r="22816" ht="14.25" customHeight="1" s="192">
      <c r="W22816" s="239" t="n"/>
      <c r="X22816" s="239" t="n"/>
    </row>
    <row r="22817" ht="14.25" customHeight="1" s="192">
      <c r="W22817" s="239" t="n"/>
      <c r="X22817" s="239" t="n"/>
    </row>
    <row r="22818" ht="14.25" customHeight="1" s="192">
      <c r="W22818" s="239" t="n"/>
      <c r="X22818" s="239" t="n"/>
    </row>
    <row r="22819" ht="14.25" customHeight="1" s="192">
      <c r="W22819" s="235" t="n"/>
      <c r="X22819" s="235" t="n"/>
    </row>
    <row r="22820" ht="14.25" customHeight="1" s="192">
      <c r="W22820" s="235" t="n"/>
      <c r="X22820" s="235" t="n"/>
    </row>
    <row r="22821" ht="14.25" customHeight="1" s="192">
      <c r="W22821" s="235" t="n"/>
      <c r="X22821" s="235" t="n"/>
    </row>
    <row r="22822" ht="14.25" customHeight="1" s="192">
      <c r="W22822" s="239" t="n"/>
      <c r="X22822" s="239" t="n"/>
    </row>
    <row r="22823" ht="14.25" customHeight="1" s="192">
      <c r="W22823" s="239" t="n"/>
      <c r="X22823" s="239" t="n"/>
    </row>
    <row r="22824" ht="14.25" customHeight="1" s="192">
      <c r="W22824" s="235" t="n"/>
      <c r="X22824" s="235" t="n"/>
    </row>
    <row r="22825" ht="14.25" customHeight="1" s="192">
      <c r="W22825" s="235" t="n"/>
      <c r="X22825" s="235" t="n"/>
    </row>
    <row r="22826" ht="14.25" customHeight="1" s="192">
      <c r="W22826" s="239" t="n"/>
      <c r="X22826" s="239" t="n"/>
    </row>
    <row r="22827" ht="14.25" customHeight="1" s="192">
      <c r="W22827" s="235" t="n"/>
      <c r="X22827" s="235" t="n"/>
    </row>
    <row r="22828" ht="14.25" customHeight="1" s="192">
      <c r="W22828" s="239" t="n"/>
      <c r="X22828" s="239" t="n"/>
    </row>
    <row r="22830" ht="14.25" customHeight="1" s="192">
      <c r="W22830" s="235" t="n"/>
      <c r="X22830" s="235" t="n"/>
    </row>
    <row r="22831" ht="15" customHeight="1" s="192" thickBot="1">
      <c r="W22831" s="239" t="n"/>
      <c r="X22831" s="239" t="n"/>
    </row>
    <row r="22832" ht="15" customHeight="1" s="192" thickBot="1">
      <c r="W22832" s="45" t="n"/>
      <c r="X22832" s="45" t="n"/>
    </row>
    <row r="22833" ht="14.25" customHeight="1" s="192">
      <c r="W22833" s="228" t="n"/>
      <c r="X22833" s="228" t="n"/>
    </row>
    <row r="22834" ht="14.25" customHeight="1" s="192">
      <c r="W22834" s="228" t="n"/>
      <c r="X22834" s="228" t="n"/>
    </row>
    <row r="22835" ht="14.25" customHeight="1" s="192">
      <c r="W22835" s="231" t="n"/>
      <c r="X22835" s="231" t="n"/>
    </row>
    <row r="22836" ht="14.25" customHeight="1" s="192">
      <c r="W22836" s="33" t="n"/>
      <c r="X22836" s="33" t="n"/>
    </row>
    <row r="22837" ht="14.25" customHeight="1" s="192">
      <c r="W22837" s="231" t="n"/>
      <c r="X22837" s="231" t="n"/>
    </row>
    <row r="22838" ht="14.25" customHeight="1" s="192">
      <c r="W22838" s="33" t="n"/>
      <c r="X22838" s="33" t="n"/>
    </row>
    <row r="22840" ht="14.25" customHeight="1" s="192">
      <c r="W22840" s="231" t="n"/>
      <c r="X22840" s="231" t="n"/>
    </row>
    <row r="22841" ht="14.25" customHeight="1" s="192">
      <c r="W22841" s="235" t="n"/>
      <c r="X22841" s="235" t="n"/>
    </row>
    <row r="22842" ht="14.25" customHeight="1" s="192">
      <c r="W22842" s="228" t="n"/>
      <c r="X22842" s="228" t="n"/>
    </row>
    <row r="22843" ht="14.25" customHeight="1" s="192">
      <c r="W22843" s="235" t="n"/>
      <c r="X22843" s="235" t="n"/>
    </row>
    <row r="22844" ht="14.25" customHeight="1" s="192">
      <c r="W22844" s="235" t="n"/>
      <c r="X22844" s="235" t="n"/>
    </row>
    <row r="22845" ht="14.25" customHeight="1" s="192">
      <c r="W22845" s="235" t="n"/>
      <c r="X22845" s="235" t="n"/>
    </row>
    <row r="22846" ht="14.25" customHeight="1" s="192">
      <c r="W22846" s="239" t="n"/>
      <c r="X22846" s="239" t="n"/>
    </row>
    <row r="22847" ht="14.25" customHeight="1" s="192">
      <c r="W22847" s="239" t="n"/>
      <c r="X22847" s="239" t="n"/>
    </row>
    <row r="22848" ht="14.25" customHeight="1" s="192">
      <c r="W22848" s="239" t="n"/>
      <c r="X22848" s="239" t="n"/>
    </row>
    <row r="22849" ht="14.25" customHeight="1" s="192">
      <c r="W22849" s="235" t="n"/>
      <c r="X22849" s="235" t="n"/>
    </row>
    <row r="22850" ht="14.25" customHeight="1" s="192">
      <c r="W22850" s="235" t="n"/>
      <c r="X22850" s="235" t="n"/>
    </row>
    <row r="22851" ht="14.25" customHeight="1" s="192">
      <c r="W22851" s="235" t="n"/>
      <c r="X22851" s="235" t="n"/>
    </row>
    <row r="22852" ht="14.25" customHeight="1" s="192">
      <c r="W22852" s="239" t="n"/>
      <c r="X22852" s="239" t="n"/>
    </row>
    <row r="22853" ht="14.25" customHeight="1" s="192">
      <c r="W22853" s="239" t="n"/>
      <c r="X22853" s="239" t="n"/>
    </row>
    <row r="22854" ht="14.25" customHeight="1" s="192">
      <c r="W22854" s="235" t="n"/>
      <c r="X22854" s="235" t="n"/>
    </row>
    <row r="22855" ht="14.25" customHeight="1" s="192">
      <c r="W22855" s="235" t="n"/>
      <c r="X22855" s="235" t="n"/>
    </row>
    <row r="22856" ht="14.25" customHeight="1" s="192">
      <c r="W22856" s="239" t="n"/>
      <c r="X22856" s="239" t="n"/>
    </row>
    <row r="22857" ht="14.25" customHeight="1" s="192">
      <c r="W22857" s="235" t="n"/>
      <c r="X22857" s="235" t="n"/>
    </row>
    <row r="22858" ht="14.25" customHeight="1" s="192">
      <c r="W22858" s="239" t="n"/>
      <c r="X22858" s="239" t="n"/>
    </row>
    <row r="22860" ht="14.25" customHeight="1" s="192">
      <c r="W22860" s="235" t="n"/>
      <c r="X22860" s="235" t="n"/>
    </row>
    <row r="22861" ht="15" customHeight="1" s="192" thickBot="1">
      <c r="W22861" s="239" t="n"/>
      <c r="X22861" s="239" t="n"/>
    </row>
    <row r="22862" ht="15" customHeight="1" s="192" thickBot="1">
      <c r="W22862" s="45" t="n"/>
      <c r="X22862" s="45" t="n"/>
    </row>
    <row r="22863" ht="14.25" customHeight="1" s="192">
      <c r="W22863" s="228" t="n"/>
      <c r="X22863" s="228" t="n"/>
    </row>
    <row r="22864" ht="14.25" customHeight="1" s="192">
      <c r="W22864" s="228" t="n"/>
      <c r="X22864" s="228" t="n"/>
    </row>
    <row r="22865" ht="14.25" customHeight="1" s="192">
      <c r="W22865" s="231" t="n"/>
      <c r="X22865" s="231" t="n"/>
    </row>
    <row r="22866" ht="14.25" customHeight="1" s="192">
      <c r="W22866" s="33" t="n"/>
      <c r="X22866" s="33" t="n"/>
    </row>
    <row r="22867" ht="14.25" customHeight="1" s="192">
      <c r="W22867" s="231" t="n"/>
      <c r="X22867" s="231" t="n"/>
    </row>
    <row r="22868" ht="14.25" customHeight="1" s="192">
      <c r="W22868" s="33" t="n"/>
      <c r="X22868" s="33" t="n"/>
    </row>
    <row r="22870" ht="14.25" customHeight="1" s="192">
      <c r="W22870" s="231" t="n"/>
      <c r="X22870" s="231" t="n"/>
    </row>
    <row r="22871" ht="14.25" customHeight="1" s="192">
      <c r="W22871" s="235" t="n"/>
      <c r="X22871" s="235" t="n"/>
    </row>
    <row r="22872" ht="14.25" customHeight="1" s="192">
      <c r="W22872" s="228" t="n"/>
      <c r="X22872" s="228" t="n"/>
    </row>
    <row r="22873" ht="14.25" customHeight="1" s="192">
      <c r="W22873" s="235" t="n"/>
      <c r="X22873" s="235" t="n"/>
    </row>
    <row r="22874" ht="14.25" customHeight="1" s="192">
      <c r="W22874" s="235" t="n"/>
      <c r="X22874" s="235" t="n"/>
    </row>
    <row r="22875" ht="14.25" customHeight="1" s="192">
      <c r="W22875" s="235" t="n"/>
      <c r="X22875" s="235" t="n"/>
    </row>
    <row r="22876" ht="14.25" customHeight="1" s="192">
      <c r="W22876" s="239" t="n"/>
      <c r="X22876" s="239" t="n"/>
    </row>
    <row r="22877" ht="14.25" customHeight="1" s="192">
      <c r="W22877" s="239" t="n"/>
      <c r="X22877" s="239" t="n"/>
    </row>
    <row r="22878" ht="14.25" customHeight="1" s="192">
      <c r="W22878" s="239" t="n"/>
      <c r="X22878" s="239" t="n"/>
    </row>
    <row r="22879" ht="14.25" customHeight="1" s="192">
      <c r="W22879" s="235" t="n"/>
      <c r="X22879" s="235" t="n"/>
    </row>
    <row r="22880" ht="14.25" customHeight="1" s="192">
      <c r="W22880" s="235" t="n"/>
      <c r="X22880" s="235" t="n"/>
    </row>
    <row r="22881" ht="14.25" customHeight="1" s="192">
      <c r="W22881" s="235" t="n"/>
      <c r="X22881" s="235" t="n"/>
    </row>
    <row r="22882" ht="14.25" customHeight="1" s="192">
      <c r="W22882" s="239" t="n"/>
      <c r="X22882" s="239" t="n"/>
    </row>
    <row r="22883" ht="14.25" customHeight="1" s="192">
      <c r="W22883" s="239" t="n"/>
      <c r="X22883" s="239" t="n"/>
    </row>
    <row r="22884" ht="14.25" customHeight="1" s="192">
      <c r="W22884" s="235" t="n"/>
      <c r="X22884" s="235" t="n"/>
    </row>
    <row r="22885" ht="14.25" customHeight="1" s="192">
      <c r="W22885" s="235" t="n"/>
      <c r="X22885" s="235" t="n"/>
    </row>
    <row r="22886" ht="14.25" customHeight="1" s="192">
      <c r="W22886" s="239" t="n"/>
      <c r="X22886" s="239" t="n"/>
    </row>
    <row r="22887" ht="14.25" customHeight="1" s="192">
      <c r="W22887" s="235" t="n"/>
      <c r="X22887" s="235" t="n"/>
    </row>
    <row r="22888" ht="14.25" customHeight="1" s="192">
      <c r="W22888" s="239" t="n"/>
      <c r="X22888" s="239" t="n"/>
    </row>
    <row r="22890" ht="14.25" customHeight="1" s="192">
      <c r="W22890" s="235" t="n"/>
      <c r="X22890" s="235" t="n"/>
    </row>
    <row r="22891" ht="15" customHeight="1" s="192" thickBot="1">
      <c r="W22891" s="239" t="n"/>
      <c r="X22891" s="239" t="n"/>
    </row>
    <row r="22892" ht="15" customHeight="1" s="192" thickBot="1">
      <c r="W22892" s="45" t="n"/>
      <c r="X22892" s="45" t="n"/>
    </row>
    <row r="22893" ht="14.25" customHeight="1" s="192">
      <c r="W22893" s="228" t="n"/>
      <c r="X22893" s="228" t="n"/>
    </row>
    <row r="22894" ht="14.25" customHeight="1" s="192">
      <c r="W22894" s="228" t="n"/>
      <c r="X22894" s="228" t="n"/>
    </row>
    <row r="22895" ht="14.25" customHeight="1" s="192">
      <c r="W22895" s="231" t="n"/>
      <c r="X22895" s="231" t="n"/>
    </row>
    <row r="22896" ht="14.25" customHeight="1" s="192">
      <c r="W22896" s="33" t="n"/>
      <c r="X22896" s="33" t="n"/>
    </row>
    <row r="22897" ht="14.25" customHeight="1" s="192">
      <c r="W22897" s="231" t="n"/>
      <c r="X22897" s="231" t="n"/>
    </row>
    <row r="22898" ht="14.25" customHeight="1" s="192">
      <c r="W22898" s="33" t="n"/>
      <c r="X22898" s="33" t="n"/>
    </row>
    <row r="22900" ht="14.25" customHeight="1" s="192">
      <c r="W22900" s="231" t="n"/>
      <c r="X22900" s="231" t="n"/>
    </row>
    <row r="22901" ht="14.25" customHeight="1" s="192">
      <c r="W22901" s="235" t="n"/>
      <c r="X22901" s="235" t="n"/>
    </row>
    <row r="22902" ht="14.25" customHeight="1" s="192">
      <c r="W22902" s="228" t="n"/>
      <c r="X22902" s="228" t="n"/>
    </row>
    <row r="22903" ht="14.25" customHeight="1" s="192">
      <c r="W22903" s="235" t="n"/>
      <c r="X22903" s="235" t="n"/>
    </row>
    <row r="22904" ht="14.25" customHeight="1" s="192">
      <c r="W22904" s="235" t="n"/>
      <c r="X22904" s="235" t="n"/>
    </row>
    <row r="22905" ht="14.25" customHeight="1" s="192">
      <c r="W22905" s="235" t="n"/>
      <c r="X22905" s="235" t="n"/>
    </row>
    <row r="22906" ht="14.25" customHeight="1" s="192">
      <c r="W22906" s="239" t="n"/>
      <c r="X22906" s="239" t="n"/>
    </row>
    <row r="22907" ht="14.25" customHeight="1" s="192">
      <c r="W22907" s="239" t="n"/>
      <c r="X22907" s="239" t="n"/>
    </row>
    <row r="22908" ht="14.25" customHeight="1" s="192">
      <c r="W22908" s="239" t="n"/>
      <c r="X22908" s="239" t="n"/>
    </row>
    <row r="22909" ht="14.25" customHeight="1" s="192">
      <c r="W22909" s="235" t="n"/>
      <c r="X22909" s="235" t="n"/>
    </row>
    <row r="22910" ht="14.25" customHeight="1" s="192">
      <c r="W22910" s="235" t="n"/>
      <c r="X22910" s="235" t="n"/>
    </row>
    <row r="22911" ht="14.25" customHeight="1" s="192">
      <c r="W22911" s="235" t="n"/>
      <c r="X22911" s="235" t="n"/>
    </row>
    <row r="22912" ht="14.25" customHeight="1" s="192">
      <c r="W22912" s="239" t="n"/>
      <c r="X22912" s="239" t="n"/>
    </row>
    <row r="22913" ht="14.25" customHeight="1" s="192">
      <c r="W22913" s="239" t="n"/>
      <c r="X22913" s="239" t="n"/>
    </row>
    <row r="22914" ht="14.25" customHeight="1" s="192">
      <c r="W22914" s="235" t="n"/>
      <c r="X22914" s="235" t="n"/>
    </row>
    <row r="22915" ht="14.25" customHeight="1" s="192">
      <c r="W22915" s="235" t="n"/>
      <c r="X22915" s="235" t="n"/>
    </row>
    <row r="22916" ht="14.25" customHeight="1" s="192">
      <c r="W22916" s="239" t="n"/>
      <c r="X22916" s="239" t="n"/>
    </row>
    <row r="22917" ht="14.25" customHeight="1" s="192">
      <c r="W22917" s="235" t="n"/>
      <c r="X22917" s="235" t="n"/>
    </row>
    <row r="22918" ht="14.25" customHeight="1" s="192">
      <c r="W22918" s="239" t="n"/>
      <c r="X22918" s="239" t="n"/>
    </row>
    <row r="22920" ht="14.25" customHeight="1" s="192">
      <c r="W22920" s="235" t="n"/>
      <c r="X22920" s="235" t="n"/>
    </row>
    <row r="22921" ht="15" customHeight="1" s="192" thickBot="1">
      <c r="W22921" s="239" t="n"/>
      <c r="X22921" s="239" t="n"/>
    </row>
    <row r="22922" ht="15" customHeight="1" s="192" thickBot="1">
      <c r="W22922" s="45" t="n"/>
      <c r="X22922" s="45" t="n"/>
    </row>
    <row r="22923" ht="14.25" customHeight="1" s="192">
      <c r="W22923" s="228" t="n"/>
      <c r="X22923" s="228" t="n"/>
    </row>
    <row r="22924" ht="14.25" customHeight="1" s="192">
      <c r="W22924" s="228" t="n"/>
      <c r="X22924" s="228" t="n"/>
    </row>
    <row r="22925" ht="14.25" customHeight="1" s="192">
      <c r="W22925" s="231" t="n"/>
      <c r="X22925" s="231" t="n"/>
    </row>
    <row r="22926" ht="14.25" customHeight="1" s="192">
      <c r="W22926" s="33" t="n"/>
      <c r="X22926" s="33" t="n"/>
    </row>
    <row r="22927" ht="14.25" customHeight="1" s="192">
      <c r="W22927" s="231" t="n"/>
      <c r="X22927" s="231" t="n"/>
    </row>
    <row r="22928" ht="14.25" customHeight="1" s="192">
      <c r="W22928" s="33" t="n"/>
      <c r="X22928" s="33" t="n"/>
    </row>
    <row r="22930" ht="14.25" customHeight="1" s="192">
      <c r="W22930" s="231" t="n"/>
      <c r="X22930" s="231" t="n"/>
    </row>
    <row r="22931" ht="14.25" customHeight="1" s="192">
      <c r="W22931" s="235" t="n"/>
      <c r="X22931" s="235" t="n"/>
    </row>
    <row r="22932" ht="14.25" customHeight="1" s="192">
      <c r="W22932" s="228" t="n"/>
      <c r="X22932" s="228" t="n"/>
    </row>
    <row r="22933" ht="14.25" customHeight="1" s="192">
      <c r="W22933" s="235" t="n"/>
      <c r="X22933" s="235" t="n"/>
    </row>
    <row r="22934" ht="14.25" customHeight="1" s="192">
      <c r="W22934" s="235" t="n"/>
      <c r="X22934" s="235" t="n"/>
    </row>
    <row r="22935" ht="14.25" customHeight="1" s="192">
      <c r="W22935" s="235" t="n"/>
      <c r="X22935" s="235" t="n"/>
    </row>
    <row r="22936" ht="14.25" customHeight="1" s="192">
      <c r="W22936" s="239" t="n"/>
      <c r="X22936" s="239" t="n"/>
    </row>
    <row r="22937" ht="14.25" customHeight="1" s="192">
      <c r="W22937" s="239" t="n"/>
      <c r="X22937" s="239" t="n"/>
    </row>
    <row r="22938" ht="14.25" customHeight="1" s="192">
      <c r="W22938" s="239" t="n"/>
      <c r="X22938" s="239" t="n"/>
    </row>
    <row r="22939" ht="14.25" customHeight="1" s="192">
      <c r="W22939" s="235" t="n"/>
      <c r="X22939" s="235" t="n"/>
    </row>
    <row r="22940" ht="14.25" customHeight="1" s="192">
      <c r="W22940" s="235" t="n"/>
      <c r="X22940" s="235" t="n"/>
    </row>
    <row r="22941" ht="14.25" customHeight="1" s="192">
      <c r="W22941" s="235" t="n"/>
      <c r="X22941" s="235" t="n"/>
    </row>
    <row r="22942" ht="14.25" customHeight="1" s="192">
      <c r="W22942" s="239" t="n"/>
      <c r="X22942" s="239" t="n"/>
    </row>
    <row r="22943" ht="14.25" customHeight="1" s="192">
      <c r="W22943" s="239" t="n"/>
      <c r="X22943" s="239" t="n"/>
    </row>
    <row r="22944" ht="14.25" customHeight="1" s="192">
      <c r="W22944" s="235" t="n"/>
      <c r="X22944" s="235" t="n"/>
    </row>
    <row r="22945" ht="14.25" customHeight="1" s="192">
      <c r="W22945" s="235" t="n"/>
      <c r="X22945" s="235" t="n"/>
    </row>
    <row r="22946" ht="14.25" customHeight="1" s="192">
      <c r="W22946" s="239" t="n"/>
      <c r="X22946" s="239" t="n"/>
    </row>
    <row r="22947" ht="14.25" customHeight="1" s="192">
      <c r="W22947" s="235" t="n"/>
      <c r="X22947" s="235" t="n"/>
    </row>
    <row r="22948" ht="14.25" customHeight="1" s="192">
      <c r="W22948" s="239" t="n"/>
      <c r="X22948" s="239" t="n"/>
    </row>
    <row r="22950" ht="14.25" customHeight="1" s="192">
      <c r="W22950" s="235" t="n"/>
      <c r="X22950" s="235" t="n"/>
    </row>
    <row r="22951" ht="15" customHeight="1" s="192" thickBot="1">
      <c r="W22951" s="239" t="n"/>
      <c r="X22951" s="239" t="n"/>
    </row>
    <row r="22952" ht="15" customHeight="1" s="192" thickBot="1">
      <c r="W22952" s="45" t="n"/>
      <c r="X22952" s="45" t="n"/>
    </row>
    <row r="22953" ht="14.25" customHeight="1" s="192">
      <c r="W22953" s="228" t="n"/>
      <c r="X22953" s="228" t="n"/>
    </row>
    <row r="22954" ht="14.25" customHeight="1" s="192">
      <c r="W22954" s="228" t="n"/>
      <c r="X22954" s="228" t="n"/>
    </row>
    <row r="22955" ht="14.25" customHeight="1" s="192">
      <c r="W22955" s="231" t="n"/>
      <c r="X22955" s="231" t="n"/>
    </row>
    <row r="22956" ht="14.25" customHeight="1" s="192">
      <c r="W22956" s="33" t="n"/>
      <c r="X22956" s="33" t="n"/>
    </row>
    <row r="22957" ht="14.25" customHeight="1" s="192">
      <c r="W22957" s="231" t="n"/>
      <c r="X22957" s="231" t="n"/>
    </row>
    <row r="22958" ht="14.25" customHeight="1" s="192">
      <c r="W22958" s="33" t="n"/>
      <c r="X22958" s="33" t="n"/>
    </row>
    <row r="22960" ht="14.25" customHeight="1" s="192">
      <c r="W22960" s="231" t="n"/>
      <c r="X22960" s="231" t="n"/>
    </row>
    <row r="22961" ht="14.25" customHeight="1" s="192">
      <c r="W22961" s="235" t="n"/>
      <c r="X22961" s="235" t="n"/>
    </row>
    <row r="22962" ht="14.25" customHeight="1" s="192">
      <c r="W22962" s="228" t="n"/>
      <c r="X22962" s="228" t="n"/>
    </row>
    <row r="22963" ht="14.25" customHeight="1" s="192">
      <c r="W22963" s="235" t="n"/>
      <c r="X22963" s="235" t="n"/>
    </row>
    <row r="22964" ht="14.25" customHeight="1" s="192">
      <c r="W22964" s="235" t="n"/>
      <c r="X22964" s="235" t="n"/>
    </row>
    <row r="22965" ht="14.25" customHeight="1" s="192">
      <c r="W22965" s="235" t="n"/>
      <c r="X22965" s="235" t="n"/>
    </row>
    <row r="22966" ht="14.25" customHeight="1" s="192">
      <c r="W22966" s="239" t="n"/>
      <c r="X22966" s="239" t="n"/>
    </row>
    <row r="22967" ht="14.25" customHeight="1" s="192">
      <c r="W22967" s="239" t="n"/>
      <c r="X22967" s="239" t="n"/>
    </row>
    <row r="22968" ht="14.25" customHeight="1" s="192">
      <c r="W22968" s="239" t="n"/>
      <c r="X22968" s="239" t="n"/>
    </row>
    <row r="22969" ht="14.25" customHeight="1" s="192">
      <c r="W22969" s="235" t="n"/>
      <c r="X22969" s="235" t="n"/>
    </row>
    <row r="22970" ht="14.25" customHeight="1" s="192">
      <c r="W22970" s="235" t="n"/>
      <c r="X22970" s="235" t="n"/>
    </row>
    <row r="22971" ht="14.25" customHeight="1" s="192">
      <c r="W22971" s="235" t="n"/>
      <c r="X22971" s="235" t="n"/>
    </row>
    <row r="22972" ht="14.25" customHeight="1" s="192">
      <c r="W22972" s="239" t="n"/>
      <c r="X22972" s="239" t="n"/>
    </row>
    <row r="22973" ht="14.25" customHeight="1" s="192">
      <c r="W22973" s="239" t="n"/>
      <c r="X22973" s="239" t="n"/>
    </row>
    <row r="22974" ht="14.25" customHeight="1" s="192">
      <c r="W22974" s="235" t="n"/>
      <c r="X22974" s="235" t="n"/>
    </row>
    <row r="22975" ht="14.25" customHeight="1" s="192">
      <c r="W22975" s="235" t="n"/>
      <c r="X22975" s="235" t="n"/>
    </row>
    <row r="22976" ht="14.25" customHeight="1" s="192">
      <c r="W22976" s="239" t="n"/>
      <c r="X22976" s="239" t="n"/>
    </row>
    <row r="22977" ht="14.25" customHeight="1" s="192">
      <c r="W22977" s="235" t="n"/>
      <c r="X22977" s="235" t="n"/>
    </row>
    <row r="22978" ht="14.25" customHeight="1" s="192">
      <c r="W22978" s="239" t="n"/>
      <c r="X22978" s="239" t="n"/>
    </row>
    <row r="22980" ht="14.25" customHeight="1" s="192">
      <c r="W22980" s="235" t="n"/>
      <c r="X22980" s="235" t="n"/>
    </row>
    <row r="22981" ht="15" customHeight="1" s="192" thickBot="1">
      <c r="W22981" s="239" t="n"/>
      <c r="X22981" s="239" t="n"/>
    </row>
    <row r="22982" ht="15" customHeight="1" s="192" thickBot="1">
      <c r="W22982" s="45" t="n"/>
      <c r="X22982" s="45" t="n"/>
    </row>
    <row r="22983" ht="14.25" customHeight="1" s="192">
      <c r="W22983" s="228" t="n"/>
      <c r="X22983" s="228" t="n"/>
    </row>
    <row r="22984" ht="14.25" customHeight="1" s="192">
      <c r="W22984" s="228" t="n"/>
      <c r="X22984" s="228" t="n"/>
    </row>
    <row r="22985" ht="14.25" customHeight="1" s="192">
      <c r="W22985" s="231" t="n"/>
      <c r="X22985" s="231" t="n"/>
    </row>
    <row r="22986" ht="14.25" customHeight="1" s="192">
      <c r="W22986" s="33" t="n"/>
      <c r="X22986" s="33" t="n"/>
    </row>
    <row r="22987" ht="14.25" customHeight="1" s="192">
      <c r="W22987" s="231" t="n"/>
      <c r="X22987" s="231" t="n"/>
    </row>
    <row r="22988" ht="14.25" customHeight="1" s="192">
      <c r="W22988" s="33" t="n"/>
      <c r="X22988" s="33" t="n"/>
    </row>
    <row r="22990" ht="14.25" customHeight="1" s="192">
      <c r="W22990" s="231" t="n"/>
      <c r="X22990" s="231" t="n"/>
    </row>
    <row r="22991" ht="14.25" customHeight="1" s="192">
      <c r="W22991" s="235" t="n"/>
      <c r="X22991" s="235" t="n"/>
    </row>
    <row r="22992" ht="14.25" customHeight="1" s="192">
      <c r="W22992" s="228" t="n"/>
      <c r="X22992" s="228" t="n"/>
    </row>
    <row r="22993" ht="14.25" customHeight="1" s="192">
      <c r="W22993" s="235" t="n"/>
      <c r="X22993" s="235" t="n"/>
    </row>
    <row r="22994" ht="14.25" customHeight="1" s="192">
      <c r="W22994" s="235" t="n"/>
      <c r="X22994" s="235" t="n"/>
    </row>
    <row r="22995" ht="14.25" customHeight="1" s="192">
      <c r="W22995" s="235" t="n"/>
      <c r="X22995" s="235" t="n"/>
    </row>
    <row r="22996" ht="14.25" customHeight="1" s="192">
      <c r="W22996" s="239" t="n"/>
      <c r="X22996" s="239" t="n"/>
    </row>
    <row r="22997" ht="14.25" customHeight="1" s="192">
      <c r="W22997" s="239" t="n"/>
      <c r="X22997" s="239" t="n"/>
    </row>
    <row r="22998" ht="14.25" customHeight="1" s="192">
      <c r="W22998" s="239" t="n"/>
      <c r="X22998" s="239" t="n"/>
    </row>
    <row r="22999" ht="14.25" customHeight="1" s="192">
      <c r="W22999" s="235" t="n"/>
      <c r="X22999" s="235" t="n"/>
    </row>
    <row r="23000" ht="14.25" customHeight="1" s="192">
      <c r="W23000" s="235" t="n"/>
      <c r="X23000" s="235" t="n"/>
    </row>
    <row r="23001" ht="14.25" customHeight="1" s="192">
      <c r="W23001" s="235" t="n"/>
      <c r="X23001" s="235" t="n"/>
    </row>
    <row r="23002" ht="14.25" customHeight="1" s="192">
      <c r="W23002" s="239" t="n"/>
      <c r="X23002" s="239" t="n"/>
    </row>
    <row r="23003" ht="14.25" customHeight="1" s="192">
      <c r="W23003" s="239" t="n"/>
      <c r="X23003" s="239" t="n"/>
    </row>
    <row r="23004" ht="14.25" customHeight="1" s="192">
      <c r="W23004" s="235" t="n"/>
      <c r="X23004" s="235" t="n"/>
    </row>
    <row r="23005" ht="14.25" customHeight="1" s="192">
      <c r="W23005" s="235" t="n"/>
      <c r="X23005" s="235" t="n"/>
    </row>
    <row r="23006" ht="14.25" customHeight="1" s="192">
      <c r="W23006" s="239" t="n"/>
      <c r="X23006" s="239" t="n"/>
    </row>
    <row r="23007" ht="14.25" customHeight="1" s="192">
      <c r="W23007" s="235" t="n"/>
      <c r="X23007" s="235" t="n"/>
    </row>
    <row r="23008" ht="14.25" customHeight="1" s="192">
      <c r="W23008" s="239" t="n"/>
      <c r="X23008" s="239" t="n"/>
    </row>
    <row r="23010" ht="14.25" customHeight="1" s="192">
      <c r="W23010" s="235" t="n"/>
      <c r="X23010" s="235" t="n"/>
    </row>
    <row r="23011" ht="15" customHeight="1" s="192" thickBot="1">
      <c r="W23011" s="239" t="n"/>
      <c r="X23011" s="239" t="n"/>
    </row>
    <row r="23012" ht="15" customHeight="1" s="192" thickBot="1">
      <c r="W23012" s="45" t="n"/>
      <c r="X23012" s="45" t="n"/>
    </row>
    <row r="23013" ht="14.25" customHeight="1" s="192">
      <c r="W23013" s="228" t="n"/>
      <c r="X23013" s="228" t="n"/>
    </row>
    <row r="23014" ht="14.25" customHeight="1" s="192">
      <c r="W23014" s="228" t="n"/>
      <c r="X23014" s="228" t="n"/>
    </row>
    <row r="23015" ht="14.25" customHeight="1" s="192">
      <c r="W23015" s="231" t="n"/>
      <c r="X23015" s="231" t="n"/>
    </row>
    <row r="23016" ht="14.25" customHeight="1" s="192">
      <c r="W23016" s="33" t="n"/>
      <c r="X23016" s="33" t="n"/>
    </row>
    <row r="23017" ht="14.25" customHeight="1" s="192">
      <c r="W23017" s="231" t="n"/>
      <c r="X23017" s="231" t="n"/>
    </row>
    <row r="23018" ht="14.25" customHeight="1" s="192">
      <c r="W23018" s="33" t="n"/>
      <c r="X23018" s="33" t="n"/>
    </row>
    <row r="23020" ht="14.25" customHeight="1" s="192">
      <c r="W23020" s="231" t="n"/>
      <c r="X23020" s="231" t="n"/>
    </row>
    <row r="23021" ht="14.25" customHeight="1" s="192">
      <c r="W23021" s="235" t="n"/>
      <c r="X23021" s="235" t="n"/>
    </row>
    <row r="23022" ht="14.25" customHeight="1" s="192">
      <c r="W23022" s="228" t="n"/>
      <c r="X23022" s="228" t="n"/>
    </row>
    <row r="23023" ht="14.25" customHeight="1" s="192">
      <c r="W23023" s="235" t="n"/>
      <c r="X23023" s="235" t="n"/>
    </row>
    <row r="23024" ht="14.25" customHeight="1" s="192">
      <c r="W23024" s="235" t="n"/>
      <c r="X23024" s="235" t="n"/>
    </row>
    <row r="23025" ht="14.25" customHeight="1" s="192">
      <c r="W23025" s="235" t="n"/>
      <c r="X23025" s="235" t="n"/>
    </row>
    <row r="23026" ht="14.25" customHeight="1" s="192">
      <c r="W23026" s="239" t="n"/>
      <c r="X23026" s="239" t="n"/>
    </row>
    <row r="23027" ht="14.25" customHeight="1" s="192">
      <c r="W23027" s="239" t="n"/>
      <c r="X23027" s="239" t="n"/>
    </row>
    <row r="23028" ht="14.25" customHeight="1" s="192">
      <c r="W23028" s="239" t="n"/>
      <c r="X23028" s="239" t="n"/>
    </row>
    <row r="23029" ht="14.25" customHeight="1" s="192">
      <c r="W23029" s="235" t="n"/>
      <c r="X23029" s="235" t="n"/>
    </row>
    <row r="23030" ht="14.25" customHeight="1" s="192">
      <c r="W23030" s="235" t="n"/>
      <c r="X23030" s="235" t="n"/>
    </row>
    <row r="23031" ht="14.25" customHeight="1" s="192">
      <c r="W23031" s="235" t="n"/>
      <c r="X23031" s="235" t="n"/>
    </row>
    <row r="23032" ht="14.25" customHeight="1" s="192">
      <c r="W23032" s="239" t="n"/>
      <c r="X23032" s="239" t="n"/>
    </row>
    <row r="23033" ht="14.25" customHeight="1" s="192">
      <c r="W23033" s="239" t="n"/>
      <c r="X23033" s="239" t="n"/>
    </row>
    <row r="23034" ht="14.25" customHeight="1" s="192">
      <c r="W23034" s="235" t="n"/>
      <c r="X23034" s="235" t="n"/>
    </row>
    <row r="23035" ht="14.25" customHeight="1" s="192">
      <c r="W23035" s="235" t="n"/>
      <c r="X23035" s="235" t="n"/>
    </row>
    <row r="23036" ht="14.25" customHeight="1" s="192">
      <c r="W23036" s="239" t="n"/>
      <c r="X23036" s="239" t="n"/>
    </row>
    <row r="23037" ht="14.25" customHeight="1" s="192">
      <c r="W23037" s="235" t="n"/>
      <c r="X23037" s="235" t="n"/>
    </row>
    <row r="23038" ht="14.25" customHeight="1" s="192">
      <c r="W23038" s="239" t="n"/>
      <c r="X23038" s="239" t="n"/>
    </row>
    <row r="23040" ht="14.25" customHeight="1" s="192">
      <c r="W23040" s="235" t="n"/>
      <c r="X23040" s="235" t="n"/>
    </row>
    <row r="23041" ht="15" customHeight="1" s="192" thickBot="1">
      <c r="W23041" s="239" t="n"/>
      <c r="X23041" s="239" t="n"/>
    </row>
    <row r="23042" ht="15" customHeight="1" s="192" thickBot="1">
      <c r="W23042" s="45" t="n"/>
      <c r="X23042" s="45" t="n"/>
    </row>
    <row r="23043" ht="14.25" customHeight="1" s="192">
      <c r="W23043" s="228" t="n"/>
      <c r="X23043" s="228" t="n"/>
    </row>
    <row r="23044" ht="14.25" customHeight="1" s="192">
      <c r="W23044" s="228" t="n"/>
      <c r="X23044" s="228" t="n"/>
    </row>
    <row r="23045" ht="14.25" customHeight="1" s="192">
      <c r="W23045" s="231" t="n"/>
      <c r="X23045" s="231" t="n"/>
    </row>
    <row r="23046" ht="14.25" customHeight="1" s="192">
      <c r="W23046" s="33" t="n"/>
      <c r="X23046" s="33" t="n"/>
    </row>
    <row r="23047" ht="14.25" customHeight="1" s="192">
      <c r="W23047" s="231" t="n"/>
      <c r="X23047" s="231" t="n"/>
    </row>
    <row r="23048" ht="14.25" customHeight="1" s="192">
      <c r="W23048" s="33" t="n"/>
      <c r="X23048" s="33" t="n"/>
    </row>
    <row r="23050" ht="14.25" customHeight="1" s="192">
      <c r="W23050" s="231" t="n"/>
      <c r="X23050" s="231" t="n"/>
    </row>
    <row r="23051" ht="14.25" customHeight="1" s="192">
      <c r="W23051" s="235" t="n"/>
      <c r="X23051" s="235" t="n"/>
    </row>
    <row r="23052" ht="14.25" customHeight="1" s="192">
      <c r="W23052" s="228" t="n"/>
      <c r="X23052" s="228" t="n"/>
    </row>
    <row r="23053" ht="14.25" customHeight="1" s="192">
      <c r="W23053" s="235" t="n"/>
      <c r="X23053" s="235" t="n"/>
    </row>
    <row r="23054" ht="14.25" customHeight="1" s="192">
      <c r="W23054" s="235" t="n"/>
      <c r="X23054" s="235" t="n"/>
    </row>
    <row r="23055" ht="14.25" customHeight="1" s="192">
      <c r="W23055" s="235" t="n"/>
      <c r="X23055" s="235" t="n"/>
    </row>
    <row r="23056" ht="14.25" customHeight="1" s="192">
      <c r="W23056" s="239" t="n"/>
      <c r="X23056" s="239" t="n"/>
    </row>
    <row r="23057" ht="14.25" customHeight="1" s="192">
      <c r="W23057" s="239" t="n"/>
      <c r="X23057" s="239" t="n"/>
    </row>
    <row r="23058" ht="14.25" customHeight="1" s="192">
      <c r="W23058" s="239" t="n"/>
      <c r="X23058" s="239" t="n"/>
    </row>
    <row r="23059" ht="14.25" customHeight="1" s="192">
      <c r="W23059" s="235" t="n"/>
      <c r="X23059" s="235" t="n"/>
    </row>
    <row r="23060" ht="14.25" customHeight="1" s="192">
      <c r="W23060" s="235" t="n"/>
      <c r="X23060" s="235" t="n"/>
    </row>
    <row r="23061" ht="14.25" customHeight="1" s="192">
      <c r="W23061" s="235" t="n"/>
      <c r="X23061" s="235" t="n"/>
    </row>
    <row r="23062" ht="14.25" customHeight="1" s="192">
      <c r="W23062" s="239" t="n"/>
      <c r="X23062" s="239" t="n"/>
    </row>
    <row r="23063" ht="14.25" customHeight="1" s="192">
      <c r="W23063" s="239" t="n"/>
      <c r="X23063" s="239" t="n"/>
    </row>
    <row r="23064" ht="14.25" customHeight="1" s="192">
      <c r="W23064" s="235" t="n"/>
      <c r="X23064" s="235" t="n"/>
    </row>
    <row r="23065" ht="14.25" customHeight="1" s="192">
      <c r="W23065" s="235" t="n"/>
      <c r="X23065" s="235" t="n"/>
    </row>
    <row r="23066" ht="14.25" customHeight="1" s="192">
      <c r="W23066" s="239" t="n"/>
      <c r="X23066" s="239" t="n"/>
    </row>
    <row r="23067" ht="14.25" customHeight="1" s="192">
      <c r="W23067" s="235" t="n"/>
      <c r="X23067" s="235" t="n"/>
    </row>
    <row r="23068" ht="14.25" customHeight="1" s="192">
      <c r="W23068" s="239" t="n"/>
      <c r="X23068" s="239" t="n"/>
    </row>
    <row r="23070" ht="14.25" customHeight="1" s="192">
      <c r="W23070" s="235" t="n"/>
      <c r="X23070" s="235" t="n"/>
    </row>
    <row r="23071" ht="15" customHeight="1" s="192" thickBot="1">
      <c r="W23071" s="239" t="n"/>
      <c r="X23071" s="239" t="n"/>
    </row>
    <row r="23072" ht="15" customHeight="1" s="192" thickBot="1">
      <c r="W23072" s="45" t="n"/>
      <c r="X23072" s="45" t="n"/>
    </row>
    <row r="23073" ht="14.25" customHeight="1" s="192">
      <c r="W23073" s="228" t="n"/>
      <c r="X23073" s="228" t="n"/>
    </row>
    <row r="23074" ht="14.25" customHeight="1" s="192">
      <c r="W23074" s="228" t="n"/>
      <c r="X23074" s="228" t="n"/>
    </row>
    <row r="23075" ht="14.25" customHeight="1" s="192">
      <c r="W23075" s="231" t="n"/>
      <c r="X23075" s="231" t="n"/>
    </row>
    <row r="23076" ht="14.25" customHeight="1" s="192">
      <c r="W23076" s="33" t="n"/>
      <c r="X23076" s="33" t="n"/>
    </row>
    <row r="23077" ht="14.25" customHeight="1" s="192">
      <c r="W23077" s="231" t="n"/>
      <c r="X23077" s="231" t="n"/>
    </row>
    <row r="23078" ht="14.25" customHeight="1" s="192">
      <c r="W23078" s="33" t="n"/>
      <c r="X23078" s="33" t="n"/>
    </row>
    <row r="23080" ht="14.25" customHeight="1" s="192">
      <c r="W23080" s="231" t="n"/>
      <c r="X23080" s="231" t="n"/>
    </row>
    <row r="23081" ht="14.25" customHeight="1" s="192">
      <c r="W23081" s="235" t="n"/>
      <c r="X23081" s="235" t="n"/>
    </row>
    <row r="23082" ht="14.25" customHeight="1" s="192">
      <c r="W23082" s="228" t="n"/>
      <c r="X23082" s="228" t="n"/>
    </row>
    <row r="23083" ht="14.25" customHeight="1" s="192">
      <c r="W23083" s="235" t="n"/>
      <c r="X23083" s="235" t="n"/>
    </row>
    <row r="23084" ht="14.25" customHeight="1" s="192">
      <c r="W23084" s="235" t="n"/>
      <c r="X23084" s="235" t="n"/>
    </row>
    <row r="23085" ht="14.25" customHeight="1" s="192">
      <c r="W23085" s="235" t="n"/>
      <c r="X23085" s="235" t="n"/>
    </row>
    <row r="23086" ht="14.25" customHeight="1" s="192">
      <c r="W23086" s="239" t="n"/>
      <c r="X23086" s="239" t="n"/>
    </row>
    <row r="23087" ht="14.25" customHeight="1" s="192">
      <c r="W23087" s="239" t="n"/>
      <c r="X23087" s="239" t="n"/>
    </row>
    <row r="23088" ht="14.25" customHeight="1" s="192">
      <c r="W23088" s="239" t="n"/>
      <c r="X23088" s="239" t="n"/>
    </row>
    <row r="23089" ht="14.25" customHeight="1" s="192">
      <c r="W23089" s="235" t="n"/>
      <c r="X23089" s="235" t="n"/>
    </row>
    <row r="23090" ht="14.25" customHeight="1" s="192">
      <c r="W23090" s="235" t="n"/>
      <c r="X23090" s="235" t="n"/>
    </row>
    <row r="23091" ht="14.25" customHeight="1" s="192">
      <c r="W23091" s="235" t="n"/>
      <c r="X23091" s="235" t="n"/>
    </row>
    <row r="23092" ht="14.25" customHeight="1" s="192">
      <c r="W23092" s="239" t="n"/>
      <c r="X23092" s="239" t="n"/>
    </row>
    <row r="23093" ht="14.25" customHeight="1" s="192">
      <c r="W23093" s="239" t="n"/>
      <c r="X23093" s="239" t="n"/>
    </row>
    <row r="23094" ht="14.25" customHeight="1" s="192">
      <c r="W23094" s="235" t="n"/>
      <c r="X23094" s="235" t="n"/>
    </row>
    <row r="23095" ht="14.25" customHeight="1" s="192">
      <c r="W23095" s="235" t="n"/>
      <c r="X23095" s="235" t="n"/>
    </row>
    <row r="23096" ht="14.25" customHeight="1" s="192">
      <c r="W23096" s="239" t="n"/>
      <c r="X23096" s="239" t="n"/>
    </row>
    <row r="23097" ht="14.25" customHeight="1" s="192">
      <c r="W23097" s="235" t="n"/>
      <c r="X23097" s="235" t="n"/>
    </row>
    <row r="23098" ht="14.25" customHeight="1" s="192">
      <c r="W23098" s="239" t="n"/>
      <c r="X23098" s="239" t="n"/>
    </row>
    <row r="23100" ht="14.25" customHeight="1" s="192">
      <c r="W23100" s="235" t="n"/>
      <c r="X23100" s="235" t="n"/>
    </row>
    <row r="23101" ht="15" customHeight="1" s="192" thickBot="1">
      <c r="W23101" s="239" t="n"/>
      <c r="X23101" s="239" t="n"/>
    </row>
    <row r="23102" ht="15" customHeight="1" s="192" thickBot="1">
      <c r="W23102" s="45" t="n"/>
      <c r="X23102" s="45" t="n"/>
    </row>
    <row r="23103" ht="14.25" customHeight="1" s="192">
      <c r="W23103" s="228" t="n"/>
      <c r="X23103" s="228" t="n"/>
    </row>
    <row r="23104" ht="14.25" customHeight="1" s="192">
      <c r="W23104" s="228" t="n"/>
      <c r="X23104" s="228" t="n"/>
    </row>
    <row r="23105" ht="14.25" customHeight="1" s="192">
      <c r="W23105" s="231" t="n"/>
      <c r="X23105" s="231" t="n"/>
    </row>
    <row r="23106" ht="14.25" customHeight="1" s="192">
      <c r="W23106" s="33" t="n"/>
      <c r="X23106" s="33" t="n"/>
    </row>
    <row r="23107" ht="14.25" customHeight="1" s="192">
      <c r="W23107" s="231" t="n"/>
      <c r="X23107" s="231" t="n"/>
    </row>
    <row r="23108" ht="14.25" customHeight="1" s="192">
      <c r="W23108" s="33" t="n"/>
      <c r="X23108" s="33" t="n"/>
    </row>
    <row r="23110" ht="14.25" customHeight="1" s="192">
      <c r="W23110" s="231" t="n"/>
      <c r="X23110" s="231" t="n"/>
    </row>
    <row r="23111" ht="14.25" customHeight="1" s="192">
      <c r="W23111" s="235" t="n"/>
      <c r="X23111" s="235" t="n"/>
    </row>
    <row r="23112" ht="14.25" customHeight="1" s="192">
      <c r="W23112" s="228" t="n"/>
      <c r="X23112" s="228" t="n"/>
    </row>
    <row r="23113" ht="14.25" customHeight="1" s="192">
      <c r="W23113" s="235" t="n"/>
      <c r="X23113" s="235" t="n"/>
    </row>
    <row r="23114" ht="14.25" customHeight="1" s="192">
      <c r="W23114" s="235" t="n"/>
      <c r="X23114" s="235" t="n"/>
    </row>
    <row r="23115" ht="14.25" customHeight="1" s="192">
      <c r="W23115" s="235" t="n"/>
      <c r="X23115" s="235" t="n"/>
    </row>
    <row r="23116" ht="14.25" customHeight="1" s="192">
      <c r="W23116" s="239" t="n"/>
      <c r="X23116" s="239" t="n"/>
    </row>
    <row r="23117" ht="14.25" customHeight="1" s="192">
      <c r="W23117" s="239" t="n"/>
      <c r="X23117" s="239" t="n"/>
    </row>
    <row r="23118" ht="14.25" customHeight="1" s="192">
      <c r="W23118" s="239" t="n"/>
      <c r="X23118" s="239" t="n"/>
    </row>
    <row r="23119" ht="14.25" customHeight="1" s="192">
      <c r="W23119" s="235" t="n"/>
      <c r="X23119" s="235" t="n"/>
    </row>
    <row r="23120" ht="14.25" customHeight="1" s="192">
      <c r="W23120" s="235" t="n"/>
      <c r="X23120" s="235" t="n"/>
    </row>
    <row r="23121" ht="14.25" customHeight="1" s="192">
      <c r="W23121" s="235" t="n"/>
      <c r="X23121" s="235" t="n"/>
    </row>
    <row r="23122" ht="14.25" customHeight="1" s="192">
      <c r="W23122" s="239" t="n"/>
      <c r="X23122" s="239" t="n"/>
    </row>
    <row r="23123" ht="14.25" customHeight="1" s="192">
      <c r="W23123" s="239" t="n"/>
      <c r="X23123" s="239" t="n"/>
    </row>
    <row r="23124" ht="14.25" customHeight="1" s="192">
      <c r="W23124" s="235" t="n"/>
      <c r="X23124" s="235" t="n"/>
    </row>
    <row r="23125" ht="14.25" customHeight="1" s="192">
      <c r="W23125" s="235" t="n"/>
      <c r="X23125" s="235" t="n"/>
    </row>
    <row r="23126" ht="14.25" customHeight="1" s="192">
      <c r="W23126" s="239" t="n"/>
      <c r="X23126" s="239" t="n"/>
    </row>
    <row r="23127" ht="14.25" customHeight="1" s="192">
      <c r="W23127" s="235" t="n"/>
      <c r="X23127" s="235" t="n"/>
    </row>
    <row r="23128" ht="14.25" customHeight="1" s="192">
      <c r="W23128" s="239" t="n"/>
      <c r="X23128" s="239" t="n"/>
    </row>
    <row r="23130" ht="14.25" customHeight="1" s="192">
      <c r="W23130" s="235" t="n"/>
      <c r="X23130" s="235" t="n"/>
    </row>
    <row r="23131" ht="15" customHeight="1" s="192" thickBot="1">
      <c r="W23131" s="239" t="n"/>
      <c r="X23131" s="239" t="n"/>
    </row>
    <row r="23132" ht="15" customHeight="1" s="192" thickBot="1">
      <c r="W23132" s="45" t="n"/>
      <c r="X23132" s="45" t="n"/>
    </row>
    <row r="23133" ht="14.25" customHeight="1" s="192">
      <c r="W23133" s="228" t="n"/>
      <c r="X23133" s="228" t="n"/>
    </row>
    <row r="23134" ht="14.25" customHeight="1" s="192">
      <c r="W23134" s="228" t="n"/>
      <c r="X23134" s="228" t="n"/>
    </row>
    <row r="23135" ht="14.25" customHeight="1" s="192">
      <c r="W23135" s="231" t="n"/>
      <c r="X23135" s="231" t="n"/>
    </row>
    <row r="23136" ht="14.25" customHeight="1" s="192">
      <c r="W23136" s="33" t="n"/>
      <c r="X23136" s="33" t="n"/>
    </row>
    <row r="23137" ht="14.25" customHeight="1" s="192">
      <c r="W23137" s="231" t="n"/>
      <c r="X23137" s="231" t="n"/>
    </row>
    <row r="23138" ht="14.25" customHeight="1" s="192">
      <c r="W23138" s="33" t="n"/>
      <c r="X23138" s="33" t="n"/>
    </row>
    <row r="23140" ht="14.25" customHeight="1" s="192">
      <c r="W23140" s="231" t="n"/>
      <c r="X23140" s="231" t="n"/>
    </row>
    <row r="23141" ht="14.25" customHeight="1" s="192">
      <c r="W23141" s="235" t="n"/>
      <c r="X23141" s="235" t="n"/>
    </row>
    <row r="23142" ht="14.25" customHeight="1" s="192">
      <c r="W23142" s="228" t="n"/>
      <c r="X23142" s="228" t="n"/>
    </row>
    <row r="23143" ht="14.25" customHeight="1" s="192">
      <c r="W23143" s="235" t="n"/>
      <c r="X23143" s="235" t="n"/>
    </row>
    <row r="23144" ht="14.25" customHeight="1" s="192">
      <c r="W23144" s="235" t="n"/>
      <c r="X23144" s="235" t="n"/>
    </row>
    <row r="23145" ht="14.25" customHeight="1" s="192">
      <c r="W23145" s="235" t="n"/>
      <c r="X23145" s="235" t="n"/>
    </row>
    <row r="23146" ht="14.25" customHeight="1" s="192">
      <c r="W23146" s="239" t="n"/>
      <c r="X23146" s="239" t="n"/>
    </row>
    <row r="23147" ht="14.25" customHeight="1" s="192">
      <c r="W23147" s="239" t="n"/>
      <c r="X23147" s="239" t="n"/>
    </row>
    <row r="23148" ht="14.25" customHeight="1" s="192">
      <c r="W23148" s="239" t="n"/>
      <c r="X23148" s="239" t="n"/>
    </row>
    <row r="23149" ht="14.25" customHeight="1" s="192">
      <c r="W23149" s="235" t="n"/>
      <c r="X23149" s="235" t="n"/>
    </row>
    <row r="23150" ht="14.25" customHeight="1" s="192">
      <c r="W23150" s="235" t="n"/>
      <c r="X23150" s="235" t="n"/>
    </row>
    <row r="23151" ht="14.25" customHeight="1" s="192">
      <c r="W23151" s="235" t="n"/>
      <c r="X23151" s="235" t="n"/>
    </row>
    <row r="23152" ht="14.25" customHeight="1" s="192">
      <c r="W23152" s="239" t="n"/>
      <c r="X23152" s="239" t="n"/>
    </row>
    <row r="23153" ht="14.25" customHeight="1" s="192">
      <c r="W23153" s="239" t="n"/>
      <c r="X23153" s="239" t="n"/>
    </row>
    <row r="23154" ht="14.25" customHeight="1" s="192">
      <c r="W23154" s="235" t="n"/>
      <c r="X23154" s="235" t="n"/>
    </row>
    <row r="23155" ht="14.25" customHeight="1" s="192">
      <c r="W23155" s="235" t="n"/>
      <c r="X23155" s="235" t="n"/>
    </row>
    <row r="23156" ht="14.25" customHeight="1" s="192">
      <c r="W23156" s="239" t="n"/>
      <c r="X23156" s="239" t="n"/>
    </row>
    <row r="23157" ht="14.25" customHeight="1" s="192">
      <c r="W23157" s="235" t="n"/>
      <c r="X23157" s="235" t="n"/>
    </row>
    <row r="23158" ht="14.25" customHeight="1" s="192">
      <c r="W23158" s="239" t="n"/>
      <c r="X23158" s="239" t="n"/>
    </row>
    <row r="23160" ht="14.25" customHeight="1" s="192">
      <c r="W23160" s="235" t="n"/>
      <c r="X23160" s="235" t="n"/>
    </row>
    <row r="23161" ht="15" customHeight="1" s="192" thickBot="1">
      <c r="W23161" s="239" t="n"/>
      <c r="X23161" s="239" t="n"/>
    </row>
    <row r="23162" ht="15" customHeight="1" s="192" thickBot="1">
      <c r="W23162" s="45" t="n"/>
      <c r="X23162" s="45" t="n"/>
    </row>
    <row r="23163" ht="14.25" customHeight="1" s="192">
      <c r="W23163" s="228" t="n"/>
      <c r="X23163" s="228" t="n"/>
    </row>
    <row r="23164" ht="14.25" customHeight="1" s="192">
      <c r="W23164" s="228" t="n"/>
      <c r="X23164" s="228" t="n"/>
    </row>
    <row r="23165" ht="14.25" customHeight="1" s="192">
      <c r="W23165" s="231" t="n"/>
      <c r="X23165" s="231" t="n"/>
    </row>
    <row r="23166" ht="14.25" customHeight="1" s="192">
      <c r="W23166" s="33" t="n"/>
      <c r="X23166" s="33" t="n"/>
    </row>
    <row r="23167" ht="14.25" customHeight="1" s="192">
      <c r="W23167" s="231" t="n"/>
      <c r="X23167" s="231" t="n"/>
    </row>
    <row r="23168" ht="14.25" customHeight="1" s="192">
      <c r="W23168" s="33" t="n"/>
      <c r="X23168" s="33" t="n"/>
    </row>
    <row r="23170" ht="14.25" customHeight="1" s="192">
      <c r="W23170" s="231" t="n"/>
      <c r="X23170" s="231" t="n"/>
    </row>
    <row r="23171" ht="14.25" customHeight="1" s="192">
      <c r="W23171" s="235" t="n"/>
      <c r="X23171" s="235" t="n"/>
    </row>
    <row r="23172" ht="14.25" customHeight="1" s="192">
      <c r="W23172" s="228" t="n"/>
      <c r="X23172" s="228" t="n"/>
    </row>
    <row r="23173" ht="14.25" customHeight="1" s="192">
      <c r="W23173" s="235" t="n"/>
      <c r="X23173" s="235" t="n"/>
    </row>
    <row r="23174" ht="14.25" customHeight="1" s="192">
      <c r="W23174" s="235" t="n"/>
      <c r="X23174" s="235" t="n"/>
    </row>
    <row r="23175" ht="14.25" customHeight="1" s="192">
      <c r="W23175" s="235" t="n"/>
      <c r="X23175" s="235" t="n"/>
    </row>
    <row r="23176" ht="14.25" customHeight="1" s="192">
      <c r="W23176" s="239" t="n"/>
      <c r="X23176" s="239" t="n"/>
    </row>
    <row r="23177" ht="14.25" customHeight="1" s="192">
      <c r="W23177" s="239" t="n"/>
      <c r="X23177" s="239" t="n"/>
    </row>
    <row r="23178" ht="14.25" customHeight="1" s="192">
      <c r="W23178" s="239" t="n"/>
      <c r="X23178" s="239" t="n"/>
    </row>
    <row r="23179" ht="14.25" customHeight="1" s="192">
      <c r="W23179" s="235" t="n"/>
      <c r="X23179" s="235" t="n"/>
    </row>
    <row r="23180" ht="14.25" customHeight="1" s="192">
      <c r="W23180" s="235" t="n"/>
      <c r="X23180" s="235" t="n"/>
    </row>
    <row r="23181" ht="14.25" customHeight="1" s="192">
      <c r="W23181" s="235" t="n"/>
      <c r="X23181" s="235" t="n"/>
    </row>
    <row r="23182" ht="14.25" customHeight="1" s="192">
      <c r="W23182" s="239" t="n"/>
      <c r="X23182" s="239" t="n"/>
    </row>
    <row r="23183" ht="14.25" customHeight="1" s="192">
      <c r="W23183" s="239" t="n"/>
      <c r="X23183" s="239" t="n"/>
    </row>
    <row r="23184" ht="14.25" customHeight="1" s="192">
      <c r="W23184" s="235" t="n"/>
      <c r="X23184" s="235" t="n"/>
    </row>
    <row r="23185" ht="14.25" customHeight="1" s="192">
      <c r="W23185" s="235" t="n"/>
      <c r="X23185" s="235" t="n"/>
    </row>
    <row r="23186" ht="14.25" customHeight="1" s="192">
      <c r="W23186" s="239" t="n"/>
      <c r="X23186" s="239" t="n"/>
    </row>
    <row r="23187" ht="14.25" customHeight="1" s="192">
      <c r="W23187" s="235" t="n"/>
      <c r="X23187" s="235" t="n"/>
    </row>
    <row r="23188" ht="14.25" customHeight="1" s="192">
      <c r="W23188" s="239" t="n"/>
      <c r="X23188" s="239" t="n"/>
    </row>
    <row r="23190" ht="14.25" customHeight="1" s="192">
      <c r="W23190" s="235" t="n"/>
      <c r="X23190" s="235" t="n"/>
    </row>
    <row r="23191" ht="15" customHeight="1" s="192" thickBot="1">
      <c r="W23191" s="239" t="n"/>
      <c r="X23191" s="239" t="n"/>
    </row>
    <row r="23192" ht="15" customHeight="1" s="192" thickBot="1">
      <c r="W23192" s="45" t="n"/>
      <c r="X23192" s="45" t="n"/>
    </row>
    <row r="23193" ht="14.25" customHeight="1" s="192">
      <c r="W23193" s="228" t="n"/>
      <c r="X23193" s="228" t="n"/>
    </row>
    <row r="23194" ht="14.25" customHeight="1" s="192">
      <c r="W23194" s="228" t="n"/>
      <c r="X23194" s="228" t="n"/>
    </row>
    <row r="23195" ht="14.25" customHeight="1" s="192">
      <c r="W23195" s="231" t="n"/>
      <c r="X23195" s="231" t="n"/>
    </row>
    <row r="23196" ht="14.25" customHeight="1" s="192">
      <c r="W23196" s="33" t="n"/>
      <c r="X23196" s="33" t="n"/>
    </row>
    <row r="23197" ht="14.25" customHeight="1" s="192">
      <c r="W23197" s="231" t="n"/>
      <c r="X23197" s="231" t="n"/>
    </row>
    <row r="23198" ht="14.25" customHeight="1" s="192">
      <c r="W23198" s="33" t="n"/>
      <c r="X23198" s="33" t="n"/>
    </row>
    <row r="23200" ht="14.25" customHeight="1" s="192">
      <c r="W23200" s="231" t="n"/>
      <c r="X23200" s="231" t="n"/>
    </row>
    <row r="23201" ht="14.25" customHeight="1" s="192">
      <c r="W23201" s="235" t="n"/>
      <c r="X23201" s="235" t="n"/>
    </row>
    <row r="23202" ht="14.25" customHeight="1" s="192">
      <c r="W23202" s="228" t="n"/>
      <c r="X23202" s="228" t="n"/>
    </row>
    <row r="23203" ht="14.25" customHeight="1" s="192">
      <c r="W23203" s="235" t="n"/>
      <c r="X23203" s="235" t="n"/>
    </row>
    <row r="23204" ht="14.25" customHeight="1" s="192">
      <c r="W23204" s="235" t="n"/>
      <c r="X23204" s="235" t="n"/>
    </row>
    <row r="23205" ht="14.25" customHeight="1" s="192">
      <c r="W23205" s="235" t="n"/>
      <c r="X23205" s="235" t="n"/>
    </row>
    <row r="23206" ht="14.25" customHeight="1" s="192">
      <c r="W23206" s="239" t="n"/>
      <c r="X23206" s="239" t="n"/>
    </row>
    <row r="23207" ht="14.25" customHeight="1" s="192">
      <c r="W23207" s="239" t="n"/>
      <c r="X23207" s="239" t="n"/>
    </row>
    <row r="23208" ht="14.25" customHeight="1" s="192">
      <c r="W23208" s="239" t="n"/>
      <c r="X23208" s="239" t="n"/>
    </row>
    <row r="23209" ht="14.25" customHeight="1" s="192">
      <c r="W23209" s="235" t="n"/>
      <c r="X23209" s="235" t="n"/>
    </row>
    <row r="23210" ht="14.25" customHeight="1" s="192">
      <c r="W23210" s="235" t="n"/>
      <c r="X23210" s="235" t="n"/>
    </row>
    <row r="23211" ht="14.25" customHeight="1" s="192">
      <c r="W23211" s="235" t="n"/>
      <c r="X23211" s="235" t="n"/>
    </row>
    <row r="23212" ht="14.25" customHeight="1" s="192">
      <c r="W23212" s="239" t="n"/>
      <c r="X23212" s="239" t="n"/>
    </row>
    <row r="23213" ht="14.25" customHeight="1" s="192">
      <c r="W23213" s="239" t="n"/>
      <c r="X23213" s="239" t="n"/>
    </row>
    <row r="23214" ht="14.25" customHeight="1" s="192">
      <c r="W23214" s="235" t="n"/>
      <c r="X23214" s="235" t="n"/>
    </row>
    <row r="23215" ht="14.25" customHeight="1" s="192">
      <c r="W23215" s="235" t="n"/>
      <c r="X23215" s="235" t="n"/>
    </row>
    <row r="23216" ht="14.25" customHeight="1" s="192">
      <c r="W23216" s="239" t="n"/>
      <c r="X23216" s="239" t="n"/>
    </row>
    <row r="23217" ht="14.25" customHeight="1" s="192">
      <c r="W23217" s="235" t="n"/>
      <c r="X23217" s="235" t="n"/>
    </row>
    <row r="23218" ht="14.25" customHeight="1" s="192">
      <c r="W23218" s="239" t="n"/>
      <c r="X23218" s="239" t="n"/>
    </row>
    <row r="23220" ht="14.25" customHeight="1" s="192">
      <c r="W23220" s="235" t="n"/>
      <c r="X23220" s="235" t="n"/>
    </row>
    <row r="23221" ht="15" customHeight="1" s="192" thickBot="1">
      <c r="W23221" s="239" t="n"/>
      <c r="X23221" s="239" t="n"/>
    </row>
    <row r="23222" ht="15" customHeight="1" s="192" thickBot="1">
      <c r="W23222" s="45" t="n"/>
      <c r="X23222" s="45" t="n"/>
    </row>
    <row r="23223" ht="14.25" customHeight="1" s="192">
      <c r="W23223" s="228" t="n"/>
      <c r="X23223" s="228" t="n"/>
    </row>
    <row r="23224" ht="14.25" customHeight="1" s="192">
      <c r="W23224" s="228" t="n"/>
      <c r="X23224" s="228" t="n"/>
    </row>
    <row r="23225" ht="14.25" customHeight="1" s="192">
      <c r="W23225" s="231" t="n"/>
      <c r="X23225" s="231" t="n"/>
    </row>
    <row r="23226" ht="14.25" customHeight="1" s="192">
      <c r="W23226" s="33" t="n"/>
      <c r="X23226" s="33" t="n"/>
    </row>
    <row r="23227" ht="14.25" customHeight="1" s="192">
      <c r="W23227" s="231" t="n"/>
      <c r="X23227" s="231" t="n"/>
    </row>
    <row r="23228" ht="14.25" customHeight="1" s="192">
      <c r="W23228" s="33" t="n"/>
      <c r="X23228" s="33" t="n"/>
    </row>
    <row r="23230" ht="14.25" customHeight="1" s="192">
      <c r="W23230" s="231" t="n"/>
      <c r="X23230" s="231" t="n"/>
    </row>
    <row r="23231" ht="14.25" customHeight="1" s="192">
      <c r="W23231" s="235" t="n"/>
      <c r="X23231" s="235" t="n"/>
    </row>
    <row r="23232" ht="14.25" customHeight="1" s="192">
      <c r="W23232" s="228" t="n"/>
      <c r="X23232" s="228" t="n"/>
    </row>
    <row r="23233" ht="14.25" customHeight="1" s="192">
      <c r="W23233" s="235" t="n"/>
      <c r="X23233" s="235" t="n"/>
    </row>
    <row r="23234" ht="14.25" customHeight="1" s="192">
      <c r="W23234" s="235" t="n"/>
      <c r="X23234" s="235" t="n"/>
    </row>
    <row r="23235" ht="14.25" customHeight="1" s="192">
      <c r="W23235" s="235" t="n"/>
      <c r="X23235" s="235" t="n"/>
    </row>
    <row r="23236" ht="14.25" customHeight="1" s="192">
      <c r="W23236" s="239" t="n"/>
      <c r="X23236" s="239" t="n"/>
    </row>
    <row r="23237" ht="14.25" customHeight="1" s="192">
      <c r="W23237" s="239" t="n"/>
      <c r="X23237" s="239" t="n"/>
    </row>
    <row r="23238" ht="14.25" customHeight="1" s="192">
      <c r="W23238" s="239" t="n"/>
      <c r="X23238" s="239" t="n"/>
    </row>
    <row r="23239" ht="14.25" customHeight="1" s="192">
      <c r="W23239" s="235" t="n"/>
      <c r="X23239" s="235" t="n"/>
    </row>
    <row r="23240" ht="14.25" customHeight="1" s="192">
      <c r="W23240" s="235" t="n"/>
      <c r="X23240" s="235" t="n"/>
    </row>
    <row r="23241" ht="14.25" customHeight="1" s="192">
      <c r="W23241" s="235" t="n"/>
      <c r="X23241" s="235" t="n"/>
    </row>
    <row r="23242" ht="14.25" customHeight="1" s="192">
      <c r="W23242" s="239" t="n"/>
      <c r="X23242" s="239" t="n"/>
    </row>
    <row r="23243" ht="14.25" customHeight="1" s="192">
      <c r="W23243" s="239" t="n"/>
      <c r="X23243" s="239" t="n"/>
    </row>
    <row r="23244" ht="14.25" customHeight="1" s="192">
      <c r="W23244" s="235" t="n"/>
      <c r="X23244" s="235" t="n"/>
    </row>
    <row r="23245" ht="14.25" customHeight="1" s="192">
      <c r="W23245" s="235" t="n"/>
      <c r="X23245" s="235" t="n"/>
    </row>
    <row r="23246" ht="14.25" customHeight="1" s="192">
      <c r="W23246" s="239" t="n"/>
      <c r="X23246" s="239" t="n"/>
    </row>
    <row r="23247" ht="14.25" customHeight="1" s="192">
      <c r="W23247" s="235" t="n"/>
      <c r="X23247" s="235" t="n"/>
    </row>
    <row r="23248" ht="14.25" customHeight="1" s="192">
      <c r="W23248" s="239" t="n"/>
      <c r="X23248" s="239" t="n"/>
    </row>
    <row r="23250" ht="14.25" customHeight="1" s="192">
      <c r="W23250" s="235" t="n"/>
      <c r="X23250" s="235" t="n"/>
    </row>
    <row r="23251" ht="15" customHeight="1" s="192" thickBot="1">
      <c r="W23251" s="239" t="n"/>
      <c r="X23251" s="239" t="n"/>
    </row>
    <row r="23252" ht="15" customHeight="1" s="192" thickBot="1">
      <c r="W23252" s="45" t="n"/>
      <c r="X23252" s="45" t="n"/>
    </row>
    <row r="23253" ht="14.25" customHeight="1" s="192">
      <c r="W23253" s="228" t="n"/>
      <c r="X23253" s="228" t="n"/>
    </row>
    <row r="23254" ht="14.25" customHeight="1" s="192">
      <c r="W23254" s="228" t="n"/>
      <c r="X23254" s="228" t="n"/>
    </row>
    <row r="23255" ht="14.25" customHeight="1" s="192">
      <c r="W23255" s="231" t="n"/>
      <c r="X23255" s="231" t="n"/>
    </row>
    <row r="23256" ht="14.25" customHeight="1" s="192">
      <c r="W23256" s="33" t="n"/>
      <c r="X23256" s="33" t="n"/>
    </row>
    <row r="23257" ht="14.25" customHeight="1" s="192">
      <c r="W23257" s="231" t="n"/>
      <c r="X23257" s="231" t="n"/>
    </row>
    <row r="23258" ht="14.25" customHeight="1" s="192">
      <c r="W23258" s="33" t="n"/>
      <c r="X23258" s="33" t="n"/>
    </row>
    <row r="23260" ht="14.25" customHeight="1" s="192">
      <c r="W23260" s="231" t="n"/>
      <c r="X23260" s="231" t="n"/>
    </row>
    <row r="23261" ht="14.25" customHeight="1" s="192">
      <c r="W23261" s="235" t="n"/>
      <c r="X23261" s="235" t="n"/>
    </row>
    <row r="23262" ht="14.25" customHeight="1" s="192">
      <c r="W23262" s="228" t="n"/>
      <c r="X23262" s="228" t="n"/>
    </row>
    <row r="23263" ht="14.25" customHeight="1" s="192">
      <c r="W23263" s="235" t="n"/>
      <c r="X23263" s="235" t="n"/>
    </row>
    <row r="23264" ht="14.25" customHeight="1" s="192">
      <c r="W23264" s="235" t="n"/>
      <c r="X23264" s="235" t="n"/>
    </row>
    <row r="23265" ht="14.25" customHeight="1" s="192">
      <c r="W23265" s="235" t="n"/>
      <c r="X23265" s="235" t="n"/>
    </row>
    <row r="23266" ht="14.25" customHeight="1" s="192">
      <c r="W23266" s="239" t="n"/>
      <c r="X23266" s="239" t="n"/>
    </row>
    <row r="23267" ht="14.25" customHeight="1" s="192">
      <c r="W23267" s="239" t="n"/>
      <c r="X23267" s="239" t="n"/>
    </row>
    <row r="23268" ht="14.25" customHeight="1" s="192">
      <c r="W23268" s="239" t="n"/>
      <c r="X23268" s="239" t="n"/>
    </row>
    <row r="23269" ht="14.25" customHeight="1" s="192">
      <c r="W23269" s="235" t="n"/>
      <c r="X23269" s="235" t="n"/>
    </row>
    <row r="23270" ht="14.25" customHeight="1" s="192">
      <c r="W23270" s="235" t="n"/>
      <c r="X23270" s="235" t="n"/>
    </row>
    <row r="23271" ht="14.25" customHeight="1" s="192">
      <c r="W23271" s="235" t="n"/>
      <c r="X23271" s="235" t="n"/>
    </row>
    <row r="23272" ht="14.25" customHeight="1" s="192">
      <c r="W23272" s="239" t="n"/>
      <c r="X23272" s="239" t="n"/>
    </row>
    <row r="23273" ht="14.25" customHeight="1" s="192">
      <c r="W23273" s="239" t="n"/>
      <c r="X23273" s="239" t="n"/>
    </row>
    <row r="23274" ht="14.25" customHeight="1" s="192">
      <c r="W23274" s="235" t="n"/>
      <c r="X23274" s="235" t="n"/>
    </row>
    <row r="23275" ht="14.25" customHeight="1" s="192">
      <c r="W23275" s="235" t="n"/>
      <c r="X23275" s="235" t="n"/>
    </row>
    <row r="23276" ht="14.25" customHeight="1" s="192">
      <c r="W23276" s="239" t="n"/>
      <c r="X23276" s="239" t="n"/>
    </row>
    <row r="23277" ht="14.25" customHeight="1" s="192">
      <c r="W23277" s="235" t="n"/>
      <c r="X23277" s="235" t="n"/>
    </row>
    <row r="23278" ht="14.25" customHeight="1" s="192">
      <c r="W23278" s="239" t="n"/>
      <c r="X23278" s="239" t="n"/>
    </row>
    <row r="23280" ht="14.25" customHeight="1" s="192">
      <c r="W23280" s="235" t="n"/>
      <c r="X23280" s="235" t="n"/>
    </row>
    <row r="23281" ht="15" customHeight="1" s="192" thickBot="1">
      <c r="W23281" s="239" t="n"/>
      <c r="X23281" s="239" t="n"/>
    </row>
    <row r="23282" ht="15" customHeight="1" s="192" thickBot="1">
      <c r="W23282" s="45" t="n"/>
      <c r="X23282" s="45" t="n"/>
    </row>
    <row r="23283" ht="14.25" customHeight="1" s="192">
      <c r="W23283" s="228" t="n"/>
      <c r="X23283" s="228" t="n"/>
    </row>
    <row r="23284" ht="14.25" customHeight="1" s="192">
      <c r="W23284" s="228" t="n"/>
      <c r="X23284" s="228" t="n"/>
    </row>
    <row r="23285" ht="14.25" customHeight="1" s="192">
      <c r="W23285" s="231" t="n"/>
      <c r="X23285" s="231" t="n"/>
    </row>
    <row r="23286" ht="14.25" customHeight="1" s="192">
      <c r="W23286" s="33" t="n"/>
      <c r="X23286" s="33" t="n"/>
    </row>
    <row r="23287" ht="14.25" customHeight="1" s="192">
      <c r="W23287" s="231" t="n"/>
      <c r="X23287" s="231" t="n"/>
    </row>
    <row r="23288" ht="14.25" customHeight="1" s="192">
      <c r="W23288" s="33" t="n"/>
      <c r="X23288" s="33" t="n"/>
    </row>
    <row r="23290" ht="14.25" customHeight="1" s="192">
      <c r="W23290" s="231" t="n"/>
      <c r="X23290" s="231" t="n"/>
    </row>
    <row r="23291" ht="14.25" customHeight="1" s="192">
      <c r="W23291" s="235" t="n"/>
      <c r="X23291" s="235" t="n"/>
    </row>
    <row r="23292" ht="14.25" customHeight="1" s="192">
      <c r="W23292" s="228" t="n"/>
      <c r="X23292" s="228" t="n"/>
    </row>
    <row r="23293" ht="14.25" customHeight="1" s="192">
      <c r="W23293" s="235" t="n"/>
      <c r="X23293" s="235" t="n"/>
    </row>
    <row r="23294" ht="14.25" customHeight="1" s="192">
      <c r="W23294" s="235" t="n"/>
      <c r="X23294" s="235" t="n"/>
    </row>
    <row r="23295" ht="14.25" customHeight="1" s="192">
      <c r="W23295" s="235" t="n"/>
      <c r="X23295" s="235" t="n"/>
    </row>
    <row r="23296" ht="14.25" customHeight="1" s="192">
      <c r="W23296" s="239" t="n"/>
      <c r="X23296" s="239" t="n"/>
    </row>
    <row r="23297" ht="14.25" customHeight="1" s="192">
      <c r="W23297" s="239" t="n"/>
      <c r="X23297" s="239" t="n"/>
    </row>
    <row r="23298" ht="14.25" customHeight="1" s="192">
      <c r="W23298" s="239" t="n"/>
      <c r="X23298" s="239" t="n"/>
    </row>
    <row r="23299" ht="14.25" customHeight="1" s="192">
      <c r="W23299" s="235" t="n"/>
      <c r="X23299" s="235" t="n"/>
    </row>
    <row r="23300" ht="14.25" customHeight="1" s="192">
      <c r="W23300" s="235" t="n"/>
      <c r="X23300" s="235" t="n"/>
    </row>
    <row r="23301" ht="14.25" customHeight="1" s="192">
      <c r="W23301" s="235" t="n"/>
      <c r="X23301" s="235" t="n"/>
    </row>
    <row r="23302" ht="14.25" customHeight="1" s="192">
      <c r="W23302" s="239" t="n"/>
      <c r="X23302" s="239" t="n"/>
    </row>
    <row r="23303" ht="14.25" customHeight="1" s="192">
      <c r="W23303" s="239" t="n"/>
      <c r="X23303" s="239" t="n"/>
    </row>
    <row r="23304" ht="14.25" customHeight="1" s="192">
      <c r="W23304" s="235" t="n"/>
      <c r="X23304" s="235" t="n"/>
    </row>
    <row r="23305" ht="14.25" customHeight="1" s="192">
      <c r="W23305" s="235" t="n"/>
      <c r="X23305" s="235" t="n"/>
    </row>
    <row r="23306" ht="14.25" customHeight="1" s="192">
      <c r="W23306" s="239" t="n"/>
      <c r="X23306" s="239" t="n"/>
    </row>
    <row r="23307" ht="14.25" customHeight="1" s="192">
      <c r="W23307" s="235" t="n"/>
      <c r="X23307" s="235" t="n"/>
    </row>
    <row r="23308" ht="14.25" customHeight="1" s="192">
      <c r="W23308" s="239" t="n"/>
      <c r="X23308" s="239" t="n"/>
    </row>
    <row r="23310" ht="14.25" customHeight="1" s="192">
      <c r="W23310" s="235" t="n"/>
      <c r="X23310" s="235" t="n"/>
    </row>
    <row r="23311" ht="15" customHeight="1" s="192" thickBot="1">
      <c r="W23311" s="239" t="n"/>
      <c r="X23311" s="239" t="n"/>
    </row>
    <row r="23312" ht="15" customHeight="1" s="192" thickBot="1">
      <c r="W23312" s="45" t="n"/>
      <c r="X23312" s="45" t="n"/>
    </row>
    <row r="23313" ht="14.25" customHeight="1" s="192">
      <c r="W23313" s="228" t="n"/>
      <c r="X23313" s="228" t="n"/>
    </row>
    <row r="23314" ht="14.25" customHeight="1" s="192">
      <c r="W23314" s="228" t="n"/>
      <c r="X23314" s="228" t="n"/>
    </row>
    <row r="23315" ht="14.25" customHeight="1" s="192">
      <c r="W23315" s="231" t="n"/>
      <c r="X23315" s="231" t="n"/>
    </row>
    <row r="23316" ht="14.25" customHeight="1" s="192">
      <c r="W23316" s="33" t="n"/>
      <c r="X23316" s="33" t="n"/>
    </row>
    <row r="23317" ht="14.25" customHeight="1" s="192">
      <c r="W23317" s="231" t="n"/>
      <c r="X23317" s="231" t="n"/>
    </row>
    <row r="23318" ht="14.25" customHeight="1" s="192">
      <c r="W23318" s="33" t="n"/>
      <c r="X23318" s="33" t="n"/>
    </row>
    <row r="23320" ht="14.25" customHeight="1" s="192">
      <c r="W23320" s="231" t="n"/>
      <c r="X23320" s="231" t="n"/>
    </row>
    <row r="23321" ht="14.25" customHeight="1" s="192">
      <c r="W23321" s="235" t="n"/>
      <c r="X23321" s="235" t="n"/>
    </row>
    <row r="23322" ht="14.25" customHeight="1" s="192">
      <c r="W23322" s="228" t="n"/>
      <c r="X23322" s="228" t="n"/>
    </row>
    <row r="23323" ht="14.25" customHeight="1" s="192">
      <c r="W23323" s="235" t="n"/>
      <c r="X23323" s="235" t="n"/>
    </row>
    <row r="23324" ht="14.25" customHeight="1" s="192">
      <c r="W23324" s="235" t="n"/>
      <c r="X23324" s="235" t="n"/>
    </row>
    <row r="23325" ht="14.25" customHeight="1" s="192">
      <c r="W23325" s="235" t="n"/>
      <c r="X23325" s="235" t="n"/>
    </row>
    <row r="23326" ht="14.25" customHeight="1" s="192">
      <c r="W23326" s="239" t="n"/>
      <c r="X23326" s="239" t="n"/>
    </row>
    <row r="23327" ht="14.25" customHeight="1" s="192">
      <c r="W23327" s="239" t="n"/>
      <c r="X23327" s="239" t="n"/>
    </row>
    <row r="23328" ht="14.25" customHeight="1" s="192">
      <c r="W23328" s="239" t="n"/>
      <c r="X23328" s="239" t="n"/>
    </row>
    <row r="23329" ht="14.25" customHeight="1" s="192">
      <c r="W23329" s="235" t="n"/>
      <c r="X23329" s="235" t="n"/>
    </row>
    <row r="23330" ht="14.25" customHeight="1" s="192">
      <c r="W23330" s="235" t="n"/>
      <c r="X23330" s="235" t="n"/>
    </row>
    <row r="23331" ht="14.25" customHeight="1" s="192">
      <c r="W23331" s="235" t="n"/>
      <c r="X23331" s="235" t="n"/>
    </row>
    <row r="23332" ht="14.25" customHeight="1" s="192">
      <c r="W23332" s="239" t="n"/>
      <c r="X23332" s="239" t="n"/>
    </row>
    <row r="23333" ht="14.25" customHeight="1" s="192">
      <c r="W23333" s="239" t="n"/>
      <c r="X23333" s="239" t="n"/>
    </row>
    <row r="23334" ht="14.25" customHeight="1" s="192">
      <c r="W23334" s="235" t="n"/>
      <c r="X23334" s="235" t="n"/>
    </row>
    <row r="23335" ht="14.25" customHeight="1" s="192">
      <c r="W23335" s="235" t="n"/>
      <c r="X23335" s="235" t="n"/>
    </row>
    <row r="23336" ht="14.25" customHeight="1" s="192">
      <c r="W23336" s="239" t="n"/>
      <c r="X23336" s="239" t="n"/>
    </row>
    <row r="23337" ht="14.25" customHeight="1" s="192">
      <c r="W23337" s="235" t="n"/>
      <c r="X23337" s="235" t="n"/>
    </row>
    <row r="23338" ht="14.25" customHeight="1" s="192">
      <c r="W23338" s="239" t="n"/>
      <c r="X23338" s="239" t="n"/>
    </row>
    <row r="23340" ht="14.25" customHeight="1" s="192">
      <c r="W23340" s="235" t="n"/>
      <c r="X23340" s="235" t="n"/>
    </row>
    <row r="23341" ht="15" customHeight="1" s="192" thickBot="1">
      <c r="W23341" s="239" t="n"/>
      <c r="X23341" s="239" t="n"/>
    </row>
    <row r="23342" ht="15" customHeight="1" s="192" thickBot="1">
      <c r="W23342" s="45" t="n"/>
      <c r="X23342" s="45" t="n"/>
    </row>
    <row r="23343" ht="14.25" customHeight="1" s="192">
      <c r="W23343" s="228" t="n"/>
      <c r="X23343" s="228" t="n"/>
    </row>
    <row r="23344" ht="14.25" customHeight="1" s="192">
      <c r="W23344" s="228" t="n"/>
      <c r="X23344" s="228" t="n"/>
    </row>
    <row r="23345" ht="14.25" customHeight="1" s="192">
      <c r="W23345" s="231" t="n"/>
      <c r="X23345" s="231" t="n"/>
    </row>
    <row r="23346" ht="14.25" customHeight="1" s="192">
      <c r="W23346" s="33" t="n"/>
      <c r="X23346" s="33" t="n"/>
    </row>
    <row r="23347" ht="14.25" customHeight="1" s="192">
      <c r="W23347" s="231" t="n"/>
      <c r="X23347" s="231" t="n"/>
    </row>
    <row r="23348" ht="14.25" customHeight="1" s="192">
      <c r="W23348" s="33" t="n"/>
      <c r="X23348" s="33" t="n"/>
    </row>
    <row r="23350" ht="14.25" customHeight="1" s="192">
      <c r="W23350" s="231" t="n"/>
      <c r="X23350" s="231" t="n"/>
    </row>
    <row r="23351" ht="14.25" customHeight="1" s="192">
      <c r="W23351" s="235" t="n"/>
      <c r="X23351" s="235" t="n"/>
    </row>
    <row r="23352" ht="14.25" customHeight="1" s="192">
      <c r="W23352" s="228" t="n"/>
      <c r="X23352" s="228" t="n"/>
    </row>
    <row r="23353" ht="14.25" customHeight="1" s="192">
      <c r="W23353" s="235" t="n"/>
      <c r="X23353" s="235" t="n"/>
    </row>
    <row r="23354" ht="14.25" customHeight="1" s="192">
      <c r="W23354" s="235" t="n"/>
      <c r="X23354" s="235" t="n"/>
    </row>
    <row r="23355" ht="14.25" customHeight="1" s="192">
      <c r="W23355" s="235" t="n"/>
      <c r="X23355" s="235" t="n"/>
    </row>
    <row r="23356" ht="14.25" customHeight="1" s="192">
      <c r="W23356" s="239" t="n"/>
      <c r="X23356" s="239" t="n"/>
    </row>
    <row r="23357" ht="14.25" customHeight="1" s="192">
      <c r="W23357" s="239" t="n"/>
      <c r="X23357" s="239" t="n"/>
    </row>
    <row r="23358" ht="14.25" customHeight="1" s="192">
      <c r="W23358" s="239" t="n"/>
      <c r="X23358" s="239" t="n"/>
    </row>
    <row r="23359" ht="14.25" customHeight="1" s="192">
      <c r="W23359" s="235" t="n"/>
      <c r="X23359" s="235" t="n"/>
    </row>
    <row r="23360" ht="14.25" customHeight="1" s="192">
      <c r="W23360" s="235" t="n"/>
      <c r="X23360" s="235" t="n"/>
    </row>
    <row r="23361" ht="14.25" customHeight="1" s="192">
      <c r="W23361" s="235" t="n"/>
      <c r="X23361" s="235" t="n"/>
    </row>
    <row r="23362" ht="14.25" customHeight="1" s="192">
      <c r="W23362" s="239" t="n"/>
      <c r="X23362" s="239" t="n"/>
    </row>
    <row r="23363" ht="14.25" customHeight="1" s="192">
      <c r="W23363" s="239" t="n"/>
      <c r="X23363" s="239" t="n"/>
    </row>
    <row r="23364" ht="14.25" customHeight="1" s="192">
      <c r="W23364" s="235" t="n"/>
      <c r="X23364" s="235" t="n"/>
    </row>
    <row r="23365" ht="14.25" customHeight="1" s="192">
      <c r="W23365" s="235" t="n"/>
      <c r="X23365" s="235" t="n"/>
    </row>
    <row r="23366" ht="14.25" customHeight="1" s="192">
      <c r="W23366" s="239" t="n"/>
      <c r="X23366" s="239" t="n"/>
    </row>
    <row r="23367" ht="14.25" customHeight="1" s="192">
      <c r="W23367" s="235" t="n"/>
      <c r="X23367" s="235" t="n"/>
    </row>
    <row r="23368" ht="14.25" customHeight="1" s="192">
      <c r="W23368" s="239" t="n"/>
      <c r="X23368" s="239" t="n"/>
    </row>
    <row r="23370" ht="14.25" customHeight="1" s="192">
      <c r="W23370" s="235" t="n"/>
      <c r="X23370" s="235" t="n"/>
    </row>
    <row r="23371" ht="15" customHeight="1" s="192" thickBot="1">
      <c r="W23371" s="239" t="n"/>
      <c r="X23371" s="239" t="n"/>
    </row>
    <row r="23372" ht="15" customHeight="1" s="192" thickBot="1">
      <c r="W23372" s="45" t="n"/>
      <c r="X23372" s="45" t="n"/>
    </row>
    <row r="23373" ht="14.25" customHeight="1" s="192">
      <c r="W23373" s="228" t="n"/>
      <c r="X23373" s="228" t="n"/>
    </row>
    <row r="23374" ht="14.25" customHeight="1" s="192">
      <c r="W23374" s="228" t="n"/>
      <c r="X23374" s="228" t="n"/>
    </row>
    <row r="23375" ht="14.25" customHeight="1" s="192">
      <c r="W23375" s="231" t="n"/>
      <c r="X23375" s="231" t="n"/>
    </row>
    <row r="23376" ht="14.25" customHeight="1" s="192">
      <c r="W23376" s="33" t="n"/>
      <c r="X23376" s="33" t="n"/>
    </row>
    <row r="23377" ht="14.25" customHeight="1" s="192">
      <c r="W23377" s="231" t="n"/>
      <c r="X23377" s="231" t="n"/>
    </row>
    <row r="23378" ht="14.25" customHeight="1" s="192">
      <c r="W23378" s="33" t="n"/>
      <c r="X23378" s="33" t="n"/>
    </row>
    <row r="23380" ht="14.25" customHeight="1" s="192">
      <c r="W23380" s="231" t="n"/>
      <c r="X23380" s="231" t="n"/>
    </row>
    <row r="23381" ht="14.25" customHeight="1" s="192">
      <c r="W23381" s="235" t="n"/>
      <c r="X23381" s="235" t="n"/>
    </row>
    <row r="23382" ht="14.25" customHeight="1" s="192">
      <c r="W23382" s="228" t="n"/>
      <c r="X23382" s="228" t="n"/>
    </row>
    <row r="23383" ht="14.25" customHeight="1" s="192">
      <c r="W23383" s="235" t="n"/>
      <c r="X23383" s="235" t="n"/>
    </row>
    <row r="23384" ht="14.25" customHeight="1" s="192">
      <c r="W23384" s="235" t="n"/>
      <c r="X23384" s="235" t="n"/>
    </row>
    <row r="23385" ht="14.25" customHeight="1" s="192">
      <c r="W23385" s="235" t="n"/>
      <c r="X23385" s="235" t="n"/>
    </row>
    <row r="23386" ht="14.25" customHeight="1" s="192">
      <c r="W23386" s="239" t="n"/>
      <c r="X23386" s="239" t="n"/>
    </row>
    <row r="23387" ht="14.25" customHeight="1" s="192">
      <c r="W23387" s="239" t="n"/>
      <c r="X23387" s="239" t="n"/>
    </row>
    <row r="23388" ht="14.25" customHeight="1" s="192">
      <c r="W23388" s="239" t="n"/>
      <c r="X23388" s="239" t="n"/>
    </row>
    <row r="23389" ht="14.25" customHeight="1" s="192">
      <c r="W23389" s="235" t="n"/>
      <c r="X23389" s="235" t="n"/>
    </row>
    <row r="23390" ht="14.25" customHeight="1" s="192">
      <c r="W23390" s="235" t="n"/>
      <c r="X23390" s="235" t="n"/>
    </row>
    <row r="23391" ht="14.25" customHeight="1" s="192">
      <c r="W23391" s="235" t="n"/>
      <c r="X23391" s="235" t="n"/>
    </row>
    <row r="23392" ht="14.25" customHeight="1" s="192">
      <c r="W23392" s="239" t="n"/>
      <c r="X23392" s="239" t="n"/>
    </row>
    <row r="23393" ht="14.25" customHeight="1" s="192">
      <c r="W23393" s="239" t="n"/>
      <c r="X23393" s="239" t="n"/>
    </row>
    <row r="23394" ht="14.25" customHeight="1" s="192">
      <c r="W23394" s="235" t="n"/>
      <c r="X23394" s="235" t="n"/>
    </row>
    <row r="23395" ht="14.25" customHeight="1" s="192">
      <c r="W23395" s="235" t="n"/>
      <c r="X23395" s="235" t="n"/>
    </row>
    <row r="23396" ht="14.25" customHeight="1" s="192">
      <c r="W23396" s="239" t="n"/>
      <c r="X23396" s="239" t="n"/>
    </row>
    <row r="23397" ht="14.25" customHeight="1" s="192">
      <c r="W23397" s="235" t="n"/>
      <c r="X23397" s="235" t="n"/>
    </row>
    <row r="23398" ht="14.25" customHeight="1" s="192">
      <c r="W23398" s="239" t="n"/>
      <c r="X23398" s="239" t="n"/>
    </row>
    <row r="23400" ht="14.25" customHeight="1" s="192">
      <c r="W23400" s="235" t="n"/>
      <c r="X23400" s="235" t="n"/>
    </row>
    <row r="23401" ht="15" customHeight="1" s="192" thickBot="1">
      <c r="W23401" s="239" t="n"/>
      <c r="X23401" s="239" t="n"/>
    </row>
    <row r="23402" ht="15" customHeight="1" s="192" thickBot="1">
      <c r="W23402" s="45" t="n"/>
      <c r="X23402" s="45" t="n"/>
    </row>
    <row r="23403" ht="14.25" customHeight="1" s="192">
      <c r="W23403" s="228" t="n"/>
      <c r="X23403" s="228" t="n"/>
    </row>
    <row r="23404" ht="14.25" customHeight="1" s="192">
      <c r="W23404" s="228" t="n"/>
      <c r="X23404" s="228" t="n"/>
    </row>
    <row r="23405" ht="14.25" customHeight="1" s="192">
      <c r="W23405" s="231" t="n"/>
      <c r="X23405" s="231" t="n"/>
    </row>
    <row r="23406" ht="14.25" customHeight="1" s="192">
      <c r="W23406" s="33" t="n"/>
      <c r="X23406" s="33" t="n"/>
    </row>
    <row r="23407" ht="14.25" customHeight="1" s="192">
      <c r="W23407" s="231" t="n"/>
      <c r="X23407" s="231" t="n"/>
    </row>
    <row r="23408" ht="14.25" customHeight="1" s="192">
      <c r="W23408" s="33" t="n"/>
      <c r="X23408" s="33" t="n"/>
    </row>
    <row r="23410" ht="14.25" customHeight="1" s="192">
      <c r="W23410" s="231" t="n"/>
      <c r="X23410" s="231" t="n"/>
    </row>
    <row r="23411" ht="14.25" customHeight="1" s="192">
      <c r="W23411" s="235" t="n"/>
      <c r="X23411" s="235" t="n"/>
    </row>
    <row r="23412" ht="14.25" customHeight="1" s="192">
      <c r="W23412" s="228" t="n"/>
      <c r="X23412" s="228" t="n"/>
    </row>
    <row r="23413" ht="14.25" customHeight="1" s="192">
      <c r="W23413" s="235" t="n"/>
      <c r="X23413" s="235" t="n"/>
    </row>
    <row r="23414" ht="14.25" customHeight="1" s="192">
      <c r="W23414" s="235" t="n"/>
      <c r="X23414" s="235" t="n"/>
    </row>
    <row r="23415" ht="14.25" customHeight="1" s="192">
      <c r="W23415" s="235" t="n"/>
      <c r="X23415" s="235" t="n"/>
    </row>
    <row r="23416" ht="14.25" customHeight="1" s="192">
      <c r="W23416" s="239" t="n"/>
      <c r="X23416" s="239" t="n"/>
    </row>
    <row r="23417" ht="14.25" customHeight="1" s="192">
      <c r="W23417" s="239" t="n"/>
      <c r="X23417" s="239" t="n"/>
    </row>
    <row r="23418" ht="14.25" customHeight="1" s="192">
      <c r="W23418" s="239" t="n"/>
      <c r="X23418" s="239" t="n"/>
    </row>
    <row r="23419" ht="14.25" customHeight="1" s="192">
      <c r="W23419" s="235" t="n"/>
      <c r="X23419" s="235" t="n"/>
    </row>
    <row r="23420" ht="14.25" customHeight="1" s="192">
      <c r="W23420" s="235" t="n"/>
      <c r="X23420" s="235" t="n"/>
    </row>
    <row r="23421" ht="14.25" customHeight="1" s="192">
      <c r="W23421" s="235" t="n"/>
      <c r="X23421" s="235" t="n"/>
    </row>
    <row r="23422" ht="14.25" customHeight="1" s="192">
      <c r="W23422" s="239" t="n"/>
      <c r="X23422" s="239" t="n"/>
    </row>
    <row r="23423" ht="14.25" customHeight="1" s="192">
      <c r="W23423" s="239" t="n"/>
      <c r="X23423" s="239" t="n"/>
    </row>
    <row r="23424" ht="14.25" customHeight="1" s="192">
      <c r="W23424" s="235" t="n"/>
      <c r="X23424" s="235" t="n"/>
    </row>
    <row r="23425" ht="14.25" customHeight="1" s="192">
      <c r="W23425" s="235" t="n"/>
      <c r="X23425" s="235" t="n"/>
    </row>
    <row r="23426" ht="14.25" customHeight="1" s="192">
      <c r="W23426" s="239" t="n"/>
      <c r="X23426" s="239" t="n"/>
    </row>
    <row r="23427" ht="14.25" customHeight="1" s="192">
      <c r="W23427" s="235" t="n"/>
      <c r="X23427" s="235" t="n"/>
    </row>
    <row r="23428" ht="14.25" customHeight="1" s="192">
      <c r="W23428" s="239" t="n"/>
      <c r="X23428" s="239" t="n"/>
    </row>
    <row r="23430" ht="14.25" customHeight="1" s="192">
      <c r="W23430" s="235" t="n"/>
      <c r="X23430" s="235" t="n"/>
    </row>
    <row r="23431" ht="15" customHeight="1" s="192" thickBot="1">
      <c r="W23431" s="239" t="n"/>
      <c r="X23431" s="239" t="n"/>
    </row>
    <row r="23432" ht="15" customHeight="1" s="192" thickBot="1">
      <c r="W23432" s="45" t="n"/>
      <c r="X23432" s="45" t="n"/>
    </row>
    <row r="23433" ht="14.25" customHeight="1" s="192">
      <c r="W23433" s="228" t="n"/>
      <c r="X23433" s="228" t="n"/>
    </row>
    <row r="23434" ht="14.25" customHeight="1" s="192">
      <c r="W23434" s="228" t="n"/>
      <c r="X23434" s="228" t="n"/>
    </row>
    <row r="23435" ht="14.25" customHeight="1" s="192">
      <c r="W23435" s="231" t="n"/>
      <c r="X23435" s="231" t="n"/>
    </row>
    <row r="23436" ht="14.25" customHeight="1" s="192">
      <c r="W23436" s="33" t="n"/>
      <c r="X23436" s="33" t="n"/>
    </row>
    <row r="23437" ht="14.25" customHeight="1" s="192">
      <c r="W23437" s="231" t="n"/>
      <c r="X23437" s="231" t="n"/>
    </row>
    <row r="23438" ht="14.25" customHeight="1" s="192">
      <c r="W23438" s="33" t="n"/>
      <c r="X23438" s="33" t="n"/>
    </row>
    <row r="23440" ht="14.25" customHeight="1" s="192">
      <c r="W23440" s="231" t="n"/>
      <c r="X23440" s="231" t="n"/>
    </row>
    <row r="23441" ht="14.25" customHeight="1" s="192">
      <c r="W23441" s="235" t="n"/>
      <c r="X23441" s="235" t="n"/>
    </row>
    <row r="23442" ht="14.25" customHeight="1" s="192">
      <c r="W23442" s="228" t="n"/>
      <c r="X23442" s="228" t="n"/>
    </row>
    <row r="23443" ht="14.25" customHeight="1" s="192">
      <c r="W23443" s="235" t="n"/>
      <c r="X23443" s="235" t="n"/>
    </row>
    <row r="23444" ht="14.25" customHeight="1" s="192">
      <c r="W23444" s="235" t="n"/>
      <c r="X23444" s="235" t="n"/>
    </row>
    <row r="23445" ht="14.25" customHeight="1" s="192">
      <c r="W23445" s="235" t="n"/>
      <c r="X23445" s="235" t="n"/>
    </row>
    <row r="23446" ht="14.25" customHeight="1" s="192">
      <c r="W23446" s="239" t="n"/>
      <c r="X23446" s="239" t="n"/>
    </row>
    <row r="23447" ht="14.25" customHeight="1" s="192">
      <c r="W23447" s="239" t="n"/>
      <c r="X23447" s="239" t="n"/>
    </row>
    <row r="23448" ht="14.25" customHeight="1" s="192">
      <c r="W23448" s="239" t="n"/>
      <c r="X23448" s="239" t="n"/>
    </row>
    <row r="23449" ht="14.25" customHeight="1" s="192">
      <c r="W23449" s="235" t="n"/>
      <c r="X23449" s="235" t="n"/>
    </row>
    <row r="23450" ht="14.25" customHeight="1" s="192">
      <c r="W23450" s="235" t="n"/>
      <c r="X23450" s="235" t="n"/>
    </row>
    <row r="23451" ht="14.25" customHeight="1" s="192">
      <c r="W23451" s="235" t="n"/>
      <c r="X23451" s="235" t="n"/>
    </row>
    <row r="23452" ht="14.25" customHeight="1" s="192">
      <c r="W23452" s="239" t="n"/>
      <c r="X23452" s="239" t="n"/>
    </row>
    <row r="23453" ht="14.25" customHeight="1" s="192">
      <c r="W23453" s="239" t="n"/>
      <c r="X23453" s="239" t="n"/>
    </row>
    <row r="23454" ht="14.25" customHeight="1" s="192">
      <c r="W23454" s="235" t="n"/>
      <c r="X23454" s="235" t="n"/>
    </row>
    <row r="23455" ht="14.25" customHeight="1" s="192">
      <c r="W23455" s="235" t="n"/>
      <c r="X23455" s="235" t="n"/>
    </row>
    <row r="23456" ht="14.25" customHeight="1" s="192">
      <c r="W23456" s="239" t="n"/>
      <c r="X23456" s="239" t="n"/>
    </row>
    <row r="23457" ht="14.25" customHeight="1" s="192">
      <c r="W23457" s="235" t="n"/>
      <c r="X23457" s="235" t="n"/>
    </row>
    <row r="23458" ht="14.25" customHeight="1" s="192">
      <c r="W23458" s="239" t="n"/>
      <c r="X23458" s="239" t="n"/>
    </row>
    <row r="23460" ht="14.25" customHeight="1" s="192">
      <c r="W23460" s="235" t="n"/>
      <c r="X23460" s="235" t="n"/>
    </row>
    <row r="23461" ht="15" customHeight="1" s="192" thickBot="1">
      <c r="W23461" s="239" t="n"/>
      <c r="X23461" s="239" t="n"/>
    </row>
    <row r="23462" ht="15" customHeight="1" s="192" thickBot="1">
      <c r="W23462" s="45" t="n"/>
      <c r="X23462" s="45" t="n"/>
    </row>
    <row r="23463" ht="14.25" customHeight="1" s="192">
      <c r="W23463" s="228" t="n"/>
      <c r="X23463" s="228" t="n"/>
    </row>
    <row r="23464" ht="14.25" customHeight="1" s="192">
      <c r="W23464" s="228" t="n"/>
      <c r="X23464" s="228" t="n"/>
    </row>
    <row r="23465" ht="14.25" customHeight="1" s="192">
      <c r="W23465" s="231" t="n"/>
      <c r="X23465" s="231" t="n"/>
    </row>
    <row r="23466" ht="14.25" customHeight="1" s="192">
      <c r="W23466" s="33" t="n"/>
      <c r="X23466" s="33" t="n"/>
    </row>
    <row r="23467" ht="14.25" customHeight="1" s="192">
      <c r="W23467" s="231" t="n"/>
      <c r="X23467" s="231" t="n"/>
    </row>
    <row r="23468" ht="14.25" customHeight="1" s="192">
      <c r="W23468" s="33" t="n"/>
      <c r="X23468" s="33" t="n"/>
    </row>
    <row r="23470" ht="14.25" customHeight="1" s="192">
      <c r="W23470" s="231" t="n"/>
      <c r="X23470" s="231" t="n"/>
    </row>
    <row r="23471" ht="14.25" customHeight="1" s="192">
      <c r="W23471" s="235" t="n"/>
      <c r="X23471" s="235" t="n"/>
    </row>
    <row r="23472" ht="14.25" customHeight="1" s="192">
      <c r="W23472" s="228" t="n"/>
      <c r="X23472" s="228" t="n"/>
    </row>
    <row r="23473" ht="14.25" customHeight="1" s="192">
      <c r="W23473" s="235" t="n"/>
      <c r="X23473" s="235" t="n"/>
    </row>
    <row r="23474" ht="14.25" customHeight="1" s="192">
      <c r="W23474" s="235" t="n"/>
      <c r="X23474" s="235" t="n"/>
    </row>
    <row r="23475" ht="14.25" customHeight="1" s="192">
      <c r="W23475" s="235" t="n"/>
      <c r="X23475" s="235" t="n"/>
    </row>
    <row r="23476" ht="14.25" customHeight="1" s="192">
      <c r="W23476" s="239" t="n"/>
      <c r="X23476" s="239" t="n"/>
    </row>
    <row r="23477" ht="14.25" customHeight="1" s="192">
      <c r="W23477" s="239" t="n"/>
      <c r="X23477" s="239" t="n"/>
    </row>
    <row r="23478" ht="14.25" customHeight="1" s="192">
      <c r="W23478" s="239" t="n"/>
      <c r="X23478" s="239" t="n"/>
    </row>
    <row r="23479" ht="14.25" customHeight="1" s="192">
      <c r="W23479" s="235" t="n"/>
      <c r="X23479" s="235" t="n"/>
    </row>
    <row r="23480" ht="14.25" customHeight="1" s="192">
      <c r="W23480" s="235" t="n"/>
      <c r="X23480" s="235" t="n"/>
    </row>
    <row r="23481" ht="14.25" customHeight="1" s="192">
      <c r="W23481" s="235" t="n"/>
      <c r="X23481" s="235" t="n"/>
    </row>
    <row r="23482" ht="14.25" customHeight="1" s="192">
      <c r="W23482" s="239" t="n"/>
      <c r="X23482" s="239" t="n"/>
    </row>
    <row r="23483" ht="14.25" customHeight="1" s="192">
      <c r="W23483" s="239" t="n"/>
      <c r="X23483" s="239" t="n"/>
    </row>
    <row r="23484" ht="14.25" customHeight="1" s="192">
      <c r="W23484" s="235" t="n"/>
      <c r="X23484" s="235" t="n"/>
    </row>
    <row r="23485" ht="14.25" customHeight="1" s="192">
      <c r="W23485" s="235" t="n"/>
      <c r="X23485" s="235" t="n"/>
    </row>
    <row r="23486" ht="14.25" customHeight="1" s="192">
      <c r="W23486" s="239" t="n"/>
      <c r="X23486" s="239" t="n"/>
    </row>
    <row r="23487" ht="14.25" customHeight="1" s="192">
      <c r="W23487" s="235" t="n"/>
      <c r="X23487" s="235" t="n"/>
    </row>
    <row r="23488" ht="14.25" customHeight="1" s="192">
      <c r="W23488" s="239" t="n"/>
      <c r="X23488" s="239" t="n"/>
    </row>
    <row r="23490" ht="14.25" customHeight="1" s="192">
      <c r="W23490" s="235" t="n"/>
      <c r="X23490" s="235" t="n"/>
    </row>
    <row r="23491" ht="15" customHeight="1" s="192" thickBot="1">
      <c r="W23491" s="239" t="n"/>
      <c r="X23491" s="239" t="n"/>
    </row>
    <row r="23492" ht="15" customHeight="1" s="192" thickBot="1">
      <c r="W23492" s="45" t="n"/>
      <c r="X23492" s="45" t="n"/>
    </row>
    <row r="23493" ht="14.25" customHeight="1" s="192">
      <c r="W23493" s="228" t="n"/>
      <c r="X23493" s="228" t="n"/>
    </row>
    <row r="23494" ht="14.25" customHeight="1" s="192">
      <c r="W23494" s="228" t="n"/>
      <c r="X23494" s="228" t="n"/>
    </row>
    <row r="23495" ht="14.25" customHeight="1" s="192">
      <c r="W23495" s="231" t="n"/>
      <c r="X23495" s="231" t="n"/>
    </row>
    <row r="23496" ht="14.25" customHeight="1" s="192">
      <c r="W23496" s="33" t="n"/>
      <c r="X23496" s="33" t="n"/>
    </row>
    <row r="23497" ht="14.25" customHeight="1" s="192">
      <c r="W23497" s="231" t="n"/>
      <c r="X23497" s="231" t="n"/>
    </row>
    <row r="23498" ht="14.25" customHeight="1" s="192">
      <c r="W23498" s="33" t="n"/>
      <c r="X23498" s="33" t="n"/>
    </row>
    <row r="23500" ht="14.25" customHeight="1" s="192">
      <c r="W23500" s="231" t="n"/>
      <c r="X23500" s="231" t="n"/>
    </row>
    <row r="23501" ht="14.25" customHeight="1" s="192">
      <c r="W23501" s="235" t="n"/>
      <c r="X23501" s="235" t="n"/>
    </row>
    <row r="23502" ht="14.25" customHeight="1" s="192">
      <c r="W23502" s="228" t="n"/>
      <c r="X23502" s="228" t="n"/>
    </row>
    <row r="23503" ht="14.25" customHeight="1" s="192">
      <c r="W23503" s="235" t="n"/>
      <c r="X23503" s="235" t="n"/>
    </row>
    <row r="23504" ht="14.25" customHeight="1" s="192">
      <c r="W23504" s="235" t="n"/>
      <c r="X23504" s="235" t="n"/>
    </row>
    <row r="23505" ht="14.25" customHeight="1" s="192">
      <c r="W23505" s="235" t="n"/>
      <c r="X23505" s="235" t="n"/>
    </row>
    <row r="23506" ht="14.25" customHeight="1" s="192">
      <c r="W23506" s="239" t="n"/>
      <c r="X23506" s="239" t="n"/>
    </row>
    <row r="23507" ht="14.25" customHeight="1" s="192">
      <c r="W23507" s="239" t="n"/>
      <c r="X23507" s="239" t="n"/>
    </row>
    <row r="23508" ht="14.25" customHeight="1" s="192">
      <c r="W23508" s="239" t="n"/>
      <c r="X23508" s="239" t="n"/>
    </row>
    <row r="23509" ht="14.25" customHeight="1" s="192">
      <c r="W23509" s="235" t="n"/>
      <c r="X23509" s="235" t="n"/>
    </row>
    <row r="23510" ht="14.25" customHeight="1" s="192">
      <c r="W23510" s="235" t="n"/>
      <c r="X23510" s="235" t="n"/>
    </row>
    <row r="23511" ht="14.25" customHeight="1" s="192">
      <c r="W23511" s="235" t="n"/>
      <c r="X23511" s="235" t="n"/>
    </row>
    <row r="23512" ht="14.25" customHeight="1" s="192">
      <c r="W23512" s="239" t="n"/>
      <c r="X23512" s="239" t="n"/>
    </row>
    <row r="23513" ht="14.25" customHeight="1" s="192">
      <c r="W23513" s="239" t="n"/>
      <c r="X23513" s="239" t="n"/>
    </row>
    <row r="23514" ht="14.25" customHeight="1" s="192">
      <c r="W23514" s="235" t="n"/>
      <c r="X23514" s="235" t="n"/>
    </row>
    <row r="23515" ht="14.25" customHeight="1" s="192">
      <c r="W23515" s="235" t="n"/>
      <c r="X23515" s="235" t="n"/>
    </row>
    <row r="23516" ht="14.25" customHeight="1" s="192">
      <c r="W23516" s="239" t="n"/>
      <c r="X23516" s="239" t="n"/>
    </row>
    <row r="23517" ht="14.25" customHeight="1" s="192">
      <c r="W23517" s="235" t="n"/>
      <c r="X23517" s="235" t="n"/>
    </row>
    <row r="23518" ht="14.25" customHeight="1" s="192">
      <c r="W23518" s="239" t="n"/>
      <c r="X23518" s="239" t="n"/>
    </row>
    <row r="23520" ht="14.25" customHeight="1" s="192">
      <c r="W23520" s="235" t="n"/>
      <c r="X23520" s="235" t="n"/>
    </row>
    <row r="23521" ht="15" customHeight="1" s="192" thickBot="1">
      <c r="W23521" s="239" t="n"/>
      <c r="X23521" s="239" t="n"/>
    </row>
    <row r="23522" ht="15" customHeight="1" s="192" thickBot="1">
      <c r="W23522" s="45" t="n"/>
      <c r="X23522" s="45" t="n"/>
    </row>
    <row r="23523" ht="14.25" customHeight="1" s="192">
      <c r="W23523" s="228" t="n"/>
      <c r="X23523" s="228" t="n"/>
    </row>
    <row r="23524" ht="14.25" customHeight="1" s="192">
      <c r="W23524" s="228" t="n"/>
      <c r="X23524" s="228" t="n"/>
    </row>
    <row r="23525" ht="14.25" customHeight="1" s="192">
      <c r="W23525" s="231" t="n"/>
      <c r="X23525" s="231" t="n"/>
    </row>
    <row r="23526" ht="14.25" customHeight="1" s="192">
      <c r="W23526" s="33" t="n"/>
      <c r="X23526" s="33" t="n"/>
    </row>
    <row r="23527" ht="14.25" customHeight="1" s="192">
      <c r="W23527" s="231" t="n"/>
      <c r="X23527" s="231" t="n"/>
    </row>
    <row r="23528" ht="14.25" customHeight="1" s="192">
      <c r="W23528" s="33" t="n"/>
      <c r="X23528" s="33" t="n"/>
    </row>
    <row r="23530" ht="14.25" customHeight="1" s="192">
      <c r="W23530" s="231" t="n"/>
      <c r="X23530" s="231" t="n"/>
    </row>
    <row r="23531" ht="14.25" customHeight="1" s="192">
      <c r="W23531" s="235" t="n"/>
      <c r="X23531" s="235" t="n"/>
    </row>
    <row r="23532" ht="14.25" customHeight="1" s="192">
      <c r="W23532" s="228" t="n"/>
      <c r="X23532" s="228" t="n"/>
    </row>
    <row r="23533" ht="14.25" customHeight="1" s="192">
      <c r="W23533" s="235" t="n"/>
      <c r="X23533" s="235" t="n"/>
    </row>
    <row r="23534" ht="14.25" customHeight="1" s="192">
      <c r="W23534" s="235" t="n"/>
      <c r="X23534" s="235" t="n"/>
    </row>
    <row r="23535" ht="14.25" customHeight="1" s="192">
      <c r="W23535" s="235" t="n"/>
      <c r="X23535" s="235" t="n"/>
    </row>
    <row r="23536" ht="14.25" customHeight="1" s="192">
      <c r="W23536" s="239" t="n"/>
      <c r="X23536" s="239" t="n"/>
    </row>
    <row r="23537" ht="14.25" customHeight="1" s="192">
      <c r="W23537" s="239" t="n"/>
      <c r="X23537" s="239" t="n"/>
    </row>
    <row r="23538" ht="14.25" customHeight="1" s="192">
      <c r="W23538" s="239" t="n"/>
      <c r="X23538" s="239" t="n"/>
    </row>
    <row r="23539" ht="14.25" customHeight="1" s="192">
      <c r="W23539" s="235" t="n"/>
      <c r="X23539" s="235" t="n"/>
    </row>
    <row r="23540" ht="14.25" customHeight="1" s="192">
      <c r="W23540" s="235" t="n"/>
      <c r="X23540" s="235" t="n"/>
    </row>
    <row r="23541" ht="14.25" customHeight="1" s="192">
      <c r="W23541" s="235" t="n"/>
      <c r="X23541" s="235" t="n"/>
    </row>
    <row r="23542" ht="14.25" customHeight="1" s="192">
      <c r="W23542" s="239" t="n"/>
      <c r="X23542" s="239" t="n"/>
    </row>
    <row r="23543" ht="14.25" customHeight="1" s="192">
      <c r="W23543" s="239" t="n"/>
      <c r="X23543" s="239" t="n"/>
    </row>
    <row r="23544" ht="14.25" customHeight="1" s="192">
      <c r="W23544" s="235" t="n"/>
      <c r="X23544" s="235" t="n"/>
    </row>
    <row r="23545" ht="14.25" customHeight="1" s="192">
      <c r="W23545" s="235" t="n"/>
      <c r="X23545" s="235" t="n"/>
    </row>
    <row r="23546" ht="14.25" customHeight="1" s="192">
      <c r="W23546" s="239" t="n"/>
      <c r="X23546" s="239" t="n"/>
    </row>
    <row r="23547" ht="14.25" customHeight="1" s="192">
      <c r="W23547" s="235" t="n"/>
      <c r="X23547" s="235" t="n"/>
    </row>
    <row r="23548" ht="14.25" customHeight="1" s="192">
      <c r="W23548" s="239" t="n"/>
      <c r="X23548" s="239" t="n"/>
    </row>
    <row r="23550" ht="14.25" customHeight="1" s="192">
      <c r="W23550" s="235" t="n"/>
      <c r="X23550" s="235" t="n"/>
    </row>
    <row r="23551" ht="15" customHeight="1" s="192" thickBot="1">
      <c r="W23551" s="239" t="n"/>
      <c r="X23551" s="239" t="n"/>
    </row>
    <row r="23552" ht="15" customHeight="1" s="192" thickBot="1">
      <c r="W23552" s="45" t="n"/>
      <c r="X23552" s="45" t="n"/>
    </row>
    <row r="23553" ht="14.25" customHeight="1" s="192">
      <c r="W23553" s="228" t="n"/>
      <c r="X23553" s="228" t="n"/>
    </row>
    <row r="23554" ht="14.25" customHeight="1" s="192">
      <c r="W23554" s="228" t="n"/>
      <c r="X23554" s="228" t="n"/>
    </row>
    <row r="23555" ht="14.25" customHeight="1" s="192">
      <c r="W23555" s="231" t="n"/>
      <c r="X23555" s="231" t="n"/>
    </row>
    <row r="23556" ht="14.25" customHeight="1" s="192">
      <c r="W23556" s="33" t="n"/>
      <c r="X23556" s="33" t="n"/>
    </row>
    <row r="23557" ht="14.25" customHeight="1" s="192">
      <c r="W23557" s="231" t="n"/>
      <c r="X23557" s="231" t="n"/>
    </row>
    <row r="23558" ht="14.25" customHeight="1" s="192">
      <c r="W23558" s="33" t="n"/>
      <c r="X23558" s="33" t="n"/>
    </row>
    <row r="23560" ht="14.25" customHeight="1" s="192">
      <c r="W23560" s="231" t="n"/>
      <c r="X23560" s="231" t="n"/>
    </row>
    <row r="23561" ht="14.25" customHeight="1" s="192">
      <c r="W23561" s="235" t="n"/>
      <c r="X23561" s="235" t="n"/>
    </row>
    <row r="23562" ht="14.25" customHeight="1" s="192">
      <c r="W23562" s="228" t="n"/>
      <c r="X23562" s="228" t="n"/>
    </row>
    <row r="23563" ht="14.25" customHeight="1" s="192">
      <c r="W23563" s="235" t="n"/>
      <c r="X23563" s="235" t="n"/>
    </row>
    <row r="23564" ht="14.25" customHeight="1" s="192">
      <c r="W23564" s="235" t="n"/>
      <c r="X23564" s="235" t="n"/>
    </row>
    <row r="23565" ht="14.25" customHeight="1" s="192">
      <c r="W23565" s="235" t="n"/>
      <c r="X23565" s="235" t="n"/>
    </row>
    <row r="23566" ht="14.25" customHeight="1" s="192">
      <c r="W23566" s="239" t="n"/>
      <c r="X23566" s="239" t="n"/>
    </row>
    <row r="23567" ht="14.25" customHeight="1" s="192">
      <c r="W23567" s="239" t="n"/>
      <c r="X23567" s="239" t="n"/>
    </row>
    <row r="23568" ht="14.25" customHeight="1" s="192">
      <c r="W23568" s="239" t="n"/>
      <c r="X23568" s="239" t="n"/>
    </row>
    <row r="23569" ht="14.25" customHeight="1" s="192">
      <c r="W23569" s="235" t="n"/>
      <c r="X23569" s="235" t="n"/>
    </row>
    <row r="23570" ht="14.25" customHeight="1" s="192">
      <c r="W23570" s="235" t="n"/>
      <c r="X23570" s="235" t="n"/>
    </row>
    <row r="23571" ht="14.25" customHeight="1" s="192">
      <c r="W23571" s="235" t="n"/>
      <c r="X23571" s="235" t="n"/>
    </row>
    <row r="23572" ht="14.25" customHeight="1" s="192">
      <c r="W23572" s="239" t="n"/>
      <c r="X23572" s="239" t="n"/>
    </row>
    <row r="23573" ht="14.25" customHeight="1" s="192">
      <c r="W23573" s="239" t="n"/>
      <c r="X23573" s="239" t="n"/>
    </row>
    <row r="23574" ht="14.25" customHeight="1" s="192">
      <c r="W23574" s="235" t="n"/>
      <c r="X23574" s="235" t="n"/>
    </row>
    <row r="23575" ht="14.25" customHeight="1" s="192">
      <c r="W23575" s="235" t="n"/>
      <c r="X23575" s="235" t="n"/>
    </row>
    <row r="23576" ht="14.25" customHeight="1" s="192">
      <c r="W23576" s="239" t="n"/>
      <c r="X23576" s="239" t="n"/>
    </row>
    <row r="23577" ht="14.25" customHeight="1" s="192">
      <c r="W23577" s="235" t="n"/>
      <c r="X23577" s="235" t="n"/>
    </row>
    <row r="23578" ht="14.25" customHeight="1" s="192">
      <c r="W23578" s="239" t="n"/>
      <c r="X23578" s="239" t="n"/>
    </row>
    <row r="23580" ht="14.25" customHeight="1" s="192">
      <c r="W23580" s="235" t="n"/>
      <c r="X23580" s="235" t="n"/>
    </row>
    <row r="23581" ht="15" customHeight="1" s="192" thickBot="1">
      <c r="W23581" s="239" t="n"/>
      <c r="X23581" s="239" t="n"/>
    </row>
    <row r="23582" ht="15" customHeight="1" s="192" thickBot="1">
      <c r="W23582" s="45" t="n"/>
      <c r="X23582" s="45" t="n"/>
    </row>
    <row r="23583" ht="14.25" customHeight="1" s="192">
      <c r="W23583" s="228" t="n"/>
      <c r="X23583" s="228" t="n"/>
    </row>
    <row r="23584" ht="14.25" customHeight="1" s="192">
      <c r="W23584" s="228" t="n"/>
      <c r="X23584" s="228" t="n"/>
    </row>
    <row r="23585" ht="14.25" customHeight="1" s="192">
      <c r="W23585" s="231" t="n"/>
      <c r="X23585" s="231" t="n"/>
    </row>
    <row r="23586" ht="14.25" customHeight="1" s="192">
      <c r="W23586" s="33" t="n"/>
      <c r="X23586" s="33" t="n"/>
    </row>
    <row r="23587" ht="14.25" customHeight="1" s="192">
      <c r="W23587" s="231" t="n"/>
      <c r="X23587" s="231" t="n"/>
    </row>
    <row r="23588" ht="14.25" customHeight="1" s="192">
      <c r="W23588" s="33" t="n"/>
      <c r="X23588" s="33" t="n"/>
    </row>
    <row r="23590" ht="14.25" customHeight="1" s="192">
      <c r="W23590" s="231" t="n"/>
      <c r="X23590" s="231" t="n"/>
    </row>
    <row r="23591" ht="14.25" customHeight="1" s="192">
      <c r="W23591" s="235" t="n"/>
      <c r="X23591" s="235" t="n"/>
    </row>
    <row r="23592" ht="14.25" customHeight="1" s="192">
      <c r="W23592" s="228" t="n"/>
      <c r="X23592" s="228" t="n"/>
    </row>
    <row r="23593" ht="14.25" customHeight="1" s="192">
      <c r="W23593" s="235" t="n"/>
      <c r="X23593" s="235" t="n"/>
    </row>
    <row r="23594" ht="14.25" customHeight="1" s="192">
      <c r="W23594" s="235" t="n"/>
      <c r="X23594" s="235" t="n"/>
    </row>
    <row r="23595" ht="14.25" customHeight="1" s="192">
      <c r="W23595" s="235" t="n"/>
      <c r="X23595" s="235" t="n"/>
    </row>
    <row r="23596" ht="14.25" customHeight="1" s="192">
      <c r="W23596" s="239" t="n"/>
      <c r="X23596" s="239" t="n"/>
    </row>
    <row r="23597" ht="14.25" customHeight="1" s="192">
      <c r="W23597" s="239" t="n"/>
      <c r="X23597" s="239" t="n"/>
    </row>
    <row r="23598" ht="14.25" customHeight="1" s="192">
      <c r="W23598" s="239" t="n"/>
      <c r="X23598" s="239" t="n"/>
    </row>
    <row r="23599" ht="14.25" customHeight="1" s="192">
      <c r="W23599" s="235" t="n"/>
      <c r="X23599" s="235" t="n"/>
    </row>
    <row r="23600" ht="14.25" customHeight="1" s="192">
      <c r="W23600" s="235" t="n"/>
      <c r="X23600" s="235" t="n"/>
    </row>
    <row r="23601" ht="14.25" customHeight="1" s="192">
      <c r="W23601" s="235" t="n"/>
      <c r="X23601" s="235" t="n"/>
    </row>
    <row r="23602" ht="14.25" customHeight="1" s="192">
      <c r="W23602" s="239" t="n"/>
      <c r="X23602" s="239" t="n"/>
    </row>
    <row r="23603" ht="14.25" customHeight="1" s="192">
      <c r="W23603" s="239" t="n"/>
      <c r="X23603" s="239" t="n"/>
    </row>
    <row r="23604" ht="14.25" customHeight="1" s="192">
      <c r="W23604" s="235" t="n"/>
      <c r="X23604" s="235" t="n"/>
    </row>
    <row r="23605" ht="14.25" customHeight="1" s="192">
      <c r="W23605" s="235" t="n"/>
      <c r="X23605" s="235" t="n"/>
    </row>
    <row r="23606" ht="14.25" customHeight="1" s="192">
      <c r="W23606" s="239" t="n"/>
      <c r="X23606" s="239" t="n"/>
    </row>
    <row r="23607" ht="14.25" customHeight="1" s="192">
      <c r="W23607" s="235" t="n"/>
      <c r="X23607" s="235" t="n"/>
    </row>
    <row r="23608" ht="14.25" customHeight="1" s="192">
      <c r="W23608" s="239" t="n"/>
      <c r="X23608" s="239" t="n"/>
    </row>
    <row r="23610" ht="14.25" customHeight="1" s="192">
      <c r="W23610" s="235" t="n"/>
      <c r="X23610" s="235" t="n"/>
    </row>
    <row r="23611" ht="15" customHeight="1" s="192" thickBot="1">
      <c r="W23611" s="239" t="n"/>
      <c r="X23611" s="239" t="n"/>
    </row>
    <row r="23612" ht="15" customHeight="1" s="192" thickBot="1">
      <c r="W23612" s="45" t="n"/>
      <c r="X23612" s="45" t="n"/>
    </row>
    <row r="23613" ht="14.25" customHeight="1" s="192">
      <c r="W23613" s="228" t="n"/>
      <c r="X23613" s="228" t="n"/>
    </row>
    <row r="23614" ht="14.25" customHeight="1" s="192">
      <c r="W23614" s="228" t="n"/>
      <c r="X23614" s="228" t="n"/>
    </row>
    <row r="23615" ht="14.25" customHeight="1" s="192">
      <c r="W23615" s="231" t="n"/>
      <c r="X23615" s="231" t="n"/>
    </row>
    <row r="23616" ht="14.25" customHeight="1" s="192">
      <c r="W23616" s="33" t="n"/>
      <c r="X23616" s="33" t="n"/>
    </row>
    <row r="23617" ht="14.25" customHeight="1" s="192">
      <c r="W23617" s="231" t="n"/>
      <c r="X23617" s="231" t="n"/>
    </row>
    <row r="23618" ht="14.25" customHeight="1" s="192">
      <c r="W23618" s="33" t="n"/>
      <c r="X23618" s="33" t="n"/>
    </row>
    <row r="23620" ht="14.25" customHeight="1" s="192">
      <c r="W23620" s="231" t="n"/>
      <c r="X23620" s="231" t="n"/>
    </row>
    <row r="23621" ht="14.25" customHeight="1" s="192">
      <c r="W23621" s="235" t="n"/>
      <c r="X23621" s="235" t="n"/>
    </row>
    <row r="23622" ht="14.25" customHeight="1" s="192">
      <c r="W23622" s="228" t="n"/>
      <c r="X23622" s="228" t="n"/>
    </row>
    <row r="23623" ht="14.25" customHeight="1" s="192">
      <c r="W23623" s="235" t="n"/>
      <c r="X23623" s="235" t="n"/>
    </row>
    <row r="23624" ht="14.25" customHeight="1" s="192">
      <c r="W23624" s="235" t="n"/>
      <c r="X23624" s="235" t="n"/>
    </row>
    <row r="23625" ht="14.25" customHeight="1" s="192">
      <c r="W23625" s="235" t="n"/>
      <c r="X23625" s="235" t="n"/>
    </row>
    <row r="23626" ht="14.25" customHeight="1" s="192">
      <c r="W23626" s="239" t="n"/>
      <c r="X23626" s="239" t="n"/>
    </row>
    <row r="23627" ht="14.25" customHeight="1" s="192">
      <c r="W23627" s="239" t="n"/>
      <c r="X23627" s="239" t="n"/>
    </row>
    <row r="23628" ht="14.25" customHeight="1" s="192">
      <c r="W23628" s="239" t="n"/>
      <c r="X23628" s="239" t="n"/>
    </row>
    <row r="23629" ht="14.25" customHeight="1" s="192">
      <c r="W23629" s="235" t="n"/>
      <c r="X23629" s="235" t="n"/>
    </row>
    <row r="23630" ht="14.25" customHeight="1" s="192">
      <c r="W23630" s="235" t="n"/>
      <c r="X23630" s="235" t="n"/>
    </row>
    <row r="23631" ht="14.25" customHeight="1" s="192">
      <c r="W23631" s="235" t="n"/>
      <c r="X23631" s="235" t="n"/>
    </row>
    <row r="23632" ht="14.25" customHeight="1" s="192">
      <c r="W23632" s="239" t="n"/>
      <c r="X23632" s="239" t="n"/>
    </row>
    <row r="23633" ht="14.25" customHeight="1" s="192">
      <c r="W23633" s="239" t="n"/>
      <c r="X23633" s="239" t="n"/>
    </row>
    <row r="23634" ht="14.25" customHeight="1" s="192">
      <c r="W23634" s="235" t="n"/>
      <c r="X23634" s="235" t="n"/>
    </row>
    <row r="23635" ht="14.25" customHeight="1" s="192">
      <c r="W23635" s="235" t="n"/>
      <c r="X23635" s="235" t="n"/>
    </row>
    <row r="23636" ht="14.25" customHeight="1" s="192">
      <c r="W23636" s="239" t="n"/>
      <c r="X23636" s="239" t="n"/>
    </row>
    <row r="23637" ht="14.25" customHeight="1" s="192">
      <c r="W23637" s="235" t="n"/>
      <c r="X23637" s="235" t="n"/>
    </row>
    <row r="23638" ht="14.25" customHeight="1" s="192">
      <c r="W23638" s="239" t="n"/>
      <c r="X23638" s="239" t="n"/>
    </row>
    <row r="23640" ht="14.25" customHeight="1" s="192">
      <c r="W23640" s="235" t="n"/>
      <c r="X23640" s="235" t="n"/>
    </row>
    <row r="23641" ht="15" customHeight="1" s="192" thickBot="1">
      <c r="W23641" s="239" t="n"/>
      <c r="X23641" s="239" t="n"/>
    </row>
    <row r="23642" ht="15" customHeight="1" s="192" thickBot="1">
      <c r="W23642" s="45" t="n"/>
      <c r="X23642" s="45" t="n"/>
    </row>
    <row r="23643" ht="14.25" customHeight="1" s="192">
      <c r="W23643" s="228" t="n"/>
      <c r="X23643" s="228" t="n"/>
    </row>
    <row r="23644" ht="14.25" customHeight="1" s="192">
      <c r="W23644" s="228" t="n"/>
      <c r="X23644" s="228" t="n"/>
    </row>
    <row r="23645" ht="14.25" customHeight="1" s="192">
      <c r="W23645" s="231" t="n"/>
      <c r="X23645" s="231" t="n"/>
    </row>
    <row r="23646" ht="14.25" customHeight="1" s="192">
      <c r="W23646" s="33" t="n"/>
      <c r="X23646" s="33" t="n"/>
    </row>
    <row r="23647" ht="14.25" customHeight="1" s="192">
      <c r="W23647" s="231" t="n"/>
      <c r="X23647" s="231" t="n"/>
    </row>
    <row r="23648" ht="14.25" customHeight="1" s="192">
      <c r="W23648" s="33" t="n"/>
      <c r="X23648" s="33" t="n"/>
    </row>
    <row r="23650" ht="14.25" customHeight="1" s="192">
      <c r="W23650" s="231" t="n"/>
      <c r="X23650" s="231" t="n"/>
    </row>
    <row r="23651" ht="14.25" customHeight="1" s="192">
      <c r="W23651" s="235" t="n"/>
      <c r="X23651" s="235" t="n"/>
    </row>
    <row r="23652" ht="14.25" customHeight="1" s="192">
      <c r="W23652" s="228" t="n"/>
      <c r="X23652" s="228" t="n"/>
    </row>
    <row r="23653" ht="14.25" customHeight="1" s="192">
      <c r="W23653" s="235" t="n"/>
      <c r="X23653" s="235" t="n"/>
    </row>
    <row r="23654" ht="14.25" customHeight="1" s="192">
      <c r="W23654" s="235" t="n"/>
      <c r="X23654" s="235" t="n"/>
    </row>
    <row r="23655" ht="14.25" customHeight="1" s="192">
      <c r="W23655" s="235" t="n"/>
      <c r="X23655" s="235" t="n"/>
    </row>
    <row r="23656" ht="14.25" customHeight="1" s="192">
      <c r="W23656" s="239" t="n"/>
      <c r="X23656" s="239" t="n"/>
    </row>
    <row r="23657" ht="14.25" customHeight="1" s="192">
      <c r="W23657" s="239" t="n"/>
      <c r="X23657" s="239" t="n"/>
    </row>
    <row r="23658" ht="14.25" customHeight="1" s="192">
      <c r="W23658" s="239" t="n"/>
      <c r="X23658" s="239" t="n"/>
    </row>
    <row r="23659" ht="14.25" customHeight="1" s="192">
      <c r="W23659" s="235" t="n"/>
      <c r="X23659" s="235" t="n"/>
    </row>
    <row r="23660" ht="14.25" customHeight="1" s="192">
      <c r="W23660" s="235" t="n"/>
      <c r="X23660" s="235" t="n"/>
    </row>
    <row r="23661" ht="14.25" customHeight="1" s="192">
      <c r="W23661" s="235" t="n"/>
      <c r="X23661" s="235" t="n"/>
    </row>
    <row r="23662" ht="14.25" customHeight="1" s="192">
      <c r="W23662" s="239" t="n"/>
      <c r="X23662" s="239" t="n"/>
    </row>
    <row r="23663" ht="14.25" customHeight="1" s="192">
      <c r="W23663" s="239" t="n"/>
      <c r="X23663" s="239" t="n"/>
    </row>
    <row r="23664" ht="14.25" customHeight="1" s="192">
      <c r="W23664" s="235" t="n"/>
      <c r="X23664" s="235" t="n"/>
    </row>
    <row r="23665" ht="14.25" customHeight="1" s="192">
      <c r="W23665" s="235" t="n"/>
      <c r="X23665" s="235" t="n"/>
    </row>
    <row r="23666" ht="14.25" customHeight="1" s="192">
      <c r="W23666" s="239" t="n"/>
      <c r="X23666" s="239" t="n"/>
    </row>
    <row r="23667" ht="14.25" customHeight="1" s="192">
      <c r="W23667" s="235" t="n"/>
      <c r="X23667" s="235" t="n"/>
    </row>
    <row r="23668" ht="14.25" customHeight="1" s="192">
      <c r="W23668" s="239" t="n"/>
      <c r="X23668" s="239" t="n"/>
    </row>
    <row r="23670" ht="14.25" customHeight="1" s="192">
      <c r="W23670" s="235" t="n"/>
      <c r="X23670" s="235" t="n"/>
    </row>
    <row r="23671" ht="15" customHeight="1" s="192" thickBot="1">
      <c r="W23671" s="239" t="n"/>
      <c r="X23671" s="239" t="n"/>
    </row>
    <row r="23672" ht="15" customHeight="1" s="192" thickBot="1">
      <c r="W23672" s="45" t="n"/>
      <c r="X23672" s="45" t="n"/>
    </row>
    <row r="23673" ht="14.25" customHeight="1" s="192">
      <c r="W23673" s="228" t="n"/>
      <c r="X23673" s="228" t="n"/>
    </row>
    <row r="23674" ht="14.25" customHeight="1" s="192">
      <c r="W23674" s="228" t="n"/>
      <c r="X23674" s="228" t="n"/>
    </row>
    <row r="23675" ht="14.25" customHeight="1" s="192">
      <c r="W23675" s="231" t="n"/>
      <c r="X23675" s="231" t="n"/>
    </row>
    <row r="23676" ht="14.25" customHeight="1" s="192">
      <c r="W23676" s="33" t="n"/>
      <c r="X23676" s="33" t="n"/>
    </row>
    <row r="23677" ht="14.25" customHeight="1" s="192">
      <c r="W23677" s="231" t="n"/>
      <c r="X23677" s="231" t="n"/>
    </row>
    <row r="23678" ht="14.25" customHeight="1" s="192">
      <c r="W23678" s="33" t="n"/>
      <c r="X23678" s="33" t="n"/>
    </row>
    <row r="23680" ht="14.25" customHeight="1" s="192">
      <c r="W23680" s="231" t="n"/>
      <c r="X23680" s="231" t="n"/>
    </row>
    <row r="23681" ht="14.25" customHeight="1" s="192">
      <c r="W23681" s="235" t="n"/>
      <c r="X23681" s="235" t="n"/>
    </row>
    <row r="23682" ht="14.25" customHeight="1" s="192">
      <c r="W23682" s="228" t="n"/>
      <c r="X23682" s="228" t="n"/>
    </row>
    <row r="23683" ht="14.25" customHeight="1" s="192">
      <c r="W23683" s="235" t="n"/>
      <c r="X23683" s="235" t="n"/>
    </row>
    <row r="23684" ht="14.25" customHeight="1" s="192">
      <c r="W23684" s="235" t="n"/>
      <c r="X23684" s="235" t="n"/>
    </row>
    <row r="23685" ht="14.25" customHeight="1" s="192">
      <c r="W23685" s="235" t="n"/>
      <c r="X23685" s="235" t="n"/>
    </row>
    <row r="23686" ht="14.25" customHeight="1" s="192">
      <c r="W23686" s="239" t="n"/>
      <c r="X23686" s="239" t="n"/>
    </row>
    <row r="23687" ht="14.25" customHeight="1" s="192">
      <c r="W23687" s="239" t="n"/>
      <c r="X23687" s="239" t="n"/>
    </row>
    <row r="23688" ht="14.25" customHeight="1" s="192">
      <c r="W23688" s="239" t="n"/>
      <c r="X23688" s="239" t="n"/>
    </row>
    <row r="23689" ht="14.25" customHeight="1" s="192">
      <c r="W23689" s="235" t="n"/>
      <c r="X23689" s="235" t="n"/>
    </row>
    <row r="23690" ht="14.25" customHeight="1" s="192">
      <c r="W23690" s="235" t="n"/>
      <c r="X23690" s="235" t="n"/>
    </row>
    <row r="23691" ht="14.25" customHeight="1" s="192">
      <c r="W23691" s="235" t="n"/>
      <c r="X23691" s="235" t="n"/>
    </row>
    <row r="23692" ht="14.25" customHeight="1" s="192">
      <c r="W23692" s="239" t="n"/>
      <c r="X23692" s="239" t="n"/>
    </row>
    <row r="23693" ht="14.25" customHeight="1" s="192">
      <c r="W23693" s="239" t="n"/>
      <c r="X23693" s="239" t="n"/>
    </row>
    <row r="23694" ht="14.25" customHeight="1" s="192">
      <c r="W23694" s="235" t="n"/>
      <c r="X23694" s="235" t="n"/>
    </row>
    <row r="23695" ht="14.25" customHeight="1" s="192">
      <c r="W23695" s="235" t="n"/>
      <c r="X23695" s="235" t="n"/>
    </row>
    <row r="23696" ht="14.25" customHeight="1" s="192">
      <c r="W23696" s="239" t="n"/>
      <c r="X23696" s="239" t="n"/>
    </row>
    <row r="23697" ht="14.25" customHeight="1" s="192">
      <c r="W23697" s="235" t="n"/>
      <c r="X23697" s="235" t="n"/>
    </row>
    <row r="23698" ht="14.25" customHeight="1" s="192">
      <c r="W23698" s="239" t="n"/>
      <c r="X23698" s="239" t="n"/>
    </row>
    <row r="23700" ht="14.25" customHeight="1" s="192">
      <c r="W23700" s="235" t="n"/>
      <c r="X23700" s="235" t="n"/>
    </row>
    <row r="23701" ht="15" customHeight="1" s="192" thickBot="1">
      <c r="W23701" s="239" t="n"/>
      <c r="X23701" s="239" t="n"/>
    </row>
    <row r="23702" ht="15" customHeight="1" s="192" thickBot="1">
      <c r="W23702" s="45" t="n"/>
      <c r="X23702" s="45" t="n"/>
    </row>
    <row r="23703" ht="14.25" customHeight="1" s="192">
      <c r="W23703" s="228" t="n"/>
      <c r="X23703" s="228" t="n"/>
    </row>
    <row r="23704" ht="14.25" customHeight="1" s="192">
      <c r="W23704" s="228" t="n"/>
      <c r="X23704" s="228" t="n"/>
    </row>
    <row r="23705" ht="14.25" customHeight="1" s="192">
      <c r="W23705" s="231" t="n"/>
      <c r="X23705" s="231" t="n"/>
    </row>
    <row r="23706" ht="14.25" customHeight="1" s="192">
      <c r="W23706" s="33" t="n"/>
      <c r="X23706" s="33" t="n"/>
    </row>
    <row r="23707" ht="14.25" customHeight="1" s="192">
      <c r="W23707" s="231" t="n"/>
      <c r="X23707" s="231" t="n"/>
    </row>
    <row r="23708" ht="14.25" customHeight="1" s="192">
      <c r="W23708" s="33" t="n"/>
      <c r="X23708" s="33" t="n"/>
    </row>
    <row r="23710" ht="14.25" customHeight="1" s="192">
      <c r="W23710" s="231" t="n"/>
      <c r="X23710" s="231" t="n"/>
    </row>
    <row r="23711" ht="14.25" customHeight="1" s="192">
      <c r="W23711" s="235" t="n"/>
      <c r="X23711" s="235" t="n"/>
    </row>
    <row r="23712" ht="14.25" customHeight="1" s="192">
      <c r="W23712" s="228" t="n"/>
      <c r="X23712" s="228" t="n"/>
    </row>
    <row r="23713" ht="14.25" customHeight="1" s="192">
      <c r="W23713" s="235" t="n"/>
      <c r="X23713" s="235" t="n"/>
    </row>
    <row r="23714" ht="14.25" customHeight="1" s="192">
      <c r="W23714" s="235" t="n"/>
      <c r="X23714" s="235" t="n"/>
    </row>
    <row r="23715" ht="14.25" customHeight="1" s="192">
      <c r="W23715" s="235" t="n"/>
      <c r="X23715" s="235" t="n"/>
    </row>
    <row r="23716" ht="14.25" customHeight="1" s="192">
      <c r="W23716" s="239" t="n"/>
      <c r="X23716" s="239" t="n"/>
    </row>
    <row r="23717" ht="14.25" customHeight="1" s="192">
      <c r="W23717" s="239" t="n"/>
      <c r="X23717" s="239" t="n"/>
    </row>
    <row r="23718" ht="14.25" customHeight="1" s="192">
      <c r="W23718" s="239" t="n"/>
      <c r="X23718" s="239" t="n"/>
    </row>
    <row r="23719" ht="14.25" customHeight="1" s="192">
      <c r="W23719" s="235" t="n"/>
      <c r="X23719" s="235" t="n"/>
    </row>
    <row r="23720" ht="14.25" customHeight="1" s="192">
      <c r="W23720" s="235" t="n"/>
      <c r="X23720" s="235" t="n"/>
    </row>
    <row r="23721" ht="14.25" customHeight="1" s="192">
      <c r="W23721" s="235" t="n"/>
      <c r="X23721" s="235" t="n"/>
    </row>
    <row r="23722" ht="14.25" customHeight="1" s="192">
      <c r="W23722" s="239" t="n"/>
      <c r="X23722" s="239" t="n"/>
    </row>
    <row r="23723" ht="14.25" customHeight="1" s="192">
      <c r="W23723" s="239" t="n"/>
      <c r="X23723" s="239" t="n"/>
    </row>
    <row r="23724" ht="14.25" customHeight="1" s="192">
      <c r="W23724" s="235" t="n"/>
      <c r="X23724" s="235" t="n"/>
    </row>
    <row r="23725" ht="14.25" customHeight="1" s="192">
      <c r="W23725" s="235" t="n"/>
      <c r="X23725" s="235" t="n"/>
    </row>
    <row r="23726" ht="14.25" customHeight="1" s="192">
      <c r="W23726" s="239" t="n"/>
      <c r="X23726" s="239" t="n"/>
    </row>
    <row r="23727" ht="14.25" customHeight="1" s="192">
      <c r="W23727" s="235" t="n"/>
      <c r="X23727" s="235" t="n"/>
    </row>
    <row r="23728" ht="14.25" customHeight="1" s="192">
      <c r="W23728" s="239" t="n"/>
      <c r="X23728" s="239" t="n"/>
    </row>
    <row r="23730" ht="14.25" customHeight="1" s="192">
      <c r="W23730" s="235" t="n"/>
      <c r="X23730" s="235" t="n"/>
    </row>
    <row r="23731" ht="15" customHeight="1" s="192" thickBot="1">
      <c r="W23731" s="239" t="n"/>
      <c r="X23731" s="239" t="n"/>
    </row>
    <row r="23732" ht="15" customHeight="1" s="192" thickBot="1">
      <c r="W23732" s="45" t="n"/>
      <c r="X23732" s="45" t="n"/>
    </row>
    <row r="23733" ht="14.25" customHeight="1" s="192">
      <c r="W23733" s="228" t="n"/>
      <c r="X23733" s="228" t="n"/>
    </row>
    <row r="23734" ht="14.25" customHeight="1" s="192">
      <c r="W23734" s="228" t="n"/>
      <c r="X23734" s="228" t="n"/>
    </row>
    <row r="23735" ht="14.25" customHeight="1" s="192">
      <c r="W23735" s="231" t="n"/>
      <c r="X23735" s="231" t="n"/>
    </row>
    <row r="23736" ht="14.25" customHeight="1" s="192">
      <c r="W23736" s="33" t="n"/>
      <c r="X23736" s="33" t="n"/>
    </row>
    <row r="23737" ht="14.25" customHeight="1" s="192">
      <c r="W23737" s="231" t="n"/>
      <c r="X23737" s="231" t="n"/>
    </row>
    <row r="23738" ht="14.25" customHeight="1" s="192">
      <c r="W23738" s="33" t="n"/>
      <c r="X23738" s="33" t="n"/>
    </row>
    <row r="23740" ht="14.25" customHeight="1" s="192">
      <c r="W23740" s="231" t="n"/>
      <c r="X23740" s="231" t="n"/>
    </row>
    <row r="23741" ht="14.25" customHeight="1" s="192">
      <c r="W23741" s="235" t="n"/>
      <c r="X23741" s="235" t="n"/>
    </row>
    <row r="23742" ht="14.25" customHeight="1" s="192">
      <c r="W23742" s="228" t="n"/>
      <c r="X23742" s="228" t="n"/>
    </row>
    <row r="23743" ht="14.25" customHeight="1" s="192">
      <c r="W23743" s="235" t="n"/>
      <c r="X23743" s="235" t="n"/>
    </row>
    <row r="23744" ht="14.25" customHeight="1" s="192">
      <c r="W23744" s="235" t="n"/>
      <c r="X23744" s="235" t="n"/>
    </row>
    <row r="23745" ht="14.25" customHeight="1" s="192">
      <c r="W23745" s="235" t="n"/>
      <c r="X23745" s="235" t="n"/>
    </row>
    <row r="23746" ht="14.25" customHeight="1" s="192">
      <c r="W23746" s="239" t="n"/>
      <c r="X23746" s="239" t="n"/>
    </row>
    <row r="23747" ht="14.25" customHeight="1" s="192">
      <c r="W23747" s="239" t="n"/>
      <c r="X23747" s="239" t="n"/>
    </row>
    <row r="23748" ht="14.25" customHeight="1" s="192">
      <c r="W23748" s="239" t="n"/>
      <c r="X23748" s="239" t="n"/>
    </row>
    <row r="23749" ht="14.25" customHeight="1" s="192">
      <c r="W23749" s="235" t="n"/>
      <c r="X23749" s="235" t="n"/>
    </row>
    <row r="23750" ht="14.25" customHeight="1" s="192">
      <c r="W23750" s="235" t="n"/>
      <c r="X23750" s="235" t="n"/>
    </row>
    <row r="23751" ht="14.25" customHeight="1" s="192">
      <c r="W23751" s="235" t="n"/>
      <c r="X23751" s="235" t="n"/>
    </row>
    <row r="23752" ht="14.25" customHeight="1" s="192">
      <c r="W23752" s="239" t="n"/>
      <c r="X23752" s="239" t="n"/>
    </row>
    <row r="23753" ht="14.25" customHeight="1" s="192">
      <c r="W23753" s="239" t="n"/>
      <c r="X23753" s="239" t="n"/>
    </row>
    <row r="23754" ht="14.25" customHeight="1" s="192">
      <c r="W23754" s="235" t="n"/>
      <c r="X23754" s="235" t="n"/>
    </row>
    <row r="23755" ht="14.25" customHeight="1" s="192">
      <c r="W23755" s="235" t="n"/>
      <c r="X23755" s="235" t="n"/>
    </row>
    <row r="23756" ht="14.25" customHeight="1" s="192">
      <c r="W23756" s="239" t="n"/>
      <c r="X23756" s="239" t="n"/>
    </row>
    <row r="23757" ht="14.25" customHeight="1" s="192">
      <c r="W23757" s="235" t="n"/>
      <c r="X23757" s="235" t="n"/>
    </row>
    <row r="23758" ht="14.25" customHeight="1" s="192">
      <c r="W23758" s="239" t="n"/>
      <c r="X23758" s="239" t="n"/>
    </row>
    <row r="23760" ht="14.25" customHeight="1" s="192">
      <c r="W23760" s="235" t="n"/>
      <c r="X23760" s="235" t="n"/>
    </row>
    <row r="23761" ht="15" customHeight="1" s="192" thickBot="1">
      <c r="W23761" s="239" t="n"/>
      <c r="X23761" s="239" t="n"/>
    </row>
    <row r="23762" ht="15" customHeight="1" s="192" thickBot="1">
      <c r="W23762" s="45" t="n"/>
      <c r="X23762" s="45" t="n"/>
    </row>
    <row r="23763" ht="14.25" customHeight="1" s="192">
      <c r="W23763" s="228" t="n"/>
      <c r="X23763" s="228" t="n"/>
    </row>
    <row r="23764" ht="14.25" customHeight="1" s="192">
      <c r="W23764" s="228" t="n"/>
      <c r="X23764" s="228" t="n"/>
    </row>
    <row r="23765" ht="14.25" customHeight="1" s="192">
      <c r="W23765" s="231" t="n"/>
      <c r="X23765" s="231" t="n"/>
    </row>
    <row r="23766" ht="14.25" customHeight="1" s="192">
      <c r="W23766" s="33" t="n"/>
      <c r="X23766" s="33" t="n"/>
    </row>
    <row r="23767" ht="14.25" customHeight="1" s="192">
      <c r="W23767" s="231" t="n"/>
      <c r="X23767" s="231" t="n"/>
    </row>
    <row r="23768" ht="14.25" customHeight="1" s="192">
      <c r="W23768" s="33" t="n"/>
      <c r="X23768" s="33" t="n"/>
    </row>
    <row r="23770" ht="14.25" customHeight="1" s="192">
      <c r="W23770" s="231" t="n"/>
      <c r="X23770" s="231" t="n"/>
    </row>
    <row r="23771" ht="14.25" customHeight="1" s="192">
      <c r="W23771" s="235" t="n"/>
      <c r="X23771" s="235" t="n"/>
    </row>
    <row r="23772" ht="14.25" customHeight="1" s="192">
      <c r="W23772" s="228" t="n"/>
      <c r="X23772" s="228" t="n"/>
    </row>
    <row r="23773" ht="14.25" customHeight="1" s="192">
      <c r="W23773" s="235" t="n"/>
      <c r="X23773" s="235" t="n"/>
    </row>
    <row r="23774" ht="14.25" customHeight="1" s="192">
      <c r="W23774" s="235" t="n"/>
      <c r="X23774" s="235" t="n"/>
    </row>
    <row r="23775" ht="14.25" customHeight="1" s="192">
      <c r="W23775" s="235" t="n"/>
      <c r="X23775" s="235" t="n"/>
    </row>
    <row r="23776" ht="14.25" customHeight="1" s="192">
      <c r="W23776" s="239" t="n"/>
      <c r="X23776" s="239" t="n"/>
    </row>
    <row r="23777" ht="14.25" customHeight="1" s="192">
      <c r="W23777" s="239" t="n"/>
      <c r="X23777" s="239" t="n"/>
    </row>
    <row r="23778" ht="14.25" customHeight="1" s="192">
      <c r="W23778" s="239" t="n"/>
      <c r="X23778" s="239" t="n"/>
    </row>
    <row r="23779" ht="14.25" customHeight="1" s="192">
      <c r="W23779" s="235" t="n"/>
      <c r="X23779" s="235" t="n"/>
    </row>
    <row r="23780" ht="14.25" customHeight="1" s="192">
      <c r="W23780" s="235" t="n"/>
      <c r="X23780" s="235" t="n"/>
    </row>
    <row r="23781" ht="14.25" customHeight="1" s="192">
      <c r="W23781" s="235" t="n"/>
      <c r="X23781" s="235" t="n"/>
    </row>
    <row r="23782" ht="14.25" customHeight="1" s="192">
      <c r="W23782" s="239" t="n"/>
      <c r="X23782" s="239" t="n"/>
    </row>
    <row r="23783" ht="14.25" customHeight="1" s="192">
      <c r="W23783" s="239" t="n"/>
      <c r="X23783" s="239" t="n"/>
    </row>
    <row r="23784" ht="14.25" customHeight="1" s="192">
      <c r="W23784" s="235" t="n"/>
      <c r="X23784" s="235" t="n"/>
    </row>
    <row r="23785" ht="14.25" customHeight="1" s="192">
      <c r="W23785" s="235" t="n"/>
      <c r="X23785" s="235" t="n"/>
    </row>
    <row r="23786" ht="14.25" customHeight="1" s="192">
      <c r="W23786" s="239" t="n"/>
      <c r="X23786" s="239" t="n"/>
    </row>
    <row r="23787" ht="14.25" customHeight="1" s="192">
      <c r="W23787" s="235" t="n"/>
      <c r="X23787" s="235" t="n"/>
    </row>
    <row r="23788" ht="14.25" customHeight="1" s="192">
      <c r="W23788" s="239" t="n"/>
      <c r="X23788" s="239" t="n"/>
    </row>
    <row r="23790" ht="14.25" customHeight="1" s="192">
      <c r="W23790" s="235" t="n"/>
      <c r="X23790" s="235" t="n"/>
    </row>
    <row r="23791" ht="15" customHeight="1" s="192" thickBot="1">
      <c r="W23791" s="239" t="n"/>
      <c r="X23791" s="239" t="n"/>
    </row>
    <row r="23792" ht="15" customHeight="1" s="192" thickBot="1">
      <c r="W23792" s="45" t="n"/>
      <c r="X23792" s="45" t="n"/>
    </row>
    <row r="23793" ht="14.25" customHeight="1" s="192">
      <c r="W23793" s="228" t="n"/>
      <c r="X23793" s="228" t="n"/>
    </row>
    <row r="23794" ht="14.25" customHeight="1" s="192">
      <c r="W23794" s="228" t="n"/>
      <c r="X23794" s="228" t="n"/>
    </row>
    <row r="23795" ht="14.25" customHeight="1" s="192">
      <c r="W23795" s="231" t="n"/>
      <c r="X23795" s="231" t="n"/>
    </row>
    <row r="23796" ht="14.25" customHeight="1" s="192">
      <c r="W23796" s="33" t="n"/>
      <c r="X23796" s="33" t="n"/>
    </row>
    <row r="23797" ht="14.25" customHeight="1" s="192">
      <c r="W23797" s="231" t="n"/>
      <c r="X23797" s="231" t="n"/>
    </row>
    <row r="23798" ht="14.25" customHeight="1" s="192">
      <c r="W23798" s="33" t="n"/>
      <c r="X23798" s="33" t="n"/>
    </row>
    <row r="23800" ht="14.25" customHeight="1" s="192">
      <c r="W23800" s="231" t="n"/>
      <c r="X23800" s="231" t="n"/>
    </row>
    <row r="23801" ht="14.25" customHeight="1" s="192">
      <c r="W23801" s="235" t="n"/>
      <c r="X23801" s="235" t="n"/>
    </row>
    <row r="23802" ht="14.25" customHeight="1" s="192">
      <c r="W23802" s="228" t="n"/>
      <c r="X23802" s="228" t="n"/>
    </row>
    <row r="23803" ht="14.25" customHeight="1" s="192">
      <c r="W23803" s="235" t="n"/>
      <c r="X23803" s="235" t="n"/>
    </row>
    <row r="23804" ht="14.25" customHeight="1" s="192">
      <c r="W23804" s="235" t="n"/>
      <c r="X23804" s="235" t="n"/>
    </row>
    <row r="23805" ht="14.25" customHeight="1" s="192">
      <c r="W23805" s="235" t="n"/>
      <c r="X23805" s="235" t="n"/>
    </row>
    <row r="23806" ht="14.25" customHeight="1" s="192">
      <c r="W23806" s="239" t="n"/>
      <c r="X23806" s="239" t="n"/>
    </row>
    <row r="23807" ht="14.25" customHeight="1" s="192">
      <c r="W23807" s="239" t="n"/>
      <c r="X23807" s="239" t="n"/>
    </row>
    <row r="23808" ht="14.25" customHeight="1" s="192">
      <c r="W23808" s="239" t="n"/>
      <c r="X23808" s="239" t="n"/>
    </row>
    <row r="23809" ht="14.25" customHeight="1" s="192">
      <c r="W23809" s="235" t="n"/>
      <c r="X23809" s="235" t="n"/>
    </row>
    <row r="23810" ht="14.25" customHeight="1" s="192">
      <c r="W23810" s="235" t="n"/>
      <c r="X23810" s="235" t="n"/>
    </row>
    <row r="23811" ht="14.25" customHeight="1" s="192">
      <c r="W23811" s="235" t="n"/>
      <c r="X23811" s="235" t="n"/>
    </row>
    <row r="23812" ht="14.25" customHeight="1" s="192">
      <c r="W23812" s="239" t="n"/>
      <c r="X23812" s="239" t="n"/>
    </row>
    <row r="23813" ht="14.25" customHeight="1" s="192">
      <c r="W23813" s="239" t="n"/>
      <c r="X23813" s="239" t="n"/>
    </row>
    <row r="23814" ht="14.25" customHeight="1" s="192">
      <c r="W23814" s="235" t="n"/>
      <c r="X23814" s="235" t="n"/>
    </row>
    <row r="23815" ht="14.25" customHeight="1" s="192">
      <c r="W23815" s="235" t="n"/>
      <c r="X23815" s="235" t="n"/>
    </row>
    <row r="23816" ht="14.25" customHeight="1" s="192">
      <c r="W23816" s="239" t="n"/>
      <c r="X23816" s="239" t="n"/>
    </row>
    <row r="23817" ht="14.25" customHeight="1" s="192">
      <c r="W23817" s="235" t="n"/>
      <c r="X23817" s="235" t="n"/>
    </row>
    <row r="23818" ht="14.25" customHeight="1" s="192">
      <c r="W23818" s="239" t="n"/>
      <c r="X23818" s="239" t="n"/>
    </row>
    <row r="23820" ht="14.25" customHeight="1" s="192">
      <c r="W23820" s="235" t="n"/>
      <c r="X23820" s="235" t="n"/>
    </row>
    <row r="23821" ht="15" customHeight="1" s="192" thickBot="1">
      <c r="W23821" s="239" t="n"/>
      <c r="X23821" s="239" t="n"/>
    </row>
    <row r="23822" ht="15" customHeight="1" s="192" thickBot="1">
      <c r="W23822" s="45" t="n"/>
      <c r="X23822" s="45" t="n"/>
    </row>
    <row r="23823" ht="14.25" customHeight="1" s="192">
      <c r="W23823" s="228" t="n"/>
      <c r="X23823" s="228" t="n"/>
    </row>
    <row r="23824" ht="14.25" customHeight="1" s="192">
      <c r="W23824" s="228" t="n"/>
      <c r="X23824" s="228" t="n"/>
    </row>
    <row r="23825" ht="14.25" customHeight="1" s="192">
      <c r="W23825" s="231" t="n"/>
      <c r="X23825" s="231" t="n"/>
    </row>
    <row r="23826" ht="14.25" customHeight="1" s="192">
      <c r="W23826" s="33" t="n"/>
      <c r="X23826" s="33" t="n"/>
    </row>
    <row r="23827" ht="14.25" customHeight="1" s="192">
      <c r="W23827" s="231" t="n"/>
      <c r="X23827" s="231" t="n"/>
    </row>
    <row r="23828" ht="14.25" customHeight="1" s="192">
      <c r="W23828" s="33" t="n"/>
      <c r="X23828" s="33" t="n"/>
    </row>
    <row r="23830" ht="14.25" customHeight="1" s="192">
      <c r="W23830" s="231" t="n"/>
      <c r="X23830" s="231" t="n"/>
    </row>
    <row r="23831" ht="14.25" customHeight="1" s="192">
      <c r="W23831" s="235" t="n"/>
      <c r="X23831" s="235" t="n"/>
    </row>
    <row r="23832" ht="14.25" customHeight="1" s="192">
      <c r="W23832" s="228" t="n"/>
      <c r="X23832" s="228" t="n"/>
    </row>
    <row r="23833" ht="14.25" customHeight="1" s="192">
      <c r="W23833" s="235" t="n"/>
      <c r="X23833" s="235" t="n"/>
    </row>
    <row r="23834" ht="14.25" customHeight="1" s="192">
      <c r="W23834" s="235" t="n"/>
      <c r="X23834" s="235" t="n"/>
    </row>
    <row r="23835" ht="14.25" customHeight="1" s="192">
      <c r="W23835" s="235" t="n"/>
      <c r="X23835" s="235" t="n"/>
    </row>
    <row r="23836" ht="14.25" customHeight="1" s="192">
      <c r="W23836" s="239" t="n"/>
      <c r="X23836" s="239" t="n"/>
    </row>
    <row r="23837" ht="14.25" customHeight="1" s="192">
      <c r="W23837" s="239" t="n"/>
      <c r="X23837" s="239" t="n"/>
    </row>
    <row r="23838" ht="14.25" customHeight="1" s="192">
      <c r="W23838" s="239" t="n"/>
      <c r="X23838" s="239" t="n"/>
    </row>
    <row r="23839" ht="14.25" customHeight="1" s="192">
      <c r="W23839" s="235" t="n"/>
      <c r="X23839" s="235" t="n"/>
    </row>
    <row r="23840" ht="14.25" customHeight="1" s="192">
      <c r="W23840" s="235" t="n"/>
      <c r="X23840" s="235" t="n"/>
    </row>
    <row r="23841" ht="14.25" customHeight="1" s="192">
      <c r="W23841" s="235" t="n"/>
      <c r="X23841" s="235" t="n"/>
    </row>
    <row r="23842" ht="14.25" customHeight="1" s="192">
      <c r="W23842" s="239" t="n"/>
      <c r="X23842" s="239" t="n"/>
    </row>
    <row r="23843" ht="14.25" customHeight="1" s="192">
      <c r="W23843" s="239" t="n"/>
      <c r="X23843" s="239" t="n"/>
    </row>
    <row r="23844" ht="14.25" customHeight="1" s="192">
      <c r="W23844" s="235" t="n"/>
      <c r="X23844" s="235" t="n"/>
    </row>
    <row r="23845" ht="14.25" customHeight="1" s="192">
      <c r="W23845" s="235" t="n"/>
      <c r="X23845" s="235" t="n"/>
    </row>
    <row r="23846" ht="14.25" customHeight="1" s="192">
      <c r="W23846" s="239" t="n"/>
      <c r="X23846" s="239" t="n"/>
    </row>
    <row r="23847" ht="14.25" customHeight="1" s="192">
      <c r="W23847" s="235" t="n"/>
      <c r="X23847" s="235" t="n"/>
    </row>
    <row r="23848" ht="14.25" customHeight="1" s="192">
      <c r="W23848" s="239" t="n"/>
      <c r="X23848" s="239" t="n"/>
    </row>
    <row r="23850" ht="14.25" customHeight="1" s="192">
      <c r="W23850" s="235" t="n"/>
      <c r="X23850" s="235" t="n"/>
    </row>
    <row r="23851" ht="15" customHeight="1" s="192" thickBot="1">
      <c r="W23851" s="239" t="n"/>
      <c r="X23851" s="239" t="n"/>
    </row>
    <row r="23852" ht="15" customHeight="1" s="192" thickBot="1">
      <c r="W23852" s="45" t="n"/>
      <c r="X23852" s="45" t="n"/>
    </row>
    <row r="23853" ht="14.25" customHeight="1" s="192">
      <c r="W23853" s="228" t="n"/>
      <c r="X23853" s="228" t="n"/>
    </row>
    <row r="23854" ht="14.25" customHeight="1" s="192">
      <c r="W23854" s="228" t="n"/>
      <c r="X23854" s="228" t="n"/>
    </row>
    <row r="23855" ht="14.25" customHeight="1" s="192">
      <c r="W23855" s="231" t="n"/>
      <c r="X23855" s="231" t="n"/>
    </row>
    <row r="23856" ht="14.25" customHeight="1" s="192">
      <c r="W23856" s="33" t="n"/>
      <c r="X23856" s="33" t="n"/>
    </row>
    <row r="23857" ht="14.25" customHeight="1" s="192">
      <c r="W23857" s="231" t="n"/>
      <c r="X23857" s="231" t="n"/>
    </row>
    <row r="23858" ht="14.25" customHeight="1" s="192">
      <c r="W23858" s="33" t="n"/>
      <c r="X23858" s="33" t="n"/>
    </row>
    <row r="23860" ht="14.25" customHeight="1" s="192">
      <c r="W23860" s="231" t="n"/>
      <c r="X23860" s="231" t="n"/>
    </row>
    <row r="23861" ht="14.25" customHeight="1" s="192">
      <c r="W23861" s="235" t="n"/>
      <c r="X23861" s="235" t="n"/>
    </row>
    <row r="23862" ht="14.25" customHeight="1" s="192">
      <c r="W23862" s="228" t="n"/>
      <c r="X23862" s="228" t="n"/>
    </row>
    <row r="23863" ht="14.25" customHeight="1" s="192">
      <c r="W23863" s="235" t="n"/>
      <c r="X23863" s="235" t="n"/>
    </row>
    <row r="23864" ht="14.25" customHeight="1" s="192">
      <c r="W23864" s="235" t="n"/>
      <c r="X23864" s="235" t="n"/>
    </row>
    <row r="23865" ht="14.25" customHeight="1" s="192">
      <c r="W23865" s="235" t="n"/>
      <c r="X23865" s="235" t="n"/>
    </row>
    <row r="23866" ht="14.25" customHeight="1" s="192">
      <c r="W23866" s="239" t="n"/>
      <c r="X23866" s="239" t="n"/>
    </row>
    <row r="23867" ht="14.25" customHeight="1" s="192">
      <c r="W23867" s="239" t="n"/>
      <c r="X23867" s="239" t="n"/>
    </row>
    <row r="23868" ht="14.25" customHeight="1" s="192">
      <c r="W23868" s="239" t="n"/>
      <c r="X23868" s="239" t="n"/>
    </row>
    <row r="23869" ht="14.25" customHeight="1" s="192">
      <c r="W23869" s="235" t="n"/>
      <c r="X23869" s="235" t="n"/>
    </row>
    <row r="23870" ht="14.25" customHeight="1" s="192">
      <c r="W23870" s="235" t="n"/>
      <c r="X23870" s="235" t="n"/>
    </row>
    <row r="23871" ht="14.25" customHeight="1" s="192">
      <c r="W23871" s="235" t="n"/>
      <c r="X23871" s="235" t="n"/>
    </row>
    <row r="23872" ht="14.25" customHeight="1" s="192">
      <c r="W23872" s="239" t="n"/>
      <c r="X23872" s="239" t="n"/>
    </row>
    <row r="23873" ht="14.25" customHeight="1" s="192">
      <c r="W23873" s="239" t="n"/>
      <c r="X23873" s="239" t="n"/>
    </row>
    <row r="23874" ht="14.25" customHeight="1" s="192">
      <c r="W23874" s="235" t="n"/>
      <c r="X23874" s="235" t="n"/>
    </row>
    <row r="23875" ht="14.25" customHeight="1" s="192">
      <c r="W23875" s="235" t="n"/>
      <c r="X23875" s="235" t="n"/>
    </row>
    <row r="23876" ht="14.25" customHeight="1" s="192">
      <c r="W23876" s="239" t="n"/>
      <c r="X23876" s="239" t="n"/>
    </row>
    <row r="23877" ht="14.25" customHeight="1" s="192">
      <c r="W23877" s="235" t="n"/>
      <c r="X23877" s="235" t="n"/>
    </row>
    <row r="23878" ht="14.25" customHeight="1" s="192">
      <c r="W23878" s="239" t="n"/>
      <c r="X23878" s="239" t="n"/>
    </row>
    <row r="23880" ht="14.25" customHeight="1" s="192">
      <c r="W23880" s="235" t="n"/>
      <c r="X23880" s="235" t="n"/>
    </row>
    <row r="23881" ht="15" customHeight="1" s="192" thickBot="1">
      <c r="W23881" s="239" t="n"/>
      <c r="X23881" s="239" t="n"/>
    </row>
    <row r="23882" ht="15" customHeight="1" s="192" thickBot="1">
      <c r="W23882" s="45" t="n"/>
      <c r="X23882" s="45" t="n"/>
    </row>
    <row r="23883" ht="14.25" customHeight="1" s="192">
      <c r="W23883" s="228" t="n"/>
      <c r="X23883" s="228" t="n"/>
    </row>
    <row r="23884" ht="14.25" customHeight="1" s="192">
      <c r="W23884" s="228" t="n"/>
      <c r="X23884" s="228" t="n"/>
    </row>
    <row r="23885" ht="14.25" customHeight="1" s="192">
      <c r="W23885" s="231" t="n"/>
      <c r="X23885" s="231" t="n"/>
    </row>
    <row r="23886" ht="14.25" customHeight="1" s="192">
      <c r="W23886" s="33" t="n"/>
      <c r="X23886" s="33" t="n"/>
    </row>
    <row r="23887" ht="14.25" customHeight="1" s="192">
      <c r="W23887" s="231" t="n"/>
      <c r="X23887" s="231" t="n"/>
    </row>
    <row r="23888" ht="14.25" customHeight="1" s="192">
      <c r="W23888" s="33" t="n"/>
      <c r="X23888" s="33" t="n"/>
    </row>
    <row r="23890" ht="14.25" customHeight="1" s="192">
      <c r="W23890" s="231" t="n"/>
      <c r="X23890" s="231" t="n"/>
    </row>
    <row r="23891" ht="14.25" customHeight="1" s="192">
      <c r="W23891" s="235" t="n"/>
      <c r="X23891" s="235" t="n"/>
    </row>
    <row r="23892" ht="14.25" customHeight="1" s="192">
      <c r="W23892" s="228" t="n"/>
      <c r="X23892" s="228" t="n"/>
    </row>
    <row r="23893" ht="14.25" customHeight="1" s="192">
      <c r="W23893" s="235" t="n"/>
      <c r="X23893" s="235" t="n"/>
    </row>
    <row r="23894" ht="14.25" customHeight="1" s="192">
      <c r="W23894" s="235" t="n"/>
      <c r="X23894" s="235" t="n"/>
    </row>
    <row r="23895" ht="14.25" customHeight="1" s="192">
      <c r="W23895" s="235" t="n"/>
      <c r="X23895" s="235" t="n"/>
    </row>
    <row r="23896" ht="14.25" customHeight="1" s="192">
      <c r="W23896" s="239" t="n"/>
      <c r="X23896" s="239" t="n"/>
    </row>
    <row r="23897" ht="14.25" customHeight="1" s="192">
      <c r="W23897" s="239" t="n"/>
      <c r="X23897" s="239" t="n"/>
    </row>
    <row r="23898" ht="14.25" customHeight="1" s="192">
      <c r="W23898" s="239" t="n"/>
      <c r="X23898" s="239" t="n"/>
    </row>
    <row r="23899" ht="14.25" customHeight="1" s="192">
      <c r="W23899" s="235" t="n"/>
      <c r="X23899" s="235" t="n"/>
    </row>
    <row r="23900" ht="14.25" customHeight="1" s="192">
      <c r="W23900" s="235" t="n"/>
      <c r="X23900" s="235" t="n"/>
    </row>
    <row r="23901" ht="14.25" customHeight="1" s="192">
      <c r="W23901" s="235" t="n"/>
      <c r="X23901" s="235" t="n"/>
    </row>
    <row r="23902" ht="14.25" customHeight="1" s="192">
      <c r="W23902" s="239" t="n"/>
      <c r="X23902" s="239" t="n"/>
    </row>
    <row r="23903" ht="14.25" customHeight="1" s="192">
      <c r="W23903" s="239" t="n"/>
      <c r="X23903" s="239" t="n"/>
    </row>
    <row r="23904" ht="14.25" customHeight="1" s="192">
      <c r="W23904" s="235" t="n"/>
      <c r="X23904" s="235" t="n"/>
    </row>
    <row r="23905" ht="14.25" customHeight="1" s="192">
      <c r="W23905" s="235" t="n"/>
      <c r="X23905" s="235" t="n"/>
    </row>
    <row r="23906" ht="14.25" customHeight="1" s="192">
      <c r="W23906" s="239" t="n"/>
      <c r="X23906" s="239" t="n"/>
    </row>
    <row r="23907" ht="14.25" customHeight="1" s="192">
      <c r="W23907" s="235" t="n"/>
      <c r="X23907" s="235" t="n"/>
    </row>
    <row r="23908" ht="14.25" customHeight="1" s="192">
      <c r="W23908" s="239" t="n"/>
      <c r="X23908" s="239" t="n"/>
    </row>
    <row r="23910" ht="14.25" customHeight="1" s="192">
      <c r="W23910" s="235" t="n"/>
      <c r="X23910" s="235" t="n"/>
    </row>
    <row r="23911" ht="15" customHeight="1" s="192" thickBot="1">
      <c r="W23911" s="239" t="n"/>
      <c r="X23911" s="239" t="n"/>
    </row>
    <row r="23912" ht="15" customHeight="1" s="192" thickBot="1">
      <c r="W23912" s="45" t="n"/>
      <c r="X23912" s="45" t="n"/>
    </row>
    <row r="23913" ht="14.25" customHeight="1" s="192">
      <c r="W23913" s="228" t="n"/>
      <c r="X23913" s="228" t="n"/>
    </row>
    <row r="23914" ht="14.25" customHeight="1" s="192">
      <c r="W23914" s="228" t="n"/>
      <c r="X23914" s="228" t="n"/>
    </row>
    <row r="23915" ht="14.25" customHeight="1" s="192">
      <c r="W23915" s="231" t="n"/>
      <c r="X23915" s="231" t="n"/>
    </row>
    <row r="23916" ht="14.25" customHeight="1" s="192">
      <c r="W23916" s="33" t="n"/>
      <c r="X23916" s="33" t="n"/>
    </row>
    <row r="23917" ht="14.25" customHeight="1" s="192">
      <c r="W23917" s="231" t="n"/>
      <c r="X23917" s="231" t="n"/>
    </row>
    <row r="23918" ht="14.25" customHeight="1" s="192">
      <c r="W23918" s="33" t="n"/>
      <c r="X23918" s="33" t="n"/>
    </row>
    <row r="23920" ht="14.25" customHeight="1" s="192">
      <c r="W23920" s="231" t="n"/>
      <c r="X23920" s="231" t="n"/>
    </row>
    <row r="23921" ht="14.25" customHeight="1" s="192">
      <c r="W23921" s="235" t="n"/>
      <c r="X23921" s="235" t="n"/>
    </row>
    <row r="23922" ht="14.25" customHeight="1" s="192">
      <c r="W23922" s="228" t="n"/>
      <c r="X23922" s="228" t="n"/>
    </row>
    <row r="23923" ht="14.25" customHeight="1" s="192">
      <c r="W23923" s="235" t="n"/>
      <c r="X23923" s="235" t="n"/>
    </row>
    <row r="23924" ht="14.25" customHeight="1" s="192">
      <c r="W23924" s="235" t="n"/>
      <c r="X23924" s="235" t="n"/>
    </row>
    <row r="23925" ht="14.25" customHeight="1" s="192">
      <c r="W23925" s="235" t="n"/>
      <c r="X23925" s="235" t="n"/>
    </row>
    <row r="23926" ht="14.25" customHeight="1" s="192">
      <c r="W23926" s="239" t="n"/>
      <c r="X23926" s="239" t="n"/>
    </row>
    <row r="23927" ht="14.25" customHeight="1" s="192">
      <c r="W23927" s="239" t="n"/>
      <c r="X23927" s="239" t="n"/>
    </row>
    <row r="23928" ht="14.25" customHeight="1" s="192">
      <c r="W23928" s="239" t="n"/>
      <c r="X23928" s="239" t="n"/>
    </row>
    <row r="23929" ht="14.25" customHeight="1" s="192">
      <c r="W23929" s="235" t="n"/>
      <c r="X23929" s="235" t="n"/>
    </row>
    <row r="23930" ht="14.25" customHeight="1" s="192">
      <c r="W23930" s="235" t="n"/>
      <c r="X23930" s="235" t="n"/>
    </row>
    <row r="23931" ht="14.25" customHeight="1" s="192">
      <c r="W23931" s="235" t="n"/>
      <c r="X23931" s="235" t="n"/>
    </row>
    <row r="23932" ht="14.25" customHeight="1" s="192">
      <c r="W23932" s="239" t="n"/>
      <c r="X23932" s="239" t="n"/>
    </row>
    <row r="23933" ht="14.25" customHeight="1" s="192">
      <c r="W23933" s="239" t="n"/>
      <c r="X23933" s="239" t="n"/>
    </row>
    <row r="23934" ht="14.25" customHeight="1" s="192">
      <c r="W23934" s="235" t="n"/>
      <c r="X23934" s="235" t="n"/>
    </row>
    <row r="23935" ht="14.25" customHeight="1" s="192">
      <c r="W23935" s="235" t="n"/>
      <c r="X23935" s="235" t="n"/>
    </row>
    <row r="23936" ht="14.25" customHeight="1" s="192">
      <c r="W23936" s="239" t="n"/>
      <c r="X23936" s="239" t="n"/>
    </row>
    <row r="23937" ht="14.25" customHeight="1" s="192">
      <c r="W23937" s="235" t="n"/>
      <c r="X23937" s="235" t="n"/>
    </row>
    <row r="23938" ht="14.25" customHeight="1" s="192">
      <c r="W23938" s="239" t="n"/>
      <c r="X23938" s="239" t="n"/>
    </row>
    <row r="23940" ht="14.25" customHeight="1" s="192">
      <c r="W23940" s="235" t="n"/>
      <c r="X23940" s="235" t="n"/>
    </row>
    <row r="23941" ht="15" customHeight="1" s="192" thickBot="1">
      <c r="W23941" s="239" t="n"/>
      <c r="X23941" s="239" t="n"/>
    </row>
    <row r="23942" ht="15" customHeight="1" s="192" thickBot="1">
      <c r="W23942" s="45" t="n"/>
      <c r="X23942" s="45" t="n"/>
    </row>
    <row r="23943" ht="14.25" customHeight="1" s="192">
      <c r="W23943" s="228" t="n"/>
      <c r="X23943" s="228" t="n"/>
    </row>
    <row r="23944" ht="14.25" customHeight="1" s="192">
      <c r="W23944" s="228" t="n"/>
      <c r="X23944" s="228" t="n"/>
    </row>
    <row r="23945" ht="14.25" customHeight="1" s="192">
      <c r="W23945" s="231" t="n"/>
      <c r="X23945" s="231" t="n"/>
    </row>
    <row r="23946" ht="14.25" customHeight="1" s="192">
      <c r="W23946" s="33" t="n"/>
      <c r="X23946" s="33" t="n"/>
    </row>
    <row r="23947" ht="14.25" customHeight="1" s="192">
      <c r="W23947" s="231" t="n"/>
      <c r="X23947" s="231" t="n"/>
    </row>
    <row r="23948" ht="14.25" customHeight="1" s="192">
      <c r="W23948" s="33" t="n"/>
      <c r="X23948" s="33" t="n"/>
    </row>
    <row r="23950" ht="14.25" customHeight="1" s="192">
      <c r="W23950" s="231" t="n"/>
      <c r="X23950" s="231" t="n"/>
    </row>
    <row r="23951" ht="14.25" customHeight="1" s="192">
      <c r="W23951" s="235" t="n"/>
      <c r="X23951" s="235" t="n"/>
    </row>
    <row r="23952" ht="14.25" customHeight="1" s="192">
      <c r="W23952" s="228" t="n"/>
      <c r="X23952" s="228" t="n"/>
    </row>
    <row r="23953" ht="14.25" customHeight="1" s="192">
      <c r="W23953" s="235" t="n"/>
      <c r="X23953" s="235" t="n"/>
    </row>
    <row r="23954" ht="14.25" customHeight="1" s="192">
      <c r="W23954" s="235" t="n"/>
      <c r="X23954" s="235" t="n"/>
    </row>
    <row r="23955" ht="14.25" customHeight="1" s="192">
      <c r="W23955" s="235" t="n"/>
      <c r="X23955" s="235" t="n"/>
    </row>
    <row r="23956" ht="14.25" customHeight="1" s="192">
      <c r="W23956" s="239" t="n"/>
      <c r="X23956" s="239" t="n"/>
    </row>
    <row r="23957" ht="14.25" customHeight="1" s="192">
      <c r="W23957" s="239" t="n"/>
      <c r="X23957" s="239" t="n"/>
    </row>
    <row r="23958" ht="14.25" customHeight="1" s="192">
      <c r="W23958" s="239" t="n"/>
      <c r="X23958" s="239" t="n"/>
    </row>
    <row r="23959" ht="14.25" customHeight="1" s="192">
      <c r="W23959" s="235" t="n"/>
      <c r="X23959" s="235" t="n"/>
    </row>
    <row r="23960" ht="14.25" customHeight="1" s="192">
      <c r="W23960" s="235" t="n"/>
      <c r="X23960" s="235" t="n"/>
    </row>
    <row r="23961" ht="14.25" customHeight="1" s="192">
      <c r="W23961" s="235" t="n"/>
      <c r="X23961" s="235" t="n"/>
    </row>
    <row r="23962" ht="14.25" customHeight="1" s="192">
      <c r="W23962" s="239" t="n"/>
      <c r="X23962" s="239" t="n"/>
    </row>
    <row r="23963" ht="14.25" customHeight="1" s="192">
      <c r="W23963" s="239" t="n"/>
      <c r="X23963" s="239" t="n"/>
    </row>
    <row r="23964" ht="14.25" customHeight="1" s="192">
      <c r="W23964" s="235" t="n"/>
      <c r="X23964" s="235" t="n"/>
    </row>
    <row r="23965" ht="14.25" customHeight="1" s="192">
      <c r="W23965" s="235" t="n"/>
      <c r="X23965" s="235" t="n"/>
    </row>
    <row r="23966" ht="14.25" customHeight="1" s="192">
      <c r="W23966" s="239" t="n"/>
      <c r="X23966" s="239" t="n"/>
    </row>
    <row r="23967" ht="14.25" customHeight="1" s="192">
      <c r="W23967" s="235" t="n"/>
      <c r="X23967" s="235" t="n"/>
    </row>
    <row r="23968" ht="14.25" customHeight="1" s="192">
      <c r="W23968" s="239" t="n"/>
      <c r="X23968" s="239" t="n"/>
    </row>
    <row r="23970" ht="14.25" customHeight="1" s="192">
      <c r="W23970" s="235" t="n"/>
      <c r="X23970" s="235" t="n"/>
    </row>
    <row r="23971" ht="15" customHeight="1" s="192" thickBot="1">
      <c r="W23971" s="239" t="n"/>
      <c r="X23971" s="239" t="n"/>
    </row>
    <row r="23972" ht="15" customHeight="1" s="192" thickBot="1">
      <c r="W23972" s="45" t="n"/>
      <c r="X23972" s="45" t="n"/>
    </row>
    <row r="23973" ht="14.25" customHeight="1" s="192">
      <c r="W23973" s="228" t="n"/>
      <c r="X23973" s="228" t="n"/>
    </row>
    <row r="23974" ht="14.25" customHeight="1" s="192">
      <c r="W23974" s="228" t="n"/>
      <c r="X23974" s="228" t="n"/>
    </row>
    <row r="23975" ht="14.25" customHeight="1" s="192">
      <c r="W23975" s="231" t="n"/>
      <c r="X23975" s="231" t="n"/>
    </row>
    <row r="23976" ht="14.25" customHeight="1" s="192">
      <c r="W23976" s="33" t="n"/>
      <c r="X23976" s="33" t="n"/>
    </row>
    <row r="23977" ht="14.25" customHeight="1" s="192">
      <c r="W23977" s="231" t="n"/>
      <c r="X23977" s="231" t="n"/>
    </row>
    <row r="23978" ht="14.25" customHeight="1" s="192">
      <c r="W23978" s="33" t="n"/>
      <c r="X23978" s="33" t="n"/>
    </row>
    <row r="23980" ht="14.25" customHeight="1" s="192">
      <c r="W23980" s="231" t="n"/>
      <c r="X23980" s="231" t="n"/>
    </row>
    <row r="23981" ht="14.25" customHeight="1" s="192">
      <c r="W23981" s="235" t="n"/>
      <c r="X23981" s="235" t="n"/>
    </row>
    <row r="23982" ht="14.25" customHeight="1" s="192">
      <c r="W23982" s="228" t="n"/>
      <c r="X23982" s="228" t="n"/>
    </row>
    <row r="23983" ht="14.25" customHeight="1" s="192">
      <c r="W23983" s="235" t="n"/>
      <c r="X23983" s="235" t="n"/>
    </row>
    <row r="23984" ht="14.25" customHeight="1" s="192">
      <c r="W23984" s="235" t="n"/>
      <c r="X23984" s="235" t="n"/>
    </row>
    <row r="23985" ht="14.25" customHeight="1" s="192">
      <c r="W23985" s="235" t="n"/>
      <c r="X23985" s="235" t="n"/>
    </row>
    <row r="23986" ht="14.25" customHeight="1" s="192">
      <c r="W23986" s="239" t="n"/>
      <c r="X23986" s="239" t="n"/>
    </row>
    <row r="23987" ht="14.25" customHeight="1" s="192">
      <c r="W23987" s="239" t="n"/>
      <c r="X23987" s="239" t="n"/>
    </row>
    <row r="23988" ht="14.25" customHeight="1" s="192">
      <c r="W23988" s="239" t="n"/>
      <c r="X23988" s="239" t="n"/>
    </row>
    <row r="23989" ht="14.25" customHeight="1" s="192">
      <c r="W23989" s="235" t="n"/>
      <c r="X23989" s="235" t="n"/>
    </row>
    <row r="23990" ht="14.25" customHeight="1" s="192">
      <c r="W23990" s="235" t="n"/>
      <c r="X23990" s="235" t="n"/>
    </row>
    <row r="23991" ht="14.25" customHeight="1" s="192">
      <c r="W23991" s="235" t="n"/>
      <c r="X23991" s="235" t="n"/>
    </row>
    <row r="23992" ht="14.25" customHeight="1" s="192">
      <c r="W23992" s="239" t="n"/>
      <c r="X23992" s="239" t="n"/>
    </row>
    <row r="23993" ht="14.25" customHeight="1" s="192">
      <c r="W23993" s="239" t="n"/>
      <c r="X23993" s="239" t="n"/>
    </row>
    <row r="23994" ht="14.25" customHeight="1" s="192">
      <c r="W23994" s="235" t="n"/>
      <c r="X23994" s="235" t="n"/>
    </row>
    <row r="23995" ht="14.25" customHeight="1" s="192">
      <c r="W23995" s="235" t="n"/>
      <c r="X23995" s="235" t="n"/>
    </row>
    <row r="23996" ht="14.25" customHeight="1" s="192">
      <c r="W23996" s="239" t="n"/>
      <c r="X23996" s="239" t="n"/>
    </row>
    <row r="23997" ht="14.25" customHeight="1" s="192">
      <c r="W23997" s="235" t="n"/>
      <c r="X23997" s="235" t="n"/>
    </row>
    <row r="23998" ht="14.25" customHeight="1" s="192">
      <c r="W23998" s="239" t="n"/>
      <c r="X23998" s="239" t="n"/>
    </row>
    <row r="24000" ht="14.25" customHeight="1" s="192">
      <c r="W24000" s="235" t="n"/>
      <c r="X24000" s="235" t="n"/>
    </row>
    <row r="24001" ht="15" customHeight="1" s="192" thickBot="1">
      <c r="W24001" s="239" t="n"/>
      <c r="X24001" s="239" t="n"/>
    </row>
    <row r="24002" ht="15" customHeight="1" s="192" thickBot="1">
      <c r="W24002" s="45" t="n"/>
      <c r="X24002" s="45" t="n"/>
    </row>
    <row r="24003" ht="14.25" customHeight="1" s="192">
      <c r="W24003" s="228" t="n"/>
      <c r="X24003" s="228" t="n"/>
    </row>
    <row r="24004" ht="14.25" customHeight="1" s="192">
      <c r="W24004" s="228" t="n"/>
      <c r="X24004" s="228" t="n"/>
    </row>
    <row r="24005" ht="14.25" customHeight="1" s="192">
      <c r="W24005" s="231" t="n"/>
      <c r="X24005" s="231" t="n"/>
    </row>
    <row r="24006" ht="14.25" customHeight="1" s="192">
      <c r="W24006" s="33" t="n"/>
      <c r="X24006" s="33" t="n"/>
    </row>
    <row r="24007" ht="14.25" customHeight="1" s="192">
      <c r="W24007" s="231" t="n"/>
      <c r="X24007" s="231" t="n"/>
    </row>
    <row r="24008" ht="14.25" customHeight="1" s="192">
      <c r="W24008" s="33" t="n"/>
      <c r="X24008" s="33" t="n"/>
    </row>
    <row r="24010" ht="14.25" customHeight="1" s="192">
      <c r="W24010" s="231" t="n"/>
      <c r="X24010" s="231" t="n"/>
    </row>
    <row r="24011" ht="14.25" customHeight="1" s="192">
      <c r="W24011" s="235" t="n"/>
      <c r="X24011" s="235" t="n"/>
    </row>
    <row r="24012" ht="14.25" customHeight="1" s="192">
      <c r="W24012" s="228" t="n"/>
      <c r="X24012" s="228" t="n"/>
    </row>
    <row r="24013" ht="14.25" customHeight="1" s="192">
      <c r="W24013" s="235" t="n"/>
      <c r="X24013" s="235" t="n"/>
    </row>
    <row r="24014" ht="14.25" customHeight="1" s="192">
      <c r="W24014" s="235" t="n"/>
      <c r="X24014" s="235" t="n"/>
    </row>
    <row r="24015" ht="14.25" customHeight="1" s="192">
      <c r="W24015" s="235" t="n"/>
      <c r="X24015" s="235" t="n"/>
    </row>
    <row r="24016" ht="14.25" customHeight="1" s="192">
      <c r="W24016" s="239" t="n"/>
      <c r="X24016" s="239" t="n"/>
    </row>
    <row r="24017" ht="14.25" customHeight="1" s="192">
      <c r="W24017" s="239" t="n"/>
      <c r="X24017" s="239" t="n"/>
    </row>
    <row r="24018" ht="14.25" customHeight="1" s="192">
      <c r="W24018" s="239" t="n"/>
      <c r="X24018" s="239" t="n"/>
    </row>
    <row r="24019" ht="14.25" customHeight="1" s="192">
      <c r="W24019" s="235" t="n"/>
      <c r="X24019" s="235" t="n"/>
    </row>
    <row r="24020" ht="14.25" customHeight="1" s="192">
      <c r="W24020" s="235" t="n"/>
      <c r="X24020" s="235" t="n"/>
    </row>
    <row r="24021" ht="14.25" customHeight="1" s="192">
      <c r="W24021" s="235" t="n"/>
      <c r="X24021" s="235" t="n"/>
    </row>
    <row r="24022" ht="14.25" customHeight="1" s="192">
      <c r="W24022" s="239" t="n"/>
      <c r="X24022" s="239" t="n"/>
    </row>
    <row r="24023" ht="14.25" customHeight="1" s="192">
      <c r="W24023" s="239" t="n"/>
      <c r="X24023" s="239" t="n"/>
    </row>
    <row r="24024" ht="14.25" customHeight="1" s="192">
      <c r="W24024" s="235" t="n"/>
      <c r="X24024" s="235" t="n"/>
    </row>
    <row r="24025" ht="14.25" customHeight="1" s="192">
      <c r="W24025" s="235" t="n"/>
      <c r="X24025" s="235" t="n"/>
    </row>
    <row r="24026" ht="14.25" customHeight="1" s="192">
      <c r="W24026" s="239" t="n"/>
      <c r="X24026" s="239" t="n"/>
    </row>
    <row r="24027" ht="14.25" customHeight="1" s="192">
      <c r="W24027" s="235" t="n"/>
      <c r="X24027" s="235" t="n"/>
    </row>
    <row r="24028" ht="14.25" customHeight="1" s="192">
      <c r="W24028" s="239" t="n"/>
      <c r="X24028" s="239" t="n"/>
    </row>
    <row r="24030" ht="14.25" customHeight="1" s="192">
      <c r="W24030" s="235" t="n"/>
      <c r="X24030" s="235" t="n"/>
    </row>
    <row r="24031" ht="15" customHeight="1" s="192" thickBot="1">
      <c r="W24031" s="239" t="n"/>
      <c r="X24031" s="239" t="n"/>
    </row>
    <row r="24032" ht="15" customHeight="1" s="192" thickBot="1">
      <c r="W24032" s="45" t="n"/>
      <c r="X24032" s="45" t="n"/>
    </row>
    <row r="24033" ht="14.25" customHeight="1" s="192">
      <c r="W24033" s="228" t="n"/>
      <c r="X24033" s="228" t="n"/>
    </row>
    <row r="24034" ht="14.25" customHeight="1" s="192">
      <c r="W24034" s="228" t="n"/>
      <c r="X24034" s="228" t="n"/>
    </row>
    <row r="24035" ht="14.25" customHeight="1" s="192">
      <c r="W24035" s="231" t="n"/>
      <c r="X24035" s="231" t="n"/>
    </row>
    <row r="24036" ht="14.25" customHeight="1" s="192">
      <c r="W24036" s="33" t="n"/>
      <c r="X24036" s="33" t="n"/>
    </row>
    <row r="24037" ht="14.25" customHeight="1" s="192">
      <c r="W24037" s="231" t="n"/>
      <c r="X24037" s="231" t="n"/>
    </row>
    <row r="24038" ht="14.25" customHeight="1" s="192">
      <c r="W24038" s="33" t="n"/>
      <c r="X24038" s="33" t="n"/>
    </row>
    <row r="24040" ht="14.25" customHeight="1" s="192">
      <c r="W24040" s="231" t="n"/>
      <c r="X24040" s="231" t="n"/>
    </row>
    <row r="24041" ht="14.25" customHeight="1" s="192">
      <c r="W24041" s="235" t="n"/>
      <c r="X24041" s="235" t="n"/>
    </row>
    <row r="24042" ht="14.25" customHeight="1" s="192">
      <c r="W24042" s="228" t="n"/>
      <c r="X24042" s="228" t="n"/>
    </row>
    <row r="24043" ht="14.25" customHeight="1" s="192">
      <c r="W24043" s="235" t="n"/>
      <c r="X24043" s="235" t="n"/>
    </row>
    <row r="24044" ht="14.25" customHeight="1" s="192">
      <c r="W24044" s="235" t="n"/>
      <c r="X24044" s="235" t="n"/>
    </row>
    <row r="24045" ht="14.25" customHeight="1" s="192">
      <c r="W24045" s="235" t="n"/>
      <c r="X24045" s="235" t="n"/>
    </row>
    <row r="24046" ht="14.25" customHeight="1" s="192">
      <c r="W24046" s="239" t="n"/>
      <c r="X24046" s="239" t="n"/>
    </row>
    <row r="24047" ht="14.25" customHeight="1" s="192">
      <c r="W24047" s="239" t="n"/>
      <c r="X24047" s="239" t="n"/>
    </row>
    <row r="24048" ht="14.25" customHeight="1" s="192">
      <c r="W24048" s="239" t="n"/>
      <c r="X24048" s="239" t="n"/>
    </row>
    <row r="24049" ht="14.25" customHeight="1" s="192">
      <c r="W24049" s="235" t="n"/>
      <c r="X24049" s="235" t="n"/>
    </row>
    <row r="24050" ht="14.25" customHeight="1" s="192">
      <c r="W24050" s="235" t="n"/>
      <c r="X24050" s="235" t="n"/>
    </row>
    <row r="24051" ht="14.25" customHeight="1" s="192">
      <c r="W24051" s="235" t="n"/>
      <c r="X24051" s="235" t="n"/>
    </row>
    <row r="24052" ht="14.25" customHeight="1" s="192">
      <c r="W24052" s="239" t="n"/>
      <c r="X24052" s="239" t="n"/>
    </row>
    <row r="24053" ht="14.25" customHeight="1" s="192">
      <c r="W24053" s="239" t="n"/>
      <c r="X24053" s="239" t="n"/>
    </row>
    <row r="24054" ht="14.25" customHeight="1" s="192">
      <c r="W24054" s="235" t="n"/>
      <c r="X24054" s="235" t="n"/>
    </row>
    <row r="24055" ht="14.25" customHeight="1" s="192">
      <c r="W24055" s="235" t="n"/>
      <c r="X24055" s="235" t="n"/>
    </row>
    <row r="24056" ht="14.25" customHeight="1" s="192">
      <c r="W24056" s="239" t="n"/>
      <c r="X24056" s="239" t="n"/>
    </row>
    <row r="24057" ht="14.25" customHeight="1" s="192">
      <c r="W24057" s="235" t="n"/>
      <c r="X24057" s="235" t="n"/>
    </row>
    <row r="24058" ht="14.25" customHeight="1" s="192">
      <c r="W24058" s="239" t="n"/>
      <c r="X24058" s="239" t="n"/>
    </row>
    <row r="24060" ht="14.25" customHeight="1" s="192">
      <c r="W24060" s="235" t="n"/>
      <c r="X24060" s="235" t="n"/>
    </row>
    <row r="24061" ht="15" customHeight="1" s="192" thickBot="1">
      <c r="W24061" s="239" t="n"/>
      <c r="X24061" s="239" t="n"/>
    </row>
    <row r="24062" ht="15" customHeight="1" s="192" thickBot="1">
      <c r="W24062" s="45" t="n"/>
      <c r="X24062" s="45" t="n"/>
    </row>
    <row r="24063" ht="14.25" customHeight="1" s="192">
      <c r="W24063" s="228" t="n"/>
      <c r="X24063" s="228" t="n"/>
    </row>
    <row r="24064" ht="14.25" customHeight="1" s="192">
      <c r="W24064" s="228" t="n"/>
      <c r="X24064" s="228" t="n"/>
    </row>
    <row r="24065" ht="14.25" customHeight="1" s="192">
      <c r="W24065" s="231" t="n"/>
      <c r="X24065" s="231" t="n"/>
    </row>
    <row r="24066" ht="14.25" customHeight="1" s="192">
      <c r="W24066" s="33" t="n"/>
      <c r="X24066" s="33" t="n"/>
    </row>
    <row r="24067" ht="14.25" customHeight="1" s="192">
      <c r="W24067" s="231" t="n"/>
      <c r="X24067" s="231" t="n"/>
    </row>
    <row r="24068" ht="14.25" customHeight="1" s="192">
      <c r="W24068" s="33" t="n"/>
      <c r="X24068" s="33" t="n"/>
    </row>
    <row r="24070" ht="14.25" customHeight="1" s="192">
      <c r="W24070" s="231" t="n"/>
      <c r="X24070" s="231" t="n"/>
    </row>
    <row r="24071" ht="14.25" customHeight="1" s="192">
      <c r="W24071" s="235" t="n"/>
      <c r="X24071" s="235" t="n"/>
    </row>
    <row r="24072" ht="14.25" customHeight="1" s="192">
      <c r="W24072" s="228" t="n"/>
      <c r="X24072" s="228" t="n"/>
    </row>
    <row r="24073" ht="14.25" customHeight="1" s="192">
      <c r="W24073" s="235" t="n"/>
      <c r="X24073" s="235" t="n"/>
    </row>
    <row r="24074" ht="14.25" customHeight="1" s="192">
      <c r="W24074" s="235" t="n"/>
      <c r="X24074" s="235" t="n"/>
    </row>
    <row r="24075" ht="14.25" customHeight="1" s="192">
      <c r="W24075" s="235" t="n"/>
      <c r="X24075" s="235" t="n"/>
    </row>
    <row r="24076" ht="14.25" customHeight="1" s="192">
      <c r="W24076" s="239" t="n"/>
      <c r="X24076" s="239" t="n"/>
    </row>
    <row r="24077" ht="14.25" customHeight="1" s="192">
      <c r="W24077" s="239" t="n"/>
      <c r="X24077" s="239" t="n"/>
    </row>
    <row r="24078" ht="14.25" customHeight="1" s="192">
      <c r="W24078" s="239" t="n"/>
      <c r="X24078" s="239" t="n"/>
    </row>
    <row r="24079" ht="14.25" customHeight="1" s="192">
      <c r="W24079" s="235" t="n"/>
      <c r="X24079" s="235" t="n"/>
    </row>
    <row r="24080" ht="14.25" customHeight="1" s="192">
      <c r="W24080" s="235" t="n"/>
      <c r="X24080" s="235" t="n"/>
    </row>
    <row r="24081" ht="14.25" customHeight="1" s="192">
      <c r="W24081" s="235" t="n"/>
      <c r="X24081" s="235" t="n"/>
    </row>
    <row r="24082" ht="14.25" customHeight="1" s="192">
      <c r="W24082" s="239" t="n"/>
      <c r="X24082" s="239" t="n"/>
    </row>
    <row r="24083" ht="14.25" customHeight="1" s="192">
      <c r="W24083" s="239" t="n"/>
      <c r="X24083" s="239" t="n"/>
    </row>
    <row r="24084" ht="14.25" customHeight="1" s="192">
      <c r="W24084" s="235" t="n"/>
      <c r="X24084" s="235" t="n"/>
    </row>
    <row r="24085" ht="14.25" customHeight="1" s="192">
      <c r="W24085" s="235" t="n"/>
      <c r="X24085" s="235" t="n"/>
    </row>
    <row r="24086" ht="14.25" customHeight="1" s="192">
      <c r="W24086" s="239" t="n"/>
      <c r="X24086" s="239" t="n"/>
    </row>
    <row r="24087" ht="14.25" customHeight="1" s="192">
      <c r="W24087" s="235" t="n"/>
      <c r="X24087" s="235" t="n"/>
    </row>
    <row r="24088" ht="14.25" customHeight="1" s="192">
      <c r="W24088" s="239" t="n"/>
      <c r="X24088" s="239" t="n"/>
    </row>
    <row r="24090" ht="14.25" customHeight="1" s="192">
      <c r="W24090" s="235" t="n"/>
      <c r="X24090" s="235" t="n"/>
    </row>
    <row r="24091" ht="15" customHeight="1" s="192" thickBot="1">
      <c r="W24091" s="239" t="n"/>
      <c r="X24091" s="239" t="n"/>
    </row>
    <row r="24092" ht="15" customHeight="1" s="192" thickBot="1">
      <c r="W24092" s="45" t="n"/>
      <c r="X24092" s="45" t="n"/>
    </row>
    <row r="24093" ht="14.25" customHeight="1" s="192">
      <c r="W24093" s="228" t="n"/>
      <c r="X24093" s="228" t="n"/>
    </row>
    <row r="24094" ht="14.25" customHeight="1" s="192">
      <c r="W24094" s="228" t="n"/>
      <c r="X24094" s="228" t="n"/>
    </row>
    <row r="24095" ht="14.25" customHeight="1" s="192">
      <c r="W24095" s="231" t="n"/>
      <c r="X24095" s="231" t="n"/>
    </row>
    <row r="24096" ht="14.25" customHeight="1" s="192">
      <c r="W24096" s="33" t="n"/>
      <c r="X24096" s="33" t="n"/>
    </row>
    <row r="24097" ht="14.25" customHeight="1" s="192">
      <c r="W24097" s="231" t="n"/>
      <c r="X24097" s="231" t="n"/>
    </row>
    <row r="24098" ht="14.25" customHeight="1" s="192">
      <c r="W24098" s="33" t="n"/>
      <c r="X24098" s="33" t="n"/>
    </row>
    <row r="24100" ht="14.25" customHeight="1" s="192">
      <c r="W24100" s="231" t="n"/>
      <c r="X24100" s="231" t="n"/>
    </row>
    <row r="24101" ht="14.25" customHeight="1" s="192">
      <c r="W24101" s="235" t="n"/>
      <c r="X24101" s="235" t="n"/>
    </row>
    <row r="24102" ht="14.25" customHeight="1" s="192">
      <c r="W24102" s="228" t="n"/>
      <c r="X24102" s="228" t="n"/>
    </row>
    <row r="24103" ht="14.25" customHeight="1" s="192">
      <c r="W24103" s="235" t="n"/>
      <c r="X24103" s="235" t="n"/>
    </row>
    <row r="24104" ht="14.25" customHeight="1" s="192">
      <c r="W24104" s="235" t="n"/>
      <c r="X24104" s="235" t="n"/>
    </row>
    <row r="24105" ht="14.25" customHeight="1" s="192">
      <c r="W24105" s="235" t="n"/>
      <c r="X24105" s="235" t="n"/>
    </row>
    <row r="24106" ht="14.25" customHeight="1" s="192">
      <c r="W24106" s="239" t="n"/>
      <c r="X24106" s="239" t="n"/>
    </row>
    <row r="24107" ht="14.25" customHeight="1" s="192">
      <c r="W24107" s="239" t="n"/>
      <c r="X24107" s="239" t="n"/>
    </row>
    <row r="24108" ht="14.25" customHeight="1" s="192">
      <c r="W24108" s="239" t="n"/>
      <c r="X24108" s="239" t="n"/>
    </row>
    <row r="24109" ht="14.25" customHeight="1" s="192">
      <c r="W24109" s="235" t="n"/>
      <c r="X24109" s="235" t="n"/>
    </row>
    <row r="24110" ht="14.25" customHeight="1" s="192">
      <c r="W24110" s="235" t="n"/>
      <c r="X24110" s="235" t="n"/>
    </row>
    <row r="24111" ht="14.25" customHeight="1" s="192">
      <c r="W24111" s="235" t="n"/>
      <c r="X24111" s="235" t="n"/>
    </row>
    <row r="24112" ht="14.25" customHeight="1" s="192">
      <c r="W24112" s="239" t="n"/>
      <c r="X24112" s="239" t="n"/>
    </row>
    <row r="24113" ht="14.25" customHeight="1" s="192">
      <c r="W24113" s="239" t="n"/>
      <c r="X24113" s="239" t="n"/>
    </row>
    <row r="24114" ht="14.25" customHeight="1" s="192">
      <c r="W24114" s="235" t="n"/>
      <c r="X24114" s="235" t="n"/>
    </row>
    <row r="24115" ht="14.25" customHeight="1" s="192">
      <c r="W24115" s="235" t="n"/>
      <c r="X24115" s="235" t="n"/>
    </row>
    <row r="24116" ht="14.25" customHeight="1" s="192">
      <c r="W24116" s="239" t="n"/>
      <c r="X24116" s="239" t="n"/>
    </row>
    <row r="24117" ht="14.25" customHeight="1" s="192">
      <c r="W24117" s="235" t="n"/>
      <c r="X24117" s="235" t="n"/>
    </row>
    <row r="24118" ht="14.25" customHeight="1" s="192">
      <c r="W24118" s="239" t="n"/>
      <c r="X24118" s="239" t="n"/>
    </row>
    <row r="24120" ht="14.25" customHeight="1" s="192">
      <c r="W24120" s="235" t="n"/>
      <c r="X24120" s="235" t="n"/>
    </row>
    <row r="24121" ht="15" customHeight="1" s="192" thickBot="1">
      <c r="W24121" s="239" t="n"/>
      <c r="X24121" s="239" t="n"/>
    </row>
    <row r="24122" ht="15" customHeight="1" s="192" thickBot="1">
      <c r="W24122" s="45" t="n"/>
      <c r="X24122" s="45" t="n"/>
    </row>
    <row r="24123" ht="14.25" customHeight="1" s="192">
      <c r="W24123" s="228" t="n"/>
      <c r="X24123" s="228" t="n"/>
    </row>
    <row r="24124" ht="14.25" customHeight="1" s="192">
      <c r="W24124" s="228" t="n"/>
      <c r="X24124" s="228" t="n"/>
    </row>
    <row r="24125" ht="14.25" customHeight="1" s="192">
      <c r="W24125" s="231" t="n"/>
      <c r="X24125" s="231" t="n"/>
    </row>
    <row r="24126" ht="14.25" customHeight="1" s="192">
      <c r="W24126" s="33" t="n"/>
      <c r="X24126" s="33" t="n"/>
    </row>
    <row r="24127" ht="14.25" customHeight="1" s="192">
      <c r="W24127" s="231" t="n"/>
      <c r="X24127" s="231" t="n"/>
    </row>
    <row r="24128" ht="14.25" customHeight="1" s="192">
      <c r="W24128" s="33" t="n"/>
      <c r="X24128" s="33" t="n"/>
    </row>
    <row r="24130" ht="14.25" customHeight="1" s="192">
      <c r="W24130" s="231" t="n"/>
      <c r="X24130" s="231" t="n"/>
    </row>
    <row r="24131" ht="14.25" customHeight="1" s="192">
      <c r="W24131" s="235" t="n"/>
      <c r="X24131" s="235" t="n"/>
    </row>
    <row r="24132" ht="14.25" customHeight="1" s="192">
      <c r="W24132" s="228" t="n"/>
      <c r="X24132" s="228" t="n"/>
    </row>
    <row r="24133" ht="14.25" customHeight="1" s="192">
      <c r="W24133" s="235" t="n"/>
      <c r="X24133" s="235" t="n"/>
    </row>
    <row r="24134" ht="14.25" customHeight="1" s="192">
      <c r="W24134" s="235" t="n"/>
      <c r="X24134" s="235" t="n"/>
    </row>
    <row r="24135" ht="14.25" customHeight="1" s="192">
      <c r="W24135" s="235" t="n"/>
      <c r="X24135" s="235" t="n"/>
    </row>
    <row r="24136" ht="14.25" customHeight="1" s="192">
      <c r="W24136" s="239" t="n"/>
      <c r="X24136" s="239" t="n"/>
    </row>
    <row r="24137" ht="14.25" customHeight="1" s="192">
      <c r="W24137" s="239" t="n"/>
      <c r="X24137" s="239" t="n"/>
    </row>
    <row r="24138" ht="14.25" customHeight="1" s="192">
      <c r="W24138" s="239" t="n"/>
      <c r="X24138" s="239" t="n"/>
    </row>
    <row r="24139" ht="14.25" customHeight="1" s="192">
      <c r="W24139" s="235" t="n"/>
      <c r="X24139" s="235" t="n"/>
    </row>
    <row r="24140" ht="14.25" customHeight="1" s="192">
      <c r="W24140" s="235" t="n"/>
      <c r="X24140" s="235" t="n"/>
    </row>
    <row r="24141" ht="14.25" customHeight="1" s="192">
      <c r="W24141" s="235" t="n"/>
      <c r="X24141" s="235" t="n"/>
    </row>
    <row r="24142" ht="14.25" customHeight="1" s="192">
      <c r="W24142" s="239" t="n"/>
      <c r="X24142" s="239" t="n"/>
    </row>
    <row r="24143" ht="14.25" customHeight="1" s="192">
      <c r="W24143" s="239" t="n"/>
      <c r="X24143" s="239" t="n"/>
    </row>
    <row r="24144" ht="14.25" customHeight="1" s="192">
      <c r="W24144" s="235" t="n"/>
      <c r="X24144" s="235" t="n"/>
    </row>
    <row r="24145" ht="14.25" customHeight="1" s="192">
      <c r="W24145" s="235" t="n"/>
      <c r="X24145" s="235" t="n"/>
    </row>
    <row r="24146" ht="14.25" customHeight="1" s="192">
      <c r="W24146" s="239" t="n"/>
      <c r="X24146" s="239" t="n"/>
    </row>
    <row r="24147" ht="14.25" customHeight="1" s="192">
      <c r="W24147" s="235" t="n"/>
      <c r="X24147" s="235" t="n"/>
    </row>
    <row r="24148" ht="14.25" customHeight="1" s="192">
      <c r="W24148" s="239" t="n"/>
      <c r="X24148" s="239" t="n"/>
    </row>
    <row r="24150" ht="14.25" customHeight="1" s="192">
      <c r="W24150" s="235" t="n"/>
      <c r="X24150" s="235" t="n"/>
    </row>
    <row r="24151" ht="15" customHeight="1" s="192" thickBot="1">
      <c r="W24151" s="239" t="n"/>
      <c r="X24151" s="239" t="n"/>
    </row>
    <row r="24152" ht="15" customHeight="1" s="192" thickBot="1">
      <c r="W24152" s="45" t="n"/>
      <c r="X24152" s="45" t="n"/>
    </row>
    <row r="24153" ht="14.25" customHeight="1" s="192">
      <c r="W24153" s="228" t="n"/>
      <c r="X24153" s="228" t="n"/>
    </row>
    <row r="24154" ht="14.25" customHeight="1" s="192">
      <c r="W24154" s="228" t="n"/>
      <c r="X24154" s="228" t="n"/>
    </row>
    <row r="24155" ht="14.25" customHeight="1" s="192">
      <c r="W24155" s="231" t="n"/>
      <c r="X24155" s="231" t="n"/>
    </row>
    <row r="24156" ht="14.25" customHeight="1" s="192">
      <c r="W24156" s="33" t="n"/>
      <c r="X24156" s="33" t="n"/>
    </row>
    <row r="24157" ht="14.25" customHeight="1" s="192">
      <c r="W24157" s="231" t="n"/>
      <c r="X24157" s="231" t="n"/>
    </row>
    <row r="24158" ht="14.25" customHeight="1" s="192">
      <c r="W24158" s="33" t="n"/>
      <c r="X24158" s="33" t="n"/>
    </row>
    <row r="24160" ht="14.25" customHeight="1" s="192">
      <c r="W24160" s="231" t="n"/>
      <c r="X24160" s="231" t="n"/>
    </row>
    <row r="24161" ht="14.25" customHeight="1" s="192">
      <c r="W24161" s="235" t="n"/>
      <c r="X24161" s="235" t="n"/>
    </row>
    <row r="24162" ht="14.25" customHeight="1" s="192">
      <c r="W24162" s="228" t="n"/>
      <c r="X24162" s="228" t="n"/>
    </row>
    <row r="24163" ht="14.25" customHeight="1" s="192">
      <c r="W24163" s="235" t="n"/>
      <c r="X24163" s="235" t="n"/>
    </row>
    <row r="24164" ht="14.25" customHeight="1" s="192">
      <c r="W24164" s="235" t="n"/>
      <c r="X24164" s="235" t="n"/>
    </row>
    <row r="24165" ht="14.25" customHeight="1" s="192">
      <c r="W24165" s="235" t="n"/>
      <c r="X24165" s="235" t="n"/>
    </row>
    <row r="24166" ht="14.25" customHeight="1" s="192">
      <c r="W24166" s="239" t="n"/>
      <c r="X24166" s="239" t="n"/>
    </row>
    <row r="24167" ht="14.25" customHeight="1" s="192">
      <c r="W24167" s="239" t="n"/>
      <c r="X24167" s="239" t="n"/>
    </row>
    <row r="24168" ht="14.25" customHeight="1" s="192">
      <c r="W24168" s="239" t="n"/>
      <c r="X24168" s="239" t="n"/>
    </row>
    <row r="24169" ht="14.25" customHeight="1" s="192">
      <c r="W24169" s="235" t="n"/>
      <c r="X24169" s="235" t="n"/>
    </row>
    <row r="24170" ht="14.25" customHeight="1" s="192">
      <c r="W24170" s="235" t="n"/>
      <c r="X24170" s="235" t="n"/>
    </row>
    <row r="24171" ht="14.25" customHeight="1" s="192">
      <c r="W24171" s="235" t="n"/>
      <c r="X24171" s="235" t="n"/>
    </row>
    <row r="24172" ht="14.25" customHeight="1" s="192">
      <c r="W24172" s="239" t="n"/>
      <c r="X24172" s="239" t="n"/>
    </row>
    <row r="24173" ht="14.25" customHeight="1" s="192">
      <c r="W24173" s="239" t="n"/>
      <c r="X24173" s="239" t="n"/>
    </row>
    <row r="24174" ht="14.25" customHeight="1" s="192">
      <c r="W24174" s="235" t="n"/>
      <c r="X24174" s="235" t="n"/>
    </row>
    <row r="24175" ht="14.25" customHeight="1" s="192">
      <c r="W24175" s="235" t="n"/>
      <c r="X24175" s="235" t="n"/>
    </row>
    <row r="24176" ht="14.25" customHeight="1" s="192">
      <c r="W24176" s="239" t="n"/>
      <c r="X24176" s="239" t="n"/>
    </row>
    <row r="24177" ht="14.25" customHeight="1" s="192">
      <c r="W24177" s="235" t="n"/>
      <c r="X24177" s="235" t="n"/>
    </row>
    <row r="24178" ht="14.25" customHeight="1" s="192">
      <c r="W24178" s="239" t="n"/>
      <c r="X24178" s="239" t="n"/>
    </row>
    <row r="24180" ht="14.25" customHeight="1" s="192">
      <c r="W24180" s="235" t="n"/>
      <c r="X24180" s="235" t="n"/>
    </row>
    <row r="24181" ht="15" customHeight="1" s="192" thickBot="1">
      <c r="W24181" s="239" t="n"/>
      <c r="X24181" s="239" t="n"/>
    </row>
    <row r="24182" ht="15" customHeight="1" s="192" thickBot="1">
      <c r="W24182" s="45" t="n"/>
      <c r="X24182" s="45" t="n"/>
    </row>
    <row r="24183" ht="14.25" customHeight="1" s="192">
      <c r="W24183" s="228" t="n"/>
      <c r="X24183" s="228" t="n"/>
    </row>
    <row r="24184" ht="14.25" customHeight="1" s="192">
      <c r="W24184" s="228" t="n"/>
      <c r="X24184" s="228" t="n"/>
    </row>
    <row r="24185" ht="14.25" customHeight="1" s="192">
      <c r="W24185" s="231" t="n"/>
      <c r="X24185" s="231" t="n"/>
    </row>
    <row r="24186" ht="14.25" customHeight="1" s="192">
      <c r="W24186" s="33" t="n"/>
      <c r="X24186" s="33" t="n"/>
    </row>
    <row r="24187" ht="14.25" customHeight="1" s="192">
      <c r="W24187" s="231" t="n"/>
      <c r="X24187" s="231" t="n"/>
    </row>
    <row r="24188" ht="14.25" customHeight="1" s="192">
      <c r="W24188" s="33" t="n"/>
      <c r="X24188" s="33" t="n"/>
    </row>
    <row r="24190" ht="14.25" customHeight="1" s="192">
      <c r="W24190" s="231" t="n"/>
      <c r="X24190" s="231" t="n"/>
    </row>
    <row r="24191" ht="14.25" customHeight="1" s="192">
      <c r="W24191" s="235" t="n"/>
      <c r="X24191" s="235" t="n"/>
    </row>
    <row r="24192" ht="14.25" customHeight="1" s="192">
      <c r="W24192" s="228" t="n"/>
      <c r="X24192" s="228" t="n"/>
    </row>
    <row r="24193" ht="14.25" customHeight="1" s="192">
      <c r="W24193" s="235" t="n"/>
      <c r="X24193" s="235" t="n"/>
    </row>
    <row r="24194" ht="14.25" customHeight="1" s="192">
      <c r="W24194" s="235" t="n"/>
      <c r="X24194" s="235" t="n"/>
    </row>
    <row r="24195" ht="14.25" customHeight="1" s="192">
      <c r="W24195" s="235" t="n"/>
      <c r="X24195" s="235" t="n"/>
    </row>
    <row r="24196" ht="14.25" customHeight="1" s="192">
      <c r="W24196" s="239" t="n"/>
      <c r="X24196" s="239" t="n"/>
    </row>
    <row r="24197" ht="14.25" customHeight="1" s="192">
      <c r="W24197" s="239" t="n"/>
      <c r="X24197" s="239" t="n"/>
    </row>
    <row r="24198" ht="14.25" customHeight="1" s="192">
      <c r="W24198" s="239" t="n"/>
      <c r="X24198" s="239" t="n"/>
    </row>
    <row r="24199" ht="14.25" customHeight="1" s="192">
      <c r="W24199" s="235" t="n"/>
      <c r="X24199" s="235" t="n"/>
    </row>
    <row r="24200" ht="14.25" customHeight="1" s="192">
      <c r="W24200" s="235" t="n"/>
      <c r="X24200" s="235" t="n"/>
    </row>
    <row r="24201" ht="14.25" customHeight="1" s="192">
      <c r="W24201" s="235" t="n"/>
      <c r="X24201" s="235" t="n"/>
    </row>
    <row r="24202" ht="14.25" customHeight="1" s="192">
      <c r="W24202" s="239" t="n"/>
      <c r="X24202" s="239" t="n"/>
    </row>
    <row r="24203" ht="14.25" customHeight="1" s="192">
      <c r="W24203" s="239" t="n"/>
      <c r="X24203" s="239" t="n"/>
    </row>
    <row r="24204" ht="14.25" customHeight="1" s="192">
      <c r="W24204" s="235" t="n"/>
      <c r="X24204" s="235" t="n"/>
    </row>
    <row r="24205" ht="14.25" customHeight="1" s="192">
      <c r="W24205" s="235" t="n"/>
      <c r="X24205" s="235" t="n"/>
    </row>
    <row r="24206" ht="14.25" customHeight="1" s="192">
      <c r="W24206" s="239" t="n"/>
      <c r="X24206" s="239" t="n"/>
    </row>
    <row r="24207" ht="14.25" customHeight="1" s="192">
      <c r="W24207" s="235" t="n"/>
      <c r="X24207" s="235" t="n"/>
    </row>
    <row r="24208" ht="14.25" customHeight="1" s="192">
      <c r="W24208" s="239" t="n"/>
      <c r="X24208" s="239" t="n"/>
    </row>
    <row r="24210" ht="14.25" customHeight="1" s="192">
      <c r="W24210" s="235" t="n"/>
      <c r="X24210" s="235" t="n"/>
    </row>
    <row r="24211" ht="15" customHeight="1" s="192" thickBot="1">
      <c r="W24211" s="239" t="n"/>
      <c r="X24211" s="239" t="n"/>
    </row>
    <row r="24212" ht="15" customHeight="1" s="192" thickBot="1">
      <c r="W24212" s="45" t="n"/>
      <c r="X24212" s="45" t="n"/>
    </row>
    <row r="24213" ht="14.25" customHeight="1" s="192">
      <c r="W24213" s="228" t="n"/>
      <c r="X24213" s="228" t="n"/>
    </row>
    <row r="24214" ht="14.25" customHeight="1" s="192">
      <c r="W24214" s="228" t="n"/>
      <c r="X24214" s="228" t="n"/>
    </row>
    <row r="24215" ht="14.25" customHeight="1" s="192">
      <c r="W24215" s="231" t="n"/>
      <c r="X24215" s="231" t="n"/>
    </row>
    <row r="24216" ht="14.25" customHeight="1" s="192">
      <c r="W24216" s="33" t="n"/>
      <c r="X24216" s="33" t="n"/>
    </row>
    <row r="24217" ht="14.25" customHeight="1" s="192">
      <c r="W24217" s="231" t="n"/>
      <c r="X24217" s="231" t="n"/>
    </row>
    <row r="24218" ht="14.25" customHeight="1" s="192">
      <c r="W24218" s="33" t="n"/>
      <c r="X24218" s="33" t="n"/>
    </row>
    <row r="24220" ht="14.25" customHeight="1" s="192">
      <c r="W24220" s="231" t="n"/>
      <c r="X24220" s="231" t="n"/>
    </row>
    <row r="24221" ht="14.25" customHeight="1" s="192">
      <c r="W24221" s="235" t="n"/>
      <c r="X24221" s="235" t="n"/>
    </row>
    <row r="24222" ht="14.25" customHeight="1" s="192">
      <c r="W24222" s="228" t="n"/>
      <c r="X24222" s="228" t="n"/>
    </row>
    <row r="24223" ht="14.25" customHeight="1" s="192">
      <c r="W24223" s="235" t="n"/>
      <c r="X24223" s="235" t="n"/>
    </row>
    <row r="24224" ht="14.25" customHeight="1" s="192">
      <c r="W24224" s="235" t="n"/>
      <c r="X24224" s="235" t="n"/>
    </row>
    <row r="24225" ht="14.25" customHeight="1" s="192">
      <c r="W24225" s="235" t="n"/>
      <c r="X24225" s="235" t="n"/>
    </row>
    <row r="24226" ht="14.25" customHeight="1" s="192">
      <c r="W24226" s="239" t="n"/>
      <c r="X24226" s="239" t="n"/>
    </row>
    <row r="24227" ht="14.25" customHeight="1" s="192">
      <c r="W24227" s="239" t="n"/>
      <c r="X24227" s="239" t="n"/>
    </row>
    <row r="24228" ht="14.25" customHeight="1" s="192">
      <c r="W24228" s="239" t="n"/>
      <c r="X24228" s="239" t="n"/>
    </row>
    <row r="24229" ht="14.25" customHeight="1" s="192">
      <c r="W24229" s="235" t="n"/>
      <c r="X24229" s="235" t="n"/>
    </row>
    <row r="24230" ht="14.25" customHeight="1" s="192">
      <c r="W24230" s="235" t="n"/>
      <c r="X24230" s="235" t="n"/>
    </row>
    <row r="24231" ht="14.25" customHeight="1" s="192">
      <c r="W24231" s="235" t="n"/>
      <c r="X24231" s="235" t="n"/>
    </row>
    <row r="24232" ht="14.25" customHeight="1" s="192">
      <c r="W24232" s="239" t="n"/>
      <c r="X24232" s="239" t="n"/>
    </row>
    <row r="24233" ht="14.25" customHeight="1" s="192">
      <c r="W24233" s="239" t="n"/>
      <c r="X24233" s="239" t="n"/>
    </row>
    <row r="24234" ht="14.25" customHeight="1" s="192">
      <c r="W24234" s="235" t="n"/>
      <c r="X24234" s="235" t="n"/>
    </row>
    <row r="24235" ht="14.25" customHeight="1" s="192">
      <c r="W24235" s="235" t="n"/>
      <c r="X24235" s="235" t="n"/>
    </row>
    <row r="24236" ht="14.25" customHeight="1" s="192">
      <c r="W24236" s="239" t="n"/>
      <c r="X24236" s="239" t="n"/>
    </row>
    <row r="24237" ht="14.25" customHeight="1" s="192">
      <c r="W24237" s="235" t="n"/>
      <c r="X24237" s="235" t="n"/>
    </row>
    <row r="24238" ht="14.25" customHeight="1" s="192">
      <c r="W24238" s="239" t="n"/>
      <c r="X24238" s="239" t="n"/>
    </row>
    <row r="24240" ht="14.25" customHeight="1" s="192">
      <c r="W24240" s="235" t="n"/>
      <c r="X24240" s="235" t="n"/>
    </row>
    <row r="24241" ht="15" customHeight="1" s="192" thickBot="1">
      <c r="W24241" s="239" t="n"/>
      <c r="X24241" s="239" t="n"/>
    </row>
    <row r="24242" ht="15" customHeight="1" s="192" thickBot="1">
      <c r="W24242" s="45" t="n"/>
      <c r="X24242" s="45" t="n"/>
    </row>
    <row r="24243" ht="14.25" customHeight="1" s="192">
      <c r="W24243" s="228" t="n"/>
      <c r="X24243" s="228" t="n"/>
    </row>
    <row r="24244" ht="14.25" customHeight="1" s="192">
      <c r="W24244" s="228" t="n"/>
      <c r="X24244" s="228" t="n"/>
    </row>
    <row r="24245" ht="14.25" customHeight="1" s="192">
      <c r="W24245" s="231" t="n"/>
      <c r="X24245" s="231" t="n"/>
    </row>
    <row r="24246" ht="14.25" customHeight="1" s="192">
      <c r="W24246" s="33" t="n"/>
      <c r="X24246" s="33" t="n"/>
    </row>
    <row r="24247" ht="14.25" customHeight="1" s="192">
      <c r="W24247" s="231" t="n"/>
      <c r="X24247" s="231" t="n"/>
    </row>
    <row r="24248" ht="14.25" customHeight="1" s="192">
      <c r="W24248" s="33" t="n"/>
      <c r="X24248" s="33" t="n"/>
    </row>
    <row r="24250" ht="14.25" customHeight="1" s="192">
      <c r="W24250" s="231" t="n"/>
      <c r="X24250" s="231" t="n"/>
    </row>
    <row r="24251" ht="14.25" customHeight="1" s="192">
      <c r="W24251" s="235" t="n"/>
      <c r="X24251" s="235" t="n"/>
    </row>
    <row r="24252" ht="14.25" customHeight="1" s="192">
      <c r="W24252" s="228" t="n"/>
      <c r="X24252" s="228" t="n"/>
    </row>
    <row r="24253" ht="14.25" customHeight="1" s="192">
      <c r="W24253" s="235" t="n"/>
      <c r="X24253" s="235" t="n"/>
    </row>
    <row r="24254" ht="14.25" customHeight="1" s="192">
      <c r="W24254" s="235" t="n"/>
      <c r="X24254" s="235" t="n"/>
    </row>
    <row r="24255" ht="14.25" customHeight="1" s="192">
      <c r="W24255" s="235" t="n"/>
      <c r="X24255" s="235" t="n"/>
    </row>
    <row r="24256" ht="14.25" customHeight="1" s="192">
      <c r="W24256" s="239" t="n"/>
      <c r="X24256" s="239" t="n"/>
    </row>
    <row r="24257" ht="14.25" customHeight="1" s="192">
      <c r="W24257" s="239" t="n"/>
      <c r="X24257" s="239" t="n"/>
    </row>
    <row r="24258" ht="14.25" customHeight="1" s="192">
      <c r="W24258" s="239" t="n"/>
      <c r="X24258" s="239" t="n"/>
    </row>
    <row r="24259" ht="14.25" customHeight="1" s="192">
      <c r="W24259" s="235" t="n"/>
      <c r="X24259" s="235" t="n"/>
    </row>
    <row r="24260" ht="14.25" customHeight="1" s="192">
      <c r="W24260" s="235" t="n"/>
      <c r="X24260" s="235" t="n"/>
    </row>
    <row r="24261" ht="14.25" customHeight="1" s="192">
      <c r="W24261" s="235" t="n"/>
      <c r="X24261" s="235" t="n"/>
    </row>
    <row r="24262" ht="14.25" customHeight="1" s="192">
      <c r="W24262" s="239" t="n"/>
      <c r="X24262" s="239" t="n"/>
    </row>
    <row r="24263" ht="14.25" customHeight="1" s="192">
      <c r="W24263" s="239" t="n"/>
      <c r="X24263" s="239" t="n"/>
    </row>
    <row r="24264" ht="14.25" customHeight="1" s="192">
      <c r="W24264" s="235" t="n"/>
      <c r="X24264" s="235" t="n"/>
    </row>
    <row r="24265" ht="14.25" customHeight="1" s="192">
      <c r="W24265" s="235" t="n"/>
      <c r="X24265" s="235" t="n"/>
    </row>
    <row r="24266" ht="14.25" customHeight="1" s="192">
      <c r="W24266" s="239" t="n"/>
      <c r="X24266" s="239" t="n"/>
    </row>
    <row r="24267" ht="14.25" customHeight="1" s="192">
      <c r="W24267" s="235" t="n"/>
      <c r="X24267" s="235" t="n"/>
    </row>
    <row r="24268" ht="14.25" customHeight="1" s="192">
      <c r="W24268" s="239" t="n"/>
      <c r="X24268" s="239" t="n"/>
    </row>
    <row r="24270" ht="14.25" customHeight="1" s="192">
      <c r="W24270" s="235" t="n"/>
      <c r="X24270" s="235" t="n"/>
    </row>
    <row r="24271" ht="15" customHeight="1" s="192" thickBot="1">
      <c r="W24271" s="239" t="n"/>
      <c r="X24271" s="239" t="n"/>
    </row>
    <row r="24272" ht="15" customHeight="1" s="192" thickBot="1">
      <c r="W24272" s="45" t="n"/>
      <c r="X24272" s="45" t="n"/>
    </row>
    <row r="24273" ht="14.25" customHeight="1" s="192">
      <c r="W24273" s="228" t="n"/>
      <c r="X24273" s="228" t="n"/>
    </row>
    <row r="24274" ht="14.25" customHeight="1" s="192">
      <c r="W24274" s="228" t="n"/>
      <c r="X24274" s="228" t="n"/>
    </row>
    <row r="24275" ht="14.25" customHeight="1" s="192">
      <c r="W24275" s="231" t="n"/>
      <c r="X24275" s="231" t="n"/>
    </row>
    <row r="24276" ht="14.25" customHeight="1" s="192">
      <c r="W24276" s="33" t="n"/>
      <c r="X24276" s="33" t="n"/>
    </row>
    <row r="24277" ht="14.25" customHeight="1" s="192">
      <c r="W24277" s="231" t="n"/>
      <c r="X24277" s="231" t="n"/>
    </row>
    <row r="24278" ht="14.25" customHeight="1" s="192">
      <c r="W24278" s="33" t="n"/>
      <c r="X24278" s="33" t="n"/>
    </row>
    <row r="24280" ht="14.25" customHeight="1" s="192">
      <c r="W24280" s="231" t="n"/>
      <c r="X24280" s="231" t="n"/>
    </row>
    <row r="24281" ht="14.25" customHeight="1" s="192">
      <c r="W24281" s="235" t="n"/>
      <c r="X24281" s="235" t="n"/>
    </row>
    <row r="24282" ht="14.25" customHeight="1" s="192">
      <c r="W24282" s="228" t="n"/>
      <c r="X24282" s="228" t="n"/>
    </row>
    <row r="24283" ht="14.25" customHeight="1" s="192">
      <c r="W24283" s="235" t="n"/>
      <c r="X24283" s="235" t="n"/>
    </row>
    <row r="24284" ht="14.25" customHeight="1" s="192">
      <c r="W24284" s="235" t="n"/>
      <c r="X24284" s="235" t="n"/>
    </row>
    <row r="24285" ht="14.25" customHeight="1" s="192">
      <c r="W24285" s="235" t="n"/>
      <c r="X24285" s="235" t="n"/>
    </row>
    <row r="24286" ht="14.25" customHeight="1" s="192">
      <c r="W24286" s="239" t="n"/>
      <c r="X24286" s="239" t="n"/>
    </row>
    <row r="24287" ht="14.25" customHeight="1" s="192">
      <c r="W24287" s="239" t="n"/>
      <c r="X24287" s="239" t="n"/>
    </row>
    <row r="24288" ht="14.25" customHeight="1" s="192">
      <c r="W24288" s="239" t="n"/>
      <c r="X24288" s="239" t="n"/>
    </row>
    <row r="24289" ht="14.25" customHeight="1" s="192">
      <c r="W24289" s="235" t="n"/>
      <c r="X24289" s="235" t="n"/>
    </row>
    <row r="24290" ht="14.25" customHeight="1" s="192">
      <c r="W24290" s="235" t="n"/>
      <c r="X24290" s="235" t="n"/>
    </row>
    <row r="24291" ht="14.25" customHeight="1" s="192">
      <c r="W24291" s="235" t="n"/>
      <c r="X24291" s="235" t="n"/>
    </row>
    <row r="24292" ht="14.25" customHeight="1" s="192">
      <c r="W24292" s="239" t="n"/>
      <c r="X24292" s="239" t="n"/>
    </row>
    <row r="24293" ht="14.25" customHeight="1" s="192">
      <c r="W24293" s="239" t="n"/>
      <c r="X24293" s="239" t="n"/>
    </row>
    <row r="24294" ht="14.25" customHeight="1" s="192">
      <c r="W24294" s="235" t="n"/>
      <c r="X24294" s="235" t="n"/>
    </row>
    <row r="24295" ht="14.25" customHeight="1" s="192">
      <c r="W24295" s="235" t="n"/>
      <c r="X24295" s="235" t="n"/>
    </row>
    <row r="24296" ht="14.25" customHeight="1" s="192">
      <c r="W24296" s="239" t="n"/>
      <c r="X24296" s="239" t="n"/>
    </row>
    <row r="24297" ht="14.25" customHeight="1" s="192">
      <c r="W24297" s="235" t="n"/>
      <c r="X24297" s="235" t="n"/>
    </row>
    <row r="24298" ht="14.25" customHeight="1" s="192">
      <c r="W24298" s="239" t="n"/>
      <c r="X24298" s="239" t="n"/>
    </row>
    <row r="24300" ht="14.25" customHeight="1" s="192">
      <c r="W24300" s="235" t="n"/>
      <c r="X24300" s="235" t="n"/>
    </row>
    <row r="24301" ht="15" customHeight="1" s="192" thickBot="1">
      <c r="W24301" s="239" t="n"/>
      <c r="X24301" s="239" t="n"/>
    </row>
    <row r="24302" ht="15" customHeight="1" s="192" thickBot="1">
      <c r="W24302" s="45" t="n"/>
      <c r="X24302" s="45" t="n"/>
    </row>
    <row r="24303" ht="14.25" customHeight="1" s="192">
      <c r="W24303" s="228" t="n"/>
      <c r="X24303" s="228" t="n"/>
    </row>
    <row r="24304" ht="14.25" customHeight="1" s="192">
      <c r="W24304" s="228" t="n"/>
      <c r="X24304" s="228" t="n"/>
    </row>
    <row r="24305" ht="14.25" customHeight="1" s="192">
      <c r="W24305" s="231" t="n"/>
      <c r="X24305" s="231" t="n"/>
    </row>
    <row r="24306" ht="14.25" customHeight="1" s="192">
      <c r="W24306" s="33" t="n"/>
      <c r="X24306" s="33" t="n"/>
    </row>
    <row r="24307" ht="14.25" customHeight="1" s="192">
      <c r="W24307" s="231" t="n"/>
      <c r="X24307" s="231" t="n"/>
    </row>
    <row r="24308" ht="14.25" customHeight="1" s="192">
      <c r="W24308" s="33" t="n"/>
      <c r="X24308" s="33" t="n"/>
    </row>
    <row r="24310" ht="14.25" customHeight="1" s="192">
      <c r="W24310" s="231" t="n"/>
      <c r="X24310" s="231" t="n"/>
    </row>
    <row r="24311" ht="14.25" customHeight="1" s="192">
      <c r="W24311" s="235" t="n"/>
      <c r="X24311" s="235" t="n"/>
    </row>
    <row r="24312" ht="14.25" customHeight="1" s="192">
      <c r="W24312" s="228" t="n"/>
      <c r="X24312" s="228" t="n"/>
    </row>
    <row r="24313" ht="14.25" customHeight="1" s="192">
      <c r="W24313" s="235" t="n"/>
      <c r="X24313" s="235" t="n"/>
    </row>
    <row r="24314" ht="14.25" customHeight="1" s="192">
      <c r="W24314" s="235" t="n"/>
      <c r="X24314" s="235" t="n"/>
    </row>
    <row r="24315" ht="14.25" customHeight="1" s="192">
      <c r="W24315" s="235" t="n"/>
      <c r="X24315" s="235" t="n"/>
    </row>
    <row r="24316" ht="14.25" customHeight="1" s="192">
      <c r="W24316" s="239" t="n"/>
      <c r="X24316" s="239" t="n"/>
    </row>
    <row r="24317" ht="14.25" customHeight="1" s="192">
      <c r="W24317" s="239" t="n"/>
      <c r="X24317" s="239" t="n"/>
    </row>
    <row r="24318" ht="14.25" customHeight="1" s="192">
      <c r="W24318" s="239" t="n"/>
      <c r="X24318" s="239" t="n"/>
    </row>
    <row r="24319" ht="14.25" customHeight="1" s="192">
      <c r="W24319" s="235" t="n"/>
      <c r="X24319" s="235" t="n"/>
    </row>
    <row r="24320" ht="14.25" customHeight="1" s="192">
      <c r="W24320" s="235" t="n"/>
      <c r="X24320" s="235" t="n"/>
    </row>
    <row r="24321" ht="14.25" customHeight="1" s="192">
      <c r="W24321" s="235" t="n"/>
      <c r="X24321" s="235" t="n"/>
    </row>
    <row r="24322" ht="14.25" customHeight="1" s="192">
      <c r="W24322" s="239" t="n"/>
      <c r="X24322" s="239" t="n"/>
    </row>
    <row r="24323" ht="14.25" customHeight="1" s="192">
      <c r="W24323" s="239" t="n"/>
      <c r="X24323" s="239" t="n"/>
    </row>
    <row r="24324" ht="14.25" customHeight="1" s="192">
      <c r="W24324" s="235" t="n"/>
      <c r="X24324" s="235" t="n"/>
    </row>
    <row r="24325" ht="14.25" customHeight="1" s="192">
      <c r="W24325" s="235" t="n"/>
      <c r="X24325" s="235" t="n"/>
    </row>
    <row r="24326" ht="14.25" customHeight="1" s="192">
      <c r="W24326" s="239" t="n"/>
      <c r="X24326" s="239" t="n"/>
    </row>
    <row r="24327" ht="14.25" customHeight="1" s="192">
      <c r="W24327" s="235" t="n"/>
      <c r="X24327" s="235" t="n"/>
    </row>
    <row r="24328" ht="14.25" customHeight="1" s="192">
      <c r="W24328" s="239" t="n"/>
      <c r="X24328" s="239" t="n"/>
    </row>
    <row r="24330" ht="14.25" customHeight="1" s="192">
      <c r="W24330" s="235" t="n"/>
      <c r="X24330" s="235" t="n"/>
    </row>
    <row r="24331" ht="15" customHeight="1" s="192" thickBot="1">
      <c r="W24331" s="239" t="n"/>
      <c r="X24331" s="239" t="n"/>
    </row>
    <row r="24332" ht="15" customHeight="1" s="192" thickBot="1">
      <c r="W24332" s="45" t="n"/>
      <c r="X24332" s="45" t="n"/>
    </row>
    <row r="24333" ht="14.25" customHeight="1" s="192">
      <c r="W24333" s="228" t="n"/>
      <c r="X24333" s="228" t="n"/>
    </row>
    <row r="24334" ht="14.25" customHeight="1" s="192">
      <c r="W24334" s="228" t="n"/>
      <c r="X24334" s="228" t="n"/>
    </row>
    <row r="24335" ht="14.25" customHeight="1" s="192">
      <c r="W24335" s="231" t="n"/>
      <c r="X24335" s="231" t="n"/>
    </row>
    <row r="24336" ht="14.25" customHeight="1" s="192">
      <c r="W24336" s="33" t="n"/>
      <c r="X24336" s="33" t="n"/>
    </row>
    <row r="24337" ht="14.25" customHeight="1" s="192">
      <c r="W24337" s="231" t="n"/>
      <c r="X24337" s="231" t="n"/>
    </row>
    <row r="24338" ht="14.25" customHeight="1" s="192">
      <c r="W24338" s="33" t="n"/>
      <c r="X24338" s="33" t="n"/>
    </row>
    <row r="24340" ht="14.25" customHeight="1" s="192">
      <c r="W24340" s="231" t="n"/>
      <c r="X24340" s="231" t="n"/>
    </row>
    <row r="24341" ht="14.25" customHeight="1" s="192">
      <c r="W24341" s="235" t="n"/>
      <c r="X24341" s="235" t="n"/>
    </row>
    <row r="24342" ht="14.25" customHeight="1" s="192">
      <c r="W24342" s="228" t="n"/>
      <c r="X24342" s="228" t="n"/>
    </row>
    <row r="24343" ht="14.25" customHeight="1" s="192">
      <c r="W24343" s="235" t="n"/>
      <c r="X24343" s="235" t="n"/>
    </row>
    <row r="24344" ht="14.25" customHeight="1" s="192">
      <c r="W24344" s="235" t="n"/>
      <c r="X24344" s="235" t="n"/>
    </row>
    <row r="24345" ht="14.25" customHeight="1" s="192">
      <c r="W24345" s="235" t="n"/>
      <c r="X24345" s="235" t="n"/>
    </row>
    <row r="24346" ht="14.25" customHeight="1" s="192">
      <c r="W24346" s="239" t="n"/>
      <c r="X24346" s="239" t="n"/>
    </row>
    <row r="24347" ht="14.25" customHeight="1" s="192">
      <c r="W24347" s="239" t="n"/>
      <c r="X24347" s="239" t="n"/>
    </row>
    <row r="24348" ht="14.25" customHeight="1" s="192">
      <c r="W24348" s="239" t="n"/>
      <c r="X24348" s="239" t="n"/>
    </row>
    <row r="24349" ht="14.25" customHeight="1" s="192">
      <c r="W24349" s="235" t="n"/>
      <c r="X24349" s="235" t="n"/>
    </row>
    <row r="24350" ht="14.25" customHeight="1" s="192">
      <c r="W24350" s="235" t="n"/>
      <c r="X24350" s="235" t="n"/>
    </row>
    <row r="24351" ht="14.25" customHeight="1" s="192">
      <c r="W24351" s="235" t="n"/>
      <c r="X24351" s="235" t="n"/>
    </row>
    <row r="24352" ht="14.25" customHeight="1" s="192">
      <c r="W24352" s="239" t="n"/>
      <c r="X24352" s="239" t="n"/>
    </row>
    <row r="24353" ht="14.25" customHeight="1" s="192">
      <c r="W24353" s="239" t="n"/>
      <c r="X24353" s="239" t="n"/>
    </row>
    <row r="24354" ht="14.25" customHeight="1" s="192">
      <c r="W24354" s="235" t="n"/>
      <c r="X24354" s="235" t="n"/>
    </row>
    <row r="24355" ht="14.25" customHeight="1" s="192">
      <c r="W24355" s="235" t="n"/>
      <c r="X24355" s="235" t="n"/>
    </row>
    <row r="24356" ht="14.25" customHeight="1" s="192">
      <c r="W24356" s="239" t="n"/>
      <c r="X24356" s="239" t="n"/>
    </row>
    <row r="24357" ht="14.25" customHeight="1" s="192">
      <c r="W24357" s="235" t="n"/>
      <c r="X24357" s="235" t="n"/>
    </row>
    <row r="24358" ht="14.25" customHeight="1" s="192">
      <c r="W24358" s="239" t="n"/>
      <c r="X24358" s="239" t="n"/>
    </row>
    <row r="24360" ht="14.25" customHeight="1" s="192">
      <c r="W24360" s="235" t="n"/>
      <c r="X24360" s="235" t="n"/>
    </row>
    <row r="24361" ht="15" customHeight="1" s="192" thickBot="1">
      <c r="W24361" s="239" t="n"/>
      <c r="X24361" s="239" t="n"/>
    </row>
    <row r="24362" ht="15" customHeight="1" s="192" thickBot="1">
      <c r="W24362" s="45" t="n"/>
      <c r="X24362" s="45" t="n"/>
    </row>
    <row r="24363" ht="14.25" customHeight="1" s="192">
      <c r="W24363" s="228" t="n"/>
      <c r="X24363" s="228" t="n"/>
    </row>
    <row r="24364" ht="14.25" customHeight="1" s="192">
      <c r="W24364" s="228" t="n"/>
      <c r="X24364" s="228" t="n"/>
    </row>
    <row r="24365" ht="14.25" customHeight="1" s="192">
      <c r="W24365" s="231" t="n"/>
      <c r="X24365" s="231" t="n"/>
    </row>
    <row r="24366" ht="14.25" customHeight="1" s="192">
      <c r="W24366" s="33" t="n"/>
      <c r="X24366" s="33" t="n"/>
    </row>
    <row r="24367" ht="14.25" customHeight="1" s="192">
      <c r="W24367" s="231" t="n"/>
      <c r="X24367" s="231" t="n"/>
    </row>
    <row r="24368" ht="14.25" customHeight="1" s="192">
      <c r="W24368" s="33" t="n"/>
      <c r="X24368" s="33" t="n"/>
    </row>
    <row r="24370" ht="14.25" customHeight="1" s="192">
      <c r="W24370" s="231" t="n"/>
      <c r="X24370" s="231" t="n"/>
    </row>
    <row r="24371" ht="14.25" customHeight="1" s="192">
      <c r="W24371" s="235" t="n"/>
      <c r="X24371" s="235" t="n"/>
    </row>
    <row r="24372" ht="14.25" customHeight="1" s="192">
      <c r="W24372" s="228" t="n"/>
      <c r="X24372" s="228" t="n"/>
    </row>
    <row r="24373" ht="14.25" customHeight="1" s="192">
      <c r="W24373" s="235" t="n"/>
      <c r="X24373" s="235" t="n"/>
    </row>
    <row r="24374" ht="14.25" customHeight="1" s="192">
      <c r="W24374" s="235" t="n"/>
      <c r="X24374" s="235" t="n"/>
    </row>
    <row r="24375" ht="14.25" customHeight="1" s="192">
      <c r="W24375" s="235" t="n"/>
      <c r="X24375" s="235" t="n"/>
    </row>
    <row r="24376" ht="14.25" customHeight="1" s="192">
      <c r="W24376" s="239" t="n"/>
      <c r="X24376" s="239" t="n"/>
    </row>
    <row r="24377" ht="14.25" customHeight="1" s="192">
      <c r="W24377" s="239" t="n"/>
      <c r="X24377" s="239" t="n"/>
    </row>
    <row r="24378" ht="14.25" customHeight="1" s="192">
      <c r="W24378" s="239" t="n"/>
      <c r="X24378" s="239" t="n"/>
    </row>
    <row r="24379" ht="14.25" customHeight="1" s="192">
      <c r="W24379" s="235" t="n"/>
      <c r="X24379" s="235" t="n"/>
    </row>
    <row r="24380" ht="14.25" customHeight="1" s="192">
      <c r="W24380" s="235" t="n"/>
      <c r="X24380" s="235" t="n"/>
    </row>
    <row r="24381" ht="14.25" customHeight="1" s="192">
      <c r="W24381" s="235" t="n"/>
      <c r="X24381" s="235" t="n"/>
    </row>
    <row r="24382" ht="14.25" customHeight="1" s="192">
      <c r="W24382" s="239" t="n"/>
      <c r="X24382" s="239" t="n"/>
    </row>
    <row r="24383" ht="14.25" customHeight="1" s="192">
      <c r="W24383" s="239" t="n"/>
      <c r="X24383" s="239" t="n"/>
    </row>
    <row r="24384" ht="14.25" customHeight="1" s="192">
      <c r="W24384" s="235" t="n"/>
      <c r="X24384" s="235" t="n"/>
    </row>
    <row r="24385" ht="14.25" customHeight="1" s="192">
      <c r="W24385" s="235" t="n"/>
      <c r="X24385" s="235" t="n"/>
    </row>
    <row r="24386" ht="14.25" customHeight="1" s="192">
      <c r="W24386" s="239" t="n"/>
      <c r="X24386" s="239" t="n"/>
    </row>
    <row r="24387" ht="14.25" customHeight="1" s="192">
      <c r="W24387" s="235" t="n"/>
      <c r="X24387" s="235" t="n"/>
    </row>
    <row r="24388" ht="14.25" customHeight="1" s="192">
      <c r="W24388" s="239" t="n"/>
      <c r="X24388" s="239" t="n"/>
    </row>
    <row r="24390" ht="14.25" customHeight="1" s="192">
      <c r="W24390" s="235" t="n"/>
      <c r="X24390" s="235" t="n"/>
    </row>
    <row r="24391" ht="15" customHeight="1" s="192" thickBot="1">
      <c r="W24391" s="239" t="n"/>
      <c r="X24391" s="239" t="n"/>
    </row>
    <row r="24392" ht="15" customHeight="1" s="192" thickBot="1">
      <c r="W24392" s="45" t="n"/>
      <c r="X24392" s="45" t="n"/>
    </row>
    <row r="24393" ht="14.25" customHeight="1" s="192">
      <c r="W24393" s="228" t="n"/>
      <c r="X24393" s="228" t="n"/>
    </row>
    <row r="24394" ht="14.25" customHeight="1" s="192">
      <c r="W24394" s="228" t="n"/>
      <c r="X24394" s="228" t="n"/>
    </row>
    <row r="24395" ht="14.25" customHeight="1" s="192">
      <c r="W24395" s="231" t="n"/>
      <c r="X24395" s="231" t="n"/>
    </row>
    <row r="24396" ht="14.25" customHeight="1" s="192">
      <c r="W24396" s="33" t="n"/>
      <c r="X24396" s="33" t="n"/>
    </row>
    <row r="24397" ht="14.25" customHeight="1" s="192">
      <c r="W24397" s="231" t="n"/>
      <c r="X24397" s="231" t="n"/>
    </row>
    <row r="24398" ht="14.25" customHeight="1" s="192">
      <c r="W24398" s="33" t="n"/>
      <c r="X24398" s="33" t="n"/>
    </row>
    <row r="24400" ht="14.25" customHeight="1" s="192">
      <c r="W24400" s="231" t="n"/>
      <c r="X24400" s="231" t="n"/>
    </row>
    <row r="24401" ht="14.25" customHeight="1" s="192">
      <c r="W24401" s="235" t="n"/>
      <c r="X24401" s="235" t="n"/>
    </row>
    <row r="24402" ht="14.25" customHeight="1" s="192">
      <c r="W24402" s="228" t="n"/>
      <c r="X24402" s="228" t="n"/>
    </row>
    <row r="24403" ht="14.25" customHeight="1" s="192">
      <c r="W24403" s="235" t="n"/>
      <c r="X24403" s="235" t="n"/>
    </row>
    <row r="24404" ht="14.25" customHeight="1" s="192">
      <c r="W24404" s="235" t="n"/>
      <c r="X24404" s="235" t="n"/>
    </row>
    <row r="24405" ht="14.25" customHeight="1" s="192">
      <c r="W24405" s="235" t="n"/>
      <c r="X24405" s="235" t="n"/>
    </row>
    <row r="24406" ht="14.25" customHeight="1" s="192">
      <c r="W24406" s="239" t="n"/>
      <c r="X24406" s="239" t="n"/>
    </row>
    <row r="24407" ht="14.25" customHeight="1" s="192">
      <c r="W24407" s="239" t="n"/>
      <c r="X24407" s="239" t="n"/>
    </row>
    <row r="24408" ht="14.25" customHeight="1" s="192">
      <c r="W24408" s="239" t="n"/>
      <c r="X24408" s="239" t="n"/>
    </row>
    <row r="24409" ht="14.25" customHeight="1" s="192">
      <c r="W24409" s="235" t="n"/>
      <c r="X24409" s="235" t="n"/>
    </row>
    <row r="24410" ht="14.25" customHeight="1" s="192">
      <c r="W24410" s="235" t="n"/>
      <c r="X24410" s="235" t="n"/>
    </row>
    <row r="24411" ht="14.25" customHeight="1" s="192">
      <c r="W24411" s="235" t="n"/>
      <c r="X24411" s="235" t="n"/>
    </row>
    <row r="24412" ht="14.25" customHeight="1" s="192">
      <c r="W24412" s="239" t="n"/>
      <c r="X24412" s="239" t="n"/>
    </row>
    <row r="24413" ht="14.25" customHeight="1" s="192">
      <c r="W24413" s="239" t="n"/>
      <c r="X24413" s="239" t="n"/>
    </row>
    <row r="24414" ht="14.25" customHeight="1" s="192">
      <c r="W24414" s="235" t="n"/>
      <c r="X24414" s="235" t="n"/>
    </row>
    <row r="24415" ht="14.25" customHeight="1" s="192">
      <c r="W24415" s="235" t="n"/>
      <c r="X24415" s="235" t="n"/>
    </row>
    <row r="24416" ht="14.25" customHeight="1" s="192">
      <c r="W24416" s="239" t="n"/>
      <c r="X24416" s="239" t="n"/>
    </row>
    <row r="24417" ht="14.25" customHeight="1" s="192">
      <c r="W24417" s="235" t="n"/>
      <c r="X24417" s="235" t="n"/>
    </row>
    <row r="24418" ht="14.25" customHeight="1" s="192">
      <c r="W24418" s="239" t="n"/>
      <c r="X24418" s="239" t="n"/>
    </row>
    <row r="24420" ht="14.25" customHeight="1" s="192">
      <c r="W24420" s="235" t="n"/>
      <c r="X24420" s="235" t="n"/>
    </row>
    <row r="24421" ht="15" customHeight="1" s="192" thickBot="1">
      <c r="W24421" s="239" t="n"/>
      <c r="X24421" s="239" t="n"/>
    </row>
    <row r="24422" ht="15" customHeight="1" s="192" thickBot="1">
      <c r="W24422" s="45" t="n"/>
      <c r="X24422" s="45" t="n"/>
    </row>
    <row r="24423" ht="14.25" customHeight="1" s="192">
      <c r="W24423" s="228" t="n"/>
      <c r="X24423" s="228" t="n"/>
    </row>
    <row r="24424" ht="14.25" customHeight="1" s="192">
      <c r="W24424" s="228" t="n"/>
      <c r="X24424" s="228" t="n"/>
    </row>
    <row r="24425" ht="14.25" customHeight="1" s="192">
      <c r="W24425" s="231" t="n"/>
      <c r="X24425" s="231" t="n"/>
    </row>
    <row r="24426" ht="14.25" customHeight="1" s="192">
      <c r="W24426" s="33" t="n"/>
      <c r="X24426" s="33" t="n"/>
    </row>
    <row r="24427" ht="14.25" customHeight="1" s="192">
      <c r="W24427" s="231" t="n"/>
      <c r="X24427" s="231" t="n"/>
    </row>
    <row r="24428" ht="14.25" customHeight="1" s="192">
      <c r="W24428" s="33" t="n"/>
      <c r="X24428" s="33" t="n"/>
    </row>
    <row r="24430" ht="14.25" customHeight="1" s="192">
      <c r="W24430" s="231" t="n"/>
      <c r="X24430" s="231" t="n"/>
    </row>
    <row r="24431" ht="14.25" customHeight="1" s="192">
      <c r="W24431" s="235" t="n"/>
      <c r="X24431" s="235" t="n"/>
    </row>
    <row r="24432" ht="14.25" customHeight="1" s="192">
      <c r="W24432" s="228" t="n"/>
      <c r="X24432" s="228" t="n"/>
    </row>
    <row r="24433" ht="14.25" customHeight="1" s="192">
      <c r="W24433" s="235" t="n"/>
      <c r="X24433" s="235" t="n"/>
    </row>
    <row r="24434" ht="14.25" customHeight="1" s="192">
      <c r="W24434" s="235" t="n"/>
      <c r="X24434" s="235" t="n"/>
    </row>
    <row r="24435" ht="14.25" customHeight="1" s="192">
      <c r="W24435" s="235" t="n"/>
      <c r="X24435" s="235" t="n"/>
    </row>
    <row r="24436" ht="14.25" customHeight="1" s="192">
      <c r="W24436" s="239" t="n"/>
      <c r="X24436" s="239" t="n"/>
    </row>
    <row r="24437" ht="14.25" customHeight="1" s="192">
      <c r="W24437" s="239" t="n"/>
      <c r="X24437" s="239" t="n"/>
    </row>
    <row r="24438" ht="14.25" customHeight="1" s="192">
      <c r="W24438" s="239" t="n"/>
      <c r="X24438" s="239" t="n"/>
    </row>
    <row r="24439" ht="14.25" customHeight="1" s="192">
      <c r="W24439" s="235" t="n"/>
      <c r="X24439" s="235" t="n"/>
    </row>
    <row r="24440" ht="14.25" customHeight="1" s="192">
      <c r="W24440" s="235" t="n"/>
      <c r="X24440" s="235" t="n"/>
    </row>
    <row r="24441" ht="14.25" customHeight="1" s="192">
      <c r="W24441" s="235" t="n"/>
      <c r="X24441" s="235" t="n"/>
    </row>
    <row r="24442" ht="14.25" customHeight="1" s="192">
      <c r="W24442" s="239" t="n"/>
      <c r="X24442" s="239" t="n"/>
    </row>
    <row r="24443" ht="14.25" customHeight="1" s="192">
      <c r="W24443" s="239" t="n"/>
      <c r="X24443" s="239" t="n"/>
    </row>
    <row r="24444" ht="14.25" customHeight="1" s="192">
      <c r="W24444" s="235" t="n"/>
      <c r="X24444" s="235" t="n"/>
    </row>
    <row r="24445" ht="14.25" customHeight="1" s="192">
      <c r="W24445" s="235" t="n"/>
      <c r="X24445" s="235" t="n"/>
    </row>
    <row r="24446" ht="14.25" customHeight="1" s="192">
      <c r="W24446" s="239" t="n"/>
      <c r="X24446" s="239" t="n"/>
    </row>
    <row r="24447" ht="14.25" customHeight="1" s="192">
      <c r="W24447" s="235" t="n"/>
      <c r="X24447" s="235" t="n"/>
    </row>
    <row r="24448" ht="14.25" customHeight="1" s="192">
      <c r="W24448" s="239" t="n"/>
      <c r="X24448" s="239" t="n"/>
    </row>
    <row r="24450" ht="14.25" customHeight="1" s="192">
      <c r="W24450" s="235" t="n"/>
      <c r="X24450" s="235" t="n"/>
    </row>
    <row r="24451" ht="15" customHeight="1" s="192" thickBot="1">
      <c r="W24451" s="239" t="n"/>
      <c r="X24451" s="239" t="n"/>
    </row>
    <row r="24452" ht="15" customHeight="1" s="192" thickBot="1">
      <c r="W24452" s="45" t="n"/>
      <c r="X24452" s="45" t="n"/>
    </row>
    <row r="24453" ht="14.25" customHeight="1" s="192">
      <c r="W24453" s="228" t="n"/>
      <c r="X24453" s="228" t="n"/>
    </row>
    <row r="24454" ht="14.25" customHeight="1" s="192">
      <c r="W24454" s="228" t="n"/>
      <c r="X24454" s="228" t="n"/>
    </row>
    <row r="24455" ht="14.25" customHeight="1" s="192">
      <c r="W24455" s="231" t="n"/>
      <c r="X24455" s="231" t="n"/>
    </row>
    <row r="24456" ht="14.25" customHeight="1" s="192">
      <c r="W24456" s="33" t="n"/>
      <c r="X24456" s="33" t="n"/>
    </row>
    <row r="24457" ht="14.25" customHeight="1" s="192">
      <c r="W24457" s="231" t="n"/>
      <c r="X24457" s="231" t="n"/>
    </row>
    <row r="24458" ht="14.25" customHeight="1" s="192">
      <c r="W24458" s="33" t="n"/>
      <c r="X24458" s="33" t="n"/>
    </row>
    <row r="24460" ht="14.25" customHeight="1" s="192">
      <c r="W24460" s="231" t="n"/>
      <c r="X24460" s="231" t="n"/>
    </row>
    <row r="24461" ht="14.25" customHeight="1" s="192">
      <c r="W24461" s="235" t="n"/>
      <c r="X24461" s="235" t="n"/>
    </row>
    <row r="24462" ht="14.25" customHeight="1" s="192">
      <c r="W24462" s="228" t="n"/>
      <c r="X24462" s="228" t="n"/>
    </row>
    <row r="24463" ht="14.25" customHeight="1" s="192">
      <c r="W24463" s="235" t="n"/>
      <c r="X24463" s="235" t="n"/>
    </row>
    <row r="24464" ht="14.25" customHeight="1" s="192">
      <c r="W24464" s="235" t="n"/>
      <c r="X24464" s="235" t="n"/>
    </row>
    <row r="24465" ht="14.25" customHeight="1" s="192">
      <c r="W24465" s="235" t="n"/>
      <c r="X24465" s="235" t="n"/>
    </row>
    <row r="24466" ht="14.25" customHeight="1" s="192">
      <c r="W24466" s="239" t="n"/>
      <c r="X24466" s="239" t="n"/>
    </row>
    <row r="24467" ht="14.25" customHeight="1" s="192">
      <c r="W24467" s="239" t="n"/>
      <c r="X24467" s="239" t="n"/>
    </row>
    <row r="24468" ht="14.25" customHeight="1" s="192">
      <c r="W24468" s="239" t="n"/>
      <c r="X24468" s="239" t="n"/>
    </row>
    <row r="24469" ht="14.25" customHeight="1" s="192">
      <c r="W24469" s="235" t="n"/>
      <c r="X24469" s="235" t="n"/>
    </row>
    <row r="24470" ht="14.25" customHeight="1" s="192">
      <c r="W24470" s="235" t="n"/>
      <c r="X24470" s="235" t="n"/>
    </row>
    <row r="24471" ht="14.25" customHeight="1" s="192">
      <c r="W24471" s="235" t="n"/>
      <c r="X24471" s="235" t="n"/>
    </row>
    <row r="24472" ht="14.25" customHeight="1" s="192">
      <c r="W24472" s="239" t="n"/>
      <c r="X24472" s="239" t="n"/>
    </row>
    <row r="24473" ht="14.25" customHeight="1" s="192">
      <c r="W24473" s="239" t="n"/>
      <c r="X24473" s="239" t="n"/>
    </row>
    <row r="24474" ht="14.25" customHeight="1" s="192">
      <c r="W24474" s="235" t="n"/>
      <c r="X24474" s="235" t="n"/>
    </row>
    <row r="24475" ht="14.25" customHeight="1" s="192">
      <c r="W24475" s="235" t="n"/>
      <c r="X24475" s="235" t="n"/>
    </row>
    <row r="24476" ht="14.25" customHeight="1" s="192">
      <c r="W24476" s="239" t="n"/>
      <c r="X24476" s="239" t="n"/>
    </row>
    <row r="24477" ht="14.25" customHeight="1" s="192">
      <c r="W24477" s="235" t="n"/>
      <c r="X24477" s="235" t="n"/>
    </row>
    <row r="24478" ht="14.25" customHeight="1" s="192">
      <c r="W24478" s="239" t="n"/>
      <c r="X24478" s="239" t="n"/>
    </row>
    <row r="24480" ht="14.25" customHeight="1" s="192">
      <c r="W24480" s="235" t="n"/>
      <c r="X24480" s="235" t="n"/>
    </row>
    <row r="24481" ht="15" customHeight="1" s="192" thickBot="1">
      <c r="W24481" s="239" t="n"/>
      <c r="X24481" s="239" t="n"/>
    </row>
    <row r="24482" ht="15" customHeight="1" s="192" thickBot="1">
      <c r="W24482" s="45" t="n"/>
      <c r="X24482" s="45" t="n"/>
    </row>
    <row r="24483" ht="14.25" customHeight="1" s="192">
      <c r="W24483" s="228" t="n"/>
      <c r="X24483" s="228" t="n"/>
    </row>
    <row r="24484" ht="14.25" customHeight="1" s="192">
      <c r="W24484" s="228" t="n"/>
      <c r="X24484" s="228" t="n"/>
    </row>
    <row r="24485" ht="14.25" customHeight="1" s="192">
      <c r="W24485" s="231" t="n"/>
      <c r="X24485" s="231" t="n"/>
    </row>
    <row r="24486" ht="14.25" customHeight="1" s="192">
      <c r="W24486" s="33" t="n"/>
      <c r="X24486" s="33" t="n"/>
    </row>
    <row r="24487" ht="14.25" customHeight="1" s="192">
      <c r="W24487" s="231" t="n"/>
      <c r="X24487" s="231" t="n"/>
    </row>
    <row r="24488" ht="14.25" customHeight="1" s="192">
      <c r="W24488" s="33" t="n"/>
      <c r="X24488" s="33" t="n"/>
    </row>
    <row r="24490" ht="14.25" customHeight="1" s="192">
      <c r="W24490" s="231" t="n"/>
      <c r="X24490" s="231" t="n"/>
    </row>
    <row r="24491" ht="14.25" customHeight="1" s="192">
      <c r="W24491" s="235" t="n"/>
      <c r="X24491" s="235" t="n"/>
    </row>
    <row r="24492" ht="14.25" customHeight="1" s="192">
      <c r="W24492" s="228" t="n"/>
      <c r="X24492" s="228" t="n"/>
    </row>
    <row r="24493" ht="14.25" customHeight="1" s="192">
      <c r="W24493" s="235" t="n"/>
      <c r="X24493" s="235" t="n"/>
    </row>
    <row r="24494" ht="14.25" customHeight="1" s="192">
      <c r="W24494" s="235" t="n"/>
      <c r="X24494" s="235" t="n"/>
    </row>
    <row r="24495" ht="14.25" customHeight="1" s="192">
      <c r="W24495" s="235" t="n"/>
      <c r="X24495" s="235" t="n"/>
    </row>
    <row r="24496" ht="14.25" customHeight="1" s="192">
      <c r="W24496" s="239" t="n"/>
      <c r="X24496" s="239" t="n"/>
    </row>
    <row r="24497" ht="14.25" customHeight="1" s="192">
      <c r="W24497" s="239" t="n"/>
      <c r="X24497" s="239" t="n"/>
    </row>
    <row r="24498" ht="14.25" customHeight="1" s="192">
      <c r="W24498" s="239" t="n"/>
      <c r="X24498" s="239" t="n"/>
    </row>
    <row r="24499" ht="14.25" customHeight="1" s="192">
      <c r="W24499" s="235" t="n"/>
      <c r="X24499" s="235" t="n"/>
    </row>
    <row r="24500" ht="14.25" customHeight="1" s="192">
      <c r="W24500" s="235" t="n"/>
      <c r="X24500" s="235" t="n"/>
    </row>
    <row r="24501" ht="14.25" customHeight="1" s="192">
      <c r="W24501" s="235" t="n"/>
      <c r="X24501" s="235" t="n"/>
    </row>
    <row r="24502" ht="14.25" customHeight="1" s="192">
      <c r="W24502" s="239" t="n"/>
      <c r="X24502" s="239" t="n"/>
    </row>
    <row r="24503" ht="14.25" customHeight="1" s="192">
      <c r="W24503" s="239" t="n"/>
      <c r="X24503" s="239" t="n"/>
    </row>
    <row r="24504" ht="14.25" customHeight="1" s="192">
      <c r="W24504" s="235" t="n"/>
      <c r="X24504" s="235" t="n"/>
    </row>
    <row r="24505" ht="14.25" customHeight="1" s="192">
      <c r="W24505" s="235" t="n"/>
      <c r="X24505" s="235" t="n"/>
    </row>
    <row r="24506" ht="14.25" customHeight="1" s="192">
      <c r="W24506" s="239" t="n"/>
      <c r="X24506" s="239" t="n"/>
    </row>
    <row r="24507" ht="14.25" customHeight="1" s="192">
      <c r="W24507" s="235" t="n"/>
      <c r="X24507" s="235" t="n"/>
    </row>
    <row r="24508" ht="14.25" customHeight="1" s="192">
      <c r="W24508" s="239" t="n"/>
      <c r="X24508" s="239" t="n"/>
    </row>
    <row r="24510" ht="14.25" customHeight="1" s="192">
      <c r="W24510" s="235" t="n"/>
      <c r="X24510" s="235" t="n"/>
    </row>
    <row r="24511" ht="15" customHeight="1" s="192" thickBot="1">
      <c r="W24511" s="239" t="n"/>
      <c r="X24511" s="239" t="n"/>
    </row>
    <row r="24512" ht="15" customHeight="1" s="192" thickBot="1">
      <c r="W24512" s="45" t="n"/>
      <c r="X24512" s="45" t="n"/>
    </row>
    <row r="24513" ht="14.25" customHeight="1" s="192">
      <c r="W24513" s="228" t="n"/>
      <c r="X24513" s="228" t="n"/>
    </row>
    <row r="24514" ht="14.25" customHeight="1" s="192">
      <c r="W24514" s="228" t="n"/>
      <c r="X24514" s="228" t="n"/>
    </row>
    <row r="24515" ht="14.25" customHeight="1" s="192">
      <c r="W24515" s="231" t="n"/>
      <c r="X24515" s="231" t="n"/>
    </row>
    <row r="24516" ht="14.25" customHeight="1" s="192">
      <c r="W24516" s="33" t="n"/>
      <c r="X24516" s="33" t="n"/>
    </row>
    <row r="24517" ht="14.25" customHeight="1" s="192">
      <c r="W24517" s="231" t="n"/>
      <c r="X24517" s="231" t="n"/>
    </row>
    <row r="24518" ht="14.25" customHeight="1" s="192">
      <c r="W24518" s="33" t="n"/>
      <c r="X24518" s="33" t="n"/>
    </row>
    <row r="24520" ht="14.25" customHeight="1" s="192">
      <c r="W24520" s="231" t="n"/>
      <c r="X24520" s="231" t="n"/>
    </row>
    <row r="24521" ht="14.25" customHeight="1" s="192">
      <c r="W24521" s="235" t="n"/>
      <c r="X24521" s="235" t="n"/>
    </row>
    <row r="24522" ht="14.25" customHeight="1" s="192">
      <c r="W24522" s="228" t="n"/>
      <c r="X24522" s="228" t="n"/>
    </row>
    <row r="24523" ht="14.25" customHeight="1" s="192">
      <c r="W24523" s="235" t="n"/>
      <c r="X24523" s="235" t="n"/>
    </row>
    <row r="24524" ht="14.25" customHeight="1" s="192">
      <c r="W24524" s="235" t="n"/>
      <c r="X24524" s="235" t="n"/>
    </row>
    <row r="24525" ht="14.25" customHeight="1" s="192">
      <c r="W24525" s="235" t="n"/>
      <c r="X24525" s="235" t="n"/>
    </row>
    <row r="24526" ht="14.25" customHeight="1" s="192">
      <c r="W24526" s="239" t="n"/>
      <c r="X24526" s="239" t="n"/>
    </row>
    <row r="24527" ht="14.25" customHeight="1" s="192">
      <c r="W24527" s="239" t="n"/>
      <c r="X24527" s="239" t="n"/>
    </row>
    <row r="24528" ht="14.25" customHeight="1" s="192">
      <c r="W24528" s="239" t="n"/>
      <c r="X24528" s="239" t="n"/>
    </row>
    <row r="24529" ht="14.25" customHeight="1" s="192">
      <c r="W24529" s="235" t="n"/>
      <c r="X24529" s="235" t="n"/>
    </row>
    <row r="24530" ht="14.25" customHeight="1" s="192">
      <c r="W24530" s="235" t="n"/>
      <c r="X24530" s="235" t="n"/>
    </row>
    <row r="24531" ht="14.25" customHeight="1" s="192">
      <c r="W24531" s="235" t="n"/>
      <c r="X24531" s="235" t="n"/>
    </row>
    <row r="24532" ht="14.25" customHeight="1" s="192">
      <c r="W24532" s="239" t="n"/>
      <c r="X24532" s="239" t="n"/>
    </row>
    <row r="24533" ht="14.25" customHeight="1" s="192">
      <c r="W24533" s="239" t="n"/>
      <c r="X24533" s="239" t="n"/>
    </row>
    <row r="24534" ht="14.25" customHeight="1" s="192">
      <c r="W24534" s="235" t="n"/>
      <c r="X24534" s="235" t="n"/>
    </row>
    <row r="24535" ht="14.25" customHeight="1" s="192">
      <c r="W24535" s="235" t="n"/>
      <c r="X24535" s="235" t="n"/>
    </row>
    <row r="24536" ht="14.25" customHeight="1" s="192">
      <c r="W24536" s="239" t="n"/>
      <c r="X24536" s="239" t="n"/>
    </row>
    <row r="24537" ht="14.25" customHeight="1" s="192">
      <c r="W24537" s="235" t="n"/>
      <c r="X24537" s="235" t="n"/>
    </row>
    <row r="24538" ht="14.25" customHeight="1" s="192">
      <c r="W24538" s="239" t="n"/>
      <c r="X24538" s="239" t="n"/>
    </row>
    <row r="24540" ht="14.25" customHeight="1" s="192">
      <c r="W24540" s="235" t="n"/>
      <c r="X24540" s="235" t="n"/>
    </row>
    <row r="24541" ht="15" customHeight="1" s="192" thickBot="1">
      <c r="W24541" s="239" t="n"/>
      <c r="X24541" s="239" t="n"/>
    </row>
    <row r="24542" ht="15" customHeight="1" s="192" thickBot="1">
      <c r="W24542" s="45" t="n"/>
      <c r="X24542" s="45" t="n"/>
    </row>
    <row r="24543" ht="14.25" customHeight="1" s="192">
      <c r="W24543" s="228" t="n"/>
      <c r="X24543" s="228" t="n"/>
    </row>
    <row r="24544" ht="14.25" customHeight="1" s="192">
      <c r="W24544" s="228" t="n"/>
      <c r="X24544" s="228" t="n"/>
    </row>
    <row r="24545" ht="14.25" customHeight="1" s="192">
      <c r="W24545" s="231" t="n"/>
      <c r="X24545" s="231" t="n"/>
    </row>
    <row r="24546" ht="14.25" customHeight="1" s="192">
      <c r="W24546" s="33" t="n"/>
      <c r="X24546" s="33" t="n"/>
    </row>
    <row r="24547" ht="14.25" customHeight="1" s="192">
      <c r="W24547" s="231" t="n"/>
      <c r="X24547" s="231" t="n"/>
    </row>
    <row r="24548" ht="14.25" customHeight="1" s="192">
      <c r="W24548" s="33" t="n"/>
      <c r="X24548" s="33" t="n"/>
    </row>
    <row r="24550" ht="14.25" customHeight="1" s="192">
      <c r="W24550" s="231" t="n"/>
      <c r="X24550" s="231" t="n"/>
    </row>
    <row r="24551" ht="14.25" customHeight="1" s="192">
      <c r="W24551" s="235" t="n"/>
      <c r="X24551" s="235" t="n"/>
    </row>
    <row r="24552" ht="14.25" customHeight="1" s="192">
      <c r="W24552" s="228" t="n"/>
      <c r="X24552" s="228" t="n"/>
    </row>
    <row r="24553" ht="14.25" customHeight="1" s="192">
      <c r="W24553" s="235" t="n"/>
      <c r="X24553" s="235" t="n"/>
    </row>
    <row r="24554" ht="14.25" customHeight="1" s="192">
      <c r="W24554" s="235" t="n"/>
      <c r="X24554" s="235" t="n"/>
    </row>
    <row r="24555" ht="14.25" customHeight="1" s="192">
      <c r="W24555" s="235" t="n"/>
      <c r="X24555" s="235" t="n"/>
    </row>
    <row r="24556" ht="14.25" customHeight="1" s="192">
      <c r="W24556" s="239" t="n"/>
      <c r="X24556" s="239" t="n"/>
    </row>
    <row r="24557" ht="14.25" customHeight="1" s="192">
      <c r="W24557" s="239" t="n"/>
      <c r="X24557" s="239" t="n"/>
    </row>
    <row r="24558" ht="14.25" customHeight="1" s="192">
      <c r="W24558" s="239" t="n"/>
      <c r="X24558" s="239" t="n"/>
    </row>
    <row r="24559" ht="14.25" customHeight="1" s="192">
      <c r="W24559" s="235" t="n"/>
      <c r="X24559" s="235" t="n"/>
    </row>
    <row r="24560" ht="14.25" customHeight="1" s="192">
      <c r="W24560" s="235" t="n"/>
      <c r="X24560" s="235" t="n"/>
    </row>
    <row r="24561" ht="14.25" customHeight="1" s="192">
      <c r="W24561" s="235" t="n"/>
      <c r="X24561" s="235" t="n"/>
    </row>
    <row r="24562" ht="14.25" customHeight="1" s="192">
      <c r="W24562" s="239" t="n"/>
      <c r="X24562" s="239" t="n"/>
    </row>
    <row r="24563" ht="14.25" customHeight="1" s="192">
      <c r="W24563" s="239" t="n"/>
      <c r="X24563" s="239" t="n"/>
    </row>
    <row r="24564" ht="14.25" customHeight="1" s="192">
      <c r="W24564" s="235" t="n"/>
      <c r="X24564" s="235" t="n"/>
    </row>
    <row r="24565" ht="14.25" customHeight="1" s="192">
      <c r="W24565" s="235" t="n"/>
      <c r="X24565" s="235" t="n"/>
    </row>
    <row r="24566" ht="14.25" customHeight="1" s="192">
      <c r="W24566" s="239" t="n"/>
      <c r="X24566" s="239" t="n"/>
    </row>
    <row r="24567" ht="14.25" customHeight="1" s="192">
      <c r="W24567" s="235" t="n"/>
      <c r="X24567" s="235" t="n"/>
    </row>
    <row r="24568" ht="14.25" customHeight="1" s="192">
      <c r="W24568" s="239" t="n"/>
      <c r="X24568" s="239" t="n"/>
    </row>
    <row r="24570" ht="14.25" customHeight="1" s="192">
      <c r="W24570" s="235" t="n"/>
      <c r="X24570" s="235" t="n"/>
    </row>
    <row r="24571" ht="15" customHeight="1" s="192" thickBot="1">
      <c r="W24571" s="239" t="n"/>
      <c r="X24571" s="239" t="n"/>
    </row>
    <row r="24572" ht="15" customHeight="1" s="192" thickBot="1">
      <c r="W24572" s="45" t="n"/>
      <c r="X24572" s="45" t="n"/>
    </row>
    <row r="24573" ht="14.25" customHeight="1" s="192">
      <c r="W24573" s="228" t="n"/>
      <c r="X24573" s="228" t="n"/>
    </row>
    <row r="24574" ht="14.25" customHeight="1" s="192">
      <c r="W24574" s="228" t="n"/>
      <c r="X24574" s="228" t="n"/>
    </row>
    <row r="24575" ht="14.25" customHeight="1" s="192">
      <c r="W24575" s="231" t="n"/>
      <c r="X24575" s="231" t="n"/>
    </row>
    <row r="24576" ht="14.25" customHeight="1" s="192">
      <c r="W24576" s="33" t="n"/>
      <c r="X24576" s="33" t="n"/>
    </row>
    <row r="24577" ht="14.25" customHeight="1" s="192">
      <c r="W24577" s="231" t="n"/>
      <c r="X24577" s="231" t="n"/>
    </row>
    <row r="24578" ht="14.25" customHeight="1" s="192">
      <c r="W24578" s="33" t="n"/>
      <c r="X24578" s="33" t="n"/>
    </row>
    <row r="24580" ht="14.25" customHeight="1" s="192">
      <c r="W24580" s="231" t="n"/>
      <c r="X24580" s="231" t="n"/>
    </row>
    <row r="24581" ht="14.25" customHeight="1" s="192">
      <c r="W24581" s="235" t="n"/>
      <c r="X24581" s="235" t="n"/>
    </row>
    <row r="24582" ht="14.25" customHeight="1" s="192">
      <c r="W24582" s="228" t="n"/>
      <c r="X24582" s="228" t="n"/>
    </row>
    <row r="24583" ht="14.25" customHeight="1" s="192">
      <c r="W24583" s="235" t="n"/>
      <c r="X24583" s="235" t="n"/>
    </row>
    <row r="24584" ht="14.25" customHeight="1" s="192">
      <c r="W24584" s="235" t="n"/>
      <c r="X24584" s="235" t="n"/>
    </row>
    <row r="24585" ht="14.25" customHeight="1" s="192">
      <c r="W24585" s="235" t="n"/>
      <c r="X24585" s="235" t="n"/>
    </row>
    <row r="24586" ht="14.25" customHeight="1" s="192">
      <c r="W24586" s="239" t="n"/>
      <c r="X24586" s="239" t="n"/>
    </row>
    <row r="24587" ht="14.25" customHeight="1" s="192">
      <c r="W24587" s="239" t="n"/>
      <c r="X24587" s="239" t="n"/>
    </row>
    <row r="24588" ht="14.25" customHeight="1" s="192">
      <c r="W24588" s="239" t="n"/>
      <c r="X24588" s="239" t="n"/>
    </row>
    <row r="24589" ht="14.25" customHeight="1" s="192">
      <c r="W24589" s="235" t="n"/>
      <c r="X24589" s="235" t="n"/>
    </row>
    <row r="24590" ht="14.25" customHeight="1" s="192">
      <c r="W24590" s="235" t="n"/>
      <c r="X24590" s="235" t="n"/>
    </row>
    <row r="24591" ht="14.25" customHeight="1" s="192">
      <c r="W24591" s="235" t="n"/>
      <c r="X24591" s="235" t="n"/>
    </row>
    <row r="24592" ht="14.25" customHeight="1" s="192">
      <c r="W24592" s="239" t="n"/>
      <c r="X24592" s="239" t="n"/>
    </row>
    <row r="24593" ht="14.25" customHeight="1" s="192">
      <c r="W24593" s="239" t="n"/>
      <c r="X24593" s="239" t="n"/>
    </row>
    <row r="24594" ht="14.25" customHeight="1" s="192">
      <c r="W24594" s="235" t="n"/>
      <c r="X24594" s="235" t="n"/>
    </row>
    <row r="24595" ht="14.25" customHeight="1" s="192">
      <c r="W24595" s="235" t="n"/>
      <c r="X24595" s="235" t="n"/>
    </row>
    <row r="24596" ht="14.25" customHeight="1" s="192">
      <c r="W24596" s="239" t="n"/>
      <c r="X24596" s="239" t="n"/>
    </row>
    <row r="24597" ht="14.25" customHeight="1" s="192">
      <c r="W24597" s="235" t="n"/>
      <c r="X24597" s="235" t="n"/>
    </row>
    <row r="24598" ht="14.25" customHeight="1" s="192">
      <c r="W24598" s="239" t="n"/>
      <c r="X24598" s="239" t="n"/>
    </row>
    <row r="24600" ht="14.25" customHeight="1" s="192">
      <c r="W24600" s="235" t="n"/>
      <c r="X24600" s="235" t="n"/>
    </row>
    <row r="24601" ht="15" customHeight="1" s="192" thickBot="1">
      <c r="W24601" s="239" t="n"/>
      <c r="X24601" s="239" t="n"/>
    </row>
    <row r="24602" ht="15" customHeight="1" s="192" thickBot="1">
      <c r="W24602" s="45" t="n"/>
      <c r="X24602" s="45" t="n"/>
    </row>
    <row r="24603" ht="14.25" customHeight="1" s="192">
      <c r="W24603" s="228" t="n"/>
      <c r="X24603" s="228" t="n"/>
    </row>
    <row r="24604" ht="14.25" customHeight="1" s="192">
      <c r="W24604" s="228" t="n"/>
      <c r="X24604" s="228" t="n"/>
    </row>
    <row r="24605" ht="14.25" customHeight="1" s="192">
      <c r="W24605" s="231" t="n"/>
      <c r="X24605" s="231" t="n"/>
    </row>
    <row r="24606" ht="14.25" customHeight="1" s="192">
      <c r="W24606" s="33" t="n"/>
      <c r="X24606" s="33" t="n"/>
    </row>
    <row r="24607" ht="14.25" customHeight="1" s="192">
      <c r="W24607" s="231" t="n"/>
      <c r="X24607" s="231" t="n"/>
    </row>
    <row r="24608" ht="14.25" customHeight="1" s="192">
      <c r="W24608" s="33" t="n"/>
      <c r="X24608" s="33" t="n"/>
    </row>
    <row r="24610" ht="14.25" customHeight="1" s="192">
      <c r="W24610" s="231" t="n"/>
      <c r="X24610" s="231" t="n"/>
    </row>
    <row r="24611" ht="14.25" customHeight="1" s="192">
      <c r="W24611" s="235" t="n"/>
      <c r="X24611" s="235" t="n"/>
    </row>
    <row r="24612" ht="14.25" customHeight="1" s="192">
      <c r="W24612" s="228" t="n"/>
      <c r="X24612" s="228" t="n"/>
    </row>
    <row r="24613" ht="14.25" customHeight="1" s="192">
      <c r="W24613" s="235" t="n"/>
      <c r="X24613" s="235" t="n"/>
    </row>
    <row r="24614" ht="14.25" customHeight="1" s="192">
      <c r="W24614" s="235" t="n"/>
      <c r="X24614" s="235" t="n"/>
    </row>
    <row r="24615" ht="14.25" customHeight="1" s="192">
      <c r="W24615" s="235" t="n"/>
      <c r="X24615" s="235" t="n"/>
    </row>
    <row r="24616" ht="14.25" customHeight="1" s="192">
      <c r="W24616" s="239" t="n"/>
      <c r="X24616" s="239" t="n"/>
    </row>
    <row r="24617" ht="14.25" customHeight="1" s="192">
      <c r="W24617" s="239" t="n"/>
      <c r="X24617" s="239" t="n"/>
    </row>
    <row r="24618" ht="14.25" customHeight="1" s="192">
      <c r="W24618" s="239" t="n"/>
      <c r="X24618" s="239" t="n"/>
    </row>
    <row r="24619" ht="14.25" customHeight="1" s="192">
      <c r="W24619" s="235" t="n"/>
      <c r="X24619" s="235" t="n"/>
    </row>
    <row r="24620" ht="14.25" customHeight="1" s="192">
      <c r="W24620" s="235" t="n"/>
      <c r="X24620" s="235" t="n"/>
    </row>
    <row r="24621" ht="14.25" customHeight="1" s="192">
      <c r="W24621" s="235" t="n"/>
      <c r="X24621" s="235" t="n"/>
    </row>
    <row r="24622" ht="14.25" customHeight="1" s="192">
      <c r="W24622" s="239" t="n"/>
      <c r="X24622" s="239" t="n"/>
    </row>
    <row r="24623" ht="14.25" customHeight="1" s="192">
      <c r="W24623" s="239" t="n"/>
      <c r="X24623" s="239" t="n"/>
    </row>
    <row r="24624" ht="14.25" customHeight="1" s="192">
      <c r="W24624" s="235" t="n"/>
      <c r="X24624" s="235" t="n"/>
    </row>
    <row r="24625" ht="14.25" customHeight="1" s="192">
      <c r="W24625" s="235" t="n"/>
      <c r="X24625" s="235" t="n"/>
    </row>
    <row r="24626" ht="14.25" customHeight="1" s="192">
      <c r="W24626" s="239" t="n"/>
      <c r="X24626" s="239" t="n"/>
    </row>
    <row r="24627" ht="14.25" customHeight="1" s="192">
      <c r="W24627" s="235" t="n"/>
      <c r="X24627" s="235" t="n"/>
    </row>
    <row r="24628" ht="14.25" customHeight="1" s="192">
      <c r="W24628" s="239" t="n"/>
      <c r="X24628" s="239" t="n"/>
    </row>
    <row r="24630" ht="14.25" customHeight="1" s="192">
      <c r="W24630" s="235" t="n"/>
      <c r="X24630" s="235" t="n"/>
    </row>
    <row r="24631" ht="15" customHeight="1" s="192" thickBot="1">
      <c r="W24631" s="239" t="n"/>
      <c r="X24631" s="239" t="n"/>
    </row>
    <row r="24632" ht="15" customHeight="1" s="192" thickBot="1">
      <c r="W24632" s="45" t="n"/>
      <c r="X24632" s="45" t="n"/>
    </row>
    <row r="24633" ht="14.25" customHeight="1" s="192">
      <c r="W24633" s="228" t="n"/>
      <c r="X24633" s="228" t="n"/>
    </row>
    <row r="24634" ht="14.25" customHeight="1" s="192">
      <c r="W24634" s="228" t="n"/>
      <c r="X24634" s="228" t="n"/>
    </row>
    <row r="24635" ht="14.25" customHeight="1" s="192">
      <c r="W24635" s="231" t="n"/>
      <c r="X24635" s="231" t="n"/>
    </row>
    <row r="24636" ht="14.25" customHeight="1" s="192">
      <c r="W24636" s="33" t="n"/>
      <c r="X24636" s="33" t="n"/>
    </row>
    <row r="24637" ht="14.25" customHeight="1" s="192">
      <c r="W24637" s="231" t="n"/>
      <c r="X24637" s="231" t="n"/>
    </row>
    <row r="24638" ht="14.25" customHeight="1" s="192">
      <c r="W24638" s="33" t="n"/>
      <c r="X24638" s="33" t="n"/>
    </row>
    <row r="24640" ht="14.25" customHeight="1" s="192">
      <c r="W24640" s="231" t="n"/>
      <c r="X24640" s="231" t="n"/>
    </row>
    <row r="24641" ht="14.25" customHeight="1" s="192">
      <c r="W24641" s="235" t="n"/>
      <c r="X24641" s="235" t="n"/>
    </row>
    <row r="24642" ht="14.25" customHeight="1" s="192">
      <c r="W24642" s="228" t="n"/>
      <c r="X24642" s="228" t="n"/>
    </row>
    <row r="24643" ht="14.25" customHeight="1" s="192">
      <c r="W24643" s="235" t="n"/>
      <c r="X24643" s="235" t="n"/>
    </row>
    <row r="24644" ht="14.25" customHeight="1" s="192">
      <c r="W24644" s="235" t="n"/>
      <c r="X24644" s="235" t="n"/>
    </row>
    <row r="24645" ht="14.25" customHeight="1" s="192">
      <c r="W24645" s="235" t="n"/>
      <c r="X24645" s="235" t="n"/>
    </row>
    <row r="24646" ht="14.25" customHeight="1" s="192">
      <c r="W24646" s="239" t="n"/>
      <c r="X24646" s="239" t="n"/>
    </row>
    <row r="24647" ht="14.25" customHeight="1" s="192">
      <c r="W24647" s="239" t="n"/>
      <c r="X24647" s="239" t="n"/>
    </row>
    <row r="24648" ht="14.25" customHeight="1" s="192">
      <c r="W24648" s="239" t="n"/>
      <c r="X24648" s="239" t="n"/>
    </row>
    <row r="24649" ht="14.25" customHeight="1" s="192">
      <c r="W24649" s="235" t="n"/>
      <c r="X24649" s="235" t="n"/>
    </row>
    <row r="24650" ht="14.25" customHeight="1" s="192">
      <c r="W24650" s="235" t="n"/>
      <c r="X24650" s="235" t="n"/>
    </row>
    <row r="24651" ht="14.25" customHeight="1" s="192">
      <c r="W24651" s="235" t="n"/>
      <c r="X24651" s="235" t="n"/>
    </row>
    <row r="24652" ht="14.25" customHeight="1" s="192">
      <c r="W24652" s="239" t="n"/>
      <c r="X24652" s="239" t="n"/>
    </row>
    <row r="24653" ht="14.25" customHeight="1" s="192">
      <c r="W24653" s="239" t="n"/>
      <c r="X24653" s="239" t="n"/>
    </row>
    <row r="24654" ht="14.25" customHeight="1" s="192">
      <c r="W24654" s="235" t="n"/>
      <c r="X24654" s="235" t="n"/>
    </row>
    <row r="24655" ht="14.25" customHeight="1" s="192">
      <c r="W24655" s="235" t="n"/>
      <c r="X24655" s="235" t="n"/>
    </row>
    <row r="24656" ht="14.25" customHeight="1" s="192">
      <c r="W24656" s="239" t="n"/>
      <c r="X24656" s="239" t="n"/>
    </row>
    <row r="24657" ht="14.25" customHeight="1" s="192">
      <c r="W24657" s="235" t="n"/>
      <c r="X24657" s="235" t="n"/>
    </row>
    <row r="24658" ht="14.25" customHeight="1" s="192">
      <c r="W24658" s="239" t="n"/>
      <c r="X24658" s="239" t="n"/>
    </row>
    <row r="24660" ht="14.25" customHeight="1" s="192">
      <c r="W24660" s="235" t="n"/>
      <c r="X24660" s="235" t="n"/>
    </row>
    <row r="24661" ht="15" customHeight="1" s="192" thickBot="1">
      <c r="W24661" s="239" t="n"/>
      <c r="X24661" s="239" t="n"/>
    </row>
    <row r="24662" ht="15" customHeight="1" s="192" thickBot="1">
      <c r="W24662" s="45" t="n"/>
      <c r="X24662" s="45" t="n"/>
    </row>
    <row r="24663" ht="14.25" customHeight="1" s="192">
      <c r="W24663" s="228" t="n"/>
      <c r="X24663" s="228" t="n"/>
    </row>
    <row r="24664" ht="14.25" customHeight="1" s="192">
      <c r="W24664" s="228" t="n"/>
      <c r="X24664" s="228" t="n"/>
    </row>
    <row r="24665" ht="14.25" customHeight="1" s="192">
      <c r="W24665" s="231" t="n"/>
      <c r="X24665" s="231" t="n"/>
    </row>
    <row r="24666" ht="14.25" customHeight="1" s="192">
      <c r="W24666" s="33" t="n"/>
      <c r="X24666" s="33" t="n"/>
    </row>
    <row r="24667" ht="14.25" customHeight="1" s="192">
      <c r="W24667" s="231" t="n"/>
      <c r="X24667" s="231" t="n"/>
    </row>
    <row r="24668" ht="14.25" customHeight="1" s="192">
      <c r="W24668" s="33" t="n"/>
      <c r="X24668" s="33" t="n"/>
    </row>
    <row r="24670" ht="14.25" customHeight="1" s="192">
      <c r="W24670" s="231" t="n"/>
      <c r="X24670" s="231" t="n"/>
    </row>
    <row r="24671" ht="14.25" customHeight="1" s="192">
      <c r="W24671" s="235" t="n"/>
      <c r="X24671" s="235" t="n"/>
    </row>
    <row r="24672" ht="14.25" customHeight="1" s="192">
      <c r="W24672" s="228" t="n"/>
      <c r="X24672" s="228" t="n"/>
    </row>
    <row r="24673" ht="14.25" customHeight="1" s="192">
      <c r="W24673" s="235" t="n"/>
      <c r="X24673" s="235" t="n"/>
    </row>
    <row r="24674" ht="14.25" customHeight="1" s="192">
      <c r="W24674" s="235" t="n"/>
      <c r="X24674" s="235" t="n"/>
    </row>
    <row r="24675" ht="14.25" customHeight="1" s="192">
      <c r="W24675" s="235" t="n"/>
      <c r="X24675" s="235" t="n"/>
    </row>
    <row r="24676" ht="14.25" customHeight="1" s="192">
      <c r="W24676" s="239" t="n"/>
      <c r="X24676" s="239" t="n"/>
    </row>
    <row r="24677" ht="14.25" customHeight="1" s="192">
      <c r="W24677" s="239" t="n"/>
      <c r="X24677" s="239" t="n"/>
    </row>
    <row r="24678" ht="14.25" customHeight="1" s="192">
      <c r="W24678" s="239" t="n"/>
      <c r="X24678" s="239" t="n"/>
    </row>
    <row r="24679" ht="14.25" customHeight="1" s="192">
      <c r="W24679" s="235" t="n"/>
      <c r="X24679" s="235" t="n"/>
    </row>
    <row r="24680" ht="14.25" customHeight="1" s="192">
      <c r="W24680" s="235" t="n"/>
      <c r="X24680" s="235" t="n"/>
    </row>
    <row r="24681" ht="14.25" customHeight="1" s="192">
      <c r="W24681" s="235" t="n"/>
      <c r="X24681" s="235" t="n"/>
    </row>
    <row r="24682" ht="14.25" customHeight="1" s="192">
      <c r="W24682" s="239" t="n"/>
      <c r="X24682" s="239" t="n"/>
    </row>
    <row r="24683" ht="14.25" customHeight="1" s="192">
      <c r="W24683" s="239" t="n"/>
      <c r="X24683" s="239" t="n"/>
    </row>
    <row r="24684" ht="14.25" customHeight="1" s="192">
      <c r="W24684" s="235" t="n"/>
      <c r="X24684" s="235" t="n"/>
    </row>
    <row r="24685" ht="14.25" customHeight="1" s="192">
      <c r="W24685" s="235" t="n"/>
      <c r="X24685" s="235" t="n"/>
    </row>
    <row r="24686" ht="14.25" customHeight="1" s="192">
      <c r="W24686" s="239" t="n"/>
      <c r="X24686" s="239" t="n"/>
    </row>
    <row r="24687" ht="14.25" customHeight="1" s="192">
      <c r="W24687" s="235" t="n"/>
      <c r="X24687" s="235" t="n"/>
    </row>
    <row r="24688" ht="14.25" customHeight="1" s="192">
      <c r="W24688" s="239" t="n"/>
      <c r="X24688" s="239" t="n"/>
    </row>
    <row r="24690" ht="14.25" customHeight="1" s="192">
      <c r="W24690" s="235" t="n"/>
      <c r="X24690" s="235" t="n"/>
    </row>
    <row r="24691" ht="15" customHeight="1" s="192" thickBot="1">
      <c r="W24691" s="239" t="n"/>
      <c r="X24691" s="239" t="n"/>
    </row>
    <row r="24692" ht="15" customHeight="1" s="192" thickBot="1">
      <c r="W24692" s="45" t="n"/>
      <c r="X24692" s="45" t="n"/>
    </row>
    <row r="24693" ht="14.25" customHeight="1" s="192">
      <c r="W24693" s="228" t="n"/>
      <c r="X24693" s="228" t="n"/>
    </row>
    <row r="24694" ht="14.25" customHeight="1" s="192">
      <c r="W24694" s="228" t="n"/>
      <c r="X24694" s="228" t="n"/>
    </row>
    <row r="24695" ht="14.25" customHeight="1" s="192">
      <c r="W24695" s="231" t="n"/>
      <c r="X24695" s="231" t="n"/>
    </row>
    <row r="24696" ht="14.25" customHeight="1" s="192">
      <c r="W24696" s="33" t="n"/>
      <c r="X24696" s="33" t="n"/>
    </row>
    <row r="24697" ht="14.25" customHeight="1" s="192">
      <c r="W24697" s="231" t="n"/>
      <c r="X24697" s="231" t="n"/>
    </row>
    <row r="24698" ht="14.25" customHeight="1" s="192">
      <c r="W24698" s="33" t="n"/>
      <c r="X24698" s="33" t="n"/>
    </row>
    <row r="24700" ht="14.25" customHeight="1" s="192">
      <c r="W24700" s="231" t="n"/>
      <c r="X24700" s="231" t="n"/>
    </row>
    <row r="24701" ht="14.25" customHeight="1" s="192">
      <c r="W24701" s="235" t="n"/>
      <c r="X24701" s="235" t="n"/>
    </row>
    <row r="24702" ht="14.25" customHeight="1" s="192">
      <c r="W24702" s="228" t="n"/>
      <c r="X24702" s="228" t="n"/>
    </row>
    <row r="24703" ht="14.25" customHeight="1" s="192">
      <c r="W24703" s="235" t="n"/>
      <c r="X24703" s="235" t="n"/>
    </row>
    <row r="24704" ht="14.25" customHeight="1" s="192">
      <c r="W24704" s="235" t="n"/>
      <c r="X24704" s="235" t="n"/>
    </row>
    <row r="24705" ht="14.25" customHeight="1" s="192">
      <c r="W24705" s="235" t="n"/>
      <c r="X24705" s="235" t="n"/>
    </row>
    <row r="24706" ht="14.25" customHeight="1" s="192">
      <c r="W24706" s="239" t="n"/>
      <c r="X24706" s="239" t="n"/>
    </row>
    <row r="24707" ht="14.25" customHeight="1" s="192">
      <c r="W24707" s="239" t="n"/>
      <c r="X24707" s="239" t="n"/>
    </row>
    <row r="24708" ht="14.25" customHeight="1" s="192">
      <c r="W24708" s="239" t="n"/>
      <c r="X24708" s="239" t="n"/>
    </row>
    <row r="24709" ht="14.25" customHeight="1" s="192">
      <c r="W24709" s="235" t="n"/>
      <c r="X24709" s="235" t="n"/>
    </row>
    <row r="24710" ht="14.25" customHeight="1" s="192">
      <c r="W24710" s="235" t="n"/>
      <c r="X24710" s="235" t="n"/>
    </row>
    <row r="24711" ht="14.25" customHeight="1" s="192">
      <c r="W24711" s="235" t="n"/>
      <c r="X24711" s="235" t="n"/>
    </row>
    <row r="24712" ht="14.25" customHeight="1" s="192">
      <c r="W24712" s="239" t="n"/>
      <c r="X24712" s="239" t="n"/>
    </row>
    <row r="24713" ht="14.25" customHeight="1" s="192">
      <c r="W24713" s="239" t="n"/>
      <c r="X24713" s="239" t="n"/>
    </row>
    <row r="24714" ht="14.25" customHeight="1" s="192">
      <c r="W24714" s="235" t="n"/>
      <c r="X24714" s="235" t="n"/>
    </row>
    <row r="24715" ht="14.25" customHeight="1" s="192">
      <c r="W24715" s="235" t="n"/>
      <c r="X24715" s="235" t="n"/>
    </row>
    <row r="24716" ht="14.25" customHeight="1" s="192">
      <c r="W24716" s="239" t="n"/>
      <c r="X24716" s="239" t="n"/>
    </row>
    <row r="24717" ht="14.25" customHeight="1" s="192">
      <c r="W24717" s="235" t="n"/>
      <c r="X24717" s="235" t="n"/>
    </row>
    <row r="24718" ht="14.25" customHeight="1" s="192">
      <c r="W24718" s="239" t="n"/>
      <c r="X24718" s="239" t="n"/>
    </row>
    <row r="24720" ht="14.25" customHeight="1" s="192">
      <c r="W24720" s="235" t="n"/>
      <c r="X24720" s="235" t="n"/>
    </row>
    <row r="24721" ht="15" customHeight="1" s="192" thickBot="1">
      <c r="W24721" s="239" t="n"/>
      <c r="X24721" s="239" t="n"/>
    </row>
    <row r="24722" ht="15" customHeight="1" s="192" thickBot="1">
      <c r="W24722" s="45" t="n"/>
      <c r="X24722" s="45" t="n"/>
    </row>
    <row r="24723" ht="14.25" customHeight="1" s="192">
      <c r="W24723" s="228" t="n"/>
      <c r="X24723" s="228" t="n"/>
    </row>
    <row r="24724" ht="14.25" customHeight="1" s="192">
      <c r="W24724" s="228" t="n"/>
      <c r="X24724" s="228" t="n"/>
    </row>
    <row r="24725" ht="14.25" customHeight="1" s="192">
      <c r="W24725" s="231" t="n"/>
      <c r="X24725" s="231" t="n"/>
    </row>
    <row r="24726" ht="14.25" customHeight="1" s="192">
      <c r="W24726" s="33" t="n"/>
      <c r="X24726" s="33" t="n"/>
    </row>
    <row r="24727" ht="14.25" customHeight="1" s="192">
      <c r="W24727" s="231" t="n"/>
      <c r="X24727" s="231" t="n"/>
    </row>
    <row r="24728" ht="14.25" customHeight="1" s="192">
      <c r="W24728" s="33" t="n"/>
      <c r="X24728" s="33" t="n"/>
    </row>
    <row r="24730" ht="14.25" customHeight="1" s="192">
      <c r="W24730" s="231" t="n"/>
      <c r="X24730" s="231" t="n"/>
    </row>
    <row r="24731" ht="14.25" customHeight="1" s="192">
      <c r="W24731" s="235" t="n"/>
      <c r="X24731" s="235" t="n"/>
    </row>
    <row r="24732" ht="14.25" customHeight="1" s="192">
      <c r="W24732" s="228" t="n"/>
      <c r="X24732" s="228" t="n"/>
    </row>
    <row r="24733" ht="14.25" customHeight="1" s="192">
      <c r="W24733" s="235" t="n"/>
      <c r="X24733" s="235" t="n"/>
    </row>
    <row r="24734" ht="14.25" customHeight="1" s="192">
      <c r="W24734" s="235" t="n"/>
      <c r="X24734" s="235" t="n"/>
    </row>
    <row r="24735" ht="14.25" customHeight="1" s="192">
      <c r="W24735" s="235" t="n"/>
      <c r="X24735" s="235" t="n"/>
    </row>
    <row r="24736" ht="14.25" customHeight="1" s="192">
      <c r="W24736" s="239" t="n"/>
      <c r="X24736" s="239" t="n"/>
    </row>
    <row r="24737" ht="14.25" customHeight="1" s="192">
      <c r="W24737" s="239" t="n"/>
      <c r="X24737" s="239" t="n"/>
    </row>
    <row r="24738" ht="14.25" customHeight="1" s="192">
      <c r="W24738" s="239" t="n"/>
      <c r="X24738" s="239" t="n"/>
    </row>
    <row r="24739" ht="14.25" customHeight="1" s="192">
      <c r="W24739" s="235" t="n"/>
      <c r="X24739" s="235" t="n"/>
    </row>
    <row r="24740" ht="14.25" customHeight="1" s="192">
      <c r="W24740" s="235" t="n"/>
      <c r="X24740" s="235" t="n"/>
    </row>
    <row r="24741" ht="14.25" customHeight="1" s="192">
      <c r="W24741" s="235" t="n"/>
      <c r="X24741" s="235" t="n"/>
    </row>
    <row r="24742" ht="14.25" customHeight="1" s="192">
      <c r="W24742" s="239" t="n"/>
      <c r="X24742" s="239" t="n"/>
    </row>
    <row r="24743" ht="14.25" customHeight="1" s="192">
      <c r="W24743" s="239" t="n"/>
      <c r="X24743" s="239" t="n"/>
    </row>
    <row r="24744" ht="14.25" customHeight="1" s="192">
      <c r="W24744" s="235" t="n"/>
      <c r="X24744" s="235" t="n"/>
    </row>
    <row r="24745" ht="14.25" customHeight="1" s="192">
      <c r="W24745" s="235" t="n"/>
      <c r="X24745" s="235" t="n"/>
    </row>
    <row r="24746" ht="14.25" customHeight="1" s="192">
      <c r="W24746" s="239" t="n"/>
      <c r="X24746" s="239" t="n"/>
    </row>
    <row r="24747" ht="14.25" customHeight="1" s="192">
      <c r="W24747" s="235" t="n"/>
      <c r="X24747" s="235" t="n"/>
    </row>
    <row r="24748" ht="14.25" customHeight="1" s="192">
      <c r="W24748" s="239" t="n"/>
      <c r="X24748" s="239" t="n"/>
    </row>
    <row r="24750" ht="14.25" customHeight="1" s="192">
      <c r="W24750" s="235" t="n"/>
      <c r="X24750" s="235" t="n"/>
    </row>
    <row r="24751" ht="15" customHeight="1" s="192" thickBot="1">
      <c r="W24751" s="239" t="n"/>
      <c r="X24751" s="239" t="n"/>
    </row>
    <row r="24752" ht="15" customHeight="1" s="192" thickBot="1">
      <c r="W24752" s="45" t="n"/>
      <c r="X24752" s="45" t="n"/>
    </row>
    <row r="24753" ht="14.25" customHeight="1" s="192">
      <c r="W24753" s="228" t="n"/>
      <c r="X24753" s="228" t="n"/>
    </row>
    <row r="24754" ht="14.25" customHeight="1" s="192">
      <c r="W24754" s="228" t="n"/>
      <c r="X24754" s="228" t="n"/>
    </row>
    <row r="24755" ht="14.25" customHeight="1" s="192">
      <c r="W24755" s="231" t="n"/>
      <c r="X24755" s="231" t="n"/>
    </row>
    <row r="24756" ht="14.25" customHeight="1" s="192">
      <c r="W24756" s="33" t="n"/>
      <c r="X24756" s="33" t="n"/>
    </row>
    <row r="24757" ht="14.25" customHeight="1" s="192">
      <c r="W24757" s="231" t="n"/>
      <c r="X24757" s="231" t="n"/>
    </row>
    <row r="24758" ht="14.25" customHeight="1" s="192">
      <c r="W24758" s="33" t="n"/>
      <c r="X24758" s="33" t="n"/>
    </row>
    <row r="24760" ht="14.25" customHeight="1" s="192">
      <c r="W24760" s="231" t="n"/>
      <c r="X24760" s="231" t="n"/>
    </row>
    <row r="24761" ht="14.25" customHeight="1" s="192">
      <c r="W24761" s="235" t="n"/>
      <c r="X24761" s="235" t="n"/>
    </row>
    <row r="24762" ht="14.25" customHeight="1" s="192">
      <c r="W24762" s="228" t="n"/>
      <c r="X24762" s="228" t="n"/>
    </row>
    <row r="24763" ht="14.25" customHeight="1" s="192">
      <c r="W24763" s="235" t="n"/>
      <c r="X24763" s="235" t="n"/>
    </row>
    <row r="24764" ht="14.25" customHeight="1" s="192">
      <c r="W24764" s="235" t="n"/>
      <c r="X24764" s="235" t="n"/>
    </row>
    <row r="24765" ht="14.25" customHeight="1" s="192">
      <c r="W24765" s="235" t="n"/>
      <c r="X24765" s="235" t="n"/>
    </row>
    <row r="24766" ht="14.25" customHeight="1" s="192">
      <c r="W24766" s="239" t="n"/>
      <c r="X24766" s="239" t="n"/>
    </row>
    <row r="24767" ht="14.25" customHeight="1" s="192">
      <c r="W24767" s="239" t="n"/>
      <c r="X24767" s="239" t="n"/>
    </row>
    <row r="24768" ht="14.25" customHeight="1" s="192">
      <c r="W24768" s="239" t="n"/>
      <c r="X24768" s="239" t="n"/>
    </row>
    <row r="24769" ht="14.25" customHeight="1" s="192">
      <c r="W24769" s="235" t="n"/>
      <c r="X24769" s="235" t="n"/>
    </row>
    <row r="24770" ht="14.25" customHeight="1" s="192">
      <c r="W24770" s="235" t="n"/>
      <c r="X24770" s="235" t="n"/>
    </row>
    <row r="24771" ht="14.25" customHeight="1" s="192">
      <c r="W24771" s="235" t="n"/>
      <c r="X24771" s="235" t="n"/>
    </row>
    <row r="24772" ht="14.25" customHeight="1" s="192">
      <c r="W24772" s="239" t="n"/>
      <c r="X24772" s="239" t="n"/>
    </row>
    <row r="24773" ht="14.25" customHeight="1" s="192">
      <c r="W24773" s="239" t="n"/>
      <c r="X24773" s="239" t="n"/>
    </row>
    <row r="24774" ht="14.25" customHeight="1" s="192">
      <c r="W24774" s="235" t="n"/>
      <c r="X24774" s="235" t="n"/>
    </row>
    <row r="24775" ht="14.25" customHeight="1" s="192">
      <c r="W24775" s="235" t="n"/>
      <c r="X24775" s="235" t="n"/>
    </row>
    <row r="24776" ht="14.25" customHeight="1" s="192">
      <c r="W24776" s="239" t="n"/>
      <c r="X24776" s="239" t="n"/>
    </row>
    <row r="24777" ht="14.25" customHeight="1" s="192">
      <c r="W24777" s="235" t="n"/>
      <c r="X24777" s="235" t="n"/>
    </row>
    <row r="24778" ht="14.25" customHeight="1" s="192">
      <c r="W24778" s="239" t="n"/>
      <c r="X24778" s="239" t="n"/>
    </row>
    <row r="24780" ht="14.25" customHeight="1" s="192">
      <c r="W24780" s="235" t="n"/>
      <c r="X24780" s="235" t="n"/>
    </row>
    <row r="24781" ht="15" customHeight="1" s="192" thickBot="1">
      <c r="W24781" s="239" t="n"/>
      <c r="X24781" s="239" t="n"/>
    </row>
    <row r="24782" ht="15" customHeight="1" s="192" thickBot="1">
      <c r="W24782" s="45" t="n"/>
      <c r="X24782" s="45" t="n"/>
    </row>
    <row r="24783" ht="14.25" customHeight="1" s="192">
      <c r="W24783" s="228" t="n"/>
      <c r="X24783" s="228" t="n"/>
    </row>
    <row r="24784" ht="14.25" customHeight="1" s="192">
      <c r="W24784" s="228" t="n"/>
      <c r="X24784" s="228" t="n"/>
    </row>
    <row r="24785" ht="14.25" customHeight="1" s="192">
      <c r="W24785" s="231" t="n"/>
      <c r="X24785" s="231" t="n"/>
    </row>
    <row r="24786" ht="14.25" customHeight="1" s="192">
      <c r="W24786" s="33" t="n"/>
      <c r="X24786" s="33" t="n"/>
    </row>
    <row r="24787" ht="14.25" customHeight="1" s="192">
      <c r="W24787" s="231" t="n"/>
      <c r="X24787" s="231" t="n"/>
    </row>
    <row r="24788" ht="14.25" customHeight="1" s="192">
      <c r="W24788" s="33" t="n"/>
      <c r="X24788" s="33" t="n"/>
    </row>
    <row r="24790" ht="14.25" customHeight="1" s="192">
      <c r="W24790" s="231" t="n"/>
      <c r="X24790" s="231" t="n"/>
    </row>
    <row r="24791" ht="14.25" customHeight="1" s="192">
      <c r="W24791" s="235" t="n"/>
      <c r="X24791" s="235" t="n"/>
    </row>
    <row r="24792" ht="14.25" customHeight="1" s="192">
      <c r="W24792" s="228" t="n"/>
      <c r="X24792" s="228" t="n"/>
    </row>
    <row r="24793" ht="14.25" customHeight="1" s="192">
      <c r="W24793" s="235" t="n"/>
      <c r="X24793" s="235" t="n"/>
    </row>
    <row r="24794" ht="14.25" customHeight="1" s="192">
      <c r="W24794" s="235" t="n"/>
      <c r="X24794" s="235" t="n"/>
    </row>
    <row r="24795" ht="14.25" customHeight="1" s="192">
      <c r="W24795" s="235" t="n"/>
      <c r="X24795" s="235" t="n"/>
    </row>
    <row r="24796" ht="14.25" customHeight="1" s="192">
      <c r="W24796" s="239" t="n"/>
      <c r="X24796" s="239" t="n"/>
    </row>
    <row r="24797" ht="14.25" customHeight="1" s="192">
      <c r="W24797" s="239" t="n"/>
      <c r="X24797" s="239" t="n"/>
    </row>
    <row r="24798" ht="14.25" customHeight="1" s="192">
      <c r="W24798" s="239" t="n"/>
      <c r="X24798" s="239" t="n"/>
    </row>
    <row r="24799" ht="14.25" customHeight="1" s="192">
      <c r="W24799" s="235" t="n"/>
      <c r="X24799" s="235" t="n"/>
    </row>
    <row r="24800" ht="14.25" customHeight="1" s="192">
      <c r="W24800" s="235" t="n"/>
      <c r="X24800" s="235" t="n"/>
    </row>
    <row r="24801" ht="14.25" customHeight="1" s="192">
      <c r="W24801" s="235" t="n"/>
      <c r="X24801" s="235" t="n"/>
    </row>
    <row r="24802" ht="14.25" customHeight="1" s="192">
      <c r="W24802" s="239" t="n"/>
      <c r="X24802" s="239" t="n"/>
    </row>
    <row r="24803" ht="14.25" customHeight="1" s="192">
      <c r="W24803" s="239" t="n"/>
      <c r="X24803" s="239" t="n"/>
    </row>
    <row r="24804" ht="14.25" customHeight="1" s="192">
      <c r="W24804" s="235" t="n"/>
      <c r="X24804" s="235" t="n"/>
    </row>
    <row r="24805" ht="14.25" customHeight="1" s="192">
      <c r="W24805" s="235" t="n"/>
      <c r="X24805" s="235" t="n"/>
    </row>
    <row r="24806" ht="14.25" customHeight="1" s="192">
      <c r="W24806" s="239" t="n"/>
      <c r="X24806" s="239" t="n"/>
    </row>
    <row r="24807" ht="14.25" customHeight="1" s="192">
      <c r="W24807" s="235" t="n"/>
      <c r="X24807" s="235" t="n"/>
    </row>
    <row r="24808" ht="14.25" customHeight="1" s="192">
      <c r="W24808" s="239" t="n"/>
      <c r="X24808" s="239" t="n"/>
    </row>
    <row r="24810" ht="14.25" customHeight="1" s="192">
      <c r="W24810" s="235" t="n"/>
      <c r="X24810" s="235" t="n"/>
    </row>
    <row r="24811" ht="15" customHeight="1" s="192" thickBot="1">
      <c r="W24811" s="239" t="n"/>
      <c r="X24811" s="239" t="n"/>
    </row>
    <row r="24812" ht="15" customHeight="1" s="192" thickBot="1">
      <c r="W24812" s="45" t="n"/>
      <c r="X24812" s="45" t="n"/>
    </row>
    <row r="24813" ht="14.25" customHeight="1" s="192">
      <c r="W24813" s="228" t="n"/>
      <c r="X24813" s="228" t="n"/>
    </row>
    <row r="24814" ht="14.25" customHeight="1" s="192">
      <c r="W24814" s="228" t="n"/>
      <c r="X24814" s="228" t="n"/>
    </row>
    <row r="24815" ht="14.25" customHeight="1" s="192">
      <c r="W24815" s="231" t="n"/>
      <c r="X24815" s="231" t="n"/>
    </row>
    <row r="24816" ht="14.25" customHeight="1" s="192">
      <c r="W24816" s="33" t="n"/>
      <c r="X24816" s="33" t="n"/>
    </row>
    <row r="24817" ht="14.25" customHeight="1" s="192">
      <c r="W24817" s="231" t="n"/>
      <c r="X24817" s="231" t="n"/>
    </row>
    <row r="24818" ht="14.25" customHeight="1" s="192">
      <c r="W24818" s="33" t="n"/>
      <c r="X24818" s="33" t="n"/>
    </row>
    <row r="24820" ht="14.25" customHeight="1" s="192">
      <c r="W24820" s="231" t="n"/>
      <c r="X24820" s="231" t="n"/>
    </row>
    <row r="24821" ht="14.25" customHeight="1" s="192">
      <c r="W24821" s="235" t="n"/>
      <c r="X24821" s="235" t="n"/>
    </row>
    <row r="24822" ht="14.25" customHeight="1" s="192">
      <c r="W24822" s="228" t="n"/>
      <c r="X24822" s="228" t="n"/>
    </row>
    <row r="24823" ht="14.25" customHeight="1" s="192">
      <c r="W24823" s="235" t="n"/>
      <c r="X24823" s="235" t="n"/>
    </row>
    <row r="24824" ht="14.25" customHeight="1" s="192">
      <c r="W24824" s="235" t="n"/>
      <c r="X24824" s="235" t="n"/>
    </row>
    <row r="24825" ht="14.25" customHeight="1" s="192">
      <c r="W24825" s="235" t="n"/>
      <c r="X24825" s="235" t="n"/>
    </row>
    <row r="24826" ht="14.25" customHeight="1" s="192">
      <c r="W24826" s="239" t="n"/>
      <c r="X24826" s="239" t="n"/>
    </row>
    <row r="24827" ht="14.25" customHeight="1" s="192">
      <c r="W24827" s="239" t="n"/>
      <c r="X24827" s="239" t="n"/>
    </row>
    <row r="24828" ht="14.25" customHeight="1" s="192">
      <c r="W24828" s="239" t="n"/>
      <c r="X24828" s="239" t="n"/>
    </row>
    <row r="24829" ht="14.25" customHeight="1" s="192">
      <c r="W24829" s="235" t="n"/>
      <c r="X24829" s="235" t="n"/>
    </row>
    <row r="24830" ht="14.25" customHeight="1" s="192">
      <c r="W24830" s="235" t="n"/>
      <c r="X24830" s="235" t="n"/>
    </row>
    <row r="24831" ht="14.25" customHeight="1" s="192">
      <c r="W24831" s="235" t="n"/>
      <c r="X24831" s="235" t="n"/>
    </row>
    <row r="24832" ht="14.25" customHeight="1" s="192">
      <c r="W24832" s="239" t="n"/>
      <c r="X24832" s="239" t="n"/>
    </row>
    <row r="24833" ht="14.25" customHeight="1" s="192">
      <c r="W24833" s="239" t="n"/>
      <c r="X24833" s="239" t="n"/>
    </row>
    <row r="24834" ht="14.25" customHeight="1" s="192">
      <c r="W24834" s="235" t="n"/>
      <c r="X24834" s="235" t="n"/>
    </row>
    <row r="24835" ht="14.25" customHeight="1" s="192">
      <c r="W24835" s="235" t="n"/>
      <c r="X24835" s="235" t="n"/>
    </row>
    <row r="24836" ht="14.25" customHeight="1" s="192">
      <c r="W24836" s="239" t="n"/>
      <c r="X24836" s="239" t="n"/>
    </row>
    <row r="24837" ht="14.25" customHeight="1" s="192">
      <c r="W24837" s="235" t="n"/>
      <c r="X24837" s="235" t="n"/>
    </row>
    <row r="24838" ht="14.25" customHeight="1" s="192">
      <c r="W24838" s="239" t="n"/>
      <c r="X24838" s="239" t="n"/>
    </row>
    <row r="24840" ht="14.25" customHeight="1" s="192">
      <c r="W24840" s="235" t="n"/>
      <c r="X24840" s="235" t="n"/>
    </row>
    <row r="24841" ht="15" customHeight="1" s="192" thickBot="1">
      <c r="W24841" s="239" t="n"/>
      <c r="X24841" s="239" t="n"/>
    </row>
    <row r="24842" ht="15" customHeight="1" s="192" thickBot="1">
      <c r="W24842" s="45" t="n"/>
      <c r="X24842" s="45" t="n"/>
    </row>
    <row r="24843" ht="14.25" customHeight="1" s="192">
      <c r="W24843" s="228" t="n"/>
      <c r="X24843" s="228" t="n"/>
    </row>
    <row r="24844" ht="14.25" customHeight="1" s="192">
      <c r="W24844" s="228" t="n"/>
      <c r="X24844" s="228" t="n"/>
    </row>
    <row r="24845" ht="14.25" customHeight="1" s="192">
      <c r="W24845" s="231" t="n"/>
      <c r="X24845" s="231" t="n"/>
    </row>
    <row r="24846" ht="14.25" customHeight="1" s="192">
      <c r="W24846" s="33" t="n"/>
      <c r="X24846" s="33" t="n"/>
    </row>
    <row r="24847" ht="14.25" customHeight="1" s="192">
      <c r="W24847" s="231" t="n"/>
      <c r="X24847" s="231" t="n"/>
    </row>
    <row r="24848" ht="14.25" customHeight="1" s="192">
      <c r="W24848" s="33" t="n"/>
      <c r="X24848" s="33" t="n"/>
    </row>
    <row r="24850" ht="14.25" customHeight="1" s="192">
      <c r="W24850" s="231" t="n"/>
      <c r="X24850" s="231" t="n"/>
    </row>
    <row r="24851" ht="14.25" customHeight="1" s="192">
      <c r="W24851" s="235" t="n"/>
      <c r="X24851" s="235" t="n"/>
    </row>
    <row r="24852" ht="14.25" customHeight="1" s="192">
      <c r="W24852" s="228" t="n"/>
      <c r="X24852" s="228" t="n"/>
    </row>
    <row r="24853" ht="14.25" customHeight="1" s="192">
      <c r="W24853" s="235" t="n"/>
      <c r="X24853" s="235" t="n"/>
    </row>
    <row r="24854" ht="14.25" customHeight="1" s="192">
      <c r="W24854" s="235" t="n"/>
      <c r="X24854" s="235" t="n"/>
    </row>
    <row r="24855" ht="14.25" customHeight="1" s="192">
      <c r="W24855" s="235" t="n"/>
      <c r="X24855" s="235" t="n"/>
    </row>
    <row r="24856" ht="14.25" customHeight="1" s="192">
      <c r="W24856" s="239" t="n"/>
      <c r="X24856" s="239" t="n"/>
    </row>
    <row r="24857" ht="14.25" customHeight="1" s="192">
      <c r="W24857" s="239" t="n"/>
      <c r="X24857" s="239" t="n"/>
    </row>
    <row r="24858" ht="14.25" customHeight="1" s="192">
      <c r="W24858" s="239" t="n"/>
      <c r="X24858" s="239" t="n"/>
    </row>
    <row r="24859" ht="14.25" customHeight="1" s="192">
      <c r="W24859" s="235" t="n"/>
      <c r="X24859" s="235" t="n"/>
    </row>
    <row r="24860" ht="14.25" customHeight="1" s="192">
      <c r="W24860" s="235" t="n"/>
      <c r="X24860" s="235" t="n"/>
    </row>
    <row r="24861" ht="14.25" customHeight="1" s="192">
      <c r="W24861" s="235" t="n"/>
      <c r="X24861" s="235" t="n"/>
    </row>
    <row r="24862" ht="14.25" customHeight="1" s="192">
      <c r="W24862" s="239" t="n"/>
      <c r="X24862" s="239" t="n"/>
    </row>
    <row r="24863" ht="14.25" customHeight="1" s="192">
      <c r="W24863" s="239" t="n"/>
      <c r="X24863" s="239" t="n"/>
    </row>
    <row r="24864" ht="14.25" customHeight="1" s="192">
      <c r="W24864" s="235" t="n"/>
      <c r="X24864" s="235" t="n"/>
    </row>
    <row r="24865" ht="14.25" customHeight="1" s="192">
      <c r="W24865" s="235" t="n"/>
      <c r="X24865" s="235" t="n"/>
    </row>
    <row r="24866" ht="14.25" customHeight="1" s="192">
      <c r="W24866" s="239" t="n"/>
      <c r="X24866" s="239" t="n"/>
    </row>
    <row r="24867" ht="14.25" customHeight="1" s="192">
      <c r="W24867" s="235" t="n"/>
      <c r="X24867" s="235" t="n"/>
    </row>
    <row r="24868" ht="14.25" customHeight="1" s="192">
      <c r="W24868" s="239" t="n"/>
      <c r="X24868" s="239" t="n"/>
    </row>
    <row r="24870" ht="14.25" customHeight="1" s="192">
      <c r="W24870" s="235" t="n"/>
      <c r="X24870" s="235" t="n"/>
    </row>
    <row r="24871" ht="15" customHeight="1" s="192" thickBot="1">
      <c r="W24871" s="239" t="n"/>
      <c r="X24871" s="239" t="n"/>
    </row>
    <row r="24872" ht="15" customHeight="1" s="192" thickBot="1">
      <c r="W24872" s="45" t="n"/>
      <c r="X24872" s="45" t="n"/>
    </row>
    <row r="24873" ht="14.25" customHeight="1" s="192">
      <c r="W24873" s="228" t="n"/>
      <c r="X24873" s="228" t="n"/>
    </row>
    <row r="24874" ht="14.25" customHeight="1" s="192">
      <c r="W24874" s="228" t="n"/>
      <c r="X24874" s="228" t="n"/>
    </row>
    <row r="24875" ht="14.25" customHeight="1" s="192">
      <c r="W24875" s="231" t="n"/>
      <c r="X24875" s="231" t="n"/>
    </row>
    <row r="24876" ht="14.25" customHeight="1" s="192">
      <c r="W24876" s="33" t="n"/>
      <c r="X24876" s="33" t="n"/>
    </row>
    <row r="24877" ht="14.25" customHeight="1" s="192">
      <c r="W24877" s="231" t="n"/>
      <c r="X24877" s="231" t="n"/>
    </row>
    <row r="24878" ht="14.25" customHeight="1" s="192">
      <c r="W24878" s="33" t="n"/>
      <c r="X24878" s="33" t="n"/>
    </row>
    <row r="24880" ht="14.25" customHeight="1" s="192">
      <c r="W24880" s="231" t="n"/>
      <c r="X24880" s="231" t="n"/>
    </row>
    <row r="24881" ht="14.25" customHeight="1" s="192">
      <c r="W24881" s="235" t="n"/>
      <c r="X24881" s="235" t="n"/>
    </row>
    <row r="24882" ht="14.25" customHeight="1" s="192">
      <c r="W24882" s="228" t="n"/>
      <c r="X24882" s="228" t="n"/>
    </row>
    <row r="24883" ht="14.25" customHeight="1" s="192">
      <c r="W24883" s="235" t="n"/>
      <c r="X24883" s="235" t="n"/>
    </row>
    <row r="24884" ht="14.25" customHeight="1" s="192">
      <c r="W24884" s="235" t="n"/>
      <c r="X24884" s="235" t="n"/>
    </row>
    <row r="24885" ht="14.25" customHeight="1" s="192">
      <c r="W24885" s="235" t="n"/>
      <c r="X24885" s="235" t="n"/>
    </row>
    <row r="24886" ht="14.25" customHeight="1" s="192">
      <c r="W24886" s="239" t="n"/>
      <c r="X24886" s="239" t="n"/>
    </row>
    <row r="24887" ht="14.25" customHeight="1" s="192">
      <c r="W24887" s="239" t="n"/>
      <c r="X24887" s="239" t="n"/>
    </row>
    <row r="24888" ht="14.25" customHeight="1" s="192">
      <c r="W24888" s="239" t="n"/>
      <c r="X24888" s="239" t="n"/>
    </row>
    <row r="24889" ht="14.25" customHeight="1" s="192">
      <c r="W24889" s="235" t="n"/>
      <c r="X24889" s="235" t="n"/>
    </row>
    <row r="24890" ht="14.25" customHeight="1" s="192">
      <c r="W24890" s="235" t="n"/>
      <c r="X24890" s="235" t="n"/>
    </row>
    <row r="24891" ht="14.25" customHeight="1" s="192">
      <c r="W24891" s="235" t="n"/>
      <c r="X24891" s="235" t="n"/>
    </row>
    <row r="24892" ht="14.25" customHeight="1" s="192">
      <c r="W24892" s="239" t="n"/>
      <c r="X24892" s="239" t="n"/>
    </row>
    <row r="24893" ht="14.25" customHeight="1" s="192">
      <c r="W24893" s="239" t="n"/>
      <c r="X24893" s="239" t="n"/>
    </row>
    <row r="24894" ht="14.25" customHeight="1" s="192">
      <c r="W24894" s="235" t="n"/>
      <c r="X24894" s="235" t="n"/>
    </row>
    <row r="24895" ht="14.25" customHeight="1" s="192">
      <c r="W24895" s="235" t="n"/>
      <c r="X24895" s="235" t="n"/>
    </row>
    <row r="24896" ht="14.25" customHeight="1" s="192">
      <c r="W24896" s="239" t="n"/>
      <c r="X24896" s="239" t="n"/>
    </row>
    <row r="24897" ht="14.25" customHeight="1" s="192">
      <c r="W24897" s="235" t="n"/>
      <c r="X24897" s="235" t="n"/>
    </row>
    <row r="24898" ht="14.25" customHeight="1" s="192">
      <c r="W24898" s="239" t="n"/>
      <c r="X24898" s="239" t="n"/>
    </row>
    <row r="24900" ht="14.25" customHeight="1" s="192">
      <c r="W24900" s="235" t="n"/>
      <c r="X24900" s="235" t="n"/>
    </row>
    <row r="24901" ht="15" customHeight="1" s="192" thickBot="1">
      <c r="W24901" s="239" t="n"/>
      <c r="X24901" s="239" t="n"/>
    </row>
    <row r="24902" ht="15" customHeight="1" s="192" thickBot="1">
      <c r="W24902" s="45" t="n"/>
      <c r="X24902" s="45" t="n"/>
    </row>
    <row r="24903" ht="14.25" customHeight="1" s="192">
      <c r="W24903" s="228" t="n"/>
      <c r="X24903" s="228" t="n"/>
    </row>
    <row r="24904" ht="14.25" customHeight="1" s="192">
      <c r="W24904" s="228" t="n"/>
      <c r="X24904" s="228" t="n"/>
    </row>
    <row r="24905" ht="14.25" customHeight="1" s="192">
      <c r="W24905" s="231" t="n"/>
      <c r="X24905" s="231" t="n"/>
    </row>
    <row r="24906" ht="14.25" customHeight="1" s="192">
      <c r="W24906" s="33" t="n"/>
      <c r="X24906" s="33" t="n"/>
    </row>
    <row r="24907" ht="14.25" customHeight="1" s="192">
      <c r="W24907" s="231" t="n"/>
      <c r="X24907" s="231" t="n"/>
    </row>
    <row r="24908" ht="14.25" customHeight="1" s="192">
      <c r="W24908" s="33" t="n"/>
      <c r="X24908" s="33" t="n"/>
    </row>
    <row r="24910" ht="14.25" customHeight="1" s="192">
      <c r="W24910" s="231" t="n"/>
      <c r="X24910" s="231" t="n"/>
    </row>
    <row r="24911" ht="14.25" customHeight="1" s="192">
      <c r="W24911" s="235" t="n"/>
      <c r="X24911" s="235" t="n"/>
    </row>
    <row r="24912" ht="14.25" customHeight="1" s="192">
      <c r="W24912" s="228" t="n"/>
      <c r="X24912" s="228" t="n"/>
    </row>
    <row r="24913" ht="14.25" customHeight="1" s="192">
      <c r="W24913" s="235" t="n"/>
      <c r="X24913" s="235" t="n"/>
    </row>
    <row r="24914" ht="14.25" customHeight="1" s="192">
      <c r="W24914" s="235" t="n"/>
      <c r="X24914" s="235" t="n"/>
    </row>
    <row r="24915" ht="14.25" customHeight="1" s="192">
      <c r="W24915" s="235" t="n"/>
      <c r="X24915" s="235" t="n"/>
    </row>
    <row r="24916" ht="14.25" customHeight="1" s="192">
      <c r="W24916" s="239" t="n"/>
      <c r="X24916" s="239" t="n"/>
    </row>
    <row r="24917" ht="14.25" customHeight="1" s="192">
      <c r="W24917" s="239" t="n"/>
      <c r="X24917" s="239" t="n"/>
    </row>
    <row r="24918" ht="14.25" customHeight="1" s="192">
      <c r="W24918" s="239" t="n"/>
      <c r="X24918" s="239" t="n"/>
    </row>
    <row r="24919" ht="14.25" customHeight="1" s="192">
      <c r="W24919" s="235" t="n"/>
      <c r="X24919" s="235" t="n"/>
    </row>
    <row r="24920" ht="14.25" customHeight="1" s="192">
      <c r="W24920" s="235" t="n"/>
      <c r="X24920" s="235" t="n"/>
    </row>
    <row r="24921" ht="14.25" customHeight="1" s="192">
      <c r="W24921" s="235" t="n"/>
      <c r="X24921" s="235" t="n"/>
    </row>
    <row r="24922" ht="14.25" customHeight="1" s="192">
      <c r="W24922" s="239" t="n"/>
      <c r="X24922" s="239" t="n"/>
    </row>
    <row r="24923" ht="14.25" customHeight="1" s="192">
      <c r="W24923" s="239" t="n"/>
      <c r="X24923" s="239" t="n"/>
    </row>
    <row r="24924" ht="14.25" customHeight="1" s="192">
      <c r="W24924" s="235" t="n"/>
      <c r="X24924" s="235" t="n"/>
    </row>
    <row r="24925" ht="14.25" customHeight="1" s="192">
      <c r="W24925" s="235" t="n"/>
      <c r="X24925" s="235" t="n"/>
    </row>
    <row r="24926" ht="14.25" customHeight="1" s="192">
      <c r="W24926" s="239" t="n"/>
      <c r="X24926" s="239" t="n"/>
    </row>
    <row r="24927" ht="14.25" customHeight="1" s="192">
      <c r="W24927" s="235" t="n"/>
      <c r="X24927" s="235" t="n"/>
    </row>
    <row r="24928" ht="14.25" customHeight="1" s="192">
      <c r="W24928" s="239" t="n"/>
      <c r="X24928" s="239" t="n"/>
    </row>
    <row r="24930" ht="14.25" customHeight="1" s="192">
      <c r="W24930" s="235" t="n"/>
      <c r="X24930" s="235" t="n"/>
    </row>
    <row r="24931" ht="15" customHeight="1" s="192" thickBot="1">
      <c r="W24931" s="239" t="n"/>
      <c r="X24931" s="239" t="n"/>
    </row>
    <row r="24932" ht="15" customHeight="1" s="192" thickBot="1">
      <c r="W24932" s="45" t="n"/>
      <c r="X24932" s="45" t="n"/>
    </row>
    <row r="24933" ht="14.25" customHeight="1" s="192">
      <c r="W24933" s="228" t="n"/>
      <c r="X24933" s="228" t="n"/>
    </row>
    <row r="24934" ht="14.25" customHeight="1" s="192">
      <c r="W24934" s="228" t="n"/>
      <c r="X24934" s="228" t="n"/>
    </row>
    <row r="24935" ht="14.25" customHeight="1" s="192">
      <c r="W24935" s="231" t="n"/>
      <c r="X24935" s="231" t="n"/>
    </row>
    <row r="24936" ht="14.25" customHeight="1" s="192">
      <c r="W24936" s="33" t="n"/>
      <c r="X24936" s="33" t="n"/>
    </row>
    <row r="24937" ht="14.25" customHeight="1" s="192">
      <c r="W24937" s="231" t="n"/>
      <c r="X24937" s="231" t="n"/>
    </row>
    <row r="24938" ht="14.25" customHeight="1" s="192">
      <c r="W24938" s="33" t="n"/>
      <c r="X24938" s="33" t="n"/>
    </row>
    <row r="24940" ht="14.25" customHeight="1" s="192">
      <c r="W24940" s="231" t="n"/>
      <c r="X24940" s="231" t="n"/>
    </row>
    <row r="24941" ht="14.25" customHeight="1" s="192">
      <c r="W24941" s="235" t="n"/>
      <c r="X24941" s="235" t="n"/>
    </row>
    <row r="24942" ht="14.25" customHeight="1" s="192">
      <c r="W24942" s="228" t="n"/>
      <c r="X24942" s="228" t="n"/>
    </row>
    <row r="24943" ht="14.25" customHeight="1" s="192">
      <c r="W24943" s="235" t="n"/>
      <c r="X24943" s="235" t="n"/>
    </row>
    <row r="24944" ht="14.25" customHeight="1" s="192">
      <c r="W24944" s="235" t="n"/>
      <c r="X24944" s="235" t="n"/>
    </row>
    <row r="24945" ht="14.25" customHeight="1" s="192">
      <c r="W24945" s="235" t="n"/>
      <c r="X24945" s="235" t="n"/>
    </row>
    <row r="24946" ht="14.25" customHeight="1" s="192">
      <c r="W24946" s="239" t="n"/>
      <c r="X24946" s="239" t="n"/>
    </row>
    <row r="24947" ht="14.25" customHeight="1" s="192">
      <c r="W24947" s="239" t="n"/>
      <c r="X24947" s="239" t="n"/>
    </row>
    <row r="24948" ht="14.25" customHeight="1" s="192">
      <c r="W24948" s="239" t="n"/>
      <c r="X24948" s="239" t="n"/>
    </row>
    <row r="24949" ht="14.25" customHeight="1" s="192">
      <c r="W24949" s="235" t="n"/>
      <c r="X24949" s="235" t="n"/>
    </row>
    <row r="24950" ht="14.25" customHeight="1" s="192">
      <c r="W24950" s="235" t="n"/>
      <c r="X24950" s="235" t="n"/>
    </row>
    <row r="24951" ht="14.25" customHeight="1" s="192">
      <c r="W24951" s="235" t="n"/>
      <c r="X24951" s="235" t="n"/>
    </row>
    <row r="24952" ht="14.25" customHeight="1" s="192">
      <c r="W24952" s="239" t="n"/>
      <c r="X24952" s="239" t="n"/>
    </row>
    <row r="24953" ht="14.25" customHeight="1" s="192">
      <c r="W24953" s="239" t="n"/>
      <c r="X24953" s="239" t="n"/>
    </row>
    <row r="24954" ht="14.25" customHeight="1" s="192">
      <c r="W24954" s="235" t="n"/>
      <c r="X24954" s="235" t="n"/>
    </row>
    <row r="24955" ht="14.25" customHeight="1" s="192">
      <c r="W24955" s="235" t="n"/>
      <c r="X24955" s="235" t="n"/>
    </row>
    <row r="24956" ht="14.25" customHeight="1" s="192">
      <c r="W24956" s="239" t="n"/>
      <c r="X24956" s="239" t="n"/>
    </row>
    <row r="24957" ht="14.25" customHeight="1" s="192">
      <c r="W24957" s="235" t="n"/>
      <c r="X24957" s="235" t="n"/>
    </row>
    <row r="24958" ht="14.25" customHeight="1" s="192">
      <c r="W24958" s="239" t="n"/>
      <c r="X24958" s="239" t="n"/>
    </row>
    <row r="24960" ht="14.25" customHeight="1" s="192">
      <c r="W24960" s="235" t="n"/>
      <c r="X24960" s="235" t="n"/>
    </row>
    <row r="24961" ht="15" customHeight="1" s="192" thickBot="1">
      <c r="W24961" s="239" t="n"/>
      <c r="X24961" s="239" t="n"/>
    </row>
    <row r="24962" ht="15" customHeight="1" s="192" thickBot="1">
      <c r="W24962" s="45" t="n"/>
      <c r="X24962" s="45" t="n"/>
    </row>
    <row r="24963" ht="14.25" customHeight="1" s="192">
      <c r="W24963" s="228" t="n"/>
      <c r="X24963" s="228" t="n"/>
    </row>
    <row r="24964" ht="14.25" customHeight="1" s="192">
      <c r="W24964" s="228" t="n"/>
      <c r="X24964" s="228" t="n"/>
    </row>
    <row r="24965" ht="14.25" customHeight="1" s="192">
      <c r="W24965" s="231" t="n"/>
      <c r="X24965" s="231" t="n"/>
    </row>
    <row r="24966" ht="14.25" customHeight="1" s="192">
      <c r="W24966" s="33" t="n"/>
      <c r="X24966" s="33" t="n"/>
    </row>
    <row r="24967" ht="14.25" customHeight="1" s="192">
      <c r="W24967" s="231" t="n"/>
      <c r="X24967" s="231" t="n"/>
    </row>
    <row r="24968" ht="14.25" customHeight="1" s="192">
      <c r="W24968" s="33" t="n"/>
      <c r="X24968" s="33" t="n"/>
    </row>
    <row r="24970" ht="14.25" customHeight="1" s="192">
      <c r="W24970" s="231" t="n"/>
      <c r="X24970" s="231" t="n"/>
    </row>
    <row r="24971" ht="14.25" customHeight="1" s="192">
      <c r="W24971" s="235" t="n"/>
      <c r="X24971" s="235" t="n"/>
    </row>
    <row r="24972" ht="14.25" customHeight="1" s="192">
      <c r="W24972" s="228" t="n"/>
      <c r="X24972" s="228" t="n"/>
    </row>
    <row r="24973" ht="14.25" customHeight="1" s="192">
      <c r="W24973" s="235" t="n"/>
      <c r="X24973" s="235" t="n"/>
    </row>
    <row r="24974" ht="14.25" customHeight="1" s="192">
      <c r="W24974" s="235" t="n"/>
      <c r="X24974" s="235" t="n"/>
    </row>
    <row r="24975" ht="14.25" customHeight="1" s="192">
      <c r="W24975" s="235" t="n"/>
      <c r="X24975" s="235" t="n"/>
    </row>
    <row r="24976" ht="14.25" customHeight="1" s="192">
      <c r="W24976" s="239" t="n"/>
      <c r="X24976" s="239" t="n"/>
    </row>
    <row r="24977" ht="14.25" customHeight="1" s="192">
      <c r="W24977" s="239" t="n"/>
      <c r="X24977" s="239" t="n"/>
    </row>
    <row r="24978" ht="14.25" customHeight="1" s="192">
      <c r="W24978" s="239" t="n"/>
      <c r="X24978" s="239" t="n"/>
    </row>
    <row r="24979" ht="14.25" customHeight="1" s="192">
      <c r="W24979" s="235" t="n"/>
      <c r="X24979" s="235" t="n"/>
    </row>
    <row r="24980" ht="14.25" customHeight="1" s="192">
      <c r="W24980" s="235" t="n"/>
      <c r="X24980" s="235" t="n"/>
    </row>
    <row r="24981" ht="14.25" customHeight="1" s="192">
      <c r="W24981" s="235" t="n"/>
      <c r="X24981" s="235" t="n"/>
    </row>
    <row r="24982" ht="14.25" customHeight="1" s="192">
      <c r="W24982" s="239" t="n"/>
      <c r="X24982" s="239" t="n"/>
    </row>
    <row r="24983" ht="14.25" customHeight="1" s="192">
      <c r="W24983" s="239" t="n"/>
      <c r="X24983" s="239" t="n"/>
    </row>
    <row r="24984" ht="14.25" customHeight="1" s="192">
      <c r="W24984" s="235" t="n"/>
      <c r="X24984" s="235" t="n"/>
    </row>
    <row r="24985" ht="14.25" customHeight="1" s="192">
      <c r="W24985" s="235" t="n"/>
      <c r="X24985" s="235" t="n"/>
    </row>
    <row r="24986" ht="14.25" customHeight="1" s="192">
      <c r="W24986" s="239" t="n"/>
      <c r="X24986" s="239" t="n"/>
    </row>
    <row r="24987" ht="14.25" customHeight="1" s="192">
      <c r="W24987" s="235" t="n"/>
      <c r="X24987" s="235" t="n"/>
    </row>
    <row r="24988" ht="14.25" customHeight="1" s="192">
      <c r="W24988" s="239" t="n"/>
      <c r="X24988" s="239" t="n"/>
    </row>
    <row r="24990" ht="14.25" customHeight="1" s="192">
      <c r="W24990" s="235" t="n"/>
      <c r="X24990" s="235" t="n"/>
    </row>
    <row r="24991" ht="15" customHeight="1" s="192" thickBot="1">
      <c r="W24991" s="239" t="n"/>
      <c r="X24991" s="239" t="n"/>
    </row>
    <row r="24992" ht="15" customHeight="1" s="192" thickBot="1">
      <c r="W24992" s="45" t="n"/>
      <c r="X24992" s="45" t="n"/>
    </row>
    <row r="24993" ht="14.25" customHeight="1" s="192">
      <c r="W24993" s="228" t="n"/>
      <c r="X24993" s="228" t="n"/>
    </row>
    <row r="24994" ht="14.25" customHeight="1" s="192">
      <c r="W24994" s="228" t="n"/>
      <c r="X24994" s="228" t="n"/>
    </row>
    <row r="24995" ht="14.25" customHeight="1" s="192">
      <c r="W24995" s="231" t="n"/>
      <c r="X24995" s="231" t="n"/>
    </row>
    <row r="24996" ht="14.25" customHeight="1" s="192">
      <c r="W24996" s="33" t="n"/>
      <c r="X24996" s="33" t="n"/>
    </row>
    <row r="24997" ht="14.25" customHeight="1" s="192">
      <c r="W24997" s="231" t="n"/>
      <c r="X24997" s="231" t="n"/>
    </row>
    <row r="24998" ht="14.25" customHeight="1" s="192">
      <c r="W24998" s="33" t="n"/>
      <c r="X24998" s="33" t="n"/>
    </row>
    <row r="25000" ht="14.25" customHeight="1" s="192">
      <c r="W25000" s="231" t="n"/>
      <c r="X25000" s="231" t="n"/>
    </row>
    <row r="25001" ht="14.25" customHeight="1" s="192">
      <c r="W25001" s="235" t="n"/>
      <c r="X25001" s="235" t="n"/>
    </row>
    <row r="25002" ht="14.25" customHeight="1" s="192">
      <c r="W25002" s="228" t="n"/>
      <c r="X25002" s="228" t="n"/>
    </row>
    <row r="25003" ht="14.25" customHeight="1" s="192">
      <c r="W25003" s="235" t="n"/>
      <c r="X25003" s="235" t="n"/>
    </row>
    <row r="25004" ht="14.25" customHeight="1" s="192">
      <c r="W25004" s="235" t="n"/>
      <c r="X25004" s="235" t="n"/>
    </row>
    <row r="25005" ht="14.25" customHeight="1" s="192">
      <c r="W25005" s="235" t="n"/>
      <c r="X25005" s="235" t="n"/>
    </row>
    <row r="25006" ht="14.25" customHeight="1" s="192">
      <c r="W25006" s="239" t="n"/>
      <c r="X25006" s="239" t="n"/>
    </row>
    <row r="25007" ht="14.25" customHeight="1" s="192">
      <c r="W25007" s="239" t="n"/>
      <c r="X25007" s="239" t="n"/>
    </row>
    <row r="25008" ht="14.25" customHeight="1" s="192">
      <c r="W25008" s="239" t="n"/>
      <c r="X25008" s="239" t="n"/>
    </row>
    <row r="25009" ht="14.25" customHeight="1" s="192">
      <c r="W25009" s="235" t="n"/>
      <c r="X25009" s="235" t="n"/>
    </row>
    <row r="25010" ht="14.25" customHeight="1" s="192">
      <c r="W25010" s="235" t="n"/>
      <c r="X25010" s="235" t="n"/>
    </row>
    <row r="25011" ht="14.25" customHeight="1" s="192">
      <c r="W25011" s="235" t="n"/>
      <c r="X25011" s="235" t="n"/>
    </row>
    <row r="25012" ht="14.25" customHeight="1" s="192">
      <c r="W25012" s="239" t="n"/>
      <c r="X25012" s="239" t="n"/>
    </row>
    <row r="25013" ht="14.25" customHeight="1" s="192">
      <c r="W25013" s="239" t="n"/>
      <c r="X25013" s="239" t="n"/>
    </row>
    <row r="25014" ht="14.25" customHeight="1" s="192">
      <c r="W25014" s="235" t="n"/>
      <c r="X25014" s="235" t="n"/>
    </row>
    <row r="25015" ht="14.25" customHeight="1" s="192">
      <c r="W25015" s="235" t="n"/>
      <c r="X25015" s="235" t="n"/>
    </row>
    <row r="25016" ht="14.25" customHeight="1" s="192">
      <c r="W25016" s="239" t="n"/>
      <c r="X25016" s="239" t="n"/>
    </row>
    <row r="25017" ht="14.25" customHeight="1" s="192">
      <c r="W25017" s="235" t="n"/>
      <c r="X25017" s="235" t="n"/>
    </row>
    <row r="25018" ht="14.25" customHeight="1" s="192">
      <c r="W25018" s="239" t="n"/>
      <c r="X25018" s="239" t="n"/>
    </row>
    <row r="25020" ht="14.25" customHeight="1" s="192">
      <c r="W25020" s="235" t="n"/>
      <c r="X25020" s="235" t="n"/>
    </row>
    <row r="25021" ht="15" customHeight="1" s="192" thickBot="1">
      <c r="W25021" s="239" t="n"/>
      <c r="X25021" s="239" t="n"/>
    </row>
    <row r="25022" ht="15" customHeight="1" s="192" thickBot="1">
      <c r="W25022" s="45" t="n"/>
      <c r="X25022" s="45" t="n"/>
    </row>
    <row r="25023" ht="14.25" customHeight="1" s="192">
      <c r="W25023" s="228" t="n"/>
      <c r="X25023" s="228" t="n"/>
    </row>
    <row r="25024" ht="14.25" customHeight="1" s="192">
      <c r="W25024" s="228" t="n"/>
      <c r="X25024" s="228" t="n"/>
    </row>
    <row r="25025" ht="14.25" customHeight="1" s="192">
      <c r="W25025" s="231" t="n"/>
      <c r="X25025" s="231" t="n"/>
    </row>
    <row r="25026" ht="14.25" customHeight="1" s="192">
      <c r="W25026" s="33" t="n"/>
      <c r="X25026" s="33" t="n"/>
    </row>
    <row r="25027" ht="14.25" customHeight="1" s="192">
      <c r="W25027" s="231" t="n"/>
      <c r="X25027" s="231" t="n"/>
    </row>
    <row r="25028" ht="14.25" customHeight="1" s="192">
      <c r="W25028" s="33" t="n"/>
      <c r="X25028" s="33" t="n"/>
    </row>
    <row r="25030" ht="14.25" customHeight="1" s="192">
      <c r="W25030" s="231" t="n"/>
      <c r="X25030" s="231" t="n"/>
    </row>
    <row r="25031" ht="14.25" customHeight="1" s="192">
      <c r="W25031" s="235" t="n"/>
      <c r="X25031" s="235" t="n"/>
    </row>
    <row r="25032" ht="14.25" customHeight="1" s="192">
      <c r="W25032" s="228" t="n"/>
      <c r="X25032" s="228" t="n"/>
    </row>
    <row r="25033" ht="14.25" customHeight="1" s="192">
      <c r="W25033" s="235" t="n"/>
      <c r="X25033" s="235" t="n"/>
    </row>
    <row r="25034" ht="14.25" customHeight="1" s="192">
      <c r="W25034" s="235" t="n"/>
      <c r="X25034" s="235" t="n"/>
    </row>
    <row r="25035" ht="14.25" customHeight="1" s="192">
      <c r="W25035" s="235" t="n"/>
      <c r="X25035" s="235" t="n"/>
    </row>
    <row r="25036" ht="14.25" customHeight="1" s="192">
      <c r="W25036" s="239" t="n"/>
      <c r="X25036" s="239" t="n"/>
    </row>
    <row r="25037" ht="14.25" customHeight="1" s="192">
      <c r="W25037" s="239" t="n"/>
      <c r="X25037" s="239" t="n"/>
    </row>
    <row r="25038" ht="14.25" customHeight="1" s="192">
      <c r="W25038" s="239" t="n"/>
      <c r="X25038" s="239" t="n"/>
    </row>
    <row r="25039" ht="14.25" customHeight="1" s="192">
      <c r="W25039" s="235" t="n"/>
      <c r="X25039" s="235" t="n"/>
    </row>
    <row r="25040" ht="14.25" customHeight="1" s="192">
      <c r="W25040" s="235" t="n"/>
      <c r="X25040" s="235" t="n"/>
    </row>
    <row r="25041" ht="14.25" customHeight="1" s="192">
      <c r="W25041" s="235" t="n"/>
      <c r="X25041" s="235" t="n"/>
    </row>
    <row r="25042" ht="14.25" customHeight="1" s="192">
      <c r="W25042" s="239" t="n"/>
      <c r="X25042" s="239" t="n"/>
    </row>
    <row r="25043" ht="14.25" customHeight="1" s="192">
      <c r="W25043" s="239" t="n"/>
      <c r="X25043" s="239" t="n"/>
    </row>
    <row r="25044" ht="14.25" customHeight="1" s="192">
      <c r="W25044" s="235" t="n"/>
      <c r="X25044" s="235" t="n"/>
    </row>
    <row r="25045" ht="14.25" customHeight="1" s="192">
      <c r="W25045" s="235" t="n"/>
      <c r="X25045" s="235" t="n"/>
    </row>
    <row r="25046" ht="14.25" customHeight="1" s="192">
      <c r="W25046" s="239" t="n"/>
      <c r="X25046" s="239" t="n"/>
    </row>
    <row r="25047" ht="14.25" customHeight="1" s="192">
      <c r="W25047" s="235" t="n"/>
      <c r="X25047" s="235" t="n"/>
    </row>
    <row r="25048" ht="14.25" customHeight="1" s="192">
      <c r="W25048" s="239" t="n"/>
      <c r="X25048" s="239" t="n"/>
    </row>
    <row r="25050" ht="14.25" customHeight="1" s="192">
      <c r="W25050" s="235" t="n"/>
      <c r="X25050" s="235" t="n"/>
    </row>
    <row r="25051" ht="15" customHeight="1" s="192" thickBot="1">
      <c r="W25051" s="239" t="n"/>
      <c r="X25051" s="239" t="n"/>
    </row>
    <row r="25052" ht="15" customHeight="1" s="192" thickBot="1">
      <c r="W25052" s="45" t="n"/>
      <c r="X25052" s="45" t="n"/>
    </row>
    <row r="25053" ht="14.25" customHeight="1" s="192">
      <c r="W25053" s="228" t="n"/>
      <c r="X25053" s="228" t="n"/>
    </row>
    <row r="25054" ht="14.25" customHeight="1" s="192">
      <c r="W25054" s="228" t="n"/>
      <c r="X25054" s="228" t="n"/>
    </row>
    <row r="25055" ht="14.25" customHeight="1" s="192">
      <c r="W25055" s="231" t="n"/>
      <c r="X25055" s="231" t="n"/>
    </row>
    <row r="25056" ht="14.25" customHeight="1" s="192">
      <c r="W25056" s="33" t="n"/>
      <c r="X25056" s="33" t="n"/>
    </row>
    <row r="25057" ht="14.25" customHeight="1" s="192">
      <c r="W25057" s="231" t="n"/>
      <c r="X25057" s="231" t="n"/>
    </row>
    <row r="25058" ht="14.25" customHeight="1" s="192">
      <c r="W25058" s="33" t="n"/>
      <c r="X25058" s="33" t="n"/>
    </row>
    <row r="25060" ht="14.25" customHeight="1" s="192">
      <c r="W25060" s="231" t="n"/>
      <c r="X25060" s="231" t="n"/>
    </row>
    <row r="25061" ht="14.25" customHeight="1" s="192">
      <c r="W25061" s="235" t="n"/>
      <c r="X25061" s="235" t="n"/>
    </row>
    <row r="25062" ht="14.25" customHeight="1" s="192">
      <c r="W25062" s="228" t="n"/>
      <c r="X25062" s="228" t="n"/>
    </row>
    <row r="25063" ht="14.25" customHeight="1" s="192">
      <c r="W25063" s="235" t="n"/>
      <c r="X25063" s="235" t="n"/>
    </row>
    <row r="25064" ht="14.25" customHeight="1" s="192">
      <c r="W25064" s="235" t="n"/>
      <c r="X25064" s="235" t="n"/>
    </row>
    <row r="25065" ht="14.25" customHeight="1" s="192">
      <c r="W25065" s="235" t="n"/>
      <c r="X25065" s="235" t="n"/>
    </row>
    <row r="25066" ht="14.25" customHeight="1" s="192">
      <c r="W25066" s="239" t="n"/>
      <c r="X25066" s="239" t="n"/>
    </row>
    <row r="25067" ht="14.25" customHeight="1" s="192">
      <c r="W25067" s="239" t="n"/>
      <c r="X25067" s="239" t="n"/>
    </row>
    <row r="25068" ht="14.25" customHeight="1" s="192">
      <c r="W25068" s="239" t="n"/>
      <c r="X25068" s="239" t="n"/>
    </row>
    <row r="25069" ht="14.25" customHeight="1" s="192">
      <c r="W25069" s="235" t="n"/>
      <c r="X25069" s="235" t="n"/>
    </row>
    <row r="25070" ht="14.25" customHeight="1" s="192">
      <c r="W25070" s="235" t="n"/>
      <c r="X25070" s="235" t="n"/>
    </row>
    <row r="25071" ht="14.25" customHeight="1" s="192">
      <c r="W25071" s="235" t="n"/>
      <c r="X25071" s="235" t="n"/>
    </row>
    <row r="25072" ht="14.25" customHeight="1" s="192">
      <c r="W25072" s="239" t="n"/>
      <c r="X25072" s="239" t="n"/>
    </row>
    <row r="25073" ht="14.25" customHeight="1" s="192">
      <c r="W25073" s="239" t="n"/>
      <c r="X25073" s="239" t="n"/>
    </row>
    <row r="25074" ht="14.25" customHeight="1" s="192">
      <c r="W25074" s="235" t="n"/>
      <c r="X25074" s="235" t="n"/>
    </row>
    <row r="25075" ht="14.25" customHeight="1" s="192">
      <c r="W25075" s="235" t="n"/>
      <c r="X25075" s="235" t="n"/>
    </row>
    <row r="25076" ht="14.25" customHeight="1" s="192">
      <c r="W25076" s="239" t="n"/>
      <c r="X25076" s="239" t="n"/>
    </row>
    <row r="25077" ht="14.25" customHeight="1" s="192">
      <c r="W25077" s="235" t="n"/>
      <c r="X25077" s="235" t="n"/>
    </row>
    <row r="25078" ht="14.25" customHeight="1" s="192">
      <c r="W25078" s="239" t="n"/>
      <c r="X25078" s="239" t="n"/>
    </row>
    <row r="25080" ht="14.25" customHeight="1" s="192">
      <c r="W25080" s="235" t="n"/>
      <c r="X25080" s="235" t="n"/>
    </row>
    <row r="25081" ht="15" customHeight="1" s="192" thickBot="1">
      <c r="W25081" s="239" t="n"/>
      <c r="X25081" s="239" t="n"/>
    </row>
    <row r="25082" ht="15" customHeight="1" s="192" thickBot="1">
      <c r="W25082" s="45" t="n"/>
      <c r="X25082" s="45" t="n"/>
    </row>
    <row r="25083" ht="14.25" customHeight="1" s="192">
      <c r="W25083" s="228" t="n"/>
      <c r="X25083" s="228" t="n"/>
    </row>
    <row r="25084" ht="14.25" customHeight="1" s="192">
      <c r="W25084" s="228" t="n"/>
      <c r="X25084" s="228" t="n"/>
    </row>
    <row r="25085" ht="14.25" customHeight="1" s="192">
      <c r="W25085" s="231" t="n"/>
      <c r="X25085" s="231" t="n"/>
    </row>
    <row r="25086" ht="14.25" customHeight="1" s="192">
      <c r="W25086" s="33" t="n"/>
      <c r="X25086" s="33" t="n"/>
    </row>
    <row r="25087" ht="14.25" customHeight="1" s="192">
      <c r="W25087" s="231" t="n"/>
      <c r="X25087" s="231" t="n"/>
    </row>
    <row r="25088" ht="14.25" customHeight="1" s="192">
      <c r="W25088" s="33" t="n"/>
      <c r="X25088" s="33" t="n"/>
    </row>
    <row r="25090" ht="14.25" customHeight="1" s="192">
      <c r="W25090" s="231" t="n"/>
      <c r="X25090" s="231" t="n"/>
    </row>
    <row r="25091" ht="14.25" customHeight="1" s="192">
      <c r="W25091" s="235" t="n"/>
      <c r="X25091" s="235" t="n"/>
    </row>
    <row r="25092" ht="14.25" customHeight="1" s="192">
      <c r="W25092" s="228" t="n"/>
      <c r="X25092" s="228" t="n"/>
    </row>
    <row r="25093" ht="14.25" customHeight="1" s="192">
      <c r="W25093" s="235" t="n"/>
      <c r="X25093" s="235" t="n"/>
    </row>
    <row r="25094" ht="14.25" customHeight="1" s="192">
      <c r="W25094" s="235" t="n"/>
      <c r="X25094" s="235" t="n"/>
    </row>
    <row r="25095" ht="14.25" customHeight="1" s="192">
      <c r="W25095" s="235" t="n"/>
      <c r="X25095" s="235" t="n"/>
    </row>
    <row r="25096" ht="14.25" customHeight="1" s="192">
      <c r="W25096" s="239" t="n"/>
      <c r="X25096" s="239" t="n"/>
    </row>
    <row r="25097" ht="14.25" customHeight="1" s="192">
      <c r="W25097" s="239" t="n"/>
      <c r="X25097" s="239" t="n"/>
    </row>
    <row r="25098" ht="14.25" customHeight="1" s="192">
      <c r="W25098" s="239" t="n"/>
      <c r="X25098" s="239" t="n"/>
    </row>
    <row r="25099" ht="14.25" customHeight="1" s="192">
      <c r="W25099" s="235" t="n"/>
      <c r="X25099" s="235" t="n"/>
    </row>
    <row r="25100" ht="14.25" customHeight="1" s="192">
      <c r="W25100" s="235" t="n"/>
      <c r="X25100" s="235" t="n"/>
    </row>
    <row r="25101" ht="14.25" customHeight="1" s="192">
      <c r="W25101" s="235" t="n"/>
      <c r="X25101" s="235" t="n"/>
    </row>
    <row r="25102" ht="14.25" customHeight="1" s="192">
      <c r="W25102" s="239" t="n"/>
      <c r="X25102" s="239" t="n"/>
    </row>
    <row r="25103" ht="14.25" customHeight="1" s="192">
      <c r="W25103" s="239" t="n"/>
      <c r="X25103" s="239" t="n"/>
    </row>
    <row r="25104" ht="14.25" customHeight="1" s="192">
      <c r="W25104" s="235" t="n"/>
      <c r="X25104" s="235" t="n"/>
    </row>
    <row r="25105" ht="14.25" customHeight="1" s="192">
      <c r="W25105" s="235" t="n"/>
      <c r="X25105" s="235" t="n"/>
    </row>
    <row r="25106" ht="14.25" customHeight="1" s="192">
      <c r="W25106" s="239" t="n"/>
      <c r="X25106" s="239" t="n"/>
    </row>
    <row r="25107" ht="14.25" customHeight="1" s="192">
      <c r="W25107" s="235" t="n"/>
      <c r="X25107" s="235" t="n"/>
    </row>
    <row r="25108" ht="14.25" customHeight="1" s="192">
      <c r="W25108" s="239" t="n"/>
      <c r="X25108" s="239" t="n"/>
    </row>
    <row r="25110" ht="14.25" customHeight="1" s="192">
      <c r="W25110" s="235" t="n"/>
      <c r="X25110" s="235" t="n"/>
    </row>
    <row r="25111" ht="15" customHeight="1" s="192" thickBot="1">
      <c r="W25111" s="239" t="n"/>
      <c r="X25111" s="239" t="n"/>
    </row>
    <row r="25112" ht="15" customHeight="1" s="192" thickBot="1">
      <c r="W25112" s="45" t="n"/>
      <c r="X25112" s="45" t="n"/>
    </row>
    <row r="25113" ht="14.25" customHeight="1" s="192">
      <c r="W25113" s="228" t="n"/>
      <c r="X25113" s="228" t="n"/>
    </row>
    <row r="25114" ht="14.25" customHeight="1" s="192">
      <c r="W25114" s="228" t="n"/>
      <c r="X25114" s="228" t="n"/>
    </row>
    <row r="25115" ht="14.25" customHeight="1" s="192">
      <c r="W25115" s="231" t="n"/>
      <c r="X25115" s="231" t="n"/>
    </row>
    <row r="25116" ht="14.25" customHeight="1" s="192">
      <c r="W25116" s="33" t="n"/>
      <c r="X25116" s="33" t="n"/>
    </row>
    <row r="25117" ht="14.25" customHeight="1" s="192">
      <c r="W25117" s="231" t="n"/>
      <c r="X25117" s="231" t="n"/>
    </row>
    <row r="25118" ht="14.25" customHeight="1" s="192">
      <c r="W25118" s="33" t="n"/>
      <c r="X25118" s="33" t="n"/>
    </row>
    <row r="25120" ht="14.25" customHeight="1" s="192">
      <c r="W25120" s="231" t="n"/>
      <c r="X25120" s="231" t="n"/>
    </row>
    <row r="25121" ht="14.25" customHeight="1" s="192">
      <c r="W25121" s="235" t="n"/>
      <c r="X25121" s="235" t="n"/>
    </row>
    <row r="25122" ht="14.25" customHeight="1" s="192">
      <c r="W25122" s="228" t="n"/>
      <c r="X25122" s="228" t="n"/>
    </row>
    <row r="25123" ht="14.25" customHeight="1" s="192">
      <c r="W25123" s="235" t="n"/>
      <c r="X25123" s="235" t="n"/>
    </row>
    <row r="25124" ht="14.25" customHeight="1" s="192">
      <c r="W25124" s="235" t="n"/>
      <c r="X25124" s="235" t="n"/>
    </row>
    <row r="25125" ht="14.25" customHeight="1" s="192">
      <c r="W25125" s="235" t="n"/>
      <c r="X25125" s="235" t="n"/>
    </row>
    <row r="25126" ht="14.25" customHeight="1" s="192">
      <c r="W25126" s="239" t="n"/>
      <c r="X25126" s="239" t="n"/>
    </row>
    <row r="25127" ht="14.25" customHeight="1" s="192">
      <c r="W25127" s="239" t="n"/>
      <c r="X25127" s="239" t="n"/>
    </row>
    <row r="25128" ht="14.25" customHeight="1" s="192">
      <c r="W25128" s="239" t="n"/>
      <c r="X25128" s="239" t="n"/>
    </row>
    <row r="25129" ht="14.25" customHeight="1" s="192">
      <c r="W25129" s="235" t="n"/>
      <c r="X25129" s="235" t="n"/>
    </row>
    <row r="25130" ht="14.25" customHeight="1" s="192">
      <c r="W25130" s="235" t="n"/>
      <c r="X25130" s="235" t="n"/>
    </row>
    <row r="25131" ht="14.25" customHeight="1" s="192">
      <c r="W25131" s="235" t="n"/>
      <c r="X25131" s="235" t="n"/>
    </row>
    <row r="25132" ht="14.25" customHeight="1" s="192">
      <c r="W25132" s="239" t="n"/>
      <c r="X25132" s="239" t="n"/>
    </row>
    <row r="25133" ht="14.25" customHeight="1" s="192">
      <c r="W25133" s="239" t="n"/>
      <c r="X25133" s="239" t="n"/>
    </row>
    <row r="25134" ht="14.25" customHeight="1" s="192">
      <c r="W25134" s="235" t="n"/>
      <c r="X25134" s="235" t="n"/>
    </row>
    <row r="25135" ht="14.25" customHeight="1" s="192">
      <c r="W25135" s="235" t="n"/>
      <c r="X25135" s="235" t="n"/>
    </row>
    <row r="25136" ht="14.25" customHeight="1" s="192">
      <c r="W25136" s="239" t="n"/>
      <c r="X25136" s="239" t="n"/>
    </row>
    <row r="25137" ht="14.25" customHeight="1" s="192">
      <c r="W25137" s="235" t="n"/>
      <c r="X25137" s="235" t="n"/>
    </row>
    <row r="25138" ht="14.25" customHeight="1" s="192">
      <c r="W25138" s="239" t="n"/>
      <c r="X25138" s="239" t="n"/>
    </row>
    <row r="25140" ht="14.25" customHeight="1" s="192">
      <c r="W25140" s="235" t="n"/>
      <c r="X25140" s="235" t="n"/>
    </row>
    <row r="25141" ht="15" customHeight="1" s="192" thickBot="1">
      <c r="W25141" s="239" t="n"/>
      <c r="X25141" s="239" t="n"/>
    </row>
    <row r="25142" ht="15" customHeight="1" s="192" thickBot="1">
      <c r="W25142" s="45" t="n"/>
      <c r="X25142" s="45" t="n"/>
    </row>
    <row r="25143" ht="14.25" customHeight="1" s="192">
      <c r="W25143" s="228" t="n"/>
      <c r="X25143" s="228" t="n"/>
    </row>
    <row r="25144" ht="14.25" customHeight="1" s="192">
      <c r="W25144" s="228" t="n"/>
      <c r="X25144" s="228" t="n"/>
    </row>
    <row r="25145" ht="14.25" customHeight="1" s="192">
      <c r="W25145" s="231" t="n"/>
      <c r="X25145" s="231" t="n"/>
    </row>
    <row r="25146" ht="14.25" customHeight="1" s="192">
      <c r="W25146" s="33" t="n"/>
      <c r="X25146" s="33" t="n"/>
    </row>
    <row r="25147" ht="14.25" customHeight="1" s="192">
      <c r="W25147" s="231" t="n"/>
      <c r="X25147" s="231" t="n"/>
    </row>
    <row r="25148" ht="14.25" customHeight="1" s="192">
      <c r="W25148" s="33" t="n"/>
      <c r="X25148" s="33" t="n"/>
    </row>
    <row r="25150" ht="14.25" customHeight="1" s="192">
      <c r="W25150" s="231" t="n"/>
      <c r="X25150" s="231" t="n"/>
    </row>
    <row r="25151" ht="14.25" customHeight="1" s="192">
      <c r="W25151" s="235" t="n"/>
      <c r="X25151" s="235" t="n"/>
    </row>
    <row r="25152" ht="14.25" customHeight="1" s="192">
      <c r="W25152" s="228" t="n"/>
      <c r="X25152" s="228" t="n"/>
    </row>
    <row r="25153" ht="14.25" customHeight="1" s="192">
      <c r="W25153" s="235" t="n"/>
      <c r="X25153" s="235" t="n"/>
    </row>
    <row r="25154" ht="14.25" customHeight="1" s="192">
      <c r="W25154" s="235" t="n"/>
      <c r="X25154" s="235" t="n"/>
    </row>
    <row r="25155" ht="14.25" customHeight="1" s="192">
      <c r="W25155" s="235" t="n"/>
      <c r="X25155" s="235" t="n"/>
    </row>
    <row r="25156" ht="14.25" customHeight="1" s="192">
      <c r="W25156" s="239" t="n"/>
      <c r="X25156" s="239" t="n"/>
    </row>
    <row r="25157" ht="14.25" customHeight="1" s="192">
      <c r="W25157" s="239" t="n"/>
      <c r="X25157" s="239" t="n"/>
    </row>
    <row r="25158" ht="14.25" customHeight="1" s="192">
      <c r="W25158" s="239" t="n"/>
      <c r="X25158" s="239" t="n"/>
    </row>
    <row r="25159" ht="14.25" customHeight="1" s="192">
      <c r="W25159" s="235" t="n"/>
      <c r="X25159" s="235" t="n"/>
    </row>
    <row r="25160" ht="14.25" customHeight="1" s="192">
      <c r="W25160" s="235" t="n"/>
      <c r="X25160" s="235" t="n"/>
    </row>
    <row r="25161" ht="14.25" customHeight="1" s="192">
      <c r="W25161" s="235" t="n"/>
      <c r="X25161" s="235" t="n"/>
    </row>
    <row r="25162" ht="14.25" customHeight="1" s="192">
      <c r="W25162" s="239" t="n"/>
      <c r="X25162" s="239" t="n"/>
    </row>
    <row r="25163" ht="14.25" customHeight="1" s="192">
      <c r="W25163" s="239" t="n"/>
      <c r="X25163" s="239" t="n"/>
    </row>
    <row r="25164" ht="14.25" customHeight="1" s="192">
      <c r="W25164" s="235" t="n"/>
      <c r="X25164" s="235" t="n"/>
    </row>
    <row r="25165" ht="14.25" customHeight="1" s="192">
      <c r="W25165" s="235" t="n"/>
      <c r="X25165" s="235" t="n"/>
    </row>
    <row r="25166" ht="14.25" customHeight="1" s="192">
      <c r="W25166" s="239" t="n"/>
      <c r="X25166" s="239" t="n"/>
    </row>
    <row r="25167" ht="14.25" customHeight="1" s="192">
      <c r="W25167" s="235" t="n"/>
      <c r="X25167" s="235" t="n"/>
    </row>
    <row r="25168" ht="14.25" customHeight="1" s="192">
      <c r="W25168" s="239" t="n"/>
      <c r="X25168" s="239" t="n"/>
    </row>
    <row r="25170" ht="14.25" customHeight="1" s="192">
      <c r="W25170" s="235" t="n"/>
      <c r="X25170" s="235" t="n"/>
    </row>
    <row r="25171" ht="15" customHeight="1" s="192" thickBot="1">
      <c r="W25171" s="239" t="n"/>
      <c r="X25171" s="239" t="n"/>
    </row>
    <row r="25172" ht="15" customHeight="1" s="192" thickBot="1">
      <c r="W25172" s="45" t="n"/>
      <c r="X25172" s="45" t="n"/>
    </row>
    <row r="25173" ht="14.25" customHeight="1" s="192">
      <c r="W25173" s="228" t="n"/>
      <c r="X25173" s="228" t="n"/>
    </row>
    <row r="25174" ht="14.25" customHeight="1" s="192">
      <c r="W25174" s="228" t="n"/>
      <c r="X25174" s="228" t="n"/>
    </row>
    <row r="25175" ht="14.25" customHeight="1" s="192">
      <c r="W25175" s="231" t="n"/>
      <c r="X25175" s="231" t="n"/>
    </row>
    <row r="25176" ht="14.25" customHeight="1" s="192">
      <c r="W25176" s="33" t="n"/>
      <c r="X25176" s="33" t="n"/>
    </row>
    <row r="25177" ht="14.25" customHeight="1" s="192">
      <c r="W25177" s="231" t="n"/>
      <c r="X25177" s="231" t="n"/>
    </row>
    <row r="25178" ht="14.25" customHeight="1" s="192">
      <c r="W25178" s="33" t="n"/>
      <c r="X25178" s="33" t="n"/>
    </row>
    <row r="25180" ht="14.25" customHeight="1" s="192">
      <c r="W25180" s="231" t="n"/>
      <c r="X25180" s="231" t="n"/>
    </row>
    <row r="25181" ht="14.25" customHeight="1" s="192">
      <c r="W25181" s="235" t="n"/>
      <c r="X25181" s="235" t="n"/>
    </row>
    <row r="25182" ht="14.25" customHeight="1" s="192">
      <c r="W25182" s="228" t="n"/>
      <c r="X25182" s="228" t="n"/>
    </row>
    <row r="25183" ht="14.25" customHeight="1" s="192">
      <c r="W25183" s="235" t="n"/>
      <c r="X25183" s="235" t="n"/>
    </row>
    <row r="25184" ht="14.25" customHeight="1" s="192">
      <c r="W25184" s="235" t="n"/>
      <c r="X25184" s="235" t="n"/>
    </row>
    <row r="25185" ht="14.25" customHeight="1" s="192">
      <c r="W25185" s="235" t="n"/>
      <c r="X25185" s="235" t="n"/>
    </row>
    <row r="25186" ht="14.25" customHeight="1" s="192">
      <c r="W25186" s="239" t="n"/>
      <c r="X25186" s="239" t="n"/>
    </row>
    <row r="25187" ht="14.25" customHeight="1" s="192">
      <c r="W25187" s="239" t="n"/>
      <c r="X25187" s="239" t="n"/>
    </row>
    <row r="25188" ht="14.25" customHeight="1" s="192">
      <c r="W25188" s="239" t="n"/>
      <c r="X25188" s="239" t="n"/>
    </row>
    <row r="25189" ht="14.25" customHeight="1" s="192">
      <c r="W25189" s="235" t="n"/>
      <c r="X25189" s="235" t="n"/>
    </row>
    <row r="25190" ht="14.25" customHeight="1" s="192">
      <c r="W25190" s="235" t="n"/>
      <c r="X25190" s="235" t="n"/>
    </row>
    <row r="25191" ht="14.25" customHeight="1" s="192">
      <c r="W25191" s="235" t="n"/>
      <c r="X25191" s="235" t="n"/>
    </row>
    <row r="25192" ht="14.25" customHeight="1" s="192">
      <c r="W25192" s="239" t="n"/>
      <c r="X25192" s="239" t="n"/>
    </row>
    <row r="25193" ht="14.25" customHeight="1" s="192">
      <c r="W25193" s="239" t="n"/>
      <c r="X25193" s="239" t="n"/>
    </row>
    <row r="25194" ht="14.25" customHeight="1" s="192">
      <c r="W25194" s="235" t="n"/>
      <c r="X25194" s="235" t="n"/>
    </row>
    <row r="25195" ht="14.25" customHeight="1" s="192">
      <c r="W25195" s="235" t="n"/>
      <c r="X25195" s="235" t="n"/>
    </row>
    <row r="25196" ht="14.25" customHeight="1" s="192">
      <c r="W25196" s="239" t="n"/>
      <c r="X25196" s="239" t="n"/>
    </row>
    <row r="25197" ht="14.25" customHeight="1" s="192">
      <c r="W25197" s="235" t="n"/>
      <c r="X25197" s="235" t="n"/>
    </row>
    <row r="25198" ht="14.25" customHeight="1" s="192">
      <c r="W25198" s="239" t="n"/>
      <c r="X25198" s="239" t="n"/>
    </row>
    <row r="25200" ht="14.25" customHeight="1" s="192">
      <c r="W25200" s="235" t="n"/>
      <c r="X25200" s="235" t="n"/>
    </row>
    <row r="25201" ht="15" customHeight="1" s="192" thickBot="1">
      <c r="W25201" s="239" t="n"/>
      <c r="X25201" s="239" t="n"/>
    </row>
    <row r="25202" ht="15" customHeight="1" s="192" thickBot="1">
      <c r="W25202" s="45" t="n"/>
      <c r="X25202" s="45" t="n"/>
    </row>
    <row r="25203" ht="14.25" customHeight="1" s="192">
      <c r="W25203" s="228" t="n"/>
      <c r="X25203" s="228" t="n"/>
    </row>
    <row r="25204" ht="14.25" customHeight="1" s="192">
      <c r="W25204" s="228" t="n"/>
      <c r="X25204" s="228" t="n"/>
    </row>
    <row r="25205" ht="14.25" customHeight="1" s="192">
      <c r="W25205" s="231" t="n"/>
      <c r="X25205" s="231" t="n"/>
    </row>
    <row r="25206" ht="14.25" customHeight="1" s="192">
      <c r="W25206" s="33" t="n"/>
      <c r="X25206" s="33" t="n"/>
    </row>
    <row r="25207" ht="14.25" customHeight="1" s="192">
      <c r="W25207" s="231" t="n"/>
      <c r="X25207" s="231" t="n"/>
    </row>
    <row r="25208" ht="14.25" customHeight="1" s="192">
      <c r="W25208" s="33" t="n"/>
      <c r="X25208" s="33" t="n"/>
    </row>
    <row r="25210" ht="14.25" customHeight="1" s="192">
      <c r="W25210" s="231" t="n"/>
      <c r="X25210" s="231" t="n"/>
    </row>
    <row r="25211" ht="14.25" customHeight="1" s="192">
      <c r="W25211" s="235" t="n"/>
      <c r="X25211" s="235" t="n"/>
    </row>
    <row r="25212" ht="14.25" customHeight="1" s="192">
      <c r="W25212" s="228" t="n"/>
      <c r="X25212" s="228" t="n"/>
    </row>
    <row r="25213" ht="14.25" customHeight="1" s="192">
      <c r="W25213" s="235" t="n"/>
      <c r="X25213" s="235" t="n"/>
    </row>
    <row r="25214" ht="14.25" customHeight="1" s="192">
      <c r="W25214" s="235" t="n"/>
      <c r="X25214" s="235" t="n"/>
    </row>
    <row r="25215" ht="14.25" customHeight="1" s="192">
      <c r="W25215" s="235" t="n"/>
      <c r="X25215" s="235" t="n"/>
    </row>
    <row r="25216" ht="14.25" customHeight="1" s="192">
      <c r="W25216" s="239" t="n"/>
      <c r="X25216" s="239" t="n"/>
    </row>
    <row r="25217" ht="14.25" customHeight="1" s="192">
      <c r="W25217" s="239" t="n"/>
      <c r="X25217" s="239" t="n"/>
    </row>
    <row r="25218" ht="14.25" customHeight="1" s="192">
      <c r="W25218" s="239" t="n"/>
      <c r="X25218" s="239" t="n"/>
    </row>
    <row r="25219" ht="14.25" customHeight="1" s="192">
      <c r="W25219" s="235" t="n"/>
      <c r="X25219" s="235" t="n"/>
    </row>
    <row r="25220" ht="14.25" customHeight="1" s="192">
      <c r="W25220" s="235" t="n"/>
      <c r="X25220" s="235" t="n"/>
    </row>
    <row r="25221" ht="14.25" customHeight="1" s="192">
      <c r="W25221" s="235" t="n"/>
      <c r="X25221" s="235" t="n"/>
    </row>
    <row r="25222" ht="14.25" customHeight="1" s="192">
      <c r="W25222" s="239" t="n"/>
      <c r="X25222" s="239" t="n"/>
    </row>
    <row r="25223" ht="14.25" customHeight="1" s="192">
      <c r="W25223" s="239" t="n"/>
      <c r="X25223" s="239" t="n"/>
    </row>
    <row r="25224" ht="14.25" customHeight="1" s="192">
      <c r="W25224" s="235" t="n"/>
      <c r="X25224" s="235" t="n"/>
    </row>
    <row r="25225" ht="14.25" customHeight="1" s="192">
      <c r="W25225" s="235" t="n"/>
      <c r="X25225" s="235" t="n"/>
    </row>
    <row r="25226" ht="14.25" customHeight="1" s="192">
      <c r="W25226" s="239" t="n"/>
      <c r="X25226" s="239" t="n"/>
    </row>
    <row r="25227" ht="14.25" customHeight="1" s="192">
      <c r="W25227" s="235" t="n"/>
      <c r="X25227" s="235" t="n"/>
    </row>
    <row r="25228" ht="14.25" customHeight="1" s="192">
      <c r="W25228" s="239" t="n"/>
      <c r="X25228" s="239" t="n"/>
    </row>
    <row r="25230" ht="14.25" customHeight="1" s="192">
      <c r="W25230" s="235" t="n"/>
      <c r="X25230" s="235" t="n"/>
    </row>
    <row r="25231" ht="15" customHeight="1" s="192" thickBot="1">
      <c r="W25231" s="239" t="n"/>
      <c r="X25231" s="239" t="n"/>
    </row>
    <row r="25232" ht="15" customHeight="1" s="192" thickBot="1">
      <c r="W25232" s="45" t="n"/>
      <c r="X25232" s="45" t="n"/>
    </row>
    <row r="25233" ht="14.25" customHeight="1" s="192">
      <c r="W25233" s="228" t="n"/>
      <c r="X25233" s="228" t="n"/>
    </row>
    <row r="25234" ht="14.25" customHeight="1" s="192">
      <c r="W25234" s="228" t="n"/>
      <c r="X25234" s="228" t="n"/>
    </row>
    <row r="25235" ht="14.25" customHeight="1" s="192">
      <c r="W25235" s="231" t="n"/>
      <c r="X25235" s="231" t="n"/>
    </row>
    <row r="25236" ht="14.25" customHeight="1" s="192">
      <c r="W25236" s="33" t="n"/>
      <c r="X25236" s="33" t="n"/>
    </row>
    <row r="25237" ht="14.25" customHeight="1" s="192">
      <c r="W25237" s="231" t="n"/>
      <c r="X25237" s="231" t="n"/>
    </row>
    <row r="25238" ht="14.25" customHeight="1" s="192">
      <c r="W25238" s="33" t="n"/>
      <c r="X25238" s="33" t="n"/>
    </row>
    <row r="25240" ht="14.25" customHeight="1" s="192">
      <c r="W25240" s="231" t="n"/>
      <c r="X25240" s="231" t="n"/>
    </row>
    <row r="25241" ht="14.25" customHeight="1" s="192">
      <c r="W25241" s="235" t="n"/>
      <c r="X25241" s="235" t="n"/>
    </row>
    <row r="25242" ht="14.25" customHeight="1" s="192">
      <c r="W25242" s="228" t="n"/>
      <c r="X25242" s="228" t="n"/>
    </row>
    <row r="25243" ht="14.25" customHeight="1" s="192">
      <c r="W25243" s="235" t="n"/>
      <c r="X25243" s="235" t="n"/>
    </row>
    <row r="25244" ht="14.25" customHeight="1" s="192">
      <c r="W25244" s="235" t="n"/>
      <c r="X25244" s="235" t="n"/>
    </row>
    <row r="25245" ht="14.25" customHeight="1" s="192">
      <c r="W25245" s="235" t="n"/>
      <c r="X25245" s="235" t="n"/>
    </row>
    <row r="25246" ht="14.25" customHeight="1" s="192">
      <c r="W25246" s="239" t="n"/>
      <c r="X25246" s="239" t="n"/>
    </row>
    <row r="25247" ht="14.25" customHeight="1" s="192">
      <c r="W25247" s="239" t="n"/>
      <c r="X25247" s="239" t="n"/>
    </row>
    <row r="25248" ht="14.25" customHeight="1" s="192">
      <c r="W25248" s="239" t="n"/>
      <c r="X25248" s="239" t="n"/>
    </row>
    <row r="25249" ht="14.25" customHeight="1" s="192">
      <c r="W25249" s="235" t="n"/>
      <c r="X25249" s="235" t="n"/>
    </row>
    <row r="25250" ht="14.25" customHeight="1" s="192">
      <c r="W25250" s="235" t="n"/>
      <c r="X25250" s="235" t="n"/>
    </row>
    <row r="25251" ht="14.25" customHeight="1" s="192">
      <c r="W25251" s="235" t="n"/>
      <c r="X25251" s="235" t="n"/>
    </row>
    <row r="25252" ht="14.25" customHeight="1" s="192">
      <c r="W25252" s="239" t="n"/>
      <c r="X25252" s="239" t="n"/>
    </row>
    <row r="25253" ht="14.25" customHeight="1" s="192">
      <c r="W25253" s="239" t="n"/>
      <c r="X25253" s="239" t="n"/>
    </row>
    <row r="25254" ht="14.25" customHeight="1" s="192">
      <c r="W25254" s="235" t="n"/>
      <c r="X25254" s="235" t="n"/>
    </row>
    <row r="25255" ht="14.25" customHeight="1" s="192">
      <c r="W25255" s="235" t="n"/>
      <c r="X25255" s="235" t="n"/>
    </row>
    <row r="25256" ht="14.25" customHeight="1" s="192">
      <c r="W25256" s="239" t="n"/>
      <c r="X25256" s="239" t="n"/>
    </row>
    <row r="25257" ht="14.25" customHeight="1" s="192">
      <c r="W25257" s="235" t="n"/>
      <c r="X25257" s="235" t="n"/>
    </row>
    <row r="25258" ht="14.25" customHeight="1" s="192">
      <c r="W25258" s="239" t="n"/>
      <c r="X25258" s="239" t="n"/>
    </row>
    <row r="25260" ht="14.25" customHeight="1" s="192">
      <c r="W25260" s="235" t="n"/>
      <c r="X25260" s="235" t="n"/>
    </row>
    <row r="25261" ht="15" customHeight="1" s="192" thickBot="1">
      <c r="W25261" s="239" t="n"/>
      <c r="X25261" s="239" t="n"/>
    </row>
    <row r="25262" ht="15" customHeight="1" s="192" thickBot="1">
      <c r="W25262" s="45" t="n"/>
      <c r="X25262" s="45" t="n"/>
    </row>
    <row r="25263" ht="14.25" customHeight="1" s="192">
      <c r="W25263" s="228" t="n"/>
      <c r="X25263" s="228" t="n"/>
    </row>
    <row r="25264" ht="14.25" customHeight="1" s="192">
      <c r="W25264" s="228" t="n"/>
      <c r="X25264" s="228" t="n"/>
    </row>
    <row r="25265" ht="14.25" customHeight="1" s="192">
      <c r="W25265" s="231" t="n"/>
      <c r="X25265" s="231" t="n"/>
    </row>
    <row r="25266" ht="14.25" customHeight="1" s="192">
      <c r="W25266" s="33" t="n"/>
      <c r="X25266" s="33" t="n"/>
    </row>
    <row r="25267" ht="14.25" customHeight="1" s="192">
      <c r="W25267" s="231" t="n"/>
      <c r="X25267" s="231" t="n"/>
    </row>
    <row r="25268" ht="14.25" customHeight="1" s="192">
      <c r="W25268" s="33" t="n"/>
      <c r="X25268" s="33" t="n"/>
    </row>
    <row r="25270" ht="14.25" customHeight="1" s="192">
      <c r="W25270" s="231" t="n"/>
      <c r="X25270" s="231" t="n"/>
    </row>
    <row r="25271" ht="14.25" customHeight="1" s="192">
      <c r="W25271" s="235" t="n"/>
      <c r="X25271" s="235" t="n"/>
    </row>
    <row r="25272" ht="14.25" customHeight="1" s="192">
      <c r="W25272" s="228" t="n"/>
      <c r="X25272" s="228" t="n"/>
    </row>
    <row r="25273" ht="14.25" customHeight="1" s="192">
      <c r="W25273" s="235" t="n"/>
      <c r="X25273" s="235" t="n"/>
    </row>
    <row r="25274" ht="14.25" customHeight="1" s="192">
      <c r="W25274" s="235" t="n"/>
      <c r="X25274" s="235" t="n"/>
    </row>
    <row r="25275" ht="14.25" customHeight="1" s="192">
      <c r="W25275" s="235" t="n"/>
      <c r="X25275" s="235" t="n"/>
    </row>
    <row r="25276" ht="14.25" customHeight="1" s="192">
      <c r="W25276" s="239" t="n"/>
      <c r="X25276" s="239" t="n"/>
    </row>
    <row r="25277" ht="14.25" customHeight="1" s="192">
      <c r="W25277" s="239" t="n"/>
      <c r="X25277" s="239" t="n"/>
    </row>
    <row r="25278" ht="14.25" customHeight="1" s="192">
      <c r="W25278" s="239" t="n"/>
      <c r="X25278" s="239" t="n"/>
    </row>
    <row r="25279" ht="14.25" customHeight="1" s="192">
      <c r="W25279" s="235" t="n"/>
      <c r="X25279" s="235" t="n"/>
    </row>
    <row r="25280" ht="14.25" customHeight="1" s="192">
      <c r="W25280" s="235" t="n"/>
      <c r="X25280" s="235" t="n"/>
    </row>
    <row r="25281" ht="14.25" customHeight="1" s="192">
      <c r="W25281" s="235" t="n"/>
      <c r="X25281" s="235" t="n"/>
    </row>
    <row r="25282" ht="14.25" customHeight="1" s="192">
      <c r="W25282" s="239" t="n"/>
      <c r="X25282" s="239" t="n"/>
    </row>
    <row r="25283" ht="14.25" customHeight="1" s="192">
      <c r="W25283" s="239" t="n"/>
      <c r="X25283" s="239" t="n"/>
    </row>
    <row r="25284" ht="14.25" customHeight="1" s="192">
      <c r="W25284" s="235" t="n"/>
      <c r="X25284" s="235" t="n"/>
    </row>
    <row r="25285" ht="14.25" customHeight="1" s="192">
      <c r="W25285" s="235" t="n"/>
      <c r="X25285" s="235" t="n"/>
    </row>
    <row r="25286" ht="14.25" customHeight="1" s="192">
      <c r="W25286" s="239" t="n"/>
      <c r="X25286" s="239" t="n"/>
    </row>
    <row r="25287" ht="14.25" customHeight="1" s="192">
      <c r="W25287" s="235" t="n"/>
      <c r="X25287" s="235" t="n"/>
    </row>
    <row r="25288" ht="14.25" customHeight="1" s="192">
      <c r="W25288" s="239" t="n"/>
      <c r="X25288" s="239" t="n"/>
    </row>
    <row r="25290" ht="14.25" customHeight="1" s="192">
      <c r="W25290" s="235" t="n"/>
      <c r="X25290" s="235" t="n"/>
    </row>
    <row r="25291" ht="15" customHeight="1" s="192" thickBot="1">
      <c r="W25291" s="239" t="n"/>
      <c r="X25291" s="239" t="n"/>
    </row>
    <row r="25292" ht="15" customHeight="1" s="192" thickBot="1">
      <c r="W25292" s="45" t="n"/>
      <c r="X25292" s="45" t="n"/>
    </row>
    <row r="25293" ht="14.25" customHeight="1" s="192">
      <c r="W25293" s="228" t="n"/>
      <c r="X25293" s="228" t="n"/>
    </row>
    <row r="25294" ht="14.25" customHeight="1" s="192">
      <c r="W25294" s="228" t="n"/>
      <c r="X25294" s="228" t="n"/>
    </row>
    <row r="25295" ht="14.25" customHeight="1" s="192">
      <c r="W25295" s="231" t="n"/>
      <c r="X25295" s="231" t="n"/>
    </row>
    <row r="25296" ht="14.25" customHeight="1" s="192">
      <c r="W25296" s="33" t="n"/>
      <c r="X25296" s="33" t="n"/>
    </row>
    <row r="25297" ht="14.25" customHeight="1" s="192">
      <c r="W25297" s="231" t="n"/>
      <c r="X25297" s="231" t="n"/>
    </row>
    <row r="25298" ht="14.25" customHeight="1" s="192">
      <c r="W25298" s="33" t="n"/>
      <c r="X25298" s="33" t="n"/>
    </row>
    <row r="25300" ht="14.25" customHeight="1" s="192">
      <c r="W25300" s="231" t="n"/>
      <c r="X25300" s="231" t="n"/>
    </row>
    <row r="25301" ht="14.25" customHeight="1" s="192">
      <c r="W25301" s="235" t="n"/>
      <c r="X25301" s="235" t="n"/>
    </row>
    <row r="25302" ht="14.25" customHeight="1" s="192">
      <c r="W25302" s="228" t="n"/>
      <c r="X25302" s="228" t="n"/>
    </row>
    <row r="25303" ht="14.25" customHeight="1" s="192">
      <c r="W25303" s="235" t="n"/>
      <c r="X25303" s="235" t="n"/>
    </row>
    <row r="25304" ht="14.25" customHeight="1" s="192">
      <c r="W25304" s="235" t="n"/>
      <c r="X25304" s="235" t="n"/>
    </row>
    <row r="25305" ht="14.25" customHeight="1" s="192">
      <c r="W25305" s="235" t="n"/>
      <c r="X25305" s="235" t="n"/>
    </row>
    <row r="25306" ht="14.25" customHeight="1" s="192">
      <c r="W25306" s="239" t="n"/>
      <c r="X25306" s="239" t="n"/>
    </row>
    <row r="25307" ht="14.25" customHeight="1" s="192">
      <c r="W25307" s="239" t="n"/>
      <c r="X25307" s="239" t="n"/>
    </row>
    <row r="25308" ht="14.25" customHeight="1" s="192">
      <c r="W25308" s="239" t="n"/>
      <c r="X25308" s="239" t="n"/>
    </row>
    <row r="25309" ht="14.25" customHeight="1" s="192">
      <c r="W25309" s="235" t="n"/>
      <c r="X25309" s="235" t="n"/>
    </row>
    <row r="25310" ht="14.25" customHeight="1" s="192">
      <c r="W25310" s="235" t="n"/>
      <c r="X25310" s="235" t="n"/>
    </row>
    <row r="25311" ht="14.25" customHeight="1" s="192">
      <c r="W25311" s="235" t="n"/>
      <c r="X25311" s="235" t="n"/>
    </row>
    <row r="25312" ht="14.25" customHeight="1" s="192">
      <c r="W25312" s="239" t="n"/>
      <c r="X25312" s="239" t="n"/>
    </row>
    <row r="25313" ht="14.25" customHeight="1" s="192">
      <c r="W25313" s="239" t="n"/>
      <c r="X25313" s="239" t="n"/>
    </row>
    <row r="25314" ht="14.25" customHeight="1" s="192">
      <c r="W25314" s="235" t="n"/>
      <c r="X25314" s="235" t="n"/>
    </row>
    <row r="25315" ht="14.25" customHeight="1" s="192">
      <c r="W25315" s="235" t="n"/>
      <c r="X25315" s="235" t="n"/>
    </row>
    <row r="25316" ht="14.25" customHeight="1" s="192">
      <c r="W25316" s="239" t="n"/>
      <c r="X25316" s="239" t="n"/>
    </row>
    <row r="25317" ht="14.25" customHeight="1" s="192">
      <c r="W25317" s="235" t="n"/>
      <c r="X25317" s="235" t="n"/>
    </row>
    <row r="25318" ht="14.25" customHeight="1" s="192">
      <c r="W25318" s="239" t="n"/>
      <c r="X25318" s="239" t="n"/>
    </row>
    <row r="25320" ht="14.25" customHeight="1" s="192">
      <c r="W25320" s="235" t="n"/>
      <c r="X25320" s="235" t="n"/>
    </row>
    <row r="25321" ht="15" customHeight="1" s="192" thickBot="1">
      <c r="W25321" s="239" t="n"/>
      <c r="X25321" s="239" t="n"/>
    </row>
    <row r="25322" ht="15" customHeight="1" s="192" thickBot="1">
      <c r="W25322" s="45" t="n"/>
      <c r="X25322" s="45" t="n"/>
    </row>
    <row r="25323" ht="14.25" customHeight="1" s="192">
      <c r="W25323" s="228" t="n"/>
      <c r="X25323" s="228" t="n"/>
    </row>
    <row r="25324" ht="14.25" customHeight="1" s="192">
      <c r="W25324" s="228" t="n"/>
      <c r="X25324" s="228" t="n"/>
    </row>
    <row r="25325" ht="14.25" customHeight="1" s="192">
      <c r="W25325" s="231" t="n"/>
      <c r="X25325" s="231" t="n"/>
    </row>
    <row r="25326" ht="14.25" customHeight="1" s="192">
      <c r="W25326" s="33" t="n"/>
      <c r="X25326" s="33" t="n"/>
    </row>
    <row r="25327" ht="14.25" customHeight="1" s="192">
      <c r="W25327" s="231" t="n"/>
      <c r="X25327" s="231" t="n"/>
    </row>
    <row r="25328" ht="14.25" customHeight="1" s="192">
      <c r="W25328" s="33" t="n"/>
      <c r="X25328" s="33" t="n"/>
    </row>
    <row r="25330" ht="14.25" customHeight="1" s="192">
      <c r="W25330" s="231" t="n"/>
      <c r="X25330" s="231" t="n"/>
    </row>
    <row r="25331" ht="14.25" customHeight="1" s="192">
      <c r="W25331" s="235" t="n"/>
      <c r="X25331" s="235" t="n"/>
    </row>
    <row r="25332" ht="14.25" customHeight="1" s="192">
      <c r="W25332" s="228" t="n"/>
      <c r="X25332" s="228" t="n"/>
    </row>
    <row r="25333" ht="14.25" customHeight="1" s="192">
      <c r="W25333" s="235" t="n"/>
      <c r="X25333" s="235" t="n"/>
    </row>
    <row r="25334" ht="14.25" customHeight="1" s="192">
      <c r="W25334" s="235" t="n"/>
      <c r="X25334" s="235" t="n"/>
    </row>
    <row r="25335" ht="14.25" customHeight="1" s="192">
      <c r="W25335" s="235" t="n"/>
      <c r="X25335" s="235" t="n"/>
    </row>
    <row r="25336" ht="14.25" customHeight="1" s="192">
      <c r="W25336" s="239" t="n"/>
      <c r="X25336" s="239" t="n"/>
    </row>
    <row r="25337" ht="14.25" customHeight="1" s="192">
      <c r="W25337" s="239" t="n"/>
      <c r="X25337" s="239" t="n"/>
    </row>
    <row r="25338" ht="14.25" customHeight="1" s="192">
      <c r="W25338" s="239" t="n"/>
      <c r="X25338" s="239" t="n"/>
    </row>
    <row r="25339" ht="14.25" customHeight="1" s="192">
      <c r="W25339" s="235" t="n"/>
      <c r="X25339" s="235" t="n"/>
    </row>
    <row r="25340" ht="14.25" customHeight="1" s="192">
      <c r="W25340" s="235" t="n"/>
      <c r="X25340" s="235" t="n"/>
    </row>
    <row r="25341" ht="14.25" customHeight="1" s="192">
      <c r="W25341" s="235" t="n"/>
      <c r="X25341" s="235" t="n"/>
    </row>
    <row r="25342" ht="14.25" customHeight="1" s="192">
      <c r="W25342" s="239" t="n"/>
      <c r="X25342" s="239" t="n"/>
    </row>
    <row r="25343" ht="14.25" customHeight="1" s="192">
      <c r="W25343" s="239" t="n"/>
      <c r="X25343" s="239" t="n"/>
    </row>
    <row r="25344" ht="14.25" customHeight="1" s="192">
      <c r="W25344" s="235" t="n"/>
      <c r="X25344" s="235" t="n"/>
    </row>
    <row r="25345" ht="14.25" customHeight="1" s="192">
      <c r="W25345" s="235" t="n"/>
      <c r="X25345" s="235" t="n"/>
    </row>
    <row r="25346" ht="14.25" customHeight="1" s="192">
      <c r="W25346" s="239" t="n"/>
      <c r="X25346" s="239" t="n"/>
    </row>
    <row r="25347" ht="14.25" customHeight="1" s="192">
      <c r="W25347" s="235" t="n"/>
      <c r="X25347" s="235" t="n"/>
    </row>
    <row r="25348" ht="14.25" customHeight="1" s="192">
      <c r="W25348" s="239" t="n"/>
      <c r="X25348" s="239" t="n"/>
    </row>
    <row r="25350" ht="14.25" customHeight="1" s="192">
      <c r="W25350" s="235" t="n"/>
      <c r="X25350" s="235" t="n"/>
    </row>
    <row r="25351" ht="15" customHeight="1" s="192" thickBot="1">
      <c r="W25351" s="239" t="n"/>
      <c r="X25351" s="239" t="n"/>
    </row>
    <row r="25352" ht="15" customHeight="1" s="192" thickBot="1">
      <c r="W25352" s="45" t="n"/>
      <c r="X25352" s="45" t="n"/>
    </row>
    <row r="25353" ht="14.25" customHeight="1" s="192">
      <c r="W25353" s="228" t="n"/>
      <c r="X25353" s="228" t="n"/>
    </row>
    <row r="25354" ht="14.25" customHeight="1" s="192">
      <c r="W25354" s="228" t="n"/>
      <c r="X25354" s="228" t="n"/>
    </row>
    <row r="25355" ht="14.25" customHeight="1" s="192">
      <c r="W25355" s="231" t="n"/>
      <c r="X25355" s="231" t="n"/>
    </row>
    <row r="25356" ht="14.25" customHeight="1" s="192">
      <c r="W25356" s="33" t="n"/>
      <c r="X25356" s="33" t="n"/>
    </row>
    <row r="25357" ht="14.25" customHeight="1" s="192">
      <c r="W25357" s="231" t="n"/>
      <c r="X25357" s="231" t="n"/>
    </row>
    <row r="25358" ht="14.25" customHeight="1" s="192">
      <c r="W25358" s="33" t="n"/>
      <c r="X25358" s="33" t="n"/>
    </row>
    <row r="25360" ht="14.25" customHeight="1" s="192">
      <c r="W25360" s="231" t="n"/>
      <c r="X25360" s="231" t="n"/>
    </row>
    <row r="25361" ht="14.25" customHeight="1" s="192">
      <c r="W25361" s="235" t="n"/>
      <c r="X25361" s="235" t="n"/>
    </row>
    <row r="25362" ht="14.25" customHeight="1" s="192">
      <c r="W25362" s="228" t="n"/>
      <c r="X25362" s="228" t="n"/>
    </row>
    <row r="25363" ht="14.25" customHeight="1" s="192">
      <c r="W25363" s="235" t="n"/>
      <c r="X25363" s="235" t="n"/>
    </row>
    <row r="25364" ht="14.25" customHeight="1" s="192">
      <c r="W25364" s="235" t="n"/>
      <c r="X25364" s="235" t="n"/>
    </row>
    <row r="25365" ht="14.25" customHeight="1" s="192">
      <c r="W25365" s="235" t="n"/>
      <c r="X25365" s="235" t="n"/>
    </row>
    <row r="25366" ht="14.25" customHeight="1" s="192">
      <c r="W25366" s="239" t="n"/>
      <c r="X25366" s="239" t="n"/>
    </row>
    <row r="25367" ht="14.25" customHeight="1" s="192">
      <c r="W25367" s="239" t="n"/>
      <c r="X25367" s="239" t="n"/>
    </row>
    <row r="25368" ht="14.25" customHeight="1" s="192">
      <c r="W25368" s="239" t="n"/>
      <c r="X25368" s="239" t="n"/>
    </row>
    <row r="25369" ht="14.25" customHeight="1" s="192">
      <c r="W25369" s="235" t="n"/>
      <c r="X25369" s="235" t="n"/>
    </row>
    <row r="25370" ht="14.25" customHeight="1" s="192">
      <c r="W25370" s="235" t="n"/>
      <c r="X25370" s="235" t="n"/>
    </row>
    <row r="25371" ht="14.25" customHeight="1" s="192">
      <c r="W25371" s="235" t="n"/>
      <c r="X25371" s="235" t="n"/>
    </row>
    <row r="25372" ht="14.25" customHeight="1" s="192">
      <c r="W25372" s="239" t="n"/>
      <c r="X25372" s="239" t="n"/>
    </row>
    <row r="25373" ht="14.25" customHeight="1" s="192">
      <c r="W25373" s="239" t="n"/>
      <c r="X25373" s="239" t="n"/>
    </row>
    <row r="25374" ht="14.25" customHeight="1" s="192">
      <c r="W25374" s="235" t="n"/>
      <c r="X25374" s="235" t="n"/>
    </row>
    <row r="25375" ht="14.25" customHeight="1" s="192">
      <c r="W25375" s="235" t="n"/>
      <c r="X25375" s="235" t="n"/>
    </row>
    <row r="25376" ht="14.25" customHeight="1" s="192">
      <c r="W25376" s="239" t="n"/>
      <c r="X25376" s="239" t="n"/>
    </row>
    <row r="25377" ht="14.25" customHeight="1" s="192">
      <c r="W25377" s="235" t="n"/>
      <c r="X25377" s="235" t="n"/>
    </row>
    <row r="25378" ht="14.25" customHeight="1" s="192">
      <c r="W25378" s="239" t="n"/>
      <c r="X25378" s="239" t="n"/>
    </row>
    <row r="25380" ht="14.25" customHeight="1" s="192">
      <c r="W25380" s="235" t="n"/>
      <c r="X25380" s="235" t="n"/>
    </row>
    <row r="25381" ht="15" customHeight="1" s="192" thickBot="1">
      <c r="W25381" s="239" t="n"/>
      <c r="X25381" s="239" t="n"/>
    </row>
    <row r="25382" ht="15" customHeight="1" s="192" thickBot="1">
      <c r="W25382" s="45" t="n"/>
      <c r="X25382" s="45" t="n"/>
    </row>
    <row r="25383" ht="14.25" customHeight="1" s="192">
      <c r="W25383" s="228" t="n"/>
      <c r="X25383" s="228" t="n"/>
    </row>
    <row r="25384" ht="14.25" customHeight="1" s="192">
      <c r="W25384" s="228" t="n"/>
      <c r="X25384" s="228" t="n"/>
    </row>
    <row r="25385" ht="14.25" customHeight="1" s="192">
      <c r="W25385" s="231" t="n"/>
      <c r="X25385" s="231" t="n"/>
    </row>
    <row r="25386" ht="14.25" customHeight="1" s="192">
      <c r="W25386" s="33" t="n"/>
      <c r="X25386" s="33" t="n"/>
    </row>
    <row r="25387" ht="14.25" customHeight="1" s="192">
      <c r="W25387" s="231" t="n"/>
      <c r="X25387" s="231" t="n"/>
    </row>
    <row r="25388" ht="14.25" customHeight="1" s="192">
      <c r="W25388" s="33" t="n"/>
      <c r="X25388" s="33" t="n"/>
    </row>
    <row r="25390" ht="14.25" customHeight="1" s="192">
      <c r="W25390" s="231" t="n"/>
      <c r="X25390" s="231" t="n"/>
    </row>
    <row r="25391" ht="14.25" customHeight="1" s="192">
      <c r="W25391" s="235" t="n"/>
      <c r="X25391" s="235" t="n"/>
    </row>
    <row r="25392" ht="14.25" customHeight="1" s="192">
      <c r="W25392" s="228" t="n"/>
      <c r="X25392" s="228" t="n"/>
    </row>
    <row r="25393" ht="14.25" customHeight="1" s="192">
      <c r="W25393" s="235" t="n"/>
      <c r="X25393" s="235" t="n"/>
    </row>
    <row r="25394" ht="14.25" customHeight="1" s="192">
      <c r="W25394" s="235" t="n"/>
      <c r="X25394" s="235" t="n"/>
    </row>
    <row r="25395" ht="14.25" customHeight="1" s="192">
      <c r="W25395" s="235" t="n"/>
      <c r="X25395" s="235" t="n"/>
    </row>
    <row r="25396" ht="14.25" customHeight="1" s="192">
      <c r="W25396" s="239" t="n"/>
      <c r="X25396" s="239" t="n"/>
    </row>
    <row r="25397" ht="14.25" customHeight="1" s="192">
      <c r="W25397" s="239" t="n"/>
      <c r="X25397" s="239" t="n"/>
    </row>
    <row r="25398" ht="14.25" customHeight="1" s="192">
      <c r="W25398" s="239" t="n"/>
      <c r="X25398" s="239" t="n"/>
    </row>
    <row r="25399" ht="14.25" customHeight="1" s="192">
      <c r="W25399" s="235" t="n"/>
      <c r="X25399" s="235" t="n"/>
    </row>
    <row r="25400" ht="14.25" customHeight="1" s="192">
      <c r="W25400" s="235" t="n"/>
      <c r="X25400" s="235" t="n"/>
    </row>
    <row r="25401" ht="14.25" customHeight="1" s="192">
      <c r="W25401" s="235" t="n"/>
      <c r="X25401" s="235" t="n"/>
    </row>
    <row r="25402" ht="14.25" customHeight="1" s="192">
      <c r="W25402" s="239" t="n"/>
      <c r="X25402" s="239" t="n"/>
    </row>
    <row r="25403" ht="14.25" customHeight="1" s="192">
      <c r="W25403" s="239" t="n"/>
      <c r="X25403" s="239" t="n"/>
    </row>
    <row r="25404" ht="14.25" customHeight="1" s="192">
      <c r="W25404" s="235" t="n"/>
      <c r="X25404" s="235" t="n"/>
    </row>
    <row r="25405" ht="14.25" customHeight="1" s="192">
      <c r="W25405" s="235" t="n"/>
      <c r="X25405" s="235" t="n"/>
    </row>
    <row r="25406" ht="14.25" customHeight="1" s="192">
      <c r="W25406" s="239" t="n"/>
      <c r="X25406" s="239" t="n"/>
    </row>
    <row r="25407" ht="14.25" customHeight="1" s="192">
      <c r="W25407" s="235" t="n"/>
      <c r="X25407" s="235" t="n"/>
    </row>
    <row r="25408" ht="14.25" customHeight="1" s="192">
      <c r="W25408" s="239" t="n"/>
      <c r="X25408" s="239" t="n"/>
    </row>
    <row r="25410" ht="14.25" customHeight="1" s="192">
      <c r="W25410" s="235" t="n"/>
      <c r="X25410" s="235" t="n"/>
    </row>
    <row r="25411" ht="15" customHeight="1" s="192" thickBot="1">
      <c r="W25411" s="239" t="n"/>
      <c r="X25411" s="239" t="n"/>
    </row>
    <row r="25412" ht="15" customHeight="1" s="192" thickBot="1">
      <c r="W25412" s="45" t="n"/>
      <c r="X25412" s="45" t="n"/>
    </row>
    <row r="25413" ht="14.25" customHeight="1" s="192">
      <c r="W25413" s="228" t="n"/>
      <c r="X25413" s="228" t="n"/>
    </row>
    <row r="25414" ht="14.25" customHeight="1" s="192">
      <c r="W25414" s="228" t="n"/>
      <c r="X25414" s="228" t="n"/>
    </row>
    <row r="25415" ht="14.25" customHeight="1" s="192">
      <c r="W25415" s="231" t="n"/>
      <c r="X25415" s="231" t="n"/>
    </row>
    <row r="25416" ht="14.25" customHeight="1" s="192">
      <c r="W25416" s="33" t="n"/>
      <c r="X25416" s="33" t="n"/>
    </row>
    <row r="25417" ht="14.25" customHeight="1" s="192">
      <c r="W25417" s="231" t="n"/>
      <c r="X25417" s="231" t="n"/>
    </row>
    <row r="25418" ht="14.25" customHeight="1" s="192">
      <c r="W25418" s="33" t="n"/>
      <c r="X25418" s="33" t="n"/>
    </row>
    <row r="25420" ht="14.25" customHeight="1" s="192">
      <c r="W25420" s="231" t="n"/>
      <c r="X25420" s="231" t="n"/>
    </row>
    <row r="25421" ht="14.25" customHeight="1" s="192">
      <c r="W25421" s="235" t="n"/>
      <c r="X25421" s="235" t="n"/>
    </row>
    <row r="25422" ht="14.25" customHeight="1" s="192">
      <c r="W25422" s="228" t="n"/>
      <c r="X25422" s="228" t="n"/>
    </row>
    <row r="25423" ht="14.25" customHeight="1" s="192">
      <c r="W25423" s="235" t="n"/>
      <c r="X25423" s="235" t="n"/>
    </row>
    <row r="25424" ht="14.25" customHeight="1" s="192">
      <c r="W25424" s="235" t="n"/>
      <c r="X25424" s="235" t="n"/>
    </row>
    <row r="25425" ht="14.25" customHeight="1" s="192">
      <c r="W25425" s="235" t="n"/>
      <c r="X25425" s="235" t="n"/>
    </row>
    <row r="25426" ht="14.25" customHeight="1" s="192">
      <c r="W25426" s="239" t="n"/>
      <c r="X25426" s="239" t="n"/>
    </row>
    <row r="25427" ht="14.25" customHeight="1" s="192">
      <c r="W25427" s="239" t="n"/>
      <c r="X25427" s="239" t="n"/>
    </row>
    <row r="25428" ht="14.25" customHeight="1" s="192">
      <c r="W25428" s="239" t="n"/>
      <c r="X25428" s="239" t="n"/>
    </row>
    <row r="25429" ht="14.25" customHeight="1" s="192">
      <c r="W25429" s="235" t="n"/>
      <c r="X25429" s="235" t="n"/>
    </row>
    <row r="25430" ht="14.25" customHeight="1" s="192">
      <c r="W25430" s="235" t="n"/>
      <c r="X25430" s="235" t="n"/>
    </row>
    <row r="25431" ht="14.25" customHeight="1" s="192">
      <c r="W25431" s="235" t="n"/>
      <c r="X25431" s="235" t="n"/>
    </row>
    <row r="25432" ht="14.25" customHeight="1" s="192">
      <c r="W25432" s="239" t="n"/>
      <c r="X25432" s="239" t="n"/>
    </row>
    <row r="25433" ht="14.25" customHeight="1" s="192">
      <c r="W25433" s="239" t="n"/>
      <c r="X25433" s="239" t="n"/>
    </row>
    <row r="25434" ht="14.25" customHeight="1" s="192">
      <c r="W25434" s="235" t="n"/>
      <c r="X25434" s="235" t="n"/>
    </row>
    <row r="25435" ht="14.25" customHeight="1" s="192">
      <c r="W25435" s="235" t="n"/>
      <c r="X25435" s="235" t="n"/>
    </row>
    <row r="25436" ht="14.25" customHeight="1" s="192">
      <c r="W25436" s="239" t="n"/>
      <c r="X25436" s="239" t="n"/>
    </row>
    <row r="25437" ht="14.25" customHeight="1" s="192">
      <c r="W25437" s="235" t="n"/>
      <c r="X25437" s="235" t="n"/>
    </row>
    <row r="25438" ht="14.25" customHeight="1" s="192">
      <c r="W25438" s="239" t="n"/>
      <c r="X25438" s="239" t="n"/>
    </row>
    <row r="25440" ht="14.25" customHeight="1" s="192">
      <c r="W25440" s="235" t="n"/>
      <c r="X25440" s="235" t="n"/>
    </row>
    <row r="25441" ht="15" customHeight="1" s="192" thickBot="1">
      <c r="W25441" s="239" t="n"/>
      <c r="X25441" s="239" t="n"/>
    </row>
    <row r="25442" ht="15" customHeight="1" s="192" thickBot="1">
      <c r="W25442" s="45" t="n"/>
      <c r="X25442" s="45" t="n"/>
    </row>
    <row r="25443" ht="14.25" customHeight="1" s="192">
      <c r="W25443" s="228" t="n"/>
      <c r="X25443" s="228" t="n"/>
    </row>
    <row r="25444" ht="14.25" customHeight="1" s="192">
      <c r="W25444" s="228" t="n"/>
      <c r="X25444" s="228" t="n"/>
    </row>
    <row r="25445" ht="14.25" customHeight="1" s="192">
      <c r="W25445" s="231" t="n"/>
      <c r="X25445" s="231" t="n"/>
    </row>
    <row r="25446" ht="14.25" customHeight="1" s="192">
      <c r="W25446" s="33" t="n"/>
      <c r="X25446" s="33" t="n"/>
    </row>
    <row r="25447" ht="14.25" customHeight="1" s="192">
      <c r="W25447" s="231" t="n"/>
      <c r="X25447" s="231" t="n"/>
    </row>
    <row r="25448" ht="14.25" customHeight="1" s="192">
      <c r="W25448" s="33" t="n"/>
      <c r="X25448" s="33" t="n"/>
    </row>
    <row r="25450" ht="14.25" customHeight="1" s="192">
      <c r="W25450" s="231" t="n"/>
      <c r="X25450" s="231" t="n"/>
    </row>
    <row r="25451" ht="14.25" customHeight="1" s="192">
      <c r="W25451" s="235" t="n"/>
      <c r="X25451" s="235" t="n"/>
    </row>
    <row r="25452" ht="14.25" customHeight="1" s="192">
      <c r="W25452" s="228" t="n"/>
      <c r="X25452" s="228" t="n"/>
    </row>
    <row r="25453" ht="14.25" customHeight="1" s="192">
      <c r="W25453" s="235" t="n"/>
      <c r="X25453" s="235" t="n"/>
    </row>
    <row r="25454" ht="14.25" customHeight="1" s="192">
      <c r="W25454" s="235" t="n"/>
      <c r="X25454" s="235" t="n"/>
    </row>
    <row r="25455" ht="14.25" customHeight="1" s="192">
      <c r="W25455" s="235" t="n"/>
      <c r="X25455" s="235" t="n"/>
    </row>
    <row r="25456" ht="14.25" customHeight="1" s="192">
      <c r="W25456" s="239" t="n"/>
      <c r="X25456" s="239" t="n"/>
    </row>
    <row r="25457" ht="14.25" customHeight="1" s="192">
      <c r="W25457" s="239" t="n"/>
      <c r="X25457" s="239" t="n"/>
    </row>
    <row r="25458" ht="14.25" customHeight="1" s="192">
      <c r="W25458" s="239" t="n"/>
      <c r="X25458" s="239" t="n"/>
    </row>
    <row r="25459" ht="14.25" customHeight="1" s="192">
      <c r="W25459" s="235" t="n"/>
      <c r="X25459" s="235" t="n"/>
    </row>
    <row r="25460" ht="14.25" customHeight="1" s="192">
      <c r="W25460" s="235" t="n"/>
      <c r="X25460" s="235" t="n"/>
    </row>
    <row r="25461" ht="14.25" customHeight="1" s="192">
      <c r="W25461" s="235" t="n"/>
      <c r="X25461" s="235" t="n"/>
    </row>
    <row r="25462" ht="14.25" customHeight="1" s="192">
      <c r="W25462" s="239" t="n"/>
      <c r="X25462" s="239" t="n"/>
    </row>
    <row r="25463" ht="14.25" customHeight="1" s="192">
      <c r="W25463" s="239" t="n"/>
      <c r="X25463" s="239" t="n"/>
    </row>
    <row r="25464" ht="14.25" customHeight="1" s="192">
      <c r="W25464" s="235" t="n"/>
      <c r="X25464" s="235" t="n"/>
    </row>
    <row r="25465" ht="14.25" customHeight="1" s="192">
      <c r="W25465" s="235" t="n"/>
      <c r="X25465" s="235" t="n"/>
    </row>
    <row r="25466" ht="14.25" customHeight="1" s="192">
      <c r="W25466" s="239" t="n"/>
      <c r="X25466" s="239" t="n"/>
    </row>
    <row r="25467" ht="14.25" customHeight="1" s="192">
      <c r="W25467" s="235" t="n"/>
      <c r="X25467" s="235" t="n"/>
    </row>
    <row r="25468" ht="14.25" customHeight="1" s="192">
      <c r="W25468" s="239" t="n"/>
      <c r="X25468" s="239" t="n"/>
    </row>
    <row r="25470" ht="14.25" customHeight="1" s="192">
      <c r="W25470" s="235" t="n"/>
      <c r="X25470" s="235" t="n"/>
    </row>
    <row r="25471" ht="15" customHeight="1" s="192" thickBot="1">
      <c r="W25471" s="239" t="n"/>
      <c r="X25471" s="239" t="n"/>
    </row>
    <row r="25472" ht="15" customHeight="1" s="192" thickBot="1">
      <c r="W25472" s="45" t="n"/>
      <c r="X25472" s="45" t="n"/>
    </row>
    <row r="25473" ht="14.25" customHeight="1" s="192">
      <c r="W25473" s="228" t="n"/>
      <c r="X25473" s="228" t="n"/>
    </row>
    <row r="25474" ht="14.25" customHeight="1" s="192">
      <c r="W25474" s="228" t="n"/>
      <c r="X25474" s="228" t="n"/>
    </row>
    <row r="25475" ht="14.25" customHeight="1" s="192">
      <c r="W25475" s="231" t="n"/>
      <c r="X25475" s="231" t="n"/>
    </row>
    <row r="25476" ht="14.25" customHeight="1" s="192">
      <c r="W25476" s="33" t="n"/>
      <c r="X25476" s="33" t="n"/>
    </row>
    <row r="25477" ht="14.25" customHeight="1" s="192">
      <c r="W25477" s="231" t="n"/>
      <c r="X25477" s="231" t="n"/>
    </row>
    <row r="25478" ht="14.25" customHeight="1" s="192">
      <c r="W25478" s="33" t="n"/>
      <c r="X25478" s="33" t="n"/>
    </row>
    <row r="25480" ht="14.25" customHeight="1" s="192">
      <c r="W25480" s="231" t="n"/>
      <c r="X25480" s="231" t="n"/>
    </row>
    <row r="25481" ht="14.25" customHeight="1" s="192">
      <c r="W25481" s="235" t="n"/>
      <c r="X25481" s="235" t="n"/>
    </row>
    <row r="25482" ht="14.25" customHeight="1" s="192">
      <c r="W25482" s="228" t="n"/>
      <c r="X25482" s="228" t="n"/>
    </row>
    <row r="25483" ht="14.25" customHeight="1" s="192">
      <c r="W25483" s="235" t="n"/>
      <c r="X25483" s="235" t="n"/>
    </row>
    <row r="25484" ht="14.25" customHeight="1" s="192">
      <c r="W25484" s="235" t="n"/>
      <c r="X25484" s="235" t="n"/>
    </row>
    <row r="25485" ht="14.25" customHeight="1" s="192">
      <c r="W25485" s="235" t="n"/>
      <c r="X25485" s="235" t="n"/>
    </row>
    <row r="25486" ht="14.25" customHeight="1" s="192">
      <c r="W25486" s="239" t="n"/>
      <c r="X25486" s="239" t="n"/>
    </row>
    <row r="25487" ht="14.25" customHeight="1" s="192">
      <c r="W25487" s="239" t="n"/>
      <c r="X25487" s="239" t="n"/>
    </row>
    <row r="25488" ht="14.25" customHeight="1" s="192">
      <c r="W25488" s="239" t="n"/>
      <c r="X25488" s="239" t="n"/>
    </row>
    <row r="25489" ht="14.25" customHeight="1" s="192">
      <c r="W25489" s="235" t="n"/>
      <c r="X25489" s="235" t="n"/>
    </row>
    <row r="25490" ht="14.25" customHeight="1" s="192">
      <c r="W25490" s="235" t="n"/>
      <c r="X25490" s="235" t="n"/>
    </row>
    <row r="25491" ht="14.25" customHeight="1" s="192">
      <c r="W25491" s="235" t="n"/>
      <c r="X25491" s="235" t="n"/>
    </row>
    <row r="25492" ht="14.25" customHeight="1" s="192">
      <c r="W25492" s="239" t="n"/>
      <c r="X25492" s="239" t="n"/>
    </row>
    <row r="25493" ht="14.25" customHeight="1" s="192">
      <c r="W25493" s="239" t="n"/>
      <c r="X25493" s="239" t="n"/>
    </row>
    <row r="25494" ht="14.25" customHeight="1" s="192">
      <c r="W25494" s="235" t="n"/>
      <c r="X25494" s="235" t="n"/>
    </row>
    <row r="25495" ht="14.25" customHeight="1" s="192">
      <c r="W25495" s="235" t="n"/>
      <c r="X25495" s="235" t="n"/>
    </row>
    <row r="25496" ht="14.25" customHeight="1" s="192">
      <c r="W25496" s="239" t="n"/>
      <c r="X25496" s="239" t="n"/>
    </row>
    <row r="25497" ht="14.25" customHeight="1" s="192">
      <c r="W25497" s="235" t="n"/>
      <c r="X25497" s="235" t="n"/>
    </row>
    <row r="25498" ht="14.25" customHeight="1" s="192">
      <c r="W25498" s="239" t="n"/>
      <c r="X25498" s="239" t="n"/>
    </row>
    <row r="25500" ht="14.25" customHeight="1" s="192">
      <c r="W25500" s="235" t="n"/>
      <c r="X25500" s="235" t="n"/>
    </row>
    <row r="25501" ht="15" customHeight="1" s="192" thickBot="1">
      <c r="W25501" s="239" t="n"/>
      <c r="X25501" s="239" t="n"/>
    </row>
    <row r="25502" ht="15" customHeight="1" s="192" thickBot="1">
      <c r="W25502" s="45" t="n"/>
      <c r="X25502" s="45" t="n"/>
    </row>
    <row r="25503" ht="14.25" customHeight="1" s="192">
      <c r="W25503" s="228" t="n"/>
      <c r="X25503" s="228" t="n"/>
    </row>
    <row r="25504" ht="14.25" customHeight="1" s="192">
      <c r="W25504" s="228" t="n"/>
      <c r="X25504" s="228" t="n"/>
    </row>
    <row r="25505" ht="14.25" customHeight="1" s="192">
      <c r="W25505" s="231" t="n"/>
      <c r="X25505" s="231" t="n"/>
    </row>
    <row r="25506" ht="14.25" customHeight="1" s="192">
      <c r="W25506" s="33" t="n"/>
      <c r="X25506" s="33" t="n"/>
    </row>
    <row r="25507" ht="14.25" customHeight="1" s="192">
      <c r="W25507" s="231" t="n"/>
      <c r="X25507" s="231" t="n"/>
    </row>
    <row r="25508" ht="14.25" customHeight="1" s="192">
      <c r="W25508" s="33" t="n"/>
      <c r="X25508" s="33" t="n"/>
    </row>
    <row r="25510" ht="14.25" customHeight="1" s="192">
      <c r="W25510" s="231" t="n"/>
      <c r="X25510" s="231" t="n"/>
    </row>
    <row r="25511" ht="14.25" customHeight="1" s="192">
      <c r="W25511" s="235" t="n"/>
      <c r="X25511" s="235" t="n"/>
    </row>
    <row r="25512" ht="14.25" customHeight="1" s="192">
      <c r="W25512" s="228" t="n"/>
      <c r="X25512" s="228" t="n"/>
    </row>
    <row r="25513" ht="14.25" customHeight="1" s="192">
      <c r="W25513" s="235" t="n"/>
      <c r="X25513" s="235" t="n"/>
    </row>
    <row r="25514" ht="14.25" customHeight="1" s="192">
      <c r="W25514" s="235" t="n"/>
      <c r="X25514" s="235" t="n"/>
    </row>
    <row r="25515" ht="14.25" customHeight="1" s="192">
      <c r="W25515" s="235" t="n"/>
      <c r="X25515" s="235" t="n"/>
    </row>
    <row r="25516" ht="14.25" customHeight="1" s="192">
      <c r="W25516" s="239" t="n"/>
      <c r="X25516" s="239" t="n"/>
    </row>
    <row r="25517" ht="14.25" customHeight="1" s="192">
      <c r="W25517" s="239" t="n"/>
      <c r="X25517" s="239" t="n"/>
    </row>
    <row r="25518" ht="14.25" customHeight="1" s="192">
      <c r="W25518" s="239" t="n"/>
      <c r="X25518" s="239" t="n"/>
    </row>
    <row r="25519" ht="14.25" customHeight="1" s="192">
      <c r="W25519" s="235" t="n"/>
      <c r="X25519" s="235" t="n"/>
    </row>
    <row r="25520" ht="14.25" customHeight="1" s="192">
      <c r="W25520" s="235" t="n"/>
      <c r="X25520" s="235" t="n"/>
    </row>
    <row r="25521" ht="14.25" customHeight="1" s="192">
      <c r="W25521" s="235" t="n"/>
      <c r="X25521" s="235" t="n"/>
    </row>
    <row r="25522" ht="14.25" customHeight="1" s="192">
      <c r="W25522" s="239" t="n"/>
      <c r="X25522" s="239" t="n"/>
    </row>
    <row r="25523" ht="14.25" customHeight="1" s="192">
      <c r="W25523" s="239" t="n"/>
      <c r="X25523" s="239" t="n"/>
    </row>
    <row r="25524" ht="14.25" customHeight="1" s="192">
      <c r="W25524" s="235" t="n"/>
      <c r="X25524" s="235" t="n"/>
    </row>
    <row r="25525" ht="14.25" customHeight="1" s="192">
      <c r="W25525" s="235" t="n"/>
      <c r="X25525" s="235" t="n"/>
    </row>
    <row r="25526" ht="14.25" customHeight="1" s="192">
      <c r="W25526" s="239" t="n"/>
      <c r="X25526" s="239" t="n"/>
    </row>
    <row r="25527" ht="14.25" customHeight="1" s="192">
      <c r="W25527" s="235" t="n"/>
      <c r="X25527" s="235" t="n"/>
    </row>
    <row r="25528" ht="14.25" customHeight="1" s="192">
      <c r="W25528" s="239" t="n"/>
      <c r="X25528" s="239" t="n"/>
    </row>
    <row r="25530" ht="14.25" customHeight="1" s="192">
      <c r="W25530" s="235" t="n"/>
      <c r="X25530" s="235" t="n"/>
    </row>
    <row r="25531" ht="15" customHeight="1" s="192" thickBot="1">
      <c r="W25531" s="239" t="n"/>
      <c r="X25531" s="239" t="n"/>
    </row>
    <row r="25532" ht="15" customHeight="1" s="192" thickBot="1">
      <c r="W25532" s="45" t="n"/>
      <c r="X25532" s="45" t="n"/>
    </row>
    <row r="25533" ht="14.25" customHeight="1" s="192">
      <c r="W25533" s="228" t="n"/>
      <c r="X25533" s="228" t="n"/>
    </row>
    <row r="25534" ht="14.25" customHeight="1" s="192">
      <c r="W25534" s="228" t="n"/>
      <c r="X25534" s="228" t="n"/>
    </row>
    <row r="25535" ht="14.25" customHeight="1" s="192">
      <c r="W25535" s="231" t="n"/>
      <c r="X25535" s="231" t="n"/>
    </row>
    <row r="25536" ht="14.25" customHeight="1" s="192">
      <c r="W25536" s="33" t="n"/>
      <c r="X25536" s="33" t="n"/>
    </row>
    <row r="25537" ht="14.25" customHeight="1" s="192">
      <c r="W25537" s="231" t="n"/>
      <c r="X25537" s="231" t="n"/>
    </row>
    <row r="25538" ht="14.25" customHeight="1" s="192">
      <c r="W25538" s="33" t="n"/>
      <c r="X25538" s="33" t="n"/>
    </row>
    <row r="25540" ht="14.25" customHeight="1" s="192">
      <c r="W25540" s="231" t="n"/>
      <c r="X25540" s="231" t="n"/>
    </row>
    <row r="25541" ht="14.25" customHeight="1" s="192">
      <c r="W25541" s="235" t="n"/>
      <c r="X25541" s="235" t="n"/>
    </row>
    <row r="25542" ht="14.25" customHeight="1" s="192">
      <c r="W25542" s="228" t="n"/>
      <c r="X25542" s="228" t="n"/>
    </row>
    <row r="25543" ht="14.25" customHeight="1" s="192">
      <c r="W25543" s="235" t="n"/>
      <c r="X25543" s="235" t="n"/>
    </row>
    <row r="25544" ht="14.25" customHeight="1" s="192">
      <c r="W25544" s="235" t="n"/>
      <c r="X25544" s="235" t="n"/>
    </row>
    <row r="25545" ht="14.25" customHeight="1" s="192">
      <c r="W25545" s="235" t="n"/>
      <c r="X25545" s="235" t="n"/>
    </row>
    <row r="25546" ht="14.25" customHeight="1" s="192">
      <c r="W25546" s="239" t="n"/>
      <c r="X25546" s="239" t="n"/>
    </row>
    <row r="25547" ht="14.25" customHeight="1" s="192">
      <c r="W25547" s="239" t="n"/>
      <c r="X25547" s="239" t="n"/>
    </row>
    <row r="25548" ht="14.25" customHeight="1" s="192">
      <c r="W25548" s="239" t="n"/>
      <c r="X25548" s="239" t="n"/>
    </row>
    <row r="25549" ht="14.25" customHeight="1" s="192">
      <c r="W25549" s="235" t="n"/>
      <c r="X25549" s="235" t="n"/>
    </row>
    <row r="25550" ht="14.25" customHeight="1" s="192">
      <c r="W25550" s="235" t="n"/>
      <c r="X25550" s="235" t="n"/>
    </row>
    <row r="25551" ht="14.25" customHeight="1" s="192">
      <c r="W25551" s="235" t="n"/>
      <c r="X25551" s="235" t="n"/>
    </row>
    <row r="25552" ht="14.25" customHeight="1" s="192">
      <c r="W25552" s="239" t="n"/>
      <c r="X25552" s="239" t="n"/>
    </row>
    <row r="25553" ht="14.25" customHeight="1" s="192">
      <c r="W25553" s="239" t="n"/>
      <c r="X25553" s="239" t="n"/>
    </row>
    <row r="25554" ht="14.25" customHeight="1" s="192">
      <c r="W25554" s="235" t="n"/>
      <c r="X25554" s="235" t="n"/>
    </row>
    <row r="25555" ht="14.25" customHeight="1" s="192">
      <c r="W25555" s="235" t="n"/>
      <c r="X25555" s="235" t="n"/>
    </row>
    <row r="25556" ht="14.25" customHeight="1" s="192">
      <c r="W25556" s="239" t="n"/>
      <c r="X25556" s="239" t="n"/>
    </row>
    <row r="25557" ht="14.25" customHeight="1" s="192">
      <c r="W25557" s="235" t="n"/>
      <c r="X25557" s="235" t="n"/>
    </row>
    <row r="25558" ht="14.25" customHeight="1" s="192">
      <c r="W25558" s="239" t="n"/>
      <c r="X25558" s="239" t="n"/>
    </row>
    <row r="25560" ht="14.25" customHeight="1" s="192">
      <c r="W25560" s="235" t="n"/>
      <c r="X25560" s="235" t="n"/>
    </row>
    <row r="25561" ht="15" customHeight="1" s="192" thickBot="1">
      <c r="W25561" s="239" t="n"/>
      <c r="X25561" s="239" t="n"/>
    </row>
    <row r="25562" ht="15" customHeight="1" s="192" thickBot="1">
      <c r="W25562" s="45" t="n"/>
      <c r="X25562" s="45" t="n"/>
    </row>
    <row r="25563" ht="14.25" customHeight="1" s="192">
      <c r="W25563" s="228" t="n"/>
      <c r="X25563" s="228" t="n"/>
    </row>
    <row r="25564" ht="14.25" customHeight="1" s="192">
      <c r="W25564" s="228" t="n"/>
      <c r="X25564" s="228" t="n"/>
    </row>
    <row r="25565" ht="14.25" customHeight="1" s="192">
      <c r="W25565" s="231" t="n"/>
      <c r="X25565" s="231" t="n"/>
    </row>
    <row r="25566" ht="14.25" customHeight="1" s="192">
      <c r="W25566" s="33" t="n"/>
      <c r="X25566" s="33" t="n"/>
    </row>
    <row r="25567" ht="14.25" customHeight="1" s="192">
      <c r="W25567" s="231" t="n"/>
      <c r="X25567" s="231" t="n"/>
    </row>
    <row r="25568" ht="14.25" customHeight="1" s="192">
      <c r="W25568" s="33" t="n"/>
      <c r="X25568" s="33" t="n"/>
    </row>
    <row r="25570" ht="14.25" customHeight="1" s="192">
      <c r="W25570" s="231" t="n"/>
      <c r="X25570" s="231" t="n"/>
    </row>
    <row r="25571" ht="14.25" customHeight="1" s="192">
      <c r="W25571" s="235" t="n"/>
      <c r="X25571" s="235" t="n"/>
    </row>
    <row r="25572" ht="14.25" customHeight="1" s="192">
      <c r="W25572" s="228" t="n"/>
      <c r="X25572" s="228" t="n"/>
    </row>
    <row r="25573" ht="14.25" customHeight="1" s="192">
      <c r="W25573" s="235" t="n"/>
      <c r="X25573" s="235" t="n"/>
    </row>
    <row r="25574" ht="14.25" customHeight="1" s="192">
      <c r="W25574" s="235" t="n"/>
      <c r="X25574" s="235" t="n"/>
    </row>
    <row r="25575" ht="14.25" customHeight="1" s="192">
      <c r="W25575" s="235" t="n"/>
      <c r="X25575" s="235" t="n"/>
    </row>
    <row r="25576" ht="14.25" customHeight="1" s="192">
      <c r="W25576" s="239" t="n"/>
      <c r="X25576" s="239" t="n"/>
    </row>
    <row r="25577" ht="14.25" customHeight="1" s="192">
      <c r="W25577" s="239" t="n"/>
      <c r="X25577" s="239" t="n"/>
    </row>
    <row r="25578" ht="14.25" customHeight="1" s="192">
      <c r="W25578" s="239" t="n"/>
      <c r="X25578" s="239" t="n"/>
    </row>
    <row r="25579" ht="14.25" customHeight="1" s="192">
      <c r="W25579" s="235" t="n"/>
      <c r="X25579" s="235" t="n"/>
    </row>
    <row r="25580" ht="14.25" customHeight="1" s="192">
      <c r="W25580" s="235" t="n"/>
      <c r="X25580" s="235" t="n"/>
    </row>
    <row r="25581" ht="14.25" customHeight="1" s="192">
      <c r="W25581" s="235" t="n"/>
      <c r="X25581" s="235" t="n"/>
    </row>
    <row r="25582" ht="14.25" customHeight="1" s="192">
      <c r="W25582" s="239" t="n"/>
      <c r="X25582" s="239" t="n"/>
    </row>
    <row r="25583" ht="14.25" customHeight="1" s="192">
      <c r="W25583" s="239" t="n"/>
      <c r="X25583" s="239" t="n"/>
    </row>
    <row r="25584" ht="14.25" customHeight="1" s="192">
      <c r="W25584" s="235" t="n"/>
      <c r="X25584" s="235" t="n"/>
    </row>
    <row r="25585" ht="14.25" customHeight="1" s="192">
      <c r="W25585" s="235" t="n"/>
      <c r="X25585" s="235" t="n"/>
    </row>
    <row r="25586" ht="14.25" customHeight="1" s="192">
      <c r="W25586" s="239" t="n"/>
      <c r="X25586" s="239" t="n"/>
    </row>
    <row r="25587" ht="14.25" customHeight="1" s="192">
      <c r="W25587" s="235" t="n"/>
      <c r="X25587" s="235" t="n"/>
    </row>
    <row r="25588" ht="14.25" customHeight="1" s="192">
      <c r="W25588" s="239" t="n"/>
      <c r="X25588" s="239" t="n"/>
    </row>
    <row r="25590" ht="14.25" customHeight="1" s="192">
      <c r="W25590" s="235" t="n"/>
      <c r="X25590" s="235" t="n"/>
    </row>
    <row r="25591" ht="15" customHeight="1" s="192" thickBot="1">
      <c r="W25591" s="239" t="n"/>
      <c r="X25591" s="239" t="n"/>
    </row>
    <row r="25592" ht="15" customHeight="1" s="192" thickBot="1">
      <c r="W25592" s="45" t="n"/>
      <c r="X25592" s="45" t="n"/>
    </row>
    <row r="25593" ht="14.25" customHeight="1" s="192">
      <c r="W25593" s="228" t="n"/>
      <c r="X25593" s="228" t="n"/>
    </row>
    <row r="25594" ht="14.25" customHeight="1" s="192">
      <c r="W25594" s="228" t="n"/>
      <c r="X25594" s="228" t="n"/>
    </row>
    <row r="25595" ht="14.25" customHeight="1" s="192">
      <c r="W25595" s="231" t="n"/>
      <c r="X25595" s="231" t="n"/>
    </row>
    <row r="25596" ht="14.25" customHeight="1" s="192">
      <c r="W25596" s="33" t="n"/>
      <c r="X25596" s="33" t="n"/>
    </row>
    <row r="25597" ht="14.25" customHeight="1" s="192">
      <c r="W25597" s="231" t="n"/>
      <c r="X25597" s="231" t="n"/>
    </row>
    <row r="25598" ht="14.25" customHeight="1" s="192">
      <c r="W25598" s="33" t="n"/>
      <c r="X25598" s="33" t="n"/>
    </row>
    <row r="25600" ht="14.25" customHeight="1" s="192">
      <c r="W25600" s="231" t="n"/>
      <c r="X25600" s="231" t="n"/>
    </row>
    <row r="25601" ht="14.25" customHeight="1" s="192">
      <c r="W25601" s="235" t="n"/>
      <c r="X25601" s="235" t="n"/>
    </row>
    <row r="25602" ht="14.25" customHeight="1" s="192">
      <c r="W25602" s="228" t="n"/>
      <c r="X25602" s="228" t="n"/>
    </row>
    <row r="25603" ht="14.25" customHeight="1" s="192">
      <c r="W25603" s="235" t="n"/>
      <c r="X25603" s="235" t="n"/>
    </row>
    <row r="25604" ht="14.25" customHeight="1" s="192">
      <c r="W25604" s="235" t="n"/>
      <c r="X25604" s="235" t="n"/>
    </row>
    <row r="25605" ht="14.25" customHeight="1" s="192">
      <c r="W25605" s="235" t="n"/>
      <c r="X25605" s="235" t="n"/>
    </row>
    <row r="25606" ht="14.25" customHeight="1" s="192">
      <c r="W25606" s="239" t="n"/>
      <c r="X25606" s="239" t="n"/>
    </row>
    <row r="25607" ht="14.25" customHeight="1" s="192">
      <c r="W25607" s="239" t="n"/>
      <c r="X25607" s="239" t="n"/>
    </row>
    <row r="25608" ht="14.25" customHeight="1" s="192">
      <c r="W25608" s="239" t="n"/>
      <c r="X25608" s="239" t="n"/>
    </row>
    <row r="25609" ht="14.25" customHeight="1" s="192">
      <c r="W25609" s="235" t="n"/>
      <c r="X25609" s="235" t="n"/>
    </row>
    <row r="25610" ht="14.25" customHeight="1" s="192">
      <c r="W25610" s="235" t="n"/>
      <c r="X25610" s="235" t="n"/>
    </row>
    <row r="25611" ht="14.25" customHeight="1" s="192">
      <c r="W25611" s="235" t="n"/>
      <c r="X25611" s="235" t="n"/>
    </row>
    <row r="25612" ht="14.25" customHeight="1" s="192">
      <c r="W25612" s="239" t="n"/>
      <c r="X25612" s="239" t="n"/>
    </row>
    <row r="25613" ht="14.25" customHeight="1" s="192">
      <c r="W25613" s="239" t="n"/>
      <c r="X25613" s="239" t="n"/>
    </row>
    <row r="25614" ht="14.25" customHeight="1" s="192">
      <c r="W25614" s="235" t="n"/>
      <c r="X25614" s="235" t="n"/>
    </row>
    <row r="25615" ht="14.25" customHeight="1" s="192">
      <c r="W25615" s="235" t="n"/>
      <c r="X25615" s="235" t="n"/>
    </row>
    <row r="25616" ht="14.25" customHeight="1" s="192">
      <c r="W25616" s="239" t="n"/>
      <c r="X25616" s="239" t="n"/>
    </row>
    <row r="25617" ht="14.25" customHeight="1" s="192">
      <c r="W25617" s="235" t="n"/>
      <c r="X25617" s="235" t="n"/>
    </row>
    <row r="25618" ht="14.25" customHeight="1" s="192">
      <c r="W25618" s="239" t="n"/>
      <c r="X25618" s="239" t="n"/>
    </row>
    <row r="25620" ht="14.25" customHeight="1" s="192">
      <c r="W25620" s="235" t="n"/>
      <c r="X25620" s="235" t="n"/>
    </row>
    <row r="25621" ht="15" customHeight="1" s="192" thickBot="1">
      <c r="W25621" s="239" t="n"/>
      <c r="X25621" s="239" t="n"/>
    </row>
    <row r="25622" ht="15" customHeight="1" s="192" thickBot="1">
      <c r="W25622" s="45" t="n"/>
      <c r="X25622" s="45" t="n"/>
    </row>
    <row r="25623" ht="14.25" customHeight="1" s="192">
      <c r="W25623" s="228" t="n"/>
      <c r="X25623" s="228" t="n"/>
    </row>
    <row r="25624" ht="14.25" customHeight="1" s="192">
      <c r="W25624" s="228" t="n"/>
      <c r="X25624" s="228" t="n"/>
    </row>
    <row r="25625" ht="14.25" customHeight="1" s="192">
      <c r="W25625" s="231" t="n"/>
      <c r="X25625" s="231" t="n"/>
    </row>
    <row r="25626" ht="14.25" customHeight="1" s="192">
      <c r="W25626" s="33" t="n"/>
      <c r="X25626" s="33" t="n"/>
    </row>
    <row r="25627" ht="14.25" customHeight="1" s="192">
      <c r="W25627" s="231" t="n"/>
      <c r="X25627" s="231" t="n"/>
    </row>
    <row r="25628" ht="14.25" customHeight="1" s="192">
      <c r="W25628" s="33" t="n"/>
      <c r="X25628" s="33" t="n"/>
    </row>
    <row r="25630" ht="14.25" customHeight="1" s="192">
      <c r="W25630" s="231" t="n"/>
      <c r="X25630" s="231" t="n"/>
    </row>
    <row r="25631" ht="14.25" customHeight="1" s="192">
      <c r="W25631" s="235" t="n"/>
      <c r="X25631" s="235" t="n"/>
    </row>
    <row r="25632" ht="14.25" customHeight="1" s="192">
      <c r="W25632" s="228" t="n"/>
      <c r="X25632" s="228" t="n"/>
    </row>
    <row r="25633" ht="14.25" customHeight="1" s="192">
      <c r="W25633" s="235" t="n"/>
      <c r="X25633" s="235" t="n"/>
    </row>
    <row r="25634" ht="14.25" customHeight="1" s="192">
      <c r="W25634" s="235" t="n"/>
      <c r="X25634" s="235" t="n"/>
    </row>
    <row r="25635" ht="14.25" customHeight="1" s="192">
      <c r="W25635" s="235" t="n"/>
      <c r="X25635" s="235" t="n"/>
    </row>
    <row r="25636" ht="14.25" customHeight="1" s="192">
      <c r="W25636" s="239" t="n"/>
      <c r="X25636" s="239" t="n"/>
    </row>
    <row r="25637" ht="14.25" customHeight="1" s="192">
      <c r="W25637" s="239" t="n"/>
      <c r="X25637" s="239" t="n"/>
    </row>
    <row r="25638" ht="14.25" customHeight="1" s="192">
      <c r="W25638" s="239" t="n"/>
      <c r="X25638" s="239" t="n"/>
    </row>
    <row r="25639" ht="14.25" customHeight="1" s="192">
      <c r="W25639" s="235" t="n"/>
      <c r="X25639" s="235" t="n"/>
    </row>
    <row r="25640" ht="14.25" customHeight="1" s="192">
      <c r="W25640" s="235" t="n"/>
      <c r="X25640" s="235" t="n"/>
    </row>
    <row r="25641" ht="14.25" customHeight="1" s="192">
      <c r="W25641" s="235" t="n"/>
      <c r="X25641" s="235" t="n"/>
    </row>
    <row r="25642" ht="14.25" customHeight="1" s="192">
      <c r="W25642" s="239" t="n"/>
      <c r="X25642" s="239" t="n"/>
    </row>
    <row r="25643" ht="14.25" customHeight="1" s="192">
      <c r="W25643" s="239" t="n"/>
      <c r="X25643" s="239" t="n"/>
    </row>
    <row r="25644" ht="14.25" customHeight="1" s="192">
      <c r="W25644" s="235" t="n"/>
      <c r="X25644" s="235" t="n"/>
    </row>
    <row r="25645" ht="14.25" customHeight="1" s="192">
      <c r="W25645" s="235" t="n"/>
      <c r="X25645" s="235" t="n"/>
    </row>
    <row r="25646" ht="14.25" customHeight="1" s="192">
      <c r="W25646" s="239" t="n"/>
      <c r="X25646" s="239" t="n"/>
    </row>
    <row r="25647" ht="14.25" customHeight="1" s="192">
      <c r="W25647" s="235" t="n"/>
      <c r="X25647" s="235" t="n"/>
    </row>
    <row r="25648" ht="14.25" customHeight="1" s="192">
      <c r="W25648" s="239" t="n"/>
      <c r="X25648" s="239" t="n"/>
    </row>
    <row r="25650" ht="14.25" customHeight="1" s="192">
      <c r="W25650" s="235" t="n"/>
      <c r="X25650" s="235" t="n"/>
    </row>
    <row r="25651" ht="15" customHeight="1" s="192" thickBot="1">
      <c r="W25651" s="239" t="n"/>
      <c r="X25651" s="239" t="n"/>
    </row>
    <row r="25652" ht="15" customHeight="1" s="192" thickBot="1">
      <c r="W25652" s="45" t="n"/>
      <c r="X25652" s="45" t="n"/>
    </row>
    <row r="25653" ht="14.25" customHeight="1" s="192">
      <c r="W25653" s="228" t="n"/>
      <c r="X25653" s="228" t="n"/>
    </row>
    <row r="25654" ht="14.25" customHeight="1" s="192">
      <c r="W25654" s="228" t="n"/>
      <c r="X25654" s="228" t="n"/>
    </row>
    <row r="25655" ht="14.25" customHeight="1" s="192">
      <c r="W25655" s="231" t="n"/>
      <c r="X25655" s="231" t="n"/>
    </row>
    <row r="25656" ht="14.25" customHeight="1" s="192">
      <c r="W25656" s="33" t="n"/>
      <c r="X25656" s="33" t="n"/>
    </row>
    <row r="25657" ht="14.25" customHeight="1" s="192">
      <c r="W25657" s="231" t="n"/>
      <c r="X25657" s="231" t="n"/>
    </row>
    <row r="25658" ht="14.25" customHeight="1" s="192">
      <c r="W25658" s="33" t="n"/>
      <c r="X25658" s="33" t="n"/>
    </row>
    <row r="25660" ht="14.25" customHeight="1" s="192">
      <c r="W25660" s="231" t="n"/>
      <c r="X25660" s="231" t="n"/>
    </row>
    <row r="25661" ht="14.25" customHeight="1" s="192">
      <c r="W25661" s="235" t="n"/>
      <c r="X25661" s="235" t="n"/>
    </row>
    <row r="25662" ht="14.25" customHeight="1" s="192">
      <c r="W25662" s="228" t="n"/>
      <c r="X25662" s="228" t="n"/>
    </row>
    <row r="25663" ht="14.25" customHeight="1" s="192">
      <c r="W25663" s="235" t="n"/>
      <c r="X25663" s="235" t="n"/>
    </row>
    <row r="25664" ht="14.25" customHeight="1" s="192">
      <c r="W25664" s="235" t="n"/>
      <c r="X25664" s="235" t="n"/>
    </row>
    <row r="25665" ht="14.25" customHeight="1" s="192">
      <c r="W25665" s="235" t="n"/>
      <c r="X25665" s="235" t="n"/>
    </row>
    <row r="25666" ht="14.25" customHeight="1" s="192">
      <c r="W25666" s="239" t="n"/>
      <c r="X25666" s="239" t="n"/>
    </row>
    <row r="25667" ht="14.25" customHeight="1" s="192">
      <c r="W25667" s="239" t="n"/>
      <c r="X25667" s="239" t="n"/>
    </row>
    <row r="25668" ht="14.25" customHeight="1" s="192">
      <c r="W25668" s="239" t="n"/>
      <c r="X25668" s="239" t="n"/>
    </row>
    <row r="25669" ht="14.25" customHeight="1" s="192">
      <c r="W25669" s="235" t="n"/>
      <c r="X25669" s="235" t="n"/>
    </row>
    <row r="25670" ht="14.25" customHeight="1" s="192">
      <c r="W25670" s="235" t="n"/>
      <c r="X25670" s="235" t="n"/>
    </row>
    <row r="25671" ht="14.25" customHeight="1" s="192">
      <c r="W25671" s="235" t="n"/>
      <c r="X25671" s="235" t="n"/>
    </row>
    <row r="25672" ht="14.25" customHeight="1" s="192">
      <c r="W25672" s="239" t="n"/>
      <c r="X25672" s="239" t="n"/>
    </row>
    <row r="25673" ht="14.25" customHeight="1" s="192">
      <c r="W25673" s="239" t="n"/>
      <c r="X25673" s="239" t="n"/>
    </row>
    <row r="25674" ht="14.25" customHeight="1" s="192">
      <c r="W25674" s="235" t="n"/>
      <c r="X25674" s="235" t="n"/>
    </row>
    <row r="25675" ht="14.25" customHeight="1" s="192">
      <c r="W25675" s="235" t="n"/>
      <c r="X25675" s="235" t="n"/>
    </row>
    <row r="25676" ht="14.25" customHeight="1" s="192">
      <c r="W25676" s="239" t="n"/>
      <c r="X25676" s="239" t="n"/>
    </row>
    <row r="25677" ht="14.25" customHeight="1" s="192">
      <c r="W25677" s="235" t="n"/>
      <c r="X25677" s="235" t="n"/>
    </row>
    <row r="25678" ht="14.25" customHeight="1" s="192">
      <c r="W25678" s="239" t="n"/>
      <c r="X25678" s="239" t="n"/>
    </row>
    <row r="25680" ht="14.25" customHeight="1" s="192">
      <c r="W25680" s="235" t="n"/>
      <c r="X25680" s="235" t="n"/>
    </row>
    <row r="25681" ht="15" customHeight="1" s="192" thickBot="1">
      <c r="W25681" s="239" t="n"/>
      <c r="X25681" s="239" t="n"/>
    </row>
    <row r="25682" ht="15" customHeight="1" s="192" thickBot="1">
      <c r="W25682" s="45" t="n"/>
      <c r="X25682" s="45" t="n"/>
    </row>
    <row r="25683" ht="14.25" customHeight="1" s="192">
      <c r="W25683" s="228" t="n"/>
      <c r="X25683" s="228" t="n"/>
    </row>
    <row r="25684" ht="14.25" customHeight="1" s="192">
      <c r="W25684" s="228" t="n"/>
      <c r="X25684" s="228" t="n"/>
    </row>
    <row r="25685" ht="14.25" customHeight="1" s="192">
      <c r="W25685" s="231" t="n"/>
      <c r="X25685" s="231" t="n"/>
    </row>
    <row r="25686" ht="14.25" customHeight="1" s="192">
      <c r="W25686" s="33" t="n"/>
      <c r="X25686" s="33" t="n"/>
    </row>
    <row r="25687" ht="14.25" customHeight="1" s="192">
      <c r="W25687" s="231" t="n"/>
      <c r="X25687" s="231" t="n"/>
    </row>
    <row r="25688" ht="14.25" customHeight="1" s="192">
      <c r="W25688" s="33" t="n"/>
      <c r="X25688" s="33" t="n"/>
    </row>
    <row r="25690" ht="14.25" customHeight="1" s="192">
      <c r="W25690" s="231" t="n"/>
      <c r="X25690" s="231" t="n"/>
    </row>
    <row r="25691" ht="14.25" customHeight="1" s="192">
      <c r="W25691" s="235" t="n"/>
      <c r="X25691" s="235" t="n"/>
    </row>
    <row r="25692" ht="14.25" customHeight="1" s="192">
      <c r="W25692" s="228" t="n"/>
      <c r="X25692" s="228" t="n"/>
    </row>
    <row r="25693" ht="14.25" customHeight="1" s="192">
      <c r="W25693" s="235" t="n"/>
      <c r="X25693" s="235" t="n"/>
    </row>
    <row r="25694" ht="14.25" customHeight="1" s="192">
      <c r="W25694" s="235" t="n"/>
      <c r="X25694" s="235" t="n"/>
    </row>
    <row r="25695" ht="14.25" customHeight="1" s="192">
      <c r="W25695" s="235" t="n"/>
      <c r="X25695" s="235" t="n"/>
    </row>
    <row r="25696" ht="14.25" customHeight="1" s="192">
      <c r="W25696" s="239" t="n"/>
      <c r="X25696" s="239" t="n"/>
    </row>
    <row r="25697" ht="14.25" customHeight="1" s="192">
      <c r="W25697" s="239" t="n"/>
      <c r="X25697" s="239" t="n"/>
    </row>
    <row r="25698" ht="14.25" customHeight="1" s="192">
      <c r="W25698" s="239" t="n"/>
      <c r="X25698" s="239" t="n"/>
    </row>
    <row r="25699" ht="14.25" customHeight="1" s="192">
      <c r="W25699" s="235" t="n"/>
      <c r="X25699" s="235" t="n"/>
    </row>
    <row r="25700" ht="14.25" customHeight="1" s="192">
      <c r="W25700" s="235" t="n"/>
      <c r="X25700" s="235" t="n"/>
    </row>
    <row r="25701" ht="14.25" customHeight="1" s="192">
      <c r="W25701" s="235" t="n"/>
      <c r="X25701" s="235" t="n"/>
    </row>
    <row r="25702" ht="14.25" customHeight="1" s="192">
      <c r="W25702" s="239" t="n"/>
      <c r="X25702" s="239" t="n"/>
    </row>
    <row r="25703" ht="14.25" customHeight="1" s="192">
      <c r="W25703" s="239" t="n"/>
      <c r="X25703" s="239" t="n"/>
    </row>
    <row r="25704" ht="14.25" customHeight="1" s="192">
      <c r="W25704" s="235" t="n"/>
      <c r="X25704" s="235" t="n"/>
    </row>
    <row r="25705" ht="14.25" customHeight="1" s="192">
      <c r="W25705" s="235" t="n"/>
      <c r="X25705" s="235" t="n"/>
    </row>
    <row r="25706" ht="14.25" customHeight="1" s="192">
      <c r="W25706" s="239" t="n"/>
      <c r="X25706" s="239" t="n"/>
    </row>
    <row r="25707" ht="14.25" customHeight="1" s="192">
      <c r="W25707" s="235" t="n"/>
      <c r="X25707" s="235" t="n"/>
    </row>
    <row r="25708" ht="14.25" customHeight="1" s="192">
      <c r="W25708" s="239" t="n"/>
      <c r="X25708" s="239" t="n"/>
    </row>
    <row r="25710" ht="14.25" customHeight="1" s="192">
      <c r="W25710" s="235" t="n"/>
      <c r="X25710" s="235" t="n"/>
    </row>
    <row r="25711" ht="15" customHeight="1" s="192" thickBot="1">
      <c r="W25711" s="239" t="n"/>
      <c r="X25711" s="239" t="n"/>
    </row>
    <row r="25712" ht="15" customHeight="1" s="192" thickBot="1">
      <c r="W25712" s="45" t="n"/>
      <c r="X25712" s="45" t="n"/>
    </row>
    <row r="25713" ht="14.25" customHeight="1" s="192">
      <c r="W25713" s="228" t="n"/>
      <c r="X25713" s="228" t="n"/>
    </row>
    <row r="25714" ht="14.25" customHeight="1" s="192">
      <c r="W25714" s="228" t="n"/>
      <c r="X25714" s="228" t="n"/>
    </row>
    <row r="25715" ht="14.25" customHeight="1" s="192">
      <c r="W25715" s="231" t="n"/>
      <c r="X25715" s="231" t="n"/>
    </row>
    <row r="25716" ht="14.25" customHeight="1" s="192">
      <c r="W25716" s="33" t="n"/>
      <c r="X25716" s="33" t="n"/>
    </row>
    <row r="25717" ht="14.25" customHeight="1" s="192">
      <c r="W25717" s="231" t="n"/>
      <c r="X25717" s="231" t="n"/>
    </row>
    <row r="25718" ht="14.25" customHeight="1" s="192">
      <c r="W25718" s="33" t="n"/>
      <c r="X25718" s="33" t="n"/>
    </row>
    <row r="25720" ht="14.25" customHeight="1" s="192">
      <c r="W25720" s="231" t="n"/>
      <c r="X25720" s="231" t="n"/>
    </row>
    <row r="25721" ht="14.25" customHeight="1" s="192">
      <c r="W25721" s="235" t="n"/>
      <c r="X25721" s="235" t="n"/>
    </row>
    <row r="25722" ht="14.25" customHeight="1" s="192">
      <c r="W25722" s="228" t="n"/>
      <c r="X25722" s="228" t="n"/>
    </row>
    <row r="25723" ht="14.25" customHeight="1" s="192">
      <c r="W25723" s="235" t="n"/>
      <c r="X25723" s="235" t="n"/>
    </row>
    <row r="25724" ht="14.25" customHeight="1" s="192">
      <c r="W25724" s="235" t="n"/>
      <c r="X25724" s="235" t="n"/>
    </row>
    <row r="25725" ht="14.25" customHeight="1" s="192">
      <c r="W25725" s="235" t="n"/>
      <c r="X25725" s="235" t="n"/>
    </row>
    <row r="25726" ht="14.25" customHeight="1" s="192">
      <c r="W25726" s="239" t="n"/>
      <c r="X25726" s="239" t="n"/>
    </row>
    <row r="25727" ht="14.25" customHeight="1" s="192">
      <c r="W25727" s="239" t="n"/>
      <c r="X25727" s="239" t="n"/>
    </row>
    <row r="25728" ht="14.25" customHeight="1" s="192">
      <c r="W25728" s="239" t="n"/>
      <c r="X25728" s="239" t="n"/>
    </row>
    <row r="25729" ht="14.25" customHeight="1" s="192">
      <c r="W25729" s="235" t="n"/>
      <c r="X25729" s="235" t="n"/>
    </row>
    <row r="25730" ht="14.25" customHeight="1" s="192">
      <c r="W25730" s="235" t="n"/>
      <c r="X25730" s="235" t="n"/>
    </row>
    <row r="25731" ht="14.25" customHeight="1" s="192">
      <c r="W25731" s="235" t="n"/>
      <c r="X25731" s="235" t="n"/>
    </row>
    <row r="25732" ht="14.25" customHeight="1" s="192">
      <c r="W25732" s="239" t="n"/>
      <c r="X25732" s="239" t="n"/>
    </row>
    <row r="25733" ht="14.25" customHeight="1" s="192">
      <c r="W25733" s="239" t="n"/>
      <c r="X25733" s="239" t="n"/>
    </row>
    <row r="25734" ht="14.25" customHeight="1" s="192">
      <c r="W25734" s="235" t="n"/>
      <c r="X25734" s="235" t="n"/>
    </row>
    <row r="25735" ht="14.25" customHeight="1" s="192">
      <c r="W25735" s="235" t="n"/>
      <c r="X25735" s="235" t="n"/>
    </row>
    <row r="25736" ht="14.25" customHeight="1" s="192">
      <c r="W25736" s="239" t="n"/>
      <c r="X25736" s="239" t="n"/>
    </row>
    <row r="25737" ht="14.25" customHeight="1" s="192">
      <c r="W25737" s="235" t="n"/>
      <c r="X25737" s="235" t="n"/>
    </row>
    <row r="25738" ht="14.25" customHeight="1" s="192">
      <c r="W25738" s="239" t="n"/>
      <c r="X25738" s="239" t="n"/>
    </row>
    <row r="25740" ht="14.25" customHeight="1" s="192">
      <c r="W25740" s="235" t="n"/>
      <c r="X25740" s="235" t="n"/>
    </row>
    <row r="25741" ht="15" customHeight="1" s="192" thickBot="1">
      <c r="W25741" s="239" t="n"/>
      <c r="X25741" s="239" t="n"/>
    </row>
    <row r="25742" ht="15" customHeight="1" s="192" thickBot="1">
      <c r="W25742" s="45" t="n"/>
      <c r="X25742" s="45" t="n"/>
    </row>
    <row r="25743" ht="14.25" customHeight="1" s="192">
      <c r="W25743" s="228" t="n"/>
      <c r="X25743" s="228" t="n"/>
    </row>
    <row r="25744" ht="14.25" customHeight="1" s="192">
      <c r="W25744" s="228" t="n"/>
      <c r="X25744" s="228" t="n"/>
    </row>
    <row r="25745" ht="14.25" customHeight="1" s="192">
      <c r="W25745" s="231" t="n"/>
      <c r="X25745" s="231" t="n"/>
    </row>
    <row r="25746" ht="14.25" customHeight="1" s="192">
      <c r="W25746" s="33" t="n"/>
      <c r="X25746" s="33" t="n"/>
    </row>
    <row r="25747" ht="14.25" customHeight="1" s="192">
      <c r="W25747" s="231" t="n"/>
      <c r="X25747" s="231" t="n"/>
    </row>
    <row r="25748" ht="14.25" customHeight="1" s="192">
      <c r="W25748" s="33" t="n"/>
      <c r="X25748" s="33" t="n"/>
    </row>
    <row r="25750" ht="14.25" customHeight="1" s="192">
      <c r="W25750" s="231" t="n"/>
      <c r="X25750" s="231" t="n"/>
    </row>
    <row r="25751" ht="14.25" customHeight="1" s="192">
      <c r="W25751" s="235" t="n"/>
      <c r="X25751" s="235" t="n"/>
    </row>
    <row r="25752" ht="14.25" customHeight="1" s="192">
      <c r="W25752" s="228" t="n"/>
      <c r="X25752" s="228" t="n"/>
    </row>
    <row r="25753" ht="14.25" customHeight="1" s="192">
      <c r="W25753" s="235" t="n"/>
      <c r="X25753" s="235" t="n"/>
    </row>
    <row r="25754" ht="14.25" customHeight="1" s="192">
      <c r="W25754" s="235" t="n"/>
      <c r="X25754" s="235" t="n"/>
    </row>
    <row r="25755" ht="14.25" customHeight="1" s="192">
      <c r="W25755" s="235" t="n"/>
      <c r="X25755" s="235" t="n"/>
    </row>
    <row r="25756" ht="14.25" customHeight="1" s="192">
      <c r="W25756" s="239" t="n"/>
      <c r="X25756" s="239" t="n"/>
    </row>
    <row r="25757" ht="14.25" customHeight="1" s="192">
      <c r="W25757" s="239" t="n"/>
      <c r="X25757" s="239" t="n"/>
    </row>
    <row r="25758" ht="14.25" customHeight="1" s="192">
      <c r="W25758" s="239" t="n"/>
      <c r="X25758" s="239" t="n"/>
    </row>
    <row r="25759" ht="14.25" customHeight="1" s="192">
      <c r="W25759" s="235" t="n"/>
      <c r="X25759" s="235" t="n"/>
    </row>
    <row r="25760" ht="14.25" customHeight="1" s="192">
      <c r="W25760" s="235" t="n"/>
      <c r="X25760" s="235" t="n"/>
    </row>
    <row r="25761" ht="14.25" customHeight="1" s="192">
      <c r="W25761" s="235" t="n"/>
      <c r="X25761" s="235" t="n"/>
    </row>
    <row r="25762" ht="14.25" customHeight="1" s="192">
      <c r="W25762" s="239" t="n"/>
      <c r="X25762" s="239" t="n"/>
    </row>
    <row r="25763" ht="14.25" customHeight="1" s="192">
      <c r="W25763" s="239" t="n"/>
      <c r="X25763" s="239" t="n"/>
    </row>
    <row r="25764" ht="14.25" customHeight="1" s="192">
      <c r="W25764" s="235" t="n"/>
      <c r="X25764" s="235" t="n"/>
    </row>
    <row r="25765" ht="14.25" customHeight="1" s="192">
      <c r="W25765" s="235" t="n"/>
      <c r="X25765" s="235" t="n"/>
    </row>
    <row r="25766" ht="14.25" customHeight="1" s="192">
      <c r="W25766" s="239" t="n"/>
      <c r="X25766" s="239" t="n"/>
    </row>
    <row r="25767" ht="14.25" customHeight="1" s="192">
      <c r="W25767" s="235" t="n"/>
      <c r="X25767" s="235" t="n"/>
    </row>
    <row r="25768" ht="14.25" customHeight="1" s="192">
      <c r="W25768" s="239" t="n"/>
      <c r="X25768" s="239" t="n"/>
    </row>
    <row r="25770" ht="14.25" customHeight="1" s="192">
      <c r="W25770" s="235" t="n"/>
      <c r="X25770" s="235" t="n"/>
    </row>
    <row r="25771" ht="15" customHeight="1" s="192" thickBot="1">
      <c r="W25771" s="239" t="n"/>
      <c r="X25771" s="239" t="n"/>
    </row>
    <row r="25772" ht="15" customHeight="1" s="192" thickBot="1">
      <c r="W25772" s="45" t="n"/>
      <c r="X25772" s="45" t="n"/>
    </row>
    <row r="25773" ht="14.25" customHeight="1" s="192">
      <c r="W25773" s="228" t="n"/>
      <c r="X25773" s="228" t="n"/>
    </row>
    <row r="25774" ht="14.25" customHeight="1" s="192">
      <c r="W25774" s="228" t="n"/>
      <c r="X25774" s="228" t="n"/>
    </row>
    <row r="25775" ht="14.25" customHeight="1" s="192">
      <c r="W25775" s="231" t="n"/>
      <c r="X25775" s="231" t="n"/>
    </row>
    <row r="25776" ht="14.25" customHeight="1" s="192">
      <c r="W25776" s="33" t="n"/>
      <c r="X25776" s="33" t="n"/>
    </row>
    <row r="25777" ht="14.25" customHeight="1" s="192">
      <c r="W25777" s="231" t="n"/>
      <c r="X25777" s="231" t="n"/>
    </row>
    <row r="25778" ht="14.25" customHeight="1" s="192">
      <c r="W25778" s="33" t="n"/>
      <c r="X25778" s="33" t="n"/>
    </row>
    <row r="25780" ht="14.25" customHeight="1" s="192">
      <c r="W25780" s="231" t="n"/>
      <c r="X25780" s="231" t="n"/>
    </row>
    <row r="25781" ht="14.25" customHeight="1" s="192">
      <c r="W25781" s="235" t="n"/>
      <c r="X25781" s="235" t="n"/>
    </row>
    <row r="25782" ht="14.25" customHeight="1" s="192">
      <c r="W25782" s="228" t="n"/>
      <c r="X25782" s="228" t="n"/>
    </row>
    <row r="25783" ht="14.25" customHeight="1" s="192">
      <c r="W25783" s="235" t="n"/>
      <c r="X25783" s="235" t="n"/>
    </row>
    <row r="25784" ht="14.25" customHeight="1" s="192">
      <c r="W25784" s="235" t="n"/>
      <c r="X25784" s="235" t="n"/>
    </row>
    <row r="25785" ht="14.25" customHeight="1" s="192">
      <c r="W25785" s="235" t="n"/>
      <c r="X25785" s="235" t="n"/>
    </row>
    <row r="25786" ht="14.25" customHeight="1" s="192">
      <c r="W25786" s="239" t="n"/>
      <c r="X25786" s="239" t="n"/>
    </row>
    <row r="25787" ht="14.25" customHeight="1" s="192">
      <c r="W25787" s="239" t="n"/>
      <c r="X25787" s="239" t="n"/>
    </row>
    <row r="25788" ht="14.25" customHeight="1" s="192">
      <c r="W25788" s="239" t="n"/>
      <c r="X25788" s="239" t="n"/>
    </row>
    <row r="25789" ht="14.25" customHeight="1" s="192">
      <c r="W25789" s="235" t="n"/>
      <c r="X25789" s="235" t="n"/>
    </row>
    <row r="25790" ht="14.25" customHeight="1" s="192">
      <c r="W25790" s="235" t="n"/>
      <c r="X25790" s="235" t="n"/>
    </row>
    <row r="25791" ht="14.25" customHeight="1" s="192">
      <c r="W25791" s="235" t="n"/>
      <c r="X25791" s="235" t="n"/>
    </row>
    <row r="25792" ht="14.25" customHeight="1" s="192">
      <c r="W25792" s="239" t="n"/>
      <c r="X25792" s="239" t="n"/>
    </row>
    <row r="25793" ht="14.25" customHeight="1" s="192">
      <c r="W25793" s="239" t="n"/>
      <c r="X25793" s="239" t="n"/>
    </row>
    <row r="25794" ht="14.25" customHeight="1" s="192">
      <c r="W25794" s="235" t="n"/>
      <c r="X25794" s="235" t="n"/>
    </row>
    <row r="25795" ht="14.25" customHeight="1" s="192">
      <c r="W25795" s="235" t="n"/>
      <c r="X25795" s="235" t="n"/>
    </row>
    <row r="25796" ht="14.25" customHeight="1" s="192">
      <c r="W25796" s="239" t="n"/>
      <c r="X25796" s="239" t="n"/>
    </row>
    <row r="25797" ht="14.25" customHeight="1" s="192">
      <c r="W25797" s="235" t="n"/>
      <c r="X25797" s="235" t="n"/>
    </row>
    <row r="25798" ht="14.25" customHeight="1" s="192">
      <c r="W25798" s="239" t="n"/>
      <c r="X25798" s="239" t="n"/>
    </row>
    <row r="25800" ht="14.25" customHeight="1" s="192">
      <c r="W25800" s="235" t="n"/>
      <c r="X25800" s="235" t="n"/>
    </row>
    <row r="25801" ht="15" customHeight="1" s="192" thickBot="1">
      <c r="W25801" s="239" t="n"/>
      <c r="X25801" s="239" t="n"/>
    </row>
    <row r="25802" ht="15" customHeight="1" s="192" thickBot="1">
      <c r="W25802" s="45" t="n"/>
      <c r="X25802" s="45" t="n"/>
    </row>
    <row r="25803" ht="14.25" customHeight="1" s="192">
      <c r="W25803" s="228" t="n"/>
      <c r="X25803" s="228" t="n"/>
    </row>
    <row r="25804" ht="14.25" customHeight="1" s="192">
      <c r="W25804" s="228" t="n"/>
      <c r="X25804" s="228" t="n"/>
    </row>
    <row r="25805" ht="14.25" customHeight="1" s="192">
      <c r="W25805" s="231" t="n"/>
      <c r="X25805" s="231" t="n"/>
    </row>
    <row r="25806" ht="14.25" customHeight="1" s="192">
      <c r="W25806" s="33" t="n"/>
      <c r="X25806" s="33" t="n"/>
    </row>
    <row r="25807" ht="14.25" customHeight="1" s="192">
      <c r="W25807" s="231" t="n"/>
      <c r="X25807" s="231" t="n"/>
    </row>
    <row r="25808" ht="14.25" customHeight="1" s="192">
      <c r="W25808" s="33" t="n"/>
      <c r="X25808" s="33" t="n"/>
    </row>
    <row r="25810" ht="14.25" customHeight="1" s="192">
      <c r="W25810" s="231" t="n"/>
      <c r="X25810" s="231" t="n"/>
    </row>
    <row r="25811" ht="14.25" customHeight="1" s="192">
      <c r="W25811" s="235" t="n"/>
      <c r="X25811" s="235" t="n"/>
    </row>
    <row r="25812" ht="14.25" customHeight="1" s="192">
      <c r="W25812" s="228" t="n"/>
      <c r="X25812" s="228" t="n"/>
    </row>
    <row r="25813" ht="14.25" customHeight="1" s="192">
      <c r="W25813" s="235" t="n"/>
      <c r="X25813" s="235" t="n"/>
    </row>
    <row r="25814" ht="14.25" customHeight="1" s="192">
      <c r="W25814" s="235" t="n"/>
      <c r="X25814" s="235" t="n"/>
    </row>
    <row r="25815" ht="14.25" customHeight="1" s="192">
      <c r="W25815" s="235" t="n"/>
      <c r="X25815" s="235" t="n"/>
    </row>
    <row r="25816" ht="14.25" customHeight="1" s="192">
      <c r="W25816" s="239" t="n"/>
      <c r="X25816" s="239" t="n"/>
    </row>
    <row r="25817" ht="14.25" customHeight="1" s="192">
      <c r="W25817" s="239" t="n"/>
      <c r="X25817" s="239" t="n"/>
    </row>
    <row r="25818" ht="14.25" customHeight="1" s="192">
      <c r="W25818" s="239" t="n"/>
      <c r="X25818" s="239" t="n"/>
    </row>
    <row r="25819" ht="14.25" customHeight="1" s="192">
      <c r="W25819" s="235" t="n"/>
      <c r="X25819" s="235" t="n"/>
    </row>
    <row r="25820" ht="14.25" customHeight="1" s="192">
      <c r="W25820" s="235" t="n"/>
      <c r="X25820" s="235" t="n"/>
    </row>
    <row r="25821" ht="14.25" customHeight="1" s="192">
      <c r="W25821" s="235" t="n"/>
      <c r="X25821" s="235" t="n"/>
    </row>
    <row r="25822" ht="14.25" customHeight="1" s="192">
      <c r="W25822" s="239" t="n"/>
      <c r="X25822" s="239" t="n"/>
    </row>
    <row r="25823" ht="14.25" customHeight="1" s="192">
      <c r="W25823" s="239" t="n"/>
      <c r="X25823" s="239" t="n"/>
    </row>
    <row r="25824" ht="14.25" customHeight="1" s="192">
      <c r="W25824" s="235" t="n"/>
      <c r="X25824" s="235" t="n"/>
    </row>
    <row r="25825" ht="14.25" customHeight="1" s="192">
      <c r="W25825" s="235" t="n"/>
      <c r="X25825" s="235" t="n"/>
    </row>
    <row r="25826" ht="14.25" customHeight="1" s="192">
      <c r="W25826" s="239" t="n"/>
      <c r="X25826" s="239" t="n"/>
    </row>
    <row r="25827" ht="14.25" customHeight="1" s="192">
      <c r="W25827" s="235" t="n"/>
      <c r="X25827" s="235" t="n"/>
    </row>
    <row r="25828" ht="14.25" customHeight="1" s="192">
      <c r="W25828" s="239" t="n"/>
      <c r="X25828" s="239" t="n"/>
    </row>
    <row r="25830" ht="14.25" customHeight="1" s="192">
      <c r="W25830" s="235" t="n"/>
      <c r="X25830" s="235" t="n"/>
    </row>
    <row r="25831" ht="15" customHeight="1" s="192" thickBot="1">
      <c r="W25831" s="239" t="n"/>
      <c r="X25831" s="239" t="n"/>
    </row>
    <row r="25832" ht="15" customHeight="1" s="192" thickBot="1">
      <c r="W25832" s="45" t="n"/>
      <c r="X25832" s="45" t="n"/>
    </row>
    <row r="25833" ht="14.25" customHeight="1" s="192">
      <c r="W25833" s="228" t="n"/>
      <c r="X25833" s="228" t="n"/>
    </row>
    <row r="25834" ht="14.25" customHeight="1" s="192">
      <c r="W25834" s="228" t="n"/>
      <c r="X25834" s="228" t="n"/>
    </row>
    <row r="25835" ht="14.25" customHeight="1" s="192">
      <c r="W25835" s="231" t="n"/>
      <c r="X25835" s="231" t="n"/>
    </row>
    <row r="25836" ht="14.25" customHeight="1" s="192">
      <c r="W25836" s="33" t="n"/>
      <c r="X25836" s="33" t="n"/>
    </row>
    <row r="25837" ht="14.25" customHeight="1" s="192">
      <c r="W25837" s="231" t="n"/>
      <c r="X25837" s="231" t="n"/>
    </row>
    <row r="25838" ht="14.25" customHeight="1" s="192">
      <c r="W25838" s="33" t="n"/>
      <c r="X25838" s="33" t="n"/>
    </row>
    <row r="25840" ht="14.25" customHeight="1" s="192">
      <c r="W25840" s="231" t="n"/>
      <c r="X25840" s="231" t="n"/>
    </row>
    <row r="25841" ht="14.25" customHeight="1" s="192">
      <c r="W25841" s="235" t="n"/>
      <c r="X25841" s="235" t="n"/>
    </row>
    <row r="25842" ht="14.25" customHeight="1" s="192">
      <c r="W25842" s="228" t="n"/>
      <c r="X25842" s="228" t="n"/>
    </row>
    <row r="25843" ht="14.25" customHeight="1" s="192">
      <c r="W25843" s="235" t="n"/>
      <c r="X25843" s="235" t="n"/>
    </row>
    <row r="25844" ht="14.25" customHeight="1" s="192">
      <c r="W25844" s="235" t="n"/>
      <c r="X25844" s="235" t="n"/>
    </row>
    <row r="25845" ht="14.25" customHeight="1" s="192">
      <c r="W25845" s="235" t="n"/>
      <c r="X25845" s="235" t="n"/>
    </row>
    <row r="25846" ht="14.25" customHeight="1" s="192">
      <c r="W25846" s="239" t="n"/>
      <c r="X25846" s="239" t="n"/>
    </row>
    <row r="25847" ht="14.25" customHeight="1" s="192">
      <c r="W25847" s="239" t="n"/>
      <c r="X25847" s="239" t="n"/>
    </row>
    <row r="25848" ht="14.25" customHeight="1" s="192">
      <c r="W25848" s="239" t="n"/>
      <c r="X25848" s="239" t="n"/>
    </row>
    <row r="25849" ht="14.25" customHeight="1" s="192">
      <c r="W25849" s="235" t="n"/>
      <c r="X25849" s="235" t="n"/>
    </row>
    <row r="25850" ht="14.25" customHeight="1" s="192">
      <c r="W25850" s="235" t="n"/>
      <c r="X25850" s="235" t="n"/>
    </row>
    <row r="25851" ht="14.25" customHeight="1" s="192">
      <c r="W25851" s="235" t="n"/>
      <c r="X25851" s="235" t="n"/>
    </row>
    <row r="25852" ht="14.25" customHeight="1" s="192">
      <c r="W25852" s="239" t="n"/>
      <c r="X25852" s="239" t="n"/>
    </row>
    <row r="25853" ht="14.25" customHeight="1" s="192">
      <c r="W25853" s="239" t="n"/>
      <c r="X25853" s="239" t="n"/>
    </row>
    <row r="25854" ht="14.25" customHeight="1" s="192">
      <c r="W25854" s="235" t="n"/>
      <c r="X25854" s="235" t="n"/>
    </row>
    <row r="25855" ht="14.25" customHeight="1" s="192">
      <c r="W25855" s="235" t="n"/>
      <c r="X25855" s="235" t="n"/>
    </row>
    <row r="25856" ht="14.25" customHeight="1" s="192">
      <c r="W25856" s="239" t="n"/>
      <c r="X25856" s="239" t="n"/>
    </row>
    <row r="25857" ht="14.25" customHeight="1" s="192">
      <c r="W25857" s="235" t="n"/>
      <c r="X25857" s="235" t="n"/>
    </row>
    <row r="25858" ht="14.25" customHeight="1" s="192">
      <c r="W25858" s="239" t="n"/>
      <c r="X25858" s="239" t="n"/>
    </row>
    <row r="25860" ht="14.25" customHeight="1" s="192">
      <c r="W25860" s="235" t="n"/>
      <c r="X25860" s="235" t="n"/>
    </row>
    <row r="25861" ht="15" customHeight="1" s="192" thickBot="1">
      <c r="W25861" s="239" t="n"/>
      <c r="X25861" s="239" t="n"/>
    </row>
    <row r="25862" ht="15" customHeight="1" s="192" thickBot="1">
      <c r="W25862" s="45" t="n"/>
      <c r="X25862" s="45" t="n"/>
    </row>
    <row r="25863" ht="14.25" customHeight="1" s="192">
      <c r="W25863" s="228" t="n"/>
      <c r="X25863" s="228" t="n"/>
    </row>
    <row r="25864" ht="14.25" customHeight="1" s="192">
      <c r="W25864" s="228" t="n"/>
      <c r="X25864" s="228" t="n"/>
    </row>
    <row r="25865" ht="14.25" customHeight="1" s="192">
      <c r="W25865" s="231" t="n"/>
      <c r="X25865" s="231" t="n"/>
    </row>
    <row r="25866" ht="14.25" customHeight="1" s="192">
      <c r="W25866" s="33" t="n"/>
      <c r="X25866" s="33" t="n"/>
    </row>
    <row r="25867" ht="14.25" customHeight="1" s="192">
      <c r="W25867" s="231" t="n"/>
      <c r="X25867" s="231" t="n"/>
    </row>
    <row r="25868" ht="14.25" customHeight="1" s="192">
      <c r="W25868" s="33" t="n"/>
      <c r="X25868" s="33" t="n"/>
    </row>
    <row r="25870" ht="14.25" customHeight="1" s="192">
      <c r="W25870" s="231" t="n"/>
      <c r="X25870" s="231" t="n"/>
    </row>
    <row r="25871" ht="14.25" customHeight="1" s="192">
      <c r="W25871" s="235" t="n"/>
      <c r="X25871" s="235" t="n"/>
    </row>
    <row r="25872" ht="14.25" customHeight="1" s="192">
      <c r="W25872" s="228" t="n"/>
      <c r="X25872" s="228" t="n"/>
    </row>
    <row r="25873" ht="14.25" customHeight="1" s="192">
      <c r="W25873" s="235" t="n"/>
      <c r="X25873" s="235" t="n"/>
    </row>
    <row r="25874" ht="14.25" customHeight="1" s="192">
      <c r="W25874" s="235" t="n"/>
      <c r="X25874" s="235" t="n"/>
    </row>
    <row r="25875" ht="14.25" customHeight="1" s="192">
      <c r="W25875" s="235" t="n"/>
      <c r="X25875" s="235" t="n"/>
    </row>
    <row r="25876" ht="14.25" customHeight="1" s="192">
      <c r="W25876" s="239" t="n"/>
      <c r="X25876" s="239" t="n"/>
    </row>
    <row r="25877" ht="14.25" customHeight="1" s="192">
      <c r="W25877" s="239" t="n"/>
      <c r="X25877" s="239" t="n"/>
    </row>
    <row r="25878" ht="14.25" customHeight="1" s="192">
      <c r="W25878" s="239" t="n"/>
      <c r="X25878" s="239" t="n"/>
    </row>
    <row r="25879" ht="14.25" customHeight="1" s="192">
      <c r="W25879" s="235" t="n"/>
      <c r="X25879" s="235" t="n"/>
    </row>
    <row r="25880" ht="14.25" customHeight="1" s="192">
      <c r="W25880" s="235" t="n"/>
      <c r="X25880" s="235" t="n"/>
    </row>
    <row r="25881" ht="14.25" customHeight="1" s="192">
      <c r="W25881" s="235" t="n"/>
      <c r="X25881" s="235" t="n"/>
    </row>
    <row r="25882" ht="14.25" customHeight="1" s="192">
      <c r="W25882" s="239" t="n"/>
      <c r="X25882" s="239" t="n"/>
    </row>
    <row r="25883" ht="14.25" customHeight="1" s="192">
      <c r="W25883" s="239" t="n"/>
      <c r="X25883" s="239" t="n"/>
    </row>
    <row r="25884" ht="14.25" customHeight="1" s="192">
      <c r="W25884" s="235" t="n"/>
      <c r="X25884" s="235" t="n"/>
    </row>
    <row r="25885" ht="14.25" customHeight="1" s="192">
      <c r="W25885" s="235" t="n"/>
      <c r="X25885" s="235" t="n"/>
    </row>
    <row r="25886" ht="14.25" customHeight="1" s="192">
      <c r="W25886" s="239" t="n"/>
      <c r="X25886" s="239" t="n"/>
    </row>
    <row r="25887" ht="14.25" customHeight="1" s="192">
      <c r="W25887" s="235" t="n"/>
      <c r="X25887" s="235" t="n"/>
    </row>
    <row r="25888" ht="14.25" customHeight="1" s="192">
      <c r="W25888" s="239" t="n"/>
      <c r="X25888" s="239" t="n"/>
    </row>
    <row r="25890" ht="14.25" customHeight="1" s="192">
      <c r="W25890" s="235" t="n"/>
      <c r="X25890" s="235" t="n"/>
    </row>
    <row r="25891" ht="15" customHeight="1" s="192" thickBot="1">
      <c r="W25891" s="239" t="n"/>
      <c r="X25891" s="239" t="n"/>
    </row>
    <row r="25892" ht="15" customHeight="1" s="192" thickBot="1">
      <c r="W25892" s="45" t="n"/>
      <c r="X25892" s="45" t="n"/>
    </row>
    <row r="25893" ht="14.25" customHeight="1" s="192">
      <c r="W25893" s="228" t="n"/>
      <c r="X25893" s="228" t="n"/>
    </row>
    <row r="25894" ht="14.25" customHeight="1" s="192">
      <c r="W25894" s="228" t="n"/>
      <c r="X25894" s="228" t="n"/>
    </row>
    <row r="25895" ht="14.25" customHeight="1" s="192">
      <c r="W25895" s="231" t="n"/>
      <c r="X25895" s="231" t="n"/>
    </row>
    <row r="25896" ht="14.25" customHeight="1" s="192">
      <c r="W25896" s="33" t="n"/>
      <c r="X25896" s="33" t="n"/>
    </row>
    <row r="25897" ht="14.25" customHeight="1" s="192">
      <c r="W25897" s="231" t="n"/>
      <c r="X25897" s="231" t="n"/>
    </row>
    <row r="25898" ht="14.25" customHeight="1" s="192">
      <c r="W25898" s="33" t="n"/>
      <c r="X25898" s="33" t="n"/>
    </row>
    <row r="25900" ht="14.25" customHeight="1" s="192">
      <c r="W25900" s="231" t="n"/>
      <c r="X25900" s="231" t="n"/>
    </row>
    <row r="25901" ht="14.25" customHeight="1" s="192">
      <c r="W25901" s="235" t="n"/>
      <c r="X25901" s="235" t="n"/>
    </row>
    <row r="25902" ht="14.25" customHeight="1" s="192">
      <c r="W25902" s="228" t="n"/>
      <c r="X25902" s="228" t="n"/>
    </row>
    <row r="25903" ht="14.25" customHeight="1" s="192">
      <c r="W25903" s="235" t="n"/>
      <c r="X25903" s="235" t="n"/>
    </row>
    <row r="25904" ht="14.25" customHeight="1" s="192">
      <c r="W25904" s="235" t="n"/>
      <c r="X25904" s="235" t="n"/>
    </row>
    <row r="25905" ht="14.25" customHeight="1" s="192">
      <c r="W25905" s="235" t="n"/>
      <c r="X25905" s="235" t="n"/>
    </row>
    <row r="25906" ht="14.25" customHeight="1" s="192">
      <c r="W25906" s="239" t="n"/>
      <c r="X25906" s="239" t="n"/>
    </row>
    <row r="25907" ht="14.25" customHeight="1" s="192">
      <c r="W25907" s="239" t="n"/>
      <c r="X25907" s="239" t="n"/>
    </row>
    <row r="25908" ht="14.25" customHeight="1" s="192">
      <c r="W25908" s="239" t="n"/>
      <c r="X25908" s="239" t="n"/>
    </row>
    <row r="25909" ht="14.25" customHeight="1" s="192">
      <c r="W25909" s="235" t="n"/>
      <c r="X25909" s="235" t="n"/>
    </row>
    <row r="25910" ht="14.25" customHeight="1" s="192">
      <c r="W25910" s="235" t="n"/>
      <c r="X25910" s="235" t="n"/>
    </row>
    <row r="25911" ht="14.25" customHeight="1" s="192">
      <c r="W25911" s="235" t="n"/>
      <c r="X25911" s="235" t="n"/>
    </row>
    <row r="25912" ht="14.25" customHeight="1" s="192">
      <c r="W25912" s="239" t="n"/>
      <c r="X25912" s="239" t="n"/>
    </row>
    <row r="25913" ht="14.25" customHeight="1" s="192">
      <c r="W25913" s="239" t="n"/>
      <c r="X25913" s="239" t="n"/>
    </row>
    <row r="25914" ht="14.25" customHeight="1" s="192">
      <c r="W25914" s="235" t="n"/>
      <c r="X25914" s="235" t="n"/>
    </row>
    <row r="25915" ht="14.25" customHeight="1" s="192">
      <c r="W25915" s="235" t="n"/>
      <c r="X25915" s="235" t="n"/>
    </row>
    <row r="25916" ht="14.25" customHeight="1" s="192">
      <c r="W25916" s="239" t="n"/>
      <c r="X25916" s="239" t="n"/>
    </row>
    <row r="25917" ht="14.25" customHeight="1" s="192">
      <c r="W25917" s="235" t="n"/>
      <c r="X25917" s="235" t="n"/>
    </row>
    <row r="25918" ht="14.25" customHeight="1" s="192">
      <c r="W25918" s="239" t="n"/>
      <c r="X25918" s="239" t="n"/>
    </row>
    <row r="25920" ht="14.25" customHeight="1" s="192">
      <c r="W25920" s="235" t="n"/>
      <c r="X25920" s="235" t="n"/>
    </row>
    <row r="25921" ht="15" customHeight="1" s="192" thickBot="1">
      <c r="W25921" s="239" t="n"/>
      <c r="X25921" s="239" t="n"/>
    </row>
    <row r="25922" ht="15" customHeight="1" s="192" thickBot="1">
      <c r="W25922" s="45" t="n"/>
      <c r="X25922" s="45" t="n"/>
    </row>
    <row r="25923" ht="14.25" customHeight="1" s="192">
      <c r="W25923" s="228" t="n"/>
      <c r="X25923" s="228" t="n"/>
    </row>
    <row r="25924" ht="14.25" customHeight="1" s="192">
      <c r="W25924" s="228" t="n"/>
      <c r="X25924" s="228" t="n"/>
    </row>
    <row r="25925" ht="14.25" customHeight="1" s="192">
      <c r="W25925" s="231" t="n"/>
      <c r="X25925" s="231" t="n"/>
    </row>
    <row r="25926" ht="14.25" customHeight="1" s="192">
      <c r="W25926" s="33" t="n"/>
      <c r="X25926" s="33" t="n"/>
    </row>
    <row r="25927" ht="14.25" customHeight="1" s="192">
      <c r="W25927" s="231" t="n"/>
      <c r="X25927" s="231" t="n"/>
    </row>
    <row r="25928" ht="14.25" customHeight="1" s="192">
      <c r="W25928" s="33" t="n"/>
      <c r="X25928" s="33" t="n"/>
    </row>
    <row r="25930" ht="14.25" customHeight="1" s="192">
      <c r="W25930" s="231" t="n"/>
      <c r="X25930" s="231" t="n"/>
    </row>
    <row r="25931" ht="14.25" customHeight="1" s="192">
      <c r="W25931" s="235" t="n"/>
      <c r="X25931" s="235" t="n"/>
    </row>
    <row r="25932" ht="14.25" customHeight="1" s="192">
      <c r="W25932" s="228" t="n"/>
      <c r="X25932" s="228" t="n"/>
    </row>
    <row r="25933" ht="14.25" customHeight="1" s="192">
      <c r="W25933" s="235" t="n"/>
      <c r="X25933" s="235" t="n"/>
    </row>
    <row r="25934" ht="14.25" customHeight="1" s="192">
      <c r="W25934" s="235" t="n"/>
      <c r="X25934" s="235" t="n"/>
    </row>
    <row r="25935" ht="14.25" customHeight="1" s="192">
      <c r="W25935" s="235" t="n"/>
      <c r="X25935" s="235" t="n"/>
    </row>
    <row r="25936" ht="14.25" customHeight="1" s="192">
      <c r="W25936" s="239" t="n"/>
      <c r="X25936" s="239" t="n"/>
    </row>
    <row r="25937" ht="14.25" customHeight="1" s="192">
      <c r="W25937" s="239" t="n"/>
      <c r="X25937" s="239" t="n"/>
    </row>
    <row r="25938" ht="14.25" customHeight="1" s="192">
      <c r="W25938" s="239" t="n"/>
      <c r="X25938" s="239" t="n"/>
    </row>
    <row r="25939" ht="14.25" customHeight="1" s="192">
      <c r="W25939" s="235" t="n"/>
      <c r="X25939" s="235" t="n"/>
    </row>
    <row r="25940" ht="14.25" customHeight="1" s="192">
      <c r="W25940" s="235" t="n"/>
      <c r="X25940" s="235" t="n"/>
    </row>
    <row r="25941" ht="14.25" customHeight="1" s="192">
      <c r="W25941" s="235" t="n"/>
      <c r="X25941" s="235" t="n"/>
    </row>
    <row r="25942" ht="14.25" customHeight="1" s="192">
      <c r="W25942" s="239" t="n"/>
      <c r="X25942" s="239" t="n"/>
    </row>
    <row r="25943" ht="14.25" customHeight="1" s="192">
      <c r="W25943" s="239" t="n"/>
      <c r="X25943" s="239" t="n"/>
    </row>
    <row r="25944" ht="14.25" customHeight="1" s="192">
      <c r="W25944" s="235" t="n"/>
      <c r="X25944" s="235" t="n"/>
    </row>
    <row r="25945" ht="14.25" customHeight="1" s="192">
      <c r="W25945" s="235" t="n"/>
      <c r="X25945" s="235" t="n"/>
    </row>
    <row r="25946" ht="14.25" customHeight="1" s="192">
      <c r="W25946" s="239" t="n"/>
      <c r="X25946" s="239" t="n"/>
    </row>
    <row r="25947" ht="14.25" customHeight="1" s="192">
      <c r="W25947" s="235" t="n"/>
      <c r="X25947" s="235" t="n"/>
    </row>
    <row r="25948" ht="14.25" customHeight="1" s="192">
      <c r="W25948" s="239" t="n"/>
      <c r="X25948" s="239" t="n"/>
    </row>
    <row r="25950" ht="14.25" customHeight="1" s="192">
      <c r="W25950" s="235" t="n"/>
      <c r="X25950" s="235" t="n"/>
    </row>
    <row r="25951" ht="15" customHeight="1" s="192" thickBot="1">
      <c r="W25951" s="239" t="n"/>
      <c r="X25951" s="239" t="n"/>
    </row>
    <row r="25952" ht="15" customHeight="1" s="192" thickBot="1">
      <c r="W25952" s="45" t="n"/>
      <c r="X25952" s="45" t="n"/>
    </row>
    <row r="25953" ht="14.25" customHeight="1" s="192">
      <c r="W25953" s="228" t="n"/>
      <c r="X25953" s="228" t="n"/>
    </row>
    <row r="25954" ht="14.25" customHeight="1" s="192">
      <c r="W25954" s="228" t="n"/>
      <c r="X25954" s="228" t="n"/>
    </row>
    <row r="25955" ht="14.25" customHeight="1" s="192">
      <c r="W25955" s="231" t="n"/>
      <c r="X25955" s="231" t="n"/>
    </row>
    <row r="25956" ht="14.25" customHeight="1" s="192">
      <c r="W25956" s="33" t="n"/>
      <c r="X25956" s="33" t="n"/>
    </row>
    <row r="25957" ht="14.25" customHeight="1" s="192">
      <c r="W25957" s="231" t="n"/>
      <c r="X25957" s="231" t="n"/>
    </row>
    <row r="25958" ht="14.25" customHeight="1" s="192">
      <c r="W25958" s="33" t="n"/>
      <c r="X25958" s="33" t="n"/>
    </row>
    <row r="25960" ht="14.25" customHeight="1" s="192">
      <c r="W25960" s="231" t="n"/>
      <c r="X25960" s="231" t="n"/>
    </row>
    <row r="25961" ht="14.25" customHeight="1" s="192">
      <c r="W25961" s="235" t="n"/>
      <c r="X25961" s="235" t="n"/>
    </row>
    <row r="25962" ht="14.25" customHeight="1" s="192">
      <c r="W25962" s="228" t="n"/>
      <c r="X25962" s="228" t="n"/>
    </row>
    <row r="25963" ht="14.25" customHeight="1" s="192">
      <c r="W25963" s="235" t="n"/>
      <c r="X25963" s="235" t="n"/>
    </row>
    <row r="25964" ht="14.25" customHeight="1" s="192">
      <c r="W25964" s="235" t="n"/>
      <c r="X25964" s="235" t="n"/>
    </row>
    <row r="25965" ht="14.25" customHeight="1" s="192">
      <c r="W25965" s="235" t="n"/>
      <c r="X25965" s="235" t="n"/>
    </row>
    <row r="25966" ht="14.25" customHeight="1" s="192">
      <c r="W25966" s="239" t="n"/>
      <c r="X25966" s="239" t="n"/>
    </row>
    <row r="25967" ht="14.25" customHeight="1" s="192">
      <c r="W25967" s="239" t="n"/>
      <c r="X25967" s="239" t="n"/>
    </row>
    <row r="25968" ht="14.25" customHeight="1" s="192">
      <c r="W25968" s="239" t="n"/>
      <c r="X25968" s="239" t="n"/>
    </row>
    <row r="25969" ht="14.25" customHeight="1" s="192">
      <c r="W25969" s="235" t="n"/>
      <c r="X25969" s="235" t="n"/>
    </row>
    <row r="25970" ht="14.25" customHeight="1" s="192">
      <c r="W25970" s="235" t="n"/>
      <c r="X25970" s="235" t="n"/>
    </row>
    <row r="25971" ht="14.25" customHeight="1" s="192">
      <c r="W25971" s="235" t="n"/>
      <c r="X25971" s="235" t="n"/>
    </row>
    <row r="25972" ht="14.25" customHeight="1" s="192">
      <c r="W25972" s="239" t="n"/>
      <c r="X25972" s="239" t="n"/>
    </row>
    <row r="25973" ht="14.25" customHeight="1" s="192">
      <c r="W25973" s="239" t="n"/>
      <c r="X25973" s="239" t="n"/>
    </row>
    <row r="25974" ht="14.25" customHeight="1" s="192">
      <c r="W25974" s="235" t="n"/>
      <c r="X25974" s="235" t="n"/>
    </row>
    <row r="25975" ht="14.25" customHeight="1" s="192">
      <c r="W25975" s="235" t="n"/>
      <c r="X25975" s="235" t="n"/>
    </row>
    <row r="25976" ht="14.25" customHeight="1" s="192">
      <c r="W25976" s="239" t="n"/>
      <c r="X25976" s="239" t="n"/>
    </row>
    <row r="25977" ht="14.25" customHeight="1" s="192">
      <c r="W25977" s="235" t="n"/>
      <c r="X25977" s="235" t="n"/>
    </row>
    <row r="25978" ht="14.25" customHeight="1" s="192">
      <c r="W25978" s="239" t="n"/>
      <c r="X25978" s="239" t="n"/>
    </row>
    <row r="25980" ht="14.25" customHeight="1" s="192">
      <c r="W25980" s="235" t="n"/>
      <c r="X25980" s="235" t="n"/>
    </row>
    <row r="25981" ht="15" customHeight="1" s="192" thickBot="1">
      <c r="W25981" s="239" t="n"/>
      <c r="X25981" s="239" t="n"/>
    </row>
    <row r="25982" ht="15" customHeight="1" s="192" thickBot="1">
      <c r="W25982" s="45" t="n"/>
      <c r="X25982" s="45" t="n"/>
    </row>
    <row r="25983" ht="14.25" customHeight="1" s="192">
      <c r="W25983" s="228" t="n"/>
      <c r="X25983" s="228" t="n"/>
    </row>
    <row r="25984" ht="14.25" customHeight="1" s="192">
      <c r="W25984" s="228" t="n"/>
      <c r="X25984" s="228" t="n"/>
    </row>
    <row r="25985" ht="14.25" customHeight="1" s="192">
      <c r="W25985" s="231" t="n"/>
      <c r="X25985" s="231" t="n"/>
    </row>
    <row r="25986" ht="14.25" customHeight="1" s="192">
      <c r="W25986" s="33" t="n"/>
      <c r="X25986" s="33" t="n"/>
    </row>
    <row r="25987" ht="14.25" customHeight="1" s="192">
      <c r="W25987" s="231" t="n"/>
      <c r="X25987" s="231" t="n"/>
    </row>
    <row r="25988" ht="14.25" customHeight="1" s="192">
      <c r="W25988" s="33" t="n"/>
      <c r="X25988" s="33" t="n"/>
    </row>
    <row r="25990" ht="14.25" customHeight="1" s="192">
      <c r="W25990" s="231" t="n"/>
      <c r="X25990" s="231" t="n"/>
    </row>
    <row r="25991" ht="14.25" customHeight="1" s="192">
      <c r="W25991" s="235" t="n"/>
      <c r="X25991" s="235" t="n"/>
    </row>
    <row r="25992" ht="14.25" customHeight="1" s="192">
      <c r="W25992" s="228" t="n"/>
      <c r="X25992" s="228" t="n"/>
    </row>
    <row r="25993" ht="14.25" customHeight="1" s="192">
      <c r="W25993" s="235" t="n"/>
      <c r="X25993" s="235" t="n"/>
    </row>
    <row r="25994" ht="14.25" customHeight="1" s="192">
      <c r="W25994" s="235" t="n"/>
      <c r="X25994" s="235" t="n"/>
    </row>
    <row r="25995" ht="14.25" customHeight="1" s="192">
      <c r="W25995" s="235" t="n"/>
      <c r="X25995" s="235" t="n"/>
    </row>
    <row r="25996" ht="14.25" customHeight="1" s="192">
      <c r="W25996" s="239" t="n"/>
      <c r="X25996" s="239" t="n"/>
    </row>
    <row r="25997" ht="14.25" customHeight="1" s="192">
      <c r="W25997" s="239" t="n"/>
      <c r="X25997" s="239" t="n"/>
    </row>
    <row r="25998" ht="14.25" customHeight="1" s="192">
      <c r="W25998" s="239" t="n"/>
      <c r="X25998" s="239" t="n"/>
    </row>
    <row r="25999" ht="14.25" customHeight="1" s="192">
      <c r="W25999" s="235" t="n"/>
      <c r="X25999" s="235" t="n"/>
    </row>
    <row r="26000" ht="14.25" customHeight="1" s="192">
      <c r="W26000" s="235" t="n"/>
      <c r="X26000" s="235" t="n"/>
    </row>
    <row r="26001" ht="14.25" customHeight="1" s="192">
      <c r="W26001" s="235" t="n"/>
      <c r="X26001" s="235" t="n"/>
    </row>
    <row r="26002" ht="14.25" customHeight="1" s="192">
      <c r="W26002" s="239" t="n"/>
      <c r="X26002" s="239" t="n"/>
    </row>
    <row r="26003" ht="14.25" customHeight="1" s="192">
      <c r="W26003" s="239" t="n"/>
      <c r="X26003" s="239" t="n"/>
    </row>
    <row r="26004" ht="14.25" customHeight="1" s="192">
      <c r="W26004" s="235" t="n"/>
      <c r="X26004" s="235" t="n"/>
    </row>
    <row r="26005" ht="14.25" customHeight="1" s="192">
      <c r="W26005" s="235" t="n"/>
      <c r="X26005" s="235" t="n"/>
    </row>
    <row r="26006" ht="14.25" customHeight="1" s="192">
      <c r="W26006" s="239" t="n"/>
      <c r="X26006" s="239" t="n"/>
    </row>
    <row r="26007" ht="14.25" customHeight="1" s="192">
      <c r="W26007" s="235" t="n"/>
      <c r="X26007" s="235" t="n"/>
    </row>
    <row r="26008" ht="14.25" customHeight="1" s="192">
      <c r="W26008" s="239" t="n"/>
      <c r="X26008" s="239" t="n"/>
    </row>
    <row r="26010" ht="14.25" customHeight="1" s="192">
      <c r="W26010" s="235" t="n"/>
      <c r="X26010" s="235" t="n"/>
    </row>
    <row r="26011" ht="15" customHeight="1" s="192" thickBot="1">
      <c r="W26011" s="239" t="n"/>
      <c r="X26011" s="239" t="n"/>
    </row>
    <row r="26012" ht="15" customHeight="1" s="192" thickBot="1">
      <c r="W26012" s="45" t="n"/>
      <c r="X26012" s="45" t="n"/>
    </row>
    <row r="26013" ht="14.25" customHeight="1" s="192">
      <c r="W26013" s="228" t="n"/>
      <c r="X26013" s="228" t="n"/>
    </row>
    <row r="26014" ht="14.25" customHeight="1" s="192">
      <c r="W26014" s="228" t="n"/>
      <c r="X26014" s="228" t="n"/>
    </row>
    <row r="26015" ht="14.25" customHeight="1" s="192">
      <c r="W26015" s="231" t="n"/>
      <c r="X26015" s="231" t="n"/>
    </row>
    <row r="26016" ht="14.25" customHeight="1" s="192">
      <c r="W26016" s="33" t="n"/>
      <c r="X26016" s="33" t="n"/>
    </row>
    <row r="26017" ht="14.25" customHeight="1" s="192">
      <c r="W26017" s="231" t="n"/>
      <c r="X26017" s="231" t="n"/>
    </row>
    <row r="26018" ht="14.25" customHeight="1" s="192">
      <c r="W26018" s="33" t="n"/>
      <c r="X26018" s="33" t="n"/>
    </row>
    <row r="26020" ht="14.25" customHeight="1" s="192">
      <c r="W26020" s="231" t="n"/>
      <c r="X26020" s="231" t="n"/>
    </row>
    <row r="26021" ht="14.25" customHeight="1" s="192">
      <c r="W26021" s="235" t="n"/>
      <c r="X26021" s="235" t="n"/>
    </row>
    <row r="26022" ht="14.25" customHeight="1" s="192">
      <c r="W26022" s="228" t="n"/>
      <c r="X26022" s="228" t="n"/>
    </row>
    <row r="26023" ht="14.25" customHeight="1" s="192">
      <c r="W26023" s="235" t="n"/>
      <c r="X26023" s="235" t="n"/>
    </row>
    <row r="26024" ht="14.25" customHeight="1" s="192">
      <c r="W26024" s="235" t="n"/>
      <c r="X26024" s="235" t="n"/>
    </row>
    <row r="26025" ht="14.25" customHeight="1" s="192">
      <c r="W26025" s="235" t="n"/>
      <c r="X26025" s="235" t="n"/>
    </row>
    <row r="26026" ht="14.25" customHeight="1" s="192">
      <c r="W26026" s="239" t="n"/>
      <c r="X26026" s="239" t="n"/>
    </row>
    <row r="26027" ht="14.25" customHeight="1" s="192">
      <c r="W26027" s="239" t="n"/>
      <c r="X26027" s="239" t="n"/>
    </row>
    <row r="26028" ht="14.25" customHeight="1" s="192">
      <c r="W26028" s="239" t="n"/>
      <c r="X26028" s="239" t="n"/>
    </row>
    <row r="26029" ht="14.25" customHeight="1" s="192">
      <c r="W26029" s="235" t="n"/>
      <c r="X26029" s="235" t="n"/>
    </row>
    <row r="26030" ht="14.25" customHeight="1" s="192">
      <c r="W26030" s="235" t="n"/>
      <c r="X26030" s="235" t="n"/>
    </row>
    <row r="26031" ht="14.25" customHeight="1" s="192">
      <c r="W26031" s="235" t="n"/>
      <c r="X26031" s="235" t="n"/>
    </row>
    <row r="26032" ht="14.25" customHeight="1" s="192">
      <c r="W26032" s="239" t="n"/>
      <c r="X26032" s="239" t="n"/>
    </row>
    <row r="26033" ht="14.25" customHeight="1" s="192">
      <c r="W26033" s="239" t="n"/>
      <c r="X26033" s="239" t="n"/>
    </row>
    <row r="26034" ht="14.25" customHeight="1" s="192">
      <c r="W26034" s="235" t="n"/>
      <c r="X26034" s="235" t="n"/>
    </row>
    <row r="26035" ht="14.25" customHeight="1" s="192">
      <c r="W26035" s="235" t="n"/>
      <c r="X26035" s="235" t="n"/>
    </row>
    <row r="26036" ht="14.25" customHeight="1" s="192">
      <c r="W26036" s="239" t="n"/>
      <c r="X26036" s="239" t="n"/>
    </row>
    <row r="26037" ht="14.25" customHeight="1" s="192">
      <c r="W26037" s="235" t="n"/>
      <c r="X26037" s="235" t="n"/>
    </row>
    <row r="26038" ht="14.25" customHeight="1" s="192">
      <c r="W26038" s="239" t="n"/>
      <c r="X26038" s="239" t="n"/>
    </row>
    <row r="26040" ht="14.25" customHeight="1" s="192">
      <c r="W26040" s="235" t="n"/>
      <c r="X26040" s="235" t="n"/>
    </row>
    <row r="26041" ht="15" customHeight="1" s="192" thickBot="1">
      <c r="W26041" s="239" t="n"/>
      <c r="X26041" s="239" t="n"/>
    </row>
    <row r="26042" ht="15" customHeight="1" s="192" thickBot="1">
      <c r="W26042" s="45" t="n"/>
      <c r="X26042" s="45" t="n"/>
    </row>
    <row r="26043" ht="14.25" customHeight="1" s="192">
      <c r="W26043" s="228" t="n"/>
      <c r="X26043" s="228" t="n"/>
    </row>
    <row r="26044" ht="14.25" customHeight="1" s="192">
      <c r="W26044" s="228" t="n"/>
      <c r="X26044" s="228" t="n"/>
    </row>
    <row r="26045" ht="14.25" customHeight="1" s="192">
      <c r="W26045" s="231" t="n"/>
      <c r="X26045" s="231" t="n"/>
    </row>
    <row r="26046" ht="14.25" customHeight="1" s="192">
      <c r="W26046" s="33" t="n"/>
      <c r="X26046" s="33" t="n"/>
    </row>
    <row r="26047" ht="14.25" customHeight="1" s="192">
      <c r="W26047" s="231" t="n"/>
      <c r="X26047" s="231" t="n"/>
    </row>
    <row r="26048" ht="14.25" customHeight="1" s="192">
      <c r="W26048" s="33" t="n"/>
      <c r="X26048" s="33" t="n"/>
    </row>
    <row r="26050" ht="14.25" customHeight="1" s="192">
      <c r="W26050" s="231" t="n"/>
      <c r="X26050" s="231" t="n"/>
    </row>
    <row r="26051" ht="14.25" customHeight="1" s="192">
      <c r="W26051" s="235" t="n"/>
      <c r="X26051" s="235" t="n"/>
    </row>
    <row r="26052" ht="14.25" customHeight="1" s="192">
      <c r="W26052" s="228" t="n"/>
      <c r="X26052" s="228" t="n"/>
    </row>
    <row r="26053" ht="14.25" customHeight="1" s="192">
      <c r="W26053" s="235" t="n"/>
      <c r="X26053" s="235" t="n"/>
    </row>
    <row r="26054" ht="14.25" customHeight="1" s="192">
      <c r="W26054" s="235" t="n"/>
      <c r="X26054" s="235" t="n"/>
    </row>
    <row r="26055" ht="14.25" customHeight="1" s="192">
      <c r="W26055" s="235" t="n"/>
      <c r="X26055" s="235" t="n"/>
    </row>
    <row r="26056" ht="14.25" customHeight="1" s="192">
      <c r="W26056" s="239" t="n"/>
      <c r="X26056" s="239" t="n"/>
    </row>
    <row r="26057" ht="14.25" customHeight="1" s="192">
      <c r="W26057" s="239" t="n"/>
      <c r="X26057" s="239" t="n"/>
    </row>
    <row r="26058" ht="14.25" customHeight="1" s="192">
      <c r="W26058" s="239" t="n"/>
      <c r="X26058" s="239" t="n"/>
    </row>
    <row r="26059" ht="14.25" customHeight="1" s="192">
      <c r="W26059" s="235" t="n"/>
      <c r="X26059" s="235" t="n"/>
    </row>
    <row r="26060" ht="14.25" customHeight="1" s="192">
      <c r="W26060" s="235" t="n"/>
      <c r="X26060" s="235" t="n"/>
    </row>
    <row r="26061" ht="14.25" customHeight="1" s="192">
      <c r="W26061" s="235" t="n"/>
      <c r="X26061" s="235" t="n"/>
    </row>
    <row r="26062" ht="14.25" customHeight="1" s="192">
      <c r="W26062" s="239" t="n"/>
      <c r="X26062" s="239" t="n"/>
    </row>
    <row r="26063" ht="14.25" customHeight="1" s="192">
      <c r="W26063" s="239" t="n"/>
      <c r="X26063" s="239" t="n"/>
    </row>
    <row r="26064" ht="14.25" customHeight="1" s="192">
      <c r="W26064" s="235" t="n"/>
      <c r="X26064" s="235" t="n"/>
    </row>
    <row r="26065" ht="14.25" customHeight="1" s="192">
      <c r="W26065" s="235" t="n"/>
      <c r="X26065" s="235" t="n"/>
    </row>
    <row r="26066" ht="14.25" customHeight="1" s="192">
      <c r="W26066" s="239" t="n"/>
      <c r="X26066" s="239" t="n"/>
    </row>
    <row r="26067" ht="14.25" customHeight="1" s="192">
      <c r="W26067" s="235" t="n"/>
      <c r="X26067" s="235" t="n"/>
    </row>
    <row r="26068" ht="14.25" customHeight="1" s="192">
      <c r="W26068" s="239" t="n"/>
      <c r="X26068" s="239" t="n"/>
    </row>
    <row r="26070" ht="14.25" customHeight="1" s="192">
      <c r="W26070" s="235" t="n"/>
      <c r="X26070" s="235" t="n"/>
    </row>
    <row r="26071" ht="15" customHeight="1" s="192" thickBot="1">
      <c r="W26071" s="239" t="n"/>
      <c r="X26071" s="239" t="n"/>
    </row>
    <row r="26072" ht="15" customHeight="1" s="192" thickBot="1">
      <c r="W26072" s="45" t="n"/>
      <c r="X26072" s="45" t="n"/>
    </row>
    <row r="26073" ht="14.25" customHeight="1" s="192">
      <c r="W26073" s="228" t="n"/>
      <c r="X26073" s="228" t="n"/>
    </row>
    <row r="26074" ht="14.25" customHeight="1" s="192">
      <c r="W26074" s="228" t="n"/>
      <c r="X26074" s="228" t="n"/>
    </row>
    <row r="26075" ht="14.25" customHeight="1" s="192">
      <c r="W26075" s="231" t="n"/>
      <c r="X26075" s="231" t="n"/>
    </row>
    <row r="26076" ht="14.25" customHeight="1" s="192">
      <c r="W26076" s="33" t="n"/>
      <c r="X26076" s="33" t="n"/>
    </row>
    <row r="26077" ht="14.25" customHeight="1" s="192">
      <c r="W26077" s="231" t="n"/>
      <c r="X26077" s="231" t="n"/>
    </row>
    <row r="26078" ht="14.25" customHeight="1" s="192">
      <c r="W26078" s="33" t="n"/>
      <c r="X26078" s="33" t="n"/>
    </row>
    <row r="26080" ht="14.25" customHeight="1" s="192">
      <c r="W26080" s="231" t="n"/>
      <c r="X26080" s="231" t="n"/>
    </row>
    <row r="26081" ht="14.25" customHeight="1" s="192">
      <c r="W26081" s="235" t="n"/>
      <c r="X26081" s="235" t="n"/>
    </row>
    <row r="26082" ht="14.25" customHeight="1" s="192">
      <c r="W26082" s="228" t="n"/>
      <c r="X26082" s="228" t="n"/>
    </row>
    <row r="26083" ht="14.25" customHeight="1" s="192">
      <c r="W26083" s="235" t="n"/>
      <c r="X26083" s="235" t="n"/>
    </row>
    <row r="26084" ht="14.25" customHeight="1" s="192">
      <c r="W26084" s="235" t="n"/>
      <c r="X26084" s="235" t="n"/>
    </row>
    <row r="26085" ht="14.25" customHeight="1" s="192">
      <c r="W26085" s="235" t="n"/>
      <c r="X26085" s="235" t="n"/>
    </row>
    <row r="26086" ht="14.25" customHeight="1" s="192">
      <c r="W26086" s="239" t="n"/>
      <c r="X26086" s="239" t="n"/>
    </row>
    <row r="26087" ht="14.25" customHeight="1" s="192">
      <c r="W26087" s="239" t="n"/>
      <c r="X26087" s="239" t="n"/>
    </row>
    <row r="26088" ht="14.25" customHeight="1" s="192">
      <c r="W26088" s="239" t="n"/>
      <c r="X26088" s="239" t="n"/>
    </row>
    <row r="26089" ht="14.25" customHeight="1" s="192">
      <c r="W26089" s="235" t="n"/>
      <c r="X26089" s="235" t="n"/>
    </row>
    <row r="26090" ht="14.25" customHeight="1" s="192">
      <c r="W26090" s="235" t="n"/>
      <c r="X26090" s="235" t="n"/>
    </row>
    <row r="26091" ht="14.25" customHeight="1" s="192">
      <c r="W26091" s="235" t="n"/>
      <c r="X26091" s="235" t="n"/>
    </row>
    <row r="26092" ht="14.25" customHeight="1" s="192">
      <c r="W26092" s="239" t="n"/>
      <c r="X26092" s="239" t="n"/>
    </row>
    <row r="26093" ht="14.25" customHeight="1" s="192">
      <c r="W26093" s="239" t="n"/>
      <c r="X26093" s="239" t="n"/>
    </row>
    <row r="26094" ht="14.25" customHeight="1" s="192">
      <c r="W26094" s="235" t="n"/>
      <c r="X26094" s="235" t="n"/>
    </row>
    <row r="26095" ht="14.25" customHeight="1" s="192">
      <c r="W26095" s="235" t="n"/>
      <c r="X26095" s="235" t="n"/>
    </row>
    <row r="26096" ht="14.25" customHeight="1" s="192">
      <c r="W26096" s="239" t="n"/>
      <c r="X26096" s="239" t="n"/>
    </row>
    <row r="26097" ht="14.25" customHeight="1" s="192">
      <c r="W26097" s="235" t="n"/>
      <c r="X26097" s="235" t="n"/>
    </row>
    <row r="26098" ht="14.25" customHeight="1" s="192">
      <c r="W26098" s="239" t="n"/>
      <c r="X26098" s="239" t="n"/>
    </row>
    <row r="26100" ht="14.25" customHeight="1" s="192">
      <c r="W26100" s="235" t="n"/>
      <c r="X26100" s="235" t="n"/>
    </row>
    <row r="26101" ht="15" customHeight="1" s="192" thickBot="1">
      <c r="W26101" s="239" t="n"/>
      <c r="X26101" s="239" t="n"/>
    </row>
    <row r="26102" ht="15" customHeight="1" s="192" thickBot="1">
      <c r="W26102" s="45" t="n"/>
      <c r="X26102" s="45" t="n"/>
    </row>
    <row r="26103" ht="14.25" customHeight="1" s="192">
      <c r="W26103" s="228" t="n"/>
      <c r="X26103" s="228" t="n"/>
    </row>
    <row r="26104" ht="14.25" customHeight="1" s="192">
      <c r="W26104" s="228" t="n"/>
      <c r="X26104" s="228" t="n"/>
    </row>
    <row r="26105" ht="14.25" customHeight="1" s="192">
      <c r="W26105" s="231" t="n"/>
      <c r="X26105" s="231" t="n"/>
    </row>
    <row r="26106" ht="14.25" customHeight="1" s="192">
      <c r="W26106" s="33" t="n"/>
      <c r="X26106" s="33" t="n"/>
    </row>
    <row r="26107" ht="14.25" customHeight="1" s="192">
      <c r="W26107" s="231" t="n"/>
      <c r="X26107" s="231" t="n"/>
    </row>
    <row r="26108" ht="14.25" customHeight="1" s="192">
      <c r="W26108" s="33" t="n"/>
      <c r="X26108" s="33" t="n"/>
    </row>
    <row r="26110" ht="14.25" customHeight="1" s="192">
      <c r="W26110" s="231" t="n"/>
      <c r="X26110" s="231" t="n"/>
    </row>
    <row r="26111" ht="14.25" customHeight="1" s="192">
      <c r="W26111" s="235" t="n"/>
      <c r="X26111" s="235" t="n"/>
    </row>
    <row r="26112" ht="14.25" customHeight="1" s="192">
      <c r="W26112" s="228" t="n"/>
      <c r="X26112" s="228" t="n"/>
    </row>
    <row r="26113" ht="14.25" customHeight="1" s="192">
      <c r="W26113" s="235" t="n"/>
      <c r="X26113" s="235" t="n"/>
    </row>
    <row r="26114" ht="14.25" customHeight="1" s="192">
      <c r="W26114" s="235" t="n"/>
      <c r="X26114" s="235" t="n"/>
    </row>
    <row r="26115" ht="14.25" customHeight="1" s="192">
      <c r="W26115" s="235" t="n"/>
      <c r="X26115" s="235" t="n"/>
    </row>
    <row r="26116" ht="14.25" customHeight="1" s="192">
      <c r="W26116" s="239" t="n"/>
      <c r="X26116" s="239" t="n"/>
    </row>
    <row r="26117" ht="14.25" customHeight="1" s="192">
      <c r="W26117" s="239" t="n"/>
      <c r="X26117" s="239" t="n"/>
    </row>
    <row r="26118" ht="14.25" customHeight="1" s="192">
      <c r="W26118" s="239" t="n"/>
      <c r="X26118" s="239" t="n"/>
    </row>
    <row r="26119" ht="14.25" customHeight="1" s="192">
      <c r="W26119" s="235" t="n"/>
      <c r="X26119" s="235" t="n"/>
    </row>
    <row r="26120" ht="14.25" customHeight="1" s="192">
      <c r="W26120" s="235" t="n"/>
      <c r="X26120" s="235" t="n"/>
    </row>
    <row r="26121" ht="14.25" customHeight="1" s="192">
      <c r="W26121" s="235" t="n"/>
      <c r="X26121" s="235" t="n"/>
    </row>
    <row r="26122" ht="14.25" customHeight="1" s="192">
      <c r="W26122" s="239" t="n"/>
      <c r="X26122" s="239" t="n"/>
    </row>
    <row r="26123" ht="14.25" customHeight="1" s="192">
      <c r="W26123" s="239" t="n"/>
      <c r="X26123" s="239" t="n"/>
    </row>
    <row r="26124" ht="14.25" customHeight="1" s="192">
      <c r="W26124" s="235" t="n"/>
      <c r="X26124" s="235" t="n"/>
    </row>
    <row r="26125" ht="14.25" customHeight="1" s="192">
      <c r="W26125" s="235" t="n"/>
      <c r="X26125" s="235" t="n"/>
    </row>
    <row r="26126" ht="14.25" customHeight="1" s="192">
      <c r="W26126" s="239" t="n"/>
      <c r="X26126" s="239" t="n"/>
    </row>
    <row r="26127" ht="14.25" customHeight="1" s="192">
      <c r="W26127" s="235" t="n"/>
      <c r="X26127" s="235" t="n"/>
    </row>
    <row r="26128" ht="14.25" customHeight="1" s="192">
      <c r="W26128" s="239" t="n"/>
      <c r="X26128" s="239" t="n"/>
    </row>
    <row r="26130" ht="14.25" customHeight="1" s="192">
      <c r="W26130" s="235" t="n"/>
      <c r="X26130" s="235" t="n"/>
    </row>
    <row r="26131" ht="15" customHeight="1" s="192" thickBot="1">
      <c r="W26131" s="239" t="n"/>
      <c r="X26131" s="239" t="n"/>
    </row>
    <row r="26132" ht="15" customHeight="1" s="192" thickBot="1">
      <c r="W26132" s="45" t="n"/>
      <c r="X26132" s="45" t="n"/>
    </row>
    <row r="26133" ht="14.25" customHeight="1" s="192">
      <c r="W26133" s="228" t="n"/>
      <c r="X26133" s="228" t="n"/>
    </row>
    <row r="26134" ht="14.25" customHeight="1" s="192">
      <c r="W26134" s="228" t="n"/>
      <c r="X26134" s="228" t="n"/>
    </row>
    <row r="26135" ht="14.25" customHeight="1" s="192">
      <c r="W26135" s="231" t="n"/>
      <c r="X26135" s="231" t="n"/>
    </row>
    <row r="26136" ht="14.25" customHeight="1" s="192">
      <c r="W26136" s="33" t="n"/>
      <c r="X26136" s="33" t="n"/>
    </row>
    <row r="26137" ht="14.25" customHeight="1" s="192">
      <c r="W26137" s="231" t="n"/>
      <c r="X26137" s="231" t="n"/>
    </row>
    <row r="26138" ht="14.25" customHeight="1" s="192">
      <c r="W26138" s="33" t="n"/>
      <c r="X26138" s="33" t="n"/>
    </row>
    <row r="26140" ht="14.25" customHeight="1" s="192">
      <c r="W26140" s="231" t="n"/>
      <c r="X26140" s="231" t="n"/>
    </row>
    <row r="26141" ht="14.25" customHeight="1" s="192">
      <c r="W26141" s="235" t="n"/>
      <c r="X26141" s="235" t="n"/>
    </row>
    <row r="26142" ht="14.25" customHeight="1" s="192">
      <c r="W26142" s="228" t="n"/>
      <c r="X26142" s="228" t="n"/>
    </row>
    <row r="26143" ht="14.25" customHeight="1" s="192">
      <c r="W26143" s="235" t="n"/>
      <c r="X26143" s="235" t="n"/>
    </row>
    <row r="26144" ht="14.25" customHeight="1" s="192">
      <c r="W26144" s="235" t="n"/>
      <c r="X26144" s="235" t="n"/>
    </row>
    <row r="26145" ht="14.25" customHeight="1" s="192">
      <c r="W26145" s="235" t="n"/>
      <c r="X26145" s="235" t="n"/>
    </row>
    <row r="26146" ht="14.25" customHeight="1" s="192">
      <c r="W26146" s="239" t="n"/>
      <c r="X26146" s="239" t="n"/>
    </row>
    <row r="26147" ht="14.25" customHeight="1" s="192">
      <c r="W26147" s="239" t="n"/>
      <c r="X26147" s="239" t="n"/>
    </row>
    <row r="26148" ht="14.25" customHeight="1" s="192">
      <c r="W26148" s="239" t="n"/>
      <c r="X26148" s="239" t="n"/>
    </row>
    <row r="26149" ht="14.25" customHeight="1" s="192">
      <c r="W26149" s="235" t="n"/>
      <c r="X26149" s="235" t="n"/>
    </row>
    <row r="26150" ht="14.25" customHeight="1" s="192">
      <c r="W26150" s="235" t="n"/>
      <c r="X26150" s="235" t="n"/>
    </row>
    <row r="26151" ht="14.25" customHeight="1" s="192">
      <c r="W26151" s="235" t="n"/>
      <c r="X26151" s="235" t="n"/>
    </row>
    <row r="26152" ht="14.25" customHeight="1" s="192">
      <c r="W26152" s="239" t="n"/>
      <c r="X26152" s="239" t="n"/>
    </row>
    <row r="26153" ht="14.25" customHeight="1" s="192">
      <c r="W26153" s="239" t="n"/>
      <c r="X26153" s="239" t="n"/>
    </row>
    <row r="26154" ht="14.25" customHeight="1" s="192">
      <c r="W26154" s="235" t="n"/>
      <c r="X26154" s="235" t="n"/>
    </row>
    <row r="26155" ht="14.25" customHeight="1" s="192">
      <c r="W26155" s="235" t="n"/>
      <c r="X26155" s="235" t="n"/>
    </row>
    <row r="26156" ht="14.25" customHeight="1" s="192">
      <c r="W26156" s="239" t="n"/>
      <c r="X26156" s="239" t="n"/>
    </row>
    <row r="26157" ht="14.25" customHeight="1" s="192">
      <c r="W26157" s="235" t="n"/>
      <c r="X26157" s="235" t="n"/>
    </row>
    <row r="26158" ht="14.25" customHeight="1" s="192">
      <c r="W26158" s="239" t="n"/>
      <c r="X26158" s="239" t="n"/>
    </row>
    <row r="26160" ht="14.25" customHeight="1" s="192">
      <c r="W26160" s="235" t="n"/>
      <c r="X26160" s="235" t="n"/>
    </row>
    <row r="26161" ht="15" customHeight="1" s="192" thickBot="1">
      <c r="W26161" s="239" t="n"/>
      <c r="X26161" s="239" t="n"/>
    </row>
    <row r="26162" ht="15" customHeight="1" s="192" thickBot="1">
      <c r="W26162" s="45" t="n"/>
      <c r="X26162" s="45" t="n"/>
    </row>
    <row r="26163" ht="14.25" customHeight="1" s="192">
      <c r="W26163" s="228" t="n"/>
      <c r="X26163" s="228" t="n"/>
    </row>
    <row r="26164" ht="14.25" customHeight="1" s="192">
      <c r="W26164" s="228" t="n"/>
      <c r="X26164" s="228" t="n"/>
    </row>
    <row r="26165" ht="14.25" customHeight="1" s="192">
      <c r="W26165" s="231" t="n"/>
      <c r="X26165" s="231" t="n"/>
    </row>
    <row r="26166" ht="14.25" customHeight="1" s="192">
      <c r="W26166" s="33" t="n"/>
      <c r="X26166" s="33" t="n"/>
    </row>
    <row r="26167" ht="14.25" customHeight="1" s="192">
      <c r="W26167" s="231" t="n"/>
      <c r="X26167" s="231" t="n"/>
    </row>
    <row r="26168" ht="14.25" customHeight="1" s="192">
      <c r="W26168" s="33" t="n"/>
      <c r="X26168" s="33" t="n"/>
    </row>
    <row r="26170" ht="14.25" customHeight="1" s="192">
      <c r="W26170" s="231" t="n"/>
      <c r="X26170" s="231" t="n"/>
    </row>
    <row r="26171" ht="14.25" customHeight="1" s="192">
      <c r="W26171" s="235" t="n"/>
      <c r="X26171" s="235" t="n"/>
    </row>
    <row r="26172" ht="14.25" customHeight="1" s="192">
      <c r="W26172" s="228" t="n"/>
      <c r="X26172" s="228" t="n"/>
    </row>
    <row r="26173" ht="14.25" customHeight="1" s="192">
      <c r="W26173" s="235" t="n"/>
      <c r="X26173" s="235" t="n"/>
    </row>
    <row r="26174" ht="14.25" customHeight="1" s="192">
      <c r="W26174" s="235" t="n"/>
      <c r="X26174" s="235" t="n"/>
    </row>
    <row r="26175" ht="14.25" customHeight="1" s="192">
      <c r="W26175" s="235" t="n"/>
      <c r="X26175" s="235" t="n"/>
    </row>
    <row r="26176" ht="14.25" customHeight="1" s="192">
      <c r="W26176" s="239" t="n"/>
      <c r="X26176" s="239" t="n"/>
    </row>
    <row r="26177" ht="14.25" customHeight="1" s="192">
      <c r="W26177" s="239" t="n"/>
      <c r="X26177" s="239" t="n"/>
    </row>
    <row r="26178" ht="14.25" customHeight="1" s="192">
      <c r="W26178" s="239" t="n"/>
      <c r="X26178" s="239" t="n"/>
    </row>
    <row r="26179" ht="14.25" customHeight="1" s="192">
      <c r="W26179" s="235" t="n"/>
      <c r="X26179" s="235" t="n"/>
    </row>
    <row r="26180" ht="14.25" customHeight="1" s="192">
      <c r="W26180" s="235" t="n"/>
      <c r="X26180" s="235" t="n"/>
    </row>
    <row r="26181" ht="14.25" customHeight="1" s="192">
      <c r="W26181" s="235" t="n"/>
      <c r="X26181" s="235" t="n"/>
    </row>
    <row r="26182" ht="14.25" customHeight="1" s="192">
      <c r="W26182" s="239" t="n"/>
      <c r="X26182" s="239" t="n"/>
    </row>
    <row r="26183" ht="14.25" customHeight="1" s="192">
      <c r="W26183" s="239" t="n"/>
      <c r="X26183" s="239" t="n"/>
    </row>
    <row r="26184" ht="14.25" customHeight="1" s="192">
      <c r="W26184" s="235" t="n"/>
      <c r="X26184" s="235" t="n"/>
    </row>
    <row r="26185" ht="14.25" customHeight="1" s="192">
      <c r="W26185" s="235" t="n"/>
      <c r="X26185" s="235" t="n"/>
    </row>
    <row r="26186" ht="14.25" customHeight="1" s="192">
      <c r="W26186" s="239" t="n"/>
      <c r="X26186" s="239" t="n"/>
    </row>
    <row r="26187" ht="14.25" customHeight="1" s="192">
      <c r="W26187" s="235" t="n"/>
      <c r="X26187" s="235" t="n"/>
    </row>
    <row r="26188" ht="14.25" customHeight="1" s="192">
      <c r="W26188" s="239" t="n"/>
      <c r="X26188" s="239" t="n"/>
    </row>
    <row r="26190" ht="14.25" customHeight="1" s="192">
      <c r="W26190" s="235" t="n"/>
      <c r="X26190" s="235" t="n"/>
    </row>
    <row r="26191" ht="15" customHeight="1" s="192" thickBot="1">
      <c r="W26191" s="239" t="n"/>
      <c r="X26191" s="239" t="n"/>
    </row>
    <row r="26192" ht="15" customHeight="1" s="192" thickBot="1">
      <c r="W26192" s="45" t="n"/>
      <c r="X26192" s="45" t="n"/>
    </row>
    <row r="26193" ht="14.25" customHeight="1" s="192">
      <c r="W26193" s="228" t="n"/>
      <c r="X26193" s="228" t="n"/>
    </row>
    <row r="26194" ht="14.25" customHeight="1" s="192">
      <c r="W26194" s="228" t="n"/>
      <c r="X26194" s="228" t="n"/>
    </row>
    <row r="26195" ht="14.25" customHeight="1" s="192">
      <c r="W26195" s="231" t="n"/>
      <c r="X26195" s="231" t="n"/>
    </row>
    <row r="26196" ht="14.25" customHeight="1" s="192">
      <c r="W26196" s="33" t="n"/>
      <c r="X26196" s="33" t="n"/>
    </row>
    <row r="26197" ht="14.25" customHeight="1" s="192">
      <c r="W26197" s="231" t="n"/>
      <c r="X26197" s="231" t="n"/>
    </row>
    <row r="26198" ht="14.25" customHeight="1" s="192">
      <c r="W26198" s="33" t="n"/>
      <c r="X26198" s="33" t="n"/>
    </row>
    <row r="26200" ht="14.25" customHeight="1" s="192">
      <c r="W26200" s="231" t="n"/>
      <c r="X26200" s="231" t="n"/>
    </row>
    <row r="26201" ht="14.25" customHeight="1" s="192">
      <c r="W26201" s="235" t="n"/>
      <c r="X26201" s="235" t="n"/>
    </row>
    <row r="26202" ht="14.25" customHeight="1" s="192">
      <c r="W26202" s="228" t="n"/>
      <c r="X26202" s="228" t="n"/>
    </row>
    <row r="26203" ht="14.25" customHeight="1" s="192">
      <c r="W26203" s="235" t="n"/>
      <c r="X26203" s="235" t="n"/>
    </row>
    <row r="26204" ht="14.25" customHeight="1" s="192">
      <c r="W26204" s="235" t="n"/>
      <c r="X26204" s="235" t="n"/>
    </row>
    <row r="26205" ht="14.25" customHeight="1" s="192">
      <c r="W26205" s="235" t="n"/>
      <c r="X26205" s="235" t="n"/>
    </row>
    <row r="26206" ht="14.25" customHeight="1" s="192">
      <c r="W26206" s="239" t="n"/>
      <c r="X26206" s="239" t="n"/>
    </row>
    <row r="26207" ht="14.25" customHeight="1" s="192">
      <c r="W26207" s="239" t="n"/>
      <c r="X26207" s="239" t="n"/>
    </row>
    <row r="26208" ht="14.25" customHeight="1" s="192">
      <c r="W26208" s="239" t="n"/>
      <c r="X26208" s="239" t="n"/>
    </row>
    <row r="26209" ht="14.25" customHeight="1" s="192">
      <c r="W26209" s="235" t="n"/>
      <c r="X26209" s="235" t="n"/>
    </row>
    <row r="26210" ht="14.25" customHeight="1" s="192">
      <c r="W26210" s="235" t="n"/>
      <c r="X26210" s="235" t="n"/>
    </row>
    <row r="26211" ht="14.25" customHeight="1" s="192">
      <c r="W26211" s="235" t="n"/>
      <c r="X26211" s="235" t="n"/>
    </row>
    <row r="26212" ht="14.25" customHeight="1" s="192">
      <c r="W26212" s="239" t="n"/>
      <c r="X26212" s="239" t="n"/>
    </row>
    <row r="26213" ht="14.25" customHeight="1" s="192">
      <c r="W26213" s="239" t="n"/>
      <c r="X26213" s="239" t="n"/>
    </row>
    <row r="26214" ht="14.25" customHeight="1" s="192">
      <c r="W26214" s="235" t="n"/>
      <c r="X26214" s="235" t="n"/>
    </row>
    <row r="26215" ht="14.25" customHeight="1" s="192">
      <c r="W26215" s="235" t="n"/>
      <c r="X26215" s="235" t="n"/>
    </row>
    <row r="26216" ht="14.25" customHeight="1" s="192">
      <c r="W26216" s="239" t="n"/>
      <c r="X26216" s="239" t="n"/>
    </row>
    <row r="26217" ht="14.25" customHeight="1" s="192">
      <c r="W26217" s="235" t="n"/>
      <c r="X26217" s="235" t="n"/>
    </row>
    <row r="26218" ht="14.25" customHeight="1" s="192">
      <c r="W26218" s="239" t="n"/>
      <c r="X26218" s="239" t="n"/>
    </row>
    <row r="26220" ht="14.25" customHeight="1" s="192">
      <c r="W26220" s="235" t="n"/>
      <c r="X26220" s="235" t="n"/>
    </row>
    <row r="26221" ht="15" customHeight="1" s="192" thickBot="1">
      <c r="W26221" s="239" t="n"/>
      <c r="X26221" s="239" t="n"/>
    </row>
    <row r="26222" ht="15" customHeight="1" s="192" thickBot="1">
      <c r="W26222" s="45" t="n"/>
      <c r="X26222" s="45" t="n"/>
    </row>
    <row r="26223" ht="14.25" customHeight="1" s="192">
      <c r="W26223" s="228" t="n"/>
      <c r="X26223" s="228" t="n"/>
    </row>
    <row r="26224" ht="14.25" customHeight="1" s="192">
      <c r="W26224" s="228" t="n"/>
      <c r="X26224" s="228" t="n"/>
    </row>
    <row r="26225" ht="14.25" customHeight="1" s="192">
      <c r="W26225" s="231" t="n"/>
      <c r="X26225" s="231" t="n"/>
    </row>
    <row r="26226" ht="14.25" customHeight="1" s="192">
      <c r="W26226" s="33" t="n"/>
      <c r="X26226" s="33" t="n"/>
    </row>
    <row r="26227" ht="14.25" customHeight="1" s="192">
      <c r="W26227" s="231" t="n"/>
      <c r="X26227" s="231" t="n"/>
    </row>
    <row r="26228" ht="14.25" customHeight="1" s="192">
      <c r="W26228" s="33" t="n"/>
      <c r="X26228" s="33" t="n"/>
    </row>
    <row r="26230" ht="14.25" customHeight="1" s="192">
      <c r="W26230" s="231" t="n"/>
      <c r="X26230" s="231" t="n"/>
    </row>
    <row r="26231" ht="14.25" customHeight="1" s="192">
      <c r="W26231" s="235" t="n"/>
      <c r="X26231" s="235" t="n"/>
    </row>
    <row r="26232" ht="14.25" customHeight="1" s="192">
      <c r="W26232" s="228" t="n"/>
      <c r="X26232" s="228" t="n"/>
    </row>
    <row r="26233" ht="14.25" customHeight="1" s="192">
      <c r="W26233" s="235" t="n"/>
      <c r="X26233" s="235" t="n"/>
    </row>
    <row r="26234" ht="14.25" customHeight="1" s="192">
      <c r="W26234" s="235" t="n"/>
      <c r="X26234" s="235" t="n"/>
    </row>
    <row r="26235" ht="14.25" customHeight="1" s="192">
      <c r="W26235" s="235" t="n"/>
      <c r="X26235" s="235" t="n"/>
    </row>
    <row r="26236" ht="14.25" customHeight="1" s="192">
      <c r="W26236" s="239" t="n"/>
      <c r="X26236" s="239" t="n"/>
    </row>
    <row r="26237" ht="14.25" customHeight="1" s="192">
      <c r="W26237" s="239" t="n"/>
      <c r="X26237" s="239" t="n"/>
    </row>
    <row r="26238" ht="14.25" customHeight="1" s="192">
      <c r="W26238" s="239" t="n"/>
      <c r="X26238" s="239" t="n"/>
    </row>
    <row r="26239" ht="14.25" customHeight="1" s="192">
      <c r="W26239" s="235" t="n"/>
      <c r="X26239" s="235" t="n"/>
    </row>
    <row r="26240" ht="14.25" customHeight="1" s="192">
      <c r="W26240" s="235" t="n"/>
      <c r="X26240" s="235" t="n"/>
    </row>
    <row r="26241" ht="14.25" customHeight="1" s="192">
      <c r="W26241" s="235" t="n"/>
      <c r="X26241" s="235" t="n"/>
    </row>
    <row r="26242" ht="14.25" customHeight="1" s="192">
      <c r="W26242" s="239" t="n"/>
      <c r="X26242" s="239" t="n"/>
    </row>
    <row r="26243" ht="14.25" customHeight="1" s="192">
      <c r="W26243" s="239" t="n"/>
      <c r="X26243" s="239" t="n"/>
    </row>
    <row r="26244" ht="14.25" customHeight="1" s="192">
      <c r="W26244" s="235" t="n"/>
      <c r="X26244" s="235" t="n"/>
    </row>
    <row r="26245" ht="14.25" customHeight="1" s="192">
      <c r="W26245" s="235" t="n"/>
      <c r="X26245" s="235" t="n"/>
    </row>
    <row r="26246" ht="14.25" customHeight="1" s="192">
      <c r="W26246" s="239" t="n"/>
      <c r="X26246" s="239" t="n"/>
    </row>
    <row r="26247" ht="14.25" customHeight="1" s="192">
      <c r="W26247" s="235" t="n"/>
      <c r="X26247" s="235" t="n"/>
    </row>
    <row r="26248" ht="14.25" customHeight="1" s="192">
      <c r="W26248" s="239" t="n"/>
      <c r="X26248" s="239" t="n"/>
    </row>
    <row r="26250" ht="14.25" customHeight="1" s="192">
      <c r="W26250" s="235" t="n"/>
      <c r="X26250" s="235" t="n"/>
    </row>
    <row r="26251" ht="15" customHeight="1" s="192" thickBot="1">
      <c r="W26251" s="239" t="n"/>
      <c r="X26251" s="239" t="n"/>
    </row>
    <row r="26252" ht="15" customHeight="1" s="192" thickBot="1">
      <c r="W26252" s="45" t="n"/>
      <c r="X26252" s="45" t="n"/>
    </row>
    <row r="26253" ht="14.25" customHeight="1" s="192">
      <c r="W26253" s="228" t="n"/>
      <c r="X26253" s="228" t="n"/>
    </row>
    <row r="26254" ht="14.25" customHeight="1" s="192">
      <c r="W26254" s="228" t="n"/>
      <c r="X26254" s="228" t="n"/>
    </row>
    <row r="26255" ht="14.25" customHeight="1" s="192">
      <c r="W26255" s="231" t="n"/>
      <c r="X26255" s="231" t="n"/>
    </row>
    <row r="26256" ht="14.25" customHeight="1" s="192">
      <c r="W26256" s="33" t="n"/>
      <c r="X26256" s="33" t="n"/>
    </row>
    <row r="26257" ht="14.25" customHeight="1" s="192">
      <c r="W26257" s="231" t="n"/>
      <c r="X26257" s="231" t="n"/>
    </row>
    <row r="26258" ht="14.25" customHeight="1" s="192">
      <c r="W26258" s="33" t="n"/>
      <c r="X26258" s="33" t="n"/>
    </row>
    <row r="26260" ht="14.25" customHeight="1" s="192">
      <c r="W26260" s="231" t="n"/>
      <c r="X26260" s="231" t="n"/>
    </row>
    <row r="26261" ht="14.25" customHeight="1" s="192">
      <c r="W26261" s="235" t="n"/>
      <c r="X26261" s="235" t="n"/>
    </row>
    <row r="26262" ht="14.25" customHeight="1" s="192">
      <c r="W26262" s="228" t="n"/>
      <c r="X26262" s="228" t="n"/>
    </row>
    <row r="26263" ht="14.25" customHeight="1" s="192">
      <c r="W26263" s="235" t="n"/>
      <c r="X26263" s="235" t="n"/>
    </row>
    <row r="26264" ht="14.25" customHeight="1" s="192">
      <c r="W26264" s="235" t="n"/>
      <c r="X26264" s="235" t="n"/>
    </row>
    <row r="26265" ht="14.25" customHeight="1" s="192">
      <c r="W26265" s="235" t="n"/>
      <c r="X26265" s="235" t="n"/>
    </row>
    <row r="26266" ht="14.25" customHeight="1" s="192">
      <c r="W26266" s="239" t="n"/>
      <c r="X26266" s="239" t="n"/>
    </row>
    <row r="26267" ht="14.25" customHeight="1" s="192">
      <c r="W26267" s="239" t="n"/>
      <c r="X26267" s="239" t="n"/>
    </row>
    <row r="26268" ht="14.25" customHeight="1" s="192">
      <c r="W26268" s="239" t="n"/>
      <c r="X26268" s="239" t="n"/>
    </row>
    <row r="26269" ht="14.25" customHeight="1" s="192">
      <c r="W26269" s="235" t="n"/>
      <c r="X26269" s="235" t="n"/>
    </row>
    <row r="26270" ht="14.25" customHeight="1" s="192">
      <c r="W26270" s="235" t="n"/>
      <c r="X26270" s="235" t="n"/>
    </row>
    <row r="26271" ht="14.25" customHeight="1" s="192">
      <c r="W26271" s="235" t="n"/>
      <c r="X26271" s="235" t="n"/>
    </row>
    <row r="26272" ht="14.25" customHeight="1" s="192">
      <c r="W26272" s="239" t="n"/>
      <c r="X26272" s="239" t="n"/>
    </row>
    <row r="26273" ht="14.25" customHeight="1" s="192">
      <c r="W26273" s="239" t="n"/>
      <c r="X26273" s="239" t="n"/>
    </row>
    <row r="26274" ht="14.25" customHeight="1" s="192">
      <c r="W26274" s="235" t="n"/>
      <c r="X26274" s="235" t="n"/>
    </row>
    <row r="26275" ht="14.25" customHeight="1" s="192">
      <c r="W26275" s="235" t="n"/>
      <c r="X26275" s="235" t="n"/>
    </row>
    <row r="26276" ht="14.25" customHeight="1" s="192">
      <c r="W26276" s="239" t="n"/>
      <c r="X26276" s="239" t="n"/>
    </row>
    <row r="26277" ht="14.25" customHeight="1" s="192">
      <c r="W26277" s="235" t="n"/>
      <c r="X26277" s="235" t="n"/>
    </row>
    <row r="26278" ht="14.25" customHeight="1" s="192">
      <c r="W26278" s="239" t="n"/>
      <c r="X26278" s="239" t="n"/>
    </row>
    <row r="26280" ht="14.25" customHeight="1" s="192">
      <c r="W26280" s="235" t="n"/>
      <c r="X26280" s="235" t="n"/>
    </row>
    <row r="26281" ht="15" customHeight="1" s="192" thickBot="1">
      <c r="W26281" s="239" t="n"/>
      <c r="X26281" s="239" t="n"/>
    </row>
    <row r="26282" ht="15" customHeight="1" s="192" thickBot="1">
      <c r="W26282" s="45" t="n"/>
      <c r="X26282" s="45" t="n"/>
    </row>
    <row r="26283" ht="14.25" customHeight="1" s="192">
      <c r="W26283" s="228" t="n"/>
      <c r="X26283" s="228" t="n"/>
    </row>
    <row r="26284" ht="14.25" customHeight="1" s="192">
      <c r="W26284" s="228" t="n"/>
      <c r="X26284" s="228" t="n"/>
    </row>
    <row r="26285" ht="14.25" customHeight="1" s="192">
      <c r="W26285" s="231" t="n"/>
      <c r="X26285" s="231" t="n"/>
    </row>
    <row r="26286" ht="14.25" customHeight="1" s="192">
      <c r="W26286" s="33" t="n"/>
      <c r="X26286" s="33" t="n"/>
    </row>
    <row r="26287" ht="14.25" customHeight="1" s="192">
      <c r="W26287" s="231" t="n"/>
      <c r="X26287" s="231" t="n"/>
    </row>
    <row r="26288" ht="14.25" customHeight="1" s="192">
      <c r="W26288" s="33" t="n"/>
      <c r="X26288" s="33" t="n"/>
    </row>
    <row r="26290" ht="14.25" customHeight="1" s="192">
      <c r="W26290" s="231" t="n"/>
      <c r="X26290" s="231" t="n"/>
    </row>
    <row r="26291" ht="14.25" customHeight="1" s="192">
      <c r="W26291" s="235" t="n"/>
      <c r="X26291" s="235" t="n"/>
    </row>
    <row r="26292" ht="14.25" customHeight="1" s="192">
      <c r="W26292" s="228" t="n"/>
      <c r="X26292" s="228" t="n"/>
    </row>
    <row r="26293" ht="14.25" customHeight="1" s="192">
      <c r="W26293" s="235" t="n"/>
      <c r="X26293" s="235" t="n"/>
    </row>
    <row r="26294" ht="14.25" customHeight="1" s="192">
      <c r="W26294" s="235" t="n"/>
      <c r="X26294" s="235" t="n"/>
    </row>
    <row r="26295" ht="14.25" customHeight="1" s="192">
      <c r="W26295" s="235" t="n"/>
      <c r="X26295" s="235" t="n"/>
    </row>
    <row r="26296" ht="14.25" customHeight="1" s="192">
      <c r="W26296" s="239" t="n"/>
      <c r="X26296" s="239" t="n"/>
    </row>
    <row r="26297" ht="14.25" customHeight="1" s="192">
      <c r="W26297" s="239" t="n"/>
      <c r="X26297" s="239" t="n"/>
    </row>
    <row r="26298" ht="14.25" customHeight="1" s="192">
      <c r="W26298" s="239" t="n"/>
      <c r="X26298" s="239" t="n"/>
    </row>
    <row r="26299" ht="14.25" customHeight="1" s="192">
      <c r="W26299" s="235" t="n"/>
      <c r="X26299" s="235" t="n"/>
    </row>
    <row r="26300" ht="14.25" customHeight="1" s="192">
      <c r="W26300" s="235" t="n"/>
      <c r="X26300" s="235" t="n"/>
    </row>
    <row r="26301" ht="14.25" customHeight="1" s="192">
      <c r="W26301" s="235" t="n"/>
      <c r="X26301" s="235" t="n"/>
    </row>
    <row r="26302" ht="14.25" customHeight="1" s="192">
      <c r="W26302" s="239" t="n"/>
      <c r="X26302" s="239" t="n"/>
    </row>
    <row r="26303" ht="14.25" customHeight="1" s="192">
      <c r="W26303" s="239" t="n"/>
      <c r="X26303" s="239" t="n"/>
    </row>
    <row r="26304" ht="14.25" customHeight="1" s="192">
      <c r="W26304" s="235" t="n"/>
      <c r="X26304" s="235" t="n"/>
    </row>
    <row r="26305" ht="14.25" customHeight="1" s="192">
      <c r="W26305" s="235" t="n"/>
      <c r="X26305" s="235" t="n"/>
    </row>
    <row r="26306" ht="14.25" customHeight="1" s="192">
      <c r="W26306" s="239" t="n"/>
      <c r="X26306" s="239" t="n"/>
    </row>
    <row r="26307" ht="14.25" customHeight="1" s="192">
      <c r="W26307" s="235" t="n"/>
      <c r="X26307" s="235" t="n"/>
    </row>
    <row r="26308" ht="14.25" customHeight="1" s="192">
      <c r="W26308" s="239" t="n"/>
      <c r="X26308" s="239" t="n"/>
    </row>
    <row r="26310" ht="14.25" customHeight="1" s="192">
      <c r="W26310" s="235" t="n"/>
      <c r="X26310" s="235" t="n"/>
    </row>
    <row r="26311" ht="15" customHeight="1" s="192" thickBot="1">
      <c r="W26311" s="239" t="n"/>
      <c r="X26311" s="239" t="n"/>
    </row>
    <row r="26312" ht="15" customHeight="1" s="192" thickBot="1">
      <c r="W26312" s="45" t="n"/>
      <c r="X26312" s="45" t="n"/>
    </row>
    <row r="26313" ht="14.25" customHeight="1" s="192">
      <c r="W26313" s="228" t="n"/>
      <c r="X26313" s="228" t="n"/>
    </row>
    <row r="26314" ht="14.25" customHeight="1" s="192">
      <c r="W26314" s="228" t="n"/>
      <c r="X26314" s="228" t="n"/>
    </row>
    <row r="26315" ht="14.25" customHeight="1" s="192">
      <c r="W26315" s="231" t="n"/>
      <c r="X26315" s="231" t="n"/>
    </row>
    <row r="26316" ht="14.25" customHeight="1" s="192">
      <c r="W26316" s="33" t="n"/>
      <c r="X26316" s="33" t="n"/>
    </row>
    <row r="26317" ht="14.25" customHeight="1" s="192">
      <c r="W26317" s="231" t="n"/>
      <c r="X26317" s="231" t="n"/>
    </row>
    <row r="26318" ht="14.25" customHeight="1" s="192">
      <c r="W26318" s="33" t="n"/>
      <c r="X26318" s="33" t="n"/>
    </row>
    <row r="26320" ht="14.25" customHeight="1" s="192">
      <c r="W26320" s="231" t="n"/>
      <c r="X26320" s="231" t="n"/>
    </row>
    <row r="26321" ht="14.25" customHeight="1" s="192">
      <c r="W26321" s="235" t="n"/>
      <c r="X26321" s="235" t="n"/>
    </row>
    <row r="26322" ht="14.25" customHeight="1" s="192">
      <c r="W26322" s="228" t="n"/>
      <c r="X26322" s="228" t="n"/>
    </row>
    <row r="26323" ht="14.25" customHeight="1" s="192">
      <c r="W26323" s="235" t="n"/>
      <c r="X26323" s="235" t="n"/>
    </row>
    <row r="26324" ht="14.25" customHeight="1" s="192">
      <c r="W26324" s="235" t="n"/>
      <c r="X26324" s="235" t="n"/>
    </row>
    <row r="26325" ht="14.25" customHeight="1" s="192">
      <c r="W26325" s="235" t="n"/>
      <c r="X26325" s="235" t="n"/>
    </row>
    <row r="26326" ht="14.25" customHeight="1" s="192">
      <c r="W26326" s="239" t="n"/>
      <c r="X26326" s="239" t="n"/>
    </row>
    <row r="26327" ht="14.25" customHeight="1" s="192">
      <c r="W26327" s="239" t="n"/>
      <c r="X26327" s="239" t="n"/>
    </row>
    <row r="26328" ht="14.25" customHeight="1" s="192">
      <c r="W26328" s="239" t="n"/>
      <c r="X26328" s="239" t="n"/>
    </row>
    <row r="26329" ht="14.25" customHeight="1" s="192">
      <c r="W26329" s="235" t="n"/>
      <c r="X26329" s="235" t="n"/>
    </row>
    <row r="26330" ht="14.25" customHeight="1" s="192">
      <c r="W26330" s="235" t="n"/>
      <c r="X26330" s="235" t="n"/>
    </row>
    <row r="26331" ht="14.25" customHeight="1" s="192">
      <c r="W26331" s="235" t="n"/>
      <c r="X26331" s="235" t="n"/>
    </row>
    <row r="26332" ht="14.25" customHeight="1" s="192">
      <c r="W26332" s="239" t="n"/>
      <c r="X26332" s="239" t="n"/>
    </row>
    <row r="26333" ht="14.25" customHeight="1" s="192">
      <c r="W26333" s="239" t="n"/>
      <c r="X26333" s="239" t="n"/>
    </row>
    <row r="26334" ht="14.25" customHeight="1" s="192">
      <c r="W26334" s="235" t="n"/>
      <c r="X26334" s="235" t="n"/>
    </row>
    <row r="26335" ht="14.25" customHeight="1" s="192">
      <c r="W26335" s="235" t="n"/>
      <c r="X26335" s="235" t="n"/>
    </row>
    <row r="26336" ht="14.25" customHeight="1" s="192">
      <c r="W26336" s="239" t="n"/>
      <c r="X26336" s="239" t="n"/>
    </row>
    <row r="26337" ht="14.25" customHeight="1" s="192">
      <c r="W26337" s="235" t="n"/>
      <c r="X26337" s="235" t="n"/>
    </row>
    <row r="26338" ht="14.25" customHeight="1" s="192">
      <c r="W26338" s="239" t="n"/>
      <c r="X26338" s="239" t="n"/>
    </row>
    <row r="26340" ht="14.25" customHeight="1" s="192">
      <c r="W26340" s="235" t="n"/>
      <c r="X26340" s="235" t="n"/>
    </row>
    <row r="26341" ht="15" customHeight="1" s="192" thickBot="1">
      <c r="W26341" s="239" t="n"/>
      <c r="X26341" s="239" t="n"/>
    </row>
    <row r="26342" ht="15" customHeight="1" s="192" thickBot="1">
      <c r="W26342" s="45" t="n"/>
      <c r="X26342" s="45" t="n"/>
    </row>
    <row r="26343" ht="14.25" customHeight="1" s="192">
      <c r="W26343" s="228" t="n"/>
      <c r="X26343" s="228" t="n"/>
    </row>
    <row r="26344" ht="14.25" customHeight="1" s="192">
      <c r="W26344" s="228" t="n"/>
      <c r="X26344" s="228" t="n"/>
    </row>
    <row r="26345" ht="14.25" customHeight="1" s="192">
      <c r="W26345" s="231" t="n"/>
      <c r="X26345" s="231" t="n"/>
    </row>
    <row r="26346" ht="14.25" customHeight="1" s="192">
      <c r="W26346" s="33" t="n"/>
      <c r="X26346" s="33" t="n"/>
    </row>
    <row r="26347" ht="14.25" customHeight="1" s="192">
      <c r="W26347" s="231" t="n"/>
      <c r="X26347" s="231" t="n"/>
    </row>
    <row r="26348" ht="14.25" customHeight="1" s="192">
      <c r="W26348" s="33" t="n"/>
      <c r="X26348" s="33" t="n"/>
    </row>
    <row r="26350" ht="14.25" customHeight="1" s="192">
      <c r="W26350" s="231" t="n"/>
      <c r="X26350" s="231" t="n"/>
    </row>
    <row r="26351" ht="14.25" customHeight="1" s="192">
      <c r="W26351" s="235" t="n"/>
      <c r="X26351" s="235" t="n"/>
    </row>
    <row r="26352" ht="14.25" customHeight="1" s="192">
      <c r="W26352" s="228" t="n"/>
      <c r="X26352" s="228" t="n"/>
    </row>
    <row r="26353" ht="14.25" customHeight="1" s="192">
      <c r="W26353" s="235" t="n"/>
      <c r="X26353" s="235" t="n"/>
    </row>
    <row r="26354" ht="14.25" customHeight="1" s="192">
      <c r="W26354" s="235" t="n"/>
      <c r="X26354" s="235" t="n"/>
    </row>
    <row r="26355" ht="14.25" customHeight="1" s="192">
      <c r="W26355" s="235" t="n"/>
      <c r="X26355" s="235" t="n"/>
    </row>
    <row r="26356" ht="14.25" customHeight="1" s="192">
      <c r="W26356" s="239" t="n"/>
      <c r="X26356" s="239" t="n"/>
    </row>
    <row r="26357" ht="14.25" customHeight="1" s="192">
      <c r="W26357" s="239" t="n"/>
      <c r="X26357" s="239" t="n"/>
    </row>
    <row r="26358" ht="14.25" customHeight="1" s="192">
      <c r="W26358" s="239" t="n"/>
      <c r="X26358" s="239" t="n"/>
    </row>
    <row r="26359" ht="14.25" customHeight="1" s="192">
      <c r="W26359" s="235" t="n"/>
      <c r="X26359" s="235" t="n"/>
    </row>
    <row r="26360" ht="14.25" customHeight="1" s="192">
      <c r="W26360" s="235" t="n"/>
      <c r="X26360" s="235" t="n"/>
    </row>
    <row r="26361" ht="14.25" customHeight="1" s="192">
      <c r="W26361" s="235" t="n"/>
      <c r="X26361" s="235" t="n"/>
    </row>
    <row r="26362" ht="14.25" customHeight="1" s="192">
      <c r="W26362" s="239" t="n"/>
      <c r="X26362" s="239" t="n"/>
    </row>
    <row r="26363" ht="14.25" customHeight="1" s="192">
      <c r="W26363" s="239" t="n"/>
      <c r="X26363" s="239" t="n"/>
    </row>
    <row r="26364" ht="14.25" customHeight="1" s="192">
      <c r="W26364" s="235" t="n"/>
      <c r="X26364" s="235" t="n"/>
    </row>
    <row r="26365" ht="14.25" customHeight="1" s="192">
      <c r="W26365" s="235" t="n"/>
      <c r="X26365" s="235" t="n"/>
    </row>
    <row r="26366" ht="14.25" customHeight="1" s="192">
      <c r="W26366" s="239" t="n"/>
      <c r="X26366" s="239" t="n"/>
    </row>
    <row r="26367" ht="14.25" customHeight="1" s="192">
      <c r="W26367" s="235" t="n"/>
      <c r="X26367" s="235" t="n"/>
    </row>
    <row r="26368" ht="14.25" customHeight="1" s="192">
      <c r="W26368" s="239" t="n"/>
      <c r="X26368" s="239" t="n"/>
    </row>
    <row r="26370" ht="14.25" customHeight="1" s="192">
      <c r="W26370" s="235" t="n"/>
      <c r="X26370" s="235" t="n"/>
    </row>
    <row r="26371" ht="15" customHeight="1" s="192" thickBot="1">
      <c r="W26371" s="239" t="n"/>
      <c r="X26371" s="239" t="n"/>
    </row>
    <row r="26372" ht="15" customHeight="1" s="192" thickBot="1">
      <c r="W26372" s="45" t="n"/>
      <c r="X26372" s="45" t="n"/>
    </row>
    <row r="26373" ht="14.25" customHeight="1" s="192">
      <c r="W26373" s="228" t="n"/>
      <c r="X26373" s="228" t="n"/>
    </row>
    <row r="26374" ht="14.25" customHeight="1" s="192">
      <c r="W26374" s="228" t="n"/>
      <c r="X26374" s="228" t="n"/>
    </row>
    <row r="26375" ht="14.25" customHeight="1" s="192">
      <c r="W26375" s="231" t="n"/>
      <c r="X26375" s="231" t="n"/>
    </row>
    <row r="26376" ht="14.25" customHeight="1" s="192">
      <c r="W26376" s="33" t="n"/>
      <c r="X26376" s="33" t="n"/>
    </row>
    <row r="26377" ht="14.25" customHeight="1" s="192">
      <c r="W26377" s="231" t="n"/>
      <c r="X26377" s="231" t="n"/>
    </row>
    <row r="26378" ht="14.25" customHeight="1" s="192">
      <c r="W26378" s="33" t="n"/>
      <c r="X26378" s="33" t="n"/>
    </row>
    <row r="26380" ht="14.25" customHeight="1" s="192">
      <c r="W26380" s="231" t="n"/>
      <c r="X26380" s="231" t="n"/>
    </row>
    <row r="26381" ht="14.25" customHeight="1" s="192">
      <c r="W26381" s="235" t="n"/>
      <c r="X26381" s="235" t="n"/>
    </row>
    <row r="26382" ht="14.25" customHeight="1" s="192">
      <c r="W26382" s="228" t="n"/>
      <c r="X26382" s="228" t="n"/>
    </row>
    <row r="26383" ht="14.25" customHeight="1" s="192">
      <c r="W26383" s="235" t="n"/>
      <c r="X26383" s="235" t="n"/>
    </row>
    <row r="26384" ht="14.25" customHeight="1" s="192">
      <c r="W26384" s="235" t="n"/>
      <c r="X26384" s="235" t="n"/>
    </row>
    <row r="26385" ht="14.25" customHeight="1" s="192">
      <c r="W26385" s="235" t="n"/>
      <c r="X26385" s="235" t="n"/>
    </row>
    <row r="26386" ht="14.25" customHeight="1" s="192">
      <c r="W26386" s="239" t="n"/>
      <c r="X26386" s="239" t="n"/>
    </row>
    <row r="26387" ht="14.25" customHeight="1" s="192">
      <c r="W26387" s="239" t="n"/>
      <c r="X26387" s="239" t="n"/>
    </row>
    <row r="26388" ht="14.25" customHeight="1" s="192">
      <c r="W26388" s="239" t="n"/>
      <c r="X26388" s="239" t="n"/>
    </row>
    <row r="26389" ht="14.25" customHeight="1" s="192">
      <c r="W26389" s="235" t="n"/>
      <c r="X26389" s="235" t="n"/>
    </row>
    <row r="26390" ht="14.25" customHeight="1" s="192">
      <c r="W26390" s="235" t="n"/>
      <c r="X26390" s="235" t="n"/>
    </row>
    <row r="26391" ht="14.25" customHeight="1" s="192">
      <c r="W26391" s="235" t="n"/>
      <c r="X26391" s="235" t="n"/>
    </row>
    <row r="26392" ht="14.25" customHeight="1" s="192">
      <c r="W26392" s="239" t="n"/>
      <c r="X26392" s="239" t="n"/>
    </row>
    <row r="26393" ht="14.25" customHeight="1" s="192">
      <c r="W26393" s="239" t="n"/>
      <c r="X26393" s="239" t="n"/>
    </row>
    <row r="26394" ht="14.25" customHeight="1" s="192">
      <c r="W26394" s="235" t="n"/>
      <c r="X26394" s="235" t="n"/>
    </row>
    <row r="26395" ht="14.25" customHeight="1" s="192">
      <c r="W26395" s="235" t="n"/>
      <c r="X26395" s="235" t="n"/>
    </row>
    <row r="26396" ht="14.25" customHeight="1" s="192">
      <c r="W26396" s="239" t="n"/>
      <c r="X26396" s="239" t="n"/>
    </row>
    <row r="26397" ht="14.25" customHeight="1" s="192">
      <c r="W26397" s="235" t="n"/>
      <c r="X26397" s="235" t="n"/>
    </row>
    <row r="26398" ht="14.25" customHeight="1" s="192">
      <c r="W26398" s="239" t="n"/>
      <c r="X26398" s="239" t="n"/>
    </row>
    <row r="26400" ht="14.25" customHeight="1" s="192">
      <c r="W26400" s="235" t="n"/>
      <c r="X26400" s="235" t="n"/>
    </row>
    <row r="26401" ht="15" customHeight="1" s="192" thickBot="1">
      <c r="W26401" s="239" t="n"/>
      <c r="X26401" s="239" t="n"/>
    </row>
    <row r="26402" ht="15" customHeight="1" s="192" thickBot="1">
      <c r="W26402" s="45" t="n"/>
      <c r="X26402" s="45" t="n"/>
    </row>
    <row r="26403" ht="14.25" customHeight="1" s="192">
      <c r="W26403" s="228" t="n"/>
      <c r="X26403" s="228" t="n"/>
    </row>
    <row r="26404" ht="14.25" customHeight="1" s="192">
      <c r="W26404" s="228" t="n"/>
      <c r="X26404" s="228" t="n"/>
    </row>
    <row r="26405" ht="14.25" customHeight="1" s="192">
      <c r="W26405" s="231" t="n"/>
      <c r="X26405" s="231" t="n"/>
    </row>
    <row r="26406" ht="14.25" customHeight="1" s="192">
      <c r="W26406" s="33" t="n"/>
      <c r="X26406" s="33" t="n"/>
    </row>
    <row r="26407" ht="14.25" customHeight="1" s="192">
      <c r="W26407" s="231" t="n"/>
      <c r="X26407" s="231" t="n"/>
    </row>
    <row r="26408" ht="14.25" customHeight="1" s="192">
      <c r="W26408" s="33" t="n"/>
      <c r="X26408" s="33" t="n"/>
    </row>
    <row r="26410" ht="14.25" customHeight="1" s="192">
      <c r="W26410" s="231" t="n"/>
      <c r="X26410" s="231" t="n"/>
    </row>
    <row r="26411" ht="14.25" customHeight="1" s="192">
      <c r="W26411" s="235" t="n"/>
      <c r="X26411" s="235" t="n"/>
    </row>
    <row r="26412" ht="14.25" customHeight="1" s="192">
      <c r="W26412" s="228" t="n"/>
      <c r="X26412" s="228" t="n"/>
    </row>
    <row r="26413" ht="14.25" customHeight="1" s="192">
      <c r="W26413" s="235" t="n"/>
      <c r="X26413" s="235" t="n"/>
    </row>
    <row r="26414" ht="14.25" customHeight="1" s="192">
      <c r="W26414" s="235" t="n"/>
      <c r="X26414" s="235" t="n"/>
    </row>
    <row r="26415" ht="14.25" customHeight="1" s="192">
      <c r="W26415" s="235" t="n"/>
      <c r="X26415" s="235" t="n"/>
    </row>
    <row r="26416" ht="14.25" customHeight="1" s="192">
      <c r="W26416" s="239" t="n"/>
      <c r="X26416" s="239" t="n"/>
    </row>
    <row r="26417" ht="14.25" customHeight="1" s="192">
      <c r="W26417" s="239" t="n"/>
      <c r="X26417" s="239" t="n"/>
    </row>
    <row r="26418" ht="14.25" customHeight="1" s="192">
      <c r="W26418" s="239" t="n"/>
      <c r="X26418" s="239" t="n"/>
    </row>
    <row r="26419" ht="14.25" customHeight="1" s="192">
      <c r="W26419" s="235" t="n"/>
      <c r="X26419" s="235" t="n"/>
    </row>
    <row r="26420" ht="14.25" customHeight="1" s="192">
      <c r="W26420" s="235" t="n"/>
      <c r="X26420" s="235" t="n"/>
    </row>
    <row r="26421" ht="14.25" customHeight="1" s="192">
      <c r="W26421" s="235" t="n"/>
      <c r="X26421" s="235" t="n"/>
    </row>
    <row r="26422" ht="14.25" customHeight="1" s="192">
      <c r="W26422" s="239" t="n"/>
      <c r="X26422" s="239" t="n"/>
    </row>
    <row r="26423" ht="14.25" customHeight="1" s="192">
      <c r="W26423" s="239" t="n"/>
      <c r="X26423" s="239" t="n"/>
    </row>
    <row r="26424" ht="14.25" customHeight="1" s="192">
      <c r="W26424" s="235" t="n"/>
      <c r="X26424" s="235" t="n"/>
    </row>
    <row r="26425" ht="14.25" customHeight="1" s="192">
      <c r="W26425" s="235" t="n"/>
      <c r="X26425" s="235" t="n"/>
    </row>
    <row r="26426" ht="14.25" customHeight="1" s="192">
      <c r="W26426" s="239" t="n"/>
      <c r="X26426" s="239" t="n"/>
    </row>
    <row r="26427" ht="14.25" customHeight="1" s="192">
      <c r="W26427" s="235" t="n"/>
      <c r="X26427" s="235" t="n"/>
    </row>
    <row r="26428" ht="14.25" customHeight="1" s="192">
      <c r="W26428" s="239" t="n"/>
      <c r="X26428" s="239" t="n"/>
    </row>
    <row r="26430" ht="14.25" customHeight="1" s="192">
      <c r="W26430" s="235" t="n"/>
      <c r="X26430" s="235" t="n"/>
    </row>
    <row r="26431" ht="15" customHeight="1" s="192" thickBot="1">
      <c r="W26431" s="239" t="n"/>
      <c r="X26431" s="239" t="n"/>
    </row>
    <row r="26432" ht="15" customHeight="1" s="192" thickBot="1">
      <c r="W26432" s="45" t="n"/>
      <c r="X26432" s="45" t="n"/>
    </row>
    <row r="26433" ht="14.25" customHeight="1" s="192">
      <c r="W26433" s="228" t="n"/>
      <c r="X26433" s="228" t="n"/>
    </row>
    <row r="26434" ht="14.25" customHeight="1" s="192">
      <c r="W26434" s="228" t="n"/>
      <c r="X26434" s="228" t="n"/>
    </row>
    <row r="26435" ht="14.25" customHeight="1" s="192">
      <c r="W26435" s="231" t="n"/>
      <c r="X26435" s="231" t="n"/>
    </row>
    <row r="26436" ht="14.25" customHeight="1" s="192">
      <c r="W26436" s="33" t="n"/>
      <c r="X26436" s="33" t="n"/>
    </row>
    <row r="26437" ht="14.25" customHeight="1" s="192">
      <c r="W26437" s="231" t="n"/>
      <c r="X26437" s="231" t="n"/>
    </row>
    <row r="26438" ht="14.25" customHeight="1" s="192">
      <c r="W26438" s="33" t="n"/>
      <c r="X26438" s="33" t="n"/>
    </row>
    <row r="26440" ht="14.25" customHeight="1" s="192">
      <c r="W26440" s="231" t="n"/>
      <c r="X26440" s="231" t="n"/>
    </row>
    <row r="26441" ht="14.25" customHeight="1" s="192">
      <c r="W26441" s="235" t="n"/>
      <c r="X26441" s="235" t="n"/>
    </row>
    <row r="26442" ht="14.25" customHeight="1" s="192">
      <c r="W26442" s="228" t="n"/>
      <c r="X26442" s="228" t="n"/>
    </row>
    <row r="26443" ht="14.25" customHeight="1" s="192">
      <c r="W26443" s="235" t="n"/>
      <c r="X26443" s="235" t="n"/>
    </row>
    <row r="26444" ht="14.25" customHeight="1" s="192">
      <c r="W26444" s="235" t="n"/>
      <c r="X26444" s="235" t="n"/>
    </row>
    <row r="26445" ht="14.25" customHeight="1" s="192">
      <c r="W26445" s="235" t="n"/>
      <c r="X26445" s="235" t="n"/>
    </row>
    <row r="26446" ht="14.25" customHeight="1" s="192">
      <c r="W26446" s="239" t="n"/>
      <c r="X26446" s="239" t="n"/>
    </row>
    <row r="26447" ht="14.25" customHeight="1" s="192">
      <c r="W26447" s="239" t="n"/>
      <c r="X26447" s="239" t="n"/>
    </row>
    <row r="26448" ht="14.25" customHeight="1" s="192">
      <c r="W26448" s="239" t="n"/>
      <c r="X26448" s="239" t="n"/>
    </row>
    <row r="26449" ht="14.25" customHeight="1" s="192">
      <c r="W26449" s="235" t="n"/>
      <c r="X26449" s="235" t="n"/>
    </row>
    <row r="26450" ht="14.25" customHeight="1" s="192">
      <c r="W26450" s="235" t="n"/>
      <c r="X26450" s="235" t="n"/>
    </row>
    <row r="26451" ht="14.25" customHeight="1" s="192">
      <c r="W26451" s="235" t="n"/>
      <c r="X26451" s="235" t="n"/>
    </row>
    <row r="26452" ht="14.25" customHeight="1" s="192">
      <c r="W26452" s="239" t="n"/>
      <c r="X26452" s="239" t="n"/>
    </row>
    <row r="26453" ht="14.25" customHeight="1" s="192">
      <c r="W26453" s="239" t="n"/>
      <c r="X26453" s="239" t="n"/>
    </row>
    <row r="26454" ht="14.25" customHeight="1" s="192">
      <c r="W26454" s="235" t="n"/>
      <c r="X26454" s="235" t="n"/>
    </row>
    <row r="26455" ht="14.25" customHeight="1" s="192">
      <c r="W26455" s="235" t="n"/>
      <c r="X26455" s="235" t="n"/>
    </row>
    <row r="26456" ht="14.25" customHeight="1" s="192">
      <c r="W26456" s="239" t="n"/>
      <c r="X26456" s="239" t="n"/>
    </row>
    <row r="26457" ht="14.25" customHeight="1" s="192">
      <c r="W26457" s="235" t="n"/>
      <c r="X26457" s="235" t="n"/>
    </row>
    <row r="26458" ht="14.25" customHeight="1" s="192">
      <c r="W26458" s="239" t="n"/>
      <c r="X26458" s="239" t="n"/>
    </row>
    <row r="26460" ht="14.25" customHeight="1" s="192">
      <c r="W26460" s="235" t="n"/>
      <c r="X26460" s="235" t="n"/>
    </row>
    <row r="26461" ht="15" customHeight="1" s="192" thickBot="1">
      <c r="W26461" s="239" t="n"/>
      <c r="X26461" s="239" t="n"/>
    </row>
    <row r="26462" ht="15" customHeight="1" s="192" thickBot="1">
      <c r="W26462" s="45" t="n"/>
      <c r="X26462" s="45" t="n"/>
    </row>
    <row r="26463" ht="14.25" customHeight="1" s="192">
      <c r="W26463" s="228" t="n"/>
      <c r="X26463" s="228" t="n"/>
    </row>
    <row r="26464" ht="14.25" customHeight="1" s="192">
      <c r="W26464" s="228" t="n"/>
      <c r="X26464" s="228" t="n"/>
    </row>
    <row r="26465" ht="14.25" customHeight="1" s="192">
      <c r="W26465" s="231" t="n"/>
      <c r="X26465" s="231" t="n"/>
    </row>
    <row r="26466" ht="14.25" customHeight="1" s="192">
      <c r="W26466" s="33" t="n"/>
      <c r="X26466" s="33" t="n"/>
    </row>
    <row r="26467" ht="14.25" customHeight="1" s="192">
      <c r="W26467" s="231" t="n"/>
      <c r="X26467" s="231" t="n"/>
    </row>
    <row r="26468" ht="14.25" customHeight="1" s="192">
      <c r="W26468" s="33" t="n"/>
      <c r="X26468" s="33" t="n"/>
    </row>
    <row r="26470" ht="14.25" customHeight="1" s="192">
      <c r="W26470" s="231" t="n"/>
      <c r="X26470" s="231" t="n"/>
    </row>
    <row r="26471" ht="14.25" customHeight="1" s="192">
      <c r="W26471" s="235" t="n"/>
      <c r="X26471" s="235" t="n"/>
    </row>
    <row r="26472" ht="14.25" customHeight="1" s="192">
      <c r="W26472" s="228" t="n"/>
      <c r="X26472" s="228" t="n"/>
    </row>
    <row r="26473" ht="14.25" customHeight="1" s="192">
      <c r="W26473" s="235" t="n"/>
      <c r="X26473" s="235" t="n"/>
    </row>
    <row r="26474" ht="14.25" customHeight="1" s="192">
      <c r="W26474" s="235" t="n"/>
      <c r="X26474" s="235" t="n"/>
    </row>
    <row r="26475" ht="14.25" customHeight="1" s="192">
      <c r="W26475" s="235" t="n"/>
      <c r="X26475" s="235" t="n"/>
    </row>
    <row r="26476" ht="14.25" customHeight="1" s="192">
      <c r="W26476" s="239" t="n"/>
      <c r="X26476" s="239" t="n"/>
    </row>
    <row r="26477" ht="14.25" customHeight="1" s="192">
      <c r="W26477" s="239" t="n"/>
      <c r="X26477" s="239" t="n"/>
    </row>
    <row r="26478" ht="14.25" customHeight="1" s="192">
      <c r="W26478" s="239" t="n"/>
      <c r="X26478" s="239" t="n"/>
    </row>
    <row r="26479" ht="14.25" customHeight="1" s="192">
      <c r="W26479" s="235" t="n"/>
      <c r="X26479" s="235" t="n"/>
    </row>
    <row r="26480" ht="14.25" customHeight="1" s="192">
      <c r="W26480" s="235" t="n"/>
      <c r="X26480" s="235" t="n"/>
    </row>
    <row r="26481" ht="14.25" customHeight="1" s="192">
      <c r="W26481" s="235" t="n"/>
      <c r="X26481" s="235" t="n"/>
    </row>
    <row r="26482" ht="14.25" customHeight="1" s="192">
      <c r="W26482" s="239" t="n"/>
      <c r="X26482" s="239" t="n"/>
    </row>
    <row r="26483" ht="14.25" customHeight="1" s="192">
      <c r="W26483" s="239" t="n"/>
      <c r="X26483" s="239" t="n"/>
    </row>
    <row r="26484" ht="14.25" customHeight="1" s="192">
      <c r="W26484" s="235" t="n"/>
      <c r="X26484" s="235" t="n"/>
    </row>
    <row r="26485" ht="14.25" customHeight="1" s="192">
      <c r="W26485" s="235" t="n"/>
      <c r="X26485" s="235" t="n"/>
    </row>
    <row r="26486" ht="14.25" customHeight="1" s="192">
      <c r="W26486" s="239" t="n"/>
      <c r="X26486" s="239" t="n"/>
    </row>
    <row r="26487" ht="14.25" customHeight="1" s="192">
      <c r="W26487" s="235" t="n"/>
      <c r="X26487" s="235" t="n"/>
    </row>
    <row r="26488" ht="14.25" customHeight="1" s="192">
      <c r="W26488" s="239" t="n"/>
      <c r="X26488" s="239" t="n"/>
    </row>
    <row r="26490" ht="14.25" customHeight="1" s="192">
      <c r="W26490" s="235" t="n"/>
      <c r="X26490" s="235" t="n"/>
    </row>
    <row r="26491" ht="15" customHeight="1" s="192" thickBot="1">
      <c r="W26491" s="239" t="n"/>
      <c r="X26491" s="239" t="n"/>
    </row>
    <row r="26492" ht="15" customHeight="1" s="192" thickBot="1">
      <c r="W26492" s="45" t="n"/>
      <c r="X26492" s="45" t="n"/>
    </row>
    <row r="26493" ht="14.25" customHeight="1" s="192">
      <c r="W26493" s="228" t="n"/>
      <c r="X26493" s="228" t="n"/>
    </row>
    <row r="26494" ht="14.25" customHeight="1" s="192">
      <c r="W26494" s="228" t="n"/>
      <c r="X26494" s="228" t="n"/>
    </row>
    <row r="26495" ht="14.25" customHeight="1" s="192">
      <c r="W26495" s="231" t="n"/>
      <c r="X26495" s="231" t="n"/>
    </row>
    <row r="26496" ht="14.25" customHeight="1" s="192">
      <c r="W26496" s="33" t="n"/>
      <c r="X26496" s="33" t="n"/>
    </row>
    <row r="26497" ht="14.25" customHeight="1" s="192">
      <c r="W26497" s="231" t="n"/>
      <c r="X26497" s="231" t="n"/>
    </row>
    <row r="26498" ht="14.25" customHeight="1" s="192">
      <c r="W26498" s="33" t="n"/>
      <c r="X26498" s="33" t="n"/>
    </row>
    <row r="26500" ht="14.25" customHeight="1" s="192">
      <c r="W26500" s="231" t="n"/>
      <c r="X26500" s="231" t="n"/>
    </row>
    <row r="26501" ht="14.25" customHeight="1" s="192">
      <c r="W26501" s="235" t="n"/>
      <c r="X26501" s="235" t="n"/>
    </row>
    <row r="26502" ht="14.25" customHeight="1" s="192">
      <c r="W26502" s="228" t="n"/>
      <c r="X26502" s="228" t="n"/>
    </row>
    <row r="26503" ht="14.25" customHeight="1" s="192">
      <c r="W26503" s="235" t="n"/>
      <c r="X26503" s="235" t="n"/>
    </row>
    <row r="26504" ht="14.25" customHeight="1" s="192">
      <c r="W26504" s="235" t="n"/>
      <c r="X26504" s="235" t="n"/>
    </row>
    <row r="26505" ht="14.25" customHeight="1" s="192">
      <c r="W26505" s="235" t="n"/>
      <c r="X26505" s="235" t="n"/>
    </row>
    <row r="26506" ht="14.25" customHeight="1" s="192">
      <c r="W26506" s="239" t="n"/>
      <c r="X26506" s="239" t="n"/>
    </row>
    <row r="26507" ht="14.25" customHeight="1" s="192">
      <c r="W26507" s="239" t="n"/>
      <c r="X26507" s="239" t="n"/>
    </row>
    <row r="26508" ht="14.25" customHeight="1" s="192">
      <c r="W26508" s="239" t="n"/>
      <c r="X26508" s="239" t="n"/>
    </row>
    <row r="26509" ht="14.25" customHeight="1" s="192">
      <c r="W26509" s="235" t="n"/>
      <c r="X26509" s="235" t="n"/>
    </row>
    <row r="26510" ht="14.25" customHeight="1" s="192">
      <c r="W26510" s="235" t="n"/>
      <c r="X26510" s="235" t="n"/>
    </row>
    <row r="26511" ht="14.25" customHeight="1" s="192">
      <c r="W26511" s="235" t="n"/>
      <c r="X26511" s="235" t="n"/>
    </row>
    <row r="26512" ht="14.25" customHeight="1" s="192">
      <c r="W26512" s="239" t="n"/>
      <c r="X26512" s="239" t="n"/>
    </row>
    <row r="26513" ht="14.25" customHeight="1" s="192">
      <c r="W26513" s="239" t="n"/>
      <c r="X26513" s="239" t="n"/>
    </row>
    <row r="26514" ht="14.25" customHeight="1" s="192">
      <c r="W26514" s="235" t="n"/>
      <c r="X26514" s="235" t="n"/>
    </row>
    <row r="26515" ht="14.25" customHeight="1" s="192">
      <c r="W26515" s="235" t="n"/>
      <c r="X26515" s="235" t="n"/>
    </row>
    <row r="26516" ht="14.25" customHeight="1" s="192">
      <c r="W26516" s="239" t="n"/>
      <c r="X26516" s="239" t="n"/>
    </row>
    <row r="26517" ht="14.25" customHeight="1" s="192">
      <c r="W26517" s="235" t="n"/>
      <c r="X26517" s="235" t="n"/>
    </row>
    <row r="26518" ht="14.25" customHeight="1" s="192">
      <c r="W26518" s="239" t="n"/>
      <c r="X26518" s="239" t="n"/>
    </row>
    <row r="26520" ht="14.25" customHeight="1" s="192">
      <c r="W26520" s="235" t="n"/>
      <c r="X26520" s="235" t="n"/>
    </row>
    <row r="26521" ht="15" customHeight="1" s="192" thickBot="1">
      <c r="W26521" s="239" t="n"/>
      <c r="X26521" s="239" t="n"/>
    </row>
    <row r="26522" ht="15" customHeight="1" s="192" thickBot="1">
      <c r="W26522" s="45" t="n"/>
      <c r="X26522" s="45" t="n"/>
    </row>
    <row r="26523" ht="14.25" customHeight="1" s="192">
      <c r="W26523" s="228" t="n"/>
      <c r="X26523" s="228" t="n"/>
    </row>
    <row r="26524" ht="14.25" customHeight="1" s="192">
      <c r="W26524" s="228" t="n"/>
      <c r="X26524" s="228" t="n"/>
    </row>
    <row r="26525" ht="14.25" customHeight="1" s="192">
      <c r="W26525" s="231" t="n"/>
      <c r="X26525" s="231" t="n"/>
    </row>
    <row r="26526" ht="14.25" customHeight="1" s="192">
      <c r="W26526" s="33" t="n"/>
      <c r="X26526" s="33" t="n"/>
    </row>
    <row r="26527" ht="14.25" customHeight="1" s="192">
      <c r="W26527" s="231" t="n"/>
      <c r="X26527" s="231" t="n"/>
    </row>
    <row r="26528" ht="14.25" customHeight="1" s="192">
      <c r="W26528" s="33" t="n"/>
      <c r="X26528" s="33" t="n"/>
    </row>
    <row r="26530" ht="14.25" customHeight="1" s="192">
      <c r="W26530" s="231" t="n"/>
      <c r="X26530" s="231" t="n"/>
    </row>
    <row r="26531" ht="14.25" customHeight="1" s="192">
      <c r="W26531" s="235" t="n"/>
      <c r="X26531" s="235" t="n"/>
    </row>
    <row r="26532" ht="14.25" customHeight="1" s="192">
      <c r="W26532" s="228" t="n"/>
      <c r="X26532" s="228" t="n"/>
    </row>
    <row r="26533" ht="14.25" customHeight="1" s="192">
      <c r="W26533" s="235" t="n"/>
      <c r="X26533" s="235" t="n"/>
    </row>
    <row r="26534" ht="14.25" customHeight="1" s="192">
      <c r="W26534" s="235" t="n"/>
      <c r="X26534" s="235" t="n"/>
    </row>
    <row r="26535" ht="14.25" customHeight="1" s="192">
      <c r="W26535" s="235" t="n"/>
      <c r="X26535" s="235" t="n"/>
    </row>
    <row r="26536" ht="14.25" customHeight="1" s="192">
      <c r="W26536" s="239" t="n"/>
      <c r="X26536" s="239" t="n"/>
    </row>
    <row r="26537" ht="14.25" customHeight="1" s="192">
      <c r="W26537" s="239" t="n"/>
      <c r="X26537" s="239" t="n"/>
    </row>
    <row r="26538" ht="14.25" customHeight="1" s="192">
      <c r="W26538" s="239" t="n"/>
      <c r="X26538" s="239" t="n"/>
    </row>
    <row r="26539" ht="14.25" customHeight="1" s="192">
      <c r="W26539" s="235" t="n"/>
      <c r="X26539" s="235" t="n"/>
    </row>
    <row r="26540" ht="14.25" customHeight="1" s="192">
      <c r="W26540" s="235" t="n"/>
      <c r="X26540" s="235" t="n"/>
    </row>
    <row r="26541" ht="14.25" customHeight="1" s="192">
      <c r="W26541" s="235" t="n"/>
      <c r="X26541" s="235" t="n"/>
    </row>
    <row r="26542" ht="14.25" customHeight="1" s="192">
      <c r="W26542" s="239" t="n"/>
      <c r="X26542" s="239" t="n"/>
    </row>
    <row r="26543" ht="14.25" customHeight="1" s="192">
      <c r="W26543" s="239" t="n"/>
      <c r="X26543" s="239" t="n"/>
    </row>
    <row r="26544" ht="14.25" customHeight="1" s="192">
      <c r="W26544" s="235" t="n"/>
      <c r="X26544" s="235" t="n"/>
    </row>
    <row r="26545" ht="14.25" customHeight="1" s="192">
      <c r="W26545" s="235" t="n"/>
      <c r="X26545" s="235" t="n"/>
    </row>
    <row r="26546" ht="14.25" customHeight="1" s="192">
      <c r="W26546" s="239" t="n"/>
      <c r="X26546" s="239" t="n"/>
    </row>
    <row r="26547" ht="14.25" customHeight="1" s="192">
      <c r="W26547" s="235" t="n"/>
      <c r="X26547" s="235" t="n"/>
    </row>
    <row r="26548" ht="14.25" customHeight="1" s="192">
      <c r="W26548" s="239" t="n"/>
      <c r="X26548" s="239" t="n"/>
    </row>
    <row r="26550" ht="14.25" customHeight="1" s="192">
      <c r="W26550" s="235" t="n"/>
      <c r="X26550" s="235" t="n"/>
    </row>
    <row r="26551" ht="15" customHeight="1" s="192" thickBot="1">
      <c r="W26551" s="239" t="n"/>
      <c r="X26551" s="239" t="n"/>
    </row>
    <row r="26552" ht="15" customHeight="1" s="192" thickBot="1">
      <c r="W26552" s="45" t="n"/>
      <c r="X26552" s="45" t="n"/>
    </row>
    <row r="26553" ht="14.25" customHeight="1" s="192">
      <c r="W26553" s="228" t="n"/>
      <c r="X26553" s="228" t="n"/>
    </row>
    <row r="26554" ht="14.25" customHeight="1" s="192">
      <c r="W26554" s="228" t="n"/>
      <c r="X26554" s="228" t="n"/>
    </row>
    <row r="26555" ht="14.25" customHeight="1" s="192">
      <c r="W26555" s="231" t="n"/>
      <c r="X26555" s="231" t="n"/>
    </row>
    <row r="26556" ht="14.25" customHeight="1" s="192">
      <c r="W26556" s="33" t="n"/>
      <c r="X26556" s="33" t="n"/>
    </row>
    <row r="26557" ht="14.25" customHeight="1" s="192">
      <c r="W26557" s="231" t="n"/>
      <c r="X26557" s="231" t="n"/>
    </row>
    <row r="26558" ht="14.25" customHeight="1" s="192">
      <c r="W26558" s="33" t="n"/>
      <c r="X26558" s="33" t="n"/>
    </row>
    <row r="26560" ht="14.25" customHeight="1" s="192">
      <c r="W26560" s="231" t="n"/>
      <c r="X26560" s="231" t="n"/>
    </row>
    <row r="26561" ht="14.25" customHeight="1" s="192">
      <c r="W26561" s="235" t="n"/>
      <c r="X26561" s="235" t="n"/>
    </row>
    <row r="26562" ht="14.25" customHeight="1" s="192">
      <c r="W26562" s="228" t="n"/>
      <c r="X26562" s="228" t="n"/>
    </row>
    <row r="26563" ht="14.25" customHeight="1" s="192">
      <c r="W26563" s="235" t="n"/>
      <c r="X26563" s="235" t="n"/>
    </row>
    <row r="26564" ht="14.25" customHeight="1" s="192">
      <c r="W26564" s="235" t="n"/>
      <c r="X26564" s="235" t="n"/>
    </row>
    <row r="26565" ht="14.25" customHeight="1" s="192">
      <c r="W26565" s="235" t="n"/>
      <c r="X26565" s="235" t="n"/>
    </row>
    <row r="26566" ht="14.25" customHeight="1" s="192">
      <c r="W26566" s="239" t="n"/>
      <c r="X26566" s="239" t="n"/>
    </row>
    <row r="26567" ht="14.25" customHeight="1" s="192">
      <c r="W26567" s="239" t="n"/>
      <c r="X26567" s="239" t="n"/>
    </row>
    <row r="26568" ht="14.25" customHeight="1" s="192">
      <c r="W26568" s="239" t="n"/>
      <c r="X26568" s="239" t="n"/>
    </row>
    <row r="26569" ht="14.25" customHeight="1" s="192">
      <c r="W26569" s="235" t="n"/>
      <c r="X26569" s="235" t="n"/>
    </row>
    <row r="26570" ht="14.25" customHeight="1" s="192">
      <c r="W26570" s="235" t="n"/>
      <c r="X26570" s="235" t="n"/>
    </row>
    <row r="26571" ht="14.25" customHeight="1" s="192">
      <c r="W26571" s="235" t="n"/>
      <c r="X26571" s="235" t="n"/>
    </row>
    <row r="26572" ht="14.25" customHeight="1" s="192">
      <c r="W26572" s="239" t="n"/>
      <c r="X26572" s="239" t="n"/>
    </row>
    <row r="26573" ht="14.25" customHeight="1" s="192">
      <c r="W26573" s="239" t="n"/>
      <c r="X26573" s="239" t="n"/>
    </row>
    <row r="26574" ht="14.25" customHeight="1" s="192">
      <c r="W26574" s="235" t="n"/>
      <c r="X26574" s="235" t="n"/>
    </row>
    <row r="26575" ht="14.25" customHeight="1" s="192">
      <c r="W26575" s="235" t="n"/>
      <c r="X26575" s="235" t="n"/>
    </row>
    <row r="26576" ht="14.25" customHeight="1" s="192">
      <c r="W26576" s="239" t="n"/>
      <c r="X26576" s="239" t="n"/>
    </row>
    <row r="26577" ht="14.25" customHeight="1" s="192">
      <c r="W26577" s="235" t="n"/>
      <c r="X26577" s="235" t="n"/>
    </row>
    <row r="26578" ht="14.25" customHeight="1" s="192">
      <c r="W26578" s="239" t="n"/>
      <c r="X26578" s="239" t="n"/>
    </row>
    <row r="26580" ht="14.25" customHeight="1" s="192">
      <c r="W26580" s="235" t="n"/>
      <c r="X26580" s="235" t="n"/>
    </row>
    <row r="26581" ht="15" customHeight="1" s="192" thickBot="1">
      <c r="W26581" s="239" t="n"/>
      <c r="X26581" s="239" t="n"/>
    </row>
    <row r="26582" ht="15" customHeight="1" s="192" thickBot="1">
      <c r="W26582" s="45" t="n"/>
      <c r="X26582" s="45" t="n"/>
    </row>
    <row r="26583" ht="14.25" customHeight="1" s="192">
      <c r="W26583" s="228" t="n"/>
      <c r="X26583" s="228" t="n"/>
    </row>
    <row r="26584" ht="14.25" customHeight="1" s="192">
      <c r="W26584" s="228" t="n"/>
      <c r="X26584" s="228" t="n"/>
    </row>
    <row r="26585" ht="14.25" customHeight="1" s="192">
      <c r="W26585" s="231" t="n"/>
      <c r="X26585" s="231" t="n"/>
    </row>
    <row r="26586" ht="14.25" customHeight="1" s="192">
      <c r="W26586" s="33" t="n"/>
      <c r="X26586" s="33" t="n"/>
    </row>
    <row r="26587" ht="14.25" customHeight="1" s="192">
      <c r="W26587" s="231" t="n"/>
      <c r="X26587" s="231" t="n"/>
    </row>
    <row r="26588" ht="14.25" customHeight="1" s="192">
      <c r="W26588" s="33" t="n"/>
      <c r="X26588" s="33" t="n"/>
    </row>
    <row r="26590" ht="14.25" customHeight="1" s="192">
      <c r="W26590" s="231" t="n"/>
      <c r="X26590" s="231" t="n"/>
    </row>
    <row r="26591" ht="14.25" customHeight="1" s="192">
      <c r="W26591" s="235" t="n"/>
      <c r="X26591" s="235" t="n"/>
    </row>
    <row r="26592" ht="14.25" customHeight="1" s="192">
      <c r="W26592" s="228" t="n"/>
      <c r="X26592" s="228" t="n"/>
    </row>
    <row r="26593" ht="14.25" customHeight="1" s="192">
      <c r="W26593" s="235" t="n"/>
      <c r="X26593" s="235" t="n"/>
    </row>
    <row r="26594" ht="14.25" customHeight="1" s="192">
      <c r="W26594" s="235" t="n"/>
      <c r="X26594" s="235" t="n"/>
    </row>
    <row r="26595" ht="14.25" customHeight="1" s="192">
      <c r="W26595" s="235" t="n"/>
      <c r="X26595" s="235" t="n"/>
    </row>
    <row r="26596" ht="14.25" customHeight="1" s="192">
      <c r="W26596" s="239" t="n"/>
      <c r="X26596" s="239" t="n"/>
    </row>
    <row r="26597" ht="14.25" customHeight="1" s="192">
      <c r="W26597" s="239" t="n"/>
      <c r="X26597" s="239" t="n"/>
    </row>
    <row r="26598" ht="14.25" customHeight="1" s="192">
      <c r="W26598" s="239" t="n"/>
      <c r="X26598" s="239" t="n"/>
    </row>
    <row r="26599" ht="14.25" customHeight="1" s="192">
      <c r="W26599" s="235" t="n"/>
      <c r="X26599" s="235" t="n"/>
    </row>
    <row r="26600" ht="14.25" customHeight="1" s="192">
      <c r="W26600" s="235" t="n"/>
      <c r="X26600" s="235" t="n"/>
    </row>
    <row r="26601" ht="14.25" customHeight="1" s="192">
      <c r="W26601" s="235" t="n"/>
      <c r="X26601" s="235" t="n"/>
    </row>
    <row r="26602" ht="14.25" customHeight="1" s="192">
      <c r="W26602" s="239" t="n"/>
      <c r="X26602" s="239" t="n"/>
    </row>
    <row r="26603" ht="14.25" customHeight="1" s="192">
      <c r="W26603" s="239" t="n"/>
      <c r="X26603" s="239" t="n"/>
    </row>
    <row r="26604" ht="14.25" customHeight="1" s="192">
      <c r="W26604" s="235" t="n"/>
      <c r="X26604" s="235" t="n"/>
    </row>
    <row r="26605" ht="14.25" customHeight="1" s="192">
      <c r="W26605" s="235" t="n"/>
      <c r="X26605" s="235" t="n"/>
    </row>
    <row r="26606" ht="14.25" customHeight="1" s="192">
      <c r="W26606" s="239" t="n"/>
      <c r="X26606" s="239" t="n"/>
    </row>
    <row r="26607" ht="14.25" customHeight="1" s="192">
      <c r="W26607" s="235" t="n"/>
      <c r="X26607" s="235" t="n"/>
    </row>
    <row r="26608" ht="14.25" customHeight="1" s="192">
      <c r="W26608" s="239" t="n"/>
      <c r="X26608" s="239" t="n"/>
    </row>
    <row r="26610" ht="14.25" customHeight="1" s="192">
      <c r="W26610" s="235" t="n"/>
      <c r="X26610" s="235" t="n"/>
    </row>
    <row r="26611" ht="15" customHeight="1" s="192" thickBot="1">
      <c r="W26611" s="239" t="n"/>
      <c r="X26611" s="239" t="n"/>
    </row>
    <row r="26612" ht="15" customHeight="1" s="192" thickBot="1">
      <c r="W26612" s="45" t="n"/>
      <c r="X26612" s="45" t="n"/>
    </row>
    <row r="26613" ht="14.25" customHeight="1" s="192">
      <c r="W26613" s="228" t="n"/>
      <c r="X26613" s="228" t="n"/>
    </row>
    <row r="26614" ht="14.25" customHeight="1" s="192">
      <c r="W26614" s="228" t="n"/>
      <c r="X26614" s="228" t="n"/>
    </row>
    <row r="26615" ht="14.25" customHeight="1" s="192">
      <c r="W26615" s="231" t="n"/>
      <c r="X26615" s="231" t="n"/>
    </row>
    <row r="26616" ht="14.25" customHeight="1" s="192">
      <c r="W26616" s="33" t="n"/>
      <c r="X26616" s="33" t="n"/>
    </row>
    <row r="26617" ht="14.25" customHeight="1" s="192">
      <c r="W26617" s="231" t="n"/>
      <c r="X26617" s="231" t="n"/>
    </row>
    <row r="26618" ht="14.25" customHeight="1" s="192">
      <c r="W26618" s="33" t="n"/>
      <c r="X26618" s="33" t="n"/>
    </row>
    <row r="26620" ht="14.25" customHeight="1" s="192">
      <c r="W26620" s="231" t="n"/>
      <c r="X26620" s="231" t="n"/>
    </row>
    <row r="26621" ht="14.25" customHeight="1" s="192">
      <c r="W26621" s="235" t="n"/>
      <c r="X26621" s="235" t="n"/>
    </row>
    <row r="26622" ht="14.25" customHeight="1" s="192">
      <c r="W26622" s="228" t="n"/>
      <c r="X26622" s="228" t="n"/>
    </row>
    <row r="26623" ht="14.25" customHeight="1" s="192">
      <c r="W26623" s="235" t="n"/>
      <c r="X26623" s="235" t="n"/>
    </row>
    <row r="26624" ht="14.25" customHeight="1" s="192">
      <c r="W26624" s="235" t="n"/>
      <c r="X26624" s="235" t="n"/>
    </row>
    <row r="26625" ht="14.25" customHeight="1" s="192">
      <c r="W26625" s="235" t="n"/>
      <c r="X26625" s="235" t="n"/>
    </row>
    <row r="26626" ht="14.25" customHeight="1" s="192">
      <c r="W26626" s="239" t="n"/>
      <c r="X26626" s="239" t="n"/>
    </row>
    <row r="26627" ht="14.25" customHeight="1" s="192">
      <c r="W26627" s="239" t="n"/>
      <c r="X26627" s="239" t="n"/>
    </row>
    <row r="26628" ht="14.25" customHeight="1" s="192">
      <c r="W26628" s="239" t="n"/>
      <c r="X26628" s="239" t="n"/>
    </row>
    <row r="26629" ht="14.25" customHeight="1" s="192">
      <c r="W26629" s="235" t="n"/>
      <c r="X26629" s="235" t="n"/>
    </row>
    <row r="26630" ht="14.25" customHeight="1" s="192">
      <c r="W26630" s="235" t="n"/>
      <c r="X26630" s="235" t="n"/>
    </row>
    <row r="26631" ht="14.25" customHeight="1" s="192">
      <c r="W26631" s="235" t="n"/>
      <c r="X26631" s="235" t="n"/>
    </row>
    <row r="26632" ht="14.25" customHeight="1" s="192">
      <c r="W26632" s="239" t="n"/>
      <c r="X26632" s="239" t="n"/>
    </row>
    <row r="26633" ht="14.25" customHeight="1" s="192">
      <c r="W26633" s="239" t="n"/>
      <c r="X26633" s="239" t="n"/>
    </row>
    <row r="26634" ht="14.25" customHeight="1" s="192">
      <c r="W26634" s="235" t="n"/>
      <c r="X26634" s="235" t="n"/>
    </row>
    <row r="26635" ht="14.25" customHeight="1" s="192">
      <c r="W26635" s="235" t="n"/>
      <c r="X26635" s="235" t="n"/>
    </row>
    <row r="26636" ht="14.25" customHeight="1" s="192">
      <c r="W26636" s="239" t="n"/>
      <c r="X26636" s="239" t="n"/>
    </row>
    <row r="26637" ht="14.25" customHeight="1" s="192">
      <c r="W26637" s="235" t="n"/>
      <c r="X26637" s="235" t="n"/>
    </row>
    <row r="26638" ht="14.25" customHeight="1" s="192">
      <c r="W26638" s="239" t="n"/>
      <c r="X26638" s="239" t="n"/>
    </row>
    <row r="26640" ht="14.25" customHeight="1" s="192">
      <c r="W26640" s="235" t="n"/>
      <c r="X26640" s="235" t="n"/>
    </row>
    <row r="26641" ht="15" customHeight="1" s="192" thickBot="1">
      <c r="W26641" s="239" t="n"/>
      <c r="X26641" s="239" t="n"/>
    </row>
    <row r="26642" ht="15" customHeight="1" s="192" thickBot="1">
      <c r="W26642" s="45" t="n"/>
      <c r="X26642" s="45" t="n"/>
    </row>
    <row r="26643" ht="14.25" customHeight="1" s="192">
      <c r="W26643" s="228" t="n"/>
      <c r="X26643" s="228" t="n"/>
    </row>
    <row r="26644" ht="14.25" customHeight="1" s="192">
      <c r="W26644" s="228" t="n"/>
      <c r="X26644" s="228" t="n"/>
    </row>
    <row r="26645" ht="14.25" customHeight="1" s="192">
      <c r="W26645" s="231" t="n"/>
      <c r="X26645" s="231" t="n"/>
    </row>
    <row r="26646" ht="14.25" customHeight="1" s="192">
      <c r="W26646" s="33" t="n"/>
      <c r="X26646" s="33" t="n"/>
    </row>
    <row r="26647" ht="14.25" customHeight="1" s="192">
      <c r="W26647" s="231" t="n"/>
      <c r="X26647" s="231" t="n"/>
    </row>
    <row r="26648" ht="14.25" customHeight="1" s="192">
      <c r="W26648" s="33" t="n"/>
      <c r="X26648" s="33" t="n"/>
    </row>
    <row r="26650" ht="14.25" customHeight="1" s="192">
      <c r="W26650" s="231" t="n"/>
      <c r="X26650" s="231" t="n"/>
    </row>
    <row r="26651" ht="14.25" customHeight="1" s="192">
      <c r="W26651" s="235" t="n"/>
      <c r="X26651" s="235" t="n"/>
    </row>
    <row r="26652" ht="14.25" customHeight="1" s="192">
      <c r="W26652" s="228" t="n"/>
      <c r="X26652" s="228" t="n"/>
    </row>
    <row r="26653" ht="14.25" customHeight="1" s="192">
      <c r="W26653" s="235" t="n"/>
      <c r="X26653" s="235" t="n"/>
    </row>
    <row r="26654" ht="14.25" customHeight="1" s="192">
      <c r="W26654" s="235" t="n"/>
      <c r="X26654" s="235" t="n"/>
    </row>
    <row r="26655" ht="14.25" customHeight="1" s="192">
      <c r="W26655" s="235" t="n"/>
      <c r="X26655" s="235" t="n"/>
    </row>
    <row r="26656" ht="14.25" customHeight="1" s="192">
      <c r="W26656" s="239" t="n"/>
      <c r="X26656" s="239" t="n"/>
    </row>
    <row r="26657" ht="14.25" customHeight="1" s="192">
      <c r="W26657" s="239" t="n"/>
      <c r="X26657" s="239" t="n"/>
    </row>
    <row r="26658" ht="14.25" customHeight="1" s="192">
      <c r="W26658" s="239" t="n"/>
      <c r="X26658" s="239" t="n"/>
    </row>
    <row r="26659" ht="14.25" customHeight="1" s="192">
      <c r="W26659" s="235" t="n"/>
      <c r="X26659" s="235" t="n"/>
    </row>
    <row r="26660" ht="14.25" customHeight="1" s="192">
      <c r="W26660" s="235" t="n"/>
      <c r="X26660" s="235" t="n"/>
    </row>
    <row r="26661" ht="14.25" customHeight="1" s="192">
      <c r="W26661" s="235" t="n"/>
      <c r="X26661" s="235" t="n"/>
    </row>
    <row r="26662" ht="14.25" customHeight="1" s="192">
      <c r="W26662" s="239" t="n"/>
      <c r="X26662" s="239" t="n"/>
    </row>
    <row r="26663" ht="14.25" customHeight="1" s="192">
      <c r="W26663" s="239" t="n"/>
      <c r="X26663" s="239" t="n"/>
    </row>
    <row r="26664" ht="14.25" customHeight="1" s="192">
      <c r="W26664" s="235" t="n"/>
      <c r="X26664" s="235" t="n"/>
    </row>
    <row r="26665" ht="14.25" customHeight="1" s="192">
      <c r="W26665" s="235" t="n"/>
      <c r="X26665" s="235" t="n"/>
    </row>
    <row r="26666" ht="14.25" customHeight="1" s="192">
      <c r="W26666" s="239" t="n"/>
      <c r="X26666" s="239" t="n"/>
    </row>
    <row r="26667" ht="14.25" customHeight="1" s="192">
      <c r="W26667" s="235" t="n"/>
      <c r="X26667" s="235" t="n"/>
    </row>
    <row r="26668" ht="14.25" customHeight="1" s="192">
      <c r="W26668" s="239" t="n"/>
      <c r="X26668" s="239" t="n"/>
    </row>
    <row r="26670" ht="14.25" customHeight="1" s="192">
      <c r="W26670" s="235" t="n"/>
      <c r="X26670" s="235" t="n"/>
    </row>
    <row r="26671" ht="15" customHeight="1" s="192" thickBot="1">
      <c r="W26671" s="239" t="n"/>
      <c r="X26671" s="239" t="n"/>
    </row>
    <row r="26672" ht="15" customHeight="1" s="192" thickBot="1">
      <c r="W26672" s="45" t="n"/>
      <c r="X26672" s="45" t="n"/>
    </row>
    <row r="26673" ht="14.25" customHeight="1" s="192">
      <c r="W26673" s="228" t="n"/>
      <c r="X26673" s="228" t="n"/>
    </row>
    <row r="26674" ht="14.25" customHeight="1" s="192">
      <c r="W26674" s="228" t="n"/>
      <c r="X26674" s="228" t="n"/>
    </row>
    <row r="26675" ht="14.25" customHeight="1" s="192">
      <c r="W26675" s="231" t="n"/>
      <c r="X26675" s="231" t="n"/>
    </row>
    <row r="26676" ht="14.25" customHeight="1" s="192">
      <c r="W26676" s="33" t="n"/>
      <c r="X26676" s="33" t="n"/>
    </row>
    <row r="26677" ht="14.25" customHeight="1" s="192">
      <c r="W26677" s="231" t="n"/>
      <c r="X26677" s="231" t="n"/>
    </row>
    <row r="26678" ht="14.25" customHeight="1" s="192">
      <c r="W26678" s="33" t="n"/>
      <c r="X26678" s="33" t="n"/>
    </row>
    <row r="26680" ht="14.25" customHeight="1" s="192">
      <c r="W26680" s="231" t="n"/>
      <c r="X26680" s="231" t="n"/>
    </row>
    <row r="26681" ht="14.25" customHeight="1" s="192">
      <c r="W26681" s="235" t="n"/>
      <c r="X26681" s="235" t="n"/>
    </row>
    <row r="26682" ht="14.25" customHeight="1" s="192">
      <c r="W26682" s="228" t="n"/>
      <c r="X26682" s="228" t="n"/>
    </row>
    <row r="26683" ht="14.25" customHeight="1" s="192">
      <c r="W26683" s="235" t="n"/>
      <c r="X26683" s="235" t="n"/>
    </row>
    <row r="26684" ht="14.25" customHeight="1" s="192">
      <c r="W26684" s="235" t="n"/>
      <c r="X26684" s="235" t="n"/>
    </row>
    <row r="26685" ht="14.25" customHeight="1" s="192">
      <c r="W26685" s="235" t="n"/>
      <c r="X26685" s="235" t="n"/>
    </row>
    <row r="26686" ht="14.25" customHeight="1" s="192">
      <c r="W26686" s="239" t="n"/>
      <c r="X26686" s="239" t="n"/>
    </row>
    <row r="26687" ht="14.25" customHeight="1" s="192">
      <c r="W26687" s="239" t="n"/>
      <c r="X26687" s="239" t="n"/>
    </row>
    <row r="26688" ht="14.25" customHeight="1" s="192">
      <c r="W26688" s="239" t="n"/>
      <c r="X26688" s="239" t="n"/>
    </row>
    <row r="26689" ht="14.25" customHeight="1" s="192">
      <c r="W26689" s="235" t="n"/>
      <c r="X26689" s="235" t="n"/>
    </row>
    <row r="26690" ht="14.25" customHeight="1" s="192">
      <c r="W26690" s="235" t="n"/>
      <c r="X26690" s="235" t="n"/>
    </row>
    <row r="26691" ht="14.25" customHeight="1" s="192">
      <c r="W26691" s="235" t="n"/>
      <c r="X26691" s="235" t="n"/>
    </row>
    <row r="26692" ht="14.25" customHeight="1" s="192">
      <c r="W26692" s="239" t="n"/>
      <c r="X26692" s="239" t="n"/>
    </row>
    <row r="26693" ht="14.25" customHeight="1" s="192">
      <c r="W26693" s="239" t="n"/>
      <c r="X26693" s="239" t="n"/>
    </row>
    <row r="26694" ht="14.25" customHeight="1" s="192">
      <c r="W26694" s="235" t="n"/>
      <c r="X26694" s="235" t="n"/>
    </row>
    <row r="26695" ht="14.25" customHeight="1" s="192">
      <c r="W26695" s="235" t="n"/>
      <c r="X26695" s="235" t="n"/>
    </row>
    <row r="26696" ht="14.25" customHeight="1" s="192">
      <c r="W26696" s="239" t="n"/>
      <c r="X26696" s="239" t="n"/>
    </row>
    <row r="26697" ht="14.25" customHeight="1" s="192">
      <c r="W26697" s="235" t="n"/>
      <c r="X26697" s="235" t="n"/>
    </row>
    <row r="26698" ht="14.25" customHeight="1" s="192">
      <c r="W26698" s="239" t="n"/>
      <c r="X26698" s="239" t="n"/>
    </row>
    <row r="26700" ht="14.25" customHeight="1" s="192">
      <c r="W26700" s="235" t="n"/>
      <c r="X26700" s="235" t="n"/>
    </row>
    <row r="26701" ht="15" customHeight="1" s="192" thickBot="1">
      <c r="W26701" s="239" t="n"/>
      <c r="X26701" s="239" t="n"/>
    </row>
    <row r="26702" ht="15" customHeight="1" s="192" thickBot="1">
      <c r="W26702" s="45" t="n"/>
      <c r="X26702" s="45" t="n"/>
    </row>
    <row r="26703" ht="14.25" customHeight="1" s="192">
      <c r="W26703" s="228" t="n"/>
      <c r="X26703" s="228" t="n"/>
    </row>
    <row r="26704" ht="14.25" customHeight="1" s="192">
      <c r="W26704" s="228" t="n"/>
      <c r="X26704" s="228" t="n"/>
    </row>
    <row r="26705" ht="14.25" customHeight="1" s="192">
      <c r="W26705" s="231" t="n"/>
      <c r="X26705" s="231" t="n"/>
    </row>
    <row r="26706" ht="14.25" customHeight="1" s="192">
      <c r="W26706" s="33" t="n"/>
      <c r="X26706" s="33" t="n"/>
    </row>
    <row r="26707" ht="14.25" customHeight="1" s="192">
      <c r="W26707" s="231" t="n"/>
      <c r="X26707" s="231" t="n"/>
    </row>
    <row r="26708" ht="14.25" customHeight="1" s="192">
      <c r="W26708" s="33" t="n"/>
      <c r="X26708" s="33" t="n"/>
    </row>
    <row r="26710" ht="14.25" customHeight="1" s="192">
      <c r="W26710" s="231" t="n"/>
      <c r="X26710" s="231" t="n"/>
    </row>
    <row r="26711" ht="14.25" customHeight="1" s="192">
      <c r="W26711" s="235" t="n"/>
      <c r="X26711" s="235" t="n"/>
    </row>
    <row r="26712" ht="14.25" customHeight="1" s="192">
      <c r="W26712" s="228" t="n"/>
      <c r="X26712" s="228" t="n"/>
    </row>
    <row r="26713" ht="14.25" customHeight="1" s="192">
      <c r="W26713" s="235" t="n"/>
      <c r="X26713" s="235" t="n"/>
    </row>
    <row r="26714" ht="14.25" customHeight="1" s="192">
      <c r="W26714" s="235" t="n"/>
      <c r="X26714" s="235" t="n"/>
    </row>
    <row r="26715" ht="14.25" customHeight="1" s="192">
      <c r="W26715" s="235" t="n"/>
      <c r="X26715" s="235" t="n"/>
    </row>
    <row r="26716" ht="14.25" customHeight="1" s="192">
      <c r="W26716" s="239" t="n"/>
      <c r="X26716" s="239" t="n"/>
    </row>
    <row r="26717" ht="14.25" customHeight="1" s="192">
      <c r="W26717" s="239" t="n"/>
      <c r="X26717" s="239" t="n"/>
    </row>
    <row r="26718" ht="14.25" customHeight="1" s="192">
      <c r="W26718" s="239" t="n"/>
      <c r="X26718" s="239" t="n"/>
    </row>
    <row r="26719" ht="14.25" customHeight="1" s="192">
      <c r="W26719" s="235" t="n"/>
      <c r="X26719" s="235" t="n"/>
    </row>
    <row r="26720" ht="14.25" customHeight="1" s="192">
      <c r="W26720" s="235" t="n"/>
      <c r="X26720" s="235" t="n"/>
    </row>
    <row r="26721" ht="14.25" customHeight="1" s="192">
      <c r="W26721" s="235" t="n"/>
      <c r="X26721" s="235" t="n"/>
    </row>
    <row r="26722" ht="14.25" customHeight="1" s="192">
      <c r="W26722" s="239" t="n"/>
      <c r="X26722" s="239" t="n"/>
    </row>
    <row r="26723" ht="14.25" customHeight="1" s="192">
      <c r="W26723" s="239" t="n"/>
      <c r="X26723" s="239" t="n"/>
    </row>
    <row r="26724" ht="14.25" customHeight="1" s="192">
      <c r="W26724" s="235" t="n"/>
      <c r="X26724" s="235" t="n"/>
    </row>
    <row r="26725" ht="14.25" customHeight="1" s="192">
      <c r="W26725" s="235" t="n"/>
      <c r="X26725" s="235" t="n"/>
    </row>
    <row r="26726" ht="14.25" customHeight="1" s="192">
      <c r="W26726" s="239" t="n"/>
      <c r="X26726" s="239" t="n"/>
    </row>
    <row r="26727" ht="14.25" customHeight="1" s="192">
      <c r="W26727" s="235" t="n"/>
      <c r="X26727" s="235" t="n"/>
    </row>
    <row r="26728" ht="14.25" customHeight="1" s="192">
      <c r="W26728" s="239" t="n"/>
      <c r="X26728" s="239" t="n"/>
    </row>
    <row r="26730" ht="14.25" customHeight="1" s="192">
      <c r="W26730" s="235" t="n"/>
      <c r="X26730" s="235" t="n"/>
    </row>
    <row r="26731" ht="15" customHeight="1" s="192" thickBot="1">
      <c r="W26731" s="239" t="n"/>
      <c r="X26731" s="239" t="n"/>
    </row>
    <row r="26732" ht="15" customHeight="1" s="192" thickBot="1">
      <c r="W26732" s="45" t="n"/>
      <c r="X26732" s="45" t="n"/>
    </row>
    <row r="26733" ht="14.25" customHeight="1" s="192">
      <c r="W26733" s="228" t="n"/>
      <c r="X26733" s="228" t="n"/>
    </row>
    <row r="26734" ht="14.25" customHeight="1" s="192">
      <c r="W26734" s="228" t="n"/>
      <c r="X26734" s="228" t="n"/>
    </row>
    <row r="26735" ht="14.25" customHeight="1" s="192">
      <c r="W26735" s="231" t="n"/>
      <c r="X26735" s="231" t="n"/>
    </row>
    <row r="26736" ht="14.25" customHeight="1" s="192">
      <c r="W26736" s="33" t="n"/>
      <c r="X26736" s="33" t="n"/>
    </row>
    <row r="26737" ht="14.25" customHeight="1" s="192">
      <c r="W26737" s="231" t="n"/>
      <c r="X26737" s="231" t="n"/>
    </row>
    <row r="26738" ht="14.25" customHeight="1" s="192">
      <c r="W26738" s="33" t="n"/>
      <c r="X26738" s="33" t="n"/>
    </row>
    <row r="26740" ht="14.25" customHeight="1" s="192">
      <c r="W26740" s="231" t="n"/>
      <c r="X26740" s="231" t="n"/>
    </row>
    <row r="26741" ht="14.25" customHeight="1" s="192">
      <c r="W26741" s="235" t="n"/>
      <c r="X26741" s="235" t="n"/>
    </row>
    <row r="26742" ht="14.25" customHeight="1" s="192">
      <c r="W26742" s="228" t="n"/>
      <c r="X26742" s="228" t="n"/>
    </row>
    <row r="26743" ht="14.25" customHeight="1" s="192">
      <c r="W26743" s="235" t="n"/>
      <c r="X26743" s="235" t="n"/>
    </row>
    <row r="26744" ht="14.25" customHeight="1" s="192">
      <c r="W26744" s="235" t="n"/>
      <c r="X26744" s="235" t="n"/>
    </row>
    <row r="26745" ht="14.25" customHeight="1" s="192">
      <c r="W26745" s="235" t="n"/>
      <c r="X26745" s="235" t="n"/>
    </row>
    <row r="26746" ht="14.25" customHeight="1" s="192">
      <c r="W26746" s="239" t="n"/>
      <c r="X26746" s="239" t="n"/>
    </row>
    <row r="26747" ht="14.25" customHeight="1" s="192">
      <c r="W26747" s="239" t="n"/>
      <c r="X26747" s="239" t="n"/>
    </row>
    <row r="26748" ht="14.25" customHeight="1" s="192">
      <c r="W26748" s="239" t="n"/>
      <c r="X26748" s="239" t="n"/>
    </row>
    <row r="26749" ht="14.25" customHeight="1" s="192">
      <c r="W26749" s="235" t="n"/>
      <c r="X26749" s="235" t="n"/>
    </row>
    <row r="26750" ht="14.25" customHeight="1" s="192">
      <c r="W26750" s="235" t="n"/>
      <c r="X26750" s="235" t="n"/>
    </row>
    <row r="26751" ht="14.25" customHeight="1" s="192">
      <c r="W26751" s="235" t="n"/>
      <c r="X26751" s="235" t="n"/>
    </row>
    <row r="26752" ht="14.25" customHeight="1" s="192">
      <c r="W26752" s="239" t="n"/>
      <c r="X26752" s="239" t="n"/>
    </row>
    <row r="26753" ht="14.25" customHeight="1" s="192">
      <c r="W26753" s="239" t="n"/>
      <c r="X26753" s="239" t="n"/>
    </row>
    <row r="26754" ht="14.25" customHeight="1" s="192">
      <c r="W26754" s="235" t="n"/>
      <c r="X26754" s="235" t="n"/>
    </row>
    <row r="26755" ht="14.25" customHeight="1" s="192">
      <c r="W26755" s="235" t="n"/>
      <c r="X26755" s="235" t="n"/>
    </row>
    <row r="26756" ht="14.25" customHeight="1" s="192">
      <c r="W26756" s="239" t="n"/>
      <c r="X26756" s="239" t="n"/>
    </row>
    <row r="26757" ht="14.25" customHeight="1" s="192">
      <c r="W26757" s="235" t="n"/>
      <c r="X26757" s="235" t="n"/>
    </row>
    <row r="26758" ht="14.25" customHeight="1" s="192">
      <c r="W26758" s="239" t="n"/>
      <c r="X26758" s="239" t="n"/>
    </row>
    <row r="26760" ht="14.25" customHeight="1" s="192">
      <c r="W26760" s="235" t="n"/>
      <c r="X26760" s="235" t="n"/>
    </row>
    <row r="26761" ht="15" customHeight="1" s="192" thickBot="1">
      <c r="W26761" s="239" t="n"/>
      <c r="X26761" s="239" t="n"/>
    </row>
    <row r="26762" ht="15" customHeight="1" s="192" thickBot="1">
      <c r="W26762" s="45" t="n"/>
      <c r="X26762" s="45" t="n"/>
    </row>
    <row r="26763" ht="14.25" customHeight="1" s="192">
      <c r="W26763" s="228" t="n"/>
      <c r="X26763" s="228" t="n"/>
    </row>
    <row r="26764" ht="14.25" customHeight="1" s="192">
      <c r="W26764" s="228" t="n"/>
      <c r="X26764" s="228" t="n"/>
    </row>
    <row r="26765" ht="14.25" customHeight="1" s="192">
      <c r="W26765" s="231" t="n"/>
      <c r="X26765" s="231" t="n"/>
    </row>
    <row r="26766" ht="14.25" customHeight="1" s="192">
      <c r="W26766" s="33" t="n"/>
      <c r="X26766" s="33" t="n"/>
    </row>
    <row r="26767" ht="14.25" customHeight="1" s="192">
      <c r="W26767" s="231" t="n"/>
      <c r="X26767" s="231" t="n"/>
    </row>
    <row r="26768" ht="14.25" customHeight="1" s="192">
      <c r="W26768" s="33" t="n"/>
      <c r="X26768" s="33" t="n"/>
    </row>
    <row r="26770" ht="14.25" customHeight="1" s="192">
      <c r="W26770" s="231" t="n"/>
      <c r="X26770" s="231" t="n"/>
    </row>
    <row r="26771" ht="14.25" customHeight="1" s="192">
      <c r="W26771" s="235" t="n"/>
      <c r="X26771" s="235" t="n"/>
    </row>
    <row r="26772" ht="14.25" customHeight="1" s="192">
      <c r="W26772" s="228" t="n"/>
      <c r="X26772" s="228" t="n"/>
    </row>
    <row r="26773" ht="14.25" customHeight="1" s="192">
      <c r="W26773" s="235" t="n"/>
      <c r="X26773" s="235" t="n"/>
    </row>
    <row r="26774" ht="14.25" customHeight="1" s="192">
      <c r="W26774" s="235" t="n"/>
      <c r="X26774" s="235" t="n"/>
    </row>
    <row r="26775" ht="14.25" customHeight="1" s="192">
      <c r="W26775" s="235" t="n"/>
      <c r="X26775" s="235" t="n"/>
    </row>
    <row r="26776" ht="14.25" customHeight="1" s="192">
      <c r="W26776" s="239" t="n"/>
      <c r="X26776" s="239" t="n"/>
    </row>
    <row r="26777" ht="14.25" customHeight="1" s="192">
      <c r="W26777" s="239" t="n"/>
      <c r="X26777" s="239" t="n"/>
    </row>
    <row r="26778" ht="14.25" customHeight="1" s="192">
      <c r="W26778" s="239" t="n"/>
      <c r="X26778" s="239" t="n"/>
    </row>
    <row r="26779" ht="14.25" customHeight="1" s="192">
      <c r="W26779" s="235" t="n"/>
      <c r="X26779" s="235" t="n"/>
    </row>
    <row r="26780" ht="14.25" customHeight="1" s="192">
      <c r="W26780" s="235" t="n"/>
      <c r="X26780" s="235" t="n"/>
    </row>
    <row r="26781" ht="14.25" customHeight="1" s="192">
      <c r="W26781" s="235" t="n"/>
      <c r="X26781" s="235" t="n"/>
    </row>
    <row r="26782" ht="14.25" customHeight="1" s="192">
      <c r="W26782" s="239" t="n"/>
      <c r="X26782" s="239" t="n"/>
    </row>
    <row r="26783" ht="14.25" customHeight="1" s="192">
      <c r="W26783" s="239" t="n"/>
      <c r="X26783" s="239" t="n"/>
    </row>
    <row r="26784" ht="14.25" customHeight="1" s="192">
      <c r="W26784" s="235" t="n"/>
      <c r="X26784" s="235" t="n"/>
    </row>
    <row r="26785" ht="14.25" customHeight="1" s="192">
      <c r="W26785" s="235" t="n"/>
      <c r="X26785" s="235" t="n"/>
    </row>
    <row r="26786" ht="14.25" customHeight="1" s="192">
      <c r="W26786" s="239" t="n"/>
      <c r="X26786" s="239" t="n"/>
    </row>
    <row r="26787" ht="14.25" customHeight="1" s="192">
      <c r="W26787" s="235" t="n"/>
      <c r="X26787" s="235" t="n"/>
    </row>
    <row r="26788" ht="14.25" customHeight="1" s="192">
      <c r="W26788" s="239" t="n"/>
      <c r="X26788" s="239" t="n"/>
    </row>
    <row r="26790" ht="14.25" customHeight="1" s="192">
      <c r="W26790" s="235" t="n"/>
      <c r="X26790" s="235" t="n"/>
    </row>
    <row r="26791" ht="15" customHeight="1" s="192" thickBot="1">
      <c r="W26791" s="239" t="n"/>
      <c r="X26791" s="239" t="n"/>
    </row>
    <row r="26792" ht="15" customHeight="1" s="192" thickBot="1">
      <c r="W26792" s="45" t="n"/>
      <c r="X26792" s="45" t="n"/>
    </row>
    <row r="26793" ht="14.25" customHeight="1" s="192">
      <c r="W26793" s="228" t="n"/>
      <c r="X26793" s="228" t="n"/>
    </row>
    <row r="26794" ht="14.25" customHeight="1" s="192">
      <c r="W26794" s="228" t="n"/>
      <c r="X26794" s="228" t="n"/>
    </row>
    <row r="26795" ht="14.25" customHeight="1" s="192">
      <c r="W26795" s="231" t="n"/>
      <c r="X26795" s="231" t="n"/>
    </row>
    <row r="26796" ht="14.25" customHeight="1" s="192">
      <c r="W26796" s="33" t="n"/>
      <c r="X26796" s="33" t="n"/>
    </row>
    <row r="26797" ht="14.25" customHeight="1" s="192">
      <c r="W26797" s="231" t="n"/>
      <c r="X26797" s="231" t="n"/>
    </row>
    <row r="26798" ht="14.25" customHeight="1" s="192">
      <c r="W26798" s="33" t="n"/>
      <c r="X26798" s="33" t="n"/>
    </row>
    <row r="26800" ht="14.25" customHeight="1" s="192">
      <c r="W26800" s="231" t="n"/>
      <c r="X26800" s="231" t="n"/>
    </row>
    <row r="26801" ht="14.25" customHeight="1" s="192">
      <c r="W26801" s="235" t="n"/>
      <c r="X26801" s="235" t="n"/>
    </row>
    <row r="26802" ht="14.25" customHeight="1" s="192">
      <c r="W26802" s="228" t="n"/>
      <c r="X26802" s="228" t="n"/>
    </row>
    <row r="26803" ht="14.25" customHeight="1" s="192">
      <c r="W26803" s="235" t="n"/>
      <c r="X26803" s="235" t="n"/>
    </row>
    <row r="26804" ht="14.25" customHeight="1" s="192">
      <c r="W26804" s="235" t="n"/>
      <c r="X26804" s="235" t="n"/>
    </row>
    <row r="26805" ht="14.25" customHeight="1" s="192">
      <c r="W26805" s="235" t="n"/>
      <c r="X26805" s="235" t="n"/>
    </row>
    <row r="26806" ht="14.25" customHeight="1" s="192">
      <c r="W26806" s="239" t="n"/>
      <c r="X26806" s="239" t="n"/>
    </row>
    <row r="26807" ht="14.25" customHeight="1" s="192">
      <c r="W26807" s="239" t="n"/>
      <c r="X26807" s="239" t="n"/>
    </row>
    <row r="26808" ht="14.25" customHeight="1" s="192">
      <c r="W26808" s="239" t="n"/>
      <c r="X26808" s="239" t="n"/>
    </row>
    <row r="26809" ht="14.25" customHeight="1" s="192">
      <c r="W26809" s="235" t="n"/>
      <c r="X26809" s="235" t="n"/>
    </row>
    <row r="26810" ht="14.25" customHeight="1" s="192">
      <c r="W26810" s="235" t="n"/>
      <c r="X26810" s="235" t="n"/>
    </row>
    <row r="26811" ht="14.25" customHeight="1" s="192">
      <c r="W26811" s="235" t="n"/>
      <c r="X26811" s="235" t="n"/>
    </row>
    <row r="26812" ht="14.25" customHeight="1" s="192">
      <c r="W26812" s="239" t="n"/>
      <c r="X26812" s="239" t="n"/>
    </row>
    <row r="26813" ht="14.25" customHeight="1" s="192">
      <c r="W26813" s="239" t="n"/>
      <c r="X26813" s="239" t="n"/>
    </row>
    <row r="26814" ht="14.25" customHeight="1" s="192">
      <c r="W26814" s="235" t="n"/>
      <c r="X26814" s="235" t="n"/>
    </row>
    <row r="26815" ht="14.25" customHeight="1" s="192">
      <c r="W26815" s="235" t="n"/>
      <c r="X26815" s="235" t="n"/>
    </row>
    <row r="26816" ht="14.25" customHeight="1" s="192">
      <c r="W26816" s="239" t="n"/>
      <c r="X26816" s="239" t="n"/>
    </row>
    <row r="26817" ht="14.25" customHeight="1" s="192">
      <c r="W26817" s="235" t="n"/>
      <c r="X26817" s="235" t="n"/>
    </row>
    <row r="26818" ht="14.25" customHeight="1" s="192">
      <c r="W26818" s="239" t="n"/>
      <c r="X26818" s="239" t="n"/>
    </row>
    <row r="26820" ht="14.25" customHeight="1" s="192">
      <c r="W26820" s="235" t="n"/>
      <c r="X26820" s="235" t="n"/>
    </row>
    <row r="26821" ht="15" customHeight="1" s="192" thickBot="1">
      <c r="W26821" s="239" t="n"/>
      <c r="X26821" s="239" t="n"/>
    </row>
    <row r="26822" ht="15" customHeight="1" s="192" thickBot="1">
      <c r="W26822" s="45" t="n"/>
      <c r="X26822" s="45" t="n"/>
    </row>
    <row r="26823" ht="14.25" customHeight="1" s="192">
      <c r="W26823" s="228" t="n"/>
      <c r="X26823" s="228" t="n"/>
    </row>
    <row r="26824" ht="14.25" customHeight="1" s="192">
      <c r="W26824" s="228" t="n"/>
      <c r="X26824" s="228" t="n"/>
    </row>
    <row r="26825" ht="14.25" customHeight="1" s="192">
      <c r="W26825" s="231" t="n"/>
      <c r="X26825" s="231" t="n"/>
    </row>
    <row r="26826" ht="14.25" customHeight="1" s="192">
      <c r="W26826" s="33" t="n"/>
      <c r="X26826" s="33" t="n"/>
    </row>
    <row r="26827" ht="14.25" customHeight="1" s="192">
      <c r="W26827" s="231" t="n"/>
      <c r="X26827" s="231" t="n"/>
    </row>
    <row r="26828" ht="14.25" customHeight="1" s="192">
      <c r="W26828" s="33" t="n"/>
      <c r="X26828" s="33" t="n"/>
    </row>
    <row r="26830" ht="14.25" customHeight="1" s="192">
      <c r="W26830" s="231" t="n"/>
      <c r="X26830" s="231" t="n"/>
    </row>
    <row r="26831" ht="14.25" customHeight="1" s="192">
      <c r="W26831" s="235" t="n"/>
      <c r="X26831" s="235" t="n"/>
    </row>
    <row r="26832" ht="14.25" customHeight="1" s="192">
      <c r="W26832" s="228" t="n"/>
      <c r="X26832" s="228" t="n"/>
    </row>
    <row r="26833" ht="14.25" customHeight="1" s="192">
      <c r="W26833" s="235" t="n"/>
      <c r="X26833" s="235" t="n"/>
    </row>
    <row r="26834" ht="14.25" customHeight="1" s="192">
      <c r="W26834" s="235" t="n"/>
      <c r="X26834" s="235" t="n"/>
    </row>
    <row r="26835" ht="14.25" customHeight="1" s="192">
      <c r="W26835" s="235" t="n"/>
      <c r="X26835" s="235" t="n"/>
    </row>
    <row r="26836" ht="14.25" customHeight="1" s="192">
      <c r="W26836" s="239" t="n"/>
      <c r="X26836" s="239" t="n"/>
    </row>
    <row r="26837" ht="14.25" customHeight="1" s="192">
      <c r="W26837" s="239" t="n"/>
      <c r="X26837" s="239" t="n"/>
    </row>
    <row r="26838" ht="14.25" customHeight="1" s="192">
      <c r="W26838" s="239" t="n"/>
      <c r="X26838" s="239" t="n"/>
    </row>
    <row r="26839" ht="14.25" customHeight="1" s="192">
      <c r="W26839" s="235" t="n"/>
      <c r="X26839" s="235" t="n"/>
    </row>
    <row r="26840" ht="14.25" customHeight="1" s="192">
      <c r="W26840" s="235" t="n"/>
      <c r="X26840" s="235" t="n"/>
    </row>
    <row r="26841" ht="14.25" customHeight="1" s="192">
      <c r="W26841" s="235" t="n"/>
      <c r="X26841" s="235" t="n"/>
    </row>
    <row r="26842" ht="14.25" customHeight="1" s="192">
      <c r="W26842" s="239" t="n"/>
      <c r="X26842" s="239" t="n"/>
    </row>
    <row r="26843" ht="14.25" customHeight="1" s="192">
      <c r="W26843" s="239" t="n"/>
      <c r="X26843" s="239" t="n"/>
    </row>
    <row r="26844" ht="14.25" customHeight="1" s="192">
      <c r="W26844" s="235" t="n"/>
      <c r="X26844" s="235" t="n"/>
    </row>
    <row r="26845" ht="14.25" customHeight="1" s="192">
      <c r="W26845" s="235" t="n"/>
      <c r="X26845" s="235" t="n"/>
    </row>
    <row r="26846" ht="14.25" customHeight="1" s="192">
      <c r="W26846" s="239" t="n"/>
      <c r="X26846" s="239" t="n"/>
    </row>
    <row r="26847" ht="14.25" customHeight="1" s="192">
      <c r="W26847" s="235" t="n"/>
      <c r="X26847" s="235" t="n"/>
    </row>
    <row r="26848" ht="14.25" customHeight="1" s="192">
      <c r="W26848" s="239" t="n"/>
      <c r="X26848" s="239" t="n"/>
    </row>
    <row r="26850" ht="14.25" customHeight="1" s="192">
      <c r="W26850" s="235" t="n"/>
      <c r="X26850" s="235" t="n"/>
    </row>
    <row r="26851" ht="15" customHeight="1" s="192" thickBot="1">
      <c r="W26851" s="239" t="n"/>
      <c r="X26851" s="239" t="n"/>
    </row>
    <row r="26852" ht="15" customHeight="1" s="192" thickBot="1">
      <c r="W26852" s="45" t="n"/>
      <c r="X26852" s="45" t="n"/>
    </row>
    <row r="26853" ht="14.25" customHeight="1" s="192">
      <c r="W26853" s="228" t="n"/>
      <c r="X26853" s="228" t="n"/>
    </row>
    <row r="26854" ht="14.25" customHeight="1" s="192">
      <c r="W26854" s="228" t="n"/>
      <c r="X26854" s="228" t="n"/>
    </row>
    <row r="26855" ht="14.25" customHeight="1" s="192">
      <c r="W26855" s="231" t="n"/>
      <c r="X26855" s="231" t="n"/>
    </row>
    <row r="26856" ht="14.25" customHeight="1" s="192">
      <c r="W26856" s="33" t="n"/>
      <c r="X26856" s="33" t="n"/>
    </row>
    <row r="26857" ht="14.25" customHeight="1" s="192">
      <c r="W26857" s="231" t="n"/>
      <c r="X26857" s="231" t="n"/>
    </row>
    <row r="26858" ht="14.25" customHeight="1" s="192">
      <c r="W26858" s="33" t="n"/>
      <c r="X26858" s="33" t="n"/>
    </row>
    <row r="26860" ht="14.25" customHeight="1" s="192">
      <c r="W26860" s="231" t="n"/>
      <c r="X26860" s="231" t="n"/>
    </row>
    <row r="26861" ht="14.25" customHeight="1" s="192">
      <c r="W26861" s="235" t="n"/>
      <c r="X26861" s="235" t="n"/>
    </row>
    <row r="26862" ht="14.25" customHeight="1" s="192">
      <c r="W26862" s="228" t="n"/>
      <c r="X26862" s="228" t="n"/>
    </row>
    <row r="26863" ht="14.25" customHeight="1" s="192">
      <c r="W26863" s="235" t="n"/>
      <c r="X26863" s="235" t="n"/>
    </row>
    <row r="26864" ht="14.25" customHeight="1" s="192">
      <c r="W26864" s="235" t="n"/>
      <c r="X26864" s="235" t="n"/>
    </row>
    <row r="26865" ht="14.25" customHeight="1" s="192">
      <c r="W26865" s="235" t="n"/>
      <c r="X26865" s="235" t="n"/>
    </row>
    <row r="26866" ht="14.25" customHeight="1" s="192">
      <c r="W26866" s="239" t="n"/>
      <c r="X26866" s="239" t="n"/>
    </row>
    <row r="26867" ht="14.25" customHeight="1" s="192">
      <c r="W26867" s="239" t="n"/>
      <c r="X26867" s="239" t="n"/>
    </row>
    <row r="26868" ht="14.25" customHeight="1" s="192">
      <c r="W26868" s="239" t="n"/>
      <c r="X26868" s="239" t="n"/>
    </row>
    <row r="26869" ht="14.25" customHeight="1" s="192">
      <c r="W26869" s="235" t="n"/>
      <c r="X26869" s="235" t="n"/>
    </row>
    <row r="26870" ht="14.25" customHeight="1" s="192">
      <c r="W26870" s="235" t="n"/>
      <c r="X26870" s="235" t="n"/>
    </row>
    <row r="26871" ht="14.25" customHeight="1" s="192">
      <c r="W26871" s="235" t="n"/>
      <c r="X26871" s="235" t="n"/>
    </row>
    <row r="26872" ht="14.25" customHeight="1" s="192">
      <c r="W26872" s="239" t="n"/>
      <c r="X26872" s="239" t="n"/>
    </row>
    <row r="26873" ht="14.25" customHeight="1" s="192">
      <c r="W26873" s="239" t="n"/>
      <c r="X26873" s="239" t="n"/>
    </row>
    <row r="26874" ht="14.25" customHeight="1" s="192">
      <c r="W26874" s="235" t="n"/>
      <c r="X26874" s="235" t="n"/>
    </row>
    <row r="26875" ht="14.25" customHeight="1" s="192">
      <c r="W26875" s="235" t="n"/>
      <c r="X26875" s="235" t="n"/>
    </row>
    <row r="26876" ht="14.25" customHeight="1" s="192">
      <c r="W26876" s="239" t="n"/>
      <c r="X26876" s="239" t="n"/>
    </row>
    <row r="26877" ht="14.25" customHeight="1" s="192">
      <c r="W26877" s="235" t="n"/>
      <c r="X26877" s="235" t="n"/>
    </row>
    <row r="26878" ht="14.25" customHeight="1" s="192">
      <c r="W26878" s="239" t="n"/>
      <c r="X26878" s="239" t="n"/>
    </row>
    <row r="26880" ht="14.25" customHeight="1" s="192">
      <c r="W26880" s="235" t="n"/>
      <c r="X26880" s="235" t="n"/>
    </row>
    <row r="26881" ht="15" customHeight="1" s="192" thickBot="1">
      <c r="W26881" s="239" t="n"/>
      <c r="X26881" s="239" t="n"/>
    </row>
    <row r="26882" ht="15" customHeight="1" s="192" thickBot="1">
      <c r="W26882" s="45" t="n"/>
      <c r="X26882" s="45" t="n"/>
    </row>
    <row r="26883" ht="14.25" customHeight="1" s="192">
      <c r="W26883" s="228" t="n"/>
      <c r="X26883" s="228" t="n"/>
    </row>
    <row r="26884" ht="14.25" customHeight="1" s="192">
      <c r="W26884" s="228" t="n"/>
      <c r="X26884" s="228" t="n"/>
    </row>
    <row r="26885" ht="14.25" customHeight="1" s="192">
      <c r="W26885" s="231" t="n"/>
      <c r="X26885" s="231" t="n"/>
    </row>
    <row r="26886" ht="14.25" customHeight="1" s="192">
      <c r="W26886" s="33" t="n"/>
      <c r="X26886" s="33" t="n"/>
    </row>
    <row r="26887" ht="14.25" customHeight="1" s="192">
      <c r="W26887" s="231" t="n"/>
      <c r="X26887" s="231" t="n"/>
    </row>
    <row r="26888" ht="14.25" customHeight="1" s="192">
      <c r="W26888" s="33" t="n"/>
      <c r="X26888" s="33" t="n"/>
    </row>
    <row r="26890" ht="14.25" customHeight="1" s="192">
      <c r="W26890" s="231" t="n"/>
      <c r="X26890" s="231" t="n"/>
    </row>
    <row r="26891" ht="14.25" customHeight="1" s="192">
      <c r="W26891" s="235" t="n"/>
      <c r="X26891" s="235" t="n"/>
    </row>
    <row r="26892" ht="14.25" customHeight="1" s="192">
      <c r="W26892" s="228" t="n"/>
      <c r="X26892" s="228" t="n"/>
    </row>
    <row r="26893" ht="14.25" customHeight="1" s="192">
      <c r="W26893" s="235" t="n"/>
      <c r="X26893" s="235" t="n"/>
    </row>
    <row r="26894" ht="14.25" customHeight="1" s="192">
      <c r="W26894" s="235" t="n"/>
      <c r="X26894" s="235" t="n"/>
    </row>
    <row r="26895" ht="14.25" customHeight="1" s="192">
      <c r="W26895" s="235" t="n"/>
      <c r="X26895" s="235" t="n"/>
    </row>
    <row r="26896" ht="14.25" customHeight="1" s="192">
      <c r="W26896" s="239" t="n"/>
      <c r="X26896" s="239" t="n"/>
    </row>
    <row r="26897" ht="14.25" customHeight="1" s="192">
      <c r="W26897" s="239" t="n"/>
      <c r="X26897" s="239" t="n"/>
    </row>
    <row r="26898" ht="14.25" customHeight="1" s="192">
      <c r="W26898" s="239" t="n"/>
      <c r="X26898" s="239" t="n"/>
    </row>
    <row r="26899" ht="14.25" customHeight="1" s="192">
      <c r="W26899" s="235" t="n"/>
      <c r="X26899" s="235" t="n"/>
    </row>
    <row r="26900" ht="14.25" customHeight="1" s="192">
      <c r="W26900" s="235" t="n"/>
      <c r="X26900" s="235" t="n"/>
    </row>
    <row r="26901" ht="14.25" customHeight="1" s="192">
      <c r="W26901" s="235" t="n"/>
      <c r="X26901" s="235" t="n"/>
    </row>
    <row r="26902" ht="14.25" customHeight="1" s="192">
      <c r="W26902" s="239" t="n"/>
      <c r="X26902" s="239" t="n"/>
    </row>
    <row r="26903" ht="14.25" customHeight="1" s="192">
      <c r="W26903" s="239" t="n"/>
      <c r="X26903" s="239" t="n"/>
    </row>
    <row r="26904" ht="14.25" customHeight="1" s="192">
      <c r="W26904" s="235" t="n"/>
      <c r="X26904" s="235" t="n"/>
    </row>
    <row r="26905" ht="14.25" customHeight="1" s="192">
      <c r="W26905" s="235" t="n"/>
      <c r="X26905" s="235" t="n"/>
    </row>
    <row r="26906" ht="14.25" customHeight="1" s="192">
      <c r="W26906" s="239" t="n"/>
      <c r="X26906" s="239" t="n"/>
    </row>
    <row r="26907" ht="14.25" customHeight="1" s="192">
      <c r="W26907" s="235" t="n"/>
      <c r="X26907" s="235" t="n"/>
    </row>
    <row r="26908" ht="14.25" customHeight="1" s="192">
      <c r="W26908" s="239" t="n"/>
      <c r="X26908" s="239" t="n"/>
    </row>
    <row r="26910" ht="14.25" customHeight="1" s="192">
      <c r="W26910" s="235" t="n"/>
      <c r="X26910" s="235" t="n"/>
    </row>
    <row r="26911" ht="15" customHeight="1" s="192" thickBot="1">
      <c r="W26911" s="239" t="n"/>
      <c r="X26911" s="239" t="n"/>
    </row>
    <row r="26912" ht="15" customHeight="1" s="192" thickBot="1">
      <c r="W26912" s="45" t="n"/>
      <c r="X26912" s="45" t="n"/>
    </row>
    <row r="26913" ht="14.25" customHeight="1" s="192">
      <c r="W26913" s="228" t="n"/>
      <c r="X26913" s="228" t="n"/>
    </row>
    <row r="26914" ht="14.25" customHeight="1" s="192">
      <c r="W26914" s="228" t="n"/>
      <c r="X26914" s="228" t="n"/>
    </row>
    <row r="26915" ht="14.25" customHeight="1" s="192">
      <c r="W26915" s="231" t="n"/>
      <c r="X26915" s="231" t="n"/>
    </row>
    <row r="26916" ht="14.25" customHeight="1" s="192">
      <c r="W26916" s="33" t="n"/>
      <c r="X26916" s="33" t="n"/>
    </row>
    <row r="26917" ht="14.25" customHeight="1" s="192">
      <c r="W26917" s="231" t="n"/>
      <c r="X26917" s="231" t="n"/>
    </row>
    <row r="26918" ht="14.25" customHeight="1" s="192">
      <c r="W26918" s="33" t="n"/>
      <c r="X26918" s="33" t="n"/>
    </row>
    <row r="26920" ht="14.25" customHeight="1" s="192">
      <c r="W26920" s="231" t="n"/>
      <c r="X26920" s="231" t="n"/>
    </row>
    <row r="26921" ht="14.25" customHeight="1" s="192">
      <c r="W26921" s="235" t="n"/>
      <c r="X26921" s="235" t="n"/>
    </row>
    <row r="26922" ht="14.25" customHeight="1" s="192">
      <c r="W26922" s="228" t="n"/>
      <c r="X26922" s="228" t="n"/>
    </row>
    <row r="26923" ht="14.25" customHeight="1" s="192">
      <c r="W26923" s="235" t="n"/>
      <c r="X26923" s="235" t="n"/>
    </row>
    <row r="26924" ht="14.25" customHeight="1" s="192">
      <c r="W26924" s="235" t="n"/>
      <c r="X26924" s="235" t="n"/>
    </row>
    <row r="26925" ht="14.25" customHeight="1" s="192">
      <c r="W26925" s="235" t="n"/>
      <c r="X26925" s="235" t="n"/>
    </row>
    <row r="26926" ht="14.25" customHeight="1" s="192">
      <c r="W26926" s="239" t="n"/>
      <c r="X26926" s="239" t="n"/>
    </row>
    <row r="26927" ht="14.25" customHeight="1" s="192">
      <c r="W26927" s="239" t="n"/>
      <c r="X26927" s="239" t="n"/>
    </row>
    <row r="26928" ht="14.25" customHeight="1" s="192">
      <c r="W26928" s="239" t="n"/>
      <c r="X26928" s="239" t="n"/>
    </row>
    <row r="26929" ht="14.25" customHeight="1" s="192">
      <c r="W26929" s="235" t="n"/>
      <c r="X26929" s="235" t="n"/>
    </row>
    <row r="26930" ht="14.25" customHeight="1" s="192">
      <c r="W26930" s="235" t="n"/>
      <c r="X26930" s="235" t="n"/>
    </row>
    <row r="26931" ht="14.25" customHeight="1" s="192">
      <c r="W26931" s="235" t="n"/>
      <c r="X26931" s="235" t="n"/>
    </row>
    <row r="26932" ht="14.25" customHeight="1" s="192">
      <c r="W26932" s="239" t="n"/>
      <c r="X26932" s="239" t="n"/>
    </row>
    <row r="26933" ht="14.25" customHeight="1" s="192">
      <c r="W26933" s="239" t="n"/>
      <c r="X26933" s="239" t="n"/>
    </row>
    <row r="26934" ht="14.25" customHeight="1" s="192">
      <c r="W26934" s="235" t="n"/>
      <c r="X26934" s="235" t="n"/>
    </row>
    <row r="26935" ht="14.25" customHeight="1" s="192">
      <c r="W26935" s="235" t="n"/>
      <c r="X26935" s="235" t="n"/>
    </row>
    <row r="26936" ht="14.25" customHeight="1" s="192">
      <c r="W26936" s="239" t="n"/>
      <c r="X26936" s="239" t="n"/>
    </row>
    <row r="26937" ht="14.25" customHeight="1" s="192">
      <c r="W26937" s="235" t="n"/>
      <c r="X26937" s="235" t="n"/>
    </row>
    <row r="26938" ht="14.25" customHeight="1" s="192">
      <c r="W26938" s="239" t="n"/>
      <c r="X26938" s="239" t="n"/>
    </row>
    <row r="26940" ht="14.25" customHeight="1" s="192">
      <c r="W26940" s="235" t="n"/>
      <c r="X26940" s="235" t="n"/>
    </row>
    <row r="26941" ht="15" customHeight="1" s="192" thickBot="1">
      <c r="W26941" s="239" t="n"/>
      <c r="X26941" s="239" t="n"/>
    </row>
    <row r="26942" ht="15" customHeight="1" s="192" thickBot="1">
      <c r="W26942" s="45" t="n"/>
      <c r="X26942" s="45" t="n"/>
    </row>
    <row r="26943" ht="14.25" customHeight="1" s="192">
      <c r="W26943" s="228" t="n"/>
      <c r="X26943" s="228" t="n"/>
    </row>
    <row r="26944" ht="14.25" customHeight="1" s="192">
      <c r="W26944" s="228" t="n"/>
      <c r="X26944" s="228" t="n"/>
    </row>
    <row r="26945" ht="14.25" customHeight="1" s="192">
      <c r="W26945" s="231" t="n"/>
      <c r="X26945" s="231" t="n"/>
    </row>
    <row r="26946" ht="14.25" customHeight="1" s="192">
      <c r="W26946" s="33" t="n"/>
      <c r="X26946" s="33" t="n"/>
    </row>
    <row r="26947" ht="14.25" customHeight="1" s="192">
      <c r="W26947" s="231" t="n"/>
      <c r="X26947" s="231" t="n"/>
    </row>
    <row r="26948" ht="14.25" customHeight="1" s="192">
      <c r="W26948" s="33" t="n"/>
      <c r="X26948" s="33" t="n"/>
    </row>
    <row r="26950" ht="14.25" customHeight="1" s="192">
      <c r="W26950" s="231" t="n"/>
      <c r="X26950" s="231" t="n"/>
    </row>
    <row r="26951" ht="14.25" customHeight="1" s="192">
      <c r="W26951" s="235" t="n"/>
      <c r="X26951" s="235" t="n"/>
    </row>
    <row r="26952" ht="14.25" customHeight="1" s="192">
      <c r="W26952" s="228" t="n"/>
      <c r="X26952" s="228" t="n"/>
    </row>
    <row r="26953" ht="14.25" customHeight="1" s="192">
      <c r="W26953" s="235" t="n"/>
      <c r="X26953" s="235" t="n"/>
    </row>
    <row r="26954" ht="14.25" customHeight="1" s="192">
      <c r="W26954" s="235" t="n"/>
      <c r="X26954" s="235" t="n"/>
    </row>
    <row r="26955" ht="14.25" customHeight="1" s="192">
      <c r="W26955" s="235" t="n"/>
      <c r="X26955" s="235" t="n"/>
    </row>
    <row r="26956" ht="14.25" customHeight="1" s="192">
      <c r="W26956" s="239" t="n"/>
      <c r="X26956" s="239" t="n"/>
    </row>
    <row r="26957" ht="14.25" customHeight="1" s="192">
      <c r="W26957" s="239" t="n"/>
      <c r="X26957" s="239" t="n"/>
    </row>
    <row r="26958" ht="14.25" customHeight="1" s="192">
      <c r="W26958" s="239" t="n"/>
      <c r="X26958" s="239" t="n"/>
    </row>
    <row r="26959" ht="14.25" customHeight="1" s="192">
      <c r="W26959" s="235" t="n"/>
      <c r="X26959" s="235" t="n"/>
    </row>
    <row r="26960" ht="14.25" customHeight="1" s="192">
      <c r="W26960" s="235" t="n"/>
      <c r="X26960" s="235" t="n"/>
    </row>
    <row r="26961" ht="14.25" customHeight="1" s="192">
      <c r="W26961" s="235" t="n"/>
      <c r="X26961" s="235" t="n"/>
    </row>
    <row r="26962" ht="14.25" customHeight="1" s="192">
      <c r="W26962" s="239" t="n"/>
      <c r="X26962" s="239" t="n"/>
    </row>
    <row r="26963" ht="14.25" customHeight="1" s="192">
      <c r="W26963" s="239" t="n"/>
      <c r="X26963" s="239" t="n"/>
    </row>
    <row r="26964" ht="14.25" customHeight="1" s="192">
      <c r="W26964" s="235" t="n"/>
      <c r="X26964" s="235" t="n"/>
    </row>
    <row r="26965" ht="14.25" customHeight="1" s="192">
      <c r="W26965" s="235" t="n"/>
      <c r="X26965" s="235" t="n"/>
    </row>
    <row r="26966" ht="14.25" customHeight="1" s="192">
      <c r="W26966" s="239" t="n"/>
      <c r="X26966" s="239" t="n"/>
    </row>
    <row r="26967" ht="14.25" customHeight="1" s="192">
      <c r="W26967" s="235" t="n"/>
      <c r="X26967" s="235" t="n"/>
    </row>
    <row r="26968" ht="14.25" customHeight="1" s="192">
      <c r="W26968" s="239" t="n"/>
      <c r="X26968" s="239" t="n"/>
    </row>
    <row r="26970" ht="14.25" customHeight="1" s="192">
      <c r="W26970" s="235" t="n"/>
      <c r="X26970" s="235" t="n"/>
    </row>
    <row r="26971" ht="15" customHeight="1" s="192" thickBot="1">
      <c r="W26971" s="239" t="n"/>
      <c r="X26971" s="239" t="n"/>
    </row>
    <row r="26972" ht="15" customHeight="1" s="192" thickBot="1">
      <c r="W26972" s="45" t="n"/>
      <c r="X26972" s="45" t="n"/>
    </row>
    <row r="26973" ht="14.25" customHeight="1" s="192">
      <c r="W26973" s="228" t="n"/>
      <c r="X26973" s="228" t="n"/>
    </row>
    <row r="26974" ht="14.25" customHeight="1" s="192">
      <c r="W26974" s="228" t="n"/>
      <c r="X26974" s="228" t="n"/>
    </row>
    <row r="26975" ht="14.25" customHeight="1" s="192">
      <c r="W26975" s="231" t="n"/>
      <c r="X26975" s="231" t="n"/>
    </row>
    <row r="26976" ht="14.25" customHeight="1" s="192">
      <c r="W26976" s="33" t="n"/>
      <c r="X26976" s="33" t="n"/>
    </row>
    <row r="26977" ht="14.25" customHeight="1" s="192">
      <c r="W26977" s="231" t="n"/>
      <c r="X26977" s="231" t="n"/>
    </row>
    <row r="26978" ht="14.25" customHeight="1" s="192">
      <c r="W26978" s="33" t="n"/>
      <c r="X26978" s="33" t="n"/>
    </row>
    <row r="26980" ht="14.25" customHeight="1" s="192">
      <c r="W26980" s="231" t="n"/>
      <c r="X26980" s="231" t="n"/>
    </row>
    <row r="26981" ht="14.25" customHeight="1" s="192">
      <c r="W26981" s="235" t="n"/>
      <c r="X26981" s="235" t="n"/>
    </row>
    <row r="26982" ht="14.25" customHeight="1" s="192">
      <c r="W26982" s="228" t="n"/>
      <c r="X26982" s="228" t="n"/>
    </row>
    <row r="26983" ht="14.25" customHeight="1" s="192">
      <c r="W26983" s="235" t="n"/>
      <c r="X26983" s="235" t="n"/>
    </row>
    <row r="26984" ht="14.25" customHeight="1" s="192">
      <c r="W26984" s="235" t="n"/>
      <c r="X26984" s="235" t="n"/>
    </row>
    <row r="26985" ht="14.25" customHeight="1" s="192">
      <c r="W26985" s="235" t="n"/>
      <c r="X26985" s="235" t="n"/>
    </row>
    <row r="26986" ht="14.25" customHeight="1" s="192">
      <c r="W26986" s="239" t="n"/>
      <c r="X26986" s="239" t="n"/>
    </row>
    <row r="26987" ht="14.25" customHeight="1" s="192">
      <c r="W26987" s="239" t="n"/>
      <c r="X26987" s="239" t="n"/>
    </row>
    <row r="26988" ht="14.25" customHeight="1" s="192">
      <c r="W26988" s="239" t="n"/>
      <c r="X26988" s="239" t="n"/>
    </row>
    <row r="26989" ht="14.25" customHeight="1" s="192">
      <c r="W26989" s="235" t="n"/>
      <c r="X26989" s="235" t="n"/>
    </row>
    <row r="26990" ht="14.25" customHeight="1" s="192">
      <c r="W26990" s="235" t="n"/>
      <c r="X26990" s="235" t="n"/>
    </row>
    <row r="26991" ht="14.25" customHeight="1" s="192">
      <c r="W26991" s="235" t="n"/>
      <c r="X26991" s="235" t="n"/>
    </row>
    <row r="26992" ht="14.25" customHeight="1" s="192">
      <c r="W26992" s="239" t="n"/>
      <c r="X26992" s="239" t="n"/>
    </row>
    <row r="26993" ht="14.25" customHeight="1" s="192">
      <c r="W26993" s="239" t="n"/>
      <c r="X26993" s="239" t="n"/>
    </row>
    <row r="26994" ht="14.25" customHeight="1" s="192">
      <c r="W26994" s="235" t="n"/>
      <c r="X26994" s="235" t="n"/>
    </row>
    <row r="26995" ht="14.25" customHeight="1" s="192">
      <c r="W26995" s="235" t="n"/>
      <c r="X26995" s="235" t="n"/>
    </row>
    <row r="26996" ht="14.25" customHeight="1" s="192">
      <c r="W26996" s="239" t="n"/>
      <c r="X26996" s="239" t="n"/>
    </row>
    <row r="26997" ht="14.25" customHeight="1" s="192">
      <c r="W26997" s="235" t="n"/>
      <c r="X26997" s="235" t="n"/>
    </row>
    <row r="26998" ht="14.25" customHeight="1" s="192">
      <c r="W26998" s="239" t="n"/>
      <c r="X26998" s="239" t="n"/>
    </row>
    <row r="27000" ht="14.25" customHeight="1" s="192">
      <c r="W27000" s="235" t="n"/>
      <c r="X27000" s="235" t="n"/>
    </row>
    <row r="27001" ht="15" customHeight="1" s="192" thickBot="1">
      <c r="W27001" s="239" t="n"/>
      <c r="X27001" s="239" t="n"/>
    </row>
    <row r="27002" ht="15" customHeight="1" s="192" thickBot="1">
      <c r="W27002" s="45" t="n"/>
      <c r="X27002" s="45" t="n"/>
    </row>
    <row r="27003" ht="14.25" customHeight="1" s="192">
      <c r="W27003" s="228" t="n"/>
      <c r="X27003" s="228" t="n"/>
    </row>
    <row r="27004" ht="14.25" customHeight="1" s="192">
      <c r="W27004" s="228" t="n"/>
      <c r="X27004" s="228" t="n"/>
    </row>
    <row r="27005" ht="14.25" customHeight="1" s="192">
      <c r="W27005" s="231" t="n"/>
      <c r="X27005" s="231" t="n"/>
    </row>
    <row r="27006" ht="14.25" customHeight="1" s="192">
      <c r="W27006" s="33" t="n"/>
      <c r="X27006" s="33" t="n"/>
    </row>
    <row r="27007" ht="14.25" customHeight="1" s="192">
      <c r="W27007" s="231" t="n"/>
      <c r="X27007" s="231" t="n"/>
    </row>
    <row r="27008" ht="14.25" customHeight="1" s="192">
      <c r="W27008" s="33" t="n"/>
      <c r="X27008" s="33" t="n"/>
    </row>
    <row r="27010" ht="14.25" customHeight="1" s="192">
      <c r="W27010" s="231" t="n"/>
      <c r="X27010" s="231" t="n"/>
    </row>
    <row r="27011" ht="14.25" customHeight="1" s="192">
      <c r="W27011" s="235" t="n"/>
      <c r="X27011" s="235" t="n"/>
    </row>
    <row r="27012" ht="14.25" customHeight="1" s="192">
      <c r="W27012" s="228" t="n"/>
      <c r="X27012" s="228" t="n"/>
    </row>
    <row r="27013" ht="14.25" customHeight="1" s="192">
      <c r="W27013" s="235" t="n"/>
      <c r="X27013" s="235" t="n"/>
    </row>
    <row r="27014" ht="14.25" customHeight="1" s="192">
      <c r="W27014" s="235" t="n"/>
      <c r="X27014" s="235" t="n"/>
    </row>
    <row r="27015" ht="14.25" customHeight="1" s="192">
      <c r="W27015" s="235" t="n"/>
      <c r="X27015" s="235" t="n"/>
    </row>
    <row r="27016" ht="14.25" customHeight="1" s="192">
      <c r="W27016" s="239" t="n"/>
      <c r="X27016" s="239" t="n"/>
    </row>
    <row r="27017" ht="14.25" customHeight="1" s="192">
      <c r="W27017" s="239" t="n"/>
      <c r="X27017" s="239" t="n"/>
    </row>
    <row r="27018" ht="14.25" customHeight="1" s="192">
      <c r="W27018" s="239" t="n"/>
      <c r="X27018" s="239" t="n"/>
    </row>
    <row r="27019" ht="14.25" customHeight="1" s="192">
      <c r="W27019" s="235" t="n"/>
      <c r="X27019" s="235" t="n"/>
    </row>
    <row r="27020" ht="14.25" customHeight="1" s="192">
      <c r="W27020" s="235" t="n"/>
      <c r="X27020" s="235" t="n"/>
    </row>
    <row r="27021" ht="14.25" customHeight="1" s="192">
      <c r="W27021" s="235" t="n"/>
      <c r="X27021" s="235" t="n"/>
    </row>
    <row r="27022" ht="14.25" customHeight="1" s="192">
      <c r="W27022" s="239" t="n"/>
      <c r="X27022" s="239" t="n"/>
    </row>
    <row r="27023" ht="14.25" customHeight="1" s="192">
      <c r="W27023" s="239" t="n"/>
      <c r="X27023" s="239" t="n"/>
    </row>
    <row r="27024" ht="14.25" customHeight="1" s="192">
      <c r="W27024" s="235" t="n"/>
      <c r="X27024" s="235" t="n"/>
    </row>
    <row r="27025" ht="14.25" customHeight="1" s="192">
      <c r="W27025" s="235" t="n"/>
      <c r="X27025" s="235" t="n"/>
    </row>
    <row r="27026" ht="14.25" customHeight="1" s="192">
      <c r="W27026" s="239" t="n"/>
      <c r="X27026" s="239" t="n"/>
    </row>
    <row r="27027" ht="14.25" customHeight="1" s="192">
      <c r="W27027" s="235" t="n"/>
      <c r="X27027" s="235" t="n"/>
    </row>
    <row r="27028" ht="14.25" customHeight="1" s="192">
      <c r="W27028" s="239" t="n"/>
      <c r="X27028" s="239" t="n"/>
    </row>
    <row r="27030" ht="14.25" customHeight="1" s="192">
      <c r="W27030" s="235" t="n"/>
      <c r="X27030" s="235" t="n"/>
    </row>
    <row r="27031" ht="15" customHeight="1" s="192" thickBot="1">
      <c r="W27031" s="239" t="n"/>
      <c r="X27031" s="239" t="n"/>
    </row>
    <row r="27032" ht="15" customHeight="1" s="192" thickBot="1">
      <c r="W27032" s="45" t="n"/>
      <c r="X27032" s="45" t="n"/>
    </row>
    <row r="27033" ht="14.25" customHeight="1" s="192">
      <c r="W27033" s="228" t="n"/>
      <c r="X27033" s="228" t="n"/>
    </row>
    <row r="27034" ht="14.25" customHeight="1" s="192">
      <c r="W27034" s="228" t="n"/>
      <c r="X27034" s="228" t="n"/>
    </row>
    <row r="27035" ht="14.25" customHeight="1" s="192">
      <c r="W27035" s="231" t="n"/>
      <c r="X27035" s="231" t="n"/>
    </row>
    <row r="27036" ht="14.25" customHeight="1" s="192">
      <c r="W27036" s="33" t="n"/>
      <c r="X27036" s="33" t="n"/>
    </row>
    <row r="27037" ht="14.25" customHeight="1" s="192">
      <c r="W27037" s="231" t="n"/>
      <c r="X27037" s="231" t="n"/>
    </row>
    <row r="27038" ht="14.25" customHeight="1" s="192">
      <c r="W27038" s="33" t="n"/>
      <c r="X27038" s="33" t="n"/>
    </row>
    <row r="27040" ht="14.25" customHeight="1" s="192">
      <c r="W27040" s="231" t="n"/>
      <c r="X27040" s="231" t="n"/>
    </row>
    <row r="27041" ht="14.25" customHeight="1" s="192">
      <c r="W27041" s="235" t="n"/>
      <c r="X27041" s="235" t="n"/>
    </row>
    <row r="27042" ht="14.25" customHeight="1" s="192">
      <c r="W27042" s="228" t="n"/>
      <c r="X27042" s="228" t="n"/>
    </row>
    <row r="27043" ht="14.25" customHeight="1" s="192">
      <c r="W27043" s="235" t="n"/>
      <c r="X27043" s="235" t="n"/>
    </row>
    <row r="27044" ht="14.25" customHeight="1" s="192">
      <c r="W27044" s="235" t="n"/>
      <c r="X27044" s="235" t="n"/>
    </row>
    <row r="27045" ht="14.25" customHeight="1" s="192">
      <c r="W27045" s="235" t="n"/>
      <c r="X27045" s="235" t="n"/>
    </row>
    <row r="27046" ht="14.25" customHeight="1" s="192">
      <c r="W27046" s="239" t="n"/>
      <c r="X27046" s="239" t="n"/>
    </row>
    <row r="27047" ht="14.25" customHeight="1" s="192">
      <c r="W27047" s="239" t="n"/>
      <c r="X27047" s="239" t="n"/>
    </row>
    <row r="27048" ht="14.25" customHeight="1" s="192">
      <c r="W27048" s="239" t="n"/>
      <c r="X27048" s="239" t="n"/>
    </row>
    <row r="27049" ht="14.25" customHeight="1" s="192">
      <c r="W27049" s="235" t="n"/>
      <c r="X27049" s="235" t="n"/>
    </row>
    <row r="27050" ht="14.25" customHeight="1" s="192">
      <c r="W27050" s="235" t="n"/>
      <c r="X27050" s="235" t="n"/>
    </row>
    <row r="27051" ht="14.25" customHeight="1" s="192">
      <c r="W27051" s="235" t="n"/>
      <c r="X27051" s="235" t="n"/>
    </row>
    <row r="27052" ht="14.25" customHeight="1" s="192">
      <c r="W27052" s="239" t="n"/>
      <c r="X27052" s="239" t="n"/>
    </row>
    <row r="27053" ht="14.25" customHeight="1" s="192">
      <c r="W27053" s="239" t="n"/>
      <c r="X27053" s="239" t="n"/>
    </row>
    <row r="27054" ht="14.25" customHeight="1" s="192">
      <c r="W27054" s="235" t="n"/>
      <c r="X27054" s="235" t="n"/>
    </row>
    <row r="27055" ht="14.25" customHeight="1" s="192">
      <c r="W27055" s="235" t="n"/>
      <c r="X27055" s="235" t="n"/>
    </row>
    <row r="27056" ht="14.25" customHeight="1" s="192">
      <c r="W27056" s="239" t="n"/>
      <c r="X27056" s="239" t="n"/>
    </row>
    <row r="27057" ht="14.25" customHeight="1" s="192">
      <c r="W27057" s="235" t="n"/>
      <c r="X27057" s="235" t="n"/>
    </row>
    <row r="27058" ht="14.25" customHeight="1" s="192">
      <c r="W27058" s="239" t="n"/>
      <c r="X27058" s="239" t="n"/>
    </row>
    <row r="27060" ht="14.25" customHeight="1" s="192">
      <c r="W27060" s="235" t="n"/>
      <c r="X27060" s="235" t="n"/>
    </row>
    <row r="27061" ht="15" customHeight="1" s="192" thickBot="1">
      <c r="W27061" s="239" t="n"/>
      <c r="X27061" s="239" t="n"/>
    </row>
    <row r="27062" ht="15" customHeight="1" s="192" thickBot="1">
      <c r="W27062" s="45" t="n"/>
      <c r="X27062" s="45" t="n"/>
    </row>
    <row r="27063" ht="14.25" customHeight="1" s="192">
      <c r="W27063" s="228" t="n"/>
      <c r="X27063" s="228" t="n"/>
    </row>
    <row r="27064" ht="14.25" customHeight="1" s="192">
      <c r="W27064" s="228" t="n"/>
      <c r="X27064" s="228" t="n"/>
    </row>
    <row r="27065" ht="14.25" customHeight="1" s="192">
      <c r="W27065" s="231" t="n"/>
      <c r="X27065" s="231" t="n"/>
    </row>
    <row r="27066" ht="14.25" customHeight="1" s="192">
      <c r="W27066" s="33" t="n"/>
      <c r="X27066" s="33" t="n"/>
    </row>
    <row r="27067" ht="14.25" customHeight="1" s="192">
      <c r="W27067" s="231" t="n"/>
      <c r="X27067" s="231" t="n"/>
    </row>
    <row r="27068" ht="14.25" customHeight="1" s="192">
      <c r="W27068" s="33" t="n"/>
      <c r="X27068" s="33" t="n"/>
    </row>
    <row r="27070" ht="14.25" customHeight="1" s="192">
      <c r="W27070" s="231" t="n"/>
      <c r="X27070" s="231" t="n"/>
    </row>
    <row r="27071" ht="14.25" customHeight="1" s="192">
      <c r="W27071" s="235" t="n"/>
      <c r="X27071" s="235" t="n"/>
    </row>
    <row r="27072" ht="14.25" customHeight="1" s="192">
      <c r="W27072" s="228" t="n"/>
      <c r="X27072" s="228" t="n"/>
    </row>
    <row r="27073" ht="14.25" customHeight="1" s="192">
      <c r="W27073" s="235" t="n"/>
      <c r="X27073" s="235" t="n"/>
    </row>
    <row r="27074" ht="14.25" customHeight="1" s="192">
      <c r="W27074" s="235" t="n"/>
      <c r="X27074" s="235" t="n"/>
    </row>
    <row r="27075" ht="14.25" customHeight="1" s="192">
      <c r="W27075" s="235" t="n"/>
      <c r="X27075" s="235" t="n"/>
    </row>
    <row r="27076" ht="14.25" customHeight="1" s="192">
      <c r="W27076" s="239" t="n"/>
      <c r="X27076" s="239" t="n"/>
    </row>
    <row r="27077" ht="14.25" customHeight="1" s="192">
      <c r="W27077" s="239" t="n"/>
      <c r="X27077" s="239" t="n"/>
    </row>
    <row r="27078" ht="14.25" customHeight="1" s="192">
      <c r="W27078" s="239" t="n"/>
      <c r="X27078" s="239" t="n"/>
    </row>
    <row r="27079" ht="14.25" customHeight="1" s="192">
      <c r="W27079" s="235" t="n"/>
      <c r="X27079" s="235" t="n"/>
    </row>
    <row r="27080" ht="14.25" customHeight="1" s="192">
      <c r="W27080" s="235" t="n"/>
      <c r="X27080" s="235" t="n"/>
    </row>
    <row r="27081" ht="14.25" customHeight="1" s="192">
      <c r="W27081" s="235" t="n"/>
      <c r="X27081" s="235" t="n"/>
    </row>
    <row r="27082" ht="14.25" customHeight="1" s="192">
      <c r="W27082" s="239" t="n"/>
      <c r="X27082" s="239" t="n"/>
    </row>
    <row r="27083" ht="14.25" customHeight="1" s="192">
      <c r="W27083" s="239" t="n"/>
      <c r="X27083" s="239" t="n"/>
    </row>
    <row r="27084" ht="14.25" customHeight="1" s="192">
      <c r="W27084" s="235" t="n"/>
      <c r="X27084" s="235" t="n"/>
    </row>
    <row r="27085" ht="14.25" customHeight="1" s="192">
      <c r="W27085" s="235" t="n"/>
      <c r="X27085" s="235" t="n"/>
    </row>
    <row r="27086" ht="14.25" customHeight="1" s="192">
      <c r="W27086" s="239" t="n"/>
      <c r="X27086" s="239" t="n"/>
    </row>
    <row r="27087" ht="14.25" customHeight="1" s="192">
      <c r="W27087" s="235" t="n"/>
      <c r="X27087" s="235" t="n"/>
    </row>
    <row r="27088" ht="14.25" customHeight="1" s="192">
      <c r="W27088" s="239" t="n"/>
      <c r="X27088" s="239" t="n"/>
    </row>
    <row r="27090" ht="14.25" customHeight="1" s="192">
      <c r="W27090" s="235" t="n"/>
      <c r="X27090" s="235" t="n"/>
    </row>
    <row r="27091" ht="15" customHeight="1" s="192" thickBot="1">
      <c r="W27091" s="239" t="n"/>
      <c r="X27091" s="239" t="n"/>
    </row>
    <row r="27092" ht="15" customHeight="1" s="192" thickBot="1">
      <c r="W27092" s="45" t="n"/>
      <c r="X27092" s="45" t="n"/>
    </row>
    <row r="27093" ht="14.25" customHeight="1" s="192">
      <c r="W27093" s="228" t="n"/>
      <c r="X27093" s="228" t="n"/>
    </row>
    <row r="27094" ht="14.25" customHeight="1" s="192">
      <c r="W27094" s="228" t="n"/>
      <c r="X27094" s="228" t="n"/>
    </row>
    <row r="27095" ht="14.25" customHeight="1" s="192">
      <c r="W27095" s="231" t="n"/>
      <c r="X27095" s="231" t="n"/>
    </row>
    <row r="27096" ht="14.25" customHeight="1" s="192">
      <c r="W27096" s="33" t="n"/>
      <c r="X27096" s="33" t="n"/>
    </row>
    <row r="27097" ht="14.25" customHeight="1" s="192">
      <c r="W27097" s="231" t="n"/>
      <c r="X27097" s="231" t="n"/>
    </row>
    <row r="27098" ht="14.25" customHeight="1" s="192">
      <c r="W27098" s="33" t="n"/>
      <c r="X27098" s="33" t="n"/>
    </row>
    <row r="27100" ht="14.25" customHeight="1" s="192">
      <c r="W27100" s="231" t="n"/>
      <c r="X27100" s="231" t="n"/>
    </row>
    <row r="27101" ht="14.25" customHeight="1" s="192">
      <c r="W27101" s="235" t="n"/>
      <c r="X27101" s="235" t="n"/>
    </row>
    <row r="27102" ht="14.25" customHeight="1" s="192">
      <c r="W27102" s="228" t="n"/>
      <c r="X27102" s="228" t="n"/>
    </row>
    <row r="27103" ht="14.25" customHeight="1" s="192">
      <c r="W27103" s="235" t="n"/>
      <c r="X27103" s="235" t="n"/>
    </row>
    <row r="27104" ht="14.25" customHeight="1" s="192">
      <c r="W27104" s="235" t="n"/>
      <c r="X27104" s="235" t="n"/>
    </row>
    <row r="27105" ht="14.25" customHeight="1" s="192">
      <c r="W27105" s="235" t="n"/>
      <c r="X27105" s="235" t="n"/>
    </row>
    <row r="27106" ht="14.25" customHeight="1" s="192">
      <c r="W27106" s="239" t="n"/>
      <c r="X27106" s="239" t="n"/>
    </row>
    <row r="27107" ht="14.25" customHeight="1" s="192">
      <c r="W27107" s="239" t="n"/>
      <c r="X27107" s="239" t="n"/>
    </row>
    <row r="27108" ht="14.25" customHeight="1" s="192">
      <c r="W27108" s="239" t="n"/>
      <c r="X27108" s="239" t="n"/>
    </row>
    <row r="27109" ht="14.25" customHeight="1" s="192">
      <c r="W27109" s="235" t="n"/>
      <c r="X27109" s="235" t="n"/>
    </row>
    <row r="27110" ht="14.25" customHeight="1" s="192">
      <c r="W27110" s="235" t="n"/>
      <c r="X27110" s="235" t="n"/>
    </row>
    <row r="27111" ht="14.25" customHeight="1" s="192">
      <c r="W27111" s="235" t="n"/>
      <c r="X27111" s="235" t="n"/>
    </row>
    <row r="27112" ht="14.25" customHeight="1" s="192">
      <c r="W27112" s="239" t="n"/>
      <c r="X27112" s="239" t="n"/>
    </row>
    <row r="27113" ht="14.25" customHeight="1" s="192">
      <c r="W27113" s="239" t="n"/>
      <c r="X27113" s="239" t="n"/>
    </row>
    <row r="27114" ht="14.25" customHeight="1" s="192">
      <c r="W27114" s="235" t="n"/>
      <c r="X27114" s="235" t="n"/>
    </row>
    <row r="27115" ht="14.25" customHeight="1" s="192">
      <c r="W27115" s="235" t="n"/>
      <c r="X27115" s="235" t="n"/>
    </row>
    <row r="27116" ht="14.25" customHeight="1" s="192">
      <c r="W27116" s="239" t="n"/>
      <c r="X27116" s="239" t="n"/>
    </row>
    <row r="27117" ht="14.25" customHeight="1" s="192">
      <c r="W27117" s="235" t="n"/>
      <c r="X27117" s="235" t="n"/>
    </row>
    <row r="27118" ht="14.25" customHeight="1" s="192">
      <c r="W27118" s="239" t="n"/>
      <c r="X27118" s="239" t="n"/>
    </row>
    <row r="27120" ht="14.25" customHeight="1" s="192">
      <c r="W27120" s="235" t="n"/>
      <c r="X27120" s="235" t="n"/>
    </row>
    <row r="27121" ht="15" customHeight="1" s="192" thickBot="1">
      <c r="W27121" s="239" t="n"/>
      <c r="X27121" s="239" t="n"/>
    </row>
    <row r="27122" ht="15" customHeight="1" s="192" thickBot="1">
      <c r="W27122" s="45" t="n"/>
      <c r="X27122" s="45" t="n"/>
    </row>
    <row r="27123" ht="14.25" customHeight="1" s="192">
      <c r="W27123" s="228" t="n"/>
      <c r="X27123" s="228" t="n"/>
    </row>
    <row r="27124" ht="14.25" customHeight="1" s="192">
      <c r="W27124" s="228" t="n"/>
      <c r="X27124" s="228" t="n"/>
    </row>
    <row r="27125" ht="14.25" customHeight="1" s="192">
      <c r="W27125" s="231" t="n"/>
      <c r="X27125" s="231" t="n"/>
    </row>
    <row r="27126" ht="14.25" customHeight="1" s="192">
      <c r="W27126" s="33" t="n"/>
      <c r="X27126" s="33" t="n"/>
    </row>
    <row r="27127" ht="14.25" customHeight="1" s="192">
      <c r="W27127" s="231" t="n"/>
      <c r="X27127" s="231" t="n"/>
    </row>
    <row r="27128" ht="14.25" customHeight="1" s="192">
      <c r="W27128" s="33" t="n"/>
      <c r="X27128" s="33" t="n"/>
    </row>
    <row r="27130" ht="14.25" customHeight="1" s="192">
      <c r="W27130" s="231" t="n"/>
      <c r="X27130" s="231" t="n"/>
    </row>
    <row r="27131" ht="14.25" customHeight="1" s="192">
      <c r="W27131" s="235" t="n"/>
      <c r="X27131" s="235" t="n"/>
    </row>
    <row r="27132" ht="14.25" customHeight="1" s="192">
      <c r="W27132" s="228" t="n"/>
      <c r="X27132" s="228" t="n"/>
    </row>
    <row r="27133" ht="14.25" customHeight="1" s="192">
      <c r="W27133" s="235" t="n"/>
      <c r="X27133" s="235" t="n"/>
    </row>
    <row r="27134" ht="14.25" customHeight="1" s="192">
      <c r="W27134" s="235" t="n"/>
      <c r="X27134" s="235" t="n"/>
    </row>
    <row r="27135" ht="14.25" customHeight="1" s="192">
      <c r="W27135" s="235" t="n"/>
      <c r="X27135" s="235" t="n"/>
    </row>
    <row r="27136" ht="14.25" customHeight="1" s="192">
      <c r="W27136" s="239" t="n"/>
      <c r="X27136" s="239" t="n"/>
    </row>
    <row r="27137" ht="14.25" customHeight="1" s="192">
      <c r="W27137" s="239" t="n"/>
      <c r="X27137" s="239" t="n"/>
    </row>
    <row r="27138" ht="14.25" customHeight="1" s="192">
      <c r="W27138" s="239" t="n"/>
      <c r="X27138" s="239" t="n"/>
    </row>
    <row r="27139" ht="14.25" customHeight="1" s="192">
      <c r="W27139" s="235" t="n"/>
      <c r="X27139" s="235" t="n"/>
    </row>
    <row r="27140" ht="14.25" customHeight="1" s="192">
      <c r="W27140" s="235" t="n"/>
      <c r="X27140" s="235" t="n"/>
    </row>
    <row r="27141" ht="14.25" customHeight="1" s="192">
      <c r="W27141" s="235" t="n"/>
      <c r="X27141" s="235" t="n"/>
    </row>
    <row r="27142" ht="14.25" customHeight="1" s="192">
      <c r="W27142" s="239" t="n"/>
      <c r="X27142" s="239" t="n"/>
    </row>
    <row r="27143" ht="14.25" customHeight="1" s="192">
      <c r="W27143" s="239" t="n"/>
      <c r="X27143" s="239" t="n"/>
    </row>
    <row r="27144" ht="14.25" customHeight="1" s="192">
      <c r="W27144" s="235" t="n"/>
      <c r="X27144" s="235" t="n"/>
    </row>
    <row r="27145" ht="14.25" customHeight="1" s="192">
      <c r="W27145" s="235" t="n"/>
      <c r="X27145" s="235" t="n"/>
    </row>
    <row r="27146" ht="14.25" customHeight="1" s="192">
      <c r="W27146" s="239" t="n"/>
      <c r="X27146" s="239" t="n"/>
    </row>
    <row r="27147" ht="14.25" customHeight="1" s="192">
      <c r="W27147" s="235" t="n"/>
      <c r="X27147" s="235" t="n"/>
    </row>
    <row r="27148" ht="14.25" customHeight="1" s="192">
      <c r="W27148" s="239" t="n"/>
      <c r="X27148" s="239" t="n"/>
    </row>
    <row r="27150" ht="14.25" customHeight="1" s="192">
      <c r="W27150" s="235" t="n"/>
      <c r="X27150" s="235" t="n"/>
    </row>
    <row r="27151" ht="15" customHeight="1" s="192" thickBot="1">
      <c r="W27151" s="239" t="n"/>
      <c r="X27151" s="239" t="n"/>
    </row>
    <row r="27152" ht="15" customHeight="1" s="192" thickBot="1">
      <c r="W27152" s="45" t="n"/>
      <c r="X27152" s="45" t="n"/>
    </row>
    <row r="27153" ht="14.25" customHeight="1" s="192">
      <c r="W27153" s="228" t="n"/>
      <c r="X27153" s="228" t="n"/>
    </row>
    <row r="27154" ht="14.25" customHeight="1" s="192">
      <c r="W27154" s="228" t="n"/>
      <c r="X27154" s="228" t="n"/>
    </row>
    <row r="27155" ht="14.25" customHeight="1" s="192">
      <c r="W27155" s="231" t="n"/>
      <c r="X27155" s="231" t="n"/>
    </row>
    <row r="27156" ht="14.25" customHeight="1" s="192">
      <c r="W27156" s="33" t="n"/>
      <c r="X27156" s="33" t="n"/>
    </row>
    <row r="27157" ht="14.25" customHeight="1" s="192">
      <c r="W27157" s="231" t="n"/>
      <c r="X27157" s="231" t="n"/>
    </row>
    <row r="27158" ht="14.25" customHeight="1" s="192">
      <c r="W27158" s="33" t="n"/>
      <c r="X27158" s="33" t="n"/>
    </row>
    <row r="27160" ht="14.25" customHeight="1" s="192">
      <c r="W27160" s="231" t="n"/>
      <c r="X27160" s="231" t="n"/>
    </row>
    <row r="27161" ht="14.25" customHeight="1" s="192">
      <c r="W27161" s="235" t="n"/>
      <c r="X27161" s="235" t="n"/>
    </row>
    <row r="27162" ht="14.25" customHeight="1" s="192">
      <c r="W27162" s="228" t="n"/>
      <c r="X27162" s="228" t="n"/>
    </row>
    <row r="27163" ht="14.25" customHeight="1" s="192">
      <c r="W27163" s="235" t="n"/>
      <c r="X27163" s="235" t="n"/>
    </row>
    <row r="27164" ht="14.25" customHeight="1" s="192">
      <c r="W27164" s="235" t="n"/>
      <c r="X27164" s="235" t="n"/>
    </row>
    <row r="27165" ht="14.25" customHeight="1" s="192">
      <c r="W27165" s="235" t="n"/>
      <c r="X27165" s="235" t="n"/>
    </row>
    <row r="27166" ht="14.25" customHeight="1" s="192">
      <c r="W27166" s="239" t="n"/>
      <c r="X27166" s="239" t="n"/>
    </row>
    <row r="27167" ht="14.25" customHeight="1" s="192">
      <c r="W27167" s="239" t="n"/>
      <c r="X27167" s="239" t="n"/>
    </row>
    <row r="27168" ht="14.25" customHeight="1" s="192">
      <c r="W27168" s="239" t="n"/>
      <c r="X27168" s="239" t="n"/>
    </row>
    <row r="27169" ht="14.25" customHeight="1" s="192">
      <c r="W27169" s="235" t="n"/>
      <c r="X27169" s="235" t="n"/>
    </row>
    <row r="27170" ht="14.25" customHeight="1" s="192">
      <c r="W27170" s="235" t="n"/>
      <c r="X27170" s="235" t="n"/>
    </row>
    <row r="27171" ht="14.25" customHeight="1" s="192">
      <c r="W27171" s="235" t="n"/>
      <c r="X27171" s="235" t="n"/>
    </row>
    <row r="27172" ht="14.25" customHeight="1" s="192">
      <c r="W27172" s="239" t="n"/>
      <c r="X27172" s="239" t="n"/>
    </row>
    <row r="27173" ht="14.25" customHeight="1" s="192">
      <c r="W27173" s="239" t="n"/>
      <c r="X27173" s="239" t="n"/>
    </row>
    <row r="27174" ht="14.25" customHeight="1" s="192">
      <c r="W27174" s="235" t="n"/>
      <c r="X27174" s="235" t="n"/>
    </row>
    <row r="27175" ht="14.25" customHeight="1" s="192">
      <c r="W27175" s="235" t="n"/>
      <c r="X27175" s="235" t="n"/>
    </row>
    <row r="27176" ht="14.25" customHeight="1" s="192">
      <c r="W27176" s="239" t="n"/>
      <c r="X27176" s="239" t="n"/>
    </row>
    <row r="27177" ht="14.25" customHeight="1" s="192">
      <c r="W27177" s="235" t="n"/>
      <c r="X27177" s="235" t="n"/>
    </row>
    <row r="27178" ht="14.25" customHeight="1" s="192">
      <c r="W27178" s="239" t="n"/>
      <c r="X27178" s="239" t="n"/>
    </row>
    <row r="27180" ht="14.25" customHeight="1" s="192">
      <c r="W27180" s="235" t="n"/>
      <c r="X27180" s="235" t="n"/>
    </row>
    <row r="27181" ht="15" customHeight="1" s="192" thickBot="1">
      <c r="W27181" s="239" t="n"/>
      <c r="X27181" s="239" t="n"/>
    </row>
    <row r="27182" ht="15" customHeight="1" s="192" thickBot="1">
      <c r="W27182" s="45" t="n"/>
      <c r="X27182" s="45" t="n"/>
    </row>
    <row r="27183" ht="14.25" customHeight="1" s="192">
      <c r="W27183" s="228" t="n"/>
      <c r="X27183" s="228" t="n"/>
    </row>
    <row r="27184" ht="14.25" customHeight="1" s="192">
      <c r="W27184" s="228" t="n"/>
      <c r="X27184" s="228" t="n"/>
    </row>
    <row r="27185" ht="14.25" customHeight="1" s="192">
      <c r="W27185" s="231" t="n"/>
      <c r="X27185" s="231" t="n"/>
    </row>
    <row r="27186" ht="14.25" customHeight="1" s="192">
      <c r="W27186" s="33" t="n"/>
      <c r="X27186" s="33" t="n"/>
    </row>
    <row r="27187" ht="14.25" customHeight="1" s="192">
      <c r="W27187" s="231" t="n"/>
      <c r="X27187" s="231" t="n"/>
    </row>
    <row r="27188" ht="14.25" customHeight="1" s="192">
      <c r="W27188" s="33" t="n"/>
      <c r="X27188" s="33" t="n"/>
    </row>
    <row r="27190" ht="14.25" customHeight="1" s="192">
      <c r="W27190" s="231" t="n"/>
      <c r="X27190" s="231" t="n"/>
    </row>
    <row r="27191" ht="14.25" customHeight="1" s="192">
      <c r="W27191" s="235" t="n"/>
      <c r="X27191" s="235" t="n"/>
    </row>
    <row r="27192" ht="14.25" customHeight="1" s="192">
      <c r="W27192" s="228" t="n"/>
      <c r="X27192" s="228" t="n"/>
    </row>
    <row r="27193" ht="14.25" customHeight="1" s="192">
      <c r="W27193" s="235" t="n"/>
      <c r="X27193" s="235" t="n"/>
    </row>
    <row r="27194" ht="14.25" customHeight="1" s="192">
      <c r="W27194" s="235" t="n"/>
      <c r="X27194" s="235" t="n"/>
    </row>
    <row r="27195" ht="14.25" customHeight="1" s="192">
      <c r="W27195" s="235" t="n"/>
      <c r="X27195" s="235" t="n"/>
    </row>
    <row r="27196" ht="14.25" customHeight="1" s="192">
      <c r="W27196" s="239" t="n"/>
      <c r="X27196" s="239" t="n"/>
    </row>
    <row r="27197" ht="14.25" customHeight="1" s="192">
      <c r="W27197" s="239" t="n"/>
      <c r="X27197" s="239" t="n"/>
    </row>
    <row r="27198" ht="14.25" customHeight="1" s="192">
      <c r="W27198" s="239" t="n"/>
      <c r="X27198" s="239" t="n"/>
    </row>
    <row r="27199" ht="14.25" customHeight="1" s="192">
      <c r="W27199" s="235" t="n"/>
      <c r="X27199" s="235" t="n"/>
    </row>
    <row r="27200" ht="14.25" customHeight="1" s="192">
      <c r="W27200" s="235" t="n"/>
      <c r="X27200" s="235" t="n"/>
    </row>
    <row r="27201" ht="14.25" customHeight="1" s="192">
      <c r="W27201" s="235" t="n"/>
      <c r="X27201" s="235" t="n"/>
    </row>
    <row r="27202" ht="14.25" customHeight="1" s="192">
      <c r="W27202" s="239" t="n"/>
      <c r="X27202" s="239" t="n"/>
    </row>
    <row r="27203" ht="14.25" customHeight="1" s="192">
      <c r="W27203" s="239" t="n"/>
      <c r="X27203" s="239" t="n"/>
    </row>
    <row r="27204" ht="14.25" customHeight="1" s="192">
      <c r="W27204" s="235" t="n"/>
      <c r="X27204" s="235" t="n"/>
    </row>
    <row r="27205" ht="14.25" customHeight="1" s="192">
      <c r="W27205" s="235" t="n"/>
      <c r="X27205" s="235" t="n"/>
    </row>
    <row r="27206" ht="14.25" customHeight="1" s="192">
      <c r="W27206" s="239" t="n"/>
      <c r="X27206" s="239" t="n"/>
    </row>
    <row r="27207" ht="14.25" customHeight="1" s="192">
      <c r="W27207" s="235" t="n"/>
      <c r="X27207" s="235" t="n"/>
    </row>
    <row r="27208" ht="14.25" customHeight="1" s="192">
      <c r="W27208" s="239" t="n"/>
      <c r="X27208" s="239" t="n"/>
    </row>
    <row r="27210" ht="14.25" customHeight="1" s="192">
      <c r="W27210" s="235" t="n"/>
      <c r="X27210" s="235" t="n"/>
    </row>
    <row r="27211" ht="15" customHeight="1" s="192" thickBot="1">
      <c r="W27211" s="239" t="n"/>
      <c r="X27211" s="239" t="n"/>
    </row>
    <row r="27212" ht="15" customHeight="1" s="192" thickBot="1">
      <c r="W27212" s="45" t="n"/>
      <c r="X27212" s="45" t="n"/>
    </row>
    <row r="27213" ht="14.25" customHeight="1" s="192">
      <c r="W27213" s="228" t="n"/>
      <c r="X27213" s="228" t="n"/>
    </row>
    <row r="27214" ht="14.25" customHeight="1" s="192">
      <c r="W27214" s="228" t="n"/>
      <c r="X27214" s="228" t="n"/>
    </row>
    <row r="27215" ht="14.25" customHeight="1" s="192">
      <c r="W27215" s="231" t="n"/>
      <c r="X27215" s="231" t="n"/>
    </row>
    <row r="27216" ht="14.25" customHeight="1" s="192">
      <c r="W27216" s="33" t="n"/>
      <c r="X27216" s="33" t="n"/>
    </row>
    <row r="27217" ht="14.25" customHeight="1" s="192">
      <c r="W27217" s="231" t="n"/>
      <c r="X27217" s="231" t="n"/>
    </row>
    <row r="27218" ht="14.25" customHeight="1" s="192">
      <c r="W27218" s="33" t="n"/>
      <c r="X27218" s="33" t="n"/>
    </row>
    <row r="27220" ht="14.25" customHeight="1" s="192">
      <c r="W27220" s="231" t="n"/>
      <c r="X27220" s="231" t="n"/>
    </row>
    <row r="27221" ht="14.25" customHeight="1" s="192">
      <c r="W27221" s="235" t="n"/>
      <c r="X27221" s="235" t="n"/>
    </row>
    <row r="27222" ht="14.25" customHeight="1" s="192">
      <c r="W27222" s="228" t="n"/>
      <c r="X27222" s="228" t="n"/>
    </row>
    <row r="27223" ht="14.25" customHeight="1" s="192">
      <c r="W27223" s="235" t="n"/>
      <c r="X27223" s="235" t="n"/>
    </row>
    <row r="27224" ht="14.25" customHeight="1" s="192">
      <c r="W27224" s="235" t="n"/>
      <c r="X27224" s="235" t="n"/>
    </row>
    <row r="27225" ht="14.25" customHeight="1" s="192">
      <c r="W27225" s="235" t="n"/>
      <c r="X27225" s="235" t="n"/>
    </row>
    <row r="27226" ht="14.25" customHeight="1" s="192">
      <c r="W27226" s="239" t="n"/>
      <c r="X27226" s="239" t="n"/>
    </row>
    <row r="27227" ht="14.25" customHeight="1" s="192">
      <c r="W27227" s="239" t="n"/>
      <c r="X27227" s="239" t="n"/>
    </row>
    <row r="27228" ht="14.25" customHeight="1" s="192">
      <c r="W27228" s="239" t="n"/>
      <c r="X27228" s="239" t="n"/>
    </row>
    <row r="27229" ht="14.25" customHeight="1" s="192">
      <c r="W27229" s="235" t="n"/>
      <c r="X27229" s="235" t="n"/>
    </row>
    <row r="27230" ht="14.25" customHeight="1" s="192">
      <c r="W27230" s="235" t="n"/>
      <c r="X27230" s="235" t="n"/>
    </row>
    <row r="27231" ht="14.25" customHeight="1" s="192">
      <c r="W27231" s="235" t="n"/>
      <c r="X27231" s="235" t="n"/>
    </row>
    <row r="27232" ht="14.25" customHeight="1" s="192">
      <c r="W27232" s="239" t="n"/>
      <c r="X27232" s="239" t="n"/>
    </row>
    <row r="27233" ht="14.25" customHeight="1" s="192">
      <c r="W27233" s="239" t="n"/>
      <c r="X27233" s="239" t="n"/>
    </row>
    <row r="27234" ht="14.25" customHeight="1" s="192">
      <c r="W27234" s="235" t="n"/>
      <c r="X27234" s="235" t="n"/>
    </row>
    <row r="27235" ht="14.25" customHeight="1" s="192">
      <c r="W27235" s="235" t="n"/>
      <c r="X27235" s="235" t="n"/>
    </row>
    <row r="27236" ht="14.25" customHeight="1" s="192">
      <c r="W27236" s="239" t="n"/>
      <c r="X27236" s="239" t="n"/>
    </row>
    <row r="27237" ht="14.25" customHeight="1" s="192">
      <c r="W27237" s="235" t="n"/>
      <c r="X27237" s="235" t="n"/>
    </row>
    <row r="27238" ht="14.25" customHeight="1" s="192">
      <c r="W27238" s="239" t="n"/>
      <c r="X27238" s="239" t="n"/>
    </row>
    <row r="27240" ht="14.25" customHeight="1" s="192">
      <c r="W27240" s="235" t="n"/>
      <c r="X27240" s="235" t="n"/>
    </row>
    <row r="27241" ht="15" customHeight="1" s="192" thickBot="1">
      <c r="W27241" s="239" t="n"/>
      <c r="X27241" s="239" t="n"/>
    </row>
    <row r="27242" ht="15" customHeight="1" s="192" thickBot="1">
      <c r="W27242" s="45" t="n"/>
      <c r="X27242" s="45" t="n"/>
    </row>
    <row r="27243" ht="14.25" customHeight="1" s="192">
      <c r="W27243" s="228" t="n"/>
      <c r="X27243" s="228" t="n"/>
    </row>
    <row r="27244" ht="14.25" customHeight="1" s="192">
      <c r="W27244" s="228" t="n"/>
      <c r="X27244" s="228" t="n"/>
    </row>
    <row r="27245" ht="14.25" customHeight="1" s="192">
      <c r="W27245" s="231" t="n"/>
      <c r="X27245" s="231" t="n"/>
    </row>
    <row r="27246" ht="14.25" customHeight="1" s="192">
      <c r="W27246" s="33" t="n"/>
      <c r="X27246" s="33" t="n"/>
    </row>
    <row r="27247" ht="14.25" customHeight="1" s="192">
      <c r="W27247" s="231" t="n"/>
      <c r="X27247" s="231" t="n"/>
    </row>
    <row r="27248" ht="14.25" customHeight="1" s="192">
      <c r="W27248" s="33" t="n"/>
      <c r="X27248" s="33" t="n"/>
    </row>
    <row r="27250" ht="14.25" customHeight="1" s="192">
      <c r="W27250" s="231" t="n"/>
      <c r="X27250" s="231" t="n"/>
    </row>
    <row r="27251" ht="14.25" customHeight="1" s="192">
      <c r="W27251" s="235" t="n"/>
      <c r="X27251" s="235" t="n"/>
    </row>
    <row r="27252" ht="14.25" customHeight="1" s="192">
      <c r="W27252" s="228" t="n"/>
      <c r="X27252" s="228" t="n"/>
    </row>
    <row r="27253" ht="14.25" customHeight="1" s="192">
      <c r="W27253" s="235" t="n"/>
      <c r="X27253" s="235" t="n"/>
    </row>
    <row r="27254" ht="14.25" customHeight="1" s="192">
      <c r="W27254" s="235" t="n"/>
      <c r="X27254" s="235" t="n"/>
    </row>
    <row r="27255" ht="14.25" customHeight="1" s="192">
      <c r="W27255" s="235" t="n"/>
      <c r="X27255" s="235" t="n"/>
    </row>
    <row r="27256" ht="14.25" customHeight="1" s="192">
      <c r="W27256" s="239" t="n"/>
      <c r="X27256" s="239" t="n"/>
    </row>
    <row r="27257" ht="14.25" customHeight="1" s="192">
      <c r="W27257" s="239" t="n"/>
      <c r="X27257" s="239" t="n"/>
    </row>
    <row r="27258" ht="14.25" customHeight="1" s="192">
      <c r="W27258" s="239" t="n"/>
      <c r="X27258" s="239" t="n"/>
    </row>
    <row r="27259" ht="14.25" customHeight="1" s="192">
      <c r="W27259" s="235" t="n"/>
      <c r="X27259" s="235" t="n"/>
    </row>
    <row r="27260" ht="14.25" customHeight="1" s="192">
      <c r="W27260" s="235" t="n"/>
      <c r="X27260" s="235" t="n"/>
    </row>
    <row r="27261" ht="14.25" customHeight="1" s="192">
      <c r="W27261" s="235" t="n"/>
      <c r="X27261" s="235" t="n"/>
    </row>
    <row r="27262" ht="14.25" customHeight="1" s="192">
      <c r="W27262" s="239" t="n"/>
      <c r="X27262" s="239" t="n"/>
    </row>
    <row r="27263" ht="14.25" customHeight="1" s="192">
      <c r="W27263" s="239" t="n"/>
      <c r="X27263" s="239" t="n"/>
    </row>
    <row r="27264" ht="14.25" customHeight="1" s="192">
      <c r="W27264" s="235" t="n"/>
      <c r="X27264" s="235" t="n"/>
    </row>
    <row r="27265" ht="14.25" customHeight="1" s="192">
      <c r="W27265" s="235" t="n"/>
      <c r="X27265" s="235" t="n"/>
    </row>
    <row r="27266" ht="14.25" customHeight="1" s="192">
      <c r="W27266" s="239" t="n"/>
      <c r="X27266" s="239" t="n"/>
    </row>
    <row r="27267" ht="14.25" customHeight="1" s="192">
      <c r="W27267" s="235" t="n"/>
      <c r="X27267" s="235" t="n"/>
    </row>
    <row r="27268" ht="14.25" customHeight="1" s="192">
      <c r="W27268" s="239" t="n"/>
      <c r="X27268" s="239" t="n"/>
    </row>
    <row r="27270" ht="14.25" customHeight="1" s="192">
      <c r="W27270" s="235" t="n"/>
      <c r="X27270" s="235" t="n"/>
    </row>
    <row r="27271" ht="15" customHeight="1" s="192" thickBot="1">
      <c r="W27271" s="239" t="n"/>
      <c r="X27271" s="239" t="n"/>
    </row>
    <row r="27272" ht="15" customHeight="1" s="192" thickBot="1">
      <c r="W27272" s="45" t="n"/>
      <c r="X27272" s="45" t="n"/>
    </row>
    <row r="27273" ht="14.25" customHeight="1" s="192">
      <c r="W27273" s="228" t="n"/>
      <c r="X27273" s="228" t="n"/>
    </row>
    <row r="27274" ht="14.25" customHeight="1" s="192">
      <c r="W27274" s="228" t="n"/>
      <c r="X27274" s="228" t="n"/>
    </row>
    <row r="27275" ht="14.25" customHeight="1" s="192">
      <c r="W27275" s="231" t="n"/>
      <c r="X27275" s="231" t="n"/>
    </row>
    <row r="27276" ht="14.25" customHeight="1" s="192">
      <c r="W27276" s="33" t="n"/>
      <c r="X27276" s="33" t="n"/>
    </row>
    <row r="27277" ht="14.25" customHeight="1" s="192">
      <c r="W27277" s="231" t="n"/>
      <c r="X27277" s="231" t="n"/>
    </row>
    <row r="27278" ht="14.25" customHeight="1" s="192">
      <c r="W27278" s="33" t="n"/>
      <c r="X27278" s="33" t="n"/>
    </row>
    <row r="27280" ht="14.25" customHeight="1" s="192">
      <c r="W27280" s="231" t="n"/>
      <c r="X27280" s="231" t="n"/>
    </row>
    <row r="27281" ht="14.25" customHeight="1" s="192">
      <c r="W27281" s="235" t="n"/>
      <c r="X27281" s="235" t="n"/>
    </row>
    <row r="27282" ht="14.25" customHeight="1" s="192">
      <c r="W27282" s="228" t="n"/>
      <c r="X27282" s="228" t="n"/>
    </row>
    <row r="27283" ht="14.25" customHeight="1" s="192">
      <c r="W27283" s="235" t="n"/>
      <c r="X27283" s="235" t="n"/>
    </row>
    <row r="27284" ht="14.25" customHeight="1" s="192">
      <c r="W27284" s="235" t="n"/>
      <c r="X27284" s="235" t="n"/>
    </row>
    <row r="27285" ht="14.25" customHeight="1" s="192">
      <c r="W27285" s="235" t="n"/>
      <c r="X27285" s="235" t="n"/>
    </row>
    <row r="27286" ht="14.25" customHeight="1" s="192">
      <c r="W27286" s="239" t="n"/>
      <c r="X27286" s="239" t="n"/>
    </row>
    <row r="27287" ht="14.25" customHeight="1" s="192">
      <c r="W27287" s="239" t="n"/>
      <c r="X27287" s="239" t="n"/>
    </row>
    <row r="27288" ht="14.25" customHeight="1" s="192">
      <c r="W27288" s="239" t="n"/>
      <c r="X27288" s="239" t="n"/>
    </row>
    <row r="27289" ht="14.25" customHeight="1" s="192">
      <c r="W27289" s="235" t="n"/>
      <c r="X27289" s="235" t="n"/>
    </row>
    <row r="27290" ht="14.25" customHeight="1" s="192">
      <c r="W27290" s="235" t="n"/>
      <c r="X27290" s="235" t="n"/>
    </row>
    <row r="27291" ht="14.25" customHeight="1" s="192">
      <c r="W27291" s="235" t="n"/>
      <c r="X27291" s="235" t="n"/>
    </row>
    <row r="27292" ht="14.25" customHeight="1" s="192">
      <c r="W27292" s="239" t="n"/>
      <c r="X27292" s="239" t="n"/>
    </row>
    <row r="27293" ht="14.25" customHeight="1" s="192">
      <c r="W27293" s="239" t="n"/>
      <c r="X27293" s="239" t="n"/>
    </row>
    <row r="27294" ht="14.25" customHeight="1" s="192">
      <c r="W27294" s="235" t="n"/>
      <c r="X27294" s="235" t="n"/>
    </row>
    <row r="27295" ht="14.25" customHeight="1" s="192">
      <c r="W27295" s="235" t="n"/>
      <c r="X27295" s="235" t="n"/>
    </row>
    <row r="27296" ht="14.25" customHeight="1" s="192">
      <c r="W27296" s="239" t="n"/>
      <c r="X27296" s="239" t="n"/>
    </row>
    <row r="27297" ht="14.25" customHeight="1" s="192">
      <c r="W27297" s="235" t="n"/>
      <c r="X27297" s="235" t="n"/>
    </row>
    <row r="27298" ht="14.25" customHeight="1" s="192">
      <c r="W27298" s="239" t="n"/>
      <c r="X27298" s="239" t="n"/>
    </row>
    <row r="27300" ht="14.25" customHeight="1" s="192">
      <c r="W27300" s="235" t="n"/>
      <c r="X27300" s="235" t="n"/>
    </row>
    <row r="27301" ht="15" customHeight="1" s="192" thickBot="1">
      <c r="W27301" s="239" t="n"/>
      <c r="X27301" s="239" t="n"/>
    </row>
    <row r="27302" ht="15" customHeight="1" s="192" thickBot="1">
      <c r="W27302" s="45" t="n"/>
      <c r="X27302" s="45" t="n"/>
    </row>
    <row r="27303" ht="14.25" customHeight="1" s="192">
      <c r="W27303" s="228" t="n"/>
      <c r="X27303" s="228" t="n"/>
    </row>
    <row r="27304" ht="14.25" customHeight="1" s="192">
      <c r="W27304" s="228" t="n"/>
      <c r="X27304" s="228" t="n"/>
    </row>
    <row r="27305" ht="14.25" customHeight="1" s="192">
      <c r="W27305" s="231" t="n"/>
      <c r="X27305" s="231" t="n"/>
    </row>
    <row r="27306" ht="14.25" customHeight="1" s="192">
      <c r="W27306" s="33" t="n"/>
      <c r="X27306" s="33" t="n"/>
    </row>
    <row r="27307" ht="14.25" customHeight="1" s="192">
      <c r="W27307" s="231" t="n"/>
      <c r="X27307" s="231" t="n"/>
    </row>
    <row r="27308" ht="14.25" customHeight="1" s="192">
      <c r="W27308" s="33" t="n"/>
      <c r="X27308" s="33" t="n"/>
    </row>
    <row r="27310" ht="14.25" customHeight="1" s="192">
      <c r="W27310" s="231" t="n"/>
      <c r="X27310" s="231" t="n"/>
    </row>
    <row r="27311" ht="14.25" customHeight="1" s="192">
      <c r="W27311" s="235" t="n"/>
      <c r="X27311" s="235" t="n"/>
    </row>
    <row r="27312" ht="14.25" customHeight="1" s="192">
      <c r="W27312" s="228" t="n"/>
      <c r="X27312" s="228" t="n"/>
    </row>
    <row r="27313" ht="14.25" customHeight="1" s="192">
      <c r="W27313" s="235" t="n"/>
      <c r="X27313" s="235" t="n"/>
    </row>
    <row r="27314" ht="14.25" customHeight="1" s="192">
      <c r="W27314" s="235" t="n"/>
      <c r="X27314" s="235" t="n"/>
    </row>
    <row r="27315" ht="14.25" customHeight="1" s="192">
      <c r="W27315" s="235" t="n"/>
      <c r="X27315" s="235" t="n"/>
    </row>
    <row r="27316" ht="14.25" customHeight="1" s="192">
      <c r="W27316" s="239" t="n"/>
      <c r="X27316" s="239" t="n"/>
    </row>
    <row r="27317" ht="14.25" customHeight="1" s="192">
      <c r="W27317" s="239" t="n"/>
      <c r="X27317" s="239" t="n"/>
    </row>
    <row r="27318" ht="14.25" customHeight="1" s="192">
      <c r="W27318" s="239" t="n"/>
      <c r="X27318" s="239" t="n"/>
    </row>
    <row r="27319" ht="14.25" customHeight="1" s="192">
      <c r="W27319" s="235" t="n"/>
      <c r="X27319" s="235" t="n"/>
    </row>
    <row r="27320" ht="14.25" customHeight="1" s="192">
      <c r="W27320" s="235" t="n"/>
      <c r="X27320" s="235" t="n"/>
    </row>
    <row r="27321" ht="14.25" customHeight="1" s="192">
      <c r="W27321" s="235" t="n"/>
      <c r="X27321" s="235" t="n"/>
    </row>
    <row r="27322" ht="14.25" customHeight="1" s="192">
      <c r="W27322" s="239" t="n"/>
      <c r="X27322" s="239" t="n"/>
    </row>
    <row r="27323" ht="14.25" customHeight="1" s="192">
      <c r="W27323" s="239" t="n"/>
      <c r="X27323" s="239" t="n"/>
    </row>
    <row r="27324" ht="14.25" customHeight="1" s="192">
      <c r="W27324" s="235" t="n"/>
      <c r="X27324" s="235" t="n"/>
    </row>
    <row r="27325" ht="14.25" customHeight="1" s="192">
      <c r="W27325" s="235" t="n"/>
      <c r="X27325" s="235" t="n"/>
    </row>
    <row r="27326" ht="14.25" customHeight="1" s="192">
      <c r="W27326" s="239" t="n"/>
      <c r="X27326" s="239" t="n"/>
    </row>
    <row r="27327" ht="14.25" customHeight="1" s="192">
      <c r="W27327" s="235" t="n"/>
      <c r="X27327" s="235" t="n"/>
    </row>
    <row r="27328" ht="14.25" customHeight="1" s="192">
      <c r="W27328" s="239" t="n"/>
      <c r="X27328" s="239" t="n"/>
    </row>
    <row r="27330" ht="14.25" customHeight="1" s="192">
      <c r="W27330" s="235" t="n"/>
      <c r="X27330" s="235" t="n"/>
    </row>
    <row r="27331" ht="15" customHeight="1" s="192" thickBot="1">
      <c r="W27331" s="239" t="n"/>
      <c r="X27331" s="239" t="n"/>
    </row>
    <row r="27332" ht="15" customHeight="1" s="192" thickBot="1">
      <c r="W27332" s="45" t="n"/>
      <c r="X27332" s="45" t="n"/>
    </row>
    <row r="27333" ht="14.25" customHeight="1" s="192">
      <c r="W27333" s="228" t="n"/>
      <c r="X27333" s="228" t="n"/>
    </row>
    <row r="27334" ht="14.25" customHeight="1" s="192">
      <c r="W27334" s="228" t="n"/>
      <c r="X27334" s="228" t="n"/>
    </row>
    <row r="27335" ht="14.25" customHeight="1" s="192">
      <c r="W27335" s="231" t="n"/>
      <c r="X27335" s="231" t="n"/>
    </row>
    <row r="27336" ht="14.25" customHeight="1" s="192">
      <c r="W27336" s="33" t="n"/>
      <c r="X27336" s="33" t="n"/>
    </row>
    <row r="27337" ht="14.25" customHeight="1" s="192">
      <c r="W27337" s="231" t="n"/>
      <c r="X27337" s="231" t="n"/>
    </row>
    <row r="27338" ht="14.25" customHeight="1" s="192">
      <c r="W27338" s="33" t="n"/>
      <c r="X27338" s="33" t="n"/>
    </row>
    <row r="27340" ht="14.25" customHeight="1" s="192">
      <c r="W27340" s="231" t="n"/>
      <c r="X27340" s="231" t="n"/>
    </row>
    <row r="27341" ht="14.25" customHeight="1" s="192">
      <c r="W27341" s="235" t="n"/>
      <c r="X27341" s="235" t="n"/>
    </row>
    <row r="27342" ht="14.25" customHeight="1" s="192">
      <c r="W27342" s="228" t="n"/>
      <c r="X27342" s="228" t="n"/>
    </row>
    <row r="27343" ht="14.25" customHeight="1" s="192">
      <c r="W27343" s="235" t="n"/>
      <c r="X27343" s="235" t="n"/>
    </row>
    <row r="27344" ht="14.25" customHeight="1" s="192">
      <c r="W27344" s="235" t="n"/>
      <c r="X27344" s="235" t="n"/>
    </row>
    <row r="27345" ht="14.25" customHeight="1" s="192">
      <c r="W27345" s="235" t="n"/>
      <c r="X27345" s="235" t="n"/>
    </row>
    <row r="27346" ht="14.25" customHeight="1" s="192">
      <c r="W27346" s="239" t="n"/>
      <c r="X27346" s="239" t="n"/>
    </row>
    <row r="27347" ht="14.25" customHeight="1" s="192">
      <c r="W27347" s="239" t="n"/>
      <c r="X27347" s="239" t="n"/>
    </row>
    <row r="27348" ht="14.25" customHeight="1" s="192">
      <c r="W27348" s="239" t="n"/>
      <c r="X27348" s="239" t="n"/>
    </row>
    <row r="27349" ht="14.25" customHeight="1" s="192">
      <c r="W27349" s="235" t="n"/>
      <c r="X27349" s="235" t="n"/>
    </row>
    <row r="27350" ht="14.25" customHeight="1" s="192">
      <c r="W27350" s="235" t="n"/>
      <c r="X27350" s="235" t="n"/>
    </row>
    <row r="27351" ht="14.25" customHeight="1" s="192">
      <c r="W27351" s="235" t="n"/>
      <c r="X27351" s="235" t="n"/>
    </row>
    <row r="27352" ht="14.25" customHeight="1" s="192">
      <c r="W27352" s="239" t="n"/>
      <c r="X27352" s="239" t="n"/>
    </row>
    <row r="27353" ht="14.25" customHeight="1" s="192">
      <c r="W27353" s="239" t="n"/>
      <c r="X27353" s="239" t="n"/>
    </row>
    <row r="27354" ht="14.25" customHeight="1" s="192">
      <c r="W27354" s="235" t="n"/>
      <c r="X27354" s="235" t="n"/>
    </row>
    <row r="27355" ht="14.25" customHeight="1" s="192">
      <c r="W27355" s="235" t="n"/>
      <c r="X27355" s="235" t="n"/>
    </row>
    <row r="27356" ht="14.25" customHeight="1" s="192">
      <c r="W27356" s="239" t="n"/>
      <c r="X27356" s="239" t="n"/>
    </row>
    <row r="27357" ht="14.25" customHeight="1" s="192">
      <c r="W27357" s="235" t="n"/>
      <c r="X27357" s="235" t="n"/>
    </row>
    <row r="27358" ht="14.25" customHeight="1" s="192">
      <c r="W27358" s="239" t="n"/>
      <c r="X27358" s="239" t="n"/>
    </row>
    <row r="27360" ht="14.25" customHeight="1" s="192">
      <c r="W27360" s="235" t="n"/>
      <c r="X27360" s="235" t="n"/>
    </row>
    <row r="27361" ht="15" customHeight="1" s="192" thickBot="1">
      <c r="W27361" s="239" t="n"/>
      <c r="X27361" s="239" t="n"/>
    </row>
    <row r="27362" ht="15" customHeight="1" s="192" thickBot="1">
      <c r="W27362" s="45" t="n"/>
      <c r="X27362" s="45" t="n"/>
    </row>
    <row r="27363" ht="14.25" customHeight="1" s="192">
      <c r="W27363" s="228" t="n"/>
      <c r="X27363" s="228" t="n"/>
    </row>
    <row r="27364" ht="14.25" customHeight="1" s="192">
      <c r="W27364" s="228" t="n"/>
      <c r="X27364" s="228" t="n"/>
    </row>
    <row r="27365" ht="14.25" customHeight="1" s="192">
      <c r="W27365" s="231" t="n"/>
      <c r="X27365" s="231" t="n"/>
    </row>
    <row r="27366" ht="14.25" customHeight="1" s="192">
      <c r="W27366" s="33" t="n"/>
      <c r="X27366" s="33" t="n"/>
    </row>
    <row r="27367" ht="14.25" customHeight="1" s="192">
      <c r="W27367" s="231" t="n"/>
      <c r="X27367" s="231" t="n"/>
    </row>
    <row r="27368" ht="14.25" customHeight="1" s="192">
      <c r="W27368" s="33" t="n"/>
      <c r="X27368" s="33" t="n"/>
    </row>
    <row r="27370" ht="14.25" customHeight="1" s="192">
      <c r="W27370" s="231" t="n"/>
      <c r="X27370" s="231" t="n"/>
    </row>
    <row r="27371" ht="14.25" customHeight="1" s="192">
      <c r="W27371" s="235" t="n"/>
      <c r="X27371" s="235" t="n"/>
    </row>
    <row r="27372" ht="14.25" customHeight="1" s="192">
      <c r="W27372" s="228" t="n"/>
      <c r="X27372" s="228" t="n"/>
    </row>
    <row r="27373" ht="14.25" customHeight="1" s="192">
      <c r="W27373" s="235" t="n"/>
      <c r="X27373" s="235" t="n"/>
    </row>
    <row r="27374" ht="14.25" customHeight="1" s="192">
      <c r="W27374" s="235" t="n"/>
      <c r="X27374" s="235" t="n"/>
    </row>
    <row r="27375" ht="14.25" customHeight="1" s="192">
      <c r="W27375" s="235" t="n"/>
      <c r="X27375" s="235" t="n"/>
    </row>
    <row r="27376" ht="14.25" customHeight="1" s="192">
      <c r="W27376" s="239" t="n"/>
      <c r="X27376" s="239" t="n"/>
    </row>
    <row r="27377" ht="14.25" customHeight="1" s="192">
      <c r="W27377" s="239" t="n"/>
      <c r="X27377" s="239" t="n"/>
    </row>
    <row r="27378" ht="14.25" customHeight="1" s="192">
      <c r="W27378" s="239" t="n"/>
      <c r="X27378" s="239" t="n"/>
    </row>
    <row r="27379" ht="14.25" customHeight="1" s="192">
      <c r="W27379" s="235" t="n"/>
      <c r="X27379" s="235" t="n"/>
    </row>
    <row r="27380" ht="14.25" customHeight="1" s="192">
      <c r="W27380" s="235" t="n"/>
      <c r="X27380" s="235" t="n"/>
    </row>
    <row r="27381" ht="14.25" customHeight="1" s="192">
      <c r="W27381" s="235" t="n"/>
      <c r="X27381" s="235" t="n"/>
    </row>
    <row r="27382" ht="14.25" customHeight="1" s="192">
      <c r="W27382" s="239" t="n"/>
      <c r="X27382" s="239" t="n"/>
    </row>
    <row r="27383" ht="14.25" customHeight="1" s="192">
      <c r="W27383" s="239" t="n"/>
      <c r="X27383" s="239" t="n"/>
    </row>
    <row r="27384" ht="14.25" customHeight="1" s="192">
      <c r="W27384" s="235" t="n"/>
      <c r="X27384" s="235" t="n"/>
    </row>
    <row r="27385" ht="14.25" customHeight="1" s="192">
      <c r="W27385" s="235" t="n"/>
      <c r="X27385" s="235" t="n"/>
    </row>
    <row r="27386" ht="14.25" customHeight="1" s="192">
      <c r="W27386" s="239" t="n"/>
      <c r="X27386" s="239" t="n"/>
    </row>
    <row r="27387" ht="14.25" customHeight="1" s="192">
      <c r="W27387" s="235" t="n"/>
      <c r="X27387" s="235" t="n"/>
    </row>
    <row r="27388" ht="14.25" customHeight="1" s="192">
      <c r="W27388" s="239" t="n"/>
      <c r="X27388" s="239" t="n"/>
    </row>
    <row r="27390" ht="14.25" customHeight="1" s="192">
      <c r="W27390" s="235" t="n"/>
      <c r="X27390" s="235" t="n"/>
    </row>
    <row r="27391" ht="15" customHeight="1" s="192" thickBot="1">
      <c r="W27391" s="239" t="n"/>
      <c r="X27391" s="239" t="n"/>
    </row>
    <row r="27392" ht="15" customHeight="1" s="192" thickBot="1">
      <c r="W27392" s="45" t="n"/>
      <c r="X27392" s="45" t="n"/>
    </row>
    <row r="27393" ht="14.25" customHeight="1" s="192">
      <c r="W27393" s="228" t="n"/>
      <c r="X27393" s="228" t="n"/>
    </row>
    <row r="27394" ht="14.25" customHeight="1" s="192">
      <c r="W27394" s="228" t="n"/>
      <c r="X27394" s="228" t="n"/>
    </row>
    <row r="27395" ht="14.25" customHeight="1" s="192">
      <c r="W27395" s="231" t="n"/>
      <c r="X27395" s="231" t="n"/>
    </row>
    <row r="27396" ht="14.25" customHeight="1" s="192">
      <c r="W27396" s="33" t="n"/>
      <c r="X27396" s="33" t="n"/>
    </row>
    <row r="27397" ht="14.25" customHeight="1" s="192">
      <c r="W27397" s="231" t="n"/>
      <c r="X27397" s="231" t="n"/>
    </row>
    <row r="27398" ht="14.25" customHeight="1" s="192">
      <c r="W27398" s="33" t="n"/>
      <c r="X27398" s="33" t="n"/>
    </row>
    <row r="27400" ht="14.25" customHeight="1" s="192">
      <c r="W27400" s="231" t="n"/>
      <c r="X27400" s="231" t="n"/>
    </row>
    <row r="27401" ht="14.25" customHeight="1" s="192">
      <c r="W27401" s="235" t="n"/>
      <c r="X27401" s="235" t="n"/>
    </row>
    <row r="27402" ht="14.25" customHeight="1" s="192">
      <c r="W27402" s="228" t="n"/>
      <c r="X27402" s="228" t="n"/>
    </row>
    <row r="27403" ht="14.25" customHeight="1" s="192">
      <c r="W27403" s="235" t="n"/>
      <c r="X27403" s="235" t="n"/>
    </row>
    <row r="27404" ht="14.25" customHeight="1" s="192">
      <c r="W27404" s="235" t="n"/>
      <c r="X27404" s="235" t="n"/>
    </row>
    <row r="27405" ht="14.25" customHeight="1" s="192">
      <c r="W27405" s="235" t="n"/>
      <c r="X27405" s="235" t="n"/>
    </row>
    <row r="27406" ht="14.25" customHeight="1" s="192">
      <c r="W27406" s="239" t="n"/>
      <c r="X27406" s="239" t="n"/>
    </row>
    <row r="27407" ht="14.25" customHeight="1" s="192">
      <c r="W27407" s="239" t="n"/>
      <c r="X27407" s="239" t="n"/>
    </row>
    <row r="27408" ht="14.25" customHeight="1" s="192">
      <c r="W27408" s="239" t="n"/>
      <c r="X27408" s="239" t="n"/>
    </row>
    <row r="27409" ht="14.25" customHeight="1" s="192">
      <c r="W27409" s="235" t="n"/>
      <c r="X27409" s="235" t="n"/>
    </row>
    <row r="27410" ht="14.25" customHeight="1" s="192">
      <c r="W27410" s="235" t="n"/>
      <c r="X27410" s="235" t="n"/>
    </row>
    <row r="27411" ht="14.25" customHeight="1" s="192">
      <c r="W27411" s="235" t="n"/>
      <c r="X27411" s="235" t="n"/>
    </row>
    <row r="27412" ht="14.25" customHeight="1" s="192">
      <c r="W27412" s="239" t="n"/>
      <c r="X27412" s="239" t="n"/>
    </row>
    <row r="27413" ht="14.25" customHeight="1" s="192">
      <c r="W27413" s="239" t="n"/>
      <c r="X27413" s="239" t="n"/>
    </row>
    <row r="27414" ht="14.25" customHeight="1" s="192">
      <c r="W27414" s="235" t="n"/>
      <c r="X27414" s="235" t="n"/>
    </row>
    <row r="27415" ht="14.25" customHeight="1" s="192">
      <c r="W27415" s="235" t="n"/>
      <c r="X27415" s="235" t="n"/>
    </row>
    <row r="27416" ht="14.25" customHeight="1" s="192">
      <c r="W27416" s="239" t="n"/>
      <c r="X27416" s="239" t="n"/>
    </row>
    <row r="27417" ht="14.25" customHeight="1" s="192">
      <c r="W27417" s="235" t="n"/>
      <c r="X27417" s="235" t="n"/>
    </row>
    <row r="27418" ht="14.25" customHeight="1" s="192">
      <c r="W27418" s="239" t="n"/>
      <c r="X27418" s="239" t="n"/>
    </row>
    <row r="27420" ht="14.25" customHeight="1" s="192">
      <c r="W27420" s="235" t="n"/>
      <c r="X27420" s="235" t="n"/>
    </row>
    <row r="27421" ht="15" customHeight="1" s="192" thickBot="1">
      <c r="W27421" s="239" t="n"/>
      <c r="X27421" s="239" t="n"/>
    </row>
    <row r="27422" ht="15" customHeight="1" s="192" thickBot="1">
      <c r="W27422" s="45" t="n"/>
      <c r="X27422" s="45" t="n"/>
    </row>
    <row r="27423" ht="14.25" customHeight="1" s="192">
      <c r="W27423" s="228" t="n"/>
      <c r="X27423" s="228" t="n"/>
    </row>
    <row r="27424" ht="14.25" customHeight="1" s="192">
      <c r="W27424" s="228" t="n"/>
      <c r="X27424" s="228" t="n"/>
    </row>
    <row r="27425" ht="14.25" customHeight="1" s="192">
      <c r="W27425" s="231" t="n"/>
      <c r="X27425" s="231" t="n"/>
    </row>
    <row r="27426" ht="14.25" customHeight="1" s="192">
      <c r="W27426" s="33" t="n"/>
      <c r="X27426" s="33" t="n"/>
    </row>
    <row r="27427" ht="14.25" customHeight="1" s="192">
      <c r="W27427" s="231" t="n"/>
      <c r="X27427" s="231" t="n"/>
    </row>
    <row r="27428" ht="14.25" customHeight="1" s="192">
      <c r="W27428" s="33" t="n"/>
      <c r="X27428" s="33" t="n"/>
    </row>
    <row r="27430" ht="14.25" customHeight="1" s="192">
      <c r="W27430" s="231" t="n"/>
      <c r="X27430" s="231" t="n"/>
    </row>
    <row r="27431" ht="14.25" customHeight="1" s="192">
      <c r="W27431" s="235" t="n"/>
      <c r="X27431" s="235" t="n"/>
    </row>
    <row r="27432" ht="14.25" customHeight="1" s="192">
      <c r="W27432" s="228" t="n"/>
      <c r="X27432" s="228" t="n"/>
    </row>
    <row r="27433" ht="14.25" customHeight="1" s="192">
      <c r="W27433" s="235" t="n"/>
      <c r="X27433" s="235" t="n"/>
    </row>
    <row r="27434" ht="14.25" customHeight="1" s="192">
      <c r="W27434" s="235" t="n"/>
      <c r="X27434" s="235" t="n"/>
    </row>
    <row r="27435" ht="14.25" customHeight="1" s="192">
      <c r="W27435" s="235" t="n"/>
      <c r="X27435" s="235" t="n"/>
    </row>
    <row r="27436" ht="14.25" customHeight="1" s="192">
      <c r="W27436" s="239" t="n"/>
      <c r="X27436" s="239" t="n"/>
    </row>
    <row r="27437" ht="14.25" customHeight="1" s="192">
      <c r="W27437" s="239" t="n"/>
      <c r="X27437" s="239" t="n"/>
    </row>
    <row r="27438" ht="14.25" customHeight="1" s="192">
      <c r="W27438" s="239" t="n"/>
      <c r="X27438" s="239" t="n"/>
    </row>
    <row r="27439" ht="14.25" customHeight="1" s="192">
      <c r="W27439" s="235" t="n"/>
      <c r="X27439" s="235" t="n"/>
    </row>
    <row r="27440" ht="14.25" customHeight="1" s="192">
      <c r="W27440" s="235" t="n"/>
      <c r="X27440" s="235" t="n"/>
    </row>
    <row r="27441" ht="14.25" customHeight="1" s="192">
      <c r="W27441" s="235" t="n"/>
      <c r="X27441" s="235" t="n"/>
    </row>
    <row r="27442" ht="14.25" customHeight="1" s="192">
      <c r="W27442" s="239" t="n"/>
      <c r="X27442" s="239" t="n"/>
    </row>
    <row r="27443" ht="14.25" customHeight="1" s="192">
      <c r="W27443" s="239" t="n"/>
      <c r="X27443" s="239" t="n"/>
    </row>
    <row r="27444" ht="14.25" customHeight="1" s="192">
      <c r="W27444" s="235" t="n"/>
      <c r="X27444" s="235" t="n"/>
    </row>
    <row r="27445" ht="14.25" customHeight="1" s="192">
      <c r="W27445" s="235" t="n"/>
      <c r="X27445" s="235" t="n"/>
    </row>
    <row r="27446" ht="14.25" customHeight="1" s="192">
      <c r="W27446" s="239" t="n"/>
      <c r="X27446" s="239" t="n"/>
    </row>
    <row r="27447" ht="14.25" customHeight="1" s="192">
      <c r="W27447" s="235" t="n"/>
      <c r="X27447" s="235" t="n"/>
    </row>
    <row r="27448" ht="14.25" customHeight="1" s="192">
      <c r="W27448" s="239" t="n"/>
      <c r="X27448" s="239" t="n"/>
    </row>
    <row r="27450" ht="14.25" customHeight="1" s="192">
      <c r="W27450" s="235" t="n"/>
      <c r="X27450" s="235" t="n"/>
    </row>
    <row r="27451" ht="15" customHeight="1" s="192" thickBot="1">
      <c r="W27451" s="239" t="n"/>
      <c r="X27451" s="239" t="n"/>
    </row>
    <row r="27452" ht="15" customHeight="1" s="192" thickBot="1">
      <c r="W27452" s="45" t="n"/>
      <c r="X27452" s="45" t="n"/>
    </row>
    <row r="27453" ht="14.25" customHeight="1" s="192">
      <c r="W27453" s="228" t="n"/>
      <c r="X27453" s="228" t="n"/>
    </row>
    <row r="27454" ht="14.25" customHeight="1" s="192">
      <c r="W27454" s="228" t="n"/>
      <c r="X27454" s="228" t="n"/>
    </row>
    <row r="27455" ht="14.25" customHeight="1" s="192">
      <c r="W27455" s="231" t="n"/>
      <c r="X27455" s="231" t="n"/>
    </row>
    <row r="27456" ht="14.25" customHeight="1" s="192">
      <c r="W27456" s="33" t="n"/>
      <c r="X27456" s="33" t="n"/>
    </row>
    <row r="27457" ht="14.25" customHeight="1" s="192">
      <c r="W27457" s="231" t="n"/>
      <c r="X27457" s="231" t="n"/>
    </row>
    <row r="27458" ht="14.25" customHeight="1" s="192">
      <c r="W27458" s="33" t="n"/>
      <c r="X27458" s="33" t="n"/>
    </row>
    <row r="27460" ht="14.25" customHeight="1" s="192">
      <c r="W27460" s="231" t="n"/>
      <c r="X27460" s="231" t="n"/>
    </row>
    <row r="27461" ht="14.25" customHeight="1" s="192">
      <c r="W27461" s="235" t="n"/>
      <c r="X27461" s="235" t="n"/>
    </row>
    <row r="27462" ht="14.25" customHeight="1" s="192">
      <c r="W27462" s="228" t="n"/>
      <c r="X27462" s="228" t="n"/>
    </row>
    <row r="27463" ht="14.25" customHeight="1" s="192">
      <c r="W27463" s="235" t="n"/>
      <c r="X27463" s="235" t="n"/>
    </row>
    <row r="27464" ht="14.25" customHeight="1" s="192">
      <c r="W27464" s="235" t="n"/>
      <c r="X27464" s="235" t="n"/>
    </row>
    <row r="27465" ht="14.25" customHeight="1" s="192">
      <c r="W27465" s="235" t="n"/>
      <c r="X27465" s="235" t="n"/>
    </row>
    <row r="27466" ht="14.25" customHeight="1" s="192">
      <c r="W27466" s="239" t="n"/>
      <c r="X27466" s="239" t="n"/>
    </row>
    <row r="27467" ht="14.25" customHeight="1" s="192">
      <c r="W27467" s="239" t="n"/>
      <c r="X27467" s="239" t="n"/>
    </row>
    <row r="27468" ht="14.25" customHeight="1" s="192">
      <c r="W27468" s="239" t="n"/>
      <c r="X27468" s="239" t="n"/>
    </row>
    <row r="27469" ht="14.25" customHeight="1" s="192">
      <c r="W27469" s="235" t="n"/>
      <c r="X27469" s="235" t="n"/>
    </row>
    <row r="27470" ht="14.25" customHeight="1" s="192">
      <c r="W27470" s="235" t="n"/>
      <c r="X27470" s="235" t="n"/>
    </row>
    <row r="27471" ht="14.25" customHeight="1" s="192">
      <c r="W27471" s="235" t="n"/>
      <c r="X27471" s="235" t="n"/>
    </row>
    <row r="27472" ht="14.25" customHeight="1" s="192">
      <c r="W27472" s="239" t="n"/>
      <c r="X27472" s="239" t="n"/>
    </row>
    <row r="27473" ht="14.25" customHeight="1" s="192">
      <c r="W27473" s="239" t="n"/>
      <c r="X27473" s="239" t="n"/>
    </row>
    <row r="27474" ht="14.25" customHeight="1" s="192">
      <c r="W27474" s="235" t="n"/>
      <c r="X27474" s="235" t="n"/>
    </row>
    <row r="27475" ht="14.25" customHeight="1" s="192">
      <c r="W27475" s="235" t="n"/>
      <c r="X27475" s="235" t="n"/>
    </row>
    <row r="27476" ht="14.25" customHeight="1" s="192">
      <c r="W27476" s="239" t="n"/>
      <c r="X27476" s="239" t="n"/>
    </row>
    <row r="27477" ht="14.25" customHeight="1" s="192">
      <c r="W27477" s="235" t="n"/>
      <c r="X27477" s="235" t="n"/>
    </row>
    <row r="27478" ht="14.25" customHeight="1" s="192">
      <c r="W27478" s="239" t="n"/>
      <c r="X27478" s="239" t="n"/>
    </row>
    <row r="27480" ht="14.25" customHeight="1" s="192">
      <c r="W27480" s="235" t="n"/>
      <c r="X27480" s="235" t="n"/>
    </row>
    <row r="27481" ht="15" customHeight="1" s="192" thickBot="1">
      <c r="W27481" s="239" t="n"/>
      <c r="X27481" s="239" t="n"/>
    </row>
    <row r="27482" ht="15" customHeight="1" s="192" thickBot="1">
      <c r="W27482" s="45" t="n"/>
      <c r="X27482" s="45" t="n"/>
    </row>
    <row r="27483" ht="14.25" customHeight="1" s="192">
      <c r="W27483" s="228" t="n"/>
      <c r="X27483" s="228" t="n"/>
    </row>
    <row r="27484" ht="14.25" customHeight="1" s="192">
      <c r="W27484" s="228" t="n"/>
      <c r="X27484" s="228" t="n"/>
    </row>
    <row r="27485" ht="14.25" customHeight="1" s="192">
      <c r="W27485" s="231" t="n"/>
      <c r="X27485" s="231" t="n"/>
    </row>
    <row r="27486" ht="14.25" customHeight="1" s="192">
      <c r="W27486" s="33" t="n"/>
      <c r="X27486" s="33" t="n"/>
    </row>
    <row r="27487" ht="14.25" customHeight="1" s="192">
      <c r="W27487" s="231" t="n"/>
      <c r="X27487" s="231" t="n"/>
    </row>
    <row r="27488" ht="14.25" customHeight="1" s="192">
      <c r="W27488" s="33" t="n"/>
      <c r="X27488" s="33" t="n"/>
    </row>
    <row r="27490" ht="14.25" customHeight="1" s="192">
      <c r="W27490" s="231" t="n"/>
      <c r="X27490" s="231" t="n"/>
    </row>
    <row r="27491" ht="14.25" customHeight="1" s="192">
      <c r="W27491" s="235" t="n"/>
      <c r="X27491" s="235" t="n"/>
    </row>
    <row r="27492" ht="14.25" customHeight="1" s="192">
      <c r="W27492" s="228" t="n"/>
      <c r="X27492" s="228" t="n"/>
    </row>
    <row r="27493" ht="14.25" customHeight="1" s="192">
      <c r="W27493" s="235" t="n"/>
      <c r="X27493" s="235" t="n"/>
    </row>
    <row r="27494" ht="14.25" customHeight="1" s="192">
      <c r="W27494" s="235" t="n"/>
      <c r="X27494" s="235" t="n"/>
    </row>
    <row r="27495" ht="14.25" customHeight="1" s="192">
      <c r="W27495" s="235" t="n"/>
      <c r="X27495" s="235" t="n"/>
    </row>
    <row r="27496" ht="14.25" customHeight="1" s="192">
      <c r="W27496" s="239" t="n"/>
      <c r="X27496" s="239" t="n"/>
    </row>
    <row r="27497" ht="14.25" customHeight="1" s="192">
      <c r="W27497" s="239" t="n"/>
      <c r="X27497" s="239" t="n"/>
    </row>
    <row r="27498" ht="14.25" customHeight="1" s="192">
      <c r="W27498" s="239" t="n"/>
      <c r="X27498" s="239" t="n"/>
    </row>
    <row r="27499" ht="14.25" customHeight="1" s="192">
      <c r="W27499" s="235" t="n"/>
      <c r="X27499" s="235" t="n"/>
    </row>
    <row r="27500" ht="14.25" customHeight="1" s="192">
      <c r="W27500" s="235" t="n"/>
      <c r="X27500" s="235" t="n"/>
    </row>
    <row r="27501" ht="14.25" customHeight="1" s="192">
      <c r="W27501" s="235" t="n"/>
      <c r="X27501" s="235" t="n"/>
    </row>
    <row r="27502" ht="14.25" customHeight="1" s="192">
      <c r="W27502" s="239" t="n"/>
      <c r="X27502" s="239" t="n"/>
    </row>
    <row r="27503" ht="14.25" customHeight="1" s="192">
      <c r="W27503" s="239" t="n"/>
      <c r="X27503" s="239" t="n"/>
    </row>
    <row r="27504" ht="14.25" customHeight="1" s="192">
      <c r="W27504" s="235" t="n"/>
      <c r="X27504" s="235" t="n"/>
    </row>
    <row r="27505" ht="14.25" customHeight="1" s="192">
      <c r="W27505" s="235" t="n"/>
      <c r="X27505" s="235" t="n"/>
    </row>
    <row r="27506" ht="14.25" customHeight="1" s="192">
      <c r="W27506" s="239" t="n"/>
      <c r="X27506" s="239" t="n"/>
    </row>
    <row r="27507" ht="14.25" customHeight="1" s="192">
      <c r="W27507" s="235" t="n"/>
      <c r="X27507" s="235" t="n"/>
    </row>
    <row r="27508" ht="14.25" customHeight="1" s="192">
      <c r="W27508" s="239" t="n"/>
      <c r="X27508" s="239" t="n"/>
    </row>
    <row r="27510" ht="14.25" customHeight="1" s="192">
      <c r="W27510" s="235" t="n"/>
      <c r="X27510" s="235" t="n"/>
    </row>
    <row r="27511" ht="15" customHeight="1" s="192" thickBot="1">
      <c r="W27511" s="239" t="n"/>
      <c r="X27511" s="239" t="n"/>
    </row>
    <row r="27512" ht="15" customHeight="1" s="192" thickBot="1">
      <c r="W27512" s="45" t="n"/>
      <c r="X27512" s="45" t="n"/>
    </row>
    <row r="27513" ht="14.25" customHeight="1" s="192">
      <c r="W27513" s="228" t="n"/>
      <c r="X27513" s="228" t="n"/>
    </row>
    <row r="27514" ht="14.25" customHeight="1" s="192">
      <c r="W27514" s="228" t="n"/>
      <c r="X27514" s="228" t="n"/>
    </row>
    <row r="27515" ht="14.25" customHeight="1" s="192">
      <c r="W27515" s="231" t="n"/>
      <c r="X27515" s="231" t="n"/>
    </row>
    <row r="27516" ht="14.25" customHeight="1" s="192">
      <c r="W27516" s="33" t="n"/>
      <c r="X27516" s="33" t="n"/>
    </row>
    <row r="27517" ht="14.25" customHeight="1" s="192">
      <c r="W27517" s="231" t="n"/>
      <c r="X27517" s="231" t="n"/>
    </row>
    <row r="27518" ht="14.25" customHeight="1" s="192">
      <c r="W27518" s="33" t="n"/>
      <c r="X27518" s="33" t="n"/>
    </row>
    <row r="27520" ht="14.25" customHeight="1" s="192">
      <c r="W27520" s="231" t="n"/>
      <c r="X27520" s="231" t="n"/>
    </row>
    <row r="27521" ht="14.25" customHeight="1" s="192">
      <c r="W27521" s="235" t="n"/>
      <c r="X27521" s="235" t="n"/>
    </row>
    <row r="27522" ht="14.25" customHeight="1" s="192">
      <c r="W27522" s="228" t="n"/>
      <c r="X27522" s="228" t="n"/>
    </row>
    <row r="27523" ht="14.25" customHeight="1" s="192">
      <c r="W27523" s="235" t="n"/>
      <c r="X27523" s="235" t="n"/>
    </row>
    <row r="27524" ht="14.25" customHeight="1" s="192">
      <c r="W27524" s="235" t="n"/>
      <c r="X27524" s="235" t="n"/>
    </row>
    <row r="27525" ht="14.25" customHeight="1" s="192">
      <c r="W27525" s="235" t="n"/>
      <c r="X27525" s="235" t="n"/>
    </row>
    <row r="27526" ht="14.25" customHeight="1" s="192">
      <c r="W27526" s="239" t="n"/>
      <c r="X27526" s="239" t="n"/>
    </row>
    <row r="27527" ht="14.25" customHeight="1" s="192">
      <c r="W27527" s="239" t="n"/>
      <c r="X27527" s="239" t="n"/>
    </row>
    <row r="27528" ht="14.25" customHeight="1" s="192">
      <c r="W27528" s="239" t="n"/>
      <c r="X27528" s="239" t="n"/>
    </row>
    <row r="27529" ht="14.25" customHeight="1" s="192">
      <c r="W27529" s="235" t="n"/>
      <c r="X27529" s="235" t="n"/>
    </row>
    <row r="27530" ht="14.25" customHeight="1" s="192">
      <c r="W27530" s="235" t="n"/>
      <c r="X27530" s="235" t="n"/>
    </row>
    <row r="27531" ht="14.25" customHeight="1" s="192">
      <c r="W27531" s="235" t="n"/>
      <c r="X27531" s="235" t="n"/>
    </row>
    <row r="27532" ht="14.25" customHeight="1" s="192">
      <c r="W27532" s="239" t="n"/>
      <c r="X27532" s="239" t="n"/>
    </row>
    <row r="27533" ht="14.25" customHeight="1" s="192">
      <c r="W27533" s="239" t="n"/>
      <c r="X27533" s="239" t="n"/>
    </row>
    <row r="27534" ht="14.25" customHeight="1" s="192">
      <c r="W27534" s="235" t="n"/>
      <c r="X27534" s="235" t="n"/>
    </row>
    <row r="27535" ht="14.25" customHeight="1" s="192">
      <c r="W27535" s="235" t="n"/>
      <c r="X27535" s="235" t="n"/>
    </row>
    <row r="27536" ht="14.25" customHeight="1" s="192">
      <c r="W27536" s="239" t="n"/>
      <c r="X27536" s="239" t="n"/>
    </row>
    <row r="27537" ht="14.25" customHeight="1" s="192">
      <c r="W27537" s="235" t="n"/>
      <c r="X27537" s="235" t="n"/>
    </row>
    <row r="27538" ht="14.25" customHeight="1" s="192">
      <c r="W27538" s="239" t="n"/>
      <c r="X27538" s="239" t="n"/>
    </row>
    <row r="27540" ht="14.25" customHeight="1" s="192">
      <c r="W27540" s="235" t="n"/>
      <c r="X27540" s="235" t="n"/>
    </row>
    <row r="27541" ht="15" customHeight="1" s="192" thickBot="1">
      <c r="W27541" s="239" t="n"/>
      <c r="X27541" s="239" t="n"/>
    </row>
    <row r="27542" ht="15" customHeight="1" s="192" thickBot="1">
      <c r="W27542" s="45" t="n"/>
      <c r="X27542" s="45" t="n"/>
    </row>
    <row r="27543" ht="14.25" customHeight="1" s="192">
      <c r="W27543" s="228" t="n"/>
      <c r="X27543" s="228" t="n"/>
    </row>
    <row r="27544" ht="14.25" customHeight="1" s="192">
      <c r="W27544" s="228" t="n"/>
      <c r="X27544" s="228" t="n"/>
    </row>
    <row r="27545" ht="14.25" customHeight="1" s="192">
      <c r="W27545" s="231" t="n"/>
      <c r="X27545" s="231" t="n"/>
    </row>
    <row r="27546" ht="14.25" customHeight="1" s="192">
      <c r="W27546" s="33" t="n"/>
      <c r="X27546" s="33" t="n"/>
    </row>
    <row r="27547" ht="14.25" customHeight="1" s="192">
      <c r="W27547" s="231" t="n"/>
      <c r="X27547" s="231" t="n"/>
    </row>
    <row r="27548" ht="14.25" customHeight="1" s="192">
      <c r="W27548" s="33" t="n"/>
      <c r="X27548" s="33" t="n"/>
    </row>
    <row r="27550" ht="14.25" customHeight="1" s="192">
      <c r="W27550" s="231" t="n"/>
      <c r="X27550" s="231" t="n"/>
    </row>
    <row r="27551" ht="14.25" customHeight="1" s="192">
      <c r="W27551" s="235" t="n"/>
      <c r="X27551" s="235" t="n"/>
    </row>
    <row r="27552" ht="14.25" customHeight="1" s="192">
      <c r="W27552" s="228" t="n"/>
      <c r="X27552" s="228" t="n"/>
    </row>
    <row r="27553" ht="14.25" customHeight="1" s="192">
      <c r="W27553" s="235" t="n"/>
      <c r="X27553" s="235" t="n"/>
    </row>
    <row r="27554" ht="14.25" customHeight="1" s="192">
      <c r="W27554" s="235" t="n"/>
      <c r="X27554" s="235" t="n"/>
    </row>
    <row r="27555" ht="14.25" customHeight="1" s="192">
      <c r="W27555" s="235" t="n"/>
      <c r="X27555" s="235" t="n"/>
    </row>
    <row r="27556" ht="14.25" customHeight="1" s="192">
      <c r="W27556" s="239" t="n"/>
      <c r="X27556" s="239" t="n"/>
    </row>
    <row r="27557" ht="14.25" customHeight="1" s="192">
      <c r="W27557" s="239" t="n"/>
      <c r="X27557" s="239" t="n"/>
    </row>
    <row r="27558" ht="14.25" customHeight="1" s="192">
      <c r="W27558" s="239" t="n"/>
      <c r="X27558" s="239" t="n"/>
    </row>
    <row r="27559" ht="14.25" customHeight="1" s="192">
      <c r="W27559" s="235" t="n"/>
      <c r="X27559" s="235" t="n"/>
    </row>
    <row r="27560" ht="14.25" customHeight="1" s="192">
      <c r="W27560" s="235" t="n"/>
      <c r="X27560" s="235" t="n"/>
    </row>
    <row r="27561" ht="14.25" customHeight="1" s="192">
      <c r="W27561" s="235" t="n"/>
      <c r="X27561" s="235" t="n"/>
    </row>
    <row r="27562" ht="14.25" customHeight="1" s="192">
      <c r="W27562" s="239" t="n"/>
      <c r="X27562" s="239" t="n"/>
    </row>
    <row r="27563" ht="14.25" customHeight="1" s="192">
      <c r="W27563" s="239" t="n"/>
      <c r="X27563" s="239" t="n"/>
    </row>
    <row r="27564" ht="14.25" customHeight="1" s="192">
      <c r="W27564" s="235" t="n"/>
      <c r="X27564" s="235" t="n"/>
    </row>
    <row r="27565" ht="14.25" customHeight="1" s="192">
      <c r="W27565" s="235" t="n"/>
      <c r="X27565" s="235" t="n"/>
    </row>
    <row r="27566" ht="14.25" customHeight="1" s="192">
      <c r="W27566" s="239" t="n"/>
      <c r="X27566" s="239" t="n"/>
    </row>
    <row r="27567" ht="14.25" customHeight="1" s="192">
      <c r="W27567" s="235" t="n"/>
      <c r="X27567" s="235" t="n"/>
    </row>
    <row r="27568" ht="14.25" customHeight="1" s="192">
      <c r="W27568" s="239" t="n"/>
      <c r="X27568" s="239" t="n"/>
    </row>
    <row r="27570" ht="14.25" customHeight="1" s="192">
      <c r="W27570" s="235" t="n"/>
      <c r="X27570" s="235" t="n"/>
    </row>
    <row r="27571" ht="15" customHeight="1" s="192" thickBot="1">
      <c r="W27571" s="239" t="n"/>
      <c r="X27571" s="239" t="n"/>
    </row>
    <row r="27572" ht="15" customHeight="1" s="192" thickBot="1">
      <c r="W27572" s="45" t="n"/>
      <c r="X27572" s="45" t="n"/>
    </row>
    <row r="27573" ht="14.25" customHeight="1" s="192">
      <c r="W27573" s="228" t="n"/>
      <c r="X27573" s="228" t="n"/>
    </row>
    <row r="27574" ht="14.25" customHeight="1" s="192">
      <c r="W27574" s="228" t="n"/>
      <c r="X27574" s="228" t="n"/>
    </row>
    <row r="27575" ht="14.25" customHeight="1" s="192">
      <c r="W27575" s="231" t="n"/>
      <c r="X27575" s="231" t="n"/>
    </row>
    <row r="27576" ht="14.25" customHeight="1" s="192">
      <c r="W27576" s="33" t="n"/>
      <c r="X27576" s="33" t="n"/>
    </row>
    <row r="27577" ht="14.25" customHeight="1" s="192">
      <c r="W27577" s="231" t="n"/>
      <c r="X27577" s="231" t="n"/>
    </row>
    <row r="27578" ht="14.25" customHeight="1" s="192">
      <c r="W27578" s="33" t="n"/>
      <c r="X27578" s="33" t="n"/>
    </row>
    <row r="27580" ht="14.25" customHeight="1" s="192">
      <c r="W27580" s="231" t="n"/>
      <c r="X27580" s="231" t="n"/>
    </row>
    <row r="27581" ht="14.25" customHeight="1" s="192">
      <c r="W27581" s="235" t="n"/>
      <c r="X27581" s="235" t="n"/>
    </row>
    <row r="27582" ht="14.25" customHeight="1" s="192">
      <c r="W27582" s="228" t="n"/>
      <c r="X27582" s="228" t="n"/>
    </row>
    <row r="27583" ht="14.25" customHeight="1" s="192">
      <c r="W27583" s="235" t="n"/>
      <c r="X27583" s="235" t="n"/>
    </row>
    <row r="27584" ht="14.25" customHeight="1" s="192">
      <c r="W27584" s="235" t="n"/>
      <c r="X27584" s="235" t="n"/>
    </row>
    <row r="27585" ht="14.25" customHeight="1" s="192">
      <c r="W27585" s="235" t="n"/>
      <c r="X27585" s="235" t="n"/>
    </row>
    <row r="27586" ht="14.25" customHeight="1" s="192">
      <c r="W27586" s="239" t="n"/>
      <c r="X27586" s="239" t="n"/>
    </row>
    <row r="27587" ht="14.25" customHeight="1" s="192">
      <c r="W27587" s="239" t="n"/>
      <c r="X27587" s="239" t="n"/>
    </row>
    <row r="27588" ht="14.25" customHeight="1" s="192">
      <c r="W27588" s="239" t="n"/>
      <c r="X27588" s="239" t="n"/>
    </row>
    <row r="27589" ht="14.25" customHeight="1" s="192">
      <c r="W27589" s="235" t="n"/>
      <c r="X27589" s="235" t="n"/>
    </row>
    <row r="27590" ht="14.25" customHeight="1" s="192">
      <c r="W27590" s="235" t="n"/>
      <c r="X27590" s="235" t="n"/>
    </row>
    <row r="27591" ht="14.25" customHeight="1" s="192">
      <c r="W27591" s="235" t="n"/>
      <c r="X27591" s="235" t="n"/>
    </row>
    <row r="27592" ht="14.25" customHeight="1" s="192">
      <c r="W27592" s="239" t="n"/>
      <c r="X27592" s="239" t="n"/>
    </row>
    <row r="27593" ht="14.25" customHeight="1" s="192">
      <c r="W27593" s="239" t="n"/>
      <c r="X27593" s="239" t="n"/>
    </row>
    <row r="27594" ht="14.25" customHeight="1" s="192">
      <c r="W27594" s="235" t="n"/>
      <c r="X27594" s="235" t="n"/>
    </row>
    <row r="27595" ht="14.25" customHeight="1" s="192">
      <c r="W27595" s="235" t="n"/>
      <c r="X27595" s="235" t="n"/>
    </row>
    <row r="27596" ht="14.25" customHeight="1" s="192">
      <c r="W27596" s="239" t="n"/>
      <c r="X27596" s="239" t="n"/>
    </row>
    <row r="27597" ht="14.25" customHeight="1" s="192">
      <c r="W27597" s="235" t="n"/>
      <c r="X27597" s="235" t="n"/>
    </row>
    <row r="27598" ht="14.25" customHeight="1" s="192">
      <c r="W27598" s="239" t="n"/>
      <c r="X27598" s="239" t="n"/>
    </row>
    <row r="27600" ht="14.25" customHeight="1" s="192">
      <c r="W27600" s="235" t="n"/>
      <c r="X27600" s="235" t="n"/>
    </row>
    <row r="27601" ht="15" customHeight="1" s="192" thickBot="1">
      <c r="W27601" s="239" t="n"/>
      <c r="X27601" s="239" t="n"/>
    </row>
    <row r="27602" ht="15" customHeight="1" s="192" thickBot="1">
      <c r="W27602" s="45" t="n"/>
      <c r="X27602" s="45" t="n"/>
    </row>
    <row r="27603" ht="14.25" customHeight="1" s="192">
      <c r="W27603" s="228" t="n"/>
      <c r="X27603" s="228" t="n"/>
    </row>
    <row r="27604" ht="14.25" customHeight="1" s="192">
      <c r="W27604" s="228" t="n"/>
      <c r="X27604" s="228" t="n"/>
    </row>
    <row r="27605" ht="14.25" customHeight="1" s="192">
      <c r="W27605" s="231" t="n"/>
      <c r="X27605" s="231" t="n"/>
    </row>
    <row r="27606" ht="14.25" customHeight="1" s="192">
      <c r="W27606" s="33" t="n"/>
      <c r="X27606" s="33" t="n"/>
    </row>
    <row r="27607" ht="14.25" customHeight="1" s="192">
      <c r="W27607" s="231" t="n"/>
      <c r="X27607" s="231" t="n"/>
    </row>
    <row r="27608" ht="14.25" customHeight="1" s="192">
      <c r="W27608" s="33" t="n"/>
      <c r="X27608" s="33" t="n"/>
    </row>
    <row r="27610" ht="14.25" customHeight="1" s="192">
      <c r="W27610" s="231" t="n"/>
      <c r="X27610" s="231" t="n"/>
    </row>
    <row r="27611" ht="14.25" customHeight="1" s="192">
      <c r="W27611" s="235" t="n"/>
      <c r="X27611" s="235" t="n"/>
    </row>
    <row r="27612" ht="14.25" customHeight="1" s="192">
      <c r="W27612" s="228" t="n"/>
      <c r="X27612" s="228" t="n"/>
    </row>
    <row r="27613" ht="14.25" customHeight="1" s="192">
      <c r="W27613" s="235" t="n"/>
      <c r="X27613" s="235" t="n"/>
    </row>
    <row r="27614" ht="14.25" customHeight="1" s="192">
      <c r="W27614" s="235" t="n"/>
      <c r="X27614" s="235" t="n"/>
    </row>
    <row r="27615" ht="14.25" customHeight="1" s="192">
      <c r="W27615" s="235" t="n"/>
      <c r="X27615" s="235" t="n"/>
    </row>
    <row r="27616" ht="14.25" customHeight="1" s="192">
      <c r="W27616" s="239" t="n"/>
      <c r="X27616" s="239" t="n"/>
    </row>
    <row r="27617" ht="14.25" customHeight="1" s="192">
      <c r="W27617" s="239" t="n"/>
      <c r="X27617" s="239" t="n"/>
    </row>
    <row r="27618" ht="14.25" customHeight="1" s="192">
      <c r="W27618" s="239" t="n"/>
      <c r="X27618" s="239" t="n"/>
    </row>
    <row r="27619" ht="14.25" customHeight="1" s="192">
      <c r="W27619" s="235" t="n"/>
      <c r="X27619" s="235" t="n"/>
    </row>
    <row r="27620" ht="14.25" customHeight="1" s="192">
      <c r="W27620" s="235" t="n"/>
      <c r="X27620" s="235" t="n"/>
    </row>
    <row r="27621" ht="14.25" customHeight="1" s="192">
      <c r="W27621" s="235" t="n"/>
      <c r="X27621" s="235" t="n"/>
    </row>
    <row r="27622" ht="14.25" customHeight="1" s="192">
      <c r="W27622" s="239" t="n"/>
      <c r="X27622" s="239" t="n"/>
    </row>
    <row r="27623" ht="14.25" customHeight="1" s="192">
      <c r="W27623" s="239" t="n"/>
      <c r="X27623" s="239" t="n"/>
    </row>
    <row r="27624" ht="14.25" customHeight="1" s="192">
      <c r="W27624" s="235" t="n"/>
      <c r="X27624" s="235" t="n"/>
    </row>
    <row r="27625" ht="14.25" customHeight="1" s="192">
      <c r="W27625" s="235" t="n"/>
      <c r="X27625" s="235" t="n"/>
    </row>
    <row r="27626" ht="14.25" customHeight="1" s="192">
      <c r="W27626" s="239" t="n"/>
      <c r="X27626" s="239" t="n"/>
    </row>
    <row r="27627" ht="14.25" customHeight="1" s="192">
      <c r="W27627" s="235" t="n"/>
      <c r="X27627" s="235" t="n"/>
    </row>
    <row r="27628" ht="14.25" customHeight="1" s="192">
      <c r="W27628" s="239" t="n"/>
      <c r="X27628" s="239" t="n"/>
    </row>
    <row r="27630" ht="14.25" customHeight="1" s="192">
      <c r="W27630" s="235" t="n"/>
      <c r="X27630" s="235" t="n"/>
    </row>
    <row r="27631" ht="15" customHeight="1" s="192" thickBot="1">
      <c r="W27631" s="239" t="n"/>
      <c r="X27631" s="239" t="n"/>
    </row>
    <row r="27632" ht="15" customHeight="1" s="192" thickBot="1">
      <c r="W27632" s="45" t="n"/>
      <c r="X27632" s="45" t="n"/>
    </row>
    <row r="27633" ht="14.25" customHeight="1" s="192">
      <c r="W27633" s="228" t="n"/>
      <c r="X27633" s="228" t="n"/>
    </row>
    <row r="27634" ht="14.25" customHeight="1" s="192">
      <c r="W27634" s="228" t="n"/>
      <c r="X27634" s="228" t="n"/>
    </row>
    <row r="27635" ht="14.25" customHeight="1" s="192">
      <c r="W27635" s="231" t="n"/>
      <c r="X27635" s="231" t="n"/>
    </row>
    <row r="27636" ht="14.25" customHeight="1" s="192">
      <c r="W27636" s="33" t="n"/>
      <c r="X27636" s="33" t="n"/>
    </row>
    <row r="27637" ht="14.25" customHeight="1" s="192">
      <c r="W27637" s="231" t="n"/>
      <c r="X27637" s="231" t="n"/>
    </row>
    <row r="27638" ht="14.25" customHeight="1" s="192">
      <c r="W27638" s="33" t="n"/>
      <c r="X27638" s="33" t="n"/>
    </row>
    <row r="27640" ht="14.25" customHeight="1" s="192">
      <c r="W27640" s="231" t="n"/>
      <c r="X27640" s="231" t="n"/>
    </row>
    <row r="27641" ht="14.25" customHeight="1" s="192">
      <c r="W27641" s="235" t="n"/>
      <c r="X27641" s="235" t="n"/>
    </row>
    <row r="27642" ht="14.25" customHeight="1" s="192">
      <c r="W27642" s="228" t="n"/>
      <c r="X27642" s="228" t="n"/>
    </row>
    <row r="27643" ht="14.25" customHeight="1" s="192">
      <c r="W27643" s="235" t="n"/>
      <c r="X27643" s="235" t="n"/>
    </row>
    <row r="27644" ht="14.25" customHeight="1" s="192">
      <c r="W27644" s="235" t="n"/>
      <c r="X27644" s="235" t="n"/>
    </row>
    <row r="27645" ht="14.25" customHeight="1" s="192">
      <c r="W27645" s="235" t="n"/>
      <c r="X27645" s="235" t="n"/>
    </row>
    <row r="27646" ht="14.25" customHeight="1" s="192">
      <c r="W27646" s="239" t="n"/>
      <c r="X27646" s="239" t="n"/>
    </row>
    <row r="27647" ht="14.25" customHeight="1" s="192">
      <c r="W27647" s="239" t="n"/>
      <c r="X27647" s="239" t="n"/>
    </row>
    <row r="27648" ht="14.25" customHeight="1" s="192">
      <c r="W27648" s="239" t="n"/>
      <c r="X27648" s="239" t="n"/>
    </row>
    <row r="27649" ht="14.25" customHeight="1" s="192">
      <c r="W27649" s="235" t="n"/>
      <c r="X27649" s="235" t="n"/>
    </row>
    <row r="27650" ht="14.25" customHeight="1" s="192">
      <c r="W27650" s="235" t="n"/>
      <c r="X27650" s="235" t="n"/>
    </row>
    <row r="27651" ht="14.25" customHeight="1" s="192">
      <c r="W27651" s="235" t="n"/>
      <c r="X27651" s="235" t="n"/>
    </row>
    <row r="27652" ht="14.25" customHeight="1" s="192">
      <c r="W27652" s="239" t="n"/>
      <c r="X27652" s="239" t="n"/>
    </row>
    <row r="27653" ht="14.25" customHeight="1" s="192">
      <c r="W27653" s="239" t="n"/>
      <c r="X27653" s="239" t="n"/>
    </row>
    <row r="27654" ht="14.25" customHeight="1" s="192">
      <c r="W27654" s="235" t="n"/>
      <c r="X27654" s="235" t="n"/>
    </row>
    <row r="27655" ht="14.25" customHeight="1" s="192">
      <c r="W27655" s="235" t="n"/>
      <c r="X27655" s="235" t="n"/>
    </row>
    <row r="27656" ht="14.25" customHeight="1" s="192">
      <c r="W27656" s="239" t="n"/>
      <c r="X27656" s="239" t="n"/>
    </row>
    <row r="27657" ht="14.25" customHeight="1" s="192">
      <c r="W27657" s="235" t="n"/>
      <c r="X27657" s="235" t="n"/>
    </row>
    <row r="27658" ht="14.25" customHeight="1" s="192">
      <c r="W27658" s="239" t="n"/>
      <c r="X27658" s="239" t="n"/>
    </row>
    <row r="27660" ht="14.25" customHeight="1" s="192">
      <c r="W27660" s="235" t="n"/>
      <c r="X27660" s="235" t="n"/>
    </row>
    <row r="27661" ht="15" customHeight="1" s="192" thickBot="1">
      <c r="W27661" s="239" t="n"/>
      <c r="X27661" s="239" t="n"/>
    </row>
    <row r="27662" ht="15" customHeight="1" s="192" thickBot="1">
      <c r="W27662" s="45" t="n"/>
      <c r="X27662" s="45" t="n"/>
    </row>
    <row r="27663" ht="14.25" customHeight="1" s="192">
      <c r="W27663" s="228" t="n"/>
      <c r="X27663" s="228" t="n"/>
    </row>
    <row r="27664" ht="14.25" customHeight="1" s="192">
      <c r="W27664" s="228" t="n"/>
      <c r="X27664" s="228" t="n"/>
    </row>
    <row r="27665" ht="14.25" customHeight="1" s="192">
      <c r="W27665" s="231" t="n"/>
      <c r="X27665" s="231" t="n"/>
    </row>
    <row r="27666" ht="14.25" customHeight="1" s="192">
      <c r="W27666" s="33" t="n"/>
      <c r="X27666" s="33" t="n"/>
    </row>
    <row r="27667" ht="14.25" customHeight="1" s="192">
      <c r="W27667" s="231" t="n"/>
      <c r="X27667" s="231" t="n"/>
    </row>
    <row r="27668" ht="14.25" customHeight="1" s="192">
      <c r="W27668" s="33" t="n"/>
      <c r="X27668" s="33" t="n"/>
    </row>
    <row r="27670" ht="14.25" customHeight="1" s="192">
      <c r="W27670" s="231" t="n"/>
      <c r="X27670" s="231" t="n"/>
    </row>
    <row r="27671" ht="14.25" customHeight="1" s="192">
      <c r="W27671" s="235" t="n"/>
      <c r="X27671" s="235" t="n"/>
    </row>
    <row r="27672" ht="14.25" customHeight="1" s="192">
      <c r="W27672" s="228" t="n"/>
      <c r="X27672" s="228" t="n"/>
    </row>
    <row r="27673" ht="14.25" customHeight="1" s="192">
      <c r="W27673" s="235" t="n"/>
      <c r="X27673" s="235" t="n"/>
    </row>
    <row r="27674" ht="14.25" customHeight="1" s="192">
      <c r="W27674" s="235" t="n"/>
      <c r="X27674" s="235" t="n"/>
    </row>
    <row r="27675" ht="14.25" customHeight="1" s="192">
      <c r="W27675" s="235" t="n"/>
      <c r="X27675" s="235" t="n"/>
    </row>
    <row r="27676" ht="14.25" customHeight="1" s="192">
      <c r="W27676" s="239" t="n"/>
      <c r="X27676" s="239" t="n"/>
    </row>
    <row r="27677" ht="14.25" customHeight="1" s="192">
      <c r="W27677" s="239" t="n"/>
      <c r="X27677" s="239" t="n"/>
    </row>
    <row r="27678" ht="14.25" customHeight="1" s="192">
      <c r="W27678" s="239" t="n"/>
      <c r="X27678" s="239" t="n"/>
    </row>
    <row r="27679" ht="14.25" customHeight="1" s="192">
      <c r="W27679" s="235" t="n"/>
      <c r="X27679" s="235" t="n"/>
    </row>
    <row r="27680" ht="14.25" customHeight="1" s="192">
      <c r="W27680" s="235" t="n"/>
      <c r="X27680" s="235" t="n"/>
    </row>
    <row r="27681" ht="14.25" customHeight="1" s="192">
      <c r="W27681" s="235" t="n"/>
      <c r="X27681" s="235" t="n"/>
    </row>
    <row r="27682" ht="14.25" customHeight="1" s="192">
      <c r="W27682" s="239" t="n"/>
      <c r="X27682" s="239" t="n"/>
    </row>
    <row r="27683" ht="14.25" customHeight="1" s="192">
      <c r="W27683" s="239" t="n"/>
      <c r="X27683" s="239" t="n"/>
    </row>
    <row r="27684" ht="14.25" customHeight="1" s="192">
      <c r="W27684" s="235" t="n"/>
      <c r="X27684" s="235" t="n"/>
    </row>
    <row r="27685" ht="14.25" customHeight="1" s="192">
      <c r="W27685" s="235" t="n"/>
      <c r="X27685" s="235" t="n"/>
    </row>
    <row r="27686" ht="14.25" customHeight="1" s="192">
      <c r="W27686" s="239" t="n"/>
      <c r="X27686" s="239" t="n"/>
    </row>
    <row r="27687" ht="14.25" customHeight="1" s="192">
      <c r="W27687" s="235" t="n"/>
      <c r="X27687" s="235" t="n"/>
    </row>
    <row r="27688" ht="14.25" customHeight="1" s="192">
      <c r="W27688" s="239" t="n"/>
      <c r="X27688" s="239" t="n"/>
    </row>
    <row r="27690" ht="14.25" customHeight="1" s="192">
      <c r="W27690" s="235" t="n"/>
      <c r="X27690" s="235" t="n"/>
    </row>
    <row r="27691" ht="15" customHeight="1" s="192" thickBot="1">
      <c r="W27691" s="239" t="n"/>
      <c r="X27691" s="239" t="n"/>
    </row>
    <row r="27692" ht="15" customHeight="1" s="192" thickBot="1">
      <c r="W27692" s="45" t="n"/>
      <c r="X27692" s="45" t="n"/>
    </row>
    <row r="27693" ht="14.25" customHeight="1" s="192">
      <c r="W27693" s="228" t="n"/>
      <c r="X27693" s="228" t="n"/>
    </row>
    <row r="27694" ht="14.25" customHeight="1" s="192">
      <c r="W27694" s="228" t="n"/>
      <c r="X27694" s="228" t="n"/>
    </row>
    <row r="27695" ht="14.25" customHeight="1" s="192">
      <c r="W27695" s="231" t="n"/>
      <c r="X27695" s="231" t="n"/>
    </row>
    <row r="27696" ht="14.25" customHeight="1" s="192">
      <c r="W27696" s="33" t="n"/>
      <c r="X27696" s="33" t="n"/>
    </row>
    <row r="27697" ht="14.25" customHeight="1" s="192">
      <c r="W27697" s="231" t="n"/>
      <c r="X27697" s="231" t="n"/>
    </row>
    <row r="27698" ht="14.25" customHeight="1" s="192">
      <c r="W27698" s="33" t="n"/>
      <c r="X27698" s="33" t="n"/>
    </row>
    <row r="27700" ht="14.25" customHeight="1" s="192">
      <c r="W27700" s="231" t="n"/>
      <c r="X27700" s="231" t="n"/>
    </row>
    <row r="27701" ht="14.25" customHeight="1" s="192">
      <c r="W27701" s="235" t="n"/>
      <c r="X27701" s="235" t="n"/>
    </row>
    <row r="27702" ht="14.25" customHeight="1" s="192">
      <c r="W27702" s="228" t="n"/>
      <c r="X27702" s="228" t="n"/>
    </row>
    <row r="27703" ht="14.25" customHeight="1" s="192">
      <c r="W27703" s="235" t="n"/>
      <c r="X27703" s="235" t="n"/>
    </row>
    <row r="27704" ht="14.25" customHeight="1" s="192">
      <c r="W27704" s="235" t="n"/>
      <c r="X27704" s="235" t="n"/>
    </row>
    <row r="27705" ht="14.25" customHeight="1" s="192">
      <c r="W27705" s="235" t="n"/>
      <c r="X27705" s="235" t="n"/>
    </row>
    <row r="27706" ht="14.25" customHeight="1" s="192">
      <c r="W27706" s="239" t="n"/>
      <c r="X27706" s="239" t="n"/>
    </row>
    <row r="27707" ht="14.25" customHeight="1" s="192">
      <c r="W27707" s="239" t="n"/>
      <c r="X27707" s="239" t="n"/>
    </row>
    <row r="27708" ht="14.25" customHeight="1" s="192">
      <c r="W27708" s="239" t="n"/>
      <c r="X27708" s="239" t="n"/>
    </row>
    <row r="27709" ht="14.25" customHeight="1" s="192">
      <c r="W27709" s="235" t="n"/>
      <c r="X27709" s="235" t="n"/>
    </row>
    <row r="27710" ht="14.25" customHeight="1" s="192">
      <c r="W27710" s="235" t="n"/>
      <c r="X27710" s="235" t="n"/>
    </row>
    <row r="27711" ht="14.25" customHeight="1" s="192">
      <c r="W27711" s="235" t="n"/>
      <c r="X27711" s="235" t="n"/>
    </row>
    <row r="27712" ht="14.25" customHeight="1" s="192">
      <c r="W27712" s="239" t="n"/>
      <c r="X27712" s="239" t="n"/>
    </row>
    <row r="27713" ht="14.25" customHeight="1" s="192">
      <c r="W27713" s="239" t="n"/>
      <c r="X27713" s="239" t="n"/>
    </row>
    <row r="27714" ht="14.25" customHeight="1" s="192">
      <c r="W27714" s="235" t="n"/>
      <c r="X27714" s="235" t="n"/>
    </row>
    <row r="27715" ht="14.25" customHeight="1" s="192">
      <c r="W27715" s="235" t="n"/>
      <c r="X27715" s="235" t="n"/>
    </row>
    <row r="27716" ht="14.25" customHeight="1" s="192">
      <c r="W27716" s="239" t="n"/>
      <c r="X27716" s="239" t="n"/>
    </row>
    <row r="27717" ht="14.25" customHeight="1" s="192">
      <c r="W27717" s="235" t="n"/>
      <c r="X27717" s="235" t="n"/>
    </row>
    <row r="27718" ht="14.25" customHeight="1" s="192">
      <c r="W27718" s="239" t="n"/>
      <c r="X27718" s="239" t="n"/>
    </row>
    <row r="27720" ht="14.25" customHeight="1" s="192">
      <c r="W27720" s="235" t="n"/>
      <c r="X27720" s="235" t="n"/>
    </row>
    <row r="27721" ht="15" customHeight="1" s="192" thickBot="1">
      <c r="W27721" s="239" t="n"/>
      <c r="X27721" s="239" t="n"/>
    </row>
    <row r="27722" ht="15" customHeight="1" s="192" thickBot="1">
      <c r="W27722" s="45" t="n"/>
      <c r="X27722" s="45" t="n"/>
    </row>
    <row r="27723" ht="14.25" customHeight="1" s="192">
      <c r="W27723" s="228" t="n"/>
      <c r="X27723" s="228" t="n"/>
    </row>
    <row r="27724" ht="14.25" customHeight="1" s="192">
      <c r="W27724" s="228" t="n"/>
      <c r="X27724" s="228" t="n"/>
    </row>
    <row r="27725" ht="14.25" customHeight="1" s="192">
      <c r="W27725" s="231" t="n"/>
      <c r="X27725" s="231" t="n"/>
    </row>
    <row r="27726" ht="14.25" customHeight="1" s="192">
      <c r="W27726" s="33" t="n"/>
      <c r="X27726" s="33" t="n"/>
    </row>
    <row r="27727" ht="14.25" customHeight="1" s="192">
      <c r="W27727" s="231" t="n"/>
      <c r="X27727" s="231" t="n"/>
    </row>
    <row r="27728" ht="14.25" customHeight="1" s="192">
      <c r="W27728" s="33" t="n"/>
      <c r="X27728" s="33" t="n"/>
    </row>
    <row r="27730" ht="14.25" customHeight="1" s="192">
      <c r="W27730" s="231" t="n"/>
      <c r="X27730" s="231" t="n"/>
    </row>
    <row r="27731" ht="14.25" customHeight="1" s="192">
      <c r="W27731" s="235" t="n"/>
      <c r="X27731" s="235" t="n"/>
    </row>
    <row r="27732" ht="14.25" customHeight="1" s="192">
      <c r="W27732" s="228" t="n"/>
      <c r="X27732" s="228" t="n"/>
    </row>
    <row r="27733" ht="14.25" customHeight="1" s="192">
      <c r="W27733" s="235" t="n"/>
      <c r="X27733" s="235" t="n"/>
    </row>
    <row r="27734" ht="14.25" customHeight="1" s="192">
      <c r="W27734" s="235" t="n"/>
      <c r="X27734" s="235" t="n"/>
    </row>
    <row r="27735" ht="14.25" customHeight="1" s="192">
      <c r="W27735" s="235" t="n"/>
      <c r="X27735" s="235" t="n"/>
    </row>
    <row r="27736" ht="14.25" customHeight="1" s="192">
      <c r="W27736" s="239" t="n"/>
      <c r="X27736" s="239" t="n"/>
    </row>
    <row r="27737" ht="14.25" customHeight="1" s="192">
      <c r="W27737" s="239" t="n"/>
      <c r="X27737" s="239" t="n"/>
    </row>
    <row r="27738" ht="14.25" customHeight="1" s="192">
      <c r="W27738" s="239" t="n"/>
      <c r="X27738" s="239" t="n"/>
    </row>
    <row r="27739" ht="14.25" customHeight="1" s="192">
      <c r="W27739" s="235" t="n"/>
      <c r="X27739" s="235" t="n"/>
    </row>
    <row r="27740" ht="14.25" customHeight="1" s="192">
      <c r="W27740" s="235" t="n"/>
      <c r="X27740" s="235" t="n"/>
    </row>
    <row r="27741" ht="14.25" customHeight="1" s="192">
      <c r="W27741" s="235" t="n"/>
      <c r="X27741" s="235" t="n"/>
    </row>
    <row r="27742" ht="14.25" customHeight="1" s="192">
      <c r="W27742" s="239" t="n"/>
      <c r="X27742" s="239" t="n"/>
    </row>
    <row r="27743" ht="14.25" customHeight="1" s="192">
      <c r="W27743" s="239" t="n"/>
      <c r="X27743" s="239" t="n"/>
    </row>
    <row r="27744" ht="14.25" customHeight="1" s="192">
      <c r="W27744" s="235" t="n"/>
      <c r="X27744" s="235" t="n"/>
    </row>
    <row r="27745" ht="14.25" customHeight="1" s="192">
      <c r="W27745" s="235" t="n"/>
      <c r="X27745" s="235" t="n"/>
    </row>
    <row r="27746" ht="14.25" customHeight="1" s="192">
      <c r="W27746" s="239" t="n"/>
      <c r="X27746" s="239" t="n"/>
    </row>
    <row r="27747" ht="14.25" customHeight="1" s="192">
      <c r="W27747" s="235" t="n"/>
      <c r="X27747" s="235" t="n"/>
    </row>
    <row r="27748" ht="14.25" customHeight="1" s="192">
      <c r="W27748" s="239" t="n"/>
      <c r="X27748" s="239" t="n"/>
    </row>
    <row r="27750" ht="14.25" customHeight="1" s="192">
      <c r="W27750" s="235" t="n"/>
      <c r="X27750" s="235" t="n"/>
    </row>
    <row r="27751" ht="15" customHeight="1" s="192" thickBot="1">
      <c r="W27751" s="239" t="n"/>
      <c r="X27751" s="239" t="n"/>
    </row>
    <row r="27752" ht="15" customHeight="1" s="192" thickBot="1">
      <c r="W27752" s="45" t="n"/>
      <c r="X27752" s="45" t="n"/>
    </row>
    <row r="27753" ht="14.25" customHeight="1" s="192">
      <c r="W27753" s="228" t="n"/>
      <c r="X27753" s="228" t="n"/>
    </row>
    <row r="27754" ht="14.25" customHeight="1" s="192">
      <c r="W27754" s="228" t="n"/>
      <c r="X27754" s="228" t="n"/>
    </row>
    <row r="27755" ht="14.25" customHeight="1" s="192">
      <c r="W27755" s="231" t="n"/>
      <c r="X27755" s="231" t="n"/>
    </row>
    <row r="27756" ht="14.25" customHeight="1" s="192">
      <c r="W27756" s="33" t="n"/>
      <c r="X27756" s="33" t="n"/>
    </row>
    <row r="27757" ht="14.25" customHeight="1" s="192">
      <c r="W27757" s="231" t="n"/>
      <c r="X27757" s="231" t="n"/>
    </row>
    <row r="27758" ht="14.25" customHeight="1" s="192">
      <c r="W27758" s="33" t="n"/>
      <c r="X27758" s="33" t="n"/>
    </row>
    <row r="27760" ht="14.25" customHeight="1" s="192">
      <c r="W27760" s="231" t="n"/>
      <c r="X27760" s="231" t="n"/>
    </row>
    <row r="27761" ht="14.25" customHeight="1" s="192">
      <c r="W27761" s="235" t="n"/>
      <c r="X27761" s="235" t="n"/>
    </row>
    <row r="27762" ht="14.25" customHeight="1" s="192">
      <c r="W27762" s="228" t="n"/>
      <c r="X27762" s="228" t="n"/>
    </row>
    <row r="27763" ht="14.25" customHeight="1" s="192">
      <c r="W27763" s="235" t="n"/>
      <c r="X27763" s="235" t="n"/>
    </row>
    <row r="27764" ht="14.25" customHeight="1" s="192">
      <c r="W27764" s="235" t="n"/>
      <c r="X27764" s="235" t="n"/>
    </row>
    <row r="27765" ht="14.25" customHeight="1" s="192">
      <c r="W27765" s="235" t="n"/>
      <c r="X27765" s="235" t="n"/>
    </row>
    <row r="27766" ht="14.25" customHeight="1" s="192">
      <c r="W27766" s="239" t="n"/>
      <c r="X27766" s="239" t="n"/>
    </row>
    <row r="27767" ht="14.25" customHeight="1" s="192">
      <c r="W27767" s="239" t="n"/>
      <c r="X27767" s="239" t="n"/>
    </row>
    <row r="27768" ht="14.25" customHeight="1" s="192">
      <c r="W27768" s="239" t="n"/>
      <c r="X27768" s="239" t="n"/>
    </row>
    <row r="27769" ht="14.25" customHeight="1" s="192">
      <c r="W27769" s="235" t="n"/>
      <c r="X27769" s="235" t="n"/>
    </row>
    <row r="27770" ht="14.25" customHeight="1" s="192">
      <c r="W27770" s="235" t="n"/>
      <c r="X27770" s="235" t="n"/>
    </row>
    <row r="27771" ht="14.25" customHeight="1" s="192">
      <c r="W27771" s="235" t="n"/>
      <c r="X27771" s="235" t="n"/>
    </row>
    <row r="27772" ht="14.25" customHeight="1" s="192">
      <c r="W27772" s="239" t="n"/>
      <c r="X27772" s="239" t="n"/>
    </row>
    <row r="27773" ht="14.25" customHeight="1" s="192">
      <c r="W27773" s="239" t="n"/>
      <c r="X27773" s="239" t="n"/>
    </row>
    <row r="27774" ht="14.25" customHeight="1" s="192">
      <c r="W27774" s="235" t="n"/>
      <c r="X27774" s="235" t="n"/>
    </row>
    <row r="27775" ht="14.25" customHeight="1" s="192">
      <c r="W27775" s="235" t="n"/>
      <c r="X27775" s="235" t="n"/>
    </row>
    <row r="27776" ht="14.25" customHeight="1" s="192">
      <c r="W27776" s="239" t="n"/>
      <c r="X27776" s="239" t="n"/>
    </row>
    <row r="27777" ht="14.25" customHeight="1" s="192">
      <c r="W27777" s="235" t="n"/>
      <c r="X27777" s="235" t="n"/>
    </row>
    <row r="27778" ht="14.25" customHeight="1" s="192">
      <c r="W27778" s="239" t="n"/>
      <c r="X27778" s="239" t="n"/>
    </row>
    <row r="27780" ht="14.25" customHeight="1" s="192">
      <c r="W27780" s="235" t="n"/>
      <c r="X27780" s="235" t="n"/>
    </row>
    <row r="27781" ht="15" customHeight="1" s="192" thickBot="1">
      <c r="W27781" s="239" t="n"/>
      <c r="X27781" s="239" t="n"/>
    </row>
    <row r="27782" ht="15" customHeight="1" s="192" thickBot="1">
      <c r="W27782" s="45" t="n"/>
      <c r="X27782" s="45" t="n"/>
    </row>
    <row r="27783" ht="14.25" customHeight="1" s="192">
      <c r="W27783" s="228" t="n"/>
      <c r="X27783" s="228" t="n"/>
    </row>
    <row r="27784" ht="14.25" customHeight="1" s="192">
      <c r="W27784" s="228" t="n"/>
      <c r="X27784" s="228" t="n"/>
    </row>
    <row r="27785" ht="14.25" customHeight="1" s="192">
      <c r="W27785" s="231" t="n"/>
      <c r="X27785" s="231" t="n"/>
    </row>
    <row r="27786" ht="14.25" customHeight="1" s="192">
      <c r="W27786" s="33" t="n"/>
      <c r="X27786" s="33" t="n"/>
    </row>
    <row r="27787" ht="14.25" customHeight="1" s="192">
      <c r="W27787" s="231" t="n"/>
      <c r="X27787" s="231" t="n"/>
    </row>
    <row r="27788" ht="14.25" customHeight="1" s="192">
      <c r="W27788" s="33" t="n"/>
      <c r="X27788" s="33" t="n"/>
    </row>
    <row r="27790" ht="14.25" customHeight="1" s="192">
      <c r="W27790" s="231" t="n"/>
      <c r="X27790" s="231" t="n"/>
    </row>
    <row r="27791" ht="14.25" customHeight="1" s="192">
      <c r="W27791" s="235" t="n"/>
      <c r="X27791" s="235" t="n"/>
    </row>
    <row r="27792" ht="14.25" customHeight="1" s="192">
      <c r="W27792" s="228" t="n"/>
      <c r="X27792" s="228" t="n"/>
    </row>
    <row r="27793" ht="14.25" customHeight="1" s="192">
      <c r="W27793" s="235" t="n"/>
      <c r="X27793" s="235" t="n"/>
    </row>
    <row r="27794" ht="14.25" customHeight="1" s="192">
      <c r="W27794" s="235" t="n"/>
      <c r="X27794" s="235" t="n"/>
    </row>
    <row r="27795" ht="14.25" customHeight="1" s="192">
      <c r="W27795" s="235" t="n"/>
      <c r="X27795" s="235" t="n"/>
    </row>
    <row r="27796" ht="14.25" customHeight="1" s="192">
      <c r="W27796" s="239" t="n"/>
      <c r="X27796" s="239" t="n"/>
    </row>
    <row r="27797" ht="14.25" customHeight="1" s="192">
      <c r="W27797" s="239" t="n"/>
      <c r="X27797" s="239" t="n"/>
    </row>
    <row r="27798" ht="14.25" customHeight="1" s="192">
      <c r="W27798" s="239" t="n"/>
      <c r="X27798" s="239" t="n"/>
    </row>
    <row r="27799" ht="14.25" customHeight="1" s="192">
      <c r="W27799" s="235" t="n"/>
      <c r="X27799" s="235" t="n"/>
    </row>
    <row r="27800" ht="14.25" customHeight="1" s="192">
      <c r="W27800" s="235" t="n"/>
      <c r="X27800" s="235" t="n"/>
    </row>
    <row r="27801" ht="14.25" customHeight="1" s="192">
      <c r="W27801" s="235" t="n"/>
      <c r="X27801" s="235" t="n"/>
    </row>
    <row r="27802" ht="14.25" customHeight="1" s="192">
      <c r="W27802" s="239" t="n"/>
      <c r="X27802" s="239" t="n"/>
    </row>
    <row r="27803" ht="14.25" customHeight="1" s="192">
      <c r="W27803" s="239" t="n"/>
      <c r="X27803" s="239" t="n"/>
    </row>
    <row r="27804" ht="14.25" customHeight="1" s="192">
      <c r="W27804" s="235" t="n"/>
      <c r="X27804" s="235" t="n"/>
    </row>
    <row r="27805" ht="14.25" customHeight="1" s="192">
      <c r="W27805" s="235" t="n"/>
      <c r="X27805" s="235" t="n"/>
    </row>
    <row r="27806" ht="14.25" customHeight="1" s="192">
      <c r="W27806" s="239" t="n"/>
      <c r="X27806" s="239" t="n"/>
    </row>
    <row r="27807" ht="14.25" customHeight="1" s="192">
      <c r="W27807" s="235" t="n"/>
      <c r="X27807" s="235" t="n"/>
    </row>
    <row r="27808" ht="14.25" customHeight="1" s="192">
      <c r="W27808" s="239" t="n"/>
      <c r="X27808" s="239" t="n"/>
    </row>
    <row r="27810" ht="14.25" customHeight="1" s="192">
      <c r="W27810" s="235" t="n"/>
      <c r="X27810" s="235" t="n"/>
    </row>
    <row r="27811" ht="15" customHeight="1" s="192" thickBot="1">
      <c r="W27811" s="239" t="n"/>
      <c r="X27811" s="239" t="n"/>
    </row>
    <row r="27812" ht="15" customHeight="1" s="192" thickBot="1">
      <c r="W27812" s="45" t="n"/>
      <c r="X27812" s="45" t="n"/>
    </row>
    <row r="27813" ht="14.25" customHeight="1" s="192">
      <c r="W27813" s="228" t="n"/>
      <c r="X27813" s="228" t="n"/>
    </row>
    <row r="27814" ht="14.25" customHeight="1" s="192">
      <c r="W27814" s="228" t="n"/>
      <c r="X27814" s="228" t="n"/>
    </row>
    <row r="27815" ht="14.25" customHeight="1" s="192">
      <c r="W27815" s="231" t="n"/>
      <c r="X27815" s="231" t="n"/>
    </row>
    <row r="27816" ht="14.25" customHeight="1" s="192">
      <c r="W27816" s="33" t="n"/>
      <c r="X27816" s="33" t="n"/>
    </row>
    <row r="27817" ht="14.25" customHeight="1" s="192">
      <c r="W27817" s="231" t="n"/>
      <c r="X27817" s="231" t="n"/>
    </row>
    <row r="27818" ht="14.25" customHeight="1" s="192">
      <c r="W27818" s="33" t="n"/>
      <c r="X27818" s="33" t="n"/>
    </row>
    <row r="27820" ht="14.25" customHeight="1" s="192">
      <c r="W27820" s="231" t="n"/>
      <c r="X27820" s="231" t="n"/>
    </row>
    <row r="27821" ht="14.25" customHeight="1" s="192">
      <c r="W27821" s="235" t="n"/>
      <c r="X27821" s="235" t="n"/>
    </row>
    <row r="27822" ht="14.25" customHeight="1" s="192">
      <c r="W27822" s="228" t="n"/>
      <c r="X27822" s="228" t="n"/>
    </row>
    <row r="27823" ht="14.25" customHeight="1" s="192">
      <c r="W27823" s="235" t="n"/>
      <c r="X27823" s="235" t="n"/>
    </row>
    <row r="27824" ht="14.25" customHeight="1" s="192">
      <c r="W27824" s="235" t="n"/>
      <c r="X27824" s="235" t="n"/>
    </row>
    <row r="27825" ht="14.25" customHeight="1" s="192">
      <c r="W27825" s="235" t="n"/>
      <c r="X27825" s="235" t="n"/>
    </row>
    <row r="27826" ht="14.25" customHeight="1" s="192">
      <c r="W27826" s="239" t="n"/>
      <c r="X27826" s="239" t="n"/>
    </row>
    <row r="27827" ht="14.25" customHeight="1" s="192">
      <c r="W27827" s="239" t="n"/>
      <c r="X27827" s="239" t="n"/>
    </row>
    <row r="27828" ht="14.25" customHeight="1" s="192">
      <c r="W27828" s="239" t="n"/>
      <c r="X27828" s="239" t="n"/>
    </row>
    <row r="27829" ht="14.25" customHeight="1" s="192">
      <c r="W27829" s="235" t="n"/>
      <c r="X27829" s="235" t="n"/>
    </row>
    <row r="27830" ht="14.25" customHeight="1" s="192">
      <c r="W27830" s="235" t="n"/>
      <c r="X27830" s="235" t="n"/>
    </row>
    <row r="27831" ht="14.25" customHeight="1" s="192">
      <c r="W27831" s="235" t="n"/>
      <c r="X27831" s="235" t="n"/>
    </row>
    <row r="27832" ht="14.25" customHeight="1" s="192">
      <c r="W27832" s="239" t="n"/>
      <c r="X27832" s="239" t="n"/>
    </row>
    <row r="27833" ht="14.25" customHeight="1" s="192">
      <c r="W27833" s="239" t="n"/>
      <c r="X27833" s="239" t="n"/>
    </row>
    <row r="27834" ht="14.25" customHeight="1" s="192">
      <c r="W27834" s="235" t="n"/>
      <c r="X27834" s="235" t="n"/>
    </row>
    <row r="27835" ht="14.25" customHeight="1" s="192">
      <c r="W27835" s="235" t="n"/>
      <c r="X27835" s="235" t="n"/>
    </row>
    <row r="27836" ht="14.25" customHeight="1" s="192">
      <c r="W27836" s="239" t="n"/>
      <c r="X27836" s="239" t="n"/>
    </row>
    <row r="27837" ht="14.25" customHeight="1" s="192">
      <c r="W27837" s="235" t="n"/>
      <c r="X27837" s="235" t="n"/>
    </row>
    <row r="27838" ht="14.25" customHeight="1" s="192">
      <c r="W27838" s="239" t="n"/>
      <c r="X27838" s="239" t="n"/>
    </row>
    <row r="27840" ht="14.25" customHeight="1" s="192">
      <c r="W27840" s="235" t="n"/>
      <c r="X27840" s="235" t="n"/>
    </row>
    <row r="27841" ht="15" customHeight="1" s="192" thickBot="1">
      <c r="W27841" s="239" t="n"/>
      <c r="X27841" s="239" t="n"/>
    </row>
    <row r="27842" ht="15" customHeight="1" s="192" thickBot="1">
      <c r="W27842" s="45" t="n"/>
      <c r="X27842" s="45" t="n"/>
    </row>
    <row r="27843" ht="14.25" customHeight="1" s="192">
      <c r="W27843" s="228" t="n"/>
      <c r="X27843" s="228" t="n"/>
    </row>
    <row r="27844" ht="14.25" customHeight="1" s="192">
      <c r="W27844" s="228" t="n"/>
      <c r="X27844" s="228" t="n"/>
    </row>
    <row r="27845" ht="14.25" customHeight="1" s="192">
      <c r="W27845" s="231" t="n"/>
      <c r="X27845" s="231" t="n"/>
    </row>
    <row r="27846" ht="14.25" customHeight="1" s="192">
      <c r="W27846" s="33" t="n"/>
      <c r="X27846" s="33" t="n"/>
    </row>
    <row r="27847" ht="14.25" customHeight="1" s="192">
      <c r="W27847" s="231" t="n"/>
      <c r="X27847" s="231" t="n"/>
    </row>
    <row r="27848" ht="14.25" customHeight="1" s="192">
      <c r="W27848" s="33" t="n"/>
      <c r="X27848" s="33" t="n"/>
    </row>
    <row r="27850" ht="14.25" customHeight="1" s="192">
      <c r="W27850" s="231" t="n"/>
      <c r="X27850" s="231" t="n"/>
    </row>
    <row r="27851" ht="14.25" customHeight="1" s="192">
      <c r="W27851" s="235" t="n"/>
      <c r="X27851" s="235" t="n"/>
    </row>
    <row r="27852" ht="14.25" customHeight="1" s="192">
      <c r="W27852" s="228" t="n"/>
      <c r="X27852" s="228" t="n"/>
    </row>
    <row r="27853" ht="14.25" customHeight="1" s="192">
      <c r="W27853" s="235" t="n"/>
      <c r="X27853" s="235" t="n"/>
    </row>
    <row r="27854" ht="14.25" customHeight="1" s="192">
      <c r="W27854" s="235" t="n"/>
      <c r="X27854" s="235" t="n"/>
    </row>
    <row r="27855" ht="14.25" customHeight="1" s="192">
      <c r="W27855" s="235" t="n"/>
      <c r="X27855" s="235" t="n"/>
    </row>
    <row r="27856" ht="14.25" customHeight="1" s="192">
      <c r="W27856" s="239" t="n"/>
      <c r="X27856" s="239" t="n"/>
    </row>
    <row r="27857" ht="14.25" customHeight="1" s="192">
      <c r="W27857" s="239" t="n"/>
      <c r="X27857" s="239" t="n"/>
    </row>
    <row r="27858" ht="14.25" customHeight="1" s="192">
      <c r="W27858" s="239" t="n"/>
      <c r="X27858" s="239" t="n"/>
    </row>
    <row r="27859" ht="14.25" customHeight="1" s="192">
      <c r="W27859" s="235" t="n"/>
      <c r="X27859" s="235" t="n"/>
    </row>
    <row r="27860" ht="14.25" customHeight="1" s="192">
      <c r="W27860" s="235" t="n"/>
      <c r="X27860" s="235" t="n"/>
    </row>
    <row r="27861" ht="14.25" customHeight="1" s="192">
      <c r="W27861" s="235" t="n"/>
      <c r="X27861" s="235" t="n"/>
    </row>
    <row r="27862" ht="14.25" customHeight="1" s="192">
      <c r="W27862" s="239" t="n"/>
      <c r="X27862" s="239" t="n"/>
    </row>
    <row r="27863" ht="14.25" customHeight="1" s="192">
      <c r="W27863" s="239" t="n"/>
      <c r="X27863" s="239" t="n"/>
    </row>
    <row r="27864" ht="14.25" customHeight="1" s="192">
      <c r="W27864" s="235" t="n"/>
      <c r="X27864" s="235" t="n"/>
    </row>
    <row r="27865" ht="14.25" customHeight="1" s="192">
      <c r="W27865" s="235" t="n"/>
      <c r="X27865" s="235" t="n"/>
    </row>
    <row r="27866" ht="14.25" customHeight="1" s="192">
      <c r="W27866" s="239" t="n"/>
      <c r="X27866" s="239" t="n"/>
    </row>
    <row r="27867" ht="14.25" customHeight="1" s="192">
      <c r="W27867" s="235" t="n"/>
      <c r="X27867" s="235" t="n"/>
    </row>
    <row r="27868" ht="14.25" customHeight="1" s="192">
      <c r="W27868" s="239" t="n"/>
      <c r="X27868" s="239" t="n"/>
    </row>
    <row r="27870" ht="14.25" customHeight="1" s="192">
      <c r="W27870" s="235" t="n"/>
      <c r="X27870" s="235" t="n"/>
    </row>
    <row r="27871" ht="15" customHeight="1" s="192" thickBot="1">
      <c r="W27871" s="239" t="n"/>
      <c r="X27871" s="239" t="n"/>
    </row>
    <row r="27872" ht="15" customHeight="1" s="192" thickBot="1">
      <c r="W27872" s="45" t="n"/>
      <c r="X27872" s="45" t="n"/>
    </row>
    <row r="27873" ht="14.25" customHeight="1" s="192">
      <c r="W27873" s="228" t="n"/>
      <c r="X27873" s="228" t="n"/>
    </row>
    <row r="27874" ht="14.25" customHeight="1" s="192">
      <c r="W27874" s="228" t="n"/>
      <c r="X27874" s="228" t="n"/>
    </row>
    <row r="27875" ht="14.25" customHeight="1" s="192">
      <c r="W27875" s="231" t="n"/>
      <c r="X27875" s="231" t="n"/>
    </row>
    <row r="27876" ht="14.25" customHeight="1" s="192">
      <c r="W27876" s="33" t="n"/>
      <c r="X27876" s="33" t="n"/>
    </row>
    <row r="27877" ht="14.25" customHeight="1" s="192">
      <c r="W27877" s="231" t="n"/>
      <c r="X27877" s="231" t="n"/>
    </row>
    <row r="27878" ht="14.25" customHeight="1" s="192">
      <c r="W27878" s="33" t="n"/>
      <c r="X27878" s="33" t="n"/>
    </row>
    <row r="27880" ht="14.25" customHeight="1" s="192">
      <c r="W27880" s="231" t="n"/>
      <c r="X27880" s="231" t="n"/>
    </row>
    <row r="27881" ht="14.25" customHeight="1" s="192">
      <c r="W27881" s="235" t="n"/>
      <c r="X27881" s="235" t="n"/>
    </row>
    <row r="27882" ht="14.25" customHeight="1" s="192">
      <c r="W27882" s="228" t="n"/>
      <c r="X27882" s="228" t="n"/>
    </row>
    <row r="27883" ht="14.25" customHeight="1" s="192">
      <c r="W27883" s="235" t="n"/>
      <c r="X27883" s="235" t="n"/>
    </row>
    <row r="27884" ht="14.25" customHeight="1" s="192">
      <c r="W27884" s="235" t="n"/>
      <c r="X27884" s="235" t="n"/>
    </row>
    <row r="27885" ht="14.25" customHeight="1" s="192">
      <c r="W27885" s="235" t="n"/>
      <c r="X27885" s="235" t="n"/>
    </row>
    <row r="27886" ht="14.25" customHeight="1" s="192">
      <c r="W27886" s="239" t="n"/>
      <c r="X27886" s="239" t="n"/>
    </row>
    <row r="27887" ht="14.25" customHeight="1" s="192">
      <c r="W27887" s="239" t="n"/>
      <c r="X27887" s="239" t="n"/>
    </row>
    <row r="27888" ht="14.25" customHeight="1" s="192">
      <c r="W27888" s="239" t="n"/>
      <c r="X27888" s="239" t="n"/>
    </row>
    <row r="27889" ht="14.25" customHeight="1" s="192">
      <c r="W27889" s="235" t="n"/>
      <c r="X27889" s="235" t="n"/>
    </row>
    <row r="27890" ht="14.25" customHeight="1" s="192">
      <c r="W27890" s="235" t="n"/>
      <c r="X27890" s="235" t="n"/>
    </row>
    <row r="27891" ht="14.25" customHeight="1" s="192">
      <c r="W27891" s="235" t="n"/>
      <c r="X27891" s="235" t="n"/>
    </row>
    <row r="27892" ht="14.25" customHeight="1" s="192">
      <c r="W27892" s="239" t="n"/>
      <c r="X27892" s="239" t="n"/>
    </row>
    <row r="27893" ht="14.25" customHeight="1" s="192">
      <c r="W27893" s="239" t="n"/>
      <c r="X27893" s="239" t="n"/>
    </row>
    <row r="27894" ht="14.25" customHeight="1" s="192">
      <c r="W27894" s="235" t="n"/>
      <c r="X27894" s="235" t="n"/>
    </row>
    <row r="27895" ht="14.25" customHeight="1" s="192">
      <c r="W27895" s="235" t="n"/>
      <c r="X27895" s="235" t="n"/>
    </row>
    <row r="27896" ht="14.25" customHeight="1" s="192">
      <c r="W27896" s="239" t="n"/>
      <c r="X27896" s="239" t="n"/>
    </row>
    <row r="27897" ht="14.25" customHeight="1" s="192">
      <c r="W27897" s="235" t="n"/>
      <c r="X27897" s="235" t="n"/>
    </row>
    <row r="27898" ht="14.25" customHeight="1" s="192">
      <c r="W27898" s="239" t="n"/>
      <c r="X27898" s="239" t="n"/>
    </row>
    <row r="27900" ht="14.25" customHeight="1" s="192">
      <c r="W27900" s="235" t="n"/>
      <c r="X27900" s="235" t="n"/>
    </row>
    <row r="27901" ht="15" customHeight="1" s="192" thickBot="1">
      <c r="W27901" s="239" t="n"/>
      <c r="X27901" s="239" t="n"/>
    </row>
    <row r="27902" ht="15" customHeight="1" s="192" thickBot="1">
      <c r="W27902" s="45" t="n"/>
      <c r="X27902" s="45" t="n"/>
    </row>
    <row r="27903" ht="14.25" customHeight="1" s="192">
      <c r="W27903" s="228" t="n"/>
      <c r="X27903" s="228" t="n"/>
    </row>
    <row r="27904" ht="14.25" customHeight="1" s="192">
      <c r="W27904" s="228" t="n"/>
      <c r="X27904" s="228" t="n"/>
    </row>
    <row r="27905" ht="14.25" customHeight="1" s="192">
      <c r="W27905" s="231" t="n"/>
      <c r="X27905" s="231" t="n"/>
    </row>
    <row r="27906" ht="14.25" customHeight="1" s="192">
      <c r="W27906" s="33" t="n"/>
      <c r="X27906" s="33" t="n"/>
    </row>
    <row r="27907" ht="14.25" customHeight="1" s="192">
      <c r="W27907" s="231" t="n"/>
      <c r="X27907" s="231" t="n"/>
    </row>
    <row r="27908" ht="14.25" customHeight="1" s="192">
      <c r="W27908" s="33" t="n"/>
      <c r="X27908" s="33" t="n"/>
    </row>
    <row r="27910" ht="14.25" customHeight="1" s="192">
      <c r="W27910" s="231" t="n"/>
      <c r="X27910" s="231" t="n"/>
    </row>
    <row r="27911" ht="14.25" customHeight="1" s="192">
      <c r="W27911" s="235" t="n"/>
      <c r="X27911" s="235" t="n"/>
    </row>
    <row r="27912" ht="14.25" customHeight="1" s="192">
      <c r="W27912" s="228" t="n"/>
      <c r="X27912" s="228" t="n"/>
    </row>
    <row r="27913" ht="14.25" customHeight="1" s="192">
      <c r="W27913" s="235" t="n"/>
      <c r="X27913" s="235" t="n"/>
    </row>
    <row r="27914" ht="14.25" customHeight="1" s="192">
      <c r="W27914" s="235" t="n"/>
      <c r="X27914" s="235" t="n"/>
    </row>
    <row r="27915" ht="14.25" customHeight="1" s="192">
      <c r="W27915" s="235" t="n"/>
      <c r="X27915" s="235" t="n"/>
    </row>
    <row r="27916" ht="14.25" customHeight="1" s="192">
      <c r="W27916" s="239" t="n"/>
      <c r="X27916" s="239" t="n"/>
    </row>
    <row r="27917" ht="14.25" customHeight="1" s="192">
      <c r="W27917" s="239" t="n"/>
      <c r="X27917" s="239" t="n"/>
    </row>
    <row r="27918" ht="14.25" customHeight="1" s="192">
      <c r="W27918" s="239" t="n"/>
      <c r="X27918" s="239" t="n"/>
    </row>
    <row r="27919" ht="14.25" customHeight="1" s="192">
      <c r="W27919" s="235" t="n"/>
      <c r="X27919" s="235" t="n"/>
    </row>
    <row r="27920" ht="14.25" customHeight="1" s="192">
      <c r="W27920" s="235" t="n"/>
      <c r="X27920" s="235" t="n"/>
    </row>
    <row r="27921" ht="14.25" customHeight="1" s="192">
      <c r="W27921" s="235" t="n"/>
      <c r="X27921" s="235" t="n"/>
    </row>
    <row r="27922" ht="14.25" customHeight="1" s="192">
      <c r="W27922" s="239" t="n"/>
      <c r="X27922" s="239" t="n"/>
    </row>
    <row r="27923" ht="14.25" customHeight="1" s="192">
      <c r="W27923" s="239" t="n"/>
      <c r="X27923" s="239" t="n"/>
    </row>
    <row r="27924" ht="14.25" customHeight="1" s="192">
      <c r="W27924" s="235" t="n"/>
      <c r="X27924" s="235" t="n"/>
    </row>
    <row r="27925" ht="14.25" customHeight="1" s="192">
      <c r="W27925" s="235" t="n"/>
      <c r="X27925" s="235" t="n"/>
    </row>
    <row r="27926" ht="14.25" customHeight="1" s="192">
      <c r="W27926" s="239" t="n"/>
      <c r="X27926" s="239" t="n"/>
    </row>
    <row r="27927" ht="14.25" customHeight="1" s="192">
      <c r="W27927" s="235" t="n"/>
      <c r="X27927" s="235" t="n"/>
    </row>
    <row r="27928" ht="14.25" customHeight="1" s="192">
      <c r="W27928" s="239" t="n"/>
      <c r="X27928" s="239" t="n"/>
    </row>
    <row r="27930" ht="14.25" customHeight="1" s="192">
      <c r="W27930" s="235" t="n"/>
      <c r="X27930" s="235" t="n"/>
    </row>
    <row r="27931" ht="15" customHeight="1" s="192" thickBot="1">
      <c r="W27931" s="239" t="n"/>
      <c r="X27931" s="239" t="n"/>
    </row>
    <row r="27932" ht="15" customHeight="1" s="192" thickBot="1">
      <c r="W27932" s="45" t="n"/>
      <c r="X27932" s="45" t="n"/>
    </row>
    <row r="27933" ht="14.25" customHeight="1" s="192">
      <c r="W27933" s="228" t="n"/>
      <c r="X27933" s="228" t="n"/>
    </row>
    <row r="27934" ht="14.25" customHeight="1" s="192">
      <c r="W27934" s="228" t="n"/>
      <c r="X27934" s="228" t="n"/>
    </row>
    <row r="27935" ht="14.25" customHeight="1" s="192">
      <c r="W27935" s="231" t="n"/>
      <c r="X27935" s="231" t="n"/>
    </row>
    <row r="27936" ht="14.25" customHeight="1" s="192">
      <c r="W27936" s="33" t="n"/>
      <c r="X27936" s="33" t="n"/>
    </row>
    <row r="27937" ht="14.25" customHeight="1" s="192">
      <c r="W27937" s="231" t="n"/>
      <c r="X27937" s="231" t="n"/>
    </row>
    <row r="27938" ht="14.25" customHeight="1" s="192">
      <c r="W27938" s="33" t="n"/>
      <c r="X27938" s="33" t="n"/>
    </row>
    <row r="27940" ht="14.25" customHeight="1" s="192">
      <c r="W27940" s="231" t="n"/>
      <c r="X27940" s="231" t="n"/>
    </row>
    <row r="27941" ht="14.25" customHeight="1" s="192">
      <c r="W27941" s="235" t="n"/>
      <c r="X27941" s="235" t="n"/>
    </row>
    <row r="27942" ht="14.25" customHeight="1" s="192">
      <c r="W27942" s="228" t="n"/>
      <c r="X27942" s="228" t="n"/>
    </row>
    <row r="27943" ht="14.25" customHeight="1" s="192">
      <c r="W27943" s="235" t="n"/>
      <c r="X27943" s="235" t="n"/>
    </row>
    <row r="27944" ht="14.25" customHeight="1" s="192">
      <c r="W27944" s="235" t="n"/>
      <c r="X27944" s="235" t="n"/>
    </row>
    <row r="27945" ht="14.25" customHeight="1" s="192">
      <c r="W27945" s="235" t="n"/>
      <c r="X27945" s="235" t="n"/>
    </row>
    <row r="27946" ht="14.25" customHeight="1" s="192">
      <c r="W27946" s="239" t="n"/>
      <c r="X27946" s="239" t="n"/>
    </row>
    <row r="27947" ht="14.25" customHeight="1" s="192">
      <c r="W27947" s="239" t="n"/>
      <c r="X27947" s="239" t="n"/>
    </row>
    <row r="27948" ht="14.25" customHeight="1" s="192">
      <c r="W27948" s="239" t="n"/>
      <c r="X27948" s="239" t="n"/>
    </row>
    <row r="27949" ht="14.25" customHeight="1" s="192">
      <c r="W27949" s="235" t="n"/>
      <c r="X27949" s="235" t="n"/>
    </row>
    <row r="27950" ht="14.25" customHeight="1" s="192">
      <c r="W27950" s="235" t="n"/>
      <c r="X27950" s="235" t="n"/>
    </row>
    <row r="27951" ht="14.25" customHeight="1" s="192">
      <c r="W27951" s="235" t="n"/>
      <c r="X27951" s="235" t="n"/>
    </row>
    <row r="27952" ht="14.25" customHeight="1" s="192">
      <c r="W27952" s="239" t="n"/>
      <c r="X27952" s="239" t="n"/>
    </row>
    <row r="27953" ht="14.25" customHeight="1" s="192">
      <c r="W27953" s="239" t="n"/>
      <c r="X27953" s="239" t="n"/>
    </row>
    <row r="27954" ht="14.25" customHeight="1" s="192">
      <c r="W27954" s="235" t="n"/>
      <c r="X27954" s="235" t="n"/>
    </row>
    <row r="27955" ht="14.25" customHeight="1" s="192">
      <c r="W27955" s="235" t="n"/>
      <c r="X27955" s="235" t="n"/>
    </row>
    <row r="27956" ht="14.25" customHeight="1" s="192">
      <c r="W27956" s="239" t="n"/>
      <c r="X27956" s="239" t="n"/>
    </row>
    <row r="27957" ht="14.25" customHeight="1" s="192">
      <c r="W27957" s="235" t="n"/>
      <c r="X27957" s="235" t="n"/>
    </row>
    <row r="27958" ht="14.25" customHeight="1" s="192">
      <c r="W27958" s="239" t="n"/>
      <c r="X27958" s="239" t="n"/>
    </row>
    <row r="27960" ht="14.25" customHeight="1" s="192">
      <c r="W27960" s="235" t="n"/>
      <c r="X27960" s="235" t="n"/>
    </row>
    <row r="27961" ht="15" customHeight="1" s="192" thickBot="1">
      <c r="W27961" s="239" t="n"/>
      <c r="X27961" s="239" t="n"/>
    </row>
    <row r="27962" ht="15" customHeight="1" s="192" thickBot="1">
      <c r="W27962" s="45" t="n"/>
      <c r="X27962" s="45" t="n"/>
    </row>
    <row r="27963" ht="14.25" customHeight="1" s="192">
      <c r="W27963" s="228" t="n"/>
      <c r="X27963" s="228" t="n"/>
    </row>
    <row r="27964" ht="14.25" customHeight="1" s="192">
      <c r="W27964" s="228" t="n"/>
      <c r="X27964" s="228" t="n"/>
    </row>
    <row r="27965" ht="14.25" customHeight="1" s="192">
      <c r="W27965" s="231" t="n"/>
      <c r="X27965" s="231" t="n"/>
    </row>
    <row r="27966" ht="14.25" customHeight="1" s="192">
      <c r="W27966" s="33" t="n"/>
      <c r="X27966" s="33" t="n"/>
    </row>
    <row r="27967" ht="14.25" customHeight="1" s="192">
      <c r="W27967" s="231" t="n"/>
      <c r="X27967" s="231" t="n"/>
    </row>
    <row r="27968" ht="14.25" customHeight="1" s="192">
      <c r="W27968" s="33" t="n"/>
      <c r="X27968" s="33" t="n"/>
    </row>
    <row r="27970" ht="14.25" customHeight="1" s="192">
      <c r="W27970" s="231" t="n"/>
      <c r="X27970" s="231" t="n"/>
    </row>
    <row r="27971" ht="14.25" customHeight="1" s="192">
      <c r="W27971" s="235" t="n"/>
      <c r="X27971" s="235" t="n"/>
    </row>
    <row r="27972" ht="14.25" customHeight="1" s="192">
      <c r="W27972" s="228" t="n"/>
      <c r="X27972" s="228" t="n"/>
    </row>
    <row r="27973" ht="14.25" customHeight="1" s="192">
      <c r="W27973" s="235" t="n"/>
      <c r="X27973" s="235" t="n"/>
    </row>
    <row r="27974" ht="14.25" customHeight="1" s="192">
      <c r="W27974" s="235" t="n"/>
      <c r="X27974" s="235" t="n"/>
    </row>
    <row r="27975" ht="14.25" customHeight="1" s="192">
      <c r="W27975" s="235" t="n"/>
      <c r="X27975" s="235" t="n"/>
    </row>
    <row r="27976" ht="14.25" customHeight="1" s="192">
      <c r="W27976" s="239" t="n"/>
      <c r="X27976" s="239" t="n"/>
    </row>
    <row r="27977" ht="14.25" customHeight="1" s="192">
      <c r="W27977" s="239" t="n"/>
      <c r="X27977" s="239" t="n"/>
    </row>
    <row r="27978" ht="14.25" customHeight="1" s="192">
      <c r="W27978" s="239" t="n"/>
      <c r="X27978" s="239" t="n"/>
    </row>
    <row r="27979" ht="14.25" customHeight="1" s="192">
      <c r="W27979" s="235" t="n"/>
      <c r="X27979" s="235" t="n"/>
    </row>
    <row r="27980" ht="14.25" customHeight="1" s="192">
      <c r="W27980" s="235" t="n"/>
      <c r="X27980" s="235" t="n"/>
    </row>
    <row r="27981" ht="14.25" customHeight="1" s="192">
      <c r="W27981" s="235" t="n"/>
      <c r="X27981" s="235" t="n"/>
    </row>
    <row r="27982" ht="14.25" customHeight="1" s="192">
      <c r="W27982" s="239" t="n"/>
      <c r="X27982" s="239" t="n"/>
    </row>
    <row r="27983" ht="14.25" customHeight="1" s="192">
      <c r="W27983" s="239" t="n"/>
      <c r="X27983" s="239" t="n"/>
    </row>
    <row r="27984" ht="14.25" customHeight="1" s="192">
      <c r="W27984" s="235" t="n"/>
      <c r="X27984" s="235" t="n"/>
    </row>
    <row r="27985" ht="14.25" customHeight="1" s="192">
      <c r="W27985" s="235" t="n"/>
      <c r="X27985" s="235" t="n"/>
    </row>
    <row r="27986" ht="14.25" customHeight="1" s="192">
      <c r="W27986" s="239" t="n"/>
      <c r="X27986" s="239" t="n"/>
    </row>
    <row r="27987" ht="14.25" customHeight="1" s="192">
      <c r="W27987" s="235" t="n"/>
      <c r="X27987" s="235" t="n"/>
    </row>
    <row r="27988" ht="14.25" customHeight="1" s="192">
      <c r="W27988" s="239" t="n"/>
      <c r="X27988" s="239" t="n"/>
    </row>
    <row r="27990" ht="14.25" customHeight="1" s="192">
      <c r="W27990" s="235" t="n"/>
      <c r="X27990" s="235" t="n"/>
    </row>
    <row r="27991" ht="15" customHeight="1" s="192" thickBot="1">
      <c r="W27991" s="239" t="n"/>
      <c r="X27991" s="239" t="n"/>
    </row>
    <row r="27992" ht="15" customHeight="1" s="192" thickBot="1">
      <c r="W27992" s="45" t="n"/>
      <c r="X27992" s="45" t="n"/>
    </row>
    <row r="27993" ht="14.25" customHeight="1" s="192">
      <c r="W27993" s="228" t="n"/>
      <c r="X27993" s="228" t="n"/>
    </row>
    <row r="27994" ht="14.25" customHeight="1" s="192">
      <c r="W27994" s="228" t="n"/>
      <c r="X27994" s="228" t="n"/>
    </row>
    <row r="27995" ht="14.25" customHeight="1" s="192">
      <c r="W27995" s="231" t="n"/>
      <c r="X27995" s="231" t="n"/>
    </row>
    <row r="27996" ht="14.25" customHeight="1" s="192">
      <c r="W27996" s="33" t="n"/>
      <c r="X27996" s="33" t="n"/>
    </row>
    <row r="27997" ht="14.25" customHeight="1" s="192">
      <c r="W27997" s="231" t="n"/>
      <c r="X27997" s="231" t="n"/>
    </row>
    <row r="27998" ht="14.25" customHeight="1" s="192">
      <c r="W27998" s="33" t="n"/>
      <c r="X27998" s="33" t="n"/>
    </row>
    <row r="28000" ht="14.25" customHeight="1" s="192">
      <c r="W28000" s="231" t="n"/>
      <c r="X28000" s="231" t="n"/>
    </row>
    <row r="28001" ht="14.25" customHeight="1" s="192">
      <c r="W28001" s="235" t="n"/>
      <c r="X28001" s="235" t="n"/>
    </row>
    <row r="28002" ht="14.25" customHeight="1" s="192">
      <c r="W28002" s="228" t="n"/>
      <c r="X28002" s="228" t="n"/>
    </row>
    <row r="28003" ht="14.25" customHeight="1" s="192">
      <c r="W28003" s="235" t="n"/>
      <c r="X28003" s="235" t="n"/>
    </row>
    <row r="28004" ht="14.25" customHeight="1" s="192">
      <c r="W28004" s="235" t="n"/>
      <c r="X28004" s="235" t="n"/>
    </row>
    <row r="28005" ht="14.25" customHeight="1" s="192">
      <c r="W28005" s="235" t="n"/>
      <c r="X28005" s="235" t="n"/>
    </row>
    <row r="28006" ht="14.25" customHeight="1" s="192">
      <c r="W28006" s="239" t="n"/>
      <c r="X28006" s="239" t="n"/>
    </row>
    <row r="28007" ht="14.25" customHeight="1" s="192">
      <c r="W28007" s="239" t="n"/>
      <c r="X28007" s="239" t="n"/>
    </row>
    <row r="28008" ht="14.25" customHeight="1" s="192">
      <c r="W28008" s="239" t="n"/>
      <c r="X28008" s="239" t="n"/>
    </row>
    <row r="28009" ht="14.25" customHeight="1" s="192">
      <c r="W28009" s="235" t="n"/>
      <c r="X28009" s="235" t="n"/>
    </row>
    <row r="28010" ht="14.25" customHeight="1" s="192">
      <c r="W28010" s="235" t="n"/>
      <c r="X28010" s="235" t="n"/>
    </row>
    <row r="28011" ht="14.25" customHeight="1" s="192">
      <c r="W28011" s="235" t="n"/>
      <c r="X28011" s="235" t="n"/>
    </row>
    <row r="28012" ht="14.25" customHeight="1" s="192">
      <c r="W28012" s="239" t="n"/>
      <c r="X28012" s="239" t="n"/>
    </row>
    <row r="28013" ht="14.25" customHeight="1" s="192">
      <c r="W28013" s="239" t="n"/>
      <c r="X28013" s="239" t="n"/>
    </row>
    <row r="28014" ht="14.25" customHeight="1" s="192">
      <c r="W28014" s="235" t="n"/>
      <c r="X28014" s="235" t="n"/>
    </row>
    <row r="28015" ht="14.25" customHeight="1" s="192">
      <c r="W28015" s="235" t="n"/>
      <c r="X28015" s="235" t="n"/>
    </row>
    <row r="28016" ht="14.25" customHeight="1" s="192">
      <c r="W28016" s="239" t="n"/>
      <c r="X28016" s="239" t="n"/>
    </row>
    <row r="28017" ht="14.25" customHeight="1" s="192">
      <c r="W28017" s="235" t="n"/>
      <c r="X28017" s="235" t="n"/>
    </row>
    <row r="28018" ht="14.25" customHeight="1" s="192">
      <c r="W28018" s="239" t="n"/>
      <c r="X28018" s="239" t="n"/>
    </row>
    <row r="28020" ht="14.25" customHeight="1" s="192">
      <c r="W28020" s="235" t="n"/>
      <c r="X28020" s="235" t="n"/>
    </row>
    <row r="28021" ht="15" customHeight="1" s="192" thickBot="1">
      <c r="W28021" s="239" t="n"/>
      <c r="X28021" s="239" t="n"/>
    </row>
    <row r="28022" ht="15" customHeight="1" s="192" thickBot="1">
      <c r="W28022" s="45" t="n"/>
      <c r="X28022" s="45" t="n"/>
    </row>
    <row r="28023" ht="14.25" customHeight="1" s="192">
      <c r="W28023" s="228" t="n"/>
      <c r="X28023" s="228" t="n"/>
    </row>
    <row r="28024" ht="14.25" customHeight="1" s="192">
      <c r="W28024" s="228" t="n"/>
      <c r="X28024" s="228" t="n"/>
    </row>
    <row r="28025" ht="14.25" customHeight="1" s="192">
      <c r="W28025" s="231" t="n"/>
      <c r="X28025" s="231" t="n"/>
    </row>
    <row r="28026" ht="14.25" customHeight="1" s="192">
      <c r="W28026" s="33" t="n"/>
      <c r="X28026" s="33" t="n"/>
    </row>
    <row r="28027" ht="14.25" customHeight="1" s="192">
      <c r="W28027" s="231" t="n"/>
      <c r="X28027" s="231" t="n"/>
    </row>
    <row r="28028" ht="14.25" customHeight="1" s="192">
      <c r="W28028" s="33" t="n"/>
      <c r="X28028" s="33" t="n"/>
    </row>
    <row r="28030" ht="14.25" customHeight="1" s="192">
      <c r="W28030" s="231" t="n"/>
      <c r="X28030" s="231" t="n"/>
    </row>
    <row r="28031" ht="14.25" customHeight="1" s="192">
      <c r="W28031" s="235" t="n"/>
      <c r="X28031" s="235" t="n"/>
    </row>
    <row r="28032" ht="14.25" customHeight="1" s="192">
      <c r="W28032" s="228" t="n"/>
      <c r="X28032" s="228" t="n"/>
    </row>
    <row r="28033" ht="14.25" customHeight="1" s="192">
      <c r="W28033" s="235" t="n"/>
      <c r="X28033" s="235" t="n"/>
    </row>
    <row r="28034" ht="14.25" customHeight="1" s="192">
      <c r="W28034" s="235" t="n"/>
      <c r="X28034" s="235" t="n"/>
    </row>
    <row r="28035" ht="14.25" customHeight="1" s="192">
      <c r="W28035" s="235" t="n"/>
      <c r="X28035" s="235" t="n"/>
    </row>
    <row r="28036" ht="14.25" customHeight="1" s="192">
      <c r="W28036" s="239" t="n"/>
      <c r="X28036" s="239" t="n"/>
    </row>
    <row r="28037" ht="14.25" customHeight="1" s="192">
      <c r="W28037" s="239" t="n"/>
      <c r="X28037" s="239" t="n"/>
    </row>
    <row r="28038" ht="14.25" customHeight="1" s="192">
      <c r="W28038" s="239" t="n"/>
      <c r="X28038" s="239" t="n"/>
    </row>
    <row r="28039" ht="14.25" customHeight="1" s="192">
      <c r="W28039" s="235" t="n"/>
      <c r="X28039" s="235" t="n"/>
    </row>
    <row r="28040" ht="14.25" customHeight="1" s="192">
      <c r="W28040" s="235" t="n"/>
      <c r="X28040" s="235" t="n"/>
    </row>
    <row r="28041" ht="14.25" customHeight="1" s="192">
      <c r="W28041" s="235" t="n"/>
      <c r="X28041" s="235" t="n"/>
    </row>
    <row r="28042" ht="14.25" customHeight="1" s="192">
      <c r="W28042" s="239" t="n"/>
      <c r="X28042" s="239" t="n"/>
    </row>
    <row r="28043" ht="14.25" customHeight="1" s="192">
      <c r="W28043" s="239" t="n"/>
      <c r="X28043" s="239" t="n"/>
    </row>
    <row r="28044" ht="14.25" customHeight="1" s="192">
      <c r="W28044" s="235" t="n"/>
      <c r="X28044" s="235" t="n"/>
    </row>
    <row r="28045" ht="14.25" customHeight="1" s="192">
      <c r="W28045" s="235" t="n"/>
      <c r="X28045" s="235" t="n"/>
    </row>
    <row r="28046" ht="14.25" customHeight="1" s="192">
      <c r="W28046" s="239" t="n"/>
      <c r="X28046" s="239" t="n"/>
    </row>
    <row r="28047" ht="14.25" customHeight="1" s="192">
      <c r="W28047" s="235" t="n"/>
      <c r="X28047" s="235" t="n"/>
    </row>
    <row r="28048" ht="14.25" customHeight="1" s="192">
      <c r="W28048" s="239" t="n"/>
      <c r="X28048" s="239" t="n"/>
    </row>
    <row r="28050" ht="14.25" customHeight="1" s="192">
      <c r="W28050" s="235" t="n"/>
      <c r="X28050" s="235" t="n"/>
    </row>
    <row r="28051" ht="15" customHeight="1" s="192" thickBot="1">
      <c r="W28051" s="239" t="n"/>
      <c r="X28051" s="239" t="n"/>
    </row>
    <row r="28052" ht="15" customHeight="1" s="192" thickBot="1">
      <c r="W28052" s="45" t="n"/>
      <c r="X28052" s="45" t="n"/>
    </row>
    <row r="28053" ht="14.25" customHeight="1" s="192">
      <c r="W28053" s="228" t="n"/>
      <c r="X28053" s="228" t="n"/>
    </row>
    <row r="28054" ht="14.25" customHeight="1" s="192">
      <c r="W28054" s="228" t="n"/>
      <c r="X28054" s="228" t="n"/>
    </row>
    <row r="28055" ht="14.25" customHeight="1" s="192">
      <c r="W28055" s="231" t="n"/>
      <c r="X28055" s="231" t="n"/>
    </row>
    <row r="28056" ht="14.25" customHeight="1" s="192">
      <c r="W28056" s="33" t="n"/>
      <c r="X28056" s="33" t="n"/>
    </row>
    <row r="28057" ht="14.25" customHeight="1" s="192">
      <c r="W28057" s="231" t="n"/>
      <c r="X28057" s="231" t="n"/>
    </row>
    <row r="28058" ht="14.25" customHeight="1" s="192">
      <c r="W28058" s="33" t="n"/>
      <c r="X28058" s="33" t="n"/>
    </row>
    <row r="28060" ht="14.25" customHeight="1" s="192">
      <c r="W28060" s="231" t="n"/>
      <c r="X28060" s="231" t="n"/>
    </row>
    <row r="28061" ht="14.25" customHeight="1" s="192">
      <c r="W28061" s="235" t="n"/>
      <c r="X28061" s="235" t="n"/>
    </row>
    <row r="28062" ht="14.25" customHeight="1" s="192">
      <c r="W28062" s="228" t="n"/>
      <c r="X28062" s="228" t="n"/>
    </row>
    <row r="28063" ht="14.25" customHeight="1" s="192">
      <c r="W28063" s="235" t="n"/>
      <c r="X28063" s="235" t="n"/>
    </row>
    <row r="28064" ht="14.25" customHeight="1" s="192">
      <c r="W28064" s="235" t="n"/>
      <c r="X28064" s="235" t="n"/>
    </row>
    <row r="28065" ht="14.25" customHeight="1" s="192">
      <c r="W28065" s="235" t="n"/>
      <c r="X28065" s="235" t="n"/>
    </row>
    <row r="28066" ht="14.25" customHeight="1" s="192">
      <c r="W28066" s="239" t="n"/>
      <c r="X28066" s="239" t="n"/>
    </row>
    <row r="28067" ht="14.25" customHeight="1" s="192">
      <c r="W28067" s="239" t="n"/>
      <c r="X28067" s="239" t="n"/>
    </row>
    <row r="28068" ht="14.25" customHeight="1" s="192">
      <c r="W28068" s="239" t="n"/>
      <c r="X28068" s="239" t="n"/>
    </row>
    <row r="28069" ht="14.25" customHeight="1" s="192">
      <c r="W28069" s="235" t="n"/>
      <c r="X28069" s="235" t="n"/>
    </row>
    <row r="28070" ht="14.25" customHeight="1" s="192">
      <c r="W28070" s="235" t="n"/>
      <c r="X28070" s="235" t="n"/>
    </row>
    <row r="28071" ht="14.25" customHeight="1" s="192">
      <c r="W28071" s="235" t="n"/>
      <c r="X28071" s="235" t="n"/>
    </row>
    <row r="28072" ht="14.25" customHeight="1" s="192">
      <c r="W28072" s="239" t="n"/>
      <c r="X28072" s="239" t="n"/>
    </row>
    <row r="28073" ht="14.25" customHeight="1" s="192">
      <c r="W28073" s="239" t="n"/>
      <c r="X28073" s="239" t="n"/>
    </row>
    <row r="28074" ht="14.25" customHeight="1" s="192">
      <c r="W28074" s="235" t="n"/>
      <c r="X28074" s="235" t="n"/>
    </row>
    <row r="28075" ht="14.25" customHeight="1" s="192">
      <c r="W28075" s="235" t="n"/>
      <c r="X28075" s="235" t="n"/>
    </row>
    <row r="28076" ht="14.25" customHeight="1" s="192">
      <c r="W28076" s="239" t="n"/>
      <c r="X28076" s="239" t="n"/>
    </row>
    <row r="28077" ht="14.25" customHeight="1" s="192">
      <c r="W28077" s="235" t="n"/>
      <c r="X28077" s="235" t="n"/>
    </row>
    <row r="28078" ht="14.25" customHeight="1" s="192">
      <c r="W28078" s="239" t="n"/>
      <c r="X28078" s="239" t="n"/>
    </row>
    <row r="28080" ht="14.25" customHeight="1" s="192">
      <c r="W28080" s="235" t="n"/>
      <c r="X28080" s="235" t="n"/>
    </row>
    <row r="28081" ht="15" customHeight="1" s="192" thickBot="1">
      <c r="W28081" s="239" t="n"/>
      <c r="X28081" s="239" t="n"/>
    </row>
    <row r="28082" ht="15" customHeight="1" s="192" thickBot="1">
      <c r="W28082" s="45" t="n"/>
      <c r="X28082" s="45" t="n"/>
    </row>
    <row r="28083" ht="14.25" customHeight="1" s="192">
      <c r="W28083" s="228" t="n"/>
      <c r="X28083" s="228" t="n"/>
    </row>
    <row r="28084" ht="14.25" customHeight="1" s="192">
      <c r="W28084" s="228" t="n"/>
      <c r="X28084" s="228" t="n"/>
    </row>
    <row r="28085" ht="14.25" customHeight="1" s="192">
      <c r="W28085" s="231" t="n"/>
      <c r="X28085" s="231" t="n"/>
    </row>
    <row r="28086" ht="14.25" customHeight="1" s="192">
      <c r="W28086" s="33" t="n"/>
      <c r="X28086" s="33" t="n"/>
    </row>
    <row r="28087" ht="14.25" customHeight="1" s="192">
      <c r="W28087" s="231" t="n"/>
      <c r="X28087" s="231" t="n"/>
    </row>
    <row r="28088" ht="14.25" customHeight="1" s="192">
      <c r="W28088" s="33" t="n"/>
      <c r="X28088" s="33" t="n"/>
    </row>
    <row r="28090" ht="14.25" customHeight="1" s="192">
      <c r="W28090" s="231" t="n"/>
      <c r="X28090" s="231" t="n"/>
    </row>
    <row r="28091" ht="14.25" customHeight="1" s="192">
      <c r="W28091" s="235" t="n"/>
      <c r="X28091" s="235" t="n"/>
    </row>
    <row r="28092" ht="14.25" customHeight="1" s="192">
      <c r="W28092" s="228" t="n"/>
      <c r="X28092" s="228" t="n"/>
    </row>
    <row r="28093" ht="14.25" customHeight="1" s="192">
      <c r="W28093" s="235" t="n"/>
      <c r="X28093" s="235" t="n"/>
    </row>
    <row r="28094" ht="14.25" customHeight="1" s="192">
      <c r="W28094" s="235" t="n"/>
      <c r="X28094" s="235" t="n"/>
    </row>
    <row r="28095" ht="14.25" customHeight="1" s="192">
      <c r="W28095" s="235" t="n"/>
      <c r="X28095" s="235" t="n"/>
    </row>
    <row r="28096" ht="14.25" customHeight="1" s="192">
      <c r="W28096" s="239" t="n"/>
      <c r="X28096" s="239" t="n"/>
    </row>
    <row r="28097" ht="14.25" customHeight="1" s="192">
      <c r="W28097" s="239" t="n"/>
      <c r="X28097" s="239" t="n"/>
    </row>
    <row r="28098" ht="14.25" customHeight="1" s="192">
      <c r="W28098" s="239" t="n"/>
      <c r="X28098" s="239" t="n"/>
    </row>
    <row r="28099" ht="14.25" customHeight="1" s="192">
      <c r="W28099" s="235" t="n"/>
      <c r="X28099" s="235" t="n"/>
    </row>
    <row r="28100" ht="14.25" customHeight="1" s="192">
      <c r="W28100" s="235" t="n"/>
      <c r="X28100" s="235" t="n"/>
    </row>
    <row r="28101" ht="14.25" customHeight="1" s="192">
      <c r="W28101" s="235" t="n"/>
      <c r="X28101" s="235" t="n"/>
    </row>
    <row r="28102" ht="14.25" customHeight="1" s="192">
      <c r="W28102" s="239" t="n"/>
      <c r="X28102" s="239" t="n"/>
    </row>
    <row r="28103" ht="14.25" customHeight="1" s="192">
      <c r="W28103" s="239" t="n"/>
      <c r="X28103" s="239" t="n"/>
    </row>
    <row r="28104" ht="14.25" customHeight="1" s="192">
      <c r="W28104" s="235" t="n"/>
      <c r="X28104" s="235" t="n"/>
    </row>
    <row r="28105" ht="14.25" customHeight="1" s="192">
      <c r="W28105" s="235" t="n"/>
      <c r="X28105" s="235" t="n"/>
    </row>
    <row r="28106" ht="14.25" customHeight="1" s="192">
      <c r="W28106" s="239" t="n"/>
      <c r="X28106" s="239" t="n"/>
    </row>
    <row r="28107" ht="14.25" customHeight="1" s="192">
      <c r="W28107" s="235" t="n"/>
      <c r="X28107" s="235" t="n"/>
    </row>
    <row r="28108" ht="14.25" customHeight="1" s="192">
      <c r="W28108" s="239" t="n"/>
      <c r="X28108" s="239" t="n"/>
    </row>
    <row r="28110" ht="14.25" customHeight="1" s="192">
      <c r="W28110" s="235" t="n"/>
      <c r="X28110" s="235" t="n"/>
    </row>
    <row r="28111" ht="15" customHeight="1" s="192" thickBot="1">
      <c r="W28111" s="239" t="n"/>
      <c r="X28111" s="239" t="n"/>
    </row>
    <row r="28112" ht="15" customHeight="1" s="192" thickBot="1">
      <c r="W28112" s="45" t="n"/>
      <c r="X28112" s="45" t="n"/>
    </row>
    <row r="28113" ht="14.25" customHeight="1" s="192">
      <c r="W28113" s="228" t="n"/>
      <c r="X28113" s="228" t="n"/>
    </row>
    <row r="28114" ht="14.25" customHeight="1" s="192">
      <c r="W28114" s="228" t="n"/>
      <c r="X28114" s="228" t="n"/>
    </row>
    <row r="28115" ht="14.25" customHeight="1" s="192">
      <c r="W28115" s="231" t="n"/>
      <c r="X28115" s="231" t="n"/>
    </row>
    <row r="28116" ht="14.25" customHeight="1" s="192">
      <c r="W28116" s="33" t="n"/>
      <c r="X28116" s="33" t="n"/>
    </row>
    <row r="28117" ht="14.25" customHeight="1" s="192">
      <c r="W28117" s="231" t="n"/>
      <c r="X28117" s="231" t="n"/>
    </row>
    <row r="28118" ht="14.25" customHeight="1" s="192">
      <c r="W28118" s="33" t="n"/>
      <c r="X28118" s="33" t="n"/>
    </row>
    <row r="28120" ht="14.25" customHeight="1" s="192">
      <c r="W28120" s="231" t="n"/>
      <c r="X28120" s="231" t="n"/>
    </row>
    <row r="28121" ht="14.25" customHeight="1" s="192">
      <c r="W28121" s="235" t="n"/>
      <c r="X28121" s="235" t="n"/>
    </row>
    <row r="28122" ht="14.25" customHeight="1" s="192">
      <c r="W28122" s="228" t="n"/>
      <c r="X28122" s="228" t="n"/>
    </row>
    <row r="28123" ht="14.25" customHeight="1" s="192">
      <c r="W28123" s="235" t="n"/>
      <c r="X28123" s="235" t="n"/>
    </row>
    <row r="28124" ht="14.25" customHeight="1" s="192">
      <c r="W28124" s="235" t="n"/>
      <c r="X28124" s="235" t="n"/>
    </row>
    <row r="28125" ht="14.25" customHeight="1" s="192">
      <c r="W28125" s="235" t="n"/>
      <c r="X28125" s="235" t="n"/>
    </row>
    <row r="28126" ht="14.25" customHeight="1" s="192">
      <c r="W28126" s="239" t="n"/>
      <c r="X28126" s="239" t="n"/>
    </row>
    <row r="28127" ht="14.25" customHeight="1" s="192">
      <c r="W28127" s="239" t="n"/>
      <c r="X28127" s="239" t="n"/>
    </row>
    <row r="28128" ht="14.25" customHeight="1" s="192">
      <c r="W28128" s="239" t="n"/>
      <c r="X28128" s="239" t="n"/>
    </row>
    <row r="28129" ht="14.25" customHeight="1" s="192">
      <c r="W28129" s="235" t="n"/>
      <c r="X28129" s="235" t="n"/>
    </row>
    <row r="28130" ht="14.25" customHeight="1" s="192">
      <c r="W28130" s="235" t="n"/>
      <c r="X28130" s="235" t="n"/>
    </row>
    <row r="28131" ht="14.25" customHeight="1" s="192">
      <c r="W28131" s="235" t="n"/>
      <c r="X28131" s="235" t="n"/>
    </row>
    <row r="28132" ht="14.25" customHeight="1" s="192">
      <c r="W28132" s="239" t="n"/>
      <c r="X28132" s="239" t="n"/>
    </row>
    <row r="28133" ht="14.25" customHeight="1" s="192">
      <c r="W28133" s="239" t="n"/>
      <c r="X28133" s="239" t="n"/>
    </row>
    <row r="28134" ht="14.25" customHeight="1" s="192">
      <c r="W28134" s="235" t="n"/>
      <c r="X28134" s="235" t="n"/>
    </row>
    <row r="28135" ht="14.25" customHeight="1" s="192">
      <c r="W28135" s="235" t="n"/>
      <c r="X28135" s="235" t="n"/>
    </row>
    <row r="28136" ht="14.25" customHeight="1" s="192">
      <c r="W28136" s="239" t="n"/>
      <c r="X28136" s="239" t="n"/>
    </row>
    <row r="28137" ht="14.25" customHeight="1" s="192">
      <c r="W28137" s="235" t="n"/>
      <c r="X28137" s="235" t="n"/>
    </row>
    <row r="28138" ht="14.25" customHeight="1" s="192">
      <c r="W28138" s="239" t="n"/>
      <c r="X28138" s="239" t="n"/>
    </row>
    <row r="28140" ht="14.25" customHeight="1" s="192">
      <c r="W28140" s="235" t="n"/>
      <c r="X28140" s="235" t="n"/>
    </row>
    <row r="28141" ht="15" customHeight="1" s="192" thickBot="1">
      <c r="W28141" s="239" t="n"/>
      <c r="X28141" s="239" t="n"/>
    </row>
    <row r="28142" ht="15" customHeight="1" s="192" thickBot="1">
      <c r="W28142" s="45" t="n"/>
      <c r="X28142" s="45" t="n"/>
    </row>
    <row r="28143" ht="14.25" customHeight="1" s="192">
      <c r="W28143" s="228" t="n"/>
      <c r="X28143" s="228" t="n"/>
    </row>
    <row r="28144" ht="14.25" customHeight="1" s="192">
      <c r="W28144" s="228" t="n"/>
      <c r="X28144" s="228" t="n"/>
    </row>
    <row r="28145" ht="14.25" customHeight="1" s="192">
      <c r="W28145" s="231" t="n"/>
      <c r="X28145" s="231" t="n"/>
    </row>
    <row r="28146" ht="14.25" customHeight="1" s="192">
      <c r="W28146" s="33" t="n"/>
      <c r="X28146" s="33" t="n"/>
    </row>
    <row r="28147" ht="14.25" customHeight="1" s="192">
      <c r="W28147" s="231" t="n"/>
      <c r="X28147" s="231" t="n"/>
    </row>
    <row r="28148" ht="14.25" customHeight="1" s="192">
      <c r="W28148" s="33" t="n"/>
      <c r="X28148" s="33" t="n"/>
    </row>
    <row r="28150" ht="14.25" customHeight="1" s="192">
      <c r="W28150" s="231" t="n"/>
      <c r="X28150" s="231" t="n"/>
    </row>
    <row r="28151" ht="14.25" customHeight="1" s="192">
      <c r="W28151" s="235" t="n"/>
      <c r="X28151" s="235" t="n"/>
    </row>
    <row r="28152" ht="14.25" customHeight="1" s="192">
      <c r="W28152" s="228" t="n"/>
      <c r="X28152" s="228" t="n"/>
    </row>
    <row r="28153" ht="14.25" customHeight="1" s="192">
      <c r="W28153" s="235" t="n"/>
      <c r="X28153" s="235" t="n"/>
    </row>
    <row r="28154" ht="14.25" customHeight="1" s="192">
      <c r="W28154" s="235" t="n"/>
      <c r="X28154" s="235" t="n"/>
    </row>
    <row r="28155" ht="14.25" customHeight="1" s="192">
      <c r="W28155" s="235" t="n"/>
      <c r="X28155" s="235" t="n"/>
    </row>
    <row r="28156" ht="14.25" customHeight="1" s="192">
      <c r="W28156" s="239" t="n"/>
      <c r="X28156" s="239" t="n"/>
    </row>
    <row r="28157" ht="14.25" customHeight="1" s="192">
      <c r="W28157" s="239" t="n"/>
      <c r="X28157" s="239" t="n"/>
    </row>
    <row r="28158" ht="14.25" customHeight="1" s="192">
      <c r="W28158" s="239" t="n"/>
      <c r="X28158" s="239" t="n"/>
    </row>
    <row r="28159" ht="14.25" customHeight="1" s="192">
      <c r="W28159" s="235" t="n"/>
      <c r="X28159" s="235" t="n"/>
    </row>
    <row r="28160" ht="14.25" customHeight="1" s="192">
      <c r="W28160" s="235" t="n"/>
      <c r="X28160" s="235" t="n"/>
    </row>
    <row r="28161" ht="14.25" customHeight="1" s="192">
      <c r="W28161" s="235" t="n"/>
      <c r="X28161" s="235" t="n"/>
    </row>
    <row r="28162" ht="14.25" customHeight="1" s="192">
      <c r="W28162" s="239" t="n"/>
      <c r="X28162" s="239" t="n"/>
    </row>
    <row r="28163" ht="14.25" customHeight="1" s="192">
      <c r="W28163" s="239" t="n"/>
      <c r="X28163" s="239" t="n"/>
    </row>
    <row r="28164" ht="14.25" customHeight="1" s="192">
      <c r="W28164" s="235" t="n"/>
      <c r="X28164" s="235" t="n"/>
    </row>
    <row r="28165" ht="14.25" customHeight="1" s="192">
      <c r="W28165" s="235" t="n"/>
      <c r="X28165" s="235" t="n"/>
    </row>
    <row r="28166" ht="14.25" customHeight="1" s="192">
      <c r="W28166" s="239" t="n"/>
      <c r="X28166" s="239" t="n"/>
    </row>
    <row r="28167" ht="14.25" customHeight="1" s="192">
      <c r="W28167" s="235" t="n"/>
      <c r="X28167" s="235" t="n"/>
    </row>
    <row r="28168" ht="14.25" customHeight="1" s="192">
      <c r="W28168" s="239" t="n"/>
      <c r="X28168" s="239" t="n"/>
    </row>
    <row r="28170" ht="14.25" customHeight="1" s="192">
      <c r="W28170" s="235" t="n"/>
      <c r="X28170" s="235" t="n"/>
    </row>
    <row r="28171" ht="15" customHeight="1" s="192" thickBot="1">
      <c r="W28171" s="239" t="n"/>
      <c r="X28171" s="239" t="n"/>
    </row>
    <row r="28172" ht="15" customHeight="1" s="192" thickBot="1">
      <c r="W28172" s="45" t="n"/>
      <c r="X28172" s="45" t="n"/>
    </row>
    <row r="28173" ht="14.25" customHeight="1" s="192">
      <c r="W28173" s="228" t="n"/>
      <c r="X28173" s="228" t="n"/>
    </row>
    <row r="28174" ht="14.25" customHeight="1" s="192">
      <c r="W28174" s="228" t="n"/>
      <c r="X28174" s="228" t="n"/>
    </row>
    <row r="28175" ht="14.25" customHeight="1" s="192">
      <c r="W28175" s="231" t="n"/>
      <c r="X28175" s="231" t="n"/>
    </row>
    <row r="28176" ht="14.25" customHeight="1" s="192">
      <c r="W28176" s="33" t="n"/>
      <c r="X28176" s="33" t="n"/>
    </row>
    <row r="28177" ht="14.25" customHeight="1" s="192">
      <c r="W28177" s="231" t="n"/>
      <c r="X28177" s="231" t="n"/>
    </row>
    <row r="28178" ht="14.25" customHeight="1" s="192">
      <c r="W28178" s="33" t="n"/>
      <c r="X28178" s="33" t="n"/>
    </row>
    <row r="28180" ht="14.25" customHeight="1" s="192">
      <c r="W28180" s="231" t="n"/>
      <c r="X28180" s="231" t="n"/>
    </row>
    <row r="28181" ht="14.25" customHeight="1" s="192">
      <c r="W28181" s="235" t="n"/>
      <c r="X28181" s="235" t="n"/>
    </row>
    <row r="28182" ht="14.25" customHeight="1" s="192">
      <c r="W28182" s="228" t="n"/>
      <c r="X28182" s="228" t="n"/>
    </row>
    <row r="28183" ht="14.25" customHeight="1" s="192">
      <c r="W28183" s="235" t="n"/>
      <c r="X28183" s="235" t="n"/>
    </row>
    <row r="28184" ht="14.25" customHeight="1" s="192">
      <c r="W28184" s="235" t="n"/>
      <c r="X28184" s="235" t="n"/>
    </row>
    <row r="28185" ht="14.25" customHeight="1" s="192">
      <c r="W28185" s="235" t="n"/>
      <c r="X28185" s="235" t="n"/>
    </row>
    <row r="28186" ht="14.25" customHeight="1" s="192">
      <c r="W28186" s="239" t="n"/>
      <c r="X28186" s="239" t="n"/>
    </row>
    <row r="28187" ht="14.25" customHeight="1" s="192">
      <c r="W28187" s="239" t="n"/>
      <c r="X28187" s="239" t="n"/>
    </row>
    <row r="28188" ht="14.25" customHeight="1" s="192">
      <c r="W28188" s="239" t="n"/>
      <c r="X28188" s="239" t="n"/>
    </row>
    <row r="28189" ht="14.25" customHeight="1" s="192">
      <c r="W28189" s="235" t="n"/>
      <c r="X28189" s="235" t="n"/>
    </row>
    <row r="28190" ht="14.25" customHeight="1" s="192">
      <c r="W28190" s="235" t="n"/>
      <c r="X28190" s="235" t="n"/>
    </row>
    <row r="28191" ht="14.25" customHeight="1" s="192">
      <c r="W28191" s="235" t="n"/>
      <c r="X28191" s="235" t="n"/>
    </row>
    <row r="28192" ht="14.25" customHeight="1" s="192">
      <c r="W28192" s="239" t="n"/>
      <c r="X28192" s="239" t="n"/>
    </row>
    <row r="28193" ht="14.25" customHeight="1" s="192">
      <c r="W28193" s="239" t="n"/>
      <c r="X28193" s="239" t="n"/>
    </row>
    <row r="28194" ht="14.25" customHeight="1" s="192">
      <c r="W28194" s="235" t="n"/>
      <c r="X28194" s="235" t="n"/>
    </row>
    <row r="28195" ht="14.25" customHeight="1" s="192">
      <c r="W28195" s="235" t="n"/>
      <c r="X28195" s="235" t="n"/>
    </row>
    <row r="28196" ht="14.25" customHeight="1" s="192">
      <c r="W28196" s="239" t="n"/>
      <c r="X28196" s="239" t="n"/>
    </row>
    <row r="28197" ht="14.25" customHeight="1" s="192">
      <c r="W28197" s="235" t="n"/>
      <c r="X28197" s="235" t="n"/>
    </row>
    <row r="28198" ht="14.25" customHeight="1" s="192">
      <c r="W28198" s="239" t="n"/>
      <c r="X28198" s="239" t="n"/>
    </row>
    <row r="28200" ht="14.25" customHeight="1" s="192">
      <c r="W28200" s="235" t="n"/>
      <c r="X28200" s="235" t="n"/>
    </row>
    <row r="28201" ht="15" customHeight="1" s="192" thickBot="1">
      <c r="W28201" s="239" t="n"/>
      <c r="X28201" s="239" t="n"/>
    </row>
    <row r="28202" ht="15" customHeight="1" s="192" thickBot="1">
      <c r="W28202" s="45" t="n"/>
      <c r="X28202" s="45" t="n"/>
    </row>
    <row r="28203" ht="14.25" customHeight="1" s="192">
      <c r="W28203" s="228" t="n"/>
      <c r="X28203" s="228" t="n"/>
    </row>
    <row r="28204" ht="14.25" customHeight="1" s="192">
      <c r="W28204" s="228" t="n"/>
      <c r="X28204" s="228" t="n"/>
    </row>
    <row r="28205" ht="14.25" customHeight="1" s="192">
      <c r="W28205" s="231" t="n"/>
      <c r="X28205" s="231" t="n"/>
    </row>
    <row r="28206" ht="14.25" customHeight="1" s="192">
      <c r="W28206" s="33" t="n"/>
      <c r="X28206" s="33" t="n"/>
    </row>
    <row r="28207" ht="14.25" customHeight="1" s="192">
      <c r="W28207" s="231" t="n"/>
      <c r="X28207" s="231" t="n"/>
    </row>
    <row r="28208" ht="14.25" customHeight="1" s="192">
      <c r="W28208" s="33" t="n"/>
      <c r="X28208" s="33" t="n"/>
    </row>
    <row r="28210" ht="14.25" customHeight="1" s="192">
      <c r="W28210" s="231" t="n"/>
      <c r="X28210" s="231" t="n"/>
    </row>
    <row r="28211" ht="14.25" customHeight="1" s="192">
      <c r="W28211" s="235" t="n"/>
      <c r="X28211" s="235" t="n"/>
    </row>
    <row r="28212" ht="14.25" customHeight="1" s="192">
      <c r="W28212" s="228" t="n"/>
      <c r="X28212" s="228" t="n"/>
    </row>
    <row r="28213" ht="14.25" customHeight="1" s="192">
      <c r="W28213" s="235" t="n"/>
      <c r="X28213" s="235" t="n"/>
    </row>
    <row r="28214" ht="14.25" customHeight="1" s="192">
      <c r="W28214" s="235" t="n"/>
      <c r="X28214" s="235" t="n"/>
    </row>
    <row r="28215" ht="14.25" customHeight="1" s="192">
      <c r="W28215" s="235" t="n"/>
      <c r="X28215" s="235" t="n"/>
    </row>
    <row r="28216" ht="14.25" customHeight="1" s="192">
      <c r="W28216" s="239" t="n"/>
      <c r="X28216" s="239" t="n"/>
    </row>
    <row r="28217" ht="14.25" customHeight="1" s="192">
      <c r="W28217" s="239" t="n"/>
      <c r="X28217" s="239" t="n"/>
    </row>
    <row r="28218" ht="14.25" customHeight="1" s="192">
      <c r="W28218" s="239" t="n"/>
      <c r="X28218" s="239" t="n"/>
    </row>
    <row r="28219" ht="14.25" customHeight="1" s="192">
      <c r="W28219" s="235" t="n"/>
      <c r="X28219" s="235" t="n"/>
    </row>
    <row r="28220" ht="14.25" customHeight="1" s="192">
      <c r="W28220" s="235" t="n"/>
      <c r="X28220" s="235" t="n"/>
    </row>
    <row r="28221" ht="14.25" customHeight="1" s="192">
      <c r="W28221" s="235" t="n"/>
      <c r="X28221" s="235" t="n"/>
    </row>
    <row r="28222" ht="14.25" customHeight="1" s="192">
      <c r="W28222" s="239" t="n"/>
      <c r="X28222" s="239" t="n"/>
    </row>
    <row r="28223" ht="14.25" customHeight="1" s="192">
      <c r="W28223" s="239" t="n"/>
      <c r="X28223" s="239" t="n"/>
    </row>
    <row r="28224" ht="14.25" customHeight="1" s="192">
      <c r="W28224" s="235" t="n"/>
      <c r="X28224" s="235" t="n"/>
    </row>
    <row r="28225" ht="14.25" customHeight="1" s="192">
      <c r="W28225" s="235" t="n"/>
      <c r="X28225" s="235" t="n"/>
    </row>
    <row r="28226" ht="14.25" customHeight="1" s="192">
      <c r="W28226" s="239" t="n"/>
      <c r="X28226" s="239" t="n"/>
    </row>
    <row r="28227" ht="14.25" customHeight="1" s="192">
      <c r="W28227" s="235" t="n"/>
      <c r="X28227" s="235" t="n"/>
    </row>
    <row r="28228" ht="14.25" customHeight="1" s="192">
      <c r="W28228" s="239" t="n"/>
      <c r="X28228" s="239" t="n"/>
    </row>
    <row r="28230" ht="14.25" customHeight="1" s="192">
      <c r="W28230" s="235" t="n"/>
      <c r="X28230" s="235" t="n"/>
    </row>
    <row r="28231" ht="15" customHeight="1" s="192" thickBot="1">
      <c r="W28231" s="239" t="n"/>
      <c r="X28231" s="239" t="n"/>
    </row>
    <row r="28232" ht="15" customHeight="1" s="192" thickBot="1">
      <c r="W28232" s="45" t="n"/>
      <c r="X28232" s="45" t="n"/>
    </row>
    <row r="28233" ht="14.25" customHeight="1" s="192">
      <c r="W28233" s="228" t="n"/>
      <c r="X28233" s="228" t="n"/>
    </row>
    <row r="28234" ht="14.25" customHeight="1" s="192">
      <c r="W28234" s="228" t="n"/>
      <c r="X28234" s="228" t="n"/>
    </row>
    <row r="28235" ht="14.25" customHeight="1" s="192">
      <c r="W28235" s="231" t="n"/>
      <c r="X28235" s="231" t="n"/>
    </row>
    <row r="28236" ht="14.25" customHeight="1" s="192">
      <c r="W28236" s="33" t="n"/>
      <c r="X28236" s="33" t="n"/>
    </row>
    <row r="28237" ht="14.25" customHeight="1" s="192">
      <c r="W28237" s="231" t="n"/>
      <c r="X28237" s="231" t="n"/>
    </row>
    <row r="28238" ht="14.25" customHeight="1" s="192">
      <c r="W28238" s="33" t="n"/>
      <c r="X28238" s="33" t="n"/>
    </row>
    <row r="28240" ht="14.25" customHeight="1" s="192">
      <c r="W28240" s="231" t="n"/>
      <c r="X28240" s="231" t="n"/>
    </row>
    <row r="28241" ht="14.25" customHeight="1" s="192">
      <c r="W28241" s="235" t="n"/>
      <c r="X28241" s="235" t="n"/>
    </row>
    <row r="28242" ht="14.25" customHeight="1" s="192">
      <c r="W28242" s="228" t="n"/>
      <c r="X28242" s="228" t="n"/>
    </row>
    <row r="28243" ht="14.25" customHeight="1" s="192">
      <c r="W28243" s="235" t="n"/>
      <c r="X28243" s="235" t="n"/>
    </row>
    <row r="28244" ht="14.25" customHeight="1" s="192">
      <c r="W28244" s="235" t="n"/>
      <c r="X28244" s="235" t="n"/>
    </row>
    <row r="28245" ht="14.25" customHeight="1" s="192">
      <c r="W28245" s="235" t="n"/>
      <c r="X28245" s="235" t="n"/>
    </row>
    <row r="28246" ht="14.25" customHeight="1" s="192">
      <c r="W28246" s="239" t="n"/>
      <c r="X28246" s="239" t="n"/>
    </row>
    <row r="28247" ht="14.25" customHeight="1" s="192">
      <c r="W28247" s="239" t="n"/>
      <c r="X28247" s="239" t="n"/>
    </row>
    <row r="28248" ht="14.25" customHeight="1" s="192">
      <c r="W28248" s="239" t="n"/>
      <c r="X28248" s="239" t="n"/>
    </row>
    <row r="28249" ht="14.25" customHeight="1" s="192">
      <c r="W28249" s="235" t="n"/>
      <c r="X28249" s="235" t="n"/>
    </row>
    <row r="28250" ht="14.25" customHeight="1" s="192">
      <c r="W28250" s="235" t="n"/>
      <c r="X28250" s="235" t="n"/>
    </row>
    <row r="28251" ht="14.25" customHeight="1" s="192">
      <c r="W28251" s="235" t="n"/>
      <c r="X28251" s="235" t="n"/>
    </row>
    <row r="28252" ht="14.25" customHeight="1" s="192">
      <c r="W28252" s="239" t="n"/>
      <c r="X28252" s="239" t="n"/>
    </row>
    <row r="28253" ht="14.25" customHeight="1" s="192">
      <c r="W28253" s="239" t="n"/>
      <c r="X28253" s="239" t="n"/>
    </row>
    <row r="28254" ht="14.25" customHeight="1" s="192">
      <c r="W28254" s="235" t="n"/>
      <c r="X28254" s="235" t="n"/>
    </row>
    <row r="28255" ht="14.25" customHeight="1" s="192">
      <c r="W28255" s="235" t="n"/>
      <c r="X28255" s="235" t="n"/>
    </row>
    <row r="28256" ht="14.25" customHeight="1" s="192">
      <c r="W28256" s="239" t="n"/>
      <c r="X28256" s="239" t="n"/>
    </row>
    <row r="28257" ht="14.25" customHeight="1" s="192">
      <c r="W28257" s="235" t="n"/>
      <c r="X28257" s="235" t="n"/>
    </row>
    <row r="28258" ht="14.25" customHeight="1" s="192">
      <c r="W28258" s="239" t="n"/>
      <c r="X28258" s="239" t="n"/>
    </row>
    <row r="28260" ht="14.25" customHeight="1" s="192">
      <c r="W28260" s="235" t="n"/>
      <c r="X28260" s="235" t="n"/>
    </row>
    <row r="28261" ht="15" customHeight="1" s="192" thickBot="1">
      <c r="W28261" s="239" t="n"/>
      <c r="X28261" s="239" t="n"/>
    </row>
    <row r="28262" ht="15" customHeight="1" s="192" thickBot="1">
      <c r="W28262" s="45" t="n"/>
      <c r="X28262" s="45" t="n"/>
    </row>
    <row r="28263" ht="14.25" customHeight="1" s="192">
      <c r="W28263" s="228" t="n"/>
      <c r="X28263" s="228" t="n"/>
    </row>
    <row r="28264" ht="14.25" customHeight="1" s="192">
      <c r="W28264" s="228" t="n"/>
      <c r="X28264" s="228" t="n"/>
    </row>
    <row r="28265" ht="14.25" customHeight="1" s="192">
      <c r="W28265" s="231" t="n"/>
      <c r="X28265" s="231" t="n"/>
    </row>
    <row r="28266" ht="14.25" customHeight="1" s="192">
      <c r="W28266" s="33" t="n"/>
      <c r="X28266" s="33" t="n"/>
    </row>
    <row r="28267" ht="14.25" customHeight="1" s="192">
      <c r="W28267" s="231" t="n"/>
      <c r="X28267" s="231" t="n"/>
    </row>
    <row r="28268" ht="14.25" customHeight="1" s="192">
      <c r="W28268" s="33" t="n"/>
      <c r="X28268" s="33" t="n"/>
    </row>
    <row r="28270" ht="14.25" customHeight="1" s="192">
      <c r="W28270" s="231" t="n"/>
      <c r="X28270" s="231" t="n"/>
    </row>
    <row r="28271" ht="14.25" customHeight="1" s="192">
      <c r="W28271" s="235" t="n"/>
      <c r="X28271" s="235" t="n"/>
    </row>
    <row r="28272" ht="14.25" customHeight="1" s="192">
      <c r="W28272" s="228" t="n"/>
      <c r="X28272" s="228" t="n"/>
    </row>
    <row r="28273" ht="14.25" customHeight="1" s="192">
      <c r="W28273" s="235" t="n"/>
      <c r="X28273" s="235" t="n"/>
    </row>
    <row r="28274" ht="14.25" customHeight="1" s="192">
      <c r="W28274" s="235" t="n"/>
      <c r="X28274" s="235" t="n"/>
    </row>
    <row r="28275" ht="14.25" customHeight="1" s="192">
      <c r="W28275" s="235" t="n"/>
      <c r="X28275" s="235" t="n"/>
    </row>
    <row r="28276" ht="14.25" customHeight="1" s="192">
      <c r="W28276" s="239" t="n"/>
      <c r="X28276" s="239" t="n"/>
    </row>
    <row r="28277" ht="14.25" customHeight="1" s="192">
      <c r="W28277" s="239" t="n"/>
      <c r="X28277" s="239" t="n"/>
    </row>
    <row r="28278" ht="14.25" customHeight="1" s="192">
      <c r="W28278" s="239" t="n"/>
      <c r="X28278" s="239" t="n"/>
    </row>
    <row r="28279" ht="14.25" customHeight="1" s="192">
      <c r="W28279" s="235" t="n"/>
      <c r="X28279" s="235" t="n"/>
    </row>
    <row r="28280" ht="14.25" customHeight="1" s="192">
      <c r="W28280" s="235" t="n"/>
      <c r="X28280" s="235" t="n"/>
    </row>
    <row r="28281" ht="14.25" customHeight="1" s="192">
      <c r="W28281" s="235" t="n"/>
      <c r="X28281" s="235" t="n"/>
    </row>
    <row r="28282" ht="14.25" customHeight="1" s="192">
      <c r="W28282" s="239" t="n"/>
      <c r="X28282" s="239" t="n"/>
    </row>
    <row r="28283" ht="14.25" customHeight="1" s="192">
      <c r="W28283" s="239" t="n"/>
      <c r="X28283" s="239" t="n"/>
    </row>
    <row r="28284" ht="14.25" customHeight="1" s="192">
      <c r="W28284" s="235" t="n"/>
      <c r="X28284" s="235" t="n"/>
    </row>
    <row r="28285" ht="14.25" customHeight="1" s="192">
      <c r="W28285" s="235" t="n"/>
      <c r="X28285" s="235" t="n"/>
    </row>
    <row r="28286" ht="14.25" customHeight="1" s="192">
      <c r="W28286" s="239" t="n"/>
      <c r="X28286" s="239" t="n"/>
    </row>
    <row r="28287" ht="14.25" customHeight="1" s="192">
      <c r="W28287" s="235" t="n"/>
      <c r="X28287" s="235" t="n"/>
    </row>
    <row r="28288" ht="14.25" customHeight="1" s="192">
      <c r="W28288" s="239" t="n"/>
      <c r="X28288" s="239" t="n"/>
    </row>
    <row r="28290" ht="14.25" customHeight="1" s="192">
      <c r="W28290" s="235" t="n"/>
      <c r="X28290" s="235" t="n"/>
    </row>
    <row r="28291" ht="15" customHeight="1" s="192" thickBot="1">
      <c r="W28291" s="239" t="n"/>
      <c r="X28291" s="239" t="n"/>
    </row>
    <row r="28292" ht="15" customHeight="1" s="192" thickBot="1">
      <c r="W28292" s="45" t="n"/>
      <c r="X28292" s="45" t="n"/>
    </row>
    <row r="28293" ht="14.25" customHeight="1" s="192">
      <c r="W28293" s="228" t="n"/>
      <c r="X28293" s="228" t="n"/>
    </row>
    <row r="28294" ht="14.25" customHeight="1" s="192">
      <c r="W28294" s="228" t="n"/>
      <c r="X28294" s="228" t="n"/>
    </row>
    <row r="28295" ht="14.25" customHeight="1" s="192">
      <c r="W28295" s="231" t="n"/>
      <c r="X28295" s="231" t="n"/>
    </row>
    <row r="28296" ht="14.25" customHeight="1" s="192">
      <c r="W28296" s="33" t="n"/>
      <c r="X28296" s="33" t="n"/>
    </row>
    <row r="28297" ht="14.25" customHeight="1" s="192">
      <c r="W28297" s="231" t="n"/>
      <c r="X28297" s="231" t="n"/>
    </row>
    <row r="28298" ht="14.25" customHeight="1" s="192">
      <c r="W28298" s="33" t="n"/>
      <c r="X28298" s="33" t="n"/>
    </row>
    <row r="28300" ht="14.25" customHeight="1" s="192">
      <c r="W28300" s="231" t="n"/>
      <c r="X28300" s="231" t="n"/>
    </row>
    <row r="28301" ht="14.25" customHeight="1" s="192">
      <c r="W28301" s="235" t="n"/>
      <c r="X28301" s="235" t="n"/>
    </row>
    <row r="28302" ht="14.25" customHeight="1" s="192">
      <c r="W28302" s="228" t="n"/>
      <c r="X28302" s="228" t="n"/>
    </row>
    <row r="28303" ht="14.25" customHeight="1" s="192">
      <c r="W28303" s="235" t="n"/>
      <c r="X28303" s="235" t="n"/>
    </row>
    <row r="28304" ht="14.25" customHeight="1" s="192">
      <c r="W28304" s="235" t="n"/>
      <c r="X28304" s="235" t="n"/>
    </row>
    <row r="28305" ht="14.25" customHeight="1" s="192">
      <c r="W28305" s="235" t="n"/>
      <c r="X28305" s="235" t="n"/>
    </row>
    <row r="28306" ht="14.25" customHeight="1" s="192">
      <c r="W28306" s="239" t="n"/>
      <c r="X28306" s="239" t="n"/>
    </row>
    <row r="28307" ht="14.25" customHeight="1" s="192">
      <c r="W28307" s="239" t="n"/>
      <c r="X28307" s="239" t="n"/>
    </row>
    <row r="28308" ht="14.25" customHeight="1" s="192">
      <c r="W28308" s="239" t="n"/>
      <c r="X28308" s="239" t="n"/>
    </row>
    <row r="28309" ht="14.25" customHeight="1" s="192">
      <c r="W28309" s="235" t="n"/>
      <c r="X28309" s="235" t="n"/>
    </row>
    <row r="28310" ht="14.25" customHeight="1" s="192">
      <c r="W28310" s="235" t="n"/>
      <c r="X28310" s="235" t="n"/>
    </row>
    <row r="28311" ht="14.25" customHeight="1" s="192">
      <c r="W28311" s="235" t="n"/>
      <c r="X28311" s="235" t="n"/>
    </row>
    <row r="28312" ht="14.25" customHeight="1" s="192">
      <c r="W28312" s="239" t="n"/>
      <c r="X28312" s="239" t="n"/>
    </row>
    <row r="28313" ht="14.25" customHeight="1" s="192">
      <c r="W28313" s="239" t="n"/>
      <c r="X28313" s="239" t="n"/>
    </row>
    <row r="28314" ht="14.25" customHeight="1" s="192">
      <c r="W28314" s="235" t="n"/>
      <c r="X28314" s="235" t="n"/>
    </row>
    <row r="28315" ht="14.25" customHeight="1" s="192">
      <c r="W28315" s="235" t="n"/>
      <c r="X28315" s="235" t="n"/>
    </row>
    <row r="28316" ht="14.25" customHeight="1" s="192">
      <c r="W28316" s="239" t="n"/>
      <c r="X28316" s="239" t="n"/>
    </row>
    <row r="28317" ht="14.25" customHeight="1" s="192">
      <c r="W28317" s="235" t="n"/>
      <c r="X28317" s="235" t="n"/>
    </row>
    <row r="28318" ht="14.25" customHeight="1" s="192">
      <c r="W28318" s="239" t="n"/>
      <c r="X28318" s="239" t="n"/>
    </row>
    <row r="28320" ht="14.25" customHeight="1" s="192">
      <c r="W28320" s="235" t="n"/>
      <c r="X28320" s="235" t="n"/>
    </row>
    <row r="28321" ht="15" customHeight="1" s="192" thickBot="1">
      <c r="W28321" s="239" t="n"/>
      <c r="X28321" s="239" t="n"/>
    </row>
    <row r="28322" ht="15" customHeight="1" s="192" thickBot="1">
      <c r="W28322" s="45" t="n"/>
      <c r="X28322" s="45" t="n"/>
    </row>
    <row r="28323" ht="14.25" customHeight="1" s="192">
      <c r="W28323" s="228" t="n"/>
      <c r="X28323" s="228" t="n"/>
    </row>
    <row r="28324" ht="14.25" customHeight="1" s="192">
      <c r="W28324" s="228" t="n"/>
      <c r="X28324" s="228" t="n"/>
    </row>
    <row r="28325" ht="14.25" customHeight="1" s="192">
      <c r="W28325" s="231" t="n"/>
      <c r="X28325" s="231" t="n"/>
    </row>
    <row r="28326" ht="14.25" customHeight="1" s="192">
      <c r="W28326" s="33" t="n"/>
      <c r="X28326" s="33" t="n"/>
    </row>
    <row r="28327" ht="14.25" customHeight="1" s="192">
      <c r="W28327" s="231" t="n"/>
      <c r="X28327" s="231" t="n"/>
    </row>
    <row r="28328" ht="14.25" customHeight="1" s="192">
      <c r="W28328" s="33" t="n"/>
      <c r="X28328" s="33" t="n"/>
    </row>
    <row r="28330" ht="14.25" customHeight="1" s="192">
      <c r="W28330" s="231" t="n"/>
      <c r="X28330" s="231" t="n"/>
    </row>
    <row r="28331" ht="14.25" customHeight="1" s="192">
      <c r="W28331" s="235" t="n"/>
      <c r="X28331" s="235" t="n"/>
    </row>
    <row r="28332" ht="14.25" customHeight="1" s="192">
      <c r="W28332" s="228" t="n"/>
      <c r="X28332" s="228" t="n"/>
    </row>
    <row r="28333" ht="14.25" customHeight="1" s="192">
      <c r="W28333" s="235" t="n"/>
      <c r="X28333" s="235" t="n"/>
    </row>
    <row r="28334" ht="14.25" customHeight="1" s="192">
      <c r="W28334" s="235" t="n"/>
      <c r="X28334" s="235" t="n"/>
    </row>
    <row r="28335" ht="14.25" customHeight="1" s="192">
      <c r="W28335" s="235" t="n"/>
      <c r="X28335" s="235" t="n"/>
    </row>
    <row r="28336" ht="14.25" customHeight="1" s="192">
      <c r="W28336" s="239" t="n"/>
      <c r="X28336" s="239" t="n"/>
    </row>
    <row r="28337" ht="14.25" customHeight="1" s="192">
      <c r="W28337" s="239" t="n"/>
      <c r="X28337" s="239" t="n"/>
    </row>
    <row r="28338" ht="14.25" customHeight="1" s="192">
      <c r="W28338" s="239" t="n"/>
      <c r="X28338" s="239" t="n"/>
    </row>
    <row r="28339" ht="14.25" customHeight="1" s="192">
      <c r="W28339" s="235" t="n"/>
      <c r="X28339" s="235" t="n"/>
    </row>
    <row r="28340" ht="14.25" customHeight="1" s="192">
      <c r="W28340" s="235" t="n"/>
      <c r="X28340" s="235" t="n"/>
    </row>
    <row r="28341" ht="14.25" customHeight="1" s="192">
      <c r="W28341" s="235" t="n"/>
      <c r="X28341" s="235" t="n"/>
    </row>
    <row r="28342" ht="14.25" customHeight="1" s="192">
      <c r="W28342" s="239" t="n"/>
      <c r="X28342" s="239" t="n"/>
    </row>
    <row r="28343" ht="14.25" customHeight="1" s="192">
      <c r="W28343" s="239" t="n"/>
      <c r="X28343" s="239" t="n"/>
    </row>
    <row r="28344" ht="14.25" customHeight="1" s="192">
      <c r="W28344" s="235" t="n"/>
      <c r="X28344" s="235" t="n"/>
    </row>
    <row r="28345" ht="14.25" customHeight="1" s="192">
      <c r="W28345" s="235" t="n"/>
      <c r="X28345" s="235" t="n"/>
    </row>
    <row r="28346" ht="14.25" customHeight="1" s="192">
      <c r="W28346" s="239" t="n"/>
      <c r="X28346" s="239" t="n"/>
    </row>
    <row r="28347" ht="14.25" customHeight="1" s="192">
      <c r="W28347" s="235" t="n"/>
      <c r="X28347" s="235" t="n"/>
    </row>
    <row r="28348" ht="14.25" customHeight="1" s="192">
      <c r="W28348" s="239" t="n"/>
      <c r="X28348" s="239" t="n"/>
    </row>
    <row r="28350" ht="14.25" customHeight="1" s="192">
      <c r="W28350" s="235" t="n"/>
      <c r="X28350" s="235" t="n"/>
    </row>
    <row r="28351" ht="15" customHeight="1" s="192" thickBot="1">
      <c r="W28351" s="239" t="n"/>
      <c r="X28351" s="239" t="n"/>
    </row>
    <row r="28352" ht="15" customHeight="1" s="192" thickBot="1">
      <c r="W28352" s="45" t="n"/>
      <c r="X28352" s="45" t="n"/>
    </row>
    <row r="28353" ht="14.25" customHeight="1" s="192">
      <c r="W28353" s="228" t="n"/>
      <c r="X28353" s="228" t="n"/>
    </row>
    <row r="28354" ht="14.25" customHeight="1" s="192">
      <c r="W28354" s="228" t="n"/>
      <c r="X28354" s="228" t="n"/>
    </row>
    <row r="28355" ht="14.25" customHeight="1" s="192">
      <c r="W28355" s="231" t="n"/>
      <c r="X28355" s="231" t="n"/>
    </row>
    <row r="28356" ht="14.25" customHeight="1" s="192">
      <c r="W28356" s="33" t="n"/>
      <c r="X28356" s="33" t="n"/>
    </row>
    <row r="28357" ht="14.25" customHeight="1" s="192">
      <c r="W28357" s="231" t="n"/>
      <c r="X28357" s="231" t="n"/>
    </row>
    <row r="28358" ht="14.25" customHeight="1" s="192">
      <c r="W28358" s="33" t="n"/>
      <c r="X28358" s="33" t="n"/>
    </row>
    <row r="28360" ht="14.25" customHeight="1" s="192">
      <c r="W28360" s="231" t="n"/>
      <c r="X28360" s="231" t="n"/>
    </row>
    <row r="28361" ht="14.25" customHeight="1" s="192">
      <c r="W28361" s="235" t="n"/>
      <c r="X28361" s="235" t="n"/>
    </row>
    <row r="28362" ht="14.25" customHeight="1" s="192">
      <c r="W28362" s="228" t="n"/>
      <c r="X28362" s="228" t="n"/>
    </row>
    <row r="28363" ht="14.25" customHeight="1" s="192">
      <c r="W28363" s="235" t="n"/>
      <c r="X28363" s="235" t="n"/>
    </row>
    <row r="28364" ht="14.25" customHeight="1" s="192">
      <c r="W28364" s="235" t="n"/>
      <c r="X28364" s="235" t="n"/>
    </row>
    <row r="28365" ht="14.25" customHeight="1" s="192">
      <c r="W28365" s="235" t="n"/>
      <c r="X28365" s="235" t="n"/>
    </row>
    <row r="28366" ht="14.25" customHeight="1" s="192">
      <c r="W28366" s="239" t="n"/>
      <c r="X28366" s="239" t="n"/>
    </row>
    <row r="28367" ht="14.25" customHeight="1" s="192">
      <c r="W28367" s="239" t="n"/>
      <c r="X28367" s="239" t="n"/>
    </row>
    <row r="28368" ht="14.25" customHeight="1" s="192">
      <c r="W28368" s="239" t="n"/>
      <c r="X28368" s="239" t="n"/>
    </row>
    <row r="28369" ht="14.25" customHeight="1" s="192">
      <c r="W28369" s="235" t="n"/>
      <c r="X28369" s="235" t="n"/>
    </row>
    <row r="28370" ht="14.25" customHeight="1" s="192">
      <c r="W28370" s="235" t="n"/>
      <c r="X28370" s="235" t="n"/>
    </row>
    <row r="28371" ht="14.25" customHeight="1" s="192">
      <c r="W28371" s="235" t="n"/>
      <c r="X28371" s="235" t="n"/>
    </row>
    <row r="28372" ht="14.25" customHeight="1" s="192">
      <c r="W28372" s="239" t="n"/>
      <c r="X28372" s="239" t="n"/>
    </row>
    <row r="28373" ht="14.25" customHeight="1" s="192">
      <c r="W28373" s="239" t="n"/>
      <c r="X28373" s="239" t="n"/>
    </row>
    <row r="28374" ht="14.25" customHeight="1" s="192">
      <c r="W28374" s="235" t="n"/>
      <c r="X28374" s="235" t="n"/>
    </row>
    <row r="28375" ht="14.25" customHeight="1" s="192">
      <c r="W28375" s="235" t="n"/>
      <c r="X28375" s="235" t="n"/>
    </row>
    <row r="28376" ht="14.25" customHeight="1" s="192">
      <c r="W28376" s="239" t="n"/>
      <c r="X28376" s="239" t="n"/>
    </row>
    <row r="28377" ht="14.25" customHeight="1" s="192">
      <c r="W28377" s="235" t="n"/>
      <c r="X28377" s="235" t="n"/>
    </row>
    <row r="28378" ht="14.25" customHeight="1" s="192">
      <c r="W28378" s="239" t="n"/>
      <c r="X28378" s="239" t="n"/>
    </row>
    <row r="28380" ht="14.25" customHeight="1" s="192">
      <c r="W28380" s="235" t="n"/>
      <c r="X28380" s="235" t="n"/>
    </row>
    <row r="28381" ht="15" customHeight="1" s="192" thickBot="1">
      <c r="W28381" s="239" t="n"/>
      <c r="X28381" s="239" t="n"/>
    </row>
    <row r="28382" ht="15" customHeight="1" s="192" thickBot="1">
      <c r="W28382" s="45" t="n"/>
      <c r="X28382" s="45" t="n"/>
    </row>
    <row r="28383" ht="14.25" customHeight="1" s="192">
      <c r="W28383" s="228" t="n"/>
      <c r="X28383" s="228" t="n"/>
    </row>
    <row r="28384" ht="14.25" customHeight="1" s="192">
      <c r="W28384" s="228" t="n"/>
      <c r="X28384" s="228" t="n"/>
    </row>
    <row r="28385" ht="14.25" customHeight="1" s="192">
      <c r="W28385" s="231" t="n"/>
      <c r="X28385" s="231" t="n"/>
    </row>
    <row r="28386" ht="14.25" customHeight="1" s="192">
      <c r="W28386" s="33" t="n"/>
      <c r="X28386" s="33" t="n"/>
    </row>
    <row r="28387" ht="14.25" customHeight="1" s="192">
      <c r="W28387" s="231" t="n"/>
      <c r="X28387" s="231" t="n"/>
    </row>
    <row r="28388" ht="14.25" customHeight="1" s="192">
      <c r="W28388" s="33" t="n"/>
      <c r="X28388" s="33" t="n"/>
    </row>
    <row r="28390" ht="14.25" customHeight="1" s="192">
      <c r="W28390" s="231" t="n"/>
      <c r="X28390" s="231" t="n"/>
    </row>
    <row r="28391" ht="14.25" customHeight="1" s="192">
      <c r="W28391" s="235" t="n"/>
      <c r="X28391" s="235" t="n"/>
    </row>
    <row r="28392" ht="14.25" customHeight="1" s="192">
      <c r="W28392" s="228" t="n"/>
      <c r="X28392" s="228" t="n"/>
    </row>
    <row r="28393" ht="14.25" customHeight="1" s="192">
      <c r="W28393" s="235" t="n"/>
      <c r="X28393" s="235" t="n"/>
    </row>
    <row r="28394" ht="14.25" customHeight="1" s="192">
      <c r="W28394" s="235" t="n"/>
      <c r="X28394" s="235" t="n"/>
    </row>
    <row r="28395" ht="14.25" customHeight="1" s="192">
      <c r="W28395" s="235" t="n"/>
      <c r="X28395" s="235" t="n"/>
    </row>
    <row r="28396" ht="14.25" customHeight="1" s="192">
      <c r="W28396" s="239" t="n"/>
      <c r="X28396" s="239" t="n"/>
    </row>
    <row r="28397" ht="14.25" customHeight="1" s="192">
      <c r="W28397" s="239" t="n"/>
      <c r="X28397" s="239" t="n"/>
    </row>
    <row r="28398" ht="14.25" customHeight="1" s="192">
      <c r="W28398" s="239" t="n"/>
      <c r="X28398" s="239" t="n"/>
    </row>
    <row r="28399" ht="14.25" customHeight="1" s="192">
      <c r="W28399" s="235" t="n"/>
      <c r="X28399" s="235" t="n"/>
    </row>
    <row r="28400" ht="14.25" customHeight="1" s="192">
      <c r="W28400" s="235" t="n"/>
      <c r="X28400" s="235" t="n"/>
    </row>
    <row r="28401" ht="14.25" customHeight="1" s="192">
      <c r="W28401" s="235" t="n"/>
      <c r="X28401" s="235" t="n"/>
    </row>
    <row r="28402" ht="14.25" customHeight="1" s="192">
      <c r="W28402" s="239" t="n"/>
      <c r="X28402" s="239" t="n"/>
    </row>
    <row r="28403" ht="14.25" customHeight="1" s="192">
      <c r="W28403" s="239" t="n"/>
      <c r="X28403" s="239" t="n"/>
    </row>
    <row r="28404" ht="14.25" customHeight="1" s="192">
      <c r="W28404" s="235" t="n"/>
      <c r="X28404" s="235" t="n"/>
    </row>
    <row r="28405" ht="14.25" customHeight="1" s="192">
      <c r="W28405" s="235" t="n"/>
      <c r="X28405" s="235" t="n"/>
    </row>
    <row r="28406" ht="14.25" customHeight="1" s="192">
      <c r="W28406" s="239" t="n"/>
      <c r="X28406" s="239" t="n"/>
    </row>
    <row r="28407" ht="14.25" customHeight="1" s="192">
      <c r="W28407" s="235" t="n"/>
      <c r="X28407" s="235" t="n"/>
    </row>
    <row r="28408" ht="14.25" customHeight="1" s="192">
      <c r="W28408" s="239" t="n"/>
      <c r="X28408" s="239" t="n"/>
    </row>
    <row r="28410" ht="14.25" customHeight="1" s="192">
      <c r="W28410" s="235" t="n"/>
      <c r="X28410" s="235" t="n"/>
    </row>
    <row r="28411" ht="15" customHeight="1" s="192" thickBot="1">
      <c r="W28411" s="239" t="n"/>
      <c r="X28411" s="239" t="n"/>
    </row>
    <row r="28412" ht="15" customHeight="1" s="192" thickBot="1">
      <c r="W28412" s="45" t="n"/>
      <c r="X28412" s="45" t="n"/>
    </row>
    <row r="28413" ht="14.25" customHeight="1" s="192">
      <c r="W28413" s="228" t="n"/>
      <c r="X28413" s="228" t="n"/>
    </row>
    <row r="28414" ht="14.25" customHeight="1" s="192">
      <c r="W28414" s="228" t="n"/>
      <c r="X28414" s="228" t="n"/>
    </row>
    <row r="28415" ht="14.25" customHeight="1" s="192">
      <c r="W28415" s="231" t="n"/>
      <c r="X28415" s="231" t="n"/>
    </row>
    <row r="28416" ht="14.25" customHeight="1" s="192">
      <c r="W28416" s="33" t="n"/>
      <c r="X28416" s="33" t="n"/>
    </row>
    <row r="28417" ht="14.25" customHeight="1" s="192">
      <c r="W28417" s="231" t="n"/>
      <c r="X28417" s="231" t="n"/>
    </row>
    <row r="28418" ht="14.25" customHeight="1" s="192">
      <c r="W28418" s="33" t="n"/>
      <c r="X28418" s="33" t="n"/>
    </row>
    <row r="28420" ht="14.25" customHeight="1" s="192">
      <c r="W28420" s="231" t="n"/>
      <c r="X28420" s="231" t="n"/>
    </row>
    <row r="28421" ht="14.25" customHeight="1" s="192">
      <c r="W28421" s="235" t="n"/>
      <c r="X28421" s="235" t="n"/>
    </row>
    <row r="28422" ht="14.25" customHeight="1" s="192">
      <c r="W28422" s="228" t="n"/>
      <c r="X28422" s="228" t="n"/>
    </row>
    <row r="28423" ht="14.25" customHeight="1" s="192">
      <c r="W28423" s="235" t="n"/>
      <c r="X28423" s="235" t="n"/>
    </row>
    <row r="28424" ht="14.25" customHeight="1" s="192">
      <c r="W28424" s="235" t="n"/>
      <c r="X28424" s="235" t="n"/>
    </row>
    <row r="28425" ht="14.25" customHeight="1" s="192">
      <c r="W28425" s="235" t="n"/>
      <c r="X28425" s="235" t="n"/>
    </row>
    <row r="28426" ht="14.25" customHeight="1" s="192">
      <c r="W28426" s="239" t="n"/>
      <c r="X28426" s="239" t="n"/>
    </row>
    <row r="28427" ht="14.25" customHeight="1" s="192">
      <c r="W28427" s="239" t="n"/>
      <c r="X28427" s="239" t="n"/>
    </row>
    <row r="28428" ht="14.25" customHeight="1" s="192">
      <c r="W28428" s="239" t="n"/>
      <c r="X28428" s="239" t="n"/>
    </row>
    <row r="28429" ht="14.25" customHeight="1" s="192">
      <c r="W28429" s="235" t="n"/>
      <c r="X28429" s="235" t="n"/>
    </row>
    <row r="28430" ht="14.25" customHeight="1" s="192">
      <c r="W28430" s="235" t="n"/>
      <c r="X28430" s="235" t="n"/>
    </row>
    <row r="28431" ht="14.25" customHeight="1" s="192">
      <c r="W28431" s="235" t="n"/>
      <c r="X28431" s="235" t="n"/>
    </row>
    <row r="28432" ht="14.25" customHeight="1" s="192">
      <c r="W28432" s="239" t="n"/>
      <c r="X28432" s="239" t="n"/>
    </row>
    <row r="28433" ht="14.25" customHeight="1" s="192">
      <c r="W28433" s="239" t="n"/>
      <c r="X28433" s="239" t="n"/>
    </row>
    <row r="28434" ht="14.25" customHeight="1" s="192">
      <c r="W28434" s="235" t="n"/>
      <c r="X28434" s="235" t="n"/>
    </row>
    <row r="28435" ht="14.25" customHeight="1" s="192">
      <c r="W28435" s="235" t="n"/>
      <c r="X28435" s="235" t="n"/>
    </row>
    <row r="28436" ht="14.25" customHeight="1" s="192">
      <c r="W28436" s="239" t="n"/>
      <c r="X28436" s="239" t="n"/>
    </row>
    <row r="28437" ht="14.25" customHeight="1" s="192">
      <c r="W28437" s="235" t="n"/>
      <c r="X28437" s="235" t="n"/>
    </row>
    <row r="28438" ht="14.25" customHeight="1" s="192">
      <c r="W28438" s="239" t="n"/>
      <c r="X28438" s="239" t="n"/>
    </row>
    <row r="28440" ht="14.25" customHeight="1" s="192">
      <c r="W28440" s="235" t="n"/>
      <c r="X28440" s="235" t="n"/>
    </row>
    <row r="28441" ht="15" customHeight="1" s="192" thickBot="1">
      <c r="W28441" s="239" t="n"/>
      <c r="X28441" s="239" t="n"/>
    </row>
    <row r="28442" ht="15" customHeight="1" s="192" thickBot="1">
      <c r="W28442" s="45" t="n"/>
      <c r="X28442" s="45" t="n"/>
    </row>
    <row r="28443" ht="14.25" customHeight="1" s="192">
      <c r="W28443" s="228" t="n"/>
      <c r="X28443" s="228" t="n"/>
    </row>
    <row r="28444" ht="14.25" customHeight="1" s="192">
      <c r="W28444" s="228" t="n"/>
      <c r="X28444" s="228" t="n"/>
    </row>
    <row r="28445" ht="14.25" customHeight="1" s="192">
      <c r="W28445" s="231" t="n"/>
      <c r="X28445" s="231" t="n"/>
    </row>
    <row r="28446" ht="14.25" customHeight="1" s="192">
      <c r="W28446" s="33" t="n"/>
      <c r="X28446" s="33" t="n"/>
    </row>
    <row r="28447" ht="14.25" customHeight="1" s="192">
      <c r="W28447" s="231" t="n"/>
      <c r="X28447" s="231" t="n"/>
    </row>
    <row r="28448" ht="14.25" customHeight="1" s="192">
      <c r="W28448" s="33" t="n"/>
      <c r="X28448" s="33" t="n"/>
    </row>
    <row r="28450" ht="14.25" customHeight="1" s="192">
      <c r="W28450" s="231" t="n"/>
      <c r="X28450" s="231" t="n"/>
    </row>
    <row r="28451" ht="14.25" customHeight="1" s="192">
      <c r="W28451" s="235" t="n"/>
      <c r="X28451" s="235" t="n"/>
    </row>
    <row r="28452" ht="14.25" customHeight="1" s="192">
      <c r="W28452" s="228" t="n"/>
      <c r="X28452" s="228" t="n"/>
    </row>
    <row r="28453" ht="14.25" customHeight="1" s="192">
      <c r="W28453" s="235" t="n"/>
      <c r="X28453" s="235" t="n"/>
    </row>
    <row r="28454" ht="14.25" customHeight="1" s="192">
      <c r="W28454" s="235" t="n"/>
      <c r="X28454" s="235" t="n"/>
    </row>
    <row r="28455" ht="14.25" customHeight="1" s="192">
      <c r="W28455" s="235" t="n"/>
      <c r="X28455" s="235" t="n"/>
    </row>
    <row r="28456" ht="14.25" customHeight="1" s="192">
      <c r="W28456" s="239" t="n"/>
      <c r="X28456" s="239" t="n"/>
    </row>
    <row r="28457" ht="14.25" customHeight="1" s="192">
      <c r="W28457" s="239" t="n"/>
      <c r="X28457" s="239" t="n"/>
    </row>
    <row r="28458" ht="14.25" customHeight="1" s="192">
      <c r="W28458" s="239" t="n"/>
      <c r="X28458" s="239" t="n"/>
    </row>
    <row r="28459" ht="14.25" customHeight="1" s="192">
      <c r="W28459" s="235" t="n"/>
      <c r="X28459" s="235" t="n"/>
    </row>
    <row r="28460" ht="14.25" customHeight="1" s="192">
      <c r="W28460" s="235" t="n"/>
      <c r="X28460" s="235" t="n"/>
    </row>
    <row r="28461" ht="14.25" customHeight="1" s="192">
      <c r="W28461" s="235" t="n"/>
      <c r="X28461" s="235" t="n"/>
    </row>
    <row r="28462" ht="14.25" customHeight="1" s="192">
      <c r="W28462" s="239" t="n"/>
      <c r="X28462" s="239" t="n"/>
    </row>
    <row r="28463" ht="14.25" customHeight="1" s="192">
      <c r="W28463" s="239" t="n"/>
      <c r="X28463" s="239" t="n"/>
    </row>
    <row r="28464" ht="14.25" customHeight="1" s="192">
      <c r="W28464" s="235" t="n"/>
      <c r="X28464" s="235" t="n"/>
    </row>
    <row r="28465" ht="14.25" customHeight="1" s="192">
      <c r="W28465" s="235" t="n"/>
      <c r="X28465" s="235" t="n"/>
    </row>
    <row r="28466" ht="14.25" customHeight="1" s="192">
      <c r="W28466" s="239" t="n"/>
      <c r="X28466" s="239" t="n"/>
    </row>
    <row r="28467" ht="14.25" customHeight="1" s="192">
      <c r="W28467" s="235" t="n"/>
      <c r="X28467" s="235" t="n"/>
    </row>
    <row r="28468" ht="14.25" customHeight="1" s="192">
      <c r="W28468" s="239" t="n"/>
      <c r="X28468" s="239" t="n"/>
    </row>
    <row r="28470" ht="14.25" customHeight="1" s="192">
      <c r="W28470" s="235" t="n"/>
      <c r="X28470" s="235" t="n"/>
    </row>
    <row r="28471" ht="15" customHeight="1" s="192" thickBot="1">
      <c r="W28471" s="239" t="n"/>
      <c r="X28471" s="239" t="n"/>
    </row>
    <row r="28472" ht="15" customHeight="1" s="192" thickBot="1">
      <c r="W28472" s="45" t="n"/>
      <c r="X28472" s="45" t="n"/>
    </row>
    <row r="28473" ht="14.25" customHeight="1" s="192">
      <c r="W28473" s="228" t="n"/>
      <c r="X28473" s="228" t="n"/>
    </row>
    <row r="28474" ht="14.25" customHeight="1" s="192">
      <c r="W28474" s="228" t="n"/>
      <c r="X28474" s="228" t="n"/>
    </row>
    <row r="28475" ht="14.25" customHeight="1" s="192">
      <c r="W28475" s="231" t="n"/>
      <c r="X28475" s="231" t="n"/>
    </row>
    <row r="28476" ht="14.25" customHeight="1" s="192">
      <c r="W28476" s="33" t="n"/>
      <c r="X28476" s="33" t="n"/>
    </row>
    <row r="28477" ht="14.25" customHeight="1" s="192">
      <c r="W28477" s="231" t="n"/>
      <c r="X28477" s="231" t="n"/>
    </row>
    <row r="28478" ht="14.25" customHeight="1" s="192">
      <c r="W28478" s="33" t="n"/>
      <c r="X28478" s="33" t="n"/>
    </row>
    <row r="28480" ht="14.25" customHeight="1" s="192">
      <c r="W28480" s="231" t="n"/>
      <c r="X28480" s="231" t="n"/>
    </row>
    <row r="28481" ht="14.25" customHeight="1" s="192">
      <c r="W28481" s="235" t="n"/>
      <c r="X28481" s="235" t="n"/>
    </row>
    <row r="28482" ht="14.25" customHeight="1" s="192">
      <c r="W28482" s="228" t="n"/>
      <c r="X28482" s="228" t="n"/>
    </row>
    <row r="28483" ht="14.25" customHeight="1" s="192">
      <c r="W28483" s="235" t="n"/>
      <c r="X28483" s="235" t="n"/>
    </row>
    <row r="28484" ht="14.25" customHeight="1" s="192">
      <c r="W28484" s="235" t="n"/>
      <c r="X28484" s="235" t="n"/>
    </row>
    <row r="28485" ht="14.25" customHeight="1" s="192">
      <c r="W28485" s="235" t="n"/>
      <c r="X28485" s="235" t="n"/>
    </row>
    <row r="28486" ht="14.25" customHeight="1" s="192">
      <c r="W28486" s="239" t="n"/>
      <c r="X28486" s="239" t="n"/>
    </row>
    <row r="28487" ht="14.25" customHeight="1" s="192">
      <c r="W28487" s="239" t="n"/>
      <c r="X28487" s="239" t="n"/>
    </row>
    <row r="28488" ht="14.25" customHeight="1" s="192">
      <c r="W28488" s="239" t="n"/>
      <c r="X28488" s="239" t="n"/>
    </row>
    <row r="28489" ht="14.25" customHeight="1" s="192">
      <c r="W28489" s="235" t="n"/>
      <c r="X28489" s="235" t="n"/>
    </row>
    <row r="28490" ht="14.25" customHeight="1" s="192">
      <c r="W28490" s="235" t="n"/>
      <c r="X28490" s="235" t="n"/>
    </row>
    <row r="28491" ht="14.25" customHeight="1" s="192">
      <c r="W28491" s="235" t="n"/>
      <c r="X28491" s="235" t="n"/>
    </row>
    <row r="28492" ht="14.25" customHeight="1" s="192">
      <c r="W28492" s="239" t="n"/>
      <c r="X28492" s="239" t="n"/>
    </row>
    <row r="28493" ht="14.25" customHeight="1" s="192">
      <c r="W28493" s="239" t="n"/>
      <c r="X28493" s="239" t="n"/>
    </row>
    <row r="28494" ht="14.25" customHeight="1" s="192">
      <c r="W28494" s="235" t="n"/>
      <c r="X28494" s="235" t="n"/>
    </row>
    <row r="28495" ht="14.25" customHeight="1" s="192">
      <c r="W28495" s="235" t="n"/>
      <c r="X28495" s="235" t="n"/>
    </row>
    <row r="28496" ht="14.25" customHeight="1" s="192">
      <c r="W28496" s="239" t="n"/>
      <c r="X28496" s="239" t="n"/>
    </row>
    <row r="28497" ht="14.25" customHeight="1" s="192">
      <c r="W28497" s="235" t="n"/>
      <c r="X28497" s="235" t="n"/>
    </row>
    <row r="28498" ht="14.25" customHeight="1" s="192">
      <c r="W28498" s="239" t="n"/>
      <c r="X28498" s="239" t="n"/>
    </row>
    <row r="28500" ht="14.25" customHeight="1" s="192">
      <c r="W28500" s="235" t="n"/>
      <c r="X28500" s="235" t="n"/>
    </row>
    <row r="28501" ht="15" customHeight="1" s="192" thickBot="1">
      <c r="W28501" s="239" t="n"/>
      <c r="X28501" s="239" t="n"/>
    </row>
    <row r="28502" ht="15" customHeight="1" s="192" thickBot="1">
      <c r="W28502" s="45" t="n"/>
      <c r="X28502" s="45" t="n"/>
    </row>
    <row r="28503" ht="14.25" customHeight="1" s="192">
      <c r="W28503" s="228" t="n"/>
      <c r="X28503" s="228" t="n"/>
    </row>
    <row r="28504" ht="14.25" customHeight="1" s="192">
      <c r="W28504" s="228" t="n"/>
      <c r="X28504" s="228" t="n"/>
    </row>
    <row r="28505" ht="14.25" customHeight="1" s="192">
      <c r="W28505" s="231" t="n"/>
      <c r="X28505" s="231" t="n"/>
    </row>
    <row r="28506" ht="14.25" customHeight="1" s="192">
      <c r="W28506" s="33" t="n"/>
      <c r="X28506" s="33" t="n"/>
    </row>
    <row r="28507" ht="14.25" customHeight="1" s="192">
      <c r="W28507" s="231" t="n"/>
      <c r="X28507" s="231" t="n"/>
    </row>
    <row r="28508" ht="14.25" customHeight="1" s="192">
      <c r="W28508" s="33" t="n"/>
      <c r="X28508" s="33" t="n"/>
    </row>
    <row r="28510" ht="14.25" customHeight="1" s="192">
      <c r="W28510" s="231" t="n"/>
      <c r="X28510" s="231" t="n"/>
    </row>
    <row r="28511" ht="14.25" customHeight="1" s="192">
      <c r="W28511" s="235" t="n"/>
      <c r="X28511" s="235" t="n"/>
    </row>
    <row r="28512" ht="14.25" customHeight="1" s="192">
      <c r="W28512" s="228" t="n"/>
      <c r="X28512" s="228" t="n"/>
    </row>
    <row r="28513" ht="14.25" customHeight="1" s="192">
      <c r="W28513" s="235" t="n"/>
      <c r="X28513" s="235" t="n"/>
    </row>
    <row r="28514" ht="14.25" customHeight="1" s="192">
      <c r="W28514" s="235" t="n"/>
      <c r="X28514" s="235" t="n"/>
    </row>
    <row r="28515" ht="14.25" customHeight="1" s="192">
      <c r="W28515" s="235" t="n"/>
      <c r="X28515" s="235" t="n"/>
    </row>
    <row r="28516" ht="14.25" customHeight="1" s="192">
      <c r="W28516" s="239" t="n"/>
      <c r="X28516" s="239" t="n"/>
    </row>
    <row r="28517" ht="14.25" customHeight="1" s="192">
      <c r="W28517" s="239" t="n"/>
      <c r="X28517" s="239" t="n"/>
    </row>
    <row r="28518" ht="14.25" customHeight="1" s="192">
      <c r="W28518" s="239" t="n"/>
      <c r="X28518" s="239" t="n"/>
    </row>
    <row r="28519" ht="14.25" customHeight="1" s="192">
      <c r="W28519" s="235" t="n"/>
      <c r="X28519" s="235" t="n"/>
    </row>
    <row r="28520" ht="14.25" customHeight="1" s="192">
      <c r="W28520" s="235" t="n"/>
      <c r="X28520" s="235" t="n"/>
    </row>
    <row r="28521" ht="14.25" customHeight="1" s="192">
      <c r="W28521" s="235" t="n"/>
      <c r="X28521" s="235" t="n"/>
    </row>
    <row r="28522" ht="14.25" customHeight="1" s="192">
      <c r="W28522" s="239" t="n"/>
      <c r="X28522" s="239" t="n"/>
    </row>
    <row r="28523" ht="14.25" customHeight="1" s="192">
      <c r="W28523" s="239" t="n"/>
      <c r="X28523" s="239" t="n"/>
    </row>
    <row r="28524" ht="14.25" customHeight="1" s="192">
      <c r="W28524" s="235" t="n"/>
      <c r="X28524" s="235" t="n"/>
    </row>
    <row r="28525" ht="14.25" customHeight="1" s="192">
      <c r="W28525" s="235" t="n"/>
      <c r="X28525" s="235" t="n"/>
    </row>
    <row r="28526" ht="14.25" customHeight="1" s="192">
      <c r="W28526" s="239" t="n"/>
      <c r="X28526" s="239" t="n"/>
    </row>
    <row r="28527" ht="14.25" customHeight="1" s="192">
      <c r="W28527" s="235" t="n"/>
      <c r="X28527" s="235" t="n"/>
    </row>
    <row r="28528" ht="14.25" customHeight="1" s="192">
      <c r="W28528" s="239" t="n"/>
      <c r="X28528" s="239" t="n"/>
    </row>
    <row r="28530" ht="14.25" customHeight="1" s="192">
      <c r="W28530" s="235" t="n"/>
      <c r="X28530" s="235" t="n"/>
    </row>
    <row r="28531" ht="15" customHeight="1" s="192" thickBot="1">
      <c r="W28531" s="239" t="n"/>
      <c r="X28531" s="239" t="n"/>
    </row>
    <row r="28532" ht="15" customHeight="1" s="192" thickBot="1">
      <c r="W28532" s="45" t="n"/>
      <c r="X28532" s="45" t="n"/>
    </row>
    <row r="28533" ht="14.25" customHeight="1" s="192">
      <c r="W28533" s="228" t="n"/>
      <c r="X28533" s="228" t="n"/>
    </row>
    <row r="28534" ht="14.25" customHeight="1" s="192">
      <c r="W28534" s="228" t="n"/>
      <c r="X28534" s="228" t="n"/>
    </row>
    <row r="28535" ht="14.25" customHeight="1" s="192">
      <c r="W28535" s="231" t="n"/>
      <c r="X28535" s="231" t="n"/>
    </row>
    <row r="28536" ht="14.25" customHeight="1" s="192">
      <c r="W28536" s="33" t="n"/>
      <c r="X28536" s="33" t="n"/>
    </row>
    <row r="28537" ht="14.25" customHeight="1" s="192">
      <c r="W28537" s="231" t="n"/>
      <c r="X28537" s="231" t="n"/>
    </row>
    <row r="28538" ht="14.25" customHeight="1" s="192">
      <c r="W28538" s="33" t="n"/>
      <c r="X28538" s="33" t="n"/>
    </row>
    <row r="28540" ht="14.25" customHeight="1" s="192">
      <c r="W28540" s="231" t="n"/>
      <c r="X28540" s="231" t="n"/>
    </row>
    <row r="28541" ht="14.25" customHeight="1" s="192">
      <c r="W28541" s="235" t="n"/>
      <c r="X28541" s="235" t="n"/>
    </row>
    <row r="28542" ht="14.25" customHeight="1" s="192">
      <c r="W28542" s="228" t="n"/>
      <c r="X28542" s="228" t="n"/>
    </row>
    <row r="28543" ht="14.25" customHeight="1" s="192">
      <c r="W28543" s="235" t="n"/>
      <c r="X28543" s="235" t="n"/>
    </row>
    <row r="28544" ht="14.25" customHeight="1" s="192">
      <c r="W28544" s="235" t="n"/>
      <c r="X28544" s="235" t="n"/>
    </row>
    <row r="28545" ht="14.25" customHeight="1" s="192">
      <c r="W28545" s="235" t="n"/>
      <c r="X28545" s="235" t="n"/>
    </row>
    <row r="28546" ht="14.25" customHeight="1" s="192">
      <c r="W28546" s="239" t="n"/>
      <c r="X28546" s="239" t="n"/>
    </row>
    <row r="28547" ht="14.25" customHeight="1" s="192">
      <c r="W28547" s="239" t="n"/>
      <c r="X28547" s="239" t="n"/>
    </row>
    <row r="28548" ht="14.25" customHeight="1" s="192">
      <c r="W28548" s="239" t="n"/>
      <c r="X28548" s="239" t="n"/>
    </row>
    <row r="28549" ht="14.25" customHeight="1" s="192">
      <c r="W28549" s="235" t="n"/>
      <c r="X28549" s="235" t="n"/>
    </row>
    <row r="28550" ht="14.25" customHeight="1" s="192">
      <c r="W28550" s="235" t="n"/>
      <c r="X28550" s="235" t="n"/>
    </row>
    <row r="28551" ht="14.25" customHeight="1" s="192">
      <c r="W28551" s="235" t="n"/>
      <c r="X28551" s="235" t="n"/>
    </row>
    <row r="28552" ht="14.25" customHeight="1" s="192">
      <c r="W28552" s="239" t="n"/>
      <c r="X28552" s="239" t="n"/>
    </row>
    <row r="28553" ht="14.25" customHeight="1" s="192">
      <c r="W28553" s="239" t="n"/>
      <c r="X28553" s="239" t="n"/>
    </row>
    <row r="28554" ht="14.25" customHeight="1" s="192">
      <c r="W28554" s="235" t="n"/>
      <c r="X28554" s="235" t="n"/>
    </row>
    <row r="28555" ht="14.25" customHeight="1" s="192">
      <c r="W28555" s="235" t="n"/>
      <c r="X28555" s="235" t="n"/>
    </row>
    <row r="28556" ht="14.25" customHeight="1" s="192">
      <c r="W28556" s="239" t="n"/>
      <c r="X28556" s="239" t="n"/>
    </row>
    <row r="28557" ht="14.25" customHeight="1" s="192">
      <c r="W28557" s="235" t="n"/>
      <c r="X28557" s="235" t="n"/>
    </row>
    <row r="28558" ht="14.25" customHeight="1" s="192">
      <c r="W28558" s="239" t="n"/>
      <c r="X28558" s="239" t="n"/>
    </row>
    <row r="28560" ht="14.25" customHeight="1" s="192">
      <c r="W28560" s="235" t="n"/>
      <c r="X28560" s="235" t="n"/>
    </row>
    <row r="28561" ht="15" customHeight="1" s="192" thickBot="1">
      <c r="W28561" s="239" t="n"/>
      <c r="X28561" s="239" t="n"/>
    </row>
    <row r="28562" ht="15" customHeight="1" s="192" thickBot="1">
      <c r="W28562" s="45" t="n"/>
      <c r="X28562" s="45" t="n"/>
    </row>
    <row r="28563" ht="14.25" customHeight="1" s="192">
      <c r="W28563" s="228" t="n"/>
      <c r="X28563" s="228" t="n"/>
    </row>
    <row r="28564" ht="14.25" customHeight="1" s="192">
      <c r="W28564" s="228" t="n"/>
      <c r="X28564" s="228" t="n"/>
    </row>
    <row r="28565" ht="14.25" customHeight="1" s="192">
      <c r="W28565" s="231" t="n"/>
      <c r="X28565" s="231" t="n"/>
    </row>
    <row r="28566" ht="14.25" customHeight="1" s="192">
      <c r="W28566" s="33" t="n"/>
      <c r="X28566" s="33" t="n"/>
    </row>
    <row r="28567" ht="14.25" customHeight="1" s="192">
      <c r="W28567" s="231" t="n"/>
      <c r="X28567" s="231" t="n"/>
    </row>
    <row r="28568" ht="14.25" customHeight="1" s="192">
      <c r="W28568" s="33" t="n"/>
      <c r="X28568" s="33" t="n"/>
    </row>
    <row r="28570" ht="14.25" customHeight="1" s="192">
      <c r="W28570" s="231" t="n"/>
      <c r="X28570" s="231" t="n"/>
    </row>
    <row r="28571" ht="14.25" customHeight="1" s="192">
      <c r="W28571" s="235" t="n"/>
      <c r="X28571" s="235" t="n"/>
    </row>
    <row r="28572" ht="14.25" customHeight="1" s="192">
      <c r="W28572" s="228" t="n"/>
      <c r="X28572" s="228" t="n"/>
    </row>
    <row r="28573" ht="14.25" customHeight="1" s="192">
      <c r="W28573" s="235" t="n"/>
      <c r="X28573" s="235" t="n"/>
    </row>
    <row r="28574" ht="14.25" customHeight="1" s="192">
      <c r="W28574" s="235" t="n"/>
      <c r="X28574" s="235" t="n"/>
    </row>
    <row r="28575" ht="14.25" customHeight="1" s="192">
      <c r="W28575" s="235" t="n"/>
      <c r="X28575" s="235" t="n"/>
    </row>
    <row r="28576" ht="14.25" customHeight="1" s="192">
      <c r="W28576" s="239" t="n"/>
      <c r="X28576" s="239" t="n"/>
    </row>
    <row r="28577" ht="14.25" customHeight="1" s="192">
      <c r="W28577" s="239" t="n"/>
      <c r="X28577" s="239" t="n"/>
    </row>
    <row r="28578" ht="14.25" customHeight="1" s="192">
      <c r="W28578" s="239" t="n"/>
      <c r="X28578" s="239" t="n"/>
    </row>
    <row r="28579" ht="14.25" customHeight="1" s="192">
      <c r="W28579" s="235" t="n"/>
      <c r="X28579" s="235" t="n"/>
    </row>
    <row r="28580" ht="14.25" customHeight="1" s="192">
      <c r="W28580" s="235" t="n"/>
      <c r="X28580" s="235" t="n"/>
    </row>
    <row r="28581" ht="14.25" customHeight="1" s="192">
      <c r="W28581" s="235" t="n"/>
      <c r="X28581" s="235" t="n"/>
    </row>
    <row r="28582" ht="14.25" customHeight="1" s="192">
      <c r="W28582" s="239" t="n"/>
      <c r="X28582" s="239" t="n"/>
    </row>
    <row r="28583" ht="14.25" customHeight="1" s="192">
      <c r="W28583" s="239" t="n"/>
      <c r="X28583" s="239" t="n"/>
    </row>
    <row r="28584" ht="14.25" customHeight="1" s="192">
      <c r="W28584" s="235" t="n"/>
      <c r="X28584" s="235" t="n"/>
    </row>
    <row r="28585" ht="14.25" customHeight="1" s="192">
      <c r="W28585" s="235" t="n"/>
      <c r="X28585" s="235" t="n"/>
    </row>
    <row r="28586" ht="14.25" customHeight="1" s="192">
      <c r="W28586" s="239" t="n"/>
      <c r="X28586" s="239" t="n"/>
    </row>
    <row r="28587" ht="14.25" customHeight="1" s="192">
      <c r="W28587" s="235" t="n"/>
      <c r="X28587" s="235" t="n"/>
    </row>
    <row r="28588" ht="14.25" customHeight="1" s="192">
      <c r="W28588" s="239" t="n"/>
      <c r="X28588" s="239" t="n"/>
    </row>
    <row r="28590" ht="14.25" customHeight="1" s="192">
      <c r="W28590" s="235" t="n"/>
      <c r="X28590" s="235" t="n"/>
    </row>
    <row r="28591" ht="15" customHeight="1" s="192" thickBot="1">
      <c r="W28591" s="239" t="n"/>
      <c r="X28591" s="239" t="n"/>
    </row>
    <row r="28592" ht="15" customHeight="1" s="192" thickBot="1">
      <c r="W28592" s="45" t="n"/>
      <c r="X28592" s="45" t="n"/>
    </row>
    <row r="28593" ht="14.25" customHeight="1" s="192">
      <c r="W28593" s="228" t="n"/>
      <c r="X28593" s="228" t="n"/>
    </row>
    <row r="28594" ht="14.25" customHeight="1" s="192">
      <c r="W28594" s="228" t="n"/>
      <c r="X28594" s="228" t="n"/>
    </row>
    <row r="28595" ht="14.25" customHeight="1" s="192">
      <c r="W28595" s="231" t="n"/>
      <c r="X28595" s="231" t="n"/>
    </row>
    <row r="28596" ht="14.25" customHeight="1" s="192">
      <c r="W28596" s="33" t="n"/>
      <c r="X28596" s="33" t="n"/>
    </row>
    <row r="28597" ht="14.25" customHeight="1" s="192">
      <c r="W28597" s="231" t="n"/>
      <c r="X28597" s="231" t="n"/>
    </row>
    <row r="28598" ht="14.25" customHeight="1" s="192">
      <c r="W28598" s="33" t="n"/>
      <c r="X28598" s="33" t="n"/>
    </row>
    <row r="28600" ht="14.25" customHeight="1" s="192">
      <c r="W28600" s="231" t="n"/>
      <c r="X28600" s="231" t="n"/>
    </row>
    <row r="28601" ht="14.25" customHeight="1" s="192">
      <c r="W28601" s="235" t="n"/>
      <c r="X28601" s="235" t="n"/>
    </row>
    <row r="28602" ht="14.25" customHeight="1" s="192">
      <c r="W28602" s="228" t="n"/>
      <c r="X28602" s="228" t="n"/>
    </row>
    <row r="28603" ht="14.25" customHeight="1" s="192">
      <c r="W28603" s="235" t="n"/>
      <c r="X28603" s="235" t="n"/>
    </row>
    <row r="28604" ht="14.25" customHeight="1" s="192">
      <c r="W28604" s="235" t="n"/>
      <c r="X28604" s="235" t="n"/>
    </row>
    <row r="28605" ht="14.25" customHeight="1" s="192">
      <c r="W28605" s="235" t="n"/>
      <c r="X28605" s="235" t="n"/>
    </row>
    <row r="28606" ht="14.25" customHeight="1" s="192">
      <c r="W28606" s="239" t="n"/>
      <c r="X28606" s="239" t="n"/>
    </row>
    <row r="28607" ht="14.25" customHeight="1" s="192">
      <c r="W28607" s="239" t="n"/>
      <c r="X28607" s="239" t="n"/>
    </row>
    <row r="28608" ht="14.25" customHeight="1" s="192">
      <c r="W28608" s="239" t="n"/>
      <c r="X28608" s="239" t="n"/>
    </row>
    <row r="28609" ht="14.25" customHeight="1" s="192">
      <c r="W28609" s="235" t="n"/>
      <c r="X28609" s="235" t="n"/>
    </row>
    <row r="28610" ht="14.25" customHeight="1" s="192">
      <c r="W28610" s="235" t="n"/>
      <c r="X28610" s="235" t="n"/>
    </row>
    <row r="28611" ht="14.25" customHeight="1" s="192">
      <c r="W28611" s="235" t="n"/>
      <c r="X28611" s="235" t="n"/>
    </row>
    <row r="28612" ht="14.25" customHeight="1" s="192">
      <c r="W28612" s="239" t="n"/>
      <c r="X28612" s="239" t="n"/>
    </row>
    <row r="28613" ht="14.25" customHeight="1" s="192">
      <c r="W28613" s="239" t="n"/>
      <c r="X28613" s="239" t="n"/>
    </row>
    <row r="28614" ht="14.25" customHeight="1" s="192">
      <c r="W28614" s="235" t="n"/>
      <c r="X28614" s="235" t="n"/>
    </row>
    <row r="28615" ht="14.25" customHeight="1" s="192">
      <c r="W28615" s="235" t="n"/>
      <c r="X28615" s="235" t="n"/>
    </row>
    <row r="28616" ht="14.25" customHeight="1" s="192">
      <c r="W28616" s="239" t="n"/>
      <c r="X28616" s="239" t="n"/>
    </row>
    <row r="28617" ht="14.25" customHeight="1" s="192">
      <c r="W28617" s="235" t="n"/>
      <c r="X28617" s="235" t="n"/>
    </row>
    <row r="28618" ht="14.25" customHeight="1" s="192">
      <c r="W28618" s="239" t="n"/>
      <c r="X28618" s="239" t="n"/>
    </row>
    <row r="28620" ht="14.25" customHeight="1" s="192">
      <c r="W28620" s="235" t="n"/>
      <c r="X28620" s="235" t="n"/>
    </row>
    <row r="28621" ht="15" customHeight="1" s="192" thickBot="1">
      <c r="W28621" s="239" t="n"/>
      <c r="X28621" s="239" t="n"/>
    </row>
    <row r="28622" ht="15" customHeight="1" s="192" thickBot="1">
      <c r="W28622" s="45" t="n"/>
      <c r="X28622" s="45" t="n"/>
    </row>
    <row r="28623" ht="14.25" customHeight="1" s="192">
      <c r="W28623" s="228" t="n"/>
      <c r="X28623" s="228" t="n"/>
    </row>
    <row r="28624" ht="14.25" customHeight="1" s="192">
      <c r="W28624" s="228" t="n"/>
      <c r="X28624" s="228" t="n"/>
    </row>
    <row r="28625" ht="14.25" customHeight="1" s="192">
      <c r="W28625" s="231" t="n"/>
      <c r="X28625" s="231" t="n"/>
    </row>
    <row r="28626" ht="14.25" customHeight="1" s="192">
      <c r="W28626" s="33" t="n"/>
      <c r="X28626" s="33" t="n"/>
    </row>
    <row r="28627" ht="14.25" customHeight="1" s="192">
      <c r="W28627" s="231" t="n"/>
      <c r="X28627" s="231" t="n"/>
    </row>
    <row r="28628" ht="14.25" customHeight="1" s="192">
      <c r="W28628" s="33" t="n"/>
      <c r="X28628" s="33" t="n"/>
    </row>
    <row r="28630" ht="14.25" customHeight="1" s="192">
      <c r="W28630" s="231" t="n"/>
      <c r="X28630" s="231" t="n"/>
    </row>
    <row r="28631" ht="14.25" customHeight="1" s="192">
      <c r="W28631" s="235" t="n"/>
      <c r="X28631" s="235" t="n"/>
    </row>
    <row r="28632" ht="14.25" customHeight="1" s="192">
      <c r="W28632" s="228" t="n"/>
      <c r="X28632" s="228" t="n"/>
    </row>
    <row r="28633" ht="14.25" customHeight="1" s="192">
      <c r="W28633" s="235" t="n"/>
      <c r="X28633" s="235" t="n"/>
    </row>
    <row r="28634" ht="14.25" customHeight="1" s="192">
      <c r="W28634" s="235" t="n"/>
      <c r="X28634" s="235" t="n"/>
    </row>
    <row r="28635" ht="14.25" customHeight="1" s="192">
      <c r="W28635" s="235" t="n"/>
      <c r="X28635" s="235" t="n"/>
    </row>
    <row r="28636" ht="14.25" customHeight="1" s="192">
      <c r="W28636" s="239" t="n"/>
      <c r="X28636" s="239" t="n"/>
    </row>
    <row r="28637" ht="14.25" customHeight="1" s="192">
      <c r="W28637" s="239" t="n"/>
      <c r="X28637" s="239" t="n"/>
    </row>
    <row r="28638" ht="14.25" customHeight="1" s="192">
      <c r="W28638" s="239" t="n"/>
      <c r="X28638" s="239" t="n"/>
    </row>
    <row r="28639" ht="14.25" customHeight="1" s="192">
      <c r="W28639" s="235" t="n"/>
      <c r="X28639" s="235" t="n"/>
    </row>
    <row r="28640" ht="14.25" customHeight="1" s="192">
      <c r="W28640" s="235" t="n"/>
      <c r="X28640" s="235" t="n"/>
    </row>
    <row r="28641" ht="14.25" customHeight="1" s="192">
      <c r="W28641" s="235" t="n"/>
      <c r="X28641" s="235" t="n"/>
    </row>
    <row r="28642" ht="14.25" customHeight="1" s="192">
      <c r="W28642" s="239" t="n"/>
      <c r="X28642" s="239" t="n"/>
    </row>
    <row r="28643" ht="14.25" customHeight="1" s="192">
      <c r="W28643" s="239" t="n"/>
      <c r="X28643" s="239" t="n"/>
    </row>
    <row r="28644" ht="14.25" customHeight="1" s="192">
      <c r="W28644" s="235" t="n"/>
      <c r="X28644" s="235" t="n"/>
    </row>
    <row r="28645" ht="14.25" customHeight="1" s="192">
      <c r="W28645" s="235" t="n"/>
      <c r="X28645" s="235" t="n"/>
    </row>
    <row r="28646" ht="14.25" customHeight="1" s="192">
      <c r="W28646" s="239" t="n"/>
      <c r="X28646" s="239" t="n"/>
    </row>
    <row r="28647" ht="14.25" customHeight="1" s="192">
      <c r="W28647" s="235" t="n"/>
      <c r="X28647" s="235" t="n"/>
    </row>
    <row r="28648" ht="14.25" customHeight="1" s="192">
      <c r="W28648" s="239" t="n"/>
      <c r="X28648" s="239" t="n"/>
    </row>
    <row r="28650" ht="14.25" customHeight="1" s="192">
      <c r="W28650" s="235" t="n"/>
      <c r="X28650" s="235" t="n"/>
    </row>
    <row r="28651" ht="15" customHeight="1" s="192" thickBot="1">
      <c r="W28651" s="239" t="n"/>
      <c r="X28651" s="239" t="n"/>
    </row>
    <row r="28652" ht="15" customHeight="1" s="192" thickBot="1">
      <c r="W28652" s="45" t="n"/>
      <c r="X28652" s="45" t="n"/>
    </row>
    <row r="28653" ht="14.25" customHeight="1" s="192">
      <c r="W28653" s="228" t="n"/>
      <c r="X28653" s="228" t="n"/>
    </row>
    <row r="28654" ht="14.25" customHeight="1" s="192">
      <c r="W28654" s="228" t="n"/>
      <c r="X28654" s="228" t="n"/>
    </row>
    <row r="28655" ht="14.25" customHeight="1" s="192">
      <c r="W28655" s="231" t="n"/>
      <c r="X28655" s="231" t="n"/>
    </row>
    <row r="28656" ht="14.25" customHeight="1" s="192">
      <c r="W28656" s="33" t="n"/>
      <c r="X28656" s="33" t="n"/>
    </row>
    <row r="28657" ht="14.25" customHeight="1" s="192">
      <c r="W28657" s="231" t="n"/>
      <c r="X28657" s="231" t="n"/>
    </row>
    <row r="28658" ht="14.25" customHeight="1" s="192">
      <c r="W28658" s="33" t="n"/>
      <c r="X28658" s="33" t="n"/>
    </row>
    <row r="28660" ht="14.25" customHeight="1" s="192">
      <c r="W28660" s="231" t="n"/>
      <c r="X28660" s="231" t="n"/>
    </row>
    <row r="28661" ht="14.25" customHeight="1" s="192">
      <c r="W28661" s="235" t="n"/>
      <c r="X28661" s="235" t="n"/>
    </row>
    <row r="28662" ht="14.25" customHeight="1" s="192">
      <c r="W28662" s="228" t="n"/>
      <c r="X28662" s="228" t="n"/>
    </row>
    <row r="28663" ht="14.25" customHeight="1" s="192">
      <c r="W28663" s="235" t="n"/>
      <c r="X28663" s="235" t="n"/>
    </row>
    <row r="28664" ht="14.25" customHeight="1" s="192">
      <c r="W28664" s="235" t="n"/>
      <c r="X28664" s="235" t="n"/>
    </row>
    <row r="28665" ht="14.25" customHeight="1" s="192">
      <c r="W28665" s="235" t="n"/>
      <c r="X28665" s="235" t="n"/>
    </row>
    <row r="28666" ht="14.25" customHeight="1" s="192">
      <c r="W28666" s="239" t="n"/>
      <c r="X28666" s="239" t="n"/>
    </row>
    <row r="28667" ht="14.25" customHeight="1" s="192">
      <c r="W28667" s="239" t="n"/>
      <c r="X28667" s="239" t="n"/>
    </row>
    <row r="28668" ht="14.25" customHeight="1" s="192">
      <c r="W28668" s="239" t="n"/>
      <c r="X28668" s="239" t="n"/>
    </row>
    <row r="28669" ht="14.25" customHeight="1" s="192">
      <c r="W28669" s="235" t="n"/>
      <c r="X28669" s="235" t="n"/>
    </row>
    <row r="28670" ht="14.25" customHeight="1" s="192">
      <c r="W28670" s="235" t="n"/>
      <c r="X28670" s="235" t="n"/>
    </row>
    <row r="28671" ht="14.25" customHeight="1" s="192">
      <c r="W28671" s="235" t="n"/>
      <c r="X28671" s="235" t="n"/>
    </row>
    <row r="28672" ht="14.25" customHeight="1" s="192">
      <c r="W28672" s="239" t="n"/>
      <c r="X28672" s="239" t="n"/>
    </row>
    <row r="28673" ht="14.25" customHeight="1" s="192">
      <c r="W28673" s="239" t="n"/>
      <c r="X28673" s="239" t="n"/>
    </row>
    <row r="28674" ht="14.25" customHeight="1" s="192">
      <c r="W28674" s="235" t="n"/>
      <c r="X28674" s="235" t="n"/>
    </row>
    <row r="28675" ht="14.25" customHeight="1" s="192">
      <c r="W28675" s="235" t="n"/>
      <c r="X28675" s="235" t="n"/>
    </row>
    <row r="28676" ht="14.25" customHeight="1" s="192">
      <c r="W28676" s="239" t="n"/>
      <c r="X28676" s="239" t="n"/>
    </row>
    <row r="28677" ht="14.25" customHeight="1" s="192">
      <c r="W28677" s="235" t="n"/>
      <c r="X28677" s="235" t="n"/>
    </row>
    <row r="28678" ht="14.25" customHeight="1" s="192">
      <c r="W28678" s="239" t="n"/>
      <c r="X28678" s="239" t="n"/>
    </row>
    <row r="28680" ht="14.25" customHeight="1" s="192">
      <c r="W28680" s="235" t="n"/>
      <c r="X28680" s="235" t="n"/>
    </row>
    <row r="28681" ht="15" customHeight="1" s="192" thickBot="1">
      <c r="W28681" s="239" t="n"/>
      <c r="X28681" s="239" t="n"/>
    </row>
    <row r="28682" ht="15" customHeight="1" s="192" thickBot="1">
      <c r="W28682" s="45" t="n"/>
      <c r="X28682" s="45" t="n"/>
    </row>
    <row r="28683" ht="14.25" customHeight="1" s="192">
      <c r="W28683" s="228" t="n"/>
      <c r="X28683" s="228" t="n"/>
    </row>
    <row r="28684" ht="14.25" customHeight="1" s="192">
      <c r="W28684" s="228" t="n"/>
      <c r="X28684" s="228" t="n"/>
    </row>
    <row r="28685" ht="14.25" customHeight="1" s="192">
      <c r="W28685" s="231" t="n"/>
      <c r="X28685" s="231" t="n"/>
    </row>
    <row r="28686" ht="14.25" customHeight="1" s="192">
      <c r="W28686" s="33" t="n"/>
      <c r="X28686" s="33" t="n"/>
    </row>
    <row r="28687" ht="14.25" customHeight="1" s="192">
      <c r="W28687" s="231" t="n"/>
      <c r="X28687" s="231" t="n"/>
    </row>
    <row r="28688" ht="14.25" customHeight="1" s="192">
      <c r="W28688" s="33" t="n"/>
      <c r="X28688" s="33" t="n"/>
    </row>
    <row r="28690" ht="14.25" customHeight="1" s="192">
      <c r="W28690" s="231" t="n"/>
      <c r="X28690" s="231" t="n"/>
    </row>
    <row r="28691" ht="14.25" customHeight="1" s="192">
      <c r="W28691" s="235" t="n"/>
      <c r="X28691" s="235" t="n"/>
    </row>
    <row r="28692" ht="14.25" customHeight="1" s="192">
      <c r="W28692" s="228" t="n"/>
      <c r="X28692" s="228" t="n"/>
    </row>
    <row r="28693" ht="14.25" customHeight="1" s="192">
      <c r="W28693" s="235" t="n"/>
      <c r="X28693" s="235" t="n"/>
    </row>
    <row r="28694" ht="14.25" customHeight="1" s="192">
      <c r="W28694" s="235" t="n"/>
      <c r="X28694" s="235" t="n"/>
    </row>
    <row r="28695" ht="14.25" customHeight="1" s="192">
      <c r="W28695" s="235" t="n"/>
      <c r="X28695" s="235" t="n"/>
    </row>
    <row r="28696" ht="14.25" customHeight="1" s="192">
      <c r="W28696" s="239" t="n"/>
      <c r="X28696" s="239" t="n"/>
    </row>
    <row r="28697" ht="14.25" customHeight="1" s="192">
      <c r="W28697" s="239" t="n"/>
      <c r="X28697" s="239" t="n"/>
    </row>
    <row r="28698" ht="14.25" customHeight="1" s="192">
      <c r="W28698" s="239" t="n"/>
      <c r="X28698" s="239" t="n"/>
    </row>
    <row r="28699" ht="14.25" customHeight="1" s="192">
      <c r="W28699" s="235" t="n"/>
      <c r="X28699" s="235" t="n"/>
    </row>
    <row r="28700" ht="14.25" customHeight="1" s="192">
      <c r="W28700" s="235" t="n"/>
      <c r="X28700" s="235" t="n"/>
    </row>
    <row r="28701" ht="14.25" customHeight="1" s="192">
      <c r="W28701" s="235" t="n"/>
      <c r="X28701" s="235" t="n"/>
    </row>
    <row r="28702" ht="14.25" customHeight="1" s="192">
      <c r="W28702" s="239" t="n"/>
      <c r="X28702" s="239" t="n"/>
    </row>
    <row r="28703" ht="14.25" customHeight="1" s="192">
      <c r="W28703" s="239" t="n"/>
      <c r="X28703" s="239" t="n"/>
    </row>
    <row r="28704" ht="14.25" customHeight="1" s="192">
      <c r="W28704" s="235" t="n"/>
      <c r="X28704" s="235" t="n"/>
    </row>
    <row r="28705" ht="14.25" customHeight="1" s="192">
      <c r="W28705" s="235" t="n"/>
      <c r="X28705" s="235" t="n"/>
    </row>
    <row r="28706" ht="14.25" customHeight="1" s="192">
      <c r="W28706" s="239" t="n"/>
      <c r="X28706" s="239" t="n"/>
    </row>
    <row r="28707" ht="14.25" customHeight="1" s="192">
      <c r="W28707" s="235" t="n"/>
      <c r="X28707" s="235" t="n"/>
    </row>
    <row r="28708" ht="14.25" customHeight="1" s="192">
      <c r="W28708" s="239" t="n"/>
      <c r="X28708" s="239" t="n"/>
    </row>
    <row r="28710" ht="14.25" customHeight="1" s="192">
      <c r="W28710" s="235" t="n"/>
      <c r="X28710" s="235" t="n"/>
    </row>
    <row r="28711" ht="15" customHeight="1" s="192" thickBot="1">
      <c r="W28711" s="239" t="n"/>
      <c r="X28711" s="239" t="n"/>
    </row>
    <row r="28712" ht="15" customHeight="1" s="192" thickBot="1">
      <c r="W28712" s="45" t="n"/>
      <c r="X28712" s="45" t="n"/>
    </row>
    <row r="28713" ht="14.25" customHeight="1" s="192">
      <c r="W28713" s="228" t="n"/>
      <c r="X28713" s="228" t="n"/>
    </row>
    <row r="28714" ht="14.25" customHeight="1" s="192">
      <c r="W28714" s="228" t="n"/>
      <c r="X28714" s="228" t="n"/>
    </row>
    <row r="28715" ht="14.25" customHeight="1" s="192">
      <c r="W28715" s="231" t="n"/>
      <c r="X28715" s="231" t="n"/>
    </row>
    <row r="28716" ht="14.25" customHeight="1" s="192">
      <c r="W28716" s="33" t="n"/>
      <c r="X28716" s="33" t="n"/>
    </row>
    <row r="28717" ht="14.25" customHeight="1" s="192">
      <c r="W28717" s="231" t="n"/>
      <c r="X28717" s="231" t="n"/>
    </row>
    <row r="28718" ht="14.25" customHeight="1" s="192">
      <c r="W28718" s="33" t="n"/>
      <c r="X28718" s="33" t="n"/>
    </row>
    <row r="28720" ht="14.25" customHeight="1" s="192">
      <c r="W28720" s="231" t="n"/>
      <c r="X28720" s="231" t="n"/>
    </row>
    <row r="28721" ht="14.25" customHeight="1" s="192">
      <c r="W28721" s="235" t="n"/>
      <c r="X28721" s="235" t="n"/>
    </row>
    <row r="28722" ht="14.25" customHeight="1" s="192">
      <c r="W28722" s="228" t="n"/>
      <c r="X28722" s="228" t="n"/>
    </row>
    <row r="28723" ht="14.25" customHeight="1" s="192">
      <c r="W28723" s="235" t="n"/>
      <c r="X28723" s="235" t="n"/>
    </row>
    <row r="28724" ht="14.25" customHeight="1" s="192">
      <c r="W28724" s="235" t="n"/>
      <c r="X28724" s="235" t="n"/>
    </row>
    <row r="28725" ht="14.25" customHeight="1" s="192">
      <c r="W28725" s="235" t="n"/>
      <c r="X28725" s="235" t="n"/>
    </row>
    <row r="28726" ht="14.25" customHeight="1" s="192">
      <c r="W28726" s="239" t="n"/>
      <c r="X28726" s="239" t="n"/>
    </row>
    <row r="28727" ht="14.25" customHeight="1" s="192">
      <c r="W28727" s="239" t="n"/>
      <c r="X28727" s="239" t="n"/>
    </row>
    <row r="28728" ht="14.25" customHeight="1" s="192">
      <c r="W28728" s="239" t="n"/>
      <c r="X28728" s="239" t="n"/>
    </row>
    <row r="28729" ht="14.25" customHeight="1" s="192">
      <c r="W28729" s="235" t="n"/>
      <c r="X28729" s="235" t="n"/>
    </row>
    <row r="28730" ht="14.25" customHeight="1" s="192">
      <c r="W28730" s="235" t="n"/>
      <c r="X28730" s="235" t="n"/>
    </row>
    <row r="28731" ht="14.25" customHeight="1" s="192">
      <c r="W28731" s="235" t="n"/>
      <c r="X28731" s="235" t="n"/>
    </row>
    <row r="28732" ht="14.25" customHeight="1" s="192">
      <c r="W28732" s="239" t="n"/>
      <c r="X28732" s="239" t="n"/>
    </row>
    <row r="28733" ht="14.25" customHeight="1" s="192">
      <c r="W28733" s="239" t="n"/>
      <c r="X28733" s="239" t="n"/>
    </row>
    <row r="28734" ht="14.25" customHeight="1" s="192">
      <c r="W28734" s="235" t="n"/>
      <c r="X28734" s="235" t="n"/>
    </row>
    <row r="28735" ht="14.25" customHeight="1" s="192">
      <c r="W28735" s="235" t="n"/>
      <c r="X28735" s="235" t="n"/>
    </row>
    <row r="28736" ht="14.25" customHeight="1" s="192">
      <c r="W28736" s="239" t="n"/>
      <c r="X28736" s="239" t="n"/>
    </row>
    <row r="28737" ht="14.25" customHeight="1" s="192">
      <c r="W28737" s="235" t="n"/>
      <c r="X28737" s="235" t="n"/>
    </row>
    <row r="28738" ht="14.25" customHeight="1" s="192">
      <c r="W28738" s="239" t="n"/>
      <c r="X28738" s="239" t="n"/>
    </row>
    <row r="28740" ht="14.25" customHeight="1" s="192">
      <c r="W28740" s="235" t="n"/>
      <c r="X28740" s="235" t="n"/>
    </row>
    <row r="28741" ht="15" customHeight="1" s="192" thickBot="1">
      <c r="W28741" s="239" t="n"/>
      <c r="X28741" s="239" t="n"/>
    </row>
    <row r="28742" ht="15" customHeight="1" s="192" thickBot="1">
      <c r="W28742" s="45" t="n"/>
      <c r="X28742" s="45" t="n"/>
    </row>
    <row r="28743" ht="14.25" customHeight="1" s="192">
      <c r="W28743" s="228" t="n"/>
      <c r="X28743" s="228" t="n"/>
    </row>
    <row r="28744" ht="14.25" customHeight="1" s="192">
      <c r="W28744" s="228" t="n"/>
      <c r="X28744" s="228" t="n"/>
    </row>
    <row r="28745" ht="14.25" customHeight="1" s="192">
      <c r="W28745" s="231" t="n"/>
      <c r="X28745" s="231" t="n"/>
    </row>
    <row r="28746" ht="14.25" customHeight="1" s="192">
      <c r="W28746" s="33" t="n"/>
      <c r="X28746" s="33" t="n"/>
    </row>
    <row r="28747" ht="14.25" customHeight="1" s="192">
      <c r="W28747" s="231" t="n"/>
      <c r="X28747" s="231" t="n"/>
    </row>
    <row r="28748" ht="14.25" customHeight="1" s="192">
      <c r="W28748" s="33" t="n"/>
      <c r="X28748" s="33" t="n"/>
    </row>
    <row r="28750" ht="14.25" customHeight="1" s="192">
      <c r="W28750" s="231" t="n"/>
      <c r="X28750" s="231" t="n"/>
    </row>
    <row r="28751" ht="14.25" customHeight="1" s="192">
      <c r="W28751" s="235" t="n"/>
      <c r="X28751" s="235" t="n"/>
    </row>
    <row r="28752" ht="14.25" customHeight="1" s="192">
      <c r="W28752" s="228" t="n"/>
      <c r="X28752" s="228" t="n"/>
    </row>
    <row r="28753" ht="14.25" customHeight="1" s="192">
      <c r="W28753" s="235" t="n"/>
      <c r="X28753" s="235" t="n"/>
    </row>
    <row r="28754" ht="14.25" customHeight="1" s="192">
      <c r="W28754" s="235" t="n"/>
      <c r="X28754" s="235" t="n"/>
    </row>
    <row r="28755" ht="14.25" customHeight="1" s="192">
      <c r="W28755" s="235" t="n"/>
      <c r="X28755" s="235" t="n"/>
    </row>
    <row r="28756" ht="14.25" customHeight="1" s="192">
      <c r="W28756" s="239" t="n"/>
      <c r="X28756" s="239" t="n"/>
    </row>
    <row r="28757" ht="14.25" customHeight="1" s="192">
      <c r="W28757" s="239" t="n"/>
      <c r="X28757" s="239" t="n"/>
    </row>
    <row r="28758" ht="14.25" customHeight="1" s="192">
      <c r="W28758" s="239" t="n"/>
      <c r="X28758" s="239" t="n"/>
    </row>
    <row r="28759" ht="14.25" customHeight="1" s="192">
      <c r="W28759" s="235" t="n"/>
      <c r="X28759" s="235" t="n"/>
    </row>
    <row r="28760" ht="14.25" customHeight="1" s="192">
      <c r="W28760" s="235" t="n"/>
      <c r="X28760" s="235" t="n"/>
    </row>
    <row r="28761" ht="14.25" customHeight="1" s="192">
      <c r="W28761" s="235" t="n"/>
      <c r="X28761" s="235" t="n"/>
    </row>
    <row r="28762" ht="14.25" customHeight="1" s="192">
      <c r="W28762" s="239" t="n"/>
      <c r="X28762" s="239" t="n"/>
    </row>
    <row r="28763" ht="14.25" customHeight="1" s="192">
      <c r="W28763" s="239" t="n"/>
      <c r="X28763" s="239" t="n"/>
    </row>
    <row r="28764" ht="14.25" customHeight="1" s="192">
      <c r="W28764" s="235" t="n"/>
      <c r="X28764" s="235" t="n"/>
    </row>
    <row r="28765" ht="14.25" customHeight="1" s="192">
      <c r="W28765" s="235" t="n"/>
      <c r="X28765" s="235" t="n"/>
    </row>
    <row r="28766" ht="14.25" customHeight="1" s="192">
      <c r="W28766" s="239" t="n"/>
      <c r="X28766" s="239" t="n"/>
    </row>
    <row r="28767" ht="14.25" customHeight="1" s="192">
      <c r="W28767" s="235" t="n"/>
      <c r="X28767" s="235" t="n"/>
    </row>
    <row r="28768" ht="14.25" customHeight="1" s="192">
      <c r="W28768" s="239" t="n"/>
      <c r="X28768" s="239" t="n"/>
    </row>
    <row r="28770" ht="14.25" customHeight="1" s="192">
      <c r="W28770" s="235" t="n"/>
      <c r="X28770" s="235" t="n"/>
    </row>
    <row r="28771" ht="15" customHeight="1" s="192" thickBot="1">
      <c r="W28771" s="239" t="n"/>
      <c r="X28771" s="239" t="n"/>
    </row>
    <row r="28772" ht="15" customHeight="1" s="192" thickBot="1">
      <c r="W28772" s="45" t="n"/>
      <c r="X28772" s="45" t="n"/>
    </row>
    <row r="28773" ht="14.25" customHeight="1" s="192">
      <c r="W28773" s="228" t="n"/>
      <c r="X28773" s="228" t="n"/>
    </row>
    <row r="28774" ht="14.25" customHeight="1" s="192">
      <c r="W28774" s="228" t="n"/>
      <c r="X28774" s="228" t="n"/>
    </row>
    <row r="28775" ht="14.25" customHeight="1" s="192">
      <c r="W28775" s="231" t="n"/>
      <c r="X28775" s="231" t="n"/>
    </row>
    <row r="28776" ht="14.25" customHeight="1" s="192">
      <c r="W28776" s="33" t="n"/>
      <c r="X28776" s="33" t="n"/>
    </row>
    <row r="28777" ht="14.25" customHeight="1" s="192">
      <c r="W28777" s="231" t="n"/>
      <c r="X28777" s="231" t="n"/>
    </row>
    <row r="28778" ht="14.25" customHeight="1" s="192">
      <c r="W28778" s="33" t="n"/>
      <c r="X28778" s="33" t="n"/>
    </row>
    <row r="28780" ht="14.25" customHeight="1" s="192">
      <c r="W28780" s="231" t="n"/>
      <c r="X28780" s="231" t="n"/>
    </row>
    <row r="28781" ht="14.25" customHeight="1" s="192">
      <c r="W28781" s="235" t="n"/>
      <c r="X28781" s="235" t="n"/>
    </row>
    <row r="28782" ht="14.25" customHeight="1" s="192">
      <c r="W28782" s="228" t="n"/>
      <c r="X28782" s="228" t="n"/>
    </row>
    <row r="28783" ht="14.25" customHeight="1" s="192">
      <c r="W28783" s="235" t="n"/>
      <c r="X28783" s="235" t="n"/>
    </row>
    <row r="28784" ht="14.25" customHeight="1" s="192">
      <c r="W28784" s="235" t="n"/>
      <c r="X28784" s="235" t="n"/>
    </row>
    <row r="28785" ht="14.25" customHeight="1" s="192">
      <c r="W28785" s="235" t="n"/>
      <c r="X28785" s="235" t="n"/>
    </row>
    <row r="28786" ht="14.25" customHeight="1" s="192">
      <c r="W28786" s="239" t="n"/>
      <c r="X28786" s="239" t="n"/>
    </row>
    <row r="28787" ht="14.25" customHeight="1" s="192">
      <c r="W28787" s="239" t="n"/>
      <c r="X28787" s="239" t="n"/>
    </row>
    <row r="28788" ht="14.25" customHeight="1" s="192">
      <c r="W28788" s="239" t="n"/>
      <c r="X28788" s="239" t="n"/>
    </row>
    <row r="28789" ht="14.25" customHeight="1" s="192">
      <c r="W28789" s="235" t="n"/>
      <c r="X28789" s="235" t="n"/>
    </row>
    <row r="28790" ht="14.25" customHeight="1" s="192">
      <c r="W28790" s="235" t="n"/>
      <c r="X28790" s="235" t="n"/>
    </row>
    <row r="28791" ht="14.25" customHeight="1" s="192">
      <c r="W28791" s="235" t="n"/>
      <c r="X28791" s="235" t="n"/>
    </row>
    <row r="28792" ht="14.25" customHeight="1" s="192">
      <c r="W28792" s="239" t="n"/>
      <c r="X28792" s="239" t="n"/>
    </row>
    <row r="28793" ht="14.25" customHeight="1" s="192">
      <c r="W28793" s="239" t="n"/>
      <c r="X28793" s="239" t="n"/>
    </row>
    <row r="28794" ht="14.25" customHeight="1" s="192">
      <c r="W28794" s="235" t="n"/>
      <c r="X28794" s="235" t="n"/>
    </row>
    <row r="28795" ht="14.25" customHeight="1" s="192">
      <c r="W28795" s="235" t="n"/>
      <c r="X28795" s="235" t="n"/>
    </row>
    <row r="28796" ht="14.25" customHeight="1" s="192">
      <c r="W28796" s="239" t="n"/>
      <c r="X28796" s="239" t="n"/>
    </row>
    <row r="28797" ht="14.25" customHeight="1" s="192">
      <c r="W28797" s="235" t="n"/>
      <c r="X28797" s="235" t="n"/>
    </row>
    <row r="28798" ht="14.25" customHeight="1" s="192">
      <c r="W28798" s="239" t="n"/>
      <c r="X28798" s="239" t="n"/>
    </row>
    <row r="28800" ht="14.25" customHeight="1" s="192">
      <c r="W28800" s="235" t="n"/>
      <c r="X28800" s="235" t="n"/>
    </row>
    <row r="28801" ht="15" customHeight="1" s="192" thickBot="1">
      <c r="W28801" s="239" t="n"/>
      <c r="X28801" s="239" t="n"/>
    </row>
    <row r="28802" ht="15" customHeight="1" s="192" thickBot="1">
      <c r="W28802" s="45" t="n"/>
      <c r="X28802" s="45" t="n"/>
    </row>
    <row r="28803" ht="14.25" customHeight="1" s="192">
      <c r="W28803" s="228" t="n"/>
      <c r="X28803" s="228" t="n"/>
    </row>
    <row r="28804" ht="14.25" customHeight="1" s="192">
      <c r="W28804" s="228" t="n"/>
      <c r="X28804" s="228" t="n"/>
    </row>
    <row r="28805" ht="14.25" customHeight="1" s="192">
      <c r="W28805" s="231" t="n"/>
      <c r="X28805" s="231" t="n"/>
    </row>
    <row r="28806" ht="14.25" customHeight="1" s="192">
      <c r="W28806" s="33" t="n"/>
      <c r="X28806" s="33" t="n"/>
    </row>
    <row r="28807" ht="14.25" customHeight="1" s="192">
      <c r="W28807" s="231" t="n"/>
      <c r="X28807" s="231" t="n"/>
    </row>
    <row r="28808" ht="14.25" customHeight="1" s="192">
      <c r="W28808" s="33" t="n"/>
      <c r="X28808" s="33" t="n"/>
    </row>
    <row r="28810" ht="14.25" customHeight="1" s="192">
      <c r="W28810" s="231" t="n"/>
      <c r="X28810" s="231" t="n"/>
    </row>
    <row r="28811" ht="14.25" customHeight="1" s="192">
      <c r="W28811" s="235" t="n"/>
      <c r="X28811" s="235" t="n"/>
    </row>
    <row r="28812" ht="14.25" customHeight="1" s="192">
      <c r="W28812" s="228" t="n"/>
      <c r="X28812" s="228" t="n"/>
    </row>
    <row r="28813" ht="14.25" customHeight="1" s="192">
      <c r="W28813" s="235" t="n"/>
      <c r="X28813" s="235" t="n"/>
    </row>
    <row r="28814" ht="14.25" customHeight="1" s="192">
      <c r="W28814" s="235" t="n"/>
      <c r="X28814" s="235" t="n"/>
    </row>
    <row r="28815" ht="14.25" customHeight="1" s="192">
      <c r="W28815" s="235" t="n"/>
      <c r="X28815" s="235" t="n"/>
    </row>
    <row r="28816" ht="14.25" customHeight="1" s="192">
      <c r="W28816" s="239" t="n"/>
      <c r="X28816" s="239" t="n"/>
    </row>
    <row r="28817" ht="14.25" customHeight="1" s="192">
      <c r="W28817" s="239" t="n"/>
      <c r="X28817" s="239" t="n"/>
    </row>
    <row r="28818" ht="14.25" customHeight="1" s="192">
      <c r="W28818" s="239" t="n"/>
      <c r="X28818" s="239" t="n"/>
    </row>
    <row r="28819" ht="14.25" customHeight="1" s="192">
      <c r="W28819" s="235" t="n"/>
      <c r="X28819" s="235" t="n"/>
    </row>
    <row r="28820" ht="14.25" customHeight="1" s="192">
      <c r="W28820" s="235" t="n"/>
      <c r="X28820" s="235" t="n"/>
    </row>
    <row r="28821" ht="14.25" customHeight="1" s="192">
      <c r="W28821" s="235" t="n"/>
      <c r="X28821" s="235" t="n"/>
    </row>
    <row r="28822" ht="14.25" customHeight="1" s="192">
      <c r="W28822" s="239" t="n"/>
      <c r="X28822" s="239" t="n"/>
    </row>
    <row r="28823" ht="14.25" customHeight="1" s="192">
      <c r="W28823" s="239" t="n"/>
      <c r="X28823" s="239" t="n"/>
    </row>
    <row r="28824" ht="14.25" customHeight="1" s="192">
      <c r="W28824" s="235" t="n"/>
      <c r="X28824" s="235" t="n"/>
    </row>
    <row r="28825" ht="14.25" customHeight="1" s="192">
      <c r="W28825" s="235" t="n"/>
      <c r="X28825" s="235" t="n"/>
    </row>
    <row r="28826" ht="14.25" customHeight="1" s="192">
      <c r="W28826" s="239" t="n"/>
      <c r="X28826" s="239" t="n"/>
    </row>
    <row r="28827" ht="14.25" customHeight="1" s="192">
      <c r="W28827" s="235" t="n"/>
      <c r="X28827" s="235" t="n"/>
    </row>
    <row r="28828" ht="14.25" customHeight="1" s="192">
      <c r="W28828" s="239" t="n"/>
      <c r="X28828" s="239" t="n"/>
    </row>
    <row r="28830" ht="14.25" customHeight="1" s="192">
      <c r="W28830" s="235" t="n"/>
      <c r="X28830" s="235" t="n"/>
    </row>
    <row r="28831" ht="15" customHeight="1" s="192" thickBot="1">
      <c r="W28831" s="239" t="n"/>
      <c r="X28831" s="239" t="n"/>
    </row>
    <row r="28832" ht="15" customHeight="1" s="192" thickBot="1">
      <c r="W28832" s="45" t="n"/>
      <c r="X28832" s="45" t="n"/>
    </row>
    <row r="28833" ht="14.25" customHeight="1" s="192">
      <c r="W28833" s="228" t="n"/>
      <c r="X28833" s="228" t="n"/>
    </row>
    <row r="28834" ht="14.25" customHeight="1" s="192">
      <c r="W28834" s="228" t="n"/>
      <c r="X28834" s="228" t="n"/>
    </row>
    <row r="28835" ht="14.25" customHeight="1" s="192">
      <c r="W28835" s="231" t="n"/>
      <c r="X28835" s="231" t="n"/>
    </row>
    <row r="28836" ht="14.25" customHeight="1" s="192">
      <c r="W28836" s="33" t="n"/>
      <c r="X28836" s="33" t="n"/>
    </row>
    <row r="28837" ht="14.25" customHeight="1" s="192">
      <c r="W28837" s="231" t="n"/>
      <c r="X28837" s="231" t="n"/>
    </row>
    <row r="28838" ht="14.25" customHeight="1" s="192">
      <c r="W28838" s="33" t="n"/>
      <c r="X28838" s="33" t="n"/>
    </row>
    <row r="28840" ht="14.25" customHeight="1" s="192">
      <c r="W28840" s="231" t="n"/>
      <c r="X28840" s="231" t="n"/>
    </row>
    <row r="28841" ht="14.25" customHeight="1" s="192">
      <c r="W28841" s="235" t="n"/>
      <c r="X28841" s="235" t="n"/>
    </row>
    <row r="28842" ht="14.25" customHeight="1" s="192">
      <c r="W28842" s="228" t="n"/>
      <c r="X28842" s="228" t="n"/>
    </row>
    <row r="28843" ht="14.25" customHeight="1" s="192">
      <c r="W28843" s="235" t="n"/>
      <c r="X28843" s="235" t="n"/>
    </row>
    <row r="28844" ht="14.25" customHeight="1" s="192">
      <c r="W28844" s="235" t="n"/>
      <c r="X28844" s="235" t="n"/>
    </row>
    <row r="28845" ht="14.25" customHeight="1" s="192">
      <c r="W28845" s="235" t="n"/>
      <c r="X28845" s="235" t="n"/>
    </row>
    <row r="28846" ht="14.25" customHeight="1" s="192">
      <c r="W28846" s="239" t="n"/>
      <c r="X28846" s="239" t="n"/>
    </row>
    <row r="28847" ht="14.25" customHeight="1" s="192">
      <c r="W28847" s="239" t="n"/>
      <c r="X28847" s="239" t="n"/>
    </row>
    <row r="28848" ht="14.25" customHeight="1" s="192">
      <c r="W28848" s="239" t="n"/>
      <c r="X28848" s="239" t="n"/>
    </row>
    <row r="28849" ht="14.25" customHeight="1" s="192">
      <c r="W28849" s="235" t="n"/>
      <c r="X28849" s="235" t="n"/>
    </row>
    <row r="28850" ht="14.25" customHeight="1" s="192">
      <c r="W28850" s="235" t="n"/>
      <c r="X28850" s="235" t="n"/>
    </row>
    <row r="28851" ht="14.25" customHeight="1" s="192">
      <c r="W28851" s="235" t="n"/>
      <c r="X28851" s="235" t="n"/>
    </row>
    <row r="28852" ht="14.25" customHeight="1" s="192">
      <c r="W28852" s="239" t="n"/>
      <c r="X28852" s="239" t="n"/>
    </row>
    <row r="28853" ht="14.25" customHeight="1" s="192">
      <c r="W28853" s="239" t="n"/>
      <c r="X28853" s="239" t="n"/>
    </row>
    <row r="28854" ht="14.25" customHeight="1" s="192">
      <c r="W28854" s="235" t="n"/>
      <c r="X28854" s="235" t="n"/>
    </row>
    <row r="28855" ht="14.25" customHeight="1" s="192">
      <c r="W28855" s="235" t="n"/>
      <c r="X28855" s="235" t="n"/>
    </row>
    <row r="28856" ht="14.25" customHeight="1" s="192">
      <c r="W28856" s="239" t="n"/>
      <c r="X28856" s="239" t="n"/>
    </row>
    <row r="28857" ht="14.25" customHeight="1" s="192">
      <c r="W28857" s="235" t="n"/>
      <c r="X28857" s="235" t="n"/>
    </row>
    <row r="28858" ht="14.25" customHeight="1" s="192">
      <c r="W28858" s="239" t="n"/>
      <c r="X28858" s="239" t="n"/>
    </row>
    <row r="28860" ht="14.25" customHeight="1" s="192">
      <c r="W28860" s="235" t="n"/>
      <c r="X28860" s="235" t="n"/>
    </row>
    <row r="28861" ht="15" customHeight="1" s="192" thickBot="1">
      <c r="W28861" s="239" t="n"/>
      <c r="X28861" s="239" t="n"/>
    </row>
    <row r="28862" ht="15" customHeight="1" s="192" thickBot="1">
      <c r="W28862" s="45" t="n"/>
      <c r="X28862" s="45" t="n"/>
    </row>
    <row r="28863" ht="14.25" customHeight="1" s="192">
      <c r="W28863" s="228" t="n"/>
      <c r="X28863" s="228" t="n"/>
    </row>
    <row r="28864" ht="14.25" customHeight="1" s="192">
      <c r="W28864" s="228" t="n"/>
      <c r="X28864" s="228" t="n"/>
    </row>
    <row r="28865" ht="14.25" customHeight="1" s="192">
      <c r="W28865" s="231" t="n"/>
      <c r="X28865" s="231" t="n"/>
    </row>
    <row r="28866" ht="14.25" customHeight="1" s="192">
      <c r="W28866" s="33" t="n"/>
      <c r="X28866" s="33" t="n"/>
    </row>
    <row r="28867" ht="14.25" customHeight="1" s="192">
      <c r="W28867" s="231" t="n"/>
      <c r="X28867" s="231" t="n"/>
    </row>
    <row r="28868" ht="14.25" customHeight="1" s="192">
      <c r="W28868" s="33" t="n"/>
      <c r="X28868" s="33" t="n"/>
    </row>
    <row r="28870" ht="14.25" customHeight="1" s="192">
      <c r="W28870" s="231" t="n"/>
      <c r="X28870" s="231" t="n"/>
    </row>
    <row r="28871" ht="14.25" customHeight="1" s="192">
      <c r="W28871" s="235" t="n"/>
      <c r="X28871" s="235" t="n"/>
    </row>
    <row r="28872" ht="14.25" customHeight="1" s="192">
      <c r="W28872" s="228" t="n"/>
      <c r="X28872" s="228" t="n"/>
    </row>
    <row r="28873" ht="14.25" customHeight="1" s="192">
      <c r="W28873" s="235" t="n"/>
      <c r="X28873" s="235" t="n"/>
    </row>
    <row r="28874" ht="14.25" customHeight="1" s="192">
      <c r="W28874" s="235" t="n"/>
      <c r="X28874" s="235" t="n"/>
    </row>
    <row r="28875" ht="14.25" customHeight="1" s="192">
      <c r="W28875" s="235" t="n"/>
      <c r="X28875" s="235" t="n"/>
    </row>
    <row r="28876" ht="14.25" customHeight="1" s="192">
      <c r="W28876" s="239" t="n"/>
      <c r="X28876" s="239" t="n"/>
    </row>
    <row r="28877" ht="14.25" customHeight="1" s="192">
      <c r="W28877" s="239" t="n"/>
      <c r="X28877" s="239" t="n"/>
    </row>
    <row r="28878" ht="14.25" customHeight="1" s="192">
      <c r="W28878" s="239" t="n"/>
      <c r="X28878" s="239" t="n"/>
    </row>
    <row r="28879" ht="14.25" customHeight="1" s="192">
      <c r="W28879" s="235" t="n"/>
      <c r="X28879" s="235" t="n"/>
    </row>
    <row r="28880" ht="14.25" customHeight="1" s="192">
      <c r="W28880" s="235" t="n"/>
      <c r="X28880" s="235" t="n"/>
    </row>
    <row r="28881" ht="14.25" customHeight="1" s="192">
      <c r="W28881" s="235" t="n"/>
      <c r="X28881" s="235" t="n"/>
    </row>
    <row r="28882" ht="14.25" customHeight="1" s="192">
      <c r="W28882" s="239" t="n"/>
      <c r="X28882" s="239" t="n"/>
    </row>
    <row r="28883" ht="14.25" customHeight="1" s="192">
      <c r="W28883" s="239" t="n"/>
      <c r="X28883" s="239" t="n"/>
    </row>
    <row r="28884" ht="14.25" customHeight="1" s="192">
      <c r="W28884" s="235" t="n"/>
      <c r="X28884" s="235" t="n"/>
    </row>
    <row r="28885" ht="14.25" customHeight="1" s="192">
      <c r="W28885" s="235" t="n"/>
      <c r="X28885" s="235" t="n"/>
    </row>
    <row r="28886" ht="14.25" customHeight="1" s="192">
      <c r="W28886" s="239" t="n"/>
      <c r="X28886" s="239" t="n"/>
    </row>
    <row r="28887" ht="14.25" customHeight="1" s="192">
      <c r="W28887" s="235" t="n"/>
      <c r="X28887" s="235" t="n"/>
    </row>
    <row r="28888" ht="14.25" customHeight="1" s="192">
      <c r="W28888" s="239" t="n"/>
      <c r="X28888" s="239" t="n"/>
    </row>
    <row r="28890" ht="14.25" customHeight="1" s="192">
      <c r="W28890" s="235" t="n"/>
      <c r="X28890" s="235" t="n"/>
    </row>
    <row r="28891" ht="15" customHeight="1" s="192" thickBot="1">
      <c r="W28891" s="239" t="n"/>
      <c r="X28891" s="239" t="n"/>
    </row>
    <row r="28892" ht="15" customHeight="1" s="192" thickBot="1">
      <c r="W28892" s="45" t="n"/>
      <c r="X28892" s="45" t="n"/>
    </row>
    <row r="28893" ht="14.25" customHeight="1" s="192">
      <c r="W28893" s="228" t="n"/>
      <c r="X28893" s="228" t="n"/>
    </row>
    <row r="28894" ht="14.25" customHeight="1" s="192">
      <c r="W28894" s="228" t="n"/>
      <c r="X28894" s="228" t="n"/>
    </row>
    <row r="28895" ht="14.25" customHeight="1" s="192">
      <c r="W28895" s="231" t="n"/>
      <c r="X28895" s="231" t="n"/>
    </row>
    <row r="28896" ht="14.25" customHeight="1" s="192">
      <c r="W28896" s="33" t="n"/>
      <c r="X28896" s="33" t="n"/>
    </row>
    <row r="28897" ht="14.25" customHeight="1" s="192">
      <c r="W28897" s="231" t="n"/>
      <c r="X28897" s="231" t="n"/>
    </row>
    <row r="28898" ht="14.25" customHeight="1" s="192">
      <c r="W28898" s="33" t="n"/>
      <c r="X28898" s="33" t="n"/>
    </row>
    <row r="28900" ht="14.25" customHeight="1" s="192">
      <c r="W28900" s="231" t="n"/>
      <c r="X28900" s="231" t="n"/>
    </row>
    <row r="28901" ht="14.25" customHeight="1" s="192">
      <c r="W28901" s="235" t="n"/>
      <c r="X28901" s="235" t="n"/>
    </row>
    <row r="28902" ht="14.25" customHeight="1" s="192">
      <c r="W28902" s="228" t="n"/>
      <c r="X28902" s="228" t="n"/>
    </row>
    <row r="28903" ht="14.25" customHeight="1" s="192">
      <c r="W28903" s="235" t="n"/>
      <c r="X28903" s="235" t="n"/>
    </row>
    <row r="28904" ht="14.25" customHeight="1" s="192">
      <c r="W28904" s="235" t="n"/>
      <c r="X28904" s="235" t="n"/>
    </row>
    <row r="28905" ht="14.25" customHeight="1" s="192">
      <c r="W28905" s="235" t="n"/>
      <c r="X28905" s="235" t="n"/>
    </row>
    <row r="28906" ht="14.25" customHeight="1" s="192">
      <c r="W28906" s="239" t="n"/>
      <c r="X28906" s="239" t="n"/>
    </row>
    <row r="28907" ht="14.25" customHeight="1" s="192">
      <c r="W28907" s="239" t="n"/>
      <c r="X28907" s="239" t="n"/>
    </row>
    <row r="28908" ht="14.25" customHeight="1" s="192">
      <c r="W28908" s="239" t="n"/>
      <c r="X28908" s="239" t="n"/>
    </row>
    <row r="28909" ht="14.25" customHeight="1" s="192">
      <c r="W28909" s="235" t="n"/>
      <c r="X28909" s="235" t="n"/>
    </row>
    <row r="28910" ht="14.25" customHeight="1" s="192">
      <c r="W28910" s="235" t="n"/>
      <c r="X28910" s="235" t="n"/>
    </row>
    <row r="28911" ht="14.25" customHeight="1" s="192">
      <c r="W28911" s="235" t="n"/>
      <c r="X28911" s="235" t="n"/>
    </row>
    <row r="28912" ht="14.25" customHeight="1" s="192">
      <c r="W28912" s="239" t="n"/>
      <c r="X28912" s="239" t="n"/>
    </row>
    <row r="28913" ht="14.25" customHeight="1" s="192">
      <c r="W28913" s="239" t="n"/>
      <c r="X28913" s="239" t="n"/>
    </row>
    <row r="28914" ht="14.25" customHeight="1" s="192">
      <c r="W28914" s="235" t="n"/>
      <c r="X28914" s="235" t="n"/>
    </row>
    <row r="28915" ht="14.25" customHeight="1" s="192">
      <c r="W28915" s="235" t="n"/>
      <c r="X28915" s="235" t="n"/>
    </row>
    <row r="28916" ht="14.25" customHeight="1" s="192">
      <c r="W28916" s="239" t="n"/>
      <c r="X28916" s="239" t="n"/>
    </row>
    <row r="28917" ht="14.25" customHeight="1" s="192">
      <c r="W28917" s="235" t="n"/>
      <c r="X28917" s="235" t="n"/>
    </row>
    <row r="28918" ht="14.25" customHeight="1" s="192">
      <c r="W28918" s="239" t="n"/>
      <c r="X28918" s="239" t="n"/>
    </row>
    <row r="28920" ht="14.25" customHeight="1" s="192">
      <c r="W28920" s="235" t="n"/>
      <c r="X28920" s="235" t="n"/>
    </row>
    <row r="28921" ht="15" customHeight="1" s="192" thickBot="1">
      <c r="W28921" s="239" t="n"/>
      <c r="X28921" s="239" t="n"/>
    </row>
    <row r="28922" ht="15" customHeight="1" s="192" thickBot="1">
      <c r="W28922" s="45" t="n"/>
      <c r="X28922" s="45" t="n"/>
    </row>
    <row r="28923" ht="14.25" customHeight="1" s="192">
      <c r="W28923" s="228" t="n"/>
      <c r="X28923" s="228" t="n"/>
    </row>
    <row r="28924" ht="14.25" customHeight="1" s="192">
      <c r="W28924" s="228" t="n"/>
      <c r="X28924" s="228" t="n"/>
    </row>
    <row r="28925" ht="14.25" customHeight="1" s="192">
      <c r="W28925" s="231" t="n"/>
      <c r="X28925" s="231" t="n"/>
    </row>
    <row r="28926" ht="14.25" customHeight="1" s="192">
      <c r="W28926" s="33" t="n"/>
      <c r="X28926" s="33" t="n"/>
    </row>
    <row r="28927" ht="14.25" customHeight="1" s="192">
      <c r="W28927" s="231" t="n"/>
      <c r="X28927" s="231" t="n"/>
    </row>
    <row r="28928" ht="14.25" customHeight="1" s="192">
      <c r="W28928" s="33" t="n"/>
      <c r="X28928" s="33" t="n"/>
    </row>
    <row r="28930" ht="14.25" customHeight="1" s="192">
      <c r="W28930" s="231" t="n"/>
      <c r="X28930" s="231" t="n"/>
    </row>
    <row r="28931" ht="14.25" customHeight="1" s="192">
      <c r="W28931" s="235" t="n"/>
      <c r="X28931" s="235" t="n"/>
    </row>
    <row r="28932" ht="14.25" customHeight="1" s="192">
      <c r="W28932" s="228" t="n"/>
      <c r="X28932" s="228" t="n"/>
    </row>
    <row r="28933" ht="14.25" customHeight="1" s="192">
      <c r="W28933" s="235" t="n"/>
      <c r="X28933" s="235" t="n"/>
    </row>
    <row r="28934" ht="14.25" customHeight="1" s="192">
      <c r="W28934" s="235" t="n"/>
      <c r="X28934" s="235" t="n"/>
    </row>
    <row r="28935" ht="14.25" customHeight="1" s="192">
      <c r="W28935" s="235" t="n"/>
      <c r="X28935" s="235" t="n"/>
    </row>
    <row r="28936" ht="14.25" customHeight="1" s="192">
      <c r="W28936" s="239" t="n"/>
      <c r="X28936" s="239" t="n"/>
    </row>
    <row r="28937" ht="14.25" customHeight="1" s="192">
      <c r="W28937" s="239" t="n"/>
      <c r="X28937" s="239" t="n"/>
    </row>
    <row r="28938" ht="14.25" customHeight="1" s="192">
      <c r="W28938" s="239" t="n"/>
      <c r="X28938" s="239" t="n"/>
    </row>
    <row r="28939" ht="14.25" customHeight="1" s="192">
      <c r="W28939" s="235" t="n"/>
      <c r="X28939" s="235" t="n"/>
    </row>
    <row r="28940" ht="14.25" customHeight="1" s="192">
      <c r="W28940" s="235" t="n"/>
      <c r="X28940" s="235" t="n"/>
    </row>
    <row r="28941" ht="14.25" customHeight="1" s="192">
      <c r="W28941" s="235" t="n"/>
      <c r="X28941" s="235" t="n"/>
    </row>
    <row r="28942" ht="14.25" customHeight="1" s="192">
      <c r="W28942" s="239" t="n"/>
      <c r="X28942" s="239" t="n"/>
    </row>
    <row r="28943" ht="14.25" customHeight="1" s="192">
      <c r="W28943" s="239" t="n"/>
      <c r="X28943" s="239" t="n"/>
    </row>
    <row r="28944" ht="14.25" customHeight="1" s="192">
      <c r="W28944" s="235" t="n"/>
      <c r="X28944" s="235" t="n"/>
    </row>
    <row r="28945" ht="14.25" customHeight="1" s="192">
      <c r="W28945" s="235" t="n"/>
      <c r="X28945" s="235" t="n"/>
    </row>
    <row r="28946" ht="14.25" customHeight="1" s="192">
      <c r="W28946" s="239" t="n"/>
      <c r="X28946" s="239" t="n"/>
    </row>
    <row r="28947" ht="14.25" customHeight="1" s="192">
      <c r="W28947" s="235" t="n"/>
      <c r="X28947" s="235" t="n"/>
    </row>
    <row r="28948" ht="14.25" customHeight="1" s="192">
      <c r="W28948" s="239" t="n"/>
      <c r="X28948" s="239" t="n"/>
    </row>
    <row r="28950" ht="14.25" customHeight="1" s="192">
      <c r="W28950" s="235" t="n"/>
      <c r="X28950" s="235" t="n"/>
    </row>
    <row r="28951" ht="15" customHeight="1" s="192" thickBot="1">
      <c r="W28951" s="239" t="n"/>
      <c r="X28951" s="239" t="n"/>
    </row>
    <row r="28952" ht="15" customHeight="1" s="192" thickBot="1">
      <c r="W28952" s="45" t="n"/>
      <c r="X28952" s="45" t="n"/>
    </row>
    <row r="28953" ht="14.25" customHeight="1" s="192">
      <c r="W28953" s="228" t="n"/>
      <c r="X28953" s="228" t="n"/>
    </row>
    <row r="28954" ht="14.25" customHeight="1" s="192">
      <c r="W28954" s="228" t="n"/>
      <c r="X28954" s="228" t="n"/>
    </row>
    <row r="28955" ht="14.25" customHeight="1" s="192">
      <c r="W28955" s="231" t="n"/>
      <c r="X28955" s="231" t="n"/>
    </row>
    <row r="28956" ht="14.25" customHeight="1" s="192">
      <c r="W28956" s="33" t="n"/>
      <c r="X28956" s="33" t="n"/>
    </row>
    <row r="28957" ht="14.25" customHeight="1" s="192">
      <c r="W28957" s="231" t="n"/>
      <c r="X28957" s="231" t="n"/>
    </row>
    <row r="28958" ht="14.25" customHeight="1" s="192">
      <c r="W28958" s="33" t="n"/>
      <c r="X28958" s="33" t="n"/>
    </row>
    <row r="28960" ht="14.25" customHeight="1" s="192">
      <c r="W28960" s="231" t="n"/>
      <c r="X28960" s="231" t="n"/>
    </row>
    <row r="28961" ht="14.25" customHeight="1" s="192">
      <c r="W28961" s="235" t="n"/>
      <c r="X28961" s="235" t="n"/>
    </row>
    <row r="28962" ht="14.25" customHeight="1" s="192">
      <c r="W28962" s="228" t="n"/>
      <c r="X28962" s="228" t="n"/>
    </row>
    <row r="28963" ht="14.25" customHeight="1" s="192">
      <c r="W28963" s="235" t="n"/>
      <c r="X28963" s="235" t="n"/>
    </row>
    <row r="28964" ht="14.25" customHeight="1" s="192">
      <c r="W28964" s="235" t="n"/>
      <c r="X28964" s="235" t="n"/>
    </row>
    <row r="28965" ht="14.25" customHeight="1" s="192">
      <c r="W28965" s="235" t="n"/>
      <c r="X28965" s="235" t="n"/>
    </row>
    <row r="28966" ht="14.25" customHeight="1" s="192">
      <c r="W28966" s="239" t="n"/>
      <c r="X28966" s="239" t="n"/>
    </row>
    <row r="28967" ht="14.25" customHeight="1" s="192">
      <c r="W28967" s="239" t="n"/>
      <c r="X28967" s="239" t="n"/>
    </row>
    <row r="28968" ht="14.25" customHeight="1" s="192">
      <c r="W28968" s="239" t="n"/>
      <c r="X28968" s="239" t="n"/>
    </row>
    <row r="28969" ht="14.25" customHeight="1" s="192">
      <c r="W28969" s="235" t="n"/>
      <c r="X28969" s="235" t="n"/>
    </row>
    <row r="28970" ht="14.25" customHeight="1" s="192">
      <c r="W28970" s="235" t="n"/>
      <c r="X28970" s="235" t="n"/>
    </row>
    <row r="28971" ht="14.25" customHeight="1" s="192">
      <c r="W28971" s="235" t="n"/>
      <c r="X28971" s="235" t="n"/>
    </row>
    <row r="28972" ht="14.25" customHeight="1" s="192">
      <c r="W28972" s="239" t="n"/>
      <c r="X28972" s="239" t="n"/>
    </row>
    <row r="28973" ht="14.25" customHeight="1" s="192">
      <c r="W28973" s="239" t="n"/>
      <c r="X28973" s="239" t="n"/>
    </row>
    <row r="28974" ht="14.25" customHeight="1" s="192">
      <c r="W28974" s="235" t="n"/>
      <c r="X28974" s="235" t="n"/>
    </row>
    <row r="28975" ht="14.25" customHeight="1" s="192">
      <c r="W28975" s="235" t="n"/>
      <c r="X28975" s="235" t="n"/>
    </row>
    <row r="28976" ht="14.25" customHeight="1" s="192">
      <c r="W28976" s="239" t="n"/>
      <c r="X28976" s="239" t="n"/>
    </row>
    <row r="28977" ht="14.25" customHeight="1" s="192">
      <c r="W28977" s="235" t="n"/>
      <c r="X28977" s="235" t="n"/>
    </row>
    <row r="28978" ht="14.25" customHeight="1" s="192">
      <c r="W28978" s="239" t="n"/>
      <c r="X28978" s="239" t="n"/>
    </row>
    <row r="28980" ht="14.25" customHeight="1" s="192">
      <c r="W28980" s="235" t="n"/>
      <c r="X28980" s="235" t="n"/>
    </row>
    <row r="28981" ht="15" customHeight="1" s="192" thickBot="1">
      <c r="W28981" s="239" t="n"/>
      <c r="X28981" s="239" t="n"/>
    </row>
    <row r="28982" ht="15" customHeight="1" s="192" thickBot="1">
      <c r="W28982" s="45" t="n"/>
      <c r="X28982" s="45" t="n"/>
    </row>
    <row r="28983" ht="14.25" customHeight="1" s="192">
      <c r="W28983" s="228" t="n"/>
      <c r="X28983" s="228" t="n"/>
    </row>
    <row r="28984" ht="14.25" customHeight="1" s="192">
      <c r="W28984" s="228" t="n"/>
      <c r="X28984" s="228" t="n"/>
    </row>
    <row r="28985" ht="14.25" customHeight="1" s="192">
      <c r="W28985" s="231" t="n"/>
      <c r="X28985" s="231" t="n"/>
    </row>
    <row r="28986" ht="14.25" customHeight="1" s="192">
      <c r="W28986" s="33" t="n"/>
      <c r="X28986" s="33" t="n"/>
    </row>
    <row r="28987" ht="14.25" customHeight="1" s="192">
      <c r="W28987" s="231" t="n"/>
      <c r="X28987" s="231" t="n"/>
    </row>
    <row r="28988" ht="14.25" customHeight="1" s="192">
      <c r="W28988" s="33" t="n"/>
      <c r="X28988" s="33" t="n"/>
    </row>
    <row r="28990" ht="14.25" customHeight="1" s="192">
      <c r="W28990" s="231" t="n"/>
      <c r="X28990" s="231" t="n"/>
    </row>
    <row r="28991" ht="14.25" customHeight="1" s="192">
      <c r="W28991" s="235" t="n"/>
      <c r="X28991" s="235" t="n"/>
    </row>
    <row r="28992" ht="14.25" customHeight="1" s="192">
      <c r="W28992" s="228" t="n"/>
      <c r="X28992" s="228" t="n"/>
    </row>
    <row r="28993" ht="14.25" customHeight="1" s="192">
      <c r="W28993" s="235" t="n"/>
      <c r="X28993" s="235" t="n"/>
    </row>
    <row r="28994" ht="14.25" customHeight="1" s="192">
      <c r="W28994" s="235" t="n"/>
      <c r="X28994" s="235" t="n"/>
    </row>
    <row r="28995" ht="14.25" customHeight="1" s="192">
      <c r="W28995" s="235" t="n"/>
      <c r="X28995" s="235" t="n"/>
    </row>
    <row r="28996" ht="14.25" customHeight="1" s="192">
      <c r="W28996" s="239" t="n"/>
      <c r="X28996" s="239" t="n"/>
    </row>
    <row r="28997" ht="14.25" customHeight="1" s="192">
      <c r="W28997" s="239" t="n"/>
      <c r="X28997" s="239" t="n"/>
    </row>
    <row r="28998" ht="14.25" customHeight="1" s="192">
      <c r="W28998" s="239" t="n"/>
      <c r="X28998" s="239" t="n"/>
    </row>
    <row r="28999" ht="14.25" customHeight="1" s="192">
      <c r="W28999" s="235" t="n"/>
      <c r="X28999" s="235" t="n"/>
    </row>
    <row r="29000" ht="14.25" customHeight="1" s="192">
      <c r="W29000" s="235" t="n"/>
      <c r="X29000" s="235" t="n"/>
    </row>
    <row r="29001" ht="14.25" customHeight="1" s="192">
      <c r="W29001" s="235" t="n"/>
      <c r="X29001" s="235" t="n"/>
    </row>
    <row r="29002" ht="14.25" customHeight="1" s="192">
      <c r="W29002" s="239" t="n"/>
      <c r="X29002" s="239" t="n"/>
    </row>
    <row r="29003" ht="14.25" customHeight="1" s="192">
      <c r="W29003" s="239" t="n"/>
      <c r="X29003" s="239" t="n"/>
    </row>
    <row r="29004" ht="14.25" customHeight="1" s="192">
      <c r="W29004" s="235" t="n"/>
      <c r="X29004" s="235" t="n"/>
    </row>
    <row r="29005" ht="14.25" customHeight="1" s="192">
      <c r="W29005" s="235" t="n"/>
      <c r="X29005" s="235" t="n"/>
    </row>
    <row r="29006" ht="14.25" customHeight="1" s="192">
      <c r="W29006" s="239" t="n"/>
      <c r="X29006" s="239" t="n"/>
    </row>
    <row r="29007" ht="14.25" customHeight="1" s="192">
      <c r="W29007" s="235" t="n"/>
      <c r="X29007" s="235" t="n"/>
    </row>
    <row r="29008" ht="14.25" customHeight="1" s="192">
      <c r="W29008" s="239" t="n"/>
      <c r="X29008" s="239" t="n"/>
    </row>
    <row r="29010" ht="14.25" customHeight="1" s="192">
      <c r="W29010" s="235" t="n"/>
      <c r="X29010" s="235" t="n"/>
    </row>
    <row r="29011" ht="15" customHeight="1" s="192" thickBot="1">
      <c r="W29011" s="239" t="n"/>
      <c r="X29011" s="239" t="n"/>
    </row>
    <row r="29012" ht="15" customHeight="1" s="192" thickBot="1">
      <c r="W29012" s="45" t="n"/>
      <c r="X29012" s="45" t="n"/>
    </row>
    <row r="29013" ht="14.25" customHeight="1" s="192">
      <c r="W29013" s="228" t="n"/>
      <c r="X29013" s="228" t="n"/>
    </row>
    <row r="29014" ht="14.25" customHeight="1" s="192">
      <c r="W29014" s="228" t="n"/>
      <c r="X29014" s="228" t="n"/>
    </row>
    <row r="29015" ht="14.25" customHeight="1" s="192">
      <c r="W29015" s="231" t="n"/>
      <c r="X29015" s="231" t="n"/>
    </row>
    <row r="29016" ht="14.25" customHeight="1" s="192">
      <c r="W29016" s="33" t="n"/>
      <c r="X29016" s="33" t="n"/>
    </row>
    <row r="29017" ht="14.25" customHeight="1" s="192">
      <c r="W29017" s="231" t="n"/>
      <c r="X29017" s="231" t="n"/>
    </row>
    <row r="29018" ht="14.25" customHeight="1" s="192">
      <c r="W29018" s="33" t="n"/>
      <c r="X29018" s="33" t="n"/>
    </row>
    <row r="29020" ht="14.25" customHeight="1" s="192">
      <c r="W29020" s="231" t="n"/>
      <c r="X29020" s="231" t="n"/>
    </row>
    <row r="29021" ht="14.25" customHeight="1" s="192">
      <c r="W29021" s="235" t="n"/>
      <c r="X29021" s="235" t="n"/>
    </row>
    <row r="29022" ht="14.25" customHeight="1" s="192">
      <c r="W29022" s="228" t="n"/>
      <c r="X29022" s="228" t="n"/>
    </row>
    <row r="29023" ht="14.25" customHeight="1" s="192">
      <c r="W29023" s="235" t="n"/>
      <c r="X29023" s="235" t="n"/>
    </row>
    <row r="29024" ht="14.25" customHeight="1" s="192">
      <c r="W29024" s="235" t="n"/>
      <c r="X29024" s="235" t="n"/>
    </row>
    <row r="29025" ht="14.25" customHeight="1" s="192">
      <c r="W29025" s="235" t="n"/>
      <c r="X29025" s="235" t="n"/>
    </row>
    <row r="29026" ht="14.25" customHeight="1" s="192">
      <c r="W29026" s="239" t="n"/>
      <c r="X29026" s="239" t="n"/>
    </row>
    <row r="29027" ht="14.25" customHeight="1" s="192">
      <c r="W29027" s="239" t="n"/>
      <c r="X29027" s="239" t="n"/>
    </row>
    <row r="29028" ht="14.25" customHeight="1" s="192">
      <c r="W29028" s="239" t="n"/>
      <c r="X29028" s="239" t="n"/>
    </row>
    <row r="29029" ht="14.25" customHeight="1" s="192">
      <c r="W29029" s="235" t="n"/>
      <c r="X29029" s="235" t="n"/>
    </row>
    <row r="29030" ht="14.25" customHeight="1" s="192">
      <c r="W29030" s="235" t="n"/>
      <c r="X29030" s="235" t="n"/>
    </row>
    <row r="29031" ht="14.25" customHeight="1" s="192">
      <c r="W29031" s="235" t="n"/>
      <c r="X29031" s="235" t="n"/>
    </row>
    <row r="29032" ht="14.25" customHeight="1" s="192">
      <c r="W29032" s="239" t="n"/>
      <c r="X29032" s="239" t="n"/>
    </row>
    <row r="29033" ht="14.25" customHeight="1" s="192">
      <c r="W29033" s="239" t="n"/>
      <c r="X29033" s="239" t="n"/>
    </row>
    <row r="29034" ht="14.25" customHeight="1" s="192">
      <c r="W29034" s="235" t="n"/>
      <c r="X29034" s="235" t="n"/>
    </row>
    <row r="29035" ht="14.25" customHeight="1" s="192">
      <c r="W29035" s="235" t="n"/>
      <c r="X29035" s="235" t="n"/>
    </row>
    <row r="29036" ht="14.25" customHeight="1" s="192">
      <c r="W29036" s="239" t="n"/>
      <c r="X29036" s="239" t="n"/>
    </row>
    <row r="29037" ht="14.25" customHeight="1" s="192">
      <c r="W29037" s="235" t="n"/>
      <c r="X29037" s="235" t="n"/>
    </row>
    <row r="29038" ht="14.25" customHeight="1" s="192">
      <c r="W29038" s="239" t="n"/>
      <c r="X29038" s="239" t="n"/>
    </row>
    <row r="29040" ht="14.25" customHeight="1" s="192">
      <c r="W29040" s="235" t="n"/>
      <c r="X29040" s="235" t="n"/>
    </row>
    <row r="29041" ht="15" customHeight="1" s="192" thickBot="1">
      <c r="W29041" s="239" t="n"/>
      <c r="X29041" s="239" t="n"/>
    </row>
    <row r="29042" ht="15" customHeight="1" s="192" thickBot="1">
      <c r="W29042" s="45" t="n"/>
      <c r="X29042" s="45" t="n"/>
    </row>
    <row r="29043" ht="14.25" customHeight="1" s="192">
      <c r="W29043" s="228" t="n"/>
      <c r="X29043" s="228" t="n"/>
    </row>
    <row r="29044" ht="14.25" customHeight="1" s="192">
      <c r="W29044" s="228" t="n"/>
      <c r="X29044" s="228" t="n"/>
    </row>
    <row r="29045" ht="14.25" customHeight="1" s="192">
      <c r="W29045" s="231" t="n"/>
      <c r="X29045" s="231" t="n"/>
    </row>
    <row r="29046" ht="14.25" customHeight="1" s="192">
      <c r="W29046" s="33" t="n"/>
      <c r="X29046" s="33" t="n"/>
    </row>
    <row r="29047" ht="14.25" customHeight="1" s="192">
      <c r="W29047" s="231" t="n"/>
      <c r="X29047" s="231" t="n"/>
    </row>
    <row r="29048" ht="14.25" customHeight="1" s="192">
      <c r="W29048" s="33" t="n"/>
      <c r="X29048" s="33" t="n"/>
    </row>
    <row r="29050" ht="14.25" customHeight="1" s="192">
      <c r="W29050" s="231" t="n"/>
      <c r="X29050" s="231" t="n"/>
    </row>
    <row r="29051" ht="14.25" customHeight="1" s="192">
      <c r="W29051" s="235" t="n"/>
      <c r="X29051" s="235" t="n"/>
    </row>
    <row r="29052" ht="14.25" customHeight="1" s="192">
      <c r="W29052" s="228" t="n"/>
      <c r="X29052" s="228" t="n"/>
    </row>
    <row r="29053" ht="14.25" customHeight="1" s="192">
      <c r="W29053" s="235" t="n"/>
      <c r="X29053" s="235" t="n"/>
    </row>
    <row r="29054" ht="14.25" customHeight="1" s="192">
      <c r="W29054" s="235" t="n"/>
      <c r="X29054" s="235" t="n"/>
    </row>
    <row r="29055" ht="14.25" customHeight="1" s="192">
      <c r="W29055" s="235" t="n"/>
      <c r="X29055" s="235" t="n"/>
    </row>
    <row r="29056" ht="14.25" customHeight="1" s="192">
      <c r="W29056" s="239" t="n"/>
      <c r="X29056" s="239" t="n"/>
    </row>
    <row r="29057" ht="14.25" customHeight="1" s="192">
      <c r="W29057" s="239" t="n"/>
      <c r="X29057" s="239" t="n"/>
    </row>
    <row r="29058" ht="14.25" customHeight="1" s="192">
      <c r="W29058" s="239" t="n"/>
      <c r="X29058" s="239" t="n"/>
    </row>
    <row r="29059" ht="14.25" customHeight="1" s="192">
      <c r="W29059" s="235" t="n"/>
      <c r="X29059" s="235" t="n"/>
    </row>
    <row r="29060" ht="14.25" customHeight="1" s="192">
      <c r="W29060" s="235" t="n"/>
      <c r="X29060" s="235" t="n"/>
    </row>
    <row r="29061" ht="14.25" customHeight="1" s="192">
      <c r="W29061" s="235" t="n"/>
      <c r="X29061" s="235" t="n"/>
    </row>
    <row r="29062" ht="14.25" customHeight="1" s="192">
      <c r="W29062" s="239" t="n"/>
      <c r="X29062" s="239" t="n"/>
    </row>
    <row r="29063" ht="14.25" customHeight="1" s="192">
      <c r="W29063" s="239" t="n"/>
      <c r="X29063" s="239" t="n"/>
    </row>
    <row r="29064" ht="14.25" customHeight="1" s="192">
      <c r="W29064" s="235" t="n"/>
      <c r="X29064" s="235" t="n"/>
    </row>
    <row r="29065" ht="14.25" customHeight="1" s="192">
      <c r="W29065" s="235" t="n"/>
      <c r="X29065" s="235" t="n"/>
    </row>
    <row r="29066" ht="14.25" customHeight="1" s="192">
      <c r="W29066" s="239" t="n"/>
      <c r="X29066" s="239" t="n"/>
    </row>
    <row r="29067" ht="14.25" customHeight="1" s="192">
      <c r="W29067" s="235" t="n"/>
      <c r="X29067" s="235" t="n"/>
    </row>
    <row r="29068" ht="14.25" customHeight="1" s="192">
      <c r="W29068" s="239" t="n"/>
      <c r="X29068" s="239" t="n"/>
    </row>
    <row r="29070" ht="14.25" customHeight="1" s="192">
      <c r="W29070" s="235" t="n"/>
      <c r="X29070" s="235" t="n"/>
    </row>
    <row r="29071" ht="15" customHeight="1" s="192" thickBot="1">
      <c r="W29071" s="239" t="n"/>
      <c r="X29071" s="239" t="n"/>
    </row>
    <row r="29072" ht="15" customHeight="1" s="192" thickBot="1">
      <c r="W29072" s="45" t="n"/>
      <c r="X29072" s="45" t="n"/>
    </row>
    <row r="29073" ht="14.25" customHeight="1" s="192">
      <c r="W29073" s="228" t="n"/>
      <c r="X29073" s="228" t="n"/>
    </row>
    <row r="29074" ht="14.25" customHeight="1" s="192">
      <c r="W29074" s="228" t="n"/>
      <c r="X29074" s="228" t="n"/>
    </row>
    <row r="29075" ht="14.25" customHeight="1" s="192">
      <c r="W29075" s="231" t="n"/>
      <c r="X29075" s="231" t="n"/>
    </row>
    <row r="29076" ht="14.25" customHeight="1" s="192">
      <c r="W29076" s="33" t="n"/>
      <c r="X29076" s="33" t="n"/>
    </row>
    <row r="29077" ht="14.25" customHeight="1" s="192">
      <c r="W29077" s="231" t="n"/>
      <c r="X29077" s="231" t="n"/>
    </row>
    <row r="29078" ht="14.25" customHeight="1" s="192">
      <c r="W29078" s="33" t="n"/>
      <c r="X29078" s="33" t="n"/>
    </row>
    <row r="29080" ht="14.25" customHeight="1" s="192">
      <c r="W29080" s="231" t="n"/>
      <c r="X29080" s="231" t="n"/>
    </row>
    <row r="29081" ht="14.25" customHeight="1" s="192">
      <c r="W29081" s="235" t="n"/>
      <c r="X29081" s="235" t="n"/>
    </row>
    <row r="29082" ht="14.25" customHeight="1" s="192">
      <c r="W29082" s="228" t="n"/>
      <c r="X29082" s="228" t="n"/>
    </row>
    <row r="29083" ht="14.25" customHeight="1" s="192">
      <c r="W29083" s="235" t="n"/>
      <c r="X29083" s="235" t="n"/>
    </row>
    <row r="29084" ht="14.25" customHeight="1" s="192">
      <c r="W29084" s="235" t="n"/>
      <c r="X29084" s="235" t="n"/>
    </row>
    <row r="29085" ht="14.25" customHeight="1" s="192">
      <c r="W29085" s="235" t="n"/>
      <c r="X29085" s="235" t="n"/>
    </row>
    <row r="29086" ht="14.25" customHeight="1" s="192">
      <c r="W29086" s="239" t="n"/>
      <c r="X29086" s="239" t="n"/>
    </row>
    <row r="29087" ht="14.25" customHeight="1" s="192">
      <c r="W29087" s="239" t="n"/>
      <c r="X29087" s="239" t="n"/>
    </row>
    <row r="29088" ht="14.25" customHeight="1" s="192">
      <c r="W29088" s="239" t="n"/>
      <c r="X29088" s="239" t="n"/>
    </row>
    <row r="29089" ht="14.25" customHeight="1" s="192">
      <c r="W29089" s="235" t="n"/>
      <c r="X29089" s="235" t="n"/>
    </row>
    <row r="29090" ht="14.25" customHeight="1" s="192">
      <c r="W29090" s="235" t="n"/>
      <c r="X29090" s="235" t="n"/>
    </row>
    <row r="29091" ht="14.25" customHeight="1" s="192">
      <c r="W29091" s="235" t="n"/>
      <c r="X29091" s="235" t="n"/>
    </row>
    <row r="29092" ht="14.25" customHeight="1" s="192">
      <c r="W29092" s="239" t="n"/>
      <c r="X29092" s="239" t="n"/>
    </row>
    <row r="29093" ht="14.25" customHeight="1" s="192">
      <c r="W29093" s="239" t="n"/>
      <c r="X29093" s="239" t="n"/>
    </row>
    <row r="29094" ht="14.25" customHeight="1" s="192">
      <c r="W29094" s="235" t="n"/>
      <c r="X29094" s="235" t="n"/>
    </row>
    <row r="29095" ht="14.25" customHeight="1" s="192">
      <c r="W29095" s="235" t="n"/>
      <c r="X29095" s="235" t="n"/>
    </row>
    <row r="29096" ht="14.25" customHeight="1" s="192">
      <c r="W29096" s="239" t="n"/>
      <c r="X29096" s="239" t="n"/>
    </row>
    <row r="29097" ht="14.25" customHeight="1" s="192">
      <c r="W29097" s="235" t="n"/>
      <c r="X29097" s="235" t="n"/>
    </row>
    <row r="29098" ht="14.25" customHeight="1" s="192">
      <c r="W29098" s="239" t="n"/>
      <c r="X29098" s="239" t="n"/>
    </row>
    <row r="29100" ht="14.25" customHeight="1" s="192">
      <c r="W29100" s="235" t="n"/>
      <c r="X29100" s="235" t="n"/>
    </row>
    <row r="29101" ht="15" customHeight="1" s="192" thickBot="1">
      <c r="W29101" s="239" t="n"/>
      <c r="X29101" s="239" t="n"/>
    </row>
    <row r="29102" ht="15" customHeight="1" s="192" thickBot="1">
      <c r="W29102" s="45" t="n"/>
      <c r="X29102" s="45" t="n"/>
    </row>
    <row r="29103" ht="14.25" customHeight="1" s="192">
      <c r="W29103" s="228" t="n"/>
      <c r="X29103" s="228" t="n"/>
    </row>
    <row r="29104" ht="14.25" customHeight="1" s="192">
      <c r="W29104" s="228" t="n"/>
      <c r="X29104" s="228" t="n"/>
    </row>
    <row r="29105" ht="14.25" customHeight="1" s="192">
      <c r="W29105" s="231" t="n"/>
      <c r="X29105" s="231" t="n"/>
    </row>
    <row r="29106" ht="14.25" customHeight="1" s="192">
      <c r="W29106" s="33" t="n"/>
      <c r="X29106" s="33" t="n"/>
    </row>
    <row r="29107" ht="14.25" customHeight="1" s="192">
      <c r="W29107" s="231" t="n"/>
      <c r="X29107" s="231" t="n"/>
    </row>
    <row r="29108" ht="14.25" customHeight="1" s="192">
      <c r="W29108" s="33" t="n"/>
      <c r="X29108" s="33" t="n"/>
    </row>
    <row r="29110" ht="14.25" customHeight="1" s="192">
      <c r="W29110" s="231" t="n"/>
      <c r="X29110" s="231" t="n"/>
    </row>
    <row r="29111" ht="14.25" customHeight="1" s="192">
      <c r="W29111" s="235" t="n"/>
      <c r="X29111" s="235" t="n"/>
    </row>
    <row r="29112" ht="14.25" customHeight="1" s="192">
      <c r="W29112" s="228" t="n"/>
      <c r="X29112" s="228" t="n"/>
    </row>
    <row r="29113" ht="14.25" customHeight="1" s="192">
      <c r="W29113" s="235" t="n"/>
      <c r="X29113" s="235" t="n"/>
    </row>
    <row r="29114" ht="14.25" customHeight="1" s="192">
      <c r="W29114" s="235" t="n"/>
      <c r="X29114" s="235" t="n"/>
    </row>
    <row r="29115" ht="14.25" customHeight="1" s="192">
      <c r="W29115" s="235" t="n"/>
      <c r="X29115" s="235" t="n"/>
    </row>
    <row r="29116" ht="14.25" customHeight="1" s="192">
      <c r="W29116" s="239" t="n"/>
      <c r="X29116" s="239" t="n"/>
    </row>
    <row r="29117" ht="14.25" customHeight="1" s="192">
      <c r="W29117" s="239" t="n"/>
      <c r="X29117" s="239" t="n"/>
    </row>
    <row r="29118" ht="14.25" customHeight="1" s="192">
      <c r="W29118" s="239" t="n"/>
      <c r="X29118" s="239" t="n"/>
    </row>
    <row r="29119" ht="14.25" customHeight="1" s="192">
      <c r="W29119" s="235" t="n"/>
      <c r="X29119" s="235" t="n"/>
    </row>
    <row r="29120" ht="14.25" customHeight="1" s="192">
      <c r="W29120" s="235" t="n"/>
      <c r="X29120" s="235" t="n"/>
    </row>
    <row r="29121" ht="14.25" customHeight="1" s="192">
      <c r="W29121" s="235" t="n"/>
      <c r="X29121" s="235" t="n"/>
    </row>
    <row r="29122" ht="14.25" customHeight="1" s="192">
      <c r="W29122" s="239" t="n"/>
      <c r="X29122" s="239" t="n"/>
    </row>
    <row r="29123" ht="14.25" customHeight="1" s="192">
      <c r="W29123" s="239" t="n"/>
      <c r="X29123" s="239" t="n"/>
    </row>
    <row r="29124" ht="14.25" customHeight="1" s="192">
      <c r="W29124" s="235" t="n"/>
      <c r="X29124" s="235" t="n"/>
    </row>
    <row r="29125" ht="14.25" customHeight="1" s="192">
      <c r="W29125" s="235" t="n"/>
      <c r="X29125" s="235" t="n"/>
    </row>
    <row r="29126" ht="14.25" customHeight="1" s="192">
      <c r="W29126" s="239" t="n"/>
      <c r="X29126" s="239" t="n"/>
    </row>
    <row r="29127" ht="14.25" customHeight="1" s="192">
      <c r="W29127" s="235" t="n"/>
      <c r="X29127" s="235" t="n"/>
    </row>
    <row r="29128" ht="14.25" customHeight="1" s="192">
      <c r="W29128" s="239" t="n"/>
      <c r="X29128" s="239" t="n"/>
    </row>
    <row r="29130" ht="14.25" customHeight="1" s="192">
      <c r="W29130" s="235" t="n"/>
      <c r="X29130" s="235" t="n"/>
    </row>
    <row r="29131" ht="15" customHeight="1" s="192" thickBot="1">
      <c r="W29131" s="239" t="n"/>
      <c r="X29131" s="239" t="n"/>
    </row>
    <row r="29132" ht="15" customHeight="1" s="192" thickBot="1">
      <c r="W29132" s="45" t="n"/>
      <c r="X29132" s="45" t="n"/>
    </row>
    <row r="29133" ht="14.25" customHeight="1" s="192">
      <c r="W29133" s="228" t="n"/>
      <c r="X29133" s="228" t="n"/>
    </row>
    <row r="29134" ht="14.25" customHeight="1" s="192">
      <c r="W29134" s="228" t="n"/>
      <c r="X29134" s="228" t="n"/>
    </row>
    <row r="29135" ht="14.25" customHeight="1" s="192">
      <c r="W29135" s="231" t="n"/>
      <c r="X29135" s="231" t="n"/>
    </row>
    <row r="29136" ht="14.25" customHeight="1" s="192">
      <c r="W29136" s="33" t="n"/>
      <c r="X29136" s="33" t="n"/>
    </row>
    <row r="29137" ht="14.25" customHeight="1" s="192">
      <c r="W29137" s="231" t="n"/>
      <c r="X29137" s="231" t="n"/>
    </row>
    <row r="29138" ht="14.25" customHeight="1" s="192">
      <c r="W29138" s="33" t="n"/>
      <c r="X29138" s="33" t="n"/>
    </row>
    <row r="29140" ht="14.25" customHeight="1" s="192">
      <c r="W29140" s="231" t="n"/>
      <c r="X29140" s="231" t="n"/>
    </row>
    <row r="29141" ht="14.25" customHeight="1" s="192">
      <c r="W29141" s="235" t="n"/>
      <c r="X29141" s="235" t="n"/>
    </row>
    <row r="29142" ht="14.25" customHeight="1" s="192">
      <c r="W29142" s="228" t="n"/>
      <c r="X29142" s="228" t="n"/>
    </row>
    <row r="29143" ht="14.25" customHeight="1" s="192">
      <c r="W29143" s="235" t="n"/>
      <c r="X29143" s="235" t="n"/>
    </row>
    <row r="29144" ht="14.25" customHeight="1" s="192">
      <c r="W29144" s="235" t="n"/>
      <c r="X29144" s="235" t="n"/>
    </row>
    <row r="29145" ht="14.25" customHeight="1" s="192">
      <c r="W29145" s="235" t="n"/>
      <c r="X29145" s="235" t="n"/>
    </row>
    <row r="29146" ht="14.25" customHeight="1" s="192">
      <c r="W29146" s="239" t="n"/>
      <c r="X29146" s="239" t="n"/>
    </row>
    <row r="29147" ht="14.25" customHeight="1" s="192">
      <c r="W29147" s="239" t="n"/>
      <c r="X29147" s="239" t="n"/>
    </row>
    <row r="29148" ht="14.25" customHeight="1" s="192">
      <c r="W29148" s="239" t="n"/>
      <c r="X29148" s="239" t="n"/>
    </row>
    <row r="29149" ht="14.25" customHeight="1" s="192">
      <c r="W29149" s="235" t="n"/>
      <c r="X29149" s="235" t="n"/>
    </row>
    <row r="29150" ht="14.25" customHeight="1" s="192">
      <c r="W29150" s="235" t="n"/>
      <c r="X29150" s="235" t="n"/>
    </row>
    <row r="29151" ht="14.25" customHeight="1" s="192">
      <c r="W29151" s="235" t="n"/>
      <c r="X29151" s="235" t="n"/>
    </row>
    <row r="29152" ht="14.25" customHeight="1" s="192">
      <c r="W29152" s="239" t="n"/>
      <c r="X29152" s="239" t="n"/>
    </row>
    <row r="29153" ht="14.25" customHeight="1" s="192">
      <c r="W29153" s="239" t="n"/>
      <c r="X29153" s="239" t="n"/>
    </row>
    <row r="29154" ht="14.25" customHeight="1" s="192">
      <c r="W29154" s="235" t="n"/>
      <c r="X29154" s="235" t="n"/>
    </row>
    <row r="29155" ht="14.25" customHeight="1" s="192">
      <c r="W29155" s="235" t="n"/>
      <c r="X29155" s="235" t="n"/>
    </row>
    <row r="29156" ht="14.25" customHeight="1" s="192">
      <c r="W29156" s="239" t="n"/>
      <c r="X29156" s="239" t="n"/>
    </row>
    <row r="29157" ht="14.25" customHeight="1" s="192">
      <c r="W29157" s="235" t="n"/>
      <c r="X29157" s="235" t="n"/>
    </row>
    <row r="29158" ht="14.25" customHeight="1" s="192">
      <c r="W29158" s="239" t="n"/>
      <c r="X29158" s="239" t="n"/>
    </row>
    <row r="29160" ht="14.25" customHeight="1" s="192">
      <c r="W29160" s="235" t="n"/>
      <c r="X29160" s="235" t="n"/>
    </row>
    <row r="29161" ht="15" customHeight="1" s="192" thickBot="1">
      <c r="W29161" s="239" t="n"/>
      <c r="X29161" s="239" t="n"/>
    </row>
    <row r="29162" ht="15" customHeight="1" s="192" thickBot="1">
      <c r="W29162" s="45" t="n"/>
      <c r="X29162" s="45" t="n"/>
    </row>
    <row r="29163" ht="14.25" customHeight="1" s="192">
      <c r="W29163" s="228" t="n"/>
      <c r="X29163" s="228" t="n"/>
    </row>
    <row r="29164" ht="14.25" customHeight="1" s="192">
      <c r="W29164" s="228" t="n"/>
      <c r="X29164" s="228" t="n"/>
    </row>
    <row r="29165" ht="14.25" customHeight="1" s="192">
      <c r="W29165" s="231" t="n"/>
      <c r="X29165" s="231" t="n"/>
    </row>
    <row r="29166" ht="14.25" customHeight="1" s="192">
      <c r="W29166" s="33" t="n"/>
      <c r="X29166" s="33" t="n"/>
    </row>
    <row r="29167" ht="14.25" customHeight="1" s="192">
      <c r="W29167" s="231" t="n"/>
      <c r="X29167" s="231" t="n"/>
    </row>
    <row r="29168" ht="14.25" customHeight="1" s="192">
      <c r="W29168" s="33" t="n"/>
      <c r="X29168" s="33" t="n"/>
    </row>
    <row r="29170" ht="14.25" customHeight="1" s="192">
      <c r="W29170" s="231" t="n"/>
      <c r="X29170" s="231" t="n"/>
    </row>
    <row r="29171" ht="14.25" customHeight="1" s="192">
      <c r="W29171" s="235" t="n"/>
      <c r="X29171" s="235" t="n"/>
    </row>
    <row r="29172" ht="14.25" customHeight="1" s="192">
      <c r="W29172" s="228" t="n"/>
      <c r="X29172" s="228" t="n"/>
    </row>
    <row r="29173" ht="14.25" customHeight="1" s="192">
      <c r="W29173" s="235" t="n"/>
      <c r="X29173" s="235" t="n"/>
    </row>
    <row r="29174" ht="14.25" customHeight="1" s="192">
      <c r="W29174" s="235" t="n"/>
      <c r="X29174" s="235" t="n"/>
    </row>
    <row r="29175" ht="14.25" customHeight="1" s="192">
      <c r="W29175" s="235" t="n"/>
      <c r="X29175" s="235" t="n"/>
    </row>
    <row r="29176" ht="14.25" customHeight="1" s="192">
      <c r="W29176" s="239" t="n"/>
      <c r="X29176" s="239" t="n"/>
    </row>
    <row r="29177" ht="14.25" customHeight="1" s="192">
      <c r="W29177" s="239" t="n"/>
      <c r="X29177" s="239" t="n"/>
    </row>
    <row r="29178" ht="14.25" customHeight="1" s="192">
      <c r="W29178" s="239" t="n"/>
      <c r="X29178" s="239" t="n"/>
    </row>
    <row r="29179" ht="14.25" customHeight="1" s="192">
      <c r="W29179" s="235" t="n"/>
      <c r="X29179" s="235" t="n"/>
    </row>
    <row r="29180" ht="14.25" customHeight="1" s="192">
      <c r="W29180" s="235" t="n"/>
      <c r="X29180" s="235" t="n"/>
    </row>
    <row r="29181" ht="14.25" customHeight="1" s="192">
      <c r="W29181" s="235" t="n"/>
      <c r="X29181" s="235" t="n"/>
    </row>
    <row r="29182" ht="14.25" customHeight="1" s="192">
      <c r="W29182" s="239" t="n"/>
      <c r="X29182" s="239" t="n"/>
    </row>
    <row r="29183" ht="14.25" customHeight="1" s="192">
      <c r="W29183" s="239" t="n"/>
      <c r="X29183" s="239" t="n"/>
    </row>
    <row r="29184" ht="14.25" customHeight="1" s="192">
      <c r="W29184" s="235" t="n"/>
      <c r="X29184" s="235" t="n"/>
    </row>
    <row r="29185" ht="14.25" customHeight="1" s="192">
      <c r="W29185" s="235" t="n"/>
      <c r="X29185" s="235" t="n"/>
    </row>
    <row r="29186" ht="14.25" customHeight="1" s="192">
      <c r="W29186" s="239" t="n"/>
      <c r="X29186" s="239" t="n"/>
    </row>
    <row r="29187" ht="14.25" customHeight="1" s="192">
      <c r="W29187" s="235" t="n"/>
      <c r="X29187" s="235" t="n"/>
    </row>
    <row r="29188" ht="14.25" customHeight="1" s="192">
      <c r="W29188" s="239" t="n"/>
      <c r="X29188" s="239" t="n"/>
    </row>
    <row r="29190" ht="14.25" customHeight="1" s="192">
      <c r="W29190" s="235" t="n"/>
      <c r="X29190" s="235" t="n"/>
    </row>
    <row r="29191" ht="15" customHeight="1" s="192" thickBot="1">
      <c r="W29191" s="239" t="n"/>
      <c r="X29191" s="239" t="n"/>
    </row>
    <row r="29192" ht="15" customHeight="1" s="192" thickBot="1">
      <c r="W29192" s="45" t="n"/>
      <c r="X29192" s="45" t="n"/>
    </row>
    <row r="29193" ht="14.25" customHeight="1" s="192">
      <c r="W29193" s="228" t="n"/>
      <c r="X29193" s="228" t="n"/>
    </row>
    <row r="29194" ht="14.25" customHeight="1" s="192">
      <c r="W29194" s="228" t="n"/>
      <c r="X29194" s="228" t="n"/>
    </row>
    <row r="29195" ht="14.25" customHeight="1" s="192">
      <c r="W29195" s="231" t="n"/>
      <c r="X29195" s="231" t="n"/>
    </row>
    <row r="29196" ht="14.25" customHeight="1" s="192">
      <c r="W29196" s="33" t="n"/>
      <c r="X29196" s="33" t="n"/>
    </row>
    <row r="29197" ht="14.25" customHeight="1" s="192">
      <c r="W29197" s="231" t="n"/>
      <c r="X29197" s="231" t="n"/>
    </row>
    <row r="29198" ht="14.25" customHeight="1" s="192">
      <c r="W29198" s="33" t="n"/>
      <c r="X29198" s="33" t="n"/>
    </row>
    <row r="29200" ht="14.25" customHeight="1" s="192">
      <c r="W29200" s="231" t="n"/>
      <c r="X29200" s="231" t="n"/>
    </row>
    <row r="29201" ht="14.25" customHeight="1" s="192">
      <c r="W29201" s="235" t="n"/>
      <c r="X29201" s="235" t="n"/>
    </row>
    <row r="29202" ht="14.25" customHeight="1" s="192">
      <c r="W29202" s="228" t="n"/>
      <c r="X29202" s="228" t="n"/>
    </row>
    <row r="29203" ht="14.25" customHeight="1" s="192">
      <c r="W29203" s="235" t="n"/>
      <c r="X29203" s="235" t="n"/>
    </row>
    <row r="29204" ht="14.25" customHeight="1" s="192">
      <c r="W29204" s="235" t="n"/>
      <c r="X29204" s="235" t="n"/>
    </row>
    <row r="29205" ht="14.25" customHeight="1" s="192">
      <c r="W29205" s="235" t="n"/>
      <c r="X29205" s="235" t="n"/>
    </row>
    <row r="29206" ht="14.25" customHeight="1" s="192">
      <c r="W29206" s="239" t="n"/>
      <c r="X29206" s="239" t="n"/>
    </row>
    <row r="29207" ht="14.25" customHeight="1" s="192">
      <c r="W29207" s="239" t="n"/>
      <c r="X29207" s="239" t="n"/>
    </row>
    <row r="29208" ht="14.25" customHeight="1" s="192">
      <c r="W29208" s="239" t="n"/>
      <c r="X29208" s="239" t="n"/>
    </row>
    <row r="29209" ht="14.25" customHeight="1" s="192">
      <c r="W29209" s="235" t="n"/>
      <c r="X29209" s="235" t="n"/>
    </row>
    <row r="29210" ht="14.25" customHeight="1" s="192">
      <c r="W29210" s="235" t="n"/>
      <c r="X29210" s="235" t="n"/>
    </row>
    <row r="29211" ht="14.25" customHeight="1" s="192">
      <c r="W29211" s="235" t="n"/>
      <c r="X29211" s="235" t="n"/>
    </row>
    <row r="29212" ht="14.25" customHeight="1" s="192">
      <c r="W29212" s="239" t="n"/>
      <c r="X29212" s="239" t="n"/>
    </row>
    <row r="29213" ht="14.25" customHeight="1" s="192">
      <c r="W29213" s="239" t="n"/>
      <c r="X29213" s="239" t="n"/>
    </row>
    <row r="29214" ht="14.25" customHeight="1" s="192">
      <c r="W29214" s="235" t="n"/>
      <c r="X29214" s="235" t="n"/>
    </row>
    <row r="29215" ht="14.25" customHeight="1" s="192">
      <c r="W29215" s="235" t="n"/>
      <c r="X29215" s="235" t="n"/>
    </row>
    <row r="29216" ht="14.25" customHeight="1" s="192">
      <c r="W29216" s="239" t="n"/>
      <c r="X29216" s="239" t="n"/>
    </row>
    <row r="29217" ht="14.25" customHeight="1" s="192">
      <c r="W29217" s="235" t="n"/>
      <c r="X29217" s="235" t="n"/>
    </row>
    <row r="29218" ht="14.25" customHeight="1" s="192">
      <c r="W29218" s="239" t="n"/>
      <c r="X29218" s="239" t="n"/>
    </row>
    <row r="29220" ht="14.25" customHeight="1" s="192">
      <c r="W29220" s="235" t="n"/>
      <c r="X29220" s="235" t="n"/>
    </row>
    <row r="29221" ht="15" customHeight="1" s="192" thickBot="1">
      <c r="W29221" s="239" t="n"/>
      <c r="X29221" s="239" t="n"/>
    </row>
    <row r="29222" ht="15" customHeight="1" s="192" thickBot="1">
      <c r="W29222" s="45" t="n"/>
      <c r="X29222" s="45" t="n"/>
    </row>
    <row r="29223" ht="14.25" customHeight="1" s="192">
      <c r="W29223" s="228" t="n"/>
      <c r="X29223" s="228" t="n"/>
    </row>
    <row r="29224" ht="14.25" customHeight="1" s="192">
      <c r="W29224" s="228" t="n"/>
      <c r="X29224" s="228" t="n"/>
    </row>
    <row r="29225" ht="14.25" customHeight="1" s="192">
      <c r="W29225" s="231" t="n"/>
      <c r="X29225" s="231" t="n"/>
    </row>
    <row r="29226" ht="14.25" customHeight="1" s="192">
      <c r="W29226" s="33" t="n"/>
      <c r="X29226" s="33" t="n"/>
    </row>
    <row r="29227" ht="14.25" customHeight="1" s="192">
      <c r="W29227" s="231" t="n"/>
      <c r="X29227" s="231" t="n"/>
    </row>
    <row r="29228" ht="14.25" customHeight="1" s="192">
      <c r="W29228" s="33" t="n"/>
      <c r="X29228" s="33" t="n"/>
    </row>
    <row r="29230" ht="14.25" customHeight="1" s="192">
      <c r="W29230" s="231" t="n"/>
      <c r="X29230" s="231" t="n"/>
    </row>
    <row r="29231" ht="14.25" customHeight="1" s="192">
      <c r="W29231" s="235" t="n"/>
      <c r="X29231" s="235" t="n"/>
    </row>
    <row r="29232" ht="14.25" customHeight="1" s="192">
      <c r="W29232" s="228" t="n"/>
      <c r="X29232" s="228" t="n"/>
    </row>
    <row r="29233" ht="14.25" customHeight="1" s="192">
      <c r="W29233" s="235" t="n"/>
      <c r="X29233" s="235" t="n"/>
    </row>
    <row r="29234" ht="14.25" customHeight="1" s="192">
      <c r="W29234" s="235" t="n"/>
      <c r="X29234" s="235" t="n"/>
    </row>
    <row r="29235" ht="14.25" customHeight="1" s="192">
      <c r="W29235" s="235" t="n"/>
      <c r="X29235" s="235" t="n"/>
    </row>
    <row r="29236" ht="14.25" customHeight="1" s="192">
      <c r="W29236" s="239" t="n"/>
      <c r="X29236" s="239" t="n"/>
    </row>
    <row r="29237" ht="14.25" customHeight="1" s="192">
      <c r="W29237" s="239" t="n"/>
      <c r="X29237" s="239" t="n"/>
    </row>
    <row r="29238" ht="14.25" customHeight="1" s="192">
      <c r="W29238" s="239" t="n"/>
      <c r="X29238" s="239" t="n"/>
    </row>
    <row r="29239" ht="14.25" customHeight="1" s="192">
      <c r="W29239" s="235" t="n"/>
      <c r="X29239" s="235" t="n"/>
    </row>
    <row r="29240" ht="14.25" customHeight="1" s="192">
      <c r="W29240" s="235" t="n"/>
      <c r="X29240" s="235" t="n"/>
    </row>
    <row r="29241" ht="14.25" customHeight="1" s="192">
      <c r="W29241" s="235" t="n"/>
      <c r="X29241" s="235" t="n"/>
    </row>
    <row r="29242" ht="14.25" customHeight="1" s="192">
      <c r="W29242" s="239" t="n"/>
      <c r="X29242" s="239" t="n"/>
    </row>
    <row r="29243" ht="14.25" customHeight="1" s="192">
      <c r="W29243" s="239" t="n"/>
      <c r="X29243" s="239" t="n"/>
    </row>
    <row r="29244" ht="14.25" customHeight="1" s="192">
      <c r="W29244" s="235" t="n"/>
      <c r="X29244" s="235" t="n"/>
    </row>
    <row r="29245" ht="14.25" customHeight="1" s="192">
      <c r="W29245" s="235" t="n"/>
      <c r="X29245" s="235" t="n"/>
    </row>
    <row r="29246" ht="14.25" customHeight="1" s="192">
      <c r="W29246" s="239" t="n"/>
      <c r="X29246" s="239" t="n"/>
    </row>
    <row r="29247" ht="14.25" customHeight="1" s="192">
      <c r="W29247" s="235" t="n"/>
      <c r="X29247" s="235" t="n"/>
    </row>
    <row r="29248" ht="14.25" customHeight="1" s="192">
      <c r="W29248" s="239" t="n"/>
      <c r="X29248" s="239" t="n"/>
    </row>
    <row r="29250" ht="14.25" customHeight="1" s="192">
      <c r="W29250" s="235" t="n"/>
      <c r="X29250" s="235" t="n"/>
    </row>
    <row r="29251" ht="15" customHeight="1" s="192" thickBot="1">
      <c r="W29251" s="239" t="n"/>
      <c r="X29251" s="239" t="n"/>
    </row>
    <row r="29252" ht="15" customHeight="1" s="192" thickBot="1">
      <c r="W29252" s="45" t="n"/>
      <c r="X29252" s="45" t="n"/>
    </row>
    <row r="29253" ht="14.25" customHeight="1" s="192">
      <c r="W29253" s="228" t="n"/>
      <c r="X29253" s="228" t="n"/>
    </row>
    <row r="29254" ht="14.25" customHeight="1" s="192">
      <c r="W29254" s="228" t="n"/>
      <c r="X29254" s="228" t="n"/>
    </row>
    <row r="29255" ht="14.25" customHeight="1" s="192">
      <c r="W29255" s="231" t="n"/>
      <c r="X29255" s="231" t="n"/>
    </row>
    <row r="29256" ht="14.25" customHeight="1" s="192">
      <c r="W29256" s="33" t="n"/>
      <c r="X29256" s="33" t="n"/>
    </row>
    <row r="29257" ht="14.25" customHeight="1" s="192">
      <c r="W29257" s="231" t="n"/>
      <c r="X29257" s="231" t="n"/>
    </row>
    <row r="29258" ht="14.25" customHeight="1" s="192">
      <c r="W29258" s="33" t="n"/>
      <c r="X29258" s="33" t="n"/>
    </row>
    <row r="29260" ht="14.25" customHeight="1" s="192">
      <c r="W29260" s="231" t="n"/>
      <c r="X29260" s="231" t="n"/>
    </row>
    <row r="29261" ht="14.25" customHeight="1" s="192">
      <c r="W29261" s="235" t="n"/>
      <c r="X29261" s="235" t="n"/>
    </row>
    <row r="29262" ht="14.25" customHeight="1" s="192">
      <c r="W29262" s="228" t="n"/>
      <c r="X29262" s="228" t="n"/>
    </row>
    <row r="29263" ht="14.25" customHeight="1" s="192">
      <c r="W29263" s="235" t="n"/>
      <c r="X29263" s="235" t="n"/>
    </row>
    <row r="29264" ht="14.25" customHeight="1" s="192">
      <c r="W29264" s="235" t="n"/>
      <c r="X29264" s="235" t="n"/>
    </row>
    <row r="29265" ht="14.25" customHeight="1" s="192">
      <c r="W29265" s="235" t="n"/>
      <c r="X29265" s="235" t="n"/>
    </row>
    <row r="29266" ht="14.25" customHeight="1" s="192">
      <c r="W29266" s="239" t="n"/>
      <c r="X29266" s="239" t="n"/>
    </row>
    <row r="29267" ht="14.25" customHeight="1" s="192">
      <c r="W29267" s="239" t="n"/>
      <c r="X29267" s="239" t="n"/>
    </row>
    <row r="29268" ht="14.25" customHeight="1" s="192">
      <c r="W29268" s="239" t="n"/>
      <c r="X29268" s="239" t="n"/>
    </row>
    <row r="29269" ht="14.25" customHeight="1" s="192">
      <c r="W29269" s="235" t="n"/>
      <c r="X29269" s="235" t="n"/>
    </row>
    <row r="29270" ht="14.25" customHeight="1" s="192">
      <c r="W29270" s="235" t="n"/>
      <c r="X29270" s="235" t="n"/>
    </row>
    <row r="29271" ht="14.25" customHeight="1" s="192">
      <c r="W29271" s="235" t="n"/>
      <c r="X29271" s="235" t="n"/>
    </row>
    <row r="29272" ht="14.25" customHeight="1" s="192">
      <c r="W29272" s="239" t="n"/>
      <c r="X29272" s="239" t="n"/>
    </row>
    <row r="29273" ht="14.25" customHeight="1" s="192">
      <c r="W29273" s="239" t="n"/>
      <c r="X29273" s="239" t="n"/>
    </row>
    <row r="29274" ht="14.25" customHeight="1" s="192">
      <c r="W29274" s="235" t="n"/>
      <c r="X29274" s="235" t="n"/>
    </row>
    <row r="29275" ht="14.25" customHeight="1" s="192">
      <c r="W29275" s="235" t="n"/>
      <c r="X29275" s="235" t="n"/>
    </row>
    <row r="29276" ht="14.25" customHeight="1" s="192">
      <c r="W29276" s="239" t="n"/>
      <c r="X29276" s="239" t="n"/>
    </row>
    <row r="29277" ht="14.25" customHeight="1" s="192">
      <c r="W29277" s="235" t="n"/>
      <c r="X29277" s="235" t="n"/>
    </row>
    <row r="29278" ht="14.25" customHeight="1" s="192">
      <c r="W29278" s="239" t="n"/>
      <c r="X29278" s="239" t="n"/>
    </row>
    <row r="29280" ht="14.25" customHeight="1" s="192">
      <c r="W29280" s="235" t="n"/>
      <c r="X29280" s="235" t="n"/>
    </row>
    <row r="29281" ht="15" customHeight="1" s="192" thickBot="1">
      <c r="W29281" s="239" t="n"/>
      <c r="X29281" s="239" t="n"/>
    </row>
    <row r="29282" ht="15" customHeight="1" s="192" thickBot="1">
      <c r="W29282" s="45" t="n"/>
      <c r="X29282" s="45" t="n"/>
    </row>
    <row r="29283" ht="14.25" customHeight="1" s="192">
      <c r="W29283" s="228" t="n"/>
      <c r="X29283" s="228" t="n"/>
    </row>
    <row r="29284" ht="14.25" customHeight="1" s="192">
      <c r="W29284" s="228" t="n"/>
      <c r="X29284" s="228" t="n"/>
    </row>
    <row r="29285" ht="14.25" customHeight="1" s="192">
      <c r="W29285" s="231" t="n"/>
      <c r="X29285" s="231" t="n"/>
    </row>
    <row r="29286" ht="14.25" customHeight="1" s="192">
      <c r="W29286" s="33" t="n"/>
      <c r="X29286" s="33" t="n"/>
    </row>
    <row r="29287" ht="14.25" customHeight="1" s="192">
      <c r="W29287" s="231" t="n"/>
      <c r="X29287" s="231" t="n"/>
    </row>
    <row r="29288" ht="14.25" customHeight="1" s="192">
      <c r="W29288" s="33" t="n"/>
      <c r="X29288" s="33" t="n"/>
    </row>
    <row r="29290" ht="14.25" customHeight="1" s="192">
      <c r="W29290" s="231" t="n"/>
      <c r="X29290" s="231" t="n"/>
    </row>
    <row r="29291" ht="14.25" customHeight="1" s="192">
      <c r="W29291" s="235" t="n"/>
      <c r="X29291" s="235" t="n"/>
    </row>
    <row r="29292" ht="14.25" customHeight="1" s="192">
      <c r="W29292" s="228" t="n"/>
      <c r="X29292" s="228" t="n"/>
    </row>
    <row r="29293" ht="14.25" customHeight="1" s="192">
      <c r="W29293" s="235" t="n"/>
      <c r="X29293" s="235" t="n"/>
    </row>
    <row r="29294" ht="14.25" customHeight="1" s="192">
      <c r="W29294" s="235" t="n"/>
      <c r="X29294" s="235" t="n"/>
    </row>
    <row r="29295" ht="14.25" customHeight="1" s="192">
      <c r="W29295" s="235" t="n"/>
      <c r="X29295" s="235" t="n"/>
    </row>
    <row r="29296" ht="14.25" customHeight="1" s="192">
      <c r="W29296" s="239" t="n"/>
      <c r="X29296" s="239" t="n"/>
    </row>
    <row r="29297" ht="14.25" customHeight="1" s="192">
      <c r="W29297" s="239" t="n"/>
      <c r="X29297" s="239" t="n"/>
    </row>
    <row r="29298" ht="14.25" customHeight="1" s="192">
      <c r="W29298" s="239" t="n"/>
      <c r="X29298" s="239" t="n"/>
    </row>
    <row r="29299" ht="14.25" customHeight="1" s="192">
      <c r="W29299" s="235" t="n"/>
      <c r="X29299" s="235" t="n"/>
    </row>
    <row r="29300" ht="14.25" customHeight="1" s="192">
      <c r="W29300" s="235" t="n"/>
      <c r="X29300" s="235" t="n"/>
    </row>
    <row r="29301" ht="14.25" customHeight="1" s="192">
      <c r="W29301" s="235" t="n"/>
      <c r="X29301" s="235" t="n"/>
    </row>
    <row r="29302" ht="14.25" customHeight="1" s="192">
      <c r="W29302" s="239" t="n"/>
      <c r="X29302" s="239" t="n"/>
    </row>
    <row r="29303" ht="14.25" customHeight="1" s="192">
      <c r="W29303" s="239" t="n"/>
      <c r="X29303" s="239" t="n"/>
    </row>
    <row r="29304" ht="14.25" customHeight="1" s="192">
      <c r="W29304" s="235" t="n"/>
      <c r="X29304" s="235" t="n"/>
    </row>
    <row r="29305" ht="14.25" customHeight="1" s="192">
      <c r="W29305" s="235" t="n"/>
      <c r="X29305" s="235" t="n"/>
    </row>
    <row r="29306" ht="14.25" customHeight="1" s="192">
      <c r="W29306" s="239" t="n"/>
      <c r="X29306" s="239" t="n"/>
    </row>
    <row r="29307" ht="14.25" customHeight="1" s="192">
      <c r="W29307" s="235" t="n"/>
      <c r="X29307" s="235" t="n"/>
    </row>
    <row r="29308" ht="14.25" customHeight="1" s="192">
      <c r="W29308" s="239" t="n"/>
      <c r="X29308" s="239" t="n"/>
    </row>
    <row r="29310" ht="14.25" customHeight="1" s="192">
      <c r="W29310" s="235" t="n"/>
      <c r="X29310" s="235" t="n"/>
    </row>
    <row r="29311" ht="15" customHeight="1" s="192" thickBot="1">
      <c r="W29311" s="239" t="n"/>
      <c r="X29311" s="239" t="n"/>
    </row>
    <row r="29312" ht="15" customHeight="1" s="192" thickBot="1">
      <c r="W29312" s="45" t="n"/>
      <c r="X29312" s="45" t="n"/>
    </row>
    <row r="29313" ht="14.25" customHeight="1" s="192">
      <c r="W29313" s="228" t="n"/>
      <c r="X29313" s="228" t="n"/>
    </row>
    <row r="29314" ht="14.25" customHeight="1" s="192">
      <c r="W29314" s="228" t="n"/>
      <c r="X29314" s="228" t="n"/>
    </row>
    <row r="29315" ht="14.25" customHeight="1" s="192">
      <c r="W29315" s="231" t="n"/>
      <c r="X29315" s="231" t="n"/>
    </row>
    <row r="29316" ht="14.25" customHeight="1" s="192">
      <c r="W29316" s="33" t="n"/>
      <c r="X29316" s="33" t="n"/>
    </row>
    <row r="29317" ht="14.25" customHeight="1" s="192">
      <c r="W29317" s="231" t="n"/>
      <c r="X29317" s="231" t="n"/>
    </row>
    <row r="29318" ht="14.25" customHeight="1" s="192">
      <c r="W29318" s="33" t="n"/>
      <c r="X29318" s="33" t="n"/>
    </row>
    <row r="29320" ht="14.25" customHeight="1" s="192">
      <c r="W29320" s="231" t="n"/>
      <c r="X29320" s="231" t="n"/>
    </row>
    <row r="29321" ht="14.25" customHeight="1" s="192">
      <c r="W29321" s="235" t="n"/>
      <c r="X29321" s="235" t="n"/>
    </row>
    <row r="29322" ht="14.25" customHeight="1" s="192">
      <c r="W29322" s="228" t="n"/>
      <c r="X29322" s="228" t="n"/>
    </row>
    <row r="29323" ht="14.25" customHeight="1" s="192">
      <c r="W29323" s="235" t="n"/>
      <c r="X29323" s="235" t="n"/>
    </row>
    <row r="29324" ht="14.25" customHeight="1" s="192">
      <c r="W29324" s="235" t="n"/>
      <c r="X29324" s="235" t="n"/>
    </row>
    <row r="29325" ht="14.25" customHeight="1" s="192">
      <c r="W29325" s="235" t="n"/>
      <c r="X29325" s="235" t="n"/>
    </row>
    <row r="29326" ht="14.25" customHeight="1" s="192">
      <c r="W29326" s="239" t="n"/>
      <c r="X29326" s="239" t="n"/>
    </row>
    <row r="29327" ht="14.25" customHeight="1" s="192">
      <c r="W29327" s="239" t="n"/>
      <c r="X29327" s="239" t="n"/>
    </row>
    <row r="29328" ht="14.25" customHeight="1" s="192">
      <c r="W29328" s="239" t="n"/>
      <c r="X29328" s="239" t="n"/>
    </row>
    <row r="29329" ht="14.25" customHeight="1" s="192">
      <c r="W29329" s="235" t="n"/>
      <c r="X29329" s="235" t="n"/>
    </row>
    <row r="29330" ht="14.25" customHeight="1" s="192">
      <c r="W29330" s="235" t="n"/>
      <c r="X29330" s="235" t="n"/>
    </row>
    <row r="29331" ht="14.25" customHeight="1" s="192">
      <c r="W29331" s="235" t="n"/>
      <c r="X29331" s="235" t="n"/>
    </row>
    <row r="29332" ht="14.25" customHeight="1" s="192">
      <c r="W29332" s="239" t="n"/>
      <c r="X29332" s="239" t="n"/>
    </row>
    <row r="29333" ht="14.25" customHeight="1" s="192">
      <c r="W29333" s="239" t="n"/>
      <c r="X29333" s="239" t="n"/>
    </row>
    <row r="29334" ht="14.25" customHeight="1" s="192">
      <c r="W29334" s="235" t="n"/>
      <c r="X29334" s="235" t="n"/>
    </row>
    <row r="29335" ht="14.25" customHeight="1" s="192">
      <c r="W29335" s="235" t="n"/>
      <c r="X29335" s="235" t="n"/>
    </row>
    <row r="29336" ht="14.25" customHeight="1" s="192">
      <c r="W29336" s="239" t="n"/>
      <c r="X29336" s="239" t="n"/>
    </row>
    <row r="29337" ht="14.25" customHeight="1" s="192">
      <c r="W29337" s="235" t="n"/>
      <c r="X29337" s="235" t="n"/>
    </row>
    <row r="29338" ht="14.25" customHeight="1" s="192">
      <c r="W29338" s="239" t="n"/>
      <c r="X29338" s="239" t="n"/>
    </row>
    <row r="29340" ht="14.25" customHeight="1" s="192">
      <c r="W29340" s="235" t="n"/>
      <c r="X29340" s="235" t="n"/>
    </row>
    <row r="29341" ht="15" customHeight="1" s="192" thickBot="1">
      <c r="W29341" s="239" t="n"/>
      <c r="X29341" s="239" t="n"/>
    </row>
    <row r="29342" ht="15" customHeight="1" s="192" thickBot="1">
      <c r="W29342" s="45" t="n"/>
      <c r="X29342" s="45" t="n"/>
    </row>
    <row r="29343" ht="14.25" customHeight="1" s="192">
      <c r="W29343" s="228" t="n"/>
      <c r="X29343" s="228" t="n"/>
    </row>
    <row r="29344" ht="14.25" customHeight="1" s="192">
      <c r="W29344" s="228" t="n"/>
      <c r="X29344" s="228" t="n"/>
    </row>
    <row r="29345" ht="14.25" customHeight="1" s="192">
      <c r="W29345" s="231" t="n"/>
      <c r="X29345" s="231" t="n"/>
    </row>
    <row r="29346" ht="14.25" customHeight="1" s="192">
      <c r="W29346" s="33" t="n"/>
      <c r="X29346" s="33" t="n"/>
    </row>
    <row r="29347" ht="14.25" customHeight="1" s="192">
      <c r="W29347" s="231" t="n"/>
      <c r="X29347" s="231" t="n"/>
    </row>
    <row r="29348" ht="14.25" customHeight="1" s="192">
      <c r="W29348" s="33" t="n"/>
      <c r="X29348" s="33" t="n"/>
    </row>
    <row r="29350" ht="14.25" customHeight="1" s="192">
      <c r="W29350" s="231" t="n"/>
      <c r="X29350" s="231" t="n"/>
    </row>
    <row r="29351" ht="14.25" customHeight="1" s="192">
      <c r="W29351" s="235" t="n"/>
      <c r="X29351" s="235" t="n"/>
    </row>
    <row r="29352" ht="14.25" customHeight="1" s="192">
      <c r="W29352" s="228" t="n"/>
      <c r="X29352" s="228" t="n"/>
    </row>
    <row r="29353" ht="14.25" customHeight="1" s="192">
      <c r="W29353" s="235" t="n"/>
      <c r="X29353" s="235" t="n"/>
    </row>
    <row r="29354" ht="14.25" customHeight="1" s="192">
      <c r="W29354" s="235" t="n"/>
      <c r="X29354" s="235" t="n"/>
    </row>
    <row r="29355" ht="14.25" customHeight="1" s="192">
      <c r="W29355" s="235" t="n"/>
      <c r="X29355" s="235" t="n"/>
    </row>
    <row r="29356" ht="14.25" customHeight="1" s="192">
      <c r="W29356" s="239" t="n"/>
      <c r="X29356" s="239" t="n"/>
    </row>
    <row r="29357" ht="14.25" customHeight="1" s="192">
      <c r="W29357" s="239" t="n"/>
      <c r="X29357" s="239" t="n"/>
    </row>
    <row r="29358" ht="14.25" customHeight="1" s="192">
      <c r="W29358" s="239" t="n"/>
      <c r="X29358" s="239" t="n"/>
    </row>
    <row r="29359" ht="14.25" customHeight="1" s="192">
      <c r="W29359" s="235" t="n"/>
      <c r="X29359" s="235" t="n"/>
    </row>
    <row r="29360" ht="14.25" customHeight="1" s="192">
      <c r="W29360" s="235" t="n"/>
      <c r="X29360" s="235" t="n"/>
    </row>
    <row r="29361" ht="14.25" customHeight="1" s="192">
      <c r="W29361" s="235" t="n"/>
      <c r="X29361" s="235" t="n"/>
    </row>
    <row r="29362" ht="14.25" customHeight="1" s="192">
      <c r="W29362" s="239" t="n"/>
      <c r="X29362" s="239" t="n"/>
    </row>
    <row r="29363" ht="14.25" customHeight="1" s="192">
      <c r="W29363" s="239" t="n"/>
      <c r="X29363" s="239" t="n"/>
    </row>
    <row r="29364" ht="14.25" customHeight="1" s="192">
      <c r="W29364" s="235" t="n"/>
      <c r="X29364" s="235" t="n"/>
    </row>
    <row r="29365" ht="14.25" customHeight="1" s="192">
      <c r="W29365" s="235" t="n"/>
      <c r="X29365" s="235" t="n"/>
    </row>
    <row r="29366" ht="14.25" customHeight="1" s="192">
      <c r="W29366" s="239" t="n"/>
      <c r="X29366" s="239" t="n"/>
    </row>
    <row r="29367" ht="14.25" customHeight="1" s="192">
      <c r="W29367" s="235" t="n"/>
      <c r="X29367" s="235" t="n"/>
    </row>
    <row r="29368" ht="14.25" customHeight="1" s="192">
      <c r="W29368" s="239" t="n"/>
      <c r="X29368" s="239" t="n"/>
    </row>
    <row r="29370" ht="14.25" customHeight="1" s="192">
      <c r="W29370" s="235" t="n"/>
      <c r="X29370" s="235" t="n"/>
    </row>
    <row r="29371" ht="15" customHeight="1" s="192" thickBot="1">
      <c r="W29371" s="239" t="n"/>
      <c r="X29371" s="239" t="n"/>
    </row>
    <row r="29372" ht="15" customHeight="1" s="192" thickBot="1">
      <c r="W29372" s="45" t="n"/>
      <c r="X29372" s="45" t="n"/>
    </row>
    <row r="29373" ht="14.25" customHeight="1" s="192">
      <c r="W29373" s="228" t="n"/>
      <c r="X29373" s="228" t="n"/>
    </row>
    <row r="29374" ht="14.25" customHeight="1" s="192">
      <c r="W29374" s="228" t="n"/>
      <c r="X29374" s="228" t="n"/>
    </row>
    <row r="29375" ht="14.25" customHeight="1" s="192">
      <c r="W29375" s="231" t="n"/>
      <c r="X29375" s="231" t="n"/>
    </row>
    <row r="29376" ht="14.25" customHeight="1" s="192">
      <c r="W29376" s="33" t="n"/>
      <c r="X29376" s="33" t="n"/>
    </row>
    <row r="29377" ht="14.25" customHeight="1" s="192">
      <c r="W29377" s="231" t="n"/>
      <c r="X29377" s="231" t="n"/>
    </row>
    <row r="29378" ht="14.25" customHeight="1" s="192">
      <c r="W29378" s="33" t="n"/>
      <c r="X29378" s="33" t="n"/>
    </row>
    <row r="29380" ht="14.25" customHeight="1" s="192">
      <c r="W29380" s="231" t="n"/>
      <c r="X29380" s="231" t="n"/>
    </row>
    <row r="29381" ht="14.25" customHeight="1" s="192">
      <c r="W29381" s="235" t="n"/>
      <c r="X29381" s="235" t="n"/>
    </row>
    <row r="29382" ht="14.25" customHeight="1" s="192">
      <c r="W29382" s="228" t="n"/>
      <c r="X29382" s="228" t="n"/>
    </row>
    <row r="29383" ht="14.25" customHeight="1" s="192">
      <c r="W29383" s="235" t="n"/>
      <c r="X29383" s="235" t="n"/>
    </row>
    <row r="29384" ht="14.25" customHeight="1" s="192">
      <c r="W29384" s="235" t="n"/>
      <c r="X29384" s="235" t="n"/>
    </row>
    <row r="29385" ht="14.25" customHeight="1" s="192">
      <c r="W29385" s="235" t="n"/>
      <c r="X29385" s="235" t="n"/>
    </row>
    <row r="29386" ht="14.25" customHeight="1" s="192">
      <c r="W29386" s="239" t="n"/>
      <c r="X29386" s="239" t="n"/>
    </row>
    <row r="29387" ht="14.25" customHeight="1" s="192">
      <c r="W29387" s="239" t="n"/>
      <c r="X29387" s="239" t="n"/>
    </row>
    <row r="29388" ht="14.25" customHeight="1" s="192">
      <c r="W29388" s="239" t="n"/>
      <c r="X29388" s="239" t="n"/>
    </row>
    <row r="29389" ht="14.25" customHeight="1" s="192">
      <c r="W29389" s="235" t="n"/>
      <c r="X29389" s="235" t="n"/>
    </row>
    <row r="29390" ht="14.25" customHeight="1" s="192">
      <c r="W29390" s="235" t="n"/>
      <c r="X29390" s="235" t="n"/>
    </row>
    <row r="29391" ht="14.25" customHeight="1" s="192">
      <c r="W29391" s="235" t="n"/>
      <c r="X29391" s="235" t="n"/>
    </row>
    <row r="29392" ht="14.25" customHeight="1" s="192">
      <c r="W29392" s="239" t="n"/>
      <c r="X29392" s="239" t="n"/>
    </row>
    <row r="29393" ht="14.25" customHeight="1" s="192">
      <c r="W29393" s="239" t="n"/>
      <c r="X29393" s="239" t="n"/>
    </row>
    <row r="29394" ht="14.25" customHeight="1" s="192">
      <c r="W29394" s="235" t="n"/>
      <c r="X29394" s="235" t="n"/>
    </row>
    <row r="29395" ht="14.25" customHeight="1" s="192">
      <c r="W29395" s="235" t="n"/>
      <c r="X29395" s="235" t="n"/>
    </row>
    <row r="29396" ht="14.25" customHeight="1" s="192">
      <c r="W29396" s="239" t="n"/>
      <c r="X29396" s="239" t="n"/>
    </row>
    <row r="29397" ht="14.25" customHeight="1" s="192">
      <c r="W29397" s="235" t="n"/>
      <c r="X29397" s="235" t="n"/>
    </row>
    <row r="29398" ht="14.25" customHeight="1" s="192">
      <c r="W29398" s="239" t="n"/>
      <c r="X29398" s="239" t="n"/>
    </row>
    <row r="29400" ht="14.25" customHeight="1" s="192">
      <c r="W29400" s="235" t="n"/>
      <c r="X29400" s="235" t="n"/>
    </row>
    <row r="29401" ht="15" customHeight="1" s="192" thickBot="1">
      <c r="W29401" s="239" t="n"/>
      <c r="X29401" s="239" t="n"/>
    </row>
    <row r="29402" ht="15" customHeight="1" s="192" thickBot="1">
      <c r="W29402" s="45" t="n"/>
      <c r="X29402" s="45" t="n"/>
    </row>
    <row r="29403" ht="14.25" customHeight="1" s="192">
      <c r="W29403" s="228" t="n"/>
      <c r="X29403" s="228" t="n"/>
    </row>
    <row r="29404" ht="14.25" customHeight="1" s="192">
      <c r="W29404" s="228" t="n"/>
      <c r="X29404" s="228" t="n"/>
    </row>
    <row r="29405" ht="14.25" customHeight="1" s="192">
      <c r="W29405" s="231" t="n"/>
      <c r="X29405" s="231" t="n"/>
    </row>
    <row r="29406" ht="14.25" customHeight="1" s="192">
      <c r="W29406" s="33" t="n"/>
      <c r="X29406" s="33" t="n"/>
    </row>
    <row r="29407" ht="14.25" customHeight="1" s="192">
      <c r="W29407" s="231" t="n"/>
      <c r="X29407" s="231" t="n"/>
    </row>
    <row r="29408" ht="14.25" customHeight="1" s="192">
      <c r="W29408" s="33" t="n"/>
      <c r="X29408" s="33" t="n"/>
    </row>
    <row r="29410" ht="14.25" customHeight="1" s="192">
      <c r="W29410" s="231" t="n"/>
      <c r="X29410" s="231" t="n"/>
    </row>
    <row r="29411" ht="14.25" customHeight="1" s="192">
      <c r="W29411" s="235" t="n"/>
      <c r="X29411" s="235" t="n"/>
    </row>
    <row r="29412" ht="14.25" customHeight="1" s="192">
      <c r="W29412" s="228" t="n"/>
      <c r="X29412" s="228" t="n"/>
    </row>
    <row r="29413" ht="14.25" customHeight="1" s="192">
      <c r="W29413" s="235" t="n"/>
      <c r="X29413" s="235" t="n"/>
    </row>
    <row r="29414" ht="14.25" customHeight="1" s="192">
      <c r="W29414" s="235" t="n"/>
      <c r="X29414" s="235" t="n"/>
    </row>
    <row r="29415" ht="14.25" customHeight="1" s="192">
      <c r="W29415" s="235" t="n"/>
      <c r="X29415" s="235" t="n"/>
    </row>
    <row r="29416" ht="14.25" customHeight="1" s="192">
      <c r="W29416" s="239" t="n"/>
      <c r="X29416" s="239" t="n"/>
    </row>
    <row r="29417" ht="14.25" customHeight="1" s="192">
      <c r="W29417" s="239" t="n"/>
      <c r="X29417" s="239" t="n"/>
    </row>
    <row r="29418" ht="14.25" customHeight="1" s="192">
      <c r="W29418" s="239" t="n"/>
      <c r="X29418" s="239" t="n"/>
    </row>
    <row r="29419" ht="14.25" customHeight="1" s="192">
      <c r="W29419" s="235" t="n"/>
      <c r="X29419" s="235" t="n"/>
    </row>
    <row r="29420" ht="14.25" customHeight="1" s="192">
      <c r="W29420" s="235" t="n"/>
      <c r="X29420" s="235" t="n"/>
    </row>
    <row r="29421" ht="14.25" customHeight="1" s="192">
      <c r="W29421" s="235" t="n"/>
      <c r="X29421" s="235" t="n"/>
    </row>
    <row r="29422" ht="14.25" customHeight="1" s="192">
      <c r="W29422" s="239" t="n"/>
      <c r="X29422" s="239" t="n"/>
    </row>
    <row r="29423" ht="14.25" customHeight="1" s="192">
      <c r="W29423" s="239" t="n"/>
      <c r="X29423" s="239" t="n"/>
    </row>
    <row r="29424" ht="14.25" customHeight="1" s="192">
      <c r="W29424" s="235" t="n"/>
      <c r="X29424" s="235" t="n"/>
    </row>
    <row r="29425" ht="14.25" customHeight="1" s="192">
      <c r="W29425" s="235" t="n"/>
      <c r="X29425" s="235" t="n"/>
    </row>
    <row r="29426" ht="14.25" customHeight="1" s="192">
      <c r="W29426" s="239" t="n"/>
      <c r="X29426" s="239" t="n"/>
    </row>
    <row r="29427" ht="14.25" customHeight="1" s="192">
      <c r="W29427" s="235" t="n"/>
      <c r="X29427" s="235" t="n"/>
    </row>
    <row r="29428" ht="14.25" customHeight="1" s="192">
      <c r="W29428" s="239" t="n"/>
      <c r="X29428" s="239" t="n"/>
    </row>
    <row r="29430" ht="14.25" customHeight="1" s="192">
      <c r="W29430" s="235" t="n"/>
      <c r="X29430" s="235" t="n"/>
    </row>
    <row r="29431" ht="15" customHeight="1" s="192" thickBot="1">
      <c r="W29431" s="239" t="n"/>
      <c r="X29431" s="239" t="n"/>
    </row>
    <row r="29432" ht="15" customHeight="1" s="192" thickBot="1">
      <c r="W29432" s="45" t="n"/>
      <c r="X29432" s="45" t="n"/>
    </row>
    <row r="29433" ht="14.25" customHeight="1" s="192">
      <c r="W29433" s="228" t="n"/>
      <c r="X29433" s="228" t="n"/>
    </row>
    <row r="29434" ht="14.25" customHeight="1" s="192">
      <c r="W29434" s="228" t="n"/>
      <c r="X29434" s="228" t="n"/>
    </row>
    <row r="29435" ht="14.25" customHeight="1" s="192">
      <c r="W29435" s="231" t="n"/>
      <c r="X29435" s="231" t="n"/>
    </row>
    <row r="29436" ht="14.25" customHeight="1" s="192">
      <c r="W29436" s="33" t="n"/>
      <c r="X29436" s="33" t="n"/>
    </row>
    <row r="29437" ht="14.25" customHeight="1" s="192">
      <c r="W29437" s="231" t="n"/>
      <c r="X29437" s="231" t="n"/>
    </row>
    <row r="29438" ht="14.25" customHeight="1" s="192">
      <c r="W29438" s="33" t="n"/>
      <c r="X29438" s="33" t="n"/>
    </row>
    <row r="29440" ht="14.25" customHeight="1" s="192">
      <c r="W29440" s="231" t="n"/>
      <c r="X29440" s="231" t="n"/>
    </row>
    <row r="29441" ht="14.25" customHeight="1" s="192">
      <c r="W29441" s="235" t="n"/>
      <c r="X29441" s="235" t="n"/>
    </row>
    <row r="29442" ht="14.25" customHeight="1" s="192">
      <c r="W29442" s="228" t="n"/>
      <c r="X29442" s="228" t="n"/>
    </row>
    <row r="29443" ht="14.25" customHeight="1" s="192">
      <c r="W29443" s="235" t="n"/>
      <c r="X29443" s="235" t="n"/>
    </row>
    <row r="29444" ht="14.25" customHeight="1" s="192">
      <c r="W29444" s="235" t="n"/>
      <c r="X29444" s="235" t="n"/>
    </row>
    <row r="29445" ht="14.25" customHeight="1" s="192">
      <c r="W29445" s="235" t="n"/>
      <c r="X29445" s="235" t="n"/>
    </row>
    <row r="29446" ht="14.25" customHeight="1" s="192">
      <c r="W29446" s="239" t="n"/>
      <c r="X29446" s="239" t="n"/>
    </row>
    <row r="29447" ht="14.25" customHeight="1" s="192">
      <c r="W29447" s="239" t="n"/>
      <c r="X29447" s="239" t="n"/>
    </row>
    <row r="29448" ht="14.25" customHeight="1" s="192">
      <c r="W29448" s="239" t="n"/>
      <c r="X29448" s="239" t="n"/>
    </row>
    <row r="29449" ht="14.25" customHeight="1" s="192">
      <c r="W29449" s="235" t="n"/>
      <c r="X29449" s="235" t="n"/>
    </row>
    <row r="29450" ht="14.25" customHeight="1" s="192">
      <c r="W29450" s="235" t="n"/>
      <c r="X29450" s="235" t="n"/>
    </row>
    <row r="29451" ht="14.25" customHeight="1" s="192">
      <c r="W29451" s="235" t="n"/>
      <c r="X29451" s="235" t="n"/>
    </row>
    <row r="29452" ht="14.25" customHeight="1" s="192">
      <c r="W29452" s="239" t="n"/>
      <c r="X29452" s="239" t="n"/>
    </row>
    <row r="29453" ht="14.25" customHeight="1" s="192">
      <c r="W29453" s="239" t="n"/>
      <c r="X29453" s="239" t="n"/>
    </row>
    <row r="29454" ht="14.25" customHeight="1" s="192">
      <c r="W29454" s="235" t="n"/>
      <c r="X29454" s="235" t="n"/>
    </row>
    <row r="29455" ht="14.25" customHeight="1" s="192">
      <c r="W29455" s="235" t="n"/>
      <c r="X29455" s="235" t="n"/>
    </row>
    <row r="29456" ht="14.25" customHeight="1" s="192">
      <c r="W29456" s="239" t="n"/>
      <c r="X29456" s="239" t="n"/>
    </row>
    <row r="29457" ht="14.25" customHeight="1" s="192">
      <c r="W29457" s="235" t="n"/>
      <c r="X29457" s="235" t="n"/>
    </row>
    <row r="29458" ht="14.25" customHeight="1" s="192">
      <c r="W29458" s="239" t="n"/>
      <c r="X29458" s="239" t="n"/>
    </row>
    <row r="29460" ht="14.25" customHeight="1" s="192">
      <c r="W29460" s="235" t="n"/>
      <c r="X29460" s="235" t="n"/>
    </row>
    <row r="29461" ht="15" customHeight="1" s="192" thickBot="1">
      <c r="W29461" s="239" t="n"/>
      <c r="X29461" s="239" t="n"/>
    </row>
    <row r="29462" ht="15" customHeight="1" s="192" thickBot="1">
      <c r="W29462" s="45" t="n"/>
      <c r="X29462" s="45" t="n"/>
    </row>
    <row r="29463" ht="14.25" customHeight="1" s="192">
      <c r="W29463" s="228" t="n"/>
      <c r="X29463" s="228" t="n"/>
    </row>
    <row r="29464" ht="14.25" customHeight="1" s="192">
      <c r="W29464" s="228" t="n"/>
      <c r="X29464" s="228" t="n"/>
    </row>
    <row r="29465" ht="14.25" customHeight="1" s="192">
      <c r="W29465" s="231" t="n"/>
      <c r="X29465" s="231" t="n"/>
    </row>
    <row r="29466" ht="14.25" customHeight="1" s="192">
      <c r="W29466" s="33" t="n"/>
      <c r="X29466" s="33" t="n"/>
    </row>
    <row r="29467" ht="14.25" customHeight="1" s="192">
      <c r="W29467" s="231" t="n"/>
      <c r="X29467" s="231" t="n"/>
    </row>
    <row r="29468" ht="14.25" customHeight="1" s="192">
      <c r="W29468" s="33" t="n"/>
      <c r="X29468" s="33" t="n"/>
    </row>
    <row r="29470" ht="14.25" customHeight="1" s="192">
      <c r="W29470" s="231" t="n"/>
      <c r="X29470" s="231" t="n"/>
    </row>
    <row r="29471" ht="14.25" customHeight="1" s="192">
      <c r="W29471" s="235" t="n"/>
      <c r="X29471" s="235" t="n"/>
    </row>
    <row r="29472" ht="14.25" customHeight="1" s="192">
      <c r="W29472" s="228" t="n"/>
      <c r="X29472" s="228" t="n"/>
    </row>
    <row r="29473" ht="14.25" customHeight="1" s="192">
      <c r="W29473" s="235" t="n"/>
      <c r="X29473" s="235" t="n"/>
    </row>
    <row r="29474" ht="14.25" customHeight="1" s="192">
      <c r="W29474" s="235" t="n"/>
      <c r="X29474" s="235" t="n"/>
    </row>
    <row r="29475" ht="14.25" customHeight="1" s="192">
      <c r="W29475" s="235" t="n"/>
      <c r="X29475" s="235" t="n"/>
    </row>
    <row r="29476" ht="14.25" customHeight="1" s="192">
      <c r="W29476" s="239" t="n"/>
      <c r="X29476" s="239" t="n"/>
    </row>
    <row r="29477" ht="14.25" customHeight="1" s="192">
      <c r="W29477" s="239" t="n"/>
      <c r="X29477" s="239" t="n"/>
    </row>
    <row r="29478" ht="14.25" customHeight="1" s="192">
      <c r="W29478" s="239" t="n"/>
      <c r="X29478" s="239" t="n"/>
    </row>
    <row r="29479" ht="14.25" customHeight="1" s="192">
      <c r="W29479" s="235" t="n"/>
      <c r="X29479" s="235" t="n"/>
    </row>
    <row r="29480" ht="14.25" customHeight="1" s="192">
      <c r="W29480" s="235" t="n"/>
      <c r="X29480" s="235" t="n"/>
    </row>
    <row r="29481" ht="14.25" customHeight="1" s="192">
      <c r="W29481" s="235" t="n"/>
      <c r="X29481" s="235" t="n"/>
    </row>
    <row r="29482" ht="14.25" customHeight="1" s="192">
      <c r="W29482" s="239" t="n"/>
      <c r="X29482" s="239" t="n"/>
    </row>
    <row r="29483" ht="14.25" customHeight="1" s="192">
      <c r="W29483" s="239" t="n"/>
      <c r="X29483" s="239" t="n"/>
    </row>
    <row r="29484" ht="14.25" customHeight="1" s="192">
      <c r="W29484" s="235" t="n"/>
      <c r="X29484" s="235" t="n"/>
    </row>
    <row r="29485" ht="14.25" customHeight="1" s="192">
      <c r="W29485" s="235" t="n"/>
      <c r="X29485" s="235" t="n"/>
    </row>
    <row r="29486" ht="14.25" customHeight="1" s="192">
      <c r="W29486" s="239" t="n"/>
      <c r="X29486" s="239" t="n"/>
    </row>
    <row r="29487" ht="14.25" customHeight="1" s="192">
      <c r="W29487" s="235" t="n"/>
      <c r="X29487" s="235" t="n"/>
    </row>
    <row r="29488" ht="14.25" customHeight="1" s="192">
      <c r="W29488" s="239" t="n"/>
      <c r="X29488" s="239" t="n"/>
    </row>
    <row r="29490" ht="14.25" customHeight="1" s="192">
      <c r="W29490" s="235" t="n"/>
      <c r="X29490" s="235" t="n"/>
    </row>
    <row r="29491" ht="15" customHeight="1" s="192" thickBot="1">
      <c r="W29491" s="239" t="n"/>
      <c r="X29491" s="239" t="n"/>
    </row>
    <row r="29492" ht="15" customHeight="1" s="192" thickBot="1">
      <c r="W29492" s="45" t="n"/>
      <c r="X29492" s="45" t="n"/>
    </row>
    <row r="29493" ht="14.25" customHeight="1" s="192">
      <c r="W29493" s="228" t="n"/>
      <c r="X29493" s="228" t="n"/>
    </row>
    <row r="29494" ht="14.25" customHeight="1" s="192">
      <c r="W29494" s="228" t="n"/>
      <c r="X29494" s="228" t="n"/>
    </row>
    <row r="29495" ht="14.25" customHeight="1" s="192">
      <c r="W29495" s="231" t="n"/>
      <c r="X29495" s="231" t="n"/>
    </row>
    <row r="29496" ht="14.25" customHeight="1" s="192">
      <c r="W29496" s="33" t="n"/>
      <c r="X29496" s="33" t="n"/>
    </row>
    <row r="29497" ht="14.25" customHeight="1" s="192">
      <c r="W29497" s="231" t="n"/>
      <c r="X29497" s="231" t="n"/>
    </row>
    <row r="29498" ht="14.25" customHeight="1" s="192">
      <c r="W29498" s="33" t="n"/>
      <c r="X29498" s="33" t="n"/>
    </row>
    <row r="29500" ht="14.25" customHeight="1" s="192">
      <c r="W29500" s="231" t="n"/>
      <c r="X29500" s="231" t="n"/>
    </row>
    <row r="29501" ht="14.25" customHeight="1" s="192">
      <c r="W29501" s="235" t="n"/>
      <c r="X29501" s="235" t="n"/>
    </row>
    <row r="29502" ht="14.25" customHeight="1" s="192">
      <c r="W29502" s="228" t="n"/>
      <c r="X29502" s="228" t="n"/>
    </row>
    <row r="29503" ht="14.25" customHeight="1" s="192">
      <c r="W29503" s="235" t="n"/>
      <c r="X29503" s="235" t="n"/>
    </row>
    <row r="29504" ht="14.25" customHeight="1" s="192">
      <c r="W29504" s="235" t="n"/>
      <c r="X29504" s="235" t="n"/>
    </row>
    <row r="29505" ht="14.25" customHeight="1" s="192">
      <c r="W29505" s="235" t="n"/>
      <c r="X29505" s="235" t="n"/>
    </row>
    <row r="29506" ht="14.25" customHeight="1" s="192">
      <c r="W29506" s="239" t="n"/>
      <c r="X29506" s="239" t="n"/>
    </row>
    <row r="29507" ht="14.25" customHeight="1" s="192">
      <c r="W29507" s="239" t="n"/>
      <c r="X29507" s="239" t="n"/>
    </row>
    <row r="29508" ht="14.25" customHeight="1" s="192">
      <c r="W29508" s="239" t="n"/>
      <c r="X29508" s="239" t="n"/>
    </row>
    <row r="29509" ht="14.25" customHeight="1" s="192">
      <c r="W29509" s="235" t="n"/>
      <c r="X29509" s="235" t="n"/>
    </row>
    <row r="29510" ht="14.25" customHeight="1" s="192">
      <c r="W29510" s="235" t="n"/>
      <c r="X29510" s="235" t="n"/>
    </row>
    <row r="29511" ht="14.25" customHeight="1" s="192">
      <c r="W29511" s="235" t="n"/>
      <c r="X29511" s="235" t="n"/>
    </row>
    <row r="29512" ht="14.25" customHeight="1" s="192">
      <c r="W29512" s="239" t="n"/>
      <c r="X29512" s="239" t="n"/>
    </row>
    <row r="29513" ht="14.25" customHeight="1" s="192">
      <c r="W29513" s="239" t="n"/>
      <c r="X29513" s="239" t="n"/>
    </row>
    <row r="29514" ht="14.25" customHeight="1" s="192">
      <c r="W29514" s="235" t="n"/>
      <c r="X29514" s="235" t="n"/>
    </row>
    <row r="29515" ht="14.25" customHeight="1" s="192">
      <c r="W29515" s="235" t="n"/>
      <c r="X29515" s="235" t="n"/>
    </row>
    <row r="29516" ht="14.25" customHeight="1" s="192">
      <c r="W29516" s="239" t="n"/>
      <c r="X29516" s="239" t="n"/>
    </row>
    <row r="29517" ht="14.25" customHeight="1" s="192">
      <c r="W29517" s="235" t="n"/>
      <c r="X29517" s="235" t="n"/>
    </row>
    <row r="29518" ht="14.25" customHeight="1" s="192">
      <c r="W29518" s="239" t="n"/>
      <c r="X29518" s="239" t="n"/>
    </row>
    <row r="29520" ht="14.25" customHeight="1" s="192">
      <c r="W29520" s="235" t="n"/>
      <c r="X29520" s="235" t="n"/>
    </row>
    <row r="29521" ht="15" customHeight="1" s="192" thickBot="1">
      <c r="W29521" s="239" t="n"/>
      <c r="X29521" s="239" t="n"/>
    </row>
    <row r="29522" ht="15" customHeight="1" s="192" thickBot="1">
      <c r="W29522" s="45" t="n"/>
      <c r="X29522" s="45" t="n"/>
    </row>
    <row r="29523" ht="14.25" customHeight="1" s="192">
      <c r="W29523" s="228" t="n"/>
      <c r="X29523" s="228" t="n"/>
    </row>
    <row r="29524" ht="14.25" customHeight="1" s="192">
      <c r="W29524" s="228" t="n"/>
      <c r="X29524" s="228" t="n"/>
    </row>
    <row r="29525" ht="14.25" customHeight="1" s="192">
      <c r="W29525" s="231" t="n"/>
      <c r="X29525" s="231" t="n"/>
    </row>
    <row r="29526" ht="14.25" customHeight="1" s="192">
      <c r="W29526" s="33" t="n"/>
      <c r="X29526" s="33" t="n"/>
    </row>
    <row r="29527" ht="14.25" customHeight="1" s="192">
      <c r="W29527" s="231" t="n"/>
      <c r="X29527" s="231" t="n"/>
    </row>
    <row r="29528" ht="14.25" customHeight="1" s="192">
      <c r="W29528" s="33" t="n"/>
      <c r="X29528" s="33" t="n"/>
    </row>
    <row r="29530" ht="14.25" customHeight="1" s="192">
      <c r="W29530" s="231" t="n"/>
      <c r="X29530" s="231" t="n"/>
    </row>
    <row r="29531" ht="14.25" customHeight="1" s="192">
      <c r="W29531" s="235" t="n"/>
      <c r="X29531" s="235" t="n"/>
    </row>
    <row r="29532" ht="14.25" customHeight="1" s="192">
      <c r="W29532" s="228" t="n"/>
      <c r="X29532" s="228" t="n"/>
    </row>
    <row r="29533" ht="14.25" customHeight="1" s="192">
      <c r="W29533" s="235" t="n"/>
      <c r="X29533" s="235" t="n"/>
    </row>
    <row r="29534" ht="14.25" customHeight="1" s="192">
      <c r="W29534" s="235" t="n"/>
      <c r="X29534" s="235" t="n"/>
    </row>
    <row r="29535" ht="14.25" customHeight="1" s="192">
      <c r="W29535" s="235" t="n"/>
      <c r="X29535" s="235" t="n"/>
    </row>
    <row r="29536" ht="14.25" customHeight="1" s="192">
      <c r="W29536" s="239" t="n"/>
      <c r="X29536" s="239" t="n"/>
    </row>
    <row r="29537" ht="14.25" customHeight="1" s="192">
      <c r="W29537" s="239" t="n"/>
      <c r="X29537" s="239" t="n"/>
    </row>
    <row r="29538" ht="14.25" customHeight="1" s="192">
      <c r="W29538" s="239" t="n"/>
      <c r="X29538" s="239" t="n"/>
    </row>
    <row r="29539" ht="14.25" customHeight="1" s="192">
      <c r="W29539" s="235" t="n"/>
      <c r="X29539" s="235" t="n"/>
    </row>
    <row r="29540" ht="14.25" customHeight="1" s="192">
      <c r="W29540" s="235" t="n"/>
      <c r="X29540" s="235" t="n"/>
    </row>
    <row r="29541" ht="14.25" customHeight="1" s="192">
      <c r="W29541" s="235" t="n"/>
      <c r="X29541" s="235" t="n"/>
    </row>
    <row r="29542" ht="14.25" customHeight="1" s="192">
      <c r="W29542" s="239" t="n"/>
      <c r="X29542" s="239" t="n"/>
    </row>
    <row r="29543" ht="14.25" customHeight="1" s="192">
      <c r="W29543" s="239" t="n"/>
      <c r="X29543" s="239" t="n"/>
    </row>
    <row r="29544" ht="14.25" customHeight="1" s="192">
      <c r="W29544" s="235" t="n"/>
      <c r="X29544" s="235" t="n"/>
    </row>
    <row r="29545" ht="14.25" customHeight="1" s="192">
      <c r="W29545" s="235" t="n"/>
      <c r="X29545" s="235" t="n"/>
    </row>
    <row r="29546" ht="14.25" customHeight="1" s="192">
      <c r="W29546" s="239" t="n"/>
      <c r="X29546" s="239" t="n"/>
    </row>
    <row r="29547" ht="14.25" customHeight="1" s="192">
      <c r="W29547" s="235" t="n"/>
      <c r="X29547" s="235" t="n"/>
    </row>
    <row r="29548" ht="14.25" customHeight="1" s="192">
      <c r="W29548" s="239" t="n"/>
      <c r="X29548" s="239" t="n"/>
    </row>
    <row r="29550" ht="14.25" customHeight="1" s="192">
      <c r="W29550" s="235" t="n"/>
      <c r="X29550" s="235" t="n"/>
    </row>
    <row r="29551" ht="15" customHeight="1" s="192" thickBot="1">
      <c r="W29551" s="239" t="n"/>
      <c r="X29551" s="239" t="n"/>
    </row>
    <row r="29552" ht="15" customHeight="1" s="192" thickBot="1">
      <c r="W29552" s="45" t="n"/>
      <c r="X29552" s="45" t="n"/>
    </row>
    <row r="29553" ht="14.25" customHeight="1" s="192">
      <c r="W29553" s="228" t="n"/>
      <c r="X29553" s="228" t="n"/>
    </row>
    <row r="29554" ht="14.25" customHeight="1" s="192">
      <c r="W29554" s="228" t="n"/>
      <c r="X29554" s="228" t="n"/>
    </row>
    <row r="29555" ht="14.25" customHeight="1" s="192">
      <c r="W29555" s="231" t="n"/>
      <c r="X29555" s="231" t="n"/>
    </row>
    <row r="29556" ht="14.25" customHeight="1" s="192">
      <c r="W29556" s="33" t="n"/>
      <c r="X29556" s="33" t="n"/>
    </row>
    <row r="29557" ht="14.25" customHeight="1" s="192">
      <c r="W29557" s="231" t="n"/>
      <c r="X29557" s="231" t="n"/>
    </row>
    <row r="29558" ht="14.25" customHeight="1" s="192">
      <c r="W29558" s="33" t="n"/>
      <c r="X29558" s="33" t="n"/>
    </row>
    <row r="29560" ht="14.25" customHeight="1" s="192">
      <c r="W29560" s="231" t="n"/>
      <c r="X29560" s="231" t="n"/>
    </row>
    <row r="29561" ht="14.25" customHeight="1" s="192">
      <c r="W29561" s="235" t="n"/>
      <c r="X29561" s="235" t="n"/>
    </row>
    <row r="29562" ht="14.25" customHeight="1" s="192">
      <c r="W29562" s="228" t="n"/>
      <c r="X29562" s="228" t="n"/>
    </row>
    <row r="29563" ht="14.25" customHeight="1" s="192">
      <c r="W29563" s="235" t="n"/>
      <c r="X29563" s="235" t="n"/>
    </row>
    <row r="29564" ht="14.25" customHeight="1" s="192">
      <c r="W29564" s="235" t="n"/>
      <c r="X29564" s="235" t="n"/>
    </row>
    <row r="29565" ht="14.25" customHeight="1" s="192">
      <c r="W29565" s="235" t="n"/>
      <c r="X29565" s="235" t="n"/>
    </row>
    <row r="29566" ht="14.25" customHeight="1" s="192">
      <c r="W29566" s="239" t="n"/>
      <c r="X29566" s="239" t="n"/>
    </row>
    <row r="29567" ht="14.25" customHeight="1" s="192">
      <c r="W29567" s="239" t="n"/>
      <c r="X29567" s="239" t="n"/>
    </row>
    <row r="29568" ht="14.25" customHeight="1" s="192">
      <c r="W29568" s="239" t="n"/>
      <c r="X29568" s="239" t="n"/>
    </row>
    <row r="29569" ht="14.25" customHeight="1" s="192">
      <c r="W29569" s="235" t="n"/>
      <c r="X29569" s="235" t="n"/>
    </row>
    <row r="29570" ht="14.25" customHeight="1" s="192">
      <c r="W29570" s="235" t="n"/>
      <c r="X29570" s="235" t="n"/>
    </row>
    <row r="29571" ht="14.25" customHeight="1" s="192">
      <c r="W29571" s="235" t="n"/>
      <c r="X29571" s="235" t="n"/>
    </row>
    <row r="29572" ht="14.25" customHeight="1" s="192">
      <c r="W29572" s="239" t="n"/>
      <c r="X29572" s="239" t="n"/>
    </row>
    <row r="29573" ht="14.25" customHeight="1" s="192">
      <c r="W29573" s="239" t="n"/>
      <c r="X29573" s="239" t="n"/>
    </row>
    <row r="29574" ht="14.25" customHeight="1" s="192">
      <c r="W29574" s="235" t="n"/>
      <c r="X29574" s="235" t="n"/>
    </row>
    <row r="29575" ht="14.25" customHeight="1" s="192">
      <c r="W29575" s="235" t="n"/>
      <c r="X29575" s="235" t="n"/>
    </row>
    <row r="29576" ht="14.25" customHeight="1" s="192">
      <c r="W29576" s="239" t="n"/>
      <c r="X29576" s="239" t="n"/>
    </row>
    <row r="29577" ht="14.25" customHeight="1" s="192">
      <c r="W29577" s="235" t="n"/>
      <c r="X29577" s="235" t="n"/>
    </row>
    <row r="29578" ht="14.25" customHeight="1" s="192">
      <c r="W29578" s="239" t="n"/>
      <c r="X29578" s="239" t="n"/>
    </row>
    <row r="29580" ht="14.25" customHeight="1" s="192">
      <c r="W29580" s="235" t="n"/>
      <c r="X29580" s="235" t="n"/>
    </row>
    <row r="29581" ht="15" customHeight="1" s="192" thickBot="1">
      <c r="W29581" s="239" t="n"/>
      <c r="X29581" s="239" t="n"/>
    </row>
    <row r="29582" ht="15" customHeight="1" s="192" thickBot="1">
      <c r="W29582" s="45" t="n"/>
      <c r="X29582" s="45" t="n"/>
    </row>
    <row r="29583" ht="14.25" customHeight="1" s="192">
      <c r="W29583" s="228" t="n"/>
      <c r="X29583" s="228" t="n"/>
    </row>
    <row r="29584" ht="14.25" customHeight="1" s="192">
      <c r="W29584" s="228" t="n"/>
      <c r="X29584" s="228" t="n"/>
    </row>
    <row r="29585" ht="14.25" customHeight="1" s="192">
      <c r="W29585" s="231" t="n"/>
      <c r="X29585" s="231" t="n"/>
    </row>
    <row r="29586" ht="14.25" customHeight="1" s="192">
      <c r="W29586" s="33" t="n"/>
      <c r="X29586" s="33" t="n"/>
    </row>
    <row r="29587" ht="14.25" customHeight="1" s="192">
      <c r="W29587" s="231" t="n"/>
      <c r="X29587" s="231" t="n"/>
    </row>
    <row r="29588" ht="14.25" customHeight="1" s="192">
      <c r="W29588" s="33" t="n"/>
      <c r="X29588" s="33" t="n"/>
    </row>
    <row r="29590" ht="14.25" customHeight="1" s="192">
      <c r="W29590" s="231" t="n"/>
      <c r="X29590" s="231" t="n"/>
    </row>
    <row r="29591" ht="14.25" customHeight="1" s="192">
      <c r="W29591" s="235" t="n"/>
      <c r="X29591" s="235" t="n"/>
    </row>
    <row r="29592" ht="14.25" customHeight="1" s="192">
      <c r="W29592" s="228" t="n"/>
      <c r="X29592" s="228" t="n"/>
    </row>
    <row r="29593" ht="14.25" customHeight="1" s="192">
      <c r="W29593" s="235" t="n"/>
      <c r="X29593" s="235" t="n"/>
    </row>
    <row r="29594" ht="14.25" customHeight="1" s="192">
      <c r="W29594" s="235" t="n"/>
      <c r="X29594" s="235" t="n"/>
    </row>
    <row r="29595" ht="14.25" customHeight="1" s="192">
      <c r="W29595" s="235" t="n"/>
      <c r="X29595" s="235" t="n"/>
    </row>
    <row r="29596" ht="14.25" customHeight="1" s="192">
      <c r="W29596" s="239" t="n"/>
      <c r="X29596" s="239" t="n"/>
    </row>
    <row r="29597" ht="14.25" customHeight="1" s="192">
      <c r="W29597" s="239" t="n"/>
      <c r="X29597" s="239" t="n"/>
    </row>
    <row r="29598" ht="14.25" customHeight="1" s="192">
      <c r="W29598" s="239" t="n"/>
      <c r="X29598" s="239" t="n"/>
    </row>
    <row r="29599" ht="14.25" customHeight="1" s="192">
      <c r="W29599" s="235" t="n"/>
      <c r="X29599" s="235" t="n"/>
    </row>
    <row r="29600" ht="14.25" customHeight="1" s="192">
      <c r="W29600" s="235" t="n"/>
      <c r="X29600" s="235" t="n"/>
    </row>
    <row r="29601" ht="14.25" customHeight="1" s="192">
      <c r="W29601" s="235" t="n"/>
      <c r="X29601" s="235" t="n"/>
    </row>
    <row r="29602" ht="14.25" customHeight="1" s="192">
      <c r="W29602" s="239" t="n"/>
      <c r="X29602" s="239" t="n"/>
    </row>
    <row r="29603" ht="14.25" customHeight="1" s="192">
      <c r="W29603" s="239" t="n"/>
      <c r="X29603" s="239" t="n"/>
    </row>
    <row r="29604" ht="14.25" customHeight="1" s="192">
      <c r="W29604" s="235" t="n"/>
      <c r="X29604" s="235" t="n"/>
    </row>
    <row r="29605" ht="14.25" customHeight="1" s="192">
      <c r="W29605" s="235" t="n"/>
      <c r="X29605" s="235" t="n"/>
    </row>
    <row r="29606" ht="14.25" customHeight="1" s="192">
      <c r="W29606" s="239" t="n"/>
      <c r="X29606" s="239" t="n"/>
    </row>
    <row r="29607" ht="14.25" customHeight="1" s="192">
      <c r="W29607" s="235" t="n"/>
      <c r="X29607" s="235" t="n"/>
    </row>
    <row r="29608" ht="14.25" customHeight="1" s="192">
      <c r="W29608" s="239" t="n"/>
      <c r="X29608" s="239" t="n"/>
    </row>
    <row r="29610" ht="14.25" customHeight="1" s="192">
      <c r="W29610" s="235" t="n"/>
      <c r="X29610" s="235" t="n"/>
    </row>
    <row r="29611" ht="15" customHeight="1" s="192" thickBot="1">
      <c r="W29611" s="239" t="n"/>
      <c r="X29611" s="239" t="n"/>
    </row>
    <row r="29612" ht="15" customHeight="1" s="192" thickBot="1">
      <c r="W29612" s="45" t="n"/>
      <c r="X29612" s="45" t="n"/>
    </row>
    <row r="29613" ht="14.25" customHeight="1" s="192">
      <c r="W29613" s="228" t="n"/>
      <c r="X29613" s="228" t="n"/>
    </row>
    <row r="29614" ht="14.25" customHeight="1" s="192">
      <c r="W29614" s="228" t="n"/>
      <c r="X29614" s="228" t="n"/>
    </row>
    <row r="29615" ht="14.25" customHeight="1" s="192">
      <c r="W29615" s="231" t="n"/>
      <c r="X29615" s="231" t="n"/>
    </row>
    <row r="29616" ht="14.25" customHeight="1" s="192">
      <c r="W29616" s="33" t="n"/>
      <c r="X29616" s="33" t="n"/>
    </row>
    <row r="29617" ht="14.25" customHeight="1" s="192">
      <c r="W29617" s="231" t="n"/>
      <c r="X29617" s="231" t="n"/>
    </row>
    <row r="29618" ht="14.25" customHeight="1" s="192">
      <c r="W29618" s="33" t="n"/>
      <c r="X29618" s="33" t="n"/>
    </row>
    <row r="29620" ht="14.25" customHeight="1" s="192">
      <c r="W29620" s="231" t="n"/>
      <c r="X29620" s="231" t="n"/>
    </row>
    <row r="29621" ht="14.25" customHeight="1" s="192">
      <c r="W29621" s="235" t="n"/>
      <c r="X29621" s="235" t="n"/>
    </row>
    <row r="29622" ht="14.25" customHeight="1" s="192">
      <c r="W29622" s="228" t="n"/>
      <c r="X29622" s="228" t="n"/>
    </row>
    <row r="29623" ht="14.25" customHeight="1" s="192">
      <c r="W29623" s="235" t="n"/>
      <c r="X29623" s="235" t="n"/>
    </row>
    <row r="29624" ht="14.25" customHeight="1" s="192">
      <c r="W29624" s="235" t="n"/>
      <c r="X29624" s="235" t="n"/>
    </row>
    <row r="29625" ht="14.25" customHeight="1" s="192">
      <c r="W29625" s="235" t="n"/>
      <c r="X29625" s="235" t="n"/>
    </row>
    <row r="29626" ht="14.25" customHeight="1" s="192">
      <c r="W29626" s="239" t="n"/>
      <c r="X29626" s="239" t="n"/>
    </row>
    <row r="29627" ht="14.25" customHeight="1" s="192">
      <c r="W29627" s="239" t="n"/>
      <c r="X29627" s="239" t="n"/>
    </row>
    <row r="29628" ht="14.25" customHeight="1" s="192">
      <c r="W29628" s="239" t="n"/>
      <c r="X29628" s="239" t="n"/>
    </row>
    <row r="29629" ht="14.25" customHeight="1" s="192">
      <c r="W29629" s="235" t="n"/>
      <c r="X29629" s="235" t="n"/>
    </row>
    <row r="29630" ht="14.25" customHeight="1" s="192">
      <c r="W29630" s="235" t="n"/>
      <c r="X29630" s="235" t="n"/>
    </row>
    <row r="29631" ht="14.25" customHeight="1" s="192">
      <c r="W29631" s="235" t="n"/>
      <c r="X29631" s="235" t="n"/>
    </row>
    <row r="29632" ht="14.25" customHeight="1" s="192">
      <c r="W29632" s="239" t="n"/>
      <c r="X29632" s="239" t="n"/>
    </row>
    <row r="29633" ht="14.25" customHeight="1" s="192">
      <c r="W29633" s="239" t="n"/>
      <c r="X29633" s="239" t="n"/>
    </row>
    <row r="29634" ht="14.25" customHeight="1" s="192">
      <c r="W29634" s="235" t="n"/>
      <c r="X29634" s="235" t="n"/>
    </row>
    <row r="29635" ht="14.25" customHeight="1" s="192">
      <c r="W29635" s="235" t="n"/>
      <c r="X29635" s="235" t="n"/>
    </row>
    <row r="29636" ht="14.25" customHeight="1" s="192">
      <c r="W29636" s="239" t="n"/>
      <c r="X29636" s="239" t="n"/>
    </row>
    <row r="29637" ht="14.25" customHeight="1" s="192">
      <c r="W29637" s="235" t="n"/>
      <c r="X29637" s="235" t="n"/>
    </row>
    <row r="29638" ht="14.25" customHeight="1" s="192">
      <c r="W29638" s="239" t="n"/>
      <c r="X29638" s="239" t="n"/>
    </row>
    <row r="29640" ht="14.25" customHeight="1" s="192">
      <c r="W29640" s="235" t="n"/>
      <c r="X29640" s="235" t="n"/>
    </row>
    <row r="29641" ht="15" customHeight="1" s="192" thickBot="1">
      <c r="W29641" s="239" t="n"/>
      <c r="X29641" s="239" t="n"/>
    </row>
    <row r="29642" ht="15" customHeight="1" s="192" thickBot="1">
      <c r="W29642" s="45" t="n"/>
      <c r="X29642" s="45" t="n"/>
    </row>
    <row r="29643" ht="14.25" customHeight="1" s="192">
      <c r="W29643" s="228" t="n"/>
      <c r="X29643" s="228" t="n"/>
    </row>
    <row r="29644" ht="14.25" customHeight="1" s="192">
      <c r="W29644" s="228" t="n"/>
      <c r="X29644" s="228" t="n"/>
    </row>
    <row r="29645" ht="14.25" customHeight="1" s="192">
      <c r="W29645" s="231" t="n"/>
      <c r="X29645" s="231" t="n"/>
    </row>
    <row r="29646" ht="14.25" customHeight="1" s="192">
      <c r="W29646" s="33" t="n"/>
      <c r="X29646" s="33" t="n"/>
    </row>
    <row r="29647" ht="14.25" customHeight="1" s="192">
      <c r="W29647" s="231" t="n"/>
      <c r="X29647" s="231" t="n"/>
    </row>
    <row r="29648" ht="14.25" customHeight="1" s="192">
      <c r="W29648" s="33" t="n"/>
      <c r="X29648" s="33" t="n"/>
    </row>
    <row r="29650" ht="14.25" customHeight="1" s="192">
      <c r="W29650" s="231" t="n"/>
      <c r="X29650" s="231" t="n"/>
    </row>
    <row r="29651" ht="14.25" customHeight="1" s="192">
      <c r="W29651" s="235" t="n"/>
      <c r="X29651" s="235" t="n"/>
    </row>
    <row r="29652" ht="14.25" customHeight="1" s="192">
      <c r="W29652" s="228" t="n"/>
      <c r="X29652" s="228" t="n"/>
    </row>
    <row r="29653" ht="14.25" customHeight="1" s="192">
      <c r="W29653" s="235" t="n"/>
      <c r="X29653" s="235" t="n"/>
    </row>
    <row r="29654" ht="14.25" customHeight="1" s="192">
      <c r="W29654" s="235" t="n"/>
      <c r="X29654" s="235" t="n"/>
    </row>
    <row r="29655" ht="14.25" customHeight="1" s="192">
      <c r="W29655" s="235" t="n"/>
      <c r="X29655" s="235" t="n"/>
    </row>
    <row r="29656" ht="14.25" customHeight="1" s="192">
      <c r="W29656" s="239" t="n"/>
      <c r="X29656" s="239" t="n"/>
    </row>
    <row r="29657" ht="14.25" customHeight="1" s="192">
      <c r="W29657" s="239" t="n"/>
      <c r="X29657" s="239" t="n"/>
    </row>
    <row r="29658" ht="14.25" customHeight="1" s="192">
      <c r="W29658" s="239" t="n"/>
      <c r="X29658" s="239" t="n"/>
    </row>
    <row r="29659" ht="14.25" customHeight="1" s="192">
      <c r="W29659" s="235" t="n"/>
      <c r="X29659" s="235" t="n"/>
    </row>
    <row r="29660" ht="14.25" customHeight="1" s="192">
      <c r="W29660" s="235" t="n"/>
      <c r="X29660" s="235" t="n"/>
    </row>
    <row r="29661" ht="14.25" customHeight="1" s="192">
      <c r="W29661" s="235" t="n"/>
      <c r="X29661" s="235" t="n"/>
    </row>
    <row r="29662" ht="14.25" customHeight="1" s="192">
      <c r="W29662" s="239" t="n"/>
      <c r="X29662" s="239" t="n"/>
    </row>
    <row r="29663" ht="14.25" customHeight="1" s="192">
      <c r="W29663" s="239" t="n"/>
      <c r="X29663" s="239" t="n"/>
    </row>
    <row r="29664" ht="14.25" customHeight="1" s="192">
      <c r="W29664" s="235" t="n"/>
      <c r="X29664" s="235" t="n"/>
    </row>
    <row r="29665" ht="14.25" customHeight="1" s="192">
      <c r="W29665" s="235" t="n"/>
      <c r="X29665" s="235" t="n"/>
    </row>
    <row r="29666" ht="14.25" customHeight="1" s="192">
      <c r="W29666" s="239" t="n"/>
      <c r="X29666" s="239" t="n"/>
    </row>
    <row r="29667" ht="14.25" customHeight="1" s="192">
      <c r="W29667" s="235" t="n"/>
      <c r="X29667" s="235" t="n"/>
    </row>
    <row r="29668" ht="14.25" customHeight="1" s="192">
      <c r="W29668" s="239" t="n"/>
      <c r="X29668" s="239" t="n"/>
    </row>
    <row r="29670" ht="14.25" customHeight="1" s="192">
      <c r="W29670" s="235" t="n"/>
      <c r="X29670" s="235" t="n"/>
    </row>
    <row r="29671" ht="15" customHeight="1" s="192" thickBot="1">
      <c r="W29671" s="239" t="n"/>
      <c r="X29671" s="239" t="n"/>
    </row>
    <row r="29672" ht="15" customHeight="1" s="192" thickBot="1">
      <c r="W29672" s="45" t="n"/>
      <c r="X29672" s="45" t="n"/>
    </row>
    <row r="29673" ht="14.25" customHeight="1" s="192">
      <c r="W29673" s="228" t="n"/>
      <c r="X29673" s="228" t="n"/>
    </row>
    <row r="29674" ht="14.25" customHeight="1" s="192">
      <c r="W29674" s="228" t="n"/>
      <c r="X29674" s="228" t="n"/>
    </row>
    <row r="29675" ht="14.25" customHeight="1" s="192">
      <c r="W29675" s="231" t="n"/>
      <c r="X29675" s="231" t="n"/>
    </row>
    <row r="29676" ht="14.25" customHeight="1" s="192">
      <c r="W29676" s="33" t="n"/>
      <c r="X29676" s="33" t="n"/>
    </row>
    <row r="29677" ht="14.25" customHeight="1" s="192">
      <c r="W29677" s="231" t="n"/>
      <c r="X29677" s="231" t="n"/>
    </row>
    <row r="29678" ht="14.25" customHeight="1" s="192">
      <c r="W29678" s="33" t="n"/>
      <c r="X29678" s="33" t="n"/>
    </row>
    <row r="29680" ht="14.25" customHeight="1" s="192">
      <c r="W29680" s="231" t="n"/>
      <c r="X29680" s="231" t="n"/>
    </row>
    <row r="29681" ht="14.25" customHeight="1" s="192">
      <c r="W29681" s="235" t="n"/>
      <c r="X29681" s="235" t="n"/>
    </row>
    <row r="29682" ht="14.25" customHeight="1" s="192">
      <c r="W29682" s="228" t="n"/>
      <c r="X29682" s="228" t="n"/>
    </row>
    <row r="29683" ht="14.25" customHeight="1" s="192">
      <c r="W29683" s="235" t="n"/>
      <c r="X29683" s="235" t="n"/>
    </row>
    <row r="29684" ht="14.25" customHeight="1" s="192">
      <c r="W29684" s="235" t="n"/>
      <c r="X29684" s="235" t="n"/>
    </row>
    <row r="29685" ht="14.25" customHeight="1" s="192">
      <c r="W29685" s="235" t="n"/>
      <c r="X29685" s="235" t="n"/>
    </row>
    <row r="29686" ht="14.25" customHeight="1" s="192">
      <c r="W29686" s="239" t="n"/>
      <c r="X29686" s="239" t="n"/>
    </row>
    <row r="29687" ht="14.25" customHeight="1" s="192">
      <c r="W29687" s="239" t="n"/>
      <c r="X29687" s="239" t="n"/>
    </row>
    <row r="29688" ht="14.25" customHeight="1" s="192">
      <c r="W29688" s="239" t="n"/>
      <c r="X29688" s="239" t="n"/>
    </row>
    <row r="29689" ht="14.25" customHeight="1" s="192">
      <c r="W29689" s="235" t="n"/>
      <c r="X29689" s="235" t="n"/>
    </row>
    <row r="29690" ht="14.25" customHeight="1" s="192">
      <c r="W29690" s="235" t="n"/>
      <c r="X29690" s="235" t="n"/>
    </row>
    <row r="29691" ht="14.25" customHeight="1" s="192">
      <c r="W29691" s="235" t="n"/>
      <c r="X29691" s="235" t="n"/>
    </row>
    <row r="29692" ht="14.25" customHeight="1" s="192">
      <c r="W29692" s="239" t="n"/>
      <c r="X29692" s="239" t="n"/>
    </row>
    <row r="29693" ht="14.25" customHeight="1" s="192">
      <c r="W29693" s="239" t="n"/>
      <c r="X29693" s="239" t="n"/>
    </row>
    <row r="29694" ht="14.25" customHeight="1" s="192">
      <c r="W29694" s="235" t="n"/>
      <c r="X29694" s="235" t="n"/>
    </row>
    <row r="29695" ht="14.25" customHeight="1" s="192">
      <c r="W29695" s="235" t="n"/>
      <c r="X29695" s="235" t="n"/>
    </row>
    <row r="29696" ht="14.25" customHeight="1" s="192">
      <c r="W29696" s="239" t="n"/>
      <c r="X29696" s="239" t="n"/>
    </row>
    <row r="29697" ht="14.25" customHeight="1" s="192">
      <c r="W29697" s="235" t="n"/>
      <c r="X29697" s="235" t="n"/>
    </row>
    <row r="29698" ht="14.25" customHeight="1" s="192">
      <c r="W29698" s="239" t="n"/>
      <c r="X29698" s="239" t="n"/>
    </row>
    <row r="29700" ht="14.25" customHeight="1" s="192">
      <c r="W29700" s="235" t="n"/>
      <c r="X29700" s="235" t="n"/>
    </row>
    <row r="29701" ht="15" customHeight="1" s="192" thickBot="1">
      <c r="W29701" s="239" t="n"/>
      <c r="X29701" s="239" t="n"/>
    </row>
    <row r="29702" ht="15" customHeight="1" s="192" thickBot="1">
      <c r="W29702" s="45" t="n"/>
      <c r="X29702" s="45" t="n"/>
    </row>
    <row r="29703" ht="14.25" customHeight="1" s="192">
      <c r="W29703" s="228" t="n"/>
      <c r="X29703" s="228" t="n"/>
    </row>
    <row r="29704" ht="14.25" customHeight="1" s="192">
      <c r="W29704" s="228" t="n"/>
      <c r="X29704" s="228" t="n"/>
    </row>
    <row r="29705" ht="14.25" customHeight="1" s="192">
      <c r="W29705" s="231" t="n"/>
      <c r="X29705" s="231" t="n"/>
    </row>
    <row r="29706" ht="14.25" customHeight="1" s="192">
      <c r="W29706" s="33" t="n"/>
      <c r="X29706" s="33" t="n"/>
    </row>
    <row r="29707" ht="14.25" customHeight="1" s="192">
      <c r="W29707" s="231" t="n"/>
      <c r="X29707" s="231" t="n"/>
    </row>
    <row r="29708" ht="14.25" customHeight="1" s="192">
      <c r="W29708" s="33" t="n"/>
      <c r="X29708" s="33" t="n"/>
    </row>
    <row r="29710" ht="14.25" customHeight="1" s="192">
      <c r="W29710" s="231" t="n"/>
      <c r="X29710" s="231" t="n"/>
    </row>
    <row r="29711" ht="14.25" customHeight="1" s="192">
      <c r="W29711" s="235" t="n"/>
      <c r="X29711" s="235" t="n"/>
    </row>
    <row r="29712" ht="14.25" customHeight="1" s="192">
      <c r="W29712" s="228" t="n"/>
      <c r="X29712" s="228" t="n"/>
    </row>
    <row r="29713" ht="14.25" customHeight="1" s="192">
      <c r="W29713" s="235" t="n"/>
      <c r="X29713" s="235" t="n"/>
    </row>
    <row r="29714" ht="14.25" customHeight="1" s="192">
      <c r="W29714" s="235" t="n"/>
      <c r="X29714" s="235" t="n"/>
    </row>
    <row r="29715" ht="14.25" customHeight="1" s="192">
      <c r="W29715" s="235" t="n"/>
      <c r="X29715" s="235" t="n"/>
    </row>
    <row r="29716" ht="14.25" customHeight="1" s="192">
      <c r="W29716" s="239" t="n"/>
      <c r="X29716" s="239" t="n"/>
    </row>
    <row r="29717" ht="14.25" customHeight="1" s="192">
      <c r="W29717" s="239" t="n"/>
      <c r="X29717" s="239" t="n"/>
    </row>
    <row r="29718" ht="14.25" customHeight="1" s="192">
      <c r="W29718" s="239" t="n"/>
      <c r="X29718" s="239" t="n"/>
    </row>
    <row r="29719" ht="14.25" customHeight="1" s="192">
      <c r="W29719" s="235" t="n"/>
      <c r="X29719" s="235" t="n"/>
    </row>
    <row r="29720" ht="14.25" customHeight="1" s="192">
      <c r="W29720" s="235" t="n"/>
      <c r="X29720" s="235" t="n"/>
    </row>
    <row r="29721" ht="14.25" customHeight="1" s="192">
      <c r="W29721" s="235" t="n"/>
      <c r="X29721" s="235" t="n"/>
    </row>
    <row r="29722" ht="14.25" customHeight="1" s="192">
      <c r="W29722" s="239" t="n"/>
      <c r="X29722" s="239" t="n"/>
    </row>
    <row r="29723" ht="14.25" customHeight="1" s="192">
      <c r="W29723" s="239" t="n"/>
      <c r="X29723" s="239" t="n"/>
    </row>
    <row r="29724" ht="14.25" customHeight="1" s="192">
      <c r="W29724" s="235" t="n"/>
      <c r="X29724" s="235" t="n"/>
    </row>
    <row r="29725" ht="14.25" customHeight="1" s="192">
      <c r="W29725" s="235" t="n"/>
      <c r="X29725" s="235" t="n"/>
    </row>
    <row r="29726" ht="14.25" customHeight="1" s="192">
      <c r="W29726" s="239" t="n"/>
      <c r="X29726" s="239" t="n"/>
    </row>
    <row r="29727" ht="14.25" customHeight="1" s="192">
      <c r="W29727" s="235" t="n"/>
      <c r="X29727" s="235" t="n"/>
    </row>
    <row r="29728" ht="14.25" customHeight="1" s="192">
      <c r="W29728" s="239" t="n"/>
      <c r="X29728" s="239" t="n"/>
    </row>
    <row r="29730" ht="14.25" customHeight="1" s="192">
      <c r="W29730" s="235" t="n"/>
      <c r="X29730" s="235" t="n"/>
    </row>
    <row r="29731" ht="15" customHeight="1" s="192" thickBot="1">
      <c r="W29731" s="239" t="n"/>
      <c r="X29731" s="239" t="n"/>
    </row>
    <row r="29732" ht="15" customHeight="1" s="192" thickBot="1">
      <c r="W29732" s="45" t="n"/>
      <c r="X29732" s="45" t="n"/>
    </row>
    <row r="29733" ht="14.25" customHeight="1" s="192">
      <c r="W29733" s="228" t="n"/>
      <c r="X29733" s="228" t="n"/>
    </row>
    <row r="29734" ht="14.25" customHeight="1" s="192">
      <c r="W29734" s="228" t="n"/>
      <c r="X29734" s="228" t="n"/>
    </row>
    <row r="29735" ht="14.25" customHeight="1" s="192">
      <c r="W29735" s="231" t="n"/>
      <c r="X29735" s="231" t="n"/>
    </row>
    <row r="29736" ht="14.25" customHeight="1" s="192">
      <c r="W29736" s="33" t="n"/>
      <c r="X29736" s="33" t="n"/>
    </row>
    <row r="29737" ht="14.25" customHeight="1" s="192">
      <c r="W29737" s="231" t="n"/>
      <c r="X29737" s="231" t="n"/>
    </row>
    <row r="29738" ht="14.25" customHeight="1" s="192">
      <c r="W29738" s="33" t="n"/>
      <c r="X29738" s="33" t="n"/>
    </row>
    <row r="29740" ht="14.25" customHeight="1" s="192">
      <c r="W29740" s="231" t="n"/>
      <c r="X29740" s="231" t="n"/>
    </row>
    <row r="29741" ht="14.25" customHeight="1" s="192">
      <c r="W29741" s="235" t="n"/>
      <c r="X29741" s="235" t="n"/>
    </row>
    <row r="29742" ht="14.25" customHeight="1" s="192">
      <c r="W29742" s="228" t="n"/>
      <c r="X29742" s="228" t="n"/>
    </row>
    <row r="29743" ht="14.25" customHeight="1" s="192">
      <c r="W29743" s="235" t="n"/>
      <c r="X29743" s="235" t="n"/>
    </row>
    <row r="29744" ht="14.25" customHeight="1" s="192">
      <c r="W29744" s="235" t="n"/>
      <c r="X29744" s="235" t="n"/>
    </row>
    <row r="29745" ht="14.25" customHeight="1" s="192">
      <c r="W29745" s="235" t="n"/>
      <c r="X29745" s="235" t="n"/>
    </row>
    <row r="29746" ht="14.25" customHeight="1" s="192">
      <c r="W29746" s="239" t="n"/>
      <c r="X29746" s="239" t="n"/>
    </row>
    <row r="29747" ht="14.25" customHeight="1" s="192">
      <c r="W29747" s="239" t="n"/>
      <c r="X29747" s="239" t="n"/>
    </row>
    <row r="29748" ht="14.25" customHeight="1" s="192">
      <c r="W29748" s="239" t="n"/>
      <c r="X29748" s="239" t="n"/>
    </row>
    <row r="29749" ht="14.25" customHeight="1" s="192">
      <c r="W29749" s="235" t="n"/>
      <c r="X29749" s="235" t="n"/>
    </row>
    <row r="29750" ht="14.25" customHeight="1" s="192">
      <c r="W29750" s="235" t="n"/>
      <c r="X29750" s="235" t="n"/>
    </row>
    <row r="29751" ht="14.25" customHeight="1" s="192">
      <c r="W29751" s="235" t="n"/>
      <c r="X29751" s="235" t="n"/>
    </row>
    <row r="29752" ht="14.25" customHeight="1" s="192">
      <c r="W29752" s="239" t="n"/>
      <c r="X29752" s="239" t="n"/>
    </row>
    <row r="29753" ht="14.25" customHeight="1" s="192">
      <c r="W29753" s="239" t="n"/>
      <c r="X29753" s="239" t="n"/>
    </row>
    <row r="29754" ht="14.25" customHeight="1" s="192">
      <c r="W29754" s="235" t="n"/>
      <c r="X29754" s="235" t="n"/>
    </row>
    <row r="29755" ht="14.25" customHeight="1" s="192">
      <c r="W29755" s="235" t="n"/>
      <c r="X29755" s="235" t="n"/>
    </row>
    <row r="29756" ht="14.25" customHeight="1" s="192">
      <c r="W29756" s="239" t="n"/>
      <c r="X29756" s="239" t="n"/>
    </row>
    <row r="29757" ht="14.25" customHeight="1" s="192">
      <c r="W29757" s="235" t="n"/>
      <c r="X29757" s="235" t="n"/>
    </row>
    <row r="29758" ht="14.25" customHeight="1" s="192">
      <c r="W29758" s="239" t="n"/>
      <c r="X29758" s="239" t="n"/>
    </row>
    <row r="29760" ht="14.25" customHeight="1" s="192">
      <c r="W29760" s="235" t="n"/>
      <c r="X29760" s="235" t="n"/>
    </row>
    <row r="29761" ht="15" customHeight="1" s="192" thickBot="1">
      <c r="W29761" s="239" t="n"/>
      <c r="X29761" s="239" t="n"/>
    </row>
    <row r="29762" ht="15" customHeight="1" s="192" thickBot="1">
      <c r="W29762" s="45" t="n"/>
      <c r="X29762" s="45" t="n"/>
    </row>
    <row r="29763" ht="14.25" customHeight="1" s="192">
      <c r="W29763" s="228" t="n"/>
      <c r="X29763" s="228" t="n"/>
    </row>
    <row r="29764" ht="14.25" customHeight="1" s="192">
      <c r="W29764" s="228" t="n"/>
      <c r="X29764" s="228" t="n"/>
    </row>
    <row r="29765" ht="14.25" customHeight="1" s="192">
      <c r="W29765" s="231" t="n"/>
      <c r="X29765" s="231" t="n"/>
    </row>
    <row r="29766" ht="14.25" customHeight="1" s="192">
      <c r="W29766" s="33" t="n"/>
      <c r="X29766" s="33" t="n"/>
    </row>
    <row r="29767" ht="14.25" customHeight="1" s="192">
      <c r="W29767" s="231" t="n"/>
      <c r="X29767" s="231" t="n"/>
    </row>
    <row r="29768" ht="14.25" customHeight="1" s="192">
      <c r="W29768" s="33" t="n"/>
      <c r="X29768" s="33" t="n"/>
    </row>
    <row r="29770" ht="14.25" customHeight="1" s="192">
      <c r="W29770" s="231" t="n"/>
      <c r="X29770" s="231" t="n"/>
    </row>
    <row r="29771" ht="14.25" customHeight="1" s="192">
      <c r="W29771" s="235" t="n"/>
      <c r="X29771" s="235" t="n"/>
    </row>
    <row r="29772" ht="14.25" customHeight="1" s="192">
      <c r="W29772" s="228" t="n"/>
      <c r="X29772" s="228" t="n"/>
    </row>
    <row r="29773" ht="14.25" customHeight="1" s="192">
      <c r="W29773" s="235" t="n"/>
      <c r="X29773" s="235" t="n"/>
    </row>
    <row r="29774" ht="14.25" customHeight="1" s="192">
      <c r="W29774" s="235" t="n"/>
      <c r="X29774" s="235" t="n"/>
    </row>
    <row r="29775" ht="14.25" customHeight="1" s="192">
      <c r="W29775" s="235" t="n"/>
      <c r="X29775" s="235" t="n"/>
    </row>
    <row r="29776" ht="14.25" customHeight="1" s="192">
      <c r="W29776" s="239" t="n"/>
      <c r="X29776" s="239" t="n"/>
    </row>
    <row r="29777" ht="14.25" customHeight="1" s="192">
      <c r="W29777" s="239" t="n"/>
      <c r="X29777" s="239" t="n"/>
    </row>
    <row r="29778" ht="14.25" customHeight="1" s="192">
      <c r="W29778" s="239" t="n"/>
      <c r="X29778" s="239" t="n"/>
    </row>
    <row r="29779" ht="14.25" customHeight="1" s="192">
      <c r="W29779" s="235" t="n"/>
      <c r="X29779" s="235" t="n"/>
    </row>
    <row r="29780" ht="14.25" customHeight="1" s="192">
      <c r="W29780" s="235" t="n"/>
      <c r="X29780" s="235" t="n"/>
    </row>
    <row r="29781" ht="14.25" customHeight="1" s="192">
      <c r="W29781" s="235" t="n"/>
      <c r="X29781" s="235" t="n"/>
    </row>
    <row r="29782" ht="14.25" customHeight="1" s="192">
      <c r="W29782" s="239" t="n"/>
      <c r="X29782" s="239" t="n"/>
    </row>
    <row r="29783" ht="14.25" customHeight="1" s="192">
      <c r="W29783" s="239" t="n"/>
      <c r="X29783" s="239" t="n"/>
    </row>
    <row r="29784" ht="14.25" customHeight="1" s="192">
      <c r="W29784" s="235" t="n"/>
      <c r="X29784" s="235" t="n"/>
    </row>
    <row r="29785" ht="14.25" customHeight="1" s="192">
      <c r="W29785" s="235" t="n"/>
      <c r="X29785" s="235" t="n"/>
    </row>
    <row r="29786" ht="14.25" customHeight="1" s="192">
      <c r="W29786" s="239" t="n"/>
      <c r="X29786" s="239" t="n"/>
    </row>
    <row r="29787" ht="14.25" customHeight="1" s="192">
      <c r="W29787" s="235" t="n"/>
      <c r="X29787" s="235" t="n"/>
    </row>
    <row r="29788" ht="14.25" customHeight="1" s="192">
      <c r="W29788" s="239" t="n"/>
      <c r="X29788" s="239" t="n"/>
    </row>
    <row r="29790" ht="14.25" customHeight="1" s="192">
      <c r="W29790" s="235" t="n"/>
      <c r="X29790" s="235" t="n"/>
    </row>
    <row r="29791" ht="15" customHeight="1" s="192" thickBot="1">
      <c r="W29791" s="239" t="n"/>
      <c r="X29791" s="239" t="n"/>
    </row>
    <row r="29792" ht="15" customHeight="1" s="192" thickBot="1">
      <c r="W29792" s="45" t="n"/>
      <c r="X29792" s="45" t="n"/>
    </row>
    <row r="29793" ht="14.25" customHeight="1" s="192">
      <c r="W29793" s="228" t="n"/>
      <c r="X29793" s="228" t="n"/>
    </row>
    <row r="29794" ht="14.25" customHeight="1" s="192">
      <c r="W29794" s="228" t="n"/>
      <c r="X29794" s="228" t="n"/>
    </row>
    <row r="29795" ht="14.25" customHeight="1" s="192">
      <c r="W29795" s="231" t="n"/>
      <c r="X29795" s="231" t="n"/>
    </row>
    <row r="29796" ht="14.25" customHeight="1" s="192">
      <c r="W29796" s="33" t="n"/>
      <c r="X29796" s="33" t="n"/>
    </row>
    <row r="29797" ht="14.25" customHeight="1" s="192">
      <c r="W29797" s="231" t="n"/>
      <c r="X29797" s="231" t="n"/>
    </row>
    <row r="29798" ht="14.25" customHeight="1" s="192">
      <c r="W29798" s="33" t="n"/>
      <c r="X29798" s="33" t="n"/>
    </row>
    <row r="29800" ht="14.25" customHeight="1" s="192">
      <c r="W29800" s="231" t="n"/>
      <c r="X29800" s="231" t="n"/>
    </row>
    <row r="29801" ht="14.25" customHeight="1" s="192">
      <c r="W29801" s="235" t="n"/>
      <c r="X29801" s="235" t="n"/>
    </row>
    <row r="29802" ht="14.25" customHeight="1" s="192">
      <c r="W29802" s="228" t="n"/>
      <c r="X29802" s="228" t="n"/>
    </row>
    <row r="29803" ht="14.25" customHeight="1" s="192">
      <c r="W29803" s="235" t="n"/>
      <c r="X29803" s="235" t="n"/>
    </row>
    <row r="29804" ht="14.25" customHeight="1" s="192">
      <c r="W29804" s="235" t="n"/>
      <c r="X29804" s="235" t="n"/>
    </row>
    <row r="29805" ht="14.25" customHeight="1" s="192">
      <c r="W29805" s="235" t="n"/>
      <c r="X29805" s="235" t="n"/>
    </row>
    <row r="29806" ht="14.25" customHeight="1" s="192">
      <c r="W29806" s="239" t="n"/>
      <c r="X29806" s="239" t="n"/>
    </row>
    <row r="29807" ht="14.25" customHeight="1" s="192">
      <c r="W29807" s="239" t="n"/>
      <c r="X29807" s="239" t="n"/>
    </row>
    <row r="29808" ht="14.25" customHeight="1" s="192">
      <c r="W29808" s="239" t="n"/>
      <c r="X29808" s="239" t="n"/>
    </row>
    <row r="29809" ht="14.25" customHeight="1" s="192">
      <c r="W29809" s="235" t="n"/>
      <c r="X29809" s="235" t="n"/>
    </row>
    <row r="29810" ht="14.25" customHeight="1" s="192">
      <c r="W29810" s="235" t="n"/>
      <c r="X29810" s="235" t="n"/>
    </row>
    <row r="29811" ht="14.25" customHeight="1" s="192">
      <c r="W29811" s="235" t="n"/>
      <c r="X29811" s="235" t="n"/>
    </row>
    <row r="29812" ht="14.25" customHeight="1" s="192">
      <c r="W29812" s="239" t="n"/>
      <c r="X29812" s="239" t="n"/>
    </row>
    <row r="29813" ht="14.25" customHeight="1" s="192">
      <c r="W29813" s="239" t="n"/>
      <c r="X29813" s="239" t="n"/>
    </row>
    <row r="29814" ht="14.25" customHeight="1" s="192">
      <c r="W29814" s="235" t="n"/>
      <c r="X29814" s="235" t="n"/>
    </row>
    <row r="29815" ht="14.25" customHeight="1" s="192">
      <c r="W29815" s="235" t="n"/>
      <c r="X29815" s="235" t="n"/>
    </row>
    <row r="29816" ht="14.25" customHeight="1" s="192">
      <c r="W29816" s="239" t="n"/>
      <c r="X29816" s="239" t="n"/>
    </row>
    <row r="29817" ht="14.25" customHeight="1" s="192">
      <c r="W29817" s="235" t="n"/>
      <c r="X29817" s="235" t="n"/>
    </row>
    <row r="29818" ht="14.25" customHeight="1" s="192">
      <c r="W29818" s="239" t="n"/>
      <c r="X29818" s="239" t="n"/>
    </row>
    <row r="29820" ht="14.25" customHeight="1" s="192">
      <c r="W29820" s="235" t="n"/>
      <c r="X29820" s="235" t="n"/>
    </row>
    <row r="29821" ht="15" customHeight="1" s="192" thickBot="1">
      <c r="W29821" s="239" t="n"/>
      <c r="X29821" s="239" t="n"/>
    </row>
    <row r="29822" ht="15" customHeight="1" s="192" thickBot="1">
      <c r="W29822" s="45" t="n"/>
      <c r="X29822" s="45" t="n"/>
    </row>
    <row r="29823" ht="14.25" customHeight="1" s="192">
      <c r="W29823" s="228" t="n"/>
      <c r="X29823" s="228" t="n"/>
    </row>
    <row r="29824" ht="14.25" customHeight="1" s="192">
      <c r="W29824" s="228" t="n"/>
      <c r="X29824" s="228" t="n"/>
    </row>
    <row r="29825" ht="14.25" customHeight="1" s="192">
      <c r="W29825" s="231" t="n"/>
      <c r="X29825" s="231" t="n"/>
    </row>
    <row r="29826" ht="14.25" customHeight="1" s="192">
      <c r="W29826" s="33" t="n"/>
      <c r="X29826" s="33" t="n"/>
    </row>
    <row r="29827" ht="14.25" customHeight="1" s="192">
      <c r="W29827" s="231" t="n"/>
      <c r="X29827" s="231" t="n"/>
    </row>
    <row r="29828" ht="14.25" customHeight="1" s="192">
      <c r="W29828" s="33" t="n"/>
      <c r="X29828" s="33" t="n"/>
    </row>
    <row r="29830" ht="14.25" customHeight="1" s="192">
      <c r="W29830" s="231" t="n"/>
      <c r="X29830" s="231" t="n"/>
    </row>
    <row r="29831" ht="14.25" customHeight="1" s="192">
      <c r="W29831" s="235" t="n"/>
      <c r="X29831" s="235" t="n"/>
    </row>
    <row r="29832" ht="14.25" customHeight="1" s="192">
      <c r="W29832" s="228" t="n"/>
      <c r="X29832" s="228" t="n"/>
    </row>
    <row r="29833" ht="14.25" customHeight="1" s="192">
      <c r="W29833" s="235" t="n"/>
      <c r="X29833" s="235" t="n"/>
    </row>
    <row r="29834" ht="14.25" customHeight="1" s="192">
      <c r="W29834" s="235" t="n"/>
      <c r="X29834" s="235" t="n"/>
    </row>
    <row r="29835" ht="14.25" customHeight="1" s="192">
      <c r="W29835" s="235" t="n"/>
      <c r="X29835" s="235" t="n"/>
    </row>
    <row r="29836" ht="14.25" customHeight="1" s="192">
      <c r="W29836" s="239" t="n"/>
      <c r="X29836" s="239" t="n"/>
    </row>
    <row r="29837" ht="14.25" customHeight="1" s="192">
      <c r="W29837" s="239" t="n"/>
      <c r="X29837" s="239" t="n"/>
    </row>
    <row r="29838" ht="14.25" customHeight="1" s="192">
      <c r="W29838" s="239" t="n"/>
      <c r="X29838" s="239" t="n"/>
    </row>
    <row r="29839" ht="14.25" customHeight="1" s="192">
      <c r="W29839" s="235" t="n"/>
      <c r="X29839" s="235" t="n"/>
    </row>
    <row r="29840" ht="14.25" customHeight="1" s="192">
      <c r="W29840" s="235" t="n"/>
      <c r="X29840" s="235" t="n"/>
    </row>
    <row r="29841" ht="14.25" customHeight="1" s="192">
      <c r="W29841" s="235" t="n"/>
      <c r="X29841" s="235" t="n"/>
    </row>
    <row r="29842" ht="14.25" customHeight="1" s="192">
      <c r="W29842" s="239" t="n"/>
      <c r="X29842" s="239" t="n"/>
    </row>
    <row r="29843" ht="14.25" customHeight="1" s="192">
      <c r="W29843" s="239" t="n"/>
      <c r="X29843" s="239" t="n"/>
    </row>
    <row r="29844" ht="14.25" customHeight="1" s="192">
      <c r="W29844" s="235" t="n"/>
      <c r="X29844" s="235" t="n"/>
    </row>
    <row r="29845" ht="14.25" customHeight="1" s="192">
      <c r="W29845" s="235" t="n"/>
      <c r="X29845" s="235" t="n"/>
    </row>
    <row r="29846" ht="14.25" customHeight="1" s="192">
      <c r="W29846" s="239" t="n"/>
      <c r="X29846" s="239" t="n"/>
    </row>
    <row r="29847" ht="14.25" customHeight="1" s="192">
      <c r="W29847" s="235" t="n"/>
      <c r="X29847" s="235" t="n"/>
    </row>
    <row r="29848" ht="14.25" customHeight="1" s="192">
      <c r="W29848" s="239" t="n"/>
      <c r="X29848" s="239" t="n"/>
    </row>
    <row r="29850" ht="14.25" customHeight="1" s="192">
      <c r="W29850" s="235" t="n"/>
      <c r="X29850" s="235" t="n"/>
    </row>
    <row r="29851" ht="15" customHeight="1" s="192" thickBot="1">
      <c r="W29851" s="239" t="n"/>
      <c r="X29851" s="239" t="n"/>
    </row>
    <row r="29852" ht="15" customHeight="1" s="192" thickBot="1">
      <c r="W29852" s="45" t="n"/>
      <c r="X29852" s="45" t="n"/>
    </row>
    <row r="29853" ht="14.25" customHeight="1" s="192">
      <c r="W29853" s="228" t="n"/>
      <c r="X29853" s="228" t="n"/>
    </row>
    <row r="29854" ht="14.25" customHeight="1" s="192">
      <c r="W29854" s="228" t="n"/>
      <c r="X29854" s="228" t="n"/>
    </row>
    <row r="29855" ht="14.25" customHeight="1" s="192">
      <c r="W29855" s="231" t="n"/>
      <c r="X29855" s="231" t="n"/>
    </row>
    <row r="29856" ht="14.25" customHeight="1" s="192">
      <c r="W29856" s="33" t="n"/>
      <c r="X29856" s="33" t="n"/>
    </row>
    <row r="29857" ht="14.25" customHeight="1" s="192">
      <c r="W29857" s="231" t="n"/>
      <c r="X29857" s="231" t="n"/>
    </row>
    <row r="29858" ht="14.25" customHeight="1" s="192">
      <c r="W29858" s="33" t="n"/>
      <c r="X29858" s="33" t="n"/>
    </row>
    <row r="29860" ht="14.25" customHeight="1" s="192">
      <c r="W29860" s="231" t="n"/>
      <c r="X29860" s="231" t="n"/>
    </row>
    <row r="29861" ht="14.25" customHeight="1" s="192">
      <c r="W29861" s="235" t="n"/>
      <c r="X29861" s="235" t="n"/>
    </row>
    <row r="29862" ht="14.25" customHeight="1" s="192">
      <c r="W29862" s="228" t="n"/>
      <c r="X29862" s="228" t="n"/>
    </row>
    <row r="29863" ht="14.25" customHeight="1" s="192">
      <c r="W29863" s="235" t="n"/>
      <c r="X29863" s="235" t="n"/>
    </row>
    <row r="29864" ht="14.25" customHeight="1" s="192">
      <c r="W29864" s="235" t="n"/>
      <c r="X29864" s="235" t="n"/>
    </row>
    <row r="29865" ht="14.25" customHeight="1" s="192">
      <c r="W29865" s="235" t="n"/>
      <c r="X29865" s="235" t="n"/>
    </row>
    <row r="29866" ht="14.25" customHeight="1" s="192">
      <c r="W29866" s="239" t="n"/>
      <c r="X29866" s="239" t="n"/>
    </row>
    <row r="29867" ht="14.25" customHeight="1" s="192">
      <c r="W29867" s="239" t="n"/>
      <c r="X29867" s="239" t="n"/>
    </row>
    <row r="29868" ht="14.25" customHeight="1" s="192">
      <c r="W29868" s="239" t="n"/>
      <c r="X29868" s="239" t="n"/>
    </row>
    <row r="29869" ht="14.25" customHeight="1" s="192">
      <c r="W29869" s="235" t="n"/>
      <c r="X29869" s="235" t="n"/>
    </row>
    <row r="29870" ht="14.25" customHeight="1" s="192">
      <c r="W29870" s="235" t="n"/>
      <c r="X29870" s="235" t="n"/>
    </row>
    <row r="29871" ht="14.25" customHeight="1" s="192">
      <c r="W29871" s="235" t="n"/>
      <c r="X29871" s="235" t="n"/>
    </row>
    <row r="29872" ht="14.25" customHeight="1" s="192">
      <c r="W29872" s="239" t="n"/>
      <c r="X29872" s="239" t="n"/>
    </row>
    <row r="29873" ht="14.25" customHeight="1" s="192">
      <c r="W29873" s="239" t="n"/>
      <c r="X29873" s="239" t="n"/>
    </row>
    <row r="29874" ht="14.25" customHeight="1" s="192">
      <c r="W29874" s="235" t="n"/>
      <c r="X29874" s="235" t="n"/>
    </row>
    <row r="29875" ht="14.25" customHeight="1" s="192">
      <c r="W29875" s="235" t="n"/>
      <c r="X29875" s="235" t="n"/>
    </row>
    <row r="29876" ht="14.25" customHeight="1" s="192">
      <c r="W29876" s="239" t="n"/>
      <c r="X29876" s="239" t="n"/>
    </row>
    <row r="29877" ht="14.25" customHeight="1" s="192">
      <c r="W29877" s="235" t="n"/>
      <c r="X29877" s="235" t="n"/>
    </row>
    <row r="29878" ht="14.25" customHeight="1" s="192">
      <c r="W29878" s="239" t="n"/>
      <c r="X29878" s="239" t="n"/>
    </row>
    <row r="29880" ht="14.25" customHeight="1" s="192">
      <c r="W29880" s="235" t="n"/>
      <c r="X29880" s="235" t="n"/>
    </row>
    <row r="29881" ht="15" customHeight="1" s="192" thickBot="1">
      <c r="W29881" s="239" t="n"/>
      <c r="X29881" s="239" t="n"/>
    </row>
    <row r="29882" ht="15" customHeight="1" s="192" thickBot="1">
      <c r="W29882" s="45" t="n"/>
      <c r="X29882" s="45" t="n"/>
    </row>
    <row r="29883" ht="14.25" customHeight="1" s="192">
      <c r="W29883" s="228" t="n"/>
      <c r="X29883" s="228" t="n"/>
    </row>
    <row r="29884" ht="14.25" customHeight="1" s="192">
      <c r="W29884" s="228" t="n"/>
      <c r="X29884" s="228" t="n"/>
    </row>
    <row r="29885" ht="14.25" customHeight="1" s="192">
      <c r="W29885" s="231" t="n"/>
      <c r="X29885" s="231" t="n"/>
    </row>
    <row r="29886" ht="14.25" customHeight="1" s="192">
      <c r="W29886" s="33" t="n"/>
      <c r="X29886" s="33" t="n"/>
    </row>
    <row r="29887" ht="14.25" customHeight="1" s="192">
      <c r="W29887" s="231" t="n"/>
      <c r="X29887" s="231" t="n"/>
    </row>
    <row r="29888" ht="14.25" customHeight="1" s="192">
      <c r="W29888" s="33" t="n"/>
      <c r="X29888" s="33" t="n"/>
    </row>
    <row r="29890" ht="14.25" customHeight="1" s="192">
      <c r="W29890" s="231" t="n"/>
      <c r="X29890" s="231" t="n"/>
    </row>
    <row r="29891" ht="14.25" customHeight="1" s="192">
      <c r="W29891" s="235" t="n"/>
      <c r="X29891" s="235" t="n"/>
    </row>
    <row r="29892" ht="14.25" customHeight="1" s="192">
      <c r="W29892" s="228" t="n"/>
      <c r="X29892" s="228" t="n"/>
    </row>
    <row r="29893" ht="14.25" customHeight="1" s="192">
      <c r="W29893" s="235" t="n"/>
      <c r="X29893" s="235" t="n"/>
    </row>
    <row r="29894" ht="14.25" customHeight="1" s="192">
      <c r="W29894" s="235" t="n"/>
      <c r="X29894" s="235" t="n"/>
    </row>
    <row r="29895" ht="14.25" customHeight="1" s="192">
      <c r="W29895" s="235" t="n"/>
      <c r="X29895" s="235" t="n"/>
    </row>
    <row r="29896" ht="14.25" customHeight="1" s="192">
      <c r="W29896" s="239" t="n"/>
      <c r="X29896" s="239" t="n"/>
    </row>
    <row r="29897" ht="14.25" customHeight="1" s="192">
      <c r="W29897" s="239" t="n"/>
      <c r="X29897" s="239" t="n"/>
    </row>
    <row r="29898" ht="14.25" customHeight="1" s="192">
      <c r="W29898" s="239" t="n"/>
      <c r="X29898" s="239" t="n"/>
    </row>
    <row r="29899" ht="14.25" customHeight="1" s="192">
      <c r="W29899" s="235" t="n"/>
      <c r="X29899" s="235" t="n"/>
    </row>
    <row r="29900" ht="14.25" customHeight="1" s="192">
      <c r="W29900" s="235" t="n"/>
      <c r="X29900" s="235" t="n"/>
    </row>
    <row r="29901" ht="14.25" customHeight="1" s="192">
      <c r="W29901" s="235" t="n"/>
      <c r="X29901" s="235" t="n"/>
    </row>
    <row r="29902" ht="14.25" customHeight="1" s="192">
      <c r="W29902" s="239" t="n"/>
      <c r="X29902" s="239" t="n"/>
    </row>
    <row r="29903" ht="14.25" customHeight="1" s="192">
      <c r="W29903" s="239" t="n"/>
      <c r="X29903" s="239" t="n"/>
    </row>
    <row r="29904" ht="14.25" customHeight="1" s="192">
      <c r="W29904" s="235" t="n"/>
      <c r="X29904" s="235" t="n"/>
    </row>
    <row r="29905" ht="14.25" customHeight="1" s="192">
      <c r="W29905" s="235" t="n"/>
      <c r="X29905" s="235" t="n"/>
    </row>
    <row r="29906" ht="14.25" customHeight="1" s="192">
      <c r="W29906" s="239" t="n"/>
      <c r="X29906" s="239" t="n"/>
    </row>
    <row r="29907" ht="14.25" customHeight="1" s="192">
      <c r="W29907" s="235" t="n"/>
      <c r="X29907" s="235" t="n"/>
    </row>
    <row r="29908" ht="14.25" customHeight="1" s="192">
      <c r="W29908" s="239" t="n"/>
      <c r="X29908" s="239" t="n"/>
    </row>
    <row r="29910" ht="14.25" customHeight="1" s="192">
      <c r="W29910" s="235" t="n"/>
      <c r="X29910" s="235" t="n"/>
    </row>
    <row r="29911" ht="15" customHeight="1" s="192" thickBot="1">
      <c r="W29911" s="239" t="n"/>
      <c r="X29911" s="239" t="n"/>
    </row>
    <row r="29912" ht="15" customHeight="1" s="192" thickBot="1">
      <c r="W29912" s="45" t="n"/>
      <c r="X29912" s="45" t="n"/>
    </row>
    <row r="29913" ht="14.25" customHeight="1" s="192">
      <c r="W29913" s="228" t="n"/>
      <c r="X29913" s="228" t="n"/>
    </row>
    <row r="29914" ht="14.25" customHeight="1" s="192">
      <c r="W29914" s="228" t="n"/>
      <c r="X29914" s="228" t="n"/>
    </row>
    <row r="29915" ht="14.25" customHeight="1" s="192">
      <c r="W29915" s="231" t="n"/>
      <c r="X29915" s="231" t="n"/>
    </row>
    <row r="29916" ht="14.25" customHeight="1" s="192">
      <c r="W29916" s="33" t="n"/>
      <c r="X29916" s="33" t="n"/>
    </row>
    <row r="29917" ht="14.25" customHeight="1" s="192">
      <c r="W29917" s="231" t="n"/>
      <c r="X29917" s="231" t="n"/>
    </row>
    <row r="29918" ht="14.25" customHeight="1" s="192">
      <c r="W29918" s="33" t="n"/>
      <c r="X29918" s="33" t="n"/>
    </row>
    <row r="29920" ht="14.25" customHeight="1" s="192">
      <c r="W29920" s="231" t="n"/>
      <c r="X29920" s="231" t="n"/>
    </row>
    <row r="29921" ht="14.25" customHeight="1" s="192">
      <c r="W29921" s="235" t="n"/>
      <c r="X29921" s="235" t="n"/>
    </row>
    <row r="29922" ht="14.25" customHeight="1" s="192">
      <c r="W29922" s="228" t="n"/>
      <c r="X29922" s="228" t="n"/>
    </row>
    <row r="29923" ht="14.25" customHeight="1" s="192">
      <c r="W29923" s="235" t="n"/>
      <c r="X29923" s="235" t="n"/>
    </row>
    <row r="29924" ht="14.25" customHeight="1" s="192">
      <c r="W29924" s="235" t="n"/>
      <c r="X29924" s="235" t="n"/>
    </row>
    <row r="29925" ht="14.25" customHeight="1" s="192">
      <c r="W29925" s="235" t="n"/>
      <c r="X29925" s="235" t="n"/>
    </row>
    <row r="29926" ht="14.25" customHeight="1" s="192">
      <c r="W29926" s="239" t="n"/>
      <c r="X29926" s="239" t="n"/>
    </row>
    <row r="29927" ht="14.25" customHeight="1" s="192">
      <c r="W29927" s="239" t="n"/>
      <c r="X29927" s="239" t="n"/>
    </row>
    <row r="29928" ht="14.25" customHeight="1" s="192">
      <c r="W29928" s="239" t="n"/>
      <c r="X29928" s="239" t="n"/>
    </row>
    <row r="29929" ht="14.25" customHeight="1" s="192">
      <c r="W29929" s="235" t="n"/>
      <c r="X29929" s="235" t="n"/>
    </row>
    <row r="29930" ht="14.25" customHeight="1" s="192">
      <c r="W29930" s="235" t="n"/>
      <c r="X29930" s="235" t="n"/>
    </row>
    <row r="29931" ht="14.25" customHeight="1" s="192">
      <c r="W29931" s="235" t="n"/>
      <c r="X29931" s="235" t="n"/>
    </row>
    <row r="29932" ht="14.25" customHeight="1" s="192">
      <c r="W29932" s="239" t="n"/>
      <c r="X29932" s="239" t="n"/>
    </row>
    <row r="29933" ht="14.25" customHeight="1" s="192">
      <c r="W29933" s="239" t="n"/>
      <c r="X29933" s="239" t="n"/>
    </row>
    <row r="29934" ht="14.25" customHeight="1" s="192">
      <c r="W29934" s="235" t="n"/>
      <c r="X29934" s="235" t="n"/>
    </row>
    <row r="29935" ht="14.25" customHeight="1" s="192">
      <c r="W29935" s="235" t="n"/>
      <c r="X29935" s="235" t="n"/>
    </row>
    <row r="29936" ht="14.25" customHeight="1" s="192">
      <c r="W29936" s="239" t="n"/>
      <c r="X29936" s="239" t="n"/>
    </row>
    <row r="29937" ht="14.25" customHeight="1" s="192">
      <c r="W29937" s="235" t="n"/>
      <c r="X29937" s="235" t="n"/>
    </row>
    <row r="29938" ht="14.25" customHeight="1" s="192">
      <c r="W29938" s="239" t="n"/>
      <c r="X29938" s="239" t="n"/>
    </row>
    <row r="29940" ht="14.25" customHeight="1" s="192">
      <c r="W29940" s="235" t="n"/>
      <c r="X29940" s="235" t="n"/>
    </row>
    <row r="29941" ht="15" customHeight="1" s="192" thickBot="1">
      <c r="W29941" s="239" t="n"/>
      <c r="X29941" s="239" t="n"/>
    </row>
    <row r="29942" ht="15" customHeight="1" s="192" thickBot="1">
      <c r="W29942" s="45" t="n"/>
      <c r="X29942" s="45" t="n"/>
    </row>
    <row r="29943" ht="14.25" customHeight="1" s="192">
      <c r="W29943" s="228" t="n"/>
      <c r="X29943" s="228" t="n"/>
    </row>
    <row r="29944" ht="14.25" customHeight="1" s="192">
      <c r="W29944" s="228" t="n"/>
      <c r="X29944" s="228" t="n"/>
    </row>
    <row r="29945" ht="14.25" customHeight="1" s="192">
      <c r="W29945" s="231" t="n"/>
      <c r="X29945" s="231" t="n"/>
    </row>
    <row r="29946" ht="14.25" customHeight="1" s="192">
      <c r="W29946" s="33" t="n"/>
      <c r="X29946" s="33" t="n"/>
    </row>
    <row r="29947" ht="14.25" customHeight="1" s="192">
      <c r="W29947" s="231" t="n"/>
      <c r="X29947" s="231" t="n"/>
    </row>
    <row r="29948" ht="14.25" customHeight="1" s="192">
      <c r="W29948" s="33" t="n"/>
      <c r="X29948" s="33" t="n"/>
    </row>
    <row r="29950" ht="14.25" customHeight="1" s="192">
      <c r="W29950" s="231" t="n"/>
      <c r="X29950" s="231" t="n"/>
    </row>
    <row r="29951" ht="14.25" customHeight="1" s="192">
      <c r="W29951" s="235" t="n"/>
      <c r="X29951" s="235" t="n"/>
    </row>
    <row r="29952" ht="14.25" customHeight="1" s="192">
      <c r="W29952" s="228" t="n"/>
      <c r="X29952" s="228" t="n"/>
    </row>
    <row r="29953" ht="14.25" customHeight="1" s="192">
      <c r="W29953" s="235" t="n"/>
      <c r="X29953" s="235" t="n"/>
    </row>
    <row r="29954" ht="14.25" customHeight="1" s="192">
      <c r="W29954" s="235" t="n"/>
      <c r="X29954" s="235" t="n"/>
    </row>
    <row r="29955" ht="14.25" customHeight="1" s="192">
      <c r="W29955" s="235" t="n"/>
      <c r="X29955" s="235" t="n"/>
    </row>
    <row r="29956" ht="14.25" customHeight="1" s="192">
      <c r="W29956" s="239" t="n"/>
      <c r="X29956" s="239" t="n"/>
    </row>
    <row r="29957" ht="14.25" customHeight="1" s="192">
      <c r="W29957" s="239" t="n"/>
      <c r="X29957" s="239" t="n"/>
    </row>
    <row r="29958" ht="14.25" customHeight="1" s="192">
      <c r="W29958" s="239" t="n"/>
      <c r="X29958" s="239" t="n"/>
    </row>
    <row r="29959" ht="14.25" customHeight="1" s="192">
      <c r="W29959" s="235" t="n"/>
      <c r="X29959" s="235" t="n"/>
    </row>
    <row r="29960" ht="14.25" customHeight="1" s="192">
      <c r="W29960" s="235" t="n"/>
      <c r="X29960" s="235" t="n"/>
    </row>
    <row r="29961" ht="14.25" customHeight="1" s="192">
      <c r="W29961" s="235" t="n"/>
      <c r="X29961" s="235" t="n"/>
    </row>
    <row r="29962" ht="14.25" customHeight="1" s="192">
      <c r="W29962" s="239" t="n"/>
      <c r="X29962" s="239" t="n"/>
    </row>
    <row r="29963" ht="14.25" customHeight="1" s="192">
      <c r="W29963" s="239" t="n"/>
      <c r="X29963" s="239" t="n"/>
    </row>
    <row r="29964" ht="14.25" customHeight="1" s="192">
      <c r="W29964" s="235" t="n"/>
      <c r="X29964" s="235" t="n"/>
    </row>
    <row r="29965" ht="14.25" customHeight="1" s="192">
      <c r="W29965" s="235" t="n"/>
      <c r="X29965" s="235" t="n"/>
    </row>
    <row r="29966" ht="14.25" customHeight="1" s="192">
      <c r="W29966" s="239" t="n"/>
      <c r="X29966" s="239" t="n"/>
    </row>
    <row r="29967" ht="14.25" customHeight="1" s="192">
      <c r="W29967" s="235" t="n"/>
      <c r="X29967" s="235" t="n"/>
    </row>
    <row r="29968" ht="14.25" customHeight="1" s="192">
      <c r="W29968" s="239" t="n"/>
      <c r="X29968" s="239" t="n"/>
    </row>
    <row r="29970" ht="14.25" customHeight="1" s="192">
      <c r="W29970" s="235" t="n"/>
      <c r="X29970" s="235" t="n"/>
    </row>
    <row r="29971" ht="15" customHeight="1" s="192" thickBot="1">
      <c r="W29971" s="239" t="n"/>
      <c r="X29971" s="239" t="n"/>
    </row>
    <row r="29972" ht="15" customHeight="1" s="192" thickBot="1">
      <c r="W29972" s="45" t="n"/>
      <c r="X29972" s="45" t="n"/>
    </row>
    <row r="29973" ht="14.25" customHeight="1" s="192">
      <c r="W29973" s="228" t="n"/>
      <c r="X29973" s="228" t="n"/>
    </row>
    <row r="29974" ht="14.25" customHeight="1" s="192">
      <c r="W29974" s="228" t="n"/>
      <c r="X29974" s="228" t="n"/>
    </row>
    <row r="29975" ht="14.25" customHeight="1" s="192">
      <c r="W29975" s="231" t="n"/>
      <c r="X29975" s="231" t="n"/>
    </row>
    <row r="29976" ht="14.25" customHeight="1" s="192">
      <c r="W29976" s="33" t="n"/>
      <c r="X29976" s="33" t="n"/>
    </row>
    <row r="29977" ht="14.25" customHeight="1" s="192">
      <c r="W29977" s="231" t="n"/>
      <c r="X29977" s="231" t="n"/>
    </row>
    <row r="29978" ht="14.25" customHeight="1" s="192">
      <c r="W29978" s="33" t="n"/>
      <c r="X29978" s="33" t="n"/>
    </row>
    <row r="29980" ht="14.25" customHeight="1" s="192">
      <c r="W29980" s="231" t="n"/>
      <c r="X29980" s="231" t="n"/>
    </row>
    <row r="29981" ht="14.25" customHeight="1" s="192">
      <c r="W29981" s="235" t="n"/>
      <c r="X29981" s="235" t="n"/>
    </row>
    <row r="29982" ht="14.25" customHeight="1" s="192">
      <c r="W29982" s="228" t="n"/>
      <c r="X29982" s="228" t="n"/>
    </row>
    <row r="29983" ht="14.25" customHeight="1" s="192">
      <c r="W29983" s="235" t="n"/>
      <c r="X29983" s="235" t="n"/>
    </row>
    <row r="29984" ht="14.25" customHeight="1" s="192">
      <c r="W29984" s="235" t="n"/>
      <c r="X29984" s="235" t="n"/>
    </row>
    <row r="29985" ht="14.25" customHeight="1" s="192">
      <c r="W29985" s="235" t="n"/>
      <c r="X29985" s="235" t="n"/>
    </row>
    <row r="29986" ht="14.25" customHeight="1" s="192">
      <c r="W29986" s="239" t="n"/>
      <c r="X29986" s="239" t="n"/>
    </row>
    <row r="29987" ht="14.25" customHeight="1" s="192">
      <c r="W29987" s="239" t="n"/>
      <c r="X29987" s="239" t="n"/>
    </row>
    <row r="29988" ht="14.25" customHeight="1" s="192">
      <c r="W29988" s="239" t="n"/>
      <c r="X29988" s="239" t="n"/>
    </row>
    <row r="29989" ht="14.25" customHeight="1" s="192">
      <c r="W29989" s="235" t="n"/>
      <c r="X29989" s="235" t="n"/>
    </row>
    <row r="29990" ht="14.25" customHeight="1" s="192">
      <c r="W29990" s="235" t="n"/>
      <c r="X29990" s="235" t="n"/>
    </row>
    <row r="29991" ht="14.25" customHeight="1" s="192">
      <c r="W29991" s="235" t="n"/>
      <c r="X29991" s="235" t="n"/>
    </row>
    <row r="29992" ht="14.25" customHeight="1" s="192">
      <c r="W29992" s="239" t="n"/>
      <c r="X29992" s="239" t="n"/>
    </row>
    <row r="29993" ht="14.25" customHeight="1" s="192">
      <c r="W29993" s="239" t="n"/>
      <c r="X29993" s="239" t="n"/>
    </row>
    <row r="29994" ht="14.25" customHeight="1" s="192">
      <c r="W29994" s="235" t="n"/>
      <c r="X29994" s="235" t="n"/>
    </row>
    <row r="29995" ht="14.25" customHeight="1" s="192">
      <c r="W29995" s="235" t="n"/>
      <c r="X29995" s="235" t="n"/>
    </row>
    <row r="29996" ht="14.25" customHeight="1" s="192">
      <c r="W29996" s="239" t="n"/>
      <c r="X29996" s="239" t="n"/>
    </row>
    <row r="29997" ht="14.25" customHeight="1" s="192">
      <c r="W29997" s="235" t="n"/>
      <c r="X29997" s="235" t="n"/>
    </row>
    <row r="29998" ht="14.25" customHeight="1" s="192">
      <c r="W29998" s="239" t="n"/>
      <c r="X29998" s="239" t="n"/>
    </row>
    <row r="30000" ht="14.25" customHeight="1" s="192">
      <c r="W30000" s="235" t="n"/>
      <c r="X30000" s="235" t="n"/>
    </row>
    <row r="30001" ht="15" customHeight="1" s="192" thickBot="1">
      <c r="W30001" s="239" t="n"/>
      <c r="X30001" s="239" t="n"/>
    </row>
    <row r="30002" ht="15" customHeight="1" s="192" thickBot="1">
      <c r="W30002" s="45" t="n"/>
      <c r="X30002" s="45" t="n"/>
    </row>
    <row r="30003" ht="14.25" customHeight="1" s="192">
      <c r="W30003" s="228" t="n"/>
      <c r="X30003" s="228" t="n"/>
    </row>
    <row r="30004" ht="14.25" customHeight="1" s="192">
      <c r="W30004" s="228" t="n"/>
      <c r="X30004" s="228" t="n"/>
    </row>
    <row r="30005" ht="14.25" customHeight="1" s="192">
      <c r="W30005" s="231" t="n"/>
      <c r="X30005" s="231" t="n"/>
    </row>
    <row r="30006" ht="14.25" customHeight="1" s="192">
      <c r="W30006" s="33" t="n"/>
      <c r="X30006" s="33" t="n"/>
    </row>
    <row r="30007" ht="14.25" customHeight="1" s="192">
      <c r="W30007" s="231" t="n"/>
      <c r="X30007" s="231" t="n"/>
    </row>
    <row r="30008" ht="14.25" customHeight="1" s="192">
      <c r="W30008" s="33" t="n"/>
      <c r="X30008" s="33" t="n"/>
    </row>
    <row r="30010" ht="14.25" customHeight="1" s="192">
      <c r="W30010" s="231" t="n"/>
      <c r="X30010" s="231" t="n"/>
    </row>
    <row r="30011" ht="14.25" customHeight="1" s="192">
      <c r="W30011" s="235" t="n"/>
      <c r="X30011" s="235" t="n"/>
    </row>
    <row r="30012" ht="14.25" customHeight="1" s="192">
      <c r="W30012" s="228" t="n"/>
      <c r="X30012" s="228" t="n"/>
    </row>
    <row r="30013" ht="14.25" customHeight="1" s="192">
      <c r="W30013" s="235" t="n"/>
      <c r="X30013" s="235" t="n"/>
    </row>
    <row r="30014" ht="14.25" customHeight="1" s="192">
      <c r="W30014" s="235" t="n"/>
      <c r="X30014" s="235" t="n"/>
    </row>
    <row r="30015" ht="14.25" customHeight="1" s="192">
      <c r="W30015" s="235" t="n"/>
      <c r="X30015" s="235" t="n"/>
    </row>
    <row r="30016" ht="14.25" customHeight="1" s="192">
      <c r="W30016" s="239" t="n"/>
      <c r="X30016" s="239" t="n"/>
    </row>
    <row r="30017" ht="14.25" customHeight="1" s="192">
      <c r="W30017" s="239" t="n"/>
      <c r="X30017" s="239" t="n"/>
    </row>
    <row r="30018" ht="14.25" customHeight="1" s="192">
      <c r="W30018" s="239" t="n"/>
      <c r="X30018" s="239" t="n"/>
    </row>
    <row r="30019" ht="14.25" customHeight="1" s="192">
      <c r="W30019" s="235" t="n"/>
      <c r="X30019" s="235" t="n"/>
    </row>
    <row r="30020" ht="14.25" customHeight="1" s="192">
      <c r="W30020" s="235" t="n"/>
      <c r="X30020" s="235" t="n"/>
    </row>
    <row r="30021" ht="14.25" customHeight="1" s="192">
      <c r="W30021" s="235" t="n"/>
      <c r="X30021" s="235" t="n"/>
    </row>
    <row r="30022" ht="14.25" customHeight="1" s="192">
      <c r="W30022" s="239" t="n"/>
      <c r="X30022" s="239" t="n"/>
    </row>
    <row r="30023" ht="14.25" customHeight="1" s="192">
      <c r="W30023" s="239" t="n"/>
      <c r="X30023" s="239" t="n"/>
    </row>
    <row r="30024" ht="14.25" customHeight="1" s="192">
      <c r="W30024" s="235" t="n"/>
      <c r="X30024" s="235" t="n"/>
    </row>
    <row r="30025" ht="14.25" customHeight="1" s="192">
      <c r="W30025" s="235" t="n"/>
      <c r="X30025" s="235" t="n"/>
    </row>
    <row r="30026" ht="14.25" customHeight="1" s="192">
      <c r="W30026" s="239" t="n"/>
      <c r="X30026" s="239" t="n"/>
    </row>
    <row r="30027" ht="14.25" customHeight="1" s="192">
      <c r="W30027" s="235" t="n"/>
      <c r="X30027" s="235" t="n"/>
    </row>
    <row r="30028" ht="14.25" customHeight="1" s="192">
      <c r="W30028" s="239" t="n"/>
      <c r="X30028" s="239" t="n"/>
    </row>
    <row r="30030" ht="14.25" customHeight="1" s="192">
      <c r="W30030" s="235" t="n"/>
      <c r="X30030" s="235" t="n"/>
    </row>
    <row r="30031" ht="15" customHeight="1" s="192" thickBot="1">
      <c r="W30031" s="239" t="n"/>
      <c r="X30031" s="239" t="n"/>
    </row>
    <row r="30032" ht="15" customHeight="1" s="192" thickBot="1">
      <c r="W30032" s="45" t="n"/>
      <c r="X30032" s="45" t="n"/>
    </row>
    <row r="30033" ht="14.25" customHeight="1" s="192">
      <c r="W30033" s="228" t="n"/>
      <c r="X30033" s="228" t="n"/>
    </row>
    <row r="30034" ht="14.25" customHeight="1" s="192">
      <c r="W30034" s="228" t="n"/>
      <c r="X30034" s="228" t="n"/>
    </row>
    <row r="30035" ht="14.25" customHeight="1" s="192">
      <c r="W30035" s="231" t="n"/>
      <c r="X30035" s="231" t="n"/>
    </row>
    <row r="30036" ht="14.25" customHeight="1" s="192">
      <c r="W30036" s="33" t="n"/>
      <c r="X30036" s="33" t="n"/>
    </row>
    <row r="30037" ht="14.25" customHeight="1" s="192">
      <c r="W30037" s="231" t="n"/>
      <c r="X30037" s="231" t="n"/>
    </row>
    <row r="30038" ht="14.25" customHeight="1" s="192">
      <c r="W30038" s="33" t="n"/>
      <c r="X30038" s="33" t="n"/>
    </row>
    <row r="30040" ht="14.25" customHeight="1" s="192">
      <c r="W30040" s="231" t="n"/>
      <c r="X30040" s="231" t="n"/>
    </row>
    <row r="30041" ht="14.25" customHeight="1" s="192">
      <c r="W30041" s="235" t="n"/>
      <c r="X30041" s="235" t="n"/>
    </row>
    <row r="30042" ht="14.25" customHeight="1" s="192">
      <c r="W30042" s="228" t="n"/>
      <c r="X30042" s="228" t="n"/>
    </row>
    <row r="30043" ht="14.25" customHeight="1" s="192">
      <c r="W30043" s="235" t="n"/>
      <c r="X30043" s="235" t="n"/>
    </row>
    <row r="30044" ht="14.25" customHeight="1" s="192">
      <c r="W30044" s="235" t="n"/>
      <c r="X30044" s="235" t="n"/>
    </row>
    <row r="30045" ht="14.25" customHeight="1" s="192">
      <c r="W30045" s="235" t="n"/>
      <c r="X30045" s="235" t="n"/>
    </row>
    <row r="30046" ht="14.25" customHeight="1" s="192">
      <c r="W30046" s="239" t="n"/>
      <c r="X30046" s="239" t="n"/>
    </row>
    <row r="30047" ht="14.25" customHeight="1" s="192">
      <c r="W30047" s="239" t="n"/>
      <c r="X30047" s="239" t="n"/>
    </row>
    <row r="30048" ht="14.25" customHeight="1" s="192">
      <c r="W30048" s="239" t="n"/>
      <c r="X30048" s="239" t="n"/>
    </row>
    <row r="30049" ht="14.25" customHeight="1" s="192">
      <c r="W30049" s="235" t="n"/>
      <c r="X30049" s="235" t="n"/>
    </row>
    <row r="30050" ht="14.25" customHeight="1" s="192">
      <c r="W30050" s="235" t="n"/>
      <c r="X30050" s="235" t="n"/>
    </row>
    <row r="30051" ht="14.25" customHeight="1" s="192">
      <c r="W30051" s="235" t="n"/>
      <c r="X30051" s="235" t="n"/>
    </row>
    <row r="30052" ht="14.25" customHeight="1" s="192">
      <c r="W30052" s="239" t="n"/>
      <c r="X30052" s="239" t="n"/>
    </row>
    <row r="30053" ht="14.25" customHeight="1" s="192">
      <c r="W30053" s="239" t="n"/>
      <c r="X30053" s="239" t="n"/>
    </row>
    <row r="30054" ht="14.25" customHeight="1" s="192">
      <c r="W30054" s="235" t="n"/>
      <c r="X30054" s="235" t="n"/>
    </row>
    <row r="30055" ht="14.25" customHeight="1" s="192">
      <c r="W30055" s="235" t="n"/>
      <c r="X30055" s="235" t="n"/>
    </row>
    <row r="30056" ht="14.25" customHeight="1" s="192">
      <c r="W30056" s="239" t="n"/>
      <c r="X30056" s="239" t="n"/>
    </row>
    <row r="30057" ht="14.25" customHeight="1" s="192">
      <c r="W30057" s="235" t="n"/>
      <c r="X30057" s="235" t="n"/>
    </row>
    <row r="30058" ht="14.25" customHeight="1" s="192">
      <c r="W30058" s="239" t="n"/>
      <c r="X30058" s="239" t="n"/>
    </row>
    <row r="30060" ht="14.25" customHeight="1" s="192">
      <c r="W30060" s="235" t="n"/>
      <c r="X30060" s="235" t="n"/>
    </row>
    <row r="30061" ht="15" customHeight="1" s="192" thickBot="1">
      <c r="W30061" s="239" t="n"/>
      <c r="X30061" s="239" t="n"/>
    </row>
    <row r="30062" ht="15" customHeight="1" s="192" thickBot="1">
      <c r="W30062" s="45" t="n"/>
      <c r="X30062" s="45" t="n"/>
    </row>
    <row r="30063" ht="14.25" customHeight="1" s="192">
      <c r="W30063" s="228" t="n"/>
      <c r="X30063" s="228" t="n"/>
    </row>
    <row r="30064" ht="14.25" customHeight="1" s="192">
      <c r="W30064" s="228" t="n"/>
      <c r="X30064" s="228" t="n"/>
    </row>
    <row r="30065" ht="14.25" customHeight="1" s="192">
      <c r="W30065" s="231" t="n"/>
      <c r="X30065" s="231" t="n"/>
    </row>
    <row r="30066" ht="14.25" customHeight="1" s="192">
      <c r="W30066" s="33" t="n"/>
      <c r="X30066" s="33" t="n"/>
    </row>
    <row r="30067" ht="14.25" customHeight="1" s="192">
      <c r="W30067" s="231" t="n"/>
      <c r="X30067" s="231" t="n"/>
    </row>
    <row r="30068" ht="14.25" customHeight="1" s="192">
      <c r="W30068" s="33" t="n"/>
      <c r="X30068" s="33" t="n"/>
    </row>
    <row r="30070" ht="14.25" customHeight="1" s="192">
      <c r="W30070" s="231" t="n"/>
      <c r="X30070" s="231" t="n"/>
    </row>
    <row r="30071" ht="14.25" customHeight="1" s="192">
      <c r="W30071" s="235" t="n"/>
      <c r="X30071" s="235" t="n"/>
    </row>
    <row r="30072" ht="14.25" customHeight="1" s="192">
      <c r="W30072" s="228" t="n"/>
      <c r="X30072" s="228" t="n"/>
    </row>
    <row r="30073" ht="14.25" customHeight="1" s="192">
      <c r="W30073" s="235" t="n"/>
      <c r="X30073" s="235" t="n"/>
    </row>
    <row r="30074" ht="14.25" customHeight="1" s="192">
      <c r="W30074" s="235" t="n"/>
      <c r="X30074" s="235" t="n"/>
    </row>
    <row r="30075" ht="14.25" customHeight="1" s="192">
      <c r="W30075" s="235" t="n"/>
      <c r="X30075" s="235" t="n"/>
    </row>
    <row r="30076" ht="14.25" customHeight="1" s="192">
      <c r="W30076" s="239" t="n"/>
      <c r="X30076" s="239" t="n"/>
    </row>
    <row r="30077" ht="14.25" customHeight="1" s="192">
      <c r="W30077" s="239" t="n"/>
      <c r="X30077" s="239" t="n"/>
    </row>
    <row r="30078" ht="14.25" customHeight="1" s="192">
      <c r="W30078" s="239" t="n"/>
      <c r="X30078" s="239" t="n"/>
    </row>
    <row r="30079" ht="14.25" customHeight="1" s="192">
      <c r="W30079" s="235" t="n"/>
      <c r="X30079" s="235" t="n"/>
    </row>
    <row r="30080" ht="14.25" customHeight="1" s="192">
      <c r="W30080" s="235" t="n"/>
      <c r="X30080" s="235" t="n"/>
    </row>
    <row r="30081" ht="14.25" customHeight="1" s="192">
      <c r="W30081" s="235" t="n"/>
      <c r="X30081" s="235" t="n"/>
    </row>
    <row r="30082" ht="14.25" customHeight="1" s="192">
      <c r="W30082" s="239" t="n"/>
      <c r="X30082" s="239" t="n"/>
    </row>
    <row r="30083" ht="14.25" customHeight="1" s="192">
      <c r="W30083" s="239" t="n"/>
      <c r="X30083" s="239" t="n"/>
    </row>
    <row r="30084" ht="14.25" customHeight="1" s="192">
      <c r="W30084" s="235" t="n"/>
      <c r="X30084" s="235" t="n"/>
    </row>
    <row r="30085" ht="14.25" customHeight="1" s="192">
      <c r="W30085" s="235" t="n"/>
      <c r="X30085" s="235" t="n"/>
    </row>
    <row r="30086" ht="14.25" customHeight="1" s="192">
      <c r="W30086" s="239" t="n"/>
      <c r="X30086" s="239" t="n"/>
    </row>
    <row r="30087" ht="14.25" customHeight="1" s="192">
      <c r="W30087" s="235" t="n"/>
      <c r="X30087" s="235" t="n"/>
    </row>
    <row r="30088" ht="14.25" customHeight="1" s="192">
      <c r="W30088" s="239" t="n"/>
      <c r="X30088" s="239" t="n"/>
    </row>
    <row r="30090" ht="14.25" customHeight="1" s="192">
      <c r="W30090" s="235" t="n"/>
      <c r="X30090" s="235" t="n"/>
    </row>
    <row r="30091" ht="15" customHeight="1" s="192" thickBot="1">
      <c r="W30091" s="239" t="n"/>
      <c r="X30091" s="239" t="n"/>
    </row>
    <row r="30092" ht="15" customHeight="1" s="192" thickBot="1">
      <c r="W30092" s="45" t="n"/>
      <c r="X30092" s="45" t="n"/>
    </row>
    <row r="30093" ht="14.25" customHeight="1" s="192">
      <c r="W30093" s="228" t="n"/>
      <c r="X30093" s="228" t="n"/>
    </row>
    <row r="30094" ht="14.25" customHeight="1" s="192">
      <c r="W30094" s="228" t="n"/>
      <c r="X30094" s="228" t="n"/>
    </row>
    <row r="30095" ht="14.25" customHeight="1" s="192">
      <c r="W30095" s="231" t="n"/>
      <c r="X30095" s="231" t="n"/>
    </row>
    <row r="30096" ht="14.25" customHeight="1" s="192">
      <c r="W30096" s="33" t="n"/>
      <c r="X30096" s="33" t="n"/>
    </row>
    <row r="30097" ht="14.25" customHeight="1" s="192">
      <c r="W30097" s="231" t="n"/>
      <c r="X30097" s="231" t="n"/>
    </row>
    <row r="30098" ht="14.25" customHeight="1" s="192">
      <c r="W30098" s="33" t="n"/>
      <c r="X30098" s="33" t="n"/>
    </row>
    <row r="30100" ht="14.25" customHeight="1" s="192">
      <c r="W30100" s="231" t="n"/>
      <c r="X30100" s="231" t="n"/>
    </row>
    <row r="30101" ht="14.25" customHeight="1" s="192">
      <c r="W30101" s="235" t="n"/>
      <c r="X30101" s="235" t="n"/>
    </row>
    <row r="30102" ht="14.25" customHeight="1" s="192">
      <c r="W30102" s="228" t="n"/>
      <c r="X30102" s="228" t="n"/>
    </row>
    <row r="30103" ht="14.25" customHeight="1" s="192">
      <c r="W30103" s="235" t="n"/>
      <c r="X30103" s="235" t="n"/>
    </row>
    <row r="30104" ht="14.25" customHeight="1" s="192">
      <c r="W30104" s="235" t="n"/>
      <c r="X30104" s="235" t="n"/>
    </row>
    <row r="30105" ht="14.25" customHeight="1" s="192">
      <c r="W30105" s="235" t="n"/>
      <c r="X30105" s="235" t="n"/>
    </row>
    <row r="30106" ht="14.25" customHeight="1" s="192">
      <c r="W30106" s="239" t="n"/>
      <c r="X30106" s="239" t="n"/>
    </row>
    <row r="30107" ht="14.25" customHeight="1" s="192">
      <c r="W30107" s="239" t="n"/>
      <c r="X30107" s="239" t="n"/>
    </row>
    <row r="30108" ht="14.25" customHeight="1" s="192">
      <c r="W30108" s="239" t="n"/>
      <c r="X30108" s="239" t="n"/>
    </row>
    <row r="30109" ht="14.25" customHeight="1" s="192">
      <c r="W30109" s="235" t="n"/>
      <c r="X30109" s="235" t="n"/>
    </row>
    <row r="30110" ht="14.25" customHeight="1" s="192">
      <c r="W30110" s="235" t="n"/>
      <c r="X30110" s="235" t="n"/>
    </row>
    <row r="30111" ht="14.25" customHeight="1" s="192">
      <c r="W30111" s="235" t="n"/>
      <c r="X30111" s="235" t="n"/>
    </row>
    <row r="30112" ht="14.25" customHeight="1" s="192">
      <c r="W30112" s="239" t="n"/>
      <c r="X30112" s="239" t="n"/>
    </row>
    <row r="30113" ht="14.25" customHeight="1" s="192">
      <c r="W30113" s="239" t="n"/>
      <c r="X30113" s="239" t="n"/>
    </row>
    <row r="30114" ht="14.25" customHeight="1" s="192">
      <c r="W30114" s="235" t="n"/>
      <c r="X30114" s="235" t="n"/>
    </row>
    <row r="30115" ht="14.25" customHeight="1" s="192">
      <c r="W30115" s="235" t="n"/>
      <c r="X30115" s="235" t="n"/>
    </row>
    <row r="30116" ht="14.25" customHeight="1" s="192">
      <c r="W30116" s="239" t="n"/>
      <c r="X30116" s="239" t="n"/>
    </row>
    <row r="30117" ht="14.25" customHeight="1" s="192">
      <c r="W30117" s="235" t="n"/>
      <c r="X30117" s="235" t="n"/>
    </row>
    <row r="30118" ht="14.25" customHeight="1" s="192">
      <c r="W30118" s="239" t="n"/>
      <c r="X30118" s="239" t="n"/>
    </row>
    <row r="30120" ht="14.25" customHeight="1" s="192">
      <c r="W30120" s="235" t="n"/>
      <c r="X30120" s="235" t="n"/>
    </row>
    <row r="30121" ht="15" customHeight="1" s="192" thickBot="1">
      <c r="W30121" s="239" t="n"/>
      <c r="X30121" s="239" t="n"/>
    </row>
    <row r="30122" ht="15" customHeight="1" s="192" thickBot="1">
      <c r="W30122" s="45" t="n"/>
      <c r="X30122" s="45" t="n"/>
    </row>
    <row r="30123" ht="14.25" customHeight="1" s="192">
      <c r="W30123" s="228" t="n"/>
      <c r="X30123" s="228" t="n"/>
    </row>
    <row r="30124" ht="14.25" customHeight="1" s="192">
      <c r="W30124" s="228" t="n"/>
      <c r="X30124" s="228" t="n"/>
    </row>
    <row r="30125" ht="14.25" customHeight="1" s="192">
      <c r="W30125" s="231" t="n"/>
      <c r="X30125" s="231" t="n"/>
    </row>
    <row r="30126" ht="14.25" customHeight="1" s="192">
      <c r="W30126" s="33" t="n"/>
      <c r="X30126" s="33" t="n"/>
    </row>
    <row r="30127" ht="14.25" customHeight="1" s="192">
      <c r="W30127" s="231" t="n"/>
      <c r="X30127" s="231" t="n"/>
    </row>
    <row r="30128" ht="14.25" customHeight="1" s="192">
      <c r="W30128" s="33" t="n"/>
      <c r="X30128" s="33" t="n"/>
    </row>
    <row r="30130" ht="14.25" customHeight="1" s="192">
      <c r="W30130" s="231" t="n"/>
      <c r="X30130" s="231" t="n"/>
    </row>
    <row r="30131" ht="14.25" customHeight="1" s="192">
      <c r="W30131" s="235" t="n"/>
      <c r="X30131" s="235" t="n"/>
    </row>
    <row r="30132" ht="14.25" customHeight="1" s="192">
      <c r="W30132" s="228" t="n"/>
      <c r="X30132" s="228" t="n"/>
    </row>
    <row r="30133" ht="14.25" customHeight="1" s="192">
      <c r="W30133" s="235" t="n"/>
      <c r="X30133" s="235" t="n"/>
    </row>
    <row r="30134" ht="14.25" customHeight="1" s="192">
      <c r="W30134" s="235" t="n"/>
      <c r="X30134" s="235" t="n"/>
    </row>
    <row r="30135" ht="14.25" customHeight="1" s="192">
      <c r="W30135" s="235" t="n"/>
      <c r="X30135" s="235" t="n"/>
    </row>
    <row r="30136" ht="14.25" customHeight="1" s="192">
      <c r="W30136" s="239" t="n"/>
      <c r="X30136" s="239" t="n"/>
    </row>
    <row r="30137" ht="14.25" customHeight="1" s="192">
      <c r="W30137" s="239" t="n"/>
      <c r="X30137" s="239" t="n"/>
    </row>
    <row r="30138" ht="14.25" customHeight="1" s="192">
      <c r="W30138" s="239" t="n"/>
      <c r="X30138" s="239" t="n"/>
    </row>
    <row r="30139" ht="14.25" customHeight="1" s="192">
      <c r="W30139" s="235" t="n"/>
      <c r="X30139" s="235" t="n"/>
    </row>
    <row r="30140" ht="14.25" customHeight="1" s="192">
      <c r="W30140" s="235" t="n"/>
      <c r="X30140" s="235" t="n"/>
    </row>
    <row r="30141" ht="14.25" customHeight="1" s="192">
      <c r="W30141" s="235" t="n"/>
      <c r="X30141" s="235" t="n"/>
    </row>
    <row r="30142" ht="14.25" customHeight="1" s="192">
      <c r="W30142" s="239" t="n"/>
      <c r="X30142" s="239" t="n"/>
    </row>
    <row r="30143" ht="14.25" customHeight="1" s="192">
      <c r="W30143" s="239" t="n"/>
      <c r="X30143" s="239" t="n"/>
    </row>
    <row r="30144" ht="14.25" customHeight="1" s="192">
      <c r="W30144" s="235" t="n"/>
      <c r="X30144" s="235" t="n"/>
    </row>
    <row r="30145" ht="14.25" customHeight="1" s="192">
      <c r="W30145" s="235" t="n"/>
      <c r="X30145" s="235" t="n"/>
    </row>
    <row r="30146" ht="14.25" customHeight="1" s="192">
      <c r="W30146" s="239" t="n"/>
      <c r="X30146" s="239" t="n"/>
    </row>
    <row r="30147" ht="14.25" customHeight="1" s="192">
      <c r="W30147" s="235" t="n"/>
      <c r="X30147" s="235" t="n"/>
    </row>
    <row r="30148" ht="14.25" customHeight="1" s="192">
      <c r="W30148" s="239" t="n"/>
      <c r="X30148" s="239" t="n"/>
    </row>
    <row r="30150" ht="14.25" customHeight="1" s="192">
      <c r="W30150" s="235" t="n"/>
      <c r="X30150" s="235" t="n"/>
    </row>
    <row r="30151" ht="15" customHeight="1" s="192" thickBot="1">
      <c r="W30151" s="239" t="n"/>
      <c r="X30151" s="239" t="n"/>
    </row>
    <row r="30152" ht="15" customHeight="1" s="192" thickBot="1">
      <c r="W30152" s="45" t="n"/>
      <c r="X30152" s="45" t="n"/>
    </row>
    <row r="30153" ht="14.25" customHeight="1" s="192">
      <c r="W30153" s="228" t="n"/>
      <c r="X30153" s="228" t="n"/>
    </row>
    <row r="30154" ht="14.25" customHeight="1" s="192">
      <c r="W30154" s="228" t="n"/>
      <c r="X30154" s="228" t="n"/>
    </row>
    <row r="30155" ht="14.25" customHeight="1" s="192">
      <c r="W30155" s="231" t="n"/>
      <c r="X30155" s="231" t="n"/>
    </row>
    <row r="30156" ht="14.25" customHeight="1" s="192">
      <c r="W30156" s="33" t="n"/>
      <c r="X30156" s="33" t="n"/>
    </row>
    <row r="30157" ht="14.25" customHeight="1" s="192">
      <c r="W30157" s="231" t="n"/>
      <c r="X30157" s="231" t="n"/>
    </row>
    <row r="30158" ht="14.25" customHeight="1" s="192">
      <c r="W30158" s="33" t="n"/>
      <c r="X30158" s="33" t="n"/>
    </row>
    <row r="30160" ht="14.25" customHeight="1" s="192">
      <c r="W30160" s="231" t="n"/>
      <c r="X30160" s="231" t="n"/>
    </row>
    <row r="30161" ht="14.25" customHeight="1" s="192">
      <c r="W30161" s="235" t="n"/>
      <c r="X30161" s="235" t="n"/>
    </row>
    <row r="30162" ht="14.25" customHeight="1" s="192">
      <c r="W30162" s="228" t="n"/>
      <c r="X30162" s="228" t="n"/>
    </row>
    <row r="30163" ht="14.25" customHeight="1" s="192">
      <c r="W30163" s="235" t="n"/>
      <c r="X30163" s="235" t="n"/>
    </row>
    <row r="30164" ht="14.25" customHeight="1" s="192">
      <c r="W30164" s="235" t="n"/>
      <c r="X30164" s="235" t="n"/>
    </row>
    <row r="30165" ht="14.25" customHeight="1" s="192">
      <c r="W30165" s="235" t="n"/>
      <c r="X30165" s="235" t="n"/>
    </row>
    <row r="30166" ht="14.25" customHeight="1" s="192">
      <c r="W30166" s="239" t="n"/>
      <c r="X30166" s="239" t="n"/>
    </row>
    <row r="30167" ht="14.25" customHeight="1" s="192">
      <c r="W30167" s="239" t="n"/>
      <c r="X30167" s="239" t="n"/>
    </row>
    <row r="30168" ht="14.25" customHeight="1" s="192">
      <c r="W30168" s="239" t="n"/>
      <c r="X30168" s="239" t="n"/>
    </row>
    <row r="30169" ht="14.25" customHeight="1" s="192">
      <c r="W30169" s="235" t="n"/>
      <c r="X30169" s="235" t="n"/>
    </row>
    <row r="30170" ht="14.25" customHeight="1" s="192">
      <c r="W30170" s="235" t="n"/>
      <c r="X30170" s="235" t="n"/>
    </row>
    <row r="30171" ht="14.25" customHeight="1" s="192">
      <c r="W30171" s="235" t="n"/>
      <c r="X30171" s="235" t="n"/>
    </row>
    <row r="30172" ht="14.25" customHeight="1" s="192">
      <c r="W30172" s="239" t="n"/>
      <c r="X30172" s="239" t="n"/>
    </row>
    <row r="30173" ht="14.25" customHeight="1" s="192">
      <c r="W30173" s="239" t="n"/>
      <c r="X30173" s="239" t="n"/>
    </row>
    <row r="30174" ht="14.25" customHeight="1" s="192">
      <c r="W30174" s="235" t="n"/>
      <c r="X30174" s="235" t="n"/>
    </row>
    <row r="30175" ht="14.25" customHeight="1" s="192">
      <c r="W30175" s="235" t="n"/>
      <c r="X30175" s="235" t="n"/>
    </row>
    <row r="30176" ht="14.25" customHeight="1" s="192">
      <c r="W30176" s="239" t="n"/>
      <c r="X30176" s="239" t="n"/>
    </row>
    <row r="30177" ht="14.25" customHeight="1" s="192">
      <c r="W30177" s="235" t="n"/>
      <c r="X30177" s="235" t="n"/>
    </row>
    <row r="30178" ht="14.25" customHeight="1" s="192">
      <c r="W30178" s="239" t="n"/>
      <c r="X30178" s="239" t="n"/>
    </row>
    <row r="30180" ht="14.25" customHeight="1" s="192">
      <c r="W30180" s="235" t="n"/>
      <c r="X30180" s="235" t="n"/>
    </row>
    <row r="30181" ht="15" customHeight="1" s="192" thickBot="1">
      <c r="W30181" s="239" t="n"/>
      <c r="X30181" s="239" t="n"/>
    </row>
    <row r="30182" ht="15" customHeight="1" s="192" thickBot="1">
      <c r="W30182" s="45" t="n"/>
      <c r="X30182" s="45" t="n"/>
    </row>
    <row r="30183" ht="14.25" customHeight="1" s="192">
      <c r="W30183" s="228" t="n"/>
      <c r="X30183" s="228" t="n"/>
    </row>
    <row r="30184" ht="14.25" customHeight="1" s="192">
      <c r="W30184" s="228" t="n"/>
      <c r="X30184" s="228" t="n"/>
    </row>
    <row r="30185" ht="14.25" customHeight="1" s="192">
      <c r="W30185" s="231" t="n"/>
      <c r="X30185" s="231" t="n"/>
    </row>
    <row r="30186" ht="14.25" customHeight="1" s="192">
      <c r="W30186" s="33" t="n"/>
      <c r="X30186" s="33" t="n"/>
    </row>
    <row r="30187" ht="14.25" customHeight="1" s="192">
      <c r="W30187" s="231" t="n"/>
      <c r="X30187" s="231" t="n"/>
    </row>
    <row r="30188" ht="14.25" customHeight="1" s="192">
      <c r="W30188" s="33" t="n"/>
      <c r="X30188" s="33" t="n"/>
    </row>
    <row r="30190" ht="14.25" customHeight="1" s="192">
      <c r="W30190" s="231" t="n"/>
      <c r="X30190" s="231" t="n"/>
    </row>
    <row r="30191" ht="14.25" customHeight="1" s="192">
      <c r="W30191" s="235" t="n"/>
      <c r="X30191" s="235" t="n"/>
    </row>
    <row r="30192" ht="14.25" customHeight="1" s="192">
      <c r="W30192" s="228" t="n"/>
      <c r="X30192" s="228" t="n"/>
    </row>
    <row r="30193" ht="14.25" customHeight="1" s="192">
      <c r="W30193" s="235" t="n"/>
      <c r="X30193" s="235" t="n"/>
    </row>
    <row r="30194" ht="14.25" customHeight="1" s="192">
      <c r="W30194" s="235" t="n"/>
      <c r="X30194" s="235" t="n"/>
    </row>
    <row r="30195" ht="14.25" customHeight="1" s="192">
      <c r="W30195" s="235" t="n"/>
      <c r="X30195" s="235" t="n"/>
    </row>
    <row r="30196" ht="14.25" customHeight="1" s="192">
      <c r="W30196" s="239" t="n"/>
      <c r="X30196" s="239" t="n"/>
    </row>
    <row r="30197" ht="14.25" customHeight="1" s="192">
      <c r="W30197" s="239" t="n"/>
      <c r="X30197" s="239" t="n"/>
    </row>
    <row r="30198" ht="14.25" customHeight="1" s="192">
      <c r="W30198" s="239" t="n"/>
      <c r="X30198" s="239" t="n"/>
    </row>
    <row r="30199" ht="14.25" customHeight="1" s="192">
      <c r="W30199" s="235" t="n"/>
      <c r="X30199" s="235" t="n"/>
    </row>
    <row r="30200" ht="14.25" customHeight="1" s="192">
      <c r="W30200" s="235" t="n"/>
      <c r="X30200" s="235" t="n"/>
    </row>
    <row r="30201" ht="14.25" customHeight="1" s="192">
      <c r="W30201" s="235" t="n"/>
      <c r="X30201" s="235" t="n"/>
    </row>
    <row r="30202" ht="14.25" customHeight="1" s="192">
      <c r="W30202" s="239" t="n"/>
      <c r="X30202" s="239" t="n"/>
    </row>
    <row r="30203" ht="14.25" customHeight="1" s="192">
      <c r="W30203" s="239" t="n"/>
      <c r="X30203" s="239" t="n"/>
    </row>
    <row r="30204" ht="14.25" customHeight="1" s="192">
      <c r="W30204" s="235" t="n"/>
      <c r="X30204" s="235" t="n"/>
    </row>
    <row r="30205" ht="14.25" customHeight="1" s="192">
      <c r="W30205" s="235" t="n"/>
      <c r="X30205" s="235" t="n"/>
    </row>
    <row r="30206" ht="14.25" customHeight="1" s="192">
      <c r="W30206" s="239" t="n"/>
      <c r="X30206" s="239" t="n"/>
    </row>
    <row r="30207" ht="14.25" customHeight="1" s="192">
      <c r="W30207" s="235" t="n"/>
      <c r="X30207" s="235" t="n"/>
    </row>
    <row r="30208" ht="14.25" customHeight="1" s="192">
      <c r="W30208" s="239" t="n"/>
      <c r="X30208" s="239" t="n"/>
    </row>
    <row r="30210" ht="14.25" customHeight="1" s="192">
      <c r="W30210" s="235" t="n"/>
      <c r="X30210" s="235" t="n"/>
    </row>
    <row r="30211" ht="15" customHeight="1" s="192" thickBot="1">
      <c r="W30211" s="239" t="n"/>
      <c r="X30211" s="239" t="n"/>
    </row>
    <row r="30212" ht="15" customHeight="1" s="192" thickBot="1">
      <c r="W30212" s="45" t="n"/>
      <c r="X30212" s="45" t="n"/>
    </row>
    <row r="30213" ht="14.25" customHeight="1" s="192">
      <c r="W30213" s="228" t="n"/>
      <c r="X30213" s="228" t="n"/>
    </row>
    <row r="30214" ht="14.25" customHeight="1" s="192">
      <c r="W30214" s="228" t="n"/>
      <c r="X30214" s="228" t="n"/>
    </row>
    <row r="30215" ht="14.25" customHeight="1" s="192">
      <c r="W30215" s="231" t="n"/>
      <c r="X30215" s="231" t="n"/>
    </row>
    <row r="30216" ht="14.25" customHeight="1" s="192">
      <c r="W30216" s="33" t="n"/>
      <c r="X30216" s="33" t="n"/>
    </row>
    <row r="30217" ht="14.25" customHeight="1" s="192">
      <c r="W30217" s="231" t="n"/>
      <c r="X30217" s="231" t="n"/>
    </row>
    <row r="30218" ht="14.25" customHeight="1" s="192">
      <c r="W30218" s="33" t="n"/>
      <c r="X30218" s="33" t="n"/>
    </row>
    <row r="30220" ht="14.25" customHeight="1" s="192">
      <c r="W30220" s="231" t="n"/>
      <c r="X30220" s="231" t="n"/>
    </row>
    <row r="30221" ht="14.25" customHeight="1" s="192">
      <c r="W30221" s="235" t="n"/>
      <c r="X30221" s="235" t="n"/>
    </row>
    <row r="30222" ht="14.25" customHeight="1" s="192">
      <c r="W30222" s="228" t="n"/>
      <c r="X30222" s="228" t="n"/>
    </row>
    <row r="30223" ht="14.25" customHeight="1" s="192">
      <c r="W30223" s="235" t="n"/>
      <c r="X30223" s="235" t="n"/>
    </row>
    <row r="30224" ht="14.25" customHeight="1" s="192">
      <c r="W30224" s="235" t="n"/>
      <c r="X30224" s="235" t="n"/>
    </row>
    <row r="30225" ht="14.25" customHeight="1" s="192">
      <c r="W30225" s="235" t="n"/>
      <c r="X30225" s="235" t="n"/>
    </row>
    <row r="30226" ht="14.25" customHeight="1" s="192">
      <c r="W30226" s="239" t="n"/>
      <c r="X30226" s="239" t="n"/>
    </row>
    <row r="30227" ht="14.25" customHeight="1" s="192">
      <c r="W30227" s="239" t="n"/>
      <c r="X30227" s="239" t="n"/>
    </row>
    <row r="30228" ht="14.25" customHeight="1" s="192">
      <c r="W30228" s="239" t="n"/>
      <c r="X30228" s="239" t="n"/>
    </row>
    <row r="30229" ht="14.25" customHeight="1" s="192">
      <c r="W30229" s="235" t="n"/>
      <c r="X30229" s="235" t="n"/>
    </row>
    <row r="30230" ht="14.25" customHeight="1" s="192">
      <c r="W30230" s="235" t="n"/>
      <c r="X30230" s="235" t="n"/>
    </row>
    <row r="30231" ht="14.25" customHeight="1" s="192">
      <c r="W30231" s="235" t="n"/>
      <c r="X30231" s="235" t="n"/>
    </row>
    <row r="30232" ht="14.25" customHeight="1" s="192">
      <c r="W30232" s="239" t="n"/>
      <c r="X30232" s="239" t="n"/>
    </row>
    <row r="30233" ht="14.25" customHeight="1" s="192">
      <c r="W30233" s="239" t="n"/>
      <c r="X30233" s="239" t="n"/>
    </row>
    <row r="30234" ht="14.25" customHeight="1" s="192">
      <c r="W30234" s="235" t="n"/>
      <c r="X30234" s="235" t="n"/>
    </row>
    <row r="30235" ht="14.25" customHeight="1" s="192">
      <c r="W30235" s="235" t="n"/>
      <c r="X30235" s="235" t="n"/>
    </row>
    <row r="30236" ht="14.25" customHeight="1" s="192">
      <c r="W30236" s="239" t="n"/>
      <c r="X30236" s="239" t="n"/>
    </row>
    <row r="30237" ht="14.25" customHeight="1" s="192">
      <c r="W30237" s="235" t="n"/>
      <c r="X30237" s="235" t="n"/>
    </row>
    <row r="30238" ht="14.25" customHeight="1" s="192">
      <c r="W30238" s="239" t="n"/>
      <c r="X30238" s="239" t="n"/>
    </row>
    <row r="30240" ht="14.25" customHeight="1" s="192">
      <c r="W30240" s="235" t="n"/>
      <c r="X30240" s="235" t="n"/>
    </row>
    <row r="30241" ht="15" customHeight="1" s="192" thickBot="1">
      <c r="W30241" s="239" t="n"/>
      <c r="X30241" s="239" t="n"/>
    </row>
    <row r="30242" ht="15" customHeight="1" s="192" thickBot="1">
      <c r="W30242" s="45" t="n"/>
      <c r="X30242" s="45" t="n"/>
    </row>
    <row r="30243" ht="14.25" customHeight="1" s="192">
      <c r="W30243" s="228" t="n"/>
      <c r="X30243" s="228" t="n"/>
    </row>
    <row r="30244" ht="14.25" customHeight="1" s="192">
      <c r="W30244" s="228" t="n"/>
      <c r="X30244" s="228" t="n"/>
    </row>
    <row r="30245" ht="14.25" customHeight="1" s="192">
      <c r="W30245" s="231" t="n"/>
      <c r="X30245" s="231" t="n"/>
    </row>
    <row r="30246" ht="14.25" customHeight="1" s="192">
      <c r="W30246" s="33" t="n"/>
      <c r="X30246" s="33" t="n"/>
    </row>
    <row r="30247" ht="14.25" customHeight="1" s="192">
      <c r="W30247" s="231" t="n"/>
      <c r="X30247" s="231" t="n"/>
    </row>
    <row r="30248" ht="14.25" customHeight="1" s="192">
      <c r="W30248" s="33" t="n"/>
      <c r="X30248" s="33" t="n"/>
    </row>
    <row r="30250" ht="14.25" customHeight="1" s="192">
      <c r="W30250" s="231" t="n"/>
      <c r="X30250" s="231" t="n"/>
    </row>
    <row r="30251" ht="14.25" customHeight="1" s="192">
      <c r="W30251" s="235" t="n"/>
      <c r="X30251" s="235" t="n"/>
    </row>
    <row r="30252" ht="14.25" customHeight="1" s="192">
      <c r="W30252" s="228" t="n"/>
      <c r="X30252" s="228" t="n"/>
    </row>
    <row r="30253" ht="14.25" customHeight="1" s="192">
      <c r="W30253" s="235" t="n"/>
      <c r="X30253" s="235" t="n"/>
    </row>
    <row r="30254" ht="14.25" customHeight="1" s="192">
      <c r="W30254" s="235" t="n"/>
      <c r="X30254" s="235" t="n"/>
    </row>
    <row r="30255" ht="14.25" customHeight="1" s="192">
      <c r="W30255" s="235" t="n"/>
      <c r="X30255" s="235" t="n"/>
    </row>
    <row r="30256" ht="14.25" customHeight="1" s="192">
      <c r="W30256" s="239" t="n"/>
      <c r="X30256" s="239" t="n"/>
    </row>
    <row r="30257" ht="14.25" customHeight="1" s="192">
      <c r="W30257" s="239" t="n"/>
      <c r="X30257" s="239" t="n"/>
    </row>
    <row r="30258" ht="14.25" customHeight="1" s="192">
      <c r="W30258" s="239" t="n"/>
      <c r="X30258" s="239" t="n"/>
    </row>
    <row r="30259" ht="14.25" customHeight="1" s="192">
      <c r="W30259" s="235" t="n"/>
      <c r="X30259" s="235" t="n"/>
    </row>
    <row r="30260" ht="14.25" customHeight="1" s="192">
      <c r="W30260" s="235" t="n"/>
      <c r="X30260" s="235" t="n"/>
    </row>
    <row r="30261" ht="14.25" customHeight="1" s="192">
      <c r="W30261" s="235" t="n"/>
      <c r="X30261" s="235" t="n"/>
    </row>
    <row r="30262" ht="14.25" customHeight="1" s="192">
      <c r="W30262" s="239" t="n"/>
      <c r="X30262" s="239" t="n"/>
    </row>
    <row r="30263" ht="14.25" customHeight="1" s="192">
      <c r="W30263" s="239" t="n"/>
      <c r="X30263" s="239" t="n"/>
    </row>
    <row r="30264" ht="14.25" customHeight="1" s="192">
      <c r="W30264" s="235" t="n"/>
      <c r="X30264" s="235" t="n"/>
    </row>
    <row r="30265" ht="14.25" customHeight="1" s="192">
      <c r="W30265" s="235" t="n"/>
      <c r="X30265" s="235" t="n"/>
    </row>
    <row r="30266" ht="14.25" customHeight="1" s="192">
      <c r="W30266" s="239" t="n"/>
      <c r="X30266" s="239" t="n"/>
    </row>
    <row r="30267" ht="14.25" customHeight="1" s="192">
      <c r="W30267" s="235" t="n"/>
      <c r="X30267" s="235" t="n"/>
    </row>
    <row r="30268" ht="14.25" customHeight="1" s="192">
      <c r="W30268" s="239" t="n"/>
      <c r="X30268" s="239" t="n"/>
    </row>
    <row r="30270" ht="14.25" customHeight="1" s="192">
      <c r="W30270" s="235" t="n"/>
      <c r="X30270" s="235" t="n"/>
    </row>
    <row r="30271" ht="15" customHeight="1" s="192" thickBot="1">
      <c r="W30271" s="239" t="n"/>
      <c r="X30271" s="239" t="n"/>
    </row>
    <row r="30272" ht="15" customHeight="1" s="192" thickBot="1">
      <c r="W30272" s="45" t="n"/>
      <c r="X30272" s="45" t="n"/>
    </row>
    <row r="30273" ht="14.25" customHeight="1" s="192">
      <c r="W30273" s="228" t="n"/>
      <c r="X30273" s="228" t="n"/>
    </row>
    <row r="30274" ht="14.25" customHeight="1" s="192">
      <c r="W30274" s="228" t="n"/>
      <c r="X30274" s="228" t="n"/>
    </row>
    <row r="30275" ht="14.25" customHeight="1" s="192">
      <c r="W30275" s="231" t="n"/>
      <c r="X30275" s="231" t="n"/>
    </row>
    <row r="30276" ht="14.25" customHeight="1" s="192">
      <c r="W30276" s="33" t="n"/>
      <c r="X30276" s="33" t="n"/>
    </row>
    <row r="30277" ht="14.25" customHeight="1" s="192">
      <c r="W30277" s="231" t="n"/>
      <c r="X30277" s="231" t="n"/>
    </row>
    <row r="30278" ht="14.25" customHeight="1" s="192">
      <c r="W30278" s="33" t="n"/>
      <c r="X30278" s="33" t="n"/>
    </row>
    <row r="30280" ht="14.25" customHeight="1" s="192">
      <c r="W30280" s="231" t="n"/>
      <c r="X30280" s="231" t="n"/>
    </row>
    <row r="30281" ht="14.25" customHeight="1" s="192">
      <c r="W30281" s="235" t="n"/>
      <c r="X30281" s="235" t="n"/>
    </row>
    <row r="30282" ht="14.25" customHeight="1" s="192">
      <c r="W30282" s="228" t="n"/>
      <c r="X30282" s="228" t="n"/>
    </row>
    <row r="30283" ht="14.25" customHeight="1" s="192">
      <c r="W30283" s="235" t="n"/>
      <c r="X30283" s="235" t="n"/>
    </row>
    <row r="30284" ht="14.25" customHeight="1" s="192">
      <c r="W30284" s="235" t="n"/>
      <c r="X30284" s="235" t="n"/>
    </row>
    <row r="30285" ht="14.25" customHeight="1" s="192">
      <c r="W30285" s="235" t="n"/>
      <c r="X30285" s="235" t="n"/>
    </row>
    <row r="30286" ht="14.25" customHeight="1" s="192">
      <c r="W30286" s="239" t="n"/>
      <c r="X30286" s="239" t="n"/>
    </row>
    <row r="30287" ht="14.25" customHeight="1" s="192">
      <c r="W30287" s="239" t="n"/>
      <c r="X30287" s="239" t="n"/>
    </row>
    <row r="30288" ht="14.25" customHeight="1" s="192">
      <c r="W30288" s="239" t="n"/>
      <c r="X30288" s="239" t="n"/>
    </row>
    <row r="30289" ht="14.25" customHeight="1" s="192">
      <c r="W30289" s="235" t="n"/>
      <c r="X30289" s="235" t="n"/>
    </row>
    <row r="30290" ht="14.25" customHeight="1" s="192">
      <c r="W30290" s="235" t="n"/>
      <c r="X30290" s="235" t="n"/>
    </row>
    <row r="30291" ht="14.25" customHeight="1" s="192">
      <c r="W30291" s="235" t="n"/>
      <c r="X30291" s="235" t="n"/>
    </row>
    <row r="30292" ht="14.25" customHeight="1" s="192">
      <c r="W30292" s="239" t="n"/>
      <c r="X30292" s="239" t="n"/>
    </row>
    <row r="30293" ht="14.25" customHeight="1" s="192">
      <c r="W30293" s="239" t="n"/>
      <c r="X30293" s="239" t="n"/>
    </row>
    <row r="30294" ht="14.25" customHeight="1" s="192">
      <c r="W30294" s="235" t="n"/>
      <c r="X30294" s="235" t="n"/>
    </row>
    <row r="30295" ht="14.25" customHeight="1" s="192">
      <c r="W30295" s="235" t="n"/>
      <c r="X30295" s="235" t="n"/>
    </row>
    <row r="30296" ht="14.25" customHeight="1" s="192">
      <c r="W30296" s="239" t="n"/>
      <c r="X30296" s="239" t="n"/>
    </row>
    <row r="30297" ht="14.25" customHeight="1" s="192">
      <c r="W30297" s="235" t="n"/>
      <c r="X30297" s="235" t="n"/>
    </row>
    <row r="30298" ht="14.25" customHeight="1" s="192">
      <c r="W30298" s="239" t="n"/>
      <c r="X30298" s="239" t="n"/>
    </row>
    <row r="30300" ht="14.25" customHeight="1" s="192">
      <c r="W30300" s="235" t="n"/>
      <c r="X30300" s="235" t="n"/>
    </row>
    <row r="30301" ht="15" customHeight="1" s="192" thickBot="1">
      <c r="W30301" s="239" t="n"/>
      <c r="X30301" s="239" t="n"/>
    </row>
    <row r="30302" ht="15" customHeight="1" s="192" thickBot="1">
      <c r="W30302" s="45" t="n"/>
      <c r="X30302" s="45" t="n"/>
    </row>
    <row r="30303" ht="14.25" customHeight="1" s="192">
      <c r="W30303" s="228" t="n"/>
      <c r="X30303" s="228" t="n"/>
    </row>
    <row r="30304" ht="14.25" customHeight="1" s="192">
      <c r="W30304" s="228" t="n"/>
      <c r="X30304" s="228" t="n"/>
    </row>
    <row r="30305" ht="14.25" customHeight="1" s="192">
      <c r="W30305" s="231" t="n"/>
      <c r="X30305" s="231" t="n"/>
    </row>
    <row r="30306" ht="14.25" customHeight="1" s="192">
      <c r="W30306" s="33" t="n"/>
      <c r="X30306" s="33" t="n"/>
    </row>
    <row r="30307" ht="14.25" customHeight="1" s="192">
      <c r="W30307" s="231" t="n"/>
      <c r="X30307" s="231" t="n"/>
    </row>
    <row r="30308" ht="14.25" customHeight="1" s="192">
      <c r="W30308" s="33" t="n"/>
      <c r="X30308" s="33" t="n"/>
    </row>
    <row r="30310" ht="14.25" customHeight="1" s="192">
      <c r="W30310" s="231" t="n"/>
      <c r="X30310" s="231" t="n"/>
    </row>
    <row r="30311" ht="14.25" customHeight="1" s="192">
      <c r="W30311" s="235" t="n"/>
      <c r="X30311" s="235" t="n"/>
    </row>
    <row r="30312" ht="14.25" customHeight="1" s="192">
      <c r="W30312" s="228" t="n"/>
      <c r="X30312" s="228" t="n"/>
    </row>
    <row r="30313" ht="14.25" customHeight="1" s="192">
      <c r="W30313" s="235" t="n"/>
      <c r="X30313" s="235" t="n"/>
    </row>
    <row r="30314" ht="14.25" customHeight="1" s="192">
      <c r="W30314" s="235" t="n"/>
      <c r="X30314" s="235" t="n"/>
    </row>
    <row r="30315" ht="14.25" customHeight="1" s="192">
      <c r="W30315" s="235" t="n"/>
      <c r="X30315" s="235" t="n"/>
    </row>
    <row r="30316" ht="14.25" customHeight="1" s="192">
      <c r="W30316" s="239" t="n"/>
      <c r="X30316" s="239" t="n"/>
    </row>
    <row r="30317" ht="14.25" customHeight="1" s="192">
      <c r="W30317" s="239" t="n"/>
      <c r="X30317" s="239" t="n"/>
    </row>
    <row r="30318" ht="14.25" customHeight="1" s="192">
      <c r="W30318" s="239" t="n"/>
      <c r="X30318" s="239" t="n"/>
    </row>
    <row r="30319" ht="14.25" customHeight="1" s="192">
      <c r="W30319" s="235" t="n"/>
      <c r="X30319" s="235" t="n"/>
    </row>
    <row r="30320" ht="14.25" customHeight="1" s="192">
      <c r="W30320" s="235" t="n"/>
      <c r="X30320" s="235" t="n"/>
    </row>
    <row r="30321" ht="14.25" customHeight="1" s="192">
      <c r="W30321" s="235" t="n"/>
      <c r="X30321" s="235" t="n"/>
    </row>
    <row r="30322" ht="14.25" customHeight="1" s="192">
      <c r="W30322" s="239" t="n"/>
      <c r="X30322" s="239" t="n"/>
    </row>
    <row r="30323" ht="14.25" customHeight="1" s="192">
      <c r="W30323" s="239" t="n"/>
      <c r="X30323" s="239" t="n"/>
    </row>
    <row r="30324" ht="14.25" customHeight="1" s="192">
      <c r="W30324" s="235" t="n"/>
      <c r="X30324" s="235" t="n"/>
    </row>
    <row r="30325" ht="14.25" customHeight="1" s="192">
      <c r="W30325" s="235" t="n"/>
      <c r="X30325" s="235" t="n"/>
    </row>
    <row r="30326" ht="14.25" customHeight="1" s="192">
      <c r="W30326" s="239" t="n"/>
      <c r="X30326" s="239" t="n"/>
    </row>
    <row r="30327" ht="14.25" customHeight="1" s="192">
      <c r="W30327" s="235" t="n"/>
      <c r="X30327" s="235" t="n"/>
    </row>
    <row r="30328" ht="14.25" customHeight="1" s="192">
      <c r="W30328" s="239" t="n"/>
      <c r="X30328" s="239" t="n"/>
    </row>
    <row r="30330" ht="14.25" customHeight="1" s="192">
      <c r="W30330" s="235" t="n"/>
      <c r="X30330" s="235" t="n"/>
    </row>
    <row r="30331" ht="15" customHeight="1" s="192" thickBot="1">
      <c r="W30331" s="239" t="n"/>
      <c r="X30331" s="239" t="n"/>
    </row>
    <row r="30332" ht="15" customHeight="1" s="192" thickBot="1">
      <c r="W30332" s="45" t="n"/>
      <c r="X30332" s="45" t="n"/>
    </row>
    <row r="30333" ht="14.25" customHeight="1" s="192">
      <c r="W30333" s="228" t="n"/>
      <c r="X30333" s="228" t="n"/>
    </row>
    <row r="30334" ht="14.25" customHeight="1" s="192">
      <c r="W30334" s="228" t="n"/>
      <c r="X30334" s="228" t="n"/>
    </row>
    <row r="30335" ht="14.25" customHeight="1" s="192">
      <c r="W30335" s="231" t="n"/>
      <c r="X30335" s="231" t="n"/>
    </row>
    <row r="30336" ht="14.25" customHeight="1" s="192">
      <c r="W30336" s="33" t="n"/>
      <c r="X30336" s="33" t="n"/>
    </row>
    <row r="30337" ht="14.25" customHeight="1" s="192">
      <c r="W30337" s="231" t="n"/>
      <c r="X30337" s="231" t="n"/>
    </row>
    <row r="30338" ht="14.25" customHeight="1" s="192">
      <c r="W30338" s="33" t="n"/>
      <c r="X30338" s="33" t="n"/>
    </row>
    <row r="30340" ht="14.25" customHeight="1" s="192">
      <c r="W30340" s="231" t="n"/>
      <c r="X30340" s="231" t="n"/>
    </row>
    <row r="30341" ht="14.25" customHeight="1" s="192">
      <c r="W30341" s="235" t="n"/>
      <c r="X30341" s="235" t="n"/>
    </row>
    <row r="30342" ht="14.25" customHeight="1" s="192">
      <c r="W30342" s="228" t="n"/>
      <c r="X30342" s="228" t="n"/>
    </row>
    <row r="30343" ht="14.25" customHeight="1" s="192">
      <c r="W30343" s="235" t="n"/>
      <c r="X30343" s="235" t="n"/>
    </row>
    <row r="30344" ht="14.25" customHeight="1" s="192">
      <c r="W30344" s="235" t="n"/>
      <c r="X30344" s="235" t="n"/>
    </row>
    <row r="30345" ht="14.25" customHeight="1" s="192">
      <c r="W30345" s="235" t="n"/>
      <c r="X30345" s="235" t="n"/>
    </row>
    <row r="30346" ht="14.25" customHeight="1" s="192">
      <c r="W30346" s="239" t="n"/>
      <c r="X30346" s="239" t="n"/>
    </row>
    <row r="30347" ht="14.25" customHeight="1" s="192">
      <c r="W30347" s="239" t="n"/>
      <c r="X30347" s="239" t="n"/>
    </row>
    <row r="30348" ht="14.25" customHeight="1" s="192">
      <c r="W30348" s="239" t="n"/>
      <c r="X30348" s="239" t="n"/>
    </row>
    <row r="30349" ht="14.25" customHeight="1" s="192">
      <c r="W30349" s="235" t="n"/>
      <c r="X30349" s="235" t="n"/>
    </row>
    <row r="30350" ht="14.25" customHeight="1" s="192">
      <c r="W30350" s="235" t="n"/>
      <c r="X30350" s="235" t="n"/>
    </row>
    <row r="30351" ht="14.25" customHeight="1" s="192">
      <c r="W30351" s="235" t="n"/>
      <c r="X30351" s="235" t="n"/>
    </row>
    <row r="30352" ht="14.25" customHeight="1" s="192">
      <c r="W30352" s="239" t="n"/>
      <c r="X30352" s="239" t="n"/>
    </row>
    <row r="30353" ht="14.25" customHeight="1" s="192">
      <c r="W30353" s="239" t="n"/>
      <c r="X30353" s="239" t="n"/>
    </row>
    <row r="30354" ht="14.25" customHeight="1" s="192">
      <c r="W30354" s="235" t="n"/>
      <c r="X30354" s="235" t="n"/>
    </row>
    <row r="30355" ht="14.25" customHeight="1" s="192">
      <c r="W30355" s="235" t="n"/>
      <c r="X30355" s="235" t="n"/>
    </row>
    <row r="30356" ht="14.25" customHeight="1" s="192">
      <c r="W30356" s="239" t="n"/>
      <c r="X30356" s="239" t="n"/>
    </row>
    <row r="30357" ht="14.25" customHeight="1" s="192">
      <c r="W30357" s="235" t="n"/>
      <c r="X30357" s="235" t="n"/>
    </row>
    <row r="30358" ht="14.25" customHeight="1" s="192">
      <c r="W30358" s="239" t="n"/>
      <c r="X30358" s="239" t="n"/>
    </row>
    <row r="30360" ht="14.25" customHeight="1" s="192">
      <c r="W30360" s="235" t="n"/>
      <c r="X30360" s="235" t="n"/>
    </row>
    <row r="30361" ht="15" customHeight="1" s="192" thickBot="1">
      <c r="W30361" s="239" t="n"/>
      <c r="X30361" s="239" t="n"/>
    </row>
    <row r="30362" ht="15" customHeight="1" s="192" thickBot="1">
      <c r="W30362" s="45" t="n"/>
      <c r="X30362" s="45" t="n"/>
    </row>
    <row r="30363" ht="14.25" customHeight="1" s="192">
      <c r="W30363" s="228" t="n"/>
      <c r="X30363" s="228" t="n"/>
    </row>
    <row r="30364" ht="14.25" customHeight="1" s="192">
      <c r="W30364" s="228" t="n"/>
      <c r="X30364" s="228" t="n"/>
    </row>
    <row r="30365" ht="14.25" customHeight="1" s="192">
      <c r="W30365" s="231" t="n"/>
      <c r="X30365" s="231" t="n"/>
    </row>
    <row r="30366" ht="14.25" customHeight="1" s="192">
      <c r="W30366" s="33" t="n"/>
      <c r="X30366" s="33" t="n"/>
    </row>
    <row r="30367" ht="14.25" customHeight="1" s="192">
      <c r="W30367" s="231" t="n"/>
      <c r="X30367" s="231" t="n"/>
    </row>
    <row r="30368" ht="14.25" customHeight="1" s="192">
      <c r="W30368" s="33" t="n"/>
      <c r="X30368" s="33" t="n"/>
    </row>
    <row r="30370" ht="14.25" customHeight="1" s="192">
      <c r="W30370" s="231" t="n"/>
      <c r="X30370" s="231" t="n"/>
    </row>
    <row r="30371" ht="14.25" customHeight="1" s="192">
      <c r="W30371" s="235" t="n"/>
      <c r="X30371" s="235" t="n"/>
    </row>
    <row r="30372" ht="14.25" customHeight="1" s="192">
      <c r="W30372" s="228" t="n"/>
      <c r="X30372" s="228" t="n"/>
    </row>
    <row r="30373" ht="14.25" customHeight="1" s="192">
      <c r="W30373" s="235" t="n"/>
      <c r="X30373" s="235" t="n"/>
    </row>
    <row r="30374" ht="14.25" customHeight="1" s="192">
      <c r="W30374" s="235" t="n"/>
      <c r="X30374" s="235" t="n"/>
    </row>
    <row r="30375" ht="14.25" customHeight="1" s="192">
      <c r="W30375" s="235" t="n"/>
      <c r="X30375" s="235" t="n"/>
    </row>
    <row r="30376" ht="14.25" customHeight="1" s="192">
      <c r="W30376" s="239" t="n"/>
      <c r="X30376" s="239" t="n"/>
    </row>
    <row r="30377" ht="14.25" customHeight="1" s="192">
      <c r="W30377" s="239" t="n"/>
      <c r="X30377" s="239" t="n"/>
    </row>
    <row r="30378" ht="14.25" customHeight="1" s="192">
      <c r="W30378" s="239" t="n"/>
      <c r="X30378" s="239" t="n"/>
    </row>
    <row r="30379" ht="14.25" customHeight="1" s="192">
      <c r="W30379" s="235" t="n"/>
      <c r="X30379" s="235" t="n"/>
    </row>
    <row r="30380" ht="14.25" customHeight="1" s="192">
      <c r="W30380" s="235" t="n"/>
      <c r="X30380" s="235" t="n"/>
    </row>
    <row r="30381" ht="14.25" customHeight="1" s="192">
      <c r="W30381" s="235" t="n"/>
      <c r="X30381" s="235" t="n"/>
    </row>
    <row r="30382" ht="14.25" customHeight="1" s="192">
      <c r="W30382" s="239" t="n"/>
      <c r="X30382" s="239" t="n"/>
    </row>
    <row r="30383" ht="14.25" customHeight="1" s="192">
      <c r="W30383" s="239" t="n"/>
      <c r="X30383" s="239" t="n"/>
    </row>
    <row r="30384" ht="14.25" customHeight="1" s="192">
      <c r="W30384" s="235" t="n"/>
      <c r="X30384" s="235" t="n"/>
    </row>
    <row r="30385" ht="14.25" customHeight="1" s="192">
      <c r="W30385" s="235" t="n"/>
      <c r="X30385" s="235" t="n"/>
    </row>
    <row r="30386" ht="14.25" customHeight="1" s="192">
      <c r="W30386" s="239" t="n"/>
      <c r="X30386" s="239" t="n"/>
    </row>
    <row r="30387" ht="14.25" customHeight="1" s="192">
      <c r="W30387" s="235" t="n"/>
      <c r="X30387" s="235" t="n"/>
    </row>
    <row r="30388" ht="14.25" customHeight="1" s="192">
      <c r="W30388" s="239" t="n"/>
      <c r="X30388" s="239" t="n"/>
    </row>
    <row r="30390" ht="14.25" customHeight="1" s="192">
      <c r="W30390" s="235" t="n"/>
      <c r="X30390" s="235" t="n"/>
    </row>
    <row r="30391" ht="15" customHeight="1" s="192" thickBot="1">
      <c r="W30391" s="239" t="n"/>
      <c r="X30391" s="239" t="n"/>
    </row>
    <row r="30392" ht="15" customHeight="1" s="192" thickBot="1">
      <c r="W30392" s="45" t="n"/>
      <c r="X30392" s="45" t="n"/>
    </row>
    <row r="30393" ht="14.25" customHeight="1" s="192">
      <c r="W30393" s="228" t="n"/>
      <c r="X30393" s="228" t="n"/>
    </row>
    <row r="30394" ht="14.25" customHeight="1" s="192">
      <c r="W30394" s="228" t="n"/>
      <c r="X30394" s="228" t="n"/>
    </row>
    <row r="30395" ht="14.25" customHeight="1" s="192">
      <c r="W30395" s="231" t="n"/>
      <c r="X30395" s="231" t="n"/>
    </row>
    <row r="30396" ht="14.25" customHeight="1" s="192">
      <c r="W30396" s="33" t="n"/>
      <c r="X30396" s="33" t="n"/>
    </row>
    <row r="30397" ht="14.25" customHeight="1" s="192">
      <c r="W30397" s="231" t="n"/>
      <c r="X30397" s="231" t="n"/>
    </row>
    <row r="30398" ht="14.25" customHeight="1" s="192">
      <c r="W30398" s="33" t="n"/>
      <c r="X30398" s="33" t="n"/>
    </row>
    <row r="30400" ht="14.25" customHeight="1" s="192">
      <c r="W30400" s="231" t="n"/>
      <c r="X30400" s="231" t="n"/>
    </row>
    <row r="30401" ht="14.25" customHeight="1" s="192">
      <c r="W30401" s="235" t="n"/>
      <c r="X30401" s="235" t="n"/>
    </row>
    <row r="30402" ht="14.25" customHeight="1" s="192">
      <c r="W30402" s="228" t="n"/>
      <c r="X30402" s="228" t="n"/>
    </row>
    <row r="30403" ht="14.25" customHeight="1" s="192">
      <c r="W30403" s="235" t="n"/>
      <c r="X30403" s="235" t="n"/>
    </row>
    <row r="30404" ht="14.25" customHeight="1" s="192">
      <c r="W30404" s="235" t="n"/>
      <c r="X30404" s="235" t="n"/>
    </row>
    <row r="30405" ht="14.25" customHeight="1" s="192">
      <c r="W30405" s="235" t="n"/>
      <c r="X30405" s="235" t="n"/>
    </row>
    <row r="30406" ht="14.25" customHeight="1" s="192">
      <c r="W30406" s="239" t="n"/>
      <c r="X30406" s="239" t="n"/>
    </row>
    <row r="30407" ht="14.25" customHeight="1" s="192">
      <c r="W30407" s="239" t="n"/>
      <c r="X30407" s="239" t="n"/>
    </row>
    <row r="30408" ht="14.25" customHeight="1" s="192">
      <c r="W30408" s="239" t="n"/>
      <c r="X30408" s="239" t="n"/>
    </row>
    <row r="30409" ht="14.25" customHeight="1" s="192">
      <c r="W30409" s="235" t="n"/>
      <c r="X30409" s="235" t="n"/>
    </row>
    <row r="30410" ht="14.25" customHeight="1" s="192">
      <c r="W30410" s="235" t="n"/>
      <c r="X30410" s="235" t="n"/>
    </row>
    <row r="30411" ht="14.25" customHeight="1" s="192">
      <c r="W30411" s="235" t="n"/>
      <c r="X30411" s="235" t="n"/>
    </row>
    <row r="30412" ht="14.25" customHeight="1" s="192">
      <c r="W30412" s="239" t="n"/>
      <c r="X30412" s="239" t="n"/>
    </row>
    <row r="30413" ht="14.25" customHeight="1" s="192">
      <c r="W30413" s="239" t="n"/>
      <c r="X30413" s="239" t="n"/>
    </row>
    <row r="30414" ht="14.25" customHeight="1" s="192">
      <c r="W30414" s="235" t="n"/>
      <c r="X30414" s="235" t="n"/>
    </row>
    <row r="30415" ht="14.25" customHeight="1" s="192">
      <c r="W30415" s="235" t="n"/>
      <c r="X30415" s="235" t="n"/>
    </row>
    <row r="30416" ht="14.25" customHeight="1" s="192">
      <c r="W30416" s="239" t="n"/>
      <c r="X30416" s="239" t="n"/>
    </row>
    <row r="30417" ht="14.25" customHeight="1" s="192">
      <c r="W30417" s="235" t="n"/>
      <c r="X30417" s="235" t="n"/>
    </row>
    <row r="30418" ht="14.25" customHeight="1" s="192">
      <c r="W30418" s="239" t="n"/>
      <c r="X30418" s="239" t="n"/>
    </row>
    <row r="30420" ht="14.25" customHeight="1" s="192">
      <c r="W30420" s="235" t="n"/>
      <c r="X30420" s="235" t="n"/>
    </row>
    <row r="30421" ht="15" customHeight="1" s="192" thickBot="1">
      <c r="W30421" s="239" t="n"/>
      <c r="X30421" s="239" t="n"/>
    </row>
    <row r="30422" ht="15" customHeight="1" s="192" thickBot="1">
      <c r="W30422" s="45" t="n"/>
      <c r="X30422" s="45" t="n"/>
    </row>
    <row r="30423" ht="14.25" customHeight="1" s="192">
      <c r="W30423" s="228" t="n"/>
      <c r="X30423" s="228" t="n"/>
    </row>
    <row r="30424" ht="14.25" customHeight="1" s="192">
      <c r="W30424" s="228" t="n"/>
      <c r="X30424" s="228" t="n"/>
    </row>
    <row r="30425" ht="14.25" customHeight="1" s="192">
      <c r="W30425" s="231" t="n"/>
      <c r="X30425" s="231" t="n"/>
    </row>
    <row r="30426" ht="14.25" customHeight="1" s="192">
      <c r="W30426" s="33" t="n"/>
      <c r="X30426" s="33" t="n"/>
    </row>
    <row r="30427" ht="14.25" customHeight="1" s="192">
      <c r="W30427" s="231" t="n"/>
      <c r="X30427" s="231" t="n"/>
    </row>
    <row r="30428" ht="14.25" customHeight="1" s="192">
      <c r="W30428" s="33" t="n"/>
      <c r="X30428" s="33" t="n"/>
    </row>
    <row r="30430" ht="14.25" customHeight="1" s="192">
      <c r="W30430" s="231" t="n"/>
      <c r="X30430" s="231" t="n"/>
    </row>
    <row r="30431" ht="14.25" customHeight="1" s="192">
      <c r="W30431" s="235" t="n"/>
      <c r="X30431" s="235" t="n"/>
    </row>
    <row r="30432" ht="14.25" customHeight="1" s="192">
      <c r="W30432" s="228" t="n"/>
      <c r="X30432" s="228" t="n"/>
    </row>
    <row r="30433" ht="14.25" customHeight="1" s="192">
      <c r="W30433" s="235" t="n"/>
      <c r="X30433" s="235" t="n"/>
    </row>
    <row r="30434" ht="14.25" customHeight="1" s="192">
      <c r="W30434" s="235" t="n"/>
      <c r="X30434" s="235" t="n"/>
    </row>
    <row r="30435" ht="14.25" customHeight="1" s="192">
      <c r="W30435" s="235" t="n"/>
      <c r="X30435" s="235" t="n"/>
    </row>
    <row r="30436" ht="14.25" customHeight="1" s="192">
      <c r="W30436" s="239" t="n"/>
      <c r="X30436" s="239" t="n"/>
    </row>
    <row r="30437" ht="14.25" customHeight="1" s="192">
      <c r="W30437" s="239" t="n"/>
      <c r="X30437" s="239" t="n"/>
    </row>
    <row r="30438" ht="14.25" customHeight="1" s="192">
      <c r="W30438" s="239" t="n"/>
      <c r="X30438" s="239" t="n"/>
    </row>
    <row r="30439" ht="14.25" customHeight="1" s="192">
      <c r="W30439" s="235" t="n"/>
      <c r="X30439" s="235" t="n"/>
    </row>
    <row r="30440" ht="14.25" customHeight="1" s="192">
      <c r="W30440" s="235" t="n"/>
      <c r="X30440" s="235" t="n"/>
    </row>
    <row r="30441" ht="14.25" customHeight="1" s="192">
      <c r="W30441" s="235" t="n"/>
      <c r="X30441" s="235" t="n"/>
    </row>
    <row r="30442" ht="14.25" customHeight="1" s="192">
      <c r="W30442" s="239" t="n"/>
      <c r="X30442" s="239" t="n"/>
    </row>
    <row r="30443" ht="14.25" customHeight="1" s="192">
      <c r="W30443" s="239" t="n"/>
      <c r="X30443" s="239" t="n"/>
    </row>
    <row r="30444" ht="14.25" customHeight="1" s="192">
      <c r="W30444" s="235" t="n"/>
      <c r="X30444" s="235" t="n"/>
    </row>
    <row r="30445" ht="14.25" customHeight="1" s="192">
      <c r="W30445" s="235" t="n"/>
      <c r="X30445" s="235" t="n"/>
    </row>
    <row r="30446" ht="14.25" customHeight="1" s="192">
      <c r="W30446" s="239" t="n"/>
      <c r="X30446" s="239" t="n"/>
    </row>
    <row r="30447" ht="14.25" customHeight="1" s="192">
      <c r="W30447" s="235" t="n"/>
      <c r="X30447" s="235" t="n"/>
    </row>
    <row r="30448" ht="14.25" customHeight="1" s="192">
      <c r="W30448" s="239" t="n"/>
      <c r="X30448" s="239" t="n"/>
    </row>
    <row r="30450" ht="14.25" customHeight="1" s="192">
      <c r="W30450" s="235" t="n"/>
      <c r="X30450" s="235" t="n"/>
    </row>
    <row r="30451" ht="15" customHeight="1" s="192" thickBot="1">
      <c r="W30451" s="239" t="n"/>
      <c r="X30451" s="239" t="n"/>
    </row>
    <row r="30452" ht="15" customHeight="1" s="192" thickBot="1">
      <c r="W30452" s="45" t="n"/>
      <c r="X30452" s="45" t="n"/>
    </row>
    <row r="30453" ht="14.25" customHeight="1" s="192">
      <c r="W30453" s="228" t="n"/>
      <c r="X30453" s="228" t="n"/>
    </row>
    <row r="30454" ht="14.25" customHeight="1" s="192">
      <c r="W30454" s="228" t="n"/>
      <c r="X30454" s="228" t="n"/>
    </row>
    <row r="30455" ht="14.25" customHeight="1" s="192">
      <c r="W30455" s="231" t="n"/>
      <c r="X30455" s="231" t="n"/>
    </row>
    <row r="30456" ht="14.25" customHeight="1" s="192">
      <c r="W30456" s="33" t="n"/>
      <c r="X30456" s="33" t="n"/>
    </row>
    <row r="30457" ht="14.25" customHeight="1" s="192">
      <c r="W30457" s="231" t="n"/>
      <c r="X30457" s="231" t="n"/>
    </row>
    <row r="30458" ht="14.25" customHeight="1" s="192">
      <c r="W30458" s="33" t="n"/>
      <c r="X30458" s="33" t="n"/>
    </row>
    <row r="30460" ht="14.25" customHeight="1" s="192">
      <c r="W30460" s="231" t="n"/>
      <c r="X30460" s="231" t="n"/>
    </row>
    <row r="30461" ht="14.25" customHeight="1" s="192">
      <c r="W30461" s="235" t="n"/>
      <c r="X30461" s="235" t="n"/>
    </row>
    <row r="30462" ht="14.25" customHeight="1" s="192">
      <c r="W30462" s="228" t="n"/>
      <c r="X30462" s="228" t="n"/>
    </row>
    <row r="30463" ht="14.25" customHeight="1" s="192">
      <c r="W30463" s="235" t="n"/>
      <c r="X30463" s="235" t="n"/>
    </row>
    <row r="30464" ht="14.25" customHeight="1" s="192">
      <c r="W30464" s="235" t="n"/>
      <c r="X30464" s="235" t="n"/>
    </row>
    <row r="30465" ht="14.25" customHeight="1" s="192">
      <c r="W30465" s="235" t="n"/>
      <c r="X30465" s="235" t="n"/>
    </row>
    <row r="30466" ht="14.25" customHeight="1" s="192">
      <c r="W30466" s="239" t="n"/>
      <c r="X30466" s="239" t="n"/>
    </row>
    <row r="30467" ht="14.25" customHeight="1" s="192">
      <c r="W30467" s="239" t="n"/>
      <c r="X30467" s="239" t="n"/>
    </row>
    <row r="30468" ht="14.25" customHeight="1" s="192">
      <c r="W30468" s="239" t="n"/>
      <c r="X30468" s="239" t="n"/>
    </row>
    <row r="30469" ht="14.25" customHeight="1" s="192">
      <c r="W30469" s="235" t="n"/>
      <c r="X30469" s="235" t="n"/>
    </row>
    <row r="30470" ht="14.25" customHeight="1" s="192">
      <c r="W30470" s="235" t="n"/>
      <c r="X30470" s="235" t="n"/>
    </row>
    <row r="30471" ht="14.25" customHeight="1" s="192">
      <c r="W30471" s="235" t="n"/>
      <c r="X30471" s="235" t="n"/>
    </row>
    <row r="30472" ht="14.25" customHeight="1" s="192">
      <c r="W30472" s="239" t="n"/>
      <c r="X30472" s="239" t="n"/>
    </row>
    <row r="30473" ht="14.25" customHeight="1" s="192">
      <c r="W30473" s="239" t="n"/>
      <c r="X30473" s="239" t="n"/>
    </row>
    <row r="30474" ht="14.25" customHeight="1" s="192">
      <c r="W30474" s="235" t="n"/>
      <c r="X30474" s="235" t="n"/>
    </row>
    <row r="30475" ht="14.25" customHeight="1" s="192">
      <c r="W30475" s="235" t="n"/>
      <c r="X30475" s="235" t="n"/>
    </row>
    <row r="30476" ht="14.25" customHeight="1" s="192">
      <c r="W30476" s="239" t="n"/>
      <c r="X30476" s="239" t="n"/>
    </row>
    <row r="30477" ht="14.25" customHeight="1" s="192">
      <c r="W30477" s="235" t="n"/>
      <c r="X30477" s="235" t="n"/>
    </row>
    <row r="30478" ht="14.25" customHeight="1" s="192">
      <c r="W30478" s="239" t="n"/>
      <c r="X30478" s="239" t="n"/>
    </row>
    <row r="30480" ht="14.25" customHeight="1" s="192">
      <c r="W30480" s="235" t="n"/>
      <c r="X30480" s="235" t="n"/>
    </row>
    <row r="30481" ht="15" customHeight="1" s="192" thickBot="1">
      <c r="W30481" s="239" t="n"/>
      <c r="X30481" s="239" t="n"/>
    </row>
    <row r="30482" ht="15" customHeight="1" s="192" thickBot="1">
      <c r="W30482" s="45" t="n"/>
      <c r="X30482" s="45" t="n"/>
    </row>
    <row r="30483" ht="14.25" customHeight="1" s="192">
      <c r="W30483" s="228" t="n"/>
      <c r="X30483" s="228" t="n"/>
    </row>
    <row r="30484" ht="14.25" customHeight="1" s="192">
      <c r="W30484" s="228" t="n"/>
      <c r="X30484" s="228" t="n"/>
    </row>
    <row r="30485" ht="14.25" customHeight="1" s="192">
      <c r="W30485" s="231" t="n"/>
      <c r="X30485" s="231" t="n"/>
    </row>
    <row r="30486" ht="14.25" customHeight="1" s="192">
      <c r="W30486" s="33" t="n"/>
      <c r="X30486" s="33" t="n"/>
    </row>
    <row r="30487" ht="14.25" customHeight="1" s="192">
      <c r="W30487" s="231" t="n"/>
      <c r="X30487" s="231" t="n"/>
    </row>
    <row r="30488" ht="14.25" customHeight="1" s="192">
      <c r="W30488" s="33" t="n"/>
      <c r="X30488" s="33" t="n"/>
    </row>
    <row r="30490" ht="14.25" customHeight="1" s="192">
      <c r="W30490" s="231" t="n"/>
      <c r="X30490" s="231" t="n"/>
    </row>
    <row r="30491" ht="14.25" customHeight="1" s="192">
      <c r="W30491" s="235" t="n"/>
      <c r="X30491" s="235" t="n"/>
    </row>
    <row r="30492" ht="14.25" customHeight="1" s="192">
      <c r="W30492" s="228" t="n"/>
      <c r="X30492" s="228" t="n"/>
    </row>
    <row r="30493" ht="14.25" customHeight="1" s="192">
      <c r="W30493" s="235" t="n"/>
      <c r="X30493" s="235" t="n"/>
    </row>
    <row r="30494" ht="14.25" customHeight="1" s="192">
      <c r="W30494" s="235" t="n"/>
      <c r="X30494" s="235" t="n"/>
    </row>
    <row r="30495" ht="14.25" customHeight="1" s="192">
      <c r="W30495" s="235" t="n"/>
      <c r="X30495" s="235" t="n"/>
    </row>
    <row r="30496" ht="14.25" customHeight="1" s="192">
      <c r="W30496" s="239" t="n"/>
      <c r="X30496" s="239" t="n"/>
    </row>
    <row r="30497" ht="14.25" customHeight="1" s="192">
      <c r="W30497" s="239" t="n"/>
      <c r="X30497" s="239" t="n"/>
    </row>
    <row r="30498" ht="14.25" customHeight="1" s="192">
      <c r="W30498" s="239" t="n"/>
      <c r="X30498" s="239" t="n"/>
    </row>
    <row r="30499" ht="14.25" customHeight="1" s="192">
      <c r="W30499" s="235" t="n"/>
      <c r="X30499" s="235" t="n"/>
    </row>
    <row r="30500" ht="14.25" customHeight="1" s="192">
      <c r="W30500" s="235" t="n"/>
      <c r="X30500" s="235" t="n"/>
    </row>
    <row r="30501" ht="14.25" customHeight="1" s="192">
      <c r="W30501" s="235" t="n"/>
      <c r="X30501" s="235" t="n"/>
    </row>
    <row r="30502" ht="14.25" customHeight="1" s="192">
      <c r="W30502" s="239" t="n"/>
      <c r="X30502" s="239" t="n"/>
    </row>
    <row r="30503" ht="14.25" customHeight="1" s="192">
      <c r="W30503" s="239" t="n"/>
      <c r="X30503" s="239" t="n"/>
    </row>
    <row r="30504" ht="14.25" customHeight="1" s="192">
      <c r="W30504" s="235" t="n"/>
      <c r="X30504" s="235" t="n"/>
    </row>
    <row r="30505" ht="14.25" customHeight="1" s="192">
      <c r="W30505" s="235" t="n"/>
      <c r="X30505" s="235" t="n"/>
    </row>
    <row r="30506" ht="14.25" customHeight="1" s="192">
      <c r="W30506" s="239" t="n"/>
      <c r="X30506" s="239" t="n"/>
    </row>
    <row r="30507" ht="14.25" customHeight="1" s="192">
      <c r="W30507" s="235" t="n"/>
      <c r="X30507" s="235" t="n"/>
    </row>
    <row r="30508" ht="14.25" customHeight="1" s="192">
      <c r="W30508" s="239" t="n"/>
      <c r="X30508" s="239" t="n"/>
    </row>
    <row r="30510" ht="14.25" customHeight="1" s="192">
      <c r="W30510" s="235" t="n"/>
      <c r="X30510" s="235" t="n"/>
    </row>
    <row r="30511" ht="15" customHeight="1" s="192" thickBot="1">
      <c r="W30511" s="239" t="n"/>
      <c r="X30511" s="239" t="n"/>
    </row>
    <row r="30512" ht="15" customHeight="1" s="192" thickBot="1">
      <c r="W30512" s="45" t="n"/>
      <c r="X30512" s="45" t="n"/>
    </row>
    <row r="30513" ht="14.25" customHeight="1" s="192">
      <c r="W30513" s="228" t="n"/>
      <c r="X30513" s="228" t="n"/>
    </row>
    <row r="30514" ht="14.25" customHeight="1" s="192">
      <c r="W30514" s="228" t="n"/>
      <c r="X30514" s="228" t="n"/>
    </row>
    <row r="30515" ht="14.25" customHeight="1" s="192">
      <c r="W30515" s="231" t="n"/>
      <c r="X30515" s="231" t="n"/>
    </row>
    <row r="30516" ht="14.25" customHeight="1" s="192">
      <c r="W30516" s="33" t="n"/>
      <c r="X30516" s="33" t="n"/>
    </row>
    <row r="30517" ht="14.25" customHeight="1" s="192">
      <c r="W30517" s="231" t="n"/>
      <c r="X30517" s="231" t="n"/>
    </row>
    <row r="30518" ht="14.25" customHeight="1" s="192">
      <c r="W30518" s="33" t="n"/>
      <c r="X30518" s="33" t="n"/>
    </row>
    <row r="30520" ht="14.25" customHeight="1" s="192">
      <c r="W30520" s="231" t="n"/>
      <c r="X30520" s="231" t="n"/>
    </row>
    <row r="30521" ht="14.25" customHeight="1" s="192">
      <c r="W30521" s="235" t="n"/>
      <c r="X30521" s="235" t="n"/>
    </row>
    <row r="30522" ht="14.25" customHeight="1" s="192">
      <c r="W30522" s="228" t="n"/>
      <c r="X30522" s="228" t="n"/>
    </row>
    <row r="30523" ht="14.25" customHeight="1" s="192">
      <c r="W30523" s="235" t="n"/>
      <c r="X30523" s="235" t="n"/>
    </row>
    <row r="30524" ht="14.25" customHeight="1" s="192">
      <c r="W30524" s="235" t="n"/>
      <c r="X30524" s="235" t="n"/>
    </row>
    <row r="30525" ht="14.25" customHeight="1" s="192">
      <c r="W30525" s="235" t="n"/>
      <c r="X30525" s="235" t="n"/>
    </row>
    <row r="30526" ht="14.25" customHeight="1" s="192">
      <c r="W30526" s="239" t="n"/>
      <c r="X30526" s="239" t="n"/>
    </row>
    <row r="30527" ht="14.25" customHeight="1" s="192">
      <c r="W30527" s="239" t="n"/>
      <c r="X30527" s="239" t="n"/>
    </row>
    <row r="30528" ht="14.25" customHeight="1" s="192">
      <c r="W30528" s="239" t="n"/>
      <c r="X30528" s="239" t="n"/>
    </row>
    <row r="30529" ht="14.25" customHeight="1" s="192">
      <c r="W30529" s="235" t="n"/>
      <c r="X30529" s="235" t="n"/>
    </row>
    <row r="30530" ht="14.25" customHeight="1" s="192">
      <c r="W30530" s="235" t="n"/>
      <c r="X30530" s="235" t="n"/>
    </row>
    <row r="30531" ht="14.25" customHeight="1" s="192">
      <c r="W30531" s="235" t="n"/>
      <c r="X30531" s="235" t="n"/>
    </row>
    <row r="30532" ht="14.25" customHeight="1" s="192">
      <c r="W30532" s="239" t="n"/>
      <c r="X30532" s="239" t="n"/>
    </row>
    <row r="30533" ht="14.25" customHeight="1" s="192">
      <c r="W30533" s="239" t="n"/>
      <c r="X30533" s="239" t="n"/>
    </row>
    <row r="30534" ht="14.25" customHeight="1" s="192">
      <c r="W30534" s="235" t="n"/>
      <c r="X30534" s="235" t="n"/>
    </row>
    <row r="30535" ht="14.25" customHeight="1" s="192">
      <c r="W30535" s="235" t="n"/>
      <c r="X30535" s="235" t="n"/>
    </row>
    <row r="30536" ht="14.25" customHeight="1" s="192">
      <c r="W30536" s="239" t="n"/>
      <c r="X30536" s="239" t="n"/>
    </row>
    <row r="30537" ht="14.25" customHeight="1" s="192">
      <c r="W30537" s="235" t="n"/>
      <c r="X30537" s="235" t="n"/>
    </row>
    <row r="30538" ht="14.25" customHeight="1" s="192">
      <c r="W30538" s="239" t="n"/>
      <c r="X30538" s="239" t="n"/>
    </row>
    <row r="30540" ht="14.25" customHeight="1" s="192">
      <c r="W30540" s="235" t="n"/>
      <c r="X30540" s="235" t="n"/>
    </row>
    <row r="30541" ht="15" customHeight="1" s="192" thickBot="1">
      <c r="W30541" s="239" t="n"/>
      <c r="X30541" s="239" t="n"/>
    </row>
    <row r="30542" ht="15" customHeight="1" s="192" thickBot="1">
      <c r="W30542" s="45" t="n"/>
      <c r="X30542" s="45" t="n"/>
    </row>
    <row r="30543" ht="14.25" customHeight="1" s="192">
      <c r="W30543" s="228" t="n"/>
      <c r="X30543" s="228" t="n"/>
    </row>
    <row r="30544" ht="14.25" customHeight="1" s="192">
      <c r="W30544" s="228" t="n"/>
      <c r="X30544" s="228" t="n"/>
    </row>
    <row r="30545" ht="14.25" customHeight="1" s="192">
      <c r="W30545" s="231" t="n"/>
      <c r="X30545" s="231" t="n"/>
    </row>
    <row r="30546" ht="14.25" customHeight="1" s="192">
      <c r="W30546" s="33" t="n"/>
      <c r="X30546" s="33" t="n"/>
    </row>
    <row r="30547" ht="14.25" customHeight="1" s="192">
      <c r="W30547" s="231" t="n"/>
      <c r="X30547" s="231" t="n"/>
    </row>
    <row r="30548" ht="14.25" customHeight="1" s="192">
      <c r="W30548" s="33" t="n"/>
      <c r="X30548" s="33" t="n"/>
    </row>
    <row r="30550" ht="14.25" customHeight="1" s="192">
      <c r="W30550" s="231" t="n"/>
      <c r="X30550" s="231" t="n"/>
    </row>
    <row r="30551" ht="14.25" customHeight="1" s="192">
      <c r="W30551" s="235" t="n"/>
      <c r="X30551" s="235" t="n"/>
    </row>
    <row r="30552" ht="14.25" customHeight="1" s="192">
      <c r="W30552" s="228" t="n"/>
      <c r="X30552" s="228" t="n"/>
    </row>
    <row r="30553" ht="14.25" customHeight="1" s="192">
      <c r="W30553" s="235" t="n"/>
      <c r="X30553" s="235" t="n"/>
    </row>
    <row r="30554" ht="14.25" customHeight="1" s="192">
      <c r="W30554" s="235" t="n"/>
      <c r="X30554" s="235" t="n"/>
    </row>
    <row r="30555" ht="14.25" customHeight="1" s="192">
      <c r="W30555" s="235" t="n"/>
      <c r="X30555" s="235" t="n"/>
    </row>
    <row r="30556" ht="14.25" customHeight="1" s="192">
      <c r="W30556" s="239" t="n"/>
      <c r="X30556" s="239" t="n"/>
    </row>
    <row r="30557" ht="14.25" customHeight="1" s="192">
      <c r="W30557" s="239" t="n"/>
      <c r="X30557" s="239" t="n"/>
    </row>
    <row r="30558" ht="14.25" customHeight="1" s="192">
      <c r="W30558" s="239" t="n"/>
      <c r="X30558" s="239" t="n"/>
    </row>
    <row r="30559" ht="14.25" customHeight="1" s="192">
      <c r="W30559" s="235" t="n"/>
      <c r="X30559" s="235" t="n"/>
    </row>
    <row r="30560" ht="14.25" customHeight="1" s="192">
      <c r="W30560" s="235" t="n"/>
      <c r="X30560" s="235" t="n"/>
    </row>
    <row r="30561" ht="14.25" customHeight="1" s="192">
      <c r="W30561" s="235" t="n"/>
      <c r="X30561" s="235" t="n"/>
    </row>
    <row r="30562" ht="14.25" customHeight="1" s="192">
      <c r="W30562" s="239" t="n"/>
      <c r="X30562" s="239" t="n"/>
    </row>
    <row r="30563" ht="14.25" customHeight="1" s="192">
      <c r="W30563" s="239" t="n"/>
      <c r="X30563" s="239" t="n"/>
    </row>
    <row r="30564" ht="14.25" customHeight="1" s="192">
      <c r="W30564" s="235" t="n"/>
      <c r="X30564" s="235" t="n"/>
    </row>
    <row r="30565" ht="14.25" customHeight="1" s="192">
      <c r="W30565" s="235" t="n"/>
      <c r="X30565" s="235" t="n"/>
    </row>
    <row r="30566" ht="14.25" customHeight="1" s="192">
      <c r="W30566" s="239" t="n"/>
      <c r="X30566" s="239" t="n"/>
    </row>
    <row r="30567" ht="14.25" customHeight="1" s="192">
      <c r="W30567" s="235" t="n"/>
      <c r="X30567" s="235" t="n"/>
    </row>
    <row r="30568" ht="14.25" customHeight="1" s="192">
      <c r="W30568" s="239" t="n"/>
      <c r="X30568" s="239" t="n"/>
    </row>
    <row r="30570" ht="14.25" customHeight="1" s="192">
      <c r="W30570" s="235" t="n"/>
      <c r="X30570" s="235" t="n"/>
    </row>
    <row r="30571" ht="15" customHeight="1" s="192" thickBot="1">
      <c r="W30571" s="239" t="n"/>
      <c r="X30571" s="239" t="n"/>
    </row>
    <row r="30572" ht="15" customHeight="1" s="192" thickBot="1">
      <c r="W30572" s="45" t="n"/>
      <c r="X30572" s="45" t="n"/>
    </row>
    <row r="30573" ht="14.25" customHeight="1" s="192">
      <c r="W30573" s="228" t="n"/>
      <c r="X30573" s="228" t="n"/>
    </row>
    <row r="30574" ht="14.25" customHeight="1" s="192">
      <c r="W30574" s="228" t="n"/>
      <c r="X30574" s="228" t="n"/>
    </row>
    <row r="30575" ht="14.25" customHeight="1" s="192">
      <c r="W30575" s="231" t="n"/>
      <c r="X30575" s="231" t="n"/>
    </row>
    <row r="30576" ht="14.25" customHeight="1" s="192">
      <c r="W30576" s="33" t="n"/>
      <c r="X30576" s="33" t="n"/>
    </row>
    <row r="30577" ht="14.25" customHeight="1" s="192">
      <c r="W30577" s="231" t="n"/>
      <c r="X30577" s="231" t="n"/>
    </row>
    <row r="30578" ht="14.25" customHeight="1" s="192">
      <c r="W30578" s="33" t="n"/>
      <c r="X30578" s="33" t="n"/>
    </row>
    <row r="30580" ht="14.25" customHeight="1" s="192">
      <c r="W30580" s="231" t="n"/>
      <c r="X30580" s="231" t="n"/>
    </row>
    <row r="30581" ht="14.25" customHeight="1" s="192">
      <c r="W30581" s="235" t="n"/>
      <c r="X30581" s="235" t="n"/>
    </row>
    <row r="30582" ht="14.25" customHeight="1" s="192">
      <c r="W30582" s="228" t="n"/>
      <c r="X30582" s="228" t="n"/>
    </row>
    <row r="30583" ht="14.25" customHeight="1" s="192">
      <c r="W30583" s="235" t="n"/>
      <c r="X30583" s="235" t="n"/>
    </row>
    <row r="30584" ht="14.25" customHeight="1" s="192">
      <c r="W30584" s="235" t="n"/>
      <c r="X30584" s="235" t="n"/>
    </row>
    <row r="30585" ht="14.25" customHeight="1" s="192">
      <c r="W30585" s="235" t="n"/>
      <c r="X30585" s="235" t="n"/>
    </row>
    <row r="30586" ht="14.25" customHeight="1" s="192">
      <c r="W30586" s="239" t="n"/>
      <c r="X30586" s="239" t="n"/>
    </row>
    <row r="30587" ht="14.25" customHeight="1" s="192">
      <c r="W30587" s="239" t="n"/>
      <c r="X30587" s="239" t="n"/>
    </row>
    <row r="30588" ht="14.25" customHeight="1" s="192">
      <c r="W30588" s="239" t="n"/>
      <c r="X30588" s="239" t="n"/>
    </row>
    <row r="30589" ht="14.25" customHeight="1" s="192">
      <c r="W30589" s="235" t="n"/>
      <c r="X30589" s="235" t="n"/>
    </row>
    <row r="30590" ht="14.25" customHeight="1" s="192">
      <c r="W30590" s="235" t="n"/>
      <c r="X30590" s="235" t="n"/>
    </row>
    <row r="30591" ht="14.25" customHeight="1" s="192">
      <c r="W30591" s="235" t="n"/>
      <c r="X30591" s="235" t="n"/>
    </row>
    <row r="30592" ht="14.25" customHeight="1" s="192">
      <c r="W30592" s="239" t="n"/>
      <c r="X30592" s="239" t="n"/>
    </row>
    <row r="30593" ht="14.25" customHeight="1" s="192">
      <c r="W30593" s="239" t="n"/>
      <c r="X30593" s="239" t="n"/>
    </row>
    <row r="30594" ht="14.25" customHeight="1" s="192">
      <c r="W30594" s="235" t="n"/>
      <c r="X30594" s="235" t="n"/>
    </row>
    <row r="30595" ht="14.25" customHeight="1" s="192">
      <c r="W30595" s="235" t="n"/>
      <c r="X30595" s="235" t="n"/>
    </row>
    <row r="30596" ht="14.25" customHeight="1" s="192">
      <c r="W30596" s="239" t="n"/>
      <c r="X30596" s="239" t="n"/>
    </row>
    <row r="30597" ht="14.25" customHeight="1" s="192">
      <c r="W30597" s="235" t="n"/>
      <c r="X30597" s="235" t="n"/>
    </row>
    <row r="30598" ht="14.25" customHeight="1" s="192">
      <c r="W30598" s="239" t="n"/>
      <c r="X30598" s="239" t="n"/>
    </row>
    <row r="30600" ht="14.25" customHeight="1" s="192">
      <c r="W30600" s="235" t="n"/>
      <c r="X30600" s="235" t="n"/>
    </row>
    <row r="30601" ht="15" customHeight="1" s="192" thickBot="1">
      <c r="W30601" s="239" t="n"/>
      <c r="X30601" s="239" t="n"/>
    </row>
    <row r="30602" ht="15" customHeight="1" s="192" thickBot="1">
      <c r="W30602" s="45" t="n"/>
      <c r="X30602" s="45" t="n"/>
    </row>
    <row r="30603" ht="14.25" customHeight="1" s="192">
      <c r="W30603" s="228" t="n"/>
      <c r="X30603" s="228" t="n"/>
    </row>
    <row r="30604" ht="14.25" customHeight="1" s="192">
      <c r="W30604" s="228" t="n"/>
      <c r="X30604" s="228" t="n"/>
    </row>
    <row r="30605" ht="14.25" customHeight="1" s="192">
      <c r="W30605" s="231" t="n"/>
      <c r="X30605" s="231" t="n"/>
    </row>
    <row r="30606" ht="14.25" customHeight="1" s="192">
      <c r="W30606" s="33" t="n"/>
      <c r="X30606" s="33" t="n"/>
    </row>
    <row r="30607" ht="14.25" customHeight="1" s="192">
      <c r="W30607" s="231" t="n"/>
      <c r="X30607" s="231" t="n"/>
    </row>
    <row r="30608" ht="14.25" customHeight="1" s="192">
      <c r="W30608" s="33" t="n"/>
      <c r="X30608" s="33" t="n"/>
    </row>
    <row r="30610" ht="14.25" customHeight="1" s="192">
      <c r="W30610" s="231" t="n"/>
      <c r="X30610" s="231" t="n"/>
    </row>
    <row r="30611" ht="14.25" customHeight="1" s="192">
      <c r="W30611" s="235" t="n"/>
      <c r="X30611" s="235" t="n"/>
    </row>
    <row r="30612" ht="14.25" customHeight="1" s="192">
      <c r="W30612" s="228" t="n"/>
      <c r="X30612" s="228" t="n"/>
    </row>
    <row r="30613" ht="14.25" customHeight="1" s="192">
      <c r="W30613" s="235" t="n"/>
      <c r="X30613" s="235" t="n"/>
    </row>
    <row r="30614" ht="14.25" customHeight="1" s="192">
      <c r="W30614" s="235" t="n"/>
      <c r="X30614" s="235" t="n"/>
    </row>
    <row r="30615" ht="14.25" customHeight="1" s="192">
      <c r="W30615" s="235" t="n"/>
      <c r="X30615" s="235" t="n"/>
    </row>
    <row r="30616" ht="14.25" customHeight="1" s="192">
      <c r="W30616" s="239" t="n"/>
      <c r="X30616" s="239" t="n"/>
    </row>
    <row r="30617" ht="14.25" customHeight="1" s="192">
      <c r="W30617" s="239" t="n"/>
      <c r="X30617" s="239" t="n"/>
    </row>
    <row r="30618" ht="14.25" customHeight="1" s="192">
      <c r="W30618" s="239" t="n"/>
      <c r="X30618" s="239" t="n"/>
    </row>
    <row r="30619" ht="14.25" customHeight="1" s="192">
      <c r="W30619" s="235" t="n"/>
      <c r="X30619" s="235" t="n"/>
    </row>
    <row r="30620" ht="14.25" customHeight="1" s="192">
      <c r="W30620" s="235" t="n"/>
      <c r="X30620" s="235" t="n"/>
    </row>
    <row r="30621" ht="14.25" customHeight="1" s="192">
      <c r="W30621" s="235" t="n"/>
      <c r="X30621" s="235" t="n"/>
    </row>
    <row r="30622" ht="14.25" customHeight="1" s="192">
      <c r="W30622" s="239" t="n"/>
      <c r="X30622" s="239" t="n"/>
    </row>
    <row r="30623" ht="14.25" customHeight="1" s="192">
      <c r="W30623" s="239" t="n"/>
      <c r="X30623" s="239" t="n"/>
    </row>
    <row r="30624" ht="14.25" customHeight="1" s="192">
      <c r="W30624" s="235" t="n"/>
      <c r="X30624" s="235" t="n"/>
    </row>
    <row r="30625" ht="14.25" customHeight="1" s="192">
      <c r="W30625" s="235" t="n"/>
      <c r="X30625" s="235" t="n"/>
    </row>
    <row r="30626" ht="14.25" customHeight="1" s="192">
      <c r="W30626" s="239" t="n"/>
      <c r="X30626" s="239" t="n"/>
    </row>
    <row r="30627" ht="14.25" customHeight="1" s="192">
      <c r="W30627" s="235" t="n"/>
      <c r="X30627" s="235" t="n"/>
    </row>
    <row r="30628" ht="14.25" customHeight="1" s="192">
      <c r="W30628" s="239" t="n"/>
      <c r="X30628" s="239" t="n"/>
    </row>
    <row r="30630" ht="14.25" customHeight="1" s="192">
      <c r="W30630" s="235" t="n"/>
      <c r="X30630" s="235" t="n"/>
    </row>
    <row r="30631" ht="15" customHeight="1" s="192" thickBot="1">
      <c r="W30631" s="239" t="n"/>
      <c r="X30631" s="239" t="n"/>
    </row>
    <row r="30632" ht="15" customHeight="1" s="192" thickBot="1">
      <c r="W30632" s="45" t="n"/>
      <c r="X30632" s="45" t="n"/>
    </row>
    <row r="30633" ht="14.25" customHeight="1" s="192">
      <c r="W30633" s="228" t="n"/>
      <c r="X30633" s="228" t="n"/>
    </row>
    <row r="30634" ht="14.25" customHeight="1" s="192">
      <c r="W30634" s="228" t="n"/>
      <c r="X30634" s="228" t="n"/>
    </row>
    <row r="30635" ht="14.25" customHeight="1" s="192">
      <c r="W30635" s="231" t="n"/>
      <c r="X30635" s="231" t="n"/>
    </row>
    <row r="30636" ht="14.25" customHeight="1" s="192">
      <c r="W30636" s="33" t="n"/>
      <c r="X30636" s="33" t="n"/>
    </row>
    <row r="30637" ht="14.25" customHeight="1" s="192">
      <c r="W30637" s="231" t="n"/>
      <c r="X30637" s="231" t="n"/>
    </row>
    <row r="30638" ht="14.25" customHeight="1" s="192">
      <c r="W30638" s="33" t="n"/>
      <c r="X30638" s="33" t="n"/>
    </row>
    <row r="30640" ht="14.25" customHeight="1" s="192">
      <c r="W30640" s="231" t="n"/>
      <c r="X30640" s="231" t="n"/>
    </row>
    <row r="30641" ht="14.25" customHeight="1" s="192">
      <c r="W30641" s="235" t="n"/>
      <c r="X30641" s="235" t="n"/>
    </row>
    <row r="30642" ht="14.25" customHeight="1" s="192">
      <c r="W30642" s="228" t="n"/>
      <c r="X30642" s="228" t="n"/>
    </row>
    <row r="30643" ht="14.25" customHeight="1" s="192">
      <c r="W30643" s="235" t="n"/>
      <c r="X30643" s="235" t="n"/>
    </row>
    <row r="30644" ht="14.25" customHeight="1" s="192">
      <c r="W30644" s="235" t="n"/>
      <c r="X30644" s="235" t="n"/>
    </row>
    <row r="30645" ht="14.25" customHeight="1" s="192">
      <c r="W30645" s="235" t="n"/>
      <c r="X30645" s="235" t="n"/>
    </row>
    <row r="30646" ht="14.25" customHeight="1" s="192">
      <c r="W30646" s="239" t="n"/>
      <c r="X30646" s="239" t="n"/>
    </row>
    <row r="30647" ht="14.25" customHeight="1" s="192">
      <c r="W30647" s="239" t="n"/>
      <c r="X30647" s="239" t="n"/>
    </row>
    <row r="30648" ht="14.25" customHeight="1" s="192">
      <c r="W30648" s="239" t="n"/>
      <c r="X30648" s="239" t="n"/>
    </row>
    <row r="30649" ht="14.25" customHeight="1" s="192">
      <c r="W30649" s="235" t="n"/>
      <c r="X30649" s="235" t="n"/>
    </row>
    <row r="30650" ht="14.25" customHeight="1" s="192">
      <c r="W30650" s="235" t="n"/>
      <c r="X30650" s="235" t="n"/>
    </row>
    <row r="30651" ht="14.25" customHeight="1" s="192">
      <c r="W30651" s="235" t="n"/>
      <c r="X30651" s="235" t="n"/>
    </row>
    <row r="30652" ht="14.25" customHeight="1" s="192">
      <c r="W30652" s="239" t="n"/>
      <c r="X30652" s="239" t="n"/>
    </row>
    <row r="30653" ht="14.25" customHeight="1" s="192">
      <c r="W30653" s="239" t="n"/>
      <c r="X30653" s="239" t="n"/>
    </row>
    <row r="30654" ht="14.25" customHeight="1" s="192">
      <c r="W30654" s="235" t="n"/>
      <c r="X30654" s="235" t="n"/>
    </row>
    <row r="30655" ht="14.25" customHeight="1" s="192">
      <c r="W30655" s="235" t="n"/>
      <c r="X30655" s="235" t="n"/>
    </row>
    <row r="30656" ht="14.25" customHeight="1" s="192">
      <c r="W30656" s="239" t="n"/>
      <c r="X30656" s="239" t="n"/>
    </row>
    <row r="30657" ht="14.25" customHeight="1" s="192">
      <c r="W30657" s="235" t="n"/>
      <c r="X30657" s="235" t="n"/>
    </row>
    <row r="30658" ht="14.25" customHeight="1" s="192">
      <c r="W30658" s="239" t="n"/>
      <c r="X30658" s="239" t="n"/>
    </row>
    <row r="30660" ht="14.25" customHeight="1" s="192">
      <c r="W30660" s="235" t="n"/>
      <c r="X30660" s="235" t="n"/>
    </row>
    <row r="30661" ht="15" customHeight="1" s="192" thickBot="1">
      <c r="W30661" s="239" t="n"/>
      <c r="X30661" s="239" t="n"/>
    </row>
    <row r="30662" ht="15" customHeight="1" s="192" thickBot="1">
      <c r="W30662" s="45" t="n"/>
      <c r="X30662" s="45" t="n"/>
    </row>
    <row r="30663" ht="14.25" customHeight="1" s="192">
      <c r="W30663" s="228" t="n"/>
      <c r="X30663" s="228" t="n"/>
    </row>
    <row r="30664" ht="14.25" customHeight="1" s="192">
      <c r="W30664" s="228" t="n"/>
      <c r="X30664" s="228" t="n"/>
    </row>
    <row r="30665" ht="14.25" customHeight="1" s="192">
      <c r="W30665" s="231" t="n"/>
      <c r="X30665" s="231" t="n"/>
    </row>
    <row r="30666" ht="14.25" customHeight="1" s="192">
      <c r="W30666" s="33" t="n"/>
      <c r="X30666" s="33" t="n"/>
    </row>
    <row r="30667" ht="14.25" customHeight="1" s="192">
      <c r="W30667" s="231" t="n"/>
      <c r="X30667" s="231" t="n"/>
    </row>
    <row r="30668" ht="14.25" customHeight="1" s="192">
      <c r="W30668" s="33" t="n"/>
      <c r="X30668" s="33" t="n"/>
    </row>
    <row r="30670" ht="14.25" customHeight="1" s="192">
      <c r="W30670" s="231" t="n"/>
      <c r="X30670" s="231" t="n"/>
    </row>
    <row r="30671" ht="14.25" customHeight="1" s="192">
      <c r="W30671" s="235" t="n"/>
      <c r="X30671" s="235" t="n"/>
    </row>
    <row r="30672" ht="14.25" customHeight="1" s="192">
      <c r="W30672" s="228" t="n"/>
      <c r="X30672" s="228" t="n"/>
    </row>
    <row r="30673" ht="14.25" customHeight="1" s="192">
      <c r="W30673" s="235" t="n"/>
      <c r="X30673" s="235" t="n"/>
    </row>
    <row r="30674" ht="14.25" customHeight="1" s="192">
      <c r="W30674" s="235" t="n"/>
      <c r="X30674" s="235" t="n"/>
    </row>
    <row r="30675" ht="14.25" customHeight="1" s="192">
      <c r="W30675" s="235" t="n"/>
      <c r="X30675" s="235" t="n"/>
    </row>
    <row r="30676" ht="14.25" customHeight="1" s="192">
      <c r="W30676" s="239" t="n"/>
      <c r="X30676" s="239" t="n"/>
    </row>
    <row r="30677" ht="14.25" customHeight="1" s="192">
      <c r="W30677" s="239" t="n"/>
      <c r="X30677" s="239" t="n"/>
    </row>
    <row r="30678" ht="14.25" customHeight="1" s="192">
      <c r="W30678" s="239" t="n"/>
      <c r="X30678" s="239" t="n"/>
    </row>
    <row r="30679" ht="14.25" customHeight="1" s="192">
      <c r="W30679" s="235" t="n"/>
      <c r="X30679" s="235" t="n"/>
    </row>
    <row r="30680" ht="14.25" customHeight="1" s="192">
      <c r="W30680" s="235" t="n"/>
      <c r="X30680" s="235" t="n"/>
    </row>
    <row r="30681" ht="14.25" customHeight="1" s="192">
      <c r="W30681" s="235" t="n"/>
      <c r="X30681" s="235" t="n"/>
    </row>
    <row r="30682" ht="14.25" customHeight="1" s="192">
      <c r="W30682" s="239" t="n"/>
      <c r="X30682" s="239" t="n"/>
    </row>
    <row r="30683" ht="14.25" customHeight="1" s="192">
      <c r="W30683" s="239" t="n"/>
      <c r="X30683" s="239" t="n"/>
    </row>
    <row r="30684" ht="14.25" customHeight="1" s="192">
      <c r="W30684" s="235" t="n"/>
      <c r="X30684" s="235" t="n"/>
    </row>
    <row r="30685" ht="14.25" customHeight="1" s="192">
      <c r="W30685" s="235" t="n"/>
      <c r="X30685" s="235" t="n"/>
    </row>
    <row r="30686" ht="14.25" customHeight="1" s="192">
      <c r="W30686" s="239" t="n"/>
      <c r="X30686" s="239" t="n"/>
    </row>
    <row r="30687" ht="14.25" customHeight="1" s="192">
      <c r="W30687" s="235" t="n"/>
      <c r="X30687" s="235" t="n"/>
    </row>
    <row r="30688" ht="14.25" customHeight="1" s="192">
      <c r="W30688" s="239" t="n"/>
      <c r="X30688" s="239" t="n"/>
    </row>
    <row r="30690" ht="14.25" customHeight="1" s="192">
      <c r="W30690" s="235" t="n"/>
      <c r="X30690" s="235" t="n"/>
    </row>
    <row r="30691" ht="15" customHeight="1" s="192" thickBot="1">
      <c r="W30691" s="239" t="n"/>
      <c r="X30691" s="239" t="n"/>
    </row>
    <row r="30692" ht="15" customHeight="1" s="192" thickBot="1">
      <c r="W30692" s="45" t="n"/>
      <c r="X30692" s="45" t="n"/>
    </row>
    <row r="30693" ht="14.25" customHeight="1" s="192">
      <c r="W30693" s="228" t="n"/>
      <c r="X30693" s="228" t="n"/>
    </row>
    <row r="30694" ht="14.25" customHeight="1" s="192">
      <c r="W30694" s="228" t="n"/>
      <c r="X30694" s="228" t="n"/>
    </row>
    <row r="30695" ht="14.25" customHeight="1" s="192">
      <c r="W30695" s="231" t="n"/>
      <c r="X30695" s="231" t="n"/>
    </row>
    <row r="30696" ht="14.25" customHeight="1" s="192">
      <c r="W30696" s="33" t="n"/>
      <c r="X30696" s="33" t="n"/>
    </row>
    <row r="30697" ht="14.25" customHeight="1" s="192">
      <c r="W30697" s="231" t="n"/>
      <c r="X30697" s="231" t="n"/>
    </row>
    <row r="30698" ht="14.25" customHeight="1" s="192">
      <c r="W30698" s="33" t="n"/>
      <c r="X30698" s="33" t="n"/>
    </row>
    <row r="30700" ht="14.25" customHeight="1" s="192">
      <c r="W30700" s="231" t="n"/>
      <c r="X30700" s="231" t="n"/>
    </row>
    <row r="30701" ht="14.25" customHeight="1" s="192">
      <c r="W30701" s="235" t="n"/>
      <c r="X30701" s="235" t="n"/>
    </row>
    <row r="30702" ht="14.25" customHeight="1" s="192">
      <c r="W30702" s="228" t="n"/>
      <c r="X30702" s="228" t="n"/>
    </row>
    <row r="30703" ht="14.25" customHeight="1" s="192">
      <c r="W30703" s="235" t="n"/>
      <c r="X30703" s="235" t="n"/>
    </row>
    <row r="30704" ht="14.25" customHeight="1" s="192">
      <c r="W30704" s="235" t="n"/>
      <c r="X30704" s="235" t="n"/>
    </row>
    <row r="30705" ht="14.25" customHeight="1" s="192">
      <c r="W30705" s="235" t="n"/>
      <c r="X30705" s="235" t="n"/>
    </row>
    <row r="30706" ht="14.25" customHeight="1" s="192">
      <c r="W30706" s="239" t="n"/>
      <c r="X30706" s="239" t="n"/>
    </row>
    <row r="30707" ht="14.25" customHeight="1" s="192">
      <c r="W30707" s="239" t="n"/>
      <c r="X30707" s="239" t="n"/>
    </row>
    <row r="30708" ht="14.25" customHeight="1" s="192">
      <c r="W30708" s="239" t="n"/>
      <c r="X30708" s="239" t="n"/>
    </row>
    <row r="30709" ht="14.25" customHeight="1" s="192">
      <c r="W30709" s="235" t="n"/>
      <c r="X30709" s="235" t="n"/>
    </row>
    <row r="30710" ht="14.25" customHeight="1" s="192">
      <c r="W30710" s="235" t="n"/>
      <c r="X30710" s="235" t="n"/>
    </row>
    <row r="30711" ht="14.25" customHeight="1" s="192">
      <c r="W30711" s="235" t="n"/>
      <c r="X30711" s="235" t="n"/>
    </row>
    <row r="30712" ht="14.25" customHeight="1" s="192">
      <c r="W30712" s="239" t="n"/>
      <c r="X30712" s="239" t="n"/>
    </row>
    <row r="30713" ht="14.25" customHeight="1" s="192">
      <c r="W30713" s="239" t="n"/>
      <c r="X30713" s="239" t="n"/>
    </row>
    <row r="30714" ht="14.25" customHeight="1" s="192">
      <c r="W30714" s="235" t="n"/>
      <c r="X30714" s="235" t="n"/>
    </row>
    <row r="30715" ht="14.25" customHeight="1" s="192">
      <c r="W30715" s="235" t="n"/>
      <c r="X30715" s="235" t="n"/>
    </row>
    <row r="30716" ht="14.25" customHeight="1" s="192">
      <c r="W30716" s="239" t="n"/>
      <c r="X30716" s="239" t="n"/>
    </row>
    <row r="30717" ht="14.25" customHeight="1" s="192">
      <c r="W30717" s="235" t="n"/>
      <c r="X30717" s="235" t="n"/>
    </row>
    <row r="30718" ht="14.25" customHeight="1" s="192">
      <c r="W30718" s="239" t="n"/>
      <c r="X30718" s="239" t="n"/>
    </row>
    <row r="30720" ht="14.25" customHeight="1" s="192">
      <c r="W30720" s="235" t="n"/>
      <c r="X30720" s="235" t="n"/>
    </row>
    <row r="30721" ht="15" customHeight="1" s="192" thickBot="1">
      <c r="W30721" s="239" t="n"/>
      <c r="X30721" s="239" t="n"/>
    </row>
    <row r="30722" ht="15" customHeight="1" s="192" thickBot="1">
      <c r="W30722" s="45" t="n"/>
      <c r="X30722" s="45" t="n"/>
    </row>
    <row r="30723" ht="14.25" customHeight="1" s="192">
      <c r="W30723" s="228" t="n"/>
      <c r="X30723" s="228" t="n"/>
    </row>
    <row r="30724" ht="14.25" customHeight="1" s="192">
      <c r="W30724" s="228" t="n"/>
      <c r="X30724" s="228" t="n"/>
    </row>
    <row r="30725" ht="14.25" customHeight="1" s="192">
      <c r="W30725" s="231" t="n"/>
      <c r="X30725" s="231" t="n"/>
    </row>
    <row r="30726" ht="14.25" customHeight="1" s="192">
      <c r="W30726" s="33" t="n"/>
      <c r="X30726" s="33" t="n"/>
    </row>
    <row r="30727" ht="14.25" customHeight="1" s="192">
      <c r="W30727" s="231" t="n"/>
      <c r="X30727" s="231" t="n"/>
    </row>
    <row r="30728" ht="14.25" customHeight="1" s="192">
      <c r="W30728" s="33" t="n"/>
      <c r="X30728" s="33" t="n"/>
    </row>
    <row r="30730" ht="14.25" customHeight="1" s="192">
      <c r="W30730" s="231" t="n"/>
      <c r="X30730" s="231" t="n"/>
    </row>
    <row r="30731" ht="14.25" customHeight="1" s="192">
      <c r="W30731" s="235" t="n"/>
      <c r="X30731" s="235" t="n"/>
    </row>
    <row r="30732" ht="14.25" customHeight="1" s="192">
      <c r="W30732" s="228" t="n"/>
      <c r="X30732" s="228" t="n"/>
    </row>
    <row r="30733" ht="14.25" customHeight="1" s="192">
      <c r="W30733" s="235" t="n"/>
      <c r="X30733" s="235" t="n"/>
    </row>
    <row r="30734" ht="14.25" customHeight="1" s="192">
      <c r="W30734" s="235" t="n"/>
      <c r="X30734" s="235" t="n"/>
    </row>
    <row r="30735" ht="14.25" customHeight="1" s="192">
      <c r="W30735" s="235" t="n"/>
      <c r="X30735" s="235" t="n"/>
    </row>
    <row r="30736" ht="14.25" customHeight="1" s="192">
      <c r="W30736" s="239" t="n"/>
      <c r="X30736" s="239" t="n"/>
    </row>
    <row r="30737" ht="14.25" customHeight="1" s="192">
      <c r="W30737" s="239" t="n"/>
      <c r="X30737" s="239" t="n"/>
    </row>
    <row r="30738" ht="14.25" customHeight="1" s="192">
      <c r="W30738" s="239" t="n"/>
      <c r="X30738" s="239" t="n"/>
    </row>
    <row r="30739" ht="14.25" customHeight="1" s="192">
      <c r="W30739" s="235" t="n"/>
      <c r="X30739" s="235" t="n"/>
    </row>
    <row r="30740" ht="14.25" customHeight="1" s="192">
      <c r="W30740" s="235" t="n"/>
      <c r="X30740" s="235" t="n"/>
    </row>
    <row r="30741" ht="14.25" customHeight="1" s="192">
      <c r="W30741" s="235" t="n"/>
      <c r="X30741" s="235" t="n"/>
    </row>
    <row r="30742" ht="14.25" customHeight="1" s="192">
      <c r="W30742" s="239" t="n"/>
      <c r="X30742" s="239" t="n"/>
    </row>
    <row r="30743" ht="14.25" customHeight="1" s="192">
      <c r="W30743" s="239" t="n"/>
      <c r="X30743" s="239" t="n"/>
    </row>
    <row r="30744" ht="14.25" customHeight="1" s="192">
      <c r="W30744" s="235" t="n"/>
      <c r="X30744" s="235" t="n"/>
    </row>
    <row r="30745" ht="14.25" customHeight="1" s="192">
      <c r="W30745" s="235" t="n"/>
      <c r="X30745" s="235" t="n"/>
    </row>
    <row r="30746" ht="14.25" customHeight="1" s="192">
      <c r="W30746" s="239" t="n"/>
      <c r="X30746" s="239" t="n"/>
    </row>
    <row r="30747" ht="14.25" customHeight="1" s="192">
      <c r="W30747" s="235" t="n"/>
      <c r="X30747" s="235" t="n"/>
    </row>
    <row r="30748" ht="14.25" customHeight="1" s="192">
      <c r="W30748" s="239" t="n"/>
      <c r="X30748" s="239" t="n"/>
    </row>
    <row r="30750" ht="14.25" customHeight="1" s="192">
      <c r="W30750" s="235" t="n"/>
      <c r="X30750" s="235" t="n"/>
    </row>
    <row r="30751" ht="15" customHeight="1" s="192" thickBot="1">
      <c r="W30751" s="239" t="n"/>
      <c r="X30751" s="239" t="n"/>
    </row>
    <row r="30752" ht="15" customHeight="1" s="192" thickBot="1">
      <c r="W30752" s="45" t="n"/>
      <c r="X30752" s="45" t="n"/>
    </row>
    <row r="30753" ht="14.25" customHeight="1" s="192">
      <c r="W30753" s="228" t="n"/>
      <c r="X30753" s="228" t="n"/>
    </row>
    <row r="30754" ht="14.25" customHeight="1" s="192">
      <c r="W30754" s="228" t="n"/>
      <c r="X30754" s="228" t="n"/>
    </row>
    <row r="30755" ht="14.25" customHeight="1" s="192">
      <c r="W30755" s="231" t="n"/>
      <c r="X30755" s="231" t="n"/>
    </row>
    <row r="30756" ht="14.25" customHeight="1" s="192">
      <c r="W30756" s="33" t="n"/>
      <c r="X30756" s="33" t="n"/>
    </row>
    <row r="30757" ht="14.25" customHeight="1" s="192">
      <c r="W30757" s="231" t="n"/>
      <c r="X30757" s="231" t="n"/>
    </row>
    <row r="30758" ht="14.25" customHeight="1" s="192">
      <c r="W30758" s="33" t="n"/>
      <c r="X30758" s="33" t="n"/>
    </row>
    <row r="30760" ht="14.25" customHeight="1" s="192">
      <c r="W30760" s="231" t="n"/>
      <c r="X30760" s="231" t="n"/>
    </row>
    <row r="30761" ht="14.25" customHeight="1" s="192">
      <c r="W30761" s="235" t="n"/>
      <c r="X30761" s="235" t="n"/>
    </row>
    <row r="30762" ht="14.25" customHeight="1" s="192">
      <c r="W30762" s="228" t="n"/>
      <c r="X30762" s="228" t="n"/>
    </row>
    <row r="30763" ht="14.25" customHeight="1" s="192">
      <c r="W30763" s="235" t="n"/>
      <c r="X30763" s="235" t="n"/>
    </row>
    <row r="30764" ht="14.25" customHeight="1" s="192">
      <c r="W30764" s="235" t="n"/>
      <c r="X30764" s="235" t="n"/>
    </row>
    <row r="30765" ht="14.25" customHeight="1" s="192">
      <c r="W30765" s="235" t="n"/>
      <c r="X30765" s="235" t="n"/>
    </row>
    <row r="30766" ht="14.25" customHeight="1" s="192">
      <c r="W30766" s="239" t="n"/>
      <c r="X30766" s="239" t="n"/>
    </row>
    <row r="30767" ht="14.25" customHeight="1" s="192">
      <c r="W30767" s="239" t="n"/>
      <c r="X30767" s="239" t="n"/>
    </row>
    <row r="30768" ht="14.25" customHeight="1" s="192">
      <c r="W30768" s="239" t="n"/>
      <c r="X30768" s="239" t="n"/>
    </row>
    <row r="30769" ht="14.25" customHeight="1" s="192">
      <c r="W30769" s="235" t="n"/>
      <c r="X30769" s="235" t="n"/>
    </row>
    <row r="30770" ht="14.25" customHeight="1" s="192">
      <c r="W30770" s="235" t="n"/>
      <c r="X30770" s="235" t="n"/>
    </row>
    <row r="30771" ht="14.25" customHeight="1" s="192">
      <c r="W30771" s="235" t="n"/>
      <c r="X30771" s="235" t="n"/>
    </row>
    <row r="30772" ht="14.25" customHeight="1" s="192">
      <c r="W30772" s="239" t="n"/>
      <c r="X30772" s="239" t="n"/>
    </row>
    <row r="30773" ht="14.25" customHeight="1" s="192">
      <c r="W30773" s="239" t="n"/>
      <c r="X30773" s="239" t="n"/>
    </row>
    <row r="30774" ht="14.25" customHeight="1" s="192">
      <c r="W30774" s="235" t="n"/>
      <c r="X30774" s="235" t="n"/>
    </row>
    <row r="30775" ht="14.25" customHeight="1" s="192">
      <c r="W30775" s="235" t="n"/>
      <c r="X30775" s="235" t="n"/>
    </row>
    <row r="30776" ht="14.25" customHeight="1" s="192">
      <c r="W30776" s="239" t="n"/>
      <c r="X30776" s="239" t="n"/>
    </row>
    <row r="30777" ht="14.25" customHeight="1" s="192">
      <c r="W30777" s="235" t="n"/>
      <c r="X30777" s="235" t="n"/>
    </row>
    <row r="30778" ht="14.25" customHeight="1" s="192">
      <c r="W30778" s="239" t="n"/>
      <c r="X30778" s="239" t="n"/>
    </row>
    <row r="30780" ht="14.25" customHeight="1" s="192">
      <c r="W30780" s="235" t="n"/>
      <c r="X30780" s="235" t="n"/>
    </row>
    <row r="30781" ht="15" customHeight="1" s="192" thickBot="1">
      <c r="W30781" s="239" t="n"/>
      <c r="X30781" s="239" t="n"/>
    </row>
    <row r="30782" ht="15" customHeight="1" s="192" thickBot="1">
      <c r="W30782" s="45" t="n"/>
      <c r="X30782" s="45" t="n"/>
    </row>
    <row r="30783" ht="14.25" customHeight="1" s="192">
      <c r="W30783" s="228" t="n"/>
      <c r="X30783" s="228" t="n"/>
    </row>
    <row r="30784" ht="14.25" customHeight="1" s="192">
      <c r="W30784" s="228" t="n"/>
      <c r="X30784" s="228" t="n"/>
    </row>
    <row r="30785" ht="14.25" customHeight="1" s="192">
      <c r="W30785" s="231" t="n"/>
      <c r="X30785" s="231" t="n"/>
    </row>
    <row r="30786" ht="14.25" customHeight="1" s="192">
      <c r="W30786" s="33" t="n"/>
      <c r="X30786" s="33" t="n"/>
    </row>
    <row r="30787" ht="14.25" customHeight="1" s="192">
      <c r="W30787" s="231" t="n"/>
      <c r="X30787" s="231" t="n"/>
    </row>
    <row r="30788" ht="14.25" customHeight="1" s="192">
      <c r="W30788" s="33" t="n"/>
      <c r="X30788" s="33" t="n"/>
    </row>
    <row r="30790" ht="14.25" customHeight="1" s="192">
      <c r="W30790" s="231" t="n"/>
      <c r="X30790" s="231" t="n"/>
    </row>
    <row r="30791" ht="14.25" customHeight="1" s="192">
      <c r="W30791" s="235" t="n"/>
      <c r="X30791" s="235" t="n"/>
    </row>
    <row r="30792" ht="14.25" customHeight="1" s="192">
      <c r="W30792" s="228" t="n"/>
      <c r="X30792" s="228" t="n"/>
    </row>
    <row r="30793" ht="14.25" customHeight="1" s="192">
      <c r="W30793" s="235" t="n"/>
      <c r="X30793" s="235" t="n"/>
    </row>
    <row r="30794" ht="14.25" customHeight="1" s="192">
      <c r="W30794" s="235" t="n"/>
      <c r="X30794" s="235" t="n"/>
    </row>
    <row r="30795" ht="14.25" customHeight="1" s="192">
      <c r="W30795" s="235" t="n"/>
      <c r="X30795" s="235" t="n"/>
    </row>
    <row r="30796" ht="14.25" customHeight="1" s="192">
      <c r="W30796" s="239" t="n"/>
      <c r="X30796" s="239" t="n"/>
    </row>
    <row r="30797" ht="14.25" customHeight="1" s="192">
      <c r="W30797" s="239" t="n"/>
      <c r="X30797" s="239" t="n"/>
    </row>
    <row r="30798" ht="14.25" customHeight="1" s="192">
      <c r="W30798" s="239" t="n"/>
      <c r="X30798" s="239" t="n"/>
    </row>
    <row r="30799" ht="14.25" customHeight="1" s="192">
      <c r="W30799" s="235" t="n"/>
      <c r="X30799" s="235" t="n"/>
    </row>
    <row r="30800" ht="14.25" customHeight="1" s="192">
      <c r="W30800" s="235" t="n"/>
      <c r="X30800" s="235" t="n"/>
    </row>
    <row r="30801" ht="14.25" customHeight="1" s="192">
      <c r="W30801" s="235" t="n"/>
      <c r="X30801" s="235" t="n"/>
    </row>
    <row r="30802" ht="14.25" customHeight="1" s="192">
      <c r="W30802" s="239" t="n"/>
      <c r="X30802" s="239" t="n"/>
    </row>
    <row r="30803" ht="14.25" customHeight="1" s="192">
      <c r="W30803" s="239" t="n"/>
      <c r="X30803" s="239" t="n"/>
    </row>
    <row r="30804" ht="14.25" customHeight="1" s="192">
      <c r="W30804" s="235" t="n"/>
      <c r="X30804" s="235" t="n"/>
    </row>
    <row r="30805" ht="14.25" customHeight="1" s="192">
      <c r="W30805" s="235" t="n"/>
      <c r="X30805" s="235" t="n"/>
    </row>
    <row r="30806" ht="14.25" customHeight="1" s="192">
      <c r="W30806" s="239" t="n"/>
      <c r="X30806" s="239" t="n"/>
    </row>
    <row r="30807" ht="14.25" customHeight="1" s="192">
      <c r="W30807" s="235" t="n"/>
      <c r="X30807" s="235" t="n"/>
    </row>
    <row r="30808" ht="14.25" customHeight="1" s="192">
      <c r="W30808" s="239" t="n"/>
      <c r="X30808" s="239" t="n"/>
    </row>
    <row r="30810" ht="14.25" customHeight="1" s="192">
      <c r="W30810" s="235" t="n"/>
      <c r="X30810" s="235" t="n"/>
    </row>
    <row r="30811" ht="15" customHeight="1" s="192" thickBot="1">
      <c r="W30811" s="239" t="n"/>
      <c r="X30811" s="239" t="n"/>
    </row>
    <row r="30812" ht="15" customHeight="1" s="192" thickBot="1">
      <c r="W30812" s="45" t="n"/>
      <c r="X30812" s="45" t="n"/>
    </row>
    <row r="30813" ht="14.25" customHeight="1" s="192">
      <c r="W30813" s="228" t="n"/>
      <c r="X30813" s="228" t="n"/>
    </row>
    <row r="30814" ht="14.25" customHeight="1" s="192">
      <c r="W30814" s="228" t="n"/>
      <c r="X30814" s="228" t="n"/>
    </row>
    <row r="30815" ht="14.25" customHeight="1" s="192">
      <c r="W30815" s="231" t="n"/>
      <c r="X30815" s="231" t="n"/>
    </row>
    <row r="30816" ht="14.25" customHeight="1" s="192">
      <c r="W30816" s="33" t="n"/>
      <c r="X30816" s="33" t="n"/>
    </row>
    <row r="30817" ht="14.25" customHeight="1" s="192">
      <c r="W30817" s="231" t="n"/>
      <c r="X30817" s="231" t="n"/>
    </row>
    <row r="30818" ht="14.25" customHeight="1" s="192">
      <c r="W30818" s="33" t="n"/>
      <c r="X30818" s="33" t="n"/>
    </row>
    <row r="30820" ht="14.25" customHeight="1" s="192">
      <c r="W30820" s="231" t="n"/>
      <c r="X30820" s="231" t="n"/>
    </row>
    <row r="30821" ht="14.25" customHeight="1" s="192">
      <c r="W30821" s="235" t="n"/>
      <c r="X30821" s="235" t="n"/>
    </row>
    <row r="30822" ht="14.25" customHeight="1" s="192">
      <c r="W30822" s="228" t="n"/>
      <c r="X30822" s="228" t="n"/>
    </row>
    <row r="30823" ht="14.25" customHeight="1" s="192">
      <c r="W30823" s="235" t="n"/>
      <c r="X30823" s="235" t="n"/>
    </row>
    <row r="30824" ht="14.25" customHeight="1" s="192">
      <c r="W30824" s="235" t="n"/>
      <c r="X30824" s="235" t="n"/>
    </row>
    <row r="30825" ht="14.25" customHeight="1" s="192">
      <c r="W30825" s="235" t="n"/>
      <c r="X30825" s="235" t="n"/>
    </row>
    <row r="30826" ht="14.25" customHeight="1" s="192">
      <c r="W30826" s="239" t="n"/>
      <c r="X30826" s="239" t="n"/>
    </row>
    <row r="30827" ht="14.25" customHeight="1" s="192">
      <c r="W30827" s="239" t="n"/>
      <c r="X30827" s="239" t="n"/>
    </row>
    <row r="30828" ht="14.25" customHeight="1" s="192">
      <c r="W30828" s="239" t="n"/>
      <c r="X30828" s="239" t="n"/>
    </row>
    <row r="30829" ht="14.25" customHeight="1" s="192">
      <c r="W30829" s="235" t="n"/>
      <c r="X30829" s="235" t="n"/>
    </row>
    <row r="30830" ht="14.25" customHeight="1" s="192">
      <c r="W30830" s="235" t="n"/>
      <c r="X30830" s="235" t="n"/>
    </row>
    <row r="30831" ht="14.25" customHeight="1" s="192">
      <c r="W30831" s="235" t="n"/>
      <c r="X30831" s="235" t="n"/>
    </row>
    <row r="30832" ht="14.25" customHeight="1" s="192">
      <c r="W30832" s="239" t="n"/>
      <c r="X30832" s="239" t="n"/>
    </row>
    <row r="30833" ht="14.25" customHeight="1" s="192">
      <c r="W30833" s="239" t="n"/>
      <c r="X30833" s="239" t="n"/>
    </row>
    <row r="30834" ht="14.25" customHeight="1" s="192">
      <c r="W30834" s="235" t="n"/>
      <c r="X30834" s="235" t="n"/>
    </row>
    <row r="30835" ht="14.25" customHeight="1" s="192">
      <c r="W30835" s="235" t="n"/>
      <c r="X30835" s="235" t="n"/>
    </row>
    <row r="30836" ht="14.25" customHeight="1" s="192">
      <c r="W30836" s="239" t="n"/>
      <c r="X30836" s="239" t="n"/>
    </row>
    <row r="30837" ht="14.25" customHeight="1" s="192">
      <c r="W30837" s="235" t="n"/>
      <c r="X30837" s="235" t="n"/>
    </row>
    <row r="30838" ht="14.25" customHeight="1" s="192">
      <c r="W30838" s="239" t="n"/>
      <c r="X30838" s="239" t="n"/>
    </row>
    <row r="30840" ht="14.25" customHeight="1" s="192">
      <c r="W30840" s="235" t="n"/>
      <c r="X30840" s="235" t="n"/>
    </row>
    <row r="30841" ht="15" customHeight="1" s="192" thickBot="1">
      <c r="W30841" s="239" t="n"/>
      <c r="X30841" s="239" t="n"/>
    </row>
    <row r="30842" ht="15" customHeight="1" s="192" thickBot="1">
      <c r="W30842" s="45" t="n"/>
      <c r="X30842" s="45" t="n"/>
    </row>
    <row r="30843" ht="14.25" customHeight="1" s="192">
      <c r="W30843" s="228" t="n"/>
      <c r="X30843" s="228" t="n"/>
    </row>
    <row r="30844" ht="14.25" customHeight="1" s="192">
      <c r="W30844" s="228" t="n"/>
      <c r="X30844" s="228" t="n"/>
    </row>
    <row r="30845" ht="14.25" customHeight="1" s="192">
      <c r="W30845" s="231" t="n"/>
      <c r="X30845" s="231" t="n"/>
    </row>
    <row r="30846" ht="14.25" customHeight="1" s="192">
      <c r="W30846" s="33" t="n"/>
      <c r="X30846" s="33" t="n"/>
    </row>
    <row r="30847" ht="14.25" customHeight="1" s="192">
      <c r="W30847" s="231" t="n"/>
      <c r="X30847" s="231" t="n"/>
    </row>
    <row r="30848" ht="14.25" customHeight="1" s="192">
      <c r="W30848" s="33" t="n"/>
      <c r="X30848" s="33" t="n"/>
    </row>
    <row r="30850" ht="14.25" customHeight="1" s="192">
      <c r="W30850" s="231" t="n"/>
      <c r="X30850" s="231" t="n"/>
    </row>
    <row r="30851" ht="14.25" customHeight="1" s="192">
      <c r="W30851" s="235" t="n"/>
      <c r="X30851" s="235" t="n"/>
    </row>
    <row r="30852" ht="14.25" customHeight="1" s="192">
      <c r="W30852" s="228" t="n"/>
      <c r="X30852" s="228" t="n"/>
    </row>
    <row r="30853" ht="14.25" customHeight="1" s="192">
      <c r="W30853" s="235" t="n"/>
      <c r="X30853" s="235" t="n"/>
    </row>
    <row r="30854" ht="14.25" customHeight="1" s="192">
      <c r="W30854" s="235" t="n"/>
      <c r="X30854" s="235" t="n"/>
    </row>
    <row r="30855" ht="14.25" customHeight="1" s="192">
      <c r="W30855" s="235" t="n"/>
      <c r="X30855" s="235" t="n"/>
    </row>
    <row r="30856" ht="14.25" customHeight="1" s="192">
      <c r="W30856" s="239" t="n"/>
      <c r="X30856" s="239" t="n"/>
    </row>
    <row r="30857" ht="14.25" customHeight="1" s="192">
      <c r="W30857" s="239" t="n"/>
      <c r="X30857" s="239" t="n"/>
    </row>
    <row r="30858" ht="14.25" customHeight="1" s="192">
      <c r="W30858" s="239" t="n"/>
      <c r="X30858" s="239" t="n"/>
    </row>
    <row r="30859" ht="14.25" customHeight="1" s="192">
      <c r="W30859" s="235" t="n"/>
      <c r="X30859" s="235" t="n"/>
    </row>
    <row r="30860" ht="14.25" customHeight="1" s="192">
      <c r="W30860" s="235" t="n"/>
      <c r="X30860" s="235" t="n"/>
    </row>
    <row r="30861" ht="14.25" customHeight="1" s="192">
      <c r="W30861" s="235" t="n"/>
      <c r="X30861" s="235" t="n"/>
    </row>
    <row r="30862" ht="14.25" customHeight="1" s="192">
      <c r="W30862" s="239" t="n"/>
      <c r="X30862" s="239" t="n"/>
    </row>
    <row r="30863" ht="14.25" customHeight="1" s="192">
      <c r="W30863" s="239" t="n"/>
      <c r="X30863" s="239" t="n"/>
    </row>
    <row r="30864" ht="14.25" customHeight="1" s="192">
      <c r="W30864" s="235" t="n"/>
      <c r="X30864" s="235" t="n"/>
    </row>
    <row r="30865" ht="14.25" customHeight="1" s="192">
      <c r="W30865" s="235" t="n"/>
      <c r="X30865" s="235" t="n"/>
    </row>
    <row r="30866" ht="14.25" customHeight="1" s="192">
      <c r="W30866" s="239" t="n"/>
      <c r="X30866" s="239" t="n"/>
    </row>
    <row r="30867" ht="14.25" customHeight="1" s="192">
      <c r="W30867" s="235" t="n"/>
      <c r="X30867" s="235" t="n"/>
    </row>
    <row r="30868" ht="14.25" customHeight="1" s="192">
      <c r="W30868" s="239" t="n"/>
      <c r="X30868" s="239" t="n"/>
    </row>
    <row r="30870" ht="14.25" customHeight="1" s="192">
      <c r="W30870" s="235" t="n"/>
      <c r="X30870" s="235" t="n"/>
    </row>
    <row r="30871" ht="15" customHeight="1" s="192" thickBot="1">
      <c r="W30871" s="239" t="n"/>
      <c r="X30871" s="239" t="n"/>
    </row>
    <row r="30872" ht="15" customHeight="1" s="192" thickBot="1">
      <c r="W30872" s="45" t="n"/>
      <c r="X30872" s="45" t="n"/>
    </row>
    <row r="30873" ht="14.25" customHeight="1" s="192">
      <c r="W30873" s="228" t="n"/>
      <c r="X30873" s="228" t="n"/>
    </row>
    <row r="30874" ht="14.25" customHeight="1" s="192">
      <c r="W30874" s="228" t="n"/>
      <c r="X30874" s="228" t="n"/>
    </row>
    <row r="30875" ht="14.25" customHeight="1" s="192">
      <c r="W30875" s="231" t="n"/>
      <c r="X30875" s="231" t="n"/>
    </row>
    <row r="30876" ht="14.25" customHeight="1" s="192">
      <c r="W30876" s="33" t="n"/>
      <c r="X30876" s="33" t="n"/>
    </row>
    <row r="30877" ht="14.25" customHeight="1" s="192">
      <c r="W30877" s="231" t="n"/>
      <c r="X30877" s="231" t="n"/>
    </row>
    <row r="30878" ht="14.25" customHeight="1" s="192">
      <c r="W30878" s="33" t="n"/>
      <c r="X30878" s="33" t="n"/>
    </row>
    <row r="30880" ht="14.25" customHeight="1" s="192">
      <c r="W30880" s="231" t="n"/>
      <c r="X30880" s="231" t="n"/>
    </row>
    <row r="30881" ht="14.25" customHeight="1" s="192">
      <c r="W30881" s="235" t="n"/>
      <c r="X30881" s="235" t="n"/>
    </row>
    <row r="30882" ht="14.25" customHeight="1" s="192">
      <c r="W30882" s="228" t="n"/>
      <c r="X30882" s="228" t="n"/>
    </row>
    <row r="30883" ht="14.25" customHeight="1" s="192">
      <c r="W30883" s="235" t="n"/>
      <c r="X30883" s="235" t="n"/>
    </row>
    <row r="30884" ht="14.25" customHeight="1" s="192">
      <c r="W30884" s="235" t="n"/>
      <c r="X30884" s="235" t="n"/>
    </row>
    <row r="30885" ht="14.25" customHeight="1" s="192">
      <c r="W30885" s="235" t="n"/>
      <c r="X30885" s="235" t="n"/>
    </row>
    <row r="30886" ht="14.25" customHeight="1" s="192">
      <c r="W30886" s="239" t="n"/>
      <c r="X30886" s="239" t="n"/>
    </row>
    <row r="30887" ht="14.25" customHeight="1" s="192">
      <c r="W30887" s="239" t="n"/>
      <c r="X30887" s="239" t="n"/>
    </row>
    <row r="30888" ht="14.25" customHeight="1" s="192">
      <c r="W30888" s="239" t="n"/>
      <c r="X30888" s="239" t="n"/>
    </row>
    <row r="30889" ht="14.25" customHeight="1" s="192">
      <c r="W30889" s="235" t="n"/>
      <c r="X30889" s="235" t="n"/>
    </row>
    <row r="30890" ht="14.25" customHeight="1" s="192">
      <c r="W30890" s="235" t="n"/>
      <c r="X30890" s="235" t="n"/>
    </row>
    <row r="30891" ht="14.25" customHeight="1" s="192">
      <c r="W30891" s="235" t="n"/>
      <c r="X30891" s="235" t="n"/>
    </row>
    <row r="30892" ht="14.25" customHeight="1" s="192">
      <c r="W30892" s="239" t="n"/>
      <c r="X30892" s="239" t="n"/>
    </row>
    <row r="30893" ht="14.25" customHeight="1" s="192">
      <c r="W30893" s="239" t="n"/>
      <c r="X30893" s="239" t="n"/>
    </row>
    <row r="30894" ht="14.25" customHeight="1" s="192">
      <c r="W30894" s="235" t="n"/>
      <c r="X30894" s="235" t="n"/>
    </row>
    <row r="30895" ht="14.25" customHeight="1" s="192">
      <c r="W30895" s="235" t="n"/>
      <c r="X30895" s="235" t="n"/>
    </row>
    <row r="30896" ht="14.25" customHeight="1" s="192">
      <c r="W30896" s="239" t="n"/>
      <c r="X30896" s="239" t="n"/>
    </row>
    <row r="30897" ht="14.25" customHeight="1" s="192">
      <c r="W30897" s="235" t="n"/>
      <c r="X30897" s="235" t="n"/>
    </row>
    <row r="30898" ht="14.25" customHeight="1" s="192">
      <c r="W30898" s="239" t="n"/>
      <c r="X30898" s="239" t="n"/>
    </row>
    <row r="30900" ht="14.25" customHeight="1" s="192">
      <c r="W30900" s="235" t="n"/>
      <c r="X30900" s="235" t="n"/>
    </row>
    <row r="30901" ht="15" customHeight="1" s="192" thickBot="1">
      <c r="W30901" s="239" t="n"/>
      <c r="X30901" s="239" t="n"/>
    </row>
    <row r="30902" ht="15" customHeight="1" s="192" thickBot="1">
      <c r="W30902" s="45" t="n"/>
      <c r="X30902" s="45" t="n"/>
    </row>
    <row r="30903" ht="14.25" customHeight="1" s="192">
      <c r="W30903" s="228" t="n"/>
      <c r="X30903" s="228" t="n"/>
    </row>
    <row r="30904" ht="14.25" customHeight="1" s="192">
      <c r="W30904" s="228" t="n"/>
      <c r="X30904" s="228" t="n"/>
    </row>
    <row r="30905" ht="14.25" customHeight="1" s="192">
      <c r="W30905" s="231" t="n"/>
      <c r="X30905" s="231" t="n"/>
    </row>
    <row r="30906" ht="14.25" customHeight="1" s="192">
      <c r="W30906" s="33" t="n"/>
      <c r="X30906" s="33" t="n"/>
    </row>
    <row r="30907" ht="14.25" customHeight="1" s="192">
      <c r="W30907" s="231" t="n"/>
      <c r="X30907" s="231" t="n"/>
    </row>
    <row r="30908" ht="14.25" customHeight="1" s="192">
      <c r="W30908" s="33" t="n"/>
      <c r="X30908" s="33" t="n"/>
    </row>
    <row r="30910" ht="14.25" customHeight="1" s="192">
      <c r="W30910" s="231" t="n"/>
      <c r="X30910" s="231" t="n"/>
    </row>
    <row r="30911" ht="14.25" customHeight="1" s="192">
      <c r="W30911" s="235" t="n"/>
      <c r="X30911" s="235" t="n"/>
    </row>
    <row r="30912" ht="14.25" customHeight="1" s="192">
      <c r="W30912" s="228" t="n"/>
      <c r="X30912" s="228" t="n"/>
    </row>
    <row r="30913" ht="14.25" customHeight="1" s="192">
      <c r="W30913" s="235" t="n"/>
      <c r="X30913" s="235" t="n"/>
    </row>
    <row r="30914" ht="14.25" customHeight="1" s="192">
      <c r="W30914" s="235" t="n"/>
      <c r="X30914" s="235" t="n"/>
    </row>
    <row r="30915" ht="14.25" customHeight="1" s="192">
      <c r="W30915" s="235" t="n"/>
      <c r="X30915" s="235" t="n"/>
    </row>
    <row r="30916" ht="14.25" customHeight="1" s="192">
      <c r="W30916" s="239" t="n"/>
      <c r="X30916" s="239" t="n"/>
    </row>
    <row r="30917" ht="14.25" customHeight="1" s="192">
      <c r="W30917" s="239" t="n"/>
      <c r="X30917" s="239" t="n"/>
    </row>
    <row r="30918" ht="14.25" customHeight="1" s="192">
      <c r="W30918" s="239" t="n"/>
      <c r="X30918" s="239" t="n"/>
    </row>
    <row r="30919" ht="14.25" customHeight="1" s="192">
      <c r="W30919" s="235" t="n"/>
      <c r="X30919" s="235" t="n"/>
    </row>
    <row r="30920" ht="14.25" customHeight="1" s="192">
      <c r="W30920" s="235" t="n"/>
      <c r="X30920" s="235" t="n"/>
    </row>
    <row r="30921" ht="14.25" customHeight="1" s="192">
      <c r="W30921" s="235" t="n"/>
      <c r="X30921" s="235" t="n"/>
    </row>
    <row r="30922" ht="14.25" customHeight="1" s="192">
      <c r="W30922" s="239" t="n"/>
      <c r="X30922" s="239" t="n"/>
    </row>
    <row r="30923" ht="14.25" customHeight="1" s="192">
      <c r="W30923" s="239" t="n"/>
      <c r="X30923" s="239" t="n"/>
    </row>
    <row r="30924" ht="14.25" customHeight="1" s="192">
      <c r="W30924" s="235" t="n"/>
      <c r="X30924" s="235" t="n"/>
    </row>
    <row r="30925" ht="14.25" customHeight="1" s="192">
      <c r="W30925" s="235" t="n"/>
      <c r="X30925" s="235" t="n"/>
    </row>
    <row r="30926" ht="14.25" customHeight="1" s="192">
      <c r="W30926" s="239" t="n"/>
      <c r="X30926" s="239" t="n"/>
    </row>
    <row r="30927" ht="14.25" customHeight="1" s="192">
      <c r="W30927" s="235" t="n"/>
      <c r="X30927" s="235" t="n"/>
    </row>
    <row r="30928" ht="14.25" customHeight="1" s="192">
      <c r="W30928" s="239" t="n"/>
      <c r="X30928" s="239" t="n"/>
    </row>
    <row r="30930" ht="14.25" customHeight="1" s="192">
      <c r="W30930" s="235" t="n"/>
      <c r="X30930" s="235" t="n"/>
    </row>
    <row r="30931" ht="15" customHeight="1" s="192" thickBot="1">
      <c r="W30931" s="239" t="n"/>
      <c r="X30931" s="239" t="n"/>
    </row>
    <row r="30932" ht="15" customHeight="1" s="192" thickBot="1">
      <c r="W30932" s="45" t="n"/>
      <c r="X30932" s="45" t="n"/>
    </row>
    <row r="30933" ht="14.25" customHeight="1" s="192">
      <c r="W30933" s="228" t="n"/>
      <c r="X30933" s="228" t="n"/>
    </row>
    <row r="30934" ht="14.25" customHeight="1" s="192">
      <c r="W30934" s="228" t="n"/>
      <c r="X30934" s="228" t="n"/>
    </row>
    <row r="30935" ht="14.25" customHeight="1" s="192">
      <c r="W30935" s="231" t="n"/>
      <c r="X30935" s="231" t="n"/>
    </row>
    <row r="30936" ht="14.25" customHeight="1" s="192">
      <c r="W30936" s="33" t="n"/>
      <c r="X30936" s="33" t="n"/>
    </row>
    <row r="30937" ht="14.25" customHeight="1" s="192">
      <c r="W30937" s="231" t="n"/>
      <c r="X30937" s="231" t="n"/>
    </row>
    <row r="30938" ht="14.25" customHeight="1" s="192">
      <c r="W30938" s="33" t="n"/>
      <c r="X30938" s="33" t="n"/>
    </row>
    <row r="30940" ht="14.25" customHeight="1" s="192">
      <c r="W30940" s="231" t="n"/>
      <c r="X30940" s="231" t="n"/>
    </row>
    <row r="30941" ht="14.25" customHeight="1" s="192">
      <c r="W30941" s="235" t="n"/>
      <c r="X30941" s="235" t="n"/>
    </row>
    <row r="30942" ht="14.25" customHeight="1" s="192">
      <c r="W30942" s="228" t="n"/>
      <c r="X30942" s="228" t="n"/>
    </row>
    <row r="30943" ht="14.25" customHeight="1" s="192">
      <c r="W30943" s="235" t="n"/>
      <c r="X30943" s="235" t="n"/>
    </row>
    <row r="30944" ht="14.25" customHeight="1" s="192">
      <c r="W30944" s="235" t="n"/>
      <c r="X30944" s="235" t="n"/>
    </row>
    <row r="30945" ht="14.25" customHeight="1" s="192">
      <c r="W30945" s="235" t="n"/>
      <c r="X30945" s="235" t="n"/>
    </row>
    <row r="30946" ht="14.25" customHeight="1" s="192">
      <c r="W30946" s="239" t="n"/>
      <c r="X30946" s="239" t="n"/>
    </row>
    <row r="30947" ht="14.25" customHeight="1" s="192">
      <c r="W30947" s="239" t="n"/>
      <c r="X30947" s="239" t="n"/>
    </row>
    <row r="30948" ht="14.25" customHeight="1" s="192">
      <c r="W30948" s="239" t="n"/>
      <c r="X30948" s="239" t="n"/>
    </row>
    <row r="30949" ht="14.25" customHeight="1" s="192">
      <c r="W30949" s="235" t="n"/>
      <c r="X30949" s="235" t="n"/>
    </row>
    <row r="30950" ht="14.25" customHeight="1" s="192">
      <c r="W30950" s="235" t="n"/>
      <c r="X30950" s="235" t="n"/>
    </row>
    <row r="30951" ht="14.25" customHeight="1" s="192">
      <c r="W30951" s="235" t="n"/>
      <c r="X30951" s="235" t="n"/>
    </row>
    <row r="30952" ht="14.25" customHeight="1" s="192">
      <c r="W30952" s="239" t="n"/>
      <c r="X30952" s="239" t="n"/>
    </row>
    <row r="30953" ht="14.25" customHeight="1" s="192">
      <c r="W30953" s="239" t="n"/>
      <c r="X30953" s="239" t="n"/>
    </row>
    <row r="30954" ht="14.25" customHeight="1" s="192">
      <c r="W30954" s="235" t="n"/>
      <c r="X30954" s="235" t="n"/>
    </row>
    <row r="30955" ht="14.25" customHeight="1" s="192">
      <c r="W30955" s="235" t="n"/>
      <c r="X30955" s="235" t="n"/>
    </row>
    <row r="30956" ht="14.25" customHeight="1" s="192">
      <c r="W30956" s="239" t="n"/>
      <c r="X30956" s="239" t="n"/>
    </row>
    <row r="30957" ht="14.25" customHeight="1" s="192">
      <c r="W30957" s="235" t="n"/>
      <c r="X30957" s="235" t="n"/>
    </row>
    <row r="30958" ht="14.25" customHeight="1" s="192">
      <c r="W30958" s="239" t="n"/>
      <c r="X30958" s="239" t="n"/>
    </row>
    <row r="30960" ht="14.25" customHeight="1" s="192">
      <c r="W30960" s="235" t="n"/>
      <c r="X30960" s="235" t="n"/>
    </row>
    <row r="30961" ht="15" customHeight="1" s="192" thickBot="1">
      <c r="W30961" s="239" t="n"/>
      <c r="X30961" s="239" t="n"/>
    </row>
    <row r="30962" ht="15" customHeight="1" s="192" thickBot="1">
      <c r="W30962" s="45" t="n"/>
      <c r="X30962" s="45" t="n"/>
    </row>
    <row r="30963" ht="14.25" customHeight="1" s="192">
      <c r="W30963" s="228" t="n"/>
      <c r="X30963" s="228" t="n"/>
    </row>
    <row r="30964" ht="14.25" customHeight="1" s="192">
      <c r="W30964" s="228" t="n"/>
      <c r="X30964" s="228" t="n"/>
    </row>
    <row r="30965" ht="14.25" customHeight="1" s="192">
      <c r="W30965" s="231" t="n"/>
      <c r="X30965" s="231" t="n"/>
    </row>
    <row r="30966" ht="14.25" customHeight="1" s="192">
      <c r="W30966" s="33" t="n"/>
      <c r="X30966" s="33" t="n"/>
    </row>
    <row r="30967" ht="14.25" customHeight="1" s="192">
      <c r="W30967" s="231" t="n"/>
      <c r="X30967" s="231" t="n"/>
    </row>
    <row r="30968" ht="14.25" customHeight="1" s="192">
      <c r="W30968" s="33" t="n"/>
      <c r="X30968" s="33" t="n"/>
    </row>
    <row r="30970" ht="14.25" customHeight="1" s="192">
      <c r="W30970" s="231" t="n"/>
      <c r="X30970" s="231" t="n"/>
    </row>
    <row r="30971" ht="14.25" customHeight="1" s="192">
      <c r="W30971" s="235" t="n"/>
      <c r="X30971" s="235" t="n"/>
    </row>
    <row r="30972" ht="14.25" customHeight="1" s="192">
      <c r="W30972" s="228" t="n"/>
      <c r="X30972" s="228" t="n"/>
    </row>
    <row r="30973" ht="14.25" customHeight="1" s="192">
      <c r="W30973" s="235" t="n"/>
      <c r="X30973" s="235" t="n"/>
    </row>
    <row r="30974" ht="14.25" customHeight="1" s="192">
      <c r="W30974" s="235" t="n"/>
      <c r="X30974" s="235" t="n"/>
    </row>
    <row r="30975" ht="14.25" customHeight="1" s="192">
      <c r="W30975" s="235" t="n"/>
      <c r="X30975" s="235" t="n"/>
    </row>
    <row r="30976" ht="14.25" customHeight="1" s="192">
      <c r="W30976" s="239" t="n"/>
      <c r="X30976" s="239" t="n"/>
    </row>
    <row r="30977" ht="14.25" customHeight="1" s="192">
      <c r="W30977" s="239" t="n"/>
      <c r="X30977" s="239" t="n"/>
    </row>
    <row r="30978" ht="14.25" customHeight="1" s="192">
      <c r="W30978" s="239" t="n"/>
      <c r="X30978" s="239" t="n"/>
    </row>
    <row r="30979" ht="14.25" customHeight="1" s="192">
      <c r="W30979" s="235" t="n"/>
      <c r="X30979" s="235" t="n"/>
    </row>
    <row r="30980" ht="14.25" customHeight="1" s="192">
      <c r="W30980" s="235" t="n"/>
      <c r="X30980" s="235" t="n"/>
    </row>
    <row r="30981" ht="14.25" customHeight="1" s="192">
      <c r="W30981" s="235" t="n"/>
      <c r="X30981" s="235" t="n"/>
    </row>
    <row r="30982" ht="14.25" customHeight="1" s="192">
      <c r="W30982" s="239" t="n"/>
      <c r="X30982" s="239" t="n"/>
    </row>
    <row r="30983" ht="14.25" customHeight="1" s="192">
      <c r="W30983" s="239" t="n"/>
      <c r="X30983" s="239" t="n"/>
    </row>
    <row r="30984" ht="14.25" customHeight="1" s="192">
      <c r="W30984" s="235" t="n"/>
      <c r="X30984" s="235" t="n"/>
    </row>
    <row r="30985" ht="14.25" customHeight="1" s="192">
      <c r="W30985" s="235" t="n"/>
      <c r="X30985" s="235" t="n"/>
    </row>
    <row r="30986" ht="14.25" customHeight="1" s="192">
      <c r="W30986" s="239" t="n"/>
      <c r="X30986" s="239" t="n"/>
    </row>
    <row r="30987" ht="14.25" customHeight="1" s="192">
      <c r="W30987" s="235" t="n"/>
      <c r="X30987" s="235" t="n"/>
    </row>
    <row r="30988" ht="14.25" customHeight="1" s="192">
      <c r="W30988" s="239" t="n"/>
      <c r="X30988" s="239" t="n"/>
    </row>
    <row r="30990" ht="14.25" customHeight="1" s="192">
      <c r="W30990" s="235" t="n"/>
      <c r="X30990" s="235" t="n"/>
    </row>
    <row r="30991" ht="15" customHeight="1" s="192" thickBot="1">
      <c r="W30991" s="239" t="n"/>
      <c r="X30991" s="239" t="n"/>
    </row>
    <row r="30992" ht="15" customHeight="1" s="192" thickBot="1">
      <c r="W30992" s="45" t="n"/>
      <c r="X30992" s="45" t="n"/>
    </row>
    <row r="30993" ht="14.25" customHeight="1" s="192">
      <c r="W30993" s="228" t="n"/>
      <c r="X30993" s="228" t="n"/>
    </row>
    <row r="30994" ht="14.25" customHeight="1" s="192">
      <c r="W30994" s="228" t="n"/>
      <c r="X30994" s="228" t="n"/>
    </row>
    <row r="30995" ht="14.25" customHeight="1" s="192">
      <c r="W30995" s="231" t="n"/>
      <c r="X30995" s="231" t="n"/>
    </row>
    <row r="30996" ht="14.25" customHeight="1" s="192">
      <c r="W30996" s="33" t="n"/>
      <c r="X30996" s="33" t="n"/>
    </row>
    <row r="30997" ht="14.25" customHeight="1" s="192">
      <c r="W30997" s="231" t="n"/>
      <c r="X30997" s="231" t="n"/>
    </row>
    <row r="30998" ht="14.25" customHeight="1" s="192">
      <c r="W30998" s="33" t="n"/>
      <c r="X30998" s="33" t="n"/>
    </row>
    <row r="31000" ht="14.25" customHeight="1" s="192">
      <c r="W31000" s="231" t="n"/>
      <c r="X31000" s="231" t="n"/>
    </row>
    <row r="31001" ht="14.25" customHeight="1" s="192">
      <c r="W31001" s="235" t="n"/>
      <c r="X31001" s="235" t="n"/>
    </row>
    <row r="31002" ht="14.25" customHeight="1" s="192">
      <c r="W31002" s="228" t="n"/>
      <c r="X31002" s="228" t="n"/>
    </row>
    <row r="31003" ht="14.25" customHeight="1" s="192">
      <c r="W31003" s="235" t="n"/>
      <c r="X31003" s="235" t="n"/>
    </row>
    <row r="31004" ht="14.25" customHeight="1" s="192">
      <c r="W31004" s="235" t="n"/>
      <c r="X31004" s="235" t="n"/>
    </row>
    <row r="31005" ht="14.25" customHeight="1" s="192">
      <c r="W31005" s="235" t="n"/>
      <c r="X31005" s="235" t="n"/>
    </row>
    <row r="31006" ht="14.25" customHeight="1" s="192">
      <c r="W31006" s="239" t="n"/>
      <c r="X31006" s="239" t="n"/>
    </row>
    <row r="31007" ht="14.25" customHeight="1" s="192">
      <c r="W31007" s="239" t="n"/>
      <c r="X31007" s="239" t="n"/>
    </row>
    <row r="31008" ht="14.25" customHeight="1" s="192">
      <c r="W31008" s="239" t="n"/>
      <c r="X31008" s="239" t="n"/>
    </row>
    <row r="31009" ht="14.25" customHeight="1" s="192">
      <c r="W31009" s="235" t="n"/>
      <c r="X31009" s="235" t="n"/>
    </row>
    <row r="31010" ht="14.25" customHeight="1" s="192">
      <c r="W31010" s="235" t="n"/>
      <c r="X31010" s="235" t="n"/>
    </row>
    <row r="31011" ht="14.25" customHeight="1" s="192">
      <c r="W31011" s="235" t="n"/>
      <c r="X31011" s="235" t="n"/>
    </row>
    <row r="31012" ht="14.25" customHeight="1" s="192">
      <c r="W31012" s="239" t="n"/>
      <c r="X31012" s="239" t="n"/>
    </row>
    <row r="31013" ht="14.25" customHeight="1" s="192">
      <c r="W31013" s="239" t="n"/>
      <c r="X31013" s="239" t="n"/>
    </row>
    <row r="31014" ht="14.25" customHeight="1" s="192">
      <c r="W31014" s="235" t="n"/>
      <c r="X31014" s="235" t="n"/>
    </row>
    <row r="31015" ht="14.25" customHeight="1" s="192">
      <c r="W31015" s="235" t="n"/>
      <c r="X31015" s="235" t="n"/>
    </row>
    <row r="31016" ht="14.25" customHeight="1" s="192">
      <c r="W31016" s="239" t="n"/>
      <c r="X31016" s="239" t="n"/>
    </row>
    <row r="31017" ht="14.25" customHeight="1" s="192">
      <c r="W31017" s="235" t="n"/>
      <c r="X31017" s="235" t="n"/>
    </row>
    <row r="31018" ht="14.25" customHeight="1" s="192">
      <c r="W31018" s="239" t="n"/>
      <c r="X31018" s="239" t="n"/>
    </row>
    <row r="31020" ht="14.25" customHeight="1" s="192">
      <c r="W31020" s="235" t="n"/>
      <c r="X31020" s="235" t="n"/>
    </row>
    <row r="31021" ht="15" customHeight="1" s="192" thickBot="1">
      <c r="W31021" s="239" t="n"/>
      <c r="X31021" s="239" t="n"/>
    </row>
    <row r="31022" ht="15" customHeight="1" s="192" thickBot="1">
      <c r="W31022" s="45" t="n"/>
      <c r="X31022" s="45" t="n"/>
    </row>
    <row r="31023" ht="14.25" customHeight="1" s="192">
      <c r="W31023" s="228" t="n"/>
      <c r="X31023" s="228" t="n"/>
    </row>
    <row r="31024" ht="14.25" customHeight="1" s="192">
      <c r="W31024" s="228" t="n"/>
      <c r="X31024" s="228" t="n"/>
    </row>
    <row r="31025" ht="14.25" customHeight="1" s="192">
      <c r="W31025" s="231" t="n"/>
      <c r="X31025" s="231" t="n"/>
    </row>
    <row r="31026" ht="14.25" customHeight="1" s="192">
      <c r="W31026" s="33" t="n"/>
      <c r="X31026" s="33" t="n"/>
    </row>
    <row r="31027" ht="14.25" customHeight="1" s="192">
      <c r="W31027" s="231" t="n"/>
      <c r="X31027" s="231" t="n"/>
    </row>
    <row r="31028" ht="14.25" customHeight="1" s="192">
      <c r="W31028" s="33" t="n"/>
      <c r="X31028" s="33" t="n"/>
    </row>
    <row r="31030" ht="14.25" customHeight="1" s="192">
      <c r="W31030" s="231" t="n"/>
      <c r="X31030" s="231" t="n"/>
    </row>
    <row r="31031" ht="14.25" customHeight="1" s="192">
      <c r="W31031" s="235" t="n"/>
      <c r="X31031" s="235" t="n"/>
    </row>
    <row r="31032" ht="14.25" customHeight="1" s="192">
      <c r="W31032" s="228" t="n"/>
      <c r="X31032" s="228" t="n"/>
    </row>
    <row r="31033" ht="14.25" customHeight="1" s="192">
      <c r="W31033" s="235" t="n"/>
      <c r="X31033" s="235" t="n"/>
    </row>
    <row r="31034" ht="14.25" customHeight="1" s="192">
      <c r="W31034" s="235" t="n"/>
      <c r="X31034" s="235" t="n"/>
    </row>
    <row r="31035" ht="14.25" customHeight="1" s="192">
      <c r="W31035" s="235" t="n"/>
      <c r="X31035" s="235" t="n"/>
    </row>
    <row r="31036" ht="14.25" customHeight="1" s="192">
      <c r="W31036" s="239" t="n"/>
      <c r="X31036" s="239" t="n"/>
    </row>
    <row r="31037" ht="14.25" customHeight="1" s="192">
      <c r="W31037" s="239" t="n"/>
      <c r="X31037" s="239" t="n"/>
    </row>
    <row r="31038" ht="14.25" customHeight="1" s="192">
      <c r="W31038" s="239" t="n"/>
      <c r="X31038" s="239" t="n"/>
    </row>
    <row r="31039" ht="14.25" customHeight="1" s="192">
      <c r="W31039" s="235" t="n"/>
      <c r="X31039" s="235" t="n"/>
    </row>
    <row r="31040" ht="14.25" customHeight="1" s="192">
      <c r="W31040" s="235" t="n"/>
      <c r="X31040" s="235" t="n"/>
    </row>
    <row r="31041" ht="14.25" customHeight="1" s="192">
      <c r="W31041" s="235" t="n"/>
      <c r="X31041" s="235" t="n"/>
    </row>
    <row r="31042" ht="14.25" customHeight="1" s="192">
      <c r="W31042" s="239" t="n"/>
      <c r="X31042" s="239" t="n"/>
    </row>
    <row r="31043" ht="14.25" customHeight="1" s="192">
      <c r="W31043" s="239" t="n"/>
      <c r="X31043" s="239" t="n"/>
    </row>
    <row r="31044" ht="14.25" customHeight="1" s="192">
      <c r="W31044" s="235" t="n"/>
      <c r="X31044" s="235" t="n"/>
    </row>
    <row r="31045" ht="14.25" customHeight="1" s="192">
      <c r="W31045" s="235" t="n"/>
      <c r="X31045" s="235" t="n"/>
    </row>
    <row r="31046" ht="14.25" customHeight="1" s="192">
      <c r="W31046" s="239" t="n"/>
      <c r="X31046" s="239" t="n"/>
    </row>
    <row r="31047" ht="14.25" customHeight="1" s="192">
      <c r="W31047" s="235" t="n"/>
      <c r="X31047" s="235" t="n"/>
    </row>
    <row r="31048" ht="14.25" customHeight="1" s="192">
      <c r="W31048" s="239" t="n"/>
      <c r="X31048" s="239" t="n"/>
    </row>
    <row r="31050" ht="14.25" customHeight="1" s="192">
      <c r="W31050" s="235" t="n"/>
      <c r="X31050" s="235" t="n"/>
    </row>
    <row r="31051" ht="15" customHeight="1" s="192" thickBot="1">
      <c r="W31051" s="239" t="n"/>
      <c r="X31051" s="239" t="n"/>
    </row>
    <row r="31052" ht="15" customHeight="1" s="192" thickBot="1">
      <c r="W31052" s="45" t="n"/>
      <c r="X31052" s="45" t="n"/>
    </row>
    <row r="31053" ht="14.25" customHeight="1" s="192">
      <c r="W31053" s="228" t="n"/>
      <c r="X31053" s="228" t="n"/>
    </row>
    <row r="31054" ht="14.25" customHeight="1" s="192">
      <c r="W31054" s="228" t="n"/>
      <c r="X31054" s="228" t="n"/>
    </row>
    <row r="31055" ht="14.25" customHeight="1" s="192">
      <c r="W31055" s="231" t="n"/>
      <c r="X31055" s="231" t="n"/>
    </row>
    <row r="31056" ht="14.25" customHeight="1" s="192">
      <c r="W31056" s="33" t="n"/>
      <c r="X31056" s="33" t="n"/>
    </row>
    <row r="31057" ht="14.25" customHeight="1" s="192">
      <c r="W31057" s="231" t="n"/>
      <c r="X31057" s="231" t="n"/>
    </row>
    <row r="31058" ht="14.25" customHeight="1" s="192">
      <c r="W31058" s="33" t="n"/>
      <c r="X31058" s="33" t="n"/>
    </row>
    <row r="31060" ht="14.25" customHeight="1" s="192">
      <c r="W31060" s="231" t="n"/>
      <c r="X31060" s="231" t="n"/>
    </row>
    <row r="31061" ht="14.25" customHeight="1" s="192">
      <c r="W31061" s="235" t="n"/>
      <c r="X31061" s="235" t="n"/>
    </row>
    <row r="31062" ht="14.25" customHeight="1" s="192">
      <c r="W31062" s="228" t="n"/>
      <c r="X31062" s="228" t="n"/>
    </row>
    <row r="31063" ht="14.25" customHeight="1" s="192">
      <c r="W31063" s="235" t="n"/>
      <c r="X31063" s="235" t="n"/>
    </row>
    <row r="31064" ht="14.25" customHeight="1" s="192">
      <c r="W31064" s="235" t="n"/>
      <c r="X31064" s="235" t="n"/>
    </row>
    <row r="31065" ht="14.25" customHeight="1" s="192">
      <c r="W31065" s="235" t="n"/>
      <c r="X31065" s="235" t="n"/>
    </row>
    <row r="31066" ht="14.25" customHeight="1" s="192">
      <c r="W31066" s="239" t="n"/>
      <c r="X31066" s="239" t="n"/>
    </row>
    <row r="31067" ht="14.25" customHeight="1" s="192">
      <c r="W31067" s="239" t="n"/>
      <c r="X31067" s="239" t="n"/>
    </row>
    <row r="31068" ht="14.25" customHeight="1" s="192">
      <c r="W31068" s="239" t="n"/>
      <c r="X31068" s="239" t="n"/>
    </row>
    <row r="31069" ht="14.25" customHeight="1" s="192">
      <c r="W31069" s="235" t="n"/>
      <c r="X31069" s="235" t="n"/>
    </row>
    <row r="31070" ht="14.25" customHeight="1" s="192">
      <c r="W31070" s="235" t="n"/>
      <c r="X31070" s="235" t="n"/>
    </row>
    <row r="31071" ht="14.25" customHeight="1" s="192">
      <c r="W31071" s="235" t="n"/>
      <c r="X31071" s="235" t="n"/>
    </row>
    <row r="31072" ht="14.25" customHeight="1" s="192">
      <c r="W31072" s="239" t="n"/>
      <c r="X31072" s="239" t="n"/>
    </row>
    <row r="31073" ht="14.25" customHeight="1" s="192">
      <c r="W31073" s="239" t="n"/>
      <c r="X31073" s="239" t="n"/>
    </row>
    <row r="31074" ht="14.25" customHeight="1" s="192">
      <c r="W31074" s="235" t="n"/>
      <c r="X31074" s="235" t="n"/>
    </row>
    <row r="31075" ht="14.25" customHeight="1" s="192">
      <c r="W31075" s="235" t="n"/>
      <c r="X31075" s="235" t="n"/>
    </row>
    <row r="31076" ht="14.25" customHeight="1" s="192">
      <c r="W31076" s="239" t="n"/>
      <c r="X31076" s="239" t="n"/>
    </row>
    <row r="31077" ht="14.25" customHeight="1" s="192">
      <c r="W31077" s="235" t="n"/>
      <c r="X31077" s="235" t="n"/>
    </row>
    <row r="31078" ht="14.25" customHeight="1" s="192">
      <c r="W31078" s="239" t="n"/>
      <c r="X31078" s="239" t="n"/>
    </row>
    <row r="31080" ht="14.25" customHeight="1" s="192">
      <c r="W31080" s="235" t="n"/>
      <c r="X31080" s="235" t="n"/>
    </row>
    <row r="31081" ht="15" customHeight="1" s="192" thickBot="1">
      <c r="W31081" s="239" t="n"/>
      <c r="X31081" s="239" t="n"/>
    </row>
    <row r="31082" ht="15" customHeight="1" s="192" thickBot="1">
      <c r="W31082" s="45" t="n"/>
      <c r="X31082" s="45" t="n"/>
    </row>
    <row r="31083" ht="14.25" customHeight="1" s="192">
      <c r="W31083" s="228" t="n"/>
      <c r="X31083" s="228" t="n"/>
    </row>
    <row r="31084" ht="14.25" customHeight="1" s="192">
      <c r="W31084" s="228" t="n"/>
      <c r="X31084" s="228" t="n"/>
    </row>
    <row r="31085" ht="14.25" customHeight="1" s="192">
      <c r="W31085" s="231" t="n"/>
      <c r="X31085" s="231" t="n"/>
    </row>
    <row r="31086" ht="14.25" customHeight="1" s="192">
      <c r="W31086" s="33" t="n"/>
      <c r="X31086" s="33" t="n"/>
    </row>
    <row r="31087" ht="14.25" customHeight="1" s="192">
      <c r="W31087" s="231" t="n"/>
      <c r="X31087" s="231" t="n"/>
    </row>
    <row r="31088" ht="14.25" customHeight="1" s="192">
      <c r="W31088" s="33" t="n"/>
      <c r="X31088" s="33" t="n"/>
    </row>
    <row r="31090" ht="14.25" customHeight="1" s="192">
      <c r="W31090" s="231" t="n"/>
      <c r="X31090" s="231" t="n"/>
    </row>
    <row r="31091" ht="14.25" customHeight="1" s="192">
      <c r="W31091" s="235" t="n"/>
      <c r="X31091" s="235" t="n"/>
    </row>
    <row r="31092" ht="14.25" customHeight="1" s="192">
      <c r="W31092" s="228" t="n"/>
      <c r="X31092" s="228" t="n"/>
    </row>
    <row r="31093" ht="14.25" customHeight="1" s="192">
      <c r="W31093" s="235" t="n"/>
      <c r="X31093" s="235" t="n"/>
    </row>
    <row r="31094" ht="14.25" customHeight="1" s="192">
      <c r="W31094" s="235" t="n"/>
      <c r="X31094" s="235" t="n"/>
    </row>
    <row r="31095" ht="14.25" customHeight="1" s="192">
      <c r="W31095" s="235" t="n"/>
      <c r="X31095" s="235" t="n"/>
    </row>
    <row r="31096" ht="14.25" customHeight="1" s="192">
      <c r="W31096" s="239" t="n"/>
      <c r="X31096" s="239" t="n"/>
    </row>
    <row r="31097" ht="14.25" customHeight="1" s="192">
      <c r="W31097" s="239" t="n"/>
      <c r="X31097" s="239" t="n"/>
    </row>
    <row r="31098" ht="14.25" customHeight="1" s="192">
      <c r="W31098" s="239" t="n"/>
      <c r="X31098" s="239" t="n"/>
    </row>
    <row r="31099" ht="14.25" customHeight="1" s="192">
      <c r="W31099" s="235" t="n"/>
      <c r="X31099" s="235" t="n"/>
    </row>
    <row r="31100" ht="14.25" customHeight="1" s="192">
      <c r="W31100" s="235" t="n"/>
      <c r="X31100" s="235" t="n"/>
    </row>
    <row r="31101" ht="14.25" customHeight="1" s="192">
      <c r="W31101" s="235" t="n"/>
      <c r="X31101" s="235" t="n"/>
    </row>
    <row r="31102" ht="14.25" customHeight="1" s="192">
      <c r="W31102" s="239" t="n"/>
      <c r="X31102" s="239" t="n"/>
    </row>
    <row r="31103" ht="14.25" customHeight="1" s="192">
      <c r="W31103" s="239" t="n"/>
      <c r="X31103" s="239" t="n"/>
    </row>
    <row r="31104" ht="14.25" customHeight="1" s="192">
      <c r="W31104" s="235" t="n"/>
      <c r="X31104" s="235" t="n"/>
    </row>
    <row r="31105" ht="14.25" customHeight="1" s="192">
      <c r="W31105" s="235" t="n"/>
      <c r="X31105" s="235" t="n"/>
    </row>
    <row r="31106" ht="14.25" customHeight="1" s="192">
      <c r="W31106" s="239" t="n"/>
      <c r="X31106" s="239" t="n"/>
    </row>
    <row r="31107" ht="14.25" customHeight="1" s="192">
      <c r="W31107" s="235" t="n"/>
      <c r="X31107" s="235" t="n"/>
    </row>
    <row r="31108" ht="14.25" customHeight="1" s="192">
      <c r="W31108" s="239" t="n"/>
      <c r="X31108" s="239" t="n"/>
    </row>
    <row r="31110" ht="14.25" customHeight="1" s="192">
      <c r="W31110" s="235" t="n"/>
      <c r="X31110" s="235" t="n"/>
    </row>
    <row r="31111" ht="15" customHeight="1" s="192" thickBot="1">
      <c r="W31111" s="239" t="n"/>
      <c r="X31111" s="239" t="n"/>
    </row>
    <row r="31112" ht="15" customHeight="1" s="192" thickBot="1">
      <c r="W31112" s="45" t="n"/>
      <c r="X31112" s="45" t="n"/>
    </row>
    <row r="31113" ht="14.25" customHeight="1" s="192">
      <c r="W31113" s="228" t="n"/>
      <c r="X31113" s="228" t="n"/>
    </row>
    <row r="31114" ht="14.25" customHeight="1" s="192">
      <c r="W31114" s="228" t="n"/>
      <c r="X31114" s="228" t="n"/>
    </row>
    <row r="31115" ht="14.25" customHeight="1" s="192">
      <c r="W31115" s="231" t="n"/>
      <c r="X31115" s="231" t="n"/>
    </row>
    <row r="31116" ht="14.25" customHeight="1" s="192">
      <c r="W31116" s="33" t="n"/>
      <c r="X31116" s="33" t="n"/>
    </row>
    <row r="31117" ht="14.25" customHeight="1" s="192">
      <c r="W31117" s="231" t="n"/>
      <c r="X31117" s="231" t="n"/>
    </row>
    <row r="31118" ht="14.25" customHeight="1" s="192">
      <c r="W31118" s="33" t="n"/>
      <c r="X31118" s="33" t="n"/>
    </row>
    <row r="31120" ht="14.25" customHeight="1" s="192">
      <c r="W31120" s="231" t="n"/>
      <c r="X31120" s="231" t="n"/>
    </row>
    <row r="31121" ht="14.25" customHeight="1" s="192">
      <c r="W31121" s="235" t="n"/>
      <c r="X31121" s="235" t="n"/>
    </row>
    <row r="31122" ht="14.25" customHeight="1" s="192">
      <c r="W31122" s="228" t="n"/>
      <c r="X31122" s="228" t="n"/>
    </row>
    <row r="31123" ht="14.25" customHeight="1" s="192">
      <c r="W31123" s="235" t="n"/>
      <c r="X31123" s="235" t="n"/>
    </row>
    <row r="31124" ht="14.25" customHeight="1" s="192">
      <c r="W31124" s="235" t="n"/>
      <c r="X31124" s="235" t="n"/>
    </row>
    <row r="31125" ht="14.25" customHeight="1" s="192">
      <c r="W31125" s="235" t="n"/>
      <c r="X31125" s="235" t="n"/>
    </row>
    <row r="31126" ht="14.25" customHeight="1" s="192">
      <c r="W31126" s="239" t="n"/>
      <c r="X31126" s="239" t="n"/>
    </row>
    <row r="31127" ht="14.25" customHeight="1" s="192">
      <c r="W31127" s="239" t="n"/>
      <c r="X31127" s="239" t="n"/>
    </row>
    <row r="31128" ht="14.25" customHeight="1" s="192">
      <c r="W31128" s="239" t="n"/>
      <c r="X31128" s="239" t="n"/>
    </row>
    <row r="31129" ht="14.25" customHeight="1" s="192">
      <c r="W31129" s="235" t="n"/>
      <c r="X31129" s="235" t="n"/>
    </row>
    <row r="31130" ht="14.25" customHeight="1" s="192">
      <c r="W31130" s="235" t="n"/>
      <c r="X31130" s="235" t="n"/>
    </row>
    <row r="31131" ht="14.25" customHeight="1" s="192">
      <c r="W31131" s="235" t="n"/>
      <c r="X31131" s="235" t="n"/>
    </row>
    <row r="31132" ht="14.25" customHeight="1" s="192">
      <c r="W31132" s="239" t="n"/>
      <c r="X31132" s="239" t="n"/>
    </row>
    <row r="31133" ht="14.25" customHeight="1" s="192">
      <c r="W31133" s="239" t="n"/>
      <c r="X31133" s="239" t="n"/>
    </row>
    <row r="31134" ht="14.25" customHeight="1" s="192">
      <c r="W31134" s="235" t="n"/>
      <c r="X31134" s="235" t="n"/>
    </row>
    <row r="31135" ht="14.25" customHeight="1" s="192">
      <c r="W31135" s="235" t="n"/>
      <c r="X31135" s="235" t="n"/>
    </row>
    <row r="31136" ht="14.25" customHeight="1" s="192">
      <c r="W31136" s="239" t="n"/>
      <c r="X31136" s="239" t="n"/>
    </row>
    <row r="31137" ht="14.25" customHeight="1" s="192">
      <c r="W31137" s="235" t="n"/>
      <c r="X31137" s="235" t="n"/>
    </row>
    <row r="31138" ht="14.25" customHeight="1" s="192">
      <c r="W31138" s="239" t="n"/>
      <c r="X31138" s="239" t="n"/>
    </row>
    <row r="31140" ht="14.25" customHeight="1" s="192">
      <c r="W31140" s="235" t="n"/>
      <c r="X31140" s="235" t="n"/>
    </row>
    <row r="31141" ht="15" customHeight="1" s="192" thickBot="1">
      <c r="W31141" s="239" t="n"/>
      <c r="X31141" s="239" t="n"/>
    </row>
    <row r="31142" ht="15" customHeight="1" s="192" thickBot="1">
      <c r="W31142" s="45" t="n"/>
      <c r="X31142" s="45" t="n"/>
    </row>
    <row r="31143" ht="14.25" customHeight="1" s="192">
      <c r="W31143" s="228" t="n"/>
      <c r="X31143" s="228" t="n"/>
    </row>
    <row r="31144" ht="14.25" customHeight="1" s="192">
      <c r="W31144" s="228" t="n"/>
      <c r="X31144" s="228" t="n"/>
    </row>
    <row r="31145" ht="14.25" customHeight="1" s="192">
      <c r="W31145" s="231" t="n"/>
      <c r="X31145" s="231" t="n"/>
    </row>
    <row r="31146" ht="14.25" customHeight="1" s="192">
      <c r="W31146" s="33" t="n"/>
      <c r="X31146" s="33" t="n"/>
    </row>
    <row r="31147" ht="14.25" customHeight="1" s="192">
      <c r="W31147" s="231" t="n"/>
      <c r="X31147" s="231" t="n"/>
    </row>
    <row r="31148" ht="14.25" customHeight="1" s="192">
      <c r="W31148" s="33" t="n"/>
      <c r="X31148" s="33" t="n"/>
    </row>
    <row r="31150" ht="14.25" customHeight="1" s="192">
      <c r="W31150" s="231" t="n"/>
      <c r="X31150" s="231" t="n"/>
    </row>
    <row r="31151" ht="14.25" customHeight="1" s="192">
      <c r="W31151" s="235" t="n"/>
      <c r="X31151" s="235" t="n"/>
    </row>
    <row r="31152" ht="14.25" customHeight="1" s="192">
      <c r="W31152" s="228" t="n"/>
      <c r="X31152" s="228" t="n"/>
    </row>
    <row r="31153" ht="14.25" customHeight="1" s="192">
      <c r="W31153" s="235" t="n"/>
      <c r="X31153" s="235" t="n"/>
    </row>
    <row r="31154" ht="14.25" customHeight="1" s="192">
      <c r="W31154" s="235" t="n"/>
      <c r="X31154" s="235" t="n"/>
    </row>
    <row r="31155" ht="14.25" customHeight="1" s="192">
      <c r="W31155" s="235" t="n"/>
      <c r="X31155" s="235" t="n"/>
    </row>
    <row r="31156" ht="14.25" customHeight="1" s="192">
      <c r="W31156" s="239" t="n"/>
      <c r="X31156" s="239" t="n"/>
    </row>
    <row r="31157" ht="14.25" customHeight="1" s="192">
      <c r="W31157" s="239" t="n"/>
      <c r="X31157" s="239" t="n"/>
    </row>
    <row r="31158" ht="14.25" customHeight="1" s="192">
      <c r="W31158" s="239" t="n"/>
      <c r="X31158" s="239" t="n"/>
    </row>
    <row r="31159" ht="14.25" customHeight="1" s="192">
      <c r="W31159" s="235" t="n"/>
      <c r="X31159" s="235" t="n"/>
    </row>
    <row r="31160" ht="14.25" customHeight="1" s="192">
      <c r="W31160" s="235" t="n"/>
      <c r="X31160" s="235" t="n"/>
    </row>
    <row r="31161" ht="14.25" customHeight="1" s="192">
      <c r="W31161" s="235" t="n"/>
      <c r="X31161" s="235" t="n"/>
    </row>
    <row r="31162" ht="14.25" customHeight="1" s="192">
      <c r="W31162" s="239" t="n"/>
      <c r="X31162" s="239" t="n"/>
    </row>
    <row r="31163" ht="14.25" customHeight="1" s="192">
      <c r="W31163" s="239" t="n"/>
      <c r="X31163" s="239" t="n"/>
    </row>
    <row r="31164" ht="14.25" customHeight="1" s="192">
      <c r="W31164" s="235" t="n"/>
      <c r="X31164" s="235" t="n"/>
    </row>
    <row r="31165" ht="14.25" customHeight="1" s="192">
      <c r="W31165" s="235" t="n"/>
      <c r="X31165" s="235" t="n"/>
    </row>
    <row r="31166" ht="14.25" customHeight="1" s="192">
      <c r="W31166" s="239" t="n"/>
      <c r="X31166" s="239" t="n"/>
    </row>
    <row r="31167" ht="14.25" customHeight="1" s="192">
      <c r="W31167" s="235" t="n"/>
      <c r="X31167" s="235" t="n"/>
    </row>
    <row r="31168" ht="14.25" customHeight="1" s="192">
      <c r="W31168" s="239" t="n"/>
      <c r="X31168" s="239" t="n"/>
    </row>
    <row r="31170" ht="14.25" customHeight="1" s="192">
      <c r="W31170" s="235" t="n"/>
      <c r="X31170" s="235" t="n"/>
    </row>
    <row r="31171" ht="15" customHeight="1" s="192" thickBot="1">
      <c r="W31171" s="239" t="n"/>
      <c r="X31171" s="239" t="n"/>
    </row>
    <row r="31172" ht="15" customHeight="1" s="192" thickBot="1">
      <c r="W31172" s="45" t="n"/>
      <c r="X31172" s="45" t="n"/>
    </row>
    <row r="31173" ht="14.25" customHeight="1" s="192">
      <c r="W31173" s="228" t="n"/>
      <c r="X31173" s="228" t="n"/>
    </row>
    <row r="31174" ht="14.25" customHeight="1" s="192">
      <c r="W31174" s="228" t="n"/>
      <c r="X31174" s="228" t="n"/>
    </row>
    <row r="31175" ht="14.25" customHeight="1" s="192">
      <c r="W31175" s="231" t="n"/>
      <c r="X31175" s="231" t="n"/>
    </row>
    <row r="31176" ht="14.25" customHeight="1" s="192">
      <c r="W31176" s="33" t="n"/>
      <c r="X31176" s="33" t="n"/>
    </row>
    <row r="31177" ht="14.25" customHeight="1" s="192">
      <c r="W31177" s="231" t="n"/>
      <c r="X31177" s="231" t="n"/>
    </row>
    <row r="31178" ht="14.25" customHeight="1" s="192">
      <c r="W31178" s="33" t="n"/>
      <c r="X31178" s="33" t="n"/>
    </row>
    <row r="31180" ht="14.25" customHeight="1" s="192">
      <c r="W31180" s="231" t="n"/>
      <c r="X31180" s="231" t="n"/>
    </row>
    <row r="31181" ht="14.25" customHeight="1" s="192">
      <c r="W31181" s="235" t="n"/>
      <c r="X31181" s="235" t="n"/>
    </row>
    <row r="31182" ht="14.25" customHeight="1" s="192">
      <c r="W31182" s="228" t="n"/>
      <c r="X31182" s="228" t="n"/>
    </row>
    <row r="31183" ht="14.25" customHeight="1" s="192">
      <c r="W31183" s="235" t="n"/>
      <c r="X31183" s="235" t="n"/>
    </row>
    <row r="31184" ht="14.25" customHeight="1" s="192">
      <c r="W31184" s="235" t="n"/>
      <c r="X31184" s="235" t="n"/>
    </row>
    <row r="31185" ht="14.25" customHeight="1" s="192">
      <c r="W31185" s="235" t="n"/>
      <c r="X31185" s="235" t="n"/>
    </row>
    <row r="31186" ht="14.25" customHeight="1" s="192">
      <c r="W31186" s="239" t="n"/>
      <c r="X31186" s="239" t="n"/>
    </row>
    <row r="31187" ht="14.25" customHeight="1" s="192">
      <c r="W31187" s="239" t="n"/>
      <c r="X31187" s="239" t="n"/>
    </row>
    <row r="31188" ht="14.25" customHeight="1" s="192">
      <c r="W31188" s="239" t="n"/>
      <c r="X31188" s="239" t="n"/>
    </row>
    <row r="31189" ht="14.25" customHeight="1" s="192">
      <c r="W31189" s="235" t="n"/>
      <c r="X31189" s="235" t="n"/>
    </row>
    <row r="31190" ht="14.25" customHeight="1" s="192">
      <c r="W31190" s="235" t="n"/>
      <c r="X31190" s="235" t="n"/>
    </row>
    <row r="31191" ht="14.25" customHeight="1" s="192">
      <c r="W31191" s="235" t="n"/>
      <c r="X31191" s="235" t="n"/>
    </row>
    <row r="31192" ht="14.25" customHeight="1" s="192">
      <c r="W31192" s="239" t="n"/>
      <c r="X31192" s="239" t="n"/>
    </row>
    <row r="31193" ht="14.25" customHeight="1" s="192">
      <c r="W31193" s="239" t="n"/>
      <c r="X31193" s="239" t="n"/>
    </row>
    <row r="31194" ht="14.25" customHeight="1" s="192">
      <c r="W31194" s="235" t="n"/>
      <c r="X31194" s="235" t="n"/>
    </row>
    <row r="31195" ht="14.25" customHeight="1" s="192">
      <c r="W31195" s="235" t="n"/>
      <c r="X31195" s="235" t="n"/>
    </row>
    <row r="31196" ht="14.25" customHeight="1" s="192">
      <c r="W31196" s="239" t="n"/>
      <c r="X31196" s="239" t="n"/>
    </row>
    <row r="31197" ht="14.25" customHeight="1" s="192">
      <c r="W31197" s="235" t="n"/>
      <c r="X31197" s="235" t="n"/>
    </row>
    <row r="31198" ht="14.25" customHeight="1" s="192">
      <c r="W31198" s="239" t="n"/>
      <c r="X31198" s="239" t="n"/>
    </row>
    <row r="31200" ht="14.25" customHeight="1" s="192">
      <c r="W31200" s="235" t="n"/>
      <c r="X31200" s="235" t="n"/>
    </row>
    <row r="31201" ht="15" customHeight="1" s="192" thickBot="1">
      <c r="W31201" s="239" t="n"/>
      <c r="X31201" s="239" t="n"/>
    </row>
    <row r="31202" ht="15" customHeight="1" s="192" thickBot="1">
      <c r="W31202" s="45" t="n"/>
      <c r="X31202" s="45" t="n"/>
    </row>
    <row r="31203" ht="14.25" customHeight="1" s="192">
      <c r="W31203" s="228" t="n"/>
      <c r="X31203" s="228" t="n"/>
    </row>
    <row r="31204" ht="14.25" customHeight="1" s="192">
      <c r="W31204" s="228" t="n"/>
      <c r="X31204" s="228" t="n"/>
    </row>
    <row r="31205" ht="14.25" customHeight="1" s="192">
      <c r="W31205" s="231" t="n"/>
      <c r="X31205" s="231" t="n"/>
    </row>
    <row r="31206" ht="14.25" customHeight="1" s="192">
      <c r="W31206" s="33" t="n"/>
      <c r="X31206" s="33" t="n"/>
    </row>
    <row r="31207" ht="14.25" customHeight="1" s="192">
      <c r="W31207" s="231" t="n"/>
      <c r="X31207" s="231" t="n"/>
    </row>
    <row r="31208" ht="14.25" customHeight="1" s="192">
      <c r="W31208" s="33" t="n"/>
      <c r="X31208" s="33" t="n"/>
    </row>
    <row r="31210" ht="14.25" customHeight="1" s="192">
      <c r="W31210" s="231" t="n"/>
      <c r="X31210" s="231" t="n"/>
    </row>
    <row r="31211" ht="14.25" customHeight="1" s="192">
      <c r="W31211" s="235" t="n"/>
      <c r="X31211" s="235" t="n"/>
    </row>
    <row r="31212" ht="14.25" customHeight="1" s="192">
      <c r="W31212" s="228" t="n"/>
      <c r="X31212" s="228" t="n"/>
    </row>
    <row r="31213" ht="14.25" customHeight="1" s="192">
      <c r="W31213" s="235" t="n"/>
      <c r="X31213" s="235" t="n"/>
    </row>
    <row r="31214" ht="14.25" customHeight="1" s="192">
      <c r="W31214" s="235" t="n"/>
      <c r="X31214" s="235" t="n"/>
    </row>
    <row r="31215" ht="14.25" customHeight="1" s="192">
      <c r="W31215" s="235" t="n"/>
      <c r="X31215" s="235" t="n"/>
    </row>
    <row r="31216" ht="14.25" customHeight="1" s="192">
      <c r="W31216" s="239" t="n"/>
      <c r="X31216" s="239" t="n"/>
    </row>
    <row r="31217" ht="14.25" customHeight="1" s="192">
      <c r="W31217" s="239" t="n"/>
      <c r="X31217" s="239" t="n"/>
    </row>
    <row r="31218" ht="14.25" customHeight="1" s="192">
      <c r="W31218" s="239" t="n"/>
      <c r="X31218" s="239" t="n"/>
    </row>
    <row r="31219" ht="14.25" customHeight="1" s="192">
      <c r="W31219" s="235" t="n"/>
      <c r="X31219" s="235" t="n"/>
    </row>
    <row r="31220" ht="14.25" customHeight="1" s="192">
      <c r="W31220" s="235" t="n"/>
      <c r="X31220" s="235" t="n"/>
    </row>
    <row r="31221" ht="14.25" customHeight="1" s="192">
      <c r="W31221" s="235" t="n"/>
      <c r="X31221" s="235" t="n"/>
    </row>
    <row r="31222" ht="14.25" customHeight="1" s="192">
      <c r="W31222" s="239" t="n"/>
      <c r="X31222" s="239" t="n"/>
    </row>
    <row r="31223" ht="14.25" customHeight="1" s="192">
      <c r="W31223" s="239" t="n"/>
      <c r="X31223" s="239" t="n"/>
    </row>
    <row r="31224" ht="14.25" customHeight="1" s="192">
      <c r="W31224" s="235" t="n"/>
      <c r="X31224" s="235" t="n"/>
    </row>
    <row r="31225" ht="14.25" customHeight="1" s="192">
      <c r="W31225" s="235" t="n"/>
      <c r="X31225" s="235" t="n"/>
    </row>
    <row r="31226" ht="14.25" customHeight="1" s="192">
      <c r="W31226" s="239" t="n"/>
      <c r="X31226" s="239" t="n"/>
    </row>
    <row r="31227" ht="14.25" customHeight="1" s="192">
      <c r="W31227" s="235" t="n"/>
      <c r="X31227" s="235" t="n"/>
    </row>
    <row r="31228" ht="14.25" customHeight="1" s="192">
      <c r="W31228" s="239" t="n"/>
      <c r="X31228" s="239" t="n"/>
    </row>
    <row r="31230" ht="14.25" customHeight="1" s="192">
      <c r="W31230" s="235" t="n"/>
      <c r="X31230" s="235" t="n"/>
    </row>
    <row r="31231" ht="15" customHeight="1" s="192" thickBot="1">
      <c r="W31231" s="239" t="n"/>
      <c r="X31231" s="239" t="n"/>
    </row>
    <row r="31232" ht="15" customHeight="1" s="192" thickBot="1">
      <c r="W31232" s="45" t="n"/>
      <c r="X31232" s="45" t="n"/>
    </row>
    <row r="31233" ht="14.25" customHeight="1" s="192">
      <c r="W31233" s="228" t="n"/>
      <c r="X31233" s="228" t="n"/>
    </row>
    <row r="31234" ht="14.25" customHeight="1" s="192">
      <c r="W31234" s="228" t="n"/>
      <c r="X31234" s="228" t="n"/>
    </row>
    <row r="31235" ht="14.25" customHeight="1" s="192">
      <c r="W31235" s="231" t="n"/>
      <c r="X31235" s="231" t="n"/>
    </row>
    <row r="31236" ht="14.25" customHeight="1" s="192">
      <c r="W31236" s="33" t="n"/>
      <c r="X31236" s="33" t="n"/>
    </row>
    <row r="31237" ht="14.25" customHeight="1" s="192">
      <c r="W31237" s="231" t="n"/>
      <c r="X31237" s="231" t="n"/>
    </row>
    <row r="31238" ht="14.25" customHeight="1" s="192">
      <c r="W31238" s="33" t="n"/>
      <c r="X31238" s="33" t="n"/>
    </row>
    <row r="31240" ht="14.25" customHeight="1" s="192">
      <c r="W31240" s="231" t="n"/>
      <c r="X31240" s="231" t="n"/>
    </row>
    <row r="31241" ht="14.25" customHeight="1" s="192">
      <c r="W31241" s="235" t="n"/>
      <c r="X31241" s="235" t="n"/>
    </row>
    <row r="31242" ht="14.25" customHeight="1" s="192">
      <c r="W31242" s="228" t="n"/>
      <c r="X31242" s="228" t="n"/>
    </row>
    <row r="31243" ht="14.25" customHeight="1" s="192">
      <c r="W31243" s="235" t="n"/>
      <c r="X31243" s="235" t="n"/>
    </row>
    <row r="31244" ht="14.25" customHeight="1" s="192">
      <c r="W31244" s="235" t="n"/>
      <c r="X31244" s="235" t="n"/>
    </row>
    <row r="31245" ht="14.25" customHeight="1" s="192">
      <c r="W31245" s="235" t="n"/>
      <c r="X31245" s="235" t="n"/>
    </row>
    <row r="31246" ht="14.25" customHeight="1" s="192">
      <c r="W31246" s="239" t="n"/>
      <c r="X31246" s="239" t="n"/>
    </row>
    <row r="31247" ht="14.25" customHeight="1" s="192">
      <c r="W31247" s="239" t="n"/>
      <c r="X31247" s="239" t="n"/>
    </row>
    <row r="31248" ht="14.25" customHeight="1" s="192">
      <c r="W31248" s="239" t="n"/>
      <c r="X31248" s="239" t="n"/>
    </row>
    <row r="31249" ht="14.25" customHeight="1" s="192">
      <c r="W31249" s="235" t="n"/>
      <c r="X31249" s="235" t="n"/>
    </row>
    <row r="31250" ht="14.25" customHeight="1" s="192">
      <c r="W31250" s="235" t="n"/>
      <c r="X31250" s="235" t="n"/>
    </row>
    <row r="31251" ht="14.25" customHeight="1" s="192">
      <c r="W31251" s="235" t="n"/>
      <c r="X31251" s="235" t="n"/>
    </row>
    <row r="31252" ht="14.25" customHeight="1" s="192">
      <c r="W31252" s="239" t="n"/>
      <c r="X31252" s="239" t="n"/>
    </row>
    <row r="31253" ht="14.25" customHeight="1" s="192">
      <c r="W31253" s="239" t="n"/>
      <c r="X31253" s="239" t="n"/>
    </row>
    <row r="31254" ht="14.25" customHeight="1" s="192">
      <c r="W31254" s="235" t="n"/>
      <c r="X31254" s="235" t="n"/>
    </row>
    <row r="31255" ht="14.25" customHeight="1" s="192">
      <c r="W31255" s="235" t="n"/>
      <c r="X31255" s="235" t="n"/>
    </row>
    <row r="31256" ht="14.25" customHeight="1" s="192">
      <c r="W31256" s="239" t="n"/>
      <c r="X31256" s="239" t="n"/>
    </row>
    <row r="31257" ht="14.25" customHeight="1" s="192">
      <c r="W31257" s="235" t="n"/>
      <c r="X31257" s="235" t="n"/>
    </row>
    <row r="31258" ht="14.25" customHeight="1" s="192">
      <c r="W31258" s="239" t="n"/>
      <c r="X31258" s="239" t="n"/>
    </row>
    <row r="31260" ht="14.25" customHeight="1" s="192">
      <c r="W31260" s="235" t="n"/>
      <c r="X31260" s="235" t="n"/>
    </row>
    <row r="31261" ht="15" customHeight="1" s="192" thickBot="1">
      <c r="W31261" s="239" t="n"/>
      <c r="X31261" s="239" t="n"/>
    </row>
    <row r="31262" ht="15" customHeight="1" s="192" thickBot="1">
      <c r="W31262" s="45" t="n"/>
      <c r="X31262" s="45" t="n"/>
    </row>
    <row r="31263" ht="14.25" customHeight="1" s="192">
      <c r="W31263" s="228" t="n"/>
      <c r="X31263" s="228" t="n"/>
    </row>
    <row r="31264" ht="14.25" customHeight="1" s="192">
      <c r="W31264" s="228" t="n"/>
      <c r="X31264" s="228" t="n"/>
    </row>
    <row r="31265" ht="14.25" customHeight="1" s="192">
      <c r="W31265" s="231" t="n"/>
      <c r="X31265" s="231" t="n"/>
    </row>
    <row r="31266" ht="14.25" customHeight="1" s="192">
      <c r="W31266" s="33" t="n"/>
      <c r="X31266" s="33" t="n"/>
    </row>
    <row r="31267" ht="14.25" customHeight="1" s="192">
      <c r="W31267" s="231" t="n"/>
      <c r="X31267" s="231" t="n"/>
    </row>
    <row r="31268" ht="14.25" customHeight="1" s="192">
      <c r="W31268" s="33" t="n"/>
      <c r="X31268" s="33" t="n"/>
    </row>
    <row r="31270" ht="14.25" customHeight="1" s="192">
      <c r="W31270" s="231" t="n"/>
      <c r="X31270" s="231" t="n"/>
    </row>
    <row r="31271" ht="14.25" customHeight="1" s="192">
      <c r="W31271" s="235" t="n"/>
      <c r="X31271" s="235" t="n"/>
    </row>
    <row r="31272" ht="14.25" customHeight="1" s="192">
      <c r="W31272" s="228" t="n"/>
      <c r="X31272" s="228" t="n"/>
    </row>
    <row r="31273" ht="14.25" customHeight="1" s="192">
      <c r="W31273" s="235" t="n"/>
      <c r="X31273" s="235" t="n"/>
    </row>
    <row r="31274" ht="14.25" customHeight="1" s="192">
      <c r="W31274" s="235" t="n"/>
      <c r="X31274" s="235" t="n"/>
    </row>
    <row r="31275" ht="14.25" customHeight="1" s="192">
      <c r="W31275" s="235" t="n"/>
      <c r="X31275" s="235" t="n"/>
    </row>
    <row r="31276" ht="14.25" customHeight="1" s="192">
      <c r="W31276" s="239" t="n"/>
      <c r="X31276" s="239" t="n"/>
    </row>
    <row r="31277" ht="14.25" customHeight="1" s="192">
      <c r="W31277" s="239" t="n"/>
      <c r="X31277" s="239" t="n"/>
    </row>
    <row r="31278" ht="14.25" customHeight="1" s="192">
      <c r="W31278" s="239" t="n"/>
      <c r="X31278" s="239" t="n"/>
    </row>
    <row r="31279" ht="14.25" customHeight="1" s="192">
      <c r="W31279" s="235" t="n"/>
      <c r="X31279" s="235" t="n"/>
    </row>
    <row r="31280" ht="14.25" customHeight="1" s="192">
      <c r="W31280" s="235" t="n"/>
      <c r="X31280" s="235" t="n"/>
    </row>
    <row r="31281" ht="14.25" customHeight="1" s="192">
      <c r="W31281" s="235" t="n"/>
      <c r="X31281" s="235" t="n"/>
    </row>
    <row r="31282" ht="14.25" customHeight="1" s="192">
      <c r="W31282" s="239" t="n"/>
      <c r="X31282" s="239" t="n"/>
    </row>
    <row r="31283" ht="14.25" customHeight="1" s="192">
      <c r="W31283" s="239" t="n"/>
      <c r="X31283" s="239" t="n"/>
    </row>
    <row r="31284" ht="14.25" customHeight="1" s="192">
      <c r="W31284" s="235" t="n"/>
      <c r="X31284" s="235" t="n"/>
    </row>
    <row r="31285" ht="14.25" customHeight="1" s="192">
      <c r="W31285" s="235" t="n"/>
      <c r="X31285" s="235" t="n"/>
    </row>
    <row r="31286" ht="14.25" customHeight="1" s="192">
      <c r="W31286" s="239" t="n"/>
      <c r="X31286" s="239" t="n"/>
    </row>
    <row r="31287" ht="14.25" customHeight="1" s="192">
      <c r="W31287" s="235" t="n"/>
      <c r="X31287" s="235" t="n"/>
    </row>
    <row r="31288" ht="14.25" customHeight="1" s="192">
      <c r="W31288" s="239" t="n"/>
      <c r="X31288" s="239" t="n"/>
    </row>
    <row r="31290" ht="14.25" customHeight="1" s="192">
      <c r="W31290" s="235" t="n"/>
      <c r="X31290" s="235" t="n"/>
    </row>
    <row r="31291" ht="15" customHeight="1" s="192" thickBot="1">
      <c r="W31291" s="239" t="n"/>
      <c r="X31291" s="239" t="n"/>
    </row>
    <row r="31292" ht="15" customHeight="1" s="192" thickBot="1">
      <c r="W31292" s="45" t="n"/>
      <c r="X31292" s="45" t="n"/>
    </row>
    <row r="31293" ht="14.25" customHeight="1" s="192">
      <c r="W31293" s="228" t="n"/>
      <c r="X31293" s="228" t="n"/>
    </row>
    <row r="31294" ht="14.25" customHeight="1" s="192">
      <c r="W31294" s="228" t="n"/>
      <c r="X31294" s="228" t="n"/>
    </row>
    <row r="31295" ht="14.25" customHeight="1" s="192">
      <c r="W31295" s="231" t="n"/>
      <c r="X31295" s="231" t="n"/>
    </row>
    <row r="31296" ht="14.25" customHeight="1" s="192">
      <c r="W31296" s="33" t="n"/>
      <c r="X31296" s="33" t="n"/>
    </row>
    <row r="31297" ht="14.25" customHeight="1" s="192">
      <c r="W31297" s="231" t="n"/>
      <c r="X31297" s="231" t="n"/>
    </row>
    <row r="31298" ht="14.25" customHeight="1" s="192">
      <c r="W31298" s="33" t="n"/>
      <c r="X31298" s="33" t="n"/>
    </row>
    <row r="31300" ht="14.25" customHeight="1" s="192">
      <c r="W31300" s="231" t="n"/>
      <c r="X31300" s="231" t="n"/>
    </row>
    <row r="31301" ht="14.25" customHeight="1" s="192">
      <c r="W31301" s="235" t="n"/>
      <c r="X31301" s="235" t="n"/>
    </row>
    <row r="31302" ht="14.25" customHeight="1" s="192">
      <c r="W31302" s="228" t="n"/>
      <c r="X31302" s="228" t="n"/>
    </row>
    <row r="31303" ht="14.25" customHeight="1" s="192">
      <c r="W31303" s="235" t="n"/>
      <c r="X31303" s="235" t="n"/>
    </row>
    <row r="31304" ht="14.25" customHeight="1" s="192">
      <c r="W31304" s="235" t="n"/>
      <c r="X31304" s="235" t="n"/>
    </row>
    <row r="31305" ht="14.25" customHeight="1" s="192">
      <c r="W31305" s="235" t="n"/>
      <c r="X31305" s="235" t="n"/>
    </row>
    <row r="31306" ht="14.25" customHeight="1" s="192">
      <c r="W31306" s="239" t="n"/>
      <c r="X31306" s="239" t="n"/>
    </row>
    <row r="31307" ht="14.25" customHeight="1" s="192">
      <c r="W31307" s="239" t="n"/>
      <c r="X31307" s="239" t="n"/>
    </row>
    <row r="31308" ht="14.25" customHeight="1" s="192">
      <c r="W31308" s="239" t="n"/>
      <c r="X31308" s="239" t="n"/>
    </row>
    <row r="31309" ht="14.25" customHeight="1" s="192">
      <c r="W31309" s="235" t="n"/>
      <c r="X31309" s="235" t="n"/>
    </row>
    <row r="31310" ht="14.25" customHeight="1" s="192">
      <c r="W31310" s="235" t="n"/>
      <c r="X31310" s="235" t="n"/>
    </row>
    <row r="31311" ht="14.25" customHeight="1" s="192">
      <c r="W31311" s="235" t="n"/>
      <c r="X31311" s="235" t="n"/>
    </row>
    <row r="31312" ht="14.25" customHeight="1" s="192">
      <c r="W31312" s="239" t="n"/>
      <c r="X31312" s="239" t="n"/>
    </row>
    <row r="31313" ht="14.25" customHeight="1" s="192">
      <c r="W31313" s="239" t="n"/>
      <c r="X31313" s="239" t="n"/>
    </row>
    <row r="31314" ht="14.25" customHeight="1" s="192">
      <c r="W31314" s="235" t="n"/>
      <c r="X31314" s="235" t="n"/>
    </row>
    <row r="31315" ht="14.25" customHeight="1" s="192">
      <c r="W31315" s="235" t="n"/>
      <c r="X31315" s="235" t="n"/>
    </row>
    <row r="31316" ht="14.25" customHeight="1" s="192">
      <c r="W31316" s="239" t="n"/>
      <c r="X31316" s="239" t="n"/>
    </row>
    <row r="31317" ht="14.25" customHeight="1" s="192">
      <c r="W31317" s="235" t="n"/>
      <c r="X31317" s="235" t="n"/>
    </row>
    <row r="31318" ht="14.25" customHeight="1" s="192">
      <c r="W31318" s="239" t="n"/>
      <c r="X31318" s="239" t="n"/>
    </row>
    <row r="31320" ht="14.25" customHeight="1" s="192">
      <c r="W31320" s="235" t="n"/>
      <c r="X31320" s="235" t="n"/>
    </row>
    <row r="31321" ht="15" customHeight="1" s="192" thickBot="1">
      <c r="W31321" s="239" t="n"/>
      <c r="X31321" s="239" t="n"/>
    </row>
    <row r="31322" ht="15" customHeight="1" s="192" thickBot="1">
      <c r="W31322" s="45" t="n"/>
      <c r="X31322" s="45" t="n"/>
    </row>
    <row r="31323" ht="14.25" customHeight="1" s="192">
      <c r="W31323" s="228" t="n"/>
      <c r="X31323" s="228" t="n"/>
    </row>
    <row r="31324" ht="14.25" customHeight="1" s="192">
      <c r="W31324" s="228" t="n"/>
      <c r="X31324" s="228" t="n"/>
    </row>
    <row r="31325" ht="14.25" customHeight="1" s="192">
      <c r="W31325" s="231" t="n"/>
      <c r="X31325" s="231" t="n"/>
    </row>
    <row r="31326" ht="14.25" customHeight="1" s="192">
      <c r="W31326" s="33" t="n"/>
      <c r="X31326" s="33" t="n"/>
    </row>
    <row r="31327" ht="14.25" customHeight="1" s="192">
      <c r="W31327" s="231" t="n"/>
      <c r="X31327" s="231" t="n"/>
    </row>
    <row r="31328" ht="14.25" customHeight="1" s="192">
      <c r="W31328" s="33" t="n"/>
      <c r="X31328" s="33" t="n"/>
    </row>
    <row r="31330" ht="14.25" customHeight="1" s="192">
      <c r="W31330" s="231" t="n"/>
      <c r="X31330" s="231" t="n"/>
    </row>
    <row r="31331" ht="14.25" customHeight="1" s="192">
      <c r="W31331" s="235" t="n"/>
      <c r="X31331" s="235" t="n"/>
    </row>
    <row r="31332" ht="14.25" customHeight="1" s="192">
      <c r="W31332" s="228" t="n"/>
      <c r="X31332" s="228" t="n"/>
    </row>
    <row r="31333" ht="14.25" customHeight="1" s="192">
      <c r="W31333" s="235" t="n"/>
      <c r="X31333" s="235" t="n"/>
    </row>
    <row r="31334" ht="14.25" customHeight="1" s="192">
      <c r="W31334" s="235" t="n"/>
      <c r="X31334" s="235" t="n"/>
    </row>
    <row r="31335" ht="14.25" customHeight="1" s="192">
      <c r="W31335" s="235" t="n"/>
      <c r="X31335" s="235" t="n"/>
    </row>
    <row r="31336" ht="14.25" customHeight="1" s="192">
      <c r="W31336" s="239" t="n"/>
      <c r="X31336" s="239" t="n"/>
    </row>
    <row r="31337" ht="14.25" customHeight="1" s="192">
      <c r="W31337" s="239" t="n"/>
      <c r="X31337" s="239" t="n"/>
    </row>
    <row r="31338" ht="14.25" customHeight="1" s="192">
      <c r="W31338" s="239" t="n"/>
      <c r="X31338" s="239" t="n"/>
    </row>
    <row r="31339" ht="14.25" customHeight="1" s="192">
      <c r="W31339" s="235" t="n"/>
      <c r="X31339" s="235" t="n"/>
    </row>
    <row r="31340" ht="14.25" customHeight="1" s="192">
      <c r="W31340" s="235" t="n"/>
      <c r="X31340" s="235" t="n"/>
    </row>
    <row r="31341" ht="14.25" customHeight="1" s="192">
      <c r="W31341" s="235" t="n"/>
      <c r="X31341" s="235" t="n"/>
    </row>
    <row r="31342" ht="14.25" customHeight="1" s="192">
      <c r="W31342" s="239" t="n"/>
      <c r="X31342" s="239" t="n"/>
    </row>
    <row r="31343" ht="14.25" customHeight="1" s="192">
      <c r="W31343" s="239" t="n"/>
      <c r="X31343" s="239" t="n"/>
    </row>
    <row r="31344" ht="14.25" customHeight="1" s="192">
      <c r="W31344" s="235" t="n"/>
      <c r="X31344" s="235" t="n"/>
    </row>
    <row r="31345" ht="14.25" customHeight="1" s="192">
      <c r="W31345" s="235" t="n"/>
      <c r="X31345" s="235" t="n"/>
    </row>
    <row r="31346" ht="14.25" customHeight="1" s="192">
      <c r="W31346" s="239" t="n"/>
      <c r="X31346" s="239" t="n"/>
    </row>
    <row r="31347" ht="14.25" customHeight="1" s="192">
      <c r="W31347" s="235" t="n"/>
      <c r="X31347" s="235" t="n"/>
    </row>
    <row r="31348" ht="14.25" customHeight="1" s="192">
      <c r="W31348" s="239" t="n"/>
      <c r="X31348" s="239" t="n"/>
    </row>
    <row r="31350" ht="14.25" customHeight="1" s="192">
      <c r="W31350" s="235" t="n"/>
      <c r="X31350" s="235" t="n"/>
    </row>
    <row r="31351" ht="15" customHeight="1" s="192" thickBot="1">
      <c r="W31351" s="239" t="n"/>
      <c r="X31351" s="239" t="n"/>
    </row>
    <row r="31352" ht="15" customHeight="1" s="192" thickBot="1">
      <c r="W31352" s="45" t="n"/>
      <c r="X31352" s="45" t="n"/>
    </row>
    <row r="31353" ht="14.25" customHeight="1" s="192">
      <c r="W31353" s="228" t="n"/>
      <c r="X31353" s="228" t="n"/>
    </row>
    <row r="31354" ht="14.25" customHeight="1" s="192">
      <c r="W31354" s="228" t="n"/>
      <c r="X31354" s="228" t="n"/>
    </row>
    <row r="31355" ht="14.25" customHeight="1" s="192">
      <c r="W31355" s="231" t="n"/>
      <c r="X31355" s="231" t="n"/>
    </row>
    <row r="31356" ht="14.25" customHeight="1" s="192">
      <c r="W31356" s="33" t="n"/>
      <c r="X31356" s="33" t="n"/>
    </row>
    <row r="31357" ht="14.25" customHeight="1" s="192">
      <c r="W31357" s="231" t="n"/>
      <c r="X31357" s="231" t="n"/>
    </row>
    <row r="31358" ht="14.25" customHeight="1" s="192">
      <c r="W31358" s="33" t="n"/>
      <c r="X31358" s="33" t="n"/>
    </row>
    <row r="31360" ht="14.25" customHeight="1" s="192">
      <c r="W31360" s="231" t="n"/>
      <c r="X31360" s="231" t="n"/>
    </row>
    <row r="31361" ht="14.25" customHeight="1" s="192">
      <c r="W31361" s="235" t="n"/>
      <c r="X31361" s="235" t="n"/>
    </row>
    <row r="31362" ht="14.25" customHeight="1" s="192">
      <c r="W31362" s="228" t="n"/>
      <c r="X31362" s="228" t="n"/>
    </row>
    <row r="31363" ht="14.25" customHeight="1" s="192">
      <c r="W31363" s="235" t="n"/>
      <c r="X31363" s="235" t="n"/>
    </row>
    <row r="31364" ht="14.25" customHeight="1" s="192">
      <c r="W31364" s="235" t="n"/>
      <c r="X31364" s="235" t="n"/>
    </row>
    <row r="31365" ht="14.25" customHeight="1" s="192">
      <c r="W31365" s="235" t="n"/>
      <c r="X31365" s="235" t="n"/>
    </row>
    <row r="31366" ht="14.25" customHeight="1" s="192">
      <c r="W31366" s="239" t="n"/>
      <c r="X31366" s="239" t="n"/>
    </row>
    <row r="31367" ht="14.25" customHeight="1" s="192">
      <c r="W31367" s="239" t="n"/>
      <c r="X31367" s="239" t="n"/>
    </row>
    <row r="31368" ht="14.25" customHeight="1" s="192">
      <c r="W31368" s="239" t="n"/>
      <c r="X31368" s="239" t="n"/>
    </row>
    <row r="31369" ht="14.25" customHeight="1" s="192">
      <c r="W31369" s="235" t="n"/>
      <c r="X31369" s="235" t="n"/>
    </row>
    <row r="31370" ht="14.25" customHeight="1" s="192">
      <c r="W31370" s="235" t="n"/>
      <c r="X31370" s="235" t="n"/>
    </row>
    <row r="31371" ht="14.25" customHeight="1" s="192">
      <c r="W31371" s="235" t="n"/>
      <c r="X31371" s="235" t="n"/>
    </row>
    <row r="31372" ht="14.25" customHeight="1" s="192">
      <c r="W31372" s="239" t="n"/>
      <c r="X31372" s="239" t="n"/>
    </row>
    <row r="31373" ht="14.25" customHeight="1" s="192">
      <c r="W31373" s="239" t="n"/>
      <c r="X31373" s="239" t="n"/>
    </row>
    <row r="31374" ht="14.25" customHeight="1" s="192">
      <c r="W31374" s="235" t="n"/>
      <c r="X31374" s="235" t="n"/>
    </row>
    <row r="31375" ht="14.25" customHeight="1" s="192">
      <c r="W31375" s="235" t="n"/>
      <c r="X31375" s="235" t="n"/>
    </row>
    <row r="31376" ht="14.25" customHeight="1" s="192">
      <c r="W31376" s="239" t="n"/>
      <c r="X31376" s="239" t="n"/>
    </row>
    <row r="31377" ht="14.25" customHeight="1" s="192">
      <c r="W31377" s="235" t="n"/>
      <c r="X31377" s="235" t="n"/>
    </row>
    <row r="31378" ht="14.25" customHeight="1" s="192">
      <c r="W31378" s="239" t="n"/>
      <c r="X31378" s="239" t="n"/>
    </row>
    <row r="31380" ht="14.25" customHeight="1" s="192">
      <c r="W31380" s="235" t="n"/>
      <c r="X31380" s="235" t="n"/>
    </row>
    <row r="31381" ht="15" customHeight="1" s="192" thickBot="1">
      <c r="W31381" s="239" t="n"/>
      <c r="X31381" s="239" t="n"/>
    </row>
    <row r="31382" ht="15" customHeight="1" s="192" thickBot="1">
      <c r="W31382" s="45" t="n"/>
      <c r="X31382" s="45" t="n"/>
    </row>
    <row r="31383" ht="14.25" customHeight="1" s="192">
      <c r="W31383" s="228" t="n"/>
      <c r="X31383" s="228" t="n"/>
    </row>
    <row r="31384" ht="14.25" customHeight="1" s="192">
      <c r="W31384" s="228" t="n"/>
      <c r="X31384" s="228" t="n"/>
    </row>
    <row r="31385" ht="14.25" customHeight="1" s="192">
      <c r="W31385" s="231" t="n"/>
      <c r="X31385" s="231" t="n"/>
    </row>
    <row r="31386" ht="14.25" customHeight="1" s="192">
      <c r="W31386" s="33" t="n"/>
      <c r="X31386" s="33" t="n"/>
    </row>
    <row r="31387" ht="14.25" customHeight="1" s="192">
      <c r="W31387" s="231" t="n"/>
      <c r="X31387" s="231" t="n"/>
    </row>
    <row r="31388" ht="14.25" customHeight="1" s="192">
      <c r="W31388" s="33" t="n"/>
      <c r="X31388" s="33" t="n"/>
    </row>
    <row r="31390" ht="14.25" customHeight="1" s="192">
      <c r="W31390" s="231" t="n"/>
      <c r="X31390" s="231" t="n"/>
    </row>
    <row r="31391" ht="14.25" customHeight="1" s="192">
      <c r="W31391" s="235" t="n"/>
      <c r="X31391" s="235" t="n"/>
    </row>
    <row r="31392" ht="14.25" customHeight="1" s="192">
      <c r="W31392" s="228" t="n"/>
      <c r="X31392" s="228" t="n"/>
    </row>
    <row r="31393" ht="14.25" customHeight="1" s="192">
      <c r="W31393" s="235" t="n"/>
      <c r="X31393" s="235" t="n"/>
    </row>
    <row r="31394" ht="14.25" customHeight="1" s="192">
      <c r="W31394" s="235" t="n"/>
      <c r="X31394" s="235" t="n"/>
    </row>
    <row r="31395" ht="14.25" customHeight="1" s="192">
      <c r="W31395" s="235" t="n"/>
      <c r="X31395" s="235" t="n"/>
    </row>
    <row r="31396" ht="14.25" customHeight="1" s="192">
      <c r="W31396" s="239" t="n"/>
      <c r="X31396" s="239" t="n"/>
    </row>
    <row r="31397" ht="14.25" customHeight="1" s="192">
      <c r="W31397" s="239" t="n"/>
      <c r="X31397" s="239" t="n"/>
    </row>
    <row r="31398" ht="14.25" customHeight="1" s="192">
      <c r="W31398" s="239" t="n"/>
      <c r="X31398" s="239" t="n"/>
    </row>
    <row r="31399" ht="14.25" customHeight="1" s="192">
      <c r="W31399" s="235" t="n"/>
      <c r="X31399" s="235" t="n"/>
    </row>
    <row r="31400" ht="14.25" customHeight="1" s="192">
      <c r="W31400" s="235" t="n"/>
      <c r="X31400" s="235" t="n"/>
    </row>
    <row r="31401" ht="14.25" customHeight="1" s="192">
      <c r="W31401" s="235" t="n"/>
      <c r="X31401" s="235" t="n"/>
    </row>
    <row r="31402" ht="14.25" customHeight="1" s="192">
      <c r="W31402" s="239" t="n"/>
      <c r="X31402" s="239" t="n"/>
    </row>
    <row r="31403" ht="14.25" customHeight="1" s="192">
      <c r="W31403" s="239" t="n"/>
      <c r="X31403" s="239" t="n"/>
    </row>
    <row r="31404" ht="14.25" customHeight="1" s="192">
      <c r="W31404" s="235" t="n"/>
      <c r="X31404" s="235" t="n"/>
    </row>
    <row r="31405" ht="14.25" customHeight="1" s="192">
      <c r="W31405" s="235" t="n"/>
      <c r="X31405" s="235" t="n"/>
    </row>
    <row r="31406" ht="14.25" customHeight="1" s="192">
      <c r="W31406" s="239" t="n"/>
      <c r="X31406" s="239" t="n"/>
    </row>
    <row r="31407" ht="14.25" customHeight="1" s="192">
      <c r="W31407" s="235" t="n"/>
      <c r="X31407" s="235" t="n"/>
    </row>
    <row r="31408" ht="14.25" customHeight="1" s="192">
      <c r="W31408" s="239" t="n"/>
      <c r="X31408" s="239" t="n"/>
    </row>
    <row r="31410" ht="14.25" customHeight="1" s="192">
      <c r="W31410" s="235" t="n"/>
      <c r="X31410" s="235" t="n"/>
    </row>
    <row r="31411" ht="15" customHeight="1" s="192" thickBot="1">
      <c r="W31411" s="239" t="n"/>
      <c r="X31411" s="239" t="n"/>
    </row>
    <row r="31412" ht="15" customHeight="1" s="192" thickBot="1">
      <c r="W31412" s="45" t="n"/>
      <c r="X31412" s="45" t="n"/>
    </row>
    <row r="31413" ht="14.25" customHeight="1" s="192">
      <c r="W31413" s="228" t="n"/>
      <c r="X31413" s="228" t="n"/>
    </row>
    <row r="31414" ht="14.25" customHeight="1" s="192">
      <c r="W31414" s="228" t="n"/>
      <c r="X31414" s="228" t="n"/>
    </row>
    <row r="31415" ht="14.25" customHeight="1" s="192">
      <c r="W31415" s="231" t="n"/>
      <c r="X31415" s="231" t="n"/>
    </row>
    <row r="31416" ht="14.25" customHeight="1" s="192">
      <c r="W31416" s="33" t="n"/>
      <c r="X31416" s="33" t="n"/>
    </row>
    <row r="31417" ht="14.25" customHeight="1" s="192">
      <c r="W31417" s="231" t="n"/>
      <c r="X31417" s="231" t="n"/>
    </row>
    <row r="31418" ht="14.25" customHeight="1" s="192">
      <c r="W31418" s="33" t="n"/>
      <c r="X31418" s="33" t="n"/>
    </row>
    <row r="31420" ht="14.25" customHeight="1" s="192">
      <c r="W31420" s="231" t="n"/>
      <c r="X31420" s="231" t="n"/>
    </row>
    <row r="31421" ht="14.25" customHeight="1" s="192">
      <c r="W31421" s="235" t="n"/>
      <c r="X31421" s="235" t="n"/>
    </row>
    <row r="31422" ht="14.25" customHeight="1" s="192">
      <c r="W31422" s="228" t="n"/>
      <c r="X31422" s="228" t="n"/>
    </row>
    <row r="31423" ht="14.25" customHeight="1" s="192">
      <c r="W31423" s="235" t="n"/>
      <c r="X31423" s="235" t="n"/>
    </row>
    <row r="31424" ht="14.25" customHeight="1" s="192">
      <c r="W31424" s="235" t="n"/>
      <c r="X31424" s="235" t="n"/>
    </row>
    <row r="31425" ht="14.25" customHeight="1" s="192">
      <c r="W31425" s="235" t="n"/>
      <c r="X31425" s="235" t="n"/>
    </row>
    <row r="31426" ht="14.25" customHeight="1" s="192">
      <c r="W31426" s="239" t="n"/>
      <c r="X31426" s="239" t="n"/>
    </row>
    <row r="31427" ht="14.25" customHeight="1" s="192">
      <c r="W31427" s="239" t="n"/>
      <c r="X31427" s="239" t="n"/>
    </row>
    <row r="31428" ht="14.25" customHeight="1" s="192">
      <c r="W31428" s="239" t="n"/>
      <c r="X31428" s="239" t="n"/>
    </row>
    <row r="31429" ht="14.25" customHeight="1" s="192">
      <c r="W31429" s="235" t="n"/>
      <c r="X31429" s="235" t="n"/>
    </row>
    <row r="31430" ht="14.25" customHeight="1" s="192">
      <c r="W31430" s="235" t="n"/>
      <c r="X31430" s="235" t="n"/>
    </row>
    <row r="31431" ht="14.25" customHeight="1" s="192">
      <c r="W31431" s="235" t="n"/>
      <c r="X31431" s="235" t="n"/>
    </row>
    <row r="31432" ht="14.25" customHeight="1" s="192">
      <c r="W31432" s="239" t="n"/>
      <c r="X31432" s="239" t="n"/>
    </row>
    <row r="31433" ht="14.25" customHeight="1" s="192">
      <c r="W31433" s="239" t="n"/>
      <c r="X31433" s="239" t="n"/>
    </row>
    <row r="31434" ht="14.25" customHeight="1" s="192">
      <c r="W31434" s="235" t="n"/>
      <c r="X31434" s="235" t="n"/>
    </row>
    <row r="31435" ht="14.25" customHeight="1" s="192">
      <c r="W31435" s="235" t="n"/>
      <c r="X31435" s="235" t="n"/>
    </row>
    <row r="31436" ht="14.25" customHeight="1" s="192">
      <c r="W31436" s="239" t="n"/>
      <c r="X31436" s="239" t="n"/>
    </row>
    <row r="31437" ht="14.25" customHeight="1" s="192">
      <c r="W31437" s="235" t="n"/>
      <c r="X31437" s="235" t="n"/>
    </row>
    <row r="31438" ht="14.25" customHeight="1" s="192">
      <c r="W31438" s="239" t="n"/>
      <c r="X31438" s="239" t="n"/>
    </row>
    <row r="31440" ht="14.25" customHeight="1" s="192">
      <c r="W31440" s="235" t="n"/>
      <c r="X31440" s="235" t="n"/>
    </row>
    <row r="31441" ht="15" customHeight="1" s="192" thickBot="1">
      <c r="W31441" s="239" t="n"/>
      <c r="X31441" s="239" t="n"/>
    </row>
    <row r="31442" ht="15" customHeight="1" s="192" thickBot="1">
      <c r="W31442" s="45" t="n"/>
      <c r="X31442" s="45" t="n"/>
    </row>
    <row r="31443" ht="14.25" customHeight="1" s="192">
      <c r="W31443" s="228" t="n"/>
      <c r="X31443" s="228" t="n"/>
    </row>
    <row r="31444" ht="14.25" customHeight="1" s="192">
      <c r="W31444" s="228" t="n"/>
      <c r="X31444" s="228" t="n"/>
    </row>
    <row r="31445" ht="14.25" customHeight="1" s="192">
      <c r="W31445" s="231" t="n"/>
      <c r="X31445" s="231" t="n"/>
    </row>
    <row r="31446" ht="14.25" customHeight="1" s="192">
      <c r="W31446" s="33" t="n"/>
      <c r="X31446" s="33" t="n"/>
    </row>
    <row r="31447" ht="14.25" customHeight="1" s="192">
      <c r="W31447" s="231" t="n"/>
      <c r="X31447" s="231" t="n"/>
    </row>
    <row r="31448" ht="14.25" customHeight="1" s="192">
      <c r="W31448" s="33" t="n"/>
      <c r="X31448" s="33" t="n"/>
    </row>
    <row r="31450" ht="14.25" customHeight="1" s="192">
      <c r="W31450" s="231" t="n"/>
      <c r="X31450" s="231" t="n"/>
    </row>
    <row r="31451" ht="14.25" customHeight="1" s="192">
      <c r="W31451" s="235" t="n"/>
      <c r="X31451" s="235" t="n"/>
    </row>
    <row r="31452" ht="14.25" customHeight="1" s="192">
      <c r="W31452" s="228" t="n"/>
      <c r="X31452" s="228" t="n"/>
    </row>
    <row r="31453" ht="14.25" customHeight="1" s="192">
      <c r="W31453" s="235" t="n"/>
      <c r="X31453" s="235" t="n"/>
    </row>
    <row r="31454" ht="14.25" customHeight="1" s="192">
      <c r="W31454" s="235" t="n"/>
      <c r="X31454" s="235" t="n"/>
    </row>
    <row r="31455" ht="14.25" customHeight="1" s="192">
      <c r="W31455" s="235" t="n"/>
      <c r="X31455" s="235" t="n"/>
    </row>
    <row r="31456" ht="14.25" customHeight="1" s="192">
      <c r="W31456" s="239" t="n"/>
      <c r="X31456" s="239" t="n"/>
    </row>
    <row r="31457" ht="14.25" customHeight="1" s="192">
      <c r="W31457" s="239" t="n"/>
      <c r="X31457" s="239" t="n"/>
    </row>
    <row r="31458" ht="14.25" customHeight="1" s="192">
      <c r="W31458" s="239" t="n"/>
      <c r="X31458" s="239" t="n"/>
    </row>
    <row r="31459" ht="14.25" customHeight="1" s="192">
      <c r="W31459" s="235" t="n"/>
      <c r="X31459" s="235" t="n"/>
    </row>
    <row r="31460" ht="14.25" customHeight="1" s="192">
      <c r="W31460" s="235" t="n"/>
      <c r="X31460" s="235" t="n"/>
    </row>
    <row r="31461" ht="14.25" customHeight="1" s="192">
      <c r="W31461" s="235" t="n"/>
      <c r="X31461" s="235" t="n"/>
    </row>
    <row r="31462" ht="14.25" customHeight="1" s="192">
      <c r="W31462" s="239" t="n"/>
      <c r="X31462" s="239" t="n"/>
    </row>
    <row r="31463" ht="14.25" customHeight="1" s="192">
      <c r="W31463" s="239" t="n"/>
      <c r="X31463" s="239" t="n"/>
    </row>
    <row r="31464" ht="14.25" customHeight="1" s="192">
      <c r="W31464" s="235" t="n"/>
      <c r="X31464" s="235" t="n"/>
    </row>
    <row r="31465" ht="14.25" customHeight="1" s="192">
      <c r="W31465" s="235" t="n"/>
      <c r="X31465" s="235" t="n"/>
    </row>
    <row r="31466" ht="14.25" customHeight="1" s="192">
      <c r="W31466" s="239" t="n"/>
      <c r="X31466" s="239" t="n"/>
    </row>
    <row r="31467" ht="14.25" customHeight="1" s="192">
      <c r="W31467" s="235" t="n"/>
      <c r="X31467" s="235" t="n"/>
    </row>
    <row r="31468" ht="14.25" customHeight="1" s="192">
      <c r="W31468" s="239" t="n"/>
      <c r="X31468" s="239" t="n"/>
    </row>
    <row r="31470" ht="14.25" customHeight="1" s="192">
      <c r="W31470" s="235" t="n"/>
      <c r="X31470" s="235" t="n"/>
    </row>
    <row r="31471" ht="15" customHeight="1" s="192" thickBot="1">
      <c r="W31471" s="239" t="n"/>
      <c r="X31471" s="239" t="n"/>
    </row>
    <row r="31472" ht="15" customHeight="1" s="192" thickBot="1">
      <c r="W31472" s="45" t="n"/>
      <c r="X31472" s="45" t="n"/>
    </row>
    <row r="31473" ht="14.25" customHeight="1" s="192">
      <c r="W31473" s="228" t="n"/>
      <c r="X31473" s="228" t="n"/>
    </row>
    <row r="31474" ht="14.25" customHeight="1" s="192">
      <c r="W31474" s="228" t="n"/>
      <c r="X31474" s="228" t="n"/>
    </row>
    <row r="31475" ht="14.25" customHeight="1" s="192">
      <c r="W31475" s="231" t="n"/>
      <c r="X31475" s="231" t="n"/>
    </row>
    <row r="31476" ht="14.25" customHeight="1" s="192">
      <c r="W31476" s="33" t="n"/>
      <c r="X31476" s="33" t="n"/>
    </row>
    <row r="31477" ht="14.25" customHeight="1" s="192">
      <c r="W31477" s="231" t="n"/>
      <c r="X31477" s="231" t="n"/>
    </row>
    <row r="31478" ht="14.25" customHeight="1" s="192">
      <c r="W31478" s="33" t="n"/>
      <c r="X31478" s="33" t="n"/>
    </row>
    <row r="31480" ht="14.25" customHeight="1" s="192">
      <c r="W31480" s="231" t="n"/>
      <c r="X31480" s="231" t="n"/>
    </row>
    <row r="31481" ht="14.25" customHeight="1" s="192">
      <c r="W31481" s="235" t="n"/>
      <c r="X31481" s="235" t="n"/>
    </row>
    <row r="31482" ht="14.25" customHeight="1" s="192">
      <c r="W31482" s="228" t="n"/>
      <c r="X31482" s="228" t="n"/>
    </row>
    <row r="31483" ht="14.25" customHeight="1" s="192">
      <c r="W31483" s="235" t="n"/>
      <c r="X31483" s="235" t="n"/>
    </row>
    <row r="31484" ht="14.25" customHeight="1" s="192">
      <c r="W31484" s="235" t="n"/>
      <c r="X31484" s="235" t="n"/>
    </row>
    <row r="31485" ht="14.25" customHeight="1" s="192">
      <c r="W31485" s="235" t="n"/>
      <c r="X31485" s="235" t="n"/>
    </row>
    <row r="31486" ht="14.25" customHeight="1" s="192">
      <c r="W31486" s="239" t="n"/>
      <c r="X31486" s="239" t="n"/>
    </row>
    <row r="31487" ht="14.25" customHeight="1" s="192">
      <c r="W31487" s="239" t="n"/>
      <c r="X31487" s="239" t="n"/>
    </row>
    <row r="31488" ht="14.25" customHeight="1" s="192">
      <c r="W31488" s="239" t="n"/>
      <c r="X31488" s="239" t="n"/>
    </row>
    <row r="31489" ht="14.25" customHeight="1" s="192">
      <c r="W31489" s="235" t="n"/>
      <c r="X31489" s="235" t="n"/>
    </row>
    <row r="31490" ht="14.25" customHeight="1" s="192">
      <c r="W31490" s="235" t="n"/>
      <c r="X31490" s="235" t="n"/>
    </row>
    <row r="31491" ht="14.25" customHeight="1" s="192">
      <c r="W31491" s="235" t="n"/>
      <c r="X31491" s="235" t="n"/>
    </row>
    <row r="31492" ht="14.25" customHeight="1" s="192">
      <c r="W31492" s="239" t="n"/>
      <c r="X31492" s="239" t="n"/>
    </row>
    <row r="31493" ht="14.25" customHeight="1" s="192">
      <c r="W31493" s="239" t="n"/>
      <c r="X31493" s="239" t="n"/>
    </row>
    <row r="31494" ht="14.25" customHeight="1" s="192">
      <c r="W31494" s="235" t="n"/>
      <c r="X31494" s="235" t="n"/>
    </row>
    <row r="31495" ht="14.25" customHeight="1" s="192">
      <c r="W31495" s="235" t="n"/>
      <c r="X31495" s="235" t="n"/>
    </row>
    <row r="31496" ht="14.25" customHeight="1" s="192">
      <c r="W31496" s="239" t="n"/>
      <c r="X31496" s="239" t="n"/>
    </row>
    <row r="31497" ht="14.25" customHeight="1" s="192">
      <c r="W31497" s="235" t="n"/>
      <c r="X31497" s="235" t="n"/>
    </row>
    <row r="31498" ht="14.25" customHeight="1" s="192">
      <c r="W31498" s="239" t="n"/>
      <c r="X31498" s="239" t="n"/>
    </row>
    <row r="31500" ht="14.25" customHeight="1" s="192">
      <c r="W31500" s="235" t="n"/>
      <c r="X31500" s="235" t="n"/>
    </row>
    <row r="31501" ht="15" customHeight="1" s="192" thickBot="1">
      <c r="W31501" s="239" t="n"/>
      <c r="X31501" s="239" t="n"/>
    </row>
    <row r="31502" ht="15" customHeight="1" s="192" thickBot="1">
      <c r="W31502" s="45" t="n"/>
      <c r="X31502" s="45" t="n"/>
    </row>
    <row r="31503" ht="14.25" customHeight="1" s="192">
      <c r="W31503" s="228" t="n"/>
      <c r="X31503" s="228" t="n"/>
    </row>
    <row r="31504" ht="14.25" customHeight="1" s="192">
      <c r="W31504" s="228" t="n"/>
      <c r="X31504" s="228" t="n"/>
    </row>
    <row r="31505" ht="14.25" customHeight="1" s="192">
      <c r="W31505" s="231" t="n"/>
      <c r="X31505" s="231" t="n"/>
    </row>
    <row r="31506" ht="14.25" customHeight="1" s="192">
      <c r="W31506" s="33" t="n"/>
      <c r="X31506" s="33" t="n"/>
    </row>
    <row r="31507" ht="14.25" customHeight="1" s="192">
      <c r="W31507" s="231" t="n"/>
      <c r="X31507" s="231" t="n"/>
    </row>
    <row r="31508" ht="14.25" customHeight="1" s="192">
      <c r="W31508" s="33" t="n"/>
      <c r="X31508" s="33" t="n"/>
    </row>
    <row r="31510" ht="14.25" customHeight="1" s="192">
      <c r="W31510" s="231" t="n"/>
      <c r="X31510" s="231" t="n"/>
    </row>
    <row r="31511" ht="14.25" customHeight="1" s="192">
      <c r="W31511" s="235" t="n"/>
      <c r="X31511" s="235" t="n"/>
    </row>
    <row r="31512" ht="14.25" customHeight="1" s="192">
      <c r="W31512" s="228" t="n"/>
      <c r="X31512" s="228" t="n"/>
    </row>
    <row r="31513" ht="14.25" customHeight="1" s="192">
      <c r="W31513" s="235" t="n"/>
      <c r="X31513" s="235" t="n"/>
    </row>
    <row r="31514" ht="14.25" customHeight="1" s="192">
      <c r="W31514" s="235" t="n"/>
      <c r="X31514" s="235" t="n"/>
    </row>
    <row r="31515" ht="14.25" customHeight="1" s="192">
      <c r="W31515" s="235" t="n"/>
      <c r="X31515" s="235" t="n"/>
    </row>
    <row r="31516" ht="14.25" customHeight="1" s="192">
      <c r="W31516" s="239" t="n"/>
      <c r="X31516" s="239" t="n"/>
    </row>
    <row r="31517" ht="14.25" customHeight="1" s="192">
      <c r="W31517" s="239" t="n"/>
      <c r="X31517" s="239" t="n"/>
    </row>
    <row r="31518" ht="14.25" customHeight="1" s="192">
      <c r="W31518" s="239" t="n"/>
      <c r="X31518" s="239" t="n"/>
    </row>
    <row r="31519" ht="14.25" customHeight="1" s="192">
      <c r="W31519" s="235" t="n"/>
      <c r="X31519" s="235" t="n"/>
    </row>
    <row r="31520" ht="14.25" customHeight="1" s="192">
      <c r="W31520" s="235" t="n"/>
      <c r="X31520" s="235" t="n"/>
    </row>
    <row r="31521" ht="14.25" customHeight="1" s="192">
      <c r="W31521" s="235" t="n"/>
      <c r="X31521" s="235" t="n"/>
    </row>
    <row r="31522" ht="14.25" customHeight="1" s="192">
      <c r="W31522" s="239" t="n"/>
      <c r="X31522" s="239" t="n"/>
    </row>
    <row r="31523" ht="14.25" customHeight="1" s="192">
      <c r="W31523" s="239" t="n"/>
      <c r="X31523" s="239" t="n"/>
    </row>
    <row r="31524" ht="14.25" customHeight="1" s="192">
      <c r="W31524" s="235" t="n"/>
      <c r="X31524" s="235" t="n"/>
    </row>
    <row r="31525" ht="14.25" customHeight="1" s="192">
      <c r="W31525" s="235" t="n"/>
      <c r="X31525" s="235" t="n"/>
    </row>
    <row r="31526" ht="14.25" customHeight="1" s="192">
      <c r="W31526" s="239" t="n"/>
      <c r="X31526" s="239" t="n"/>
    </row>
    <row r="31527" ht="14.25" customHeight="1" s="192">
      <c r="W31527" s="235" t="n"/>
      <c r="X31527" s="235" t="n"/>
    </row>
    <row r="31528" ht="14.25" customHeight="1" s="192">
      <c r="W31528" s="239" t="n"/>
      <c r="X31528" s="239" t="n"/>
    </row>
    <row r="31530" ht="14.25" customHeight="1" s="192">
      <c r="W31530" s="235" t="n"/>
      <c r="X31530" s="235" t="n"/>
    </row>
    <row r="31531" ht="15" customHeight="1" s="192" thickBot="1">
      <c r="W31531" s="239" t="n"/>
      <c r="X31531" s="239" t="n"/>
    </row>
    <row r="31532" ht="15" customHeight="1" s="192" thickBot="1">
      <c r="W31532" s="45" t="n"/>
      <c r="X31532" s="45" t="n"/>
    </row>
    <row r="31533" ht="14.25" customHeight="1" s="192">
      <c r="W31533" s="228" t="n"/>
      <c r="X31533" s="228" t="n"/>
    </row>
    <row r="31534" ht="14.25" customHeight="1" s="192">
      <c r="W31534" s="228" t="n"/>
      <c r="X31534" s="228" t="n"/>
    </row>
    <row r="31535" ht="14.25" customHeight="1" s="192">
      <c r="W31535" s="231" t="n"/>
      <c r="X31535" s="231" t="n"/>
    </row>
    <row r="31536" ht="14.25" customHeight="1" s="192">
      <c r="W31536" s="33" t="n"/>
      <c r="X31536" s="33" t="n"/>
    </row>
    <row r="31537" ht="14.25" customHeight="1" s="192">
      <c r="W31537" s="231" t="n"/>
      <c r="X31537" s="231" t="n"/>
    </row>
    <row r="31538" ht="14.25" customHeight="1" s="192">
      <c r="W31538" s="33" t="n"/>
      <c r="X31538" s="33" t="n"/>
    </row>
    <row r="31540" ht="14.25" customHeight="1" s="192">
      <c r="W31540" s="231" t="n"/>
      <c r="X31540" s="231" t="n"/>
    </row>
    <row r="31541" ht="14.25" customHeight="1" s="192">
      <c r="W31541" s="235" t="n"/>
      <c r="X31541" s="235" t="n"/>
    </row>
    <row r="31542" ht="14.25" customHeight="1" s="192">
      <c r="W31542" s="228" t="n"/>
      <c r="X31542" s="228" t="n"/>
    </row>
    <row r="31543" ht="14.25" customHeight="1" s="192">
      <c r="W31543" s="235" t="n"/>
      <c r="X31543" s="235" t="n"/>
    </row>
    <row r="31544" ht="14.25" customHeight="1" s="192">
      <c r="W31544" s="235" t="n"/>
      <c r="X31544" s="235" t="n"/>
    </row>
    <row r="31545" ht="14.25" customHeight="1" s="192">
      <c r="W31545" s="235" t="n"/>
      <c r="X31545" s="235" t="n"/>
    </row>
    <row r="31546" ht="14.25" customHeight="1" s="192">
      <c r="W31546" s="239" t="n"/>
      <c r="X31546" s="239" t="n"/>
    </row>
    <row r="31547" ht="14.25" customHeight="1" s="192">
      <c r="W31547" s="239" t="n"/>
      <c r="X31547" s="239" t="n"/>
    </row>
    <row r="31548" ht="14.25" customHeight="1" s="192">
      <c r="W31548" s="239" t="n"/>
      <c r="X31548" s="239" t="n"/>
    </row>
    <row r="31549" ht="14.25" customHeight="1" s="192">
      <c r="W31549" s="235" t="n"/>
      <c r="X31549" s="235" t="n"/>
    </row>
    <row r="31550" ht="14.25" customHeight="1" s="192">
      <c r="W31550" s="235" t="n"/>
      <c r="X31550" s="235" t="n"/>
    </row>
    <row r="31551" ht="14.25" customHeight="1" s="192">
      <c r="W31551" s="235" t="n"/>
      <c r="X31551" s="235" t="n"/>
    </row>
    <row r="31552" ht="14.25" customHeight="1" s="192">
      <c r="W31552" s="239" t="n"/>
      <c r="X31552" s="239" t="n"/>
    </row>
    <row r="31553" ht="14.25" customHeight="1" s="192">
      <c r="W31553" s="239" t="n"/>
      <c r="X31553" s="239" t="n"/>
    </row>
    <row r="31554" ht="14.25" customHeight="1" s="192">
      <c r="W31554" s="235" t="n"/>
      <c r="X31554" s="235" t="n"/>
    </row>
    <row r="31555" ht="14.25" customHeight="1" s="192">
      <c r="W31555" s="235" t="n"/>
      <c r="X31555" s="235" t="n"/>
    </row>
    <row r="31556" ht="14.25" customHeight="1" s="192">
      <c r="W31556" s="239" t="n"/>
      <c r="X31556" s="239" t="n"/>
    </row>
    <row r="31557" ht="14.25" customHeight="1" s="192">
      <c r="W31557" s="235" t="n"/>
      <c r="X31557" s="235" t="n"/>
    </row>
    <row r="31558" ht="14.25" customHeight="1" s="192">
      <c r="W31558" s="239" t="n"/>
      <c r="X31558" s="239" t="n"/>
    </row>
    <row r="31560" ht="14.25" customHeight="1" s="192">
      <c r="W31560" s="235" t="n"/>
      <c r="X31560" s="235" t="n"/>
    </row>
    <row r="31561" ht="15" customHeight="1" s="192" thickBot="1">
      <c r="W31561" s="239" t="n"/>
      <c r="X31561" s="239" t="n"/>
    </row>
    <row r="31562" ht="15" customHeight="1" s="192" thickBot="1">
      <c r="W31562" s="45" t="n"/>
      <c r="X31562" s="45" t="n"/>
    </row>
    <row r="31563" ht="14.25" customHeight="1" s="192">
      <c r="W31563" s="228" t="n"/>
      <c r="X31563" s="228" t="n"/>
    </row>
    <row r="31564" ht="14.25" customHeight="1" s="192">
      <c r="W31564" s="228" t="n"/>
      <c r="X31564" s="228" t="n"/>
    </row>
    <row r="31565" ht="14.25" customHeight="1" s="192">
      <c r="W31565" s="231" t="n"/>
      <c r="X31565" s="231" t="n"/>
    </row>
    <row r="31566" ht="14.25" customHeight="1" s="192">
      <c r="W31566" s="33" t="n"/>
      <c r="X31566" s="33" t="n"/>
    </row>
    <row r="31567" ht="14.25" customHeight="1" s="192">
      <c r="W31567" s="231" t="n"/>
      <c r="X31567" s="231" t="n"/>
    </row>
    <row r="31568" ht="14.25" customHeight="1" s="192">
      <c r="W31568" s="33" t="n"/>
      <c r="X31568" s="33" t="n"/>
    </row>
    <row r="31570" ht="14.25" customHeight="1" s="192">
      <c r="W31570" s="231" t="n"/>
      <c r="X31570" s="231" t="n"/>
    </row>
    <row r="31571" ht="14.25" customHeight="1" s="192">
      <c r="W31571" s="235" t="n"/>
      <c r="X31571" s="235" t="n"/>
    </row>
    <row r="31572" ht="14.25" customHeight="1" s="192">
      <c r="W31572" s="228" t="n"/>
      <c r="X31572" s="228" t="n"/>
    </row>
    <row r="31573" ht="14.25" customHeight="1" s="192">
      <c r="W31573" s="235" t="n"/>
      <c r="X31573" s="235" t="n"/>
    </row>
    <row r="31574" ht="14.25" customHeight="1" s="192">
      <c r="W31574" s="235" t="n"/>
      <c r="X31574" s="235" t="n"/>
    </row>
    <row r="31575" ht="14.25" customHeight="1" s="192">
      <c r="W31575" s="235" t="n"/>
      <c r="X31575" s="235" t="n"/>
    </row>
    <row r="31576" ht="14.25" customHeight="1" s="192">
      <c r="W31576" s="239" t="n"/>
      <c r="X31576" s="239" t="n"/>
    </row>
    <row r="31577" ht="14.25" customHeight="1" s="192">
      <c r="W31577" s="239" t="n"/>
      <c r="X31577" s="239" t="n"/>
    </row>
    <row r="31578" ht="14.25" customHeight="1" s="192">
      <c r="W31578" s="239" t="n"/>
      <c r="X31578" s="239" t="n"/>
    </row>
    <row r="31579" ht="14.25" customHeight="1" s="192">
      <c r="W31579" s="235" t="n"/>
      <c r="X31579" s="235" t="n"/>
    </row>
    <row r="31580" ht="14.25" customHeight="1" s="192">
      <c r="W31580" s="235" t="n"/>
      <c r="X31580" s="235" t="n"/>
    </row>
    <row r="31581" ht="14.25" customHeight="1" s="192">
      <c r="W31581" s="235" t="n"/>
      <c r="X31581" s="235" t="n"/>
    </row>
    <row r="31582" ht="14.25" customHeight="1" s="192">
      <c r="W31582" s="239" t="n"/>
      <c r="X31582" s="239" t="n"/>
    </row>
    <row r="31583" ht="14.25" customHeight="1" s="192">
      <c r="W31583" s="239" t="n"/>
      <c r="X31583" s="239" t="n"/>
    </row>
    <row r="31584" ht="14.25" customHeight="1" s="192">
      <c r="W31584" s="235" t="n"/>
      <c r="X31584" s="235" t="n"/>
    </row>
    <row r="31585" ht="14.25" customHeight="1" s="192">
      <c r="W31585" s="235" t="n"/>
      <c r="X31585" s="235" t="n"/>
    </row>
    <row r="31586" ht="14.25" customHeight="1" s="192">
      <c r="W31586" s="239" t="n"/>
      <c r="X31586" s="239" t="n"/>
    </row>
    <row r="31587" ht="14.25" customHeight="1" s="192">
      <c r="W31587" s="235" t="n"/>
      <c r="X31587" s="235" t="n"/>
    </row>
    <row r="31588" ht="14.25" customHeight="1" s="192">
      <c r="W31588" s="239" t="n"/>
      <c r="X31588" s="239" t="n"/>
    </row>
    <row r="31590" ht="14.25" customHeight="1" s="192">
      <c r="W31590" s="235" t="n"/>
      <c r="X31590" s="235" t="n"/>
    </row>
    <row r="31591" ht="15" customHeight="1" s="192" thickBot="1">
      <c r="W31591" s="239" t="n"/>
      <c r="X31591" s="239" t="n"/>
    </row>
    <row r="31592" ht="15" customHeight="1" s="192" thickBot="1">
      <c r="W31592" s="45" t="n"/>
      <c r="X31592" s="45" t="n"/>
    </row>
    <row r="31593" ht="14.25" customHeight="1" s="192">
      <c r="W31593" s="228" t="n"/>
      <c r="X31593" s="228" t="n"/>
    </row>
    <row r="31594" ht="14.25" customHeight="1" s="192">
      <c r="W31594" s="228" t="n"/>
      <c r="X31594" s="228" t="n"/>
    </row>
    <row r="31595" ht="14.25" customHeight="1" s="192">
      <c r="W31595" s="231" t="n"/>
      <c r="X31595" s="231" t="n"/>
    </row>
    <row r="31596" ht="14.25" customHeight="1" s="192">
      <c r="W31596" s="33" t="n"/>
      <c r="X31596" s="33" t="n"/>
    </row>
    <row r="31597" ht="14.25" customHeight="1" s="192">
      <c r="W31597" s="231" t="n"/>
      <c r="X31597" s="231" t="n"/>
    </row>
    <row r="31598" ht="14.25" customHeight="1" s="192">
      <c r="W31598" s="33" t="n"/>
      <c r="X31598" s="33" t="n"/>
    </row>
    <row r="31600" ht="14.25" customHeight="1" s="192">
      <c r="W31600" s="231" t="n"/>
      <c r="X31600" s="231" t="n"/>
    </row>
    <row r="31601" ht="14.25" customHeight="1" s="192">
      <c r="W31601" s="235" t="n"/>
      <c r="X31601" s="235" t="n"/>
    </row>
    <row r="31602" ht="14.25" customHeight="1" s="192">
      <c r="W31602" s="228" t="n"/>
      <c r="X31602" s="228" t="n"/>
    </row>
    <row r="31603" ht="14.25" customHeight="1" s="192">
      <c r="W31603" s="235" t="n"/>
      <c r="X31603" s="235" t="n"/>
    </row>
    <row r="31604" ht="14.25" customHeight="1" s="192">
      <c r="W31604" s="235" t="n"/>
      <c r="X31604" s="235" t="n"/>
    </row>
    <row r="31605" ht="14.25" customHeight="1" s="192">
      <c r="W31605" s="235" t="n"/>
      <c r="X31605" s="235" t="n"/>
    </row>
    <row r="31606" ht="14.25" customHeight="1" s="192">
      <c r="W31606" s="239" t="n"/>
      <c r="X31606" s="239" t="n"/>
    </row>
    <row r="31607" ht="14.25" customHeight="1" s="192">
      <c r="W31607" s="239" t="n"/>
      <c r="X31607" s="239" t="n"/>
    </row>
    <row r="31608" ht="14.25" customHeight="1" s="192">
      <c r="W31608" s="239" t="n"/>
      <c r="X31608" s="239" t="n"/>
    </row>
    <row r="31609" ht="14.25" customHeight="1" s="192">
      <c r="W31609" s="235" t="n"/>
      <c r="X31609" s="235" t="n"/>
    </row>
    <row r="31610" ht="14.25" customHeight="1" s="192">
      <c r="W31610" s="235" t="n"/>
      <c r="X31610" s="235" t="n"/>
    </row>
    <row r="31611" ht="14.25" customHeight="1" s="192">
      <c r="W31611" s="235" t="n"/>
      <c r="X31611" s="235" t="n"/>
    </row>
    <row r="31612" ht="14.25" customHeight="1" s="192">
      <c r="W31612" s="239" t="n"/>
      <c r="X31612" s="239" t="n"/>
    </row>
    <row r="31613" ht="14.25" customHeight="1" s="192">
      <c r="W31613" s="239" t="n"/>
      <c r="X31613" s="239" t="n"/>
    </row>
    <row r="31614" ht="14.25" customHeight="1" s="192">
      <c r="W31614" s="235" t="n"/>
      <c r="X31614" s="235" t="n"/>
    </row>
    <row r="31615" ht="14.25" customHeight="1" s="192">
      <c r="W31615" s="235" t="n"/>
      <c r="X31615" s="235" t="n"/>
    </row>
    <row r="31616" ht="14.25" customHeight="1" s="192">
      <c r="W31616" s="239" t="n"/>
      <c r="X31616" s="239" t="n"/>
    </row>
    <row r="31617" ht="14.25" customHeight="1" s="192">
      <c r="W31617" s="235" t="n"/>
      <c r="X31617" s="235" t="n"/>
    </row>
    <row r="31618" ht="14.25" customHeight="1" s="192">
      <c r="W31618" s="239" t="n"/>
      <c r="X31618" s="239" t="n"/>
    </row>
    <row r="31620" ht="14.25" customHeight="1" s="192">
      <c r="W31620" s="235" t="n"/>
      <c r="X31620" s="235" t="n"/>
    </row>
    <row r="31621" ht="15" customHeight="1" s="192" thickBot="1">
      <c r="W31621" s="239" t="n"/>
      <c r="X31621" s="239" t="n"/>
    </row>
    <row r="31622" ht="15" customHeight="1" s="192" thickBot="1">
      <c r="W31622" s="45" t="n"/>
      <c r="X31622" s="45" t="n"/>
    </row>
    <row r="31623" ht="14.25" customHeight="1" s="192">
      <c r="W31623" s="228" t="n"/>
      <c r="X31623" s="228" t="n"/>
    </row>
    <row r="31624" ht="14.25" customHeight="1" s="192">
      <c r="W31624" s="228" t="n"/>
      <c r="X31624" s="228" t="n"/>
    </row>
    <row r="31625" ht="14.25" customHeight="1" s="192">
      <c r="W31625" s="231" t="n"/>
      <c r="X31625" s="231" t="n"/>
    </row>
    <row r="31626" ht="14.25" customHeight="1" s="192">
      <c r="W31626" s="33" t="n"/>
      <c r="X31626" s="33" t="n"/>
    </row>
    <row r="31627" ht="14.25" customHeight="1" s="192">
      <c r="W31627" s="231" t="n"/>
      <c r="X31627" s="231" t="n"/>
    </row>
    <row r="31628" ht="14.25" customHeight="1" s="192">
      <c r="W31628" s="33" t="n"/>
      <c r="X31628" s="33" t="n"/>
    </row>
    <row r="31630" ht="14.25" customHeight="1" s="192">
      <c r="W31630" s="231" t="n"/>
      <c r="X31630" s="231" t="n"/>
    </row>
    <row r="31631" ht="14.25" customHeight="1" s="192">
      <c r="W31631" s="235" t="n"/>
      <c r="X31631" s="235" t="n"/>
    </row>
    <row r="31632" ht="14.25" customHeight="1" s="192">
      <c r="W31632" s="228" t="n"/>
      <c r="X31632" s="228" t="n"/>
    </row>
    <row r="31633" ht="14.25" customHeight="1" s="192">
      <c r="W31633" s="235" t="n"/>
      <c r="X31633" s="235" t="n"/>
    </row>
    <row r="31634" ht="14.25" customHeight="1" s="192">
      <c r="W31634" s="235" t="n"/>
      <c r="X31634" s="235" t="n"/>
    </row>
    <row r="31635" ht="14.25" customHeight="1" s="192">
      <c r="W31635" s="235" t="n"/>
      <c r="X31635" s="235" t="n"/>
    </row>
    <row r="31636" ht="14.25" customHeight="1" s="192">
      <c r="W31636" s="239" t="n"/>
      <c r="X31636" s="239" t="n"/>
    </row>
    <row r="31637" ht="14.25" customHeight="1" s="192">
      <c r="W31637" s="239" t="n"/>
      <c r="X31637" s="239" t="n"/>
    </row>
    <row r="31638" ht="14.25" customHeight="1" s="192">
      <c r="W31638" s="239" t="n"/>
      <c r="X31638" s="239" t="n"/>
    </row>
    <row r="31639" ht="14.25" customHeight="1" s="192">
      <c r="W31639" s="235" t="n"/>
      <c r="X31639" s="235" t="n"/>
    </row>
    <row r="31640" ht="14.25" customHeight="1" s="192">
      <c r="W31640" s="235" t="n"/>
      <c r="X31640" s="235" t="n"/>
    </row>
    <row r="31641" ht="14.25" customHeight="1" s="192">
      <c r="W31641" s="235" t="n"/>
      <c r="X31641" s="235" t="n"/>
    </row>
    <row r="31642" ht="14.25" customHeight="1" s="192">
      <c r="W31642" s="239" t="n"/>
      <c r="X31642" s="239" t="n"/>
    </row>
    <row r="31643" ht="14.25" customHeight="1" s="192">
      <c r="W31643" s="239" t="n"/>
      <c r="X31643" s="239" t="n"/>
    </row>
    <row r="31644" ht="14.25" customHeight="1" s="192">
      <c r="W31644" s="235" t="n"/>
      <c r="X31644" s="235" t="n"/>
    </row>
    <row r="31645" ht="14.25" customHeight="1" s="192">
      <c r="W31645" s="235" t="n"/>
      <c r="X31645" s="235" t="n"/>
    </row>
    <row r="31646" ht="14.25" customHeight="1" s="192">
      <c r="W31646" s="239" t="n"/>
      <c r="X31646" s="239" t="n"/>
    </row>
    <row r="31647" ht="14.25" customHeight="1" s="192">
      <c r="W31647" s="235" t="n"/>
      <c r="X31647" s="235" t="n"/>
    </row>
    <row r="31648" ht="14.25" customHeight="1" s="192">
      <c r="W31648" s="239" t="n"/>
      <c r="X31648" s="239" t="n"/>
    </row>
    <row r="31650" ht="14.25" customHeight="1" s="192">
      <c r="W31650" s="235" t="n"/>
      <c r="X31650" s="235" t="n"/>
    </row>
    <row r="31651" ht="15" customHeight="1" s="192" thickBot="1">
      <c r="W31651" s="239" t="n"/>
      <c r="X31651" s="239" t="n"/>
    </row>
    <row r="31652" ht="15" customHeight="1" s="192" thickBot="1">
      <c r="W31652" s="45" t="n"/>
      <c r="X31652" s="45" t="n"/>
    </row>
    <row r="31653" ht="14.25" customHeight="1" s="192">
      <c r="W31653" s="228" t="n"/>
      <c r="X31653" s="228" t="n"/>
    </row>
    <row r="31654" ht="14.25" customHeight="1" s="192">
      <c r="W31654" s="228" t="n"/>
      <c r="X31654" s="228" t="n"/>
    </row>
    <row r="31655" ht="14.25" customHeight="1" s="192">
      <c r="W31655" s="231" t="n"/>
      <c r="X31655" s="231" t="n"/>
    </row>
    <row r="31656" ht="14.25" customHeight="1" s="192">
      <c r="W31656" s="33" t="n"/>
      <c r="X31656" s="33" t="n"/>
    </row>
    <row r="31657" ht="14.25" customHeight="1" s="192">
      <c r="W31657" s="231" t="n"/>
      <c r="X31657" s="231" t="n"/>
    </row>
    <row r="31658" ht="14.25" customHeight="1" s="192">
      <c r="W31658" s="33" t="n"/>
      <c r="X31658" s="33" t="n"/>
    </row>
    <row r="31660" ht="14.25" customHeight="1" s="192">
      <c r="W31660" s="231" t="n"/>
      <c r="X31660" s="231" t="n"/>
    </row>
    <row r="31661" ht="14.25" customHeight="1" s="192">
      <c r="W31661" s="235" t="n"/>
      <c r="X31661" s="235" t="n"/>
    </row>
    <row r="31662" ht="14.25" customHeight="1" s="192">
      <c r="W31662" s="228" t="n"/>
      <c r="X31662" s="228" t="n"/>
    </row>
    <row r="31663" ht="14.25" customHeight="1" s="192">
      <c r="W31663" s="235" t="n"/>
      <c r="X31663" s="235" t="n"/>
    </row>
    <row r="31664" ht="14.25" customHeight="1" s="192">
      <c r="W31664" s="235" t="n"/>
      <c r="X31664" s="235" t="n"/>
    </row>
    <row r="31665" ht="14.25" customHeight="1" s="192">
      <c r="W31665" s="235" t="n"/>
      <c r="X31665" s="235" t="n"/>
    </row>
    <row r="31666" ht="14.25" customHeight="1" s="192">
      <c r="W31666" s="239" t="n"/>
      <c r="X31666" s="239" t="n"/>
    </row>
    <row r="31667" ht="14.25" customHeight="1" s="192">
      <c r="W31667" s="239" t="n"/>
      <c r="X31667" s="239" t="n"/>
    </row>
    <row r="31668" ht="14.25" customHeight="1" s="192">
      <c r="W31668" s="239" t="n"/>
      <c r="X31668" s="239" t="n"/>
    </row>
    <row r="31669" ht="14.25" customHeight="1" s="192">
      <c r="W31669" s="235" t="n"/>
      <c r="X31669" s="235" t="n"/>
    </row>
    <row r="31670" ht="14.25" customHeight="1" s="192">
      <c r="W31670" s="235" t="n"/>
      <c r="X31670" s="235" t="n"/>
    </row>
    <row r="31671" ht="14.25" customHeight="1" s="192">
      <c r="W31671" s="235" t="n"/>
      <c r="X31671" s="235" t="n"/>
    </row>
    <row r="31672" ht="14.25" customHeight="1" s="192">
      <c r="W31672" s="239" t="n"/>
      <c r="X31672" s="239" t="n"/>
    </row>
    <row r="31673" ht="14.25" customHeight="1" s="192">
      <c r="W31673" s="239" t="n"/>
      <c r="X31673" s="239" t="n"/>
    </row>
    <row r="31674" ht="14.25" customHeight="1" s="192">
      <c r="W31674" s="235" t="n"/>
      <c r="X31674" s="235" t="n"/>
    </row>
    <row r="31675" ht="14.25" customHeight="1" s="192">
      <c r="W31675" s="235" t="n"/>
      <c r="X31675" s="235" t="n"/>
    </row>
    <row r="31676" ht="14.25" customHeight="1" s="192">
      <c r="W31676" s="239" t="n"/>
      <c r="X31676" s="239" t="n"/>
    </row>
    <row r="31677" ht="14.25" customHeight="1" s="192">
      <c r="W31677" s="235" t="n"/>
      <c r="X31677" s="235" t="n"/>
    </row>
    <row r="31678" ht="14.25" customHeight="1" s="192">
      <c r="W31678" s="239" t="n"/>
      <c r="X31678" s="239" t="n"/>
    </row>
    <row r="31680" ht="14.25" customHeight="1" s="192">
      <c r="W31680" s="235" t="n"/>
      <c r="X31680" s="235" t="n"/>
    </row>
    <row r="31681" ht="15" customHeight="1" s="192" thickBot="1">
      <c r="W31681" s="239" t="n"/>
      <c r="X31681" s="239" t="n"/>
    </row>
    <row r="31682" ht="15" customHeight="1" s="192" thickBot="1">
      <c r="W31682" s="45" t="n"/>
      <c r="X31682" s="45" t="n"/>
    </row>
    <row r="31683" ht="14.25" customHeight="1" s="192">
      <c r="W31683" s="228" t="n"/>
      <c r="X31683" s="228" t="n"/>
    </row>
    <row r="31684" ht="14.25" customHeight="1" s="192">
      <c r="W31684" s="228" t="n"/>
      <c r="X31684" s="228" t="n"/>
    </row>
    <row r="31685" ht="14.25" customHeight="1" s="192">
      <c r="W31685" s="231" t="n"/>
      <c r="X31685" s="231" t="n"/>
    </row>
    <row r="31686" ht="14.25" customHeight="1" s="192">
      <c r="W31686" s="33" t="n"/>
      <c r="X31686" s="33" t="n"/>
    </row>
    <row r="31687" ht="14.25" customHeight="1" s="192">
      <c r="W31687" s="231" t="n"/>
      <c r="X31687" s="231" t="n"/>
    </row>
    <row r="31688" ht="14.25" customHeight="1" s="192">
      <c r="W31688" s="33" t="n"/>
      <c r="X31688" s="33" t="n"/>
    </row>
    <row r="31690" ht="14.25" customHeight="1" s="192">
      <c r="W31690" s="231" t="n"/>
      <c r="X31690" s="231" t="n"/>
    </row>
    <row r="31691" ht="14.25" customHeight="1" s="192">
      <c r="W31691" s="235" t="n"/>
      <c r="X31691" s="235" t="n"/>
    </row>
    <row r="31692" ht="14.25" customHeight="1" s="192">
      <c r="W31692" s="228" t="n"/>
      <c r="X31692" s="228" t="n"/>
    </row>
    <row r="31693" ht="14.25" customHeight="1" s="192">
      <c r="W31693" s="235" t="n"/>
      <c r="X31693" s="235" t="n"/>
    </row>
    <row r="31694" ht="14.25" customHeight="1" s="192">
      <c r="W31694" s="235" t="n"/>
      <c r="X31694" s="235" t="n"/>
    </row>
    <row r="31695" ht="14.25" customHeight="1" s="192">
      <c r="W31695" s="235" t="n"/>
      <c r="X31695" s="235" t="n"/>
    </row>
    <row r="31696" ht="14.25" customHeight="1" s="192">
      <c r="W31696" s="239" t="n"/>
      <c r="X31696" s="239" t="n"/>
    </row>
    <row r="31697" ht="14.25" customHeight="1" s="192">
      <c r="W31697" s="239" t="n"/>
      <c r="X31697" s="239" t="n"/>
    </row>
    <row r="31698" ht="14.25" customHeight="1" s="192">
      <c r="W31698" s="239" t="n"/>
      <c r="X31698" s="239" t="n"/>
    </row>
    <row r="31699" ht="14.25" customHeight="1" s="192">
      <c r="W31699" s="235" t="n"/>
      <c r="X31699" s="235" t="n"/>
    </row>
    <row r="31700" ht="14.25" customHeight="1" s="192">
      <c r="W31700" s="235" t="n"/>
      <c r="X31700" s="235" t="n"/>
    </row>
    <row r="31701" ht="14.25" customHeight="1" s="192">
      <c r="W31701" s="235" t="n"/>
      <c r="X31701" s="235" t="n"/>
    </row>
    <row r="31702" ht="14.25" customHeight="1" s="192">
      <c r="W31702" s="239" t="n"/>
      <c r="X31702" s="239" t="n"/>
    </row>
    <row r="31703" ht="14.25" customHeight="1" s="192">
      <c r="W31703" s="239" t="n"/>
      <c r="X31703" s="239" t="n"/>
    </row>
    <row r="31704" ht="14.25" customHeight="1" s="192">
      <c r="W31704" s="235" t="n"/>
      <c r="X31704" s="235" t="n"/>
    </row>
    <row r="31705" ht="14.25" customHeight="1" s="192">
      <c r="W31705" s="235" t="n"/>
      <c r="X31705" s="235" t="n"/>
    </row>
    <row r="31706" ht="14.25" customHeight="1" s="192">
      <c r="W31706" s="239" t="n"/>
      <c r="X31706" s="239" t="n"/>
    </row>
    <row r="31707" ht="14.25" customHeight="1" s="192">
      <c r="W31707" s="235" t="n"/>
      <c r="X31707" s="235" t="n"/>
    </row>
    <row r="31708" ht="14.25" customHeight="1" s="192">
      <c r="W31708" s="239" t="n"/>
      <c r="X31708" s="239" t="n"/>
    </row>
    <row r="31710" ht="14.25" customHeight="1" s="192">
      <c r="W31710" s="235" t="n"/>
      <c r="X31710" s="235" t="n"/>
    </row>
    <row r="31711" ht="15" customHeight="1" s="192" thickBot="1">
      <c r="W31711" s="239" t="n"/>
      <c r="X31711" s="239" t="n"/>
    </row>
    <row r="31712" ht="15" customHeight="1" s="192" thickBot="1">
      <c r="W31712" s="45" t="n"/>
      <c r="X31712" s="45" t="n"/>
    </row>
    <row r="31713" ht="14.25" customHeight="1" s="192">
      <c r="W31713" s="228" t="n"/>
      <c r="X31713" s="228" t="n"/>
    </row>
    <row r="31714" ht="14.25" customHeight="1" s="192">
      <c r="W31714" s="228" t="n"/>
      <c r="X31714" s="228" t="n"/>
    </row>
    <row r="31715" ht="14.25" customHeight="1" s="192">
      <c r="W31715" s="231" t="n"/>
      <c r="X31715" s="231" t="n"/>
    </row>
    <row r="31716" ht="14.25" customHeight="1" s="192">
      <c r="W31716" s="33" t="n"/>
      <c r="X31716" s="33" t="n"/>
    </row>
    <row r="31717" ht="14.25" customHeight="1" s="192">
      <c r="W31717" s="231" t="n"/>
      <c r="X31717" s="231" t="n"/>
    </row>
    <row r="31718" ht="14.25" customHeight="1" s="192">
      <c r="W31718" s="33" t="n"/>
      <c r="X31718" s="33" t="n"/>
    </row>
    <row r="31720" ht="14.25" customHeight="1" s="192">
      <c r="W31720" s="231" t="n"/>
      <c r="X31720" s="231" t="n"/>
    </row>
    <row r="31721" ht="14.25" customHeight="1" s="192">
      <c r="W31721" s="235" t="n"/>
      <c r="X31721" s="235" t="n"/>
    </row>
    <row r="31722" ht="14.25" customHeight="1" s="192">
      <c r="W31722" s="228" t="n"/>
      <c r="X31722" s="228" t="n"/>
    </row>
    <row r="31723" ht="14.25" customHeight="1" s="192">
      <c r="W31723" s="235" t="n"/>
      <c r="X31723" s="235" t="n"/>
    </row>
    <row r="31724" ht="14.25" customHeight="1" s="192">
      <c r="W31724" s="235" t="n"/>
      <c r="X31724" s="235" t="n"/>
    </row>
    <row r="31725" ht="14.25" customHeight="1" s="192">
      <c r="W31725" s="235" t="n"/>
      <c r="X31725" s="235" t="n"/>
    </row>
    <row r="31726" ht="14.25" customHeight="1" s="192">
      <c r="W31726" s="239" t="n"/>
      <c r="X31726" s="239" t="n"/>
    </row>
    <row r="31727" ht="14.25" customHeight="1" s="192">
      <c r="W31727" s="239" t="n"/>
      <c r="X31727" s="239" t="n"/>
    </row>
    <row r="31728" ht="14.25" customHeight="1" s="192">
      <c r="W31728" s="239" t="n"/>
      <c r="X31728" s="239" t="n"/>
    </row>
    <row r="31729" ht="14.25" customHeight="1" s="192">
      <c r="W31729" s="235" t="n"/>
      <c r="X31729" s="235" t="n"/>
    </row>
    <row r="31730" ht="14.25" customHeight="1" s="192">
      <c r="W31730" s="235" t="n"/>
      <c r="X31730" s="235" t="n"/>
    </row>
    <row r="31731" ht="14.25" customHeight="1" s="192">
      <c r="W31731" s="235" t="n"/>
      <c r="X31731" s="235" t="n"/>
    </row>
    <row r="31732" ht="14.25" customHeight="1" s="192">
      <c r="W31732" s="239" t="n"/>
      <c r="X31732" s="239" t="n"/>
    </row>
    <row r="31733" ht="14.25" customHeight="1" s="192">
      <c r="W31733" s="239" t="n"/>
      <c r="X31733" s="239" t="n"/>
    </row>
    <row r="31734" ht="14.25" customHeight="1" s="192">
      <c r="W31734" s="235" t="n"/>
      <c r="X31734" s="235" t="n"/>
    </row>
    <row r="31735" ht="14.25" customHeight="1" s="192">
      <c r="W31735" s="235" t="n"/>
      <c r="X31735" s="235" t="n"/>
    </row>
    <row r="31736" ht="14.25" customHeight="1" s="192">
      <c r="W31736" s="239" t="n"/>
      <c r="X31736" s="239" t="n"/>
    </row>
    <row r="31737" ht="14.25" customHeight="1" s="192">
      <c r="W31737" s="235" t="n"/>
      <c r="X31737" s="235" t="n"/>
    </row>
    <row r="31738" ht="14.25" customHeight="1" s="192">
      <c r="W31738" s="239" t="n"/>
      <c r="X31738" s="239" t="n"/>
    </row>
    <row r="31740" ht="14.25" customHeight="1" s="192">
      <c r="W31740" s="235" t="n"/>
      <c r="X31740" s="235" t="n"/>
    </row>
    <row r="31741" ht="15" customHeight="1" s="192" thickBot="1">
      <c r="W31741" s="239" t="n"/>
      <c r="X31741" s="239" t="n"/>
    </row>
    <row r="31742" ht="15" customHeight="1" s="192" thickBot="1">
      <c r="W31742" s="45" t="n"/>
      <c r="X31742" s="45" t="n"/>
    </row>
    <row r="31743" ht="14.25" customHeight="1" s="192">
      <c r="W31743" s="228" t="n"/>
      <c r="X31743" s="228" t="n"/>
    </row>
    <row r="31744" ht="14.25" customHeight="1" s="192">
      <c r="W31744" s="228" t="n"/>
      <c r="X31744" s="228" t="n"/>
    </row>
    <row r="31745" ht="14.25" customHeight="1" s="192">
      <c r="W31745" s="231" t="n"/>
      <c r="X31745" s="231" t="n"/>
    </row>
    <row r="31746" ht="14.25" customHeight="1" s="192">
      <c r="W31746" s="33" t="n"/>
      <c r="X31746" s="33" t="n"/>
    </row>
    <row r="31747" ht="14.25" customHeight="1" s="192">
      <c r="W31747" s="231" t="n"/>
      <c r="X31747" s="231" t="n"/>
    </row>
    <row r="31748" ht="14.25" customHeight="1" s="192">
      <c r="W31748" s="33" t="n"/>
      <c r="X31748" s="33" t="n"/>
    </row>
    <row r="31750" ht="14.25" customHeight="1" s="192">
      <c r="W31750" s="231" t="n"/>
      <c r="X31750" s="231" t="n"/>
    </row>
    <row r="31751" ht="14.25" customHeight="1" s="192">
      <c r="W31751" s="235" t="n"/>
      <c r="X31751" s="235" t="n"/>
    </row>
    <row r="31752" ht="14.25" customHeight="1" s="192">
      <c r="W31752" s="228" t="n"/>
      <c r="X31752" s="228" t="n"/>
    </row>
    <row r="31753" ht="14.25" customHeight="1" s="192">
      <c r="W31753" s="235" t="n"/>
      <c r="X31753" s="235" t="n"/>
    </row>
    <row r="31754" ht="14.25" customHeight="1" s="192">
      <c r="W31754" s="235" t="n"/>
      <c r="X31754" s="235" t="n"/>
    </row>
    <row r="31755" ht="14.25" customHeight="1" s="192">
      <c r="W31755" s="235" t="n"/>
      <c r="X31755" s="235" t="n"/>
    </row>
    <row r="31756" ht="14.25" customHeight="1" s="192">
      <c r="W31756" s="239" t="n"/>
      <c r="X31756" s="239" t="n"/>
    </row>
    <row r="31757" ht="14.25" customHeight="1" s="192">
      <c r="W31757" s="239" t="n"/>
      <c r="X31757" s="239" t="n"/>
    </row>
    <row r="31758" ht="14.25" customHeight="1" s="192">
      <c r="W31758" s="239" t="n"/>
      <c r="X31758" s="239" t="n"/>
    </row>
    <row r="31759" ht="14.25" customHeight="1" s="192">
      <c r="W31759" s="235" t="n"/>
      <c r="X31759" s="235" t="n"/>
    </row>
    <row r="31760" ht="14.25" customHeight="1" s="192">
      <c r="W31760" s="235" t="n"/>
      <c r="X31760" s="235" t="n"/>
    </row>
    <row r="31761" ht="14.25" customHeight="1" s="192">
      <c r="W31761" s="235" t="n"/>
      <c r="X31761" s="235" t="n"/>
    </row>
    <row r="31762" ht="14.25" customHeight="1" s="192">
      <c r="W31762" s="239" t="n"/>
      <c r="X31762" s="239" t="n"/>
    </row>
    <row r="31763" ht="14.25" customHeight="1" s="192">
      <c r="W31763" s="239" t="n"/>
      <c r="X31763" s="239" t="n"/>
    </row>
    <row r="31764" ht="14.25" customHeight="1" s="192">
      <c r="W31764" s="235" t="n"/>
      <c r="X31764" s="235" t="n"/>
    </row>
    <row r="31765" ht="14.25" customHeight="1" s="192">
      <c r="W31765" s="235" t="n"/>
      <c r="X31765" s="235" t="n"/>
    </row>
    <row r="31766" ht="14.25" customHeight="1" s="192">
      <c r="W31766" s="239" t="n"/>
      <c r="X31766" s="239" t="n"/>
    </row>
    <row r="31767" ht="14.25" customHeight="1" s="192">
      <c r="W31767" s="235" t="n"/>
      <c r="X31767" s="235" t="n"/>
    </row>
    <row r="31768" ht="14.25" customHeight="1" s="192">
      <c r="W31768" s="239" t="n"/>
      <c r="X31768" s="239" t="n"/>
    </row>
    <row r="31770" ht="14.25" customHeight="1" s="192">
      <c r="W31770" s="235" t="n"/>
      <c r="X31770" s="235" t="n"/>
    </row>
    <row r="31771" ht="15" customHeight="1" s="192" thickBot="1">
      <c r="W31771" s="239" t="n"/>
      <c r="X31771" s="239" t="n"/>
    </row>
    <row r="31772" ht="15" customHeight="1" s="192" thickBot="1">
      <c r="W31772" s="45" t="n"/>
      <c r="X31772" s="45" t="n"/>
    </row>
    <row r="31773" ht="14.25" customHeight="1" s="192">
      <c r="W31773" s="228" t="n"/>
      <c r="X31773" s="228" t="n"/>
    </row>
    <row r="31774" ht="14.25" customHeight="1" s="192">
      <c r="W31774" s="228" t="n"/>
      <c r="X31774" s="228" t="n"/>
    </row>
    <row r="31775" ht="14.25" customHeight="1" s="192">
      <c r="W31775" s="231" t="n"/>
      <c r="X31775" s="231" t="n"/>
    </row>
    <row r="31776" ht="14.25" customHeight="1" s="192">
      <c r="W31776" s="33" t="n"/>
      <c r="X31776" s="33" t="n"/>
    </row>
    <row r="31777" ht="14.25" customHeight="1" s="192">
      <c r="W31777" s="231" t="n"/>
      <c r="X31777" s="231" t="n"/>
    </row>
    <row r="31778" ht="14.25" customHeight="1" s="192">
      <c r="W31778" s="33" t="n"/>
      <c r="X31778" s="33" t="n"/>
    </row>
    <row r="31780" ht="14.25" customHeight="1" s="192">
      <c r="W31780" s="231" t="n"/>
      <c r="X31780" s="231" t="n"/>
    </row>
    <row r="31781" ht="14.25" customHeight="1" s="192">
      <c r="W31781" s="235" t="n"/>
      <c r="X31781" s="235" t="n"/>
    </row>
    <row r="31782" ht="14.25" customHeight="1" s="192">
      <c r="W31782" s="228" t="n"/>
      <c r="X31782" s="228" t="n"/>
    </row>
    <row r="31783" ht="14.25" customHeight="1" s="192">
      <c r="W31783" s="235" t="n"/>
      <c r="X31783" s="235" t="n"/>
    </row>
    <row r="31784" ht="14.25" customHeight="1" s="192">
      <c r="W31784" s="235" t="n"/>
      <c r="X31784" s="235" t="n"/>
    </row>
    <row r="31785" ht="14.25" customHeight="1" s="192">
      <c r="W31785" s="235" t="n"/>
      <c r="X31785" s="235" t="n"/>
    </row>
    <row r="31786" ht="14.25" customHeight="1" s="192">
      <c r="W31786" s="239" t="n"/>
      <c r="X31786" s="239" t="n"/>
    </row>
    <row r="31787" ht="14.25" customHeight="1" s="192">
      <c r="W31787" s="239" t="n"/>
      <c r="X31787" s="239" t="n"/>
    </row>
    <row r="31788" ht="14.25" customHeight="1" s="192">
      <c r="W31788" s="239" t="n"/>
      <c r="X31788" s="239" t="n"/>
    </row>
    <row r="31789" ht="14.25" customHeight="1" s="192">
      <c r="W31789" s="235" t="n"/>
      <c r="X31789" s="235" t="n"/>
    </row>
    <row r="31790" ht="14.25" customHeight="1" s="192">
      <c r="W31790" s="235" t="n"/>
      <c r="X31790" s="235" t="n"/>
    </row>
    <row r="31791" ht="14.25" customHeight="1" s="192">
      <c r="W31791" s="235" t="n"/>
      <c r="X31791" s="235" t="n"/>
    </row>
    <row r="31792" ht="14.25" customHeight="1" s="192">
      <c r="W31792" s="239" t="n"/>
      <c r="X31792" s="239" t="n"/>
    </row>
    <row r="31793" ht="14.25" customHeight="1" s="192">
      <c r="W31793" s="239" t="n"/>
      <c r="X31793" s="239" t="n"/>
    </row>
    <row r="31794" ht="14.25" customHeight="1" s="192">
      <c r="W31794" s="235" t="n"/>
      <c r="X31794" s="235" t="n"/>
    </row>
    <row r="31795" ht="14.25" customHeight="1" s="192">
      <c r="W31795" s="235" t="n"/>
      <c r="X31795" s="235" t="n"/>
    </row>
    <row r="31796" ht="14.25" customHeight="1" s="192">
      <c r="W31796" s="239" t="n"/>
      <c r="X31796" s="239" t="n"/>
    </row>
    <row r="31797" ht="14.25" customHeight="1" s="192">
      <c r="W31797" s="235" t="n"/>
      <c r="X31797" s="235" t="n"/>
    </row>
    <row r="31798" ht="14.25" customHeight="1" s="192">
      <c r="W31798" s="239" t="n"/>
      <c r="X31798" s="239" t="n"/>
    </row>
    <row r="31800" ht="14.25" customHeight="1" s="192">
      <c r="W31800" s="235" t="n"/>
      <c r="X31800" s="235" t="n"/>
    </row>
    <row r="31801" ht="15" customHeight="1" s="192" thickBot="1">
      <c r="W31801" s="239" t="n"/>
      <c r="X31801" s="239" t="n"/>
    </row>
    <row r="31802" ht="15" customHeight="1" s="192" thickBot="1">
      <c r="W31802" s="45" t="n"/>
      <c r="X31802" s="45" t="n"/>
    </row>
    <row r="31803" ht="14.25" customHeight="1" s="192">
      <c r="W31803" s="228" t="n"/>
      <c r="X31803" s="228" t="n"/>
    </row>
    <row r="31804" ht="14.25" customHeight="1" s="192">
      <c r="W31804" s="228" t="n"/>
      <c r="X31804" s="228" t="n"/>
    </row>
    <row r="31805" ht="14.25" customHeight="1" s="192">
      <c r="W31805" s="231" t="n"/>
      <c r="X31805" s="231" t="n"/>
    </row>
    <row r="31806" ht="14.25" customHeight="1" s="192">
      <c r="W31806" s="33" t="n"/>
      <c r="X31806" s="33" t="n"/>
    </row>
    <row r="31807" ht="14.25" customHeight="1" s="192">
      <c r="W31807" s="231" t="n"/>
      <c r="X31807" s="231" t="n"/>
    </row>
    <row r="31808" ht="14.25" customHeight="1" s="192">
      <c r="W31808" s="33" t="n"/>
      <c r="X31808" s="33" t="n"/>
    </row>
    <row r="31810" ht="14.25" customHeight="1" s="192">
      <c r="W31810" s="231" t="n"/>
      <c r="X31810" s="231" t="n"/>
    </row>
    <row r="31811" ht="14.25" customHeight="1" s="192">
      <c r="W31811" s="235" t="n"/>
      <c r="X31811" s="235" t="n"/>
    </row>
    <row r="31812" ht="14.25" customHeight="1" s="192">
      <c r="W31812" s="228" t="n"/>
      <c r="X31812" s="228" t="n"/>
    </row>
    <row r="31813" ht="14.25" customHeight="1" s="192">
      <c r="W31813" s="235" t="n"/>
      <c r="X31813" s="235" t="n"/>
    </row>
    <row r="31814" ht="14.25" customHeight="1" s="192">
      <c r="W31814" s="235" t="n"/>
      <c r="X31814" s="235" t="n"/>
    </row>
    <row r="31815" ht="14.25" customHeight="1" s="192">
      <c r="W31815" s="235" t="n"/>
      <c r="X31815" s="235" t="n"/>
    </row>
    <row r="31816" ht="14.25" customHeight="1" s="192">
      <c r="W31816" s="239" t="n"/>
      <c r="X31816" s="239" t="n"/>
    </row>
    <row r="31817" ht="14.25" customHeight="1" s="192">
      <c r="W31817" s="239" t="n"/>
      <c r="X31817" s="239" t="n"/>
    </row>
    <row r="31818" ht="14.25" customHeight="1" s="192">
      <c r="W31818" s="239" t="n"/>
      <c r="X31818" s="239" t="n"/>
    </row>
    <row r="31819" ht="14.25" customHeight="1" s="192">
      <c r="W31819" s="235" t="n"/>
      <c r="X31819" s="235" t="n"/>
    </row>
    <row r="31820" ht="14.25" customHeight="1" s="192">
      <c r="W31820" s="235" t="n"/>
      <c r="X31820" s="235" t="n"/>
    </row>
    <row r="31821" ht="14.25" customHeight="1" s="192">
      <c r="W31821" s="235" t="n"/>
      <c r="X31821" s="235" t="n"/>
    </row>
    <row r="31822" ht="14.25" customHeight="1" s="192">
      <c r="W31822" s="239" t="n"/>
      <c r="X31822" s="239" t="n"/>
    </row>
    <row r="31823" ht="14.25" customHeight="1" s="192">
      <c r="W31823" s="239" t="n"/>
      <c r="X31823" s="239" t="n"/>
    </row>
    <row r="31824" ht="14.25" customHeight="1" s="192">
      <c r="W31824" s="235" t="n"/>
      <c r="X31824" s="235" t="n"/>
    </row>
    <row r="31825" ht="14.25" customHeight="1" s="192">
      <c r="W31825" s="235" t="n"/>
      <c r="X31825" s="235" t="n"/>
    </row>
    <row r="31826" ht="14.25" customHeight="1" s="192">
      <c r="W31826" s="239" t="n"/>
      <c r="X31826" s="239" t="n"/>
    </row>
    <row r="31827" ht="14.25" customHeight="1" s="192">
      <c r="W31827" s="235" t="n"/>
      <c r="X31827" s="235" t="n"/>
    </row>
    <row r="31828" ht="14.25" customHeight="1" s="192">
      <c r="W31828" s="239" t="n"/>
      <c r="X31828" s="239" t="n"/>
    </row>
    <row r="31830" ht="14.25" customHeight="1" s="192">
      <c r="W31830" s="235" t="n"/>
      <c r="X31830" s="235" t="n"/>
    </row>
    <row r="31831" ht="15" customHeight="1" s="192" thickBot="1">
      <c r="W31831" s="239" t="n"/>
      <c r="X31831" s="239" t="n"/>
    </row>
    <row r="31832" ht="15" customHeight="1" s="192" thickBot="1">
      <c r="W31832" s="45" t="n"/>
      <c r="X31832" s="45" t="n"/>
    </row>
    <row r="31833" ht="14.25" customHeight="1" s="192">
      <c r="W31833" s="228" t="n"/>
      <c r="X31833" s="228" t="n"/>
    </row>
    <row r="31834" ht="14.25" customHeight="1" s="192">
      <c r="W31834" s="228" t="n"/>
      <c r="X31834" s="228" t="n"/>
    </row>
    <row r="31835" ht="14.25" customHeight="1" s="192">
      <c r="W31835" s="231" t="n"/>
      <c r="X31835" s="231" t="n"/>
    </row>
    <row r="31836" ht="14.25" customHeight="1" s="192">
      <c r="W31836" s="33" t="n"/>
      <c r="X31836" s="33" t="n"/>
    </row>
    <row r="31837" ht="14.25" customHeight="1" s="192">
      <c r="W31837" s="231" t="n"/>
      <c r="X31837" s="231" t="n"/>
    </row>
    <row r="31838" ht="14.25" customHeight="1" s="192">
      <c r="W31838" s="33" t="n"/>
      <c r="X31838" s="33" t="n"/>
    </row>
    <row r="31840" ht="14.25" customHeight="1" s="192">
      <c r="W31840" s="231" t="n"/>
      <c r="X31840" s="231" t="n"/>
    </row>
    <row r="31841" ht="14.25" customHeight="1" s="192">
      <c r="W31841" s="235" t="n"/>
      <c r="X31841" s="235" t="n"/>
    </row>
    <row r="31842" ht="14.25" customHeight="1" s="192">
      <c r="W31842" s="228" t="n"/>
      <c r="X31842" s="228" t="n"/>
    </row>
    <row r="31843" ht="14.25" customHeight="1" s="192">
      <c r="W31843" s="235" t="n"/>
      <c r="X31843" s="235" t="n"/>
    </row>
    <row r="31844" ht="14.25" customHeight="1" s="192">
      <c r="W31844" s="235" t="n"/>
      <c r="X31844" s="235" t="n"/>
    </row>
    <row r="31845" ht="14.25" customHeight="1" s="192">
      <c r="W31845" s="235" t="n"/>
      <c r="X31845" s="235" t="n"/>
    </row>
    <row r="31846" ht="14.25" customHeight="1" s="192">
      <c r="W31846" s="239" t="n"/>
      <c r="X31846" s="239" t="n"/>
    </row>
    <row r="31847" ht="14.25" customHeight="1" s="192">
      <c r="W31847" s="239" t="n"/>
      <c r="X31847" s="239" t="n"/>
    </row>
    <row r="31848" ht="14.25" customHeight="1" s="192">
      <c r="W31848" s="239" t="n"/>
      <c r="X31848" s="239" t="n"/>
    </row>
    <row r="31849" ht="14.25" customHeight="1" s="192">
      <c r="W31849" s="235" t="n"/>
      <c r="X31849" s="235" t="n"/>
    </row>
    <row r="31850" ht="14.25" customHeight="1" s="192">
      <c r="W31850" s="235" t="n"/>
      <c r="X31850" s="235" t="n"/>
    </row>
    <row r="31851" ht="14.25" customHeight="1" s="192">
      <c r="W31851" s="235" t="n"/>
      <c r="X31851" s="235" t="n"/>
    </row>
    <row r="31852" ht="14.25" customHeight="1" s="192">
      <c r="W31852" s="239" t="n"/>
      <c r="X31852" s="239" t="n"/>
    </row>
    <row r="31853" ht="14.25" customHeight="1" s="192">
      <c r="W31853" s="239" t="n"/>
      <c r="X31853" s="239" t="n"/>
    </row>
    <row r="31854" ht="14.25" customHeight="1" s="192">
      <c r="W31854" s="235" t="n"/>
      <c r="X31854" s="235" t="n"/>
    </row>
    <row r="31855" ht="14.25" customHeight="1" s="192">
      <c r="W31855" s="235" t="n"/>
      <c r="X31855" s="235" t="n"/>
    </row>
    <row r="31856" ht="14.25" customHeight="1" s="192">
      <c r="W31856" s="239" t="n"/>
      <c r="X31856" s="239" t="n"/>
    </row>
    <row r="31857" ht="14.25" customHeight="1" s="192">
      <c r="W31857" s="235" t="n"/>
      <c r="X31857" s="235" t="n"/>
    </row>
    <row r="31858" ht="14.25" customHeight="1" s="192">
      <c r="W31858" s="239" t="n"/>
      <c r="X31858" s="239" t="n"/>
    </row>
    <row r="31860" ht="14.25" customHeight="1" s="192">
      <c r="W31860" s="235" t="n"/>
      <c r="X31860" s="235" t="n"/>
    </row>
    <row r="31861" ht="15" customHeight="1" s="192" thickBot="1">
      <c r="W31861" s="239" t="n"/>
      <c r="X31861" s="239" t="n"/>
    </row>
    <row r="31862" ht="15" customHeight="1" s="192" thickBot="1">
      <c r="W31862" s="45" t="n"/>
      <c r="X31862" s="45" t="n"/>
    </row>
    <row r="31863" ht="14.25" customHeight="1" s="192">
      <c r="W31863" s="228" t="n"/>
      <c r="X31863" s="228" t="n"/>
    </row>
    <row r="31864" ht="14.25" customHeight="1" s="192">
      <c r="W31864" s="228" t="n"/>
      <c r="X31864" s="228" t="n"/>
    </row>
    <row r="31865" ht="14.25" customHeight="1" s="192">
      <c r="W31865" s="231" t="n"/>
      <c r="X31865" s="231" t="n"/>
    </row>
    <row r="31866" ht="14.25" customHeight="1" s="192">
      <c r="W31866" s="33" t="n"/>
      <c r="X31866" s="33" t="n"/>
    </row>
    <row r="31867" ht="14.25" customHeight="1" s="192">
      <c r="W31867" s="231" t="n"/>
      <c r="X31867" s="231" t="n"/>
    </row>
    <row r="31868" ht="14.25" customHeight="1" s="192">
      <c r="W31868" s="33" t="n"/>
      <c r="X31868" s="33" t="n"/>
    </row>
    <row r="31870" ht="14.25" customHeight="1" s="192">
      <c r="W31870" s="231" t="n"/>
      <c r="X31870" s="231" t="n"/>
    </row>
    <row r="31871" ht="14.25" customHeight="1" s="192">
      <c r="W31871" s="235" t="n"/>
      <c r="X31871" s="235" t="n"/>
    </row>
    <row r="31872" ht="14.25" customHeight="1" s="192">
      <c r="W31872" s="228" t="n"/>
      <c r="X31872" s="228" t="n"/>
    </row>
    <row r="31873" ht="14.25" customHeight="1" s="192">
      <c r="W31873" s="235" t="n"/>
      <c r="X31873" s="235" t="n"/>
    </row>
    <row r="31874" ht="14.25" customHeight="1" s="192">
      <c r="W31874" s="235" t="n"/>
      <c r="X31874" s="235" t="n"/>
    </row>
    <row r="31875" ht="14.25" customHeight="1" s="192">
      <c r="W31875" s="235" t="n"/>
      <c r="X31875" s="235" t="n"/>
    </row>
    <row r="31876" ht="14.25" customHeight="1" s="192">
      <c r="W31876" s="239" t="n"/>
      <c r="X31876" s="239" t="n"/>
    </row>
    <row r="31877" ht="14.25" customHeight="1" s="192">
      <c r="W31877" s="239" t="n"/>
      <c r="X31877" s="239" t="n"/>
    </row>
    <row r="31878" ht="14.25" customHeight="1" s="192">
      <c r="W31878" s="239" t="n"/>
      <c r="X31878" s="239" t="n"/>
    </row>
    <row r="31879" ht="14.25" customHeight="1" s="192">
      <c r="W31879" s="235" t="n"/>
      <c r="X31879" s="235" t="n"/>
    </row>
    <row r="31880" ht="14.25" customHeight="1" s="192">
      <c r="W31880" s="235" t="n"/>
      <c r="X31880" s="235" t="n"/>
    </row>
    <row r="31881" ht="14.25" customHeight="1" s="192">
      <c r="W31881" s="235" t="n"/>
      <c r="X31881" s="235" t="n"/>
    </row>
    <row r="31882" ht="14.25" customHeight="1" s="192">
      <c r="W31882" s="239" t="n"/>
      <c r="X31882" s="239" t="n"/>
    </row>
    <row r="31883" ht="14.25" customHeight="1" s="192">
      <c r="W31883" s="239" t="n"/>
      <c r="X31883" s="239" t="n"/>
    </row>
    <row r="31884" ht="14.25" customHeight="1" s="192">
      <c r="W31884" s="235" t="n"/>
      <c r="X31884" s="235" t="n"/>
    </row>
    <row r="31885" ht="14.25" customHeight="1" s="192">
      <c r="W31885" s="235" t="n"/>
      <c r="X31885" s="235" t="n"/>
    </row>
    <row r="31886" ht="14.25" customHeight="1" s="192">
      <c r="W31886" s="239" t="n"/>
      <c r="X31886" s="239" t="n"/>
    </row>
    <row r="31887" ht="14.25" customHeight="1" s="192">
      <c r="W31887" s="235" t="n"/>
      <c r="X31887" s="235" t="n"/>
    </row>
    <row r="31888" ht="14.25" customHeight="1" s="192">
      <c r="W31888" s="239" t="n"/>
      <c r="X31888" s="239" t="n"/>
    </row>
    <row r="31890" ht="14.25" customHeight="1" s="192">
      <c r="W31890" s="235" t="n"/>
      <c r="X31890" s="235" t="n"/>
    </row>
    <row r="31891" ht="15" customHeight="1" s="192" thickBot="1">
      <c r="W31891" s="239" t="n"/>
      <c r="X31891" s="239" t="n"/>
    </row>
    <row r="31892" ht="15" customHeight="1" s="192" thickBot="1">
      <c r="W31892" s="45" t="n"/>
      <c r="X31892" s="45" t="n"/>
    </row>
    <row r="31893" ht="14.25" customHeight="1" s="192">
      <c r="W31893" s="228" t="n"/>
      <c r="X31893" s="228" t="n"/>
    </row>
    <row r="31894" ht="14.25" customHeight="1" s="192">
      <c r="W31894" s="228" t="n"/>
      <c r="X31894" s="228" t="n"/>
    </row>
    <row r="31895" ht="14.25" customHeight="1" s="192">
      <c r="W31895" s="231" t="n"/>
      <c r="X31895" s="231" t="n"/>
    </row>
    <row r="31896" ht="14.25" customHeight="1" s="192">
      <c r="W31896" s="33" t="n"/>
      <c r="X31896" s="33" t="n"/>
    </row>
    <row r="31897" ht="14.25" customHeight="1" s="192">
      <c r="W31897" s="231" t="n"/>
      <c r="X31897" s="231" t="n"/>
    </row>
    <row r="31898" ht="14.25" customHeight="1" s="192">
      <c r="W31898" s="33" t="n"/>
      <c r="X31898" s="33" t="n"/>
    </row>
    <row r="31900" ht="14.25" customHeight="1" s="192">
      <c r="W31900" s="231" t="n"/>
      <c r="X31900" s="231" t="n"/>
    </row>
    <row r="31901" ht="14.25" customHeight="1" s="192">
      <c r="W31901" s="235" t="n"/>
      <c r="X31901" s="235" t="n"/>
    </row>
    <row r="31902" ht="14.25" customHeight="1" s="192">
      <c r="W31902" s="228" t="n"/>
      <c r="X31902" s="228" t="n"/>
    </row>
    <row r="31903" ht="14.25" customHeight="1" s="192">
      <c r="W31903" s="235" t="n"/>
      <c r="X31903" s="235" t="n"/>
    </row>
    <row r="31904" ht="14.25" customHeight="1" s="192">
      <c r="W31904" s="235" t="n"/>
      <c r="X31904" s="235" t="n"/>
    </row>
    <row r="31905" ht="14.25" customHeight="1" s="192">
      <c r="W31905" s="235" t="n"/>
      <c r="X31905" s="235" t="n"/>
    </row>
    <row r="31906" ht="14.25" customHeight="1" s="192">
      <c r="W31906" s="239" t="n"/>
      <c r="X31906" s="239" t="n"/>
    </row>
    <row r="31907" ht="14.25" customHeight="1" s="192">
      <c r="W31907" s="239" t="n"/>
      <c r="X31907" s="239" t="n"/>
    </row>
    <row r="31908" ht="14.25" customHeight="1" s="192">
      <c r="W31908" s="239" t="n"/>
      <c r="X31908" s="239" t="n"/>
    </row>
    <row r="31909" ht="14.25" customHeight="1" s="192">
      <c r="W31909" s="235" t="n"/>
      <c r="X31909" s="235" t="n"/>
    </row>
    <row r="31910" ht="14.25" customHeight="1" s="192">
      <c r="W31910" s="235" t="n"/>
      <c r="X31910" s="235" t="n"/>
    </row>
    <row r="31911" ht="14.25" customHeight="1" s="192">
      <c r="W31911" s="235" t="n"/>
      <c r="X31911" s="235" t="n"/>
    </row>
    <row r="31912" ht="14.25" customHeight="1" s="192">
      <c r="W31912" s="239" t="n"/>
      <c r="X31912" s="239" t="n"/>
    </row>
    <row r="31913" ht="14.25" customHeight="1" s="192">
      <c r="W31913" s="239" t="n"/>
      <c r="X31913" s="239" t="n"/>
    </row>
    <row r="31914" ht="14.25" customHeight="1" s="192">
      <c r="W31914" s="235" t="n"/>
      <c r="X31914" s="235" t="n"/>
    </row>
    <row r="31915" ht="14.25" customHeight="1" s="192">
      <c r="W31915" s="235" t="n"/>
      <c r="X31915" s="235" t="n"/>
    </row>
    <row r="31916" ht="14.25" customHeight="1" s="192">
      <c r="W31916" s="239" t="n"/>
      <c r="X31916" s="239" t="n"/>
    </row>
    <row r="31917" ht="14.25" customHeight="1" s="192">
      <c r="W31917" s="235" t="n"/>
      <c r="X31917" s="235" t="n"/>
    </row>
    <row r="31918" ht="14.25" customHeight="1" s="192">
      <c r="W31918" s="239" t="n"/>
      <c r="X31918" s="239" t="n"/>
    </row>
    <row r="31920" ht="14.25" customHeight="1" s="192">
      <c r="W31920" s="235" t="n"/>
      <c r="X31920" s="235" t="n"/>
    </row>
    <row r="31921" ht="15" customHeight="1" s="192" thickBot="1">
      <c r="W31921" s="239" t="n"/>
      <c r="X31921" s="239" t="n"/>
    </row>
    <row r="31922" ht="15" customHeight="1" s="192" thickBot="1">
      <c r="W31922" s="45" t="n"/>
      <c r="X31922" s="45" t="n"/>
    </row>
    <row r="31923" ht="14.25" customHeight="1" s="192">
      <c r="W31923" s="228" t="n"/>
      <c r="X31923" s="228" t="n"/>
    </row>
    <row r="31924" ht="14.25" customHeight="1" s="192">
      <c r="W31924" s="228" t="n"/>
      <c r="X31924" s="228" t="n"/>
    </row>
    <row r="31925" ht="14.25" customHeight="1" s="192">
      <c r="W31925" s="231" t="n"/>
      <c r="X31925" s="231" t="n"/>
    </row>
    <row r="31926" ht="14.25" customHeight="1" s="192">
      <c r="W31926" s="33" t="n"/>
      <c r="X31926" s="33" t="n"/>
    </row>
    <row r="31927" ht="14.25" customHeight="1" s="192">
      <c r="W31927" s="231" t="n"/>
      <c r="X31927" s="231" t="n"/>
    </row>
    <row r="31928" ht="14.25" customHeight="1" s="192">
      <c r="W31928" s="33" t="n"/>
      <c r="X31928" s="33" t="n"/>
    </row>
    <row r="31930" ht="14.25" customHeight="1" s="192">
      <c r="W31930" s="231" t="n"/>
      <c r="X31930" s="231" t="n"/>
    </row>
    <row r="31931" ht="14.25" customHeight="1" s="192">
      <c r="W31931" s="235" t="n"/>
      <c r="X31931" s="235" t="n"/>
    </row>
    <row r="31932" ht="14.25" customHeight="1" s="192">
      <c r="W31932" s="228" t="n"/>
      <c r="X31932" s="228" t="n"/>
    </row>
    <row r="31933" ht="14.25" customHeight="1" s="192">
      <c r="W31933" s="235" t="n"/>
      <c r="X31933" s="235" t="n"/>
    </row>
    <row r="31934" ht="14.25" customHeight="1" s="192">
      <c r="W31934" s="235" t="n"/>
      <c r="X31934" s="235" t="n"/>
    </row>
    <row r="31935" ht="14.25" customHeight="1" s="192">
      <c r="W31935" s="235" t="n"/>
      <c r="X31935" s="235" t="n"/>
    </row>
    <row r="31936" ht="14.25" customHeight="1" s="192">
      <c r="W31936" s="239" t="n"/>
      <c r="X31936" s="239" t="n"/>
    </row>
    <row r="31937" ht="14.25" customHeight="1" s="192">
      <c r="W31937" s="239" t="n"/>
      <c r="X31937" s="239" t="n"/>
    </row>
    <row r="31938" ht="14.25" customHeight="1" s="192">
      <c r="W31938" s="239" t="n"/>
      <c r="X31938" s="239" t="n"/>
    </row>
    <row r="31939" ht="14.25" customHeight="1" s="192">
      <c r="W31939" s="235" t="n"/>
      <c r="X31939" s="235" t="n"/>
    </row>
    <row r="31940" ht="14.25" customHeight="1" s="192">
      <c r="W31940" s="235" t="n"/>
      <c r="X31940" s="235" t="n"/>
    </row>
    <row r="31941" ht="14.25" customHeight="1" s="192">
      <c r="W31941" s="235" t="n"/>
      <c r="X31941" s="235" t="n"/>
    </row>
    <row r="31942" ht="14.25" customHeight="1" s="192">
      <c r="W31942" s="239" t="n"/>
      <c r="X31942" s="239" t="n"/>
    </row>
    <row r="31943" ht="14.25" customHeight="1" s="192">
      <c r="W31943" s="239" t="n"/>
      <c r="X31943" s="239" t="n"/>
    </row>
    <row r="31944" ht="14.25" customHeight="1" s="192">
      <c r="W31944" s="235" t="n"/>
      <c r="X31944" s="235" t="n"/>
    </row>
    <row r="31945" ht="14.25" customHeight="1" s="192">
      <c r="W31945" s="235" t="n"/>
      <c r="X31945" s="235" t="n"/>
    </row>
    <row r="31946" ht="14.25" customHeight="1" s="192">
      <c r="W31946" s="239" t="n"/>
      <c r="X31946" s="239" t="n"/>
    </row>
    <row r="31947" ht="14.25" customHeight="1" s="192">
      <c r="W31947" s="235" t="n"/>
      <c r="X31947" s="235" t="n"/>
    </row>
    <row r="31948" ht="14.25" customHeight="1" s="192">
      <c r="W31948" s="239" t="n"/>
      <c r="X31948" s="239" t="n"/>
    </row>
    <row r="31950" ht="14.25" customHeight="1" s="192">
      <c r="W31950" s="235" t="n"/>
      <c r="X31950" s="235" t="n"/>
    </row>
    <row r="31951" ht="15" customHeight="1" s="192" thickBot="1">
      <c r="W31951" s="239" t="n"/>
      <c r="X31951" s="239" t="n"/>
    </row>
    <row r="31952" ht="15" customHeight="1" s="192" thickBot="1">
      <c r="W31952" s="45" t="n"/>
      <c r="X31952" s="45" t="n"/>
    </row>
    <row r="31953" ht="14.25" customHeight="1" s="192">
      <c r="W31953" s="228" t="n"/>
      <c r="X31953" s="228" t="n"/>
    </row>
    <row r="31954" ht="14.25" customHeight="1" s="192">
      <c r="W31954" s="228" t="n"/>
      <c r="X31954" s="228" t="n"/>
    </row>
    <row r="31955" ht="14.25" customHeight="1" s="192">
      <c r="W31955" s="231" t="n"/>
      <c r="X31955" s="231" t="n"/>
    </row>
    <row r="31956" ht="14.25" customHeight="1" s="192">
      <c r="W31956" s="33" t="n"/>
      <c r="X31956" s="33" t="n"/>
    </row>
    <row r="31957" ht="14.25" customHeight="1" s="192">
      <c r="W31957" s="231" t="n"/>
      <c r="X31957" s="231" t="n"/>
    </row>
    <row r="31958" ht="14.25" customHeight="1" s="192">
      <c r="W31958" s="33" t="n"/>
      <c r="X31958" s="33" t="n"/>
    </row>
    <row r="31960" ht="14.25" customHeight="1" s="192">
      <c r="W31960" s="231" t="n"/>
      <c r="X31960" s="231" t="n"/>
    </row>
    <row r="31961" ht="14.25" customHeight="1" s="192">
      <c r="W31961" s="235" t="n"/>
      <c r="X31961" s="235" t="n"/>
    </row>
    <row r="31962" ht="14.25" customHeight="1" s="192">
      <c r="W31962" s="228" t="n"/>
      <c r="X31962" s="228" t="n"/>
    </row>
    <row r="31963" ht="14.25" customHeight="1" s="192">
      <c r="W31963" s="235" t="n"/>
      <c r="X31963" s="235" t="n"/>
    </row>
    <row r="31964" ht="14.25" customHeight="1" s="192">
      <c r="W31964" s="235" t="n"/>
      <c r="X31964" s="235" t="n"/>
    </row>
    <row r="31965" ht="14.25" customHeight="1" s="192">
      <c r="W31965" s="235" t="n"/>
      <c r="X31965" s="235" t="n"/>
    </row>
    <row r="31966" ht="14.25" customHeight="1" s="192">
      <c r="W31966" s="239" t="n"/>
      <c r="X31966" s="239" t="n"/>
    </row>
    <row r="31967" ht="14.25" customHeight="1" s="192">
      <c r="W31967" s="239" t="n"/>
      <c r="X31967" s="239" t="n"/>
    </row>
    <row r="31968" ht="14.25" customHeight="1" s="192">
      <c r="W31968" s="239" t="n"/>
      <c r="X31968" s="239" t="n"/>
    </row>
    <row r="31969" ht="14.25" customHeight="1" s="192">
      <c r="W31969" s="235" t="n"/>
      <c r="X31969" s="235" t="n"/>
    </row>
    <row r="31970" ht="14.25" customHeight="1" s="192">
      <c r="W31970" s="235" t="n"/>
      <c r="X31970" s="235" t="n"/>
    </row>
    <row r="31971" ht="14.25" customHeight="1" s="192">
      <c r="W31971" s="235" t="n"/>
      <c r="X31971" s="235" t="n"/>
    </row>
    <row r="31972" ht="14.25" customHeight="1" s="192">
      <c r="W31972" s="239" t="n"/>
      <c r="X31972" s="239" t="n"/>
    </row>
    <row r="31973" ht="14.25" customHeight="1" s="192">
      <c r="W31973" s="239" t="n"/>
      <c r="X31973" s="239" t="n"/>
    </row>
    <row r="31974" ht="14.25" customHeight="1" s="192">
      <c r="W31974" s="235" t="n"/>
      <c r="X31974" s="235" t="n"/>
    </row>
    <row r="31975" ht="14.25" customHeight="1" s="192">
      <c r="W31975" s="235" t="n"/>
      <c r="X31975" s="235" t="n"/>
    </row>
    <row r="31976" ht="14.25" customHeight="1" s="192">
      <c r="W31976" s="239" t="n"/>
      <c r="X31976" s="239" t="n"/>
    </row>
    <row r="31977" ht="14.25" customHeight="1" s="192">
      <c r="W31977" s="235" t="n"/>
      <c r="X31977" s="235" t="n"/>
    </row>
    <row r="31978" ht="14.25" customHeight="1" s="192">
      <c r="W31978" s="239" t="n"/>
      <c r="X31978" s="239" t="n"/>
    </row>
    <row r="31980" ht="14.25" customHeight="1" s="192">
      <c r="W31980" s="235" t="n"/>
      <c r="X31980" s="235" t="n"/>
    </row>
    <row r="31981" ht="15" customHeight="1" s="192" thickBot="1">
      <c r="W31981" s="239" t="n"/>
      <c r="X31981" s="239" t="n"/>
    </row>
    <row r="31982" ht="15" customHeight="1" s="192" thickBot="1">
      <c r="W31982" s="45" t="n"/>
      <c r="X31982" s="45" t="n"/>
    </row>
    <row r="31983" ht="14.25" customHeight="1" s="192">
      <c r="W31983" s="228" t="n"/>
      <c r="X31983" s="228" t="n"/>
    </row>
    <row r="31984" ht="14.25" customHeight="1" s="192">
      <c r="W31984" s="228" t="n"/>
      <c r="X31984" s="228" t="n"/>
    </row>
    <row r="31985" ht="14.25" customHeight="1" s="192">
      <c r="W31985" s="231" t="n"/>
      <c r="X31985" s="231" t="n"/>
    </row>
    <row r="31986" ht="14.25" customHeight="1" s="192">
      <c r="W31986" s="33" t="n"/>
      <c r="X31986" s="33" t="n"/>
    </row>
    <row r="31987" ht="14.25" customHeight="1" s="192">
      <c r="W31987" s="231" t="n"/>
      <c r="X31987" s="231" t="n"/>
    </row>
    <row r="31988" ht="14.25" customHeight="1" s="192">
      <c r="W31988" s="33" t="n"/>
      <c r="X31988" s="33" t="n"/>
    </row>
    <row r="31990" ht="14.25" customHeight="1" s="192">
      <c r="W31990" s="231" t="n"/>
      <c r="X31990" s="231" t="n"/>
    </row>
    <row r="31991" ht="14.25" customHeight="1" s="192">
      <c r="W31991" s="235" t="n"/>
      <c r="X31991" s="235" t="n"/>
    </row>
    <row r="31992" ht="14.25" customHeight="1" s="192">
      <c r="W31992" s="228" t="n"/>
      <c r="X31992" s="228" t="n"/>
    </row>
    <row r="31993" ht="14.25" customHeight="1" s="192">
      <c r="W31993" s="235" t="n"/>
      <c r="X31993" s="235" t="n"/>
    </row>
    <row r="31994" ht="14.25" customHeight="1" s="192">
      <c r="W31994" s="235" t="n"/>
      <c r="X31994" s="235" t="n"/>
    </row>
    <row r="31995" ht="14.25" customHeight="1" s="192">
      <c r="W31995" s="235" t="n"/>
      <c r="X31995" s="235" t="n"/>
    </row>
    <row r="31996" ht="14.25" customHeight="1" s="192">
      <c r="W31996" s="239" t="n"/>
      <c r="X31996" s="239" t="n"/>
    </row>
    <row r="31997" ht="14.25" customHeight="1" s="192">
      <c r="W31997" s="239" t="n"/>
      <c r="X31997" s="239" t="n"/>
    </row>
    <row r="31998" ht="14.25" customHeight="1" s="192">
      <c r="W31998" s="239" t="n"/>
      <c r="X31998" s="239" t="n"/>
    </row>
    <row r="31999" ht="14.25" customHeight="1" s="192">
      <c r="W31999" s="235" t="n"/>
      <c r="X31999" s="235" t="n"/>
    </row>
    <row r="32000" ht="14.25" customHeight="1" s="192">
      <c r="W32000" s="235" t="n"/>
      <c r="X32000" s="235" t="n"/>
    </row>
    <row r="32001" ht="14.25" customHeight="1" s="192">
      <c r="W32001" s="235" t="n"/>
      <c r="X32001" s="235" t="n"/>
    </row>
    <row r="32002" ht="14.25" customHeight="1" s="192">
      <c r="W32002" s="239" t="n"/>
      <c r="X32002" s="239" t="n"/>
    </row>
    <row r="32003" ht="14.25" customHeight="1" s="192">
      <c r="W32003" s="239" t="n"/>
      <c r="X32003" s="239" t="n"/>
    </row>
    <row r="32004" ht="14.25" customHeight="1" s="192">
      <c r="W32004" s="235" t="n"/>
      <c r="X32004" s="235" t="n"/>
    </row>
    <row r="32005" ht="14.25" customHeight="1" s="192">
      <c r="W32005" s="235" t="n"/>
      <c r="X32005" s="235" t="n"/>
    </row>
    <row r="32006" ht="14.25" customHeight="1" s="192">
      <c r="W32006" s="239" t="n"/>
      <c r="X32006" s="239" t="n"/>
    </row>
    <row r="32007" ht="14.25" customHeight="1" s="192">
      <c r="W32007" s="235" t="n"/>
      <c r="X32007" s="235" t="n"/>
    </row>
    <row r="32008" ht="14.25" customHeight="1" s="192">
      <c r="W32008" s="239" t="n"/>
      <c r="X32008" s="239" t="n"/>
    </row>
    <row r="32010" ht="14.25" customHeight="1" s="192">
      <c r="W32010" s="235" t="n"/>
      <c r="X32010" s="235" t="n"/>
    </row>
    <row r="32011" ht="15" customHeight="1" s="192" thickBot="1">
      <c r="W32011" s="239" t="n"/>
      <c r="X32011" s="239" t="n"/>
    </row>
    <row r="32012" ht="15" customHeight="1" s="192" thickBot="1">
      <c r="W32012" s="45" t="n"/>
      <c r="X32012" s="45" t="n"/>
    </row>
    <row r="32013" ht="14.25" customHeight="1" s="192">
      <c r="W32013" s="228" t="n"/>
      <c r="X32013" s="228" t="n"/>
    </row>
    <row r="32014" ht="14.25" customHeight="1" s="192">
      <c r="W32014" s="228" t="n"/>
      <c r="X32014" s="228" t="n"/>
    </row>
    <row r="32015" ht="14.25" customHeight="1" s="192">
      <c r="W32015" s="231" t="n"/>
      <c r="X32015" s="231" t="n"/>
    </row>
    <row r="32016" ht="14.25" customHeight="1" s="192">
      <c r="W32016" s="33" t="n"/>
      <c r="X32016" s="33" t="n"/>
    </row>
    <row r="32017" ht="14.25" customHeight="1" s="192">
      <c r="W32017" s="231" t="n"/>
      <c r="X32017" s="231" t="n"/>
    </row>
    <row r="32018" ht="14.25" customHeight="1" s="192">
      <c r="W32018" s="33" t="n"/>
      <c r="X32018" s="33" t="n"/>
    </row>
    <row r="32020" ht="14.25" customHeight="1" s="192">
      <c r="W32020" s="231" t="n"/>
      <c r="X32020" s="231" t="n"/>
    </row>
    <row r="32021" ht="14.25" customHeight="1" s="192">
      <c r="W32021" s="235" t="n"/>
      <c r="X32021" s="235" t="n"/>
    </row>
    <row r="32022" ht="14.25" customHeight="1" s="192">
      <c r="W32022" s="228" t="n"/>
      <c r="X32022" s="228" t="n"/>
    </row>
    <row r="32023" ht="14.25" customHeight="1" s="192">
      <c r="W32023" s="235" t="n"/>
      <c r="X32023" s="235" t="n"/>
    </row>
    <row r="32024" ht="14.25" customHeight="1" s="192">
      <c r="W32024" s="235" t="n"/>
      <c r="X32024" s="235" t="n"/>
    </row>
    <row r="32025" ht="14.25" customHeight="1" s="192">
      <c r="W32025" s="235" t="n"/>
      <c r="X32025" s="235" t="n"/>
    </row>
    <row r="32026" ht="14.25" customHeight="1" s="192">
      <c r="W32026" s="239" t="n"/>
      <c r="X32026" s="239" t="n"/>
    </row>
    <row r="32027" ht="14.25" customHeight="1" s="192">
      <c r="W32027" s="239" t="n"/>
      <c r="X32027" s="239" t="n"/>
    </row>
    <row r="32028" ht="14.25" customHeight="1" s="192">
      <c r="W32028" s="239" t="n"/>
      <c r="X32028" s="239" t="n"/>
    </row>
    <row r="32029" ht="14.25" customHeight="1" s="192">
      <c r="W32029" s="235" t="n"/>
      <c r="X32029" s="235" t="n"/>
    </row>
    <row r="32030" ht="14.25" customHeight="1" s="192">
      <c r="W32030" s="235" t="n"/>
      <c r="X32030" s="235" t="n"/>
    </row>
    <row r="32031" ht="14.25" customHeight="1" s="192">
      <c r="W32031" s="235" t="n"/>
      <c r="X32031" s="235" t="n"/>
    </row>
    <row r="32032" ht="14.25" customHeight="1" s="192">
      <c r="W32032" s="239" t="n"/>
      <c r="X32032" s="239" t="n"/>
    </row>
    <row r="32033" ht="14.25" customHeight="1" s="192">
      <c r="W32033" s="239" t="n"/>
      <c r="X32033" s="239" t="n"/>
    </row>
    <row r="32034" ht="14.25" customHeight="1" s="192">
      <c r="W32034" s="235" t="n"/>
      <c r="X32034" s="235" t="n"/>
    </row>
    <row r="32035" ht="14.25" customHeight="1" s="192">
      <c r="W32035" s="235" t="n"/>
      <c r="X32035" s="235" t="n"/>
    </row>
    <row r="32036" ht="14.25" customHeight="1" s="192">
      <c r="W32036" s="239" t="n"/>
      <c r="X32036" s="239" t="n"/>
    </row>
    <row r="32037" ht="14.25" customHeight="1" s="192">
      <c r="W32037" s="235" t="n"/>
      <c r="X32037" s="235" t="n"/>
    </row>
    <row r="32038" ht="14.25" customHeight="1" s="192">
      <c r="W32038" s="239" t="n"/>
      <c r="X32038" s="239" t="n"/>
    </row>
    <row r="32040" ht="14.25" customHeight="1" s="192">
      <c r="W32040" s="235" t="n"/>
      <c r="X32040" s="235" t="n"/>
    </row>
    <row r="32041" ht="15" customHeight="1" s="192" thickBot="1">
      <c r="W32041" s="239" t="n"/>
      <c r="X32041" s="239" t="n"/>
    </row>
    <row r="32042" ht="15" customHeight="1" s="192" thickBot="1">
      <c r="W32042" s="45" t="n"/>
      <c r="X32042" s="45" t="n"/>
    </row>
    <row r="32043" ht="14.25" customHeight="1" s="192">
      <c r="W32043" s="228" t="n"/>
      <c r="X32043" s="228" t="n"/>
    </row>
    <row r="32044" ht="14.25" customHeight="1" s="192">
      <c r="W32044" s="228" t="n"/>
      <c r="X32044" s="228" t="n"/>
    </row>
    <row r="32045" ht="14.25" customHeight="1" s="192">
      <c r="W32045" s="231" t="n"/>
      <c r="X32045" s="231" t="n"/>
    </row>
    <row r="32046" ht="14.25" customHeight="1" s="192">
      <c r="W32046" s="33" t="n"/>
      <c r="X32046" s="33" t="n"/>
    </row>
    <row r="32047" ht="14.25" customHeight="1" s="192">
      <c r="W32047" s="231" t="n"/>
      <c r="X32047" s="231" t="n"/>
    </row>
    <row r="32048" ht="14.25" customHeight="1" s="192">
      <c r="W32048" s="33" t="n"/>
      <c r="X32048" s="33" t="n"/>
    </row>
    <row r="32050" ht="14.25" customHeight="1" s="192">
      <c r="W32050" s="231" t="n"/>
      <c r="X32050" s="231" t="n"/>
    </row>
    <row r="32051" ht="14.25" customHeight="1" s="192">
      <c r="W32051" s="235" t="n"/>
      <c r="X32051" s="235" t="n"/>
    </row>
    <row r="32052" ht="14.25" customHeight="1" s="192">
      <c r="W32052" s="228" t="n"/>
      <c r="X32052" s="228" t="n"/>
    </row>
    <row r="32053" ht="14.25" customHeight="1" s="192">
      <c r="W32053" s="235" t="n"/>
      <c r="X32053" s="235" t="n"/>
    </row>
    <row r="32054" ht="14.25" customHeight="1" s="192">
      <c r="W32054" s="235" t="n"/>
      <c r="X32054" s="235" t="n"/>
    </row>
    <row r="32055" ht="14.25" customHeight="1" s="192">
      <c r="W32055" s="235" t="n"/>
      <c r="X32055" s="235" t="n"/>
    </row>
    <row r="32056" ht="14.25" customHeight="1" s="192">
      <c r="W32056" s="239" t="n"/>
      <c r="X32056" s="239" t="n"/>
    </row>
    <row r="32057" ht="14.25" customHeight="1" s="192">
      <c r="W32057" s="239" t="n"/>
      <c r="X32057" s="239" t="n"/>
    </row>
    <row r="32058" ht="14.25" customHeight="1" s="192">
      <c r="W32058" s="239" t="n"/>
      <c r="X32058" s="239" t="n"/>
    </row>
    <row r="32059" ht="14.25" customHeight="1" s="192">
      <c r="W32059" s="235" t="n"/>
      <c r="X32059" s="235" t="n"/>
    </row>
    <row r="32060" ht="14.25" customHeight="1" s="192">
      <c r="W32060" s="235" t="n"/>
      <c r="X32060" s="235" t="n"/>
    </row>
    <row r="32061" ht="14.25" customHeight="1" s="192">
      <c r="W32061" s="235" t="n"/>
      <c r="X32061" s="235" t="n"/>
    </row>
    <row r="32062" ht="14.25" customHeight="1" s="192">
      <c r="W32062" s="239" t="n"/>
      <c r="X32062" s="239" t="n"/>
    </row>
    <row r="32063" ht="14.25" customHeight="1" s="192">
      <c r="W32063" s="239" t="n"/>
      <c r="X32063" s="239" t="n"/>
    </row>
    <row r="32064" ht="14.25" customHeight="1" s="192">
      <c r="W32064" s="235" t="n"/>
      <c r="X32064" s="235" t="n"/>
    </row>
    <row r="32065" ht="14.25" customHeight="1" s="192">
      <c r="W32065" s="235" t="n"/>
      <c r="X32065" s="235" t="n"/>
    </row>
    <row r="32066" ht="14.25" customHeight="1" s="192">
      <c r="W32066" s="239" t="n"/>
      <c r="X32066" s="239" t="n"/>
    </row>
    <row r="32067" ht="14.25" customHeight="1" s="192">
      <c r="W32067" s="235" t="n"/>
      <c r="X32067" s="235" t="n"/>
    </row>
    <row r="32068" ht="14.25" customHeight="1" s="192">
      <c r="W32068" s="239" t="n"/>
      <c r="X32068" s="239" t="n"/>
    </row>
    <row r="32070" ht="14.25" customHeight="1" s="192">
      <c r="W32070" s="235" t="n"/>
      <c r="X32070" s="235" t="n"/>
    </row>
    <row r="32071" ht="15" customHeight="1" s="192" thickBot="1">
      <c r="W32071" s="239" t="n"/>
      <c r="X32071" s="239" t="n"/>
    </row>
    <row r="32072" ht="15" customHeight="1" s="192" thickBot="1">
      <c r="W32072" s="45" t="n"/>
      <c r="X32072" s="45" t="n"/>
    </row>
    <row r="32073" ht="14.25" customHeight="1" s="192">
      <c r="W32073" s="228" t="n"/>
      <c r="X32073" s="228" t="n"/>
    </row>
    <row r="32074" ht="14.25" customHeight="1" s="192">
      <c r="W32074" s="228" t="n"/>
      <c r="X32074" s="228" t="n"/>
    </row>
    <row r="32075" ht="14.25" customHeight="1" s="192">
      <c r="W32075" s="231" t="n"/>
      <c r="X32075" s="231" t="n"/>
    </row>
    <row r="32076" ht="14.25" customHeight="1" s="192">
      <c r="W32076" s="33" t="n"/>
      <c r="X32076" s="33" t="n"/>
    </row>
    <row r="32077" ht="14.25" customHeight="1" s="192">
      <c r="W32077" s="231" t="n"/>
      <c r="X32077" s="231" t="n"/>
    </row>
    <row r="32078" ht="14.25" customHeight="1" s="192">
      <c r="W32078" s="33" t="n"/>
      <c r="X32078" s="33" t="n"/>
    </row>
    <row r="32080" ht="14.25" customHeight="1" s="192">
      <c r="W32080" s="231" t="n"/>
      <c r="X32080" s="231" t="n"/>
    </row>
    <row r="32081" ht="14.25" customHeight="1" s="192">
      <c r="W32081" s="235" t="n"/>
      <c r="X32081" s="235" t="n"/>
    </row>
    <row r="32082" ht="14.25" customHeight="1" s="192">
      <c r="W32082" s="228" t="n"/>
      <c r="X32082" s="228" t="n"/>
    </row>
    <row r="32083" ht="14.25" customHeight="1" s="192">
      <c r="W32083" s="235" t="n"/>
      <c r="X32083" s="235" t="n"/>
    </row>
    <row r="32084" ht="14.25" customHeight="1" s="192">
      <c r="W32084" s="235" t="n"/>
      <c r="X32084" s="235" t="n"/>
    </row>
    <row r="32085" ht="14.25" customHeight="1" s="192">
      <c r="W32085" s="235" t="n"/>
      <c r="X32085" s="235" t="n"/>
    </row>
    <row r="32086" ht="14.25" customHeight="1" s="192">
      <c r="W32086" s="239" t="n"/>
      <c r="X32086" s="239" t="n"/>
    </row>
    <row r="32087" ht="14.25" customHeight="1" s="192">
      <c r="W32087" s="239" t="n"/>
      <c r="X32087" s="239" t="n"/>
    </row>
    <row r="32088" ht="14.25" customHeight="1" s="192">
      <c r="W32088" s="239" t="n"/>
      <c r="X32088" s="239" t="n"/>
    </row>
    <row r="32089" ht="14.25" customHeight="1" s="192">
      <c r="W32089" s="235" t="n"/>
      <c r="X32089" s="235" t="n"/>
    </row>
    <row r="32090" ht="14.25" customHeight="1" s="192">
      <c r="W32090" s="235" t="n"/>
      <c r="X32090" s="235" t="n"/>
    </row>
    <row r="32091" ht="14.25" customHeight="1" s="192">
      <c r="W32091" s="235" t="n"/>
      <c r="X32091" s="235" t="n"/>
    </row>
    <row r="32092" ht="14.25" customHeight="1" s="192">
      <c r="W32092" s="239" t="n"/>
      <c r="X32092" s="239" t="n"/>
    </row>
    <row r="32093" ht="14.25" customHeight="1" s="192">
      <c r="W32093" s="239" t="n"/>
      <c r="X32093" s="239" t="n"/>
    </row>
    <row r="32094" ht="14.25" customHeight="1" s="192">
      <c r="W32094" s="235" t="n"/>
      <c r="X32094" s="235" t="n"/>
    </row>
    <row r="32095" ht="14.25" customHeight="1" s="192">
      <c r="W32095" s="235" t="n"/>
      <c r="X32095" s="235" t="n"/>
    </row>
    <row r="32096" ht="14.25" customHeight="1" s="192">
      <c r="W32096" s="239" t="n"/>
      <c r="X32096" s="239" t="n"/>
    </row>
    <row r="32097" ht="14.25" customHeight="1" s="192">
      <c r="W32097" s="235" t="n"/>
      <c r="X32097" s="235" t="n"/>
    </row>
    <row r="32098" ht="14.25" customHeight="1" s="192">
      <c r="W32098" s="239" t="n"/>
      <c r="X32098" s="239" t="n"/>
    </row>
    <row r="32100" ht="14.25" customHeight="1" s="192">
      <c r="W32100" s="235" t="n"/>
      <c r="X32100" s="235" t="n"/>
    </row>
    <row r="32101" ht="15" customHeight="1" s="192" thickBot="1">
      <c r="W32101" s="239" t="n"/>
      <c r="X32101" s="239" t="n"/>
    </row>
    <row r="32102" ht="15" customHeight="1" s="192" thickBot="1">
      <c r="W32102" s="45" t="n"/>
      <c r="X32102" s="45" t="n"/>
    </row>
    <row r="32103" ht="14.25" customHeight="1" s="192">
      <c r="W32103" s="228" t="n"/>
      <c r="X32103" s="228" t="n"/>
    </row>
    <row r="32104" ht="14.25" customHeight="1" s="192">
      <c r="W32104" s="228" t="n"/>
      <c r="X32104" s="228" t="n"/>
    </row>
    <row r="32105" ht="14.25" customHeight="1" s="192">
      <c r="W32105" s="231" t="n"/>
      <c r="X32105" s="231" t="n"/>
    </row>
    <row r="32106" ht="14.25" customHeight="1" s="192">
      <c r="W32106" s="33" t="n"/>
      <c r="X32106" s="33" t="n"/>
    </row>
    <row r="32107" ht="14.25" customHeight="1" s="192">
      <c r="W32107" s="231" t="n"/>
      <c r="X32107" s="231" t="n"/>
    </row>
    <row r="32108" ht="14.25" customHeight="1" s="192">
      <c r="W32108" s="33" t="n"/>
      <c r="X32108" s="33" t="n"/>
    </row>
    <row r="32110" ht="14.25" customHeight="1" s="192">
      <c r="W32110" s="231" t="n"/>
      <c r="X32110" s="231" t="n"/>
    </row>
    <row r="32111" ht="14.25" customHeight="1" s="192">
      <c r="W32111" s="235" t="n"/>
      <c r="X32111" s="235" t="n"/>
    </row>
    <row r="32112" ht="14.25" customHeight="1" s="192">
      <c r="W32112" s="228" t="n"/>
      <c r="X32112" s="228" t="n"/>
    </row>
    <row r="32113" ht="14.25" customHeight="1" s="192">
      <c r="W32113" s="235" t="n"/>
      <c r="X32113" s="235" t="n"/>
    </row>
    <row r="32114" ht="14.25" customHeight="1" s="192">
      <c r="W32114" s="235" t="n"/>
      <c r="X32114" s="235" t="n"/>
    </row>
    <row r="32115" ht="14.25" customHeight="1" s="192">
      <c r="W32115" s="235" t="n"/>
      <c r="X32115" s="235" t="n"/>
    </row>
    <row r="32116" ht="14.25" customHeight="1" s="192">
      <c r="W32116" s="239" t="n"/>
      <c r="X32116" s="239" t="n"/>
    </row>
    <row r="32117" ht="14.25" customHeight="1" s="192">
      <c r="W32117" s="239" t="n"/>
      <c r="X32117" s="239" t="n"/>
    </row>
    <row r="32118" ht="14.25" customHeight="1" s="192">
      <c r="W32118" s="239" t="n"/>
      <c r="X32118" s="239" t="n"/>
    </row>
    <row r="32119" ht="14.25" customHeight="1" s="192">
      <c r="W32119" s="235" t="n"/>
      <c r="X32119" s="235" t="n"/>
    </row>
    <row r="32120" ht="14.25" customHeight="1" s="192">
      <c r="W32120" s="235" t="n"/>
      <c r="X32120" s="235" t="n"/>
    </row>
    <row r="32121" ht="14.25" customHeight="1" s="192">
      <c r="W32121" s="235" t="n"/>
      <c r="X32121" s="235" t="n"/>
    </row>
    <row r="32122" ht="14.25" customHeight="1" s="192">
      <c r="W32122" s="239" t="n"/>
      <c r="X32122" s="239" t="n"/>
    </row>
    <row r="32123" ht="14.25" customHeight="1" s="192">
      <c r="W32123" s="239" t="n"/>
      <c r="X32123" s="239" t="n"/>
    </row>
    <row r="32124" ht="14.25" customHeight="1" s="192">
      <c r="W32124" s="235" t="n"/>
      <c r="X32124" s="235" t="n"/>
    </row>
    <row r="32125" ht="14.25" customHeight="1" s="192">
      <c r="W32125" s="235" t="n"/>
      <c r="X32125" s="235" t="n"/>
    </row>
    <row r="32126" ht="14.25" customHeight="1" s="192">
      <c r="W32126" s="239" t="n"/>
      <c r="X32126" s="239" t="n"/>
    </row>
    <row r="32127" ht="14.25" customHeight="1" s="192">
      <c r="W32127" s="235" t="n"/>
      <c r="X32127" s="235" t="n"/>
    </row>
    <row r="32128" ht="14.25" customHeight="1" s="192">
      <c r="W32128" s="239" t="n"/>
      <c r="X32128" s="239" t="n"/>
    </row>
    <row r="32130" ht="14.25" customHeight="1" s="192">
      <c r="W32130" s="235" t="n"/>
      <c r="X32130" s="235" t="n"/>
    </row>
    <row r="32131" ht="15" customHeight="1" s="192" thickBot="1">
      <c r="W32131" s="239" t="n"/>
      <c r="X32131" s="239" t="n"/>
    </row>
    <row r="32132" ht="15" customHeight="1" s="192" thickBot="1">
      <c r="W32132" s="45" t="n"/>
      <c r="X32132" s="45" t="n"/>
    </row>
    <row r="32133" ht="14.25" customHeight="1" s="192">
      <c r="W32133" s="228" t="n"/>
      <c r="X32133" s="228" t="n"/>
    </row>
    <row r="32134" ht="14.25" customHeight="1" s="192">
      <c r="W32134" s="228" t="n"/>
      <c r="X32134" s="228" t="n"/>
    </row>
    <row r="32135" ht="14.25" customHeight="1" s="192">
      <c r="W32135" s="231" t="n"/>
      <c r="X32135" s="231" t="n"/>
    </row>
    <row r="32136" ht="14.25" customHeight="1" s="192">
      <c r="W32136" s="33" t="n"/>
      <c r="X32136" s="33" t="n"/>
    </row>
    <row r="32137" ht="14.25" customHeight="1" s="192">
      <c r="W32137" s="231" t="n"/>
      <c r="X32137" s="231" t="n"/>
    </row>
    <row r="32138" ht="14.25" customHeight="1" s="192">
      <c r="W32138" s="33" t="n"/>
      <c r="X32138" s="33" t="n"/>
    </row>
    <row r="32140" ht="14.25" customHeight="1" s="192">
      <c r="W32140" s="231" t="n"/>
      <c r="X32140" s="231" t="n"/>
    </row>
    <row r="32141" ht="14.25" customHeight="1" s="192">
      <c r="W32141" s="235" t="n"/>
      <c r="X32141" s="235" t="n"/>
    </row>
    <row r="32142" ht="14.25" customHeight="1" s="192">
      <c r="W32142" s="228" t="n"/>
      <c r="X32142" s="228" t="n"/>
    </row>
    <row r="32143" ht="14.25" customHeight="1" s="192">
      <c r="W32143" s="235" t="n"/>
      <c r="X32143" s="235" t="n"/>
    </row>
    <row r="32144" ht="14.25" customHeight="1" s="192">
      <c r="W32144" s="235" t="n"/>
      <c r="X32144" s="235" t="n"/>
    </row>
    <row r="32145" ht="14.25" customHeight="1" s="192">
      <c r="W32145" s="235" t="n"/>
      <c r="X32145" s="235" t="n"/>
    </row>
    <row r="32146" ht="14.25" customHeight="1" s="192">
      <c r="W32146" s="239" t="n"/>
      <c r="X32146" s="239" t="n"/>
    </row>
    <row r="32147" ht="14.25" customHeight="1" s="192">
      <c r="W32147" s="239" t="n"/>
      <c r="X32147" s="239" t="n"/>
    </row>
    <row r="32148" ht="14.25" customHeight="1" s="192">
      <c r="W32148" s="239" t="n"/>
      <c r="X32148" s="239" t="n"/>
    </row>
    <row r="32149" ht="14.25" customHeight="1" s="192">
      <c r="W32149" s="235" t="n"/>
      <c r="X32149" s="235" t="n"/>
    </row>
    <row r="32150" ht="14.25" customHeight="1" s="192">
      <c r="W32150" s="235" t="n"/>
      <c r="X32150" s="235" t="n"/>
    </row>
    <row r="32151" ht="14.25" customHeight="1" s="192">
      <c r="W32151" s="235" t="n"/>
      <c r="X32151" s="235" t="n"/>
    </row>
    <row r="32152" ht="14.25" customHeight="1" s="192">
      <c r="W32152" s="239" t="n"/>
      <c r="X32152" s="239" t="n"/>
    </row>
    <row r="32153" ht="14.25" customHeight="1" s="192">
      <c r="W32153" s="239" t="n"/>
      <c r="X32153" s="239" t="n"/>
    </row>
    <row r="32154" ht="14.25" customHeight="1" s="192">
      <c r="W32154" s="235" t="n"/>
      <c r="X32154" s="235" t="n"/>
    </row>
    <row r="32155" ht="14.25" customHeight="1" s="192">
      <c r="W32155" s="235" t="n"/>
      <c r="X32155" s="235" t="n"/>
    </row>
    <row r="32156" ht="14.25" customHeight="1" s="192">
      <c r="W32156" s="239" t="n"/>
      <c r="X32156" s="239" t="n"/>
    </row>
    <row r="32157" ht="14.25" customHeight="1" s="192">
      <c r="W32157" s="235" t="n"/>
      <c r="X32157" s="235" t="n"/>
    </row>
    <row r="32158" ht="14.25" customHeight="1" s="192">
      <c r="W32158" s="239" t="n"/>
      <c r="X32158" s="239" t="n"/>
    </row>
    <row r="32160" ht="14.25" customHeight="1" s="192">
      <c r="W32160" s="235" t="n"/>
      <c r="X32160" s="235" t="n"/>
    </row>
    <row r="32161" ht="15" customHeight="1" s="192" thickBot="1">
      <c r="W32161" s="239" t="n"/>
      <c r="X32161" s="239" t="n"/>
    </row>
    <row r="32162" ht="15" customHeight="1" s="192" thickBot="1">
      <c r="W32162" s="45" t="n"/>
      <c r="X32162" s="45" t="n"/>
    </row>
    <row r="32163" ht="14.25" customHeight="1" s="192">
      <c r="W32163" s="228" t="n"/>
      <c r="X32163" s="228" t="n"/>
    </row>
    <row r="32164" ht="14.25" customHeight="1" s="192">
      <c r="W32164" s="228" t="n"/>
      <c r="X32164" s="228" t="n"/>
    </row>
    <row r="32165" ht="14.25" customHeight="1" s="192">
      <c r="W32165" s="231" t="n"/>
      <c r="X32165" s="231" t="n"/>
    </row>
    <row r="32166" ht="14.25" customHeight="1" s="192">
      <c r="W32166" s="33" t="n"/>
      <c r="X32166" s="33" t="n"/>
    </row>
    <row r="32167" ht="14.25" customHeight="1" s="192">
      <c r="W32167" s="231" t="n"/>
      <c r="X32167" s="231" t="n"/>
    </row>
    <row r="32168" ht="14.25" customHeight="1" s="192">
      <c r="W32168" s="33" t="n"/>
      <c r="X32168" s="33" t="n"/>
    </row>
    <row r="32170" ht="14.25" customHeight="1" s="192">
      <c r="W32170" s="231" t="n"/>
      <c r="X32170" s="231" t="n"/>
    </row>
    <row r="32171" ht="14.25" customHeight="1" s="192">
      <c r="W32171" s="235" t="n"/>
      <c r="X32171" s="235" t="n"/>
    </row>
    <row r="32172" ht="14.25" customHeight="1" s="192">
      <c r="W32172" s="228" t="n"/>
      <c r="X32172" s="228" t="n"/>
    </row>
    <row r="32173" ht="14.25" customHeight="1" s="192">
      <c r="W32173" s="235" t="n"/>
      <c r="X32173" s="235" t="n"/>
    </row>
    <row r="32174" ht="14.25" customHeight="1" s="192">
      <c r="W32174" s="235" t="n"/>
      <c r="X32174" s="235" t="n"/>
    </row>
    <row r="32175" ht="14.25" customHeight="1" s="192">
      <c r="W32175" s="235" t="n"/>
      <c r="X32175" s="235" t="n"/>
    </row>
    <row r="32176" ht="14.25" customHeight="1" s="192">
      <c r="W32176" s="239" t="n"/>
      <c r="X32176" s="239" t="n"/>
    </row>
    <row r="32177" ht="14.25" customHeight="1" s="192">
      <c r="W32177" s="239" t="n"/>
      <c r="X32177" s="239" t="n"/>
    </row>
    <row r="32178" ht="14.25" customHeight="1" s="192">
      <c r="W32178" s="239" t="n"/>
      <c r="X32178" s="239" t="n"/>
    </row>
    <row r="32179" ht="14.25" customHeight="1" s="192">
      <c r="W32179" s="235" t="n"/>
      <c r="X32179" s="235" t="n"/>
    </row>
    <row r="32180" ht="14.25" customHeight="1" s="192">
      <c r="W32180" s="235" t="n"/>
      <c r="X32180" s="235" t="n"/>
    </row>
    <row r="32181" ht="14.25" customHeight="1" s="192">
      <c r="W32181" s="235" t="n"/>
      <c r="X32181" s="235" t="n"/>
    </row>
    <row r="32182" ht="14.25" customHeight="1" s="192">
      <c r="W32182" s="239" t="n"/>
      <c r="X32182" s="239" t="n"/>
    </row>
    <row r="32183" ht="14.25" customHeight="1" s="192">
      <c r="W32183" s="239" t="n"/>
      <c r="X32183" s="239" t="n"/>
    </row>
    <row r="32184" ht="14.25" customHeight="1" s="192">
      <c r="W32184" s="235" t="n"/>
      <c r="X32184" s="235" t="n"/>
    </row>
    <row r="32185" ht="14.25" customHeight="1" s="192">
      <c r="W32185" s="235" t="n"/>
      <c r="X32185" s="235" t="n"/>
    </row>
    <row r="32186" ht="14.25" customHeight="1" s="192">
      <c r="W32186" s="239" t="n"/>
      <c r="X32186" s="239" t="n"/>
    </row>
    <row r="32187" ht="14.25" customHeight="1" s="192">
      <c r="W32187" s="235" t="n"/>
      <c r="X32187" s="235" t="n"/>
    </row>
    <row r="32188" ht="14.25" customHeight="1" s="192">
      <c r="W32188" s="239" t="n"/>
      <c r="X32188" s="239" t="n"/>
    </row>
    <row r="32190" ht="14.25" customHeight="1" s="192">
      <c r="W32190" s="235" t="n"/>
      <c r="X32190" s="235" t="n"/>
    </row>
    <row r="32191" ht="15" customHeight="1" s="192" thickBot="1">
      <c r="W32191" s="239" t="n"/>
      <c r="X32191" s="239" t="n"/>
    </row>
    <row r="32192" ht="15" customHeight="1" s="192" thickBot="1">
      <c r="W32192" s="45" t="n"/>
      <c r="X32192" s="45" t="n"/>
    </row>
    <row r="32193" ht="14.25" customHeight="1" s="192">
      <c r="W32193" s="228" t="n"/>
      <c r="X32193" s="228" t="n"/>
    </row>
    <row r="32194" ht="14.25" customHeight="1" s="192">
      <c r="W32194" s="228" t="n"/>
      <c r="X32194" s="228" t="n"/>
    </row>
    <row r="32195" ht="14.25" customHeight="1" s="192">
      <c r="W32195" s="231" t="n"/>
      <c r="X32195" s="231" t="n"/>
    </row>
    <row r="32196" ht="14.25" customHeight="1" s="192">
      <c r="W32196" s="33" t="n"/>
      <c r="X32196" s="33" t="n"/>
    </row>
    <row r="32197" ht="14.25" customHeight="1" s="192">
      <c r="W32197" s="231" t="n"/>
      <c r="X32197" s="231" t="n"/>
    </row>
    <row r="32198" ht="14.25" customHeight="1" s="192">
      <c r="W32198" s="33" t="n"/>
      <c r="X32198" s="33" t="n"/>
    </row>
    <row r="32200" ht="14.25" customHeight="1" s="192">
      <c r="W32200" s="231" t="n"/>
      <c r="X32200" s="231" t="n"/>
    </row>
    <row r="32201" ht="14.25" customHeight="1" s="192">
      <c r="W32201" s="235" t="n"/>
      <c r="X32201" s="235" t="n"/>
    </row>
    <row r="32202" ht="14.25" customHeight="1" s="192">
      <c r="W32202" s="228" t="n"/>
      <c r="X32202" s="228" t="n"/>
    </row>
    <row r="32203" ht="14.25" customHeight="1" s="192">
      <c r="W32203" s="235" t="n"/>
      <c r="X32203" s="235" t="n"/>
    </row>
    <row r="32204" ht="14.25" customHeight="1" s="192">
      <c r="W32204" s="235" t="n"/>
      <c r="X32204" s="235" t="n"/>
    </row>
    <row r="32205" ht="14.25" customHeight="1" s="192">
      <c r="W32205" s="235" t="n"/>
      <c r="X32205" s="235" t="n"/>
    </row>
    <row r="32206" ht="14.25" customHeight="1" s="192">
      <c r="W32206" s="239" t="n"/>
      <c r="X32206" s="239" t="n"/>
    </row>
    <row r="32207" ht="14.25" customHeight="1" s="192">
      <c r="W32207" s="239" t="n"/>
      <c r="X32207" s="239" t="n"/>
    </row>
    <row r="32208" ht="14.25" customHeight="1" s="192">
      <c r="W32208" s="239" t="n"/>
      <c r="X32208" s="239" t="n"/>
    </row>
    <row r="32209" ht="14.25" customHeight="1" s="192">
      <c r="W32209" s="235" t="n"/>
      <c r="X32209" s="235" t="n"/>
    </row>
    <row r="32210" ht="14.25" customHeight="1" s="192">
      <c r="W32210" s="235" t="n"/>
      <c r="X32210" s="235" t="n"/>
    </row>
    <row r="32211" ht="14.25" customHeight="1" s="192">
      <c r="W32211" s="235" t="n"/>
      <c r="X32211" s="235" t="n"/>
    </row>
    <row r="32212" ht="14.25" customHeight="1" s="192">
      <c r="W32212" s="239" t="n"/>
      <c r="X32212" s="239" t="n"/>
    </row>
    <row r="32213" ht="14.25" customHeight="1" s="192">
      <c r="W32213" s="239" t="n"/>
      <c r="X32213" s="239" t="n"/>
    </row>
    <row r="32214" ht="14.25" customHeight="1" s="192">
      <c r="W32214" s="235" t="n"/>
      <c r="X32214" s="235" t="n"/>
    </row>
    <row r="32215" ht="14.25" customHeight="1" s="192">
      <c r="W32215" s="235" t="n"/>
      <c r="X32215" s="235" t="n"/>
    </row>
    <row r="32216" ht="14.25" customHeight="1" s="192">
      <c r="W32216" s="239" t="n"/>
      <c r="X32216" s="239" t="n"/>
    </row>
    <row r="32217" ht="14.25" customHeight="1" s="192">
      <c r="W32217" s="235" t="n"/>
      <c r="X32217" s="235" t="n"/>
    </row>
    <row r="32218" ht="14.25" customHeight="1" s="192">
      <c r="W32218" s="239" t="n"/>
      <c r="X32218" s="239" t="n"/>
    </row>
    <row r="32220" ht="14.25" customHeight="1" s="192">
      <c r="W32220" s="235" t="n"/>
      <c r="X32220" s="235" t="n"/>
    </row>
    <row r="32221" ht="15" customHeight="1" s="192" thickBot="1">
      <c r="W32221" s="239" t="n"/>
      <c r="X32221" s="239" t="n"/>
    </row>
    <row r="32222" ht="15" customHeight="1" s="192" thickBot="1">
      <c r="W32222" s="45" t="n"/>
      <c r="X32222" s="45" t="n"/>
    </row>
    <row r="32223" ht="14.25" customHeight="1" s="192">
      <c r="W32223" s="228" t="n"/>
      <c r="X32223" s="228" t="n"/>
    </row>
    <row r="32224" ht="14.25" customHeight="1" s="192">
      <c r="W32224" s="228" t="n"/>
      <c r="X32224" s="228" t="n"/>
    </row>
    <row r="32225" ht="14.25" customHeight="1" s="192">
      <c r="W32225" s="231" t="n"/>
      <c r="X32225" s="231" t="n"/>
    </row>
    <row r="32226" ht="14.25" customHeight="1" s="192">
      <c r="W32226" s="33" t="n"/>
      <c r="X32226" s="33" t="n"/>
    </row>
    <row r="32227" ht="14.25" customHeight="1" s="192">
      <c r="W32227" s="231" t="n"/>
      <c r="X32227" s="231" t="n"/>
    </row>
    <row r="32228" ht="14.25" customHeight="1" s="192">
      <c r="W32228" s="33" t="n"/>
      <c r="X32228" s="33" t="n"/>
    </row>
    <row r="32230" ht="14.25" customHeight="1" s="192">
      <c r="W32230" s="231" t="n"/>
      <c r="X32230" s="231" t="n"/>
    </row>
    <row r="32231" ht="14.25" customHeight="1" s="192">
      <c r="W32231" s="235" t="n"/>
      <c r="X32231" s="235" t="n"/>
    </row>
    <row r="32232" ht="14.25" customHeight="1" s="192">
      <c r="W32232" s="228" t="n"/>
      <c r="X32232" s="228" t="n"/>
    </row>
    <row r="32233" ht="14.25" customHeight="1" s="192">
      <c r="W32233" s="235" t="n"/>
      <c r="X32233" s="235" t="n"/>
    </row>
    <row r="32234" ht="14.25" customHeight="1" s="192">
      <c r="W32234" s="235" t="n"/>
      <c r="X32234" s="235" t="n"/>
    </row>
    <row r="32235" ht="14.25" customHeight="1" s="192">
      <c r="W32235" s="235" t="n"/>
      <c r="X32235" s="235" t="n"/>
    </row>
    <row r="32236" ht="14.25" customHeight="1" s="192">
      <c r="W32236" s="239" t="n"/>
      <c r="X32236" s="239" t="n"/>
    </row>
    <row r="32237" ht="14.25" customHeight="1" s="192">
      <c r="W32237" s="239" t="n"/>
      <c r="X32237" s="239" t="n"/>
    </row>
    <row r="32238" ht="14.25" customHeight="1" s="192">
      <c r="W32238" s="239" t="n"/>
      <c r="X32238" s="239" t="n"/>
    </row>
    <row r="32239" ht="14.25" customHeight="1" s="192">
      <c r="W32239" s="235" t="n"/>
      <c r="X32239" s="235" t="n"/>
    </row>
    <row r="32240" ht="14.25" customHeight="1" s="192">
      <c r="W32240" s="235" t="n"/>
      <c r="X32240" s="235" t="n"/>
    </row>
    <row r="32241" ht="14.25" customHeight="1" s="192">
      <c r="W32241" s="235" t="n"/>
      <c r="X32241" s="235" t="n"/>
    </row>
    <row r="32242" ht="14.25" customHeight="1" s="192">
      <c r="W32242" s="239" t="n"/>
      <c r="X32242" s="239" t="n"/>
    </row>
    <row r="32243" ht="14.25" customHeight="1" s="192">
      <c r="W32243" s="239" t="n"/>
      <c r="X32243" s="239" t="n"/>
    </row>
    <row r="32244" ht="14.25" customHeight="1" s="192">
      <c r="W32244" s="235" t="n"/>
      <c r="X32244" s="235" t="n"/>
    </row>
    <row r="32245" ht="14.25" customHeight="1" s="192">
      <c r="W32245" s="235" t="n"/>
      <c r="X32245" s="235" t="n"/>
    </row>
    <row r="32246" ht="14.25" customHeight="1" s="192">
      <c r="W32246" s="239" t="n"/>
      <c r="X32246" s="239" t="n"/>
    </row>
    <row r="32247" ht="14.25" customHeight="1" s="192">
      <c r="W32247" s="235" t="n"/>
      <c r="X32247" s="235" t="n"/>
    </row>
    <row r="32248" ht="14.25" customHeight="1" s="192">
      <c r="W32248" s="239" t="n"/>
      <c r="X32248" s="239" t="n"/>
    </row>
    <row r="32250" ht="14.25" customHeight="1" s="192">
      <c r="W32250" s="235" t="n"/>
      <c r="X32250" s="235" t="n"/>
    </row>
    <row r="32251" ht="15" customHeight="1" s="192" thickBot="1">
      <c r="W32251" s="239" t="n"/>
      <c r="X32251" s="239" t="n"/>
    </row>
    <row r="32252" ht="15" customHeight="1" s="192" thickBot="1">
      <c r="W32252" s="45" t="n"/>
      <c r="X32252" s="45" t="n"/>
    </row>
    <row r="32253" ht="14.25" customHeight="1" s="192">
      <c r="W32253" s="228" t="n"/>
      <c r="X32253" s="228" t="n"/>
    </row>
    <row r="32254" ht="14.25" customHeight="1" s="192">
      <c r="W32254" s="228" t="n"/>
      <c r="X32254" s="228" t="n"/>
    </row>
    <row r="32255" ht="14.25" customHeight="1" s="192">
      <c r="W32255" s="231" t="n"/>
      <c r="X32255" s="231" t="n"/>
    </row>
    <row r="32256" ht="14.25" customHeight="1" s="192">
      <c r="W32256" s="33" t="n"/>
      <c r="X32256" s="33" t="n"/>
    </row>
    <row r="32257" ht="14.25" customHeight="1" s="192">
      <c r="W32257" s="231" t="n"/>
      <c r="X32257" s="231" t="n"/>
    </row>
    <row r="32258" ht="14.25" customHeight="1" s="192">
      <c r="W32258" s="33" t="n"/>
      <c r="X32258" s="33" t="n"/>
    </row>
    <row r="32260" ht="14.25" customHeight="1" s="192">
      <c r="W32260" s="231" t="n"/>
      <c r="X32260" s="231" t="n"/>
    </row>
    <row r="32261" ht="14.25" customHeight="1" s="192">
      <c r="W32261" s="235" t="n"/>
      <c r="X32261" s="235" t="n"/>
    </row>
    <row r="32262" ht="14.25" customHeight="1" s="192">
      <c r="W32262" s="228" t="n"/>
      <c r="X32262" s="228" t="n"/>
    </row>
    <row r="32263" ht="14.25" customHeight="1" s="192">
      <c r="W32263" s="235" t="n"/>
      <c r="X32263" s="235" t="n"/>
    </row>
    <row r="32264" ht="14.25" customHeight="1" s="192">
      <c r="W32264" s="235" t="n"/>
      <c r="X32264" s="235" t="n"/>
    </row>
    <row r="32265" ht="14.25" customHeight="1" s="192">
      <c r="W32265" s="235" t="n"/>
      <c r="X32265" s="235" t="n"/>
    </row>
    <row r="32266" ht="14.25" customHeight="1" s="192">
      <c r="W32266" s="239" t="n"/>
      <c r="X32266" s="239" t="n"/>
    </row>
    <row r="32267" ht="14.25" customHeight="1" s="192">
      <c r="W32267" s="239" t="n"/>
      <c r="X32267" s="239" t="n"/>
    </row>
    <row r="32268" ht="14.25" customHeight="1" s="192">
      <c r="W32268" s="239" t="n"/>
      <c r="X32268" s="239" t="n"/>
    </row>
    <row r="32269" ht="14.25" customHeight="1" s="192">
      <c r="W32269" s="235" t="n"/>
      <c r="X32269" s="235" t="n"/>
    </row>
    <row r="32270" ht="14.25" customHeight="1" s="192">
      <c r="W32270" s="235" t="n"/>
      <c r="X32270" s="235" t="n"/>
    </row>
    <row r="32271" ht="14.25" customHeight="1" s="192">
      <c r="W32271" s="235" t="n"/>
      <c r="X32271" s="235" t="n"/>
    </row>
    <row r="32272" ht="14.25" customHeight="1" s="192">
      <c r="W32272" s="239" t="n"/>
      <c r="X32272" s="239" t="n"/>
    </row>
    <row r="32273" ht="14.25" customHeight="1" s="192">
      <c r="W32273" s="239" t="n"/>
      <c r="X32273" s="239" t="n"/>
    </row>
    <row r="32274" ht="14.25" customHeight="1" s="192">
      <c r="W32274" s="235" t="n"/>
      <c r="X32274" s="235" t="n"/>
    </row>
    <row r="32275" ht="14.25" customHeight="1" s="192">
      <c r="W32275" s="235" t="n"/>
      <c r="X32275" s="235" t="n"/>
    </row>
    <row r="32276" ht="14.25" customHeight="1" s="192">
      <c r="W32276" s="239" t="n"/>
      <c r="X32276" s="239" t="n"/>
    </row>
    <row r="32277" ht="14.25" customHeight="1" s="192">
      <c r="W32277" s="235" t="n"/>
      <c r="X32277" s="235" t="n"/>
    </row>
    <row r="32278" ht="14.25" customHeight="1" s="192">
      <c r="W32278" s="239" t="n"/>
      <c r="X32278" s="239" t="n"/>
    </row>
    <row r="32280" ht="14.25" customHeight="1" s="192">
      <c r="W32280" s="235" t="n"/>
      <c r="X32280" s="235" t="n"/>
    </row>
    <row r="32281" ht="15" customHeight="1" s="192" thickBot="1">
      <c r="W32281" s="239" t="n"/>
      <c r="X32281" s="239" t="n"/>
    </row>
    <row r="32282" ht="15" customHeight="1" s="192" thickBot="1">
      <c r="W32282" s="45" t="n"/>
      <c r="X32282" s="45" t="n"/>
    </row>
    <row r="32283" ht="14.25" customHeight="1" s="192">
      <c r="W32283" s="228" t="n"/>
      <c r="X32283" s="228" t="n"/>
    </row>
    <row r="32284" ht="14.25" customHeight="1" s="192">
      <c r="W32284" s="228" t="n"/>
      <c r="X32284" s="228" t="n"/>
    </row>
    <row r="32285" ht="14.25" customHeight="1" s="192">
      <c r="W32285" s="231" t="n"/>
      <c r="X32285" s="231" t="n"/>
    </row>
    <row r="32286" ht="14.25" customHeight="1" s="192">
      <c r="W32286" s="33" t="n"/>
      <c r="X32286" s="33" t="n"/>
    </row>
    <row r="32287" ht="14.25" customHeight="1" s="192">
      <c r="W32287" s="231" t="n"/>
      <c r="X32287" s="231" t="n"/>
    </row>
    <row r="32288" ht="14.25" customHeight="1" s="192">
      <c r="W32288" s="33" t="n"/>
      <c r="X32288" s="33" t="n"/>
    </row>
    <row r="32290" ht="14.25" customHeight="1" s="192">
      <c r="W32290" s="231" t="n"/>
      <c r="X32290" s="231" t="n"/>
    </row>
    <row r="32291" ht="14.25" customHeight="1" s="192">
      <c r="W32291" s="235" t="n"/>
      <c r="X32291" s="235" t="n"/>
    </row>
    <row r="32292" ht="14.25" customHeight="1" s="192">
      <c r="W32292" s="228" t="n"/>
      <c r="X32292" s="228" t="n"/>
    </row>
    <row r="32293" ht="14.25" customHeight="1" s="192">
      <c r="W32293" s="235" t="n"/>
      <c r="X32293" s="235" t="n"/>
    </row>
    <row r="32294" ht="14.25" customHeight="1" s="192">
      <c r="W32294" s="235" t="n"/>
      <c r="X32294" s="235" t="n"/>
    </row>
    <row r="32295" ht="14.25" customHeight="1" s="192">
      <c r="W32295" s="235" t="n"/>
      <c r="X32295" s="235" t="n"/>
    </row>
    <row r="32296" ht="14.25" customHeight="1" s="192">
      <c r="W32296" s="239" t="n"/>
      <c r="X32296" s="239" t="n"/>
    </row>
    <row r="32297" ht="14.25" customHeight="1" s="192">
      <c r="W32297" s="239" t="n"/>
      <c r="X32297" s="239" t="n"/>
    </row>
    <row r="32298" ht="14.25" customHeight="1" s="192">
      <c r="W32298" s="239" t="n"/>
      <c r="X32298" s="239" t="n"/>
    </row>
    <row r="32299" ht="14.25" customHeight="1" s="192">
      <c r="W32299" s="235" t="n"/>
      <c r="X32299" s="235" t="n"/>
    </row>
    <row r="32300" ht="14.25" customHeight="1" s="192">
      <c r="W32300" s="235" t="n"/>
      <c r="X32300" s="235" t="n"/>
    </row>
    <row r="32301" ht="14.25" customHeight="1" s="192">
      <c r="W32301" s="235" t="n"/>
      <c r="X32301" s="235" t="n"/>
    </row>
    <row r="32302" ht="14.25" customHeight="1" s="192">
      <c r="W32302" s="239" t="n"/>
      <c r="X32302" s="239" t="n"/>
    </row>
    <row r="32303" ht="14.25" customHeight="1" s="192">
      <c r="W32303" s="239" t="n"/>
      <c r="X32303" s="239" t="n"/>
    </row>
    <row r="32304" ht="14.25" customHeight="1" s="192">
      <c r="W32304" s="235" t="n"/>
      <c r="X32304" s="235" t="n"/>
    </row>
    <row r="32305" ht="14.25" customHeight="1" s="192">
      <c r="W32305" s="235" t="n"/>
      <c r="X32305" s="235" t="n"/>
    </row>
    <row r="32306" ht="14.25" customHeight="1" s="192">
      <c r="W32306" s="239" t="n"/>
      <c r="X32306" s="239" t="n"/>
    </row>
    <row r="32307" ht="14.25" customHeight="1" s="192">
      <c r="W32307" s="235" t="n"/>
      <c r="X32307" s="235" t="n"/>
    </row>
    <row r="32308" ht="14.25" customHeight="1" s="192">
      <c r="W32308" s="239" t="n"/>
      <c r="X32308" s="239" t="n"/>
    </row>
    <row r="32310" ht="14.25" customHeight="1" s="192">
      <c r="W32310" s="235" t="n"/>
      <c r="X32310" s="235" t="n"/>
    </row>
    <row r="32311" ht="15" customHeight="1" s="192" thickBot="1">
      <c r="W32311" s="239" t="n"/>
      <c r="X32311" s="239" t="n"/>
    </row>
    <row r="32312" ht="15" customHeight="1" s="192" thickBot="1">
      <c r="W32312" s="45" t="n"/>
      <c r="X32312" s="45" t="n"/>
    </row>
    <row r="32313" ht="14.25" customHeight="1" s="192">
      <c r="W32313" s="228" t="n"/>
      <c r="X32313" s="228" t="n"/>
    </row>
    <row r="32314" ht="14.25" customHeight="1" s="192">
      <c r="W32314" s="228" t="n"/>
      <c r="X32314" s="228" t="n"/>
    </row>
    <row r="32315" ht="14.25" customHeight="1" s="192">
      <c r="W32315" s="231" t="n"/>
      <c r="X32315" s="231" t="n"/>
    </row>
    <row r="32316" ht="14.25" customHeight="1" s="192">
      <c r="W32316" s="33" t="n"/>
      <c r="X32316" s="33" t="n"/>
    </row>
    <row r="32317" ht="14.25" customHeight="1" s="192">
      <c r="W32317" s="231" t="n"/>
      <c r="X32317" s="231" t="n"/>
    </row>
    <row r="32318" ht="14.25" customHeight="1" s="192">
      <c r="W32318" s="33" t="n"/>
      <c r="X32318" s="33" t="n"/>
    </row>
    <row r="32320" ht="14.25" customHeight="1" s="192">
      <c r="W32320" s="231" t="n"/>
      <c r="X32320" s="231" t="n"/>
    </row>
    <row r="32321" ht="14.25" customHeight="1" s="192">
      <c r="W32321" s="235" t="n"/>
      <c r="X32321" s="235" t="n"/>
    </row>
    <row r="32322" ht="14.25" customHeight="1" s="192">
      <c r="W32322" s="228" t="n"/>
      <c r="X32322" s="228" t="n"/>
    </row>
    <row r="32323" ht="14.25" customHeight="1" s="192">
      <c r="W32323" s="235" t="n"/>
      <c r="X32323" s="235" t="n"/>
    </row>
    <row r="32324" ht="14.25" customHeight="1" s="192">
      <c r="W32324" s="235" t="n"/>
      <c r="X32324" s="235" t="n"/>
    </row>
    <row r="32325" ht="14.25" customHeight="1" s="192">
      <c r="W32325" s="235" t="n"/>
      <c r="X32325" s="235" t="n"/>
    </row>
    <row r="32326" ht="14.25" customHeight="1" s="192">
      <c r="W32326" s="239" t="n"/>
      <c r="X32326" s="239" t="n"/>
    </row>
    <row r="32327" ht="14.25" customHeight="1" s="192">
      <c r="W32327" s="239" t="n"/>
      <c r="X32327" s="239" t="n"/>
    </row>
    <row r="32328" ht="14.25" customHeight="1" s="192">
      <c r="W32328" s="239" t="n"/>
      <c r="X32328" s="239" t="n"/>
    </row>
    <row r="32329" ht="14.25" customHeight="1" s="192">
      <c r="W32329" s="235" t="n"/>
      <c r="X32329" s="235" t="n"/>
    </row>
    <row r="32330" ht="14.25" customHeight="1" s="192">
      <c r="W32330" s="235" t="n"/>
      <c r="X32330" s="235" t="n"/>
    </row>
    <row r="32331" ht="14.25" customHeight="1" s="192">
      <c r="W32331" s="235" t="n"/>
      <c r="X32331" s="235" t="n"/>
    </row>
    <row r="32332" ht="14.25" customHeight="1" s="192">
      <c r="W32332" s="239" t="n"/>
      <c r="X32332" s="239" t="n"/>
    </row>
    <row r="32333" ht="14.25" customHeight="1" s="192">
      <c r="W32333" s="239" t="n"/>
      <c r="X32333" s="239" t="n"/>
    </row>
    <row r="32334" ht="14.25" customHeight="1" s="192">
      <c r="W32334" s="235" t="n"/>
      <c r="X32334" s="235" t="n"/>
    </row>
    <row r="32335" ht="14.25" customHeight="1" s="192">
      <c r="W32335" s="235" t="n"/>
      <c r="X32335" s="235" t="n"/>
    </row>
    <row r="32336" ht="14.25" customHeight="1" s="192">
      <c r="W32336" s="239" t="n"/>
      <c r="X32336" s="239" t="n"/>
    </row>
    <row r="32337" ht="14.25" customHeight="1" s="192">
      <c r="W32337" s="235" t="n"/>
      <c r="X32337" s="235" t="n"/>
    </row>
    <row r="32338" ht="14.25" customHeight="1" s="192">
      <c r="W32338" s="239" t="n"/>
      <c r="X32338" s="239" t="n"/>
    </row>
    <row r="32340" ht="14.25" customHeight="1" s="192">
      <c r="W32340" s="235" t="n"/>
      <c r="X32340" s="235" t="n"/>
    </row>
    <row r="32341" ht="15" customHeight="1" s="192" thickBot="1">
      <c r="W32341" s="239" t="n"/>
      <c r="X32341" s="239" t="n"/>
    </row>
    <row r="32342" ht="15" customHeight="1" s="192" thickBot="1">
      <c r="W32342" s="45" t="n"/>
      <c r="X32342" s="45" t="n"/>
    </row>
    <row r="32343" ht="14.25" customHeight="1" s="192">
      <c r="W32343" s="228" t="n"/>
      <c r="X32343" s="228" t="n"/>
    </row>
    <row r="32344" ht="14.25" customHeight="1" s="192">
      <c r="W32344" s="228" t="n"/>
      <c r="X32344" s="228" t="n"/>
    </row>
    <row r="32345" ht="14.25" customHeight="1" s="192">
      <c r="W32345" s="231" t="n"/>
      <c r="X32345" s="231" t="n"/>
    </row>
    <row r="32346" ht="14.25" customHeight="1" s="192">
      <c r="W32346" s="33" t="n"/>
      <c r="X32346" s="33" t="n"/>
    </row>
    <row r="32347" ht="14.25" customHeight="1" s="192">
      <c r="W32347" s="231" t="n"/>
      <c r="X32347" s="231" t="n"/>
    </row>
    <row r="32348" ht="14.25" customHeight="1" s="192">
      <c r="W32348" s="33" t="n"/>
      <c r="X32348" s="33" t="n"/>
    </row>
    <row r="32350" ht="14.25" customHeight="1" s="192">
      <c r="W32350" s="231" t="n"/>
      <c r="X32350" s="231" t="n"/>
    </row>
    <row r="32351" ht="14.25" customHeight="1" s="192">
      <c r="W32351" s="235" t="n"/>
      <c r="X32351" s="235" t="n"/>
    </row>
    <row r="32352" ht="14.25" customHeight="1" s="192">
      <c r="W32352" s="228" t="n"/>
      <c r="X32352" s="228" t="n"/>
    </row>
    <row r="32353" ht="14.25" customHeight="1" s="192">
      <c r="W32353" s="235" t="n"/>
      <c r="X32353" s="235" t="n"/>
    </row>
    <row r="32354" ht="14.25" customHeight="1" s="192">
      <c r="W32354" s="235" t="n"/>
      <c r="X32354" s="235" t="n"/>
    </row>
    <row r="32355" ht="14.25" customHeight="1" s="192">
      <c r="W32355" s="235" t="n"/>
      <c r="X32355" s="235" t="n"/>
    </row>
    <row r="32356" ht="14.25" customHeight="1" s="192">
      <c r="W32356" s="239" t="n"/>
      <c r="X32356" s="239" t="n"/>
    </row>
    <row r="32357" ht="14.25" customHeight="1" s="192">
      <c r="W32357" s="239" t="n"/>
      <c r="X32357" s="239" t="n"/>
    </row>
    <row r="32358" ht="14.25" customHeight="1" s="192">
      <c r="W32358" s="239" t="n"/>
      <c r="X32358" s="239" t="n"/>
    </row>
    <row r="32359" ht="14.25" customHeight="1" s="192">
      <c r="W32359" s="235" t="n"/>
      <c r="X32359" s="235" t="n"/>
    </row>
    <row r="32360" ht="14.25" customHeight="1" s="192">
      <c r="W32360" s="235" t="n"/>
      <c r="X32360" s="235" t="n"/>
    </row>
    <row r="32361" ht="14.25" customHeight="1" s="192">
      <c r="W32361" s="235" t="n"/>
      <c r="X32361" s="235" t="n"/>
    </row>
    <row r="32362" ht="14.25" customHeight="1" s="192">
      <c r="W32362" s="239" t="n"/>
      <c r="X32362" s="239" t="n"/>
    </row>
    <row r="32363" ht="14.25" customHeight="1" s="192">
      <c r="W32363" s="239" t="n"/>
      <c r="X32363" s="239" t="n"/>
    </row>
    <row r="32364" ht="14.25" customHeight="1" s="192">
      <c r="W32364" s="235" t="n"/>
      <c r="X32364" s="235" t="n"/>
    </row>
    <row r="32365" ht="14.25" customHeight="1" s="192">
      <c r="W32365" s="235" t="n"/>
      <c r="X32365" s="235" t="n"/>
    </row>
    <row r="32366" ht="14.25" customHeight="1" s="192">
      <c r="W32366" s="239" t="n"/>
      <c r="X32366" s="239" t="n"/>
    </row>
    <row r="32367" ht="14.25" customHeight="1" s="192">
      <c r="W32367" s="235" t="n"/>
      <c r="X32367" s="235" t="n"/>
    </row>
    <row r="32368" ht="14.25" customHeight="1" s="192">
      <c r="W32368" s="239" t="n"/>
      <c r="X32368" s="239" t="n"/>
    </row>
    <row r="32370" ht="14.25" customHeight="1" s="192">
      <c r="W32370" s="235" t="n"/>
      <c r="X32370" s="235" t="n"/>
    </row>
    <row r="32371" ht="15" customHeight="1" s="192" thickBot="1">
      <c r="W32371" s="239" t="n"/>
      <c r="X32371" s="239" t="n"/>
    </row>
    <row r="32372" ht="15" customHeight="1" s="192" thickBot="1">
      <c r="W32372" s="45" t="n"/>
      <c r="X32372" s="45" t="n"/>
    </row>
    <row r="32373" ht="14.25" customHeight="1" s="192">
      <c r="W32373" s="228" t="n"/>
      <c r="X32373" s="228" t="n"/>
    </row>
    <row r="32374" ht="14.25" customHeight="1" s="192">
      <c r="W32374" s="228" t="n"/>
      <c r="X32374" s="228" t="n"/>
    </row>
    <row r="32375" ht="14.25" customHeight="1" s="192">
      <c r="W32375" s="231" t="n"/>
      <c r="X32375" s="231" t="n"/>
    </row>
    <row r="32376" ht="14.25" customHeight="1" s="192">
      <c r="W32376" s="33" t="n"/>
      <c r="X32376" s="33" t="n"/>
    </row>
    <row r="32377" ht="14.25" customHeight="1" s="192">
      <c r="W32377" s="231" t="n"/>
      <c r="X32377" s="231" t="n"/>
    </row>
    <row r="32378" ht="14.25" customHeight="1" s="192">
      <c r="W32378" s="33" t="n"/>
      <c r="X32378" s="33" t="n"/>
    </row>
    <row r="32380" ht="14.25" customHeight="1" s="192">
      <c r="W32380" s="231" t="n"/>
      <c r="X32380" s="231" t="n"/>
    </row>
    <row r="32381" ht="14.25" customHeight="1" s="192">
      <c r="W32381" s="235" t="n"/>
      <c r="X32381" s="235" t="n"/>
    </row>
    <row r="32382" ht="14.25" customHeight="1" s="192">
      <c r="W32382" s="228" t="n"/>
      <c r="X32382" s="228" t="n"/>
    </row>
    <row r="32383" ht="14.25" customHeight="1" s="192">
      <c r="W32383" s="235" t="n"/>
      <c r="X32383" s="235" t="n"/>
    </row>
    <row r="32384" ht="14.25" customHeight="1" s="192">
      <c r="W32384" s="235" t="n"/>
      <c r="X32384" s="235" t="n"/>
    </row>
    <row r="32385" ht="14.25" customHeight="1" s="192">
      <c r="W32385" s="235" t="n"/>
      <c r="X32385" s="235" t="n"/>
    </row>
    <row r="32386" ht="14.25" customHeight="1" s="192">
      <c r="W32386" s="239" t="n"/>
      <c r="X32386" s="239" t="n"/>
    </row>
    <row r="32387" ht="14.25" customHeight="1" s="192">
      <c r="W32387" s="239" t="n"/>
      <c r="X32387" s="239" t="n"/>
    </row>
    <row r="32388" ht="14.25" customHeight="1" s="192">
      <c r="W32388" s="239" t="n"/>
      <c r="X32388" s="239" t="n"/>
    </row>
    <row r="32389" ht="14.25" customHeight="1" s="192">
      <c r="W32389" s="235" t="n"/>
      <c r="X32389" s="235" t="n"/>
    </row>
    <row r="32390" ht="14.25" customHeight="1" s="192">
      <c r="W32390" s="235" t="n"/>
      <c r="X32390" s="235" t="n"/>
    </row>
    <row r="32391" ht="14.25" customHeight="1" s="192">
      <c r="W32391" s="235" t="n"/>
      <c r="X32391" s="235" t="n"/>
    </row>
    <row r="32392" ht="14.25" customHeight="1" s="192">
      <c r="W32392" s="239" t="n"/>
      <c r="X32392" s="239" t="n"/>
    </row>
    <row r="32393" ht="14.25" customHeight="1" s="192">
      <c r="W32393" s="239" t="n"/>
      <c r="X32393" s="239" t="n"/>
    </row>
    <row r="32394" ht="14.25" customHeight="1" s="192">
      <c r="W32394" s="235" t="n"/>
      <c r="X32394" s="235" t="n"/>
    </row>
    <row r="32395" ht="14.25" customHeight="1" s="192">
      <c r="W32395" s="235" t="n"/>
      <c r="X32395" s="235" t="n"/>
    </row>
    <row r="32396" ht="14.25" customHeight="1" s="192">
      <c r="W32396" s="239" t="n"/>
      <c r="X32396" s="239" t="n"/>
    </row>
    <row r="32397" ht="14.25" customHeight="1" s="192">
      <c r="W32397" s="235" t="n"/>
      <c r="X32397" s="235" t="n"/>
    </row>
    <row r="32398" ht="14.25" customHeight="1" s="192">
      <c r="W32398" s="239" t="n"/>
      <c r="X32398" s="239" t="n"/>
    </row>
    <row r="32400" ht="14.25" customHeight="1" s="192">
      <c r="W32400" s="235" t="n"/>
      <c r="X32400" s="235" t="n"/>
    </row>
    <row r="32401" ht="15" customHeight="1" s="192" thickBot="1">
      <c r="W32401" s="239" t="n"/>
      <c r="X32401" s="239" t="n"/>
    </row>
    <row r="32402" ht="15" customHeight="1" s="192" thickBot="1">
      <c r="W32402" s="45" t="n"/>
      <c r="X32402" s="45" t="n"/>
    </row>
    <row r="32403" ht="14.25" customHeight="1" s="192">
      <c r="W32403" s="228" t="n"/>
      <c r="X32403" s="228" t="n"/>
    </row>
    <row r="32404" ht="14.25" customHeight="1" s="192">
      <c r="W32404" s="228" t="n"/>
      <c r="X32404" s="228" t="n"/>
    </row>
    <row r="32405" ht="14.25" customHeight="1" s="192">
      <c r="W32405" s="231" t="n"/>
      <c r="X32405" s="231" t="n"/>
    </row>
    <row r="32406" ht="14.25" customHeight="1" s="192">
      <c r="W32406" s="33" t="n"/>
      <c r="X32406" s="33" t="n"/>
    </row>
    <row r="32407" ht="14.25" customHeight="1" s="192">
      <c r="W32407" s="231" t="n"/>
      <c r="X32407" s="231" t="n"/>
    </row>
    <row r="32408" ht="14.25" customHeight="1" s="192">
      <c r="W32408" s="33" t="n"/>
      <c r="X32408" s="33" t="n"/>
    </row>
    <row r="32410" ht="14.25" customHeight="1" s="192">
      <c r="W32410" s="231" t="n"/>
      <c r="X32410" s="231" t="n"/>
    </row>
    <row r="32411" ht="14.25" customHeight="1" s="192">
      <c r="W32411" s="235" t="n"/>
      <c r="X32411" s="235" t="n"/>
    </row>
    <row r="32412" ht="14.25" customHeight="1" s="192">
      <c r="W32412" s="228" t="n"/>
      <c r="X32412" s="228" t="n"/>
    </row>
    <row r="32413" ht="14.25" customHeight="1" s="192">
      <c r="W32413" s="235" t="n"/>
      <c r="X32413" s="235" t="n"/>
    </row>
    <row r="32414" ht="14.25" customHeight="1" s="192">
      <c r="W32414" s="235" t="n"/>
      <c r="X32414" s="235" t="n"/>
    </row>
    <row r="32415" ht="14.25" customHeight="1" s="192">
      <c r="W32415" s="235" t="n"/>
      <c r="X32415" s="235" t="n"/>
    </row>
    <row r="32416" ht="14.25" customHeight="1" s="192">
      <c r="W32416" s="239" t="n"/>
      <c r="X32416" s="239" t="n"/>
    </row>
    <row r="32417" ht="14.25" customHeight="1" s="192">
      <c r="W32417" s="239" t="n"/>
      <c r="X32417" s="239" t="n"/>
    </row>
    <row r="32418" ht="14.25" customHeight="1" s="192">
      <c r="W32418" s="239" t="n"/>
      <c r="X32418" s="239" t="n"/>
    </row>
    <row r="32419" ht="14.25" customHeight="1" s="192">
      <c r="W32419" s="235" t="n"/>
      <c r="X32419" s="235" t="n"/>
    </row>
    <row r="32420" ht="14.25" customHeight="1" s="192">
      <c r="W32420" s="235" t="n"/>
      <c r="X32420" s="235" t="n"/>
    </row>
    <row r="32421" ht="14.25" customHeight="1" s="192">
      <c r="W32421" s="235" t="n"/>
      <c r="X32421" s="235" t="n"/>
    </row>
    <row r="32422" ht="14.25" customHeight="1" s="192">
      <c r="W32422" s="239" t="n"/>
      <c r="X32422" s="239" t="n"/>
    </row>
    <row r="32423" ht="14.25" customHeight="1" s="192">
      <c r="W32423" s="239" t="n"/>
      <c r="X32423" s="239" t="n"/>
    </row>
    <row r="32424" ht="14.25" customHeight="1" s="192">
      <c r="W32424" s="235" t="n"/>
      <c r="X32424" s="235" t="n"/>
    </row>
    <row r="32425" ht="14.25" customHeight="1" s="192">
      <c r="W32425" s="235" t="n"/>
      <c r="X32425" s="235" t="n"/>
    </row>
    <row r="32426" ht="14.25" customHeight="1" s="192">
      <c r="W32426" s="239" t="n"/>
      <c r="X32426" s="239" t="n"/>
    </row>
    <row r="32427" ht="14.25" customHeight="1" s="192">
      <c r="W32427" s="235" t="n"/>
      <c r="X32427" s="235" t="n"/>
    </row>
    <row r="32428" ht="14.25" customHeight="1" s="192">
      <c r="W32428" s="239" t="n"/>
      <c r="X32428" s="239" t="n"/>
    </row>
    <row r="32430" ht="14.25" customHeight="1" s="192">
      <c r="W32430" s="235" t="n"/>
      <c r="X32430" s="235" t="n"/>
    </row>
    <row r="32431" ht="15" customHeight="1" s="192" thickBot="1">
      <c r="W32431" s="239" t="n"/>
      <c r="X32431" s="239" t="n"/>
    </row>
    <row r="32432" ht="15" customHeight="1" s="192" thickBot="1">
      <c r="W32432" s="45" t="n"/>
      <c r="X32432" s="45" t="n"/>
    </row>
    <row r="32433" ht="14.25" customHeight="1" s="192">
      <c r="W32433" s="228" t="n"/>
      <c r="X32433" s="228" t="n"/>
    </row>
    <row r="32434" ht="14.25" customHeight="1" s="192">
      <c r="W32434" s="228" t="n"/>
      <c r="X32434" s="228" t="n"/>
    </row>
    <row r="32435" ht="14.25" customHeight="1" s="192">
      <c r="W32435" s="231" t="n"/>
      <c r="X32435" s="231" t="n"/>
    </row>
    <row r="32436" ht="14.25" customHeight="1" s="192">
      <c r="W32436" s="33" t="n"/>
      <c r="X32436" s="33" t="n"/>
    </row>
    <row r="32437" ht="14.25" customHeight="1" s="192">
      <c r="W32437" s="231" t="n"/>
      <c r="X32437" s="231" t="n"/>
    </row>
    <row r="32438" ht="14.25" customHeight="1" s="192">
      <c r="W32438" s="33" t="n"/>
      <c r="X32438" s="33" t="n"/>
    </row>
    <row r="32440" ht="14.25" customHeight="1" s="192">
      <c r="W32440" s="231" t="n"/>
      <c r="X32440" s="231" t="n"/>
    </row>
    <row r="32441" ht="14.25" customHeight="1" s="192">
      <c r="W32441" s="235" t="n"/>
      <c r="X32441" s="235" t="n"/>
    </row>
    <row r="32442" ht="14.25" customHeight="1" s="192">
      <c r="W32442" s="228" t="n"/>
      <c r="X32442" s="228" t="n"/>
    </row>
    <row r="32443" ht="14.25" customHeight="1" s="192">
      <c r="W32443" s="235" t="n"/>
      <c r="X32443" s="235" t="n"/>
    </row>
    <row r="32444" ht="14.25" customHeight="1" s="192">
      <c r="W32444" s="235" t="n"/>
      <c r="X32444" s="235" t="n"/>
    </row>
    <row r="32445" ht="14.25" customHeight="1" s="192">
      <c r="W32445" s="235" t="n"/>
      <c r="X32445" s="235" t="n"/>
    </row>
    <row r="32446" ht="14.25" customHeight="1" s="192">
      <c r="W32446" s="239" t="n"/>
      <c r="X32446" s="239" t="n"/>
    </row>
    <row r="32447" ht="14.25" customHeight="1" s="192">
      <c r="W32447" s="239" t="n"/>
      <c r="X32447" s="239" t="n"/>
    </row>
    <row r="32448" ht="14.25" customHeight="1" s="192">
      <c r="W32448" s="239" t="n"/>
      <c r="X32448" s="239" t="n"/>
    </row>
    <row r="32449" ht="14.25" customHeight="1" s="192">
      <c r="W32449" s="235" t="n"/>
      <c r="X32449" s="235" t="n"/>
    </row>
    <row r="32450" ht="14.25" customHeight="1" s="192">
      <c r="W32450" s="235" t="n"/>
      <c r="X32450" s="235" t="n"/>
    </row>
    <row r="32451" ht="14.25" customHeight="1" s="192">
      <c r="W32451" s="235" t="n"/>
      <c r="X32451" s="235" t="n"/>
    </row>
    <row r="32452" ht="14.25" customHeight="1" s="192">
      <c r="W32452" s="239" t="n"/>
      <c r="X32452" s="239" t="n"/>
    </row>
    <row r="32453" ht="14.25" customHeight="1" s="192">
      <c r="W32453" s="239" t="n"/>
      <c r="X32453" s="239" t="n"/>
    </row>
    <row r="32454" ht="14.25" customHeight="1" s="192">
      <c r="W32454" s="235" t="n"/>
      <c r="X32454" s="235" t="n"/>
    </row>
    <row r="32455" ht="14.25" customHeight="1" s="192">
      <c r="W32455" s="235" t="n"/>
      <c r="X32455" s="235" t="n"/>
    </row>
    <row r="32456" ht="14.25" customHeight="1" s="192">
      <c r="W32456" s="239" t="n"/>
      <c r="X32456" s="239" t="n"/>
    </row>
    <row r="32457" ht="14.25" customHeight="1" s="192">
      <c r="W32457" s="235" t="n"/>
      <c r="X32457" s="235" t="n"/>
    </row>
    <row r="32458" ht="14.25" customHeight="1" s="192">
      <c r="W32458" s="239" t="n"/>
      <c r="X32458" s="239" t="n"/>
    </row>
    <row r="32460" ht="14.25" customHeight="1" s="192">
      <c r="W32460" s="235" t="n"/>
      <c r="X32460" s="235" t="n"/>
    </row>
    <row r="32461" ht="15" customHeight="1" s="192" thickBot="1">
      <c r="W32461" s="239" t="n"/>
      <c r="X32461" s="239" t="n"/>
    </row>
    <row r="32462" ht="15" customHeight="1" s="192" thickBot="1">
      <c r="W32462" s="45" t="n"/>
      <c r="X32462" s="45" t="n"/>
    </row>
    <row r="32463" ht="14.25" customHeight="1" s="192">
      <c r="W32463" s="228" t="n"/>
      <c r="X32463" s="228" t="n"/>
    </row>
    <row r="32464" ht="14.25" customHeight="1" s="192">
      <c r="W32464" s="228" t="n"/>
      <c r="X32464" s="228" t="n"/>
    </row>
    <row r="32465" ht="14.25" customHeight="1" s="192">
      <c r="W32465" s="231" t="n"/>
      <c r="X32465" s="231" t="n"/>
    </row>
    <row r="32466" ht="14.25" customHeight="1" s="192">
      <c r="W32466" s="33" t="n"/>
      <c r="X32466" s="33" t="n"/>
    </row>
    <row r="32467" ht="14.25" customHeight="1" s="192">
      <c r="W32467" s="231" t="n"/>
      <c r="X32467" s="231" t="n"/>
    </row>
    <row r="32468" ht="14.25" customHeight="1" s="192">
      <c r="W32468" s="33" t="n"/>
      <c r="X32468" s="33" t="n"/>
    </row>
    <row r="32470" ht="14.25" customHeight="1" s="192">
      <c r="W32470" s="231" t="n"/>
      <c r="X32470" s="231" t="n"/>
    </row>
    <row r="32471" ht="14.25" customHeight="1" s="192">
      <c r="W32471" s="235" t="n"/>
      <c r="X32471" s="235" t="n"/>
    </row>
    <row r="32472" ht="14.25" customHeight="1" s="192">
      <c r="W32472" s="228" t="n"/>
      <c r="X32472" s="228" t="n"/>
    </row>
    <row r="32473" ht="14.25" customHeight="1" s="192">
      <c r="W32473" s="235" t="n"/>
      <c r="X32473" s="235" t="n"/>
    </row>
    <row r="32474" ht="14.25" customHeight="1" s="192">
      <c r="W32474" s="235" t="n"/>
      <c r="X32474" s="235" t="n"/>
    </row>
    <row r="32475" ht="14.25" customHeight="1" s="192">
      <c r="W32475" s="235" t="n"/>
      <c r="X32475" s="235" t="n"/>
    </row>
    <row r="32476" ht="14.25" customHeight="1" s="192">
      <c r="W32476" s="239" t="n"/>
      <c r="X32476" s="239" t="n"/>
    </row>
    <row r="32477" ht="14.25" customHeight="1" s="192">
      <c r="W32477" s="239" t="n"/>
      <c r="X32477" s="239" t="n"/>
    </row>
    <row r="32478" ht="14.25" customHeight="1" s="192">
      <c r="W32478" s="239" t="n"/>
      <c r="X32478" s="239" t="n"/>
    </row>
    <row r="32479" ht="14.25" customHeight="1" s="192">
      <c r="W32479" s="235" t="n"/>
      <c r="X32479" s="235" t="n"/>
    </row>
    <row r="32480" ht="14.25" customHeight="1" s="192">
      <c r="W32480" s="235" t="n"/>
      <c r="X32480" s="235" t="n"/>
    </row>
    <row r="32481" ht="14.25" customHeight="1" s="192">
      <c r="W32481" s="235" t="n"/>
      <c r="X32481" s="235" t="n"/>
    </row>
    <row r="32482" ht="14.25" customHeight="1" s="192">
      <c r="W32482" s="239" t="n"/>
      <c r="X32482" s="239" t="n"/>
    </row>
    <row r="32483" ht="14.25" customHeight="1" s="192">
      <c r="W32483" s="239" t="n"/>
      <c r="X32483" s="239" t="n"/>
    </row>
    <row r="32484" ht="14.25" customHeight="1" s="192">
      <c r="W32484" s="235" t="n"/>
      <c r="X32484" s="235" t="n"/>
    </row>
    <row r="32485" ht="14.25" customHeight="1" s="192">
      <c r="W32485" s="235" t="n"/>
      <c r="X32485" s="235" t="n"/>
    </row>
    <row r="32486" ht="14.25" customHeight="1" s="192">
      <c r="W32486" s="239" t="n"/>
      <c r="X32486" s="239" t="n"/>
    </row>
    <row r="32487" ht="14.25" customHeight="1" s="192">
      <c r="W32487" s="235" t="n"/>
      <c r="X32487" s="235" t="n"/>
    </row>
    <row r="32488" ht="14.25" customHeight="1" s="192">
      <c r="W32488" s="239" t="n"/>
      <c r="X32488" s="239" t="n"/>
    </row>
    <row r="32490" ht="14.25" customHeight="1" s="192">
      <c r="W32490" s="235" t="n"/>
      <c r="X32490" s="235" t="n"/>
    </row>
    <row r="32491" ht="15" customHeight="1" s="192" thickBot="1">
      <c r="W32491" s="239" t="n"/>
      <c r="X32491" s="239" t="n"/>
    </row>
    <row r="32492" ht="15" customHeight="1" s="192" thickBot="1">
      <c r="W32492" s="45" t="n"/>
      <c r="X32492" s="45" t="n"/>
    </row>
    <row r="32493" ht="14.25" customHeight="1" s="192">
      <c r="W32493" s="228" t="n"/>
      <c r="X32493" s="228" t="n"/>
    </row>
    <row r="32494" ht="14.25" customHeight="1" s="192">
      <c r="W32494" s="228" t="n"/>
      <c r="X32494" s="228" t="n"/>
    </row>
    <row r="32495" ht="14.25" customHeight="1" s="192">
      <c r="W32495" s="231" t="n"/>
      <c r="X32495" s="231" t="n"/>
    </row>
    <row r="32496" ht="14.25" customHeight="1" s="192">
      <c r="W32496" s="33" t="n"/>
      <c r="X32496" s="33" t="n"/>
    </row>
    <row r="32497" ht="14.25" customHeight="1" s="192">
      <c r="W32497" s="231" t="n"/>
      <c r="X32497" s="231" t="n"/>
    </row>
    <row r="32498" ht="14.25" customHeight="1" s="192">
      <c r="W32498" s="33" t="n"/>
      <c r="X32498" s="33" t="n"/>
    </row>
    <row r="32500" ht="14.25" customHeight="1" s="192">
      <c r="W32500" s="231" t="n"/>
      <c r="X32500" s="231" t="n"/>
    </row>
    <row r="32501" ht="14.25" customHeight="1" s="192">
      <c r="W32501" s="235" t="n"/>
      <c r="X32501" s="235" t="n"/>
    </row>
    <row r="32502" ht="14.25" customHeight="1" s="192">
      <c r="W32502" s="228" t="n"/>
      <c r="X32502" s="228" t="n"/>
    </row>
    <row r="32503" ht="14.25" customHeight="1" s="192">
      <c r="W32503" s="235" t="n"/>
      <c r="X32503" s="235" t="n"/>
    </row>
    <row r="32504" ht="14.25" customHeight="1" s="192">
      <c r="W32504" s="235" t="n"/>
      <c r="X32504" s="235" t="n"/>
    </row>
    <row r="32505" ht="14.25" customHeight="1" s="192">
      <c r="W32505" s="235" t="n"/>
      <c r="X32505" s="235" t="n"/>
    </row>
    <row r="32506" ht="14.25" customHeight="1" s="192">
      <c r="W32506" s="239" t="n"/>
      <c r="X32506" s="239" t="n"/>
    </row>
    <row r="32507" ht="14.25" customHeight="1" s="192">
      <c r="W32507" s="239" t="n"/>
      <c r="X32507" s="239" t="n"/>
    </row>
    <row r="32508" ht="14.25" customHeight="1" s="192">
      <c r="W32508" s="239" t="n"/>
      <c r="X32508" s="239" t="n"/>
    </row>
    <row r="32509" ht="14.25" customHeight="1" s="192">
      <c r="W32509" s="235" t="n"/>
      <c r="X32509" s="235" t="n"/>
    </row>
    <row r="32510" ht="14.25" customHeight="1" s="192">
      <c r="W32510" s="235" t="n"/>
      <c r="X32510" s="235" t="n"/>
    </row>
    <row r="32511" ht="14.25" customHeight="1" s="192">
      <c r="W32511" s="235" t="n"/>
      <c r="X32511" s="235" t="n"/>
    </row>
    <row r="32512" ht="14.25" customHeight="1" s="192">
      <c r="W32512" s="239" t="n"/>
      <c r="X32512" s="239" t="n"/>
    </row>
    <row r="32513" ht="14.25" customHeight="1" s="192">
      <c r="W32513" s="239" t="n"/>
      <c r="X32513" s="239" t="n"/>
    </row>
    <row r="32514" ht="14.25" customHeight="1" s="192">
      <c r="W32514" s="235" t="n"/>
      <c r="X32514" s="235" t="n"/>
    </row>
    <row r="32515" ht="14.25" customHeight="1" s="192">
      <c r="W32515" s="235" t="n"/>
      <c r="X32515" s="235" t="n"/>
    </row>
    <row r="32516" ht="14.25" customHeight="1" s="192">
      <c r="W32516" s="239" t="n"/>
      <c r="X32516" s="239" t="n"/>
    </row>
    <row r="32517" ht="14.25" customHeight="1" s="192">
      <c r="W32517" s="235" t="n"/>
      <c r="X32517" s="235" t="n"/>
    </row>
    <row r="32518" ht="14.25" customHeight="1" s="192">
      <c r="W32518" s="239" t="n"/>
      <c r="X32518" s="239" t="n"/>
    </row>
    <row r="32520" ht="14.25" customHeight="1" s="192">
      <c r="W32520" s="235" t="n"/>
      <c r="X32520" s="235" t="n"/>
    </row>
    <row r="32521" ht="15" customHeight="1" s="192" thickBot="1">
      <c r="W32521" s="239" t="n"/>
      <c r="X32521" s="239" t="n"/>
    </row>
    <row r="32522" ht="15" customHeight="1" s="192" thickBot="1">
      <c r="W32522" s="45" t="n"/>
      <c r="X32522" s="45" t="n"/>
    </row>
    <row r="32523" ht="14.25" customHeight="1" s="192">
      <c r="W32523" s="228" t="n"/>
      <c r="X32523" s="228" t="n"/>
    </row>
    <row r="32524" ht="14.25" customHeight="1" s="192">
      <c r="W32524" s="228" t="n"/>
      <c r="X32524" s="228" t="n"/>
    </row>
    <row r="32525" ht="14.25" customHeight="1" s="192">
      <c r="W32525" s="231" t="n"/>
      <c r="X32525" s="231" t="n"/>
    </row>
    <row r="32526" ht="14.25" customHeight="1" s="192">
      <c r="W32526" s="33" t="n"/>
      <c r="X32526" s="33" t="n"/>
    </row>
    <row r="32527" ht="14.25" customHeight="1" s="192">
      <c r="W32527" s="231" t="n"/>
      <c r="X32527" s="231" t="n"/>
    </row>
    <row r="32528" ht="14.25" customHeight="1" s="192">
      <c r="W32528" s="33" t="n"/>
      <c r="X32528" s="33" t="n"/>
    </row>
    <row r="32530" ht="14.25" customHeight="1" s="192">
      <c r="W32530" s="231" t="n"/>
      <c r="X32530" s="231" t="n"/>
    </row>
    <row r="32531" ht="14.25" customHeight="1" s="192">
      <c r="W32531" s="235" t="n"/>
      <c r="X32531" s="235" t="n"/>
    </row>
    <row r="32532" ht="14.25" customHeight="1" s="192">
      <c r="W32532" s="228" t="n"/>
      <c r="X32532" s="228" t="n"/>
    </row>
    <row r="32533" ht="14.25" customHeight="1" s="192">
      <c r="W32533" s="235" t="n"/>
      <c r="X32533" s="235" t="n"/>
    </row>
    <row r="32534" ht="14.25" customHeight="1" s="192">
      <c r="W32534" s="235" t="n"/>
      <c r="X32534" s="235" t="n"/>
    </row>
    <row r="32535" ht="14.25" customHeight="1" s="192">
      <c r="W32535" s="235" t="n"/>
      <c r="X32535" s="235" t="n"/>
    </row>
    <row r="32536" ht="14.25" customHeight="1" s="192">
      <c r="W32536" s="239" t="n"/>
      <c r="X32536" s="239" t="n"/>
    </row>
    <row r="32537" ht="14.25" customHeight="1" s="192">
      <c r="W32537" s="239" t="n"/>
      <c r="X32537" s="239" t="n"/>
    </row>
    <row r="32538" ht="14.25" customHeight="1" s="192">
      <c r="W32538" s="239" t="n"/>
      <c r="X32538" s="239" t="n"/>
    </row>
    <row r="32539" ht="14.25" customHeight="1" s="192">
      <c r="W32539" s="235" t="n"/>
      <c r="X32539" s="235" t="n"/>
    </row>
    <row r="32540" ht="14.25" customHeight="1" s="192">
      <c r="W32540" s="235" t="n"/>
      <c r="X32540" s="235" t="n"/>
    </row>
    <row r="32541" ht="14.25" customHeight="1" s="192">
      <c r="W32541" s="235" t="n"/>
      <c r="X32541" s="235" t="n"/>
    </row>
    <row r="32542" ht="14.25" customHeight="1" s="192">
      <c r="W32542" s="239" t="n"/>
      <c r="X32542" s="239" t="n"/>
    </row>
    <row r="32543" ht="14.25" customHeight="1" s="192">
      <c r="W32543" s="239" t="n"/>
      <c r="X32543" s="239" t="n"/>
    </row>
    <row r="32544" ht="14.25" customHeight="1" s="192">
      <c r="W32544" s="235" t="n"/>
      <c r="X32544" s="235" t="n"/>
    </row>
    <row r="32545" ht="14.25" customHeight="1" s="192">
      <c r="W32545" s="235" t="n"/>
      <c r="X32545" s="235" t="n"/>
    </row>
    <row r="32546" ht="14.25" customHeight="1" s="192">
      <c r="W32546" s="239" t="n"/>
      <c r="X32546" s="239" t="n"/>
    </row>
    <row r="32547" ht="14.25" customHeight="1" s="192">
      <c r="W32547" s="235" t="n"/>
      <c r="X32547" s="235" t="n"/>
    </row>
    <row r="32548" ht="14.25" customHeight="1" s="192">
      <c r="W32548" s="239" t="n"/>
      <c r="X32548" s="239" t="n"/>
    </row>
    <row r="32550" ht="14.25" customHeight="1" s="192">
      <c r="W32550" s="235" t="n"/>
      <c r="X32550" s="235" t="n"/>
    </row>
    <row r="32551" ht="15" customHeight="1" s="192" thickBot="1">
      <c r="W32551" s="239" t="n"/>
      <c r="X32551" s="239" t="n"/>
    </row>
    <row r="32552" ht="15" customHeight="1" s="192" thickBot="1">
      <c r="W32552" s="45" t="n"/>
      <c r="X32552" s="45" t="n"/>
    </row>
    <row r="32553" ht="14.25" customHeight="1" s="192">
      <c r="W32553" s="228" t="n"/>
      <c r="X32553" s="228" t="n"/>
    </row>
    <row r="32554" ht="14.25" customHeight="1" s="192">
      <c r="W32554" s="228" t="n"/>
      <c r="X32554" s="228" t="n"/>
    </row>
    <row r="32555" ht="14.25" customHeight="1" s="192">
      <c r="W32555" s="231" t="n"/>
      <c r="X32555" s="231" t="n"/>
    </row>
    <row r="32556" ht="14.25" customHeight="1" s="192">
      <c r="W32556" s="33" t="n"/>
      <c r="X32556" s="33" t="n"/>
    </row>
    <row r="32557" ht="14.25" customHeight="1" s="192">
      <c r="W32557" s="231" t="n"/>
      <c r="X32557" s="231" t="n"/>
    </row>
    <row r="32558" ht="14.25" customHeight="1" s="192">
      <c r="W32558" s="33" t="n"/>
      <c r="X32558" s="33" t="n"/>
    </row>
    <row r="32560" ht="14.25" customHeight="1" s="192">
      <c r="W32560" s="231" t="n"/>
      <c r="X32560" s="231" t="n"/>
    </row>
    <row r="32561" ht="14.25" customHeight="1" s="192">
      <c r="W32561" s="235" t="n"/>
      <c r="X32561" s="235" t="n"/>
    </row>
    <row r="32562" ht="14.25" customHeight="1" s="192">
      <c r="W32562" s="228" t="n"/>
      <c r="X32562" s="228" t="n"/>
    </row>
    <row r="32563" ht="14.25" customHeight="1" s="192">
      <c r="W32563" s="235" t="n"/>
      <c r="X32563" s="235" t="n"/>
    </row>
    <row r="32564" ht="14.25" customHeight="1" s="192">
      <c r="W32564" s="235" t="n"/>
      <c r="X32564" s="235" t="n"/>
    </row>
    <row r="32565" ht="14.25" customHeight="1" s="192">
      <c r="W32565" s="235" t="n"/>
      <c r="X32565" s="235" t="n"/>
    </row>
    <row r="32566" ht="14.25" customHeight="1" s="192">
      <c r="W32566" s="239" t="n"/>
      <c r="X32566" s="239" t="n"/>
    </row>
    <row r="32567" ht="14.25" customHeight="1" s="192">
      <c r="W32567" s="239" t="n"/>
      <c r="X32567" s="239" t="n"/>
    </row>
    <row r="32568" ht="14.25" customHeight="1" s="192">
      <c r="W32568" s="239" t="n"/>
      <c r="X32568" s="239" t="n"/>
    </row>
    <row r="32569" ht="14.25" customHeight="1" s="192">
      <c r="W32569" s="235" t="n"/>
      <c r="X32569" s="235" t="n"/>
    </row>
    <row r="32570" ht="14.25" customHeight="1" s="192">
      <c r="W32570" s="235" t="n"/>
      <c r="X32570" s="235" t="n"/>
    </row>
    <row r="32571" ht="14.25" customHeight="1" s="192">
      <c r="W32571" s="235" t="n"/>
      <c r="X32571" s="235" t="n"/>
    </row>
    <row r="32572" ht="14.25" customHeight="1" s="192">
      <c r="W32572" s="239" t="n"/>
      <c r="X32572" s="239" t="n"/>
    </row>
    <row r="32573" ht="14.25" customHeight="1" s="192">
      <c r="W32573" s="239" t="n"/>
      <c r="X32573" s="239" t="n"/>
    </row>
    <row r="32574" ht="14.25" customHeight="1" s="192">
      <c r="W32574" s="235" t="n"/>
      <c r="X32574" s="235" t="n"/>
    </row>
    <row r="32575" ht="14.25" customHeight="1" s="192">
      <c r="W32575" s="235" t="n"/>
      <c r="X32575" s="235" t="n"/>
    </row>
    <row r="32576" ht="14.25" customHeight="1" s="192">
      <c r="W32576" s="239" t="n"/>
      <c r="X32576" s="239" t="n"/>
    </row>
    <row r="32577" ht="14.25" customHeight="1" s="192">
      <c r="W32577" s="235" t="n"/>
      <c r="X32577" s="235" t="n"/>
    </row>
    <row r="32578" ht="14.25" customHeight="1" s="192">
      <c r="W32578" s="239" t="n"/>
      <c r="X32578" s="239" t="n"/>
    </row>
    <row r="32580" ht="14.25" customHeight="1" s="192">
      <c r="W32580" s="235" t="n"/>
      <c r="X32580" s="235" t="n"/>
    </row>
    <row r="32581" ht="15" customHeight="1" s="192" thickBot="1">
      <c r="W32581" s="239" t="n"/>
      <c r="X32581" s="239" t="n"/>
    </row>
    <row r="32582" ht="15" customHeight="1" s="192" thickBot="1">
      <c r="W32582" s="45" t="n"/>
      <c r="X32582" s="45" t="n"/>
    </row>
    <row r="32583" ht="14.25" customHeight="1" s="192">
      <c r="W32583" s="228" t="n"/>
      <c r="X32583" s="228" t="n"/>
    </row>
    <row r="32584" ht="14.25" customHeight="1" s="192">
      <c r="W32584" s="228" t="n"/>
      <c r="X32584" s="228" t="n"/>
    </row>
    <row r="32585" ht="14.25" customHeight="1" s="192">
      <c r="W32585" s="231" t="n"/>
      <c r="X32585" s="231" t="n"/>
    </row>
    <row r="32586" ht="14.25" customHeight="1" s="192">
      <c r="W32586" s="33" t="n"/>
      <c r="X32586" s="33" t="n"/>
    </row>
    <row r="32587" ht="14.25" customHeight="1" s="192">
      <c r="W32587" s="231" t="n"/>
      <c r="X32587" s="231" t="n"/>
    </row>
    <row r="32588" ht="14.25" customHeight="1" s="192">
      <c r="W32588" s="33" t="n"/>
      <c r="X32588" s="33" t="n"/>
    </row>
    <row r="32590" ht="14.25" customHeight="1" s="192">
      <c r="W32590" s="231" t="n"/>
      <c r="X32590" s="231" t="n"/>
    </row>
    <row r="32591" ht="14.25" customHeight="1" s="192">
      <c r="W32591" s="235" t="n"/>
      <c r="X32591" s="235" t="n"/>
    </row>
    <row r="32592" ht="14.25" customHeight="1" s="192">
      <c r="W32592" s="228" t="n"/>
      <c r="X32592" s="228" t="n"/>
    </row>
    <row r="32593" ht="14.25" customHeight="1" s="192">
      <c r="W32593" s="235" t="n"/>
      <c r="X32593" s="235" t="n"/>
    </row>
    <row r="32594" ht="14.25" customHeight="1" s="192">
      <c r="W32594" s="235" t="n"/>
      <c r="X32594" s="235" t="n"/>
    </row>
    <row r="32595" ht="14.25" customHeight="1" s="192">
      <c r="W32595" s="235" t="n"/>
      <c r="X32595" s="235" t="n"/>
    </row>
    <row r="32596" ht="14.25" customHeight="1" s="192">
      <c r="W32596" s="239" t="n"/>
      <c r="X32596" s="239" t="n"/>
    </row>
    <row r="32597" ht="14.25" customHeight="1" s="192">
      <c r="W32597" s="239" t="n"/>
      <c r="X32597" s="239" t="n"/>
    </row>
    <row r="32598" ht="14.25" customHeight="1" s="192">
      <c r="W32598" s="239" t="n"/>
      <c r="X32598" s="239" t="n"/>
    </row>
    <row r="32599" ht="14.25" customHeight="1" s="192">
      <c r="W32599" s="235" t="n"/>
      <c r="X32599" s="235" t="n"/>
    </row>
    <row r="32600" ht="14.25" customHeight="1" s="192">
      <c r="W32600" s="235" t="n"/>
      <c r="X32600" s="235" t="n"/>
    </row>
    <row r="32601" ht="14.25" customHeight="1" s="192">
      <c r="W32601" s="235" t="n"/>
      <c r="X32601" s="235" t="n"/>
    </row>
    <row r="32602" ht="14.25" customHeight="1" s="192">
      <c r="W32602" s="239" t="n"/>
      <c r="X32602" s="239" t="n"/>
    </row>
    <row r="32603" ht="14.25" customHeight="1" s="192">
      <c r="W32603" s="239" t="n"/>
      <c r="X32603" s="239" t="n"/>
    </row>
    <row r="32604" ht="14.25" customHeight="1" s="192">
      <c r="W32604" s="235" t="n"/>
      <c r="X32604" s="235" t="n"/>
    </row>
    <row r="32605" ht="14.25" customHeight="1" s="192">
      <c r="W32605" s="235" t="n"/>
      <c r="X32605" s="235" t="n"/>
    </row>
    <row r="32606" ht="14.25" customHeight="1" s="192">
      <c r="W32606" s="239" t="n"/>
      <c r="X32606" s="239" t="n"/>
    </row>
    <row r="32607" ht="14.25" customHeight="1" s="192">
      <c r="W32607" s="235" t="n"/>
      <c r="X32607" s="235" t="n"/>
    </row>
    <row r="32608" ht="14.25" customHeight="1" s="192">
      <c r="W32608" s="239" t="n"/>
      <c r="X32608" s="239" t="n"/>
    </row>
    <row r="32610" ht="14.25" customHeight="1" s="192">
      <c r="W32610" s="235" t="n"/>
      <c r="X32610" s="235" t="n"/>
    </row>
    <row r="32611" ht="15" customHeight="1" s="192" thickBot="1">
      <c r="W32611" s="239" t="n"/>
      <c r="X32611" s="239" t="n"/>
    </row>
    <row r="32612" ht="15" customHeight="1" s="192" thickBot="1">
      <c r="W32612" s="45" t="n"/>
      <c r="X32612" s="45" t="n"/>
    </row>
    <row r="32613" ht="14.25" customHeight="1" s="192">
      <c r="W32613" s="228" t="n"/>
      <c r="X32613" s="228" t="n"/>
    </row>
    <row r="32614" ht="14.25" customHeight="1" s="192">
      <c r="W32614" s="228" t="n"/>
      <c r="X32614" s="228" t="n"/>
    </row>
    <row r="32615" ht="14.25" customHeight="1" s="192">
      <c r="W32615" s="231" t="n"/>
      <c r="X32615" s="231" t="n"/>
    </row>
    <row r="32616" ht="14.25" customHeight="1" s="192">
      <c r="W32616" s="33" t="n"/>
      <c r="X32616" s="33" t="n"/>
    </row>
    <row r="32617" ht="14.25" customHeight="1" s="192">
      <c r="W32617" s="231" t="n"/>
      <c r="X32617" s="231" t="n"/>
    </row>
    <row r="32618" ht="14.25" customHeight="1" s="192">
      <c r="W32618" s="33" t="n"/>
      <c r="X32618" s="33" t="n"/>
    </row>
    <row r="32620" ht="14.25" customHeight="1" s="192">
      <c r="W32620" s="231" t="n"/>
      <c r="X32620" s="231" t="n"/>
    </row>
    <row r="32621" ht="14.25" customHeight="1" s="192">
      <c r="W32621" s="235" t="n"/>
      <c r="X32621" s="235" t="n"/>
    </row>
    <row r="32622" ht="14.25" customHeight="1" s="192">
      <c r="W32622" s="228" t="n"/>
      <c r="X32622" s="228" t="n"/>
    </row>
    <row r="32623" ht="14.25" customHeight="1" s="192">
      <c r="W32623" s="235" t="n"/>
      <c r="X32623" s="235" t="n"/>
    </row>
    <row r="32624" ht="14.25" customHeight="1" s="192">
      <c r="W32624" s="235" t="n"/>
      <c r="X32624" s="235" t="n"/>
    </row>
    <row r="32625" ht="14.25" customHeight="1" s="192">
      <c r="W32625" s="235" t="n"/>
      <c r="X32625" s="235" t="n"/>
    </row>
    <row r="32626" ht="14.25" customHeight="1" s="192">
      <c r="W32626" s="239" t="n"/>
      <c r="X32626" s="239" t="n"/>
    </row>
    <row r="32627" ht="14.25" customHeight="1" s="192">
      <c r="W32627" s="239" t="n"/>
      <c r="X32627" s="239" t="n"/>
    </row>
    <row r="32628" ht="14.25" customHeight="1" s="192">
      <c r="W32628" s="239" t="n"/>
      <c r="X32628" s="239" t="n"/>
    </row>
    <row r="32629" ht="14.25" customHeight="1" s="192">
      <c r="W32629" s="235" t="n"/>
      <c r="X32629" s="235" t="n"/>
    </row>
    <row r="32630" ht="14.25" customHeight="1" s="192">
      <c r="W32630" s="235" t="n"/>
      <c r="X32630" s="235" t="n"/>
    </row>
    <row r="32631" ht="14.25" customHeight="1" s="192">
      <c r="W32631" s="235" t="n"/>
      <c r="X32631" s="235" t="n"/>
    </row>
    <row r="32632" ht="14.25" customHeight="1" s="192">
      <c r="W32632" s="239" t="n"/>
      <c r="X32632" s="239" t="n"/>
    </row>
    <row r="32633" ht="14.25" customHeight="1" s="192">
      <c r="W32633" s="239" t="n"/>
      <c r="X32633" s="239" t="n"/>
    </row>
    <row r="32634" ht="14.25" customHeight="1" s="192">
      <c r="W32634" s="235" t="n"/>
      <c r="X32634" s="235" t="n"/>
    </row>
    <row r="32635" ht="14.25" customHeight="1" s="192">
      <c r="W32635" s="235" t="n"/>
      <c r="X32635" s="235" t="n"/>
    </row>
    <row r="32636" ht="14.25" customHeight="1" s="192">
      <c r="W32636" s="239" t="n"/>
      <c r="X32636" s="239" t="n"/>
    </row>
    <row r="32637" ht="14.25" customHeight="1" s="192">
      <c r="W32637" s="235" t="n"/>
      <c r="X32637" s="235" t="n"/>
    </row>
    <row r="32638" ht="14.25" customHeight="1" s="192">
      <c r="W32638" s="239" t="n"/>
      <c r="X32638" s="239" t="n"/>
    </row>
    <row r="32640" ht="14.25" customHeight="1" s="192">
      <c r="W32640" s="235" t="n"/>
      <c r="X32640" s="235" t="n"/>
    </row>
    <row r="32641" ht="15" customHeight="1" s="192" thickBot="1">
      <c r="W32641" s="239" t="n"/>
      <c r="X32641" s="239" t="n"/>
    </row>
    <row r="32642" ht="15" customHeight="1" s="192" thickBot="1">
      <c r="W32642" s="45" t="n"/>
      <c r="X32642" s="45" t="n"/>
    </row>
    <row r="32643" ht="14.25" customHeight="1" s="192">
      <c r="W32643" s="228" t="n"/>
      <c r="X32643" s="228" t="n"/>
    </row>
    <row r="32644" ht="14.25" customHeight="1" s="192">
      <c r="W32644" s="228" t="n"/>
      <c r="X32644" s="228" t="n"/>
    </row>
    <row r="32645" ht="14.25" customHeight="1" s="192">
      <c r="W32645" s="231" t="n"/>
      <c r="X32645" s="231" t="n"/>
    </row>
    <row r="32646" ht="14.25" customHeight="1" s="192">
      <c r="W32646" s="33" t="n"/>
      <c r="X32646" s="33" t="n"/>
    </row>
    <row r="32647" ht="14.25" customHeight="1" s="192">
      <c r="W32647" s="231" t="n"/>
      <c r="X32647" s="231" t="n"/>
    </row>
    <row r="32648" ht="14.25" customHeight="1" s="192">
      <c r="W32648" s="33" t="n"/>
      <c r="X32648" s="33" t="n"/>
    </row>
    <row r="32650" ht="14.25" customHeight="1" s="192">
      <c r="W32650" s="231" t="n"/>
      <c r="X32650" s="231" t="n"/>
    </row>
    <row r="32651" ht="14.25" customHeight="1" s="192">
      <c r="W32651" s="235" t="n"/>
      <c r="X32651" s="235" t="n"/>
    </row>
    <row r="32652" ht="14.25" customHeight="1" s="192">
      <c r="W32652" s="228" t="n"/>
      <c r="X32652" s="228" t="n"/>
    </row>
    <row r="32653" ht="14.25" customHeight="1" s="192">
      <c r="W32653" s="235" t="n"/>
      <c r="X32653" s="235" t="n"/>
    </row>
    <row r="32654" ht="14.25" customHeight="1" s="192">
      <c r="W32654" s="235" t="n"/>
      <c r="X32654" s="235" t="n"/>
    </row>
    <row r="32655" ht="14.25" customHeight="1" s="192">
      <c r="W32655" s="235" t="n"/>
      <c r="X32655" s="235" t="n"/>
    </row>
    <row r="32656" ht="14.25" customHeight="1" s="192">
      <c r="W32656" s="239" t="n"/>
      <c r="X32656" s="239" t="n"/>
    </row>
    <row r="32657" ht="14.25" customHeight="1" s="192">
      <c r="W32657" s="239" t="n"/>
      <c r="X32657" s="239" t="n"/>
    </row>
    <row r="32658" ht="14.25" customHeight="1" s="192">
      <c r="W32658" s="239" t="n"/>
      <c r="X32658" s="239" t="n"/>
    </row>
    <row r="32659" ht="14.25" customHeight="1" s="192">
      <c r="W32659" s="235" t="n"/>
      <c r="X32659" s="235" t="n"/>
    </row>
    <row r="32660" ht="14.25" customHeight="1" s="192">
      <c r="W32660" s="235" t="n"/>
      <c r="X32660" s="235" t="n"/>
    </row>
    <row r="32661" ht="14.25" customHeight="1" s="192">
      <c r="W32661" s="235" t="n"/>
      <c r="X32661" s="235" t="n"/>
    </row>
    <row r="32662" ht="14.25" customHeight="1" s="192">
      <c r="W32662" s="239" t="n"/>
      <c r="X32662" s="239" t="n"/>
    </row>
    <row r="32663" ht="14.25" customHeight="1" s="192">
      <c r="W32663" s="239" t="n"/>
      <c r="X32663" s="239" t="n"/>
    </row>
    <row r="32664" ht="14.25" customHeight="1" s="192">
      <c r="W32664" s="235" t="n"/>
      <c r="X32664" s="235" t="n"/>
    </row>
    <row r="32665" ht="14.25" customHeight="1" s="192">
      <c r="W32665" s="235" t="n"/>
      <c r="X32665" s="235" t="n"/>
    </row>
    <row r="32666" ht="14.25" customHeight="1" s="192">
      <c r="W32666" s="239" t="n"/>
      <c r="X32666" s="239" t="n"/>
    </row>
    <row r="32667" ht="14.25" customHeight="1" s="192">
      <c r="W32667" s="235" t="n"/>
      <c r="X32667" s="235" t="n"/>
    </row>
    <row r="32668" ht="14.25" customHeight="1" s="192">
      <c r="W32668" s="239" t="n"/>
      <c r="X32668" s="239" t="n"/>
    </row>
    <row r="32670" ht="14.25" customHeight="1" s="192">
      <c r="W32670" s="235" t="n"/>
      <c r="X32670" s="235" t="n"/>
    </row>
    <row r="32671" ht="15" customHeight="1" s="192" thickBot="1">
      <c r="W32671" s="239" t="n"/>
      <c r="X32671" s="239" t="n"/>
    </row>
    <row r="32672" ht="15" customHeight="1" s="192" thickBot="1">
      <c r="W32672" s="45" t="n"/>
      <c r="X32672" s="45" t="n"/>
    </row>
    <row r="32673" ht="14.25" customHeight="1" s="192">
      <c r="W32673" s="228" t="n"/>
      <c r="X32673" s="228" t="n"/>
    </row>
    <row r="32674" ht="14.25" customHeight="1" s="192">
      <c r="W32674" s="228" t="n"/>
      <c r="X32674" s="228" t="n"/>
    </row>
    <row r="32675" ht="14.25" customHeight="1" s="192">
      <c r="W32675" s="231" t="n"/>
      <c r="X32675" s="231" t="n"/>
    </row>
    <row r="32676" ht="14.25" customHeight="1" s="192">
      <c r="W32676" s="33" t="n"/>
      <c r="X32676" s="33" t="n"/>
    </row>
    <row r="32677" ht="14.25" customHeight="1" s="192">
      <c r="W32677" s="231" t="n"/>
      <c r="X32677" s="231" t="n"/>
    </row>
    <row r="32678" ht="14.25" customHeight="1" s="192">
      <c r="W32678" s="33" t="n"/>
      <c r="X32678" s="33" t="n"/>
    </row>
    <row r="32680" ht="14.25" customHeight="1" s="192">
      <c r="W32680" s="231" t="n"/>
      <c r="X32680" s="231" t="n"/>
    </row>
    <row r="32681" ht="14.25" customHeight="1" s="192">
      <c r="W32681" s="235" t="n"/>
      <c r="X32681" s="235" t="n"/>
    </row>
    <row r="32682" ht="14.25" customHeight="1" s="192">
      <c r="W32682" s="228" t="n"/>
      <c r="X32682" s="228" t="n"/>
    </row>
    <row r="32683" ht="14.25" customHeight="1" s="192">
      <c r="W32683" s="235" t="n"/>
      <c r="X32683" s="235" t="n"/>
    </row>
    <row r="32684" ht="14.25" customHeight="1" s="192">
      <c r="W32684" s="235" t="n"/>
      <c r="X32684" s="235" t="n"/>
    </row>
    <row r="32685" ht="14.25" customHeight="1" s="192">
      <c r="W32685" s="235" t="n"/>
      <c r="X32685" s="235" t="n"/>
    </row>
    <row r="32686" ht="14.25" customHeight="1" s="192">
      <c r="W32686" s="239" t="n"/>
      <c r="X32686" s="239" t="n"/>
    </row>
    <row r="32687" ht="14.25" customHeight="1" s="192">
      <c r="W32687" s="239" t="n"/>
      <c r="X32687" s="239" t="n"/>
    </row>
    <row r="32688" ht="14.25" customHeight="1" s="192">
      <c r="W32688" s="239" t="n"/>
      <c r="X32688" s="239" t="n"/>
    </row>
    <row r="32689" ht="14.25" customHeight="1" s="192">
      <c r="W32689" s="235" t="n"/>
      <c r="X32689" s="235" t="n"/>
    </row>
    <row r="32690" ht="14.25" customHeight="1" s="192">
      <c r="W32690" s="235" t="n"/>
      <c r="X32690" s="235" t="n"/>
    </row>
    <row r="32691" ht="14.25" customHeight="1" s="192">
      <c r="W32691" s="235" t="n"/>
      <c r="X32691" s="235" t="n"/>
    </row>
    <row r="32692" ht="14.25" customHeight="1" s="192">
      <c r="W32692" s="239" t="n"/>
      <c r="X32692" s="239" t="n"/>
    </row>
    <row r="32693" ht="14.25" customHeight="1" s="192">
      <c r="W32693" s="239" t="n"/>
      <c r="X32693" s="239" t="n"/>
    </row>
    <row r="32694" ht="14.25" customHeight="1" s="192">
      <c r="W32694" s="235" t="n"/>
      <c r="X32694" s="235" t="n"/>
    </row>
    <row r="32695" ht="14.25" customHeight="1" s="192">
      <c r="W32695" s="235" t="n"/>
      <c r="X32695" s="235" t="n"/>
    </row>
    <row r="32696" ht="14.25" customHeight="1" s="192">
      <c r="W32696" s="239" t="n"/>
      <c r="X32696" s="239" t="n"/>
    </row>
    <row r="32697" ht="14.25" customHeight="1" s="192">
      <c r="W32697" s="235" t="n"/>
      <c r="X32697" s="235" t="n"/>
    </row>
    <row r="32698" ht="14.25" customHeight="1" s="192">
      <c r="W32698" s="239" t="n"/>
      <c r="X32698" s="239" t="n"/>
    </row>
    <row r="32700" ht="14.25" customHeight="1" s="192">
      <c r="W32700" s="235" t="n"/>
      <c r="X32700" s="235" t="n"/>
    </row>
    <row r="32701" ht="15" customHeight="1" s="192" thickBot="1">
      <c r="W32701" s="239" t="n"/>
      <c r="X32701" s="239" t="n"/>
    </row>
    <row r="32702" ht="15" customHeight="1" s="192" thickBot="1">
      <c r="W32702" s="45" t="n"/>
      <c r="X32702" s="45" t="n"/>
    </row>
    <row r="32703" ht="14.25" customHeight="1" s="192">
      <c r="W32703" s="228" t="n"/>
      <c r="X32703" s="228" t="n"/>
    </row>
    <row r="32704" ht="14.25" customHeight="1" s="192">
      <c r="W32704" s="228" t="n"/>
      <c r="X32704" s="228" t="n"/>
    </row>
    <row r="32705" ht="14.25" customHeight="1" s="192">
      <c r="W32705" s="231" t="n"/>
      <c r="X32705" s="231" t="n"/>
    </row>
    <row r="32706" ht="14.25" customHeight="1" s="192">
      <c r="W32706" s="33" t="n"/>
      <c r="X32706" s="33" t="n"/>
    </row>
    <row r="32707" ht="14.25" customHeight="1" s="192">
      <c r="W32707" s="231" t="n"/>
      <c r="X32707" s="231" t="n"/>
    </row>
    <row r="32708" ht="14.25" customHeight="1" s="192">
      <c r="W32708" s="33" t="n"/>
      <c r="X32708" s="33" t="n"/>
    </row>
    <row r="32710" ht="14.25" customHeight="1" s="192">
      <c r="W32710" s="231" t="n"/>
      <c r="X32710" s="231" t="n"/>
    </row>
    <row r="32711" ht="14.25" customHeight="1" s="192">
      <c r="W32711" s="235" t="n"/>
      <c r="X32711" s="235" t="n"/>
    </row>
    <row r="32712" ht="14.25" customHeight="1" s="192">
      <c r="W32712" s="228" t="n"/>
      <c r="X32712" s="228" t="n"/>
    </row>
    <row r="32713" ht="14.25" customHeight="1" s="192">
      <c r="W32713" s="235" t="n"/>
      <c r="X32713" s="235" t="n"/>
    </row>
    <row r="32714" ht="14.25" customHeight="1" s="192">
      <c r="W32714" s="235" t="n"/>
      <c r="X32714" s="235" t="n"/>
    </row>
    <row r="32715" ht="14.25" customHeight="1" s="192">
      <c r="W32715" s="235" t="n"/>
      <c r="X32715" s="235" t="n"/>
    </row>
    <row r="32716" ht="14.25" customHeight="1" s="192">
      <c r="W32716" s="239" t="n"/>
      <c r="X32716" s="239" t="n"/>
    </row>
    <row r="32717" ht="14.25" customHeight="1" s="192">
      <c r="W32717" s="239" t="n"/>
      <c r="X32717" s="239" t="n"/>
    </row>
    <row r="32718" ht="14.25" customHeight="1" s="192">
      <c r="W32718" s="239" t="n"/>
      <c r="X32718" s="239" t="n"/>
    </row>
    <row r="32719" ht="14.25" customHeight="1" s="192">
      <c r="W32719" s="235" t="n"/>
      <c r="X32719" s="235" t="n"/>
    </row>
    <row r="32720" ht="14.25" customHeight="1" s="192">
      <c r="W32720" s="235" t="n"/>
      <c r="X32720" s="235" t="n"/>
    </row>
    <row r="32721" ht="14.25" customHeight="1" s="192">
      <c r="W32721" s="235" t="n"/>
      <c r="X32721" s="235" t="n"/>
    </row>
    <row r="32722" ht="14.25" customHeight="1" s="192">
      <c r="W32722" s="239" t="n"/>
      <c r="X32722" s="239" t="n"/>
    </row>
    <row r="32723" ht="14.25" customHeight="1" s="192">
      <c r="W32723" s="239" t="n"/>
      <c r="X32723" s="239" t="n"/>
    </row>
    <row r="32724" ht="14.25" customHeight="1" s="192">
      <c r="W32724" s="235" t="n"/>
      <c r="X32724" s="235" t="n"/>
    </row>
    <row r="32725" ht="14.25" customHeight="1" s="192">
      <c r="W32725" s="235" t="n"/>
      <c r="X32725" s="235" t="n"/>
    </row>
    <row r="32726" ht="14.25" customHeight="1" s="192">
      <c r="W32726" s="239" t="n"/>
      <c r="X32726" s="239" t="n"/>
    </row>
    <row r="32727" ht="14.25" customHeight="1" s="192">
      <c r="W32727" s="235" t="n"/>
      <c r="X32727" s="235" t="n"/>
    </row>
    <row r="32728" ht="14.25" customHeight="1" s="192">
      <c r="W32728" s="239" t="n"/>
      <c r="X32728" s="239" t="n"/>
    </row>
    <row r="32730" ht="14.25" customHeight="1" s="192">
      <c r="W32730" s="235" t="n"/>
      <c r="X32730" s="235" t="n"/>
    </row>
    <row r="32731" ht="15" customHeight="1" s="192" thickBot="1">
      <c r="W32731" s="239" t="n"/>
      <c r="X32731" s="239" t="n"/>
    </row>
    <row r="32732" ht="15" customHeight="1" s="192" thickBot="1">
      <c r="W32732" s="45" t="n"/>
      <c r="X32732" s="45" t="n"/>
    </row>
    <row r="32733" ht="14.25" customHeight="1" s="192">
      <c r="W32733" s="228" t="n"/>
      <c r="X32733" s="228" t="n"/>
    </row>
    <row r="32734" ht="14.25" customHeight="1" s="192">
      <c r="W32734" s="228" t="n"/>
      <c r="X32734" s="228" t="n"/>
    </row>
    <row r="32735" ht="14.25" customHeight="1" s="192">
      <c r="W32735" s="231" t="n"/>
      <c r="X32735" s="231" t="n"/>
    </row>
    <row r="32736" ht="14.25" customHeight="1" s="192">
      <c r="W32736" s="33" t="n"/>
      <c r="X32736" s="33" t="n"/>
    </row>
    <row r="32737" ht="14.25" customHeight="1" s="192">
      <c r="W32737" s="231" t="n"/>
      <c r="X32737" s="231" t="n"/>
    </row>
    <row r="32738" ht="14.25" customHeight="1" s="192">
      <c r="W32738" s="33" t="n"/>
      <c r="X32738" s="33" t="n"/>
    </row>
    <row r="32740" ht="14.25" customHeight="1" s="192">
      <c r="W32740" s="231" t="n"/>
      <c r="X32740" s="231" t="n"/>
    </row>
    <row r="32741" ht="14.25" customHeight="1" s="192">
      <c r="W32741" s="235" t="n"/>
      <c r="X32741" s="235" t="n"/>
    </row>
    <row r="32742" ht="14.25" customHeight="1" s="192">
      <c r="W32742" s="228" t="n"/>
      <c r="X32742" s="228" t="n"/>
    </row>
    <row r="32743" ht="14.25" customHeight="1" s="192">
      <c r="W32743" s="235" t="n"/>
      <c r="X32743" s="235" t="n"/>
    </row>
    <row r="32744" ht="14.25" customHeight="1" s="192">
      <c r="W32744" s="235" t="n"/>
      <c r="X32744" s="235" t="n"/>
    </row>
    <row r="32745" ht="14.25" customHeight="1" s="192">
      <c r="W32745" s="235" t="n"/>
      <c r="X32745" s="235" t="n"/>
    </row>
    <row r="32746" ht="14.25" customHeight="1" s="192">
      <c r="W32746" s="239" t="n"/>
      <c r="X32746" s="239" t="n"/>
    </row>
    <row r="32747" ht="14.25" customHeight="1" s="192">
      <c r="W32747" s="239" t="n"/>
      <c r="X32747" s="239" t="n"/>
    </row>
    <row r="32748" ht="14.25" customHeight="1" s="192">
      <c r="W32748" s="239" t="n"/>
      <c r="X32748" s="239" t="n"/>
    </row>
    <row r="32749" ht="14.25" customHeight="1" s="192">
      <c r="W32749" s="235" t="n"/>
      <c r="X32749" s="235" t="n"/>
    </row>
    <row r="32750" ht="14.25" customHeight="1" s="192">
      <c r="W32750" s="235" t="n"/>
      <c r="X32750" s="235" t="n"/>
    </row>
    <row r="32751" ht="14.25" customHeight="1" s="192">
      <c r="W32751" s="235" t="n"/>
      <c r="X32751" s="235" t="n"/>
    </row>
    <row r="32752" ht="14.25" customHeight="1" s="192">
      <c r="W32752" s="239" t="n"/>
      <c r="X32752" s="239" t="n"/>
    </row>
    <row r="32753" ht="14.25" customHeight="1" s="192">
      <c r="W32753" s="239" t="n"/>
      <c r="X32753" s="239" t="n"/>
    </row>
    <row r="32754" ht="14.25" customHeight="1" s="192">
      <c r="W32754" s="235" t="n"/>
      <c r="X32754" s="235" t="n"/>
    </row>
    <row r="32755" ht="14.25" customHeight="1" s="192">
      <c r="W32755" s="235" t="n"/>
      <c r="X32755" s="235" t="n"/>
    </row>
    <row r="32756" ht="14.25" customHeight="1" s="192">
      <c r="W32756" s="239" t="n"/>
      <c r="X32756" s="239" t="n"/>
    </row>
    <row r="32757" ht="14.25" customHeight="1" s="192">
      <c r="W32757" s="235" t="n"/>
      <c r="X32757" s="235" t="n"/>
    </row>
    <row r="32758" ht="14.25" customHeight="1" s="192">
      <c r="W32758" s="239" t="n"/>
      <c r="X32758" s="239" t="n"/>
    </row>
    <row r="32760" ht="14.25" customHeight="1" s="192">
      <c r="W32760" s="235" t="n"/>
      <c r="X32760" s="235" t="n"/>
    </row>
    <row r="32761" ht="15" customHeight="1" s="192" thickBot="1">
      <c r="W32761" s="239" t="n"/>
      <c r="X32761" s="239" t="n"/>
    </row>
    <row r="32762" ht="15" customHeight="1" s="192" thickBot="1">
      <c r="W32762" s="45" t="n"/>
      <c r="X32762" s="45" t="n"/>
    </row>
    <row r="32763" ht="14.25" customHeight="1" s="192">
      <c r="W32763" s="228" t="n"/>
      <c r="X32763" s="228" t="n"/>
    </row>
    <row r="32764" ht="14.25" customHeight="1" s="192">
      <c r="W32764" s="228" t="n"/>
      <c r="X32764" s="228" t="n"/>
    </row>
    <row r="32765" ht="14.25" customHeight="1" s="192">
      <c r="W32765" s="231" t="n"/>
      <c r="X32765" s="231" t="n"/>
    </row>
    <row r="32766" ht="14.25" customHeight="1" s="192">
      <c r="W32766" s="33" t="n"/>
      <c r="X32766" s="33" t="n"/>
    </row>
    <row r="32767" ht="14.25" customHeight="1" s="192">
      <c r="W32767" s="231" t="n"/>
      <c r="X32767" s="231" t="n"/>
    </row>
    <row r="32768" ht="14.25" customHeight="1" s="192">
      <c r="W32768" s="33" t="n"/>
      <c r="X32768" s="33" t="n"/>
    </row>
    <row r="32770" ht="14.25" customHeight="1" s="192">
      <c r="W32770" s="231" t="n"/>
      <c r="X32770" s="231" t="n"/>
    </row>
    <row r="32771" ht="14.25" customHeight="1" s="192">
      <c r="W32771" s="235" t="n"/>
      <c r="X32771" s="235" t="n"/>
    </row>
    <row r="32772" ht="14.25" customHeight="1" s="192">
      <c r="W32772" s="228" t="n"/>
      <c r="X32772" s="228" t="n"/>
    </row>
    <row r="32773" ht="14.25" customHeight="1" s="192">
      <c r="W32773" s="235" t="n"/>
      <c r="X32773" s="235" t="n"/>
    </row>
    <row r="32774" ht="14.25" customHeight="1" s="192">
      <c r="W32774" s="235" t="n"/>
      <c r="X32774" s="235" t="n"/>
    </row>
    <row r="32775" ht="14.25" customHeight="1" s="192">
      <c r="W32775" s="235" t="n"/>
      <c r="X32775" s="235" t="n"/>
    </row>
    <row r="32776" ht="14.25" customHeight="1" s="192">
      <c r="W32776" s="239" t="n"/>
      <c r="X32776" s="239" t="n"/>
    </row>
    <row r="32777" ht="14.25" customHeight="1" s="192">
      <c r="W32777" s="239" t="n"/>
      <c r="X32777" s="239" t="n"/>
    </row>
    <row r="32778" ht="14.25" customHeight="1" s="192">
      <c r="W32778" s="239" t="n"/>
      <c r="X32778" s="239" t="n"/>
    </row>
    <row r="32779" ht="14.25" customHeight="1" s="192">
      <c r="W32779" s="235" t="n"/>
      <c r="X32779" s="235" t="n"/>
    </row>
    <row r="32780" ht="14.25" customHeight="1" s="192">
      <c r="W32780" s="235" t="n"/>
      <c r="X32780" s="235" t="n"/>
    </row>
    <row r="32781" ht="14.25" customHeight="1" s="192">
      <c r="W32781" s="235" t="n"/>
      <c r="X32781" s="235" t="n"/>
    </row>
    <row r="32782" ht="14.25" customHeight="1" s="192">
      <c r="W32782" s="239" t="n"/>
      <c r="X32782" s="239" t="n"/>
    </row>
    <row r="32783" ht="14.25" customHeight="1" s="192">
      <c r="W32783" s="239" t="n"/>
      <c r="X32783" s="239" t="n"/>
    </row>
    <row r="32784" ht="14.25" customHeight="1" s="192">
      <c r="W32784" s="235" t="n"/>
      <c r="X32784" s="235" t="n"/>
    </row>
    <row r="32785" ht="14.25" customHeight="1" s="192">
      <c r="W32785" s="235" t="n"/>
      <c r="X32785" s="235" t="n"/>
    </row>
    <row r="32786" ht="14.25" customHeight="1" s="192">
      <c r="W32786" s="239" t="n"/>
      <c r="X32786" s="239" t="n"/>
    </row>
    <row r="32787" ht="14.25" customHeight="1" s="192">
      <c r="W32787" s="235" t="n"/>
      <c r="X32787" s="235" t="n"/>
    </row>
    <row r="32788" ht="14.25" customHeight="1" s="192">
      <c r="W32788" s="239" t="n"/>
      <c r="X32788" s="239" t="n"/>
    </row>
    <row r="32790" ht="14.25" customHeight="1" s="192">
      <c r="W32790" s="235" t="n"/>
      <c r="X32790" s="235" t="n"/>
    </row>
    <row r="32791" ht="15" customHeight="1" s="192" thickBot="1">
      <c r="W32791" s="239" t="n"/>
      <c r="X32791" s="239" t="n"/>
    </row>
    <row r="32792" ht="15" customHeight="1" s="192" thickBot="1">
      <c r="W32792" s="45" t="n"/>
      <c r="X32792" s="45" t="n"/>
    </row>
    <row r="32793" ht="14.25" customHeight="1" s="192">
      <c r="W32793" s="228" t="n"/>
      <c r="X32793" s="228" t="n"/>
    </row>
    <row r="32794" ht="14.25" customHeight="1" s="192">
      <c r="W32794" s="228" t="n"/>
      <c r="X32794" s="228" t="n"/>
    </row>
    <row r="32795" ht="14.25" customHeight="1" s="192">
      <c r="W32795" s="231" t="n"/>
      <c r="X32795" s="231" t="n"/>
    </row>
    <row r="32796" ht="14.25" customHeight="1" s="192">
      <c r="W32796" s="33" t="n"/>
      <c r="X32796" s="33" t="n"/>
    </row>
    <row r="32797" ht="14.25" customHeight="1" s="192">
      <c r="W32797" s="231" t="n"/>
      <c r="X32797" s="231" t="n"/>
    </row>
    <row r="32798" ht="14.25" customHeight="1" s="192">
      <c r="W32798" s="33" t="n"/>
      <c r="X32798" s="33" t="n"/>
    </row>
    <row r="32800" ht="14.25" customHeight="1" s="192">
      <c r="W32800" s="231" t="n"/>
      <c r="X32800" s="231" t="n"/>
    </row>
    <row r="32801" ht="14.25" customHeight="1" s="192">
      <c r="W32801" s="235" t="n"/>
      <c r="X32801" s="235" t="n"/>
    </row>
    <row r="32802" ht="14.25" customHeight="1" s="192">
      <c r="W32802" s="228" t="n"/>
      <c r="X32802" s="228" t="n"/>
    </row>
    <row r="32803" ht="14.25" customHeight="1" s="192">
      <c r="W32803" s="235" t="n"/>
      <c r="X32803" s="235" t="n"/>
    </row>
    <row r="32804" ht="14.25" customHeight="1" s="192">
      <c r="W32804" s="235" t="n"/>
      <c r="X32804" s="235" t="n"/>
    </row>
    <row r="32805" ht="14.25" customHeight="1" s="192">
      <c r="W32805" s="235" t="n"/>
      <c r="X32805" s="235" t="n"/>
    </row>
    <row r="32806" ht="14.25" customHeight="1" s="192">
      <c r="W32806" s="239" t="n"/>
      <c r="X32806" s="239" t="n"/>
    </row>
    <row r="32807" ht="14.25" customHeight="1" s="192">
      <c r="W32807" s="239" t="n"/>
      <c r="X32807" s="239" t="n"/>
    </row>
    <row r="32808" ht="14.25" customHeight="1" s="192">
      <c r="W32808" s="239" t="n"/>
      <c r="X32808" s="239" t="n"/>
    </row>
    <row r="32809" ht="14.25" customHeight="1" s="192">
      <c r="W32809" s="235" t="n"/>
      <c r="X32809" s="235" t="n"/>
    </row>
    <row r="32810" ht="14.25" customHeight="1" s="192">
      <c r="W32810" s="235" t="n"/>
      <c r="X32810" s="235" t="n"/>
    </row>
    <row r="32811" ht="14.25" customHeight="1" s="192">
      <c r="W32811" s="235" t="n"/>
      <c r="X32811" s="235" t="n"/>
    </row>
    <row r="32812" ht="14.25" customHeight="1" s="192">
      <c r="W32812" s="239" t="n"/>
      <c r="X32812" s="239" t="n"/>
    </row>
    <row r="32813" ht="14.25" customHeight="1" s="192">
      <c r="W32813" s="239" t="n"/>
      <c r="X32813" s="239" t="n"/>
    </row>
    <row r="32814" ht="14.25" customHeight="1" s="192">
      <c r="W32814" s="235" t="n"/>
      <c r="X32814" s="235" t="n"/>
    </row>
    <row r="32815" ht="14.25" customHeight="1" s="192">
      <c r="W32815" s="235" t="n"/>
      <c r="X32815" s="235" t="n"/>
    </row>
    <row r="32816" ht="14.25" customHeight="1" s="192">
      <c r="W32816" s="239" t="n"/>
      <c r="X32816" s="239" t="n"/>
    </row>
    <row r="32817" ht="14.25" customHeight="1" s="192">
      <c r="W32817" s="235" t="n"/>
      <c r="X32817" s="235" t="n"/>
    </row>
    <row r="32818" ht="14.25" customHeight="1" s="192">
      <c r="W32818" s="239" t="n"/>
      <c r="X32818" s="239" t="n"/>
    </row>
    <row r="32820" ht="14.25" customHeight="1" s="192">
      <c r="W32820" s="235" t="n"/>
      <c r="X32820" s="235" t="n"/>
    </row>
    <row r="32821" ht="15" customHeight="1" s="192" thickBot="1">
      <c r="W32821" s="239" t="n"/>
      <c r="X32821" s="239" t="n"/>
    </row>
    <row r="32822" ht="15" customHeight="1" s="192" thickBot="1">
      <c r="W32822" s="45" t="n"/>
      <c r="X32822" s="45" t="n"/>
    </row>
    <row r="32823" ht="14.25" customHeight="1" s="192">
      <c r="W32823" s="228" t="n"/>
      <c r="X32823" s="228" t="n"/>
    </row>
    <row r="32824" ht="14.25" customHeight="1" s="192">
      <c r="W32824" s="228" t="n"/>
      <c r="X32824" s="228" t="n"/>
    </row>
    <row r="32825" ht="14.25" customHeight="1" s="192">
      <c r="W32825" s="231" t="n"/>
      <c r="X32825" s="231" t="n"/>
    </row>
    <row r="32826" ht="14.25" customHeight="1" s="192">
      <c r="W32826" s="33" t="n"/>
      <c r="X32826" s="33" t="n"/>
    </row>
    <row r="32827" ht="14.25" customHeight="1" s="192">
      <c r="W32827" s="231" t="n"/>
      <c r="X32827" s="231" t="n"/>
    </row>
    <row r="32828" ht="14.25" customHeight="1" s="192">
      <c r="W32828" s="33" t="n"/>
      <c r="X32828" s="33" t="n"/>
    </row>
    <row r="32830" ht="14.25" customHeight="1" s="192">
      <c r="W32830" s="231" t="n"/>
      <c r="X32830" s="231" t="n"/>
    </row>
    <row r="32831" ht="14.25" customHeight="1" s="192">
      <c r="W32831" s="235" t="n"/>
      <c r="X32831" s="235" t="n"/>
    </row>
    <row r="32832" ht="14.25" customHeight="1" s="192">
      <c r="W32832" s="228" t="n"/>
      <c r="X32832" s="228" t="n"/>
    </row>
    <row r="32833" ht="14.25" customHeight="1" s="192">
      <c r="W32833" s="235" t="n"/>
      <c r="X32833" s="235" t="n"/>
    </row>
    <row r="32834" ht="14.25" customHeight="1" s="192">
      <c r="W32834" s="235" t="n"/>
      <c r="X32834" s="235" t="n"/>
    </row>
    <row r="32835" ht="14.25" customHeight="1" s="192">
      <c r="W32835" s="235" t="n"/>
      <c r="X32835" s="235" t="n"/>
    </row>
    <row r="32836" ht="14.25" customHeight="1" s="192">
      <c r="W32836" s="239" t="n"/>
      <c r="X32836" s="239" t="n"/>
    </row>
    <row r="32837" ht="14.25" customHeight="1" s="192">
      <c r="W32837" s="239" t="n"/>
      <c r="X32837" s="239" t="n"/>
    </row>
    <row r="32838" ht="14.25" customHeight="1" s="192">
      <c r="W32838" s="239" t="n"/>
      <c r="X32838" s="239" t="n"/>
    </row>
    <row r="32839" ht="14.25" customHeight="1" s="192">
      <c r="W32839" s="235" t="n"/>
      <c r="X32839" s="235" t="n"/>
    </row>
    <row r="32840" ht="14.25" customHeight="1" s="192">
      <c r="W32840" s="235" t="n"/>
      <c r="X32840" s="235" t="n"/>
    </row>
    <row r="32841" ht="14.25" customHeight="1" s="192">
      <c r="W32841" s="235" t="n"/>
      <c r="X32841" s="235" t="n"/>
    </row>
    <row r="32842" ht="14.25" customHeight="1" s="192">
      <c r="W32842" s="239" t="n"/>
      <c r="X32842" s="239" t="n"/>
    </row>
    <row r="32843" ht="14.25" customHeight="1" s="192">
      <c r="W32843" s="239" t="n"/>
      <c r="X32843" s="239" t="n"/>
    </row>
    <row r="32844" ht="14.25" customHeight="1" s="192">
      <c r="W32844" s="235" t="n"/>
      <c r="X32844" s="235" t="n"/>
    </row>
    <row r="32845" ht="14.25" customHeight="1" s="192">
      <c r="W32845" s="235" t="n"/>
      <c r="X32845" s="235" t="n"/>
    </row>
    <row r="32846" ht="14.25" customHeight="1" s="192">
      <c r="W32846" s="239" t="n"/>
      <c r="X32846" s="239" t="n"/>
    </row>
    <row r="32847" ht="14.25" customHeight="1" s="192">
      <c r="W32847" s="235" t="n"/>
      <c r="X32847" s="235" t="n"/>
    </row>
    <row r="32848" ht="14.25" customHeight="1" s="192">
      <c r="W32848" s="239" t="n"/>
      <c r="X32848" s="239" t="n"/>
    </row>
    <row r="32850" ht="14.25" customHeight="1" s="192">
      <c r="W32850" s="235" t="n"/>
      <c r="X32850" s="235" t="n"/>
    </row>
    <row r="32851" ht="15" customHeight="1" s="192" thickBot="1">
      <c r="W32851" s="239" t="n"/>
      <c r="X32851" s="239" t="n"/>
    </row>
    <row r="32852" ht="15" customHeight="1" s="192" thickBot="1">
      <c r="W32852" s="45" t="n"/>
      <c r="X32852" s="45" t="n"/>
    </row>
    <row r="32853" ht="14.25" customHeight="1" s="192">
      <c r="W32853" s="228" t="n"/>
      <c r="X32853" s="228" t="n"/>
    </row>
    <row r="32854" ht="14.25" customHeight="1" s="192">
      <c r="W32854" s="228" t="n"/>
      <c r="X32854" s="228" t="n"/>
    </row>
    <row r="32855" ht="14.25" customHeight="1" s="192">
      <c r="W32855" s="231" t="n"/>
      <c r="X32855" s="231" t="n"/>
    </row>
    <row r="32856" ht="14.25" customHeight="1" s="192">
      <c r="W32856" s="33" t="n"/>
      <c r="X32856" s="33" t="n"/>
    </row>
    <row r="32857" ht="14.25" customHeight="1" s="192">
      <c r="W32857" s="231" t="n"/>
      <c r="X32857" s="231" t="n"/>
    </row>
    <row r="32858" ht="14.25" customHeight="1" s="192">
      <c r="W32858" s="33" t="n"/>
      <c r="X32858" s="33" t="n"/>
    </row>
    <row r="32860" ht="14.25" customHeight="1" s="192">
      <c r="W32860" s="231" t="n"/>
      <c r="X32860" s="231" t="n"/>
    </row>
    <row r="32861" ht="14.25" customHeight="1" s="192">
      <c r="W32861" s="235" t="n"/>
      <c r="X32861" s="235" t="n"/>
    </row>
    <row r="32862" ht="14.25" customHeight="1" s="192">
      <c r="W32862" s="228" t="n"/>
      <c r="X32862" s="228" t="n"/>
    </row>
    <row r="32863" ht="14.25" customHeight="1" s="192">
      <c r="W32863" s="235" t="n"/>
      <c r="X32863" s="235" t="n"/>
    </row>
    <row r="32864" ht="14.25" customHeight="1" s="192">
      <c r="W32864" s="235" t="n"/>
      <c r="X32864" s="235" t="n"/>
    </row>
    <row r="32865" ht="14.25" customHeight="1" s="192">
      <c r="W32865" s="235" t="n"/>
      <c r="X32865" s="235" t="n"/>
    </row>
    <row r="32866" ht="14.25" customHeight="1" s="192">
      <c r="W32866" s="239" t="n"/>
      <c r="X32866" s="239" t="n"/>
    </row>
    <row r="32867" ht="14.25" customHeight="1" s="192">
      <c r="W32867" s="239" t="n"/>
      <c r="X32867" s="239" t="n"/>
    </row>
    <row r="32868" ht="14.25" customHeight="1" s="192">
      <c r="W32868" s="239" t="n"/>
      <c r="X32868" s="239" t="n"/>
    </row>
    <row r="32869" ht="14.25" customHeight="1" s="192">
      <c r="W32869" s="235" t="n"/>
      <c r="X32869" s="235" t="n"/>
    </row>
    <row r="32870" ht="14.25" customHeight="1" s="192">
      <c r="W32870" s="235" t="n"/>
      <c r="X32870" s="235" t="n"/>
    </row>
    <row r="32871" ht="14.25" customHeight="1" s="192">
      <c r="W32871" s="235" t="n"/>
      <c r="X32871" s="235" t="n"/>
    </row>
    <row r="32872" ht="14.25" customHeight="1" s="192">
      <c r="W32872" s="239" t="n"/>
      <c r="X32872" s="239" t="n"/>
    </row>
    <row r="32873" ht="14.25" customHeight="1" s="192">
      <c r="W32873" s="239" t="n"/>
      <c r="X32873" s="239" t="n"/>
    </row>
    <row r="32874" ht="14.25" customHeight="1" s="192">
      <c r="W32874" s="235" t="n"/>
      <c r="X32874" s="235" t="n"/>
    </row>
    <row r="32875" ht="14.25" customHeight="1" s="192">
      <c r="W32875" s="235" t="n"/>
      <c r="X32875" s="235" t="n"/>
    </row>
    <row r="32876" ht="14.25" customHeight="1" s="192">
      <c r="W32876" s="239" t="n"/>
      <c r="X32876" s="239" t="n"/>
    </row>
    <row r="32877" ht="14.25" customHeight="1" s="192">
      <c r="W32877" s="235" t="n"/>
      <c r="X32877" s="235" t="n"/>
    </row>
    <row r="32878" ht="14.25" customHeight="1" s="192">
      <c r="W32878" s="239" t="n"/>
      <c r="X32878" s="239" t="n"/>
    </row>
    <row r="32880" ht="14.25" customHeight="1" s="192">
      <c r="W32880" s="235" t="n"/>
      <c r="X32880" s="235" t="n"/>
    </row>
    <row r="32881" ht="15" customHeight="1" s="192" thickBot="1">
      <c r="W32881" s="239" t="n"/>
      <c r="X32881" s="239" t="n"/>
    </row>
    <row r="32882" ht="15" customHeight="1" s="192" thickBot="1">
      <c r="W32882" s="45" t="n"/>
      <c r="X32882" s="45" t="n"/>
    </row>
    <row r="32883" ht="14.25" customHeight="1" s="192">
      <c r="W32883" s="228" t="n"/>
      <c r="X32883" s="228" t="n"/>
    </row>
    <row r="32884" ht="14.25" customHeight="1" s="192">
      <c r="W32884" s="228" t="n"/>
      <c r="X32884" s="228" t="n"/>
    </row>
    <row r="32885" ht="14.25" customHeight="1" s="192">
      <c r="W32885" s="231" t="n"/>
      <c r="X32885" s="231" t="n"/>
    </row>
    <row r="32886" ht="14.25" customHeight="1" s="192">
      <c r="W32886" s="33" t="n"/>
      <c r="X32886" s="33" t="n"/>
    </row>
    <row r="32887" ht="14.25" customHeight="1" s="192">
      <c r="W32887" s="231" t="n"/>
      <c r="X32887" s="231" t="n"/>
    </row>
    <row r="32888" ht="14.25" customHeight="1" s="192">
      <c r="W32888" s="33" t="n"/>
      <c r="X32888" s="33" t="n"/>
    </row>
    <row r="32890" ht="14.25" customHeight="1" s="192">
      <c r="W32890" s="231" t="n"/>
      <c r="X32890" s="231" t="n"/>
    </row>
    <row r="32891" ht="14.25" customHeight="1" s="192">
      <c r="W32891" s="235" t="n"/>
      <c r="X32891" s="235" t="n"/>
    </row>
    <row r="32892" ht="14.25" customHeight="1" s="192">
      <c r="W32892" s="228" t="n"/>
      <c r="X32892" s="228" t="n"/>
    </row>
    <row r="32893" ht="14.25" customHeight="1" s="192">
      <c r="W32893" s="235" t="n"/>
      <c r="X32893" s="235" t="n"/>
    </row>
    <row r="32894" ht="14.25" customHeight="1" s="192">
      <c r="W32894" s="235" t="n"/>
      <c r="X32894" s="235" t="n"/>
    </row>
    <row r="32895" ht="14.25" customHeight="1" s="192">
      <c r="W32895" s="235" t="n"/>
      <c r="X32895" s="235" t="n"/>
    </row>
    <row r="32896" ht="14.25" customHeight="1" s="192">
      <c r="W32896" s="239" t="n"/>
      <c r="X32896" s="239" t="n"/>
    </row>
    <row r="32897" ht="14.25" customHeight="1" s="192">
      <c r="W32897" s="239" t="n"/>
      <c r="X32897" s="239" t="n"/>
    </row>
    <row r="32898" ht="14.25" customHeight="1" s="192">
      <c r="W32898" s="239" t="n"/>
      <c r="X32898" s="239" t="n"/>
    </row>
    <row r="32899" ht="14.25" customHeight="1" s="192">
      <c r="W32899" s="235" t="n"/>
      <c r="X32899" s="235" t="n"/>
    </row>
    <row r="32900" ht="14.25" customHeight="1" s="192">
      <c r="W32900" s="235" t="n"/>
      <c r="X32900" s="235" t="n"/>
    </row>
    <row r="32901" ht="14.25" customHeight="1" s="192">
      <c r="W32901" s="235" t="n"/>
      <c r="X32901" s="235" t="n"/>
    </row>
    <row r="32902" ht="14.25" customHeight="1" s="192">
      <c r="W32902" s="239" t="n"/>
      <c r="X32902" s="239" t="n"/>
    </row>
    <row r="32903" ht="14.25" customHeight="1" s="192">
      <c r="W32903" s="239" t="n"/>
      <c r="X32903" s="239" t="n"/>
    </row>
    <row r="32904" ht="14.25" customHeight="1" s="192">
      <c r="W32904" s="235" t="n"/>
      <c r="X32904" s="235" t="n"/>
    </row>
    <row r="32905" ht="14.25" customHeight="1" s="192">
      <c r="W32905" s="235" t="n"/>
      <c r="X32905" s="235" t="n"/>
    </row>
    <row r="32906" ht="14.25" customHeight="1" s="192">
      <c r="W32906" s="239" t="n"/>
      <c r="X32906" s="239" t="n"/>
    </row>
    <row r="32907" ht="14.25" customHeight="1" s="192">
      <c r="W32907" s="235" t="n"/>
      <c r="X32907" s="235" t="n"/>
    </row>
    <row r="32908" ht="14.25" customHeight="1" s="192">
      <c r="W32908" s="239" t="n"/>
      <c r="X32908" s="239" t="n"/>
    </row>
    <row r="32910" ht="14.25" customHeight="1" s="192">
      <c r="W32910" s="235" t="n"/>
      <c r="X32910" s="235" t="n"/>
    </row>
    <row r="32911" ht="15" customHeight="1" s="192" thickBot="1">
      <c r="W32911" s="239" t="n"/>
      <c r="X32911" s="239" t="n"/>
    </row>
    <row r="32912" ht="15" customHeight="1" s="192" thickBot="1">
      <c r="W32912" s="45" t="n"/>
      <c r="X32912" s="45" t="n"/>
    </row>
    <row r="32913" ht="14.25" customHeight="1" s="192">
      <c r="W32913" s="228" t="n"/>
      <c r="X32913" s="228" t="n"/>
    </row>
    <row r="32914" ht="14.25" customHeight="1" s="192">
      <c r="W32914" s="228" t="n"/>
      <c r="X32914" s="228" t="n"/>
    </row>
    <row r="32915" ht="14.25" customHeight="1" s="192">
      <c r="W32915" s="231" t="n"/>
      <c r="X32915" s="231" t="n"/>
    </row>
    <row r="32916" ht="14.25" customHeight="1" s="192">
      <c r="W32916" s="33" t="n"/>
      <c r="X32916" s="33" t="n"/>
    </row>
    <row r="32917" ht="14.25" customHeight="1" s="192">
      <c r="W32917" s="231" t="n"/>
      <c r="X32917" s="231" t="n"/>
    </row>
    <row r="32918" ht="14.25" customHeight="1" s="192">
      <c r="W32918" s="33" t="n"/>
      <c r="X32918" s="33" t="n"/>
    </row>
    <row r="32920" ht="14.25" customHeight="1" s="192">
      <c r="W32920" s="231" t="n"/>
      <c r="X32920" s="231" t="n"/>
    </row>
    <row r="32921" ht="14.25" customHeight="1" s="192">
      <c r="W32921" s="235" t="n"/>
      <c r="X32921" s="235" t="n"/>
    </row>
    <row r="32922" ht="14.25" customHeight="1" s="192">
      <c r="W32922" s="228" t="n"/>
      <c r="X32922" s="228" t="n"/>
    </row>
    <row r="32923" ht="14.25" customHeight="1" s="192">
      <c r="W32923" s="235" t="n"/>
      <c r="X32923" s="235" t="n"/>
    </row>
    <row r="32924" ht="14.25" customHeight="1" s="192">
      <c r="W32924" s="235" t="n"/>
      <c r="X32924" s="235" t="n"/>
    </row>
    <row r="32925" ht="14.25" customHeight="1" s="192">
      <c r="W32925" s="235" t="n"/>
      <c r="X32925" s="235" t="n"/>
    </row>
    <row r="32926" ht="14.25" customHeight="1" s="192">
      <c r="W32926" s="239" t="n"/>
      <c r="X32926" s="239" t="n"/>
    </row>
    <row r="32927" ht="14.25" customHeight="1" s="192">
      <c r="W32927" s="239" t="n"/>
      <c r="X32927" s="239" t="n"/>
    </row>
    <row r="32928" ht="14.25" customHeight="1" s="192">
      <c r="W32928" s="239" t="n"/>
      <c r="X32928" s="239" t="n"/>
    </row>
    <row r="32929" ht="14.25" customHeight="1" s="192">
      <c r="W32929" s="235" t="n"/>
      <c r="X32929" s="235" t="n"/>
    </row>
    <row r="32930" ht="14.25" customHeight="1" s="192">
      <c r="W32930" s="235" t="n"/>
      <c r="X32930" s="235" t="n"/>
    </row>
    <row r="32931" ht="14.25" customHeight="1" s="192">
      <c r="W32931" s="235" t="n"/>
      <c r="X32931" s="235" t="n"/>
    </row>
    <row r="32932" ht="14.25" customHeight="1" s="192">
      <c r="W32932" s="239" t="n"/>
      <c r="X32932" s="239" t="n"/>
    </row>
    <row r="32933" ht="14.25" customHeight="1" s="192">
      <c r="W32933" s="239" t="n"/>
      <c r="X32933" s="239" t="n"/>
    </row>
    <row r="32934" ht="14.25" customHeight="1" s="192">
      <c r="W32934" s="235" t="n"/>
      <c r="X32934" s="235" t="n"/>
    </row>
    <row r="32935" ht="14.25" customHeight="1" s="192">
      <c r="W32935" s="235" t="n"/>
      <c r="X32935" s="235" t="n"/>
    </row>
    <row r="32936" ht="14.25" customHeight="1" s="192">
      <c r="W32936" s="239" t="n"/>
      <c r="X32936" s="239" t="n"/>
    </row>
    <row r="32937" ht="14.25" customHeight="1" s="192">
      <c r="W32937" s="235" t="n"/>
      <c r="X32937" s="235" t="n"/>
    </row>
    <row r="32938" ht="14.25" customHeight="1" s="192">
      <c r="W32938" s="239" t="n"/>
      <c r="X32938" s="239" t="n"/>
    </row>
    <row r="32940" ht="14.25" customHeight="1" s="192">
      <c r="W32940" s="235" t="n"/>
      <c r="X32940" s="235" t="n"/>
    </row>
    <row r="32941" ht="15" customHeight="1" s="192" thickBot="1">
      <c r="W32941" s="239" t="n"/>
      <c r="X32941" s="239" t="n"/>
    </row>
    <row r="32942" ht="15" customHeight="1" s="192" thickBot="1">
      <c r="W32942" s="45" t="n"/>
      <c r="X32942" s="45" t="n"/>
    </row>
    <row r="32943" ht="14.25" customHeight="1" s="192">
      <c r="W32943" s="228" t="n"/>
      <c r="X32943" s="228" t="n"/>
    </row>
    <row r="32944" ht="14.25" customHeight="1" s="192">
      <c r="W32944" s="228" t="n"/>
      <c r="X32944" s="228" t="n"/>
    </row>
    <row r="32945" ht="14.25" customHeight="1" s="192">
      <c r="W32945" s="231" t="n"/>
      <c r="X32945" s="231" t="n"/>
    </row>
    <row r="32946" ht="14.25" customHeight="1" s="192">
      <c r="W32946" s="33" t="n"/>
      <c r="X32946" s="33" t="n"/>
    </row>
    <row r="32947" ht="14.25" customHeight="1" s="192">
      <c r="W32947" s="231" t="n"/>
      <c r="X32947" s="231" t="n"/>
    </row>
    <row r="32948" ht="14.25" customHeight="1" s="192">
      <c r="W32948" s="33" t="n"/>
      <c r="X32948" s="33" t="n"/>
    </row>
    <row r="32950" ht="14.25" customHeight="1" s="192">
      <c r="W32950" s="231" t="n"/>
      <c r="X32950" s="231" t="n"/>
    </row>
    <row r="32951" ht="14.25" customHeight="1" s="192">
      <c r="W32951" s="235" t="n"/>
      <c r="X32951" s="235" t="n"/>
    </row>
    <row r="32952" ht="14.25" customHeight="1" s="192">
      <c r="W32952" s="228" t="n"/>
      <c r="X32952" s="228" t="n"/>
    </row>
    <row r="32953" ht="14.25" customHeight="1" s="192">
      <c r="W32953" s="235" t="n"/>
      <c r="X32953" s="235" t="n"/>
    </row>
    <row r="32954" ht="14.25" customHeight="1" s="192">
      <c r="W32954" s="235" t="n"/>
      <c r="X32954" s="235" t="n"/>
    </row>
    <row r="32955" ht="14.25" customHeight="1" s="192">
      <c r="W32955" s="235" t="n"/>
      <c r="X32955" s="235" t="n"/>
    </row>
    <row r="32956" ht="14.25" customHeight="1" s="192">
      <c r="W32956" s="239" t="n"/>
      <c r="X32956" s="239" t="n"/>
    </row>
    <row r="32957" ht="14.25" customHeight="1" s="192">
      <c r="W32957" s="239" t="n"/>
      <c r="X32957" s="239" t="n"/>
    </row>
    <row r="32958" ht="14.25" customHeight="1" s="192">
      <c r="W32958" s="239" t="n"/>
      <c r="X32958" s="239" t="n"/>
    </row>
    <row r="32959" ht="14.25" customHeight="1" s="192">
      <c r="W32959" s="235" t="n"/>
      <c r="X32959" s="235" t="n"/>
    </row>
    <row r="32960" ht="14.25" customHeight="1" s="192">
      <c r="W32960" s="235" t="n"/>
      <c r="X32960" s="235" t="n"/>
    </row>
    <row r="32961" ht="14.25" customHeight="1" s="192">
      <c r="W32961" s="235" t="n"/>
      <c r="X32961" s="235" t="n"/>
    </row>
    <row r="32962" ht="14.25" customHeight="1" s="192">
      <c r="W32962" s="239" t="n"/>
      <c r="X32962" s="239" t="n"/>
    </row>
    <row r="32963" ht="14.25" customHeight="1" s="192">
      <c r="W32963" s="239" t="n"/>
      <c r="X32963" s="239" t="n"/>
    </row>
    <row r="32964" ht="14.25" customHeight="1" s="192">
      <c r="W32964" s="235" t="n"/>
      <c r="X32964" s="235" t="n"/>
    </row>
    <row r="32965" ht="14.25" customHeight="1" s="192">
      <c r="W32965" s="235" t="n"/>
      <c r="X32965" s="235" t="n"/>
    </row>
    <row r="32966" ht="14.25" customHeight="1" s="192">
      <c r="W32966" s="239" t="n"/>
      <c r="X32966" s="239" t="n"/>
    </row>
    <row r="32967" ht="14.25" customHeight="1" s="192">
      <c r="W32967" s="235" t="n"/>
      <c r="X32967" s="235" t="n"/>
    </row>
    <row r="32968" ht="14.25" customHeight="1" s="192">
      <c r="W32968" s="239" t="n"/>
      <c r="X32968" s="239" t="n"/>
    </row>
    <row r="32970" ht="14.25" customHeight="1" s="192">
      <c r="W32970" s="235" t="n"/>
      <c r="X32970" s="235" t="n"/>
    </row>
    <row r="32971" ht="15" customHeight="1" s="192" thickBot="1">
      <c r="W32971" s="239" t="n"/>
      <c r="X32971" s="239" t="n"/>
    </row>
    <row r="32972" ht="15" customHeight="1" s="192" thickBot="1">
      <c r="W32972" s="45" t="n"/>
      <c r="X32972" s="45" t="n"/>
    </row>
    <row r="32973" ht="14.25" customHeight="1" s="192">
      <c r="W32973" s="228" t="n"/>
      <c r="X32973" s="228" t="n"/>
    </row>
    <row r="32974" ht="14.25" customHeight="1" s="192">
      <c r="W32974" s="228" t="n"/>
      <c r="X32974" s="228" t="n"/>
    </row>
    <row r="32975" ht="14.25" customHeight="1" s="192">
      <c r="W32975" s="231" t="n"/>
      <c r="X32975" s="231" t="n"/>
    </row>
    <row r="32976" ht="14.25" customHeight="1" s="192">
      <c r="W32976" s="33" t="n"/>
      <c r="X32976" s="33" t="n"/>
    </row>
    <row r="32977" ht="14.25" customHeight="1" s="192">
      <c r="W32977" s="231" t="n"/>
      <c r="X32977" s="231" t="n"/>
    </row>
    <row r="32978" ht="14.25" customHeight="1" s="192">
      <c r="W32978" s="33" t="n"/>
      <c r="X32978" s="33" t="n"/>
    </row>
    <row r="32980" ht="14.25" customHeight="1" s="192">
      <c r="W32980" s="231" t="n"/>
      <c r="X32980" s="231" t="n"/>
    </row>
    <row r="32981" ht="14.25" customHeight="1" s="192">
      <c r="W32981" s="235" t="n"/>
      <c r="X32981" s="235" t="n"/>
    </row>
    <row r="32982" ht="14.25" customHeight="1" s="192">
      <c r="W32982" s="228" t="n"/>
      <c r="X32982" s="228" t="n"/>
    </row>
    <row r="32983" ht="14.25" customHeight="1" s="192">
      <c r="W32983" s="235" t="n"/>
      <c r="X32983" s="235" t="n"/>
    </row>
    <row r="32984" ht="14.25" customHeight="1" s="192">
      <c r="W32984" s="235" t="n"/>
      <c r="X32984" s="235" t="n"/>
    </row>
    <row r="32985" ht="14.25" customHeight="1" s="192">
      <c r="W32985" s="235" t="n"/>
      <c r="X32985" s="235" t="n"/>
    </row>
    <row r="32986" ht="14.25" customHeight="1" s="192">
      <c r="W32986" s="239" t="n"/>
      <c r="X32986" s="239" t="n"/>
    </row>
    <row r="32987" ht="14.25" customHeight="1" s="192">
      <c r="W32987" s="239" t="n"/>
      <c r="X32987" s="239" t="n"/>
    </row>
    <row r="32988" ht="14.25" customHeight="1" s="192">
      <c r="W32988" s="239" t="n"/>
      <c r="X32988" s="239" t="n"/>
    </row>
    <row r="32989" ht="14.25" customHeight="1" s="192">
      <c r="W32989" s="235" t="n"/>
      <c r="X32989" s="235" t="n"/>
    </row>
    <row r="32990" ht="14.25" customHeight="1" s="192">
      <c r="W32990" s="235" t="n"/>
      <c r="X32990" s="235" t="n"/>
    </row>
    <row r="32991" ht="14.25" customHeight="1" s="192">
      <c r="W32991" s="235" t="n"/>
      <c r="X32991" s="235" t="n"/>
    </row>
    <row r="32992" ht="14.25" customHeight="1" s="192">
      <c r="W32992" s="239" t="n"/>
      <c r="X32992" s="239" t="n"/>
    </row>
    <row r="32993" ht="14.25" customHeight="1" s="192">
      <c r="W32993" s="239" t="n"/>
      <c r="X32993" s="239" t="n"/>
    </row>
    <row r="32994" ht="14.25" customHeight="1" s="192">
      <c r="W32994" s="235" t="n"/>
      <c r="X32994" s="235" t="n"/>
    </row>
    <row r="32995" ht="14.25" customHeight="1" s="192">
      <c r="W32995" s="235" t="n"/>
      <c r="X32995" s="235" t="n"/>
    </row>
    <row r="32996" ht="14.25" customHeight="1" s="192">
      <c r="W32996" s="239" t="n"/>
      <c r="X32996" s="239" t="n"/>
    </row>
    <row r="32997" ht="14.25" customHeight="1" s="192">
      <c r="W32997" s="235" t="n"/>
      <c r="X32997" s="235" t="n"/>
    </row>
    <row r="32998" ht="14.25" customHeight="1" s="192">
      <c r="W32998" s="239" t="n"/>
      <c r="X32998" s="239" t="n"/>
    </row>
    <row r="33000" ht="14.25" customHeight="1" s="192">
      <c r="W33000" s="235" t="n"/>
      <c r="X33000" s="235" t="n"/>
    </row>
    <row r="33001" ht="15" customHeight="1" s="192" thickBot="1">
      <c r="W33001" s="239" t="n"/>
      <c r="X33001" s="239" t="n"/>
    </row>
    <row r="33002" ht="15" customHeight="1" s="192" thickBot="1">
      <c r="W33002" s="45" t="n"/>
      <c r="X33002" s="45" t="n"/>
    </row>
    <row r="33003" ht="14.25" customHeight="1" s="192">
      <c r="W33003" s="228" t="n"/>
      <c r="X33003" s="228" t="n"/>
    </row>
    <row r="33004" ht="14.25" customHeight="1" s="192">
      <c r="W33004" s="228" t="n"/>
      <c r="X33004" s="228" t="n"/>
    </row>
    <row r="33005" ht="14.25" customHeight="1" s="192">
      <c r="W33005" s="231" t="n"/>
      <c r="X33005" s="231" t="n"/>
    </row>
    <row r="33006" ht="14.25" customHeight="1" s="192">
      <c r="W33006" s="33" t="n"/>
      <c r="X33006" s="33" t="n"/>
    </row>
    <row r="33007" ht="14.25" customHeight="1" s="192">
      <c r="W33007" s="231" t="n"/>
      <c r="X33007" s="231" t="n"/>
    </row>
    <row r="33008" ht="14.25" customHeight="1" s="192">
      <c r="W33008" s="33" t="n"/>
      <c r="X33008" s="33" t="n"/>
    </row>
    <row r="33010" ht="14.25" customHeight="1" s="192">
      <c r="W33010" s="231" t="n"/>
      <c r="X33010" s="231" t="n"/>
    </row>
    <row r="33011" ht="14.25" customHeight="1" s="192">
      <c r="W33011" s="235" t="n"/>
      <c r="X33011" s="235" t="n"/>
    </row>
    <row r="33012" ht="14.25" customHeight="1" s="192">
      <c r="W33012" s="228" t="n"/>
      <c r="X33012" s="228" t="n"/>
    </row>
    <row r="33013" ht="14.25" customHeight="1" s="192">
      <c r="W33013" s="235" t="n"/>
      <c r="X33013" s="235" t="n"/>
    </row>
    <row r="33014" ht="14.25" customHeight="1" s="192">
      <c r="W33014" s="235" t="n"/>
      <c r="X33014" s="235" t="n"/>
    </row>
    <row r="33015" ht="14.25" customHeight="1" s="192">
      <c r="W33015" s="235" t="n"/>
      <c r="X33015" s="235" t="n"/>
    </row>
    <row r="33016" ht="14.25" customHeight="1" s="192">
      <c r="W33016" s="239" t="n"/>
      <c r="X33016" s="239" t="n"/>
    </row>
    <row r="33017" ht="14.25" customHeight="1" s="192">
      <c r="W33017" s="239" t="n"/>
      <c r="X33017" s="239" t="n"/>
    </row>
    <row r="33018" ht="14.25" customHeight="1" s="192">
      <c r="W33018" s="239" t="n"/>
      <c r="X33018" s="239" t="n"/>
    </row>
    <row r="33019" ht="14.25" customHeight="1" s="192">
      <c r="W33019" s="235" t="n"/>
      <c r="X33019" s="235" t="n"/>
    </row>
    <row r="33020" ht="14.25" customHeight="1" s="192">
      <c r="W33020" s="235" t="n"/>
      <c r="X33020" s="235" t="n"/>
    </row>
    <row r="33021" ht="14.25" customHeight="1" s="192">
      <c r="W33021" s="235" t="n"/>
      <c r="X33021" s="235" t="n"/>
    </row>
    <row r="33022" ht="14.25" customHeight="1" s="192">
      <c r="W33022" s="239" t="n"/>
      <c r="X33022" s="239" t="n"/>
    </row>
    <row r="33023" ht="14.25" customHeight="1" s="192">
      <c r="W33023" s="239" t="n"/>
      <c r="X33023" s="239" t="n"/>
    </row>
    <row r="33024" ht="14.25" customHeight="1" s="192">
      <c r="W33024" s="235" t="n"/>
      <c r="X33024" s="235" t="n"/>
    </row>
    <row r="33025" ht="14.25" customHeight="1" s="192">
      <c r="W33025" s="235" t="n"/>
      <c r="X33025" s="235" t="n"/>
    </row>
    <row r="33026" ht="14.25" customHeight="1" s="192">
      <c r="W33026" s="239" t="n"/>
      <c r="X33026" s="239" t="n"/>
    </row>
    <row r="33027" ht="14.25" customHeight="1" s="192">
      <c r="W33027" s="235" t="n"/>
      <c r="X33027" s="235" t="n"/>
    </row>
    <row r="33028" ht="14.25" customHeight="1" s="192">
      <c r="W33028" s="239" t="n"/>
      <c r="X33028" s="239" t="n"/>
    </row>
    <row r="33030" ht="14.25" customHeight="1" s="192">
      <c r="W33030" s="235" t="n"/>
      <c r="X33030" s="235" t="n"/>
    </row>
    <row r="33031" ht="15" customHeight="1" s="192" thickBot="1">
      <c r="W33031" s="239" t="n"/>
      <c r="X33031" s="239" t="n"/>
    </row>
    <row r="33032" ht="15" customHeight="1" s="192" thickBot="1">
      <c r="W33032" s="45" t="n"/>
      <c r="X33032" s="45" t="n"/>
    </row>
    <row r="33033" ht="14.25" customHeight="1" s="192">
      <c r="W33033" s="228" t="n"/>
      <c r="X33033" s="228" t="n"/>
    </row>
    <row r="33034" ht="14.25" customHeight="1" s="192">
      <c r="W33034" s="228" t="n"/>
      <c r="X33034" s="228" t="n"/>
    </row>
    <row r="33035" ht="14.25" customHeight="1" s="192">
      <c r="W33035" s="231" t="n"/>
      <c r="X33035" s="231" t="n"/>
    </row>
    <row r="33036" ht="14.25" customHeight="1" s="192">
      <c r="W33036" s="33" t="n"/>
      <c r="X33036" s="33" t="n"/>
    </row>
    <row r="33037" ht="14.25" customHeight="1" s="192">
      <c r="W33037" s="231" t="n"/>
      <c r="X33037" s="231" t="n"/>
    </row>
    <row r="33038" ht="14.25" customHeight="1" s="192">
      <c r="W33038" s="33" t="n"/>
      <c r="X33038" s="33" t="n"/>
    </row>
    <row r="33040" ht="14.25" customHeight="1" s="192">
      <c r="W33040" s="231" t="n"/>
      <c r="X33040" s="231" t="n"/>
    </row>
    <row r="33041" ht="14.25" customHeight="1" s="192">
      <c r="W33041" s="235" t="n"/>
      <c r="X33041" s="235" t="n"/>
    </row>
    <row r="33042" ht="14.25" customHeight="1" s="192">
      <c r="W33042" s="228" t="n"/>
      <c r="X33042" s="228" t="n"/>
    </row>
    <row r="33043" ht="14.25" customHeight="1" s="192">
      <c r="W33043" s="235" t="n"/>
      <c r="X33043" s="235" t="n"/>
    </row>
    <row r="33044" ht="14.25" customHeight="1" s="192">
      <c r="W33044" s="235" t="n"/>
      <c r="X33044" s="235" t="n"/>
    </row>
    <row r="33045" ht="14.25" customHeight="1" s="192">
      <c r="W33045" s="235" t="n"/>
      <c r="X33045" s="235" t="n"/>
    </row>
    <row r="33046" ht="14.25" customHeight="1" s="192">
      <c r="W33046" s="239" t="n"/>
      <c r="X33046" s="239" t="n"/>
    </row>
    <row r="33047" ht="14.25" customHeight="1" s="192">
      <c r="W33047" s="239" t="n"/>
      <c r="X33047" s="239" t="n"/>
    </row>
    <row r="33048" ht="14.25" customHeight="1" s="192">
      <c r="W33048" s="239" t="n"/>
      <c r="X33048" s="239" t="n"/>
    </row>
    <row r="33049" ht="14.25" customHeight="1" s="192">
      <c r="W33049" s="235" t="n"/>
      <c r="X33049" s="235" t="n"/>
    </row>
    <row r="33050" ht="14.25" customHeight="1" s="192">
      <c r="W33050" s="235" t="n"/>
      <c r="X33050" s="235" t="n"/>
    </row>
    <row r="33051" ht="14.25" customHeight="1" s="192">
      <c r="W33051" s="235" t="n"/>
      <c r="X33051" s="235" t="n"/>
    </row>
    <row r="33052" ht="14.25" customHeight="1" s="192">
      <c r="W33052" s="239" t="n"/>
      <c r="X33052" s="239" t="n"/>
    </row>
    <row r="33053" ht="14.25" customHeight="1" s="192">
      <c r="W33053" s="239" t="n"/>
      <c r="X33053" s="239" t="n"/>
    </row>
    <row r="33054" ht="14.25" customHeight="1" s="192">
      <c r="W33054" s="235" t="n"/>
      <c r="X33054" s="235" t="n"/>
    </row>
    <row r="33055" ht="14.25" customHeight="1" s="192">
      <c r="W33055" s="235" t="n"/>
      <c r="X33055" s="235" t="n"/>
    </row>
    <row r="33056" ht="14.25" customHeight="1" s="192">
      <c r="W33056" s="239" t="n"/>
      <c r="X33056" s="239" t="n"/>
    </row>
    <row r="33057" ht="14.25" customHeight="1" s="192">
      <c r="W33057" s="235" t="n"/>
      <c r="X33057" s="235" t="n"/>
    </row>
    <row r="33058" ht="14.25" customHeight="1" s="192">
      <c r="W33058" s="239" t="n"/>
      <c r="X33058" s="239" t="n"/>
    </row>
    <row r="33060" ht="14.25" customHeight="1" s="192">
      <c r="W33060" s="235" t="n"/>
      <c r="X33060" s="235" t="n"/>
    </row>
    <row r="33061" ht="15" customHeight="1" s="192" thickBot="1">
      <c r="W33061" s="239" t="n"/>
      <c r="X33061" s="239" t="n"/>
    </row>
    <row r="33062" ht="15" customHeight="1" s="192" thickBot="1">
      <c r="W33062" s="45" t="n"/>
      <c r="X33062" s="45" t="n"/>
    </row>
    <row r="33063" ht="14.25" customHeight="1" s="192">
      <c r="W33063" s="228" t="n"/>
      <c r="X33063" s="228" t="n"/>
    </row>
    <row r="33064" ht="14.25" customHeight="1" s="192">
      <c r="W33064" s="228" t="n"/>
      <c r="X33064" s="228" t="n"/>
    </row>
    <row r="33065" ht="14.25" customHeight="1" s="192">
      <c r="W33065" s="231" t="n"/>
      <c r="X33065" s="231" t="n"/>
    </row>
    <row r="33066" ht="14.25" customHeight="1" s="192">
      <c r="W33066" s="33" t="n"/>
      <c r="X33066" s="33" t="n"/>
    </row>
    <row r="33067" ht="14.25" customHeight="1" s="192">
      <c r="W33067" s="231" t="n"/>
      <c r="X33067" s="231" t="n"/>
    </row>
    <row r="33068" ht="14.25" customHeight="1" s="192">
      <c r="W33068" s="33" t="n"/>
      <c r="X33068" s="33" t="n"/>
    </row>
    <row r="33070" ht="14.25" customHeight="1" s="192">
      <c r="W33070" s="231" t="n"/>
      <c r="X33070" s="231" t="n"/>
    </row>
    <row r="33071" ht="14.25" customHeight="1" s="192">
      <c r="W33071" s="235" t="n"/>
      <c r="X33071" s="235" t="n"/>
    </row>
    <row r="33072" ht="14.25" customHeight="1" s="192">
      <c r="W33072" s="228" t="n"/>
      <c r="X33072" s="228" t="n"/>
    </row>
    <row r="33073" ht="14.25" customHeight="1" s="192">
      <c r="W33073" s="235" t="n"/>
      <c r="X33073" s="235" t="n"/>
    </row>
    <row r="33074" ht="14.25" customHeight="1" s="192">
      <c r="W33074" s="235" t="n"/>
      <c r="X33074" s="235" t="n"/>
    </row>
    <row r="33075" ht="14.25" customHeight="1" s="192">
      <c r="W33075" s="235" t="n"/>
      <c r="X33075" s="235" t="n"/>
    </row>
    <row r="33076" ht="14.25" customHeight="1" s="192">
      <c r="W33076" s="239" t="n"/>
      <c r="X33076" s="239" t="n"/>
    </row>
    <row r="33077" ht="14.25" customHeight="1" s="192">
      <c r="W33077" s="239" t="n"/>
      <c r="X33077" s="239" t="n"/>
    </row>
    <row r="33078" ht="14.25" customHeight="1" s="192">
      <c r="W33078" s="239" t="n"/>
      <c r="X33078" s="239" t="n"/>
    </row>
    <row r="33079" ht="14.25" customHeight="1" s="192">
      <c r="W33079" s="235" t="n"/>
      <c r="X33079" s="235" t="n"/>
    </row>
    <row r="33080" ht="14.25" customHeight="1" s="192">
      <c r="W33080" s="235" t="n"/>
      <c r="X33080" s="235" t="n"/>
    </row>
    <row r="33081" ht="14.25" customHeight="1" s="192">
      <c r="W33081" s="235" t="n"/>
      <c r="X33081" s="235" t="n"/>
    </row>
    <row r="33082" ht="14.25" customHeight="1" s="192">
      <c r="W33082" s="239" t="n"/>
      <c r="X33082" s="239" t="n"/>
    </row>
    <row r="33083" ht="14.25" customHeight="1" s="192">
      <c r="W33083" s="239" t="n"/>
      <c r="X33083" s="239" t="n"/>
    </row>
    <row r="33084" ht="14.25" customHeight="1" s="192">
      <c r="W33084" s="235" t="n"/>
      <c r="X33084" s="235" t="n"/>
    </row>
    <row r="33085" ht="14.25" customHeight="1" s="192">
      <c r="W33085" s="235" t="n"/>
      <c r="X33085" s="235" t="n"/>
    </row>
    <row r="33086" ht="14.25" customHeight="1" s="192">
      <c r="W33086" s="239" t="n"/>
      <c r="X33086" s="239" t="n"/>
    </row>
    <row r="33087" ht="14.25" customHeight="1" s="192">
      <c r="W33087" s="235" t="n"/>
      <c r="X33087" s="235" t="n"/>
    </row>
    <row r="33088" ht="14.25" customHeight="1" s="192">
      <c r="W33088" s="239" t="n"/>
      <c r="X33088" s="239" t="n"/>
    </row>
    <row r="33090" ht="14.25" customHeight="1" s="192">
      <c r="W33090" s="235" t="n"/>
      <c r="X33090" s="235" t="n"/>
    </row>
    <row r="33091" ht="15" customHeight="1" s="192" thickBot="1">
      <c r="W33091" s="239" t="n"/>
      <c r="X33091" s="239" t="n"/>
    </row>
    <row r="33092" ht="15" customHeight="1" s="192" thickBot="1">
      <c r="W33092" s="45" t="n"/>
      <c r="X33092" s="45" t="n"/>
    </row>
    <row r="33093" ht="14.25" customHeight="1" s="192">
      <c r="W33093" s="228" t="n"/>
      <c r="X33093" s="228" t="n"/>
    </row>
    <row r="33094" ht="14.25" customHeight="1" s="192">
      <c r="W33094" s="228" t="n"/>
      <c r="X33094" s="228" t="n"/>
    </row>
    <row r="33095" ht="14.25" customHeight="1" s="192">
      <c r="W33095" s="231" t="n"/>
      <c r="X33095" s="231" t="n"/>
    </row>
    <row r="33096" ht="14.25" customHeight="1" s="192">
      <c r="W33096" s="33" t="n"/>
      <c r="X33096" s="33" t="n"/>
    </row>
    <row r="33097" ht="14.25" customHeight="1" s="192">
      <c r="W33097" s="231" t="n"/>
      <c r="X33097" s="231" t="n"/>
    </row>
    <row r="33098" ht="14.25" customHeight="1" s="192">
      <c r="W33098" s="33" t="n"/>
      <c r="X33098" s="33" t="n"/>
    </row>
    <row r="33100" ht="14.25" customHeight="1" s="192">
      <c r="W33100" s="231" t="n"/>
      <c r="X33100" s="231" t="n"/>
    </row>
    <row r="33101" ht="14.25" customHeight="1" s="192">
      <c r="W33101" s="235" t="n"/>
      <c r="X33101" s="235" t="n"/>
    </row>
    <row r="33102" ht="14.25" customHeight="1" s="192">
      <c r="W33102" s="228" t="n"/>
      <c r="X33102" s="228" t="n"/>
    </row>
    <row r="33103" ht="14.25" customHeight="1" s="192">
      <c r="W33103" s="235" t="n"/>
      <c r="X33103" s="235" t="n"/>
    </row>
    <row r="33104" ht="14.25" customHeight="1" s="192">
      <c r="W33104" s="235" t="n"/>
      <c r="X33104" s="235" t="n"/>
    </row>
    <row r="33105" ht="14.25" customHeight="1" s="192">
      <c r="W33105" s="235" t="n"/>
      <c r="X33105" s="235" t="n"/>
    </row>
    <row r="33106" ht="14.25" customHeight="1" s="192">
      <c r="W33106" s="239" t="n"/>
      <c r="X33106" s="239" t="n"/>
    </row>
    <row r="33107" ht="14.25" customHeight="1" s="192">
      <c r="W33107" s="239" t="n"/>
      <c r="X33107" s="239" t="n"/>
    </row>
    <row r="33108" ht="14.25" customHeight="1" s="192">
      <c r="W33108" s="239" t="n"/>
      <c r="X33108" s="239" t="n"/>
    </row>
    <row r="33109" ht="14.25" customHeight="1" s="192">
      <c r="W33109" s="235" t="n"/>
      <c r="X33109" s="235" t="n"/>
    </row>
    <row r="33110" ht="14.25" customHeight="1" s="192">
      <c r="W33110" s="235" t="n"/>
      <c r="X33110" s="235" t="n"/>
    </row>
    <row r="33111" ht="14.25" customHeight="1" s="192">
      <c r="W33111" s="235" t="n"/>
      <c r="X33111" s="235" t="n"/>
    </row>
    <row r="33112" ht="14.25" customHeight="1" s="192">
      <c r="W33112" s="239" t="n"/>
      <c r="X33112" s="239" t="n"/>
    </row>
    <row r="33113" ht="14.25" customHeight="1" s="192">
      <c r="W33113" s="239" t="n"/>
      <c r="X33113" s="239" t="n"/>
    </row>
    <row r="33114" ht="14.25" customHeight="1" s="192">
      <c r="W33114" s="235" t="n"/>
      <c r="X33114" s="235" t="n"/>
    </row>
    <row r="33115" ht="14.25" customHeight="1" s="192">
      <c r="W33115" s="235" t="n"/>
      <c r="X33115" s="235" t="n"/>
    </row>
    <row r="33116" ht="14.25" customHeight="1" s="192">
      <c r="W33116" s="239" t="n"/>
      <c r="X33116" s="239" t="n"/>
    </row>
    <row r="33117" ht="14.25" customHeight="1" s="192">
      <c r="W33117" s="235" t="n"/>
      <c r="X33117" s="235" t="n"/>
    </row>
    <row r="33118" ht="14.25" customHeight="1" s="192">
      <c r="W33118" s="239" t="n"/>
      <c r="X33118" s="239" t="n"/>
    </row>
    <row r="33120" ht="14.25" customHeight="1" s="192">
      <c r="W33120" s="235" t="n"/>
      <c r="X33120" s="235" t="n"/>
    </row>
    <row r="33121" ht="15" customHeight="1" s="192" thickBot="1">
      <c r="W33121" s="239" t="n"/>
      <c r="X33121" s="239" t="n"/>
    </row>
    <row r="33122" ht="15" customHeight="1" s="192" thickBot="1">
      <c r="W33122" s="45" t="n"/>
      <c r="X33122" s="45" t="n"/>
    </row>
    <row r="33123" ht="14.25" customHeight="1" s="192">
      <c r="W33123" s="228" t="n"/>
      <c r="X33123" s="228" t="n"/>
    </row>
    <row r="33124" ht="14.25" customHeight="1" s="192">
      <c r="W33124" s="228" t="n"/>
      <c r="X33124" s="228" t="n"/>
    </row>
    <row r="33125" ht="14.25" customHeight="1" s="192">
      <c r="W33125" s="231" t="n"/>
      <c r="X33125" s="231" t="n"/>
    </row>
    <row r="33126" ht="14.25" customHeight="1" s="192">
      <c r="W33126" s="33" t="n"/>
      <c r="X33126" s="33" t="n"/>
    </row>
    <row r="33127" ht="14.25" customHeight="1" s="192">
      <c r="W33127" s="231" t="n"/>
      <c r="X33127" s="231" t="n"/>
    </row>
    <row r="33128" ht="14.25" customHeight="1" s="192">
      <c r="W33128" s="33" t="n"/>
      <c r="X33128" s="33" t="n"/>
    </row>
    <row r="33130" ht="14.25" customHeight="1" s="192">
      <c r="W33130" s="231" t="n"/>
      <c r="X33130" s="231" t="n"/>
    </row>
    <row r="33131" ht="14.25" customHeight="1" s="192">
      <c r="W33131" s="235" t="n"/>
      <c r="X33131" s="235" t="n"/>
    </row>
    <row r="33132" ht="14.25" customHeight="1" s="192">
      <c r="W33132" s="228" t="n"/>
      <c r="X33132" s="228" t="n"/>
    </row>
    <row r="33133" ht="14.25" customHeight="1" s="192">
      <c r="W33133" s="235" t="n"/>
      <c r="X33133" s="235" t="n"/>
    </row>
    <row r="33134" ht="14.25" customHeight="1" s="192">
      <c r="W33134" s="235" t="n"/>
      <c r="X33134" s="235" t="n"/>
    </row>
    <row r="33135" ht="14.25" customHeight="1" s="192">
      <c r="W33135" s="235" t="n"/>
      <c r="X33135" s="235" t="n"/>
    </row>
    <row r="33136" ht="14.25" customHeight="1" s="192">
      <c r="W33136" s="239" t="n"/>
      <c r="X33136" s="239" t="n"/>
    </row>
    <row r="33137" ht="14.25" customHeight="1" s="192">
      <c r="W33137" s="239" t="n"/>
      <c r="X33137" s="239" t="n"/>
    </row>
    <row r="33138" ht="14.25" customHeight="1" s="192">
      <c r="W33138" s="239" t="n"/>
      <c r="X33138" s="239" t="n"/>
    </row>
    <row r="33139" ht="14.25" customHeight="1" s="192">
      <c r="W33139" s="235" t="n"/>
      <c r="X33139" s="235" t="n"/>
    </row>
    <row r="33140" ht="14.25" customHeight="1" s="192">
      <c r="W33140" s="235" t="n"/>
      <c r="X33140" s="235" t="n"/>
    </row>
    <row r="33141" ht="14.25" customHeight="1" s="192">
      <c r="W33141" s="235" t="n"/>
      <c r="X33141" s="235" t="n"/>
    </row>
    <row r="33142" ht="14.25" customHeight="1" s="192">
      <c r="W33142" s="239" t="n"/>
      <c r="X33142" s="239" t="n"/>
    </row>
    <row r="33143" ht="14.25" customHeight="1" s="192">
      <c r="W33143" s="239" t="n"/>
      <c r="X33143" s="239" t="n"/>
    </row>
    <row r="33144" ht="14.25" customHeight="1" s="192">
      <c r="W33144" s="235" t="n"/>
      <c r="X33144" s="235" t="n"/>
    </row>
    <row r="33145" ht="14.25" customHeight="1" s="192">
      <c r="W33145" s="235" t="n"/>
      <c r="X33145" s="235" t="n"/>
    </row>
    <row r="33146" ht="14.25" customHeight="1" s="192">
      <c r="W33146" s="239" t="n"/>
      <c r="X33146" s="239" t="n"/>
    </row>
    <row r="33147" ht="14.25" customHeight="1" s="192">
      <c r="W33147" s="235" t="n"/>
      <c r="X33147" s="235" t="n"/>
    </row>
    <row r="33148" ht="14.25" customHeight="1" s="192">
      <c r="W33148" s="239" t="n"/>
      <c r="X33148" s="239" t="n"/>
    </row>
    <row r="33150" ht="14.25" customHeight="1" s="192">
      <c r="W33150" s="235" t="n"/>
      <c r="X33150" s="235" t="n"/>
    </row>
    <row r="33151" ht="15" customHeight="1" s="192" thickBot="1">
      <c r="W33151" s="239" t="n"/>
      <c r="X33151" s="239" t="n"/>
    </row>
    <row r="33152" ht="15" customHeight="1" s="192" thickBot="1">
      <c r="W33152" s="45" t="n"/>
      <c r="X33152" s="45" t="n"/>
    </row>
    <row r="33153" ht="14.25" customHeight="1" s="192">
      <c r="W33153" s="228" t="n"/>
      <c r="X33153" s="228" t="n"/>
    </row>
    <row r="33154" ht="14.25" customHeight="1" s="192">
      <c r="W33154" s="228" t="n"/>
      <c r="X33154" s="228" t="n"/>
    </row>
    <row r="33155" ht="14.25" customHeight="1" s="192">
      <c r="W33155" s="231" t="n"/>
      <c r="X33155" s="231" t="n"/>
    </row>
    <row r="33156" ht="14.25" customHeight="1" s="192">
      <c r="W33156" s="33" t="n"/>
      <c r="X33156" s="33" t="n"/>
    </row>
    <row r="33157" ht="14.25" customHeight="1" s="192">
      <c r="W33157" s="231" t="n"/>
      <c r="X33157" s="231" t="n"/>
    </row>
    <row r="33158" ht="14.25" customHeight="1" s="192">
      <c r="W33158" s="33" t="n"/>
      <c r="X33158" s="33" t="n"/>
    </row>
    <row r="33160" ht="14.25" customHeight="1" s="192">
      <c r="W33160" s="231" t="n"/>
      <c r="X33160" s="231" t="n"/>
    </row>
    <row r="33161" ht="14.25" customHeight="1" s="192">
      <c r="W33161" s="235" t="n"/>
      <c r="X33161" s="235" t="n"/>
    </row>
    <row r="33162" ht="14.25" customHeight="1" s="192">
      <c r="W33162" s="228" t="n"/>
      <c r="X33162" s="228" t="n"/>
    </row>
    <row r="33163" ht="14.25" customHeight="1" s="192">
      <c r="W33163" s="235" t="n"/>
      <c r="X33163" s="235" t="n"/>
    </row>
    <row r="33164" ht="14.25" customHeight="1" s="192">
      <c r="W33164" s="235" t="n"/>
      <c r="X33164" s="235" t="n"/>
    </row>
    <row r="33165" ht="14.25" customHeight="1" s="192">
      <c r="W33165" s="235" t="n"/>
      <c r="X33165" s="235" t="n"/>
    </row>
    <row r="33166" ht="14.25" customHeight="1" s="192">
      <c r="W33166" s="239" t="n"/>
      <c r="X33166" s="239" t="n"/>
    </row>
    <row r="33167" ht="14.25" customHeight="1" s="192">
      <c r="W33167" s="239" t="n"/>
      <c r="X33167" s="239" t="n"/>
    </row>
    <row r="33168" ht="14.25" customHeight="1" s="192">
      <c r="W33168" s="239" t="n"/>
      <c r="X33168" s="239" t="n"/>
    </row>
    <row r="33169" ht="14.25" customHeight="1" s="192">
      <c r="W33169" s="235" t="n"/>
      <c r="X33169" s="235" t="n"/>
    </row>
    <row r="33170" ht="14.25" customHeight="1" s="192">
      <c r="W33170" s="235" t="n"/>
      <c r="X33170" s="235" t="n"/>
    </row>
    <row r="33171" ht="14.25" customHeight="1" s="192">
      <c r="W33171" s="235" t="n"/>
      <c r="X33171" s="235" t="n"/>
    </row>
    <row r="33172" ht="14.25" customHeight="1" s="192">
      <c r="W33172" s="239" t="n"/>
      <c r="X33172" s="239" t="n"/>
    </row>
    <row r="33173" ht="14.25" customHeight="1" s="192">
      <c r="W33173" s="239" t="n"/>
      <c r="X33173" s="239" t="n"/>
    </row>
    <row r="33174" ht="14.25" customHeight="1" s="192">
      <c r="W33174" s="235" t="n"/>
      <c r="X33174" s="235" t="n"/>
    </row>
    <row r="33175" ht="14.25" customHeight="1" s="192">
      <c r="W33175" s="235" t="n"/>
      <c r="X33175" s="235" t="n"/>
    </row>
    <row r="33176" ht="14.25" customHeight="1" s="192">
      <c r="W33176" s="239" t="n"/>
      <c r="X33176" s="239" t="n"/>
    </row>
    <row r="33177" ht="14.25" customHeight="1" s="192">
      <c r="W33177" s="235" t="n"/>
      <c r="X33177" s="235" t="n"/>
    </row>
    <row r="33178" ht="14.25" customHeight="1" s="192">
      <c r="W33178" s="239" t="n"/>
      <c r="X33178" s="239" t="n"/>
    </row>
    <row r="33180" ht="14.25" customHeight="1" s="192">
      <c r="W33180" s="235" t="n"/>
      <c r="X33180" s="235" t="n"/>
    </row>
    <row r="33181" ht="15" customHeight="1" s="192" thickBot="1">
      <c r="W33181" s="239" t="n"/>
      <c r="X33181" s="239" t="n"/>
    </row>
    <row r="33182" ht="15" customHeight="1" s="192" thickBot="1">
      <c r="W33182" s="45" t="n"/>
      <c r="X33182" s="45" t="n"/>
    </row>
    <row r="33183" ht="14.25" customHeight="1" s="192">
      <c r="W33183" s="228" t="n"/>
      <c r="X33183" s="228" t="n"/>
    </row>
    <row r="33184" ht="14.25" customHeight="1" s="192">
      <c r="W33184" s="228" t="n"/>
      <c r="X33184" s="228" t="n"/>
    </row>
    <row r="33185" ht="14.25" customHeight="1" s="192">
      <c r="W33185" s="231" t="n"/>
      <c r="X33185" s="231" t="n"/>
    </row>
    <row r="33186" ht="14.25" customHeight="1" s="192">
      <c r="W33186" s="33" t="n"/>
      <c r="X33186" s="33" t="n"/>
    </row>
    <row r="33187" ht="14.25" customHeight="1" s="192">
      <c r="W33187" s="231" t="n"/>
      <c r="X33187" s="231" t="n"/>
    </row>
    <row r="33188" ht="14.25" customHeight="1" s="192">
      <c r="W33188" s="33" t="n"/>
      <c r="X33188" s="33" t="n"/>
    </row>
    <row r="33190" ht="14.25" customHeight="1" s="192">
      <c r="W33190" s="231" t="n"/>
      <c r="X33190" s="231" t="n"/>
    </row>
    <row r="33191" ht="14.25" customHeight="1" s="192">
      <c r="W33191" s="235" t="n"/>
      <c r="X33191" s="235" t="n"/>
    </row>
    <row r="33192" ht="14.25" customHeight="1" s="192">
      <c r="W33192" s="228" t="n"/>
      <c r="X33192" s="228" t="n"/>
    </row>
    <row r="33193" ht="14.25" customHeight="1" s="192">
      <c r="W33193" s="235" t="n"/>
      <c r="X33193" s="235" t="n"/>
    </row>
    <row r="33194" ht="14.25" customHeight="1" s="192">
      <c r="W33194" s="235" t="n"/>
      <c r="X33194" s="235" t="n"/>
    </row>
    <row r="33195" ht="14.25" customHeight="1" s="192">
      <c r="W33195" s="235" t="n"/>
      <c r="X33195" s="235" t="n"/>
    </row>
    <row r="33196" ht="14.25" customHeight="1" s="192">
      <c r="W33196" s="239" t="n"/>
      <c r="X33196" s="239" t="n"/>
    </row>
    <row r="33197" ht="14.25" customHeight="1" s="192">
      <c r="W33197" s="239" t="n"/>
      <c r="X33197" s="239" t="n"/>
    </row>
    <row r="33198" ht="14.25" customHeight="1" s="192">
      <c r="W33198" s="239" t="n"/>
      <c r="X33198" s="239" t="n"/>
    </row>
    <row r="33199" ht="14.25" customHeight="1" s="192">
      <c r="W33199" s="235" t="n"/>
      <c r="X33199" s="235" t="n"/>
    </row>
    <row r="33200" ht="14.25" customHeight="1" s="192">
      <c r="W33200" s="235" t="n"/>
      <c r="X33200" s="235" t="n"/>
    </row>
    <row r="33201" ht="14.25" customHeight="1" s="192">
      <c r="W33201" s="235" t="n"/>
      <c r="X33201" s="235" t="n"/>
    </row>
    <row r="33202" ht="14.25" customHeight="1" s="192">
      <c r="W33202" s="239" t="n"/>
      <c r="X33202" s="239" t="n"/>
    </row>
    <row r="33203" ht="14.25" customHeight="1" s="192">
      <c r="W33203" s="239" t="n"/>
      <c r="X33203" s="239" t="n"/>
    </row>
    <row r="33204" ht="14.25" customHeight="1" s="192">
      <c r="W33204" s="235" t="n"/>
      <c r="X33204" s="235" t="n"/>
    </row>
    <row r="33205" ht="14.25" customHeight="1" s="192">
      <c r="W33205" s="235" t="n"/>
      <c r="X33205" s="235" t="n"/>
    </row>
    <row r="33206" ht="14.25" customHeight="1" s="192">
      <c r="W33206" s="239" t="n"/>
      <c r="X33206" s="239" t="n"/>
    </row>
    <row r="33207" ht="14.25" customHeight="1" s="192">
      <c r="W33207" s="235" t="n"/>
      <c r="X33207" s="235" t="n"/>
    </row>
    <row r="33208" ht="14.25" customHeight="1" s="192">
      <c r="W33208" s="239" t="n"/>
      <c r="X33208" s="239" t="n"/>
    </row>
    <row r="33210" ht="14.25" customHeight="1" s="192">
      <c r="W33210" s="235" t="n"/>
      <c r="X33210" s="235" t="n"/>
    </row>
    <row r="33211" ht="15" customHeight="1" s="192" thickBot="1">
      <c r="W33211" s="239" t="n"/>
      <c r="X33211" s="239" t="n"/>
    </row>
    <row r="33212" ht="15" customHeight="1" s="192" thickBot="1">
      <c r="W33212" s="45" t="n"/>
      <c r="X33212" s="45" t="n"/>
    </row>
    <row r="33213" ht="14.25" customHeight="1" s="192">
      <c r="W33213" s="228" t="n"/>
      <c r="X33213" s="228" t="n"/>
    </row>
    <row r="33214" ht="14.25" customHeight="1" s="192">
      <c r="W33214" s="228" t="n"/>
      <c r="X33214" s="228" t="n"/>
    </row>
    <row r="33215" ht="14.25" customHeight="1" s="192">
      <c r="W33215" s="231" t="n"/>
      <c r="X33215" s="231" t="n"/>
    </row>
    <row r="33216" ht="14.25" customHeight="1" s="192">
      <c r="W33216" s="33" t="n"/>
      <c r="X33216" s="33" t="n"/>
    </row>
    <row r="33217" ht="14.25" customHeight="1" s="192">
      <c r="W33217" s="231" t="n"/>
      <c r="X33217" s="231" t="n"/>
    </row>
    <row r="33218" ht="14.25" customHeight="1" s="192">
      <c r="W33218" s="33" t="n"/>
      <c r="X33218" s="33" t="n"/>
    </row>
    <row r="33220" ht="14.25" customHeight="1" s="192">
      <c r="W33220" s="231" t="n"/>
      <c r="X33220" s="231" t="n"/>
    </row>
    <row r="33221" ht="14.25" customHeight="1" s="192">
      <c r="W33221" s="235" t="n"/>
      <c r="X33221" s="235" t="n"/>
    </row>
    <row r="33222" ht="14.25" customHeight="1" s="192">
      <c r="W33222" s="228" t="n"/>
      <c r="X33222" s="228" t="n"/>
    </row>
    <row r="33223" ht="14.25" customHeight="1" s="192">
      <c r="W33223" s="235" t="n"/>
      <c r="X33223" s="235" t="n"/>
    </row>
    <row r="33224" ht="14.25" customHeight="1" s="192">
      <c r="W33224" s="235" t="n"/>
      <c r="X33224" s="235" t="n"/>
    </row>
    <row r="33225" ht="14.25" customHeight="1" s="192">
      <c r="W33225" s="235" t="n"/>
      <c r="X33225" s="235" t="n"/>
    </row>
    <row r="33226" ht="14.25" customHeight="1" s="192">
      <c r="W33226" s="239" t="n"/>
      <c r="X33226" s="239" t="n"/>
    </row>
    <row r="33227" ht="14.25" customHeight="1" s="192">
      <c r="W33227" s="239" t="n"/>
      <c r="X33227" s="239" t="n"/>
    </row>
    <row r="33228" ht="14.25" customHeight="1" s="192">
      <c r="W33228" s="239" t="n"/>
      <c r="X33228" s="239" t="n"/>
    </row>
    <row r="33229" ht="14.25" customHeight="1" s="192">
      <c r="W33229" s="235" t="n"/>
      <c r="X33229" s="235" t="n"/>
    </row>
    <row r="33230" ht="14.25" customHeight="1" s="192">
      <c r="W33230" s="235" t="n"/>
      <c r="X33230" s="235" t="n"/>
    </row>
    <row r="33231" ht="14.25" customHeight="1" s="192">
      <c r="W33231" s="235" t="n"/>
      <c r="X33231" s="235" t="n"/>
    </row>
    <row r="33232" ht="14.25" customHeight="1" s="192">
      <c r="W33232" s="239" t="n"/>
      <c r="X33232" s="239" t="n"/>
    </row>
    <row r="33233" ht="14.25" customHeight="1" s="192">
      <c r="W33233" s="239" t="n"/>
      <c r="X33233" s="239" t="n"/>
    </row>
    <row r="33234" ht="14.25" customHeight="1" s="192">
      <c r="W33234" s="235" t="n"/>
      <c r="X33234" s="235" t="n"/>
    </row>
    <row r="33235" ht="14.25" customHeight="1" s="192">
      <c r="W33235" s="235" t="n"/>
      <c r="X33235" s="235" t="n"/>
    </row>
    <row r="33236" ht="14.25" customHeight="1" s="192">
      <c r="W33236" s="239" t="n"/>
      <c r="X33236" s="239" t="n"/>
    </row>
    <row r="33237" ht="14.25" customHeight="1" s="192">
      <c r="W33237" s="235" t="n"/>
      <c r="X33237" s="235" t="n"/>
    </row>
    <row r="33238" ht="14.25" customHeight="1" s="192">
      <c r="W33238" s="239" t="n"/>
      <c r="X33238" s="239" t="n"/>
    </row>
    <row r="33240" ht="14.25" customHeight="1" s="192">
      <c r="W33240" s="235" t="n"/>
      <c r="X33240" s="235" t="n"/>
    </row>
    <row r="33241" ht="15" customHeight="1" s="192" thickBot="1">
      <c r="W33241" s="239" t="n"/>
      <c r="X33241" s="239" t="n"/>
    </row>
    <row r="33242" ht="15" customHeight="1" s="192" thickBot="1">
      <c r="W33242" s="45" t="n"/>
      <c r="X33242" s="45" t="n"/>
    </row>
    <row r="33243" ht="14.25" customHeight="1" s="192">
      <c r="W33243" s="228" t="n"/>
      <c r="X33243" s="228" t="n"/>
    </row>
    <row r="33244" ht="14.25" customHeight="1" s="192">
      <c r="W33244" s="228" t="n"/>
      <c r="X33244" s="228" t="n"/>
    </row>
    <row r="33245" ht="14.25" customHeight="1" s="192">
      <c r="W33245" s="231" t="n"/>
      <c r="X33245" s="231" t="n"/>
    </row>
    <row r="33246" ht="14.25" customHeight="1" s="192">
      <c r="W33246" s="33" t="n"/>
      <c r="X33246" s="33" t="n"/>
    </row>
    <row r="33247" ht="14.25" customHeight="1" s="192">
      <c r="W33247" s="231" t="n"/>
      <c r="X33247" s="231" t="n"/>
    </row>
    <row r="33248" ht="14.25" customHeight="1" s="192">
      <c r="W33248" s="33" t="n"/>
      <c r="X33248" s="33" t="n"/>
    </row>
    <row r="33250" ht="14.25" customHeight="1" s="192">
      <c r="W33250" s="231" t="n"/>
      <c r="X33250" s="231" t="n"/>
    </row>
    <row r="33251" ht="14.25" customHeight="1" s="192">
      <c r="W33251" s="235" t="n"/>
      <c r="X33251" s="235" t="n"/>
    </row>
    <row r="33252" ht="14.25" customHeight="1" s="192">
      <c r="W33252" s="228" t="n"/>
      <c r="X33252" s="228" t="n"/>
    </row>
    <row r="33253" ht="14.25" customHeight="1" s="192">
      <c r="W33253" s="235" t="n"/>
      <c r="X33253" s="235" t="n"/>
    </row>
    <row r="33254" ht="14.25" customHeight="1" s="192">
      <c r="W33254" s="235" t="n"/>
      <c r="X33254" s="235" t="n"/>
    </row>
    <row r="33255" ht="14.25" customHeight="1" s="192">
      <c r="W33255" s="235" t="n"/>
      <c r="X33255" s="235" t="n"/>
    </row>
    <row r="33256" ht="14.25" customHeight="1" s="192">
      <c r="W33256" s="239" t="n"/>
      <c r="X33256" s="239" t="n"/>
    </row>
    <row r="33257" ht="14.25" customHeight="1" s="192">
      <c r="W33257" s="239" t="n"/>
      <c r="X33257" s="239" t="n"/>
    </row>
    <row r="33258" ht="14.25" customHeight="1" s="192">
      <c r="W33258" s="239" t="n"/>
      <c r="X33258" s="239" t="n"/>
    </row>
    <row r="33259" ht="14.25" customHeight="1" s="192">
      <c r="W33259" s="235" t="n"/>
      <c r="X33259" s="235" t="n"/>
    </row>
    <row r="33260" ht="14.25" customHeight="1" s="192">
      <c r="W33260" s="235" t="n"/>
      <c r="X33260" s="235" t="n"/>
    </row>
    <row r="33261" ht="14.25" customHeight="1" s="192">
      <c r="W33261" s="235" t="n"/>
      <c r="X33261" s="235" t="n"/>
    </row>
    <row r="33262" ht="14.25" customHeight="1" s="192">
      <c r="W33262" s="239" t="n"/>
      <c r="X33262" s="239" t="n"/>
    </row>
    <row r="33263" ht="14.25" customHeight="1" s="192">
      <c r="W33263" s="239" t="n"/>
      <c r="X33263" s="239" t="n"/>
    </row>
    <row r="33264" ht="14.25" customHeight="1" s="192">
      <c r="W33264" s="235" t="n"/>
      <c r="X33264" s="235" t="n"/>
    </row>
    <row r="33265" ht="14.25" customHeight="1" s="192">
      <c r="W33265" s="235" t="n"/>
      <c r="X33265" s="235" t="n"/>
    </row>
    <row r="33266" ht="14.25" customHeight="1" s="192">
      <c r="W33266" s="239" t="n"/>
      <c r="X33266" s="239" t="n"/>
    </row>
    <row r="33267" ht="14.25" customHeight="1" s="192">
      <c r="W33267" s="235" t="n"/>
      <c r="X33267" s="235" t="n"/>
    </row>
    <row r="33268" ht="14.25" customHeight="1" s="192">
      <c r="W33268" s="239" t="n"/>
      <c r="X33268" s="239" t="n"/>
    </row>
    <row r="33270" ht="14.25" customHeight="1" s="192">
      <c r="W33270" s="235" t="n"/>
      <c r="X33270" s="235" t="n"/>
    </row>
    <row r="33271" ht="15" customHeight="1" s="192" thickBot="1">
      <c r="W33271" s="239" t="n"/>
      <c r="X33271" s="239" t="n"/>
    </row>
    <row r="33272" ht="15" customHeight="1" s="192" thickBot="1">
      <c r="W33272" s="45" t="n"/>
      <c r="X33272" s="45" t="n"/>
    </row>
    <row r="33273" ht="14.25" customHeight="1" s="192">
      <c r="W33273" s="228" t="n"/>
      <c r="X33273" s="228" t="n"/>
    </row>
    <row r="33274" ht="14.25" customHeight="1" s="192">
      <c r="W33274" s="228" t="n"/>
      <c r="X33274" s="228" t="n"/>
    </row>
    <row r="33275" ht="14.25" customHeight="1" s="192">
      <c r="W33275" s="231" t="n"/>
      <c r="X33275" s="231" t="n"/>
    </row>
    <row r="33276" ht="14.25" customHeight="1" s="192">
      <c r="W33276" s="33" t="n"/>
      <c r="X33276" s="33" t="n"/>
    </row>
    <row r="33277" ht="14.25" customHeight="1" s="192">
      <c r="W33277" s="231" t="n"/>
      <c r="X33277" s="231" t="n"/>
    </row>
    <row r="33278" ht="14.25" customHeight="1" s="192">
      <c r="W33278" s="33" t="n"/>
      <c r="X33278" s="33" t="n"/>
    </row>
    <row r="33280" ht="14.25" customHeight="1" s="192">
      <c r="W33280" s="231" t="n"/>
      <c r="X33280" s="231" t="n"/>
    </row>
    <row r="33281" ht="14.25" customHeight="1" s="192">
      <c r="W33281" s="235" t="n"/>
      <c r="X33281" s="235" t="n"/>
    </row>
    <row r="33282" ht="14.25" customHeight="1" s="192">
      <c r="W33282" s="228" t="n"/>
      <c r="X33282" s="228" t="n"/>
    </row>
    <row r="33283" ht="14.25" customHeight="1" s="192">
      <c r="W33283" s="235" t="n"/>
      <c r="X33283" s="235" t="n"/>
    </row>
    <row r="33284" ht="14.25" customHeight="1" s="192">
      <c r="W33284" s="235" t="n"/>
      <c r="X33284" s="235" t="n"/>
    </row>
    <row r="33285" ht="14.25" customHeight="1" s="192">
      <c r="W33285" s="235" t="n"/>
      <c r="X33285" s="235" t="n"/>
    </row>
    <row r="33286" ht="14.25" customHeight="1" s="192">
      <c r="W33286" s="239" t="n"/>
      <c r="X33286" s="239" t="n"/>
    </row>
    <row r="33287" ht="14.25" customHeight="1" s="192">
      <c r="W33287" s="239" t="n"/>
      <c r="X33287" s="239" t="n"/>
    </row>
    <row r="33288" ht="14.25" customHeight="1" s="192">
      <c r="W33288" s="239" t="n"/>
      <c r="X33288" s="239" t="n"/>
    </row>
    <row r="33289" ht="14.25" customHeight="1" s="192">
      <c r="W33289" s="235" t="n"/>
      <c r="X33289" s="235" t="n"/>
    </row>
    <row r="33290" ht="14.25" customHeight="1" s="192">
      <c r="W33290" s="235" t="n"/>
      <c r="X33290" s="235" t="n"/>
    </row>
    <row r="33291" ht="14.25" customHeight="1" s="192">
      <c r="W33291" s="235" t="n"/>
      <c r="X33291" s="235" t="n"/>
    </row>
    <row r="33292" ht="14.25" customHeight="1" s="192">
      <c r="W33292" s="239" t="n"/>
      <c r="X33292" s="239" t="n"/>
    </row>
    <row r="33293" ht="14.25" customHeight="1" s="192">
      <c r="W33293" s="239" t="n"/>
      <c r="X33293" s="239" t="n"/>
    </row>
    <row r="33294" ht="14.25" customHeight="1" s="192">
      <c r="W33294" s="235" t="n"/>
      <c r="X33294" s="235" t="n"/>
    </row>
    <row r="33295" ht="14.25" customHeight="1" s="192">
      <c r="W33295" s="235" t="n"/>
      <c r="X33295" s="235" t="n"/>
    </row>
    <row r="33296" ht="14.25" customHeight="1" s="192">
      <c r="W33296" s="239" t="n"/>
      <c r="X33296" s="239" t="n"/>
    </row>
    <row r="33297" ht="14.25" customHeight="1" s="192">
      <c r="W33297" s="235" t="n"/>
      <c r="X33297" s="235" t="n"/>
    </row>
    <row r="33298" ht="14.25" customHeight="1" s="192">
      <c r="W33298" s="239" t="n"/>
      <c r="X33298" s="239" t="n"/>
    </row>
    <row r="33300" ht="14.25" customHeight="1" s="192">
      <c r="W33300" s="235" t="n"/>
      <c r="X33300" s="235" t="n"/>
    </row>
    <row r="33301" ht="15" customHeight="1" s="192" thickBot="1">
      <c r="W33301" s="239" t="n"/>
      <c r="X33301" s="239" t="n"/>
    </row>
    <row r="33302" ht="15" customHeight="1" s="192" thickBot="1">
      <c r="W33302" s="45" t="n"/>
      <c r="X33302" s="45" t="n"/>
    </row>
    <row r="33303" ht="14.25" customHeight="1" s="192">
      <c r="W33303" s="228" t="n"/>
      <c r="X33303" s="228" t="n"/>
    </row>
    <row r="33304" ht="14.25" customHeight="1" s="192">
      <c r="W33304" s="228" t="n"/>
      <c r="X33304" s="228" t="n"/>
    </row>
    <row r="33305" ht="14.25" customHeight="1" s="192">
      <c r="W33305" s="231" t="n"/>
      <c r="X33305" s="231" t="n"/>
    </row>
    <row r="33306" ht="14.25" customHeight="1" s="192">
      <c r="W33306" s="33" t="n"/>
      <c r="X33306" s="33" t="n"/>
    </row>
    <row r="33307" ht="14.25" customHeight="1" s="192">
      <c r="W33307" s="231" t="n"/>
      <c r="X33307" s="231" t="n"/>
    </row>
    <row r="33308" ht="14.25" customHeight="1" s="192">
      <c r="W33308" s="33" t="n"/>
      <c r="X33308" s="33" t="n"/>
    </row>
    <row r="33310" ht="14.25" customHeight="1" s="192">
      <c r="W33310" s="231" t="n"/>
      <c r="X33310" s="231" t="n"/>
    </row>
    <row r="33311" ht="14.25" customHeight="1" s="192">
      <c r="W33311" s="235" t="n"/>
      <c r="X33311" s="235" t="n"/>
    </row>
    <row r="33312" ht="14.25" customHeight="1" s="192">
      <c r="W33312" s="228" t="n"/>
      <c r="X33312" s="228" t="n"/>
    </row>
    <row r="33313" ht="14.25" customHeight="1" s="192">
      <c r="W33313" s="235" t="n"/>
      <c r="X33313" s="235" t="n"/>
    </row>
    <row r="33314" ht="14.25" customHeight="1" s="192">
      <c r="W33314" s="235" t="n"/>
      <c r="X33314" s="235" t="n"/>
    </row>
    <row r="33315" ht="14.25" customHeight="1" s="192">
      <c r="W33315" s="235" t="n"/>
      <c r="X33315" s="235" t="n"/>
    </row>
    <row r="33316" ht="14.25" customHeight="1" s="192">
      <c r="W33316" s="239" t="n"/>
      <c r="X33316" s="239" t="n"/>
    </row>
    <row r="33317" ht="14.25" customHeight="1" s="192">
      <c r="W33317" s="239" t="n"/>
      <c r="X33317" s="239" t="n"/>
    </row>
    <row r="33318" ht="14.25" customHeight="1" s="192">
      <c r="W33318" s="239" t="n"/>
      <c r="X33318" s="239" t="n"/>
    </row>
    <row r="33319" ht="14.25" customHeight="1" s="192">
      <c r="W33319" s="235" t="n"/>
      <c r="X33319" s="235" t="n"/>
    </row>
    <row r="33320" ht="14.25" customHeight="1" s="192">
      <c r="W33320" s="235" t="n"/>
      <c r="X33320" s="235" t="n"/>
    </row>
    <row r="33321" ht="14.25" customHeight="1" s="192">
      <c r="W33321" s="235" t="n"/>
      <c r="X33321" s="235" t="n"/>
    </row>
    <row r="33322" ht="14.25" customHeight="1" s="192">
      <c r="W33322" s="239" t="n"/>
      <c r="X33322" s="239" t="n"/>
    </row>
    <row r="33323" ht="14.25" customHeight="1" s="192">
      <c r="W33323" s="239" t="n"/>
      <c r="X33323" s="239" t="n"/>
    </row>
    <row r="33324" ht="14.25" customHeight="1" s="192">
      <c r="W33324" s="235" t="n"/>
      <c r="X33324" s="235" t="n"/>
    </row>
    <row r="33325" ht="14.25" customHeight="1" s="192">
      <c r="W33325" s="235" t="n"/>
      <c r="X33325" s="235" t="n"/>
    </row>
    <row r="33326" ht="14.25" customHeight="1" s="192">
      <c r="W33326" s="239" t="n"/>
      <c r="X33326" s="239" t="n"/>
    </row>
    <row r="33327" ht="14.25" customHeight="1" s="192">
      <c r="W33327" s="235" t="n"/>
      <c r="X33327" s="235" t="n"/>
    </row>
    <row r="33328" ht="14.25" customHeight="1" s="192">
      <c r="W33328" s="239" t="n"/>
      <c r="X33328" s="239" t="n"/>
    </row>
    <row r="33330" ht="14.25" customHeight="1" s="192">
      <c r="W33330" s="235" t="n"/>
      <c r="X33330" s="235" t="n"/>
    </row>
    <row r="33331" ht="15" customHeight="1" s="192" thickBot="1">
      <c r="W33331" s="239" t="n"/>
      <c r="X33331" s="239" t="n"/>
    </row>
    <row r="33332" ht="15" customHeight="1" s="192" thickBot="1">
      <c r="W33332" s="45" t="n"/>
      <c r="X33332" s="45" t="n"/>
    </row>
    <row r="33333" ht="14.25" customHeight="1" s="192">
      <c r="W33333" s="228" t="n"/>
      <c r="X33333" s="228" t="n"/>
    </row>
    <row r="33334" ht="14.25" customHeight="1" s="192">
      <c r="W33334" s="228" t="n"/>
      <c r="X33334" s="228" t="n"/>
    </row>
    <row r="33335" ht="14.25" customHeight="1" s="192">
      <c r="W33335" s="231" t="n"/>
      <c r="X33335" s="231" t="n"/>
    </row>
    <row r="33336" ht="14.25" customHeight="1" s="192">
      <c r="W33336" s="33" t="n"/>
      <c r="X33336" s="33" t="n"/>
    </row>
    <row r="33337" ht="14.25" customHeight="1" s="192">
      <c r="W33337" s="231" t="n"/>
      <c r="X33337" s="231" t="n"/>
    </row>
    <row r="33338" ht="14.25" customHeight="1" s="192">
      <c r="W33338" s="33" t="n"/>
      <c r="X33338" s="33" t="n"/>
    </row>
    <row r="33340" ht="14.25" customHeight="1" s="192">
      <c r="W33340" s="231" t="n"/>
      <c r="X33340" s="231" t="n"/>
    </row>
    <row r="33341" ht="14.25" customHeight="1" s="192">
      <c r="W33341" s="235" t="n"/>
      <c r="X33341" s="235" t="n"/>
    </row>
    <row r="33342" ht="14.25" customHeight="1" s="192">
      <c r="W33342" s="228" t="n"/>
      <c r="X33342" s="228" t="n"/>
    </row>
    <row r="33343" ht="14.25" customHeight="1" s="192">
      <c r="W33343" s="235" t="n"/>
      <c r="X33343" s="235" t="n"/>
    </row>
    <row r="33344" ht="14.25" customHeight="1" s="192">
      <c r="W33344" s="235" t="n"/>
      <c r="X33344" s="235" t="n"/>
    </row>
    <row r="33345" ht="14.25" customHeight="1" s="192">
      <c r="W33345" s="235" t="n"/>
      <c r="X33345" s="235" t="n"/>
    </row>
    <row r="33346" ht="14.25" customHeight="1" s="192">
      <c r="W33346" s="239" t="n"/>
      <c r="X33346" s="239" t="n"/>
    </row>
    <row r="33347" ht="14.25" customHeight="1" s="192">
      <c r="W33347" s="239" t="n"/>
      <c r="X33347" s="239" t="n"/>
    </row>
    <row r="33348" ht="14.25" customHeight="1" s="192">
      <c r="W33348" s="239" t="n"/>
      <c r="X33348" s="239" t="n"/>
    </row>
    <row r="33349" ht="14.25" customHeight="1" s="192">
      <c r="W33349" s="235" t="n"/>
      <c r="X33349" s="235" t="n"/>
    </row>
    <row r="33350" ht="14.25" customHeight="1" s="192">
      <c r="W33350" s="235" t="n"/>
      <c r="X33350" s="235" t="n"/>
    </row>
    <row r="33351" ht="14.25" customHeight="1" s="192">
      <c r="W33351" s="235" t="n"/>
      <c r="X33351" s="235" t="n"/>
    </row>
    <row r="33352" ht="14.25" customHeight="1" s="192">
      <c r="W33352" s="239" t="n"/>
      <c r="X33352" s="239" t="n"/>
    </row>
    <row r="33353" ht="14.25" customHeight="1" s="192">
      <c r="W33353" s="239" t="n"/>
      <c r="X33353" s="239" t="n"/>
    </row>
    <row r="33354" ht="14.25" customHeight="1" s="192">
      <c r="W33354" s="235" t="n"/>
      <c r="X33354" s="235" t="n"/>
    </row>
    <row r="33355" ht="14.25" customHeight="1" s="192">
      <c r="W33355" s="235" t="n"/>
      <c r="X33355" s="235" t="n"/>
    </row>
    <row r="33356" ht="14.25" customHeight="1" s="192">
      <c r="W33356" s="239" t="n"/>
      <c r="X33356" s="239" t="n"/>
    </row>
    <row r="33357" ht="14.25" customHeight="1" s="192">
      <c r="W33357" s="235" t="n"/>
      <c r="X33357" s="235" t="n"/>
    </row>
    <row r="33358" ht="14.25" customHeight="1" s="192">
      <c r="W33358" s="239" t="n"/>
      <c r="X33358" s="239" t="n"/>
    </row>
    <row r="33360" ht="14.25" customHeight="1" s="192">
      <c r="W33360" s="235" t="n"/>
      <c r="X33360" s="235" t="n"/>
    </row>
    <row r="33361" ht="15" customHeight="1" s="192" thickBot="1">
      <c r="W33361" s="239" t="n"/>
      <c r="X33361" s="239" t="n"/>
    </row>
    <row r="33362" ht="15" customHeight="1" s="192" thickBot="1">
      <c r="W33362" s="45" t="n"/>
      <c r="X33362" s="45" t="n"/>
    </row>
    <row r="33363" ht="14.25" customHeight="1" s="192">
      <c r="W33363" s="228" t="n"/>
      <c r="X33363" s="228" t="n"/>
    </row>
    <row r="33364" ht="14.25" customHeight="1" s="192">
      <c r="W33364" s="228" t="n"/>
      <c r="X33364" s="228" t="n"/>
    </row>
    <row r="33365" ht="14.25" customHeight="1" s="192">
      <c r="W33365" s="231" t="n"/>
      <c r="X33365" s="231" t="n"/>
    </row>
    <row r="33366" ht="14.25" customHeight="1" s="192">
      <c r="W33366" s="33" t="n"/>
      <c r="X33366" s="33" t="n"/>
    </row>
    <row r="33367" ht="14.25" customHeight="1" s="192">
      <c r="W33367" s="231" t="n"/>
      <c r="X33367" s="231" t="n"/>
    </row>
    <row r="33368" ht="14.25" customHeight="1" s="192">
      <c r="W33368" s="33" t="n"/>
      <c r="X33368" s="33" t="n"/>
    </row>
    <row r="33370" ht="14.25" customHeight="1" s="192">
      <c r="W33370" s="231" t="n"/>
      <c r="X33370" s="231" t="n"/>
    </row>
    <row r="33371" ht="14.25" customHeight="1" s="192">
      <c r="W33371" s="235" t="n"/>
      <c r="X33371" s="235" t="n"/>
    </row>
    <row r="33372" ht="14.25" customHeight="1" s="192">
      <c r="W33372" s="228" t="n"/>
      <c r="X33372" s="228" t="n"/>
    </row>
    <row r="33373" ht="14.25" customHeight="1" s="192">
      <c r="W33373" s="235" t="n"/>
      <c r="X33373" s="235" t="n"/>
    </row>
    <row r="33374" ht="14.25" customHeight="1" s="192">
      <c r="W33374" s="235" t="n"/>
      <c r="X33374" s="235" t="n"/>
    </row>
    <row r="33375" ht="14.25" customHeight="1" s="192">
      <c r="W33375" s="235" t="n"/>
      <c r="X33375" s="235" t="n"/>
    </row>
    <row r="33376" ht="14.25" customHeight="1" s="192">
      <c r="W33376" s="239" t="n"/>
      <c r="X33376" s="239" t="n"/>
    </row>
    <row r="33377" ht="14.25" customHeight="1" s="192">
      <c r="W33377" s="239" t="n"/>
      <c r="X33377" s="239" t="n"/>
    </row>
    <row r="33378" ht="14.25" customHeight="1" s="192">
      <c r="W33378" s="239" t="n"/>
      <c r="X33378" s="239" t="n"/>
    </row>
    <row r="33379" ht="14.25" customHeight="1" s="192">
      <c r="W33379" s="235" t="n"/>
      <c r="X33379" s="235" t="n"/>
    </row>
    <row r="33380" ht="14.25" customHeight="1" s="192">
      <c r="W33380" s="235" t="n"/>
      <c r="X33380" s="235" t="n"/>
    </row>
    <row r="33381" ht="14.25" customHeight="1" s="192">
      <c r="W33381" s="235" t="n"/>
      <c r="X33381" s="235" t="n"/>
    </row>
    <row r="33382" ht="14.25" customHeight="1" s="192">
      <c r="W33382" s="239" t="n"/>
      <c r="X33382" s="239" t="n"/>
    </row>
    <row r="33383" ht="14.25" customHeight="1" s="192">
      <c r="W33383" s="239" t="n"/>
      <c r="X33383" s="239" t="n"/>
    </row>
    <row r="33384" ht="14.25" customHeight="1" s="192">
      <c r="W33384" s="235" t="n"/>
      <c r="X33384" s="235" t="n"/>
    </row>
    <row r="33385" ht="14.25" customHeight="1" s="192">
      <c r="W33385" s="235" t="n"/>
      <c r="X33385" s="235" t="n"/>
    </row>
    <row r="33386" ht="14.25" customHeight="1" s="192">
      <c r="W33386" s="239" t="n"/>
      <c r="X33386" s="239" t="n"/>
    </row>
    <row r="33387" ht="14.25" customHeight="1" s="192">
      <c r="W33387" s="235" t="n"/>
      <c r="X33387" s="235" t="n"/>
    </row>
    <row r="33388" ht="14.25" customHeight="1" s="192">
      <c r="W33388" s="239" t="n"/>
      <c r="X33388" s="239" t="n"/>
    </row>
    <row r="33390" ht="14.25" customHeight="1" s="192">
      <c r="W33390" s="235" t="n"/>
      <c r="X33390" s="235" t="n"/>
    </row>
    <row r="33391" ht="15" customHeight="1" s="192" thickBot="1">
      <c r="W33391" s="239" t="n"/>
      <c r="X33391" s="239" t="n"/>
    </row>
    <row r="33392" ht="15" customHeight="1" s="192" thickBot="1">
      <c r="W33392" s="45" t="n"/>
      <c r="X33392" s="45" t="n"/>
    </row>
    <row r="33393" ht="14.25" customHeight="1" s="192">
      <c r="W33393" s="228" t="n"/>
      <c r="X33393" s="228" t="n"/>
    </row>
    <row r="33394" ht="14.25" customHeight="1" s="192">
      <c r="W33394" s="228" t="n"/>
      <c r="X33394" s="228" t="n"/>
    </row>
    <row r="33395" ht="14.25" customHeight="1" s="192">
      <c r="W33395" s="231" t="n"/>
      <c r="X33395" s="231" t="n"/>
    </row>
    <row r="33396" ht="14.25" customHeight="1" s="192">
      <c r="W33396" s="33" t="n"/>
      <c r="X33396" s="33" t="n"/>
    </row>
    <row r="33397" ht="14.25" customHeight="1" s="192">
      <c r="W33397" s="231" t="n"/>
      <c r="X33397" s="231" t="n"/>
    </row>
    <row r="33398" ht="14.25" customHeight="1" s="192">
      <c r="W33398" s="33" t="n"/>
      <c r="X33398" s="33" t="n"/>
    </row>
    <row r="33400" ht="14.25" customHeight="1" s="192">
      <c r="W33400" s="231" t="n"/>
      <c r="X33400" s="231" t="n"/>
    </row>
    <row r="33401" ht="14.25" customHeight="1" s="192">
      <c r="W33401" s="235" t="n"/>
      <c r="X33401" s="235" t="n"/>
    </row>
    <row r="33402" ht="14.25" customHeight="1" s="192">
      <c r="W33402" s="228" t="n"/>
      <c r="X33402" s="228" t="n"/>
    </row>
    <row r="33403" ht="14.25" customHeight="1" s="192">
      <c r="W33403" s="235" t="n"/>
      <c r="X33403" s="235" t="n"/>
    </row>
    <row r="33404" ht="14.25" customHeight="1" s="192">
      <c r="W33404" s="235" t="n"/>
      <c r="X33404" s="235" t="n"/>
    </row>
    <row r="33405" ht="14.25" customHeight="1" s="192">
      <c r="W33405" s="235" t="n"/>
      <c r="X33405" s="235" t="n"/>
    </row>
    <row r="33406" ht="14.25" customHeight="1" s="192">
      <c r="W33406" s="239" t="n"/>
      <c r="X33406" s="239" t="n"/>
    </row>
    <row r="33407" ht="14.25" customHeight="1" s="192">
      <c r="W33407" s="239" t="n"/>
      <c r="X33407" s="239" t="n"/>
    </row>
    <row r="33408" ht="14.25" customHeight="1" s="192">
      <c r="W33408" s="239" t="n"/>
      <c r="X33408" s="239" t="n"/>
    </row>
    <row r="33409" ht="14.25" customHeight="1" s="192">
      <c r="W33409" s="235" t="n"/>
      <c r="X33409" s="235" t="n"/>
    </row>
    <row r="33410" ht="14.25" customHeight="1" s="192">
      <c r="W33410" s="235" t="n"/>
      <c r="X33410" s="235" t="n"/>
    </row>
    <row r="33411" ht="14.25" customHeight="1" s="192">
      <c r="W33411" s="235" t="n"/>
      <c r="X33411" s="235" t="n"/>
    </row>
    <row r="33412" ht="14.25" customHeight="1" s="192">
      <c r="W33412" s="239" t="n"/>
      <c r="X33412" s="239" t="n"/>
    </row>
    <row r="33413" ht="14.25" customHeight="1" s="192">
      <c r="W33413" s="239" t="n"/>
      <c r="X33413" s="239" t="n"/>
    </row>
    <row r="33414" ht="14.25" customHeight="1" s="192">
      <c r="W33414" s="235" t="n"/>
      <c r="X33414" s="235" t="n"/>
    </row>
    <row r="33415" ht="14.25" customHeight="1" s="192">
      <c r="W33415" s="235" t="n"/>
      <c r="X33415" s="235" t="n"/>
    </row>
    <row r="33416" ht="14.25" customHeight="1" s="192">
      <c r="W33416" s="239" t="n"/>
      <c r="X33416" s="239" t="n"/>
    </row>
    <row r="33417" ht="14.25" customHeight="1" s="192">
      <c r="W33417" s="235" t="n"/>
      <c r="X33417" s="235" t="n"/>
    </row>
    <row r="33418" ht="14.25" customHeight="1" s="192">
      <c r="W33418" s="239" t="n"/>
      <c r="X33418" s="239" t="n"/>
    </row>
    <row r="33420" ht="14.25" customHeight="1" s="192">
      <c r="W33420" s="235" t="n"/>
      <c r="X33420" s="235" t="n"/>
    </row>
    <row r="33421" ht="15" customHeight="1" s="192" thickBot="1">
      <c r="W33421" s="239" t="n"/>
      <c r="X33421" s="239" t="n"/>
    </row>
    <row r="33422" ht="15" customHeight="1" s="192" thickBot="1">
      <c r="W33422" s="45" t="n"/>
      <c r="X33422" s="45" t="n"/>
    </row>
    <row r="33423" ht="14.25" customHeight="1" s="192">
      <c r="W33423" s="228" t="n"/>
      <c r="X33423" s="228" t="n"/>
    </row>
    <row r="33424" ht="14.25" customHeight="1" s="192">
      <c r="W33424" s="228" t="n"/>
      <c r="X33424" s="228" t="n"/>
    </row>
    <row r="33425" ht="14.25" customHeight="1" s="192">
      <c r="W33425" s="231" t="n"/>
      <c r="X33425" s="231" t="n"/>
    </row>
    <row r="33426" ht="14.25" customHeight="1" s="192">
      <c r="W33426" s="33" t="n"/>
      <c r="X33426" s="33" t="n"/>
    </row>
    <row r="33427" ht="14.25" customHeight="1" s="192">
      <c r="W33427" s="231" t="n"/>
      <c r="X33427" s="231" t="n"/>
    </row>
    <row r="33428" ht="14.25" customHeight="1" s="192">
      <c r="W33428" s="33" t="n"/>
      <c r="X33428" s="33" t="n"/>
    </row>
    <row r="33430" ht="14.25" customHeight="1" s="192">
      <c r="W33430" s="231" t="n"/>
      <c r="X33430" s="231" t="n"/>
    </row>
    <row r="33431" ht="14.25" customHeight="1" s="192">
      <c r="W33431" s="235" t="n"/>
      <c r="X33431" s="235" t="n"/>
    </row>
    <row r="33432" ht="14.25" customHeight="1" s="192">
      <c r="W33432" s="228" t="n"/>
      <c r="X33432" s="228" t="n"/>
    </row>
    <row r="33433" ht="14.25" customHeight="1" s="192">
      <c r="W33433" s="235" t="n"/>
      <c r="X33433" s="235" t="n"/>
    </row>
    <row r="33434" ht="14.25" customHeight="1" s="192">
      <c r="W33434" s="235" t="n"/>
      <c r="X33434" s="235" t="n"/>
    </row>
    <row r="33435" ht="14.25" customHeight="1" s="192">
      <c r="W33435" s="235" t="n"/>
      <c r="X33435" s="235" t="n"/>
    </row>
    <row r="33436" ht="14.25" customHeight="1" s="192">
      <c r="W33436" s="239" t="n"/>
      <c r="X33436" s="239" t="n"/>
    </row>
    <row r="33437" ht="14.25" customHeight="1" s="192">
      <c r="W33437" s="239" t="n"/>
      <c r="X33437" s="239" t="n"/>
    </row>
    <row r="33438" ht="14.25" customHeight="1" s="192">
      <c r="W33438" s="239" t="n"/>
      <c r="X33438" s="239" t="n"/>
    </row>
    <row r="33439" ht="14.25" customHeight="1" s="192">
      <c r="W33439" s="235" t="n"/>
      <c r="X33439" s="235" t="n"/>
    </row>
    <row r="33440" ht="14.25" customHeight="1" s="192">
      <c r="W33440" s="235" t="n"/>
      <c r="X33440" s="235" t="n"/>
    </row>
    <row r="33441" ht="14.25" customHeight="1" s="192">
      <c r="W33441" s="235" t="n"/>
      <c r="X33441" s="235" t="n"/>
    </row>
    <row r="33442" ht="14.25" customHeight="1" s="192">
      <c r="W33442" s="239" t="n"/>
      <c r="X33442" s="239" t="n"/>
    </row>
    <row r="33443" ht="14.25" customHeight="1" s="192">
      <c r="W33443" s="239" t="n"/>
      <c r="X33443" s="239" t="n"/>
    </row>
    <row r="33444" ht="14.25" customHeight="1" s="192">
      <c r="W33444" s="235" t="n"/>
      <c r="X33444" s="235" t="n"/>
    </row>
    <row r="33445" ht="14.25" customHeight="1" s="192">
      <c r="W33445" s="235" t="n"/>
      <c r="X33445" s="235" t="n"/>
    </row>
    <row r="33446" ht="14.25" customHeight="1" s="192">
      <c r="W33446" s="239" t="n"/>
      <c r="X33446" s="239" t="n"/>
    </row>
    <row r="33447" ht="14.25" customHeight="1" s="192">
      <c r="W33447" s="235" t="n"/>
      <c r="X33447" s="235" t="n"/>
    </row>
    <row r="33448" ht="14.25" customHeight="1" s="192">
      <c r="W33448" s="239" t="n"/>
      <c r="X33448" s="239" t="n"/>
    </row>
    <row r="33450" ht="14.25" customHeight="1" s="192">
      <c r="W33450" s="235" t="n"/>
      <c r="X33450" s="235" t="n"/>
    </row>
    <row r="33451" ht="15" customHeight="1" s="192" thickBot="1">
      <c r="W33451" s="239" t="n"/>
      <c r="X33451" s="239" t="n"/>
    </row>
    <row r="33452" ht="15" customHeight="1" s="192" thickBot="1">
      <c r="W33452" s="45" t="n"/>
      <c r="X33452" s="45" t="n"/>
    </row>
    <row r="33453" ht="14.25" customHeight="1" s="192">
      <c r="W33453" s="228" t="n"/>
      <c r="X33453" s="228" t="n"/>
    </row>
    <row r="33454" ht="14.25" customHeight="1" s="192">
      <c r="W33454" s="228" t="n"/>
      <c r="X33454" s="228" t="n"/>
    </row>
    <row r="33455" ht="14.25" customHeight="1" s="192">
      <c r="W33455" s="231" t="n"/>
      <c r="X33455" s="231" t="n"/>
    </row>
    <row r="33456" ht="14.25" customHeight="1" s="192">
      <c r="W33456" s="33" t="n"/>
      <c r="X33456" s="33" t="n"/>
    </row>
    <row r="33457" ht="14.25" customHeight="1" s="192">
      <c r="W33457" s="231" t="n"/>
      <c r="X33457" s="231" t="n"/>
    </row>
    <row r="33458" ht="14.25" customHeight="1" s="192">
      <c r="W33458" s="33" t="n"/>
      <c r="X33458" s="33" t="n"/>
    </row>
    <row r="33460" ht="14.25" customHeight="1" s="192">
      <c r="W33460" s="231" t="n"/>
      <c r="X33460" s="231" t="n"/>
    </row>
    <row r="33461" ht="14.25" customHeight="1" s="192">
      <c r="W33461" s="235" t="n"/>
      <c r="X33461" s="235" t="n"/>
    </row>
    <row r="33462" ht="14.25" customHeight="1" s="192">
      <c r="W33462" s="228" t="n"/>
      <c r="X33462" s="228" t="n"/>
    </row>
    <row r="33463" ht="14.25" customHeight="1" s="192">
      <c r="W33463" s="235" t="n"/>
      <c r="X33463" s="235" t="n"/>
    </row>
    <row r="33464" ht="14.25" customHeight="1" s="192">
      <c r="W33464" s="235" t="n"/>
      <c r="X33464" s="235" t="n"/>
    </row>
    <row r="33465" ht="14.25" customHeight="1" s="192">
      <c r="W33465" s="235" t="n"/>
      <c r="X33465" s="235" t="n"/>
    </row>
    <row r="33466" ht="14.25" customHeight="1" s="192">
      <c r="W33466" s="239" t="n"/>
      <c r="X33466" s="239" t="n"/>
    </row>
    <row r="33467" ht="14.25" customHeight="1" s="192">
      <c r="W33467" s="239" t="n"/>
      <c r="X33467" s="239" t="n"/>
    </row>
    <row r="33468" ht="14.25" customHeight="1" s="192">
      <c r="W33468" s="239" t="n"/>
      <c r="X33468" s="239" t="n"/>
    </row>
    <row r="33469" ht="14.25" customHeight="1" s="192">
      <c r="W33469" s="235" t="n"/>
      <c r="X33469" s="235" t="n"/>
    </row>
    <row r="33470" ht="14.25" customHeight="1" s="192">
      <c r="W33470" s="235" t="n"/>
      <c r="X33470" s="235" t="n"/>
    </row>
    <row r="33471" ht="14.25" customHeight="1" s="192">
      <c r="W33471" s="235" t="n"/>
      <c r="X33471" s="235" t="n"/>
    </row>
    <row r="33472" ht="14.25" customHeight="1" s="192">
      <c r="W33472" s="239" t="n"/>
      <c r="X33472" s="239" t="n"/>
    </row>
    <row r="33473" ht="14.25" customHeight="1" s="192">
      <c r="W33473" s="239" t="n"/>
      <c r="X33473" s="239" t="n"/>
    </row>
    <row r="33474" ht="14.25" customHeight="1" s="192">
      <c r="W33474" s="235" t="n"/>
      <c r="X33474" s="235" t="n"/>
    </row>
    <row r="33475" ht="14.25" customHeight="1" s="192">
      <c r="W33475" s="235" t="n"/>
      <c r="X33475" s="235" t="n"/>
    </row>
    <row r="33476" ht="14.25" customHeight="1" s="192">
      <c r="W33476" s="239" t="n"/>
      <c r="X33476" s="239" t="n"/>
    </row>
    <row r="33477" ht="14.25" customHeight="1" s="192">
      <c r="W33477" s="235" t="n"/>
      <c r="X33477" s="235" t="n"/>
    </row>
    <row r="33478" ht="14.25" customHeight="1" s="192">
      <c r="W33478" s="239" t="n"/>
      <c r="X33478" s="239" t="n"/>
    </row>
    <row r="33480" ht="14.25" customHeight="1" s="192">
      <c r="W33480" s="235" t="n"/>
      <c r="X33480" s="235" t="n"/>
    </row>
    <row r="33481" ht="15" customHeight="1" s="192" thickBot="1">
      <c r="W33481" s="239" t="n"/>
      <c r="X33481" s="239" t="n"/>
    </row>
    <row r="33482" ht="15" customHeight="1" s="192" thickBot="1">
      <c r="W33482" s="45" t="n"/>
      <c r="X33482" s="45" t="n"/>
    </row>
    <row r="33483" ht="14.25" customHeight="1" s="192">
      <c r="W33483" s="228" t="n"/>
      <c r="X33483" s="228" t="n"/>
    </row>
    <row r="33484" ht="14.25" customHeight="1" s="192">
      <c r="W33484" s="228" t="n"/>
      <c r="X33484" s="228" t="n"/>
    </row>
    <row r="33485" ht="14.25" customHeight="1" s="192">
      <c r="W33485" s="231" t="n"/>
      <c r="X33485" s="231" t="n"/>
    </row>
    <row r="33486" ht="14.25" customHeight="1" s="192">
      <c r="W33486" s="33" t="n"/>
      <c r="X33486" s="33" t="n"/>
    </row>
    <row r="33487" ht="14.25" customHeight="1" s="192">
      <c r="W33487" s="231" t="n"/>
      <c r="X33487" s="231" t="n"/>
    </row>
    <row r="33488" ht="14.25" customHeight="1" s="192">
      <c r="W33488" s="33" t="n"/>
      <c r="X33488" s="33" t="n"/>
    </row>
    <row r="33490" ht="14.25" customHeight="1" s="192">
      <c r="W33490" s="231" t="n"/>
      <c r="X33490" s="231" t="n"/>
    </row>
    <row r="33491" ht="14.25" customHeight="1" s="192">
      <c r="W33491" s="235" t="n"/>
      <c r="X33491" s="235" t="n"/>
    </row>
    <row r="33492" ht="14.25" customHeight="1" s="192">
      <c r="W33492" s="228" t="n"/>
      <c r="X33492" s="228" t="n"/>
    </row>
    <row r="33493" ht="14.25" customHeight="1" s="192">
      <c r="W33493" s="235" t="n"/>
      <c r="X33493" s="235" t="n"/>
    </row>
    <row r="33494" ht="14.25" customHeight="1" s="192">
      <c r="W33494" s="235" t="n"/>
      <c r="X33494" s="235" t="n"/>
    </row>
    <row r="33495" ht="14.25" customHeight="1" s="192">
      <c r="W33495" s="235" t="n"/>
      <c r="X33495" s="235" t="n"/>
    </row>
    <row r="33496" ht="14.25" customHeight="1" s="192">
      <c r="W33496" s="239" t="n"/>
      <c r="X33496" s="239" t="n"/>
    </row>
    <row r="33497" ht="14.25" customHeight="1" s="192">
      <c r="W33497" s="239" t="n"/>
      <c r="X33497" s="239" t="n"/>
    </row>
    <row r="33498" ht="14.25" customHeight="1" s="192">
      <c r="W33498" s="239" t="n"/>
      <c r="X33498" s="239" t="n"/>
    </row>
    <row r="33499" ht="14.25" customHeight="1" s="192">
      <c r="W33499" s="235" t="n"/>
      <c r="X33499" s="235" t="n"/>
    </row>
    <row r="33500" ht="14.25" customHeight="1" s="192">
      <c r="W33500" s="235" t="n"/>
      <c r="X33500" s="235" t="n"/>
    </row>
    <row r="33501" ht="14.25" customHeight="1" s="192">
      <c r="W33501" s="235" t="n"/>
      <c r="X33501" s="235" t="n"/>
    </row>
    <row r="33502" ht="14.25" customHeight="1" s="192">
      <c r="W33502" s="239" t="n"/>
      <c r="X33502" s="239" t="n"/>
    </row>
    <row r="33503" ht="14.25" customHeight="1" s="192">
      <c r="W33503" s="239" t="n"/>
      <c r="X33503" s="239" t="n"/>
    </row>
    <row r="33504" ht="14.25" customHeight="1" s="192">
      <c r="W33504" s="235" t="n"/>
      <c r="X33504" s="235" t="n"/>
    </row>
    <row r="33505" ht="14.25" customHeight="1" s="192">
      <c r="W33505" s="235" t="n"/>
      <c r="X33505" s="235" t="n"/>
    </row>
    <row r="33506" ht="14.25" customHeight="1" s="192">
      <c r="W33506" s="239" t="n"/>
      <c r="X33506" s="239" t="n"/>
    </row>
    <row r="33507" ht="14.25" customHeight="1" s="192">
      <c r="W33507" s="235" t="n"/>
      <c r="X33507" s="235" t="n"/>
    </row>
    <row r="33508" ht="14.25" customHeight="1" s="192">
      <c r="W33508" s="239" t="n"/>
      <c r="X33508" s="239" t="n"/>
    </row>
    <row r="33510" ht="14.25" customHeight="1" s="192">
      <c r="W33510" s="235" t="n"/>
      <c r="X33510" s="235" t="n"/>
    </row>
    <row r="33511" ht="15" customHeight="1" s="192" thickBot="1">
      <c r="W33511" s="239" t="n"/>
      <c r="X33511" s="239" t="n"/>
    </row>
    <row r="33512" ht="15" customHeight="1" s="192" thickBot="1">
      <c r="W33512" s="45" t="n"/>
      <c r="X33512" s="45" t="n"/>
    </row>
    <row r="33513" ht="14.25" customHeight="1" s="192">
      <c r="W33513" s="228" t="n"/>
      <c r="X33513" s="228" t="n"/>
    </row>
    <row r="33514" ht="14.25" customHeight="1" s="192">
      <c r="W33514" s="228" t="n"/>
      <c r="X33514" s="228" t="n"/>
    </row>
    <row r="33515" ht="14.25" customHeight="1" s="192">
      <c r="W33515" s="231" t="n"/>
      <c r="X33515" s="231" t="n"/>
    </row>
    <row r="33516" ht="14.25" customHeight="1" s="192">
      <c r="W33516" s="33" t="n"/>
      <c r="X33516" s="33" t="n"/>
    </row>
    <row r="33517" ht="14.25" customHeight="1" s="192">
      <c r="W33517" s="231" t="n"/>
      <c r="X33517" s="231" t="n"/>
    </row>
    <row r="33518" ht="14.25" customHeight="1" s="192">
      <c r="W33518" s="33" t="n"/>
      <c r="X33518" s="33" t="n"/>
    </row>
    <row r="33520" ht="14.25" customHeight="1" s="192">
      <c r="W33520" s="231" t="n"/>
      <c r="X33520" s="231" t="n"/>
    </row>
    <row r="33521" ht="14.25" customHeight="1" s="192">
      <c r="W33521" s="235" t="n"/>
      <c r="X33521" s="235" t="n"/>
    </row>
    <row r="33522" ht="14.25" customHeight="1" s="192">
      <c r="W33522" s="228" t="n"/>
      <c r="X33522" s="228" t="n"/>
    </row>
    <row r="33523" ht="14.25" customHeight="1" s="192">
      <c r="W33523" s="235" t="n"/>
      <c r="X33523" s="235" t="n"/>
    </row>
    <row r="33524" ht="14.25" customHeight="1" s="192">
      <c r="W33524" s="235" t="n"/>
      <c r="X33524" s="235" t="n"/>
    </row>
    <row r="33525" ht="14.25" customHeight="1" s="192">
      <c r="W33525" s="235" t="n"/>
      <c r="X33525" s="235" t="n"/>
    </row>
    <row r="33526" ht="14.25" customHeight="1" s="192">
      <c r="W33526" s="239" t="n"/>
      <c r="X33526" s="239" t="n"/>
    </row>
    <row r="33527" ht="14.25" customHeight="1" s="192">
      <c r="W33527" s="239" t="n"/>
      <c r="X33527" s="239" t="n"/>
    </row>
    <row r="33528" ht="14.25" customHeight="1" s="192">
      <c r="W33528" s="239" t="n"/>
      <c r="X33528" s="239" t="n"/>
    </row>
    <row r="33529" ht="14.25" customHeight="1" s="192">
      <c r="W33529" s="235" t="n"/>
      <c r="X33529" s="235" t="n"/>
    </row>
    <row r="33530" ht="14.25" customHeight="1" s="192">
      <c r="W33530" s="235" t="n"/>
      <c r="X33530" s="235" t="n"/>
    </row>
    <row r="33531" ht="14.25" customHeight="1" s="192">
      <c r="W33531" s="235" t="n"/>
      <c r="X33531" s="235" t="n"/>
    </row>
    <row r="33532" ht="14.25" customHeight="1" s="192">
      <c r="W33532" s="239" t="n"/>
      <c r="X33532" s="239" t="n"/>
    </row>
    <row r="33533" ht="14.25" customHeight="1" s="192">
      <c r="W33533" s="239" t="n"/>
      <c r="X33533" s="239" t="n"/>
    </row>
    <row r="33534" ht="14.25" customHeight="1" s="192">
      <c r="W33534" s="235" t="n"/>
      <c r="X33534" s="235" t="n"/>
    </row>
    <row r="33535" ht="14.25" customHeight="1" s="192">
      <c r="W33535" s="235" t="n"/>
      <c r="X33535" s="235" t="n"/>
    </row>
    <row r="33536" ht="14.25" customHeight="1" s="192">
      <c r="W33536" s="239" t="n"/>
      <c r="X33536" s="239" t="n"/>
    </row>
    <row r="33537" ht="14.25" customHeight="1" s="192">
      <c r="W33537" s="235" t="n"/>
      <c r="X33537" s="235" t="n"/>
    </row>
    <row r="33538" ht="14.25" customHeight="1" s="192">
      <c r="W33538" s="239" t="n"/>
      <c r="X33538" s="239" t="n"/>
    </row>
    <row r="33540" ht="14.25" customHeight="1" s="192">
      <c r="W33540" s="235" t="n"/>
      <c r="X33540" s="235" t="n"/>
    </row>
    <row r="33541" ht="15" customHeight="1" s="192" thickBot="1">
      <c r="W33541" s="239" t="n"/>
      <c r="X33541" s="239" t="n"/>
    </row>
    <row r="33542" ht="15" customHeight="1" s="192" thickBot="1">
      <c r="W33542" s="45" t="n"/>
      <c r="X33542" s="45" t="n"/>
    </row>
    <row r="33543" ht="14.25" customHeight="1" s="192">
      <c r="W33543" s="228" t="n"/>
      <c r="X33543" s="228" t="n"/>
    </row>
    <row r="33544" ht="14.25" customHeight="1" s="192">
      <c r="W33544" s="228" t="n"/>
      <c r="X33544" s="228" t="n"/>
    </row>
    <row r="33545" ht="14.25" customHeight="1" s="192">
      <c r="W33545" s="231" t="n"/>
      <c r="X33545" s="231" t="n"/>
    </row>
    <row r="33546" ht="14.25" customHeight="1" s="192">
      <c r="W33546" s="33" t="n"/>
      <c r="X33546" s="33" t="n"/>
    </row>
    <row r="33547" ht="14.25" customHeight="1" s="192">
      <c r="W33547" s="231" t="n"/>
      <c r="X33547" s="231" t="n"/>
    </row>
    <row r="33548" ht="14.25" customHeight="1" s="192">
      <c r="W33548" s="33" t="n"/>
      <c r="X33548" s="33" t="n"/>
    </row>
    <row r="33550" ht="14.25" customHeight="1" s="192">
      <c r="W33550" s="231" t="n"/>
      <c r="X33550" s="231" t="n"/>
    </row>
    <row r="33551" ht="14.25" customHeight="1" s="192">
      <c r="W33551" s="235" t="n"/>
      <c r="X33551" s="235" t="n"/>
    </row>
    <row r="33552" ht="14.25" customHeight="1" s="192">
      <c r="W33552" s="228" t="n"/>
      <c r="X33552" s="228" t="n"/>
    </row>
    <row r="33553" ht="14.25" customHeight="1" s="192">
      <c r="W33553" s="235" t="n"/>
      <c r="X33553" s="235" t="n"/>
    </row>
    <row r="33554" ht="14.25" customHeight="1" s="192">
      <c r="W33554" s="235" t="n"/>
      <c r="X33554" s="235" t="n"/>
    </row>
    <row r="33555" ht="14.25" customHeight="1" s="192">
      <c r="W33555" s="235" t="n"/>
      <c r="X33555" s="235" t="n"/>
    </row>
    <row r="33556" ht="14.25" customHeight="1" s="192">
      <c r="W33556" s="239" t="n"/>
      <c r="X33556" s="239" t="n"/>
    </row>
    <row r="33557" ht="14.25" customHeight="1" s="192">
      <c r="W33557" s="239" t="n"/>
      <c r="X33557" s="239" t="n"/>
    </row>
    <row r="33558" ht="14.25" customHeight="1" s="192">
      <c r="W33558" s="239" t="n"/>
      <c r="X33558" s="239" t="n"/>
    </row>
    <row r="33559" ht="14.25" customHeight="1" s="192">
      <c r="W33559" s="235" t="n"/>
      <c r="X33559" s="235" t="n"/>
    </row>
    <row r="33560" ht="14.25" customHeight="1" s="192">
      <c r="W33560" s="235" t="n"/>
      <c r="X33560" s="235" t="n"/>
    </row>
    <row r="33561" ht="14.25" customHeight="1" s="192">
      <c r="W33561" s="235" t="n"/>
      <c r="X33561" s="235" t="n"/>
    </row>
    <row r="33562" ht="14.25" customHeight="1" s="192">
      <c r="W33562" s="239" t="n"/>
      <c r="X33562" s="239" t="n"/>
    </row>
    <row r="33563" ht="14.25" customHeight="1" s="192">
      <c r="W33563" s="239" t="n"/>
      <c r="X33563" s="239" t="n"/>
    </row>
    <row r="33564" ht="14.25" customHeight="1" s="192">
      <c r="W33564" s="235" t="n"/>
      <c r="X33564" s="235" t="n"/>
    </row>
    <row r="33565" ht="14.25" customHeight="1" s="192">
      <c r="W33565" s="235" t="n"/>
      <c r="X33565" s="235" t="n"/>
    </row>
    <row r="33566" ht="14.25" customHeight="1" s="192">
      <c r="W33566" s="239" t="n"/>
      <c r="X33566" s="239" t="n"/>
    </row>
    <row r="33567" ht="14.25" customHeight="1" s="192">
      <c r="W33567" s="235" t="n"/>
      <c r="X33567" s="235" t="n"/>
    </row>
    <row r="33568" ht="14.25" customHeight="1" s="192">
      <c r="W33568" s="239" t="n"/>
      <c r="X33568" s="239" t="n"/>
    </row>
    <row r="33570" ht="14.25" customHeight="1" s="192">
      <c r="W33570" s="235" t="n"/>
      <c r="X33570" s="235" t="n"/>
    </row>
    <row r="33571" ht="15" customHeight="1" s="192" thickBot="1">
      <c r="W33571" s="239" t="n"/>
      <c r="X33571" s="239" t="n"/>
    </row>
    <row r="33572" ht="15" customHeight="1" s="192" thickBot="1">
      <c r="W33572" s="45" t="n"/>
      <c r="X33572" s="45" t="n"/>
    </row>
    <row r="33573" ht="14.25" customHeight="1" s="192">
      <c r="W33573" s="228" t="n"/>
      <c r="X33573" s="228" t="n"/>
    </row>
    <row r="33574" ht="14.25" customHeight="1" s="192">
      <c r="W33574" s="228" t="n"/>
      <c r="X33574" s="228" t="n"/>
    </row>
    <row r="33575" ht="14.25" customHeight="1" s="192">
      <c r="W33575" s="231" t="n"/>
      <c r="X33575" s="231" t="n"/>
    </row>
    <row r="33576" ht="14.25" customHeight="1" s="192">
      <c r="W33576" s="33" t="n"/>
      <c r="X33576" s="33" t="n"/>
    </row>
    <row r="33577" ht="14.25" customHeight="1" s="192">
      <c r="W33577" s="231" t="n"/>
      <c r="X33577" s="231" t="n"/>
    </row>
    <row r="33578" ht="14.25" customHeight="1" s="192">
      <c r="W33578" s="33" t="n"/>
      <c r="X33578" s="33" t="n"/>
    </row>
    <row r="33580" ht="14.25" customHeight="1" s="192">
      <c r="W33580" s="231" t="n"/>
      <c r="X33580" s="231" t="n"/>
    </row>
    <row r="33581" ht="14.25" customHeight="1" s="192">
      <c r="W33581" s="235" t="n"/>
      <c r="X33581" s="235" t="n"/>
    </row>
    <row r="33582" ht="14.25" customHeight="1" s="192">
      <c r="W33582" s="228" t="n"/>
      <c r="X33582" s="228" t="n"/>
    </row>
    <row r="33583" ht="14.25" customHeight="1" s="192">
      <c r="W33583" s="235" t="n"/>
      <c r="X33583" s="235" t="n"/>
    </row>
    <row r="33584" ht="14.25" customHeight="1" s="192">
      <c r="W33584" s="235" t="n"/>
      <c r="X33584" s="235" t="n"/>
    </row>
    <row r="33585" ht="14.25" customHeight="1" s="192">
      <c r="W33585" s="235" t="n"/>
      <c r="X33585" s="235" t="n"/>
    </row>
    <row r="33586" ht="14.25" customHeight="1" s="192">
      <c r="W33586" s="239" t="n"/>
      <c r="X33586" s="239" t="n"/>
    </row>
    <row r="33587" ht="14.25" customHeight="1" s="192">
      <c r="W33587" s="239" t="n"/>
      <c r="X33587" s="239" t="n"/>
    </row>
    <row r="33588" ht="14.25" customHeight="1" s="192">
      <c r="W33588" s="239" t="n"/>
      <c r="X33588" s="239" t="n"/>
    </row>
    <row r="33589" ht="14.25" customHeight="1" s="192">
      <c r="W33589" s="235" t="n"/>
      <c r="X33589" s="235" t="n"/>
    </row>
    <row r="33590" ht="14.25" customHeight="1" s="192">
      <c r="W33590" s="235" t="n"/>
      <c r="X33590" s="235" t="n"/>
    </row>
    <row r="33591" ht="14.25" customHeight="1" s="192">
      <c r="W33591" s="235" t="n"/>
      <c r="X33591" s="235" t="n"/>
    </row>
    <row r="33592" ht="14.25" customHeight="1" s="192">
      <c r="W33592" s="239" t="n"/>
      <c r="X33592" s="239" t="n"/>
    </row>
    <row r="33593" ht="14.25" customHeight="1" s="192">
      <c r="W33593" s="239" t="n"/>
      <c r="X33593" s="239" t="n"/>
    </row>
    <row r="33594" ht="14.25" customHeight="1" s="192">
      <c r="W33594" s="235" t="n"/>
      <c r="X33594" s="235" t="n"/>
    </row>
    <row r="33595" ht="14.25" customHeight="1" s="192">
      <c r="W33595" s="235" t="n"/>
      <c r="X33595" s="235" t="n"/>
    </row>
    <row r="33596" ht="14.25" customHeight="1" s="192">
      <c r="W33596" s="239" t="n"/>
      <c r="X33596" s="239" t="n"/>
    </row>
    <row r="33597" ht="14.25" customHeight="1" s="192">
      <c r="W33597" s="235" t="n"/>
      <c r="X33597" s="235" t="n"/>
    </row>
    <row r="33598" ht="14.25" customHeight="1" s="192">
      <c r="W33598" s="239" t="n"/>
      <c r="X33598" s="239" t="n"/>
    </row>
    <row r="33600" ht="14.25" customHeight="1" s="192">
      <c r="W33600" s="235" t="n"/>
      <c r="X33600" s="235" t="n"/>
    </row>
    <row r="33601" ht="15" customHeight="1" s="192" thickBot="1">
      <c r="W33601" s="239" t="n"/>
      <c r="X33601" s="239" t="n"/>
    </row>
    <row r="33602" ht="15" customHeight="1" s="192" thickBot="1">
      <c r="W33602" s="45" t="n"/>
      <c r="X33602" s="45" t="n"/>
    </row>
    <row r="33603" ht="14.25" customHeight="1" s="192">
      <c r="W33603" s="228" t="n"/>
      <c r="X33603" s="228" t="n"/>
    </row>
    <row r="33604" ht="14.25" customHeight="1" s="192">
      <c r="W33604" s="228" t="n"/>
      <c r="X33604" s="228" t="n"/>
    </row>
    <row r="33605" ht="14.25" customHeight="1" s="192">
      <c r="W33605" s="231" t="n"/>
      <c r="X33605" s="231" t="n"/>
    </row>
    <row r="33606" ht="14.25" customHeight="1" s="192">
      <c r="W33606" s="33" t="n"/>
      <c r="X33606" s="33" t="n"/>
    </row>
    <row r="33607" ht="14.25" customHeight="1" s="192">
      <c r="W33607" s="231" t="n"/>
      <c r="X33607" s="231" t="n"/>
    </row>
    <row r="33608" ht="14.25" customHeight="1" s="192">
      <c r="W33608" s="33" t="n"/>
      <c r="X33608" s="33" t="n"/>
    </row>
    <row r="33610" ht="14.25" customHeight="1" s="192">
      <c r="W33610" s="231" t="n"/>
      <c r="X33610" s="231" t="n"/>
    </row>
    <row r="33611" ht="14.25" customHeight="1" s="192">
      <c r="W33611" s="235" t="n"/>
      <c r="X33611" s="235" t="n"/>
    </row>
    <row r="33612" ht="14.25" customHeight="1" s="192">
      <c r="W33612" s="228" t="n"/>
      <c r="X33612" s="228" t="n"/>
    </row>
    <row r="33613" ht="14.25" customHeight="1" s="192">
      <c r="W33613" s="235" t="n"/>
      <c r="X33613" s="235" t="n"/>
    </row>
    <row r="33614" ht="14.25" customHeight="1" s="192">
      <c r="W33614" s="235" t="n"/>
      <c r="X33614" s="235" t="n"/>
    </row>
    <row r="33615" ht="14.25" customHeight="1" s="192">
      <c r="W33615" s="235" t="n"/>
      <c r="X33615" s="235" t="n"/>
    </row>
    <row r="33616" ht="14.25" customHeight="1" s="192">
      <c r="W33616" s="239" t="n"/>
      <c r="X33616" s="239" t="n"/>
    </row>
    <row r="33617" ht="14.25" customHeight="1" s="192">
      <c r="W33617" s="239" t="n"/>
      <c r="X33617" s="239" t="n"/>
    </row>
    <row r="33618" ht="14.25" customHeight="1" s="192">
      <c r="W33618" s="239" t="n"/>
      <c r="X33618" s="239" t="n"/>
    </row>
    <row r="33619" ht="14.25" customHeight="1" s="192">
      <c r="W33619" s="235" t="n"/>
      <c r="X33619" s="235" t="n"/>
    </row>
    <row r="33620" ht="14.25" customHeight="1" s="192">
      <c r="W33620" s="235" t="n"/>
      <c r="X33620" s="235" t="n"/>
    </row>
    <row r="33621" ht="14.25" customHeight="1" s="192">
      <c r="W33621" s="235" t="n"/>
      <c r="X33621" s="235" t="n"/>
    </row>
    <row r="33622" ht="14.25" customHeight="1" s="192">
      <c r="W33622" s="239" t="n"/>
      <c r="X33622" s="239" t="n"/>
    </row>
    <row r="33623" ht="14.25" customHeight="1" s="192">
      <c r="W33623" s="239" t="n"/>
      <c r="X33623" s="239" t="n"/>
    </row>
    <row r="33624" ht="14.25" customHeight="1" s="192">
      <c r="W33624" s="235" t="n"/>
      <c r="X33624" s="235" t="n"/>
    </row>
    <row r="33625" ht="14.25" customHeight="1" s="192">
      <c r="W33625" s="235" t="n"/>
      <c r="X33625" s="235" t="n"/>
    </row>
    <row r="33626" ht="14.25" customHeight="1" s="192">
      <c r="W33626" s="239" t="n"/>
      <c r="X33626" s="239" t="n"/>
    </row>
    <row r="33627" ht="14.25" customHeight="1" s="192">
      <c r="W33627" s="235" t="n"/>
      <c r="X33627" s="235" t="n"/>
    </row>
    <row r="33628" ht="14.25" customHeight="1" s="192">
      <c r="W33628" s="239" t="n"/>
      <c r="X33628" s="239" t="n"/>
    </row>
    <row r="33630" ht="14.25" customHeight="1" s="192">
      <c r="W33630" s="235" t="n"/>
      <c r="X33630" s="235" t="n"/>
    </row>
    <row r="33631" ht="15" customHeight="1" s="192" thickBot="1">
      <c r="W33631" s="239" t="n"/>
      <c r="X33631" s="239" t="n"/>
    </row>
    <row r="33632" ht="15" customHeight="1" s="192" thickBot="1">
      <c r="W33632" s="45" t="n"/>
      <c r="X33632" s="45" t="n"/>
    </row>
    <row r="33633" ht="14.25" customHeight="1" s="192">
      <c r="W33633" s="228" t="n"/>
      <c r="X33633" s="228" t="n"/>
    </row>
    <row r="33634" ht="14.25" customHeight="1" s="192">
      <c r="W33634" s="228" t="n"/>
      <c r="X33634" s="228" t="n"/>
    </row>
    <row r="33635" ht="14.25" customHeight="1" s="192">
      <c r="W33635" s="231" t="n"/>
      <c r="X33635" s="231" t="n"/>
    </row>
    <row r="33636" ht="14.25" customHeight="1" s="192">
      <c r="W33636" s="33" t="n"/>
      <c r="X33636" s="33" t="n"/>
    </row>
    <row r="33637" ht="14.25" customHeight="1" s="192">
      <c r="W33637" s="231" t="n"/>
      <c r="X33637" s="231" t="n"/>
    </row>
    <row r="33638" ht="14.25" customHeight="1" s="192">
      <c r="W33638" s="33" t="n"/>
      <c r="X33638" s="33" t="n"/>
    </row>
    <row r="33640" ht="14.25" customHeight="1" s="192">
      <c r="W33640" s="231" t="n"/>
      <c r="X33640" s="231" t="n"/>
    </row>
    <row r="33641" ht="14.25" customHeight="1" s="192">
      <c r="W33641" s="235" t="n"/>
      <c r="X33641" s="235" t="n"/>
    </row>
    <row r="33642" ht="14.25" customHeight="1" s="192">
      <c r="W33642" s="228" t="n"/>
      <c r="X33642" s="228" t="n"/>
    </row>
    <row r="33643" ht="14.25" customHeight="1" s="192">
      <c r="W33643" s="235" t="n"/>
      <c r="X33643" s="235" t="n"/>
    </row>
    <row r="33644" ht="14.25" customHeight="1" s="192">
      <c r="W33644" s="235" t="n"/>
      <c r="X33644" s="235" t="n"/>
    </row>
    <row r="33645" ht="14.25" customHeight="1" s="192">
      <c r="W33645" s="235" t="n"/>
      <c r="X33645" s="235" t="n"/>
    </row>
    <row r="33646" ht="14.25" customHeight="1" s="192">
      <c r="W33646" s="239" t="n"/>
      <c r="X33646" s="239" t="n"/>
    </row>
    <row r="33647" ht="14.25" customHeight="1" s="192">
      <c r="W33647" s="239" t="n"/>
      <c r="X33647" s="239" t="n"/>
    </row>
    <row r="33648" ht="14.25" customHeight="1" s="192">
      <c r="W33648" s="239" t="n"/>
      <c r="X33648" s="239" t="n"/>
    </row>
    <row r="33649" ht="14.25" customHeight="1" s="192">
      <c r="W33649" s="235" t="n"/>
      <c r="X33649" s="235" t="n"/>
    </row>
    <row r="33650" ht="14.25" customHeight="1" s="192">
      <c r="W33650" s="235" t="n"/>
      <c r="X33650" s="235" t="n"/>
    </row>
    <row r="33651" ht="14.25" customHeight="1" s="192">
      <c r="W33651" s="235" t="n"/>
      <c r="X33651" s="235" t="n"/>
    </row>
    <row r="33652" ht="14.25" customHeight="1" s="192">
      <c r="W33652" s="239" t="n"/>
      <c r="X33652" s="239" t="n"/>
    </row>
    <row r="33653" ht="14.25" customHeight="1" s="192">
      <c r="W33653" s="239" t="n"/>
      <c r="X33653" s="239" t="n"/>
    </row>
    <row r="33654" ht="14.25" customHeight="1" s="192">
      <c r="W33654" s="235" t="n"/>
      <c r="X33654" s="235" t="n"/>
    </row>
    <row r="33655" ht="14.25" customHeight="1" s="192">
      <c r="W33655" s="235" t="n"/>
      <c r="X33655" s="235" t="n"/>
    </row>
    <row r="33656" ht="14.25" customHeight="1" s="192">
      <c r="W33656" s="239" t="n"/>
      <c r="X33656" s="239" t="n"/>
    </row>
    <row r="33657" ht="14.25" customHeight="1" s="192">
      <c r="W33657" s="235" t="n"/>
      <c r="X33657" s="235" t="n"/>
    </row>
    <row r="33658" ht="14.25" customHeight="1" s="192">
      <c r="W33658" s="239" t="n"/>
      <c r="X33658" s="239" t="n"/>
    </row>
    <row r="33660" ht="14.25" customHeight="1" s="192">
      <c r="W33660" s="235" t="n"/>
      <c r="X33660" s="235" t="n"/>
    </row>
    <row r="33661" ht="15" customHeight="1" s="192" thickBot="1">
      <c r="W33661" s="239" t="n"/>
      <c r="X33661" s="239" t="n"/>
    </row>
    <row r="33662" ht="15" customHeight="1" s="192" thickBot="1">
      <c r="W33662" s="45" t="n"/>
      <c r="X33662" s="45" t="n"/>
    </row>
    <row r="33663" ht="14.25" customHeight="1" s="192">
      <c r="W33663" s="228" t="n"/>
      <c r="X33663" s="228" t="n"/>
    </row>
    <row r="33664" ht="14.25" customHeight="1" s="192">
      <c r="W33664" s="228" t="n"/>
      <c r="X33664" s="228" t="n"/>
    </row>
    <row r="33665" ht="14.25" customHeight="1" s="192">
      <c r="W33665" s="231" t="n"/>
      <c r="X33665" s="231" t="n"/>
    </row>
    <row r="33666" ht="14.25" customHeight="1" s="192">
      <c r="W33666" s="33" t="n"/>
      <c r="X33666" s="33" t="n"/>
    </row>
    <row r="33667" ht="14.25" customHeight="1" s="192">
      <c r="W33667" s="231" t="n"/>
      <c r="X33667" s="231" t="n"/>
    </row>
    <row r="33668" ht="14.25" customHeight="1" s="192">
      <c r="W33668" s="33" t="n"/>
      <c r="X33668" s="33" t="n"/>
    </row>
    <row r="33670" ht="14.25" customHeight="1" s="192">
      <c r="W33670" s="231" t="n"/>
      <c r="X33670" s="231" t="n"/>
    </row>
    <row r="33671" ht="14.25" customHeight="1" s="192">
      <c r="W33671" s="235" t="n"/>
      <c r="X33671" s="235" t="n"/>
    </row>
    <row r="33672" ht="14.25" customHeight="1" s="192">
      <c r="W33672" s="228" t="n"/>
      <c r="X33672" s="228" t="n"/>
    </row>
    <row r="33673" ht="14.25" customHeight="1" s="192">
      <c r="W33673" s="235" t="n"/>
      <c r="X33673" s="235" t="n"/>
    </row>
    <row r="33674" ht="14.25" customHeight="1" s="192">
      <c r="W33674" s="235" t="n"/>
      <c r="X33674" s="235" t="n"/>
    </row>
    <row r="33675" ht="14.25" customHeight="1" s="192">
      <c r="W33675" s="235" t="n"/>
      <c r="X33675" s="235" t="n"/>
    </row>
    <row r="33676" ht="14.25" customHeight="1" s="192">
      <c r="W33676" s="239" t="n"/>
      <c r="X33676" s="239" t="n"/>
    </row>
    <row r="33677" ht="14.25" customHeight="1" s="192">
      <c r="W33677" s="239" t="n"/>
      <c r="X33677" s="239" t="n"/>
    </row>
    <row r="33678" ht="14.25" customHeight="1" s="192">
      <c r="W33678" s="239" t="n"/>
      <c r="X33678" s="239" t="n"/>
    </row>
    <row r="33679" ht="14.25" customHeight="1" s="192">
      <c r="W33679" s="235" t="n"/>
      <c r="X33679" s="235" t="n"/>
    </row>
    <row r="33680" ht="14.25" customHeight="1" s="192">
      <c r="W33680" s="235" t="n"/>
      <c r="X33680" s="235" t="n"/>
    </row>
    <row r="33681" ht="14.25" customHeight="1" s="192">
      <c r="W33681" s="235" t="n"/>
      <c r="X33681" s="235" t="n"/>
    </row>
    <row r="33682" ht="14.25" customHeight="1" s="192">
      <c r="W33682" s="239" t="n"/>
      <c r="X33682" s="239" t="n"/>
    </row>
    <row r="33683" ht="14.25" customHeight="1" s="192">
      <c r="W33683" s="239" t="n"/>
      <c r="X33683" s="239" t="n"/>
    </row>
    <row r="33684" ht="14.25" customHeight="1" s="192">
      <c r="W33684" s="235" t="n"/>
      <c r="X33684" s="235" t="n"/>
    </row>
    <row r="33685" ht="14.25" customHeight="1" s="192">
      <c r="W33685" s="235" t="n"/>
      <c r="X33685" s="235" t="n"/>
    </row>
    <row r="33686" ht="14.25" customHeight="1" s="192">
      <c r="W33686" s="239" t="n"/>
      <c r="X33686" s="239" t="n"/>
    </row>
    <row r="33687" ht="14.25" customHeight="1" s="192">
      <c r="W33687" s="235" t="n"/>
      <c r="X33687" s="235" t="n"/>
    </row>
    <row r="33688" ht="14.25" customHeight="1" s="192">
      <c r="W33688" s="239" t="n"/>
      <c r="X33688" s="239" t="n"/>
    </row>
    <row r="33690" ht="14.25" customHeight="1" s="192">
      <c r="W33690" s="235" t="n"/>
      <c r="X33690" s="235" t="n"/>
    </row>
    <row r="33691" ht="15" customHeight="1" s="192" thickBot="1">
      <c r="W33691" s="239" t="n"/>
      <c r="X33691" s="239" t="n"/>
    </row>
    <row r="33692" ht="15" customHeight="1" s="192" thickBot="1">
      <c r="W33692" s="45" t="n"/>
      <c r="X33692" s="45" t="n"/>
    </row>
    <row r="33693" ht="14.25" customHeight="1" s="192">
      <c r="W33693" s="228" t="n"/>
      <c r="X33693" s="228" t="n"/>
    </row>
    <row r="33694" ht="14.25" customHeight="1" s="192">
      <c r="W33694" s="228" t="n"/>
      <c r="X33694" s="228" t="n"/>
    </row>
    <row r="33695" ht="14.25" customHeight="1" s="192">
      <c r="W33695" s="231" t="n"/>
      <c r="X33695" s="231" t="n"/>
    </row>
    <row r="33696" ht="14.25" customHeight="1" s="192">
      <c r="W33696" s="33" t="n"/>
      <c r="X33696" s="33" t="n"/>
    </row>
    <row r="33697" ht="14.25" customHeight="1" s="192">
      <c r="W33697" s="231" t="n"/>
      <c r="X33697" s="231" t="n"/>
    </row>
    <row r="33698" ht="14.25" customHeight="1" s="192">
      <c r="W33698" s="33" t="n"/>
      <c r="X33698" s="33" t="n"/>
    </row>
    <row r="33700" ht="14.25" customHeight="1" s="192">
      <c r="W33700" s="231" t="n"/>
      <c r="X33700" s="231" t="n"/>
    </row>
    <row r="33701" ht="14.25" customHeight="1" s="192">
      <c r="W33701" s="235" t="n"/>
      <c r="X33701" s="235" t="n"/>
    </row>
    <row r="33702" ht="14.25" customHeight="1" s="192">
      <c r="W33702" s="228" t="n"/>
      <c r="X33702" s="228" t="n"/>
    </row>
    <row r="33703" ht="14.25" customHeight="1" s="192">
      <c r="W33703" s="235" t="n"/>
      <c r="X33703" s="235" t="n"/>
    </row>
    <row r="33704" ht="14.25" customHeight="1" s="192">
      <c r="W33704" s="235" t="n"/>
      <c r="X33704" s="235" t="n"/>
    </row>
    <row r="33705" ht="14.25" customHeight="1" s="192">
      <c r="W33705" s="235" t="n"/>
      <c r="X33705" s="235" t="n"/>
    </row>
    <row r="33706" ht="14.25" customHeight="1" s="192">
      <c r="W33706" s="239" t="n"/>
      <c r="X33706" s="239" t="n"/>
    </row>
    <row r="33707" ht="14.25" customHeight="1" s="192">
      <c r="W33707" s="239" t="n"/>
      <c r="X33707" s="239" t="n"/>
    </row>
    <row r="33708" ht="14.25" customHeight="1" s="192">
      <c r="W33708" s="239" t="n"/>
      <c r="X33708" s="239" t="n"/>
    </row>
    <row r="33709" ht="14.25" customHeight="1" s="192">
      <c r="W33709" s="235" t="n"/>
      <c r="X33709" s="235" t="n"/>
    </row>
    <row r="33710" ht="14.25" customHeight="1" s="192">
      <c r="W33710" s="235" t="n"/>
      <c r="X33710" s="235" t="n"/>
    </row>
    <row r="33711" ht="14.25" customHeight="1" s="192">
      <c r="W33711" s="235" t="n"/>
      <c r="X33711" s="235" t="n"/>
    </row>
    <row r="33712" ht="14.25" customHeight="1" s="192">
      <c r="W33712" s="239" t="n"/>
      <c r="X33712" s="239" t="n"/>
    </row>
    <row r="33713" ht="14.25" customHeight="1" s="192">
      <c r="W33713" s="239" t="n"/>
      <c r="X33713" s="239" t="n"/>
    </row>
    <row r="33714" ht="14.25" customHeight="1" s="192">
      <c r="W33714" s="235" t="n"/>
      <c r="X33714" s="235" t="n"/>
    </row>
    <row r="33715" ht="14.25" customHeight="1" s="192">
      <c r="W33715" s="235" t="n"/>
      <c r="X33715" s="235" t="n"/>
    </row>
    <row r="33716" ht="14.25" customHeight="1" s="192">
      <c r="W33716" s="239" t="n"/>
      <c r="X33716" s="239" t="n"/>
    </row>
    <row r="33717" ht="14.25" customHeight="1" s="192">
      <c r="W33717" s="235" t="n"/>
      <c r="X33717" s="235" t="n"/>
    </row>
    <row r="33718" ht="14.25" customHeight="1" s="192">
      <c r="W33718" s="239" t="n"/>
      <c r="X33718" s="239" t="n"/>
    </row>
    <row r="33720" ht="14.25" customHeight="1" s="192">
      <c r="W33720" s="235" t="n"/>
      <c r="X33720" s="235" t="n"/>
    </row>
    <row r="33721" ht="15" customHeight="1" s="192" thickBot="1">
      <c r="W33721" s="239" t="n"/>
      <c r="X33721" s="239" t="n"/>
    </row>
    <row r="33722" ht="15" customHeight="1" s="192" thickBot="1">
      <c r="W33722" s="45" t="n"/>
      <c r="X33722" s="45" t="n"/>
    </row>
    <row r="33723" ht="14.25" customHeight="1" s="192">
      <c r="W33723" s="228" t="n"/>
      <c r="X33723" s="228" t="n"/>
    </row>
    <row r="33724" ht="14.25" customHeight="1" s="192">
      <c r="W33724" s="228" t="n"/>
      <c r="X33724" s="228" t="n"/>
    </row>
    <row r="33725" ht="14.25" customHeight="1" s="192">
      <c r="W33725" s="231" t="n"/>
      <c r="X33725" s="231" t="n"/>
    </row>
    <row r="33726" ht="14.25" customHeight="1" s="192">
      <c r="W33726" s="33" t="n"/>
      <c r="X33726" s="33" t="n"/>
    </row>
    <row r="33727" ht="14.25" customHeight="1" s="192">
      <c r="W33727" s="231" t="n"/>
      <c r="X33727" s="231" t="n"/>
    </row>
    <row r="33728" ht="14.25" customHeight="1" s="192">
      <c r="W33728" s="33" t="n"/>
      <c r="X33728" s="33" t="n"/>
    </row>
    <row r="33730" ht="14.25" customHeight="1" s="192">
      <c r="W33730" s="231" t="n"/>
      <c r="X33730" s="231" t="n"/>
    </row>
    <row r="33731" ht="14.25" customHeight="1" s="192">
      <c r="W33731" s="235" t="n"/>
      <c r="X33731" s="235" t="n"/>
    </row>
    <row r="33732" ht="14.25" customHeight="1" s="192">
      <c r="W33732" s="228" t="n"/>
      <c r="X33732" s="228" t="n"/>
    </row>
    <row r="33733" ht="14.25" customHeight="1" s="192">
      <c r="W33733" s="235" t="n"/>
      <c r="X33733" s="235" t="n"/>
    </row>
    <row r="33734" ht="14.25" customHeight="1" s="192">
      <c r="W33734" s="235" t="n"/>
      <c r="X33734" s="235" t="n"/>
    </row>
    <row r="33735" ht="14.25" customHeight="1" s="192">
      <c r="W33735" s="235" t="n"/>
      <c r="X33735" s="235" t="n"/>
    </row>
    <row r="33736" ht="14.25" customHeight="1" s="192">
      <c r="W33736" s="239" t="n"/>
      <c r="X33736" s="239" t="n"/>
    </row>
    <row r="33737" ht="14.25" customHeight="1" s="192">
      <c r="W33737" s="239" t="n"/>
      <c r="X33737" s="239" t="n"/>
    </row>
    <row r="33738" ht="14.25" customHeight="1" s="192">
      <c r="W33738" s="239" t="n"/>
      <c r="X33738" s="239" t="n"/>
    </row>
    <row r="33739" ht="14.25" customHeight="1" s="192">
      <c r="W33739" s="235" t="n"/>
      <c r="X33739" s="235" t="n"/>
    </row>
    <row r="33740" ht="14.25" customHeight="1" s="192">
      <c r="W33740" s="235" t="n"/>
      <c r="X33740" s="235" t="n"/>
    </row>
    <row r="33741" ht="14.25" customHeight="1" s="192">
      <c r="W33741" s="235" t="n"/>
      <c r="X33741" s="235" t="n"/>
    </row>
    <row r="33742" ht="14.25" customHeight="1" s="192">
      <c r="W33742" s="239" t="n"/>
      <c r="X33742" s="239" t="n"/>
    </row>
    <row r="33743" ht="14.25" customHeight="1" s="192">
      <c r="W33743" s="239" t="n"/>
      <c r="X33743" s="239" t="n"/>
    </row>
    <row r="33744" ht="14.25" customHeight="1" s="192">
      <c r="W33744" s="235" t="n"/>
      <c r="X33744" s="235" t="n"/>
    </row>
    <row r="33745" ht="14.25" customHeight="1" s="192">
      <c r="W33745" s="235" t="n"/>
      <c r="X33745" s="235" t="n"/>
    </row>
    <row r="33746" ht="14.25" customHeight="1" s="192">
      <c r="W33746" s="239" t="n"/>
      <c r="X33746" s="239" t="n"/>
    </row>
    <row r="33747" ht="14.25" customHeight="1" s="192">
      <c r="W33747" s="235" t="n"/>
      <c r="X33747" s="235" t="n"/>
    </row>
    <row r="33748" ht="14.25" customHeight="1" s="192">
      <c r="W33748" s="239" t="n"/>
      <c r="X33748" s="239" t="n"/>
    </row>
    <row r="33750" ht="14.25" customHeight="1" s="192">
      <c r="W33750" s="235" t="n"/>
      <c r="X33750" s="235" t="n"/>
    </row>
    <row r="33751" ht="15" customHeight="1" s="192" thickBot="1">
      <c r="W33751" s="239" t="n"/>
      <c r="X33751" s="239" t="n"/>
    </row>
    <row r="33752" ht="15" customHeight="1" s="192" thickBot="1">
      <c r="W33752" s="45" t="n"/>
      <c r="X33752" s="45" t="n"/>
    </row>
    <row r="33753" ht="14.25" customHeight="1" s="192">
      <c r="W33753" s="228" t="n"/>
      <c r="X33753" s="228" t="n"/>
    </row>
    <row r="33754" ht="14.25" customHeight="1" s="192">
      <c r="W33754" s="228" t="n"/>
      <c r="X33754" s="228" t="n"/>
    </row>
    <row r="33755" ht="14.25" customHeight="1" s="192">
      <c r="W33755" s="231" t="n"/>
      <c r="X33755" s="231" t="n"/>
    </row>
    <row r="33756" ht="14.25" customHeight="1" s="192">
      <c r="W33756" s="33" t="n"/>
      <c r="X33756" s="33" t="n"/>
    </row>
    <row r="33757" ht="14.25" customHeight="1" s="192">
      <c r="W33757" s="231" t="n"/>
      <c r="X33757" s="231" t="n"/>
    </row>
    <row r="33758" ht="14.25" customHeight="1" s="192">
      <c r="W33758" s="33" t="n"/>
      <c r="X33758" s="33" t="n"/>
    </row>
    <row r="33760" ht="14.25" customHeight="1" s="192">
      <c r="W33760" s="231" t="n"/>
      <c r="X33760" s="231" t="n"/>
    </row>
    <row r="33761" ht="14.25" customHeight="1" s="192">
      <c r="W33761" s="235" t="n"/>
      <c r="X33761" s="235" t="n"/>
    </row>
    <row r="33762" ht="14.25" customHeight="1" s="192">
      <c r="W33762" s="228" t="n"/>
      <c r="X33762" s="228" t="n"/>
    </row>
    <row r="33763" ht="14.25" customHeight="1" s="192">
      <c r="W33763" s="235" t="n"/>
      <c r="X33763" s="235" t="n"/>
    </row>
    <row r="33764" ht="14.25" customHeight="1" s="192">
      <c r="W33764" s="235" t="n"/>
      <c r="X33764" s="235" t="n"/>
    </row>
    <row r="33765" ht="14.25" customHeight="1" s="192">
      <c r="W33765" s="235" t="n"/>
      <c r="X33765" s="235" t="n"/>
    </row>
    <row r="33766" ht="14.25" customHeight="1" s="192">
      <c r="W33766" s="239" t="n"/>
      <c r="X33766" s="239" t="n"/>
    </row>
    <row r="33767" ht="14.25" customHeight="1" s="192">
      <c r="W33767" s="239" t="n"/>
      <c r="X33767" s="239" t="n"/>
    </row>
    <row r="33768" ht="14.25" customHeight="1" s="192">
      <c r="W33768" s="239" t="n"/>
      <c r="X33768" s="239" t="n"/>
    </row>
    <row r="33769" ht="14.25" customHeight="1" s="192">
      <c r="W33769" s="235" t="n"/>
      <c r="X33769" s="235" t="n"/>
    </row>
    <row r="33770" ht="14.25" customHeight="1" s="192">
      <c r="W33770" s="235" t="n"/>
      <c r="X33770" s="235" t="n"/>
    </row>
    <row r="33771" ht="14.25" customHeight="1" s="192">
      <c r="W33771" s="235" t="n"/>
      <c r="X33771" s="235" t="n"/>
    </row>
    <row r="33772" ht="14.25" customHeight="1" s="192">
      <c r="W33772" s="239" t="n"/>
      <c r="X33772" s="239" t="n"/>
    </row>
    <row r="33773" ht="14.25" customHeight="1" s="192">
      <c r="W33773" s="239" t="n"/>
      <c r="X33773" s="239" t="n"/>
    </row>
    <row r="33774" ht="14.25" customHeight="1" s="192">
      <c r="W33774" s="235" t="n"/>
      <c r="X33774" s="235" t="n"/>
    </row>
    <row r="33775" ht="14.25" customHeight="1" s="192">
      <c r="W33775" s="235" t="n"/>
      <c r="X33775" s="235" t="n"/>
    </row>
    <row r="33776" ht="14.25" customHeight="1" s="192">
      <c r="W33776" s="239" t="n"/>
      <c r="X33776" s="239" t="n"/>
    </row>
    <row r="33777" ht="14.25" customHeight="1" s="192">
      <c r="W33777" s="235" t="n"/>
      <c r="X33777" s="235" t="n"/>
    </row>
    <row r="33778" ht="14.25" customHeight="1" s="192">
      <c r="W33778" s="239" t="n"/>
      <c r="X33778" s="239" t="n"/>
    </row>
    <row r="33780" ht="14.25" customHeight="1" s="192">
      <c r="W33780" s="235" t="n"/>
      <c r="X33780" s="235" t="n"/>
    </row>
    <row r="33781" ht="15" customHeight="1" s="192" thickBot="1">
      <c r="W33781" s="239" t="n"/>
      <c r="X33781" s="239" t="n"/>
    </row>
    <row r="33782" ht="15" customHeight="1" s="192" thickBot="1">
      <c r="W33782" s="45" t="n"/>
      <c r="X33782" s="45" t="n"/>
    </row>
    <row r="33783" ht="14.25" customHeight="1" s="192">
      <c r="W33783" s="228" t="n"/>
      <c r="X33783" s="228" t="n"/>
    </row>
    <row r="33784" ht="14.25" customHeight="1" s="192">
      <c r="W33784" s="228" t="n"/>
      <c r="X33784" s="228" t="n"/>
    </row>
    <row r="33785" ht="14.25" customHeight="1" s="192">
      <c r="W33785" s="231" t="n"/>
      <c r="X33785" s="231" t="n"/>
    </row>
    <row r="33786" ht="14.25" customHeight="1" s="192">
      <c r="W33786" s="33" t="n"/>
      <c r="X33786" s="33" t="n"/>
    </row>
    <row r="33787" ht="14.25" customHeight="1" s="192">
      <c r="W33787" s="231" t="n"/>
      <c r="X33787" s="231" t="n"/>
    </row>
    <row r="33788" ht="14.25" customHeight="1" s="192">
      <c r="W33788" s="33" t="n"/>
      <c r="X33788" s="33" t="n"/>
    </row>
    <row r="33790" ht="14.25" customHeight="1" s="192">
      <c r="W33790" s="231" t="n"/>
      <c r="X33790" s="231" t="n"/>
    </row>
    <row r="33791" ht="14.25" customHeight="1" s="192">
      <c r="W33791" s="235" t="n"/>
      <c r="X33791" s="235" t="n"/>
    </row>
    <row r="33792" ht="14.25" customHeight="1" s="192">
      <c r="W33792" s="228" t="n"/>
      <c r="X33792" s="228" t="n"/>
    </row>
    <row r="33793" ht="14.25" customHeight="1" s="192">
      <c r="W33793" s="235" t="n"/>
      <c r="X33793" s="235" t="n"/>
    </row>
    <row r="33794" ht="14.25" customHeight="1" s="192">
      <c r="W33794" s="235" t="n"/>
      <c r="X33794" s="235" t="n"/>
    </row>
    <row r="33795" ht="14.25" customHeight="1" s="192">
      <c r="W33795" s="235" t="n"/>
      <c r="X33795" s="235" t="n"/>
    </row>
    <row r="33796" ht="14.25" customHeight="1" s="192">
      <c r="W33796" s="239" t="n"/>
      <c r="X33796" s="239" t="n"/>
    </row>
    <row r="33797" ht="14.25" customHeight="1" s="192">
      <c r="W33797" s="239" t="n"/>
      <c r="X33797" s="239" t="n"/>
    </row>
    <row r="33798" ht="14.25" customHeight="1" s="192">
      <c r="W33798" s="239" t="n"/>
      <c r="X33798" s="239" t="n"/>
    </row>
    <row r="33799" ht="14.25" customHeight="1" s="192">
      <c r="W33799" s="235" t="n"/>
      <c r="X33799" s="235" t="n"/>
    </row>
    <row r="33800" ht="14.25" customHeight="1" s="192">
      <c r="W33800" s="235" t="n"/>
      <c r="X33800" s="235" t="n"/>
    </row>
    <row r="33801" ht="14.25" customHeight="1" s="192">
      <c r="W33801" s="235" t="n"/>
      <c r="X33801" s="235" t="n"/>
    </row>
    <row r="33802" ht="14.25" customHeight="1" s="192">
      <c r="W33802" s="239" t="n"/>
      <c r="X33802" s="239" t="n"/>
    </row>
    <row r="33803" ht="14.25" customHeight="1" s="192">
      <c r="W33803" s="239" t="n"/>
      <c r="X33803" s="239" t="n"/>
    </row>
    <row r="33804" ht="14.25" customHeight="1" s="192">
      <c r="W33804" s="235" t="n"/>
      <c r="X33804" s="235" t="n"/>
    </row>
    <row r="33805" ht="14.25" customHeight="1" s="192">
      <c r="W33805" s="235" t="n"/>
      <c r="X33805" s="235" t="n"/>
    </row>
    <row r="33806" ht="14.25" customHeight="1" s="192">
      <c r="W33806" s="239" t="n"/>
      <c r="X33806" s="239" t="n"/>
    </row>
    <row r="33807" ht="14.25" customHeight="1" s="192">
      <c r="W33807" s="235" t="n"/>
      <c r="X33807" s="235" t="n"/>
    </row>
    <row r="33808" ht="14.25" customHeight="1" s="192">
      <c r="W33808" s="239" t="n"/>
      <c r="X33808" s="239" t="n"/>
    </row>
    <row r="33810" ht="14.25" customHeight="1" s="192">
      <c r="W33810" s="235" t="n"/>
      <c r="X33810" s="235" t="n"/>
    </row>
    <row r="33811" ht="15" customHeight="1" s="192" thickBot="1">
      <c r="W33811" s="239" t="n"/>
      <c r="X33811" s="239" t="n"/>
    </row>
    <row r="33812" ht="15" customHeight="1" s="192" thickBot="1">
      <c r="W33812" s="45" t="n"/>
      <c r="X33812" s="45" t="n"/>
    </row>
    <row r="33813" ht="14.25" customHeight="1" s="192">
      <c r="W33813" s="228" t="n"/>
      <c r="X33813" s="228" t="n"/>
    </row>
    <row r="33814" ht="14.25" customHeight="1" s="192">
      <c r="W33814" s="228" t="n"/>
      <c r="X33814" s="228" t="n"/>
    </row>
    <row r="33815" ht="14.25" customHeight="1" s="192">
      <c r="W33815" s="231" t="n"/>
      <c r="X33815" s="231" t="n"/>
    </row>
    <row r="33816" ht="14.25" customHeight="1" s="192">
      <c r="W33816" s="33" t="n"/>
      <c r="X33816" s="33" t="n"/>
    </row>
    <row r="33817" ht="14.25" customHeight="1" s="192">
      <c r="W33817" s="231" t="n"/>
      <c r="X33817" s="231" t="n"/>
    </row>
    <row r="33818" ht="14.25" customHeight="1" s="192">
      <c r="W33818" s="33" t="n"/>
      <c r="X33818" s="33" t="n"/>
    </row>
    <row r="33820" ht="14.25" customHeight="1" s="192">
      <c r="W33820" s="231" t="n"/>
      <c r="X33820" s="231" t="n"/>
    </row>
    <row r="33821" ht="14.25" customHeight="1" s="192">
      <c r="W33821" s="235" t="n"/>
      <c r="X33821" s="235" t="n"/>
    </row>
    <row r="33822" ht="14.25" customHeight="1" s="192">
      <c r="W33822" s="228" t="n"/>
      <c r="X33822" s="228" t="n"/>
    </row>
    <row r="33823" ht="14.25" customHeight="1" s="192">
      <c r="W33823" s="235" t="n"/>
      <c r="X33823" s="235" t="n"/>
    </row>
    <row r="33824" ht="14.25" customHeight="1" s="192">
      <c r="W33824" s="235" t="n"/>
      <c r="X33824" s="235" t="n"/>
    </row>
    <row r="33825" ht="14.25" customHeight="1" s="192">
      <c r="W33825" s="235" t="n"/>
      <c r="X33825" s="235" t="n"/>
    </row>
    <row r="33826" ht="14.25" customHeight="1" s="192">
      <c r="W33826" s="239" t="n"/>
      <c r="X33826" s="239" t="n"/>
    </row>
    <row r="33827" ht="14.25" customHeight="1" s="192">
      <c r="W33827" s="239" t="n"/>
      <c r="X33827" s="239" t="n"/>
    </row>
    <row r="33828" ht="14.25" customHeight="1" s="192">
      <c r="W33828" s="239" t="n"/>
      <c r="X33828" s="239" t="n"/>
    </row>
    <row r="33829" ht="14.25" customHeight="1" s="192">
      <c r="W33829" s="235" t="n"/>
      <c r="X33829" s="235" t="n"/>
    </row>
    <row r="33830" ht="14.25" customHeight="1" s="192">
      <c r="W33830" s="235" t="n"/>
      <c r="X33830" s="235" t="n"/>
    </row>
    <row r="33831" ht="14.25" customHeight="1" s="192">
      <c r="W33831" s="235" t="n"/>
      <c r="X33831" s="235" t="n"/>
    </row>
    <row r="33832" ht="14.25" customHeight="1" s="192">
      <c r="W33832" s="239" t="n"/>
      <c r="X33832" s="239" t="n"/>
    </row>
    <row r="33833" ht="14.25" customHeight="1" s="192">
      <c r="W33833" s="239" t="n"/>
      <c r="X33833" s="239" t="n"/>
    </row>
    <row r="33834" ht="14.25" customHeight="1" s="192">
      <c r="W33834" s="235" t="n"/>
      <c r="X33834" s="235" t="n"/>
    </row>
    <row r="33835" ht="14.25" customHeight="1" s="192">
      <c r="W33835" s="235" t="n"/>
      <c r="X33835" s="235" t="n"/>
    </row>
    <row r="33836" ht="14.25" customHeight="1" s="192">
      <c r="W33836" s="239" t="n"/>
      <c r="X33836" s="239" t="n"/>
    </row>
    <row r="33837" ht="14.25" customHeight="1" s="192">
      <c r="W33837" s="235" t="n"/>
      <c r="X33837" s="235" t="n"/>
    </row>
    <row r="33838" ht="14.25" customHeight="1" s="192">
      <c r="W33838" s="239" t="n"/>
      <c r="X33838" s="239" t="n"/>
    </row>
    <row r="33840" ht="14.25" customHeight="1" s="192">
      <c r="W33840" s="235" t="n"/>
      <c r="X33840" s="235" t="n"/>
    </row>
    <row r="33841" ht="15" customHeight="1" s="192" thickBot="1">
      <c r="W33841" s="239" t="n"/>
      <c r="X33841" s="239" t="n"/>
    </row>
    <row r="33842" ht="15" customHeight="1" s="192" thickBot="1">
      <c r="W33842" s="45" t="n"/>
      <c r="X33842" s="45" t="n"/>
    </row>
    <row r="33843" ht="14.25" customHeight="1" s="192">
      <c r="W33843" s="228" t="n"/>
      <c r="X33843" s="228" t="n"/>
    </row>
    <row r="33844" ht="14.25" customHeight="1" s="192">
      <c r="W33844" s="228" t="n"/>
      <c r="X33844" s="228" t="n"/>
    </row>
    <row r="33845" ht="14.25" customHeight="1" s="192">
      <c r="W33845" s="231" t="n"/>
      <c r="X33845" s="231" t="n"/>
    </row>
    <row r="33846" ht="14.25" customHeight="1" s="192">
      <c r="W33846" s="33" t="n"/>
      <c r="X33846" s="33" t="n"/>
    </row>
    <row r="33847" ht="14.25" customHeight="1" s="192">
      <c r="W33847" s="231" t="n"/>
      <c r="X33847" s="231" t="n"/>
    </row>
    <row r="33848" ht="14.25" customHeight="1" s="192">
      <c r="W33848" s="33" t="n"/>
      <c r="X33848" s="33" t="n"/>
    </row>
    <row r="33850" ht="14.25" customHeight="1" s="192">
      <c r="W33850" s="231" t="n"/>
      <c r="X33850" s="231" t="n"/>
    </row>
    <row r="33851" ht="14.25" customHeight="1" s="192">
      <c r="W33851" s="235" t="n"/>
      <c r="X33851" s="235" t="n"/>
    </row>
    <row r="33852" ht="14.25" customHeight="1" s="192">
      <c r="W33852" s="228" t="n"/>
      <c r="X33852" s="228" t="n"/>
    </row>
    <row r="33853" ht="14.25" customHeight="1" s="192">
      <c r="W33853" s="235" t="n"/>
      <c r="X33853" s="235" t="n"/>
    </row>
    <row r="33854" ht="14.25" customHeight="1" s="192">
      <c r="W33854" s="235" t="n"/>
      <c r="X33854" s="235" t="n"/>
    </row>
    <row r="33855" ht="14.25" customHeight="1" s="192">
      <c r="W33855" s="235" t="n"/>
      <c r="X33855" s="235" t="n"/>
    </row>
    <row r="33856" ht="14.25" customHeight="1" s="192">
      <c r="W33856" s="239" t="n"/>
      <c r="X33856" s="239" t="n"/>
    </row>
    <row r="33857" ht="14.25" customHeight="1" s="192">
      <c r="W33857" s="239" t="n"/>
      <c r="X33857" s="239" t="n"/>
    </row>
    <row r="33858" ht="14.25" customHeight="1" s="192">
      <c r="W33858" s="239" t="n"/>
      <c r="X33858" s="239" t="n"/>
    </row>
    <row r="33859" ht="14.25" customHeight="1" s="192">
      <c r="W33859" s="235" t="n"/>
      <c r="X33859" s="235" t="n"/>
    </row>
    <row r="33860" ht="14.25" customHeight="1" s="192">
      <c r="W33860" s="235" t="n"/>
      <c r="X33860" s="235" t="n"/>
    </row>
    <row r="33861" ht="14.25" customHeight="1" s="192">
      <c r="W33861" s="235" t="n"/>
      <c r="X33861" s="235" t="n"/>
    </row>
    <row r="33862" ht="14.25" customHeight="1" s="192">
      <c r="W33862" s="239" t="n"/>
      <c r="X33862" s="239" t="n"/>
    </row>
    <row r="33863" ht="14.25" customHeight="1" s="192">
      <c r="W33863" s="239" t="n"/>
      <c r="X33863" s="239" t="n"/>
    </row>
    <row r="33864" ht="14.25" customHeight="1" s="192">
      <c r="W33864" s="235" t="n"/>
      <c r="X33864" s="235" t="n"/>
    </row>
    <row r="33865" ht="14.25" customHeight="1" s="192">
      <c r="W33865" s="235" t="n"/>
      <c r="X33865" s="235" t="n"/>
    </row>
    <row r="33866" ht="14.25" customHeight="1" s="192">
      <c r="W33866" s="239" t="n"/>
      <c r="X33866" s="239" t="n"/>
    </row>
    <row r="33867" ht="14.25" customHeight="1" s="192">
      <c r="W33867" s="235" t="n"/>
      <c r="X33867" s="235" t="n"/>
    </row>
    <row r="33868" ht="14.25" customHeight="1" s="192">
      <c r="W33868" s="239" t="n"/>
      <c r="X33868" s="239" t="n"/>
    </row>
    <row r="33870" ht="14.25" customHeight="1" s="192">
      <c r="W33870" s="235" t="n"/>
      <c r="X33870" s="235" t="n"/>
    </row>
    <row r="33871" ht="15" customHeight="1" s="192" thickBot="1">
      <c r="W33871" s="239" t="n"/>
      <c r="X33871" s="239" t="n"/>
    </row>
    <row r="33872" ht="15" customHeight="1" s="192" thickBot="1">
      <c r="W33872" s="45" t="n"/>
      <c r="X33872" s="45" t="n"/>
    </row>
    <row r="33873" ht="14.25" customHeight="1" s="192">
      <c r="W33873" s="228" t="n"/>
      <c r="X33873" s="228" t="n"/>
    </row>
    <row r="33874" ht="14.25" customHeight="1" s="192">
      <c r="W33874" s="228" t="n"/>
      <c r="X33874" s="228" t="n"/>
    </row>
    <row r="33875" ht="14.25" customHeight="1" s="192">
      <c r="W33875" s="231" t="n"/>
      <c r="X33875" s="231" t="n"/>
    </row>
    <row r="33876" ht="14.25" customHeight="1" s="192">
      <c r="W33876" s="33" t="n"/>
      <c r="X33876" s="33" t="n"/>
    </row>
    <row r="33877" ht="14.25" customHeight="1" s="192">
      <c r="W33877" s="231" t="n"/>
      <c r="X33877" s="231" t="n"/>
    </row>
    <row r="33878" ht="14.25" customHeight="1" s="192">
      <c r="W33878" s="33" t="n"/>
      <c r="X33878" s="33" t="n"/>
    </row>
    <row r="33880" ht="14.25" customHeight="1" s="192">
      <c r="W33880" s="231" t="n"/>
      <c r="X33880" s="231" t="n"/>
    </row>
    <row r="33881" ht="14.25" customHeight="1" s="192">
      <c r="W33881" s="235" t="n"/>
      <c r="X33881" s="235" t="n"/>
    </row>
    <row r="33882" ht="14.25" customHeight="1" s="192">
      <c r="W33882" s="228" t="n"/>
      <c r="X33882" s="228" t="n"/>
    </row>
    <row r="33883" ht="14.25" customHeight="1" s="192">
      <c r="W33883" s="235" t="n"/>
      <c r="X33883" s="235" t="n"/>
    </row>
    <row r="33884" ht="14.25" customHeight="1" s="192">
      <c r="W33884" s="235" t="n"/>
      <c r="X33884" s="235" t="n"/>
    </row>
    <row r="33885" ht="14.25" customHeight="1" s="192">
      <c r="W33885" s="235" t="n"/>
      <c r="X33885" s="235" t="n"/>
    </row>
    <row r="33886" ht="14.25" customHeight="1" s="192">
      <c r="W33886" s="239" t="n"/>
      <c r="X33886" s="239" t="n"/>
    </row>
    <row r="33887" ht="14.25" customHeight="1" s="192">
      <c r="W33887" s="239" t="n"/>
      <c r="X33887" s="239" t="n"/>
    </row>
    <row r="33888" ht="14.25" customHeight="1" s="192">
      <c r="W33888" s="239" t="n"/>
      <c r="X33888" s="239" t="n"/>
    </row>
    <row r="33889" ht="14.25" customHeight="1" s="192">
      <c r="W33889" s="235" t="n"/>
      <c r="X33889" s="235" t="n"/>
    </row>
    <row r="33890" ht="14.25" customHeight="1" s="192">
      <c r="W33890" s="235" t="n"/>
      <c r="X33890" s="235" t="n"/>
    </row>
    <row r="33891" ht="14.25" customHeight="1" s="192">
      <c r="W33891" s="235" t="n"/>
      <c r="X33891" s="235" t="n"/>
    </row>
    <row r="33892" ht="14.25" customHeight="1" s="192">
      <c r="W33892" s="239" t="n"/>
      <c r="X33892" s="239" t="n"/>
    </row>
    <row r="33893" ht="14.25" customHeight="1" s="192">
      <c r="W33893" s="239" t="n"/>
      <c r="X33893" s="239" t="n"/>
    </row>
    <row r="33894" ht="14.25" customHeight="1" s="192">
      <c r="W33894" s="235" t="n"/>
      <c r="X33894" s="235" t="n"/>
    </row>
    <row r="33895" ht="14.25" customHeight="1" s="192">
      <c r="W33895" s="235" t="n"/>
      <c r="X33895" s="235" t="n"/>
    </row>
    <row r="33896" ht="14.25" customHeight="1" s="192">
      <c r="W33896" s="239" t="n"/>
      <c r="X33896" s="239" t="n"/>
    </row>
    <row r="33897" ht="14.25" customHeight="1" s="192">
      <c r="W33897" s="235" t="n"/>
      <c r="X33897" s="235" t="n"/>
    </row>
    <row r="33898" ht="14.25" customHeight="1" s="192">
      <c r="W33898" s="239" t="n"/>
      <c r="X33898" s="239" t="n"/>
    </row>
    <row r="33900" ht="14.25" customHeight="1" s="192">
      <c r="W33900" s="235" t="n"/>
      <c r="X33900" s="235" t="n"/>
    </row>
    <row r="33901" ht="15" customHeight="1" s="192" thickBot="1">
      <c r="W33901" s="239" t="n"/>
      <c r="X33901" s="239" t="n"/>
    </row>
    <row r="33902" ht="15" customHeight="1" s="192" thickBot="1">
      <c r="W33902" s="45" t="n"/>
      <c r="X33902" s="45" t="n"/>
    </row>
    <row r="33903" ht="14.25" customHeight="1" s="192">
      <c r="W33903" s="228" t="n"/>
      <c r="X33903" s="228" t="n"/>
    </row>
    <row r="33904" ht="14.25" customHeight="1" s="192">
      <c r="W33904" s="228" t="n"/>
      <c r="X33904" s="228" t="n"/>
    </row>
    <row r="33905" ht="14.25" customHeight="1" s="192">
      <c r="W33905" s="231" t="n"/>
      <c r="X33905" s="231" t="n"/>
    </row>
    <row r="33906" ht="14.25" customHeight="1" s="192">
      <c r="W33906" s="33" t="n"/>
      <c r="X33906" s="33" t="n"/>
    </row>
    <row r="33907" ht="14.25" customHeight="1" s="192">
      <c r="W33907" s="231" t="n"/>
      <c r="X33907" s="231" t="n"/>
    </row>
    <row r="33908" ht="14.25" customHeight="1" s="192">
      <c r="W33908" s="33" t="n"/>
      <c r="X33908" s="33" t="n"/>
    </row>
    <row r="33910" ht="14.25" customHeight="1" s="192">
      <c r="W33910" s="231" t="n"/>
      <c r="X33910" s="231" t="n"/>
    </row>
    <row r="33911" ht="14.25" customHeight="1" s="192">
      <c r="W33911" s="235" t="n"/>
      <c r="X33911" s="235" t="n"/>
    </row>
    <row r="33912" ht="14.25" customHeight="1" s="192">
      <c r="W33912" s="228" t="n"/>
      <c r="X33912" s="228" t="n"/>
    </row>
    <row r="33913" ht="14.25" customHeight="1" s="192">
      <c r="W33913" s="235" t="n"/>
      <c r="X33913" s="235" t="n"/>
    </row>
    <row r="33914" ht="14.25" customHeight="1" s="192">
      <c r="W33914" s="235" t="n"/>
      <c r="X33914" s="235" t="n"/>
    </row>
    <row r="33915" ht="14.25" customHeight="1" s="192">
      <c r="W33915" s="235" t="n"/>
      <c r="X33915" s="235" t="n"/>
    </row>
    <row r="33916" ht="14.25" customHeight="1" s="192">
      <c r="W33916" s="239" t="n"/>
      <c r="X33916" s="239" t="n"/>
    </row>
    <row r="33917" ht="14.25" customHeight="1" s="192">
      <c r="W33917" s="239" t="n"/>
      <c r="X33917" s="239" t="n"/>
    </row>
    <row r="33918" ht="14.25" customHeight="1" s="192">
      <c r="W33918" s="239" t="n"/>
      <c r="X33918" s="239" t="n"/>
    </row>
    <row r="33919" ht="14.25" customHeight="1" s="192">
      <c r="W33919" s="235" t="n"/>
      <c r="X33919" s="235" t="n"/>
    </row>
    <row r="33920" ht="14.25" customHeight="1" s="192">
      <c r="W33920" s="235" t="n"/>
      <c r="X33920" s="235" t="n"/>
    </row>
    <row r="33921" ht="14.25" customHeight="1" s="192">
      <c r="W33921" s="235" t="n"/>
      <c r="X33921" s="235" t="n"/>
    </row>
    <row r="33922" ht="14.25" customHeight="1" s="192">
      <c r="W33922" s="239" t="n"/>
      <c r="X33922" s="239" t="n"/>
    </row>
    <row r="33923" ht="14.25" customHeight="1" s="192">
      <c r="W33923" s="239" t="n"/>
      <c r="X33923" s="239" t="n"/>
    </row>
    <row r="33924" ht="14.25" customHeight="1" s="192">
      <c r="W33924" s="235" t="n"/>
      <c r="X33924" s="235" t="n"/>
    </row>
    <row r="33925" ht="14.25" customHeight="1" s="192">
      <c r="W33925" s="235" t="n"/>
      <c r="X33925" s="235" t="n"/>
    </row>
    <row r="33926" ht="14.25" customHeight="1" s="192">
      <c r="W33926" s="239" t="n"/>
      <c r="X33926" s="239" t="n"/>
    </row>
    <row r="33927" ht="14.25" customHeight="1" s="192">
      <c r="W33927" s="235" t="n"/>
      <c r="X33927" s="235" t="n"/>
    </row>
    <row r="33928" ht="14.25" customHeight="1" s="192">
      <c r="W33928" s="239" t="n"/>
      <c r="X33928" s="239" t="n"/>
    </row>
    <row r="33930" ht="14.25" customHeight="1" s="192">
      <c r="W33930" s="235" t="n"/>
      <c r="X33930" s="235" t="n"/>
    </row>
    <row r="33931" ht="15" customHeight="1" s="192" thickBot="1">
      <c r="W33931" s="239" t="n"/>
      <c r="X33931" s="239" t="n"/>
    </row>
    <row r="33932" ht="15" customHeight="1" s="192" thickBot="1">
      <c r="W33932" s="45" t="n"/>
      <c r="X33932" s="45" t="n"/>
    </row>
    <row r="33933" ht="14.25" customHeight="1" s="192">
      <c r="W33933" s="228" t="n"/>
      <c r="X33933" s="228" t="n"/>
    </row>
    <row r="33934" ht="14.25" customHeight="1" s="192">
      <c r="W33934" s="228" t="n"/>
      <c r="X33934" s="228" t="n"/>
    </row>
    <row r="33935" ht="14.25" customHeight="1" s="192">
      <c r="W33935" s="231" t="n"/>
      <c r="X33935" s="231" t="n"/>
    </row>
    <row r="33936" ht="14.25" customHeight="1" s="192">
      <c r="W33936" s="33" t="n"/>
      <c r="X33936" s="33" t="n"/>
    </row>
    <row r="33937" ht="14.25" customHeight="1" s="192">
      <c r="W33937" s="231" t="n"/>
      <c r="X33937" s="231" t="n"/>
    </row>
    <row r="33938" ht="14.25" customHeight="1" s="192">
      <c r="W33938" s="33" t="n"/>
      <c r="X33938" s="33" t="n"/>
    </row>
    <row r="33940" ht="14.25" customHeight="1" s="192">
      <c r="W33940" s="231" t="n"/>
      <c r="X33940" s="231" t="n"/>
    </row>
    <row r="33941" ht="14.25" customHeight="1" s="192">
      <c r="W33941" s="235" t="n"/>
      <c r="X33941" s="235" t="n"/>
    </row>
    <row r="33942" ht="14.25" customHeight="1" s="192">
      <c r="W33942" s="228" t="n"/>
      <c r="X33942" s="228" t="n"/>
    </row>
    <row r="33943" ht="14.25" customHeight="1" s="192">
      <c r="W33943" s="235" t="n"/>
      <c r="X33943" s="235" t="n"/>
    </row>
    <row r="33944" ht="14.25" customHeight="1" s="192">
      <c r="W33944" s="235" t="n"/>
      <c r="X33944" s="235" t="n"/>
    </row>
    <row r="33945" ht="14.25" customHeight="1" s="192">
      <c r="W33945" s="235" t="n"/>
      <c r="X33945" s="235" t="n"/>
    </row>
    <row r="33946" ht="14.25" customHeight="1" s="192">
      <c r="W33946" s="239" t="n"/>
      <c r="X33946" s="239" t="n"/>
    </row>
    <row r="33947" ht="14.25" customHeight="1" s="192">
      <c r="W33947" s="239" t="n"/>
      <c r="X33947" s="239" t="n"/>
    </row>
    <row r="33948" ht="14.25" customHeight="1" s="192">
      <c r="W33948" s="239" t="n"/>
      <c r="X33948" s="239" t="n"/>
    </row>
    <row r="33949" ht="14.25" customHeight="1" s="192">
      <c r="W33949" s="235" t="n"/>
      <c r="X33949" s="235" t="n"/>
    </row>
    <row r="33950" ht="14.25" customHeight="1" s="192">
      <c r="W33950" s="235" t="n"/>
      <c r="X33950" s="235" t="n"/>
    </row>
    <row r="33951" ht="14.25" customHeight="1" s="192">
      <c r="W33951" s="235" t="n"/>
      <c r="X33951" s="235" t="n"/>
    </row>
    <row r="33952" ht="14.25" customHeight="1" s="192">
      <c r="W33952" s="239" t="n"/>
      <c r="X33952" s="239" t="n"/>
    </row>
    <row r="33953" ht="14.25" customHeight="1" s="192">
      <c r="W33953" s="239" t="n"/>
      <c r="X33953" s="239" t="n"/>
    </row>
    <row r="33954" ht="14.25" customHeight="1" s="192">
      <c r="W33954" s="235" t="n"/>
      <c r="X33954" s="235" t="n"/>
    </row>
    <row r="33955" ht="14.25" customHeight="1" s="192">
      <c r="W33955" s="235" t="n"/>
      <c r="X33955" s="235" t="n"/>
    </row>
    <row r="33956" ht="14.25" customHeight="1" s="192">
      <c r="W33956" s="239" t="n"/>
      <c r="X33956" s="239" t="n"/>
    </row>
    <row r="33957" ht="14.25" customHeight="1" s="192">
      <c r="W33957" s="235" t="n"/>
      <c r="X33957" s="235" t="n"/>
    </row>
    <row r="33958" ht="14.25" customHeight="1" s="192">
      <c r="W33958" s="239" t="n"/>
      <c r="X33958" s="239" t="n"/>
    </row>
    <row r="33960" ht="14.25" customHeight="1" s="192">
      <c r="W33960" s="235" t="n"/>
      <c r="X33960" s="235" t="n"/>
    </row>
    <row r="33961" ht="15" customHeight="1" s="192" thickBot="1">
      <c r="W33961" s="239" t="n"/>
      <c r="X33961" s="239" t="n"/>
    </row>
    <row r="33962" ht="15" customHeight="1" s="192" thickBot="1">
      <c r="W33962" s="45" t="n"/>
      <c r="X33962" s="45" t="n"/>
    </row>
    <row r="33963" ht="14.25" customHeight="1" s="192">
      <c r="W33963" s="228" t="n"/>
      <c r="X33963" s="228" t="n"/>
    </row>
    <row r="33964" ht="14.25" customHeight="1" s="192">
      <c r="W33964" s="228" t="n"/>
      <c r="X33964" s="228" t="n"/>
    </row>
    <row r="33965" ht="14.25" customHeight="1" s="192">
      <c r="W33965" s="231" t="n"/>
      <c r="X33965" s="231" t="n"/>
    </row>
    <row r="33966" ht="14.25" customHeight="1" s="192">
      <c r="W33966" s="33" t="n"/>
      <c r="X33966" s="33" t="n"/>
    </row>
    <row r="33967" ht="14.25" customHeight="1" s="192">
      <c r="W33967" s="231" t="n"/>
      <c r="X33967" s="231" t="n"/>
    </row>
    <row r="33968" ht="14.25" customHeight="1" s="192">
      <c r="W33968" s="33" t="n"/>
      <c r="X33968" s="33" t="n"/>
    </row>
    <row r="33970" ht="14.25" customHeight="1" s="192">
      <c r="W33970" s="231" t="n"/>
      <c r="X33970" s="231" t="n"/>
    </row>
    <row r="33971" ht="14.25" customHeight="1" s="192">
      <c r="W33971" s="235" t="n"/>
      <c r="X33971" s="235" t="n"/>
    </row>
    <row r="33972" ht="14.25" customHeight="1" s="192">
      <c r="W33972" s="228" t="n"/>
      <c r="X33972" s="228" t="n"/>
    </row>
    <row r="33973" ht="14.25" customHeight="1" s="192">
      <c r="W33973" s="235" t="n"/>
      <c r="X33973" s="235" t="n"/>
    </row>
    <row r="33974" ht="14.25" customHeight="1" s="192">
      <c r="W33974" s="235" t="n"/>
      <c r="X33974" s="235" t="n"/>
    </row>
    <row r="33975" ht="14.25" customHeight="1" s="192">
      <c r="W33975" s="235" t="n"/>
      <c r="X33975" s="235" t="n"/>
    </row>
    <row r="33976" ht="14.25" customHeight="1" s="192">
      <c r="W33976" s="239" t="n"/>
      <c r="X33976" s="239" t="n"/>
    </row>
    <row r="33977" ht="14.25" customHeight="1" s="192">
      <c r="W33977" s="239" t="n"/>
      <c r="X33977" s="239" t="n"/>
    </row>
    <row r="33978" ht="14.25" customHeight="1" s="192">
      <c r="W33978" s="239" t="n"/>
      <c r="X33978" s="239" t="n"/>
    </row>
    <row r="33979" ht="14.25" customHeight="1" s="192">
      <c r="W33979" s="235" t="n"/>
      <c r="X33979" s="235" t="n"/>
    </row>
    <row r="33980" ht="14.25" customHeight="1" s="192">
      <c r="W33980" s="235" t="n"/>
      <c r="X33980" s="235" t="n"/>
    </row>
    <row r="33981" ht="14.25" customHeight="1" s="192">
      <c r="W33981" s="235" t="n"/>
      <c r="X33981" s="235" t="n"/>
    </row>
    <row r="33982" ht="14.25" customHeight="1" s="192">
      <c r="W33982" s="239" t="n"/>
      <c r="X33982" s="239" t="n"/>
    </row>
    <row r="33983" ht="14.25" customHeight="1" s="192">
      <c r="W33983" s="239" t="n"/>
      <c r="X33983" s="239" t="n"/>
    </row>
    <row r="33984" ht="14.25" customHeight="1" s="192">
      <c r="W33984" s="235" t="n"/>
      <c r="X33984" s="235" t="n"/>
    </row>
    <row r="33985" ht="14.25" customHeight="1" s="192">
      <c r="W33985" s="235" t="n"/>
      <c r="X33985" s="235" t="n"/>
    </row>
    <row r="33986" ht="14.25" customHeight="1" s="192">
      <c r="W33986" s="239" t="n"/>
      <c r="X33986" s="239" t="n"/>
    </row>
    <row r="33987" ht="14.25" customHeight="1" s="192">
      <c r="W33987" s="235" t="n"/>
      <c r="X33987" s="235" t="n"/>
    </row>
    <row r="33988" ht="14.25" customHeight="1" s="192">
      <c r="W33988" s="239" t="n"/>
      <c r="X33988" s="239" t="n"/>
    </row>
    <row r="33990" ht="14.25" customHeight="1" s="192">
      <c r="W33990" s="235" t="n"/>
      <c r="X33990" s="235" t="n"/>
    </row>
    <row r="33991" ht="15" customHeight="1" s="192" thickBot="1">
      <c r="W33991" s="239" t="n"/>
      <c r="X33991" s="239" t="n"/>
    </row>
    <row r="33992" ht="15" customHeight="1" s="192" thickBot="1">
      <c r="W33992" s="45" t="n"/>
      <c r="X33992" s="45" t="n"/>
    </row>
    <row r="33993" ht="14.25" customHeight="1" s="192">
      <c r="W33993" s="228" t="n"/>
      <c r="X33993" s="228" t="n"/>
    </row>
    <row r="33994" ht="14.25" customHeight="1" s="192">
      <c r="W33994" s="228" t="n"/>
      <c r="X33994" s="228" t="n"/>
    </row>
    <row r="33995" ht="14.25" customHeight="1" s="192">
      <c r="W33995" s="231" t="n"/>
      <c r="X33995" s="231" t="n"/>
    </row>
    <row r="33996" ht="14.25" customHeight="1" s="192">
      <c r="W33996" s="33" t="n"/>
      <c r="X33996" s="33" t="n"/>
    </row>
    <row r="33997" ht="14.25" customHeight="1" s="192">
      <c r="W33997" s="231" t="n"/>
      <c r="X33997" s="231" t="n"/>
    </row>
    <row r="33998" ht="14.25" customHeight="1" s="192">
      <c r="W33998" s="33" t="n"/>
      <c r="X33998" s="33" t="n"/>
    </row>
    <row r="34000" ht="14.25" customHeight="1" s="192">
      <c r="W34000" s="231" t="n"/>
      <c r="X34000" s="231" t="n"/>
    </row>
    <row r="34001" ht="14.25" customHeight="1" s="192">
      <c r="W34001" s="235" t="n"/>
      <c r="X34001" s="235" t="n"/>
    </row>
    <row r="34002" ht="14.25" customHeight="1" s="192">
      <c r="W34002" s="228" t="n"/>
      <c r="X34002" s="228" t="n"/>
    </row>
    <row r="34003" ht="14.25" customHeight="1" s="192">
      <c r="W34003" s="235" t="n"/>
      <c r="X34003" s="235" t="n"/>
    </row>
    <row r="34004" ht="14.25" customHeight="1" s="192">
      <c r="W34004" s="235" t="n"/>
      <c r="X34004" s="235" t="n"/>
    </row>
    <row r="34005" ht="14.25" customHeight="1" s="192">
      <c r="W34005" s="235" t="n"/>
      <c r="X34005" s="235" t="n"/>
    </row>
    <row r="34006" ht="14.25" customHeight="1" s="192">
      <c r="W34006" s="239" t="n"/>
      <c r="X34006" s="239" t="n"/>
    </row>
    <row r="34007" ht="14.25" customHeight="1" s="192">
      <c r="W34007" s="239" t="n"/>
      <c r="X34007" s="239" t="n"/>
    </row>
    <row r="34008" ht="14.25" customHeight="1" s="192">
      <c r="W34008" s="239" t="n"/>
      <c r="X34008" s="239" t="n"/>
    </row>
    <row r="34009" ht="14.25" customHeight="1" s="192">
      <c r="W34009" s="235" t="n"/>
      <c r="X34009" s="235" t="n"/>
    </row>
    <row r="34010" ht="14.25" customHeight="1" s="192">
      <c r="W34010" s="235" t="n"/>
      <c r="X34010" s="235" t="n"/>
    </row>
    <row r="34011" ht="14.25" customHeight="1" s="192">
      <c r="W34011" s="235" t="n"/>
      <c r="X34011" s="235" t="n"/>
    </row>
    <row r="34012" ht="14.25" customHeight="1" s="192">
      <c r="W34012" s="239" t="n"/>
      <c r="X34012" s="239" t="n"/>
    </row>
    <row r="34013" ht="14.25" customHeight="1" s="192">
      <c r="W34013" s="239" t="n"/>
      <c r="X34013" s="239" t="n"/>
    </row>
    <row r="34014" ht="14.25" customHeight="1" s="192">
      <c r="W34014" s="235" t="n"/>
      <c r="X34014" s="235" t="n"/>
    </row>
    <row r="34015" ht="14.25" customHeight="1" s="192">
      <c r="W34015" s="235" t="n"/>
      <c r="X34015" s="235" t="n"/>
    </row>
    <row r="34016" ht="14.25" customHeight="1" s="192">
      <c r="W34016" s="239" t="n"/>
      <c r="X34016" s="239" t="n"/>
    </row>
    <row r="34017" ht="14.25" customHeight="1" s="192">
      <c r="W34017" s="235" t="n"/>
      <c r="X34017" s="235" t="n"/>
    </row>
    <row r="34018" ht="14.25" customHeight="1" s="192">
      <c r="W34018" s="239" t="n"/>
      <c r="X34018" s="239" t="n"/>
    </row>
    <row r="34020" ht="14.25" customHeight="1" s="192">
      <c r="W34020" s="235" t="n"/>
      <c r="X34020" s="235" t="n"/>
    </row>
    <row r="34021" ht="15" customHeight="1" s="192" thickBot="1">
      <c r="W34021" s="239" t="n"/>
      <c r="X34021" s="239" t="n"/>
    </row>
    <row r="34022" ht="15" customHeight="1" s="192" thickBot="1">
      <c r="W34022" s="45" t="n"/>
      <c r="X34022" s="45" t="n"/>
    </row>
    <row r="34023" ht="14.25" customHeight="1" s="192">
      <c r="W34023" s="228" t="n"/>
      <c r="X34023" s="228" t="n"/>
    </row>
    <row r="34024" ht="14.25" customHeight="1" s="192">
      <c r="W34024" s="228" t="n"/>
      <c r="X34024" s="228" t="n"/>
    </row>
    <row r="34025" ht="14.25" customHeight="1" s="192">
      <c r="W34025" s="231" t="n"/>
      <c r="X34025" s="231" t="n"/>
    </row>
    <row r="34026" ht="14.25" customHeight="1" s="192">
      <c r="W34026" s="33" t="n"/>
      <c r="X34026" s="33" t="n"/>
    </row>
    <row r="34027" ht="14.25" customHeight="1" s="192">
      <c r="W34027" s="231" t="n"/>
      <c r="X34027" s="231" t="n"/>
    </row>
    <row r="34028" ht="14.25" customHeight="1" s="192">
      <c r="W34028" s="33" t="n"/>
      <c r="X34028" s="33" t="n"/>
    </row>
    <row r="34030" ht="14.25" customHeight="1" s="192">
      <c r="W34030" s="231" t="n"/>
      <c r="X34030" s="231" t="n"/>
    </row>
    <row r="34031" ht="14.25" customHeight="1" s="192">
      <c r="W34031" s="235" t="n"/>
      <c r="X34031" s="235" t="n"/>
    </row>
    <row r="34032" ht="14.25" customHeight="1" s="192">
      <c r="W34032" s="228" t="n"/>
      <c r="X34032" s="228" t="n"/>
    </row>
    <row r="34033" ht="14.25" customHeight="1" s="192">
      <c r="W34033" s="235" t="n"/>
      <c r="X34033" s="235" t="n"/>
    </row>
    <row r="34034" ht="14.25" customHeight="1" s="192">
      <c r="W34034" s="235" t="n"/>
      <c r="X34034" s="235" t="n"/>
    </row>
    <row r="34035" ht="14.25" customHeight="1" s="192">
      <c r="W34035" s="235" t="n"/>
      <c r="X34035" s="235" t="n"/>
    </row>
    <row r="34036" ht="14.25" customHeight="1" s="192">
      <c r="W34036" s="239" t="n"/>
      <c r="X34036" s="239" t="n"/>
    </row>
    <row r="34037" ht="14.25" customHeight="1" s="192">
      <c r="W34037" s="239" t="n"/>
      <c r="X34037" s="239" t="n"/>
    </row>
    <row r="34038" ht="14.25" customHeight="1" s="192">
      <c r="W34038" s="239" t="n"/>
      <c r="X34038" s="239" t="n"/>
    </row>
    <row r="34039" ht="14.25" customHeight="1" s="192">
      <c r="W34039" s="235" t="n"/>
      <c r="X34039" s="235" t="n"/>
    </row>
    <row r="34040" ht="14.25" customHeight="1" s="192">
      <c r="W34040" s="235" t="n"/>
      <c r="X34040" s="235" t="n"/>
    </row>
    <row r="34041" ht="14.25" customHeight="1" s="192">
      <c r="W34041" s="235" t="n"/>
      <c r="X34041" s="235" t="n"/>
    </row>
    <row r="34042" ht="14.25" customHeight="1" s="192">
      <c r="W34042" s="239" t="n"/>
      <c r="X34042" s="239" t="n"/>
    </row>
    <row r="34043" ht="14.25" customHeight="1" s="192">
      <c r="W34043" s="239" t="n"/>
      <c r="X34043" s="239" t="n"/>
    </row>
    <row r="34044" ht="14.25" customHeight="1" s="192">
      <c r="W34044" s="235" t="n"/>
      <c r="X34044" s="235" t="n"/>
    </row>
    <row r="34045" ht="14.25" customHeight="1" s="192">
      <c r="W34045" s="235" t="n"/>
      <c r="X34045" s="235" t="n"/>
    </row>
    <row r="34046" ht="14.25" customHeight="1" s="192">
      <c r="W34046" s="239" t="n"/>
      <c r="X34046" s="239" t="n"/>
    </row>
    <row r="34047" ht="14.25" customHeight="1" s="192">
      <c r="W34047" s="235" t="n"/>
      <c r="X34047" s="235" t="n"/>
    </row>
    <row r="34048" ht="14.25" customHeight="1" s="192">
      <c r="W34048" s="239" t="n"/>
      <c r="X34048" s="239" t="n"/>
    </row>
    <row r="34050" ht="14.25" customHeight="1" s="192">
      <c r="W34050" s="235" t="n"/>
      <c r="X34050" s="235" t="n"/>
    </row>
    <row r="34051" ht="15" customHeight="1" s="192" thickBot="1">
      <c r="W34051" s="239" t="n"/>
      <c r="X34051" s="239" t="n"/>
    </row>
    <row r="34052" ht="15" customHeight="1" s="192" thickBot="1">
      <c r="W34052" s="45" t="n"/>
      <c r="X34052" s="45" t="n"/>
    </row>
    <row r="34053" ht="14.25" customHeight="1" s="192">
      <c r="W34053" s="228" t="n"/>
      <c r="X34053" s="228" t="n"/>
    </row>
    <row r="34054" ht="14.25" customHeight="1" s="192">
      <c r="W34054" s="228" t="n"/>
      <c r="X34054" s="228" t="n"/>
    </row>
    <row r="34055" ht="14.25" customHeight="1" s="192">
      <c r="W34055" s="231" t="n"/>
      <c r="X34055" s="231" t="n"/>
    </row>
    <row r="34056" ht="14.25" customHeight="1" s="192">
      <c r="W34056" s="33" t="n"/>
      <c r="X34056" s="33" t="n"/>
    </row>
    <row r="34057" ht="14.25" customHeight="1" s="192">
      <c r="W34057" s="231" t="n"/>
      <c r="X34057" s="231" t="n"/>
    </row>
    <row r="34058" ht="14.25" customHeight="1" s="192">
      <c r="W34058" s="33" t="n"/>
      <c r="X34058" s="33" t="n"/>
    </row>
    <row r="34060" ht="14.25" customHeight="1" s="192">
      <c r="W34060" s="231" t="n"/>
      <c r="X34060" s="231" t="n"/>
    </row>
    <row r="34061" ht="14.25" customHeight="1" s="192">
      <c r="W34061" s="235" t="n"/>
      <c r="X34061" s="235" t="n"/>
    </row>
    <row r="34062" ht="14.25" customHeight="1" s="192">
      <c r="W34062" s="228" t="n"/>
      <c r="X34062" s="228" t="n"/>
    </row>
    <row r="34063" ht="14.25" customHeight="1" s="192">
      <c r="W34063" s="235" t="n"/>
      <c r="X34063" s="235" t="n"/>
    </row>
    <row r="34064" ht="14.25" customHeight="1" s="192">
      <c r="W34064" s="235" t="n"/>
      <c r="X34064" s="235" t="n"/>
    </row>
    <row r="34065" ht="14.25" customHeight="1" s="192">
      <c r="W34065" s="235" t="n"/>
      <c r="X34065" s="235" t="n"/>
    </row>
    <row r="34066" ht="14.25" customHeight="1" s="192">
      <c r="W34066" s="239" t="n"/>
      <c r="X34066" s="239" t="n"/>
    </row>
    <row r="34067" ht="14.25" customHeight="1" s="192">
      <c r="W34067" s="239" t="n"/>
      <c r="X34067" s="239" t="n"/>
    </row>
    <row r="34068" ht="14.25" customHeight="1" s="192">
      <c r="W34068" s="239" t="n"/>
      <c r="X34068" s="239" t="n"/>
    </row>
    <row r="34069" ht="14.25" customHeight="1" s="192">
      <c r="W34069" s="235" t="n"/>
      <c r="X34069" s="235" t="n"/>
    </row>
    <row r="34070" ht="14.25" customHeight="1" s="192">
      <c r="W34070" s="235" t="n"/>
      <c r="X34070" s="235" t="n"/>
    </row>
    <row r="34071" ht="14.25" customHeight="1" s="192">
      <c r="W34071" s="235" t="n"/>
      <c r="X34071" s="235" t="n"/>
    </row>
    <row r="34072" ht="14.25" customHeight="1" s="192">
      <c r="W34072" s="239" t="n"/>
      <c r="X34072" s="239" t="n"/>
    </row>
    <row r="34073" ht="14.25" customHeight="1" s="192">
      <c r="W34073" s="239" t="n"/>
      <c r="X34073" s="239" t="n"/>
    </row>
    <row r="34074" ht="14.25" customHeight="1" s="192">
      <c r="W34074" s="235" t="n"/>
      <c r="X34074" s="235" t="n"/>
    </row>
    <row r="34075" ht="14.25" customHeight="1" s="192">
      <c r="W34075" s="235" t="n"/>
      <c r="X34075" s="235" t="n"/>
    </row>
    <row r="34076" ht="14.25" customHeight="1" s="192">
      <c r="W34076" s="239" t="n"/>
      <c r="X34076" s="239" t="n"/>
    </row>
    <row r="34077" ht="14.25" customHeight="1" s="192">
      <c r="W34077" s="235" t="n"/>
      <c r="X34077" s="235" t="n"/>
    </row>
    <row r="34078" ht="14.25" customHeight="1" s="192">
      <c r="W34078" s="239" t="n"/>
      <c r="X34078" s="239" t="n"/>
    </row>
    <row r="34080" ht="14.25" customHeight="1" s="192">
      <c r="W34080" s="235" t="n"/>
      <c r="X34080" s="235" t="n"/>
    </row>
    <row r="34081" ht="15" customHeight="1" s="192" thickBot="1">
      <c r="W34081" s="239" t="n"/>
      <c r="X34081" s="239" t="n"/>
    </row>
    <row r="34082" ht="15" customHeight="1" s="192" thickBot="1">
      <c r="W34082" s="45" t="n"/>
      <c r="X34082" s="45" t="n"/>
    </row>
    <row r="34083" ht="14.25" customHeight="1" s="192">
      <c r="W34083" s="228" t="n"/>
      <c r="X34083" s="228" t="n"/>
    </row>
    <row r="34084" ht="14.25" customHeight="1" s="192">
      <c r="W34084" s="228" t="n"/>
      <c r="X34084" s="228" t="n"/>
    </row>
    <row r="34085" ht="14.25" customHeight="1" s="192">
      <c r="W34085" s="231" t="n"/>
      <c r="X34085" s="231" t="n"/>
    </row>
    <row r="34086" ht="14.25" customHeight="1" s="192">
      <c r="W34086" s="33" t="n"/>
      <c r="X34086" s="33" t="n"/>
    </row>
    <row r="34087" ht="14.25" customHeight="1" s="192">
      <c r="W34087" s="231" t="n"/>
      <c r="X34087" s="231" t="n"/>
    </row>
    <row r="34088" ht="14.25" customHeight="1" s="192">
      <c r="W34088" s="33" t="n"/>
      <c r="X34088" s="33" t="n"/>
    </row>
    <row r="34090" ht="14.25" customHeight="1" s="192">
      <c r="W34090" s="231" t="n"/>
      <c r="X34090" s="231" t="n"/>
    </row>
    <row r="34091" ht="14.25" customHeight="1" s="192">
      <c r="W34091" s="235" t="n"/>
      <c r="X34091" s="235" t="n"/>
    </row>
    <row r="34092" ht="14.25" customHeight="1" s="192">
      <c r="W34092" s="228" t="n"/>
      <c r="X34092" s="228" t="n"/>
    </row>
    <row r="34093" ht="14.25" customHeight="1" s="192">
      <c r="W34093" s="235" t="n"/>
      <c r="X34093" s="235" t="n"/>
    </row>
    <row r="34094" ht="14.25" customHeight="1" s="192">
      <c r="W34094" s="235" t="n"/>
      <c r="X34094" s="235" t="n"/>
    </row>
    <row r="34095" ht="14.25" customHeight="1" s="192">
      <c r="W34095" s="235" t="n"/>
      <c r="X34095" s="235" t="n"/>
    </row>
    <row r="34096" ht="14.25" customHeight="1" s="192">
      <c r="W34096" s="239" t="n"/>
      <c r="X34096" s="239" t="n"/>
    </row>
    <row r="34097" ht="14.25" customHeight="1" s="192">
      <c r="W34097" s="239" t="n"/>
      <c r="X34097" s="239" t="n"/>
    </row>
    <row r="34098" ht="14.25" customHeight="1" s="192">
      <c r="W34098" s="239" t="n"/>
      <c r="X34098" s="239" t="n"/>
    </row>
    <row r="34099" ht="14.25" customHeight="1" s="192">
      <c r="W34099" s="235" t="n"/>
      <c r="X34099" s="235" t="n"/>
    </row>
    <row r="34100" ht="14.25" customHeight="1" s="192">
      <c r="W34100" s="235" t="n"/>
      <c r="X34100" s="235" t="n"/>
    </row>
    <row r="34101" ht="14.25" customHeight="1" s="192">
      <c r="W34101" s="235" t="n"/>
      <c r="X34101" s="235" t="n"/>
    </row>
    <row r="34102" ht="14.25" customHeight="1" s="192">
      <c r="W34102" s="239" t="n"/>
      <c r="X34102" s="239" t="n"/>
    </row>
    <row r="34103" ht="14.25" customHeight="1" s="192">
      <c r="W34103" s="239" t="n"/>
      <c r="X34103" s="239" t="n"/>
    </row>
    <row r="34104" ht="14.25" customHeight="1" s="192">
      <c r="W34104" s="235" t="n"/>
      <c r="X34104" s="235" t="n"/>
    </row>
    <row r="34105" ht="14.25" customHeight="1" s="192">
      <c r="W34105" s="235" t="n"/>
      <c r="X34105" s="235" t="n"/>
    </row>
    <row r="34106" ht="14.25" customHeight="1" s="192">
      <c r="W34106" s="239" t="n"/>
      <c r="X34106" s="239" t="n"/>
    </row>
    <row r="34107" ht="14.25" customHeight="1" s="192">
      <c r="W34107" s="235" t="n"/>
      <c r="X34107" s="235" t="n"/>
    </row>
    <row r="34108" ht="14.25" customHeight="1" s="192">
      <c r="W34108" s="239" t="n"/>
      <c r="X34108" s="239" t="n"/>
    </row>
    <row r="34110" ht="14.25" customHeight="1" s="192">
      <c r="W34110" s="235" t="n"/>
      <c r="X34110" s="235" t="n"/>
    </row>
    <row r="34111" ht="15" customHeight="1" s="192" thickBot="1">
      <c r="W34111" s="239" t="n"/>
      <c r="X34111" s="239" t="n"/>
    </row>
    <row r="34112" ht="15" customHeight="1" s="192" thickBot="1">
      <c r="W34112" s="45" t="n"/>
      <c r="X34112" s="45" t="n"/>
    </row>
    <row r="34113" ht="14.25" customHeight="1" s="192">
      <c r="W34113" s="228" t="n"/>
      <c r="X34113" s="228" t="n"/>
    </row>
    <row r="34114" ht="14.25" customHeight="1" s="192">
      <c r="W34114" s="228" t="n"/>
      <c r="X34114" s="228" t="n"/>
    </row>
    <row r="34115" ht="14.25" customHeight="1" s="192">
      <c r="W34115" s="231" t="n"/>
      <c r="X34115" s="231" t="n"/>
    </row>
    <row r="34116" ht="14.25" customHeight="1" s="192">
      <c r="W34116" s="33" t="n"/>
      <c r="X34116" s="33" t="n"/>
    </row>
    <row r="34117" ht="14.25" customHeight="1" s="192">
      <c r="W34117" s="231" t="n"/>
      <c r="X34117" s="231" t="n"/>
    </row>
    <row r="34118" ht="14.25" customHeight="1" s="192">
      <c r="W34118" s="33" t="n"/>
      <c r="X34118" s="33" t="n"/>
    </row>
    <row r="34120" ht="14.25" customHeight="1" s="192">
      <c r="W34120" s="231" t="n"/>
      <c r="X34120" s="231" t="n"/>
    </row>
    <row r="34121" ht="14.25" customHeight="1" s="192">
      <c r="W34121" s="235" t="n"/>
      <c r="X34121" s="235" t="n"/>
    </row>
    <row r="34122" ht="14.25" customHeight="1" s="192">
      <c r="W34122" s="228" t="n"/>
      <c r="X34122" s="228" t="n"/>
    </row>
    <row r="34123" ht="14.25" customHeight="1" s="192">
      <c r="W34123" s="235" t="n"/>
      <c r="X34123" s="235" t="n"/>
    </row>
    <row r="34124" ht="14.25" customHeight="1" s="192">
      <c r="W34124" s="235" t="n"/>
      <c r="X34124" s="235" t="n"/>
    </row>
    <row r="34125" ht="14.25" customHeight="1" s="192">
      <c r="W34125" s="235" t="n"/>
      <c r="X34125" s="235" t="n"/>
    </row>
    <row r="34126" ht="14.25" customHeight="1" s="192">
      <c r="W34126" s="239" t="n"/>
      <c r="X34126" s="239" t="n"/>
    </row>
    <row r="34127" ht="14.25" customHeight="1" s="192">
      <c r="W34127" s="239" t="n"/>
      <c r="X34127" s="239" t="n"/>
    </row>
    <row r="34128" ht="14.25" customHeight="1" s="192">
      <c r="W34128" s="239" t="n"/>
      <c r="X34128" s="239" t="n"/>
    </row>
    <row r="34129" ht="14.25" customHeight="1" s="192">
      <c r="W34129" s="235" t="n"/>
      <c r="X34129" s="235" t="n"/>
    </row>
    <row r="34130" ht="14.25" customHeight="1" s="192">
      <c r="W34130" s="235" t="n"/>
      <c r="X34130" s="235" t="n"/>
    </row>
    <row r="34131" ht="14.25" customHeight="1" s="192">
      <c r="W34131" s="235" t="n"/>
      <c r="X34131" s="235" t="n"/>
    </row>
    <row r="34132" ht="14.25" customHeight="1" s="192">
      <c r="W34132" s="239" t="n"/>
      <c r="X34132" s="239" t="n"/>
    </row>
    <row r="34133" ht="14.25" customHeight="1" s="192">
      <c r="W34133" s="239" t="n"/>
      <c r="X34133" s="239" t="n"/>
    </row>
    <row r="34134" ht="14.25" customHeight="1" s="192">
      <c r="W34134" s="235" t="n"/>
      <c r="X34134" s="235" t="n"/>
    </row>
    <row r="34135" ht="14.25" customHeight="1" s="192">
      <c r="W34135" s="235" t="n"/>
      <c r="X34135" s="235" t="n"/>
    </row>
    <row r="34136" ht="14.25" customHeight="1" s="192">
      <c r="W34136" s="239" t="n"/>
      <c r="X34136" s="239" t="n"/>
    </row>
    <row r="34137" ht="14.25" customHeight="1" s="192">
      <c r="W34137" s="235" t="n"/>
      <c r="X34137" s="235" t="n"/>
    </row>
    <row r="34138" ht="14.25" customHeight="1" s="192">
      <c r="W34138" s="239" t="n"/>
      <c r="X34138" s="239" t="n"/>
    </row>
    <row r="34140" ht="14.25" customHeight="1" s="192">
      <c r="W34140" s="235" t="n"/>
      <c r="X34140" s="235" t="n"/>
    </row>
    <row r="34141" ht="15" customHeight="1" s="192" thickBot="1">
      <c r="W34141" s="239" t="n"/>
      <c r="X34141" s="239" t="n"/>
    </row>
    <row r="34142" ht="15" customHeight="1" s="192" thickBot="1">
      <c r="W34142" s="45" t="n"/>
      <c r="X34142" s="45" t="n"/>
    </row>
    <row r="34143" ht="14.25" customHeight="1" s="192">
      <c r="W34143" s="228" t="n"/>
      <c r="X34143" s="228" t="n"/>
    </row>
    <row r="34144" ht="14.25" customHeight="1" s="192">
      <c r="W34144" s="228" t="n"/>
      <c r="X34144" s="228" t="n"/>
    </row>
    <row r="34145" ht="14.25" customHeight="1" s="192">
      <c r="W34145" s="231" t="n"/>
      <c r="X34145" s="231" t="n"/>
    </row>
    <row r="34146" ht="14.25" customHeight="1" s="192">
      <c r="W34146" s="33" t="n"/>
      <c r="X34146" s="33" t="n"/>
    </row>
    <row r="34147" ht="14.25" customHeight="1" s="192">
      <c r="W34147" s="231" t="n"/>
      <c r="X34147" s="231" t="n"/>
    </row>
    <row r="34148" ht="14.25" customHeight="1" s="192">
      <c r="W34148" s="33" t="n"/>
      <c r="X34148" s="33" t="n"/>
    </row>
    <row r="34150" ht="14.25" customHeight="1" s="192">
      <c r="W34150" s="231" t="n"/>
      <c r="X34150" s="231" t="n"/>
    </row>
    <row r="34151" ht="14.25" customHeight="1" s="192">
      <c r="W34151" s="235" t="n"/>
      <c r="X34151" s="235" t="n"/>
    </row>
    <row r="34152" ht="14.25" customHeight="1" s="192">
      <c r="W34152" s="228" t="n"/>
      <c r="X34152" s="228" t="n"/>
    </row>
    <row r="34153" ht="14.25" customHeight="1" s="192">
      <c r="W34153" s="235" t="n"/>
      <c r="X34153" s="235" t="n"/>
    </row>
    <row r="34154" ht="14.25" customHeight="1" s="192">
      <c r="W34154" s="235" t="n"/>
      <c r="X34154" s="235" t="n"/>
    </row>
    <row r="34155" ht="14.25" customHeight="1" s="192">
      <c r="W34155" s="235" t="n"/>
      <c r="X34155" s="235" t="n"/>
    </row>
    <row r="34156" ht="14.25" customHeight="1" s="192">
      <c r="W34156" s="239" t="n"/>
      <c r="X34156" s="239" t="n"/>
    </row>
    <row r="34157" ht="14.25" customHeight="1" s="192">
      <c r="W34157" s="239" t="n"/>
      <c r="X34157" s="239" t="n"/>
    </row>
    <row r="34158" ht="14.25" customHeight="1" s="192">
      <c r="W34158" s="239" t="n"/>
      <c r="X34158" s="239" t="n"/>
    </row>
    <row r="34159" ht="14.25" customHeight="1" s="192">
      <c r="W34159" s="235" t="n"/>
      <c r="X34159" s="235" t="n"/>
    </row>
    <row r="34160" ht="14.25" customHeight="1" s="192">
      <c r="W34160" s="235" t="n"/>
      <c r="X34160" s="235" t="n"/>
    </row>
    <row r="34161" ht="14.25" customHeight="1" s="192">
      <c r="W34161" s="235" t="n"/>
      <c r="X34161" s="235" t="n"/>
    </row>
    <row r="34162" ht="14.25" customHeight="1" s="192">
      <c r="W34162" s="239" t="n"/>
      <c r="X34162" s="239" t="n"/>
    </row>
    <row r="34163" ht="14.25" customHeight="1" s="192">
      <c r="W34163" s="239" t="n"/>
      <c r="X34163" s="239" t="n"/>
    </row>
    <row r="34164" ht="14.25" customHeight="1" s="192">
      <c r="W34164" s="235" t="n"/>
      <c r="X34164" s="235" t="n"/>
    </row>
    <row r="34165" ht="14.25" customHeight="1" s="192">
      <c r="W34165" s="235" t="n"/>
      <c r="X34165" s="235" t="n"/>
    </row>
    <row r="34166" ht="14.25" customHeight="1" s="192">
      <c r="W34166" s="239" t="n"/>
      <c r="X34166" s="239" t="n"/>
    </row>
    <row r="34167" ht="14.25" customHeight="1" s="192">
      <c r="W34167" s="235" t="n"/>
      <c r="X34167" s="235" t="n"/>
    </row>
    <row r="34168" ht="14.25" customHeight="1" s="192">
      <c r="W34168" s="239" t="n"/>
      <c r="X34168" s="239" t="n"/>
    </row>
    <row r="34170" ht="14.25" customHeight="1" s="192">
      <c r="W34170" s="235" t="n"/>
      <c r="X34170" s="235" t="n"/>
    </row>
    <row r="34171" ht="15" customHeight="1" s="192" thickBot="1">
      <c r="W34171" s="239" t="n"/>
      <c r="X34171" s="239" t="n"/>
    </row>
    <row r="34172" ht="15" customHeight="1" s="192" thickBot="1">
      <c r="W34172" s="45" t="n"/>
      <c r="X34172" s="45" t="n"/>
    </row>
    <row r="34173" ht="14.25" customHeight="1" s="192">
      <c r="W34173" s="228" t="n"/>
      <c r="X34173" s="228" t="n"/>
    </row>
    <row r="34174" ht="14.25" customHeight="1" s="192">
      <c r="W34174" s="228" t="n"/>
      <c r="X34174" s="228" t="n"/>
    </row>
    <row r="34175" ht="14.25" customHeight="1" s="192">
      <c r="W34175" s="231" t="n"/>
      <c r="X34175" s="231" t="n"/>
    </row>
    <row r="34176" ht="14.25" customHeight="1" s="192">
      <c r="W34176" s="33" t="n"/>
      <c r="X34176" s="33" t="n"/>
    </row>
    <row r="34177" ht="14.25" customHeight="1" s="192">
      <c r="W34177" s="231" t="n"/>
      <c r="X34177" s="231" t="n"/>
    </row>
    <row r="34178" ht="14.25" customHeight="1" s="192">
      <c r="W34178" s="33" t="n"/>
      <c r="X34178" s="33" t="n"/>
    </row>
    <row r="34180" ht="14.25" customHeight="1" s="192">
      <c r="W34180" s="231" t="n"/>
      <c r="X34180" s="231" t="n"/>
    </row>
    <row r="34181" ht="14.25" customHeight="1" s="192">
      <c r="W34181" s="235" t="n"/>
      <c r="X34181" s="235" t="n"/>
    </row>
    <row r="34182" ht="14.25" customHeight="1" s="192">
      <c r="W34182" s="228" t="n"/>
      <c r="X34182" s="228" t="n"/>
    </row>
    <row r="34183" ht="14.25" customHeight="1" s="192">
      <c r="W34183" s="235" t="n"/>
      <c r="X34183" s="235" t="n"/>
    </row>
    <row r="34184" ht="14.25" customHeight="1" s="192">
      <c r="W34184" s="235" t="n"/>
      <c r="X34184" s="235" t="n"/>
    </row>
    <row r="34185" ht="14.25" customHeight="1" s="192">
      <c r="W34185" s="235" t="n"/>
      <c r="X34185" s="235" t="n"/>
    </row>
    <row r="34186" ht="14.25" customHeight="1" s="192">
      <c r="W34186" s="239" t="n"/>
      <c r="X34186" s="239" t="n"/>
    </row>
    <row r="34187" ht="14.25" customHeight="1" s="192">
      <c r="W34187" s="239" t="n"/>
      <c r="X34187" s="239" t="n"/>
    </row>
    <row r="34188" ht="14.25" customHeight="1" s="192">
      <c r="W34188" s="239" t="n"/>
      <c r="X34188" s="239" t="n"/>
    </row>
    <row r="34189" ht="14.25" customHeight="1" s="192">
      <c r="W34189" s="235" t="n"/>
      <c r="X34189" s="235" t="n"/>
    </row>
    <row r="34190" ht="14.25" customHeight="1" s="192">
      <c r="W34190" s="235" t="n"/>
      <c r="X34190" s="235" t="n"/>
    </row>
    <row r="34191" ht="14.25" customHeight="1" s="192">
      <c r="W34191" s="235" t="n"/>
      <c r="X34191" s="235" t="n"/>
    </row>
    <row r="34192" ht="14.25" customHeight="1" s="192">
      <c r="W34192" s="239" t="n"/>
      <c r="X34192" s="239" t="n"/>
    </row>
    <row r="34193" ht="14.25" customHeight="1" s="192">
      <c r="W34193" s="239" t="n"/>
      <c r="X34193" s="239" t="n"/>
    </row>
    <row r="34194" ht="14.25" customHeight="1" s="192">
      <c r="W34194" s="235" t="n"/>
      <c r="X34194" s="235" t="n"/>
    </row>
    <row r="34195" ht="14.25" customHeight="1" s="192">
      <c r="W34195" s="235" t="n"/>
      <c r="X34195" s="235" t="n"/>
    </row>
    <row r="34196" ht="14.25" customHeight="1" s="192">
      <c r="W34196" s="239" t="n"/>
      <c r="X34196" s="239" t="n"/>
    </row>
    <row r="34197" ht="14.25" customHeight="1" s="192">
      <c r="W34197" s="235" t="n"/>
      <c r="X34197" s="235" t="n"/>
    </row>
    <row r="34198" ht="14.25" customHeight="1" s="192">
      <c r="W34198" s="239" t="n"/>
      <c r="X34198" s="239" t="n"/>
    </row>
    <row r="34200" ht="14.25" customHeight="1" s="192">
      <c r="W34200" s="235" t="n"/>
      <c r="X34200" s="235" t="n"/>
    </row>
    <row r="34201" ht="15" customHeight="1" s="192" thickBot="1">
      <c r="W34201" s="239" t="n"/>
      <c r="X34201" s="239" t="n"/>
    </row>
    <row r="34202" ht="15" customHeight="1" s="192" thickBot="1">
      <c r="W34202" s="45" t="n"/>
      <c r="X34202" s="45" t="n"/>
    </row>
    <row r="34203" ht="14.25" customHeight="1" s="192">
      <c r="W34203" s="228" t="n"/>
      <c r="X34203" s="228" t="n"/>
    </row>
    <row r="34204" ht="14.25" customHeight="1" s="192">
      <c r="W34204" s="228" t="n"/>
      <c r="X34204" s="228" t="n"/>
    </row>
    <row r="34205" ht="14.25" customHeight="1" s="192">
      <c r="W34205" s="231" t="n"/>
      <c r="X34205" s="231" t="n"/>
    </row>
    <row r="34206" ht="14.25" customHeight="1" s="192">
      <c r="W34206" s="33" t="n"/>
      <c r="X34206" s="33" t="n"/>
    </row>
    <row r="34207" ht="14.25" customHeight="1" s="192">
      <c r="W34207" s="231" t="n"/>
      <c r="X34207" s="231" t="n"/>
    </row>
    <row r="34208" ht="14.25" customHeight="1" s="192">
      <c r="W34208" s="33" t="n"/>
      <c r="X34208" s="33" t="n"/>
    </row>
    <row r="34210" ht="14.25" customHeight="1" s="192">
      <c r="W34210" s="231" t="n"/>
      <c r="X34210" s="231" t="n"/>
    </row>
    <row r="34211" ht="14.25" customHeight="1" s="192">
      <c r="W34211" s="235" t="n"/>
      <c r="X34211" s="235" t="n"/>
    </row>
    <row r="34212" ht="14.25" customHeight="1" s="192">
      <c r="W34212" s="228" t="n"/>
      <c r="X34212" s="228" t="n"/>
    </row>
    <row r="34213" ht="14.25" customHeight="1" s="192">
      <c r="W34213" s="235" t="n"/>
      <c r="X34213" s="235" t="n"/>
    </row>
    <row r="34214" ht="14.25" customHeight="1" s="192">
      <c r="W34214" s="235" t="n"/>
      <c r="X34214" s="235" t="n"/>
    </row>
    <row r="34215" ht="14.25" customHeight="1" s="192">
      <c r="W34215" s="235" t="n"/>
      <c r="X34215" s="235" t="n"/>
    </row>
    <row r="34216" ht="14.25" customHeight="1" s="192">
      <c r="W34216" s="239" t="n"/>
      <c r="X34216" s="239" t="n"/>
    </row>
    <row r="34217" ht="14.25" customHeight="1" s="192">
      <c r="W34217" s="239" t="n"/>
      <c r="X34217" s="239" t="n"/>
    </row>
    <row r="34218" ht="14.25" customHeight="1" s="192">
      <c r="W34218" s="239" t="n"/>
      <c r="X34218" s="239" t="n"/>
    </row>
    <row r="34219" ht="14.25" customHeight="1" s="192">
      <c r="W34219" s="235" t="n"/>
      <c r="X34219" s="235" t="n"/>
    </row>
    <row r="34220" ht="14.25" customHeight="1" s="192">
      <c r="W34220" s="235" t="n"/>
      <c r="X34220" s="235" t="n"/>
    </row>
    <row r="34221" ht="14.25" customHeight="1" s="192">
      <c r="W34221" s="235" t="n"/>
      <c r="X34221" s="235" t="n"/>
    </row>
    <row r="34222" ht="14.25" customHeight="1" s="192">
      <c r="W34222" s="239" t="n"/>
      <c r="X34222" s="239" t="n"/>
    </row>
    <row r="34223" ht="14.25" customHeight="1" s="192">
      <c r="W34223" s="239" t="n"/>
      <c r="X34223" s="239" t="n"/>
    </row>
    <row r="34224" ht="14.25" customHeight="1" s="192">
      <c r="W34224" s="235" t="n"/>
      <c r="X34224" s="235" t="n"/>
    </row>
    <row r="34225" ht="14.25" customHeight="1" s="192">
      <c r="W34225" s="235" t="n"/>
      <c r="X34225" s="235" t="n"/>
    </row>
    <row r="34226" ht="14.25" customHeight="1" s="192">
      <c r="W34226" s="239" t="n"/>
      <c r="X34226" s="239" t="n"/>
    </row>
    <row r="34227" ht="14.25" customHeight="1" s="192">
      <c r="W34227" s="235" t="n"/>
      <c r="X34227" s="235" t="n"/>
    </row>
    <row r="34228" ht="14.25" customHeight="1" s="192">
      <c r="W34228" s="239" t="n"/>
      <c r="X34228" s="239" t="n"/>
    </row>
    <row r="34230" ht="14.25" customHeight="1" s="192">
      <c r="W34230" s="235" t="n"/>
      <c r="X34230" s="235" t="n"/>
    </row>
    <row r="34231" ht="15" customHeight="1" s="192" thickBot="1">
      <c r="W34231" s="239" t="n"/>
      <c r="X34231" s="239" t="n"/>
    </row>
    <row r="34232" ht="15" customHeight="1" s="192" thickBot="1">
      <c r="W34232" s="45" t="n"/>
      <c r="X34232" s="45" t="n"/>
    </row>
    <row r="34233" ht="14.25" customHeight="1" s="192">
      <c r="W34233" s="228" t="n"/>
      <c r="X34233" s="228" t="n"/>
    </row>
    <row r="34234" ht="14.25" customHeight="1" s="192">
      <c r="W34234" s="228" t="n"/>
      <c r="X34234" s="228" t="n"/>
    </row>
    <row r="34235" ht="14.25" customHeight="1" s="192">
      <c r="W34235" s="231" t="n"/>
      <c r="X34235" s="231" t="n"/>
    </row>
    <row r="34236" ht="14.25" customHeight="1" s="192">
      <c r="W34236" s="33" t="n"/>
      <c r="X34236" s="33" t="n"/>
    </row>
    <row r="34237" ht="14.25" customHeight="1" s="192">
      <c r="W34237" s="231" t="n"/>
      <c r="X34237" s="231" t="n"/>
    </row>
    <row r="34238" ht="14.25" customHeight="1" s="192">
      <c r="W34238" s="33" t="n"/>
      <c r="X34238" s="33" t="n"/>
    </row>
    <row r="34240" ht="14.25" customHeight="1" s="192">
      <c r="W34240" s="231" t="n"/>
      <c r="X34240" s="231" t="n"/>
    </row>
    <row r="34241" ht="14.25" customHeight="1" s="192">
      <c r="W34241" s="235" t="n"/>
      <c r="X34241" s="235" t="n"/>
    </row>
    <row r="34242" ht="14.25" customHeight="1" s="192">
      <c r="W34242" s="228" t="n"/>
      <c r="X34242" s="228" t="n"/>
    </row>
    <row r="34243" ht="14.25" customHeight="1" s="192">
      <c r="W34243" s="235" t="n"/>
      <c r="X34243" s="235" t="n"/>
    </row>
    <row r="34244" ht="14.25" customHeight="1" s="192">
      <c r="W34244" s="235" t="n"/>
      <c r="X34244" s="235" t="n"/>
    </row>
    <row r="34245" ht="14.25" customHeight="1" s="192">
      <c r="W34245" s="235" t="n"/>
      <c r="X34245" s="235" t="n"/>
    </row>
    <row r="34246" ht="14.25" customHeight="1" s="192">
      <c r="W34246" s="239" t="n"/>
      <c r="X34246" s="239" t="n"/>
    </row>
    <row r="34247" ht="14.25" customHeight="1" s="192">
      <c r="W34247" s="239" t="n"/>
      <c r="X34247" s="239" t="n"/>
    </row>
    <row r="34248" ht="14.25" customHeight="1" s="192">
      <c r="W34248" s="239" t="n"/>
      <c r="X34248" s="239" t="n"/>
    </row>
    <row r="34249" ht="14.25" customHeight="1" s="192">
      <c r="W34249" s="235" t="n"/>
      <c r="X34249" s="235" t="n"/>
    </row>
    <row r="34250" ht="14.25" customHeight="1" s="192">
      <c r="W34250" s="235" t="n"/>
      <c r="X34250" s="235" t="n"/>
    </row>
    <row r="34251" ht="14.25" customHeight="1" s="192">
      <c r="W34251" s="235" t="n"/>
      <c r="X34251" s="235" t="n"/>
    </row>
    <row r="34252" ht="14.25" customHeight="1" s="192">
      <c r="W34252" s="239" t="n"/>
      <c r="X34252" s="239" t="n"/>
    </row>
    <row r="34253" ht="14.25" customHeight="1" s="192">
      <c r="W34253" s="239" t="n"/>
      <c r="X34253" s="239" t="n"/>
    </row>
    <row r="34254" ht="14.25" customHeight="1" s="192">
      <c r="W34254" s="235" t="n"/>
      <c r="X34254" s="235" t="n"/>
    </row>
    <row r="34255" ht="14.25" customHeight="1" s="192">
      <c r="W34255" s="235" t="n"/>
      <c r="X34255" s="235" t="n"/>
    </row>
    <row r="34256" ht="14.25" customHeight="1" s="192">
      <c r="W34256" s="239" t="n"/>
      <c r="X34256" s="239" t="n"/>
    </row>
    <row r="34257" ht="14.25" customHeight="1" s="192">
      <c r="W34257" s="235" t="n"/>
      <c r="X34257" s="235" t="n"/>
    </row>
    <row r="34258" ht="14.25" customHeight="1" s="192">
      <c r="W34258" s="239" t="n"/>
      <c r="X34258" s="239" t="n"/>
    </row>
    <row r="34260" ht="14.25" customHeight="1" s="192">
      <c r="W34260" s="235" t="n"/>
      <c r="X34260" s="235" t="n"/>
    </row>
    <row r="34261" ht="15" customHeight="1" s="192" thickBot="1">
      <c r="W34261" s="239" t="n"/>
      <c r="X34261" s="239" t="n"/>
    </row>
    <row r="34262" ht="15" customHeight="1" s="192" thickBot="1">
      <c r="W34262" s="45" t="n"/>
      <c r="X34262" s="45" t="n"/>
    </row>
    <row r="34263" ht="14.25" customHeight="1" s="192">
      <c r="W34263" s="228" t="n"/>
      <c r="X34263" s="228" t="n"/>
    </row>
    <row r="34264" ht="14.25" customHeight="1" s="192">
      <c r="W34264" s="228" t="n"/>
      <c r="X34264" s="228" t="n"/>
    </row>
    <row r="34265" ht="14.25" customHeight="1" s="192">
      <c r="W34265" s="231" t="n"/>
      <c r="X34265" s="231" t="n"/>
    </row>
    <row r="34266" ht="14.25" customHeight="1" s="192">
      <c r="W34266" s="33" t="n"/>
      <c r="X34266" s="33" t="n"/>
    </row>
    <row r="34267" ht="14.25" customHeight="1" s="192">
      <c r="W34267" s="231" t="n"/>
      <c r="X34267" s="231" t="n"/>
    </row>
    <row r="34268" ht="14.25" customHeight="1" s="192">
      <c r="W34268" s="33" t="n"/>
      <c r="X34268" s="33" t="n"/>
    </row>
    <row r="34270" ht="14.25" customHeight="1" s="192">
      <c r="W34270" s="231" t="n"/>
      <c r="X34270" s="231" t="n"/>
    </row>
    <row r="34271" ht="14.25" customHeight="1" s="192">
      <c r="W34271" s="235" t="n"/>
      <c r="X34271" s="235" t="n"/>
    </row>
    <row r="34272" ht="14.25" customHeight="1" s="192">
      <c r="W34272" s="228" t="n"/>
      <c r="X34272" s="228" t="n"/>
    </row>
    <row r="34273" ht="14.25" customHeight="1" s="192">
      <c r="W34273" s="235" t="n"/>
      <c r="X34273" s="235" t="n"/>
    </row>
    <row r="34274" ht="14.25" customHeight="1" s="192">
      <c r="W34274" s="235" t="n"/>
      <c r="X34274" s="235" t="n"/>
    </row>
    <row r="34275" ht="14.25" customHeight="1" s="192">
      <c r="W34275" s="235" t="n"/>
      <c r="X34275" s="235" t="n"/>
    </row>
    <row r="34276" ht="14.25" customHeight="1" s="192">
      <c r="W34276" s="239" t="n"/>
      <c r="X34276" s="239" t="n"/>
    </row>
    <row r="34277" ht="14.25" customHeight="1" s="192">
      <c r="W34277" s="239" t="n"/>
      <c r="X34277" s="239" t="n"/>
    </row>
    <row r="34278" ht="14.25" customHeight="1" s="192">
      <c r="W34278" s="239" t="n"/>
      <c r="X34278" s="239" t="n"/>
    </row>
    <row r="34279" ht="14.25" customHeight="1" s="192">
      <c r="W34279" s="235" t="n"/>
      <c r="X34279" s="235" t="n"/>
    </row>
    <row r="34280" ht="14.25" customHeight="1" s="192">
      <c r="W34280" s="235" t="n"/>
      <c r="X34280" s="235" t="n"/>
    </row>
    <row r="34281" ht="14.25" customHeight="1" s="192">
      <c r="W34281" s="235" t="n"/>
      <c r="X34281" s="235" t="n"/>
    </row>
    <row r="34282" ht="14.25" customHeight="1" s="192">
      <c r="W34282" s="239" t="n"/>
      <c r="X34282" s="239" t="n"/>
    </row>
    <row r="34283" ht="14.25" customHeight="1" s="192">
      <c r="W34283" s="239" t="n"/>
      <c r="X34283" s="239" t="n"/>
    </row>
    <row r="34284" ht="14.25" customHeight="1" s="192">
      <c r="W34284" s="235" t="n"/>
      <c r="X34284" s="235" t="n"/>
    </row>
    <row r="34285" ht="14.25" customHeight="1" s="192">
      <c r="W34285" s="235" t="n"/>
      <c r="X34285" s="235" t="n"/>
    </row>
    <row r="34286" ht="14.25" customHeight="1" s="192">
      <c r="W34286" s="239" t="n"/>
      <c r="X34286" s="239" t="n"/>
    </row>
    <row r="34287" ht="14.25" customHeight="1" s="192">
      <c r="W34287" s="235" t="n"/>
      <c r="X34287" s="235" t="n"/>
    </row>
    <row r="34288" ht="14.25" customHeight="1" s="192">
      <c r="W34288" s="239" t="n"/>
      <c r="X34288" s="239" t="n"/>
    </row>
    <row r="34290" ht="14.25" customHeight="1" s="192">
      <c r="W34290" s="235" t="n"/>
      <c r="X34290" s="235" t="n"/>
    </row>
    <row r="34291" ht="15" customHeight="1" s="192" thickBot="1">
      <c r="W34291" s="239" t="n"/>
      <c r="X34291" s="239" t="n"/>
    </row>
    <row r="34292" ht="15" customHeight="1" s="192" thickBot="1">
      <c r="W34292" s="45" t="n"/>
      <c r="X34292" s="45" t="n"/>
    </row>
    <row r="34293" ht="14.25" customHeight="1" s="192">
      <c r="W34293" s="228" t="n"/>
      <c r="X34293" s="228" t="n"/>
    </row>
    <row r="34294" ht="14.25" customHeight="1" s="192">
      <c r="W34294" s="228" t="n"/>
      <c r="X34294" s="228" t="n"/>
    </row>
    <row r="34295" ht="14.25" customHeight="1" s="192">
      <c r="W34295" s="231" t="n"/>
      <c r="X34295" s="231" t="n"/>
    </row>
    <row r="34296" ht="14.25" customHeight="1" s="192">
      <c r="W34296" s="33" t="n"/>
      <c r="X34296" s="33" t="n"/>
    </row>
    <row r="34297" ht="14.25" customHeight="1" s="192">
      <c r="W34297" s="231" t="n"/>
      <c r="X34297" s="231" t="n"/>
    </row>
    <row r="34298" ht="14.25" customHeight="1" s="192">
      <c r="W34298" s="33" t="n"/>
      <c r="X34298" s="33" t="n"/>
    </row>
    <row r="34300" ht="14.25" customHeight="1" s="192">
      <c r="W34300" s="231" t="n"/>
      <c r="X34300" s="231" t="n"/>
    </row>
    <row r="34301" ht="14.25" customHeight="1" s="192">
      <c r="W34301" s="235" t="n"/>
      <c r="X34301" s="235" t="n"/>
    </row>
    <row r="34302" ht="14.25" customHeight="1" s="192">
      <c r="W34302" s="228" t="n"/>
      <c r="X34302" s="228" t="n"/>
    </row>
    <row r="34303" ht="14.25" customHeight="1" s="192">
      <c r="W34303" s="235" t="n"/>
      <c r="X34303" s="235" t="n"/>
    </row>
    <row r="34304" ht="14.25" customHeight="1" s="192">
      <c r="W34304" s="235" t="n"/>
      <c r="X34304" s="235" t="n"/>
    </row>
    <row r="34305" ht="14.25" customHeight="1" s="192">
      <c r="W34305" s="235" t="n"/>
      <c r="X34305" s="235" t="n"/>
    </row>
    <row r="34306" ht="14.25" customHeight="1" s="192">
      <c r="W34306" s="239" t="n"/>
      <c r="X34306" s="239" t="n"/>
    </row>
    <row r="34307" ht="14.25" customHeight="1" s="192">
      <c r="W34307" s="239" t="n"/>
      <c r="X34307" s="239" t="n"/>
    </row>
    <row r="34308" ht="14.25" customHeight="1" s="192">
      <c r="W34308" s="239" t="n"/>
      <c r="X34308" s="239" t="n"/>
    </row>
    <row r="34309" ht="14.25" customHeight="1" s="192">
      <c r="W34309" s="235" t="n"/>
      <c r="X34309" s="235" t="n"/>
    </row>
    <row r="34310" ht="14.25" customHeight="1" s="192">
      <c r="W34310" s="235" t="n"/>
      <c r="X34310" s="235" t="n"/>
    </row>
    <row r="34311" ht="14.25" customHeight="1" s="192">
      <c r="W34311" s="235" t="n"/>
      <c r="X34311" s="235" t="n"/>
    </row>
    <row r="34312" ht="14.25" customHeight="1" s="192">
      <c r="W34312" s="239" t="n"/>
      <c r="X34312" s="239" t="n"/>
    </row>
    <row r="34313" ht="14.25" customHeight="1" s="192">
      <c r="W34313" s="239" t="n"/>
      <c r="X34313" s="239" t="n"/>
    </row>
    <row r="34314" ht="14.25" customHeight="1" s="192">
      <c r="W34314" s="235" t="n"/>
      <c r="X34314" s="235" t="n"/>
    </row>
    <row r="34315" ht="14.25" customHeight="1" s="192">
      <c r="W34315" s="235" t="n"/>
      <c r="X34315" s="235" t="n"/>
    </row>
    <row r="34316" ht="14.25" customHeight="1" s="192">
      <c r="W34316" s="239" t="n"/>
      <c r="X34316" s="239" t="n"/>
    </row>
    <row r="34317" ht="14.25" customHeight="1" s="192">
      <c r="W34317" s="235" t="n"/>
      <c r="X34317" s="235" t="n"/>
    </row>
    <row r="34318" ht="14.25" customHeight="1" s="192">
      <c r="W34318" s="239" t="n"/>
      <c r="X34318" s="239" t="n"/>
    </row>
    <row r="34320" ht="14.25" customHeight="1" s="192">
      <c r="W34320" s="235" t="n"/>
      <c r="X34320" s="235" t="n"/>
    </row>
    <row r="34321" ht="15" customHeight="1" s="192" thickBot="1">
      <c r="W34321" s="239" t="n"/>
      <c r="X34321" s="239" t="n"/>
    </row>
    <row r="34322" ht="15" customHeight="1" s="192" thickBot="1">
      <c r="W34322" s="45" t="n"/>
      <c r="X34322" s="45" t="n"/>
    </row>
    <row r="34323" ht="14.25" customHeight="1" s="192">
      <c r="W34323" s="228" t="n"/>
      <c r="X34323" s="228" t="n"/>
    </row>
    <row r="34324" ht="14.25" customHeight="1" s="192">
      <c r="W34324" s="228" t="n"/>
      <c r="X34324" s="228" t="n"/>
    </row>
    <row r="34325" ht="14.25" customHeight="1" s="192">
      <c r="W34325" s="231" t="n"/>
      <c r="X34325" s="231" t="n"/>
    </row>
    <row r="34326" ht="14.25" customHeight="1" s="192">
      <c r="W34326" s="33" t="n"/>
      <c r="X34326" s="33" t="n"/>
    </row>
    <row r="34327" ht="14.25" customHeight="1" s="192">
      <c r="W34327" s="231" t="n"/>
      <c r="X34327" s="231" t="n"/>
    </row>
    <row r="34328" ht="14.25" customHeight="1" s="192">
      <c r="W34328" s="33" t="n"/>
      <c r="X34328" s="33" t="n"/>
    </row>
    <row r="34330" ht="14.25" customHeight="1" s="192">
      <c r="W34330" s="231" t="n"/>
      <c r="X34330" s="231" t="n"/>
    </row>
    <row r="34331" ht="14.25" customHeight="1" s="192">
      <c r="W34331" s="235" t="n"/>
      <c r="X34331" s="235" t="n"/>
    </row>
    <row r="34332" ht="14.25" customHeight="1" s="192">
      <c r="W34332" s="228" t="n"/>
      <c r="X34332" s="228" t="n"/>
    </row>
    <row r="34333" ht="14.25" customHeight="1" s="192">
      <c r="W34333" s="235" t="n"/>
      <c r="X34333" s="235" t="n"/>
    </row>
    <row r="34334" ht="14.25" customHeight="1" s="192">
      <c r="W34334" s="235" t="n"/>
      <c r="X34334" s="235" t="n"/>
    </row>
    <row r="34335" ht="14.25" customHeight="1" s="192">
      <c r="W34335" s="235" t="n"/>
      <c r="X34335" s="235" t="n"/>
    </row>
    <row r="34336" ht="14.25" customHeight="1" s="192">
      <c r="W34336" s="239" t="n"/>
      <c r="X34336" s="239" t="n"/>
    </row>
    <row r="34337" ht="14.25" customHeight="1" s="192">
      <c r="W34337" s="239" t="n"/>
      <c r="X34337" s="239" t="n"/>
    </row>
    <row r="34338" ht="14.25" customHeight="1" s="192">
      <c r="W34338" s="239" t="n"/>
      <c r="X34338" s="239" t="n"/>
    </row>
    <row r="34339" ht="14.25" customHeight="1" s="192">
      <c r="W34339" s="235" t="n"/>
      <c r="X34339" s="235" t="n"/>
    </row>
    <row r="34340" ht="14.25" customHeight="1" s="192">
      <c r="W34340" s="235" t="n"/>
      <c r="X34340" s="235" t="n"/>
    </row>
    <row r="34341" ht="14.25" customHeight="1" s="192">
      <c r="W34341" s="235" t="n"/>
      <c r="X34341" s="235" t="n"/>
    </row>
    <row r="34342" ht="14.25" customHeight="1" s="192">
      <c r="W34342" s="239" t="n"/>
      <c r="X34342" s="239" t="n"/>
    </row>
    <row r="34343" ht="14.25" customHeight="1" s="192">
      <c r="W34343" s="239" t="n"/>
      <c r="X34343" s="239" t="n"/>
    </row>
    <row r="34344" ht="14.25" customHeight="1" s="192">
      <c r="W34344" s="235" t="n"/>
      <c r="X34344" s="235" t="n"/>
    </row>
    <row r="34345" ht="14.25" customHeight="1" s="192">
      <c r="W34345" s="235" t="n"/>
      <c r="X34345" s="235" t="n"/>
    </row>
    <row r="34346" ht="14.25" customHeight="1" s="192">
      <c r="W34346" s="239" t="n"/>
      <c r="X34346" s="239" t="n"/>
    </row>
    <row r="34347" ht="14.25" customHeight="1" s="192">
      <c r="W34347" s="235" t="n"/>
      <c r="X34347" s="235" t="n"/>
    </row>
    <row r="34348" ht="14.25" customHeight="1" s="192">
      <c r="W34348" s="239" t="n"/>
      <c r="X34348" s="239" t="n"/>
    </row>
    <row r="34350" ht="14.25" customHeight="1" s="192">
      <c r="W34350" s="235" t="n"/>
      <c r="X34350" s="235" t="n"/>
    </row>
    <row r="34351" ht="15" customHeight="1" s="192" thickBot="1">
      <c r="W34351" s="239" t="n"/>
      <c r="X34351" s="239" t="n"/>
    </row>
    <row r="34352" ht="15" customHeight="1" s="192" thickBot="1">
      <c r="W34352" s="45" t="n"/>
      <c r="X34352" s="45" t="n"/>
    </row>
    <row r="34353" ht="14.25" customHeight="1" s="192">
      <c r="W34353" s="228" t="n"/>
      <c r="X34353" s="228" t="n"/>
    </row>
    <row r="34354" ht="14.25" customHeight="1" s="192">
      <c r="W34354" s="228" t="n"/>
      <c r="X34354" s="228" t="n"/>
    </row>
    <row r="34355" ht="14.25" customHeight="1" s="192">
      <c r="W34355" s="231" t="n"/>
      <c r="X34355" s="231" t="n"/>
    </row>
    <row r="34356" ht="14.25" customHeight="1" s="192">
      <c r="W34356" s="33" t="n"/>
      <c r="X34356" s="33" t="n"/>
    </row>
    <row r="34357" ht="14.25" customHeight="1" s="192">
      <c r="W34357" s="231" t="n"/>
      <c r="X34357" s="231" t="n"/>
    </row>
    <row r="34358" ht="14.25" customHeight="1" s="192">
      <c r="W34358" s="33" t="n"/>
      <c r="X34358" s="33" t="n"/>
    </row>
    <row r="34360" ht="14.25" customHeight="1" s="192">
      <c r="W34360" s="231" t="n"/>
      <c r="X34360" s="231" t="n"/>
    </row>
    <row r="34361" ht="14.25" customHeight="1" s="192">
      <c r="W34361" s="235" t="n"/>
      <c r="X34361" s="235" t="n"/>
    </row>
    <row r="34362" ht="14.25" customHeight="1" s="192">
      <c r="W34362" s="228" t="n"/>
      <c r="X34362" s="228" t="n"/>
    </row>
    <row r="34363" ht="14.25" customHeight="1" s="192">
      <c r="W34363" s="235" t="n"/>
      <c r="X34363" s="235" t="n"/>
    </row>
    <row r="34364" ht="14.25" customHeight="1" s="192">
      <c r="W34364" s="235" t="n"/>
      <c r="X34364" s="235" t="n"/>
    </row>
    <row r="34365" ht="14.25" customHeight="1" s="192">
      <c r="W34365" s="235" t="n"/>
      <c r="X34365" s="235" t="n"/>
    </row>
    <row r="34366" ht="14.25" customHeight="1" s="192">
      <c r="W34366" s="239" t="n"/>
      <c r="X34366" s="239" t="n"/>
    </row>
    <row r="34367" ht="14.25" customHeight="1" s="192">
      <c r="W34367" s="239" t="n"/>
      <c r="X34367" s="239" t="n"/>
    </row>
    <row r="34368" ht="14.25" customHeight="1" s="192">
      <c r="W34368" s="239" t="n"/>
      <c r="X34368" s="239" t="n"/>
    </row>
    <row r="34369" ht="14.25" customHeight="1" s="192">
      <c r="W34369" s="235" t="n"/>
      <c r="X34369" s="235" t="n"/>
    </row>
    <row r="34370" ht="14.25" customHeight="1" s="192">
      <c r="W34370" s="235" t="n"/>
      <c r="X34370" s="235" t="n"/>
    </row>
    <row r="34371" ht="14.25" customHeight="1" s="192">
      <c r="W34371" s="235" t="n"/>
      <c r="X34371" s="235" t="n"/>
    </row>
    <row r="34372" ht="14.25" customHeight="1" s="192">
      <c r="W34372" s="239" t="n"/>
      <c r="X34372" s="239" t="n"/>
    </row>
    <row r="34373" ht="14.25" customHeight="1" s="192">
      <c r="W34373" s="239" t="n"/>
      <c r="X34373" s="239" t="n"/>
    </row>
    <row r="34374" ht="14.25" customHeight="1" s="192">
      <c r="W34374" s="235" t="n"/>
      <c r="X34374" s="235" t="n"/>
    </row>
    <row r="34375" ht="14.25" customHeight="1" s="192">
      <c r="W34375" s="235" t="n"/>
      <c r="X34375" s="235" t="n"/>
    </row>
    <row r="34376" ht="14.25" customHeight="1" s="192">
      <c r="W34376" s="239" t="n"/>
      <c r="X34376" s="239" t="n"/>
    </row>
    <row r="34377" ht="14.25" customHeight="1" s="192">
      <c r="W34377" s="235" t="n"/>
      <c r="X34377" s="235" t="n"/>
    </row>
    <row r="34378" ht="14.25" customHeight="1" s="192">
      <c r="W34378" s="239" t="n"/>
      <c r="X34378" s="239" t="n"/>
    </row>
    <row r="34380" ht="14.25" customHeight="1" s="192">
      <c r="W34380" s="235" t="n"/>
      <c r="X34380" s="235" t="n"/>
    </row>
    <row r="34381" ht="15" customHeight="1" s="192" thickBot="1">
      <c r="W34381" s="239" t="n"/>
      <c r="X34381" s="239" t="n"/>
    </row>
    <row r="34382" ht="15" customHeight="1" s="192" thickBot="1">
      <c r="W34382" s="45" t="n"/>
      <c r="X34382" s="45" t="n"/>
    </row>
    <row r="34383" ht="14.25" customHeight="1" s="192">
      <c r="W34383" s="228" t="n"/>
      <c r="X34383" s="228" t="n"/>
    </row>
    <row r="34384" ht="14.25" customHeight="1" s="192">
      <c r="W34384" s="228" t="n"/>
      <c r="X34384" s="228" t="n"/>
    </row>
    <row r="34385" ht="14.25" customHeight="1" s="192">
      <c r="W34385" s="231" t="n"/>
      <c r="X34385" s="231" t="n"/>
    </row>
    <row r="34386" ht="14.25" customHeight="1" s="192">
      <c r="W34386" s="33" t="n"/>
      <c r="X34386" s="33" t="n"/>
    </row>
    <row r="34387" ht="14.25" customHeight="1" s="192">
      <c r="W34387" s="231" t="n"/>
      <c r="X34387" s="231" t="n"/>
    </row>
    <row r="34388" ht="14.25" customHeight="1" s="192">
      <c r="W34388" s="33" t="n"/>
      <c r="X34388" s="33" t="n"/>
    </row>
    <row r="34390" ht="14.25" customHeight="1" s="192">
      <c r="W34390" s="231" t="n"/>
      <c r="X34390" s="231" t="n"/>
    </row>
    <row r="34391" ht="14.25" customHeight="1" s="192">
      <c r="W34391" s="235" t="n"/>
      <c r="X34391" s="235" t="n"/>
    </row>
    <row r="34392" ht="14.25" customHeight="1" s="192">
      <c r="W34392" s="228" t="n"/>
      <c r="X34392" s="228" t="n"/>
    </row>
    <row r="34393" ht="14.25" customHeight="1" s="192">
      <c r="W34393" s="235" t="n"/>
      <c r="X34393" s="235" t="n"/>
    </row>
    <row r="34394" ht="14.25" customHeight="1" s="192">
      <c r="W34394" s="235" t="n"/>
      <c r="X34394" s="235" t="n"/>
    </row>
    <row r="34395" ht="14.25" customHeight="1" s="192">
      <c r="W34395" s="235" t="n"/>
      <c r="X34395" s="235" t="n"/>
    </row>
    <row r="34396" ht="14.25" customHeight="1" s="192">
      <c r="W34396" s="239" t="n"/>
      <c r="X34396" s="239" t="n"/>
    </row>
    <row r="34397" ht="14.25" customHeight="1" s="192">
      <c r="W34397" s="239" t="n"/>
      <c r="X34397" s="239" t="n"/>
    </row>
    <row r="34398" ht="14.25" customHeight="1" s="192">
      <c r="W34398" s="239" t="n"/>
      <c r="X34398" s="239" t="n"/>
    </row>
    <row r="34399" ht="14.25" customHeight="1" s="192">
      <c r="W34399" s="235" t="n"/>
      <c r="X34399" s="235" t="n"/>
    </row>
    <row r="34400" ht="14.25" customHeight="1" s="192">
      <c r="W34400" s="235" t="n"/>
      <c r="X34400" s="235" t="n"/>
    </row>
    <row r="34401" ht="14.25" customHeight="1" s="192">
      <c r="W34401" s="235" t="n"/>
      <c r="X34401" s="235" t="n"/>
    </row>
    <row r="34402" ht="14.25" customHeight="1" s="192">
      <c r="W34402" s="239" t="n"/>
      <c r="X34402" s="239" t="n"/>
    </row>
    <row r="34403" ht="14.25" customHeight="1" s="192">
      <c r="W34403" s="239" t="n"/>
      <c r="X34403" s="239" t="n"/>
    </row>
    <row r="34404" ht="14.25" customHeight="1" s="192">
      <c r="W34404" s="235" t="n"/>
      <c r="X34404" s="235" t="n"/>
    </row>
    <row r="34405" ht="14.25" customHeight="1" s="192">
      <c r="W34405" s="235" t="n"/>
      <c r="X34405" s="235" t="n"/>
    </row>
    <row r="34406" ht="14.25" customHeight="1" s="192">
      <c r="W34406" s="239" t="n"/>
      <c r="X34406" s="239" t="n"/>
    </row>
    <row r="34407" ht="14.25" customHeight="1" s="192">
      <c r="W34407" s="235" t="n"/>
      <c r="X34407" s="235" t="n"/>
    </row>
    <row r="34408" ht="14.25" customHeight="1" s="192">
      <c r="W34408" s="239" t="n"/>
      <c r="X34408" s="239" t="n"/>
    </row>
    <row r="34410" ht="14.25" customHeight="1" s="192">
      <c r="W34410" s="235" t="n"/>
      <c r="X34410" s="235" t="n"/>
    </row>
    <row r="34411" ht="15" customHeight="1" s="192" thickBot="1">
      <c r="W34411" s="239" t="n"/>
      <c r="X34411" s="239" t="n"/>
    </row>
    <row r="34412" ht="15" customHeight="1" s="192" thickBot="1">
      <c r="W34412" s="45" t="n"/>
      <c r="X34412" s="45" t="n"/>
    </row>
    <row r="34413" ht="14.25" customHeight="1" s="192">
      <c r="W34413" s="228" t="n"/>
      <c r="X34413" s="228" t="n"/>
    </row>
    <row r="34414" ht="14.25" customHeight="1" s="192">
      <c r="W34414" s="228" t="n"/>
      <c r="X34414" s="228" t="n"/>
    </row>
    <row r="34415" ht="14.25" customHeight="1" s="192">
      <c r="W34415" s="231" t="n"/>
      <c r="X34415" s="231" t="n"/>
    </row>
    <row r="34416" ht="14.25" customHeight="1" s="192">
      <c r="W34416" s="33" t="n"/>
      <c r="X34416" s="33" t="n"/>
    </row>
    <row r="34417" ht="14.25" customHeight="1" s="192">
      <c r="W34417" s="231" t="n"/>
      <c r="X34417" s="231" t="n"/>
    </row>
    <row r="34418" ht="14.25" customHeight="1" s="192">
      <c r="W34418" s="33" t="n"/>
      <c r="X34418" s="33" t="n"/>
    </row>
    <row r="34420" ht="14.25" customHeight="1" s="192">
      <c r="W34420" s="231" t="n"/>
      <c r="X34420" s="231" t="n"/>
    </row>
    <row r="34421" ht="14.25" customHeight="1" s="192">
      <c r="W34421" s="235" t="n"/>
      <c r="X34421" s="235" t="n"/>
    </row>
    <row r="34422" ht="14.25" customHeight="1" s="192">
      <c r="W34422" s="228" t="n"/>
      <c r="X34422" s="228" t="n"/>
    </row>
    <row r="34423" ht="14.25" customHeight="1" s="192">
      <c r="W34423" s="235" t="n"/>
      <c r="X34423" s="235" t="n"/>
    </row>
    <row r="34424" ht="14.25" customHeight="1" s="192">
      <c r="W34424" s="235" t="n"/>
      <c r="X34424" s="235" t="n"/>
    </row>
    <row r="34425" ht="14.25" customHeight="1" s="192">
      <c r="W34425" s="235" t="n"/>
      <c r="X34425" s="235" t="n"/>
    </row>
    <row r="34426" ht="14.25" customHeight="1" s="192">
      <c r="W34426" s="239" t="n"/>
      <c r="X34426" s="239" t="n"/>
    </row>
    <row r="34427" ht="14.25" customHeight="1" s="192">
      <c r="W34427" s="239" t="n"/>
      <c r="X34427" s="239" t="n"/>
    </row>
    <row r="34428" ht="14.25" customHeight="1" s="192">
      <c r="W34428" s="239" t="n"/>
      <c r="X34428" s="239" t="n"/>
    </row>
    <row r="34429" ht="14.25" customHeight="1" s="192">
      <c r="W34429" s="235" t="n"/>
      <c r="X34429" s="235" t="n"/>
    </row>
    <row r="34430" ht="14.25" customHeight="1" s="192">
      <c r="W34430" s="235" t="n"/>
      <c r="X34430" s="235" t="n"/>
    </row>
    <row r="34431" ht="14.25" customHeight="1" s="192">
      <c r="W34431" s="235" t="n"/>
      <c r="X34431" s="235" t="n"/>
    </row>
    <row r="34432" ht="14.25" customHeight="1" s="192">
      <c r="W34432" s="239" t="n"/>
      <c r="X34432" s="239" t="n"/>
    </row>
    <row r="34433" ht="14.25" customHeight="1" s="192">
      <c r="W34433" s="239" t="n"/>
      <c r="X34433" s="239" t="n"/>
    </row>
    <row r="34434" ht="14.25" customHeight="1" s="192">
      <c r="W34434" s="235" t="n"/>
      <c r="X34434" s="235" t="n"/>
    </row>
    <row r="34435" ht="14.25" customHeight="1" s="192">
      <c r="W34435" s="235" t="n"/>
      <c r="X34435" s="235" t="n"/>
    </row>
    <row r="34436" ht="14.25" customHeight="1" s="192">
      <c r="W34436" s="239" t="n"/>
      <c r="X34436" s="239" t="n"/>
    </row>
    <row r="34437" ht="14.25" customHeight="1" s="192">
      <c r="W34437" s="235" t="n"/>
      <c r="X34437" s="235" t="n"/>
    </row>
    <row r="34438" ht="14.25" customHeight="1" s="192">
      <c r="W34438" s="239" t="n"/>
      <c r="X34438" s="239" t="n"/>
    </row>
    <row r="34440" ht="14.25" customHeight="1" s="192">
      <c r="W34440" s="235" t="n"/>
      <c r="X34440" s="235" t="n"/>
    </row>
    <row r="34441" ht="15" customHeight="1" s="192" thickBot="1">
      <c r="W34441" s="239" t="n"/>
      <c r="X34441" s="239" t="n"/>
    </row>
    <row r="34442" ht="15" customHeight="1" s="192" thickBot="1">
      <c r="W34442" s="45" t="n"/>
      <c r="X34442" s="45" t="n"/>
    </row>
    <row r="34443" ht="14.25" customHeight="1" s="192">
      <c r="W34443" s="228" t="n"/>
      <c r="X34443" s="228" t="n"/>
    </row>
    <row r="34444" ht="14.25" customHeight="1" s="192">
      <c r="W34444" s="228" t="n"/>
      <c r="X34444" s="228" t="n"/>
    </row>
    <row r="34445" ht="14.25" customHeight="1" s="192">
      <c r="W34445" s="231" t="n"/>
      <c r="X34445" s="231" t="n"/>
    </row>
    <row r="34446" ht="14.25" customHeight="1" s="192">
      <c r="W34446" s="33" t="n"/>
      <c r="X34446" s="33" t="n"/>
    </row>
    <row r="34447" ht="14.25" customHeight="1" s="192">
      <c r="W34447" s="231" t="n"/>
      <c r="X34447" s="231" t="n"/>
    </row>
    <row r="34448" ht="14.25" customHeight="1" s="192">
      <c r="W34448" s="33" t="n"/>
      <c r="X34448" s="33" t="n"/>
    </row>
    <row r="34450" ht="14.25" customHeight="1" s="192">
      <c r="W34450" s="231" t="n"/>
      <c r="X34450" s="231" t="n"/>
    </row>
    <row r="34451" ht="14.25" customHeight="1" s="192">
      <c r="W34451" s="235" t="n"/>
      <c r="X34451" s="235" t="n"/>
    </row>
    <row r="34452" ht="14.25" customHeight="1" s="192">
      <c r="W34452" s="228" t="n"/>
      <c r="X34452" s="228" t="n"/>
    </row>
    <row r="34453" ht="14.25" customHeight="1" s="192">
      <c r="W34453" s="235" t="n"/>
      <c r="X34453" s="235" t="n"/>
    </row>
    <row r="34454" ht="14.25" customHeight="1" s="192">
      <c r="W34454" s="235" t="n"/>
      <c r="X34454" s="235" t="n"/>
    </row>
    <row r="34455" ht="14.25" customHeight="1" s="192">
      <c r="W34455" s="235" t="n"/>
      <c r="X34455" s="235" t="n"/>
    </row>
    <row r="34456" ht="14.25" customHeight="1" s="192">
      <c r="W34456" s="239" t="n"/>
      <c r="X34456" s="239" t="n"/>
    </row>
    <row r="34457" ht="14.25" customHeight="1" s="192">
      <c r="W34457" s="239" t="n"/>
      <c r="X34457" s="239" t="n"/>
    </row>
    <row r="34458" ht="14.25" customHeight="1" s="192">
      <c r="W34458" s="239" t="n"/>
      <c r="X34458" s="239" t="n"/>
    </row>
    <row r="34459" ht="14.25" customHeight="1" s="192">
      <c r="W34459" s="235" t="n"/>
      <c r="X34459" s="235" t="n"/>
    </row>
    <row r="34460" ht="14.25" customHeight="1" s="192">
      <c r="W34460" s="235" t="n"/>
      <c r="X34460" s="235" t="n"/>
    </row>
    <row r="34461" ht="14.25" customHeight="1" s="192">
      <c r="W34461" s="235" t="n"/>
      <c r="X34461" s="235" t="n"/>
    </row>
    <row r="34462" ht="14.25" customHeight="1" s="192">
      <c r="W34462" s="239" t="n"/>
      <c r="X34462" s="239" t="n"/>
    </row>
    <row r="34463" ht="14.25" customHeight="1" s="192">
      <c r="W34463" s="239" t="n"/>
      <c r="X34463" s="239" t="n"/>
    </row>
    <row r="34464" ht="14.25" customHeight="1" s="192">
      <c r="W34464" s="235" t="n"/>
      <c r="X34464" s="235" t="n"/>
    </row>
    <row r="34465" ht="14.25" customHeight="1" s="192">
      <c r="W34465" s="235" t="n"/>
      <c r="X34465" s="235" t="n"/>
    </row>
    <row r="34466" ht="14.25" customHeight="1" s="192">
      <c r="W34466" s="239" t="n"/>
      <c r="X34466" s="239" t="n"/>
    </row>
    <row r="34467" ht="14.25" customHeight="1" s="192">
      <c r="W34467" s="235" t="n"/>
      <c r="X34467" s="235" t="n"/>
    </row>
    <row r="34468" ht="14.25" customHeight="1" s="192">
      <c r="W34468" s="239" t="n"/>
      <c r="X34468" s="239" t="n"/>
    </row>
    <row r="34470" ht="14.25" customHeight="1" s="192">
      <c r="W34470" s="235" t="n"/>
      <c r="X34470" s="235" t="n"/>
    </row>
    <row r="34471" ht="15" customHeight="1" s="192" thickBot="1">
      <c r="W34471" s="239" t="n"/>
      <c r="X34471" s="239" t="n"/>
    </row>
    <row r="34472" ht="15" customHeight="1" s="192" thickBot="1">
      <c r="W34472" s="45" t="n"/>
      <c r="X34472" s="45" t="n"/>
    </row>
    <row r="34473" ht="14.25" customHeight="1" s="192">
      <c r="W34473" s="228" t="n"/>
      <c r="X34473" s="228" t="n"/>
    </row>
    <row r="34474" ht="14.25" customHeight="1" s="192">
      <c r="W34474" s="228" t="n"/>
      <c r="X34474" s="228" t="n"/>
    </row>
    <row r="34475" ht="14.25" customHeight="1" s="192">
      <c r="W34475" s="231" t="n"/>
      <c r="X34475" s="231" t="n"/>
    </row>
    <row r="34476" ht="14.25" customHeight="1" s="192">
      <c r="W34476" s="33" t="n"/>
      <c r="X34476" s="33" t="n"/>
    </row>
    <row r="34477" ht="14.25" customHeight="1" s="192">
      <c r="W34477" s="231" t="n"/>
      <c r="X34477" s="231" t="n"/>
    </row>
    <row r="34478" ht="14.25" customHeight="1" s="192">
      <c r="W34478" s="33" t="n"/>
      <c r="X34478" s="33" t="n"/>
    </row>
    <row r="34480" ht="14.25" customHeight="1" s="192">
      <c r="W34480" s="231" t="n"/>
      <c r="X34480" s="231" t="n"/>
    </row>
    <row r="34481" ht="14.25" customHeight="1" s="192">
      <c r="W34481" s="235" t="n"/>
      <c r="X34481" s="235" t="n"/>
    </row>
    <row r="34482" ht="14.25" customHeight="1" s="192">
      <c r="W34482" s="228" t="n"/>
      <c r="X34482" s="228" t="n"/>
    </row>
    <row r="34483" ht="14.25" customHeight="1" s="192">
      <c r="W34483" s="235" t="n"/>
      <c r="X34483" s="235" t="n"/>
    </row>
    <row r="34484" ht="14.25" customHeight="1" s="192">
      <c r="W34484" s="235" t="n"/>
      <c r="X34484" s="235" t="n"/>
    </row>
    <row r="34485" ht="14.25" customHeight="1" s="192">
      <c r="W34485" s="235" t="n"/>
      <c r="X34485" s="235" t="n"/>
    </row>
    <row r="34486" ht="14.25" customHeight="1" s="192">
      <c r="W34486" s="239" t="n"/>
      <c r="X34486" s="239" t="n"/>
    </row>
    <row r="34487" ht="14.25" customHeight="1" s="192">
      <c r="W34487" s="239" t="n"/>
      <c r="X34487" s="239" t="n"/>
    </row>
    <row r="34488" ht="14.25" customHeight="1" s="192">
      <c r="W34488" s="239" t="n"/>
      <c r="X34488" s="239" t="n"/>
    </row>
    <row r="34489" ht="14.25" customHeight="1" s="192">
      <c r="W34489" s="235" t="n"/>
      <c r="X34489" s="235" t="n"/>
    </row>
    <row r="34490" ht="14.25" customHeight="1" s="192">
      <c r="W34490" s="235" t="n"/>
      <c r="X34490" s="235" t="n"/>
    </row>
    <row r="34491" ht="14.25" customHeight="1" s="192">
      <c r="W34491" s="235" t="n"/>
      <c r="X34491" s="235" t="n"/>
    </row>
    <row r="34492" ht="14.25" customHeight="1" s="192">
      <c r="W34492" s="239" t="n"/>
      <c r="X34492" s="239" t="n"/>
    </row>
    <row r="34493" ht="14.25" customHeight="1" s="192">
      <c r="W34493" s="239" t="n"/>
      <c r="X34493" s="239" t="n"/>
    </row>
    <row r="34494" ht="14.25" customHeight="1" s="192">
      <c r="W34494" s="235" t="n"/>
      <c r="X34494" s="235" t="n"/>
    </row>
    <row r="34495" ht="14.25" customHeight="1" s="192">
      <c r="W34495" s="235" t="n"/>
      <c r="X34495" s="235" t="n"/>
    </row>
    <row r="34496" ht="14.25" customHeight="1" s="192">
      <c r="W34496" s="239" t="n"/>
      <c r="X34496" s="239" t="n"/>
    </row>
    <row r="34497" ht="14.25" customHeight="1" s="192">
      <c r="W34497" s="235" t="n"/>
      <c r="X34497" s="235" t="n"/>
    </row>
    <row r="34498" ht="14.25" customHeight="1" s="192">
      <c r="W34498" s="239" t="n"/>
      <c r="X34498" s="239" t="n"/>
    </row>
    <row r="34500" ht="14.25" customHeight="1" s="192">
      <c r="W34500" s="235" t="n"/>
      <c r="X34500" s="235" t="n"/>
    </row>
    <row r="34501" ht="15" customHeight="1" s="192" thickBot="1">
      <c r="W34501" s="239" t="n"/>
      <c r="X34501" s="239" t="n"/>
    </row>
    <row r="34502" ht="15" customHeight="1" s="192" thickBot="1">
      <c r="W34502" s="45" t="n"/>
      <c r="X34502" s="45" t="n"/>
    </row>
    <row r="34503" ht="14.25" customHeight="1" s="192">
      <c r="W34503" s="228" t="n"/>
      <c r="X34503" s="228" t="n"/>
    </row>
    <row r="34504" ht="14.25" customHeight="1" s="192">
      <c r="W34504" s="228" t="n"/>
      <c r="X34504" s="228" t="n"/>
    </row>
    <row r="34505" ht="14.25" customHeight="1" s="192">
      <c r="W34505" s="231" t="n"/>
      <c r="X34505" s="231" t="n"/>
    </row>
    <row r="34506" ht="14.25" customHeight="1" s="192">
      <c r="W34506" s="33" t="n"/>
      <c r="X34506" s="33" t="n"/>
    </row>
    <row r="34507" ht="14.25" customHeight="1" s="192">
      <c r="W34507" s="231" t="n"/>
      <c r="X34507" s="231" t="n"/>
    </row>
    <row r="34508" ht="14.25" customHeight="1" s="192">
      <c r="W34508" s="33" t="n"/>
      <c r="X34508" s="33" t="n"/>
    </row>
    <row r="34510" ht="14.25" customHeight="1" s="192">
      <c r="W34510" s="231" t="n"/>
      <c r="X34510" s="231" t="n"/>
    </row>
    <row r="34511" ht="14.25" customHeight="1" s="192">
      <c r="W34511" s="235" t="n"/>
      <c r="X34511" s="235" t="n"/>
    </row>
    <row r="34512" ht="14.25" customHeight="1" s="192">
      <c r="W34512" s="228" t="n"/>
      <c r="X34512" s="228" t="n"/>
    </row>
    <row r="34513" ht="14.25" customHeight="1" s="192">
      <c r="W34513" s="235" t="n"/>
      <c r="X34513" s="235" t="n"/>
    </row>
    <row r="34514" ht="14.25" customHeight="1" s="192">
      <c r="W34514" s="235" t="n"/>
      <c r="X34514" s="235" t="n"/>
    </row>
    <row r="34515" ht="14.25" customHeight="1" s="192">
      <c r="W34515" s="235" t="n"/>
      <c r="X34515" s="235" t="n"/>
    </row>
    <row r="34516" ht="14.25" customHeight="1" s="192">
      <c r="W34516" s="239" t="n"/>
      <c r="X34516" s="239" t="n"/>
    </row>
    <row r="34517" ht="14.25" customHeight="1" s="192">
      <c r="W34517" s="239" t="n"/>
      <c r="X34517" s="239" t="n"/>
    </row>
    <row r="34518" ht="14.25" customHeight="1" s="192">
      <c r="W34518" s="239" t="n"/>
      <c r="X34518" s="239" t="n"/>
    </row>
    <row r="34519" ht="14.25" customHeight="1" s="192">
      <c r="W34519" s="235" t="n"/>
      <c r="X34519" s="235" t="n"/>
    </row>
    <row r="34520" ht="14.25" customHeight="1" s="192">
      <c r="W34520" s="235" t="n"/>
      <c r="X34520" s="235" t="n"/>
    </row>
    <row r="34521" ht="14.25" customHeight="1" s="192">
      <c r="W34521" s="235" t="n"/>
      <c r="X34521" s="235" t="n"/>
    </row>
    <row r="34522" ht="14.25" customHeight="1" s="192">
      <c r="W34522" s="239" t="n"/>
      <c r="X34522" s="239" t="n"/>
    </row>
    <row r="34523" ht="14.25" customHeight="1" s="192">
      <c r="W34523" s="239" t="n"/>
      <c r="X34523" s="239" t="n"/>
    </row>
    <row r="34524" ht="14.25" customHeight="1" s="192">
      <c r="W34524" s="235" t="n"/>
      <c r="X34524" s="235" t="n"/>
    </row>
    <row r="34525" ht="14.25" customHeight="1" s="192">
      <c r="W34525" s="235" t="n"/>
      <c r="X34525" s="235" t="n"/>
    </row>
    <row r="34526" ht="14.25" customHeight="1" s="192">
      <c r="W34526" s="239" t="n"/>
      <c r="X34526" s="239" t="n"/>
    </row>
    <row r="34527" ht="14.25" customHeight="1" s="192">
      <c r="W34527" s="235" t="n"/>
      <c r="X34527" s="235" t="n"/>
    </row>
    <row r="34528" ht="14.25" customHeight="1" s="192">
      <c r="W34528" s="239" t="n"/>
      <c r="X34528" s="239" t="n"/>
    </row>
    <row r="34530" ht="14.25" customHeight="1" s="192">
      <c r="W34530" s="235" t="n"/>
      <c r="X34530" s="235" t="n"/>
    </row>
    <row r="34531" ht="15" customHeight="1" s="192" thickBot="1">
      <c r="W34531" s="239" t="n"/>
      <c r="X34531" s="239" t="n"/>
    </row>
    <row r="34532" ht="15" customHeight="1" s="192" thickBot="1">
      <c r="W34532" s="45" t="n"/>
      <c r="X34532" s="45" t="n"/>
    </row>
    <row r="34533" ht="14.25" customHeight="1" s="192">
      <c r="W34533" s="228" t="n"/>
      <c r="X34533" s="228" t="n"/>
    </row>
    <row r="34534" ht="14.25" customHeight="1" s="192">
      <c r="W34534" s="228" t="n"/>
      <c r="X34534" s="228" t="n"/>
    </row>
    <row r="34535" ht="14.25" customHeight="1" s="192">
      <c r="W34535" s="231" t="n"/>
      <c r="X34535" s="231" t="n"/>
    </row>
    <row r="34536" ht="14.25" customHeight="1" s="192">
      <c r="W34536" s="33" t="n"/>
      <c r="X34536" s="33" t="n"/>
    </row>
    <row r="34537" ht="14.25" customHeight="1" s="192">
      <c r="W34537" s="231" t="n"/>
      <c r="X34537" s="231" t="n"/>
    </row>
    <row r="34538" ht="14.25" customHeight="1" s="192">
      <c r="W34538" s="33" t="n"/>
      <c r="X34538" s="33" t="n"/>
    </row>
    <row r="34540" ht="14.25" customHeight="1" s="192">
      <c r="W34540" s="231" t="n"/>
      <c r="X34540" s="231" t="n"/>
    </row>
    <row r="34541" ht="14.25" customHeight="1" s="192">
      <c r="W34541" s="235" t="n"/>
      <c r="X34541" s="235" t="n"/>
    </row>
    <row r="34542" ht="14.25" customHeight="1" s="192">
      <c r="W34542" s="228" t="n"/>
      <c r="X34542" s="228" t="n"/>
    </row>
    <row r="34543" ht="14.25" customHeight="1" s="192">
      <c r="W34543" s="235" t="n"/>
      <c r="X34543" s="235" t="n"/>
    </row>
    <row r="34544" ht="14.25" customHeight="1" s="192">
      <c r="W34544" s="235" t="n"/>
      <c r="X34544" s="235" t="n"/>
    </row>
    <row r="34545" ht="14.25" customHeight="1" s="192">
      <c r="W34545" s="235" t="n"/>
      <c r="X34545" s="235" t="n"/>
    </row>
    <row r="34546" ht="14.25" customHeight="1" s="192">
      <c r="W34546" s="239" t="n"/>
      <c r="X34546" s="239" t="n"/>
    </row>
    <row r="34547" ht="14.25" customHeight="1" s="192">
      <c r="W34547" s="239" t="n"/>
      <c r="X34547" s="239" t="n"/>
    </row>
    <row r="34548" ht="14.25" customHeight="1" s="192">
      <c r="W34548" s="239" t="n"/>
      <c r="X34548" s="239" t="n"/>
    </row>
    <row r="34549" ht="14.25" customHeight="1" s="192">
      <c r="W34549" s="235" t="n"/>
      <c r="X34549" s="235" t="n"/>
    </row>
    <row r="34550" ht="14.25" customHeight="1" s="192">
      <c r="W34550" s="235" t="n"/>
      <c r="X34550" s="235" t="n"/>
    </row>
    <row r="34551" ht="14.25" customHeight="1" s="192">
      <c r="W34551" s="235" t="n"/>
      <c r="X34551" s="235" t="n"/>
    </row>
    <row r="34552" ht="14.25" customHeight="1" s="192">
      <c r="W34552" s="239" t="n"/>
      <c r="X34552" s="239" t="n"/>
    </row>
    <row r="34553" ht="14.25" customHeight="1" s="192">
      <c r="W34553" s="239" t="n"/>
      <c r="X34553" s="239" t="n"/>
    </row>
    <row r="34554" ht="14.25" customHeight="1" s="192">
      <c r="W34554" s="235" t="n"/>
      <c r="X34554" s="235" t="n"/>
    </row>
    <row r="34555" ht="14.25" customHeight="1" s="192">
      <c r="W34555" s="235" t="n"/>
      <c r="X34555" s="235" t="n"/>
    </row>
    <row r="34556" ht="14.25" customHeight="1" s="192">
      <c r="W34556" s="239" t="n"/>
      <c r="X34556" s="239" t="n"/>
    </row>
    <row r="34557" ht="14.25" customHeight="1" s="192">
      <c r="W34557" s="235" t="n"/>
      <c r="X34557" s="235" t="n"/>
    </row>
    <row r="34558" ht="14.25" customHeight="1" s="192">
      <c r="W34558" s="239" t="n"/>
      <c r="X34558" s="239" t="n"/>
    </row>
    <row r="34560" ht="14.25" customHeight="1" s="192">
      <c r="W34560" s="235" t="n"/>
      <c r="X34560" s="235" t="n"/>
    </row>
    <row r="34561" ht="15" customHeight="1" s="192" thickBot="1">
      <c r="W34561" s="239" t="n"/>
      <c r="X34561" s="239" t="n"/>
    </row>
    <row r="34562" ht="15" customHeight="1" s="192" thickBot="1">
      <c r="W34562" s="45" t="n"/>
      <c r="X34562" s="45" t="n"/>
    </row>
    <row r="34563" ht="14.25" customHeight="1" s="192">
      <c r="W34563" s="228" t="n"/>
      <c r="X34563" s="228" t="n"/>
    </row>
    <row r="34564" ht="14.25" customHeight="1" s="192">
      <c r="W34564" s="228" t="n"/>
      <c r="X34564" s="228" t="n"/>
    </row>
    <row r="34565" ht="14.25" customHeight="1" s="192">
      <c r="W34565" s="231" t="n"/>
      <c r="X34565" s="231" t="n"/>
    </row>
    <row r="34566" ht="14.25" customHeight="1" s="192">
      <c r="W34566" s="33" t="n"/>
      <c r="X34566" s="33" t="n"/>
    </row>
    <row r="34567" ht="14.25" customHeight="1" s="192">
      <c r="W34567" s="231" t="n"/>
      <c r="X34567" s="231" t="n"/>
    </row>
    <row r="34568" ht="14.25" customHeight="1" s="192">
      <c r="W34568" s="33" t="n"/>
      <c r="X34568" s="33" t="n"/>
    </row>
    <row r="34570" ht="14.25" customHeight="1" s="192">
      <c r="W34570" s="231" t="n"/>
      <c r="X34570" s="231" t="n"/>
    </row>
    <row r="34571" ht="14.25" customHeight="1" s="192">
      <c r="W34571" s="235" t="n"/>
      <c r="X34571" s="235" t="n"/>
    </row>
    <row r="34572" ht="14.25" customHeight="1" s="192">
      <c r="W34572" s="228" t="n"/>
      <c r="X34572" s="228" t="n"/>
    </row>
    <row r="34573" ht="14.25" customHeight="1" s="192">
      <c r="W34573" s="235" t="n"/>
      <c r="X34573" s="235" t="n"/>
    </row>
    <row r="34574" ht="14.25" customHeight="1" s="192">
      <c r="W34574" s="235" t="n"/>
      <c r="X34574" s="235" t="n"/>
    </row>
    <row r="34575" ht="14.25" customHeight="1" s="192">
      <c r="W34575" s="235" t="n"/>
      <c r="X34575" s="235" t="n"/>
    </row>
    <row r="34576" ht="14.25" customHeight="1" s="192">
      <c r="W34576" s="239" t="n"/>
      <c r="X34576" s="239" t="n"/>
    </row>
    <row r="34577" ht="14.25" customHeight="1" s="192">
      <c r="W34577" s="239" t="n"/>
      <c r="X34577" s="239" t="n"/>
    </row>
    <row r="34578" ht="14.25" customHeight="1" s="192">
      <c r="W34578" s="239" t="n"/>
      <c r="X34578" s="239" t="n"/>
    </row>
    <row r="34579" ht="14.25" customHeight="1" s="192">
      <c r="W34579" s="235" t="n"/>
      <c r="X34579" s="235" t="n"/>
    </row>
    <row r="34580" ht="14.25" customHeight="1" s="192">
      <c r="W34580" s="235" t="n"/>
      <c r="X34580" s="235" t="n"/>
    </row>
    <row r="34581" ht="14.25" customHeight="1" s="192">
      <c r="W34581" s="235" t="n"/>
      <c r="X34581" s="235" t="n"/>
    </row>
    <row r="34582" ht="14.25" customHeight="1" s="192">
      <c r="W34582" s="239" t="n"/>
      <c r="X34582" s="239" t="n"/>
    </row>
    <row r="34583" ht="14.25" customHeight="1" s="192">
      <c r="W34583" s="239" t="n"/>
      <c r="X34583" s="239" t="n"/>
    </row>
    <row r="34584" ht="14.25" customHeight="1" s="192">
      <c r="W34584" s="235" t="n"/>
      <c r="X34584" s="235" t="n"/>
    </row>
    <row r="34585" ht="14.25" customHeight="1" s="192">
      <c r="W34585" s="235" t="n"/>
      <c r="X34585" s="235" t="n"/>
    </row>
    <row r="34586" ht="14.25" customHeight="1" s="192">
      <c r="W34586" s="239" t="n"/>
      <c r="X34586" s="239" t="n"/>
    </row>
    <row r="34587" ht="14.25" customHeight="1" s="192">
      <c r="W34587" s="235" t="n"/>
      <c r="X34587" s="235" t="n"/>
    </row>
    <row r="34588" ht="14.25" customHeight="1" s="192">
      <c r="W34588" s="239" t="n"/>
      <c r="X34588" s="239" t="n"/>
    </row>
    <row r="34590" ht="14.25" customHeight="1" s="192">
      <c r="W34590" s="235" t="n"/>
      <c r="X34590" s="235" t="n"/>
    </row>
    <row r="34591" ht="15" customHeight="1" s="192" thickBot="1">
      <c r="W34591" s="239" t="n"/>
      <c r="X34591" s="239" t="n"/>
    </row>
    <row r="34592" ht="15" customHeight="1" s="192" thickBot="1">
      <c r="W34592" s="45" t="n"/>
      <c r="X34592" s="45" t="n"/>
    </row>
    <row r="34593" ht="14.25" customHeight="1" s="192">
      <c r="W34593" s="228" t="n"/>
      <c r="X34593" s="228" t="n"/>
    </row>
    <row r="34594" ht="14.25" customHeight="1" s="192">
      <c r="W34594" s="228" t="n"/>
      <c r="X34594" s="228" t="n"/>
    </row>
    <row r="34595" ht="14.25" customHeight="1" s="192">
      <c r="W34595" s="231" t="n"/>
      <c r="X34595" s="231" t="n"/>
    </row>
    <row r="34596" ht="14.25" customHeight="1" s="192">
      <c r="W34596" s="33" t="n"/>
      <c r="X34596" s="33" t="n"/>
    </row>
    <row r="34597" ht="14.25" customHeight="1" s="192">
      <c r="W34597" s="231" t="n"/>
      <c r="X34597" s="231" t="n"/>
    </row>
    <row r="34598" ht="14.25" customHeight="1" s="192">
      <c r="W34598" s="33" t="n"/>
      <c r="X34598" s="33" t="n"/>
    </row>
    <row r="34600" ht="14.25" customHeight="1" s="192">
      <c r="W34600" s="231" t="n"/>
      <c r="X34600" s="231" t="n"/>
    </row>
    <row r="34601" ht="14.25" customHeight="1" s="192">
      <c r="W34601" s="235" t="n"/>
      <c r="X34601" s="235" t="n"/>
    </row>
    <row r="34602" ht="14.25" customHeight="1" s="192">
      <c r="W34602" s="228" t="n"/>
      <c r="X34602" s="228" t="n"/>
    </row>
    <row r="34603" ht="14.25" customHeight="1" s="192">
      <c r="W34603" s="235" t="n"/>
      <c r="X34603" s="235" t="n"/>
    </row>
    <row r="34604" ht="14.25" customHeight="1" s="192">
      <c r="W34604" s="235" t="n"/>
      <c r="X34604" s="235" t="n"/>
    </row>
    <row r="34605" ht="14.25" customHeight="1" s="192">
      <c r="W34605" s="235" t="n"/>
      <c r="X34605" s="235" t="n"/>
    </row>
    <row r="34606" ht="14.25" customHeight="1" s="192">
      <c r="W34606" s="239" t="n"/>
      <c r="X34606" s="239" t="n"/>
    </row>
    <row r="34607" ht="14.25" customHeight="1" s="192">
      <c r="W34607" s="239" t="n"/>
      <c r="X34607" s="239" t="n"/>
    </row>
    <row r="34608" ht="14.25" customHeight="1" s="192">
      <c r="W34608" s="239" t="n"/>
      <c r="X34608" s="239" t="n"/>
    </row>
    <row r="34609" ht="14.25" customHeight="1" s="192">
      <c r="W34609" s="235" t="n"/>
      <c r="X34609" s="235" t="n"/>
    </row>
    <row r="34610" ht="14.25" customHeight="1" s="192">
      <c r="W34610" s="235" t="n"/>
      <c r="X34610" s="235" t="n"/>
    </row>
    <row r="34611" ht="14.25" customHeight="1" s="192">
      <c r="W34611" s="235" t="n"/>
      <c r="X34611" s="235" t="n"/>
    </row>
    <row r="34612" ht="14.25" customHeight="1" s="192">
      <c r="W34612" s="239" t="n"/>
      <c r="X34612" s="239" t="n"/>
    </row>
    <row r="34613" ht="14.25" customHeight="1" s="192">
      <c r="W34613" s="239" t="n"/>
      <c r="X34613" s="239" t="n"/>
    </row>
    <row r="34614" ht="14.25" customHeight="1" s="192">
      <c r="W34614" s="235" t="n"/>
      <c r="X34614" s="235" t="n"/>
    </row>
    <row r="34615" ht="14.25" customHeight="1" s="192">
      <c r="W34615" s="235" t="n"/>
      <c r="X34615" s="235" t="n"/>
    </row>
    <row r="34616" ht="14.25" customHeight="1" s="192">
      <c r="W34616" s="239" t="n"/>
      <c r="X34616" s="239" t="n"/>
    </row>
    <row r="34617" ht="14.25" customHeight="1" s="192">
      <c r="W34617" s="235" t="n"/>
      <c r="X34617" s="235" t="n"/>
    </row>
    <row r="34618" ht="14.25" customHeight="1" s="192">
      <c r="W34618" s="239" t="n"/>
      <c r="X34618" s="239" t="n"/>
    </row>
    <row r="34620" ht="14.25" customHeight="1" s="192">
      <c r="W34620" s="235" t="n"/>
      <c r="X34620" s="235" t="n"/>
    </row>
    <row r="34621" ht="15" customHeight="1" s="192" thickBot="1">
      <c r="W34621" s="239" t="n"/>
      <c r="X34621" s="239" t="n"/>
    </row>
    <row r="34622" ht="15" customHeight="1" s="192" thickBot="1">
      <c r="W34622" s="45" t="n"/>
      <c r="X34622" s="45" t="n"/>
    </row>
    <row r="34623" ht="14.25" customHeight="1" s="192">
      <c r="W34623" s="228" t="n"/>
      <c r="X34623" s="228" t="n"/>
    </row>
    <row r="34624" ht="14.25" customHeight="1" s="192">
      <c r="W34624" s="228" t="n"/>
      <c r="X34624" s="228" t="n"/>
    </row>
    <row r="34625" ht="14.25" customHeight="1" s="192">
      <c r="W34625" s="231" t="n"/>
      <c r="X34625" s="231" t="n"/>
    </row>
    <row r="34626" ht="14.25" customHeight="1" s="192">
      <c r="W34626" s="33" t="n"/>
      <c r="X34626" s="33" t="n"/>
    </row>
    <row r="34627" ht="14.25" customHeight="1" s="192">
      <c r="W34627" s="231" t="n"/>
      <c r="X34627" s="231" t="n"/>
    </row>
    <row r="34628" ht="14.25" customHeight="1" s="192">
      <c r="W34628" s="33" t="n"/>
      <c r="X34628" s="33" t="n"/>
    </row>
    <row r="34630" ht="14.25" customHeight="1" s="192">
      <c r="W34630" s="231" t="n"/>
      <c r="X34630" s="231" t="n"/>
    </row>
    <row r="34631" ht="14.25" customHeight="1" s="192">
      <c r="W34631" s="235" t="n"/>
      <c r="X34631" s="235" t="n"/>
    </row>
    <row r="34632" ht="14.25" customHeight="1" s="192">
      <c r="W34632" s="228" t="n"/>
      <c r="X34632" s="228" t="n"/>
    </row>
    <row r="34633" ht="14.25" customHeight="1" s="192">
      <c r="W34633" s="235" t="n"/>
      <c r="X34633" s="235" t="n"/>
    </row>
    <row r="34634" ht="14.25" customHeight="1" s="192">
      <c r="W34634" s="235" t="n"/>
      <c r="X34634" s="235" t="n"/>
    </row>
    <row r="34635" ht="14.25" customHeight="1" s="192">
      <c r="W34635" s="235" t="n"/>
      <c r="X34635" s="235" t="n"/>
    </row>
    <row r="34636" ht="14.25" customHeight="1" s="192">
      <c r="W34636" s="239" t="n"/>
      <c r="X34636" s="239" t="n"/>
    </row>
    <row r="34637" ht="14.25" customHeight="1" s="192">
      <c r="W34637" s="239" t="n"/>
      <c r="X34637" s="239" t="n"/>
    </row>
    <row r="34638" ht="14.25" customHeight="1" s="192">
      <c r="W34638" s="239" t="n"/>
      <c r="X34638" s="239" t="n"/>
    </row>
    <row r="34639" ht="14.25" customHeight="1" s="192">
      <c r="W34639" s="235" t="n"/>
      <c r="X34639" s="235" t="n"/>
    </row>
    <row r="34640" ht="14.25" customHeight="1" s="192">
      <c r="W34640" s="235" t="n"/>
      <c r="X34640" s="235" t="n"/>
    </row>
    <row r="34641" ht="14.25" customHeight="1" s="192">
      <c r="W34641" s="235" t="n"/>
      <c r="X34641" s="235" t="n"/>
    </row>
    <row r="34642" ht="14.25" customHeight="1" s="192">
      <c r="W34642" s="239" t="n"/>
      <c r="X34642" s="239" t="n"/>
    </row>
    <row r="34643" ht="14.25" customHeight="1" s="192">
      <c r="W34643" s="239" t="n"/>
      <c r="X34643" s="239" t="n"/>
    </row>
    <row r="34644" ht="14.25" customHeight="1" s="192">
      <c r="W34644" s="235" t="n"/>
      <c r="X34644" s="235" t="n"/>
    </row>
    <row r="34645" ht="14.25" customHeight="1" s="192">
      <c r="W34645" s="235" t="n"/>
      <c r="X34645" s="235" t="n"/>
    </row>
    <row r="34646" ht="14.25" customHeight="1" s="192">
      <c r="W34646" s="239" t="n"/>
      <c r="X34646" s="239" t="n"/>
    </row>
    <row r="34647" ht="14.25" customHeight="1" s="192">
      <c r="W34647" s="235" t="n"/>
      <c r="X34647" s="235" t="n"/>
    </row>
    <row r="34648" ht="14.25" customHeight="1" s="192">
      <c r="W34648" s="239" t="n"/>
      <c r="X34648" s="239" t="n"/>
    </row>
    <row r="34650" ht="14.25" customHeight="1" s="192">
      <c r="W34650" s="235" t="n"/>
      <c r="X34650" s="235" t="n"/>
    </row>
    <row r="34651" ht="15" customHeight="1" s="192" thickBot="1">
      <c r="W34651" s="239" t="n"/>
      <c r="X34651" s="239" t="n"/>
    </row>
    <row r="34652" ht="15" customHeight="1" s="192" thickBot="1">
      <c r="W34652" s="45" t="n"/>
      <c r="X34652" s="45" t="n"/>
    </row>
    <row r="34653" ht="14.25" customHeight="1" s="192">
      <c r="W34653" s="228" t="n"/>
      <c r="X34653" s="228" t="n"/>
    </row>
    <row r="34654" ht="14.25" customHeight="1" s="192">
      <c r="W34654" s="228" t="n"/>
      <c r="X34654" s="228" t="n"/>
    </row>
    <row r="34655" ht="14.25" customHeight="1" s="192">
      <c r="W34655" s="231" t="n"/>
      <c r="X34655" s="231" t="n"/>
    </row>
    <row r="34656" ht="14.25" customHeight="1" s="192">
      <c r="W34656" s="33" t="n"/>
      <c r="X34656" s="33" t="n"/>
    </row>
    <row r="34657" ht="14.25" customHeight="1" s="192">
      <c r="W34657" s="231" t="n"/>
      <c r="X34657" s="231" t="n"/>
    </row>
    <row r="34658" ht="14.25" customHeight="1" s="192">
      <c r="W34658" s="33" t="n"/>
      <c r="X34658" s="33" t="n"/>
    </row>
    <row r="34660" ht="14.25" customHeight="1" s="192">
      <c r="W34660" s="231" t="n"/>
      <c r="X34660" s="231" t="n"/>
    </row>
    <row r="34661" ht="14.25" customHeight="1" s="192">
      <c r="W34661" s="235" t="n"/>
      <c r="X34661" s="235" t="n"/>
    </row>
    <row r="34662" ht="14.25" customHeight="1" s="192">
      <c r="W34662" s="228" t="n"/>
      <c r="X34662" s="228" t="n"/>
    </row>
    <row r="34663" ht="14.25" customHeight="1" s="192">
      <c r="W34663" s="235" t="n"/>
      <c r="X34663" s="235" t="n"/>
    </row>
    <row r="34664" ht="14.25" customHeight="1" s="192">
      <c r="W34664" s="235" t="n"/>
      <c r="X34664" s="235" t="n"/>
    </row>
    <row r="34665" ht="14.25" customHeight="1" s="192">
      <c r="W34665" s="235" t="n"/>
      <c r="X34665" s="235" t="n"/>
    </row>
    <row r="34666" ht="14.25" customHeight="1" s="192">
      <c r="W34666" s="239" t="n"/>
      <c r="X34666" s="239" t="n"/>
    </row>
    <row r="34667" ht="14.25" customHeight="1" s="192">
      <c r="W34667" s="239" t="n"/>
      <c r="X34667" s="239" t="n"/>
    </row>
    <row r="34668" ht="14.25" customHeight="1" s="192">
      <c r="W34668" s="239" t="n"/>
      <c r="X34668" s="239" t="n"/>
    </row>
    <row r="34669" ht="14.25" customHeight="1" s="192">
      <c r="W34669" s="235" t="n"/>
      <c r="X34669" s="235" t="n"/>
    </row>
    <row r="34670" ht="14.25" customHeight="1" s="192">
      <c r="W34670" s="235" t="n"/>
      <c r="X34670" s="235" t="n"/>
    </row>
    <row r="34671" ht="14.25" customHeight="1" s="192">
      <c r="W34671" s="235" t="n"/>
      <c r="X34671" s="235" t="n"/>
    </row>
    <row r="34672" ht="14.25" customHeight="1" s="192">
      <c r="W34672" s="239" t="n"/>
      <c r="X34672" s="239" t="n"/>
    </row>
    <row r="34673" ht="14.25" customHeight="1" s="192">
      <c r="W34673" s="239" t="n"/>
      <c r="X34673" s="239" t="n"/>
    </row>
    <row r="34674" ht="14.25" customHeight="1" s="192">
      <c r="W34674" s="235" t="n"/>
      <c r="X34674" s="235" t="n"/>
    </row>
    <row r="34675" ht="14.25" customHeight="1" s="192">
      <c r="W34675" s="235" t="n"/>
      <c r="X34675" s="235" t="n"/>
    </row>
    <row r="34676" ht="14.25" customHeight="1" s="192">
      <c r="W34676" s="239" t="n"/>
      <c r="X34676" s="239" t="n"/>
    </row>
    <row r="34677" ht="14.25" customHeight="1" s="192">
      <c r="W34677" s="235" t="n"/>
      <c r="X34677" s="235" t="n"/>
    </row>
    <row r="34678" ht="14.25" customHeight="1" s="192">
      <c r="W34678" s="239" t="n"/>
      <c r="X34678" s="239" t="n"/>
    </row>
    <row r="34680" ht="14.25" customHeight="1" s="192">
      <c r="W34680" s="235" t="n"/>
      <c r="X34680" s="235" t="n"/>
    </row>
    <row r="34681" ht="15" customHeight="1" s="192" thickBot="1">
      <c r="W34681" s="239" t="n"/>
      <c r="X34681" s="239" t="n"/>
    </row>
    <row r="34682" ht="15" customHeight="1" s="192" thickBot="1">
      <c r="W34682" s="45" t="n"/>
      <c r="X34682" s="45" t="n"/>
    </row>
    <row r="34683" ht="14.25" customHeight="1" s="192">
      <c r="W34683" s="228" t="n"/>
      <c r="X34683" s="228" t="n"/>
    </row>
    <row r="34684" ht="14.25" customHeight="1" s="192">
      <c r="W34684" s="228" t="n"/>
      <c r="X34684" s="228" t="n"/>
    </row>
    <row r="34685" ht="14.25" customHeight="1" s="192">
      <c r="W34685" s="231" t="n"/>
      <c r="X34685" s="231" t="n"/>
    </row>
    <row r="34686" ht="14.25" customHeight="1" s="192">
      <c r="W34686" s="33" t="n"/>
      <c r="X34686" s="33" t="n"/>
    </row>
    <row r="34687" ht="14.25" customHeight="1" s="192">
      <c r="W34687" s="231" t="n"/>
      <c r="X34687" s="231" t="n"/>
    </row>
    <row r="34688" ht="14.25" customHeight="1" s="192">
      <c r="W34688" s="33" t="n"/>
      <c r="X34688" s="33" t="n"/>
    </row>
    <row r="34690" ht="14.25" customHeight="1" s="192">
      <c r="W34690" s="231" t="n"/>
      <c r="X34690" s="231" t="n"/>
    </row>
    <row r="34691" ht="14.25" customHeight="1" s="192">
      <c r="W34691" s="235" t="n"/>
      <c r="X34691" s="235" t="n"/>
    </row>
    <row r="34692" ht="14.25" customHeight="1" s="192">
      <c r="W34692" s="228" t="n"/>
      <c r="X34692" s="228" t="n"/>
    </row>
    <row r="34693" ht="14.25" customHeight="1" s="192">
      <c r="W34693" s="235" t="n"/>
      <c r="X34693" s="235" t="n"/>
    </row>
    <row r="34694" ht="14.25" customHeight="1" s="192">
      <c r="W34694" s="235" t="n"/>
      <c r="X34694" s="235" t="n"/>
    </row>
    <row r="34695" ht="14.25" customHeight="1" s="192">
      <c r="W34695" s="235" t="n"/>
      <c r="X34695" s="235" t="n"/>
    </row>
    <row r="34696" ht="14.25" customHeight="1" s="192">
      <c r="W34696" s="239" t="n"/>
      <c r="X34696" s="239" t="n"/>
    </row>
    <row r="34697" ht="14.25" customHeight="1" s="192">
      <c r="W34697" s="239" t="n"/>
      <c r="X34697" s="239" t="n"/>
    </row>
    <row r="34698" ht="14.25" customHeight="1" s="192">
      <c r="W34698" s="239" t="n"/>
      <c r="X34698" s="239" t="n"/>
    </row>
    <row r="34699" ht="14.25" customHeight="1" s="192">
      <c r="W34699" s="235" t="n"/>
      <c r="X34699" s="235" t="n"/>
    </row>
    <row r="34700" ht="14.25" customHeight="1" s="192">
      <c r="W34700" s="235" t="n"/>
      <c r="X34700" s="235" t="n"/>
    </row>
    <row r="34701" ht="14.25" customHeight="1" s="192">
      <c r="W34701" s="235" t="n"/>
      <c r="X34701" s="235" t="n"/>
    </row>
    <row r="34702" ht="14.25" customHeight="1" s="192">
      <c r="W34702" s="239" t="n"/>
      <c r="X34702" s="239" t="n"/>
    </row>
    <row r="34703" ht="14.25" customHeight="1" s="192">
      <c r="W34703" s="239" t="n"/>
      <c r="X34703" s="239" t="n"/>
    </row>
    <row r="34704" ht="14.25" customHeight="1" s="192">
      <c r="W34704" s="235" t="n"/>
      <c r="X34704" s="235" t="n"/>
    </row>
    <row r="34705" ht="14.25" customHeight="1" s="192">
      <c r="W34705" s="235" t="n"/>
      <c r="X34705" s="235" t="n"/>
    </row>
    <row r="34706" ht="14.25" customHeight="1" s="192">
      <c r="W34706" s="239" t="n"/>
      <c r="X34706" s="239" t="n"/>
    </row>
    <row r="34707" ht="14.25" customHeight="1" s="192">
      <c r="W34707" s="235" t="n"/>
      <c r="X34707" s="235" t="n"/>
    </row>
    <row r="34708" ht="14.25" customHeight="1" s="192">
      <c r="W34708" s="239" t="n"/>
      <c r="X34708" s="239" t="n"/>
    </row>
    <row r="34710" ht="14.25" customHeight="1" s="192">
      <c r="W34710" s="235" t="n"/>
      <c r="X34710" s="235" t="n"/>
    </row>
    <row r="34711" ht="15" customHeight="1" s="192" thickBot="1">
      <c r="W34711" s="239" t="n"/>
      <c r="X34711" s="239" t="n"/>
    </row>
    <row r="34712" ht="15" customHeight="1" s="192" thickBot="1">
      <c r="W34712" s="45" t="n"/>
      <c r="X34712" s="45" t="n"/>
    </row>
    <row r="34713" ht="14.25" customHeight="1" s="192">
      <c r="W34713" s="228" t="n"/>
      <c r="X34713" s="228" t="n"/>
    </row>
    <row r="34714" ht="14.25" customHeight="1" s="192">
      <c r="W34714" s="228" t="n"/>
      <c r="X34714" s="228" t="n"/>
    </row>
    <row r="34715" ht="14.25" customHeight="1" s="192">
      <c r="W34715" s="231" t="n"/>
      <c r="X34715" s="231" t="n"/>
    </row>
    <row r="34716" ht="14.25" customHeight="1" s="192">
      <c r="W34716" s="33" t="n"/>
      <c r="X34716" s="33" t="n"/>
    </row>
    <row r="34717" ht="14.25" customHeight="1" s="192">
      <c r="W34717" s="231" t="n"/>
      <c r="X34717" s="231" t="n"/>
    </row>
    <row r="34718" ht="14.25" customHeight="1" s="192">
      <c r="W34718" s="33" t="n"/>
      <c r="X34718" s="33" t="n"/>
    </row>
    <row r="34720" ht="14.25" customHeight="1" s="192">
      <c r="W34720" s="231" t="n"/>
      <c r="X34720" s="231" t="n"/>
    </row>
    <row r="34721" ht="14.25" customHeight="1" s="192">
      <c r="W34721" s="235" t="n"/>
      <c r="X34721" s="235" t="n"/>
    </row>
    <row r="34722" ht="14.25" customHeight="1" s="192">
      <c r="W34722" s="228" t="n"/>
      <c r="X34722" s="228" t="n"/>
    </row>
    <row r="34723" ht="14.25" customHeight="1" s="192">
      <c r="W34723" s="235" t="n"/>
      <c r="X34723" s="235" t="n"/>
    </row>
    <row r="34724" ht="14.25" customHeight="1" s="192">
      <c r="W34724" s="235" t="n"/>
      <c r="X34724" s="235" t="n"/>
    </row>
    <row r="34725" ht="14.25" customHeight="1" s="192">
      <c r="W34725" s="235" t="n"/>
      <c r="X34725" s="235" t="n"/>
    </row>
    <row r="34726" ht="14.25" customHeight="1" s="192">
      <c r="W34726" s="239" t="n"/>
      <c r="X34726" s="239" t="n"/>
    </row>
    <row r="34727" ht="14.25" customHeight="1" s="192">
      <c r="W34727" s="239" t="n"/>
      <c r="X34727" s="239" t="n"/>
    </row>
    <row r="34728" ht="14.25" customHeight="1" s="192">
      <c r="W34728" s="239" t="n"/>
      <c r="X34728" s="239" t="n"/>
    </row>
    <row r="34729" ht="14.25" customHeight="1" s="192">
      <c r="W34729" s="235" t="n"/>
      <c r="X34729" s="235" t="n"/>
    </row>
    <row r="34730" ht="14.25" customHeight="1" s="192">
      <c r="W34730" s="235" t="n"/>
      <c r="X34730" s="235" t="n"/>
    </row>
    <row r="34731" ht="14.25" customHeight="1" s="192">
      <c r="W34731" s="235" t="n"/>
      <c r="X34731" s="235" t="n"/>
    </row>
    <row r="34732" ht="14.25" customHeight="1" s="192">
      <c r="W34732" s="239" t="n"/>
      <c r="X34732" s="239" t="n"/>
    </row>
    <row r="34733" ht="14.25" customHeight="1" s="192">
      <c r="W34733" s="239" t="n"/>
      <c r="X34733" s="239" t="n"/>
    </row>
    <row r="34734" ht="14.25" customHeight="1" s="192">
      <c r="W34734" s="235" t="n"/>
      <c r="X34734" s="235" t="n"/>
    </row>
    <row r="34735" ht="14.25" customHeight="1" s="192">
      <c r="W34735" s="235" t="n"/>
      <c r="X34735" s="235" t="n"/>
    </row>
    <row r="34736" ht="14.25" customHeight="1" s="192">
      <c r="W34736" s="239" t="n"/>
      <c r="X34736" s="239" t="n"/>
    </row>
    <row r="34737" ht="14.25" customHeight="1" s="192">
      <c r="W34737" s="235" t="n"/>
      <c r="X34737" s="235" t="n"/>
    </row>
    <row r="34738" ht="14.25" customHeight="1" s="192">
      <c r="W34738" s="239" t="n"/>
      <c r="X34738" s="239" t="n"/>
    </row>
    <row r="34740" ht="14.25" customHeight="1" s="192">
      <c r="W34740" s="235" t="n"/>
      <c r="X34740" s="235" t="n"/>
    </row>
    <row r="34741" ht="15" customHeight="1" s="192" thickBot="1">
      <c r="W34741" s="239" t="n"/>
      <c r="X34741" s="239" t="n"/>
    </row>
    <row r="34742" ht="15" customHeight="1" s="192" thickBot="1">
      <c r="W34742" s="45" t="n"/>
      <c r="X34742" s="45" t="n"/>
    </row>
    <row r="34743" ht="14.25" customHeight="1" s="192">
      <c r="W34743" s="228" t="n"/>
      <c r="X34743" s="228" t="n"/>
    </row>
    <row r="34744" ht="14.25" customHeight="1" s="192">
      <c r="W34744" s="228" t="n"/>
      <c r="X34744" s="228" t="n"/>
    </row>
    <row r="34745" ht="14.25" customHeight="1" s="192">
      <c r="W34745" s="231" t="n"/>
      <c r="X34745" s="231" t="n"/>
    </row>
    <row r="34746" ht="14.25" customHeight="1" s="192">
      <c r="W34746" s="33" t="n"/>
      <c r="X34746" s="33" t="n"/>
    </row>
    <row r="34747" ht="14.25" customHeight="1" s="192">
      <c r="W34747" s="231" t="n"/>
      <c r="X34747" s="231" t="n"/>
    </row>
    <row r="34748" ht="14.25" customHeight="1" s="192">
      <c r="W34748" s="33" t="n"/>
      <c r="X34748" s="33" t="n"/>
    </row>
    <row r="34750" ht="14.25" customHeight="1" s="192">
      <c r="W34750" s="231" t="n"/>
      <c r="X34750" s="231" t="n"/>
    </row>
    <row r="34751" ht="14.25" customHeight="1" s="192">
      <c r="W34751" s="235" t="n"/>
      <c r="X34751" s="235" t="n"/>
    </row>
    <row r="34752" ht="14.25" customHeight="1" s="192">
      <c r="W34752" s="228" t="n"/>
      <c r="X34752" s="228" t="n"/>
    </row>
    <row r="34753" ht="14.25" customHeight="1" s="192">
      <c r="W34753" s="235" t="n"/>
      <c r="X34753" s="235" t="n"/>
    </row>
    <row r="34754" ht="14.25" customHeight="1" s="192">
      <c r="W34754" s="235" t="n"/>
      <c r="X34754" s="235" t="n"/>
    </row>
    <row r="34755" ht="14.25" customHeight="1" s="192">
      <c r="W34755" s="235" t="n"/>
      <c r="X34755" s="235" t="n"/>
    </row>
    <row r="34756" ht="14.25" customHeight="1" s="192">
      <c r="W34756" s="239" t="n"/>
      <c r="X34756" s="239" t="n"/>
    </row>
    <row r="34757" ht="14.25" customHeight="1" s="192">
      <c r="W34757" s="239" t="n"/>
      <c r="X34757" s="239" t="n"/>
    </row>
    <row r="34758" ht="14.25" customHeight="1" s="192">
      <c r="W34758" s="239" t="n"/>
      <c r="X34758" s="239" t="n"/>
    </row>
    <row r="34759" ht="14.25" customHeight="1" s="192">
      <c r="W34759" s="235" t="n"/>
      <c r="X34759" s="235" t="n"/>
    </row>
    <row r="34760" ht="14.25" customHeight="1" s="192">
      <c r="W34760" s="235" t="n"/>
      <c r="X34760" s="235" t="n"/>
    </row>
    <row r="34761" ht="14.25" customHeight="1" s="192">
      <c r="W34761" s="235" t="n"/>
      <c r="X34761" s="235" t="n"/>
    </row>
    <row r="34762" ht="14.25" customHeight="1" s="192">
      <c r="W34762" s="239" t="n"/>
      <c r="X34762" s="239" t="n"/>
    </row>
    <row r="34763" ht="14.25" customHeight="1" s="192">
      <c r="W34763" s="239" t="n"/>
      <c r="X34763" s="239" t="n"/>
    </row>
    <row r="34764" ht="14.25" customHeight="1" s="192">
      <c r="W34764" s="235" t="n"/>
      <c r="X34764" s="235" t="n"/>
    </row>
    <row r="34765" ht="14.25" customHeight="1" s="192">
      <c r="W34765" s="235" t="n"/>
      <c r="X34765" s="235" t="n"/>
    </row>
    <row r="34766" ht="14.25" customHeight="1" s="192">
      <c r="W34766" s="239" t="n"/>
      <c r="X34766" s="239" t="n"/>
    </row>
    <row r="34767" ht="14.25" customHeight="1" s="192">
      <c r="W34767" s="235" t="n"/>
      <c r="X34767" s="235" t="n"/>
    </row>
    <row r="34768" ht="14.25" customHeight="1" s="192">
      <c r="W34768" s="239" t="n"/>
      <c r="X34768" s="239" t="n"/>
    </row>
    <row r="34770" ht="14.25" customHeight="1" s="192">
      <c r="W34770" s="235" t="n"/>
      <c r="X34770" s="235" t="n"/>
    </row>
    <row r="34771" ht="15" customHeight="1" s="192" thickBot="1">
      <c r="W34771" s="239" t="n"/>
      <c r="X34771" s="239" t="n"/>
    </row>
    <row r="34772" ht="15" customHeight="1" s="192" thickBot="1">
      <c r="W34772" s="45" t="n"/>
      <c r="X34772" s="45" t="n"/>
    </row>
    <row r="34773" ht="14.25" customHeight="1" s="192">
      <c r="W34773" s="228" t="n"/>
      <c r="X34773" s="228" t="n"/>
    </row>
    <row r="34774" ht="14.25" customHeight="1" s="192">
      <c r="W34774" s="228" t="n"/>
      <c r="X34774" s="228" t="n"/>
    </row>
    <row r="34775" ht="14.25" customHeight="1" s="192">
      <c r="W34775" s="231" t="n"/>
      <c r="X34775" s="231" t="n"/>
    </row>
    <row r="34776" ht="14.25" customHeight="1" s="192">
      <c r="W34776" s="33" t="n"/>
      <c r="X34776" s="33" t="n"/>
    </row>
    <row r="34777" ht="14.25" customHeight="1" s="192">
      <c r="W34777" s="231" t="n"/>
      <c r="X34777" s="231" t="n"/>
    </row>
    <row r="34778" ht="14.25" customHeight="1" s="192">
      <c r="W34778" s="33" t="n"/>
      <c r="X34778" s="33" t="n"/>
    </row>
    <row r="34780" ht="14.25" customHeight="1" s="192">
      <c r="W34780" s="231" t="n"/>
      <c r="X34780" s="231" t="n"/>
    </row>
    <row r="34781" ht="14.25" customHeight="1" s="192">
      <c r="W34781" s="235" t="n"/>
      <c r="X34781" s="235" t="n"/>
    </row>
    <row r="34782" ht="14.25" customHeight="1" s="192">
      <c r="W34782" s="228" t="n"/>
      <c r="X34782" s="228" t="n"/>
    </row>
    <row r="34783" ht="14.25" customHeight="1" s="192">
      <c r="W34783" s="235" t="n"/>
      <c r="X34783" s="235" t="n"/>
    </row>
    <row r="34784" ht="14.25" customHeight="1" s="192">
      <c r="W34784" s="235" t="n"/>
      <c r="X34784" s="235" t="n"/>
    </row>
    <row r="34785" ht="14.25" customHeight="1" s="192">
      <c r="W34785" s="235" t="n"/>
      <c r="X34785" s="235" t="n"/>
    </row>
    <row r="34786" ht="14.25" customHeight="1" s="192">
      <c r="W34786" s="239" t="n"/>
      <c r="X34786" s="239" t="n"/>
    </row>
    <row r="34787" ht="14.25" customHeight="1" s="192">
      <c r="W34787" s="239" t="n"/>
      <c r="X34787" s="239" t="n"/>
    </row>
    <row r="34788" ht="14.25" customHeight="1" s="192">
      <c r="W34788" s="239" t="n"/>
      <c r="X34788" s="239" t="n"/>
    </row>
    <row r="34789" ht="14.25" customHeight="1" s="192">
      <c r="W34789" s="235" t="n"/>
      <c r="X34789" s="235" t="n"/>
    </row>
    <row r="34790" ht="14.25" customHeight="1" s="192">
      <c r="W34790" s="235" t="n"/>
      <c r="X34790" s="235" t="n"/>
    </row>
    <row r="34791" ht="14.25" customHeight="1" s="192">
      <c r="W34791" s="235" t="n"/>
      <c r="X34791" s="235" t="n"/>
    </row>
    <row r="34792" ht="14.25" customHeight="1" s="192">
      <c r="W34792" s="239" t="n"/>
      <c r="X34792" s="239" t="n"/>
    </row>
    <row r="34793" ht="14.25" customHeight="1" s="192">
      <c r="W34793" s="239" t="n"/>
      <c r="X34793" s="239" t="n"/>
    </row>
    <row r="34794" ht="14.25" customHeight="1" s="192">
      <c r="W34794" s="235" t="n"/>
      <c r="X34794" s="235" t="n"/>
    </row>
    <row r="34795" ht="14.25" customHeight="1" s="192">
      <c r="W34795" s="235" t="n"/>
      <c r="X34795" s="235" t="n"/>
    </row>
    <row r="34796" ht="14.25" customHeight="1" s="192">
      <c r="W34796" s="239" t="n"/>
      <c r="X34796" s="239" t="n"/>
    </row>
    <row r="34797" ht="14.25" customHeight="1" s="192">
      <c r="W34797" s="235" t="n"/>
      <c r="X34797" s="235" t="n"/>
    </row>
    <row r="34798" ht="14.25" customHeight="1" s="192">
      <c r="W34798" s="239" t="n"/>
      <c r="X34798" s="239" t="n"/>
    </row>
    <row r="34800" ht="14.25" customHeight="1" s="192">
      <c r="W34800" s="235" t="n"/>
      <c r="X34800" s="235" t="n"/>
    </row>
    <row r="34801" ht="15" customHeight="1" s="192" thickBot="1">
      <c r="W34801" s="239" t="n"/>
      <c r="X34801" s="239" t="n"/>
    </row>
    <row r="34802" ht="15" customHeight="1" s="192" thickBot="1">
      <c r="W34802" s="45" t="n"/>
      <c r="X34802" s="45" t="n"/>
    </row>
    <row r="34803" ht="14.25" customHeight="1" s="192">
      <c r="W34803" s="228" t="n"/>
      <c r="X34803" s="228" t="n"/>
    </row>
    <row r="34804" ht="14.25" customHeight="1" s="192">
      <c r="W34804" s="228" t="n"/>
      <c r="X34804" s="228" t="n"/>
    </row>
    <row r="34805" ht="14.25" customHeight="1" s="192">
      <c r="W34805" s="231" t="n"/>
      <c r="X34805" s="231" t="n"/>
    </row>
    <row r="34806" ht="14.25" customHeight="1" s="192">
      <c r="W34806" s="33" t="n"/>
      <c r="X34806" s="33" t="n"/>
    </row>
    <row r="34807" ht="14.25" customHeight="1" s="192">
      <c r="W34807" s="231" t="n"/>
      <c r="X34807" s="231" t="n"/>
    </row>
    <row r="34808" ht="14.25" customHeight="1" s="192">
      <c r="W34808" s="33" t="n"/>
      <c r="X34808" s="33" t="n"/>
    </row>
    <row r="34810" ht="14.25" customHeight="1" s="192">
      <c r="W34810" s="231" t="n"/>
      <c r="X34810" s="231" t="n"/>
    </row>
    <row r="34811" ht="14.25" customHeight="1" s="192">
      <c r="W34811" s="235" t="n"/>
      <c r="X34811" s="235" t="n"/>
    </row>
    <row r="34812" ht="14.25" customHeight="1" s="192">
      <c r="W34812" s="228" t="n"/>
      <c r="X34812" s="228" t="n"/>
    </row>
    <row r="34813" ht="14.25" customHeight="1" s="192">
      <c r="W34813" s="235" t="n"/>
      <c r="X34813" s="235" t="n"/>
    </row>
    <row r="34814" ht="14.25" customHeight="1" s="192">
      <c r="W34814" s="235" t="n"/>
      <c r="X34814" s="235" t="n"/>
    </row>
    <row r="34815" ht="14.25" customHeight="1" s="192">
      <c r="W34815" s="235" t="n"/>
      <c r="X34815" s="235" t="n"/>
    </row>
    <row r="34816" ht="14.25" customHeight="1" s="192">
      <c r="W34816" s="239" t="n"/>
      <c r="X34816" s="239" t="n"/>
    </row>
    <row r="34817" ht="14.25" customHeight="1" s="192">
      <c r="W34817" s="239" t="n"/>
      <c r="X34817" s="239" t="n"/>
    </row>
    <row r="34818" ht="14.25" customHeight="1" s="192">
      <c r="W34818" s="239" t="n"/>
      <c r="X34818" s="239" t="n"/>
    </row>
    <row r="34819" ht="14.25" customHeight="1" s="192">
      <c r="W34819" s="235" t="n"/>
      <c r="X34819" s="235" t="n"/>
    </row>
    <row r="34820" ht="14.25" customHeight="1" s="192">
      <c r="W34820" s="235" t="n"/>
      <c r="X34820" s="235" t="n"/>
    </row>
    <row r="34821" ht="14.25" customHeight="1" s="192">
      <c r="W34821" s="235" t="n"/>
      <c r="X34821" s="235" t="n"/>
    </row>
    <row r="34822" ht="14.25" customHeight="1" s="192">
      <c r="W34822" s="239" t="n"/>
      <c r="X34822" s="239" t="n"/>
    </row>
    <row r="34823" ht="14.25" customHeight="1" s="192">
      <c r="W34823" s="239" t="n"/>
      <c r="X34823" s="239" t="n"/>
    </row>
    <row r="34824" ht="14.25" customHeight="1" s="192">
      <c r="W34824" s="235" t="n"/>
      <c r="X34824" s="235" t="n"/>
    </row>
    <row r="34825" ht="14.25" customHeight="1" s="192">
      <c r="W34825" s="235" t="n"/>
      <c r="X34825" s="235" t="n"/>
    </row>
    <row r="34826" ht="14.25" customHeight="1" s="192">
      <c r="W34826" s="239" t="n"/>
      <c r="X34826" s="239" t="n"/>
    </row>
    <row r="34827" ht="14.25" customHeight="1" s="192">
      <c r="W34827" s="235" t="n"/>
      <c r="X34827" s="235" t="n"/>
    </row>
    <row r="34828" ht="14.25" customHeight="1" s="192">
      <c r="W34828" s="239" t="n"/>
      <c r="X34828" s="239" t="n"/>
    </row>
    <row r="34830" ht="14.25" customHeight="1" s="192">
      <c r="W34830" s="235" t="n"/>
      <c r="X34830" s="235" t="n"/>
    </row>
    <row r="34831" ht="15" customHeight="1" s="192" thickBot="1">
      <c r="W34831" s="239" t="n"/>
      <c r="X34831" s="239" t="n"/>
    </row>
    <row r="34832" ht="15" customHeight="1" s="192" thickBot="1">
      <c r="W34832" s="45" t="n"/>
      <c r="X34832" s="45" t="n"/>
    </row>
    <row r="34833" ht="14.25" customHeight="1" s="192">
      <c r="W34833" s="228" t="n"/>
      <c r="X34833" s="228" t="n"/>
    </row>
    <row r="34834" ht="14.25" customHeight="1" s="192">
      <c r="W34834" s="228" t="n"/>
      <c r="X34834" s="228" t="n"/>
    </row>
    <row r="34835" ht="14.25" customHeight="1" s="192">
      <c r="W34835" s="231" t="n"/>
      <c r="X34835" s="231" t="n"/>
    </row>
    <row r="34836" ht="14.25" customHeight="1" s="192">
      <c r="W34836" s="33" t="n"/>
      <c r="X34836" s="33" t="n"/>
    </row>
    <row r="34837" ht="14.25" customHeight="1" s="192">
      <c r="W34837" s="231" t="n"/>
      <c r="X34837" s="231" t="n"/>
    </row>
    <row r="34838" ht="14.25" customHeight="1" s="192">
      <c r="W34838" s="33" t="n"/>
      <c r="X34838" s="33" t="n"/>
    </row>
    <row r="34840" ht="14.25" customHeight="1" s="192">
      <c r="W34840" s="231" t="n"/>
      <c r="X34840" s="231" t="n"/>
    </row>
    <row r="34841" ht="14.25" customHeight="1" s="192">
      <c r="W34841" s="235" t="n"/>
      <c r="X34841" s="235" t="n"/>
    </row>
    <row r="34842" ht="14.25" customHeight="1" s="192">
      <c r="W34842" s="228" t="n"/>
      <c r="X34842" s="228" t="n"/>
    </row>
    <row r="34843" ht="14.25" customHeight="1" s="192">
      <c r="W34843" s="235" t="n"/>
      <c r="X34843" s="235" t="n"/>
    </row>
    <row r="34844" ht="14.25" customHeight="1" s="192">
      <c r="W34844" s="235" t="n"/>
      <c r="X34844" s="235" t="n"/>
    </row>
    <row r="34845" ht="14.25" customHeight="1" s="192">
      <c r="W34845" s="235" t="n"/>
      <c r="X34845" s="235" t="n"/>
    </row>
    <row r="34846" ht="14.25" customHeight="1" s="192">
      <c r="W34846" s="239" t="n"/>
      <c r="X34846" s="239" t="n"/>
    </row>
    <row r="34847" ht="14.25" customHeight="1" s="192">
      <c r="W34847" s="239" t="n"/>
      <c r="X34847" s="239" t="n"/>
    </row>
    <row r="34848" ht="14.25" customHeight="1" s="192">
      <c r="W34848" s="239" t="n"/>
      <c r="X34848" s="239" t="n"/>
    </row>
    <row r="34849" ht="14.25" customHeight="1" s="192">
      <c r="W34849" s="235" t="n"/>
      <c r="X34849" s="235" t="n"/>
    </row>
    <row r="34850" ht="14.25" customHeight="1" s="192">
      <c r="W34850" s="235" t="n"/>
      <c r="X34850" s="235" t="n"/>
    </row>
    <row r="34851" ht="14.25" customHeight="1" s="192">
      <c r="W34851" s="235" t="n"/>
      <c r="X34851" s="235" t="n"/>
    </row>
    <row r="34852" ht="14.25" customHeight="1" s="192">
      <c r="W34852" s="239" t="n"/>
      <c r="X34852" s="239" t="n"/>
    </row>
    <row r="34853" ht="14.25" customHeight="1" s="192">
      <c r="W34853" s="239" t="n"/>
      <c r="X34853" s="239" t="n"/>
    </row>
    <row r="34854" ht="14.25" customHeight="1" s="192">
      <c r="W34854" s="235" t="n"/>
      <c r="X34854" s="235" t="n"/>
    </row>
    <row r="34855" ht="14.25" customHeight="1" s="192">
      <c r="W34855" s="235" t="n"/>
      <c r="X34855" s="235" t="n"/>
    </row>
    <row r="34856" ht="14.25" customHeight="1" s="192">
      <c r="W34856" s="239" t="n"/>
      <c r="X34856" s="239" t="n"/>
    </row>
    <row r="34857" ht="14.25" customHeight="1" s="192">
      <c r="W34857" s="235" t="n"/>
      <c r="X34857" s="235" t="n"/>
    </row>
    <row r="34858" ht="14.25" customHeight="1" s="192">
      <c r="W34858" s="239" t="n"/>
      <c r="X34858" s="239" t="n"/>
    </row>
    <row r="34860" ht="14.25" customHeight="1" s="192">
      <c r="W34860" s="235" t="n"/>
      <c r="X34860" s="235" t="n"/>
    </row>
    <row r="34861" ht="15" customHeight="1" s="192" thickBot="1">
      <c r="W34861" s="239" t="n"/>
      <c r="X34861" s="239" t="n"/>
    </row>
    <row r="34862" ht="15" customHeight="1" s="192" thickBot="1">
      <c r="W34862" s="45" t="n"/>
      <c r="X34862" s="45" t="n"/>
    </row>
    <row r="34863" ht="14.25" customHeight="1" s="192">
      <c r="W34863" s="228" t="n"/>
      <c r="X34863" s="228" t="n"/>
    </row>
    <row r="34864" ht="14.25" customHeight="1" s="192">
      <c r="W34864" s="228" t="n"/>
      <c r="X34864" s="228" t="n"/>
    </row>
    <row r="34865" ht="14.25" customHeight="1" s="192">
      <c r="W34865" s="231" t="n"/>
      <c r="X34865" s="231" t="n"/>
    </row>
    <row r="34866" ht="14.25" customHeight="1" s="192">
      <c r="W34866" s="33" t="n"/>
      <c r="X34866" s="33" t="n"/>
    </row>
    <row r="34867" ht="14.25" customHeight="1" s="192">
      <c r="W34867" s="231" t="n"/>
      <c r="X34867" s="231" t="n"/>
    </row>
    <row r="34868" ht="14.25" customHeight="1" s="192">
      <c r="W34868" s="33" t="n"/>
      <c r="X34868" s="33" t="n"/>
    </row>
    <row r="34870" ht="14.25" customHeight="1" s="192">
      <c r="W34870" s="231" t="n"/>
      <c r="X34870" s="231" t="n"/>
    </row>
    <row r="34871" ht="14.25" customHeight="1" s="192">
      <c r="W34871" s="235" t="n"/>
      <c r="X34871" s="235" t="n"/>
    </row>
    <row r="34872" ht="14.25" customHeight="1" s="192">
      <c r="W34872" s="228" t="n"/>
      <c r="X34872" s="228" t="n"/>
    </row>
    <row r="34873" ht="14.25" customHeight="1" s="192">
      <c r="W34873" s="235" t="n"/>
      <c r="X34873" s="235" t="n"/>
    </row>
    <row r="34874" ht="14.25" customHeight="1" s="192">
      <c r="W34874" s="235" t="n"/>
      <c r="X34874" s="235" t="n"/>
    </row>
    <row r="34875" ht="14.25" customHeight="1" s="192">
      <c r="W34875" s="235" t="n"/>
      <c r="X34875" s="235" t="n"/>
    </row>
    <row r="34876" ht="14.25" customHeight="1" s="192">
      <c r="W34876" s="239" t="n"/>
      <c r="X34876" s="239" t="n"/>
    </row>
    <row r="34877" ht="14.25" customHeight="1" s="192">
      <c r="W34877" s="239" t="n"/>
      <c r="X34877" s="239" t="n"/>
    </row>
    <row r="34878" ht="14.25" customHeight="1" s="192">
      <c r="W34878" s="239" t="n"/>
      <c r="X34878" s="239" t="n"/>
    </row>
    <row r="34879" ht="14.25" customHeight="1" s="192">
      <c r="W34879" s="235" t="n"/>
      <c r="X34879" s="235" t="n"/>
    </row>
    <row r="34880" ht="14.25" customHeight="1" s="192">
      <c r="W34880" s="235" t="n"/>
      <c r="X34880" s="235" t="n"/>
    </row>
    <row r="34881" ht="14.25" customHeight="1" s="192">
      <c r="W34881" s="235" t="n"/>
      <c r="X34881" s="235" t="n"/>
    </row>
    <row r="34882" ht="14.25" customHeight="1" s="192">
      <c r="W34882" s="239" t="n"/>
      <c r="X34882" s="239" t="n"/>
    </row>
    <row r="34883" ht="14.25" customHeight="1" s="192">
      <c r="W34883" s="239" t="n"/>
      <c r="X34883" s="239" t="n"/>
    </row>
    <row r="34884" ht="14.25" customHeight="1" s="192">
      <c r="W34884" s="235" t="n"/>
      <c r="X34884" s="235" t="n"/>
    </row>
    <row r="34885" ht="14.25" customHeight="1" s="192">
      <c r="W34885" s="235" t="n"/>
      <c r="X34885" s="235" t="n"/>
    </row>
    <row r="34886" ht="14.25" customHeight="1" s="192">
      <c r="W34886" s="239" t="n"/>
      <c r="X34886" s="239" t="n"/>
    </row>
    <row r="34887" ht="14.25" customHeight="1" s="192">
      <c r="W34887" s="235" t="n"/>
      <c r="X34887" s="235" t="n"/>
    </row>
    <row r="34888" ht="14.25" customHeight="1" s="192">
      <c r="W34888" s="239" t="n"/>
      <c r="X34888" s="239" t="n"/>
    </row>
    <row r="34890" ht="14.25" customHeight="1" s="192">
      <c r="W34890" s="235" t="n"/>
      <c r="X34890" s="235" t="n"/>
    </row>
    <row r="34891" ht="15" customHeight="1" s="192" thickBot="1">
      <c r="W34891" s="239" t="n"/>
      <c r="X34891" s="239" t="n"/>
    </row>
    <row r="34892" ht="15" customHeight="1" s="192" thickBot="1">
      <c r="W34892" s="45" t="n"/>
      <c r="X34892" s="45" t="n"/>
    </row>
    <row r="34893" ht="14.25" customHeight="1" s="192">
      <c r="W34893" s="228" t="n"/>
      <c r="X34893" s="228" t="n"/>
    </row>
    <row r="34894" ht="14.25" customHeight="1" s="192">
      <c r="W34894" s="228" t="n"/>
      <c r="X34894" s="228" t="n"/>
    </row>
    <row r="34895" ht="14.25" customHeight="1" s="192">
      <c r="W34895" s="231" t="n"/>
      <c r="X34895" s="231" t="n"/>
    </row>
    <row r="34896" ht="14.25" customHeight="1" s="192">
      <c r="W34896" s="33" t="n"/>
      <c r="X34896" s="33" t="n"/>
    </row>
    <row r="34897" ht="14.25" customHeight="1" s="192">
      <c r="W34897" s="231" t="n"/>
      <c r="X34897" s="231" t="n"/>
    </row>
    <row r="34898" ht="14.25" customHeight="1" s="192">
      <c r="W34898" s="33" t="n"/>
      <c r="X34898" s="33" t="n"/>
    </row>
    <row r="34900" ht="14.25" customHeight="1" s="192">
      <c r="W34900" s="231" t="n"/>
      <c r="X34900" s="231" t="n"/>
    </row>
    <row r="34901" ht="14.25" customHeight="1" s="192">
      <c r="W34901" s="235" t="n"/>
      <c r="X34901" s="235" t="n"/>
    </row>
    <row r="34902" ht="14.25" customHeight="1" s="192">
      <c r="W34902" s="228" t="n"/>
      <c r="X34902" s="228" t="n"/>
    </row>
    <row r="34903" ht="14.25" customHeight="1" s="192">
      <c r="W34903" s="235" t="n"/>
      <c r="X34903" s="235" t="n"/>
    </row>
    <row r="34904" ht="14.25" customHeight="1" s="192">
      <c r="W34904" s="235" t="n"/>
      <c r="X34904" s="235" t="n"/>
    </row>
    <row r="34905" ht="14.25" customHeight="1" s="192">
      <c r="W34905" s="235" t="n"/>
      <c r="X34905" s="235" t="n"/>
    </row>
    <row r="34906" ht="14.25" customHeight="1" s="192">
      <c r="W34906" s="239" t="n"/>
      <c r="X34906" s="239" t="n"/>
    </row>
    <row r="34907" ht="14.25" customHeight="1" s="192">
      <c r="W34907" s="239" t="n"/>
      <c r="X34907" s="239" t="n"/>
    </row>
    <row r="34908" ht="14.25" customHeight="1" s="192">
      <c r="W34908" s="239" t="n"/>
      <c r="X34908" s="239" t="n"/>
    </row>
    <row r="34909" ht="14.25" customHeight="1" s="192">
      <c r="W34909" s="235" t="n"/>
      <c r="X34909" s="235" t="n"/>
    </row>
    <row r="34910" ht="14.25" customHeight="1" s="192">
      <c r="W34910" s="235" t="n"/>
      <c r="X34910" s="235" t="n"/>
    </row>
    <row r="34911" ht="14.25" customHeight="1" s="192">
      <c r="W34911" s="235" t="n"/>
      <c r="X34911" s="235" t="n"/>
    </row>
    <row r="34912" ht="14.25" customHeight="1" s="192">
      <c r="W34912" s="239" t="n"/>
      <c r="X34912" s="239" t="n"/>
    </row>
    <row r="34913" ht="14.25" customHeight="1" s="192">
      <c r="W34913" s="239" t="n"/>
      <c r="X34913" s="239" t="n"/>
    </row>
    <row r="34914" ht="14.25" customHeight="1" s="192">
      <c r="W34914" s="235" t="n"/>
      <c r="X34914" s="235" t="n"/>
    </row>
    <row r="34915" ht="14.25" customHeight="1" s="192">
      <c r="W34915" s="235" t="n"/>
      <c r="X34915" s="235" t="n"/>
    </row>
    <row r="34916" ht="14.25" customHeight="1" s="192">
      <c r="W34916" s="239" t="n"/>
      <c r="X34916" s="239" t="n"/>
    </row>
    <row r="34917" ht="14.25" customHeight="1" s="192">
      <c r="W34917" s="235" t="n"/>
      <c r="X34917" s="235" t="n"/>
    </row>
    <row r="34918" ht="14.25" customHeight="1" s="192">
      <c r="W34918" s="239" t="n"/>
      <c r="X34918" s="239" t="n"/>
    </row>
    <row r="34920" ht="14.25" customHeight="1" s="192">
      <c r="W34920" s="235" t="n"/>
      <c r="X34920" s="235" t="n"/>
    </row>
    <row r="34921" ht="15" customHeight="1" s="192" thickBot="1">
      <c r="W34921" s="239" t="n"/>
      <c r="X34921" s="239" t="n"/>
    </row>
    <row r="34922" ht="15" customHeight="1" s="192" thickBot="1">
      <c r="W34922" s="45" t="n"/>
      <c r="X34922" s="45" t="n"/>
    </row>
    <row r="34923" ht="14.25" customHeight="1" s="192">
      <c r="W34923" s="228" t="n"/>
      <c r="X34923" s="228" t="n"/>
    </row>
    <row r="34924" ht="14.25" customHeight="1" s="192">
      <c r="W34924" s="228" t="n"/>
      <c r="X34924" s="228" t="n"/>
    </row>
    <row r="34925" ht="14.25" customHeight="1" s="192">
      <c r="W34925" s="231" t="n"/>
      <c r="X34925" s="231" t="n"/>
    </row>
    <row r="34926" ht="14.25" customHeight="1" s="192">
      <c r="W34926" s="33" t="n"/>
      <c r="X34926" s="33" t="n"/>
    </row>
    <row r="34927" ht="14.25" customHeight="1" s="192">
      <c r="W34927" s="231" t="n"/>
      <c r="X34927" s="231" t="n"/>
    </row>
    <row r="34928" ht="14.25" customHeight="1" s="192">
      <c r="W34928" s="33" t="n"/>
      <c r="X34928" s="33" t="n"/>
    </row>
    <row r="34930" ht="14.25" customHeight="1" s="192">
      <c r="W34930" s="231" t="n"/>
      <c r="X34930" s="231" t="n"/>
    </row>
    <row r="34931" ht="14.25" customHeight="1" s="192">
      <c r="W34931" s="235" t="n"/>
      <c r="X34931" s="235" t="n"/>
    </row>
    <row r="34932" ht="14.25" customHeight="1" s="192">
      <c r="W34932" s="228" t="n"/>
      <c r="X34932" s="228" t="n"/>
    </row>
    <row r="34933" ht="14.25" customHeight="1" s="192">
      <c r="W34933" s="235" t="n"/>
      <c r="X34933" s="235" t="n"/>
    </row>
    <row r="34934" ht="14.25" customHeight="1" s="192">
      <c r="W34934" s="235" t="n"/>
      <c r="X34934" s="235" t="n"/>
    </row>
    <row r="34935" ht="14.25" customHeight="1" s="192">
      <c r="W34935" s="235" t="n"/>
      <c r="X34935" s="235" t="n"/>
    </row>
    <row r="34936" ht="14.25" customHeight="1" s="192">
      <c r="W34936" s="239" t="n"/>
      <c r="X34936" s="239" t="n"/>
    </row>
    <row r="34937" ht="14.25" customHeight="1" s="192">
      <c r="W34937" s="239" t="n"/>
      <c r="X34937" s="239" t="n"/>
    </row>
    <row r="34938" ht="14.25" customHeight="1" s="192">
      <c r="W34938" s="239" t="n"/>
      <c r="X34938" s="239" t="n"/>
    </row>
    <row r="34939" ht="14.25" customHeight="1" s="192">
      <c r="W34939" s="235" t="n"/>
      <c r="X34939" s="235" t="n"/>
    </row>
    <row r="34940" ht="14.25" customHeight="1" s="192">
      <c r="W34940" s="235" t="n"/>
      <c r="X34940" s="235" t="n"/>
    </row>
    <row r="34941" ht="14.25" customHeight="1" s="192">
      <c r="W34941" s="235" t="n"/>
      <c r="X34941" s="235" t="n"/>
    </row>
    <row r="34942" ht="14.25" customHeight="1" s="192">
      <c r="W34942" s="239" t="n"/>
      <c r="X34942" s="239" t="n"/>
    </row>
    <row r="34943" ht="14.25" customHeight="1" s="192">
      <c r="W34943" s="239" t="n"/>
      <c r="X34943" s="239" t="n"/>
    </row>
    <row r="34944" ht="14.25" customHeight="1" s="192">
      <c r="W34944" s="235" t="n"/>
      <c r="X34944" s="235" t="n"/>
    </row>
    <row r="34945" ht="14.25" customHeight="1" s="192">
      <c r="W34945" s="235" t="n"/>
      <c r="X34945" s="235" t="n"/>
    </row>
    <row r="34946" ht="14.25" customHeight="1" s="192">
      <c r="W34946" s="239" t="n"/>
      <c r="X34946" s="239" t="n"/>
    </row>
    <row r="34947" ht="14.25" customHeight="1" s="192">
      <c r="W34947" s="235" t="n"/>
      <c r="X34947" s="235" t="n"/>
    </row>
    <row r="34948" ht="14.25" customHeight="1" s="192">
      <c r="W34948" s="239" t="n"/>
      <c r="X34948" s="239" t="n"/>
    </row>
    <row r="34950" ht="14.25" customHeight="1" s="192">
      <c r="W34950" s="235" t="n"/>
      <c r="X34950" s="235" t="n"/>
    </row>
    <row r="34951" ht="15" customHeight="1" s="192" thickBot="1">
      <c r="W34951" s="239" t="n"/>
      <c r="X34951" s="239" t="n"/>
    </row>
    <row r="34952" ht="15" customHeight="1" s="192" thickBot="1">
      <c r="W34952" s="45" t="n"/>
      <c r="X34952" s="45" t="n"/>
    </row>
    <row r="34953" ht="14.25" customHeight="1" s="192">
      <c r="W34953" s="228" t="n"/>
      <c r="X34953" s="228" t="n"/>
    </row>
    <row r="34954" ht="14.25" customHeight="1" s="192">
      <c r="W34954" s="228" t="n"/>
      <c r="X34954" s="228" t="n"/>
    </row>
    <row r="34955" ht="14.25" customHeight="1" s="192">
      <c r="W34955" s="231" t="n"/>
      <c r="X34955" s="231" t="n"/>
    </row>
    <row r="34956" ht="14.25" customHeight="1" s="192">
      <c r="W34956" s="33" t="n"/>
      <c r="X34956" s="33" t="n"/>
    </row>
    <row r="34957" ht="14.25" customHeight="1" s="192">
      <c r="W34957" s="231" t="n"/>
      <c r="X34957" s="231" t="n"/>
    </row>
    <row r="34958" ht="14.25" customHeight="1" s="192">
      <c r="W34958" s="33" t="n"/>
      <c r="X34958" s="33" t="n"/>
    </row>
    <row r="34960" ht="14.25" customHeight="1" s="192">
      <c r="W34960" s="231" t="n"/>
      <c r="X34960" s="231" t="n"/>
    </row>
    <row r="34961" ht="14.25" customHeight="1" s="192">
      <c r="W34961" s="235" t="n"/>
      <c r="X34961" s="235" t="n"/>
    </row>
    <row r="34962" ht="14.25" customHeight="1" s="192">
      <c r="W34962" s="228" t="n"/>
      <c r="X34962" s="228" t="n"/>
    </row>
    <row r="34963" ht="14.25" customHeight="1" s="192">
      <c r="W34963" s="235" t="n"/>
      <c r="X34963" s="235" t="n"/>
    </row>
    <row r="34964" ht="14.25" customHeight="1" s="192">
      <c r="W34964" s="235" t="n"/>
      <c r="X34964" s="235" t="n"/>
    </row>
    <row r="34965" ht="14.25" customHeight="1" s="192">
      <c r="W34965" s="235" t="n"/>
      <c r="X34965" s="235" t="n"/>
    </row>
    <row r="34966" ht="14.25" customHeight="1" s="192">
      <c r="W34966" s="239" t="n"/>
      <c r="X34966" s="239" t="n"/>
    </row>
    <row r="34967" ht="14.25" customHeight="1" s="192">
      <c r="W34967" s="239" t="n"/>
      <c r="X34967" s="239" t="n"/>
    </row>
    <row r="34968" ht="14.25" customHeight="1" s="192">
      <c r="W34968" s="239" t="n"/>
      <c r="X34968" s="239" t="n"/>
    </row>
    <row r="34969" ht="14.25" customHeight="1" s="192">
      <c r="W34969" s="235" t="n"/>
      <c r="X34969" s="235" t="n"/>
    </row>
    <row r="34970" ht="14.25" customHeight="1" s="192">
      <c r="W34970" s="235" t="n"/>
      <c r="X34970" s="235" t="n"/>
    </row>
    <row r="34971" ht="14.25" customHeight="1" s="192">
      <c r="W34971" s="235" t="n"/>
      <c r="X34971" s="235" t="n"/>
    </row>
    <row r="34972" ht="14.25" customHeight="1" s="192">
      <c r="W34972" s="239" t="n"/>
      <c r="X34972" s="239" t="n"/>
    </row>
    <row r="34973" ht="14.25" customHeight="1" s="192">
      <c r="W34973" s="239" t="n"/>
      <c r="X34973" s="239" t="n"/>
    </row>
    <row r="34974" ht="14.25" customHeight="1" s="192">
      <c r="W34974" s="235" t="n"/>
      <c r="X34974" s="235" t="n"/>
    </row>
    <row r="34975" ht="14.25" customHeight="1" s="192">
      <c r="W34975" s="235" t="n"/>
      <c r="X34975" s="235" t="n"/>
    </row>
    <row r="34976" ht="14.25" customHeight="1" s="192">
      <c r="W34976" s="239" t="n"/>
      <c r="X34976" s="239" t="n"/>
    </row>
    <row r="34977" ht="14.25" customHeight="1" s="192">
      <c r="W34977" s="235" t="n"/>
      <c r="X34977" s="235" t="n"/>
    </row>
    <row r="34978" ht="14.25" customHeight="1" s="192">
      <c r="W34978" s="239" t="n"/>
      <c r="X34978" s="239" t="n"/>
    </row>
    <row r="34980" ht="14.25" customHeight="1" s="192">
      <c r="W34980" s="235" t="n"/>
      <c r="X34980" s="235" t="n"/>
    </row>
    <row r="34981" ht="15" customHeight="1" s="192" thickBot="1">
      <c r="W34981" s="239" t="n"/>
      <c r="X34981" s="239" t="n"/>
    </row>
    <row r="34982" ht="15" customHeight="1" s="192" thickBot="1">
      <c r="W34982" s="45" t="n"/>
      <c r="X34982" s="45" t="n"/>
    </row>
    <row r="34983" ht="14.25" customHeight="1" s="192">
      <c r="W34983" s="228" t="n"/>
      <c r="X34983" s="228" t="n"/>
    </row>
    <row r="34984" ht="14.25" customHeight="1" s="192">
      <c r="W34984" s="228" t="n"/>
      <c r="X34984" s="228" t="n"/>
    </row>
    <row r="34985" ht="14.25" customHeight="1" s="192">
      <c r="W34985" s="231" t="n"/>
      <c r="X34985" s="231" t="n"/>
    </row>
    <row r="34986" ht="14.25" customHeight="1" s="192">
      <c r="W34986" s="33" t="n"/>
      <c r="X34986" s="33" t="n"/>
    </row>
    <row r="34987" ht="14.25" customHeight="1" s="192">
      <c r="W34987" s="231" t="n"/>
      <c r="X34987" s="231" t="n"/>
    </row>
    <row r="34988" ht="14.25" customHeight="1" s="192">
      <c r="W34988" s="33" t="n"/>
      <c r="X34988" s="33" t="n"/>
    </row>
    <row r="34990" ht="14.25" customHeight="1" s="192">
      <c r="W34990" s="231" t="n"/>
      <c r="X34990" s="231" t="n"/>
    </row>
    <row r="34991" ht="14.25" customHeight="1" s="192">
      <c r="W34991" s="235" t="n"/>
      <c r="X34991" s="235" t="n"/>
    </row>
    <row r="34992" ht="14.25" customHeight="1" s="192">
      <c r="W34992" s="228" t="n"/>
      <c r="X34992" s="228" t="n"/>
    </row>
    <row r="34993" ht="14.25" customHeight="1" s="192">
      <c r="W34993" s="235" t="n"/>
      <c r="X34993" s="235" t="n"/>
    </row>
    <row r="34994" ht="14.25" customHeight="1" s="192">
      <c r="W34994" s="235" t="n"/>
      <c r="X34994" s="235" t="n"/>
    </row>
    <row r="34995" ht="14.25" customHeight="1" s="192">
      <c r="W34995" s="235" t="n"/>
      <c r="X34995" s="235" t="n"/>
    </row>
    <row r="34996" ht="14.25" customHeight="1" s="192">
      <c r="W34996" s="239" t="n"/>
      <c r="X34996" s="239" t="n"/>
    </row>
    <row r="34997" ht="14.25" customHeight="1" s="192">
      <c r="W34997" s="239" t="n"/>
      <c r="X34997" s="239" t="n"/>
    </row>
    <row r="34998" ht="14.25" customHeight="1" s="192">
      <c r="W34998" s="239" t="n"/>
      <c r="X34998" s="239" t="n"/>
    </row>
    <row r="34999" ht="14.25" customHeight="1" s="192">
      <c r="W34999" s="235" t="n"/>
      <c r="X34999" s="235" t="n"/>
    </row>
    <row r="35000" ht="14.25" customHeight="1" s="192">
      <c r="W35000" s="235" t="n"/>
      <c r="X35000" s="235" t="n"/>
    </row>
    <row r="35001" ht="14.25" customHeight="1" s="192">
      <c r="W35001" s="235" t="n"/>
      <c r="X35001" s="235" t="n"/>
    </row>
    <row r="35002" ht="14.25" customHeight="1" s="192">
      <c r="W35002" s="239" t="n"/>
      <c r="X35002" s="239" t="n"/>
    </row>
    <row r="35003" ht="14.25" customHeight="1" s="192">
      <c r="W35003" s="239" t="n"/>
      <c r="X35003" s="239" t="n"/>
    </row>
    <row r="35004" ht="14.25" customHeight="1" s="192">
      <c r="W35004" s="235" t="n"/>
      <c r="X35004" s="235" t="n"/>
    </row>
    <row r="35005" ht="14.25" customHeight="1" s="192">
      <c r="W35005" s="235" t="n"/>
      <c r="X35005" s="235" t="n"/>
    </row>
    <row r="35006" ht="14.25" customHeight="1" s="192">
      <c r="W35006" s="239" t="n"/>
      <c r="X35006" s="239" t="n"/>
    </row>
    <row r="35007" ht="14.25" customHeight="1" s="192">
      <c r="W35007" s="235" t="n"/>
      <c r="X35007" s="235" t="n"/>
    </row>
    <row r="35008" ht="14.25" customHeight="1" s="192">
      <c r="W35008" s="239" t="n"/>
      <c r="X35008" s="239" t="n"/>
    </row>
    <row r="35010" ht="14.25" customHeight="1" s="192">
      <c r="W35010" s="235" t="n"/>
      <c r="X35010" s="235" t="n"/>
    </row>
    <row r="35011" ht="15" customHeight="1" s="192" thickBot="1">
      <c r="W35011" s="239" t="n"/>
      <c r="X35011" s="239" t="n"/>
    </row>
    <row r="35012" ht="15" customHeight="1" s="192" thickBot="1">
      <c r="W35012" s="45" t="n"/>
      <c r="X35012" s="45" t="n"/>
    </row>
    <row r="35013" ht="14.25" customHeight="1" s="192">
      <c r="W35013" s="228" t="n"/>
      <c r="X35013" s="228" t="n"/>
    </row>
    <row r="35014" ht="14.25" customHeight="1" s="192">
      <c r="W35014" s="228" t="n"/>
      <c r="X35014" s="228" t="n"/>
    </row>
    <row r="35015" ht="14.25" customHeight="1" s="192">
      <c r="W35015" s="231" t="n"/>
      <c r="X35015" s="231" t="n"/>
    </row>
    <row r="35016" ht="14.25" customHeight="1" s="192">
      <c r="W35016" s="33" t="n"/>
      <c r="X35016" s="33" t="n"/>
    </row>
    <row r="35017" ht="14.25" customHeight="1" s="192">
      <c r="W35017" s="231" t="n"/>
      <c r="X35017" s="231" t="n"/>
    </row>
    <row r="35018" ht="14.25" customHeight="1" s="192">
      <c r="W35018" s="33" t="n"/>
      <c r="X35018" s="33" t="n"/>
    </row>
    <row r="35020" ht="14.25" customHeight="1" s="192">
      <c r="W35020" s="231" t="n"/>
      <c r="X35020" s="231" t="n"/>
    </row>
    <row r="35021" ht="14.25" customHeight="1" s="192">
      <c r="W35021" s="235" t="n"/>
      <c r="X35021" s="235" t="n"/>
    </row>
    <row r="35022" ht="14.25" customHeight="1" s="192">
      <c r="W35022" s="228" t="n"/>
      <c r="X35022" s="228" t="n"/>
    </row>
    <row r="35023" ht="14.25" customHeight="1" s="192">
      <c r="W35023" s="235" t="n"/>
      <c r="X35023" s="235" t="n"/>
    </row>
    <row r="35024" ht="14.25" customHeight="1" s="192">
      <c r="W35024" s="235" t="n"/>
      <c r="X35024" s="235" t="n"/>
    </row>
    <row r="35025" ht="14.25" customHeight="1" s="192">
      <c r="W35025" s="235" t="n"/>
      <c r="X35025" s="235" t="n"/>
    </row>
    <row r="35026" ht="14.25" customHeight="1" s="192">
      <c r="W35026" s="239" t="n"/>
      <c r="X35026" s="239" t="n"/>
    </row>
    <row r="35027" ht="14.25" customHeight="1" s="192">
      <c r="W35027" s="239" t="n"/>
      <c r="X35027" s="239" t="n"/>
    </row>
    <row r="35028" ht="14.25" customHeight="1" s="192">
      <c r="W35028" s="239" t="n"/>
      <c r="X35028" s="239" t="n"/>
    </row>
    <row r="35029" ht="14.25" customHeight="1" s="192">
      <c r="W35029" s="235" t="n"/>
      <c r="X35029" s="235" t="n"/>
    </row>
    <row r="35030" ht="14.25" customHeight="1" s="192">
      <c r="W35030" s="235" t="n"/>
      <c r="X35030" s="235" t="n"/>
    </row>
    <row r="35031" ht="14.25" customHeight="1" s="192">
      <c r="W35031" s="235" t="n"/>
      <c r="X35031" s="235" t="n"/>
    </row>
    <row r="35032" ht="14.25" customHeight="1" s="192">
      <c r="W35032" s="239" t="n"/>
      <c r="X35032" s="239" t="n"/>
    </row>
    <row r="35033" ht="14.25" customHeight="1" s="192">
      <c r="W35033" s="239" t="n"/>
      <c r="X35033" s="239" t="n"/>
    </row>
    <row r="35034" ht="14.25" customHeight="1" s="192">
      <c r="W35034" s="235" t="n"/>
      <c r="X35034" s="235" t="n"/>
    </row>
    <row r="35035" ht="14.25" customHeight="1" s="192">
      <c r="W35035" s="235" t="n"/>
      <c r="X35035" s="235" t="n"/>
    </row>
    <row r="35036" ht="14.25" customHeight="1" s="192">
      <c r="W35036" s="239" t="n"/>
      <c r="X35036" s="239" t="n"/>
    </row>
    <row r="35037" ht="14.25" customHeight="1" s="192">
      <c r="W35037" s="235" t="n"/>
      <c r="X35037" s="235" t="n"/>
    </row>
    <row r="35038" ht="14.25" customHeight="1" s="192">
      <c r="W35038" s="239" t="n"/>
      <c r="X35038" s="239" t="n"/>
    </row>
    <row r="35040" ht="14.25" customHeight="1" s="192">
      <c r="W35040" s="235" t="n"/>
      <c r="X35040" s="235" t="n"/>
    </row>
    <row r="35041" ht="15" customHeight="1" s="192" thickBot="1">
      <c r="W35041" s="239" t="n"/>
      <c r="X35041" s="239" t="n"/>
    </row>
    <row r="35042" ht="15" customHeight="1" s="192" thickBot="1">
      <c r="W35042" s="45" t="n"/>
      <c r="X35042" s="45" t="n"/>
    </row>
    <row r="35043" ht="14.25" customHeight="1" s="192">
      <c r="W35043" s="228" t="n"/>
      <c r="X35043" s="228" t="n"/>
    </row>
    <row r="35044" ht="14.25" customHeight="1" s="192">
      <c r="W35044" s="228" t="n"/>
      <c r="X35044" s="228" t="n"/>
    </row>
    <row r="35045" ht="14.25" customHeight="1" s="192">
      <c r="W35045" s="231" t="n"/>
      <c r="X35045" s="231" t="n"/>
    </row>
    <row r="35046" ht="14.25" customHeight="1" s="192">
      <c r="W35046" s="33" t="n"/>
      <c r="X35046" s="33" t="n"/>
    </row>
    <row r="35047" ht="14.25" customHeight="1" s="192">
      <c r="W35047" s="231" t="n"/>
      <c r="X35047" s="231" t="n"/>
    </row>
    <row r="35048" ht="14.25" customHeight="1" s="192">
      <c r="W35048" s="33" t="n"/>
      <c r="X35048" s="33" t="n"/>
    </row>
    <row r="35050" ht="14.25" customHeight="1" s="192">
      <c r="W35050" s="231" t="n"/>
      <c r="X35050" s="231" t="n"/>
    </row>
    <row r="35051" ht="14.25" customHeight="1" s="192">
      <c r="W35051" s="235" t="n"/>
      <c r="X35051" s="235" t="n"/>
    </row>
    <row r="35052" ht="14.25" customHeight="1" s="192">
      <c r="W35052" s="228" t="n"/>
      <c r="X35052" s="228" t="n"/>
    </row>
    <row r="35053" ht="14.25" customHeight="1" s="192">
      <c r="W35053" s="235" t="n"/>
      <c r="X35053" s="235" t="n"/>
    </row>
    <row r="35054" ht="14.25" customHeight="1" s="192">
      <c r="W35054" s="235" t="n"/>
      <c r="X35054" s="235" t="n"/>
    </row>
    <row r="35055" ht="14.25" customHeight="1" s="192">
      <c r="W35055" s="235" t="n"/>
      <c r="X35055" s="235" t="n"/>
    </row>
    <row r="35056" ht="14.25" customHeight="1" s="192">
      <c r="W35056" s="239" t="n"/>
      <c r="X35056" s="239" t="n"/>
    </row>
    <row r="35057" ht="14.25" customHeight="1" s="192">
      <c r="W35057" s="239" t="n"/>
      <c r="X35057" s="239" t="n"/>
    </row>
    <row r="35058" ht="14.25" customHeight="1" s="192">
      <c r="W35058" s="239" t="n"/>
      <c r="X35058" s="239" t="n"/>
    </row>
    <row r="35059" ht="14.25" customHeight="1" s="192">
      <c r="W35059" s="235" t="n"/>
      <c r="X35059" s="235" t="n"/>
    </row>
    <row r="35060" ht="14.25" customHeight="1" s="192">
      <c r="W35060" s="235" t="n"/>
      <c r="X35060" s="235" t="n"/>
    </row>
    <row r="35061" ht="14.25" customHeight="1" s="192">
      <c r="W35061" s="235" t="n"/>
      <c r="X35061" s="235" t="n"/>
    </row>
    <row r="35062" ht="14.25" customHeight="1" s="192">
      <c r="W35062" s="239" t="n"/>
      <c r="X35062" s="239" t="n"/>
    </row>
    <row r="35063" ht="14.25" customHeight="1" s="192">
      <c r="W35063" s="239" t="n"/>
      <c r="X35063" s="239" t="n"/>
    </row>
    <row r="35064" ht="14.25" customHeight="1" s="192">
      <c r="W35064" s="235" t="n"/>
      <c r="X35064" s="235" t="n"/>
    </row>
    <row r="35065" ht="14.25" customHeight="1" s="192">
      <c r="W35065" s="235" t="n"/>
      <c r="X35065" s="235" t="n"/>
    </row>
    <row r="35066" ht="14.25" customHeight="1" s="192">
      <c r="W35066" s="239" t="n"/>
      <c r="X35066" s="239" t="n"/>
    </row>
    <row r="35067" ht="14.25" customHeight="1" s="192">
      <c r="W35067" s="235" t="n"/>
      <c r="X35067" s="235" t="n"/>
    </row>
    <row r="35068" ht="14.25" customHeight="1" s="192">
      <c r="W35068" s="239" t="n"/>
      <c r="X35068" s="239" t="n"/>
    </row>
    <row r="35070" ht="14.25" customHeight="1" s="192">
      <c r="W35070" s="235" t="n"/>
      <c r="X35070" s="235" t="n"/>
    </row>
    <row r="35071" ht="15" customHeight="1" s="192" thickBot="1">
      <c r="W35071" s="239" t="n"/>
      <c r="X35071" s="239" t="n"/>
    </row>
    <row r="35072" ht="15" customHeight="1" s="192" thickBot="1">
      <c r="W35072" s="45" t="n"/>
      <c r="X35072" s="45" t="n"/>
    </row>
    <row r="35073" ht="14.25" customHeight="1" s="192">
      <c r="W35073" s="228" t="n"/>
      <c r="X35073" s="228" t="n"/>
    </row>
    <row r="35074" ht="14.25" customHeight="1" s="192">
      <c r="W35074" s="228" t="n"/>
      <c r="X35074" s="228" t="n"/>
    </row>
    <row r="35075" ht="14.25" customHeight="1" s="192">
      <c r="W35075" s="231" t="n"/>
      <c r="X35075" s="231" t="n"/>
    </row>
    <row r="35076" ht="14.25" customHeight="1" s="192">
      <c r="W35076" s="33" t="n"/>
      <c r="X35076" s="33" t="n"/>
    </row>
    <row r="35077" ht="14.25" customHeight="1" s="192">
      <c r="W35077" s="231" t="n"/>
      <c r="X35077" s="231" t="n"/>
    </row>
    <row r="35078" ht="14.25" customHeight="1" s="192">
      <c r="W35078" s="33" t="n"/>
      <c r="X35078" s="33" t="n"/>
    </row>
    <row r="35080" ht="14.25" customHeight="1" s="192">
      <c r="W35080" s="231" t="n"/>
      <c r="X35080" s="231" t="n"/>
    </row>
    <row r="35081" ht="14.25" customHeight="1" s="192">
      <c r="W35081" s="235" t="n"/>
      <c r="X35081" s="235" t="n"/>
    </row>
    <row r="35082" ht="14.25" customHeight="1" s="192">
      <c r="W35082" s="228" t="n"/>
      <c r="X35082" s="228" t="n"/>
    </row>
    <row r="35083" ht="14.25" customHeight="1" s="192">
      <c r="W35083" s="235" t="n"/>
      <c r="X35083" s="235" t="n"/>
    </row>
    <row r="35084" ht="14.25" customHeight="1" s="192">
      <c r="W35084" s="235" t="n"/>
      <c r="X35084" s="235" t="n"/>
    </row>
    <row r="35085" ht="14.25" customHeight="1" s="192">
      <c r="W35085" s="235" t="n"/>
      <c r="X35085" s="235" t="n"/>
    </row>
    <row r="35086" ht="14.25" customHeight="1" s="192">
      <c r="W35086" s="239" t="n"/>
      <c r="X35086" s="239" t="n"/>
    </row>
    <row r="35087" ht="14.25" customHeight="1" s="192">
      <c r="W35087" s="239" t="n"/>
      <c r="X35087" s="239" t="n"/>
    </row>
    <row r="35088" ht="14.25" customHeight="1" s="192">
      <c r="W35088" s="239" t="n"/>
      <c r="X35088" s="239" t="n"/>
    </row>
    <row r="35089" ht="14.25" customHeight="1" s="192">
      <c r="W35089" s="235" t="n"/>
      <c r="X35089" s="235" t="n"/>
    </row>
    <row r="35090" ht="14.25" customHeight="1" s="192">
      <c r="W35090" s="235" t="n"/>
      <c r="X35090" s="235" t="n"/>
    </row>
    <row r="35091" ht="14.25" customHeight="1" s="192">
      <c r="W35091" s="235" t="n"/>
      <c r="X35091" s="235" t="n"/>
    </row>
    <row r="35092" ht="14.25" customHeight="1" s="192">
      <c r="W35092" s="239" t="n"/>
      <c r="X35092" s="239" t="n"/>
    </row>
    <row r="35093" ht="14.25" customHeight="1" s="192">
      <c r="W35093" s="239" t="n"/>
      <c r="X35093" s="239" t="n"/>
    </row>
    <row r="35094" ht="14.25" customHeight="1" s="192">
      <c r="W35094" s="235" t="n"/>
      <c r="X35094" s="235" t="n"/>
    </row>
    <row r="35095" ht="14.25" customHeight="1" s="192">
      <c r="W35095" s="235" t="n"/>
      <c r="X35095" s="235" t="n"/>
    </row>
    <row r="35096" ht="14.25" customHeight="1" s="192">
      <c r="W35096" s="239" t="n"/>
      <c r="X35096" s="239" t="n"/>
    </row>
    <row r="35097" ht="14.25" customHeight="1" s="192">
      <c r="W35097" s="235" t="n"/>
      <c r="X35097" s="235" t="n"/>
    </row>
    <row r="35098" ht="14.25" customHeight="1" s="192">
      <c r="W35098" s="239" t="n"/>
      <c r="X35098" s="239" t="n"/>
    </row>
    <row r="35100" ht="14.25" customHeight="1" s="192">
      <c r="W35100" s="235" t="n"/>
      <c r="X35100" s="235" t="n"/>
    </row>
    <row r="35101" ht="15" customHeight="1" s="192" thickBot="1">
      <c r="W35101" s="239" t="n"/>
      <c r="X35101" s="239" t="n"/>
    </row>
    <row r="35102" ht="15" customHeight="1" s="192" thickBot="1">
      <c r="W35102" s="45" t="n"/>
      <c r="X35102" s="45" t="n"/>
    </row>
    <row r="35103" ht="14.25" customHeight="1" s="192">
      <c r="W35103" s="228" t="n"/>
      <c r="X35103" s="228" t="n"/>
    </row>
    <row r="35104" ht="14.25" customHeight="1" s="192">
      <c r="W35104" s="228" t="n"/>
      <c r="X35104" s="228" t="n"/>
    </row>
    <row r="35105" ht="14.25" customHeight="1" s="192">
      <c r="W35105" s="231" t="n"/>
      <c r="X35105" s="231" t="n"/>
    </row>
    <row r="35106" ht="14.25" customHeight="1" s="192">
      <c r="W35106" s="33" t="n"/>
      <c r="X35106" s="33" t="n"/>
    </row>
    <row r="35107" ht="14.25" customHeight="1" s="192">
      <c r="W35107" s="231" t="n"/>
      <c r="X35107" s="231" t="n"/>
    </row>
    <row r="35108" ht="14.25" customHeight="1" s="192">
      <c r="W35108" s="33" t="n"/>
      <c r="X35108" s="33" t="n"/>
    </row>
    <row r="35110" ht="14.25" customHeight="1" s="192">
      <c r="W35110" s="231" t="n"/>
      <c r="X35110" s="231" t="n"/>
    </row>
    <row r="35111" ht="14.25" customHeight="1" s="192">
      <c r="W35111" s="235" t="n"/>
      <c r="X35111" s="235" t="n"/>
    </row>
    <row r="35112" ht="14.25" customHeight="1" s="192">
      <c r="W35112" s="228" t="n"/>
      <c r="X35112" s="228" t="n"/>
    </row>
    <row r="35113" ht="14.25" customHeight="1" s="192">
      <c r="W35113" s="235" t="n"/>
      <c r="X35113" s="235" t="n"/>
    </row>
    <row r="35114" ht="14.25" customHeight="1" s="192">
      <c r="W35114" s="235" t="n"/>
      <c r="X35114" s="235" t="n"/>
    </row>
    <row r="35115" ht="14.25" customHeight="1" s="192">
      <c r="W35115" s="235" t="n"/>
      <c r="X35115" s="235" t="n"/>
    </row>
    <row r="35116" ht="14.25" customHeight="1" s="192">
      <c r="W35116" s="239" t="n"/>
      <c r="X35116" s="239" t="n"/>
    </row>
    <row r="35117" ht="14.25" customHeight="1" s="192">
      <c r="W35117" s="239" t="n"/>
      <c r="X35117" s="239" t="n"/>
    </row>
    <row r="35118" ht="14.25" customHeight="1" s="192">
      <c r="W35118" s="239" t="n"/>
      <c r="X35118" s="239" t="n"/>
    </row>
    <row r="35119" ht="14.25" customHeight="1" s="192">
      <c r="W35119" s="235" t="n"/>
      <c r="X35119" s="235" t="n"/>
    </row>
    <row r="35120" ht="14.25" customHeight="1" s="192">
      <c r="W35120" s="235" t="n"/>
      <c r="X35120" s="235" t="n"/>
    </row>
    <row r="35121" ht="14.25" customHeight="1" s="192">
      <c r="W35121" s="235" t="n"/>
      <c r="X35121" s="235" t="n"/>
    </row>
    <row r="35122" ht="14.25" customHeight="1" s="192">
      <c r="W35122" s="239" t="n"/>
      <c r="X35122" s="239" t="n"/>
    </row>
    <row r="35123" ht="14.25" customHeight="1" s="192">
      <c r="W35123" s="239" t="n"/>
      <c r="X35123" s="239" t="n"/>
    </row>
    <row r="35124" ht="14.25" customHeight="1" s="192">
      <c r="W35124" s="235" t="n"/>
      <c r="X35124" s="235" t="n"/>
    </row>
    <row r="35125" ht="14.25" customHeight="1" s="192">
      <c r="W35125" s="235" t="n"/>
      <c r="X35125" s="235" t="n"/>
    </row>
    <row r="35126" ht="14.25" customHeight="1" s="192">
      <c r="W35126" s="239" t="n"/>
      <c r="X35126" s="239" t="n"/>
    </row>
    <row r="35127" ht="14.25" customHeight="1" s="192">
      <c r="W35127" s="235" t="n"/>
      <c r="X35127" s="235" t="n"/>
    </row>
    <row r="35128" ht="14.25" customHeight="1" s="192">
      <c r="W35128" s="239" t="n"/>
      <c r="X35128" s="239" t="n"/>
    </row>
    <row r="35130" ht="14.25" customHeight="1" s="192">
      <c r="W35130" s="235" t="n"/>
      <c r="X35130" s="235" t="n"/>
    </row>
    <row r="35131" ht="15" customHeight="1" s="192" thickBot="1">
      <c r="W35131" s="239" t="n"/>
      <c r="X35131" s="239" t="n"/>
    </row>
    <row r="35132" ht="15" customHeight="1" s="192" thickBot="1">
      <c r="W35132" s="45" t="n"/>
      <c r="X35132" s="45" t="n"/>
    </row>
    <row r="35133" ht="14.25" customHeight="1" s="192">
      <c r="W35133" s="228" t="n"/>
      <c r="X35133" s="228" t="n"/>
    </row>
    <row r="35134" ht="14.25" customHeight="1" s="192">
      <c r="W35134" s="228" t="n"/>
      <c r="X35134" s="228" t="n"/>
    </row>
    <row r="35135" ht="14.25" customHeight="1" s="192">
      <c r="W35135" s="231" t="n"/>
      <c r="X35135" s="231" t="n"/>
    </row>
    <row r="35136" ht="14.25" customHeight="1" s="192">
      <c r="W35136" s="33" t="n"/>
      <c r="X35136" s="33" t="n"/>
    </row>
    <row r="35137" ht="14.25" customHeight="1" s="192">
      <c r="W35137" s="231" t="n"/>
      <c r="X35137" s="231" t="n"/>
    </row>
    <row r="35138" ht="14.25" customHeight="1" s="192">
      <c r="W35138" s="33" t="n"/>
      <c r="X35138" s="33" t="n"/>
    </row>
    <row r="35140" ht="14.25" customHeight="1" s="192">
      <c r="W35140" s="231" t="n"/>
      <c r="X35140" s="231" t="n"/>
    </row>
    <row r="35141" ht="14.25" customHeight="1" s="192">
      <c r="W35141" s="235" t="n"/>
      <c r="X35141" s="235" t="n"/>
    </row>
    <row r="35142" ht="14.25" customHeight="1" s="192">
      <c r="W35142" s="228" t="n"/>
      <c r="X35142" s="228" t="n"/>
    </row>
    <row r="35143" ht="14.25" customHeight="1" s="192">
      <c r="W35143" s="235" t="n"/>
      <c r="X35143" s="235" t="n"/>
    </row>
    <row r="35144" ht="14.25" customHeight="1" s="192">
      <c r="W35144" s="235" t="n"/>
      <c r="X35144" s="235" t="n"/>
    </row>
    <row r="35145" ht="14.25" customHeight="1" s="192">
      <c r="W35145" s="235" t="n"/>
      <c r="X35145" s="235" t="n"/>
    </row>
    <row r="35146" ht="14.25" customHeight="1" s="192">
      <c r="W35146" s="239" t="n"/>
      <c r="X35146" s="239" t="n"/>
    </row>
    <row r="35147" ht="14.25" customHeight="1" s="192">
      <c r="W35147" s="239" t="n"/>
      <c r="X35147" s="239" t="n"/>
    </row>
    <row r="35148" ht="14.25" customHeight="1" s="192">
      <c r="W35148" s="239" t="n"/>
      <c r="X35148" s="239" t="n"/>
    </row>
    <row r="35149" ht="14.25" customHeight="1" s="192">
      <c r="W35149" s="235" t="n"/>
      <c r="X35149" s="235" t="n"/>
    </row>
    <row r="35150" ht="14.25" customHeight="1" s="192">
      <c r="W35150" s="235" t="n"/>
      <c r="X35150" s="235" t="n"/>
    </row>
    <row r="35151" ht="14.25" customHeight="1" s="192">
      <c r="W35151" s="235" t="n"/>
      <c r="X35151" s="235" t="n"/>
    </row>
    <row r="35152" ht="14.25" customHeight="1" s="192">
      <c r="W35152" s="239" t="n"/>
      <c r="X35152" s="239" t="n"/>
    </row>
    <row r="35153" ht="14.25" customHeight="1" s="192">
      <c r="W35153" s="239" t="n"/>
      <c r="X35153" s="239" t="n"/>
    </row>
    <row r="35154" ht="14.25" customHeight="1" s="192">
      <c r="W35154" s="235" t="n"/>
      <c r="X35154" s="235" t="n"/>
    </row>
    <row r="35155" ht="14.25" customHeight="1" s="192">
      <c r="W35155" s="235" t="n"/>
      <c r="X35155" s="235" t="n"/>
    </row>
    <row r="35156" ht="14.25" customHeight="1" s="192">
      <c r="W35156" s="239" t="n"/>
      <c r="X35156" s="239" t="n"/>
    </row>
    <row r="35157" ht="14.25" customHeight="1" s="192">
      <c r="W35157" s="235" t="n"/>
      <c r="X35157" s="235" t="n"/>
    </row>
    <row r="35158" ht="14.25" customHeight="1" s="192">
      <c r="W35158" s="239" t="n"/>
      <c r="X35158" s="239" t="n"/>
    </row>
    <row r="35160" ht="14.25" customHeight="1" s="192">
      <c r="W35160" s="235" t="n"/>
      <c r="X35160" s="235" t="n"/>
    </row>
    <row r="35161" ht="15" customHeight="1" s="192" thickBot="1">
      <c r="W35161" s="239" t="n"/>
      <c r="X35161" s="239" t="n"/>
    </row>
    <row r="35162" ht="15" customHeight="1" s="192" thickBot="1">
      <c r="W35162" s="45" t="n"/>
      <c r="X35162" s="45" t="n"/>
    </row>
    <row r="35163" ht="14.25" customHeight="1" s="192">
      <c r="W35163" s="228" t="n"/>
      <c r="X35163" s="228" t="n"/>
    </row>
    <row r="35164" ht="14.25" customHeight="1" s="192">
      <c r="W35164" s="228" t="n"/>
      <c r="X35164" s="228" t="n"/>
    </row>
    <row r="35165" ht="14.25" customHeight="1" s="192">
      <c r="W35165" s="231" t="n"/>
      <c r="X35165" s="231" t="n"/>
    </row>
    <row r="35166" ht="14.25" customHeight="1" s="192">
      <c r="W35166" s="33" t="n"/>
      <c r="X35166" s="33" t="n"/>
    </row>
    <row r="35167" ht="14.25" customHeight="1" s="192">
      <c r="W35167" s="231" t="n"/>
      <c r="X35167" s="231" t="n"/>
    </row>
    <row r="35168" ht="14.25" customHeight="1" s="192">
      <c r="W35168" s="33" t="n"/>
      <c r="X35168" s="33" t="n"/>
    </row>
    <row r="35170" ht="14.25" customHeight="1" s="192">
      <c r="W35170" s="231" t="n"/>
      <c r="X35170" s="231" t="n"/>
    </row>
    <row r="35171" ht="14.25" customHeight="1" s="192">
      <c r="W35171" s="235" t="n"/>
      <c r="X35171" s="235" t="n"/>
    </row>
    <row r="35172" ht="14.25" customHeight="1" s="192">
      <c r="W35172" s="228" t="n"/>
      <c r="X35172" s="228" t="n"/>
    </row>
    <row r="35173" ht="14.25" customHeight="1" s="192">
      <c r="W35173" s="235" t="n"/>
      <c r="X35173" s="235" t="n"/>
    </row>
    <row r="35174" ht="14.25" customHeight="1" s="192">
      <c r="W35174" s="235" t="n"/>
      <c r="X35174" s="235" t="n"/>
    </row>
    <row r="35175" ht="14.25" customHeight="1" s="192">
      <c r="W35175" s="235" t="n"/>
      <c r="X35175" s="235" t="n"/>
    </row>
    <row r="35176" ht="14.25" customHeight="1" s="192">
      <c r="W35176" s="239" t="n"/>
      <c r="X35176" s="239" t="n"/>
    </row>
    <row r="35177" ht="14.25" customHeight="1" s="192">
      <c r="W35177" s="239" t="n"/>
      <c r="X35177" s="239" t="n"/>
    </row>
    <row r="35178" ht="14.25" customHeight="1" s="192">
      <c r="W35178" s="239" t="n"/>
      <c r="X35178" s="239" t="n"/>
    </row>
    <row r="35179" ht="14.25" customHeight="1" s="192">
      <c r="W35179" s="235" t="n"/>
      <c r="X35179" s="235" t="n"/>
    </row>
    <row r="35180" ht="14.25" customHeight="1" s="192">
      <c r="W35180" s="235" t="n"/>
      <c r="X35180" s="235" t="n"/>
    </row>
    <row r="35181" ht="14.25" customHeight="1" s="192">
      <c r="W35181" s="235" t="n"/>
      <c r="X35181" s="235" t="n"/>
    </row>
    <row r="35182" ht="14.25" customHeight="1" s="192">
      <c r="W35182" s="239" t="n"/>
      <c r="X35182" s="239" t="n"/>
    </row>
    <row r="35183" ht="14.25" customHeight="1" s="192">
      <c r="W35183" s="239" t="n"/>
      <c r="X35183" s="239" t="n"/>
    </row>
    <row r="35184" ht="14.25" customHeight="1" s="192">
      <c r="W35184" s="235" t="n"/>
      <c r="X35184" s="235" t="n"/>
    </row>
    <row r="35185" ht="14.25" customHeight="1" s="192">
      <c r="W35185" s="235" t="n"/>
      <c r="X35185" s="235" t="n"/>
    </row>
    <row r="35186" ht="14.25" customHeight="1" s="192">
      <c r="W35186" s="239" t="n"/>
      <c r="X35186" s="239" t="n"/>
    </row>
    <row r="35187" ht="14.25" customHeight="1" s="192">
      <c r="W35187" s="235" t="n"/>
      <c r="X35187" s="235" t="n"/>
    </row>
    <row r="35188" ht="14.25" customHeight="1" s="192">
      <c r="W35188" s="239" t="n"/>
      <c r="X35188" s="239" t="n"/>
    </row>
    <row r="35190" ht="14.25" customHeight="1" s="192">
      <c r="W35190" s="235" t="n"/>
      <c r="X35190" s="235" t="n"/>
    </row>
    <row r="35191" ht="15" customHeight="1" s="192" thickBot="1">
      <c r="W35191" s="239" t="n"/>
      <c r="X35191" s="239" t="n"/>
    </row>
    <row r="35192" ht="15" customHeight="1" s="192" thickBot="1">
      <c r="W35192" s="45" t="n"/>
      <c r="X35192" s="45" t="n"/>
    </row>
    <row r="35193" ht="14.25" customHeight="1" s="192">
      <c r="W35193" s="228" t="n"/>
      <c r="X35193" s="228" t="n"/>
    </row>
    <row r="35194" ht="14.25" customHeight="1" s="192">
      <c r="W35194" s="228" t="n"/>
      <c r="X35194" s="228" t="n"/>
    </row>
    <row r="35195" ht="14.25" customHeight="1" s="192">
      <c r="W35195" s="231" t="n"/>
      <c r="X35195" s="231" t="n"/>
    </row>
    <row r="35196" ht="14.25" customHeight="1" s="192">
      <c r="W35196" s="33" t="n"/>
      <c r="X35196" s="33" t="n"/>
    </row>
    <row r="35197" ht="14.25" customHeight="1" s="192">
      <c r="W35197" s="231" t="n"/>
      <c r="X35197" s="231" t="n"/>
    </row>
    <row r="35198" ht="14.25" customHeight="1" s="192">
      <c r="W35198" s="33" t="n"/>
      <c r="X35198" s="33" t="n"/>
    </row>
    <row r="35200" ht="14.25" customHeight="1" s="192">
      <c r="W35200" s="231" t="n"/>
      <c r="X35200" s="231" t="n"/>
    </row>
    <row r="35201" ht="14.25" customHeight="1" s="192">
      <c r="W35201" s="235" t="n"/>
      <c r="X35201" s="235" t="n"/>
    </row>
    <row r="35202" ht="14.25" customHeight="1" s="192">
      <c r="W35202" s="228" t="n"/>
      <c r="X35202" s="228" t="n"/>
    </row>
    <row r="35203" ht="14.25" customHeight="1" s="192">
      <c r="W35203" s="235" t="n"/>
      <c r="X35203" s="235" t="n"/>
    </row>
    <row r="35204" ht="14.25" customHeight="1" s="192">
      <c r="W35204" s="235" t="n"/>
      <c r="X35204" s="235" t="n"/>
    </row>
    <row r="35205" ht="14.25" customHeight="1" s="192">
      <c r="W35205" s="235" t="n"/>
      <c r="X35205" s="235" t="n"/>
    </row>
    <row r="35206" ht="14.25" customHeight="1" s="192">
      <c r="W35206" s="239" t="n"/>
      <c r="X35206" s="239" t="n"/>
    </row>
    <row r="35207" ht="14.25" customHeight="1" s="192">
      <c r="W35207" s="239" t="n"/>
      <c r="X35207" s="239" t="n"/>
    </row>
    <row r="35208" ht="14.25" customHeight="1" s="192">
      <c r="W35208" s="239" t="n"/>
      <c r="X35208" s="239" t="n"/>
    </row>
    <row r="35209" ht="14.25" customHeight="1" s="192">
      <c r="W35209" s="235" t="n"/>
      <c r="X35209" s="235" t="n"/>
    </row>
    <row r="35210" ht="14.25" customHeight="1" s="192">
      <c r="W35210" s="235" t="n"/>
      <c r="X35210" s="235" t="n"/>
    </row>
    <row r="35211" ht="14.25" customHeight="1" s="192">
      <c r="W35211" s="235" t="n"/>
      <c r="X35211" s="235" t="n"/>
    </row>
    <row r="35212" ht="14.25" customHeight="1" s="192">
      <c r="W35212" s="239" t="n"/>
      <c r="X35212" s="239" t="n"/>
    </row>
    <row r="35213" ht="14.25" customHeight="1" s="192">
      <c r="W35213" s="239" t="n"/>
      <c r="X35213" s="239" t="n"/>
    </row>
    <row r="35214" ht="14.25" customHeight="1" s="192">
      <c r="W35214" s="235" t="n"/>
      <c r="X35214" s="235" t="n"/>
    </row>
    <row r="35215" ht="14.25" customHeight="1" s="192">
      <c r="W35215" s="235" t="n"/>
      <c r="X35215" s="235" t="n"/>
    </row>
    <row r="35216" ht="14.25" customHeight="1" s="192">
      <c r="W35216" s="239" t="n"/>
      <c r="X35216" s="239" t="n"/>
    </row>
    <row r="35217" ht="14.25" customHeight="1" s="192">
      <c r="W35217" s="235" t="n"/>
      <c r="X35217" s="235" t="n"/>
    </row>
    <row r="35218" ht="14.25" customHeight="1" s="192">
      <c r="W35218" s="239" t="n"/>
      <c r="X35218" s="239" t="n"/>
    </row>
    <row r="35220" ht="14.25" customHeight="1" s="192">
      <c r="W35220" s="235" t="n"/>
      <c r="X35220" s="235" t="n"/>
    </row>
    <row r="35221" ht="15" customHeight="1" s="192" thickBot="1">
      <c r="W35221" s="239" t="n"/>
      <c r="X35221" s="239" t="n"/>
    </row>
    <row r="35222" ht="15" customHeight="1" s="192" thickBot="1">
      <c r="W35222" s="45" t="n"/>
      <c r="X35222" s="45" t="n"/>
    </row>
    <row r="35223" ht="14.25" customHeight="1" s="192">
      <c r="W35223" s="228" t="n"/>
      <c r="X35223" s="228" t="n"/>
    </row>
    <row r="35224" ht="14.25" customHeight="1" s="192">
      <c r="W35224" s="228" t="n"/>
      <c r="X35224" s="228" t="n"/>
    </row>
    <row r="35225" ht="14.25" customHeight="1" s="192">
      <c r="W35225" s="231" t="n"/>
      <c r="X35225" s="231" t="n"/>
    </row>
    <row r="35226" ht="14.25" customHeight="1" s="192">
      <c r="W35226" s="33" t="n"/>
      <c r="X35226" s="33" t="n"/>
    </row>
    <row r="35227" ht="14.25" customHeight="1" s="192">
      <c r="W35227" s="231" t="n"/>
      <c r="X35227" s="231" t="n"/>
    </row>
    <row r="35228" ht="14.25" customHeight="1" s="192">
      <c r="W35228" s="33" t="n"/>
      <c r="X35228" s="33" t="n"/>
    </row>
    <row r="35230" ht="14.25" customHeight="1" s="192">
      <c r="W35230" s="231" t="n"/>
      <c r="X35230" s="231" t="n"/>
    </row>
    <row r="35231" ht="14.25" customHeight="1" s="192">
      <c r="W35231" s="235" t="n"/>
      <c r="X35231" s="235" t="n"/>
    </row>
    <row r="35232" ht="14.25" customHeight="1" s="192">
      <c r="W35232" s="228" t="n"/>
      <c r="X35232" s="228" t="n"/>
    </row>
    <row r="35233" ht="14.25" customHeight="1" s="192">
      <c r="W35233" s="235" t="n"/>
      <c r="X35233" s="235" t="n"/>
    </row>
    <row r="35234" ht="14.25" customHeight="1" s="192">
      <c r="W35234" s="235" t="n"/>
      <c r="X35234" s="235" t="n"/>
    </row>
    <row r="35235" ht="14.25" customHeight="1" s="192">
      <c r="W35235" s="235" t="n"/>
      <c r="X35235" s="235" t="n"/>
    </row>
    <row r="35236" ht="14.25" customHeight="1" s="192">
      <c r="W35236" s="239" t="n"/>
      <c r="X35236" s="239" t="n"/>
    </row>
    <row r="35237" ht="14.25" customHeight="1" s="192">
      <c r="W35237" s="239" t="n"/>
      <c r="X35237" s="239" t="n"/>
    </row>
    <row r="35238" ht="14.25" customHeight="1" s="192">
      <c r="W35238" s="239" t="n"/>
      <c r="X35238" s="239" t="n"/>
    </row>
    <row r="35239" ht="14.25" customHeight="1" s="192">
      <c r="W35239" s="235" t="n"/>
      <c r="X35239" s="235" t="n"/>
    </row>
    <row r="35240" ht="14.25" customHeight="1" s="192">
      <c r="W35240" s="235" t="n"/>
      <c r="X35240" s="235" t="n"/>
    </row>
    <row r="35241" ht="14.25" customHeight="1" s="192">
      <c r="W35241" s="235" t="n"/>
      <c r="X35241" s="235" t="n"/>
    </row>
    <row r="35242" ht="14.25" customHeight="1" s="192">
      <c r="W35242" s="239" t="n"/>
      <c r="X35242" s="239" t="n"/>
    </row>
    <row r="35243" ht="14.25" customHeight="1" s="192">
      <c r="W35243" s="239" t="n"/>
      <c r="X35243" s="239" t="n"/>
    </row>
    <row r="35244" ht="14.25" customHeight="1" s="192">
      <c r="W35244" s="235" t="n"/>
      <c r="X35244" s="235" t="n"/>
    </row>
    <row r="35245" ht="14.25" customHeight="1" s="192">
      <c r="W35245" s="235" t="n"/>
      <c r="X35245" s="235" t="n"/>
    </row>
    <row r="35246" ht="14.25" customHeight="1" s="192">
      <c r="W35246" s="239" t="n"/>
      <c r="X35246" s="239" t="n"/>
    </row>
    <row r="35247" ht="14.25" customHeight="1" s="192">
      <c r="W35247" s="235" t="n"/>
      <c r="X35247" s="235" t="n"/>
    </row>
    <row r="35248" ht="14.25" customHeight="1" s="192">
      <c r="W35248" s="239" t="n"/>
      <c r="X35248" s="239" t="n"/>
    </row>
    <row r="35250" ht="14.25" customHeight="1" s="192">
      <c r="W35250" s="235" t="n"/>
      <c r="X35250" s="235" t="n"/>
    </row>
    <row r="35251" ht="15" customHeight="1" s="192" thickBot="1">
      <c r="W35251" s="239" t="n"/>
      <c r="X35251" s="239" t="n"/>
    </row>
    <row r="35252" ht="15" customHeight="1" s="192" thickBot="1">
      <c r="W35252" s="45" t="n"/>
      <c r="X35252" s="45" t="n"/>
    </row>
    <row r="35253" ht="14.25" customHeight="1" s="192">
      <c r="W35253" s="228" t="n"/>
      <c r="X35253" s="228" t="n"/>
    </row>
    <row r="35254" ht="14.25" customHeight="1" s="192">
      <c r="W35254" s="228" t="n"/>
      <c r="X35254" s="228" t="n"/>
    </row>
    <row r="35255" ht="14.25" customHeight="1" s="192">
      <c r="W35255" s="231" t="n"/>
      <c r="X35255" s="231" t="n"/>
    </row>
    <row r="35256" ht="14.25" customHeight="1" s="192">
      <c r="W35256" s="33" t="n"/>
      <c r="X35256" s="33" t="n"/>
    </row>
    <row r="35257" ht="14.25" customHeight="1" s="192">
      <c r="W35257" s="231" t="n"/>
      <c r="X35257" s="231" t="n"/>
    </row>
    <row r="35258" ht="14.25" customHeight="1" s="192">
      <c r="W35258" s="33" t="n"/>
      <c r="X35258" s="33" t="n"/>
    </row>
    <row r="35260" ht="14.25" customHeight="1" s="192">
      <c r="W35260" s="231" t="n"/>
      <c r="X35260" s="231" t="n"/>
    </row>
    <row r="35261" ht="14.25" customHeight="1" s="192">
      <c r="W35261" s="235" t="n"/>
      <c r="X35261" s="235" t="n"/>
    </row>
    <row r="35262" ht="14.25" customHeight="1" s="192">
      <c r="W35262" s="228" t="n"/>
      <c r="X35262" s="228" t="n"/>
    </row>
    <row r="35263" ht="14.25" customHeight="1" s="192">
      <c r="W35263" s="235" t="n"/>
      <c r="X35263" s="235" t="n"/>
    </row>
    <row r="35264" ht="14.25" customHeight="1" s="192">
      <c r="W35264" s="235" t="n"/>
      <c r="X35264" s="235" t="n"/>
    </row>
    <row r="35265" ht="14.25" customHeight="1" s="192">
      <c r="W35265" s="235" t="n"/>
      <c r="X35265" s="235" t="n"/>
    </row>
    <row r="35266" ht="14.25" customHeight="1" s="192">
      <c r="W35266" s="239" t="n"/>
      <c r="X35266" s="239" t="n"/>
    </row>
    <row r="35267" ht="14.25" customHeight="1" s="192">
      <c r="W35267" s="239" t="n"/>
      <c r="X35267" s="239" t="n"/>
    </row>
    <row r="35268" ht="14.25" customHeight="1" s="192">
      <c r="W35268" s="239" t="n"/>
      <c r="X35268" s="239" t="n"/>
    </row>
    <row r="35269" ht="14.25" customHeight="1" s="192">
      <c r="W35269" s="235" t="n"/>
      <c r="X35269" s="235" t="n"/>
    </row>
    <row r="35270" ht="14.25" customHeight="1" s="192">
      <c r="W35270" s="235" t="n"/>
      <c r="X35270" s="235" t="n"/>
    </row>
    <row r="35271" ht="14.25" customHeight="1" s="192">
      <c r="W35271" s="235" t="n"/>
      <c r="X35271" s="235" t="n"/>
    </row>
    <row r="35272" ht="14.25" customHeight="1" s="192">
      <c r="W35272" s="239" t="n"/>
      <c r="X35272" s="239" t="n"/>
    </row>
    <row r="35273" ht="14.25" customHeight="1" s="192">
      <c r="W35273" s="239" t="n"/>
      <c r="X35273" s="239" t="n"/>
    </row>
    <row r="35274" ht="14.25" customHeight="1" s="192">
      <c r="W35274" s="235" t="n"/>
      <c r="X35274" s="235" t="n"/>
    </row>
    <row r="35275" ht="14.25" customHeight="1" s="192">
      <c r="W35275" s="235" t="n"/>
      <c r="X35275" s="235" t="n"/>
    </row>
    <row r="35276" ht="14.25" customHeight="1" s="192">
      <c r="W35276" s="239" t="n"/>
      <c r="X35276" s="239" t="n"/>
    </row>
    <row r="35277" ht="14.25" customHeight="1" s="192">
      <c r="W35277" s="235" t="n"/>
      <c r="X35277" s="235" t="n"/>
    </row>
    <row r="35278" ht="14.25" customHeight="1" s="192">
      <c r="W35278" s="239" t="n"/>
      <c r="X35278" s="239" t="n"/>
    </row>
    <row r="35280" ht="14.25" customHeight="1" s="192">
      <c r="W35280" s="235" t="n"/>
      <c r="X35280" s="235" t="n"/>
    </row>
    <row r="35281" ht="15" customHeight="1" s="192" thickBot="1">
      <c r="W35281" s="239" t="n"/>
      <c r="X35281" s="239" t="n"/>
    </row>
    <row r="35282" ht="15" customHeight="1" s="192" thickBot="1">
      <c r="W35282" s="45" t="n"/>
      <c r="X35282" s="45" t="n"/>
    </row>
    <row r="35283" ht="14.25" customHeight="1" s="192">
      <c r="W35283" s="228" t="n"/>
      <c r="X35283" s="228" t="n"/>
    </row>
    <row r="35284" ht="14.25" customHeight="1" s="192">
      <c r="W35284" s="228" t="n"/>
      <c r="X35284" s="228" t="n"/>
    </row>
    <row r="35285" ht="14.25" customHeight="1" s="192">
      <c r="W35285" s="231" t="n"/>
      <c r="X35285" s="231" t="n"/>
    </row>
    <row r="35286" ht="14.25" customHeight="1" s="192">
      <c r="W35286" s="33" t="n"/>
      <c r="X35286" s="33" t="n"/>
    </row>
    <row r="35287" ht="14.25" customHeight="1" s="192">
      <c r="W35287" s="231" t="n"/>
      <c r="X35287" s="231" t="n"/>
    </row>
    <row r="35288" ht="14.25" customHeight="1" s="192">
      <c r="W35288" s="33" t="n"/>
      <c r="X35288" s="33" t="n"/>
    </row>
    <row r="35290" ht="14.25" customHeight="1" s="192">
      <c r="W35290" s="231" t="n"/>
      <c r="X35290" s="231" t="n"/>
    </row>
    <row r="35291" ht="14.25" customHeight="1" s="192">
      <c r="W35291" s="235" t="n"/>
      <c r="X35291" s="235" t="n"/>
    </row>
    <row r="35292" ht="14.25" customHeight="1" s="192">
      <c r="W35292" s="228" t="n"/>
      <c r="X35292" s="228" t="n"/>
    </row>
    <row r="35293" ht="14.25" customHeight="1" s="192">
      <c r="W35293" s="235" t="n"/>
      <c r="X35293" s="235" t="n"/>
    </row>
    <row r="35294" ht="14.25" customHeight="1" s="192">
      <c r="W35294" s="235" t="n"/>
      <c r="X35294" s="235" t="n"/>
    </row>
    <row r="35295" ht="14.25" customHeight="1" s="192">
      <c r="W35295" s="235" t="n"/>
      <c r="X35295" s="235" t="n"/>
    </row>
    <row r="35296" ht="14.25" customHeight="1" s="192">
      <c r="W35296" s="239" t="n"/>
      <c r="X35296" s="239" t="n"/>
    </row>
    <row r="35297" ht="14.25" customHeight="1" s="192">
      <c r="W35297" s="239" t="n"/>
      <c r="X35297" s="239" t="n"/>
    </row>
    <row r="35298" ht="14.25" customHeight="1" s="192">
      <c r="W35298" s="239" t="n"/>
      <c r="X35298" s="239" t="n"/>
    </row>
    <row r="35299" ht="14.25" customHeight="1" s="192">
      <c r="W35299" s="235" t="n"/>
      <c r="X35299" s="235" t="n"/>
    </row>
    <row r="35300" ht="14.25" customHeight="1" s="192">
      <c r="W35300" s="235" t="n"/>
      <c r="X35300" s="235" t="n"/>
    </row>
    <row r="35301" ht="14.25" customHeight="1" s="192">
      <c r="W35301" s="235" t="n"/>
      <c r="X35301" s="235" t="n"/>
    </row>
    <row r="35302" ht="14.25" customHeight="1" s="192">
      <c r="W35302" s="239" t="n"/>
      <c r="X35302" s="239" t="n"/>
    </row>
    <row r="35303" ht="14.25" customHeight="1" s="192">
      <c r="W35303" s="239" t="n"/>
      <c r="X35303" s="239" t="n"/>
    </row>
    <row r="35304" ht="14.25" customHeight="1" s="192">
      <c r="W35304" s="235" t="n"/>
      <c r="X35304" s="235" t="n"/>
    </row>
    <row r="35305" ht="14.25" customHeight="1" s="192">
      <c r="W35305" s="235" t="n"/>
      <c r="X35305" s="235" t="n"/>
    </row>
    <row r="35306" ht="14.25" customHeight="1" s="192">
      <c r="W35306" s="239" t="n"/>
      <c r="X35306" s="239" t="n"/>
    </row>
    <row r="35307" ht="14.25" customHeight="1" s="192">
      <c r="W35307" s="235" t="n"/>
      <c r="X35307" s="235" t="n"/>
    </row>
    <row r="35308" ht="14.25" customHeight="1" s="192">
      <c r="W35308" s="239" t="n"/>
      <c r="X35308" s="239" t="n"/>
    </row>
    <row r="35310" ht="14.25" customHeight="1" s="192">
      <c r="W35310" s="235" t="n"/>
      <c r="X35310" s="235" t="n"/>
    </row>
    <row r="35311" ht="15" customHeight="1" s="192" thickBot="1">
      <c r="W35311" s="239" t="n"/>
      <c r="X35311" s="239" t="n"/>
    </row>
    <row r="35312" ht="15" customHeight="1" s="192" thickBot="1">
      <c r="W35312" s="45" t="n"/>
      <c r="X35312" s="45" t="n"/>
    </row>
    <row r="35313" ht="14.25" customHeight="1" s="192">
      <c r="W35313" s="228" t="n"/>
      <c r="X35313" s="228" t="n"/>
    </row>
    <row r="35314" ht="14.25" customHeight="1" s="192">
      <c r="W35314" s="228" t="n"/>
      <c r="X35314" s="228" t="n"/>
    </row>
    <row r="35315" ht="14.25" customHeight="1" s="192">
      <c r="W35315" s="231" t="n"/>
      <c r="X35315" s="231" t="n"/>
    </row>
    <row r="35316" ht="14.25" customHeight="1" s="192">
      <c r="W35316" s="33" t="n"/>
      <c r="X35316" s="33" t="n"/>
    </row>
    <row r="35317" ht="14.25" customHeight="1" s="192">
      <c r="W35317" s="231" t="n"/>
      <c r="X35317" s="231" t="n"/>
    </row>
    <row r="35318" ht="14.25" customHeight="1" s="192">
      <c r="W35318" s="33" t="n"/>
      <c r="X35318" s="33" t="n"/>
    </row>
    <row r="35320" ht="14.25" customHeight="1" s="192">
      <c r="W35320" s="231" t="n"/>
      <c r="X35320" s="231" t="n"/>
    </row>
    <row r="35321" ht="14.25" customHeight="1" s="192">
      <c r="W35321" s="235" t="n"/>
      <c r="X35321" s="235" t="n"/>
    </row>
    <row r="35322" ht="14.25" customHeight="1" s="192">
      <c r="W35322" s="228" t="n"/>
      <c r="X35322" s="228" t="n"/>
    </row>
    <row r="35323" ht="14.25" customHeight="1" s="192">
      <c r="W35323" s="235" t="n"/>
      <c r="X35323" s="235" t="n"/>
    </row>
    <row r="35324" ht="14.25" customHeight="1" s="192">
      <c r="W35324" s="235" t="n"/>
      <c r="X35324" s="235" t="n"/>
    </row>
    <row r="35325" ht="14.25" customHeight="1" s="192">
      <c r="W35325" s="235" t="n"/>
      <c r="X35325" s="235" t="n"/>
    </row>
    <row r="35326" ht="14.25" customHeight="1" s="192">
      <c r="W35326" s="239" t="n"/>
      <c r="X35326" s="239" t="n"/>
    </row>
    <row r="35327" ht="14.25" customHeight="1" s="192">
      <c r="W35327" s="239" t="n"/>
      <c r="X35327" s="239" t="n"/>
    </row>
    <row r="35328" ht="14.25" customHeight="1" s="192">
      <c r="W35328" s="239" t="n"/>
      <c r="X35328" s="239" t="n"/>
    </row>
    <row r="35329" ht="14.25" customHeight="1" s="192">
      <c r="W35329" s="235" t="n"/>
      <c r="X35329" s="235" t="n"/>
    </row>
    <row r="35330" ht="14.25" customHeight="1" s="192">
      <c r="W35330" s="235" t="n"/>
      <c r="X35330" s="235" t="n"/>
    </row>
    <row r="35331" ht="14.25" customHeight="1" s="192">
      <c r="W35331" s="235" t="n"/>
      <c r="X35331" s="235" t="n"/>
    </row>
    <row r="35332" ht="14.25" customHeight="1" s="192">
      <c r="W35332" s="239" t="n"/>
      <c r="X35332" s="239" t="n"/>
    </row>
    <row r="35333" ht="14.25" customHeight="1" s="192">
      <c r="W35333" s="239" t="n"/>
      <c r="X35333" s="239" t="n"/>
    </row>
    <row r="35334" ht="14.25" customHeight="1" s="192">
      <c r="W35334" s="235" t="n"/>
      <c r="X35334" s="235" t="n"/>
    </row>
    <row r="35335" ht="14.25" customHeight="1" s="192">
      <c r="W35335" s="235" t="n"/>
      <c r="X35335" s="235" t="n"/>
    </row>
    <row r="35336" ht="14.25" customHeight="1" s="192">
      <c r="W35336" s="239" t="n"/>
      <c r="X35336" s="239" t="n"/>
    </row>
    <row r="35337" ht="14.25" customHeight="1" s="192">
      <c r="W35337" s="235" t="n"/>
      <c r="X35337" s="235" t="n"/>
    </row>
    <row r="35338" ht="14.25" customHeight="1" s="192">
      <c r="W35338" s="239" t="n"/>
      <c r="X35338" s="239" t="n"/>
    </row>
    <row r="35340" ht="14.25" customHeight="1" s="192">
      <c r="W35340" s="235" t="n"/>
      <c r="X35340" s="235" t="n"/>
    </row>
    <row r="35341" ht="15" customHeight="1" s="192" thickBot="1">
      <c r="W35341" s="239" t="n"/>
      <c r="X35341" s="239" t="n"/>
    </row>
    <row r="35342" ht="15" customHeight="1" s="192" thickBot="1">
      <c r="W35342" s="45" t="n"/>
      <c r="X35342" s="45" t="n"/>
    </row>
    <row r="35343" ht="14.25" customHeight="1" s="192">
      <c r="W35343" s="228" t="n"/>
      <c r="X35343" s="228" t="n"/>
    </row>
    <row r="35344" ht="14.25" customHeight="1" s="192">
      <c r="W35344" s="228" t="n"/>
      <c r="X35344" s="228" t="n"/>
    </row>
    <row r="35345" ht="14.25" customHeight="1" s="192">
      <c r="W35345" s="231" t="n"/>
      <c r="X35345" s="231" t="n"/>
    </row>
    <row r="35346" ht="14.25" customHeight="1" s="192">
      <c r="W35346" s="33" t="n"/>
      <c r="X35346" s="33" t="n"/>
    </row>
    <row r="35347" ht="14.25" customHeight="1" s="192">
      <c r="W35347" s="231" t="n"/>
      <c r="X35347" s="231" t="n"/>
    </row>
    <row r="35348" ht="14.25" customHeight="1" s="192">
      <c r="W35348" s="33" t="n"/>
      <c r="X35348" s="33" t="n"/>
    </row>
    <row r="35350" ht="14.25" customHeight="1" s="192">
      <c r="W35350" s="231" t="n"/>
      <c r="X35350" s="231" t="n"/>
    </row>
    <row r="35351" ht="14.25" customHeight="1" s="192">
      <c r="W35351" s="235" t="n"/>
      <c r="X35351" s="235" t="n"/>
    </row>
    <row r="35352" ht="14.25" customHeight="1" s="192">
      <c r="W35352" s="228" t="n"/>
      <c r="X35352" s="228" t="n"/>
    </row>
    <row r="35353" ht="14.25" customHeight="1" s="192">
      <c r="W35353" s="235" t="n"/>
      <c r="X35353" s="235" t="n"/>
    </row>
    <row r="35354" ht="14.25" customHeight="1" s="192">
      <c r="W35354" s="235" t="n"/>
      <c r="X35354" s="235" t="n"/>
    </row>
    <row r="35355" ht="14.25" customHeight="1" s="192">
      <c r="W35355" s="235" t="n"/>
      <c r="X35355" s="235" t="n"/>
    </row>
    <row r="35356" ht="14.25" customHeight="1" s="192">
      <c r="W35356" s="239" t="n"/>
      <c r="X35356" s="239" t="n"/>
    </row>
    <row r="35357" ht="14.25" customHeight="1" s="192">
      <c r="W35357" s="239" t="n"/>
      <c r="X35357" s="239" t="n"/>
    </row>
    <row r="35358" ht="14.25" customHeight="1" s="192">
      <c r="W35358" s="239" t="n"/>
      <c r="X35358" s="239" t="n"/>
    </row>
    <row r="35359" ht="14.25" customHeight="1" s="192">
      <c r="W35359" s="235" t="n"/>
      <c r="X35359" s="235" t="n"/>
    </row>
    <row r="35360" ht="14.25" customHeight="1" s="192">
      <c r="W35360" s="235" t="n"/>
      <c r="X35360" s="235" t="n"/>
    </row>
    <row r="35361" ht="14.25" customHeight="1" s="192">
      <c r="W35361" s="235" t="n"/>
      <c r="X35361" s="235" t="n"/>
    </row>
    <row r="35362" ht="14.25" customHeight="1" s="192">
      <c r="W35362" s="239" t="n"/>
      <c r="X35362" s="239" t="n"/>
    </row>
    <row r="35363" ht="14.25" customHeight="1" s="192">
      <c r="W35363" s="239" t="n"/>
      <c r="X35363" s="239" t="n"/>
    </row>
    <row r="35364" ht="14.25" customHeight="1" s="192">
      <c r="W35364" s="235" t="n"/>
      <c r="X35364" s="235" t="n"/>
    </row>
    <row r="35365" ht="14.25" customHeight="1" s="192">
      <c r="W35365" s="235" t="n"/>
      <c r="X35365" s="235" t="n"/>
    </row>
    <row r="35366" ht="14.25" customHeight="1" s="192">
      <c r="W35366" s="239" t="n"/>
      <c r="X35366" s="239" t="n"/>
    </row>
    <row r="35367" ht="14.25" customHeight="1" s="192">
      <c r="W35367" s="235" t="n"/>
      <c r="X35367" s="235" t="n"/>
    </row>
    <row r="35368" ht="14.25" customHeight="1" s="192">
      <c r="W35368" s="239" t="n"/>
      <c r="X35368" s="239" t="n"/>
    </row>
    <row r="35370" ht="14.25" customHeight="1" s="192">
      <c r="W35370" s="235" t="n"/>
      <c r="X35370" s="235" t="n"/>
    </row>
    <row r="35371" ht="15" customHeight="1" s="192" thickBot="1">
      <c r="W35371" s="239" t="n"/>
      <c r="X35371" s="239" t="n"/>
    </row>
    <row r="35372" ht="15" customHeight="1" s="192" thickBot="1">
      <c r="W35372" s="45" t="n"/>
      <c r="X35372" s="45" t="n"/>
    </row>
    <row r="35373" ht="14.25" customHeight="1" s="192">
      <c r="W35373" s="228" t="n"/>
      <c r="X35373" s="228" t="n"/>
    </row>
    <row r="35374" ht="14.25" customHeight="1" s="192">
      <c r="W35374" s="228" t="n"/>
      <c r="X35374" s="228" t="n"/>
    </row>
    <row r="35375" ht="14.25" customHeight="1" s="192">
      <c r="W35375" s="231" t="n"/>
      <c r="X35375" s="231" t="n"/>
    </row>
    <row r="35376" ht="14.25" customHeight="1" s="192">
      <c r="W35376" s="33" t="n"/>
      <c r="X35376" s="33" t="n"/>
    </row>
    <row r="35377" ht="14.25" customHeight="1" s="192">
      <c r="W35377" s="231" t="n"/>
      <c r="X35377" s="231" t="n"/>
    </row>
    <row r="35378" ht="14.25" customHeight="1" s="192">
      <c r="W35378" s="33" t="n"/>
      <c r="X35378" s="33" t="n"/>
    </row>
    <row r="35380" ht="14.25" customHeight="1" s="192">
      <c r="W35380" s="231" t="n"/>
      <c r="X35380" s="231" t="n"/>
    </row>
    <row r="35381" ht="14.25" customHeight="1" s="192">
      <c r="W35381" s="235" t="n"/>
      <c r="X35381" s="235" t="n"/>
    </row>
    <row r="35382" ht="14.25" customHeight="1" s="192">
      <c r="W35382" s="228" t="n"/>
      <c r="X35382" s="228" t="n"/>
    </row>
    <row r="35383" ht="14.25" customHeight="1" s="192">
      <c r="W35383" s="235" t="n"/>
      <c r="X35383" s="235" t="n"/>
    </row>
    <row r="35384" ht="14.25" customHeight="1" s="192">
      <c r="W35384" s="235" t="n"/>
      <c r="X35384" s="235" t="n"/>
    </row>
    <row r="35385" ht="14.25" customHeight="1" s="192">
      <c r="W35385" s="235" t="n"/>
      <c r="X35385" s="235" t="n"/>
    </row>
    <row r="35386" ht="14.25" customHeight="1" s="192">
      <c r="W35386" s="239" t="n"/>
      <c r="X35386" s="239" t="n"/>
    </row>
    <row r="35387" ht="14.25" customHeight="1" s="192">
      <c r="W35387" s="239" t="n"/>
      <c r="X35387" s="239" t="n"/>
    </row>
    <row r="35388" ht="14.25" customHeight="1" s="192">
      <c r="W35388" s="239" t="n"/>
      <c r="X35388" s="239" t="n"/>
    </row>
    <row r="35389" ht="14.25" customHeight="1" s="192">
      <c r="W35389" s="235" t="n"/>
      <c r="X35389" s="235" t="n"/>
    </row>
    <row r="35390" ht="14.25" customHeight="1" s="192">
      <c r="W35390" s="235" t="n"/>
      <c r="X35390" s="235" t="n"/>
    </row>
    <row r="35391" ht="14.25" customHeight="1" s="192">
      <c r="W35391" s="235" t="n"/>
      <c r="X35391" s="235" t="n"/>
    </row>
    <row r="35392" ht="14.25" customHeight="1" s="192">
      <c r="W35392" s="239" t="n"/>
      <c r="X35392" s="239" t="n"/>
    </row>
    <row r="35393" ht="14.25" customHeight="1" s="192">
      <c r="W35393" s="239" t="n"/>
      <c r="X35393" s="239" t="n"/>
    </row>
    <row r="35394" ht="14.25" customHeight="1" s="192">
      <c r="W35394" s="235" t="n"/>
      <c r="X35394" s="235" t="n"/>
    </row>
    <row r="35395" ht="14.25" customHeight="1" s="192">
      <c r="W35395" s="235" t="n"/>
      <c r="X35395" s="235" t="n"/>
    </row>
    <row r="35396" ht="14.25" customHeight="1" s="192">
      <c r="W35396" s="239" t="n"/>
      <c r="X35396" s="239" t="n"/>
    </row>
    <row r="35397" ht="14.25" customHeight="1" s="192">
      <c r="W35397" s="235" t="n"/>
      <c r="X35397" s="235" t="n"/>
    </row>
    <row r="35398" ht="14.25" customHeight="1" s="192">
      <c r="W35398" s="239" t="n"/>
      <c r="X35398" s="239" t="n"/>
    </row>
    <row r="35400" ht="14.25" customHeight="1" s="192">
      <c r="W35400" s="235" t="n"/>
      <c r="X35400" s="235" t="n"/>
    </row>
    <row r="35401" ht="15" customHeight="1" s="192" thickBot="1">
      <c r="W35401" s="239" t="n"/>
      <c r="X35401" s="239" t="n"/>
    </row>
    <row r="35402" ht="15" customHeight="1" s="192" thickBot="1">
      <c r="W35402" s="45" t="n"/>
      <c r="X35402" s="45" t="n"/>
    </row>
    <row r="35403" ht="14.25" customHeight="1" s="192">
      <c r="W35403" s="228" t="n"/>
      <c r="X35403" s="228" t="n"/>
    </row>
    <row r="35404" ht="14.25" customHeight="1" s="192">
      <c r="W35404" s="228" t="n"/>
      <c r="X35404" s="228" t="n"/>
    </row>
    <row r="35405" ht="14.25" customHeight="1" s="192">
      <c r="W35405" s="231" t="n"/>
      <c r="X35405" s="231" t="n"/>
    </row>
    <row r="35406" ht="14.25" customHeight="1" s="192">
      <c r="W35406" s="33" t="n"/>
      <c r="X35406" s="33" t="n"/>
    </row>
    <row r="35407" ht="14.25" customHeight="1" s="192">
      <c r="W35407" s="231" t="n"/>
      <c r="X35407" s="231" t="n"/>
    </row>
    <row r="35408" ht="14.25" customHeight="1" s="192">
      <c r="W35408" s="33" t="n"/>
      <c r="X35408" s="33" t="n"/>
    </row>
    <row r="35410" ht="14.25" customHeight="1" s="192">
      <c r="W35410" s="231" t="n"/>
      <c r="X35410" s="231" t="n"/>
    </row>
    <row r="35411" ht="14.25" customHeight="1" s="192">
      <c r="W35411" s="235" t="n"/>
      <c r="X35411" s="235" t="n"/>
    </row>
    <row r="35412" ht="14.25" customHeight="1" s="192">
      <c r="W35412" s="228" t="n"/>
      <c r="X35412" s="228" t="n"/>
    </row>
    <row r="35413" ht="14.25" customHeight="1" s="192">
      <c r="W35413" s="235" t="n"/>
      <c r="X35413" s="235" t="n"/>
    </row>
    <row r="35414" ht="14.25" customHeight="1" s="192">
      <c r="W35414" s="235" t="n"/>
      <c r="X35414" s="235" t="n"/>
    </row>
    <row r="35415" ht="14.25" customHeight="1" s="192">
      <c r="W35415" s="235" t="n"/>
      <c r="X35415" s="235" t="n"/>
    </row>
    <row r="35416" ht="14.25" customHeight="1" s="192">
      <c r="W35416" s="239" t="n"/>
      <c r="X35416" s="239" t="n"/>
    </row>
    <row r="35417" ht="14.25" customHeight="1" s="192">
      <c r="W35417" s="239" t="n"/>
      <c r="X35417" s="239" t="n"/>
    </row>
    <row r="35418" ht="14.25" customHeight="1" s="192">
      <c r="W35418" s="239" t="n"/>
      <c r="X35418" s="239" t="n"/>
    </row>
    <row r="35419" ht="14.25" customHeight="1" s="192">
      <c r="W35419" s="235" t="n"/>
      <c r="X35419" s="235" t="n"/>
    </row>
    <row r="35420" ht="14.25" customHeight="1" s="192">
      <c r="W35420" s="235" t="n"/>
      <c r="X35420" s="235" t="n"/>
    </row>
    <row r="35421" ht="14.25" customHeight="1" s="192">
      <c r="W35421" s="235" t="n"/>
      <c r="X35421" s="235" t="n"/>
    </row>
    <row r="35422" ht="14.25" customHeight="1" s="192">
      <c r="W35422" s="239" t="n"/>
      <c r="X35422" s="239" t="n"/>
    </row>
    <row r="35423" ht="14.25" customHeight="1" s="192">
      <c r="W35423" s="239" t="n"/>
      <c r="X35423" s="239" t="n"/>
    </row>
    <row r="35424" ht="14.25" customHeight="1" s="192">
      <c r="W35424" s="235" t="n"/>
      <c r="X35424" s="235" t="n"/>
    </row>
    <row r="35425" ht="14.25" customHeight="1" s="192">
      <c r="W35425" s="235" t="n"/>
      <c r="X35425" s="235" t="n"/>
    </row>
    <row r="35426" ht="14.25" customHeight="1" s="192">
      <c r="W35426" s="239" t="n"/>
      <c r="X35426" s="239" t="n"/>
    </row>
    <row r="35427" ht="14.25" customHeight="1" s="192">
      <c r="W35427" s="235" t="n"/>
      <c r="X35427" s="235" t="n"/>
    </row>
    <row r="35428" ht="14.25" customHeight="1" s="192">
      <c r="W35428" s="239" t="n"/>
      <c r="X35428" s="239" t="n"/>
    </row>
    <row r="35430" ht="14.25" customHeight="1" s="192">
      <c r="W35430" s="235" t="n"/>
      <c r="X35430" s="235" t="n"/>
    </row>
    <row r="35431" ht="15" customHeight="1" s="192" thickBot="1">
      <c r="W35431" s="239" t="n"/>
      <c r="X35431" s="239" t="n"/>
    </row>
    <row r="35432" ht="15" customHeight="1" s="192" thickBot="1">
      <c r="W35432" s="45" t="n"/>
      <c r="X35432" s="45" t="n"/>
    </row>
    <row r="35433" ht="14.25" customHeight="1" s="192">
      <c r="W35433" s="228" t="n"/>
      <c r="X35433" s="228" t="n"/>
    </row>
    <row r="35434" ht="14.25" customHeight="1" s="192">
      <c r="W35434" s="228" t="n"/>
      <c r="X35434" s="228" t="n"/>
    </row>
    <row r="35435" ht="14.25" customHeight="1" s="192">
      <c r="W35435" s="231" t="n"/>
      <c r="X35435" s="231" t="n"/>
    </row>
    <row r="35436" ht="14.25" customHeight="1" s="192">
      <c r="W35436" s="33" t="n"/>
      <c r="X35436" s="33" t="n"/>
    </row>
    <row r="35437" ht="14.25" customHeight="1" s="192">
      <c r="W35437" s="231" t="n"/>
      <c r="X35437" s="231" t="n"/>
    </row>
    <row r="35438" ht="14.25" customHeight="1" s="192">
      <c r="W35438" s="33" t="n"/>
      <c r="X35438" s="33" t="n"/>
    </row>
    <row r="35440" ht="14.25" customHeight="1" s="192">
      <c r="W35440" s="231" t="n"/>
      <c r="X35440" s="231" t="n"/>
    </row>
    <row r="35441" ht="14.25" customHeight="1" s="192">
      <c r="W35441" s="235" t="n"/>
      <c r="X35441" s="235" t="n"/>
    </row>
    <row r="35442" ht="14.25" customHeight="1" s="192">
      <c r="W35442" s="228" t="n"/>
      <c r="X35442" s="228" t="n"/>
    </row>
    <row r="35443" ht="14.25" customHeight="1" s="192">
      <c r="W35443" s="235" t="n"/>
      <c r="X35443" s="235" t="n"/>
    </row>
    <row r="35444" ht="14.25" customHeight="1" s="192">
      <c r="W35444" s="235" t="n"/>
      <c r="X35444" s="235" t="n"/>
    </row>
    <row r="35445" ht="14.25" customHeight="1" s="192">
      <c r="W35445" s="235" t="n"/>
      <c r="X35445" s="235" t="n"/>
    </row>
    <row r="35446" ht="14.25" customHeight="1" s="192">
      <c r="W35446" s="239" t="n"/>
      <c r="X35446" s="239" t="n"/>
    </row>
    <row r="35447" ht="14.25" customHeight="1" s="192">
      <c r="W35447" s="239" t="n"/>
      <c r="X35447" s="239" t="n"/>
    </row>
    <row r="35448" ht="14.25" customHeight="1" s="192">
      <c r="W35448" s="239" t="n"/>
      <c r="X35448" s="239" t="n"/>
    </row>
    <row r="35449" ht="14.25" customHeight="1" s="192">
      <c r="W35449" s="235" t="n"/>
      <c r="X35449" s="235" t="n"/>
    </row>
    <row r="35450" ht="14.25" customHeight="1" s="192">
      <c r="W35450" s="235" t="n"/>
      <c r="X35450" s="235" t="n"/>
    </row>
    <row r="35451" ht="14.25" customHeight="1" s="192">
      <c r="W35451" s="235" t="n"/>
      <c r="X35451" s="235" t="n"/>
    </row>
    <row r="35452" ht="14.25" customHeight="1" s="192">
      <c r="W35452" s="239" t="n"/>
      <c r="X35452" s="239" t="n"/>
    </row>
    <row r="35453" ht="14.25" customHeight="1" s="192">
      <c r="W35453" s="239" t="n"/>
      <c r="X35453" s="239" t="n"/>
    </row>
    <row r="35454" ht="14.25" customHeight="1" s="192">
      <c r="W35454" s="235" t="n"/>
      <c r="X35454" s="235" t="n"/>
    </row>
    <row r="35455" ht="14.25" customHeight="1" s="192">
      <c r="W35455" s="235" t="n"/>
      <c r="X35455" s="235" t="n"/>
    </row>
    <row r="35456" ht="14.25" customHeight="1" s="192">
      <c r="W35456" s="239" t="n"/>
      <c r="X35456" s="239" t="n"/>
    </row>
    <row r="35457" ht="14.25" customHeight="1" s="192">
      <c r="W35457" s="235" t="n"/>
      <c r="X35457" s="235" t="n"/>
    </row>
    <row r="35458" ht="14.25" customHeight="1" s="192">
      <c r="W35458" s="239" t="n"/>
      <c r="X35458" s="239" t="n"/>
    </row>
    <row r="35460" ht="14.25" customHeight="1" s="192">
      <c r="W35460" s="235" t="n"/>
      <c r="X35460" s="235" t="n"/>
    </row>
    <row r="35461" ht="15" customHeight="1" s="192" thickBot="1">
      <c r="W35461" s="239" t="n"/>
      <c r="X35461" s="239" t="n"/>
    </row>
    <row r="35462" ht="15" customHeight="1" s="192" thickBot="1">
      <c r="W35462" s="45" t="n"/>
      <c r="X35462" s="45" t="n"/>
    </row>
    <row r="35463" ht="14.25" customHeight="1" s="192">
      <c r="W35463" s="228" t="n"/>
      <c r="X35463" s="228" t="n"/>
    </row>
    <row r="35464" ht="14.25" customHeight="1" s="192">
      <c r="W35464" s="228" t="n"/>
      <c r="X35464" s="228" t="n"/>
    </row>
    <row r="35465" ht="14.25" customHeight="1" s="192">
      <c r="W35465" s="231" t="n"/>
      <c r="X35465" s="231" t="n"/>
    </row>
    <row r="35466" ht="14.25" customHeight="1" s="192">
      <c r="W35466" s="33" t="n"/>
      <c r="X35466" s="33" t="n"/>
    </row>
    <row r="35467" ht="14.25" customHeight="1" s="192">
      <c r="W35467" s="231" t="n"/>
      <c r="X35467" s="231" t="n"/>
    </row>
    <row r="35468" ht="14.25" customHeight="1" s="192">
      <c r="W35468" s="33" t="n"/>
      <c r="X35468" s="33" t="n"/>
    </row>
    <row r="35470" ht="14.25" customHeight="1" s="192">
      <c r="W35470" s="231" t="n"/>
      <c r="X35470" s="231" t="n"/>
    </row>
    <row r="35471" ht="14.25" customHeight="1" s="192">
      <c r="W35471" s="235" t="n"/>
      <c r="X35471" s="235" t="n"/>
    </row>
    <row r="35472" ht="14.25" customHeight="1" s="192">
      <c r="W35472" s="228" t="n"/>
      <c r="X35472" s="228" t="n"/>
    </row>
    <row r="35473" ht="14.25" customHeight="1" s="192">
      <c r="W35473" s="235" t="n"/>
      <c r="X35473" s="235" t="n"/>
    </row>
    <row r="35474" ht="14.25" customHeight="1" s="192">
      <c r="W35474" s="235" t="n"/>
      <c r="X35474" s="235" t="n"/>
    </row>
    <row r="35475" ht="14.25" customHeight="1" s="192">
      <c r="W35475" s="235" t="n"/>
      <c r="X35475" s="235" t="n"/>
    </row>
    <row r="35476" ht="14.25" customHeight="1" s="192">
      <c r="W35476" s="239" t="n"/>
      <c r="X35476" s="239" t="n"/>
    </row>
    <row r="35477" ht="14.25" customHeight="1" s="192">
      <c r="W35477" s="239" t="n"/>
      <c r="X35477" s="239" t="n"/>
    </row>
    <row r="35478" ht="14.25" customHeight="1" s="192">
      <c r="W35478" s="239" t="n"/>
      <c r="X35478" s="239" t="n"/>
    </row>
    <row r="35479" ht="14.25" customHeight="1" s="192">
      <c r="W35479" s="235" t="n"/>
      <c r="X35479" s="235" t="n"/>
    </row>
    <row r="35480" ht="14.25" customHeight="1" s="192">
      <c r="W35480" s="235" t="n"/>
      <c r="X35480" s="235" t="n"/>
    </row>
    <row r="35481" ht="14.25" customHeight="1" s="192">
      <c r="W35481" s="235" t="n"/>
      <c r="X35481" s="235" t="n"/>
    </row>
    <row r="35482" ht="14.25" customHeight="1" s="192">
      <c r="W35482" s="239" t="n"/>
      <c r="X35482" s="239" t="n"/>
    </row>
    <row r="35483" ht="14.25" customHeight="1" s="192">
      <c r="W35483" s="239" t="n"/>
      <c r="X35483" s="239" t="n"/>
    </row>
    <row r="35484" ht="14.25" customHeight="1" s="192">
      <c r="W35484" s="235" t="n"/>
      <c r="X35484" s="235" t="n"/>
    </row>
    <row r="35485" ht="14.25" customHeight="1" s="192">
      <c r="W35485" s="235" t="n"/>
      <c r="X35485" s="235" t="n"/>
    </row>
    <row r="35486" ht="14.25" customHeight="1" s="192">
      <c r="W35486" s="239" t="n"/>
      <c r="X35486" s="239" t="n"/>
    </row>
    <row r="35487" ht="14.25" customHeight="1" s="192">
      <c r="W35487" s="235" t="n"/>
      <c r="X35487" s="235" t="n"/>
    </row>
    <row r="35488" ht="14.25" customHeight="1" s="192">
      <c r="W35488" s="239" t="n"/>
      <c r="X35488" s="239" t="n"/>
    </row>
    <row r="35490" ht="14.25" customHeight="1" s="192">
      <c r="W35490" s="235" t="n"/>
      <c r="X35490" s="235" t="n"/>
    </row>
    <row r="35491" ht="15" customHeight="1" s="192" thickBot="1">
      <c r="W35491" s="239" t="n"/>
      <c r="X35491" s="239" t="n"/>
    </row>
    <row r="35492" ht="15" customHeight="1" s="192" thickBot="1">
      <c r="W35492" s="45" t="n"/>
      <c r="X35492" s="45" t="n"/>
    </row>
    <row r="35493" ht="14.25" customHeight="1" s="192">
      <c r="W35493" s="228" t="n"/>
      <c r="X35493" s="228" t="n"/>
    </row>
    <row r="35494" ht="14.25" customHeight="1" s="192">
      <c r="W35494" s="228" t="n"/>
      <c r="X35494" s="228" t="n"/>
    </row>
    <row r="35495" ht="14.25" customHeight="1" s="192">
      <c r="W35495" s="231" t="n"/>
      <c r="X35495" s="231" t="n"/>
    </row>
    <row r="35496" ht="14.25" customHeight="1" s="192">
      <c r="W35496" s="33" t="n"/>
      <c r="X35496" s="33" t="n"/>
    </row>
    <row r="35497" ht="14.25" customHeight="1" s="192">
      <c r="W35497" s="231" t="n"/>
      <c r="X35497" s="231" t="n"/>
    </row>
    <row r="35498" ht="14.25" customHeight="1" s="192">
      <c r="W35498" s="33" t="n"/>
      <c r="X35498" s="33" t="n"/>
    </row>
    <row r="35500" ht="14.25" customHeight="1" s="192">
      <c r="W35500" s="231" t="n"/>
      <c r="X35500" s="231" t="n"/>
    </row>
    <row r="35501" ht="14.25" customHeight="1" s="192">
      <c r="W35501" s="235" t="n"/>
      <c r="X35501" s="235" t="n"/>
    </row>
    <row r="35502" ht="14.25" customHeight="1" s="192">
      <c r="W35502" s="228" t="n"/>
      <c r="X35502" s="228" t="n"/>
    </row>
    <row r="35503" ht="14.25" customHeight="1" s="192">
      <c r="W35503" s="235" t="n"/>
      <c r="X35503" s="235" t="n"/>
    </row>
    <row r="35504" ht="14.25" customHeight="1" s="192">
      <c r="W35504" s="235" t="n"/>
      <c r="X35504" s="235" t="n"/>
    </row>
    <row r="35505" ht="14.25" customHeight="1" s="192">
      <c r="W35505" s="235" t="n"/>
      <c r="X35505" s="235" t="n"/>
    </row>
    <row r="35506" ht="14.25" customHeight="1" s="192">
      <c r="W35506" s="239" t="n"/>
      <c r="X35506" s="239" t="n"/>
    </row>
    <row r="35507" ht="14.25" customHeight="1" s="192">
      <c r="W35507" s="239" t="n"/>
      <c r="X35507" s="239" t="n"/>
    </row>
    <row r="35508" ht="14.25" customHeight="1" s="192">
      <c r="W35508" s="239" t="n"/>
      <c r="X35508" s="239" t="n"/>
    </row>
    <row r="35509" ht="14.25" customHeight="1" s="192">
      <c r="W35509" s="235" t="n"/>
      <c r="X35509" s="235" t="n"/>
    </row>
    <row r="35510" ht="14.25" customHeight="1" s="192">
      <c r="W35510" s="235" t="n"/>
      <c r="X35510" s="235" t="n"/>
    </row>
    <row r="35511" ht="14.25" customHeight="1" s="192">
      <c r="W35511" s="235" t="n"/>
      <c r="X35511" s="235" t="n"/>
    </row>
    <row r="35512" ht="14.25" customHeight="1" s="192">
      <c r="W35512" s="239" t="n"/>
      <c r="X35512" s="239" t="n"/>
    </row>
    <row r="35513" ht="14.25" customHeight="1" s="192">
      <c r="W35513" s="239" t="n"/>
      <c r="X35513" s="239" t="n"/>
    </row>
    <row r="35514" ht="14.25" customHeight="1" s="192">
      <c r="W35514" s="235" t="n"/>
      <c r="X35514" s="235" t="n"/>
    </row>
    <row r="35515" ht="14.25" customHeight="1" s="192">
      <c r="W35515" s="235" t="n"/>
      <c r="X35515" s="235" t="n"/>
    </row>
    <row r="35516" ht="14.25" customHeight="1" s="192">
      <c r="W35516" s="239" t="n"/>
      <c r="X35516" s="239" t="n"/>
    </row>
    <row r="35517" ht="14.25" customHeight="1" s="192">
      <c r="W35517" s="235" t="n"/>
      <c r="X35517" s="235" t="n"/>
    </row>
    <row r="35518" ht="14.25" customHeight="1" s="192">
      <c r="W35518" s="239" t="n"/>
      <c r="X35518" s="239" t="n"/>
    </row>
    <row r="35520" ht="14.25" customHeight="1" s="192">
      <c r="W35520" s="235" t="n"/>
      <c r="X35520" s="235" t="n"/>
    </row>
    <row r="35521" ht="15" customHeight="1" s="192" thickBot="1">
      <c r="W35521" s="239" t="n"/>
      <c r="X35521" s="239" t="n"/>
    </row>
    <row r="35522" ht="15" customHeight="1" s="192" thickBot="1">
      <c r="W35522" s="45" t="n"/>
      <c r="X35522" s="45" t="n"/>
    </row>
    <row r="35523" ht="14.25" customHeight="1" s="192">
      <c r="W35523" s="228" t="n"/>
      <c r="X35523" s="228" t="n"/>
    </row>
    <row r="35524" ht="14.25" customHeight="1" s="192">
      <c r="W35524" s="228" t="n"/>
      <c r="X35524" s="228" t="n"/>
    </row>
    <row r="35525" ht="14.25" customHeight="1" s="192">
      <c r="W35525" s="231" t="n"/>
      <c r="X35525" s="231" t="n"/>
    </row>
    <row r="35526" ht="14.25" customHeight="1" s="192">
      <c r="W35526" s="33" t="n"/>
      <c r="X35526" s="33" t="n"/>
    </row>
    <row r="35527" ht="14.25" customHeight="1" s="192">
      <c r="W35527" s="231" t="n"/>
      <c r="X35527" s="231" t="n"/>
    </row>
    <row r="35528" ht="14.25" customHeight="1" s="192">
      <c r="W35528" s="33" t="n"/>
      <c r="X35528" s="33" t="n"/>
    </row>
    <row r="35530" ht="14.25" customHeight="1" s="192">
      <c r="W35530" s="231" t="n"/>
      <c r="X35530" s="231" t="n"/>
    </row>
    <row r="35531" ht="14.25" customHeight="1" s="192">
      <c r="W35531" s="235" t="n"/>
      <c r="X35531" s="235" t="n"/>
    </row>
    <row r="35532" ht="14.25" customHeight="1" s="192">
      <c r="W35532" s="228" t="n"/>
      <c r="X35532" s="228" t="n"/>
    </row>
    <row r="35533" ht="14.25" customHeight="1" s="192">
      <c r="W35533" s="235" t="n"/>
      <c r="X35533" s="235" t="n"/>
    </row>
    <row r="35534" ht="14.25" customHeight="1" s="192">
      <c r="W35534" s="235" t="n"/>
      <c r="X35534" s="235" t="n"/>
    </row>
    <row r="35535" ht="14.25" customHeight="1" s="192">
      <c r="W35535" s="235" t="n"/>
      <c r="X35535" s="235" t="n"/>
    </row>
    <row r="35536" ht="14.25" customHeight="1" s="192">
      <c r="W35536" s="239" t="n"/>
      <c r="X35536" s="239" t="n"/>
    </row>
    <row r="35537" ht="14.25" customHeight="1" s="192">
      <c r="W35537" s="239" t="n"/>
      <c r="X35537" s="239" t="n"/>
    </row>
    <row r="35538" ht="14.25" customHeight="1" s="192">
      <c r="W35538" s="239" t="n"/>
      <c r="X35538" s="239" t="n"/>
    </row>
    <row r="35539" ht="14.25" customHeight="1" s="192">
      <c r="W35539" s="235" t="n"/>
      <c r="X35539" s="235" t="n"/>
    </row>
    <row r="35540" ht="14.25" customHeight="1" s="192">
      <c r="W35540" s="235" t="n"/>
      <c r="X35540" s="235" t="n"/>
    </row>
    <row r="35541" ht="14.25" customHeight="1" s="192">
      <c r="W35541" s="235" t="n"/>
      <c r="X35541" s="235" t="n"/>
    </row>
    <row r="35542" ht="14.25" customHeight="1" s="192">
      <c r="W35542" s="239" t="n"/>
      <c r="X35542" s="239" t="n"/>
    </row>
    <row r="35543" ht="14.25" customHeight="1" s="192">
      <c r="W35543" s="239" t="n"/>
      <c r="X35543" s="239" t="n"/>
    </row>
    <row r="35544" ht="14.25" customHeight="1" s="192">
      <c r="W35544" s="235" t="n"/>
      <c r="X35544" s="235" t="n"/>
    </row>
    <row r="35545" ht="14.25" customHeight="1" s="192">
      <c r="W35545" s="235" t="n"/>
      <c r="X35545" s="235" t="n"/>
    </row>
    <row r="35546" ht="14.25" customHeight="1" s="192">
      <c r="W35546" s="239" t="n"/>
      <c r="X35546" s="239" t="n"/>
    </row>
    <row r="35547" ht="14.25" customHeight="1" s="192">
      <c r="W35547" s="235" t="n"/>
      <c r="X35547" s="235" t="n"/>
    </row>
    <row r="35548" ht="14.25" customHeight="1" s="192">
      <c r="W35548" s="239" t="n"/>
      <c r="X35548" s="239" t="n"/>
    </row>
    <row r="35550" ht="14.25" customHeight="1" s="192">
      <c r="W35550" s="235" t="n"/>
      <c r="X35550" s="235" t="n"/>
    </row>
    <row r="35551" ht="15" customHeight="1" s="192" thickBot="1">
      <c r="W35551" s="239" t="n"/>
      <c r="X35551" s="239" t="n"/>
    </row>
    <row r="35552" ht="15" customHeight="1" s="192" thickBot="1">
      <c r="W35552" s="45" t="n"/>
      <c r="X35552" s="45" t="n"/>
    </row>
    <row r="35553" ht="14.25" customHeight="1" s="192">
      <c r="W35553" s="228" t="n"/>
      <c r="X35553" s="228" t="n"/>
    </row>
    <row r="35554" ht="14.25" customHeight="1" s="192">
      <c r="W35554" s="228" t="n"/>
      <c r="X35554" s="228" t="n"/>
    </row>
    <row r="35555" ht="14.25" customHeight="1" s="192">
      <c r="W35555" s="231" t="n"/>
      <c r="X35555" s="231" t="n"/>
    </row>
    <row r="35556" ht="14.25" customHeight="1" s="192">
      <c r="W35556" s="33" t="n"/>
      <c r="X35556" s="33" t="n"/>
    </row>
    <row r="35557" ht="14.25" customHeight="1" s="192">
      <c r="W35557" s="231" t="n"/>
      <c r="X35557" s="231" t="n"/>
    </row>
    <row r="35558" ht="14.25" customHeight="1" s="192">
      <c r="W35558" s="33" t="n"/>
      <c r="X35558" s="33" t="n"/>
    </row>
    <row r="35560" ht="14.25" customHeight="1" s="192">
      <c r="W35560" s="231" t="n"/>
      <c r="X35560" s="231" t="n"/>
    </row>
    <row r="35561" ht="14.25" customHeight="1" s="192">
      <c r="W35561" s="235" t="n"/>
      <c r="X35561" s="235" t="n"/>
    </row>
    <row r="35562" ht="14.25" customHeight="1" s="192">
      <c r="W35562" s="228" t="n"/>
      <c r="X35562" s="228" t="n"/>
    </row>
    <row r="35563" ht="14.25" customHeight="1" s="192">
      <c r="W35563" s="235" t="n"/>
      <c r="X35563" s="235" t="n"/>
    </row>
    <row r="35564" ht="14.25" customHeight="1" s="192">
      <c r="W35564" s="235" t="n"/>
      <c r="X35564" s="235" t="n"/>
    </row>
    <row r="35565" ht="14.25" customHeight="1" s="192">
      <c r="W35565" s="235" t="n"/>
      <c r="X35565" s="235" t="n"/>
    </row>
    <row r="35566" ht="14.25" customHeight="1" s="192">
      <c r="W35566" s="239" t="n"/>
      <c r="X35566" s="239" t="n"/>
    </row>
    <row r="35567" ht="14.25" customHeight="1" s="192">
      <c r="W35567" s="239" t="n"/>
      <c r="X35567" s="239" t="n"/>
    </row>
    <row r="35568" ht="14.25" customHeight="1" s="192">
      <c r="W35568" s="239" t="n"/>
      <c r="X35568" s="239" t="n"/>
    </row>
    <row r="35569" ht="14.25" customHeight="1" s="192">
      <c r="W35569" s="235" t="n"/>
      <c r="X35569" s="235" t="n"/>
    </row>
    <row r="35570" ht="14.25" customHeight="1" s="192">
      <c r="W35570" s="235" t="n"/>
      <c r="X35570" s="235" t="n"/>
    </row>
    <row r="35571" ht="14.25" customHeight="1" s="192">
      <c r="W35571" s="235" t="n"/>
      <c r="X35571" s="235" t="n"/>
    </row>
    <row r="35572" ht="14.25" customHeight="1" s="192">
      <c r="W35572" s="239" t="n"/>
      <c r="X35572" s="239" t="n"/>
    </row>
    <row r="35573" ht="14.25" customHeight="1" s="192">
      <c r="W35573" s="239" t="n"/>
      <c r="X35573" s="239" t="n"/>
    </row>
    <row r="35574" ht="14.25" customHeight="1" s="192">
      <c r="W35574" s="235" t="n"/>
      <c r="X35574" s="235" t="n"/>
    </row>
    <row r="35575" ht="14.25" customHeight="1" s="192">
      <c r="W35575" s="235" t="n"/>
      <c r="X35575" s="235" t="n"/>
    </row>
    <row r="35576" ht="14.25" customHeight="1" s="192">
      <c r="W35576" s="239" t="n"/>
      <c r="X35576" s="239" t="n"/>
    </row>
    <row r="35577" ht="14.25" customHeight="1" s="192">
      <c r="W35577" s="235" t="n"/>
      <c r="X35577" s="235" t="n"/>
    </row>
    <row r="35578" ht="14.25" customHeight="1" s="192">
      <c r="W35578" s="239" t="n"/>
      <c r="X35578" s="239" t="n"/>
    </row>
    <row r="35580" ht="14.25" customHeight="1" s="192">
      <c r="W35580" s="235" t="n"/>
      <c r="X35580" s="235" t="n"/>
    </row>
    <row r="35581" ht="15" customHeight="1" s="192" thickBot="1">
      <c r="W35581" s="239" t="n"/>
      <c r="X35581" s="239" t="n"/>
    </row>
    <row r="35582" ht="15" customHeight="1" s="192" thickBot="1">
      <c r="W35582" s="45" t="n"/>
      <c r="X35582" s="45" t="n"/>
    </row>
    <row r="35583" ht="14.25" customHeight="1" s="192">
      <c r="W35583" s="228" t="n"/>
      <c r="X35583" s="228" t="n"/>
    </row>
    <row r="35584" ht="14.25" customHeight="1" s="192">
      <c r="W35584" s="228" t="n"/>
      <c r="X35584" s="228" t="n"/>
    </row>
    <row r="35585" ht="14.25" customHeight="1" s="192">
      <c r="W35585" s="231" t="n"/>
      <c r="X35585" s="231" t="n"/>
    </row>
    <row r="35586" ht="14.25" customHeight="1" s="192">
      <c r="W35586" s="33" t="n"/>
      <c r="X35586" s="33" t="n"/>
    </row>
    <row r="35587" ht="14.25" customHeight="1" s="192">
      <c r="W35587" s="231" t="n"/>
      <c r="X35587" s="231" t="n"/>
    </row>
    <row r="35588" ht="14.25" customHeight="1" s="192">
      <c r="W35588" s="33" t="n"/>
      <c r="X35588" s="33" t="n"/>
    </row>
    <row r="35590" ht="14.25" customHeight="1" s="192">
      <c r="W35590" s="231" t="n"/>
      <c r="X35590" s="231" t="n"/>
    </row>
    <row r="35591" ht="14.25" customHeight="1" s="192">
      <c r="W35591" s="235" t="n"/>
      <c r="X35591" s="235" t="n"/>
    </row>
    <row r="35592" ht="14.25" customHeight="1" s="192">
      <c r="W35592" s="228" t="n"/>
      <c r="X35592" s="228" t="n"/>
    </row>
    <row r="35593" ht="14.25" customHeight="1" s="192">
      <c r="W35593" s="235" t="n"/>
      <c r="X35593" s="235" t="n"/>
    </row>
    <row r="35594" ht="14.25" customHeight="1" s="192">
      <c r="W35594" s="235" t="n"/>
      <c r="X35594" s="235" t="n"/>
    </row>
    <row r="35595" ht="14.25" customHeight="1" s="192">
      <c r="W35595" s="235" t="n"/>
      <c r="X35595" s="235" t="n"/>
    </row>
    <row r="35596" ht="14.25" customHeight="1" s="192">
      <c r="W35596" s="239" t="n"/>
      <c r="X35596" s="239" t="n"/>
    </row>
    <row r="35597" ht="14.25" customHeight="1" s="192">
      <c r="W35597" s="239" t="n"/>
      <c r="X35597" s="239" t="n"/>
    </row>
    <row r="35598" ht="14.25" customHeight="1" s="192">
      <c r="W35598" s="239" t="n"/>
      <c r="X35598" s="239" t="n"/>
    </row>
    <row r="35599" ht="14.25" customHeight="1" s="192">
      <c r="W35599" s="235" t="n"/>
      <c r="X35599" s="235" t="n"/>
    </row>
    <row r="35600" ht="14.25" customHeight="1" s="192">
      <c r="W35600" s="235" t="n"/>
      <c r="X35600" s="235" t="n"/>
    </row>
    <row r="35601" ht="14.25" customHeight="1" s="192">
      <c r="W35601" s="235" t="n"/>
      <c r="X35601" s="235" t="n"/>
    </row>
    <row r="35602" ht="14.25" customHeight="1" s="192">
      <c r="W35602" s="239" t="n"/>
      <c r="X35602" s="239" t="n"/>
    </row>
    <row r="35603" ht="14.25" customHeight="1" s="192">
      <c r="W35603" s="239" t="n"/>
      <c r="X35603" s="239" t="n"/>
    </row>
    <row r="35604" ht="14.25" customHeight="1" s="192">
      <c r="W35604" s="235" t="n"/>
      <c r="X35604" s="235" t="n"/>
    </row>
    <row r="35605" ht="14.25" customHeight="1" s="192">
      <c r="W35605" s="235" t="n"/>
      <c r="X35605" s="235" t="n"/>
    </row>
    <row r="35606" ht="14.25" customHeight="1" s="192">
      <c r="W35606" s="239" t="n"/>
      <c r="X35606" s="239" t="n"/>
    </row>
    <row r="35607" ht="14.25" customHeight="1" s="192">
      <c r="W35607" s="235" t="n"/>
      <c r="X35607" s="235" t="n"/>
    </row>
    <row r="35608" ht="14.25" customHeight="1" s="192">
      <c r="W35608" s="239" t="n"/>
      <c r="X35608" s="239" t="n"/>
    </row>
    <row r="35610" ht="14.25" customHeight="1" s="192">
      <c r="W35610" s="235" t="n"/>
      <c r="X35610" s="235" t="n"/>
    </row>
    <row r="35611" ht="15" customHeight="1" s="192" thickBot="1">
      <c r="W35611" s="239" t="n"/>
      <c r="X35611" s="239" t="n"/>
    </row>
    <row r="35612" ht="15" customHeight="1" s="192" thickBot="1">
      <c r="W35612" s="45" t="n"/>
      <c r="X35612" s="45" t="n"/>
    </row>
    <row r="35613" ht="14.25" customHeight="1" s="192">
      <c r="W35613" s="228" t="n"/>
      <c r="X35613" s="228" t="n"/>
    </row>
    <row r="35614" ht="14.25" customHeight="1" s="192">
      <c r="W35614" s="228" t="n"/>
      <c r="X35614" s="228" t="n"/>
    </row>
    <row r="35615" ht="14.25" customHeight="1" s="192">
      <c r="W35615" s="231" t="n"/>
      <c r="X35615" s="231" t="n"/>
    </row>
    <row r="35616" ht="14.25" customHeight="1" s="192">
      <c r="W35616" s="33" t="n"/>
      <c r="X35616" s="33" t="n"/>
    </row>
    <row r="35617" ht="14.25" customHeight="1" s="192">
      <c r="W35617" s="231" t="n"/>
      <c r="X35617" s="231" t="n"/>
    </row>
    <row r="35618" ht="14.25" customHeight="1" s="192">
      <c r="W35618" s="33" t="n"/>
      <c r="X35618" s="33" t="n"/>
    </row>
    <row r="35620" ht="14.25" customHeight="1" s="192">
      <c r="W35620" s="231" t="n"/>
      <c r="X35620" s="231" t="n"/>
    </row>
    <row r="35621" ht="14.25" customHeight="1" s="192">
      <c r="W35621" s="235" t="n"/>
      <c r="X35621" s="235" t="n"/>
    </row>
    <row r="35622" ht="14.25" customHeight="1" s="192">
      <c r="W35622" s="228" t="n"/>
      <c r="X35622" s="228" t="n"/>
    </row>
    <row r="35623" ht="14.25" customHeight="1" s="192">
      <c r="W35623" s="235" t="n"/>
      <c r="X35623" s="235" t="n"/>
    </row>
    <row r="35624" ht="14.25" customHeight="1" s="192">
      <c r="W35624" s="235" t="n"/>
      <c r="X35624" s="235" t="n"/>
    </row>
    <row r="35625" ht="14.25" customHeight="1" s="192">
      <c r="W35625" s="235" t="n"/>
      <c r="X35625" s="235" t="n"/>
    </row>
    <row r="35626" ht="14.25" customHeight="1" s="192">
      <c r="W35626" s="239" t="n"/>
      <c r="X35626" s="239" t="n"/>
    </row>
    <row r="35627" ht="14.25" customHeight="1" s="192">
      <c r="W35627" s="239" t="n"/>
      <c r="X35627" s="239" t="n"/>
    </row>
    <row r="35628" ht="14.25" customHeight="1" s="192">
      <c r="W35628" s="239" t="n"/>
      <c r="X35628" s="239" t="n"/>
    </row>
    <row r="35629" ht="14.25" customHeight="1" s="192">
      <c r="W35629" s="235" t="n"/>
      <c r="X35629" s="235" t="n"/>
    </row>
    <row r="35630" ht="14.25" customHeight="1" s="192">
      <c r="W35630" s="235" t="n"/>
      <c r="X35630" s="235" t="n"/>
    </row>
    <row r="35631" ht="14.25" customHeight="1" s="192">
      <c r="W35631" s="235" t="n"/>
      <c r="X35631" s="235" t="n"/>
    </row>
    <row r="35632" ht="14.25" customHeight="1" s="192">
      <c r="W35632" s="239" t="n"/>
      <c r="X35632" s="239" t="n"/>
    </row>
    <row r="35633" ht="14.25" customHeight="1" s="192">
      <c r="W35633" s="239" t="n"/>
      <c r="X35633" s="239" t="n"/>
    </row>
    <row r="35634" ht="14.25" customHeight="1" s="192">
      <c r="W35634" s="235" t="n"/>
      <c r="X35634" s="235" t="n"/>
    </row>
    <row r="35635" ht="14.25" customHeight="1" s="192">
      <c r="W35635" s="235" t="n"/>
      <c r="X35635" s="235" t="n"/>
    </row>
    <row r="35636" ht="14.25" customHeight="1" s="192">
      <c r="W35636" s="239" t="n"/>
      <c r="X35636" s="239" t="n"/>
    </row>
    <row r="35637" ht="14.25" customHeight="1" s="192">
      <c r="W35637" s="235" t="n"/>
      <c r="X35637" s="235" t="n"/>
    </row>
    <row r="35638" ht="14.25" customHeight="1" s="192">
      <c r="W35638" s="239" t="n"/>
      <c r="X35638" s="239" t="n"/>
    </row>
    <row r="35640" ht="14.25" customHeight="1" s="192">
      <c r="W35640" s="235" t="n"/>
      <c r="X35640" s="235" t="n"/>
    </row>
    <row r="35641" ht="15" customHeight="1" s="192" thickBot="1">
      <c r="W35641" s="239" t="n"/>
      <c r="X35641" s="239" t="n"/>
    </row>
    <row r="35642" ht="15" customHeight="1" s="192" thickBot="1">
      <c r="W35642" s="45" t="n"/>
      <c r="X35642" s="45" t="n"/>
    </row>
    <row r="35643" ht="14.25" customHeight="1" s="192">
      <c r="W35643" s="228" t="n"/>
      <c r="X35643" s="228" t="n"/>
    </row>
    <row r="35644" ht="14.25" customHeight="1" s="192">
      <c r="W35644" s="228" t="n"/>
      <c r="X35644" s="228" t="n"/>
    </row>
    <row r="35645" ht="14.25" customHeight="1" s="192">
      <c r="W35645" s="231" t="n"/>
      <c r="X35645" s="231" t="n"/>
    </row>
    <row r="35646" ht="14.25" customHeight="1" s="192">
      <c r="W35646" s="33" t="n"/>
      <c r="X35646" s="33" t="n"/>
    </row>
    <row r="35647" ht="14.25" customHeight="1" s="192">
      <c r="W35647" s="231" t="n"/>
      <c r="X35647" s="231" t="n"/>
    </row>
    <row r="35648" ht="14.25" customHeight="1" s="192">
      <c r="W35648" s="33" t="n"/>
      <c r="X35648" s="33" t="n"/>
    </row>
    <row r="35650" ht="14.25" customHeight="1" s="192">
      <c r="W35650" s="231" t="n"/>
      <c r="X35650" s="231" t="n"/>
    </row>
    <row r="35651" ht="14.25" customHeight="1" s="192">
      <c r="W35651" s="235" t="n"/>
      <c r="X35651" s="235" t="n"/>
    </row>
    <row r="35652" ht="14.25" customHeight="1" s="192">
      <c r="W35652" s="228" t="n"/>
      <c r="X35652" s="228" t="n"/>
    </row>
    <row r="35653" ht="14.25" customHeight="1" s="192">
      <c r="W35653" s="235" t="n"/>
      <c r="X35653" s="235" t="n"/>
    </row>
    <row r="35654" ht="14.25" customHeight="1" s="192">
      <c r="W35654" s="235" t="n"/>
      <c r="X35654" s="235" t="n"/>
    </row>
    <row r="35655" ht="14.25" customHeight="1" s="192">
      <c r="W35655" s="235" t="n"/>
      <c r="X35655" s="235" t="n"/>
    </row>
    <row r="35656" ht="14.25" customHeight="1" s="192">
      <c r="W35656" s="239" t="n"/>
      <c r="X35656" s="239" t="n"/>
    </row>
    <row r="35657" ht="14.25" customHeight="1" s="192">
      <c r="W35657" s="239" t="n"/>
      <c r="X35657" s="239" t="n"/>
    </row>
    <row r="35658" ht="14.25" customHeight="1" s="192">
      <c r="W35658" s="239" t="n"/>
      <c r="X35658" s="239" t="n"/>
    </row>
    <row r="35659" ht="14.25" customHeight="1" s="192">
      <c r="W35659" s="235" t="n"/>
      <c r="X35659" s="235" t="n"/>
    </row>
    <row r="35660" ht="14.25" customHeight="1" s="192">
      <c r="W35660" s="235" t="n"/>
      <c r="X35660" s="235" t="n"/>
    </row>
    <row r="35661" ht="14.25" customHeight="1" s="192">
      <c r="W35661" s="235" t="n"/>
      <c r="X35661" s="235" t="n"/>
    </row>
    <row r="35662" ht="14.25" customHeight="1" s="192">
      <c r="W35662" s="239" t="n"/>
      <c r="X35662" s="239" t="n"/>
    </row>
    <row r="35663" ht="14.25" customHeight="1" s="192">
      <c r="W35663" s="239" t="n"/>
      <c r="X35663" s="239" t="n"/>
    </row>
    <row r="35664" ht="14.25" customHeight="1" s="192">
      <c r="W35664" s="235" t="n"/>
      <c r="X35664" s="235" t="n"/>
    </row>
    <row r="35665" ht="14.25" customHeight="1" s="192">
      <c r="W35665" s="235" t="n"/>
      <c r="X35665" s="235" t="n"/>
    </row>
    <row r="35666" ht="14.25" customHeight="1" s="192">
      <c r="W35666" s="239" t="n"/>
      <c r="X35666" s="239" t="n"/>
    </row>
    <row r="35667" ht="14.25" customHeight="1" s="192">
      <c r="W35667" s="235" t="n"/>
      <c r="X35667" s="235" t="n"/>
    </row>
    <row r="35668" ht="14.25" customHeight="1" s="192">
      <c r="W35668" s="239" t="n"/>
      <c r="X35668" s="239" t="n"/>
    </row>
    <row r="35670" ht="14.25" customHeight="1" s="192">
      <c r="W35670" s="235" t="n"/>
      <c r="X35670" s="235" t="n"/>
    </row>
    <row r="35671" ht="15" customHeight="1" s="192" thickBot="1">
      <c r="W35671" s="239" t="n"/>
      <c r="X35671" s="239" t="n"/>
    </row>
    <row r="35672" ht="15" customHeight="1" s="192" thickBot="1">
      <c r="W35672" s="45" t="n"/>
      <c r="X35672" s="45" t="n"/>
    </row>
    <row r="35673" ht="14.25" customHeight="1" s="192">
      <c r="W35673" s="228" t="n"/>
      <c r="X35673" s="228" t="n"/>
    </row>
    <row r="35674" ht="14.25" customHeight="1" s="192">
      <c r="W35674" s="228" t="n"/>
      <c r="X35674" s="228" t="n"/>
    </row>
    <row r="35675" ht="14.25" customHeight="1" s="192">
      <c r="W35675" s="231" t="n"/>
      <c r="X35675" s="231" t="n"/>
    </row>
    <row r="35676" ht="14.25" customHeight="1" s="192">
      <c r="W35676" s="33" t="n"/>
      <c r="X35676" s="33" t="n"/>
    </row>
    <row r="35677" ht="14.25" customHeight="1" s="192">
      <c r="W35677" s="231" t="n"/>
      <c r="X35677" s="231" t="n"/>
    </row>
    <row r="35678" ht="14.25" customHeight="1" s="192">
      <c r="W35678" s="33" t="n"/>
      <c r="X35678" s="33" t="n"/>
    </row>
    <row r="35680" ht="14.25" customHeight="1" s="192">
      <c r="W35680" s="231" t="n"/>
      <c r="X35680" s="231" t="n"/>
    </row>
    <row r="35681" ht="14.25" customHeight="1" s="192">
      <c r="W35681" s="235" t="n"/>
      <c r="X35681" s="235" t="n"/>
    </row>
    <row r="35682" ht="14.25" customHeight="1" s="192">
      <c r="W35682" s="228" t="n"/>
      <c r="X35682" s="228" t="n"/>
    </row>
    <row r="35683" ht="14.25" customHeight="1" s="192">
      <c r="W35683" s="235" t="n"/>
      <c r="X35683" s="235" t="n"/>
    </row>
    <row r="35684" ht="14.25" customHeight="1" s="192">
      <c r="W35684" s="235" t="n"/>
      <c r="X35684" s="235" t="n"/>
    </row>
    <row r="35685" ht="14.25" customHeight="1" s="192">
      <c r="W35685" s="235" t="n"/>
      <c r="X35685" s="235" t="n"/>
    </row>
    <row r="35686" ht="14.25" customHeight="1" s="192">
      <c r="W35686" s="239" t="n"/>
      <c r="X35686" s="239" t="n"/>
    </row>
    <row r="35687" ht="14.25" customHeight="1" s="192">
      <c r="W35687" s="239" t="n"/>
      <c r="X35687" s="239" t="n"/>
    </row>
    <row r="35688" ht="14.25" customHeight="1" s="192">
      <c r="W35688" s="239" t="n"/>
      <c r="X35688" s="239" t="n"/>
    </row>
    <row r="35689" ht="14.25" customHeight="1" s="192">
      <c r="W35689" s="235" t="n"/>
      <c r="X35689" s="235" t="n"/>
    </row>
    <row r="35690" ht="14.25" customHeight="1" s="192">
      <c r="W35690" s="235" t="n"/>
      <c r="X35690" s="235" t="n"/>
    </row>
    <row r="35691" ht="14.25" customHeight="1" s="192">
      <c r="W35691" s="235" t="n"/>
      <c r="X35691" s="235" t="n"/>
    </row>
    <row r="35692" ht="14.25" customHeight="1" s="192">
      <c r="W35692" s="239" t="n"/>
      <c r="X35692" s="239" t="n"/>
    </row>
    <row r="35693" ht="14.25" customHeight="1" s="192">
      <c r="W35693" s="239" t="n"/>
      <c r="X35693" s="239" t="n"/>
    </row>
    <row r="35694" ht="14.25" customHeight="1" s="192">
      <c r="W35694" s="235" t="n"/>
      <c r="X35694" s="235" t="n"/>
    </row>
    <row r="35695" ht="14.25" customHeight="1" s="192">
      <c r="W35695" s="235" t="n"/>
      <c r="X35695" s="235" t="n"/>
    </row>
    <row r="35696" ht="14.25" customHeight="1" s="192">
      <c r="W35696" s="239" t="n"/>
      <c r="X35696" s="239" t="n"/>
    </row>
    <row r="35697" ht="14.25" customHeight="1" s="192">
      <c r="W35697" s="235" t="n"/>
      <c r="X35697" s="235" t="n"/>
    </row>
    <row r="35698" ht="14.25" customHeight="1" s="192">
      <c r="W35698" s="239" t="n"/>
      <c r="X35698" s="239" t="n"/>
    </row>
    <row r="35700" ht="14.25" customHeight="1" s="192">
      <c r="W35700" s="235" t="n"/>
      <c r="X35700" s="235" t="n"/>
    </row>
    <row r="35701" ht="15" customHeight="1" s="192" thickBot="1">
      <c r="W35701" s="239" t="n"/>
      <c r="X35701" s="239" t="n"/>
    </row>
    <row r="35702" ht="15" customHeight="1" s="192" thickBot="1">
      <c r="W35702" s="45" t="n"/>
      <c r="X35702" s="45" t="n"/>
    </row>
    <row r="35703" ht="14.25" customHeight="1" s="192">
      <c r="W35703" s="228" t="n"/>
      <c r="X35703" s="228" t="n"/>
    </row>
    <row r="35704" ht="14.25" customHeight="1" s="192">
      <c r="W35704" s="228" t="n"/>
      <c r="X35704" s="228" t="n"/>
    </row>
    <row r="35705" ht="14.25" customHeight="1" s="192">
      <c r="W35705" s="231" t="n"/>
      <c r="X35705" s="231" t="n"/>
    </row>
    <row r="35706" ht="14.25" customHeight="1" s="192">
      <c r="W35706" s="33" t="n"/>
      <c r="X35706" s="33" t="n"/>
    </row>
    <row r="35707" ht="14.25" customHeight="1" s="192">
      <c r="W35707" s="231" t="n"/>
      <c r="X35707" s="231" t="n"/>
    </row>
    <row r="35708" ht="14.25" customHeight="1" s="192">
      <c r="W35708" s="33" t="n"/>
      <c r="X35708" s="33" t="n"/>
    </row>
    <row r="35710" ht="14.25" customHeight="1" s="192">
      <c r="W35710" s="231" t="n"/>
      <c r="X35710" s="231" t="n"/>
    </row>
    <row r="35711" ht="14.25" customHeight="1" s="192">
      <c r="W35711" s="235" t="n"/>
      <c r="X35711" s="235" t="n"/>
    </row>
    <row r="35712" ht="14.25" customHeight="1" s="192">
      <c r="W35712" s="228" t="n"/>
      <c r="X35712" s="228" t="n"/>
    </row>
    <row r="35713" ht="14.25" customHeight="1" s="192">
      <c r="W35713" s="235" t="n"/>
      <c r="X35713" s="235" t="n"/>
    </row>
    <row r="35714" ht="14.25" customHeight="1" s="192">
      <c r="W35714" s="235" t="n"/>
      <c r="X35714" s="235" t="n"/>
    </row>
    <row r="35715" ht="14.25" customHeight="1" s="192">
      <c r="W35715" s="235" t="n"/>
      <c r="X35715" s="235" t="n"/>
    </row>
    <row r="35716" ht="14.25" customHeight="1" s="192">
      <c r="W35716" s="239" t="n"/>
      <c r="X35716" s="239" t="n"/>
    </row>
    <row r="35717" ht="14.25" customHeight="1" s="192">
      <c r="W35717" s="239" t="n"/>
      <c r="X35717" s="239" t="n"/>
    </row>
    <row r="35718" ht="14.25" customHeight="1" s="192">
      <c r="W35718" s="239" t="n"/>
      <c r="X35718" s="239" t="n"/>
    </row>
    <row r="35719" ht="14.25" customHeight="1" s="192">
      <c r="W35719" s="235" t="n"/>
      <c r="X35719" s="235" t="n"/>
    </row>
    <row r="35720" ht="14.25" customHeight="1" s="192">
      <c r="W35720" s="235" t="n"/>
      <c r="X35720" s="235" t="n"/>
    </row>
    <row r="35721" ht="14.25" customHeight="1" s="192">
      <c r="W35721" s="235" t="n"/>
      <c r="X35721" s="235" t="n"/>
    </row>
    <row r="35722" ht="14.25" customHeight="1" s="192">
      <c r="W35722" s="239" t="n"/>
      <c r="X35722" s="239" t="n"/>
    </row>
    <row r="35723" ht="14.25" customHeight="1" s="192">
      <c r="W35723" s="239" t="n"/>
      <c r="X35723" s="239" t="n"/>
    </row>
    <row r="35724" ht="14.25" customHeight="1" s="192">
      <c r="W35724" s="235" t="n"/>
      <c r="X35724" s="235" t="n"/>
    </row>
    <row r="35725" ht="14.25" customHeight="1" s="192">
      <c r="W35725" s="235" t="n"/>
      <c r="X35725" s="235" t="n"/>
    </row>
    <row r="35726" ht="14.25" customHeight="1" s="192">
      <c r="W35726" s="239" t="n"/>
      <c r="X35726" s="239" t="n"/>
    </row>
    <row r="35727" ht="14.25" customHeight="1" s="192">
      <c r="W35727" s="235" t="n"/>
      <c r="X35727" s="235" t="n"/>
    </row>
    <row r="35728" ht="14.25" customHeight="1" s="192">
      <c r="W35728" s="239" t="n"/>
      <c r="X35728" s="239" t="n"/>
    </row>
    <row r="35730" ht="14.25" customHeight="1" s="192">
      <c r="W35730" s="235" t="n"/>
      <c r="X35730" s="235" t="n"/>
    </row>
    <row r="35731" ht="15" customHeight="1" s="192" thickBot="1">
      <c r="W35731" s="239" t="n"/>
      <c r="X35731" s="239" t="n"/>
    </row>
    <row r="35732" ht="15" customHeight="1" s="192" thickBot="1">
      <c r="W35732" s="45" t="n"/>
      <c r="X35732" s="45" t="n"/>
    </row>
    <row r="35733" ht="14.25" customHeight="1" s="192">
      <c r="W35733" s="228" t="n"/>
      <c r="X35733" s="228" t="n"/>
    </row>
    <row r="35734" ht="14.25" customHeight="1" s="192">
      <c r="W35734" s="228" t="n"/>
      <c r="X35734" s="228" t="n"/>
    </row>
    <row r="35735" ht="14.25" customHeight="1" s="192">
      <c r="W35735" s="231" t="n"/>
      <c r="X35735" s="231" t="n"/>
    </row>
    <row r="35736" ht="14.25" customHeight="1" s="192">
      <c r="W35736" s="33" t="n"/>
      <c r="X35736" s="33" t="n"/>
    </row>
    <row r="35737" ht="14.25" customHeight="1" s="192">
      <c r="W35737" s="231" t="n"/>
      <c r="X35737" s="231" t="n"/>
    </row>
    <row r="35738" ht="14.25" customHeight="1" s="192">
      <c r="W35738" s="33" t="n"/>
      <c r="X35738" s="33" t="n"/>
    </row>
    <row r="35740" ht="14.25" customHeight="1" s="192">
      <c r="W35740" s="231" t="n"/>
      <c r="X35740" s="231" t="n"/>
    </row>
    <row r="35741" ht="14.25" customHeight="1" s="192">
      <c r="W35741" s="235" t="n"/>
      <c r="X35741" s="235" t="n"/>
    </row>
    <row r="35742" ht="14.25" customHeight="1" s="192">
      <c r="W35742" s="228" t="n"/>
      <c r="X35742" s="228" t="n"/>
    </row>
    <row r="35743" ht="14.25" customHeight="1" s="192">
      <c r="W35743" s="235" t="n"/>
      <c r="X35743" s="235" t="n"/>
    </row>
    <row r="35744" ht="14.25" customHeight="1" s="192">
      <c r="W35744" s="235" t="n"/>
      <c r="X35744" s="235" t="n"/>
    </row>
    <row r="35745" ht="14.25" customHeight="1" s="192">
      <c r="W35745" s="235" t="n"/>
      <c r="X35745" s="235" t="n"/>
    </row>
    <row r="35746" ht="14.25" customHeight="1" s="192">
      <c r="W35746" s="239" t="n"/>
      <c r="X35746" s="239" t="n"/>
    </row>
    <row r="35747" ht="14.25" customHeight="1" s="192">
      <c r="W35747" s="239" t="n"/>
      <c r="X35747" s="239" t="n"/>
    </row>
    <row r="35748" ht="14.25" customHeight="1" s="192">
      <c r="W35748" s="239" t="n"/>
      <c r="X35748" s="239" t="n"/>
    </row>
    <row r="35749" ht="14.25" customHeight="1" s="192">
      <c r="W35749" s="235" t="n"/>
      <c r="X35749" s="235" t="n"/>
    </row>
    <row r="35750" ht="14.25" customHeight="1" s="192">
      <c r="W35750" s="235" t="n"/>
      <c r="X35750" s="235" t="n"/>
    </row>
    <row r="35751" ht="14.25" customHeight="1" s="192">
      <c r="W35751" s="235" t="n"/>
      <c r="X35751" s="235" t="n"/>
    </row>
    <row r="35752" ht="14.25" customHeight="1" s="192">
      <c r="W35752" s="239" t="n"/>
      <c r="X35752" s="239" t="n"/>
    </row>
    <row r="35753" ht="14.25" customHeight="1" s="192">
      <c r="W35753" s="239" t="n"/>
      <c r="X35753" s="239" t="n"/>
    </row>
    <row r="35754" ht="14.25" customHeight="1" s="192">
      <c r="W35754" s="235" t="n"/>
      <c r="X35754" s="235" t="n"/>
    </row>
    <row r="35755" ht="14.25" customHeight="1" s="192">
      <c r="W35755" s="235" t="n"/>
      <c r="X35755" s="235" t="n"/>
    </row>
    <row r="35756" ht="14.25" customHeight="1" s="192">
      <c r="W35756" s="239" t="n"/>
      <c r="X35756" s="239" t="n"/>
    </row>
    <row r="35757" ht="14.25" customHeight="1" s="192">
      <c r="W35757" s="235" t="n"/>
      <c r="X35757" s="235" t="n"/>
    </row>
    <row r="35758" ht="14.25" customHeight="1" s="192">
      <c r="W35758" s="239" t="n"/>
      <c r="X35758" s="239" t="n"/>
    </row>
    <row r="35760" ht="14.25" customHeight="1" s="192">
      <c r="W35760" s="235" t="n"/>
      <c r="X35760" s="235" t="n"/>
    </row>
    <row r="35761" ht="15" customHeight="1" s="192" thickBot="1">
      <c r="W35761" s="239" t="n"/>
      <c r="X35761" s="239" t="n"/>
    </row>
    <row r="35762" ht="15" customHeight="1" s="192" thickBot="1">
      <c r="W35762" s="45" t="n"/>
      <c r="X35762" s="45" t="n"/>
    </row>
    <row r="35763" ht="14.25" customHeight="1" s="192">
      <c r="W35763" s="228" t="n"/>
      <c r="X35763" s="228" t="n"/>
    </row>
    <row r="35764" ht="14.25" customHeight="1" s="192">
      <c r="W35764" s="228" t="n"/>
      <c r="X35764" s="228" t="n"/>
    </row>
    <row r="35765" ht="14.25" customHeight="1" s="192">
      <c r="W35765" s="231" t="n"/>
      <c r="X35765" s="231" t="n"/>
    </row>
    <row r="35766" ht="14.25" customHeight="1" s="192">
      <c r="W35766" s="33" t="n"/>
      <c r="X35766" s="33" t="n"/>
    </row>
    <row r="35767" ht="14.25" customHeight="1" s="192">
      <c r="W35767" s="231" t="n"/>
      <c r="X35767" s="231" t="n"/>
    </row>
    <row r="35768" ht="14.25" customHeight="1" s="192">
      <c r="W35768" s="33" t="n"/>
      <c r="X35768" s="33" t="n"/>
    </row>
    <row r="35770" ht="14.25" customHeight="1" s="192">
      <c r="W35770" s="231" t="n"/>
      <c r="X35770" s="231" t="n"/>
    </row>
    <row r="35771" ht="14.25" customHeight="1" s="192">
      <c r="W35771" s="235" t="n"/>
      <c r="X35771" s="235" t="n"/>
    </row>
    <row r="35772" ht="14.25" customHeight="1" s="192">
      <c r="W35772" s="228" t="n"/>
      <c r="X35772" s="228" t="n"/>
    </row>
    <row r="35773" ht="14.25" customHeight="1" s="192">
      <c r="W35773" s="235" t="n"/>
      <c r="X35773" s="235" t="n"/>
    </row>
    <row r="35774" ht="14.25" customHeight="1" s="192">
      <c r="W35774" s="235" t="n"/>
      <c r="X35774" s="235" t="n"/>
    </row>
    <row r="35775" ht="14.25" customHeight="1" s="192">
      <c r="W35775" s="235" t="n"/>
      <c r="X35775" s="235" t="n"/>
    </row>
    <row r="35776" ht="14.25" customHeight="1" s="192">
      <c r="W35776" s="239" t="n"/>
      <c r="X35776" s="239" t="n"/>
    </row>
    <row r="35777" ht="14.25" customHeight="1" s="192">
      <c r="W35777" s="239" t="n"/>
      <c r="X35777" s="239" t="n"/>
    </row>
    <row r="35778" ht="14.25" customHeight="1" s="192">
      <c r="W35778" s="239" t="n"/>
      <c r="X35778" s="239" t="n"/>
    </row>
    <row r="35779" ht="14.25" customHeight="1" s="192">
      <c r="W35779" s="235" t="n"/>
      <c r="X35779" s="235" t="n"/>
    </row>
    <row r="35780" ht="14.25" customHeight="1" s="192">
      <c r="W35780" s="235" t="n"/>
      <c r="X35780" s="235" t="n"/>
    </row>
    <row r="35781" ht="14.25" customHeight="1" s="192">
      <c r="W35781" s="235" t="n"/>
      <c r="X35781" s="235" t="n"/>
    </row>
    <row r="35782" ht="14.25" customHeight="1" s="192">
      <c r="W35782" s="239" t="n"/>
      <c r="X35782" s="239" t="n"/>
    </row>
    <row r="35783" ht="14.25" customHeight="1" s="192">
      <c r="W35783" s="239" t="n"/>
      <c r="X35783" s="239" t="n"/>
    </row>
    <row r="35784" ht="14.25" customHeight="1" s="192">
      <c r="W35784" s="235" t="n"/>
      <c r="X35784" s="235" t="n"/>
    </row>
    <row r="35785" ht="14.25" customHeight="1" s="192">
      <c r="W35785" s="235" t="n"/>
      <c r="X35785" s="235" t="n"/>
    </row>
    <row r="35786" ht="14.25" customHeight="1" s="192">
      <c r="W35786" s="239" t="n"/>
      <c r="X35786" s="239" t="n"/>
    </row>
    <row r="35787" ht="14.25" customHeight="1" s="192">
      <c r="W35787" s="235" t="n"/>
      <c r="X35787" s="235" t="n"/>
    </row>
    <row r="35788" ht="14.25" customHeight="1" s="192">
      <c r="W35788" s="239" t="n"/>
      <c r="X35788" s="239" t="n"/>
    </row>
    <row r="35790" ht="14.25" customHeight="1" s="192">
      <c r="W35790" s="235" t="n"/>
      <c r="X35790" s="235" t="n"/>
    </row>
    <row r="35791" ht="15" customHeight="1" s="192" thickBot="1">
      <c r="W35791" s="239" t="n"/>
      <c r="X35791" s="239" t="n"/>
    </row>
    <row r="35792" ht="15" customHeight="1" s="192" thickBot="1">
      <c r="W35792" s="45" t="n"/>
      <c r="X35792" s="45" t="n"/>
    </row>
    <row r="35793" ht="14.25" customHeight="1" s="192">
      <c r="W35793" s="228" t="n"/>
      <c r="X35793" s="228" t="n"/>
    </row>
    <row r="35794" ht="14.25" customHeight="1" s="192">
      <c r="W35794" s="228" t="n"/>
      <c r="X35794" s="228" t="n"/>
    </row>
    <row r="35795" ht="14.25" customHeight="1" s="192">
      <c r="W35795" s="231" t="n"/>
      <c r="X35795" s="231" t="n"/>
    </row>
    <row r="35796" ht="14.25" customHeight="1" s="192">
      <c r="W35796" s="33" t="n"/>
      <c r="X35796" s="33" t="n"/>
    </row>
    <row r="35797" ht="14.25" customHeight="1" s="192">
      <c r="W35797" s="231" t="n"/>
      <c r="X35797" s="231" t="n"/>
    </row>
    <row r="35798" ht="14.25" customHeight="1" s="192">
      <c r="W35798" s="33" t="n"/>
      <c r="X35798" s="33" t="n"/>
    </row>
    <row r="35800" ht="14.25" customHeight="1" s="192">
      <c r="W35800" s="231" t="n"/>
      <c r="X35800" s="231" t="n"/>
    </row>
    <row r="35801" ht="14.25" customHeight="1" s="192">
      <c r="W35801" s="235" t="n"/>
      <c r="X35801" s="235" t="n"/>
    </row>
    <row r="35802" ht="14.25" customHeight="1" s="192">
      <c r="W35802" s="228" t="n"/>
      <c r="X35802" s="228" t="n"/>
    </row>
    <row r="35803" ht="14.25" customHeight="1" s="192">
      <c r="W35803" s="235" t="n"/>
      <c r="X35803" s="235" t="n"/>
    </row>
    <row r="35804" ht="14.25" customHeight="1" s="192">
      <c r="W35804" s="235" t="n"/>
      <c r="X35804" s="235" t="n"/>
    </row>
    <row r="35805" ht="14.25" customHeight="1" s="192">
      <c r="W35805" s="235" t="n"/>
      <c r="X35805" s="235" t="n"/>
    </row>
    <row r="35806" ht="14.25" customHeight="1" s="192">
      <c r="W35806" s="239" t="n"/>
      <c r="X35806" s="239" t="n"/>
    </row>
    <row r="35807" ht="14.25" customHeight="1" s="192">
      <c r="W35807" s="239" t="n"/>
      <c r="X35807" s="239" t="n"/>
    </row>
    <row r="35808" ht="14.25" customHeight="1" s="192">
      <c r="W35808" s="239" t="n"/>
      <c r="X35808" s="239" t="n"/>
    </row>
    <row r="35809" ht="14.25" customHeight="1" s="192">
      <c r="W35809" s="235" t="n"/>
      <c r="X35809" s="235" t="n"/>
    </row>
    <row r="35810" ht="14.25" customHeight="1" s="192">
      <c r="W35810" s="235" t="n"/>
      <c r="X35810" s="235" t="n"/>
    </row>
    <row r="35811" ht="14.25" customHeight="1" s="192">
      <c r="W35811" s="235" t="n"/>
      <c r="X35811" s="235" t="n"/>
    </row>
    <row r="35812" ht="14.25" customHeight="1" s="192">
      <c r="W35812" s="239" t="n"/>
      <c r="X35812" s="239" t="n"/>
    </row>
    <row r="35813" ht="14.25" customHeight="1" s="192">
      <c r="W35813" s="239" t="n"/>
      <c r="X35813" s="239" t="n"/>
    </row>
    <row r="35814" ht="14.25" customHeight="1" s="192">
      <c r="W35814" s="235" t="n"/>
      <c r="X35814" s="235" t="n"/>
    </row>
    <row r="35815" ht="14.25" customHeight="1" s="192">
      <c r="W35815" s="235" t="n"/>
      <c r="X35815" s="235" t="n"/>
    </row>
    <row r="35816" ht="14.25" customHeight="1" s="192">
      <c r="W35816" s="239" t="n"/>
      <c r="X35816" s="239" t="n"/>
    </row>
    <row r="35817" ht="14.25" customHeight="1" s="192">
      <c r="W35817" s="235" t="n"/>
      <c r="X35817" s="235" t="n"/>
    </row>
    <row r="35818" ht="14.25" customHeight="1" s="192">
      <c r="W35818" s="239" t="n"/>
      <c r="X35818" s="239" t="n"/>
    </row>
    <row r="35820" ht="14.25" customHeight="1" s="192">
      <c r="W35820" s="235" t="n"/>
      <c r="X35820" s="235" t="n"/>
    </row>
    <row r="35821" ht="15" customHeight="1" s="192" thickBot="1">
      <c r="W35821" s="239" t="n"/>
      <c r="X35821" s="239" t="n"/>
    </row>
    <row r="35822" ht="15" customHeight="1" s="192" thickBot="1">
      <c r="W35822" s="45" t="n"/>
      <c r="X35822" s="45" t="n"/>
    </row>
    <row r="35823" ht="14.25" customHeight="1" s="192">
      <c r="W35823" s="228" t="n"/>
      <c r="X35823" s="228" t="n"/>
    </row>
    <row r="35824" ht="14.25" customHeight="1" s="192">
      <c r="W35824" s="228" t="n"/>
      <c r="X35824" s="228" t="n"/>
    </row>
    <row r="35825" ht="14.25" customHeight="1" s="192">
      <c r="W35825" s="231" t="n"/>
      <c r="X35825" s="231" t="n"/>
    </row>
    <row r="35826" ht="14.25" customHeight="1" s="192">
      <c r="W35826" s="33" t="n"/>
      <c r="X35826" s="33" t="n"/>
    </row>
    <row r="35827" ht="14.25" customHeight="1" s="192">
      <c r="W35827" s="231" t="n"/>
      <c r="X35827" s="231" t="n"/>
    </row>
    <row r="35828" ht="14.25" customHeight="1" s="192">
      <c r="W35828" s="33" t="n"/>
      <c r="X35828" s="33" t="n"/>
    </row>
    <row r="35830" ht="14.25" customHeight="1" s="192">
      <c r="W35830" s="231" t="n"/>
      <c r="X35830" s="231" t="n"/>
    </row>
    <row r="35831" ht="14.25" customHeight="1" s="192">
      <c r="W35831" s="235" t="n"/>
      <c r="X35831" s="235" t="n"/>
    </row>
    <row r="35832" ht="14.25" customHeight="1" s="192">
      <c r="W35832" s="228" t="n"/>
      <c r="X35832" s="228" t="n"/>
    </row>
    <row r="35833" ht="14.25" customHeight="1" s="192">
      <c r="W35833" s="235" t="n"/>
      <c r="X35833" s="235" t="n"/>
    </row>
    <row r="35834" ht="14.25" customHeight="1" s="192">
      <c r="W35834" s="235" t="n"/>
      <c r="X35834" s="235" t="n"/>
    </row>
    <row r="35835" ht="14.25" customHeight="1" s="192">
      <c r="W35835" s="235" t="n"/>
      <c r="X35835" s="235" t="n"/>
    </row>
    <row r="35836" ht="14.25" customHeight="1" s="192">
      <c r="W35836" s="239" t="n"/>
      <c r="X35836" s="239" t="n"/>
    </row>
    <row r="35837" ht="14.25" customHeight="1" s="192">
      <c r="W35837" s="239" t="n"/>
      <c r="X35837" s="239" t="n"/>
    </row>
    <row r="35838" ht="14.25" customHeight="1" s="192">
      <c r="W35838" s="239" t="n"/>
      <c r="X35838" s="239" t="n"/>
    </row>
    <row r="35839" ht="14.25" customHeight="1" s="192">
      <c r="W35839" s="235" t="n"/>
      <c r="X35839" s="235" t="n"/>
    </row>
    <row r="35840" ht="14.25" customHeight="1" s="192">
      <c r="W35840" s="235" t="n"/>
      <c r="X35840" s="235" t="n"/>
    </row>
    <row r="35841" ht="14.25" customHeight="1" s="192">
      <c r="W35841" s="235" t="n"/>
      <c r="X35841" s="235" t="n"/>
    </row>
    <row r="35842" ht="14.25" customHeight="1" s="192">
      <c r="W35842" s="239" t="n"/>
      <c r="X35842" s="239" t="n"/>
    </row>
    <row r="35843" ht="14.25" customHeight="1" s="192">
      <c r="W35843" s="239" t="n"/>
      <c r="X35843" s="239" t="n"/>
    </row>
    <row r="35844" ht="14.25" customHeight="1" s="192">
      <c r="W35844" s="235" t="n"/>
      <c r="X35844" s="235" t="n"/>
    </row>
    <row r="35845" ht="14.25" customHeight="1" s="192">
      <c r="W35845" s="235" t="n"/>
      <c r="X35845" s="235" t="n"/>
    </row>
    <row r="35846" ht="14.25" customHeight="1" s="192">
      <c r="W35846" s="239" t="n"/>
      <c r="X35846" s="239" t="n"/>
    </row>
    <row r="35847" ht="14.25" customHeight="1" s="192">
      <c r="W35847" s="235" t="n"/>
      <c r="X35847" s="235" t="n"/>
    </row>
    <row r="35848" ht="14.25" customHeight="1" s="192">
      <c r="W35848" s="239" t="n"/>
      <c r="X35848" s="239" t="n"/>
    </row>
    <row r="35850" ht="14.25" customHeight="1" s="192">
      <c r="W35850" s="235" t="n"/>
      <c r="X35850" s="235" t="n"/>
    </row>
    <row r="35851" ht="15" customHeight="1" s="192" thickBot="1">
      <c r="W35851" s="239" t="n"/>
      <c r="X35851" s="239" t="n"/>
    </row>
    <row r="35852" ht="15" customHeight="1" s="192" thickBot="1">
      <c r="W35852" s="45" t="n"/>
      <c r="X35852" s="45" t="n"/>
    </row>
    <row r="35853" ht="14.25" customHeight="1" s="192">
      <c r="W35853" s="228" t="n"/>
      <c r="X35853" s="228" t="n"/>
    </row>
    <row r="35854" ht="14.25" customHeight="1" s="192">
      <c r="W35854" s="228" t="n"/>
      <c r="X35854" s="228" t="n"/>
    </row>
    <row r="35855" ht="14.25" customHeight="1" s="192">
      <c r="W35855" s="231" t="n"/>
      <c r="X35855" s="231" t="n"/>
    </row>
    <row r="35856" ht="14.25" customHeight="1" s="192">
      <c r="W35856" s="33" t="n"/>
      <c r="X35856" s="33" t="n"/>
    </row>
    <row r="35857" ht="14.25" customHeight="1" s="192">
      <c r="W35857" s="231" t="n"/>
      <c r="X35857" s="231" t="n"/>
    </row>
    <row r="35858" ht="14.25" customHeight="1" s="192">
      <c r="W35858" s="33" t="n"/>
      <c r="X35858" s="33" t="n"/>
    </row>
    <row r="35860" ht="14.25" customHeight="1" s="192">
      <c r="W35860" s="231" t="n"/>
      <c r="X35860" s="231" t="n"/>
    </row>
    <row r="35861" ht="14.25" customHeight="1" s="192">
      <c r="W35861" s="235" t="n"/>
      <c r="X35861" s="235" t="n"/>
    </row>
    <row r="35862" ht="14.25" customHeight="1" s="192">
      <c r="W35862" s="228" t="n"/>
      <c r="X35862" s="228" t="n"/>
    </row>
    <row r="35863" ht="14.25" customHeight="1" s="192">
      <c r="W35863" s="235" t="n"/>
      <c r="X35863" s="235" t="n"/>
    </row>
    <row r="35864" ht="14.25" customHeight="1" s="192">
      <c r="W35864" s="235" t="n"/>
      <c r="X35864" s="235" t="n"/>
    </row>
    <row r="35865" ht="14.25" customHeight="1" s="192">
      <c r="W35865" s="235" t="n"/>
      <c r="X35865" s="235" t="n"/>
    </row>
    <row r="35866" ht="14.25" customHeight="1" s="192">
      <c r="W35866" s="239" t="n"/>
      <c r="X35866" s="239" t="n"/>
    </row>
    <row r="35867" ht="14.25" customHeight="1" s="192">
      <c r="W35867" s="239" t="n"/>
      <c r="X35867" s="239" t="n"/>
    </row>
    <row r="35868" ht="14.25" customHeight="1" s="192">
      <c r="W35868" s="239" t="n"/>
      <c r="X35868" s="239" t="n"/>
    </row>
    <row r="35869" ht="14.25" customHeight="1" s="192">
      <c r="W35869" s="235" t="n"/>
      <c r="X35869" s="235" t="n"/>
    </row>
    <row r="35870" ht="14.25" customHeight="1" s="192">
      <c r="W35870" s="235" t="n"/>
      <c r="X35870" s="235" t="n"/>
    </row>
    <row r="35871" ht="14.25" customHeight="1" s="192">
      <c r="W35871" s="235" t="n"/>
      <c r="X35871" s="235" t="n"/>
    </row>
    <row r="35872" ht="14.25" customHeight="1" s="192">
      <c r="W35872" s="239" t="n"/>
      <c r="X35872" s="239" t="n"/>
    </row>
    <row r="35873" ht="14.25" customHeight="1" s="192">
      <c r="W35873" s="239" t="n"/>
      <c r="X35873" s="239" t="n"/>
    </row>
    <row r="35874" ht="14.25" customHeight="1" s="192">
      <c r="W35874" s="235" t="n"/>
      <c r="X35874" s="235" t="n"/>
    </row>
    <row r="35875" ht="14.25" customHeight="1" s="192">
      <c r="W35875" s="235" t="n"/>
      <c r="X35875" s="235" t="n"/>
    </row>
    <row r="35876" ht="14.25" customHeight="1" s="192">
      <c r="W35876" s="239" t="n"/>
      <c r="X35876" s="239" t="n"/>
    </row>
    <row r="35877" ht="14.25" customHeight="1" s="192">
      <c r="W35877" s="235" t="n"/>
      <c r="X35877" s="235" t="n"/>
    </row>
    <row r="35878" ht="14.25" customHeight="1" s="192">
      <c r="W35878" s="239" t="n"/>
      <c r="X35878" s="239" t="n"/>
    </row>
    <row r="35880" ht="14.25" customHeight="1" s="192">
      <c r="W35880" s="235" t="n"/>
      <c r="X35880" s="235" t="n"/>
    </row>
    <row r="35881" ht="15" customHeight="1" s="192" thickBot="1">
      <c r="W35881" s="239" t="n"/>
      <c r="X35881" s="239" t="n"/>
    </row>
    <row r="35882" ht="15" customHeight="1" s="192" thickBot="1">
      <c r="W35882" s="45" t="n"/>
      <c r="X35882" s="45" t="n"/>
    </row>
    <row r="35883" ht="14.25" customHeight="1" s="192">
      <c r="W35883" s="228" t="n"/>
      <c r="X35883" s="228" t="n"/>
    </row>
    <row r="35884" ht="14.25" customHeight="1" s="192">
      <c r="W35884" s="228" t="n"/>
      <c r="X35884" s="228" t="n"/>
    </row>
    <row r="35885" ht="14.25" customHeight="1" s="192">
      <c r="W35885" s="231" t="n"/>
      <c r="X35885" s="231" t="n"/>
    </row>
    <row r="35886" ht="14.25" customHeight="1" s="192">
      <c r="W35886" s="33" t="n"/>
      <c r="X35886" s="33" t="n"/>
    </row>
    <row r="35887" ht="14.25" customHeight="1" s="192">
      <c r="W35887" s="231" t="n"/>
      <c r="X35887" s="231" t="n"/>
    </row>
    <row r="35888" ht="14.25" customHeight="1" s="192">
      <c r="W35888" s="33" t="n"/>
      <c r="X35888" s="33" t="n"/>
    </row>
    <row r="35890" ht="14.25" customHeight="1" s="192">
      <c r="W35890" s="231" t="n"/>
      <c r="X35890" s="231" t="n"/>
    </row>
    <row r="35891" ht="14.25" customHeight="1" s="192">
      <c r="W35891" s="235" t="n"/>
      <c r="X35891" s="235" t="n"/>
    </row>
    <row r="35892" ht="14.25" customHeight="1" s="192">
      <c r="W35892" s="228" t="n"/>
      <c r="X35892" s="228" t="n"/>
    </row>
    <row r="35893" ht="14.25" customHeight="1" s="192">
      <c r="W35893" s="235" t="n"/>
      <c r="X35893" s="235" t="n"/>
    </row>
    <row r="35894" ht="14.25" customHeight="1" s="192">
      <c r="W35894" s="235" t="n"/>
      <c r="X35894" s="235" t="n"/>
    </row>
    <row r="35895" ht="14.25" customHeight="1" s="192">
      <c r="W35895" s="235" t="n"/>
      <c r="X35895" s="235" t="n"/>
    </row>
    <row r="35896" ht="14.25" customHeight="1" s="192">
      <c r="W35896" s="239" t="n"/>
      <c r="X35896" s="239" t="n"/>
    </row>
    <row r="35897" ht="14.25" customHeight="1" s="192">
      <c r="W35897" s="239" t="n"/>
      <c r="X35897" s="239" t="n"/>
    </row>
    <row r="35898" ht="14.25" customHeight="1" s="192">
      <c r="W35898" s="239" t="n"/>
      <c r="X35898" s="239" t="n"/>
    </row>
    <row r="35899" ht="14.25" customHeight="1" s="192">
      <c r="W35899" s="235" t="n"/>
      <c r="X35899" s="235" t="n"/>
    </row>
    <row r="35900" ht="14.25" customHeight="1" s="192">
      <c r="W35900" s="235" t="n"/>
      <c r="X35900" s="235" t="n"/>
    </row>
    <row r="35901" ht="14.25" customHeight="1" s="192">
      <c r="W35901" s="235" t="n"/>
      <c r="X35901" s="235" t="n"/>
    </row>
    <row r="35902" ht="14.25" customHeight="1" s="192">
      <c r="W35902" s="239" t="n"/>
      <c r="X35902" s="239" t="n"/>
    </row>
    <row r="35903" ht="14.25" customHeight="1" s="192">
      <c r="W35903" s="239" t="n"/>
      <c r="X35903" s="239" t="n"/>
    </row>
    <row r="35904" ht="14.25" customHeight="1" s="192">
      <c r="W35904" s="235" t="n"/>
      <c r="X35904" s="235" t="n"/>
    </row>
    <row r="35905" ht="14.25" customHeight="1" s="192">
      <c r="W35905" s="235" t="n"/>
      <c r="X35905" s="235" t="n"/>
    </row>
    <row r="35906" ht="14.25" customHeight="1" s="192">
      <c r="W35906" s="239" t="n"/>
      <c r="X35906" s="239" t="n"/>
    </row>
    <row r="35907" ht="14.25" customHeight="1" s="192">
      <c r="W35907" s="235" t="n"/>
      <c r="X35907" s="235" t="n"/>
    </row>
    <row r="35908" ht="14.25" customHeight="1" s="192">
      <c r="W35908" s="239" t="n"/>
      <c r="X35908" s="239" t="n"/>
    </row>
    <row r="35910" ht="14.25" customHeight="1" s="192">
      <c r="W35910" s="235" t="n"/>
      <c r="X35910" s="235" t="n"/>
    </row>
    <row r="35911" ht="15" customHeight="1" s="192" thickBot="1">
      <c r="W35911" s="239" t="n"/>
      <c r="X35911" s="239" t="n"/>
    </row>
    <row r="35912" ht="15" customHeight="1" s="192" thickBot="1">
      <c r="W35912" s="45" t="n"/>
      <c r="X35912" s="45" t="n"/>
    </row>
    <row r="35913" ht="14.25" customHeight="1" s="192">
      <c r="W35913" s="228" t="n"/>
      <c r="X35913" s="228" t="n"/>
    </row>
    <row r="35914" ht="14.25" customHeight="1" s="192">
      <c r="W35914" s="228" t="n"/>
      <c r="X35914" s="228" t="n"/>
    </row>
    <row r="35915" ht="14.25" customHeight="1" s="192">
      <c r="W35915" s="231" t="n"/>
      <c r="X35915" s="231" t="n"/>
    </row>
    <row r="35916" ht="14.25" customHeight="1" s="192">
      <c r="W35916" s="33" t="n"/>
      <c r="X35916" s="33" t="n"/>
    </row>
    <row r="35917" ht="14.25" customHeight="1" s="192">
      <c r="W35917" s="231" t="n"/>
      <c r="X35917" s="231" t="n"/>
    </row>
    <row r="35918" ht="14.25" customHeight="1" s="192">
      <c r="W35918" s="33" t="n"/>
      <c r="X35918" s="33" t="n"/>
    </row>
    <row r="35920" ht="14.25" customHeight="1" s="192">
      <c r="W35920" s="231" t="n"/>
      <c r="X35920" s="231" t="n"/>
    </row>
    <row r="35921" ht="14.25" customHeight="1" s="192">
      <c r="W35921" s="235" t="n"/>
      <c r="X35921" s="235" t="n"/>
    </row>
    <row r="35922" ht="14.25" customHeight="1" s="192">
      <c r="W35922" s="228" t="n"/>
      <c r="X35922" s="228" t="n"/>
    </row>
    <row r="35923" ht="14.25" customHeight="1" s="192">
      <c r="W35923" s="235" t="n"/>
      <c r="X35923" s="235" t="n"/>
    </row>
    <row r="35924" ht="14.25" customHeight="1" s="192">
      <c r="W35924" s="235" t="n"/>
      <c r="X35924" s="235" t="n"/>
    </row>
    <row r="35925" ht="14.25" customHeight="1" s="192">
      <c r="W35925" s="235" t="n"/>
      <c r="X35925" s="235" t="n"/>
    </row>
    <row r="35926" ht="14.25" customHeight="1" s="192">
      <c r="W35926" s="239" t="n"/>
      <c r="X35926" s="239" t="n"/>
    </row>
    <row r="35927" ht="14.25" customHeight="1" s="192">
      <c r="W35927" s="239" t="n"/>
      <c r="X35927" s="239" t="n"/>
    </row>
    <row r="35928" ht="14.25" customHeight="1" s="192">
      <c r="W35928" s="239" t="n"/>
      <c r="X35928" s="239" t="n"/>
    </row>
    <row r="35929" ht="14.25" customHeight="1" s="192">
      <c r="W35929" s="235" t="n"/>
      <c r="X35929" s="235" t="n"/>
    </row>
    <row r="35930" ht="14.25" customHeight="1" s="192">
      <c r="W35930" s="235" t="n"/>
      <c r="X35930" s="235" t="n"/>
    </row>
    <row r="35931" ht="14.25" customHeight="1" s="192">
      <c r="W35931" s="235" t="n"/>
      <c r="X35931" s="235" t="n"/>
    </row>
    <row r="35932" ht="14.25" customHeight="1" s="192">
      <c r="W35932" s="239" t="n"/>
      <c r="X35932" s="239" t="n"/>
    </row>
    <row r="35933" ht="14.25" customHeight="1" s="192">
      <c r="W35933" s="239" t="n"/>
      <c r="X35933" s="239" t="n"/>
    </row>
    <row r="35934" ht="14.25" customHeight="1" s="192">
      <c r="W35934" s="235" t="n"/>
      <c r="X35934" s="235" t="n"/>
    </row>
    <row r="35935" ht="14.25" customHeight="1" s="192">
      <c r="W35935" s="235" t="n"/>
      <c r="X35935" s="235" t="n"/>
    </row>
    <row r="35936" ht="14.25" customHeight="1" s="192">
      <c r="W35936" s="239" t="n"/>
      <c r="X35936" s="239" t="n"/>
    </row>
    <row r="35937" ht="14.25" customHeight="1" s="192">
      <c r="W35937" s="235" t="n"/>
      <c r="X35937" s="235" t="n"/>
    </row>
    <row r="35938" ht="14.25" customHeight="1" s="192">
      <c r="W35938" s="239" t="n"/>
      <c r="X35938" s="239" t="n"/>
    </row>
    <row r="35940" ht="14.25" customHeight="1" s="192">
      <c r="W35940" s="235" t="n"/>
      <c r="X35940" s="235" t="n"/>
    </row>
    <row r="35941" ht="15" customHeight="1" s="192" thickBot="1">
      <c r="W35941" s="239" t="n"/>
      <c r="X35941" s="239" t="n"/>
    </row>
    <row r="35942" ht="15" customHeight="1" s="192" thickBot="1">
      <c r="W35942" s="45" t="n"/>
      <c r="X35942" s="45" t="n"/>
    </row>
    <row r="35943" ht="14.25" customHeight="1" s="192">
      <c r="W35943" s="228" t="n"/>
      <c r="X35943" s="228" t="n"/>
    </row>
    <row r="35944" ht="14.25" customHeight="1" s="192">
      <c r="W35944" s="228" t="n"/>
      <c r="X35944" s="228" t="n"/>
    </row>
    <row r="35945" ht="14.25" customHeight="1" s="192">
      <c r="W35945" s="231" t="n"/>
      <c r="X35945" s="231" t="n"/>
    </row>
    <row r="35946" ht="14.25" customHeight="1" s="192">
      <c r="W35946" s="33" t="n"/>
      <c r="X35946" s="33" t="n"/>
    </row>
    <row r="35947" ht="14.25" customHeight="1" s="192">
      <c r="W35947" s="231" t="n"/>
      <c r="X35947" s="231" t="n"/>
    </row>
    <row r="35948" ht="14.25" customHeight="1" s="192">
      <c r="W35948" s="33" t="n"/>
      <c r="X35948" s="33" t="n"/>
    </row>
    <row r="35950" ht="14.25" customHeight="1" s="192">
      <c r="W35950" s="231" t="n"/>
      <c r="X35950" s="231" t="n"/>
    </row>
    <row r="35951" ht="14.25" customHeight="1" s="192">
      <c r="W35951" s="235" t="n"/>
      <c r="X35951" s="235" t="n"/>
    </row>
    <row r="35952" ht="14.25" customHeight="1" s="192">
      <c r="W35952" s="228" t="n"/>
      <c r="X35952" s="228" t="n"/>
    </row>
    <row r="35953" ht="14.25" customHeight="1" s="192">
      <c r="W35953" s="235" t="n"/>
      <c r="X35953" s="235" t="n"/>
    </row>
    <row r="35954" ht="14.25" customHeight="1" s="192">
      <c r="W35954" s="235" t="n"/>
      <c r="X35954" s="235" t="n"/>
    </row>
    <row r="35955" ht="14.25" customHeight="1" s="192">
      <c r="W35955" s="235" t="n"/>
      <c r="X35955" s="235" t="n"/>
    </row>
    <row r="35956" ht="14.25" customHeight="1" s="192">
      <c r="W35956" s="239" t="n"/>
      <c r="X35956" s="239" t="n"/>
    </row>
    <row r="35957" ht="14.25" customHeight="1" s="192">
      <c r="W35957" s="239" t="n"/>
      <c r="X35957" s="239" t="n"/>
    </row>
    <row r="35958" ht="14.25" customHeight="1" s="192">
      <c r="W35958" s="239" t="n"/>
      <c r="X35958" s="239" t="n"/>
    </row>
    <row r="35959" ht="14.25" customHeight="1" s="192">
      <c r="W35959" s="235" t="n"/>
      <c r="X35959" s="235" t="n"/>
    </row>
    <row r="35960" ht="14.25" customHeight="1" s="192">
      <c r="W35960" s="235" t="n"/>
      <c r="X35960" s="235" t="n"/>
    </row>
    <row r="35961" ht="14.25" customHeight="1" s="192">
      <c r="W35961" s="235" t="n"/>
      <c r="X35961" s="235" t="n"/>
    </row>
    <row r="35962" ht="14.25" customHeight="1" s="192">
      <c r="W35962" s="239" t="n"/>
      <c r="X35962" s="239" t="n"/>
    </row>
    <row r="35963" ht="14.25" customHeight="1" s="192">
      <c r="W35963" s="239" t="n"/>
      <c r="X35963" s="239" t="n"/>
    </row>
    <row r="35964" ht="14.25" customHeight="1" s="192">
      <c r="W35964" s="235" t="n"/>
      <c r="X35964" s="235" t="n"/>
    </row>
    <row r="35965" ht="14.25" customHeight="1" s="192">
      <c r="W35965" s="235" t="n"/>
      <c r="X35965" s="235" t="n"/>
    </row>
    <row r="35966" ht="14.25" customHeight="1" s="192">
      <c r="W35966" s="239" t="n"/>
      <c r="X35966" s="239" t="n"/>
    </row>
    <row r="35967" ht="14.25" customHeight="1" s="192">
      <c r="W35967" s="235" t="n"/>
      <c r="X35967" s="235" t="n"/>
    </row>
    <row r="35968" ht="14.25" customHeight="1" s="192">
      <c r="W35968" s="239" t="n"/>
      <c r="X35968" s="239" t="n"/>
    </row>
    <row r="35970" ht="14.25" customHeight="1" s="192">
      <c r="W35970" s="235" t="n"/>
      <c r="X35970" s="235" t="n"/>
    </row>
    <row r="35971" ht="15" customHeight="1" s="192" thickBot="1">
      <c r="W35971" s="239" t="n"/>
      <c r="X35971" s="239" t="n"/>
    </row>
    <row r="35972" ht="15" customHeight="1" s="192" thickBot="1">
      <c r="W35972" s="45" t="n"/>
      <c r="X35972" s="45" t="n"/>
    </row>
    <row r="35973" ht="14.25" customHeight="1" s="192">
      <c r="W35973" s="228" t="n"/>
      <c r="X35973" s="228" t="n"/>
    </row>
    <row r="35974" ht="14.25" customHeight="1" s="192">
      <c r="W35974" s="228" t="n"/>
      <c r="X35974" s="228" t="n"/>
    </row>
    <row r="35975" ht="14.25" customHeight="1" s="192">
      <c r="W35975" s="231" t="n"/>
      <c r="X35975" s="231" t="n"/>
    </row>
    <row r="35976" ht="14.25" customHeight="1" s="192">
      <c r="W35976" s="33" t="n"/>
      <c r="X35976" s="33" t="n"/>
    </row>
    <row r="35977" ht="14.25" customHeight="1" s="192">
      <c r="W35977" s="231" t="n"/>
      <c r="X35977" s="231" t="n"/>
    </row>
    <row r="35978" ht="14.25" customHeight="1" s="192">
      <c r="W35978" s="33" t="n"/>
      <c r="X35978" s="33" t="n"/>
    </row>
    <row r="35980" ht="14.25" customHeight="1" s="192">
      <c r="W35980" s="231" t="n"/>
      <c r="X35980" s="231" t="n"/>
    </row>
    <row r="35981" ht="14.25" customHeight="1" s="192">
      <c r="W35981" s="235" t="n"/>
      <c r="X35981" s="235" t="n"/>
    </row>
    <row r="35982" ht="14.25" customHeight="1" s="192">
      <c r="W35982" s="228" t="n"/>
      <c r="X35982" s="228" t="n"/>
    </row>
    <row r="35983" ht="14.25" customHeight="1" s="192">
      <c r="W35983" s="235" t="n"/>
      <c r="X35983" s="235" t="n"/>
    </row>
    <row r="35984" ht="14.25" customHeight="1" s="192">
      <c r="W35984" s="235" t="n"/>
      <c r="X35984" s="235" t="n"/>
    </row>
    <row r="35985" ht="14.25" customHeight="1" s="192">
      <c r="W35985" s="235" t="n"/>
      <c r="X35985" s="235" t="n"/>
    </row>
    <row r="35986" ht="14.25" customHeight="1" s="192">
      <c r="W35986" s="239" t="n"/>
      <c r="X35986" s="239" t="n"/>
    </row>
    <row r="35987" ht="14.25" customHeight="1" s="192">
      <c r="W35987" s="239" t="n"/>
      <c r="X35987" s="239" t="n"/>
    </row>
    <row r="35988" ht="14.25" customHeight="1" s="192">
      <c r="W35988" s="239" t="n"/>
      <c r="X35988" s="239" t="n"/>
    </row>
    <row r="35989" ht="14.25" customHeight="1" s="192">
      <c r="W35989" s="235" t="n"/>
      <c r="X35989" s="235" t="n"/>
    </row>
    <row r="35990" ht="14.25" customHeight="1" s="192">
      <c r="W35990" s="235" t="n"/>
      <c r="X35990" s="235" t="n"/>
    </row>
    <row r="35991" ht="14.25" customHeight="1" s="192">
      <c r="W35991" s="235" t="n"/>
      <c r="X35991" s="235" t="n"/>
    </row>
    <row r="35992" ht="14.25" customHeight="1" s="192">
      <c r="W35992" s="239" t="n"/>
      <c r="X35992" s="239" t="n"/>
    </row>
    <row r="35993" ht="14.25" customHeight="1" s="192">
      <c r="W35993" s="239" t="n"/>
      <c r="X35993" s="239" t="n"/>
    </row>
    <row r="35994" ht="14.25" customHeight="1" s="192">
      <c r="W35994" s="235" t="n"/>
      <c r="X35994" s="235" t="n"/>
    </row>
    <row r="35995" ht="14.25" customHeight="1" s="192">
      <c r="W35995" s="235" t="n"/>
      <c r="X35995" s="235" t="n"/>
    </row>
    <row r="35996" ht="14.25" customHeight="1" s="192">
      <c r="W35996" s="239" t="n"/>
      <c r="X35996" s="239" t="n"/>
    </row>
    <row r="35997" ht="14.25" customHeight="1" s="192">
      <c r="W35997" s="235" t="n"/>
      <c r="X35997" s="235" t="n"/>
    </row>
    <row r="35998" ht="14.25" customHeight="1" s="192">
      <c r="W35998" s="239" t="n"/>
      <c r="X35998" s="239" t="n"/>
    </row>
    <row r="36000" ht="14.25" customHeight="1" s="192">
      <c r="W36000" s="235" t="n"/>
      <c r="X36000" s="235" t="n"/>
    </row>
    <row r="36001" ht="15" customHeight="1" s="192" thickBot="1">
      <c r="W36001" s="239" t="n"/>
      <c r="X36001" s="239" t="n"/>
    </row>
    <row r="36002" ht="15" customHeight="1" s="192" thickBot="1">
      <c r="W36002" s="45" t="n"/>
      <c r="X36002" s="45" t="n"/>
    </row>
    <row r="36003" ht="14.25" customHeight="1" s="192">
      <c r="W36003" s="228" t="n"/>
      <c r="X36003" s="228" t="n"/>
    </row>
    <row r="36004" ht="14.25" customHeight="1" s="192">
      <c r="W36004" s="228" t="n"/>
      <c r="X36004" s="228" t="n"/>
    </row>
    <row r="36005" ht="14.25" customHeight="1" s="192">
      <c r="W36005" s="231" t="n"/>
      <c r="X36005" s="231" t="n"/>
    </row>
    <row r="36006" ht="14.25" customHeight="1" s="192">
      <c r="W36006" s="33" t="n"/>
      <c r="X36006" s="33" t="n"/>
    </row>
    <row r="36007" ht="14.25" customHeight="1" s="192">
      <c r="W36007" s="231" t="n"/>
      <c r="X36007" s="231" t="n"/>
    </row>
    <row r="36008" ht="14.25" customHeight="1" s="192">
      <c r="W36008" s="33" t="n"/>
      <c r="X36008" s="33" t="n"/>
    </row>
    <row r="36010" ht="14.25" customHeight="1" s="192">
      <c r="W36010" s="231" t="n"/>
      <c r="X36010" s="231" t="n"/>
    </row>
    <row r="36011" ht="14.25" customHeight="1" s="192">
      <c r="W36011" s="235" t="n"/>
      <c r="X36011" s="235" t="n"/>
    </row>
    <row r="36012" ht="14.25" customHeight="1" s="192">
      <c r="W36012" s="228" t="n"/>
      <c r="X36012" s="228" t="n"/>
    </row>
    <row r="36013" ht="14.25" customHeight="1" s="192">
      <c r="W36013" s="235" t="n"/>
      <c r="X36013" s="235" t="n"/>
    </row>
    <row r="36014" ht="14.25" customHeight="1" s="192">
      <c r="W36014" s="235" t="n"/>
      <c r="X36014" s="235" t="n"/>
    </row>
    <row r="36015" ht="14.25" customHeight="1" s="192">
      <c r="W36015" s="235" t="n"/>
      <c r="X36015" s="235" t="n"/>
    </row>
    <row r="36016" ht="14.25" customHeight="1" s="192">
      <c r="W36016" s="239" t="n"/>
      <c r="X36016" s="239" t="n"/>
    </row>
    <row r="36017" ht="14.25" customHeight="1" s="192">
      <c r="W36017" s="239" t="n"/>
      <c r="X36017" s="239" t="n"/>
    </row>
    <row r="36018" ht="14.25" customHeight="1" s="192">
      <c r="W36018" s="239" t="n"/>
      <c r="X36018" s="239" t="n"/>
    </row>
    <row r="36019" ht="14.25" customHeight="1" s="192">
      <c r="W36019" s="235" t="n"/>
      <c r="X36019" s="235" t="n"/>
    </row>
    <row r="36020" ht="14.25" customHeight="1" s="192">
      <c r="W36020" s="235" t="n"/>
      <c r="X36020" s="235" t="n"/>
    </row>
    <row r="36021" ht="14.25" customHeight="1" s="192">
      <c r="W36021" s="235" t="n"/>
      <c r="X36021" s="235" t="n"/>
    </row>
    <row r="36022" ht="14.25" customHeight="1" s="192">
      <c r="W36022" s="239" t="n"/>
      <c r="X36022" s="239" t="n"/>
    </row>
    <row r="36023" ht="14.25" customHeight="1" s="192">
      <c r="W36023" s="239" t="n"/>
      <c r="X36023" s="239" t="n"/>
    </row>
    <row r="36024" ht="14.25" customHeight="1" s="192">
      <c r="W36024" s="235" t="n"/>
      <c r="X36024" s="235" t="n"/>
    </row>
    <row r="36025" ht="14.25" customHeight="1" s="192">
      <c r="W36025" s="235" t="n"/>
      <c r="X36025" s="235" t="n"/>
    </row>
    <row r="36026" ht="14.25" customHeight="1" s="192">
      <c r="W36026" s="239" t="n"/>
      <c r="X36026" s="239" t="n"/>
    </row>
    <row r="36027" ht="14.25" customHeight="1" s="192">
      <c r="W36027" s="235" t="n"/>
      <c r="X36027" s="235" t="n"/>
    </row>
    <row r="36028" ht="14.25" customHeight="1" s="192">
      <c r="W36028" s="239" t="n"/>
      <c r="X36028" s="239" t="n"/>
    </row>
    <row r="36030" ht="14.25" customHeight="1" s="192">
      <c r="W36030" s="235" t="n"/>
      <c r="X36030" s="235" t="n"/>
    </row>
    <row r="36031" ht="15" customHeight="1" s="192" thickBot="1">
      <c r="W36031" s="239" t="n"/>
      <c r="X36031" s="239" t="n"/>
    </row>
    <row r="36032" ht="15" customHeight="1" s="192" thickBot="1">
      <c r="W36032" s="45" t="n"/>
      <c r="X36032" s="45" t="n"/>
    </row>
    <row r="36033" ht="14.25" customHeight="1" s="192">
      <c r="W36033" s="228" t="n"/>
      <c r="X36033" s="228" t="n"/>
    </row>
    <row r="36034" ht="14.25" customHeight="1" s="192">
      <c r="W36034" s="228" t="n"/>
      <c r="X36034" s="228" t="n"/>
    </row>
    <row r="36035" ht="14.25" customHeight="1" s="192">
      <c r="W36035" s="231" t="n"/>
      <c r="X36035" s="231" t="n"/>
    </row>
    <row r="36036" ht="14.25" customHeight="1" s="192">
      <c r="W36036" s="33" t="n"/>
      <c r="X36036" s="33" t="n"/>
    </row>
    <row r="36037" ht="14.25" customHeight="1" s="192">
      <c r="W36037" s="231" t="n"/>
      <c r="X36037" s="231" t="n"/>
    </row>
    <row r="36038" ht="14.25" customHeight="1" s="192">
      <c r="W36038" s="33" t="n"/>
      <c r="X36038" s="33" t="n"/>
    </row>
    <row r="36040" ht="14.25" customHeight="1" s="192">
      <c r="W36040" s="231" t="n"/>
      <c r="X36040" s="231" t="n"/>
    </row>
    <row r="36041" ht="14.25" customHeight="1" s="192">
      <c r="W36041" s="235" t="n"/>
      <c r="X36041" s="235" t="n"/>
    </row>
    <row r="36042" ht="14.25" customHeight="1" s="192">
      <c r="W36042" s="228" t="n"/>
      <c r="X36042" s="228" t="n"/>
    </row>
    <row r="36043" ht="14.25" customHeight="1" s="192">
      <c r="W36043" s="235" t="n"/>
      <c r="X36043" s="235" t="n"/>
    </row>
    <row r="36044" ht="14.25" customHeight="1" s="192">
      <c r="W36044" s="235" t="n"/>
      <c r="X36044" s="235" t="n"/>
    </row>
    <row r="36045" ht="14.25" customHeight="1" s="192">
      <c r="W36045" s="235" t="n"/>
      <c r="X36045" s="235" t="n"/>
    </row>
    <row r="36046" ht="14.25" customHeight="1" s="192">
      <c r="W36046" s="239" t="n"/>
      <c r="X36046" s="239" t="n"/>
    </row>
    <row r="36047" ht="14.25" customHeight="1" s="192">
      <c r="W36047" s="239" t="n"/>
      <c r="X36047" s="239" t="n"/>
    </row>
    <row r="36048" ht="14.25" customHeight="1" s="192">
      <c r="W36048" s="239" t="n"/>
      <c r="X36048" s="239" t="n"/>
    </row>
    <row r="36049" ht="14.25" customHeight="1" s="192">
      <c r="W36049" s="235" t="n"/>
      <c r="X36049" s="235" t="n"/>
    </row>
    <row r="36050" ht="14.25" customHeight="1" s="192">
      <c r="W36050" s="235" t="n"/>
      <c r="X36050" s="235" t="n"/>
    </row>
    <row r="36051" ht="14.25" customHeight="1" s="192">
      <c r="W36051" s="235" t="n"/>
      <c r="X36051" s="235" t="n"/>
    </row>
    <row r="36052" ht="14.25" customHeight="1" s="192">
      <c r="W36052" s="239" t="n"/>
      <c r="X36052" s="239" t="n"/>
    </row>
    <row r="36053" ht="14.25" customHeight="1" s="192">
      <c r="W36053" s="239" t="n"/>
      <c r="X36053" s="239" t="n"/>
    </row>
    <row r="36054" ht="14.25" customHeight="1" s="192">
      <c r="W36054" s="235" t="n"/>
      <c r="X36054" s="235" t="n"/>
    </row>
    <row r="36055" ht="14.25" customHeight="1" s="192">
      <c r="W36055" s="235" t="n"/>
      <c r="X36055" s="235" t="n"/>
    </row>
    <row r="36056" ht="14.25" customHeight="1" s="192">
      <c r="W36056" s="239" t="n"/>
      <c r="X36056" s="239" t="n"/>
    </row>
    <row r="36057" ht="14.25" customHeight="1" s="192">
      <c r="W36057" s="235" t="n"/>
      <c r="X36057" s="235" t="n"/>
    </row>
    <row r="36058" ht="14.25" customHeight="1" s="192">
      <c r="W36058" s="239" t="n"/>
      <c r="X36058" s="239" t="n"/>
    </row>
    <row r="36060" ht="14.25" customHeight="1" s="192">
      <c r="W36060" s="235" t="n"/>
      <c r="X36060" s="235" t="n"/>
    </row>
    <row r="36061" ht="15" customHeight="1" s="192" thickBot="1">
      <c r="W36061" s="239" t="n"/>
      <c r="X36061" s="239" t="n"/>
    </row>
    <row r="36062" ht="15" customHeight="1" s="192" thickBot="1">
      <c r="W36062" s="45" t="n"/>
      <c r="X36062" s="45" t="n"/>
    </row>
    <row r="36063" ht="14.25" customHeight="1" s="192">
      <c r="W36063" s="228" t="n"/>
      <c r="X36063" s="228" t="n"/>
    </row>
    <row r="36064" ht="14.25" customHeight="1" s="192">
      <c r="W36064" s="228" t="n"/>
      <c r="X36064" s="228" t="n"/>
    </row>
    <row r="36065" ht="14.25" customHeight="1" s="192">
      <c r="W36065" s="231" t="n"/>
      <c r="X36065" s="231" t="n"/>
    </row>
    <row r="36066" ht="14.25" customHeight="1" s="192">
      <c r="W36066" s="33" t="n"/>
      <c r="X36066" s="33" t="n"/>
    </row>
    <row r="36067" ht="14.25" customHeight="1" s="192">
      <c r="W36067" s="231" t="n"/>
      <c r="X36067" s="231" t="n"/>
    </row>
    <row r="36068" ht="14.25" customHeight="1" s="192">
      <c r="W36068" s="33" t="n"/>
      <c r="X36068" s="33" t="n"/>
    </row>
    <row r="36070" ht="14.25" customHeight="1" s="192">
      <c r="W36070" s="231" t="n"/>
      <c r="X36070" s="231" t="n"/>
    </row>
    <row r="36071" ht="14.25" customHeight="1" s="192">
      <c r="W36071" s="235" t="n"/>
      <c r="X36071" s="235" t="n"/>
    </row>
    <row r="36072" ht="14.25" customHeight="1" s="192">
      <c r="W36072" s="228" t="n"/>
      <c r="X36072" s="228" t="n"/>
    </row>
    <row r="36073" ht="14.25" customHeight="1" s="192">
      <c r="W36073" s="235" t="n"/>
      <c r="X36073" s="235" t="n"/>
    </row>
    <row r="36074" ht="14.25" customHeight="1" s="192">
      <c r="W36074" s="235" t="n"/>
      <c r="X36074" s="235" t="n"/>
    </row>
    <row r="36075" ht="14.25" customHeight="1" s="192">
      <c r="W36075" s="235" t="n"/>
      <c r="X36075" s="235" t="n"/>
    </row>
    <row r="36076" ht="14.25" customHeight="1" s="192">
      <c r="W36076" s="239" t="n"/>
      <c r="X36076" s="239" t="n"/>
    </row>
    <row r="36077" ht="14.25" customHeight="1" s="192">
      <c r="W36077" s="239" t="n"/>
      <c r="X36077" s="239" t="n"/>
    </row>
    <row r="36078" ht="14.25" customHeight="1" s="192">
      <c r="W36078" s="239" t="n"/>
      <c r="X36078" s="239" t="n"/>
    </row>
    <row r="36079" ht="14.25" customHeight="1" s="192">
      <c r="W36079" s="235" t="n"/>
      <c r="X36079" s="235" t="n"/>
    </row>
    <row r="36080" ht="14.25" customHeight="1" s="192">
      <c r="W36080" s="235" t="n"/>
      <c r="X36080" s="235" t="n"/>
    </row>
    <row r="36081" ht="14.25" customHeight="1" s="192">
      <c r="W36081" s="235" t="n"/>
      <c r="X36081" s="235" t="n"/>
    </row>
    <row r="36082" ht="14.25" customHeight="1" s="192">
      <c r="W36082" s="239" t="n"/>
      <c r="X36082" s="239" t="n"/>
    </row>
    <row r="36083" ht="14.25" customHeight="1" s="192">
      <c r="W36083" s="239" t="n"/>
      <c r="X36083" s="239" t="n"/>
    </row>
    <row r="36084" ht="14.25" customHeight="1" s="192">
      <c r="W36084" s="235" t="n"/>
      <c r="X36084" s="235" t="n"/>
    </row>
    <row r="36085" ht="14.25" customHeight="1" s="192">
      <c r="W36085" s="235" t="n"/>
      <c r="X36085" s="235" t="n"/>
    </row>
    <row r="36086" ht="14.25" customHeight="1" s="192">
      <c r="W36086" s="239" t="n"/>
      <c r="X36086" s="239" t="n"/>
    </row>
    <row r="36087" ht="14.25" customHeight="1" s="192">
      <c r="W36087" s="235" t="n"/>
      <c r="X36087" s="235" t="n"/>
    </row>
    <row r="36088" ht="14.25" customHeight="1" s="192">
      <c r="W36088" s="239" t="n"/>
      <c r="X36088" s="239" t="n"/>
    </row>
    <row r="36090" ht="14.25" customHeight="1" s="192">
      <c r="W36090" s="235" t="n"/>
      <c r="X36090" s="235" t="n"/>
    </row>
    <row r="36091" ht="15" customHeight="1" s="192" thickBot="1">
      <c r="W36091" s="239" t="n"/>
      <c r="X36091" s="239" t="n"/>
    </row>
    <row r="36092" ht="15" customHeight="1" s="192" thickBot="1">
      <c r="W36092" s="45" t="n"/>
      <c r="X36092" s="45" t="n"/>
    </row>
    <row r="36093" ht="14.25" customHeight="1" s="192">
      <c r="W36093" s="228" t="n"/>
      <c r="X36093" s="228" t="n"/>
    </row>
    <row r="36094" ht="14.25" customHeight="1" s="192">
      <c r="W36094" s="228" t="n"/>
      <c r="X36094" s="228" t="n"/>
    </row>
    <row r="36095" ht="14.25" customHeight="1" s="192">
      <c r="W36095" s="231" t="n"/>
      <c r="X36095" s="231" t="n"/>
    </row>
    <row r="36096" ht="14.25" customHeight="1" s="192">
      <c r="W36096" s="33" t="n"/>
      <c r="X36096" s="33" t="n"/>
    </row>
    <row r="36097" ht="14.25" customHeight="1" s="192">
      <c r="W36097" s="231" t="n"/>
      <c r="X36097" s="231" t="n"/>
    </row>
    <row r="36098" ht="14.25" customHeight="1" s="192">
      <c r="W36098" s="33" t="n"/>
      <c r="X36098" s="33" t="n"/>
    </row>
    <row r="36100" ht="14.25" customHeight="1" s="192">
      <c r="W36100" s="231" t="n"/>
      <c r="X36100" s="231" t="n"/>
    </row>
    <row r="36101" ht="14.25" customHeight="1" s="192">
      <c r="W36101" s="235" t="n"/>
      <c r="X36101" s="235" t="n"/>
    </row>
    <row r="36102" ht="14.25" customHeight="1" s="192">
      <c r="W36102" s="228" t="n"/>
      <c r="X36102" s="228" t="n"/>
    </row>
    <row r="36103" ht="14.25" customHeight="1" s="192">
      <c r="W36103" s="235" t="n"/>
      <c r="X36103" s="235" t="n"/>
    </row>
    <row r="36104" ht="14.25" customHeight="1" s="192">
      <c r="W36104" s="235" t="n"/>
      <c r="X36104" s="235" t="n"/>
    </row>
    <row r="36105" ht="14.25" customHeight="1" s="192">
      <c r="W36105" s="235" t="n"/>
      <c r="X36105" s="235" t="n"/>
    </row>
    <row r="36106" ht="14.25" customHeight="1" s="192">
      <c r="W36106" s="239" t="n"/>
      <c r="X36106" s="239" t="n"/>
    </row>
    <row r="36107" ht="14.25" customHeight="1" s="192">
      <c r="W36107" s="239" t="n"/>
      <c r="X36107" s="239" t="n"/>
    </row>
    <row r="36108" ht="14.25" customHeight="1" s="192">
      <c r="W36108" s="239" t="n"/>
      <c r="X36108" s="239" t="n"/>
    </row>
    <row r="36109" ht="14.25" customHeight="1" s="192">
      <c r="W36109" s="235" t="n"/>
      <c r="X36109" s="235" t="n"/>
    </row>
    <row r="36110" ht="14.25" customHeight="1" s="192">
      <c r="W36110" s="235" t="n"/>
      <c r="X36110" s="235" t="n"/>
    </row>
    <row r="36111" ht="14.25" customHeight="1" s="192">
      <c r="W36111" s="235" t="n"/>
      <c r="X36111" s="235" t="n"/>
    </row>
    <row r="36112" ht="14.25" customHeight="1" s="192">
      <c r="W36112" s="239" t="n"/>
      <c r="X36112" s="239" t="n"/>
    </row>
    <row r="36113" ht="14.25" customHeight="1" s="192">
      <c r="W36113" s="239" t="n"/>
      <c r="X36113" s="239" t="n"/>
    </row>
    <row r="36114" ht="14.25" customHeight="1" s="192">
      <c r="W36114" s="235" t="n"/>
      <c r="X36114" s="235" t="n"/>
    </row>
    <row r="36115" ht="14.25" customHeight="1" s="192">
      <c r="W36115" s="235" t="n"/>
      <c r="X36115" s="235" t="n"/>
    </row>
    <row r="36116" ht="14.25" customHeight="1" s="192">
      <c r="W36116" s="239" t="n"/>
      <c r="X36116" s="239" t="n"/>
    </row>
    <row r="36117" ht="14.25" customHeight="1" s="192">
      <c r="W36117" s="235" t="n"/>
      <c r="X36117" s="235" t="n"/>
    </row>
    <row r="36118" ht="14.25" customHeight="1" s="192">
      <c r="W36118" s="239" t="n"/>
      <c r="X36118" s="239" t="n"/>
    </row>
    <row r="36120" ht="14.25" customHeight="1" s="192">
      <c r="W36120" s="235" t="n"/>
      <c r="X36120" s="235" t="n"/>
    </row>
    <row r="36121" ht="15" customHeight="1" s="192" thickBot="1">
      <c r="W36121" s="239" t="n"/>
      <c r="X36121" s="239" t="n"/>
    </row>
    <row r="36122" ht="15" customHeight="1" s="192" thickBot="1">
      <c r="W36122" s="45" t="n"/>
      <c r="X36122" s="45" t="n"/>
    </row>
    <row r="36123" ht="14.25" customHeight="1" s="192">
      <c r="W36123" s="228" t="n"/>
      <c r="X36123" s="228" t="n"/>
    </row>
    <row r="36124" ht="14.25" customHeight="1" s="192">
      <c r="W36124" s="228" t="n"/>
      <c r="X36124" s="228" t="n"/>
    </row>
    <row r="36125" ht="14.25" customHeight="1" s="192">
      <c r="W36125" s="231" t="n"/>
      <c r="X36125" s="231" t="n"/>
    </row>
    <row r="36126" ht="14.25" customHeight="1" s="192">
      <c r="W36126" s="33" t="n"/>
      <c r="X36126" s="33" t="n"/>
    </row>
    <row r="36127" ht="14.25" customHeight="1" s="192">
      <c r="W36127" s="231" t="n"/>
      <c r="X36127" s="231" t="n"/>
    </row>
    <row r="36128" ht="14.25" customHeight="1" s="192">
      <c r="W36128" s="33" t="n"/>
      <c r="X36128" s="33" t="n"/>
    </row>
    <row r="36130" ht="14.25" customHeight="1" s="192">
      <c r="W36130" s="231" t="n"/>
      <c r="X36130" s="231" t="n"/>
    </row>
    <row r="36131" ht="14.25" customHeight="1" s="192">
      <c r="W36131" s="235" t="n"/>
      <c r="X36131" s="235" t="n"/>
    </row>
    <row r="36132" ht="14.25" customHeight="1" s="192">
      <c r="W36132" s="228" t="n"/>
      <c r="X36132" s="228" t="n"/>
    </row>
    <row r="36133" ht="14.25" customHeight="1" s="192">
      <c r="W36133" s="235" t="n"/>
      <c r="X36133" s="235" t="n"/>
    </row>
    <row r="36134" ht="14.25" customHeight="1" s="192">
      <c r="W36134" s="235" t="n"/>
      <c r="X36134" s="235" t="n"/>
    </row>
    <row r="36135" ht="14.25" customHeight="1" s="192">
      <c r="W36135" s="235" t="n"/>
      <c r="X36135" s="235" t="n"/>
    </row>
    <row r="36136" ht="14.25" customHeight="1" s="192">
      <c r="W36136" s="239" t="n"/>
      <c r="X36136" s="239" t="n"/>
    </row>
    <row r="36137" ht="14.25" customHeight="1" s="192">
      <c r="W36137" s="239" t="n"/>
      <c r="X36137" s="239" t="n"/>
    </row>
    <row r="36138" ht="14.25" customHeight="1" s="192">
      <c r="W36138" s="239" t="n"/>
      <c r="X36138" s="239" t="n"/>
    </row>
    <row r="36139" ht="14.25" customHeight="1" s="192">
      <c r="W36139" s="235" t="n"/>
      <c r="X36139" s="235" t="n"/>
    </row>
    <row r="36140" ht="14.25" customHeight="1" s="192">
      <c r="W36140" s="235" t="n"/>
      <c r="X36140" s="235" t="n"/>
    </row>
    <row r="36141" ht="14.25" customHeight="1" s="192">
      <c r="W36141" s="235" t="n"/>
      <c r="X36141" s="235" t="n"/>
    </row>
    <row r="36142" ht="14.25" customHeight="1" s="192">
      <c r="W36142" s="239" t="n"/>
      <c r="X36142" s="239" t="n"/>
    </row>
    <row r="36143" ht="14.25" customHeight="1" s="192">
      <c r="W36143" s="239" t="n"/>
      <c r="X36143" s="239" t="n"/>
    </row>
    <row r="36144" ht="14.25" customHeight="1" s="192">
      <c r="W36144" s="235" t="n"/>
      <c r="X36144" s="235" t="n"/>
    </row>
    <row r="36145" ht="14.25" customHeight="1" s="192">
      <c r="W36145" s="235" t="n"/>
      <c r="X36145" s="235" t="n"/>
    </row>
    <row r="36146" ht="14.25" customHeight="1" s="192">
      <c r="W36146" s="239" t="n"/>
      <c r="X36146" s="239" t="n"/>
    </row>
    <row r="36147" ht="14.25" customHeight="1" s="192">
      <c r="W36147" s="235" t="n"/>
      <c r="X36147" s="235" t="n"/>
    </row>
    <row r="36148" ht="14.25" customHeight="1" s="192">
      <c r="W36148" s="239" t="n"/>
      <c r="X36148" s="239" t="n"/>
    </row>
    <row r="36150" ht="14.25" customHeight="1" s="192">
      <c r="W36150" s="235" t="n"/>
      <c r="X36150" s="235" t="n"/>
    </row>
    <row r="36151" ht="15" customHeight="1" s="192" thickBot="1">
      <c r="W36151" s="239" t="n"/>
      <c r="X36151" s="239" t="n"/>
    </row>
    <row r="36152" ht="15" customHeight="1" s="192" thickBot="1">
      <c r="W36152" s="45" t="n"/>
      <c r="X36152" s="45" t="n"/>
    </row>
    <row r="36153" ht="14.25" customHeight="1" s="192">
      <c r="W36153" s="228" t="n"/>
      <c r="X36153" s="228" t="n"/>
    </row>
    <row r="36154" ht="14.25" customHeight="1" s="192">
      <c r="W36154" s="228" t="n"/>
      <c r="X36154" s="228" t="n"/>
    </row>
    <row r="36155" ht="14.25" customHeight="1" s="192">
      <c r="W36155" s="231" t="n"/>
      <c r="X36155" s="231" t="n"/>
    </row>
    <row r="36156" ht="14.25" customHeight="1" s="192">
      <c r="W36156" s="33" t="n"/>
      <c r="X36156" s="33" t="n"/>
    </row>
    <row r="36157" ht="14.25" customHeight="1" s="192">
      <c r="W36157" s="231" t="n"/>
      <c r="X36157" s="231" t="n"/>
    </row>
    <row r="36158" ht="14.25" customHeight="1" s="192">
      <c r="W36158" s="33" t="n"/>
      <c r="X36158" s="33" t="n"/>
    </row>
    <row r="36160" ht="14.25" customHeight="1" s="192">
      <c r="W36160" s="231" t="n"/>
      <c r="X36160" s="231" t="n"/>
    </row>
    <row r="36161" ht="14.25" customHeight="1" s="192">
      <c r="W36161" s="235" t="n"/>
      <c r="X36161" s="235" t="n"/>
    </row>
    <row r="36162" ht="14.25" customHeight="1" s="192">
      <c r="W36162" s="228" t="n"/>
      <c r="X36162" s="228" t="n"/>
    </row>
    <row r="36163" ht="14.25" customHeight="1" s="192">
      <c r="W36163" s="235" t="n"/>
      <c r="X36163" s="235" t="n"/>
    </row>
    <row r="36164" ht="14.25" customHeight="1" s="192">
      <c r="W36164" s="235" t="n"/>
      <c r="X36164" s="235" t="n"/>
    </row>
    <row r="36165" ht="14.25" customHeight="1" s="192">
      <c r="W36165" s="235" t="n"/>
      <c r="X36165" s="235" t="n"/>
    </row>
    <row r="36166" ht="14.25" customHeight="1" s="192">
      <c r="W36166" s="239" t="n"/>
      <c r="X36166" s="239" t="n"/>
    </row>
    <row r="36167" ht="14.25" customHeight="1" s="192">
      <c r="W36167" s="239" t="n"/>
      <c r="X36167" s="239" t="n"/>
    </row>
    <row r="36168" ht="14.25" customHeight="1" s="192">
      <c r="W36168" s="239" t="n"/>
      <c r="X36168" s="239" t="n"/>
    </row>
    <row r="36169" ht="14.25" customHeight="1" s="192">
      <c r="W36169" s="235" t="n"/>
      <c r="X36169" s="235" t="n"/>
    </row>
    <row r="36170" ht="14.25" customHeight="1" s="192">
      <c r="W36170" s="235" t="n"/>
      <c r="X36170" s="235" t="n"/>
    </row>
    <row r="36171" ht="14.25" customHeight="1" s="192">
      <c r="W36171" s="235" t="n"/>
      <c r="X36171" s="235" t="n"/>
    </row>
    <row r="36172" ht="14.25" customHeight="1" s="192">
      <c r="W36172" s="239" t="n"/>
      <c r="X36172" s="239" t="n"/>
    </row>
    <row r="36173" ht="14.25" customHeight="1" s="192">
      <c r="W36173" s="239" t="n"/>
      <c r="X36173" s="239" t="n"/>
    </row>
    <row r="36174" ht="14.25" customHeight="1" s="192">
      <c r="W36174" s="235" t="n"/>
      <c r="X36174" s="235" t="n"/>
    </row>
    <row r="36175" ht="14.25" customHeight="1" s="192">
      <c r="W36175" s="235" t="n"/>
      <c r="X36175" s="235" t="n"/>
    </row>
    <row r="36176" ht="14.25" customHeight="1" s="192">
      <c r="W36176" s="239" t="n"/>
      <c r="X36176" s="239" t="n"/>
    </row>
    <row r="36177" ht="14.25" customHeight="1" s="192">
      <c r="W36177" s="235" t="n"/>
      <c r="X36177" s="235" t="n"/>
    </row>
    <row r="36178" ht="14.25" customHeight="1" s="192">
      <c r="W36178" s="239" t="n"/>
      <c r="X36178" s="239" t="n"/>
    </row>
    <row r="36180" ht="14.25" customHeight="1" s="192">
      <c r="W36180" s="235" t="n"/>
      <c r="X36180" s="235" t="n"/>
    </row>
    <row r="36181" ht="15" customHeight="1" s="192" thickBot="1">
      <c r="W36181" s="239" t="n"/>
      <c r="X36181" s="239" t="n"/>
    </row>
    <row r="36182" ht="15" customHeight="1" s="192" thickBot="1">
      <c r="W36182" s="45" t="n"/>
      <c r="X36182" s="45" t="n"/>
    </row>
    <row r="36183" ht="14.25" customHeight="1" s="192">
      <c r="W36183" s="228" t="n"/>
      <c r="X36183" s="228" t="n"/>
    </row>
    <row r="36184" ht="14.25" customHeight="1" s="192">
      <c r="W36184" s="228" t="n"/>
      <c r="X36184" s="228" t="n"/>
    </row>
    <row r="36185" ht="14.25" customHeight="1" s="192">
      <c r="W36185" s="231" t="n"/>
      <c r="X36185" s="231" t="n"/>
    </row>
    <row r="36186" ht="14.25" customHeight="1" s="192">
      <c r="W36186" s="33" t="n"/>
      <c r="X36186" s="33" t="n"/>
    </row>
    <row r="36187" ht="14.25" customHeight="1" s="192">
      <c r="W36187" s="231" t="n"/>
      <c r="X36187" s="231" t="n"/>
    </row>
    <row r="36188" ht="14.25" customHeight="1" s="192">
      <c r="W36188" s="33" t="n"/>
      <c r="X36188" s="33" t="n"/>
    </row>
    <row r="36190" ht="14.25" customHeight="1" s="192">
      <c r="W36190" s="231" t="n"/>
      <c r="X36190" s="231" t="n"/>
    </row>
    <row r="36191" ht="14.25" customHeight="1" s="192">
      <c r="W36191" s="235" t="n"/>
      <c r="X36191" s="235" t="n"/>
    </row>
    <row r="36192" ht="14.25" customHeight="1" s="192">
      <c r="W36192" s="228" t="n"/>
      <c r="X36192" s="228" t="n"/>
    </row>
    <row r="36193" ht="14.25" customHeight="1" s="192">
      <c r="W36193" s="235" t="n"/>
      <c r="X36193" s="235" t="n"/>
    </row>
    <row r="36194" ht="14.25" customHeight="1" s="192">
      <c r="W36194" s="235" t="n"/>
      <c r="X36194" s="235" t="n"/>
    </row>
    <row r="36195" ht="14.25" customHeight="1" s="192">
      <c r="W36195" s="235" t="n"/>
      <c r="X36195" s="235" t="n"/>
    </row>
    <row r="36196" ht="14.25" customHeight="1" s="192">
      <c r="W36196" s="239" t="n"/>
      <c r="X36196" s="239" t="n"/>
    </row>
    <row r="36197" ht="14.25" customHeight="1" s="192">
      <c r="W36197" s="239" t="n"/>
      <c r="X36197" s="239" t="n"/>
    </row>
    <row r="36198" ht="14.25" customHeight="1" s="192">
      <c r="W36198" s="239" t="n"/>
      <c r="X36198" s="239" t="n"/>
    </row>
    <row r="36199" ht="14.25" customHeight="1" s="192">
      <c r="W36199" s="235" t="n"/>
      <c r="X36199" s="235" t="n"/>
    </row>
    <row r="36200" ht="14.25" customHeight="1" s="192">
      <c r="W36200" s="235" t="n"/>
      <c r="X36200" s="235" t="n"/>
    </row>
    <row r="36201" ht="14.25" customHeight="1" s="192">
      <c r="W36201" s="235" t="n"/>
      <c r="X36201" s="235" t="n"/>
    </row>
    <row r="36202" ht="14.25" customHeight="1" s="192">
      <c r="W36202" s="239" t="n"/>
      <c r="X36202" s="239" t="n"/>
    </row>
    <row r="36203" ht="14.25" customHeight="1" s="192">
      <c r="W36203" s="239" t="n"/>
      <c r="X36203" s="239" t="n"/>
    </row>
    <row r="36204" ht="14.25" customHeight="1" s="192">
      <c r="W36204" s="235" t="n"/>
      <c r="X36204" s="235" t="n"/>
    </row>
    <row r="36205" ht="14.25" customHeight="1" s="192">
      <c r="W36205" s="235" t="n"/>
      <c r="X36205" s="235" t="n"/>
    </row>
    <row r="36206" ht="14.25" customHeight="1" s="192">
      <c r="W36206" s="239" t="n"/>
      <c r="X36206" s="239" t="n"/>
    </row>
    <row r="36207" ht="14.25" customHeight="1" s="192">
      <c r="W36207" s="235" t="n"/>
      <c r="X36207" s="235" t="n"/>
    </row>
    <row r="36208" ht="14.25" customHeight="1" s="192">
      <c r="W36208" s="239" t="n"/>
      <c r="X36208" s="239" t="n"/>
    </row>
    <row r="36210" ht="14.25" customHeight="1" s="192">
      <c r="W36210" s="235" t="n"/>
      <c r="X36210" s="235" t="n"/>
    </row>
    <row r="36211" ht="15" customHeight="1" s="192" thickBot="1">
      <c r="W36211" s="239" t="n"/>
      <c r="X36211" s="239" t="n"/>
    </row>
    <row r="36212" ht="15" customHeight="1" s="192" thickBot="1">
      <c r="W36212" s="45" t="n"/>
      <c r="X36212" s="45" t="n"/>
    </row>
    <row r="36213" ht="14.25" customHeight="1" s="192">
      <c r="W36213" s="228" t="n"/>
      <c r="X36213" s="228" t="n"/>
    </row>
    <row r="36214" ht="14.25" customHeight="1" s="192">
      <c r="W36214" s="228" t="n"/>
      <c r="X36214" s="228" t="n"/>
    </row>
    <row r="36215" ht="14.25" customHeight="1" s="192">
      <c r="W36215" s="231" t="n"/>
      <c r="X36215" s="231" t="n"/>
    </row>
    <row r="36216" ht="14.25" customHeight="1" s="192">
      <c r="W36216" s="33" t="n"/>
      <c r="X36216" s="33" t="n"/>
    </row>
    <row r="36217" ht="14.25" customHeight="1" s="192">
      <c r="W36217" s="231" t="n"/>
      <c r="X36217" s="231" t="n"/>
    </row>
    <row r="36218" ht="14.25" customHeight="1" s="192">
      <c r="W36218" s="33" t="n"/>
      <c r="X36218" s="33" t="n"/>
    </row>
    <row r="36220" ht="14.25" customHeight="1" s="192">
      <c r="W36220" s="231" t="n"/>
      <c r="X36220" s="231" t="n"/>
    </row>
    <row r="36221" ht="14.25" customHeight="1" s="192">
      <c r="W36221" s="235" t="n"/>
      <c r="X36221" s="235" t="n"/>
    </row>
    <row r="36222" ht="14.25" customHeight="1" s="192">
      <c r="W36222" s="228" t="n"/>
      <c r="X36222" s="228" t="n"/>
    </row>
    <row r="36223" ht="14.25" customHeight="1" s="192">
      <c r="W36223" s="235" t="n"/>
      <c r="X36223" s="235" t="n"/>
    </row>
    <row r="36224" ht="14.25" customHeight="1" s="192">
      <c r="W36224" s="235" t="n"/>
      <c r="X36224" s="235" t="n"/>
    </row>
    <row r="36225" ht="14.25" customHeight="1" s="192">
      <c r="W36225" s="235" t="n"/>
      <c r="X36225" s="235" t="n"/>
    </row>
    <row r="36226" ht="14.25" customHeight="1" s="192">
      <c r="W36226" s="239" t="n"/>
      <c r="X36226" s="239" t="n"/>
    </row>
    <row r="36227" ht="14.25" customHeight="1" s="192">
      <c r="W36227" s="239" t="n"/>
      <c r="X36227" s="239" t="n"/>
    </row>
    <row r="36228" ht="14.25" customHeight="1" s="192">
      <c r="W36228" s="239" t="n"/>
      <c r="X36228" s="239" t="n"/>
    </row>
    <row r="36229" ht="14.25" customHeight="1" s="192">
      <c r="W36229" s="235" t="n"/>
      <c r="X36229" s="235" t="n"/>
    </row>
    <row r="36230" ht="14.25" customHeight="1" s="192">
      <c r="W36230" s="235" t="n"/>
      <c r="X36230" s="235" t="n"/>
    </row>
    <row r="36231" ht="14.25" customHeight="1" s="192">
      <c r="W36231" s="235" t="n"/>
      <c r="X36231" s="235" t="n"/>
    </row>
    <row r="36232" ht="14.25" customHeight="1" s="192">
      <c r="W36232" s="239" t="n"/>
      <c r="X36232" s="239" t="n"/>
    </row>
    <row r="36233" ht="14.25" customHeight="1" s="192">
      <c r="W36233" s="239" t="n"/>
      <c r="X36233" s="239" t="n"/>
    </row>
    <row r="36234" ht="14.25" customHeight="1" s="192">
      <c r="W36234" s="235" t="n"/>
      <c r="X36234" s="235" t="n"/>
    </row>
    <row r="36235" ht="14.25" customHeight="1" s="192">
      <c r="W36235" s="235" t="n"/>
      <c r="X36235" s="235" t="n"/>
    </row>
    <row r="36236" ht="14.25" customHeight="1" s="192">
      <c r="W36236" s="239" t="n"/>
      <c r="X36236" s="239" t="n"/>
    </row>
    <row r="36237" ht="14.25" customHeight="1" s="192">
      <c r="W36237" s="235" t="n"/>
      <c r="X36237" s="235" t="n"/>
    </row>
    <row r="36238" ht="14.25" customHeight="1" s="192">
      <c r="W36238" s="239" t="n"/>
      <c r="X36238" s="239" t="n"/>
    </row>
    <row r="36240" ht="14.25" customHeight="1" s="192">
      <c r="W36240" s="235" t="n"/>
      <c r="X36240" s="235" t="n"/>
    </row>
    <row r="36241" ht="15" customHeight="1" s="192" thickBot="1">
      <c r="W36241" s="239" t="n"/>
      <c r="X36241" s="239" t="n"/>
    </row>
    <row r="36242" ht="15" customHeight="1" s="192" thickBot="1">
      <c r="W36242" s="45" t="n"/>
      <c r="X36242" s="45" t="n"/>
    </row>
    <row r="36243" ht="14.25" customHeight="1" s="192">
      <c r="W36243" s="228" t="n"/>
      <c r="X36243" s="228" t="n"/>
    </row>
    <row r="36244" ht="14.25" customHeight="1" s="192">
      <c r="W36244" s="228" t="n"/>
      <c r="X36244" s="228" t="n"/>
    </row>
    <row r="36245" ht="14.25" customHeight="1" s="192">
      <c r="W36245" s="231" t="n"/>
      <c r="X36245" s="231" t="n"/>
    </row>
    <row r="36246" ht="14.25" customHeight="1" s="192">
      <c r="W36246" s="33" t="n"/>
      <c r="X36246" s="33" t="n"/>
    </row>
    <row r="36247" ht="14.25" customHeight="1" s="192">
      <c r="W36247" s="231" t="n"/>
      <c r="X36247" s="231" t="n"/>
    </row>
    <row r="36248" ht="14.25" customHeight="1" s="192">
      <c r="W36248" s="33" t="n"/>
      <c r="X36248" s="33" t="n"/>
    </row>
    <row r="36250" ht="14.25" customHeight="1" s="192">
      <c r="W36250" s="231" t="n"/>
      <c r="X36250" s="231" t="n"/>
    </row>
    <row r="36251" ht="14.25" customHeight="1" s="192">
      <c r="W36251" s="235" t="n"/>
      <c r="X36251" s="235" t="n"/>
    </row>
    <row r="36252" ht="14.25" customHeight="1" s="192">
      <c r="W36252" s="228" t="n"/>
      <c r="X36252" s="228" t="n"/>
    </row>
    <row r="36253" ht="14.25" customHeight="1" s="192">
      <c r="W36253" s="235" t="n"/>
      <c r="X36253" s="235" t="n"/>
    </row>
    <row r="36254" ht="14.25" customHeight="1" s="192">
      <c r="W36254" s="235" t="n"/>
      <c r="X36254" s="235" t="n"/>
    </row>
    <row r="36255" ht="14.25" customHeight="1" s="192">
      <c r="W36255" s="235" t="n"/>
      <c r="X36255" s="235" t="n"/>
    </row>
    <row r="36256" ht="14.25" customHeight="1" s="192">
      <c r="W36256" s="239" t="n"/>
      <c r="X36256" s="239" t="n"/>
    </row>
    <row r="36257" ht="14.25" customHeight="1" s="192">
      <c r="W36257" s="239" t="n"/>
      <c r="X36257" s="239" t="n"/>
    </row>
    <row r="36258" ht="14.25" customHeight="1" s="192">
      <c r="W36258" s="239" t="n"/>
      <c r="X36258" s="239" t="n"/>
    </row>
    <row r="36259" ht="14.25" customHeight="1" s="192">
      <c r="W36259" s="235" t="n"/>
      <c r="X36259" s="235" t="n"/>
    </row>
    <row r="36260" ht="14.25" customHeight="1" s="192">
      <c r="W36260" s="235" t="n"/>
      <c r="X36260" s="235" t="n"/>
    </row>
    <row r="36261" ht="14.25" customHeight="1" s="192">
      <c r="W36261" s="235" t="n"/>
      <c r="X36261" s="235" t="n"/>
    </row>
    <row r="36262" ht="14.25" customHeight="1" s="192">
      <c r="W36262" s="239" t="n"/>
      <c r="X36262" s="239" t="n"/>
    </row>
    <row r="36263" ht="14.25" customHeight="1" s="192">
      <c r="W36263" s="239" t="n"/>
      <c r="X36263" s="239" t="n"/>
    </row>
    <row r="36264" ht="14.25" customHeight="1" s="192">
      <c r="W36264" s="235" t="n"/>
      <c r="X36264" s="235" t="n"/>
    </row>
    <row r="36265" ht="14.25" customHeight="1" s="192">
      <c r="W36265" s="235" t="n"/>
      <c r="X36265" s="235" t="n"/>
    </row>
    <row r="36266" ht="14.25" customHeight="1" s="192">
      <c r="W36266" s="239" t="n"/>
      <c r="X36266" s="239" t="n"/>
    </row>
    <row r="36267" ht="14.25" customHeight="1" s="192">
      <c r="W36267" s="235" t="n"/>
      <c r="X36267" s="235" t="n"/>
    </row>
    <row r="36268" ht="14.25" customHeight="1" s="192">
      <c r="W36268" s="239" t="n"/>
      <c r="X36268" s="239" t="n"/>
    </row>
    <row r="36270" ht="14.25" customHeight="1" s="192">
      <c r="W36270" s="235" t="n"/>
      <c r="X36270" s="235" t="n"/>
    </row>
    <row r="36271" ht="15" customHeight="1" s="192" thickBot="1">
      <c r="W36271" s="239" t="n"/>
      <c r="X36271" s="239" t="n"/>
    </row>
    <row r="36272" ht="15" customHeight="1" s="192" thickBot="1">
      <c r="W36272" s="45" t="n"/>
      <c r="X36272" s="45" t="n"/>
    </row>
    <row r="36273" ht="14.25" customHeight="1" s="192">
      <c r="W36273" s="228" t="n"/>
      <c r="X36273" s="228" t="n"/>
    </row>
    <row r="36274" ht="14.25" customHeight="1" s="192">
      <c r="W36274" s="228" t="n"/>
      <c r="X36274" s="228" t="n"/>
    </row>
    <row r="36275" ht="14.25" customHeight="1" s="192">
      <c r="W36275" s="231" t="n"/>
      <c r="X36275" s="231" t="n"/>
    </row>
    <row r="36276" ht="14.25" customHeight="1" s="192">
      <c r="W36276" s="33" t="n"/>
      <c r="X36276" s="33" t="n"/>
    </row>
    <row r="36277" ht="14.25" customHeight="1" s="192">
      <c r="W36277" s="231" t="n"/>
      <c r="X36277" s="231" t="n"/>
    </row>
    <row r="36278" ht="14.25" customHeight="1" s="192">
      <c r="W36278" s="33" t="n"/>
      <c r="X36278" s="33" t="n"/>
    </row>
    <row r="36280" ht="14.25" customHeight="1" s="192">
      <c r="W36280" s="231" t="n"/>
      <c r="X36280" s="231" t="n"/>
    </row>
    <row r="36281" ht="14.25" customHeight="1" s="192">
      <c r="W36281" s="235" t="n"/>
      <c r="X36281" s="235" t="n"/>
    </row>
    <row r="36282" ht="14.25" customHeight="1" s="192">
      <c r="W36282" s="228" t="n"/>
      <c r="X36282" s="228" t="n"/>
    </row>
    <row r="36283" ht="14.25" customHeight="1" s="192">
      <c r="W36283" s="235" t="n"/>
      <c r="X36283" s="235" t="n"/>
    </row>
    <row r="36284" ht="14.25" customHeight="1" s="192">
      <c r="W36284" s="235" t="n"/>
      <c r="X36284" s="235" t="n"/>
    </row>
    <row r="36285" ht="14.25" customHeight="1" s="192">
      <c r="W36285" s="235" t="n"/>
      <c r="X36285" s="235" t="n"/>
    </row>
    <row r="36286" ht="14.25" customHeight="1" s="192">
      <c r="W36286" s="239" t="n"/>
      <c r="X36286" s="239" t="n"/>
    </row>
    <row r="36287" ht="14.25" customHeight="1" s="192">
      <c r="W36287" s="239" t="n"/>
      <c r="X36287" s="239" t="n"/>
    </row>
    <row r="36288" ht="14.25" customHeight="1" s="192">
      <c r="W36288" s="239" t="n"/>
      <c r="X36288" s="239" t="n"/>
    </row>
    <row r="36289" ht="14.25" customHeight="1" s="192">
      <c r="W36289" s="235" t="n"/>
      <c r="X36289" s="235" t="n"/>
    </row>
    <row r="36290" ht="14.25" customHeight="1" s="192">
      <c r="W36290" s="235" t="n"/>
      <c r="X36290" s="235" t="n"/>
    </row>
    <row r="36291" ht="14.25" customHeight="1" s="192">
      <c r="W36291" s="235" t="n"/>
      <c r="X36291" s="235" t="n"/>
    </row>
    <row r="36292" ht="14.25" customHeight="1" s="192">
      <c r="W36292" s="239" t="n"/>
      <c r="X36292" s="239" t="n"/>
    </row>
    <row r="36293" ht="14.25" customHeight="1" s="192">
      <c r="W36293" s="239" t="n"/>
      <c r="X36293" s="239" t="n"/>
    </row>
    <row r="36294" ht="14.25" customHeight="1" s="192">
      <c r="W36294" s="235" t="n"/>
      <c r="X36294" s="235" t="n"/>
    </row>
    <row r="36295" ht="14.25" customHeight="1" s="192">
      <c r="W36295" s="235" t="n"/>
      <c r="X36295" s="235" t="n"/>
    </row>
    <row r="36296" ht="14.25" customHeight="1" s="192">
      <c r="W36296" s="239" t="n"/>
      <c r="X36296" s="239" t="n"/>
    </row>
    <row r="36297" ht="14.25" customHeight="1" s="192">
      <c r="W36297" s="235" t="n"/>
      <c r="X36297" s="235" t="n"/>
    </row>
    <row r="36298" ht="14.25" customHeight="1" s="192">
      <c r="W36298" s="239" t="n"/>
      <c r="X36298" s="239" t="n"/>
    </row>
    <row r="36300" ht="14.25" customHeight="1" s="192">
      <c r="W36300" s="235" t="n"/>
      <c r="X36300" s="235" t="n"/>
    </row>
    <row r="36301" ht="15" customHeight="1" s="192" thickBot="1">
      <c r="W36301" s="239" t="n"/>
      <c r="X36301" s="239" t="n"/>
    </row>
    <row r="36302" ht="15" customHeight="1" s="192" thickBot="1">
      <c r="W36302" s="45" t="n"/>
      <c r="X36302" s="45" t="n"/>
    </row>
    <row r="36303" ht="14.25" customHeight="1" s="192">
      <c r="W36303" s="228" t="n"/>
      <c r="X36303" s="228" t="n"/>
    </row>
    <row r="36304" ht="14.25" customHeight="1" s="192">
      <c r="W36304" s="228" t="n"/>
      <c r="X36304" s="228" t="n"/>
    </row>
    <row r="36305" ht="14.25" customHeight="1" s="192">
      <c r="W36305" s="231" t="n"/>
      <c r="X36305" s="231" t="n"/>
    </row>
    <row r="36306" ht="14.25" customHeight="1" s="192">
      <c r="W36306" s="33" t="n"/>
      <c r="X36306" s="33" t="n"/>
    </row>
    <row r="36307" ht="14.25" customHeight="1" s="192">
      <c r="W36307" s="231" t="n"/>
      <c r="X36307" s="231" t="n"/>
    </row>
    <row r="36308" ht="14.25" customHeight="1" s="192">
      <c r="W36308" s="33" t="n"/>
      <c r="X36308" s="33" t="n"/>
    </row>
    <row r="36310" ht="14.25" customHeight="1" s="192">
      <c r="W36310" s="231" t="n"/>
      <c r="X36310" s="231" t="n"/>
    </row>
    <row r="36311" ht="14.25" customHeight="1" s="192">
      <c r="W36311" s="235" t="n"/>
      <c r="X36311" s="235" t="n"/>
    </row>
    <row r="36312" ht="14.25" customHeight="1" s="192">
      <c r="W36312" s="228" t="n"/>
      <c r="X36312" s="228" t="n"/>
    </row>
    <row r="36313" ht="14.25" customHeight="1" s="192">
      <c r="W36313" s="235" t="n"/>
      <c r="X36313" s="235" t="n"/>
    </row>
    <row r="36314" ht="14.25" customHeight="1" s="192">
      <c r="W36314" s="235" t="n"/>
      <c r="X36314" s="235" t="n"/>
    </row>
    <row r="36315" ht="14.25" customHeight="1" s="192">
      <c r="W36315" s="235" t="n"/>
      <c r="X36315" s="235" t="n"/>
    </row>
    <row r="36316" ht="14.25" customHeight="1" s="192">
      <c r="W36316" s="239" t="n"/>
      <c r="X36316" s="239" t="n"/>
    </row>
    <row r="36317" ht="14.25" customHeight="1" s="192">
      <c r="W36317" s="239" t="n"/>
      <c r="X36317" s="239" t="n"/>
    </row>
    <row r="36318" ht="14.25" customHeight="1" s="192">
      <c r="W36318" s="239" t="n"/>
      <c r="X36318" s="239" t="n"/>
    </row>
    <row r="36319" ht="14.25" customHeight="1" s="192">
      <c r="W36319" s="235" t="n"/>
      <c r="X36319" s="235" t="n"/>
    </row>
    <row r="36320" ht="14.25" customHeight="1" s="192">
      <c r="W36320" s="235" t="n"/>
      <c r="X36320" s="235" t="n"/>
    </row>
    <row r="36321" ht="14.25" customHeight="1" s="192">
      <c r="W36321" s="235" t="n"/>
      <c r="X36321" s="235" t="n"/>
    </row>
    <row r="36322" ht="14.25" customHeight="1" s="192">
      <c r="W36322" s="239" t="n"/>
      <c r="X36322" s="239" t="n"/>
    </row>
    <row r="36323" ht="14.25" customHeight="1" s="192">
      <c r="W36323" s="239" t="n"/>
      <c r="X36323" s="239" t="n"/>
    </row>
    <row r="36324" ht="14.25" customHeight="1" s="192">
      <c r="W36324" s="235" t="n"/>
      <c r="X36324" s="235" t="n"/>
    </row>
    <row r="36325" ht="14.25" customHeight="1" s="192">
      <c r="W36325" s="235" t="n"/>
      <c r="X36325" s="235" t="n"/>
    </row>
    <row r="36326" ht="14.25" customHeight="1" s="192">
      <c r="W36326" s="239" t="n"/>
      <c r="X36326" s="239" t="n"/>
    </row>
    <row r="36327" ht="14.25" customHeight="1" s="192">
      <c r="W36327" s="235" t="n"/>
      <c r="X36327" s="235" t="n"/>
    </row>
    <row r="36328" ht="14.25" customHeight="1" s="192">
      <c r="W36328" s="239" t="n"/>
      <c r="X36328" s="239" t="n"/>
    </row>
    <row r="36330" ht="14.25" customHeight="1" s="192">
      <c r="W36330" s="235" t="n"/>
      <c r="X36330" s="235" t="n"/>
    </row>
    <row r="36331" ht="15" customHeight="1" s="192" thickBot="1">
      <c r="W36331" s="239" t="n"/>
      <c r="X36331" s="239" t="n"/>
    </row>
    <row r="36332" ht="15" customHeight="1" s="192" thickBot="1">
      <c r="W36332" s="45" t="n"/>
      <c r="X36332" s="45" t="n"/>
    </row>
    <row r="36333" ht="14.25" customHeight="1" s="192">
      <c r="W36333" s="228" t="n"/>
      <c r="X36333" s="228" t="n"/>
    </row>
    <row r="36334" ht="14.25" customHeight="1" s="192">
      <c r="W36334" s="228" t="n"/>
      <c r="X36334" s="228" t="n"/>
    </row>
    <row r="36335" ht="14.25" customHeight="1" s="192">
      <c r="W36335" s="231" t="n"/>
      <c r="X36335" s="231" t="n"/>
    </row>
    <row r="36336" ht="14.25" customHeight="1" s="192">
      <c r="W36336" s="33" t="n"/>
      <c r="X36336" s="33" t="n"/>
    </row>
    <row r="36337" ht="14.25" customHeight="1" s="192">
      <c r="W36337" s="231" t="n"/>
      <c r="X36337" s="231" t="n"/>
    </row>
    <row r="36338" ht="14.25" customHeight="1" s="192">
      <c r="W36338" s="33" t="n"/>
      <c r="X36338" s="33" t="n"/>
    </row>
    <row r="36340" ht="14.25" customHeight="1" s="192">
      <c r="W36340" s="231" t="n"/>
      <c r="X36340" s="231" t="n"/>
    </row>
    <row r="36341" ht="14.25" customHeight="1" s="192">
      <c r="W36341" s="235" t="n"/>
      <c r="X36341" s="235" t="n"/>
    </row>
    <row r="36342" ht="14.25" customHeight="1" s="192">
      <c r="W36342" s="228" t="n"/>
      <c r="X36342" s="228" t="n"/>
    </row>
    <row r="36343" ht="14.25" customHeight="1" s="192">
      <c r="W36343" s="235" t="n"/>
      <c r="X36343" s="235" t="n"/>
    </row>
    <row r="36344" ht="14.25" customHeight="1" s="192">
      <c r="W36344" s="235" t="n"/>
      <c r="X36344" s="235" t="n"/>
    </row>
    <row r="36345" ht="14.25" customHeight="1" s="192">
      <c r="W36345" s="235" t="n"/>
      <c r="X36345" s="235" t="n"/>
    </row>
    <row r="36346" ht="14.25" customHeight="1" s="192">
      <c r="W36346" s="239" t="n"/>
      <c r="X36346" s="239" t="n"/>
    </row>
    <row r="36347" ht="14.25" customHeight="1" s="192">
      <c r="W36347" s="239" t="n"/>
      <c r="X36347" s="239" t="n"/>
    </row>
    <row r="36348" ht="14.25" customHeight="1" s="192">
      <c r="W36348" s="239" t="n"/>
      <c r="X36348" s="239" t="n"/>
    </row>
    <row r="36349" ht="14.25" customHeight="1" s="192">
      <c r="W36349" s="235" t="n"/>
      <c r="X36349" s="235" t="n"/>
    </row>
    <row r="36350" ht="14.25" customHeight="1" s="192">
      <c r="W36350" s="235" t="n"/>
      <c r="X36350" s="235" t="n"/>
    </row>
    <row r="36351" ht="14.25" customHeight="1" s="192">
      <c r="W36351" s="235" t="n"/>
      <c r="X36351" s="235" t="n"/>
    </row>
    <row r="36352" ht="14.25" customHeight="1" s="192">
      <c r="W36352" s="239" t="n"/>
      <c r="X36352" s="239" t="n"/>
    </row>
    <row r="36353" ht="14.25" customHeight="1" s="192">
      <c r="W36353" s="239" t="n"/>
      <c r="X36353" s="239" t="n"/>
    </row>
    <row r="36354" ht="14.25" customHeight="1" s="192">
      <c r="W36354" s="235" t="n"/>
      <c r="X36354" s="235" t="n"/>
    </row>
    <row r="36355" ht="14.25" customHeight="1" s="192">
      <c r="W36355" s="235" t="n"/>
      <c r="X36355" s="235" t="n"/>
    </row>
    <row r="36356" ht="14.25" customHeight="1" s="192">
      <c r="W36356" s="239" t="n"/>
      <c r="X36356" s="239" t="n"/>
    </row>
    <row r="36357" ht="14.25" customHeight="1" s="192">
      <c r="W36357" s="235" t="n"/>
      <c r="X36357" s="235" t="n"/>
    </row>
    <row r="36358" ht="14.25" customHeight="1" s="192">
      <c r="W36358" s="239" t="n"/>
      <c r="X36358" s="239" t="n"/>
    </row>
    <row r="36360" ht="14.25" customHeight="1" s="192">
      <c r="W36360" s="235" t="n"/>
      <c r="X36360" s="235" t="n"/>
    </row>
    <row r="36361" ht="15" customHeight="1" s="192" thickBot="1">
      <c r="W36361" s="239" t="n"/>
      <c r="X36361" s="239" t="n"/>
    </row>
    <row r="36362" ht="15" customHeight="1" s="192" thickBot="1">
      <c r="W36362" s="45" t="n"/>
      <c r="X36362" s="45" t="n"/>
    </row>
    <row r="36363" ht="14.25" customHeight="1" s="192">
      <c r="W36363" s="228" t="n"/>
      <c r="X36363" s="228" t="n"/>
    </row>
    <row r="36364" ht="14.25" customHeight="1" s="192">
      <c r="W36364" s="228" t="n"/>
      <c r="X36364" s="228" t="n"/>
    </row>
    <row r="36365" ht="14.25" customHeight="1" s="192">
      <c r="W36365" s="231" t="n"/>
      <c r="X36365" s="231" t="n"/>
    </row>
    <row r="36366" ht="14.25" customHeight="1" s="192">
      <c r="W36366" s="33" t="n"/>
      <c r="X36366" s="33" t="n"/>
    </row>
    <row r="36367" ht="14.25" customHeight="1" s="192">
      <c r="W36367" s="231" t="n"/>
      <c r="X36367" s="231" t="n"/>
    </row>
    <row r="36368" ht="14.25" customHeight="1" s="192">
      <c r="W36368" s="33" t="n"/>
      <c r="X36368" s="33" t="n"/>
    </row>
    <row r="36370" ht="14.25" customHeight="1" s="192">
      <c r="W36370" s="231" t="n"/>
      <c r="X36370" s="231" t="n"/>
    </row>
    <row r="36371" ht="14.25" customHeight="1" s="192">
      <c r="W36371" s="235" t="n"/>
      <c r="X36371" s="235" t="n"/>
    </row>
    <row r="36372" ht="14.25" customHeight="1" s="192">
      <c r="W36372" s="228" t="n"/>
      <c r="X36372" s="228" t="n"/>
    </row>
    <row r="36373" ht="14.25" customHeight="1" s="192">
      <c r="W36373" s="235" t="n"/>
      <c r="X36373" s="235" t="n"/>
    </row>
    <row r="36374" ht="14.25" customHeight="1" s="192">
      <c r="W36374" s="235" t="n"/>
      <c r="X36374" s="235" t="n"/>
    </row>
    <row r="36375" ht="14.25" customHeight="1" s="192">
      <c r="W36375" s="235" t="n"/>
      <c r="X36375" s="235" t="n"/>
    </row>
    <row r="36376" ht="14.25" customHeight="1" s="192">
      <c r="W36376" s="239" t="n"/>
      <c r="X36376" s="239" t="n"/>
    </row>
    <row r="36377" ht="14.25" customHeight="1" s="192">
      <c r="W36377" s="239" t="n"/>
      <c r="X36377" s="239" t="n"/>
    </row>
    <row r="36378" ht="14.25" customHeight="1" s="192">
      <c r="W36378" s="239" t="n"/>
      <c r="X36378" s="239" t="n"/>
    </row>
    <row r="36379" ht="14.25" customHeight="1" s="192">
      <c r="W36379" s="235" t="n"/>
      <c r="X36379" s="235" t="n"/>
    </row>
    <row r="36380" ht="14.25" customHeight="1" s="192">
      <c r="W36380" s="235" t="n"/>
      <c r="X36380" s="235" t="n"/>
    </row>
    <row r="36381" ht="14.25" customHeight="1" s="192">
      <c r="W36381" s="235" t="n"/>
      <c r="X36381" s="235" t="n"/>
    </row>
    <row r="36382" ht="14.25" customHeight="1" s="192">
      <c r="W36382" s="239" t="n"/>
      <c r="X36382" s="239" t="n"/>
    </row>
    <row r="36383" ht="14.25" customHeight="1" s="192">
      <c r="W36383" s="239" t="n"/>
      <c r="X36383" s="239" t="n"/>
    </row>
    <row r="36384" ht="14.25" customHeight="1" s="192">
      <c r="W36384" s="235" t="n"/>
      <c r="X36384" s="235" t="n"/>
    </row>
    <row r="36385" ht="14.25" customHeight="1" s="192">
      <c r="W36385" s="235" t="n"/>
      <c r="X36385" s="235" t="n"/>
    </row>
    <row r="36386" ht="14.25" customHeight="1" s="192">
      <c r="W36386" s="239" t="n"/>
      <c r="X36386" s="239" t="n"/>
    </row>
    <row r="36387" ht="14.25" customHeight="1" s="192">
      <c r="W36387" s="235" t="n"/>
      <c r="X36387" s="235" t="n"/>
    </row>
    <row r="36388" ht="14.25" customHeight="1" s="192">
      <c r="W36388" s="239" t="n"/>
      <c r="X36388" s="239" t="n"/>
    </row>
    <row r="36390" ht="14.25" customHeight="1" s="192">
      <c r="W36390" s="235" t="n"/>
      <c r="X36390" s="235" t="n"/>
    </row>
    <row r="36391" ht="15" customHeight="1" s="192" thickBot="1">
      <c r="W36391" s="239" t="n"/>
      <c r="X36391" s="239" t="n"/>
    </row>
    <row r="36392" ht="15" customHeight="1" s="192" thickBot="1">
      <c r="W36392" s="45" t="n"/>
      <c r="X36392" s="45" t="n"/>
    </row>
    <row r="36393" ht="14.25" customHeight="1" s="192">
      <c r="W36393" s="228" t="n"/>
      <c r="X36393" s="228" t="n"/>
    </row>
    <row r="36394" ht="14.25" customHeight="1" s="192">
      <c r="W36394" s="228" t="n"/>
      <c r="X36394" s="228" t="n"/>
    </row>
    <row r="36395" ht="14.25" customHeight="1" s="192">
      <c r="W36395" s="231" t="n"/>
      <c r="X36395" s="231" t="n"/>
    </row>
    <row r="36396" ht="14.25" customHeight="1" s="192">
      <c r="W36396" s="33" t="n"/>
      <c r="X36396" s="33" t="n"/>
    </row>
    <row r="36397" ht="14.25" customHeight="1" s="192">
      <c r="W36397" s="231" t="n"/>
      <c r="X36397" s="231" t="n"/>
    </row>
    <row r="36398" ht="14.25" customHeight="1" s="192">
      <c r="W36398" s="33" t="n"/>
      <c r="X36398" s="33" t="n"/>
    </row>
    <row r="36400" ht="14.25" customHeight="1" s="192">
      <c r="W36400" s="231" t="n"/>
      <c r="X36400" s="231" t="n"/>
    </row>
    <row r="36401" ht="14.25" customHeight="1" s="192">
      <c r="W36401" s="235" t="n"/>
      <c r="X36401" s="235" t="n"/>
    </row>
    <row r="36402" ht="14.25" customHeight="1" s="192">
      <c r="W36402" s="228" t="n"/>
      <c r="X36402" s="228" t="n"/>
    </row>
    <row r="36403" ht="14.25" customHeight="1" s="192">
      <c r="W36403" s="235" t="n"/>
      <c r="X36403" s="235" t="n"/>
    </row>
    <row r="36404" ht="14.25" customHeight="1" s="192">
      <c r="W36404" s="235" t="n"/>
      <c r="X36404" s="235" t="n"/>
    </row>
    <row r="36405" ht="14.25" customHeight="1" s="192">
      <c r="W36405" s="235" t="n"/>
      <c r="X36405" s="235" t="n"/>
    </row>
    <row r="36406" ht="14.25" customHeight="1" s="192">
      <c r="W36406" s="239" t="n"/>
      <c r="X36406" s="239" t="n"/>
    </row>
    <row r="36407" ht="14.25" customHeight="1" s="192">
      <c r="W36407" s="239" t="n"/>
      <c r="X36407" s="239" t="n"/>
    </row>
    <row r="36408" ht="14.25" customHeight="1" s="192">
      <c r="W36408" s="239" t="n"/>
      <c r="X36408" s="239" t="n"/>
    </row>
    <row r="36409" ht="14.25" customHeight="1" s="192">
      <c r="W36409" s="235" t="n"/>
      <c r="X36409" s="235" t="n"/>
    </row>
    <row r="36410" ht="14.25" customHeight="1" s="192">
      <c r="W36410" s="235" t="n"/>
      <c r="X36410" s="235" t="n"/>
    </row>
    <row r="36411" ht="14.25" customHeight="1" s="192">
      <c r="W36411" s="235" t="n"/>
      <c r="X36411" s="235" t="n"/>
    </row>
    <row r="36412" ht="14.25" customHeight="1" s="192">
      <c r="W36412" s="239" t="n"/>
      <c r="X36412" s="239" t="n"/>
    </row>
    <row r="36413" ht="14.25" customHeight="1" s="192">
      <c r="W36413" s="239" t="n"/>
      <c r="X36413" s="239" t="n"/>
    </row>
    <row r="36414" ht="14.25" customHeight="1" s="192">
      <c r="W36414" s="235" t="n"/>
      <c r="X36414" s="235" t="n"/>
    </row>
    <row r="36415" ht="14.25" customHeight="1" s="192">
      <c r="W36415" s="235" t="n"/>
      <c r="X36415" s="235" t="n"/>
    </row>
    <row r="36416" ht="14.25" customHeight="1" s="192">
      <c r="W36416" s="239" t="n"/>
      <c r="X36416" s="239" t="n"/>
    </row>
    <row r="36417" ht="14.25" customHeight="1" s="192">
      <c r="W36417" s="235" t="n"/>
      <c r="X36417" s="235" t="n"/>
    </row>
    <row r="36418" ht="14.25" customHeight="1" s="192">
      <c r="W36418" s="239" t="n"/>
      <c r="X36418" s="239" t="n"/>
    </row>
    <row r="36420" ht="14.25" customHeight="1" s="192">
      <c r="W36420" s="235" t="n"/>
      <c r="X36420" s="235" t="n"/>
    </row>
    <row r="36421" ht="15" customHeight="1" s="192" thickBot="1">
      <c r="W36421" s="239" t="n"/>
      <c r="X36421" s="239" t="n"/>
    </row>
    <row r="36422" ht="15" customHeight="1" s="192" thickBot="1">
      <c r="W36422" s="45" t="n"/>
      <c r="X36422" s="45" t="n"/>
    </row>
    <row r="36423" ht="14.25" customHeight="1" s="192">
      <c r="W36423" s="228" t="n"/>
      <c r="X36423" s="228" t="n"/>
    </row>
    <row r="36424" ht="14.25" customHeight="1" s="192">
      <c r="W36424" s="228" t="n"/>
      <c r="X36424" s="228" t="n"/>
    </row>
    <row r="36425" ht="14.25" customHeight="1" s="192">
      <c r="W36425" s="231" t="n"/>
      <c r="X36425" s="231" t="n"/>
    </row>
    <row r="36426" ht="14.25" customHeight="1" s="192">
      <c r="W36426" s="33" t="n"/>
      <c r="X36426" s="33" t="n"/>
    </row>
    <row r="36427" ht="14.25" customHeight="1" s="192">
      <c r="W36427" s="231" t="n"/>
      <c r="X36427" s="231" t="n"/>
    </row>
    <row r="36428" ht="14.25" customHeight="1" s="192">
      <c r="W36428" s="33" t="n"/>
      <c r="X36428" s="33" t="n"/>
    </row>
    <row r="36430" ht="14.25" customHeight="1" s="192">
      <c r="W36430" s="231" t="n"/>
      <c r="X36430" s="231" t="n"/>
    </row>
    <row r="36431" ht="14.25" customHeight="1" s="192">
      <c r="W36431" s="235" t="n"/>
      <c r="X36431" s="235" t="n"/>
    </row>
    <row r="36432" ht="14.25" customHeight="1" s="192">
      <c r="W36432" s="228" t="n"/>
      <c r="X36432" s="228" t="n"/>
    </row>
    <row r="36433" ht="14.25" customHeight="1" s="192">
      <c r="W36433" s="235" t="n"/>
      <c r="X36433" s="235" t="n"/>
    </row>
    <row r="36434" ht="14.25" customHeight="1" s="192">
      <c r="W36434" s="235" t="n"/>
      <c r="X36434" s="235" t="n"/>
    </row>
    <row r="36435" ht="14.25" customHeight="1" s="192">
      <c r="W36435" s="235" t="n"/>
      <c r="X36435" s="235" t="n"/>
    </row>
    <row r="36436" ht="14.25" customHeight="1" s="192">
      <c r="W36436" s="239" t="n"/>
      <c r="X36436" s="239" t="n"/>
    </row>
    <row r="36437" ht="14.25" customHeight="1" s="192">
      <c r="W36437" s="239" t="n"/>
      <c r="X36437" s="239" t="n"/>
    </row>
    <row r="36438" ht="14.25" customHeight="1" s="192">
      <c r="W36438" s="239" t="n"/>
      <c r="X36438" s="239" t="n"/>
    </row>
    <row r="36439" ht="14.25" customHeight="1" s="192">
      <c r="W36439" s="235" t="n"/>
      <c r="X36439" s="235" t="n"/>
    </row>
    <row r="36440" ht="14.25" customHeight="1" s="192">
      <c r="W36440" s="235" t="n"/>
      <c r="X36440" s="235" t="n"/>
    </row>
    <row r="36441" ht="14.25" customHeight="1" s="192">
      <c r="W36441" s="235" t="n"/>
      <c r="X36441" s="235" t="n"/>
    </row>
    <row r="36442" ht="14.25" customHeight="1" s="192">
      <c r="W36442" s="239" t="n"/>
      <c r="X36442" s="239" t="n"/>
    </row>
    <row r="36443" ht="14.25" customHeight="1" s="192">
      <c r="W36443" s="239" t="n"/>
      <c r="X36443" s="239" t="n"/>
    </row>
    <row r="36444" ht="14.25" customHeight="1" s="192">
      <c r="W36444" s="235" t="n"/>
      <c r="X36444" s="235" t="n"/>
    </row>
    <row r="36445" ht="14.25" customHeight="1" s="192">
      <c r="W36445" s="235" t="n"/>
      <c r="X36445" s="235" t="n"/>
    </row>
    <row r="36446" ht="14.25" customHeight="1" s="192">
      <c r="W36446" s="239" t="n"/>
      <c r="X36446" s="239" t="n"/>
    </row>
    <row r="36447" ht="14.25" customHeight="1" s="192">
      <c r="W36447" s="235" t="n"/>
      <c r="X36447" s="235" t="n"/>
    </row>
    <row r="36448" ht="14.25" customHeight="1" s="192">
      <c r="W36448" s="239" t="n"/>
      <c r="X36448" s="239" t="n"/>
    </row>
    <row r="36450" ht="14.25" customHeight="1" s="192">
      <c r="W36450" s="235" t="n"/>
      <c r="X36450" s="235" t="n"/>
    </row>
    <row r="36451" ht="15" customHeight="1" s="192" thickBot="1">
      <c r="W36451" s="239" t="n"/>
      <c r="X36451" s="239" t="n"/>
    </row>
    <row r="36452" ht="15" customHeight="1" s="192" thickBot="1">
      <c r="W36452" s="45" t="n"/>
      <c r="X36452" s="45" t="n"/>
    </row>
    <row r="36453" ht="14.25" customHeight="1" s="192">
      <c r="W36453" s="228" t="n"/>
      <c r="X36453" s="228" t="n"/>
    </row>
    <row r="36454" ht="14.25" customHeight="1" s="192">
      <c r="W36454" s="228" t="n"/>
      <c r="X36454" s="228" t="n"/>
    </row>
    <row r="36455" ht="14.25" customHeight="1" s="192">
      <c r="W36455" s="231" t="n"/>
      <c r="X36455" s="231" t="n"/>
    </row>
    <row r="36456" ht="14.25" customHeight="1" s="192">
      <c r="W36456" s="33" t="n"/>
      <c r="X36456" s="33" t="n"/>
    </row>
    <row r="36457" ht="14.25" customHeight="1" s="192">
      <c r="W36457" s="231" t="n"/>
      <c r="X36457" s="231" t="n"/>
    </row>
    <row r="36458" ht="14.25" customHeight="1" s="192">
      <c r="W36458" s="33" t="n"/>
      <c r="X36458" s="33" t="n"/>
    </row>
    <row r="36460" ht="14.25" customHeight="1" s="192">
      <c r="W36460" s="231" t="n"/>
      <c r="X36460" s="231" t="n"/>
    </row>
    <row r="36461" ht="14.25" customHeight="1" s="192">
      <c r="W36461" s="235" t="n"/>
      <c r="X36461" s="235" t="n"/>
    </row>
    <row r="36462" ht="14.25" customHeight="1" s="192">
      <c r="W36462" s="228" t="n"/>
      <c r="X36462" s="228" t="n"/>
    </row>
    <row r="36463" ht="14.25" customHeight="1" s="192">
      <c r="W36463" s="235" t="n"/>
      <c r="X36463" s="235" t="n"/>
    </row>
    <row r="36464" ht="14.25" customHeight="1" s="192">
      <c r="W36464" s="235" t="n"/>
      <c r="X36464" s="235" t="n"/>
    </row>
    <row r="36465" ht="14.25" customHeight="1" s="192">
      <c r="W36465" s="235" t="n"/>
      <c r="X36465" s="235" t="n"/>
    </row>
    <row r="36466" ht="14.25" customHeight="1" s="192">
      <c r="W36466" s="239" t="n"/>
      <c r="X36466" s="239" t="n"/>
    </row>
    <row r="36467" ht="14.25" customHeight="1" s="192">
      <c r="W36467" s="239" t="n"/>
      <c r="X36467" s="239" t="n"/>
    </row>
    <row r="36468" ht="14.25" customHeight="1" s="192">
      <c r="W36468" s="239" t="n"/>
      <c r="X36468" s="239" t="n"/>
    </row>
    <row r="36469" ht="14.25" customHeight="1" s="192">
      <c r="W36469" s="235" t="n"/>
      <c r="X36469" s="235" t="n"/>
    </row>
    <row r="36470" ht="14.25" customHeight="1" s="192">
      <c r="W36470" s="235" t="n"/>
      <c r="X36470" s="235" t="n"/>
    </row>
    <row r="36471" ht="14.25" customHeight="1" s="192">
      <c r="W36471" s="235" t="n"/>
      <c r="X36471" s="235" t="n"/>
    </row>
    <row r="36472" ht="14.25" customHeight="1" s="192">
      <c r="W36472" s="239" t="n"/>
      <c r="X36472" s="239" t="n"/>
    </row>
    <row r="36473" ht="14.25" customHeight="1" s="192">
      <c r="W36473" s="239" t="n"/>
      <c r="X36473" s="239" t="n"/>
    </row>
    <row r="36474" ht="14.25" customHeight="1" s="192">
      <c r="W36474" s="235" t="n"/>
      <c r="X36474" s="235" t="n"/>
    </row>
    <row r="36475" ht="14.25" customHeight="1" s="192">
      <c r="W36475" s="235" t="n"/>
      <c r="X36475" s="235" t="n"/>
    </row>
    <row r="36476" ht="14.25" customHeight="1" s="192">
      <c r="W36476" s="239" t="n"/>
      <c r="X36476" s="239" t="n"/>
    </row>
    <row r="36477" ht="14.25" customHeight="1" s="192">
      <c r="W36477" s="235" t="n"/>
      <c r="X36477" s="235" t="n"/>
    </row>
    <row r="36478" ht="14.25" customHeight="1" s="192">
      <c r="W36478" s="239" t="n"/>
      <c r="X36478" s="239" t="n"/>
    </row>
    <row r="36480" ht="14.25" customHeight="1" s="192">
      <c r="W36480" s="235" t="n"/>
      <c r="X36480" s="235" t="n"/>
    </row>
    <row r="36481" ht="15" customHeight="1" s="192" thickBot="1">
      <c r="W36481" s="239" t="n"/>
      <c r="X36481" s="239" t="n"/>
    </row>
    <row r="36482" ht="15" customHeight="1" s="192" thickBot="1">
      <c r="W36482" s="45" t="n"/>
      <c r="X36482" s="45" t="n"/>
    </row>
    <row r="36483" ht="14.25" customHeight="1" s="192">
      <c r="W36483" s="228" t="n"/>
      <c r="X36483" s="228" t="n"/>
    </row>
    <row r="36484" ht="14.25" customHeight="1" s="192">
      <c r="W36484" s="228" t="n"/>
      <c r="X36484" s="228" t="n"/>
    </row>
    <row r="36485" ht="14.25" customHeight="1" s="192">
      <c r="W36485" s="231" t="n"/>
      <c r="X36485" s="231" t="n"/>
    </row>
    <row r="36486" ht="14.25" customHeight="1" s="192">
      <c r="W36486" s="33" t="n"/>
      <c r="X36486" s="33" t="n"/>
    </row>
    <row r="36487" ht="14.25" customHeight="1" s="192">
      <c r="W36487" s="231" t="n"/>
      <c r="X36487" s="231" t="n"/>
    </row>
    <row r="36488" ht="14.25" customHeight="1" s="192">
      <c r="W36488" s="33" t="n"/>
      <c r="X36488" s="33" t="n"/>
    </row>
    <row r="36490" ht="14.25" customHeight="1" s="192">
      <c r="W36490" s="231" t="n"/>
      <c r="X36490" s="231" t="n"/>
    </row>
    <row r="36491" ht="14.25" customHeight="1" s="192">
      <c r="W36491" s="235" t="n"/>
      <c r="X36491" s="235" t="n"/>
    </row>
    <row r="36492" ht="14.25" customHeight="1" s="192">
      <c r="W36492" s="228" t="n"/>
      <c r="X36492" s="228" t="n"/>
    </row>
    <row r="36493" ht="14.25" customHeight="1" s="192">
      <c r="W36493" s="235" t="n"/>
      <c r="X36493" s="235" t="n"/>
    </row>
    <row r="36494" ht="14.25" customHeight="1" s="192">
      <c r="W36494" s="235" t="n"/>
      <c r="X36494" s="235" t="n"/>
    </row>
    <row r="36495" ht="14.25" customHeight="1" s="192">
      <c r="W36495" s="235" t="n"/>
      <c r="X36495" s="235" t="n"/>
    </row>
    <row r="36496" ht="14.25" customHeight="1" s="192">
      <c r="W36496" s="239" t="n"/>
      <c r="X36496" s="239" t="n"/>
    </row>
    <row r="36497" ht="14.25" customHeight="1" s="192">
      <c r="W36497" s="239" t="n"/>
      <c r="X36497" s="239" t="n"/>
    </row>
    <row r="36498" ht="14.25" customHeight="1" s="192">
      <c r="W36498" s="239" t="n"/>
      <c r="X36498" s="239" t="n"/>
    </row>
    <row r="36499" ht="14.25" customHeight="1" s="192">
      <c r="W36499" s="235" t="n"/>
      <c r="X36499" s="235" t="n"/>
    </row>
    <row r="36500" ht="14.25" customHeight="1" s="192">
      <c r="W36500" s="235" t="n"/>
      <c r="X36500" s="235" t="n"/>
    </row>
    <row r="36501" ht="14.25" customHeight="1" s="192">
      <c r="W36501" s="235" t="n"/>
      <c r="X36501" s="235" t="n"/>
    </row>
    <row r="36502" ht="14.25" customHeight="1" s="192">
      <c r="W36502" s="239" t="n"/>
      <c r="X36502" s="239" t="n"/>
    </row>
    <row r="36503" ht="14.25" customHeight="1" s="192">
      <c r="W36503" s="239" t="n"/>
      <c r="X36503" s="239" t="n"/>
    </row>
    <row r="36504" ht="14.25" customHeight="1" s="192">
      <c r="W36504" s="235" t="n"/>
      <c r="X36504" s="235" t="n"/>
    </row>
    <row r="36505" ht="14.25" customHeight="1" s="192">
      <c r="W36505" s="235" t="n"/>
      <c r="X36505" s="235" t="n"/>
    </row>
    <row r="36506" ht="14.25" customHeight="1" s="192">
      <c r="W36506" s="239" t="n"/>
      <c r="X36506" s="239" t="n"/>
    </row>
    <row r="36507" ht="14.25" customHeight="1" s="192">
      <c r="W36507" s="235" t="n"/>
      <c r="X36507" s="235" t="n"/>
    </row>
    <row r="36508" ht="14.25" customHeight="1" s="192">
      <c r="W36508" s="239" t="n"/>
      <c r="X36508" s="239" t="n"/>
    </row>
    <row r="36510" ht="14.25" customHeight="1" s="192">
      <c r="W36510" s="235" t="n"/>
      <c r="X36510" s="235" t="n"/>
    </row>
    <row r="36511" ht="15" customHeight="1" s="192" thickBot="1">
      <c r="W36511" s="239" t="n"/>
      <c r="X36511" s="239" t="n"/>
    </row>
    <row r="36512" ht="15" customHeight="1" s="192" thickBot="1">
      <c r="W36512" s="45" t="n"/>
      <c r="X36512" s="45" t="n"/>
    </row>
    <row r="36513" ht="14.25" customHeight="1" s="192">
      <c r="W36513" s="228" t="n"/>
      <c r="X36513" s="228" t="n"/>
    </row>
    <row r="36514" ht="14.25" customHeight="1" s="192">
      <c r="W36514" s="228" t="n"/>
      <c r="X36514" s="228" t="n"/>
    </row>
    <row r="36515" ht="14.25" customHeight="1" s="192">
      <c r="W36515" s="231" t="n"/>
      <c r="X36515" s="231" t="n"/>
    </row>
    <row r="36516" ht="14.25" customHeight="1" s="192">
      <c r="W36516" s="33" t="n"/>
      <c r="X36516" s="33" t="n"/>
    </row>
    <row r="36517" ht="14.25" customHeight="1" s="192">
      <c r="W36517" s="231" t="n"/>
      <c r="X36517" s="231" t="n"/>
    </row>
    <row r="36518" ht="14.25" customHeight="1" s="192">
      <c r="W36518" s="33" t="n"/>
      <c r="X36518" s="33" t="n"/>
    </row>
    <row r="36520" ht="14.25" customHeight="1" s="192">
      <c r="W36520" s="231" t="n"/>
      <c r="X36520" s="231" t="n"/>
    </row>
    <row r="36521" ht="14.25" customHeight="1" s="192">
      <c r="W36521" s="235" t="n"/>
      <c r="X36521" s="235" t="n"/>
    </row>
    <row r="36522" ht="14.25" customHeight="1" s="192">
      <c r="W36522" s="228" t="n"/>
      <c r="X36522" s="228" t="n"/>
    </row>
    <row r="36523" ht="14.25" customHeight="1" s="192">
      <c r="W36523" s="235" t="n"/>
      <c r="X36523" s="235" t="n"/>
    </row>
    <row r="36524" ht="14.25" customHeight="1" s="192">
      <c r="W36524" s="235" t="n"/>
      <c r="X36524" s="235" t="n"/>
    </row>
    <row r="36525" ht="14.25" customHeight="1" s="192">
      <c r="W36525" s="235" t="n"/>
      <c r="X36525" s="235" t="n"/>
    </row>
    <row r="36526" ht="14.25" customHeight="1" s="192">
      <c r="W36526" s="239" t="n"/>
      <c r="X36526" s="239" t="n"/>
    </row>
    <row r="36527" ht="14.25" customHeight="1" s="192">
      <c r="W36527" s="239" t="n"/>
      <c r="X36527" s="239" t="n"/>
    </row>
    <row r="36528" ht="14.25" customHeight="1" s="192">
      <c r="W36528" s="239" t="n"/>
      <c r="X36528" s="239" t="n"/>
    </row>
    <row r="36529" ht="14.25" customHeight="1" s="192">
      <c r="W36529" s="235" t="n"/>
      <c r="X36529" s="235" t="n"/>
    </row>
    <row r="36530" ht="14.25" customHeight="1" s="192">
      <c r="W36530" s="235" t="n"/>
      <c r="X36530" s="235" t="n"/>
    </row>
    <row r="36531" ht="14.25" customHeight="1" s="192">
      <c r="W36531" s="235" t="n"/>
      <c r="X36531" s="235" t="n"/>
    </row>
    <row r="36532" ht="14.25" customHeight="1" s="192">
      <c r="W36532" s="239" t="n"/>
      <c r="X36532" s="239" t="n"/>
    </row>
    <row r="36533" ht="14.25" customHeight="1" s="192">
      <c r="W36533" s="239" t="n"/>
      <c r="X36533" s="239" t="n"/>
    </row>
    <row r="36534" ht="14.25" customHeight="1" s="192">
      <c r="W36534" s="235" t="n"/>
      <c r="X36534" s="235" t="n"/>
    </row>
    <row r="36535" ht="14.25" customHeight="1" s="192">
      <c r="W36535" s="235" t="n"/>
      <c r="X36535" s="235" t="n"/>
    </row>
    <row r="36536" ht="14.25" customHeight="1" s="192">
      <c r="W36536" s="239" t="n"/>
      <c r="X36536" s="239" t="n"/>
    </row>
    <row r="36537" ht="14.25" customHeight="1" s="192">
      <c r="W36537" s="235" t="n"/>
      <c r="X36537" s="235" t="n"/>
    </row>
    <row r="36538" ht="14.25" customHeight="1" s="192">
      <c r="W36538" s="239" t="n"/>
      <c r="X36538" s="239" t="n"/>
    </row>
    <row r="36540" ht="14.25" customHeight="1" s="192">
      <c r="W36540" s="235" t="n"/>
      <c r="X36540" s="235" t="n"/>
    </row>
    <row r="36541" ht="15" customHeight="1" s="192" thickBot="1">
      <c r="W36541" s="239" t="n"/>
      <c r="X36541" s="239" t="n"/>
    </row>
    <row r="36542" ht="15" customHeight="1" s="192" thickBot="1">
      <c r="W36542" s="45" t="n"/>
      <c r="X36542" s="45" t="n"/>
    </row>
    <row r="36543" ht="14.25" customHeight="1" s="192">
      <c r="W36543" s="228" t="n"/>
      <c r="X36543" s="228" t="n"/>
    </row>
    <row r="36544" ht="14.25" customHeight="1" s="192">
      <c r="W36544" s="228" t="n"/>
      <c r="X36544" s="228" t="n"/>
    </row>
    <row r="36545" ht="14.25" customHeight="1" s="192">
      <c r="W36545" s="231" t="n"/>
      <c r="X36545" s="231" t="n"/>
    </row>
    <row r="36546" ht="14.25" customHeight="1" s="192">
      <c r="W36546" s="33" t="n"/>
      <c r="X36546" s="33" t="n"/>
    </row>
    <row r="36547" ht="14.25" customHeight="1" s="192">
      <c r="W36547" s="231" t="n"/>
      <c r="X36547" s="231" t="n"/>
    </row>
    <row r="36548" ht="14.25" customHeight="1" s="192">
      <c r="W36548" s="33" t="n"/>
      <c r="X36548" s="33" t="n"/>
    </row>
    <row r="36550" ht="14.25" customHeight="1" s="192">
      <c r="W36550" s="231" t="n"/>
      <c r="X36550" s="231" t="n"/>
    </row>
    <row r="36551" ht="14.25" customHeight="1" s="192">
      <c r="W36551" s="235" t="n"/>
      <c r="X36551" s="235" t="n"/>
    </row>
    <row r="36552" ht="14.25" customHeight="1" s="192">
      <c r="W36552" s="228" t="n"/>
      <c r="X36552" s="228" t="n"/>
    </row>
    <row r="36553" ht="14.25" customHeight="1" s="192">
      <c r="W36553" s="235" t="n"/>
      <c r="X36553" s="235" t="n"/>
    </row>
    <row r="36554" ht="14.25" customHeight="1" s="192">
      <c r="W36554" s="235" t="n"/>
      <c r="X36554" s="235" t="n"/>
    </row>
    <row r="36555" ht="14.25" customHeight="1" s="192">
      <c r="W36555" s="235" t="n"/>
      <c r="X36555" s="235" t="n"/>
    </row>
    <row r="36556" ht="14.25" customHeight="1" s="192">
      <c r="W36556" s="239" t="n"/>
      <c r="X36556" s="239" t="n"/>
    </row>
    <row r="36557" ht="14.25" customHeight="1" s="192">
      <c r="W36557" s="239" t="n"/>
      <c r="X36557" s="239" t="n"/>
    </row>
    <row r="36558" ht="14.25" customHeight="1" s="192">
      <c r="W36558" s="239" t="n"/>
      <c r="X36558" s="239" t="n"/>
    </row>
    <row r="36559" ht="14.25" customHeight="1" s="192">
      <c r="W36559" s="235" t="n"/>
      <c r="X36559" s="235" t="n"/>
    </row>
    <row r="36560" ht="14.25" customHeight="1" s="192">
      <c r="W36560" s="235" t="n"/>
      <c r="X36560" s="235" t="n"/>
    </row>
    <row r="36561" ht="14.25" customHeight="1" s="192">
      <c r="W36561" s="235" t="n"/>
      <c r="X36561" s="235" t="n"/>
    </row>
    <row r="36562" ht="14.25" customHeight="1" s="192">
      <c r="W36562" s="239" t="n"/>
      <c r="X36562" s="239" t="n"/>
    </row>
    <row r="36563" ht="14.25" customHeight="1" s="192">
      <c r="W36563" s="239" t="n"/>
      <c r="X36563" s="239" t="n"/>
    </row>
    <row r="36564" ht="14.25" customHeight="1" s="192">
      <c r="W36564" s="235" t="n"/>
      <c r="X36564" s="235" t="n"/>
    </row>
    <row r="36565" ht="14.25" customHeight="1" s="192">
      <c r="W36565" s="235" t="n"/>
      <c r="X36565" s="235" t="n"/>
    </row>
    <row r="36566" ht="14.25" customHeight="1" s="192">
      <c r="W36566" s="239" t="n"/>
      <c r="X36566" s="239" t="n"/>
    </row>
    <row r="36567" ht="14.25" customHeight="1" s="192">
      <c r="W36567" s="235" t="n"/>
      <c r="X36567" s="235" t="n"/>
    </row>
    <row r="36568" ht="14.25" customHeight="1" s="192">
      <c r="W36568" s="239" t="n"/>
      <c r="X36568" s="239" t="n"/>
    </row>
    <row r="36570" ht="14.25" customHeight="1" s="192">
      <c r="W36570" s="235" t="n"/>
      <c r="X36570" s="235" t="n"/>
    </row>
    <row r="36571" ht="15" customHeight="1" s="192" thickBot="1">
      <c r="W36571" s="239" t="n"/>
      <c r="X36571" s="239" t="n"/>
    </row>
    <row r="36572" ht="15" customHeight="1" s="192" thickBot="1">
      <c r="W36572" s="45" t="n"/>
      <c r="X36572" s="45" t="n"/>
    </row>
    <row r="36573" ht="14.25" customHeight="1" s="192">
      <c r="W36573" s="228" t="n"/>
      <c r="X36573" s="228" t="n"/>
    </row>
    <row r="36574" ht="14.25" customHeight="1" s="192">
      <c r="W36574" s="228" t="n"/>
      <c r="X36574" s="228" t="n"/>
    </row>
    <row r="36575" ht="14.25" customHeight="1" s="192">
      <c r="W36575" s="231" t="n"/>
      <c r="X36575" s="231" t="n"/>
    </row>
    <row r="36576" ht="14.25" customHeight="1" s="192">
      <c r="W36576" s="33" t="n"/>
      <c r="X36576" s="33" t="n"/>
    </row>
    <row r="36577" ht="14.25" customHeight="1" s="192">
      <c r="W36577" s="231" t="n"/>
      <c r="X36577" s="231" t="n"/>
    </row>
    <row r="36578" ht="14.25" customHeight="1" s="192">
      <c r="W36578" s="33" t="n"/>
      <c r="X36578" s="33" t="n"/>
    </row>
    <row r="36580" ht="14.25" customHeight="1" s="192">
      <c r="W36580" s="231" t="n"/>
      <c r="X36580" s="231" t="n"/>
    </row>
    <row r="36581" ht="14.25" customHeight="1" s="192">
      <c r="W36581" s="235" t="n"/>
      <c r="X36581" s="235" t="n"/>
    </row>
    <row r="36582" ht="14.25" customHeight="1" s="192">
      <c r="W36582" s="228" t="n"/>
      <c r="X36582" s="228" t="n"/>
    </row>
    <row r="36583" ht="14.25" customHeight="1" s="192">
      <c r="W36583" s="235" t="n"/>
      <c r="X36583" s="235" t="n"/>
    </row>
    <row r="36584" ht="14.25" customHeight="1" s="192">
      <c r="W36584" s="235" t="n"/>
      <c r="X36584" s="235" t="n"/>
    </row>
    <row r="36585" ht="14.25" customHeight="1" s="192">
      <c r="W36585" s="235" t="n"/>
      <c r="X36585" s="235" t="n"/>
    </row>
    <row r="36586" ht="14.25" customHeight="1" s="192">
      <c r="W36586" s="239" t="n"/>
      <c r="X36586" s="239" t="n"/>
    </row>
    <row r="36587" ht="14.25" customHeight="1" s="192">
      <c r="W36587" s="239" t="n"/>
      <c r="X36587" s="239" t="n"/>
    </row>
    <row r="36588" ht="14.25" customHeight="1" s="192">
      <c r="W36588" s="239" t="n"/>
      <c r="X36588" s="239" t="n"/>
    </row>
    <row r="36589" ht="14.25" customHeight="1" s="192">
      <c r="W36589" s="235" t="n"/>
      <c r="X36589" s="235" t="n"/>
    </row>
    <row r="36590" ht="14.25" customHeight="1" s="192">
      <c r="W36590" s="235" t="n"/>
      <c r="X36590" s="235" t="n"/>
    </row>
    <row r="36591" ht="14.25" customHeight="1" s="192">
      <c r="W36591" s="235" t="n"/>
      <c r="X36591" s="235" t="n"/>
    </row>
    <row r="36592" ht="14.25" customHeight="1" s="192">
      <c r="W36592" s="239" t="n"/>
      <c r="X36592" s="239" t="n"/>
    </row>
    <row r="36593" ht="14.25" customHeight="1" s="192">
      <c r="W36593" s="239" t="n"/>
      <c r="X36593" s="239" t="n"/>
    </row>
    <row r="36594" ht="14.25" customHeight="1" s="192">
      <c r="W36594" s="235" t="n"/>
      <c r="X36594" s="235" t="n"/>
    </row>
    <row r="36595" ht="14.25" customHeight="1" s="192">
      <c r="W36595" s="235" t="n"/>
      <c r="X36595" s="235" t="n"/>
    </row>
    <row r="36596" ht="14.25" customHeight="1" s="192">
      <c r="W36596" s="239" t="n"/>
      <c r="X36596" s="239" t="n"/>
    </row>
    <row r="36597" ht="14.25" customHeight="1" s="192">
      <c r="W36597" s="235" t="n"/>
      <c r="X36597" s="235" t="n"/>
    </row>
    <row r="36598" ht="14.25" customHeight="1" s="192">
      <c r="W36598" s="239" t="n"/>
      <c r="X36598" s="239" t="n"/>
    </row>
    <row r="36600" ht="14.25" customHeight="1" s="192">
      <c r="W36600" s="235" t="n"/>
      <c r="X36600" s="235" t="n"/>
    </row>
    <row r="36601" ht="15" customHeight="1" s="192" thickBot="1">
      <c r="W36601" s="239" t="n"/>
      <c r="X36601" s="239" t="n"/>
    </row>
    <row r="36602" ht="15" customHeight="1" s="192" thickBot="1">
      <c r="W36602" s="45" t="n"/>
      <c r="X36602" s="45" t="n"/>
    </row>
    <row r="36603" ht="14.25" customHeight="1" s="192">
      <c r="W36603" s="228" t="n"/>
      <c r="X36603" s="228" t="n"/>
    </row>
    <row r="36604" ht="14.25" customHeight="1" s="192">
      <c r="W36604" s="228" t="n"/>
      <c r="X36604" s="228" t="n"/>
    </row>
    <row r="36605" ht="14.25" customHeight="1" s="192">
      <c r="W36605" s="231" t="n"/>
      <c r="X36605" s="231" t="n"/>
    </row>
    <row r="36606" ht="14.25" customHeight="1" s="192">
      <c r="W36606" s="33" t="n"/>
      <c r="X36606" s="33" t="n"/>
    </row>
    <row r="36607" ht="14.25" customHeight="1" s="192">
      <c r="W36607" s="231" t="n"/>
      <c r="X36607" s="231" t="n"/>
    </row>
    <row r="36608" ht="14.25" customHeight="1" s="192">
      <c r="W36608" s="33" t="n"/>
      <c r="X36608" s="33" t="n"/>
    </row>
    <row r="36610" ht="14.25" customHeight="1" s="192">
      <c r="W36610" s="231" t="n"/>
      <c r="X36610" s="231" t="n"/>
    </row>
    <row r="36611" ht="14.25" customHeight="1" s="192">
      <c r="W36611" s="235" t="n"/>
      <c r="X36611" s="235" t="n"/>
    </row>
    <row r="36612" ht="14.25" customHeight="1" s="192">
      <c r="W36612" s="228" t="n"/>
      <c r="X36612" s="228" t="n"/>
    </row>
    <row r="36613" ht="14.25" customHeight="1" s="192">
      <c r="W36613" s="235" t="n"/>
      <c r="X36613" s="235" t="n"/>
    </row>
    <row r="36614" ht="14.25" customHeight="1" s="192">
      <c r="W36614" s="235" t="n"/>
      <c r="X36614" s="235" t="n"/>
    </row>
    <row r="36615" ht="14.25" customHeight="1" s="192">
      <c r="W36615" s="235" t="n"/>
      <c r="X36615" s="235" t="n"/>
    </row>
    <row r="36616" ht="14.25" customHeight="1" s="192">
      <c r="W36616" s="239" t="n"/>
      <c r="X36616" s="239" t="n"/>
    </row>
    <row r="36617" ht="14.25" customHeight="1" s="192">
      <c r="W36617" s="239" t="n"/>
      <c r="X36617" s="239" t="n"/>
    </row>
    <row r="36618" ht="14.25" customHeight="1" s="192">
      <c r="W36618" s="239" t="n"/>
      <c r="X36618" s="239" t="n"/>
    </row>
    <row r="36619" ht="14.25" customHeight="1" s="192">
      <c r="W36619" s="235" t="n"/>
      <c r="X36619" s="235" t="n"/>
    </row>
    <row r="36620" ht="14.25" customHeight="1" s="192">
      <c r="W36620" s="235" t="n"/>
      <c r="X36620" s="235" t="n"/>
    </row>
    <row r="36621" ht="14.25" customHeight="1" s="192">
      <c r="W36621" s="235" t="n"/>
      <c r="X36621" s="235" t="n"/>
    </row>
    <row r="36622" ht="14.25" customHeight="1" s="192">
      <c r="W36622" s="239" t="n"/>
      <c r="X36622" s="239" t="n"/>
    </row>
    <row r="36623" ht="14.25" customHeight="1" s="192">
      <c r="W36623" s="239" t="n"/>
      <c r="X36623" s="239" t="n"/>
    </row>
    <row r="36624" ht="14.25" customHeight="1" s="192">
      <c r="W36624" s="235" t="n"/>
      <c r="X36624" s="235" t="n"/>
    </row>
    <row r="36625" ht="14.25" customHeight="1" s="192">
      <c r="W36625" s="235" t="n"/>
      <c r="X36625" s="235" t="n"/>
    </row>
    <row r="36626" ht="14.25" customHeight="1" s="192">
      <c r="W36626" s="239" t="n"/>
      <c r="X36626" s="239" t="n"/>
    </row>
    <row r="36627" ht="14.25" customHeight="1" s="192">
      <c r="W36627" s="235" t="n"/>
      <c r="X36627" s="235" t="n"/>
    </row>
    <row r="36628" ht="14.25" customHeight="1" s="192">
      <c r="W36628" s="239" t="n"/>
      <c r="X36628" s="239" t="n"/>
    </row>
    <row r="36630" ht="14.25" customHeight="1" s="192">
      <c r="W36630" s="235" t="n"/>
      <c r="X36630" s="235" t="n"/>
    </row>
    <row r="36631" ht="15" customHeight="1" s="192" thickBot="1">
      <c r="W36631" s="239" t="n"/>
      <c r="X36631" s="239" t="n"/>
    </row>
    <row r="36632" ht="15" customHeight="1" s="192" thickBot="1">
      <c r="W36632" s="45" t="n"/>
      <c r="X36632" s="45" t="n"/>
    </row>
    <row r="36633" ht="14.25" customHeight="1" s="192">
      <c r="W36633" s="228" t="n"/>
      <c r="X36633" s="228" t="n"/>
    </row>
    <row r="36634" ht="14.25" customHeight="1" s="192">
      <c r="W36634" s="228" t="n"/>
      <c r="X36634" s="228" t="n"/>
    </row>
    <row r="36635" ht="14.25" customHeight="1" s="192">
      <c r="W36635" s="231" t="n"/>
      <c r="X36635" s="231" t="n"/>
    </row>
    <row r="36636" ht="14.25" customHeight="1" s="192">
      <c r="W36636" s="33" t="n"/>
      <c r="X36636" s="33" t="n"/>
    </row>
    <row r="36637" ht="14.25" customHeight="1" s="192">
      <c r="W36637" s="231" t="n"/>
      <c r="X36637" s="231" t="n"/>
    </row>
    <row r="36638" ht="14.25" customHeight="1" s="192">
      <c r="W36638" s="33" t="n"/>
      <c r="X36638" s="33" t="n"/>
    </row>
    <row r="36640" ht="14.25" customHeight="1" s="192">
      <c r="W36640" s="231" t="n"/>
      <c r="X36640" s="231" t="n"/>
    </row>
    <row r="36641" ht="14.25" customHeight="1" s="192">
      <c r="W36641" s="235" t="n"/>
      <c r="X36641" s="235" t="n"/>
    </row>
    <row r="36642" ht="14.25" customHeight="1" s="192">
      <c r="W36642" s="228" t="n"/>
      <c r="X36642" s="228" t="n"/>
    </row>
    <row r="36643" ht="14.25" customHeight="1" s="192">
      <c r="W36643" s="235" t="n"/>
      <c r="X36643" s="235" t="n"/>
    </row>
    <row r="36644" ht="14.25" customHeight="1" s="192">
      <c r="W36644" s="235" t="n"/>
      <c r="X36644" s="235" t="n"/>
    </row>
    <row r="36645" ht="14.25" customHeight="1" s="192">
      <c r="W36645" s="235" t="n"/>
      <c r="X36645" s="235" t="n"/>
    </row>
    <row r="36646" ht="14.25" customHeight="1" s="192">
      <c r="W36646" s="239" t="n"/>
      <c r="X36646" s="239" t="n"/>
    </row>
    <row r="36647" ht="14.25" customHeight="1" s="192">
      <c r="W36647" s="239" t="n"/>
      <c r="X36647" s="239" t="n"/>
    </row>
    <row r="36648" ht="14.25" customHeight="1" s="192">
      <c r="W36648" s="239" t="n"/>
      <c r="X36648" s="239" t="n"/>
    </row>
    <row r="36649" ht="14.25" customHeight="1" s="192">
      <c r="W36649" s="235" t="n"/>
      <c r="X36649" s="235" t="n"/>
    </row>
    <row r="36650" ht="14.25" customHeight="1" s="192">
      <c r="W36650" s="235" t="n"/>
      <c r="X36650" s="235" t="n"/>
    </row>
    <row r="36651" ht="14.25" customHeight="1" s="192">
      <c r="W36651" s="235" t="n"/>
      <c r="X36651" s="235" t="n"/>
    </row>
    <row r="36652" ht="14.25" customHeight="1" s="192">
      <c r="W36652" s="239" t="n"/>
      <c r="X36652" s="239" t="n"/>
    </row>
    <row r="36653" ht="14.25" customHeight="1" s="192">
      <c r="W36653" s="239" t="n"/>
      <c r="X36653" s="239" t="n"/>
    </row>
    <row r="36654" ht="14.25" customHeight="1" s="192">
      <c r="W36654" s="235" t="n"/>
      <c r="X36654" s="235" t="n"/>
    </row>
    <row r="36655" ht="14.25" customHeight="1" s="192">
      <c r="W36655" s="235" t="n"/>
      <c r="X36655" s="235" t="n"/>
    </row>
    <row r="36656" ht="14.25" customHeight="1" s="192">
      <c r="W36656" s="239" t="n"/>
      <c r="X36656" s="239" t="n"/>
    </row>
    <row r="36657" ht="14.25" customHeight="1" s="192">
      <c r="W36657" s="235" t="n"/>
      <c r="X36657" s="235" t="n"/>
    </row>
    <row r="36658" ht="14.25" customHeight="1" s="192">
      <c r="W36658" s="239" t="n"/>
      <c r="X36658" s="239" t="n"/>
    </row>
    <row r="36660" ht="14.25" customHeight="1" s="192">
      <c r="W36660" s="235" t="n"/>
      <c r="X36660" s="235" t="n"/>
    </row>
    <row r="36661" ht="15" customHeight="1" s="192" thickBot="1">
      <c r="W36661" s="239" t="n"/>
      <c r="X36661" s="239" t="n"/>
    </row>
    <row r="36662" ht="15" customHeight="1" s="192" thickBot="1">
      <c r="W36662" s="45" t="n"/>
      <c r="X36662" s="45" t="n"/>
    </row>
    <row r="36663" ht="14.25" customHeight="1" s="192">
      <c r="W36663" s="228" t="n"/>
      <c r="X36663" s="228" t="n"/>
    </row>
    <row r="36664" ht="14.25" customHeight="1" s="192">
      <c r="W36664" s="228" t="n"/>
      <c r="X36664" s="228" t="n"/>
    </row>
    <row r="36665" ht="14.25" customHeight="1" s="192">
      <c r="W36665" s="231" t="n"/>
      <c r="X36665" s="231" t="n"/>
    </row>
    <row r="36666" ht="14.25" customHeight="1" s="192">
      <c r="W36666" s="33" t="n"/>
      <c r="X36666" s="33" t="n"/>
    </row>
    <row r="36667" ht="14.25" customHeight="1" s="192">
      <c r="W36667" s="231" t="n"/>
      <c r="X36667" s="231" t="n"/>
    </row>
    <row r="36668" ht="14.25" customHeight="1" s="192">
      <c r="W36668" s="33" t="n"/>
      <c r="X36668" s="33" t="n"/>
    </row>
    <row r="36670" ht="14.25" customHeight="1" s="192">
      <c r="W36670" s="231" t="n"/>
      <c r="X36670" s="231" t="n"/>
    </row>
    <row r="36671" ht="14.25" customHeight="1" s="192">
      <c r="W36671" s="235" t="n"/>
      <c r="X36671" s="235" t="n"/>
    </row>
    <row r="36672" ht="14.25" customHeight="1" s="192">
      <c r="W36672" s="228" t="n"/>
      <c r="X36672" s="228" t="n"/>
    </row>
    <row r="36673" ht="14.25" customHeight="1" s="192">
      <c r="W36673" s="235" t="n"/>
      <c r="X36673" s="235" t="n"/>
    </row>
    <row r="36674" ht="14.25" customHeight="1" s="192">
      <c r="W36674" s="235" t="n"/>
      <c r="X36674" s="235" t="n"/>
    </row>
    <row r="36675" ht="14.25" customHeight="1" s="192">
      <c r="W36675" s="235" t="n"/>
      <c r="X36675" s="235" t="n"/>
    </row>
    <row r="36676" ht="14.25" customHeight="1" s="192">
      <c r="W36676" s="239" t="n"/>
      <c r="X36676" s="239" t="n"/>
    </row>
    <row r="36677" ht="14.25" customHeight="1" s="192">
      <c r="W36677" s="239" t="n"/>
      <c r="X36677" s="239" t="n"/>
    </row>
    <row r="36678" ht="14.25" customHeight="1" s="192">
      <c r="W36678" s="239" t="n"/>
      <c r="X36678" s="239" t="n"/>
    </row>
    <row r="36679" ht="14.25" customHeight="1" s="192">
      <c r="W36679" s="235" t="n"/>
      <c r="X36679" s="235" t="n"/>
    </row>
    <row r="36680" ht="14.25" customHeight="1" s="192">
      <c r="W36680" s="235" t="n"/>
      <c r="X36680" s="235" t="n"/>
    </row>
    <row r="36681" ht="14.25" customHeight="1" s="192">
      <c r="W36681" s="235" t="n"/>
      <c r="X36681" s="235" t="n"/>
    </row>
    <row r="36682" ht="14.25" customHeight="1" s="192">
      <c r="W36682" s="239" t="n"/>
      <c r="X36682" s="239" t="n"/>
    </row>
    <row r="36683" ht="14.25" customHeight="1" s="192">
      <c r="W36683" s="239" t="n"/>
      <c r="X36683" s="239" t="n"/>
    </row>
    <row r="36684" ht="14.25" customHeight="1" s="192">
      <c r="W36684" s="235" t="n"/>
      <c r="X36684" s="235" t="n"/>
    </row>
    <row r="36685" ht="14.25" customHeight="1" s="192">
      <c r="W36685" s="235" t="n"/>
      <c r="X36685" s="235" t="n"/>
    </row>
    <row r="36686" ht="14.25" customHeight="1" s="192">
      <c r="W36686" s="239" t="n"/>
      <c r="X36686" s="239" t="n"/>
    </row>
    <row r="36687" ht="14.25" customHeight="1" s="192">
      <c r="W36687" s="235" t="n"/>
      <c r="X36687" s="235" t="n"/>
    </row>
    <row r="36688" ht="14.25" customHeight="1" s="192">
      <c r="W36688" s="239" t="n"/>
      <c r="X36688" s="239" t="n"/>
    </row>
    <row r="36690" ht="14.25" customHeight="1" s="192">
      <c r="W36690" s="235" t="n"/>
      <c r="X36690" s="235" t="n"/>
    </row>
    <row r="36691" ht="15" customHeight="1" s="192" thickBot="1">
      <c r="W36691" s="239" t="n"/>
      <c r="X36691" s="239" t="n"/>
    </row>
    <row r="36692" ht="15" customHeight="1" s="192" thickBot="1">
      <c r="W36692" s="45" t="n"/>
      <c r="X36692" s="45" t="n"/>
    </row>
    <row r="36693" ht="14.25" customHeight="1" s="192">
      <c r="W36693" s="228" t="n"/>
      <c r="X36693" s="228" t="n"/>
    </row>
    <row r="36694" ht="14.25" customHeight="1" s="192">
      <c r="W36694" s="228" t="n"/>
      <c r="X36694" s="228" t="n"/>
    </row>
    <row r="36695" ht="14.25" customHeight="1" s="192">
      <c r="W36695" s="231" t="n"/>
      <c r="X36695" s="231" t="n"/>
    </row>
    <row r="36696" ht="14.25" customHeight="1" s="192">
      <c r="W36696" s="33" t="n"/>
      <c r="X36696" s="33" t="n"/>
    </row>
    <row r="36697" ht="14.25" customHeight="1" s="192">
      <c r="W36697" s="231" t="n"/>
      <c r="X36697" s="231" t="n"/>
    </row>
    <row r="36698" ht="14.25" customHeight="1" s="192">
      <c r="W36698" s="33" t="n"/>
      <c r="X36698" s="33" t="n"/>
    </row>
    <row r="36700" ht="14.25" customHeight="1" s="192">
      <c r="W36700" s="231" t="n"/>
      <c r="X36700" s="231" t="n"/>
    </row>
    <row r="36701" ht="14.25" customHeight="1" s="192">
      <c r="W36701" s="235" t="n"/>
      <c r="X36701" s="235" t="n"/>
    </row>
    <row r="36702" ht="14.25" customHeight="1" s="192">
      <c r="W36702" s="228" t="n"/>
      <c r="X36702" s="228" t="n"/>
    </row>
    <row r="36703" ht="14.25" customHeight="1" s="192">
      <c r="W36703" s="235" t="n"/>
      <c r="X36703" s="235" t="n"/>
    </row>
    <row r="36704" ht="14.25" customHeight="1" s="192">
      <c r="W36704" s="235" t="n"/>
      <c r="X36704" s="235" t="n"/>
    </row>
    <row r="36705" ht="14.25" customHeight="1" s="192">
      <c r="W36705" s="235" t="n"/>
      <c r="X36705" s="235" t="n"/>
    </row>
    <row r="36706" ht="14.25" customHeight="1" s="192">
      <c r="W36706" s="239" t="n"/>
      <c r="X36706" s="239" t="n"/>
    </row>
    <row r="36707" ht="14.25" customHeight="1" s="192">
      <c r="W36707" s="239" t="n"/>
      <c r="X36707" s="239" t="n"/>
    </row>
    <row r="36708" ht="14.25" customHeight="1" s="192">
      <c r="W36708" s="239" t="n"/>
      <c r="X36708" s="239" t="n"/>
    </row>
    <row r="36709" ht="14.25" customHeight="1" s="192">
      <c r="W36709" s="235" t="n"/>
      <c r="X36709" s="235" t="n"/>
    </row>
    <row r="36710" ht="14.25" customHeight="1" s="192">
      <c r="W36710" s="235" t="n"/>
      <c r="X36710" s="235" t="n"/>
    </row>
    <row r="36711" ht="14.25" customHeight="1" s="192">
      <c r="W36711" s="235" t="n"/>
      <c r="X36711" s="235" t="n"/>
    </row>
    <row r="36712" ht="14.25" customHeight="1" s="192">
      <c r="W36712" s="239" t="n"/>
      <c r="X36712" s="239" t="n"/>
    </row>
    <row r="36713" ht="14.25" customHeight="1" s="192">
      <c r="W36713" s="239" t="n"/>
      <c r="X36713" s="239" t="n"/>
    </row>
    <row r="36714" ht="14.25" customHeight="1" s="192">
      <c r="W36714" s="235" t="n"/>
      <c r="X36714" s="235" t="n"/>
    </row>
    <row r="36715" ht="14.25" customHeight="1" s="192">
      <c r="W36715" s="235" t="n"/>
      <c r="X36715" s="235" t="n"/>
    </row>
    <row r="36716" ht="14.25" customHeight="1" s="192">
      <c r="W36716" s="239" t="n"/>
      <c r="X36716" s="239" t="n"/>
    </row>
    <row r="36717" ht="14.25" customHeight="1" s="192">
      <c r="W36717" s="235" t="n"/>
      <c r="X36717" s="235" t="n"/>
    </row>
    <row r="36718" ht="14.25" customHeight="1" s="192">
      <c r="W36718" s="239" t="n"/>
      <c r="X36718" s="239" t="n"/>
    </row>
    <row r="36720" ht="14.25" customHeight="1" s="192">
      <c r="W36720" s="235" t="n"/>
      <c r="X36720" s="235" t="n"/>
    </row>
    <row r="36721" ht="15" customHeight="1" s="192" thickBot="1">
      <c r="W36721" s="239" t="n"/>
      <c r="X36721" s="239" t="n"/>
    </row>
    <row r="36722" ht="15" customHeight="1" s="192" thickBot="1">
      <c r="W36722" s="45" t="n"/>
      <c r="X36722" s="45" t="n"/>
    </row>
    <row r="36723" ht="14.25" customHeight="1" s="192">
      <c r="W36723" s="228" t="n"/>
      <c r="X36723" s="228" t="n"/>
    </row>
    <row r="36724" ht="14.25" customHeight="1" s="192">
      <c r="W36724" s="228" t="n"/>
      <c r="X36724" s="228" t="n"/>
    </row>
    <row r="36725" ht="14.25" customHeight="1" s="192">
      <c r="W36725" s="231" t="n"/>
      <c r="X36725" s="231" t="n"/>
    </row>
    <row r="36726" ht="14.25" customHeight="1" s="192">
      <c r="W36726" s="33" t="n"/>
      <c r="X36726" s="33" t="n"/>
    </row>
    <row r="36727" ht="14.25" customHeight="1" s="192">
      <c r="W36727" s="231" t="n"/>
      <c r="X36727" s="231" t="n"/>
    </row>
    <row r="36728" ht="14.25" customHeight="1" s="192">
      <c r="W36728" s="33" t="n"/>
      <c r="X36728" s="33" t="n"/>
    </row>
    <row r="36730" ht="14.25" customHeight="1" s="192">
      <c r="W36730" s="231" t="n"/>
      <c r="X36730" s="231" t="n"/>
    </row>
    <row r="36731" ht="14.25" customHeight="1" s="192">
      <c r="W36731" s="235" t="n"/>
      <c r="X36731" s="235" t="n"/>
    </row>
    <row r="36732" ht="14.25" customHeight="1" s="192">
      <c r="W36732" s="228" t="n"/>
      <c r="X36732" s="228" t="n"/>
    </row>
    <row r="36733" ht="14.25" customHeight="1" s="192">
      <c r="W36733" s="235" t="n"/>
      <c r="X36733" s="235" t="n"/>
    </row>
    <row r="36734" ht="14.25" customHeight="1" s="192">
      <c r="W36734" s="235" t="n"/>
      <c r="X36734" s="235" t="n"/>
    </row>
    <row r="36735" ht="14.25" customHeight="1" s="192">
      <c r="W36735" s="235" t="n"/>
      <c r="X36735" s="235" t="n"/>
    </row>
    <row r="36736" ht="14.25" customHeight="1" s="192">
      <c r="W36736" s="239" t="n"/>
      <c r="X36736" s="239" t="n"/>
    </row>
    <row r="36737" ht="14.25" customHeight="1" s="192">
      <c r="W36737" s="239" t="n"/>
      <c r="X36737" s="239" t="n"/>
    </row>
    <row r="36738" ht="14.25" customHeight="1" s="192">
      <c r="W36738" s="239" t="n"/>
      <c r="X36738" s="239" t="n"/>
    </row>
    <row r="36739" ht="14.25" customHeight="1" s="192">
      <c r="W36739" s="235" t="n"/>
      <c r="X36739" s="235" t="n"/>
    </row>
    <row r="36740" ht="14.25" customHeight="1" s="192">
      <c r="W36740" s="235" t="n"/>
      <c r="X36740" s="235" t="n"/>
    </row>
    <row r="36741" ht="14.25" customHeight="1" s="192">
      <c r="W36741" s="235" t="n"/>
      <c r="X36741" s="235" t="n"/>
    </row>
    <row r="36742" ht="14.25" customHeight="1" s="192">
      <c r="W36742" s="239" t="n"/>
      <c r="X36742" s="239" t="n"/>
    </row>
    <row r="36743" ht="14.25" customHeight="1" s="192">
      <c r="W36743" s="239" t="n"/>
      <c r="X36743" s="239" t="n"/>
    </row>
    <row r="36744" ht="14.25" customHeight="1" s="192">
      <c r="W36744" s="235" t="n"/>
      <c r="X36744" s="235" t="n"/>
    </row>
    <row r="36745" ht="14.25" customHeight="1" s="192">
      <c r="W36745" s="235" t="n"/>
      <c r="X36745" s="235" t="n"/>
    </row>
    <row r="36746" ht="14.25" customHeight="1" s="192">
      <c r="W36746" s="239" t="n"/>
      <c r="X36746" s="239" t="n"/>
    </row>
    <row r="36747" ht="14.25" customHeight="1" s="192">
      <c r="W36747" s="235" t="n"/>
      <c r="X36747" s="235" t="n"/>
    </row>
    <row r="36748" ht="14.25" customHeight="1" s="192">
      <c r="W36748" s="239" t="n"/>
      <c r="X36748" s="239" t="n"/>
    </row>
    <row r="36750" ht="14.25" customHeight="1" s="192">
      <c r="W36750" s="235" t="n"/>
      <c r="X36750" s="235" t="n"/>
    </row>
    <row r="36751" ht="15" customHeight="1" s="192" thickBot="1">
      <c r="W36751" s="239" t="n"/>
      <c r="X36751" s="239" t="n"/>
    </row>
    <row r="36752" ht="15" customHeight="1" s="192" thickBot="1">
      <c r="W36752" s="45" t="n"/>
      <c r="X36752" s="45" t="n"/>
    </row>
    <row r="36753" ht="14.25" customHeight="1" s="192">
      <c r="W36753" s="228" t="n"/>
      <c r="X36753" s="228" t="n"/>
    </row>
    <row r="36754" ht="14.25" customHeight="1" s="192">
      <c r="W36754" s="228" t="n"/>
      <c r="X36754" s="228" t="n"/>
    </row>
    <row r="36755" ht="14.25" customHeight="1" s="192">
      <c r="W36755" s="231" t="n"/>
      <c r="X36755" s="231" t="n"/>
    </row>
    <row r="36756" ht="14.25" customHeight="1" s="192">
      <c r="W36756" s="33" t="n"/>
      <c r="X36756" s="33" t="n"/>
    </row>
    <row r="36757" ht="14.25" customHeight="1" s="192">
      <c r="W36757" s="231" t="n"/>
      <c r="X36757" s="231" t="n"/>
    </row>
    <row r="36758" ht="14.25" customHeight="1" s="192">
      <c r="W36758" s="33" t="n"/>
      <c r="X36758" s="33" t="n"/>
    </row>
    <row r="36760" ht="14.25" customHeight="1" s="192">
      <c r="W36760" s="231" t="n"/>
      <c r="X36760" s="231" t="n"/>
    </row>
    <row r="36761" ht="14.25" customHeight="1" s="192">
      <c r="W36761" s="235" t="n"/>
      <c r="X36761" s="235" t="n"/>
    </row>
    <row r="36762" ht="14.25" customHeight="1" s="192">
      <c r="W36762" s="228" t="n"/>
      <c r="X36762" s="228" t="n"/>
    </row>
    <row r="36763" ht="14.25" customHeight="1" s="192">
      <c r="W36763" s="235" t="n"/>
      <c r="X36763" s="235" t="n"/>
    </row>
    <row r="36764" ht="14.25" customHeight="1" s="192">
      <c r="W36764" s="235" t="n"/>
      <c r="X36764" s="235" t="n"/>
    </row>
    <row r="36765" ht="14.25" customHeight="1" s="192">
      <c r="W36765" s="235" t="n"/>
      <c r="X36765" s="235" t="n"/>
    </row>
    <row r="36766" ht="14.25" customHeight="1" s="192">
      <c r="W36766" s="239" t="n"/>
      <c r="X36766" s="239" t="n"/>
    </row>
    <row r="36767" ht="14.25" customHeight="1" s="192">
      <c r="W36767" s="239" t="n"/>
      <c r="X36767" s="239" t="n"/>
    </row>
    <row r="36768" ht="14.25" customHeight="1" s="192">
      <c r="W36768" s="239" t="n"/>
      <c r="X36768" s="239" t="n"/>
    </row>
    <row r="36769" ht="14.25" customHeight="1" s="192">
      <c r="W36769" s="235" t="n"/>
      <c r="X36769" s="235" t="n"/>
    </row>
    <row r="36770" ht="14.25" customHeight="1" s="192">
      <c r="W36770" s="235" t="n"/>
      <c r="X36770" s="235" t="n"/>
    </row>
    <row r="36771" ht="14.25" customHeight="1" s="192">
      <c r="W36771" s="235" t="n"/>
      <c r="X36771" s="235" t="n"/>
    </row>
    <row r="36772" ht="14.25" customHeight="1" s="192">
      <c r="W36772" s="239" t="n"/>
      <c r="X36772" s="239" t="n"/>
    </row>
    <row r="36773" ht="14.25" customHeight="1" s="192">
      <c r="W36773" s="239" t="n"/>
      <c r="X36773" s="239" t="n"/>
    </row>
    <row r="36774" ht="14.25" customHeight="1" s="192">
      <c r="W36774" s="235" t="n"/>
      <c r="X36774" s="235" t="n"/>
    </row>
    <row r="36775" ht="14.25" customHeight="1" s="192">
      <c r="W36775" s="235" t="n"/>
      <c r="X36775" s="235" t="n"/>
    </row>
    <row r="36776" ht="14.25" customHeight="1" s="192">
      <c r="W36776" s="239" t="n"/>
      <c r="X36776" s="239" t="n"/>
    </row>
    <row r="36777" ht="14.25" customHeight="1" s="192">
      <c r="W36777" s="235" t="n"/>
      <c r="X36777" s="235" t="n"/>
    </row>
    <row r="36778" ht="14.25" customHeight="1" s="192">
      <c r="W36778" s="239" t="n"/>
      <c r="X36778" s="239" t="n"/>
    </row>
    <row r="36780" ht="14.25" customHeight="1" s="192">
      <c r="W36780" s="235" t="n"/>
      <c r="X36780" s="235" t="n"/>
    </row>
    <row r="36781" ht="15" customHeight="1" s="192" thickBot="1">
      <c r="W36781" s="239" t="n"/>
      <c r="X36781" s="239" t="n"/>
    </row>
    <row r="36782" ht="15" customHeight="1" s="192" thickBot="1">
      <c r="W36782" s="45" t="n"/>
      <c r="X36782" s="45" t="n"/>
    </row>
    <row r="36783" ht="14.25" customHeight="1" s="192">
      <c r="W36783" s="228" t="n"/>
      <c r="X36783" s="228" t="n"/>
    </row>
    <row r="36784" ht="14.25" customHeight="1" s="192">
      <c r="W36784" s="228" t="n"/>
      <c r="X36784" s="228" t="n"/>
    </row>
    <row r="36785" ht="14.25" customHeight="1" s="192">
      <c r="W36785" s="231" t="n"/>
      <c r="X36785" s="231" t="n"/>
    </row>
    <row r="36786" ht="14.25" customHeight="1" s="192">
      <c r="W36786" s="33" t="n"/>
      <c r="X36786" s="33" t="n"/>
    </row>
    <row r="36787" ht="14.25" customHeight="1" s="192">
      <c r="W36787" s="231" t="n"/>
      <c r="X36787" s="231" t="n"/>
    </row>
    <row r="36788" ht="14.25" customHeight="1" s="192">
      <c r="W36788" s="33" t="n"/>
      <c r="X36788" s="33" t="n"/>
    </row>
    <row r="36790" ht="14.25" customHeight="1" s="192">
      <c r="W36790" s="231" t="n"/>
      <c r="X36790" s="231" t="n"/>
    </row>
    <row r="36791" ht="14.25" customHeight="1" s="192">
      <c r="W36791" s="235" t="n"/>
      <c r="X36791" s="235" t="n"/>
    </row>
    <row r="36792" ht="14.25" customHeight="1" s="192">
      <c r="W36792" s="228" t="n"/>
      <c r="X36792" s="228" t="n"/>
    </row>
    <row r="36793" ht="14.25" customHeight="1" s="192">
      <c r="W36793" s="235" t="n"/>
      <c r="X36793" s="235" t="n"/>
    </row>
    <row r="36794" ht="14.25" customHeight="1" s="192">
      <c r="W36794" s="235" t="n"/>
      <c r="X36794" s="235" t="n"/>
    </row>
    <row r="36795" ht="14.25" customHeight="1" s="192">
      <c r="W36795" s="235" t="n"/>
      <c r="X36795" s="235" t="n"/>
    </row>
    <row r="36796" ht="14.25" customHeight="1" s="192">
      <c r="W36796" s="239" t="n"/>
      <c r="X36796" s="239" t="n"/>
    </row>
    <row r="36797" ht="14.25" customHeight="1" s="192">
      <c r="W36797" s="239" t="n"/>
      <c r="X36797" s="239" t="n"/>
    </row>
    <row r="36798" ht="14.25" customHeight="1" s="192">
      <c r="W36798" s="239" t="n"/>
      <c r="X36798" s="239" t="n"/>
    </row>
    <row r="36799" ht="14.25" customHeight="1" s="192">
      <c r="W36799" s="235" t="n"/>
      <c r="X36799" s="235" t="n"/>
    </row>
    <row r="36800" ht="14.25" customHeight="1" s="192">
      <c r="W36800" s="235" t="n"/>
      <c r="X36800" s="235" t="n"/>
    </row>
    <row r="36801" ht="14.25" customHeight="1" s="192">
      <c r="W36801" s="235" t="n"/>
      <c r="X36801" s="235" t="n"/>
    </row>
    <row r="36802" ht="14.25" customHeight="1" s="192">
      <c r="W36802" s="239" t="n"/>
      <c r="X36802" s="239" t="n"/>
    </row>
    <row r="36803" ht="14.25" customHeight="1" s="192">
      <c r="W36803" s="239" t="n"/>
      <c r="X36803" s="239" t="n"/>
    </row>
    <row r="36804" ht="14.25" customHeight="1" s="192">
      <c r="W36804" s="235" t="n"/>
      <c r="X36804" s="235" t="n"/>
    </row>
    <row r="36805" ht="14.25" customHeight="1" s="192">
      <c r="W36805" s="235" t="n"/>
      <c r="X36805" s="235" t="n"/>
    </row>
    <row r="36806" ht="14.25" customHeight="1" s="192">
      <c r="W36806" s="239" t="n"/>
      <c r="X36806" s="239" t="n"/>
    </row>
    <row r="36807" ht="14.25" customHeight="1" s="192">
      <c r="W36807" s="235" t="n"/>
      <c r="X36807" s="235" t="n"/>
    </row>
    <row r="36808" ht="14.25" customHeight="1" s="192">
      <c r="W36808" s="239" t="n"/>
      <c r="X36808" s="239" t="n"/>
    </row>
    <row r="36810" ht="14.25" customHeight="1" s="192">
      <c r="W36810" s="235" t="n"/>
      <c r="X36810" s="235" t="n"/>
    </row>
    <row r="36811" ht="15" customHeight="1" s="192" thickBot="1">
      <c r="W36811" s="239" t="n"/>
      <c r="X36811" s="239" t="n"/>
    </row>
    <row r="36812" ht="15" customHeight="1" s="192" thickBot="1">
      <c r="W36812" s="45" t="n"/>
      <c r="X36812" s="45" t="n"/>
    </row>
    <row r="36813" ht="14.25" customHeight="1" s="192">
      <c r="W36813" s="228" t="n"/>
      <c r="X36813" s="228" t="n"/>
    </row>
    <row r="36814" ht="14.25" customHeight="1" s="192">
      <c r="W36814" s="228" t="n"/>
      <c r="X36814" s="228" t="n"/>
    </row>
    <row r="36815" ht="14.25" customHeight="1" s="192">
      <c r="W36815" s="231" t="n"/>
      <c r="X36815" s="231" t="n"/>
    </row>
    <row r="36816" ht="14.25" customHeight="1" s="192">
      <c r="W36816" s="33" t="n"/>
      <c r="X36816" s="33" t="n"/>
    </row>
    <row r="36817" ht="14.25" customHeight="1" s="192">
      <c r="W36817" s="231" t="n"/>
      <c r="X36817" s="231" t="n"/>
    </row>
    <row r="36818" ht="14.25" customHeight="1" s="192">
      <c r="W36818" s="33" t="n"/>
      <c r="X36818" s="33" t="n"/>
    </row>
    <row r="36820" ht="14.25" customHeight="1" s="192">
      <c r="W36820" s="231" t="n"/>
      <c r="X36820" s="231" t="n"/>
    </row>
    <row r="36821" ht="14.25" customHeight="1" s="192">
      <c r="W36821" s="235" t="n"/>
      <c r="X36821" s="235" t="n"/>
    </row>
    <row r="36822" ht="14.25" customHeight="1" s="192">
      <c r="W36822" s="228" t="n"/>
      <c r="X36822" s="228" t="n"/>
    </row>
    <row r="36823" ht="14.25" customHeight="1" s="192">
      <c r="W36823" s="235" t="n"/>
      <c r="X36823" s="235" t="n"/>
    </row>
    <row r="36824" ht="14.25" customHeight="1" s="192">
      <c r="W36824" s="235" t="n"/>
      <c r="X36824" s="235" t="n"/>
    </row>
    <row r="36825" ht="14.25" customHeight="1" s="192">
      <c r="W36825" s="235" t="n"/>
      <c r="X36825" s="235" t="n"/>
    </row>
    <row r="36826" ht="14.25" customHeight="1" s="192">
      <c r="W36826" s="239" t="n"/>
      <c r="X36826" s="239" t="n"/>
    </row>
    <row r="36827" ht="14.25" customHeight="1" s="192">
      <c r="W36827" s="239" t="n"/>
      <c r="X36827" s="239" t="n"/>
    </row>
    <row r="36828" ht="14.25" customHeight="1" s="192">
      <c r="W36828" s="239" t="n"/>
      <c r="X36828" s="239" t="n"/>
    </row>
    <row r="36829" ht="14.25" customHeight="1" s="192">
      <c r="W36829" s="235" t="n"/>
      <c r="X36829" s="235" t="n"/>
    </row>
    <row r="36830" ht="14.25" customHeight="1" s="192">
      <c r="W36830" s="235" t="n"/>
      <c r="X36830" s="235" t="n"/>
    </row>
    <row r="36831" ht="14.25" customHeight="1" s="192">
      <c r="W36831" s="235" t="n"/>
      <c r="X36831" s="235" t="n"/>
    </row>
    <row r="36832" ht="14.25" customHeight="1" s="192">
      <c r="W36832" s="239" t="n"/>
      <c r="X36832" s="239" t="n"/>
    </row>
    <row r="36833" ht="14.25" customHeight="1" s="192">
      <c r="W36833" s="239" t="n"/>
      <c r="X36833" s="239" t="n"/>
    </row>
    <row r="36834" ht="14.25" customHeight="1" s="192">
      <c r="W36834" s="235" t="n"/>
      <c r="X36834" s="235" t="n"/>
    </row>
    <row r="36835" ht="14.25" customHeight="1" s="192">
      <c r="W36835" s="235" t="n"/>
      <c r="X36835" s="235" t="n"/>
    </row>
    <row r="36836" ht="14.25" customHeight="1" s="192">
      <c r="W36836" s="239" t="n"/>
      <c r="X36836" s="239" t="n"/>
    </row>
    <row r="36837" ht="14.25" customHeight="1" s="192">
      <c r="W36837" s="235" t="n"/>
      <c r="X36837" s="235" t="n"/>
    </row>
    <row r="36838" ht="14.25" customHeight="1" s="192">
      <c r="W36838" s="239" t="n"/>
      <c r="X36838" s="239" t="n"/>
    </row>
    <row r="36840" ht="14.25" customHeight="1" s="192">
      <c r="W36840" s="235" t="n"/>
      <c r="X36840" s="235" t="n"/>
    </row>
    <row r="36841" ht="15" customHeight="1" s="192" thickBot="1">
      <c r="W36841" s="239" t="n"/>
      <c r="X36841" s="239" t="n"/>
    </row>
    <row r="36842" ht="15" customHeight="1" s="192" thickBot="1">
      <c r="W36842" s="45" t="n"/>
      <c r="X36842" s="45" t="n"/>
    </row>
    <row r="36843" ht="14.25" customHeight="1" s="192">
      <c r="W36843" s="228" t="n"/>
      <c r="X36843" s="228" t="n"/>
    </row>
    <row r="36844" ht="14.25" customHeight="1" s="192">
      <c r="W36844" s="228" t="n"/>
      <c r="X36844" s="228" t="n"/>
    </row>
    <row r="36845" ht="14.25" customHeight="1" s="192">
      <c r="W36845" s="231" t="n"/>
      <c r="X36845" s="231" t="n"/>
    </row>
    <row r="36846" ht="14.25" customHeight="1" s="192">
      <c r="W36846" s="33" t="n"/>
      <c r="X36846" s="33" t="n"/>
    </row>
    <row r="36847" ht="14.25" customHeight="1" s="192">
      <c r="W36847" s="231" t="n"/>
      <c r="X36847" s="231" t="n"/>
    </row>
    <row r="36848" ht="14.25" customHeight="1" s="192">
      <c r="W36848" s="33" t="n"/>
      <c r="X36848" s="33" t="n"/>
    </row>
    <row r="36850" ht="14.25" customHeight="1" s="192">
      <c r="W36850" s="231" t="n"/>
      <c r="X36850" s="231" t="n"/>
    </row>
    <row r="36851" ht="14.25" customHeight="1" s="192">
      <c r="W36851" s="235" t="n"/>
      <c r="X36851" s="235" t="n"/>
    </row>
    <row r="36852" ht="14.25" customHeight="1" s="192">
      <c r="W36852" s="228" t="n"/>
      <c r="X36852" s="228" t="n"/>
    </row>
    <row r="36853" ht="14.25" customHeight="1" s="192">
      <c r="W36853" s="235" t="n"/>
      <c r="X36853" s="235" t="n"/>
    </row>
    <row r="36854" ht="14.25" customHeight="1" s="192">
      <c r="W36854" s="235" t="n"/>
      <c r="X36854" s="235" t="n"/>
    </row>
    <row r="36855" ht="14.25" customHeight="1" s="192">
      <c r="W36855" s="235" t="n"/>
      <c r="X36855" s="235" t="n"/>
    </row>
    <row r="36856" ht="14.25" customHeight="1" s="192">
      <c r="W36856" s="239" t="n"/>
      <c r="X36856" s="239" t="n"/>
    </row>
    <row r="36857" ht="14.25" customHeight="1" s="192">
      <c r="W36857" s="239" t="n"/>
      <c r="X36857" s="239" t="n"/>
    </row>
    <row r="36858" ht="14.25" customHeight="1" s="192">
      <c r="W36858" s="239" t="n"/>
      <c r="X36858" s="239" t="n"/>
    </row>
    <row r="36859" ht="14.25" customHeight="1" s="192">
      <c r="W36859" s="235" t="n"/>
      <c r="X36859" s="235" t="n"/>
    </row>
    <row r="36860" ht="14.25" customHeight="1" s="192">
      <c r="W36860" s="235" t="n"/>
      <c r="X36860" s="235" t="n"/>
    </row>
    <row r="36861" ht="14.25" customHeight="1" s="192">
      <c r="W36861" s="235" t="n"/>
      <c r="X36861" s="235" t="n"/>
    </row>
    <row r="36862" ht="14.25" customHeight="1" s="192">
      <c r="W36862" s="239" t="n"/>
      <c r="X36862" s="239" t="n"/>
    </row>
    <row r="36863" ht="14.25" customHeight="1" s="192">
      <c r="W36863" s="239" t="n"/>
      <c r="X36863" s="239" t="n"/>
    </row>
    <row r="36864" ht="14.25" customHeight="1" s="192">
      <c r="W36864" s="235" t="n"/>
      <c r="X36864" s="235" t="n"/>
    </row>
    <row r="36865" ht="14.25" customHeight="1" s="192">
      <c r="W36865" s="235" t="n"/>
      <c r="X36865" s="235" t="n"/>
    </row>
    <row r="36866" ht="14.25" customHeight="1" s="192">
      <c r="W36866" s="239" t="n"/>
      <c r="X36866" s="239" t="n"/>
    </row>
    <row r="36867" ht="14.25" customHeight="1" s="192">
      <c r="W36867" s="235" t="n"/>
      <c r="X36867" s="235" t="n"/>
    </row>
    <row r="36868" ht="14.25" customHeight="1" s="192">
      <c r="W36868" s="239" t="n"/>
      <c r="X36868" s="239" t="n"/>
    </row>
    <row r="36870" ht="14.25" customHeight="1" s="192">
      <c r="W36870" s="235" t="n"/>
      <c r="X36870" s="235" t="n"/>
    </row>
    <row r="36871" ht="15" customHeight="1" s="192" thickBot="1">
      <c r="W36871" s="239" t="n"/>
      <c r="X36871" s="239" t="n"/>
    </row>
    <row r="36872" ht="15" customHeight="1" s="192" thickBot="1">
      <c r="W36872" s="45" t="n"/>
      <c r="X36872" s="45" t="n"/>
    </row>
    <row r="36873" ht="14.25" customHeight="1" s="192">
      <c r="W36873" s="228" t="n"/>
      <c r="X36873" s="228" t="n"/>
    </row>
    <row r="36874" ht="14.25" customHeight="1" s="192">
      <c r="W36874" s="228" t="n"/>
      <c r="X36874" s="228" t="n"/>
    </row>
    <row r="36875" ht="14.25" customHeight="1" s="192">
      <c r="W36875" s="231" t="n"/>
      <c r="X36875" s="231" t="n"/>
    </row>
    <row r="36876" ht="14.25" customHeight="1" s="192">
      <c r="W36876" s="33" t="n"/>
      <c r="X36876" s="33" t="n"/>
    </row>
    <row r="36877" ht="14.25" customHeight="1" s="192">
      <c r="W36877" s="231" t="n"/>
      <c r="X36877" s="231" t="n"/>
    </row>
    <row r="36878" ht="14.25" customHeight="1" s="192">
      <c r="W36878" s="33" t="n"/>
      <c r="X36878" s="33" t="n"/>
    </row>
    <row r="36880" ht="14.25" customHeight="1" s="192">
      <c r="W36880" s="231" t="n"/>
      <c r="X36880" s="231" t="n"/>
    </row>
    <row r="36881" ht="14.25" customHeight="1" s="192">
      <c r="W36881" s="235" t="n"/>
      <c r="X36881" s="235" t="n"/>
    </row>
    <row r="36882" ht="14.25" customHeight="1" s="192">
      <c r="W36882" s="228" t="n"/>
      <c r="X36882" s="228" t="n"/>
    </row>
    <row r="36883" ht="14.25" customHeight="1" s="192">
      <c r="W36883" s="235" t="n"/>
      <c r="X36883" s="235" t="n"/>
    </row>
    <row r="36884" ht="14.25" customHeight="1" s="192">
      <c r="W36884" s="235" t="n"/>
      <c r="X36884" s="235" t="n"/>
    </row>
    <row r="36885" ht="14.25" customHeight="1" s="192">
      <c r="W36885" s="235" t="n"/>
      <c r="X36885" s="235" t="n"/>
    </row>
    <row r="36886" ht="14.25" customHeight="1" s="192">
      <c r="W36886" s="239" t="n"/>
      <c r="X36886" s="239" t="n"/>
    </row>
    <row r="36887" ht="14.25" customHeight="1" s="192">
      <c r="W36887" s="239" t="n"/>
      <c r="X36887" s="239" t="n"/>
    </row>
    <row r="36888" ht="14.25" customHeight="1" s="192">
      <c r="W36888" s="239" t="n"/>
      <c r="X36888" s="239" t="n"/>
    </row>
    <row r="36889" ht="14.25" customHeight="1" s="192">
      <c r="W36889" s="235" t="n"/>
      <c r="X36889" s="235" t="n"/>
    </row>
    <row r="36890" ht="14.25" customHeight="1" s="192">
      <c r="W36890" s="235" t="n"/>
      <c r="X36890" s="235" t="n"/>
    </row>
    <row r="36891" ht="14.25" customHeight="1" s="192">
      <c r="W36891" s="235" t="n"/>
      <c r="X36891" s="235" t="n"/>
    </row>
    <row r="36892" ht="14.25" customHeight="1" s="192">
      <c r="W36892" s="239" t="n"/>
      <c r="X36892" s="239" t="n"/>
    </row>
    <row r="36893" ht="14.25" customHeight="1" s="192">
      <c r="W36893" s="239" t="n"/>
      <c r="X36893" s="239" t="n"/>
    </row>
    <row r="36894" ht="14.25" customHeight="1" s="192">
      <c r="W36894" s="235" t="n"/>
      <c r="X36894" s="235" t="n"/>
    </row>
    <row r="36895" ht="14.25" customHeight="1" s="192">
      <c r="W36895" s="235" t="n"/>
      <c r="X36895" s="235" t="n"/>
    </row>
    <row r="36896" ht="14.25" customHeight="1" s="192">
      <c r="W36896" s="239" t="n"/>
      <c r="X36896" s="239" t="n"/>
    </row>
    <row r="36897" ht="14.25" customHeight="1" s="192">
      <c r="W36897" s="235" t="n"/>
      <c r="X36897" s="235" t="n"/>
    </row>
    <row r="36898" ht="14.25" customHeight="1" s="192">
      <c r="W36898" s="239" t="n"/>
      <c r="X36898" s="239" t="n"/>
    </row>
    <row r="36900" ht="14.25" customHeight="1" s="192">
      <c r="W36900" s="235" t="n"/>
      <c r="X36900" s="235" t="n"/>
    </row>
    <row r="36901" ht="15" customHeight="1" s="192" thickBot="1">
      <c r="W36901" s="239" t="n"/>
      <c r="X36901" s="239" t="n"/>
    </row>
    <row r="36902" ht="15" customHeight="1" s="192" thickBot="1">
      <c r="W36902" s="45" t="n"/>
      <c r="X36902" s="45" t="n"/>
    </row>
    <row r="36903" ht="14.25" customHeight="1" s="192">
      <c r="W36903" s="228" t="n"/>
      <c r="X36903" s="228" t="n"/>
    </row>
    <row r="36904" ht="14.25" customHeight="1" s="192">
      <c r="W36904" s="228" t="n"/>
      <c r="X36904" s="228" t="n"/>
    </row>
    <row r="36905" ht="14.25" customHeight="1" s="192">
      <c r="W36905" s="231" t="n"/>
      <c r="X36905" s="231" t="n"/>
    </row>
    <row r="36906" ht="14.25" customHeight="1" s="192">
      <c r="W36906" s="33" t="n"/>
      <c r="X36906" s="33" t="n"/>
    </row>
    <row r="36907" ht="14.25" customHeight="1" s="192">
      <c r="W36907" s="231" t="n"/>
      <c r="X36907" s="231" t="n"/>
    </row>
    <row r="36908" ht="14.25" customHeight="1" s="192">
      <c r="W36908" s="33" t="n"/>
      <c r="X36908" s="33" t="n"/>
    </row>
    <row r="36910" ht="14.25" customHeight="1" s="192">
      <c r="W36910" s="231" t="n"/>
      <c r="X36910" s="231" t="n"/>
    </row>
    <row r="36911" ht="14.25" customHeight="1" s="192">
      <c r="W36911" s="235" t="n"/>
      <c r="X36911" s="235" t="n"/>
    </row>
    <row r="36912" ht="14.25" customHeight="1" s="192">
      <c r="W36912" s="228" t="n"/>
      <c r="X36912" s="228" t="n"/>
    </row>
    <row r="36913" ht="14.25" customHeight="1" s="192">
      <c r="W36913" s="235" t="n"/>
      <c r="X36913" s="235" t="n"/>
    </row>
    <row r="36914" ht="14.25" customHeight="1" s="192">
      <c r="W36914" s="235" t="n"/>
      <c r="X36914" s="235" t="n"/>
    </row>
    <row r="36915" ht="14.25" customHeight="1" s="192">
      <c r="W36915" s="235" t="n"/>
      <c r="X36915" s="235" t="n"/>
    </row>
    <row r="36916" ht="14.25" customHeight="1" s="192">
      <c r="W36916" s="239" t="n"/>
      <c r="X36916" s="239" t="n"/>
    </row>
    <row r="36917" ht="14.25" customHeight="1" s="192">
      <c r="W36917" s="239" t="n"/>
      <c r="X36917" s="239" t="n"/>
    </row>
    <row r="36918" ht="14.25" customHeight="1" s="192">
      <c r="W36918" s="239" t="n"/>
      <c r="X36918" s="239" t="n"/>
    </row>
    <row r="36919" ht="14.25" customHeight="1" s="192">
      <c r="W36919" s="235" t="n"/>
      <c r="X36919" s="235" t="n"/>
    </row>
    <row r="36920" ht="14.25" customHeight="1" s="192">
      <c r="W36920" s="235" t="n"/>
      <c r="X36920" s="235" t="n"/>
    </row>
    <row r="36921" ht="14.25" customHeight="1" s="192">
      <c r="W36921" s="235" t="n"/>
      <c r="X36921" s="235" t="n"/>
    </row>
    <row r="36922" ht="14.25" customHeight="1" s="192">
      <c r="W36922" s="239" t="n"/>
      <c r="X36922" s="239" t="n"/>
    </row>
    <row r="36923" ht="14.25" customHeight="1" s="192">
      <c r="W36923" s="239" t="n"/>
      <c r="X36923" s="239" t="n"/>
    </row>
    <row r="36924" ht="14.25" customHeight="1" s="192">
      <c r="W36924" s="235" t="n"/>
      <c r="X36924" s="235" t="n"/>
    </row>
    <row r="36925" ht="14.25" customHeight="1" s="192">
      <c r="W36925" s="235" t="n"/>
      <c r="X36925" s="235" t="n"/>
    </row>
    <row r="36926" ht="14.25" customHeight="1" s="192">
      <c r="W36926" s="239" t="n"/>
      <c r="X36926" s="239" t="n"/>
    </row>
    <row r="36927" ht="14.25" customHeight="1" s="192">
      <c r="W36927" s="235" t="n"/>
      <c r="X36927" s="235" t="n"/>
    </row>
    <row r="36928" ht="14.25" customHeight="1" s="192">
      <c r="W36928" s="239" t="n"/>
      <c r="X36928" s="239" t="n"/>
    </row>
    <row r="36930" ht="14.25" customHeight="1" s="192">
      <c r="W36930" s="235" t="n"/>
      <c r="X36930" s="235" t="n"/>
    </row>
    <row r="36931" ht="15" customHeight="1" s="192" thickBot="1">
      <c r="W36931" s="239" t="n"/>
      <c r="X36931" s="239" t="n"/>
    </row>
    <row r="36932" ht="15" customHeight="1" s="192" thickBot="1">
      <c r="W36932" s="45" t="n"/>
      <c r="X36932" s="45" t="n"/>
    </row>
    <row r="36933" ht="14.25" customHeight="1" s="192">
      <c r="W36933" s="228" t="n"/>
      <c r="X36933" s="228" t="n"/>
    </row>
    <row r="36934" ht="14.25" customHeight="1" s="192">
      <c r="W36934" s="228" t="n"/>
      <c r="X36934" s="228" t="n"/>
    </row>
    <row r="36935" ht="14.25" customHeight="1" s="192">
      <c r="W36935" s="231" t="n"/>
      <c r="X36935" s="231" t="n"/>
    </row>
    <row r="36936" ht="14.25" customHeight="1" s="192">
      <c r="W36936" s="33" t="n"/>
      <c r="X36936" s="33" t="n"/>
    </row>
    <row r="36937" ht="14.25" customHeight="1" s="192">
      <c r="W36937" s="231" t="n"/>
      <c r="X36937" s="231" t="n"/>
    </row>
    <row r="36938" ht="14.25" customHeight="1" s="192">
      <c r="W36938" s="33" t="n"/>
      <c r="X36938" s="33" t="n"/>
    </row>
    <row r="36940" ht="14.25" customHeight="1" s="192">
      <c r="W36940" s="231" t="n"/>
      <c r="X36940" s="231" t="n"/>
    </row>
    <row r="36941" ht="14.25" customHeight="1" s="192">
      <c r="W36941" s="235" t="n"/>
      <c r="X36941" s="235" t="n"/>
    </row>
    <row r="36942" ht="14.25" customHeight="1" s="192">
      <c r="W36942" s="228" t="n"/>
      <c r="X36942" s="228" t="n"/>
    </row>
    <row r="36943" ht="14.25" customHeight="1" s="192">
      <c r="W36943" s="235" t="n"/>
      <c r="X36943" s="235" t="n"/>
    </row>
    <row r="36944" ht="14.25" customHeight="1" s="192">
      <c r="W36944" s="235" t="n"/>
      <c r="X36944" s="235" t="n"/>
    </row>
    <row r="36945" ht="14.25" customHeight="1" s="192">
      <c r="W36945" s="235" t="n"/>
      <c r="X36945" s="235" t="n"/>
    </row>
    <row r="36946" ht="14.25" customHeight="1" s="192">
      <c r="W36946" s="239" t="n"/>
      <c r="X36946" s="239" t="n"/>
    </row>
    <row r="36947" ht="14.25" customHeight="1" s="192">
      <c r="W36947" s="239" t="n"/>
      <c r="X36947" s="239" t="n"/>
    </row>
    <row r="36948" ht="14.25" customHeight="1" s="192">
      <c r="W36948" s="239" t="n"/>
      <c r="X36948" s="239" t="n"/>
    </row>
    <row r="36949" ht="14.25" customHeight="1" s="192">
      <c r="W36949" s="235" t="n"/>
      <c r="X36949" s="235" t="n"/>
    </row>
    <row r="36950" ht="14.25" customHeight="1" s="192">
      <c r="W36950" s="235" t="n"/>
      <c r="X36950" s="235" t="n"/>
    </row>
    <row r="36951" ht="14.25" customHeight="1" s="192">
      <c r="W36951" s="235" t="n"/>
      <c r="X36951" s="235" t="n"/>
    </row>
    <row r="36952" ht="14.25" customHeight="1" s="192">
      <c r="W36952" s="239" t="n"/>
      <c r="X36952" s="239" t="n"/>
    </row>
    <row r="36953" ht="14.25" customHeight="1" s="192">
      <c r="W36953" s="239" t="n"/>
      <c r="X36953" s="239" t="n"/>
    </row>
    <row r="36954" ht="14.25" customHeight="1" s="192">
      <c r="W36954" s="235" t="n"/>
      <c r="X36954" s="235" t="n"/>
    </row>
    <row r="36955" ht="14.25" customHeight="1" s="192">
      <c r="W36955" s="235" t="n"/>
      <c r="X36955" s="235" t="n"/>
    </row>
    <row r="36956" ht="14.25" customHeight="1" s="192">
      <c r="W36956" s="239" t="n"/>
      <c r="X36956" s="239" t="n"/>
    </row>
    <row r="36957" ht="14.25" customHeight="1" s="192">
      <c r="W36957" s="235" t="n"/>
      <c r="X36957" s="235" t="n"/>
    </row>
    <row r="36958" ht="14.25" customHeight="1" s="192">
      <c r="W36958" s="239" t="n"/>
      <c r="X36958" s="239" t="n"/>
    </row>
    <row r="36960" ht="14.25" customHeight="1" s="192">
      <c r="W36960" s="235" t="n"/>
      <c r="X36960" s="235" t="n"/>
    </row>
    <row r="36961" ht="15" customHeight="1" s="192" thickBot="1">
      <c r="W36961" s="239" t="n"/>
      <c r="X36961" s="239" t="n"/>
    </row>
    <row r="36962" ht="15" customHeight="1" s="192" thickBot="1">
      <c r="W36962" s="45" t="n"/>
      <c r="X36962" s="45" t="n"/>
    </row>
    <row r="36963" ht="14.25" customHeight="1" s="192">
      <c r="W36963" s="228" t="n"/>
      <c r="X36963" s="228" t="n"/>
    </row>
    <row r="36964" ht="14.25" customHeight="1" s="192">
      <c r="W36964" s="228" t="n"/>
      <c r="X36964" s="228" t="n"/>
    </row>
    <row r="36965" ht="14.25" customHeight="1" s="192">
      <c r="W36965" s="231" t="n"/>
      <c r="X36965" s="231" t="n"/>
    </row>
    <row r="36966" ht="14.25" customHeight="1" s="192">
      <c r="W36966" s="33" t="n"/>
      <c r="X36966" s="33" t="n"/>
    </row>
    <row r="36967" ht="14.25" customHeight="1" s="192">
      <c r="W36967" s="231" t="n"/>
      <c r="X36967" s="231" t="n"/>
    </row>
    <row r="36968" ht="14.25" customHeight="1" s="192">
      <c r="W36968" s="33" t="n"/>
      <c r="X36968" s="33" t="n"/>
    </row>
    <row r="36970" ht="14.25" customHeight="1" s="192">
      <c r="W36970" s="231" t="n"/>
      <c r="X36970" s="231" t="n"/>
    </row>
    <row r="36971" ht="14.25" customHeight="1" s="192">
      <c r="W36971" s="235" t="n"/>
      <c r="X36971" s="235" t="n"/>
    </row>
    <row r="36972" ht="14.25" customHeight="1" s="192">
      <c r="W36972" s="228" t="n"/>
      <c r="X36972" s="228" t="n"/>
    </row>
    <row r="36973" ht="14.25" customHeight="1" s="192">
      <c r="W36973" s="235" t="n"/>
      <c r="X36973" s="235" t="n"/>
    </row>
    <row r="36974" ht="14.25" customHeight="1" s="192">
      <c r="W36974" s="235" t="n"/>
      <c r="X36974" s="235" t="n"/>
    </row>
    <row r="36975" ht="14.25" customHeight="1" s="192">
      <c r="W36975" s="235" t="n"/>
      <c r="X36975" s="235" t="n"/>
    </row>
    <row r="36976" ht="14.25" customHeight="1" s="192">
      <c r="W36976" s="239" t="n"/>
      <c r="X36976" s="239" t="n"/>
    </row>
    <row r="36977" ht="14.25" customHeight="1" s="192">
      <c r="W36977" s="239" t="n"/>
      <c r="X36977" s="239" t="n"/>
    </row>
    <row r="36978" ht="14.25" customHeight="1" s="192">
      <c r="W36978" s="239" t="n"/>
      <c r="X36978" s="239" t="n"/>
    </row>
    <row r="36979" ht="14.25" customHeight="1" s="192">
      <c r="W36979" s="235" t="n"/>
      <c r="X36979" s="235" t="n"/>
    </row>
    <row r="36980" ht="14.25" customHeight="1" s="192">
      <c r="W36980" s="235" t="n"/>
      <c r="X36980" s="235" t="n"/>
    </row>
    <row r="36981" ht="14.25" customHeight="1" s="192">
      <c r="W36981" s="235" t="n"/>
      <c r="X36981" s="235" t="n"/>
    </row>
    <row r="36982" ht="14.25" customHeight="1" s="192">
      <c r="W36982" s="239" t="n"/>
      <c r="X36982" s="239" t="n"/>
    </row>
    <row r="36983" ht="14.25" customHeight="1" s="192">
      <c r="W36983" s="239" t="n"/>
      <c r="X36983" s="239" t="n"/>
    </row>
    <row r="36984" ht="14.25" customHeight="1" s="192">
      <c r="W36984" s="235" t="n"/>
      <c r="X36984" s="235" t="n"/>
    </row>
    <row r="36985" ht="14.25" customHeight="1" s="192">
      <c r="W36985" s="235" t="n"/>
      <c r="X36985" s="235" t="n"/>
    </row>
    <row r="36986" ht="14.25" customHeight="1" s="192">
      <c r="W36986" s="239" t="n"/>
      <c r="X36986" s="239" t="n"/>
    </row>
    <row r="36987" ht="14.25" customHeight="1" s="192">
      <c r="W36987" s="235" t="n"/>
      <c r="X36987" s="235" t="n"/>
    </row>
    <row r="36988" ht="14.25" customHeight="1" s="192">
      <c r="W36988" s="239" t="n"/>
      <c r="X36988" s="239" t="n"/>
    </row>
    <row r="36990" ht="14.25" customHeight="1" s="192">
      <c r="W36990" s="235" t="n"/>
      <c r="X36990" s="235" t="n"/>
    </row>
    <row r="36991" ht="15" customHeight="1" s="192" thickBot="1">
      <c r="W36991" s="239" t="n"/>
      <c r="X36991" s="239" t="n"/>
    </row>
    <row r="36992" ht="15" customHeight="1" s="192" thickBot="1">
      <c r="W36992" s="45" t="n"/>
      <c r="X36992" s="45" t="n"/>
    </row>
    <row r="36993" ht="14.25" customHeight="1" s="192">
      <c r="W36993" s="228" t="n"/>
      <c r="X36993" s="228" t="n"/>
    </row>
    <row r="36994" ht="14.25" customHeight="1" s="192">
      <c r="W36994" s="228" t="n"/>
      <c r="X36994" s="228" t="n"/>
    </row>
    <row r="36995" ht="14.25" customHeight="1" s="192">
      <c r="W36995" s="231" t="n"/>
      <c r="X36995" s="231" t="n"/>
    </row>
    <row r="36996" ht="14.25" customHeight="1" s="192">
      <c r="W36996" s="33" t="n"/>
      <c r="X36996" s="33" t="n"/>
    </row>
    <row r="36997" ht="14.25" customHeight="1" s="192">
      <c r="W36997" s="231" t="n"/>
      <c r="X36997" s="231" t="n"/>
    </row>
    <row r="36998" ht="14.25" customHeight="1" s="192">
      <c r="W36998" s="33" t="n"/>
      <c r="X36998" s="33" t="n"/>
    </row>
    <row r="37000" ht="14.25" customHeight="1" s="192">
      <c r="W37000" s="231" t="n"/>
      <c r="X37000" s="231" t="n"/>
    </row>
    <row r="37001" ht="14.25" customHeight="1" s="192">
      <c r="W37001" s="235" t="n"/>
      <c r="X37001" s="235" t="n"/>
    </row>
    <row r="37002" ht="14.25" customHeight="1" s="192">
      <c r="W37002" s="228" t="n"/>
      <c r="X37002" s="228" t="n"/>
    </row>
    <row r="37003" ht="14.25" customHeight="1" s="192">
      <c r="W37003" s="235" t="n"/>
      <c r="X37003" s="235" t="n"/>
    </row>
    <row r="37004" ht="14.25" customHeight="1" s="192">
      <c r="W37004" s="235" t="n"/>
      <c r="X37004" s="235" t="n"/>
    </row>
    <row r="37005" ht="14.25" customHeight="1" s="192">
      <c r="W37005" s="235" t="n"/>
      <c r="X37005" s="235" t="n"/>
    </row>
    <row r="37006" ht="14.25" customHeight="1" s="192">
      <c r="W37006" s="239" t="n"/>
      <c r="X37006" s="239" t="n"/>
    </row>
    <row r="37007" ht="14.25" customHeight="1" s="192">
      <c r="W37007" s="239" t="n"/>
      <c r="X37007" s="239" t="n"/>
    </row>
    <row r="37008" ht="14.25" customHeight="1" s="192">
      <c r="W37008" s="239" t="n"/>
      <c r="X37008" s="239" t="n"/>
    </row>
    <row r="37009" ht="14.25" customHeight="1" s="192">
      <c r="W37009" s="235" t="n"/>
      <c r="X37009" s="235" t="n"/>
    </row>
    <row r="37010" ht="14.25" customHeight="1" s="192">
      <c r="W37010" s="235" t="n"/>
      <c r="X37010" s="235" t="n"/>
    </row>
    <row r="37011" ht="14.25" customHeight="1" s="192">
      <c r="W37011" s="235" t="n"/>
      <c r="X37011" s="235" t="n"/>
    </row>
    <row r="37012" ht="14.25" customHeight="1" s="192">
      <c r="W37012" s="239" t="n"/>
      <c r="X37012" s="239" t="n"/>
    </row>
    <row r="37013" ht="14.25" customHeight="1" s="192">
      <c r="W37013" s="239" t="n"/>
      <c r="X37013" s="239" t="n"/>
    </row>
    <row r="37014" ht="14.25" customHeight="1" s="192">
      <c r="W37014" s="235" t="n"/>
      <c r="X37014" s="235" t="n"/>
    </row>
    <row r="37015" ht="14.25" customHeight="1" s="192">
      <c r="W37015" s="235" t="n"/>
      <c r="X37015" s="235" t="n"/>
    </row>
    <row r="37016" ht="14.25" customHeight="1" s="192">
      <c r="W37016" s="239" t="n"/>
      <c r="X37016" s="239" t="n"/>
    </row>
    <row r="37017" ht="14.25" customHeight="1" s="192">
      <c r="W37017" s="235" t="n"/>
      <c r="X37017" s="235" t="n"/>
    </row>
    <row r="37018" ht="14.25" customHeight="1" s="192">
      <c r="W37018" s="239" t="n"/>
      <c r="X37018" s="239" t="n"/>
    </row>
    <row r="37020" ht="14.25" customHeight="1" s="192">
      <c r="W37020" s="235" t="n"/>
      <c r="X37020" s="235" t="n"/>
    </row>
    <row r="37021" ht="15" customHeight="1" s="192" thickBot="1">
      <c r="W37021" s="239" t="n"/>
      <c r="X37021" s="239" t="n"/>
    </row>
    <row r="37022" ht="15" customHeight="1" s="192" thickBot="1">
      <c r="W37022" s="45" t="n"/>
      <c r="X37022" s="45" t="n"/>
    </row>
    <row r="37023" ht="14.25" customHeight="1" s="192">
      <c r="W37023" s="228" t="n"/>
      <c r="X37023" s="228" t="n"/>
    </row>
    <row r="37024" ht="14.25" customHeight="1" s="192">
      <c r="W37024" s="228" t="n"/>
      <c r="X37024" s="228" t="n"/>
    </row>
    <row r="37025" ht="14.25" customHeight="1" s="192">
      <c r="W37025" s="231" t="n"/>
      <c r="X37025" s="231" t="n"/>
    </row>
    <row r="37026" ht="14.25" customHeight="1" s="192">
      <c r="W37026" s="33" t="n"/>
      <c r="X37026" s="33" t="n"/>
    </row>
    <row r="37027" ht="14.25" customHeight="1" s="192">
      <c r="W37027" s="231" t="n"/>
      <c r="X37027" s="231" t="n"/>
    </row>
    <row r="37028" ht="14.25" customHeight="1" s="192">
      <c r="W37028" s="33" t="n"/>
      <c r="X37028" s="33" t="n"/>
    </row>
    <row r="37030" ht="14.25" customHeight="1" s="192">
      <c r="W37030" s="231" t="n"/>
      <c r="X37030" s="231" t="n"/>
    </row>
    <row r="37031" ht="14.25" customHeight="1" s="192">
      <c r="W37031" s="235" t="n"/>
      <c r="X37031" s="235" t="n"/>
    </row>
    <row r="37032" ht="14.25" customHeight="1" s="192">
      <c r="W37032" s="228" t="n"/>
      <c r="X37032" s="228" t="n"/>
    </row>
    <row r="37033" ht="14.25" customHeight="1" s="192">
      <c r="W37033" s="235" t="n"/>
      <c r="X37033" s="235" t="n"/>
    </row>
    <row r="37034" ht="14.25" customHeight="1" s="192">
      <c r="W37034" s="235" t="n"/>
      <c r="X37034" s="235" t="n"/>
    </row>
    <row r="37035" ht="14.25" customHeight="1" s="192">
      <c r="W37035" s="235" t="n"/>
      <c r="X37035" s="235" t="n"/>
    </row>
    <row r="37036" ht="14.25" customHeight="1" s="192">
      <c r="W37036" s="239" t="n"/>
      <c r="X37036" s="239" t="n"/>
    </row>
    <row r="37037" ht="14.25" customHeight="1" s="192">
      <c r="W37037" s="239" t="n"/>
      <c r="X37037" s="239" t="n"/>
    </row>
    <row r="37038" ht="14.25" customHeight="1" s="192">
      <c r="W37038" s="239" t="n"/>
      <c r="X37038" s="239" t="n"/>
    </row>
    <row r="37039" ht="14.25" customHeight="1" s="192">
      <c r="W37039" s="235" t="n"/>
      <c r="X37039" s="235" t="n"/>
    </row>
    <row r="37040" ht="14.25" customHeight="1" s="192">
      <c r="W37040" s="235" t="n"/>
      <c r="X37040" s="235" t="n"/>
    </row>
    <row r="37041" ht="14.25" customHeight="1" s="192">
      <c r="W37041" s="235" t="n"/>
      <c r="X37041" s="235" t="n"/>
    </row>
    <row r="37042" ht="14.25" customHeight="1" s="192">
      <c r="W37042" s="239" t="n"/>
      <c r="X37042" s="239" t="n"/>
    </row>
    <row r="37043" ht="14.25" customHeight="1" s="192">
      <c r="W37043" s="239" t="n"/>
      <c r="X37043" s="239" t="n"/>
    </row>
    <row r="37044" ht="14.25" customHeight="1" s="192">
      <c r="W37044" s="235" t="n"/>
      <c r="X37044" s="235" t="n"/>
    </row>
    <row r="37045" ht="14.25" customHeight="1" s="192">
      <c r="W37045" s="235" t="n"/>
      <c r="X37045" s="235" t="n"/>
    </row>
    <row r="37046" ht="14.25" customHeight="1" s="192">
      <c r="W37046" s="239" t="n"/>
      <c r="X37046" s="239" t="n"/>
    </row>
    <row r="37047" ht="14.25" customHeight="1" s="192">
      <c r="W37047" s="235" t="n"/>
      <c r="X37047" s="235" t="n"/>
    </row>
    <row r="37048" ht="14.25" customHeight="1" s="192">
      <c r="W37048" s="239" t="n"/>
      <c r="X37048" s="239" t="n"/>
    </row>
    <row r="37050" ht="14.25" customHeight="1" s="192">
      <c r="W37050" s="235" t="n"/>
      <c r="X37050" s="235" t="n"/>
    </row>
    <row r="37051" ht="15" customHeight="1" s="192" thickBot="1">
      <c r="W37051" s="239" t="n"/>
      <c r="X37051" s="239" t="n"/>
    </row>
    <row r="37052" ht="15" customHeight="1" s="192" thickBot="1">
      <c r="W37052" s="45" t="n"/>
      <c r="X37052" s="45" t="n"/>
    </row>
    <row r="37053" ht="14.25" customHeight="1" s="192">
      <c r="W37053" s="228" t="n"/>
      <c r="X37053" s="228" t="n"/>
    </row>
    <row r="37054" ht="14.25" customHeight="1" s="192">
      <c r="W37054" s="228" t="n"/>
      <c r="X37054" s="228" t="n"/>
    </row>
    <row r="37055" ht="14.25" customHeight="1" s="192">
      <c r="W37055" s="231" t="n"/>
      <c r="X37055" s="231" t="n"/>
    </row>
    <row r="37056" ht="14.25" customHeight="1" s="192">
      <c r="W37056" s="33" t="n"/>
      <c r="X37056" s="33" t="n"/>
    </row>
    <row r="37057" ht="14.25" customHeight="1" s="192">
      <c r="W37057" s="231" t="n"/>
      <c r="X37057" s="231" t="n"/>
    </row>
    <row r="37058" ht="14.25" customHeight="1" s="192">
      <c r="W37058" s="33" t="n"/>
      <c r="X37058" s="33" t="n"/>
    </row>
    <row r="37060" ht="14.25" customHeight="1" s="192">
      <c r="W37060" s="231" t="n"/>
      <c r="X37060" s="231" t="n"/>
    </row>
    <row r="37061" ht="14.25" customHeight="1" s="192">
      <c r="W37061" s="235" t="n"/>
      <c r="X37061" s="235" t="n"/>
    </row>
    <row r="37062" ht="14.25" customHeight="1" s="192">
      <c r="W37062" s="228" t="n"/>
      <c r="X37062" s="228" t="n"/>
    </row>
    <row r="37063" ht="14.25" customHeight="1" s="192">
      <c r="W37063" s="235" t="n"/>
      <c r="X37063" s="235" t="n"/>
    </row>
    <row r="37064" ht="14.25" customHeight="1" s="192">
      <c r="W37064" s="235" t="n"/>
      <c r="X37064" s="235" t="n"/>
    </row>
    <row r="37065" ht="14.25" customHeight="1" s="192">
      <c r="W37065" s="235" t="n"/>
      <c r="X37065" s="235" t="n"/>
    </row>
    <row r="37066" ht="14.25" customHeight="1" s="192">
      <c r="W37066" s="239" t="n"/>
      <c r="X37066" s="239" t="n"/>
    </row>
    <row r="37067" ht="14.25" customHeight="1" s="192">
      <c r="W37067" s="239" t="n"/>
      <c r="X37067" s="239" t="n"/>
    </row>
    <row r="37068" ht="14.25" customHeight="1" s="192">
      <c r="W37068" s="239" t="n"/>
      <c r="X37068" s="239" t="n"/>
    </row>
    <row r="37069" ht="14.25" customHeight="1" s="192">
      <c r="W37069" s="235" t="n"/>
      <c r="X37069" s="235" t="n"/>
    </row>
    <row r="37070" ht="14.25" customHeight="1" s="192">
      <c r="W37070" s="235" t="n"/>
      <c r="X37070" s="235" t="n"/>
    </row>
    <row r="37071" ht="14.25" customHeight="1" s="192">
      <c r="W37071" s="235" t="n"/>
      <c r="X37071" s="235" t="n"/>
    </row>
    <row r="37072" ht="14.25" customHeight="1" s="192">
      <c r="W37072" s="239" t="n"/>
      <c r="X37072" s="239" t="n"/>
    </row>
    <row r="37073" ht="14.25" customHeight="1" s="192">
      <c r="W37073" s="239" t="n"/>
      <c r="X37073" s="239" t="n"/>
    </row>
    <row r="37074" ht="14.25" customHeight="1" s="192">
      <c r="W37074" s="235" t="n"/>
      <c r="X37074" s="235" t="n"/>
    </row>
    <row r="37075" ht="14.25" customHeight="1" s="192">
      <c r="W37075" s="235" t="n"/>
      <c r="X37075" s="235" t="n"/>
    </row>
    <row r="37076" ht="14.25" customHeight="1" s="192">
      <c r="W37076" s="239" t="n"/>
      <c r="X37076" s="239" t="n"/>
    </row>
    <row r="37077" ht="14.25" customHeight="1" s="192">
      <c r="W37077" s="235" t="n"/>
      <c r="X37077" s="235" t="n"/>
    </row>
    <row r="37078" ht="14.25" customHeight="1" s="192">
      <c r="W37078" s="239" t="n"/>
      <c r="X37078" s="239" t="n"/>
    </row>
    <row r="37080" ht="14.25" customHeight="1" s="192">
      <c r="W37080" s="235" t="n"/>
      <c r="X37080" s="235" t="n"/>
    </row>
    <row r="37081" ht="15" customHeight="1" s="192" thickBot="1">
      <c r="W37081" s="239" t="n"/>
      <c r="X37081" s="239" t="n"/>
    </row>
    <row r="37082" ht="15" customHeight="1" s="192" thickBot="1">
      <c r="W37082" s="45" t="n"/>
      <c r="X37082" s="45" t="n"/>
    </row>
    <row r="37083" ht="14.25" customHeight="1" s="192">
      <c r="W37083" s="228" t="n"/>
      <c r="X37083" s="228" t="n"/>
    </row>
    <row r="37084" ht="14.25" customHeight="1" s="192">
      <c r="W37084" s="228" t="n"/>
      <c r="X37084" s="228" t="n"/>
    </row>
    <row r="37085" ht="14.25" customHeight="1" s="192">
      <c r="W37085" s="231" t="n"/>
      <c r="X37085" s="231" t="n"/>
    </row>
    <row r="37086" ht="14.25" customHeight="1" s="192">
      <c r="W37086" s="33" t="n"/>
      <c r="X37086" s="33" t="n"/>
    </row>
    <row r="37087" ht="14.25" customHeight="1" s="192">
      <c r="W37087" s="231" t="n"/>
      <c r="X37087" s="231" t="n"/>
    </row>
    <row r="37088" ht="14.25" customHeight="1" s="192">
      <c r="W37088" s="33" t="n"/>
      <c r="X37088" s="33" t="n"/>
    </row>
    <row r="37090" ht="14.25" customHeight="1" s="192">
      <c r="W37090" s="231" t="n"/>
      <c r="X37090" s="231" t="n"/>
    </row>
    <row r="37091" ht="14.25" customHeight="1" s="192">
      <c r="W37091" s="235" t="n"/>
      <c r="X37091" s="235" t="n"/>
    </row>
    <row r="37092" ht="14.25" customHeight="1" s="192">
      <c r="W37092" s="228" t="n"/>
      <c r="X37092" s="228" t="n"/>
    </row>
    <row r="37093" ht="14.25" customHeight="1" s="192">
      <c r="W37093" s="235" t="n"/>
      <c r="X37093" s="235" t="n"/>
    </row>
    <row r="37094" ht="14.25" customHeight="1" s="192">
      <c r="W37094" s="235" t="n"/>
      <c r="X37094" s="235" t="n"/>
    </row>
    <row r="37095" ht="14.25" customHeight="1" s="192">
      <c r="W37095" s="235" t="n"/>
      <c r="X37095" s="235" t="n"/>
    </row>
    <row r="37096" ht="14.25" customHeight="1" s="192">
      <c r="W37096" s="239" t="n"/>
      <c r="X37096" s="239" t="n"/>
    </row>
    <row r="37097" ht="14.25" customHeight="1" s="192">
      <c r="W37097" s="239" t="n"/>
      <c r="X37097" s="239" t="n"/>
    </row>
    <row r="37098" ht="14.25" customHeight="1" s="192">
      <c r="W37098" s="239" t="n"/>
      <c r="X37098" s="239" t="n"/>
    </row>
    <row r="37099" ht="14.25" customHeight="1" s="192">
      <c r="W37099" s="235" t="n"/>
      <c r="X37099" s="235" t="n"/>
    </row>
    <row r="37100" ht="14.25" customHeight="1" s="192">
      <c r="W37100" s="235" t="n"/>
      <c r="X37100" s="235" t="n"/>
    </row>
    <row r="37101" ht="14.25" customHeight="1" s="192">
      <c r="W37101" s="235" t="n"/>
      <c r="X37101" s="235" t="n"/>
    </row>
    <row r="37102" ht="14.25" customHeight="1" s="192">
      <c r="W37102" s="239" t="n"/>
      <c r="X37102" s="239" t="n"/>
    </row>
    <row r="37103" ht="14.25" customHeight="1" s="192">
      <c r="W37103" s="239" t="n"/>
      <c r="X37103" s="239" t="n"/>
    </row>
    <row r="37104" ht="14.25" customHeight="1" s="192">
      <c r="W37104" s="235" t="n"/>
      <c r="X37104" s="235" t="n"/>
    </row>
    <row r="37105" ht="14.25" customHeight="1" s="192">
      <c r="W37105" s="235" t="n"/>
      <c r="X37105" s="235" t="n"/>
    </row>
    <row r="37106" ht="14.25" customHeight="1" s="192">
      <c r="W37106" s="239" t="n"/>
      <c r="X37106" s="239" t="n"/>
    </row>
    <row r="37107" ht="14.25" customHeight="1" s="192">
      <c r="W37107" s="235" t="n"/>
      <c r="X37107" s="235" t="n"/>
    </row>
    <row r="37108" ht="14.25" customHeight="1" s="192">
      <c r="W37108" s="239" t="n"/>
      <c r="X37108" s="239" t="n"/>
    </row>
    <row r="37110" ht="14.25" customHeight="1" s="192">
      <c r="W37110" s="235" t="n"/>
      <c r="X37110" s="235" t="n"/>
    </row>
    <row r="37111" ht="15" customHeight="1" s="192" thickBot="1">
      <c r="W37111" s="239" t="n"/>
      <c r="X37111" s="239" t="n"/>
    </row>
    <row r="37112" ht="15" customHeight="1" s="192" thickBot="1">
      <c r="W37112" s="45" t="n"/>
      <c r="X37112" s="45" t="n"/>
    </row>
    <row r="37113" ht="14.25" customHeight="1" s="192">
      <c r="W37113" s="228" t="n"/>
      <c r="X37113" s="228" t="n"/>
    </row>
    <row r="37114" ht="14.25" customHeight="1" s="192">
      <c r="W37114" s="228" t="n"/>
      <c r="X37114" s="228" t="n"/>
    </row>
    <row r="37115" ht="14.25" customHeight="1" s="192">
      <c r="W37115" s="231" t="n"/>
      <c r="X37115" s="231" t="n"/>
    </row>
    <row r="37116" ht="14.25" customHeight="1" s="192">
      <c r="W37116" s="33" t="n"/>
      <c r="X37116" s="33" t="n"/>
    </row>
    <row r="37117" ht="14.25" customHeight="1" s="192">
      <c r="W37117" s="231" t="n"/>
      <c r="X37117" s="231" t="n"/>
    </row>
    <row r="37118" ht="14.25" customHeight="1" s="192">
      <c r="W37118" s="33" t="n"/>
      <c r="X37118" s="33" t="n"/>
    </row>
    <row r="37120" ht="14.25" customHeight="1" s="192">
      <c r="W37120" s="231" t="n"/>
      <c r="X37120" s="231" t="n"/>
    </row>
    <row r="37121" ht="14.25" customHeight="1" s="192">
      <c r="W37121" s="235" t="n"/>
      <c r="X37121" s="235" t="n"/>
    </row>
    <row r="37122" ht="14.25" customHeight="1" s="192">
      <c r="W37122" s="228" t="n"/>
      <c r="X37122" s="228" t="n"/>
    </row>
    <row r="37123" ht="14.25" customHeight="1" s="192">
      <c r="W37123" s="235" t="n"/>
      <c r="X37123" s="235" t="n"/>
    </row>
    <row r="37124" ht="14.25" customHeight="1" s="192">
      <c r="W37124" s="235" t="n"/>
      <c r="X37124" s="235" t="n"/>
    </row>
    <row r="37125" ht="14.25" customHeight="1" s="192">
      <c r="W37125" s="235" t="n"/>
      <c r="X37125" s="235" t="n"/>
    </row>
    <row r="37126" ht="14.25" customHeight="1" s="192">
      <c r="W37126" s="239" t="n"/>
      <c r="X37126" s="239" t="n"/>
    </row>
    <row r="37127" ht="14.25" customHeight="1" s="192">
      <c r="W37127" s="239" t="n"/>
      <c r="X37127" s="239" t="n"/>
    </row>
    <row r="37128" ht="14.25" customHeight="1" s="192">
      <c r="W37128" s="239" t="n"/>
      <c r="X37128" s="239" t="n"/>
    </row>
    <row r="37129" ht="14.25" customHeight="1" s="192">
      <c r="W37129" s="235" t="n"/>
      <c r="X37129" s="235" t="n"/>
    </row>
    <row r="37130" ht="14.25" customHeight="1" s="192">
      <c r="W37130" s="235" t="n"/>
      <c r="X37130" s="235" t="n"/>
    </row>
    <row r="37131" ht="14.25" customHeight="1" s="192">
      <c r="W37131" s="235" t="n"/>
      <c r="X37131" s="235" t="n"/>
    </row>
    <row r="37132" ht="14.25" customHeight="1" s="192">
      <c r="W37132" s="239" t="n"/>
      <c r="X37132" s="239" t="n"/>
    </row>
    <row r="37133" ht="14.25" customHeight="1" s="192">
      <c r="W37133" s="239" t="n"/>
      <c r="X37133" s="239" t="n"/>
    </row>
    <row r="37134" ht="14.25" customHeight="1" s="192">
      <c r="W37134" s="235" t="n"/>
      <c r="X37134" s="235" t="n"/>
    </row>
    <row r="37135" ht="14.25" customHeight="1" s="192">
      <c r="W37135" s="235" t="n"/>
      <c r="X37135" s="235" t="n"/>
    </row>
    <row r="37136" ht="14.25" customHeight="1" s="192">
      <c r="W37136" s="239" t="n"/>
      <c r="X37136" s="239" t="n"/>
    </row>
    <row r="37137" ht="14.25" customHeight="1" s="192">
      <c r="W37137" s="235" t="n"/>
      <c r="X37137" s="235" t="n"/>
    </row>
    <row r="37138" ht="14.25" customHeight="1" s="192">
      <c r="W37138" s="239" t="n"/>
      <c r="X37138" s="239" t="n"/>
    </row>
    <row r="37140" ht="14.25" customHeight="1" s="192">
      <c r="W37140" s="235" t="n"/>
      <c r="X37140" s="235" t="n"/>
    </row>
    <row r="37141" ht="15" customHeight="1" s="192" thickBot="1">
      <c r="W37141" s="239" t="n"/>
      <c r="X37141" s="239" t="n"/>
    </row>
    <row r="37142" ht="15" customHeight="1" s="192" thickBot="1">
      <c r="W37142" s="45" t="n"/>
      <c r="X37142" s="45" t="n"/>
    </row>
    <row r="37143" ht="14.25" customHeight="1" s="192">
      <c r="W37143" s="228" t="n"/>
      <c r="X37143" s="228" t="n"/>
    </row>
    <row r="37144" ht="14.25" customHeight="1" s="192">
      <c r="W37144" s="228" t="n"/>
      <c r="X37144" s="228" t="n"/>
    </row>
    <row r="37145" ht="14.25" customHeight="1" s="192">
      <c r="W37145" s="231" t="n"/>
      <c r="X37145" s="231" t="n"/>
    </row>
    <row r="37146" ht="14.25" customHeight="1" s="192">
      <c r="W37146" s="33" t="n"/>
      <c r="X37146" s="33" t="n"/>
    </row>
    <row r="37147" ht="14.25" customHeight="1" s="192">
      <c r="W37147" s="231" t="n"/>
      <c r="X37147" s="231" t="n"/>
    </row>
    <row r="37148" ht="14.25" customHeight="1" s="192">
      <c r="W37148" s="33" t="n"/>
      <c r="X37148" s="33" t="n"/>
    </row>
    <row r="37150" ht="14.25" customHeight="1" s="192">
      <c r="W37150" s="231" t="n"/>
      <c r="X37150" s="231" t="n"/>
    </row>
    <row r="37151" ht="14.25" customHeight="1" s="192">
      <c r="W37151" s="235" t="n"/>
      <c r="X37151" s="235" t="n"/>
    </row>
    <row r="37152" ht="14.25" customHeight="1" s="192">
      <c r="W37152" s="228" t="n"/>
      <c r="X37152" s="228" t="n"/>
    </row>
    <row r="37153" ht="14.25" customHeight="1" s="192">
      <c r="W37153" s="235" t="n"/>
      <c r="X37153" s="235" t="n"/>
    </row>
    <row r="37154" ht="14.25" customHeight="1" s="192">
      <c r="W37154" s="235" t="n"/>
      <c r="X37154" s="235" t="n"/>
    </row>
    <row r="37155" ht="14.25" customHeight="1" s="192">
      <c r="W37155" s="235" t="n"/>
      <c r="X37155" s="235" t="n"/>
    </row>
    <row r="37156" ht="14.25" customHeight="1" s="192">
      <c r="W37156" s="239" t="n"/>
      <c r="X37156" s="239" t="n"/>
    </row>
    <row r="37157" ht="14.25" customHeight="1" s="192">
      <c r="W37157" s="239" t="n"/>
      <c r="X37157" s="239" t="n"/>
    </row>
    <row r="37158" ht="14.25" customHeight="1" s="192">
      <c r="W37158" s="239" t="n"/>
      <c r="X37158" s="239" t="n"/>
    </row>
    <row r="37159" ht="14.25" customHeight="1" s="192">
      <c r="W37159" s="235" t="n"/>
      <c r="X37159" s="235" t="n"/>
    </row>
    <row r="37160" ht="14.25" customHeight="1" s="192">
      <c r="W37160" s="235" t="n"/>
      <c r="X37160" s="235" t="n"/>
    </row>
    <row r="37161" ht="14.25" customHeight="1" s="192">
      <c r="W37161" s="235" t="n"/>
      <c r="X37161" s="235" t="n"/>
    </row>
    <row r="37162" ht="14.25" customHeight="1" s="192">
      <c r="W37162" s="239" t="n"/>
      <c r="X37162" s="239" t="n"/>
    </row>
    <row r="37163" ht="14.25" customHeight="1" s="192">
      <c r="W37163" s="239" t="n"/>
      <c r="X37163" s="239" t="n"/>
    </row>
    <row r="37164" ht="14.25" customHeight="1" s="192">
      <c r="W37164" s="235" t="n"/>
      <c r="X37164" s="235" t="n"/>
    </row>
    <row r="37165" ht="14.25" customHeight="1" s="192">
      <c r="W37165" s="235" t="n"/>
      <c r="X37165" s="235" t="n"/>
    </row>
    <row r="37166" ht="14.25" customHeight="1" s="192">
      <c r="W37166" s="239" t="n"/>
      <c r="X37166" s="239" t="n"/>
    </row>
    <row r="37167" ht="14.25" customHeight="1" s="192">
      <c r="W37167" s="235" t="n"/>
      <c r="X37167" s="235" t="n"/>
    </row>
    <row r="37168" ht="14.25" customHeight="1" s="192">
      <c r="W37168" s="239" t="n"/>
      <c r="X37168" s="239" t="n"/>
    </row>
    <row r="37170" ht="14.25" customHeight="1" s="192">
      <c r="W37170" s="235" t="n"/>
      <c r="X37170" s="235" t="n"/>
    </row>
    <row r="37171" ht="15" customHeight="1" s="192" thickBot="1">
      <c r="W37171" s="239" t="n"/>
      <c r="X37171" s="239" t="n"/>
    </row>
    <row r="37172" ht="15" customHeight="1" s="192" thickBot="1">
      <c r="W37172" s="45" t="n"/>
      <c r="X37172" s="45" t="n"/>
    </row>
    <row r="37173" ht="14.25" customHeight="1" s="192">
      <c r="W37173" s="228" t="n"/>
      <c r="X37173" s="228" t="n"/>
    </row>
    <row r="37174" ht="14.25" customHeight="1" s="192">
      <c r="W37174" s="228" t="n"/>
      <c r="X37174" s="228" t="n"/>
    </row>
    <row r="37175" ht="14.25" customHeight="1" s="192">
      <c r="W37175" s="231" t="n"/>
      <c r="X37175" s="231" t="n"/>
    </row>
    <row r="37176" ht="14.25" customHeight="1" s="192">
      <c r="W37176" s="33" t="n"/>
      <c r="X37176" s="33" t="n"/>
    </row>
    <row r="37177" ht="14.25" customHeight="1" s="192">
      <c r="W37177" s="231" t="n"/>
      <c r="X37177" s="231" t="n"/>
    </row>
    <row r="37178" ht="14.25" customHeight="1" s="192">
      <c r="W37178" s="33" t="n"/>
      <c r="X37178" s="33" t="n"/>
    </row>
    <row r="37180" ht="14.25" customHeight="1" s="192">
      <c r="W37180" s="231" t="n"/>
      <c r="X37180" s="231" t="n"/>
    </row>
    <row r="37181" ht="14.25" customHeight="1" s="192">
      <c r="W37181" s="235" t="n"/>
      <c r="X37181" s="235" t="n"/>
    </row>
    <row r="37182" ht="14.25" customHeight="1" s="192">
      <c r="W37182" s="228" t="n"/>
      <c r="X37182" s="228" t="n"/>
    </row>
    <row r="37183" ht="14.25" customHeight="1" s="192">
      <c r="W37183" s="235" t="n"/>
      <c r="X37183" s="235" t="n"/>
    </row>
    <row r="37184" ht="14.25" customHeight="1" s="192">
      <c r="W37184" s="235" t="n"/>
      <c r="X37184" s="235" t="n"/>
    </row>
    <row r="37185" ht="14.25" customHeight="1" s="192">
      <c r="W37185" s="235" t="n"/>
      <c r="X37185" s="235" t="n"/>
    </row>
    <row r="37186" ht="14.25" customHeight="1" s="192">
      <c r="W37186" s="239" t="n"/>
      <c r="X37186" s="239" t="n"/>
    </row>
    <row r="37187" ht="14.25" customHeight="1" s="192">
      <c r="W37187" s="239" t="n"/>
      <c r="X37187" s="239" t="n"/>
    </row>
    <row r="37188" ht="14.25" customHeight="1" s="192">
      <c r="W37188" s="239" t="n"/>
      <c r="X37188" s="239" t="n"/>
    </row>
    <row r="37189" ht="14.25" customHeight="1" s="192">
      <c r="W37189" s="235" t="n"/>
      <c r="X37189" s="235" t="n"/>
    </row>
    <row r="37190" ht="14.25" customHeight="1" s="192">
      <c r="W37190" s="235" t="n"/>
      <c r="X37190" s="235" t="n"/>
    </row>
    <row r="37191" ht="14.25" customHeight="1" s="192">
      <c r="W37191" s="235" t="n"/>
      <c r="X37191" s="235" t="n"/>
    </row>
    <row r="37192" ht="14.25" customHeight="1" s="192">
      <c r="W37192" s="239" t="n"/>
      <c r="X37192" s="239" t="n"/>
    </row>
    <row r="37193" ht="14.25" customHeight="1" s="192">
      <c r="W37193" s="239" t="n"/>
      <c r="X37193" s="239" t="n"/>
    </row>
    <row r="37194" ht="14.25" customHeight="1" s="192">
      <c r="W37194" s="235" t="n"/>
      <c r="X37194" s="235" t="n"/>
    </row>
    <row r="37195" ht="14.25" customHeight="1" s="192">
      <c r="W37195" s="235" t="n"/>
      <c r="X37195" s="235" t="n"/>
    </row>
    <row r="37196" ht="14.25" customHeight="1" s="192">
      <c r="W37196" s="239" t="n"/>
      <c r="X37196" s="239" t="n"/>
    </row>
    <row r="37197" ht="14.25" customHeight="1" s="192">
      <c r="W37197" s="235" t="n"/>
      <c r="X37197" s="235" t="n"/>
    </row>
    <row r="37198" ht="14.25" customHeight="1" s="192">
      <c r="W37198" s="239" t="n"/>
      <c r="X37198" s="239" t="n"/>
    </row>
    <row r="37200" ht="14.25" customHeight="1" s="192">
      <c r="W37200" s="235" t="n"/>
      <c r="X37200" s="235" t="n"/>
    </row>
    <row r="37201" ht="15" customHeight="1" s="192" thickBot="1">
      <c r="W37201" s="239" t="n"/>
      <c r="X37201" s="239" t="n"/>
    </row>
    <row r="37202" ht="15" customHeight="1" s="192" thickBot="1">
      <c r="W37202" s="45" t="n"/>
      <c r="X37202" s="45" t="n"/>
    </row>
    <row r="37203" ht="14.25" customHeight="1" s="192">
      <c r="W37203" s="228" t="n"/>
      <c r="X37203" s="228" t="n"/>
    </row>
    <row r="37204" ht="14.25" customHeight="1" s="192">
      <c r="W37204" s="228" t="n"/>
      <c r="X37204" s="228" t="n"/>
    </row>
    <row r="37205" ht="14.25" customHeight="1" s="192">
      <c r="W37205" s="231" t="n"/>
      <c r="X37205" s="231" t="n"/>
    </row>
    <row r="37206" ht="14.25" customHeight="1" s="192">
      <c r="W37206" s="33" t="n"/>
      <c r="X37206" s="33" t="n"/>
    </row>
    <row r="37207" ht="14.25" customHeight="1" s="192">
      <c r="W37207" s="231" t="n"/>
      <c r="X37207" s="231" t="n"/>
    </row>
    <row r="37208" ht="14.25" customHeight="1" s="192">
      <c r="W37208" s="33" t="n"/>
      <c r="X37208" s="33" t="n"/>
    </row>
    <row r="37210" ht="14.25" customHeight="1" s="192">
      <c r="W37210" s="231" t="n"/>
      <c r="X37210" s="231" t="n"/>
    </row>
    <row r="37211" ht="14.25" customHeight="1" s="192">
      <c r="W37211" s="235" t="n"/>
      <c r="X37211" s="235" t="n"/>
    </row>
    <row r="37212" ht="14.25" customHeight="1" s="192">
      <c r="W37212" s="228" t="n"/>
      <c r="X37212" s="228" t="n"/>
    </row>
    <row r="37213" ht="14.25" customHeight="1" s="192">
      <c r="W37213" s="235" t="n"/>
      <c r="X37213" s="235" t="n"/>
    </row>
    <row r="37214" ht="14.25" customHeight="1" s="192">
      <c r="W37214" s="235" t="n"/>
      <c r="X37214" s="235" t="n"/>
    </row>
    <row r="37215" ht="14.25" customHeight="1" s="192">
      <c r="W37215" s="235" t="n"/>
      <c r="X37215" s="235" t="n"/>
    </row>
    <row r="37216" ht="14.25" customHeight="1" s="192">
      <c r="W37216" s="239" t="n"/>
      <c r="X37216" s="239" t="n"/>
    </row>
    <row r="37217" ht="14.25" customHeight="1" s="192">
      <c r="W37217" s="239" t="n"/>
      <c r="X37217" s="239" t="n"/>
    </row>
    <row r="37218" ht="14.25" customHeight="1" s="192">
      <c r="W37218" s="239" t="n"/>
      <c r="X37218" s="239" t="n"/>
    </row>
    <row r="37219" ht="14.25" customHeight="1" s="192">
      <c r="W37219" s="235" t="n"/>
      <c r="X37219" s="235" t="n"/>
    </row>
    <row r="37220" ht="14.25" customHeight="1" s="192">
      <c r="W37220" s="235" t="n"/>
      <c r="X37220" s="235" t="n"/>
    </row>
    <row r="37221" ht="14.25" customHeight="1" s="192">
      <c r="W37221" s="235" t="n"/>
      <c r="X37221" s="235" t="n"/>
    </row>
    <row r="37222" ht="14.25" customHeight="1" s="192">
      <c r="W37222" s="239" t="n"/>
      <c r="X37222" s="239" t="n"/>
    </row>
    <row r="37223" ht="14.25" customHeight="1" s="192">
      <c r="W37223" s="239" t="n"/>
      <c r="X37223" s="239" t="n"/>
    </row>
    <row r="37224" ht="14.25" customHeight="1" s="192">
      <c r="W37224" s="235" t="n"/>
      <c r="X37224" s="235" t="n"/>
    </row>
    <row r="37225" ht="14.25" customHeight="1" s="192">
      <c r="W37225" s="235" t="n"/>
      <c r="X37225" s="235" t="n"/>
    </row>
    <row r="37226" ht="14.25" customHeight="1" s="192">
      <c r="W37226" s="239" t="n"/>
      <c r="X37226" s="239" t="n"/>
    </row>
    <row r="37227" ht="14.25" customHeight="1" s="192">
      <c r="W37227" s="235" t="n"/>
      <c r="X37227" s="235" t="n"/>
    </row>
    <row r="37228" ht="14.25" customHeight="1" s="192">
      <c r="W37228" s="239" t="n"/>
      <c r="X37228" s="239" t="n"/>
    </row>
    <row r="37230" ht="14.25" customHeight="1" s="192">
      <c r="W37230" s="235" t="n"/>
      <c r="X37230" s="235" t="n"/>
    </row>
    <row r="37231" ht="15" customHeight="1" s="192" thickBot="1">
      <c r="W37231" s="239" t="n"/>
      <c r="X37231" s="239" t="n"/>
    </row>
    <row r="37232" ht="15" customHeight="1" s="192" thickBot="1">
      <c r="W37232" s="45" t="n"/>
      <c r="X37232" s="45" t="n"/>
    </row>
    <row r="37233" ht="14.25" customHeight="1" s="192">
      <c r="W37233" s="228" t="n"/>
      <c r="X37233" s="228" t="n"/>
    </row>
    <row r="37234" ht="14.25" customHeight="1" s="192">
      <c r="W37234" s="228" t="n"/>
      <c r="X37234" s="228" t="n"/>
    </row>
    <row r="37235" ht="14.25" customHeight="1" s="192">
      <c r="W37235" s="231" t="n"/>
      <c r="X37235" s="231" t="n"/>
    </row>
    <row r="37236" ht="14.25" customHeight="1" s="192">
      <c r="W37236" s="33" t="n"/>
      <c r="X37236" s="33" t="n"/>
    </row>
    <row r="37237" ht="14.25" customHeight="1" s="192">
      <c r="W37237" s="231" t="n"/>
      <c r="X37237" s="231" t="n"/>
    </row>
    <row r="37238" ht="14.25" customHeight="1" s="192">
      <c r="W37238" s="33" t="n"/>
      <c r="X37238" s="33" t="n"/>
    </row>
    <row r="37240" ht="14.25" customHeight="1" s="192">
      <c r="W37240" s="231" t="n"/>
      <c r="X37240" s="231" t="n"/>
    </row>
    <row r="37241" ht="14.25" customHeight="1" s="192">
      <c r="W37241" s="235" t="n"/>
      <c r="X37241" s="235" t="n"/>
    </row>
    <row r="37242" ht="14.25" customHeight="1" s="192">
      <c r="W37242" s="228" t="n"/>
      <c r="X37242" s="228" t="n"/>
    </row>
    <row r="37243" ht="14.25" customHeight="1" s="192">
      <c r="W37243" s="235" t="n"/>
      <c r="X37243" s="235" t="n"/>
    </row>
    <row r="37244" ht="14.25" customHeight="1" s="192">
      <c r="W37244" s="235" t="n"/>
      <c r="X37244" s="235" t="n"/>
    </row>
    <row r="37245" ht="14.25" customHeight="1" s="192">
      <c r="W37245" s="235" t="n"/>
      <c r="X37245" s="235" t="n"/>
    </row>
    <row r="37246" ht="14.25" customHeight="1" s="192">
      <c r="W37246" s="239" t="n"/>
      <c r="X37246" s="239" t="n"/>
    </row>
    <row r="37247" ht="14.25" customHeight="1" s="192">
      <c r="W37247" s="239" t="n"/>
      <c r="X37247" s="239" t="n"/>
    </row>
    <row r="37248" ht="14.25" customHeight="1" s="192">
      <c r="W37248" s="239" t="n"/>
      <c r="X37248" s="239" t="n"/>
    </row>
    <row r="37249" ht="14.25" customHeight="1" s="192">
      <c r="W37249" s="235" t="n"/>
      <c r="X37249" s="235" t="n"/>
    </row>
    <row r="37250" ht="14.25" customHeight="1" s="192">
      <c r="W37250" s="235" t="n"/>
      <c r="X37250" s="235" t="n"/>
    </row>
    <row r="37251" ht="14.25" customHeight="1" s="192">
      <c r="W37251" s="235" t="n"/>
      <c r="X37251" s="235" t="n"/>
    </row>
    <row r="37252" ht="14.25" customHeight="1" s="192">
      <c r="W37252" s="239" t="n"/>
      <c r="X37252" s="239" t="n"/>
    </row>
    <row r="37253" ht="14.25" customHeight="1" s="192">
      <c r="W37253" s="239" t="n"/>
      <c r="X37253" s="239" t="n"/>
    </row>
    <row r="37254" ht="14.25" customHeight="1" s="192">
      <c r="W37254" s="235" t="n"/>
      <c r="X37254" s="235" t="n"/>
    </row>
    <row r="37255" ht="14.25" customHeight="1" s="192">
      <c r="W37255" s="235" t="n"/>
      <c r="X37255" s="235" t="n"/>
    </row>
    <row r="37256" ht="14.25" customHeight="1" s="192">
      <c r="W37256" s="239" t="n"/>
      <c r="X37256" s="239" t="n"/>
    </row>
    <row r="37257" ht="14.25" customHeight="1" s="192">
      <c r="W37257" s="235" t="n"/>
      <c r="X37257" s="235" t="n"/>
    </row>
    <row r="37258" ht="14.25" customHeight="1" s="192">
      <c r="W37258" s="239" t="n"/>
      <c r="X37258" s="239" t="n"/>
    </row>
    <row r="37260" ht="14.25" customHeight="1" s="192">
      <c r="W37260" s="235" t="n"/>
      <c r="X37260" s="235" t="n"/>
    </row>
    <row r="37261" ht="15" customHeight="1" s="192" thickBot="1">
      <c r="W37261" s="239" t="n"/>
      <c r="X37261" s="239" t="n"/>
    </row>
    <row r="37262" ht="15" customHeight="1" s="192" thickBot="1">
      <c r="W37262" s="45" t="n"/>
      <c r="X37262" s="45" t="n"/>
    </row>
    <row r="37263" ht="14.25" customHeight="1" s="192">
      <c r="W37263" s="228" t="n"/>
      <c r="X37263" s="228" t="n"/>
    </row>
    <row r="37264" ht="14.25" customHeight="1" s="192">
      <c r="W37264" s="228" t="n"/>
      <c r="X37264" s="228" t="n"/>
    </row>
    <row r="37265" ht="14.25" customHeight="1" s="192">
      <c r="W37265" s="231" t="n"/>
      <c r="X37265" s="231" t="n"/>
    </row>
    <row r="37266" ht="14.25" customHeight="1" s="192">
      <c r="W37266" s="33" t="n"/>
      <c r="X37266" s="33" t="n"/>
    </row>
    <row r="37267" ht="14.25" customHeight="1" s="192">
      <c r="W37267" s="231" t="n"/>
      <c r="X37267" s="231" t="n"/>
    </row>
    <row r="37268" ht="14.25" customHeight="1" s="192">
      <c r="W37268" s="33" t="n"/>
      <c r="X37268" s="33" t="n"/>
    </row>
    <row r="37270" ht="14.25" customHeight="1" s="192">
      <c r="W37270" s="231" t="n"/>
      <c r="X37270" s="231" t="n"/>
    </row>
    <row r="37271" ht="14.25" customHeight="1" s="192">
      <c r="W37271" s="235" t="n"/>
      <c r="X37271" s="235" t="n"/>
    </row>
    <row r="37272" ht="14.25" customHeight="1" s="192">
      <c r="W37272" s="228" t="n"/>
      <c r="X37272" s="228" t="n"/>
    </row>
    <row r="37273" ht="14.25" customHeight="1" s="192">
      <c r="W37273" s="235" t="n"/>
      <c r="X37273" s="235" t="n"/>
    </row>
    <row r="37274" ht="14.25" customHeight="1" s="192">
      <c r="W37274" s="235" t="n"/>
      <c r="X37274" s="235" t="n"/>
    </row>
    <row r="37275" ht="14.25" customHeight="1" s="192">
      <c r="W37275" s="235" t="n"/>
      <c r="X37275" s="235" t="n"/>
    </row>
    <row r="37276" ht="14.25" customHeight="1" s="192">
      <c r="W37276" s="239" t="n"/>
      <c r="X37276" s="239" t="n"/>
    </row>
    <row r="37277" ht="14.25" customHeight="1" s="192">
      <c r="W37277" s="239" t="n"/>
      <c r="X37277" s="239" t="n"/>
    </row>
    <row r="37278" ht="14.25" customHeight="1" s="192">
      <c r="W37278" s="239" t="n"/>
      <c r="X37278" s="239" t="n"/>
    </row>
    <row r="37279" ht="14.25" customHeight="1" s="192">
      <c r="W37279" s="235" t="n"/>
      <c r="X37279" s="235" t="n"/>
    </row>
    <row r="37280" ht="14.25" customHeight="1" s="192">
      <c r="W37280" s="235" t="n"/>
      <c r="X37280" s="235" t="n"/>
    </row>
    <row r="37281" ht="14.25" customHeight="1" s="192">
      <c r="W37281" s="235" t="n"/>
      <c r="X37281" s="235" t="n"/>
    </row>
    <row r="37282" ht="14.25" customHeight="1" s="192">
      <c r="W37282" s="239" t="n"/>
      <c r="X37282" s="239" t="n"/>
    </row>
    <row r="37283" ht="14.25" customHeight="1" s="192">
      <c r="W37283" s="239" t="n"/>
      <c r="X37283" s="239" t="n"/>
    </row>
    <row r="37284" ht="14.25" customHeight="1" s="192">
      <c r="W37284" s="235" t="n"/>
      <c r="X37284" s="235" t="n"/>
    </row>
    <row r="37285" ht="14.25" customHeight="1" s="192">
      <c r="W37285" s="235" t="n"/>
      <c r="X37285" s="235" t="n"/>
    </row>
    <row r="37286" ht="14.25" customHeight="1" s="192">
      <c r="W37286" s="239" t="n"/>
      <c r="X37286" s="239" t="n"/>
    </row>
    <row r="37287" ht="14.25" customHeight="1" s="192">
      <c r="W37287" s="235" t="n"/>
      <c r="X37287" s="235" t="n"/>
    </row>
    <row r="37288" ht="14.25" customHeight="1" s="192">
      <c r="W37288" s="239" t="n"/>
      <c r="X37288" s="239" t="n"/>
    </row>
    <row r="37290" ht="14.25" customHeight="1" s="192">
      <c r="W37290" s="235" t="n"/>
      <c r="X37290" s="235" t="n"/>
    </row>
    <row r="37291" ht="15" customHeight="1" s="192" thickBot="1">
      <c r="W37291" s="239" t="n"/>
      <c r="X37291" s="239" t="n"/>
    </row>
    <row r="37292" ht="15" customHeight="1" s="192" thickBot="1">
      <c r="W37292" s="45" t="n"/>
      <c r="X37292" s="45" t="n"/>
    </row>
    <row r="37293" ht="14.25" customHeight="1" s="192">
      <c r="W37293" s="228" t="n"/>
      <c r="X37293" s="228" t="n"/>
    </row>
    <row r="37294" ht="14.25" customHeight="1" s="192">
      <c r="W37294" s="228" t="n"/>
      <c r="X37294" s="228" t="n"/>
    </row>
    <row r="37295" ht="14.25" customHeight="1" s="192">
      <c r="W37295" s="231" t="n"/>
      <c r="X37295" s="231" t="n"/>
    </row>
    <row r="37296" ht="14.25" customHeight="1" s="192">
      <c r="W37296" s="33" t="n"/>
      <c r="X37296" s="33" t="n"/>
    </row>
    <row r="37297" ht="14.25" customHeight="1" s="192">
      <c r="W37297" s="231" t="n"/>
      <c r="X37297" s="231" t="n"/>
    </row>
    <row r="37298" ht="14.25" customHeight="1" s="192">
      <c r="W37298" s="33" t="n"/>
      <c r="X37298" s="33" t="n"/>
    </row>
    <row r="37300" ht="14.25" customHeight="1" s="192">
      <c r="W37300" s="231" t="n"/>
      <c r="X37300" s="231" t="n"/>
    </row>
    <row r="37301" ht="14.25" customHeight="1" s="192">
      <c r="W37301" s="235" t="n"/>
      <c r="X37301" s="235" t="n"/>
    </row>
    <row r="37302" ht="14.25" customHeight="1" s="192">
      <c r="W37302" s="228" t="n"/>
      <c r="X37302" s="228" t="n"/>
    </row>
    <row r="37303" ht="14.25" customHeight="1" s="192">
      <c r="W37303" s="235" t="n"/>
      <c r="X37303" s="235" t="n"/>
    </row>
    <row r="37304" ht="14.25" customHeight="1" s="192">
      <c r="W37304" s="235" t="n"/>
      <c r="X37304" s="235" t="n"/>
    </row>
    <row r="37305" ht="14.25" customHeight="1" s="192">
      <c r="W37305" s="235" t="n"/>
      <c r="X37305" s="235" t="n"/>
    </row>
    <row r="37306" ht="14.25" customHeight="1" s="192">
      <c r="W37306" s="239" t="n"/>
      <c r="X37306" s="239" t="n"/>
    </row>
    <row r="37307" ht="14.25" customHeight="1" s="192">
      <c r="W37307" s="239" t="n"/>
      <c r="X37307" s="239" t="n"/>
    </row>
    <row r="37308" ht="14.25" customHeight="1" s="192">
      <c r="W37308" s="239" t="n"/>
      <c r="X37308" s="239" t="n"/>
    </row>
    <row r="37309" ht="14.25" customHeight="1" s="192">
      <c r="W37309" s="235" t="n"/>
      <c r="X37309" s="235" t="n"/>
    </row>
    <row r="37310" ht="14.25" customHeight="1" s="192">
      <c r="W37310" s="235" t="n"/>
      <c r="X37310" s="235" t="n"/>
    </row>
    <row r="37311" ht="14.25" customHeight="1" s="192">
      <c r="W37311" s="235" t="n"/>
      <c r="X37311" s="235" t="n"/>
    </row>
    <row r="37312" ht="14.25" customHeight="1" s="192">
      <c r="W37312" s="239" t="n"/>
      <c r="X37312" s="239" t="n"/>
    </row>
    <row r="37313" ht="14.25" customHeight="1" s="192">
      <c r="W37313" s="239" t="n"/>
      <c r="X37313" s="239" t="n"/>
    </row>
    <row r="37314" ht="14.25" customHeight="1" s="192">
      <c r="W37314" s="235" t="n"/>
      <c r="X37314" s="235" t="n"/>
    </row>
    <row r="37315" ht="14.25" customHeight="1" s="192">
      <c r="W37315" s="235" t="n"/>
      <c r="X37315" s="235" t="n"/>
    </row>
    <row r="37316" ht="14.25" customHeight="1" s="192">
      <c r="W37316" s="239" t="n"/>
      <c r="X37316" s="239" t="n"/>
    </row>
    <row r="37317" ht="14.25" customHeight="1" s="192">
      <c r="W37317" s="235" t="n"/>
      <c r="X37317" s="235" t="n"/>
    </row>
    <row r="37318" ht="14.25" customHeight="1" s="192">
      <c r="W37318" s="239" t="n"/>
      <c r="X37318" s="239" t="n"/>
    </row>
    <row r="37320" ht="14.25" customHeight="1" s="192">
      <c r="W37320" s="235" t="n"/>
      <c r="X37320" s="235" t="n"/>
    </row>
    <row r="37321" ht="15" customHeight="1" s="192" thickBot="1">
      <c r="W37321" s="239" t="n"/>
      <c r="X37321" s="239" t="n"/>
    </row>
    <row r="37322" ht="15" customHeight="1" s="192" thickBot="1">
      <c r="W37322" s="45" t="n"/>
      <c r="X37322" s="45" t="n"/>
    </row>
    <row r="37323" ht="14.25" customHeight="1" s="192">
      <c r="W37323" s="228" t="n"/>
      <c r="X37323" s="228" t="n"/>
    </row>
    <row r="37324" ht="14.25" customHeight="1" s="192">
      <c r="W37324" s="228" t="n"/>
      <c r="X37324" s="228" t="n"/>
    </row>
    <row r="37325" ht="14.25" customHeight="1" s="192">
      <c r="W37325" s="231" t="n"/>
      <c r="X37325" s="231" t="n"/>
    </row>
    <row r="37326" ht="14.25" customHeight="1" s="192">
      <c r="W37326" s="33" t="n"/>
      <c r="X37326" s="33" t="n"/>
    </row>
    <row r="37327" ht="14.25" customHeight="1" s="192">
      <c r="W37327" s="231" t="n"/>
      <c r="X37327" s="231" t="n"/>
    </row>
    <row r="37328" ht="14.25" customHeight="1" s="192">
      <c r="W37328" s="33" t="n"/>
      <c r="X37328" s="33" t="n"/>
    </row>
    <row r="37330" ht="14.25" customHeight="1" s="192">
      <c r="W37330" s="231" t="n"/>
      <c r="X37330" s="231" t="n"/>
    </row>
    <row r="37331" ht="14.25" customHeight="1" s="192">
      <c r="W37331" s="235" t="n"/>
      <c r="X37331" s="235" t="n"/>
    </row>
    <row r="37332" ht="14.25" customHeight="1" s="192">
      <c r="W37332" s="228" t="n"/>
      <c r="X37332" s="228" t="n"/>
    </row>
    <row r="37333" ht="14.25" customHeight="1" s="192">
      <c r="W37333" s="235" t="n"/>
      <c r="X37333" s="235" t="n"/>
    </row>
    <row r="37334" ht="14.25" customHeight="1" s="192">
      <c r="W37334" s="235" t="n"/>
      <c r="X37334" s="235" t="n"/>
    </row>
    <row r="37335" ht="14.25" customHeight="1" s="192">
      <c r="W37335" s="235" t="n"/>
      <c r="X37335" s="235" t="n"/>
    </row>
    <row r="37336" ht="14.25" customHeight="1" s="192">
      <c r="W37336" s="239" t="n"/>
      <c r="X37336" s="239" t="n"/>
    </row>
    <row r="37337" ht="14.25" customHeight="1" s="192">
      <c r="W37337" s="239" t="n"/>
      <c r="X37337" s="239" t="n"/>
    </row>
    <row r="37338" ht="14.25" customHeight="1" s="192">
      <c r="W37338" s="239" t="n"/>
      <c r="X37338" s="239" t="n"/>
    </row>
    <row r="37339" ht="14.25" customHeight="1" s="192">
      <c r="W37339" s="235" t="n"/>
      <c r="X37339" s="235" t="n"/>
    </row>
    <row r="37340" ht="14.25" customHeight="1" s="192">
      <c r="W37340" s="235" t="n"/>
      <c r="X37340" s="235" t="n"/>
    </row>
    <row r="37341" ht="14.25" customHeight="1" s="192">
      <c r="W37341" s="235" t="n"/>
      <c r="X37341" s="235" t="n"/>
    </row>
    <row r="37342" ht="14.25" customHeight="1" s="192">
      <c r="W37342" s="239" t="n"/>
      <c r="X37342" s="239" t="n"/>
    </row>
    <row r="37343" ht="14.25" customHeight="1" s="192">
      <c r="W37343" s="239" t="n"/>
      <c r="X37343" s="239" t="n"/>
    </row>
    <row r="37344" ht="14.25" customHeight="1" s="192">
      <c r="W37344" s="235" t="n"/>
      <c r="X37344" s="235" t="n"/>
    </row>
    <row r="37345" ht="14.25" customHeight="1" s="192">
      <c r="W37345" s="235" t="n"/>
      <c r="X37345" s="235" t="n"/>
    </row>
    <row r="37346" ht="14.25" customHeight="1" s="192">
      <c r="W37346" s="239" t="n"/>
      <c r="X37346" s="239" t="n"/>
    </row>
    <row r="37347" ht="14.25" customHeight="1" s="192">
      <c r="W37347" s="235" t="n"/>
      <c r="X37347" s="235" t="n"/>
    </row>
    <row r="37348" ht="14.25" customHeight="1" s="192">
      <c r="W37348" s="239" t="n"/>
      <c r="X37348" s="239" t="n"/>
    </row>
    <row r="37350" ht="14.25" customHeight="1" s="192">
      <c r="W37350" s="235" t="n"/>
      <c r="X37350" s="235" t="n"/>
    </row>
    <row r="37351" ht="15" customHeight="1" s="192" thickBot="1">
      <c r="W37351" s="239" t="n"/>
      <c r="X37351" s="239" t="n"/>
    </row>
    <row r="37352" ht="15" customHeight="1" s="192" thickBot="1">
      <c r="W37352" s="45" t="n"/>
      <c r="X37352" s="45" t="n"/>
    </row>
    <row r="37353" ht="14.25" customHeight="1" s="192">
      <c r="W37353" s="228" t="n"/>
      <c r="X37353" s="228" t="n"/>
    </row>
    <row r="37354" ht="14.25" customHeight="1" s="192">
      <c r="W37354" s="228" t="n"/>
      <c r="X37354" s="228" t="n"/>
    </row>
    <row r="37355" ht="14.25" customHeight="1" s="192">
      <c r="W37355" s="231" t="n"/>
      <c r="X37355" s="231" t="n"/>
    </row>
    <row r="37356" ht="14.25" customHeight="1" s="192">
      <c r="W37356" s="33" t="n"/>
      <c r="X37356" s="33" t="n"/>
    </row>
    <row r="37357" ht="14.25" customHeight="1" s="192">
      <c r="W37357" s="231" t="n"/>
      <c r="X37357" s="231" t="n"/>
    </row>
    <row r="37358" ht="14.25" customHeight="1" s="192">
      <c r="W37358" s="33" t="n"/>
      <c r="X37358" s="33" t="n"/>
    </row>
    <row r="37360" ht="14.25" customHeight="1" s="192">
      <c r="W37360" s="231" t="n"/>
      <c r="X37360" s="231" t="n"/>
    </row>
    <row r="37361" ht="14.25" customHeight="1" s="192">
      <c r="W37361" s="235" t="n"/>
      <c r="X37361" s="235" t="n"/>
    </row>
    <row r="37362" ht="14.25" customHeight="1" s="192">
      <c r="W37362" s="228" t="n"/>
      <c r="X37362" s="228" t="n"/>
    </row>
    <row r="37363" ht="14.25" customHeight="1" s="192">
      <c r="W37363" s="235" t="n"/>
      <c r="X37363" s="235" t="n"/>
    </row>
    <row r="37364" ht="14.25" customHeight="1" s="192">
      <c r="W37364" s="235" t="n"/>
      <c r="X37364" s="235" t="n"/>
    </row>
    <row r="37365" ht="14.25" customHeight="1" s="192">
      <c r="W37365" s="235" t="n"/>
      <c r="X37365" s="235" t="n"/>
    </row>
    <row r="37366" ht="14.25" customHeight="1" s="192">
      <c r="W37366" s="239" t="n"/>
      <c r="X37366" s="239" t="n"/>
    </row>
    <row r="37367" ht="14.25" customHeight="1" s="192">
      <c r="W37367" s="239" t="n"/>
      <c r="X37367" s="239" t="n"/>
    </row>
    <row r="37368" ht="14.25" customHeight="1" s="192">
      <c r="W37368" s="239" t="n"/>
      <c r="X37368" s="239" t="n"/>
    </row>
    <row r="37369" ht="14.25" customHeight="1" s="192">
      <c r="W37369" s="235" t="n"/>
      <c r="X37369" s="235" t="n"/>
    </row>
    <row r="37370" ht="14.25" customHeight="1" s="192">
      <c r="W37370" s="235" t="n"/>
      <c r="X37370" s="235" t="n"/>
    </row>
    <row r="37371" ht="14.25" customHeight="1" s="192">
      <c r="W37371" s="235" t="n"/>
      <c r="X37371" s="235" t="n"/>
    </row>
    <row r="37372" ht="14.25" customHeight="1" s="192">
      <c r="W37372" s="239" t="n"/>
      <c r="X37372" s="239" t="n"/>
    </row>
    <row r="37373" ht="14.25" customHeight="1" s="192">
      <c r="W37373" s="239" t="n"/>
      <c r="X37373" s="239" t="n"/>
    </row>
    <row r="37374" ht="14.25" customHeight="1" s="192">
      <c r="W37374" s="235" t="n"/>
      <c r="X37374" s="235" t="n"/>
    </row>
    <row r="37375" ht="14.25" customHeight="1" s="192">
      <c r="W37375" s="235" t="n"/>
      <c r="X37375" s="235" t="n"/>
    </row>
    <row r="37376" ht="14.25" customHeight="1" s="192">
      <c r="W37376" s="239" t="n"/>
      <c r="X37376" s="239" t="n"/>
    </row>
    <row r="37377" ht="14.25" customHeight="1" s="192">
      <c r="W37377" s="235" t="n"/>
      <c r="X37377" s="235" t="n"/>
    </row>
    <row r="37378" ht="14.25" customHeight="1" s="192">
      <c r="W37378" s="239" t="n"/>
      <c r="X37378" s="239" t="n"/>
    </row>
    <row r="37380" ht="14.25" customHeight="1" s="192">
      <c r="W37380" s="235" t="n"/>
      <c r="X37380" s="235" t="n"/>
    </row>
    <row r="37381" ht="15" customHeight="1" s="192" thickBot="1">
      <c r="W37381" s="239" t="n"/>
      <c r="X37381" s="239" t="n"/>
    </row>
    <row r="37382" ht="15" customHeight="1" s="192" thickBot="1">
      <c r="W37382" s="45" t="n"/>
      <c r="X37382" s="45" t="n"/>
    </row>
    <row r="37383" ht="14.25" customHeight="1" s="192">
      <c r="W37383" s="228" t="n"/>
      <c r="X37383" s="228" t="n"/>
    </row>
    <row r="37384" ht="14.25" customHeight="1" s="192">
      <c r="W37384" s="228" t="n"/>
      <c r="X37384" s="228" t="n"/>
    </row>
    <row r="37385" ht="14.25" customHeight="1" s="192">
      <c r="W37385" s="231" t="n"/>
      <c r="X37385" s="231" t="n"/>
    </row>
    <row r="37386" ht="14.25" customHeight="1" s="192">
      <c r="W37386" s="33" t="n"/>
      <c r="X37386" s="33" t="n"/>
    </row>
    <row r="37387" ht="14.25" customHeight="1" s="192">
      <c r="W37387" s="231" t="n"/>
      <c r="X37387" s="231" t="n"/>
    </row>
    <row r="37388" ht="14.25" customHeight="1" s="192">
      <c r="W37388" s="33" t="n"/>
      <c r="X37388" s="33" t="n"/>
    </row>
    <row r="37390" ht="14.25" customHeight="1" s="192">
      <c r="W37390" s="231" t="n"/>
      <c r="X37390" s="231" t="n"/>
    </row>
    <row r="37391" ht="14.25" customHeight="1" s="192">
      <c r="W37391" s="235" t="n"/>
      <c r="X37391" s="235" t="n"/>
    </row>
    <row r="37392" ht="14.25" customHeight="1" s="192">
      <c r="W37392" s="228" t="n"/>
      <c r="X37392" s="228" t="n"/>
    </row>
    <row r="37393" ht="14.25" customHeight="1" s="192">
      <c r="W37393" s="235" t="n"/>
      <c r="X37393" s="235" t="n"/>
    </row>
    <row r="37394" ht="14.25" customHeight="1" s="192">
      <c r="W37394" s="235" t="n"/>
      <c r="X37394" s="235" t="n"/>
    </row>
    <row r="37395" ht="14.25" customHeight="1" s="192">
      <c r="W37395" s="235" t="n"/>
      <c r="X37395" s="235" t="n"/>
    </row>
    <row r="37396" ht="14.25" customHeight="1" s="192">
      <c r="W37396" s="239" t="n"/>
      <c r="X37396" s="239" t="n"/>
    </row>
    <row r="37397" ht="14.25" customHeight="1" s="192">
      <c r="W37397" s="239" t="n"/>
      <c r="X37397" s="239" t="n"/>
    </row>
    <row r="37398" ht="14.25" customHeight="1" s="192">
      <c r="W37398" s="239" t="n"/>
      <c r="X37398" s="239" t="n"/>
    </row>
    <row r="37399" ht="14.25" customHeight="1" s="192">
      <c r="W37399" s="235" t="n"/>
      <c r="X37399" s="235" t="n"/>
    </row>
    <row r="37400" ht="14.25" customHeight="1" s="192">
      <c r="W37400" s="235" t="n"/>
      <c r="X37400" s="235" t="n"/>
    </row>
    <row r="37401" ht="14.25" customHeight="1" s="192">
      <c r="W37401" s="235" t="n"/>
      <c r="X37401" s="235" t="n"/>
    </row>
    <row r="37402" ht="14.25" customHeight="1" s="192">
      <c r="W37402" s="239" t="n"/>
      <c r="X37402" s="239" t="n"/>
    </row>
    <row r="37403" ht="14.25" customHeight="1" s="192">
      <c r="W37403" s="239" t="n"/>
      <c r="X37403" s="239" t="n"/>
    </row>
    <row r="37404" ht="14.25" customHeight="1" s="192">
      <c r="W37404" s="235" t="n"/>
      <c r="X37404" s="235" t="n"/>
    </row>
    <row r="37405" ht="14.25" customHeight="1" s="192">
      <c r="W37405" s="235" t="n"/>
      <c r="X37405" s="235" t="n"/>
    </row>
    <row r="37406" ht="14.25" customHeight="1" s="192">
      <c r="W37406" s="239" t="n"/>
      <c r="X37406" s="239" t="n"/>
    </row>
    <row r="37407" ht="14.25" customHeight="1" s="192">
      <c r="W37407" s="235" t="n"/>
      <c r="X37407" s="235" t="n"/>
    </row>
    <row r="37408" ht="14.25" customHeight="1" s="192">
      <c r="W37408" s="239" t="n"/>
      <c r="X37408" s="239" t="n"/>
    </row>
    <row r="37410" ht="14.25" customHeight="1" s="192">
      <c r="W37410" s="235" t="n"/>
      <c r="X37410" s="235" t="n"/>
    </row>
    <row r="37411" ht="15" customHeight="1" s="192" thickBot="1">
      <c r="W37411" s="239" t="n"/>
      <c r="X37411" s="239" t="n"/>
    </row>
    <row r="37412" ht="15" customHeight="1" s="192" thickBot="1">
      <c r="W37412" s="45" t="n"/>
      <c r="X37412" s="45" t="n"/>
    </row>
    <row r="37413" ht="14.25" customHeight="1" s="192">
      <c r="W37413" s="228" t="n"/>
      <c r="X37413" s="228" t="n"/>
    </row>
    <row r="37414" ht="14.25" customHeight="1" s="192">
      <c r="W37414" s="228" t="n"/>
      <c r="X37414" s="228" t="n"/>
    </row>
    <row r="37415" ht="14.25" customHeight="1" s="192">
      <c r="W37415" s="231" t="n"/>
      <c r="X37415" s="231" t="n"/>
    </row>
    <row r="37416" ht="14.25" customHeight="1" s="192">
      <c r="W37416" s="33" t="n"/>
      <c r="X37416" s="33" t="n"/>
    </row>
    <row r="37417" ht="14.25" customHeight="1" s="192">
      <c r="W37417" s="231" t="n"/>
      <c r="X37417" s="231" t="n"/>
    </row>
    <row r="37418" ht="14.25" customHeight="1" s="192">
      <c r="W37418" s="33" t="n"/>
      <c r="X37418" s="33" t="n"/>
    </row>
    <row r="37420" ht="14.25" customHeight="1" s="192">
      <c r="W37420" s="231" t="n"/>
      <c r="X37420" s="231" t="n"/>
    </row>
    <row r="37421" ht="14.25" customHeight="1" s="192">
      <c r="W37421" s="235" t="n"/>
      <c r="X37421" s="235" t="n"/>
    </row>
    <row r="37422" ht="14.25" customHeight="1" s="192">
      <c r="W37422" s="228" t="n"/>
      <c r="X37422" s="228" t="n"/>
    </row>
    <row r="37423" ht="14.25" customHeight="1" s="192">
      <c r="W37423" s="235" t="n"/>
      <c r="X37423" s="235" t="n"/>
    </row>
    <row r="37424" ht="14.25" customHeight="1" s="192">
      <c r="W37424" s="235" t="n"/>
      <c r="X37424" s="235" t="n"/>
    </row>
    <row r="37425" ht="14.25" customHeight="1" s="192">
      <c r="W37425" s="235" t="n"/>
      <c r="X37425" s="235" t="n"/>
    </row>
    <row r="37426" ht="14.25" customHeight="1" s="192">
      <c r="W37426" s="239" t="n"/>
      <c r="X37426" s="239" t="n"/>
    </row>
    <row r="37427" ht="14.25" customHeight="1" s="192">
      <c r="W37427" s="239" t="n"/>
      <c r="X37427" s="239" t="n"/>
    </row>
    <row r="37428" ht="14.25" customHeight="1" s="192">
      <c r="W37428" s="239" t="n"/>
      <c r="X37428" s="239" t="n"/>
    </row>
    <row r="37429" ht="14.25" customHeight="1" s="192">
      <c r="W37429" s="235" t="n"/>
      <c r="X37429" s="235" t="n"/>
    </row>
    <row r="37430" ht="14.25" customHeight="1" s="192">
      <c r="W37430" s="235" t="n"/>
      <c r="X37430" s="235" t="n"/>
    </row>
    <row r="37431" ht="14.25" customHeight="1" s="192">
      <c r="W37431" s="235" t="n"/>
      <c r="X37431" s="235" t="n"/>
    </row>
    <row r="37432" ht="14.25" customHeight="1" s="192">
      <c r="W37432" s="239" t="n"/>
      <c r="X37432" s="239" t="n"/>
    </row>
    <row r="37433" ht="14.25" customHeight="1" s="192">
      <c r="W37433" s="239" t="n"/>
      <c r="X37433" s="239" t="n"/>
    </row>
    <row r="37434" ht="14.25" customHeight="1" s="192">
      <c r="W37434" s="235" t="n"/>
      <c r="X37434" s="235" t="n"/>
    </row>
    <row r="37435" ht="14.25" customHeight="1" s="192">
      <c r="W37435" s="235" t="n"/>
      <c r="X37435" s="235" t="n"/>
    </row>
    <row r="37436" ht="14.25" customHeight="1" s="192">
      <c r="W37436" s="239" t="n"/>
      <c r="X37436" s="239" t="n"/>
    </row>
    <row r="37437" ht="14.25" customHeight="1" s="192">
      <c r="W37437" s="235" t="n"/>
      <c r="X37437" s="235" t="n"/>
    </row>
    <row r="37438" ht="14.25" customHeight="1" s="192">
      <c r="W37438" s="239" t="n"/>
      <c r="X37438" s="239" t="n"/>
    </row>
    <row r="37440" ht="14.25" customHeight="1" s="192">
      <c r="W37440" s="235" t="n"/>
      <c r="X37440" s="235" t="n"/>
    </row>
    <row r="37441" ht="15" customHeight="1" s="192" thickBot="1">
      <c r="W37441" s="239" t="n"/>
      <c r="X37441" s="239" t="n"/>
    </row>
    <row r="37442" ht="15" customHeight="1" s="192" thickBot="1">
      <c r="W37442" s="45" t="n"/>
      <c r="X37442" s="45" t="n"/>
    </row>
    <row r="37443" ht="14.25" customHeight="1" s="192">
      <c r="W37443" s="228" t="n"/>
      <c r="X37443" s="228" t="n"/>
    </row>
    <row r="37444" ht="14.25" customHeight="1" s="192">
      <c r="W37444" s="228" t="n"/>
      <c r="X37444" s="228" t="n"/>
    </row>
    <row r="37445" ht="14.25" customHeight="1" s="192">
      <c r="W37445" s="231" t="n"/>
      <c r="X37445" s="231" t="n"/>
    </row>
    <row r="37446" ht="14.25" customHeight="1" s="192">
      <c r="W37446" s="33" t="n"/>
      <c r="X37446" s="33" t="n"/>
    </row>
    <row r="37447" ht="14.25" customHeight="1" s="192">
      <c r="W37447" s="231" t="n"/>
      <c r="X37447" s="231" t="n"/>
    </row>
    <row r="37448" ht="14.25" customHeight="1" s="192">
      <c r="W37448" s="33" t="n"/>
      <c r="X37448" s="33" t="n"/>
    </row>
    <row r="37450" ht="14.25" customHeight="1" s="192">
      <c r="W37450" s="231" t="n"/>
      <c r="X37450" s="231" t="n"/>
    </row>
    <row r="37451" ht="14.25" customHeight="1" s="192">
      <c r="W37451" s="235" t="n"/>
      <c r="X37451" s="235" t="n"/>
    </row>
    <row r="37452" ht="14.25" customHeight="1" s="192">
      <c r="W37452" s="228" t="n"/>
      <c r="X37452" s="228" t="n"/>
    </row>
    <row r="37453" ht="14.25" customHeight="1" s="192">
      <c r="W37453" s="235" t="n"/>
      <c r="X37453" s="235" t="n"/>
    </row>
    <row r="37454" ht="14.25" customHeight="1" s="192">
      <c r="W37454" s="235" t="n"/>
      <c r="X37454" s="235" t="n"/>
    </row>
    <row r="37455" ht="14.25" customHeight="1" s="192">
      <c r="W37455" s="235" t="n"/>
      <c r="X37455" s="235" t="n"/>
    </row>
    <row r="37456" ht="14.25" customHeight="1" s="192">
      <c r="W37456" s="239" t="n"/>
      <c r="X37456" s="239" t="n"/>
    </row>
    <row r="37457" ht="14.25" customHeight="1" s="192">
      <c r="W37457" s="239" t="n"/>
      <c r="X37457" s="239" t="n"/>
    </row>
    <row r="37458" ht="14.25" customHeight="1" s="192">
      <c r="W37458" s="239" t="n"/>
      <c r="X37458" s="239" t="n"/>
    </row>
    <row r="37459" ht="14.25" customHeight="1" s="192">
      <c r="W37459" s="235" t="n"/>
      <c r="X37459" s="235" t="n"/>
    </row>
    <row r="37460" ht="14.25" customHeight="1" s="192">
      <c r="W37460" s="235" t="n"/>
      <c r="X37460" s="235" t="n"/>
    </row>
    <row r="37461" ht="14.25" customHeight="1" s="192">
      <c r="W37461" s="235" t="n"/>
      <c r="X37461" s="235" t="n"/>
    </row>
    <row r="37462" ht="14.25" customHeight="1" s="192">
      <c r="W37462" s="239" t="n"/>
      <c r="X37462" s="239" t="n"/>
    </row>
    <row r="37463" ht="14.25" customHeight="1" s="192">
      <c r="W37463" s="239" t="n"/>
      <c r="X37463" s="239" t="n"/>
    </row>
    <row r="37464" ht="14.25" customHeight="1" s="192">
      <c r="W37464" s="235" t="n"/>
      <c r="X37464" s="235" t="n"/>
    </row>
    <row r="37465" ht="14.25" customHeight="1" s="192">
      <c r="W37465" s="235" t="n"/>
      <c r="X37465" s="235" t="n"/>
    </row>
    <row r="37466" ht="14.25" customHeight="1" s="192">
      <c r="W37466" s="239" t="n"/>
      <c r="X37466" s="239" t="n"/>
    </row>
    <row r="37467" ht="14.25" customHeight="1" s="192">
      <c r="W37467" s="235" t="n"/>
      <c r="X37467" s="235" t="n"/>
    </row>
    <row r="37468" ht="14.25" customHeight="1" s="192">
      <c r="W37468" s="239" t="n"/>
      <c r="X37468" s="239" t="n"/>
    </row>
    <row r="37470" ht="14.25" customHeight="1" s="192">
      <c r="W37470" s="235" t="n"/>
      <c r="X37470" s="235" t="n"/>
    </row>
    <row r="37471" ht="15" customHeight="1" s="192" thickBot="1">
      <c r="W37471" s="239" t="n"/>
      <c r="X37471" s="239" t="n"/>
    </row>
    <row r="37472" ht="15" customHeight="1" s="192" thickBot="1">
      <c r="W37472" s="45" t="n"/>
      <c r="X37472" s="45" t="n"/>
    </row>
    <row r="37473" ht="14.25" customHeight="1" s="192">
      <c r="W37473" s="228" t="n"/>
      <c r="X37473" s="228" t="n"/>
    </row>
    <row r="37474" ht="14.25" customHeight="1" s="192">
      <c r="W37474" s="228" t="n"/>
      <c r="X37474" s="228" t="n"/>
    </row>
    <row r="37475" ht="14.25" customHeight="1" s="192">
      <c r="W37475" s="231" t="n"/>
      <c r="X37475" s="231" t="n"/>
    </row>
    <row r="37476" ht="14.25" customHeight="1" s="192">
      <c r="W37476" s="33" t="n"/>
      <c r="X37476" s="33" t="n"/>
    </row>
    <row r="37477" ht="14.25" customHeight="1" s="192">
      <c r="W37477" s="231" t="n"/>
      <c r="X37477" s="231" t="n"/>
    </row>
    <row r="37478" ht="14.25" customHeight="1" s="192">
      <c r="W37478" s="33" t="n"/>
      <c r="X37478" s="33" t="n"/>
    </row>
    <row r="37480" ht="14.25" customHeight="1" s="192">
      <c r="W37480" s="231" t="n"/>
      <c r="X37480" s="231" t="n"/>
    </row>
    <row r="37481" ht="14.25" customHeight="1" s="192">
      <c r="W37481" s="235" t="n"/>
      <c r="X37481" s="235" t="n"/>
    </row>
    <row r="37482" ht="14.25" customHeight="1" s="192">
      <c r="W37482" s="228" t="n"/>
      <c r="X37482" s="228" t="n"/>
    </row>
    <row r="37483" ht="14.25" customHeight="1" s="192">
      <c r="W37483" s="235" t="n"/>
      <c r="X37483" s="235" t="n"/>
    </row>
    <row r="37484" ht="14.25" customHeight="1" s="192">
      <c r="W37484" s="235" t="n"/>
      <c r="X37484" s="235" t="n"/>
    </row>
    <row r="37485" ht="14.25" customHeight="1" s="192">
      <c r="W37485" s="235" t="n"/>
      <c r="X37485" s="235" t="n"/>
    </row>
    <row r="37486" ht="14.25" customHeight="1" s="192">
      <c r="W37486" s="239" t="n"/>
      <c r="X37486" s="239" t="n"/>
    </row>
    <row r="37487" ht="14.25" customHeight="1" s="192">
      <c r="W37487" s="239" t="n"/>
      <c r="X37487" s="239" t="n"/>
    </row>
    <row r="37488" ht="14.25" customHeight="1" s="192">
      <c r="W37488" s="239" t="n"/>
      <c r="X37488" s="239" t="n"/>
    </row>
    <row r="37489" ht="14.25" customHeight="1" s="192">
      <c r="W37489" s="235" t="n"/>
      <c r="X37489" s="235" t="n"/>
    </row>
    <row r="37490" ht="14.25" customHeight="1" s="192">
      <c r="W37490" s="235" t="n"/>
      <c r="X37490" s="235" t="n"/>
    </row>
    <row r="37491" ht="14.25" customHeight="1" s="192">
      <c r="W37491" s="235" t="n"/>
      <c r="X37491" s="235" t="n"/>
    </row>
    <row r="37492" ht="14.25" customHeight="1" s="192">
      <c r="W37492" s="239" t="n"/>
      <c r="X37492" s="239" t="n"/>
    </row>
    <row r="37493" ht="14.25" customHeight="1" s="192">
      <c r="W37493" s="239" t="n"/>
      <c r="X37493" s="239" t="n"/>
    </row>
    <row r="37494" ht="14.25" customHeight="1" s="192">
      <c r="W37494" s="235" t="n"/>
      <c r="X37494" s="235" t="n"/>
    </row>
    <row r="37495" ht="14.25" customHeight="1" s="192">
      <c r="W37495" s="235" t="n"/>
      <c r="X37495" s="235" t="n"/>
    </row>
    <row r="37496" ht="14.25" customHeight="1" s="192">
      <c r="W37496" s="239" t="n"/>
      <c r="X37496" s="239" t="n"/>
    </row>
    <row r="37497" ht="14.25" customHeight="1" s="192">
      <c r="W37497" s="235" t="n"/>
      <c r="X37497" s="235" t="n"/>
    </row>
    <row r="37498" ht="14.25" customHeight="1" s="192">
      <c r="W37498" s="239" t="n"/>
      <c r="X37498" s="239" t="n"/>
    </row>
    <row r="37500" ht="14.25" customHeight="1" s="192">
      <c r="W37500" s="235" t="n"/>
      <c r="X37500" s="235" t="n"/>
    </row>
    <row r="37501" ht="15" customHeight="1" s="192" thickBot="1">
      <c r="W37501" s="239" t="n"/>
      <c r="X37501" s="239" t="n"/>
    </row>
    <row r="37502" ht="15" customHeight="1" s="192" thickBot="1">
      <c r="W37502" s="45" t="n"/>
      <c r="X37502" s="45" t="n"/>
    </row>
    <row r="37503" ht="14.25" customHeight="1" s="192">
      <c r="W37503" s="228" t="n"/>
      <c r="X37503" s="228" t="n"/>
    </row>
    <row r="37504" ht="14.25" customHeight="1" s="192">
      <c r="W37504" s="228" t="n"/>
      <c r="X37504" s="228" t="n"/>
    </row>
    <row r="37505" ht="14.25" customHeight="1" s="192">
      <c r="W37505" s="231" t="n"/>
      <c r="X37505" s="231" t="n"/>
    </row>
    <row r="37506" ht="14.25" customHeight="1" s="192">
      <c r="W37506" s="33" t="n"/>
      <c r="X37506" s="33" t="n"/>
    </row>
    <row r="37507" ht="14.25" customHeight="1" s="192">
      <c r="W37507" s="231" t="n"/>
      <c r="X37507" s="231" t="n"/>
    </row>
    <row r="37508" ht="14.25" customHeight="1" s="192">
      <c r="W37508" s="33" t="n"/>
      <c r="X37508" s="33" t="n"/>
    </row>
    <row r="37510" ht="14.25" customHeight="1" s="192">
      <c r="W37510" s="231" t="n"/>
      <c r="X37510" s="231" t="n"/>
    </row>
    <row r="37511" ht="14.25" customHeight="1" s="192">
      <c r="W37511" s="235" t="n"/>
      <c r="X37511" s="235" t="n"/>
    </row>
    <row r="37512" ht="14.25" customHeight="1" s="192">
      <c r="W37512" s="228" t="n"/>
      <c r="X37512" s="228" t="n"/>
    </row>
    <row r="37513" ht="14.25" customHeight="1" s="192">
      <c r="W37513" s="235" t="n"/>
      <c r="X37513" s="235" t="n"/>
    </row>
    <row r="37514" ht="14.25" customHeight="1" s="192">
      <c r="W37514" s="235" t="n"/>
      <c r="X37514" s="235" t="n"/>
    </row>
    <row r="37515" ht="14.25" customHeight="1" s="192">
      <c r="W37515" s="235" t="n"/>
      <c r="X37515" s="235" t="n"/>
    </row>
    <row r="37516" ht="14.25" customHeight="1" s="192">
      <c r="W37516" s="239" t="n"/>
      <c r="X37516" s="239" t="n"/>
    </row>
    <row r="37517" ht="14.25" customHeight="1" s="192">
      <c r="W37517" s="239" t="n"/>
      <c r="X37517" s="239" t="n"/>
    </row>
    <row r="37518" ht="14.25" customHeight="1" s="192">
      <c r="W37518" s="239" t="n"/>
      <c r="X37518" s="239" t="n"/>
    </row>
    <row r="37519" ht="14.25" customHeight="1" s="192">
      <c r="W37519" s="235" t="n"/>
      <c r="X37519" s="235" t="n"/>
    </row>
    <row r="37520" ht="14.25" customHeight="1" s="192">
      <c r="W37520" s="235" t="n"/>
      <c r="X37520" s="235" t="n"/>
    </row>
    <row r="37521" ht="14.25" customHeight="1" s="192">
      <c r="W37521" s="235" t="n"/>
      <c r="X37521" s="235" t="n"/>
    </row>
    <row r="37522" ht="14.25" customHeight="1" s="192">
      <c r="W37522" s="239" t="n"/>
      <c r="X37522" s="239" t="n"/>
    </row>
    <row r="37523" ht="14.25" customHeight="1" s="192">
      <c r="W37523" s="239" t="n"/>
      <c r="X37523" s="239" t="n"/>
    </row>
    <row r="37524" ht="14.25" customHeight="1" s="192">
      <c r="W37524" s="235" t="n"/>
      <c r="X37524" s="235" t="n"/>
    </row>
    <row r="37525" ht="14.25" customHeight="1" s="192">
      <c r="W37525" s="235" t="n"/>
      <c r="X37525" s="235" t="n"/>
    </row>
    <row r="37526" ht="14.25" customHeight="1" s="192">
      <c r="W37526" s="239" t="n"/>
      <c r="X37526" s="239" t="n"/>
    </row>
    <row r="37527" ht="14.25" customHeight="1" s="192">
      <c r="W37527" s="235" t="n"/>
      <c r="X37527" s="235" t="n"/>
    </row>
    <row r="37528" ht="14.25" customHeight="1" s="192">
      <c r="W37528" s="239" t="n"/>
      <c r="X37528" s="239" t="n"/>
    </row>
    <row r="37530" ht="14.25" customHeight="1" s="192">
      <c r="W37530" s="235" t="n"/>
      <c r="X37530" s="235" t="n"/>
    </row>
    <row r="37531" ht="15" customHeight="1" s="192" thickBot="1">
      <c r="W37531" s="239" t="n"/>
      <c r="X37531" s="239" t="n"/>
    </row>
    <row r="37532" ht="15" customHeight="1" s="192" thickBot="1">
      <c r="W37532" s="45" t="n"/>
      <c r="X37532" s="45" t="n"/>
    </row>
    <row r="37533" ht="14.25" customHeight="1" s="192">
      <c r="W37533" s="228" t="n"/>
      <c r="X37533" s="228" t="n"/>
    </row>
    <row r="37534" ht="14.25" customHeight="1" s="192">
      <c r="W37534" s="228" t="n"/>
      <c r="X37534" s="228" t="n"/>
    </row>
    <row r="37535" ht="14.25" customHeight="1" s="192">
      <c r="W37535" s="231" t="n"/>
      <c r="X37535" s="231" t="n"/>
    </row>
    <row r="37536" ht="14.25" customHeight="1" s="192">
      <c r="W37536" s="33" t="n"/>
      <c r="X37536" s="33" t="n"/>
    </row>
    <row r="37537" ht="14.25" customHeight="1" s="192">
      <c r="W37537" s="231" t="n"/>
      <c r="X37537" s="231" t="n"/>
    </row>
    <row r="37538" ht="14.25" customHeight="1" s="192">
      <c r="W37538" s="33" t="n"/>
      <c r="X37538" s="33" t="n"/>
    </row>
    <row r="37540" ht="14.25" customHeight="1" s="192">
      <c r="W37540" s="231" t="n"/>
      <c r="X37540" s="231" t="n"/>
    </row>
    <row r="37541" ht="14.25" customHeight="1" s="192">
      <c r="W37541" s="235" t="n"/>
      <c r="X37541" s="235" t="n"/>
    </row>
    <row r="37542" ht="14.25" customHeight="1" s="192">
      <c r="W37542" s="228" t="n"/>
      <c r="X37542" s="228" t="n"/>
    </row>
    <row r="37543" ht="14.25" customHeight="1" s="192">
      <c r="W37543" s="235" t="n"/>
      <c r="X37543" s="235" t="n"/>
    </row>
    <row r="37544" ht="14.25" customHeight="1" s="192">
      <c r="W37544" s="235" t="n"/>
      <c r="X37544" s="235" t="n"/>
    </row>
    <row r="37545" ht="14.25" customHeight="1" s="192">
      <c r="W37545" s="235" t="n"/>
      <c r="X37545" s="235" t="n"/>
    </row>
    <row r="37546" ht="14.25" customHeight="1" s="192">
      <c r="W37546" s="239" t="n"/>
      <c r="X37546" s="239" t="n"/>
    </row>
    <row r="37547" ht="14.25" customHeight="1" s="192">
      <c r="W37547" s="239" t="n"/>
      <c r="X37547" s="239" t="n"/>
    </row>
    <row r="37548" ht="14.25" customHeight="1" s="192">
      <c r="W37548" s="239" t="n"/>
      <c r="X37548" s="239" t="n"/>
    </row>
    <row r="37549" ht="14.25" customHeight="1" s="192">
      <c r="W37549" s="235" t="n"/>
      <c r="X37549" s="235" t="n"/>
    </row>
    <row r="37550" ht="14.25" customHeight="1" s="192">
      <c r="W37550" s="235" t="n"/>
      <c r="X37550" s="235" t="n"/>
    </row>
    <row r="37551" ht="14.25" customHeight="1" s="192">
      <c r="W37551" s="235" t="n"/>
      <c r="X37551" s="235" t="n"/>
    </row>
    <row r="37552" ht="14.25" customHeight="1" s="192">
      <c r="W37552" s="239" t="n"/>
      <c r="X37552" s="239" t="n"/>
    </row>
    <row r="37553" ht="14.25" customHeight="1" s="192">
      <c r="W37553" s="239" t="n"/>
      <c r="X37553" s="239" t="n"/>
    </row>
    <row r="37554" ht="14.25" customHeight="1" s="192">
      <c r="W37554" s="235" t="n"/>
      <c r="X37554" s="235" t="n"/>
    </row>
    <row r="37555" ht="14.25" customHeight="1" s="192">
      <c r="W37555" s="235" t="n"/>
      <c r="X37555" s="235" t="n"/>
    </row>
    <row r="37556" ht="14.25" customHeight="1" s="192">
      <c r="W37556" s="239" t="n"/>
      <c r="X37556" s="239" t="n"/>
    </row>
    <row r="37557" ht="14.25" customHeight="1" s="192">
      <c r="W37557" s="235" t="n"/>
      <c r="X37557" s="235" t="n"/>
    </row>
    <row r="37558" ht="14.25" customHeight="1" s="192">
      <c r="W37558" s="239" t="n"/>
      <c r="X37558" s="239" t="n"/>
    </row>
    <row r="37560" ht="14.25" customHeight="1" s="192">
      <c r="W37560" s="235" t="n"/>
      <c r="X37560" s="235" t="n"/>
    </row>
    <row r="37561" ht="15" customHeight="1" s="192" thickBot="1">
      <c r="W37561" s="239" t="n"/>
      <c r="X37561" s="239" t="n"/>
    </row>
    <row r="37562" ht="15" customHeight="1" s="192" thickBot="1">
      <c r="W37562" s="45" t="n"/>
      <c r="X37562" s="45" t="n"/>
    </row>
    <row r="37563" ht="14.25" customHeight="1" s="192">
      <c r="W37563" s="228" t="n"/>
      <c r="X37563" s="228" t="n"/>
    </row>
    <row r="37564" ht="14.25" customHeight="1" s="192">
      <c r="W37564" s="228" t="n"/>
      <c r="X37564" s="228" t="n"/>
    </row>
    <row r="37565" ht="14.25" customHeight="1" s="192">
      <c r="W37565" s="231" t="n"/>
      <c r="X37565" s="231" t="n"/>
    </row>
    <row r="37566" ht="14.25" customHeight="1" s="192">
      <c r="W37566" s="33" t="n"/>
      <c r="X37566" s="33" t="n"/>
    </row>
    <row r="37567" ht="14.25" customHeight="1" s="192">
      <c r="W37567" s="231" t="n"/>
      <c r="X37567" s="231" t="n"/>
    </row>
    <row r="37568" ht="14.25" customHeight="1" s="192">
      <c r="W37568" s="33" t="n"/>
      <c r="X37568" s="33" t="n"/>
    </row>
    <row r="37570" ht="14.25" customHeight="1" s="192">
      <c r="W37570" s="231" t="n"/>
      <c r="X37570" s="231" t="n"/>
    </row>
    <row r="37571" ht="14.25" customHeight="1" s="192">
      <c r="W37571" s="235" t="n"/>
      <c r="X37571" s="235" t="n"/>
    </row>
    <row r="37572" ht="14.25" customHeight="1" s="192">
      <c r="W37572" s="228" t="n"/>
      <c r="X37572" s="228" t="n"/>
    </row>
    <row r="37573" ht="14.25" customHeight="1" s="192">
      <c r="W37573" s="235" t="n"/>
      <c r="X37573" s="235" t="n"/>
    </row>
    <row r="37574" ht="14.25" customHeight="1" s="192">
      <c r="W37574" s="235" t="n"/>
      <c r="X37574" s="235" t="n"/>
    </row>
    <row r="37575" ht="14.25" customHeight="1" s="192">
      <c r="W37575" s="235" t="n"/>
      <c r="X37575" s="235" t="n"/>
    </row>
    <row r="37576" ht="14.25" customHeight="1" s="192">
      <c r="W37576" s="239" t="n"/>
      <c r="X37576" s="239" t="n"/>
    </row>
    <row r="37577" ht="14.25" customHeight="1" s="192">
      <c r="W37577" s="239" t="n"/>
      <c r="X37577" s="239" t="n"/>
    </row>
    <row r="37578" ht="14.25" customHeight="1" s="192">
      <c r="W37578" s="239" t="n"/>
      <c r="X37578" s="239" t="n"/>
    </row>
    <row r="37579" ht="14.25" customHeight="1" s="192">
      <c r="W37579" s="235" t="n"/>
      <c r="X37579" s="235" t="n"/>
    </row>
    <row r="37580" ht="14.25" customHeight="1" s="192">
      <c r="W37580" s="235" t="n"/>
      <c r="X37580" s="235" t="n"/>
    </row>
    <row r="37581" ht="14.25" customHeight="1" s="192">
      <c r="W37581" s="235" t="n"/>
      <c r="X37581" s="235" t="n"/>
    </row>
    <row r="37582" ht="14.25" customHeight="1" s="192">
      <c r="W37582" s="239" t="n"/>
      <c r="X37582" s="239" t="n"/>
    </row>
    <row r="37583" ht="14.25" customHeight="1" s="192">
      <c r="W37583" s="239" t="n"/>
      <c r="X37583" s="239" t="n"/>
    </row>
    <row r="37584" ht="14.25" customHeight="1" s="192">
      <c r="W37584" s="235" t="n"/>
      <c r="X37584" s="235" t="n"/>
    </row>
    <row r="37585" ht="14.25" customHeight="1" s="192">
      <c r="W37585" s="235" t="n"/>
      <c r="X37585" s="235" t="n"/>
    </row>
    <row r="37586" ht="14.25" customHeight="1" s="192">
      <c r="W37586" s="239" t="n"/>
      <c r="X37586" s="239" t="n"/>
    </row>
    <row r="37587" ht="14.25" customHeight="1" s="192">
      <c r="W37587" s="235" t="n"/>
      <c r="X37587" s="235" t="n"/>
    </row>
    <row r="37588" ht="14.25" customHeight="1" s="192">
      <c r="W37588" s="239" t="n"/>
      <c r="X37588" s="239" t="n"/>
    </row>
    <row r="37590" ht="14.25" customHeight="1" s="192">
      <c r="W37590" s="235" t="n"/>
      <c r="X37590" s="235" t="n"/>
    </row>
    <row r="37591" ht="15" customHeight="1" s="192" thickBot="1">
      <c r="W37591" s="239" t="n"/>
      <c r="X37591" s="239" t="n"/>
    </row>
    <row r="37592" ht="15" customHeight="1" s="192" thickBot="1">
      <c r="W37592" s="45" t="n"/>
      <c r="X37592" s="45" t="n"/>
    </row>
    <row r="37593" ht="14.25" customHeight="1" s="192">
      <c r="W37593" s="228" t="n"/>
      <c r="X37593" s="228" t="n"/>
    </row>
    <row r="37594" ht="14.25" customHeight="1" s="192">
      <c r="W37594" s="228" t="n"/>
      <c r="X37594" s="228" t="n"/>
    </row>
    <row r="37595" ht="14.25" customHeight="1" s="192">
      <c r="W37595" s="231" t="n"/>
      <c r="X37595" s="231" t="n"/>
    </row>
    <row r="37596" ht="14.25" customHeight="1" s="192">
      <c r="W37596" s="33" t="n"/>
      <c r="X37596" s="33" t="n"/>
    </row>
    <row r="37597" ht="14.25" customHeight="1" s="192">
      <c r="W37597" s="231" t="n"/>
      <c r="X37597" s="231" t="n"/>
    </row>
    <row r="37598" ht="14.25" customHeight="1" s="192">
      <c r="W37598" s="33" t="n"/>
      <c r="X37598" s="33" t="n"/>
    </row>
    <row r="37600" ht="14.25" customHeight="1" s="192">
      <c r="W37600" s="231" t="n"/>
      <c r="X37600" s="231" t="n"/>
    </row>
    <row r="37601" ht="14.25" customHeight="1" s="192">
      <c r="W37601" s="235" t="n"/>
      <c r="X37601" s="235" t="n"/>
    </row>
    <row r="37602" ht="14.25" customHeight="1" s="192">
      <c r="W37602" s="228" t="n"/>
      <c r="X37602" s="228" t="n"/>
    </row>
    <row r="37603" ht="14.25" customHeight="1" s="192">
      <c r="W37603" s="235" t="n"/>
      <c r="X37603" s="235" t="n"/>
    </row>
    <row r="37604" ht="14.25" customHeight="1" s="192">
      <c r="W37604" s="235" t="n"/>
      <c r="X37604" s="235" t="n"/>
    </row>
    <row r="37605" ht="14.25" customHeight="1" s="192">
      <c r="W37605" s="235" t="n"/>
      <c r="X37605" s="235" t="n"/>
    </row>
    <row r="37606" ht="14.25" customHeight="1" s="192">
      <c r="W37606" s="239" t="n"/>
      <c r="X37606" s="239" t="n"/>
    </row>
    <row r="37607" ht="14.25" customHeight="1" s="192">
      <c r="W37607" s="239" t="n"/>
      <c r="X37607" s="239" t="n"/>
    </row>
    <row r="37608" ht="14.25" customHeight="1" s="192">
      <c r="W37608" s="239" t="n"/>
      <c r="X37608" s="239" t="n"/>
    </row>
    <row r="37609" ht="14.25" customHeight="1" s="192">
      <c r="W37609" s="235" t="n"/>
      <c r="X37609" s="235" t="n"/>
    </row>
    <row r="37610" ht="14.25" customHeight="1" s="192">
      <c r="W37610" s="235" t="n"/>
      <c r="X37610" s="235" t="n"/>
    </row>
    <row r="37611" ht="14.25" customHeight="1" s="192">
      <c r="W37611" s="235" t="n"/>
      <c r="X37611" s="235" t="n"/>
    </row>
    <row r="37612" ht="14.25" customHeight="1" s="192">
      <c r="W37612" s="239" t="n"/>
      <c r="X37612" s="239" t="n"/>
    </row>
    <row r="37613" ht="14.25" customHeight="1" s="192">
      <c r="W37613" s="239" t="n"/>
      <c r="X37613" s="239" t="n"/>
    </row>
    <row r="37614" ht="14.25" customHeight="1" s="192">
      <c r="W37614" s="235" t="n"/>
      <c r="X37614" s="235" t="n"/>
    </row>
    <row r="37615" ht="14.25" customHeight="1" s="192">
      <c r="W37615" s="235" t="n"/>
      <c r="X37615" s="235" t="n"/>
    </row>
    <row r="37616" ht="14.25" customHeight="1" s="192">
      <c r="W37616" s="239" t="n"/>
      <c r="X37616" s="239" t="n"/>
    </row>
    <row r="37617" ht="14.25" customHeight="1" s="192">
      <c r="W37617" s="235" t="n"/>
      <c r="X37617" s="235" t="n"/>
    </row>
    <row r="37618" ht="14.25" customHeight="1" s="192">
      <c r="W37618" s="239" t="n"/>
      <c r="X37618" s="239" t="n"/>
    </row>
    <row r="37620" ht="14.25" customHeight="1" s="192">
      <c r="W37620" s="235" t="n"/>
      <c r="X37620" s="235" t="n"/>
    </row>
    <row r="37621" ht="15" customHeight="1" s="192" thickBot="1">
      <c r="W37621" s="239" t="n"/>
      <c r="X37621" s="239" t="n"/>
    </row>
    <row r="37622" ht="15" customHeight="1" s="192" thickBot="1">
      <c r="W37622" s="45" t="n"/>
      <c r="X37622" s="45" t="n"/>
    </row>
    <row r="37623" ht="14.25" customHeight="1" s="192">
      <c r="W37623" s="228" t="n"/>
      <c r="X37623" s="228" t="n"/>
    </row>
    <row r="37624" ht="14.25" customHeight="1" s="192">
      <c r="W37624" s="228" t="n"/>
      <c r="X37624" s="228" t="n"/>
    </row>
    <row r="37625" ht="14.25" customHeight="1" s="192">
      <c r="W37625" s="231" t="n"/>
      <c r="X37625" s="231" t="n"/>
    </row>
    <row r="37626" ht="14.25" customHeight="1" s="192">
      <c r="W37626" s="33" t="n"/>
      <c r="X37626" s="33" t="n"/>
    </row>
    <row r="37627" ht="14.25" customHeight="1" s="192">
      <c r="W37627" s="231" t="n"/>
      <c r="X37627" s="231" t="n"/>
    </row>
    <row r="37628" ht="14.25" customHeight="1" s="192">
      <c r="W37628" s="33" t="n"/>
      <c r="X37628" s="33" t="n"/>
    </row>
    <row r="37630" ht="14.25" customHeight="1" s="192">
      <c r="W37630" s="231" t="n"/>
      <c r="X37630" s="231" t="n"/>
    </row>
    <row r="37631" ht="14.25" customHeight="1" s="192">
      <c r="W37631" s="235" t="n"/>
      <c r="X37631" s="235" t="n"/>
    </row>
    <row r="37632" ht="14.25" customHeight="1" s="192">
      <c r="W37632" s="228" t="n"/>
      <c r="X37632" s="228" t="n"/>
    </row>
    <row r="37633" ht="14.25" customHeight="1" s="192">
      <c r="W37633" s="235" t="n"/>
      <c r="X37633" s="235" t="n"/>
    </row>
    <row r="37634" ht="14.25" customHeight="1" s="192">
      <c r="W37634" s="235" t="n"/>
      <c r="X37634" s="235" t="n"/>
    </row>
    <row r="37635" ht="14.25" customHeight="1" s="192">
      <c r="W37635" s="235" t="n"/>
      <c r="X37635" s="235" t="n"/>
    </row>
    <row r="37636" ht="14.25" customHeight="1" s="192">
      <c r="W37636" s="239" t="n"/>
      <c r="X37636" s="239" t="n"/>
    </row>
    <row r="37637" ht="14.25" customHeight="1" s="192">
      <c r="W37637" s="239" t="n"/>
      <c r="X37637" s="239" t="n"/>
    </row>
    <row r="37638" ht="14.25" customHeight="1" s="192">
      <c r="W37638" s="239" t="n"/>
      <c r="X37638" s="239" t="n"/>
    </row>
    <row r="37639" ht="14.25" customHeight="1" s="192">
      <c r="W37639" s="235" t="n"/>
      <c r="X37639" s="235" t="n"/>
    </row>
    <row r="37640" ht="14.25" customHeight="1" s="192">
      <c r="W37640" s="235" t="n"/>
      <c r="X37640" s="235" t="n"/>
    </row>
    <row r="37641" ht="14.25" customHeight="1" s="192">
      <c r="W37641" s="235" t="n"/>
      <c r="X37641" s="235" t="n"/>
    </row>
    <row r="37642" ht="14.25" customHeight="1" s="192">
      <c r="W37642" s="239" t="n"/>
      <c r="X37642" s="239" t="n"/>
    </row>
    <row r="37643" ht="14.25" customHeight="1" s="192">
      <c r="W37643" s="239" t="n"/>
      <c r="X37643" s="239" t="n"/>
    </row>
    <row r="37644" ht="14.25" customHeight="1" s="192">
      <c r="W37644" s="235" t="n"/>
      <c r="X37644" s="235" t="n"/>
    </row>
    <row r="37645" ht="14.25" customHeight="1" s="192">
      <c r="W37645" s="235" t="n"/>
      <c r="X37645" s="235" t="n"/>
    </row>
    <row r="37646" ht="14.25" customHeight="1" s="192">
      <c r="W37646" s="239" t="n"/>
      <c r="X37646" s="239" t="n"/>
    </row>
    <row r="37647" ht="14.25" customHeight="1" s="192">
      <c r="W37647" s="235" t="n"/>
      <c r="X37647" s="235" t="n"/>
    </row>
    <row r="37648" ht="14.25" customHeight="1" s="192">
      <c r="W37648" s="239" t="n"/>
      <c r="X37648" s="239" t="n"/>
    </row>
    <row r="37650" ht="14.25" customHeight="1" s="192">
      <c r="W37650" s="235" t="n"/>
      <c r="X37650" s="235" t="n"/>
    </row>
    <row r="37651" ht="15" customHeight="1" s="192" thickBot="1">
      <c r="W37651" s="239" t="n"/>
      <c r="X37651" s="239" t="n"/>
    </row>
    <row r="37652" ht="15" customHeight="1" s="192" thickBot="1">
      <c r="W37652" s="45" t="n"/>
      <c r="X37652" s="45" t="n"/>
    </row>
    <row r="37653" ht="14.25" customHeight="1" s="192">
      <c r="W37653" s="228" t="n"/>
      <c r="X37653" s="228" t="n"/>
    </row>
    <row r="37654" ht="14.25" customHeight="1" s="192">
      <c r="W37654" s="228" t="n"/>
      <c r="X37654" s="228" t="n"/>
    </row>
    <row r="37655" ht="14.25" customHeight="1" s="192">
      <c r="W37655" s="231" t="n"/>
      <c r="X37655" s="231" t="n"/>
    </row>
    <row r="37656" ht="14.25" customHeight="1" s="192">
      <c r="W37656" s="33" t="n"/>
      <c r="X37656" s="33" t="n"/>
    </row>
    <row r="37657" ht="14.25" customHeight="1" s="192">
      <c r="W37657" s="231" t="n"/>
      <c r="X37657" s="231" t="n"/>
    </row>
    <row r="37658" ht="14.25" customHeight="1" s="192">
      <c r="W37658" s="33" t="n"/>
      <c r="X37658" s="33" t="n"/>
    </row>
    <row r="37660" ht="14.25" customHeight="1" s="192">
      <c r="W37660" s="231" t="n"/>
      <c r="X37660" s="231" t="n"/>
    </row>
    <row r="37661" ht="14.25" customHeight="1" s="192">
      <c r="W37661" s="235" t="n"/>
      <c r="X37661" s="235" t="n"/>
    </row>
    <row r="37662" ht="14.25" customHeight="1" s="192">
      <c r="W37662" s="228" t="n"/>
      <c r="X37662" s="228" t="n"/>
    </row>
    <row r="37663" ht="14.25" customHeight="1" s="192">
      <c r="W37663" s="235" t="n"/>
      <c r="X37663" s="235" t="n"/>
    </row>
    <row r="37664" ht="14.25" customHeight="1" s="192">
      <c r="W37664" s="235" t="n"/>
      <c r="X37664" s="235" t="n"/>
    </row>
    <row r="37665" ht="14.25" customHeight="1" s="192">
      <c r="W37665" s="235" t="n"/>
      <c r="X37665" s="235" t="n"/>
    </row>
    <row r="37666" ht="14.25" customHeight="1" s="192">
      <c r="W37666" s="239" t="n"/>
      <c r="X37666" s="239" t="n"/>
    </row>
    <row r="37667" ht="14.25" customHeight="1" s="192">
      <c r="W37667" s="239" t="n"/>
      <c r="X37667" s="239" t="n"/>
    </row>
    <row r="37668" ht="14.25" customHeight="1" s="192">
      <c r="W37668" s="239" t="n"/>
      <c r="X37668" s="239" t="n"/>
    </row>
    <row r="37669" ht="14.25" customHeight="1" s="192">
      <c r="W37669" s="235" t="n"/>
      <c r="X37669" s="235" t="n"/>
    </row>
    <row r="37670" ht="14.25" customHeight="1" s="192">
      <c r="W37670" s="235" t="n"/>
      <c r="X37670" s="235" t="n"/>
    </row>
    <row r="37671" ht="14.25" customHeight="1" s="192">
      <c r="W37671" s="235" t="n"/>
      <c r="X37671" s="235" t="n"/>
    </row>
    <row r="37672" ht="14.25" customHeight="1" s="192">
      <c r="W37672" s="239" t="n"/>
      <c r="X37672" s="239" t="n"/>
    </row>
    <row r="37673" ht="14.25" customHeight="1" s="192">
      <c r="W37673" s="239" t="n"/>
      <c r="X37673" s="239" t="n"/>
    </row>
    <row r="37674" ht="14.25" customHeight="1" s="192">
      <c r="W37674" s="235" t="n"/>
      <c r="X37674" s="235" t="n"/>
    </row>
    <row r="37675" ht="14.25" customHeight="1" s="192">
      <c r="W37675" s="235" t="n"/>
      <c r="X37675" s="235" t="n"/>
    </row>
    <row r="37676" ht="14.25" customHeight="1" s="192">
      <c r="W37676" s="239" t="n"/>
      <c r="X37676" s="239" t="n"/>
    </row>
    <row r="37677" ht="14.25" customHeight="1" s="192">
      <c r="W37677" s="235" t="n"/>
      <c r="X37677" s="235" t="n"/>
    </row>
    <row r="37678" ht="14.25" customHeight="1" s="192">
      <c r="W37678" s="239" t="n"/>
      <c r="X37678" s="239" t="n"/>
    </row>
    <row r="37680" ht="14.25" customHeight="1" s="192">
      <c r="W37680" s="235" t="n"/>
      <c r="X37680" s="235" t="n"/>
    </row>
    <row r="37681" ht="15" customHeight="1" s="192" thickBot="1">
      <c r="W37681" s="239" t="n"/>
      <c r="X37681" s="239" t="n"/>
    </row>
    <row r="37682" ht="15" customHeight="1" s="192" thickBot="1">
      <c r="W37682" s="45" t="n"/>
      <c r="X37682" s="45" t="n"/>
    </row>
    <row r="37683" ht="14.25" customHeight="1" s="192">
      <c r="W37683" s="228" t="n"/>
      <c r="X37683" s="228" t="n"/>
    </row>
    <row r="37684" ht="14.25" customHeight="1" s="192">
      <c r="W37684" s="228" t="n"/>
      <c r="X37684" s="228" t="n"/>
    </row>
    <row r="37685" ht="14.25" customHeight="1" s="192">
      <c r="W37685" s="231" t="n"/>
      <c r="X37685" s="231" t="n"/>
    </row>
    <row r="37686" ht="14.25" customHeight="1" s="192">
      <c r="W37686" s="33" t="n"/>
      <c r="X37686" s="33" t="n"/>
    </row>
    <row r="37687" ht="14.25" customHeight="1" s="192">
      <c r="W37687" s="231" t="n"/>
      <c r="X37687" s="231" t="n"/>
    </row>
    <row r="37688" ht="14.25" customHeight="1" s="192">
      <c r="W37688" s="33" t="n"/>
      <c r="X37688" s="33" t="n"/>
    </row>
    <row r="37690" ht="14.25" customHeight="1" s="192">
      <c r="W37690" s="231" t="n"/>
      <c r="X37690" s="231" t="n"/>
    </row>
    <row r="37691" ht="14.25" customHeight="1" s="192">
      <c r="W37691" s="235" t="n"/>
      <c r="X37691" s="235" t="n"/>
    </row>
    <row r="37692" ht="14.25" customHeight="1" s="192">
      <c r="W37692" s="228" t="n"/>
      <c r="X37692" s="228" t="n"/>
    </row>
    <row r="37693" ht="14.25" customHeight="1" s="192">
      <c r="W37693" s="235" t="n"/>
      <c r="X37693" s="235" t="n"/>
    </row>
    <row r="37694" ht="14.25" customHeight="1" s="192">
      <c r="W37694" s="235" t="n"/>
      <c r="X37694" s="235" t="n"/>
    </row>
    <row r="37695" ht="14.25" customHeight="1" s="192">
      <c r="W37695" s="235" t="n"/>
      <c r="X37695" s="235" t="n"/>
    </row>
    <row r="37696" ht="14.25" customHeight="1" s="192">
      <c r="W37696" s="239" t="n"/>
      <c r="X37696" s="239" t="n"/>
    </row>
    <row r="37697" ht="14.25" customHeight="1" s="192">
      <c r="W37697" s="239" t="n"/>
      <c r="X37697" s="239" t="n"/>
    </row>
    <row r="37698" ht="14.25" customHeight="1" s="192">
      <c r="W37698" s="239" t="n"/>
      <c r="X37698" s="239" t="n"/>
    </row>
    <row r="37699" ht="14.25" customHeight="1" s="192">
      <c r="W37699" s="235" t="n"/>
      <c r="X37699" s="235" t="n"/>
    </row>
    <row r="37700" ht="14.25" customHeight="1" s="192">
      <c r="W37700" s="235" t="n"/>
      <c r="X37700" s="235" t="n"/>
    </row>
    <row r="37701" ht="14.25" customHeight="1" s="192">
      <c r="W37701" s="235" t="n"/>
      <c r="X37701" s="235" t="n"/>
    </row>
    <row r="37702" ht="14.25" customHeight="1" s="192">
      <c r="W37702" s="239" t="n"/>
      <c r="X37702" s="239" t="n"/>
    </row>
    <row r="37703" ht="14.25" customHeight="1" s="192">
      <c r="W37703" s="239" t="n"/>
      <c r="X37703" s="239" t="n"/>
    </row>
    <row r="37704" ht="14.25" customHeight="1" s="192">
      <c r="W37704" s="235" t="n"/>
      <c r="X37704" s="235" t="n"/>
    </row>
    <row r="37705" ht="14.25" customHeight="1" s="192">
      <c r="W37705" s="235" t="n"/>
      <c r="X37705" s="235" t="n"/>
    </row>
    <row r="37706" ht="14.25" customHeight="1" s="192">
      <c r="W37706" s="239" t="n"/>
      <c r="X37706" s="239" t="n"/>
    </row>
    <row r="37707" ht="14.25" customHeight="1" s="192">
      <c r="W37707" s="235" t="n"/>
      <c r="X37707" s="235" t="n"/>
    </row>
    <row r="37708" ht="14.25" customHeight="1" s="192">
      <c r="W37708" s="239" t="n"/>
      <c r="X37708" s="239" t="n"/>
    </row>
    <row r="37710" ht="14.25" customHeight="1" s="192">
      <c r="W37710" s="235" t="n"/>
      <c r="X37710" s="235" t="n"/>
    </row>
    <row r="37711" ht="15" customHeight="1" s="192" thickBot="1">
      <c r="W37711" s="239" t="n"/>
      <c r="X37711" s="239" t="n"/>
    </row>
    <row r="37712" ht="15" customHeight="1" s="192" thickBot="1">
      <c r="W37712" s="45" t="n"/>
      <c r="X37712" s="45" t="n"/>
    </row>
    <row r="37713" ht="14.25" customHeight="1" s="192">
      <c r="W37713" s="228" t="n"/>
      <c r="X37713" s="228" t="n"/>
    </row>
    <row r="37714" ht="14.25" customHeight="1" s="192">
      <c r="W37714" s="228" t="n"/>
      <c r="X37714" s="228" t="n"/>
    </row>
    <row r="37715" ht="14.25" customHeight="1" s="192">
      <c r="W37715" s="231" t="n"/>
      <c r="X37715" s="231" t="n"/>
    </row>
    <row r="37716" ht="14.25" customHeight="1" s="192">
      <c r="W37716" s="33" t="n"/>
      <c r="X37716" s="33" t="n"/>
    </row>
    <row r="37717" ht="14.25" customHeight="1" s="192">
      <c r="W37717" s="231" t="n"/>
      <c r="X37717" s="231" t="n"/>
    </row>
    <row r="37718" ht="14.25" customHeight="1" s="192">
      <c r="W37718" s="33" t="n"/>
      <c r="X37718" s="33" t="n"/>
    </row>
    <row r="37720" ht="14.25" customHeight="1" s="192">
      <c r="W37720" s="231" t="n"/>
      <c r="X37720" s="231" t="n"/>
    </row>
    <row r="37721" ht="14.25" customHeight="1" s="192">
      <c r="W37721" s="235" t="n"/>
      <c r="X37721" s="235" t="n"/>
    </row>
    <row r="37722" ht="14.25" customHeight="1" s="192">
      <c r="W37722" s="228" t="n"/>
      <c r="X37722" s="228" t="n"/>
    </row>
    <row r="37723" ht="14.25" customHeight="1" s="192">
      <c r="W37723" s="235" t="n"/>
      <c r="X37723" s="235" t="n"/>
    </row>
    <row r="37724" ht="14.25" customHeight="1" s="192">
      <c r="W37724" s="235" t="n"/>
      <c r="X37724" s="235" t="n"/>
    </row>
    <row r="37725" ht="14.25" customHeight="1" s="192">
      <c r="W37725" s="235" t="n"/>
      <c r="X37725" s="235" t="n"/>
    </row>
    <row r="37726" ht="14.25" customHeight="1" s="192">
      <c r="W37726" s="239" t="n"/>
      <c r="X37726" s="239" t="n"/>
    </row>
    <row r="37727" ht="14.25" customHeight="1" s="192">
      <c r="W37727" s="239" t="n"/>
      <c r="X37727" s="239" t="n"/>
    </row>
    <row r="37728" ht="14.25" customHeight="1" s="192">
      <c r="W37728" s="239" t="n"/>
      <c r="X37728" s="239" t="n"/>
    </row>
    <row r="37729" ht="14.25" customHeight="1" s="192">
      <c r="W37729" s="235" t="n"/>
      <c r="X37729" s="235" t="n"/>
    </row>
    <row r="37730" ht="14.25" customHeight="1" s="192">
      <c r="W37730" s="235" t="n"/>
      <c r="X37730" s="235" t="n"/>
    </row>
    <row r="37731" ht="14.25" customHeight="1" s="192">
      <c r="W37731" s="235" t="n"/>
      <c r="X37731" s="235" t="n"/>
    </row>
    <row r="37732" ht="14.25" customHeight="1" s="192">
      <c r="W37732" s="239" t="n"/>
      <c r="X37732" s="239" t="n"/>
    </row>
    <row r="37733" ht="14.25" customHeight="1" s="192">
      <c r="W37733" s="239" t="n"/>
      <c r="X37733" s="239" t="n"/>
    </row>
    <row r="37734" ht="14.25" customHeight="1" s="192">
      <c r="W37734" s="235" t="n"/>
      <c r="X37734" s="235" t="n"/>
    </row>
    <row r="37735" ht="14.25" customHeight="1" s="192">
      <c r="W37735" s="235" t="n"/>
      <c r="X37735" s="235" t="n"/>
    </row>
    <row r="37736" ht="14.25" customHeight="1" s="192">
      <c r="W37736" s="239" t="n"/>
      <c r="X37736" s="239" t="n"/>
    </row>
    <row r="37737" ht="14.25" customHeight="1" s="192">
      <c r="W37737" s="235" t="n"/>
      <c r="X37737" s="235" t="n"/>
    </row>
    <row r="37738" ht="14.25" customHeight="1" s="192">
      <c r="W37738" s="239" t="n"/>
      <c r="X37738" s="239" t="n"/>
    </row>
    <row r="37740" ht="14.25" customHeight="1" s="192">
      <c r="W37740" s="235" t="n"/>
      <c r="X37740" s="235" t="n"/>
    </row>
    <row r="37741" ht="15" customHeight="1" s="192" thickBot="1">
      <c r="W37741" s="239" t="n"/>
      <c r="X37741" s="239" t="n"/>
    </row>
    <row r="37742" ht="15" customHeight="1" s="192" thickBot="1">
      <c r="W37742" s="45" t="n"/>
      <c r="X37742" s="45" t="n"/>
    </row>
    <row r="37743" ht="14.25" customHeight="1" s="192">
      <c r="W37743" s="228" t="n"/>
      <c r="X37743" s="228" t="n"/>
    </row>
    <row r="37744" ht="14.25" customHeight="1" s="192">
      <c r="W37744" s="228" t="n"/>
      <c r="X37744" s="228" t="n"/>
    </row>
    <row r="37745" ht="14.25" customHeight="1" s="192">
      <c r="W37745" s="231" t="n"/>
      <c r="X37745" s="231" t="n"/>
    </row>
    <row r="37746" ht="14.25" customHeight="1" s="192">
      <c r="W37746" s="33" t="n"/>
      <c r="X37746" s="33" t="n"/>
    </row>
    <row r="37747" ht="14.25" customHeight="1" s="192">
      <c r="W37747" s="231" t="n"/>
      <c r="X37747" s="231" t="n"/>
    </row>
    <row r="37748" ht="14.25" customHeight="1" s="192">
      <c r="W37748" s="33" t="n"/>
      <c r="X37748" s="33" t="n"/>
    </row>
    <row r="37750" ht="14.25" customHeight="1" s="192">
      <c r="W37750" s="231" t="n"/>
      <c r="X37750" s="231" t="n"/>
    </row>
    <row r="37751" ht="14.25" customHeight="1" s="192">
      <c r="W37751" s="235" t="n"/>
      <c r="X37751" s="235" t="n"/>
    </row>
    <row r="37752" ht="14.25" customHeight="1" s="192">
      <c r="W37752" s="228" t="n"/>
      <c r="X37752" s="228" t="n"/>
    </row>
    <row r="37753" ht="14.25" customHeight="1" s="192">
      <c r="W37753" s="235" t="n"/>
      <c r="X37753" s="235" t="n"/>
    </row>
    <row r="37754" ht="14.25" customHeight="1" s="192">
      <c r="W37754" s="235" t="n"/>
      <c r="X37754" s="235" t="n"/>
    </row>
    <row r="37755" ht="14.25" customHeight="1" s="192">
      <c r="W37755" s="235" t="n"/>
      <c r="X37755" s="235" t="n"/>
    </row>
    <row r="37756" ht="14.25" customHeight="1" s="192">
      <c r="W37756" s="239" t="n"/>
      <c r="X37756" s="239" t="n"/>
    </row>
    <row r="37757" ht="14.25" customHeight="1" s="192">
      <c r="W37757" s="239" t="n"/>
      <c r="X37757" s="239" t="n"/>
    </row>
    <row r="37758" ht="14.25" customHeight="1" s="192">
      <c r="W37758" s="239" t="n"/>
      <c r="X37758" s="239" t="n"/>
    </row>
    <row r="37759" ht="14.25" customHeight="1" s="192">
      <c r="W37759" s="235" t="n"/>
      <c r="X37759" s="235" t="n"/>
    </row>
    <row r="37760" ht="14.25" customHeight="1" s="192">
      <c r="W37760" s="235" t="n"/>
      <c r="X37760" s="235" t="n"/>
    </row>
    <row r="37761" ht="14.25" customHeight="1" s="192">
      <c r="W37761" s="235" t="n"/>
      <c r="X37761" s="235" t="n"/>
    </row>
    <row r="37762" ht="14.25" customHeight="1" s="192">
      <c r="W37762" s="239" t="n"/>
      <c r="X37762" s="239" t="n"/>
    </row>
    <row r="37763" ht="14.25" customHeight="1" s="192">
      <c r="W37763" s="239" t="n"/>
      <c r="X37763" s="239" t="n"/>
    </row>
    <row r="37764" ht="14.25" customHeight="1" s="192">
      <c r="W37764" s="235" t="n"/>
      <c r="X37764" s="235" t="n"/>
    </row>
    <row r="37765" ht="14.25" customHeight="1" s="192">
      <c r="W37765" s="235" t="n"/>
      <c r="X37765" s="235" t="n"/>
    </row>
    <row r="37766" ht="14.25" customHeight="1" s="192">
      <c r="W37766" s="239" t="n"/>
      <c r="X37766" s="239" t="n"/>
    </row>
    <row r="37767" ht="14.25" customHeight="1" s="192">
      <c r="W37767" s="235" t="n"/>
      <c r="X37767" s="235" t="n"/>
    </row>
    <row r="37768" ht="14.25" customHeight="1" s="192">
      <c r="W37768" s="239" t="n"/>
      <c r="X37768" s="239" t="n"/>
    </row>
    <row r="37770" ht="14.25" customHeight="1" s="192">
      <c r="W37770" s="235" t="n"/>
      <c r="X37770" s="235" t="n"/>
    </row>
    <row r="37771" ht="15" customHeight="1" s="192" thickBot="1">
      <c r="W37771" s="239" t="n"/>
      <c r="X37771" s="239" t="n"/>
    </row>
    <row r="37772" ht="15" customHeight="1" s="192" thickBot="1">
      <c r="W37772" s="45" t="n"/>
      <c r="X37772" s="45" t="n"/>
    </row>
    <row r="37773" ht="14.25" customHeight="1" s="192">
      <c r="W37773" s="228" t="n"/>
      <c r="X37773" s="228" t="n"/>
    </row>
    <row r="37774" ht="14.25" customHeight="1" s="192">
      <c r="W37774" s="228" t="n"/>
      <c r="X37774" s="228" t="n"/>
    </row>
    <row r="37775" ht="14.25" customHeight="1" s="192">
      <c r="W37775" s="231" t="n"/>
      <c r="X37775" s="231" t="n"/>
    </row>
    <row r="37776" ht="14.25" customHeight="1" s="192">
      <c r="W37776" s="33" t="n"/>
      <c r="X37776" s="33" t="n"/>
    </row>
    <row r="37777" ht="14.25" customHeight="1" s="192">
      <c r="W37777" s="231" t="n"/>
      <c r="X37777" s="231" t="n"/>
    </row>
    <row r="37778" ht="14.25" customHeight="1" s="192">
      <c r="W37778" s="33" t="n"/>
      <c r="X37778" s="33" t="n"/>
    </row>
    <row r="37780" ht="14.25" customHeight="1" s="192">
      <c r="W37780" s="231" t="n"/>
      <c r="X37780" s="231" t="n"/>
    </row>
    <row r="37781" ht="14.25" customHeight="1" s="192">
      <c r="W37781" s="235" t="n"/>
      <c r="X37781" s="235" t="n"/>
    </row>
    <row r="37782" ht="14.25" customHeight="1" s="192">
      <c r="W37782" s="228" t="n"/>
      <c r="X37782" s="228" t="n"/>
    </row>
    <row r="37783" ht="14.25" customHeight="1" s="192">
      <c r="W37783" s="235" t="n"/>
      <c r="X37783" s="235" t="n"/>
    </row>
    <row r="37784" ht="14.25" customHeight="1" s="192">
      <c r="W37784" s="235" t="n"/>
      <c r="X37784" s="235" t="n"/>
    </row>
    <row r="37785" ht="14.25" customHeight="1" s="192">
      <c r="W37785" s="235" t="n"/>
      <c r="X37785" s="235" t="n"/>
    </row>
    <row r="37786" ht="14.25" customHeight="1" s="192">
      <c r="W37786" s="239" t="n"/>
      <c r="X37786" s="239" t="n"/>
    </row>
    <row r="37787" ht="14.25" customHeight="1" s="192">
      <c r="W37787" s="239" t="n"/>
      <c r="X37787" s="239" t="n"/>
    </row>
    <row r="37788" ht="14.25" customHeight="1" s="192">
      <c r="W37788" s="239" t="n"/>
      <c r="X37788" s="239" t="n"/>
    </row>
    <row r="37789" ht="14.25" customHeight="1" s="192">
      <c r="W37789" s="235" t="n"/>
      <c r="X37789" s="235" t="n"/>
    </row>
    <row r="37790" ht="14.25" customHeight="1" s="192">
      <c r="W37790" s="235" t="n"/>
      <c r="X37790" s="235" t="n"/>
    </row>
    <row r="37791" ht="14.25" customHeight="1" s="192">
      <c r="W37791" s="235" t="n"/>
      <c r="X37791" s="235" t="n"/>
    </row>
    <row r="37792" ht="14.25" customHeight="1" s="192">
      <c r="W37792" s="239" t="n"/>
      <c r="X37792" s="239" t="n"/>
    </row>
    <row r="37793" ht="14.25" customHeight="1" s="192">
      <c r="W37793" s="239" t="n"/>
      <c r="X37793" s="239" t="n"/>
    </row>
    <row r="37794" ht="14.25" customHeight="1" s="192">
      <c r="W37794" s="235" t="n"/>
      <c r="X37794" s="235" t="n"/>
    </row>
    <row r="37795" ht="14.25" customHeight="1" s="192">
      <c r="W37795" s="235" t="n"/>
      <c r="X37795" s="235" t="n"/>
    </row>
    <row r="37796" ht="14.25" customHeight="1" s="192">
      <c r="W37796" s="239" t="n"/>
      <c r="X37796" s="239" t="n"/>
    </row>
    <row r="37797" ht="14.25" customHeight="1" s="192">
      <c r="W37797" s="235" t="n"/>
      <c r="X37797" s="235" t="n"/>
    </row>
    <row r="37798" ht="14.25" customHeight="1" s="192">
      <c r="W37798" s="239" t="n"/>
      <c r="X37798" s="239" t="n"/>
    </row>
    <row r="37800" ht="14.25" customHeight="1" s="192">
      <c r="W37800" s="235" t="n"/>
      <c r="X37800" s="235" t="n"/>
    </row>
    <row r="37801" ht="15" customHeight="1" s="192" thickBot="1">
      <c r="W37801" s="239" t="n"/>
      <c r="X37801" s="239" t="n"/>
    </row>
    <row r="37802" ht="15" customHeight="1" s="192" thickBot="1">
      <c r="W37802" s="45" t="n"/>
      <c r="X37802" s="45" t="n"/>
    </row>
    <row r="37803" ht="14.25" customHeight="1" s="192">
      <c r="W37803" s="228" t="n"/>
      <c r="X37803" s="228" t="n"/>
    </row>
    <row r="37804" ht="14.25" customHeight="1" s="192">
      <c r="W37804" s="228" t="n"/>
      <c r="X37804" s="228" t="n"/>
    </row>
    <row r="37805" ht="14.25" customHeight="1" s="192">
      <c r="W37805" s="231" t="n"/>
      <c r="X37805" s="231" t="n"/>
    </row>
    <row r="37806" ht="14.25" customHeight="1" s="192">
      <c r="W37806" s="33" t="n"/>
      <c r="X37806" s="33" t="n"/>
    </row>
    <row r="37807" ht="14.25" customHeight="1" s="192">
      <c r="W37807" s="231" t="n"/>
      <c r="X37807" s="231" t="n"/>
    </row>
    <row r="37808" ht="14.25" customHeight="1" s="192">
      <c r="W37808" s="33" t="n"/>
      <c r="X37808" s="33" t="n"/>
    </row>
    <row r="37810" ht="14.25" customHeight="1" s="192">
      <c r="W37810" s="231" t="n"/>
      <c r="X37810" s="231" t="n"/>
    </row>
    <row r="37811" ht="14.25" customHeight="1" s="192">
      <c r="W37811" s="235" t="n"/>
      <c r="X37811" s="235" t="n"/>
    </row>
    <row r="37812" ht="14.25" customHeight="1" s="192">
      <c r="W37812" s="228" t="n"/>
      <c r="X37812" s="228" t="n"/>
    </row>
    <row r="37813" ht="14.25" customHeight="1" s="192">
      <c r="W37813" s="235" t="n"/>
      <c r="X37813" s="235" t="n"/>
    </row>
    <row r="37814" ht="14.25" customHeight="1" s="192">
      <c r="W37814" s="235" t="n"/>
      <c r="X37814" s="235" t="n"/>
    </row>
    <row r="37815" ht="14.25" customHeight="1" s="192">
      <c r="W37815" s="235" t="n"/>
      <c r="X37815" s="235" t="n"/>
    </row>
    <row r="37816" ht="14.25" customHeight="1" s="192">
      <c r="W37816" s="239" t="n"/>
      <c r="X37816" s="239" t="n"/>
    </row>
    <row r="37817" ht="14.25" customHeight="1" s="192">
      <c r="W37817" s="239" t="n"/>
      <c r="X37817" s="239" t="n"/>
    </row>
    <row r="37818" ht="14.25" customHeight="1" s="192">
      <c r="W37818" s="239" t="n"/>
      <c r="X37818" s="239" t="n"/>
    </row>
    <row r="37819" ht="14.25" customHeight="1" s="192">
      <c r="W37819" s="235" t="n"/>
      <c r="X37819" s="235" t="n"/>
    </row>
    <row r="37820" ht="14.25" customHeight="1" s="192">
      <c r="W37820" s="235" t="n"/>
      <c r="X37820" s="235" t="n"/>
    </row>
    <row r="37821" ht="14.25" customHeight="1" s="192">
      <c r="W37821" s="235" t="n"/>
      <c r="X37821" s="235" t="n"/>
    </row>
    <row r="37822" ht="14.25" customHeight="1" s="192">
      <c r="W37822" s="239" t="n"/>
      <c r="X37822" s="239" t="n"/>
    </row>
    <row r="37823" ht="14.25" customHeight="1" s="192">
      <c r="W37823" s="239" t="n"/>
      <c r="X37823" s="239" t="n"/>
    </row>
    <row r="37824" ht="14.25" customHeight="1" s="192">
      <c r="W37824" s="235" t="n"/>
      <c r="X37824" s="235" t="n"/>
    </row>
    <row r="37825" ht="14.25" customHeight="1" s="192">
      <c r="W37825" s="235" t="n"/>
      <c r="X37825" s="235" t="n"/>
    </row>
    <row r="37826" ht="14.25" customHeight="1" s="192">
      <c r="W37826" s="239" t="n"/>
      <c r="X37826" s="239" t="n"/>
    </row>
    <row r="37827" ht="14.25" customHeight="1" s="192">
      <c r="W37827" s="235" t="n"/>
      <c r="X37827" s="235" t="n"/>
    </row>
    <row r="37828" ht="14.25" customHeight="1" s="192">
      <c r="W37828" s="239" t="n"/>
      <c r="X37828" s="239" t="n"/>
    </row>
    <row r="37830" ht="14.25" customHeight="1" s="192">
      <c r="W37830" s="235" t="n"/>
      <c r="X37830" s="235" t="n"/>
    </row>
    <row r="37831" ht="15" customHeight="1" s="192" thickBot="1">
      <c r="W37831" s="239" t="n"/>
      <c r="X37831" s="239" t="n"/>
    </row>
    <row r="37832" ht="15" customHeight="1" s="192" thickBot="1">
      <c r="W37832" s="45" t="n"/>
      <c r="X37832" s="45" t="n"/>
    </row>
    <row r="37833" ht="14.25" customHeight="1" s="192">
      <c r="W37833" s="228" t="n"/>
      <c r="X37833" s="228" t="n"/>
    </row>
    <row r="37834" ht="14.25" customHeight="1" s="192">
      <c r="W37834" s="228" t="n"/>
      <c r="X37834" s="228" t="n"/>
    </row>
    <row r="37835" ht="14.25" customHeight="1" s="192">
      <c r="W37835" s="231" t="n"/>
      <c r="X37835" s="231" t="n"/>
    </row>
    <row r="37836" ht="14.25" customHeight="1" s="192">
      <c r="W37836" s="33" t="n"/>
      <c r="X37836" s="33" t="n"/>
    </row>
    <row r="37837" ht="14.25" customHeight="1" s="192">
      <c r="W37837" s="231" t="n"/>
      <c r="X37837" s="231" t="n"/>
    </row>
    <row r="37838" ht="14.25" customHeight="1" s="192">
      <c r="W37838" s="33" t="n"/>
      <c r="X37838" s="33" t="n"/>
    </row>
    <row r="37840" ht="14.25" customHeight="1" s="192">
      <c r="W37840" s="231" t="n"/>
      <c r="X37840" s="231" t="n"/>
    </row>
    <row r="37841" ht="14.25" customHeight="1" s="192">
      <c r="W37841" s="235" t="n"/>
      <c r="X37841" s="235" t="n"/>
    </row>
    <row r="37842" ht="14.25" customHeight="1" s="192">
      <c r="W37842" s="228" t="n"/>
      <c r="X37842" s="228" t="n"/>
    </row>
    <row r="37843" ht="14.25" customHeight="1" s="192">
      <c r="W37843" s="235" t="n"/>
      <c r="X37843" s="235" t="n"/>
    </row>
    <row r="37844" ht="14.25" customHeight="1" s="192">
      <c r="W37844" s="235" t="n"/>
      <c r="X37844" s="235" t="n"/>
    </row>
    <row r="37845" ht="14.25" customHeight="1" s="192">
      <c r="W37845" s="235" t="n"/>
      <c r="X37845" s="235" t="n"/>
    </row>
    <row r="37846" ht="14.25" customHeight="1" s="192">
      <c r="W37846" s="239" t="n"/>
      <c r="X37846" s="239" t="n"/>
    </row>
    <row r="37847" ht="14.25" customHeight="1" s="192">
      <c r="W37847" s="239" t="n"/>
      <c r="X37847" s="239" t="n"/>
    </row>
    <row r="37848" ht="14.25" customHeight="1" s="192">
      <c r="W37848" s="239" t="n"/>
      <c r="X37848" s="239" t="n"/>
    </row>
    <row r="37849" ht="14.25" customHeight="1" s="192">
      <c r="W37849" s="235" t="n"/>
      <c r="X37849" s="235" t="n"/>
    </row>
    <row r="37850" ht="14.25" customHeight="1" s="192">
      <c r="W37850" s="235" t="n"/>
      <c r="X37850" s="235" t="n"/>
    </row>
    <row r="37851" ht="14.25" customHeight="1" s="192">
      <c r="W37851" s="235" t="n"/>
      <c r="X37851" s="235" t="n"/>
    </row>
    <row r="37852" ht="14.25" customHeight="1" s="192">
      <c r="W37852" s="239" t="n"/>
      <c r="X37852" s="239" t="n"/>
    </row>
    <row r="37853" ht="14.25" customHeight="1" s="192">
      <c r="W37853" s="239" t="n"/>
      <c r="X37853" s="239" t="n"/>
    </row>
    <row r="37854" ht="14.25" customHeight="1" s="192">
      <c r="W37854" s="235" t="n"/>
      <c r="X37854" s="235" t="n"/>
    </row>
    <row r="37855" ht="14.25" customHeight="1" s="192">
      <c r="W37855" s="235" t="n"/>
      <c r="X37855" s="235" t="n"/>
    </row>
    <row r="37856" ht="14.25" customHeight="1" s="192">
      <c r="W37856" s="239" t="n"/>
      <c r="X37856" s="239" t="n"/>
    </row>
    <row r="37857" ht="14.25" customHeight="1" s="192">
      <c r="W37857" s="235" t="n"/>
      <c r="X37857" s="235" t="n"/>
    </row>
    <row r="37858" ht="14.25" customHeight="1" s="192">
      <c r="W37858" s="239" t="n"/>
      <c r="X37858" s="239" t="n"/>
    </row>
    <row r="37860" ht="14.25" customHeight="1" s="192">
      <c r="W37860" s="235" t="n"/>
      <c r="X37860" s="235" t="n"/>
    </row>
    <row r="37861" ht="15" customHeight="1" s="192" thickBot="1">
      <c r="W37861" s="239" t="n"/>
      <c r="X37861" s="239" t="n"/>
    </row>
    <row r="37862" ht="15" customHeight="1" s="192" thickBot="1">
      <c r="W37862" s="45" t="n"/>
      <c r="X37862" s="45" t="n"/>
    </row>
    <row r="37863" ht="14.25" customHeight="1" s="192">
      <c r="W37863" s="228" t="n"/>
      <c r="X37863" s="228" t="n"/>
    </row>
    <row r="37864" ht="14.25" customHeight="1" s="192">
      <c r="W37864" s="228" t="n"/>
      <c r="X37864" s="228" t="n"/>
    </row>
    <row r="37865" ht="14.25" customHeight="1" s="192">
      <c r="W37865" s="231" t="n"/>
      <c r="X37865" s="231" t="n"/>
    </row>
    <row r="37866" ht="14.25" customHeight="1" s="192">
      <c r="W37866" s="33" t="n"/>
      <c r="X37866" s="33" t="n"/>
    </row>
    <row r="37867" ht="14.25" customHeight="1" s="192">
      <c r="W37867" s="231" t="n"/>
      <c r="X37867" s="231" t="n"/>
    </row>
    <row r="37868" ht="14.25" customHeight="1" s="192">
      <c r="W37868" s="33" t="n"/>
      <c r="X37868" s="33" t="n"/>
    </row>
    <row r="37870" ht="14.25" customHeight="1" s="192">
      <c r="W37870" s="231" t="n"/>
      <c r="X37870" s="231" t="n"/>
    </row>
    <row r="37871" ht="14.25" customHeight="1" s="192">
      <c r="W37871" s="235" t="n"/>
      <c r="X37871" s="235" t="n"/>
    </row>
    <row r="37872" ht="14.25" customHeight="1" s="192">
      <c r="W37872" s="228" t="n"/>
      <c r="X37872" s="228" t="n"/>
    </row>
    <row r="37873" ht="14.25" customHeight="1" s="192">
      <c r="W37873" s="235" t="n"/>
      <c r="X37873" s="235" t="n"/>
    </row>
    <row r="37874" ht="14.25" customHeight="1" s="192">
      <c r="W37874" s="235" t="n"/>
      <c r="X37874" s="235" t="n"/>
    </row>
    <row r="37875" ht="14.25" customHeight="1" s="192">
      <c r="W37875" s="235" t="n"/>
      <c r="X37875" s="235" t="n"/>
    </row>
    <row r="37876" ht="14.25" customHeight="1" s="192">
      <c r="W37876" s="239" t="n"/>
      <c r="X37876" s="239" t="n"/>
    </row>
    <row r="37877" ht="14.25" customHeight="1" s="192">
      <c r="W37877" s="239" t="n"/>
      <c r="X37877" s="239" t="n"/>
    </row>
    <row r="37878" ht="14.25" customHeight="1" s="192">
      <c r="W37878" s="239" t="n"/>
      <c r="X37878" s="239" t="n"/>
    </row>
    <row r="37879" ht="14.25" customHeight="1" s="192">
      <c r="W37879" s="235" t="n"/>
      <c r="X37879" s="235" t="n"/>
    </row>
    <row r="37880" ht="14.25" customHeight="1" s="192">
      <c r="W37880" s="235" t="n"/>
      <c r="X37880" s="235" t="n"/>
    </row>
    <row r="37881" ht="14.25" customHeight="1" s="192">
      <c r="W37881" s="235" t="n"/>
      <c r="X37881" s="235" t="n"/>
    </row>
    <row r="37882" ht="14.25" customHeight="1" s="192">
      <c r="W37882" s="239" t="n"/>
      <c r="X37882" s="239" t="n"/>
    </row>
    <row r="37883" ht="14.25" customHeight="1" s="192">
      <c r="W37883" s="239" t="n"/>
      <c r="X37883" s="239" t="n"/>
    </row>
    <row r="37884" ht="14.25" customHeight="1" s="192">
      <c r="W37884" s="235" t="n"/>
      <c r="X37884" s="235" t="n"/>
    </row>
    <row r="37885" ht="14.25" customHeight="1" s="192">
      <c r="W37885" s="235" t="n"/>
      <c r="X37885" s="235" t="n"/>
    </row>
    <row r="37886" ht="14.25" customHeight="1" s="192">
      <c r="W37886" s="239" t="n"/>
      <c r="X37886" s="239" t="n"/>
    </row>
    <row r="37887" ht="14.25" customHeight="1" s="192">
      <c r="W37887" s="235" t="n"/>
      <c r="X37887" s="235" t="n"/>
    </row>
    <row r="37888" ht="14.25" customHeight="1" s="192">
      <c r="W37888" s="239" t="n"/>
      <c r="X37888" s="239" t="n"/>
    </row>
    <row r="37890" ht="14.25" customHeight="1" s="192">
      <c r="W37890" s="235" t="n"/>
      <c r="X37890" s="235" t="n"/>
    </row>
    <row r="37891" ht="15" customHeight="1" s="192" thickBot="1">
      <c r="W37891" s="239" t="n"/>
      <c r="X37891" s="239" t="n"/>
    </row>
    <row r="37892" ht="15" customHeight="1" s="192" thickBot="1">
      <c r="W37892" s="45" t="n"/>
      <c r="X37892" s="45" t="n"/>
    </row>
    <row r="37893" ht="14.25" customHeight="1" s="192">
      <c r="W37893" s="228" t="n"/>
      <c r="X37893" s="228" t="n"/>
    </row>
    <row r="37894" ht="14.25" customHeight="1" s="192">
      <c r="W37894" s="228" t="n"/>
      <c r="X37894" s="228" t="n"/>
    </row>
    <row r="37895" ht="14.25" customHeight="1" s="192">
      <c r="W37895" s="231" t="n"/>
      <c r="X37895" s="231" t="n"/>
    </row>
    <row r="37896" ht="14.25" customHeight="1" s="192">
      <c r="W37896" s="33" t="n"/>
      <c r="X37896" s="33" t="n"/>
    </row>
    <row r="37897" ht="14.25" customHeight="1" s="192">
      <c r="W37897" s="231" t="n"/>
      <c r="X37897" s="231" t="n"/>
    </row>
    <row r="37898" ht="14.25" customHeight="1" s="192">
      <c r="W37898" s="33" t="n"/>
      <c r="X37898" s="33" t="n"/>
    </row>
    <row r="37900" ht="14.25" customHeight="1" s="192">
      <c r="W37900" s="231" t="n"/>
      <c r="X37900" s="231" t="n"/>
    </row>
    <row r="37901" ht="14.25" customHeight="1" s="192">
      <c r="W37901" s="235" t="n"/>
      <c r="X37901" s="235" t="n"/>
    </row>
    <row r="37902" ht="14.25" customHeight="1" s="192">
      <c r="W37902" s="228" t="n"/>
      <c r="X37902" s="228" t="n"/>
    </row>
    <row r="37903" ht="14.25" customHeight="1" s="192">
      <c r="W37903" s="235" t="n"/>
      <c r="X37903" s="235" t="n"/>
    </row>
    <row r="37904" ht="14.25" customHeight="1" s="192">
      <c r="W37904" s="235" t="n"/>
      <c r="X37904" s="235" t="n"/>
    </row>
    <row r="37905" ht="14.25" customHeight="1" s="192">
      <c r="W37905" s="235" t="n"/>
      <c r="X37905" s="235" t="n"/>
    </row>
    <row r="37906" ht="14.25" customHeight="1" s="192">
      <c r="W37906" s="239" t="n"/>
      <c r="X37906" s="239" t="n"/>
    </row>
    <row r="37907" ht="14.25" customHeight="1" s="192">
      <c r="W37907" s="239" t="n"/>
      <c r="X37907" s="239" t="n"/>
    </row>
    <row r="37908" ht="14.25" customHeight="1" s="192">
      <c r="W37908" s="239" t="n"/>
      <c r="X37908" s="239" t="n"/>
    </row>
    <row r="37909" ht="14.25" customHeight="1" s="192">
      <c r="W37909" s="235" t="n"/>
      <c r="X37909" s="235" t="n"/>
    </row>
    <row r="37910" ht="14.25" customHeight="1" s="192">
      <c r="W37910" s="235" t="n"/>
      <c r="X37910" s="235" t="n"/>
    </row>
    <row r="37911" ht="14.25" customHeight="1" s="192">
      <c r="W37911" s="235" t="n"/>
      <c r="X37911" s="235" t="n"/>
    </row>
    <row r="37912" ht="14.25" customHeight="1" s="192">
      <c r="W37912" s="239" t="n"/>
      <c r="X37912" s="239" t="n"/>
    </row>
    <row r="37913" ht="14.25" customHeight="1" s="192">
      <c r="W37913" s="239" t="n"/>
      <c r="X37913" s="239" t="n"/>
    </row>
    <row r="37914" ht="14.25" customHeight="1" s="192">
      <c r="W37914" s="235" t="n"/>
      <c r="X37914" s="235" t="n"/>
    </row>
    <row r="37915" ht="14.25" customHeight="1" s="192">
      <c r="W37915" s="235" t="n"/>
      <c r="X37915" s="235" t="n"/>
    </row>
    <row r="37916" ht="14.25" customHeight="1" s="192">
      <c r="W37916" s="239" t="n"/>
      <c r="X37916" s="239" t="n"/>
    </row>
    <row r="37917" ht="14.25" customHeight="1" s="192">
      <c r="W37917" s="235" t="n"/>
      <c r="X37917" s="235" t="n"/>
    </row>
    <row r="37918" ht="14.25" customHeight="1" s="192">
      <c r="W37918" s="239" t="n"/>
      <c r="X37918" s="239" t="n"/>
    </row>
    <row r="37920" ht="14.25" customHeight="1" s="192">
      <c r="W37920" s="235" t="n"/>
      <c r="X37920" s="235" t="n"/>
    </row>
    <row r="37921" ht="15" customHeight="1" s="192" thickBot="1">
      <c r="W37921" s="239" t="n"/>
      <c r="X37921" s="239" t="n"/>
    </row>
    <row r="37922" ht="15" customHeight="1" s="192" thickBot="1">
      <c r="W37922" s="45" t="n"/>
      <c r="X37922" s="45" t="n"/>
    </row>
    <row r="37923" ht="14.25" customHeight="1" s="192">
      <c r="W37923" s="228" t="n"/>
      <c r="X37923" s="228" t="n"/>
    </row>
    <row r="37924" ht="14.25" customHeight="1" s="192">
      <c r="W37924" s="228" t="n"/>
      <c r="X37924" s="228" t="n"/>
    </row>
    <row r="37925" ht="14.25" customHeight="1" s="192">
      <c r="W37925" s="231" t="n"/>
      <c r="X37925" s="231" t="n"/>
    </row>
    <row r="37926" ht="14.25" customHeight="1" s="192">
      <c r="W37926" s="33" t="n"/>
      <c r="X37926" s="33" t="n"/>
    </row>
    <row r="37927" ht="14.25" customHeight="1" s="192">
      <c r="W37927" s="231" t="n"/>
      <c r="X37927" s="231" t="n"/>
    </row>
    <row r="37928" ht="14.25" customHeight="1" s="192">
      <c r="W37928" s="33" t="n"/>
      <c r="X37928" s="33" t="n"/>
    </row>
    <row r="37930" ht="14.25" customHeight="1" s="192">
      <c r="W37930" s="231" t="n"/>
      <c r="X37930" s="231" t="n"/>
    </row>
    <row r="37931" ht="14.25" customHeight="1" s="192">
      <c r="W37931" s="235" t="n"/>
      <c r="X37931" s="235" t="n"/>
    </row>
    <row r="37932" ht="14.25" customHeight="1" s="192">
      <c r="W37932" s="228" t="n"/>
      <c r="X37932" s="228" t="n"/>
    </row>
    <row r="37933" ht="14.25" customHeight="1" s="192">
      <c r="W37933" s="235" t="n"/>
      <c r="X37933" s="235" t="n"/>
    </row>
    <row r="37934" ht="14.25" customHeight="1" s="192">
      <c r="W37934" s="235" t="n"/>
      <c r="X37934" s="235" t="n"/>
    </row>
    <row r="37935" ht="14.25" customHeight="1" s="192">
      <c r="W37935" s="235" t="n"/>
      <c r="X37935" s="235" t="n"/>
    </row>
    <row r="37936" ht="14.25" customHeight="1" s="192">
      <c r="W37936" s="239" t="n"/>
      <c r="X37936" s="239" t="n"/>
    </row>
    <row r="37937" ht="14.25" customHeight="1" s="192">
      <c r="W37937" s="239" t="n"/>
      <c r="X37937" s="239" t="n"/>
    </row>
    <row r="37938" ht="14.25" customHeight="1" s="192">
      <c r="W37938" s="239" t="n"/>
      <c r="X37938" s="239" t="n"/>
    </row>
    <row r="37939" ht="14.25" customHeight="1" s="192">
      <c r="W37939" s="235" t="n"/>
      <c r="X37939" s="235" t="n"/>
    </row>
    <row r="37940" ht="14.25" customHeight="1" s="192">
      <c r="W37940" s="235" t="n"/>
      <c r="X37940" s="235" t="n"/>
    </row>
    <row r="37941" ht="14.25" customHeight="1" s="192">
      <c r="W37941" s="235" t="n"/>
      <c r="X37941" s="235" t="n"/>
    </row>
    <row r="37942" ht="14.25" customHeight="1" s="192">
      <c r="W37942" s="239" t="n"/>
      <c r="X37942" s="239" t="n"/>
    </row>
    <row r="37943" ht="14.25" customHeight="1" s="192">
      <c r="W37943" s="239" t="n"/>
      <c r="X37943" s="239" t="n"/>
    </row>
    <row r="37944" ht="14.25" customHeight="1" s="192">
      <c r="W37944" s="235" t="n"/>
      <c r="X37944" s="235" t="n"/>
    </row>
    <row r="37945" ht="14.25" customHeight="1" s="192">
      <c r="W37945" s="235" t="n"/>
      <c r="X37945" s="235" t="n"/>
    </row>
    <row r="37946" ht="14.25" customHeight="1" s="192">
      <c r="W37946" s="239" t="n"/>
      <c r="X37946" s="239" t="n"/>
    </row>
    <row r="37947" ht="14.25" customHeight="1" s="192">
      <c r="W37947" s="235" t="n"/>
      <c r="X37947" s="235" t="n"/>
    </row>
    <row r="37948" ht="14.25" customHeight="1" s="192">
      <c r="W37948" s="239" t="n"/>
      <c r="X37948" s="239" t="n"/>
    </row>
    <row r="37950" ht="14.25" customHeight="1" s="192">
      <c r="W37950" s="235" t="n"/>
      <c r="X37950" s="235" t="n"/>
    </row>
    <row r="37951" ht="15" customHeight="1" s="192" thickBot="1">
      <c r="W37951" s="239" t="n"/>
      <c r="X37951" s="239" t="n"/>
    </row>
    <row r="37952" ht="15" customHeight="1" s="192" thickBot="1">
      <c r="W37952" s="45" t="n"/>
      <c r="X37952" s="45" t="n"/>
    </row>
    <row r="37953" ht="14.25" customHeight="1" s="192">
      <c r="W37953" s="228" t="n"/>
      <c r="X37953" s="228" t="n"/>
    </row>
    <row r="37954" ht="14.25" customHeight="1" s="192">
      <c r="W37954" s="228" t="n"/>
      <c r="X37954" s="228" t="n"/>
    </row>
    <row r="37955" ht="14.25" customHeight="1" s="192">
      <c r="W37955" s="231" t="n"/>
      <c r="X37955" s="231" t="n"/>
    </row>
    <row r="37956" ht="14.25" customHeight="1" s="192">
      <c r="W37956" s="33" t="n"/>
      <c r="X37956" s="33" t="n"/>
    </row>
    <row r="37957" ht="14.25" customHeight="1" s="192">
      <c r="W37957" s="231" t="n"/>
      <c r="X37957" s="231" t="n"/>
    </row>
    <row r="37958" ht="14.25" customHeight="1" s="192">
      <c r="W37958" s="33" t="n"/>
      <c r="X37958" s="33" t="n"/>
    </row>
    <row r="37960" ht="14.25" customHeight="1" s="192">
      <c r="W37960" s="231" t="n"/>
      <c r="X37960" s="231" t="n"/>
    </row>
    <row r="37961" ht="14.25" customHeight="1" s="192">
      <c r="W37961" s="235" t="n"/>
      <c r="X37961" s="235" t="n"/>
    </row>
    <row r="37962" ht="14.25" customHeight="1" s="192">
      <c r="W37962" s="228" t="n"/>
      <c r="X37962" s="228" t="n"/>
    </row>
    <row r="37963" ht="14.25" customHeight="1" s="192">
      <c r="W37963" s="235" t="n"/>
      <c r="X37963" s="235" t="n"/>
    </row>
    <row r="37964" ht="14.25" customHeight="1" s="192">
      <c r="W37964" s="235" t="n"/>
      <c r="X37964" s="235" t="n"/>
    </row>
    <row r="37965" ht="14.25" customHeight="1" s="192">
      <c r="W37965" s="235" t="n"/>
      <c r="X37965" s="235" t="n"/>
    </row>
    <row r="37966" ht="14.25" customHeight="1" s="192">
      <c r="W37966" s="239" t="n"/>
      <c r="X37966" s="239" t="n"/>
    </row>
    <row r="37967" ht="14.25" customHeight="1" s="192">
      <c r="W37967" s="239" t="n"/>
      <c r="X37967" s="239" t="n"/>
    </row>
    <row r="37968" ht="14.25" customHeight="1" s="192">
      <c r="W37968" s="239" t="n"/>
      <c r="X37968" s="239" t="n"/>
    </row>
    <row r="37969" ht="14.25" customHeight="1" s="192">
      <c r="W37969" s="235" t="n"/>
      <c r="X37969" s="235" t="n"/>
    </row>
    <row r="37970" ht="14.25" customHeight="1" s="192">
      <c r="W37970" s="235" t="n"/>
      <c r="X37970" s="235" t="n"/>
    </row>
    <row r="37971" ht="14.25" customHeight="1" s="192">
      <c r="W37971" s="235" t="n"/>
      <c r="X37971" s="235" t="n"/>
    </row>
    <row r="37972" ht="14.25" customHeight="1" s="192">
      <c r="W37972" s="239" t="n"/>
      <c r="X37972" s="239" t="n"/>
    </row>
    <row r="37973" ht="14.25" customHeight="1" s="192">
      <c r="W37973" s="239" t="n"/>
      <c r="X37973" s="239" t="n"/>
    </row>
    <row r="37974" ht="14.25" customHeight="1" s="192">
      <c r="W37974" s="235" t="n"/>
      <c r="X37974" s="235" t="n"/>
    </row>
    <row r="37975" ht="14.25" customHeight="1" s="192">
      <c r="W37975" s="235" t="n"/>
      <c r="X37975" s="235" t="n"/>
    </row>
    <row r="37976" ht="14.25" customHeight="1" s="192">
      <c r="W37976" s="239" t="n"/>
      <c r="X37976" s="239" t="n"/>
    </row>
    <row r="37977" ht="14.25" customHeight="1" s="192">
      <c r="W37977" s="235" t="n"/>
      <c r="X37977" s="235" t="n"/>
    </row>
    <row r="37978" ht="14.25" customHeight="1" s="192">
      <c r="W37978" s="239" t="n"/>
      <c r="X37978" s="239" t="n"/>
    </row>
    <row r="37980" ht="14.25" customHeight="1" s="192">
      <c r="W37980" s="235" t="n"/>
      <c r="X37980" s="235" t="n"/>
    </row>
    <row r="37981" ht="15" customHeight="1" s="192" thickBot="1">
      <c r="W37981" s="239" t="n"/>
      <c r="X37981" s="239" t="n"/>
    </row>
    <row r="37982" ht="15" customHeight="1" s="192" thickBot="1">
      <c r="W37982" s="45" t="n"/>
      <c r="X37982" s="45" t="n"/>
    </row>
    <row r="37983" ht="14.25" customHeight="1" s="192">
      <c r="W37983" s="228" t="n"/>
      <c r="X37983" s="228" t="n"/>
    </row>
    <row r="37984" ht="14.25" customHeight="1" s="192">
      <c r="W37984" s="228" t="n"/>
      <c r="X37984" s="228" t="n"/>
    </row>
    <row r="37985" ht="14.25" customHeight="1" s="192">
      <c r="W37985" s="231" t="n"/>
      <c r="X37985" s="231" t="n"/>
    </row>
    <row r="37986" ht="14.25" customHeight="1" s="192">
      <c r="W37986" s="33" t="n"/>
      <c r="X37986" s="33" t="n"/>
    </row>
    <row r="37987" ht="14.25" customHeight="1" s="192">
      <c r="W37987" s="231" t="n"/>
      <c r="X37987" s="231" t="n"/>
    </row>
    <row r="37988" ht="14.25" customHeight="1" s="192">
      <c r="W37988" s="33" t="n"/>
      <c r="X37988" s="33" t="n"/>
    </row>
    <row r="37990" ht="14.25" customHeight="1" s="192">
      <c r="W37990" s="231" t="n"/>
      <c r="X37990" s="231" t="n"/>
    </row>
    <row r="37991" ht="14.25" customHeight="1" s="192">
      <c r="W37991" s="235" t="n"/>
      <c r="X37991" s="235" t="n"/>
    </row>
    <row r="37992" ht="14.25" customHeight="1" s="192">
      <c r="W37992" s="228" t="n"/>
      <c r="X37992" s="228" t="n"/>
    </row>
    <row r="37993" ht="14.25" customHeight="1" s="192">
      <c r="W37993" s="235" t="n"/>
      <c r="X37993" s="235" t="n"/>
    </row>
    <row r="37994" ht="14.25" customHeight="1" s="192">
      <c r="W37994" s="235" t="n"/>
      <c r="X37994" s="235" t="n"/>
    </row>
    <row r="37995" ht="14.25" customHeight="1" s="192">
      <c r="W37995" s="235" t="n"/>
      <c r="X37995" s="235" t="n"/>
    </row>
    <row r="37996" ht="14.25" customHeight="1" s="192">
      <c r="W37996" s="239" t="n"/>
      <c r="X37996" s="239" t="n"/>
    </row>
    <row r="37997" ht="14.25" customHeight="1" s="192">
      <c r="W37997" s="239" t="n"/>
      <c r="X37997" s="239" t="n"/>
    </row>
    <row r="37998" ht="14.25" customHeight="1" s="192">
      <c r="W37998" s="239" t="n"/>
      <c r="X37998" s="239" t="n"/>
    </row>
    <row r="37999" ht="14.25" customHeight="1" s="192">
      <c r="W37999" s="235" t="n"/>
      <c r="X37999" s="235" t="n"/>
    </row>
    <row r="38000" ht="14.25" customHeight="1" s="192">
      <c r="W38000" s="235" t="n"/>
      <c r="X38000" s="235" t="n"/>
    </row>
    <row r="38001" ht="14.25" customHeight="1" s="192">
      <c r="W38001" s="235" t="n"/>
      <c r="X38001" s="235" t="n"/>
    </row>
    <row r="38002" ht="14.25" customHeight="1" s="192">
      <c r="W38002" s="239" t="n"/>
      <c r="X38002" s="239" t="n"/>
    </row>
    <row r="38003" ht="14.25" customHeight="1" s="192">
      <c r="W38003" s="239" t="n"/>
      <c r="X38003" s="239" t="n"/>
    </row>
    <row r="38004" ht="14.25" customHeight="1" s="192">
      <c r="W38004" s="235" t="n"/>
      <c r="X38004" s="235" t="n"/>
    </row>
    <row r="38005" ht="14.25" customHeight="1" s="192">
      <c r="W38005" s="235" t="n"/>
      <c r="X38005" s="235" t="n"/>
    </row>
    <row r="38006" ht="14.25" customHeight="1" s="192">
      <c r="W38006" s="239" t="n"/>
      <c r="X38006" s="239" t="n"/>
    </row>
    <row r="38007" ht="14.25" customHeight="1" s="192">
      <c r="W38007" s="235" t="n"/>
      <c r="X38007" s="235" t="n"/>
    </row>
    <row r="38008" ht="14.25" customHeight="1" s="192">
      <c r="W38008" s="239" t="n"/>
      <c r="X38008" s="239" t="n"/>
    </row>
    <row r="38010" ht="14.25" customHeight="1" s="192">
      <c r="W38010" s="235" t="n"/>
      <c r="X38010" s="235" t="n"/>
    </row>
    <row r="38011" ht="15" customHeight="1" s="192" thickBot="1">
      <c r="W38011" s="239" t="n"/>
      <c r="X38011" s="239" t="n"/>
    </row>
    <row r="38012" ht="15" customHeight="1" s="192" thickBot="1">
      <c r="W38012" s="45" t="n"/>
      <c r="X38012" s="45" t="n"/>
    </row>
    <row r="38013" ht="14.25" customHeight="1" s="192">
      <c r="W38013" s="228" t="n"/>
      <c r="X38013" s="228" t="n"/>
    </row>
    <row r="38014" ht="14.25" customHeight="1" s="192">
      <c r="W38014" s="228" t="n"/>
      <c r="X38014" s="228" t="n"/>
    </row>
    <row r="38015" ht="14.25" customHeight="1" s="192">
      <c r="W38015" s="231" t="n"/>
      <c r="X38015" s="231" t="n"/>
    </row>
    <row r="38016" ht="14.25" customHeight="1" s="192">
      <c r="W38016" s="33" t="n"/>
      <c r="X38016" s="33" t="n"/>
    </row>
    <row r="38017" ht="14.25" customHeight="1" s="192">
      <c r="W38017" s="231" t="n"/>
      <c r="X38017" s="231" t="n"/>
    </row>
    <row r="38018" ht="14.25" customHeight="1" s="192">
      <c r="W38018" s="33" t="n"/>
      <c r="X38018" s="33" t="n"/>
    </row>
    <row r="38020" ht="14.25" customHeight="1" s="192">
      <c r="W38020" s="231" t="n"/>
      <c r="X38020" s="231" t="n"/>
    </row>
    <row r="38021" ht="14.25" customHeight="1" s="192">
      <c r="W38021" s="235" t="n"/>
      <c r="X38021" s="235" t="n"/>
    </row>
    <row r="38022" ht="14.25" customHeight="1" s="192">
      <c r="W38022" s="228" t="n"/>
      <c r="X38022" s="228" t="n"/>
    </row>
    <row r="38023" ht="14.25" customHeight="1" s="192">
      <c r="W38023" s="235" t="n"/>
      <c r="X38023" s="235" t="n"/>
    </row>
    <row r="38024" ht="14.25" customHeight="1" s="192">
      <c r="W38024" s="235" t="n"/>
      <c r="X38024" s="235" t="n"/>
    </row>
    <row r="38025" ht="14.25" customHeight="1" s="192">
      <c r="W38025" s="235" t="n"/>
      <c r="X38025" s="235" t="n"/>
    </row>
    <row r="38026" ht="14.25" customHeight="1" s="192">
      <c r="W38026" s="239" t="n"/>
      <c r="X38026" s="239" t="n"/>
    </row>
    <row r="38027" ht="14.25" customHeight="1" s="192">
      <c r="W38027" s="239" t="n"/>
      <c r="X38027" s="239" t="n"/>
    </row>
    <row r="38028" ht="14.25" customHeight="1" s="192">
      <c r="W38028" s="239" t="n"/>
      <c r="X38028" s="239" t="n"/>
    </row>
    <row r="38029" ht="14.25" customHeight="1" s="192">
      <c r="W38029" s="235" t="n"/>
      <c r="X38029" s="235" t="n"/>
    </row>
    <row r="38030" ht="14.25" customHeight="1" s="192">
      <c r="W38030" s="235" t="n"/>
      <c r="X38030" s="235" t="n"/>
    </row>
    <row r="38031" ht="14.25" customHeight="1" s="192">
      <c r="W38031" s="235" t="n"/>
      <c r="X38031" s="235" t="n"/>
    </row>
    <row r="38032" ht="14.25" customHeight="1" s="192">
      <c r="W38032" s="239" t="n"/>
      <c r="X38032" s="239" t="n"/>
    </row>
    <row r="38033" ht="14.25" customHeight="1" s="192">
      <c r="W38033" s="239" t="n"/>
      <c r="X38033" s="239" t="n"/>
    </row>
    <row r="38034" ht="14.25" customHeight="1" s="192">
      <c r="W38034" s="235" t="n"/>
      <c r="X38034" s="235" t="n"/>
    </row>
    <row r="38035" ht="14.25" customHeight="1" s="192">
      <c r="W38035" s="235" t="n"/>
      <c r="X38035" s="235" t="n"/>
    </row>
    <row r="38036" ht="14.25" customHeight="1" s="192">
      <c r="W38036" s="239" t="n"/>
      <c r="X38036" s="239" t="n"/>
    </row>
    <row r="38037" ht="14.25" customHeight="1" s="192">
      <c r="W38037" s="235" t="n"/>
      <c r="X38037" s="235" t="n"/>
    </row>
    <row r="38038" ht="14.25" customHeight="1" s="192">
      <c r="W38038" s="239" t="n"/>
      <c r="X38038" s="239" t="n"/>
    </row>
    <row r="38040" ht="14.25" customHeight="1" s="192">
      <c r="W38040" s="235" t="n"/>
      <c r="X38040" s="235" t="n"/>
    </row>
    <row r="38041" ht="15" customHeight="1" s="192" thickBot="1">
      <c r="W38041" s="239" t="n"/>
      <c r="X38041" s="239" t="n"/>
    </row>
    <row r="38042" ht="15" customHeight="1" s="192" thickBot="1">
      <c r="W38042" s="45" t="n"/>
      <c r="X38042" s="45" t="n"/>
    </row>
    <row r="38043" ht="14.25" customHeight="1" s="192">
      <c r="W38043" s="228" t="n"/>
      <c r="X38043" s="228" t="n"/>
    </row>
    <row r="38044" ht="14.25" customHeight="1" s="192">
      <c r="W38044" s="228" t="n"/>
      <c r="X38044" s="228" t="n"/>
    </row>
    <row r="38045" ht="14.25" customHeight="1" s="192">
      <c r="W38045" s="231" t="n"/>
      <c r="X38045" s="231" t="n"/>
    </row>
    <row r="38046" ht="14.25" customHeight="1" s="192">
      <c r="W38046" s="33" t="n"/>
      <c r="X38046" s="33" t="n"/>
    </row>
    <row r="38047" ht="14.25" customHeight="1" s="192">
      <c r="W38047" s="231" t="n"/>
      <c r="X38047" s="231" t="n"/>
    </row>
    <row r="38048" ht="14.25" customHeight="1" s="192">
      <c r="W38048" s="33" t="n"/>
      <c r="X38048" s="33" t="n"/>
    </row>
    <row r="38050" ht="14.25" customHeight="1" s="192">
      <c r="W38050" s="231" t="n"/>
      <c r="X38050" s="231" t="n"/>
    </row>
    <row r="38051" ht="14.25" customHeight="1" s="192">
      <c r="W38051" s="235" t="n"/>
      <c r="X38051" s="235" t="n"/>
    </row>
    <row r="38052" ht="14.25" customHeight="1" s="192">
      <c r="W38052" s="228" t="n"/>
      <c r="X38052" s="228" t="n"/>
    </row>
    <row r="38053" ht="14.25" customHeight="1" s="192">
      <c r="W38053" s="235" t="n"/>
      <c r="X38053" s="235" t="n"/>
    </row>
    <row r="38054" ht="14.25" customHeight="1" s="192">
      <c r="W38054" s="235" t="n"/>
      <c r="X38054" s="235" t="n"/>
    </row>
    <row r="38055" ht="14.25" customHeight="1" s="192">
      <c r="W38055" s="235" t="n"/>
      <c r="X38055" s="235" t="n"/>
    </row>
    <row r="38056" ht="14.25" customHeight="1" s="192">
      <c r="W38056" s="239" t="n"/>
      <c r="X38056" s="239" t="n"/>
    </row>
    <row r="38057" ht="14.25" customHeight="1" s="192">
      <c r="W38057" s="239" t="n"/>
      <c r="X38057" s="239" t="n"/>
    </row>
    <row r="38058" ht="14.25" customHeight="1" s="192">
      <c r="W38058" s="239" t="n"/>
      <c r="X38058" s="239" t="n"/>
    </row>
    <row r="38059" ht="14.25" customHeight="1" s="192">
      <c r="W38059" s="235" t="n"/>
      <c r="X38059" s="235" t="n"/>
    </row>
    <row r="38060" ht="14.25" customHeight="1" s="192">
      <c r="W38060" s="235" t="n"/>
      <c r="X38060" s="235" t="n"/>
    </row>
    <row r="38061" ht="14.25" customHeight="1" s="192">
      <c r="W38061" s="235" t="n"/>
      <c r="X38061" s="235" t="n"/>
    </row>
    <row r="38062" ht="14.25" customHeight="1" s="192">
      <c r="W38062" s="239" t="n"/>
      <c r="X38062" s="239" t="n"/>
    </row>
    <row r="38063" ht="14.25" customHeight="1" s="192">
      <c r="W38063" s="239" t="n"/>
      <c r="X38063" s="239" t="n"/>
    </row>
    <row r="38064" ht="14.25" customHeight="1" s="192">
      <c r="W38064" s="235" t="n"/>
      <c r="X38064" s="235" t="n"/>
    </row>
    <row r="38065" ht="14.25" customHeight="1" s="192">
      <c r="W38065" s="235" t="n"/>
      <c r="X38065" s="235" t="n"/>
    </row>
    <row r="38066" ht="14.25" customHeight="1" s="192">
      <c r="W38066" s="239" t="n"/>
      <c r="X38066" s="239" t="n"/>
    </row>
    <row r="38067" ht="14.25" customHeight="1" s="192">
      <c r="W38067" s="235" t="n"/>
      <c r="X38067" s="235" t="n"/>
    </row>
    <row r="38068" ht="14.25" customHeight="1" s="192">
      <c r="W38068" s="239" t="n"/>
      <c r="X38068" s="239" t="n"/>
    </row>
    <row r="38070" ht="14.25" customHeight="1" s="192">
      <c r="W38070" s="235" t="n"/>
      <c r="X38070" s="235" t="n"/>
    </row>
    <row r="38071" ht="15" customHeight="1" s="192" thickBot="1">
      <c r="W38071" s="239" t="n"/>
      <c r="X38071" s="239" t="n"/>
    </row>
    <row r="38072" ht="15" customHeight="1" s="192" thickBot="1">
      <c r="W38072" s="45" t="n"/>
      <c r="X38072" s="45" t="n"/>
    </row>
    <row r="38073" ht="14.25" customHeight="1" s="192">
      <c r="W38073" s="228" t="n"/>
      <c r="X38073" s="228" t="n"/>
    </row>
    <row r="38074" ht="14.25" customHeight="1" s="192">
      <c r="W38074" s="228" t="n"/>
      <c r="X38074" s="228" t="n"/>
    </row>
    <row r="38075" ht="14.25" customHeight="1" s="192">
      <c r="W38075" s="231" t="n"/>
      <c r="X38075" s="231" t="n"/>
    </row>
    <row r="38076" ht="14.25" customHeight="1" s="192">
      <c r="W38076" s="33" t="n"/>
      <c r="X38076" s="33" t="n"/>
    </row>
    <row r="38077" ht="14.25" customHeight="1" s="192">
      <c r="W38077" s="231" t="n"/>
      <c r="X38077" s="231" t="n"/>
    </row>
    <row r="38078" ht="14.25" customHeight="1" s="192">
      <c r="W38078" s="33" t="n"/>
      <c r="X38078" s="33" t="n"/>
    </row>
    <row r="38080" ht="14.25" customHeight="1" s="192">
      <c r="W38080" s="231" t="n"/>
      <c r="X38080" s="231" t="n"/>
    </row>
    <row r="38081" ht="14.25" customHeight="1" s="192">
      <c r="W38081" s="235" t="n"/>
      <c r="X38081" s="235" t="n"/>
    </row>
    <row r="38082" ht="14.25" customHeight="1" s="192">
      <c r="W38082" s="228" t="n"/>
      <c r="X38082" s="228" t="n"/>
    </row>
    <row r="38083" ht="14.25" customHeight="1" s="192">
      <c r="W38083" s="235" t="n"/>
      <c r="X38083" s="235" t="n"/>
    </row>
    <row r="38084" ht="14.25" customHeight="1" s="192">
      <c r="W38084" s="235" t="n"/>
      <c r="X38084" s="235" t="n"/>
    </row>
    <row r="38085" ht="14.25" customHeight="1" s="192">
      <c r="W38085" s="235" t="n"/>
      <c r="X38085" s="235" t="n"/>
    </row>
    <row r="38086" ht="14.25" customHeight="1" s="192">
      <c r="W38086" s="239" t="n"/>
      <c r="X38086" s="239" t="n"/>
    </row>
    <row r="38087" ht="14.25" customHeight="1" s="192">
      <c r="W38087" s="239" t="n"/>
      <c r="X38087" s="239" t="n"/>
    </row>
    <row r="38088" ht="14.25" customHeight="1" s="192">
      <c r="W38088" s="239" t="n"/>
      <c r="X38088" s="239" t="n"/>
    </row>
    <row r="38089" ht="14.25" customHeight="1" s="192">
      <c r="W38089" s="235" t="n"/>
      <c r="X38089" s="235" t="n"/>
    </row>
    <row r="38090" ht="14.25" customHeight="1" s="192">
      <c r="W38090" s="235" t="n"/>
      <c r="X38090" s="235" t="n"/>
    </row>
    <row r="38091" ht="14.25" customHeight="1" s="192">
      <c r="W38091" s="235" t="n"/>
      <c r="X38091" s="235" t="n"/>
    </row>
    <row r="38092" ht="14.25" customHeight="1" s="192">
      <c r="W38092" s="239" t="n"/>
      <c r="X38092" s="239" t="n"/>
    </row>
    <row r="38093" ht="14.25" customHeight="1" s="192">
      <c r="W38093" s="239" t="n"/>
      <c r="X38093" s="239" t="n"/>
    </row>
    <row r="38094" ht="14.25" customHeight="1" s="192">
      <c r="W38094" s="235" t="n"/>
      <c r="X38094" s="235" t="n"/>
    </row>
    <row r="38095" ht="14.25" customHeight="1" s="192">
      <c r="W38095" s="235" t="n"/>
      <c r="X38095" s="235" t="n"/>
    </row>
    <row r="38096" ht="14.25" customHeight="1" s="192">
      <c r="W38096" s="239" t="n"/>
      <c r="X38096" s="239" t="n"/>
    </row>
    <row r="38097" ht="14.25" customHeight="1" s="192">
      <c r="W38097" s="235" t="n"/>
      <c r="X38097" s="235" t="n"/>
    </row>
    <row r="38098" ht="14.25" customHeight="1" s="192">
      <c r="W38098" s="239" t="n"/>
      <c r="X38098" s="239" t="n"/>
    </row>
    <row r="38100" ht="14.25" customHeight="1" s="192">
      <c r="W38100" s="235" t="n"/>
      <c r="X38100" s="235" t="n"/>
    </row>
    <row r="38101" ht="15" customHeight="1" s="192" thickBot="1">
      <c r="W38101" s="239" t="n"/>
      <c r="X38101" s="239" t="n"/>
    </row>
    <row r="38102" ht="15" customHeight="1" s="192" thickBot="1">
      <c r="W38102" s="45" t="n"/>
      <c r="X38102" s="45" t="n"/>
    </row>
    <row r="38103" ht="14.25" customHeight="1" s="192">
      <c r="W38103" s="228" t="n"/>
      <c r="X38103" s="228" t="n"/>
    </row>
    <row r="38104" ht="14.25" customHeight="1" s="192">
      <c r="W38104" s="228" t="n"/>
      <c r="X38104" s="228" t="n"/>
    </row>
    <row r="38105" ht="14.25" customHeight="1" s="192">
      <c r="W38105" s="231" t="n"/>
      <c r="X38105" s="231" t="n"/>
    </row>
    <row r="38106" ht="14.25" customHeight="1" s="192">
      <c r="W38106" s="33" t="n"/>
      <c r="X38106" s="33" t="n"/>
    </row>
    <row r="38107" ht="14.25" customHeight="1" s="192">
      <c r="W38107" s="231" t="n"/>
      <c r="X38107" s="231" t="n"/>
    </row>
    <row r="38108" ht="14.25" customHeight="1" s="192">
      <c r="W38108" s="33" t="n"/>
      <c r="X38108" s="33" t="n"/>
    </row>
    <row r="38110" ht="14.25" customHeight="1" s="192">
      <c r="W38110" s="231" t="n"/>
      <c r="X38110" s="231" t="n"/>
    </row>
    <row r="38111" ht="14.25" customHeight="1" s="192">
      <c r="W38111" s="235" t="n"/>
      <c r="X38111" s="235" t="n"/>
    </row>
    <row r="38112" ht="14.25" customHeight="1" s="192">
      <c r="W38112" s="228" t="n"/>
      <c r="X38112" s="228" t="n"/>
    </row>
    <row r="38113" ht="14.25" customHeight="1" s="192">
      <c r="W38113" s="235" t="n"/>
      <c r="X38113" s="235" t="n"/>
    </row>
    <row r="38114" ht="14.25" customHeight="1" s="192">
      <c r="W38114" s="235" t="n"/>
      <c r="X38114" s="235" t="n"/>
    </row>
    <row r="38115" ht="14.25" customHeight="1" s="192">
      <c r="W38115" s="235" t="n"/>
      <c r="X38115" s="235" t="n"/>
    </row>
    <row r="38116" ht="14.25" customHeight="1" s="192">
      <c r="W38116" s="239" t="n"/>
      <c r="X38116" s="239" t="n"/>
    </row>
    <row r="38117" ht="14.25" customHeight="1" s="192">
      <c r="W38117" s="239" t="n"/>
      <c r="X38117" s="239" t="n"/>
    </row>
    <row r="38118" ht="14.25" customHeight="1" s="192">
      <c r="W38118" s="239" t="n"/>
      <c r="X38118" s="239" t="n"/>
    </row>
    <row r="38119" ht="14.25" customHeight="1" s="192">
      <c r="W38119" s="235" t="n"/>
      <c r="X38119" s="235" t="n"/>
    </row>
    <row r="38120" ht="14.25" customHeight="1" s="192">
      <c r="W38120" s="235" t="n"/>
      <c r="X38120" s="235" t="n"/>
    </row>
    <row r="38121" ht="14.25" customHeight="1" s="192">
      <c r="W38121" s="235" t="n"/>
      <c r="X38121" s="235" t="n"/>
    </row>
    <row r="38122" ht="14.25" customHeight="1" s="192">
      <c r="W38122" s="239" t="n"/>
      <c r="X38122" s="239" t="n"/>
    </row>
    <row r="38123" ht="14.25" customHeight="1" s="192">
      <c r="W38123" s="239" t="n"/>
      <c r="X38123" s="239" t="n"/>
    </row>
    <row r="38124" ht="14.25" customHeight="1" s="192">
      <c r="W38124" s="235" t="n"/>
      <c r="X38124" s="235" t="n"/>
    </row>
    <row r="38125" ht="14.25" customHeight="1" s="192">
      <c r="W38125" s="235" t="n"/>
      <c r="X38125" s="235" t="n"/>
    </row>
    <row r="38126" ht="14.25" customHeight="1" s="192">
      <c r="W38126" s="239" t="n"/>
      <c r="X38126" s="239" t="n"/>
    </row>
    <row r="38127" ht="14.25" customHeight="1" s="192">
      <c r="W38127" s="235" t="n"/>
      <c r="X38127" s="235" t="n"/>
    </row>
    <row r="38128" ht="14.25" customHeight="1" s="192">
      <c r="W38128" s="239" t="n"/>
      <c r="X38128" s="239" t="n"/>
    </row>
    <row r="38130" ht="14.25" customHeight="1" s="192">
      <c r="W38130" s="235" t="n"/>
      <c r="X38130" s="235" t="n"/>
    </row>
    <row r="38131" ht="15" customHeight="1" s="192" thickBot="1">
      <c r="W38131" s="239" t="n"/>
      <c r="X38131" s="239" t="n"/>
    </row>
    <row r="38132" ht="15" customHeight="1" s="192" thickBot="1">
      <c r="W38132" s="45" t="n"/>
      <c r="X38132" s="45" t="n"/>
    </row>
    <row r="38133" ht="14.25" customHeight="1" s="192">
      <c r="W38133" s="228" t="n"/>
      <c r="X38133" s="228" t="n"/>
    </row>
    <row r="38134" ht="14.25" customHeight="1" s="192">
      <c r="W38134" s="228" t="n"/>
      <c r="X38134" s="228" t="n"/>
    </row>
    <row r="38135" ht="14.25" customHeight="1" s="192">
      <c r="W38135" s="231" t="n"/>
      <c r="X38135" s="231" t="n"/>
    </row>
    <row r="38136" ht="14.25" customHeight="1" s="192">
      <c r="W38136" s="33" t="n"/>
      <c r="X38136" s="33" t="n"/>
    </row>
    <row r="38137" ht="14.25" customHeight="1" s="192">
      <c r="W38137" s="231" t="n"/>
      <c r="X38137" s="231" t="n"/>
    </row>
    <row r="38138" ht="14.25" customHeight="1" s="192">
      <c r="W38138" s="33" t="n"/>
      <c r="X38138" s="33" t="n"/>
    </row>
    <row r="38140" ht="14.25" customHeight="1" s="192">
      <c r="W38140" s="231" t="n"/>
      <c r="X38140" s="231" t="n"/>
    </row>
    <row r="38141" ht="14.25" customHeight="1" s="192">
      <c r="W38141" s="235" t="n"/>
      <c r="X38141" s="235" t="n"/>
    </row>
    <row r="38142" ht="14.25" customHeight="1" s="192">
      <c r="W38142" s="228" t="n"/>
      <c r="X38142" s="228" t="n"/>
    </row>
    <row r="38143" ht="14.25" customHeight="1" s="192">
      <c r="W38143" s="235" t="n"/>
      <c r="X38143" s="235" t="n"/>
    </row>
    <row r="38144" ht="14.25" customHeight="1" s="192">
      <c r="W38144" s="235" t="n"/>
      <c r="X38144" s="235" t="n"/>
    </row>
    <row r="38145" ht="14.25" customHeight="1" s="192">
      <c r="W38145" s="235" t="n"/>
      <c r="X38145" s="235" t="n"/>
    </row>
    <row r="38146" ht="14.25" customHeight="1" s="192">
      <c r="W38146" s="239" t="n"/>
      <c r="X38146" s="239" t="n"/>
    </row>
    <row r="38147" ht="14.25" customHeight="1" s="192">
      <c r="W38147" s="239" t="n"/>
      <c r="X38147" s="239" t="n"/>
    </row>
    <row r="38148" ht="14.25" customHeight="1" s="192">
      <c r="W38148" s="239" t="n"/>
      <c r="X38148" s="239" t="n"/>
    </row>
    <row r="38149" ht="14.25" customHeight="1" s="192">
      <c r="W38149" s="235" t="n"/>
      <c r="X38149" s="235" t="n"/>
    </row>
    <row r="38150" ht="14.25" customHeight="1" s="192">
      <c r="W38150" s="235" t="n"/>
      <c r="X38150" s="235" t="n"/>
    </row>
    <row r="38151" ht="14.25" customHeight="1" s="192">
      <c r="W38151" s="235" t="n"/>
      <c r="X38151" s="235" t="n"/>
    </row>
    <row r="38152" ht="14.25" customHeight="1" s="192">
      <c r="W38152" s="239" t="n"/>
      <c r="X38152" s="239" t="n"/>
    </row>
    <row r="38153" ht="14.25" customHeight="1" s="192">
      <c r="W38153" s="239" t="n"/>
      <c r="X38153" s="239" t="n"/>
    </row>
    <row r="38154" ht="14.25" customHeight="1" s="192">
      <c r="W38154" s="235" t="n"/>
      <c r="X38154" s="235" t="n"/>
    </row>
    <row r="38155" ht="14.25" customHeight="1" s="192">
      <c r="W38155" s="235" t="n"/>
      <c r="X38155" s="235" t="n"/>
    </row>
    <row r="38156" ht="14.25" customHeight="1" s="192">
      <c r="W38156" s="239" t="n"/>
      <c r="X38156" s="239" t="n"/>
    </row>
    <row r="38157" ht="14.25" customHeight="1" s="192">
      <c r="W38157" s="235" t="n"/>
      <c r="X38157" s="235" t="n"/>
    </row>
    <row r="38158" ht="14.25" customHeight="1" s="192">
      <c r="W38158" s="239" t="n"/>
      <c r="X38158" s="239" t="n"/>
    </row>
    <row r="38160" ht="14.25" customHeight="1" s="192">
      <c r="W38160" s="235" t="n"/>
      <c r="X38160" s="235" t="n"/>
    </row>
    <row r="38161" ht="15" customHeight="1" s="192" thickBot="1">
      <c r="W38161" s="239" t="n"/>
      <c r="X38161" s="239" t="n"/>
    </row>
    <row r="38162" ht="15" customHeight="1" s="192" thickBot="1">
      <c r="W38162" s="45" t="n"/>
      <c r="X38162" s="45" t="n"/>
    </row>
    <row r="38163" ht="14.25" customHeight="1" s="192">
      <c r="W38163" s="228" t="n"/>
      <c r="X38163" s="228" t="n"/>
    </row>
    <row r="38164" ht="14.25" customHeight="1" s="192">
      <c r="W38164" s="228" t="n"/>
      <c r="X38164" s="228" t="n"/>
    </row>
    <row r="38165" ht="14.25" customHeight="1" s="192">
      <c r="W38165" s="231" t="n"/>
      <c r="X38165" s="231" t="n"/>
    </row>
    <row r="38166" ht="14.25" customHeight="1" s="192">
      <c r="W38166" s="33" t="n"/>
      <c r="X38166" s="33" t="n"/>
    </row>
    <row r="38167" ht="14.25" customHeight="1" s="192">
      <c r="W38167" s="231" t="n"/>
      <c r="X38167" s="231" t="n"/>
    </row>
    <row r="38168" ht="14.25" customHeight="1" s="192">
      <c r="W38168" s="33" t="n"/>
      <c r="X38168" s="33" t="n"/>
    </row>
    <row r="38170" ht="14.25" customHeight="1" s="192">
      <c r="W38170" s="231" t="n"/>
      <c r="X38170" s="231" t="n"/>
    </row>
    <row r="38171" ht="14.25" customHeight="1" s="192">
      <c r="W38171" s="235" t="n"/>
      <c r="X38171" s="235" t="n"/>
    </row>
    <row r="38172" ht="14.25" customHeight="1" s="192">
      <c r="W38172" s="228" t="n"/>
      <c r="X38172" s="228" t="n"/>
    </row>
    <row r="38173" ht="14.25" customHeight="1" s="192">
      <c r="W38173" s="235" t="n"/>
      <c r="X38173" s="235" t="n"/>
    </row>
    <row r="38174" ht="14.25" customHeight="1" s="192">
      <c r="W38174" s="235" t="n"/>
      <c r="X38174" s="235" t="n"/>
    </row>
    <row r="38175" ht="14.25" customHeight="1" s="192">
      <c r="W38175" s="235" t="n"/>
      <c r="X38175" s="235" t="n"/>
    </row>
    <row r="38176" ht="14.25" customHeight="1" s="192">
      <c r="W38176" s="239" t="n"/>
      <c r="X38176" s="239" t="n"/>
    </row>
    <row r="38177" ht="14.25" customHeight="1" s="192">
      <c r="W38177" s="239" t="n"/>
      <c r="X38177" s="239" t="n"/>
    </row>
    <row r="38178" ht="14.25" customHeight="1" s="192">
      <c r="W38178" s="239" t="n"/>
      <c r="X38178" s="239" t="n"/>
    </row>
    <row r="38179" ht="14.25" customHeight="1" s="192">
      <c r="W38179" s="235" t="n"/>
      <c r="X38179" s="235" t="n"/>
    </row>
    <row r="38180" ht="14.25" customHeight="1" s="192">
      <c r="W38180" s="235" t="n"/>
      <c r="X38180" s="235" t="n"/>
    </row>
    <row r="38181" ht="14.25" customHeight="1" s="192">
      <c r="W38181" s="235" t="n"/>
      <c r="X38181" s="235" t="n"/>
    </row>
    <row r="38182" ht="14.25" customHeight="1" s="192">
      <c r="W38182" s="239" t="n"/>
      <c r="X38182" s="239" t="n"/>
    </row>
    <row r="38183" ht="14.25" customHeight="1" s="192">
      <c r="W38183" s="239" t="n"/>
      <c r="X38183" s="239" t="n"/>
    </row>
    <row r="38184" ht="14.25" customHeight="1" s="192">
      <c r="W38184" s="235" t="n"/>
      <c r="X38184" s="235" t="n"/>
    </row>
    <row r="38185" ht="14.25" customHeight="1" s="192">
      <c r="W38185" s="235" t="n"/>
      <c r="X38185" s="235" t="n"/>
    </row>
    <row r="38186" ht="14.25" customHeight="1" s="192">
      <c r="W38186" s="239" t="n"/>
      <c r="X38186" s="239" t="n"/>
    </row>
    <row r="38187" ht="14.25" customHeight="1" s="192">
      <c r="W38187" s="235" t="n"/>
      <c r="X38187" s="235" t="n"/>
    </row>
    <row r="38188" ht="14.25" customHeight="1" s="192">
      <c r="W38188" s="239" t="n"/>
      <c r="X38188" s="239" t="n"/>
    </row>
    <row r="38190" ht="14.25" customHeight="1" s="192">
      <c r="W38190" s="235" t="n"/>
      <c r="X38190" s="235" t="n"/>
    </row>
    <row r="38191" ht="15" customHeight="1" s="192" thickBot="1">
      <c r="W38191" s="239" t="n"/>
      <c r="X38191" s="239" t="n"/>
    </row>
    <row r="38192" ht="15" customHeight="1" s="192" thickBot="1">
      <c r="W38192" s="45" t="n"/>
      <c r="X38192" s="45" t="n"/>
    </row>
    <row r="38193" ht="14.25" customHeight="1" s="192">
      <c r="W38193" s="228" t="n"/>
      <c r="X38193" s="228" t="n"/>
    </row>
    <row r="38194" ht="14.25" customHeight="1" s="192">
      <c r="W38194" s="228" t="n"/>
      <c r="X38194" s="228" t="n"/>
    </row>
    <row r="38195" ht="14.25" customHeight="1" s="192">
      <c r="W38195" s="231" t="n"/>
      <c r="X38195" s="231" t="n"/>
    </row>
    <row r="38196" ht="14.25" customHeight="1" s="192">
      <c r="W38196" s="33" t="n"/>
      <c r="X38196" s="33" t="n"/>
    </row>
    <row r="38197" ht="14.25" customHeight="1" s="192">
      <c r="W38197" s="231" t="n"/>
      <c r="X38197" s="231" t="n"/>
    </row>
    <row r="38198" ht="14.25" customHeight="1" s="192">
      <c r="W38198" s="33" t="n"/>
      <c r="X38198" s="33" t="n"/>
    </row>
    <row r="38200" ht="14.25" customHeight="1" s="192">
      <c r="W38200" s="231" t="n"/>
      <c r="X38200" s="231" t="n"/>
    </row>
    <row r="38201" ht="14.25" customHeight="1" s="192">
      <c r="W38201" s="235" t="n"/>
      <c r="X38201" s="235" t="n"/>
    </row>
    <row r="38202" ht="14.25" customHeight="1" s="192">
      <c r="W38202" s="228" t="n"/>
      <c r="X38202" s="228" t="n"/>
    </row>
    <row r="38203" ht="14.25" customHeight="1" s="192">
      <c r="W38203" s="235" t="n"/>
      <c r="X38203" s="235" t="n"/>
    </row>
    <row r="38204" ht="14.25" customHeight="1" s="192">
      <c r="W38204" s="235" t="n"/>
      <c r="X38204" s="235" t="n"/>
    </row>
    <row r="38205" ht="14.25" customHeight="1" s="192">
      <c r="W38205" s="235" t="n"/>
      <c r="X38205" s="235" t="n"/>
    </row>
    <row r="38206" ht="14.25" customHeight="1" s="192">
      <c r="W38206" s="239" t="n"/>
      <c r="X38206" s="239" t="n"/>
    </row>
    <row r="38207" ht="14.25" customHeight="1" s="192">
      <c r="W38207" s="239" t="n"/>
      <c r="X38207" s="239" t="n"/>
    </row>
    <row r="38208" ht="14.25" customHeight="1" s="192">
      <c r="W38208" s="239" t="n"/>
      <c r="X38208" s="239" t="n"/>
    </row>
    <row r="38209" ht="14.25" customHeight="1" s="192">
      <c r="W38209" s="235" t="n"/>
      <c r="X38209" s="235" t="n"/>
    </row>
    <row r="38210" ht="14.25" customHeight="1" s="192">
      <c r="W38210" s="235" t="n"/>
      <c r="X38210" s="235" t="n"/>
    </row>
    <row r="38211" ht="14.25" customHeight="1" s="192">
      <c r="W38211" s="235" t="n"/>
      <c r="X38211" s="235" t="n"/>
    </row>
    <row r="38212" ht="14.25" customHeight="1" s="192">
      <c r="W38212" s="239" t="n"/>
      <c r="X38212" s="239" t="n"/>
    </row>
    <row r="38213" ht="14.25" customHeight="1" s="192">
      <c r="W38213" s="239" t="n"/>
      <c r="X38213" s="239" t="n"/>
    </row>
    <row r="38214" ht="14.25" customHeight="1" s="192">
      <c r="W38214" s="235" t="n"/>
      <c r="X38214" s="235" t="n"/>
    </row>
    <row r="38215" ht="14.25" customHeight="1" s="192">
      <c r="W38215" s="235" t="n"/>
      <c r="X38215" s="235" t="n"/>
    </row>
    <row r="38216" ht="14.25" customHeight="1" s="192">
      <c r="W38216" s="239" t="n"/>
      <c r="X38216" s="239" t="n"/>
    </row>
    <row r="38217" ht="14.25" customHeight="1" s="192">
      <c r="W38217" s="235" t="n"/>
      <c r="X38217" s="235" t="n"/>
    </row>
    <row r="38218" ht="14.25" customHeight="1" s="192">
      <c r="W38218" s="239" t="n"/>
      <c r="X38218" s="239" t="n"/>
    </row>
    <row r="38220" ht="14.25" customHeight="1" s="192">
      <c r="W38220" s="235" t="n"/>
      <c r="X38220" s="235" t="n"/>
    </row>
    <row r="38221" ht="15" customHeight="1" s="192" thickBot="1">
      <c r="W38221" s="239" t="n"/>
      <c r="X38221" s="239" t="n"/>
    </row>
    <row r="38222" ht="15" customHeight="1" s="192" thickBot="1">
      <c r="W38222" s="45" t="n"/>
      <c r="X38222" s="45" t="n"/>
    </row>
    <row r="38223" ht="14.25" customHeight="1" s="192">
      <c r="W38223" s="228" t="n"/>
      <c r="X38223" s="228" t="n"/>
    </row>
    <row r="38224" ht="14.25" customHeight="1" s="192">
      <c r="W38224" s="228" t="n"/>
      <c r="X38224" s="228" t="n"/>
    </row>
    <row r="38225" ht="14.25" customHeight="1" s="192">
      <c r="W38225" s="231" t="n"/>
      <c r="X38225" s="231" t="n"/>
    </row>
    <row r="38226" ht="14.25" customHeight="1" s="192">
      <c r="W38226" s="33" t="n"/>
      <c r="X38226" s="33" t="n"/>
    </row>
    <row r="38227" ht="14.25" customHeight="1" s="192">
      <c r="W38227" s="231" t="n"/>
      <c r="X38227" s="231" t="n"/>
    </row>
    <row r="38228" ht="14.25" customHeight="1" s="192">
      <c r="W38228" s="33" t="n"/>
      <c r="X38228" s="33" t="n"/>
    </row>
    <row r="38230" ht="14.25" customHeight="1" s="192">
      <c r="W38230" s="231" t="n"/>
      <c r="X38230" s="231" t="n"/>
    </row>
    <row r="38231" ht="14.25" customHeight="1" s="192">
      <c r="W38231" s="235" t="n"/>
      <c r="X38231" s="235" t="n"/>
    </row>
    <row r="38232" ht="14.25" customHeight="1" s="192">
      <c r="W38232" s="228" t="n"/>
      <c r="X38232" s="228" t="n"/>
    </row>
    <row r="38233" ht="14.25" customHeight="1" s="192">
      <c r="W38233" s="235" t="n"/>
      <c r="X38233" s="235" t="n"/>
    </row>
    <row r="38234" ht="14.25" customHeight="1" s="192">
      <c r="W38234" s="235" t="n"/>
      <c r="X38234" s="235" t="n"/>
    </row>
    <row r="38235" ht="14.25" customHeight="1" s="192">
      <c r="W38235" s="235" t="n"/>
      <c r="X38235" s="235" t="n"/>
    </row>
    <row r="38236" ht="14.25" customHeight="1" s="192">
      <c r="W38236" s="239" t="n"/>
      <c r="X38236" s="239" t="n"/>
    </row>
    <row r="38237" ht="14.25" customHeight="1" s="192">
      <c r="W38237" s="239" t="n"/>
      <c r="X38237" s="239" t="n"/>
    </row>
    <row r="38238" ht="14.25" customHeight="1" s="192">
      <c r="W38238" s="239" t="n"/>
      <c r="X38238" s="239" t="n"/>
    </row>
    <row r="38239" ht="14.25" customHeight="1" s="192">
      <c r="W38239" s="235" t="n"/>
      <c r="X38239" s="235" t="n"/>
    </row>
    <row r="38240" ht="14.25" customHeight="1" s="192">
      <c r="W38240" s="235" t="n"/>
      <c r="X38240" s="235" t="n"/>
    </row>
    <row r="38241" ht="14.25" customHeight="1" s="192">
      <c r="W38241" s="235" t="n"/>
      <c r="X38241" s="235" t="n"/>
    </row>
    <row r="38242" ht="14.25" customHeight="1" s="192">
      <c r="W38242" s="239" t="n"/>
      <c r="X38242" s="239" t="n"/>
    </row>
    <row r="38243" ht="14.25" customHeight="1" s="192">
      <c r="W38243" s="239" t="n"/>
      <c r="X38243" s="239" t="n"/>
    </row>
    <row r="38244" ht="14.25" customHeight="1" s="192">
      <c r="W38244" s="235" t="n"/>
      <c r="X38244" s="235" t="n"/>
    </row>
    <row r="38245" ht="14.25" customHeight="1" s="192">
      <c r="W38245" s="235" t="n"/>
      <c r="X38245" s="235" t="n"/>
    </row>
    <row r="38246" ht="14.25" customHeight="1" s="192">
      <c r="W38246" s="239" t="n"/>
      <c r="X38246" s="239" t="n"/>
    </row>
    <row r="38247" ht="14.25" customHeight="1" s="192">
      <c r="W38247" s="235" t="n"/>
      <c r="X38247" s="235" t="n"/>
    </row>
    <row r="38248" ht="14.25" customHeight="1" s="192">
      <c r="W38248" s="239" t="n"/>
      <c r="X38248" s="239" t="n"/>
    </row>
    <row r="38250" ht="14.25" customHeight="1" s="192">
      <c r="W38250" s="235" t="n"/>
      <c r="X38250" s="235" t="n"/>
    </row>
    <row r="38251" ht="15" customHeight="1" s="192" thickBot="1">
      <c r="W38251" s="239" t="n"/>
      <c r="X38251" s="239" t="n"/>
    </row>
    <row r="38252" ht="15" customHeight="1" s="192" thickBot="1">
      <c r="W38252" s="45" t="n"/>
      <c r="X38252" s="45" t="n"/>
    </row>
    <row r="38253" ht="14.25" customHeight="1" s="192">
      <c r="W38253" s="228" t="n"/>
      <c r="X38253" s="228" t="n"/>
    </row>
    <row r="38254" ht="14.25" customHeight="1" s="192">
      <c r="W38254" s="228" t="n"/>
      <c r="X38254" s="228" t="n"/>
    </row>
    <row r="38255" ht="14.25" customHeight="1" s="192">
      <c r="W38255" s="231" t="n"/>
      <c r="X38255" s="231" t="n"/>
    </row>
    <row r="38256" ht="14.25" customHeight="1" s="192">
      <c r="W38256" s="33" t="n"/>
      <c r="X38256" s="33" t="n"/>
    </row>
    <row r="38257" ht="14.25" customHeight="1" s="192">
      <c r="W38257" s="231" t="n"/>
      <c r="X38257" s="231" t="n"/>
    </row>
    <row r="38258" ht="14.25" customHeight="1" s="192">
      <c r="W38258" s="33" t="n"/>
      <c r="X38258" s="33" t="n"/>
    </row>
    <row r="38260" ht="14.25" customHeight="1" s="192">
      <c r="W38260" s="231" t="n"/>
      <c r="X38260" s="231" t="n"/>
    </row>
    <row r="38261" ht="14.25" customHeight="1" s="192">
      <c r="W38261" s="235" t="n"/>
      <c r="X38261" s="235" t="n"/>
    </row>
    <row r="38262" ht="14.25" customHeight="1" s="192">
      <c r="W38262" s="228" t="n"/>
      <c r="X38262" s="228" t="n"/>
    </row>
    <row r="38263" ht="14.25" customHeight="1" s="192">
      <c r="W38263" s="235" t="n"/>
      <c r="X38263" s="235" t="n"/>
    </row>
    <row r="38264" ht="14.25" customHeight="1" s="192">
      <c r="W38264" s="235" t="n"/>
      <c r="X38264" s="235" t="n"/>
    </row>
    <row r="38265" ht="14.25" customHeight="1" s="192">
      <c r="W38265" s="235" t="n"/>
      <c r="X38265" s="235" t="n"/>
    </row>
    <row r="38266" ht="14.25" customHeight="1" s="192">
      <c r="W38266" s="239" t="n"/>
      <c r="X38266" s="239" t="n"/>
    </row>
    <row r="38267" ht="14.25" customHeight="1" s="192">
      <c r="W38267" s="239" t="n"/>
      <c r="X38267" s="239" t="n"/>
    </row>
    <row r="38268" ht="14.25" customHeight="1" s="192">
      <c r="W38268" s="239" t="n"/>
      <c r="X38268" s="239" t="n"/>
    </row>
    <row r="38269" ht="14.25" customHeight="1" s="192">
      <c r="W38269" s="235" t="n"/>
      <c r="X38269" s="235" t="n"/>
    </row>
    <row r="38270" ht="14.25" customHeight="1" s="192">
      <c r="W38270" s="235" t="n"/>
      <c r="X38270" s="235" t="n"/>
    </row>
    <row r="38271" ht="14.25" customHeight="1" s="192">
      <c r="W38271" s="235" t="n"/>
      <c r="X38271" s="235" t="n"/>
    </row>
    <row r="38272" ht="14.25" customHeight="1" s="192">
      <c r="W38272" s="239" t="n"/>
      <c r="X38272" s="239" t="n"/>
    </row>
    <row r="38273" ht="14.25" customHeight="1" s="192">
      <c r="W38273" s="239" t="n"/>
      <c r="X38273" s="239" t="n"/>
    </row>
    <row r="38274" ht="14.25" customHeight="1" s="192">
      <c r="W38274" s="235" t="n"/>
      <c r="X38274" s="235" t="n"/>
    </row>
    <row r="38275" ht="14.25" customHeight="1" s="192">
      <c r="W38275" s="235" t="n"/>
      <c r="X38275" s="235" t="n"/>
    </row>
    <row r="38276" ht="14.25" customHeight="1" s="192">
      <c r="W38276" s="239" t="n"/>
      <c r="X38276" s="239" t="n"/>
    </row>
    <row r="38277" ht="14.25" customHeight="1" s="192">
      <c r="W38277" s="235" t="n"/>
      <c r="X38277" s="235" t="n"/>
    </row>
    <row r="38278" ht="14.25" customHeight="1" s="192">
      <c r="W38278" s="239" t="n"/>
      <c r="X38278" s="239" t="n"/>
    </row>
    <row r="38280" ht="14.25" customHeight="1" s="192">
      <c r="W38280" s="235" t="n"/>
      <c r="X38280" s="235" t="n"/>
    </row>
    <row r="38281" ht="15" customHeight="1" s="192" thickBot="1">
      <c r="W38281" s="239" t="n"/>
      <c r="X38281" s="239" t="n"/>
    </row>
    <row r="38282" ht="15" customHeight="1" s="192" thickBot="1">
      <c r="W38282" s="45" t="n"/>
      <c r="X38282" s="45" t="n"/>
    </row>
    <row r="38283" ht="14.25" customHeight="1" s="192">
      <c r="W38283" s="228" t="n"/>
      <c r="X38283" s="228" t="n"/>
    </row>
    <row r="38284" ht="14.25" customHeight="1" s="192">
      <c r="W38284" s="228" t="n"/>
      <c r="X38284" s="228" t="n"/>
    </row>
    <row r="38285" ht="14.25" customHeight="1" s="192">
      <c r="W38285" s="231" t="n"/>
      <c r="X38285" s="231" t="n"/>
    </row>
    <row r="38286" ht="14.25" customHeight="1" s="192">
      <c r="W38286" s="33" t="n"/>
      <c r="X38286" s="33" t="n"/>
    </row>
    <row r="38287" ht="14.25" customHeight="1" s="192">
      <c r="W38287" s="231" t="n"/>
      <c r="X38287" s="231" t="n"/>
    </row>
    <row r="38288" ht="14.25" customHeight="1" s="192">
      <c r="W38288" s="33" t="n"/>
      <c r="X38288" s="33" t="n"/>
    </row>
    <row r="38290" ht="14.25" customHeight="1" s="192">
      <c r="W38290" s="231" t="n"/>
      <c r="X38290" s="231" t="n"/>
    </row>
    <row r="38291" ht="14.25" customHeight="1" s="192">
      <c r="W38291" s="235" t="n"/>
      <c r="X38291" s="235" t="n"/>
    </row>
    <row r="38292" ht="14.25" customHeight="1" s="192">
      <c r="W38292" s="228" t="n"/>
      <c r="X38292" s="228" t="n"/>
    </row>
    <row r="38293" ht="14.25" customHeight="1" s="192">
      <c r="W38293" s="235" t="n"/>
      <c r="X38293" s="235" t="n"/>
    </row>
    <row r="38294" ht="14.25" customHeight="1" s="192">
      <c r="W38294" s="235" t="n"/>
      <c r="X38294" s="235" t="n"/>
    </row>
    <row r="38295" ht="14.25" customHeight="1" s="192">
      <c r="W38295" s="235" t="n"/>
      <c r="X38295" s="235" t="n"/>
    </row>
    <row r="38296" ht="14.25" customHeight="1" s="192">
      <c r="W38296" s="239" t="n"/>
      <c r="X38296" s="239" t="n"/>
    </row>
    <row r="38297" ht="14.25" customHeight="1" s="192">
      <c r="W38297" s="239" t="n"/>
      <c r="X38297" s="239" t="n"/>
    </row>
    <row r="38298" ht="14.25" customHeight="1" s="192">
      <c r="W38298" s="239" t="n"/>
      <c r="X38298" s="239" t="n"/>
    </row>
    <row r="38299" ht="14.25" customHeight="1" s="192">
      <c r="W38299" s="235" t="n"/>
      <c r="X38299" s="235" t="n"/>
    </row>
    <row r="38300" ht="14.25" customHeight="1" s="192">
      <c r="W38300" s="235" t="n"/>
      <c r="X38300" s="235" t="n"/>
    </row>
    <row r="38301" ht="14.25" customHeight="1" s="192">
      <c r="W38301" s="235" t="n"/>
      <c r="X38301" s="235" t="n"/>
    </row>
    <row r="38302" ht="14.25" customHeight="1" s="192">
      <c r="W38302" s="239" t="n"/>
      <c r="X38302" s="239" t="n"/>
    </row>
    <row r="38303" ht="14.25" customHeight="1" s="192">
      <c r="W38303" s="239" t="n"/>
      <c r="X38303" s="239" t="n"/>
    </row>
    <row r="38304" ht="14.25" customHeight="1" s="192">
      <c r="W38304" s="235" t="n"/>
      <c r="X38304" s="235" t="n"/>
    </row>
    <row r="38305" ht="14.25" customHeight="1" s="192">
      <c r="W38305" s="235" t="n"/>
      <c r="X38305" s="235" t="n"/>
    </row>
    <row r="38306" ht="14.25" customHeight="1" s="192">
      <c r="W38306" s="239" t="n"/>
      <c r="X38306" s="239" t="n"/>
    </row>
    <row r="38307" ht="14.25" customHeight="1" s="192">
      <c r="W38307" s="235" t="n"/>
      <c r="X38307" s="235" t="n"/>
    </row>
    <row r="38308" ht="14.25" customHeight="1" s="192">
      <c r="W38308" s="239" t="n"/>
      <c r="X38308" s="239" t="n"/>
    </row>
    <row r="38310" ht="14.25" customHeight="1" s="192">
      <c r="W38310" s="235" t="n"/>
      <c r="X38310" s="235" t="n"/>
    </row>
    <row r="38311" ht="15" customHeight="1" s="192" thickBot="1">
      <c r="W38311" s="239" t="n"/>
      <c r="X38311" s="239" t="n"/>
    </row>
    <row r="38312" ht="15" customHeight="1" s="192" thickBot="1">
      <c r="W38312" s="45" t="n"/>
      <c r="X38312" s="45" t="n"/>
    </row>
    <row r="38313" ht="14.25" customHeight="1" s="192">
      <c r="W38313" s="228" t="n"/>
      <c r="X38313" s="228" t="n"/>
    </row>
    <row r="38314" ht="14.25" customHeight="1" s="192">
      <c r="W38314" s="228" t="n"/>
      <c r="X38314" s="228" t="n"/>
    </row>
    <row r="38315" ht="14.25" customHeight="1" s="192">
      <c r="W38315" s="231" t="n"/>
      <c r="X38315" s="231" t="n"/>
    </row>
    <row r="38316" ht="14.25" customHeight="1" s="192">
      <c r="W38316" s="33" t="n"/>
      <c r="X38316" s="33" t="n"/>
    </row>
    <row r="38317" ht="14.25" customHeight="1" s="192">
      <c r="W38317" s="231" t="n"/>
      <c r="X38317" s="231" t="n"/>
    </row>
    <row r="38318" ht="14.25" customHeight="1" s="192">
      <c r="W38318" s="33" t="n"/>
      <c r="X38318" s="33" t="n"/>
    </row>
    <row r="38320" ht="14.25" customHeight="1" s="192">
      <c r="W38320" s="231" t="n"/>
      <c r="X38320" s="231" t="n"/>
    </row>
    <row r="38321" ht="14.25" customHeight="1" s="192">
      <c r="W38321" s="235" t="n"/>
      <c r="X38321" s="235" t="n"/>
    </row>
    <row r="38322" ht="14.25" customHeight="1" s="192">
      <c r="W38322" s="228" t="n"/>
      <c r="X38322" s="228" t="n"/>
    </row>
    <row r="38323" ht="14.25" customHeight="1" s="192">
      <c r="W38323" s="235" t="n"/>
      <c r="X38323" s="235" t="n"/>
    </row>
    <row r="38324" ht="14.25" customHeight="1" s="192">
      <c r="W38324" s="235" t="n"/>
      <c r="X38324" s="235" t="n"/>
    </row>
    <row r="38325" ht="14.25" customHeight="1" s="192">
      <c r="W38325" s="235" t="n"/>
      <c r="X38325" s="235" t="n"/>
    </row>
    <row r="38326" ht="14.25" customHeight="1" s="192">
      <c r="W38326" s="239" t="n"/>
      <c r="X38326" s="239" t="n"/>
    </row>
    <row r="38327" ht="14.25" customHeight="1" s="192">
      <c r="W38327" s="239" t="n"/>
      <c r="X38327" s="239" t="n"/>
    </row>
    <row r="38328" ht="14.25" customHeight="1" s="192">
      <c r="W38328" s="239" t="n"/>
      <c r="X38328" s="239" t="n"/>
    </row>
    <row r="38329" ht="14.25" customHeight="1" s="192">
      <c r="W38329" s="235" t="n"/>
      <c r="X38329" s="235" t="n"/>
    </row>
    <row r="38330" ht="14.25" customHeight="1" s="192">
      <c r="W38330" s="235" t="n"/>
      <c r="X38330" s="235" t="n"/>
    </row>
    <row r="38331" ht="14.25" customHeight="1" s="192">
      <c r="W38331" s="235" t="n"/>
      <c r="X38331" s="235" t="n"/>
    </row>
    <row r="38332" ht="14.25" customHeight="1" s="192">
      <c r="W38332" s="239" t="n"/>
      <c r="X38332" s="239" t="n"/>
    </row>
    <row r="38333" ht="14.25" customHeight="1" s="192">
      <c r="W38333" s="239" t="n"/>
      <c r="X38333" s="239" t="n"/>
    </row>
    <row r="38334" ht="14.25" customHeight="1" s="192">
      <c r="W38334" s="235" t="n"/>
      <c r="X38334" s="235" t="n"/>
    </row>
    <row r="38335" ht="14.25" customHeight="1" s="192">
      <c r="W38335" s="235" t="n"/>
      <c r="X38335" s="235" t="n"/>
    </row>
    <row r="38336" ht="14.25" customHeight="1" s="192">
      <c r="W38336" s="239" t="n"/>
      <c r="X38336" s="239" t="n"/>
    </row>
    <row r="38337" ht="14.25" customHeight="1" s="192">
      <c r="W38337" s="235" t="n"/>
      <c r="X38337" s="235" t="n"/>
    </row>
    <row r="38338" ht="14.25" customHeight="1" s="192">
      <c r="W38338" s="239" t="n"/>
      <c r="X38338" s="239" t="n"/>
    </row>
    <row r="38340" ht="14.25" customHeight="1" s="192">
      <c r="W38340" s="235" t="n"/>
      <c r="X38340" s="235" t="n"/>
    </row>
    <row r="38341" ht="15" customHeight="1" s="192" thickBot="1">
      <c r="W38341" s="239" t="n"/>
      <c r="X38341" s="239" t="n"/>
    </row>
    <row r="38342" ht="15" customHeight="1" s="192" thickBot="1">
      <c r="W38342" s="45" t="n"/>
      <c r="X38342" s="45" t="n"/>
    </row>
    <row r="38343" ht="14.25" customHeight="1" s="192">
      <c r="W38343" s="228" t="n"/>
      <c r="X38343" s="228" t="n"/>
    </row>
    <row r="38344" ht="14.25" customHeight="1" s="192">
      <c r="W38344" s="228" t="n"/>
      <c r="X38344" s="228" t="n"/>
    </row>
    <row r="38345" ht="14.25" customHeight="1" s="192">
      <c r="W38345" s="231" t="n"/>
      <c r="X38345" s="231" t="n"/>
    </row>
    <row r="38346" ht="14.25" customHeight="1" s="192">
      <c r="W38346" s="33" t="n"/>
      <c r="X38346" s="33" t="n"/>
    </row>
    <row r="38347" ht="14.25" customHeight="1" s="192">
      <c r="W38347" s="231" t="n"/>
      <c r="X38347" s="231" t="n"/>
    </row>
    <row r="38348" ht="14.25" customHeight="1" s="192">
      <c r="W38348" s="33" t="n"/>
      <c r="X38348" s="33" t="n"/>
    </row>
    <row r="38350" ht="14.25" customHeight="1" s="192">
      <c r="W38350" s="231" t="n"/>
      <c r="X38350" s="231" t="n"/>
    </row>
    <row r="38351" ht="14.25" customHeight="1" s="192">
      <c r="W38351" s="235" t="n"/>
      <c r="X38351" s="235" t="n"/>
    </row>
    <row r="38352" ht="14.25" customHeight="1" s="192">
      <c r="W38352" s="228" t="n"/>
      <c r="X38352" s="228" t="n"/>
    </row>
    <row r="38353" ht="14.25" customHeight="1" s="192">
      <c r="W38353" s="235" t="n"/>
      <c r="X38353" s="235" t="n"/>
    </row>
    <row r="38354" ht="14.25" customHeight="1" s="192">
      <c r="W38354" s="235" t="n"/>
      <c r="X38354" s="235" t="n"/>
    </row>
    <row r="38355" ht="14.25" customHeight="1" s="192">
      <c r="W38355" s="235" t="n"/>
      <c r="X38355" s="235" t="n"/>
    </row>
    <row r="38356" ht="14.25" customHeight="1" s="192">
      <c r="W38356" s="239" t="n"/>
      <c r="X38356" s="239" t="n"/>
    </row>
    <row r="38357" ht="14.25" customHeight="1" s="192">
      <c r="W38357" s="239" t="n"/>
      <c r="X38357" s="239" t="n"/>
    </row>
    <row r="38358" ht="14.25" customHeight="1" s="192">
      <c r="W38358" s="239" t="n"/>
      <c r="X38358" s="239" t="n"/>
    </row>
    <row r="38359" ht="14.25" customHeight="1" s="192">
      <c r="W38359" s="235" t="n"/>
      <c r="X38359" s="235" t="n"/>
    </row>
    <row r="38360" ht="14.25" customHeight="1" s="192">
      <c r="W38360" s="235" t="n"/>
      <c r="X38360" s="235" t="n"/>
    </row>
    <row r="38361" ht="14.25" customHeight="1" s="192">
      <c r="W38361" s="235" t="n"/>
      <c r="X38361" s="235" t="n"/>
    </row>
    <row r="38362" ht="14.25" customHeight="1" s="192">
      <c r="W38362" s="239" t="n"/>
      <c r="X38362" s="239" t="n"/>
    </row>
    <row r="38363" ht="14.25" customHeight="1" s="192">
      <c r="W38363" s="239" t="n"/>
      <c r="X38363" s="239" t="n"/>
    </row>
    <row r="38364" ht="14.25" customHeight="1" s="192">
      <c r="W38364" s="235" t="n"/>
      <c r="X38364" s="235" t="n"/>
    </row>
    <row r="38365" ht="14.25" customHeight="1" s="192">
      <c r="W38365" s="235" t="n"/>
      <c r="X38365" s="235" t="n"/>
    </row>
    <row r="38366" ht="14.25" customHeight="1" s="192">
      <c r="W38366" s="239" t="n"/>
      <c r="X38366" s="239" t="n"/>
    </row>
    <row r="38367" ht="14.25" customHeight="1" s="192">
      <c r="W38367" s="235" t="n"/>
      <c r="X38367" s="235" t="n"/>
    </row>
    <row r="38368" ht="14.25" customHeight="1" s="192">
      <c r="W38368" s="239" t="n"/>
      <c r="X38368" s="239" t="n"/>
    </row>
    <row r="38370" ht="14.25" customHeight="1" s="192">
      <c r="W38370" s="235" t="n"/>
      <c r="X38370" s="235" t="n"/>
    </row>
    <row r="38371" ht="15" customHeight="1" s="192" thickBot="1">
      <c r="W38371" s="239" t="n"/>
      <c r="X38371" s="239" t="n"/>
    </row>
    <row r="38372" ht="15" customHeight="1" s="192" thickBot="1">
      <c r="W38372" s="45" t="n"/>
      <c r="X38372" s="45" t="n"/>
    </row>
    <row r="38373" ht="14.25" customHeight="1" s="192">
      <c r="W38373" s="228" t="n"/>
      <c r="X38373" s="228" t="n"/>
    </row>
    <row r="38374" ht="14.25" customHeight="1" s="192">
      <c r="W38374" s="228" t="n"/>
      <c r="X38374" s="228" t="n"/>
    </row>
    <row r="38375" ht="14.25" customHeight="1" s="192">
      <c r="W38375" s="231" t="n"/>
      <c r="X38375" s="231" t="n"/>
    </row>
    <row r="38376" ht="14.25" customHeight="1" s="192">
      <c r="W38376" s="33" t="n"/>
      <c r="X38376" s="33" t="n"/>
    </row>
    <row r="38377" ht="14.25" customHeight="1" s="192">
      <c r="W38377" s="231" t="n"/>
      <c r="X38377" s="231" t="n"/>
    </row>
    <row r="38378" ht="14.25" customHeight="1" s="192">
      <c r="W38378" s="33" t="n"/>
      <c r="X38378" s="33" t="n"/>
    </row>
    <row r="38380" ht="14.25" customHeight="1" s="192">
      <c r="W38380" s="231" t="n"/>
      <c r="X38380" s="231" t="n"/>
    </row>
    <row r="38381" ht="14.25" customHeight="1" s="192">
      <c r="W38381" s="235" t="n"/>
      <c r="X38381" s="235" t="n"/>
    </row>
    <row r="38382" ht="14.25" customHeight="1" s="192">
      <c r="W38382" s="228" t="n"/>
      <c r="X38382" s="228" t="n"/>
    </row>
    <row r="38383" ht="14.25" customHeight="1" s="192">
      <c r="W38383" s="235" t="n"/>
      <c r="X38383" s="235" t="n"/>
    </row>
    <row r="38384" ht="14.25" customHeight="1" s="192">
      <c r="W38384" s="235" t="n"/>
      <c r="X38384" s="235" t="n"/>
    </row>
    <row r="38385" ht="14.25" customHeight="1" s="192">
      <c r="W38385" s="235" t="n"/>
      <c r="X38385" s="235" t="n"/>
    </row>
    <row r="38386" ht="14.25" customHeight="1" s="192">
      <c r="W38386" s="239" t="n"/>
      <c r="X38386" s="239" t="n"/>
    </row>
    <row r="38387" ht="14.25" customHeight="1" s="192">
      <c r="W38387" s="239" t="n"/>
      <c r="X38387" s="239" t="n"/>
    </row>
    <row r="38388" ht="14.25" customHeight="1" s="192">
      <c r="W38388" s="239" t="n"/>
      <c r="X38388" s="239" t="n"/>
    </row>
    <row r="38389" ht="14.25" customHeight="1" s="192">
      <c r="W38389" s="235" t="n"/>
      <c r="X38389" s="235" t="n"/>
    </row>
    <row r="38390" ht="14.25" customHeight="1" s="192">
      <c r="W38390" s="235" t="n"/>
      <c r="X38390" s="235" t="n"/>
    </row>
    <row r="38391" ht="14.25" customHeight="1" s="192">
      <c r="W38391" s="235" t="n"/>
      <c r="X38391" s="235" t="n"/>
    </row>
    <row r="38392" ht="14.25" customHeight="1" s="192">
      <c r="W38392" s="239" t="n"/>
      <c r="X38392" s="239" t="n"/>
    </row>
    <row r="38393" ht="14.25" customHeight="1" s="192">
      <c r="W38393" s="239" t="n"/>
      <c r="X38393" s="239" t="n"/>
    </row>
    <row r="38394" ht="14.25" customHeight="1" s="192">
      <c r="W38394" s="235" t="n"/>
      <c r="X38394" s="235" t="n"/>
    </row>
    <row r="38395" ht="14.25" customHeight="1" s="192">
      <c r="W38395" s="235" t="n"/>
      <c r="X38395" s="235" t="n"/>
    </row>
    <row r="38396" ht="14.25" customHeight="1" s="192">
      <c r="W38396" s="239" t="n"/>
      <c r="X38396" s="239" t="n"/>
    </row>
    <row r="38397" ht="14.25" customHeight="1" s="192">
      <c r="W38397" s="235" t="n"/>
      <c r="X38397" s="235" t="n"/>
    </row>
    <row r="38398" ht="14.25" customHeight="1" s="192">
      <c r="W38398" s="239" t="n"/>
      <c r="X38398" s="239" t="n"/>
    </row>
    <row r="38400" ht="14.25" customHeight="1" s="192">
      <c r="W38400" s="235" t="n"/>
      <c r="X38400" s="235" t="n"/>
    </row>
    <row r="38401" ht="15" customHeight="1" s="192" thickBot="1">
      <c r="W38401" s="239" t="n"/>
      <c r="X38401" s="239" t="n"/>
    </row>
    <row r="38402" ht="15" customHeight="1" s="192" thickBot="1">
      <c r="W38402" s="45" t="n"/>
      <c r="X38402" s="45" t="n"/>
    </row>
    <row r="38403" ht="14.25" customHeight="1" s="192">
      <c r="W38403" s="228" t="n"/>
      <c r="X38403" s="228" t="n"/>
    </row>
    <row r="38404" ht="14.25" customHeight="1" s="192">
      <c r="W38404" s="228" t="n"/>
      <c r="X38404" s="228" t="n"/>
    </row>
    <row r="38405" ht="14.25" customHeight="1" s="192">
      <c r="W38405" s="231" t="n"/>
      <c r="X38405" s="231" t="n"/>
    </row>
    <row r="38406" ht="14.25" customHeight="1" s="192">
      <c r="W38406" s="33" t="n"/>
      <c r="X38406" s="33" t="n"/>
    </row>
    <row r="38407" ht="14.25" customHeight="1" s="192">
      <c r="W38407" s="231" t="n"/>
      <c r="X38407" s="231" t="n"/>
    </row>
    <row r="38408" ht="14.25" customHeight="1" s="192">
      <c r="W38408" s="33" t="n"/>
      <c r="X38408" s="33" t="n"/>
    </row>
    <row r="38410" ht="14.25" customHeight="1" s="192">
      <c r="W38410" s="231" t="n"/>
      <c r="X38410" s="231" t="n"/>
    </row>
    <row r="38411" ht="14.25" customHeight="1" s="192">
      <c r="W38411" s="235" t="n"/>
      <c r="X38411" s="235" t="n"/>
    </row>
    <row r="38412" ht="14.25" customHeight="1" s="192">
      <c r="W38412" s="228" t="n"/>
      <c r="X38412" s="228" t="n"/>
    </row>
    <row r="38413" ht="14.25" customHeight="1" s="192">
      <c r="W38413" s="235" t="n"/>
      <c r="X38413" s="235" t="n"/>
    </row>
    <row r="38414" ht="14.25" customHeight="1" s="192">
      <c r="W38414" s="235" t="n"/>
      <c r="X38414" s="235" t="n"/>
    </row>
    <row r="38415" ht="14.25" customHeight="1" s="192">
      <c r="W38415" s="235" t="n"/>
      <c r="X38415" s="235" t="n"/>
    </row>
    <row r="38416" ht="14.25" customHeight="1" s="192">
      <c r="W38416" s="239" t="n"/>
      <c r="X38416" s="239" t="n"/>
    </row>
    <row r="38417" ht="14.25" customHeight="1" s="192">
      <c r="W38417" s="239" t="n"/>
      <c r="X38417" s="239" t="n"/>
    </row>
    <row r="38418" ht="14.25" customHeight="1" s="192">
      <c r="W38418" s="239" t="n"/>
      <c r="X38418" s="239" t="n"/>
    </row>
    <row r="38419" ht="14.25" customHeight="1" s="192">
      <c r="W38419" s="235" t="n"/>
      <c r="X38419" s="235" t="n"/>
    </row>
    <row r="38420" ht="14.25" customHeight="1" s="192">
      <c r="W38420" s="235" t="n"/>
      <c r="X38420" s="235" t="n"/>
    </row>
    <row r="38421" ht="14.25" customHeight="1" s="192">
      <c r="W38421" s="235" t="n"/>
      <c r="X38421" s="235" t="n"/>
    </row>
    <row r="38422" ht="14.25" customHeight="1" s="192">
      <c r="W38422" s="239" t="n"/>
      <c r="X38422" s="239" t="n"/>
    </row>
    <row r="38423" ht="14.25" customHeight="1" s="192">
      <c r="W38423" s="239" t="n"/>
      <c r="X38423" s="239" t="n"/>
    </row>
    <row r="38424" ht="14.25" customHeight="1" s="192">
      <c r="W38424" s="235" t="n"/>
      <c r="X38424" s="235" t="n"/>
    </row>
    <row r="38425" ht="14.25" customHeight="1" s="192">
      <c r="W38425" s="235" t="n"/>
      <c r="X38425" s="235" t="n"/>
    </row>
    <row r="38426" ht="14.25" customHeight="1" s="192">
      <c r="W38426" s="239" t="n"/>
      <c r="X38426" s="239" t="n"/>
    </row>
    <row r="38427" ht="14.25" customHeight="1" s="192">
      <c r="W38427" s="235" t="n"/>
      <c r="X38427" s="235" t="n"/>
    </row>
    <row r="38428" ht="14.25" customHeight="1" s="192">
      <c r="W38428" s="239" t="n"/>
      <c r="X38428" s="239" t="n"/>
    </row>
    <row r="38430" ht="14.25" customHeight="1" s="192">
      <c r="W38430" s="235" t="n"/>
      <c r="X38430" s="235" t="n"/>
    </row>
    <row r="38431" ht="15" customHeight="1" s="192" thickBot="1">
      <c r="W38431" s="239" t="n"/>
      <c r="X38431" s="239" t="n"/>
    </row>
    <row r="38432" ht="15" customHeight="1" s="192" thickBot="1">
      <c r="W38432" s="45" t="n"/>
      <c r="X38432" s="45" t="n"/>
    </row>
    <row r="38433" ht="14.25" customHeight="1" s="192">
      <c r="W38433" s="228" t="n"/>
      <c r="X38433" s="228" t="n"/>
    </row>
    <row r="38434" ht="14.25" customHeight="1" s="192">
      <c r="W38434" s="228" t="n"/>
      <c r="X38434" s="228" t="n"/>
    </row>
    <row r="38435" ht="14.25" customHeight="1" s="192">
      <c r="W38435" s="231" t="n"/>
      <c r="X38435" s="231" t="n"/>
    </row>
    <row r="38436" ht="14.25" customHeight="1" s="192">
      <c r="W38436" s="33" t="n"/>
      <c r="X38436" s="33" t="n"/>
    </row>
    <row r="38437" ht="14.25" customHeight="1" s="192">
      <c r="W38437" s="231" t="n"/>
      <c r="X38437" s="231" t="n"/>
    </row>
    <row r="38438" ht="14.25" customHeight="1" s="192">
      <c r="W38438" s="33" t="n"/>
      <c r="X38438" s="33" t="n"/>
    </row>
    <row r="38440" ht="14.25" customHeight="1" s="192">
      <c r="W38440" s="231" t="n"/>
      <c r="X38440" s="231" t="n"/>
    </row>
    <row r="38441" ht="14.25" customHeight="1" s="192">
      <c r="W38441" s="235" t="n"/>
      <c r="X38441" s="235" t="n"/>
    </row>
    <row r="38442" ht="14.25" customHeight="1" s="192">
      <c r="W38442" s="228" t="n"/>
      <c r="X38442" s="228" t="n"/>
    </row>
    <row r="38443" ht="14.25" customHeight="1" s="192">
      <c r="W38443" s="235" t="n"/>
      <c r="X38443" s="235" t="n"/>
    </row>
    <row r="38444" ht="14.25" customHeight="1" s="192">
      <c r="W38444" s="235" t="n"/>
      <c r="X38444" s="235" t="n"/>
    </row>
    <row r="38445" ht="14.25" customHeight="1" s="192">
      <c r="W38445" s="235" t="n"/>
      <c r="X38445" s="235" t="n"/>
    </row>
    <row r="38446" ht="14.25" customHeight="1" s="192">
      <c r="W38446" s="239" t="n"/>
      <c r="X38446" s="239" t="n"/>
    </row>
    <row r="38447" ht="14.25" customHeight="1" s="192">
      <c r="W38447" s="239" t="n"/>
      <c r="X38447" s="239" t="n"/>
    </row>
    <row r="38448" ht="14.25" customHeight="1" s="192">
      <c r="W38448" s="239" t="n"/>
      <c r="X38448" s="239" t="n"/>
    </row>
    <row r="38449" ht="14.25" customHeight="1" s="192">
      <c r="W38449" s="235" t="n"/>
      <c r="X38449" s="235" t="n"/>
    </row>
    <row r="38450" ht="14.25" customHeight="1" s="192">
      <c r="W38450" s="235" t="n"/>
      <c r="X38450" s="235" t="n"/>
    </row>
    <row r="38451" ht="14.25" customHeight="1" s="192">
      <c r="W38451" s="235" t="n"/>
      <c r="X38451" s="235" t="n"/>
    </row>
    <row r="38452" ht="14.25" customHeight="1" s="192">
      <c r="W38452" s="239" t="n"/>
      <c r="X38452" s="239" t="n"/>
    </row>
    <row r="38453" ht="14.25" customHeight="1" s="192">
      <c r="W38453" s="239" t="n"/>
      <c r="X38453" s="239" t="n"/>
    </row>
    <row r="38454" ht="14.25" customHeight="1" s="192">
      <c r="W38454" s="235" t="n"/>
      <c r="X38454" s="235" t="n"/>
    </row>
    <row r="38455" ht="14.25" customHeight="1" s="192">
      <c r="W38455" s="235" t="n"/>
      <c r="X38455" s="235" t="n"/>
    </row>
    <row r="38456" ht="14.25" customHeight="1" s="192">
      <c r="W38456" s="239" t="n"/>
      <c r="X38456" s="239" t="n"/>
    </row>
    <row r="38457" ht="14.25" customHeight="1" s="192">
      <c r="W38457" s="235" t="n"/>
      <c r="X38457" s="235" t="n"/>
    </row>
    <row r="38458" ht="14.25" customHeight="1" s="192">
      <c r="W38458" s="239" t="n"/>
      <c r="X38458" s="239" t="n"/>
    </row>
    <row r="38460" ht="14.25" customHeight="1" s="192">
      <c r="W38460" s="235" t="n"/>
      <c r="X38460" s="235" t="n"/>
    </row>
    <row r="38461" ht="15" customHeight="1" s="192" thickBot="1">
      <c r="W38461" s="239" t="n"/>
      <c r="X38461" s="239" t="n"/>
    </row>
    <row r="38462" ht="15" customHeight="1" s="192" thickBot="1">
      <c r="W38462" s="45" t="n"/>
      <c r="X38462" s="45" t="n"/>
    </row>
    <row r="38463" ht="14.25" customHeight="1" s="192">
      <c r="W38463" s="228" t="n"/>
      <c r="X38463" s="228" t="n"/>
    </row>
    <row r="38464" ht="14.25" customHeight="1" s="192">
      <c r="W38464" s="228" t="n"/>
      <c r="X38464" s="228" t="n"/>
    </row>
    <row r="38465" ht="14.25" customHeight="1" s="192">
      <c r="W38465" s="231" t="n"/>
      <c r="X38465" s="231" t="n"/>
    </row>
    <row r="38466" ht="14.25" customHeight="1" s="192">
      <c r="W38466" s="33" t="n"/>
      <c r="X38466" s="33" t="n"/>
    </row>
    <row r="38467" ht="14.25" customHeight="1" s="192">
      <c r="W38467" s="231" t="n"/>
      <c r="X38467" s="231" t="n"/>
    </row>
    <row r="38468" ht="14.25" customHeight="1" s="192">
      <c r="W38468" s="33" t="n"/>
      <c r="X38468" s="33" t="n"/>
    </row>
    <row r="38470" ht="14.25" customHeight="1" s="192">
      <c r="W38470" s="231" t="n"/>
      <c r="X38470" s="231" t="n"/>
    </row>
    <row r="38471" ht="14.25" customHeight="1" s="192">
      <c r="W38471" s="235" t="n"/>
      <c r="X38471" s="235" t="n"/>
    </row>
    <row r="38472" ht="14.25" customHeight="1" s="192">
      <c r="W38472" s="228" t="n"/>
      <c r="X38472" s="228" t="n"/>
    </row>
    <row r="38473" ht="14.25" customHeight="1" s="192">
      <c r="W38473" s="235" t="n"/>
      <c r="X38473" s="235" t="n"/>
    </row>
    <row r="38474" ht="14.25" customHeight="1" s="192">
      <c r="W38474" s="235" t="n"/>
      <c r="X38474" s="235" t="n"/>
    </row>
    <row r="38475" ht="14.25" customHeight="1" s="192">
      <c r="W38475" s="235" t="n"/>
      <c r="X38475" s="235" t="n"/>
    </row>
    <row r="38476" ht="14.25" customHeight="1" s="192">
      <c r="W38476" s="239" t="n"/>
      <c r="X38476" s="239" t="n"/>
    </row>
    <row r="38477" ht="14.25" customHeight="1" s="192">
      <c r="W38477" s="239" t="n"/>
      <c r="X38477" s="239" t="n"/>
    </row>
    <row r="38478" ht="14.25" customHeight="1" s="192">
      <c r="W38478" s="239" t="n"/>
      <c r="X38478" s="239" t="n"/>
    </row>
    <row r="38479" ht="14.25" customHeight="1" s="192">
      <c r="W38479" s="235" t="n"/>
      <c r="X38479" s="235" t="n"/>
    </row>
    <row r="38480" ht="14.25" customHeight="1" s="192">
      <c r="W38480" s="235" t="n"/>
      <c r="X38480" s="235" t="n"/>
    </row>
    <row r="38481" ht="14.25" customHeight="1" s="192">
      <c r="W38481" s="235" t="n"/>
      <c r="X38481" s="235" t="n"/>
    </row>
    <row r="38482" ht="14.25" customHeight="1" s="192">
      <c r="W38482" s="239" t="n"/>
      <c r="X38482" s="239" t="n"/>
    </row>
    <row r="38483" ht="14.25" customHeight="1" s="192">
      <c r="W38483" s="239" t="n"/>
      <c r="X38483" s="239" t="n"/>
    </row>
    <row r="38484" ht="14.25" customHeight="1" s="192">
      <c r="W38484" s="235" t="n"/>
      <c r="X38484" s="235" t="n"/>
    </row>
    <row r="38485" ht="14.25" customHeight="1" s="192">
      <c r="W38485" s="235" t="n"/>
      <c r="X38485" s="235" t="n"/>
    </row>
    <row r="38486" ht="14.25" customHeight="1" s="192">
      <c r="W38486" s="239" t="n"/>
      <c r="X38486" s="239" t="n"/>
    </row>
    <row r="38487" ht="14.25" customHeight="1" s="192">
      <c r="W38487" s="235" t="n"/>
      <c r="X38487" s="235" t="n"/>
    </row>
    <row r="38488" ht="14.25" customHeight="1" s="192">
      <c r="W38488" s="239" t="n"/>
      <c r="X38488" s="239" t="n"/>
    </row>
    <row r="38490" ht="14.25" customHeight="1" s="192">
      <c r="W38490" s="235" t="n"/>
      <c r="X38490" s="235" t="n"/>
    </row>
    <row r="38491" ht="15" customHeight="1" s="192" thickBot="1">
      <c r="W38491" s="239" t="n"/>
      <c r="X38491" s="239" t="n"/>
    </row>
    <row r="38492" ht="15" customHeight="1" s="192" thickBot="1">
      <c r="W38492" s="45" t="n"/>
      <c r="X38492" s="45" t="n"/>
    </row>
    <row r="38493" ht="14.25" customHeight="1" s="192">
      <c r="W38493" s="228" t="n"/>
      <c r="X38493" s="228" t="n"/>
    </row>
    <row r="38494" ht="14.25" customHeight="1" s="192">
      <c r="W38494" s="228" t="n"/>
      <c r="X38494" s="228" t="n"/>
    </row>
    <row r="38495" ht="14.25" customHeight="1" s="192">
      <c r="W38495" s="231" t="n"/>
      <c r="X38495" s="231" t="n"/>
    </row>
    <row r="38496" ht="14.25" customHeight="1" s="192">
      <c r="W38496" s="33" t="n"/>
      <c r="X38496" s="33" t="n"/>
    </row>
    <row r="38497" ht="14.25" customHeight="1" s="192">
      <c r="W38497" s="231" t="n"/>
      <c r="X38497" s="231" t="n"/>
    </row>
    <row r="38498" ht="14.25" customHeight="1" s="192">
      <c r="W38498" s="33" t="n"/>
      <c r="X38498" s="33" t="n"/>
    </row>
    <row r="38500" ht="14.25" customHeight="1" s="192">
      <c r="W38500" s="231" t="n"/>
      <c r="X38500" s="231" t="n"/>
    </row>
    <row r="38501" ht="14.25" customHeight="1" s="192">
      <c r="W38501" s="235" t="n"/>
      <c r="X38501" s="235" t="n"/>
    </row>
    <row r="38502" ht="14.25" customHeight="1" s="192">
      <c r="W38502" s="228" t="n"/>
      <c r="X38502" s="228" t="n"/>
    </row>
    <row r="38503" ht="14.25" customHeight="1" s="192">
      <c r="W38503" s="235" t="n"/>
      <c r="X38503" s="235" t="n"/>
    </row>
    <row r="38504" ht="14.25" customHeight="1" s="192">
      <c r="W38504" s="235" t="n"/>
      <c r="X38504" s="235" t="n"/>
    </row>
    <row r="38505" ht="14.25" customHeight="1" s="192">
      <c r="W38505" s="235" t="n"/>
      <c r="X38505" s="235" t="n"/>
    </row>
    <row r="38506" ht="14.25" customHeight="1" s="192">
      <c r="W38506" s="239" t="n"/>
      <c r="X38506" s="239" t="n"/>
    </row>
    <row r="38507" ht="14.25" customHeight="1" s="192">
      <c r="W38507" s="239" t="n"/>
      <c r="X38507" s="239" t="n"/>
    </row>
    <row r="38508" ht="14.25" customHeight="1" s="192">
      <c r="W38508" s="239" t="n"/>
      <c r="X38508" s="239" t="n"/>
    </row>
    <row r="38509" ht="14.25" customHeight="1" s="192">
      <c r="W38509" s="235" t="n"/>
      <c r="X38509" s="235" t="n"/>
    </row>
    <row r="38510" ht="14.25" customHeight="1" s="192">
      <c r="W38510" s="235" t="n"/>
      <c r="X38510" s="235" t="n"/>
    </row>
    <row r="38511" ht="14.25" customHeight="1" s="192">
      <c r="W38511" s="235" t="n"/>
      <c r="X38511" s="235" t="n"/>
    </row>
    <row r="38512" ht="14.25" customHeight="1" s="192">
      <c r="W38512" s="239" t="n"/>
      <c r="X38512" s="239" t="n"/>
    </row>
    <row r="38513" ht="14.25" customHeight="1" s="192">
      <c r="W38513" s="239" t="n"/>
      <c r="X38513" s="239" t="n"/>
    </row>
    <row r="38514" ht="14.25" customHeight="1" s="192">
      <c r="W38514" s="235" t="n"/>
      <c r="X38514" s="235" t="n"/>
    </row>
    <row r="38515" ht="14.25" customHeight="1" s="192">
      <c r="W38515" s="235" t="n"/>
      <c r="X38515" s="235" t="n"/>
    </row>
    <row r="38516" ht="14.25" customHeight="1" s="192">
      <c r="W38516" s="239" t="n"/>
      <c r="X38516" s="239" t="n"/>
    </row>
    <row r="38517" ht="14.25" customHeight="1" s="192">
      <c r="W38517" s="235" t="n"/>
      <c r="X38517" s="235" t="n"/>
    </row>
    <row r="38518" ht="14.25" customHeight="1" s="192">
      <c r="W38518" s="239" t="n"/>
      <c r="X38518" s="239" t="n"/>
    </row>
    <row r="38520" ht="14.25" customHeight="1" s="192">
      <c r="W38520" s="235" t="n"/>
      <c r="X38520" s="235" t="n"/>
    </row>
    <row r="38521" ht="15" customHeight="1" s="192" thickBot="1">
      <c r="W38521" s="239" t="n"/>
      <c r="X38521" s="239" t="n"/>
    </row>
    <row r="38522" ht="15" customHeight="1" s="192" thickBot="1">
      <c r="W38522" s="45" t="n"/>
      <c r="X38522" s="45" t="n"/>
    </row>
    <row r="38523" ht="14.25" customHeight="1" s="192">
      <c r="W38523" s="228" t="n"/>
      <c r="X38523" s="228" t="n"/>
    </row>
    <row r="38524" ht="14.25" customHeight="1" s="192">
      <c r="W38524" s="228" t="n"/>
      <c r="X38524" s="228" t="n"/>
    </row>
    <row r="38525" ht="14.25" customHeight="1" s="192">
      <c r="W38525" s="231" t="n"/>
      <c r="X38525" s="231" t="n"/>
    </row>
    <row r="38526" ht="14.25" customHeight="1" s="192">
      <c r="W38526" s="33" t="n"/>
      <c r="X38526" s="33" t="n"/>
    </row>
    <row r="38527" ht="14.25" customHeight="1" s="192">
      <c r="W38527" s="231" t="n"/>
      <c r="X38527" s="231" t="n"/>
    </row>
    <row r="38528" ht="14.25" customHeight="1" s="192">
      <c r="W38528" s="33" t="n"/>
      <c r="X38528" s="33" t="n"/>
    </row>
    <row r="38530" ht="14.25" customHeight="1" s="192">
      <c r="W38530" s="231" t="n"/>
      <c r="X38530" s="231" t="n"/>
    </row>
    <row r="38531" ht="14.25" customHeight="1" s="192">
      <c r="W38531" s="235" t="n"/>
      <c r="X38531" s="235" t="n"/>
    </row>
    <row r="38532" ht="14.25" customHeight="1" s="192">
      <c r="W38532" s="228" t="n"/>
      <c r="X38532" s="228" t="n"/>
    </row>
    <row r="38533" ht="14.25" customHeight="1" s="192">
      <c r="W38533" s="235" t="n"/>
      <c r="X38533" s="235" t="n"/>
    </row>
    <row r="38534" ht="14.25" customHeight="1" s="192">
      <c r="W38534" s="235" t="n"/>
      <c r="X38534" s="235" t="n"/>
    </row>
    <row r="38535" ht="14.25" customHeight="1" s="192">
      <c r="W38535" s="235" t="n"/>
      <c r="X38535" s="235" t="n"/>
    </row>
    <row r="38536" ht="14.25" customHeight="1" s="192">
      <c r="W38536" s="239" t="n"/>
      <c r="X38536" s="239" t="n"/>
    </row>
    <row r="38537" ht="14.25" customHeight="1" s="192">
      <c r="W38537" s="239" t="n"/>
      <c r="X38537" s="239" t="n"/>
    </row>
    <row r="38538" ht="14.25" customHeight="1" s="192">
      <c r="W38538" s="239" t="n"/>
      <c r="X38538" s="239" t="n"/>
    </row>
    <row r="38539" ht="14.25" customHeight="1" s="192">
      <c r="W38539" s="235" t="n"/>
      <c r="X38539" s="235" t="n"/>
    </row>
    <row r="38540" ht="14.25" customHeight="1" s="192">
      <c r="W38540" s="235" t="n"/>
      <c r="X38540" s="235" t="n"/>
    </row>
    <row r="38541" ht="14.25" customHeight="1" s="192">
      <c r="W38541" s="235" t="n"/>
      <c r="X38541" s="235" t="n"/>
    </row>
    <row r="38542" ht="14.25" customHeight="1" s="192">
      <c r="W38542" s="239" t="n"/>
      <c r="X38542" s="239" t="n"/>
    </row>
    <row r="38543" ht="14.25" customHeight="1" s="192">
      <c r="W38543" s="239" t="n"/>
      <c r="X38543" s="239" t="n"/>
    </row>
    <row r="38544" ht="14.25" customHeight="1" s="192">
      <c r="W38544" s="235" t="n"/>
      <c r="X38544" s="235" t="n"/>
    </row>
    <row r="38545" ht="14.25" customHeight="1" s="192">
      <c r="W38545" s="235" t="n"/>
      <c r="X38545" s="235" t="n"/>
    </row>
    <row r="38546" ht="14.25" customHeight="1" s="192">
      <c r="W38546" s="239" t="n"/>
      <c r="X38546" s="239" t="n"/>
    </row>
    <row r="38547" ht="14.25" customHeight="1" s="192">
      <c r="W38547" s="235" t="n"/>
      <c r="X38547" s="235" t="n"/>
    </row>
    <row r="38548" ht="14.25" customHeight="1" s="192">
      <c r="W38548" s="239" t="n"/>
      <c r="X38548" s="239" t="n"/>
    </row>
    <row r="38550" ht="14.25" customHeight="1" s="192">
      <c r="W38550" s="235" t="n"/>
      <c r="X38550" s="235" t="n"/>
    </row>
    <row r="38551" ht="15" customHeight="1" s="192" thickBot="1">
      <c r="W38551" s="239" t="n"/>
      <c r="X38551" s="239" t="n"/>
    </row>
    <row r="38552" ht="15" customHeight="1" s="192" thickBot="1">
      <c r="W38552" s="45" t="n"/>
      <c r="X38552" s="45" t="n"/>
    </row>
    <row r="38553" ht="14.25" customHeight="1" s="192">
      <c r="W38553" s="228" t="n"/>
      <c r="X38553" s="228" t="n"/>
    </row>
    <row r="38554" ht="14.25" customHeight="1" s="192">
      <c r="W38554" s="228" t="n"/>
      <c r="X38554" s="228" t="n"/>
    </row>
    <row r="38555" ht="14.25" customHeight="1" s="192">
      <c r="W38555" s="231" t="n"/>
      <c r="X38555" s="231" t="n"/>
    </row>
    <row r="38556" ht="14.25" customHeight="1" s="192">
      <c r="W38556" s="33" t="n"/>
      <c r="X38556" s="33" t="n"/>
    </row>
    <row r="38557" ht="14.25" customHeight="1" s="192">
      <c r="W38557" s="231" t="n"/>
      <c r="X38557" s="231" t="n"/>
    </row>
    <row r="38558" ht="14.25" customHeight="1" s="192">
      <c r="W38558" s="33" t="n"/>
      <c r="X38558" s="33" t="n"/>
    </row>
    <row r="38560" ht="14.25" customHeight="1" s="192">
      <c r="W38560" s="231" t="n"/>
      <c r="X38560" s="231" t="n"/>
    </row>
    <row r="38561" ht="14.25" customHeight="1" s="192">
      <c r="W38561" s="235" t="n"/>
      <c r="X38561" s="235" t="n"/>
    </row>
    <row r="38562" ht="14.25" customHeight="1" s="192">
      <c r="W38562" s="228" t="n"/>
      <c r="X38562" s="228" t="n"/>
    </row>
    <row r="38563" ht="14.25" customHeight="1" s="192">
      <c r="W38563" s="235" t="n"/>
      <c r="X38563" s="235" t="n"/>
    </row>
    <row r="38564" ht="14.25" customHeight="1" s="192">
      <c r="W38564" s="235" t="n"/>
      <c r="X38564" s="235" t="n"/>
    </row>
    <row r="38565" ht="14.25" customHeight="1" s="192">
      <c r="W38565" s="235" t="n"/>
      <c r="X38565" s="235" t="n"/>
    </row>
    <row r="38566" ht="14.25" customHeight="1" s="192">
      <c r="W38566" s="239" t="n"/>
      <c r="X38566" s="239" t="n"/>
    </row>
    <row r="38567" ht="14.25" customHeight="1" s="192">
      <c r="W38567" s="239" t="n"/>
      <c r="X38567" s="239" t="n"/>
    </row>
    <row r="38568" ht="14.25" customHeight="1" s="192">
      <c r="W38568" s="239" t="n"/>
      <c r="X38568" s="239" t="n"/>
    </row>
    <row r="38569" ht="14.25" customHeight="1" s="192">
      <c r="W38569" s="235" t="n"/>
      <c r="X38569" s="235" t="n"/>
    </row>
    <row r="38570" ht="14.25" customHeight="1" s="192">
      <c r="W38570" s="235" t="n"/>
      <c r="X38570" s="235" t="n"/>
    </row>
    <row r="38571" ht="14.25" customHeight="1" s="192">
      <c r="W38571" s="235" t="n"/>
      <c r="X38571" s="235" t="n"/>
    </row>
    <row r="38572" ht="14.25" customHeight="1" s="192">
      <c r="W38572" s="239" t="n"/>
      <c r="X38572" s="239" t="n"/>
    </row>
    <row r="38573" ht="14.25" customHeight="1" s="192">
      <c r="W38573" s="239" t="n"/>
      <c r="X38573" s="239" t="n"/>
    </row>
    <row r="38574" ht="14.25" customHeight="1" s="192">
      <c r="W38574" s="235" t="n"/>
      <c r="X38574" s="235" t="n"/>
    </row>
    <row r="38575" ht="14.25" customHeight="1" s="192">
      <c r="W38575" s="235" t="n"/>
      <c r="X38575" s="235" t="n"/>
    </row>
    <row r="38576" ht="14.25" customHeight="1" s="192">
      <c r="W38576" s="239" t="n"/>
      <c r="X38576" s="239" t="n"/>
    </row>
    <row r="38577" ht="14.25" customHeight="1" s="192">
      <c r="W38577" s="235" t="n"/>
      <c r="X38577" s="235" t="n"/>
    </row>
    <row r="38578" ht="14.25" customHeight="1" s="192">
      <c r="W38578" s="239" t="n"/>
      <c r="X38578" s="239" t="n"/>
    </row>
    <row r="38580" ht="14.25" customHeight="1" s="192">
      <c r="W38580" s="235" t="n"/>
      <c r="X38580" s="235" t="n"/>
    </row>
    <row r="38581" ht="15" customHeight="1" s="192" thickBot="1">
      <c r="W38581" s="239" t="n"/>
      <c r="X38581" s="239" t="n"/>
    </row>
    <row r="38582" ht="15" customHeight="1" s="192" thickBot="1">
      <c r="W38582" s="45" t="n"/>
      <c r="X38582" s="45" t="n"/>
    </row>
    <row r="38583" ht="14.25" customHeight="1" s="192">
      <c r="W38583" s="228" t="n"/>
      <c r="X38583" s="228" t="n"/>
    </row>
    <row r="38584" ht="14.25" customHeight="1" s="192">
      <c r="W38584" s="228" t="n"/>
      <c r="X38584" s="228" t="n"/>
    </row>
    <row r="38585" ht="14.25" customHeight="1" s="192">
      <c r="W38585" s="231" t="n"/>
      <c r="X38585" s="231" t="n"/>
    </row>
    <row r="38586" ht="14.25" customHeight="1" s="192">
      <c r="W38586" s="33" t="n"/>
      <c r="X38586" s="33" t="n"/>
    </row>
    <row r="38587" ht="14.25" customHeight="1" s="192">
      <c r="W38587" s="231" t="n"/>
      <c r="X38587" s="231" t="n"/>
    </row>
    <row r="38588" ht="14.25" customHeight="1" s="192">
      <c r="W38588" s="33" t="n"/>
      <c r="X38588" s="33" t="n"/>
    </row>
    <row r="38590" ht="14.25" customHeight="1" s="192">
      <c r="W38590" s="231" t="n"/>
      <c r="X38590" s="231" t="n"/>
    </row>
    <row r="38591" ht="14.25" customHeight="1" s="192">
      <c r="W38591" s="235" t="n"/>
      <c r="X38591" s="235" t="n"/>
    </row>
    <row r="38592" ht="14.25" customHeight="1" s="192">
      <c r="W38592" s="228" t="n"/>
      <c r="X38592" s="228" t="n"/>
    </row>
    <row r="38593" ht="14.25" customHeight="1" s="192">
      <c r="W38593" s="235" t="n"/>
      <c r="X38593" s="235" t="n"/>
    </row>
    <row r="38594" ht="14.25" customHeight="1" s="192">
      <c r="W38594" s="235" t="n"/>
      <c r="X38594" s="235" t="n"/>
    </row>
    <row r="38595" ht="14.25" customHeight="1" s="192">
      <c r="W38595" s="235" t="n"/>
      <c r="X38595" s="235" t="n"/>
    </row>
    <row r="38596" ht="14.25" customHeight="1" s="192">
      <c r="W38596" s="239" t="n"/>
      <c r="X38596" s="239" t="n"/>
    </row>
    <row r="38597" ht="14.25" customHeight="1" s="192">
      <c r="W38597" s="239" t="n"/>
      <c r="X38597" s="239" t="n"/>
    </row>
    <row r="38598" ht="14.25" customHeight="1" s="192">
      <c r="W38598" s="239" t="n"/>
      <c r="X38598" s="239" t="n"/>
    </row>
    <row r="38599" ht="14.25" customHeight="1" s="192">
      <c r="W38599" s="235" t="n"/>
      <c r="X38599" s="235" t="n"/>
    </row>
    <row r="38600" ht="14.25" customHeight="1" s="192">
      <c r="W38600" s="235" t="n"/>
      <c r="X38600" s="235" t="n"/>
    </row>
    <row r="38601" ht="14.25" customHeight="1" s="192">
      <c r="W38601" s="235" t="n"/>
      <c r="X38601" s="235" t="n"/>
    </row>
    <row r="38602" ht="14.25" customHeight="1" s="192">
      <c r="W38602" s="239" t="n"/>
      <c r="X38602" s="239" t="n"/>
    </row>
    <row r="38603" ht="14.25" customHeight="1" s="192">
      <c r="W38603" s="239" t="n"/>
      <c r="X38603" s="239" t="n"/>
    </row>
    <row r="38604" ht="14.25" customHeight="1" s="192">
      <c r="W38604" s="235" t="n"/>
      <c r="X38604" s="235" t="n"/>
    </row>
    <row r="38605" ht="14.25" customHeight="1" s="192">
      <c r="W38605" s="235" t="n"/>
      <c r="X38605" s="235" t="n"/>
    </row>
    <row r="38606" ht="14.25" customHeight="1" s="192">
      <c r="W38606" s="239" t="n"/>
      <c r="X38606" s="239" t="n"/>
    </row>
    <row r="38607" ht="14.25" customHeight="1" s="192">
      <c r="W38607" s="235" t="n"/>
      <c r="X38607" s="235" t="n"/>
    </row>
    <row r="38608" ht="14.25" customHeight="1" s="192">
      <c r="W38608" s="239" t="n"/>
      <c r="X38608" s="239" t="n"/>
    </row>
    <row r="38610" ht="14.25" customHeight="1" s="192">
      <c r="W38610" s="235" t="n"/>
      <c r="X38610" s="235" t="n"/>
    </row>
    <row r="38611" ht="15" customHeight="1" s="192" thickBot="1">
      <c r="W38611" s="239" t="n"/>
      <c r="X38611" s="239" t="n"/>
    </row>
    <row r="38612" ht="15" customHeight="1" s="192" thickBot="1">
      <c r="W38612" s="45" t="n"/>
      <c r="X38612" s="45" t="n"/>
    </row>
    <row r="38613" ht="14.25" customHeight="1" s="192">
      <c r="W38613" s="228" t="n"/>
      <c r="X38613" s="228" t="n"/>
    </row>
    <row r="38614" ht="14.25" customHeight="1" s="192">
      <c r="W38614" s="228" t="n"/>
      <c r="X38614" s="228" t="n"/>
    </row>
    <row r="38615" ht="14.25" customHeight="1" s="192">
      <c r="W38615" s="231" t="n"/>
      <c r="X38615" s="231" t="n"/>
    </row>
    <row r="38616" ht="14.25" customHeight="1" s="192">
      <c r="W38616" s="33" t="n"/>
      <c r="X38616" s="33" t="n"/>
    </row>
    <row r="38617" ht="14.25" customHeight="1" s="192">
      <c r="W38617" s="231" t="n"/>
      <c r="X38617" s="231" t="n"/>
    </row>
    <row r="38618" ht="14.25" customHeight="1" s="192">
      <c r="W38618" s="33" t="n"/>
      <c r="X38618" s="33" t="n"/>
    </row>
    <row r="38620" ht="14.25" customHeight="1" s="192">
      <c r="W38620" s="231" t="n"/>
      <c r="X38620" s="231" t="n"/>
    </row>
    <row r="38621" ht="14.25" customHeight="1" s="192">
      <c r="W38621" s="235" t="n"/>
      <c r="X38621" s="235" t="n"/>
    </row>
    <row r="38622" ht="14.25" customHeight="1" s="192">
      <c r="W38622" s="228" t="n"/>
      <c r="X38622" s="228" t="n"/>
    </row>
    <row r="38623" ht="14.25" customHeight="1" s="192">
      <c r="W38623" s="235" t="n"/>
      <c r="X38623" s="235" t="n"/>
    </row>
    <row r="38624" ht="14.25" customHeight="1" s="192">
      <c r="W38624" s="235" t="n"/>
      <c r="X38624" s="235" t="n"/>
    </row>
    <row r="38625" ht="14.25" customHeight="1" s="192">
      <c r="W38625" s="235" t="n"/>
      <c r="X38625" s="235" t="n"/>
    </row>
    <row r="38626" ht="14.25" customHeight="1" s="192">
      <c r="W38626" s="239" t="n"/>
      <c r="X38626" s="239" t="n"/>
    </row>
    <row r="38627" ht="14.25" customHeight="1" s="192">
      <c r="W38627" s="239" t="n"/>
      <c r="X38627" s="239" t="n"/>
    </row>
    <row r="38628" ht="14.25" customHeight="1" s="192">
      <c r="W38628" s="239" t="n"/>
      <c r="X38628" s="239" t="n"/>
    </row>
    <row r="38629" ht="14.25" customHeight="1" s="192">
      <c r="W38629" s="235" t="n"/>
      <c r="X38629" s="235" t="n"/>
    </row>
    <row r="38630" ht="14.25" customHeight="1" s="192">
      <c r="W38630" s="235" t="n"/>
      <c r="X38630" s="235" t="n"/>
    </row>
    <row r="38631" ht="14.25" customHeight="1" s="192">
      <c r="W38631" s="235" t="n"/>
      <c r="X38631" s="235" t="n"/>
    </row>
    <row r="38632" ht="14.25" customHeight="1" s="192">
      <c r="W38632" s="239" t="n"/>
      <c r="X38632" s="239" t="n"/>
    </row>
    <row r="38633" ht="14.25" customHeight="1" s="192">
      <c r="W38633" s="239" t="n"/>
      <c r="X38633" s="239" t="n"/>
    </row>
    <row r="38634" ht="14.25" customHeight="1" s="192">
      <c r="W38634" s="235" t="n"/>
      <c r="X38634" s="235" t="n"/>
    </row>
    <row r="38635" ht="14.25" customHeight="1" s="192">
      <c r="W38635" s="235" t="n"/>
      <c r="X38635" s="235" t="n"/>
    </row>
    <row r="38636" ht="14.25" customHeight="1" s="192">
      <c r="W38636" s="239" t="n"/>
      <c r="X38636" s="239" t="n"/>
    </row>
    <row r="38637" ht="14.25" customHeight="1" s="192">
      <c r="W38637" s="235" t="n"/>
      <c r="X38637" s="235" t="n"/>
    </row>
    <row r="38638" ht="14.25" customHeight="1" s="192">
      <c r="W38638" s="239" t="n"/>
      <c r="X38638" s="239" t="n"/>
    </row>
    <row r="38640" ht="14.25" customHeight="1" s="192">
      <c r="W38640" s="235" t="n"/>
      <c r="X38640" s="235" t="n"/>
    </row>
    <row r="38641" ht="15" customHeight="1" s="192" thickBot="1">
      <c r="W38641" s="239" t="n"/>
      <c r="X38641" s="239" t="n"/>
    </row>
    <row r="38642" ht="15" customHeight="1" s="192" thickBot="1">
      <c r="W38642" s="45" t="n"/>
      <c r="X38642" s="45" t="n"/>
    </row>
    <row r="38643" ht="14.25" customHeight="1" s="192">
      <c r="W38643" s="228" t="n"/>
      <c r="X38643" s="228" t="n"/>
    </row>
    <row r="38644" ht="14.25" customHeight="1" s="192">
      <c r="W38644" s="228" t="n"/>
      <c r="X38644" s="228" t="n"/>
    </row>
    <row r="38645" ht="14.25" customHeight="1" s="192">
      <c r="W38645" s="231" t="n"/>
      <c r="X38645" s="231" t="n"/>
    </row>
    <row r="38646" ht="14.25" customHeight="1" s="192">
      <c r="W38646" s="33" t="n"/>
      <c r="X38646" s="33" t="n"/>
    </row>
    <row r="38647" ht="14.25" customHeight="1" s="192">
      <c r="W38647" s="231" t="n"/>
      <c r="X38647" s="231" t="n"/>
    </row>
    <row r="38648" ht="14.25" customHeight="1" s="192">
      <c r="W38648" s="33" t="n"/>
      <c r="X38648" s="33" t="n"/>
    </row>
    <row r="38650" ht="14.25" customHeight="1" s="192">
      <c r="W38650" s="231" t="n"/>
      <c r="X38650" s="231" t="n"/>
    </row>
    <row r="38651" ht="14.25" customHeight="1" s="192">
      <c r="W38651" s="235" t="n"/>
      <c r="X38651" s="235" t="n"/>
    </row>
    <row r="38652" ht="14.25" customHeight="1" s="192">
      <c r="W38652" s="228" t="n"/>
      <c r="X38652" s="228" t="n"/>
    </row>
    <row r="38653" ht="14.25" customHeight="1" s="192">
      <c r="W38653" s="235" t="n"/>
      <c r="X38653" s="235" t="n"/>
    </row>
    <row r="38654" ht="14.25" customHeight="1" s="192">
      <c r="W38654" s="235" t="n"/>
      <c r="X38654" s="235" t="n"/>
    </row>
    <row r="38655" ht="14.25" customHeight="1" s="192">
      <c r="W38655" s="235" t="n"/>
      <c r="X38655" s="235" t="n"/>
    </row>
    <row r="38656" ht="14.25" customHeight="1" s="192">
      <c r="W38656" s="239" t="n"/>
      <c r="X38656" s="239" t="n"/>
    </row>
    <row r="38657" ht="14.25" customHeight="1" s="192">
      <c r="W38657" s="239" t="n"/>
      <c r="X38657" s="239" t="n"/>
    </row>
    <row r="38658" ht="14.25" customHeight="1" s="192">
      <c r="W38658" s="239" t="n"/>
      <c r="X38658" s="239" t="n"/>
    </row>
    <row r="38659" ht="14.25" customHeight="1" s="192">
      <c r="W38659" s="235" t="n"/>
      <c r="X38659" s="235" t="n"/>
    </row>
    <row r="38660" ht="14.25" customHeight="1" s="192">
      <c r="W38660" s="235" t="n"/>
      <c r="X38660" s="235" t="n"/>
    </row>
    <row r="38661" ht="14.25" customHeight="1" s="192">
      <c r="W38661" s="235" t="n"/>
      <c r="X38661" s="235" t="n"/>
    </row>
    <row r="38662" ht="14.25" customHeight="1" s="192">
      <c r="W38662" s="239" t="n"/>
      <c r="X38662" s="239" t="n"/>
    </row>
    <row r="38663" ht="14.25" customHeight="1" s="192">
      <c r="W38663" s="239" t="n"/>
      <c r="X38663" s="239" t="n"/>
    </row>
    <row r="38664" ht="14.25" customHeight="1" s="192">
      <c r="W38664" s="235" t="n"/>
      <c r="X38664" s="235" t="n"/>
    </row>
    <row r="38665" ht="14.25" customHeight="1" s="192">
      <c r="W38665" s="235" t="n"/>
      <c r="X38665" s="235" t="n"/>
    </row>
    <row r="38666" ht="14.25" customHeight="1" s="192">
      <c r="W38666" s="239" t="n"/>
      <c r="X38666" s="239" t="n"/>
    </row>
    <row r="38667" ht="14.25" customHeight="1" s="192">
      <c r="W38667" s="235" t="n"/>
      <c r="X38667" s="235" t="n"/>
    </row>
    <row r="38668" ht="14.25" customHeight="1" s="192">
      <c r="W38668" s="239" t="n"/>
      <c r="X38668" s="239" t="n"/>
    </row>
    <row r="38670" ht="14.25" customHeight="1" s="192">
      <c r="W38670" s="235" t="n"/>
      <c r="X38670" s="235" t="n"/>
    </row>
    <row r="38671" ht="15" customHeight="1" s="192" thickBot="1">
      <c r="W38671" s="239" t="n"/>
      <c r="X38671" s="239" t="n"/>
    </row>
    <row r="38672" ht="15" customHeight="1" s="192" thickBot="1">
      <c r="W38672" s="45" t="n"/>
      <c r="X38672" s="45" t="n"/>
    </row>
    <row r="38673" ht="14.25" customHeight="1" s="192">
      <c r="W38673" s="228" t="n"/>
      <c r="X38673" s="228" t="n"/>
    </row>
    <row r="38674" ht="14.25" customHeight="1" s="192">
      <c r="W38674" s="228" t="n"/>
      <c r="X38674" s="228" t="n"/>
    </row>
    <row r="38675" ht="14.25" customHeight="1" s="192">
      <c r="W38675" s="231" t="n"/>
      <c r="X38675" s="231" t="n"/>
    </row>
    <row r="38676" ht="14.25" customHeight="1" s="192">
      <c r="W38676" s="33" t="n"/>
      <c r="X38676" s="33" t="n"/>
    </row>
    <row r="38677" ht="14.25" customHeight="1" s="192">
      <c r="W38677" s="231" t="n"/>
      <c r="X38677" s="231" t="n"/>
    </row>
    <row r="38678" ht="14.25" customHeight="1" s="192">
      <c r="W38678" s="33" t="n"/>
      <c r="X38678" s="33" t="n"/>
    </row>
    <row r="38680" ht="14.25" customHeight="1" s="192">
      <c r="W38680" s="231" t="n"/>
      <c r="X38680" s="231" t="n"/>
    </row>
    <row r="38681" ht="14.25" customHeight="1" s="192">
      <c r="W38681" s="235" t="n"/>
      <c r="X38681" s="235" t="n"/>
    </row>
    <row r="38682" ht="14.25" customHeight="1" s="192">
      <c r="W38682" s="228" t="n"/>
      <c r="X38682" s="228" t="n"/>
    </row>
    <row r="38683" ht="14.25" customHeight="1" s="192">
      <c r="W38683" s="235" t="n"/>
      <c r="X38683" s="235" t="n"/>
    </row>
    <row r="38684" ht="14.25" customHeight="1" s="192">
      <c r="W38684" s="235" t="n"/>
      <c r="X38684" s="235" t="n"/>
    </row>
    <row r="38685" ht="14.25" customHeight="1" s="192">
      <c r="W38685" s="235" t="n"/>
      <c r="X38685" s="235" t="n"/>
    </row>
    <row r="38686" ht="14.25" customHeight="1" s="192">
      <c r="W38686" s="239" t="n"/>
      <c r="X38686" s="239" t="n"/>
    </row>
    <row r="38687" ht="14.25" customHeight="1" s="192">
      <c r="W38687" s="239" t="n"/>
      <c r="X38687" s="239" t="n"/>
    </row>
    <row r="38688" ht="14.25" customHeight="1" s="192">
      <c r="W38688" s="239" t="n"/>
      <c r="X38688" s="239" t="n"/>
    </row>
    <row r="38689" ht="14.25" customHeight="1" s="192">
      <c r="W38689" s="235" t="n"/>
      <c r="X38689" s="235" t="n"/>
    </row>
    <row r="38690" ht="14.25" customHeight="1" s="192">
      <c r="W38690" s="235" t="n"/>
      <c r="X38690" s="235" t="n"/>
    </row>
    <row r="38691" ht="14.25" customHeight="1" s="192">
      <c r="W38691" s="235" t="n"/>
      <c r="X38691" s="235" t="n"/>
    </row>
    <row r="38692" ht="14.25" customHeight="1" s="192">
      <c r="W38692" s="239" t="n"/>
      <c r="X38692" s="239" t="n"/>
    </row>
    <row r="38693" ht="14.25" customHeight="1" s="192">
      <c r="W38693" s="239" t="n"/>
      <c r="X38693" s="239" t="n"/>
    </row>
    <row r="38694" ht="14.25" customHeight="1" s="192">
      <c r="W38694" s="235" t="n"/>
      <c r="X38694" s="235" t="n"/>
    </row>
    <row r="38695" ht="14.25" customHeight="1" s="192">
      <c r="W38695" s="235" t="n"/>
      <c r="X38695" s="235" t="n"/>
    </row>
    <row r="38696" ht="14.25" customHeight="1" s="192">
      <c r="W38696" s="239" t="n"/>
      <c r="X38696" s="239" t="n"/>
    </row>
    <row r="38697" ht="14.25" customHeight="1" s="192">
      <c r="W38697" s="235" t="n"/>
      <c r="X38697" s="235" t="n"/>
    </row>
    <row r="38698" ht="14.25" customHeight="1" s="192">
      <c r="W38698" s="239" t="n"/>
      <c r="X38698" s="239" t="n"/>
    </row>
    <row r="38700" ht="14.25" customHeight="1" s="192">
      <c r="W38700" s="235" t="n"/>
      <c r="X38700" s="235" t="n"/>
    </row>
    <row r="38701" ht="15" customHeight="1" s="192" thickBot="1">
      <c r="W38701" s="239" t="n"/>
      <c r="X38701" s="239" t="n"/>
    </row>
    <row r="38702" ht="15" customHeight="1" s="192" thickBot="1">
      <c r="W38702" s="45" t="n"/>
      <c r="X38702" s="45" t="n"/>
    </row>
    <row r="38703" ht="14.25" customHeight="1" s="192">
      <c r="W38703" s="228" t="n"/>
      <c r="X38703" s="228" t="n"/>
    </row>
    <row r="38704" ht="14.25" customHeight="1" s="192">
      <c r="W38704" s="228" t="n"/>
      <c r="X38704" s="228" t="n"/>
    </row>
    <row r="38705" ht="14.25" customHeight="1" s="192">
      <c r="W38705" s="231" t="n"/>
      <c r="X38705" s="231" t="n"/>
    </row>
    <row r="38706" ht="14.25" customHeight="1" s="192">
      <c r="W38706" s="33" t="n"/>
      <c r="X38706" s="33" t="n"/>
    </row>
    <row r="38707" ht="14.25" customHeight="1" s="192">
      <c r="W38707" s="231" t="n"/>
      <c r="X38707" s="231" t="n"/>
    </row>
    <row r="38708" ht="14.25" customHeight="1" s="192">
      <c r="W38708" s="33" t="n"/>
      <c r="X38708" s="33" t="n"/>
    </row>
    <row r="38710" ht="14.25" customHeight="1" s="192">
      <c r="W38710" s="231" t="n"/>
      <c r="X38710" s="231" t="n"/>
    </row>
    <row r="38711" ht="14.25" customHeight="1" s="192">
      <c r="W38711" s="235" t="n"/>
      <c r="X38711" s="235" t="n"/>
    </row>
    <row r="38712" ht="14.25" customHeight="1" s="192">
      <c r="W38712" s="228" t="n"/>
      <c r="X38712" s="228" t="n"/>
    </row>
    <row r="38713" ht="14.25" customHeight="1" s="192">
      <c r="W38713" s="235" t="n"/>
      <c r="X38713" s="235" t="n"/>
    </row>
    <row r="38714" ht="14.25" customHeight="1" s="192">
      <c r="W38714" s="235" t="n"/>
      <c r="X38714" s="235" t="n"/>
    </row>
    <row r="38715" ht="14.25" customHeight="1" s="192">
      <c r="W38715" s="235" t="n"/>
      <c r="X38715" s="235" t="n"/>
    </row>
    <row r="38716" ht="14.25" customHeight="1" s="192">
      <c r="W38716" s="239" t="n"/>
      <c r="X38716" s="239" t="n"/>
    </row>
    <row r="38717" ht="14.25" customHeight="1" s="192">
      <c r="W38717" s="239" t="n"/>
      <c r="X38717" s="239" t="n"/>
    </row>
    <row r="38718" ht="14.25" customHeight="1" s="192">
      <c r="W38718" s="239" t="n"/>
      <c r="X38718" s="239" t="n"/>
    </row>
    <row r="38719" ht="14.25" customHeight="1" s="192">
      <c r="W38719" s="235" t="n"/>
      <c r="X38719" s="235" t="n"/>
    </row>
    <row r="38720" ht="14.25" customHeight="1" s="192">
      <c r="W38720" s="235" t="n"/>
      <c r="X38720" s="235" t="n"/>
    </row>
    <row r="38721" ht="14.25" customHeight="1" s="192">
      <c r="W38721" s="235" t="n"/>
      <c r="X38721" s="235" t="n"/>
    </row>
    <row r="38722" ht="14.25" customHeight="1" s="192">
      <c r="W38722" s="239" t="n"/>
      <c r="X38722" s="239" t="n"/>
    </row>
    <row r="38723" ht="14.25" customHeight="1" s="192">
      <c r="W38723" s="239" t="n"/>
      <c r="X38723" s="239" t="n"/>
    </row>
    <row r="38724" ht="14.25" customHeight="1" s="192">
      <c r="W38724" s="235" t="n"/>
      <c r="X38724" s="235" t="n"/>
    </row>
    <row r="38725" ht="14.25" customHeight="1" s="192">
      <c r="W38725" s="235" t="n"/>
      <c r="X38725" s="235" t="n"/>
    </row>
    <row r="38726" ht="14.25" customHeight="1" s="192">
      <c r="W38726" s="239" t="n"/>
      <c r="X38726" s="239" t="n"/>
    </row>
    <row r="38727" ht="14.25" customHeight="1" s="192">
      <c r="W38727" s="235" t="n"/>
      <c r="X38727" s="235" t="n"/>
    </row>
    <row r="38728" ht="14.25" customHeight="1" s="192">
      <c r="W38728" s="239" t="n"/>
      <c r="X38728" s="239" t="n"/>
    </row>
    <row r="38730" ht="14.25" customHeight="1" s="192">
      <c r="W38730" s="235" t="n"/>
      <c r="X38730" s="235" t="n"/>
    </row>
    <row r="38731" ht="15" customHeight="1" s="192" thickBot="1">
      <c r="W38731" s="239" t="n"/>
      <c r="X38731" s="239" t="n"/>
    </row>
    <row r="38732" ht="15" customHeight="1" s="192" thickBot="1">
      <c r="W38732" s="45" t="n"/>
      <c r="X38732" s="45" t="n"/>
    </row>
    <row r="38733" ht="14.25" customHeight="1" s="192">
      <c r="W38733" s="228" t="n"/>
      <c r="X38733" s="228" t="n"/>
    </row>
    <row r="38734" ht="14.25" customHeight="1" s="192">
      <c r="W38734" s="228" t="n"/>
      <c r="X38734" s="228" t="n"/>
    </row>
    <row r="38735" ht="14.25" customHeight="1" s="192">
      <c r="W38735" s="231" t="n"/>
      <c r="X38735" s="231" t="n"/>
    </row>
    <row r="38736" ht="14.25" customHeight="1" s="192">
      <c r="W38736" s="33" t="n"/>
      <c r="X38736" s="33" t="n"/>
    </row>
    <row r="38737" ht="14.25" customHeight="1" s="192">
      <c r="W38737" s="231" t="n"/>
      <c r="X38737" s="231" t="n"/>
    </row>
    <row r="38738" ht="14.25" customHeight="1" s="192">
      <c r="W38738" s="33" t="n"/>
      <c r="X38738" s="33" t="n"/>
    </row>
    <row r="38740" ht="14.25" customHeight="1" s="192">
      <c r="W38740" s="231" t="n"/>
      <c r="X38740" s="231" t="n"/>
    </row>
    <row r="38741" ht="14.25" customHeight="1" s="192">
      <c r="W38741" s="235" t="n"/>
      <c r="X38741" s="235" t="n"/>
    </row>
    <row r="38742" ht="14.25" customHeight="1" s="192">
      <c r="W38742" s="228" t="n"/>
      <c r="X38742" s="228" t="n"/>
    </row>
    <row r="38743" ht="14.25" customHeight="1" s="192">
      <c r="W38743" s="235" t="n"/>
      <c r="X38743" s="235" t="n"/>
    </row>
    <row r="38744" ht="14.25" customHeight="1" s="192">
      <c r="W38744" s="235" t="n"/>
      <c r="X38744" s="235" t="n"/>
    </row>
    <row r="38745" ht="14.25" customHeight="1" s="192">
      <c r="W38745" s="235" t="n"/>
      <c r="X38745" s="235" t="n"/>
    </row>
    <row r="38746" ht="14.25" customHeight="1" s="192">
      <c r="W38746" s="239" t="n"/>
      <c r="X38746" s="239" t="n"/>
    </row>
    <row r="38747" ht="14.25" customHeight="1" s="192">
      <c r="W38747" s="239" t="n"/>
      <c r="X38747" s="239" t="n"/>
    </row>
    <row r="38748" ht="14.25" customHeight="1" s="192">
      <c r="W38748" s="239" t="n"/>
      <c r="X38748" s="239" t="n"/>
    </row>
    <row r="38749" ht="14.25" customHeight="1" s="192">
      <c r="W38749" s="235" t="n"/>
      <c r="X38749" s="235" t="n"/>
    </row>
    <row r="38750" ht="14.25" customHeight="1" s="192">
      <c r="W38750" s="235" t="n"/>
      <c r="X38750" s="235" t="n"/>
    </row>
    <row r="38751" ht="14.25" customHeight="1" s="192">
      <c r="W38751" s="235" t="n"/>
      <c r="X38751" s="235" t="n"/>
    </row>
    <row r="38752" ht="14.25" customHeight="1" s="192">
      <c r="W38752" s="239" t="n"/>
      <c r="X38752" s="239" t="n"/>
    </row>
    <row r="38753" ht="14.25" customHeight="1" s="192">
      <c r="W38753" s="239" t="n"/>
      <c r="X38753" s="239" t="n"/>
    </row>
    <row r="38754" ht="14.25" customHeight="1" s="192">
      <c r="W38754" s="235" t="n"/>
      <c r="X38754" s="235" t="n"/>
    </row>
    <row r="38755" ht="14.25" customHeight="1" s="192">
      <c r="W38755" s="235" t="n"/>
      <c r="X38755" s="235" t="n"/>
    </row>
    <row r="38756" ht="14.25" customHeight="1" s="192">
      <c r="W38756" s="239" t="n"/>
      <c r="X38756" s="239" t="n"/>
    </row>
    <row r="38757" ht="14.25" customHeight="1" s="192">
      <c r="W38757" s="235" t="n"/>
      <c r="X38757" s="235" t="n"/>
    </row>
    <row r="38758" ht="14.25" customHeight="1" s="192">
      <c r="W38758" s="239" t="n"/>
      <c r="X38758" s="239" t="n"/>
    </row>
    <row r="38760" ht="14.25" customHeight="1" s="192">
      <c r="W38760" s="235" t="n"/>
      <c r="X38760" s="235" t="n"/>
    </row>
    <row r="38761" ht="15" customHeight="1" s="192" thickBot="1">
      <c r="W38761" s="239" t="n"/>
      <c r="X38761" s="239" t="n"/>
    </row>
    <row r="38762" ht="15" customHeight="1" s="192" thickBot="1">
      <c r="W38762" s="45" t="n"/>
      <c r="X38762" s="45" t="n"/>
    </row>
    <row r="38763" ht="14.25" customHeight="1" s="192">
      <c r="W38763" s="228" t="n"/>
      <c r="X38763" s="228" t="n"/>
    </row>
    <row r="38764" ht="14.25" customHeight="1" s="192">
      <c r="W38764" s="228" t="n"/>
      <c r="X38764" s="228" t="n"/>
    </row>
    <row r="38765" ht="14.25" customHeight="1" s="192">
      <c r="W38765" s="231" t="n"/>
      <c r="X38765" s="231" t="n"/>
    </row>
    <row r="38766" ht="14.25" customHeight="1" s="192">
      <c r="W38766" s="33" t="n"/>
      <c r="X38766" s="33" t="n"/>
    </row>
    <row r="38767" ht="14.25" customHeight="1" s="192">
      <c r="W38767" s="231" t="n"/>
      <c r="X38767" s="231" t="n"/>
    </row>
    <row r="38768" ht="14.25" customHeight="1" s="192">
      <c r="W38768" s="33" t="n"/>
      <c r="X38768" s="33" t="n"/>
    </row>
    <row r="38770" ht="14.25" customHeight="1" s="192">
      <c r="W38770" s="231" t="n"/>
      <c r="X38770" s="231" t="n"/>
    </row>
    <row r="38771" ht="14.25" customHeight="1" s="192">
      <c r="W38771" s="235" t="n"/>
      <c r="X38771" s="235" t="n"/>
    </row>
    <row r="38772" ht="14.25" customHeight="1" s="192">
      <c r="W38772" s="228" t="n"/>
      <c r="X38772" s="228" t="n"/>
    </row>
    <row r="38773" ht="14.25" customHeight="1" s="192">
      <c r="W38773" s="235" t="n"/>
      <c r="X38773" s="235" t="n"/>
    </row>
    <row r="38774" ht="14.25" customHeight="1" s="192">
      <c r="W38774" s="235" t="n"/>
      <c r="X38774" s="235" t="n"/>
    </row>
    <row r="38775" ht="14.25" customHeight="1" s="192">
      <c r="W38775" s="235" t="n"/>
      <c r="X38775" s="235" t="n"/>
    </row>
    <row r="38776" ht="14.25" customHeight="1" s="192">
      <c r="W38776" s="239" t="n"/>
      <c r="X38776" s="239" t="n"/>
    </row>
    <row r="38777" ht="14.25" customHeight="1" s="192">
      <c r="W38777" s="239" t="n"/>
      <c r="X38777" s="239" t="n"/>
    </row>
    <row r="38778" ht="14.25" customHeight="1" s="192">
      <c r="W38778" s="239" t="n"/>
      <c r="X38778" s="239" t="n"/>
    </row>
    <row r="38779" ht="14.25" customHeight="1" s="192">
      <c r="W38779" s="235" t="n"/>
      <c r="X38779" s="235" t="n"/>
    </row>
    <row r="38780" ht="14.25" customHeight="1" s="192">
      <c r="W38780" s="235" t="n"/>
      <c r="X38780" s="235" t="n"/>
    </row>
    <row r="38781" ht="14.25" customHeight="1" s="192">
      <c r="W38781" s="235" t="n"/>
      <c r="X38781" s="235" t="n"/>
    </row>
    <row r="38782" ht="14.25" customHeight="1" s="192">
      <c r="W38782" s="239" t="n"/>
      <c r="X38782" s="239" t="n"/>
    </row>
    <row r="38783" ht="14.25" customHeight="1" s="192">
      <c r="W38783" s="239" t="n"/>
      <c r="X38783" s="239" t="n"/>
    </row>
    <row r="38784" ht="14.25" customHeight="1" s="192">
      <c r="W38784" s="235" t="n"/>
      <c r="X38784" s="235" t="n"/>
    </row>
    <row r="38785" ht="14.25" customHeight="1" s="192">
      <c r="W38785" s="235" t="n"/>
      <c r="X38785" s="235" t="n"/>
    </row>
    <row r="38786" ht="14.25" customHeight="1" s="192">
      <c r="W38786" s="239" t="n"/>
      <c r="X38786" s="239" t="n"/>
    </row>
    <row r="38787" ht="14.25" customHeight="1" s="192">
      <c r="W38787" s="235" t="n"/>
      <c r="X38787" s="235" t="n"/>
    </row>
    <row r="38788" ht="14.25" customHeight="1" s="192">
      <c r="W38788" s="239" t="n"/>
      <c r="X38788" s="239" t="n"/>
    </row>
    <row r="38790" ht="14.25" customHeight="1" s="192">
      <c r="W38790" s="235" t="n"/>
      <c r="X38790" s="235" t="n"/>
    </row>
    <row r="38791" ht="15" customHeight="1" s="192" thickBot="1">
      <c r="W38791" s="239" t="n"/>
      <c r="X38791" s="239" t="n"/>
    </row>
    <row r="38792" ht="15" customHeight="1" s="192" thickBot="1">
      <c r="W38792" s="45" t="n"/>
      <c r="X38792" s="45" t="n"/>
    </row>
    <row r="38793" ht="14.25" customHeight="1" s="192">
      <c r="W38793" s="228" t="n"/>
      <c r="X38793" s="228" t="n"/>
    </row>
    <row r="38794" ht="14.25" customHeight="1" s="192">
      <c r="W38794" s="228" t="n"/>
      <c r="X38794" s="228" t="n"/>
    </row>
    <row r="38795" ht="14.25" customHeight="1" s="192">
      <c r="W38795" s="231" t="n"/>
      <c r="X38795" s="231" t="n"/>
    </row>
    <row r="38796" ht="14.25" customHeight="1" s="192">
      <c r="W38796" s="33" t="n"/>
      <c r="X38796" s="33" t="n"/>
    </row>
    <row r="38797" ht="14.25" customHeight="1" s="192">
      <c r="W38797" s="231" t="n"/>
      <c r="X38797" s="231" t="n"/>
    </row>
    <row r="38798" ht="14.25" customHeight="1" s="192">
      <c r="W38798" s="33" t="n"/>
      <c r="X38798" s="33" t="n"/>
    </row>
    <row r="38800" ht="14.25" customHeight="1" s="192">
      <c r="W38800" s="231" t="n"/>
      <c r="X38800" s="231" t="n"/>
    </row>
    <row r="38801" ht="14.25" customHeight="1" s="192">
      <c r="W38801" s="235" t="n"/>
      <c r="X38801" s="235" t="n"/>
    </row>
    <row r="38802" ht="14.25" customHeight="1" s="192">
      <c r="W38802" s="228" t="n"/>
      <c r="X38802" s="228" t="n"/>
    </row>
    <row r="38803" ht="14.25" customHeight="1" s="192">
      <c r="W38803" s="235" t="n"/>
      <c r="X38803" s="235" t="n"/>
    </row>
    <row r="38804" ht="14.25" customHeight="1" s="192">
      <c r="W38804" s="235" t="n"/>
      <c r="X38804" s="235" t="n"/>
    </row>
    <row r="38805" ht="14.25" customHeight="1" s="192">
      <c r="W38805" s="235" t="n"/>
      <c r="X38805" s="235" t="n"/>
    </row>
    <row r="38806" ht="14.25" customHeight="1" s="192">
      <c r="W38806" s="239" t="n"/>
      <c r="X38806" s="239" t="n"/>
    </row>
    <row r="38807" ht="14.25" customHeight="1" s="192">
      <c r="W38807" s="239" t="n"/>
      <c r="X38807" s="239" t="n"/>
    </row>
    <row r="38808" ht="14.25" customHeight="1" s="192">
      <c r="W38808" s="239" t="n"/>
      <c r="X38808" s="239" t="n"/>
    </row>
    <row r="38809" ht="14.25" customHeight="1" s="192">
      <c r="W38809" s="235" t="n"/>
      <c r="X38809" s="235" t="n"/>
    </row>
    <row r="38810" ht="14.25" customHeight="1" s="192">
      <c r="W38810" s="235" t="n"/>
      <c r="X38810" s="235" t="n"/>
    </row>
    <row r="38811" ht="14.25" customHeight="1" s="192">
      <c r="W38811" s="235" t="n"/>
      <c r="X38811" s="235" t="n"/>
    </row>
    <row r="38812" ht="14.25" customHeight="1" s="192">
      <c r="W38812" s="239" t="n"/>
      <c r="X38812" s="239" t="n"/>
    </row>
    <row r="38813" ht="14.25" customHeight="1" s="192">
      <c r="W38813" s="239" t="n"/>
      <c r="X38813" s="239" t="n"/>
    </row>
    <row r="38814" ht="14.25" customHeight="1" s="192">
      <c r="W38814" s="235" t="n"/>
      <c r="X38814" s="235" t="n"/>
    </row>
    <row r="38815" ht="14.25" customHeight="1" s="192">
      <c r="W38815" s="235" t="n"/>
      <c r="X38815" s="235" t="n"/>
    </row>
    <row r="38816" ht="14.25" customHeight="1" s="192">
      <c r="W38816" s="239" t="n"/>
      <c r="X38816" s="239" t="n"/>
    </row>
    <row r="38817" ht="14.25" customHeight="1" s="192">
      <c r="W38817" s="235" t="n"/>
      <c r="X38817" s="235" t="n"/>
    </row>
    <row r="38818" ht="14.25" customHeight="1" s="192">
      <c r="W38818" s="239" t="n"/>
      <c r="X38818" s="239" t="n"/>
    </row>
    <row r="38820" ht="14.25" customHeight="1" s="192">
      <c r="W38820" s="235" t="n"/>
      <c r="X38820" s="235" t="n"/>
    </row>
    <row r="38821" ht="15" customHeight="1" s="192" thickBot="1">
      <c r="W38821" s="239" t="n"/>
      <c r="X38821" s="239" t="n"/>
    </row>
    <row r="38822" ht="15" customHeight="1" s="192" thickBot="1">
      <c r="W38822" s="45" t="n"/>
      <c r="X38822" s="45" t="n"/>
    </row>
    <row r="38823" ht="14.25" customHeight="1" s="192">
      <c r="W38823" s="228" t="n"/>
      <c r="X38823" s="228" t="n"/>
    </row>
    <row r="38824" ht="14.25" customHeight="1" s="192">
      <c r="W38824" s="228" t="n"/>
      <c r="X38824" s="228" t="n"/>
    </row>
    <row r="38825" ht="14.25" customHeight="1" s="192">
      <c r="W38825" s="231" t="n"/>
      <c r="X38825" s="231" t="n"/>
    </row>
    <row r="38826" ht="14.25" customHeight="1" s="192">
      <c r="W38826" s="33" t="n"/>
      <c r="X38826" s="33" t="n"/>
    </row>
    <row r="38827" ht="14.25" customHeight="1" s="192">
      <c r="W38827" s="231" t="n"/>
      <c r="X38827" s="231" t="n"/>
    </row>
    <row r="38828" ht="14.25" customHeight="1" s="192">
      <c r="W38828" s="33" t="n"/>
      <c r="X38828" s="33" t="n"/>
    </row>
    <row r="38830" ht="14.25" customHeight="1" s="192">
      <c r="W38830" s="231" t="n"/>
      <c r="X38830" s="231" t="n"/>
    </row>
    <row r="38831" ht="14.25" customHeight="1" s="192">
      <c r="W38831" s="235" t="n"/>
      <c r="X38831" s="235" t="n"/>
    </row>
    <row r="38832" ht="14.25" customHeight="1" s="192">
      <c r="W38832" s="228" t="n"/>
      <c r="X38832" s="228" t="n"/>
    </row>
    <row r="38833" ht="14.25" customHeight="1" s="192">
      <c r="W38833" s="235" t="n"/>
      <c r="X38833" s="235" t="n"/>
    </row>
    <row r="38834" ht="14.25" customHeight="1" s="192">
      <c r="W38834" s="235" t="n"/>
      <c r="X38834" s="235" t="n"/>
    </row>
    <row r="38835" ht="14.25" customHeight="1" s="192">
      <c r="W38835" s="235" t="n"/>
      <c r="X38835" s="235" t="n"/>
    </row>
    <row r="38836" ht="14.25" customHeight="1" s="192">
      <c r="W38836" s="239" t="n"/>
      <c r="X38836" s="239" t="n"/>
    </row>
    <row r="38837" ht="14.25" customHeight="1" s="192">
      <c r="W38837" s="239" t="n"/>
      <c r="X38837" s="239" t="n"/>
    </row>
    <row r="38838" ht="14.25" customHeight="1" s="192">
      <c r="W38838" s="239" t="n"/>
      <c r="X38838" s="239" t="n"/>
    </row>
    <row r="38839" ht="14.25" customHeight="1" s="192">
      <c r="W38839" s="235" t="n"/>
      <c r="X38839" s="235" t="n"/>
    </row>
    <row r="38840" ht="14.25" customHeight="1" s="192">
      <c r="W38840" s="235" t="n"/>
      <c r="X38840" s="235" t="n"/>
    </row>
    <row r="38841" ht="14.25" customHeight="1" s="192">
      <c r="W38841" s="235" t="n"/>
      <c r="X38841" s="235" t="n"/>
    </row>
    <row r="38842" ht="14.25" customHeight="1" s="192">
      <c r="W38842" s="239" t="n"/>
      <c r="X38842" s="239" t="n"/>
    </row>
    <row r="38843" ht="14.25" customHeight="1" s="192">
      <c r="W38843" s="239" t="n"/>
      <c r="X38843" s="239" t="n"/>
    </row>
    <row r="38844" ht="14.25" customHeight="1" s="192">
      <c r="W38844" s="235" t="n"/>
      <c r="X38844" s="235" t="n"/>
    </row>
    <row r="38845" ht="14.25" customHeight="1" s="192">
      <c r="W38845" s="235" t="n"/>
      <c r="X38845" s="235" t="n"/>
    </row>
    <row r="38846" ht="14.25" customHeight="1" s="192">
      <c r="W38846" s="239" t="n"/>
      <c r="X38846" s="239" t="n"/>
    </row>
    <row r="38847" ht="14.25" customHeight="1" s="192">
      <c r="W38847" s="235" t="n"/>
      <c r="X38847" s="235" t="n"/>
    </row>
    <row r="38848" ht="14.25" customHeight="1" s="192">
      <c r="W38848" s="239" t="n"/>
      <c r="X38848" s="239" t="n"/>
    </row>
    <row r="38850" ht="14.25" customHeight="1" s="192">
      <c r="W38850" s="235" t="n"/>
      <c r="X38850" s="235" t="n"/>
    </row>
    <row r="38851" ht="15" customHeight="1" s="192" thickBot="1">
      <c r="W38851" s="239" t="n"/>
      <c r="X38851" s="239" t="n"/>
    </row>
    <row r="38852" ht="15" customHeight="1" s="192" thickBot="1">
      <c r="W38852" s="45" t="n"/>
      <c r="X38852" s="45" t="n"/>
    </row>
    <row r="38853" ht="14.25" customHeight="1" s="192">
      <c r="W38853" s="228" t="n"/>
      <c r="X38853" s="228" t="n"/>
    </row>
    <row r="38854" ht="14.25" customHeight="1" s="192">
      <c r="W38854" s="228" t="n"/>
      <c r="X38854" s="228" t="n"/>
    </row>
    <row r="38855" ht="14.25" customHeight="1" s="192">
      <c r="W38855" s="231" t="n"/>
      <c r="X38855" s="231" t="n"/>
    </row>
    <row r="38856" ht="14.25" customHeight="1" s="192">
      <c r="W38856" s="33" t="n"/>
      <c r="X38856" s="33" t="n"/>
    </row>
    <row r="38857" ht="14.25" customHeight="1" s="192">
      <c r="W38857" s="231" t="n"/>
      <c r="X38857" s="231" t="n"/>
    </row>
    <row r="38858" ht="14.25" customHeight="1" s="192">
      <c r="W38858" s="33" t="n"/>
      <c r="X38858" s="33" t="n"/>
    </row>
    <row r="38860" ht="14.25" customHeight="1" s="192">
      <c r="W38860" s="231" t="n"/>
      <c r="X38860" s="231" t="n"/>
    </row>
    <row r="38861" ht="14.25" customHeight="1" s="192">
      <c r="W38861" s="235" t="n"/>
      <c r="X38861" s="235" t="n"/>
    </row>
    <row r="38862" ht="14.25" customHeight="1" s="192">
      <c r="W38862" s="228" t="n"/>
      <c r="X38862" s="228" t="n"/>
    </row>
    <row r="38863" ht="14.25" customHeight="1" s="192">
      <c r="W38863" s="235" t="n"/>
      <c r="X38863" s="235" t="n"/>
    </row>
    <row r="38864" ht="14.25" customHeight="1" s="192">
      <c r="W38864" s="235" t="n"/>
      <c r="X38864" s="235" t="n"/>
    </row>
    <row r="38865" ht="14.25" customHeight="1" s="192">
      <c r="W38865" s="235" t="n"/>
      <c r="X38865" s="235" t="n"/>
    </row>
    <row r="38866" ht="14.25" customHeight="1" s="192">
      <c r="W38866" s="239" t="n"/>
      <c r="X38866" s="239" t="n"/>
    </row>
    <row r="38867" ht="14.25" customHeight="1" s="192">
      <c r="W38867" s="239" t="n"/>
      <c r="X38867" s="239" t="n"/>
    </row>
    <row r="38868" ht="14.25" customHeight="1" s="192">
      <c r="W38868" s="239" t="n"/>
      <c r="X38868" s="239" t="n"/>
    </row>
    <row r="38869" ht="14.25" customHeight="1" s="192">
      <c r="W38869" s="235" t="n"/>
      <c r="X38869" s="235" t="n"/>
    </row>
    <row r="38870" ht="14.25" customHeight="1" s="192">
      <c r="W38870" s="235" t="n"/>
      <c r="X38870" s="235" t="n"/>
    </row>
    <row r="38871" ht="14.25" customHeight="1" s="192">
      <c r="W38871" s="235" t="n"/>
      <c r="X38871" s="235" t="n"/>
    </row>
    <row r="38872" ht="14.25" customHeight="1" s="192">
      <c r="W38872" s="239" t="n"/>
      <c r="X38872" s="239" t="n"/>
    </row>
    <row r="38873" ht="14.25" customHeight="1" s="192">
      <c r="W38873" s="239" t="n"/>
      <c r="X38873" s="239" t="n"/>
    </row>
    <row r="38874" ht="14.25" customHeight="1" s="192">
      <c r="W38874" s="235" t="n"/>
      <c r="X38874" s="235" t="n"/>
    </row>
    <row r="38875" ht="14.25" customHeight="1" s="192">
      <c r="W38875" s="235" t="n"/>
      <c r="X38875" s="235" t="n"/>
    </row>
    <row r="38876" ht="14.25" customHeight="1" s="192">
      <c r="W38876" s="239" t="n"/>
      <c r="X38876" s="239" t="n"/>
    </row>
    <row r="38877" ht="14.25" customHeight="1" s="192">
      <c r="W38877" s="235" t="n"/>
      <c r="X38877" s="235" t="n"/>
    </row>
    <row r="38878" ht="14.25" customHeight="1" s="192">
      <c r="W38878" s="239" t="n"/>
      <c r="X38878" s="239" t="n"/>
    </row>
    <row r="38880" ht="14.25" customHeight="1" s="192">
      <c r="W38880" s="235" t="n"/>
      <c r="X38880" s="235" t="n"/>
    </row>
    <row r="38881" ht="15" customHeight="1" s="192" thickBot="1">
      <c r="W38881" s="239" t="n"/>
      <c r="X38881" s="239" t="n"/>
    </row>
    <row r="38882" ht="15" customHeight="1" s="192" thickBot="1">
      <c r="W38882" s="45" t="n"/>
      <c r="X38882" s="45" t="n"/>
    </row>
    <row r="38883" ht="14.25" customHeight="1" s="192">
      <c r="W38883" s="228" t="n"/>
      <c r="X38883" s="228" t="n"/>
    </row>
    <row r="38884" ht="14.25" customHeight="1" s="192">
      <c r="W38884" s="228" t="n"/>
      <c r="X38884" s="228" t="n"/>
    </row>
    <row r="38885" ht="14.25" customHeight="1" s="192">
      <c r="W38885" s="231" t="n"/>
      <c r="X38885" s="231" t="n"/>
    </row>
    <row r="38886" ht="14.25" customHeight="1" s="192">
      <c r="W38886" s="33" t="n"/>
      <c r="X38886" s="33" t="n"/>
    </row>
    <row r="38887" ht="14.25" customHeight="1" s="192">
      <c r="W38887" s="231" t="n"/>
      <c r="X38887" s="231" t="n"/>
    </row>
    <row r="38888" ht="14.25" customHeight="1" s="192">
      <c r="W38888" s="33" t="n"/>
      <c r="X38888" s="33" t="n"/>
    </row>
    <row r="38890" ht="14.25" customHeight="1" s="192">
      <c r="W38890" s="231" t="n"/>
      <c r="X38890" s="231" t="n"/>
    </row>
    <row r="38891" ht="14.25" customHeight="1" s="192">
      <c r="W38891" s="235" t="n"/>
      <c r="X38891" s="235" t="n"/>
    </row>
    <row r="38892" ht="14.25" customHeight="1" s="192">
      <c r="W38892" s="228" t="n"/>
      <c r="X38892" s="228" t="n"/>
    </row>
    <row r="38893" ht="14.25" customHeight="1" s="192">
      <c r="W38893" s="235" t="n"/>
      <c r="X38893" s="235" t="n"/>
    </row>
    <row r="38894" ht="14.25" customHeight="1" s="192">
      <c r="W38894" s="235" t="n"/>
      <c r="X38894" s="235" t="n"/>
    </row>
    <row r="38895" ht="14.25" customHeight="1" s="192">
      <c r="W38895" s="235" t="n"/>
      <c r="X38895" s="235" t="n"/>
    </row>
    <row r="38896" ht="14.25" customHeight="1" s="192">
      <c r="W38896" s="239" t="n"/>
      <c r="X38896" s="239" t="n"/>
    </row>
    <row r="38897" ht="14.25" customHeight="1" s="192">
      <c r="W38897" s="239" t="n"/>
      <c r="X38897" s="239" t="n"/>
    </row>
    <row r="38898" ht="14.25" customHeight="1" s="192">
      <c r="W38898" s="239" t="n"/>
      <c r="X38898" s="239" t="n"/>
    </row>
    <row r="38899" ht="14.25" customHeight="1" s="192">
      <c r="W38899" s="235" t="n"/>
      <c r="X38899" s="235" t="n"/>
    </row>
    <row r="38900" ht="14.25" customHeight="1" s="192">
      <c r="W38900" s="235" t="n"/>
      <c r="X38900" s="235" t="n"/>
    </row>
    <row r="38901" ht="14.25" customHeight="1" s="192">
      <c r="W38901" s="235" t="n"/>
      <c r="X38901" s="235" t="n"/>
    </row>
    <row r="38902" ht="14.25" customHeight="1" s="192">
      <c r="W38902" s="239" t="n"/>
      <c r="X38902" s="239" t="n"/>
    </row>
    <row r="38903" ht="14.25" customHeight="1" s="192">
      <c r="W38903" s="239" t="n"/>
      <c r="X38903" s="239" t="n"/>
    </row>
    <row r="38904" ht="14.25" customHeight="1" s="192">
      <c r="W38904" s="235" t="n"/>
      <c r="X38904" s="235" t="n"/>
    </row>
    <row r="38905" ht="14.25" customHeight="1" s="192">
      <c r="W38905" s="235" t="n"/>
      <c r="X38905" s="235" t="n"/>
    </row>
    <row r="38906" ht="14.25" customHeight="1" s="192">
      <c r="W38906" s="239" t="n"/>
      <c r="X38906" s="239" t="n"/>
    </row>
    <row r="38907" ht="14.25" customHeight="1" s="192">
      <c r="W38907" s="235" t="n"/>
      <c r="X38907" s="235" t="n"/>
    </row>
    <row r="38908" ht="14.25" customHeight="1" s="192">
      <c r="W38908" s="239" t="n"/>
      <c r="X38908" s="239" t="n"/>
    </row>
    <row r="38910" ht="14.25" customHeight="1" s="192">
      <c r="W38910" s="235" t="n"/>
      <c r="X38910" s="235" t="n"/>
    </row>
    <row r="38911" ht="15" customHeight="1" s="192" thickBot="1">
      <c r="W38911" s="239" t="n"/>
      <c r="X38911" s="239" t="n"/>
    </row>
    <row r="38912" ht="15" customHeight="1" s="192" thickBot="1">
      <c r="W38912" s="45" t="n"/>
      <c r="X38912" s="45" t="n"/>
    </row>
    <row r="38913" ht="14.25" customHeight="1" s="192">
      <c r="W38913" s="228" t="n"/>
      <c r="X38913" s="228" t="n"/>
    </row>
    <row r="38914" ht="14.25" customHeight="1" s="192">
      <c r="W38914" s="228" t="n"/>
      <c r="X38914" s="228" t="n"/>
    </row>
    <row r="38915" ht="14.25" customHeight="1" s="192">
      <c r="W38915" s="231" t="n"/>
      <c r="X38915" s="231" t="n"/>
    </row>
    <row r="38916" ht="14.25" customHeight="1" s="192">
      <c r="W38916" s="33" t="n"/>
      <c r="X38916" s="33" t="n"/>
    </row>
    <row r="38917" ht="14.25" customHeight="1" s="192">
      <c r="W38917" s="231" t="n"/>
      <c r="X38917" s="231" t="n"/>
    </row>
    <row r="38918" ht="14.25" customHeight="1" s="192">
      <c r="W38918" s="33" t="n"/>
      <c r="X38918" s="33" t="n"/>
    </row>
    <row r="38920" ht="14.25" customHeight="1" s="192">
      <c r="W38920" s="231" t="n"/>
      <c r="X38920" s="231" t="n"/>
    </row>
    <row r="38921" ht="14.25" customHeight="1" s="192">
      <c r="W38921" s="235" t="n"/>
      <c r="X38921" s="235" t="n"/>
    </row>
    <row r="38922" ht="14.25" customHeight="1" s="192">
      <c r="W38922" s="228" t="n"/>
      <c r="X38922" s="228" t="n"/>
    </row>
    <row r="38923" ht="14.25" customHeight="1" s="192">
      <c r="W38923" s="235" t="n"/>
      <c r="X38923" s="235" t="n"/>
    </row>
    <row r="38924" ht="14.25" customHeight="1" s="192">
      <c r="W38924" s="235" t="n"/>
      <c r="X38924" s="235" t="n"/>
    </row>
    <row r="38925" ht="14.25" customHeight="1" s="192">
      <c r="W38925" s="235" t="n"/>
      <c r="X38925" s="235" t="n"/>
    </row>
    <row r="38926" ht="14.25" customHeight="1" s="192">
      <c r="W38926" s="239" t="n"/>
      <c r="X38926" s="239" t="n"/>
    </row>
    <row r="38927" ht="14.25" customHeight="1" s="192">
      <c r="W38927" s="239" t="n"/>
      <c r="X38927" s="239" t="n"/>
    </row>
    <row r="38928" ht="14.25" customHeight="1" s="192">
      <c r="W38928" s="239" t="n"/>
      <c r="X38928" s="239" t="n"/>
    </row>
    <row r="38929" ht="14.25" customHeight="1" s="192">
      <c r="W38929" s="235" t="n"/>
      <c r="X38929" s="235" t="n"/>
    </row>
    <row r="38930" ht="14.25" customHeight="1" s="192">
      <c r="W38930" s="235" t="n"/>
      <c r="X38930" s="235" t="n"/>
    </row>
    <row r="38931" ht="14.25" customHeight="1" s="192">
      <c r="W38931" s="235" t="n"/>
      <c r="X38931" s="235" t="n"/>
    </row>
    <row r="38932" ht="14.25" customHeight="1" s="192">
      <c r="W38932" s="239" t="n"/>
      <c r="X38932" s="239" t="n"/>
    </row>
    <row r="38933" ht="14.25" customHeight="1" s="192">
      <c r="W38933" s="239" t="n"/>
      <c r="X38933" s="239" t="n"/>
    </row>
    <row r="38934" ht="14.25" customHeight="1" s="192">
      <c r="W38934" s="235" t="n"/>
      <c r="X38934" s="235" t="n"/>
    </row>
    <row r="38935" ht="14.25" customHeight="1" s="192">
      <c r="W38935" s="235" t="n"/>
      <c r="X38935" s="235" t="n"/>
    </row>
    <row r="38936" ht="14.25" customHeight="1" s="192">
      <c r="W38936" s="239" t="n"/>
      <c r="X38936" s="239" t="n"/>
    </row>
    <row r="38937" ht="14.25" customHeight="1" s="192">
      <c r="W38937" s="235" t="n"/>
      <c r="X38937" s="235" t="n"/>
    </row>
    <row r="38938" ht="14.25" customHeight="1" s="192">
      <c r="W38938" s="239" t="n"/>
      <c r="X38938" s="239" t="n"/>
    </row>
    <row r="38940" ht="14.25" customHeight="1" s="192">
      <c r="W38940" s="235" t="n"/>
      <c r="X38940" s="235" t="n"/>
    </row>
    <row r="38941" ht="15" customHeight="1" s="192" thickBot="1">
      <c r="W38941" s="239" t="n"/>
      <c r="X38941" s="239" t="n"/>
    </row>
    <row r="38942" ht="15" customHeight="1" s="192" thickBot="1">
      <c r="W38942" s="45" t="n"/>
      <c r="X38942" s="45" t="n"/>
    </row>
    <row r="38943" ht="14.25" customHeight="1" s="192">
      <c r="W38943" s="228" t="n"/>
      <c r="X38943" s="228" t="n"/>
    </row>
    <row r="38944" ht="14.25" customHeight="1" s="192">
      <c r="W38944" s="228" t="n"/>
      <c r="X38944" s="228" t="n"/>
    </row>
    <row r="38945" ht="14.25" customHeight="1" s="192">
      <c r="W38945" s="231" t="n"/>
      <c r="X38945" s="231" t="n"/>
    </row>
    <row r="38946" ht="14.25" customHeight="1" s="192">
      <c r="W38946" s="33" t="n"/>
      <c r="X38946" s="33" t="n"/>
    </row>
    <row r="38947" ht="14.25" customHeight="1" s="192">
      <c r="W38947" s="231" t="n"/>
      <c r="X38947" s="231" t="n"/>
    </row>
    <row r="38948" ht="14.25" customHeight="1" s="192">
      <c r="W38948" s="33" t="n"/>
      <c r="X38948" s="33" t="n"/>
    </row>
    <row r="38950" ht="14.25" customHeight="1" s="192">
      <c r="W38950" s="231" t="n"/>
      <c r="X38950" s="231" t="n"/>
    </row>
    <row r="38951" ht="14.25" customHeight="1" s="192">
      <c r="W38951" s="235" t="n"/>
      <c r="X38951" s="235" t="n"/>
    </row>
    <row r="38952" ht="14.25" customHeight="1" s="192">
      <c r="W38952" s="228" t="n"/>
      <c r="X38952" s="228" t="n"/>
    </row>
    <row r="38953" ht="14.25" customHeight="1" s="192">
      <c r="W38953" s="235" t="n"/>
      <c r="X38953" s="235" t="n"/>
    </row>
    <row r="38954" ht="14.25" customHeight="1" s="192">
      <c r="W38954" s="235" t="n"/>
      <c r="X38954" s="235" t="n"/>
    </row>
    <row r="38955" ht="14.25" customHeight="1" s="192">
      <c r="W38955" s="235" t="n"/>
      <c r="X38955" s="235" t="n"/>
    </row>
    <row r="38956" ht="14.25" customHeight="1" s="192">
      <c r="W38956" s="239" t="n"/>
      <c r="X38956" s="239" t="n"/>
    </row>
    <row r="38957" ht="14.25" customHeight="1" s="192">
      <c r="W38957" s="239" t="n"/>
      <c r="X38957" s="239" t="n"/>
    </row>
    <row r="38958" ht="14.25" customHeight="1" s="192">
      <c r="W38958" s="239" t="n"/>
      <c r="X38958" s="239" t="n"/>
    </row>
    <row r="38959" ht="14.25" customHeight="1" s="192">
      <c r="W38959" s="235" t="n"/>
      <c r="X38959" s="235" t="n"/>
    </row>
    <row r="38960" ht="14.25" customHeight="1" s="192">
      <c r="W38960" s="235" t="n"/>
      <c r="X38960" s="235" t="n"/>
    </row>
    <row r="38961" ht="14.25" customHeight="1" s="192">
      <c r="W38961" s="235" t="n"/>
      <c r="X38961" s="235" t="n"/>
    </row>
    <row r="38962" ht="14.25" customHeight="1" s="192">
      <c r="W38962" s="239" t="n"/>
      <c r="X38962" s="239" t="n"/>
    </row>
    <row r="38963" ht="14.25" customHeight="1" s="192">
      <c r="W38963" s="239" t="n"/>
      <c r="X38963" s="239" t="n"/>
    </row>
    <row r="38964" ht="14.25" customHeight="1" s="192">
      <c r="W38964" s="235" t="n"/>
      <c r="X38964" s="235" t="n"/>
    </row>
    <row r="38965" ht="14.25" customHeight="1" s="192">
      <c r="W38965" s="235" t="n"/>
      <c r="X38965" s="235" t="n"/>
    </row>
    <row r="38966" ht="14.25" customHeight="1" s="192">
      <c r="W38966" s="239" t="n"/>
      <c r="X38966" s="239" t="n"/>
    </row>
    <row r="38967" ht="14.25" customHeight="1" s="192">
      <c r="W38967" s="235" t="n"/>
      <c r="X38967" s="235" t="n"/>
    </row>
    <row r="38968" ht="14.25" customHeight="1" s="192">
      <c r="W38968" s="239" t="n"/>
      <c r="X38968" s="239" t="n"/>
    </row>
    <row r="38970" ht="14.25" customHeight="1" s="192">
      <c r="W38970" s="235" t="n"/>
      <c r="X38970" s="235" t="n"/>
    </row>
    <row r="38971" ht="15" customHeight="1" s="192" thickBot="1">
      <c r="W38971" s="239" t="n"/>
      <c r="X38971" s="239" t="n"/>
    </row>
    <row r="38972" ht="15" customHeight="1" s="192" thickBot="1">
      <c r="W38972" s="45" t="n"/>
      <c r="X38972" s="45" t="n"/>
    </row>
    <row r="38973" ht="14.25" customHeight="1" s="192">
      <c r="W38973" s="228" t="n"/>
      <c r="X38973" s="228" t="n"/>
    </row>
    <row r="38974" ht="14.25" customHeight="1" s="192">
      <c r="W38974" s="228" t="n"/>
      <c r="X38974" s="228" t="n"/>
    </row>
    <row r="38975" ht="14.25" customHeight="1" s="192">
      <c r="W38975" s="231" t="n"/>
      <c r="X38975" s="231" t="n"/>
    </row>
    <row r="38976" ht="14.25" customHeight="1" s="192">
      <c r="W38976" s="33" t="n"/>
      <c r="X38976" s="33" t="n"/>
    </row>
    <row r="38977" ht="14.25" customHeight="1" s="192">
      <c r="W38977" s="231" t="n"/>
      <c r="X38977" s="231" t="n"/>
    </row>
    <row r="38978" ht="14.25" customHeight="1" s="192">
      <c r="W38978" s="33" t="n"/>
      <c r="X38978" s="33" t="n"/>
    </row>
    <row r="38980" ht="14.25" customHeight="1" s="192">
      <c r="W38980" s="231" t="n"/>
      <c r="X38980" s="231" t="n"/>
    </row>
    <row r="38981" ht="14.25" customHeight="1" s="192">
      <c r="W38981" s="235" t="n"/>
      <c r="X38981" s="235" t="n"/>
    </row>
    <row r="38982" ht="14.25" customHeight="1" s="192">
      <c r="W38982" s="228" t="n"/>
      <c r="X38982" s="228" t="n"/>
    </row>
    <row r="38983" ht="14.25" customHeight="1" s="192">
      <c r="W38983" s="235" t="n"/>
      <c r="X38983" s="235" t="n"/>
    </row>
    <row r="38984" ht="14.25" customHeight="1" s="192">
      <c r="W38984" s="235" t="n"/>
      <c r="X38984" s="235" t="n"/>
    </row>
    <row r="38985" ht="14.25" customHeight="1" s="192">
      <c r="W38985" s="235" t="n"/>
      <c r="X38985" s="235" t="n"/>
    </row>
    <row r="38986" ht="14.25" customHeight="1" s="192">
      <c r="W38986" s="239" t="n"/>
      <c r="X38986" s="239" t="n"/>
    </row>
    <row r="38987" ht="14.25" customHeight="1" s="192">
      <c r="W38987" s="239" t="n"/>
      <c r="X38987" s="239" t="n"/>
    </row>
    <row r="38988" ht="14.25" customHeight="1" s="192">
      <c r="W38988" s="239" t="n"/>
      <c r="X38988" s="239" t="n"/>
    </row>
    <row r="38989" ht="14.25" customHeight="1" s="192">
      <c r="W38989" s="235" t="n"/>
      <c r="X38989" s="235" t="n"/>
    </row>
    <row r="38990" ht="14.25" customHeight="1" s="192">
      <c r="W38990" s="235" t="n"/>
      <c r="X38990" s="235" t="n"/>
    </row>
    <row r="38991" ht="14.25" customHeight="1" s="192">
      <c r="W38991" s="235" t="n"/>
      <c r="X38991" s="235" t="n"/>
    </row>
    <row r="38992" ht="14.25" customHeight="1" s="192">
      <c r="W38992" s="239" t="n"/>
      <c r="X38992" s="239" t="n"/>
    </row>
    <row r="38993" ht="14.25" customHeight="1" s="192">
      <c r="W38993" s="239" t="n"/>
      <c r="X38993" s="239" t="n"/>
    </row>
    <row r="38994" ht="14.25" customHeight="1" s="192">
      <c r="W38994" s="235" t="n"/>
      <c r="X38994" s="235" t="n"/>
    </row>
    <row r="38995" ht="14.25" customHeight="1" s="192">
      <c r="W38995" s="235" t="n"/>
      <c r="X38995" s="235" t="n"/>
    </row>
    <row r="38996" ht="14.25" customHeight="1" s="192">
      <c r="W38996" s="239" t="n"/>
      <c r="X38996" s="239" t="n"/>
    </row>
    <row r="38997" ht="14.25" customHeight="1" s="192">
      <c r="W38997" s="235" t="n"/>
      <c r="X38997" s="235" t="n"/>
    </row>
    <row r="38998" ht="14.25" customHeight="1" s="192">
      <c r="W38998" s="239" t="n"/>
      <c r="X38998" s="239" t="n"/>
    </row>
    <row r="39000" ht="14.25" customHeight="1" s="192">
      <c r="W39000" s="235" t="n"/>
      <c r="X39000" s="235" t="n"/>
    </row>
    <row r="39001" ht="15" customHeight="1" s="192" thickBot="1">
      <c r="W39001" s="239" t="n"/>
      <c r="X39001" s="239" t="n"/>
    </row>
    <row r="39002" ht="15" customHeight="1" s="192" thickBot="1">
      <c r="W39002" s="45" t="n"/>
      <c r="X39002" s="45" t="n"/>
    </row>
    <row r="39003" ht="14.25" customHeight="1" s="192">
      <c r="W39003" s="228" t="n"/>
      <c r="X39003" s="228" t="n"/>
    </row>
    <row r="39004" ht="14.25" customHeight="1" s="192">
      <c r="W39004" s="228" t="n"/>
      <c r="X39004" s="228" t="n"/>
    </row>
    <row r="39005" ht="14.25" customHeight="1" s="192">
      <c r="W39005" s="231" t="n"/>
      <c r="X39005" s="231" t="n"/>
    </row>
    <row r="39006" ht="14.25" customHeight="1" s="192">
      <c r="W39006" s="33" t="n"/>
      <c r="X39006" s="33" t="n"/>
    </row>
    <row r="39007" ht="14.25" customHeight="1" s="192">
      <c r="W39007" s="231" t="n"/>
      <c r="X39007" s="231" t="n"/>
    </row>
    <row r="39008" ht="14.25" customHeight="1" s="192">
      <c r="W39008" s="33" t="n"/>
      <c r="X39008" s="33" t="n"/>
    </row>
    <row r="39010" ht="14.25" customHeight="1" s="192">
      <c r="W39010" s="231" t="n"/>
      <c r="X39010" s="231" t="n"/>
    </row>
    <row r="39011" ht="14.25" customHeight="1" s="192">
      <c r="W39011" s="235" t="n"/>
      <c r="X39011" s="235" t="n"/>
    </row>
    <row r="39012" ht="14.25" customHeight="1" s="192">
      <c r="W39012" s="228" t="n"/>
      <c r="X39012" s="228" t="n"/>
    </row>
    <row r="39013" ht="14.25" customHeight="1" s="192">
      <c r="W39013" s="235" t="n"/>
      <c r="X39013" s="235" t="n"/>
    </row>
    <row r="39014" ht="14.25" customHeight="1" s="192">
      <c r="W39014" s="235" t="n"/>
      <c r="X39014" s="235" t="n"/>
    </row>
    <row r="39015" ht="14.25" customHeight="1" s="192">
      <c r="W39015" s="235" t="n"/>
      <c r="X39015" s="235" t="n"/>
    </row>
    <row r="39016" ht="14.25" customHeight="1" s="192">
      <c r="W39016" s="239" t="n"/>
      <c r="X39016" s="239" t="n"/>
    </row>
    <row r="39017" ht="14.25" customHeight="1" s="192">
      <c r="W39017" s="239" t="n"/>
      <c r="X39017" s="239" t="n"/>
    </row>
    <row r="39018" ht="14.25" customHeight="1" s="192">
      <c r="W39018" s="239" t="n"/>
      <c r="X39018" s="239" t="n"/>
    </row>
    <row r="39019" ht="14.25" customHeight="1" s="192">
      <c r="W39019" s="235" t="n"/>
      <c r="X39019" s="235" t="n"/>
    </row>
    <row r="39020" ht="14.25" customHeight="1" s="192">
      <c r="W39020" s="235" t="n"/>
      <c r="X39020" s="235" t="n"/>
    </row>
    <row r="39021" ht="14.25" customHeight="1" s="192">
      <c r="W39021" s="235" t="n"/>
      <c r="X39021" s="235" t="n"/>
    </row>
    <row r="39022" ht="14.25" customHeight="1" s="192">
      <c r="W39022" s="239" t="n"/>
      <c r="X39022" s="239" t="n"/>
    </row>
    <row r="39023" ht="14.25" customHeight="1" s="192">
      <c r="W39023" s="239" t="n"/>
      <c r="X39023" s="239" t="n"/>
    </row>
    <row r="39024" ht="14.25" customHeight="1" s="192">
      <c r="W39024" s="235" t="n"/>
      <c r="X39024" s="235" t="n"/>
    </row>
    <row r="39025" ht="14.25" customHeight="1" s="192">
      <c r="W39025" s="235" t="n"/>
      <c r="X39025" s="235" t="n"/>
    </row>
    <row r="39026" ht="14.25" customHeight="1" s="192">
      <c r="W39026" s="239" t="n"/>
      <c r="X39026" s="239" t="n"/>
    </row>
    <row r="39027" ht="14.25" customHeight="1" s="192">
      <c r="W39027" s="235" t="n"/>
      <c r="X39027" s="235" t="n"/>
    </row>
    <row r="39028" ht="14.25" customHeight="1" s="192">
      <c r="W39028" s="239" t="n"/>
      <c r="X39028" s="239" t="n"/>
    </row>
    <row r="39030" ht="14.25" customHeight="1" s="192">
      <c r="W39030" s="235" t="n"/>
      <c r="X39030" s="235" t="n"/>
    </row>
    <row r="39031" ht="15" customHeight="1" s="192" thickBot="1">
      <c r="W39031" s="239" t="n"/>
      <c r="X39031" s="239" t="n"/>
    </row>
    <row r="39032" ht="15" customHeight="1" s="192" thickBot="1">
      <c r="W39032" s="45" t="n"/>
      <c r="X39032" s="45" t="n"/>
    </row>
    <row r="39033" ht="14.25" customHeight="1" s="192">
      <c r="W39033" s="228" t="n"/>
      <c r="X39033" s="228" t="n"/>
    </row>
    <row r="39034" ht="14.25" customHeight="1" s="192">
      <c r="W39034" s="228" t="n"/>
      <c r="X39034" s="228" t="n"/>
    </row>
    <row r="39035" ht="14.25" customHeight="1" s="192">
      <c r="W39035" s="231" t="n"/>
      <c r="X39035" s="231" t="n"/>
    </row>
    <row r="39036" ht="14.25" customHeight="1" s="192">
      <c r="W39036" s="33" t="n"/>
      <c r="X39036" s="33" t="n"/>
    </row>
    <row r="39037" ht="14.25" customHeight="1" s="192">
      <c r="W39037" s="231" t="n"/>
      <c r="X39037" s="231" t="n"/>
    </row>
    <row r="39038" ht="14.25" customHeight="1" s="192">
      <c r="W39038" s="33" t="n"/>
      <c r="X39038" s="33" t="n"/>
    </row>
    <row r="39040" ht="14.25" customHeight="1" s="192">
      <c r="W39040" s="231" t="n"/>
      <c r="X39040" s="231" t="n"/>
    </row>
    <row r="39041" ht="14.25" customHeight="1" s="192">
      <c r="W39041" s="235" t="n"/>
      <c r="X39041" s="235" t="n"/>
    </row>
    <row r="39042" ht="14.25" customHeight="1" s="192">
      <c r="W39042" s="228" t="n"/>
      <c r="X39042" s="228" t="n"/>
    </row>
    <row r="39043" ht="14.25" customHeight="1" s="192">
      <c r="W39043" s="235" t="n"/>
      <c r="X39043" s="235" t="n"/>
    </row>
    <row r="39044" ht="14.25" customHeight="1" s="192">
      <c r="W39044" s="235" t="n"/>
      <c r="X39044" s="235" t="n"/>
    </row>
    <row r="39045" ht="14.25" customHeight="1" s="192">
      <c r="W39045" s="235" t="n"/>
      <c r="X39045" s="235" t="n"/>
    </row>
    <row r="39046" ht="14.25" customHeight="1" s="192">
      <c r="W39046" s="239" t="n"/>
      <c r="X39046" s="239" t="n"/>
    </row>
    <row r="39047" ht="14.25" customHeight="1" s="192">
      <c r="W39047" s="239" t="n"/>
      <c r="X39047" s="239" t="n"/>
    </row>
    <row r="39048" ht="14.25" customHeight="1" s="192">
      <c r="W39048" s="239" t="n"/>
      <c r="X39048" s="239" t="n"/>
    </row>
    <row r="39049" ht="14.25" customHeight="1" s="192">
      <c r="W39049" s="235" t="n"/>
      <c r="X39049" s="235" t="n"/>
    </row>
    <row r="39050" ht="14.25" customHeight="1" s="192">
      <c r="W39050" s="235" t="n"/>
      <c r="X39050" s="235" t="n"/>
    </row>
    <row r="39051" ht="14.25" customHeight="1" s="192">
      <c r="W39051" s="235" t="n"/>
      <c r="X39051" s="235" t="n"/>
    </row>
    <row r="39052" ht="14.25" customHeight="1" s="192">
      <c r="W39052" s="239" t="n"/>
      <c r="X39052" s="239" t="n"/>
    </row>
    <row r="39053" ht="14.25" customHeight="1" s="192">
      <c r="W39053" s="239" t="n"/>
      <c r="X39053" s="239" t="n"/>
    </row>
    <row r="39054" ht="14.25" customHeight="1" s="192">
      <c r="W39054" s="235" t="n"/>
      <c r="X39054" s="235" t="n"/>
    </row>
    <row r="39055" ht="14.25" customHeight="1" s="192">
      <c r="W39055" s="235" t="n"/>
      <c r="X39055" s="235" t="n"/>
    </row>
    <row r="39056" ht="14.25" customHeight="1" s="192">
      <c r="W39056" s="239" t="n"/>
      <c r="X39056" s="239" t="n"/>
    </row>
    <row r="39057" ht="14.25" customHeight="1" s="192">
      <c r="W39057" s="235" t="n"/>
      <c r="X39057" s="235" t="n"/>
    </row>
    <row r="39058" ht="14.25" customHeight="1" s="192">
      <c r="W39058" s="239" t="n"/>
      <c r="X39058" s="239" t="n"/>
    </row>
    <row r="39060" ht="14.25" customHeight="1" s="192">
      <c r="W39060" s="235" t="n"/>
      <c r="X39060" s="235" t="n"/>
    </row>
    <row r="39061" ht="15" customHeight="1" s="192" thickBot="1">
      <c r="W39061" s="239" t="n"/>
      <c r="X39061" s="239" t="n"/>
    </row>
    <row r="39062" ht="15" customHeight="1" s="192" thickBot="1">
      <c r="W39062" s="45" t="n"/>
      <c r="X39062" s="45" t="n"/>
    </row>
    <row r="39063" ht="14.25" customHeight="1" s="192">
      <c r="W39063" s="228" t="n"/>
      <c r="X39063" s="228" t="n"/>
    </row>
    <row r="39064" ht="14.25" customHeight="1" s="192">
      <c r="W39064" s="228" t="n"/>
      <c r="X39064" s="228" t="n"/>
    </row>
    <row r="39065" ht="14.25" customHeight="1" s="192">
      <c r="W39065" s="231" t="n"/>
      <c r="X39065" s="231" t="n"/>
    </row>
    <row r="39066" ht="14.25" customHeight="1" s="192">
      <c r="W39066" s="33" t="n"/>
      <c r="X39066" s="33" t="n"/>
    </row>
    <row r="39067" ht="14.25" customHeight="1" s="192">
      <c r="W39067" s="231" t="n"/>
      <c r="X39067" s="231" t="n"/>
    </row>
    <row r="39068" ht="14.25" customHeight="1" s="192">
      <c r="W39068" s="33" t="n"/>
      <c r="X39068" s="33" t="n"/>
    </row>
    <row r="39070" ht="14.25" customHeight="1" s="192">
      <c r="W39070" s="231" t="n"/>
      <c r="X39070" s="231" t="n"/>
    </row>
    <row r="39071" ht="14.25" customHeight="1" s="192">
      <c r="W39071" s="235" t="n"/>
      <c r="X39071" s="235" t="n"/>
    </row>
    <row r="39072" ht="14.25" customHeight="1" s="192">
      <c r="W39072" s="228" t="n"/>
      <c r="X39072" s="228" t="n"/>
    </row>
    <row r="39073" ht="14.25" customHeight="1" s="192">
      <c r="W39073" s="235" t="n"/>
      <c r="X39073" s="235" t="n"/>
    </row>
    <row r="39074" ht="14.25" customHeight="1" s="192">
      <c r="W39074" s="235" t="n"/>
      <c r="X39074" s="235" t="n"/>
    </row>
    <row r="39075" ht="14.25" customHeight="1" s="192">
      <c r="W39075" s="235" t="n"/>
      <c r="X39075" s="235" t="n"/>
    </row>
    <row r="39076" ht="14.25" customHeight="1" s="192">
      <c r="W39076" s="239" t="n"/>
      <c r="X39076" s="239" t="n"/>
    </row>
    <row r="39077" ht="14.25" customHeight="1" s="192">
      <c r="W39077" s="239" t="n"/>
      <c r="X39077" s="239" t="n"/>
    </row>
    <row r="39078" ht="14.25" customHeight="1" s="192">
      <c r="W39078" s="239" t="n"/>
      <c r="X39078" s="239" t="n"/>
    </row>
    <row r="39079" ht="14.25" customHeight="1" s="192">
      <c r="W39079" s="235" t="n"/>
      <c r="X39079" s="235" t="n"/>
    </row>
    <row r="39080" ht="14.25" customHeight="1" s="192">
      <c r="W39080" s="235" t="n"/>
      <c r="X39080" s="235" t="n"/>
    </row>
    <row r="39081" ht="14.25" customHeight="1" s="192">
      <c r="W39081" s="235" t="n"/>
      <c r="X39081" s="235" t="n"/>
    </row>
    <row r="39082" ht="14.25" customHeight="1" s="192">
      <c r="W39082" s="239" t="n"/>
      <c r="X39082" s="239" t="n"/>
    </row>
    <row r="39083" ht="14.25" customHeight="1" s="192">
      <c r="W39083" s="239" t="n"/>
      <c r="X39083" s="239" t="n"/>
    </row>
    <row r="39084" ht="14.25" customHeight="1" s="192">
      <c r="W39084" s="235" t="n"/>
      <c r="X39084" s="235" t="n"/>
    </row>
    <row r="39085" ht="14.25" customHeight="1" s="192">
      <c r="W39085" s="235" t="n"/>
      <c r="X39085" s="235" t="n"/>
    </row>
    <row r="39086" ht="14.25" customHeight="1" s="192">
      <c r="W39086" s="239" t="n"/>
      <c r="X39086" s="239" t="n"/>
    </row>
    <row r="39087" ht="14.25" customHeight="1" s="192">
      <c r="W39087" s="235" t="n"/>
      <c r="X39087" s="235" t="n"/>
    </row>
    <row r="39088" ht="14.25" customHeight="1" s="192">
      <c r="W39088" s="239" t="n"/>
      <c r="X39088" s="239" t="n"/>
    </row>
    <row r="39090" ht="14.25" customHeight="1" s="192">
      <c r="W39090" s="235" t="n"/>
      <c r="X39090" s="235" t="n"/>
    </row>
    <row r="39091" ht="15" customHeight="1" s="192" thickBot="1">
      <c r="W39091" s="239" t="n"/>
      <c r="X39091" s="239" t="n"/>
    </row>
    <row r="39092" ht="15" customHeight="1" s="192" thickBot="1">
      <c r="W39092" s="45" t="n"/>
      <c r="X39092" s="45" t="n"/>
    </row>
    <row r="39093" ht="14.25" customHeight="1" s="192">
      <c r="W39093" s="228" t="n"/>
      <c r="X39093" s="228" t="n"/>
    </row>
    <row r="39094" ht="14.25" customHeight="1" s="192">
      <c r="W39094" s="228" t="n"/>
      <c r="X39094" s="228" t="n"/>
    </row>
    <row r="39095" ht="14.25" customHeight="1" s="192">
      <c r="W39095" s="231" t="n"/>
      <c r="X39095" s="231" t="n"/>
    </row>
    <row r="39096" ht="14.25" customHeight="1" s="192">
      <c r="W39096" s="33" t="n"/>
      <c r="X39096" s="33" t="n"/>
    </row>
    <row r="39097" ht="14.25" customHeight="1" s="192">
      <c r="W39097" s="231" t="n"/>
      <c r="X39097" s="231" t="n"/>
    </row>
    <row r="39098" ht="14.25" customHeight="1" s="192">
      <c r="W39098" s="33" t="n"/>
      <c r="X39098" s="33" t="n"/>
    </row>
    <row r="39100" ht="14.25" customHeight="1" s="192">
      <c r="W39100" s="231" t="n"/>
      <c r="X39100" s="231" t="n"/>
    </row>
    <row r="39101" ht="14.25" customHeight="1" s="192">
      <c r="W39101" s="235" t="n"/>
      <c r="X39101" s="235" t="n"/>
    </row>
    <row r="39102" ht="14.25" customHeight="1" s="192">
      <c r="W39102" s="228" t="n"/>
      <c r="X39102" s="228" t="n"/>
    </row>
    <row r="39103" ht="14.25" customHeight="1" s="192">
      <c r="W39103" s="235" t="n"/>
      <c r="X39103" s="235" t="n"/>
    </row>
    <row r="39104" ht="14.25" customHeight="1" s="192">
      <c r="W39104" s="235" t="n"/>
      <c r="X39104" s="235" t="n"/>
    </row>
    <row r="39105" ht="14.25" customHeight="1" s="192">
      <c r="W39105" s="235" t="n"/>
      <c r="X39105" s="235" t="n"/>
    </row>
    <row r="39106" ht="14.25" customHeight="1" s="192">
      <c r="W39106" s="239" t="n"/>
      <c r="X39106" s="239" t="n"/>
    </row>
    <row r="39107" ht="14.25" customHeight="1" s="192">
      <c r="W39107" s="239" t="n"/>
      <c r="X39107" s="239" t="n"/>
    </row>
    <row r="39108" ht="14.25" customHeight="1" s="192">
      <c r="W39108" s="239" t="n"/>
      <c r="X39108" s="239" t="n"/>
    </row>
    <row r="39109" ht="14.25" customHeight="1" s="192">
      <c r="W39109" s="235" t="n"/>
      <c r="X39109" s="235" t="n"/>
    </row>
    <row r="39110" ht="14.25" customHeight="1" s="192">
      <c r="W39110" s="235" t="n"/>
      <c r="X39110" s="235" t="n"/>
    </row>
    <row r="39111" ht="14.25" customHeight="1" s="192">
      <c r="W39111" s="235" t="n"/>
      <c r="X39111" s="235" t="n"/>
    </row>
    <row r="39112" ht="14.25" customHeight="1" s="192">
      <c r="W39112" s="239" t="n"/>
      <c r="X39112" s="239" t="n"/>
    </row>
    <row r="39113" ht="14.25" customHeight="1" s="192">
      <c r="W39113" s="239" t="n"/>
      <c r="X39113" s="239" t="n"/>
    </row>
    <row r="39114" ht="14.25" customHeight="1" s="192">
      <c r="W39114" s="235" t="n"/>
      <c r="X39114" s="235" t="n"/>
    </row>
    <row r="39115" ht="14.25" customHeight="1" s="192">
      <c r="W39115" s="235" t="n"/>
      <c r="X39115" s="235" t="n"/>
    </row>
    <row r="39116" ht="14.25" customHeight="1" s="192">
      <c r="W39116" s="239" t="n"/>
      <c r="X39116" s="239" t="n"/>
    </row>
    <row r="39117" ht="14.25" customHeight="1" s="192">
      <c r="W39117" s="235" t="n"/>
      <c r="X39117" s="235" t="n"/>
    </row>
    <row r="39118" ht="14.25" customHeight="1" s="192">
      <c r="W39118" s="239" t="n"/>
      <c r="X39118" s="239" t="n"/>
    </row>
    <row r="39120" ht="14.25" customHeight="1" s="192">
      <c r="W39120" s="235" t="n"/>
      <c r="X39120" s="235" t="n"/>
    </row>
    <row r="39121" ht="15" customHeight="1" s="192" thickBot="1">
      <c r="W39121" s="239" t="n"/>
      <c r="X39121" s="239" t="n"/>
    </row>
    <row r="39122" ht="15" customHeight="1" s="192" thickBot="1">
      <c r="W39122" s="45" t="n"/>
      <c r="X39122" s="45" t="n"/>
    </row>
    <row r="39123" ht="14.25" customHeight="1" s="192">
      <c r="W39123" s="228" t="n"/>
      <c r="X39123" s="228" t="n"/>
    </row>
    <row r="39124" ht="14.25" customHeight="1" s="192">
      <c r="W39124" s="228" t="n"/>
      <c r="X39124" s="228" t="n"/>
    </row>
    <row r="39125" ht="14.25" customHeight="1" s="192">
      <c r="W39125" s="231" t="n"/>
      <c r="X39125" s="231" t="n"/>
    </row>
    <row r="39126" ht="14.25" customHeight="1" s="192">
      <c r="W39126" s="33" t="n"/>
      <c r="X39126" s="33" t="n"/>
    </row>
    <row r="39127" ht="14.25" customHeight="1" s="192">
      <c r="W39127" s="231" t="n"/>
      <c r="X39127" s="231" t="n"/>
    </row>
    <row r="39128" ht="14.25" customHeight="1" s="192">
      <c r="W39128" s="33" t="n"/>
      <c r="X39128" s="33" t="n"/>
    </row>
    <row r="39130" ht="14.25" customHeight="1" s="192">
      <c r="W39130" s="231" t="n"/>
      <c r="X39130" s="231" t="n"/>
    </row>
    <row r="39131" ht="14.25" customHeight="1" s="192">
      <c r="W39131" s="235" t="n"/>
      <c r="X39131" s="235" t="n"/>
    </row>
    <row r="39132" ht="14.25" customHeight="1" s="192">
      <c r="W39132" s="228" t="n"/>
      <c r="X39132" s="228" t="n"/>
    </row>
    <row r="39133" ht="14.25" customHeight="1" s="192">
      <c r="W39133" s="235" t="n"/>
      <c r="X39133" s="235" t="n"/>
    </row>
    <row r="39134" ht="14.25" customHeight="1" s="192">
      <c r="W39134" s="235" t="n"/>
      <c r="X39134" s="235" t="n"/>
    </row>
    <row r="39135" ht="14.25" customHeight="1" s="192">
      <c r="W39135" s="235" t="n"/>
      <c r="X39135" s="235" t="n"/>
    </row>
    <row r="39136" ht="14.25" customHeight="1" s="192">
      <c r="W39136" s="239" t="n"/>
      <c r="X39136" s="239" t="n"/>
    </row>
    <row r="39137" ht="14.25" customHeight="1" s="192">
      <c r="W39137" s="239" t="n"/>
      <c r="X39137" s="239" t="n"/>
    </row>
    <row r="39138" ht="14.25" customHeight="1" s="192">
      <c r="W39138" s="239" t="n"/>
      <c r="X39138" s="239" t="n"/>
    </row>
    <row r="39139" ht="14.25" customHeight="1" s="192">
      <c r="W39139" s="235" t="n"/>
      <c r="X39139" s="235" t="n"/>
    </row>
    <row r="39140" ht="14.25" customHeight="1" s="192">
      <c r="W39140" s="235" t="n"/>
      <c r="X39140" s="235" t="n"/>
    </row>
    <row r="39141" ht="14.25" customHeight="1" s="192">
      <c r="W39141" s="235" t="n"/>
      <c r="X39141" s="235" t="n"/>
    </row>
    <row r="39142" ht="14.25" customHeight="1" s="192">
      <c r="W39142" s="239" t="n"/>
      <c r="X39142" s="239" t="n"/>
    </row>
    <row r="39143" ht="14.25" customHeight="1" s="192">
      <c r="W39143" s="239" t="n"/>
      <c r="X39143" s="239" t="n"/>
    </row>
    <row r="39144" ht="14.25" customHeight="1" s="192">
      <c r="W39144" s="235" t="n"/>
      <c r="X39144" s="235" t="n"/>
    </row>
    <row r="39145" ht="14.25" customHeight="1" s="192">
      <c r="W39145" s="235" t="n"/>
      <c r="X39145" s="235" t="n"/>
    </row>
    <row r="39146" ht="14.25" customHeight="1" s="192">
      <c r="W39146" s="239" t="n"/>
      <c r="X39146" s="239" t="n"/>
    </row>
    <row r="39147" ht="14.25" customHeight="1" s="192">
      <c r="W39147" s="235" t="n"/>
      <c r="X39147" s="235" t="n"/>
    </row>
    <row r="39148" ht="14.25" customHeight="1" s="192">
      <c r="W39148" s="239" t="n"/>
      <c r="X39148" s="239" t="n"/>
    </row>
    <row r="39150" ht="14.25" customHeight="1" s="192">
      <c r="W39150" s="235" t="n"/>
      <c r="X39150" s="235" t="n"/>
    </row>
    <row r="39151" ht="15" customHeight="1" s="192" thickBot="1">
      <c r="W39151" s="239" t="n"/>
      <c r="X39151" s="239" t="n"/>
    </row>
    <row r="39152" ht="15" customHeight="1" s="192" thickBot="1">
      <c r="W39152" s="45" t="n"/>
      <c r="X39152" s="45" t="n"/>
    </row>
    <row r="39153" ht="14.25" customHeight="1" s="192">
      <c r="W39153" s="228" t="n"/>
      <c r="X39153" s="228" t="n"/>
    </row>
    <row r="39154" ht="14.25" customHeight="1" s="192">
      <c r="W39154" s="228" t="n"/>
      <c r="X39154" s="228" t="n"/>
    </row>
    <row r="39155" ht="14.25" customHeight="1" s="192">
      <c r="W39155" s="231" t="n"/>
      <c r="X39155" s="231" t="n"/>
    </row>
    <row r="39156" ht="14.25" customHeight="1" s="192">
      <c r="W39156" s="33" t="n"/>
      <c r="X39156" s="33" t="n"/>
    </row>
    <row r="39157" ht="14.25" customHeight="1" s="192">
      <c r="W39157" s="231" t="n"/>
      <c r="X39157" s="231" t="n"/>
    </row>
    <row r="39158" ht="14.25" customHeight="1" s="192">
      <c r="W39158" s="33" t="n"/>
      <c r="X39158" s="33" t="n"/>
    </row>
    <row r="39160" ht="14.25" customHeight="1" s="192">
      <c r="W39160" s="231" t="n"/>
      <c r="X39160" s="231" t="n"/>
    </row>
    <row r="39161" ht="14.25" customHeight="1" s="192">
      <c r="W39161" s="235" t="n"/>
      <c r="X39161" s="235" t="n"/>
    </row>
    <row r="39162" ht="14.25" customHeight="1" s="192">
      <c r="W39162" s="228" t="n"/>
      <c r="X39162" s="228" t="n"/>
    </row>
    <row r="39163" ht="14.25" customHeight="1" s="192">
      <c r="W39163" s="235" t="n"/>
      <c r="X39163" s="235" t="n"/>
    </row>
    <row r="39164" ht="14.25" customHeight="1" s="192">
      <c r="W39164" s="235" t="n"/>
      <c r="X39164" s="235" t="n"/>
    </row>
    <row r="39165" ht="14.25" customHeight="1" s="192">
      <c r="W39165" s="235" t="n"/>
      <c r="X39165" s="235" t="n"/>
    </row>
    <row r="39166" ht="14.25" customHeight="1" s="192">
      <c r="W39166" s="239" t="n"/>
      <c r="X39166" s="239" t="n"/>
    </row>
    <row r="39167" ht="14.25" customHeight="1" s="192">
      <c r="W39167" s="239" t="n"/>
      <c r="X39167" s="239" t="n"/>
    </row>
    <row r="39168" ht="14.25" customHeight="1" s="192">
      <c r="W39168" s="239" t="n"/>
      <c r="X39168" s="239" t="n"/>
    </row>
    <row r="39169" ht="14.25" customHeight="1" s="192">
      <c r="W39169" s="235" t="n"/>
      <c r="X39169" s="235" t="n"/>
    </row>
    <row r="39170" ht="14.25" customHeight="1" s="192">
      <c r="W39170" s="235" t="n"/>
      <c r="X39170" s="235" t="n"/>
    </row>
    <row r="39171" ht="14.25" customHeight="1" s="192">
      <c r="W39171" s="235" t="n"/>
      <c r="X39171" s="235" t="n"/>
    </row>
    <row r="39172" ht="14.25" customHeight="1" s="192">
      <c r="W39172" s="239" t="n"/>
      <c r="X39172" s="239" t="n"/>
    </row>
    <row r="39173" ht="14.25" customHeight="1" s="192">
      <c r="W39173" s="239" t="n"/>
      <c r="X39173" s="239" t="n"/>
    </row>
    <row r="39174" ht="14.25" customHeight="1" s="192">
      <c r="W39174" s="235" t="n"/>
      <c r="X39174" s="235" t="n"/>
    </row>
    <row r="39175" ht="14.25" customHeight="1" s="192">
      <c r="W39175" s="235" t="n"/>
      <c r="X39175" s="235" t="n"/>
    </row>
    <row r="39176" ht="14.25" customHeight="1" s="192">
      <c r="W39176" s="239" t="n"/>
      <c r="X39176" s="239" t="n"/>
    </row>
    <row r="39177" ht="14.25" customHeight="1" s="192">
      <c r="W39177" s="235" t="n"/>
      <c r="X39177" s="235" t="n"/>
    </row>
    <row r="39178" ht="14.25" customHeight="1" s="192">
      <c r="W39178" s="239" t="n"/>
      <c r="X39178" s="239" t="n"/>
    </row>
    <row r="39180" ht="14.25" customHeight="1" s="192">
      <c r="W39180" s="235" t="n"/>
      <c r="X39180" s="235" t="n"/>
    </row>
    <row r="39181" ht="15" customHeight="1" s="192" thickBot="1">
      <c r="W39181" s="239" t="n"/>
      <c r="X39181" s="239" t="n"/>
    </row>
    <row r="39182" ht="15" customHeight="1" s="192" thickBot="1">
      <c r="W39182" s="45" t="n"/>
      <c r="X39182" s="45" t="n"/>
    </row>
    <row r="39183" ht="14.25" customHeight="1" s="192">
      <c r="W39183" s="228" t="n"/>
      <c r="X39183" s="228" t="n"/>
    </row>
    <row r="39184" ht="14.25" customHeight="1" s="192">
      <c r="W39184" s="228" t="n"/>
      <c r="X39184" s="228" t="n"/>
    </row>
    <row r="39185" ht="14.25" customHeight="1" s="192">
      <c r="W39185" s="231" t="n"/>
      <c r="X39185" s="231" t="n"/>
    </row>
    <row r="39186" ht="14.25" customHeight="1" s="192">
      <c r="W39186" s="33" t="n"/>
      <c r="X39186" s="33" t="n"/>
    </row>
    <row r="39187" ht="14.25" customHeight="1" s="192">
      <c r="W39187" s="231" t="n"/>
      <c r="X39187" s="231" t="n"/>
    </row>
    <row r="39188" ht="14.25" customHeight="1" s="192">
      <c r="W39188" s="33" t="n"/>
      <c r="X39188" s="33" t="n"/>
    </row>
    <row r="39190" ht="14.25" customHeight="1" s="192">
      <c r="W39190" s="231" t="n"/>
      <c r="X39190" s="231" t="n"/>
    </row>
    <row r="39191" ht="14.25" customHeight="1" s="192">
      <c r="W39191" s="235" t="n"/>
      <c r="X39191" s="235" t="n"/>
    </row>
    <row r="39192" ht="14.25" customHeight="1" s="192">
      <c r="W39192" s="228" t="n"/>
      <c r="X39192" s="228" t="n"/>
    </row>
    <row r="39193" ht="14.25" customHeight="1" s="192">
      <c r="W39193" s="235" t="n"/>
      <c r="X39193" s="235" t="n"/>
    </row>
    <row r="39194" ht="14.25" customHeight="1" s="192">
      <c r="W39194" s="235" t="n"/>
      <c r="X39194" s="235" t="n"/>
    </row>
    <row r="39195" ht="14.25" customHeight="1" s="192">
      <c r="W39195" s="235" t="n"/>
      <c r="X39195" s="235" t="n"/>
    </row>
    <row r="39196" ht="14.25" customHeight="1" s="192">
      <c r="W39196" s="239" t="n"/>
      <c r="X39196" s="239" t="n"/>
    </row>
    <row r="39197" ht="14.25" customHeight="1" s="192">
      <c r="W39197" s="239" t="n"/>
      <c r="X39197" s="239" t="n"/>
    </row>
    <row r="39198" ht="14.25" customHeight="1" s="192">
      <c r="W39198" s="239" t="n"/>
      <c r="X39198" s="239" t="n"/>
    </row>
    <row r="39199" ht="14.25" customHeight="1" s="192">
      <c r="W39199" s="235" t="n"/>
      <c r="X39199" s="235" t="n"/>
    </row>
    <row r="39200" ht="14.25" customHeight="1" s="192">
      <c r="W39200" s="235" t="n"/>
      <c r="X39200" s="235" t="n"/>
    </row>
    <row r="39201" ht="14.25" customHeight="1" s="192">
      <c r="W39201" s="235" t="n"/>
      <c r="X39201" s="235" t="n"/>
    </row>
    <row r="39202" ht="14.25" customHeight="1" s="192">
      <c r="W39202" s="239" t="n"/>
      <c r="X39202" s="239" t="n"/>
    </row>
    <row r="39203" ht="14.25" customHeight="1" s="192">
      <c r="W39203" s="239" t="n"/>
      <c r="X39203" s="239" t="n"/>
    </row>
    <row r="39204" ht="14.25" customHeight="1" s="192">
      <c r="W39204" s="235" t="n"/>
      <c r="X39204" s="235" t="n"/>
    </row>
    <row r="39205" ht="14.25" customHeight="1" s="192">
      <c r="W39205" s="235" t="n"/>
      <c r="X39205" s="235" t="n"/>
    </row>
    <row r="39206" ht="14.25" customHeight="1" s="192">
      <c r="W39206" s="239" t="n"/>
      <c r="X39206" s="239" t="n"/>
    </row>
    <row r="39207" ht="14.25" customHeight="1" s="192">
      <c r="W39207" s="235" t="n"/>
      <c r="X39207" s="235" t="n"/>
    </row>
    <row r="39208" ht="14.25" customHeight="1" s="192">
      <c r="W39208" s="239" t="n"/>
      <c r="X39208" s="239" t="n"/>
    </row>
    <row r="39210" ht="14.25" customHeight="1" s="192">
      <c r="W39210" s="235" t="n"/>
      <c r="X39210" s="235" t="n"/>
    </row>
    <row r="39211" ht="15" customHeight="1" s="192" thickBot="1">
      <c r="W39211" s="239" t="n"/>
      <c r="X39211" s="239" t="n"/>
    </row>
    <row r="39212" ht="15" customHeight="1" s="192" thickBot="1">
      <c r="W39212" s="45" t="n"/>
      <c r="X39212" s="45" t="n"/>
    </row>
    <row r="39213" ht="14.25" customHeight="1" s="192">
      <c r="W39213" s="228" t="n"/>
      <c r="X39213" s="228" t="n"/>
    </row>
    <row r="39214" ht="14.25" customHeight="1" s="192">
      <c r="W39214" s="228" t="n"/>
      <c r="X39214" s="228" t="n"/>
    </row>
    <row r="39215" ht="14.25" customHeight="1" s="192">
      <c r="W39215" s="231" t="n"/>
      <c r="X39215" s="231" t="n"/>
    </row>
    <row r="39216" ht="14.25" customHeight="1" s="192">
      <c r="W39216" s="33" t="n"/>
      <c r="X39216" s="33" t="n"/>
    </row>
    <row r="39217" ht="14.25" customHeight="1" s="192">
      <c r="W39217" s="231" t="n"/>
      <c r="X39217" s="231" t="n"/>
    </row>
    <row r="39218" ht="14.25" customHeight="1" s="192">
      <c r="W39218" s="33" t="n"/>
      <c r="X39218" s="33" t="n"/>
    </row>
    <row r="39220" ht="14.25" customHeight="1" s="192">
      <c r="W39220" s="231" t="n"/>
      <c r="X39220" s="231" t="n"/>
    </row>
    <row r="39221" ht="14.25" customHeight="1" s="192">
      <c r="W39221" s="235" t="n"/>
      <c r="X39221" s="235" t="n"/>
    </row>
    <row r="39222" ht="14.25" customHeight="1" s="192">
      <c r="W39222" s="228" t="n"/>
      <c r="X39222" s="228" t="n"/>
    </row>
    <row r="39223" ht="14.25" customHeight="1" s="192">
      <c r="W39223" s="235" t="n"/>
      <c r="X39223" s="235" t="n"/>
    </row>
    <row r="39224" ht="14.25" customHeight="1" s="192">
      <c r="W39224" s="235" t="n"/>
      <c r="X39224" s="235" t="n"/>
    </row>
    <row r="39225" ht="14.25" customHeight="1" s="192">
      <c r="W39225" s="235" t="n"/>
      <c r="X39225" s="235" t="n"/>
    </row>
    <row r="39226" ht="14.25" customHeight="1" s="192">
      <c r="W39226" s="239" t="n"/>
      <c r="X39226" s="239" t="n"/>
    </row>
    <row r="39227" ht="14.25" customHeight="1" s="192">
      <c r="W39227" s="239" t="n"/>
      <c r="X39227" s="239" t="n"/>
    </row>
    <row r="39228" ht="14.25" customHeight="1" s="192">
      <c r="W39228" s="239" t="n"/>
      <c r="X39228" s="239" t="n"/>
    </row>
    <row r="39229" ht="14.25" customHeight="1" s="192">
      <c r="W39229" s="235" t="n"/>
      <c r="X39229" s="235" t="n"/>
    </row>
    <row r="39230" ht="14.25" customHeight="1" s="192">
      <c r="W39230" s="235" t="n"/>
      <c r="X39230" s="235" t="n"/>
    </row>
    <row r="39231" ht="14.25" customHeight="1" s="192">
      <c r="W39231" s="235" t="n"/>
      <c r="X39231" s="235" t="n"/>
    </row>
    <row r="39232" ht="14.25" customHeight="1" s="192">
      <c r="W39232" s="239" t="n"/>
      <c r="X39232" s="239" t="n"/>
    </row>
    <row r="39233" ht="14.25" customHeight="1" s="192">
      <c r="W39233" s="239" t="n"/>
      <c r="X39233" s="239" t="n"/>
    </row>
    <row r="39234" ht="14.25" customHeight="1" s="192">
      <c r="W39234" s="235" t="n"/>
      <c r="X39234" s="235" t="n"/>
    </row>
    <row r="39235" ht="14.25" customHeight="1" s="192">
      <c r="W39235" s="235" t="n"/>
      <c r="X39235" s="235" t="n"/>
    </row>
    <row r="39236" ht="14.25" customHeight="1" s="192">
      <c r="W39236" s="239" t="n"/>
      <c r="X39236" s="239" t="n"/>
    </row>
    <row r="39237" ht="14.25" customHeight="1" s="192">
      <c r="W39237" s="235" t="n"/>
      <c r="X39237" s="235" t="n"/>
    </row>
    <row r="39238" ht="14.25" customHeight="1" s="192">
      <c r="W39238" s="239" t="n"/>
      <c r="X39238" s="239" t="n"/>
    </row>
    <row r="39240" ht="14.25" customHeight="1" s="192">
      <c r="W39240" s="235" t="n"/>
      <c r="X39240" s="235" t="n"/>
    </row>
    <row r="39241" ht="15" customHeight="1" s="192" thickBot="1">
      <c r="W39241" s="239" t="n"/>
      <c r="X39241" s="239" t="n"/>
    </row>
    <row r="39242" ht="15" customHeight="1" s="192" thickBot="1">
      <c r="W39242" s="45" t="n"/>
      <c r="X39242" s="45" t="n"/>
    </row>
    <row r="39243" ht="14.25" customHeight="1" s="192">
      <c r="W39243" s="228" t="n"/>
      <c r="X39243" s="228" t="n"/>
    </row>
    <row r="39244" ht="14.25" customHeight="1" s="192">
      <c r="W39244" s="228" t="n"/>
      <c r="X39244" s="228" t="n"/>
    </row>
    <row r="39245" ht="14.25" customHeight="1" s="192">
      <c r="W39245" s="231" t="n"/>
      <c r="X39245" s="231" t="n"/>
    </row>
    <row r="39246" ht="14.25" customHeight="1" s="192">
      <c r="W39246" s="33" t="n"/>
      <c r="X39246" s="33" t="n"/>
    </row>
    <row r="39247" ht="14.25" customHeight="1" s="192">
      <c r="W39247" s="231" t="n"/>
      <c r="X39247" s="231" t="n"/>
    </row>
    <row r="39248" ht="14.25" customHeight="1" s="192">
      <c r="W39248" s="33" t="n"/>
      <c r="X39248" s="33" t="n"/>
    </row>
    <row r="39250" ht="14.25" customHeight="1" s="192">
      <c r="W39250" s="231" t="n"/>
      <c r="X39250" s="231" t="n"/>
    </row>
    <row r="39251" ht="14.25" customHeight="1" s="192">
      <c r="W39251" s="235" t="n"/>
      <c r="X39251" s="235" t="n"/>
    </row>
    <row r="39252" ht="14.25" customHeight="1" s="192">
      <c r="W39252" s="228" t="n"/>
      <c r="X39252" s="228" t="n"/>
    </row>
    <row r="39253" ht="14.25" customHeight="1" s="192">
      <c r="W39253" s="235" t="n"/>
      <c r="X39253" s="235" t="n"/>
    </row>
    <row r="39254" ht="14.25" customHeight="1" s="192">
      <c r="W39254" s="235" t="n"/>
      <c r="X39254" s="235" t="n"/>
    </row>
    <row r="39255" ht="14.25" customHeight="1" s="192">
      <c r="W39255" s="235" t="n"/>
      <c r="X39255" s="235" t="n"/>
    </row>
    <row r="39256" ht="14.25" customHeight="1" s="192">
      <c r="W39256" s="239" t="n"/>
      <c r="X39256" s="239" t="n"/>
    </row>
    <row r="39257" ht="14.25" customHeight="1" s="192">
      <c r="W39257" s="239" t="n"/>
      <c r="X39257" s="239" t="n"/>
    </row>
    <row r="39258" ht="14.25" customHeight="1" s="192">
      <c r="W39258" s="239" t="n"/>
      <c r="X39258" s="239" t="n"/>
    </row>
    <row r="39259" ht="14.25" customHeight="1" s="192">
      <c r="W39259" s="235" t="n"/>
      <c r="X39259" s="235" t="n"/>
    </row>
    <row r="39260" ht="14.25" customHeight="1" s="192">
      <c r="W39260" s="235" t="n"/>
      <c r="X39260" s="235" t="n"/>
    </row>
    <row r="39261" ht="14.25" customHeight="1" s="192">
      <c r="W39261" s="235" t="n"/>
      <c r="X39261" s="235" t="n"/>
    </row>
    <row r="39262" ht="14.25" customHeight="1" s="192">
      <c r="W39262" s="239" t="n"/>
      <c r="X39262" s="239" t="n"/>
    </row>
    <row r="39263" ht="14.25" customHeight="1" s="192">
      <c r="W39263" s="239" t="n"/>
      <c r="X39263" s="239" t="n"/>
    </row>
    <row r="39264" ht="14.25" customHeight="1" s="192">
      <c r="W39264" s="235" t="n"/>
      <c r="X39264" s="235" t="n"/>
    </row>
    <row r="39265" ht="14.25" customHeight="1" s="192">
      <c r="W39265" s="235" t="n"/>
      <c r="X39265" s="235" t="n"/>
    </row>
    <row r="39266" ht="14.25" customHeight="1" s="192">
      <c r="W39266" s="239" t="n"/>
      <c r="X39266" s="239" t="n"/>
    </row>
    <row r="39267" ht="14.25" customHeight="1" s="192">
      <c r="W39267" s="235" t="n"/>
      <c r="X39267" s="235" t="n"/>
    </row>
    <row r="39268" ht="14.25" customHeight="1" s="192">
      <c r="W39268" s="239" t="n"/>
      <c r="X39268" s="239" t="n"/>
    </row>
    <row r="39270" ht="14.25" customHeight="1" s="192">
      <c r="W39270" s="235" t="n"/>
      <c r="X39270" s="235" t="n"/>
    </row>
    <row r="39271" ht="15" customHeight="1" s="192" thickBot="1">
      <c r="W39271" s="239" t="n"/>
      <c r="X39271" s="239" t="n"/>
    </row>
    <row r="39272" ht="15" customHeight="1" s="192" thickBot="1">
      <c r="W39272" s="45" t="n"/>
      <c r="X39272" s="45" t="n"/>
    </row>
    <row r="39273" ht="14.25" customHeight="1" s="192">
      <c r="W39273" s="228" t="n"/>
      <c r="X39273" s="228" t="n"/>
    </row>
    <row r="39274" ht="14.25" customHeight="1" s="192">
      <c r="W39274" s="228" t="n"/>
      <c r="X39274" s="228" t="n"/>
    </row>
    <row r="39275" ht="14.25" customHeight="1" s="192">
      <c r="W39275" s="231" t="n"/>
      <c r="X39275" s="231" t="n"/>
    </row>
    <row r="39276" ht="14.25" customHeight="1" s="192">
      <c r="W39276" s="33" t="n"/>
      <c r="X39276" s="33" t="n"/>
    </row>
    <row r="39277" ht="14.25" customHeight="1" s="192">
      <c r="W39277" s="231" t="n"/>
      <c r="X39277" s="231" t="n"/>
    </row>
    <row r="39278" ht="14.25" customHeight="1" s="192">
      <c r="W39278" s="33" t="n"/>
      <c r="X39278" s="33" t="n"/>
    </row>
    <row r="39280" ht="14.25" customHeight="1" s="192">
      <c r="W39280" s="231" t="n"/>
      <c r="X39280" s="231" t="n"/>
    </row>
    <row r="39281" ht="14.25" customHeight="1" s="192">
      <c r="W39281" s="235" t="n"/>
      <c r="X39281" s="235" t="n"/>
    </row>
    <row r="39282" ht="14.25" customHeight="1" s="192">
      <c r="W39282" s="228" t="n"/>
      <c r="X39282" s="228" t="n"/>
    </row>
    <row r="39283" ht="14.25" customHeight="1" s="192">
      <c r="W39283" s="235" t="n"/>
      <c r="X39283" s="235" t="n"/>
    </row>
    <row r="39284" ht="14.25" customHeight="1" s="192">
      <c r="W39284" s="235" t="n"/>
      <c r="X39284" s="235" t="n"/>
    </row>
    <row r="39285" ht="14.25" customHeight="1" s="192">
      <c r="W39285" s="235" t="n"/>
      <c r="X39285" s="235" t="n"/>
    </row>
    <row r="39286" ht="14.25" customHeight="1" s="192">
      <c r="W39286" s="239" t="n"/>
      <c r="X39286" s="239" t="n"/>
    </row>
    <row r="39287" ht="14.25" customHeight="1" s="192">
      <c r="W39287" s="239" t="n"/>
      <c r="X39287" s="239" t="n"/>
    </row>
    <row r="39288" ht="14.25" customHeight="1" s="192">
      <c r="W39288" s="239" t="n"/>
      <c r="X39288" s="239" t="n"/>
    </row>
    <row r="39289" ht="14.25" customHeight="1" s="192">
      <c r="W39289" s="235" t="n"/>
      <c r="X39289" s="235" t="n"/>
    </row>
    <row r="39290" ht="14.25" customHeight="1" s="192">
      <c r="W39290" s="235" t="n"/>
      <c r="X39290" s="235" t="n"/>
    </row>
    <row r="39291" ht="14.25" customHeight="1" s="192">
      <c r="W39291" s="235" t="n"/>
      <c r="X39291" s="235" t="n"/>
    </row>
    <row r="39292" ht="14.25" customHeight="1" s="192">
      <c r="W39292" s="239" t="n"/>
      <c r="X39292" s="239" t="n"/>
    </row>
    <row r="39293" ht="14.25" customHeight="1" s="192">
      <c r="W39293" s="239" t="n"/>
      <c r="X39293" s="239" t="n"/>
    </row>
    <row r="39294" ht="14.25" customHeight="1" s="192">
      <c r="W39294" s="235" t="n"/>
      <c r="X39294" s="235" t="n"/>
    </row>
    <row r="39295" ht="14.25" customHeight="1" s="192">
      <c r="W39295" s="235" t="n"/>
      <c r="X39295" s="235" t="n"/>
    </row>
    <row r="39296" ht="14.25" customHeight="1" s="192">
      <c r="W39296" s="239" t="n"/>
      <c r="X39296" s="239" t="n"/>
    </row>
    <row r="39297" ht="14.25" customHeight="1" s="192">
      <c r="W39297" s="235" t="n"/>
      <c r="X39297" s="235" t="n"/>
    </row>
    <row r="39298" ht="14.25" customHeight="1" s="192">
      <c r="W39298" s="239" t="n"/>
      <c r="X39298" s="239" t="n"/>
    </row>
    <row r="39300" ht="14.25" customHeight="1" s="192">
      <c r="W39300" s="235" t="n"/>
      <c r="X39300" s="235" t="n"/>
    </row>
    <row r="39301" ht="15" customHeight="1" s="192" thickBot="1">
      <c r="W39301" s="239" t="n"/>
      <c r="X39301" s="239" t="n"/>
    </row>
    <row r="39302" ht="15" customHeight="1" s="192" thickBot="1">
      <c r="W39302" s="45" t="n"/>
      <c r="X39302" s="45" t="n"/>
    </row>
    <row r="39303" ht="14.25" customHeight="1" s="192">
      <c r="W39303" s="228" t="n"/>
      <c r="X39303" s="228" t="n"/>
    </row>
    <row r="39304" ht="14.25" customHeight="1" s="192">
      <c r="W39304" s="228" t="n"/>
      <c r="X39304" s="228" t="n"/>
    </row>
    <row r="39305" ht="14.25" customHeight="1" s="192">
      <c r="W39305" s="231" t="n"/>
      <c r="X39305" s="231" t="n"/>
    </row>
    <row r="39306" ht="14.25" customHeight="1" s="192">
      <c r="W39306" s="33" t="n"/>
      <c r="X39306" s="33" t="n"/>
    </row>
    <row r="39307" ht="14.25" customHeight="1" s="192">
      <c r="W39307" s="231" t="n"/>
      <c r="X39307" s="231" t="n"/>
    </row>
    <row r="39308" ht="14.25" customHeight="1" s="192">
      <c r="W39308" s="33" t="n"/>
      <c r="X39308" s="33" t="n"/>
    </row>
    <row r="39310" ht="14.25" customHeight="1" s="192">
      <c r="W39310" s="231" t="n"/>
      <c r="X39310" s="231" t="n"/>
    </row>
    <row r="39311" ht="14.25" customHeight="1" s="192">
      <c r="W39311" s="235" t="n"/>
      <c r="X39311" s="235" t="n"/>
    </row>
    <row r="39312" ht="14.25" customHeight="1" s="192">
      <c r="W39312" s="228" t="n"/>
      <c r="X39312" s="228" t="n"/>
    </row>
    <row r="39313" ht="14.25" customHeight="1" s="192">
      <c r="W39313" s="235" t="n"/>
      <c r="X39313" s="235" t="n"/>
    </row>
    <row r="39314" ht="14.25" customHeight="1" s="192">
      <c r="W39314" s="235" t="n"/>
      <c r="X39314" s="235" t="n"/>
    </row>
    <row r="39315" ht="14.25" customHeight="1" s="192">
      <c r="W39315" s="235" t="n"/>
      <c r="X39315" s="235" t="n"/>
    </row>
    <row r="39316" ht="14.25" customHeight="1" s="192">
      <c r="W39316" s="239" t="n"/>
      <c r="X39316" s="239" t="n"/>
    </row>
    <row r="39317" ht="14.25" customHeight="1" s="192">
      <c r="W39317" s="239" t="n"/>
      <c r="X39317" s="239" t="n"/>
    </row>
    <row r="39318" ht="14.25" customHeight="1" s="192">
      <c r="W39318" s="239" t="n"/>
      <c r="X39318" s="239" t="n"/>
    </row>
    <row r="39319" ht="14.25" customHeight="1" s="192">
      <c r="W39319" s="235" t="n"/>
      <c r="X39319" s="235" t="n"/>
    </row>
    <row r="39320" ht="14.25" customHeight="1" s="192">
      <c r="W39320" s="235" t="n"/>
      <c r="X39320" s="235" t="n"/>
    </row>
    <row r="39321" ht="14.25" customHeight="1" s="192">
      <c r="W39321" s="235" t="n"/>
      <c r="X39321" s="235" t="n"/>
    </row>
    <row r="39322" ht="14.25" customHeight="1" s="192">
      <c r="W39322" s="239" t="n"/>
      <c r="X39322" s="239" t="n"/>
    </row>
    <row r="39323" ht="14.25" customHeight="1" s="192">
      <c r="W39323" s="239" t="n"/>
      <c r="X39323" s="239" t="n"/>
    </row>
    <row r="39324" ht="14.25" customHeight="1" s="192">
      <c r="W39324" s="235" t="n"/>
      <c r="X39324" s="235" t="n"/>
    </row>
    <row r="39325" ht="14.25" customHeight="1" s="192">
      <c r="W39325" s="235" t="n"/>
      <c r="X39325" s="235" t="n"/>
    </row>
    <row r="39326" ht="14.25" customHeight="1" s="192">
      <c r="W39326" s="239" t="n"/>
      <c r="X39326" s="239" t="n"/>
    </row>
    <row r="39327" ht="14.25" customHeight="1" s="192">
      <c r="W39327" s="235" t="n"/>
      <c r="X39327" s="235" t="n"/>
    </row>
    <row r="39328" ht="14.25" customHeight="1" s="192">
      <c r="W39328" s="239" t="n"/>
      <c r="X39328" s="239" t="n"/>
    </row>
    <row r="39330" ht="14.25" customHeight="1" s="192">
      <c r="W39330" s="235" t="n"/>
      <c r="X39330" s="235" t="n"/>
    </row>
    <row r="39331" ht="15" customHeight="1" s="192" thickBot="1">
      <c r="W39331" s="239" t="n"/>
      <c r="X39331" s="239" t="n"/>
    </row>
    <row r="39332" ht="15" customHeight="1" s="192" thickBot="1">
      <c r="W39332" s="45" t="n"/>
      <c r="X39332" s="45" t="n"/>
    </row>
    <row r="39333" ht="14.25" customHeight="1" s="192">
      <c r="W39333" s="228" t="n"/>
      <c r="X39333" s="228" t="n"/>
    </row>
    <row r="39334" ht="14.25" customHeight="1" s="192">
      <c r="W39334" s="228" t="n"/>
      <c r="X39334" s="228" t="n"/>
    </row>
    <row r="39335" ht="14.25" customHeight="1" s="192">
      <c r="W39335" s="231" t="n"/>
      <c r="X39335" s="231" t="n"/>
    </row>
    <row r="39336" ht="14.25" customHeight="1" s="192">
      <c r="W39336" s="33" t="n"/>
      <c r="X39336" s="33" t="n"/>
    </row>
    <row r="39337" ht="14.25" customHeight="1" s="192">
      <c r="W39337" s="231" t="n"/>
      <c r="X39337" s="231" t="n"/>
    </row>
    <row r="39338" ht="14.25" customHeight="1" s="192">
      <c r="W39338" s="33" t="n"/>
      <c r="X39338" s="33" t="n"/>
    </row>
    <row r="39340" ht="14.25" customHeight="1" s="192">
      <c r="W39340" s="231" t="n"/>
      <c r="X39340" s="231" t="n"/>
    </row>
    <row r="39341" ht="14.25" customHeight="1" s="192">
      <c r="W39341" s="235" t="n"/>
      <c r="X39341" s="235" t="n"/>
    </row>
    <row r="39342" ht="14.25" customHeight="1" s="192">
      <c r="W39342" s="228" t="n"/>
      <c r="X39342" s="228" t="n"/>
    </row>
    <row r="39343" ht="14.25" customHeight="1" s="192">
      <c r="W39343" s="235" t="n"/>
      <c r="X39343" s="235" t="n"/>
    </row>
    <row r="39344" ht="14.25" customHeight="1" s="192">
      <c r="W39344" s="235" t="n"/>
      <c r="X39344" s="235" t="n"/>
    </row>
    <row r="39345" ht="14.25" customHeight="1" s="192">
      <c r="W39345" s="235" t="n"/>
      <c r="X39345" s="235" t="n"/>
    </row>
    <row r="39346" ht="14.25" customHeight="1" s="192">
      <c r="W39346" s="239" t="n"/>
      <c r="X39346" s="239" t="n"/>
    </row>
    <row r="39347" ht="14.25" customHeight="1" s="192">
      <c r="W39347" s="239" t="n"/>
      <c r="X39347" s="239" t="n"/>
    </row>
    <row r="39348" ht="14.25" customHeight="1" s="192">
      <c r="W39348" s="239" t="n"/>
      <c r="X39348" s="239" t="n"/>
    </row>
    <row r="39349" ht="14.25" customHeight="1" s="192">
      <c r="W39349" s="235" t="n"/>
      <c r="X39349" s="235" t="n"/>
    </row>
    <row r="39350" ht="14.25" customHeight="1" s="192">
      <c r="W39350" s="235" t="n"/>
      <c r="X39350" s="235" t="n"/>
    </row>
    <row r="39351" ht="14.25" customHeight="1" s="192">
      <c r="W39351" s="235" t="n"/>
      <c r="X39351" s="235" t="n"/>
    </row>
    <row r="39352" ht="14.25" customHeight="1" s="192">
      <c r="W39352" s="239" t="n"/>
      <c r="X39352" s="239" t="n"/>
    </row>
    <row r="39353" ht="14.25" customHeight="1" s="192">
      <c r="W39353" s="239" t="n"/>
      <c r="X39353" s="239" t="n"/>
    </row>
    <row r="39354" ht="14.25" customHeight="1" s="192">
      <c r="W39354" s="235" t="n"/>
      <c r="X39354" s="235" t="n"/>
    </row>
    <row r="39355" ht="14.25" customHeight="1" s="192">
      <c r="W39355" s="235" t="n"/>
      <c r="X39355" s="235" t="n"/>
    </row>
    <row r="39356" ht="14.25" customHeight="1" s="192">
      <c r="W39356" s="239" t="n"/>
      <c r="X39356" s="239" t="n"/>
    </row>
    <row r="39357" ht="14.25" customHeight="1" s="192">
      <c r="W39357" s="235" t="n"/>
      <c r="X39357" s="235" t="n"/>
    </row>
    <row r="39358" ht="14.25" customHeight="1" s="192">
      <c r="W39358" s="239" t="n"/>
      <c r="X39358" s="239" t="n"/>
    </row>
    <row r="39360" ht="14.25" customHeight="1" s="192">
      <c r="W39360" s="235" t="n"/>
      <c r="X39360" s="235" t="n"/>
    </row>
    <row r="39361" ht="15" customHeight="1" s="192" thickBot="1">
      <c r="W39361" s="239" t="n"/>
      <c r="X39361" s="239" t="n"/>
    </row>
    <row r="39362" ht="15" customHeight="1" s="192" thickBot="1">
      <c r="W39362" s="45" t="n"/>
      <c r="X39362" s="45" t="n"/>
    </row>
    <row r="39363" ht="14.25" customHeight="1" s="192">
      <c r="W39363" s="228" t="n"/>
      <c r="X39363" s="228" t="n"/>
    </row>
    <row r="39364" ht="14.25" customHeight="1" s="192">
      <c r="W39364" s="228" t="n"/>
      <c r="X39364" s="228" t="n"/>
    </row>
    <row r="39365" ht="14.25" customHeight="1" s="192">
      <c r="W39365" s="231" t="n"/>
      <c r="X39365" s="231" t="n"/>
    </row>
    <row r="39366" ht="14.25" customHeight="1" s="192">
      <c r="W39366" s="33" t="n"/>
      <c r="X39366" s="33" t="n"/>
    </row>
    <row r="39367" ht="14.25" customHeight="1" s="192">
      <c r="W39367" s="231" t="n"/>
      <c r="X39367" s="231" t="n"/>
    </row>
    <row r="39368" ht="14.25" customHeight="1" s="192">
      <c r="W39368" s="33" t="n"/>
      <c r="X39368" s="33" t="n"/>
    </row>
    <row r="39370" ht="14.25" customHeight="1" s="192">
      <c r="W39370" s="231" t="n"/>
      <c r="X39370" s="231" t="n"/>
    </row>
    <row r="39371" ht="14.25" customHeight="1" s="192">
      <c r="W39371" s="235" t="n"/>
      <c r="X39371" s="235" t="n"/>
    </row>
    <row r="39372" ht="14.25" customHeight="1" s="192">
      <c r="W39372" s="228" t="n"/>
      <c r="X39372" s="228" t="n"/>
    </row>
    <row r="39373" ht="14.25" customHeight="1" s="192">
      <c r="W39373" s="235" t="n"/>
      <c r="X39373" s="235" t="n"/>
    </row>
    <row r="39374" ht="14.25" customHeight="1" s="192">
      <c r="W39374" s="235" t="n"/>
      <c r="X39374" s="235" t="n"/>
    </row>
    <row r="39375" ht="14.25" customHeight="1" s="192">
      <c r="W39375" s="235" t="n"/>
      <c r="X39375" s="235" t="n"/>
    </row>
    <row r="39376" ht="14.25" customHeight="1" s="192">
      <c r="W39376" s="239" t="n"/>
      <c r="X39376" s="239" t="n"/>
    </row>
    <row r="39377" ht="14.25" customHeight="1" s="192">
      <c r="W39377" s="239" t="n"/>
      <c r="X39377" s="239" t="n"/>
    </row>
    <row r="39378" ht="14.25" customHeight="1" s="192">
      <c r="W39378" s="239" t="n"/>
      <c r="X39378" s="239" t="n"/>
    </row>
    <row r="39379" ht="14.25" customHeight="1" s="192">
      <c r="W39379" s="235" t="n"/>
      <c r="X39379" s="235" t="n"/>
    </row>
    <row r="39380" ht="14.25" customHeight="1" s="192">
      <c r="W39380" s="235" t="n"/>
      <c r="X39380" s="235" t="n"/>
    </row>
    <row r="39381" ht="14.25" customHeight="1" s="192">
      <c r="W39381" s="235" t="n"/>
      <c r="X39381" s="235" t="n"/>
    </row>
    <row r="39382" ht="14.25" customHeight="1" s="192">
      <c r="W39382" s="239" t="n"/>
      <c r="X39382" s="239" t="n"/>
    </row>
    <row r="39383" ht="14.25" customHeight="1" s="192">
      <c r="W39383" s="239" t="n"/>
      <c r="X39383" s="239" t="n"/>
    </row>
    <row r="39384" ht="14.25" customHeight="1" s="192">
      <c r="W39384" s="235" t="n"/>
      <c r="X39384" s="235" t="n"/>
    </row>
    <row r="39385" ht="14.25" customHeight="1" s="192">
      <c r="W39385" s="235" t="n"/>
      <c r="X39385" s="235" t="n"/>
    </row>
    <row r="39386" ht="14.25" customHeight="1" s="192">
      <c r="W39386" s="239" t="n"/>
      <c r="X39386" s="239" t="n"/>
    </row>
    <row r="39387" ht="14.25" customHeight="1" s="192">
      <c r="W39387" s="235" t="n"/>
      <c r="X39387" s="235" t="n"/>
    </row>
    <row r="39388" ht="14.25" customHeight="1" s="192">
      <c r="W39388" s="239" t="n"/>
      <c r="X39388" s="239" t="n"/>
    </row>
    <row r="39390" ht="14.25" customHeight="1" s="192">
      <c r="W39390" s="235" t="n"/>
      <c r="X39390" s="235" t="n"/>
    </row>
    <row r="39391" ht="15" customHeight="1" s="192" thickBot="1">
      <c r="W39391" s="239" t="n"/>
      <c r="X39391" s="239" t="n"/>
    </row>
    <row r="39392" ht="15" customHeight="1" s="192" thickBot="1">
      <c r="W39392" s="45" t="n"/>
      <c r="X39392" s="45" t="n"/>
    </row>
    <row r="39393" ht="14.25" customHeight="1" s="192">
      <c r="W39393" s="228" t="n"/>
      <c r="X39393" s="228" t="n"/>
    </row>
    <row r="39394" ht="14.25" customHeight="1" s="192">
      <c r="W39394" s="228" t="n"/>
      <c r="X39394" s="228" t="n"/>
    </row>
    <row r="39395" ht="14.25" customHeight="1" s="192">
      <c r="W39395" s="231" t="n"/>
      <c r="X39395" s="231" t="n"/>
    </row>
    <row r="39396" ht="14.25" customHeight="1" s="192">
      <c r="W39396" s="33" t="n"/>
      <c r="X39396" s="33" t="n"/>
    </row>
    <row r="39397" ht="14.25" customHeight="1" s="192">
      <c r="W39397" s="231" t="n"/>
      <c r="X39397" s="231" t="n"/>
    </row>
    <row r="39398" ht="14.25" customHeight="1" s="192">
      <c r="W39398" s="33" t="n"/>
      <c r="X39398" s="33" t="n"/>
    </row>
    <row r="39400" ht="14.25" customHeight="1" s="192">
      <c r="W39400" s="231" t="n"/>
      <c r="X39400" s="231" t="n"/>
    </row>
    <row r="39401" ht="14.25" customHeight="1" s="192">
      <c r="W39401" s="235" t="n"/>
      <c r="X39401" s="235" t="n"/>
    </row>
    <row r="39402" ht="14.25" customHeight="1" s="192">
      <c r="W39402" s="228" t="n"/>
      <c r="X39402" s="228" t="n"/>
    </row>
    <row r="39403" ht="14.25" customHeight="1" s="192">
      <c r="W39403" s="235" t="n"/>
      <c r="X39403" s="235" t="n"/>
    </row>
    <row r="39404" ht="14.25" customHeight="1" s="192">
      <c r="W39404" s="235" t="n"/>
      <c r="X39404" s="235" t="n"/>
    </row>
    <row r="39405" ht="14.25" customHeight="1" s="192">
      <c r="W39405" s="235" t="n"/>
      <c r="X39405" s="235" t="n"/>
    </row>
    <row r="39406" ht="14.25" customHeight="1" s="192">
      <c r="W39406" s="239" t="n"/>
      <c r="X39406" s="239" t="n"/>
    </row>
    <row r="39407" ht="14.25" customHeight="1" s="192">
      <c r="W39407" s="239" t="n"/>
      <c r="X39407" s="239" t="n"/>
    </row>
    <row r="39408" ht="14.25" customHeight="1" s="192">
      <c r="W39408" s="239" t="n"/>
      <c r="X39408" s="239" t="n"/>
    </row>
    <row r="39409" ht="14.25" customHeight="1" s="192">
      <c r="W39409" s="235" t="n"/>
      <c r="X39409" s="235" t="n"/>
    </row>
    <row r="39410" ht="14.25" customHeight="1" s="192">
      <c r="W39410" s="235" t="n"/>
      <c r="X39410" s="235" t="n"/>
    </row>
    <row r="39411" ht="14.25" customHeight="1" s="192">
      <c r="W39411" s="235" t="n"/>
      <c r="X39411" s="235" t="n"/>
    </row>
    <row r="39412" ht="14.25" customHeight="1" s="192">
      <c r="W39412" s="239" t="n"/>
      <c r="X39412" s="239" t="n"/>
    </row>
    <row r="39413" ht="14.25" customHeight="1" s="192">
      <c r="W39413" s="239" t="n"/>
      <c r="X39413" s="239" t="n"/>
    </row>
    <row r="39414" ht="14.25" customHeight="1" s="192">
      <c r="W39414" s="235" t="n"/>
      <c r="X39414" s="235" t="n"/>
    </row>
    <row r="39415" ht="14.25" customHeight="1" s="192">
      <c r="W39415" s="235" t="n"/>
      <c r="X39415" s="235" t="n"/>
    </row>
    <row r="39416" ht="14.25" customHeight="1" s="192">
      <c r="W39416" s="239" t="n"/>
      <c r="X39416" s="239" t="n"/>
    </row>
    <row r="39417" ht="14.25" customHeight="1" s="192">
      <c r="W39417" s="235" t="n"/>
      <c r="X39417" s="235" t="n"/>
    </row>
    <row r="39418" ht="14.25" customHeight="1" s="192">
      <c r="W39418" s="239" t="n"/>
      <c r="X39418" s="239" t="n"/>
    </row>
    <row r="39420" ht="14.25" customHeight="1" s="192">
      <c r="W39420" s="235" t="n"/>
      <c r="X39420" s="235" t="n"/>
    </row>
    <row r="39421" ht="15" customHeight="1" s="192" thickBot="1">
      <c r="W39421" s="239" t="n"/>
      <c r="X39421" s="239" t="n"/>
    </row>
    <row r="39422" ht="15" customHeight="1" s="192" thickBot="1">
      <c r="W39422" s="45" t="n"/>
      <c r="X39422" s="45" t="n"/>
    </row>
    <row r="39423" ht="14.25" customHeight="1" s="192">
      <c r="W39423" s="228" t="n"/>
      <c r="X39423" s="228" t="n"/>
    </row>
    <row r="39424" ht="14.25" customHeight="1" s="192">
      <c r="W39424" s="228" t="n"/>
      <c r="X39424" s="228" t="n"/>
    </row>
    <row r="39425" ht="14.25" customHeight="1" s="192">
      <c r="W39425" s="231" t="n"/>
      <c r="X39425" s="231" t="n"/>
    </row>
    <row r="39426" ht="14.25" customHeight="1" s="192">
      <c r="W39426" s="33" t="n"/>
      <c r="X39426" s="33" t="n"/>
    </row>
    <row r="39427" ht="14.25" customHeight="1" s="192">
      <c r="W39427" s="231" t="n"/>
      <c r="X39427" s="231" t="n"/>
    </row>
    <row r="39428" ht="14.25" customHeight="1" s="192">
      <c r="W39428" s="33" t="n"/>
      <c r="X39428" s="33" t="n"/>
    </row>
    <row r="39430" ht="14.25" customHeight="1" s="192">
      <c r="W39430" s="231" t="n"/>
      <c r="X39430" s="231" t="n"/>
    </row>
    <row r="39431" ht="14.25" customHeight="1" s="192">
      <c r="W39431" s="235" t="n"/>
      <c r="X39431" s="235" t="n"/>
    </row>
    <row r="39432" ht="14.25" customHeight="1" s="192">
      <c r="W39432" s="228" t="n"/>
      <c r="X39432" s="228" t="n"/>
    </row>
    <row r="39433" ht="14.25" customHeight="1" s="192">
      <c r="W39433" s="235" t="n"/>
      <c r="X39433" s="235" t="n"/>
    </row>
    <row r="39434" ht="14.25" customHeight="1" s="192">
      <c r="W39434" s="235" t="n"/>
      <c r="X39434" s="235" t="n"/>
    </row>
    <row r="39435" ht="14.25" customHeight="1" s="192">
      <c r="W39435" s="235" t="n"/>
      <c r="X39435" s="235" t="n"/>
    </row>
    <row r="39436" ht="14.25" customHeight="1" s="192">
      <c r="W39436" s="239" t="n"/>
      <c r="X39436" s="239" t="n"/>
    </row>
    <row r="39437" ht="14.25" customHeight="1" s="192">
      <c r="W39437" s="239" t="n"/>
      <c r="X39437" s="239" t="n"/>
    </row>
    <row r="39438" ht="14.25" customHeight="1" s="192">
      <c r="W39438" s="239" t="n"/>
      <c r="X39438" s="239" t="n"/>
    </row>
    <row r="39439" ht="14.25" customHeight="1" s="192">
      <c r="W39439" s="235" t="n"/>
      <c r="X39439" s="235" t="n"/>
    </row>
    <row r="39440" ht="14.25" customHeight="1" s="192">
      <c r="W39440" s="235" t="n"/>
      <c r="X39440" s="235" t="n"/>
    </row>
    <row r="39441" ht="14.25" customHeight="1" s="192">
      <c r="W39441" s="235" t="n"/>
      <c r="X39441" s="235" t="n"/>
    </row>
    <row r="39442" ht="14.25" customHeight="1" s="192">
      <c r="W39442" s="239" t="n"/>
      <c r="X39442" s="239" t="n"/>
    </row>
    <row r="39443" ht="14.25" customHeight="1" s="192">
      <c r="W39443" s="239" t="n"/>
      <c r="X39443" s="239" t="n"/>
    </row>
    <row r="39444" ht="14.25" customHeight="1" s="192">
      <c r="W39444" s="235" t="n"/>
      <c r="X39444" s="235" t="n"/>
    </row>
    <row r="39445" ht="14.25" customHeight="1" s="192">
      <c r="W39445" s="235" t="n"/>
      <c r="X39445" s="235" t="n"/>
    </row>
    <row r="39446" ht="14.25" customHeight="1" s="192">
      <c r="W39446" s="239" t="n"/>
      <c r="X39446" s="239" t="n"/>
    </row>
    <row r="39447" ht="14.25" customHeight="1" s="192">
      <c r="W39447" s="235" t="n"/>
      <c r="X39447" s="235" t="n"/>
    </row>
    <row r="39448" ht="14.25" customHeight="1" s="192">
      <c r="W39448" s="239" t="n"/>
      <c r="X39448" s="239" t="n"/>
    </row>
    <row r="39450" ht="14.25" customHeight="1" s="192">
      <c r="W39450" s="235" t="n"/>
      <c r="X39450" s="235" t="n"/>
    </row>
    <row r="39451" ht="15" customHeight="1" s="192" thickBot="1">
      <c r="W39451" s="239" t="n"/>
      <c r="X39451" s="239" t="n"/>
    </row>
    <row r="39452" ht="15" customHeight="1" s="192" thickBot="1">
      <c r="W39452" s="45" t="n"/>
      <c r="X39452" s="45" t="n"/>
    </row>
    <row r="39453" ht="14.25" customHeight="1" s="192">
      <c r="W39453" s="228" t="n"/>
      <c r="X39453" s="228" t="n"/>
    </row>
    <row r="39454" ht="14.25" customHeight="1" s="192">
      <c r="W39454" s="228" t="n"/>
      <c r="X39454" s="228" t="n"/>
    </row>
    <row r="39455" ht="14.25" customHeight="1" s="192">
      <c r="W39455" s="231" t="n"/>
      <c r="X39455" s="231" t="n"/>
    </row>
    <row r="39456" ht="14.25" customHeight="1" s="192">
      <c r="W39456" s="33" t="n"/>
      <c r="X39456" s="33" t="n"/>
    </row>
    <row r="39457" ht="14.25" customHeight="1" s="192">
      <c r="W39457" s="231" t="n"/>
      <c r="X39457" s="231" t="n"/>
    </row>
    <row r="39458" ht="14.25" customHeight="1" s="192">
      <c r="W39458" s="33" t="n"/>
      <c r="X39458" s="33" t="n"/>
    </row>
    <row r="39460" ht="14.25" customHeight="1" s="192">
      <c r="W39460" s="231" t="n"/>
      <c r="X39460" s="231" t="n"/>
    </row>
    <row r="39461" ht="14.25" customHeight="1" s="192">
      <c r="W39461" s="235" t="n"/>
      <c r="X39461" s="235" t="n"/>
    </row>
    <row r="39462" ht="14.25" customHeight="1" s="192">
      <c r="W39462" s="228" t="n"/>
      <c r="X39462" s="228" t="n"/>
    </row>
    <row r="39463" ht="14.25" customHeight="1" s="192">
      <c r="W39463" s="235" t="n"/>
      <c r="X39463" s="235" t="n"/>
    </row>
    <row r="39464" ht="14.25" customHeight="1" s="192">
      <c r="W39464" s="235" t="n"/>
      <c r="X39464" s="235" t="n"/>
    </row>
    <row r="39465" ht="14.25" customHeight="1" s="192">
      <c r="W39465" s="235" t="n"/>
      <c r="X39465" s="235" t="n"/>
    </row>
    <row r="39466" ht="14.25" customHeight="1" s="192">
      <c r="W39466" s="239" t="n"/>
      <c r="X39466" s="239" t="n"/>
    </row>
    <row r="39467" ht="14.25" customHeight="1" s="192">
      <c r="W39467" s="239" t="n"/>
      <c r="X39467" s="239" t="n"/>
    </row>
    <row r="39468" ht="14.25" customHeight="1" s="192">
      <c r="W39468" s="239" t="n"/>
      <c r="X39468" s="239" t="n"/>
    </row>
    <row r="39469" ht="14.25" customHeight="1" s="192">
      <c r="W39469" s="235" t="n"/>
      <c r="X39469" s="235" t="n"/>
    </row>
    <row r="39470" ht="14.25" customHeight="1" s="192">
      <c r="W39470" s="235" t="n"/>
      <c r="X39470" s="235" t="n"/>
    </row>
    <row r="39471" ht="14.25" customHeight="1" s="192">
      <c r="W39471" s="235" t="n"/>
      <c r="X39471" s="235" t="n"/>
    </row>
    <row r="39472" ht="14.25" customHeight="1" s="192">
      <c r="W39472" s="239" t="n"/>
      <c r="X39472" s="239" t="n"/>
    </row>
    <row r="39473" ht="14.25" customHeight="1" s="192">
      <c r="W39473" s="239" t="n"/>
      <c r="X39473" s="239" t="n"/>
    </row>
    <row r="39474" ht="14.25" customHeight="1" s="192">
      <c r="W39474" s="235" t="n"/>
      <c r="X39474" s="235" t="n"/>
    </row>
    <row r="39475" ht="14.25" customHeight="1" s="192">
      <c r="W39475" s="235" t="n"/>
      <c r="X39475" s="235" t="n"/>
    </row>
    <row r="39476" ht="14.25" customHeight="1" s="192">
      <c r="W39476" s="239" t="n"/>
      <c r="X39476" s="239" t="n"/>
    </row>
    <row r="39477" ht="14.25" customHeight="1" s="192">
      <c r="W39477" s="235" t="n"/>
      <c r="X39477" s="235" t="n"/>
    </row>
    <row r="39478" ht="14.25" customHeight="1" s="192">
      <c r="W39478" s="239" t="n"/>
      <c r="X39478" s="239" t="n"/>
    </row>
    <row r="39480" ht="14.25" customHeight="1" s="192">
      <c r="W39480" s="235" t="n"/>
      <c r="X39480" s="235" t="n"/>
    </row>
    <row r="39481" ht="15" customHeight="1" s="192" thickBot="1">
      <c r="W39481" s="239" t="n"/>
      <c r="X39481" s="239" t="n"/>
    </row>
    <row r="39482" ht="15" customHeight="1" s="192" thickBot="1">
      <c r="W39482" s="45" t="n"/>
      <c r="X39482" s="45" t="n"/>
    </row>
    <row r="39483" ht="14.25" customHeight="1" s="192">
      <c r="W39483" s="228" t="n"/>
      <c r="X39483" s="228" t="n"/>
    </row>
    <row r="39484" ht="14.25" customHeight="1" s="192">
      <c r="W39484" s="228" t="n"/>
      <c r="X39484" s="228" t="n"/>
    </row>
    <row r="39485" ht="14.25" customHeight="1" s="192">
      <c r="W39485" s="231" t="n"/>
      <c r="X39485" s="231" t="n"/>
    </row>
    <row r="39486" ht="14.25" customHeight="1" s="192">
      <c r="W39486" s="33" t="n"/>
      <c r="X39486" s="33" t="n"/>
    </row>
    <row r="39487" ht="14.25" customHeight="1" s="192">
      <c r="W39487" s="231" t="n"/>
      <c r="X39487" s="231" t="n"/>
    </row>
    <row r="39488" ht="14.25" customHeight="1" s="192">
      <c r="W39488" s="33" t="n"/>
      <c r="X39488" s="33" t="n"/>
    </row>
    <row r="39490" ht="14.25" customHeight="1" s="192">
      <c r="W39490" s="231" t="n"/>
      <c r="X39490" s="231" t="n"/>
    </row>
    <row r="39491" ht="14.25" customHeight="1" s="192">
      <c r="W39491" s="235" t="n"/>
      <c r="X39491" s="235" t="n"/>
    </row>
    <row r="39492" ht="14.25" customHeight="1" s="192">
      <c r="W39492" s="228" t="n"/>
      <c r="X39492" s="228" t="n"/>
    </row>
    <row r="39493" ht="14.25" customHeight="1" s="192">
      <c r="W39493" s="235" t="n"/>
      <c r="X39493" s="235" t="n"/>
    </row>
    <row r="39494" ht="14.25" customHeight="1" s="192">
      <c r="W39494" s="235" t="n"/>
      <c r="X39494" s="235" t="n"/>
    </row>
    <row r="39495" ht="14.25" customHeight="1" s="192">
      <c r="W39495" s="235" t="n"/>
      <c r="X39495" s="235" t="n"/>
    </row>
    <row r="39496" ht="14.25" customHeight="1" s="192">
      <c r="W39496" s="239" t="n"/>
      <c r="X39496" s="239" t="n"/>
    </row>
    <row r="39497" ht="14.25" customHeight="1" s="192">
      <c r="W39497" s="239" t="n"/>
      <c r="X39497" s="239" t="n"/>
    </row>
    <row r="39498" ht="14.25" customHeight="1" s="192">
      <c r="W39498" s="239" t="n"/>
      <c r="X39498" s="239" t="n"/>
    </row>
    <row r="39499" ht="14.25" customHeight="1" s="192">
      <c r="W39499" s="235" t="n"/>
      <c r="X39499" s="235" t="n"/>
    </row>
    <row r="39500" ht="14.25" customHeight="1" s="192">
      <c r="W39500" s="235" t="n"/>
      <c r="X39500" s="235" t="n"/>
    </row>
    <row r="39501" ht="14.25" customHeight="1" s="192">
      <c r="W39501" s="235" t="n"/>
      <c r="X39501" s="235" t="n"/>
    </row>
    <row r="39502" ht="14.25" customHeight="1" s="192">
      <c r="W39502" s="239" t="n"/>
      <c r="X39502" s="239" t="n"/>
    </row>
    <row r="39503" ht="14.25" customHeight="1" s="192">
      <c r="W39503" s="239" t="n"/>
      <c r="X39503" s="239" t="n"/>
    </row>
    <row r="39504" ht="14.25" customHeight="1" s="192">
      <c r="W39504" s="235" t="n"/>
      <c r="X39504" s="235" t="n"/>
    </row>
    <row r="39505" ht="14.25" customHeight="1" s="192">
      <c r="W39505" s="235" t="n"/>
      <c r="X39505" s="235" t="n"/>
    </row>
    <row r="39506" ht="14.25" customHeight="1" s="192">
      <c r="W39506" s="239" t="n"/>
      <c r="X39506" s="239" t="n"/>
    </row>
    <row r="39507" ht="14.25" customHeight="1" s="192">
      <c r="W39507" s="235" t="n"/>
      <c r="X39507" s="235" t="n"/>
    </row>
    <row r="39508" ht="14.25" customHeight="1" s="192">
      <c r="W39508" s="239" t="n"/>
      <c r="X39508" s="239" t="n"/>
    </row>
    <row r="39510" ht="14.25" customHeight="1" s="192">
      <c r="W39510" s="235" t="n"/>
      <c r="X39510" s="235" t="n"/>
    </row>
    <row r="39511" ht="15" customHeight="1" s="192" thickBot="1">
      <c r="W39511" s="239" t="n"/>
      <c r="X39511" s="239" t="n"/>
    </row>
    <row r="39512" ht="15" customHeight="1" s="192" thickBot="1">
      <c r="W39512" s="45" t="n"/>
      <c r="X39512" s="45" t="n"/>
    </row>
    <row r="39513" ht="14.25" customHeight="1" s="192">
      <c r="W39513" s="228" t="n"/>
      <c r="X39513" s="228" t="n"/>
    </row>
    <row r="39514" ht="14.25" customHeight="1" s="192">
      <c r="W39514" s="228" t="n"/>
      <c r="X39514" s="228" t="n"/>
    </row>
    <row r="39515" ht="14.25" customHeight="1" s="192">
      <c r="W39515" s="231" t="n"/>
      <c r="X39515" s="231" t="n"/>
    </row>
    <row r="39516" ht="14.25" customHeight="1" s="192">
      <c r="W39516" s="33" t="n"/>
      <c r="X39516" s="33" t="n"/>
    </row>
    <row r="39517" ht="14.25" customHeight="1" s="192">
      <c r="W39517" s="231" t="n"/>
      <c r="X39517" s="231" t="n"/>
    </row>
    <row r="39518" ht="14.25" customHeight="1" s="192">
      <c r="W39518" s="33" t="n"/>
      <c r="X39518" s="33" t="n"/>
    </row>
    <row r="39520" ht="14.25" customHeight="1" s="192">
      <c r="W39520" s="231" t="n"/>
      <c r="X39520" s="231" t="n"/>
    </row>
    <row r="39521" ht="14.25" customHeight="1" s="192">
      <c r="W39521" s="235" t="n"/>
      <c r="X39521" s="235" t="n"/>
    </row>
    <row r="39522" ht="14.25" customHeight="1" s="192">
      <c r="W39522" s="228" t="n"/>
      <c r="X39522" s="228" t="n"/>
    </row>
    <row r="39523" ht="14.25" customHeight="1" s="192">
      <c r="W39523" s="235" t="n"/>
      <c r="X39523" s="235" t="n"/>
    </row>
    <row r="39524" ht="14.25" customHeight="1" s="192">
      <c r="W39524" s="235" t="n"/>
      <c r="X39524" s="235" t="n"/>
    </row>
    <row r="39525" ht="14.25" customHeight="1" s="192">
      <c r="W39525" s="235" t="n"/>
      <c r="X39525" s="235" t="n"/>
    </row>
    <row r="39526" ht="14.25" customHeight="1" s="192">
      <c r="W39526" s="239" t="n"/>
      <c r="X39526" s="239" t="n"/>
    </row>
    <row r="39527" ht="14.25" customHeight="1" s="192">
      <c r="W39527" s="239" t="n"/>
      <c r="X39527" s="239" t="n"/>
    </row>
    <row r="39528" ht="14.25" customHeight="1" s="192">
      <c r="W39528" s="239" t="n"/>
      <c r="X39528" s="239" t="n"/>
    </row>
    <row r="39529" ht="14.25" customHeight="1" s="192">
      <c r="W39529" s="235" t="n"/>
      <c r="X39529" s="235" t="n"/>
    </row>
    <row r="39530" ht="14.25" customHeight="1" s="192">
      <c r="W39530" s="235" t="n"/>
      <c r="X39530" s="235" t="n"/>
    </row>
    <row r="39531" ht="14.25" customHeight="1" s="192">
      <c r="W39531" s="235" t="n"/>
      <c r="X39531" s="235" t="n"/>
    </row>
    <row r="39532" ht="14.25" customHeight="1" s="192">
      <c r="W39532" s="239" t="n"/>
      <c r="X39532" s="239" t="n"/>
    </row>
    <row r="39533" ht="14.25" customHeight="1" s="192">
      <c r="W39533" s="239" t="n"/>
      <c r="X39533" s="239" t="n"/>
    </row>
    <row r="39534" ht="14.25" customHeight="1" s="192">
      <c r="W39534" s="235" t="n"/>
      <c r="X39534" s="235" t="n"/>
    </row>
    <row r="39535" ht="14.25" customHeight="1" s="192">
      <c r="W39535" s="235" t="n"/>
      <c r="X39535" s="235" t="n"/>
    </row>
    <row r="39536" ht="14.25" customHeight="1" s="192">
      <c r="W39536" s="239" t="n"/>
      <c r="X39536" s="239" t="n"/>
    </row>
    <row r="39537" ht="14.25" customHeight="1" s="192">
      <c r="W39537" s="235" t="n"/>
      <c r="X39537" s="235" t="n"/>
    </row>
    <row r="39538" ht="14.25" customHeight="1" s="192">
      <c r="W39538" s="239" t="n"/>
      <c r="X39538" s="239" t="n"/>
    </row>
    <row r="39540" ht="14.25" customHeight="1" s="192">
      <c r="W39540" s="235" t="n"/>
      <c r="X39540" s="235" t="n"/>
    </row>
    <row r="39541" ht="15" customHeight="1" s="192" thickBot="1">
      <c r="W39541" s="239" t="n"/>
      <c r="X39541" s="239" t="n"/>
    </row>
    <row r="39542" ht="15" customHeight="1" s="192" thickBot="1">
      <c r="W39542" s="45" t="n"/>
      <c r="X39542" s="45" t="n"/>
    </row>
    <row r="39543" ht="14.25" customHeight="1" s="192">
      <c r="W39543" s="228" t="n"/>
      <c r="X39543" s="228" t="n"/>
    </row>
    <row r="39544" ht="14.25" customHeight="1" s="192">
      <c r="W39544" s="228" t="n"/>
      <c r="X39544" s="228" t="n"/>
    </row>
    <row r="39545" ht="14.25" customHeight="1" s="192">
      <c r="W39545" s="231" t="n"/>
      <c r="X39545" s="231" t="n"/>
    </row>
    <row r="39546" ht="14.25" customHeight="1" s="192">
      <c r="W39546" s="33" t="n"/>
      <c r="X39546" s="33" t="n"/>
    </row>
    <row r="39547" ht="14.25" customHeight="1" s="192">
      <c r="W39547" s="231" t="n"/>
      <c r="X39547" s="231" t="n"/>
    </row>
    <row r="39548" ht="14.25" customHeight="1" s="192">
      <c r="W39548" s="33" t="n"/>
      <c r="X39548" s="33" t="n"/>
    </row>
    <row r="39550" ht="14.25" customHeight="1" s="192">
      <c r="W39550" s="231" t="n"/>
      <c r="X39550" s="231" t="n"/>
    </row>
    <row r="39551" ht="14.25" customHeight="1" s="192">
      <c r="W39551" s="235" t="n"/>
      <c r="X39551" s="235" t="n"/>
    </row>
    <row r="39552" ht="14.25" customHeight="1" s="192">
      <c r="W39552" s="228" t="n"/>
      <c r="X39552" s="228" t="n"/>
    </row>
    <row r="39553" ht="14.25" customHeight="1" s="192">
      <c r="W39553" s="235" t="n"/>
      <c r="X39553" s="235" t="n"/>
    </row>
    <row r="39554" ht="14.25" customHeight="1" s="192">
      <c r="W39554" s="235" t="n"/>
      <c r="X39554" s="235" t="n"/>
    </row>
    <row r="39555" ht="14.25" customHeight="1" s="192">
      <c r="W39555" s="235" t="n"/>
      <c r="X39555" s="235" t="n"/>
    </row>
    <row r="39556" ht="14.25" customHeight="1" s="192">
      <c r="W39556" s="239" t="n"/>
      <c r="X39556" s="239" t="n"/>
    </row>
    <row r="39557" ht="14.25" customHeight="1" s="192">
      <c r="W39557" s="239" t="n"/>
      <c r="X39557" s="239" t="n"/>
    </row>
    <row r="39558" ht="14.25" customHeight="1" s="192">
      <c r="W39558" s="239" t="n"/>
      <c r="X39558" s="239" t="n"/>
    </row>
    <row r="39559" ht="14.25" customHeight="1" s="192">
      <c r="W39559" s="235" t="n"/>
      <c r="X39559" s="235" t="n"/>
    </row>
    <row r="39560" ht="14.25" customHeight="1" s="192">
      <c r="W39560" s="235" t="n"/>
      <c r="X39560" s="235" t="n"/>
    </row>
    <row r="39561" ht="14.25" customHeight="1" s="192">
      <c r="W39561" s="235" t="n"/>
      <c r="X39561" s="235" t="n"/>
    </row>
    <row r="39562" ht="14.25" customHeight="1" s="192">
      <c r="W39562" s="239" t="n"/>
      <c r="X39562" s="239" t="n"/>
    </row>
    <row r="39563" ht="14.25" customHeight="1" s="192">
      <c r="W39563" s="239" t="n"/>
      <c r="X39563" s="239" t="n"/>
    </row>
    <row r="39564" ht="14.25" customHeight="1" s="192">
      <c r="W39564" s="235" t="n"/>
      <c r="X39564" s="235" t="n"/>
    </row>
    <row r="39565" ht="14.25" customHeight="1" s="192">
      <c r="W39565" s="235" t="n"/>
      <c r="X39565" s="235" t="n"/>
    </row>
    <row r="39566" ht="14.25" customHeight="1" s="192">
      <c r="W39566" s="239" t="n"/>
      <c r="X39566" s="239" t="n"/>
    </row>
    <row r="39567" ht="14.25" customHeight="1" s="192">
      <c r="W39567" s="235" t="n"/>
      <c r="X39567" s="235" t="n"/>
    </row>
    <row r="39568" ht="14.25" customHeight="1" s="192">
      <c r="W39568" s="239" t="n"/>
      <c r="X39568" s="239" t="n"/>
    </row>
    <row r="39570" ht="14.25" customHeight="1" s="192">
      <c r="W39570" s="235" t="n"/>
      <c r="X39570" s="235" t="n"/>
    </row>
    <row r="39571" ht="15" customHeight="1" s="192" thickBot="1">
      <c r="W39571" s="239" t="n"/>
      <c r="X39571" s="239" t="n"/>
    </row>
    <row r="39572" ht="15" customHeight="1" s="192" thickBot="1">
      <c r="W39572" s="45" t="n"/>
      <c r="X39572" s="45" t="n"/>
    </row>
    <row r="39573" ht="14.25" customHeight="1" s="192">
      <c r="W39573" s="228" t="n"/>
      <c r="X39573" s="228" t="n"/>
    </row>
    <row r="39574" ht="14.25" customHeight="1" s="192">
      <c r="W39574" s="228" t="n"/>
      <c r="X39574" s="228" t="n"/>
    </row>
    <row r="39575" ht="14.25" customHeight="1" s="192">
      <c r="W39575" s="231" t="n"/>
      <c r="X39575" s="231" t="n"/>
    </row>
    <row r="39576" ht="14.25" customHeight="1" s="192">
      <c r="W39576" s="33" t="n"/>
      <c r="X39576" s="33" t="n"/>
    </row>
    <row r="39577" ht="14.25" customHeight="1" s="192">
      <c r="W39577" s="231" t="n"/>
      <c r="X39577" s="231" t="n"/>
    </row>
    <row r="39578" ht="14.25" customHeight="1" s="192">
      <c r="W39578" s="33" t="n"/>
      <c r="X39578" s="33" t="n"/>
    </row>
    <row r="39580" ht="14.25" customHeight="1" s="192">
      <c r="W39580" s="231" t="n"/>
      <c r="X39580" s="231" t="n"/>
    </row>
    <row r="39581" ht="14.25" customHeight="1" s="192">
      <c r="W39581" s="235" t="n"/>
      <c r="X39581" s="235" t="n"/>
    </row>
    <row r="39582" ht="14.25" customHeight="1" s="192">
      <c r="W39582" s="228" t="n"/>
      <c r="X39582" s="228" t="n"/>
    </row>
    <row r="39583" ht="14.25" customHeight="1" s="192">
      <c r="W39583" s="235" t="n"/>
      <c r="X39583" s="235" t="n"/>
    </row>
    <row r="39584" ht="14.25" customHeight="1" s="192">
      <c r="W39584" s="235" t="n"/>
      <c r="X39584" s="235" t="n"/>
    </row>
    <row r="39585" ht="14.25" customHeight="1" s="192">
      <c r="W39585" s="235" t="n"/>
      <c r="X39585" s="235" t="n"/>
    </row>
    <row r="39586" ht="14.25" customHeight="1" s="192">
      <c r="W39586" s="239" t="n"/>
      <c r="X39586" s="239" t="n"/>
    </row>
    <row r="39587" ht="14.25" customHeight="1" s="192">
      <c r="W39587" s="239" t="n"/>
      <c r="X39587" s="239" t="n"/>
    </row>
    <row r="39588" ht="14.25" customHeight="1" s="192">
      <c r="W39588" s="239" t="n"/>
      <c r="X39588" s="239" t="n"/>
    </row>
    <row r="39589" ht="14.25" customHeight="1" s="192">
      <c r="W39589" s="235" t="n"/>
      <c r="X39589" s="235" t="n"/>
    </row>
    <row r="39590" ht="14.25" customHeight="1" s="192">
      <c r="W39590" s="235" t="n"/>
      <c r="X39590" s="235" t="n"/>
    </row>
    <row r="39591" ht="14.25" customHeight="1" s="192">
      <c r="W39591" s="235" t="n"/>
      <c r="X39591" s="235" t="n"/>
    </row>
    <row r="39592" ht="14.25" customHeight="1" s="192">
      <c r="W39592" s="239" t="n"/>
      <c r="X39592" s="239" t="n"/>
    </row>
    <row r="39593" ht="14.25" customHeight="1" s="192">
      <c r="W39593" s="239" t="n"/>
      <c r="X39593" s="239" t="n"/>
    </row>
    <row r="39594" ht="14.25" customHeight="1" s="192">
      <c r="W39594" s="235" t="n"/>
      <c r="X39594" s="235" t="n"/>
    </row>
    <row r="39595" ht="14.25" customHeight="1" s="192">
      <c r="W39595" s="235" t="n"/>
      <c r="X39595" s="235" t="n"/>
    </row>
    <row r="39596" ht="14.25" customHeight="1" s="192">
      <c r="W39596" s="239" t="n"/>
      <c r="X39596" s="239" t="n"/>
    </row>
    <row r="39597" ht="14.25" customHeight="1" s="192">
      <c r="W39597" s="235" t="n"/>
      <c r="X39597" s="235" t="n"/>
    </row>
    <row r="39598" ht="14.25" customHeight="1" s="192">
      <c r="W39598" s="239" t="n"/>
      <c r="X39598" s="239" t="n"/>
    </row>
    <row r="39600" ht="14.25" customHeight="1" s="192">
      <c r="W39600" s="235" t="n"/>
      <c r="X39600" s="235" t="n"/>
    </row>
    <row r="39601" ht="15" customHeight="1" s="192" thickBot="1">
      <c r="W39601" s="239" t="n"/>
      <c r="X39601" s="239" t="n"/>
    </row>
    <row r="39602" ht="15" customHeight="1" s="192" thickBot="1">
      <c r="W39602" s="45" t="n"/>
      <c r="X39602" s="45" t="n"/>
    </row>
    <row r="39603" ht="14.25" customHeight="1" s="192">
      <c r="W39603" s="228" t="n"/>
      <c r="X39603" s="228" t="n"/>
    </row>
    <row r="39604" ht="14.25" customHeight="1" s="192">
      <c r="W39604" s="228" t="n"/>
      <c r="X39604" s="228" t="n"/>
    </row>
    <row r="39605" ht="14.25" customHeight="1" s="192">
      <c r="W39605" s="231" t="n"/>
      <c r="X39605" s="231" t="n"/>
    </row>
    <row r="39606" ht="14.25" customHeight="1" s="192">
      <c r="W39606" s="33" t="n"/>
      <c r="X39606" s="33" t="n"/>
    </row>
    <row r="39607" ht="14.25" customHeight="1" s="192">
      <c r="W39607" s="231" t="n"/>
      <c r="X39607" s="231" t="n"/>
    </row>
    <row r="39608" ht="14.25" customHeight="1" s="192">
      <c r="W39608" s="33" t="n"/>
      <c r="X39608" s="33" t="n"/>
    </row>
    <row r="39610" ht="14.25" customHeight="1" s="192">
      <c r="W39610" s="231" t="n"/>
      <c r="X39610" s="231" t="n"/>
    </row>
    <row r="39611" ht="14.25" customHeight="1" s="192">
      <c r="W39611" s="235" t="n"/>
      <c r="X39611" s="235" t="n"/>
    </row>
    <row r="39612" ht="14.25" customHeight="1" s="192">
      <c r="W39612" s="228" t="n"/>
      <c r="X39612" s="228" t="n"/>
    </row>
    <row r="39613" ht="14.25" customHeight="1" s="192">
      <c r="W39613" s="235" t="n"/>
      <c r="X39613" s="235" t="n"/>
    </row>
    <row r="39614" ht="14.25" customHeight="1" s="192">
      <c r="W39614" s="235" t="n"/>
      <c r="X39614" s="235" t="n"/>
    </row>
    <row r="39615" ht="14.25" customHeight="1" s="192">
      <c r="W39615" s="235" t="n"/>
      <c r="X39615" s="235" t="n"/>
    </row>
    <row r="39616" ht="14.25" customHeight="1" s="192">
      <c r="W39616" s="239" t="n"/>
      <c r="X39616" s="239" t="n"/>
    </row>
    <row r="39617" ht="14.25" customHeight="1" s="192">
      <c r="W39617" s="239" t="n"/>
      <c r="X39617" s="239" t="n"/>
    </row>
    <row r="39618" ht="14.25" customHeight="1" s="192">
      <c r="W39618" s="239" t="n"/>
      <c r="X39618" s="239" t="n"/>
    </row>
    <row r="39619" ht="14.25" customHeight="1" s="192">
      <c r="W39619" s="235" t="n"/>
      <c r="X39619" s="235" t="n"/>
    </row>
    <row r="39620" ht="14.25" customHeight="1" s="192">
      <c r="W39620" s="235" t="n"/>
      <c r="X39620" s="235" t="n"/>
    </row>
    <row r="39621" ht="14.25" customHeight="1" s="192">
      <c r="W39621" s="235" t="n"/>
      <c r="X39621" s="235" t="n"/>
    </row>
    <row r="39622" ht="14.25" customHeight="1" s="192">
      <c r="W39622" s="239" t="n"/>
      <c r="X39622" s="239" t="n"/>
    </row>
    <row r="39623" ht="14.25" customHeight="1" s="192">
      <c r="W39623" s="239" t="n"/>
      <c r="X39623" s="239" t="n"/>
    </row>
    <row r="39624" ht="14.25" customHeight="1" s="192">
      <c r="W39624" s="235" t="n"/>
      <c r="X39624" s="235" t="n"/>
    </row>
    <row r="39625" ht="14.25" customHeight="1" s="192">
      <c r="W39625" s="235" t="n"/>
      <c r="X39625" s="235" t="n"/>
    </row>
    <row r="39626" ht="14.25" customHeight="1" s="192">
      <c r="W39626" s="239" t="n"/>
      <c r="X39626" s="239" t="n"/>
    </row>
    <row r="39627" ht="14.25" customHeight="1" s="192">
      <c r="W39627" s="235" t="n"/>
      <c r="X39627" s="235" t="n"/>
    </row>
    <row r="39628" ht="14.25" customHeight="1" s="192">
      <c r="W39628" s="239" t="n"/>
      <c r="X39628" s="239" t="n"/>
    </row>
    <row r="39630" ht="14.25" customHeight="1" s="192">
      <c r="W39630" s="235" t="n"/>
      <c r="X39630" s="235" t="n"/>
    </row>
    <row r="39631" ht="15" customHeight="1" s="192" thickBot="1">
      <c r="W39631" s="239" t="n"/>
      <c r="X39631" s="239" t="n"/>
    </row>
    <row r="39632" ht="15" customHeight="1" s="192" thickBot="1">
      <c r="W39632" s="45" t="n"/>
      <c r="X39632" s="45" t="n"/>
    </row>
    <row r="39633" ht="14.25" customHeight="1" s="192">
      <c r="W39633" s="228" t="n"/>
      <c r="X39633" s="228" t="n"/>
    </row>
    <row r="39634" ht="14.25" customHeight="1" s="192">
      <c r="W39634" s="228" t="n"/>
      <c r="X39634" s="228" t="n"/>
    </row>
    <row r="39635" ht="14.25" customHeight="1" s="192">
      <c r="W39635" s="231" t="n"/>
      <c r="X39635" s="231" t="n"/>
    </row>
    <row r="39636" ht="14.25" customHeight="1" s="192">
      <c r="W39636" s="33" t="n"/>
      <c r="X39636" s="33" t="n"/>
    </row>
    <row r="39637" ht="14.25" customHeight="1" s="192">
      <c r="W39637" s="231" t="n"/>
      <c r="X39637" s="231" t="n"/>
    </row>
    <row r="39638" ht="14.25" customHeight="1" s="192">
      <c r="W39638" s="33" t="n"/>
      <c r="X39638" s="33" t="n"/>
    </row>
    <row r="39640" ht="14.25" customHeight="1" s="192">
      <c r="W39640" s="231" t="n"/>
      <c r="X39640" s="231" t="n"/>
    </row>
    <row r="39641" ht="14.25" customHeight="1" s="192">
      <c r="W39641" s="235" t="n"/>
      <c r="X39641" s="235" t="n"/>
    </row>
    <row r="39642" ht="14.25" customHeight="1" s="192">
      <c r="W39642" s="228" t="n"/>
      <c r="X39642" s="228" t="n"/>
    </row>
    <row r="39643" ht="14.25" customHeight="1" s="192">
      <c r="W39643" s="235" t="n"/>
      <c r="X39643" s="235" t="n"/>
    </row>
    <row r="39644" ht="14.25" customHeight="1" s="192">
      <c r="W39644" s="235" t="n"/>
      <c r="X39644" s="235" t="n"/>
    </row>
    <row r="39645" ht="14.25" customHeight="1" s="192">
      <c r="W39645" s="235" t="n"/>
      <c r="X39645" s="235" t="n"/>
    </row>
    <row r="39646" ht="14.25" customHeight="1" s="192">
      <c r="W39646" s="239" t="n"/>
      <c r="X39646" s="239" t="n"/>
    </row>
    <row r="39647" ht="14.25" customHeight="1" s="192">
      <c r="W39647" s="239" t="n"/>
      <c r="X39647" s="239" t="n"/>
    </row>
    <row r="39648" ht="14.25" customHeight="1" s="192">
      <c r="W39648" s="239" t="n"/>
      <c r="X39648" s="239" t="n"/>
    </row>
    <row r="39649" ht="14.25" customHeight="1" s="192">
      <c r="W39649" s="235" t="n"/>
      <c r="X39649" s="235" t="n"/>
    </row>
    <row r="39650" ht="14.25" customHeight="1" s="192">
      <c r="W39650" s="235" t="n"/>
      <c r="X39650" s="235" t="n"/>
    </row>
    <row r="39651" ht="14.25" customHeight="1" s="192">
      <c r="W39651" s="235" t="n"/>
      <c r="X39651" s="235" t="n"/>
    </row>
    <row r="39652" ht="14.25" customHeight="1" s="192">
      <c r="W39652" s="239" t="n"/>
      <c r="X39652" s="239" t="n"/>
    </row>
    <row r="39653" ht="14.25" customHeight="1" s="192">
      <c r="W39653" s="239" t="n"/>
      <c r="X39653" s="239" t="n"/>
    </row>
    <row r="39654" ht="14.25" customHeight="1" s="192">
      <c r="W39654" s="235" t="n"/>
      <c r="X39654" s="235" t="n"/>
    </row>
    <row r="39655" ht="14.25" customHeight="1" s="192">
      <c r="W39655" s="235" t="n"/>
      <c r="X39655" s="235" t="n"/>
    </row>
    <row r="39656" ht="14.25" customHeight="1" s="192">
      <c r="W39656" s="239" t="n"/>
      <c r="X39656" s="239" t="n"/>
    </row>
    <row r="39657" ht="14.25" customHeight="1" s="192">
      <c r="W39657" s="235" t="n"/>
      <c r="X39657" s="235" t="n"/>
    </row>
    <row r="39658" ht="14.25" customHeight="1" s="192">
      <c r="W39658" s="239" t="n"/>
      <c r="X39658" s="239" t="n"/>
    </row>
    <row r="39660" ht="14.25" customHeight="1" s="192">
      <c r="W39660" s="235" t="n"/>
      <c r="X39660" s="235" t="n"/>
    </row>
    <row r="39661" ht="15" customHeight="1" s="192" thickBot="1">
      <c r="W39661" s="239" t="n"/>
      <c r="X39661" s="239" t="n"/>
    </row>
    <row r="39662" ht="15" customHeight="1" s="192" thickBot="1">
      <c r="W39662" s="45" t="n"/>
      <c r="X39662" s="45" t="n"/>
    </row>
    <row r="39663" ht="14.25" customHeight="1" s="192">
      <c r="W39663" s="228" t="n"/>
      <c r="X39663" s="228" t="n"/>
    </row>
    <row r="39664" ht="14.25" customHeight="1" s="192">
      <c r="W39664" s="228" t="n"/>
      <c r="X39664" s="228" t="n"/>
    </row>
    <row r="39665" ht="14.25" customHeight="1" s="192">
      <c r="W39665" s="231" t="n"/>
      <c r="X39665" s="231" t="n"/>
    </row>
    <row r="39666" ht="14.25" customHeight="1" s="192">
      <c r="W39666" s="33" t="n"/>
      <c r="X39666" s="33" t="n"/>
    </row>
    <row r="39667" ht="14.25" customHeight="1" s="192">
      <c r="W39667" s="231" t="n"/>
      <c r="X39667" s="231" t="n"/>
    </row>
    <row r="39668" ht="14.25" customHeight="1" s="192">
      <c r="W39668" s="33" t="n"/>
      <c r="X39668" s="33" t="n"/>
    </row>
    <row r="39670" ht="14.25" customHeight="1" s="192">
      <c r="W39670" s="231" t="n"/>
      <c r="X39670" s="231" t="n"/>
    </row>
    <row r="39671" ht="14.25" customHeight="1" s="192">
      <c r="W39671" s="235" t="n"/>
      <c r="X39671" s="235" t="n"/>
    </row>
    <row r="39672" ht="14.25" customHeight="1" s="192">
      <c r="W39672" s="228" t="n"/>
      <c r="X39672" s="228" t="n"/>
    </row>
    <row r="39673" ht="14.25" customHeight="1" s="192">
      <c r="W39673" s="235" t="n"/>
      <c r="X39673" s="235" t="n"/>
    </row>
    <row r="39674" ht="14.25" customHeight="1" s="192">
      <c r="W39674" s="235" t="n"/>
      <c r="X39674" s="235" t="n"/>
    </row>
    <row r="39675" ht="14.25" customHeight="1" s="192">
      <c r="W39675" s="235" t="n"/>
      <c r="X39675" s="235" t="n"/>
    </row>
    <row r="39676" ht="14.25" customHeight="1" s="192">
      <c r="W39676" s="239" t="n"/>
      <c r="X39676" s="239" t="n"/>
    </row>
    <row r="39677" ht="14.25" customHeight="1" s="192">
      <c r="W39677" s="239" t="n"/>
      <c r="X39677" s="239" t="n"/>
    </row>
    <row r="39678" ht="14.25" customHeight="1" s="192">
      <c r="W39678" s="239" t="n"/>
      <c r="X39678" s="239" t="n"/>
    </row>
    <row r="39679" ht="14.25" customHeight="1" s="192">
      <c r="W39679" s="235" t="n"/>
      <c r="X39679" s="235" t="n"/>
    </row>
    <row r="39680" ht="14.25" customHeight="1" s="192">
      <c r="W39680" s="235" t="n"/>
      <c r="X39680" s="235" t="n"/>
    </row>
    <row r="39681" ht="14.25" customHeight="1" s="192">
      <c r="W39681" s="235" t="n"/>
      <c r="X39681" s="235" t="n"/>
    </row>
    <row r="39682" ht="14.25" customHeight="1" s="192">
      <c r="W39682" s="239" t="n"/>
      <c r="X39682" s="239" t="n"/>
    </row>
    <row r="39683" ht="14.25" customHeight="1" s="192">
      <c r="W39683" s="239" t="n"/>
      <c r="X39683" s="239" t="n"/>
    </row>
    <row r="39684" ht="14.25" customHeight="1" s="192">
      <c r="W39684" s="235" t="n"/>
      <c r="X39684" s="235" t="n"/>
    </row>
    <row r="39685" ht="14.25" customHeight="1" s="192">
      <c r="W39685" s="235" t="n"/>
      <c r="X39685" s="235" t="n"/>
    </row>
    <row r="39686" ht="14.25" customHeight="1" s="192">
      <c r="W39686" s="239" t="n"/>
      <c r="X39686" s="239" t="n"/>
    </row>
    <row r="39687" ht="14.25" customHeight="1" s="192">
      <c r="W39687" s="235" t="n"/>
      <c r="X39687" s="235" t="n"/>
    </row>
    <row r="39688" ht="14.25" customHeight="1" s="192">
      <c r="W39688" s="239" t="n"/>
      <c r="X39688" s="239" t="n"/>
    </row>
    <row r="39690" ht="14.25" customHeight="1" s="192">
      <c r="W39690" s="235" t="n"/>
      <c r="X39690" s="235" t="n"/>
    </row>
    <row r="39691" ht="15" customHeight="1" s="192" thickBot="1">
      <c r="W39691" s="239" t="n"/>
      <c r="X39691" s="239" t="n"/>
    </row>
    <row r="39692" ht="15" customHeight="1" s="192" thickBot="1">
      <c r="W39692" s="45" t="n"/>
      <c r="X39692" s="45" t="n"/>
    </row>
    <row r="39693" ht="14.25" customHeight="1" s="192">
      <c r="W39693" s="228" t="n"/>
      <c r="X39693" s="228" t="n"/>
    </row>
    <row r="39694" ht="14.25" customHeight="1" s="192">
      <c r="W39694" s="228" t="n"/>
      <c r="X39694" s="228" t="n"/>
    </row>
    <row r="39695" ht="14.25" customHeight="1" s="192">
      <c r="W39695" s="231" t="n"/>
      <c r="X39695" s="231" t="n"/>
    </row>
    <row r="39696" ht="14.25" customHeight="1" s="192">
      <c r="W39696" s="33" t="n"/>
      <c r="X39696" s="33" t="n"/>
    </row>
    <row r="39697" ht="14.25" customHeight="1" s="192">
      <c r="W39697" s="231" t="n"/>
      <c r="X39697" s="231" t="n"/>
    </row>
    <row r="39698" ht="14.25" customHeight="1" s="192">
      <c r="W39698" s="33" t="n"/>
      <c r="X39698" s="33" t="n"/>
    </row>
    <row r="39700" ht="14.25" customHeight="1" s="192">
      <c r="W39700" s="231" t="n"/>
      <c r="X39700" s="231" t="n"/>
    </row>
    <row r="39701" ht="14.25" customHeight="1" s="192">
      <c r="W39701" s="235" t="n"/>
      <c r="X39701" s="235" t="n"/>
    </row>
    <row r="39702" ht="14.25" customHeight="1" s="192">
      <c r="W39702" s="228" t="n"/>
      <c r="X39702" s="228" t="n"/>
    </row>
    <row r="39703" ht="14.25" customHeight="1" s="192">
      <c r="W39703" s="235" t="n"/>
      <c r="X39703" s="235" t="n"/>
    </row>
    <row r="39704" ht="14.25" customHeight="1" s="192">
      <c r="W39704" s="235" t="n"/>
      <c r="X39704" s="235" t="n"/>
    </row>
    <row r="39705" ht="14.25" customHeight="1" s="192">
      <c r="W39705" s="235" t="n"/>
      <c r="X39705" s="235" t="n"/>
    </row>
    <row r="39706" ht="14.25" customHeight="1" s="192">
      <c r="W39706" s="239" t="n"/>
      <c r="X39706" s="239" t="n"/>
    </row>
    <row r="39707" ht="14.25" customHeight="1" s="192">
      <c r="W39707" s="239" t="n"/>
      <c r="X39707" s="239" t="n"/>
    </row>
    <row r="39708" ht="14.25" customHeight="1" s="192">
      <c r="W39708" s="239" t="n"/>
      <c r="X39708" s="239" t="n"/>
    </row>
    <row r="39709" ht="14.25" customHeight="1" s="192">
      <c r="W39709" s="235" t="n"/>
      <c r="X39709" s="235" t="n"/>
    </row>
    <row r="39710" ht="14.25" customHeight="1" s="192">
      <c r="W39710" s="235" t="n"/>
      <c r="X39710" s="235" t="n"/>
    </row>
    <row r="39711" ht="14.25" customHeight="1" s="192">
      <c r="W39711" s="235" t="n"/>
      <c r="X39711" s="235" t="n"/>
    </row>
    <row r="39712" ht="14.25" customHeight="1" s="192">
      <c r="W39712" s="239" t="n"/>
      <c r="X39712" s="239" t="n"/>
    </row>
    <row r="39713" ht="14.25" customHeight="1" s="192">
      <c r="W39713" s="239" t="n"/>
      <c r="X39713" s="239" t="n"/>
    </row>
    <row r="39714" ht="14.25" customHeight="1" s="192">
      <c r="W39714" s="235" t="n"/>
      <c r="X39714" s="235" t="n"/>
    </row>
    <row r="39715" ht="14.25" customHeight="1" s="192">
      <c r="W39715" s="235" t="n"/>
      <c r="X39715" s="235" t="n"/>
    </row>
    <row r="39716" ht="14.25" customHeight="1" s="192">
      <c r="W39716" s="239" t="n"/>
      <c r="X39716" s="239" t="n"/>
    </row>
    <row r="39717" ht="14.25" customHeight="1" s="192">
      <c r="W39717" s="235" t="n"/>
      <c r="X39717" s="235" t="n"/>
    </row>
    <row r="39718" ht="14.25" customHeight="1" s="192">
      <c r="W39718" s="239" t="n"/>
      <c r="X39718" s="239" t="n"/>
    </row>
    <row r="39720" ht="14.25" customHeight="1" s="192">
      <c r="W39720" s="235" t="n"/>
      <c r="X39720" s="235" t="n"/>
    </row>
    <row r="39721" ht="15" customHeight="1" s="192" thickBot="1">
      <c r="W39721" s="239" t="n"/>
      <c r="X39721" s="239" t="n"/>
    </row>
    <row r="39722" ht="15" customHeight="1" s="192" thickBot="1">
      <c r="W39722" s="45" t="n"/>
      <c r="X39722" s="45" t="n"/>
    </row>
    <row r="39723" ht="14.25" customHeight="1" s="192">
      <c r="W39723" s="228" t="n"/>
      <c r="X39723" s="228" t="n"/>
    </row>
    <row r="39724" ht="14.25" customHeight="1" s="192">
      <c r="W39724" s="228" t="n"/>
      <c r="X39724" s="228" t="n"/>
    </row>
    <row r="39725" ht="14.25" customHeight="1" s="192">
      <c r="W39725" s="231" t="n"/>
      <c r="X39725" s="231" t="n"/>
    </row>
    <row r="39726" ht="14.25" customHeight="1" s="192">
      <c r="W39726" s="33" t="n"/>
      <c r="X39726" s="33" t="n"/>
    </row>
    <row r="39727" ht="14.25" customHeight="1" s="192">
      <c r="W39727" s="231" t="n"/>
      <c r="X39727" s="231" t="n"/>
    </row>
    <row r="39728" ht="14.25" customHeight="1" s="192">
      <c r="W39728" s="33" t="n"/>
      <c r="X39728" s="33" t="n"/>
    </row>
    <row r="39730" ht="14.25" customHeight="1" s="192">
      <c r="W39730" s="231" t="n"/>
      <c r="X39730" s="231" t="n"/>
    </row>
    <row r="39731" ht="14.25" customHeight="1" s="192">
      <c r="W39731" s="235" t="n"/>
      <c r="X39731" s="235" t="n"/>
    </row>
    <row r="39732" ht="14.25" customHeight="1" s="192">
      <c r="W39732" s="228" t="n"/>
      <c r="X39732" s="228" t="n"/>
    </row>
    <row r="39733" ht="14.25" customHeight="1" s="192">
      <c r="W39733" s="235" t="n"/>
      <c r="X39733" s="235" t="n"/>
    </row>
    <row r="39734" ht="14.25" customHeight="1" s="192">
      <c r="W39734" s="235" t="n"/>
      <c r="X39734" s="235" t="n"/>
    </row>
    <row r="39735" ht="14.25" customHeight="1" s="192">
      <c r="W39735" s="235" t="n"/>
      <c r="X39735" s="235" t="n"/>
    </row>
    <row r="39736" ht="14.25" customHeight="1" s="192">
      <c r="W39736" s="239" t="n"/>
      <c r="X39736" s="239" t="n"/>
    </row>
    <row r="39737" ht="14.25" customHeight="1" s="192">
      <c r="W39737" s="239" t="n"/>
      <c r="X39737" s="239" t="n"/>
    </row>
    <row r="39738" ht="14.25" customHeight="1" s="192">
      <c r="W39738" s="239" t="n"/>
      <c r="X39738" s="239" t="n"/>
    </row>
    <row r="39739" ht="14.25" customHeight="1" s="192">
      <c r="W39739" s="235" t="n"/>
      <c r="X39739" s="235" t="n"/>
    </row>
    <row r="39740" ht="14.25" customHeight="1" s="192">
      <c r="W39740" s="235" t="n"/>
      <c r="X39740" s="235" t="n"/>
    </row>
    <row r="39741" ht="14.25" customHeight="1" s="192">
      <c r="W39741" s="235" t="n"/>
      <c r="X39741" s="235" t="n"/>
    </row>
    <row r="39742" ht="14.25" customHeight="1" s="192">
      <c r="W39742" s="239" t="n"/>
      <c r="X39742" s="239" t="n"/>
    </row>
    <row r="39743" ht="14.25" customHeight="1" s="192">
      <c r="W39743" s="239" t="n"/>
      <c r="X39743" s="239" t="n"/>
    </row>
    <row r="39744" ht="14.25" customHeight="1" s="192">
      <c r="W39744" s="235" t="n"/>
      <c r="X39744" s="235" t="n"/>
    </row>
    <row r="39745" ht="14.25" customHeight="1" s="192">
      <c r="W39745" s="235" t="n"/>
      <c r="X39745" s="235" t="n"/>
    </row>
    <row r="39746" ht="14.25" customHeight="1" s="192">
      <c r="W39746" s="239" t="n"/>
      <c r="X39746" s="239" t="n"/>
    </row>
    <row r="39747" ht="14.25" customHeight="1" s="192">
      <c r="W39747" s="235" t="n"/>
      <c r="X39747" s="235" t="n"/>
    </row>
    <row r="39748" ht="14.25" customHeight="1" s="192">
      <c r="W39748" s="239" t="n"/>
      <c r="X39748" s="239" t="n"/>
    </row>
    <row r="39750" ht="14.25" customHeight="1" s="192">
      <c r="W39750" s="235" t="n"/>
      <c r="X39750" s="235" t="n"/>
    </row>
    <row r="39751" ht="15" customHeight="1" s="192" thickBot="1">
      <c r="W39751" s="239" t="n"/>
      <c r="X39751" s="239" t="n"/>
    </row>
    <row r="39752" ht="15" customHeight="1" s="192" thickBot="1">
      <c r="W39752" s="45" t="n"/>
      <c r="X39752" s="45" t="n"/>
    </row>
    <row r="39753" ht="14.25" customHeight="1" s="192">
      <c r="W39753" s="228" t="n"/>
      <c r="X39753" s="228" t="n"/>
    </row>
    <row r="39754" ht="14.25" customHeight="1" s="192">
      <c r="W39754" s="228" t="n"/>
      <c r="X39754" s="228" t="n"/>
    </row>
    <row r="39755" ht="14.25" customHeight="1" s="192">
      <c r="W39755" s="231" t="n"/>
      <c r="X39755" s="231" t="n"/>
    </row>
    <row r="39756" ht="14.25" customHeight="1" s="192">
      <c r="W39756" s="33" t="n"/>
      <c r="X39756" s="33" t="n"/>
    </row>
    <row r="39757" ht="14.25" customHeight="1" s="192">
      <c r="W39757" s="231" t="n"/>
      <c r="X39757" s="231" t="n"/>
    </row>
    <row r="39758" ht="14.25" customHeight="1" s="192">
      <c r="W39758" s="33" t="n"/>
      <c r="X39758" s="33" t="n"/>
    </row>
    <row r="39760" ht="14.25" customHeight="1" s="192">
      <c r="W39760" s="231" t="n"/>
      <c r="X39760" s="231" t="n"/>
    </row>
    <row r="39761" ht="14.25" customHeight="1" s="192">
      <c r="W39761" s="235" t="n"/>
      <c r="X39761" s="235" t="n"/>
    </row>
    <row r="39762" ht="14.25" customHeight="1" s="192">
      <c r="W39762" s="228" t="n"/>
      <c r="X39762" s="228" t="n"/>
    </row>
    <row r="39763" ht="14.25" customHeight="1" s="192">
      <c r="W39763" s="235" t="n"/>
      <c r="X39763" s="235" t="n"/>
    </row>
    <row r="39764" ht="14.25" customHeight="1" s="192">
      <c r="W39764" s="235" t="n"/>
      <c r="X39764" s="235" t="n"/>
    </row>
    <row r="39765" ht="14.25" customHeight="1" s="192">
      <c r="W39765" s="235" t="n"/>
      <c r="X39765" s="235" t="n"/>
    </row>
    <row r="39766" ht="14.25" customHeight="1" s="192">
      <c r="W39766" s="239" t="n"/>
      <c r="X39766" s="239" t="n"/>
    </row>
    <row r="39767" ht="14.25" customHeight="1" s="192">
      <c r="W39767" s="239" t="n"/>
      <c r="X39767" s="239" t="n"/>
    </row>
    <row r="39768" ht="14.25" customHeight="1" s="192">
      <c r="W39768" s="239" t="n"/>
      <c r="X39768" s="239" t="n"/>
    </row>
    <row r="39769" ht="14.25" customHeight="1" s="192">
      <c r="W39769" s="235" t="n"/>
      <c r="X39769" s="235" t="n"/>
    </row>
    <row r="39770" ht="14.25" customHeight="1" s="192">
      <c r="W39770" s="235" t="n"/>
      <c r="X39770" s="235" t="n"/>
    </row>
    <row r="39771" ht="14.25" customHeight="1" s="192">
      <c r="W39771" s="235" t="n"/>
      <c r="X39771" s="235" t="n"/>
    </row>
    <row r="39772" ht="14.25" customHeight="1" s="192">
      <c r="W39772" s="239" t="n"/>
      <c r="X39772" s="239" t="n"/>
    </row>
    <row r="39773" ht="14.25" customHeight="1" s="192">
      <c r="W39773" s="239" t="n"/>
      <c r="X39773" s="239" t="n"/>
    </row>
    <row r="39774" ht="14.25" customHeight="1" s="192">
      <c r="W39774" s="235" t="n"/>
      <c r="X39774" s="235" t="n"/>
    </row>
    <row r="39775" ht="14.25" customHeight="1" s="192">
      <c r="W39775" s="235" t="n"/>
      <c r="X39775" s="235" t="n"/>
    </row>
    <row r="39776" ht="14.25" customHeight="1" s="192">
      <c r="W39776" s="239" t="n"/>
      <c r="X39776" s="239" t="n"/>
    </row>
    <row r="39777" ht="14.25" customHeight="1" s="192">
      <c r="W39777" s="235" t="n"/>
      <c r="X39777" s="235" t="n"/>
    </row>
    <row r="39778" ht="14.25" customHeight="1" s="192">
      <c r="W39778" s="239" t="n"/>
      <c r="X39778" s="239" t="n"/>
    </row>
    <row r="39780" ht="14.25" customHeight="1" s="192">
      <c r="W39780" s="235" t="n"/>
      <c r="X39780" s="235" t="n"/>
    </row>
    <row r="39781" ht="15" customHeight="1" s="192" thickBot="1">
      <c r="W39781" s="239" t="n"/>
      <c r="X39781" s="239" t="n"/>
    </row>
    <row r="39782" ht="15" customHeight="1" s="192" thickBot="1">
      <c r="W39782" s="45" t="n"/>
      <c r="X39782" s="45" t="n"/>
    </row>
    <row r="39783" ht="14.25" customHeight="1" s="192">
      <c r="W39783" s="228" t="n"/>
      <c r="X39783" s="228" t="n"/>
    </row>
    <row r="39784" ht="14.25" customHeight="1" s="192">
      <c r="W39784" s="228" t="n"/>
      <c r="X39784" s="228" t="n"/>
    </row>
    <row r="39785" ht="14.25" customHeight="1" s="192">
      <c r="W39785" s="231" t="n"/>
      <c r="X39785" s="231" t="n"/>
    </row>
    <row r="39786" ht="14.25" customHeight="1" s="192">
      <c r="W39786" s="33" t="n"/>
      <c r="X39786" s="33" t="n"/>
    </row>
    <row r="39787" ht="14.25" customHeight="1" s="192">
      <c r="W39787" s="231" t="n"/>
      <c r="X39787" s="231" t="n"/>
    </row>
    <row r="39788" ht="14.25" customHeight="1" s="192">
      <c r="W39788" s="33" t="n"/>
      <c r="X39788" s="33" t="n"/>
    </row>
    <row r="39790" ht="14.25" customHeight="1" s="192">
      <c r="W39790" s="231" t="n"/>
      <c r="X39790" s="231" t="n"/>
    </row>
    <row r="39791" ht="14.25" customHeight="1" s="192">
      <c r="W39791" s="235" t="n"/>
      <c r="X39791" s="235" t="n"/>
    </row>
    <row r="39792" ht="14.25" customHeight="1" s="192">
      <c r="W39792" s="228" t="n"/>
      <c r="X39792" s="228" t="n"/>
    </row>
    <row r="39793" ht="14.25" customHeight="1" s="192">
      <c r="W39793" s="235" t="n"/>
      <c r="X39793" s="235" t="n"/>
    </row>
    <row r="39794" ht="14.25" customHeight="1" s="192">
      <c r="W39794" s="235" t="n"/>
      <c r="X39794" s="235" t="n"/>
    </row>
    <row r="39795" ht="14.25" customHeight="1" s="192">
      <c r="W39795" s="235" t="n"/>
      <c r="X39795" s="235" t="n"/>
    </row>
    <row r="39796" ht="14.25" customHeight="1" s="192">
      <c r="W39796" s="239" t="n"/>
      <c r="X39796" s="239" t="n"/>
    </row>
    <row r="39797" ht="14.25" customHeight="1" s="192">
      <c r="W39797" s="239" t="n"/>
      <c r="X39797" s="239" t="n"/>
    </row>
    <row r="39798" ht="14.25" customHeight="1" s="192">
      <c r="W39798" s="239" t="n"/>
      <c r="X39798" s="239" t="n"/>
    </row>
    <row r="39799" ht="14.25" customHeight="1" s="192">
      <c r="W39799" s="235" t="n"/>
      <c r="X39799" s="235" t="n"/>
    </row>
    <row r="39800" ht="14.25" customHeight="1" s="192">
      <c r="W39800" s="235" t="n"/>
      <c r="X39800" s="235" t="n"/>
    </row>
    <row r="39801" ht="14.25" customHeight="1" s="192">
      <c r="W39801" s="235" t="n"/>
      <c r="X39801" s="235" t="n"/>
    </row>
    <row r="39802" ht="14.25" customHeight="1" s="192">
      <c r="W39802" s="239" t="n"/>
      <c r="X39802" s="239" t="n"/>
    </row>
    <row r="39803" ht="14.25" customHeight="1" s="192">
      <c r="W39803" s="239" t="n"/>
      <c r="X39803" s="239" t="n"/>
    </row>
    <row r="39804" ht="14.25" customHeight="1" s="192">
      <c r="W39804" s="235" t="n"/>
      <c r="X39804" s="235" t="n"/>
    </row>
    <row r="39805" ht="14.25" customHeight="1" s="192">
      <c r="W39805" s="235" t="n"/>
      <c r="X39805" s="235" t="n"/>
    </row>
    <row r="39806" ht="14.25" customHeight="1" s="192">
      <c r="W39806" s="239" t="n"/>
      <c r="X39806" s="239" t="n"/>
    </row>
    <row r="39807" ht="14.25" customHeight="1" s="192">
      <c r="W39807" s="235" t="n"/>
      <c r="X39807" s="235" t="n"/>
    </row>
    <row r="39808" ht="14.25" customHeight="1" s="192">
      <c r="W39808" s="239" t="n"/>
      <c r="X39808" s="239" t="n"/>
    </row>
    <row r="39810" ht="14.25" customHeight="1" s="192">
      <c r="W39810" s="235" t="n"/>
      <c r="X39810" s="235" t="n"/>
    </row>
    <row r="39811" ht="15" customHeight="1" s="192" thickBot="1">
      <c r="W39811" s="239" t="n"/>
      <c r="X39811" s="239" t="n"/>
    </row>
    <row r="39812" ht="15" customHeight="1" s="192" thickBot="1">
      <c r="W39812" s="45" t="n"/>
      <c r="X39812" s="45" t="n"/>
    </row>
    <row r="39813" ht="14.25" customHeight="1" s="192">
      <c r="W39813" s="228" t="n"/>
      <c r="X39813" s="228" t="n"/>
    </row>
    <row r="39814" ht="14.25" customHeight="1" s="192">
      <c r="W39814" s="228" t="n"/>
      <c r="X39814" s="228" t="n"/>
    </row>
    <row r="39815" ht="14.25" customHeight="1" s="192">
      <c r="W39815" s="231" t="n"/>
      <c r="X39815" s="231" t="n"/>
    </row>
    <row r="39816" ht="14.25" customHeight="1" s="192">
      <c r="W39816" s="33" t="n"/>
      <c r="X39816" s="33" t="n"/>
    </row>
    <row r="39817" ht="14.25" customHeight="1" s="192">
      <c r="W39817" s="231" t="n"/>
      <c r="X39817" s="231" t="n"/>
    </row>
    <row r="39818" ht="14.25" customHeight="1" s="192">
      <c r="W39818" s="33" t="n"/>
      <c r="X39818" s="33" t="n"/>
    </row>
    <row r="39820" ht="14.25" customHeight="1" s="192">
      <c r="W39820" s="231" t="n"/>
      <c r="X39820" s="231" t="n"/>
    </row>
    <row r="39821" ht="14.25" customHeight="1" s="192">
      <c r="W39821" s="235" t="n"/>
      <c r="X39821" s="235" t="n"/>
    </row>
    <row r="39822" ht="14.25" customHeight="1" s="192">
      <c r="W39822" s="228" t="n"/>
      <c r="X39822" s="228" t="n"/>
    </row>
    <row r="39823" ht="14.25" customHeight="1" s="192">
      <c r="W39823" s="235" t="n"/>
      <c r="X39823" s="235" t="n"/>
    </row>
    <row r="39824" ht="14.25" customHeight="1" s="192">
      <c r="W39824" s="235" t="n"/>
      <c r="X39824" s="235" t="n"/>
    </row>
    <row r="39825" ht="14.25" customHeight="1" s="192">
      <c r="W39825" s="235" t="n"/>
      <c r="X39825" s="235" t="n"/>
    </row>
    <row r="39826" ht="14.25" customHeight="1" s="192">
      <c r="W39826" s="239" t="n"/>
      <c r="X39826" s="239" t="n"/>
    </row>
    <row r="39827" ht="14.25" customHeight="1" s="192">
      <c r="W39827" s="239" t="n"/>
      <c r="X39827" s="239" t="n"/>
    </row>
    <row r="39828" ht="14.25" customHeight="1" s="192">
      <c r="W39828" s="239" t="n"/>
      <c r="X39828" s="239" t="n"/>
    </row>
    <row r="39829" ht="14.25" customHeight="1" s="192">
      <c r="W39829" s="235" t="n"/>
      <c r="X39829" s="235" t="n"/>
    </row>
    <row r="39830" ht="14.25" customHeight="1" s="192">
      <c r="W39830" s="235" t="n"/>
      <c r="X39830" s="235" t="n"/>
    </row>
    <row r="39831" ht="14.25" customHeight="1" s="192">
      <c r="W39831" s="235" t="n"/>
      <c r="X39831" s="235" t="n"/>
    </row>
    <row r="39832" ht="14.25" customHeight="1" s="192">
      <c r="W39832" s="239" t="n"/>
      <c r="X39832" s="239" t="n"/>
    </row>
    <row r="39833" ht="14.25" customHeight="1" s="192">
      <c r="W39833" s="239" t="n"/>
      <c r="X39833" s="239" t="n"/>
    </row>
    <row r="39834" ht="14.25" customHeight="1" s="192">
      <c r="W39834" s="235" t="n"/>
      <c r="X39834" s="235" t="n"/>
    </row>
    <row r="39835" ht="14.25" customHeight="1" s="192">
      <c r="W39835" s="235" t="n"/>
      <c r="X39835" s="235" t="n"/>
    </row>
    <row r="39836" ht="14.25" customHeight="1" s="192">
      <c r="W39836" s="239" t="n"/>
      <c r="X39836" s="239" t="n"/>
    </row>
    <row r="39837" ht="14.25" customHeight="1" s="192">
      <c r="W39837" s="235" t="n"/>
      <c r="X39837" s="235" t="n"/>
    </row>
    <row r="39838" ht="14.25" customHeight="1" s="192">
      <c r="W39838" s="239" t="n"/>
      <c r="X39838" s="239" t="n"/>
    </row>
    <row r="39840" ht="14.25" customHeight="1" s="192">
      <c r="W39840" s="235" t="n"/>
      <c r="X39840" s="235" t="n"/>
    </row>
    <row r="39841" ht="15" customHeight="1" s="192" thickBot="1">
      <c r="W39841" s="239" t="n"/>
      <c r="X39841" s="239" t="n"/>
    </row>
    <row r="39842" ht="15" customHeight="1" s="192" thickBot="1">
      <c r="W39842" s="45" t="n"/>
      <c r="X39842" s="45" t="n"/>
    </row>
    <row r="39843" ht="14.25" customHeight="1" s="192">
      <c r="W39843" s="228" t="n"/>
      <c r="X39843" s="228" t="n"/>
    </row>
    <row r="39844" ht="14.25" customHeight="1" s="192">
      <c r="W39844" s="228" t="n"/>
      <c r="X39844" s="228" t="n"/>
    </row>
    <row r="39845" ht="14.25" customHeight="1" s="192">
      <c r="W39845" s="231" t="n"/>
      <c r="X39845" s="231" t="n"/>
    </row>
    <row r="39846" ht="14.25" customHeight="1" s="192">
      <c r="W39846" s="33" t="n"/>
      <c r="X39846" s="33" t="n"/>
    </row>
    <row r="39847" ht="14.25" customHeight="1" s="192">
      <c r="W39847" s="231" t="n"/>
      <c r="X39847" s="231" t="n"/>
    </row>
    <row r="39848" ht="14.25" customHeight="1" s="192">
      <c r="W39848" s="33" t="n"/>
      <c r="X39848" s="33" t="n"/>
    </row>
    <row r="39850" ht="14.25" customHeight="1" s="192">
      <c r="W39850" s="231" t="n"/>
      <c r="X39850" s="231" t="n"/>
    </row>
    <row r="39851" ht="14.25" customHeight="1" s="192">
      <c r="W39851" s="235" t="n"/>
      <c r="X39851" s="235" t="n"/>
    </row>
    <row r="39852" ht="14.25" customHeight="1" s="192">
      <c r="W39852" s="228" t="n"/>
      <c r="X39852" s="228" t="n"/>
    </row>
    <row r="39853" ht="14.25" customHeight="1" s="192">
      <c r="W39853" s="235" t="n"/>
      <c r="X39853" s="235" t="n"/>
    </row>
    <row r="39854" ht="14.25" customHeight="1" s="192">
      <c r="W39854" s="235" t="n"/>
      <c r="X39854" s="235" t="n"/>
    </row>
    <row r="39855" ht="14.25" customHeight="1" s="192">
      <c r="W39855" s="235" t="n"/>
      <c r="X39855" s="235" t="n"/>
    </row>
    <row r="39856" ht="14.25" customHeight="1" s="192">
      <c r="W39856" s="239" t="n"/>
      <c r="X39856" s="239" t="n"/>
    </row>
    <row r="39857" ht="14.25" customHeight="1" s="192">
      <c r="W39857" s="239" t="n"/>
      <c r="X39857" s="239" t="n"/>
    </row>
    <row r="39858" ht="14.25" customHeight="1" s="192">
      <c r="W39858" s="239" t="n"/>
      <c r="X39858" s="239" t="n"/>
    </row>
    <row r="39859" ht="14.25" customHeight="1" s="192">
      <c r="W39859" s="235" t="n"/>
      <c r="X39859" s="235" t="n"/>
    </row>
    <row r="39860" ht="14.25" customHeight="1" s="192">
      <c r="W39860" s="235" t="n"/>
      <c r="X39860" s="235" t="n"/>
    </row>
    <row r="39861" ht="14.25" customHeight="1" s="192">
      <c r="W39861" s="235" t="n"/>
      <c r="X39861" s="235" t="n"/>
    </row>
    <row r="39862" ht="14.25" customHeight="1" s="192">
      <c r="W39862" s="239" t="n"/>
      <c r="X39862" s="239" t="n"/>
    </row>
    <row r="39863" ht="14.25" customHeight="1" s="192">
      <c r="W39863" s="239" t="n"/>
      <c r="X39863" s="239" t="n"/>
    </row>
    <row r="39864" ht="14.25" customHeight="1" s="192">
      <c r="W39864" s="235" t="n"/>
      <c r="X39864" s="235" t="n"/>
    </row>
    <row r="39865" ht="14.25" customHeight="1" s="192">
      <c r="W39865" s="235" t="n"/>
      <c r="X39865" s="235" t="n"/>
    </row>
    <row r="39866" ht="14.25" customHeight="1" s="192">
      <c r="W39866" s="239" t="n"/>
      <c r="X39866" s="239" t="n"/>
    </row>
    <row r="39867" ht="14.25" customHeight="1" s="192">
      <c r="W39867" s="235" t="n"/>
      <c r="X39867" s="235" t="n"/>
    </row>
    <row r="39868" ht="14.25" customHeight="1" s="192">
      <c r="W39868" s="239" t="n"/>
      <c r="X39868" s="239" t="n"/>
    </row>
    <row r="39870" ht="14.25" customHeight="1" s="192">
      <c r="W39870" s="235" t="n"/>
      <c r="X39870" s="235" t="n"/>
    </row>
    <row r="39871" ht="15" customHeight="1" s="192" thickBot="1">
      <c r="W39871" s="239" t="n"/>
      <c r="X39871" s="239" t="n"/>
    </row>
    <row r="39872" ht="15" customHeight="1" s="192" thickBot="1">
      <c r="W39872" s="45" t="n"/>
      <c r="X39872" s="45" t="n"/>
    </row>
    <row r="39873" ht="14.25" customHeight="1" s="192">
      <c r="W39873" s="228" t="n"/>
      <c r="X39873" s="228" t="n"/>
    </row>
    <row r="39874" ht="14.25" customHeight="1" s="192">
      <c r="W39874" s="228" t="n"/>
      <c r="X39874" s="228" t="n"/>
    </row>
    <row r="39875" ht="14.25" customHeight="1" s="192">
      <c r="W39875" s="231" t="n"/>
      <c r="X39875" s="231" t="n"/>
    </row>
    <row r="39876" ht="14.25" customHeight="1" s="192">
      <c r="W39876" s="33" t="n"/>
      <c r="X39876" s="33" t="n"/>
    </row>
    <row r="39877" ht="14.25" customHeight="1" s="192">
      <c r="W39877" s="231" t="n"/>
      <c r="X39877" s="231" t="n"/>
    </row>
    <row r="39878" ht="14.25" customHeight="1" s="192">
      <c r="W39878" s="33" t="n"/>
      <c r="X39878" s="33" t="n"/>
    </row>
    <row r="39880" ht="14.25" customHeight="1" s="192">
      <c r="W39880" s="231" t="n"/>
      <c r="X39880" s="231" t="n"/>
    </row>
    <row r="39881" ht="14.25" customHeight="1" s="192">
      <c r="W39881" s="235" t="n"/>
      <c r="X39881" s="235" t="n"/>
    </row>
    <row r="39882" ht="14.25" customHeight="1" s="192">
      <c r="W39882" s="228" t="n"/>
      <c r="X39882" s="228" t="n"/>
    </row>
    <row r="39883" ht="14.25" customHeight="1" s="192">
      <c r="W39883" s="235" t="n"/>
      <c r="X39883" s="235" t="n"/>
    </row>
    <row r="39884" ht="14.25" customHeight="1" s="192">
      <c r="W39884" s="235" t="n"/>
      <c r="X39884" s="235" t="n"/>
    </row>
    <row r="39885" ht="14.25" customHeight="1" s="192">
      <c r="W39885" s="235" t="n"/>
      <c r="X39885" s="235" t="n"/>
    </row>
    <row r="39886" ht="14.25" customHeight="1" s="192">
      <c r="W39886" s="239" t="n"/>
      <c r="X39886" s="239" t="n"/>
    </row>
    <row r="39887" ht="14.25" customHeight="1" s="192">
      <c r="W39887" s="239" t="n"/>
      <c r="X39887" s="239" t="n"/>
    </row>
    <row r="39888" ht="14.25" customHeight="1" s="192">
      <c r="W39888" s="239" t="n"/>
      <c r="X39888" s="239" t="n"/>
    </row>
    <row r="39889" ht="14.25" customHeight="1" s="192">
      <c r="W39889" s="235" t="n"/>
      <c r="X39889" s="235" t="n"/>
    </row>
    <row r="39890" ht="14.25" customHeight="1" s="192">
      <c r="W39890" s="235" t="n"/>
      <c r="X39890" s="235" t="n"/>
    </row>
    <row r="39891" ht="14.25" customHeight="1" s="192">
      <c r="W39891" s="235" t="n"/>
      <c r="X39891" s="235" t="n"/>
    </row>
    <row r="39892" ht="14.25" customHeight="1" s="192">
      <c r="W39892" s="239" t="n"/>
      <c r="X39892" s="239" t="n"/>
    </row>
    <row r="39893" ht="14.25" customHeight="1" s="192">
      <c r="W39893" s="239" t="n"/>
      <c r="X39893" s="239" t="n"/>
    </row>
    <row r="39894" ht="14.25" customHeight="1" s="192">
      <c r="W39894" s="235" t="n"/>
      <c r="X39894" s="235" t="n"/>
    </row>
    <row r="39895" ht="14.25" customHeight="1" s="192">
      <c r="W39895" s="235" t="n"/>
      <c r="X39895" s="235" t="n"/>
    </row>
    <row r="39896" ht="14.25" customHeight="1" s="192">
      <c r="W39896" s="239" t="n"/>
      <c r="X39896" s="239" t="n"/>
    </row>
    <row r="39897" ht="14.25" customHeight="1" s="192">
      <c r="W39897" s="235" t="n"/>
      <c r="X39897" s="235" t="n"/>
    </row>
    <row r="39898" ht="14.25" customHeight="1" s="192">
      <c r="W39898" s="239" t="n"/>
      <c r="X39898" s="239" t="n"/>
    </row>
    <row r="39900" ht="14.25" customHeight="1" s="192">
      <c r="W39900" s="235" t="n"/>
      <c r="X39900" s="235" t="n"/>
    </row>
    <row r="39901" ht="15" customHeight="1" s="192" thickBot="1">
      <c r="W39901" s="239" t="n"/>
      <c r="X39901" s="239" t="n"/>
    </row>
    <row r="39902" ht="15" customHeight="1" s="192" thickBot="1">
      <c r="W39902" s="45" t="n"/>
      <c r="X39902" s="45" t="n"/>
    </row>
    <row r="39903" ht="14.25" customHeight="1" s="192">
      <c r="W39903" s="228" t="n"/>
      <c r="X39903" s="228" t="n"/>
    </row>
    <row r="39904" ht="14.25" customHeight="1" s="192">
      <c r="W39904" s="228" t="n"/>
      <c r="X39904" s="228" t="n"/>
    </row>
    <row r="39905" ht="14.25" customHeight="1" s="192">
      <c r="W39905" s="231" t="n"/>
      <c r="X39905" s="231" t="n"/>
    </row>
    <row r="39906" ht="14.25" customHeight="1" s="192">
      <c r="W39906" s="33" t="n"/>
      <c r="X39906" s="33" t="n"/>
    </row>
    <row r="39907" ht="14.25" customHeight="1" s="192">
      <c r="W39907" s="231" t="n"/>
      <c r="X39907" s="231" t="n"/>
    </row>
    <row r="39908" ht="14.25" customHeight="1" s="192">
      <c r="W39908" s="33" t="n"/>
      <c r="X39908" s="33" t="n"/>
    </row>
    <row r="39910" ht="14.25" customHeight="1" s="192">
      <c r="W39910" s="231" t="n"/>
      <c r="X39910" s="231" t="n"/>
    </row>
    <row r="39911" ht="14.25" customHeight="1" s="192">
      <c r="W39911" s="235" t="n"/>
      <c r="X39911" s="235" t="n"/>
    </row>
    <row r="39912" ht="14.25" customHeight="1" s="192">
      <c r="W39912" s="228" t="n"/>
      <c r="X39912" s="228" t="n"/>
    </row>
    <row r="39913" ht="14.25" customHeight="1" s="192">
      <c r="W39913" s="235" t="n"/>
      <c r="X39913" s="235" t="n"/>
    </row>
    <row r="39914" ht="14.25" customHeight="1" s="192">
      <c r="W39914" s="235" t="n"/>
      <c r="X39914" s="235" t="n"/>
    </row>
    <row r="39915" ht="14.25" customHeight="1" s="192">
      <c r="W39915" s="235" t="n"/>
      <c r="X39915" s="235" t="n"/>
    </row>
    <row r="39916" ht="14.25" customHeight="1" s="192">
      <c r="W39916" s="239" t="n"/>
      <c r="X39916" s="239" t="n"/>
    </row>
    <row r="39917" ht="14.25" customHeight="1" s="192">
      <c r="W39917" s="239" t="n"/>
      <c r="X39917" s="239" t="n"/>
    </row>
    <row r="39918" ht="14.25" customHeight="1" s="192">
      <c r="W39918" s="239" t="n"/>
      <c r="X39918" s="239" t="n"/>
    </row>
    <row r="39919" ht="14.25" customHeight="1" s="192">
      <c r="W39919" s="235" t="n"/>
      <c r="X39919" s="235" t="n"/>
    </row>
    <row r="39920" ht="14.25" customHeight="1" s="192">
      <c r="W39920" s="235" t="n"/>
      <c r="X39920" s="235" t="n"/>
    </row>
    <row r="39921" ht="14.25" customHeight="1" s="192">
      <c r="W39921" s="235" t="n"/>
      <c r="X39921" s="235" t="n"/>
    </row>
    <row r="39922" ht="14.25" customHeight="1" s="192">
      <c r="W39922" s="239" t="n"/>
      <c r="X39922" s="239" t="n"/>
    </row>
    <row r="39923" ht="14.25" customHeight="1" s="192">
      <c r="W39923" s="239" t="n"/>
      <c r="X39923" s="239" t="n"/>
    </row>
    <row r="39924" ht="14.25" customHeight="1" s="192">
      <c r="W39924" s="235" t="n"/>
      <c r="X39924" s="235" t="n"/>
    </row>
    <row r="39925" ht="14.25" customHeight="1" s="192">
      <c r="W39925" s="235" t="n"/>
      <c r="X39925" s="235" t="n"/>
    </row>
    <row r="39926" ht="14.25" customHeight="1" s="192">
      <c r="W39926" s="239" t="n"/>
      <c r="X39926" s="239" t="n"/>
    </row>
    <row r="39927" ht="14.25" customHeight="1" s="192">
      <c r="W39927" s="235" t="n"/>
      <c r="X39927" s="235" t="n"/>
    </row>
    <row r="39928" ht="14.25" customHeight="1" s="192">
      <c r="W39928" s="239" t="n"/>
      <c r="X39928" s="239" t="n"/>
    </row>
    <row r="39930" ht="14.25" customHeight="1" s="192">
      <c r="W39930" s="235" t="n"/>
      <c r="X39930" s="235" t="n"/>
    </row>
    <row r="39931" ht="15" customHeight="1" s="192" thickBot="1">
      <c r="W39931" s="239" t="n"/>
      <c r="X39931" s="239" t="n"/>
    </row>
    <row r="39932" ht="15" customHeight="1" s="192" thickBot="1">
      <c r="W39932" s="45" t="n"/>
      <c r="X39932" s="45" t="n"/>
    </row>
    <row r="39933" ht="14.25" customHeight="1" s="192">
      <c r="W39933" s="228" t="n"/>
      <c r="X39933" s="228" t="n"/>
    </row>
    <row r="39934" ht="14.25" customHeight="1" s="192">
      <c r="W39934" s="228" t="n"/>
      <c r="X39934" s="228" t="n"/>
    </row>
    <row r="39935" ht="14.25" customHeight="1" s="192">
      <c r="W39935" s="231" t="n"/>
      <c r="X39935" s="231" t="n"/>
    </row>
    <row r="39936" ht="14.25" customHeight="1" s="192">
      <c r="W39936" s="33" t="n"/>
      <c r="X39936" s="33" t="n"/>
    </row>
    <row r="39937" ht="14.25" customHeight="1" s="192">
      <c r="W39937" s="231" t="n"/>
      <c r="X39937" s="231" t="n"/>
    </row>
    <row r="39938" ht="14.25" customHeight="1" s="192">
      <c r="W39938" s="33" t="n"/>
      <c r="X39938" s="33" t="n"/>
    </row>
    <row r="39940" ht="14.25" customHeight="1" s="192">
      <c r="W39940" s="231" t="n"/>
      <c r="X39940" s="231" t="n"/>
    </row>
    <row r="39941" ht="14.25" customHeight="1" s="192">
      <c r="W39941" s="235" t="n"/>
      <c r="X39941" s="235" t="n"/>
    </row>
    <row r="39942" ht="14.25" customHeight="1" s="192">
      <c r="W39942" s="228" t="n"/>
      <c r="X39942" s="228" t="n"/>
    </row>
    <row r="39943" ht="14.25" customHeight="1" s="192">
      <c r="W39943" s="235" t="n"/>
      <c r="X39943" s="235" t="n"/>
    </row>
    <row r="39944" ht="14.25" customHeight="1" s="192">
      <c r="W39944" s="235" t="n"/>
      <c r="X39944" s="235" t="n"/>
    </row>
    <row r="39945" ht="14.25" customHeight="1" s="192">
      <c r="W39945" s="235" t="n"/>
      <c r="X39945" s="235" t="n"/>
    </row>
    <row r="39946" ht="14.25" customHeight="1" s="192">
      <c r="W39946" s="239" t="n"/>
      <c r="X39946" s="239" t="n"/>
    </row>
    <row r="39947" ht="14.25" customHeight="1" s="192">
      <c r="W39947" s="239" t="n"/>
      <c r="X39947" s="239" t="n"/>
    </row>
    <row r="39948" ht="14.25" customHeight="1" s="192">
      <c r="W39948" s="239" t="n"/>
      <c r="X39948" s="239" t="n"/>
    </row>
    <row r="39949" ht="14.25" customHeight="1" s="192">
      <c r="W39949" s="235" t="n"/>
      <c r="X39949" s="235" t="n"/>
    </row>
    <row r="39950" ht="14.25" customHeight="1" s="192">
      <c r="W39950" s="235" t="n"/>
      <c r="X39950" s="235" t="n"/>
    </row>
    <row r="39951" ht="14.25" customHeight="1" s="192">
      <c r="W39951" s="235" t="n"/>
      <c r="X39951" s="235" t="n"/>
    </row>
    <row r="39952" ht="14.25" customHeight="1" s="192">
      <c r="W39952" s="239" t="n"/>
      <c r="X39952" s="239" t="n"/>
    </row>
    <row r="39953" ht="14.25" customHeight="1" s="192">
      <c r="W39953" s="239" t="n"/>
      <c r="X39953" s="239" t="n"/>
    </row>
    <row r="39954" ht="14.25" customHeight="1" s="192">
      <c r="W39954" s="235" t="n"/>
      <c r="X39954" s="235" t="n"/>
    </row>
    <row r="39955" ht="14.25" customHeight="1" s="192">
      <c r="W39955" s="235" t="n"/>
      <c r="X39955" s="235" t="n"/>
    </row>
    <row r="39956" ht="14.25" customHeight="1" s="192">
      <c r="W39956" s="239" t="n"/>
      <c r="X39956" s="239" t="n"/>
    </row>
    <row r="39957" ht="14.25" customHeight="1" s="192">
      <c r="W39957" s="235" t="n"/>
      <c r="X39957" s="235" t="n"/>
    </row>
    <row r="39958" ht="14.25" customHeight="1" s="192">
      <c r="W39958" s="239" t="n"/>
      <c r="X39958" s="239" t="n"/>
    </row>
    <row r="39960" ht="14.25" customHeight="1" s="192">
      <c r="W39960" s="235" t="n"/>
      <c r="X39960" s="235" t="n"/>
    </row>
    <row r="39961" ht="15" customHeight="1" s="192" thickBot="1">
      <c r="W39961" s="239" t="n"/>
      <c r="X39961" s="239" t="n"/>
    </row>
    <row r="39962" ht="15" customHeight="1" s="192" thickBot="1">
      <c r="W39962" s="45" t="n"/>
      <c r="X39962" s="45" t="n"/>
    </row>
    <row r="39963" ht="14.25" customHeight="1" s="192">
      <c r="W39963" s="228" t="n"/>
      <c r="X39963" s="228" t="n"/>
    </row>
    <row r="39964" ht="14.25" customHeight="1" s="192">
      <c r="W39964" s="228" t="n"/>
      <c r="X39964" s="228" t="n"/>
    </row>
    <row r="39965" ht="14.25" customHeight="1" s="192">
      <c r="W39965" s="231" t="n"/>
      <c r="X39965" s="231" t="n"/>
    </row>
    <row r="39966" ht="14.25" customHeight="1" s="192">
      <c r="W39966" s="33" t="n"/>
      <c r="X39966" s="33" t="n"/>
    </row>
    <row r="39967" ht="14.25" customHeight="1" s="192">
      <c r="W39967" s="231" t="n"/>
      <c r="X39967" s="231" t="n"/>
    </row>
    <row r="39968" ht="14.25" customHeight="1" s="192">
      <c r="W39968" s="33" t="n"/>
      <c r="X39968" s="33" t="n"/>
    </row>
    <row r="39970" ht="14.25" customHeight="1" s="192">
      <c r="W39970" s="231" t="n"/>
      <c r="X39970" s="231" t="n"/>
    </row>
    <row r="39971" ht="14.25" customHeight="1" s="192">
      <c r="W39971" s="235" t="n"/>
      <c r="X39971" s="235" t="n"/>
    </row>
    <row r="39972" ht="14.25" customHeight="1" s="192">
      <c r="W39972" s="228" t="n"/>
      <c r="X39972" s="228" t="n"/>
    </row>
    <row r="39973" ht="14.25" customHeight="1" s="192">
      <c r="W39973" s="235" t="n"/>
      <c r="X39973" s="235" t="n"/>
    </row>
    <row r="39974" ht="14.25" customHeight="1" s="192">
      <c r="W39974" s="235" t="n"/>
      <c r="X39974" s="235" t="n"/>
    </row>
    <row r="39975" ht="14.25" customHeight="1" s="192">
      <c r="W39975" s="235" t="n"/>
      <c r="X39975" s="235" t="n"/>
    </row>
    <row r="39976" ht="14.25" customHeight="1" s="192">
      <c r="W39976" s="239" t="n"/>
      <c r="X39976" s="239" t="n"/>
    </row>
    <row r="39977" ht="14.25" customHeight="1" s="192">
      <c r="W39977" s="239" t="n"/>
      <c r="X39977" s="239" t="n"/>
    </row>
    <row r="39978" ht="14.25" customHeight="1" s="192">
      <c r="W39978" s="239" t="n"/>
      <c r="X39978" s="239" t="n"/>
    </row>
    <row r="39979" ht="14.25" customHeight="1" s="192">
      <c r="W39979" s="235" t="n"/>
      <c r="X39979" s="235" t="n"/>
    </row>
    <row r="39980" ht="14.25" customHeight="1" s="192">
      <c r="W39980" s="235" t="n"/>
      <c r="X39980" s="235" t="n"/>
    </row>
    <row r="39981" ht="14.25" customHeight="1" s="192">
      <c r="W39981" s="235" t="n"/>
      <c r="X39981" s="235" t="n"/>
    </row>
    <row r="39982" ht="14.25" customHeight="1" s="192">
      <c r="W39982" s="239" t="n"/>
      <c r="X39982" s="239" t="n"/>
    </row>
    <row r="39983" ht="14.25" customHeight="1" s="192">
      <c r="W39983" s="239" t="n"/>
      <c r="X39983" s="239" t="n"/>
    </row>
    <row r="39984" ht="14.25" customHeight="1" s="192">
      <c r="W39984" s="235" t="n"/>
      <c r="X39984" s="235" t="n"/>
    </row>
    <row r="39985" ht="14.25" customHeight="1" s="192">
      <c r="W39985" s="235" t="n"/>
      <c r="X39985" s="235" t="n"/>
    </row>
    <row r="39986" ht="14.25" customHeight="1" s="192">
      <c r="W39986" s="239" t="n"/>
      <c r="X39986" s="239" t="n"/>
    </row>
    <row r="39987" ht="14.25" customHeight="1" s="192">
      <c r="W39987" s="235" t="n"/>
      <c r="X39987" s="235" t="n"/>
    </row>
    <row r="39988" ht="14.25" customHeight="1" s="192">
      <c r="W39988" s="239" t="n"/>
      <c r="X39988" s="239" t="n"/>
    </row>
    <row r="39990" ht="14.25" customHeight="1" s="192">
      <c r="W39990" s="235" t="n"/>
      <c r="X39990" s="235" t="n"/>
    </row>
    <row r="39991" ht="15" customHeight="1" s="192" thickBot="1">
      <c r="W39991" s="239" t="n"/>
      <c r="X39991" s="239" t="n"/>
    </row>
    <row r="39992" ht="15" customHeight="1" s="192" thickBot="1">
      <c r="W39992" s="45" t="n"/>
      <c r="X39992" s="45" t="n"/>
    </row>
    <row r="39993" ht="14.25" customHeight="1" s="192">
      <c r="W39993" s="228" t="n"/>
      <c r="X39993" s="228" t="n"/>
    </row>
    <row r="39994" ht="14.25" customHeight="1" s="192">
      <c r="W39994" s="228" t="n"/>
      <c r="X39994" s="228" t="n"/>
    </row>
    <row r="39995" ht="14.25" customHeight="1" s="192">
      <c r="W39995" s="231" t="n"/>
      <c r="X39995" s="231" t="n"/>
    </row>
    <row r="39996" ht="14.25" customHeight="1" s="192">
      <c r="W39996" s="33" t="n"/>
      <c r="X39996" s="33" t="n"/>
    </row>
    <row r="39997" ht="14.25" customHeight="1" s="192">
      <c r="W39997" s="231" t="n"/>
      <c r="X39997" s="231" t="n"/>
    </row>
    <row r="39998" ht="14.25" customHeight="1" s="192">
      <c r="W39998" s="33" t="n"/>
      <c r="X39998" s="33" t="n"/>
    </row>
    <row r="40000" ht="14.25" customHeight="1" s="192">
      <c r="W40000" s="231" t="n"/>
      <c r="X40000" s="231" t="n"/>
    </row>
    <row r="40001" ht="14.25" customHeight="1" s="192">
      <c r="W40001" s="235" t="n"/>
      <c r="X40001" s="235" t="n"/>
    </row>
    <row r="40002" ht="14.25" customHeight="1" s="192">
      <c r="W40002" s="228" t="n"/>
      <c r="X40002" s="228" t="n"/>
    </row>
    <row r="40003" ht="14.25" customHeight="1" s="192">
      <c r="W40003" s="235" t="n"/>
      <c r="X40003" s="235" t="n"/>
    </row>
    <row r="40004" ht="14.25" customHeight="1" s="192">
      <c r="W40004" s="235" t="n"/>
      <c r="X40004" s="235" t="n"/>
    </row>
    <row r="40005" ht="14.25" customHeight="1" s="192">
      <c r="W40005" s="235" t="n"/>
      <c r="X40005" s="235" t="n"/>
    </row>
    <row r="40006" ht="14.25" customHeight="1" s="192">
      <c r="W40006" s="239" t="n"/>
      <c r="X40006" s="239" t="n"/>
    </row>
    <row r="40007" ht="14.25" customHeight="1" s="192">
      <c r="W40007" s="239" t="n"/>
      <c r="X40007" s="239" t="n"/>
    </row>
    <row r="40008" ht="14.25" customHeight="1" s="192">
      <c r="W40008" s="239" t="n"/>
      <c r="X40008" s="239" t="n"/>
    </row>
    <row r="40009" ht="14.25" customHeight="1" s="192">
      <c r="W40009" s="235" t="n"/>
      <c r="X40009" s="235" t="n"/>
    </row>
    <row r="40010" ht="14.25" customHeight="1" s="192">
      <c r="W40010" s="235" t="n"/>
      <c r="X40010" s="235" t="n"/>
    </row>
    <row r="40011" ht="14.25" customHeight="1" s="192">
      <c r="W40011" s="235" t="n"/>
      <c r="X40011" s="235" t="n"/>
    </row>
    <row r="40012" ht="14.25" customHeight="1" s="192">
      <c r="W40012" s="239" t="n"/>
      <c r="X40012" s="239" t="n"/>
    </row>
    <row r="40013" ht="14.25" customHeight="1" s="192">
      <c r="W40013" s="239" t="n"/>
      <c r="X40013" s="239" t="n"/>
    </row>
    <row r="40014" ht="14.25" customHeight="1" s="192">
      <c r="W40014" s="235" t="n"/>
      <c r="X40014" s="235" t="n"/>
    </row>
    <row r="40015" ht="14.25" customHeight="1" s="192">
      <c r="W40015" s="235" t="n"/>
      <c r="X40015" s="235" t="n"/>
    </row>
    <row r="40016" ht="14.25" customHeight="1" s="192">
      <c r="W40016" s="239" t="n"/>
      <c r="X40016" s="239" t="n"/>
    </row>
    <row r="40017" ht="14.25" customHeight="1" s="192">
      <c r="W40017" s="235" t="n"/>
      <c r="X40017" s="235" t="n"/>
    </row>
    <row r="40018" ht="14.25" customHeight="1" s="192">
      <c r="W40018" s="239" t="n"/>
      <c r="X40018" s="239" t="n"/>
    </row>
    <row r="40020" ht="14.25" customHeight="1" s="192">
      <c r="W40020" s="235" t="n"/>
      <c r="X40020" s="235" t="n"/>
    </row>
    <row r="40021" ht="15" customHeight="1" s="192" thickBot="1">
      <c r="W40021" s="239" t="n"/>
      <c r="X40021" s="239" t="n"/>
    </row>
    <row r="40022" ht="15" customHeight="1" s="192" thickBot="1">
      <c r="W40022" s="45" t="n"/>
      <c r="X40022" s="45" t="n"/>
    </row>
    <row r="40023" ht="14.25" customHeight="1" s="192">
      <c r="W40023" s="228" t="n"/>
      <c r="X40023" s="228" t="n"/>
    </row>
    <row r="40024" ht="14.25" customHeight="1" s="192">
      <c r="W40024" s="228" t="n"/>
      <c r="X40024" s="228" t="n"/>
    </row>
    <row r="40025" ht="14.25" customHeight="1" s="192">
      <c r="W40025" s="231" t="n"/>
      <c r="X40025" s="231" t="n"/>
    </row>
    <row r="40026" ht="14.25" customHeight="1" s="192">
      <c r="W40026" s="33" t="n"/>
      <c r="X40026" s="33" t="n"/>
    </row>
    <row r="40027" ht="14.25" customHeight="1" s="192">
      <c r="W40027" s="231" t="n"/>
      <c r="X40027" s="231" t="n"/>
    </row>
    <row r="40028" ht="14.25" customHeight="1" s="192">
      <c r="W40028" s="33" t="n"/>
      <c r="X40028" s="33" t="n"/>
    </row>
    <row r="40030" ht="14.25" customHeight="1" s="192">
      <c r="W40030" s="231" t="n"/>
      <c r="X40030" s="231" t="n"/>
    </row>
    <row r="40031" ht="14.25" customHeight="1" s="192">
      <c r="W40031" s="235" t="n"/>
      <c r="X40031" s="235" t="n"/>
    </row>
    <row r="40032" ht="14.25" customHeight="1" s="192">
      <c r="W40032" s="228" t="n"/>
      <c r="X40032" s="228" t="n"/>
    </row>
    <row r="40033" ht="14.25" customHeight="1" s="192">
      <c r="W40033" s="235" t="n"/>
      <c r="X40033" s="235" t="n"/>
    </row>
    <row r="40034" ht="14.25" customHeight="1" s="192">
      <c r="W40034" s="235" t="n"/>
      <c r="X40034" s="235" t="n"/>
    </row>
    <row r="40035" ht="14.25" customHeight="1" s="192">
      <c r="W40035" s="235" t="n"/>
      <c r="X40035" s="235" t="n"/>
    </row>
    <row r="40036" ht="14.25" customHeight="1" s="192">
      <c r="W40036" s="239" t="n"/>
      <c r="X40036" s="239" t="n"/>
    </row>
    <row r="40037" ht="14.25" customHeight="1" s="192">
      <c r="W40037" s="239" t="n"/>
      <c r="X40037" s="239" t="n"/>
    </row>
    <row r="40038" ht="14.25" customHeight="1" s="192">
      <c r="W40038" s="239" t="n"/>
      <c r="X40038" s="239" t="n"/>
    </row>
    <row r="40039" ht="14.25" customHeight="1" s="192">
      <c r="W40039" s="235" t="n"/>
      <c r="X40039" s="235" t="n"/>
    </row>
    <row r="40040" ht="14.25" customHeight="1" s="192">
      <c r="W40040" s="235" t="n"/>
      <c r="X40040" s="235" t="n"/>
    </row>
    <row r="40041" ht="14.25" customHeight="1" s="192">
      <c r="W40041" s="235" t="n"/>
      <c r="X40041" s="235" t="n"/>
    </row>
    <row r="40042" ht="14.25" customHeight="1" s="192">
      <c r="W40042" s="239" t="n"/>
      <c r="X40042" s="239" t="n"/>
    </row>
    <row r="40043" ht="14.25" customHeight="1" s="192">
      <c r="W40043" s="239" t="n"/>
      <c r="X40043" s="239" t="n"/>
    </row>
    <row r="40044" ht="14.25" customHeight="1" s="192">
      <c r="W40044" s="235" t="n"/>
      <c r="X40044" s="235" t="n"/>
    </row>
    <row r="40045" ht="14.25" customHeight="1" s="192">
      <c r="W40045" s="235" t="n"/>
      <c r="X40045" s="235" t="n"/>
    </row>
    <row r="40046" ht="14.25" customHeight="1" s="192">
      <c r="W40046" s="239" t="n"/>
      <c r="X40046" s="239" t="n"/>
    </row>
    <row r="40047" ht="14.25" customHeight="1" s="192">
      <c r="W40047" s="235" t="n"/>
      <c r="X40047" s="235" t="n"/>
    </row>
    <row r="40048" ht="14.25" customHeight="1" s="192">
      <c r="W40048" s="239" t="n"/>
      <c r="X40048" s="239" t="n"/>
    </row>
    <row r="40050" ht="14.25" customHeight="1" s="192">
      <c r="W40050" s="235" t="n"/>
      <c r="X40050" s="235" t="n"/>
    </row>
    <row r="40051" ht="15" customHeight="1" s="192" thickBot="1">
      <c r="W40051" s="239" t="n"/>
      <c r="X40051" s="239" t="n"/>
    </row>
    <row r="40052" ht="15" customHeight="1" s="192" thickBot="1">
      <c r="W40052" s="45" t="n"/>
      <c r="X40052" s="45" t="n"/>
    </row>
    <row r="40053" ht="14.25" customHeight="1" s="192">
      <c r="W40053" s="228" t="n"/>
      <c r="X40053" s="228" t="n"/>
    </row>
    <row r="40054" ht="14.25" customHeight="1" s="192">
      <c r="W40054" s="228" t="n"/>
      <c r="X40054" s="228" t="n"/>
    </row>
    <row r="40055" ht="14.25" customHeight="1" s="192">
      <c r="W40055" s="231" t="n"/>
      <c r="X40055" s="231" t="n"/>
    </row>
    <row r="40056" ht="14.25" customHeight="1" s="192">
      <c r="W40056" s="33" t="n"/>
      <c r="X40056" s="33" t="n"/>
    </row>
    <row r="40057" ht="14.25" customHeight="1" s="192">
      <c r="W40057" s="231" t="n"/>
      <c r="X40057" s="231" t="n"/>
    </row>
    <row r="40058" ht="14.25" customHeight="1" s="192">
      <c r="W40058" s="33" t="n"/>
      <c r="X40058" s="33" t="n"/>
    </row>
    <row r="40060" ht="14.25" customHeight="1" s="192">
      <c r="W40060" s="231" t="n"/>
      <c r="X40060" s="231" t="n"/>
    </row>
    <row r="40061" ht="14.25" customHeight="1" s="192">
      <c r="W40061" s="235" t="n"/>
      <c r="X40061" s="235" t="n"/>
    </row>
    <row r="40062" ht="14.25" customHeight="1" s="192">
      <c r="W40062" s="228" t="n"/>
      <c r="X40062" s="228" t="n"/>
    </row>
    <row r="40063" ht="14.25" customHeight="1" s="192">
      <c r="W40063" s="235" t="n"/>
      <c r="X40063" s="235" t="n"/>
    </row>
    <row r="40064" ht="14.25" customHeight="1" s="192">
      <c r="W40064" s="235" t="n"/>
      <c r="X40064" s="235" t="n"/>
    </row>
    <row r="40065" ht="14.25" customHeight="1" s="192">
      <c r="W40065" s="235" t="n"/>
      <c r="X40065" s="235" t="n"/>
    </row>
    <row r="40066" ht="14.25" customHeight="1" s="192">
      <c r="W40066" s="239" t="n"/>
      <c r="X40066" s="239" t="n"/>
    </row>
    <row r="40067" ht="14.25" customHeight="1" s="192">
      <c r="W40067" s="239" t="n"/>
      <c r="X40067" s="239" t="n"/>
    </row>
    <row r="40068" ht="14.25" customHeight="1" s="192">
      <c r="W40068" s="239" t="n"/>
      <c r="X40068" s="239" t="n"/>
    </row>
    <row r="40069" ht="14.25" customHeight="1" s="192">
      <c r="W40069" s="235" t="n"/>
      <c r="X40069" s="235" t="n"/>
    </row>
    <row r="40070" ht="14.25" customHeight="1" s="192">
      <c r="W40070" s="235" t="n"/>
      <c r="X40070" s="235" t="n"/>
    </row>
    <row r="40071" ht="14.25" customHeight="1" s="192">
      <c r="W40071" s="235" t="n"/>
      <c r="X40071" s="235" t="n"/>
    </row>
    <row r="40072" ht="14.25" customHeight="1" s="192">
      <c r="W40072" s="239" t="n"/>
      <c r="X40072" s="239" t="n"/>
    </row>
    <row r="40073" ht="14.25" customHeight="1" s="192">
      <c r="W40073" s="239" t="n"/>
      <c r="X40073" s="239" t="n"/>
    </row>
    <row r="40074" ht="14.25" customHeight="1" s="192">
      <c r="W40074" s="235" t="n"/>
      <c r="X40074" s="235" t="n"/>
    </row>
    <row r="40075" ht="14.25" customHeight="1" s="192">
      <c r="W40075" s="235" t="n"/>
      <c r="X40075" s="235" t="n"/>
    </row>
    <row r="40076" ht="14.25" customHeight="1" s="192">
      <c r="W40076" s="239" t="n"/>
      <c r="X40076" s="239" t="n"/>
    </row>
    <row r="40077" ht="14.25" customHeight="1" s="192">
      <c r="W40077" s="235" t="n"/>
      <c r="X40077" s="235" t="n"/>
    </row>
    <row r="40078" ht="14.25" customHeight="1" s="192">
      <c r="W40078" s="239" t="n"/>
      <c r="X40078" s="239" t="n"/>
    </row>
    <row r="40080" ht="14.25" customHeight="1" s="192">
      <c r="W40080" s="235" t="n"/>
      <c r="X40080" s="235" t="n"/>
    </row>
    <row r="40081" ht="15" customHeight="1" s="192" thickBot="1">
      <c r="W40081" s="239" t="n"/>
      <c r="X40081" s="239" t="n"/>
    </row>
    <row r="40082" ht="15" customHeight="1" s="192" thickBot="1">
      <c r="W40082" s="45" t="n"/>
      <c r="X40082" s="45" t="n"/>
    </row>
    <row r="40083" ht="14.25" customHeight="1" s="192">
      <c r="W40083" s="228" t="n"/>
      <c r="X40083" s="228" t="n"/>
    </row>
    <row r="40084" ht="14.25" customHeight="1" s="192">
      <c r="W40084" s="228" t="n"/>
      <c r="X40084" s="228" t="n"/>
    </row>
    <row r="40085" ht="14.25" customHeight="1" s="192">
      <c r="W40085" s="231" t="n"/>
      <c r="X40085" s="231" t="n"/>
    </row>
    <row r="40086" ht="14.25" customHeight="1" s="192">
      <c r="W40086" s="33" t="n"/>
      <c r="X40086" s="33" t="n"/>
    </row>
    <row r="40087" ht="14.25" customHeight="1" s="192">
      <c r="W40087" s="231" t="n"/>
      <c r="X40087" s="231" t="n"/>
    </row>
    <row r="40088" ht="14.25" customHeight="1" s="192">
      <c r="W40088" s="33" t="n"/>
      <c r="X40088" s="33" t="n"/>
    </row>
    <row r="40090" ht="14.25" customHeight="1" s="192">
      <c r="W40090" s="231" t="n"/>
      <c r="X40090" s="231" t="n"/>
    </row>
    <row r="40091" ht="14.25" customHeight="1" s="192">
      <c r="W40091" s="235" t="n"/>
      <c r="X40091" s="235" t="n"/>
    </row>
    <row r="40092" ht="14.25" customHeight="1" s="192">
      <c r="W40092" s="228" t="n"/>
      <c r="X40092" s="228" t="n"/>
    </row>
    <row r="40093" ht="14.25" customHeight="1" s="192">
      <c r="W40093" s="235" t="n"/>
      <c r="X40093" s="235" t="n"/>
    </row>
    <row r="40094" ht="14.25" customHeight="1" s="192">
      <c r="W40094" s="235" t="n"/>
      <c r="X40094" s="235" t="n"/>
    </row>
    <row r="40095" ht="14.25" customHeight="1" s="192">
      <c r="W40095" s="235" t="n"/>
      <c r="X40095" s="235" t="n"/>
    </row>
    <row r="40096" ht="14.25" customHeight="1" s="192">
      <c r="W40096" s="239" t="n"/>
      <c r="X40096" s="239" t="n"/>
    </row>
    <row r="40097" ht="14.25" customHeight="1" s="192">
      <c r="W40097" s="239" t="n"/>
      <c r="X40097" s="239" t="n"/>
    </row>
    <row r="40098" ht="14.25" customHeight="1" s="192">
      <c r="W40098" s="239" t="n"/>
      <c r="X40098" s="239" t="n"/>
    </row>
    <row r="40099" ht="14.25" customHeight="1" s="192">
      <c r="W40099" s="235" t="n"/>
      <c r="X40099" s="235" t="n"/>
    </row>
    <row r="40100" ht="14.25" customHeight="1" s="192">
      <c r="W40100" s="235" t="n"/>
      <c r="X40100" s="235" t="n"/>
    </row>
    <row r="40101" ht="14.25" customHeight="1" s="192">
      <c r="W40101" s="235" t="n"/>
      <c r="X40101" s="235" t="n"/>
    </row>
    <row r="40102" ht="14.25" customHeight="1" s="192">
      <c r="W40102" s="239" t="n"/>
      <c r="X40102" s="239" t="n"/>
    </row>
    <row r="40103" ht="14.25" customHeight="1" s="192">
      <c r="W40103" s="239" t="n"/>
      <c r="X40103" s="239" t="n"/>
    </row>
    <row r="40104" ht="14.25" customHeight="1" s="192">
      <c r="W40104" s="235" t="n"/>
      <c r="X40104" s="235" t="n"/>
    </row>
    <row r="40105" ht="14.25" customHeight="1" s="192">
      <c r="W40105" s="235" t="n"/>
      <c r="X40105" s="235" t="n"/>
    </row>
    <row r="40106" ht="14.25" customHeight="1" s="192">
      <c r="W40106" s="239" t="n"/>
      <c r="X40106" s="239" t="n"/>
    </row>
    <row r="40107" ht="14.25" customHeight="1" s="192">
      <c r="W40107" s="235" t="n"/>
      <c r="X40107" s="235" t="n"/>
    </row>
    <row r="40108" ht="14.25" customHeight="1" s="192">
      <c r="W40108" s="239" t="n"/>
      <c r="X40108" s="239" t="n"/>
    </row>
    <row r="40110" ht="14.25" customHeight="1" s="192">
      <c r="W40110" s="235" t="n"/>
      <c r="X40110" s="235" t="n"/>
    </row>
    <row r="40111" ht="15" customHeight="1" s="192" thickBot="1">
      <c r="W40111" s="239" t="n"/>
      <c r="X40111" s="239" t="n"/>
    </row>
    <row r="40112" ht="15" customHeight="1" s="192" thickBot="1">
      <c r="W40112" s="45" t="n"/>
      <c r="X40112" s="45" t="n"/>
    </row>
    <row r="40113" ht="14.25" customHeight="1" s="192">
      <c r="W40113" s="228" t="n"/>
      <c r="X40113" s="228" t="n"/>
    </row>
    <row r="40114" ht="14.25" customHeight="1" s="192">
      <c r="W40114" s="228" t="n"/>
      <c r="X40114" s="228" t="n"/>
    </row>
    <row r="40115" ht="14.25" customHeight="1" s="192">
      <c r="W40115" s="231" t="n"/>
      <c r="X40115" s="231" t="n"/>
    </row>
    <row r="40116" ht="14.25" customHeight="1" s="192">
      <c r="W40116" s="33" t="n"/>
      <c r="X40116" s="33" t="n"/>
    </row>
    <row r="40117" ht="14.25" customHeight="1" s="192">
      <c r="W40117" s="231" t="n"/>
      <c r="X40117" s="231" t="n"/>
    </row>
    <row r="40118" ht="14.25" customHeight="1" s="192">
      <c r="W40118" s="33" t="n"/>
      <c r="X40118" s="33" t="n"/>
    </row>
    <row r="40120" ht="14.25" customHeight="1" s="192">
      <c r="W40120" s="231" t="n"/>
      <c r="X40120" s="231" t="n"/>
    </row>
    <row r="40121" ht="14.25" customHeight="1" s="192">
      <c r="W40121" s="235" t="n"/>
      <c r="X40121" s="235" t="n"/>
    </row>
    <row r="40122" ht="14.25" customHeight="1" s="192">
      <c r="W40122" s="228" t="n"/>
      <c r="X40122" s="228" t="n"/>
    </row>
    <row r="40123" ht="14.25" customHeight="1" s="192">
      <c r="W40123" s="235" t="n"/>
      <c r="X40123" s="235" t="n"/>
    </row>
    <row r="40124" ht="14.25" customHeight="1" s="192">
      <c r="W40124" s="235" t="n"/>
      <c r="X40124" s="235" t="n"/>
    </row>
    <row r="40125" ht="14.25" customHeight="1" s="192">
      <c r="W40125" s="235" t="n"/>
      <c r="X40125" s="235" t="n"/>
    </row>
    <row r="40126" ht="14.25" customHeight="1" s="192">
      <c r="W40126" s="239" t="n"/>
      <c r="X40126" s="239" t="n"/>
    </row>
    <row r="40127" ht="14.25" customHeight="1" s="192">
      <c r="W40127" s="239" t="n"/>
      <c r="X40127" s="239" t="n"/>
    </row>
    <row r="40128" ht="14.25" customHeight="1" s="192">
      <c r="W40128" s="239" t="n"/>
      <c r="X40128" s="239" t="n"/>
    </row>
    <row r="40129" ht="14.25" customHeight="1" s="192">
      <c r="W40129" s="235" t="n"/>
      <c r="X40129" s="235" t="n"/>
    </row>
    <row r="40130" ht="14.25" customHeight="1" s="192">
      <c r="W40130" s="235" t="n"/>
      <c r="X40130" s="235" t="n"/>
    </row>
    <row r="40131" ht="14.25" customHeight="1" s="192">
      <c r="W40131" s="235" t="n"/>
      <c r="X40131" s="235" t="n"/>
    </row>
    <row r="40132" ht="14.25" customHeight="1" s="192">
      <c r="W40132" s="239" t="n"/>
      <c r="X40132" s="239" t="n"/>
    </row>
    <row r="40133" ht="14.25" customHeight="1" s="192">
      <c r="W40133" s="239" t="n"/>
      <c r="X40133" s="239" t="n"/>
    </row>
    <row r="40134" ht="14.25" customHeight="1" s="192">
      <c r="W40134" s="235" t="n"/>
      <c r="X40134" s="235" t="n"/>
    </row>
    <row r="40135" ht="14.25" customHeight="1" s="192">
      <c r="W40135" s="235" t="n"/>
      <c r="X40135" s="235" t="n"/>
    </row>
    <row r="40136" ht="14.25" customHeight="1" s="192">
      <c r="W40136" s="239" t="n"/>
      <c r="X40136" s="239" t="n"/>
    </row>
    <row r="40137" ht="14.25" customHeight="1" s="192">
      <c r="W40137" s="235" t="n"/>
      <c r="X40137" s="235" t="n"/>
    </row>
    <row r="40138" ht="14.25" customHeight="1" s="192">
      <c r="W40138" s="239" t="n"/>
      <c r="X40138" s="239" t="n"/>
    </row>
    <row r="40140" ht="14.25" customHeight="1" s="192">
      <c r="W40140" s="235" t="n"/>
      <c r="X40140" s="235" t="n"/>
    </row>
    <row r="40141" ht="15" customHeight="1" s="192" thickBot="1">
      <c r="W40141" s="239" t="n"/>
      <c r="X40141" s="239" t="n"/>
    </row>
    <row r="40142" ht="15" customHeight="1" s="192" thickBot="1">
      <c r="W40142" s="45" t="n"/>
      <c r="X40142" s="45" t="n"/>
    </row>
    <row r="40143" ht="14.25" customHeight="1" s="192">
      <c r="W40143" s="228" t="n"/>
      <c r="X40143" s="228" t="n"/>
    </row>
    <row r="40144" ht="14.25" customHeight="1" s="192">
      <c r="W40144" s="228" t="n"/>
      <c r="X40144" s="228" t="n"/>
    </row>
    <row r="40145" ht="14.25" customHeight="1" s="192">
      <c r="W40145" s="231" t="n"/>
      <c r="X40145" s="231" t="n"/>
    </row>
    <row r="40146" ht="14.25" customHeight="1" s="192">
      <c r="W40146" s="33" t="n"/>
      <c r="X40146" s="33" t="n"/>
    </row>
    <row r="40147" ht="14.25" customHeight="1" s="192">
      <c r="W40147" s="231" t="n"/>
      <c r="X40147" s="231" t="n"/>
    </row>
    <row r="40148" ht="14.25" customHeight="1" s="192">
      <c r="W40148" s="33" t="n"/>
      <c r="X40148" s="33" t="n"/>
    </row>
    <row r="40150" ht="14.25" customHeight="1" s="192">
      <c r="W40150" s="231" t="n"/>
      <c r="X40150" s="231" t="n"/>
    </row>
    <row r="40151" ht="14.25" customHeight="1" s="192">
      <c r="W40151" s="235" t="n"/>
      <c r="X40151" s="235" t="n"/>
    </row>
    <row r="40152" ht="14.25" customHeight="1" s="192">
      <c r="W40152" s="228" t="n"/>
      <c r="X40152" s="228" t="n"/>
    </row>
    <row r="40153" ht="14.25" customHeight="1" s="192">
      <c r="W40153" s="235" t="n"/>
      <c r="X40153" s="235" t="n"/>
    </row>
    <row r="40154" ht="14.25" customHeight="1" s="192">
      <c r="W40154" s="235" t="n"/>
      <c r="X40154" s="235" t="n"/>
    </row>
    <row r="40155" ht="14.25" customHeight="1" s="192">
      <c r="W40155" s="235" t="n"/>
      <c r="X40155" s="235" t="n"/>
    </row>
    <row r="40156" ht="14.25" customHeight="1" s="192">
      <c r="W40156" s="239" t="n"/>
      <c r="X40156" s="239" t="n"/>
    </row>
    <row r="40157" ht="14.25" customHeight="1" s="192">
      <c r="W40157" s="239" t="n"/>
      <c r="X40157" s="239" t="n"/>
    </row>
    <row r="40158" ht="14.25" customHeight="1" s="192">
      <c r="W40158" s="239" t="n"/>
      <c r="X40158" s="239" t="n"/>
    </row>
    <row r="40159" ht="14.25" customHeight="1" s="192">
      <c r="W40159" s="235" t="n"/>
      <c r="X40159" s="235" t="n"/>
    </row>
    <row r="40160" ht="14.25" customHeight="1" s="192">
      <c r="W40160" s="235" t="n"/>
      <c r="X40160" s="235" t="n"/>
    </row>
    <row r="40161" ht="14.25" customHeight="1" s="192">
      <c r="W40161" s="235" t="n"/>
      <c r="X40161" s="235" t="n"/>
    </row>
    <row r="40162" ht="14.25" customHeight="1" s="192">
      <c r="W40162" s="239" t="n"/>
      <c r="X40162" s="239" t="n"/>
    </row>
    <row r="40163" ht="14.25" customHeight="1" s="192">
      <c r="W40163" s="239" t="n"/>
      <c r="X40163" s="239" t="n"/>
    </row>
    <row r="40164" ht="14.25" customHeight="1" s="192">
      <c r="W40164" s="235" t="n"/>
      <c r="X40164" s="235" t="n"/>
    </row>
    <row r="40165" ht="14.25" customHeight="1" s="192">
      <c r="W40165" s="235" t="n"/>
      <c r="X40165" s="235" t="n"/>
    </row>
    <row r="40166" ht="14.25" customHeight="1" s="192">
      <c r="W40166" s="239" t="n"/>
      <c r="X40166" s="239" t="n"/>
    </row>
    <row r="40167" ht="14.25" customHeight="1" s="192">
      <c r="W40167" s="235" t="n"/>
      <c r="X40167" s="235" t="n"/>
    </row>
    <row r="40168" ht="14.25" customHeight="1" s="192">
      <c r="W40168" s="239" t="n"/>
      <c r="X40168" s="239" t="n"/>
    </row>
    <row r="40170" ht="14.25" customHeight="1" s="192">
      <c r="W40170" s="235" t="n"/>
      <c r="X40170" s="235" t="n"/>
    </row>
    <row r="40171" ht="15" customHeight="1" s="192" thickBot="1">
      <c r="W40171" s="239" t="n"/>
      <c r="X40171" s="239" t="n"/>
    </row>
    <row r="40172" ht="15" customHeight="1" s="192" thickBot="1">
      <c r="W40172" s="45" t="n"/>
      <c r="X40172" s="45" t="n"/>
    </row>
    <row r="40173" ht="14.25" customHeight="1" s="192">
      <c r="W40173" s="228" t="n"/>
      <c r="X40173" s="228" t="n"/>
    </row>
    <row r="40174" ht="14.25" customHeight="1" s="192">
      <c r="W40174" s="228" t="n"/>
      <c r="X40174" s="228" t="n"/>
    </row>
    <row r="40175" ht="14.25" customHeight="1" s="192">
      <c r="W40175" s="231" t="n"/>
      <c r="X40175" s="231" t="n"/>
    </row>
    <row r="40176" ht="14.25" customHeight="1" s="192">
      <c r="W40176" s="33" t="n"/>
      <c r="X40176" s="33" t="n"/>
    </row>
    <row r="40177" ht="14.25" customHeight="1" s="192">
      <c r="W40177" s="231" t="n"/>
      <c r="X40177" s="231" t="n"/>
    </row>
    <row r="40178" ht="14.25" customHeight="1" s="192">
      <c r="W40178" s="33" t="n"/>
      <c r="X40178" s="33" t="n"/>
    </row>
    <row r="40180" ht="14.25" customHeight="1" s="192">
      <c r="W40180" s="231" t="n"/>
      <c r="X40180" s="231" t="n"/>
    </row>
    <row r="40181" ht="14.25" customHeight="1" s="192">
      <c r="W40181" s="235" t="n"/>
      <c r="X40181" s="235" t="n"/>
    </row>
    <row r="40182" ht="14.25" customHeight="1" s="192">
      <c r="W40182" s="228" t="n"/>
      <c r="X40182" s="228" t="n"/>
    </row>
    <row r="40183" ht="14.25" customHeight="1" s="192">
      <c r="W40183" s="235" t="n"/>
      <c r="X40183" s="235" t="n"/>
    </row>
    <row r="40184" ht="14.25" customHeight="1" s="192">
      <c r="W40184" s="235" t="n"/>
      <c r="X40184" s="235" t="n"/>
    </row>
    <row r="40185" ht="14.25" customHeight="1" s="192">
      <c r="W40185" s="235" t="n"/>
      <c r="X40185" s="235" t="n"/>
    </row>
    <row r="40186" ht="14.25" customHeight="1" s="192">
      <c r="W40186" s="239" t="n"/>
      <c r="X40186" s="239" t="n"/>
    </row>
    <row r="40187" ht="14.25" customHeight="1" s="192">
      <c r="W40187" s="239" t="n"/>
      <c r="X40187" s="239" t="n"/>
    </row>
    <row r="40188" ht="14.25" customHeight="1" s="192">
      <c r="W40188" s="239" t="n"/>
      <c r="X40188" s="239" t="n"/>
    </row>
    <row r="40189" ht="14.25" customHeight="1" s="192">
      <c r="W40189" s="235" t="n"/>
      <c r="X40189" s="235" t="n"/>
    </row>
    <row r="40190" ht="14.25" customHeight="1" s="192">
      <c r="W40190" s="235" t="n"/>
      <c r="X40190" s="235" t="n"/>
    </row>
    <row r="40191" ht="14.25" customHeight="1" s="192">
      <c r="W40191" s="235" t="n"/>
      <c r="X40191" s="235" t="n"/>
    </row>
    <row r="40192" ht="14.25" customHeight="1" s="192">
      <c r="W40192" s="239" t="n"/>
      <c r="X40192" s="239" t="n"/>
    </row>
    <row r="40193" ht="14.25" customHeight="1" s="192">
      <c r="W40193" s="239" t="n"/>
      <c r="X40193" s="239" t="n"/>
    </row>
    <row r="40194" ht="14.25" customHeight="1" s="192">
      <c r="W40194" s="235" t="n"/>
      <c r="X40194" s="235" t="n"/>
    </row>
    <row r="40195" ht="14.25" customHeight="1" s="192">
      <c r="W40195" s="235" t="n"/>
      <c r="X40195" s="235" t="n"/>
    </row>
    <row r="40196" ht="14.25" customHeight="1" s="192">
      <c r="W40196" s="239" t="n"/>
      <c r="X40196" s="239" t="n"/>
    </row>
    <row r="40197" ht="14.25" customHeight="1" s="192">
      <c r="W40197" s="235" t="n"/>
      <c r="X40197" s="235" t="n"/>
    </row>
    <row r="40198" ht="14.25" customHeight="1" s="192">
      <c r="W40198" s="239" t="n"/>
      <c r="X40198" s="239" t="n"/>
    </row>
    <row r="40200" ht="14.25" customHeight="1" s="192">
      <c r="W40200" s="235" t="n"/>
      <c r="X40200" s="235" t="n"/>
    </row>
    <row r="40201" ht="15" customHeight="1" s="192" thickBot="1">
      <c r="W40201" s="239" t="n"/>
      <c r="X40201" s="239" t="n"/>
    </row>
    <row r="40202" ht="15" customHeight="1" s="192" thickBot="1">
      <c r="W40202" s="45" t="n"/>
      <c r="X40202" s="45" t="n"/>
    </row>
    <row r="40203" ht="14.25" customHeight="1" s="192">
      <c r="W40203" s="228" t="n"/>
      <c r="X40203" s="228" t="n"/>
    </row>
    <row r="40204" ht="14.25" customHeight="1" s="192">
      <c r="W40204" s="228" t="n"/>
      <c r="X40204" s="228" t="n"/>
    </row>
    <row r="40205" ht="14.25" customHeight="1" s="192">
      <c r="W40205" s="231" t="n"/>
      <c r="X40205" s="231" t="n"/>
    </row>
    <row r="40206" ht="14.25" customHeight="1" s="192">
      <c r="W40206" s="33" t="n"/>
      <c r="X40206" s="33" t="n"/>
    </row>
    <row r="40207" ht="14.25" customHeight="1" s="192">
      <c r="W40207" s="231" t="n"/>
      <c r="X40207" s="231" t="n"/>
    </row>
    <row r="40208" ht="14.25" customHeight="1" s="192">
      <c r="W40208" s="33" t="n"/>
      <c r="X40208" s="33" t="n"/>
    </row>
    <row r="40210" ht="14.25" customHeight="1" s="192">
      <c r="W40210" s="231" t="n"/>
      <c r="X40210" s="231" t="n"/>
    </row>
    <row r="40211" ht="14.25" customHeight="1" s="192">
      <c r="W40211" s="235" t="n"/>
      <c r="X40211" s="235" t="n"/>
    </row>
    <row r="40212" ht="14.25" customHeight="1" s="192">
      <c r="W40212" s="228" t="n"/>
      <c r="X40212" s="228" t="n"/>
    </row>
    <row r="40213" ht="14.25" customHeight="1" s="192">
      <c r="W40213" s="235" t="n"/>
      <c r="X40213" s="235" t="n"/>
    </row>
    <row r="40214" ht="14.25" customHeight="1" s="192">
      <c r="W40214" s="235" t="n"/>
      <c r="X40214" s="235" t="n"/>
    </row>
    <row r="40215" ht="14.25" customHeight="1" s="192">
      <c r="W40215" s="235" t="n"/>
      <c r="X40215" s="235" t="n"/>
    </row>
    <row r="40216" ht="14.25" customHeight="1" s="192">
      <c r="W40216" s="239" t="n"/>
      <c r="X40216" s="239" t="n"/>
    </row>
    <row r="40217" ht="14.25" customHeight="1" s="192">
      <c r="W40217" s="239" t="n"/>
      <c r="X40217" s="239" t="n"/>
    </row>
    <row r="40218" ht="14.25" customHeight="1" s="192">
      <c r="W40218" s="239" t="n"/>
      <c r="X40218" s="239" t="n"/>
    </row>
    <row r="40219" ht="14.25" customHeight="1" s="192">
      <c r="W40219" s="235" t="n"/>
      <c r="X40219" s="235" t="n"/>
    </row>
    <row r="40220" ht="14.25" customHeight="1" s="192">
      <c r="W40220" s="235" t="n"/>
      <c r="X40220" s="235" t="n"/>
    </row>
    <row r="40221" ht="14.25" customHeight="1" s="192">
      <c r="W40221" s="235" t="n"/>
      <c r="X40221" s="235" t="n"/>
    </row>
    <row r="40222" ht="14.25" customHeight="1" s="192">
      <c r="W40222" s="239" t="n"/>
      <c r="X40222" s="239" t="n"/>
    </row>
    <row r="40223" ht="14.25" customHeight="1" s="192">
      <c r="W40223" s="239" t="n"/>
      <c r="X40223" s="239" t="n"/>
    </row>
    <row r="40224" ht="14.25" customHeight="1" s="192">
      <c r="W40224" s="235" t="n"/>
      <c r="X40224" s="235" t="n"/>
    </row>
    <row r="40225" ht="14.25" customHeight="1" s="192">
      <c r="W40225" s="235" t="n"/>
      <c r="X40225" s="235" t="n"/>
    </row>
    <row r="40226" ht="14.25" customHeight="1" s="192">
      <c r="W40226" s="239" t="n"/>
      <c r="X40226" s="239" t="n"/>
    </row>
    <row r="40227" ht="14.25" customHeight="1" s="192">
      <c r="W40227" s="235" t="n"/>
      <c r="X40227" s="235" t="n"/>
    </row>
    <row r="40228" ht="14.25" customHeight="1" s="192">
      <c r="W40228" s="239" t="n"/>
      <c r="X40228" s="239" t="n"/>
    </row>
    <row r="40230" ht="14.25" customHeight="1" s="192">
      <c r="W40230" s="235" t="n"/>
      <c r="X40230" s="235" t="n"/>
    </row>
    <row r="40231" ht="15" customHeight="1" s="192" thickBot="1">
      <c r="W40231" s="239" t="n"/>
      <c r="X40231" s="239" t="n"/>
    </row>
    <row r="40232" ht="15" customHeight="1" s="192" thickBot="1">
      <c r="W40232" s="45" t="n"/>
      <c r="X40232" s="45" t="n"/>
    </row>
    <row r="40233" ht="14.25" customHeight="1" s="192">
      <c r="W40233" s="228" t="n"/>
      <c r="X40233" s="228" t="n"/>
    </row>
    <row r="40234" ht="14.25" customHeight="1" s="192">
      <c r="W40234" s="228" t="n"/>
      <c r="X40234" s="228" t="n"/>
    </row>
    <row r="40235" ht="14.25" customHeight="1" s="192">
      <c r="W40235" s="231" t="n"/>
      <c r="X40235" s="231" t="n"/>
    </row>
    <row r="40236" ht="14.25" customHeight="1" s="192">
      <c r="W40236" s="33" t="n"/>
      <c r="X40236" s="33" t="n"/>
    </row>
    <row r="40237" ht="14.25" customHeight="1" s="192">
      <c r="W40237" s="231" t="n"/>
      <c r="X40237" s="231" t="n"/>
    </row>
    <row r="40238" ht="14.25" customHeight="1" s="192">
      <c r="W40238" s="33" t="n"/>
      <c r="X40238" s="33" t="n"/>
    </row>
    <row r="40240" ht="14.25" customHeight="1" s="192">
      <c r="W40240" s="231" t="n"/>
      <c r="X40240" s="231" t="n"/>
    </row>
    <row r="40241" ht="14.25" customHeight="1" s="192">
      <c r="W40241" s="235" t="n"/>
      <c r="X40241" s="235" t="n"/>
    </row>
    <row r="40242" ht="14.25" customHeight="1" s="192">
      <c r="W40242" s="228" t="n"/>
      <c r="X40242" s="228" t="n"/>
    </row>
    <row r="40243" ht="14.25" customHeight="1" s="192">
      <c r="W40243" s="235" t="n"/>
      <c r="X40243" s="235" t="n"/>
    </row>
    <row r="40244" ht="14.25" customHeight="1" s="192">
      <c r="W40244" s="235" t="n"/>
      <c r="X40244" s="235" t="n"/>
    </row>
    <row r="40245" ht="14.25" customHeight="1" s="192">
      <c r="W40245" s="235" t="n"/>
      <c r="X40245" s="235" t="n"/>
    </row>
    <row r="40246" ht="14.25" customHeight="1" s="192">
      <c r="W40246" s="239" t="n"/>
      <c r="X40246" s="239" t="n"/>
    </row>
    <row r="40247" ht="14.25" customHeight="1" s="192">
      <c r="W40247" s="239" t="n"/>
      <c r="X40247" s="239" t="n"/>
    </row>
    <row r="40248" ht="14.25" customHeight="1" s="192">
      <c r="W40248" s="239" t="n"/>
      <c r="X40248" s="239" t="n"/>
    </row>
    <row r="40249" ht="14.25" customHeight="1" s="192">
      <c r="W40249" s="235" t="n"/>
      <c r="X40249" s="235" t="n"/>
    </row>
    <row r="40250" ht="14.25" customHeight="1" s="192">
      <c r="W40250" s="235" t="n"/>
      <c r="X40250" s="235" t="n"/>
    </row>
    <row r="40251" ht="14.25" customHeight="1" s="192">
      <c r="W40251" s="235" t="n"/>
      <c r="X40251" s="235" t="n"/>
    </row>
    <row r="40252" ht="14.25" customHeight="1" s="192">
      <c r="W40252" s="239" t="n"/>
      <c r="X40252" s="239" t="n"/>
    </row>
    <row r="40253" ht="14.25" customHeight="1" s="192">
      <c r="W40253" s="239" t="n"/>
      <c r="X40253" s="239" t="n"/>
    </row>
    <row r="40254" ht="14.25" customHeight="1" s="192">
      <c r="W40254" s="235" t="n"/>
      <c r="X40254" s="235" t="n"/>
    </row>
    <row r="40255" ht="14.25" customHeight="1" s="192">
      <c r="W40255" s="235" t="n"/>
      <c r="X40255" s="235" t="n"/>
    </row>
    <row r="40256" ht="14.25" customHeight="1" s="192">
      <c r="W40256" s="239" t="n"/>
      <c r="X40256" s="239" t="n"/>
    </row>
    <row r="40257" ht="14.25" customHeight="1" s="192">
      <c r="W40257" s="235" t="n"/>
      <c r="X40257" s="235" t="n"/>
    </row>
    <row r="40258" ht="14.25" customHeight="1" s="192">
      <c r="W40258" s="239" t="n"/>
      <c r="X40258" s="239" t="n"/>
    </row>
    <row r="40260" ht="14.25" customHeight="1" s="192">
      <c r="W40260" s="235" t="n"/>
      <c r="X40260" s="235" t="n"/>
    </row>
    <row r="40261" ht="15" customHeight="1" s="192" thickBot="1">
      <c r="W40261" s="239" t="n"/>
      <c r="X40261" s="239" t="n"/>
    </row>
    <row r="40262" ht="15" customHeight="1" s="192" thickBot="1">
      <c r="W40262" s="45" t="n"/>
      <c r="X40262" s="45" t="n"/>
    </row>
    <row r="40263" ht="14.25" customHeight="1" s="192">
      <c r="W40263" s="228" t="n"/>
      <c r="X40263" s="228" t="n"/>
    </row>
    <row r="40264" ht="14.25" customHeight="1" s="192">
      <c r="W40264" s="228" t="n"/>
      <c r="X40264" s="228" t="n"/>
    </row>
    <row r="40265" ht="14.25" customHeight="1" s="192">
      <c r="W40265" s="231" t="n"/>
      <c r="X40265" s="231" t="n"/>
    </row>
    <row r="40266" ht="14.25" customHeight="1" s="192">
      <c r="W40266" s="33" t="n"/>
      <c r="X40266" s="33" t="n"/>
    </row>
    <row r="40267" ht="14.25" customHeight="1" s="192">
      <c r="W40267" s="231" t="n"/>
      <c r="X40267" s="231" t="n"/>
    </row>
    <row r="40268" ht="14.25" customHeight="1" s="192">
      <c r="W40268" s="33" t="n"/>
      <c r="X40268" s="33" t="n"/>
    </row>
    <row r="40270" ht="14.25" customHeight="1" s="192">
      <c r="W40270" s="231" t="n"/>
      <c r="X40270" s="231" t="n"/>
    </row>
    <row r="40271" ht="14.25" customHeight="1" s="192">
      <c r="W40271" s="235" t="n"/>
      <c r="X40271" s="235" t="n"/>
    </row>
    <row r="40272" ht="14.25" customHeight="1" s="192">
      <c r="W40272" s="228" t="n"/>
      <c r="X40272" s="228" t="n"/>
    </row>
    <row r="40273" ht="14.25" customHeight="1" s="192">
      <c r="W40273" s="235" t="n"/>
      <c r="X40273" s="235" t="n"/>
    </row>
    <row r="40274" ht="14.25" customHeight="1" s="192">
      <c r="W40274" s="235" t="n"/>
      <c r="X40274" s="235" t="n"/>
    </row>
    <row r="40275" ht="14.25" customHeight="1" s="192">
      <c r="W40275" s="235" t="n"/>
      <c r="X40275" s="235" t="n"/>
    </row>
    <row r="40276" ht="14.25" customHeight="1" s="192">
      <c r="W40276" s="239" t="n"/>
      <c r="X40276" s="239" t="n"/>
    </row>
    <row r="40277" ht="14.25" customHeight="1" s="192">
      <c r="W40277" s="239" t="n"/>
      <c r="X40277" s="239" t="n"/>
    </row>
    <row r="40278" ht="14.25" customHeight="1" s="192">
      <c r="W40278" s="239" t="n"/>
      <c r="X40278" s="239" t="n"/>
    </row>
    <row r="40279" ht="14.25" customHeight="1" s="192">
      <c r="W40279" s="235" t="n"/>
      <c r="X40279" s="235" t="n"/>
    </row>
    <row r="40280" ht="14.25" customHeight="1" s="192">
      <c r="W40280" s="235" t="n"/>
      <c r="X40280" s="235" t="n"/>
    </row>
    <row r="40281" ht="14.25" customHeight="1" s="192">
      <c r="W40281" s="235" t="n"/>
      <c r="X40281" s="235" t="n"/>
    </row>
    <row r="40282" ht="14.25" customHeight="1" s="192">
      <c r="W40282" s="239" t="n"/>
      <c r="X40282" s="239" t="n"/>
    </row>
    <row r="40283" ht="14.25" customHeight="1" s="192">
      <c r="W40283" s="239" t="n"/>
      <c r="X40283" s="239" t="n"/>
    </row>
    <row r="40284" ht="14.25" customHeight="1" s="192">
      <c r="W40284" s="235" t="n"/>
      <c r="X40284" s="235" t="n"/>
    </row>
    <row r="40285" ht="14.25" customHeight="1" s="192">
      <c r="W40285" s="235" t="n"/>
      <c r="X40285" s="235" t="n"/>
    </row>
    <row r="40286" ht="14.25" customHeight="1" s="192">
      <c r="W40286" s="239" t="n"/>
      <c r="X40286" s="239" t="n"/>
    </row>
    <row r="40287" ht="14.25" customHeight="1" s="192">
      <c r="W40287" s="235" t="n"/>
      <c r="X40287" s="235" t="n"/>
    </row>
    <row r="40288" ht="14.25" customHeight="1" s="192">
      <c r="W40288" s="239" t="n"/>
      <c r="X40288" s="239" t="n"/>
    </row>
    <row r="40290" ht="14.25" customHeight="1" s="192">
      <c r="W40290" s="235" t="n"/>
      <c r="X40290" s="235" t="n"/>
    </row>
    <row r="40291" ht="15" customHeight="1" s="192" thickBot="1">
      <c r="W40291" s="239" t="n"/>
      <c r="X40291" s="239" t="n"/>
    </row>
    <row r="40292" ht="15" customHeight="1" s="192" thickBot="1">
      <c r="W40292" s="45" t="n"/>
      <c r="X40292" s="45" t="n"/>
    </row>
    <row r="40293" ht="14.25" customHeight="1" s="192">
      <c r="W40293" s="228" t="n"/>
      <c r="X40293" s="228" t="n"/>
    </row>
    <row r="40294" ht="14.25" customHeight="1" s="192">
      <c r="W40294" s="228" t="n"/>
      <c r="X40294" s="228" t="n"/>
    </row>
    <row r="40295" ht="14.25" customHeight="1" s="192">
      <c r="W40295" s="231" t="n"/>
      <c r="X40295" s="231" t="n"/>
    </row>
    <row r="40296" ht="14.25" customHeight="1" s="192">
      <c r="W40296" s="33" t="n"/>
      <c r="X40296" s="33" t="n"/>
    </row>
    <row r="40297" ht="14.25" customHeight="1" s="192">
      <c r="W40297" s="231" t="n"/>
      <c r="X40297" s="231" t="n"/>
    </row>
    <row r="40298" ht="14.25" customHeight="1" s="192">
      <c r="W40298" s="33" t="n"/>
      <c r="X40298" s="33" t="n"/>
    </row>
    <row r="40300" ht="14.25" customHeight="1" s="192">
      <c r="W40300" s="231" t="n"/>
      <c r="X40300" s="231" t="n"/>
    </row>
    <row r="40301" ht="14.25" customHeight="1" s="192">
      <c r="W40301" s="235" t="n"/>
      <c r="X40301" s="235" t="n"/>
    </row>
    <row r="40302" ht="14.25" customHeight="1" s="192">
      <c r="W40302" s="228" t="n"/>
      <c r="X40302" s="228" t="n"/>
    </row>
    <row r="40303" ht="14.25" customHeight="1" s="192">
      <c r="W40303" s="235" t="n"/>
      <c r="X40303" s="235" t="n"/>
    </row>
    <row r="40304" ht="14.25" customHeight="1" s="192">
      <c r="W40304" s="235" t="n"/>
      <c r="X40304" s="235" t="n"/>
    </row>
    <row r="40305" ht="14.25" customHeight="1" s="192">
      <c r="W40305" s="235" t="n"/>
      <c r="X40305" s="235" t="n"/>
    </row>
    <row r="40306" ht="14.25" customHeight="1" s="192">
      <c r="W40306" s="239" t="n"/>
      <c r="X40306" s="239" t="n"/>
    </row>
    <row r="40307" ht="14.25" customHeight="1" s="192">
      <c r="W40307" s="239" t="n"/>
      <c r="X40307" s="239" t="n"/>
    </row>
    <row r="40308" ht="14.25" customHeight="1" s="192">
      <c r="W40308" s="239" t="n"/>
      <c r="X40308" s="239" t="n"/>
    </row>
    <row r="40309" ht="14.25" customHeight="1" s="192">
      <c r="W40309" s="235" t="n"/>
      <c r="X40309" s="235" t="n"/>
    </row>
    <row r="40310" ht="14.25" customHeight="1" s="192">
      <c r="W40310" s="235" t="n"/>
      <c r="X40310" s="235" t="n"/>
    </row>
    <row r="40311" ht="14.25" customHeight="1" s="192">
      <c r="W40311" s="235" t="n"/>
      <c r="X40311" s="235" t="n"/>
    </row>
    <row r="40312" ht="14.25" customHeight="1" s="192">
      <c r="W40312" s="239" t="n"/>
      <c r="X40312" s="239" t="n"/>
    </row>
    <row r="40313" ht="14.25" customHeight="1" s="192">
      <c r="W40313" s="239" t="n"/>
      <c r="X40313" s="239" t="n"/>
    </row>
    <row r="40314" ht="14.25" customHeight="1" s="192">
      <c r="W40314" s="235" t="n"/>
      <c r="X40314" s="235" t="n"/>
    </row>
    <row r="40315" ht="14.25" customHeight="1" s="192">
      <c r="W40315" s="235" t="n"/>
      <c r="X40315" s="235" t="n"/>
    </row>
    <row r="40316" ht="14.25" customHeight="1" s="192">
      <c r="W40316" s="239" t="n"/>
      <c r="X40316" s="239" t="n"/>
    </row>
    <row r="40317" ht="14.25" customHeight="1" s="192">
      <c r="W40317" s="235" t="n"/>
      <c r="X40317" s="235" t="n"/>
    </row>
    <row r="40318" ht="14.25" customHeight="1" s="192">
      <c r="W40318" s="239" t="n"/>
      <c r="X40318" s="239" t="n"/>
    </row>
    <row r="40320" ht="14.25" customHeight="1" s="192">
      <c r="W40320" s="235" t="n"/>
      <c r="X40320" s="235" t="n"/>
    </row>
    <row r="40321" ht="15" customHeight="1" s="192" thickBot="1">
      <c r="W40321" s="239" t="n"/>
      <c r="X40321" s="239" t="n"/>
    </row>
    <row r="40322" ht="15" customHeight="1" s="192" thickBot="1">
      <c r="W40322" s="45" t="n"/>
      <c r="X40322" s="45" t="n"/>
    </row>
    <row r="40323" ht="14.25" customHeight="1" s="192">
      <c r="W40323" s="228" t="n"/>
      <c r="X40323" s="228" t="n"/>
    </row>
    <row r="40324" ht="14.25" customHeight="1" s="192">
      <c r="W40324" s="228" t="n"/>
      <c r="X40324" s="228" t="n"/>
    </row>
    <row r="40325" ht="14.25" customHeight="1" s="192">
      <c r="W40325" s="231" t="n"/>
      <c r="X40325" s="231" t="n"/>
    </row>
    <row r="40326" ht="14.25" customHeight="1" s="192">
      <c r="W40326" s="33" t="n"/>
      <c r="X40326" s="33" t="n"/>
    </row>
    <row r="40327" ht="14.25" customHeight="1" s="192">
      <c r="W40327" s="231" t="n"/>
      <c r="X40327" s="231" t="n"/>
    </row>
    <row r="40328" ht="14.25" customHeight="1" s="192">
      <c r="W40328" s="33" t="n"/>
      <c r="X40328" s="33" t="n"/>
    </row>
    <row r="40330" ht="14.25" customHeight="1" s="192">
      <c r="W40330" s="231" t="n"/>
      <c r="X40330" s="231" t="n"/>
    </row>
    <row r="40331" ht="14.25" customHeight="1" s="192">
      <c r="W40331" s="235" t="n"/>
      <c r="X40331" s="235" t="n"/>
    </row>
    <row r="40332" ht="14.25" customHeight="1" s="192">
      <c r="W40332" s="228" t="n"/>
      <c r="X40332" s="228" t="n"/>
    </row>
    <row r="40333" ht="14.25" customHeight="1" s="192">
      <c r="W40333" s="235" t="n"/>
      <c r="X40333" s="235" t="n"/>
    </row>
    <row r="40334" ht="14.25" customHeight="1" s="192">
      <c r="W40334" s="235" t="n"/>
      <c r="X40334" s="235" t="n"/>
    </row>
    <row r="40335" ht="14.25" customHeight="1" s="192">
      <c r="W40335" s="235" t="n"/>
      <c r="X40335" s="235" t="n"/>
    </row>
    <row r="40336" ht="14.25" customHeight="1" s="192">
      <c r="W40336" s="239" t="n"/>
      <c r="X40336" s="239" t="n"/>
    </row>
    <row r="40337" ht="14.25" customHeight="1" s="192">
      <c r="W40337" s="239" t="n"/>
      <c r="X40337" s="239" t="n"/>
    </row>
    <row r="40338" ht="14.25" customHeight="1" s="192">
      <c r="W40338" s="239" t="n"/>
      <c r="X40338" s="239" t="n"/>
    </row>
    <row r="40339" ht="14.25" customHeight="1" s="192">
      <c r="W40339" s="235" t="n"/>
      <c r="X40339" s="235" t="n"/>
    </row>
    <row r="40340" ht="14.25" customHeight="1" s="192">
      <c r="W40340" s="235" t="n"/>
      <c r="X40340" s="235" t="n"/>
    </row>
    <row r="40341" ht="14.25" customHeight="1" s="192">
      <c r="W40341" s="235" t="n"/>
      <c r="X40341" s="235" t="n"/>
    </row>
    <row r="40342" ht="14.25" customHeight="1" s="192">
      <c r="W40342" s="239" t="n"/>
      <c r="X40342" s="239" t="n"/>
    </row>
    <row r="40343" ht="14.25" customHeight="1" s="192">
      <c r="W40343" s="239" t="n"/>
      <c r="X40343" s="239" t="n"/>
    </row>
    <row r="40344" ht="14.25" customHeight="1" s="192">
      <c r="W40344" s="235" t="n"/>
      <c r="X40344" s="235" t="n"/>
    </row>
    <row r="40345" ht="14.25" customHeight="1" s="192">
      <c r="W40345" s="235" t="n"/>
      <c r="X40345" s="235" t="n"/>
    </row>
    <row r="40346" ht="14.25" customHeight="1" s="192">
      <c r="W40346" s="239" t="n"/>
      <c r="X40346" s="239" t="n"/>
    </row>
    <row r="40347" ht="14.25" customHeight="1" s="192">
      <c r="W40347" s="235" t="n"/>
      <c r="X40347" s="235" t="n"/>
    </row>
    <row r="40348" ht="14.25" customHeight="1" s="192">
      <c r="W40348" s="239" t="n"/>
      <c r="X40348" s="239" t="n"/>
    </row>
    <row r="40350" ht="14.25" customHeight="1" s="192">
      <c r="W40350" s="235" t="n"/>
      <c r="X40350" s="235" t="n"/>
    </row>
    <row r="40351" ht="15" customHeight="1" s="192" thickBot="1">
      <c r="W40351" s="239" t="n"/>
      <c r="X40351" s="239" t="n"/>
    </row>
    <row r="40352" ht="15" customHeight="1" s="192" thickBot="1">
      <c r="W40352" s="45" t="n"/>
      <c r="X40352" s="45" t="n"/>
    </row>
    <row r="40353" ht="14.25" customHeight="1" s="192">
      <c r="W40353" s="228" t="n"/>
      <c r="X40353" s="228" t="n"/>
    </row>
    <row r="40354" ht="14.25" customHeight="1" s="192">
      <c r="W40354" s="228" t="n"/>
      <c r="X40354" s="228" t="n"/>
    </row>
    <row r="40355" ht="14.25" customHeight="1" s="192">
      <c r="W40355" s="231" t="n"/>
      <c r="X40355" s="231" t="n"/>
    </row>
    <row r="40356" ht="14.25" customHeight="1" s="192">
      <c r="W40356" s="33" t="n"/>
      <c r="X40356" s="33" t="n"/>
    </row>
    <row r="40357" ht="14.25" customHeight="1" s="192">
      <c r="W40357" s="231" t="n"/>
      <c r="X40357" s="231" t="n"/>
    </row>
    <row r="40358" ht="14.25" customHeight="1" s="192">
      <c r="W40358" s="33" t="n"/>
      <c r="X40358" s="33" t="n"/>
    </row>
    <row r="40360" ht="14.25" customHeight="1" s="192">
      <c r="W40360" s="231" t="n"/>
      <c r="X40360" s="231" t="n"/>
    </row>
    <row r="40361" ht="14.25" customHeight="1" s="192">
      <c r="W40361" s="235" t="n"/>
      <c r="X40361" s="235" t="n"/>
    </row>
    <row r="40362" ht="14.25" customHeight="1" s="192">
      <c r="W40362" s="228" t="n"/>
      <c r="X40362" s="228" t="n"/>
    </row>
    <row r="40363" ht="14.25" customHeight="1" s="192">
      <c r="W40363" s="235" t="n"/>
      <c r="X40363" s="235" t="n"/>
    </row>
    <row r="40364" ht="14.25" customHeight="1" s="192">
      <c r="W40364" s="235" t="n"/>
      <c r="X40364" s="235" t="n"/>
    </row>
    <row r="40365" ht="14.25" customHeight="1" s="192">
      <c r="W40365" s="235" t="n"/>
      <c r="X40365" s="235" t="n"/>
    </row>
    <row r="40366" ht="14.25" customHeight="1" s="192">
      <c r="W40366" s="239" t="n"/>
      <c r="X40366" s="239" t="n"/>
    </row>
    <row r="40367" ht="14.25" customHeight="1" s="192">
      <c r="W40367" s="239" t="n"/>
      <c r="X40367" s="239" t="n"/>
    </row>
    <row r="40368" ht="14.25" customHeight="1" s="192">
      <c r="W40368" s="239" t="n"/>
      <c r="X40368" s="239" t="n"/>
    </row>
    <row r="40369" ht="14.25" customHeight="1" s="192">
      <c r="W40369" s="235" t="n"/>
      <c r="X40369" s="235" t="n"/>
    </row>
    <row r="40370" ht="14.25" customHeight="1" s="192">
      <c r="W40370" s="235" t="n"/>
      <c r="X40370" s="235" t="n"/>
    </row>
    <row r="40371" ht="14.25" customHeight="1" s="192">
      <c r="W40371" s="235" t="n"/>
      <c r="X40371" s="235" t="n"/>
    </row>
    <row r="40372" ht="14.25" customHeight="1" s="192">
      <c r="W40372" s="239" t="n"/>
      <c r="X40372" s="239" t="n"/>
    </row>
    <row r="40373" ht="14.25" customHeight="1" s="192">
      <c r="W40373" s="239" t="n"/>
      <c r="X40373" s="239" t="n"/>
    </row>
    <row r="40374" ht="14.25" customHeight="1" s="192">
      <c r="W40374" s="235" t="n"/>
      <c r="X40374" s="235" t="n"/>
    </row>
    <row r="40375" ht="14.25" customHeight="1" s="192">
      <c r="W40375" s="235" t="n"/>
      <c r="X40375" s="235" t="n"/>
    </row>
    <row r="40376" ht="14.25" customHeight="1" s="192">
      <c r="W40376" s="239" t="n"/>
      <c r="X40376" s="239" t="n"/>
    </row>
    <row r="40377" ht="14.25" customHeight="1" s="192">
      <c r="W40377" s="235" t="n"/>
      <c r="X40377" s="235" t="n"/>
    </row>
    <row r="40378" ht="14.25" customHeight="1" s="192">
      <c r="W40378" s="239" t="n"/>
      <c r="X40378" s="239" t="n"/>
    </row>
    <row r="40380" ht="14.25" customHeight="1" s="192">
      <c r="W40380" s="235" t="n"/>
      <c r="X40380" s="235" t="n"/>
    </row>
    <row r="40381" ht="15" customHeight="1" s="192" thickBot="1">
      <c r="W40381" s="239" t="n"/>
      <c r="X40381" s="239" t="n"/>
    </row>
    <row r="40382" ht="15" customHeight="1" s="192" thickBot="1">
      <c r="W40382" s="45" t="n"/>
      <c r="X40382" s="45" t="n"/>
    </row>
    <row r="40383" ht="14.25" customHeight="1" s="192">
      <c r="W40383" s="228" t="n"/>
      <c r="X40383" s="228" t="n"/>
    </row>
    <row r="40384" ht="14.25" customHeight="1" s="192">
      <c r="W40384" s="228" t="n"/>
      <c r="X40384" s="228" t="n"/>
    </row>
    <row r="40385" ht="14.25" customHeight="1" s="192">
      <c r="W40385" s="231" t="n"/>
      <c r="X40385" s="231" t="n"/>
    </row>
    <row r="40386" ht="14.25" customHeight="1" s="192">
      <c r="W40386" s="33" t="n"/>
      <c r="X40386" s="33" t="n"/>
    </row>
    <row r="40387" ht="14.25" customHeight="1" s="192">
      <c r="W40387" s="231" t="n"/>
      <c r="X40387" s="231" t="n"/>
    </row>
    <row r="40388" ht="14.25" customHeight="1" s="192">
      <c r="W40388" s="33" t="n"/>
      <c r="X40388" s="33" t="n"/>
    </row>
    <row r="40390" ht="14.25" customHeight="1" s="192">
      <c r="W40390" s="231" t="n"/>
      <c r="X40390" s="231" t="n"/>
    </row>
    <row r="40391" ht="14.25" customHeight="1" s="192">
      <c r="W40391" s="235" t="n"/>
      <c r="X40391" s="235" t="n"/>
    </row>
    <row r="40392" ht="14.25" customHeight="1" s="192">
      <c r="W40392" s="228" t="n"/>
      <c r="X40392" s="228" t="n"/>
    </row>
    <row r="40393" ht="14.25" customHeight="1" s="192">
      <c r="W40393" s="235" t="n"/>
      <c r="X40393" s="235" t="n"/>
    </row>
    <row r="40394" ht="14.25" customHeight="1" s="192">
      <c r="W40394" s="235" t="n"/>
      <c r="X40394" s="235" t="n"/>
    </row>
    <row r="40395" ht="14.25" customHeight="1" s="192">
      <c r="W40395" s="235" t="n"/>
      <c r="X40395" s="235" t="n"/>
    </row>
    <row r="40396" ht="14.25" customHeight="1" s="192">
      <c r="W40396" s="239" t="n"/>
      <c r="X40396" s="239" t="n"/>
    </row>
    <row r="40397" ht="14.25" customHeight="1" s="192">
      <c r="W40397" s="239" t="n"/>
      <c r="X40397" s="239" t="n"/>
    </row>
    <row r="40398" ht="14.25" customHeight="1" s="192">
      <c r="W40398" s="239" t="n"/>
      <c r="X40398" s="239" t="n"/>
    </row>
    <row r="40399" ht="14.25" customHeight="1" s="192">
      <c r="W40399" s="235" t="n"/>
      <c r="X40399" s="235" t="n"/>
    </row>
    <row r="40400" ht="14.25" customHeight="1" s="192">
      <c r="W40400" s="235" t="n"/>
      <c r="X40400" s="235" t="n"/>
    </row>
    <row r="40401" ht="14.25" customHeight="1" s="192">
      <c r="W40401" s="235" t="n"/>
      <c r="X40401" s="235" t="n"/>
    </row>
    <row r="40402" ht="14.25" customHeight="1" s="192">
      <c r="W40402" s="239" t="n"/>
      <c r="X40402" s="239" t="n"/>
    </row>
    <row r="40403" ht="14.25" customHeight="1" s="192">
      <c r="W40403" s="239" t="n"/>
      <c r="X40403" s="239" t="n"/>
    </row>
    <row r="40404" ht="14.25" customHeight="1" s="192">
      <c r="W40404" s="235" t="n"/>
      <c r="X40404" s="235" t="n"/>
    </row>
    <row r="40405" ht="14.25" customHeight="1" s="192">
      <c r="W40405" s="235" t="n"/>
      <c r="X40405" s="235" t="n"/>
    </row>
    <row r="40406" ht="14.25" customHeight="1" s="192">
      <c r="W40406" s="239" t="n"/>
      <c r="X40406" s="239" t="n"/>
    </row>
    <row r="40407" ht="14.25" customHeight="1" s="192">
      <c r="W40407" s="235" t="n"/>
      <c r="X40407" s="235" t="n"/>
    </row>
    <row r="40408" ht="14.25" customHeight="1" s="192">
      <c r="W40408" s="239" t="n"/>
      <c r="X40408" s="239" t="n"/>
    </row>
    <row r="40410" ht="14.25" customHeight="1" s="192">
      <c r="W40410" s="235" t="n"/>
      <c r="X40410" s="235" t="n"/>
    </row>
    <row r="40411" ht="15" customHeight="1" s="192" thickBot="1">
      <c r="W40411" s="239" t="n"/>
      <c r="X40411" s="239" t="n"/>
    </row>
    <row r="40412" ht="15" customHeight="1" s="192" thickBot="1">
      <c r="W40412" s="45" t="n"/>
      <c r="X40412" s="45" t="n"/>
    </row>
    <row r="40413" ht="14.25" customHeight="1" s="192">
      <c r="W40413" s="228" t="n"/>
      <c r="X40413" s="228" t="n"/>
    </row>
    <row r="40414" ht="14.25" customHeight="1" s="192">
      <c r="W40414" s="228" t="n"/>
      <c r="X40414" s="228" t="n"/>
    </row>
    <row r="40415" ht="14.25" customHeight="1" s="192">
      <c r="W40415" s="231" t="n"/>
      <c r="X40415" s="231" t="n"/>
    </row>
    <row r="40416" ht="14.25" customHeight="1" s="192">
      <c r="W40416" s="33" t="n"/>
      <c r="X40416" s="33" t="n"/>
    </row>
    <row r="40417" ht="14.25" customHeight="1" s="192">
      <c r="W40417" s="231" t="n"/>
      <c r="X40417" s="231" t="n"/>
    </row>
    <row r="40418" ht="14.25" customHeight="1" s="192">
      <c r="W40418" s="33" t="n"/>
      <c r="X40418" s="33" t="n"/>
    </row>
    <row r="40420" ht="14.25" customHeight="1" s="192">
      <c r="W40420" s="231" t="n"/>
      <c r="X40420" s="231" t="n"/>
    </row>
    <row r="40421" ht="14.25" customHeight="1" s="192">
      <c r="W40421" s="235" t="n"/>
      <c r="X40421" s="235" t="n"/>
    </row>
    <row r="40422" ht="14.25" customHeight="1" s="192">
      <c r="W40422" s="228" t="n"/>
      <c r="X40422" s="228" t="n"/>
    </row>
    <row r="40423" ht="14.25" customHeight="1" s="192">
      <c r="W40423" s="235" t="n"/>
      <c r="X40423" s="235" t="n"/>
    </row>
    <row r="40424" ht="14.25" customHeight="1" s="192">
      <c r="W40424" s="235" t="n"/>
      <c r="X40424" s="235" t="n"/>
    </row>
    <row r="40425" ht="14.25" customHeight="1" s="192">
      <c r="W40425" s="235" t="n"/>
      <c r="X40425" s="235" t="n"/>
    </row>
    <row r="40426" ht="14.25" customHeight="1" s="192">
      <c r="W40426" s="239" t="n"/>
      <c r="X40426" s="239" t="n"/>
    </row>
    <row r="40427" ht="14.25" customHeight="1" s="192">
      <c r="W40427" s="239" t="n"/>
      <c r="X40427" s="239" t="n"/>
    </row>
    <row r="40428" ht="14.25" customHeight="1" s="192">
      <c r="W40428" s="239" t="n"/>
      <c r="X40428" s="239" t="n"/>
    </row>
    <row r="40429" ht="14.25" customHeight="1" s="192">
      <c r="W40429" s="235" t="n"/>
      <c r="X40429" s="235" t="n"/>
    </row>
    <row r="40430" ht="14.25" customHeight="1" s="192">
      <c r="W40430" s="235" t="n"/>
      <c r="X40430" s="235" t="n"/>
    </row>
    <row r="40431" ht="14.25" customHeight="1" s="192">
      <c r="W40431" s="235" t="n"/>
      <c r="X40431" s="235" t="n"/>
    </row>
    <row r="40432" ht="14.25" customHeight="1" s="192">
      <c r="W40432" s="239" t="n"/>
      <c r="X40432" s="239" t="n"/>
    </row>
    <row r="40433" ht="14.25" customHeight="1" s="192">
      <c r="W40433" s="239" t="n"/>
      <c r="X40433" s="239" t="n"/>
    </row>
    <row r="40434" ht="14.25" customHeight="1" s="192">
      <c r="W40434" s="235" t="n"/>
      <c r="X40434" s="235" t="n"/>
    </row>
    <row r="40435" ht="14.25" customHeight="1" s="192">
      <c r="W40435" s="235" t="n"/>
      <c r="X40435" s="235" t="n"/>
    </row>
    <row r="40436" ht="14.25" customHeight="1" s="192">
      <c r="W40436" s="239" t="n"/>
      <c r="X40436" s="239" t="n"/>
    </row>
    <row r="40437" ht="14.25" customHeight="1" s="192">
      <c r="W40437" s="235" t="n"/>
      <c r="X40437" s="235" t="n"/>
    </row>
    <row r="40438" ht="14.25" customHeight="1" s="192">
      <c r="W40438" s="239" t="n"/>
      <c r="X40438" s="239" t="n"/>
    </row>
    <row r="40440" ht="14.25" customHeight="1" s="192">
      <c r="W40440" s="235" t="n"/>
      <c r="X40440" s="235" t="n"/>
    </row>
    <row r="40441" ht="15" customHeight="1" s="192" thickBot="1">
      <c r="W40441" s="239" t="n"/>
      <c r="X40441" s="239" t="n"/>
    </row>
    <row r="40442" ht="15" customHeight="1" s="192" thickBot="1">
      <c r="W40442" s="45" t="n"/>
      <c r="X40442" s="45" t="n"/>
    </row>
    <row r="40443" ht="14.25" customHeight="1" s="192">
      <c r="W40443" s="228" t="n"/>
      <c r="X40443" s="228" t="n"/>
    </row>
    <row r="40444" ht="14.25" customHeight="1" s="192">
      <c r="W40444" s="228" t="n"/>
      <c r="X40444" s="228" t="n"/>
    </row>
    <row r="40445" ht="14.25" customHeight="1" s="192">
      <c r="W40445" s="231" t="n"/>
      <c r="X40445" s="231" t="n"/>
    </row>
    <row r="40446" ht="14.25" customHeight="1" s="192">
      <c r="W40446" s="33" t="n"/>
      <c r="X40446" s="33" t="n"/>
    </row>
    <row r="40447" ht="14.25" customHeight="1" s="192">
      <c r="W40447" s="231" t="n"/>
      <c r="X40447" s="231" t="n"/>
    </row>
    <row r="40448" ht="14.25" customHeight="1" s="192">
      <c r="W40448" s="33" t="n"/>
      <c r="X40448" s="33" t="n"/>
    </row>
    <row r="40450" ht="14.25" customHeight="1" s="192">
      <c r="W40450" s="231" t="n"/>
      <c r="X40450" s="231" t="n"/>
    </row>
    <row r="40451" ht="14.25" customHeight="1" s="192">
      <c r="W40451" s="235" t="n"/>
      <c r="X40451" s="235" t="n"/>
    </row>
    <row r="40452" ht="14.25" customHeight="1" s="192">
      <c r="W40452" s="228" t="n"/>
      <c r="X40452" s="228" t="n"/>
    </row>
    <row r="40453" ht="14.25" customHeight="1" s="192">
      <c r="W40453" s="235" t="n"/>
      <c r="X40453" s="235" t="n"/>
    </row>
    <row r="40454" ht="14.25" customHeight="1" s="192">
      <c r="W40454" s="235" t="n"/>
      <c r="X40454" s="235" t="n"/>
    </row>
    <row r="40455" ht="14.25" customHeight="1" s="192">
      <c r="W40455" s="235" t="n"/>
      <c r="X40455" s="235" t="n"/>
    </row>
    <row r="40456" ht="14.25" customHeight="1" s="192">
      <c r="W40456" s="239" t="n"/>
      <c r="X40456" s="239" t="n"/>
    </row>
    <row r="40457" ht="14.25" customHeight="1" s="192">
      <c r="W40457" s="239" t="n"/>
      <c r="X40457" s="239" t="n"/>
    </row>
    <row r="40458" ht="14.25" customHeight="1" s="192">
      <c r="W40458" s="239" t="n"/>
      <c r="X40458" s="239" t="n"/>
    </row>
    <row r="40459" ht="14.25" customHeight="1" s="192">
      <c r="W40459" s="235" t="n"/>
      <c r="X40459" s="235" t="n"/>
    </row>
    <row r="40460" ht="14.25" customHeight="1" s="192">
      <c r="W40460" s="235" t="n"/>
      <c r="X40460" s="235" t="n"/>
    </row>
    <row r="40461" ht="14.25" customHeight="1" s="192">
      <c r="W40461" s="235" t="n"/>
      <c r="X40461" s="235" t="n"/>
    </row>
    <row r="40462" ht="14.25" customHeight="1" s="192">
      <c r="W40462" s="239" t="n"/>
      <c r="X40462" s="239" t="n"/>
    </row>
    <row r="40463" ht="14.25" customHeight="1" s="192">
      <c r="W40463" s="239" t="n"/>
      <c r="X40463" s="239" t="n"/>
    </row>
    <row r="40464" ht="14.25" customHeight="1" s="192">
      <c r="W40464" s="235" t="n"/>
      <c r="X40464" s="235" t="n"/>
    </row>
    <row r="40465" ht="14.25" customHeight="1" s="192">
      <c r="W40465" s="235" t="n"/>
      <c r="X40465" s="235" t="n"/>
    </row>
    <row r="40466" ht="14.25" customHeight="1" s="192">
      <c r="W40466" s="239" t="n"/>
      <c r="X40466" s="239" t="n"/>
    </row>
    <row r="40467" ht="14.25" customHeight="1" s="192">
      <c r="W40467" s="235" t="n"/>
      <c r="X40467" s="235" t="n"/>
    </row>
    <row r="40468" ht="14.25" customHeight="1" s="192">
      <c r="W40468" s="239" t="n"/>
      <c r="X40468" s="239" t="n"/>
    </row>
    <row r="40470" ht="14.25" customHeight="1" s="192">
      <c r="W40470" s="235" t="n"/>
      <c r="X40470" s="235" t="n"/>
    </row>
    <row r="40471" ht="15" customHeight="1" s="192" thickBot="1">
      <c r="W40471" s="239" t="n"/>
      <c r="X40471" s="239" t="n"/>
    </row>
    <row r="40472" ht="15" customHeight="1" s="192" thickBot="1">
      <c r="W40472" s="45" t="n"/>
      <c r="X40472" s="45" t="n"/>
    </row>
    <row r="40473" ht="14.25" customHeight="1" s="192">
      <c r="W40473" s="228" t="n"/>
      <c r="X40473" s="228" t="n"/>
    </row>
    <row r="40474" ht="14.25" customHeight="1" s="192">
      <c r="W40474" s="228" t="n"/>
      <c r="X40474" s="228" t="n"/>
    </row>
    <row r="40475" ht="14.25" customHeight="1" s="192">
      <c r="W40475" s="231" t="n"/>
      <c r="X40475" s="231" t="n"/>
    </row>
    <row r="40476" ht="14.25" customHeight="1" s="192">
      <c r="W40476" s="33" t="n"/>
      <c r="X40476" s="33" t="n"/>
    </row>
    <row r="40477" ht="14.25" customHeight="1" s="192">
      <c r="W40477" s="231" t="n"/>
      <c r="X40477" s="231" t="n"/>
    </row>
    <row r="40478" ht="14.25" customHeight="1" s="192">
      <c r="W40478" s="33" t="n"/>
      <c r="X40478" s="33" t="n"/>
    </row>
    <row r="40480" ht="14.25" customHeight="1" s="192">
      <c r="W40480" s="231" t="n"/>
      <c r="X40480" s="231" t="n"/>
    </row>
    <row r="40481" ht="14.25" customHeight="1" s="192">
      <c r="W40481" s="235" t="n"/>
      <c r="X40481" s="235" t="n"/>
    </row>
    <row r="40482" ht="14.25" customHeight="1" s="192">
      <c r="W40482" s="228" t="n"/>
      <c r="X40482" s="228" t="n"/>
    </row>
    <row r="40483" ht="14.25" customHeight="1" s="192">
      <c r="W40483" s="235" t="n"/>
      <c r="X40483" s="235" t="n"/>
    </row>
    <row r="40484" ht="14.25" customHeight="1" s="192">
      <c r="W40484" s="235" t="n"/>
      <c r="X40484" s="235" t="n"/>
    </row>
    <row r="40485" ht="14.25" customHeight="1" s="192">
      <c r="W40485" s="235" t="n"/>
      <c r="X40485" s="235" t="n"/>
    </row>
    <row r="40486" ht="14.25" customHeight="1" s="192">
      <c r="W40486" s="239" t="n"/>
      <c r="X40486" s="239" t="n"/>
    </row>
    <row r="40487" ht="14.25" customHeight="1" s="192">
      <c r="W40487" s="239" t="n"/>
      <c r="X40487" s="239" t="n"/>
    </row>
    <row r="40488" ht="14.25" customHeight="1" s="192">
      <c r="W40488" s="239" t="n"/>
      <c r="X40488" s="239" t="n"/>
    </row>
    <row r="40489" ht="14.25" customHeight="1" s="192">
      <c r="W40489" s="235" t="n"/>
      <c r="X40489" s="235" t="n"/>
    </row>
    <row r="40490" ht="14.25" customHeight="1" s="192">
      <c r="W40490" s="235" t="n"/>
      <c r="X40490" s="235" t="n"/>
    </row>
    <row r="40491" ht="14.25" customHeight="1" s="192">
      <c r="W40491" s="235" t="n"/>
      <c r="X40491" s="235" t="n"/>
    </row>
    <row r="40492" ht="14.25" customHeight="1" s="192">
      <c r="W40492" s="239" t="n"/>
      <c r="X40492" s="239" t="n"/>
    </row>
    <row r="40493" ht="14.25" customHeight="1" s="192">
      <c r="W40493" s="239" t="n"/>
      <c r="X40493" s="239" t="n"/>
    </row>
    <row r="40494" ht="14.25" customHeight="1" s="192">
      <c r="W40494" s="235" t="n"/>
      <c r="X40494" s="235" t="n"/>
    </row>
    <row r="40495" ht="14.25" customHeight="1" s="192">
      <c r="W40495" s="235" t="n"/>
      <c r="X40495" s="235" t="n"/>
    </row>
    <row r="40496" ht="14.25" customHeight="1" s="192">
      <c r="W40496" s="239" t="n"/>
      <c r="X40496" s="239" t="n"/>
    </row>
    <row r="40497" ht="14.25" customHeight="1" s="192">
      <c r="W40497" s="235" t="n"/>
      <c r="X40497" s="235" t="n"/>
    </row>
    <row r="40498" ht="14.25" customHeight="1" s="192">
      <c r="W40498" s="239" t="n"/>
      <c r="X40498" s="239" t="n"/>
    </row>
    <row r="40500" ht="14.25" customHeight="1" s="192">
      <c r="W40500" s="235" t="n"/>
      <c r="X40500" s="235" t="n"/>
    </row>
    <row r="40501" ht="15" customHeight="1" s="192" thickBot="1">
      <c r="W40501" s="239" t="n"/>
      <c r="X40501" s="239" t="n"/>
    </row>
    <row r="40502" ht="15" customHeight="1" s="192" thickBot="1">
      <c r="W40502" s="45" t="n"/>
      <c r="X40502" s="45" t="n"/>
    </row>
    <row r="40503" ht="14.25" customHeight="1" s="192">
      <c r="W40503" s="228" t="n"/>
      <c r="X40503" s="228" t="n"/>
    </row>
    <row r="40504" ht="14.25" customHeight="1" s="192">
      <c r="W40504" s="228" t="n"/>
      <c r="X40504" s="228" t="n"/>
    </row>
    <row r="40505" ht="14.25" customHeight="1" s="192">
      <c r="W40505" s="231" t="n"/>
      <c r="X40505" s="231" t="n"/>
    </row>
    <row r="40506" ht="14.25" customHeight="1" s="192">
      <c r="W40506" s="33" t="n"/>
      <c r="X40506" s="33" t="n"/>
    </row>
    <row r="40507" ht="14.25" customHeight="1" s="192">
      <c r="W40507" s="231" t="n"/>
      <c r="X40507" s="231" t="n"/>
    </row>
    <row r="40508" ht="14.25" customHeight="1" s="192">
      <c r="W40508" s="33" t="n"/>
      <c r="X40508" s="33" t="n"/>
    </row>
    <row r="40510" ht="14.25" customHeight="1" s="192">
      <c r="W40510" s="231" t="n"/>
      <c r="X40510" s="231" t="n"/>
    </row>
    <row r="40511" ht="14.25" customHeight="1" s="192">
      <c r="W40511" s="235" t="n"/>
      <c r="X40511" s="235" t="n"/>
    </row>
    <row r="40512" ht="14.25" customHeight="1" s="192">
      <c r="W40512" s="228" t="n"/>
      <c r="X40512" s="228" t="n"/>
    </row>
    <row r="40513" ht="14.25" customHeight="1" s="192">
      <c r="W40513" s="235" t="n"/>
      <c r="X40513" s="235" t="n"/>
    </row>
    <row r="40514" ht="14.25" customHeight="1" s="192">
      <c r="W40514" s="235" t="n"/>
      <c r="X40514" s="235" t="n"/>
    </row>
    <row r="40515" ht="14.25" customHeight="1" s="192">
      <c r="W40515" s="235" t="n"/>
      <c r="X40515" s="235" t="n"/>
    </row>
    <row r="40516" ht="14.25" customHeight="1" s="192">
      <c r="W40516" s="239" t="n"/>
      <c r="X40516" s="239" t="n"/>
    </row>
    <row r="40517" ht="14.25" customHeight="1" s="192">
      <c r="W40517" s="239" t="n"/>
      <c r="X40517" s="239" t="n"/>
    </row>
    <row r="40518" ht="14.25" customHeight="1" s="192">
      <c r="W40518" s="239" t="n"/>
      <c r="X40518" s="239" t="n"/>
    </row>
    <row r="40519" ht="14.25" customHeight="1" s="192">
      <c r="W40519" s="235" t="n"/>
      <c r="X40519" s="235" t="n"/>
    </row>
    <row r="40520" ht="14.25" customHeight="1" s="192">
      <c r="W40520" s="235" t="n"/>
      <c r="X40520" s="235" t="n"/>
    </row>
    <row r="40521" ht="14.25" customHeight="1" s="192">
      <c r="W40521" s="235" t="n"/>
      <c r="X40521" s="235" t="n"/>
    </row>
    <row r="40522" ht="14.25" customHeight="1" s="192">
      <c r="W40522" s="239" t="n"/>
      <c r="X40522" s="239" t="n"/>
    </row>
    <row r="40523" ht="14.25" customHeight="1" s="192">
      <c r="W40523" s="239" t="n"/>
      <c r="X40523" s="239" t="n"/>
    </row>
    <row r="40524" ht="14.25" customHeight="1" s="192">
      <c r="W40524" s="235" t="n"/>
      <c r="X40524" s="235" t="n"/>
    </row>
    <row r="40525" ht="14.25" customHeight="1" s="192">
      <c r="W40525" s="235" t="n"/>
      <c r="X40525" s="235" t="n"/>
    </row>
    <row r="40526" ht="14.25" customHeight="1" s="192">
      <c r="W40526" s="239" t="n"/>
      <c r="X40526" s="239" t="n"/>
    </row>
    <row r="40527" ht="14.25" customHeight="1" s="192">
      <c r="W40527" s="235" t="n"/>
      <c r="X40527" s="235" t="n"/>
    </row>
    <row r="40528" ht="14.25" customHeight="1" s="192">
      <c r="W40528" s="239" t="n"/>
      <c r="X40528" s="239" t="n"/>
    </row>
    <row r="40530" ht="14.25" customHeight="1" s="192">
      <c r="W40530" s="235" t="n"/>
      <c r="X40530" s="235" t="n"/>
    </row>
    <row r="40531" ht="15" customHeight="1" s="192" thickBot="1">
      <c r="W40531" s="239" t="n"/>
      <c r="X40531" s="239" t="n"/>
    </row>
    <row r="40532" ht="15" customHeight="1" s="192" thickBot="1">
      <c r="W40532" s="45" t="n"/>
      <c r="X40532" s="45" t="n"/>
    </row>
    <row r="40533" ht="14.25" customHeight="1" s="192">
      <c r="W40533" s="228" t="n"/>
      <c r="X40533" s="228" t="n"/>
    </row>
    <row r="40534" ht="14.25" customHeight="1" s="192">
      <c r="W40534" s="228" t="n"/>
      <c r="X40534" s="228" t="n"/>
    </row>
    <row r="40535" ht="14.25" customHeight="1" s="192">
      <c r="W40535" s="231" t="n"/>
      <c r="X40535" s="231" t="n"/>
    </row>
    <row r="40536" ht="14.25" customHeight="1" s="192">
      <c r="W40536" s="33" t="n"/>
      <c r="X40536" s="33" t="n"/>
    </row>
    <row r="40537" ht="14.25" customHeight="1" s="192">
      <c r="W40537" s="231" t="n"/>
      <c r="X40537" s="231" t="n"/>
    </row>
    <row r="40538" ht="14.25" customHeight="1" s="192">
      <c r="W40538" s="33" t="n"/>
      <c r="X40538" s="33" t="n"/>
    </row>
    <row r="40540" ht="14.25" customHeight="1" s="192">
      <c r="W40540" s="231" t="n"/>
      <c r="X40540" s="231" t="n"/>
    </row>
    <row r="40541" ht="14.25" customHeight="1" s="192">
      <c r="W40541" s="235" t="n"/>
      <c r="X40541" s="235" t="n"/>
    </row>
    <row r="40542" ht="14.25" customHeight="1" s="192">
      <c r="W40542" s="228" t="n"/>
      <c r="X40542" s="228" t="n"/>
    </row>
    <row r="40543" ht="14.25" customHeight="1" s="192">
      <c r="W40543" s="235" t="n"/>
      <c r="X40543" s="235" t="n"/>
    </row>
    <row r="40544" ht="14.25" customHeight="1" s="192">
      <c r="W40544" s="235" t="n"/>
      <c r="X40544" s="235" t="n"/>
    </row>
    <row r="40545" ht="14.25" customHeight="1" s="192">
      <c r="W40545" s="235" t="n"/>
      <c r="X40545" s="235" t="n"/>
    </row>
    <row r="40546" ht="14.25" customHeight="1" s="192">
      <c r="W40546" s="239" t="n"/>
      <c r="X40546" s="239" t="n"/>
    </row>
    <row r="40547" ht="14.25" customHeight="1" s="192">
      <c r="W40547" s="239" t="n"/>
      <c r="X40547" s="239" t="n"/>
    </row>
    <row r="40548" ht="14.25" customHeight="1" s="192">
      <c r="W40548" s="239" t="n"/>
      <c r="X40548" s="239" t="n"/>
    </row>
    <row r="40549" ht="14.25" customHeight="1" s="192">
      <c r="W40549" s="235" t="n"/>
      <c r="X40549" s="235" t="n"/>
    </row>
    <row r="40550" ht="14.25" customHeight="1" s="192">
      <c r="W40550" s="235" t="n"/>
      <c r="X40550" s="235" t="n"/>
    </row>
    <row r="40551" ht="14.25" customHeight="1" s="192">
      <c r="W40551" s="235" t="n"/>
      <c r="X40551" s="235" t="n"/>
    </row>
    <row r="40552" ht="14.25" customHeight="1" s="192">
      <c r="W40552" s="239" t="n"/>
      <c r="X40552" s="239" t="n"/>
    </row>
    <row r="40553" ht="14.25" customHeight="1" s="192">
      <c r="W40553" s="239" t="n"/>
      <c r="X40553" s="239" t="n"/>
    </row>
    <row r="40554" ht="14.25" customHeight="1" s="192">
      <c r="W40554" s="235" t="n"/>
      <c r="X40554" s="235" t="n"/>
    </row>
    <row r="40555" ht="14.25" customHeight="1" s="192">
      <c r="W40555" s="235" t="n"/>
      <c r="X40555" s="235" t="n"/>
    </row>
    <row r="40556" ht="14.25" customHeight="1" s="192">
      <c r="W40556" s="239" t="n"/>
      <c r="X40556" s="239" t="n"/>
    </row>
    <row r="40557" ht="14.25" customHeight="1" s="192">
      <c r="W40557" s="235" t="n"/>
      <c r="X40557" s="235" t="n"/>
    </row>
    <row r="40558" ht="14.25" customHeight="1" s="192">
      <c r="W40558" s="239" t="n"/>
      <c r="X40558" s="239" t="n"/>
    </row>
    <row r="40560" ht="14.25" customHeight="1" s="192">
      <c r="W40560" s="235" t="n"/>
      <c r="X40560" s="235" t="n"/>
    </row>
    <row r="40561" ht="15" customHeight="1" s="192" thickBot="1">
      <c r="W40561" s="239" t="n"/>
      <c r="X40561" s="239" t="n"/>
    </row>
    <row r="40562" ht="15" customHeight="1" s="192" thickBot="1">
      <c r="W40562" s="45" t="n"/>
      <c r="X40562" s="45" t="n"/>
    </row>
    <row r="40563" ht="14.25" customHeight="1" s="192">
      <c r="W40563" s="228" t="n"/>
      <c r="X40563" s="228" t="n"/>
    </row>
    <row r="40564" ht="14.25" customHeight="1" s="192">
      <c r="W40564" s="228" t="n"/>
      <c r="X40564" s="228" t="n"/>
    </row>
    <row r="40565" ht="14.25" customHeight="1" s="192">
      <c r="W40565" s="231" t="n"/>
      <c r="X40565" s="231" t="n"/>
    </row>
    <row r="40566" ht="14.25" customHeight="1" s="192">
      <c r="W40566" s="33" t="n"/>
      <c r="X40566" s="33" t="n"/>
    </row>
    <row r="40567" ht="14.25" customHeight="1" s="192">
      <c r="W40567" s="231" t="n"/>
      <c r="X40567" s="231" t="n"/>
    </row>
    <row r="40568" ht="14.25" customHeight="1" s="192">
      <c r="W40568" s="33" t="n"/>
      <c r="X40568" s="33" t="n"/>
    </row>
    <row r="40570" ht="14.25" customHeight="1" s="192">
      <c r="W40570" s="231" t="n"/>
      <c r="X40570" s="231" t="n"/>
    </row>
    <row r="40571" ht="14.25" customHeight="1" s="192">
      <c r="W40571" s="235" t="n"/>
      <c r="X40571" s="235" t="n"/>
    </row>
    <row r="40572" ht="14.25" customHeight="1" s="192">
      <c r="W40572" s="228" t="n"/>
      <c r="X40572" s="228" t="n"/>
    </row>
    <row r="40573" ht="14.25" customHeight="1" s="192">
      <c r="W40573" s="235" t="n"/>
      <c r="X40573" s="235" t="n"/>
    </row>
    <row r="40574" ht="14.25" customHeight="1" s="192">
      <c r="W40574" s="235" t="n"/>
      <c r="X40574" s="235" t="n"/>
    </row>
    <row r="40575" ht="14.25" customHeight="1" s="192">
      <c r="W40575" s="235" t="n"/>
      <c r="X40575" s="235" t="n"/>
    </row>
    <row r="40576" ht="14.25" customHeight="1" s="192">
      <c r="W40576" s="239" t="n"/>
      <c r="X40576" s="239" t="n"/>
    </row>
    <row r="40577" ht="14.25" customHeight="1" s="192">
      <c r="W40577" s="239" t="n"/>
      <c r="X40577" s="239" t="n"/>
    </row>
    <row r="40578" ht="14.25" customHeight="1" s="192">
      <c r="W40578" s="239" t="n"/>
      <c r="X40578" s="239" t="n"/>
    </row>
    <row r="40579" ht="14.25" customHeight="1" s="192">
      <c r="W40579" s="235" t="n"/>
      <c r="X40579" s="235" t="n"/>
    </row>
    <row r="40580" ht="14.25" customHeight="1" s="192">
      <c r="W40580" s="235" t="n"/>
      <c r="X40580" s="235" t="n"/>
    </row>
    <row r="40581" ht="14.25" customHeight="1" s="192">
      <c r="W40581" s="235" t="n"/>
      <c r="X40581" s="235" t="n"/>
    </row>
    <row r="40582" ht="14.25" customHeight="1" s="192">
      <c r="W40582" s="239" t="n"/>
      <c r="X40582" s="239" t="n"/>
    </row>
    <row r="40583" ht="14.25" customHeight="1" s="192">
      <c r="W40583" s="239" t="n"/>
      <c r="X40583" s="239" t="n"/>
    </row>
    <row r="40584" ht="14.25" customHeight="1" s="192">
      <c r="W40584" s="235" t="n"/>
      <c r="X40584" s="235" t="n"/>
    </row>
    <row r="40585" ht="14.25" customHeight="1" s="192">
      <c r="W40585" s="235" t="n"/>
      <c r="X40585" s="235" t="n"/>
    </row>
    <row r="40586" ht="14.25" customHeight="1" s="192">
      <c r="W40586" s="239" t="n"/>
      <c r="X40586" s="239" t="n"/>
    </row>
    <row r="40587" ht="14.25" customHeight="1" s="192">
      <c r="W40587" s="235" t="n"/>
      <c r="X40587" s="235" t="n"/>
    </row>
    <row r="40588" ht="14.25" customHeight="1" s="192">
      <c r="W40588" s="239" t="n"/>
      <c r="X40588" s="239" t="n"/>
    </row>
    <row r="40590" ht="14.25" customHeight="1" s="192">
      <c r="W40590" s="235" t="n"/>
      <c r="X40590" s="235" t="n"/>
    </row>
    <row r="40591" ht="15" customHeight="1" s="192" thickBot="1">
      <c r="W40591" s="239" t="n"/>
      <c r="X40591" s="239" t="n"/>
    </row>
    <row r="40592" ht="15" customHeight="1" s="192" thickBot="1">
      <c r="W40592" s="45" t="n"/>
      <c r="X40592" s="45" t="n"/>
    </row>
    <row r="40593" ht="14.25" customHeight="1" s="192">
      <c r="W40593" s="228" t="n"/>
      <c r="X40593" s="228" t="n"/>
    </row>
    <row r="40594" ht="14.25" customHeight="1" s="192">
      <c r="W40594" s="228" t="n"/>
      <c r="X40594" s="228" t="n"/>
    </row>
    <row r="40595" ht="14.25" customHeight="1" s="192">
      <c r="W40595" s="231" t="n"/>
      <c r="X40595" s="231" t="n"/>
    </row>
    <row r="40596" ht="14.25" customHeight="1" s="192">
      <c r="W40596" s="33" t="n"/>
      <c r="X40596" s="33" t="n"/>
    </row>
    <row r="40597" ht="14.25" customHeight="1" s="192">
      <c r="W40597" s="231" t="n"/>
      <c r="X40597" s="231" t="n"/>
    </row>
    <row r="40598" ht="14.25" customHeight="1" s="192">
      <c r="W40598" s="33" t="n"/>
      <c r="X40598" s="33" t="n"/>
    </row>
    <row r="40600" ht="14.25" customHeight="1" s="192">
      <c r="W40600" s="231" t="n"/>
      <c r="X40600" s="231" t="n"/>
    </row>
    <row r="40601" ht="14.25" customHeight="1" s="192">
      <c r="W40601" s="235" t="n"/>
      <c r="X40601" s="235" t="n"/>
    </row>
    <row r="40602" ht="14.25" customHeight="1" s="192">
      <c r="W40602" s="228" t="n"/>
      <c r="X40602" s="228" t="n"/>
    </row>
    <row r="40603" ht="14.25" customHeight="1" s="192">
      <c r="W40603" s="235" t="n"/>
      <c r="X40603" s="235" t="n"/>
    </row>
    <row r="40604" ht="14.25" customHeight="1" s="192">
      <c r="W40604" s="235" t="n"/>
      <c r="X40604" s="235" t="n"/>
    </row>
    <row r="40605" ht="14.25" customHeight="1" s="192">
      <c r="W40605" s="235" t="n"/>
      <c r="X40605" s="235" t="n"/>
    </row>
    <row r="40606" ht="14.25" customHeight="1" s="192">
      <c r="W40606" s="239" t="n"/>
      <c r="X40606" s="239" t="n"/>
    </row>
    <row r="40607" ht="14.25" customHeight="1" s="192">
      <c r="W40607" s="239" t="n"/>
      <c r="X40607" s="239" t="n"/>
    </row>
    <row r="40608" ht="14.25" customHeight="1" s="192">
      <c r="W40608" s="239" t="n"/>
      <c r="X40608" s="239" t="n"/>
    </row>
    <row r="40609" ht="14.25" customHeight="1" s="192">
      <c r="W40609" s="235" t="n"/>
      <c r="X40609" s="235" t="n"/>
    </row>
    <row r="40610" ht="14.25" customHeight="1" s="192">
      <c r="W40610" s="235" t="n"/>
      <c r="X40610" s="235" t="n"/>
    </row>
    <row r="40611" ht="14.25" customHeight="1" s="192">
      <c r="W40611" s="235" t="n"/>
      <c r="X40611" s="235" t="n"/>
    </row>
    <row r="40612" ht="14.25" customHeight="1" s="192">
      <c r="W40612" s="239" t="n"/>
      <c r="X40612" s="239" t="n"/>
    </row>
    <row r="40613" ht="14.25" customHeight="1" s="192">
      <c r="W40613" s="239" t="n"/>
      <c r="X40613" s="239" t="n"/>
    </row>
    <row r="40614" ht="14.25" customHeight="1" s="192">
      <c r="W40614" s="235" t="n"/>
      <c r="X40614" s="235" t="n"/>
    </row>
    <row r="40615" ht="14.25" customHeight="1" s="192">
      <c r="W40615" s="235" t="n"/>
      <c r="X40615" s="235" t="n"/>
    </row>
    <row r="40616" ht="14.25" customHeight="1" s="192">
      <c r="W40616" s="239" t="n"/>
      <c r="X40616" s="239" t="n"/>
    </row>
    <row r="40617" ht="14.25" customHeight="1" s="192">
      <c r="W40617" s="235" t="n"/>
      <c r="X40617" s="235" t="n"/>
    </row>
    <row r="40618" ht="14.25" customHeight="1" s="192">
      <c r="W40618" s="239" t="n"/>
      <c r="X40618" s="239" t="n"/>
    </row>
    <row r="40620" ht="14.25" customHeight="1" s="192">
      <c r="W40620" s="235" t="n"/>
      <c r="X40620" s="235" t="n"/>
    </row>
    <row r="40621" ht="15" customHeight="1" s="192" thickBot="1">
      <c r="W40621" s="239" t="n"/>
      <c r="X40621" s="239" t="n"/>
    </row>
    <row r="40622" ht="15" customHeight="1" s="192" thickBot="1">
      <c r="W40622" s="45" t="n"/>
      <c r="X40622" s="45" t="n"/>
    </row>
    <row r="40623" ht="14.25" customHeight="1" s="192">
      <c r="W40623" s="228" t="n"/>
      <c r="X40623" s="228" t="n"/>
    </row>
    <row r="40624" ht="14.25" customHeight="1" s="192">
      <c r="W40624" s="228" t="n"/>
      <c r="X40624" s="228" t="n"/>
    </row>
    <row r="40625" ht="14.25" customHeight="1" s="192">
      <c r="W40625" s="231" t="n"/>
      <c r="X40625" s="231" t="n"/>
    </row>
    <row r="40626" ht="14.25" customHeight="1" s="192">
      <c r="W40626" s="33" t="n"/>
      <c r="X40626" s="33" t="n"/>
    </row>
    <row r="40627" ht="14.25" customHeight="1" s="192">
      <c r="W40627" s="231" t="n"/>
      <c r="X40627" s="231" t="n"/>
    </row>
    <row r="40628" ht="14.25" customHeight="1" s="192">
      <c r="W40628" s="33" t="n"/>
      <c r="X40628" s="33" t="n"/>
    </row>
    <row r="40630" ht="14.25" customHeight="1" s="192">
      <c r="W40630" s="231" t="n"/>
      <c r="X40630" s="231" t="n"/>
    </row>
    <row r="40631" ht="14.25" customHeight="1" s="192">
      <c r="W40631" s="235" t="n"/>
      <c r="X40631" s="235" t="n"/>
    </row>
    <row r="40632" ht="14.25" customHeight="1" s="192">
      <c r="W40632" s="228" t="n"/>
      <c r="X40632" s="228" t="n"/>
    </row>
    <row r="40633" ht="14.25" customHeight="1" s="192">
      <c r="W40633" s="235" t="n"/>
      <c r="X40633" s="235" t="n"/>
    </row>
    <row r="40634" ht="14.25" customHeight="1" s="192">
      <c r="W40634" s="235" t="n"/>
      <c r="X40634" s="235" t="n"/>
    </row>
    <row r="40635" ht="14.25" customHeight="1" s="192">
      <c r="W40635" s="235" t="n"/>
      <c r="X40635" s="235" t="n"/>
    </row>
    <row r="40636" ht="14.25" customHeight="1" s="192">
      <c r="W40636" s="239" t="n"/>
      <c r="X40636" s="239" t="n"/>
    </row>
    <row r="40637" ht="14.25" customHeight="1" s="192">
      <c r="W40637" s="239" t="n"/>
      <c r="X40637" s="239" t="n"/>
    </row>
    <row r="40638" ht="14.25" customHeight="1" s="192">
      <c r="W40638" s="239" t="n"/>
      <c r="X40638" s="239" t="n"/>
    </row>
    <row r="40639" ht="14.25" customHeight="1" s="192">
      <c r="W40639" s="235" t="n"/>
      <c r="X40639" s="235" t="n"/>
    </row>
    <row r="40640" ht="14.25" customHeight="1" s="192">
      <c r="W40640" s="235" t="n"/>
      <c r="X40640" s="235" t="n"/>
    </row>
    <row r="40641" ht="14.25" customHeight="1" s="192">
      <c r="W40641" s="235" t="n"/>
      <c r="X40641" s="235" t="n"/>
    </row>
    <row r="40642" ht="14.25" customHeight="1" s="192">
      <c r="W40642" s="239" t="n"/>
      <c r="X40642" s="239" t="n"/>
    </row>
    <row r="40643" ht="14.25" customHeight="1" s="192">
      <c r="W40643" s="239" t="n"/>
      <c r="X40643" s="239" t="n"/>
    </row>
    <row r="40644" ht="14.25" customHeight="1" s="192">
      <c r="W40644" s="235" t="n"/>
      <c r="X40644" s="235" t="n"/>
    </row>
    <row r="40645" ht="14.25" customHeight="1" s="192">
      <c r="W40645" s="235" t="n"/>
      <c r="X40645" s="235" t="n"/>
    </row>
    <row r="40646" ht="14.25" customHeight="1" s="192">
      <c r="W40646" s="239" t="n"/>
      <c r="X40646" s="239" t="n"/>
    </row>
    <row r="40647" ht="14.25" customHeight="1" s="192">
      <c r="W40647" s="235" t="n"/>
      <c r="X40647" s="235" t="n"/>
    </row>
    <row r="40648" ht="14.25" customHeight="1" s="192">
      <c r="W40648" s="239" t="n"/>
      <c r="X40648" s="239" t="n"/>
    </row>
    <row r="40650" ht="14.25" customHeight="1" s="192">
      <c r="W40650" s="235" t="n"/>
      <c r="X40650" s="235" t="n"/>
    </row>
    <row r="40651" ht="15" customHeight="1" s="192" thickBot="1">
      <c r="W40651" s="239" t="n"/>
      <c r="X40651" s="239" t="n"/>
    </row>
    <row r="40652" ht="15" customHeight="1" s="192" thickBot="1">
      <c r="W40652" s="45" t="n"/>
      <c r="X40652" s="45" t="n"/>
    </row>
    <row r="40653" ht="14.25" customHeight="1" s="192">
      <c r="W40653" s="228" t="n"/>
      <c r="X40653" s="228" t="n"/>
    </row>
    <row r="40654" ht="14.25" customHeight="1" s="192">
      <c r="W40654" s="228" t="n"/>
      <c r="X40654" s="228" t="n"/>
    </row>
    <row r="40655" ht="14.25" customHeight="1" s="192">
      <c r="W40655" s="231" t="n"/>
      <c r="X40655" s="231" t="n"/>
    </row>
    <row r="40656" ht="14.25" customHeight="1" s="192">
      <c r="W40656" s="33" t="n"/>
      <c r="X40656" s="33" t="n"/>
    </row>
    <row r="40657" ht="14.25" customHeight="1" s="192">
      <c r="W40657" s="231" t="n"/>
      <c r="X40657" s="231" t="n"/>
    </row>
    <row r="40658" ht="14.25" customHeight="1" s="192">
      <c r="W40658" s="33" t="n"/>
      <c r="X40658" s="33" t="n"/>
    </row>
    <row r="40660" ht="14.25" customHeight="1" s="192">
      <c r="W40660" s="231" t="n"/>
      <c r="X40660" s="231" t="n"/>
    </row>
    <row r="40661" ht="14.25" customHeight="1" s="192">
      <c r="W40661" s="235" t="n"/>
      <c r="X40661" s="235" t="n"/>
    </row>
    <row r="40662" ht="14.25" customHeight="1" s="192">
      <c r="W40662" s="228" t="n"/>
      <c r="X40662" s="228" t="n"/>
    </row>
    <row r="40663" ht="14.25" customHeight="1" s="192">
      <c r="W40663" s="235" t="n"/>
      <c r="X40663" s="235" t="n"/>
    </row>
    <row r="40664" ht="14.25" customHeight="1" s="192">
      <c r="W40664" s="235" t="n"/>
      <c r="X40664" s="235" t="n"/>
    </row>
    <row r="40665" ht="14.25" customHeight="1" s="192">
      <c r="W40665" s="235" t="n"/>
      <c r="X40665" s="235" t="n"/>
    </row>
    <row r="40666" ht="14.25" customHeight="1" s="192">
      <c r="W40666" s="239" t="n"/>
      <c r="X40666" s="239" t="n"/>
    </row>
    <row r="40667" ht="14.25" customHeight="1" s="192">
      <c r="W40667" s="239" t="n"/>
      <c r="X40667" s="239" t="n"/>
    </row>
    <row r="40668" ht="14.25" customHeight="1" s="192">
      <c r="W40668" s="239" t="n"/>
      <c r="X40668" s="239" t="n"/>
    </row>
    <row r="40669" ht="14.25" customHeight="1" s="192">
      <c r="W40669" s="235" t="n"/>
      <c r="X40669" s="235" t="n"/>
    </row>
    <row r="40670" ht="14.25" customHeight="1" s="192">
      <c r="W40670" s="235" t="n"/>
      <c r="X40670" s="235" t="n"/>
    </row>
    <row r="40671" ht="14.25" customHeight="1" s="192">
      <c r="W40671" s="235" t="n"/>
      <c r="X40671" s="235" t="n"/>
    </row>
    <row r="40672" ht="14.25" customHeight="1" s="192">
      <c r="W40672" s="239" t="n"/>
      <c r="X40672" s="239" t="n"/>
    </row>
    <row r="40673" ht="14.25" customHeight="1" s="192">
      <c r="W40673" s="239" t="n"/>
      <c r="X40673" s="239" t="n"/>
    </row>
    <row r="40674" ht="14.25" customHeight="1" s="192">
      <c r="W40674" s="235" t="n"/>
      <c r="X40674" s="235" t="n"/>
    </row>
    <row r="40675" ht="14.25" customHeight="1" s="192">
      <c r="W40675" s="235" t="n"/>
      <c r="X40675" s="235" t="n"/>
    </row>
    <row r="40676" ht="14.25" customHeight="1" s="192">
      <c r="W40676" s="239" t="n"/>
      <c r="X40676" s="239" t="n"/>
    </row>
    <row r="40677" ht="14.25" customHeight="1" s="192">
      <c r="W40677" s="235" t="n"/>
      <c r="X40677" s="235" t="n"/>
    </row>
    <row r="40678" ht="14.25" customHeight="1" s="192">
      <c r="W40678" s="239" t="n"/>
      <c r="X40678" s="239" t="n"/>
    </row>
    <row r="40680" ht="14.25" customHeight="1" s="192">
      <c r="W40680" s="235" t="n"/>
      <c r="X40680" s="235" t="n"/>
    </row>
    <row r="40681" ht="15" customHeight="1" s="192" thickBot="1">
      <c r="W40681" s="239" t="n"/>
      <c r="X40681" s="239" t="n"/>
    </row>
    <row r="40682" ht="15" customHeight="1" s="192" thickBot="1">
      <c r="W40682" s="45" t="n"/>
      <c r="X40682" s="45" t="n"/>
    </row>
    <row r="40683" ht="14.25" customHeight="1" s="192">
      <c r="W40683" s="228" t="n"/>
      <c r="X40683" s="228" t="n"/>
    </row>
    <row r="40684" ht="14.25" customHeight="1" s="192">
      <c r="W40684" s="228" t="n"/>
      <c r="X40684" s="228" t="n"/>
    </row>
    <row r="40685" ht="14.25" customHeight="1" s="192">
      <c r="W40685" s="231" t="n"/>
      <c r="X40685" s="231" t="n"/>
    </row>
    <row r="40686" ht="14.25" customHeight="1" s="192">
      <c r="W40686" s="33" t="n"/>
      <c r="X40686" s="33" t="n"/>
    </row>
    <row r="40687" ht="14.25" customHeight="1" s="192">
      <c r="W40687" s="231" t="n"/>
      <c r="X40687" s="231" t="n"/>
    </row>
    <row r="40688" ht="14.25" customHeight="1" s="192">
      <c r="W40688" s="33" t="n"/>
      <c r="X40688" s="33" t="n"/>
    </row>
    <row r="40690" ht="14.25" customHeight="1" s="192">
      <c r="W40690" s="231" t="n"/>
      <c r="X40690" s="231" t="n"/>
    </row>
    <row r="40691" ht="14.25" customHeight="1" s="192">
      <c r="W40691" s="235" t="n"/>
      <c r="X40691" s="235" t="n"/>
    </row>
    <row r="40692" ht="14.25" customHeight="1" s="192">
      <c r="W40692" s="228" t="n"/>
      <c r="X40692" s="228" t="n"/>
    </row>
    <row r="40693" ht="14.25" customHeight="1" s="192">
      <c r="W40693" s="235" t="n"/>
      <c r="X40693" s="235" t="n"/>
    </row>
    <row r="40694" ht="14.25" customHeight="1" s="192">
      <c r="W40694" s="235" t="n"/>
      <c r="X40694" s="235" t="n"/>
    </row>
    <row r="40695" ht="14.25" customHeight="1" s="192">
      <c r="W40695" s="235" t="n"/>
      <c r="X40695" s="235" t="n"/>
    </row>
    <row r="40696" ht="14.25" customHeight="1" s="192">
      <c r="W40696" s="239" t="n"/>
      <c r="X40696" s="239" t="n"/>
    </row>
    <row r="40697" ht="14.25" customHeight="1" s="192">
      <c r="W40697" s="239" t="n"/>
      <c r="X40697" s="239" t="n"/>
    </row>
    <row r="40698" ht="14.25" customHeight="1" s="192">
      <c r="W40698" s="239" t="n"/>
      <c r="X40698" s="239" t="n"/>
    </row>
    <row r="40699" ht="14.25" customHeight="1" s="192">
      <c r="W40699" s="235" t="n"/>
      <c r="X40699" s="235" t="n"/>
    </row>
    <row r="40700" ht="14.25" customHeight="1" s="192">
      <c r="W40700" s="235" t="n"/>
      <c r="X40700" s="235" t="n"/>
    </row>
    <row r="40701" ht="14.25" customHeight="1" s="192">
      <c r="W40701" s="235" t="n"/>
      <c r="X40701" s="235" t="n"/>
    </row>
    <row r="40702" ht="14.25" customHeight="1" s="192">
      <c r="W40702" s="239" t="n"/>
      <c r="X40702" s="239" t="n"/>
    </row>
    <row r="40703" ht="14.25" customHeight="1" s="192">
      <c r="W40703" s="239" t="n"/>
      <c r="X40703" s="239" t="n"/>
    </row>
    <row r="40704" ht="14.25" customHeight="1" s="192">
      <c r="W40704" s="235" t="n"/>
      <c r="X40704" s="235" t="n"/>
    </row>
    <row r="40705" ht="14.25" customHeight="1" s="192">
      <c r="W40705" s="235" t="n"/>
      <c r="X40705" s="235" t="n"/>
    </row>
    <row r="40706" ht="14.25" customHeight="1" s="192">
      <c r="W40706" s="239" t="n"/>
      <c r="X40706" s="239" t="n"/>
    </row>
    <row r="40707" ht="14.25" customHeight="1" s="192">
      <c r="W40707" s="235" t="n"/>
      <c r="X40707" s="235" t="n"/>
    </row>
    <row r="40708" ht="14.25" customHeight="1" s="192">
      <c r="W40708" s="239" t="n"/>
      <c r="X40708" s="239" t="n"/>
    </row>
    <row r="40710" ht="14.25" customHeight="1" s="192">
      <c r="W40710" s="235" t="n"/>
      <c r="X40710" s="235" t="n"/>
    </row>
    <row r="40711" ht="15" customHeight="1" s="192" thickBot="1">
      <c r="W40711" s="239" t="n"/>
      <c r="X40711" s="239" t="n"/>
    </row>
    <row r="40712" ht="15" customHeight="1" s="192" thickBot="1">
      <c r="W40712" s="45" t="n"/>
      <c r="X40712" s="45" t="n"/>
    </row>
    <row r="40713" ht="14.25" customHeight="1" s="192">
      <c r="W40713" s="228" t="n"/>
      <c r="X40713" s="228" t="n"/>
    </row>
    <row r="40714" ht="14.25" customHeight="1" s="192">
      <c r="W40714" s="228" t="n"/>
      <c r="X40714" s="228" t="n"/>
    </row>
    <row r="40715" ht="14.25" customHeight="1" s="192">
      <c r="W40715" s="231" t="n"/>
      <c r="X40715" s="231" t="n"/>
    </row>
    <row r="40716" ht="14.25" customHeight="1" s="192">
      <c r="W40716" s="33" t="n"/>
      <c r="X40716" s="33" t="n"/>
    </row>
    <row r="40717" ht="14.25" customHeight="1" s="192">
      <c r="W40717" s="231" t="n"/>
      <c r="X40717" s="231" t="n"/>
    </row>
    <row r="40718" ht="14.25" customHeight="1" s="192">
      <c r="W40718" s="33" t="n"/>
      <c r="X40718" s="33" t="n"/>
    </row>
    <row r="40720" ht="14.25" customHeight="1" s="192">
      <c r="W40720" s="231" t="n"/>
      <c r="X40720" s="231" t="n"/>
    </row>
    <row r="40721" ht="14.25" customHeight="1" s="192">
      <c r="W40721" s="235" t="n"/>
      <c r="X40721" s="235" t="n"/>
    </row>
    <row r="40722" ht="14.25" customHeight="1" s="192">
      <c r="W40722" s="228" t="n"/>
      <c r="X40722" s="228" t="n"/>
    </row>
    <row r="40723" ht="14.25" customHeight="1" s="192">
      <c r="W40723" s="235" t="n"/>
      <c r="X40723" s="235" t="n"/>
    </row>
    <row r="40724" ht="14.25" customHeight="1" s="192">
      <c r="W40724" s="235" t="n"/>
      <c r="X40724" s="235" t="n"/>
    </row>
    <row r="40725" ht="14.25" customHeight="1" s="192">
      <c r="W40725" s="235" t="n"/>
      <c r="X40725" s="235" t="n"/>
    </row>
    <row r="40726" ht="14.25" customHeight="1" s="192">
      <c r="W40726" s="239" t="n"/>
      <c r="X40726" s="239" t="n"/>
    </row>
    <row r="40727" ht="14.25" customHeight="1" s="192">
      <c r="W40727" s="239" t="n"/>
      <c r="X40727" s="239" t="n"/>
    </row>
    <row r="40728" ht="14.25" customHeight="1" s="192">
      <c r="W40728" s="239" t="n"/>
      <c r="X40728" s="239" t="n"/>
    </row>
    <row r="40729" ht="14.25" customHeight="1" s="192">
      <c r="W40729" s="235" t="n"/>
      <c r="X40729" s="235" t="n"/>
    </row>
    <row r="40730" ht="14.25" customHeight="1" s="192">
      <c r="W40730" s="235" t="n"/>
      <c r="X40730" s="235" t="n"/>
    </row>
    <row r="40731" ht="14.25" customHeight="1" s="192">
      <c r="W40731" s="235" t="n"/>
      <c r="X40731" s="235" t="n"/>
    </row>
    <row r="40732" ht="14.25" customHeight="1" s="192">
      <c r="W40732" s="239" t="n"/>
      <c r="X40732" s="239" t="n"/>
    </row>
    <row r="40733" ht="14.25" customHeight="1" s="192">
      <c r="W40733" s="239" t="n"/>
      <c r="X40733" s="239" t="n"/>
    </row>
    <row r="40734" ht="14.25" customHeight="1" s="192">
      <c r="W40734" s="235" t="n"/>
      <c r="X40734" s="235" t="n"/>
    </row>
    <row r="40735" ht="14.25" customHeight="1" s="192">
      <c r="W40735" s="235" t="n"/>
      <c r="X40735" s="235" t="n"/>
    </row>
    <row r="40736" ht="14.25" customHeight="1" s="192">
      <c r="W40736" s="239" t="n"/>
      <c r="X40736" s="239" t="n"/>
    </row>
    <row r="40737" ht="14.25" customHeight="1" s="192">
      <c r="W40737" s="235" t="n"/>
      <c r="X40737" s="235" t="n"/>
    </row>
    <row r="40738" ht="14.25" customHeight="1" s="192">
      <c r="W40738" s="239" t="n"/>
      <c r="X40738" s="239" t="n"/>
    </row>
    <row r="40740" ht="14.25" customHeight="1" s="192">
      <c r="W40740" s="235" t="n"/>
      <c r="X40740" s="235" t="n"/>
    </row>
    <row r="40741" ht="15" customHeight="1" s="192" thickBot="1">
      <c r="W40741" s="239" t="n"/>
      <c r="X40741" s="239" t="n"/>
    </row>
    <row r="40742" ht="15" customHeight="1" s="192" thickBot="1">
      <c r="W40742" s="45" t="n"/>
      <c r="X40742" s="45" t="n"/>
    </row>
    <row r="40743" ht="14.25" customHeight="1" s="192">
      <c r="W40743" s="228" t="n"/>
      <c r="X40743" s="228" t="n"/>
    </row>
    <row r="40744" ht="14.25" customHeight="1" s="192">
      <c r="W40744" s="228" t="n"/>
      <c r="X40744" s="228" t="n"/>
    </row>
    <row r="40745" ht="14.25" customHeight="1" s="192">
      <c r="W40745" s="231" t="n"/>
      <c r="X40745" s="231" t="n"/>
    </row>
    <row r="40746" ht="14.25" customHeight="1" s="192">
      <c r="W40746" s="33" t="n"/>
      <c r="X40746" s="33" t="n"/>
    </row>
    <row r="40747" ht="14.25" customHeight="1" s="192">
      <c r="W40747" s="231" t="n"/>
      <c r="X40747" s="231" t="n"/>
    </row>
    <row r="40748" ht="14.25" customHeight="1" s="192">
      <c r="W40748" s="33" t="n"/>
      <c r="X40748" s="33" t="n"/>
    </row>
    <row r="40750" ht="14.25" customHeight="1" s="192">
      <c r="W40750" s="231" t="n"/>
      <c r="X40750" s="231" t="n"/>
    </row>
    <row r="40751" ht="14.25" customHeight="1" s="192">
      <c r="W40751" s="235" t="n"/>
      <c r="X40751" s="235" t="n"/>
    </row>
    <row r="40752" ht="14.25" customHeight="1" s="192">
      <c r="W40752" s="228" t="n"/>
      <c r="X40752" s="228" t="n"/>
    </row>
    <row r="40753" ht="14.25" customHeight="1" s="192">
      <c r="W40753" s="235" t="n"/>
      <c r="X40753" s="235" t="n"/>
    </row>
    <row r="40754" ht="14.25" customHeight="1" s="192">
      <c r="W40754" s="235" t="n"/>
      <c r="X40754" s="235" t="n"/>
    </row>
    <row r="40755" ht="14.25" customHeight="1" s="192">
      <c r="W40755" s="235" t="n"/>
      <c r="X40755" s="235" t="n"/>
    </row>
    <row r="40756" ht="14.25" customHeight="1" s="192">
      <c r="W40756" s="239" t="n"/>
      <c r="X40756" s="239" t="n"/>
    </row>
    <row r="40757" ht="14.25" customHeight="1" s="192">
      <c r="W40757" s="239" t="n"/>
      <c r="X40757" s="239" t="n"/>
    </row>
    <row r="40758" ht="14.25" customHeight="1" s="192">
      <c r="W40758" s="239" t="n"/>
      <c r="X40758" s="239" t="n"/>
    </row>
    <row r="40759" ht="14.25" customHeight="1" s="192">
      <c r="W40759" s="235" t="n"/>
      <c r="X40759" s="235" t="n"/>
    </row>
    <row r="40760" ht="14.25" customHeight="1" s="192">
      <c r="W40760" s="235" t="n"/>
      <c r="X40760" s="235" t="n"/>
    </row>
    <row r="40761" ht="14.25" customHeight="1" s="192">
      <c r="W40761" s="235" t="n"/>
      <c r="X40761" s="235" t="n"/>
    </row>
    <row r="40762" ht="14.25" customHeight="1" s="192">
      <c r="W40762" s="239" t="n"/>
      <c r="X40762" s="239" t="n"/>
    </row>
    <row r="40763" ht="14.25" customHeight="1" s="192">
      <c r="W40763" s="239" t="n"/>
      <c r="X40763" s="239" t="n"/>
    </row>
    <row r="40764" ht="14.25" customHeight="1" s="192">
      <c r="W40764" s="235" t="n"/>
      <c r="X40764" s="235" t="n"/>
    </row>
    <row r="40765" ht="14.25" customHeight="1" s="192">
      <c r="W40765" s="235" t="n"/>
      <c r="X40765" s="235" t="n"/>
    </row>
    <row r="40766" ht="14.25" customHeight="1" s="192">
      <c r="W40766" s="239" t="n"/>
      <c r="X40766" s="239" t="n"/>
    </row>
    <row r="40767" ht="14.25" customHeight="1" s="192">
      <c r="W40767" s="235" t="n"/>
      <c r="X40767" s="235" t="n"/>
    </row>
    <row r="40768" ht="14.25" customHeight="1" s="192">
      <c r="W40768" s="239" t="n"/>
      <c r="X40768" s="239" t="n"/>
    </row>
    <row r="40770" ht="14.25" customHeight="1" s="192">
      <c r="W40770" s="235" t="n"/>
      <c r="X40770" s="235" t="n"/>
    </row>
    <row r="40771" ht="15" customHeight="1" s="192" thickBot="1">
      <c r="W40771" s="239" t="n"/>
      <c r="X40771" s="239" t="n"/>
    </row>
    <row r="40772" ht="15" customHeight="1" s="192" thickBot="1">
      <c r="W40772" s="45" t="n"/>
      <c r="X40772" s="45" t="n"/>
    </row>
    <row r="40773" ht="14.25" customHeight="1" s="192">
      <c r="W40773" s="228" t="n"/>
      <c r="X40773" s="228" t="n"/>
    </row>
    <row r="40774" ht="14.25" customHeight="1" s="192">
      <c r="W40774" s="228" t="n"/>
      <c r="X40774" s="228" t="n"/>
    </row>
    <row r="40775" ht="14.25" customHeight="1" s="192">
      <c r="W40775" s="231" t="n"/>
      <c r="X40775" s="231" t="n"/>
    </row>
    <row r="40776" ht="14.25" customHeight="1" s="192">
      <c r="W40776" s="33" t="n"/>
      <c r="X40776" s="33" t="n"/>
    </row>
    <row r="40777" ht="14.25" customHeight="1" s="192">
      <c r="W40777" s="231" t="n"/>
      <c r="X40777" s="231" t="n"/>
    </row>
    <row r="40778" ht="14.25" customHeight="1" s="192">
      <c r="W40778" s="33" t="n"/>
      <c r="X40778" s="33" t="n"/>
    </row>
    <row r="40780" ht="14.25" customHeight="1" s="192">
      <c r="W40780" s="231" t="n"/>
      <c r="X40780" s="231" t="n"/>
    </row>
    <row r="40781" ht="14.25" customHeight="1" s="192">
      <c r="W40781" s="235" t="n"/>
      <c r="X40781" s="235" t="n"/>
    </row>
    <row r="40782" ht="14.25" customHeight="1" s="192">
      <c r="W40782" s="228" t="n"/>
      <c r="X40782" s="228" t="n"/>
    </row>
    <row r="40783" ht="14.25" customHeight="1" s="192">
      <c r="W40783" s="235" t="n"/>
      <c r="X40783" s="235" t="n"/>
    </row>
    <row r="40784" ht="14.25" customHeight="1" s="192">
      <c r="W40784" s="235" t="n"/>
      <c r="X40784" s="235" t="n"/>
    </row>
    <row r="40785" ht="14.25" customHeight="1" s="192">
      <c r="W40785" s="235" t="n"/>
      <c r="X40785" s="235" t="n"/>
    </row>
    <row r="40786" ht="14.25" customHeight="1" s="192">
      <c r="W40786" s="239" t="n"/>
      <c r="X40786" s="239" t="n"/>
    </row>
    <row r="40787" ht="14.25" customHeight="1" s="192">
      <c r="W40787" s="239" t="n"/>
      <c r="X40787" s="239" t="n"/>
    </row>
    <row r="40788" ht="14.25" customHeight="1" s="192">
      <c r="W40788" s="239" t="n"/>
      <c r="X40788" s="239" t="n"/>
    </row>
    <row r="40789" ht="14.25" customHeight="1" s="192">
      <c r="W40789" s="235" t="n"/>
      <c r="X40789" s="235" t="n"/>
    </row>
    <row r="40790" ht="14.25" customHeight="1" s="192">
      <c r="W40790" s="235" t="n"/>
      <c r="X40790" s="235" t="n"/>
    </row>
    <row r="40791" ht="14.25" customHeight="1" s="192">
      <c r="W40791" s="235" t="n"/>
      <c r="X40791" s="235" t="n"/>
    </row>
    <row r="40792" ht="14.25" customHeight="1" s="192">
      <c r="W40792" s="239" t="n"/>
      <c r="X40792" s="239" t="n"/>
    </row>
    <row r="40793" ht="14.25" customHeight="1" s="192">
      <c r="W40793" s="239" t="n"/>
      <c r="X40793" s="239" t="n"/>
    </row>
    <row r="40794" ht="14.25" customHeight="1" s="192">
      <c r="W40794" s="235" t="n"/>
      <c r="X40794" s="235" t="n"/>
    </row>
    <row r="40795" ht="14.25" customHeight="1" s="192">
      <c r="W40795" s="235" t="n"/>
      <c r="X40795" s="235" t="n"/>
    </row>
    <row r="40796" ht="14.25" customHeight="1" s="192">
      <c r="W40796" s="239" t="n"/>
      <c r="X40796" s="239" t="n"/>
    </row>
    <row r="40797" ht="14.25" customHeight="1" s="192">
      <c r="W40797" s="235" t="n"/>
      <c r="X40797" s="235" t="n"/>
    </row>
    <row r="40798" ht="14.25" customHeight="1" s="192">
      <c r="W40798" s="239" t="n"/>
      <c r="X40798" s="239" t="n"/>
    </row>
    <row r="40800" ht="14.25" customHeight="1" s="192">
      <c r="W40800" s="235" t="n"/>
      <c r="X40800" s="235" t="n"/>
    </row>
    <row r="40801" ht="15" customHeight="1" s="192" thickBot="1">
      <c r="W40801" s="239" t="n"/>
      <c r="X40801" s="239" t="n"/>
    </row>
    <row r="40802" ht="15" customHeight="1" s="192" thickBot="1">
      <c r="W40802" s="45" t="n"/>
      <c r="X40802" s="45" t="n"/>
    </row>
    <row r="40803" ht="14.25" customHeight="1" s="192">
      <c r="W40803" s="228" t="n"/>
      <c r="X40803" s="228" t="n"/>
    </row>
    <row r="40804" ht="14.25" customHeight="1" s="192">
      <c r="W40804" s="228" t="n"/>
      <c r="X40804" s="228" t="n"/>
    </row>
    <row r="40805" ht="14.25" customHeight="1" s="192">
      <c r="W40805" s="231" t="n"/>
      <c r="X40805" s="231" t="n"/>
    </row>
    <row r="40806" ht="14.25" customHeight="1" s="192">
      <c r="W40806" s="33" t="n"/>
      <c r="X40806" s="33" t="n"/>
    </row>
    <row r="40807" ht="14.25" customHeight="1" s="192">
      <c r="W40807" s="231" t="n"/>
      <c r="X40807" s="231" t="n"/>
    </row>
    <row r="40808" ht="14.25" customHeight="1" s="192">
      <c r="W40808" s="33" t="n"/>
      <c r="X40808" s="33" t="n"/>
    </row>
    <row r="40810" ht="14.25" customHeight="1" s="192">
      <c r="W40810" s="231" t="n"/>
      <c r="X40810" s="231" t="n"/>
    </row>
    <row r="40811" ht="14.25" customHeight="1" s="192">
      <c r="W40811" s="235" t="n"/>
      <c r="X40811" s="235" t="n"/>
    </row>
    <row r="40812" ht="14.25" customHeight="1" s="192">
      <c r="W40812" s="228" t="n"/>
      <c r="X40812" s="228" t="n"/>
    </row>
    <row r="40813" ht="14.25" customHeight="1" s="192">
      <c r="W40813" s="235" t="n"/>
      <c r="X40813" s="235" t="n"/>
    </row>
    <row r="40814" ht="14.25" customHeight="1" s="192">
      <c r="W40814" s="235" t="n"/>
      <c r="X40814" s="235" t="n"/>
    </row>
    <row r="40815" ht="14.25" customHeight="1" s="192">
      <c r="W40815" s="235" t="n"/>
      <c r="X40815" s="235" t="n"/>
    </row>
    <row r="40816" ht="14.25" customHeight="1" s="192">
      <c r="W40816" s="239" t="n"/>
      <c r="X40816" s="239" t="n"/>
    </row>
    <row r="40817" ht="14.25" customHeight="1" s="192">
      <c r="W40817" s="239" t="n"/>
      <c r="X40817" s="239" t="n"/>
    </row>
    <row r="40818" ht="14.25" customHeight="1" s="192">
      <c r="W40818" s="239" t="n"/>
      <c r="X40818" s="239" t="n"/>
    </row>
    <row r="40819" ht="14.25" customHeight="1" s="192">
      <c r="W40819" s="235" t="n"/>
      <c r="X40819" s="235" t="n"/>
    </row>
    <row r="40820" ht="14.25" customHeight="1" s="192">
      <c r="W40820" s="235" t="n"/>
      <c r="X40820" s="235" t="n"/>
    </row>
    <row r="40821" ht="14.25" customHeight="1" s="192">
      <c r="W40821" s="235" t="n"/>
      <c r="X40821" s="235" t="n"/>
    </row>
    <row r="40822" ht="14.25" customHeight="1" s="192">
      <c r="W40822" s="239" t="n"/>
      <c r="X40822" s="239" t="n"/>
    </row>
    <row r="40823" ht="14.25" customHeight="1" s="192">
      <c r="W40823" s="239" t="n"/>
      <c r="X40823" s="239" t="n"/>
    </row>
    <row r="40824" ht="14.25" customHeight="1" s="192">
      <c r="W40824" s="235" t="n"/>
      <c r="X40824" s="235" t="n"/>
    </row>
    <row r="40825" ht="14.25" customHeight="1" s="192">
      <c r="W40825" s="235" t="n"/>
      <c r="X40825" s="235" t="n"/>
    </row>
    <row r="40826" ht="14.25" customHeight="1" s="192">
      <c r="W40826" s="239" t="n"/>
      <c r="X40826" s="239" t="n"/>
    </row>
    <row r="40827" ht="14.25" customHeight="1" s="192">
      <c r="W40827" s="235" t="n"/>
      <c r="X40827" s="235" t="n"/>
    </row>
    <row r="40828" ht="14.25" customHeight="1" s="192">
      <c r="W40828" s="239" t="n"/>
      <c r="X40828" s="239" t="n"/>
    </row>
    <row r="40830" ht="14.25" customHeight="1" s="192">
      <c r="W40830" s="235" t="n"/>
      <c r="X40830" s="235" t="n"/>
    </row>
    <row r="40831" ht="15" customHeight="1" s="192" thickBot="1">
      <c r="W40831" s="239" t="n"/>
      <c r="X40831" s="239" t="n"/>
    </row>
    <row r="40832" ht="15" customHeight="1" s="192" thickBot="1">
      <c r="W40832" s="45" t="n"/>
      <c r="X40832" s="45" t="n"/>
    </row>
    <row r="40833" ht="14.25" customHeight="1" s="192">
      <c r="W40833" s="228" t="n"/>
      <c r="X40833" s="228" t="n"/>
    </row>
    <row r="40834" ht="14.25" customHeight="1" s="192">
      <c r="W40834" s="228" t="n"/>
      <c r="X40834" s="228" t="n"/>
    </row>
    <row r="40835" ht="14.25" customHeight="1" s="192">
      <c r="W40835" s="231" t="n"/>
      <c r="X40835" s="231" t="n"/>
    </row>
    <row r="40836" ht="14.25" customHeight="1" s="192">
      <c r="W40836" s="33" t="n"/>
      <c r="X40836" s="33" t="n"/>
    </row>
    <row r="40837" ht="14.25" customHeight="1" s="192">
      <c r="W40837" s="231" t="n"/>
      <c r="X40837" s="231" t="n"/>
    </row>
    <row r="40838" ht="14.25" customHeight="1" s="192">
      <c r="W40838" s="33" t="n"/>
      <c r="X40838" s="33" t="n"/>
    </row>
    <row r="40840" ht="14.25" customHeight="1" s="192">
      <c r="W40840" s="231" t="n"/>
      <c r="X40840" s="231" t="n"/>
    </row>
    <row r="40841" ht="14.25" customHeight="1" s="192">
      <c r="W40841" s="235" t="n"/>
      <c r="X40841" s="235" t="n"/>
    </row>
    <row r="40842" ht="14.25" customHeight="1" s="192">
      <c r="W40842" s="228" t="n"/>
      <c r="X40842" s="228" t="n"/>
    </row>
    <row r="40843" ht="14.25" customHeight="1" s="192">
      <c r="W40843" s="235" t="n"/>
      <c r="X40843" s="235" t="n"/>
    </row>
    <row r="40844" ht="14.25" customHeight="1" s="192">
      <c r="W40844" s="235" t="n"/>
      <c r="X40844" s="235" t="n"/>
    </row>
    <row r="40845" ht="14.25" customHeight="1" s="192">
      <c r="W40845" s="235" t="n"/>
      <c r="X40845" s="235" t="n"/>
    </row>
    <row r="40846" ht="14.25" customHeight="1" s="192">
      <c r="W40846" s="239" t="n"/>
      <c r="X40846" s="239" t="n"/>
    </row>
    <row r="40847" ht="14.25" customHeight="1" s="192">
      <c r="W40847" s="239" t="n"/>
      <c r="X40847" s="239" t="n"/>
    </row>
    <row r="40848" ht="14.25" customHeight="1" s="192">
      <c r="W40848" s="239" t="n"/>
      <c r="X40848" s="239" t="n"/>
    </row>
    <row r="40849" ht="14.25" customHeight="1" s="192">
      <c r="W40849" s="235" t="n"/>
      <c r="X40849" s="235" t="n"/>
    </row>
    <row r="40850" ht="14.25" customHeight="1" s="192">
      <c r="W40850" s="235" t="n"/>
      <c r="X40850" s="235" t="n"/>
    </row>
    <row r="40851" ht="14.25" customHeight="1" s="192">
      <c r="W40851" s="235" t="n"/>
      <c r="X40851" s="235" t="n"/>
    </row>
    <row r="40852" ht="14.25" customHeight="1" s="192">
      <c r="W40852" s="239" t="n"/>
      <c r="X40852" s="239" t="n"/>
    </row>
    <row r="40853" ht="14.25" customHeight="1" s="192">
      <c r="W40853" s="239" t="n"/>
      <c r="X40853" s="239" t="n"/>
    </row>
    <row r="40854" ht="14.25" customHeight="1" s="192">
      <c r="W40854" s="235" t="n"/>
      <c r="X40854" s="235" t="n"/>
    </row>
    <row r="40855" ht="14.25" customHeight="1" s="192">
      <c r="W40855" s="235" t="n"/>
      <c r="X40855" s="235" t="n"/>
    </row>
    <row r="40856" ht="14.25" customHeight="1" s="192">
      <c r="W40856" s="239" t="n"/>
      <c r="X40856" s="239" t="n"/>
    </row>
    <row r="40857" ht="14.25" customHeight="1" s="192">
      <c r="W40857" s="235" t="n"/>
      <c r="X40857" s="235" t="n"/>
    </row>
    <row r="40858" ht="14.25" customHeight="1" s="192">
      <c r="W40858" s="239" t="n"/>
      <c r="X40858" s="239" t="n"/>
    </row>
    <row r="40860" ht="14.25" customHeight="1" s="192">
      <c r="W40860" s="235" t="n"/>
      <c r="X40860" s="235" t="n"/>
    </row>
    <row r="40861" ht="15" customHeight="1" s="192" thickBot="1">
      <c r="W40861" s="239" t="n"/>
      <c r="X40861" s="239" t="n"/>
    </row>
    <row r="40862" ht="15" customHeight="1" s="192" thickBot="1">
      <c r="W40862" s="45" t="n"/>
      <c r="X40862" s="45" t="n"/>
    </row>
    <row r="40863" ht="14.25" customHeight="1" s="192">
      <c r="W40863" s="228" t="n"/>
      <c r="X40863" s="228" t="n"/>
    </row>
    <row r="40864" ht="14.25" customHeight="1" s="192">
      <c r="W40864" s="228" t="n"/>
      <c r="X40864" s="228" t="n"/>
    </row>
    <row r="40865" ht="14.25" customHeight="1" s="192">
      <c r="W40865" s="231" t="n"/>
      <c r="X40865" s="231" t="n"/>
    </row>
    <row r="40866" ht="14.25" customHeight="1" s="192">
      <c r="W40866" s="33" t="n"/>
      <c r="X40866" s="33" t="n"/>
    </row>
    <row r="40867" ht="14.25" customHeight="1" s="192">
      <c r="W40867" s="231" t="n"/>
      <c r="X40867" s="231" t="n"/>
    </row>
    <row r="40868" ht="14.25" customHeight="1" s="192">
      <c r="W40868" s="33" t="n"/>
      <c r="X40868" s="33" t="n"/>
    </row>
    <row r="40870" ht="14.25" customHeight="1" s="192">
      <c r="W40870" s="231" t="n"/>
      <c r="X40870" s="231" t="n"/>
    </row>
    <row r="40871" ht="14.25" customHeight="1" s="192">
      <c r="W40871" s="235" t="n"/>
      <c r="X40871" s="235" t="n"/>
    </row>
    <row r="40872" ht="14.25" customHeight="1" s="192">
      <c r="W40872" s="228" t="n"/>
      <c r="X40872" s="228" t="n"/>
    </row>
    <row r="40873" ht="14.25" customHeight="1" s="192">
      <c r="W40873" s="235" t="n"/>
      <c r="X40873" s="235" t="n"/>
    </row>
    <row r="40874" ht="14.25" customHeight="1" s="192">
      <c r="W40874" s="235" t="n"/>
      <c r="X40874" s="235" t="n"/>
    </row>
    <row r="40875" ht="14.25" customHeight="1" s="192">
      <c r="W40875" s="235" t="n"/>
      <c r="X40875" s="235" t="n"/>
    </row>
    <row r="40876" ht="14.25" customHeight="1" s="192">
      <c r="W40876" s="239" t="n"/>
      <c r="X40876" s="239" t="n"/>
    </row>
    <row r="40877" ht="14.25" customHeight="1" s="192">
      <c r="W40877" s="239" t="n"/>
      <c r="X40877" s="239" t="n"/>
    </row>
    <row r="40878" ht="14.25" customHeight="1" s="192">
      <c r="W40878" s="239" t="n"/>
      <c r="X40878" s="239" t="n"/>
    </row>
    <row r="40879" ht="14.25" customHeight="1" s="192">
      <c r="W40879" s="235" t="n"/>
      <c r="X40879" s="235" t="n"/>
    </row>
    <row r="40880" ht="14.25" customHeight="1" s="192">
      <c r="W40880" s="235" t="n"/>
      <c r="X40880" s="235" t="n"/>
    </row>
    <row r="40881" ht="14.25" customHeight="1" s="192">
      <c r="W40881" s="235" t="n"/>
      <c r="X40881" s="235" t="n"/>
    </row>
    <row r="40882" ht="14.25" customHeight="1" s="192">
      <c r="W40882" s="239" t="n"/>
      <c r="X40882" s="239" t="n"/>
    </row>
    <row r="40883" ht="14.25" customHeight="1" s="192">
      <c r="W40883" s="239" t="n"/>
      <c r="X40883" s="239" t="n"/>
    </row>
    <row r="40884" ht="14.25" customHeight="1" s="192">
      <c r="W40884" s="235" t="n"/>
      <c r="X40884" s="235" t="n"/>
    </row>
    <row r="40885" ht="14.25" customHeight="1" s="192">
      <c r="W40885" s="235" t="n"/>
      <c r="X40885" s="235" t="n"/>
    </row>
    <row r="40886" ht="14.25" customHeight="1" s="192">
      <c r="W40886" s="239" t="n"/>
      <c r="X40886" s="239" t="n"/>
    </row>
    <row r="40887" ht="14.25" customHeight="1" s="192">
      <c r="W40887" s="235" t="n"/>
      <c r="X40887" s="235" t="n"/>
    </row>
    <row r="40888" ht="14.25" customHeight="1" s="192">
      <c r="W40888" s="239" t="n"/>
      <c r="X40888" s="239" t="n"/>
    </row>
    <row r="40890" ht="14.25" customHeight="1" s="192">
      <c r="W40890" s="235" t="n"/>
      <c r="X40890" s="235" t="n"/>
    </row>
    <row r="40891" ht="15" customHeight="1" s="192" thickBot="1">
      <c r="W40891" s="239" t="n"/>
      <c r="X40891" s="239" t="n"/>
    </row>
    <row r="40892" ht="15" customHeight="1" s="192" thickBot="1">
      <c r="W40892" s="45" t="n"/>
      <c r="X40892" s="45" t="n"/>
    </row>
    <row r="40893" ht="14.25" customHeight="1" s="192">
      <c r="W40893" s="228" t="n"/>
      <c r="X40893" s="228" t="n"/>
    </row>
    <row r="40894" ht="14.25" customHeight="1" s="192">
      <c r="W40894" s="228" t="n"/>
      <c r="X40894" s="228" t="n"/>
    </row>
    <row r="40895" ht="14.25" customHeight="1" s="192">
      <c r="W40895" s="231" t="n"/>
      <c r="X40895" s="231" t="n"/>
    </row>
    <row r="40896" ht="14.25" customHeight="1" s="192">
      <c r="W40896" s="33" t="n"/>
      <c r="X40896" s="33" t="n"/>
    </row>
    <row r="40897" ht="14.25" customHeight="1" s="192">
      <c r="W40897" s="231" t="n"/>
      <c r="X40897" s="231" t="n"/>
    </row>
    <row r="40898" ht="14.25" customHeight="1" s="192">
      <c r="W40898" s="33" t="n"/>
      <c r="X40898" s="33" t="n"/>
    </row>
    <row r="40900" ht="14.25" customHeight="1" s="192">
      <c r="W40900" s="231" t="n"/>
      <c r="X40900" s="231" t="n"/>
    </row>
    <row r="40901" ht="14.25" customHeight="1" s="192">
      <c r="W40901" s="235" t="n"/>
      <c r="X40901" s="235" t="n"/>
    </row>
    <row r="40902" ht="14.25" customHeight="1" s="192">
      <c r="W40902" s="228" t="n"/>
      <c r="X40902" s="228" t="n"/>
    </row>
    <row r="40903" ht="14.25" customHeight="1" s="192">
      <c r="W40903" s="235" t="n"/>
      <c r="X40903" s="235" t="n"/>
    </row>
    <row r="40904" ht="14.25" customHeight="1" s="192">
      <c r="W40904" s="235" t="n"/>
      <c r="X40904" s="235" t="n"/>
    </row>
    <row r="40905" ht="14.25" customHeight="1" s="192">
      <c r="W40905" s="235" t="n"/>
      <c r="X40905" s="235" t="n"/>
    </row>
    <row r="40906" ht="14.25" customHeight="1" s="192">
      <c r="W40906" s="239" t="n"/>
      <c r="X40906" s="239" t="n"/>
    </row>
    <row r="40907" ht="14.25" customHeight="1" s="192">
      <c r="W40907" s="239" t="n"/>
      <c r="X40907" s="239" t="n"/>
    </row>
    <row r="40908" ht="14.25" customHeight="1" s="192">
      <c r="W40908" s="239" t="n"/>
      <c r="X40908" s="239" t="n"/>
    </row>
    <row r="40909" ht="14.25" customHeight="1" s="192">
      <c r="W40909" s="235" t="n"/>
      <c r="X40909" s="235" t="n"/>
    </row>
    <row r="40910" ht="14.25" customHeight="1" s="192">
      <c r="W40910" s="235" t="n"/>
      <c r="X40910" s="235" t="n"/>
    </row>
    <row r="40911" ht="14.25" customHeight="1" s="192">
      <c r="W40911" s="235" t="n"/>
      <c r="X40911" s="235" t="n"/>
    </row>
    <row r="40912" ht="14.25" customHeight="1" s="192">
      <c r="W40912" s="239" t="n"/>
      <c r="X40912" s="239" t="n"/>
    </row>
    <row r="40913" ht="14.25" customHeight="1" s="192">
      <c r="W40913" s="239" t="n"/>
      <c r="X40913" s="239" t="n"/>
    </row>
    <row r="40914" ht="14.25" customHeight="1" s="192">
      <c r="W40914" s="235" t="n"/>
      <c r="X40914" s="235" t="n"/>
    </row>
    <row r="40915" ht="14.25" customHeight="1" s="192">
      <c r="W40915" s="235" t="n"/>
      <c r="X40915" s="235" t="n"/>
    </row>
    <row r="40916" ht="14.25" customHeight="1" s="192">
      <c r="W40916" s="239" t="n"/>
      <c r="X40916" s="239" t="n"/>
    </row>
    <row r="40917" ht="14.25" customHeight="1" s="192">
      <c r="W40917" s="235" t="n"/>
      <c r="X40917" s="235" t="n"/>
    </row>
    <row r="40918" ht="14.25" customHeight="1" s="192">
      <c r="W40918" s="239" t="n"/>
      <c r="X40918" s="239" t="n"/>
    </row>
    <row r="40920" ht="14.25" customHeight="1" s="192">
      <c r="W40920" s="235" t="n"/>
      <c r="X40920" s="235" t="n"/>
    </row>
    <row r="40921" ht="15" customHeight="1" s="192" thickBot="1">
      <c r="W40921" s="239" t="n"/>
      <c r="X40921" s="239" t="n"/>
    </row>
    <row r="40922" ht="15" customHeight="1" s="192" thickBot="1">
      <c r="W40922" s="45" t="n"/>
      <c r="X40922" s="45" t="n"/>
    </row>
    <row r="40923" ht="14.25" customHeight="1" s="192">
      <c r="W40923" s="228" t="n"/>
      <c r="X40923" s="228" t="n"/>
    </row>
    <row r="40924" ht="14.25" customHeight="1" s="192">
      <c r="W40924" s="228" t="n"/>
      <c r="X40924" s="228" t="n"/>
    </row>
    <row r="40925" ht="14.25" customHeight="1" s="192">
      <c r="W40925" s="231" t="n"/>
      <c r="X40925" s="231" t="n"/>
    </row>
    <row r="40926" ht="14.25" customHeight="1" s="192">
      <c r="W40926" s="33" t="n"/>
      <c r="X40926" s="33" t="n"/>
    </row>
    <row r="40927" ht="14.25" customHeight="1" s="192">
      <c r="W40927" s="231" t="n"/>
      <c r="X40927" s="231" t="n"/>
    </row>
    <row r="40928" ht="14.25" customHeight="1" s="192">
      <c r="W40928" s="33" t="n"/>
      <c r="X40928" s="33" t="n"/>
    </row>
    <row r="40930" ht="14.25" customHeight="1" s="192">
      <c r="W40930" s="231" t="n"/>
      <c r="X40930" s="231" t="n"/>
    </row>
    <row r="40931" ht="14.25" customHeight="1" s="192">
      <c r="W40931" s="235" t="n"/>
      <c r="X40931" s="235" t="n"/>
    </row>
    <row r="40932" ht="14.25" customHeight="1" s="192">
      <c r="W40932" s="228" t="n"/>
      <c r="X40932" s="228" t="n"/>
    </row>
    <row r="40933" ht="14.25" customHeight="1" s="192">
      <c r="W40933" s="235" t="n"/>
      <c r="X40933" s="235" t="n"/>
    </row>
    <row r="40934" ht="14.25" customHeight="1" s="192">
      <c r="W40934" s="235" t="n"/>
      <c r="X40934" s="235" t="n"/>
    </row>
    <row r="40935" ht="14.25" customHeight="1" s="192">
      <c r="W40935" s="235" t="n"/>
      <c r="X40935" s="235" t="n"/>
    </row>
    <row r="40936" ht="14.25" customHeight="1" s="192">
      <c r="W40936" s="239" t="n"/>
      <c r="X40936" s="239" t="n"/>
    </row>
    <row r="40937" ht="14.25" customHeight="1" s="192">
      <c r="W40937" s="239" t="n"/>
      <c r="X40937" s="239" t="n"/>
    </row>
    <row r="40938" ht="14.25" customHeight="1" s="192">
      <c r="W40938" s="239" t="n"/>
      <c r="X40938" s="239" t="n"/>
    </row>
    <row r="40939" ht="14.25" customHeight="1" s="192">
      <c r="W40939" s="235" t="n"/>
      <c r="X40939" s="235" t="n"/>
    </row>
    <row r="40940" ht="14.25" customHeight="1" s="192">
      <c r="W40940" s="235" t="n"/>
      <c r="X40940" s="235" t="n"/>
    </row>
    <row r="40941" ht="14.25" customHeight="1" s="192">
      <c r="W40941" s="235" t="n"/>
      <c r="X40941" s="235" t="n"/>
    </row>
    <row r="40942" ht="14.25" customHeight="1" s="192">
      <c r="W40942" s="239" t="n"/>
      <c r="X40942" s="239" t="n"/>
    </row>
    <row r="40943" ht="14.25" customHeight="1" s="192">
      <c r="W40943" s="239" t="n"/>
      <c r="X40943" s="239" t="n"/>
    </row>
    <row r="40944" ht="14.25" customHeight="1" s="192">
      <c r="W40944" s="235" t="n"/>
      <c r="X40944" s="235" t="n"/>
    </row>
    <row r="40945" ht="14.25" customHeight="1" s="192">
      <c r="W40945" s="235" t="n"/>
      <c r="X40945" s="235" t="n"/>
    </row>
    <row r="40946" ht="14.25" customHeight="1" s="192">
      <c r="W40946" s="239" t="n"/>
      <c r="X40946" s="239" t="n"/>
    </row>
    <row r="40947" ht="14.25" customHeight="1" s="192">
      <c r="W40947" s="235" t="n"/>
      <c r="X40947" s="235" t="n"/>
    </row>
    <row r="40948" ht="14.25" customHeight="1" s="192">
      <c r="W40948" s="239" t="n"/>
      <c r="X40948" s="239" t="n"/>
    </row>
    <row r="40950" ht="14.25" customHeight="1" s="192">
      <c r="W40950" s="235" t="n"/>
      <c r="X40950" s="235" t="n"/>
    </row>
    <row r="40951" ht="15" customHeight="1" s="192" thickBot="1">
      <c r="W40951" s="239" t="n"/>
      <c r="X40951" s="239" t="n"/>
    </row>
    <row r="40952" ht="15" customHeight="1" s="192" thickBot="1">
      <c r="W40952" s="45" t="n"/>
      <c r="X40952" s="45" t="n"/>
    </row>
    <row r="40953" ht="14.25" customHeight="1" s="192">
      <c r="W40953" s="228" t="n"/>
      <c r="X40953" s="228" t="n"/>
    </row>
    <row r="40954" ht="14.25" customHeight="1" s="192">
      <c r="W40954" s="228" t="n"/>
      <c r="X40954" s="228" t="n"/>
    </row>
    <row r="40955" ht="14.25" customHeight="1" s="192">
      <c r="W40955" s="231" t="n"/>
      <c r="X40955" s="231" t="n"/>
    </row>
    <row r="40956" ht="14.25" customHeight="1" s="192">
      <c r="W40956" s="33" t="n"/>
      <c r="X40956" s="33" t="n"/>
    </row>
    <row r="40957" ht="14.25" customHeight="1" s="192">
      <c r="W40957" s="231" t="n"/>
      <c r="X40957" s="231" t="n"/>
    </row>
    <row r="40958" ht="14.25" customHeight="1" s="192">
      <c r="W40958" s="33" t="n"/>
      <c r="X40958" s="33" t="n"/>
    </row>
    <row r="40960" ht="14.25" customHeight="1" s="192">
      <c r="W40960" s="231" t="n"/>
      <c r="X40960" s="231" t="n"/>
    </row>
    <row r="40961" ht="14.25" customHeight="1" s="192">
      <c r="W40961" s="235" t="n"/>
      <c r="X40961" s="235" t="n"/>
    </row>
    <row r="40962" ht="14.25" customHeight="1" s="192">
      <c r="W40962" s="228" t="n"/>
      <c r="X40962" s="228" t="n"/>
    </row>
    <row r="40963" ht="14.25" customHeight="1" s="192">
      <c r="W40963" s="235" t="n"/>
      <c r="X40963" s="235" t="n"/>
    </row>
    <row r="40964" ht="14.25" customHeight="1" s="192">
      <c r="W40964" s="235" t="n"/>
      <c r="X40964" s="235" t="n"/>
    </row>
    <row r="40965" ht="14.25" customHeight="1" s="192">
      <c r="W40965" s="235" t="n"/>
      <c r="X40965" s="235" t="n"/>
    </row>
    <row r="40966" ht="14.25" customHeight="1" s="192">
      <c r="W40966" s="239" t="n"/>
      <c r="X40966" s="239" t="n"/>
    </row>
    <row r="40967" ht="14.25" customHeight="1" s="192">
      <c r="W40967" s="239" t="n"/>
      <c r="X40967" s="239" t="n"/>
    </row>
    <row r="40968" ht="14.25" customHeight="1" s="192">
      <c r="W40968" s="239" t="n"/>
      <c r="X40968" s="239" t="n"/>
    </row>
    <row r="40969" ht="14.25" customHeight="1" s="192">
      <c r="W40969" s="235" t="n"/>
      <c r="X40969" s="235" t="n"/>
    </row>
    <row r="40970" ht="14.25" customHeight="1" s="192">
      <c r="W40970" s="235" t="n"/>
      <c r="X40970" s="235" t="n"/>
    </row>
    <row r="40971" ht="14.25" customHeight="1" s="192">
      <c r="W40971" s="235" t="n"/>
      <c r="X40971" s="235" t="n"/>
    </row>
    <row r="40972" ht="14.25" customHeight="1" s="192">
      <c r="W40972" s="239" t="n"/>
      <c r="X40972" s="239" t="n"/>
    </row>
    <row r="40973" ht="14.25" customHeight="1" s="192">
      <c r="W40973" s="239" t="n"/>
      <c r="X40973" s="239" t="n"/>
    </row>
    <row r="40974" ht="14.25" customHeight="1" s="192">
      <c r="W40974" s="235" t="n"/>
      <c r="X40974" s="235" t="n"/>
    </row>
    <row r="40975" ht="14.25" customHeight="1" s="192">
      <c r="W40975" s="235" t="n"/>
      <c r="X40975" s="235" t="n"/>
    </row>
    <row r="40976" ht="14.25" customHeight="1" s="192">
      <c r="W40976" s="239" t="n"/>
      <c r="X40976" s="239" t="n"/>
    </row>
    <row r="40977" ht="14.25" customHeight="1" s="192">
      <c r="W40977" s="235" t="n"/>
      <c r="X40977" s="235" t="n"/>
    </row>
    <row r="40978" ht="14.25" customHeight="1" s="192">
      <c r="W40978" s="239" t="n"/>
      <c r="X40978" s="239" t="n"/>
    </row>
    <row r="40980" ht="14.25" customHeight="1" s="192">
      <c r="W40980" s="235" t="n"/>
      <c r="X40980" s="235" t="n"/>
    </row>
    <row r="40981" ht="15" customHeight="1" s="192" thickBot="1">
      <c r="W40981" s="239" t="n"/>
      <c r="X40981" s="239" t="n"/>
    </row>
    <row r="40982" ht="15" customHeight="1" s="192" thickBot="1">
      <c r="W40982" s="45" t="n"/>
      <c r="X40982" s="45" t="n"/>
    </row>
    <row r="40983" ht="14.25" customHeight="1" s="192">
      <c r="W40983" s="228" t="n"/>
      <c r="X40983" s="228" t="n"/>
    </row>
    <row r="40984" ht="14.25" customHeight="1" s="192">
      <c r="W40984" s="228" t="n"/>
      <c r="X40984" s="228" t="n"/>
    </row>
    <row r="40985" ht="14.25" customHeight="1" s="192">
      <c r="W40985" s="231" t="n"/>
      <c r="X40985" s="231" t="n"/>
    </row>
    <row r="40986" ht="14.25" customHeight="1" s="192">
      <c r="W40986" s="33" t="n"/>
      <c r="X40986" s="33" t="n"/>
    </row>
    <row r="40987" ht="14.25" customHeight="1" s="192">
      <c r="W40987" s="231" t="n"/>
      <c r="X40987" s="231" t="n"/>
    </row>
    <row r="40988" ht="14.25" customHeight="1" s="192">
      <c r="W40988" s="33" t="n"/>
      <c r="X40988" s="33" t="n"/>
    </row>
    <row r="40990" ht="14.25" customHeight="1" s="192">
      <c r="W40990" s="231" t="n"/>
      <c r="X40990" s="231" t="n"/>
    </row>
    <row r="40991" ht="14.25" customHeight="1" s="192">
      <c r="W40991" s="235" t="n"/>
      <c r="X40991" s="235" t="n"/>
    </row>
    <row r="40992" ht="14.25" customHeight="1" s="192">
      <c r="W40992" s="228" t="n"/>
      <c r="X40992" s="228" t="n"/>
    </row>
    <row r="40993" ht="14.25" customHeight="1" s="192">
      <c r="W40993" s="235" t="n"/>
      <c r="X40993" s="235" t="n"/>
    </row>
    <row r="40994" ht="14.25" customHeight="1" s="192">
      <c r="W40994" s="235" t="n"/>
      <c r="X40994" s="235" t="n"/>
    </row>
    <row r="40995" ht="14.25" customHeight="1" s="192">
      <c r="W40995" s="235" t="n"/>
      <c r="X40995" s="235" t="n"/>
    </row>
    <row r="40996" ht="14.25" customHeight="1" s="192">
      <c r="W40996" s="239" t="n"/>
      <c r="X40996" s="239" t="n"/>
    </row>
    <row r="40997" ht="14.25" customHeight="1" s="192">
      <c r="W40997" s="239" t="n"/>
      <c r="X40997" s="239" t="n"/>
    </row>
    <row r="40998" ht="14.25" customHeight="1" s="192">
      <c r="W40998" s="239" t="n"/>
      <c r="X40998" s="239" t="n"/>
    </row>
    <row r="40999" ht="14.25" customHeight="1" s="192">
      <c r="W40999" s="235" t="n"/>
      <c r="X40999" s="235" t="n"/>
    </row>
    <row r="41000" ht="14.25" customHeight="1" s="192">
      <c r="W41000" s="235" t="n"/>
      <c r="X41000" s="235" t="n"/>
    </row>
    <row r="41001" ht="14.25" customHeight="1" s="192">
      <c r="W41001" s="235" t="n"/>
      <c r="X41001" s="235" t="n"/>
    </row>
    <row r="41002" ht="14.25" customHeight="1" s="192">
      <c r="W41002" s="239" t="n"/>
      <c r="X41002" s="239" t="n"/>
    </row>
    <row r="41003" ht="14.25" customHeight="1" s="192">
      <c r="W41003" s="239" t="n"/>
      <c r="X41003" s="239" t="n"/>
    </row>
    <row r="41004" ht="14.25" customHeight="1" s="192">
      <c r="W41004" s="235" t="n"/>
      <c r="X41004" s="235" t="n"/>
    </row>
    <row r="41005" ht="14.25" customHeight="1" s="192">
      <c r="W41005" s="235" t="n"/>
      <c r="X41005" s="235" t="n"/>
    </row>
    <row r="41006" ht="14.25" customHeight="1" s="192">
      <c r="W41006" s="239" t="n"/>
      <c r="X41006" s="239" t="n"/>
    </row>
    <row r="41007" ht="14.25" customHeight="1" s="192">
      <c r="W41007" s="235" t="n"/>
      <c r="X41007" s="235" t="n"/>
    </row>
    <row r="41008" ht="14.25" customHeight="1" s="192">
      <c r="W41008" s="239" t="n"/>
      <c r="X41008" s="239" t="n"/>
    </row>
    <row r="41010" ht="14.25" customHeight="1" s="192">
      <c r="W41010" s="235" t="n"/>
      <c r="X41010" s="235" t="n"/>
    </row>
    <row r="41011" ht="15" customHeight="1" s="192" thickBot="1">
      <c r="W41011" s="239" t="n"/>
      <c r="X41011" s="239" t="n"/>
    </row>
    <row r="41012" ht="15" customHeight="1" s="192" thickBot="1">
      <c r="W41012" s="45" t="n"/>
      <c r="X41012" s="45" t="n"/>
    </row>
    <row r="41013" ht="14.25" customHeight="1" s="192">
      <c r="W41013" s="228" t="n"/>
      <c r="X41013" s="228" t="n"/>
    </row>
    <row r="41014" ht="14.25" customHeight="1" s="192">
      <c r="W41014" s="228" t="n"/>
      <c r="X41014" s="228" t="n"/>
    </row>
    <row r="41015" ht="14.25" customHeight="1" s="192">
      <c r="W41015" s="231" t="n"/>
      <c r="X41015" s="231" t="n"/>
    </row>
    <row r="41016" ht="14.25" customHeight="1" s="192">
      <c r="W41016" s="33" t="n"/>
      <c r="X41016" s="33" t="n"/>
    </row>
    <row r="41017" ht="14.25" customHeight="1" s="192">
      <c r="W41017" s="231" t="n"/>
      <c r="X41017" s="231" t="n"/>
    </row>
    <row r="41018" ht="14.25" customHeight="1" s="192">
      <c r="W41018" s="33" t="n"/>
      <c r="X41018" s="33" t="n"/>
    </row>
    <row r="41020" ht="14.25" customHeight="1" s="192">
      <c r="W41020" s="231" t="n"/>
      <c r="X41020" s="231" t="n"/>
    </row>
    <row r="41021" ht="14.25" customHeight="1" s="192">
      <c r="W41021" s="235" t="n"/>
      <c r="X41021" s="235" t="n"/>
    </row>
    <row r="41022" ht="14.25" customHeight="1" s="192">
      <c r="W41022" s="228" t="n"/>
      <c r="X41022" s="228" t="n"/>
    </row>
    <row r="41023" ht="14.25" customHeight="1" s="192">
      <c r="W41023" s="235" t="n"/>
      <c r="X41023" s="235" t="n"/>
    </row>
    <row r="41024" ht="14.25" customHeight="1" s="192">
      <c r="W41024" s="235" t="n"/>
      <c r="X41024" s="235" t="n"/>
    </row>
    <row r="41025" ht="14.25" customHeight="1" s="192">
      <c r="W41025" s="235" t="n"/>
      <c r="X41025" s="235" t="n"/>
    </row>
    <row r="41026" ht="14.25" customHeight="1" s="192">
      <c r="W41026" s="239" t="n"/>
      <c r="X41026" s="239" t="n"/>
    </row>
    <row r="41027" ht="14.25" customHeight="1" s="192">
      <c r="W41027" s="239" t="n"/>
      <c r="X41027" s="239" t="n"/>
    </row>
    <row r="41028" ht="14.25" customHeight="1" s="192">
      <c r="W41028" s="239" t="n"/>
      <c r="X41028" s="239" t="n"/>
    </row>
    <row r="41029" ht="14.25" customHeight="1" s="192">
      <c r="W41029" s="235" t="n"/>
      <c r="X41029" s="235" t="n"/>
    </row>
    <row r="41030" ht="14.25" customHeight="1" s="192">
      <c r="W41030" s="235" t="n"/>
      <c r="X41030" s="235" t="n"/>
    </row>
    <row r="41031" ht="14.25" customHeight="1" s="192">
      <c r="W41031" s="235" t="n"/>
      <c r="X41031" s="235" t="n"/>
    </row>
    <row r="41032" ht="14.25" customHeight="1" s="192">
      <c r="W41032" s="239" t="n"/>
      <c r="X41032" s="239" t="n"/>
    </row>
    <row r="41033" ht="14.25" customHeight="1" s="192">
      <c r="W41033" s="239" t="n"/>
      <c r="X41033" s="239" t="n"/>
    </row>
    <row r="41034" ht="14.25" customHeight="1" s="192">
      <c r="W41034" s="235" t="n"/>
      <c r="X41034" s="235" t="n"/>
    </row>
    <row r="41035" ht="14.25" customHeight="1" s="192">
      <c r="W41035" s="235" t="n"/>
      <c r="X41035" s="235" t="n"/>
    </row>
    <row r="41036" ht="14.25" customHeight="1" s="192">
      <c r="W41036" s="239" t="n"/>
      <c r="X41036" s="239" t="n"/>
    </row>
    <row r="41037" ht="14.25" customHeight="1" s="192">
      <c r="W41037" s="235" t="n"/>
      <c r="X41037" s="235" t="n"/>
    </row>
    <row r="41038" ht="14.25" customHeight="1" s="192">
      <c r="W41038" s="239" t="n"/>
      <c r="X41038" s="239" t="n"/>
    </row>
    <row r="41040" ht="14.25" customHeight="1" s="192">
      <c r="W41040" s="235" t="n"/>
      <c r="X41040" s="235" t="n"/>
    </row>
    <row r="41041" ht="15" customHeight="1" s="192" thickBot="1">
      <c r="W41041" s="239" t="n"/>
      <c r="X41041" s="239" t="n"/>
    </row>
    <row r="41042" ht="15" customHeight="1" s="192" thickBot="1">
      <c r="W41042" s="45" t="n"/>
      <c r="X41042" s="45" t="n"/>
    </row>
    <row r="41043" ht="14.25" customHeight="1" s="192">
      <c r="W41043" s="228" t="n"/>
      <c r="X41043" s="228" t="n"/>
    </row>
    <row r="41044" ht="14.25" customHeight="1" s="192">
      <c r="W41044" s="228" t="n"/>
      <c r="X41044" s="228" t="n"/>
    </row>
    <row r="41045" ht="14.25" customHeight="1" s="192">
      <c r="W41045" s="231" t="n"/>
      <c r="X41045" s="231" t="n"/>
    </row>
    <row r="41046" ht="14.25" customHeight="1" s="192">
      <c r="W41046" s="33" t="n"/>
      <c r="X41046" s="33" t="n"/>
    </row>
    <row r="41047" ht="14.25" customHeight="1" s="192">
      <c r="W41047" s="231" t="n"/>
      <c r="X41047" s="231" t="n"/>
    </row>
    <row r="41048" ht="14.25" customHeight="1" s="192">
      <c r="W41048" s="33" t="n"/>
      <c r="X41048" s="33" t="n"/>
    </row>
    <row r="41050" ht="14.25" customHeight="1" s="192">
      <c r="W41050" s="231" t="n"/>
      <c r="X41050" s="231" t="n"/>
    </row>
    <row r="41051" ht="14.25" customHeight="1" s="192">
      <c r="W41051" s="235" t="n"/>
      <c r="X41051" s="235" t="n"/>
    </row>
    <row r="41052" ht="14.25" customHeight="1" s="192">
      <c r="W41052" s="228" t="n"/>
      <c r="X41052" s="228" t="n"/>
    </row>
    <row r="41053" ht="14.25" customHeight="1" s="192">
      <c r="W41053" s="235" t="n"/>
      <c r="X41053" s="235" t="n"/>
    </row>
    <row r="41054" ht="14.25" customHeight="1" s="192">
      <c r="W41054" s="235" t="n"/>
      <c r="X41054" s="235" t="n"/>
    </row>
    <row r="41055" ht="14.25" customHeight="1" s="192">
      <c r="W41055" s="235" t="n"/>
      <c r="X41055" s="235" t="n"/>
    </row>
    <row r="41056" ht="14.25" customHeight="1" s="192">
      <c r="W41056" s="239" t="n"/>
      <c r="X41056" s="239" t="n"/>
    </row>
    <row r="41057" ht="14.25" customHeight="1" s="192">
      <c r="W41057" s="239" t="n"/>
      <c r="X41057" s="239" t="n"/>
    </row>
    <row r="41058" ht="14.25" customHeight="1" s="192">
      <c r="W41058" s="239" t="n"/>
      <c r="X41058" s="239" t="n"/>
    </row>
    <row r="41059" ht="14.25" customHeight="1" s="192">
      <c r="W41059" s="235" t="n"/>
      <c r="X41059" s="235" t="n"/>
    </row>
    <row r="41060" ht="14.25" customHeight="1" s="192">
      <c r="W41060" s="235" t="n"/>
      <c r="X41060" s="235" t="n"/>
    </row>
    <row r="41061" ht="14.25" customHeight="1" s="192">
      <c r="W41061" s="235" t="n"/>
      <c r="X41061" s="235" t="n"/>
    </row>
    <row r="41062" ht="14.25" customHeight="1" s="192">
      <c r="W41062" s="239" t="n"/>
      <c r="X41062" s="239" t="n"/>
    </row>
    <row r="41063" ht="14.25" customHeight="1" s="192">
      <c r="W41063" s="239" t="n"/>
      <c r="X41063" s="239" t="n"/>
    </row>
    <row r="41064" ht="14.25" customHeight="1" s="192">
      <c r="W41064" s="235" t="n"/>
      <c r="X41064" s="235" t="n"/>
    </row>
    <row r="41065" ht="14.25" customHeight="1" s="192">
      <c r="W41065" s="235" t="n"/>
      <c r="X41065" s="235" t="n"/>
    </row>
    <row r="41066" ht="14.25" customHeight="1" s="192">
      <c r="W41066" s="239" t="n"/>
      <c r="X41066" s="239" t="n"/>
    </row>
    <row r="41067" ht="14.25" customHeight="1" s="192">
      <c r="W41067" s="235" t="n"/>
      <c r="X41067" s="235" t="n"/>
    </row>
    <row r="41068" ht="14.25" customHeight="1" s="192">
      <c r="W41068" s="239" t="n"/>
      <c r="X41068" s="239" t="n"/>
    </row>
    <row r="41070" ht="14.25" customHeight="1" s="192">
      <c r="W41070" s="235" t="n"/>
      <c r="X41070" s="235" t="n"/>
    </row>
    <row r="41071" ht="15" customHeight="1" s="192" thickBot="1">
      <c r="W41071" s="239" t="n"/>
      <c r="X41071" s="239" t="n"/>
    </row>
    <row r="41072" ht="15" customHeight="1" s="192" thickBot="1">
      <c r="W41072" s="45" t="n"/>
      <c r="X41072" s="45" t="n"/>
    </row>
    <row r="41073" ht="14.25" customHeight="1" s="192">
      <c r="W41073" s="228" t="n"/>
      <c r="X41073" s="228" t="n"/>
    </row>
    <row r="41074" ht="14.25" customHeight="1" s="192">
      <c r="W41074" s="228" t="n"/>
      <c r="X41074" s="228" t="n"/>
    </row>
    <row r="41075" ht="14.25" customHeight="1" s="192">
      <c r="W41075" s="231" t="n"/>
      <c r="X41075" s="231" t="n"/>
    </row>
    <row r="41076" ht="14.25" customHeight="1" s="192">
      <c r="W41076" s="33" t="n"/>
      <c r="X41076" s="33" t="n"/>
    </row>
    <row r="41077" ht="14.25" customHeight="1" s="192">
      <c r="W41077" s="231" t="n"/>
      <c r="X41077" s="231" t="n"/>
    </row>
    <row r="41078" ht="14.25" customHeight="1" s="192">
      <c r="W41078" s="33" t="n"/>
      <c r="X41078" s="33" t="n"/>
    </row>
    <row r="41080" ht="14.25" customHeight="1" s="192">
      <c r="W41080" s="231" t="n"/>
      <c r="X41080" s="231" t="n"/>
    </row>
    <row r="41081" ht="14.25" customHeight="1" s="192">
      <c r="W41081" s="235" t="n"/>
      <c r="X41081" s="235" t="n"/>
    </row>
    <row r="41082" ht="14.25" customHeight="1" s="192">
      <c r="W41082" s="228" t="n"/>
      <c r="X41082" s="228" t="n"/>
    </row>
    <row r="41083" ht="14.25" customHeight="1" s="192">
      <c r="W41083" s="235" t="n"/>
      <c r="X41083" s="235" t="n"/>
    </row>
    <row r="41084" ht="14.25" customHeight="1" s="192">
      <c r="W41084" s="235" t="n"/>
      <c r="X41084" s="235" t="n"/>
    </row>
    <row r="41085" ht="14.25" customHeight="1" s="192">
      <c r="W41085" s="235" t="n"/>
      <c r="X41085" s="235" t="n"/>
    </row>
    <row r="41086" ht="14.25" customHeight="1" s="192">
      <c r="W41086" s="239" t="n"/>
      <c r="X41086" s="239" t="n"/>
    </row>
    <row r="41087" ht="14.25" customHeight="1" s="192">
      <c r="W41087" s="239" t="n"/>
      <c r="X41087" s="239" t="n"/>
    </row>
    <row r="41088" ht="14.25" customHeight="1" s="192">
      <c r="W41088" s="239" t="n"/>
      <c r="X41088" s="239" t="n"/>
    </row>
    <row r="41089" ht="14.25" customHeight="1" s="192">
      <c r="W41089" s="235" t="n"/>
      <c r="X41089" s="235" t="n"/>
    </row>
    <row r="41090" ht="14.25" customHeight="1" s="192">
      <c r="W41090" s="235" t="n"/>
      <c r="X41090" s="235" t="n"/>
    </row>
    <row r="41091" ht="14.25" customHeight="1" s="192">
      <c r="W41091" s="235" t="n"/>
      <c r="X41091" s="235" t="n"/>
    </row>
    <row r="41092" ht="14.25" customHeight="1" s="192">
      <c r="W41092" s="239" t="n"/>
      <c r="X41092" s="239" t="n"/>
    </row>
    <row r="41093" ht="14.25" customHeight="1" s="192">
      <c r="W41093" s="239" t="n"/>
      <c r="X41093" s="239" t="n"/>
    </row>
    <row r="41094" ht="14.25" customHeight="1" s="192">
      <c r="W41094" s="235" t="n"/>
      <c r="X41094" s="235" t="n"/>
    </row>
    <row r="41095" ht="14.25" customHeight="1" s="192">
      <c r="W41095" s="235" t="n"/>
      <c r="X41095" s="235" t="n"/>
    </row>
    <row r="41096" ht="14.25" customHeight="1" s="192">
      <c r="W41096" s="239" t="n"/>
      <c r="X41096" s="239" t="n"/>
    </row>
    <row r="41097" ht="14.25" customHeight="1" s="192">
      <c r="W41097" s="235" t="n"/>
      <c r="X41097" s="235" t="n"/>
    </row>
    <row r="41098" ht="14.25" customHeight="1" s="192">
      <c r="W41098" s="239" t="n"/>
      <c r="X41098" s="239" t="n"/>
    </row>
    <row r="41100" ht="14.25" customHeight="1" s="192">
      <c r="W41100" s="235" t="n"/>
      <c r="X41100" s="235" t="n"/>
    </row>
    <row r="41101" ht="15" customHeight="1" s="192" thickBot="1">
      <c r="W41101" s="239" t="n"/>
      <c r="X41101" s="239" t="n"/>
    </row>
    <row r="41102" ht="15" customHeight="1" s="192" thickBot="1">
      <c r="W41102" s="45" t="n"/>
      <c r="X41102" s="45" t="n"/>
    </row>
    <row r="41103" ht="14.25" customHeight="1" s="192">
      <c r="W41103" s="228" t="n"/>
      <c r="X41103" s="228" t="n"/>
    </row>
    <row r="41104" ht="14.25" customHeight="1" s="192">
      <c r="W41104" s="228" t="n"/>
      <c r="X41104" s="228" t="n"/>
    </row>
    <row r="41105" ht="14.25" customHeight="1" s="192">
      <c r="W41105" s="231" t="n"/>
      <c r="X41105" s="231" t="n"/>
    </row>
    <row r="41106" ht="14.25" customHeight="1" s="192">
      <c r="W41106" s="33" t="n"/>
      <c r="X41106" s="33" t="n"/>
    </row>
    <row r="41107" ht="14.25" customHeight="1" s="192">
      <c r="W41107" s="231" t="n"/>
      <c r="X41107" s="231" t="n"/>
    </row>
    <row r="41108" ht="14.25" customHeight="1" s="192">
      <c r="W41108" s="33" t="n"/>
      <c r="X41108" s="33" t="n"/>
    </row>
    <row r="41110" ht="14.25" customHeight="1" s="192">
      <c r="W41110" s="231" t="n"/>
      <c r="X41110" s="231" t="n"/>
    </row>
    <row r="41111" ht="14.25" customHeight="1" s="192">
      <c r="W41111" s="235" t="n"/>
      <c r="X41111" s="235" t="n"/>
    </row>
    <row r="41112" ht="14.25" customHeight="1" s="192">
      <c r="W41112" s="228" t="n"/>
      <c r="X41112" s="228" t="n"/>
    </row>
    <row r="41113" ht="14.25" customHeight="1" s="192">
      <c r="W41113" s="235" t="n"/>
      <c r="X41113" s="235" t="n"/>
    </row>
    <row r="41114" ht="14.25" customHeight="1" s="192">
      <c r="W41114" s="235" t="n"/>
      <c r="X41114" s="235" t="n"/>
    </row>
    <row r="41115" ht="14.25" customHeight="1" s="192">
      <c r="W41115" s="235" t="n"/>
      <c r="X41115" s="235" t="n"/>
    </row>
    <row r="41116" ht="14.25" customHeight="1" s="192">
      <c r="W41116" s="239" t="n"/>
      <c r="X41116" s="239" t="n"/>
    </row>
    <row r="41117" ht="14.25" customHeight="1" s="192">
      <c r="W41117" s="239" t="n"/>
      <c r="X41117" s="239" t="n"/>
    </row>
    <row r="41118" ht="14.25" customHeight="1" s="192">
      <c r="W41118" s="239" t="n"/>
      <c r="X41118" s="239" t="n"/>
    </row>
    <row r="41119" ht="14.25" customHeight="1" s="192">
      <c r="W41119" s="235" t="n"/>
      <c r="X41119" s="235" t="n"/>
    </row>
    <row r="41120" ht="14.25" customHeight="1" s="192">
      <c r="W41120" s="235" t="n"/>
      <c r="X41120" s="235" t="n"/>
    </row>
    <row r="41121" ht="14.25" customHeight="1" s="192">
      <c r="W41121" s="235" t="n"/>
      <c r="X41121" s="235" t="n"/>
    </row>
    <row r="41122" ht="14.25" customHeight="1" s="192">
      <c r="W41122" s="239" t="n"/>
      <c r="X41122" s="239" t="n"/>
    </row>
    <row r="41123" ht="14.25" customHeight="1" s="192">
      <c r="W41123" s="239" t="n"/>
      <c r="X41123" s="239" t="n"/>
    </row>
    <row r="41124" ht="14.25" customHeight="1" s="192">
      <c r="W41124" s="235" t="n"/>
      <c r="X41124" s="235" t="n"/>
    </row>
    <row r="41125" ht="14.25" customHeight="1" s="192">
      <c r="W41125" s="235" t="n"/>
      <c r="X41125" s="235" t="n"/>
    </row>
    <row r="41126" ht="14.25" customHeight="1" s="192">
      <c r="W41126" s="239" t="n"/>
      <c r="X41126" s="239" t="n"/>
    </row>
    <row r="41127" ht="14.25" customHeight="1" s="192">
      <c r="W41127" s="235" t="n"/>
      <c r="X41127" s="235" t="n"/>
    </row>
    <row r="41128" ht="14.25" customHeight="1" s="192">
      <c r="W41128" s="239" t="n"/>
      <c r="X41128" s="239" t="n"/>
    </row>
    <row r="41130" ht="14.25" customHeight="1" s="192">
      <c r="W41130" s="235" t="n"/>
      <c r="X41130" s="235" t="n"/>
    </row>
    <row r="41131" ht="15" customHeight="1" s="192" thickBot="1">
      <c r="W41131" s="239" t="n"/>
      <c r="X41131" s="239" t="n"/>
    </row>
    <row r="41132" ht="15" customHeight="1" s="192" thickBot="1">
      <c r="W41132" s="45" t="n"/>
      <c r="X41132" s="45" t="n"/>
    </row>
    <row r="41133" ht="14.25" customHeight="1" s="192">
      <c r="W41133" s="228" t="n"/>
      <c r="X41133" s="228" t="n"/>
    </row>
    <row r="41134" ht="14.25" customHeight="1" s="192">
      <c r="W41134" s="228" t="n"/>
      <c r="X41134" s="228" t="n"/>
    </row>
    <row r="41135" ht="14.25" customHeight="1" s="192">
      <c r="W41135" s="231" t="n"/>
      <c r="X41135" s="231" t="n"/>
    </row>
    <row r="41136" ht="14.25" customHeight="1" s="192">
      <c r="W41136" s="33" t="n"/>
      <c r="X41136" s="33" t="n"/>
    </row>
    <row r="41137" ht="14.25" customHeight="1" s="192">
      <c r="W41137" s="231" t="n"/>
      <c r="X41137" s="231" t="n"/>
    </row>
    <row r="41138" ht="14.25" customHeight="1" s="192">
      <c r="W41138" s="33" t="n"/>
      <c r="X41138" s="33" t="n"/>
    </row>
    <row r="41140" ht="14.25" customHeight="1" s="192">
      <c r="W41140" s="231" t="n"/>
      <c r="X41140" s="231" t="n"/>
    </row>
    <row r="41141" ht="14.25" customHeight="1" s="192">
      <c r="W41141" s="235" t="n"/>
      <c r="X41141" s="235" t="n"/>
    </row>
    <row r="41142" ht="14.25" customHeight="1" s="192">
      <c r="W41142" s="228" t="n"/>
      <c r="X41142" s="228" t="n"/>
    </row>
    <row r="41143" ht="14.25" customHeight="1" s="192">
      <c r="W41143" s="235" t="n"/>
      <c r="X41143" s="235" t="n"/>
    </row>
    <row r="41144" ht="14.25" customHeight="1" s="192">
      <c r="W41144" s="235" t="n"/>
      <c r="X41144" s="235" t="n"/>
    </row>
    <row r="41145" ht="14.25" customHeight="1" s="192">
      <c r="W41145" s="235" t="n"/>
      <c r="X41145" s="235" t="n"/>
    </row>
    <row r="41146" ht="14.25" customHeight="1" s="192">
      <c r="W41146" s="239" t="n"/>
      <c r="X41146" s="239" t="n"/>
    </row>
    <row r="41147" ht="14.25" customHeight="1" s="192">
      <c r="W41147" s="239" t="n"/>
      <c r="X41147" s="239" t="n"/>
    </row>
    <row r="41148" ht="14.25" customHeight="1" s="192">
      <c r="W41148" s="239" t="n"/>
      <c r="X41148" s="239" t="n"/>
    </row>
    <row r="41149" ht="14.25" customHeight="1" s="192">
      <c r="W41149" s="235" t="n"/>
      <c r="X41149" s="235" t="n"/>
    </row>
    <row r="41150" ht="14.25" customHeight="1" s="192">
      <c r="W41150" s="235" t="n"/>
      <c r="X41150" s="235" t="n"/>
    </row>
    <row r="41151" ht="14.25" customHeight="1" s="192">
      <c r="W41151" s="235" t="n"/>
      <c r="X41151" s="235" t="n"/>
    </row>
    <row r="41152" ht="14.25" customHeight="1" s="192">
      <c r="W41152" s="239" t="n"/>
      <c r="X41152" s="239" t="n"/>
    </row>
    <row r="41153" ht="14.25" customHeight="1" s="192">
      <c r="W41153" s="239" t="n"/>
      <c r="X41153" s="239" t="n"/>
    </row>
    <row r="41154" ht="14.25" customHeight="1" s="192">
      <c r="W41154" s="235" t="n"/>
      <c r="X41154" s="235" t="n"/>
    </row>
    <row r="41155" ht="14.25" customHeight="1" s="192">
      <c r="W41155" s="235" t="n"/>
      <c r="X41155" s="235" t="n"/>
    </row>
    <row r="41156" ht="14.25" customHeight="1" s="192">
      <c r="W41156" s="239" t="n"/>
      <c r="X41156" s="239" t="n"/>
    </row>
    <row r="41157" ht="14.25" customHeight="1" s="192">
      <c r="W41157" s="235" t="n"/>
      <c r="X41157" s="235" t="n"/>
    </row>
    <row r="41158" ht="14.25" customHeight="1" s="192">
      <c r="W41158" s="239" t="n"/>
      <c r="X41158" s="239" t="n"/>
    </row>
    <row r="41160" ht="14.25" customHeight="1" s="192">
      <c r="W41160" s="235" t="n"/>
      <c r="X41160" s="235" t="n"/>
    </row>
    <row r="41161" ht="15" customHeight="1" s="192" thickBot="1">
      <c r="W41161" s="239" t="n"/>
      <c r="X41161" s="239" t="n"/>
    </row>
    <row r="41162" ht="15" customHeight="1" s="192" thickBot="1">
      <c r="W41162" s="45" t="n"/>
      <c r="X41162" s="45" t="n"/>
    </row>
    <row r="41163" ht="14.25" customHeight="1" s="192">
      <c r="W41163" s="228" t="n"/>
      <c r="X41163" s="228" t="n"/>
    </row>
    <row r="41164" ht="14.25" customHeight="1" s="192">
      <c r="W41164" s="228" t="n"/>
      <c r="X41164" s="228" t="n"/>
    </row>
    <row r="41165" ht="14.25" customHeight="1" s="192">
      <c r="W41165" s="231" t="n"/>
      <c r="X41165" s="231" t="n"/>
    </row>
    <row r="41166" ht="14.25" customHeight="1" s="192">
      <c r="W41166" s="33" t="n"/>
      <c r="X41166" s="33" t="n"/>
    </row>
    <row r="41167" ht="14.25" customHeight="1" s="192">
      <c r="W41167" s="231" t="n"/>
      <c r="X41167" s="231" t="n"/>
    </row>
    <row r="41168" ht="14.25" customHeight="1" s="192">
      <c r="W41168" s="33" t="n"/>
      <c r="X41168" s="33" t="n"/>
    </row>
    <row r="41170" ht="14.25" customHeight="1" s="192">
      <c r="W41170" s="231" t="n"/>
      <c r="X41170" s="231" t="n"/>
    </row>
    <row r="41171" ht="14.25" customHeight="1" s="192">
      <c r="W41171" s="235" t="n"/>
      <c r="X41171" s="235" t="n"/>
    </row>
    <row r="41172" ht="14.25" customHeight="1" s="192">
      <c r="W41172" s="228" t="n"/>
      <c r="X41172" s="228" t="n"/>
    </row>
    <row r="41173" ht="14.25" customHeight="1" s="192">
      <c r="W41173" s="235" t="n"/>
      <c r="X41173" s="235" t="n"/>
    </row>
    <row r="41174" ht="14.25" customHeight="1" s="192">
      <c r="W41174" s="235" t="n"/>
      <c r="X41174" s="235" t="n"/>
    </row>
    <row r="41175" ht="14.25" customHeight="1" s="192">
      <c r="W41175" s="235" t="n"/>
      <c r="X41175" s="235" t="n"/>
    </row>
    <row r="41176" ht="14.25" customHeight="1" s="192">
      <c r="W41176" s="239" t="n"/>
      <c r="X41176" s="239" t="n"/>
    </row>
    <row r="41177" ht="14.25" customHeight="1" s="192">
      <c r="W41177" s="239" t="n"/>
      <c r="X41177" s="239" t="n"/>
    </row>
    <row r="41178" ht="14.25" customHeight="1" s="192">
      <c r="W41178" s="239" t="n"/>
      <c r="X41178" s="239" t="n"/>
    </row>
    <row r="41179" ht="14.25" customHeight="1" s="192">
      <c r="W41179" s="235" t="n"/>
      <c r="X41179" s="235" t="n"/>
    </row>
    <row r="41180" ht="14.25" customHeight="1" s="192">
      <c r="W41180" s="235" t="n"/>
      <c r="X41180" s="235" t="n"/>
    </row>
    <row r="41181" ht="14.25" customHeight="1" s="192">
      <c r="W41181" s="235" t="n"/>
      <c r="X41181" s="235" t="n"/>
    </row>
    <row r="41182" ht="14.25" customHeight="1" s="192">
      <c r="W41182" s="239" t="n"/>
      <c r="X41182" s="239" t="n"/>
    </row>
    <row r="41183" ht="14.25" customHeight="1" s="192">
      <c r="W41183" s="239" t="n"/>
      <c r="X41183" s="239" t="n"/>
    </row>
    <row r="41184" ht="14.25" customHeight="1" s="192">
      <c r="W41184" s="235" t="n"/>
      <c r="X41184" s="235" t="n"/>
    </row>
    <row r="41185" ht="14.25" customHeight="1" s="192">
      <c r="W41185" s="235" t="n"/>
      <c r="X41185" s="235" t="n"/>
    </row>
    <row r="41186" ht="14.25" customHeight="1" s="192">
      <c r="W41186" s="239" t="n"/>
      <c r="X41186" s="239" t="n"/>
    </row>
    <row r="41187" ht="14.25" customHeight="1" s="192">
      <c r="W41187" s="235" t="n"/>
      <c r="X41187" s="235" t="n"/>
    </row>
    <row r="41188" ht="14.25" customHeight="1" s="192">
      <c r="W41188" s="239" t="n"/>
      <c r="X41188" s="239" t="n"/>
    </row>
    <row r="41190" ht="14.25" customHeight="1" s="192">
      <c r="W41190" s="235" t="n"/>
      <c r="X41190" s="235" t="n"/>
    </row>
    <row r="41191" ht="15" customHeight="1" s="192" thickBot="1">
      <c r="W41191" s="239" t="n"/>
      <c r="X41191" s="239" t="n"/>
    </row>
    <row r="41192" ht="15" customHeight="1" s="192" thickBot="1">
      <c r="W41192" s="45" t="n"/>
      <c r="X41192" s="45" t="n"/>
    </row>
    <row r="41193" ht="14.25" customHeight="1" s="192">
      <c r="W41193" s="228" t="n"/>
      <c r="X41193" s="228" t="n"/>
    </row>
    <row r="41194" ht="14.25" customHeight="1" s="192">
      <c r="W41194" s="228" t="n"/>
      <c r="X41194" s="228" t="n"/>
    </row>
    <row r="41195" ht="14.25" customHeight="1" s="192">
      <c r="W41195" s="231" t="n"/>
      <c r="X41195" s="231" t="n"/>
    </row>
    <row r="41196" ht="14.25" customHeight="1" s="192">
      <c r="W41196" s="33" t="n"/>
      <c r="X41196" s="33" t="n"/>
    </row>
    <row r="41197" ht="14.25" customHeight="1" s="192">
      <c r="W41197" s="231" t="n"/>
      <c r="X41197" s="231" t="n"/>
    </row>
    <row r="41198" ht="14.25" customHeight="1" s="192">
      <c r="W41198" s="33" t="n"/>
      <c r="X41198" s="33" t="n"/>
    </row>
    <row r="41200" ht="14.25" customHeight="1" s="192">
      <c r="W41200" s="231" t="n"/>
      <c r="X41200" s="231" t="n"/>
    </row>
    <row r="41201" ht="14.25" customHeight="1" s="192">
      <c r="W41201" s="235" t="n"/>
      <c r="X41201" s="235" t="n"/>
    </row>
    <row r="41202" ht="14.25" customHeight="1" s="192">
      <c r="W41202" s="228" t="n"/>
      <c r="X41202" s="228" t="n"/>
    </row>
    <row r="41203" ht="14.25" customHeight="1" s="192">
      <c r="W41203" s="235" t="n"/>
      <c r="X41203" s="235" t="n"/>
    </row>
    <row r="41204" ht="14.25" customHeight="1" s="192">
      <c r="W41204" s="235" t="n"/>
      <c r="X41204" s="235" t="n"/>
    </row>
    <row r="41205" ht="14.25" customHeight="1" s="192">
      <c r="W41205" s="235" t="n"/>
      <c r="X41205" s="235" t="n"/>
    </row>
    <row r="41206" ht="14.25" customHeight="1" s="192">
      <c r="W41206" s="239" t="n"/>
      <c r="X41206" s="239" t="n"/>
    </row>
    <row r="41207" ht="14.25" customHeight="1" s="192">
      <c r="W41207" s="239" t="n"/>
      <c r="X41207" s="239" t="n"/>
    </row>
    <row r="41208" ht="14.25" customHeight="1" s="192">
      <c r="W41208" s="239" t="n"/>
      <c r="X41208" s="239" t="n"/>
    </row>
    <row r="41209" ht="14.25" customHeight="1" s="192">
      <c r="W41209" s="235" t="n"/>
      <c r="X41209" s="235" t="n"/>
    </row>
    <row r="41210" ht="14.25" customHeight="1" s="192">
      <c r="W41210" s="235" t="n"/>
      <c r="X41210" s="235" t="n"/>
    </row>
    <row r="41211" ht="14.25" customHeight="1" s="192">
      <c r="W41211" s="235" t="n"/>
      <c r="X41211" s="235" t="n"/>
    </row>
    <row r="41212" ht="14.25" customHeight="1" s="192">
      <c r="W41212" s="239" t="n"/>
      <c r="X41212" s="239" t="n"/>
    </row>
    <row r="41213" ht="14.25" customHeight="1" s="192">
      <c r="W41213" s="239" t="n"/>
      <c r="X41213" s="239" t="n"/>
    </row>
    <row r="41214" ht="14.25" customHeight="1" s="192">
      <c r="W41214" s="235" t="n"/>
      <c r="X41214" s="235" t="n"/>
    </row>
    <row r="41215" ht="14.25" customHeight="1" s="192">
      <c r="W41215" s="235" t="n"/>
      <c r="X41215" s="235" t="n"/>
    </row>
    <row r="41216" ht="14.25" customHeight="1" s="192">
      <c r="W41216" s="239" t="n"/>
      <c r="X41216" s="239" t="n"/>
    </row>
    <row r="41217" ht="14.25" customHeight="1" s="192">
      <c r="W41217" s="235" t="n"/>
      <c r="X41217" s="235" t="n"/>
    </row>
    <row r="41218" ht="14.25" customHeight="1" s="192">
      <c r="W41218" s="239" t="n"/>
      <c r="X41218" s="239" t="n"/>
    </row>
    <row r="41220" ht="14.25" customHeight="1" s="192">
      <c r="W41220" s="235" t="n"/>
      <c r="X41220" s="235" t="n"/>
    </row>
    <row r="41221" ht="15" customHeight="1" s="192" thickBot="1">
      <c r="W41221" s="239" t="n"/>
      <c r="X41221" s="239" t="n"/>
    </row>
    <row r="41222" ht="15" customHeight="1" s="192" thickBot="1">
      <c r="W41222" s="45" t="n"/>
      <c r="X41222" s="45" t="n"/>
    </row>
    <row r="41223" ht="14.25" customHeight="1" s="192">
      <c r="W41223" s="228" t="n"/>
      <c r="X41223" s="228" t="n"/>
    </row>
    <row r="41224" ht="14.25" customHeight="1" s="192">
      <c r="W41224" s="228" t="n"/>
      <c r="X41224" s="228" t="n"/>
    </row>
    <row r="41225" ht="14.25" customHeight="1" s="192">
      <c r="W41225" s="231" t="n"/>
      <c r="X41225" s="231" t="n"/>
    </row>
    <row r="41226" ht="14.25" customHeight="1" s="192">
      <c r="W41226" s="33" t="n"/>
      <c r="X41226" s="33" t="n"/>
    </row>
    <row r="41227" ht="14.25" customHeight="1" s="192">
      <c r="W41227" s="231" t="n"/>
      <c r="X41227" s="231" t="n"/>
    </row>
    <row r="41228" ht="14.25" customHeight="1" s="192">
      <c r="W41228" s="33" t="n"/>
      <c r="X41228" s="33" t="n"/>
    </row>
    <row r="41230" ht="14.25" customHeight="1" s="192">
      <c r="W41230" s="231" t="n"/>
      <c r="X41230" s="231" t="n"/>
    </row>
    <row r="41231" ht="14.25" customHeight="1" s="192">
      <c r="W41231" s="235" t="n"/>
      <c r="X41231" s="235" t="n"/>
    </row>
    <row r="41232" ht="14.25" customHeight="1" s="192">
      <c r="W41232" s="228" t="n"/>
      <c r="X41232" s="228" t="n"/>
    </row>
    <row r="41233" ht="14.25" customHeight="1" s="192">
      <c r="W41233" s="235" t="n"/>
      <c r="X41233" s="235" t="n"/>
    </row>
    <row r="41234" ht="14.25" customHeight="1" s="192">
      <c r="W41234" s="235" t="n"/>
      <c r="X41234" s="235" t="n"/>
    </row>
    <row r="41235" ht="14.25" customHeight="1" s="192">
      <c r="W41235" s="235" t="n"/>
      <c r="X41235" s="235" t="n"/>
    </row>
    <row r="41236" ht="14.25" customHeight="1" s="192">
      <c r="W41236" s="239" t="n"/>
      <c r="X41236" s="239" t="n"/>
    </row>
    <row r="41237" ht="14.25" customHeight="1" s="192">
      <c r="W41237" s="239" t="n"/>
      <c r="X41237" s="239" t="n"/>
    </row>
    <row r="41238" ht="14.25" customHeight="1" s="192">
      <c r="W41238" s="239" t="n"/>
      <c r="X41238" s="239" t="n"/>
    </row>
    <row r="41239" ht="14.25" customHeight="1" s="192">
      <c r="W41239" s="235" t="n"/>
      <c r="X41239" s="235" t="n"/>
    </row>
    <row r="41240" ht="14.25" customHeight="1" s="192">
      <c r="W41240" s="235" t="n"/>
      <c r="X41240" s="235" t="n"/>
    </row>
    <row r="41241" ht="14.25" customHeight="1" s="192">
      <c r="W41241" s="235" t="n"/>
      <c r="X41241" s="235" t="n"/>
    </row>
    <row r="41242" ht="14.25" customHeight="1" s="192">
      <c r="W41242" s="239" t="n"/>
      <c r="X41242" s="239" t="n"/>
    </row>
    <row r="41243" ht="14.25" customHeight="1" s="192">
      <c r="W41243" s="239" t="n"/>
      <c r="X41243" s="239" t="n"/>
    </row>
    <row r="41244" ht="14.25" customHeight="1" s="192">
      <c r="W41244" s="235" t="n"/>
      <c r="X41244" s="235" t="n"/>
    </row>
    <row r="41245" ht="14.25" customHeight="1" s="192">
      <c r="W41245" s="235" t="n"/>
      <c r="X41245" s="235" t="n"/>
    </row>
    <row r="41246" ht="14.25" customHeight="1" s="192">
      <c r="W41246" s="239" t="n"/>
      <c r="X41246" s="239" t="n"/>
    </row>
    <row r="41247" ht="14.25" customHeight="1" s="192">
      <c r="W41247" s="235" t="n"/>
      <c r="X41247" s="235" t="n"/>
    </row>
    <row r="41248" ht="14.25" customHeight="1" s="192">
      <c r="W41248" s="239" t="n"/>
      <c r="X41248" s="239" t="n"/>
    </row>
    <row r="41250" ht="14.25" customHeight="1" s="192">
      <c r="W41250" s="235" t="n"/>
      <c r="X41250" s="235" t="n"/>
    </row>
    <row r="41251" ht="15" customHeight="1" s="192" thickBot="1">
      <c r="W41251" s="239" t="n"/>
      <c r="X41251" s="239" t="n"/>
    </row>
    <row r="41252" ht="15" customHeight="1" s="192" thickBot="1">
      <c r="W41252" s="45" t="n"/>
      <c r="X41252" s="45" t="n"/>
    </row>
    <row r="41253" ht="14.25" customHeight="1" s="192">
      <c r="W41253" s="228" t="n"/>
      <c r="X41253" s="228" t="n"/>
    </row>
    <row r="41254" ht="14.25" customHeight="1" s="192">
      <c r="W41254" s="228" t="n"/>
      <c r="X41254" s="228" t="n"/>
    </row>
    <row r="41255" ht="14.25" customHeight="1" s="192">
      <c r="W41255" s="231" t="n"/>
      <c r="X41255" s="231" t="n"/>
    </row>
    <row r="41256" ht="14.25" customHeight="1" s="192">
      <c r="W41256" s="33" t="n"/>
      <c r="X41256" s="33" t="n"/>
    </row>
    <row r="41257" ht="14.25" customHeight="1" s="192">
      <c r="W41257" s="231" t="n"/>
      <c r="X41257" s="231" t="n"/>
    </row>
    <row r="41258" ht="14.25" customHeight="1" s="192">
      <c r="W41258" s="33" t="n"/>
      <c r="X41258" s="33" t="n"/>
    </row>
    <row r="41260" ht="14.25" customHeight="1" s="192">
      <c r="W41260" s="231" t="n"/>
      <c r="X41260" s="231" t="n"/>
    </row>
    <row r="41261" ht="14.25" customHeight="1" s="192">
      <c r="W41261" s="235" t="n"/>
      <c r="X41261" s="235" t="n"/>
    </row>
    <row r="41262" ht="14.25" customHeight="1" s="192">
      <c r="W41262" s="228" t="n"/>
      <c r="X41262" s="228" t="n"/>
    </row>
    <row r="41263" ht="14.25" customHeight="1" s="192">
      <c r="W41263" s="235" t="n"/>
      <c r="X41263" s="235" t="n"/>
    </row>
    <row r="41264" ht="14.25" customHeight="1" s="192">
      <c r="W41264" s="235" t="n"/>
      <c r="X41264" s="235" t="n"/>
    </row>
    <row r="41265" ht="14.25" customHeight="1" s="192">
      <c r="W41265" s="235" t="n"/>
      <c r="X41265" s="235" t="n"/>
    </row>
    <row r="41266" ht="14.25" customHeight="1" s="192">
      <c r="W41266" s="239" t="n"/>
      <c r="X41266" s="239" t="n"/>
    </row>
    <row r="41267" ht="14.25" customHeight="1" s="192">
      <c r="W41267" s="239" t="n"/>
      <c r="X41267" s="239" t="n"/>
    </row>
    <row r="41268" ht="14.25" customHeight="1" s="192">
      <c r="W41268" s="239" t="n"/>
      <c r="X41268" s="239" t="n"/>
    </row>
    <row r="41269" ht="14.25" customHeight="1" s="192">
      <c r="W41269" s="235" t="n"/>
      <c r="X41269" s="235" t="n"/>
    </row>
    <row r="41270" ht="14.25" customHeight="1" s="192">
      <c r="W41270" s="235" t="n"/>
      <c r="X41270" s="235" t="n"/>
    </row>
    <row r="41271" ht="14.25" customHeight="1" s="192">
      <c r="W41271" s="235" t="n"/>
      <c r="X41271" s="235" t="n"/>
    </row>
    <row r="41272" ht="14.25" customHeight="1" s="192">
      <c r="W41272" s="239" t="n"/>
      <c r="X41272" s="239" t="n"/>
    </row>
    <row r="41273" ht="14.25" customHeight="1" s="192">
      <c r="W41273" s="239" t="n"/>
      <c r="X41273" s="239" t="n"/>
    </row>
    <row r="41274" ht="14.25" customHeight="1" s="192">
      <c r="W41274" s="235" t="n"/>
      <c r="X41274" s="235" t="n"/>
    </row>
    <row r="41275" ht="14.25" customHeight="1" s="192">
      <c r="W41275" s="235" t="n"/>
      <c r="X41275" s="235" t="n"/>
    </row>
    <row r="41276" ht="14.25" customHeight="1" s="192">
      <c r="W41276" s="239" t="n"/>
      <c r="X41276" s="239" t="n"/>
    </row>
    <row r="41277" ht="14.25" customHeight="1" s="192">
      <c r="W41277" s="235" t="n"/>
      <c r="X41277" s="235" t="n"/>
    </row>
    <row r="41278" ht="14.25" customHeight="1" s="192">
      <c r="W41278" s="239" t="n"/>
      <c r="X41278" s="239" t="n"/>
    </row>
    <row r="41280" ht="14.25" customHeight="1" s="192">
      <c r="W41280" s="235" t="n"/>
      <c r="X41280" s="235" t="n"/>
    </row>
    <row r="41281" ht="15" customHeight="1" s="192" thickBot="1">
      <c r="W41281" s="239" t="n"/>
      <c r="X41281" s="239" t="n"/>
    </row>
    <row r="41282" ht="15" customHeight="1" s="192" thickBot="1">
      <c r="W41282" s="45" t="n"/>
      <c r="X41282" s="45" t="n"/>
    </row>
    <row r="41283" ht="14.25" customHeight="1" s="192">
      <c r="W41283" s="228" t="n"/>
      <c r="X41283" s="228" t="n"/>
    </row>
    <row r="41284" ht="14.25" customHeight="1" s="192">
      <c r="W41284" s="228" t="n"/>
      <c r="X41284" s="228" t="n"/>
    </row>
    <row r="41285" ht="14.25" customHeight="1" s="192">
      <c r="W41285" s="231" t="n"/>
      <c r="X41285" s="231" t="n"/>
    </row>
    <row r="41286" ht="14.25" customHeight="1" s="192">
      <c r="W41286" s="33" t="n"/>
      <c r="X41286" s="33" t="n"/>
    </row>
    <row r="41287" ht="14.25" customHeight="1" s="192">
      <c r="W41287" s="231" t="n"/>
      <c r="X41287" s="231" t="n"/>
    </row>
    <row r="41288" ht="14.25" customHeight="1" s="192">
      <c r="W41288" s="33" t="n"/>
      <c r="X41288" s="33" t="n"/>
    </row>
    <row r="41290" ht="14.25" customHeight="1" s="192">
      <c r="W41290" s="231" t="n"/>
      <c r="X41290" s="231" t="n"/>
    </row>
    <row r="41291" ht="14.25" customHeight="1" s="192">
      <c r="W41291" s="235" t="n"/>
      <c r="X41291" s="235" t="n"/>
    </row>
    <row r="41292" ht="14.25" customHeight="1" s="192">
      <c r="W41292" s="228" t="n"/>
      <c r="X41292" s="228" t="n"/>
    </row>
    <row r="41293" ht="14.25" customHeight="1" s="192">
      <c r="W41293" s="235" t="n"/>
      <c r="X41293" s="235" t="n"/>
    </row>
    <row r="41294" ht="14.25" customHeight="1" s="192">
      <c r="W41294" s="235" t="n"/>
      <c r="X41294" s="235" t="n"/>
    </row>
    <row r="41295" ht="14.25" customHeight="1" s="192">
      <c r="W41295" s="235" t="n"/>
      <c r="X41295" s="235" t="n"/>
    </row>
    <row r="41296" ht="14.25" customHeight="1" s="192">
      <c r="W41296" s="239" t="n"/>
      <c r="X41296" s="239" t="n"/>
    </row>
    <row r="41297" ht="14.25" customHeight="1" s="192">
      <c r="W41297" s="239" t="n"/>
      <c r="X41297" s="239" t="n"/>
    </row>
    <row r="41298" ht="14.25" customHeight="1" s="192">
      <c r="W41298" s="239" t="n"/>
      <c r="X41298" s="239" t="n"/>
    </row>
    <row r="41299" ht="14.25" customHeight="1" s="192">
      <c r="W41299" s="235" t="n"/>
      <c r="X41299" s="235" t="n"/>
    </row>
    <row r="41300" ht="14.25" customHeight="1" s="192">
      <c r="W41300" s="235" t="n"/>
      <c r="X41300" s="235" t="n"/>
    </row>
    <row r="41301" ht="14.25" customHeight="1" s="192">
      <c r="W41301" s="235" t="n"/>
      <c r="X41301" s="235" t="n"/>
    </row>
    <row r="41302" ht="14.25" customHeight="1" s="192">
      <c r="W41302" s="239" t="n"/>
      <c r="X41302" s="239" t="n"/>
    </row>
    <row r="41303" ht="14.25" customHeight="1" s="192">
      <c r="W41303" s="239" t="n"/>
      <c r="X41303" s="239" t="n"/>
    </row>
    <row r="41304" ht="14.25" customHeight="1" s="192">
      <c r="W41304" s="235" t="n"/>
      <c r="X41304" s="235" t="n"/>
    </row>
    <row r="41305" ht="14.25" customHeight="1" s="192">
      <c r="W41305" s="235" t="n"/>
      <c r="X41305" s="235" t="n"/>
    </row>
    <row r="41306" ht="14.25" customHeight="1" s="192">
      <c r="W41306" s="239" t="n"/>
      <c r="X41306" s="239" t="n"/>
    </row>
    <row r="41307" ht="14.25" customHeight="1" s="192">
      <c r="W41307" s="235" t="n"/>
      <c r="X41307" s="235" t="n"/>
    </row>
    <row r="41308" ht="14.25" customHeight="1" s="192">
      <c r="W41308" s="239" t="n"/>
      <c r="X41308" s="239" t="n"/>
    </row>
    <row r="41310" ht="14.25" customHeight="1" s="192">
      <c r="W41310" s="235" t="n"/>
      <c r="X41310" s="235" t="n"/>
    </row>
    <row r="41311" ht="15" customHeight="1" s="192" thickBot="1">
      <c r="W41311" s="239" t="n"/>
      <c r="X41311" s="239" t="n"/>
    </row>
    <row r="41312" ht="15" customHeight="1" s="192" thickBot="1">
      <c r="W41312" s="45" t="n"/>
      <c r="X41312" s="45" t="n"/>
    </row>
    <row r="41313" ht="14.25" customHeight="1" s="192">
      <c r="W41313" s="228" t="n"/>
      <c r="X41313" s="228" t="n"/>
    </row>
    <row r="41314" ht="14.25" customHeight="1" s="192">
      <c r="W41314" s="228" t="n"/>
      <c r="X41314" s="228" t="n"/>
    </row>
    <row r="41315" ht="14.25" customHeight="1" s="192">
      <c r="W41315" s="231" t="n"/>
      <c r="X41315" s="231" t="n"/>
    </row>
    <row r="41316" ht="14.25" customHeight="1" s="192">
      <c r="W41316" s="33" t="n"/>
      <c r="X41316" s="33" t="n"/>
    </row>
    <row r="41317" ht="14.25" customHeight="1" s="192">
      <c r="W41317" s="231" t="n"/>
      <c r="X41317" s="231" t="n"/>
    </row>
    <row r="41318" ht="14.25" customHeight="1" s="192">
      <c r="W41318" s="33" t="n"/>
      <c r="X41318" s="33" t="n"/>
    </row>
    <row r="41320" ht="14.25" customHeight="1" s="192">
      <c r="W41320" s="231" t="n"/>
      <c r="X41320" s="231" t="n"/>
    </row>
    <row r="41321" ht="14.25" customHeight="1" s="192">
      <c r="W41321" s="235" t="n"/>
      <c r="X41321" s="235" t="n"/>
    </row>
    <row r="41322" ht="14.25" customHeight="1" s="192">
      <c r="W41322" s="228" t="n"/>
      <c r="X41322" s="228" t="n"/>
    </row>
    <row r="41323" ht="14.25" customHeight="1" s="192">
      <c r="W41323" s="235" t="n"/>
      <c r="X41323" s="235" t="n"/>
    </row>
    <row r="41324" ht="14.25" customHeight="1" s="192">
      <c r="W41324" s="235" t="n"/>
      <c r="X41324" s="235" t="n"/>
    </row>
    <row r="41325" ht="14.25" customHeight="1" s="192">
      <c r="W41325" s="235" t="n"/>
      <c r="X41325" s="235" t="n"/>
    </row>
    <row r="41326" ht="14.25" customHeight="1" s="192">
      <c r="W41326" s="239" t="n"/>
      <c r="X41326" s="239" t="n"/>
    </row>
    <row r="41327" ht="14.25" customHeight="1" s="192">
      <c r="W41327" s="239" t="n"/>
      <c r="X41327" s="239" t="n"/>
    </row>
    <row r="41328" ht="14.25" customHeight="1" s="192">
      <c r="W41328" s="239" t="n"/>
      <c r="X41328" s="239" t="n"/>
    </row>
    <row r="41329" ht="14.25" customHeight="1" s="192">
      <c r="W41329" s="235" t="n"/>
      <c r="X41329" s="235" t="n"/>
    </row>
    <row r="41330" ht="14.25" customHeight="1" s="192">
      <c r="W41330" s="235" t="n"/>
      <c r="X41330" s="235" t="n"/>
    </row>
    <row r="41331" ht="14.25" customHeight="1" s="192">
      <c r="W41331" s="235" t="n"/>
      <c r="X41331" s="235" t="n"/>
    </row>
    <row r="41332" ht="14.25" customHeight="1" s="192">
      <c r="W41332" s="239" t="n"/>
      <c r="X41332" s="239" t="n"/>
    </row>
    <row r="41333" ht="14.25" customHeight="1" s="192">
      <c r="W41333" s="239" t="n"/>
      <c r="X41333" s="239" t="n"/>
    </row>
    <row r="41334" ht="14.25" customHeight="1" s="192">
      <c r="W41334" s="235" t="n"/>
      <c r="X41334" s="235" t="n"/>
    </row>
    <row r="41335" ht="14.25" customHeight="1" s="192">
      <c r="W41335" s="235" t="n"/>
      <c r="X41335" s="235" t="n"/>
    </row>
    <row r="41336" ht="14.25" customHeight="1" s="192">
      <c r="W41336" s="239" t="n"/>
      <c r="X41336" s="239" t="n"/>
    </row>
    <row r="41337" ht="14.25" customHeight="1" s="192">
      <c r="W41337" s="235" t="n"/>
      <c r="X41337" s="235" t="n"/>
    </row>
    <row r="41338" ht="14.25" customHeight="1" s="192">
      <c r="W41338" s="239" t="n"/>
      <c r="X41338" s="239" t="n"/>
    </row>
    <row r="41340" ht="14.25" customHeight="1" s="192">
      <c r="W41340" s="235" t="n"/>
      <c r="X41340" s="235" t="n"/>
    </row>
    <row r="41341" ht="15" customHeight="1" s="192" thickBot="1">
      <c r="W41341" s="239" t="n"/>
      <c r="X41341" s="239" t="n"/>
    </row>
    <row r="41342" ht="15" customHeight="1" s="192" thickBot="1">
      <c r="W41342" s="45" t="n"/>
      <c r="X41342" s="45" t="n"/>
    </row>
    <row r="41343" ht="14.25" customHeight="1" s="192">
      <c r="W41343" s="228" t="n"/>
      <c r="X41343" s="228" t="n"/>
    </row>
    <row r="41344" ht="14.25" customHeight="1" s="192">
      <c r="W41344" s="228" t="n"/>
      <c r="X41344" s="228" t="n"/>
    </row>
    <row r="41345" ht="14.25" customHeight="1" s="192">
      <c r="W41345" s="231" t="n"/>
      <c r="X41345" s="231" t="n"/>
    </row>
    <row r="41346" ht="14.25" customHeight="1" s="192">
      <c r="W41346" s="33" t="n"/>
      <c r="X41346" s="33" t="n"/>
    </row>
    <row r="41347" ht="14.25" customHeight="1" s="192">
      <c r="W41347" s="231" t="n"/>
      <c r="X41347" s="231" t="n"/>
    </row>
    <row r="41348" ht="14.25" customHeight="1" s="192">
      <c r="W41348" s="33" t="n"/>
      <c r="X41348" s="33" t="n"/>
    </row>
    <row r="41350" ht="14.25" customHeight="1" s="192">
      <c r="W41350" s="231" t="n"/>
      <c r="X41350" s="231" t="n"/>
    </row>
    <row r="41351" ht="14.25" customHeight="1" s="192">
      <c r="W41351" s="235" t="n"/>
      <c r="X41351" s="235" t="n"/>
    </row>
    <row r="41352" ht="14.25" customHeight="1" s="192">
      <c r="W41352" s="228" t="n"/>
      <c r="X41352" s="228" t="n"/>
    </row>
    <row r="41353" ht="14.25" customHeight="1" s="192">
      <c r="W41353" s="235" t="n"/>
      <c r="X41353" s="235" t="n"/>
    </row>
    <row r="41354" ht="14.25" customHeight="1" s="192">
      <c r="W41354" s="235" t="n"/>
      <c r="X41354" s="235" t="n"/>
    </row>
    <row r="41355" ht="14.25" customHeight="1" s="192">
      <c r="W41355" s="235" t="n"/>
      <c r="X41355" s="235" t="n"/>
    </row>
    <row r="41356" ht="14.25" customHeight="1" s="192">
      <c r="W41356" s="239" t="n"/>
      <c r="X41356" s="239" t="n"/>
    </row>
    <row r="41357" ht="14.25" customHeight="1" s="192">
      <c r="W41357" s="239" t="n"/>
      <c r="X41357" s="239" t="n"/>
    </row>
    <row r="41358" ht="14.25" customHeight="1" s="192">
      <c r="W41358" s="239" t="n"/>
      <c r="X41358" s="239" t="n"/>
    </row>
    <row r="41359" ht="14.25" customHeight="1" s="192">
      <c r="W41359" s="235" t="n"/>
      <c r="X41359" s="235" t="n"/>
    </row>
    <row r="41360" ht="14.25" customHeight="1" s="192">
      <c r="W41360" s="235" t="n"/>
      <c r="X41360" s="235" t="n"/>
    </row>
    <row r="41361" ht="14.25" customHeight="1" s="192">
      <c r="W41361" s="235" t="n"/>
      <c r="X41361" s="235" t="n"/>
    </row>
    <row r="41362" ht="14.25" customHeight="1" s="192">
      <c r="W41362" s="239" t="n"/>
      <c r="X41362" s="239" t="n"/>
    </row>
    <row r="41363" ht="14.25" customHeight="1" s="192">
      <c r="W41363" s="239" t="n"/>
      <c r="X41363" s="239" t="n"/>
    </row>
    <row r="41364" ht="14.25" customHeight="1" s="192">
      <c r="W41364" s="235" t="n"/>
      <c r="X41364" s="235" t="n"/>
    </row>
    <row r="41365" ht="14.25" customHeight="1" s="192">
      <c r="W41365" s="235" t="n"/>
      <c r="X41365" s="235" t="n"/>
    </row>
    <row r="41366" ht="14.25" customHeight="1" s="192">
      <c r="W41366" s="239" t="n"/>
      <c r="X41366" s="239" t="n"/>
    </row>
    <row r="41367" ht="14.25" customHeight="1" s="192">
      <c r="W41367" s="235" t="n"/>
      <c r="X41367" s="235" t="n"/>
    </row>
    <row r="41368" ht="14.25" customHeight="1" s="192">
      <c r="W41368" s="239" t="n"/>
      <c r="X41368" s="239" t="n"/>
    </row>
    <row r="41370" ht="14.25" customHeight="1" s="192">
      <c r="W41370" s="235" t="n"/>
      <c r="X41370" s="235" t="n"/>
    </row>
    <row r="41371" ht="15" customHeight="1" s="192" thickBot="1">
      <c r="W41371" s="239" t="n"/>
      <c r="X41371" s="239" t="n"/>
    </row>
    <row r="41372" ht="15" customHeight="1" s="192" thickBot="1">
      <c r="W41372" s="45" t="n"/>
      <c r="X41372" s="45" t="n"/>
    </row>
    <row r="41373" ht="14.25" customHeight="1" s="192">
      <c r="W41373" s="228" t="n"/>
      <c r="X41373" s="228" t="n"/>
    </row>
    <row r="41374" ht="14.25" customHeight="1" s="192">
      <c r="W41374" s="228" t="n"/>
      <c r="X41374" s="228" t="n"/>
    </row>
    <row r="41375" ht="14.25" customHeight="1" s="192">
      <c r="W41375" s="231" t="n"/>
      <c r="X41375" s="231" t="n"/>
    </row>
    <row r="41376" ht="14.25" customHeight="1" s="192">
      <c r="W41376" s="33" t="n"/>
      <c r="X41376" s="33" t="n"/>
    </row>
    <row r="41377" ht="14.25" customHeight="1" s="192">
      <c r="W41377" s="231" t="n"/>
      <c r="X41377" s="231" t="n"/>
    </row>
    <row r="41378" ht="14.25" customHeight="1" s="192">
      <c r="W41378" s="33" t="n"/>
      <c r="X41378" s="33" t="n"/>
    </row>
    <row r="41380" ht="14.25" customHeight="1" s="192">
      <c r="W41380" s="231" t="n"/>
      <c r="X41380" s="231" t="n"/>
    </row>
    <row r="41381" ht="14.25" customHeight="1" s="192">
      <c r="W41381" s="235" t="n"/>
      <c r="X41381" s="235" t="n"/>
    </row>
    <row r="41382" ht="14.25" customHeight="1" s="192">
      <c r="W41382" s="228" t="n"/>
      <c r="X41382" s="228" t="n"/>
    </row>
    <row r="41383" ht="14.25" customHeight="1" s="192">
      <c r="W41383" s="235" t="n"/>
      <c r="X41383" s="235" t="n"/>
    </row>
    <row r="41384" ht="14.25" customHeight="1" s="192">
      <c r="W41384" s="235" t="n"/>
      <c r="X41384" s="235" t="n"/>
    </row>
    <row r="41385" ht="14.25" customHeight="1" s="192">
      <c r="W41385" s="235" t="n"/>
      <c r="X41385" s="235" t="n"/>
    </row>
    <row r="41386" ht="14.25" customHeight="1" s="192">
      <c r="W41386" s="239" t="n"/>
      <c r="X41386" s="239" t="n"/>
    </row>
    <row r="41387" ht="14.25" customHeight="1" s="192">
      <c r="W41387" s="239" t="n"/>
      <c r="X41387" s="239" t="n"/>
    </row>
    <row r="41388" ht="14.25" customHeight="1" s="192">
      <c r="W41388" s="239" t="n"/>
      <c r="X41388" s="239" t="n"/>
    </row>
    <row r="41389" ht="14.25" customHeight="1" s="192">
      <c r="W41389" s="235" t="n"/>
      <c r="X41389" s="235" t="n"/>
    </row>
    <row r="41390" ht="14.25" customHeight="1" s="192">
      <c r="W41390" s="235" t="n"/>
      <c r="X41390" s="235" t="n"/>
    </row>
    <row r="41391" ht="14.25" customHeight="1" s="192">
      <c r="W41391" s="235" t="n"/>
      <c r="X41391" s="235" t="n"/>
    </row>
    <row r="41392" ht="14.25" customHeight="1" s="192">
      <c r="W41392" s="239" t="n"/>
      <c r="X41392" s="239" t="n"/>
    </row>
    <row r="41393" ht="14.25" customHeight="1" s="192">
      <c r="W41393" s="239" t="n"/>
      <c r="X41393" s="239" t="n"/>
    </row>
    <row r="41394" ht="14.25" customHeight="1" s="192">
      <c r="W41394" s="235" t="n"/>
      <c r="X41394" s="235" t="n"/>
    </row>
    <row r="41395" ht="14.25" customHeight="1" s="192">
      <c r="W41395" s="235" t="n"/>
      <c r="X41395" s="235" t="n"/>
    </row>
    <row r="41396" ht="14.25" customHeight="1" s="192">
      <c r="W41396" s="239" t="n"/>
      <c r="X41396" s="239" t="n"/>
    </row>
    <row r="41397" ht="14.25" customHeight="1" s="192">
      <c r="W41397" s="235" t="n"/>
      <c r="X41397" s="235" t="n"/>
    </row>
    <row r="41398" ht="14.25" customHeight="1" s="192">
      <c r="W41398" s="239" t="n"/>
      <c r="X41398" s="239" t="n"/>
    </row>
    <row r="41400" ht="14.25" customHeight="1" s="192">
      <c r="W41400" s="235" t="n"/>
      <c r="X41400" s="235" t="n"/>
    </row>
    <row r="41401" ht="15" customHeight="1" s="192" thickBot="1">
      <c r="W41401" s="239" t="n"/>
      <c r="X41401" s="239" t="n"/>
    </row>
    <row r="41402" ht="15" customHeight="1" s="192" thickBot="1">
      <c r="W41402" s="45" t="n"/>
      <c r="X41402" s="45" t="n"/>
    </row>
    <row r="41403" ht="14.25" customHeight="1" s="192">
      <c r="W41403" s="228" t="n"/>
      <c r="X41403" s="228" t="n"/>
    </row>
    <row r="41404" ht="14.25" customHeight="1" s="192">
      <c r="W41404" s="228" t="n"/>
      <c r="X41404" s="228" t="n"/>
    </row>
    <row r="41405" ht="14.25" customHeight="1" s="192">
      <c r="W41405" s="231" t="n"/>
      <c r="X41405" s="231" t="n"/>
    </row>
    <row r="41406" ht="14.25" customHeight="1" s="192">
      <c r="W41406" s="33" t="n"/>
      <c r="X41406" s="33" t="n"/>
    </row>
    <row r="41407" ht="14.25" customHeight="1" s="192">
      <c r="W41407" s="231" t="n"/>
      <c r="X41407" s="231" t="n"/>
    </row>
    <row r="41408" ht="14.25" customHeight="1" s="192">
      <c r="W41408" s="33" t="n"/>
      <c r="X41408" s="33" t="n"/>
    </row>
    <row r="41410" ht="14.25" customHeight="1" s="192">
      <c r="W41410" s="231" t="n"/>
      <c r="X41410" s="231" t="n"/>
    </row>
    <row r="41411" ht="14.25" customHeight="1" s="192">
      <c r="W41411" s="235" t="n"/>
      <c r="X41411" s="235" t="n"/>
    </row>
    <row r="41412" ht="14.25" customHeight="1" s="192">
      <c r="W41412" s="228" t="n"/>
      <c r="X41412" s="228" t="n"/>
    </row>
    <row r="41413" ht="14.25" customHeight="1" s="192">
      <c r="W41413" s="235" t="n"/>
      <c r="X41413" s="235" t="n"/>
    </row>
    <row r="41414" ht="14.25" customHeight="1" s="192">
      <c r="W41414" s="235" t="n"/>
      <c r="X41414" s="235" t="n"/>
    </row>
    <row r="41415" ht="14.25" customHeight="1" s="192">
      <c r="W41415" s="235" t="n"/>
      <c r="X41415" s="235" t="n"/>
    </row>
    <row r="41416" ht="14.25" customHeight="1" s="192">
      <c r="W41416" s="239" t="n"/>
      <c r="X41416" s="239" t="n"/>
    </row>
    <row r="41417" ht="14.25" customHeight="1" s="192">
      <c r="W41417" s="239" t="n"/>
      <c r="X41417" s="239" t="n"/>
    </row>
    <row r="41418" ht="14.25" customHeight="1" s="192">
      <c r="W41418" s="239" t="n"/>
      <c r="X41418" s="239" t="n"/>
    </row>
    <row r="41419" ht="14.25" customHeight="1" s="192">
      <c r="W41419" s="235" t="n"/>
      <c r="X41419" s="235" t="n"/>
    </row>
    <row r="41420" ht="14.25" customHeight="1" s="192">
      <c r="W41420" s="235" t="n"/>
      <c r="X41420" s="235" t="n"/>
    </row>
    <row r="41421" ht="14.25" customHeight="1" s="192">
      <c r="W41421" s="235" t="n"/>
      <c r="X41421" s="235" t="n"/>
    </row>
    <row r="41422" ht="14.25" customHeight="1" s="192">
      <c r="W41422" s="239" t="n"/>
      <c r="X41422" s="239" t="n"/>
    </row>
    <row r="41423" ht="14.25" customHeight="1" s="192">
      <c r="W41423" s="239" t="n"/>
      <c r="X41423" s="239" t="n"/>
    </row>
    <row r="41424" ht="14.25" customHeight="1" s="192">
      <c r="W41424" s="235" t="n"/>
      <c r="X41424" s="235" t="n"/>
    </row>
    <row r="41425" ht="14.25" customHeight="1" s="192">
      <c r="W41425" s="235" t="n"/>
      <c r="X41425" s="235" t="n"/>
    </row>
    <row r="41426" ht="14.25" customHeight="1" s="192">
      <c r="W41426" s="239" t="n"/>
      <c r="X41426" s="239" t="n"/>
    </row>
    <row r="41427" ht="14.25" customHeight="1" s="192">
      <c r="W41427" s="235" t="n"/>
      <c r="X41427" s="235" t="n"/>
    </row>
    <row r="41428" ht="14.25" customHeight="1" s="192">
      <c r="W41428" s="239" t="n"/>
      <c r="X41428" s="239" t="n"/>
    </row>
    <row r="41430" ht="14.25" customHeight="1" s="192">
      <c r="W41430" s="235" t="n"/>
      <c r="X41430" s="235" t="n"/>
    </row>
    <row r="41431" ht="15" customHeight="1" s="192" thickBot="1">
      <c r="W41431" s="239" t="n"/>
      <c r="X41431" s="239" t="n"/>
    </row>
    <row r="41432" ht="15" customHeight="1" s="192" thickBot="1">
      <c r="W41432" s="45" t="n"/>
      <c r="X41432" s="45" t="n"/>
    </row>
    <row r="41433" ht="14.25" customHeight="1" s="192">
      <c r="W41433" s="228" t="n"/>
      <c r="X41433" s="228" t="n"/>
    </row>
    <row r="41434" ht="14.25" customHeight="1" s="192">
      <c r="W41434" s="228" t="n"/>
      <c r="X41434" s="228" t="n"/>
    </row>
    <row r="41435" ht="14.25" customHeight="1" s="192">
      <c r="W41435" s="231" t="n"/>
      <c r="X41435" s="231" t="n"/>
    </row>
    <row r="41436" ht="14.25" customHeight="1" s="192">
      <c r="W41436" s="33" t="n"/>
      <c r="X41436" s="33" t="n"/>
    </row>
    <row r="41437" ht="14.25" customHeight="1" s="192">
      <c r="W41437" s="231" t="n"/>
      <c r="X41437" s="231" t="n"/>
    </row>
    <row r="41438" ht="14.25" customHeight="1" s="192">
      <c r="W41438" s="33" t="n"/>
      <c r="X41438" s="33" t="n"/>
    </row>
    <row r="41440" ht="14.25" customHeight="1" s="192">
      <c r="W41440" s="231" t="n"/>
      <c r="X41440" s="231" t="n"/>
    </row>
    <row r="41441" ht="14.25" customHeight="1" s="192">
      <c r="W41441" s="235" t="n"/>
      <c r="X41441" s="235" t="n"/>
    </row>
    <row r="41442" ht="14.25" customHeight="1" s="192">
      <c r="W41442" s="228" t="n"/>
      <c r="X41442" s="228" t="n"/>
    </row>
    <row r="41443" ht="14.25" customHeight="1" s="192">
      <c r="W41443" s="235" t="n"/>
      <c r="X41443" s="235" t="n"/>
    </row>
    <row r="41444" ht="14.25" customHeight="1" s="192">
      <c r="W41444" s="235" t="n"/>
      <c r="X41444" s="235" t="n"/>
    </row>
    <row r="41445" ht="14.25" customHeight="1" s="192">
      <c r="W41445" s="235" t="n"/>
      <c r="X41445" s="235" t="n"/>
    </row>
    <row r="41446" ht="14.25" customHeight="1" s="192">
      <c r="W41446" s="239" t="n"/>
      <c r="X41446" s="239" t="n"/>
    </row>
    <row r="41447" ht="14.25" customHeight="1" s="192">
      <c r="W41447" s="239" t="n"/>
      <c r="X41447" s="239" t="n"/>
    </row>
    <row r="41448" ht="14.25" customHeight="1" s="192">
      <c r="W41448" s="239" t="n"/>
      <c r="X41448" s="239" t="n"/>
    </row>
    <row r="41449" ht="14.25" customHeight="1" s="192">
      <c r="W41449" s="235" t="n"/>
      <c r="X41449" s="235" t="n"/>
    </row>
    <row r="41450" ht="14.25" customHeight="1" s="192">
      <c r="W41450" s="235" t="n"/>
      <c r="X41450" s="235" t="n"/>
    </row>
    <row r="41451" ht="14.25" customHeight="1" s="192">
      <c r="W41451" s="235" t="n"/>
      <c r="X41451" s="235" t="n"/>
    </row>
    <row r="41452" ht="14.25" customHeight="1" s="192">
      <c r="W41452" s="239" t="n"/>
      <c r="X41452" s="239" t="n"/>
    </row>
    <row r="41453" ht="14.25" customHeight="1" s="192">
      <c r="W41453" s="239" t="n"/>
      <c r="X41453" s="239" t="n"/>
    </row>
    <row r="41454" ht="14.25" customHeight="1" s="192">
      <c r="W41454" s="235" t="n"/>
      <c r="X41454" s="235" t="n"/>
    </row>
    <row r="41455" ht="14.25" customHeight="1" s="192">
      <c r="W41455" s="235" t="n"/>
      <c r="X41455" s="235" t="n"/>
    </row>
    <row r="41456" ht="14.25" customHeight="1" s="192">
      <c r="W41456" s="239" t="n"/>
      <c r="X41456" s="239" t="n"/>
    </row>
    <row r="41457" ht="14.25" customHeight="1" s="192">
      <c r="W41457" s="235" t="n"/>
      <c r="X41457" s="235" t="n"/>
    </row>
    <row r="41458" ht="14.25" customHeight="1" s="192">
      <c r="W41458" s="239" t="n"/>
      <c r="X41458" s="239" t="n"/>
    </row>
    <row r="41460" ht="14.25" customHeight="1" s="192">
      <c r="W41460" s="235" t="n"/>
      <c r="X41460" s="235" t="n"/>
    </row>
    <row r="41461" ht="15" customHeight="1" s="192" thickBot="1">
      <c r="W41461" s="239" t="n"/>
      <c r="X41461" s="239" t="n"/>
    </row>
    <row r="41462" ht="15" customHeight="1" s="192" thickBot="1">
      <c r="W41462" s="45" t="n"/>
      <c r="X41462" s="45" t="n"/>
    </row>
    <row r="41463" ht="14.25" customHeight="1" s="192">
      <c r="W41463" s="228" t="n"/>
      <c r="X41463" s="228" t="n"/>
    </row>
    <row r="41464" ht="14.25" customHeight="1" s="192">
      <c r="W41464" s="228" t="n"/>
      <c r="X41464" s="228" t="n"/>
    </row>
    <row r="41465" ht="14.25" customHeight="1" s="192">
      <c r="W41465" s="231" t="n"/>
      <c r="X41465" s="231" t="n"/>
    </row>
    <row r="41466" ht="14.25" customHeight="1" s="192">
      <c r="W41466" s="33" t="n"/>
      <c r="X41466" s="33" t="n"/>
    </row>
    <row r="41467" ht="14.25" customHeight="1" s="192">
      <c r="W41467" s="231" t="n"/>
      <c r="X41467" s="231" t="n"/>
    </row>
    <row r="41468" ht="14.25" customHeight="1" s="192">
      <c r="W41468" s="33" t="n"/>
      <c r="X41468" s="33" t="n"/>
    </row>
    <row r="41470" ht="14.25" customHeight="1" s="192">
      <c r="W41470" s="231" t="n"/>
      <c r="X41470" s="231" t="n"/>
    </row>
    <row r="41471" ht="14.25" customHeight="1" s="192">
      <c r="W41471" s="235" t="n"/>
      <c r="X41471" s="235" t="n"/>
    </row>
    <row r="41472" ht="14.25" customHeight="1" s="192">
      <c r="W41472" s="228" t="n"/>
      <c r="X41472" s="228" t="n"/>
    </row>
    <row r="41473" ht="14.25" customHeight="1" s="192">
      <c r="W41473" s="235" t="n"/>
      <c r="X41473" s="235" t="n"/>
    </row>
    <row r="41474" ht="14.25" customHeight="1" s="192">
      <c r="W41474" s="235" t="n"/>
      <c r="X41474" s="235" t="n"/>
    </row>
    <row r="41475" ht="14.25" customHeight="1" s="192">
      <c r="W41475" s="235" t="n"/>
      <c r="X41475" s="235" t="n"/>
    </row>
    <row r="41476" ht="14.25" customHeight="1" s="192">
      <c r="W41476" s="239" t="n"/>
      <c r="X41476" s="239" t="n"/>
    </row>
    <row r="41477" ht="14.25" customHeight="1" s="192">
      <c r="W41477" s="239" t="n"/>
      <c r="X41477" s="239" t="n"/>
    </row>
    <row r="41478" ht="14.25" customHeight="1" s="192">
      <c r="W41478" s="239" t="n"/>
      <c r="X41478" s="239" t="n"/>
    </row>
    <row r="41479" ht="14.25" customHeight="1" s="192">
      <c r="W41479" s="235" t="n"/>
      <c r="X41479" s="235" t="n"/>
    </row>
    <row r="41480" ht="14.25" customHeight="1" s="192">
      <c r="W41480" s="235" t="n"/>
      <c r="X41480" s="235" t="n"/>
    </row>
    <row r="41481" ht="14.25" customHeight="1" s="192">
      <c r="W41481" s="235" t="n"/>
      <c r="X41481" s="235" t="n"/>
    </row>
    <row r="41482" ht="14.25" customHeight="1" s="192">
      <c r="W41482" s="239" t="n"/>
      <c r="X41482" s="239" t="n"/>
    </row>
    <row r="41483" ht="14.25" customHeight="1" s="192">
      <c r="W41483" s="239" t="n"/>
      <c r="X41483" s="239" t="n"/>
    </row>
    <row r="41484" ht="14.25" customHeight="1" s="192">
      <c r="W41484" s="235" t="n"/>
      <c r="X41484" s="235" t="n"/>
    </row>
    <row r="41485" ht="14.25" customHeight="1" s="192">
      <c r="W41485" s="235" t="n"/>
      <c r="X41485" s="235" t="n"/>
    </row>
    <row r="41486" ht="14.25" customHeight="1" s="192">
      <c r="W41486" s="239" t="n"/>
      <c r="X41486" s="239" t="n"/>
    </row>
    <row r="41487" ht="14.25" customHeight="1" s="192">
      <c r="W41487" s="235" t="n"/>
      <c r="X41487" s="235" t="n"/>
    </row>
    <row r="41488" ht="14.25" customHeight="1" s="192">
      <c r="W41488" s="239" t="n"/>
      <c r="X41488" s="239" t="n"/>
    </row>
    <row r="41490" ht="14.25" customHeight="1" s="192">
      <c r="W41490" s="235" t="n"/>
      <c r="X41490" s="235" t="n"/>
    </row>
    <row r="41491" ht="15" customHeight="1" s="192" thickBot="1">
      <c r="W41491" s="239" t="n"/>
      <c r="X41491" s="239" t="n"/>
    </row>
    <row r="41492" ht="15" customHeight="1" s="192" thickBot="1">
      <c r="W41492" s="45" t="n"/>
      <c r="X41492" s="45" t="n"/>
    </row>
    <row r="41493" ht="14.25" customHeight="1" s="192">
      <c r="W41493" s="228" t="n"/>
      <c r="X41493" s="228" t="n"/>
    </row>
    <row r="41494" ht="14.25" customHeight="1" s="192">
      <c r="W41494" s="228" t="n"/>
      <c r="X41494" s="228" t="n"/>
    </row>
    <row r="41495" ht="14.25" customHeight="1" s="192">
      <c r="W41495" s="231" t="n"/>
      <c r="X41495" s="231" t="n"/>
    </row>
    <row r="41496" ht="14.25" customHeight="1" s="192">
      <c r="W41496" s="33" t="n"/>
      <c r="X41496" s="33" t="n"/>
    </row>
    <row r="41497" ht="14.25" customHeight="1" s="192">
      <c r="W41497" s="231" t="n"/>
      <c r="X41497" s="231" t="n"/>
    </row>
    <row r="41498" ht="14.25" customHeight="1" s="192">
      <c r="W41498" s="33" t="n"/>
      <c r="X41498" s="33" t="n"/>
    </row>
    <row r="41500" ht="14.25" customHeight="1" s="192">
      <c r="W41500" s="231" t="n"/>
      <c r="X41500" s="231" t="n"/>
    </row>
    <row r="41501" ht="14.25" customHeight="1" s="192">
      <c r="W41501" s="235" t="n"/>
      <c r="X41501" s="235" t="n"/>
    </row>
    <row r="41502" ht="14.25" customHeight="1" s="192">
      <c r="W41502" s="228" t="n"/>
      <c r="X41502" s="228" t="n"/>
    </row>
    <row r="41503" ht="14.25" customHeight="1" s="192">
      <c r="W41503" s="235" t="n"/>
      <c r="X41503" s="235" t="n"/>
    </row>
    <row r="41504" ht="14.25" customHeight="1" s="192">
      <c r="W41504" s="235" t="n"/>
      <c r="X41504" s="235" t="n"/>
    </row>
    <row r="41505" ht="14.25" customHeight="1" s="192">
      <c r="W41505" s="235" t="n"/>
      <c r="X41505" s="235" t="n"/>
    </row>
    <row r="41506" ht="14.25" customHeight="1" s="192">
      <c r="W41506" s="239" t="n"/>
      <c r="X41506" s="239" t="n"/>
    </row>
    <row r="41507" ht="14.25" customHeight="1" s="192">
      <c r="W41507" s="239" t="n"/>
      <c r="X41507" s="239" t="n"/>
    </row>
    <row r="41508" ht="14.25" customHeight="1" s="192">
      <c r="W41508" s="239" t="n"/>
      <c r="X41508" s="239" t="n"/>
    </row>
    <row r="41509" ht="14.25" customHeight="1" s="192">
      <c r="W41509" s="235" t="n"/>
      <c r="X41509" s="235" t="n"/>
    </row>
    <row r="41510" ht="14.25" customHeight="1" s="192">
      <c r="W41510" s="235" t="n"/>
      <c r="X41510" s="235" t="n"/>
    </row>
    <row r="41511" ht="14.25" customHeight="1" s="192">
      <c r="W41511" s="235" t="n"/>
      <c r="X41511" s="235" t="n"/>
    </row>
    <row r="41512" ht="14.25" customHeight="1" s="192">
      <c r="W41512" s="239" t="n"/>
      <c r="X41512" s="239" t="n"/>
    </row>
    <row r="41513" ht="14.25" customHeight="1" s="192">
      <c r="W41513" s="239" t="n"/>
      <c r="X41513" s="239" t="n"/>
    </row>
    <row r="41514" ht="14.25" customHeight="1" s="192">
      <c r="W41514" s="235" t="n"/>
      <c r="X41514" s="235" t="n"/>
    </row>
    <row r="41515" ht="14.25" customHeight="1" s="192">
      <c r="W41515" s="235" t="n"/>
      <c r="X41515" s="235" t="n"/>
    </row>
    <row r="41516" ht="14.25" customHeight="1" s="192">
      <c r="W41516" s="239" t="n"/>
      <c r="X41516" s="239" t="n"/>
    </row>
    <row r="41517" ht="14.25" customHeight="1" s="192">
      <c r="W41517" s="235" t="n"/>
      <c r="X41517" s="235" t="n"/>
    </row>
    <row r="41518" ht="14.25" customHeight="1" s="192">
      <c r="W41518" s="239" t="n"/>
      <c r="X41518" s="239" t="n"/>
    </row>
    <row r="41520" ht="14.25" customHeight="1" s="192">
      <c r="W41520" s="235" t="n"/>
      <c r="X41520" s="235" t="n"/>
    </row>
    <row r="41521" ht="15" customHeight="1" s="192" thickBot="1">
      <c r="W41521" s="239" t="n"/>
      <c r="X41521" s="239" t="n"/>
    </row>
    <row r="41522" ht="15" customHeight="1" s="192" thickBot="1">
      <c r="W41522" s="45" t="n"/>
      <c r="X41522" s="45" t="n"/>
    </row>
    <row r="41523" ht="14.25" customHeight="1" s="192">
      <c r="W41523" s="228" t="n"/>
      <c r="X41523" s="228" t="n"/>
    </row>
    <row r="41524" ht="14.25" customHeight="1" s="192">
      <c r="W41524" s="228" t="n"/>
      <c r="X41524" s="228" t="n"/>
    </row>
    <row r="41525" ht="14.25" customHeight="1" s="192">
      <c r="W41525" s="231" t="n"/>
      <c r="X41525" s="231" t="n"/>
    </row>
    <row r="41526" ht="14.25" customHeight="1" s="192">
      <c r="W41526" s="33" t="n"/>
      <c r="X41526" s="33" t="n"/>
    </row>
    <row r="41527" ht="14.25" customHeight="1" s="192">
      <c r="W41527" s="231" t="n"/>
      <c r="X41527" s="231" t="n"/>
    </row>
    <row r="41528" ht="14.25" customHeight="1" s="192">
      <c r="W41528" s="33" t="n"/>
      <c r="X41528" s="33" t="n"/>
    </row>
    <row r="41530" ht="14.25" customHeight="1" s="192">
      <c r="W41530" s="231" t="n"/>
      <c r="X41530" s="231" t="n"/>
    </row>
    <row r="41531" ht="14.25" customHeight="1" s="192">
      <c r="W41531" s="235" t="n"/>
      <c r="X41531" s="235" t="n"/>
    </row>
    <row r="41532" ht="14.25" customHeight="1" s="192">
      <c r="W41532" s="228" t="n"/>
      <c r="X41532" s="228" t="n"/>
    </row>
    <row r="41533" ht="14.25" customHeight="1" s="192">
      <c r="W41533" s="235" t="n"/>
      <c r="X41533" s="235" t="n"/>
    </row>
    <row r="41534" ht="14.25" customHeight="1" s="192">
      <c r="W41534" s="235" t="n"/>
      <c r="X41534" s="235" t="n"/>
    </row>
    <row r="41535" ht="14.25" customHeight="1" s="192">
      <c r="W41535" s="235" t="n"/>
      <c r="X41535" s="235" t="n"/>
    </row>
    <row r="41536" ht="14.25" customHeight="1" s="192">
      <c r="W41536" s="239" t="n"/>
      <c r="X41536" s="239" t="n"/>
    </row>
    <row r="41537" ht="14.25" customHeight="1" s="192">
      <c r="W41537" s="239" t="n"/>
      <c r="X41537" s="239" t="n"/>
    </row>
    <row r="41538" ht="14.25" customHeight="1" s="192">
      <c r="W41538" s="239" t="n"/>
      <c r="X41538" s="239" t="n"/>
    </row>
    <row r="41539" ht="14.25" customHeight="1" s="192">
      <c r="W41539" s="235" t="n"/>
      <c r="X41539" s="235" t="n"/>
    </row>
    <row r="41540" ht="14.25" customHeight="1" s="192">
      <c r="W41540" s="235" t="n"/>
      <c r="X41540" s="235" t="n"/>
    </row>
    <row r="41541" ht="14.25" customHeight="1" s="192">
      <c r="W41541" s="235" t="n"/>
      <c r="X41541" s="235" t="n"/>
    </row>
    <row r="41542" ht="14.25" customHeight="1" s="192">
      <c r="W41542" s="239" t="n"/>
      <c r="X41542" s="239" t="n"/>
    </row>
    <row r="41543" ht="14.25" customHeight="1" s="192">
      <c r="W41543" s="239" t="n"/>
      <c r="X41543" s="239" t="n"/>
    </row>
    <row r="41544" ht="14.25" customHeight="1" s="192">
      <c r="W41544" s="235" t="n"/>
      <c r="X41544" s="235" t="n"/>
    </row>
    <row r="41545" ht="14.25" customHeight="1" s="192">
      <c r="W41545" s="235" t="n"/>
      <c r="X41545" s="235" t="n"/>
    </row>
    <row r="41546" ht="14.25" customHeight="1" s="192">
      <c r="W41546" s="239" t="n"/>
      <c r="X41546" s="239" t="n"/>
    </row>
    <row r="41547" ht="14.25" customHeight="1" s="192">
      <c r="W41547" s="235" t="n"/>
      <c r="X41547" s="235" t="n"/>
    </row>
    <row r="41548" ht="14.25" customHeight="1" s="192">
      <c r="W41548" s="239" t="n"/>
      <c r="X41548" s="239" t="n"/>
    </row>
    <row r="41550" ht="14.25" customHeight="1" s="192">
      <c r="W41550" s="235" t="n"/>
      <c r="X41550" s="235" t="n"/>
    </row>
    <row r="41551" ht="15" customHeight="1" s="192" thickBot="1">
      <c r="W41551" s="239" t="n"/>
      <c r="X41551" s="239" t="n"/>
    </row>
    <row r="41552" ht="15" customHeight="1" s="192" thickBot="1">
      <c r="W41552" s="45" t="n"/>
      <c r="X41552" s="45" t="n"/>
    </row>
    <row r="41553" ht="14.25" customHeight="1" s="192">
      <c r="W41553" s="228" t="n"/>
      <c r="X41553" s="228" t="n"/>
    </row>
    <row r="41554" ht="14.25" customHeight="1" s="192">
      <c r="W41554" s="228" t="n"/>
      <c r="X41554" s="228" t="n"/>
    </row>
    <row r="41555" ht="14.25" customHeight="1" s="192">
      <c r="W41555" s="231" t="n"/>
      <c r="X41555" s="231" t="n"/>
    </row>
    <row r="41556" ht="14.25" customHeight="1" s="192">
      <c r="W41556" s="33" t="n"/>
      <c r="X41556" s="33" t="n"/>
    </row>
    <row r="41557" ht="14.25" customHeight="1" s="192">
      <c r="W41557" s="231" t="n"/>
      <c r="X41557" s="231" t="n"/>
    </row>
    <row r="41558" ht="14.25" customHeight="1" s="192">
      <c r="W41558" s="33" t="n"/>
      <c r="X41558" s="33" t="n"/>
    </row>
    <row r="41560" ht="14.25" customHeight="1" s="192">
      <c r="W41560" s="231" t="n"/>
      <c r="X41560" s="231" t="n"/>
    </row>
    <row r="41561" ht="14.25" customHeight="1" s="192">
      <c r="W41561" s="235" t="n"/>
      <c r="X41561" s="235" t="n"/>
    </row>
    <row r="41562" ht="14.25" customHeight="1" s="192">
      <c r="W41562" s="228" t="n"/>
      <c r="X41562" s="228" t="n"/>
    </row>
    <row r="41563" ht="14.25" customHeight="1" s="192">
      <c r="W41563" s="235" t="n"/>
      <c r="X41563" s="235" t="n"/>
    </row>
    <row r="41564" ht="14.25" customHeight="1" s="192">
      <c r="W41564" s="235" t="n"/>
      <c r="X41564" s="235" t="n"/>
    </row>
    <row r="41565" ht="14.25" customHeight="1" s="192">
      <c r="W41565" s="235" t="n"/>
      <c r="X41565" s="235" t="n"/>
    </row>
    <row r="41566" ht="14.25" customHeight="1" s="192">
      <c r="W41566" s="239" t="n"/>
      <c r="X41566" s="239" t="n"/>
    </row>
    <row r="41567" ht="14.25" customHeight="1" s="192">
      <c r="W41567" s="239" t="n"/>
      <c r="X41567" s="239" t="n"/>
    </row>
    <row r="41568" ht="14.25" customHeight="1" s="192">
      <c r="W41568" s="239" t="n"/>
      <c r="X41568" s="239" t="n"/>
    </row>
    <row r="41569" ht="14.25" customHeight="1" s="192">
      <c r="W41569" s="235" t="n"/>
      <c r="X41569" s="235" t="n"/>
    </row>
    <row r="41570" ht="14.25" customHeight="1" s="192">
      <c r="W41570" s="235" t="n"/>
      <c r="X41570" s="235" t="n"/>
    </row>
    <row r="41571" ht="14.25" customHeight="1" s="192">
      <c r="W41571" s="235" t="n"/>
      <c r="X41571" s="235" t="n"/>
    </row>
    <row r="41572" ht="14.25" customHeight="1" s="192">
      <c r="W41572" s="239" t="n"/>
      <c r="X41572" s="239" t="n"/>
    </row>
    <row r="41573" ht="14.25" customHeight="1" s="192">
      <c r="W41573" s="239" t="n"/>
      <c r="X41573" s="239" t="n"/>
    </row>
    <row r="41574" ht="14.25" customHeight="1" s="192">
      <c r="W41574" s="235" t="n"/>
      <c r="X41574" s="235" t="n"/>
    </row>
    <row r="41575" ht="14.25" customHeight="1" s="192">
      <c r="W41575" s="235" t="n"/>
      <c r="X41575" s="235" t="n"/>
    </row>
    <row r="41576" ht="14.25" customHeight="1" s="192">
      <c r="W41576" s="239" t="n"/>
      <c r="X41576" s="239" t="n"/>
    </row>
    <row r="41577" ht="14.25" customHeight="1" s="192">
      <c r="W41577" s="235" t="n"/>
      <c r="X41577" s="235" t="n"/>
    </row>
    <row r="41578" ht="14.25" customHeight="1" s="192">
      <c r="W41578" s="239" t="n"/>
      <c r="X41578" s="239" t="n"/>
    </row>
    <row r="41580" ht="14.25" customHeight="1" s="192">
      <c r="W41580" s="235" t="n"/>
      <c r="X41580" s="235" t="n"/>
    </row>
    <row r="41581" ht="15" customHeight="1" s="192" thickBot="1">
      <c r="W41581" s="239" t="n"/>
      <c r="X41581" s="239" t="n"/>
    </row>
    <row r="41582" ht="15" customHeight="1" s="192" thickBot="1">
      <c r="W41582" s="45" t="n"/>
      <c r="X41582" s="45" t="n"/>
    </row>
    <row r="41583" ht="14.25" customHeight="1" s="192">
      <c r="W41583" s="228" t="n"/>
      <c r="X41583" s="228" t="n"/>
    </row>
    <row r="41584" ht="14.25" customHeight="1" s="192">
      <c r="W41584" s="228" t="n"/>
      <c r="X41584" s="228" t="n"/>
    </row>
    <row r="41585" ht="14.25" customHeight="1" s="192">
      <c r="W41585" s="231" t="n"/>
      <c r="X41585" s="231" t="n"/>
    </row>
    <row r="41586" ht="14.25" customHeight="1" s="192">
      <c r="W41586" s="33" t="n"/>
      <c r="X41586" s="33" t="n"/>
    </row>
    <row r="41587" ht="14.25" customHeight="1" s="192">
      <c r="W41587" s="231" t="n"/>
      <c r="X41587" s="231" t="n"/>
    </row>
    <row r="41588" ht="14.25" customHeight="1" s="192">
      <c r="W41588" s="33" t="n"/>
      <c r="X41588" s="33" t="n"/>
    </row>
    <row r="41590" ht="14.25" customHeight="1" s="192">
      <c r="W41590" s="231" t="n"/>
      <c r="X41590" s="231" t="n"/>
    </row>
    <row r="41591" ht="14.25" customHeight="1" s="192">
      <c r="W41591" s="235" t="n"/>
      <c r="X41591" s="235" t="n"/>
    </row>
    <row r="41592" ht="14.25" customHeight="1" s="192">
      <c r="W41592" s="228" t="n"/>
      <c r="X41592" s="228" t="n"/>
    </row>
    <row r="41593" ht="14.25" customHeight="1" s="192">
      <c r="W41593" s="235" t="n"/>
      <c r="X41593" s="235" t="n"/>
    </row>
    <row r="41594" ht="14.25" customHeight="1" s="192">
      <c r="W41594" s="235" t="n"/>
      <c r="X41594" s="235" t="n"/>
    </row>
    <row r="41595" ht="14.25" customHeight="1" s="192">
      <c r="W41595" s="235" t="n"/>
      <c r="X41595" s="235" t="n"/>
    </row>
    <row r="41596" ht="14.25" customHeight="1" s="192">
      <c r="W41596" s="239" t="n"/>
      <c r="X41596" s="239" t="n"/>
    </row>
    <row r="41597" ht="14.25" customHeight="1" s="192">
      <c r="W41597" s="239" t="n"/>
      <c r="X41597" s="239" t="n"/>
    </row>
    <row r="41598" ht="14.25" customHeight="1" s="192">
      <c r="W41598" s="239" t="n"/>
      <c r="X41598" s="239" t="n"/>
    </row>
    <row r="41599" ht="14.25" customHeight="1" s="192">
      <c r="W41599" s="235" t="n"/>
      <c r="X41599" s="235" t="n"/>
    </row>
    <row r="41600" ht="14.25" customHeight="1" s="192">
      <c r="W41600" s="235" t="n"/>
      <c r="X41600" s="235" t="n"/>
    </row>
    <row r="41601" ht="14.25" customHeight="1" s="192">
      <c r="W41601" s="235" t="n"/>
      <c r="X41601" s="235" t="n"/>
    </row>
    <row r="41602" ht="14.25" customHeight="1" s="192">
      <c r="W41602" s="239" t="n"/>
      <c r="X41602" s="239" t="n"/>
    </row>
    <row r="41603" ht="14.25" customHeight="1" s="192">
      <c r="W41603" s="239" t="n"/>
      <c r="X41603" s="239" t="n"/>
    </row>
    <row r="41604" ht="14.25" customHeight="1" s="192">
      <c r="W41604" s="235" t="n"/>
      <c r="X41604" s="235" t="n"/>
    </row>
    <row r="41605" ht="14.25" customHeight="1" s="192">
      <c r="W41605" s="235" t="n"/>
      <c r="X41605" s="235" t="n"/>
    </row>
    <row r="41606" ht="14.25" customHeight="1" s="192">
      <c r="W41606" s="239" t="n"/>
      <c r="X41606" s="239" t="n"/>
    </row>
    <row r="41607" ht="14.25" customHeight="1" s="192">
      <c r="W41607" s="235" t="n"/>
      <c r="X41607" s="235" t="n"/>
    </row>
    <row r="41608" ht="14.25" customHeight="1" s="192">
      <c r="W41608" s="239" t="n"/>
      <c r="X41608" s="239" t="n"/>
    </row>
    <row r="41610" ht="14.25" customHeight="1" s="192">
      <c r="W41610" s="235" t="n"/>
      <c r="X41610" s="235" t="n"/>
    </row>
    <row r="41611" ht="15" customHeight="1" s="192" thickBot="1">
      <c r="W41611" s="239" t="n"/>
      <c r="X41611" s="239" t="n"/>
    </row>
    <row r="41612" ht="15" customHeight="1" s="192" thickBot="1">
      <c r="W41612" s="45" t="n"/>
      <c r="X41612" s="45" t="n"/>
    </row>
    <row r="41613" ht="14.25" customHeight="1" s="192">
      <c r="W41613" s="228" t="n"/>
      <c r="X41613" s="228" t="n"/>
    </row>
    <row r="41614" ht="14.25" customHeight="1" s="192">
      <c r="W41614" s="228" t="n"/>
      <c r="X41614" s="228" t="n"/>
    </row>
    <row r="41615" ht="14.25" customHeight="1" s="192">
      <c r="W41615" s="231" t="n"/>
      <c r="X41615" s="231" t="n"/>
    </row>
    <row r="41616" ht="14.25" customHeight="1" s="192">
      <c r="W41616" s="33" t="n"/>
      <c r="X41616" s="33" t="n"/>
    </row>
    <row r="41617" ht="14.25" customHeight="1" s="192">
      <c r="W41617" s="231" t="n"/>
      <c r="X41617" s="231" t="n"/>
    </row>
    <row r="41618" ht="14.25" customHeight="1" s="192">
      <c r="W41618" s="33" t="n"/>
      <c r="X41618" s="33" t="n"/>
    </row>
    <row r="41620" ht="14.25" customHeight="1" s="192">
      <c r="W41620" s="231" t="n"/>
      <c r="X41620" s="231" t="n"/>
    </row>
    <row r="41621" ht="14.25" customHeight="1" s="192">
      <c r="W41621" s="235" t="n"/>
      <c r="X41621" s="235" t="n"/>
    </row>
    <row r="41622" ht="14.25" customHeight="1" s="192">
      <c r="W41622" s="228" t="n"/>
      <c r="X41622" s="228" t="n"/>
    </row>
    <row r="41623" ht="14.25" customHeight="1" s="192">
      <c r="W41623" s="235" t="n"/>
      <c r="X41623" s="235" t="n"/>
    </row>
    <row r="41624" ht="14.25" customHeight="1" s="192">
      <c r="W41624" s="235" t="n"/>
      <c r="X41624" s="235" t="n"/>
    </row>
    <row r="41625" ht="14.25" customHeight="1" s="192">
      <c r="W41625" s="235" t="n"/>
      <c r="X41625" s="235" t="n"/>
    </row>
    <row r="41626" ht="14.25" customHeight="1" s="192">
      <c r="W41626" s="239" t="n"/>
      <c r="X41626" s="239" t="n"/>
    </row>
    <row r="41627" ht="14.25" customHeight="1" s="192">
      <c r="W41627" s="239" t="n"/>
      <c r="X41627" s="239" t="n"/>
    </row>
    <row r="41628" ht="14.25" customHeight="1" s="192">
      <c r="W41628" s="239" t="n"/>
      <c r="X41628" s="239" t="n"/>
    </row>
    <row r="41629" ht="14.25" customHeight="1" s="192">
      <c r="W41629" s="235" t="n"/>
      <c r="X41629" s="235" t="n"/>
    </row>
    <row r="41630" ht="14.25" customHeight="1" s="192">
      <c r="W41630" s="235" t="n"/>
      <c r="X41630" s="235" t="n"/>
    </row>
    <row r="41631" ht="14.25" customHeight="1" s="192">
      <c r="W41631" s="235" t="n"/>
      <c r="X41631" s="235" t="n"/>
    </row>
    <row r="41632" ht="14.25" customHeight="1" s="192">
      <c r="W41632" s="239" t="n"/>
      <c r="X41632" s="239" t="n"/>
    </row>
    <row r="41633" ht="14.25" customHeight="1" s="192">
      <c r="W41633" s="239" t="n"/>
      <c r="X41633" s="239" t="n"/>
    </row>
    <row r="41634" ht="14.25" customHeight="1" s="192">
      <c r="W41634" s="235" t="n"/>
      <c r="X41634" s="235" t="n"/>
    </row>
    <row r="41635" ht="14.25" customHeight="1" s="192">
      <c r="W41635" s="235" t="n"/>
      <c r="X41635" s="235" t="n"/>
    </row>
    <row r="41636" ht="14.25" customHeight="1" s="192">
      <c r="W41636" s="239" t="n"/>
      <c r="X41636" s="239" t="n"/>
    </row>
    <row r="41637" ht="14.25" customHeight="1" s="192">
      <c r="W41637" s="235" t="n"/>
      <c r="X41637" s="235" t="n"/>
    </row>
    <row r="41638" ht="14.25" customHeight="1" s="192">
      <c r="W41638" s="239" t="n"/>
      <c r="X41638" s="239" t="n"/>
    </row>
    <row r="41640" ht="14.25" customHeight="1" s="192">
      <c r="W41640" s="235" t="n"/>
      <c r="X41640" s="235" t="n"/>
    </row>
    <row r="41641" ht="15" customHeight="1" s="192" thickBot="1">
      <c r="W41641" s="239" t="n"/>
      <c r="X41641" s="239" t="n"/>
    </row>
    <row r="41642" ht="15" customHeight="1" s="192" thickBot="1">
      <c r="W41642" s="45" t="n"/>
      <c r="X41642" s="45" t="n"/>
    </row>
    <row r="41643" ht="14.25" customHeight="1" s="192">
      <c r="W41643" s="228" t="n"/>
      <c r="X41643" s="228" t="n"/>
    </row>
    <row r="41644" ht="14.25" customHeight="1" s="192">
      <c r="W41644" s="228" t="n"/>
      <c r="X41644" s="228" t="n"/>
    </row>
    <row r="41645" ht="14.25" customHeight="1" s="192">
      <c r="W41645" s="231" t="n"/>
      <c r="X41645" s="231" t="n"/>
    </row>
    <row r="41646" ht="14.25" customHeight="1" s="192">
      <c r="W41646" s="33" t="n"/>
      <c r="X41646" s="33" t="n"/>
    </row>
    <row r="41647" ht="14.25" customHeight="1" s="192">
      <c r="W41647" s="231" t="n"/>
      <c r="X41647" s="231" t="n"/>
    </row>
    <row r="41648" ht="14.25" customHeight="1" s="192">
      <c r="W41648" s="33" t="n"/>
      <c r="X41648" s="33" t="n"/>
    </row>
    <row r="41650" ht="14.25" customHeight="1" s="192">
      <c r="W41650" s="231" t="n"/>
      <c r="X41650" s="231" t="n"/>
    </row>
    <row r="41651" ht="14.25" customHeight="1" s="192">
      <c r="W41651" s="235" t="n"/>
      <c r="X41651" s="235" t="n"/>
    </row>
    <row r="41652" ht="14.25" customHeight="1" s="192">
      <c r="W41652" s="228" t="n"/>
      <c r="X41652" s="228" t="n"/>
    </row>
    <row r="41653" ht="14.25" customHeight="1" s="192">
      <c r="W41653" s="235" t="n"/>
      <c r="X41653" s="235" t="n"/>
    </row>
    <row r="41654" ht="14.25" customHeight="1" s="192">
      <c r="W41654" s="235" t="n"/>
      <c r="X41654" s="235" t="n"/>
    </row>
    <row r="41655" ht="14.25" customHeight="1" s="192">
      <c r="W41655" s="235" t="n"/>
      <c r="X41655" s="235" t="n"/>
    </row>
    <row r="41656" ht="14.25" customHeight="1" s="192">
      <c r="W41656" s="239" t="n"/>
      <c r="X41656" s="239" t="n"/>
    </row>
    <row r="41657" ht="14.25" customHeight="1" s="192">
      <c r="W41657" s="239" t="n"/>
      <c r="X41657" s="239" t="n"/>
    </row>
    <row r="41658" ht="14.25" customHeight="1" s="192">
      <c r="W41658" s="239" t="n"/>
      <c r="X41658" s="239" t="n"/>
    </row>
    <row r="41659" ht="14.25" customHeight="1" s="192">
      <c r="W41659" s="235" t="n"/>
      <c r="X41659" s="235" t="n"/>
    </row>
    <row r="41660" ht="14.25" customHeight="1" s="192">
      <c r="W41660" s="235" t="n"/>
      <c r="X41660" s="235" t="n"/>
    </row>
    <row r="41661" ht="14.25" customHeight="1" s="192">
      <c r="W41661" s="235" t="n"/>
      <c r="X41661" s="235" t="n"/>
    </row>
    <row r="41662" ht="14.25" customHeight="1" s="192">
      <c r="W41662" s="239" t="n"/>
      <c r="X41662" s="239" t="n"/>
    </row>
    <row r="41663" ht="14.25" customHeight="1" s="192">
      <c r="W41663" s="239" t="n"/>
      <c r="X41663" s="239" t="n"/>
    </row>
    <row r="41664" ht="14.25" customHeight="1" s="192">
      <c r="W41664" s="235" t="n"/>
      <c r="X41664" s="235" t="n"/>
    </row>
    <row r="41665" ht="14.25" customHeight="1" s="192">
      <c r="W41665" s="235" t="n"/>
      <c r="X41665" s="235" t="n"/>
    </row>
    <row r="41666" ht="14.25" customHeight="1" s="192">
      <c r="W41666" s="239" t="n"/>
      <c r="X41666" s="239" t="n"/>
    </row>
    <row r="41667" ht="14.25" customHeight="1" s="192">
      <c r="W41667" s="235" t="n"/>
      <c r="X41667" s="235" t="n"/>
    </row>
    <row r="41668" ht="14.25" customHeight="1" s="192">
      <c r="W41668" s="239" t="n"/>
      <c r="X41668" s="239" t="n"/>
    </row>
    <row r="41670" ht="14.25" customHeight="1" s="192">
      <c r="W41670" s="235" t="n"/>
      <c r="X41670" s="235" t="n"/>
    </row>
    <row r="41671" ht="15" customHeight="1" s="192" thickBot="1">
      <c r="W41671" s="239" t="n"/>
      <c r="X41671" s="239" t="n"/>
    </row>
    <row r="41672" ht="15" customHeight="1" s="192" thickBot="1">
      <c r="W41672" s="45" t="n"/>
      <c r="X41672" s="45" t="n"/>
    </row>
    <row r="41673" ht="14.25" customHeight="1" s="192">
      <c r="W41673" s="228" t="n"/>
      <c r="X41673" s="228" t="n"/>
    </row>
    <row r="41674" ht="14.25" customHeight="1" s="192">
      <c r="W41674" s="228" t="n"/>
      <c r="X41674" s="228" t="n"/>
    </row>
    <row r="41675" ht="14.25" customHeight="1" s="192">
      <c r="W41675" s="231" t="n"/>
      <c r="X41675" s="231" t="n"/>
    </row>
    <row r="41676" ht="14.25" customHeight="1" s="192">
      <c r="W41676" s="33" t="n"/>
      <c r="X41676" s="33" t="n"/>
    </row>
    <row r="41677" ht="14.25" customHeight="1" s="192">
      <c r="W41677" s="231" t="n"/>
      <c r="X41677" s="231" t="n"/>
    </row>
    <row r="41678" ht="14.25" customHeight="1" s="192">
      <c r="W41678" s="33" t="n"/>
      <c r="X41678" s="33" t="n"/>
    </row>
    <row r="41680" ht="14.25" customHeight="1" s="192">
      <c r="W41680" s="231" t="n"/>
      <c r="X41680" s="231" t="n"/>
    </row>
    <row r="41681" ht="14.25" customHeight="1" s="192">
      <c r="W41681" s="235" t="n"/>
      <c r="X41681" s="235" t="n"/>
    </row>
    <row r="41682" ht="14.25" customHeight="1" s="192">
      <c r="W41682" s="228" t="n"/>
      <c r="X41682" s="228" t="n"/>
    </row>
    <row r="41683" ht="14.25" customHeight="1" s="192">
      <c r="W41683" s="235" t="n"/>
      <c r="X41683" s="235" t="n"/>
    </row>
    <row r="41684" ht="14.25" customHeight="1" s="192">
      <c r="W41684" s="235" t="n"/>
      <c r="X41684" s="235" t="n"/>
    </row>
    <row r="41685" ht="14.25" customHeight="1" s="192">
      <c r="W41685" s="235" t="n"/>
      <c r="X41685" s="235" t="n"/>
    </row>
    <row r="41686" ht="14.25" customHeight="1" s="192">
      <c r="W41686" s="239" t="n"/>
      <c r="X41686" s="239" t="n"/>
    </row>
    <row r="41687" ht="14.25" customHeight="1" s="192">
      <c r="W41687" s="239" t="n"/>
      <c r="X41687" s="239" t="n"/>
    </row>
    <row r="41688" ht="14.25" customHeight="1" s="192">
      <c r="W41688" s="239" t="n"/>
      <c r="X41688" s="239" t="n"/>
    </row>
    <row r="41689" ht="14.25" customHeight="1" s="192">
      <c r="W41689" s="235" t="n"/>
      <c r="X41689" s="235" t="n"/>
    </row>
    <row r="41690" ht="14.25" customHeight="1" s="192">
      <c r="W41690" s="235" t="n"/>
      <c r="X41690" s="235" t="n"/>
    </row>
    <row r="41691" ht="14.25" customHeight="1" s="192">
      <c r="W41691" s="235" t="n"/>
      <c r="X41691" s="235" t="n"/>
    </row>
    <row r="41692" ht="14.25" customHeight="1" s="192">
      <c r="W41692" s="239" t="n"/>
      <c r="X41692" s="239" t="n"/>
    </row>
    <row r="41693" ht="14.25" customHeight="1" s="192">
      <c r="W41693" s="239" t="n"/>
      <c r="X41693" s="239" t="n"/>
    </row>
    <row r="41694" ht="14.25" customHeight="1" s="192">
      <c r="W41694" s="235" t="n"/>
      <c r="X41694" s="235" t="n"/>
    </row>
    <row r="41695" ht="14.25" customHeight="1" s="192">
      <c r="W41695" s="235" t="n"/>
      <c r="X41695" s="235" t="n"/>
    </row>
    <row r="41696" ht="14.25" customHeight="1" s="192">
      <c r="W41696" s="239" t="n"/>
      <c r="X41696" s="239" t="n"/>
    </row>
    <row r="41697" ht="14.25" customHeight="1" s="192">
      <c r="W41697" s="235" t="n"/>
      <c r="X41697" s="235" t="n"/>
    </row>
    <row r="41698" ht="14.25" customHeight="1" s="192">
      <c r="W41698" s="239" t="n"/>
      <c r="X41698" s="239" t="n"/>
    </row>
    <row r="41700" ht="14.25" customHeight="1" s="192">
      <c r="W41700" s="235" t="n"/>
      <c r="X41700" s="235" t="n"/>
    </row>
    <row r="41701" ht="15" customHeight="1" s="192" thickBot="1">
      <c r="W41701" s="239" t="n"/>
      <c r="X41701" s="239" t="n"/>
    </row>
    <row r="41702" ht="15" customHeight="1" s="192" thickBot="1">
      <c r="W41702" s="45" t="n"/>
      <c r="X41702" s="45" t="n"/>
    </row>
    <row r="41703" ht="14.25" customHeight="1" s="192">
      <c r="W41703" s="228" t="n"/>
      <c r="X41703" s="228" t="n"/>
    </row>
    <row r="41704" ht="14.25" customHeight="1" s="192">
      <c r="W41704" s="228" t="n"/>
      <c r="X41704" s="228" t="n"/>
    </row>
    <row r="41705" ht="14.25" customHeight="1" s="192">
      <c r="W41705" s="231" t="n"/>
      <c r="X41705" s="231" t="n"/>
    </row>
    <row r="41706" ht="14.25" customHeight="1" s="192">
      <c r="W41706" s="33" t="n"/>
      <c r="X41706" s="33" t="n"/>
    </row>
    <row r="41707" ht="14.25" customHeight="1" s="192">
      <c r="W41707" s="231" t="n"/>
      <c r="X41707" s="231" t="n"/>
    </row>
    <row r="41708" ht="14.25" customHeight="1" s="192">
      <c r="W41708" s="33" t="n"/>
      <c r="X41708" s="33" t="n"/>
    </row>
    <row r="41710" ht="14.25" customHeight="1" s="192">
      <c r="W41710" s="231" t="n"/>
      <c r="X41710" s="231" t="n"/>
    </row>
    <row r="41711" ht="14.25" customHeight="1" s="192">
      <c r="W41711" s="235" t="n"/>
      <c r="X41711" s="235" t="n"/>
    </row>
    <row r="41712" ht="14.25" customHeight="1" s="192">
      <c r="W41712" s="228" t="n"/>
      <c r="X41712" s="228" t="n"/>
    </row>
    <row r="41713" ht="14.25" customHeight="1" s="192">
      <c r="W41713" s="235" t="n"/>
      <c r="X41713" s="235" t="n"/>
    </row>
    <row r="41714" ht="14.25" customHeight="1" s="192">
      <c r="W41714" s="235" t="n"/>
      <c r="X41714" s="235" t="n"/>
    </row>
    <row r="41715" ht="14.25" customHeight="1" s="192">
      <c r="W41715" s="235" t="n"/>
      <c r="X41715" s="235" t="n"/>
    </row>
    <row r="41716" ht="14.25" customHeight="1" s="192">
      <c r="W41716" s="239" t="n"/>
      <c r="X41716" s="239" t="n"/>
    </row>
    <row r="41717" ht="14.25" customHeight="1" s="192">
      <c r="W41717" s="239" t="n"/>
      <c r="X41717" s="239" t="n"/>
    </row>
    <row r="41718" ht="14.25" customHeight="1" s="192">
      <c r="W41718" s="239" t="n"/>
      <c r="X41718" s="239" t="n"/>
    </row>
    <row r="41719" ht="14.25" customHeight="1" s="192">
      <c r="W41719" s="235" t="n"/>
      <c r="X41719" s="235" t="n"/>
    </row>
    <row r="41720" ht="14.25" customHeight="1" s="192">
      <c r="W41720" s="235" t="n"/>
      <c r="X41720" s="235" t="n"/>
    </row>
    <row r="41721" ht="14.25" customHeight="1" s="192">
      <c r="W41721" s="235" t="n"/>
      <c r="X41721" s="235" t="n"/>
    </row>
    <row r="41722" ht="14.25" customHeight="1" s="192">
      <c r="W41722" s="239" t="n"/>
      <c r="X41722" s="239" t="n"/>
    </row>
    <row r="41723" ht="14.25" customHeight="1" s="192">
      <c r="W41723" s="239" t="n"/>
      <c r="X41723" s="239" t="n"/>
    </row>
    <row r="41724" ht="14.25" customHeight="1" s="192">
      <c r="W41724" s="235" t="n"/>
      <c r="X41724" s="235" t="n"/>
    </row>
    <row r="41725" ht="14.25" customHeight="1" s="192">
      <c r="W41725" s="235" t="n"/>
      <c r="X41725" s="235" t="n"/>
    </row>
    <row r="41726" ht="14.25" customHeight="1" s="192">
      <c r="W41726" s="239" t="n"/>
      <c r="X41726" s="239" t="n"/>
    </row>
    <row r="41727" ht="14.25" customHeight="1" s="192">
      <c r="W41727" s="235" t="n"/>
      <c r="X41727" s="235" t="n"/>
    </row>
    <row r="41728" ht="14.25" customHeight="1" s="192">
      <c r="W41728" s="239" t="n"/>
      <c r="X41728" s="239" t="n"/>
    </row>
    <row r="41730" ht="14.25" customHeight="1" s="192">
      <c r="W41730" s="235" t="n"/>
      <c r="X41730" s="235" t="n"/>
    </row>
    <row r="41731" ht="15" customHeight="1" s="192" thickBot="1">
      <c r="W41731" s="239" t="n"/>
      <c r="X41731" s="239" t="n"/>
    </row>
    <row r="41732" ht="15" customHeight="1" s="192" thickBot="1">
      <c r="W41732" s="45" t="n"/>
      <c r="X41732" s="45" t="n"/>
    </row>
    <row r="41733" ht="14.25" customHeight="1" s="192">
      <c r="W41733" s="228" t="n"/>
      <c r="X41733" s="228" t="n"/>
    </row>
    <row r="41734" ht="14.25" customHeight="1" s="192">
      <c r="W41734" s="228" t="n"/>
      <c r="X41734" s="228" t="n"/>
    </row>
    <row r="41735" ht="14.25" customHeight="1" s="192">
      <c r="W41735" s="231" t="n"/>
      <c r="X41735" s="231" t="n"/>
    </row>
    <row r="41736" ht="14.25" customHeight="1" s="192">
      <c r="W41736" s="33" t="n"/>
      <c r="X41736" s="33" t="n"/>
    </row>
    <row r="41737" ht="14.25" customHeight="1" s="192">
      <c r="W41737" s="231" t="n"/>
      <c r="X41737" s="231" t="n"/>
    </row>
    <row r="41738" ht="14.25" customHeight="1" s="192">
      <c r="W41738" s="33" t="n"/>
      <c r="X41738" s="33" t="n"/>
    </row>
    <row r="41740" ht="14.25" customHeight="1" s="192">
      <c r="W41740" s="231" t="n"/>
      <c r="X41740" s="231" t="n"/>
    </row>
    <row r="41741" ht="14.25" customHeight="1" s="192">
      <c r="W41741" s="235" t="n"/>
      <c r="X41741" s="235" t="n"/>
    </row>
    <row r="41742" ht="14.25" customHeight="1" s="192">
      <c r="W41742" s="228" t="n"/>
      <c r="X41742" s="228" t="n"/>
    </row>
    <row r="41743" ht="14.25" customHeight="1" s="192">
      <c r="W41743" s="235" t="n"/>
      <c r="X41743" s="235" t="n"/>
    </row>
    <row r="41744" ht="14.25" customHeight="1" s="192">
      <c r="W41744" s="235" t="n"/>
      <c r="X41744" s="235" t="n"/>
    </row>
    <row r="41745" ht="14.25" customHeight="1" s="192">
      <c r="W41745" s="235" t="n"/>
      <c r="X41745" s="235" t="n"/>
    </row>
    <row r="41746" ht="14.25" customHeight="1" s="192">
      <c r="W41746" s="239" t="n"/>
      <c r="X41746" s="239" t="n"/>
    </row>
    <row r="41747" ht="14.25" customHeight="1" s="192">
      <c r="W41747" s="239" t="n"/>
      <c r="X41747" s="239" t="n"/>
    </row>
    <row r="41748" ht="14.25" customHeight="1" s="192">
      <c r="W41748" s="239" t="n"/>
      <c r="X41748" s="239" t="n"/>
    </row>
    <row r="41749" ht="14.25" customHeight="1" s="192">
      <c r="W41749" s="235" t="n"/>
      <c r="X41749" s="235" t="n"/>
    </row>
    <row r="41750" ht="14.25" customHeight="1" s="192">
      <c r="W41750" s="235" t="n"/>
      <c r="X41750" s="235" t="n"/>
    </row>
    <row r="41751" ht="14.25" customHeight="1" s="192">
      <c r="W41751" s="235" t="n"/>
      <c r="X41751" s="235" t="n"/>
    </row>
    <row r="41752" ht="14.25" customHeight="1" s="192">
      <c r="W41752" s="239" t="n"/>
      <c r="X41752" s="239" t="n"/>
    </row>
    <row r="41753" ht="14.25" customHeight="1" s="192">
      <c r="W41753" s="239" t="n"/>
      <c r="X41753" s="239" t="n"/>
    </row>
    <row r="41754" ht="14.25" customHeight="1" s="192">
      <c r="W41754" s="235" t="n"/>
      <c r="X41754" s="235" t="n"/>
    </row>
    <row r="41755" ht="14.25" customHeight="1" s="192">
      <c r="W41755" s="235" t="n"/>
      <c r="X41755" s="235" t="n"/>
    </row>
    <row r="41756" ht="14.25" customHeight="1" s="192">
      <c r="W41756" s="239" t="n"/>
      <c r="X41756" s="239" t="n"/>
    </row>
    <row r="41757" ht="14.25" customHeight="1" s="192">
      <c r="W41757" s="235" t="n"/>
      <c r="X41757" s="235" t="n"/>
    </row>
    <row r="41758" ht="14.25" customHeight="1" s="192">
      <c r="W41758" s="239" t="n"/>
      <c r="X41758" s="239" t="n"/>
    </row>
    <row r="41760" ht="14.25" customHeight="1" s="192">
      <c r="W41760" s="235" t="n"/>
      <c r="X41760" s="235" t="n"/>
    </row>
    <row r="41761" ht="15" customHeight="1" s="192" thickBot="1">
      <c r="W41761" s="239" t="n"/>
      <c r="X41761" s="239" t="n"/>
    </row>
    <row r="41762" ht="15" customHeight="1" s="192" thickBot="1">
      <c r="W41762" s="45" t="n"/>
      <c r="X41762" s="45" t="n"/>
    </row>
    <row r="41763" ht="14.25" customHeight="1" s="192">
      <c r="W41763" s="228" t="n"/>
      <c r="X41763" s="228" t="n"/>
    </row>
    <row r="41764" ht="14.25" customHeight="1" s="192">
      <c r="W41764" s="228" t="n"/>
      <c r="X41764" s="228" t="n"/>
    </row>
    <row r="41765" ht="14.25" customHeight="1" s="192">
      <c r="W41765" s="231" t="n"/>
      <c r="X41765" s="231" t="n"/>
    </row>
    <row r="41766" ht="14.25" customHeight="1" s="192">
      <c r="W41766" s="33" t="n"/>
      <c r="X41766" s="33" t="n"/>
    </row>
    <row r="41767" ht="14.25" customHeight="1" s="192">
      <c r="W41767" s="231" t="n"/>
      <c r="X41767" s="231" t="n"/>
    </row>
    <row r="41768" ht="14.25" customHeight="1" s="192">
      <c r="W41768" s="33" t="n"/>
      <c r="X41768" s="33" t="n"/>
    </row>
    <row r="41770" ht="14.25" customHeight="1" s="192">
      <c r="W41770" s="231" t="n"/>
      <c r="X41770" s="231" t="n"/>
    </row>
    <row r="41771" ht="14.25" customHeight="1" s="192">
      <c r="W41771" s="235" t="n"/>
      <c r="X41771" s="235" t="n"/>
    </row>
    <row r="41772" ht="14.25" customHeight="1" s="192">
      <c r="W41772" s="228" t="n"/>
      <c r="X41772" s="228" t="n"/>
    </row>
    <row r="41773" ht="14.25" customHeight="1" s="192">
      <c r="W41773" s="235" t="n"/>
      <c r="X41773" s="235" t="n"/>
    </row>
    <row r="41774" ht="14.25" customHeight="1" s="192">
      <c r="W41774" s="235" t="n"/>
      <c r="X41774" s="235" t="n"/>
    </row>
    <row r="41775" ht="14.25" customHeight="1" s="192">
      <c r="W41775" s="235" t="n"/>
      <c r="X41775" s="235" t="n"/>
    </row>
    <row r="41776" ht="14.25" customHeight="1" s="192">
      <c r="W41776" s="239" t="n"/>
      <c r="X41776" s="239" t="n"/>
    </row>
    <row r="41777" ht="14.25" customHeight="1" s="192">
      <c r="W41777" s="239" t="n"/>
      <c r="X41777" s="239" t="n"/>
    </row>
    <row r="41778" ht="14.25" customHeight="1" s="192">
      <c r="W41778" s="239" t="n"/>
      <c r="X41778" s="239" t="n"/>
    </row>
    <row r="41779" ht="14.25" customHeight="1" s="192">
      <c r="W41779" s="235" t="n"/>
      <c r="X41779" s="235" t="n"/>
    </row>
    <row r="41780" ht="14.25" customHeight="1" s="192">
      <c r="W41780" s="235" t="n"/>
      <c r="X41780" s="235" t="n"/>
    </row>
    <row r="41781" ht="14.25" customHeight="1" s="192">
      <c r="W41781" s="235" t="n"/>
      <c r="X41781" s="235" t="n"/>
    </row>
    <row r="41782" ht="14.25" customHeight="1" s="192">
      <c r="W41782" s="239" t="n"/>
      <c r="X41782" s="239" t="n"/>
    </row>
    <row r="41783" ht="14.25" customHeight="1" s="192">
      <c r="W41783" s="239" t="n"/>
      <c r="X41783" s="239" t="n"/>
    </row>
    <row r="41784" ht="14.25" customHeight="1" s="192">
      <c r="W41784" s="235" t="n"/>
      <c r="X41784" s="235" t="n"/>
    </row>
    <row r="41785" ht="14.25" customHeight="1" s="192">
      <c r="W41785" s="235" t="n"/>
      <c r="X41785" s="235" t="n"/>
    </row>
    <row r="41786" ht="14.25" customHeight="1" s="192">
      <c r="W41786" s="239" t="n"/>
      <c r="X41786" s="239" t="n"/>
    </row>
    <row r="41787" ht="14.25" customHeight="1" s="192">
      <c r="W41787" s="235" t="n"/>
      <c r="X41787" s="235" t="n"/>
    </row>
    <row r="41788" ht="14.25" customHeight="1" s="192">
      <c r="W41788" s="239" t="n"/>
      <c r="X41788" s="239" t="n"/>
    </row>
    <row r="41790" ht="14.25" customHeight="1" s="192">
      <c r="W41790" s="235" t="n"/>
      <c r="X41790" s="235" t="n"/>
    </row>
    <row r="41791" ht="15" customHeight="1" s="192" thickBot="1">
      <c r="W41791" s="239" t="n"/>
      <c r="X41791" s="239" t="n"/>
    </row>
    <row r="41792" ht="15" customHeight="1" s="192" thickBot="1">
      <c r="W41792" s="45" t="n"/>
      <c r="X41792" s="45" t="n"/>
    </row>
    <row r="41793" ht="14.25" customHeight="1" s="192">
      <c r="W41793" s="228" t="n"/>
      <c r="X41793" s="228" t="n"/>
    </row>
    <row r="41794" ht="14.25" customHeight="1" s="192">
      <c r="W41794" s="228" t="n"/>
      <c r="X41794" s="228" t="n"/>
    </row>
    <row r="41795" ht="14.25" customHeight="1" s="192">
      <c r="W41795" s="231" t="n"/>
      <c r="X41795" s="231" t="n"/>
    </row>
    <row r="41796" ht="14.25" customHeight="1" s="192">
      <c r="W41796" s="33" t="n"/>
      <c r="X41796" s="33" t="n"/>
    </row>
    <row r="41797" ht="14.25" customHeight="1" s="192">
      <c r="W41797" s="231" t="n"/>
      <c r="X41797" s="231" t="n"/>
    </row>
    <row r="41798" ht="14.25" customHeight="1" s="192">
      <c r="W41798" s="33" t="n"/>
      <c r="X41798" s="33" t="n"/>
    </row>
    <row r="41800" ht="14.25" customHeight="1" s="192">
      <c r="W41800" s="231" t="n"/>
      <c r="X41800" s="231" t="n"/>
    </row>
    <row r="41801" ht="14.25" customHeight="1" s="192">
      <c r="W41801" s="235" t="n"/>
      <c r="X41801" s="235" t="n"/>
    </row>
    <row r="41802" ht="14.25" customHeight="1" s="192">
      <c r="W41802" s="228" t="n"/>
      <c r="X41802" s="228" t="n"/>
    </row>
    <row r="41803" ht="14.25" customHeight="1" s="192">
      <c r="W41803" s="235" t="n"/>
      <c r="X41803" s="235" t="n"/>
    </row>
    <row r="41804" ht="14.25" customHeight="1" s="192">
      <c r="W41804" s="235" t="n"/>
      <c r="X41804" s="235" t="n"/>
    </row>
    <row r="41805" ht="14.25" customHeight="1" s="192">
      <c r="W41805" s="235" t="n"/>
      <c r="X41805" s="235" t="n"/>
    </row>
    <row r="41806" ht="14.25" customHeight="1" s="192">
      <c r="W41806" s="239" t="n"/>
      <c r="X41806" s="239" t="n"/>
    </row>
    <row r="41807" ht="14.25" customHeight="1" s="192">
      <c r="W41807" s="239" t="n"/>
      <c r="X41807" s="239" t="n"/>
    </row>
    <row r="41808" ht="14.25" customHeight="1" s="192">
      <c r="W41808" s="239" t="n"/>
      <c r="X41808" s="239" t="n"/>
    </row>
    <row r="41809" ht="14.25" customHeight="1" s="192">
      <c r="W41809" s="235" t="n"/>
      <c r="X41809" s="235" t="n"/>
    </row>
    <row r="41810" ht="14.25" customHeight="1" s="192">
      <c r="W41810" s="235" t="n"/>
      <c r="X41810" s="235" t="n"/>
    </row>
    <row r="41811" ht="14.25" customHeight="1" s="192">
      <c r="W41811" s="235" t="n"/>
      <c r="X41811" s="235" t="n"/>
    </row>
    <row r="41812" ht="14.25" customHeight="1" s="192">
      <c r="W41812" s="239" t="n"/>
      <c r="X41812" s="239" t="n"/>
    </row>
    <row r="41813" ht="14.25" customHeight="1" s="192">
      <c r="W41813" s="239" t="n"/>
      <c r="X41813" s="239" t="n"/>
    </row>
    <row r="41814" ht="14.25" customHeight="1" s="192">
      <c r="W41814" s="235" t="n"/>
      <c r="X41814" s="235" t="n"/>
    </row>
    <row r="41815" ht="14.25" customHeight="1" s="192">
      <c r="W41815" s="235" t="n"/>
      <c r="X41815" s="235" t="n"/>
    </row>
    <row r="41816" ht="14.25" customHeight="1" s="192">
      <c r="W41816" s="239" t="n"/>
      <c r="X41816" s="239" t="n"/>
    </row>
    <row r="41817" ht="14.25" customHeight="1" s="192">
      <c r="W41817" s="235" t="n"/>
      <c r="X41817" s="235" t="n"/>
    </row>
    <row r="41818" ht="14.25" customHeight="1" s="192">
      <c r="W41818" s="239" t="n"/>
      <c r="X41818" s="239" t="n"/>
    </row>
    <row r="41820" ht="14.25" customHeight="1" s="192">
      <c r="W41820" s="235" t="n"/>
      <c r="X41820" s="235" t="n"/>
    </row>
    <row r="41821" ht="15" customHeight="1" s="192" thickBot="1">
      <c r="W41821" s="239" t="n"/>
      <c r="X41821" s="239" t="n"/>
    </row>
    <row r="41822" ht="15" customHeight="1" s="192" thickBot="1">
      <c r="W41822" s="45" t="n"/>
      <c r="X41822" s="45" t="n"/>
    </row>
    <row r="41823" ht="14.25" customHeight="1" s="192">
      <c r="W41823" s="228" t="n"/>
      <c r="X41823" s="228" t="n"/>
    </row>
    <row r="41824" ht="14.25" customHeight="1" s="192">
      <c r="W41824" s="228" t="n"/>
      <c r="X41824" s="228" t="n"/>
    </row>
    <row r="41825" ht="14.25" customHeight="1" s="192">
      <c r="W41825" s="231" t="n"/>
      <c r="X41825" s="231" t="n"/>
    </row>
    <row r="41826" ht="14.25" customHeight="1" s="192">
      <c r="W41826" s="33" t="n"/>
      <c r="X41826" s="33" t="n"/>
    </row>
    <row r="41827" ht="14.25" customHeight="1" s="192">
      <c r="W41827" s="231" t="n"/>
      <c r="X41827" s="231" t="n"/>
    </row>
    <row r="41828" ht="14.25" customHeight="1" s="192">
      <c r="W41828" s="33" t="n"/>
      <c r="X41828" s="33" t="n"/>
    </row>
    <row r="41830" ht="14.25" customHeight="1" s="192">
      <c r="W41830" s="231" t="n"/>
      <c r="X41830" s="231" t="n"/>
    </row>
    <row r="41831" ht="14.25" customHeight="1" s="192">
      <c r="W41831" s="235" t="n"/>
      <c r="X41831" s="235" t="n"/>
    </row>
    <row r="41832" ht="14.25" customHeight="1" s="192">
      <c r="W41832" s="228" t="n"/>
      <c r="X41832" s="228" t="n"/>
    </row>
    <row r="41833" ht="14.25" customHeight="1" s="192">
      <c r="W41833" s="235" t="n"/>
      <c r="X41833" s="235" t="n"/>
    </row>
    <row r="41834" ht="14.25" customHeight="1" s="192">
      <c r="W41834" s="235" t="n"/>
      <c r="X41834" s="235" t="n"/>
    </row>
    <row r="41835" ht="14.25" customHeight="1" s="192">
      <c r="W41835" s="235" t="n"/>
      <c r="X41835" s="235" t="n"/>
    </row>
    <row r="41836" ht="14.25" customHeight="1" s="192">
      <c r="W41836" s="239" t="n"/>
      <c r="X41836" s="239" t="n"/>
    </row>
    <row r="41837" ht="14.25" customHeight="1" s="192">
      <c r="W41837" s="239" t="n"/>
      <c r="X41837" s="239" t="n"/>
    </row>
    <row r="41838" ht="14.25" customHeight="1" s="192">
      <c r="W41838" s="239" t="n"/>
      <c r="X41838" s="239" t="n"/>
    </row>
    <row r="41839" ht="14.25" customHeight="1" s="192">
      <c r="W41839" s="235" t="n"/>
      <c r="X41839" s="235" t="n"/>
    </row>
    <row r="41840" ht="14.25" customHeight="1" s="192">
      <c r="W41840" s="235" t="n"/>
      <c r="X41840" s="235" t="n"/>
    </row>
    <row r="41841" ht="14.25" customHeight="1" s="192">
      <c r="W41841" s="235" t="n"/>
      <c r="X41841" s="235" t="n"/>
    </row>
    <row r="41842" ht="14.25" customHeight="1" s="192">
      <c r="W41842" s="239" t="n"/>
      <c r="X41842" s="239" t="n"/>
    </row>
    <row r="41843" ht="14.25" customHeight="1" s="192">
      <c r="W41843" s="239" t="n"/>
      <c r="X41843" s="239" t="n"/>
    </row>
    <row r="41844" ht="14.25" customHeight="1" s="192">
      <c r="W41844" s="235" t="n"/>
      <c r="X41844" s="235" t="n"/>
    </row>
    <row r="41845" ht="14.25" customHeight="1" s="192">
      <c r="W41845" s="235" t="n"/>
      <c r="X41845" s="235" t="n"/>
    </row>
    <row r="41846" ht="14.25" customHeight="1" s="192">
      <c r="W41846" s="239" t="n"/>
      <c r="X41846" s="239" t="n"/>
    </row>
    <row r="41847" ht="14.25" customHeight="1" s="192">
      <c r="W41847" s="235" t="n"/>
      <c r="X41847" s="235" t="n"/>
    </row>
    <row r="41848" ht="14.25" customHeight="1" s="192">
      <c r="W41848" s="239" t="n"/>
      <c r="X41848" s="239" t="n"/>
    </row>
    <row r="41850" ht="14.25" customHeight="1" s="192">
      <c r="W41850" s="235" t="n"/>
      <c r="X41850" s="235" t="n"/>
    </row>
    <row r="41851" ht="15" customHeight="1" s="192" thickBot="1">
      <c r="W41851" s="239" t="n"/>
      <c r="X41851" s="239" t="n"/>
    </row>
    <row r="41852" ht="15" customHeight="1" s="192" thickBot="1">
      <c r="W41852" s="45" t="n"/>
      <c r="X41852" s="45" t="n"/>
    </row>
    <row r="41853" ht="14.25" customHeight="1" s="192">
      <c r="W41853" s="228" t="n"/>
      <c r="X41853" s="228" t="n"/>
    </row>
    <row r="41854" ht="14.25" customHeight="1" s="192">
      <c r="W41854" s="228" t="n"/>
      <c r="X41854" s="228" t="n"/>
    </row>
    <row r="41855" ht="14.25" customHeight="1" s="192">
      <c r="W41855" s="231" t="n"/>
      <c r="X41855" s="231" t="n"/>
    </row>
    <row r="41856" ht="14.25" customHeight="1" s="192">
      <c r="W41856" s="33" t="n"/>
      <c r="X41856" s="33" t="n"/>
    </row>
    <row r="41857" ht="14.25" customHeight="1" s="192">
      <c r="W41857" s="231" t="n"/>
      <c r="X41857" s="231" t="n"/>
    </row>
    <row r="41858" ht="14.25" customHeight="1" s="192">
      <c r="W41858" s="33" t="n"/>
      <c r="X41858" s="33" t="n"/>
    </row>
    <row r="41860" ht="14.25" customHeight="1" s="192">
      <c r="W41860" s="231" t="n"/>
      <c r="X41860" s="231" t="n"/>
    </row>
    <row r="41861" ht="14.25" customHeight="1" s="192">
      <c r="W41861" s="235" t="n"/>
      <c r="X41861" s="235" t="n"/>
    </row>
    <row r="41862" ht="14.25" customHeight="1" s="192">
      <c r="W41862" s="228" t="n"/>
      <c r="X41862" s="228" t="n"/>
    </row>
    <row r="41863" ht="14.25" customHeight="1" s="192">
      <c r="W41863" s="235" t="n"/>
      <c r="X41863" s="235" t="n"/>
    </row>
    <row r="41864" ht="14.25" customHeight="1" s="192">
      <c r="W41864" s="235" t="n"/>
      <c r="X41864" s="235" t="n"/>
    </row>
    <row r="41865" ht="14.25" customHeight="1" s="192">
      <c r="W41865" s="235" t="n"/>
      <c r="X41865" s="235" t="n"/>
    </row>
    <row r="41866" ht="14.25" customHeight="1" s="192">
      <c r="W41866" s="239" t="n"/>
      <c r="X41866" s="239" t="n"/>
    </row>
    <row r="41867" ht="14.25" customHeight="1" s="192">
      <c r="W41867" s="239" t="n"/>
      <c r="X41867" s="239" t="n"/>
    </row>
    <row r="41868" ht="14.25" customHeight="1" s="192">
      <c r="W41868" s="239" t="n"/>
      <c r="X41868" s="239" t="n"/>
    </row>
    <row r="41869" ht="14.25" customHeight="1" s="192">
      <c r="W41869" s="235" t="n"/>
      <c r="X41869" s="235" t="n"/>
    </row>
    <row r="41870" ht="14.25" customHeight="1" s="192">
      <c r="W41870" s="235" t="n"/>
      <c r="X41870" s="235" t="n"/>
    </row>
    <row r="41871" ht="14.25" customHeight="1" s="192">
      <c r="W41871" s="235" t="n"/>
      <c r="X41871" s="235" t="n"/>
    </row>
    <row r="41872" ht="14.25" customHeight="1" s="192">
      <c r="W41872" s="239" t="n"/>
      <c r="X41872" s="239" t="n"/>
    </row>
    <row r="41873" ht="14.25" customHeight="1" s="192">
      <c r="W41873" s="239" t="n"/>
      <c r="X41873" s="239" t="n"/>
    </row>
    <row r="41874" ht="14.25" customHeight="1" s="192">
      <c r="W41874" s="235" t="n"/>
      <c r="X41874" s="235" t="n"/>
    </row>
    <row r="41875" ht="14.25" customHeight="1" s="192">
      <c r="W41875" s="235" t="n"/>
      <c r="X41875" s="235" t="n"/>
    </row>
    <row r="41876" ht="14.25" customHeight="1" s="192">
      <c r="W41876" s="239" t="n"/>
      <c r="X41876" s="239" t="n"/>
    </row>
    <row r="41877" ht="14.25" customHeight="1" s="192">
      <c r="W41877" s="235" t="n"/>
      <c r="X41877" s="235" t="n"/>
    </row>
    <row r="41878" ht="14.25" customHeight="1" s="192">
      <c r="W41878" s="239" t="n"/>
      <c r="X41878" s="239" t="n"/>
    </row>
    <row r="41880" ht="14.25" customHeight="1" s="192">
      <c r="W41880" s="235" t="n"/>
      <c r="X41880" s="235" t="n"/>
    </row>
    <row r="41881" ht="15" customHeight="1" s="192" thickBot="1">
      <c r="W41881" s="239" t="n"/>
      <c r="X41881" s="239" t="n"/>
    </row>
    <row r="41882" ht="15" customHeight="1" s="192" thickBot="1">
      <c r="W41882" s="45" t="n"/>
      <c r="X41882" s="45" t="n"/>
    </row>
    <row r="41883" ht="14.25" customHeight="1" s="192">
      <c r="W41883" s="228" t="n"/>
      <c r="X41883" s="228" t="n"/>
    </row>
    <row r="41884" ht="14.25" customHeight="1" s="192">
      <c r="W41884" s="228" t="n"/>
      <c r="X41884" s="228" t="n"/>
    </row>
    <row r="41885" ht="14.25" customHeight="1" s="192">
      <c r="W41885" s="231" t="n"/>
      <c r="X41885" s="231" t="n"/>
    </row>
    <row r="41886" ht="14.25" customHeight="1" s="192">
      <c r="W41886" s="33" t="n"/>
      <c r="X41886" s="33" t="n"/>
    </row>
    <row r="41887" ht="14.25" customHeight="1" s="192">
      <c r="W41887" s="231" t="n"/>
      <c r="X41887" s="231" t="n"/>
    </row>
    <row r="41888" ht="14.25" customHeight="1" s="192">
      <c r="W41888" s="33" t="n"/>
      <c r="X41888" s="33" t="n"/>
    </row>
    <row r="41890" ht="14.25" customHeight="1" s="192">
      <c r="W41890" s="231" t="n"/>
      <c r="X41890" s="231" t="n"/>
    </row>
    <row r="41891" ht="14.25" customHeight="1" s="192">
      <c r="W41891" s="235" t="n"/>
      <c r="X41891" s="235" t="n"/>
    </row>
    <row r="41892" ht="14.25" customHeight="1" s="192">
      <c r="W41892" s="228" t="n"/>
      <c r="X41892" s="228" t="n"/>
    </row>
    <row r="41893" ht="14.25" customHeight="1" s="192">
      <c r="W41893" s="235" t="n"/>
      <c r="X41893" s="235" t="n"/>
    </row>
    <row r="41894" ht="14.25" customHeight="1" s="192">
      <c r="W41894" s="235" t="n"/>
      <c r="X41894" s="235" t="n"/>
    </row>
    <row r="41895" ht="14.25" customHeight="1" s="192">
      <c r="W41895" s="235" t="n"/>
      <c r="X41895" s="235" t="n"/>
    </row>
    <row r="41896" ht="14.25" customHeight="1" s="192">
      <c r="W41896" s="239" t="n"/>
      <c r="X41896" s="239" t="n"/>
    </row>
    <row r="41897" ht="14.25" customHeight="1" s="192">
      <c r="W41897" s="239" t="n"/>
      <c r="X41897" s="239" t="n"/>
    </row>
    <row r="41898" ht="14.25" customHeight="1" s="192">
      <c r="W41898" s="239" t="n"/>
      <c r="X41898" s="239" t="n"/>
    </row>
    <row r="41899" ht="14.25" customHeight="1" s="192">
      <c r="W41899" s="235" t="n"/>
      <c r="X41899" s="235" t="n"/>
    </row>
    <row r="41900" ht="14.25" customHeight="1" s="192">
      <c r="W41900" s="235" t="n"/>
      <c r="X41900" s="235" t="n"/>
    </row>
    <row r="41901" ht="14.25" customHeight="1" s="192">
      <c r="W41901" s="235" t="n"/>
      <c r="X41901" s="235" t="n"/>
    </row>
    <row r="41902" ht="14.25" customHeight="1" s="192">
      <c r="W41902" s="239" t="n"/>
      <c r="X41902" s="239" t="n"/>
    </row>
    <row r="41903" ht="14.25" customHeight="1" s="192">
      <c r="W41903" s="239" t="n"/>
      <c r="X41903" s="239" t="n"/>
    </row>
    <row r="41904" ht="14.25" customHeight="1" s="192">
      <c r="W41904" s="235" t="n"/>
      <c r="X41904" s="235" t="n"/>
    </row>
    <row r="41905" ht="14.25" customHeight="1" s="192">
      <c r="W41905" s="235" t="n"/>
      <c r="X41905" s="235" t="n"/>
    </row>
    <row r="41906" ht="14.25" customHeight="1" s="192">
      <c r="W41906" s="239" t="n"/>
      <c r="X41906" s="239" t="n"/>
    </row>
    <row r="41907" ht="14.25" customHeight="1" s="192">
      <c r="W41907" s="235" t="n"/>
      <c r="X41907" s="235" t="n"/>
    </row>
    <row r="41908" ht="14.25" customHeight="1" s="192">
      <c r="W41908" s="239" t="n"/>
      <c r="X41908" s="239" t="n"/>
    </row>
    <row r="41910" ht="14.25" customHeight="1" s="192">
      <c r="W41910" s="235" t="n"/>
      <c r="X41910" s="235" t="n"/>
    </row>
    <row r="41911" ht="15" customHeight="1" s="192" thickBot="1">
      <c r="W41911" s="239" t="n"/>
      <c r="X41911" s="239" t="n"/>
    </row>
    <row r="41912" ht="15" customHeight="1" s="192" thickBot="1">
      <c r="W41912" s="45" t="n"/>
      <c r="X41912" s="45" t="n"/>
    </row>
    <row r="41913" ht="14.25" customHeight="1" s="192">
      <c r="W41913" s="228" t="n"/>
      <c r="X41913" s="228" t="n"/>
    </row>
    <row r="41914" ht="14.25" customHeight="1" s="192">
      <c r="W41914" s="228" t="n"/>
      <c r="X41914" s="228" t="n"/>
    </row>
    <row r="41915" ht="14.25" customHeight="1" s="192">
      <c r="W41915" s="231" t="n"/>
      <c r="X41915" s="231" t="n"/>
    </row>
    <row r="41916" ht="14.25" customHeight="1" s="192">
      <c r="W41916" s="33" t="n"/>
      <c r="X41916" s="33" t="n"/>
    </row>
    <row r="41917" ht="14.25" customHeight="1" s="192">
      <c r="W41917" s="231" t="n"/>
      <c r="X41917" s="231" t="n"/>
    </row>
    <row r="41918" ht="14.25" customHeight="1" s="192">
      <c r="W41918" s="33" t="n"/>
      <c r="X41918" s="33" t="n"/>
    </row>
    <row r="41920" ht="14.25" customHeight="1" s="192">
      <c r="W41920" s="231" t="n"/>
      <c r="X41920" s="231" t="n"/>
    </row>
    <row r="41921" ht="14.25" customHeight="1" s="192">
      <c r="W41921" s="235" t="n"/>
      <c r="X41921" s="235" t="n"/>
    </row>
    <row r="41922" ht="14.25" customHeight="1" s="192">
      <c r="W41922" s="228" t="n"/>
      <c r="X41922" s="228" t="n"/>
    </row>
    <row r="41923" ht="14.25" customHeight="1" s="192">
      <c r="W41923" s="235" t="n"/>
      <c r="X41923" s="235" t="n"/>
    </row>
    <row r="41924" ht="14.25" customHeight="1" s="192">
      <c r="W41924" s="235" t="n"/>
      <c r="X41924" s="235" t="n"/>
    </row>
    <row r="41925" ht="14.25" customHeight="1" s="192">
      <c r="W41925" s="235" t="n"/>
      <c r="X41925" s="235" t="n"/>
    </row>
    <row r="41926" ht="14.25" customHeight="1" s="192">
      <c r="W41926" s="239" t="n"/>
      <c r="X41926" s="239" t="n"/>
    </row>
    <row r="41927" ht="14.25" customHeight="1" s="192">
      <c r="W41927" s="239" t="n"/>
      <c r="X41927" s="239" t="n"/>
    </row>
    <row r="41928" ht="14.25" customHeight="1" s="192">
      <c r="W41928" s="239" t="n"/>
      <c r="X41928" s="239" t="n"/>
    </row>
    <row r="41929" ht="14.25" customHeight="1" s="192">
      <c r="W41929" s="235" t="n"/>
      <c r="X41929" s="235" t="n"/>
    </row>
    <row r="41930" ht="14.25" customHeight="1" s="192">
      <c r="W41930" s="235" t="n"/>
      <c r="X41930" s="235" t="n"/>
    </row>
    <row r="41931" ht="14.25" customHeight="1" s="192">
      <c r="W41931" s="235" t="n"/>
      <c r="X41931" s="235" t="n"/>
    </row>
    <row r="41932" ht="14.25" customHeight="1" s="192">
      <c r="W41932" s="239" t="n"/>
      <c r="X41932" s="239" t="n"/>
    </row>
    <row r="41933" ht="14.25" customHeight="1" s="192">
      <c r="W41933" s="239" t="n"/>
      <c r="X41933" s="239" t="n"/>
    </row>
    <row r="41934" ht="14.25" customHeight="1" s="192">
      <c r="W41934" s="235" t="n"/>
      <c r="X41934" s="235" t="n"/>
    </row>
    <row r="41935" ht="14.25" customHeight="1" s="192">
      <c r="W41935" s="235" t="n"/>
      <c r="X41935" s="235" t="n"/>
    </row>
    <row r="41936" ht="14.25" customHeight="1" s="192">
      <c r="W41936" s="239" t="n"/>
      <c r="X41936" s="239" t="n"/>
    </row>
    <row r="41937" ht="14.25" customHeight="1" s="192">
      <c r="W41937" s="235" t="n"/>
      <c r="X41937" s="235" t="n"/>
    </row>
    <row r="41938" ht="14.25" customHeight="1" s="192">
      <c r="W41938" s="239" t="n"/>
      <c r="X41938" s="239" t="n"/>
    </row>
    <row r="41940" ht="14.25" customHeight="1" s="192">
      <c r="W41940" s="235" t="n"/>
      <c r="X41940" s="235" t="n"/>
    </row>
    <row r="41941" ht="15" customHeight="1" s="192" thickBot="1">
      <c r="W41941" s="239" t="n"/>
      <c r="X41941" s="239" t="n"/>
    </row>
    <row r="41942" ht="15" customHeight="1" s="192" thickBot="1">
      <c r="W41942" s="45" t="n"/>
      <c r="X41942" s="45" t="n"/>
    </row>
    <row r="41943" ht="14.25" customHeight="1" s="192">
      <c r="W41943" s="228" t="n"/>
      <c r="X41943" s="228" t="n"/>
    </row>
    <row r="41944" ht="14.25" customHeight="1" s="192">
      <c r="W41944" s="228" t="n"/>
      <c r="X41944" s="228" t="n"/>
    </row>
    <row r="41945" ht="14.25" customHeight="1" s="192">
      <c r="W41945" s="231" t="n"/>
      <c r="X41945" s="231" t="n"/>
    </row>
    <row r="41946" ht="14.25" customHeight="1" s="192">
      <c r="W41946" s="33" t="n"/>
      <c r="X41946" s="33" t="n"/>
    </row>
    <row r="41947" ht="14.25" customHeight="1" s="192">
      <c r="W41947" s="231" t="n"/>
      <c r="X41947" s="231" t="n"/>
    </row>
    <row r="41948" ht="14.25" customHeight="1" s="192">
      <c r="W41948" s="33" t="n"/>
      <c r="X41948" s="33" t="n"/>
    </row>
    <row r="41950" ht="14.25" customHeight="1" s="192">
      <c r="W41950" s="231" t="n"/>
      <c r="X41950" s="231" t="n"/>
    </row>
    <row r="41951" ht="14.25" customHeight="1" s="192">
      <c r="W41951" s="235" t="n"/>
      <c r="X41951" s="235" t="n"/>
    </row>
    <row r="41952" ht="14.25" customHeight="1" s="192">
      <c r="W41952" s="228" t="n"/>
      <c r="X41952" s="228" t="n"/>
    </row>
    <row r="41953" ht="14.25" customHeight="1" s="192">
      <c r="W41953" s="235" t="n"/>
      <c r="X41953" s="235" t="n"/>
    </row>
    <row r="41954" ht="14.25" customHeight="1" s="192">
      <c r="W41954" s="235" t="n"/>
      <c r="X41954" s="235" t="n"/>
    </row>
    <row r="41955" ht="14.25" customHeight="1" s="192">
      <c r="W41955" s="235" t="n"/>
      <c r="X41955" s="235" t="n"/>
    </row>
    <row r="41956" ht="14.25" customHeight="1" s="192">
      <c r="W41956" s="239" t="n"/>
      <c r="X41956" s="239" t="n"/>
    </row>
    <row r="41957" ht="14.25" customHeight="1" s="192">
      <c r="W41957" s="239" t="n"/>
      <c r="X41957" s="239" t="n"/>
    </row>
    <row r="41958" ht="14.25" customHeight="1" s="192">
      <c r="W41958" s="239" t="n"/>
      <c r="X41958" s="239" t="n"/>
    </row>
    <row r="41959" ht="14.25" customHeight="1" s="192">
      <c r="W41959" s="235" t="n"/>
      <c r="X41959" s="235" t="n"/>
    </row>
    <row r="41960" ht="14.25" customHeight="1" s="192">
      <c r="W41960" s="235" t="n"/>
      <c r="X41960" s="235" t="n"/>
    </row>
    <row r="41961" ht="14.25" customHeight="1" s="192">
      <c r="W41961" s="235" t="n"/>
      <c r="X41961" s="235" t="n"/>
    </row>
    <row r="41962" ht="14.25" customHeight="1" s="192">
      <c r="W41962" s="239" t="n"/>
      <c r="X41962" s="239" t="n"/>
    </row>
    <row r="41963" ht="14.25" customHeight="1" s="192">
      <c r="W41963" s="239" t="n"/>
      <c r="X41963" s="239" t="n"/>
    </row>
    <row r="41964" ht="14.25" customHeight="1" s="192">
      <c r="W41964" s="235" t="n"/>
      <c r="X41964" s="235" t="n"/>
    </row>
    <row r="41965" ht="14.25" customHeight="1" s="192">
      <c r="W41965" s="235" t="n"/>
      <c r="X41965" s="235" t="n"/>
    </row>
    <row r="41966" ht="14.25" customHeight="1" s="192">
      <c r="W41966" s="239" t="n"/>
      <c r="X41966" s="239" t="n"/>
    </row>
    <row r="41967" ht="14.25" customHeight="1" s="192">
      <c r="W41967" s="235" t="n"/>
      <c r="X41967" s="235" t="n"/>
    </row>
    <row r="41968" ht="14.25" customHeight="1" s="192">
      <c r="W41968" s="239" t="n"/>
      <c r="X41968" s="239" t="n"/>
    </row>
    <row r="41970" ht="14.25" customHeight="1" s="192">
      <c r="W41970" s="235" t="n"/>
      <c r="X41970" s="235" t="n"/>
    </row>
    <row r="41971" ht="15" customHeight="1" s="192" thickBot="1">
      <c r="W41971" s="239" t="n"/>
      <c r="X41971" s="239" t="n"/>
    </row>
    <row r="41972" ht="15" customHeight="1" s="192" thickBot="1">
      <c r="W41972" s="45" t="n"/>
      <c r="X41972" s="45" t="n"/>
    </row>
    <row r="41973" ht="14.25" customHeight="1" s="192">
      <c r="W41973" s="228" t="n"/>
      <c r="X41973" s="228" t="n"/>
    </row>
    <row r="41974" ht="14.25" customHeight="1" s="192">
      <c r="W41974" s="228" t="n"/>
      <c r="X41974" s="228" t="n"/>
    </row>
    <row r="41975" ht="14.25" customHeight="1" s="192">
      <c r="W41975" s="231" t="n"/>
      <c r="X41975" s="231" t="n"/>
    </row>
    <row r="41976" ht="14.25" customHeight="1" s="192">
      <c r="W41976" s="33" t="n"/>
      <c r="X41976" s="33" t="n"/>
    </row>
    <row r="41977" ht="14.25" customHeight="1" s="192">
      <c r="W41977" s="231" t="n"/>
      <c r="X41977" s="231" t="n"/>
    </row>
    <row r="41978" ht="14.25" customHeight="1" s="192">
      <c r="W41978" s="33" t="n"/>
      <c r="X41978" s="33" t="n"/>
    </row>
    <row r="41980" ht="14.25" customHeight="1" s="192">
      <c r="W41980" s="231" t="n"/>
      <c r="X41980" s="231" t="n"/>
    </row>
    <row r="41981" ht="14.25" customHeight="1" s="192">
      <c r="W41981" s="235" t="n"/>
      <c r="X41981" s="235" t="n"/>
    </row>
    <row r="41982" ht="14.25" customHeight="1" s="192">
      <c r="W41982" s="228" t="n"/>
      <c r="X41982" s="228" t="n"/>
    </row>
    <row r="41983" ht="14.25" customHeight="1" s="192">
      <c r="W41983" s="235" t="n"/>
      <c r="X41983" s="235" t="n"/>
    </row>
    <row r="41984" ht="14.25" customHeight="1" s="192">
      <c r="W41984" s="235" t="n"/>
      <c r="X41984" s="235" t="n"/>
    </row>
    <row r="41985" ht="14.25" customHeight="1" s="192">
      <c r="W41985" s="235" t="n"/>
      <c r="X41985" s="235" t="n"/>
    </row>
    <row r="41986" ht="14.25" customHeight="1" s="192">
      <c r="W41986" s="239" t="n"/>
      <c r="X41986" s="239" t="n"/>
    </row>
    <row r="41987" ht="14.25" customHeight="1" s="192">
      <c r="W41987" s="239" t="n"/>
      <c r="X41987" s="239" t="n"/>
    </row>
    <row r="41988" ht="14.25" customHeight="1" s="192">
      <c r="W41988" s="239" t="n"/>
      <c r="X41988" s="239" t="n"/>
    </row>
    <row r="41989" ht="14.25" customHeight="1" s="192">
      <c r="W41989" s="235" t="n"/>
      <c r="X41989" s="235" t="n"/>
    </row>
    <row r="41990" ht="14.25" customHeight="1" s="192">
      <c r="W41990" s="235" t="n"/>
      <c r="X41990" s="235" t="n"/>
    </row>
    <row r="41991" ht="14.25" customHeight="1" s="192">
      <c r="W41991" s="235" t="n"/>
      <c r="X41991" s="235" t="n"/>
    </row>
    <row r="41992" ht="14.25" customHeight="1" s="192">
      <c r="W41992" s="239" t="n"/>
      <c r="X41992" s="239" t="n"/>
    </row>
    <row r="41993" ht="14.25" customHeight="1" s="192">
      <c r="W41993" s="239" t="n"/>
      <c r="X41993" s="239" t="n"/>
    </row>
    <row r="41994" ht="14.25" customHeight="1" s="192">
      <c r="W41994" s="235" t="n"/>
      <c r="X41994" s="235" t="n"/>
    </row>
    <row r="41995" ht="14.25" customHeight="1" s="192">
      <c r="W41995" s="235" t="n"/>
      <c r="X41995" s="235" t="n"/>
    </row>
    <row r="41996" ht="14.25" customHeight="1" s="192">
      <c r="W41996" s="239" t="n"/>
      <c r="X41996" s="239" t="n"/>
    </row>
    <row r="41997" ht="14.25" customHeight="1" s="192">
      <c r="W41997" s="235" t="n"/>
      <c r="X41997" s="235" t="n"/>
    </row>
    <row r="41998" ht="14.25" customHeight="1" s="192">
      <c r="W41998" s="239" t="n"/>
      <c r="X41998" s="239" t="n"/>
    </row>
    <row r="42000" ht="14.25" customHeight="1" s="192">
      <c r="W42000" s="235" t="n"/>
      <c r="X42000" s="235" t="n"/>
    </row>
    <row r="42001" ht="15" customHeight="1" s="192" thickBot="1">
      <c r="W42001" s="239" t="n"/>
      <c r="X42001" s="239" t="n"/>
    </row>
    <row r="42002" ht="15" customHeight="1" s="192" thickBot="1">
      <c r="W42002" s="45" t="n"/>
      <c r="X42002" s="45" t="n"/>
    </row>
    <row r="42003" ht="14.25" customHeight="1" s="192">
      <c r="W42003" s="228" t="n"/>
      <c r="X42003" s="228" t="n"/>
    </row>
    <row r="42004" ht="14.25" customHeight="1" s="192">
      <c r="W42004" s="228" t="n"/>
      <c r="X42004" s="228" t="n"/>
    </row>
    <row r="42005" ht="14.25" customHeight="1" s="192">
      <c r="W42005" s="231" t="n"/>
      <c r="X42005" s="231" t="n"/>
    </row>
    <row r="42006" ht="14.25" customHeight="1" s="192">
      <c r="W42006" s="33" t="n"/>
      <c r="X42006" s="33" t="n"/>
    </row>
    <row r="42007" ht="14.25" customHeight="1" s="192">
      <c r="W42007" s="231" t="n"/>
      <c r="X42007" s="231" t="n"/>
    </row>
    <row r="42008" ht="14.25" customHeight="1" s="192">
      <c r="W42008" s="33" t="n"/>
      <c r="X42008" s="33" t="n"/>
    </row>
    <row r="42010" ht="14.25" customHeight="1" s="192">
      <c r="W42010" s="231" t="n"/>
      <c r="X42010" s="231" t="n"/>
    </row>
    <row r="42011" ht="14.25" customHeight="1" s="192">
      <c r="W42011" s="235" t="n"/>
      <c r="X42011" s="235" t="n"/>
    </row>
    <row r="42012" ht="14.25" customHeight="1" s="192">
      <c r="W42012" s="228" t="n"/>
      <c r="X42012" s="228" t="n"/>
    </row>
    <row r="42013" ht="14.25" customHeight="1" s="192">
      <c r="W42013" s="235" t="n"/>
      <c r="X42013" s="235" t="n"/>
    </row>
    <row r="42014" ht="14.25" customHeight="1" s="192">
      <c r="W42014" s="235" t="n"/>
      <c r="X42014" s="235" t="n"/>
    </row>
    <row r="42015" ht="14.25" customHeight="1" s="192">
      <c r="W42015" s="235" t="n"/>
      <c r="X42015" s="235" t="n"/>
    </row>
    <row r="42016" ht="14.25" customHeight="1" s="192">
      <c r="W42016" s="239" t="n"/>
      <c r="X42016" s="239" t="n"/>
    </row>
    <row r="42017" ht="14.25" customHeight="1" s="192">
      <c r="W42017" s="239" t="n"/>
      <c r="X42017" s="239" t="n"/>
    </row>
    <row r="42018" ht="14.25" customHeight="1" s="192">
      <c r="W42018" s="239" t="n"/>
      <c r="X42018" s="239" t="n"/>
    </row>
    <row r="42019" ht="14.25" customHeight="1" s="192">
      <c r="W42019" s="235" t="n"/>
      <c r="X42019" s="235" t="n"/>
    </row>
    <row r="42020" ht="14.25" customHeight="1" s="192">
      <c r="W42020" s="235" t="n"/>
      <c r="X42020" s="235" t="n"/>
    </row>
    <row r="42021" ht="14.25" customHeight="1" s="192">
      <c r="W42021" s="235" t="n"/>
      <c r="X42021" s="235" t="n"/>
    </row>
    <row r="42022" ht="14.25" customHeight="1" s="192">
      <c r="W42022" s="239" t="n"/>
      <c r="X42022" s="239" t="n"/>
    </row>
    <row r="42023" ht="14.25" customHeight="1" s="192">
      <c r="W42023" s="239" t="n"/>
      <c r="X42023" s="239" t="n"/>
    </row>
    <row r="42024" ht="14.25" customHeight="1" s="192">
      <c r="W42024" s="235" t="n"/>
      <c r="X42024" s="235" t="n"/>
    </row>
    <row r="42025" ht="14.25" customHeight="1" s="192">
      <c r="W42025" s="235" t="n"/>
      <c r="X42025" s="235" t="n"/>
    </row>
    <row r="42026" ht="14.25" customHeight="1" s="192">
      <c r="W42026" s="239" t="n"/>
      <c r="X42026" s="239" t="n"/>
    </row>
    <row r="42027" ht="14.25" customHeight="1" s="192">
      <c r="W42027" s="235" t="n"/>
      <c r="X42027" s="235" t="n"/>
    </row>
    <row r="42028" ht="14.25" customHeight="1" s="192">
      <c r="W42028" s="239" t="n"/>
      <c r="X42028" s="239" t="n"/>
    </row>
    <row r="42030" ht="14.25" customHeight="1" s="192">
      <c r="W42030" s="235" t="n"/>
      <c r="X42030" s="235" t="n"/>
    </row>
    <row r="42031" ht="15" customHeight="1" s="192" thickBot="1">
      <c r="W42031" s="239" t="n"/>
      <c r="X42031" s="239" t="n"/>
    </row>
    <row r="42032" ht="15" customHeight="1" s="192" thickBot="1">
      <c r="W42032" s="45" t="n"/>
      <c r="X42032" s="45" t="n"/>
    </row>
    <row r="42033" ht="14.25" customHeight="1" s="192">
      <c r="W42033" s="228" t="n"/>
      <c r="X42033" s="228" t="n"/>
    </row>
    <row r="42034" ht="14.25" customHeight="1" s="192">
      <c r="W42034" s="228" t="n"/>
      <c r="X42034" s="228" t="n"/>
    </row>
    <row r="42035" ht="14.25" customHeight="1" s="192">
      <c r="W42035" s="231" t="n"/>
      <c r="X42035" s="231" t="n"/>
    </row>
    <row r="42036" ht="14.25" customHeight="1" s="192">
      <c r="W42036" s="33" t="n"/>
      <c r="X42036" s="33" t="n"/>
    </row>
    <row r="42037" ht="14.25" customHeight="1" s="192">
      <c r="W42037" s="231" t="n"/>
      <c r="X42037" s="231" t="n"/>
    </row>
    <row r="42038" ht="14.25" customHeight="1" s="192">
      <c r="W42038" s="33" t="n"/>
      <c r="X42038" s="33" t="n"/>
    </row>
    <row r="42040" ht="14.25" customHeight="1" s="192">
      <c r="W42040" s="231" t="n"/>
      <c r="X42040" s="231" t="n"/>
    </row>
    <row r="42041" ht="14.25" customHeight="1" s="192">
      <c r="W42041" s="235" t="n"/>
      <c r="X42041" s="235" t="n"/>
    </row>
    <row r="42042" ht="14.25" customHeight="1" s="192">
      <c r="W42042" s="228" t="n"/>
      <c r="X42042" s="228" t="n"/>
    </row>
    <row r="42043" ht="14.25" customHeight="1" s="192">
      <c r="W42043" s="235" t="n"/>
      <c r="X42043" s="235" t="n"/>
    </row>
    <row r="42044" ht="14.25" customHeight="1" s="192">
      <c r="W42044" s="235" t="n"/>
      <c r="X42044" s="235" t="n"/>
    </row>
    <row r="42045" ht="14.25" customHeight="1" s="192">
      <c r="W42045" s="235" t="n"/>
      <c r="X42045" s="235" t="n"/>
    </row>
    <row r="42046" ht="14.25" customHeight="1" s="192">
      <c r="W42046" s="239" t="n"/>
      <c r="X42046" s="239" t="n"/>
    </row>
    <row r="42047" ht="14.25" customHeight="1" s="192">
      <c r="W42047" s="239" t="n"/>
      <c r="X42047" s="239" t="n"/>
    </row>
    <row r="42048" ht="14.25" customHeight="1" s="192">
      <c r="W42048" s="239" t="n"/>
      <c r="X42048" s="239" t="n"/>
    </row>
    <row r="42049" ht="14.25" customHeight="1" s="192">
      <c r="W42049" s="235" t="n"/>
      <c r="X42049" s="235" t="n"/>
    </row>
    <row r="42050" ht="14.25" customHeight="1" s="192">
      <c r="W42050" s="235" t="n"/>
      <c r="X42050" s="235" t="n"/>
    </row>
    <row r="42051" ht="14.25" customHeight="1" s="192">
      <c r="W42051" s="235" t="n"/>
      <c r="X42051" s="235" t="n"/>
    </row>
    <row r="42052" ht="14.25" customHeight="1" s="192">
      <c r="W42052" s="239" t="n"/>
      <c r="X42052" s="239" t="n"/>
    </row>
    <row r="42053" ht="14.25" customHeight="1" s="192">
      <c r="W42053" s="239" t="n"/>
      <c r="X42053" s="239" t="n"/>
    </row>
    <row r="42054" ht="14.25" customHeight="1" s="192">
      <c r="W42054" s="235" t="n"/>
      <c r="X42054" s="235" t="n"/>
    </row>
    <row r="42055" ht="14.25" customHeight="1" s="192">
      <c r="W42055" s="235" t="n"/>
      <c r="X42055" s="235" t="n"/>
    </row>
    <row r="42056" ht="14.25" customHeight="1" s="192">
      <c r="W42056" s="239" t="n"/>
      <c r="X42056" s="239" t="n"/>
    </row>
    <row r="42057" ht="14.25" customHeight="1" s="192">
      <c r="W42057" s="235" t="n"/>
      <c r="X42057" s="235" t="n"/>
    </row>
    <row r="42058" ht="14.25" customHeight="1" s="192">
      <c r="W42058" s="239" t="n"/>
      <c r="X42058" s="239" t="n"/>
    </row>
    <row r="42060" ht="14.25" customHeight="1" s="192">
      <c r="W42060" s="235" t="n"/>
      <c r="X42060" s="235" t="n"/>
    </row>
    <row r="42061" ht="15" customHeight="1" s="192" thickBot="1">
      <c r="W42061" s="239" t="n"/>
      <c r="X42061" s="239" t="n"/>
    </row>
    <row r="42062" ht="15" customHeight="1" s="192" thickBot="1">
      <c r="W42062" s="45" t="n"/>
      <c r="X42062" s="45" t="n"/>
    </row>
    <row r="42063" ht="14.25" customHeight="1" s="192">
      <c r="W42063" s="228" t="n"/>
      <c r="X42063" s="228" t="n"/>
    </row>
    <row r="42064" ht="14.25" customHeight="1" s="192">
      <c r="W42064" s="228" t="n"/>
      <c r="X42064" s="228" t="n"/>
    </row>
    <row r="42065" ht="14.25" customHeight="1" s="192">
      <c r="W42065" s="231" t="n"/>
      <c r="X42065" s="231" t="n"/>
    </row>
    <row r="42066" ht="14.25" customHeight="1" s="192">
      <c r="W42066" s="33" t="n"/>
      <c r="X42066" s="33" t="n"/>
    </row>
    <row r="42067" ht="14.25" customHeight="1" s="192">
      <c r="W42067" s="231" t="n"/>
      <c r="X42067" s="231" t="n"/>
    </row>
    <row r="42068" ht="14.25" customHeight="1" s="192">
      <c r="W42068" s="33" t="n"/>
      <c r="X42068" s="33" t="n"/>
    </row>
    <row r="42070" ht="14.25" customHeight="1" s="192">
      <c r="W42070" s="231" t="n"/>
      <c r="X42070" s="231" t="n"/>
    </row>
    <row r="42071" ht="14.25" customHeight="1" s="192">
      <c r="W42071" s="235" t="n"/>
      <c r="X42071" s="235" t="n"/>
    </row>
    <row r="42072" ht="14.25" customHeight="1" s="192">
      <c r="W42072" s="228" t="n"/>
      <c r="X42072" s="228" t="n"/>
    </row>
    <row r="42073" ht="14.25" customHeight="1" s="192">
      <c r="W42073" s="235" t="n"/>
      <c r="X42073" s="235" t="n"/>
    </row>
    <row r="42074" ht="14.25" customHeight="1" s="192">
      <c r="W42074" s="235" t="n"/>
      <c r="X42074" s="235" t="n"/>
    </row>
    <row r="42075" ht="14.25" customHeight="1" s="192">
      <c r="W42075" s="235" t="n"/>
      <c r="X42075" s="235" t="n"/>
    </row>
    <row r="42076" ht="14.25" customHeight="1" s="192">
      <c r="W42076" s="239" t="n"/>
      <c r="X42076" s="239" t="n"/>
    </row>
    <row r="42077" ht="14.25" customHeight="1" s="192">
      <c r="W42077" s="239" t="n"/>
      <c r="X42077" s="239" t="n"/>
    </row>
    <row r="42078" ht="14.25" customHeight="1" s="192">
      <c r="W42078" s="239" t="n"/>
      <c r="X42078" s="239" t="n"/>
    </row>
    <row r="42079" ht="14.25" customHeight="1" s="192">
      <c r="W42079" s="235" t="n"/>
      <c r="X42079" s="235" t="n"/>
    </row>
    <row r="42080" ht="14.25" customHeight="1" s="192">
      <c r="W42080" s="235" t="n"/>
      <c r="X42080" s="235" t="n"/>
    </row>
    <row r="42081" ht="14.25" customHeight="1" s="192">
      <c r="W42081" s="235" t="n"/>
      <c r="X42081" s="235" t="n"/>
    </row>
    <row r="42082" ht="14.25" customHeight="1" s="192">
      <c r="W42082" s="239" t="n"/>
      <c r="X42082" s="239" t="n"/>
    </row>
    <row r="42083" ht="14.25" customHeight="1" s="192">
      <c r="W42083" s="239" t="n"/>
      <c r="X42083" s="239" t="n"/>
    </row>
    <row r="42084" ht="14.25" customHeight="1" s="192">
      <c r="W42084" s="235" t="n"/>
      <c r="X42084" s="235" t="n"/>
    </row>
    <row r="42085" ht="14.25" customHeight="1" s="192">
      <c r="W42085" s="235" t="n"/>
      <c r="X42085" s="235" t="n"/>
    </row>
    <row r="42086" ht="14.25" customHeight="1" s="192">
      <c r="W42086" s="239" t="n"/>
      <c r="X42086" s="239" t="n"/>
    </row>
    <row r="42087" ht="14.25" customHeight="1" s="192">
      <c r="W42087" s="235" t="n"/>
      <c r="X42087" s="235" t="n"/>
    </row>
    <row r="42088" ht="14.25" customHeight="1" s="192">
      <c r="W42088" s="239" t="n"/>
      <c r="X42088" s="239" t="n"/>
    </row>
    <row r="42090" ht="14.25" customHeight="1" s="192">
      <c r="W42090" s="235" t="n"/>
      <c r="X42090" s="235" t="n"/>
    </row>
    <row r="42091" ht="15" customHeight="1" s="192" thickBot="1">
      <c r="W42091" s="239" t="n"/>
      <c r="X42091" s="239" t="n"/>
    </row>
    <row r="42092" ht="15" customHeight="1" s="192" thickBot="1">
      <c r="W42092" s="45" t="n"/>
      <c r="X42092" s="45" t="n"/>
    </row>
    <row r="42093" ht="14.25" customHeight="1" s="192">
      <c r="W42093" s="228" t="n"/>
      <c r="X42093" s="228" t="n"/>
    </row>
    <row r="42094" ht="14.25" customHeight="1" s="192">
      <c r="W42094" s="228" t="n"/>
      <c r="X42094" s="228" t="n"/>
    </row>
    <row r="42095" ht="14.25" customHeight="1" s="192">
      <c r="W42095" s="231" t="n"/>
      <c r="X42095" s="231" t="n"/>
    </row>
    <row r="42096" ht="14.25" customHeight="1" s="192">
      <c r="W42096" s="33" t="n"/>
      <c r="X42096" s="33" t="n"/>
    </row>
    <row r="42097" ht="14.25" customHeight="1" s="192">
      <c r="W42097" s="231" t="n"/>
      <c r="X42097" s="231" t="n"/>
    </row>
    <row r="42098" ht="14.25" customHeight="1" s="192">
      <c r="W42098" s="33" t="n"/>
      <c r="X42098" s="33" t="n"/>
    </row>
    <row r="42100" ht="14.25" customHeight="1" s="192">
      <c r="W42100" s="231" t="n"/>
      <c r="X42100" s="231" t="n"/>
    </row>
    <row r="42101" ht="14.25" customHeight="1" s="192">
      <c r="W42101" s="235" t="n"/>
      <c r="X42101" s="235" t="n"/>
    </row>
    <row r="42102" ht="14.25" customHeight="1" s="192">
      <c r="W42102" s="228" t="n"/>
      <c r="X42102" s="228" t="n"/>
    </row>
    <row r="42103" ht="14.25" customHeight="1" s="192">
      <c r="W42103" s="235" t="n"/>
      <c r="X42103" s="235" t="n"/>
    </row>
    <row r="42104" ht="14.25" customHeight="1" s="192">
      <c r="W42104" s="235" t="n"/>
      <c r="X42104" s="235" t="n"/>
    </row>
    <row r="42105" ht="14.25" customHeight="1" s="192">
      <c r="W42105" s="235" t="n"/>
      <c r="X42105" s="235" t="n"/>
    </row>
    <row r="42106" ht="14.25" customHeight="1" s="192">
      <c r="W42106" s="239" t="n"/>
      <c r="X42106" s="239" t="n"/>
    </row>
    <row r="42107" ht="14.25" customHeight="1" s="192">
      <c r="W42107" s="239" t="n"/>
      <c r="X42107" s="239" t="n"/>
    </row>
    <row r="42108" ht="14.25" customHeight="1" s="192">
      <c r="W42108" s="239" t="n"/>
      <c r="X42108" s="239" t="n"/>
    </row>
    <row r="42109" ht="14.25" customHeight="1" s="192">
      <c r="W42109" s="235" t="n"/>
      <c r="X42109" s="235" t="n"/>
    </row>
    <row r="42110" ht="14.25" customHeight="1" s="192">
      <c r="W42110" s="235" t="n"/>
      <c r="X42110" s="235" t="n"/>
    </row>
    <row r="42111" ht="14.25" customHeight="1" s="192">
      <c r="W42111" s="235" t="n"/>
      <c r="X42111" s="235" t="n"/>
    </row>
    <row r="42112" ht="14.25" customHeight="1" s="192">
      <c r="W42112" s="239" t="n"/>
      <c r="X42112" s="239" t="n"/>
    </row>
    <row r="42113" ht="14.25" customHeight="1" s="192">
      <c r="W42113" s="239" t="n"/>
      <c r="X42113" s="239" t="n"/>
    </row>
    <row r="42114" ht="14.25" customHeight="1" s="192">
      <c r="W42114" s="235" t="n"/>
      <c r="X42114" s="235" t="n"/>
    </row>
    <row r="42115" ht="14.25" customHeight="1" s="192">
      <c r="W42115" s="235" t="n"/>
      <c r="X42115" s="235" t="n"/>
    </row>
    <row r="42116" ht="14.25" customHeight="1" s="192">
      <c r="W42116" s="239" t="n"/>
      <c r="X42116" s="239" t="n"/>
    </row>
    <row r="42117" ht="14.25" customHeight="1" s="192">
      <c r="W42117" s="235" t="n"/>
      <c r="X42117" s="235" t="n"/>
    </row>
    <row r="42118" ht="14.25" customHeight="1" s="192">
      <c r="W42118" s="239" t="n"/>
      <c r="X42118" s="239" t="n"/>
    </row>
    <row r="42120" ht="14.25" customHeight="1" s="192">
      <c r="W42120" s="235" t="n"/>
      <c r="X42120" s="235" t="n"/>
    </row>
    <row r="42121" ht="15" customHeight="1" s="192" thickBot="1">
      <c r="W42121" s="239" t="n"/>
      <c r="X42121" s="239" t="n"/>
    </row>
    <row r="42122" ht="15" customHeight="1" s="192" thickBot="1">
      <c r="W42122" s="45" t="n"/>
      <c r="X42122" s="45" t="n"/>
    </row>
    <row r="42123" ht="14.25" customHeight="1" s="192">
      <c r="W42123" s="228" t="n"/>
      <c r="X42123" s="228" t="n"/>
    </row>
    <row r="42124" ht="14.25" customHeight="1" s="192">
      <c r="W42124" s="228" t="n"/>
      <c r="X42124" s="228" t="n"/>
    </row>
    <row r="42125" ht="14.25" customHeight="1" s="192">
      <c r="W42125" s="231" t="n"/>
      <c r="X42125" s="231" t="n"/>
    </row>
    <row r="42126" ht="14.25" customHeight="1" s="192">
      <c r="W42126" s="33" t="n"/>
      <c r="X42126" s="33" t="n"/>
    </row>
    <row r="42127" ht="14.25" customHeight="1" s="192">
      <c r="W42127" s="231" t="n"/>
      <c r="X42127" s="231" t="n"/>
    </row>
    <row r="42128" ht="14.25" customHeight="1" s="192">
      <c r="W42128" s="33" t="n"/>
      <c r="X42128" s="33" t="n"/>
    </row>
    <row r="42130" ht="14.25" customHeight="1" s="192">
      <c r="W42130" s="231" t="n"/>
      <c r="X42130" s="231" t="n"/>
    </row>
    <row r="42131" ht="14.25" customHeight="1" s="192">
      <c r="W42131" s="235" t="n"/>
      <c r="X42131" s="235" t="n"/>
    </row>
    <row r="42132" ht="14.25" customHeight="1" s="192">
      <c r="W42132" s="228" t="n"/>
      <c r="X42132" s="228" t="n"/>
    </row>
    <row r="42133" ht="14.25" customHeight="1" s="192">
      <c r="W42133" s="235" t="n"/>
      <c r="X42133" s="235" t="n"/>
    </row>
    <row r="42134" ht="14.25" customHeight="1" s="192">
      <c r="W42134" s="235" t="n"/>
      <c r="X42134" s="235" t="n"/>
    </row>
    <row r="42135" ht="14.25" customHeight="1" s="192">
      <c r="W42135" s="235" t="n"/>
      <c r="X42135" s="235" t="n"/>
    </row>
    <row r="42136" ht="14.25" customHeight="1" s="192">
      <c r="W42136" s="239" t="n"/>
      <c r="X42136" s="239" t="n"/>
    </row>
    <row r="42137" ht="14.25" customHeight="1" s="192">
      <c r="W42137" s="239" t="n"/>
      <c r="X42137" s="239" t="n"/>
    </row>
    <row r="42138" ht="14.25" customHeight="1" s="192">
      <c r="W42138" s="239" t="n"/>
      <c r="X42138" s="239" t="n"/>
    </row>
    <row r="42139" ht="14.25" customHeight="1" s="192">
      <c r="W42139" s="235" t="n"/>
      <c r="X42139" s="235" t="n"/>
    </row>
    <row r="42140" ht="14.25" customHeight="1" s="192">
      <c r="W42140" s="235" t="n"/>
      <c r="X42140" s="235" t="n"/>
    </row>
    <row r="42141" ht="14.25" customHeight="1" s="192">
      <c r="W42141" s="235" t="n"/>
      <c r="X42141" s="235" t="n"/>
    </row>
    <row r="42142" ht="14.25" customHeight="1" s="192">
      <c r="W42142" s="239" t="n"/>
      <c r="X42142" s="239" t="n"/>
    </row>
    <row r="42143" ht="14.25" customHeight="1" s="192">
      <c r="W42143" s="239" t="n"/>
      <c r="X42143" s="239" t="n"/>
    </row>
    <row r="42144" ht="14.25" customHeight="1" s="192">
      <c r="W42144" s="235" t="n"/>
      <c r="X42144" s="235" t="n"/>
    </row>
    <row r="42145" ht="14.25" customHeight="1" s="192">
      <c r="W42145" s="235" t="n"/>
      <c r="X42145" s="235" t="n"/>
    </row>
    <row r="42146" ht="14.25" customHeight="1" s="192">
      <c r="W42146" s="239" t="n"/>
      <c r="X42146" s="239" t="n"/>
    </row>
    <row r="42147" ht="14.25" customHeight="1" s="192">
      <c r="W42147" s="235" t="n"/>
      <c r="X42147" s="235" t="n"/>
    </row>
    <row r="42148" ht="14.25" customHeight="1" s="192">
      <c r="W42148" s="239" t="n"/>
      <c r="X42148" s="239" t="n"/>
    </row>
    <row r="42150" ht="14.25" customHeight="1" s="192">
      <c r="W42150" s="235" t="n"/>
      <c r="X42150" s="235" t="n"/>
    </row>
    <row r="42151" ht="15" customHeight="1" s="192" thickBot="1">
      <c r="W42151" s="239" t="n"/>
      <c r="X42151" s="239" t="n"/>
    </row>
    <row r="42152" ht="15" customHeight="1" s="192" thickBot="1">
      <c r="W42152" s="45" t="n"/>
      <c r="X42152" s="45" t="n"/>
    </row>
    <row r="42153" ht="14.25" customHeight="1" s="192">
      <c r="W42153" s="228" t="n"/>
      <c r="X42153" s="228" t="n"/>
    </row>
    <row r="42154" ht="14.25" customHeight="1" s="192">
      <c r="W42154" s="228" t="n"/>
      <c r="X42154" s="228" t="n"/>
    </row>
    <row r="42155" ht="14.25" customHeight="1" s="192">
      <c r="W42155" s="231" t="n"/>
      <c r="X42155" s="231" t="n"/>
    </row>
    <row r="42156" ht="14.25" customHeight="1" s="192">
      <c r="W42156" s="33" t="n"/>
      <c r="X42156" s="33" t="n"/>
    </row>
    <row r="42157" ht="14.25" customHeight="1" s="192">
      <c r="W42157" s="231" t="n"/>
      <c r="X42157" s="231" t="n"/>
    </row>
    <row r="42158" ht="14.25" customHeight="1" s="192">
      <c r="W42158" s="33" t="n"/>
      <c r="X42158" s="33" t="n"/>
    </row>
    <row r="42160" ht="14.25" customHeight="1" s="192">
      <c r="W42160" s="231" t="n"/>
      <c r="X42160" s="231" t="n"/>
    </row>
    <row r="42161" ht="14.25" customHeight="1" s="192">
      <c r="W42161" s="235" t="n"/>
      <c r="X42161" s="235" t="n"/>
    </row>
    <row r="42162" ht="14.25" customHeight="1" s="192">
      <c r="W42162" s="228" t="n"/>
      <c r="X42162" s="228" t="n"/>
    </row>
    <row r="42163" ht="14.25" customHeight="1" s="192">
      <c r="W42163" s="235" t="n"/>
      <c r="X42163" s="235" t="n"/>
    </row>
    <row r="42164" ht="14.25" customHeight="1" s="192">
      <c r="W42164" s="235" t="n"/>
      <c r="X42164" s="235" t="n"/>
    </row>
    <row r="42165" ht="14.25" customHeight="1" s="192">
      <c r="W42165" s="235" t="n"/>
      <c r="X42165" s="235" t="n"/>
    </row>
    <row r="42166" ht="14.25" customHeight="1" s="192">
      <c r="W42166" s="239" t="n"/>
      <c r="X42166" s="239" t="n"/>
    </row>
    <row r="42167" ht="14.25" customHeight="1" s="192">
      <c r="W42167" s="239" t="n"/>
      <c r="X42167" s="239" t="n"/>
    </row>
    <row r="42168" ht="14.25" customHeight="1" s="192">
      <c r="W42168" s="239" t="n"/>
      <c r="X42168" s="239" t="n"/>
    </row>
    <row r="42169" ht="14.25" customHeight="1" s="192">
      <c r="W42169" s="235" t="n"/>
      <c r="X42169" s="235" t="n"/>
    </row>
    <row r="42170" ht="14.25" customHeight="1" s="192">
      <c r="W42170" s="235" t="n"/>
      <c r="X42170" s="235" t="n"/>
    </row>
    <row r="42171" ht="14.25" customHeight="1" s="192">
      <c r="W42171" s="235" t="n"/>
      <c r="X42171" s="235" t="n"/>
    </row>
    <row r="42172" ht="14.25" customHeight="1" s="192">
      <c r="W42172" s="239" t="n"/>
      <c r="X42172" s="239" t="n"/>
    </row>
    <row r="42173" ht="14.25" customHeight="1" s="192">
      <c r="W42173" s="239" t="n"/>
      <c r="X42173" s="239" t="n"/>
    </row>
    <row r="42174" ht="14.25" customHeight="1" s="192">
      <c r="W42174" s="235" t="n"/>
      <c r="X42174" s="235" t="n"/>
    </row>
    <row r="42175" ht="14.25" customHeight="1" s="192">
      <c r="W42175" s="235" t="n"/>
      <c r="X42175" s="235" t="n"/>
    </row>
    <row r="42176" ht="14.25" customHeight="1" s="192">
      <c r="W42176" s="239" t="n"/>
      <c r="X42176" s="239" t="n"/>
    </row>
    <row r="42177" ht="14.25" customHeight="1" s="192">
      <c r="W42177" s="235" t="n"/>
      <c r="X42177" s="235" t="n"/>
    </row>
    <row r="42178" ht="14.25" customHeight="1" s="192">
      <c r="W42178" s="239" t="n"/>
      <c r="X42178" s="239" t="n"/>
    </row>
    <row r="42180" ht="14.25" customHeight="1" s="192">
      <c r="W42180" s="235" t="n"/>
      <c r="X42180" s="235" t="n"/>
    </row>
    <row r="42181" ht="15" customHeight="1" s="192" thickBot="1">
      <c r="W42181" s="239" t="n"/>
      <c r="X42181" s="239" t="n"/>
    </row>
    <row r="42182" ht="15" customHeight="1" s="192" thickBot="1">
      <c r="W42182" s="45" t="n"/>
      <c r="X42182" s="45" t="n"/>
    </row>
    <row r="42183" ht="14.25" customHeight="1" s="192">
      <c r="W42183" s="228" t="n"/>
      <c r="X42183" s="228" t="n"/>
    </row>
    <row r="42184" ht="14.25" customHeight="1" s="192">
      <c r="W42184" s="228" t="n"/>
      <c r="X42184" s="228" t="n"/>
    </row>
    <row r="42185" ht="14.25" customHeight="1" s="192">
      <c r="W42185" s="231" t="n"/>
      <c r="X42185" s="231" t="n"/>
    </row>
    <row r="42186" ht="14.25" customHeight="1" s="192">
      <c r="W42186" s="33" t="n"/>
      <c r="X42186" s="33" t="n"/>
    </row>
    <row r="42187" ht="14.25" customHeight="1" s="192">
      <c r="W42187" s="231" t="n"/>
      <c r="X42187" s="231" t="n"/>
    </row>
    <row r="42188" ht="14.25" customHeight="1" s="192">
      <c r="W42188" s="33" t="n"/>
      <c r="X42188" s="33" t="n"/>
    </row>
    <row r="42190" ht="14.25" customHeight="1" s="192">
      <c r="W42190" s="231" t="n"/>
      <c r="X42190" s="231" t="n"/>
    </row>
    <row r="42191" ht="14.25" customHeight="1" s="192">
      <c r="W42191" s="235" t="n"/>
      <c r="X42191" s="235" t="n"/>
    </row>
    <row r="42192" ht="14.25" customHeight="1" s="192">
      <c r="W42192" s="228" t="n"/>
      <c r="X42192" s="228" t="n"/>
    </row>
    <row r="42193" ht="14.25" customHeight="1" s="192">
      <c r="W42193" s="235" t="n"/>
      <c r="X42193" s="235" t="n"/>
    </row>
    <row r="42194" ht="14.25" customHeight="1" s="192">
      <c r="W42194" s="235" t="n"/>
      <c r="X42194" s="235" t="n"/>
    </row>
    <row r="42195" ht="14.25" customHeight="1" s="192">
      <c r="W42195" s="235" t="n"/>
      <c r="X42195" s="235" t="n"/>
    </row>
    <row r="42196" ht="14.25" customHeight="1" s="192">
      <c r="W42196" s="239" t="n"/>
      <c r="X42196" s="239" t="n"/>
    </row>
    <row r="42197" ht="14.25" customHeight="1" s="192">
      <c r="W42197" s="239" t="n"/>
      <c r="X42197" s="239" t="n"/>
    </row>
    <row r="42198" ht="14.25" customHeight="1" s="192">
      <c r="W42198" s="239" t="n"/>
      <c r="X42198" s="239" t="n"/>
    </row>
    <row r="42199" ht="14.25" customHeight="1" s="192">
      <c r="W42199" s="235" t="n"/>
      <c r="X42199" s="235" t="n"/>
    </row>
    <row r="42200" ht="14.25" customHeight="1" s="192">
      <c r="W42200" s="235" t="n"/>
      <c r="X42200" s="235" t="n"/>
    </row>
    <row r="42201" ht="14.25" customHeight="1" s="192">
      <c r="W42201" s="235" t="n"/>
      <c r="X42201" s="235" t="n"/>
    </row>
    <row r="42202" ht="14.25" customHeight="1" s="192">
      <c r="W42202" s="239" t="n"/>
      <c r="X42202" s="239" t="n"/>
    </row>
    <row r="42203" ht="14.25" customHeight="1" s="192">
      <c r="W42203" s="239" t="n"/>
      <c r="X42203" s="239" t="n"/>
    </row>
    <row r="42204" ht="14.25" customHeight="1" s="192">
      <c r="W42204" s="235" t="n"/>
      <c r="X42204" s="235" t="n"/>
    </row>
    <row r="42205" ht="14.25" customHeight="1" s="192">
      <c r="W42205" s="235" t="n"/>
      <c r="X42205" s="235" t="n"/>
    </row>
    <row r="42206" ht="14.25" customHeight="1" s="192">
      <c r="W42206" s="239" t="n"/>
      <c r="X42206" s="239" t="n"/>
    </row>
    <row r="42207" ht="14.25" customHeight="1" s="192">
      <c r="W42207" s="235" t="n"/>
      <c r="X42207" s="235" t="n"/>
    </row>
    <row r="42208" ht="14.25" customHeight="1" s="192">
      <c r="W42208" s="239" t="n"/>
      <c r="X42208" s="239" t="n"/>
    </row>
    <row r="42210" ht="14.25" customHeight="1" s="192">
      <c r="W42210" s="235" t="n"/>
      <c r="X42210" s="235" t="n"/>
    </row>
    <row r="42211" ht="15" customHeight="1" s="192" thickBot="1">
      <c r="W42211" s="239" t="n"/>
      <c r="X42211" s="239" t="n"/>
    </row>
    <row r="42212" ht="15" customHeight="1" s="192" thickBot="1">
      <c r="W42212" s="45" t="n"/>
      <c r="X42212" s="45" t="n"/>
    </row>
    <row r="42213" ht="14.25" customHeight="1" s="192">
      <c r="W42213" s="228" t="n"/>
      <c r="X42213" s="228" t="n"/>
    </row>
    <row r="42214" ht="14.25" customHeight="1" s="192">
      <c r="W42214" s="228" t="n"/>
      <c r="X42214" s="228" t="n"/>
    </row>
    <row r="42215" ht="14.25" customHeight="1" s="192">
      <c r="W42215" s="231" t="n"/>
      <c r="X42215" s="231" t="n"/>
    </row>
    <row r="42216" ht="14.25" customHeight="1" s="192">
      <c r="W42216" s="33" t="n"/>
      <c r="X42216" s="33" t="n"/>
    </row>
    <row r="42217" ht="14.25" customHeight="1" s="192">
      <c r="W42217" s="231" t="n"/>
      <c r="X42217" s="231" t="n"/>
    </row>
    <row r="42218" ht="14.25" customHeight="1" s="192">
      <c r="W42218" s="33" t="n"/>
      <c r="X42218" s="33" t="n"/>
    </row>
    <row r="42220" ht="14.25" customHeight="1" s="192">
      <c r="W42220" s="231" t="n"/>
      <c r="X42220" s="231" t="n"/>
    </row>
    <row r="42221" ht="14.25" customHeight="1" s="192">
      <c r="W42221" s="235" t="n"/>
      <c r="X42221" s="235" t="n"/>
    </row>
    <row r="42222" ht="14.25" customHeight="1" s="192">
      <c r="W42222" s="228" t="n"/>
      <c r="X42222" s="228" t="n"/>
    </row>
    <row r="42223" ht="14.25" customHeight="1" s="192">
      <c r="W42223" s="235" t="n"/>
      <c r="X42223" s="235" t="n"/>
    </row>
    <row r="42224" ht="14.25" customHeight="1" s="192">
      <c r="W42224" s="235" t="n"/>
      <c r="X42224" s="235" t="n"/>
    </row>
    <row r="42225" ht="14.25" customHeight="1" s="192">
      <c r="W42225" s="235" t="n"/>
      <c r="X42225" s="235" t="n"/>
    </row>
    <row r="42226" ht="14.25" customHeight="1" s="192">
      <c r="W42226" s="239" t="n"/>
      <c r="X42226" s="239" t="n"/>
    </row>
    <row r="42227" ht="14.25" customHeight="1" s="192">
      <c r="W42227" s="239" t="n"/>
      <c r="X42227" s="239" t="n"/>
    </row>
    <row r="42228" ht="14.25" customHeight="1" s="192">
      <c r="W42228" s="239" t="n"/>
      <c r="X42228" s="239" t="n"/>
    </row>
    <row r="42229" ht="14.25" customHeight="1" s="192">
      <c r="W42229" s="235" t="n"/>
      <c r="X42229" s="235" t="n"/>
    </row>
    <row r="42230" ht="14.25" customHeight="1" s="192">
      <c r="W42230" s="235" t="n"/>
      <c r="X42230" s="235" t="n"/>
    </row>
    <row r="42231" ht="14.25" customHeight="1" s="192">
      <c r="W42231" s="235" t="n"/>
      <c r="X42231" s="235" t="n"/>
    </row>
    <row r="42232" ht="14.25" customHeight="1" s="192">
      <c r="W42232" s="239" t="n"/>
      <c r="X42232" s="239" t="n"/>
    </row>
    <row r="42233" ht="14.25" customHeight="1" s="192">
      <c r="W42233" s="239" t="n"/>
      <c r="X42233" s="239" t="n"/>
    </row>
    <row r="42234" ht="14.25" customHeight="1" s="192">
      <c r="W42234" s="235" t="n"/>
      <c r="X42234" s="235" t="n"/>
    </row>
    <row r="42235" ht="14.25" customHeight="1" s="192">
      <c r="W42235" s="235" t="n"/>
      <c r="X42235" s="235" t="n"/>
    </row>
    <row r="42236" ht="14.25" customHeight="1" s="192">
      <c r="W42236" s="239" t="n"/>
      <c r="X42236" s="239" t="n"/>
    </row>
    <row r="42237" ht="14.25" customHeight="1" s="192">
      <c r="W42237" s="235" t="n"/>
      <c r="X42237" s="235" t="n"/>
    </row>
    <row r="42238" ht="14.25" customHeight="1" s="192">
      <c r="W42238" s="239" t="n"/>
      <c r="X42238" s="239" t="n"/>
    </row>
    <row r="42240" ht="14.25" customHeight="1" s="192">
      <c r="W42240" s="235" t="n"/>
      <c r="X42240" s="235" t="n"/>
    </row>
    <row r="42241" ht="15" customHeight="1" s="192" thickBot="1">
      <c r="W42241" s="239" t="n"/>
      <c r="X42241" s="239" t="n"/>
    </row>
    <row r="42242" ht="15" customHeight="1" s="192" thickBot="1">
      <c r="W42242" s="45" t="n"/>
      <c r="X42242" s="45" t="n"/>
    </row>
    <row r="42243" ht="14.25" customHeight="1" s="192">
      <c r="W42243" s="228" t="n"/>
      <c r="X42243" s="228" t="n"/>
    </row>
    <row r="42244" ht="14.25" customHeight="1" s="192">
      <c r="W42244" s="228" t="n"/>
      <c r="X42244" s="228" t="n"/>
    </row>
    <row r="42245" ht="14.25" customHeight="1" s="192">
      <c r="W42245" s="231" t="n"/>
      <c r="X42245" s="231" t="n"/>
    </row>
    <row r="42246" ht="14.25" customHeight="1" s="192">
      <c r="W42246" s="33" t="n"/>
      <c r="X42246" s="33" t="n"/>
    </row>
    <row r="42247" ht="14.25" customHeight="1" s="192">
      <c r="W42247" s="231" t="n"/>
      <c r="X42247" s="231" t="n"/>
    </row>
    <row r="42248" ht="14.25" customHeight="1" s="192">
      <c r="W42248" s="33" t="n"/>
      <c r="X42248" s="33" t="n"/>
    </row>
    <row r="42250" ht="14.25" customHeight="1" s="192">
      <c r="W42250" s="231" t="n"/>
      <c r="X42250" s="231" t="n"/>
    </row>
    <row r="42251" ht="14.25" customHeight="1" s="192">
      <c r="W42251" s="235" t="n"/>
      <c r="X42251" s="235" t="n"/>
    </row>
    <row r="42252" ht="14.25" customHeight="1" s="192">
      <c r="W42252" s="228" t="n"/>
      <c r="X42252" s="228" t="n"/>
    </row>
    <row r="42253" ht="14.25" customHeight="1" s="192">
      <c r="W42253" s="235" t="n"/>
      <c r="X42253" s="235" t="n"/>
    </row>
    <row r="42254" ht="14.25" customHeight="1" s="192">
      <c r="W42254" s="235" t="n"/>
      <c r="X42254" s="235" t="n"/>
    </row>
    <row r="42255" ht="14.25" customHeight="1" s="192">
      <c r="W42255" s="235" t="n"/>
      <c r="X42255" s="235" t="n"/>
    </row>
    <row r="42256" ht="14.25" customHeight="1" s="192">
      <c r="W42256" s="239" t="n"/>
      <c r="X42256" s="239" t="n"/>
    </row>
    <row r="42257" ht="14.25" customHeight="1" s="192">
      <c r="W42257" s="239" t="n"/>
      <c r="X42257" s="239" t="n"/>
    </row>
    <row r="42258" ht="14.25" customHeight="1" s="192">
      <c r="W42258" s="239" t="n"/>
      <c r="X42258" s="239" t="n"/>
    </row>
    <row r="42259" ht="14.25" customHeight="1" s="192">
      <c r="W42259" s="235" t="n"/>
      <c r="X42259" s="235" t="n"/>
    </row>
    <row r="42260" ht="14.25" customHeight="1" s="192">
      <c r="W42260" s="235" t="n"/>
      <c r="X42260" s="235" t="n"/>
    </row>
    <row r="42261" ht="14.25" customHeight="1" s="192">
      <c r="W42261" s="235" t="n"/>
      <c r="X42261" s="235" t="n"/>
    </row>
    <row r="42262" ht="14.25" customHeight="1" s="192">
      <c r="W42262" s="239" t="n"/>
      <c r="X42262" s="239" t="n"/>
    </row>
    <row r="42263" ht="14.25" customHeight="1" s="192">
      <c r="W42263" s="239" t="n"/>
      <c r="X42263" s="239" t="n"/>
    </row>
    <row r="42264" ht="14.25" customHeight="1" s="192">
      <c r="W42264" s="235" t="n"/>
      <c r="X42264" s="235" t="n"/>
    </row>
    <row r="42265" ht="14.25" customHeight="1" s="192">
      <c r="W42265" s="235" t="n"/>
      <c r="X42265" s="235" t="n"/>
    </row>
    <row r="42266" ht="14.25" customHeight="1" s="192">
      <c r="W42266" s="239" t="n"/>
      <c r="X42266" s="239" t="n"/>
    </row>
    <row r="42267" ht="14.25" customHeight="1" s="192">
      <c r="W42267" s="235" t="n"/>
      <c r="X42267" s="235" t="n"/>
    </row>
    <row r="42268" ht="14.25" customHeight="1" s="192">
      <c r="W42268" s="239" t="n"/>
      <c r="X42268" s="239" t="n"/>
    </row>
    <row r="42270" ht="14.25" customHeight="1" s="192">
      <c r="W42270" s="235" t="n"/>
      <c r="X42270" s="235" t="n"/>
    </row>
    <row r="42271" ht="15" customHeight="1" s="192" thickBot="1">
      <c r="W42271" s="239" t="n"/>
      <c r="X42271" s="239" t="n"/>
    </row>
    <row r="42272" ht="15" customHeight="1" s="192" thickBot="1">
      <c r="W42272" s="45" t="n"/>
      <c r="X42272" s="45" t="n"/>
    </row>
    <row r="42273" ht="14.25" customHeight="1" s="192">
      <c r="W42273" s="228" t="n"/>
      <c r="X42273" s="228" t="n"/>
    </row>
    <row r="42274" ht="14.25" customHeight="1" s="192">
      <c r="W42274" s="228" t="n"/>
      <c r="X42274" s="228" t="n"/>
    </row>
    <row r="42275" ht="14.25" customHeight="1" s="192">
      <c r="W42275" s="231" t="n"/>
      <c r="X42275" s="231" t="n"/>
    </row>
    <row r="42276" ht="14.25" customHeight="1" s="192">
      <c r="W42276" s="33" t="n"/>
      <c r="X42276" s="33" t="n"/>
    </row>
    <row r="42277" ht="14.25" customHeight="1" s="192">
      <c r="W42277" s="231" t="n"/>
      <c r="X42277" s="231" t="n"/>
    </row>
    <row r="42278" ht="14.25" customHeight="1" s="192">
      <c r="W42278" s="33" t="n"/>
      <c r="X42278" s="33" t="n"/>
    </row>
    <row r="42280" ht="14.25" customHeight="1" s="192">
      <c r="W42280" s="231" t="n"/>
      <c r="X42280" s="231" t="n"/>
    </row>
    <row r="42281" ht="14.25" customHeight="1" s="192">
      <c r="W42281" s="235" t="n"/>
      <c r="X42281" s="235" t="n"/>
    </row>
    <row r="42282" ht="14.25" customHeight="1" s="192">
      <c r="W42282" s="228" t="n"/>
      <c r="X42282" s="228" t="n"/>
    </row>
    <row r="42283" ht="14.25" customHeight="1" s="192">
      <c r="W42283" s="235" t="n"/>
      <c r="X42283" s="235" t="n"/>
    </row>
    <row r="42284" ht="14.25" customHeight="1" s="192">
      <c r="W42284" s="235" t="n"/>
      <c r="X42284" s="235" t="n"/>
    </row>
    <row r="42285" ht="14.25" customHeight="1" s="192">
      <c r="W42285" s="235" t="n"/>
      <c r="X42285" s="235" t="n"/>
    </row>
    <row r="42286" ht="14.25" customHeight="1" s="192">
      <c r="W42286" s="239" t="n"/>
      <c r="X42286" s="239" t="n"/>
    </row>
    <row r="42287" ht="14.25" customHeight="1" s="192">
      <c r="W42287" s="239" t="n"/>
      <c r="X42287" s="239" t="n"/>
    </row>
    <row r="42288" ht="14.25" customHeight="1" s="192">
      <c r="W42288" s="239" t="n"/>
      <c r="X42288" s="239" t="n"/>
    </row>
    <row r="42289" ht="14.25" customHeight="1" s="192">
      <c r="W42289" s="235" t="n"/>
      <c r="X42289" s="235" t="n"/>
    </row>
    <row r="42290" ht="14.25" customHeight="1" s="192">
      <c r="W42290" s="235" t="n"/>
      <c r="X42290" s="235" t="n"/>
    </row>
    <row r="42291" ht="14.25" customHeight="1" s="192">
      <c r="W42291" s="235" t="n"/>
      <c r="X42291" s="235" t="n"/>
    </row>
    <row r="42292" ht="14.25" customHeight="1" s="192">
      <c r="W42292" s="239" t="n"/>
      <c r="X42292" s="239" t="n"/>
    </row>
    <row r="42293" ht="14.25" customHeight="1" s="192">
      <c r="W42293" s="239" t="n"/>
      <c r="X42293" s="239" t="n"/>
    </row>
    <row r="42294" ht="14.25" customHeight="1" s="192">
      <c r="W42294" s="235" t="n"/>
      <c r="X42294" s="235" t="n"/>
    </row>
    <row r="42295" ht="14.25" customHeight="1" s="192">
      <c r="W42295" s="235" t="n"/>
      <c r="X42295" s="235" t="n"/>
    </row>
    <row r="42296" ht="14.25" customHeight="1" s="192">
      <c r="W42296" s="239" t="n"/>
      <c r="X42296" s="239" t="n"/>
    </row>
    <row r="42297" ht="14.25" customHeight="1" s="192">
      <c r="W42297" s="235" t="n"/>
      <c r="X42297" s="235" t="n"/>
    </row>
    <row r="42298" ht="14.25" customHeight="1" s="192">
      <c r="W42298" s="239" t="n"/>
      <c r="X42298" s="239" t="n"/>
    </row>
    <row r="42300" ht="14.25" customHeight="1" s="192">
      <c r="W42300" s="235" t="n"/>
      <c r="X42300" s="235" t="n"/>
    </row>
    <row r="42301" ht="15" customHeight="1" s="192" thickBot="1">
      <c r="W42301" s="239" t="n"/>
      <c r="X42301" s="239" t="n"/>
    </row>
    <row r="42302" ht="15" customHeight="1" s="192" thickBot="1">
      <c r="W42302" s="45" t="n"/>
      <c r="X42302" s="45" t="n"/>
    </row>
    <row r="42303" ht="14.25" customHeight="1" s="192">
      <c r="W42303" s="228" t="n"/>
      <c r="X42303" s="228" t="n"/>
    </row>
    <row r="42304" ht="14.25" customHeight="1" s="192">
      <c r="W42304" s="228" t="n"/>
      <c r="X42304" s="228" t="n"/>
    </row>
    <row r="42305" ht="14.25" customHeight="1" s="192">
      <c r="W42305" s="231" t="n"/>
      <c r="X42305" s="231" t="n"/>
    </row>
    <row r="42306" ht="14.25" customHeight="1" s="192">
      <c r="W42306" s="33" t="n"/>
      <c r="X42306" s="33" t="n"/>
    </row>
    <row r="42307" ht="14.25" customHeight="1" s="192">
      <c r="W42307" s="231" t="n"/>
      <c r="X42307" s="231" t="n"/>
    </row>
    <row r="42308" ht="14.25" customHeight="1" s="192">
      <c r="W42308" s="33" t="n"/>
      <c r="X42308" s="33" t="n"/>
    </row>
    <row r="42310" ht="14.25" customHeight="1" s="192">
      <c r="W42310" s="231" t="n"/>
      <c r="X42310" s="231" t="n"/>
    </row>
    <row r="42311" ht="14.25" customHeight="1" s="192">
      <c r="W42311" s="235" t="n"/>
      <c r="X42311" s="235" t="n"/>
    </row>
    <row r="42312" ht="14.25" customHeight="1" s="192">
      <c r="W42312" s="228" t="n"/>
      <c r="X42312" s="228" t="n"/>
    </row>
    <row r="42313" ht="14.25" customHeight="1" s="192">
      <c r="W42313" s="235" t="n"/>
      <c r="X42313" s="235" t="n"/>
    </row>
    <row r="42314" ht="14.25" customHeight="1" s="192">
      <c r="W42314" s="235" t="n"/>
      <c r="X42314" s="235" t="n"/>
    </row>
    <row r="42315" ht="14.25" customHeight="1" s="192">
      <c r="W42315" s="235" t="n"/>
      <c r="X42315" s="235" t="n"/>
    </row>
    <row r="42316" ht="14.25" customHeight="1" s="192">
      <c r="W42316" s="239" t="n"/>
      <c r="X42316" s="239" t="n"/>
    </row>
    <row r="42317" ht="14.25" customHeight="1" s="192">
      <c r="W42317" s="239" t="n"/>
      <c r="X42317" s="239" t="n"/>
    </row>
    <row r="42318" ht="14.25" customHeight="1" s="192">
      <c r="W42318" s="239" t="n"/>
      <c r="X42318" s="239" t="n"/>
    </row>
    <row r="42319" ht="14.25" customHeight="1" s="192">
      <c r="W42319" s="235" t="n"/>
      <c r="X42319" s="235" t="n"/>
    </row>
    <row r="42320" ht="14.25" customHeight="1" s="192">
      <c r="W42320" s="235" t="n"/>
      <c r="X42320" s="235" t="n"/>
    </row>
    <row r="42321" ht="14.25" customHeight="1" s="192">
      <c r="W42321" s="235" t="n"/>
      <c r="X42321" s="235" t="n"/>
    </row>
    <row r="42322" ht="14.25" customHeight="1" s="192">
      <c r="W42322" s="239" t="n"/>
      <c r="X42322" s="239" t="n"/>
    </row>
    <row r="42323" ht="14.25" customHeight="1" s="192">
      <c r="W42323" s="239" t="n"/>
      <c r="X42323" s="239" t="n"/>
    </row>
    <row r="42324" ht="14.25" customHeight="1" s="192">
      <c r="W42324" s="235" t="n"/>
      <c r="X42324" s="235" t="n"/>
    </row>
    <row r="42325" ht="14.25" customHeight="1" s="192">
      <c r="W42325" s="235" t="n"/>
      <c r="X42325" s="235" t="n"/>
    </row>
    <row r="42326" ht="14.25" customHeight="1" s="192">
      <c r="W42326" s="239" t="n"/>
      <c r="X42326" s="239" t="n"/>
    </row>
    <row r="42327" ht="14.25" customHeight="1" s="192">
      <c r="W42327" s="235" t="n"/>
      <c r="X42327" s="235" t="n"/>
    </row>
    <row r="42328" ht="14.25" customHeight="1" s="192">
      <c r="W42328" s="239" t="n"/>
      <c r="X42328" s="239" t="n"/>
    </row>
    <row r="42330" ht="14.25" customHeight="1" s="192">
      <c r="W42330" s="235" t="n"/>
      <c r="X42330" s="235" t="n"/>
    </row>
    <row r="42331" ht="15" customHeight="1" s="192" thickBot="1">
      <c r="W42331" s="239" t="n"/>
      <c r="X42331" s="239" t="n"/>
    </row>
    <row r="42332" ht="15" customHeight="1" s="192" thickBot="1">
      <c r="W42332" s="45" t="n"/>
      <c r="X42332" s="45" t="n"/>
    </row>
    <row r="42333" ht="14.25" customHeight="1" s="192">
      <c r="W42333" s="228" t="n"/>
      <c r="X42333" s="228" t="n"/>
    </row>
    <row r="42334" ht="14.25" customHeight="1" s="192">
      <c r="W42334" s="228" t="n"/>
      <c r="X42334" s="228" t="n"/>
    </row>
    <row r="42335" ht="14.25" customHeight="1" s="192">
      <c r="W42335" s="231" t="n"/>
      <c r="X42335" s="231" t="n"/>
    </row>
    <row r="42336" ht="14.25" customHeight="1" s="192">
      <c r="W42336" s="33" t="n"/>
      <c r="X42336" s="33" t="n"/>
    </row>
    <row r="42337" ht="14.25" customHeight="1" s="192">
      <c r="W42337" s="231" t="n"/>
      <c r="X42337" s="231" t="n"/>
    </row>
    <row r="42338" ht="14.25" customHeight="1" s="192">
      <c r="W42338" s="33" t="n"/>
      <c r="X42338" s="33" t="n"/>
    </row>
    <row r="42340" ht="14.25" customHeight="1" s="192">
      <c r="W42340" s="231" t="n"/>
      <c r="X42340" s="231" t="n"/>
    </row>
    <row r="42341" ht="14.25" customHeight="1" s="192">
      <c r="W42341" s="235" t="n"/>
      <c r="X42341" s="235" t="n"/>
    </row>
    <row r="42342" ht="14.25" customHeight="1" s="192">
      <c r="W42342" s="228" t="n"/>
      <c r="X42342" s="228" t="n"/>
    </row>
    <row r="42343" ht="14.25" customHeight="1" s="192">
      <c r="W42343" s="235" t="n"/>
      <c r="X42343" s="235" t="n"/>
    </row>
    <row r="42344" ht="14.25" customHeight="1" s="192">
      <c r="W42344" s="235" t="n"/>
      <c r="X42344" s="235" t="n"/>
    </row>
    <row r="42345" ht="14.25" customHeight="1" s="192">
      <c r="W42345" s="235" t="n"/>
      <c r="X42345" s="235" t="n"/>
    </row>
    <row r="42346" ht="14.25" customHeight="1" s="192">
      <c r="W42346" s="239" t="n"/>
      <c r="X42346" s="239" t="n"/>
    </row>
    <row r="42347" ht="14.25" customHeight="1" s="192">
      <c r="W42347" s="239" t="n"/>
      <c r="X42347" s="239" t="n"/>
    </row>
    <row r="42348" ht="14.25" customHeight="1" s="192">
      <c r="W42348" s="239" t="n"/>
      <c r="X42348" s="239" t="n"/>
    </row>
    <row r="42349" ht="14.25" customHeight="1" s="192">
      <c r="W42349" s="235" t="n"/>
      <c r="X42349" s="235" t="n"/>
    </row>
    <row r="42350" ht="14.25" customHeight="1" s="192">
      <c r="W42350" s="235" t="n"/>
      <c r="X42350" s="235" t="n"/>
    </row>
    <row r="42351" ht="14.25" customHeight="1" s="192">
      <c r="W42351" s="235" t="n"/>
      <c r="X42351" s="235" t="n"/>
    </row>
    <row r="42352" ht="14.25" customHeight="1" s="192">
      <c r="W42352" s="239" t="n"/>
      <c r="X42352" s="239" t="n"/>
    </row>
    <row r="42353" ht="14.25" customHeight="1" s="192">
      <c r="W42353" s="239" t="n"/>
      <c r="X42353" s="239" t="n"/>
    </row>
    <row r="42354" ht="14.25" customHeight="1" s="192">
      <c r="W42354" s="235" t="n"/>
      <c r="X42354" s="235" t="n"/>
    </row>
    <row r="42355" ht="14.25" customHeight="1" s="192">
      <c r="W42355" s="235" t="n"/>
      <c r="X42355" s="235" t="n"/>
    </row>
    <row r="42356" ht="14.25" customHeight="1" s="192">
      <c r="W42356" s="239" t="n"/>
      <c r="X42356" s="239" t="n"/>
    </row>
    <row r="42357" ht="14.25" customHeight="1" s="192">
      <c r="W42357" s="235" t="n"/>
      <c r="X42357" s="235" t="n"/>
    </row>
    <row r="42358" ht="14.25" customHeight="1" s="192">
      <c r="W42358" s="239" t="n"/>
      <c r="X42358" s="239" t="n"/>
    </row>
    <row r="42360" ht="14.25" customHeight="1" s="192">
      <c r="W42360" s="235" t="n"/>
      <c r="X42360" s="235" t="n"/>
    </row>
    <row r="42361" ht="15" customHeight="1" s="192" thickBot="1">
      <c r="W42361" s="239" t="n"/>
      <c r="X42361" s="239" t="n"/>
    </row>
    <row r="42362" ht="15" customHeight="1" s="192" thickBot="1">
      <c r="W42362" s="45" t="n"/>
      <c r="X42362" s="45" t="n"/>
    </row>
    <row r="42363" ht="14.25" customHeight="1" s="192">
      <c r="W42363" s="228" t="n"/>
      <c r="X42363" s="228" t="n"/>
    </row>
    <row r="42364" ht="14.25" customHeight="1" s="192">
      <c r="W42364" s="228" t="n"/>
      <c r="X42364" s="228" t="n"/>
    </row>
    <row r="42365" ht="14.25" customHeight="1" s="192">
      <c r="W42365" s="231" t="n"/>
      <c r="X42365" s="231" t="n"/>
    </row>
    <row r="42366" ht="14.25" customHeight="1" s="192">
      <c r="W42366" s="33" t="n"/>
      <c r="X42366" s="33" t="n"/>
    </row>
    <row r="42367" ht="14.25" customHeight="1" s="192">
      <c r="W42367" s="231" t="n"/>
      <c r="X42367" s="231" t="n"/>
    </row>
    <row r="42368" ht="14.25" customHeight="1" s="192">
      <c r="W42368" s="33" t="n"/>
      <c r="X42368" s="33" t="n"/>
    </row>
    <row r="42370" ht="14.25" customHeight="1" s="192">
      <c r="W42370" s="231" t="n"/>
      <c r="X42370" s="231" t="n"/>
    </row>
    <row r="42371" ht="14.25" customHeight="1" s="192">
      <c r="W42371" s="235" t="n"/>
      <c r="X42371" s="235" t="n"/>
    </row>
    <row r="42372" ht="14.25" customHeight="1" s="192">
      <c r="W42372" s="228" t="n"/>
      <c r="X42372" s="228" t="n"/>
    </row>
    <row r="42373" ht="14.25" customHeight="1" s="192">
      <c r="W42373" s="235" t="n"/>
      <c r="X42373" s="235" t="n"/>
    </row>
    <row r="42374" ht="14.25" customHeight="1" s="192">
      <c r="W42374" s="235" t="n"/>
      <c r="X42374" s="235" t="n"/>
    </row>
    <row r="42375" ht="14.25" customHeight="1" s="192">
      <c r="W42375" s="235" t="n"/>
      <c r="X42375" s="235" t="n"/>
    </row>
    <row r="42376" ht="14.25" customHeight="1" s="192">
      <c r="W42376" s="239" t="n"/>
      <c r="X42376" s="239" t="n"/>
    </row>
    <row r="42377" ht="14.25" customHeight="1" s="192">
      <c r="W42377" s="239" t="n"/>
      <c r="X42377" s="239" t="n"/>
    </row>
    <row r="42378" ht="14.25" customHeight="1" s="192">
      <c r="W42378" s="239" t="n"/>
      <c r="X42378" s="239" t="n"/>
    </row>
    <row r="42379" ht="14.25" customHeight="1" s="192">
      <c r="W42379" s="235" t="n"/>
      <c r="X42379" s="235" t="n"/>
    </row>
    <row r="42380" ht="14.25" customHeight="1" s="192">
      <c r="W42380" s="235" t="n"/>
      <c r="X42380" s="235" t="n"/>
    </row>
    <row r="42381" ht="14.25" customHeight="1" s="192">
      <c r="W42381" s="235" t="n"/>
      <c r="X42381" s="235" t="n"/>
    </row>
    <row r="42382" ht="14.25" customHeight="1" s="192">
      <c r="W42382" s="239" t="n"/>
      <c r="X42382" s="239" t="n"/>
    </row>
    <row r="42383" ht="14.25" customHeight="1" s="192">
      <c r="W42383" s="239" t="n"/>
      <c r="X42383" s="239" t="n"/>
    </row>
    <row r="42384" ht="14.25" customHeight="1" s="192">
      <c r="W42384" s="235" t="n"/>
      <c r="X42384" s="235" t="n"/>
    </row>
    <row r="42385" ht="14.25" customHeight="1" s="192">
      <c r="W42385" s="235" t="n"/>
      <c r="X42385" s="235" t="n"/>
    </row>
    <row r="42386" ht="14.25" customHeight="1" s="192">
      <c r="W42386" s="239" t="n"/>
      <c r="X42386" s="239" t="n"/>
    </row>
    <row r="42387" ht="14.25" customHeight="1" s="192">
      <c r="W42387" s="235" t="n"/>
      <c r="X42387" s="235" t="n"/>
    </row>
    <row r="42388" ht="14.25" customHeight="1" s="192">
      <c r="W42388" s="239" t="n"/>
      <c r="X42388" s="239" t="n"/>
    </row>
    <row r="42390" ht="14.25" customHeight="1" s="192">
      <c r="W42390" s="235" t="n"/>
      <c r="X42390" s="235" t="n"/>
    </row>
    <row r="42391" ht="15" customHeight="1" s="192" thickBot="1">
      <c r="W42391" s="239" t="n"/>
      <c r="X42391" s="239" t="n"/>
    </row>
    <row r="42392" ht="15" customHeight="1" s="192" thickBot="1">
      <c r="W42392" s="45" t="n"/>
      <c r="X42392" s="45" t="n"/>
    </row>
    <row r="42393" ht="14.25" customHeight="1" s="192">
      <c r="W42393" s="228" t="n"/>
      <c r="X42393" s="228" t="n"/>
    </row>
    <row r="42394" ht="14.25" customHeight="1" s="192">
      <c r="W42394" s="228" t="n"/>
      <c r="X42394" s="228" t="n"/>
    </row>
    <row r="42395" ht="14.25" customHeight="1" s="192">
      <c r="W42395" s="231" t="n"/>
      <c r="X42395" s="231" t="n"/>
    </row>
    <row r="42396" ht="14.25" customHeight="1" s="192">
      <c r="W42396" s="33" t="n"/>
      <c r="X42396" s="33" t="n"/>
    </row>
    <row r="42397" ht="14.25" customHeight="1" s="192">
      <c r="W42397" s="231" t="n"/>
      <c r="X42397" s="231" t="n"/>
    </row>
    <row r="42398" ht="14.25" customHeight="1" s="192">
      <c r="W42398" s="33" t="n"/>
      <c r="X42398" s="33" t="n"/>
    </row>
    <row r="42400" ht="14.25" customHeight="1" s="192">
      <c r="W42400" s="231" t="n"/>
      <c r="X42400" s="231" t="n"/>
    </row>
    <row r="42401" ht="14.25" customHeight="1" s="192">
      <c r="W42401" s="235" t="n"/>
      <c r="X42401" s="235" t="n"/>
    </row>
    <row r="42402" ht="14.25" customHeight="1" s="192">
      <c r="W42402" s="228" t="n"/>
      <c r="X42402" s="228" t="n"/>
    </row>
    <row r="42403" ht="14.25" customHeight="1" s="192">
      <c r="W42403" s="235" t="n"/>
      <c r="X42403" s="235" t="n"/>
    </row>
    <row r="42404" ht="14.25" customHeight="1" s="192">
      <c r="W42404" s="235" t="n"/>
      <c r="X42404" s="235" t="n"/>
    </row>
    <row r="42405" ht="14.25" customHeight="1" s="192">
      <c r="W42405" s="235" t="n"/>
      <c r="X42405" s="235" t="n"/>
    </row>
    <row r="42406" ht="14.25" customHeight="1" s="192">
      <c r="W42406" s="239" t="n"/>
      <c r="X42406" s="239" t="n"/>
    </row>
    <row r="42407" ht="14.25" customHeight="1" s="192">
      <c r="W42407" s="239" t="n"/>
      <c r="X42407" s="239" t="n"/>
    </row>
    <row r="42408" ht="14.25" customHeight="1" s="192">
      <c r="W42408" s="239" t="n"/>
      <c r="X42408" s="239" t="n"/>
    </row>
    <row r="42409" ht="14.25" customHeight="1" s="192">
      <c r="W42409" s="235" t="n"/>
      <c r="X42409" s="235" t="n"/>
    </row>
    <row r="42410" ht="14.25" customHeight="1" s="192">
      <c r="W42410" s="235" t="n"/>
      <c r="X42410" s="235" t="n"/>
    </row>
    <row r="42411" ht="14.25" customHeight="1" s="192">
      <c r="W42411" s="235" t="n"/>
      <c r="X42411" s="235" t="n"/>
    </row>
    <row r="42412" ht="14.25" customHeight="1" s="192">
      <c r="W42412" s="239" t="n"/>
      <c r="X42412" s="239" t="n"/>
    </row>
    <row r="42413" ht="14.25" customHeight="1" s="192">
      <c r="W42413" s="239" t="n"/>
      <c r="X42413" s="239" t="n"/>
    </row>
    <row r="42414" ht="14.25" customHeight="1" s="192">
      <c r="W42414" s="235" t="n"/>
      <c r="X42414" s="235" t="n"/>
    </row>
    <row r="42415" ht="14.25" customHeight="1" s="192">
      <c r="W42415" s="235" t="n"/>
      <c r="X42415" s="235" t="n"/>
    </row>
    <row r="42416" ht="14.25" customHeight="1" s="192">
      <c r="W42416" s="239" t="n"/>
      <c r="X42416" s="239" t="n"/>
    </row>
    <row r="42417" ht="14.25" customHeight="1" s="192">
      <c r="W42417" s="235" t="n"/>
      <c r="X42417" s="235" t="n"/>
    </row>
    <row r="42418" ht="14.25" customHeight="1" s="192">
      <c r="W42418" s="239" t="n"/>
      <c r="X42418" s="239" t="n"/>
    </row>
    <row r="42420" ht="14.25" customHeight="1" s="192">
      <c r="W42420" s="235" t="n"/>
      <c r="X42420" s="235" t="n"/>
    </row>
    <row r="42421" ht="15" customHeight="1" s="192" thickBot="1">
      <c r="W42421" s="239" t="n"/>
      <c r="X42421" s="239" t="n"/>
    </row>
    <row r="42422" ht="15" customHeight="1" s="192" thickBot="1">
      <c r="W42422" s="45" t="n"/>
      <c r="X42422" s="45" t="n"/>
    </row>
    <row r="42423" ht="14.25" customHeight="1" s="192">
      <c r="W42423" s="228" t="n"/>
      <c r="X42423" s="228" t="n"/>
    </row>
    <row r="42424" ht="14.25" customHeight="1" s="192">
      <c r="W42424" s="228" t="n"/>
      <c r="X42424" s="228" t="n"/>
    </row>
    <row r="42425" ht="14.25" customHeight="1" s="192">
      <c r="W42425" s="231" t="n"/>
      <c r="X42425" s="231" t="n"/>
    </row>
    <row r="42426" ht="14.25" customHeight="1" s="192">
      <c r="W42426" s="33" t="n"/>
      <c r="X42426" s="33" t="n"/>
    </row>
    <row r="42427" ht="14.25" customHeight="1" s="192">
      <c r="W42427" s="231" t="n"/>
      <c r="X42427" s="231" t="n"/>
    </row>
    <row r="42428" ht="14.25" customHeight="1" s="192">
      <c r="W42428" s="33" t="n"/>
      <c r="X42428" s="33" t="n"/>
    </row>
    <row r="42430" ht="14.25" customHeight="1" s="192">
      <c r="W42430" s="231" t="n"/>
      <c r="X42430" s="231" t="n"/>
    </row>
    <row r="42431" ht="14.25" customHeight="1" s="192">
      <c r="W42431" s="235" t="n"/>
      <c r="X42431" s="235" t="n"/>
    </row>
    <row r="42432" ht="14.25" customHeight="1" s="192">
      <c r="W42432" s="228" t="n"/>
      <c r="X42432" s="228" t="n"/>
    </row>
    <row r="42433" ht="14.25" customHeight="1" s="192">
      <c r="W42433" s="235" t="n"/>
      <c r="X42433" s="235" t="n"/>
    </row>
    <row r="42434" ht="14.25" customHeight="1" s="192">
      <c r="W42434" s="235" t="n"/>
      <c r="X42434" s="235" t="n"/>
    </row>
    <row r="42435" ht="14.25" customHeight="1" s="192">
      <c r="W42435" s="235" t="n"/>
      <c r="X42435" s="235" t="n"/>
    </row>
    <row r="42436" ht="14.25" customHeight="1" s="192">
      <c r="W42436" s="239" t="n"/>
      <c r="X42436" s="239" t="n"/>
    </row>
    <row r="42437" ht="14.25" customHeight="1" s="192">
      <c r="W42437" s="239" t="n"/>
      <c r="X42437" s="239" t="n"/>
    </row>
    <row r="42438" ht="14.25" customHeight="1" s="192">
      <c r="W42438" s="239" t="n"/>
      <c r="X42438" s="239" t="n"/>
    </row>
    <row r="42439" ht="14.25" customHeight="1" s="192">
      <c r="W42439" s="235" t="n"/>
      <c r="X42439" s="235" t="n"/>
    </row>
    <row r="42440" ht="14.25" customHeight="1" s="192">
      <c r="W42440" s="235" t="n"/>
      <c r="X42440" s="235" t="n"/>
    </row>
    <row r="42441" ht="14.25" customHeight="1" s="192">
      <c r="W42441" s="235" t="n"/>
      <c r="X42441" s="235" t="n"/>
    </row>
    <row r="42442" ht="14.25" customHeight="1" s="192">
      <c r="W42442" s="239" t="n"/>
      <c r="X42442" s="239" t="n"/>
    </row>
    <row r="42443" ht="14.25" customHeight="1" s="192">
      <c r="W42443" s="239" t="n"/>
      <c r="X42443" s="239" t="n"/>
    </row>
    <row r="42444" ht="14.25" customHeight="1" s="192">
      <c r="W42444" s="235" t="n"/>
      <c r="X42444" s="235" t="n"/>
    </row>
    <row r="42445" ht="14.25" customHeight="1" s="192">
      <c r="W42445" s="235" t="n"/>
      <c r="X42445" s="235" t="n"/>
    </row>
    <row r="42446" ht="14.25" customHeight="1" s="192">
      <c r="W42446" s="239" t="n"/>
      <c r="X42446" s="239" t="n"/>
    </row>
    <row r="42447" ht="14.25" customHeight="1" s="192">
      <c r="W42447" s="235" t="n"/>
      <c r="X42447" s="235" t="n"/>
    </row>
    <row r="42448" ht="14.25" customHeight="1" s="192">
      <c r="W42448" s="239" t="n"/>
      <c r="X42448" s="239" t="n"/>
    </row>
    <row r="42450" ht="14.25" customHeight="1" s="192">
      <c r="W42450" s="235" t="n"/>
      <c r="X42450" s="235" t="n"/>
    </row>
    <row r="42451" ht="15" customHeight="1" s="192" thickBot="1">
      <c r="W42451" s="239" t="n"/>
      <c r="X42451" s="239" t="n"/>
    </row>
    <row r="42452" ht="15" customHeight="1" s="192" thickBot="1">
      <c r="W42452" s="45" t="n"/>
      <c r="X42452" s="45" t="n"/>
    </row>
    <row r="42453" ht="14.25" customHeight="1" s="192">
      <c r="W42453" s="228" t="n"/>
      <c r="X42453" s="228" t="n"/>
    </row>
    <row r="42454" ht="14.25" customHeight="1" s="192">
      <c r="W42454" s="228" t="n"/>
      <c r="X42454" s="228" t="n"/>
    </row>
    <row r="42455" ht="14.25" customHeight="1" s="192">
      <c r="W42455" s="231" t="n"/>
      <c r="X42455" s="231" t="n"/>
    </row>
    <row r="42456" ht="14.25" customHeight="1" s="192">
      <c r="W42456" s="33" t="n"/>
      <c r="X42456" s="33" t="n"/>
    </row>
    <row r="42457" ht="14.25" customHeight="1" s="192">
      <c r="W42457" s="231" t="n"/>
      <c r="X42457" s="231" t="n"/>
    </row>
    <row r="42458" ht="14.25" customHeight="1" s="192">
      <c r="W42458" s="33" t="n"/>
      <c r="X42458" s="33" t="n"/>
    </row>
    <row r="42460" ht="14.25" customHeight="1" s="192">
      <c r="W42460" s="231" t="n"/>
      <c r="X42460" s="231" t="n"/>
    </row>
    <row r="42461" ht="14.25" customHeight="1" s="192">
      <c r="W42461" s="235" t="n"/>
      <c r="X42461" s="235" t="n"/>
    </row>
    <row r="42462" ht="14.25" customHeight="1" s="192">
      <c r="W42462" s="228" t="n"/>
      <c r="X42462" s="228" t="n"/>
    </row>
    <row r="42463" ht="14.25" customHeight="1" s="192">
      <c r="W42463" s="235" t="n"/>
      <c r="X42463" s="235" t="n"/>
    </row>
    <row r="42464" ht="14.25" customHeight="1" s="192">
      <c r="W42464" s="235" t="n"/>
      <c r="X42464" s="235" t="n"/>
    </row>
    <row r="42465" ht="14.25" customHeight="1" s="192">
      <c r="W42465" s="235" t="n"/>
      <c r="X42465" s="235" t="n"/>
    </row>
    <row r="42466" ht="14.25" customHeight="1" s="192">
      <c r="W42466" s="239" t="n"/>
      <c r="X42466" s="239" t="n"/>
    </row>
    <row r="42467" ht="14.25" customHeight="1" s="192">
      <c r="W42467" s="239" t="n"/>
      <c r="X42467" s="239" t="n"/>
    </row>
    <row r="42468" ht="14.25" customHeight="1" s="192">
      <c r="W42468" s="239" t="n"/>
      <c r="X42468" s="239" t="n"/>
    </row>
    <row r="42469" ht="14.25" customHeight="1" s="192">
      <c r="W42469" s="235" t="n"/>
      <c r="X42469" s="235" t="n"/>
    </row>
    <row r="42470" ht="14.25" customHeight="1" s="192">
      <c r="W42470" s="235" t="n"/>
      <c r="X42470" s="235" t="n"/>
    </row>
    <row r="42471" ht="14.25" customHeight="1" s="192">
      <c r="W42471" s="235" t="n"/>
      <c r="X42471" s="235" t="n"/>
    </row>
    <row r="42472" ht="14.25" customHeight="1" s="192">
      <c r="W42472" s="239" t="n"/>
      <c r="X42472" s="239" t="n"/>
    </row>
    <row r="42473" ht="14.25" customHeight="1" s="192">
      <c r="W42473" s="239" t="n"/>
      <c r="X42473" s="239" t="n"/>
    </row>
    <row r="42474" ht="14.25" customHeight="1" s="192">
      <c r="W42474" s="235" t="n"/>
      <c r="X42474" s="235" t="n"/>
    </row>
    <row r="42475" ht="14.25" customHeight="1" s="192">
      <c r="W42475" s="235" t="n"/>
      <c r="X42475" s="235" t="n"/>
    </row>
    <row r="42476" ht="14.25" customHeight="1" s="192">
      <c r="W42476" s="239" t="n"/>
      <c r="X42476" s="239" t="n"/>
    </row>
    <row r="42477" ht="14.25" customHeight="1" s="192">
      <c r="W42477" s="235" t="n"/>
      <c r="X42477" s="235" t="n"/>
    </row>
    <row r="42478" ht="14.25" customHeight="1" s="192">
      <c r="W42478" s="239" t="n"/>
      <c r="X42478" s="239" t="n"/>
    </row>
    <row r="42480" ht="14.25" customHeight="1" s="192">
      <c r="W42480" s="235" t="n"/>
      <c r="X42480" s="235" t="n"/>
    </row>
    <row r="42481" ht="15" customHeight="1" s="192" thickBot="1">
      <c r="W42481" s="239" t="n"/>
      <c r="X42481" s="239" t="n"/>
    </row>
    <row r="42482" ht="15" customHeight="1" s="192" thickBot="1">
      <c r="W42482" s="45" t="n"/>
      <c r="X42482" s="45" t="n"/>
    </row>
    <row r="42483" ht="14.25" customHeight="1" s="192">
      <c r="W42483" s="228" t="n"/>
      <c r="X42483" s="228" t="n"/>
    </row>
    <row r="42484" ht="14.25" customHeight="1" s="192">
      <c r="W42484" s="228" t="n"/>
      <c r="X42484" s="228" t="n"/>
    </row>
    <row r="42485" ht="14.25" customHeight="1" s="192">
      <c r="W42485" s="231" t="n"/>
      <c r="X42485" s="231" t="n"/>
    </row>
    <row r="42486" ht="14.25" customHeight="1" s="192">
      <c r="W42486" s="33" t="n"/>
      <c r="X42486" s="33" t="n"/>
    </row>
    <row r="42487" ht="14.25" customHeight="1" s="192">
      <c r="W42487" s="231" t="n"/>
      <c r="X42487" s="231" t="n"/>
    </row>
    <row r="42488" ht="14.25" customHeight="1" s="192">
      <c r="W42488" s="33" t="n"/>
      <c r="X42488" s="33" t="n"/>
    </row>
    <row r="42490" ht="14.25" customHeight="1" s="192">
      <c r="W42490" s="231" t="n"/>
      <c r="X42490" s="231" t="n"/>
    </row>
    <row r="42491" ht="14.25" customHeight="1" s="192">
      <c r="W42491" s="235" t="n"/>
      <c r="X42491" s="235" t="n"/>
    </row>
    <row r="42492" ht="14.25" customHeight="1" s="192">
      <c r="W42492" s="228" t="n"/>
      <c r="X42492" s="228" t="n"/>
    </row>
    <row r="42493" ht="14.25" customHeight="1" s="192">
      <c r="W42493" s="235" t="n"/>
      <c r="X42493" s="235" t="n"/>
    </row>
    <row r="42494" ht="14.25" customHeight="1" s="192">
      <c r="W42494" s="235" t="n"/>
      <c r="X42494" s="235" t="n"/>
    </row>
    <row r="42495" ht="14.25" customHeight="1" s="192">
      <c r="W42495" s="235" t="n"/>
      <c r="X42495" s="235" t="n"/>
    </row>
    <row r="42496" ht="14.25" customHeight="1" s="192">
      <c r="W42496" s="239" t="n"/>
      <c r="X42496" s="239" t="n"/>
    </row>
    <row r="42497" ht="14.25" customHeight="1" s="192">
      <c r="W42497" s="239" t="n"/>
      <c r="X42497" s="239" t="n"/>
    </row>
    <row r="42498" ht="14.25" customHeight="1" s="192">
      <c r="W42498" s="239" t="n"/>
      <c r="X42498" s="239" t="n"/>
    </row>
    <row r="42499" ht="14.25" customHeight="1" s="192">
      <c r="W42499" s="235" t="n"/>
      <c r="X42499" s="235" t="n"/>
    </row>
    <row r="42500" ht="14.25" customHeight="1" s="192">
      <c r="W42500" s="235" t="n"/>
      <c r="X42500" s="235" t="n"/>
    </row>
    <row r="42501" ht="14.25" customHeight="1" s="192">
      <c r="W42501" s="235" t="n"/>
      <c r="X42501" s="235" t="n"/>
    </row>
    <row r="42502" ht="14.25" customHeight="1" s="192">
      <c r="W42502" s="239" t="n"/>
      <c r="X42502" s="239" t="n"/>
    </row>
    <row r="42503" ht="14.25" customHeight="1" s="192">
      <c r="W42503" s="239" t="n"/>
      <c r="X42503" s="239" t="n"/>
    </row>
    <row r="42504" ht="14.25" customHeight="1" s="192">
      <c r="W42504" s="235" t="n"/>
      <c r="X42504" s="235" t="n"/>
    </row>
    <row r="42505" ht="14.25" customHeight="1" s="192">
      <c r="W42505" s="235" t="n"/>
      <c r="X42505" s="235" t="n"/>
    </row>
    <row r="42506" ht="14.25" customHeight="1" s="192">
      <c r="W42506" s="239" t="n"/>
      <c r="X42506" s="239" t="n"/>
    </row>
    <row r="42507" ht="14.25" customHeight="1" s="192">
      <c r="W42507" s="235" t="n"/>
      <c r="X42507" s="235" t="n"/>
    </row>
    <row r="42508" ht="14.25" customHeight="1" s="192">
      <c r="W42508" s="239" t="n"/>
      <c r="X42508" s="239" t="n"/>
    </row>
    <row r="42510" ht="14.25" customHeight="1" s="192">
      <c r="W42510" s="235" t="n"/>
      <c r="X42510" s="235" t="n"/>
    </row>
    <row r="42511" ht="15" customHeight="1" s="192" thickBot="1">
      <c r="W42511" s="239" t="n"/>
      <c r="X42511" s="239" t="n"/>
    </row>
    <row r="42512" ht="15" customHeight="1" s="192" thickBot="1">
      <c r="W42512" s="45" t="n"/>
      <c r="X42512" s="45" t="n"/>
    </row>
    <row r="42513" ht="14.25" customHeight="1" s="192">
      <c r="W42513" s="228" t="n"/>
      <c r="X42513" s="228" t="n"/>
    </row>
    <row r="42514" ht="14.25" customHeight="1" s="192">
      <c r="W42514" s="228" t="n"/>
      <c r="X42514" s="228" t="n"/>
    </row>
    <row r="42515" ht="14.25" customHeight="1" s="192">
      <c r="W42515" s="231" t="n"/>
      <c r="X42515" s="231" t="n"/>
    </row>
    <row r="42516" ht="14.25" customHeight="1" s="192">
      <c r="W42516" s="33" t="n"/>
      <c r="X42516" s="33" t="n"/>
    </row>
    <row r="42517" ht="14.25" customHeight="1" s="192">
      <c r="W42517" s="231" t="n"/>
      <c r="X42517" s="231" t="n"/>
    </row>
    <row r="42518" ht="14.25" customHeight="1" s="192">
      <c r="W42518" s="33" t="n"/>
      <c r="X42518" s="33" t="n"/>
    </row>
    <row r="42520" ht="14.25" customHeight="1" s="192">
      <c r="W42520" s="231" t="n"/>
      <c r="X42520" s="231" t="n"/>
    </row>
    <row r="42521" ht="14.25" customHeight="1" s="192">
      <c r="W42521" s="235" t="n"/>
      <c r="X42521" s="235" t="n"/>
    </row>
    <row r="42522" ht="14.25" customHeight="1" s="192">
      <c r="W42522" s="228" t="n"/>
      <c r="X42522" s="228" t="n"/>
    </row>
    <row r="42523" ht="14.25" customHeight="1" s="192">
      <c r="W42523" s="235" t="n"/>
      <c r="X42523" s="235" t="n"/>
    </row>
    <row r="42524" ht="14.25" customHeight="1" s="192">
      <c r="W42524" s="235" t="n"/>
      <c r="X42524" s="235" t="n"/>
    </row>
    <row r="42525" ht="14.25" customHeight="1" s="192">
      <c r="W42525" s="235" t="n"/>
      <c r="X42525" s="235" t="n"/>
    </row>
    <row r="42526" ht="14.25" customHeight="1" s="192">
      <c r="W42526" s="239" t="n"/>
      <c r="X42526" s="239" t="n"/>
    </row>
    <row r="42527" ht="14.25" customHeight="1" s="192">
      <c r="W42527" s="239" t="n"/>
      <c r="X42527" s="239" t="n"/>
    </row>
    <row r="42528" ht="14.25" customHeight="1" s="192">
      <c r="W42528" s="239" t="n"/>
      <c r="X42528" s="239" t="n"/>
    </row>
    <row r="42529" ht="14.25" customHeight="1" s="192">
      <c r="W42529" s="235" t="n"/>
      <c r="X42529" s="235" t="n"/>
    </row>
    <row r="42530" ht="14.25" customHeight="1" s="192">
      <c r="W42530" s="235" t="n"/>
      <c r="X42530" s="235" t="n"/>
    </row>
    <row r="42531" ht="14.25" customHeight="1" s="192">
      <c r="W42531" s="235" t="n"/>
      <c r="X42531" s="235" t="n"/>
    </row>
    <row r="42532" ht="14.25" customHeight="1" s="192">
      <c r="W42532" s="239" t="n"/>
      <c r="X42532" s="239" t="n"/>
    </row>
    <row r="42533" ht="14.25" customHeight="1" s="192">
      <c r="W42533" s="239" t="n"/>
      <c r="X42533" s="239" t="n"/>
    </row>
    <row r="42534" ht="14.25" customHeight="1" s="192">
      <c r="W42534" s="235" t="n"/>
      <c r="X42534" s="235" t="n"/>
    </row>
    <row r="42535" ht="14.25" customHeight="1" s="192">
      <c r="W42535" s="235" t="n"/>
      <c r="X42535" s="235" t="n"/>
    </row>
    <row r="42536" ht="14.25" customHeight="1" s="192">
      <c r="W42536" s="239" t="n"/>
      <c r="X42536" s="239" t="n"/>
    </row>
    <row r="42537" ht="14.25" customHeight="1" s="192">
      <c r="W42537" s="235" t="n"/>
      <c r="X42537" s="235" t="n"/>
    </row>
    <row r="42538" ht="14.25" customHeight="1" s="192">
      <c r="W42538" s="239" t="n"/>
      <c r="X42538" s="239" t="n"/>
    </row>
    <row r="42540" ht="14.25" customHeight="1" s="192">
      <c r="W42540" s="235" t="n"/>
      <c r="X42540" s="235" t="n"/>
    </row>
    <row r="42541" ht="15" customHeight="1" s="192" thickBot="1">
      <c r="W42541" s="239" t="n"/>
      <c r="X42541" s="239" t="n"/>
    </row>
    <row r="42542" ht="15" customHeight="1" s="192" thickBot="1">
      <c r="W42542" s="45" t="n"/>
      <c r="X42542" s="45" t="n"/>
    </row>
    <row r="42543" ht="14.25" customHeight="1" s="192">
      <c r="W42543" s="228" t="n"/>
      <c r="X42543" s="228" t="n"/>
    </row>
    <row r="42544" ht="14.25" customHeight="1" s="192">
      <c r="W42544" s="228" t="n"/>
      <c r="X42544" s="228" t="n"/>
    </row>
    <row r="42545" ht="14.25" customHeight="1" s="192">
      <c r="W42545" s="231" t="n"/>
      <c r="X42545" s="231" t="n"/>
    </row>
    <row r="42546" ht="14.25" customHeight="1" s="192">
      <c r="W42546" s="33" t="n"/>
      <c r="X42546" s="33" t="n"/>
    </row>
    <row r="42547" ht="14.25" customHeight="1" s="192">
      <c r="W42547" s="231" t="n"/>
      <c r="X42547" s="231" t="n"/>
    </row>
    <row r="42548" ht="14.25" customHeight="1" s="192">
      <c r="W42548" s="33" t="n"/>
      <c r="X42548" s="33" t="n"/>
    </row>
    <row r="42550" ht="14.25" customHeight="1" s="192">
      <c r="W42550" s="231" t="n"/>
      <c r="X42550" s="231" t="n"/>
    </row>
    <row r="42551" ht="14.25" customHeight="1" s="192">
      <c r="W42551" s="235" t="n"/>
      <c r="X42551" s="235" t="n"/>
    </row>
    <row r="42552" ht="14.25" customHeight="1" s="192">
      <c r="W42552" s="228" t="n"/>
      <c r="X42552" s="228" t="n"/>
    </row>
    <row r="42553" ht="14.25" customHeight="1" s="192">
      <c r="W42553" s="235" t="n"/>
      <c r="X42553" s="235" t="n"/>
    </row>
    <row r="42554" ht="14.25" customHeight="1" s="192">
      <c r="W42554" s="235" t="n"/>
      <c r="X42554" s="235" t="n"/>
    </row>
    <row r="42555" ht="14.25" customHeight="1" s="192">
      <c r="W42555" s="235" t="n"/>
      <c r="X42555" s="235" t="n"/>
    </row>
    <row r="42556" ht="14.25" customHeight="1" s="192">
      <c r="W42556" s="239" t="n"/>
      <c r="X42556" s="239" t="n"/>
    </row>
    <row r="42557" ht="14.25" customHeight="1" s="192">
      <c r="W42557" s="239" t="n"/>
      <c r="X42557" s="239" t="n"/>
    </row>
    <row r="42558" ht="14.25" customHeight="1" s="192">
      <c r="W42558" s="239" t="n"/>
      <c r="X42558" s="239" t="n"/>
    </row>
    <row r="42559" ht="14.25" customHeight="1" s="192">
      <c r="W42559" s="235" t="n"/>
      <c r="X42559" s="235" t="n"/>
    </row>
    <row r="42560" ht="14.25" customHeight="1" s="192">
      <c r="W42560" s="235" t="n"/>
      <c r="X42560" s="235" t="n"/>
    </row>
    <row r="42561" ht="14.25" customHeight="1" s="192">
      <c r="W42561" s="235" t="n"/>
      <c r="X42561" s="235" t="n"/>
    </row>
    <row r="42562" ht="14.25" customHeight="1" s="192">
      <c r="W42562" s="239" t="n"/>
      <c r="X42562" s="239" t="n"/>
    </row>
    <row r="42563" ht="14.25" customHeight="1" s="192">
      <c r="W42563" s="239" t="n"/>
      <c r="X42563" s="239" t="n"/>
    </row>
    <row r="42564" ht="14.25" customHeight="1" s="192">
      <c r="W42564" s="235" t="n"/>
      <c r="X42564" s="235" t="n"/>
    </row>
    <row r="42565" ht="14.25" customHeight="1" s="192">
      <c r="W42565" s="235" t="n"/>
      <c r="X42565" s="235" t="n"/>
    </row>
    <row r="42566" ht="14.25" customHeight="1" s="192">
      <c r="W42566" s="239" t="n"/>
      <c r="X42566" s="239" t="n"/>
    </row>
    <row r="42567" ht="14.25" customHeight="1" s="192">
      <c r="W42567" s="235" t="n"/>
      <c r="X42567" s="235" t="n"/>
    </row>
    <row r="42568" ht="14.25" customHeight="1" s="192">
      <c r="W42568" s="239" t="n"/>
      <c r="X42568" s="239" t="n"/>
    </row>
    <row r="42570" ht="14.25" customHeight="1" s="192">
      <c r="W42570" s="235" t="n"/>
      <c r="X42570" s="235" t="n"/>
    </row>
    <row r="42571" ht="15" customHeight="1" s="192" thickBot="1">
      <c r="W42571" s="239" t="n"/>
      <c r="X42571" s="239" t="n"/>
    </row>
    <row r="42572" ht="15" customHeight="1" s="192" thickBot="1">
      <c r="W42572" s="45" t="n"/>
      <c r="X42572" s="45" t="n"/>
    </row>
    <row r="42573" ht="14.25" customHeight="1" s="192">
      <c r="W42573" s="228" t="n"/>
      <c r="X42573" s="228" t="n"/>
    </row>
    <row r="42574" ht="14.25" customHeight="1" s="192">
      <c r="W42574" s="228" t="n"/>
      <c r="X42574" s="228" t="n"/>
    </row>
    <row r="42575" ht="14.25" customHeight="1" s="192">
      <c r="W42575" s="231" t="n"/>
      <c r="X42575" s="231" t="n"/>
    </row>
    <row r="42576" ht="14.25" customHeight="1" s="192">
      <c r="W42576" s="33" t="n"/>
      <c r="X42576" s="33" t="n"/>
    </row>
    <row r="42577" ht="14.25" customHeight="1" s="192">
      <c r="W42577" s="231" t="n"/>
      <c r="X42577" s="231" t="n"/>
    </row>
    <row r="42578" ht="14.25" customHeight="1" s="192">
      <c r="W42578" s="33" t="n"/>
      <c r="X42578" s="33" t="n"/>
    </row>
    <row r="42580" ht="14.25" customHeight="1" s="192">
      <c r="W42580" s="231" t="n"/>
      <c r="X42580" s="231" t="n"/>
    </row>
    <row r="42581" ht="14.25" customHeight="1" s="192">
      <c r="W42581" s="235" t="n"/>
      <c r="X42581" s="235" t="n"/>
    </row>
    <row r="42582" ht="14.25" customHeight="1" s="192">
      <c r="W42582" s="228" t="n"/>
      <c r="X42582" s="228" t="n"/>
    </row>
    <row r="42583" ht="14.25" customHeight="1" s="192">
      <c r="W42583" s="235" t="n"/>
      <c r="X42583" s="235" t="n"/>
    </row>
    <row r="42584" ht="14.25" customHeight="1" s="192">
      <c r="W42584" s="235" t="n"/>
      <c r="X42584" s="235" t="n"/>
    </row>
    <row r="42585" ht="14.25" customHeight="1" s="192">
      <c r="W42585" s="235" t="n"/>
      <c r="X42585" s="235" t="n"/>
    </row>
    <row r="42586" ht="14.25" customHeight="1" s="192">
      <c r="W42586" s="239" t="n"/>
      <c r="X42586" s="239" t="n"/>
    </row>
    <row r="42587" ht="14.25" customHeight="1" s="192">
      <c r="W42587" s="239" t="n"/>
      <c r="X42587" s="239" t="n"/>
    </row>
    <row r="42588" ht="14.25" customHeight="1" s="192">
      <c r="W42588" s="239" t="n"/>
      <c r="X42588" s="239" t="n"/>
    </row>
    <row r="42589" ht="14.25" customHeight="1" s="192">
      <c r="W42589" s="235" t="n"/>
      <c r="X42589" s="235" t="n"/>
    </row>
    <row r="42590" ht="14.25" customHeight="1" s="192">
      <c r="W42590" s="235" t="n"/>
      <c r="X42590" s="235" t="n"/>
    </row>
    <row r="42591" ht="14.25" customHeight="1" s="192">
      <c r="W42591" s="235" t="n"/>
      <c r="X42591" s="235" t="n"/>
    </row>
    <row r="42592" ht="14.25" customHeight="1" s="192">
      <c r="W42592" s="239" t="n"/>
      <c r="X42592" s="239" t="n"/>
    </row>
    <row r="42593" ht="14.25" customHeight="1" s="192">
      <c r="W42593" s="239" t="n"/>
      <c r="X42593" s="239" t="n"/>
    </row>
    <row r="42594" ht="14.25" customHeight="1" s="192">
      <c r="W42594" s="235" t="n"/>
      <c r="X42594" s="235" t="n"/>
    </row>
    <row r="42595" ht="14.25" customHeight="1" s="192">
      <c r="W42595" s="235" t="n"/>
      <c r="X42595" s="235" t="n"/>
    </row>
    <row r="42596" ht="14.25" customHeight="1" s="192">
      <c r="W42596" s="239" t="n"/>
      <c r="X42596" s="239" t="n"/>
    </row>
    <row r="42597" ht="14.25" customHeight="1" s="192">
      <c r="W42597" s="235" t="n"/>
      <c r="X42597" s="235" t="n"/>
    </row>
    <row r="42598" ht="14.25" customHeight="1" s="192">
      <c r="W42598" s="239" t="n"/>
      <c r="X42598" s="239" t="n"/>
    </row>
    <row r="42600" ht="14.25" customHeight="1" s="192">
      <c r="W42600" s="235" t="n"/>
      <c r="X42600" s="235" t="n"/>
    </row>
    <row r="42601" ht="15" customHeight="1" s="192" thickBot="1">
      <c r="W42601" s="239" t="n"/>
      <c r="X42601" s="239" t="n"/>
    </row>
    <row r="42602" ht="15" customHeight="1" s="192" thickBot="1">
      <c r="W42602" s="45" t="n"/>
      <c r="X42602" s="45" t="n"/>
    </row>
    <row r="42603" ht="14.25" customHeight="1" s="192">
      <c r="W42603" s="228" t="n"/>
      <c r="X42603" s="228" t="n"/>
    </row>
    <row r="42604" ht="14.25" customHeight="1" s="192">
      <c r="W42604" s="228" t="n"/>
      <c r="X42604" s="228" t="n"/>
    </row>
    <row r="42605" ht="14.25" customHeight="1" s="192">
      <c r="W42605" s="231" t="n"/>
      <c r="X42605" s="231" t="n"/>
    </row>
    <row r="42606" ht="14.25" customHeight="1" s="192">
      <c r="W42606" s="33" t="n"/>
      <c r="X42606" s="33" t="n"/>
    </row>
    <row r="42607" ht="14.25" customHeight="1" s="192">
      <c r="W42607" s="231" t="n"/>
      <c r="X42607" s="231" t="n"/>
    </row>
    <row r="42608" ht="14.25" customHeight="1" s="192">
      <c r="W42608" s="33" t="n"/>
      <c r="X42608" s="33" t="n"/>
    </row>
    <row r="42610" ht="14.25" customHeight="1" s="192">
      <c r="W42610" s="231" t="n"/>
      <c r="X42610" s="231" t="n"/>
    </row>
    <row r="42611" ht="14.25" customHeight="1" s="192">
      <c r="W42611" s="235" t="n"/>
      <c r="X42611" s="235" t="n"/>
    </row>
    <row r="42612" ht="14.25" customHeight="1" s="192">
      <c r="W42612" s="228" t="n"/>
      <c r="X42612" s="228" t="n"/>
    </row>
    <row r="42613" ht="14.25" customHeight="1" s="192">
      <c r="W42613" s="235" t="n"/>
      <c r="X42613" s="235" t="n"/>
    </row>
    <row r="42614" ht="14.25" customHeight="1" s="192">
      <c r="W42614" s="235" t="n"/>
      <c r="X42614" s="235" t="n"/>
    </row>
    <row r="42615" ht="14.25" customHeight="1" s="192">
      <c r="W42615" s="235" t="n"/>
      <c r="X42615" s="235" t="n"/>
    </row>
    <row r="42616" ht="14.25" customHeight="1" s="192">
      <c r="W42616" s="239" t="n"/>
      <c r="X42616" s="239" t="n"/>
    </row>
    <row r="42617" ht="14.25" customHeight="1" s="192">
      <c r="W42617" s="239" t="n"/>
      <c r="X42617" s="239" t="n"/>
    </row>
    <row r="42618" ht="14.25" customHeight="1" s="192">
      <c r="W42618" s="239" t="n"/>
      <c r="X42618" s="239" t="n"/>
    </row>
    <row r="42619" ht="14.25" customHeight="1" s="192">
      <c r="W42619" s="235" t="n"/>
      <c r="X42619" s="235" t="n"/>
    </row>
    <row r="42620" ht="14.25" customHeight="1" s="192">
      <c r="W42620" s="235" t="n"/>
      <c r="X42620" s="235" t="n"/>
    </row>
    <row r="42621" ht="14.25" customHeight="1" s="192">
      <c r="W42621" s="235" t="n"/>
      <c r="X42621" s="235" t="n"/>
    </row>
    <row r="42622" ht="14.25" customHeight="1" s="192">
      <c r="W42622" s="239" t="n"/>
      <c r="X42622" s="239" t="n"/>
    </row>
    <row r="42623" ht="14.25" customHeight="1" s="192">
      <c r="W42623" s="239" t="n"/>
      <c r="X42623" s="239" t="n"/>
    </row>
    <row r="42624" ht="14.25" customHeight="1" s="192">
      <c r="W42624" s="235" t="n"/>
      <c r="X42624" s="235" t="n"/>
    </row>
    <row r="42625" ht="14.25" customHeight="1" s="192">
      <c r="W42625" s="235" t="n"/>
      <c r="X42625" s="235" t="n"/>
    </row>
    <row r="42626" ht="14.25" customHeight="1" s="192">
      <c r="W42626" s="239" t="n"/>
      <c r="X42626" s="239" t="n"/>
    </row>
    <row r="42627" ht="14.25" customHeight="1" s="192">
      <c r="W42627" s="235" t="n"/>
      <c r="X42627" s="235" t="n"/>
    </row>
    <row r="42628" ht="14.25" customHeight="1" s="192">
      <c r="W42628" s="239" t="n"/>
      <c r="X42628" s="239" t="n"/>
    </row>
    <row r="42630" ht="14.25" customHeight="1" s="192">
      <c r="W42630" s="235" t="n"/>
      <c r="X42630" s="235" t="n"/>
    </row>
    <row r="42631" ht="15" customHeight="1" s="192" thickBot="1">
      <c r="W42631" s="239" t="n"/>
      <c r="X42631" s="239" t="n"/>
    </row>
    <row r="42632" ht="15" customHeight="1" s="192" thickBot="1">
      <c r="W42632" s="45" t="n"/>
      <c r="X42632" s="45" t="n"/>
    </row>
    <row r="42633" ht="14.25" customHeight="1" s="192">
      <c r="W42633" s="228" t="n"/>
      <c r="X42633" s="228" t="n"/>
    </row>
    <row r="42634" ht="14.25" customHeight="1" s="192">
      <c r="W42634" s="228" t="n"/>
      <c r="X42634" s="228" t="n"/>
    </row>
    <row r="42635" ht="14.25" customHeight="1" s="192">
      <c r="W42635" s="231" t="n"/>
      <c r="X42635" s="231" t="n"/>
    </row>
    <row r="42636" ht="14.25" customHeight="1" s="192">
      <c r="W42636" s="33" t="n"/>
      <c r="X42636" s="33" t="n"/>
    </row>
    <row r="42637" ht="14.25" customHeight="1" s="192">
      <c r="W42637" s="231" t="n"/>
      <c r="X42637" s="231" t="n"/>
    </row>
    <row r="42638" ht="14.25" customHeight="1" s="192">
      <c r="W42638" s="33" t="n"/>
      <c r="X42638" s="33" t="n"/>
    </row>
    <row r="42640" ht="14.25" customHeight="1" s="192">
      <c r="W42640" s="231" t="n"/>
      <c r="X42640" s="231" t="n"/>
    </row>
    <row r="42641" ht="14.25" customHeight="1" s="192">
      <c r="W42641" s="235" t="n"/>
      <c r="X42641" s="235" t="n"/>
    </row>
    <row r="42642" ht="14.25" customHeight="1" s="192">
      <c r="W42642" s="228" t="n"/>
      <c r="X42642" s="228" t="n"/>
    </row>
    <row r="42643" ht="14.25" customHeight="1" s="192">
      <c r="W42643" s="235" t="n"/>
      <c r="X42643" s="235" t="n"/>
    </row>
    <row r="42644" ht="14.25" customHeight="1" s="192">
      <c r="W42644" s="235" t="n"/>
      <c r="X42644" s="235" t="n"/>
    </row>
    <row r="42645" ht="14.25" customHeight="1" s="192">
      <c r="W42645" s="235" t="n"/>
      <c r="X42645" s="235" t="n"/>
    </row>
    <row r="42646" ht="14.25" customHeight="1" s="192">
      <c r="W42646" s="239" t="n"/>
      <c r="X42646" s="239" t="n"/>
    </row>
    <row r="42647" ht="14.25" customHeight="1" s="192">
      <c r="W42647" s="239" t="n"/>
      <c r="X42647" s="239" t="n"/>
    </row>
    <row r="42648" ht="14.25" customHeight="1" s="192">
      <c r="W42648" s="239" t="n"/>
      <c r="X42648" s="239" t="n"/>
    </row>
    <row r="42649" ht="14.25" customHeight="1" s="192">
      <c r="W42649" s="235" t="n"/>
      <c r="X42649" s="235" t="n"/>
    </row>
    <row r="42650" ht="14.25" customHeight="1" s="192">
      <c r="W42650" s="235" t="n"/>
      <c r="X42650" s="235" t="n"/>
    </row>
    <row r="42651" ht="14.25" customHeight="1" s="192">
      <c r="W42651" s="235" t="n"/>
      <c r="X42651" s="235" t="n"/>
    </row>
    <row r="42652" ht="14.25" customHeight="1" s="192">
      <c r="W42652" s="239" t="n"/>
      <c r="X42652" s="239" t="n"/>
    </row>
    <row r="42653" ht="14.25" customHeight="1" s="192">
      <c r="W42653" s="239" t="n"/>
      <c r="X42653" s="239" t="n"/>
    </row>
    <row r="42654" ht="14.25" customHeight="1" s="192">
      <c r="W42654" s="235" t="n"/>
      <c r="X42654" s="235" t="n"/>
    </row>
    <row r="42655" ht="14.25" customHeight="1" s="192">
      <c r="W42655" s="235" t="n"/>
      <c r="X42655" s="235" t="n"/>
    </row>
    <row r="42656" ht="14.25" customHeight="1" s="192">
      <c r="W42656" s="239" t="n"/>
      <c r="X42656" s="239" t="n"/>
    </row>
    <row r="42657" ht="14.25" customHeight="1" s="192">
      <c r="W42657" s="235" t="n"/>
      <c r="X42657" s="235" t="n"/>
    </row>
    <row r="42658" ht="14.25" customHeight="1" s="192">
      <c r="W42658" s="239" t="n"/>
      <c r="X42658" s="239" t="n"/>
    </row>
    <row r="42660" ht="14.25" customHeight="1" s="192">
      <c r="W42660" s="235" t="n"/>
      <c r="X42660" s="235" t="n"/>
    </row>
    <row r="42661" ht="15" customHeight="1" s="192" thickBot="1">
      <c r="W42661" s="239" t="n"/>
      <c r="X42661" s="239" t="n"/>
    </row>
    <row r="42662" ht="15" customHeight="1" s="192" thickBot="1">
      <c r="W42662" s="45" t="n"/>
      <c r="X42662" s="45" t="n"/>
    </row>
    <row r="42663" ht="14.25" customHeight="1" s="192">
      <c r="W42663" s="228" t="n"/>
      <c r="X42663" s="228" t="n"/>
    </row>
    <row r="42664" ht="14.25" customHeight="1" s="192">
      <c r="W42664" s="228" t="n"/>
      <c r="X42664" s="228" t="n"/>
    </row>
    <row r="42665" ht="14.25" customHeight="1" s="192">
      <c r="W42665" s="231" t="n"/>
      <c r="X42665" s="231" t="n"/>
    </row>
    <row r="42666" ht="14.25" customHeight="1" s="192">
      <c r="W42666" s="33" t="n"/>
      <c r="X42666" s="33" t="n"/>
    </row>
    <row r="42667" ht="14.25" customHeight="1" s="192">
      <c r="W42667" s="231" t="n"/>
      <c r="X42667" s="231" t="n"/>
    </row>
    <row r="42668" ht="14.25" customHeight="1" s="192">
      <c r="W42668" s="33" t="n"/>
      <c r="X42668" s="33" t="n"/>
    </row>
    <row r="42670" ht="14.25" customHeight="1" s="192">
      <c r="W42670" s="231" t="n"/>
      <c r="X42670" s="231" t="n"/>
    </row>
    <row r="42671" ht="14.25" customHeight="1" s="192">
      <c r="W42671" s="235" t="n"/>
      <c r="X42671" s="235" t="n"/>
    </row>
    <row r="42672" ht="14.25" customHeight="1" s="192">
      <c r="W42672" s="228" t="n"/>
      <c r="X42672" s="228" t="n"/>
    </row>
    <row r="42673" ht="14.25" customHeight="1" s="192">
      <c r="W42673" s="235" t="n"/>
      <c r="X42673" s="235" t="n"/>
    </row>
    <row r="42674" ht="14.25" customHeight="1" s="192">
      <c r="W42674" s="235" t="n"/>
      <c r="X42674" s="235" t="n"/>
    </row>
    <row r="42675" ht="14.25" customHeight="1" s="192">
      <c r="W42675" s="235" t="n"/>
      <c r="X42675" s="235" t="n"/>
    </row>
    <row r="42676" ht="14.25" customHeight="1" s="192">
      <c r="W42676" s="239" t="n"/>
      <c r="X42676" s="239" t="n"/>
    </row>
    <row r="42677" ht="14.25" customHeight="1" s="192">
      <c r="W42677" s="239" t="n"/>
      <c r="X42677" s="239" t="n"/>
    </row>
    <row r="42678" ht="14.25" customHeight="1" s="192">
      <c r="W42678" s="239" t="n"/>
      <c r="X42678" s="239" t="n"/>
    </row>
    <row r="42679" ht="14.25" customHeight="1" s="192">
      <c r="W42679" s="235" t="n"/>
      <c r="X42679" s="235" t="n"/>
    </row>
    <row r="42680" ht="14.25" customHeight="1" s="192">
      <c r="W42680" s="235" t="n"/>
      <c r="X42680" s="235" t="n"/>
    </row>
    <row r="42681" ht="14.25" customHeight="1" s="192">
      <c r="W42681" s="235" t="n"/>
      <c r="X42681" s="235" t="n"/>
    </row>
    <row r="42682" ht="14.25" customHeight="1" s="192">
      <c r="W42682" s="239" t="n"/>
      <c r="X42682" s="239" t="n"/>
    </row>
    <row r="42683" ht="14.25" customHeight="1" s="192">
      <c r="W42683" s="239" t="n"/>
      <c r="X42683" s="239" t="n"/>
    </row>
    <row r="42684" ht="14.25" customHeight="1" s="192">
      <c r="W42684" s="235" t="n"/>
      <c r="X42684" s="235" t="n"/>
    </row>
    <row r="42685" ht="14.25" customHeight="1" s="192">
      <c r="W42685" s="235" t="n"/>
      <c r="X42685" s="235" t="n"/>
    </row>
    <row r="42686" ht="14.25" customHeight="1" s="192">
      <c r="W42686" s="239" t="n"/>
      <c r="X42686" s="239" t="n"/>
    </row>
    <row r="42687" ht="14.25" customHeight="1" s="192">
      <c r="W42687" s="235" t="n"/>
      <c r="X42687" s="235" t="n"/>
    </row>
    <row r="42688" ht="14.25" customHeight="1" s="192">
      <c r="W42688" s="239" t="n"/>
      <c r="X42688" s="239" t="n"/>
    </row>
    <row r="42690" ht="14.25" customHeight="1" s="192">
      <c r="W42690" s="235" t="n"/>
      <c r="X42690" s="235" t="n"/>
    </row>
    <row r="42691" ht="15" customHeight="1" s="192" thickBot="1">
      <c r="W42691" s="239" t="n"/>
      <c r="X42691" s="239" t="n"/>
    </row>
    <row r="42692" ht="15" customHeight="1" s="192" thickBot="1">
      <c r="W42692" s="45" t="n"/>
      <c r="X42692" s="45" t="n"/>
    </row>
    <row r="42693" ht="14.25" customHeight="1" s="192">
      <c r="W42693" s="228" t="n"/>
      <c r="X42693" s="228" t="n"/>
    </row>
    <row r="42694" ht="14.25" customHeight="1" s="192">
      <c r="W42694" s="228" t="n"/>
      <c r="X42694" s="228" t="n"/>
    </row>
    <row r="42695" ht="14.25" customHeight="1" s="192">
      <c r="W42695" s="231" t="n"/>
      <c r="X42695" s="231" t="n"/>
    </row>
    <row r="42696" ht="14.25" customHeight="1" s="192">
      <c r="W42696" s="33" t="n"/>
      <c r="X42696" s="33" t="n"/>
    </row>
    <row r="42697" ht="14.25" customHeight="1" s="192">
      <c r="W42697" s="231" t="n"/>
      <c r="X42697" s="231" t="n"/>
    </row>
    <row r="42698" ht="14.25" customHeight="1" s="192">
      <c r="W42698" s="33" t="n"/>
      <c r="X42698" s="33" t="n"/>
    </row>
    <row r="42700" ht="14.25" customHeight="1" s="192">
      <c r="W42700" s="231" t="n"/>
      <c r="X42700" s="231" t="n"/>
    </row>
    <row r="42701" ht="14.25" customHeight="1" s="192">
      <c r="W42701" s="235" t="n"/>
      <c r="X42701" s="235" t="n"/>
    </row>
    <row r="42702" ht="14.25" customHeight="1" s="192">
      <c r="W42702" s="228" t="n"/>
      <c r="X42702" s="228" t="n"/>
    </row>
    <row r="42703" ht="14.25" customHeight="1" s="192">
      <c r="W42703" s="235" t="n"/>
      <c r="X42703" s="235" t="n"/>
    </row>
    <row r="42704" ht="14.25" customHeight="1" s="192">
      <c r="W42704" s="235" t="n"/>
      <c r="X42704" s="235" t="n"/>
    </row>
    <row r="42705" ht="14.25" customHeight="1" s="192">
      <c r="W42705" s="235" t="n"/>
      <c r="X42705" s="235" t="n"/>
    </row>
    <row r="42706" ht="14.25" customHeight="1" s="192">
      <c r="W42706" s="239" t="n"/>
      <c r="X42706" s="239" t="n"/>
    </row>
    <row r="42707" ht="14.25" customHeight="1" s="192">
      <c r="W42707" s="239" t="n"/>
      <c r="X42707" s="239" t="n"/>
    </row>
    <row r="42708" ht="14.25" customHeight="1" s="192">
      <c r="W42708" s="239" t="n"/>
      <c r="X42708" s="239" t="n"/>
    </row>
    <row r="42709" ht="14.25" customHeight="1" s="192">
      <c r="W42709" s="235" t="n"/>
      <c r="X42709" s="235" t="n"/>
    </row>
    <row r="42710" ht="14.25" customHeight="1" s="192">
      <c r="W42710" s="235" t="n"/>
      <c r="X42710" s="235" t="n"/>
    </row>
    <row r="42711" ht="14.25" customHeight="1" s="192">
      <c r="W42711" s="235" t="n"/>
      <c r="X42711" s="235" t="n"/>
    </row>
    <row r="42712" ht="14.25" customHeight="1" s="192">
      <c r="W42712" s="239" t="n"/>
      <c r="X42712" s="239" t="n"/>
    </row>
    <row r="42713" ht="14.25" customHeight="1" s="192">
      <c r="W42713" s="239" t="n"/>
      <c r="X42713" s="239" t="n"/>
    </row>
    <row r="42714" ht="14.25" customHeight="1" s="192">
      <c r="W42714" s="235" t="n"/>
      <c r="X42714" s="235" t="n"/>
    </row>
    <row r="42715" ht="14.25" customHeight="1" s="192">
      <c r="W42715" s="235" t="n"/>
      <c r="X42715" s="235" t="n"/>
    </row>
    <row r="42716" ht="14.25" customHeight="1" s="192">
      <c r="W42716" s="239" t="n"/>
      <c r="X42716" s="239" t="n"/>
    </row>
    <row r="42717" ht="14.25" customHeight="1" s="192">
      <c r="W42717" s="235" t="n"/>
      <c r="X42717" s="235" t="n"/>
    </row>
    <row r="42718" ht="14.25" customHeight="1" s="192">
      <c r="W42718" s="239" t="n"/>
      <c r="X42718" s="239" t="n"/>
    </row>
    <row r="42720" ht="14.25" customHeight="1" s="192">
      <c r="W42720" s="235" t="n"/>
      <c r="X42720" s="235" t="n"/>
    </row>
    <row r="42721" ht="15" customHeight="1" s="192" thickBot="1">
      <c r="W42721" s="239" t="n"/>
      <c r="X42721" s="239" t="n"/>
    </row>
    <row r="42722" ht="15" customHeight="1" s="192" thickBot="1">
      <c r="W42722" s="45" t="n"/>
      <c r="X42722" s="45" t="n"/>
    </row>
    <row r="42723" ht="14.25" customHeight="1" s="192">
      <c r="W42723" s="228" t="n"/>
      <c r="X42723" s="228" t="n"/>
    </row>
    <row r="42724" ht="14.25" customHeight="1" s="192">
      <c r="W42724" s="228" t="n"/>
      <c r="X42724" s="228" t="n"/>
    </row>
    <row r="42725" ht="14.25" customHeight="1" s="192">
      <c r="W42725" s="231" t="n"/>
      <c r="X42725" s="231" t="n"/>
    </row>
    <row r="42726" ht="14.25" customHeight="1" s="192">
      <c r="W42726" s="33" t="n"/>
      <c r="X42726" s="33" t="n"/>
    </row>
    <row r="42727" ht="14.25" customHeight="1" s="192">
      <c r="W42727" s="231" t="n"/>
      <c r="X42727" s="231" t="n"/>
    </row>
    <row r="42728" ht="14.25" customHeight="1" s="192">
      <c r="W42728" s="33" t="n"/>
      <c r="X42728" s="33" t="n"/>
    </row>
    <row r="42730" ht="14.25" customHeight="1" s="192">
      <c r="W42730" s="231" t="n"/>
      <c r="X42730" s="231" t="n"/>
    </row>
    <row r="42731" ht="14.25" customHeight="1" s="192">
      <c r="W42731" s="235" t="n"/>
      <c r="X42731" s="235" t="n"/>
    </row>
    <row r="42732" ht="14.25" customHeight="1" s="192">
      <c r="W42732" s="228" t="n"/>
      <c r="X42732" s="228" t="n"/>
    </row>
    <row r="42733" ht="14.25" customHeight="1" s="192">
      <c r="W42733" s="235" t="n"/>
      <c r="X42733" s="235" t="n"/>
    </row>
    <row r="42734" ht="14.25" customHeight="1" s="192">
      <c r="W42734" s="235" t="n"/>
      <c r="X42734" s="235" t="n"/>
    </row>
    <row r="42735" ht="14.25" customHeight="1" s="192">
      <c r="W42735" s="235" t="n"/>
      <c r="X42735" s="235" t="n"/>
    </row>
    <row r="42736" ht="14.25" customHeight="1" s="192">
      <c r="W42736" s="239" t="n"/>
      <c r="X42736" s="239" t="n"/>
    </row>
    <row r="42737" ht="14.25" customHeight="1" s="192">
      <c r="W42737" s="239" t="n"/>
      <c r="X42737" s="239" t="n"/>
    </row>
    <row r="42738" ht="14.25" customHeight="1" s="192">
      <c r="W42738" s="239" t="n"/>
      <c r="X42738" s="239" t="n"/>
    </row>
    <row r="42739" ht="14.25" customHeight="1" s="192">
      <c r="W42739" s="235" t="n"/>
      <c r="X42739" s="235" t="n"/>
    </row>
    <row r="42740" ht="14.25" customHeight="1" s="192">
      <c r="W42740" s="235" t="n"/>
      <c r="X42740" s="235" t="n"/>
    </row>
    <row r="42741" ht="14.25" customHeight="1" s="192">
      <c r="W42741" s="235" t="n"/>
      <c r="X42741" s="235" t="n"/>
    </row>
    <row r="42742" ht="14.25" customHeight="1" s="192">
      <c r="W42742" s="239" t="n"/>
      <c r="X42742" s="239" t="n"/>
    </row>
    <row r="42743" ht="14.25" customHeight="1" s="192">
      <c r="W42743" s="239" t="n"/>
      <c r="X42743" s="239" t="n"/>
    </row>
    <row r="42744" ht="14.25" customHeight="1" s="192">
      <c r="W42744" s="235" t="n"/>
      <c r="X42744" s="235" t="n"/>
    </row>
    <row r="42745" ht="14.25" customHeight="1" s="192">
      <c r="W42745" s="235" t="n"/>
      <c r="X42745" s="235" t="n"/>
    </row>
    <row r="42746" ht="14.25" customHeight="1" s="192">
      <c r="W42746" s="239" t="n"/>
      <c r="X42746" s="239" t="n"/>
    </row>
    <row r="42747" ht="14.25" customHeight="1" s="192">
      <c r="W42747" s="235" t="n"/>
      <c r="X42747" s="235" t="n"/>
    </row>
    <row r="42748" ht="14.25" customHeight="1" s="192">
      <c r="W42748" s="239" t="n"/>
      <c r="X42748" s="239" t="n"/>
    </row>
    <row r="42750" ht="14.25" customHeight="1" s="192">
      <c r="W42750" s="235" t="n"/>
      <c r="X42750" s="235" t="n"/>
    </row>
    <row r="42751" ht="15" customHeight="1" s="192" thickBot="1">
      <c r="W42751" s="239" t="n"/>
      <c r="X42751" s="239" t="n"/>
    </row>
    <row r="42752" ht="15" customHeight="1" s="192" thickBot="1">
      <c r="W42752" s="45" t="n"/>
      <c r="X42752" s="45" t="n"/>
    </row>
    <row r="42753" ht="14.25" customHeight="1" s="192">
      <c r="W42753" s="228" t="n"/>
      <c r="X42753" s="228" t="n"/>
    </row>
    <row r="42754" ht="14.25" customHeight="1" s="192">
      <c r="W42754" s="228" t="n"/>
      <c r="X42754" s="228" t="n"/>
    </row>
    <row r="42755" ht="14.25" customHeight="1" s="192">
      <c r="W42755" s="231" t="n"/>
      <c r="X42755" s="231" t="n"/>
    </row>
    <row r="42756" ht="14.25" customHeight="1" s="192">
      <c r="W42756" s="33" t="n"/>
      <c r="X42756" s="33" t="n"/>
    </row>
    <row r="42757" ht="14.25" customHeight="1" s="192">
      <c r="W42757" s="231" t="n"/>
      <c r="X42757" s="231" t="n"/>
    </row>
    <row r="42758" ht="14.25" customHeight="1" s="192">
      <c r="W42758" s="33" t="n"/>
      <c r="X42758" s="33" t="n"/>
    </row>
    <row r="42760" ht="14.25" customHeight="1" s="192">
      <c r="W42760" s="231" t="n"/>
      <c r="X42760" s="231" t="n"/>
    </row>
    <row r="42761" ht="14.25" customHeight="1" s="192">
      <c r="W42761" s="235" t="n"/>
      <c r="X42761" s="235" t="n"/>
    </row>
    <row r="42762" ht="14.25" customHeight="1" s="192">
      <c r="W42762" s="228" t="n"/>
      <c r="X42762" s="228" t="n"/>
    </row>
    <row r="42763" ht="14.25" customHeight="1" s="192">
      <c r="W42763" s="235" t="n"/>
      <c r="X42763" s="235" t="n"/>
    </row>
    <row r="42764" ht="14.25" customHeight="1" s="192">
      <c r="W42764" s="235" t="n"/>
      <c r="X42764" s="235" t="n"/>
    </row>
    <row r="42765" ht="14.25" customHeight="1" s="192">
      <c r="W42765" s="235" t="n"/>
      <c r="X42765" s="235" t="n"/>
    </row>
    <row r="42766" ht="14.25" customHeight="1" s="192">
      <c r="W42766" s="239" t="n"/>
      <c r="X42766" s="239" t="n"/>
    </row>
    <row r="42767" ht="14.25" customHeight="1" s="192">
      <c r="W42767" s="239" t="n"/>
      <c r="X42767" s="239" t="n"/>
    </row>
    <row r="42768" ht="14.25" customHeight="1" s="192">
      <c r="W42768" s="239" t="n"/>
      <c r="X42768" s="239" t="n"/>
    </row>
    <row r="42769" ht="14.25" customHeight="1" s="192">
      <c r="W42769" s="235" t="n"/>
      <c r="X42769" s="235" t="n"/>
    </row>
    <row r="42770" ht="14.25" customHeight="1" s="192">
      <c r="W42770" s="235" t="n"/>
      <c r="X42770" s="235" t="n"/>
    </row>
    <row r="42771" ht="14.25" customHeight="1" s="192">
      <c r="W42771" s="235" t="n"/>
      <c r="X42771" s="235" t="n"/>
    </row>
    <row r="42772" ht="14.25" customHeight="1" s="192">
      <c r="W42772" s="239" t="n"/>
      <c r="X42772" s="239" t="n"/>
    </row>
    <row r="42773" ht="14.25" customHeight="1" s="192">
      <c r="W42773" s="239" t="n"/>
      <c r="X42773" s="239" t="n"/>
    </row>
    <row r="42774" ht="14.25" customHeight="1" s="192">
      <c r="W42774" s="235" t="n"/>
      <c r="X42774" s="235" t="n"/>
    </row>
    <row r="42775" ht="14.25" customHeight="1" s="192">
      <c r="W42775" s="235" t="n"/>
      <c r="X42775" s="235" t="n"/>
    </row>
    <row r="42776" ht="14.25" customHeight="1" s="192">
      <c r="W42776" s="239" t="n"/>
      <c r="X42776" s="239" t="n"/>
    </row>
    <row r="42777" ht="14.25" customHeight="1" s="192">
      <c r="W42777" s="235" t="n"/>
      <c r="X42777" s="235" t="n"/>
    </row>
    <row r="42778" ht="14.25" customHeight="1" s="192">
      <c r="W42778" s="239" t="n"/>
      <c r="X42778" s="239" t="n"/>
    </row>
    <row r="42780" ht="14.25" customHeight="1" s="192">
      <c r="W42780" s="235" t="n"/>
      <c r="X42780" s="235" t="n"/>
    </row>
    <row r="42781" ht="15" customHeight="1" s="192" thickBot="1">
      <c r="W42781" s="239" t="n"/>
      <c r="X42781" s="239" t="n"/>
    </row>
    <row r="42782" ht="15" customHeight="1" s="192" thickBot="1">
      <c r="W42782" s="45" t="n"/>
      <c r="X42782" s="45" t="n"/>
    </row>
    <row r="42783" ht="14.25" customHeight="1" s="192">
      <c r="W42783" s="228" t="n"/>
      <c r="X42783" s="228" t="n"/>
    </row>
    <row r="42784" ht="14.25" customHeight="1" s="192">
      <c r="W42784" s="228" t="n"/>
      <c r="X42784" s="228" t="n"/>
    </row>
    <row r="42785" ht="14.25" customHeight="1" s="192">
      <c r="W42785" s="231" t="n"/>
      <c r="X42785" s="231" t="n"/>
    </row>
    <row r="42786" ht="14.25" customHeight="1" s="192">
      <c r="W42786" s="33" t="n"/>
      <c r="X42786" s="33" t="n"/>
    </row>
    <row r="42787" ht="14.25" customHeight="1" s="192">
      <c r="W42787" s="231" t="n"/>
      <c r="X42787" s="231" t="n"/>
    </row>
    <row r="42788" ht="14.25" customHeight="1" s="192">
      <c r="W42788" s="33" t="n"/>
      <c r="X42788" s="33" t="n"/>
    </row>
    <row r="42790" ht="14.25" customHeight="1" s="192">
      <c r="W42790" s="231" t="n"/>
      <c r="X42790" s="231" t="n"/>
    </row>
    <row r="42791" ht="14.25" customHeight="1" s="192">
      <c r="W42791" s="235" t="n"/>
      <c r="X42791" s="235" t="n"/>
    </row>
    <row r="42792" ht="14.25" customHeight="1" s="192">
      <c r="W42792" s="228" t="n"/>
      <c r="X42792" s="228" t="n"/>
    </row>
    <row r="42793" ht="14.25" customHeight="1" s="192">
      <c r="W42793" s="235" t="n"/>
      <c r="X42793" s="235" t="n"/>
    </row>
    <row r="42794" ht="14.25" customHeight="1" s="192">
      <c r="W42794" s="235" t="n"/>
      <c r="X42794" s="235" t="n"/>
    </row>
    <row r="42795" ht="14.25" customHeight="1" s="192">
      <c r="W42795" s="235" t="n"/>
      <c r="X42795" s="235" t="n"/>
    </row>
    <row r="42796" ht="14.25" customHeight="1" s="192">
      <c r="W42796" s="239" t="n"/>
      <c r="X42796" s="239" t="n"/>
    </row>
    <row r="42797" ht="14.25" customHeight="1" s="192">
      <c r="W42797" s="239" t="n"/>
      <c r="X42797" s="239" t="n"/>
    </row>
    <row r="42798" ht="14.25" customHeight="1" s="192">
      <c r="W42798" s="239" t="n"/>
      <c r="X42798" s="239" t="n"/>
    </row>
    <row r="42799" ht="14.25" customHeight="1" s="192">
      <c r="W42799" s="235" t="n"/>
      <c r="X42799" s="235" t="n"/>
    </row>
    <row r="42800" ht="14.25" customHeight="1" s="192">
      <c r="W42800" s="235" t="n"/>
      <c r="X42800" s="235" t="n"/>
    </row>
    <row r="42801" ht="14.25" customHeight="1" s="192">
      <c r="W42801" s="235" t="n"/>
      <c r="X42801" s="235" t="n"/>
    </row>
    <row r="42802" ht="14.25" customHeight="1" s="192">
      <c r="W42802" s="239" t="n"/>
      <c r="X42802" s="239" t="n"/>
    </row>
    <row r="42803" ht="14.25" customHeight="1" s="192">
      <c r="W42803" s="239" t="n"/>
      <c r="X42803" s="239" t="n"/>
    </row>
    <row r="42804" ht="14.25" customHeight="1" s="192">
      <c r="W42804" s="235" t="n"/>
      <c r="X42804" s="235" t="n"/>
    </row>
    <row r="42805" ht="14.25" customHeight="1" s="192">
      <c r="W42805" s="235" t="n"/>
      <c r="X42805" s="235" t="n"/>
    </row>
    <row r="42806" ht="14.25" customHeight="1" s="192">
      <c r="W42806" s="239" t="n"/>
      <c r="X42806" s="239" t="n"/>
    </row>
    <row r="42807" ht="14.25" customHeight="1" s="192">
      <c r="W42807" s="235" t="n"/>
      <c r="X42807" s="235" t="n"/>
    </row>
    <row r="42808" ht="14.25" customHeight="1" s="192">
      <c r="W42808" s="239" t="n"/>
      <c r="X42808" s="239" t="n"/>
    </row>
    <row r="42810" ht="14.25" customHeight="1" s="192">
      <c r="W42810" s="235" t="n"/>
      <c r="X42810" s="235" t="n"/>
    </row>
    <row r="42811" ht="15" customHeight="1" s="192" thickBot="1">
      <c r="W42811" s="239" t="n"/>
      <c r="X42811" s="239" t="n"/>
    </row>
    <row r="42812" ht="15" customHeight="1" s="192" thickBot="1">
      <c r="W42812" s="45" t="n"/>
      <c r="X42812" s="45" t="n"/>
    </row>
    <row r="42813" ht="14.25" customHeight="1" s="192">
      <c r="W42813" s="228" t="n"/>
      <c r="X42813" s="228" t="n"/>
    </row>
    <row r="42814" ht="14.25" customHeight="1" s="192">
      <c r="W42814" s="228" t="n"/>
      <c r="X42814" s="228" t="n"/>
    </row>
    <row r="42815" ht="14.25" customHeight="1" s="192">
      <c r="W42815" s="231" t="n"/>
      <c r="X42815" s="231" t="n"/>
    </row>
    <row r="42816" ht="14.25" customHeight="1" s="192">
      <c r="W42816" s="33" t="n"/>
      <c r="X42816" s="33" t="n"/>
    </row>
    <row r="42817" ht="14.25" customHeight="1" s="192">
      <c r="W42817" s="231" t="n"/>
      <c r="X42817" s="231" t="n"/>
    </row>
    <row r="42818" ht="14.25" customHeight="1" s="192">
      <c r="W42818" s="33" t="n"/>
      <c r="X42818" s="33" t="n"/>
    </row>
    <row r="42820" ht="14.25" customHeight="1" s="192">
      <c r="W42820" s="231" t="n"/>
      <c r="X42820" s="231" t="n"/>
    </row>
    <row r="42821" ht="14.25" customHeight="1" s="192">
      <c r="W42821" s="235" t="n"/>
      <c r="X42821" s="235" t="n"/>
    </row>
    <row r="42822" ht="14.25" customHeight="1" s="192">
      <c r="W42822" s="228" t="n"/>
      <c r="X42822" s="228" t="n"/>
    </row>
    <row r="42823" ht="14.25" customHeight="1" s="192">
      <c r="W42823" s="235" t="n"/>
      <c r="X42823" s="235" t="n"/>
    </row>
    <row r="42824" ht="14.25" customHeight="1" s="192">
      <c r="W42824" s="235" t="n"/>
      <c r="X42824" s="235" t="n"/>
    </row>
    <row r="42825" ht="14.25" customHeight="1" s="192">
      <c r="W42825" s="235" t="n"/>
      <c r="X42825" s="235" t="n"/>
    </row>
    <row r="42826" ht="14.25" customHeight="1" s="192">
      <c r="W42826" s="239" t="n"/>
      <c r="X42826" s="239" t="n"/>
    </row>
    <row r="42827" ht="14.25" customHeight="1" s="192">
      <c r="W42827" s="239" t="n"/>
      <c r="X42827" s="239" t="n"/>
    </row>
    <row r="42828" ht="14.25" customHeight="1" s="192">
      <c r="W42828" s="239" t="n"/>
      <c r="X42828" s="239" t="n"/>
    </row>
    <row r="42829" ht="14.25" customHeight="1" s="192">
      <c r="W42829" s="235" t="n"/>
      <c r="X42829" s="235" t="n"/>
    </row>
    <row r="42830" ht="14.25" customHeight="1" s="192">
      <c r="W42830" s="235" t="n"/>
      <c r="X42830" s="235" t="n"/>
    </row>
    <row r="42831" ht="14.25" customHeight="1" s="192">
      <c r="W42831" s="235" t="n"/>
      <c r="X42831" s="235" t="n"/>
    </row>
    <row r="42832" ht="14.25" customHeight="1" s="192">
      <c r="W42832" s="239" t="n"/>
      <c r="X42832" s="239" t="n"/>
    </row>
    <row r="42833" ht="14.25" customHeight="1" s="192">
      <c r="W42833" s="239" t="n"/>
      <c r="X42833" s="239" t="n"/>
    </row>
    <row r="42834" ht="14.25" customHeight="1" s="192">
      <c r="W42834" s="235" t="n"/>
      <c r="X42834" s="235" t="n"/>
    </row>
    <row r="42835" ht="14.25" customHeight="1" s="192">
      <c r="W42835" s="235" t="n"/>
      <c r="X42835" s="235" t="n"/>
    </row>
    <row r="42836" ht="14.25" customHeight="1" s="192">
      <c r="W42836" s="239" t="n"/>
      <c r="X42836" s="239" t="n"/>
    </row>
    <row r="42837" ht="14.25" customHeight="1" s="192">
      <c r="W42837" s="235" t="n"/>
      <c r="X42837" s="235" t="n"/>
    </row>
    <row r="42838" ht="14.25" customHeight="1" s="192">
      <c r="W42838" s="239" t="n"/>
      <c r="X42838" s="239" t="n"/>
    </row>
    <row r="42840" ht="14.25" customHeight="1" s="192">
      <c r="W42840" s="235" t="n"/>
      <c r="X42840" s="235" t="n"/>
    </row>
    <row r="42841" ht="15" customHeight="1" s="192" thickBot="1">
      <c r="W42841" s="239" t="n"/>
      <c r="X42841" s="239" t="n"/>
    </row>
    <row r="42842" ht="15" customHeight="1" s="192" thickBot="1">
      <c r="W42842" s="45" t="n"/>
      <c r="X42842" s="45" t="n"/>
    </row>
    <row r="42843" ht="14.25" customHeight="1" s="192">
      <c r="W42843" s="228" t="n"/>
      <c r="X42843" s="228" t="n"/>
    </row>
    <row r="42844" ht="14.25" customHeight="1" s="192">
      <c r="W42844" s="228" t="n"/>
      <c r="X42844" s="228" t="n"/>
    </row>
    <row r="42845" ht="14.25" customHeight="1" s="192">
      <c r="W42845" s="231" t="n"/>
      <c r="X42845" s="231" t="n"/>
    </row>
    <row r="42846" ht="14.25" customHeight="1" s="192">
      <c r="W42846" s="33" t="n"/>
      <c r="X42846" s="33" t="n"/>
    </row>
    <row r="42847" ht="14.25" customHeight="1" s="192">
      <c r="W42847" s="231" t="n"/>
      <c r="X42847" s="231" t="n"/>
    </row>
    <row r="42848" ht="14.25" customHeight="1" s="192">
      <c r="W42848" s="33" t="n"/>
      <c r="X42848" s="33" t="n"/>
    </row>
    <row r="42850" ht="14.25" customHeight="1" s="192">
      <c r="W42850" s="231" t="n"/>
      <c r="X42850" s="231" t="n"/>
    </row>
    <row r="42851" ht="14.25" customHeight="1" s="192">
      <c r="W42851" s="235" t="n"/>
      <c r="X42851" s="235" t="n"/>
    </row>
    <row r="42852" ht="14.25" customHeight="1" s="192">
      <c r="W42852" s="228" t="n"/>
      <c r="X42852" s="228" t="n"/>
    </row>
    <row r="42853" ht="14.25" customHeight="1" s="192">
      <c r="W42853" s="235" t="n"/>
      <c r="X42853" s="235" t="n"/>
    </row>
    <row r="42854" ht="14.25" customHeight="1" s="192">
      <c r="W42854" s="235" t="n"/>
      <c r="X42854" s="235" t="n"/>
    </row>
    <row r="42855" ht="14.25" customHeight="1" s="192">
      <c r="W42855" s="235" t="n"/>
      <c r="X42855" s="235" t="n"/>
    </row>
    <row r="42856" ht="14.25" customHeight="1" s="192">
      <c r="W42856" s="239" t="n"/>
      <c r="X42856" s="239" t="n"/>
    </row>
    <row r="42857" ht="14.25" customHeight="1" s="192">
      <c r="W42857" s="239" t="n"/>
      <c r="X42857" s="239" t="n"/>
    </row>
    <row r="42858" ht="14.25" customHeight="1" s="192">
      <c r="W42858" s="239" t="n"/>
      <c r="X42858" s="239" t="n"/>
    </row>
    <row r="42859" ht="14.25" customHeight="1" s="192">
      <c r="W42859" s="235" t="n"/>
      <c r="X42859" s="235" t="n"/>
    </row>
    <row r="42860" ht="14.25" customHeight="1" s="192">
      <c r="W42860" s="235" t="n"/>
      <c r="X42860" s="235" t="n"/>
    </row>
    <row r="42861" ht="14.25" customHeight="1" s="192">
      <c r="W42861" s="235" t="n"/>
      <c r="X42861" s="235" t="n"/>
    </row>
    <row r="42862" ht="14.25" customHeight="1" s="192">
      <c r="W42862" s="239" t="n"/>
      <c r="X42862" s="239" t="n"/>
    </row>
    <row r="42863" ht="14.25" customHeight="1" s="192">
      <c r="W42863" s="239" t="n"/>
      <c r="X42863" s="239" t="n"/>
    </row>
    <row r="42864" ht="14.25" customHeight="1" s="192">
      <c r="W42864" s="235" t="n"/>
      <c r="X42864" s="235" t="n"/>
    </row>
    <row r="42865" ht="14.25" customHeight="1" s="192">
      <c r="W42865" s="235" t="n"/>
      <c r="X42865" s="235" t="n"/>
    </row>
    <row r="42866" ht="14.25" customHeight="1" s="192">
      <c r="W42866" s="239" t="n"/>
      <c r="X42866" s="239" t="n"/>
    </row>
    <row r="42867" ht="14.25" customHeight="1" s="192">
      <c r="W42867" s="235" t="n"/>
      <c r="X42867" s="235" t="n"/>
    </row>
    <row r="42868" ht="14.25" customHeight="1" s="192">
      <c r="W42868" s="239" t="n"/>
      <c r="X42868" s="239" t="n"/>
    </row>
    <row r="42870" ht="14.25" customHeight="1" s="192">
      <c r="W42870" s="235" t="n"/>
      <c r="X42870" s="235" t="n"/>
    </row>
    <row r="42871" ht="15" customHeight="1" s="192" thickBot="1">
      <c r="W42871" s="239" t="n"/>
      <c r="X42871" s="239" t="n"/>
    </row>
    <row r="42872" ht="15" customHeight="1" s="192" thickBot="1">
      <c r="W42872" s="45" t="n"/>
      <c r="X42872" s="45" t="n"/>
    </row>
    <row r="42873" ht="14.25" customHeight="1" s="192">
      <c r="W42873" s="228" t="n"/>
      <c r="X42873" s="228" t="n"/>
    </row>
    <row r="42874" ht="14.25" customHeight="1" s="192">
      <c r="W42874" s="228" t="n"/>
      <c r="X42874" s="228" t="n"/>
    </row>
    <row r="42875" ht="14.25" customHeight="1" s="192">
      <c r="W42875" s="231" t="n"/>
      <c r="X42875" s="231" t="n"/>
    </row>
    <row r="42876" ht="14.25" customHeight="1" s="192">
      <c r="W42876" s="33" t="n"/>
      <c r="X42876" s="33" t="n"/>
    </row>
    <row r="42877" ht="14.25" customHeight="1" s="192">
      <c r="W42877" s="231" t="n"/>
      <c r="X42877" s="231" t="n"/>
    </row>
    <row r="42878" ht="14.25" customHeight="1" s="192">
      <c r="W42878" s="33" t="n"/>
      <c r="X42878" s="33" t="n"/>
    </row>
    <row r="42880" ht="14.25" customHeight="1" s="192">
      <c r="W42880" s="231" t="n"/>
      <c r="X42880" s="231" t="n"/>
    </row>
    <row r="42881" ht="14.25" customHeight="1" s="192">
      <c r="W42881" s="235" t="n"/>
      <c r="X42881" s="235" t="n"/>
    </row>
    <row r="42882" ht="14.25" customHeight="1" s="192">
      <c r="W42882" s="228" t="n"/>
      <c r="X42882" s="228" t="n"/>
    </row>
    <row r="42883" ht="14.25" customHeight="1" s="192">
      <c r="W42883" s="235" t="n"/>
      <c r="X42883" s="235" t="n"/>
    </row>
    <row r="42884" ht="14.25" customHeight="1" s="192">
      <c r="W42884" s="235" t="n"/>
      <c r="X42884" s="235" t="n"/>
    </row>
    <row r="42885" ht="14.25" customHeight="1" s="192">
      <c r="W42885" s="235" t="n"/>
      <c r="X42885" s="235" t="n"/>
    </row>
    <row r="42886" ht="14.25" customHeight="1" s="192">
      <c r="W42886" s="239" t="n"/>
      <c r="X42886" s="239" t="n"/>
    </row>
    <row r="42887" ht="14.25" customHeight="1" s="192">
      <c r="W42887" s="239" t="n"/>
      <c r="X42887" s="239" t="n"/>
    </row>
    <row r="42888" ht="14.25" customHeight="1" s="192">
      <c r="W42888" s="239" t="n"/>
      <c r="X42888" s="239" t="n"/>
    </row>
    <row r="42889" ht="14.25" customHeight="1" s="192">
      <c r="W42889" s="235" t="n"/>
      <c r="X42889" s="235" t="n"/>
    </row>
    <row r="42890" ht="14.25" customHeight="1" s="192">
      <c r="W42890" s="235" t="n"/>
      <c r="X42890" s="235" t="n"/>
    </row>
    <row r="42891" ht="14.25" customHeight="1" s="192">
      <c r="W42891" s="235" t="n"/>
      <c r="X42891" s="235" t="n"/>
    </row>
    <row r="42892" ht="14.25" customHeight="1" s="192">
      <c r="W42892" s="239" t="n"/>
      <c r="X42892" s="239" t="n"/>
    </row>
    <row r="42893" ht="14.25" customHeight="1" s="192">
      <c r="W42893" s="239" t="n"/>
      <c r="X42893" s="239" t="n"/>
    </row>
    <row r="42894" ht="14.25" customHeight="1" s="192">
      <c r="W42894" s="235" t="n"/>
      <c r="X42894" s="235" t="n"/>
    </row>
    <row r="42895" ht="14.25" customHeight="1" s="192">
      <c r="W42895" s="235" t="n"/>
      <c r="X42895" s="235" t="n"/>
    </row>
    <row r="42896" ht="14.25" customHeight="1" s="192">
      <c r="W42896" s="239" t="n"/>
      <c r="X42896" s="239" t="n"/>
    </row>
    <row r="42897" ht="14.25" customHeight="1" s="192">
      <c r="W42897" s="235" t="n"/>
      <c r="X42897" s="235" t="n"/>
    </row>
    <row r="42898" ht="14.25" customHeight="1" s="192">
      <c r="W42898" s="239" t="n"/>
      <c r="X42898" s="239" t="n"/>
    </row>
    <row r="42900" ht="14.25" customHeight="1" s="192">
      <c r="W42900" s="235" t="n"/>
      <c r="X42900" s="235" t="n"/>
    </row>
    <row r="42901" ht="15" customHeight="1" s="192" thickBot="1">
      <c r="W42901" s="239" t="n"/>
      <c r="X42901" s="239" t="n"/>
    </row>
    <row r="42902" ht="15" customHeight="1" s="192" thickBot="1">
      <c r="W42902" s="45" t="n"/>
      <c r="X42902" s="45" t="n"/>
    </row>
    <row r="42903" ht="14.25" customHeight="1" s="192">
      <c r="W42903" s="228" t="n"/>
      <c r="X42903" s="228" t="n"/>
    </row>
    <row r="42904" ht="14.25" customHeight="1" s="192">
      <c r="W42904" s="228" t="n"/>
      <c r="X42904" s="228" t="n"/>
    </row>
    <row r="42905" ht="14.25" customHeight="1" s="192">
      <c r="W42905" s="231" t="n"/>
      <c r="X42905" s="231" t="n"/>
    </row>
    <row r="42906" ht="14.25" customHeight="1" s="192">
      <c r="W42906" s="33" t="n"/>
      <c r="X42906" s="33" t="n"/>
    </row>
    <row r="42907" ht="14.25" customHeight="1" s="192">
      <c r="W42907" s="231" t="n"/>
      <c r="X42907" s="231" t="n"/>
    </row>
    <row r="42908" ht="14.25" customHeight="1" s="192">
      <c r="W42908" s="33" t="n"/>
      <c r="X42908" s="33" t="n"/>
    </row>
    <row r="42910" ht="14.25" customHeight="1" s="192">
      <c r="W42910" s="231" t="n"/>
      <c r="X42910" s="231" t="n"/>
    </row>
    <row r="42911" ht="14.25" customHeight="1" s="192">
      <c r="W42911" s="235" t="n"/>
      <c r="X42911" s="235" t="n"/>
    </row>
    <row r="42912" ht="14.25" customHeight="1" s="192">
      <c r="W42912" s="228" t="n"/>
      <c r="X42912" s="228" t="n"/>
    </row>
    <row r="42913" ht="14.25" customHeight="1" s="192">
      <c r="W42913" s="235" t="n"/>
      <c r="X42913" s="235" t="n"/>
    </row>
    <row r="42914" ht="14.25" customHeight="1" s="192">
      <c r="W42914" s="235" t="n"/>
      <c r="X42914" s="235" t="n"/>
    </row>
    <row r="42915" ht="14.25" customHeight="1" s="192">
      <c r="W42915" s="235" t="n"/>
      <c r="X42915" s="235" t="n"/>
    </row>
    <row r="42916" ht="14.25" customHeight="1" s="192">
      <c r="W42916" s="239" t="n"/>
      <c r="X42916" s="239" t="n"/>
    </row>
    <row r="42917" ht="14.25" customHeight="1" s="192">
      <c r="W42917" s="239" t="n"/>
      <c r="X42917" s="239" t="n"/>
    </row>
    <row r="42918" ht="14.25" customHeight="1" s="192">
      <c r="W42918" s="239" t="n"/>
      <c r="X42918" s="239" t="n"/>
    </row>
    <row r="42919" ht="14.25" customHeight="1" s="192">
      <c r="W42919" s="235" t="n"/>
      <c r="X42919" s="235" t="n"/>
    </row>
    <row r="42920" ht="14.25" customHeight="1" s="192">
      <c r="W42920" s="235" t="n"/>
      <c r="X42920" s="235" t="n"/>
    </row>
    <row r="42921" ht="14.25" customHeight="1" s="192">
      <c r="W42921" s="235" t="n"/>
      <c r="X42921" s="235" t="n"/>
    </row>
    <row r="42922" ht="14.25" customHeight="1" s="192">
      <c r="W42922" s="239" t="n"/>
      <c r="X42922" s="239" t="n"/>
    </row>
    <row r="42923" ht="14.25" customHeight="1" s="192">
      <c r="W42923" s="239" t="n"/>
      <c r="X42923" s="239" t="n"/>
    </row>
    <row r="42924" ht="14.25" customHeight="1" s="192">
      <c r="W42924" s="235" t="n"/>
      <c r="X42924" s="235" t="n"/>
    </row>
    <row r="42925" ht="14.25" customHeight="1" s="192">
      <c r="W42925" s="235" t="n"/>
      <c r="X42925" s="235" t="n"/>
    </row>
    <row r="42926" ht="14.25" customHeight="1" s="192">
      <c r="W42926" s="239" t="n"/>
      <c r="X42926" s="239" t="n"/>
    </row>
    <row r="42927" ht="14.25" customHeight="1" s="192">
      <c r="W42927" s="235" t="n"/>
      <c r="X42927" s="235" t="n"/>
    </row>
    <row r="42928" ht="14.25" customHeight="1" s="192">
      <c r="W42928" s="239" t="n"/>
      <c r="X42928" s="239" t="n"/>
    </row>
    <row r="42930" ht="14.25" customHeight="1" s="192">
      <c r="W42930" s="235" t="n"/>
      <c r="X42930" s="235" t="n"/>
    </row>
    <row r="42931" ht="15" customHeight="1" s="192" thickBot="1">
      <c r="W42931" s="239" t="n"/>
      <c r="X42931" s="239" t="n"/>
    </row>
    <row r="42932" ht="15" customHeight="1" s="192" thickBot="1">
      <c r="W42932" s="45" t="n"/>
      <c r="X42932" s="45" t="n"/>
    </row>
    <row r="42933" ht="14.25" customHeight="1" s="192">
      <c r="W42933" s="228" t="n"/>
      <c r="X42933" s="228" t="n"/>
    </row>
    <row r="42934" ht="14.25" customHeight="1" s="192">
      <c r="W42934" s="228" t="n"/>
      <c r="X42934" s="228" t="n"/>
    </row>
    <row r="42935" ht="14.25" customHeight="1" s="192">
      <c r="W42935" s="231" t="n"/>
      <c r="X42935" s="231" t="n"/>
    </row>
    <row r="42936" ht="14.25" customHeight="1" s="192">
      <c r="W42936" s="33" t="n"/>
      <c r="X42936" s="33" t="n"/>
    </row>
    <row r="42937" ht="14.25" customHeight="1" s="192">
      <c r="W42937" s="231" t="n"/>
      <c r="X42937" s="231" t="n"/>
    </row>
    <row r="42938" ht="14.25" customHeight="1" s="192">
      <c r="W42938" s="33" t="n"/>
      <c r="X42938" s="33" t="n"/>
    </row>
    <row r="42940" ht="14.25" customHeight="1" s="192">
      <c r="W42940" s="231" t="n"/>
      <c r="X42940" s="231" t="n"/>
    </row>
    <row r="42941" ht="14.25" customHeight="1" s="192">
      <c r="W42941" s="235" t="n"/>
      <c r="X42941" s="235" t="n"/>
    </row>
    <row r="42942" ht="14.25" customHeight="1" s="192">
      <c r="W42942" s="228" t="n"/>
      <c r="X42942" s="228" t="n"/>
    </row>
    <row r="42943" ht="14.25" customHeight="1" s="192">
      <c r="W42943" s="235" t="n"/>
      <c r="X42943" s="235" t="n"/>
    </row>
    <row r="42944" ht="14.25" customHeight="1" s="192">
      <c r="W42944" s="235" t="n"/>
      <c r="X42944" s="235" t="n"/>
    </row>
    <row r="42945" ht="14.25" customHeight="1" s="192">
      <c r="W42945" s="235" t="n"/>
      <c r="X42945" s="235" t="n"/>
    </row>
    <row r="42946" ht="14.25" customHeight="1" s="192">
      <c r="W42946" s="239" t="n"/>
      <c r="X42946" s="239" t="n"/>
    </row>
    <row r="42947" ht="14.25" customHeight="1" s="192">
      <c r="W42947" s="239" t="n"/>
      <c r="X42947" s="239" t="n"/>
    </row>
    <row r="42948" ht="14.25" customHeight="1" s="192">
      <c r="W42948" s="239" t="n"/>
      <c r="X42948" s="239" t="n"/>
    </row>
    <row r="42949" ht="14.25" customHeight="1" s="192">
      <c r="W42949" s="235" t="n"/>
      <c r="X42949" s="235" t="n"/>
    </row>
    <row r="42950" ht="14.25" customHeight="1" s="192">
      <c r="W42950" s="235" t="n"/>
      <c r="X42950" s="235" t="n"/>
    </row>
    <row r="42951" ht="14.25" customHeight="1" s="192">
      <c r="W42951" s="235" t="n"/>
      <c r="X42951" s="235" t="n"/>
    </row>
    <row r="42952" ht="14.25" customHeight="1" s="192">
      <c r="W42952" s="239" t="n"/>
      <c r="X42952" s="239" t="n"/>
    </row>
    <row r="42953" ht="14.25" customHeight="1" s="192">
      <c r="W42953" s="239" t="n"/>
      <c r="X42953" s="239" t="n"/>
    </row>
    <row r="42954" ht="14.25" customHeight="1" s="192">
      <c r="W42954" s="235" t="n"/>
      <c r="X42954" s="235" t="n"/>
    </row>
    <row r="42955" ht="14.25" customHeight="1" s="192">
      <c r="W42955" s="235" t="n"/>
      <c r="X42955" s="235" t="n"/>
    </row>
    <row r="42956" ht="14.25" customHeight="1" s="192">
      <c r="W42956" s="239" t="n"/>
      <c r="X42956" s="239" t="n"/>
    </row>
    <row r="42957" ht="14.25" customHeight="1" s="192">
      <c r="W42957" s="235" t="n"/>
      <c r="X42957" s="235" t="n"/>
    </row>
    <row r="42958" ht="14.25" customHeight="1" s="192">
      <c r="W42958" s="239" t="n"/>
      <c r="X42958" s="239" t="n"/>
    </row>
    <row r="42960" ht="14.25" customHeight="1" s="192">
      <c r="W42960" s="235" t="n"/>
      <c r="X42960" s="235" t="n"/>
    </row>
    <row r="42961" ht="15" customHeight="1" s="192" thickBot="1">
      <c r="W42961" s="239" t="n"/>
      <c r="X42961" s="239" t="n"/>
    </row>
    <row r="42962" ht="15" customHeight="1" s="192" thickBot="1">
      <c r="W42962" s="45" t="n"/>
      <c r="X42962" s="45" t="n"/>
    </row>
    <row r="42963" ht="14.25" customHeight="1" s="192">
      <c r="W42963" s="228" t="n"/>
      <c r="X42963" s="228" t="n"/>
    </row>
    <row r="42964" ht="14.25" customHeight="1" s="192">
      <c r="W42964" s="228" t="n"/>
      <c r="X42964" s="228" t="n"/>
    </row>
    <row r="42965" ht="14.25" customHeight="1" s="192">
      <c r="W42965" s="231" t="n"/>
      <c r="X42965" s="231" t="n"/>
    </row>
    <row r="42966" ht="14.25" customHeight="1" s="192">
      <c r="W42966" s="33" t="n"/>
      <c r="X42966" s="33" t="n"/>
    </row>
    <row r="42967" ht="14.25" customHeight="1" s="192">
      <c r="W42967" s="231" t="n"/>
      <c r="X42967" s="231" t="n"/>
    </row>
    <row r="42968" ht="14.25" customHeight="1" s="192">
      <c r="W42968" s="33" t="n"/>
      <c r="X42968" s="33" t="n"/>
    </row>
    <row r="42970" ht="14.25" customHeight="1" s="192">
      <c r="W42970" s="231" t="n"/>
      <c r="X42970" s="231" t="n"/>
    </row>
    <row r="42971" ht="14.25" customHeight="1" s="192">
      <c r="W42971" s="235" t="n"/>
      <c r="X42971" s="235" t="n"/>
    </row>
    <row r="42972" ht="14.25" customHeight="1" s="192">
      <c r="W42972" s="228" t="n"/>
      <c r="X42972" s="228" t="n"/>
    </row>
    <row r="42973" ht="14.25" customHeight="1" s="192">
      <c r="W42973" s="235" t="n"/>
      <c r="X42973" s="235" t="n"/>
    </row>
    <row r="42974" ht="14.25" customHeight="1" s="192">
      <c r="W42974" s="235" t="n"/>
      <c r="X42974" s="235" t="n"/>
    </row>
    <row r="42975" ht="14.25" customHeight="1" s="192">
      <c r="W42975" s="235" t="n"/>
      <c r="X42975" s="235" t="n"/>
    </row>
    <row r="42976" ht="14.25" customHeight="1" s="192">
      <c r="W42976" s="239" t="n"/>
      <c r="X42976" s="239" t="n"/>
    </row>
    <row r="42977" ht="14.25" customHeight="1" s="192">
      <c r="W42977" s="239" t="n"/>
      <c r="X42977" s="239" t="n"/>
    </row>
    <row r="42978" ht="14.25" customHeight="1" s="192">
      <c r="W42978" s="239" t="n"/>
      <c r="X42978" s="239" t="n"/>
    </row>
    <row r="42979" ht="14.25" customHeight="1" s="192">
      <c r="W42979" s="235" t="n"/>
      <c r="X42979" s="235" t="n"/>
    </row>
    <row r="42980" ht="14.25" customHeight="1" s="192">
      <c r="W42980" s="235" t="n"/>
      <c r="X42980" s="235" t="n"/>
    </row>
    <row r="42981" ht="14.25" customHeight="1" s="192">
      <c r="W42981" s="235" t="n"/>
      <c r="X42981" s="235" t="n"/>
    </row>
    <row r="42982" ht="14.25" customHeight="1" s="192">
      <c r="W42982" s="239" t="n"/>
      <c r="X42982" s="239" t="n"/>
    </row>
    <row r="42983" ht="14.25" customHeight="1" s="192">
      <c r="W42983" s="239" t="n"/>
      <c r="X42983" s="239" t="n"/>
    </row>
    <row r="42984" ht="14.25" customHeight="1" s="192">
      <c r="W42984" s="235" t="n"/>
      <c r="X42984" s="235" t="n"/>
    </row>
    <row r="42985" ht="14.25" customHeight="1" s="192">
      <c r="W42985" s="235" t="n"/>
      <c r="X42985" s="235" t="n"/>
    </row>
    <row r="42986" ht="14.25" customHeight="1" s="192">
      <c r="W42986" s="239" t="n"/>
      <c r="X42986" s="239" t="n"/>
    </row>
    <row r="42987" ht="14.25" customHeight="1" s="192">
      <c r="W42987" s="235" t="n"/>
      <c r="X42987" s="235" t="n"/>
    </row>
    <row r="42988" ht="14.25" customHeight="1" s="192">
      <c r="W42988" s="239" t="n"/>
      <c r="X42988" s="239" t="n"/>
    </row>
    <row r="42990" ht="14.25" customHeight="1" s="192">
      <c r="W42990" s="235" t="n"/>
      <c r="X42990" s="235" t="n"/>
    </row>
    <row r="42991" ht="15" customHeight="1" s="192" thickBot="1">
      <c r="W42991" s="239" t="n"/>
      <c r="X42991" s="239" t="n"/>
    </row>
    <row r="42992" ht="15" customHeight="1" s="192" thickBot="1">
      <c r="W42992" s="45" t="n"/>
      <c r="X42992" s="45" t="n"/>
    </row>
    <row r="42993" ht="14.25" customHeight="1" s="192">
      <c r="W42993" s="228" t="n"/>
      <c r="X42993" s="228" t="n"/>
    </row>
    <row r="42994" ht="14.25" customHeight="1" s="192">
      <c r="W42994" s="228" t="n"/>
      <c r="X42994" s="228" t="n"/>
    </row>
    <row r="42995" ht="14.25" customHeight="1" s="192">
      <c r="W42995" s="231" t="n"/>
      <c r="X42995" s="231" t="n"/>
    </row>
    <row r="42996" ht="14.25" customHeight="1" s="192">
      <c r="W42996" s="33" t="n"/>
      <c r="X42996" s="33" t="n"/>
    </row>
    <row r="42997" ht="14.25" customHeight="1" s="192">
      <c r="W42997" s="231" t="n"/>
      <c r="X42997" s="231" t="n"/>
    </row>
    <row r="42998" ht="14.25" customHeight="1" s="192">
      <c r="W42998" s="33" t="n"/>
      <c r="X42998" s="33" t="n"/>
    </row>
    <row r="43000" ht="14.25" customHeight="1" s="192">
      <c r="W43000" s="231" t="n"/>
      <c r="X43000" s="231" t="n"/>
    </row>
    <row r="43001" ht="14.25" customHeight="1" s="192">
      <c r="W43001" s="235" t="n"/>
      <c r="X43001" s="235" t="n"/>
    </row>
    <row r="43002" ht="14.25" customHeight="1" s="192">
      <c r="W43002" s="228" t="n"/>
      <c r="X43002" s="228" t="n"/>
    </row>
    <row r="43003" ht="14.25" customHeight="1" s="192">
      <c r="W43003" s="235" t="n"/>
      <c r="X43003" s="235" t="n"/>
    </row>
    <row r="43004" ht="14.25" customHeight="1" s="192">
      <c r="W43004" s="235" t="n"/>
      <c r="X43004" s="235" t="n"/>
    </row>
    <row r="43005" ht="14.25" customHeight="1" s="192">
      <c r="W43005" s="235" t="n"/>
      <c r="X43005" s="235" t="n"/>
    </row>
    <row r="43006" ht="14.25" customHeight="1" s="192">
      <c r="W43006" s="239" t="n"/>
      <c r="X43006" s="239" t="n"/>
    </row>
    <row r="43007" ht="14.25" customHeight="1" s="192">
      <c r="W43007" s="239" t="n"/>
      <c r="X43007" s="239" t="n"/>
    </row>
    <row r="43008" ht="14.25" customHeight="1" s="192">
      <c r="W43008" s="239" t="n"/>
      <c r="X43008" s="239" t="n"/>
    </row>
    <row r="43009" ht="14.25" customHeight="1" s="192">
      <c r="W43009" s="235" t="n"/>
      <c r="X43009" s="235" t="n"/>
    </row>
    <row r="43010" ht="14.25" customHeight="1" s="192">
      <c r="W43010" s="235" t="n"/>
      <c r="X43010" s="235" t="n"/>
    </row>
    <row r="43011" ht="14.25" customHeight="1" s="192">
      <c r="W43011" s="235" t="n"/>
      <c r="X43011" s="235" t="n"/>
    </row>
    <row r="43012" ht="14.25" customHeight="1" s="192">
      <c r="W43012" s="239" t="n"/>
      <c r="X43012" s="239" t="n"/>
    </row>
    <row r="43013" ht="14.25" customHeight="1" s="192">
      <c r="W43013" s="239" t="n"/>
      <c r="X43013" s="239" t="n"/>
    </row>
    <row r="43014" ht="14.25" customHeight="1" s="192">
      <c r="W43014" s="235" t="n"/>
      <c r="X43014" s="235" t="n"/>
    </row>
    <row r="43015" ht="14.25" customHeight="1" s="192">
      <c r="W43015" s="235" t="n"/>
      <c r="X43015" s="235" t="n"/>
    </row>
    <row r="43016" ht="14.25" customHeight="1" s="192">
      <c r="W43016" s="239" t="n"/>
      <c r="X43016" s="239" t="n"/>
    </row>
    <row r="43017" ht="14.25" customHeight="1" s="192">
      <c r="W43017" s="235" t="n"/>
      <c r="X43017" s="235" t="n"/>
    </row>
    <row r="43018" ht="14.25" customHeight="1" s="192">
      <c r="W43018" s="239" t="n"/>
      <c r="X43018" s="239" t="n"/>
    </row>
    <row r="43020" ht="14.25" customHeight="1" s="192">
      <c r="W43020" s="235" t="n"/>
      <c r="X43020" s="235" t="n"/>
    </row>
    <row r="43021" ht="15" customHeight="1" s="192" thickBot="1">
      <c r="W43021" s="239" t="n"/>
      <c r="X43021" s="239" t="n"/>
    </row>
    <row r="43022" ht="15" customHeight="1" s="192" thickBot="1">
      <c r="W43022" s="45" t="n"/>
      <c r="X43022" s="45" t="n"/>
    </row>
    <row r="43023" ht="14.25" customHeight="1" s="192">
      <c r="W43023" s="228" t="n"/>
      <c r="X43023" s="228" t="n"/>
    </row>
    <row r="43024" ht="14.25" customHeight="1" s="192">
      <c r="W43024" s="228" t="n"/>
      <c r="X43024" s="228" t="n"/>
    </row>
    <row r="43025" ht="14.25" customHeight="1" s="192">
      <c r="W43025" s="231" t="n"/>
      <c r="X43025" s="231" t="n"/>
    </row>
    <row r="43026" ht="14.25" customHeight="1" s="192">
      <c r="W43026" s="33" t="n"/>
      <c r="X43026" s="33" t="n"/>
    </row>
    <row r="43027" ht="14.25" customHeight="1" s="192">
      <c r="W43027" s="231" t="n"/>
      <c r="X43027" s="231" t="n"/>
    </row>
    <row r="43028" ht="14.25" customHeight="1" s="192">
      <c r="W43028" s="33" t="n"/>
      <c r="X43028" s="33" t="n"/>
    </row>
    <row r="43030" ht="14.25" customHeight="1" s="192">
      <c r="W43030" s="231" t="n"/>
      <c r="X43030" s="231" t="n"/>
    </row>
    <row r="43031" ht="14.25" customHeight="1" s="192">
      <c r="W43031" s="235" t="n"/>
      <c r="X43031" s="235" t="n"/>
    </row>
    <row r="43032" ht="14.25" customHeight="1" s="192">
      <c r="W43032" s="228" t="n"/>
      <c r="X43032" s="228" t="n"/>
    </row>
    <row r="43033" ht="14.25" customHeight="1" s="192">
      <c r="W43033" s="235" t="n"/>
      <c r="X43033" s="235" t="n"/>
    </row>
    <row r="43034" ht="14.25" customHeight="1" s="192">
      <c r="W43034" s="235" t="n"/>
      <c r="X43034" s="235" t="n"/>
    </row>
    <row r="43035" ht="14.25" customHeight="1" s="192">
      <c r="W43035" s="235" t="n"/>
      <c r="X43035" s="235" t="n"/>
    </row>
    <row r="43036" ht="14.25" customHeight="1" s="192">
      <c r="W43036" s="239" t="n"/>
      <c r="X43036" s="239" t="n"/>
    </row>
    <row r="43037" ht="14.25" customHeight="1" s="192">
      <c r="W43037" s="239" t="n"/>
      <c r="X43037" s="239" t="n"/>
    </row>
    <row r="43038" ht="14.25" customHeight="1" s="192">
      <c r="W43038" s="239" t="n"/>
      <c r="X43038" s="239" t="n"/>
    </row>
    <row r="43039" ht="14.25" customHeight="1" s="192">
      <c r="W43039" s="235" t="n"/>
      <c r="X43039" s="235" t="n"/>
    </row>
    <row r="43040" ht="14.25" customHeight="1" s="192">
      <c r="W43040" s="235" t="n"/>
      <c r="X43040" s="235" t="n"/>
    </row>
    <row r="43041" ht="14.25" customHeight="1" s="192">
      <c r="W43041" s="235" t="n"/>
      <c r="X43041" s="235" t="n"/>
    </row>
    <row r="43042" ht="14.25" customHeight="1" s="192">
      <c r="W43042" s="239" t="n"/>
      <c r="X43042" s="239" t="n"/>
    </row>
    <row r="43043" ht="14.25" customHeight="1" s="192">
      <c r="W43043" s="239" t="n"/>
      <c r="X43043" s="239" t="n"/>
    </row>
    <row r="43044" ht="14.25" customHeight="1" s="192">
      <c r="W43044" s="235" t="n"/>
      <c r="X43044" s="235" t="n"/>
    </row>
    <row r="43045" ht="14.25" customHeight="1" s="192">
      <c r="W43045" s="235" t="n"/>
      <c r="X43045" s="235" t="n"/>
    </row>
    <row r="43046" ht="14.25" customHeight="1" s="192">
      <c r="W43046" s="239" t="n"/>
      <c r="X43046" s="239" t="n"/>
    </row>
    <row r="43047" ht="14.25" customHeight="1" s="192">
      <c r="W43047" s="235" t="n"/>
      <c r="X43047" s="235" t="n"/>
    </row>
    <row r="43048" ht="14.25" customHeight="1" s="192">
      <c r="W43048" s="239" t="n"/>
      <c r="X43048" s="239" t="n"/>
    </row>
    <row r="43050" ht="14.25" customHeight="1" s="192">
      <c r="W43050" s="235" t="n"/>
      <c r="X43050" s="235" t="n"/>
    </row>
    <row r="43051" ht="15" customHeight="1" s="192" thickBot="1">
      <c r="W43051" s="239" t="n"/>
      <c r="X43051" s="239" t="n"/>
    </row>
    <row r="43052" ht="15" customHeight="1" s="192" thickBot="1">
      <c r="W43052" s="45" t="n"/>
      <c r="X43052" s="45" t="n"/>
    </row>
    <row r="43053" ht="14.25" customHeight="1" s="192">
      <c r="W43053" s="228" t="n"/>
      <c r="X43053" s="228" t="n"/>
    </row>
    <row r="43054" ht="14.25" customHeight="1" s="192">
      <c r="W43054" s="228" t="n"/>
      <c r="X43054" s="228" t="n"/>
    </row>
    <row r="43055" ht="14.25" customHeight="1" s="192">
      <c r="W43055" s="231" t="n"/>
      <c r="X43055" s="231" t="n"/>
    </row>
    <row r="43056" ht="14.25" customHeight="1" s="192">
      <c r="W43056" s="33" t="n"/>
      <c r="X43056" s="33" t="n"/>
    </row>
    <row r="43057" ht="14.25" customHeight="1" s="192">
      <c r="W43057" s="231" t="n"/>
      <c r="X43057" s="231" t="n"/>
    </row>
    <row r="43058" ht="14.25" customHeight="1" s="192">
      <c r="W43058" s="33" t="n"/>
      <c r="X43058" s="33" t="n"/>
    </row>
    <row r="43060" ht="14.25" customHeight="1" s="192">
      <c r="W43060" s="231" t="n"/>
      <c r="X43060" s="231" t="n"/>
    </row>
    <row r="43061" ht="14.25" customHeight="1" s="192">
      <c r="W43061" s="235" t="n"/>
      <c r="X43061" s="235" t="n"/>
    </row>
    <row r="43062" ht="14.25" customHeight="1" s="192">
      <c r="W43062" s="228" t="n"/>
      <c r="X43062" s="228" t="n"/>
    </row>
    <row r="43063" ht="14.25" customHeight="1" s="192">
      <c r="W43063" s="235" t="n"/>
      <c r="X43063" s="235" t="n"/>
    </row>
    <row r="43064" ht="14.25" customHeight="1" s="192">
      <c r="W43064" s="235" t="n"/>
      <c r="X43064" s="235" t="n"/>
    </row>
    <row r="43065" ht="14.25" customHeight="1" s="192">
      <c r="W43065" s="235" t="n"/>
      <c r="X43065" s="235" t="n"/>
    </row>
    <row r="43066" ht="14.25" customHeight="1" s="192">
      <c r="W43066" s="239" t="n"/>
      <c r="X43066" s="239" t="n"/>
    </row>
    <row r="43067" ht="14.25" customHeight="1" s="192">
      <c r="W43067" s="239" t="n"/>
      <c r="X43067" s="239" t="n"/>
    </row>
    <row r="43068" ht="14.25" customHeight="1" s="192">
      <c r="W43068" s="239" t="n"/>
      <c r="X43068" s="239" t="n"/>
    </row>
    <row r="43069" ht="14.25" customHeight="1" s="192">
      <c r="W43069" s="235" t="n"/>
      <c r="X43069" s="235" t="n"/>
    </row>
    <row r="43070" ht="14.25" customHeight="1" s="192">
      <c r="W43070" s="235" t="n"/>
      <c r="X43070" s="235" t="n"/>
    </row>
    <row r="43071" ht="14.25" customHeight="1" s="192">
      <c r="W43071" s="235" t="n"/>
      <c r="X43071" s="235" t="n"/>
    </row>
    <row r="43072" ht="14.25" customHeight="1" s="192">
      <c r="W43072" s="239" t="n"/>
      <c r="X43072" s="239" t="n"/>
    </row>
    <row r="43073" ht="14.25" customHeight="1" s="192">
      <c r="W43073" s="239" t="n"/>
      <c r="X43073" s="239" t="n"/>
    </row>
    <row r="43074" ht="14.25" customHeight="1" s="192">
      <c r="W43074" s="235" t="n"/>
      <c r="X43074" s="235" t="n"/>
    </row>
    <row r="43075" ht="14.25" customHeight="1" s="192">
      <c r="W43075" s="235" t="n"/>
      <c r="X43075" s="235" t="n"/>
    </row>
    <row r="43076" ht="14.25" customHeight="1" s="192">
      <c r="W43076" s="239" t="n"/>
      <c r="X43076" s="239" t="n"/>
    </row>
    <row r="43077" ht="14.25" customHeight="1" s="192">
      <c r="W43077" s="235" t="n"/>
      <c r="X43077" s="235" t="n"/>
    </row>
    <row r="43078" ht="14.25" customHeight="1" s="192">
      <c r="W43078" s="239" t="n"/>
      <c r="X43078" s="239" t="n"/>
    </row>
    <row r="43080" ht="14.25" customHeight="1" s="192">
      <c r="W43080" s="235" t="n"/>
      <c r="X43080" s="235" t="n"/>
    </row>
    <row r="43081" ht="15" customHeight="1" s="192" thickBot="1">
      <c r="W43081" s="239" t="n"/>
      <c r="X43081" s="239" t="n"/>
    </row>
    <row r="43082" ht="15" customHeight="1" s="192" thickBot="1">
      <c r="W43082" s="45" t="n"/>
      <c r="X43082" s="45" t="n"/>
    </row>
    <row r="43083" ht="14.25" customHeight="1" s="192">
      <c r="W43083" s="228" t="n"/>
      <c r="X43083" s="228" t="n"/>
    </row>
    <row r="43084" ht="14.25" customHeight="1" s="192">
      <c r="W43084" s="228" t="n"/>
      <c r="X43084" s="228" t="n"/>
    </row>
    <row r="43085" ht="14.25" customHeight="1" s="192">
      <c r="W43085" s="231" t="n"/>
      <c r="X43085" s="231" t="n"/>
    </row>
    <row r="43086" ht="14.25" customHeight="1" s="192">
      <c r="W43086" s="33" t="n"/>
      <c r="X43086" s="33" t="n"/>
    </row>
    <row r="43087" ht="14.25" customHeight="1" s="192">
      <c r="W43087" s="231" t="n"/>
      <c r="X43087" s="231" t="n"/>
    </row>
    <row r="43088" ht="14.25" customHeight="1" s="192">
      <c r="W43088" s="33" t="n"/>
      <c r="X43088" s="33" t="n"/>
    </row>
    <row r="43090" ht="14.25" customHeight="1" s="192">
      <c r="W43090" s="231" t="n"/>
      <c r="X43090" s="231" t="n"/>
    </row>
    <row r="43091" ht="14.25" customHeight="1" s="192">
      <c r="W43091" s="235" t="n"/>
      <c r="X43091" s="235" t="n"/>
    </row>
    <row r="43092" ht="14.25" customHeight="1" s="192">
      <c r="W43092" s="228" t="n"/>
      <c r="X43092" s="228" t="n"/>
    </row>
    <row r="43093" ht="14.25" customHeight="1" s="192">
      <c r="W43093" s="235" t="n"/>
      <c r="X43093" s="235" t="n"/>
    </row>
    <row r="43094" ht="14.25" customHeight="1" s="192">
      <c r="W43094" s="235" t="n"/>
      <c r="X43094" s="235" t="n"/>
    </row>
    <row r="43095" ht="14.25" customHeight="1" s="192">
      <c r="W43095" s="235" t="n"/>
      <c r="X43095" s="235" t="n"/>
    </row>
    <row r="43096" ht="14.25" customHeight="1" s="192">
      <c r="W43096" s="239" t="n"/>
      <c r="X43096" s="239" t="n"/>
    </row>
    <row r="43097" ht="14.25" customHeight="1" s="192">
      <c r="W43097" s="239" t="n"/>
      <c r="X43097" s="239" t="n"/>
    </row>
    <row r="43098" ht="14.25" customHeight="1" s="192">
      <c r="W43098" s="239" t="n"/>
      <c r="X43098" s="239" t="n"/>
    </row>
    <row r="43099" ht="14.25" customHeight="1" s="192">
      <c r="W43099" s="235" t="n"/>
      <c r="X43099" s="235" t="n"/>
    </row>
    <row r="43100" ht="14.25" customHeight="1" s="192">
      <c r="W43100" s="235" t="n"/>
      <c r="X43100" s="235" t="n"/>
    </row>
    <row r="43101" ht="14.25" customHeight="1" s="192">
      <c r="W43101" s="235" t="n"/>
      <c r="X43101" s="235" t="n"/>
    </row>
    <row r="43102" ht="14.25" customHeight="1" s="192">
      <c r="W43102" s="239" t="n"/>
      <c r="X43102" s="239" t="n"/>
    </row>
    <row r="43103" ht="14.25" customHeight="1" s="192">
      <c r="W43103" s="239" t="n"/>
      <c r="X43103" s="239" t="n"/>
    </row>
    <row r="43104" ht="14.25" customHeight="1" s="192">
      <c r="W43104" s="235" t="n"/>
      <c r="X43104" s="235" t="n"/>
    </row>
    <row r="43105" ht="14.25" customHeight="1" s="192">
      <c r="W43105" s="235" t="n"/>
      <c r="X43105" s="235" t="n"/>
    </row>
    <row r="43106" ht="14.25" customHeight="1" s="192">
      <c r="W43106" s="239" t="n"/>
      <c r="X43106" s="239" t="n"/>
    </row>
    <row r="43107" ht="14.25" customHeight="1" s="192">
      <c r="W43107" s="235" t="n"/>
      <c r="X43107" s="235" t="n"/>
    </row>
    <row r="43108" ht="14.25" customHeight="1" s="192">
      <c r="W43108" s="239" t="n"/>
      <c r="X43108" s="239" t="n"/>
    </row>
    <row r="43110" ht="14.25" customHeight="1" s="192">
      <c r="W43110" s="235" t="n"/>
      <c r="X43110" s="235" t="n"/>
    </row>
    <row r="43111" ht="15" customHeight="1" s="192" thickBot="1">
      <c r="W43111" s="239" t="n"/>
      <c r="X43111" s="239" t="n"/>
    </row>
    <row r="43112" ht="15" customHeight="1" s="192" thickBot="1">
      <c r="W43112" s="45" t="n"/>
      <c r="X43112" s="45" t="n"/>
    </row>
    <row r="43113" ht="14.25" customHeight="1" s="192">
      <c r="W43113" s="228" t="n"/>
      <c r="X43113" s="228" t="n"/>
    </row>
    <row r="43114" ht="14.25" customHeight="1" s="192">
      <c r="W43114" s="228" t="n"/>
      <c r="X43114" s="228" t="n"/>
    </row>
    <row r="43115" ht="14.25" customHeight="1" s="192">
      <c r="W43115" s="231" t="n"/>
      <c r="X43115" s="231" t="n"/>
    </row>
    <row r="43116" ht="14.25" customHeight="1" s="192">
      <c r="W43116" s="33" t="n"/>
      <c r="X43116" s="33" t="n"/>
    </row>
    <row r="43117" ht="14.25" customHeight="1" s="192">
      <c r="W43117" s="231" t="n"/>
      <c r="X43117" s="231" t="n"/>
    </row>
    <row r="43118" ht="14.25" customHeight="1" s="192">
      <c r="W43118" s="33" t="n"/>
      <c r="X43118" s="33" t="n"/>
    </row>
    <row r="43120" ht="14.25" customHeight="1" s="192">
      <c r="W43120" s="231" t="n"/>
      <c r="X43120" s="231" t="n"/>
    </row>
    <row r="43121" ht="14.25" customHeight="1" s="192">
      <c r="W43121" s="235" t="n"/>
      <c r="X43121" s="235" t="n"/>
    </row>
    <row r="43122" ht="14.25" customHeight="1" s="192">
      <c r="W43122" s="228" t="n"/>
      <c r="X43122" s="228" t="n"/>
    </row>
    <row r="43123" ht="14.25" customHeight="1" s="192">
      <c r="W43123" s="235" t="n"/>
      <c r="X43123" s="235" t="n"/>
    </row>
    <row r="43124" ht="14.25" customHeight="1" s="192">
      <c r="W43124" s="235" t="n"/>
      <c r="X43124" s="235" t="n"/>
    </row>
    <row r="43125" ht="14.25" customHeight="1" s="192">
      <c r="W43125" s="235" t="n"/>
      <c r="X43125" s="235" t="n"/>
    </row>
    <row r="43126" ht="14.25" customHeight="1" s="192">
      <c r="W43126" s="239" t="n"/>
      <c r="X43126" s="239" t="n"/>
    </row>
    <row r="43127" ht="14.25" customHeight="1" s="192">
      <c r="W43127" s="239" t="n"/>
      <c r="X43127" s="239" t="n"/>
    </row>
    <row r="43128" ht="14.25" customHeight="1" s="192">
      <c r="W43128" s="239" t="n"/>
      <c r="X43128" s="239" t="n"/>
    </row>
    <row r="43129" ht="14.25" customHeight="1" s="192">
      <c r="W43129" s="235" t="n"/>
      <c r="X43129" s="235" t="n"/>
    </row>
    <row r="43130" ht="14.25" customHeight="1" s="192">
      <c r="W43130" s="235" t="n"/>
      <c r="X43130" s="235" t="n"/>
    </row>
    <row r="43131" ht="14.25" customHeight="1" s="192">
      <c r="W43131" s="235" t="n"/>
      <c r="X43131" s="235" t="n"/>
    </row>
    <row r="43132" ht="14.25" customHeight="1" s="192">
      <c r="W43132" s="239" t="n"/>
      <c r="X43132" s="239" t="n"/>
    </row>
    <row r="43133" ht="14.25" customHeight="1" s="192">
      <c r="W43133" s="239" t="n"/>
      <c r="X43133" s="239" t="n"/>
    </row>
    <row r="43134" ht="14.25" customHeight="1" s="192">
      <c r="W43134" s="235" t="n"/>
      <c r="X43134" s="235" t="n"/>
    </row>
    <row r="43135" ht="14.25" customHeight="1" s="192">
      <c r="W43135" s="235" t="n"/>
      <c r="X43135" s="235" t="n"/>
    </row>
    <row r="43136" ht="14.25" customHeight="1" s="192">
      <c r="W43136" s="239" t="n"/>
      <c r="X43136" s="239" t="n"/>
    </row>
    <row r="43137" ht="14.25" customHeight="1" s="192">
      <c r="W43137" s="235" t="n"/>
      <c r="X43137" s="235" t="n"/>
    </row>
    <row r="43138" ht="14.25" customHeight="1" s="192">
      <c r="W43138" s="239" t="n"/>
      <c r="X43138" s="239" t="n"/>
    </row>
    <row r="43140" ht="14.25" customHeight="1" s="192">
      <c r="W43140" s="235" t="n"/>
      <c r="X43140" s="235" t="n"/>
    </row>
    <row r="43141" ht="15" customHeight="1" s="192" thickBot="1">
      <c r="W43141" s="239" t="n"/>
      <c r="X43141" s="239" t="n"/>
    </row>
    <row r="43142" ht="15" customHeight="1" s="192" thickBot="1">
      <c r="W43142" s="45" t="n"/>
      <c r="X43142" s="45" t="n"/>
    </row>
    <row r="43143" ht="14.25" customHeight="1" s="192">
      <c r="W43143" s="228" t="n"/>
      <c r="X43143" s="228" t="n"/>
    </row>
    <row r="43144" ht="14.25" customHeight="1" s="192">
      <c r="W43144" s="228" t="n"/>
      <c r="X43144" s="228" t="n"/>
    </row>
    <row r="43145" ht="14.25" customHeight="1" s="192">
      <c r="W43145" s="231" t="n"/>
      <c r="X43145" s="231" t="n"/>
    </row>
    <row r="43146" ht="14.25" customHeight="1" s="192">
      <c r="W43146" s="33" t="n"/>
      <c r="X43146" s="33" t="n"/>
    </row>
    <row r="43147" ht="14.25" customHeight="1" s="192">
      <c r="W43147" s="231" t="n"/>
      <c r="X43147" s="231" t="n"/>
    </row>
    <row r="43148" ht="14.25" customHeight="1" s="192">
      <c r="W43148" s="33" t="n"/>
      <c r="X43148" s="33" t="n"/>
    </row>
    <row r="43150" ht="14.25" customHeight="1" s="192">
      <c r="W43150" s="231" t="n"/>
      <c r="X43150" s="231" t="n"/>
    </row>
    <row r="43151" ht="14.25" customHeight="1" s="192">
      <c r="W43151" s="235" t="n"/>
      <c r="X43151" s="235" t="n"/>
    </row>
    <row r="43152" ht="14.25" customHeight="1" s="192">
      <c r="W43152" s="228" t="n"/>
      <c r="X43152" s="228" t="n"/>
    </row>
    <row r="43153" ht="14.25" customHeight="1" s="192">
      <c r="W43153" s="235" t="n"/>
      <c r="X43153" s="235" t="n"/>
    </row>
    <row r="43154" ht="14.25" customHeight="1" s="192">
      <c r="W43154" s="235" t="n"/>
      <c r="X43154" s="235" t="n"/>
    </row>
    <row r="43155" ht="14.25" customHeight="1" s="192">
      <c r="W43155" s="235" t="n"/>
      <c r="X43155" s="235" t="n"/>
    </row>
    <row r="43156" ht="14.25" customHeight="1" s="192">
      <c r="W43156" s="239" t="n"/>
      <c r="X43156" s="239" t="n"/>
    </row>
    <row r="43157" ht="14.25" customHeight="1" s="192">
      <c r="W43157" s="239" t="n"/>
      <c r="X43157" s="239" t="n"/>
    </row>
    <row r="43158" ht="14.25" customHeight="1" s="192">
      <c r="W43158" s="239" t="n"/>
      <c r="X43158" s="239" t="n"/>
    </row>
    <row r="43159" ht="14.25" customHeight="1" s="192">
      <c r="W43159" s="235" t="n"/>
      <c r="X43159" s="235" t="n"/>
    </row>
    <row r="43160" ht="14.25" customHeight="1" s="192">
      <c r="W43160" s="235" t="n"/>
      <c r="X43160" s="235" t="n"/>
    </row>
    <row r="43161" ht="14.25" customHeight="1" s="192">
      <c r="W43161" s="235" t="n"/>
      <c r="X43161" s="235" t="n"/>
    </row>
    <row r="43162" ht="14.25" customHeight="1" s="192">
      <c r="W43162" s="239" t="n"/>
      <c r="X43162" s="239" t="n"/>
    </row>
    <row r="43163" ht="14.25" customHeight="1" s="192">
      <c r="W43163" s="239" t="n"/>
      <c r="X43163" s="239" t="n"/>
    </row>
    <row r="43164" ht="14.25" customHeight="1" s="192">
      <c r="W43164" s="235" t="n"/>
      <c r="X43164" s="235" t="n"/>
    </row>
    <row r="43165" ht="14.25" customHeight="1" s="192">
      <c r="W43165" s="235" t="n"/>
      <c r="X43165" s="235" t="n"/>
    </row>
    <row r="43166" ht="14.25" customHeight="1" s="192">
      <c r="W43166" s="239" t="n"/>
      <c r="X43166" s="239" t="n"/>
    </row>
    <row r="43167" ht="14.25" customHeight="1" s="192">
      <c r="W43167" s="235" t="n"/>
      <c r="X43167" s="235" t="n"/>
    </row>
    <row r="43168" ht="14.25" customHeight="1" s="192">
      <c r="W43168" s="239" t="n"/>
      <c r="X43168" s="239" t="n"/>
    </row>
    <row r="43170" ht="14.25" customHeight="1" s="192">
      <c r="W43170" s="235" t="n"/>
      <c r="X43170" s="235" t="n"/>
    </row>
    <row r="43171" ht="15" customHeight="1" s="192" thickBot="1">
      <c r="W43171" s="239" t="n"/>
      <c r="X43171" s="239" t="n"/>
    </row>
    <row r="43172" ht="15" customHeight="1" s="192" thickBot="1">
      <c r="W43172" s="45" t="n"/>
      <c r="X43172" s="45" t="n"/>
    </row>
    <row r="43173" ht="14.25" customHeight="1" s="192">
      <c r="W43173" s="228" t="n"/>
      <c r="X43173" s="228" t="n"/>
    </row>
    <row r="43174" ht="14.25" customHeight="1" s="192">
      <c r="W43174" s="228" t="n"/>
      <c r="X43174" s="228" t="n"/>
    </row>
    <row r="43175" ht="14.25" customHeight="1" s="192">
      <c r="W43175" s="231" t="n"/>
      <c r="X43175" s="231" t="n"/>
    </row>
    <row r="43176" ht="14.25" customHeight="1" s="192">
      <c r="W43176" s="33" t="n"/>
      <c r="X43176" s="33" t="n"/>
    </row>
    <row r="43177" ht="14.25" customHeight="1" s="192">
      <c r="W43177" s="231" t="n"/>
      <c r="X43177" s="231" t="n"/>
    </row>
    <row r="43178" ht="14.25" customHeight="1" s="192">
      <c r="W43178" s="33" t="n"/>
      <c r="X43178" s="33" t="n"/>
    </row>
    <row r="43180" ht="14.25" customHeight="1" s="192">
      <c r="W43180" s="231" t="n"/>
      <c r="X43180" s="231" t="n"/>
    </row>
    <row r="43181" ht="14.25" customHeight="1" s="192">
      <c r="W43181" s="235" t="n"/>
      <c r="X43181" s="235" t="n"/>
    </row>
    <row r="43182" ht="14.25" customHeight="1" s="192">
      <c r="W43182" s="228" t="n"/>
      <c r="X43182" s="228" t="n"/>
    </row>
    <row r="43183" ht="14.25" customHeight="1" s="192">
      <c r="W43183" s="235" t="n"/>
      <c r="X43183" s="235" t="n"/>
    </row>
    <row r="43184" ht="14.25" customHeight="1" s="192">
      <c r="W43184" s="235" t="n"/>
      <c r="X43184" s="235" t="n"/>
    </row>
    <row r="43185" ht="14.25" customHeight="1" s="192">
      <c r="W43185" s="235" t="n"/>
      <c r="X43185" s="235" t="n"/>
    </row>
    <row r="43186" ht="14.25" customHeight="1" s="192">
      <c r="W43186" s="239" t="n"/>
      <c r="X43186" s="239" t="n"/>
    </row>
    <row r="43187" ht="14.25" customHeight="1" s="192">
      <c r="W43187" s="239" t="n"/>
      <c r="X43187" s="239" t="n"/>
    </row>
    <row r="43188" ht="14.25" customHeight="1" s="192">
      <c r="W43188" s="239" t="n"/>
      <c r="X43188" s="239" t="n"/>
    </row>
    <row r="43189" ht="14.25" customHeight="1" s="192">
      <c r="W43189" s="235" t="n"/>
      <c r="X43189" s="235" t="n"/>
    </row>
    <row r="43190" ht="14.25" customHeight="1" s="192">
      <c r="W43190" s="235" t="n"/>
      <c r="X43190" s="235" t="n"/>
    </row>
    <row r="43191" ht="14.25" customHeight="1" s="192">
      <c r="W43191" s="235" t="n"/>
      <c r="X43191" s="235" t="n"/>
    </row>
    <row r="43192" ht="14.25" customHeight="1" s="192">
      <c r="W43192" s="239" t="n"/>
      <c r="X43192" s="239" t="n"/>
    </row>
    <row r="43193" ht="14.25" customHeight="1" s="192">
      <c r="W43193" s="239" t="n"/>
      <c r="X43193" s="239" t="n"/>
    </row>
    <row r="43194" ht="14.25" customHeight="1" s="192">
      <c r="W43194" s="235" t="n"/>
      <c r="X43194" s="235" t="n"/>
    </row>
    <row r="43195" ht="14.25" customHeight="1" s="192">
      <c r="W43195" s="235" t="n"/>
      <c r="X43195" s="235" t="n"/>
    </row>
    <row r="43196" ht="14.25" customHeight="1" s="192">
      <c r="W43196" s="239" t="n"/>
      <c r="X43196" s="239" t="n"/>
    </row>
    <row r="43197" ht="14.25" customHeight="1" s="192">
      <c r="W43197" s="235" t="n"/>
      <c r="X43197" s="235" t="n"/>
    </row>
    <row r="43198" ht="14.25" customHeight="1" s="192">
      <c r="W43198" s="239" t="n"/>
      <c r="X43198" s="239" t="n"/>
    </row>
    <row r="43200" ht="14.25" customHeight="1" s="192">
      <c r="W43200" s="235" t="n"/>
      <c r="X43200" s="235" t="n"/>
    </row>
    <row r="43201" ht="15" customHeight="1" s="192" thickBot="1">
      <c r="W43201" s="239" t="n"/>
      <c r="X43201" s="239" t="n"/>
    </row>
    <row r="43202" ht="15" customHeight="1" s="192" thickBot="1">
      <c r="W43202" s="45" t="n"/>
      <c r="X43202" s="45" t="n"/>
    </row>
    <row r="43203" ht="14.25" customHeight="1" s="192">
      <c r="W43203" s="228" t="n"/>
      <c r="X43203" s="228" t="n"/>
    </row>
    <row r="43204" ht="14.25" customHeight="1" s="192">
      <c r="W43204" s="228" t="n"/>
      <c r="X43204" s="228" t="n"/>
    </row>
    <row r="43205" ht="14.25" customHeight="1" s="192">
      <c r="W43205" s="231" t="n"/>
      <c r="X43205" s="231" t="n"/>
    </row>
    <row r="43206" ht="14.25" customHeight="1" s="192">
      <c r="W43206" s="33" t="n"/>
      <c r="X43206" s="33" t="n"/>
    </row>
    <row r="43207" ht="14.25" customHeight="1" s="192">
      <c r="W43207" s="231" t="n"/>
      <c r="X43207" s="231" t="n"/>
    </row>
    <row r="43208" ht="14.25" customHeight="1" s="192">
      <c r="W43208" s="33" t="n"/>
      <c r="X43208" s="33" t="n"/>
    </row>
    <row r="43210" ht="14.25" customHeight="1" s="192">
      <c r="W43210" s="231" t="n"/>
      <c r="X43210" s="231" t="n"/>
    </row>
    <row r="43211" ht="14.25" customHeight="1" s="192">
      <c r="W43211" s="235" t="n"/>
      <c r="X43211" s="235" t="n"/>
    </row>
    <row r="43212" ht="14.25" customHeight="1" s="192">
      <c r="W43212" s="228" t="n"/>
      <c r="X43212" s="228" t="n"/>
    </row>
    <row r="43213" ht="14.25" customHeight="1" s="192">
      <c r="W43213" s="235" t="n"/>
      <c r="X43213" s="235" t="n"/>
    </row>
    <row r="43214" ht="14.25" customHeight="1" s="192">
      <c r="W43214" s="235" t="n"/>
      <c r="X43214" s="235" t="n"/>
    </row>
    <row r="43215" ht="14.25" customHeight="1" s="192">
      <c r="W43215" s="235" t="n"/>
      <c r="X43215" s="235" t="n"/>
    </row>
    <row r="43216" ht="14.25" customHeight="1" s="192">
      <c r="W43216" s="239" t="n"/>
      <c r="X43216" s="239" t="n"/>
    </row>
    <row r="43217" ht="14.25" customHeight="1" s="192">
      <c r="W43217" s="239" t="n"/>
      <c r="X43217" s="239" t="n"/>
    </row>
    <row r="43218" ht="14.25" customHeight="1" s="192">
      <c r="W43218" s="239" t="n"/>
      <c r="X43218" s="239" t="n"/>
    </row>
    <row r="43219" ht="14.25" customHeight="1" s="192">
      <c r="W43219" s="235" t="n"/>
      <c r="X43219" s="235" t="n"/>
    </row>
    <row r="43220" ht="14.25" customHeight="1" s="192">
      <c r="W43220" s="235" t="n"/>
      <c r="X43220" s="235" t="n"/>
    </row>
    <row r="43221" ht="14.25" customHeight="1" s="192">
      <c r="W43221" s="235" t="n"/>
      <c r="X43221" s="235" t="n"/>
    </row>
    <row r="43222" ht="14.25" customHeight="1" s="192">
      <c r="W43222" s="239" t="n"/>
      <c r="X43222" s="239" t="n"/>
    </row>
    <row r="43223" ht="14.25" customHeight="1" s="192">
      <c r="W43223" s="239" t="n"/>
      <c r="X43223" s="239" t="n"/>
    </row>
    <row r="43224" ht="14.25" customHeight="1" s="192">
      <c r="W43224" s="235" t="n"/>
      <c r="X43224" s="235" t="n"/>
    </row>
    <row r="43225" ht="14.25" customHeight="1" s="192">
      <c r="W43225" s="235" t="n"/>
      <c r="X43225" s="235" t="n"/>
    </row>
    <row r="43226" ht="14.25" customHeight="1" s="192">
      <c r="W43226" s="239" t="n"/>
      <c r="X43226" s="239" t="n"/>
    </row>
    <row r="43227" ht="14.25" customHeight="1" s="192">
      <c r="W43227" s="235" t="n"/>
      <c r="X43227" s="235" t="n"/>
    </row>
    <row r="43228" ht="14.25" customHeight="1" s="192">
      <c r="W43228" s="239" t="n"/>
      <c r="X43228" s="239" t="n"/>
    </row>
    <row r="43230" ht="14.25" customHeight="1" s="192">
      <c r="W43230" s="235" t="n"/>
      <c r="X43230" s="235" t="n"/>
    </row>
    <row r="43231" ht="15" customHeight="1" s="192" thickBot="1">
      <c r="W43231" s="239" t="n"/>
      <c r="X43231" s="239" t="n"/>
    </row>
    <row r="43232" ht="15" customHeight="1" s="192" thickBot="1">
      <c r="W43232" s="45" t="n"/>
      <c r="X43232" s="45" t="n"/>
    </row>
    <row r="43233" ht="14.25" customHeight="1" s="192">
      <c r="W43233" s="228" t="n"/>
      <c r="X43233" s="228" t="n"/>
    </row>
    <row r="43234" ht="14.25" customHeight="1" s="192">
      <c r="W43234" s="228" t="n"/>
      <c r="X43234" s="228" t="n"/>
    </row>
    <row r="43235" ht="14.25" customHeight="1" s="192">
      <c r="W43235" s="231" t="n"/>
      <c r="X43235" s="231" t="n"/>
    </row>
    <row r="43236" ht="14.25" customHeight="1" s="192">
      <c r="W43236" s="33" t="n"/>
      <c r="X43236" s="33" t="n"/>
    </row>
    <row r="43237" ht="14.25" customHeight="1" s="192">
      <c r="W43237" s="231" t="n"/>
      <c r="X43237" s="231" t="n"/>
    </row>
    <row r="43238" ht="14.25" customHeight="1" s="192">
      <c r="W43238" s="33" t="n"/>
      <c r="X43238" s="33" t="n"/>
    </row>
    <row r="43240" ht="14.25" customHeight="1" s="192">
      <c r="W43240" s="231" t="n"/>
      <c r="X43240" s="231" t="n"/>
    </row>
    <row r="43241" ht="14.25" customHeight="1" s="192">
      <c r="W43241" s="235" t="n"/>
      <c r="X43241" s="235" t="n"/>
    </row>
    <row r="43242" ht="14.25" customHeight="1" s="192">
      <c r="W43242" s="228" t="n"/>
      <c r="X43242" s="228" t="n"/>
    </row>
    <row r="43243" ht="14.25" customHeight="1" s="192">
      <c r="W43243" s="235" t="n"/>
      <c r="X43243" s="235" t="n"/>
    </row>
    <row r="43244" ht="14.25" customHeight="1" s="192">
      <c r="W43244" s="235" t="n"/>
      <c r="X43244" s="235" t="n"/>
    </row>
    <row r="43245" ht="14.25" customHeight="1" s="192">
      <c r="W43245" s="235" t="n"/>
      <c r="X43245" s="235" t="n"/>
    </row>
    <row r="43246" ht="14.25" customHeight="1" s="192">
      <c r="W43246" s="239" t="n"/>
      <c r="X43246" s="239" t="n"/>
    </row>
    <row r="43247" ht="14.25" customHeight="1" s="192">
      <c r="W43247" s="239" t="n"/>
      <c r="X43247" s="239" t="n"/>
    </row>
    <row r="43248" ht="14.25" customHeight="1" s="192">
      <c r="W43248" s="239" t="n"/>
      <c r="X43248" s="239" t="n"/>
    </row>
    <row r="43249" ht="14.25" customHeight="1" s="192">
      <c r="W43249" s="235" t="n"/>
      <c r="X43249" s="235" t="n"/>
    </row>
    <row r="43250" ht="14.25" customHeight="1" s="192">
      <c r="W43250" s="235" t="n"/>
      <c r="X43250" s="235" t="n"/>
    </row>
    <row r="43251" ht="14.25" customHeight="1" s="192">
      <c r="W43251" s="235" t="n"/>
      <c r="X43251" s="235" t="n"/>
    </row>
    <row r="43252" ht="14.25" customHeight="1" s="192">
      <c r="W43252" s="239" t="n"/>
      <c r="X43252" s="239" t="n"/>
    </row>
    <row r="43253" ht="14.25" customHeight="1" s="192">
      <c r="W43253" s="239" t="n"/>
      <c r="X43253" s="239" t="n"/>
    </row>
    <row r="43254" ht="14.25" customHeight="1" s="192">
      <c r="W43254" s="235" t="n"/>
      <c r="X43254" s="235" t="n"/>
    </row>
    <row r="43255" ht="14.25" customHeight="1" s="192">
      <c r="W43255" s="235" t="n"/>
      <c r="X43255" s="235" t="n"/>
    </row>
    <row r="43256" ht="14.25" customHeight="1" s="192">
      <c r="W43256" s="239" t="n"/>
      <c r="X43256" s="239" t="n"/>
    </row>
    <row r="43257" ht="14.25" customHeight="1" s="192">
      <c r="W43257" s="235" t="n"/>
      <c r="X43257" s="235" t="n"/>
    </row>
    <row r="43258" ht="14.25" customHeight="1" s="192">
      <c r="W43258" s="239" t="n"/>
      <c r="X43258" s="239" t="n"/>
    </row>
    <row r="43260" ht="14.25" customHeight="1" s="192">
      <c r="W43260" s="235" t="n"/>
      <c r="X43260" s="235" t="n"/>
    </row>
    <row r="43261" ht="15" customHeight="1" s="192" thickBot="1">
      <c r="W43261" s="239" t="n"/>
      <c r="X43261" s="239" t="n"/>
    </row>
    <row r="43262" ht="15" customHeight="1" s="192" thickBot="1">
      <c r="W43262" s="45" t="n"/>
      <c r="X43262" s="45" t="n"/>
    </row>
    <row r="43263" ht="14.25" customHeight="1" s="192">
      <c r="W43263" s="228" t="n"/>
      <c r="X43263" s="228" t="n"/>
    </row>
    <row r="43264" ht="14.25" customHeight="1" s="192">
      <c r="W43264" s="228" t="n"/>
      <c r="X43264" s="228" t="n"/>
    </row>
    <row r="43265" ht="14.25" customHeight="1" s="192">
      <c r="W43265" s="231" t="n"/>
      <c r="X43265" s="231" t="n"/>
    </row>
    <row r="43266" ht="14.25" customHeight="1" s="192">
      <c r="W43266" s="33" t="n"/>
      <c r="X43266" s="33" t="n"/>
    </row>
    <row r="43267" ht="14.25" customHeight="1" s="192">
      <c r="W43267" s="231" t="n"/>
      <c r="X43267" s="231" t="n"/>
    </row>
    <row r="43268" ht="14.25" customHeight="1" s="192">
      <c r="W43268" s="33" t="n"/>
      <c r="X43268" s="33" t="n"/>
    </row>
    <row r="43270" ht="14.25" customHeight="1" s="192">
      <c r="W43270" s="231" t="n"/>
      <c r="X43270" s="231" t="n"/>
    </row>
    <row r="43271" ht="14.25" customHeight="1" s="192">
      <c r="W43271" s="235" t="n"/>
      <c r="X43271" s="235" t="n"/>
    </row>
    <row r="43272" ht="14.25" customHeight="1" s="192">
      <c r="W43272" s="228" t="n"/>
      <c r="X43272" s="228" t="n"/>
    </row>
    <row r="43273" ht="14.25" customHeight="1" s="192">
      <c r="W43273" s="235" t="n"/>
      <c r="X43273" s="235" t="n"/>
    </row>
    <row r="43274" ht="14.25" customHeight="1" s="192">
      <c r="W43274" s="235" t="n"/>
      <c r="X43274" s="235" t="n"/>
    </row>
    <row r="43275" ht="14.25" customHeight="1" s="192">
      <c r="W43275" s="235" t="n"/>
      <c r="X43275" s="235" t="n"/>
    </row>
    <row r="43276" ht="14.25" customHeight="1" s="192">
      <c r="W43276" s="239" t="n"/>
      <c r="X43276" s="239" t="n"/>
    </row>
    <row r="43277" ht="14.25" customHeight="1" s="192">
      <c r="W43277" s="239" t="n"/>
      <c r="X43277" s="239" t="n"/>
    </row>
    <row r="43278" ht="14.25" customHeight="1" s="192">
      <c r="W43278" s="239" t="n"/>
      <c r="X43278" s="239" t="n"/>
    </row>
    <row r="43279" ht="14.25" customHeight="1" s="192">
      <c r="W43279" s="235" t="n"/>
      <c r="X43279" s="235" t="n"/>
    </row>
    <row r="43280" ht="14.25" customHeight="1" s="192">
      <c r="W43280" s="235" t="n"/>
      <c r="X43280" s="235" t="n"/>
    </row>
    <row r="43281" ht="14.25" customHeight="1" s="192">
      <c r="W43281" s="235" t="n"/>
      <c r="X43281" s="235" t="n"/>
    </row>
    <row r="43282" ht="14.25" customHeight="1" s="192">
      <c r="W43282" s="239" t="n"/>
      <c r="X43282" s="239" t="n"/>
    </row>
    <row r="43283" ht="14.25" customHeight="1" s="192">
      <c r="W43283" s="239" t="n"/>
      <c r="X43283" s="239" t="n"/>
    </row>
    <row r="43284" ht="14.25" customHeight="1" s="192">
      <c r="W43284" s="235" t="n"/>
      <c r="X43284" s="235" t="n"/>
    </row>
    <row r="43285" ht="14.25" customHeight="1" s="192">
      <c r="W43285" s="235" t="n"/>
      <c r="X43285" s="235" t="n"/>
    </row>
    <row r="43286" ht="14.25" customHeight="1" s="192">
      <c r="W43286" s="239" t="n"/>
      <c r="X43286" s="239" t="n"/>
    </row>
    <row r="43287" ht="14.25" customHeight="1" s="192">
      <c r="W43287" s="235" t="n"/>
      <c r="X43287" s="235" t="n"/>
    </row>
    <row r="43288" ht="14.25" customHeight="1" s="192">
      <c r="W43288" s="239" t="n"/>
      <c r="X43288" s="239" t="n"/>
    </row>
    <row r="43290" ht="14.25" customHeight="1" s="192">
      <c r="W43290" s="235" t="n"/>
      <c r="X43290" s="235" t="n"/>
    </row>
    <row r="43291" ht="15" customHeight="1" s="192" thickBot="1">
      <c r="W43291" s="239" t="n"/>
      <c r="X43291" s="239" t="n"/>
    </row>
    <row r="43292" ht="15" customHeight="1" s="192" thickBot="1">
      <c r="W43292" s="45" t="n"/>
      <c r="X43292" s="45" t="n"/>
    </row>
    <row r="43293" ht="14.25" customHeight="1" s="192">
      <c r="W43293" s="228" t="n"/>
      <c r="X43293" s="228" t="n"/>
    </row>
    <row r="43294" ht="14.25" customHeight="1" s="192">
      <c r="W43294" s="228" t="n"/>
      <c r="X43294" s="228" t="n"/>
    </row>
    <row r="43295" ht="14.25" customHeight="1" s="192">
      <c r="W43295" s="231" t="n"/>
      <c r="X43295" s="231" t="n"/>
    </row>
    <row r="43296" ht="14.25" customHeight="1" s="192">
      <c r="W43296" s="33" t="n"/>
      <c r="X43296" s="33" t="n"/>
    </row>
    <row r="43297" ht="14.25" customHeight="1" s="192">
      <c r="W43297" s="231" t="n"/>
      <c r="X43297" s="231" t="n"/>
    </row>
    <row r="43298" ht="14.25" customHeight="1" s="192">
      <c r="W43298" s="33" t="n"/>
      <c r="X43298" s="33" t="n"/>
    </row>
    <row r="43300" ht="14.25" customHeight="1" s="192">
      <c r="W43300" s="231" t="n"/>
      <c r="X43300" s="231" t="n"/>
    </row>
    <row r="43301" ht="14.25" customHeight="1" s="192">
      <c r="W43301" s="235" t="n"/>
      <c r="X43301" s="235" t="n"/>
    </row>
    <row r="43302" ht="14.25" customHeight="1" s="192">
      <c r="W43302" s="228" t="n"/>
      <c r="X43302" s="228" t="n"/>
    </row>
    <row r="43303" ht="14.25" customHeight="1" s="192">
      <c r="W43303" s="235" t="n"/>
      <c r="X43303" s="235" t="n"/>
    </row>
    <row r="43304" ht="14.25" customHeight="1" s="192">
      <c r="W43304" s="235" t="n"/>
      <c r="X43304" s="235" t="n"/>
    </row>
    <row r="43305" ht="14.25" customHeight="1" s="192">
      <c r="W43305" s="235" t="n"/>
      <c r="X43305" s="235" t="n"/>
    </row>
    <row r="43306" ht="14.25" customHeight="1" s="192">
      <c r="W43306" s="239" t="n"/>
      <c r="X43306" s="239" t="n"/>
    </row>
    <row r="43307" ht="14.25" customHeight="1" s="192">
      <c r="W43307" s="239" t="n"/>
      <c r="X43307" s="239" t="n"/>
    </row>
    <row r="43308" ht="14.25" customHeight="1" s="192">
      <c r="W43308" s="239" t="n"/>
      <c r="X43308" s="239" t="n"/>
    </row>
    <row r="43309" ht="14.25" customHeight="1" s="192">
      <c r="W43309" s="235" t="n"/>
      <c r="X43309" s="235" t="n"/>
    </row>
    <row r="43310" ht="14.25" customHeight="1" s="192">
      <c r="W43310" s="235" t="n"/>
      <c r="X43310" s="235" t="n"/>
    </row>
    <row r="43311" ht="14.25" customHeight="1" s="192">
      <c r="W43311" s="235" t="n"/>
      <c r="X43311" s="235" t="n"/>
    </row>
    <row r="43312" ht="14.25" customHeight="1" s="192">
      <c r="W43312" s="239" t="n"/>
      <c r="X43312" s="239" t="n"/>
    </row>
    <row r="43313" ht="14.25" customHeight="1" s="192">
      <c r="W43313" s="239" t="n"/>
      <c r="X43313" s="239" t="n"/>
    </row>
    <row r="43314" ht="14.25" customHeight="1" s="192">
      <c r="W43314" s="235" t="n"/>
      <c r="X43314" s="235" t="n"/>
    </row>
    <row r="43315" ht="14.25" customHeight="1" s="192">
      <c r="W43315" s="235" t="n"/>
      <c r="X43315" s="235" t="n"/>
    </row>
    <row r="43316" ht="14.25" customHeight="1" s="192">
      <c r="W43316" s="239" t="n"/>
      <c r="X43316" s="239" t="n"/>
    </row>
    <row r="43317" ht="14.25" customHeight="1" s="192">
      <c r="W43317" s="235" t="n"/>
      <c r="X43317" s="235" t="n"/>
    </row>
    <row r="43318" ht="14.25" customHeight="1" s="192">
      <c r="W43318" s="239" t="n"/>
      <c r="X43318" s="239" t="n"/>
    </row>
    <row r="43320" ht="14.25" customHeight="1" s="192">
      <c r="W43320" s="235" t="n"/>
      <c r="X43320" s="235" t="n"/>
    </row>
    <row r="43321" ht="15" customHeight="1" s="192" thickBot="1">
      <c r="W43321" s="239" t="n"/>
      <c r="X43321" s="239" t="n"/>
    </row>
    <row r="43322" ht="15" customHeight="1" s="192" thickBot="1">
      <c r="W43322" s="45" t="n"/>
      <c r="X43322" s="45" t="n"/>
    </row>
    <row r="43323" ht="14.25" customHeight="1" s="192">
      <c r="W43323" s="228" t="n"/>
      <c r="X43323" s="228" t="n"/>
    </row>
    <row r="43324" ht="14.25" customHeight="1" s="192">
      <c r="W43324" s="228" t="n"/>
      <c r="X43324" s="228" t="n"/>
    </row>
    <row r="43325" ht="14.25" customHeight="1" s="192">
      <c r="W43325" s="231" t="n"/>
      <c r="X43325" s="231" t="n"/>
    </row>
    <row r="43326" ht="14.25" customHeight="1" s="192">
      <c r="W43326" s="33" t="n"/>
      <c r="X43326" s="33" t="n"/>
    </row>
    <row r="43327" ht="14.25" customHeight="1" s="192">
      <c r="W43327" s="231" t="n"/>
      <c r="X43327" s="231" t="n"/>
    </row>
    <row r="43328" ht="14.25" customHeight="1" s="192">
      <c r="W43328" s="33" t="n"/>
      <c r="X43328" s="33" t="n"/>
    </row>
    <row r="43330" ht="14.25" customHeight="1" s="192">
      <c r="W43330" s="231" t="n"/>
      <c r="X43330" s="231" t="n"/>
    </row>
    <row r="43331" ht="14.25" customHeight="1" s="192">
      <c r="W43331" s="235" t="n"/>
      <c r="X43331" s="235" t="n"/>
    </row>
    <row r="43332" ht="14.25" customHeight="1" s="192">
      <c r="W43332" s="228" t="n"/>
      <c r="X43332" s="228" t="n"/>
    </row>
    <row r="43333" ht="14.25" customHeight="1" s="192">
      <c r="W43333" s="235" t="n"/>
      <c r="X43333" s="235" t="n"/>
    </row>
    <row r="43334" ht="14.25" customHeight="1" s="192">
      <c r="W43334" s="235" t="n"/>
      <c r="X43334" s="235" t="n"/>
    </row>
    <row r="43335" ht="14.25" customHeight="1" s="192">
      <c r="W43335" s="235" t="n"/>
      <c r="X43335" s="235" t="n"/>
    </row>
    <row r="43336" ht="14.25" customHeight="1" s="192">
      <c r="W43336" s="239" t="n"/>
      <c r="X43336" s="239" t="n"/>
    </row>
    <row r="43337" ht="14.25" customHeight="1" s="192">
      <c r="W43337" s="239" t="n"/>
      <c r="X43337" s="239" t="n"/>
    </row>
    <row r="43338" ht="14.25" customHeight="1" s="192">
      <c r="W43338" s="239" t="n"/>
      <c r="X43338" s="239" t="n"/>
    </row>
    <row r="43339" ht="14.25" customHeight="1" s="192">
      <c r="W43339" s="235" t="n"/>
      <c r="X43339" s="235" t="n"/>
    </row>
    <row r="43340" ht="14.25" customHeight="1" s="192">
      <c r="W43340" s="235" t="n"/>
      <c r="X43340" s="235" t="n"/>
    </row>
    <row r="43341" ht="14.25" customHeight="1" s="192">
      <c r="W43341" s="235" t="n"/>
      <c r="X43341" s="235" t="n"/>
    </row>
    <row r="43342" ht="14.25" customHeight="1" s="192">
      <c r="W43342" s="239" t="n"/>
      <c r="X43342" s="239" t="n"/>
    </row>
    <row r="43343" ht="14.25" customHeight="1" s="192">
      <c r="W43343" s="239" t="n"/>
      <c r="X43343" s="239" t="n"/>
    </row>
    <row r="43344" ht="14.25" customHeight="1" s="192">
      <c r="W43344" s="235" t="n"/>
      <c r="X43344" s="235" t="n"/>
    </row>
    <row r="43345" ht="14.25" customHeight="1" s="192">
      <c r="W43345" s="235" t="n"/>
      <c r="X43345" s="235" t="n"/>
    </row>
    <row r="43346" ht="14.25" customHeight="1" s="192">
      <c r="W43346" s="239" t="n"/>
      <c r="X43346" s="239" t="n"/>
    </row>
    <row r="43347" ht="14.25" customHeight="1" s="192">
      <c r="W43347" s="235" t="n"/>
      <c r="X43347" s="235" t="n"/>
    </row>
    <row r="43348" ht="14.25" customHeight="1" s="192">
      <c r="W43348" s="239" t="n"/>
      <c r="X43348" s="239" t="n"/>
    </row>
    <row r="43350" ht="14.25" customHeight="1" s="192">
      <c r="W43350" s="235" t="n"/>
      <c r="X43350" s="235" t="n"/>
    </row>
    <row r="43351" ht="15" customHeight="1" s="192" thickBot="1">
      <c r="W43351" s="239" t="n"/>
      <c r="X43351" s="239" t="n"/>
    </row>
    <row r="43352" ht="15" customHeight="1" s="192" thickBot="1">
      <c r="W43352" s="45" t="n"/>
      <c r="X43352" s="45" t="n"/>
    </row>
    <row r="43353" ht="14.25" customHeight="1" s="192">
      <c r="W43353" s="228" t="n"/>
      <c r="X43353" s="228" t="n"/>
    </row>
    <row r="43354" ht="14.25" customHeight="1" s="192">
      <c r="W43354" s="228" t="n"/>
      <c r="X43354" s="228" t="n"/>
    </row>
    <row r="43355" ht="14.25" customHeight="1" s="192">
      <c r="W43355" s="231" t="n"/>
      <c r="X43355" s="231" t="n"/>
    </row>
    <row r="43356" ht="14.25" customHeight="1" s="192">
      <c r="W43356" s="33" t="n"/>
      <c r="X43356" s="33" t="n"/>
    </row>
    <row r="43357" ht="14.25" customHeight="1" s="192">
      <c r="W43357" s="231" t="n"/>
      <c r="X43357" s="231" t="n"/>
    </row>
    <row r="43358" ht="14.25" customHeight="1" s="192">
      <c r="W43358" s="33" t="n"/>
      <c r="X43358" s="33" t="n"/>
    </row>
    <row r="43360" ht="14.25" customHeight="1" s="192">
      <c r="W43360" s="231" t="n"/>
      <c r="X43360" s="231" t="n"/>
    </row>
    <row r="43361" ht="14.25" customHeight="1" s="192">
      <c r="W43361" s="235" t="n"/>
      <c r="X43361" s="235" t="n"/>
    </row>
    <row r="43362" ht="14.25" customHeight="1" s="192">
      <c r="W43362" s="228" t="n"/>
      <c r="X43362" s="228" t="n"/>
    </row>
    <row r="43363" ht="14.25" customHeight="1" s="192">
      <c r="W43363" s="235" t="n"/>
      <c r="X43363" s="235" t="n"/>
    </row>
    <row r="43364" ht="14.25" customHeight="1" s="192">
      <c r="W43364" s="235" t="n"/>
      <c r="X43364" s="235" t="n"/>
    </row>
    <row r="43365" ht="14.25" customHeight="1" s="192">
      <c r="W43365" s="235" t="n"/>
      <c r="X43365" s="235" t="n"/>
    </row>
    <row r="43366" ht="14.25" customHeight="1" s="192">
      <c r="W43366" s="239" t="n"/>
      <c r="X43366" s="239" t="n"/>
    </row>
    <row r="43367" ht="14.25" customHeight="1" s="192">
      <c r="W43367" s="239" t="n"/>
      <c r="X43367" s="239" t="n"/>
    </row>
    <row r="43368" ht="14.25" customHeight="1" s="192">
      <c r="W43368" s="239" t="n"/>
      <c r="X43368" s="239" t="n"/>
    </row>
    <row r="43369" ht="14.25" customHeight="1" s="192">
      <c r="W43369" s="235" t="n"/>
      <c r="X43369" s="235" t="n"/>
    </row>
    <row r="43370" ht="14.25" customHeight="1" s="192">
      <c r="W43370" s="235" t="n"/>
      <c r="X43370" s="235" t="n"/>
    </row>
    <row r="43371" ht="14.25" customHeight="1" s="192">
      <c r="W43371" s="235" t="n"/>
      <c r="X43371" s="235" t="n"/>
    </row>
    <row r="43372" ht="14.25" customHeight="1" s="192">
      <c r="W43372" s="239" t="n"/>
      <c r="X43372" s="239" t="n"/>
    </row>
    <row r="43373" ht="14.25" customHeight="1" s="192">
      <c r="W43373" s="239" t="n"/>
      <c r="X43373" s="239" t="n"/>
    </row>
    <row r="43374" ht="14.25" customHeight="1" s="192">
      <c r="W43374" s="235" t="n"/>
      <c r="X43374" s="235" t="n"/>
    </row>
    <row r="43375" ht="14.25" customHeight="1" s="192">
      <c r="W43375" s="235" t="n"/>
      <c r="X43375" s="235" t="n"/>
    </row>
    <row r="43376" ht="14.25" customHeight="1" s="192">
      <c r="W43376" s="239" t="n"/>
      <c r="X43376" s="239" t="n"/>
    </row>
    <row r="43377" ht="14.25" customHeight="1" s="192">
      <c r="W43377" s="235" t="n"/>
      <c r="X43377" s="235" t="n"/>
    </row>
    <row r="43378" ht="14.25" customHeight="1" s="192">
      <c r="W43378" s="239" t="n"/>
      <c r="X43378" s="239" t="n"/>
    </row>
    <row r="43380" ht="14.25" customHeight="1" s="192">
      <c r="W43380" s="235" t="n"/>
      <c r="X43380" s="235" t="n"/>
    </row>
    <row r="43381" ht="15" customHeight="1" s="192" thickBot="1">
      <c r="W43381" s="239" t="n"/>
      <c r="X43381" s="239" t="n"/>
    </row>
    <row r="43382" ht="15" customHeight="1" s="192" thickBot="1">
      <c r="W43382" s="45" t="n"/>
      <c r="X43382" s="45" t="n"/>
    </row>
    <row r="43383" ht="14.25" customHeight="1" s="192">
      <c r="W43383" s="228" t="n"/>
      <c r="X43383" s="228" t="n"/>
    </row>
    <row r="43384" ht="14.25" customHeight="1" s="192">
      <c r="W43384" s="228" t="n"/>
      <c r="X43384" s="228" t="n"/>
    </row>
    <row r="43385" ht="14.25" customHeight="1" s="192">
      <c r="W43385" s="231" t="n"/>
      <c r="X43385" s="231" t="n"/>
    </row>
    <row r="43386" ht="14.25" customHeight="1" s="192">
      <c r="W43386" s="33" t="n"/>
      <c r="X43386" s="33" t="n"/>
    </row>
    <row r="43387" ht="14.25" customHeight="1" s="192">
      <c r="W43387" s="231" t="n"/>
      <c r="X43387" s="231" t="n"/>
    </row>
    <row r="43388" ht="14.25" customHeight="1" s="192">
      <c r="W43388" s="33" t="n"/>
      <c r="X43388" s="33" t="n"/>
    </row>
    <row r="43390" ht="14.25" customHeight="1" s="192">
      <c r="W43390" s="231" t="n"/>
      <c r="X43390" s="231" t="n"/>
    </row>
    <row r="43391" ht="14.25" customHeight="1" s="192">
      <c r="W43391" s="235" t="n"/>
      <c r="X43391" s="235" t="n"/>
    </row>
    <row r="43392" ht="14.25" customHeight="1" s="192">
      <c r="W43392" s="228" t="n"/>
      <c r="X43392" s="228" t="n"/>
    </row>
    <row r="43393" ht="14.25" customHeight="1" s="192">
      <c r="W43393" s="235" t="n"/>
      <c r="X43393" s="235" t="n"/>
    </row>
    <row r="43394" ht="14.25" customHeight="1" s="192">
      <c r="W43394" s="235" t="n"/>
      <c r="X43394" s="235" t="n"/>
    </row>
    <row r="43395" ht="14.25" customHeight="1" s="192">
      <c r="W43395" s="235" t="n"/>
      <c r="X43395" s="235" t="n"/>
    </row>
    <row r="43396" ht="14.25" customHeight="1" s="192">
      <c r="W43396" s="239" t="n"/>
      <c r="X43396" s="239" t="n"/>
    </row>
    <row r="43397" ht="14.25" customHeight="1" s="192">
      <c r="W43397" s="239" t="n"/>
      <c r="X43397" s="239" t="n"/>
    </row>
    <row r="43398" ht="14.25" customHeight="1" s="192">
      <c r="W43398" s="239" t="n"/>
      <c r="X43398" s="239" t="n"/>
    </row>
    <row r="43399" ht="14.25" customHeight="1" s="192">
      <c r="W43399" s="235" t="n"/>
      <c r="X43399" s="235" t="n"/>
    </row>
    <row r="43400" ht="14.25" customHeight="1" s="192">
      <c r="W43400" s="235" t="n"/>
      <c r="X43400" s="235" t="n"/>
    </row>
    <row r="43401" ht="14.25" customHeight="1" s="192">
      <c r="W43401" s="235" t="n"/>
      <c r="X43401" s="235" t="n"/>
    </row>
    <row r="43402" ht="14.25" customHeight="1" s="192">
      <c r="W43402" s="239" t="n"/>
      <c r="X43402" s="239" t="n"/>
    </row>
    <row r="43403" ht="14.25" customHeight="1" s="192">
      <c r="W43403" s="239" t="n"/>
      <c r="X43403" s="239" t="n"/>
    </row>
    <row r="43404" ht="14.25" customHeight="1" s="192">
      <c r="W43404" s="235" t="n"/>
      <c r="X43404" s="235" t="n"/>
    </row>
    <row r="43405" ht="14.25" customHeight="1" s="192">
      <c r="W43405" s="235" t="n"/>
      <c r="X43405" s="235" t="n"/>
    </row>
    <row r="43406" ht="14.25" customHeight="1" s="192">
      <c r="W43406" s="239" t="n"/>
      <c r="X43406" s="239" t="n"/>
    </row>
    <row r="43407" ht="14.25" customHeight="1" s="192">
      <c r="W43407" s="235" t="n"/>
      <c r="X43407" s="235" t="n"/>
    </row>
    <row r="43408" ht="14.25" customHeight="1" s="192">
      <c r="W43408" s="239" t="n"/>
      <c r="X43408" s="239" t="n"/>
    </row>
    <row r="43410" ht="14.25" customHeight="1" s="192">
      <c r="W43410" s="235" t="n"/>
      <c r="X43410" s="235" t="n"/>
    </row>
    <row r="43411" ht="15" customHeight="1" s="192" thickBot="1">
      <c r="W43411" s="239" t="n"/>
      <c r="X43411" s="239" t="n"/>
    </row>
    <row r="43412" ht="15" customHeight="1" s="192" thickBot="1">
      <c r="W43412" s="45" t="n"/>
      <c r="X43412" s="45" t="n"/>
    </row>
    <row r="43413" ht="14.25" customHeight="1" s="192">
      <c r="W43413" s="228" t="n"/>
      <c r="X43413" s="228" t="n"/>
    </row>
    <row r="43414" ht="14.25" customHeight="1" s="192">
      <c r="W43414" s="228" t="n"/>
      <c r="X43414" s="228" t="n"/>
    </row>
    <row r="43415" ht="14.25" customHeight="1" s="192">
      <c r="W43415" s="231" t="n"/>
      <c r="X43415" s="231" t="n"/>
    </row>
    <row r="43416" ht="14.25" customHeight="1" s="192">
      <c r="W43416" s="33" t="n"/>
      <c r="X43416" s="33" t="n"/>
    </row>
    <row r="43417" ht="14.25" customHeight="1" s="192">
      <c r="W43417" s="231" t="n"/>
      <c r="X43417" s="231" t="n"/>
    </row>
    <row r="43418" ht="14.25" customHeight="1" s="192">
      <c r="W43418" s="33" t="n"/>
      <c r="X43418" s="33" t="n"/>
    </row>
    <row r="43420" ht="14.25" customHeight="1" s="192">
      <c r="W43420" s="231" t="n"/>
      <c r="X43420" s="231" t="n"/>
    </row>
    <row r="43421" ht="14.25" customHeight="1" s="192">
      <c r="W43421" s="235" t="n"/>
      <c r="X43421" s="235" t="n"/>
    </row>
    <row r="43422" ht="14.25" customHeight="1" s="192">
      <c r="W43422" s="228" t="n"/>
      <c r="X43422" s="228" t="n"/>
    </row>
    <row r="43423" ht="14.25" customHeight="1" s="192">
      <c r="W43423" s="235" t="n"/>
      <c r="X43423" s="235" t="n"/>
    </row>
    <row r="43424" ht="14.25" customHeight="1" s="192">
      <c r="W43424" s="235" t="n"/>
      <c r="X43424" s="235" t="n"/>
    </row>
    <row r="43425" ht="14.25" customHeight="1" s="192">
      <c r="W43425" s="235" t="n"/>
      <c r="X43425" s="235" t="n"/>
    </row>
    <row r="43426" ht="14.25" customHeight="1" s="192">
      <c r="W43426" s="239" t="n"/>
      <c r="X43426" s="239" t="n"/>
    </row>
    <row r="43427" ht="14.25" customHeight="1" s="192">
      <c r="W43427" s="239" t="n"/>
      <c r="X43427" s="239" t="n"/>
    </row>
    <row r="43428" ht="14.25" customHeight="1" s="192">
      <c r="W43428" s="239" t="n"/>
      <c r="X43428" s="239" t="n"/>
    </row>
    <row r="43429" ht="14.25" customHeight="1" s="192">
      <c r="W43429" s="235" t="n"/>
      <c r="X43429" s="235" t="n"/>
    </row>
    <row r="43430" ht="14.25" customHeight="1" s="192">
      <c r="W43430" s="235" t="n"/>
      <c r="X43430" s="235" t="n"/>
    </row>
    <row r="43431" ht="14.25" customHeight="1" s="192">
      <c r="W43431" s="235" t="n"/>
      <c r="X43431" s="235" t="n"/>
    </row>
    <row r="43432" ht="14.25" customHeight="1" s="192">
      <c r="W43432" s="239" t="n"/>
      <c r="X43432" s="239" t="n"/>
    </row>
    <row r="43433" ht="14.25" customHeight="1" s="192">
      <c r="W43433" s="239" t="n"/>
      <c r="X43433" s="239" t="n"/>
    </row>
    <row r="43434" ht="14.25" customHeight="1" s="192">
      <c r="W43434" s="235" t="n"/>
      <c r="X43434" s="235" t="n"/>
    </row>
    <row r="43435" ht="14.25" customHeight="1" s="192">
      <c r="W43435" s="235" t="n"/>
      <c r="X43435" s="235" t="n"/>
    </row>
    <row r="43436" ht="14.25" customHeight="1" s="192">
      <c r="W43436" s="239" t="n"/>
      <c r="X43436" s="239" t="n"/>
    </row>
    <row r="43437" ht="14.25" customHeight="1" s="192">
      <c r="W43437" s="235" t="n"/>
      <c r="X43437" s="235" t="n"/>
    </row>
    <row r="43438" ht="14.25" customHeight="1" s="192">
      <c r="W43438" s="239" t="n"/>
      <c r="X43438" s="239" t="n"/>
    </row>
    <row r="43440" ht="14.25" customHeight="1" s="192">
      <c r="W43440" s="235" t="n"/>
      <c r="X43440" s="235" t="n"/>
    </row>
    <row r="43441" ht="15" customHeight="1" s="192" thickBot="1">
      <c r="W43441" s="239" t="n"/>
      <c r="X43441" s="239" t="n"/>
    </row>
    <row r="43442" ht="15" customHeight="1" s="192" thickBot="1">
      <c r="W43442" s="45" t="n"/>
      <c r="X43442" s="45" t="n"/>
    </row>
    <row r="43443" ht="14.25" customHeight="1" s="192">
      <c r="W43443" s="228" t="n"/>
      <c r="X43443" s="228" t="n"/>
    </row>
    <row r="43444" ht="14.25" customHeight="1" s="192">
      <c r="W43444" s="228" t="n"/>
      <c r="X43444" s="228" t="n"/>
    </row>
    <row r="43445" ht="14.25" customHeight="1" s="192">
      <c r="W43445" s="231" t="n"/>
      <c r="X43445" s="231" t="n"/>
    </row>
    <row r="43446" ht="14.25" customHeight="1" s="192">
      <c r="W43446" s="33" t="n"/>
      <c r="X43446" s="33" t="n"/>
    </row>
    <row r="43447" ht="14.25" customHeight="1" s="192">
      <c r="W43447" s="231" t="n"/>
      <c r="X43447" s="231" t="n"/>
    </row>
    <row r="43448" ht="14.25" customHeight="1" s="192">
      <c r="W43448" s="33" t="n"/>
      <c r="X43448" s="33" t="n"/>
    </row>
    <row r="43450" ht="14.25" customHeight="1" s="192">
      <c r="W43450" s="231" t="n"/>
      <c r="X43450" s="231" t="n"/>
    </row>
    <row r="43451" ht="14.25" customHeight="1" s="192">
      <c r="W43451" s="235" t="n"/>
      <c r="X43451" s="235" t="n"/>
    </row>
    <row r="43452" ht="14.25" customHeight="1" s="192">
      <c r="W43452" s="228" t="n"/>
      <c r="X43452" s="228" t="n"/>
    </row>
    <row r="43453" ht="14.25" customHeight="1" s="192">
      <c r="W43453" s="235" t="n"/>
      <c r="X43453" s="235" t="n"/>
    </row>
    <row r="43454" ht="14.25" customHeight="1" s="192">
      <c r="W43454" s="235" t="n"/>
      <c r="X43454" s="235" t="n"/>
    </row>
    <row r="43455" ht="14.25" customHeight="1" s="192">
      <c r="W43455" s="235" t="n"/>
      <c r="X43455" s="235" t="n"/>
    </row>
    <row r="43456" ht="14.25" customHeight="1" s="192">
      <c r="W43456" s="239" t="n"/>
      <c r="X43456" s="239" t="n"/>
    </row>
    <row r="43457" ht="14.25" customHeight="1" s="192">
      <c r="W43457" s="239" t="n"/>
      <c r="X43457" s="239" t="n"/>
    </row>
    <row r="43458" ht="14.25" customHeight="1" s="192">
      <c r="W43458" s="239" t="n"/>
      <c r="X43458" s="239" t="n"/>
    </row>
    <row r="43459" ht="14.25" customHeight="1" s="192">
      <c r="W43459" s="235" t="n"/>
      <c r="X43459" s="235" t="n"/>
    </row>
    <row r="43460" ht="14.25" customHeight="1" s="192">
      <c r="W43460" s="235" t="n"/>
      <c r="X43460" s="235" t="n"/>
    </row>
    <row r="43461" ht="14.25" customHeight="1" s="192">
      <c r="W43461" s="235" t="n"/>
      <c r="X43461" s="235" t="n"/>
    </row>
    <row r="43462" ht="14.25" customHeight="1" s="192">
      <c r="W43462" s="239" t="n"/>
      <c r="X43462" s="239" t="n"/>
    </row>
    <row r="43463" ht="14.25" customHeight="1" s="192">
      <c r="W43463" s="239" t="n"/>
      <c r="X43463" s="239" t="n"/>
    </row>
    <row r="43464" ht="14.25" customHeight="1" s="192">
      <c r="W43464" s="235" t="n"/>
      <c r="X43464" s="235" t="n"/>
    </row>
    <row r="43465" ht="14.25" customHeight="1" s="192">
      <c r="W43465" s="235" t="n"/>
      <c r="X43465" s="235" t="n"/>
    </row>
    <row r="43466" ht="14.25" customHeight="1" s="192">
      <c r="W43466" s="239" t="n"/>
      <c r="X43466" s="239" t="n"/>
    </row>
    <row r="43467" ht="14.25" customHeight="1" s="192">
      <c r="W43467" s="235" t="n"/>
      <c r="X43467" s="235" t="n"/>
    </row>
    <row r="43468" ht="14.25" customHeight="1" s="192">
      <c r="W43468" s="239" t="n"/>
      <c r="X43468" s="239" t="n"/>
    </row>
    <row r="43470" ht="14.25" customHeight="1" s="192">
      <c r="W43470" s="235" t="n"/>
      <c r="X43470" s="235" t="n"/>
    </row>
    <row r="43471" ht="15" customHeight="1" s="192" thickBot="1">
      <c r="W43471" s="239" t="n"/>
      <c r="X43471" s="239" t="n"/>
    </row>
    <row r="43472" ht="15" customHeight="1" s="192" thickBot="1">
      <c r="W43472" s="45" t="n"/>
      <c r="X43472" s="45" t="n"/>
    </row>
    <row r="43473" ht="14.25" customHeight="1" s="192">
      <c r="W43473" s="228" t="n"/>
      <c r="X43473" s="228" t="n"/>
    </row>
    <row r="43474" ht="14.25" customHeight="1" s="192">
      <c r="W43474" s="228" t="n"/>
      <c r="X43474" s="228" t="n"/>
    </row>
    <row r="43475" ht="14.25" customHeight="1" s="192">
      <c r="W43475" s="231" t="n"/>
      <c r="X43475" s="231" t="n"/>
    </row>
    <row r="43476" ht="14.25" customHeight="1" s="192">
      <c r="W43476" s="33" t="n"/>
      <c r="X43476" s="33" t="n"/>
    </row>
    <row r="43477" ht="14.25" customHeight="1" s="192">
      <c r="W43477" s="231" t="n"/>
      <c r="X43477" s="231" t="n"/>
    </row>
    <row r="43478" ht="14.25" customHeight="1" s="192">
      <c r="W43478" s="33" t="n"/>
      <c r="X43478" s="33" t="n"/>
    </row>
    <row r="43480" ht="14.25" customHeight="1" s="192">
      <c r="W43480" s="231" t="n"/>
      <c r="X43480" s="231" t="n"/>
    </row>
    <row r="43481" ht="14.25" customHeight="1" s="192">
      <c r="W43481" s="235" t="n"/>
      <c r="X43481" s="235" t="n"/>
    </row>
    <row r="43482" ht="14.25" customHeight="1" s="192">
      <c r="W43482" s="228" t="n"/>
      <c r="X43482" s="228" t="n"/>
    </row>
    <row r="43483" ht="14.25" customHeight="1" s="192">
      <c r="W43483" s="235" t="n"/>
      <c r="X43483" s="235" t="n"/>
    </row>
    <row r="43484" ht="14.25" customHeight="1" s="192">
      <c r="W43484" s="235" t="n"/>
      <c r="X43484" s="235" t="n"/>
    </row>
    <row r="43485" ht="14.25" customHeight="1" s="192">
      <c r="W43485" s="235" t="n"/>
      <c r="X43485" s="235" t="n"/>
    </row>
    <row r="43486" ht="14.25" customHeight="1" s="192">
      <c r="W43486" s="239" t="n"/>
      <c r="X43486" s="239" t="n"/>
    </row>
    <row r="43487" ht="14.25" customHeight="1" s="192">
      <c r="W43487" s="239" t="n"/>
      <c r="X43487" s="239" t="n"/>
    </row>
    <row r="43488" ht="14.25" customHeight="1" s="192">
      <c r="W43488" s="239" t="n"/>
      <c r="X43488" s="239" t="n"/>
    </row>
    <row r="43489" ht="14.25" customHeight="1" s="192">
      <c r="W43489" s="235" t="n"/>
      <c r="X43489" s="235" t="n"/>
    </row>
    <row r="43490" ht="14.25" customHeight="1" s="192">
      <c r="W43490" s="235" t="n"/>
      <c r="X43490" s="235" t="n"/>
    </row>
    <row r="43491" ht="14.25" customHeight="1" s="192">
      <c r="W43491" s="235" t="n"/>
      <c r="X43491" s="235" t="n"/>
    </row>
    <row r="43492" ht="14.25" customHeight="1" s="192">
      <c r="W43492" s="239" t="n"/>
      <c r="X43492" s="239" t="n"/>
    </row>
    <row r="43493" ht="14.25" customHeight="1" s="192">
      <c r="W43493" s="239" t="n"/>
      <c r="X43493" s="239" t="n"/>
    </row>
    <row r="43494" ht="14.25" customHeight="1" s="192">
      <c r="W43494" s="235" t="n"/>
      <c r="X43494" s="235" t="n"/>
    </row>
    <row r="43495" ht="14.25" customHeight="1" s="192">
      <c r="W43495" s="235" t="n"/>
      <c r="X43495" s="235" t="n"/>
    </row>
    <row r="43496" ht="14.25" customHeight="1" s="192">
      <c r="W43496" s="239" t="n"/>
      <c r="X43496" s="239" t="n"/>
    </row>
    <row r="43497" ht="14.25" customHeight="1" s="192">
      <c r="W43497" s="235" t="n"/>
      <c r="X43497" s="235" t="n"/>
    </row>
    <row r="43498" ht="14.25" customHeight="1" s="192">
      <c r="W43498" s="239" t="n"/>
      <c r="X43498" s="239" t="n"/>
    </row>
    <row r="43500" ht="14.25" customHeight="1" s="192">
      <c r="W43500" s="235" t="n"/>
      <c r="X43500" s="235" t="n"/>
    </row>
    <row r="43501" ht="15" customHeight="1" s="192" thickBot="1">
      <c r="W43501" s="239" t="n"/>
      <c r="X43501" s="239" t="n"/>
    </row>
    <row r="43502" ht="15" customHeight="1" s="192" thickBot="1">
      <c r="W43502" s="45" t="n"/>
      <c r="X43502" s="45" t="n"/>
    </row>
    <row r="43503" ht="14.25" customHeight="1" s="192">
      <c r="W43503" s="228" t="n"/>
      <c r="X43503" s="228" t="n"/>
    </row>
    <row r="43504" ht="14.25" customHeight="1" s="192">
      <c r="W43504" s="228" t="n"/>
      <c r="X43504" s="228" t="n"/>
    </row>
    <row r="43505" ht="14.25" customHeight="1" s="192">
      <c r="W43505" s="231" t="n"/>
      <c r="X43505" s="231" t="n"/>
    </row>
    <row r="43506" ht="14.25" customHeight="1" s="192">
      <c r="W43506" s="33" t="n"/>
      <c r="X43506" s="33" t="n"/>
    </row>
    <row r="43507" ht="14.25" customHeight="1" s="192">
      <c r="W43507" s="231" t="n"/>
      <c r="X43507" s="231" t="n"/>
    </row>
    <row r="43508" ht="14.25" customHeight="1" s="192">
      <c r="W43508" s="33" t="n"/>
      <c r="X43508" s="33" t="n"/>
    </row>
    <row r="43510" ht="14.25" customHeight="1" s="192">
      <c r="W43510" s="231" t="n"/>
      <c r="X43510" s="231" t="n"/>
    </row>
    <row r="43511" ht="14.25" customHeight="1" s="192">
      <c r="W43511" s="235" t="n"/>
      <c r="X43511" s="235" t="n"/>
    </row>
    <row r="43512" ht="14.25" customHeight="1" s="192">
      <c r="W43512" s="228" t="n"/>
      <c r="X43512" s="228" t="n"/>
    </row>
    <row r="43513" ht="14.25" customHeight="1" s="192">
      <c r="W43513" s="235" t="n"/>
      <c r="X43513" s="235" t="n"/>
    </row>
    <row r="43514" ht="14.25" customHeight="1" s="192">
      <c r="W43514" s="235" t="n"/>
      <c r="X43514" s="235" t="n"/>
    </row>
    <row r="43515" ht="14.25" customHeight="1" s="192">
      <c r="W43515" s="235" t="n"/>
      <c r="X43515" s="235" t="n"/>
    </row>
    <row r="43516" ht="14.25" customHeight="1" s="192">
      <c r="W43516" s="239" t="n"/>
      <c r="X43516" s="239" t="n"/>
    </row>
    <row r="43517" ht="14.25" customHeight="1" s="192">
      <c r="W43517" s="239" t="n"/>
      <c r="X43517" s="239" t="n"/>
    </row>
    <row r="43518" ht="14.25" customHeight="1" s="192">
      <c r="W43518" s="239" t="n"/>
      <c r="X43518" s="239" t="n"/>
    </row>
    <row r="43519" ht="14.25" customHeight="1" s="192">
      <c r="W43519" s="235" t="n"/>
      <c r="X43519" s="235" t="n"/>
    </row>
    <row r="43520" ht="14.25" customHeight="1" s="192">
      <c r="W43520" s="235" t="n"/>
      <c r="X43520" s="235" t="n"/>
    </row>
    <row r="43521" ht="14.25" customHeight="1" s="192">
      <c r="W43521" s="235" t="n"/>
      <c r="X43521" s="235" t="n"/>
    </row>
    <row r="43522" ht="14.25" customHeight="1" s="192">
      <c r="W43522" s="239" t="n"/>
      <c r="X43522" s="239" t="n"/>
    </row>
    <row r="43523" ht="14.25" customHeight="1" s="192">
      <c r="W43523" s="239" t="n"/>
      <c r="X43523" s="239" t="n"/>
    </row>
    <row r="43524" ht="14.25" customHeight="1" s="192">
      <c r="W43524" s="235" t="n"/>
      <c r="X43524" s="235" t="n"/>
    </row>
    <row r="43525" ht="14.25" customHeight="1" s="192">
      <c r="W43525" s="235" t="n"/>
      <c r="X43525" s="235" t="n"/>
    </row>
    <row r="43526" ht="14.25" customHeight="1" s="192">
      <c r="W43526" s="239" t="n"/>
      <c r="X43526" s="239" t="n"/>
    </row>
    <row r="43527" ht="14.25" customHeight="1" s="192">
      <c r="W43527" s="235" t="n"/>
      <c r="X43527" s="235" t="n"/>
    </row>
    <row r="43528" ht="14.25" customHeight="1" s="192">
      <c r="W43528" s="239" t="n"/>
      <c r="X43528" s="239" t="n"/>
    </row>
    <row r="43530" ht="14.25" customHeight="1" s="192">
      <c r="W43530" s="235" t="n"/>
      <c r="X43530" s="235" t="n"/>
    </row>
    <row r="43531" ht="15" customHeight="1" s="192" thickBot="1">
      <c r="W43531" s="239" t="n"/>
      <c r="X43531" s="239" t="n"/>
    </row>
    <row r="43532" ht="15" customHeight="1" s="192" thickBot="1">
      <c r="W43532" s="45" t="n"/>
      <c r="X43532" s="45" t="n"/>
    </row>
    <row r="43533" ht="14.25" customHeight="1" s="192">
      <c r="W43533" s="228" t="n"/>
      <c r="X43533" s="228" t="n"/>
    </row>
    <row r="43534" ht="14.25" customHeight="1" s="192">
      <c r="W43534" s="228" t="n"/>
      <c r="X43534" s="228" t="n"/>
    </row>
    <row r="43535" ht="14.25" customHeight="1" s="192">
      <c r="W43535" s="231" t="n"/>
      <c r="X43535" s="231" t="n"/>
    </row>
    <row r="43536" ht="14.25" customHeight="1" s="192">
      <c r="W43536" s="33" t="n"/>
      <c r="X43536" s="33" t="n"/>
    </row>
    <row r="43537" ht="14.25" customHeight="1" s="192">
      <c r="W43537" s="231" t="n"/>
      <c r="X43537" s="231" t="n"/>
    </row>
    <row r="43538" ht="14.25" customHeight="1" s="192">
      <c r="W43538" s="33" t="n"/>
      <c r="X43538" s="33" t="n"/>
    </row>
    <row r="43540" ht="14.25" customHeight="1" s="192">
      <c r="W43540" s="231" t="n"/>
      <c r="X43540" s="231" t="n"/>
    </row>
    <row r="43541" ht="14.25" customHeight="1" s="192">
      <c r="W43541" s="235" t="n"/>
      <c r="X43541" s="235" t="n"/>
    </row>
    <row r="43542" ht="14.25" customHeight="1" s="192">
      <c r="W43542" s="228" t="n"/>
      <c r="X43542" s="228" t="n"/>
    </row>
    <row r="43543" ht="14.25" customHeight="1" s="192">
      <c r="W43543" s="235" t="n"/>
      <c r="X43543" s="235" t="n"/>
    </row>
    <row r="43544" ht="14.25" customHeight="1" s="192">
      <c r="W43544" s="235" t="n"/>
      <c r="X43544" s="235" t="n"/>
    </row>
    <row r="43545" ht="14.25" customHeight="1" s="192">
      <c r="W43545" s="235" t="n"/>
      <c r="X43545" s="235" t="n"/>
    </row>
    <row r="43546" ht="14.25" customHeight="1" s="192">
      <c r="W43546" s="239" t="n"/>
      <c r="X43546" s="239" t="n"/>
    </row>
    <row r="43547" ht="14.25" customHeight="1" s="192">
      <c r="W43547" s="239" t="n"/>
      <c r="X43547" s="239" t="n"/>
    </row>
    <row r="43548" ht="14.25" customHeight="1" s="192">
      <c r="W43548" s="239" t="n"/>
      <c r="X43548" s="239" t="n"/>
    </row>
    <row r="43549" ht="14.25" customHeight="1" s="192">
      <c r="W43549" s="235" t="n"/>
      <c r="X43549" s="235" t="n"/>
    </row>
    <row r="43550" ht="14.25" customHeight="1" s="192">
      <c r="W43550" s="235" t="n"/>
      <c r="X43550" s="235" t="n"/>
    </row>
    <row r="43551" ht="14.25" customHeight="1" s="192">
      <c r="W43551" s="235" t="n"/>
      <c r="X43551" s="235" t="n"/>
    </row>
    <row r="43552" ht="14.25" customHeight="1" s="192">
      <c r="W43552" s="239" t="n"/>
      <c r="X43552" s="239" t="n"/>
    </row>
    <row r="43553" ht="14.25" customHeight="1" s="192">
      <c r="W43553" s="239" t="n"/>
      <c r="X43553" s="239" t="n"/>
    </row>
    <row r="43554" ht="14.25" customHeight="1" s="192">
      <c r="W43554" s="235" t="n"/>
      <c r="X43554" s="235" t="n"/>
    </row>
    <row r="43555" ht="14.25" customHeight="1" s="192">
      <c r="W43555" s="235" t="n"/>
      <c r="X43555" s="235" t="n"/>
    </row>
    <row r="43556" ht="14.25" customHeight="1" s="192">
      <c r="W43556" s="239" t="n"/>
      <c r="X43556" s="239" t="n"/>
    </row>
    <row r="43557" ht="14.25" customHeight="1" s="192">
      <c r="W43557" s="235" t="n"/>
      <c r="X43557" s="235" t="n"/>
    </row>
    <row r="43558" ht="14.25" customHeight="1" s="192">
      <c r="W43558" s="239" t="n"/>
      <c r="X43558" s="239" t="n"/>
    </row>
    <row r="43560" ht="14.25" customHeight="1" s="192">
      <c r="W43560" s="235" t="n"/>
      <c r="X43560" s="235" t="n"/>
    </row>
    <row r="43561" ht="15" customHeight="1" s="192" thickBot="1">
      <c r="W43561" s="239" t="n"/>
      <c r="X43561" s="239" t="n"/>
    </row>
    <row r="43562" ht="15" customHeight="1" s="192" thickBot="1">
      <c r="W43562" s="45" t="n"/>
      <c r="X43562" s="45" t="n"/>
    </row>
    <row r="43563" ht="14.25" customHeight="1" s="192">
      <c r="W43563" s="228" t="n"/>
      <c r="X43563" s="228" t="n"/>
    </row>
    <row r="43564" ht="14.25" customHeight="1" s="192">
      <c r="W43564" s="228" t="n"/>
      <c r="X43564" s="228" t="n"/>
    </row>
    <row r="43565" ht="14.25" customHeight="1" s="192">
      <c r="W43565" s="231" t="n"/>
      <c r="X43565" s="231" t="n"/>
    </row>
    <row r="43566" ht="14.25" customHeight="1" s="192">
      <c r="W43566" s="33" t="n"/>
      <c r="X43566" s="33" t="n"/>
    </row>
    <row r="43567" ht="14.25" customHeight="1" s="192">
      <c r="W43567" s="231" t="n"/>
      <c r="X43567" s="231" t="n"/>
    </row>
    <row r="43568" ht="14.25" customHeight="1" s="192">
      <c r="W43568" s="33" t="n"/>
      <c r="X43568" s="33" t="n"/>
    </row>
    <row r="43570" ht="14.25" customHeight="1" s="192">
      <c r="W43570" s="231" t="n"/>
      <c r="X43570" s="231" t="n"/>
    </row>
    <row r="43571" ht="14.25" customHeight="1" s="192">
      <c r="W43571" s="235" t="n"/>
      <c r="X43571" s="235" t="n"/>
    </row>
    <row r="43572" ht="14.25" customHeight="1" s="192">
      <c r="W43572" s="228" t="n"/>
      <c r="X43572" s="228" t="n"/>
    </row>
    <row r="43573" ht="14.25" customHeight="1" s="192">
      <c r="W43573" s="235" t="n"/>
      <c r="X43573" s="235" t="n"/>
    </row>
    <row r="43574" ht="14.25" customHeight="1" s="192">
      <c r="W43574" s="235" t="n"/>
      <c r="X43574" s="235" t="n"/>
    </row>
    <row r="43575" ht="14.25" customHeight="1" s="192">
      <c r="W43575" s="235" t="n"/>
      <c r="X43575" s="235" t="n"/>
    </row>
    <row r="43576" ht="14.25" customHeight="1" s="192">
      <c r="W43576" s="239" t="n"/>
      <c r="X43576" s="239" t="n"/>
    </row>
    <row r="43577" ht="14.25" customHeight="1" s="192">
      <c r="W43577" s="239" t="n"/>
      <c r="X43577" s="239" t="n"/>
    </row>
    <row r="43578" ht="14.25" customHeight="1" s="192">
      <c r="W43578" s="239" t="n"/>
      <c r="X43578" s="239" t="n"/>
    </row>
    <row r="43579" ht="14.25" customHeight="1" s="192">
      <c r="W43579" s="235" t="n"/>
      <c r="X43579" s="235" t="n"/>
    </row>
    <row r="43580" ht="14.25" customHeight="1" s="192">
      <c r="W43580" s="235" t="n"/>
      <c r="X43580" s="235" t="n"/>
    </row>
    <row r="43581" ht="14.25" customHeight="1" s="192">
      <c r="W43581" s="235" t="n"/>
      <c r="X43581" s="235" t="n"/>
    </row>
    <row r="43582" ht="14.25" customHeight="1" s="192">
      <c r="W43582" s="239" t="n"/>
      <c r="X43582" s="239" t="n"/>
    </row>
    <row r="43583" ht="14.25" customHeight="1" s="192">
      <c r="W43583" s="239" t="n"/>
      <c r="X43583" s="239" t="n"/>
    </row>
    <row r="43584" ht="14.25" customHeight="1" s="192">
      <c r="W43584" s="235" t="n"/>
      <c r="X43584" s="235" t="n"/>
    </row>
    <row r="43585" ht="14.25" customHeight="1" s="192">
      <c r="W43585" s="235" t="n"/>
      <c r="X43585" s="235" t="n"/>
    </row>
    <row r="43586" ht="14.25" customHeight="1" s="192">
      <c r="W43586" s="239" t="n"/>
      <c r="X43586" s="239" t="n"/>
    </row>
    <row r="43587" ht="14.25" customHeight="1" s="192">
      <c r="W43587" s="235" t="n"/>
      <c r="X43587" s="235" t="n"/>
    </row>
    <row r="43588" ht="14.25" customHeight="1" s="192">
      <c r="W43588" s="239" t="n"/>
      <c r="X43588" s="239" t="n"/>
    </row>
    <row r="43590" ht="14.25" customHeight="1" s="192">
      <c r="W43590" s="235" t="n"/>
      <c r="X43590" s="235" t="n"/>
    </row>
    <row r="43591" ht="15" customHeight="1" s="192" thickBot="1">
      <c r="W43591" s="239" t="n"/>
      <c r="X43591" s="239" t="n"/>
    </row>
    <row r="43592" ht="15" customHeight="1" s="192" thickBot="1">
      <c r="W43592" s="45" t="n"/>
      <c r="X43592" s="45" t="n"/>
    </row>
    <row r="43593" ht="14.25" customHeight="1" s="192">
      <c r="W43593" s="228" t="n"/>
      <c r="X43593" s="228" t="n"/>
    </row>
    <row r="43594" ht="14.25" customHeight="1" s="192">
      <c r="W43594" s="228" t="n"/>
      <c r="X43594" s="228" t="n"/>
    </row>
    <row r="43595" ht="14.25" customHeight="1" s="192">
      <c r="W43595" s="231" t="n"/>
      <c r="X43595" s="231" t="n"/>
    </row>
    <row r="43596" ht="14.25" customHeight="1" s="192">
      <c r="W43596" s="33" t="n"/>
      <c r="X43596" s="33" t="n"/>
    </row>
    <row r="43597" ht="14.25" customHeight="1" s="192">
      <c r="W43597" s="231" t="n"/>
      <c r="X43597" s="231" t="n"/>
    </row>
    <row r="43598" ht="14.25" customHeight="1" s="192">
      <c r="W43598" s="33" t="n"/>
      <c r="X43598" s="33" t="n"/>
    </row>
    <row r="43600" ht="14.25" customHeight="1" s="192">
      <c r="W43600" s="231" t="n"/>
      <c r="X43600" s="231" t="n"/>
    </row>
    <row r="43601" ht="14.25" customHeight="1" s="192">
      <c r="W43601" s="235" t="n"/>
      <c r="X43601" s="235" t="n"/>
    </row>
    <row r="43602" ht="14.25" customHeight="1" s="192">
      <c r="W43602" s="228" t="n"/>
      <c r="X43602" s="228" t="n"/>
    </row>
    <row r="43603" ht="14.25" customHeight="1" s="192">
      <c r="W43603" s="235" t="n"/>
      <c r="X43603" s="235" t="n"/>
    </row>
    <row r="43604" ht="14.25" customHeight="1" s="192">
      <c r="W43604" s="235" t="n"/>
      <c r="X43604" s="235" t="n"/>
    </row>
    <row r="43605" ht="14.25" customHeight="1" s="192">
      <c r="W43605" s="235" t="n"/>
      <c r="X43605" s="235" t="n"/>
    </row>
    <row r="43606" ht="14.25" customHeight="1" s="192">
      <c r="W43606" s="239" t="n"/>
      <c r="X43606" s="239" t="n"/>
    </row>
    <row r="43607" ht="14.25" customHeight="1" s="192">
      <c r="W43607" s="239" t="n"/>
      <c r="X43607" s="239" t="n"/>
    </row>
    <row r="43608" ht="14.25" customHeight="1" s="192">
      <c r="W43608" s="239" t="n"/>
      <c r="X43608" s="239" t="n"/>
    </row>
    <row r="43609" ht="14.25" customHeight="1" s="192">
      <c r="W43609" s="235" t="n"/>
      <c r="X43609" s="235" t="n"/>
    </row>
    <row r="43610" ht="14.25" customHeight="1" s="192">
      <c r="W43610" s="235" t="n"/>
      <c r="X43610" s="235" t="n"/>
    </row>
    <row r="43611" ht="14.25" customHeight="1" s="192">
      <c r="W43611" s="235" t="n"/>
      <c r="X43611" s="235" t="n"/>
    </row>
    <row r="43612" ht="14.25" customHeight="1" s="192">
      <c r="W43612" s="239" t="n"/>
      <c r="X43612" s="239" t="n"/>
    </row>
    <row r="43613" ht="14.25" customHeight="1" s="192">
      <c r="W43613" s="239" t="n"/>
      <c r="X43613" s="239" t="n"/>
    </row>
    <row r="43614" ht="14.25" customHeight="1" s="192">
      <c r="W43614" s="235" t="n"/>
      <c r="X43614" s="235" t="n"/>
    </row>
    <row r="43615" ht="14.25" customHeight="1" s="192">
      <c r="W43615" s="235" t="n"/>
      <c r="X43615" s="235" t="n"/>
    </row>
    <row r="43616" ht="14.25" customHeight="1" s="192">
      <c r="W43616" s="239" t="n"/>
      <c r="X43616" s="239" t="n"/>
    </row>
    <row r="43617" ht="14.25" customHeight="1" s="192">
      <c r="W43617" s="235" t="n"/>
      <c r="X43617" s="235" t="n"/>
    </row>
    <row r="43618" ht="14.25" customHeight="1" s="192">
      <c r="W43618" s="239" t="n"/>
      <c r="X43618" s="239" t="n"/>
    </row>
    <row r="43620" ht="14.25" customHeight="1" s="192">
      <c r="W43620" s="235" t="n"/>
      <c r="X43620" s="235" t="n"/>
    </row>
    <row r="43621" ht="15" customHeight="1" s="192" thickBot="1">
      <c r="W43621" s="239" t="n"/>
      <c r="X43621" s="239" t="n"/>
    </row>
    <row r="43622" ht="15" customHeight="1" s="192" thickBot="1">
      <c r="W43622" s="45" t="n"/>
      <c r="X43622" s="45" t="n"/>
    </row>
    <row r="43623" ht="14.25" customHeight="1" s="192">
      <c r="W43623" s="228" t="n"/>
      <c r="X43623" s="228" t="n"/>
    </row>
    <row r="43624" ht="14.25" customHeight="1" s="192">
      <c r="W43624" s="228" t="n"/>
      <c r="X43624" s="228" t="n"/>
    </row>
    <row r="43625" ht="14.25" customHeight="1" s="192">
      <c r="W43625" s="231" t="n"/>
      <c r="X43625" s="231" t="n"/>
    </row>
    <row r="43626" ht="14.25" customHeight="1" s="192">
      <c r="W43626" s="33" t="n"/>
      <c r="X43626" s="33" t="n"/>
    </row>
    <row r="43627" ht="14.25" customHeight="1" s="192">
      <c r="W43627" s="231" t="n"/>
      <c r="X43627" s="231" t="n"/>
    </row>
    <row r="43628" ht="14.25" customHeight="1" s="192">
      <c r="W43628" s="33" t="n"/>
      <c r="X43628" s="33" t="n"/>
    </row>
    <row r="43630" ht="14.25" customHeight="1" s="192">
      <c r="W43630" s="231" t="n"/>
      <c r="X43630" s="231" t="n"/>
    </row>
    <row r="43631" ht="14.25" customHeight="1" s="192">
      <c r="W43631" s="235" t="n"/>
      <c r="X43631" s="235" t="n"/>
    </row>
    <row r="43632" ht="14.25" customHeight="1" s="192">
      <c r="W43632" s="228" t="n"/>
      <c r="X43632" s="228" t="n"/>
    </row>
    <row r="43633" ht="14.25" customHeight="1" s="192">
      <c r="W43633" s="235" t="n"/>
      <c r="X43633" s="235" t="n"/>
    </row>
    <row r="43634" ht="14.25" customHeight="1" s="192">
      <c r="W43634" s="235" t="n"/>
      <c r="X43634" s="235" t="n"/>
    </row>
    <row r="43635" ht="14.25" customHeight="1" s="192">
      <c r="W43635" s="235" t="n"/>
      <c r="X43635" s="235" t="n"/>
    </row>
    <row r="43636" ht="14.25" customHeight="1" s="192">
      <c r="W43636" s="239" t="n"/>
      <c r="X43636" s="239" t="n"/>
    </row>
    <row r="43637" ht="14.25" customHeight="1" s="192">
      <c r="W43637" s="239" t="n"/>
      <c r="X43637" s="239" t="n"/>
    </row>
    <row r="43638" ht="14.25" customHeight="1" s="192">
      <c r="W43638" s="239" t="n"/>
      <c r="X43638" s="239" t="n"/>
    </row>
    <row r="43639" ht="14.25" customHeight="1" s="192">
      <c r="W43639" s="235" t="n"/>
      <c r="X43639" s="235" t="n"/>
    </row>
    <row r="43640" ht="14.25" customHeight="1" s="192">
      <c r="W43640" s="235" t="n"/>
      <c r="X43640" s="235" t="n"/>
    </row>
    <row r="43641" ht="14.25" customHeight="1" s="192">
      <c r="W43641" s="235" t="n"/>
      <c r="X43641" s="235" t="n"/>
    </row>
    <row r="43642" ht="14.25" customHeight="1" s="192">
      <c r="W43642" s="239" t="n"/>
      <c r="X43642" s="239" t="n"/>
    </row>
    <row r="43643" ht="14.25" customHeight="1" s="192">
      <c r="W43643" s="239" t="n"/>
      <c r="X43643" s="239" t="n"/>
    </row>
    <row r="43644" ht="14.25" customHeight="1" s="192">
      <c r="W43644" s="235" t="n"/>
      <c r="X43644" s="235" t="n"/>
    </row>
    <row r="43645" ht="14.25" customHeight="1" s="192">
      <c r="W43645" s="235" t="n"/>
      <c r="X43645" s="235" t="n"/>
    </row>
    <row r="43646" ht="14.25" customHeight="1" s="192">
      <c r="W43646" s="239" t="n"/>
      <c r="X43646" s="239" t="n"/>
    </row>
    <row r="43647" ht="14.25" customHeight="1" s="192">
      <c r="W43647" s="235" t="n"/>
      <c r="X43647" s="235" t="n"/>
    </row>
    <row r="43648" ht="14.25" customHeight="1" s="192">
      <c r="W43648" s="239" t="n"/>
      <c r="X43648" s="239" t="n"/>
    </row>
    <row r="43650" ht="14.25" customHeight="1" s="192">
      <c r="W43650" s="235" t="n"/>
      <c r="X43650" s="235" t="n"/>
    </row>
    <row r="43651" ht="15" customHeight="1" s="192" thickBot="1">
      <c r="W43651" s="239" t="n"/>
      <c r="X43651" s="239" t="n"/>
    </row>
    <row r="43652" ht="15" customHeight="1" s="192" thickBot="1">
      <c r="W43652" s="45" t="n"/>
      <c r="X43652" s="45" t="n"/>
    </row>
    <row r="43653" ht="14.25" customHeight="1" s="192">
      <c r="W43653" s="228" t="n"/>
      <c r="X43653" s="228" t="n"/>
    </row>
    <row r="43654" ht="14.25" customHeight="1" s="192">
      <c r="W43654" s="228" t="n"/>
      <c r="X43654" s="228" t="n"/>
    </row>
    <row r="43655" ht="14.25" customHeight="1" s="192">
      <c r="W43655" s="231" t="n"/>
      <c r="X43655" s="231" t="n"/>
    </row>
    <row r="43656" ht="14.25" customHeight="1" s="192">
      <c r="W43656" s="33" t="n"/>
      <c r="X43656" s="33" t="n"/>
    </row>
    <row r="43657" ht="14.25" customHeight="1" s="192">
      <c r="W43657" s="231" t="n"/>
      <c r="X43657" s="231" t="n"/>
    </row>
    <row r="43658" ht="14.25" customHeight="1" s="192">
      <c r="W43658" s="33" t="n"/>
      <c r="X43658" s="33" t="n"/>
    </row>
    <row r="43660" ht="14.25" customHeight="1" s="192">
      <c r="W43660" s="231" t="n"/>
      <c r="X43660" s="231" t="n"/>
    </row>
    <row r="43661" ht="14.25" customHeight="1" s="192">
      <c r="W43661" s="235" t="n"/>
      <c r="X43661" s="235" t="n"/>
    </row>
    <row r="43662" ht="14.25" customHeight="1" s="192">
      <c r="W43662" s="228" t="n"/>
      <c r="X43662" s="228" t="n"/>
    </row>
    <row r="43663" ht="14.25" customHeight="1" s="192">
      <c r="W43663" s="235" t="n"/>
      <c r="X43663" s="235" t="n"/>
    </row>
    <row r="43664" ht="14.25" customHeight="1" s="192">
      <c r="W43664" s="235" t="n"/>
      <c r="X43664" s="235" t="n"/>
    </row>
    <row r="43665" ht="14.25" customHeight="1" s="192">
      <c r="W43665" s="235" t="n"/>
      <c r="X43665" s="235" t="n"/>
    </row>
    <row r="43666" ht="14.25" customHeight="1" s="192">
      <c r="W43666" s="239" t="n"/>
      <c r="X43666" s="239" t="n"/>
    </row>
    <row r="43667" ht="14.25" customHeight="1" s="192">
      <c r="W43667" s="239" t="n"/>
      <c r="X43667" s="239" t="n"/>
    </row>
    <row r="43668" ht="14.25" customHeight="1" s="192">
      <c r="W43668" s="239" t="n"/>
      <c r="X43668" s="239" t="n"/>
    </row>
    <row r="43669" ht="14.25" customHeight="1" s="192">
      <c r="W43669" s="235" t="n"/>
      <c r="X43669" s="235" t="n"/>
    </row>
    <row r="43670" ht="14.25" customHeight="1" s="192">
      <c r="W43670" s="235" t="n"/>
      <c r="X43670" s="235" t="n"/>
    </row>
    <row r="43671" ht="14.25" customHeight="1" s="192">
      <c r="W43671" s="235" t="n"/>
      <c r="X43671" s="235" t="n"/>
    </row>
    <row r="43672" ht="14.25" customHeight="1" s="192">
      <c r="W43672" s="239" t="n"/>
      <c r="X43672" s="239" t="n"/>
    </row>
    <row r="43673" ht="14.25" customHeight="1" s="192">
      <c r="W43673" s="239" t="n"/>
      <c r="X43673" s="239" t="n"/>
    </row>
    <row r="43674" ht="14.25" customHeight="1" s="192">
      <c r="W43674" s="235" t="n"/>
      <c r="X43674" s="235" t="n"/>
    </row>
    <row r="43675" ht="14.25" customHeight="1" s="192">
      <c r="W43675" s="235" t="n"/>
      <c r="X43675" s="235" t="n"/>
    </row>
    <row r="43676" ht="14.25" customHeight="1" s="192">
      <c r="W43676" s="239" t="n"/>
      <c r="X43676" s="239" t="n"/>
    </row>
    <row r="43677" ht="14.25" customHeight="1" s="192">
      <c r="W43677" s="235" t="n"/>
      <c r="X43677" s="235" t="n"/>
    </row>
    <row r="43678" ht="14.25" customHeight="1" s="192">
      <c r="W43678" s="239" t="n"/>
      <c r="X43678" s="239" t="n"/>
    </row>
    <row r="43680" ht="14.25" customHeight="1" s="192">
      <c r="W43680" s="235" t="n"/>
      <c r="X43680" s="235" t="n"/>
    </row>
    <row r="43681" ht="15" customHeight="1" s="192" thickBot="1">
      <c r="W43681" s="239" t="n"/>
      <c r="X43681" s="239" t="n"/>
    </row>
    <row r="43682" ht="15" customHeight="1" s="192" thickBot="1">
      <c r="W43682" s="45" t="n"/>
      <c r="X43682" s="45" t="n"/>
    </row>
    <row r="43683" ht="14.25" customHeight="1" s="192">
      <c r="W43683" s="228" t="n"/>
      <c r="X43683" s="228" t="n"/>
    </row>
    <row r="43684" ht="14.25" customHeight="1" s="192">
      <c r="W43684" s="228" t="n"/>
      <c r="X43684" s="228" t="n"/>
    </row>
    <row r="43685" ht="14.25" customHeight="1" s="192">
      <c r="W43685" s="231" t="n"/>
      <c r="X43685" s="231" t="n"/>
    </row>
    <row r="43686" ht="14.25" customHeight="1" s="192">
      <c r="W43686" s="33" t="n"/>
      <c r="X43686" s="33" t="n"/>
    </row>
    <row r="43687" ht="14.25" customHeight="1" s="192">
      <c r="W43687" s="231" t="n"/>
      <c r="X43687" s="231" t="n"/>
    </row>
    <row r="43688" ht="14.25" customHeight="1" s="192">
      <c r="W43688" s="33" t="n"/>
      <c r="X43688" s="33" t="n"/>
    </row>
    <row r="43690" ht="14.25" customHeight="1" s="192">
      <c r="W43690" s="231" t="n"/>
      <c r="X43690" s="231" t="n"/>
    </row>
    <row r="43691" ht="14.25" customHeight="1" s="192">
      <c r="W43691" s="235" t="n"/>
      <c r="X43691" s="235" t="n"/>
    </row>
    <row r="43692" ht="14.25" customHeight="1" s="192">
      <c r="W43692" s="228" t="n"/>
      <c r="X43692" s="228" t="n"/>
    </row>
    <row r="43693" ht="14.25" customHeight="1" s="192">
      <c r="W43693" s="235" t="n"/>
      <c r="X43693" s="235" t="n"/>
    </row>
    <row r="43694" ht="14.25" customHeight="1" s="192">
      <c r="W43694" s="235" t="n"/>
      <c r="X43694" s="235" t="n"/>
    </row>
    <row r="43695" ht="14.25" customHeight="1" s="192">
      <c r="W43695" s="235" t="n"/>
      <c r="X43695" s="235" t="n"/>
    </row>
    <row r="43696" ht="14.25" customHeight="1" s="192">
      <c r="W43696" s="239" t="n"/>
      <c r="X43696" s="239" t="n"/>
    </row>
    <row r="43697" ht="14.25" customHeight="1" s="192">
      <c r="W43697" s="239" t="n"/>
      <c r="X43697" s="239" t="n"/>
    </row>
    <row r="43698" ht="14.25" customHeight="1" s="192">
      <c r="W43698" s="239" t="n"/>
      <c r="X43698" s="239" t="n"/>
    </row>
    <row r="43699" ht="14.25" customHeight="1" s="192">
      <c r="W43699" s="235" t="n"/>
      <c r="X43699" s="235" t="n"/>
    </row>
    <row r="43700" ht="14.25" customHeight="1" s="192">
      <c r="W43700" s="235" t="n"/>
      <c r="X43700" s="235" t="n"/>
    </row>
    <row r="43701" ht="14.25" customHeight="1" s="192">
      <c r="W43701" s="235" t="n"/>
      <c r="X43701" s="235" t="n"/>
    </row>
    <row r="43702" ht="14.25" customHeight="1" s="192">
      <c r="W43702" s="239" t="n"/>
      <c r="X43702" s="239" t="n"/>
    </row>
    <row r="43703" ht="14.25" customHeight="1" s="192">
      <c r="W43703" s="239" t="n"/>
      <c r="X43703" s="239" t="n"/>
    </row>
    <row r="43704" ht="14.25" customHeight="1" s="192">
      <c r="W43704" s="235" t="n"/>
      <c r="X43704" s="235" t="n"/>
    </row>
    <row r="43705" ht="14.25" customHeight="1" s="192">
      <c r="W43705" s="235" t="n"/>
      <c r="X43705" s="235" t="n"/>
    </row>
    <row r="43706" ht="14.25" customHeight="1" s="192">
      <c r="W43706" s="239" t="n"/>
      <c r="X43706" s="239" t="n"/>
    </row>
    <row r="43707" ht="14.25" customHeight="1" s="192">
      <c r="W43707" s="235" t="n"/>
      <c r="X43707" s="235" t="n"/>
    </row>
    <row r="43708" ht="14.25" customHeight="1" s="192">
      <c r="W43708" s="239" t="n"/>
      <c r="X43708" s="239" t="n"/>
    </row>
    <row r="43710" ht="14.25" customHeight="1" s="192">
      <c r="W43710" s="235" t="n"/>
      <c r="X43710" s="235" t="n"/>
    </row>
    <row r="43711" ht="15" customHeight="1" s="192" thickBot="1">
      <c r="W43711" s="239" t="n"/>
      <c r="X43711" s="239" t="n"/>
    </row>
    <row r="43712" ht="15" customHeight="1" s="192" thickBot="1">
      <c r="W43712" s="45" t="n"/>
      <c r="X43712" s="45" t="n"/>
    </row>
    <row r="43713" ht="14.25" customHeight="1" s="192">
      <c r="W43713" s="228" t="n"/>
      <c r="X43713" s="228" t="n"/>
    </row>
    <row r="43714" ht="14.25" customHeight="1" s="192">
      <c r="W43714" s="228" t="n"/>
      <c r="X43714" s="228" t="n"/>
    </row>
    <row r="43715" ht="14.25" customHeight="1" s="192">
      <c r="W43715" s="231" t="n"/>
      <c r="X43715" s="231" t="n"/>
    </row>
    <row r="43716" ht="14.25" customHeight="1" s="192">
      <c r="W43716" s="33" t="n"/>
      <c r="X43716" s="33" t="n"/>
    </row>
    <row r="43717" ht="14.25" customHeight="1" s="192">
      <c r="W43717" s="231" t="n"/>
      <c r="X43717" s="231" t="n"/>
    </row>
    <row r="43718" ht="14.25" customHeight="1" s="192">
      <c r="W43718" s="33" t="n"/>
      <c r="X43718" s="33" t="n"/>
    </row>
    <row r="43720" ht="14.25" customHeight="1" s="192">
      <c r="W43720" s="231" t="n"/>
      <c r="X43720" s="231" t="n"/>
    </row>
    <row r="43721" ht="14.25" customHeight="1" s="192">
      <c r="W43721" s="235" t="n"/>
      <c r="X43721" s="235" t="n"/>
    </row>
    <row r="43722" ht="14.25" customHeight="1" s="192">
      <c r="W43722" s="228" t="n"/>
      <c r="X43722" s="228" t="n"/>
    </row>
    <row r="43723" ht="14.25" customHeight="1" s="192">
      <c r="W43723" s="235" t="n"/>
      <c r="X43723" s="235" t="n"/>
    </row>
    <row r="43724" ht="14.25" customHeight="1" s="192">
      <c r="W43724" s="235" t="n"/>
      <c r="X43724" s="235" t="n"/>
    </row>
    <row r="43725" ht="14.25" customHeight="1" s="192">
      <c r="W43725" s="235" t="n"/>
      <c r="X43725" s="235" t="n"/>
    </row>
    <row r="43726" ht="14.25" customHeight="1" s="192">
      <c r="W43726" s="239" t="n"/>
      <c r="X43726" s="239" t="n"/>
    </row>
    <row r="43727" ht="14.25" customHeight="1" s="192">
      <c r="W43727" s="239" t="n"/>
      <c r="X43727" s="239" t="n"/>
    </row>
    <row r="43728" ht="14.25" customHeight="1" s="192">
      <c r="W43728" s="239" t="n"/>
      <c r="X43728" s="239" t="n"/>
    </row>
    <row r="43729" ht="14.25" customHeight="1" s="192">
      <c r="W43729" s="235" t="n"/>
      <c r="X43729" s="235" t="n"/>
    </row>
    <row r="43730" ht="14.25" customHeight="1" s="192">
      <c r="W43730" s="235" t="n"/>
      <c r="X43730" s="235" t="n"/>
    </row>
    <row r="43731" ht="14.25" customHeight="1" s="192">
      <c r="W43731" s="235" t="n"/>
      <c r="X43731" s="235" t="n"/>
    </row>
    <row r="43732" ht="14.25" customHeight="1" s="192">
      <c r="W43732" s="239" t="n"/>
      <c r="X43732" s="239" t="n"/>
    </row>
    <row r="43733" ht="14.25" customHeight="1" s="192">
      <c r="W43733" s="239" t="n"/>
      <c r="X43733" s="239" t="n"/>
    </row>
    <row r="43734" ht="14.25" customHeight="1" s="192">
      <c r="W43734" s="235" t="n"/>
      <c r="X43734" s="235" t="n"/>
    </row>
    <row r="43735" ht="14.25" customHeight="1" s="192">
      <c r="W43735" s="235" t="n"/>
      <c r="X43735" s="235" t="n"/>
    </row>
    <row r="43736" ht="14.25" customHeight="1" s="192">
      <c r="W43736" s="239" t="n"/>
      <c r="X43736" s="239" t="n"/>
    </row>
    <row r="43737" ht="14.25" customHeight="1" s="192">
      <c r="W43737" s="235" t="n"/>
      <c r="X43737" s="235" t="n"/>
    </row>
    <row r="43738" ht="14.25" customHeight="1" s="192">
      <c r="W43738" s="239" t="n"/>
      <c r="X43738" s="239" t="n"/>
    </row>
    <row r="43740" ht="14.25" customHeight="1" s="192">
      <c r="W43740" s="235" t="n"/>
      <c r="X43740" s="235" t="n"/>
    </row>
    <row r="43741" ht="15" customHeight="1" s="192" thickBot="1">
      <c r="W43741" s="239" t="n"/>
      <c r="X43741" s="239" t="n"/>
    </row>
    <row r="43742" ht="15" customHeight="1" s="192" thickBot="1">
      <c r="W43742" s="45" t="n"/>
      <c r="X43742" s="45" t="n"/>
    </row>
    <row r="43743" ht="14.25" customHeight="1" s="192">
      <c r="W43743" s="228" t="n"/>
      <c r="X43743" s="228" t="n"/>
    </row>
    <row r="43744" ht="14.25" customHeight="1" s="192">
      <c r="W43744" s="228" t="n"/>
      <c r="X43744" s="228" t="n"/>
    </row>
    <row r="43745" ht="14.25" customHeight="1" s="192">
      <c r="W43745" s="231" t="n"/>
      <c r="X43745" s="231" t="n"/>
    </row>
    <row r="43746" ht="14.25" customHeight="1" s="192">
      <c r="W43746" s="33" t="n"/>
      <c r="X43746" s="33" t="n"/>
    </row>
    <row r="43747" ht="14.25" customHeight="1" s="192">
      <c r="W43747" s="231" t="n"/>
      <c r="X43747" s="231" t="n"/>
    </row>
    <row r="43748" ht="14.25" customHeight="1" s="192">
      <c r="W43748" s="33" t="n"/>
      <c r="X43748" s="33" t="n"/>
    </row>
    <row r="43750" ht="14.25" customHeight="1" s="192">
      <c r="W43750" s="231" t="n"/>
      <c r="X43750" s="231" t="n"/>
    </row>
    <row r="43751" ht="14.25" customHeight="1" s="192">
      <c r="W43751" s="235" t="n"/>
      <c r="X43751" s="235" t="n"/>
    </row>
    <row r="43752" ht="14.25" customHeight="1" s="192">
      <c r="W43752" s="228" t="n"/>
      <c r="X43752" s="228" t="n"/>
    </row>
    <row r="43753" ht="14.25" customHeight="1" s="192">
      <c r="W43753" s="235" t="n"/>
      <c r="X43753" s="235" t="n"/>
    </row>
    <row r="43754" ht="14.25" customHeight="1" s="192">
      <c r="W43754" s="235" t="n"/>
      <c r="X43754" s="235" t="n"/>
    </row>
    <row r="43755" ht="14.25" customHeight="1" s="192">
      <c r="W43755" s="235" t="n"/>
      <c r="X43755" s="235" t="n"/>
    </row>
    <row r="43756" ht="14.25" customHeight="1" s="192">
      <c r="W43756" s="239" t="n"/>
      <c r="X43756" s="239" t="n"/>
    </row>
    <row r="43757" ht="14.25" customHeight="1" s="192">
      <c r="W43757" s="239" t="n"/>
      <c r="X43757" s="239" t="n"/>
    </row>
    <row r="43758" ht="14.25" customHeight="1" s="192">
      <c r="W43758" s="239" t="n"/>
      <c r="X43758" s="239" t="n"/>
    </row>
    <row r="43759" ht="14.25" customHeight="1" s="192">
      <c r="W43759" s="235" t="n"/>
      <c r="X43759" s="235" t="n"/>
    </row>
    <row r="43760" ht="14.25" customHeight="1" s="192">
      <c r="W43760" s="235" t="n"/>
      <c r="X43760" s="235" t="n"/>
    </row>
    <row r="43761" ht="14.25" customHeight="1" s="192">
      <c r="W43761" s="235" t="n"/>
      <c r="X43761" s="235" t="n"/>
    </row>
    <row r="43762" ht="14.25" customHeight="1" s="192">
      <c r="W43762" s="239" t="n"/>
      <c r="X43762" s="239" t="n"/>
    </row>
    <row r="43763" ht="14.25" customHeight="1" s="192">
      <c r="W43763" s="239" t="n"/>
      <c r="X43763" s="239" t="n"/>
    </row>
    <row r="43764" ht="14.25" customHeight="1" s="192">
      <c r="W43764" s="235" t="n"/>
      <c r="X43764" s="235" t="n"/>
    </row>
    <row r="43765" ht="14.25" customHeight="1" s="192">
      <c r="W43765" s="235" t="n"/>
      <c r="X43765" s="235" t="n"/>
    </row>
    <row r="43766" ht="14.25" customHeight="1" s="192">
      <c r="W43766" s="239" t="n"/>
      <c r="X43766" s="239" t="n"/>
    </row>
    <row r="43767" ht="14.25" customHeight="1" s="192">
      <c r="W43767" s="235" t="n"/>
      <c r="X43767" s="235" t="n"/>
    </row>
    <row r="43768" ht="14.25" customHeight="1" s="192">
      <c r="W43768" s="239" t="n"/>
      <c r="X43768" s="239" t="n"/>
    </row>
    <row r="43770" ht="14.25" customHeight="1" s="192">
      <c r="W43770" s="235" t="n"/>
      <c r="X43770" s="235" t="n"/>
    </row>
    <row r="43771" ht="15" customHeight="1" s="192" thickBot="1">
      <c r="W43771" s="239" t="n"/>
      <c r="X43771" s="239" t="n"/>
    </row>
    <row r="43772" ht="15" customHeight="1" s="192" thickBot="1">
      <c r="W43772" s="45" t="n"/>
      <c r="X43772" s="45" t="n"/>
    </row>
    <row r="43773" ht="14.25" customHeight="1" s="192">
      <c r="W43773" s="228" t="n"/>
      <c r="X43773" s="228" t="n"/>
    </row>
    <row r="43774" ht="14.25" customHeight="1" s="192">
      <c r="W43774" s="228" t="n"/>
      <c r="X43774" s="228" t="n"/>
    </row>
    <row r="43775" ht="14.25" customHeight="1" s="192">
      <c r="W43775" s="231" t="n"/>
      <c r="X43775" s="231" t="n"/>
    </row>
    <row r="43776" ht="14.25" customHeight="1" s="192">
      <c r="W43776" s="33" t="n"/>
      <c r="X43776" s="33" t="n"/>
    </row>
    <row r="43777" ht="14.25" customHeight="1" s="192">
      <c r="W43777" s="231" t="n"/>
      <c r="X43777" s="231" t="n"/>
    </row>
    <row r="43778" ht="14.25" customHeight="1" s="192">
      <c r="W43778" s="33" t="n"/>
      <c r="X43778" s="33" t="n"/>
    </row>
    <row r="43780" ht="14.25" customHeight="1" s="192">
      <c r="W43780" s="231" t="n"/>
      <c r="X43780" s="231" t="n"/>
    </row>
    <row r="43781" ht="14.25" customHeight="1" s="192">
      <c r="W43781" s="235" t="n"/>
      <c r="X43781" s="235" t="n"/>
    </row>
    <row r="43782" ht="14.25" customHeight="1" s="192">
      <c r="W43782" s="228" t="n"/>
      <c r="X43782" s="228" t="n"/>
    </row>
    <row r="43783" ht="14.25" customHeight="1" s="192">
      <c r="W43783" s="235" t="n"/>
      <c r="X43783" s="235" t="n"/>
    </row>
    <row r="43784" ht="14.25" customHeight="1" s="192">
      <c r="W43784" s="235" t="n"/>
      <c r="X43784" s="235" t="n"/>
    </row>
    <row r="43785" ht="14.25" customHeight="1" s="192">
      <c r="W43785" s="235" t="n"/>
      <c r="X43785" s="235" t="n"/>
    </row>
    <row r="43786" ht="14.25" customHeight="1" s="192">
      <c r="W43786" s="239" t="n"/>
      <c r="X43786" s="239" t="n"/>
    </row>
    <row r="43787" ht="14.25" customHeight="1" s="192">
      <c r="W43787" s="239" t="n"/>
      <c r="X43787" s="239" t="n"/>
    </row>
    <row r="43788" ht="14.25" customHeight="1" s="192">
      <c r="W43788" s="239" t="n"/>
      <c r="X43788" s="239" t="n"/>
    </row>
    <row r="43789" ht="14.25" customHeight="1" s="192">
      <c r="W43789" s="235" t="n"/>
      <c r="X43789" s="235" t="n"/>
    </row>
    <row r="43790" ht="14.25" customHeight="1" s="192">
      <c r="W43790" s="235" t="n"/>
      <c r="X43790" s="235" t="n"/>
    </row>
    <row r="43791" ht="14.25" customHeight="1" s="192">
      <c r="W43791" s="235" t="n"/>
      <c r="X43791" s="235" t="n"/>
    </row>
    <row r="43792" ht="14.25" customHeight="1" s="192">
      <c r="W43792" s="239" t="n"/>
      <c r="X43792" s="239" t="n"/>
    </row>
    <row r="43793" ht="14.25" customHeight="1" s="192">
      <c r="W43793" s="239" t="n"/>
      <c r="X43793" s="239" t="n"/>
    </row>
    <row r="43794" ht="14.25" customHeight="1" s="192">
      <c r="W43794" s="235" t="n"/>
      <c r="X43794" s="235" t="n"/>
    </row>
    <row r="43795" ht="14.25" customHeight="1" s="192">
      <c r="W43795" s="235" t="n"/>
      <c r="X43795" s="235" t="n"/>
    </row>
    <row r="43796" ht="14.25" customHeight="1" s="192">
      <c r="W43796" s="239" t="n"/>
      <c r="X43796" s="239" t="n"/>
    </row>
    <row r="43797" ht="14.25" customHeight="1" s="192">
      <c r="W43797" s="235" t="n"/>
      <c r="X43797" s="235" t="n"/>
    </row>
    <row r="43798" ht="14.25" customHeight="1" s="192">
      <c r="W43798" s="239" t="n"/>
      <c r="X43798" s="239" t="n"/>
    </row>
    <row r="43800" ht="14.25" customHeight="1" s="192">
      <c r="W43800" s="235" t="n"/>
      <c r="X43800" s="235" t="n"/>
    </row>
    <row r="43801" ht="15" customHeight="1" s="192" thickBot="1">
      <c r="W43801" s="239" t="n"/>
      <c r="X43801" s="239" t="n"/>
    </row>
    <row r="43802" ht="15" customHeight="1" s="192" thickBot="1">
      <c r="W43802" s="45" t="n"/>
      <c r="X43802" s="45" t="n"/>
    </row>
    <row r="43803" ht="14.25" customHeight="1" s="192">
      <c r="W43803" s="228" t="n"/>
      <c r="X43803" s="228" t="n"/>
    </row>
    <row r="43804" ht="14.25" customHeight="1" s="192">
      <c r="W43804" s="228" t="n"/>
      <c r="X43804" s="228" t="n"/>
    </row>
    <row r="43805" ht="14.25" customHeight="1" s="192">
      <c r="W43805" s="231" t="n"/>
      <c r="X43805" s="231" t="n"/>
    </row>
    <row r="43806" ht="14.25" customHeight="1" s="192">
      <c r="W43806" s="33" t="n"/>
      <c r="X43806" s="33" t="n"/>
    </row>
    <row r="43807" ht="14.25" customHeight="1" s="192">
      <c r="W43807" s="231" t="n"/>
      <c r="X43807" s="231" t="n"/>
    </row>
    <row r="43808" ht="14.25" customHeight="1" s="192">
      <c r="W43808" s="33" t="n"/>
      <c r="X43808" s="33" t="n"/>
    </row>
    <row r="43810" ht="14.25" customHeight="1" s="192">
      <c r="W43810" s="231" t="n"/>
      <c r="X43810" s="231" t="n"/>
    </row>
    <row r="43811" ht="14.25" customHeight="1" s="192">
      <c r="W43811" s="235" t="n"/>
      <c r="X43811" s="235" t="n"/>
    </row>
    <row r="43812" ht="14.25" customHeight="1" s="192">
      <c r="W43812" s="228" t="n"/>
      <c r="X43812" s="228" t="n"/>
    </row>
    <row r="43813" ht="14.25" customHeight="1" s="192">
      <c r="W43813" s="235" t="n"/>
      <c r="X43813" s="235" t="n"/>
    </row>
    <row r="43814" ht="14.25" customHeight="1" s="192">
      <c r="W43814" s="235" t="n"/>
      <c r="X43814" s="235" t="n"/>
    </row>
    <row r="43815" ht="14.25" customHeight="1" s="192">
      <c r="W43815" s="235" t="n"/>
      <c r="X43815" s="235" t="n"/>
    </row>
    <row r="43816" ht="14.25" customHeight="1" s="192">
      <c r="W43816" s="239" t="n"/>
      <c r="X43816" s="239" t="n"/>
    </row>
    <row r="43817" ht="14.25" customHeight="1" s="192">
      <c r="W43817" s="239" t="n"/>
      <c r="X43817" s="239" t="n"/>
    </row>
    <row r="43818" ht="14.25" customHeight="1" s="192">
      <c r="W43818" s="239" t="n"/>
      <c r="X43818" s="239" t="n"/>
    </row>
    <row r="43819" ht="14.25" customHeight="1" s="192">
      <c r="W43819" s="235" t="n"/>
      <c r="X43819" s="235" t="n"/>
    </row>
    <row r="43820" ht="14.25" customHeight="1" s="192">
      <c r="W43820" s="235" t="n"/>
      <c r="X43820" s="235" t="n"/>
    </row>
    <row r="43821" ht="14.25" customHeight="1" s="192">
      <c r="W43821" s="235" t="n"/>
      <c r="X43821" s="235" t="n"/>
    </row>
    <row r="43822" ht="14.25" customHeight="1" s="192">
      <c r="W43822" s="239" t="n"/>
      <c r="X43822" s="239" t="n"/>
    </row>
    <row r="43823" ht="14.25" customHeight="1" s="192">
      <c r="W43823" s="239" t="n"/>
      <c r="X43823" s="239" t="n"/>
    </row>
    <row r="43824" ht="14.25" customHeight="1" s="192">
      <c r="W43824" s="235" t="n"/>
      <c r="X43824" s="235" t="n"/>
    </row>
    <row r="43825" ht="14.25" customHeight="1" s="192">
      <c r="W43825" s="235" t="n"/>
      <c r="X43825" s="235" t="n"/>
    </row>
    <row r="43826" ht="14.25" customHeight="1" s="192">
      <c r="W43826" s="239" t="n"/>
      <c r="X43826" s="239" t="n"/>
    </row>
    <row r="43827" ht="14.25" customHeight="1" s="192">
      <c r="W43827" s="235" t="n"/>
      <c r="X43827" s="235" t="n"/>
    </row>
    <row r="43828" ht="14.25" customHeight="1" s="192">
      <c r="W43828" s="239" t="n"/>
      <c r="X43828" s="239" t="n"/>
    </row>
    <row r="43830" ht="14.25" customHeight="1" s="192">
      <c r="W43830" s="235" t="n"/>
      <c r="X43830" s="235" t="n"/>
    </row>
    <row r="43831" ht="15" customHeight="1" s="192" thickBot="1">
      <c r="W43831" s="239" t="n"/>
      <c r="X43831" s="239" t="n"/>
    </row>
    <row r="43832" ht="15" customHeight="1" s="192" thickBot="1">
      <c r="W43832" s="45" t="n"/>
      <c r="X43832" s="45" t="n"/>
    </row>
    <row r="43833" ht="14.25" customHeight="1" s="192">
      <c r="W43833" s="228" t="n"/>
      <c r="X43833" s="228" t="n"/>
    </row>
    <row r="43834" ht="14.25" customHeight="1" s="192">
      <c r="W43834" s="228" t="n"/>
      <c r="X43834" s="228" t="n"/>
    </row>
    <row r="43835" ht="14.25" customHeight="1" s="192">
      <c r="W43835" s="231" t="n"/>
      <c r="X43835" s="231" t="n"/>
    </row>
    <row r="43836" ht="14.25" customHeight="1" s="192">
      <c r="W43836" s="33" t="n"/>
      <c r="X43836" s="33" t="n"/>
    </row>
    <row r="43837" ht="14.25" customHeight="1" s="192">
      <c r="W43837" s="231" t="n"/>
      <c r="X43837" s="231" t="n"/>
    </row>
    <row r="43838" ht="14.25" customHeight="1" s="192">
      <c r="W43838" s="33" t="n"/>
      <c r="X43838" s="33" t="n"/>
    </row>
    <row r="43840" ht="14.25" customHeight="1" s="192">
      <c r="W43840" s="231" t="n"/>
      <c r="X43840" s="231" t="n"/>
    </row>
    <row r="43841" ht="14.25" customHeight="1" s="192">
      <c r="W43841" s="235" t="n"/>
      <c r="X43841" s="235" t="n"/>
    </row>
    <row r="43842" ht="14.25" customHeight="1" s="192">
      <c r="W43842" s="228" t="n"/>
      <c r="X43842" s="228" t="n"/>
    </row>
    <row r="43843" ht="14.25" customHeight="1" s="192">
      <c r="W43843" s="235" t="n"/>
      <c r="X43843" s="235" t="n"/>
    </row>
    <row r="43844" ht="14.25" customHeight="1" s="192">
      <c r="W43844" s="235" t="n"/>
      <c r="X43844" s="235" t="n"/>
    </row>
    <row r="43845" ht="14.25" customHeight="1" s="192">
      <c r="W43845" s="235" t="n"/>
      <c r="X43845" s="235" t="n"/>
    </row>
    <row r="43846" ht="14.25" customHeight="1" s="192">
      <c r="W43846" s="239" t="n"/>
      <c r="X43846" s="239" t="n"/>
    </row>
    <row r="43847" ht="14.25" customHeight="1" s="192">
      <c r="W43847" s="239" t="n"/>
      <c r="X43847" s="239" t="n"/>
    </row>
    <row r="43848" ht="14.25" customHeight="1" s="192">
      <c r="W43848" s="239" t="n"/>
      <c r="X43848" s="239" t="n"/>
    </row>
    <row r="43849" ht="14.25" customHeight="1" s="192">
      <c r="W43849" s="235" t="n"/>
      <c r="X43849" s="235" t="n"/>
    </row>
    <row r="43850" ht="14.25" customHeight="1" s="192">
      <c r="W43850" s="235" t="n"/>
      <c r="X43850" s="235" t="n"/>
    </row>
    <row r="43851" ht="14.25" customHeight="1" s="192">
      <c r="W43851" s="235" t="n"/>
      <c r="X43851" s="235" t="n"/>
    </row>
    <row r="43852" ht="14.25" customHeight="1" s="192">
      <c r="W43852" s="239" t="n"/>
      <c r="X43852" s="239" t="n"/>
    </row>
    <row r="43853" ht="14.25" customHeight="1" s="192">
      <c r="W43853" s="239" t="n"/>
      <c r="X43853" s="239" t="n"/>
    </row>
    <row r="43854" ht="14.25" customHeight="1" s="192">
      <c r="W43854" s="235" t="n"/>
      <c r="X43854" s="235" t="n"/>
    </row>
    <row r="43855" ht="14.25" customHeight="1" s="192">
      <c r="W43855" s="235" t="n"/>
      <c r="X43855" s="235" t="n"/>
    </row>
    <row r="43856" ht="14.25" customHeight="1" s="192">
      <c r="W43856" s="239" t="n"/>
      <c r="X43856" s="239" t="n"/>
    </row>
    <row r="43857" ht="14.25" customHeight="1" s="192">
      <c r="W43857" s="235" t="n"/>
      <c r="X43857" s="235" t="n"/>
    </row>
    <row r="43858" ht="14.25" customHeight="1" s="192">
      <c r="W43858" s="239" t="n"/>
      <c r="X43858" s="239" t="n"/>
    </row>
    <row r="43860" ht="14.25" customHeight="1" s="192">
      <c r="W43860" s="235" t="n"/>
      <c r="X43860" s="235" t="n"/>
    </row>
    <row r="43861" ht="15" customHeight="1" s="192" thickBot="1">
      <c r="W43861" s="239" t="n"/>
      <c r="X43861" s="239" t="n"/>
    </row>
    <row r="43862" ht="15" customHeight="1" s="192" thickBot="1">
      <c r="W43862" s="45" t="n"/>
      <c r="X43862" s="45" t="n"/>
    </row>
    <row r="43863" ht="14.25" customHeight="1" s="192">
      <c r="W43863" s="228" t="n"/>
      <c r="X43863" s="228" t="n"/>
    </row>
    <row r="43864" ht="14.25" customHeight="1" s="192">
      <c r="W43864" s="228" t="n"/>
      <c r="X43864" s="228" t="n"/>
    </row>
    <row r="43865" ht="14.25" customHeight="1" s="192">
      <c r="W43865" s="231" t="n"/>
      <c r="X43865" s="231" t="n"/>
    </row>
    <row r="43866" ht="14.25" customHeight="1" s="192">
      <c r="W43866" s="33" t="n"/>
      <c r="X43866" s="33" t="n"/>
    </row>
    <row r="43867" ht="14.25" customHeight="1" s="192">
      <c r="W43867" s="231" t="n"/>
      <c r="X43867" s="231" t="n"/>
    </row>
    <row r="43868" ht="14.25" customHeight="1" s="192">
      <c r="W43868" s="33" t="n"/>
      <c r="X43868" s="33" t="n"/>
    </row>
    <row r="43870" ht="14.25" customHeight="1" s="192">
      <c r="W43870" s="231" t="n"/>
      <c r="X43870" s="231" t="n"/>
    </row>
    <row r="43871" ht="14.25" customHeight="1" s="192">
      <c r="W43871" s="235" t="n"/>
      <c r="X43871" s="235" t="n"/>
    </row>
    <row r="43872" ht="14.25" customHeight="1" s="192">
      <c r="W43872" s="228" t="n"/>
      <c r="X43872" s="228" t="n"/>
    </row>
    <row r="43873" ht="14.25" customHeight="1" s="192">
      <c r="W43873" s="235" t="n"/>
      <c r="X43873" s="235" t="n"/>
    </row>
    <row r="43874" ht="14.25" customHeight="1" s="192">
      <c r="W43874" s="235" t="n"/>
      <c r="X43874" s="235" t="n"/>
    </row>
    <row r="43875" ht="14.25" customHeight="1" s="192">
      <c r="W43875" s="235" t="n"/>
      <c r="X43875" s="235" t="n"/>
    </row>
    <row r="43876" ht="14.25" customHeight="1" s="192">
      <c r="W43876" s="239" t="n"/>
      <c r="X43876" s="239" t="n"/>
    </row>
    <row r="43877" ht="14.25" customHeight="1" s="192">
      <c r="W43877" s="239" t="n"/>
      <c r="X43877" s="239" t="n"/>
    </row>
    <row r="43878" ht="14.25" customHeight="1" s="192">
      <c r="W43878" s="239" t="n"/>
      <c r="X43878" s="239" t="n"/>
    </row>
    <row r="43879" ht="14.25" customHeight="1" s="192">
      <c r="W43879" s="235" t="n"/>
      <c r="X43879" s="235" t="n"/>
    </row>
    <row r="43880" ht="14.25" customHeight="1" s="192">
      <c r="W43880" s="235" t="n"/>
      <c r="X43880" s="235" t="n"/>
    </row>
    <row r="43881" ht="14.25" customHeight="1" s="192">
      <c r="W43881" s="235" t="n"/>
      <c r="X43881" s="235" t="n"/>
    </row>
    <row r="43882" ht="14.25" customHeight="1" s="192">
      <c r="W43882" s="239" t="n"/>
      <c r="X43882" s="239" t="n"/>
    </row>
    <row r="43883" ht="14.25" customHeight="1" s="192">
      <c r="W43883" s="239" t="n"/>
      <c r="X43883" s="239" t="n"/>
    </row>
    <row r="43884" ht="14.25" customHeight="1" s="192">
      <c r="W43884" s="235" t="n"/>
      <c r="X43884" s="235" t="n"/>
    </row>
    <row r="43885" ht="14.25" customHeight="1" s="192">
      <c r="W43885" s="235" t="n"/>
      <c r="X43885" s="235" t="n"/>
    </row>
    <row r="43886" ht="14.25" customHeight="1" s="192">
      <c r="W43886" s="239" t="n"/>
      <c r="X43886" s="239" t="n"/>
    </row>
    <row r="43887" ht="14.25" customHeight="1" s="192">
      <c r="W43887" s="235" t="n"/>
      <c r="X43887" s="235" t="n"/>
    </row>
    <row r="43888" ht="14.25" customHeight="1" s="192">
      <c r="W43888" s="239" t="n"/>
      <c r="X43888" s="239" t="n"/>
    </row>
    <row r="43890" ht="14.25" customHeight="1" s="192">
      <c r="W43890" s="235" t="n"/>
      <c r="X43890" s="235" t="n"/>
    </row>
    <row r="43891" ht="15" customHeight="1" s="192" thickBot="1">
      <c r="W43891" s="239" t="n"/>
      <c r="X43891" s="239" t="n"/>
    </row>
    <row r="43892" ht="15" customHeight="1" s="192" thickBot="1">
      <c r="W43892" s="45" t="n"/>
      <c r="X43892" s="45" t="n"/>
    </row>
    <row r="43893" ht="14.25" customHeight="1" s="192">
      <c r="W43893" s="228" t="n"/>
      <c r="X43893" s="228" t="n"/>
    </row>
    <row r="43894" ht="14.25" customHeight="1" s="192">
      <c r="W43894" s="228" t="n"/>
      <c r="X43894" s="228" t="n"/>
    </row>
    <row r="43895" ht="14.25" customHeight="1" s="192">
      <c r="W43895" s="231" t="n"/>
      <c r="X43895" s="231" t="n"/>
    </row>
    <row r="43896" ht="14.25" customHeight="1" s="192">
      <c r="W43896" s="33" t="n"/>
      <c r="X43896" s="33" t="n"/>
    </row>
    <row r="43897" ht="14.25" customHeight="1" s="192">
      <c r="W43897" s="231" t="n"/>
      <c r="X43897" s="231" t="n"/>
    </row>
    <row r="43898" ht="14.25" customHeight="1" s="192">
      <c r="W43898" s="33" t="n"/>
      <c r="X43898" s="33" t="n"/>
    </row>
    <row r="43900" ht="14.25" customHeight="1" s="192">
      <c r="W43900" s="231" t="n"/>
      <c r="X43900" s="231" t="n"/>
    </row>
    <row r="43901" ht="14.25" customHeight="1" s="192">
      <c r="W43901" s="235" t="n"/>
      <c r="X43901" s="235" t="n"/>
    </row>
    <row r="43902" ht="14.25" customHeight="1" s="192">
      <c r="W43902" s="228" t="n"/>
      <c r="X43902" s="228" t="n"/>
    </row>
    <row r="43903" ht="14.25" customHeight="1" s="192">
      <c r="W43903" s="235" t="n"/>
      <c r="X43903" s="235" t="n"/>
    </row>
    <row r="43904" ht="14.25" customHeight="1" s="192">
      <c r="W43904" s="235" t="n"/>
      <c r="X43904" s="235" t="n"/>
    </row>
    <row r="43905" ht="14.25" customHeight="1" s="192">
      <c r="W43905" s="235" t="n"/>
      <c r="X43905" s="235" t="n"/>
    </row>
    <row r="43906" ht="14.25" customHeight="1" s="192">
      <c r="W43906" s="239" t="n"/>
      <c r="X43906" s="239" t="n"/>
    </row>
    <row r="43907" ht="14.25" customHeight="1" s="192">
      <c r="W43907" s="239" t="n"/>
      <c r="X43907" s="239" t="n"/>
    </row>
    <row r="43908" ht="14.25" customHeight="1" s="192">
      <c r="W43908" s="239" t="n"/>
      <c r="X43908" s="239" t="n"/>
    </row>
    <row r="43909" ht="14.25" customHeight="1" s="192">
      <c r="W43909" s="235" t="n"/>
      <c r="X43909" s="235" t="n"/>
    </row>
    <row r="43910" ht="14.25" customHeight="1" s="192">
      <c r="W43910" s="235" t="n"/>
      <c r="X43910" s="235" t="n"/>
    </row>
    <row r="43911" ht="14.25" customHeight="1" s="192">
      <c r="W43911" s="235" t="n"/>
      <c r="X43911" s="235" t="n"/>
    </row>
    <row r="43912" ht="14.25" customHeight="1" s="192">
      <c r="W43912" s="239" t="n"/>
      <c r="X43912" s="239" t="n"/>
    </row>
    <row r="43913" ht="14.25" customHeight="1" s="192">
      <c r="W43913" s="239" t="n"/>
      <c r="X43913" s="239" t="n"/>
    </row>
    <row r="43914" ht="14.25" customHeight="1" s="192">
      <c r="W43914" s="235" t="n"/>
      <c r="X43914" s="235" t="n"/>
    </row>
    <row r="43915" ht="14.25" customHeight="1" s="192">
      <c r="W43915" s="235" t="n"/>
      <c r="X43915" s="235" t="n"/>
    </row>
    <row r="43916" ht="14.25" customHeight="1" s="192">
      <c r="W43916" s="239" t="n"/>
      <c r="X43916" s="239" t="n"/>
    </row>
    <row r="43917" ht="14.25" customHeight="1" s="192">
      <c r="W43917" s="235" t="n"/>
      <c r="X43917" s="235" t="n"/>
    </row>
    <row r="43918" ht="14.25" customHeight="1" s="192">
      <c r="W43918" s="239" t="n"/>
      <c r="X43918" s="239" t="n"/>
    </row>
    <row r="43920" ht="14.25" customHeight="1" s="192">
      <c r="W43920" s="235" t="n"/>
      <c r="X43920" s="235" t="n"/>
    </row>
    <row r="43921" ht="15" customHeight="1" s="192" thickBot="1">
      <c r="W43921" s="239" t="n"/>
      <c r="X43921" s="239" t="n"/>
    </row>
    <row r="43922" ht="15" customHeight="1" s="192" thickBot="1">
      <c r="W43922" s="45" t="n"/>
      <c r="X43922" s="45" t="n"/>
    </row>
    <row r="43923" ht="14.25" customHeight="1" s="192">
      <c r="W43923" s="228" t="n"/>
      <c r="X43923" s="228" t="n"/>
    </row>
    <row r="43924" ht="14.25" customHeight="1" s="192">
      <c r="W43924" s="228" t="n"/>
      <c r="X43924" s="228" t="n"/>
    </row>
    <row r="43925" ht="14.25" customHeight="1" s="192">
      <c r="W43925" s="231" t="n"/>
      <c r="X43925" s="231" t="n"/>
    </row>
    <row r="43926" ht="14.25" customHeight="1" s="192">
      <c r="W43926" s="33" t="n"/>
      <c r="X43926" s="33" t="n"/>
    </row>
    <row r="43927" ht="14.25" customHeight="1" s="192">
      <c r="W43927" s="231" t="n"/>
      <c r="X43927" s="231" t="n"/>
    </row>
    <row r="43928" ht="14.25" customHeight="1" s="192">
      <c r="W43928" s="33" t="n"/>
      <c r="X43928" s="33" t="n"/>
    </row>
    <row r="43930" ht="14.25" customHeight="1" s="192">
      <c r="W43930" s="231" t="n"/>
      <c r="X43930" s="231" t="n"/>
    </row>
    <row r="43931" ht="14.25" customHeight="1" s="192">
      <c r="W43931" s="235" t="n"/>
      <c r="X43931" s="235" t="n"/>
    </row>
    <row r="43932" ht="14.25" customHeight="1" s="192">
      <c r="W43932" s="228" t="n"/>
      <c r="X43932" s="228" t="n"/>
    </row>
    <row r="43933" ht="14.25" customHeight="1" s="192">
      <c r="W43933" s="235" t="n"/>
      <c r="X43933" s="235" t="n"/>
    </row>
    <row r="43934" ht="14.25" customHeight="1" s="192">
      <c r="W43934" s="235" t="n"/>
      <c r="X43934" s="235" t="n"/>
    </row>
    <row r="43935" ht="14.25" customHeight="1" s="192">
      <c r="W43935" s="235" t="n"/>
      <c r="X43935" s="235" t="n"/>
    </row>
    <row r="43936" ht="14.25" customHeight="1" s="192">
      <c r="W43936" s="239" t="n"/>
      <c r="X43936" s="239" t="n"/>
    </row>
    <row r="43937" ht="14.25" customHeight="1" s="192">
      <c r="W43937" s="239" t="n"/>
      <c r="X43937" s="239" t="n"/>
    </row>
    <row r="43938" ht="14.25" customHeight="1" s="192">
      <c r="W43938" s="239" t="n"/>
      <c r="X43938" s="239" t="n"/>
    </row>
    <row r="43939" ht="14.25" customHeight="1" s="192">
      <c r="W43939" s="235" t="n"/>
      <c r="X43939" s="235" t="n"/>
    </row>
    <row r="43940" ht="14.25" customHeight="1" s="192">
      <c r="W43940" s="235" t="n"/>
      <c r="X43940" s="235" t="n"/>
    </row>
    <row r="43941" ht="14.25" customHeight="1" s="192">
      <c r="W43941" s="235" t="n"/>
      <c r="X43941" s="235" t="n"/>
    </row>
    <row r="43942" ht="14.25" customHeight="1" s="192">
      <c r="W43942" s="239" t="n"/>
      <c r="X43942" s="239" t="n"/>
    </row>
    <row r="43943" ht="14.25" customHeight="1" s="192">
      <c r="W43943" s="239" t="n"/>
      <c r="X43943" s="239" t="n"/>
    </row>
    <row r="43944" ht="14.25" customHeight="1" s="192">
      <c r="W43944" s="235" t="n"/>
      <c r="X43944" s="235" t="n"/>
    </row>
    <row r="43945" ht="14.25" customHeight="1" s="192">
      <c r="W43945" s="235" t="n"/>
      <c r="X43945" s="235" t="n"/>
    </row>
    <row r="43946" ht="14.25" customHeight="1" s="192">
      <c r="W43946" s="239" t="n"/>
      <c r="X43946" s="239" t="n"/>
    </row>
    <row r="43947" ht="14.25" customHeight="1" s="192">
      <c r="W43947" s="235" t="n"/>
      <c r="X43947" s="235" t="n"/>
    </row>
    <row r="43948" ht="14.25" customHeight="1" s="192">
      <c r="W43948" s="239" t="n"/>
      <c r="X43948" s="239" t="n"/>
    </row>
    <row r="43950" ht="14.25" customHeight="1" s="192">
      <c r="W43950" s="235" t="n"/>
      <c r="X43950" s="235" t="n"/>
    </row>
    <row r="43951" ht="15" customHeight="1" s="192" thickBot="1">
      <c r="W43951" s="239" t="n"/>
      <c r="X43951" s="239" t="n"/>
    </row>
    <row r="43952" ht="15" customHeight="1" s="192" thickBot="1">
      <c r="W43952" s="45" t="n"/>
      <c r="X43952" s="45" t="n"/>
    </row>
    <row r="43953" ht="14.25" customHeight="1" s="192">
      <c r="W43953" s="228" t="n"/>
      <c r="X43953" s="228" t="n"/>
    </row>
    <row r="43954" ht="14.25" customHeight="1" s="192">
      <c r="W43954" s="228" t="n"/>
      <c r="X43954" s="228" t="n"/>
    </row>
    <row r="43955" ht="14.25" customHeight="1" s="192">
      <c r="W43955" s="231" t="n"/>
      <c r="X43955" s="231" t="n"/>
    </row>
    <row r="43956" ht="14.25" customHeight="1" s="192">
      <c r="W43956" s="33" t="n"/>
      <c r="X43956" s="33" t="n"/>
    </row>
    <row r="43957" ht="14.25" customHeight="1" s="192">
      <c r="W43957" s="231" t="n"/>
      <c r="X43957" s="231" t="n"/>
    </row>
    <row r="43958" ht="14.25" customHeight="1" s="192">
      <c r="W43958" s="33" t="n"/>
      <c r="X43958" s="33" t="n"/>
    </row>
    <row r="43960" ht="14.25" customHeight="1" s="192">
      <c r="W43960" s="231" t="n"/>
      <c r="X43960" s="231" t="n"/>
    </row>
    <row r="43961" ht="14.25" customHeight="1" s="192">
      <c r="W43961" s="235" t="n"/>
      <c r="X43961" s="235" t="n"/>
    </row>
    <row r="43962" ht="14.25" customHeight="1" s="192">
      <c r="W43962" s="228" t="n"/>
      <c r="X43962" s="228" t="n"/>
    </row>
    <row r="43963" ht="14.25" customHeight="1" s="192">
      <c r="W43963" s="235" t="n"/>
      <c r="X43963" s="235" t="n"/>
    </row>
    <row r="43964" ht="14.25" customHeight="1" s="192">
      <c r="W43964" s="235" t="n"/>
      <c r="X43964" s="235" t="n"/>
    </row>
    <row r="43965" ht="14.25" customHeight="1" s="192">
      <c r="W43965" s="235" t="n"/>
      <c r="X43965" s="235" t="n"/>
    </row>
    <row r="43966" ht="14.25" customHeight="1" s="192">
      <c r="W43966" s="239" t="n"/>
      <c r="X43966" s="239" t="n"/>
    </row>
    <row r="43967" ht="14.25" customHeight="1" s="192">
      <c r="W43967" s="239" t="n"/>
      <c r="X43967" s="239" t="n"/>
    </row>
    <row r="43968" ht="14.25" customHeight="1" s="192">
      <c r="W43968" s="239" t="n"/>
      <c r="X43968" s="239" t="n"/>
    </row>
    <row r="43969" ht="14.25" customHeight="1" s="192">
      <c r="W43969" s="235" t="n"/>
      <c r="X43969" s="235" t="n"/>
    </row>
    <row r="43970" ht="14.25" customHeight="1" s="192">
      <c r="W43970" s="235" t="n"/>
      <c r="X43970" s="235" t="n"/>
    </row>
    <row r="43971" ht="14.25" customHeight="1" s="192">
      <c r="W43971" s="235" t="n"/>
      <c r="X43971" s="235" t="n"/>
    </row>
    <row r="43972" ht="14.25" customHeight="1" s="192">
      <c r="W43972" s="239" t="n"/>
      <c r="X43972" s="239" t="n"/>
    </row>
    <row r="43973" ht="14.25" customHeight="1" s="192">
      <c r="W43973" s="239" t="n"/>
      <c r="X43973" s="239" t="n"/>
    </row>
    <row r="43974" ht="14.25" customHeight="1" s="192">
      <c r="W43974" s="235" t="n"/>
      <c r="X43974" s="235" t="n"/>
    </row>
    <row r="43975" ht="14.25" customHeight="1" s="192">
      <c r="W43975" s="235" t="n"/>
      <c r="X43975" s="235" t="n"/>
    </row>
    <row r="43976" ht="14.25" customHeight="1" s="192">
      <c r="W43976" s="239" t="n"/>
      <c r="X43976" s="239" t="n"/>
    </row>
    <row r="43977" ht="14.25" customHeight="1" s="192">
      <c r="W43977" s="235" t="n"/>
      <c r="X43977" s="235" t="n"/>
    </row>
    <row r="43978" ht="14.25" customHeight="1" s="192">
      <c r="W43978" s="239" t="n"/>
      <c r="X43978" s="239" t="n"/>
    </row>
    <row r="43980" ht="14.25" customHeight="1" s="192">
      <c r="W43980" s="235" t="n"/>
      <c r="X43980" s="235" t="n"/>
    </row>
    <row r="43981" ht="15" customHeight="1" s="192" thickBot="1">
      <c r="W43981" s="239" t="n"/>
      <c r="X43981" s="239" t="n"/>
    </row>
    <row r="43982" ht="15" customHeight="1" s="192" thickBot="1">
      <c r="W43982" s="45" t="n"/>
      <c r="X43982" s="45" t="n"/>
    </row>
    <row r="43983" ht="14.25" customHeight="1" s="192">
      <c r="W43983" s="228" t="n"/>
      <c r="X43983" s="228" t="n"/>
    </row>
    <row r="43984" ht="14.25" customHeight="1" s="192">
      <c r="W43984" s="228" t="n"/>
      <c r="X43984" s="228" t="n"/>
    </row>
    <row r="43985" ht="14.25" customHeight="1" s="192">
      <c r="W43985" s="231" t="n"/>
      <c r="X43985" s="231" t="n"/>
    </row>
    <row r="43986" ht="14.25" customHeight="1" s="192">
      <c r="W43986" s="33" t="n"/>
      <c r="X43986" s="33" t="n"/>
    </row>
    <row r="43987" ht="14.25" customHeight="1" s="192">
      <c r="W43987" s="231" t="n"/>
      <c r="X43987" s="231" t="n"/>
    </row>
    <row r="43988" ht="14.25" customHeight="1" s="192">
      <c r="W43988" s="33" t="n"/>
      <c r="X43988" s="33" t="n"/>
    </row>
    <row r="43990" ht="14.25" customHeight="1" s="192">
      <c r="W43990" s="231" t="n"/>
      <c r="X43990" s="231" t="n"/>
    </row>
    <row r="43991" ht="14.25" customHeight="1" s="192">
      <c r="W43991" s="235" t="n"/>
      <c r="X43991" s="235" t="n"/>
    </row>
    <row r="43992" ht="14.25" customHeight="1" s="192">
      <c r="W43992" s="228" t="n"/>
      <c r="X43992" s="228" t="n"/>
    </row>
    <row r="43993" ht="14.25" customHeight="1" s="192">
      <c r="W43993" s="235" t="n"/>
      <c r="X43993" s="235" t="n"/>
    </row>
    <row r="43994" ht="14.25" customHeight="1" s="192">
      <c r="W43994" s="235" t="n"/>
      <c r="X43994" s="235" t="n"/>
    </row>
    <row r="43995" ht="14.25" customHeight="1" s="192">
      <c r="W43995" s="235" t="n"/>
      <c r="X43995" s="235" t="n"/>
    </row>
    <row r="43996" ht="14.25" customHeight="1" s="192">
      <c r="W43996" s="239" t="n"/>
      <c r="X43996" s="239" t="n"/>
    </row>
    <row r="43997" ht="14.25" customHeight="1" s="192">
      <c r="W43997" s="239" t="n"/>
      <c r="X43997" s="239" t="n"/>
    </row>
    <row r="43998" ht="14.25" customHeight="1" s="192">
      <c r="W43998" s="239" t="n"/>
      <c r="X43998" s="239" t="n"/>
    </row>
    <row r="43999" ht="14.25" customHeight="1" s="192">
      <c r="W43999" s="235" t="n"/>
      <c r="X43999" s="235" t="n"/>
    </row>
    <row r="44000" ht="14.25" customHeight="1" s="192">
      <c r="W44000" s="235" t="n"/>
      <c r="X44000" s="235" t="n"/>
    </row>
    <row r="44001" ht="14.25" customHeight="1" s="192">
      <c r="W44001" s="235" t="n"/>
      <c r="X44001" s="235" t="n"/>
    </row>
    <row r="44002" ht="14.25" customHeight="1" s="192">
      <c r="W44002" s="239" t="n"/>
      <c r="X44002" s="239" t="n"/>
    </row>
    <row r="44003" ht="14.25" customHeight="1" s="192">
      <c r="W44003" s="239" t="n"/>
      <c r="X44003" s="239" t="n"/>
    </row>
    <row r="44004" ht="14.25" customHeight="1" s="192">
      <c r="W44004" s="235" t="n"/>
      <c r="X44004" s="235" t="n"/>
    </row>
    <row r="44005" ht="14.25" customHeight="1" s="192">
      <c r="W44005" s="235" t="n"/>
      <c r="X44005" s="235" t="n"/>
    </row>
    <row r="44006" ht="14.25" customHeight="1" s="192">
      <c r="W44006" s="239" t="n"/>
      <c r="X44006" s="239" t="n"/>
    </row>
    <row r="44007" ht="14.25" customHeight="1" s="192">
      <c r="W44007" s="235" t="n"/>
      <c r="X44007" s="235" t="n"/>
    </row>
    <row r="44008" ht="14.25" customHeight="1" s="192">
      <c r="W44008" s="239" t="n"/>
      <c r="X44008" s="239" t="n"/>
    </row>
    <row r="44010" ht="14.25" customHeight="1" s="192">
      <c r="W44010" s="235" t="n"/>
      <c r="X44010" s="235" t="n"/>
    </row>
    <row r="44011" ht="15" customHeight="1" s="192" thickBot="1">
      <c r="W44011" s="239" t="n"/>
      <c r="X44011" s="239" t="n"/>
    </row>
    <row r="44012" ht="15" customHeight="1" s="192" thickBot="1">
      <c r="W44012" s="45" t="n"/>
      <c r="X44012" s="45" t="n"/>
    </row>
    <row r="44013" ht="14.25" customHeight="1" s="192">
      <c r="W44013" s="228" t="n"/>
      <c r="X44013" s="228" t="n"/>
    </row>
    <row r="44014" ht="14.25" customHeight="1" s="192">
      <c r="W44014" s="228" t="n"/>
      <c r="X44014" s="228" t="n"/>
    </row>
    <row r="44015" ht="14.25" customHeight="1" s="192">
      <c r="W44015" s="231" t="n"/>
      <c r="X44015" s="231" t="n"/>
    </row>
    <row r="44016" ht="14.25" customHeight="1" s="192">
      <c r="W44016" s="33" t="n"/>
      <c r="X44016" s="33" t="n"/>
    </row>
    <row r="44017" ht="14.25" customHeight="1" s="192">
      <c r="W44017" s="231" t="n"/>
      <c r="X44017" s="231" t="n"/>
    </row>
    <row r="44018" ht="14.25" customHeight="1" s="192">
      <c r="W44018" s="33" t="n"/>
      <c r="X44018" s="33" t="n"/>
    </row>
    <row r="44020" ht="14.25" customHeight="1" s="192">
      <c r="W44020" s="231" t="n"/>
      <c r="X44020" s="231" t="n"/>
    </row>
    <row r="44021" ht="14.25" customHeight="1" s="192">
      <c r="W44021" s="235" t="n"/>
      <c r="X44021" s="235" t="n"/>
    </row>
    <row r="44022" ht="14.25" customHeight="1" s="192">
      <c r="W44022" s="228" t="n"/>
      <c r="X44022" s="228" t="n"/>
    </row>
    <row r="44023" ht="14.25" customHeight="1" s="192">
      <c r="W44023" s="235" t="n"/>
      <c r="X44023" s="235" t="n"/>
    </row>
    <row r="44024" ht="14.25" customHeight="1" s="192">
      <c r="W44024" s="235" t="n"/>
      <c r="X44024" s="235" t="n"/>
    </row>
    <row r="44025" ht="14.25" customHeight="1" s="192">
      <c r="W44025" s="235" t="n"/>
      <c r="X44025" s="235" t="n"/>
    </row>
    <row r="44026" ht="14.25" customHeight="1" s="192">
      <c r="W44026" s="239" t="n"/>
      <c r="X44026" s="239" t="n"/>
    </row>
    <row r="44027" ht="14.25" customHeight="1" s="192">
      <c r="W44027" s="239" t="n"/>
      <c r="X44027" s="239" t="n"/>
    </row>
    <row r="44028" ht="14.25" customHeight="1" s="192">
      <c r="W44028" s="239" t="n"/>
      <c r="X44028" s="239" t="n"/>
    </row>
    <row r="44029" ht="14.25" customHeight="1" s="192">
      <c r="W44029" s="235" t="n"/>
      <c r="X44029" s="235" t="n"/>
    </row>
    <row r="44030" ht="14.25" customHeight="1" s="192">
      <c r="W44030" s="235" t="n"/>
      <c r="X44030" s="235" t="n"/>
    </row>
    <row r="44031" ht="14.25" customHeight="1" s="192">
      <c r="W44031" s="235" t="n"/>
      <c r="X44031" s="235" t="n"/>
    </row>
    <row r="44032" ht="14.25" customHeight="1" s="192">
      <c r="W44032" s="239" t="n"/>
      <c r="X44032" s="239" t="n"/>
    </row>
    <row r="44033" ht="14.25" customHeight="1" s="192">
      <c r="W44033" s="239" t="n"/>
      <c r="X44033" s="239" t="n"/>
    </row>
    <row r="44034" ht="14.25" customHeight="1" s="192">
      <c r="W44034" s="235" t="n"/>
      <c r="X44034" s="235" t="n"/>
    </row>
    <row r="44035" ht="14.25" customHeight="1" s="192">
      <c r="W44035" s="235" t="n"/>
      <c r="X44035" s="235" t="n"/>
    </row>
    <row r="44036" ht="14.25" customHeight="1" s="192">
      <c r="W44036" s="239" t="n"/>
      <c r="X44036" s="239" t="n"/>
    </row>
    <row r="44037" ht="14.25" customHeight="1" s="192">
      <c r="W44037" s="235" t="n"/>
      <c r="X44037" s="235" t="n"/>
    </row>
    <row r="44038" ht="14.25" customHeight="1" s="192">
      <c r="W44038" s="239" t="n"/>
      <c r="X44038" s="239" t="n"/>
    </row>
    <row r="44040" ht="14.25" customHeight="1" s="192">
      <c r="W44040" s="235" t="n"/>
      <c r="X44040" s="235" t="n"/>
    </row>
    <row r="44041" ht="15" customHeight="1" s="192" thickBot="1">
      <c r="W44041" s="239" t="n"/>
      <c r="X44041" s="239" t="n"/>
    </row>
    <row r="44042" ht="15" customHeight="1" s="192" thickBot="1">
      <c r="W44042" s="45" t="n"/>
      <c r="X44042" s="45" t="n"/>
    </row>
    <row r="44043" ht="14.25" customHeight="1" s="192">
      <c r="W44043" s="228" t="n"/>
      <c r="X44043" s="228" t="n"/>
    </row>
    <row r="44044" ht="14.25" customHeight="1" s="192">
      <c r="W44044" s="228" t="n"/>
      <c r="X44044" s="228" t="n"/>
    </row>
    <row r="44045" ht="14.25" customHeight="1" s="192">
      <c r="W44045" s="231" t="n"/>
      <c r="X44045" s="231" t="n"/>
    </row>
    <row r="44046" ht="14.25" customHeight="1" s="192">
      <c r="W44046" s="33" t="n"/>
      <c r="X44046" s="33" t="n"/>
    </row>
    <row r="44047" ht="14.25" customHeight="1" s="192">
      <c r="W44047" s="231" t="n"/>
      <c r="X44047" s="231" t="n"/>
    </row>
    <row r="44048" ht="14.25" customHeight="1" s="192">
      <c r="W44048" s="33" t="n"/>
      <c r="X44048" s="33" t="n"/>
    </row>
    <row r="44050" ht="14.25" customHeight="1" s="192">
      <c r="W44050" s="231" t="n"/>
      <c r="X44050" s="231" t="n"/>
    </row>
    <row r="44051" ht="14.25" customHeight="1" s="192">
      <c r="W44051" s="235" t="n"/>
      <c r="X44051" s="235" t="n"/>
    </row>
    <row r="44052" ht="14.25" customHeight="1" s="192">
      <c r="W44052" s="228" t="n"/>
      <c r="X44052" s="228" t="n"/>
    </row>
    <row r="44053" ht="14.25" customHeight="1" s="192">
      <c r="W44053" s="235" t="n"/>
      <c r="X44053" s="235" t="n"/>
    </row>
    <row r="44054" ht="14.25" customHeight="1" s="192">
      <c r="W44054" s="235" t="n"/>
      <c r="X44054" s="235" t="n"/>
    </row>
    <row r="44055" ht="14.25" customHeight="1" s="192">
      <c r="W44055" s="235" t="n"/>
      <c r="X44055" s="235" t="n"/>
    </row>
    <row r="44056" ht="14.25" customHeight="1" s="192">
      <c r="W44056" s="239" t="n"/>
      <c r="X44056" s="239" t="n"/>
    </row>
    <row r="44057" ht="14.25" customHeight="1" s="192">
      <c r="W44057" s="239" t="n"/>
      <c r="X44057" s="239" t="n"/>
    </row>
    <row r="44058" ht="14.25" customHeight="1" s="192">
      <c r="W44058" s="239" t="n"/>
      <c r="X44058" s="239" t="n"/>
    </row>
    <row r="44059" ht="14.25" customHeight="1" s="192">
      <c r="W44059" s="235" t="n"/>
      <c r="X44059" s="235" t="n"/>
    </row>
    <row r="44060" ht="14.25" customHeight="1" s="192">
      <c r="W44060" s="235" t="n"/>
      <c r="X44060" s="235" t="n"/>
    </row>
    <row r="44061" ht="14.25" customHeight="1" s="192">
      <c r="W44061" s="235" t="n"/>
      <c r="X44061" s="235" t="n"/>
    </row>
    <row r="44062" ht="14.25" customHeight="1" s="192">
      <c r="W44062" s="239" t="n"/>
      <c r="X44062" s="239" t="n"/>
    </row>
    <row r="44063" ht="14.25" customHeight="1" s="192">
      <c r="W44063" s="239" t="n"/>
      <c r="X44063" s="239" t="n"/>
    </row>
    <row r="44064" ht="14.25" customHeight="1" s="192">
      <c r="W44064" s="235" t="n"/>
      <c r="X44064" s="235" t="n"/>
    </row>
    <row r="44065" ht="14.25" customHeight="1" s="192">
      <c r="W44065" s="235" t="n"/>
      <c r="X44065" s="235" t="n"/>
    </row>
    <row r="44066" ht="14.25" customHeight="1" s="192">
      <c r="W44066" s="239" t="n"/>
      <c r="X44066" s="239" t="n"/>
    </row>
    <row r="44067" ht="14.25" customHeight="1" s="192">
      <c r="W44067" s="235" t="n"/>
      <c r="X44067" s="235" t="n"/>
    </row>
    <row r="44068" ht="14.25" customHeight="1" s="192">
      <c r="W44068" s="239" t="n"/>
      <c r="X44068" s="239" t="n"/>
    </row>
    <row r="44070" ht="14.25" customHeight="1" s="192">
      <c r="W44070" s="235" t="n"/>
      <c r="X44070" s="235" t="n"/>
    </row>
    <row r="44071" ht="15" customHeight="1" s="192" thickBot="1">
      <c r="W44071" s="239" t="n"/>
      <c r="X44071" s="239" t="n"/>
    </row>
    <row r="44072" ht="15" customHeight="1" s="192" thickBot="1">
      <c r="W44072" s="45" t="n"/>
      <c r="X44072" s="45" t="n"/>
    </row>
    <row r="44073" ht="14.25" customHeight="1" s="192">
      <c r="W44073" s="228" t="n"/>
      <c r="X44073" s="228" t="n"/>
    </row>
    <row r="44074" ht="14.25" customHeight="1" s="192">
      <c r="W44074" s="228" t="n"/>
      <c r="X44074" s="228" t="n"/>
    </row>
    <row r="44075" ht="14.25" customHeight="1" s="192">
      <c r="W44075" s="231" t="n"/>
      <c r="X44075" s="231" t="n"/>
    </row>
    <row r="44076" ht="14.25" customHeight="1" s="192">
      <c r="W44076" s="33" t="n"/>
      <c r="X44076" s="33" t="n"/>
    </row>
    <row r="44077" ht="14.25" customHeight="1" s="192">
      <c r="W44077" s="231" t="n"/>
      <c r="X44077" s="231" t="n"/>
    </row>
    <row r="44078" ht="14.25" customHeight="1" s="192">
      <c r="W44078" s="33" t="n"/>
      <c r="X44078" s="33" t="n"/>
    </row>
    <row r="44080" ht="14.25" customHeight="1" s="192">
      <c r="W44080" s="231" t="n"/>
      <c r="X44080" s="231" t="n"/>
    </row>
    <row r="44081" ht="14.25" customHeight="1" s="192">
      <c r="W44081" s="235" t="n"/>
      <c r="X44081" s="235" t="n"/>
    </row>
    <row r="44082" ht="14.25" customHeight="1" s="192">
      <c r="W44082" s="228" t="n"/>
      <c r="X44082" s="228" t="n"/>
    </row>
    <row r="44083" ht="14.25" customHeight="1" s="192">
      <c r="W44083" s="235" t="n"/>
      <c r="X44083" s="235" t="n"/>
    </row>
    <row r="44084" ht="14.25" customHeight="1" s="192">
      <c r="W44084" s="235" t="n"/>
      <c r="X44084" s="235" t="n"/>
    </row>
    <row r="44085" ht="14.25" customHeight="1" s="192">
      <c r="W44085" s="235" t="n"/>
      <c r="X44085" s="235" t="n"/>
    </row>
    <row r="44086" ht="14.25" customHeight="1" s="192">
      <c r="W44086" s="239" t="n"/>
      <c r="X44086" s="239" t="n"/>
    </row>
    <row r="44087" ht="14.25" customHeight="1" s="192">
      <c r="W44087" s="239" t="n"/>
      <c r="X44087" s="239" t="n"/>
    </row>
    <row r="44088" ht="14.25" customHeight="1" s="192">
      <c r="W44088" s="239" t="n"/>
      <c r="X44088" s="239" t="n"/>
    </row>
    <row r="44089" ht="14.25" customHeight="1" s="192">
      <c r="W44089" s="235" t="n"/>
      <c r="X44089" s="235" t="n"/>
    </row>
    <row r="44090" ht="14.25" customHeight="1" s="192">
      <c r="W44090" s="235" t="n"/>
      <c r="X44090" s="235" t="n"/>
    </row>
    <row r="44091" ht="14.25" customHeight="1" s="192">
      <c r="W44091" s="235" t="n"/>
      <c r="X44091" s="235" t="n"/>
    </row>
    <row r="44092" ht="14.25" customHeight="1" s="192">
      <c r="W44092" s="239" t="n"/>
      <c r="X44092" s="239" t="n"/>
    </row>
    <row r="44093" ht="14.25" customHeight="1" s="192">
      <c r="W44093" s="239" t="n"/>
      <c r="X44093" s="239" t="n"/>
    </row>
    <row r="44094" ht="14.25" customHeight="1" s="192">
      <c r="W44094" s="235" t="n"/>
      <c r="X44094" s="235" t="n"/>
    </row>
    <row r="44095" ht="14.25" customHeight="1" s="192">
      <c r="W44095" s="235" t="n"/>
      <c r="X44095" s="235" t="n"/>
    </row>
    <row r="44096" ht="14.25" customHeight="1" s="192">
      <c r="W44096" s="239" t="n"/>
      <c r="X44096" s="239" t="n"/>
    </row>
    <row r="44097" ht="14.25" customHeight="1" s="192">
      <c r="W44097" s="235" t="n"/>
      <c r="X44097" s="235" t="n"/>
    </row>
    <row r="44098" ht="14.25" customHeight="1" s="192">
      <c r="W44098" s="239" t="n"/>
      <c r="X44098" s="239" t="n"/>
    </row>
    <row r="44100" ht="14.25" customHeight="1" s="192">
      <c r="W44100" s="235" t="n"/>
      <c r="X44100" s="235" t="n"/>
    </row>
    <row r="44101" ht="15" customHeight="1" s="192" thickBot="1">
      <c r="W44101" s="239" t="n"/>
      <c r="X44101" s="239" t="n"/>
    </row>
    <row r="44102" ht="15" customHeight="1" s="192" thickBot="1">
      <c r="W44102" s="45" t="n"/>
      <c r="X44102" s="45" t="n"/>
    </row>
    <row r="44103" ht="14.25" customHeight="1" s="192">
      <c r="W44103" s="228" t="n"/>
      <c r="X44103" s="228" t="n"/>
    </row>
    <row r="44104" ht="14.25" customHeight="1" s="192">
      <c r="W44104" s="228" t="n"/>
      <c r="X44104" s="228" t="n"/>
    </row>
    <row r="44105" ht="14.25" customHeight="1" s="192">
      <c r="W44105" s="231" t="n"/>
      <c r="X44105" s="231" t="n"/>
    </row>
    <row r="44106" ht="14.25" customHeight="1" s="192">
      <c r="W44106" s="33" t="n"/>
      <c r="X44106" s="33" t="n"/>
    </row>
    <row r="44107" ht="14.25" customHeight="1" s="192">
      <c r="W44107" s="231" t="n"/>
      <c r="X44107" s="231" t="n"/>
    </row>
    <row r="44108" ht="14.25" customHeight="1" s="192">
      <c r="W44108" s="33" t="n"/>
      <c r="X44108" s="33" t="n"/>
    </row>
    <row r="44110" ht="14.25" customHeight="1" s="192">
      <c r="W44110" s="231" t="n"/>
      <c r="X44110" s="231" t="n"/>
    </row>
    <row r="44111" ht="14.25" customHeight="1" s="192">
      <c r="W44111" s="235" t="n"/>
      <c r="X44111" s="235" t="n"/>
    </row>
    <row r="44112" ht="14.25" customHeight="1" s="192">
      <c r="W44112" s="228" t="n"/>
      <c r="X44112" s="228" t="n"/>
    </row>
    <row r="44113" ht="14.25" customHeight="1" s="192">
      <c r="W44113" s="235" t="n"/>
      <c r="X44113" s="235" t="n"/>
    </row>
    <row r="44114" ht="14.25" customHeight="1" s="192">
      <c r="W44114" s="235" t="n"/>
      <c r="X44114" s="235" t="n"/>
    </row>
    <row r="44115" ht="14.25" customHeight="1" s="192">
      <c r="W44115" s="235" t="n"/>
      <c r="X44115" s="235" t="n"/>
    </row>
    <row r="44116" ht="14.25" customHeight="1" s="192">
      <c r="W44116" s="239" t="n"/>
      <c r="X44116" s="239" t="n"/>
    </row>
    <row r="44117" ht="14.25" customHeight="1" s="192">
      <c r="W44117" s="239" t="n"/>
      <c r="X44117" s="239" t="n"/>
    </row>
    <row r="44118" ht="14.25" customHeight="1" s="192">
      <c r="W44118" s="239" t="n"/>
      <c r="X44118" s="239" t="n"/>
    </row>
    <row r="44119" ht="14.25" customHeight="1" s="192">
      <c r="W44119" s="235" t="n"/>
      <c r="X44119" s="235" t="n"/>
    </row>
    <row r="44120" ht="14.25" customHeight="1" s="192">
      <c r="W44120" s="235" t="n"/>
      <c r="X44120" s="235" t="n"/>
    </row>
    <row r="44121" ht="14.25" customHeight="1" s="192">
      <c r="W44121" s="235" t="n"/>
      <c r="X44121" s="235" t="n"/>
    </row>
    <row r="44122" ht="14.25" customHeight="1" s="192">
      <c r="W44122" s="239" t="n"/>
      <c r="X44122" s="239" t="n"/>
    </row>
    <row r="44123" ht="14.25" customHeight="1" s="192">
      <c r="W44123" s="239" t="n"/>
      <c r="X44123" s="239" t="n"/>
    </row>
    <row r="44124" ht="14.25" customHeight="1" s="192">
      <c r="W44124" s="235" t="n"/>
      <c r="X44124" s="235" t="n"/>
    </row>
    <row r="44125" ht="14.25" customHeight="1" s="192">
      <c r="W44125" s="235" t="n"/>
      <c r="X44125" s="235" t="n"/>
    </row>
    <row r="44126" ht="14.25" customHeight="1" s="192">
      <c r="W44126" s="239" t="n"/>
      <c r="X44126" s="239" t="n"/>
    </row>
    <row r="44127" ht="14.25" customHeight="1" s="192">
      <c r="W44127" s="235" t="n"/>
      <c r="X44127" s="235" t="n"/>
    </row>
    <row r="44128" ht="14.25" customHeight="1" s="192">
      <c r="W44128" s="239" t="n"/>
      <c r="X44128" s="239" t="n"/>
    </row>
    <row r="44130" ht="14.25" customHeight="1" s="192">
      <c r="W44130" s="235" t="n"/>
      <c r="X44130" s="235" t="n"/>
    </row>
    <row r="44131" ht="15" customHeight="1" s="192" thickBot="1">
      <c r="W44131" s="239" t="n"/>
      <c r="X44131" s="239" t="n"/>
    </row>
    <row r="44132" ht="15" customHeight="1" s="192" thickBot="1">
      <c r="W44132" s="45" t="n"/>
      <c r="X44132" s="45" t="n"/>
    </row>
    <row r="44133" ht="14.25" customHeight="1" s="192">
      <c r="W44133" s="228" t="n"/>
      <c r="X44133" s="228" t="n"/>
    </row>
    <row r="44134" ht="14.25" customHeight="1" s="192">
      <c r="W44134" s="228" t="n"/>
      <c r="X44134" s="228" t="n"/>
    </row>
    <row r="44135" ht="14.25" customHeight="1" s="192">
      <c r="W44135" s="231" t="n"/>
      <c r="X44135" s="231" t="n"/>
    </row>
    <row r="44136" ht="14.25" customHeight="1" s="192">
      <c r="W44136" s="33" t="n"/>
      <c r="X44136" s="33" t="n"/>
    </row>
    <row r="44137" ht="14.25" customHeight="1" s="192">
      <c r="W44137" s="231" t="n"/>
      <c r="X44137" s="231" t="n"/>
    </row>
    <row r="44138" ht="14.25" customHeight="1" s="192">
      <c r="W44138" s="33" t="n"/>
      <c r="X44138" s="33" t="n"/>
    </row>
    <row r="44140" ht="14.25" customHeight="1" s="192">
      <c r="W44140" s="231" t="n"/>
      <c r="X44140" s="231" t="n"/>
    </row>
    <row r="44141" ht="14.25" customHeight="1" s="192">
      <c r="W44141" s="235" t="n"/>
      <c r="X44141" s="235" t="n"/>
    </row>
    <row r="44142" ht="14.25" customHeight="1" s="192">
      <c r="W44142" s="228" t="n"/>
      <c r="X44142" s="228" t="n"/>
    </row>
    <row r="44143" ht="14.25" customHeight="1" s="192">
      <c r="W44143" s="235" t="n"/>
      <c r="X44143" s="235" t="n"/>
    </row>
    <row r="44144" ht="14.25" customHeight="1" s="192">
      <c r="W44144" s="235" t="n"/>
      <c r="X44144" s="235" t="n"/>
    </row>
    <row r="44145" ht="14.25" customHeight="1" s="192">
      <c r="W44145" s="235" t="n"/>
      <c r="X44145" s="235" t="n"/>
    </row>
    <row r="44146" ht="14.25" customHeight="1" s="192">
      <c r="W44146" s="239" t="n"/>
      <c r="X44146" s="239" t="n"/>
    </row>
    <row r="44147" ht="14.25" customHeight="1" s="192">
      <c r="W44147" s="239" t="n"/>
      <c r="X44147" s="239" t="n"/>
    </row>
    <row r="44148" ht="14.25" customHeight="1" s="192">
      <c r="W44148" s="239" t="n"/>
      <c r="X44148" s="239" t="n"/>
    </row>
    <row r="44149" ht="14.25" customHeight="1" s="192">
      <c r="W44149" s="235" t="n"/>
      <c r="X44149" s="235" t="n"/>
    </row>
    <row r="44150" ht="14.25" customHeight="1" s="192">
      <c r="W44150" s="235" t="n"/>
      <c r="X44150" s="235" t="n"/>
    </row>
    <row r="44151" ht="14.25" customHeight="1" s="192">
      <c r="W44151" s="235" t="n"/>
      <c r="X44151" s="235" t="n"/>
    </row>
    <row r="44152" ht="14.25" customHeight="1" s="192">
      <c r="W44152" s="239" t="n"/>
      <c r="X44152" s="239" t="n"/>
    </row>
    <row r="44153" ht="14.25" customHeight="1" s="192">
      <c r="W44153" s="239" t="n"/>
      <c r="X44153" s="239" t="n"/>
    </row>
    <row r="44154" ht="14.25" customHeight="1" s="192">
      <c r="W44154" s="235" t="n"/>
      <c r="X44154" s="235" t="n"/>
    </row>
    <row r="44155" ht="14.25" customHeight="1" s="192">
      <c r="W44155" s="235" t="n"/>
      <c r="X44155" s="235" t="n"/>
    </row>
    <row r="44156" ht="14.25" customHeight="1" s="192">
      <c r="W44156" s="239" t="n"/>
      <c r="X44156" s="239" t="n"/>
    </row>
    <row r="44157" ht="14.25" customHeight="1" s="192">
      <c r="W44157" s="235" t="n"/>
      <c r="X44157" s="235" t="n"/>
    </row>
    <row r="44158" ht="14.25" customHeight="1" s="192">
      <c r="W44158" s="239" t="n"/>
      <c r="X44158" s="239" t="n"/>
    </row>
    <row r="44160" ht="14.25" customHeight="1" s="192">
      <c r="W44160" s="235" t="n"/>
      <c r="X44160" s="235" t="n"/>
    </row>
    <row r="44161" ht="15" customHeight="1" s="192" thickBot="1">
      <c r="W44161" s="239" t="n"/>
      <c r="X44161" s="239" t="n"/>
    </row>
    <row r="44162" ht="15" customHeight="1" s="192" thickBot="1">
      <c r="W44162" s="45" t="n"/>
      <c r="X44162" s="45" t="n"/>
    </row>
    <row r="44163" ht="14.25" customHeight="1" s="192">
      <c r="W44163" s="228" t="n"/>
      <c r="X44163" s="228" t="n"/>
    </row>
    <row r="44164" ht="14.25" customHeight="1" s="192">
      <c r="W44164" s="228" t="n"/>
      <c r="X44164" s="228" t="n"/>
    </row>
    <row r="44165" ht="14.25" customHeight="1" s="192">
      <c r="W44165" s="231" t="n"/>
      <c r="X44165" s="231" t="n"/>
    </row>
    <row r="44166" ht="14.25" customHeight="1" s="192">
      <c r="W44166" s="33" t="n"/>
      <c r="X44166" s="33" t="n"/>
    </row>
    <row r="44167" ht="14.25" customHeight="1" s="192">
      <c r="W44167" s="231" t="n"/>
      <c r="X44167" s="231" t="n"/>
    </row>
    <row r="44168" ht="14.25" customHeight="1" s="192">
      <c r="W44168" s="33" t="n"/>
      <c r="X44168" s="33" t="n"/>
    </row>
    <row r="44170" ht="14.25" customHeight="1" s="192">
      <c r="W44170" s="231" t="n"/>
      <c r="X44170" s="231" t="n"/>
    </row>
    <row r="44171" ht="14.25" customHeight="1" s="192">
      <c r="W44171" s="235" t="n"/>
      <c r="X44171" s="235" t="n"/>
    </row>
    <row r="44172" ht="14.25" customHeight="1" s="192">
      <c r="W44172" s="228" t="n"/>
      <c r="X44172" s="228" t="n"/>
    </row>
    <row r="44173" ht="14.25" customHeight="1" s="192">
      <c r="W44173" s="235" t="n"/>
      <c r="X44173" s="235" t="n"/>
    </row>
    <row r="44174" ht="14.25" customHeight="1" s="192">
      <c r="W44174" s="235" t="n"/>
      <c r="X44174" s="235" t="n"/>
    </row>
    <row r="44175" ht="14.25" customHeight="1" s="192">
      <c r="W44175" s="235" t="n"/>
      <c r="X44175" s="235" t="n"/>
    </row>
    <row r="44176" ht="14.25" customHeight="1" s="192">
      <c r="W44176" s="239" t="n"/>
      <c r="X44176" s="239" t="n"/>
    </row>
    <row r="44177" ht="14.25" customHeight="1" s="192">
      <c r="W44177" s="239" t="n"/>
      <c r="X44177" s="239" t="n"/>
    </row>
    <row r="44178" ht="14.25" customHeight="1" s="192">
      <c r="W44178" s="239" t="n"/>
      <c r="X44178" s="239" t="n"/>
    </row>
    <row r="44179" ht="14.25" customHeight="1" s="192">
      <c r="W44179" s="235" t="n"/>
      <c r="X44179" s="235" t="n"/>
    </row>
    <row r="44180" ht="14.25" customHeight="1" s="192">
      <c r="W44180" s="235" t="n"/>
      <c r="X44180" s="235" t="n"/>
    </row>
    <row r="44181" ht="14.25" customHeight="1" s="192">
      <c r="W44181" s="235" t="n"/>
      <c r="X44181" s="235" t="n"/>
    </row>
    <row r="44182" ht="14.25" customHeight="1" s="192">
      <c r="W44182" s="239" t="n"/>
      <c r="X44182" s="239" t="n"/>
    </row>
    <row r="44183" ht="14.25" customHeight="1" s="192">
      <c r="W44183" s="239" t="n"/>
      <c r="X44183" s="239" t="n"/>
    </row>
    <row r="44184" ht="14.25" customHeight="1" s="192">
      <c r="W44184" s="235" t="n"/>
      <c r="X44184" s="235" t="n"/>
    </row>
    <row r="44185" ht="14.25" customHeight="1" s="192">
      <c r="W44185" s="235" t="n"/>
      <c r="X44185" s="235" t="n"/>
    </row>
    <row r="44186" ht="14.25" customHeight="1" s="192">
      <c r="W44186" s="239" t="n"/>
      <c r="X44186" s="239" t="n"/>
    </row>
    <row r="44187" ht="14.25" customHeight="1" s="192">
      <c r="W44187" s="235" t="n"/>
      <c r="X44187" s="235" t="n"/>
    </row>
    <row r="44188" ht="14.25" customHeight="1" s="192">
      <c r="W44188" s="239" t="n"/>
      <c r="X44188" s="239" t="n"/>
    </row>
    <row r="44190" ht="14.25" customHeight="1" s="192">
      <c r="W44190" s="235" t="n"/>
      <c r="X44190" s="235" t="n"/>
    </row>
    <row r="44191" ht="15" customHeight="1" s="192" thickBot="1">
      <c r="W44191" s="239" t="n"/>
      <c r="X44191" s="239" t="n"/>
    </row>
    <row r="44192" ht="15" customHeight="1" s="192" thickBot="1">
      <c r="W44192" s="45" t="n"/>
      <c r="X44192" s="45" t="n"/>
    </row>
    <row r="44193" ht="14.25" customHeight="1" s="192">
      <c r="W44193" s="228" t="n"/>
      <c r="X44193" s="228" t="n"/>
    </row>
    <row r="44194" ht="14.25" customHeight="1" s="192">
      <c r="W44194" s="228" t="n"/>
      <c r="X44194" s="228" t="n"/>
    </row>
    <row r="44195" ht="14.25" customHeight="1" s="192">
      <c r="W44195" s="231" t="n"/>
      <c r="X44195" s="231" t="n"/>
    </row>
    <row r="44196" ht="14.25" customHeight="1" s="192">
      <c r="W44196" s="33" t="n"/>
      <c r="X44196" s="33" t="n"/>
    </row>
    <row r="44197" ht="14.25" customHeight="1" s="192">
      <c r="W44197" s="231" t="n"/>
      <c r="X44197" s="231" t="n"/>
    </row>
    <row r="44198" ht="14.25" customHeight="1" s="192">
      <c r="W44198" s="33" t="n"/>
      <c r="X44198" s="33" t="n"/>
    </row>
    <row r="44200" ht="14.25" customHeight="1" s="192">
      <c r="W44200" s="231" t="n"/>
      <c r="X44200" s="231" t="n"/>
    </row>
    <row r="44201" ht="14.25" customHeight="1" s="192">
      <c r="W44201" s="235" t="n"/>
      <c r="X44201" s="235" t="n"/>
    </row>
    <row r="44202" ht="14.25" customHeight="1" s="192">
      <c r="W44202" s="228" t="n"/>
      <c r="X44202" s="228" t="n"/>
    </row>
    <row r="44203" ht="14.25" customHeight="1" s="192">
      <c r="W44203" s="235" t="n"/>
      <c r="X44203" s="235" t="n"/>
    </row>
    <row r="44204" ht="14.25" customHeight="1" s="192">
      <c r="W44204" s="235" t="n"/>
      <c r="X44204" s="235" t="n"/>
    </row>
    <row r="44205" ht="14.25" customHeight="1" s="192">
      <c r="W44205" s="235" t="n"/>
      <c r="X44205" s="235" t="n"/>
    </row>
    <row r="44206" ht="14.25" customHeight="1" s="192">
      <c r="W44206" s="239" t="n"/>
      <c r="X44206" s="239" t="n"/>
    </row>
    <row r="44207" ht="14.25" customHeight="1" s="192">
      <c r="W44207" s="239" t="n"/>
      <c r="X44207" s="239" t="n"/>
    </row>
    <row r="44208" ht="14.25" customHeight="1" s="192">
      <c r="W44208" s="239" t="n"/>
      <c r="X44208" s="239" t="n"/>
    </row>
    <row r="44209" ht="14.25" customHeight="1" s="192">
      <c r="W44209" s="235" t="n"/>
      <c r="X44209" s="235" t="n"/>
    </row>
    <row r="44210" ht="14.25" customHeight="1" s="192">
      <c r="W44210" s="235" t="n"/>
      <c r="X44210" s="235" t="n"/>
    </row>
    <row r="44211" ht="14.25" customHeight="1" s="192">
      <c r="W44211" s="235" t="n"/>
      <c r="X44211" s="235" t="n"/>
    </row>
    <row r="44212" ht="14.25" customHeight="1" s="192">
      <c r="W44212" s="239" t="n"/>
      <c r="X44212" s="239" t="n"/>
    </row>
    <row r="44213" ht="14.25" customHeight="1" s="192">
      <c r="W44213" s="239" t="n"/>
      <c r="X44213" s="239" t="n"/>
    </row>
    <row r="44214" ht="14.25" customHeight="1" s="192">
      <c r="W44214" s="235" t="n"/>
      <c r="X44214" s="235" t="n"/>
    </row>
    <row r="44215" ht="14.25" customHeight="1" s="192">
      <c r="W44215" s="235" t="n"/>
      <c r="X44215" s="235" t="n"/>
    </row>
    <row r="44216" ht="14.25" customHeight="1" s="192">
      <c r="W44216" s="239" t="n"/>
      <c r="X44216" s="239" t="n"/>
    </row>
    <row r="44217" ht="14.25" customHeight="1" s="192">
      <c r="W44217" s="235" t="n"/>
      <c r="X44217" s="235" t="n"/>
    </row>
    <row r="44218" ht="14.25" customHeight="1" s="192">
      <c r="W44218" s="239" t="n"/>
      <c r="X44218" s="239" t="n"/>
    </row>
    <row r="44220" ht="14.25" customHeight="1" s="192">
      <c r="W44220" s="235" t="n"/>
      <c r="X44220" s="235" t="n"/>
    </row>
    <row r="44221" ht="15" customHeight="1" s="192" thickBot="1">
      <c r="W44221" s="239" t="n"/>
      <c r="X44221" s="239" t="n"/>
    </row>
    <row r="44222" ht="15" customHeight="1" s="192" thickBot="1">
      <c r="W44222" s="45" t="n"/>
      <c r="X44222" s="45" t="n"/>
    </row>
    <row r="44223" ht="14.25" customHeight="1" s="192">
      <c r="W44223" s="228" t="n"/>
      <c r="X44223" s="228" t="n"/>
    </row>
    <row r="44224" ht="14.25" customHeight="1" s="192">
      <c r="W44224" s="228" t="n"/>
      <c r="X44224" s="228" t="n"/>
    </row>
    <row r="44225" ht="14.25" customHeight="1" s="192">
      <c r="W44225" s="231" t="n"/>
      <c r="X44225" s="231" t="n"/>
    </row>
    <row r="44226" ht="14.25" customHeight="1" s="192">
      <c r="W44226" s="33" t="n"/>
      <c r="X44226" s="33" t="n"/>
    </row>
    <row r="44227" ht="14.25" customHeight="1" s="192">
      <c r="W44227" s="231" t="n"/>
      <c r="X44227" s="231" t="n"/>
    </row>
    <row r="44228" ht="14.25" customHeight="1" s="192">
      <c r="W44228" s="33" t="n"/>
      <c r="X44228" s="33" t="n"/>
    </row>
    <row r="44230" ht="14.25" customHeight="1" s="192">
      <c r="W44230" s="231" t="n"/>
      <c r="X44230" s="231" t="n"/>
    </row>
    <row r="44231" ht="14.25" customHeight="1" s="192">
      <c r="W44231" s="235" t="n"/>
      <c r="X44231" s="235" t="n"/>
    </row>
    <row r="44232" ht="14.25" customHeight="1" s="192">
      <c r="W44232" s="228" t="n"/>
      <c r="X44232" s="228" t="n"/>
    </row>
    <row r="44233" ht="14.25" customHeight="1" s="192">
      <c r="W44233" s="235" t="n"/>
      <c r="X44233" s="235" t="n"/>
    </row>
    <row r="44234" ht="14.25" customHeight="1" s="192">
      <c r="W44234" s="235" t="n"/>
      <c r="X44234" s="235" t="n"/>
    </row>
    <row r="44235" ht="14.25" customHeight="1" s="192">
      <c r="W44235" s="235" t="n"/>
      <c r="X44235" s="235" t="n"/>
    </row>
    <row r="44236" ht="14.25" customHeight="1" s="192">
      <c r="W44236" s="239" t="n"/>
      <c r="X44236" s="239" t="n"/>
    </row>
    <row r="44237" ht="14.25" customHeight="1" s="192">
      <c r="W44237" s="239" t="n"/>
      <c r="X44237" s="239" t="n"/>
    </row>
    <row r="44238" ht="14.25" customHeight="1" s="192">
      <c r="W44238" s="239" t="n"/>
      <c r="X44238" s="239" t="n"/>
    </row>
    <row r="44239" ht="14.25" customHeight="1" s="192">
      <c r="W44239" s="235" t="n"/>
      <c r="X44239" s="235" t="n"/>
    </row>
    <row r="44240" ht="14.25" customHeight="1" s="192">
      <c r="W44240" s="235" t="n"/>
      <c r="X44240" s="235" t="n"/>
    </row>
    <row r="44241" ht="14.25" customHeight="1" s="192">
      <c r="W44241" s="235" t="n"/>
      <c r="X44241" s="235" t="n"/>
    </row>
    <row r="44242" ht="14.25" customHeight="1" s="192">
      <c r="W44242" s="239" t="n"/>
      <c r="X44242" s="239" t="n"/>
    </row>
    <row r="44243" ht="14.25" customHeight="1" s="192">
      <c r="W44243" s="239" t="n"/>
      <c r="X44243" s="239" t="n"/>
    </row>
    <row r="44244" ht="14.25" customHeight="1" s="192">
      <c r="W44244" s="235" t="n"/>
      <c r="X44244" s="235" t="n"/>
    </row>
    <row r="44245" ht="14.25" customHeight="1" s="192">
      <c r="W44245" s="235" t="n"/>
      <c r="X44245" s="235" t="n"/>
    </row>
    <row r="44246" ht="14.25" customHeight="1" s="192">
      <c r="W44246" s="239" t="n"/>
      <c r="X44246" s="239" t="n"/>
    </row>
    <row r="44247" ht="14.25" customHeight="1" s="192">
      <c r="W44247" s="235" t="n"/>
      <c r="X44247" s="235" t="n"/>
    </row>
    <row r="44248" ht="14.25" customHeight="1" s="192">
      <c r="W44248" s="239" t="n"/>
      <c r="X44248" s="239" t="n"/>
    </row>
    <row r="44250" ht="14.25" customHeight="1" s="192">
      <c r="W44250" s="235" t="n"/>
      <c r="X44250" s="235" t="n"/>
    </row>
    <row r="44251" ht="15" customHeight="1" s="192" thickBot="1">
      <c r="W44251" s="239" t="n"/>
      <c r="X44251" s="239" t="n"/>
    </row>
    <row r="44252" ht="15" customHeight="1" s="192" thickBot="1">
      <c r="W44252" s="45" t="n"/>
      <c r="X44252" s="45" t="n"/>
    </row>
    <row r="44253" ht="14.25" customHeight="1" s="192">
      <c r="W44253" s="228" t="n"/>
      <c r="X44253" s="228" t="n"/>
    </row>
    <row r="44254" ht="14.25" customHeight="1" s="192">
      <c r="W44254" s="228" t="n"/>
      <c r="X44254" s="228" t="n"/>
    </row>
    <row r="44255" ht="14.25" customHeight="1" s="192">
      <c r="W44255" s="231" t="n"/>
      <c r="X44255" s="231" t="n"/>
    </row>
    <row r="44256" ht="14.25" customHeight="1" s="192">
      <c r="W44256" s="33" t="n"/>
      <c r="X44256" s="33" t="n"/>
    </row>
    <row r="44257" ht="14.25" customHeight="1" s="192">
      <c r="W44257" s="231" t="n"/>
      <c r="X44257" s="231" t="n"/>
    </row>
    <row r="44258" ht="14.25" customHeight="1" s="192">
      <c r="W44258" s="33" t="n"/>
      <c r="X44258" s="33" t="n"/>
    </row>
    <row r="44260" ht="14.25" customHeight="1" s="192">
      <c r="W44260" s="231" t="n"/>
      <c r="X44260" s="231" t="n"/>
    </row>
    <row r="44261" ht="14.25" customHeight="1" s="192">
      <c r="W44261" s="235" t="n"/>
      <c r="X44261" s="235" t="n"/>
    </row>
    <row r="44262" ht="14.25" customHeight="1" s="192">
      <c r="W44262" s="228" t="n"/>
      <c r="X44262" s="228" t="n"/>
    </row>
    <row r="44263" ht="14.25" customHeight="1" s="192">
      <c r="W44263" s="235" t="n"/>
      <c r="X44263" s="235" t="n"/>
    </row>
    <row r="44264" ht="14.25" customHeight="1" s="192">
      <c r="W44264" s="235" t="n"/>
      <c r="X44264" s="235" t="n"/>
    </row>
    <row r="44265" ht="14.25" customHeight="1" s="192">
      <c r="W44265" s="235" t="n"/>
      <c r="X44265" s="235" t="n"/>
    </row>
    <row r="44266" ht="14.25" customHeight="1" s="192">
      <c r="W44266" s="239" t="n"/>
      <c r="X44266" s="239" t="n"/>
    </row>
    <row r="44267" ht="14.25" customHeight="1" s="192">
      <c r="W44267" s="239" t="n"/>
      <c r="X44267" s="239" t="n"/>
    </row>
    <row r="44268" ht="14.25" customHeight="1" s="192">
      <c r="W44268" s="239" t="n"/>
      <c r="X44268" s="239" t="n"/>
    </row>
    <row r="44269" ht="14.25" customHeight="1" s="192">
      <c r="W44269" s="235" t="n"/>
      <c r="X44269" s="235" t="n"/>
    </row>
    <row r="44270" ht="14.25" customHeight="1" s="192">
      <c r="W44270" s="235" t="n"/>
      <c r="X44270" s="235" t="n"/>
    </row>
    <row r="44271" ht="14.25" customHeight="1" s="192">
      <c r="W44271" s="235" t="n"/>
      <c r="X44271" s="235" t="n"/>
    </row>
    <row r="44272" ht="14.25" customHeight="1" s="192">
      <c r="W44272" s="239" t="n"/>
      <c r="X44272" s="239" t="n"/>
    </row>
    <row r="44273" ht="14.25" customHeight="1" s="192">
      <c r="W44273" s="239" t="n"/>
      <c r="X44273" s="239" t="n"/>
    </row>
    <row r="44274" ht="14.25" customHeight="1" s="192">
      <c r="W44274" s="235" t="n"/>
      <c r="X44274" s="235" t="n"/>
    </row>
    <row r="44275" ht="14.25" customHeight="1" s="192">
      <c r="W44275" s="235" t="n"/>
      <c r="X44275" s="235" t="n"/>
    </row>
    <row r="44276" ht="14.25" customHeight="1" s="192">
      <c r="W44276" s="239" t="n"/>
      <c r="X44276" s="239" t="n"/>
    </row>
    <row r="44277" ht="14.25" customHeight="1" s="192">
      <c r="W44277" s="235" t="n"/>
      <c r="X44277" s="235" t="n"/>
    </row>
    <row r="44278" ht="14.25" customHeight="1" s="192">
      <c r="W44278" s="239" t="n"/>
      <c r="X44278" s="239" t="n"/>
    </row>
    <row r="44280" ht="14.25" customHeight="1" s="192">
      <c r="W44280" s="235" t="n"/>
      <c r="X44280" s="235" t="n"/>
    </row>
    <row r="44281" ht="15" customHeight="1" s="192" thickBot="1">
      <c r="W44281" s="239" t="n"/>
      <c r="X44281" s="239" t="n"/>
    </row>
    <row r="44282" ht="15" customHeight="1" s="192" thickBot="1">
      <c r="W44282" s="45" t="n"/>
      <c r="X44282" s="45" t="n"/>
    </row>
    <row r="44283" ht="14.25" customHeight="1" s="192">
      <c r="W44283" s="228" t="n"/>
      <c r="X44283" s="228" t="n"/>
    </row>
    <row r="44284" ht="14.25" customHeight="1" s="192">
      <c r="W44284" s="228" t="n"/>
      <c r="X44284" s="228" t="n"/>
    </row>
    <row r="44285" ht="14.25" customHeight="1" s="192">
      <c r="W44285" s="231" t="n"/>
      <c r="X44285" s="231" t="n"/>
    </row>
    <row r="44286" ht="14.25" customHeight="1" s="192">
      <c r="W44286" s="33" t="n"/>
      <c r="X44286" s="33" t="n"/>
    </row>
    <row r="44287" ht="14.25" customHeight="1" s="192">
      <c r="W44287" s="231" t="n"/>
      <c r="X44287" s="231" t="n"/>
    </row>
    <row r="44288" ht="14.25" customHeight="1" s="192">
      <c r="W44288" s="33" t="n"/>
      <c r="X44288" s="33" t="n"/>
    </row>
    <row r="44290" ht="14.25" customHeight="1" s="192">
      <c r="W44290" s="231" t="n"/>
      <c r="X44290" s="231" t="n"/>
    </row>
    <row r="44291" ht="14.25" customHeight="1" s="192">
      <c r="W44291" s="235" t="n"/>
      <c r="X44291" s="235" t="n"/>
    </row>
    <row r="44292" ht="14.25" customHeight="1" s="192">
      <c r="W44292" s="228" t="n"/>
      <c r="X44292" s="228" t="n"/>
    </row>
    <row r="44293" ht="14.25" customHeight="1" s="192">
      <c r="W44293" s="235" t="n"/>
      <c r="X44293" s="235" t="n"/>
    </row>
    <row r="44294" ht="14.25" customHeight="1" s="192">
      <c r="W44294" s="235" t="n"/>
      <c r="X44294" s="235" t="n"/>
    </row>
    <row r="44295" ht="14.25" customHeight="1" s="192">
      <c r="W44295" s="235" t="n"/>
      <c r="X44295" s="235" t="n"/>
    </row>
    <row r="44296" ht="14.25" customHeight="1" s="192">
      <c r="W44296" s="239" t="n"/>
      <c r="X44296" s="239" t="n"/>
    </row>
    <row r="44297" ht="14.25" customHeight="1" s="192">
      <c r="W44297" s="239" t="n"/>
      <c r="X44297" s="239" t="n"/>
    </row>
    <row r="44298" ht="14.25" customHeight="1" s="192">
      <c r="W44298" s="239" t="n"/>
      <c r="X44298" s="239" t="n"/>
    </row>
    <row r="44299" ht="14.25" customHeight="1" s="192">
      <c r="W44299" s="235" t="n"/>
      <c r="X44299" s="235" t="n"/>
    </row>
    <row r="44300" ht="14.25" customHeight="1" s="192">
      <c r="W44300" s="235" t="n"/>
      <c r="X44300" s="235" t="n"/>
    </row>
    <row r="44301" ht="14.25" customHeight="1" s="192">
      <c r="W44301" s="235" t="n"/>
      <c r="X44301" s="235" t="n"/>
    </row>
    <row r="44302" ht="14.25" customHeight="1" s="192">
      <c r="W44302" s="239" t="n"/>
      <c r="X44302" s="239" t="n"/>
    </row>
    <row r="44303" ht="14.25" customHeight="1" s="192">
      <c r="W44303" s="239" t="n"/>
      <c r="X44303" s="239" t="n"/>
    </row>
    <row r="44304" ht="14.25" customHeight="1" s="192">
      <c r="W44304" s="235" t="n"/>
      <c r="X44304" s="235" t="n"/>
    </row>
    <row r="44305" ht="14.25" customHeight="1" s="192">
      <c r="W44305" s="235" t="n"/>
      <c r="X44305" s="235" t="n"/>
    </row>
    <row r="44306" ht="14.25" customHeight="1" s="192">
      <c r="W44306" s="239" t="n"/>
      <c r="X44306" s="239" t="n"/>
    </row>
    <row r="44307" ht="14.25" customHeight="1" s="192">
      <c r="W44307" s="235" t="n"/>
      <c r="X44307" s="235" t="n"/>
    </row>
    <row r="44308" ht="14.25" customHeight="1" s="192">
      <c r="W44308" s="239" t="n"/>
      <c r="X44308" s="239" t="n"/>
    </row>
    <row r="44310" ht="14.25" customHeight="1" s="192">
      <c r="W44310" s="235" t="n"/>
      <c r="X44310" s="235" t="n"/>
    </row>
    <row r="44311" ht="15" customHeight="1" s="192" thickBot="1">
      <c r="W44311" s="239" t="n"/>
      <c r="X44311" s="239" t="n"/>
    </row>
    <row r="44312" ht="15" customHeight="1" s="192" thickBot="1">
      <c r="W44312" s="45" t="n"/>
      <c r="X44312" s="45" t="n"/>
    </row>
    <row r="44313" ht="14.25" customHeight="1" s="192">
      <c r="W44313" s="228" t="n"/>
      <c r="X44313" s="228" t="n"/>
    </row>
    <row r="44314" ht="14.25" customHeight="1" s="192">
      <c r="W44314" s="228" t="n"/>
      <c r="X44314" s="228" t="n"/>
    </row>
    <row r="44315" ht="14.25" customHeight="1" s="192">
      <c r="W44315" s="231" t="n"/>
      <c r="X44315" s="231" t="n"/>
    </row>
    <row r="44316" ht="14.25" customHeight="1" s="192">
      <c r="W44316" s="33" t="n"/>
      <c r="X44316" s="33" t="n"/>
    </row>
    <row r="44317" ht="14.25" customHeight="1" s="192">
      <c r="W44317" s="231" t="n"/>
      <c r="X44317" s="231" t="n"/>
    </row>
    <row r="44318" ht="14.25" customHeight="1" s="192">
      <c r="W44318" s="33" t="n"/>
      <c r="X44318" s="33" t="n"/>
    </row>
    <row r="44320" ht="14.25" customHeight="1" s="192">
      <c r="W44320" s="231" t="n"/>
      <c r="X44320" s="231" t="n"/>
    </row>
    <row r="44321" ht="14.25" customHeight="1" s="192">
      <c r="W44321" s="235" t="n"/>
      <c r="X44321" s="235" t="n"/>
    </row>
    <row r="44322" ht="14.25" customHeight="1" s="192">
      <c r="W44322" s="228" t="n"/>
      <c r="X44322" s="228" t="n"/>
    </row>
    <row r="44323" ht="14.25" customHeight="1" s="192">
      <c r="W44323" s="235" t="n"/>
      <c r="X44323" s="235" t="n"/>
    </row>
    <row r="44324" ht="14.25" customHeight="1" s="192">
      <c r="W44324" s="235" t="n"/>
      <c r="X44324" s="235" t="n"/>
    </row>
    <row r="44325" ht="14.25" customHeight="1" s="192">
      <c r="W44325" s="235" t="n"/>
      <c r="X44325" s="235" t="n"/>
    </row>
    <row r="44326" ht="14.25" customHeight="1" s="192">
      <c r="W44326" s="239" t="n"/>
      <c r="X44326" s="239" t="n"/>
    </row>
    <row r="44327" ht="14.25" customHeight="1" s="192">
      <c r="W44327" s="239" t="n"/>
      <c r="X44327" s="239" t="n"/>
    </row>
    <row r="44328" ht="14.25" customHeight="1" s="192">
      <c r="W44328" s="239" t="n"/>
      <c r="X44328" s="239" t="n"/>
    </row>
    <row r="44329" ht="14.25" customHeight="1" s="192">
      <c r="W44329" s="235" t="n"/>
      <c r="X44329" s="235" t="n"/>
    </row>
    <row r="44330" ht="14.25" customHeight="1" s="192">
      <c r="W44330" s="235" t="n"/>
      <c r="X44330" s="235" t="n"/>
    </row>
    <row r="44331" ht="14.25" customHeight="1" s="192">
      <c r="W44331" s="235" t="n"/>
      <c r="X44331" s="235" t="n"/>
    </row>
    <row r="44332" ht="14.25" customHeight="1" s="192">
      <c r="W44332" s="239" t="n"/>
      <c r="X44332" s="239" t="n"/>
    </row>
    <row r="44333" ht="14.25" customHeight="1" s="192">
      <c r="W44333" s="239" t="n"/>
      <c r="X44333" s="239" t="n"/>
    </row>
    <row r="44334" ht="14.25" customHeight="1" s="192">
      <c r="W44334" s="235" t="n"/>
      <c r="X44334" s="235" t="n"/>
    </row>
    <row r="44335" ht="14.25" customHeight="1" s="192">
      <c r="W44335" s="235" t="n"/>
      <c r="X44335" s="235" t="n"/>
    </row>
    <row r="44336" ht="14.25" customHeight="1" s="192">
      <c r="W44336" s="239" t="n"/>
      <c r="X44336" s="239" t="n"/>
    </row>
    <row r="44337" ht="14.25" customHeight="1" s="192">
      <c r="W44337" s="235" t="n"/>
      <c r="X44337" s="235" t="n"/>
    </row>
    <row r="44338" ht="14.25" customHeight="1" s="192">
      <c r="W44338" s="239" t="n"/>
      <c r="X44338" s="239" t="n"/>
    </row>
    <row r="44340" ht="14.25" customHeight="1" s="192">
      <c r="W44340" s="235" t="n"/>
      <c r="X44340" s="235" t="n"/>
    </row>
    <row r="44341" ht="15" customHeight="1" s="192" thickBot="1">
      <c r="W44341" s="239" t="n"/>
      <c r="X44341" s="239" t="n"/>
    </row>
    <row r="44342" ht="15" customHeight="1" s="192" thickBot="1">
      <c r="W44342" s="45" t="n"/>
      <c r="X44342" s="45" t="n"/>
    </row>
    <row r="44343" ht="14.25" customHeight="1" s="192">
      <c r="W44343" s="228" t="n"/>
      <c r="X44343" s="228" t="n"/>
    </row>
    <row r="44344" ht="14.25" customHeight="1" s="192">
      <c r="W44344" s="228" t="n"/>
      <c r="X44344" s="228" t="n"/>
    </row>
    <row r="44345" ht="14.25" customHeight="1" s="192">
      <c r="W44345" s="231" t="n"/>
      <c r="X44345" s="231" t="n"/>
    </row>
    <row r="44346" ht="14.25" customHeight="1" s="192">
      <c r="W44346" s="33" t="n"/>
      <c r="X44346" s="33" t="n"/>
    </row>
    <row r="44347" ht="14.25" customHeight="1" s="192">
      <c r="W44347" s="231" t="n"/>
      <c r="X44347" s="231" t="n"/>
    </row>
    <row r="44348" ht="14.25" customHeight="1" s="192">
      <c r="W44348" s="33" t="n"/>
      <c r="X44348" s="33" t="n"/>
    </row>
    <row r="44350" ht="14.25" customHeight="1" s="192">
      <c r="W44350" s="231" t="n"/>
      <c r="X44350" s="231" t="n"/>
    </row>
    <row r="44351" ht="14.25" customHeight="1" s="192">
      <c r="W44351" s="235" t="n"/>
      <c r="X44351" s="235" t="n"/>
    </row>
    <row r="44352" ht="14.25" customHeight="1" s="192">
      <c r="W44352" s="228" t="n"/>
      <c r="X44352" s="228" t="n"/>
    </row>
    <row r="44353" ht="14.25" customHeight="1" s="192">
      <c r="W44353" s="235" t="n"/>
      <c r="X44353" s="235" t="n"/>
    </row>
    <row r="44354" ht="14.25" customHeight="1" s="192">
      <c r="W44354" s="235" t="n"/>
      <c r="X44354" s="235" t="n"/>
    </row>
    <row r="44355" ht="14.25" customHeight="1" s="192">
      <c r="W44355" s="235" t="n"/>
      <c r="X44355" s="235" t="n"/>
    </row>
    <row r="44356" ht="14.25" customHeight="1" s="192">
      <c r="W44356" s="239" t="n"/>
      <c r="X44356" s="239" t="n"/>
    </row>
    <row r="44357" ht="14.25" customHeight="1" s="192">
      <c r="W44357" s="239" t="n"/>
      <c r="X44357" s="239" t="n"/>
    </row>
    <row r="44358" ht="14.25" customHeight="1" s="192">
      <c r="W44358" s="239" t="n"/>
      <c r="X44358" s="239" t="n"/>
    </row>
    <row r="44359" ht="14.25" customHeight="1" s="192">
      <c r="W44359" s="235" t="n"/>
      <c r="X44359" s="235" t="n"/>
    </row>
    <row r="44360" ht="14.25" customHeight="1" s="192">
      <c r="W44360" s="235" t="n"/>
      <c r="X44360" s="235" t="n"/>
    </row>
    <row r="44361" ht="14.25" customHeight="1" s="192">
      <c r="W44361" s="235" t="n"/>
      <c r="X44361" s="235" t="n"/>
    </row>
    <row r="44362" ht="14.25" customHeight="1" s="192">
      <c r="W44362" s="239" t="n"/>
      <c r="X44362" s="239" t="n"/>
    </row>
    <row r="44363" ht="14.25" customHeight="1" s="192">
      <c r="W44363" s="239" t="n"/>
      <c r="X44363" s="239" t="n"/>
    </row>
    <row r="44364" ht="14.25" customHeight="1" s="192">
      <c r="W44364" s="235" t="n"/>
      <c r="X44364" s="235" t="n"/>
    </row>
    <row r="44365" ht="14.25" customHeight="1" s="192">
      <c r="W44365" s="235" t="n"/>
      <c r="X44365" s="235" t="n"/>
    </row>
    <row r="44366" ht="14.25" customHeight="1" s="192">
      <c r="W44366" s="239" t="n"/>
      <c r="X44366" s="239" t="n"/>
    </row>
    <row r="44367" ht="14.25" customHeight="1" s="192">
      <c r="W44367" s="235" t="n"/>
      <c r="X44367" s="235" t="n"/>
    </row>
    <row r="44368" ht="14.25" customHeight="1" s="192">
      <c r="W44368" s="239" t="n"/>
      <c r="X44368" s="239" t="n"/>
    </row>
    <row r="44370" ht="14.25" customHeight="1" s="192">
      <c r="W44370" s="235" t="n"/>
      <c r="X44370" s="235" t="n"/>
    </row>
    <row r="44371" ht="15" customHeight="1" s="192" thickBot="1">
      <c r="W44371" s="239" t="n"/>
      <c r="X44371" s="239" t="n"/>
    </row>
    <row r="44372" ht="15" customHeight="1" s="192" thickBot="1">
      <c r="W44372" s="45" t="n"/>
      <c r="X44372" s="45" t="n"/>
    </row>
    <row r="44373" ht="14.25" customHeight="1" s="192">
      <c r="W44373" s="228" t="n"/>
      <c r="X44373" s="228" t="n"/>
    </row>
    <row r="44374" ht="14.25" customHeight="1" s="192">
      <c r="W44374" s="228" t="n"/>
      <c r="X44374" s="228" t="n"/>
    </row>
    <row r="44375" ht="14.25" customHeight="1" s="192">
      <c r="W44375" s="231" t="n"/>
      <c r="X44375" s="231" t="n"/>
    </row>
    <row r="44376" ht="14.25" customHeight="1" s="192">
      <c r="W44376" s="33" t="n"/>
      <c r="X44376" s="33" t="n"/>
    </row>
    <row r="44377" ht="14.25" customHeight="1" s="192">
      <c r="W44377" s="231" t="n"/>
      <c r="X44377" s="231" t="n"/>
    </row>
    <row r="44378" ht="14.25" customHeight="1" s="192">
      <c r="W44378" s="33" t="n"/>
      <c r="X44378" s="33" t="n"/>
    </row>
    <row r="44380" ht="14.25" customHeight="1" s="192">
      <c r="W44380" s="231" t="n"/>
      <c r="X44380" s="231" t="n"/>
    </row>
    <row r="44381" ht="14.25" customHeight="1" s="192">
      <c r="W44381" s="235" t="n"/>
      <c r="X44381" s="235" t="n"/>
    </row>
    <row r="44382" ht="14.25" customHeight="1" s="192">
      <c r="W44382" s="228" t="n"/>
      <c r="X44382" s="228" t="n"/>
    </row>
    <row r="44383" ht="14.25" customHeight="1" s="192">
      <c r="W44383" s="235" t="n"/>
      <c r="X44383" s="235" t="n"/>
    </row>
    <row r="44384" ht="14.25" customHeight="1" s="192">
      <c r="W44384" s="235" t="n"/>
      <c r="X44384" s="235" t="n"/>
    </row>
    <row r="44385" ht="14.25" customHeight="1" s="192">
      <c r="W44385" s="235" t="n"/>
      <c r="X44385" s="235" t="n"/>
    </row>
    <row r="44386" ht="14.25" customHeight="1" s="192">
      <c r="W44386" s="239" t="n"/>
      <c r="X44386" s="239" t="n"/>
    </row>
    <row r="44387" ht="14.25" customHeight="1" s="192">
      <c r="W44387" s="239" t="n"/>
      <c r="X44387" s="239" t="n"/>
    </row>
    <row r="44388" ht="14.25" customHeight="1" s="192">
      <c r="W44388" s="239" t="n"/>
      <c r="X44388" s="239" t="n"/>
    </row>
    <row r="44389" ht="14.25" customHeight="1" s="192">
      <c r="W44389" s="235" t="n"/>
      <c r="X44389" s="235" t="n"/>
    </row>
    <row r="44390" ht="14.25" customHeight="1" s="192">
      <c r="W44390" s="235" t="n"/>
      <c r="X44390" s="235" t="n"/>
    </row>
    <row r="44391" ht="14.25" customHeight="1" s="192">
      <c r="W44391" s="235" t="n"/>
      <c r="X44391" s="235" t="n"/>
    </row>
    <row r="44392" ht="14.25" customHeight="1" s="192">
      <c r="W44392" s="239" t="n"/>
      <c r="X44392" s="239" t="n"/>
    </row>
    <row r="44393" ht="14.25" customHeight="1" s="192">
      <c r="W44393" s="239" t="n"/>
      <c r="X44393" s="239" t="n"/>
    </row>
    <row r="44394" ht="14.25" customHeight="1" s="192">
      <c r="W44394" s="235" t="n"/>
      <c r="X44394" s="235" t="n"/>
    </row>
    <row r="44395" ht="14.25" customHeight="1" s="192">
      <c r="W44395" s="235" t="n"/>
      <c r="X44395" s="235" t="n"/>
    </row>
    <row r="44396" ht="14.25" customHeight="1" s="192">
      <c r="W44396" s="239" t="n"/>
      <c r="X44396" s="239" t="n"/>
    </row>
    <row r="44397" ht="14.25" customHeight="1" s="192">
      <c r="W44397" s="235" t="n"/>
      <c r="X44397" s="235" t="n"/>
    </row>
    <row r="44398" ht="14.25" customHeight="1" s="192">
      <c r="W44398" s="239" t="n"/>
      <c r="X44398" s="239" t="n"/>
    </row>
    <row r="44400" ht="14.25" customHeight="1" s="192">
      <c r="W44400" s="235" t="n"/>
      <c r="X44400" s="235" t="n"/>
    </row>
    <row r="44401" ht="15" customHeight="1" s="192" thickBot="1">
      <c r="W44401" s="239" t="n"/>
      <c r="X44401" s="239" t="n"/>
    </row>
    <row r="44402" ht="15" customHeight="1" s="192" thickBot="1">
      <c r="W44402" s="45" t="n"/>
      <c r="X44402" s="45" t="n"/>
    </row>
    <row r="44403" ht="14.25" customHeight="1" s="192">
      <c r="W44403" s="228" t="n"/>
      <c r="X44403" s="228" t="n"/>
    </row>
    <row r="44404" ht="14.25" customHeight="1" s="192">
      <c r="W44404" s="228" t="n"/>
      <c r="X44404" s="228" t="n"/>
    </row>
    <row r="44405" ht="14.25" customHeight="1" s="192">
      <c r="W44405" s="231" t="n"/>
      <c r="X44405" s="231" t="n"/>
    </row>
    <row r="44406" ht="14.25" customHeight="1" s="192">
      <c r="W44406" s="33" t="n"/>
      <c r="X44406" s="33" t="n"/>
    </row>
    <row r="44407" ht="14.25" customHeight="1" s="192">
      <c r="W44407" s="231" t="n"/>
      <c r="X44407" s="231" t="n"/>
    </row>
    <row r="44408" ht="14.25" customHeight="1" s="192">
      <c r="W44408" s="33" t="n"/>
      <c r="X44408" s="33" t="n"/>
    </row>
    <row r="44410" ht="14.25" customHeight="1" s="192">
      <c r="W44410" s="231" t="n"/>
      <c r="X44410" s="231" t="n"/>
    </row>
    <row r="44411" ht="14.25" customHeight="1" s="192">
      <c r="W44411" s="235" t="n"/>
      <c r="X44411" s="235" t="n"/>
    </row>
    <row r="44412" ht="14.25" customHeight="1" s="192">
      <c r="W44412" s="228" t="n"/>
      <c r="X44412" s="228" t="n"/>
    </row>
    <row r="44413" ht="14.25" customHeight="1" s="192">
      <c r="W44413" s="235" t="n"/>
      <c r="X44413" s="235" t="n"/>
    </row>
    <row r="44414" ht="14.25" customHeight="1" s="192">
      <c r="W44414" s="235" t="n"/>
      <c r="X44414" s="235" t="n"/>
    </row>
    <row r="44415" ht="14.25" customHeight="1" s="192">
      <c r="W44415" s="235" t="n"/>
      <c r="X44415" s="235" t="n"/>
    </row>
    <row r="44416" ht="14.25" customHeight="1" s="192">
      <c r="W44416" s="239" t="n"/>
      <c r="X44416" s="239" t="n"/>
    </row>
    <row r="44417" ht="14.25" customHeight="1" s="192">
      <c r="W44417" s="239" t="n"/>
      <c r="X44417" s="239" t="n"/>
    </row>
    <row r="44418" ht="14.25" customHeight="1" s="192">
      <c r="W44418" s="239" t="n"/>
      <c r="X44418" s="239" t="n"/>
    </row>
    <row r="44419" ht="14.25" customHeight="1" s="192">
      <c r="W44419" s="235" t="n"/>
      <c r="X44419" s="235" t="n"/>
    </row>
    <row r="44420" ht="14.25" customHeight="1" s="192">
      <c r="W44420" s="235" t="n"/>
      <c r="X44420" s="235" t="n"/>
    </row>
    <row r="44421" ht="14.25" customHeight="1" s="192">
      <c r="W44421" s="235" t="n"/>
      <c r="X44421" s="235" t="n"/>
    </row>
    <row r="44422" ht="14.25" customHeight="1" s="192">
      <c r="W44422" s="239" t="n"/>
      <c r="X44422" s="239" t="n"/>
    </row>
    <row r="44423" ht="14.25" customHeight="1" s="192">
      <c r="W44423" s="239" t="n"/>
      <c r="X44423" s="239" t="n"/>
    </row>
    <row r="44424" ht="14.25" customHeight="1" s="192">
      <c r="W44424" s="235" t="n"/>
      <c r="X44424" s="235" t="n"/>
    </row>
    <row r="44425" ht="14.25" customHeight="1" s="192">
      <c r="W44425" s="235" t="n"/>
      <c r="X44425" s="235" t="n"/>
    </row>
    <row r="44426" ht="14.25" customHeight="1" s="192">
      <c r="W44426" s="239" t="n"/>
      <c r="X44426" s="239" t="n"/>
    </row>
    <row r="44427" ht="14.25" customHeight="1" s="192">
      <c r="W44427" s="235" t="n"/>
      <c r="X44427" s="235" t="n"/>
    </row>
    <row r="44428" ht="14.25" customHeight="1" s="192">
      <c r="W44428" s="239" t="n"/>
      <c r="X44428" s="239" t="n"/>
    </row>
    <row r="44430" ht="14.25" customHeight="1" s="192">
      <c r="W44430" s="235" t="n"/>
      <c r="X44430" s="235" t="n"/>
    </row>
    <row r="44431" ht="15" customHeight="1" s="192" thickBot="1">
      <c r="W44431" s="239" t="n"/>
      <c r="X44431" s="239" t="n"/>
    </row>
    <row r="44432" ht="15" customHeight="1" s="192" thickBot="1">
      <c r="W44432" s="45" t="n"/>
      <c r="X44432" s="45" t="n"/>
    </row>
    <row r="44433" ht="14.25" customHeight="1" s="192">
      <c r="W44433" s="228" t="n"/>
      <c r="X44433" s="228" t="n"/>
    </row>
    <row r="44434" ht="14.25" customHeight="1" s="192">
      <c r="W44434" s="228" t="n"/>
      <c r="X44434" s="228" t="n"/>
    </row>
    <row r="44435" ht="14.25" customHeight="1" s="192">
      <c r="W44435" s="231" t="n"/>
      <c r="X44435" s="231" t="n"/>
    </row>
    <row r="44436" ht="14.25" customHeight="1" s="192">
      <c r="W44436" s="33" t="n"/>
      <c r="X44436" s="33" t="n"/>
    </row>
    <row r="44437" ht="14.25" customHeight="1" s="192">
      <c r="W44437" s="231" t="n"/>
      <c r="X44437" s="231" t="n"/>
    </row>
    <row r="44438" ht="14.25" customHeight="1" s="192">
      <c r="W44438" s="33" t="n"/>
      <c r="X44438" s="33" t="n"/>
    </row>
    <row r="44440" ht="14.25" customHeight="1" s="192">
      <c r="W44440" s="231" t="n"/>
      <c r="X44440" s="231" t="n"/>
    </row>
    <row r="44441" ht="14.25" customHeight="1" s="192">
      <c r="W44441" s="235" t="n"/>
      <c r="X44441" s="235" t="n"/>
    </row>
    <row r="44442" ht="14.25" customHeight="1" s="192">
      <c r="W44442" s="228" t="n"/>
      <c r="X44442" s="228" t="n"/>
    </row>
    <row r="44443" ht="14.25" customHeight="1" s="192">
      <c r="W44443" s="235" t="n"/>
      <c r="X44443" s="235" t="n"/>
    </row>
    <row r="44444" ht="14.25" customHeight="1" s="192">
      <c r="W44444" s="235" t="n"/>
      <c r="X44444" s="235" t="n"/>
    </row>
    <row r="44445" ht="14.25" customHeight="1" s="192">
      <c r="W44445" s="235" t="n"/>
      <c r="X44445" s="235" t="n"/>
    </row>
    <row r="44446" ht="14.25" customHeight="1" s="192">
      <c r="W44446" s="239" t="n"/>
      <c r="X44446" s="239" t="n"/>
    </row>
    <row r="44447" ht="14.25" customHeight="1" s="192">
      <c r="W44447" s="239" t="n"/>
      <c r="X44447" s="239" t="n"/>
    </row>
    <row r="44448" ht="14.25" customHeight="1" s="192">
      <c r="W44448" s="239" t="n"/>
      <c r="X44448" s="239" t="n"/>
    </row>
    <row r="44449" ht="14.25" customHeight="1" s="192">
      <c r="W44449" s="235" t="n"/>
      <c r="X44449" s="235" t="n"/>
    </row>
    <row r="44450" ht="14.25" customHeight="1" s="192">
      <c r="W44450" s="235" t="n"/>
      <c r="X44450" s="235" t="n"/>
    </row>
    <row r="44451" ht="14.25" customHeight="1" s="192">
      <c r="W44451" s="235" t="n"/>
      <c r="X44451" s="235" t="n"/>
    </row>
    <row r="44452" ht="14.25" customHeight="1" s="192">
      <c r="W44452" s="239" t="n"/>
      <c r="X44452" s="239" t="n"/>
    </row>
    <row r="44453" ht="14.25" customHeight="1" s="192">
      <c r="W44453" s="239" t="n"/>
      <c r="X44453" s="239" t="n"/>
    </row>
    <row r="44454" ht="14.25" customHeight="1" s="192">
      <c r="W44454" s="235" t="n"/>
      <c r="X44454" s="235" t="n"/>
    </row>
    <row r="44455" ht="14.25" customHeight="1" s="192">
      <c r="W44455" s="235" t="n"/>
      <c r="X44455" s="235" t="n"/>
    </row>
    <row r="44456" ht="14.25" customHeight="1" s="192">
      <c r="W44456" s="239" t="n"/>
      <c r="X44456" s="239" t="n"/>
    </row>
    <row r="44457" ht="14.25" customHeight="1" s="192">
      <c r="W44457" s="235" t="n"/>
      <c r="X44457" s="235" t="n"/>
    </row>
    <row r="44458" ht="14.25" customHeight="1" s="192">
      <c r="W44458" s="239" t="n"/>
      <c r="X44458" s="239" t="n"/>
    </row>
    <row r="44460" ht="14.25" customHeight="1" s="192">
      <c r="W44460" s="235" t="n"/>
      <c r="X44460" s="235" t="n"/>
    </row>
    <row r="44461" ht="15" customHeight="1" s="192" thickBot="1">
      <c r="W44461" s="239" t="n"/>
      <c r="X44461" s="239" t="n"/>
    </row>
    <row r="44462" ht="15" customHeight="1" s="192" thickBot="1">
      <c r="W44462" s="45" t="n"/>
      <c r="X44462" s="45" t="n"/>
    </row>
    <row r="44463" ht="14.25" customHeight="1" s="192">
      <c r="W44463" s="228" t="n"/>
      <c r="X44463" s="228" t="n"/>
    </row>
    <row r="44464" ht="14.25" customHeight="1" s="192">
      <c r="W44464" s="228" t="n"/>
      <c r="X44464" s="228" t="n"/>
    </row>
    <row r="44465" ht="14.25" customHeight="1" s="192">
      <c r="W44465" s="231" t="n"/>
      <c r="X44465" s="231" t="n"/>
    </row>
    <row r="44466" ht="14.25" customHeight="1" s="192">
      <c r="W44466" s="33" t="n"/>
      <c r="X44466" s="33" t="n"/>
    </row>
    <row r="44467" ht="14.25" customHeight="1" s="192">
      <c r="W44467" s="231" t="n"/>
      <c r="X44467" s="231" t="n"/>
    </row>
    <row r="44468" ht="14.25" customHeight="1" s="192">
      <c r="W44468" s="33" t="n"/>
      <c r="X44468" s="33" t="n"/>
    </row>
    <row r="44470" ht="14.25" customHeight="1" s="192">
      <c r="W44470" s="231" t="n"/>
      <c r="X44470" s="231" t="n"/>
    </row>
    <row r="44471" ht="14.25" customHeight="1" s="192">
      <c r="W44471" s="235" t="n"/>
      <c r="X44471" s="235" t="n"/>
    </row>
    <row r="44472" ht="14.25" customHeight="1" s="192">
      <c r="W44472" s="228" t="n"/>
      <c r="X44472" s="228" t="n"/>
    </row>
    <row r="44473" ht="14.25" customHeight="1" s="192">
      <c r="W44473" s="235" t="n"/>
      <c r="X44473" s="235" t="n"/>
    </row>
    <row r="44474" ht="14.25" customHeight="1" s="192">
      <c r="W44474" s="235" t="n"/>
      <c r="X44474" s="235" t="n"/>
    </row>
    <row r="44475" ht="14.25" customHeight="1" s="192">
      <c r="W44475" s="235" t="n"/>
      <c r="X44475" s="235" t="n"/>
    </row>
    <row r="44476" ht="14.25" customHeight="1" s="192">
      <c r="W44476" s="239" t="n"/>
      <c r="X44476" s="239" t="n"/>
    </row>
    <row r="44477" ht="14.25" customHeight="1" s="192">
      <c r="W44477" s="239" t="n"/>
      <c r="X44477" s="239" t="n"/>
    </row>
    <row r="44478" ht="14.25" customHeight="1" s="192">
      <c r="W44478" s="239" t="n"/>
      <c r="X44478" s="239" t="n"/>
    </row>
    <row r="44479" ht="14.25" customHeight="1" s="192">
      <c r="W44479" s="235" t="n"/>
      <c r="X44479" s="235" t="n"/>
    </row>
    <row r="44480" ht="14.25" customHeight="1" s="192">
      <c r="W44480" s="235" t="n"/>
      <c r="X44480" s="235" t="n"/>
    </row>
    <row r="44481" ht="14.25" customHeight="1" s="192">
      <c r="W44481" s="235" t="n"/>
      <c r="X44481" s="235" t="n"/>
    </row>
    <row r="44482" ht="14.25" customHeight="1" s="192">
      <c r="W44482" s="239" t="n"/>
      <c r="X44482" s="239" t="n"/>
    </row>
    <row r="44483" ht="14.25" customHeight="1" s="192">
      <c r="W44483" s="239" t="n"/>
      <c r="X44483" s="239" t="n"/>
    </row>
    <row r="44484" ht="14.25" customHeight="1" s="192">
      <c r="W44484" s="235" t="n"/>
      <c r="X44484" s="235" t="n"/>
    </row>
    <row r="44485" ht="14.25" customHeight="1" s="192">
      <c r="W44485" s="235" t="n"/>
      <c r="X44485" s="235" t="n"/>
    </row>
    <row r="44486" ht="14.25" customHeight="1" s="192">
      <c r="W44486" s="239" t="n"/>
      <c r="X44486" s="239" t="n"/>
    </row>
    <row r="44487" ht="14.25" customHeight="1" s="192">
      <c r="W44487" s="235" t="n"/>
      <c r="X44487" s="235" t="n"/>
    </row>
    <row r="44488" ht="14.25" customHeight="1" s="192">
      <c r="W44488" s="239" t="n"/>
      <c r="X44488" s="239" t="n"/>
    </row>
    <row r="44490" ht="14.25" customHeight="1" s="192">
      <c r="W44490" s="235" t="n"/>
      <c r="X44490" s="235" t="n"/>
    </row>
    <row r="44491" ht="15" customHeight="1" s="192" thickBot="1">
      <c r="W44491" s="239" t="n"/>
      <c r="X44491" s="239" t="n"/>
    </row>
    <row r="44492" ht="15" customHeight="1" s="192" thickBot="1">
      <c r="W44492" s="45" t="n"/>
      <c r="X44492" s="45" t="n"/>
    </row>
    <row r="44493" ht="14.25" customHeight="1" s="192">
      <c r="W44493" s="228" t="n"/>
      <c r="X44493" s="228" t="n"/>
    </row>
    <row r="44494" ht="14.25" customHeight="1" s="192">
      <c r="W44494" s="228" t="n"/>
      <c r="X44494" s="228" t="n"/>
    </row>
    <row r="44495" ht="14.25" customHeight="1" s="192">
      <c r="W44495" s="231" t="n"/>
      <c r="X44495" s="231" t="n"/>
    </row>
    <row r="44496" ht="14.25" customHeight="1" s="192">
      <c r="W44496" s="33" t="n"/>
      <c r="X44496" s="33" t="n"/>
    </row>
    <row r="44497" ht="14.25" customHeight="1" s="192">
      <c r="W44497" s="231" t="n"/>
      <c r="X44497" s="231" t="n"/>
    </row>
    <row r="44498" ht="14.25" customHeight="1" s="192">
      <c r="W44498" s="33" t="n"/>
      <c r="X44498" s="33" t="n"/>
    </row>
    <row r="44500" ht="14.25" customHeight="1" s="192">
      <c r="W44500" s="231" t="n"/>
      <c r="X44500" s="231" t="n"/>
    </row>
    <row r="44501" ht="14.25" customHeight="1" s="192">
      <c r="W44501" s="235" t="n"/>
      <c r="X44501" s="235" t="n"/>
    </row>
    <row r="44502" ht="14.25" customHeight="1" s="192">
      <c r="W44502" s="228" t="n"/>
      <c r="X44502" s="228" t="n"/>
    </row>
    <row r="44503" ht="14.25" customHeight="1" s="192">
      <c r="W44503" s="235" t="n"/>
      <c r="X44503" s="235" t="n"/>
    </row>
    <row r="44504" ht="14.25" customHeight="1" s="192">
      <c r="W44504" s="235" t="n"/>
      <c r="X44504" s="235" t="n"/>
    </row>
    <row r="44505" ht="14.25" customHeight="1" s="192">
      <c r="W44505" s="235" t="n"/>
      <c r="X44505" s="235" t="n"/>
    </row>
    <row r="44506" ht="14.25" customHeight="1" s="192">
      <c r="W44506" s="239" t="n"/>
      <c r="X44506" s="239" t="n"/>
    </row>
    <row r="44507" ht="14.25" customHeight="1" s="192">
      <c r="W44507" s="239" t="n"/>
      <c r="X44507" s="239" t="n"/>
    </row>
    <row r="44508" ht="14.25" customHeight="1" s="192">
      <c r="W44508" s="239" t="n"/>
      <c r="X44508" s="239" t="n"/>
    </row>
    <row r="44509" ht="14.25" customHeight="1" s="192">
      <c r="W44509" s="235" t="n"/>
      <c r="X44509" s="235" t="n"/>
    </row>
    <row r="44510" ht="14.25" customHeight="1" s="192">
      <c r="W44510" s="235" t="n"/>
      <c r="X44510" s="235" t="n"/>
    </row>
    <row r="44511" ht="14.25" customHeight="1" s="192">
      <c r="W44511" s="235" t="n"/>
      <c r="X44511" s="235" t="n"/>
    </row>
    <row r="44512" ht="14.25" customHeight="1" s="192">
      <c r="W44512" s="239" t="n"/>
      <c r="X44512" s="239" t="n"/>
    </row>
    <row r="44513" ht="14.25" customHeight="1" s="192">
      <c r="W44513" s="239" t="n"/>
      <c r="X44513" s="239" t="n"/>
    </row>
    <row r="44514" ht="14.25" customHeight="1" s="192">
      <c r="W44514" s="235" t="n"/>
      <c r="X44514" s="235" t="n"/>
    </row>
    <row r="44515" ht="14.25" customHeight="1" s="192">
      <c r="W44515" s="235" t="n"/>
      <c r="X44515" s="235" t="n"/>
    </row>
    <row r="44516" ht="14.25" customHeight="1" s="192">
      <c r="W44516" s="239" t="n"/>
      <c r="X44516" s="239" t="n"/>
    </row>
    <row r="44517" ht="14.25" customHeight="1" s="192">
      <c r="W44517" s="235" t="n"/>
      <c r="X44517" s="235" t="n"/>
    </row>
    <row r="44518" ht="14.25" customHeight="1" s="192">
      <c r="W44518" s="239" t="n"/>
      <c r="X44518" s="239" t="n"/>
    </row>
    <row r="44520" ht="14.25" customHeight="1" s="192">
      <c r="W44520" s="235" t="n"/>
      <c r="X44520" s="235" t="n"/>
    </row>
    <row r="44521" ht="15" customHeight="1" s="192" thickBot="1">
      <c r="W44521" s="239" t="n"/>
      <c r="X44521" s="239" t="n"/>
    </row>
    <row r="44522" ht="15" customHeight="1" s="192" thickBot="1">
      <c r="W44522" s="45" t="n"/>
      <c r="X44522" s="45" t="n"/>
    </row>
    <row r="44523" ht="14.25" customHeight="1" s="192">
      <c r="W44523" s="228" t="n"/>
      <c r="X44523" s="228" t="n"/>
    </row>
    <row r="44524" ht="14.25" customHeight="1" s="192">
      <c r="W44524" s="228" t="n"/>
      <c r="X44524" s="228" t="n"/>
    </row>
    <row r="44525" ht="14.25" customHeight="1" s="192">
      <c r="W44525" s="231" t="n"/>
      <c r="X44525" s="231" t="n"/>
    </row>
    <row r="44526" ht="14.25" customHeight="1" s="192">
      <c r="W44526" s="33" t="n"/>
      <c r="X44526" s="33" t="n"/>
    </row>
    <row r="44527" ht="14.25" customHeight="1" s="192">
      <c r="W44527" s="231" t="n"/>
      <c r="X44527" s="231" t="n"/>
    </row>
    <row r="44528" ht="14.25" customHeight="1" s="192">
      <c r="W44528" s="33" t="n"/>
      <c r="X44528" s="33" t="n"/>
    </row>
    <row r="44530" ht="14.25" customHeight="1" s="192">
      <c r="W44530" s="231" t="n"/>
      <c r="X44530" s="231" t="n"/>
    </row>
    <row r="44531" ht="14.25" customHeight="1" s="192">
      <c r="W44531" s="235" t="n"/>
      <c r="X44531" s="235" t="n"/>
    </row>
    <row r="44532" ht="14.25" customHeight="1" s="192">
      <c r="W44532" s="228" t="n"/>
      <c r="X44532" s="228" t="n"/>
    </row>
    <row r="44533" ht="14.25" customHeight="1" s="192">
      <c r="W44533" s="235" t="n"/>
      <c r="X44533" s="235" t="n"/>
    </row>
    <row r="44534" ht="14.25" customHeight="1" s="192">
      <c r="W44534" s="235" t="n"/>
      <c r="X44534" s="235" t="n"/>
    </row>
    <row r="44535" ht="14.25" customHeight="1" s="192">
      <c r="W44535" s="235" t="n"/>
      <c r="X44535" s="235" t="n"/>
    </row>
    <row r="44536" ht="14.25" customHeight="1" s="192">
      <c r="W44536" s="239" t="n"/>
      <c r="X44536" s="239" t="n"/>
    </row>
    <row r="44537" ht="14.25" customHeight="1" s="192">
      <c r="W44537" s="239" t="n"/>
      <c r="X44537" s="239" t="n"/>
    </row>
    <row r="44538" ht="14.25" customHeight="1" s="192">
      <c r="W44538" s="239" t="n"/>
      <c r="X44538" s="239" t="n"/>
    </row>
    <row r="44539" ht="14.25" customHeight="1" s="192">
      <c r="W44539" s="235" t="n"/>
      <c r="X44539" s="235" t="n"/>
    </row>
    <row r="44540" ht="14.25" customHeight="1" s="192">
      <c r="W44540" s="235" t="n"/>
      <c r="X44540" s="235" t="n"/>
    </row>
    <row r="44541" ht="14.25" customHeight="1" s="192">
      <c r="W44541" s="235" t="n"/>
      <c r="X44541" s="235" t="n"/>
    </row>
    <row r="44542" ht="14.25" customHeight="1" s="192">
      <c r="W44542" s="239" t="n"/>
      <c r="X44542" s="239" t="n"/>
    </row>
    <row r="44543" ht="14.25" customHeight="1" s="192">
      <c r="W44543" s="239" t="n"/>
      <c r="X44543" s="239" t="n"/>
    </row>
    <row r="44544" ht="14.25" customHeight="1" s="192">
      <c r="W44544" s="235" t="n"/>
      <c r="X44544" s="235" t="n"/>
    </row>
    <row r="44545" ht="14.25" customHeight="1" s="192">
      <c r="W44545" s="235" t="n"/>
      <c r="X44545" s="235" t="n"/>
    </row>
    <row r="44546" ht="14.25" customHeight="1" s="192">
      <c r="W44546" s="239" t="n"/>
      <c r="X44546" s="239" t="n"/>
    </row>
    <row r="44547" ht="14.25" customHeight="1" s="192">
      <c r="W44547" s="235" t="n"/>
      <c r="X44547" s="235" t="n"/>
    </row>
    <row r="44548" ht="14.25" customHeight="1" s="192">
      <c r="W44548" s="239" t="n"/>
      <c r="X44548" s="239" t="n"/>
    </row>
    <row r="44550" ht="14.25" customHeight="1" s="192">
      <c r="W44550" s="235" t="n"/>
      <c r="X44550" s="235" t="n"/>
    </row>
    <row r="44551" ht="15" customHeight="1" s="192" thickBot="1">
      <c r="W44551" s="239" t="n"/>
      <c r="X44551" s="239" t="n"/>
    </row>
    <row r="44552" ht="15" customHeight="1" s="192" thickBot="1">
      <c r="W44552" s="45" t="n"/>
      <c r="X44552" s="45" t="n"/>
    </row>
    <row r="44553" ht="14.25" customHeight="1" s="192">
      <c r="W44553" s="228" t="n"/>
      <c r="X44553" s="228" t="n"/>
    </row>
    <row r="44554" ht="14.25" customHeight="1" s="192">
      <c r="W44554" s="228" t="n"/>
      <c r="X44554" s="228" t="n"/>
    </row>
    <row r="44555" ht="14.25" customHeight="1" s="192">
      <c r="W44555" s="231" t="n"/>
      <c r="X44555" s="231" t="n"/>
    </row>
    <row r="44556" ht="14.25" customHeight="1" s="192">
      <c r="W44556" s="33" t="n"/>
      <c r="X44556" s="33" t="n"/>
    </row>
    <row r="44557" ht="14.25" customHeight="1" s="192">
      <c r="W44557" s="231" t="n"/>
      <c r="X44557" s="231" t="n"/>
    </row>
    <row r="44558" ht="14.25" customHeight="1" s="192">
      <c r="W44558" s="33" t="n"/>
      <c r="X44558" s="33" t="n"/>
    </row>
    <row r="44560" ht="14.25" customHeight="1" s="192">
      <c r="W44560" s="231" t="n"/>
      <c r="X44560" s="231" t="n"/>
    </row>
    <row r="44561" ht="14.25" customHeight="1" s="192">
      <c r="W44561" s="235" t="n"/>
      <c r="X44561" s="235" t="n"/>
    </row>
    <row r="44562" ht="14.25" customHeight="1" s="192">
      <c r="W44562" s="228" t="n"/>
      <c r="X44562" s="228" t="n"/>
    </row>
    <row r="44563" ht="14.25" customHeight="1" s="192">
      <c r="W44563" s="235" t="n"/>
      <c r="X44563" s="235" t="n"/>
    </row>
    <row r="44564" ht="14.25" customHeight="1" s="192">
      <c r="W44564" s="235" t="n"/>
      <c r="X44564" s="235" t="n"/>
    </row>
    <row r="44565" ht="14.25" customHeight="1" s="192">
      <c r="W44565" s="235" t="n"/>
      <c r="X44565" s="235" t="n"/>
    </row>
    <row r="44566" ht="14.25" customHeight="1" s="192">
      <c r="W44566" s="239" t="n"/>
      <c r="X44566" s="239" t="n"/>
    </row>
    <row r="44567" ht="14.25" customHeight="1" s="192">
      <c r="W44567" s="239" t="n"/>
      <c r="X44567" s="239" t="n"/>
    </row>
    <row r="44568" ht="14.25" customHeight="1" s="192">
      <c r="W44568" s="239" t="n"/>
      <c r="X44568" s="239" t="n"/>
    </row>
    <row r="44569" ht="14.25" customHeight="1" s="192">
      <c r="W44569" s="235" t="n"/>
      <c r="X44569" s="235" t="n"/>
    </row>
    <row r="44570" ht="14.25" customHeight="1" s="192">
      <c r="W44570" s="235" t="n"/>
      <c r="X44570" s="235" t="n"/>
    </row>
    <row r="44571" ht="14.25" customHeight="1" s="192">
      <c r="W44571" s="235" t="n"/>
      <c r="X44571" s="235" t="n"/>
    </row>
    <row r="44572" ht="14.25" customHeight="1" s="192">
      <c r="W44572" s="239" t="n"/>
      <c r="X44572" s="239" t="n"/>
    </row>
    <row r="44573" ht="14.25" customHeight="1" s="192">
      <c r="W44573" s="239" t="n"/>
      <c r="X44573" s="239" t="n"/>
    </row>
    <row r="44574" ht="14.25" customHeight="1" s="192">
      <c r="W44574" s="235" t="n"/>
      <c r="X44574" s="235" t="n"/>
    </row>
    <row r="44575" ht="14.25" customHeight="1" s="192">
      <c r="W44575" s="235" t="n"/>
      <c r="X44575" s="235" t="n"/>
    </row>
    <row r="44576" ht="14.25" customHeight="1" s="192">
      <c r="W44576" s="239" t="n"/>
      <c r="X44576" s="239" t="n"/>
    </row>
    <row r="44577" ht="14.25" customHeight="1" s="192">
      <c r="W44577" s="235" t="n"/>
      <c r="X44577" s="235" t="n"/>
    </row>
    <row r="44578" ht="14.25" customHeight="1" s="192">
      <c r="W44578" s="239" t="n"/>
      <c r="X44578" s="239" t="n"/>
    </row>
    <row r="44580" ht="14.25" customHeight="1" s="192">
      <c r="W44580" s="235" t="n"/>
      <c r="X44580" s="235" t="n"/>
    </row>
    <row r="44581" ht="15" customHeight="1" s="192" thickBot="1">
      <c r="W44581" s="239" t="n"/>
      <c r="X44581" s="239" t="n"/>
    </row>
    <row r="44582" ht="15" customHeight="1" s="192" thickBot="1">
      <c r="W44582" s="45" t="n"/>
      <c r="X44582" s="45" t="n"/>
    </row>
    <row r="44583" ht="14.25" customHeight="1" s="192">
      <c r="W44583" s="228" t="n"/>
      <c r="X44583" s="228" t="n"/>
    </row>
    <row r="44584" ht="14.25" customHeight="1" s="192">
      <c r="W44584" s="228" t="n"/>
      <c r="X44584" s="228" t="n"/>
    </row>
    <row r="44585" ht="14.25" customHeight="1" s="192">
      <c r="W44585" s="231" t="n"/>
      <c r="X44585" s="231" t="n"/>
    </row>
    <row r="44586" ht="14.25" customHeight="1" s="192">
      <c r="W44586" s="33" t="n"/>
      <c r="X44586" s="33" t="n"/>
    </row>
    <row r="44587" ht="14.25" customHeight="1" s="192">
      <c r="W44587" s="231" t="n"/>
      <c r="X44587" s="231" t="n"/>
    </row>
    <row r="44588" ht="14.25" customHeight="1" s="192">
      <c r="W44588" s="33" t="n"/>
      <c r="X44588" s="33" t="n"/>
    </row>
    <row r="44590" ht="14.25" customHeight="1" s="192">
      <c r="W44590" s="231" t="n"/>
      <c r="X44590" s="231" t="n"/>
    </row>
    <row r="44591" ht="14.25" customHeight="1" s="192">
      <c r="W44591" s="235" t="n"/>
      <c r="X44591" s="235" t="n"/>
    </row>
    <row r="44592" ht="14.25" customHeight="1" s="192">
      <c r="W44592" s="228" t="n"/>
      <c r="X44592" s="228" t="n"/>
    </row>
    <row r="44593" ht="14.25" customHeight="1" s="192">
      <c r="W44593" s="235" t="n"/>
      <c r="X44593" s="235" t="n"/>
    </row>
    <row r="44594" ht="14.25" customHeight="1" s="192">
      <c r="W44594" s="235" t="n"/>
      <c r="X44594" s="235" t="n"/>
    </row>
    <row r="44595" ht="14.25" customHeight="1" s="192">
      <c r="W44595" s="235" t="n"/>
      <c r="X44595" s="235" t="n"/>
    </row>
    <row r="44596" ht="14.25" customHeight="1" s="192">
      <c r="W44596" s="239" t="n"/>
      <c r="X44596" s="239" t="n"/>
    </row>
    <row r="44597" ht="14.25" customHeight="1" s="192">
      <c r="W44597" s="239" t="n"/>
      <c r="X44597" s="239" t="n"/>
    </row>
    <row r="44598" ht="14.25" customHeight="1" s="192">
      <c r="W44598" s="239" t="n"/>
      <c r="X44598" s="239" t="n"/>
    </row>
    <row r="44599" ht="14.25" customHeight="1" s="192">
      <c r="W44599" s="235" t="n"/>
      <c r="X44599" s="235" t="n"/>
    </row>
    <row r="44600" ht="14.25" customHeight="1" s="192">
      <c r="W44600" s="235" t="n"/>
      <c r="X44600" s="235" t="n"/>
    </row>
    <row r="44601" ht="14.25" customHeight="1" s="192">
      <c r="W44601" s="235" t="n"/>
      <c r="X44601" s="235" t="n"/>
    </row>
    <row r="44602" ht="14.25" customHeight="1" s="192">
      <c r="W44602" s="239" t="n"/>
      <c r="X44602" s="239" t="n"/>
    </row>
    <row r="44603" ht="14.25" customHeight="1" s="192">
      <c r="W44603" s="239" t="n"/>
      <c r="X44603" s="239" t="n"/>
    </row>
    <row r="44604" ht="14.25" customHeight="1" s="192">
      <c r="W44604" s="235" t="n"/>
      <c r="X44604" s="235" t="n"/>
    </row>
    <row r="44605" ht="14.25" customHeight="1" s="192">
      <c r="W44605" s="235" t="n"/>
      <c r="X44605" s="235" t="n"/>
    </row>
    <row r="44606" ht="14.25" customHeight="1" s="192">
      <c r="W44606" s="239" t="n"/>
      <c r="X44606" s="239" t="n"/>
    </row>
    <row r="44607" ht="14.25" customHeight="1" s="192">
      <c r="W44607" s="235" t="n"/>
      <c r="X44607" s="235" t="n"/>
    </row>
    <row r="44608" ht="14.25" customHeight="1" s="192">
      <c r="W44608" s="239" t="n"/>
      <c r="X44608" s="239" t="n"/>
    </row>
    <row r="44610" ht="14.25" customHeight="1" s="192">
      <c r="W44610" s="235" t="n"/>
      <c r="X44610" s="235" t="n"/>
    </row>
    <row r="44611" ht="15" customHeight="1" s="192" thickBot="1">
      <c r="W44611" s="239" t="n"/>
      <c r="X44611" s="239" t="n"/>
    </row>
    <row r="44612" ht="15" customHeight="1" s="192" thickBot="1">
      <c r="W44612" s="45" t="n"/>
      <c r="X44612" s="45" t="n"/>
    </row>
    <row r="44613" ht="14.25" customHeight="1" s="192">
      <c r="W44613" s="228" t="n"/>
      <c r="X44613" s="228" t="n"/>
    </row>
    <row r="44614" ht="14.25" customHeight="1" s="192">
      <c r="W44614" s="228" t="n"/>
      <c r="X44614" s="228" t="n"/>
    </row>
    <row r="44615" ht="14.25" customHeight="1" s="192">
      <c r="W44615" s="231" t="n"/>
      <c r="X44615" s="231" t="n"/>
    </row>
    <row r="44616" ht="14.25" customHeight="1" s="192">
      <c r="W44616" s="33" t="n"/>
      <c r="X44616" s="33" t="n"/>
    </row>
    <row r="44617" ht="14.25" customHeight="1" s="192">
      <c r="W44617" s="231" t="n"/>
      <c r="X44617" s="231" t="n"/>
    </row>
    <row r="44618" ht="14.25" customHeight="1" s="192">
      <c r="W44618" s="33" t="n"/>
      <c r="X44618" s="33" t="n"/>
    </row>
    <row r="44620" ht="14.25" customHeight="1" s="192">
      <c r="W44620" s="231" t="n"/>
      <c r="X44620" s="231" t="n"/>
    </row>
    <row r="44621" ht="14.25" customHeight="1" s="192">
      <c r="W44621" s="235" t="n"/>
      <c r="X44621" s="235" t="n"/>
    </row>
    <row r="44622" ht="14.25" customHeight="1" s="192">
      <c r="W44622" s="228" t="n"/>
      <c r="X44622" s="228" t="n"/>
    </row>
    <row r="44623" ht="14.25" customHeight="1" s="192">
      <c r="W44623" s="235" t="n"/>
      <c r="X44623" s="235" t="n"/>
    </row>
    <row r="44624" ht="14.25" customHeight="1" s="192">
      <c r="W44624" s="235" t="n"/>
      <c r="X44624" s="235" t="n"/>
    </row>
    <row r="44625" ht="14.25" customHeight="1" s="192">
      <c r="W44625" s="235" t="n"/>
      <c r="X44625" s="235" t="n"/>
    </row>
    <row r="44626" ht="14.25" customHeight="1" s="192">
      <c r="W44626" s="239" t="n"/>
      <c r="X44626" s="239" t="n"/>
    </row>
    <row r="44627" ht="14.25" customHeight="1" s="192">
      <c r="W44627" s="239" t="n"/>
      <c r="X44627" s="239" t="n"/>
    </row>
    <row r="44628" ht="14.25" customHeight="1" s="192">
      <c r="W44628" s="239" t="n"/>
      <c r="X44628" s="239" t="n"/>
    </row>
    <row r="44629" ht="14.25" customHeight="1" s="192">
      <c r="W44629" s="235" t="n"/>
      <c r="X44629" s="235" t="n"/>
    </row>
    <row r="44630" ht="14.25" customHeight="1" s="192">
      <c r="W44630" s="235" t="n"/>
      <c r="X44630" s="235" t="n"/>
    </row>
    <row r="44631" ht="14.25" customHeight="1" s="192">
      <c r="W44631" s="235" t="n"/>
      <c r="X44631" s="235" t="n"/>
    </row>
    <row r="44632" ht="14.25" customHeight="1" s="192">
      <c r="W44632" s="239" t="n"/>
      <c r="X44632" s="239" t="n"/>
    </row>
    <row r="44633" ht="14.25" customHeight="1" s="192">
      <c r="W44633" s="239" t="n"/>
      <c r="X44633" s="239" t="n"/>
    </row>
    <row r="44634" ht="14.25" customHeight="1" s="192">
      <c r="W44634" s="235" t="n"/>
      <c r="X44634" s="235" t="n"/>
    </row>
    <row r="44635" ht="14.25" customHeight="1" s="192">
      <c r="W44635" s="235" t="n"/>
      <c r="X44635" s="235" t="n"/>
    </row>
    <row r="44636" ht="14.25" customHeight="1" s="192">
      <c r="W44636" s="239" t="n"/>
      <c r="X44636" s="239" t="n"/>
    </row>
    <row r="44637" ht="14.25" customHeight="1" s="192">
      <c r="W44637" s="235" t="n"/>
      <c r="X44637" s="235" t="n"/>
    </row>
    <row r="44638" ht="14.25" customHeight="1" s="192">
      <c r="W44638" s="239" t="n"/>
      <c r="X44638" s="239" t="n"/>
    </row>
    <row r="44640" ht="14.25" customHeight="1" s="192">
      <c r="W44640" s="235" t="n"/>
      <c r="X44640" s="235" t="n"/>
    </row>
    <row r="44641" ht="15" customHeight="1" s="192" thickBot="1">
      <c r="W44641" s="239" t="n"/>
      <c r="X44641" s="239" t="n"/>
    </row>
    <row r="44642" ht="15" customHeight="1" s="192" thickBot="1">
      <c r="W44642" s="45" t="n"/>
      <c r="X44642" s="45" t="n"/>
    </row>
    <row r="44643" ht="14.25" customHeight="1" s="192">
      <c r="W44643" s="228" t="n"/>
      <c r="X44643" s="228" t="n"/>
    </row>
    <row r="44644" ht="14.25" customHeight="1" s="192">
      <c r="W44644" s="228" t="n"/>
      <c r="X44644" s="228" t="n"/>
    </row>
    <row r="44645" ht="14.25" customHeight="1" s="192">
      <c r="W44645" s="231" t="n"/>
      <c r="X44645" s="231" t="n"/>
    </row>
    <row r="44646" ht="14.25" customHeight="1" s="192">
      <c r="W44646" s="33" t="n"/>
      <c r="X44646" s="33" t="n"/>
    </row>
    <row r="44647" ht="14.25" customHeight="1" s="192">
      <c r="W44647" s="231" t="n"/>
      <c r="X44647" s="231" t="n"/>
    </row>
    <row r="44648" ht="14.25" customHeight="1" s="192">
      <c r="W44648" s="33" t="n"/>
      <c r="X44648" s="33" t="n"/>
    </row>
    <row r="44650" ht="14.25" customHeight="1" s="192">
      <c r="W44650" s="231" t="n"/>
      <c r="X44650" s="231" t="n"/>
    </row>
    <row r="44651" ht="14.25" customHeight="1" s="192">
      <c r="W44651" s="235" t="n"/>
      <c r="X44651" s="235" t="n"/>
    </row>
    <row r="44652" ht="14.25" customHeight="1" s="192">
      <c r="W44652" s="228" t="n"/>
      <c r="X44652" s="228" t="n"/>
    </row>
    <row r="44653" ht="14.25" customHeight="1" s="192">
      <c r="W44653" s="235" t="n"/>
      <c r="X44653" s="235" t="n"/>
    </row>
    <row r="44654" ht="14.25" customHeight="1" s="192">
      <c r="W44654" s="235" t="n"/>
      <c r="X44654" s="235" t="n"/>
    </row>
    <row r="44655" ht="14.25" customHeight="1" s="192">
      <c r="W44655" s="235" t="n"/>
      <c r="X44655" s="235" t="n"/>
    </row>
    <row r="44656" ht="14.25" customHeight="1" s="192">
      <c r="W44656" s="239" t="n"/>
      <c r="X44656" s="239" t="n"/>
    </row>
    <row r="44657" ht="14.25" customHeight="1" s="192">
      <c r="W44657" s="239" t="n"/>
      <c r="X44657" s="239" t="n"/>
    </row>
    <row r="44658" ht="14.25" customHeight="1" s="192">
      <c r="W44658" s="239" t="n"/>
      <c r="X44658" s="239" t="n"/>
    </row>
    <row r="44659" ht="14.25" customHeight="1" s="192">
      <c r="W44659" s="235" t="n"/>
      <c r="X44659" s="235" t="n"/>
    </row>
    <row r="44660" ht="14.25" customHeight="1" s="192">
      <c r="W44660" s="235" t="n"/>
      <c r="X44660" s="235" t="n"/>
    </row>
    <row r="44661" ht="14.25" customHeight="1" s="192">
      <c r="W44661" s="235" t="n"/>
      <c r="X44661" s="235" t="n"/>
    </row>
    <row r="44662" ht="14.25" customHeight="1" s="192">
      <c r="W44662" s="239" t="n"/>
      <c r="X44662" s="239" t="n"/>
    </row>
    <row r="44663" ht="14.25" customHeight="1" s="192">
      <c r="W44663" s="239" t="n"/>
      <c r="X44663" s="239" t="n"/>
    </row>
    <row r="44664" ht="14.25" customHeight="1" s="192">
      <c r="W44664" s="235" t="n"/>
      <c r="X44664" s="235" t="n"/>
    </row>
    <row r="44665" ht="14.25" customHeight="1" s="192">
      <c r="W44665" s="235" t="n"/>
      <c r="X44665" s="235" t="n"/>
    </row>
    <row r="44666" ht="14.25" customHeight="1" s="192">
      <c r="W44666" s="239" t="n"/>
      <c r="X44666" s="239" t="n"/>
    </row>
    <row r="44667" ht="14.25" customHeight="1" s="192">
      <c r="W44667" s="235" t="n"/>
      <c r="X44667" s="235" t="n"/>
    </row>
    <row r="44668" ht="14.25" customHeight="1" s="192">
      <c r="W44668" s="239" t="n"/>
      <c r="X44668" s="239" t="n"/>
    </row>
    <row r="44670" ht="14.25" customHeight="1" s="192">
      <c r="W44670" s="235" t="n"/>
      <c r="X44670" s="235" t="n"/>
    </row>
    <row r="44671" ht="15" customHeight="1" s="192" thickBot="1">
      <c r="W44671" s="239" t="n"/>
      <c r="X44671" s="239" t="n"/>
    </row>
    <row r="44672" ht="15" customHeight="1" s="192" thickBot="1">
      <c r="W44672" s="45" t="n"/>
      <c r="X44672" s="45" t="n"/>
    </row>
    <row r="44673" ht="14.25" customHeight="1" s="192">
      <c r="W44673" s="228" t="n"/>
      <c r="X44673" s="228" t="n"/>
    </row>
    <row r="44674" ht="14.25" customHeight="1" s="192">
      <c r="W44674" s="228" t="n"/>
      <c r="X44674" s="228" t="n"/>
    </row>
    <row r="44675" ht="14.25" customHeight="1" s="192">
      <c r="W44675" s="231" t="n"/>
      <c r="X44675" s="231" t="n"/>
    </row>
    <row r="44676" ht="14.25" customHeight="1" s="192">
      <c r="W44676" s="33" t="n"/>
      <c r="X44676" s="33" t="n"/>
    </row>
    <row r="44677" ht="14.25" customHeight="1" s="192">
      <c r="W44677" s="231" t="n"/>
      <c r="X44677" s="231" t="n"/>
    </row>
    <row r="44678" ht="14.25" customHeight="1" s="192">
      <c r="W44678" s="33" t="n"/>
      <c r="X44678" s="33" t="n"/>
    </row>
    <row r="44680" ht="14.25" customHeight="1" s="192">
      <c r="W44680" s="231" t="n"/>
      <c r="X44680" s="231" t="n"/>
    </row>
    <row r="44681" ht="14.25" customHeight="1" s="192">
      <c r="W44681" s="235" t="n"/>
      <c r="X44681" s="235" t="n"/>
    </row>
    <row r="44682" ht="14.25" customHeight="1" s="192">
      <c r="W44682" s="228" t="n"/>
      <c r="X44682" s="228" t="n"/>
    </row>
    <row r="44683" ht="14.25" customHeight="1" s="192">
      <c r="W44683" s="235" t="n"/>
      <c r="X44683" s="235" t="n"/>
    </row>
    <row r="44684" ht="14.25" customHeight="1" s="192">
      <c r="W44684" s="235" t="n"/>
      <c r="X44684" s="235" t="n"/>
    </row>
    <row r="44685" ht="14.25" customHeight="1" s="192">
      <c r="W44685" s="235" t="n"/>
      <c r="X44685" s="235" t="n"/>
    </row>
    <row r="44686" ht="14.25" customHeight="1" s="192">
      <c r="W44686" s="239" t="n"/>
      <c r="X44686" s="239" t="n"/>
    </row>
    <row r="44687" ht="14.25" customHeight="1" s="192">
      <c r="W44687" s="239" t="n"/>
      <c r="X44687" s="239" t="n"/>
    </row>
    <row r="44688" ht="14.25" customHeight="1" s="192">
      <c r="W44688" s="239" t="n"/>
      <c r="X44688" s="239" t="n"/>
    </row>
    <row r="44689" ht="14.25" customHeight="1" s="192">
      <c r="W44689" s="235" t="n"/>
      <c r="X44689" s="235" t="n"/>
    </row>
    <row r="44690" ht="14.25" customHeight="1" s="192">
      <c r="W44690" s="235" t="n"/>
      <c r="X44690" s="235" t="n"/>
    </row>
    <row r="44691" ht="14.25" customHeight="1" s="192">
      <c r="W44691" s="235" t="n"/>
      <c r="X44691" s="235" t="n"/>
    </row>
    <row r="44692" ht="14.25" customHeight="1" s="192">
      <c r="W44692" s="239" t="n"/>
      <c r="X44692" s="239" t="n"/>
    </row>
    <row r="44693" ht="14.25" customHeight="1" s="192">
      <c r="W44693" s="239" t="n"/>
      <c r="X44693" s="239" t="n"/>
    </row>
    <row r="44694" ht="14.25" customHeight="1" s="192">
      <c r="W44694" s="235" t="n"/>
      <c r="X44694" s="235" t="n"/>
    </row>
    <row r="44695" ht="14.25" customHeight="1" s="192">
      <c r="W44695" s="235" t="n"/>
      <c r="X44695" s="235" t="n"/>
    </row>
    <row r="44696" ht="14.25" customHeight="1" s="192">
      <c r="W44696" s="239" t="n"/>
      <c r="X44696" s="239" t="n"/>
    </row>
    <row r="44697" ht="14.25" customHeight="1" s="192">
      <c r="W44697" s="235" t="n"/>
      <c r="X44697" s="235" t="n"/>
    </row>
    <row r="44698" ht="14.25" customHeight="1" s="192">
      <c r="W44698" s="239" t="n"/>
      <c r="X44698" s="239" t="n"/>
    </row>
    <row r="44700" ht="14.25" customHeight="1" s="192">
      <c r="W44700" s="235" t="n"/>
      <c r="X44700" s="235" t="n"/>
    </row>
    <row r="44701" ht="15" customHeight="1" s="192" thickBot="1">
      <c r="W44701" s="239" t="n"/>
      <c r="X44701" s="239" t="n"/>
    </row>
    <row r="44702" ht="15" customHeight="1" s="192" thickBot="1">
      <c r="W44702" s="45" t="n"/>
      <c r="X44702" s="45" t="n"/>
    </row>
    <row r="44703" ht="14.25" customHeight="1" s="192">
      <c r="W44703" s="228" t="n"/>
      <c r="X44703" s="228" t="n"/>
    </row>
    <row r="44704" ht="14.25" customHeight="1" s="192">
      <c r="W44704" s="228" t="n"/>
      <c r="X44704" s="228" t="n"/>
    </row>
    <row r="44705" ht="14.25" customHeight="1" s="192">
      <c r="W44705" s="231" t="n"/>
      <c r="X44705" s="231" t="n"/>
    </row>
    <row r="44706" ht="14.25" customHeight="1" s="192">
      <c r="W44706" s="33" t="n"/>
      <c r="X44706" s="33" t="n"/>
    </row>
    <row r="44707" ht="14.25" customHeight="1" s="192">
      <c r="W44707" s="231" t="n"/>
      <c r="X44707" s="231" t="n"/>
    </row>
    <row r="44708" ht="14.25" customHeight="1" s="192">
      <c r="W44708" s="33" t="n"/>
      <c r="X44708" s="33" t="n"/>
    </row>
    <row r="44710" ht="14.25" customHeight="1" s="192">
      <c r="W44710" s="231" t="n"/>
      <c r="X44710" s="231" t="n"/>
    </row>
    <row r="44711" ht="14.25" customHeight="1" s="192">
      <c r="W44711" s="235" t="n"/>
      <c r="X44711" s="235" t="n"/>
    </row>
    <row r="44712" ht="14.25" customHeight="1" s="192">
      <c r="W44712" s="228" t="n"/>
      <c r="X44712" s="228" t="n"/>
    </row>
    <row r="44713" ht="14.25" customHeight="1" s="192">
      <c r="W44713" s="235" t="n"/>
      <c r="X44713" s="235" t="n"/>
    </row>
    <row r="44714" ht="14.25" customHeight="1" s="192">
      <c r="W44714" s="235" t="n"/>
      <c r="X44714" s="235" t="n"/>
    </row>
    <row r="44715" ht="14.25" customHeight="1" s="192">
      <c r="W44715" s="235" t="n"/>
      <c r="X44715" s="235" t="n"/>
    </row>
    <row r="44716" ht="14.25" customHeight="1" s="192">
      <c r="W44716" s="239" t="n"/>
      <c r="X44716" s="239" t="n"/>
    </row>
    <row r="44717" ht="14.25" customHeight="1" s="192">
      <c r="W44717" s="239" t="n"/>
      <c r="X44717" s="239" t="n"/>
    </row>
    <row r="44718" ht="14.25" customHeight="1" s="192">
      <c r="W44718" s="239" t="n"/>
      <c r="X44718" s="239" t="n"/>
    </row>
    <row r="44719" ht="14.25" customHeight="1" s="192">
      <c r="W44719" s="235" t="n"/>
      <c r="X44719" s="235" t="n"/>
    </row>
    <row r="44720" ht="14.25" customHeight="1" s="192">
      <c r="W44720" s="235" t="n"/>
      <c r="X44720" s="235" t="n"/>
    </row>
    <row r="44721" ht="14.25" customHeight="1" s="192">
      <c r="W44721" s="235" t="n"/>
      <c r="X44721" s="235" t="n"/>
    </row>
    <row r="44722" ht="14.25" customHeight="1" s="192">
      <c r="W44722" s="239" t="n"/>
      <c r="X44722" s="239" t="n"/>
    </row>
    <row r="44723" ht="14.25" customHeight="1" s="192">
      <c r="W44723" s="239" t="n"/>
      <c r="X44723" s="239" t="n"/>
    </row>
    <row r="44724" ht="14.25" customHeight="1" s="192">
      <c r="W44724" s="235" t="n"/>
      <c r="X44724" s="235" t="n"/>
    </row>
    <row r="44725" ht="14.25" customHeight="1" s="192">
      <c r="W44725" s="235" t="n"/>
      <c r="X44725" s="235" t="n"/>
    </row>
    <row r="44726" ht="14.25" customHeight="1" s="192">
      <c r="W44726" s="239" t="n"/>
      <c r="X44726" s="239" t="n"/>
    </row>
    <row r="44727" ht="14.25" customHeight="1" s="192">
      <c r="W44727" s="235" t="n"/>
      <c r="X44727" s="235" t="n"/>
    </row>
    <row r="44728" ht="14.25" customHeight="1" s="192">
      <c r="W44728" s="239" t="n"/>
      <c r="X44728" s="239" t="n"/>
    </row>
    <row r="44730" ht="14.25" customHeight="1" s="192">
      <c r="W44730" s="235" t="n"/>
      <c r="X44730" s="235" t="n"/>
    </row>
    <row r="44731" ht="15" customHeight="1" s="192" thickBot="1">
      <c r="W44731" s="239" t="n"/>
      <c r="X44731" s="239" t="n"/>
    </row>
    <row r="44732" ht="15" customHeight="1" s="192" thickBot="1">
      <c r="W44732" s="45" t="n"/>
      <c r="X44732" s="45" t="n"/>
    </row>
    <row r="44733" ht="14.25" customHeight="1" s="192">
      <c r="W44733" s="228" t="n"/>
      <c r="X44733" s="228" t="n"/>
    </row>
    <row r="44734" ht="14.25" customHeight="1" s="192">
      <c r="W44734" s="228" t="n"/>
      <c r="X44734" s="228" t="n"/>
    </row>
    <row r="44735" ht="14.25" customHeight="1" s="192">
      <c r="W44735" s="231" t="n"/>
      <c r="X44735" s="231" t="n"/>
    </row>
    <row r="44736" ht="14.25" customHeight="1" s="192">
      <c r="W44736" s="33" t="n"/>
      <c r="X44736" s="33" t="n"/>
    </row>
    <row r="44737" ht="14.25" customHeight="1" s="192">
      <c r="W44737" s="231" t="n"/>
      <c r="X44737" s="231" t="n"/>
    </row>
    <row r="44738" ht="14.25" customHeight="1" s="192">
      <c r="W44738" s="33" t="n"/>
      <c r="X44738" s="33" t="n"/>
    </row>
    <row r="44740" ht="14.25" customHeight="1" s="192">
      <c r="W44740" s="231" t="n"/>
      <c r="X44740" s="231" t="n"/>
    </row>
    <row r="44741" ht="14.25" customHeight="1" s="192">
      <c r="W44741" s="235" t="n"/>
      <c r="X44741" s="235" t="n"/>
    </row>
    <row r="44742" ht="14.25" customHeight="1" s="192">
      <c r="W44742" s="228" t="n"/>
      <c r="X44742" s="228" t="n"/>
    </row>
    <row r="44743" ht="14.25" customHeight="1" s="192">
      <c r="W44743" s="235" t="n"/>
      <c r="X44743" s="235" t="n"/>
    </row>
    <row r="44744" ht="14.25" customHeight="1" s="192">
      <c r="W44744" s="235" t="n"/>
      <c r="X44744" s="235" t="n"/>
    </row>
    <row r="44745" ht="14.25" customHeight="1" s="192">
      <c r="W44745" s="235" t="n"/>
      <c r="X44745" s="235" t="n"/>
    </row>
    <row r="44746" ht="14.25" customHeight="1" s="192">
      <c r="W44746" s="239" t="n"/>
      <c r="X44746" s="239" t="n"/>
    </row>
    <row r="44747" ht="14.25" customHeight="1" s="192">
      <c r="W44747" s="239" t="n"/>
      <c r="X44747" s="239" t="n"/>
    </row>
    <row r="44748" ht="14.25" customHeight="1" s="192">
      <c r="W44748" s="239" t="n"/>
      <c r="X44748" s="239" t="n"/>
    </row>
    <row r="44749" ht="14.25" customHeight="1" s="192">
      <c r="W44749" s="235" t="n"/>
      <c r="X44749" s="235" t="n"/>
    </row>
    <row r="44750" ht="14.25" customHeight="1" s="192">
      <c r="W44750" s="235" t="n"/>
      <c r="X44750" s="235" t="n"/>
    </row>
    <row r="44751" ht="14.25" customHeight="1" s="192">
      <c r="W44751" s="235" t="n"/>
      <c r="X44751" s="235" t="n"/>
    </row>
    <row r="44752" ht="14.25" customHeight="1" s="192">
      <c r="W44752" s="239" t="n"/>
      <c r="X44752" s="239" t="n"/>
    </row>
    <row r="44753" ht="14.25" customHeight="1" s="192">
      <c r="W44753" s="239" t="n"/>
      <c r="X44753" s="239" t="n"/>
    </row>
    <row r="44754" ht="14.25" customHeight="1" s="192">
      <c r="W44754" s="235" t="n"/>
      <c r="X44754" s="235" t="n"/>
    </row>
    <row r="44755" ht="14.25" customHeight="1" s="192">
      <c r="W44755" s="235" t="n"/>
      <c r="X44755" s="235" t="n"/>
    </row>
    <row r="44756" ht="14.25" customHeight="1" s="192">
      <c r="W44756" s="239" t="n"/>
      <c r="X44756" s="239" t="n"/>
    </row>
    <row r="44757" ht="14.25" customHeight="1" s="192">
      <c r="W44757" s="235" t="n"/>
      <c r="X44757" s="235" t="n"/>
    </row>
    <row r="44758" ht="14.25" customHeight="1" s="192">
      <c r="W44758" s="239" t="n"/>
      <c r="X44758" s="239" t="n"/>
    </row>
    <row r="44760" ht="14.25" customHeight="1" s="192">
      <c r="W44760" s="235" t="n"/>
      <c r="X44760" s="235" t="n"/>
    </row>
    <row r="44761" ht="15" customHeight="1" s="192" thickBot="1">
      <c r="W44761" s="239" t="n"/>
      <c r="X44761" s="239" t="n"/>
    </row>
    <row r="44762" ht="15" customHeight="1" s="192" thickBot="1">
      <c r="W44762" s="45" t="n"/>
      <c r="X44762" s="45" t="n"/>
    </row>
    <row r="44763" ht="14.25" customHeight="1" s="192">
      <c r="W44763" s="228" t="n"/>
      <c r="X44763" s="228" t="n"/>
    </row>
    <row r="44764" ht="14.25" customHeight="1" s="192">
      <c r="W44764" s="228" t="n"/>
      <c r="X44764" s="228" t="n"/>
    </row>
    <row r="44765" ht="14.25" customHeight="1" s="192">
      <c r="W44765" s="231" t="n"/>
      <c r="X44765" s="231" t="n"/>
    </row>
    <row r="44766" ht="14.25" customHeight="1" s="192">
      <c r="W44766" s="33" t="n"/>
      <c r="X44766" s="33" t="n"/>
    </row>
    <row r="44767" ht="14.25" customHeight="1" s="192">
      <c r="W44767" s="231" t="n"/>
      <c r="X44767" s="231" t="n"/>
    </row>
    <row r="44768" ht="14.25" customHeight="1" s="192">
      <c r="W44768" s="33" t="n"/>
      <c r="X44768" s="33" t="n"/>
    </row>
    <row r="44770" ht="14.25" customHeight="1" s="192">
      <c r="W44770" s="231" t="n"/>
      <c r="X44770" s="231" t="n"/>
    </row>
    <row r="44771" ht="14.25" customHeight="1" s="192">
      <c r="W44771" s="235" t="n"/>
      <c r="X44771" s="235" t="n"/>
    </row>
    <row r="44772" ht="14.25" customHeight="1" s="192">
      <c r="W44772" s="228" t="n"/>
      <c r="X44772" s="228" t="n"/>
    </row>
    <row r="44773" ht="14.25" customHeight="1" s="192">
      <c r="W44773" s="235" t="n"/>
      <c r="X44773" s="235" t="n"/>
    </row>
    <row r="44774" ht="14.25" customHeight="1" s="192">
      <c r="W44774" s="235" t="n"/>
      <c r="X44774" s="235" t="n"/>
    </row>
    <row r="44775" ht="14.25" customHeight="1" s="192">
      <c r="W44775" s="235" t="n"/>
      <c r="X44775" s="235" t="n"/>
    </row>
    <row r="44776" ht="14.25" customHeight="1" s="192">
      <c r="W44776" s="239" t="n"/>
      <c r="X44776" s="239" t="n"/>
    </row>
    <row r="44777" ht="14.25" customHeight="1" s="192">
      <c r="W44777" s="239" t="n"/>
      <c r="X44777" s="239" t="n"/>
    </row>
    <row r="44778" ht="14.25" customHeight="1" s="192">
      <c r="W44778" s="239" t="n"/>
      <c r="X44778" s="239" t="n"/>
    </row>
    <row r="44779" ht="14.25" customHeight="1" s="192">
      <c r="W44779" s="235" t="n"/>
      <c r="X44779" s="235" t="n"/>
    </row>
    <row r="44780" ht="14.25" customHeight="1" s="192">
      <c r="W44780" s="235" t="n"/>
      <c r="X44780" s="235" t="n"/>
    </row>
    <row r="44781" ht="14.25" customHeight="1" s="192">
      <c r="W44781" s="235" t="n"/>
      <c r="X44781" s="235" t="n"/>
    </row>
    <row r="44782" ht="14.25" customHeight="1" s="192">
      <c r="W44782" s="239" t="n"/>
      <c r="X44782" s="239" t="n"/>
    </row>
    <row r="44783" ht="14.25" customHeight="1" s="192">
      <c r="W44783" s="239" t="n"/>
      <c r="X44783" s="239" t="n"/>
    </row>
    <row r="44784" ht="14.25" customHeight="1" s="192">
      <c r="W44784" s="235" t="n"/>
      <c r="X44784" s="235" t="n"/>
    </row>
    <row r="44785" ht="14.25" customHeight="1" s="192">
      <c r="W44785" s="235" t="n"/>
      <c r="X44785" s="235" t="n"/>
    </row>
    <row r="44786" ht="14.25" customHeight="1" s="192">
      <c r="W44786" s="239" t="n"/>
      <c r="X44786" s="239" t="n"/>
    </row>
    <row r="44787" ht="14.25" customHeight="1" s="192">
      <c r="W44787" s="235" t="n"/>
      <c r="X44787" s="235" t="n"/>
    </row>
    <row r="44788" ht="14.25" customHeight="1" s="192">
      <c r="W44788" s="239" t="n"/>
      <c r="X44788" s="239" t="n"/>
    </row>
    <row r="44790" ht="14.25" customHeight="1" s="192">
      <c r="W44790" s="235" t="n"/>
      <c r="X44790" s="235" t="n"/>
    </row>
    <row r="44791" ht="15" customHeight="1" s="192" thickBot="1">
      <c r="W44791" s="239" t="n"/>
      <c r="X44791" s="239" t="n"/>
    </row>
    <row r="44792" ht="15" customHeight="1" s="192" thickBot="1">
      <c r="W44792" s="45" t="n"/>
      <c r="X44792" s="45" t="n"/>
    </row>
    <row r="44793" ht="14.25" customHeight="1" s="192">
      <c r="W44793" s="228" t="n"/>
      <c r="X44793" s="228" t="n"/>
    </row>
    <row r="44794" ht="14.25" customHeight="1" s="192">
      <c r="W44794" s="228" t="n"/>
      <c r="X44794" s="228" t="n"/>
    </row>
    <row r="44795" ht="14.25" customHeight="1" s="192">
      <c r="W44795" s="231" t="n"/>
      <c r="X44795" s="231" t="n"/>
    </row>
    <row r="44796" ht="14.25" customHeight="1" s="192">
      <c r="W44796" s="33" t="n"/>
      <c r="X44796" s="33" t="n"/>
    </row>
    <row r="44797" ht="14.25" customHeight="1" s="192">
      <c r="W44797" s="231" t="n"/>
      <c r="X44797" s="231" t="n"/>
    </row>
    <row r="44798" ht="14.25" customHeight="1" s="192">
      <c r="W44798" s="33" t="n"/>
      <c r="X44798" s="33" t="n"/>
    </row>
    <row r="44800" ht="14.25" customHeight="1" s="192">
      <c r="W44800" s="231" t="n"/>
      <c r="X44800" s="231" t="n"/>
    </row>
    <row r="44801" ht="14.25" customHeight="1" s="192">
      <c r="W44801" s="235" t="n"/>
      <c r="X44801" s="235" t="n"/>
    </row>
    <row r="44802" ht="14.25" customHeight="1" s="192">
      <c r="W44802" s="228" t="n"/>
      <c r="X44802" s="228" t="n"/>
    </row>
    <row r="44803" ht="14.25" customHeight="1" s="192">
      <c r="W44803" s="235" t="n"/>
      <c r="X44803" s="235" t="n"/>
    </row>
    <row r="44804" ht="14.25" customHeight="1" s="192">
      <c r="W44804" s="235" t="n"/>
      <c r="X44804" s="235" t="n"/>
    </row>
    <row r="44805" ht="14.25" customHeight="1" s="192">
      <c r="W44805" s="235" t="n"/>
      <c r="X44805" s="235" t="n"/>
    </row>
    <row r="44806" ht="14.25" customHeight="1" s="192">
      <c r="W44806" s="239" t="n"/>
      <c r="X44806" s="239" t="n"/>
    </row>
    <row r="44807" ht="14.25" customHeight="1" s="192">
      <c r="W44807" s="239" t="n"/>
      <c r="X44807" s="239" t="n"/>
    </row>
    <row r="44808" ht="14.25" customHeight="1" s="192">
      <c r="W44808" s="239" t="n"/>
      <c r="X44808" s="239" t="n"/>
    </row>
    <row r="44809" ht="14.25" customHeight="1" s="192">
      <c r="W44809" s="235" t="n"/>
      <c r="X44809" s="235" t="n"/>
    </row>
    <row r="44810" ht="14.25" customHeight="1" s="192">
      <c r="W44810" s="235" t="n"/>
      <c r="X44810" s="235" t="n"/>
    </row>
    <row r="44811" ht="14.25" customHeight="1" s="192">
      <c r="W44811" s="235" t="n"/>
      <c r="X44811" s="235" t="n"/>
    </row>
    <row r="44812" ht="14.25" customHeight="1" s="192">
      <c r="W44812" s="239" t="n"/>
      <c r="X44812" s="239" t="n"/>
    </row>
    <row r="44813" ht="14.25" customHeight="1" s="192">
      <c r="W44813" s="239" t="n"/>
      <c r="X44813" s="239" t="n"/>
    </row>
    <row r="44814" ht="14.25" customHeight="1" s="192">
      <c r="W44814" s="235" t="n"/>
      <c r="X44814" s="235" t="n"/>
    </row>
    <row r="44815" ht="14.25" customHeight="1" s="192">
      <c r="W44815" s="235" t="n"/>
      <c r="X44815" s="235" t="n"/>
    </row>
    <row r="44816" ht="14.25" customHeight="1" s="192">
      <c r="W44816" s="239" t="n"/>
      <c r="X44816" s="239" t="n"/>
    </row>
    <row r="44817" ht="14.25" customHeight="1" s="192">
      <c r="W44817" s="235" t="n"/>
      <c r="X44817" s="235" t="n"/>
    </row>
    <row r="44818" ht="14.25" customHeight="1" s="192">
      <c r="W44818" s="239" t="n"/>
      <c r="X44818" s="239" t="n"/>
    </row>
    <row r="44820" ht="14.25" customHeight="1" s="192">
      <c r="W44820" s="235" t="n"/>
      <c r="X44820" s="235" t="n"/>
    </row>
    <row r="44821" ht="15" customHeight="1" s="192" thickBot="1">
      <c r="W44821" s="239" t="n"/>
      <c r="X44821" s="239" t="n"/>
    </row>
    <row r="44822" ht="15" customHeight="1" s="192" thickBot="1">
      <c r="W44822" s="45" t="n"/>
      <c r="X44822" s="45" t="n"/>
    </row>
    <row r="44823" ht="14.25" customHeight="1" s="192">
      <c r="W44823" s="228" t="n"/>
      <c r="X44823" s="228" t="n"/>
    </row>
    <row r="44824" ht="14.25" customHeight="1" s="192">
      <c r="W44824" s="228" t="n"/>
      <c r="X44824" s="228" t="n"/>
    </row>
    <row r="44825" ht="14.25" customHeight="1" s="192">
      <c r="W44825" s="231" t="n"/>
      <c r="X44825" s="231" t="n"/>
    </row>
    <row r="44826" ht="14.25" customHeight="1" s="192">
      <c r="W44826" s="33" t="n"/>
      <c r="X44826" s="33" t="n"/>
    </row>
    <row r="44827" ht="14.25" customHeight="1" s="192">
      <c r="W44827" s="231" t="n"/>
      <c r="X44827" s="231" t="n"/>
    </row>
    <row r="44828" ht="14.25" customHeight="1" s="192">
      <c r="W44828" s="33" t="n"/>
      <c r="X44828" s="33" t="n"/>
    </row>
    <row r="44830" ht="14.25" customHeight="1" s="192">
      <c r="W44830" s="231" t="n"/>
      <c r="X44830" s="231" t="n"/>
    </row>
    <row r="44831" ht="14.25" customHeight="1" s="192">
      <c r="W44831" s="235" t="n"/>
      <c r="X44831" s="235" t="n"/>
    </row>
    <row r="44832" ht="14.25" customHeight="1" s="192">
      <c r="W44832" s="228" t="n"/>
      <c r="X44832" s="228" t="n"/>
    </row>
    <row r="44833" ht="14.25" customHeight="1" s="192">
      <c r="W44833" s="235" t="n"/>
      <c r="X44833" s="235" t="n"/>
    </row>
    <row r="44834" ht="14.25" customHeight="1" s="192">
      <c r="W44834" s="235" t="n"/>
      <c r="X44834" s="235" t="n"/>
    </row>
    <row r="44835" ht="14.25" customHeight="1" s="192">
      <c r="W44835" s="235" t="n"/>
      <c r="X44835" s="235" t="n"/>
    </row>
    <row r="44836" ht="14.25" customHeight="1" s="192">
      <c r="W44836" s="239" t="n"/>
      <c r="X44836" s="239" t="n"/>
    </row>
    <row r="44837" ht="14.25" customHeight="1" s="192">
      <c r="W44837" s="239" t="n"/>
      <c r="X44837" s="239" t="n"/>
    </row>
    <row r="44838" ht="14.25" customHeight="1" s="192">
      <c r="W44838" s="239" t="n"/>
      <c r="X44838" s="239" t="n"/>
    </row>
    <row r="44839" ht="14.25" customHeight="1" s="192">
      <c r="W44839" s="235" t="n"/>
      <c r="X44839" s="235" t="n"/>
    </row>
    <row r="44840" ht="14.25" customHeight="1" s="192">
      <c r="W44840" s="235" t="n"/>
      <c r="X44840" s="235" t="n"/>
    </row>
    <row r="44841" ht="14.25" customHeight="1" s="192">
      <c r="W44841" s="235" t="n"/>
      <c r="X44841" s="235" t="n"/>
    </row>
    <row r="44842" ht="14.25" customHeight="1" s="192">
      <c r="W44842" s="239" t="n"/>
      <c r="X44842" s="239" t="n"/>
    </row>
    <row r="44843" ht="14.25" customHeight="1" s="192">
      <c r="W44843" s="239" t="n"/>
      <c r="X44843" s="239" t="n"/>
    </row>
    <row r="44844" ht="14.25" customHeight="1" s="192">
      <c r="W44844" s="235" t="n"/>
      <c r="X44844" s="235" t="n"/>
    </row>
    <row r="44845" ht="14.25" customHeight="1" s="192">
      <c r="W44845" s="235" t="n"/>
      <c r="X44845" s="235" t="n"/>
    </row>
    <row r="44846" ht="14.25" customHeight="1" s="192">
      <c r="W44846" s="239" t="n"/>
      <c r="X44846" s="239" t="n"/>
    </row>
    <row r="44847" ht="14.25" customHeight="1" s="192">
      <c r="W44847" s="235" t="n"/>
      <c r="X44847" s="235" t="n"/>
    </row>
    <row r="44848" ht="14.25" customHeight="1" s="192">
      <c r="W44848" s="239" t="n"/>
      <c r="X44848" s="239" t="n"/>
    </row>
    <row r="44850" ht="14.25" customHeight="1" s="192">
      <c r="W44850" s="235" t="n"/>
      <c r="X44850" s="235" t="n"/>
    </row>
    <row r="44851" ht="15" customHeight="1" s="192" thickBot="1">
      <c r="W44851" s="239" t="n"/>
      <c r="X44851" s="239" t="n"/>
    </row>
    <row r="44852" ht="15" customHeight="1" s="192" thickBot="1">
      <c r="W44852" s="45" t="n"/>
      <c r="X44852" s="45" t="n"/>
    </row>
    <row r="44853" ht="14.25" customHeight="1" s="192">
      <c r="W44853" s="228" t="n"/>
      <c r="X44853" s="228" t="n"/>
    </row>
    <row r="44854" ht="14.25" customHeight="1" s="192">
      <c r="W44854" s="228" t="n"/>
      <c r="X44854" s="228" t="n"/>
    </row>
    <row r="44855" ht="14.25" customHeight="1" s="192">
      <c r="W44855" s="231" t="n"/>
      <c r="X44855" s="231" t="n"/>
    </row>
    <row r="44856" ht="14.25" customHeight="1" s="192">
      <c r="W44856" s="33" t="n"/>
      <c r="X44856" s="33" t="n"/>
    </row>
    <row r="44857" ht="14.25" customHeight="1" s="192">
      <c r="W44857" s="231" t="n"/>
      <c r="X44857" s="231" t="n"/>
    </row>
    <row r="44858" ht="14.25" customHeight="1" s="192">
      <c r="W44858" s="33" t="n"/>
      <c r="X44858" s="33" t="n"/>
    </row>
    <row r="44860" ht="14.25" customHeight="1" s="192">
      <c r="W44860" s="231" t="n"/>
      <c r="X44860" s="231" t="n"/>
    </row>
    <row r="44861" ht="14.25" customHeight="1" s="192">
      <c r="W44861" s="235" t="n"/>
      <c r="X44861" s="235" t="n"/>
    </row>
    <row r="44862" ht="14.25" customHeight="1" s="192">
      <c r="W44862" s="228" t="n"/>
      <c r="X44862" s="228" t="n"/>
    </row>
    <row r="44863" ht="14.25" customHeight="1" s="192">
      <c r="W44863" s="235" t="n"/>
      <c r="X44863" s="235" t="n"/>
    </row>
    <row r="44864" ht="14.25" customHeight="1" s="192">
      <c r="W44864" s="235" t="n"/>
      <c r="X44864" s="235" t="n"/>
    </row>
    <row r="44865" ht="14.25" customHeight="1" s="192">
      <c r="W44865" s="235" t="n"/>
      <c r="X44865" s="235" t="n"/>
    </row>
    <row r="44866" ht="14.25" customHeight="1" s="192">
      <c r="W44866" s="239" t="n"/>
      <c r="X44866" s="239" t="n"/>
    </row>
    <row r="44867" ht="14.25" customHeight="1" s="192">
      <c r="W44867" s="239" t="n"/>
      <c r="X44867" s="239" t="n"/>
    </row>
    <row r="44868" ht="14.25" customHeight="1" s="192">
      <c r="W44868" s="239" t="n"/>
      <c r="X44868" s="239" t="n"/>
    </row>
    <row r="44869" ht="14.25" customHeight="1" s="192">
      <c r="W44869" s="235" t="n"/>
      <c r="X44869" s="235" t="n"/>
    </row>
    <row r="44870" ht="14.25" customHeight="1" s="192">
      <c r="W44870" s="235" t="n"/>
      <c r="X44870" s="235" t="n"/>
    </row>
    <row r="44871" ht="14.25" customHeight="1" s="192">
      <c r="W44871" s="235" t="n"/>
      <c r="X44871" s="235" t="n"/>
    </row>
    <row r="44872" ht="14.25" customHeight="1" s="192">
      <c r="W44872" s="239" t="n"/>
      <c r="X44872" s="239" t="n"/>
    </row>
    <row r="44873" ht="14.25" customHeight="1" s="192">
      <c r="W44873" s="239" t="n"/>
      <c r="X44873" s="239" t="n"/>
    </row>
    <row r="44874" ht="14.25" customHeight="1" s="192">
      <c r="W44874" s="235" t="n"/>
      <c r="X44874" s="235" t="n"/>
    </row>
    <row r="44875" ht="14.25" customHeight="1" s="192">
      <c r="W44875" s="235" t="n"/>
      <c r="X44875" s="235" t="n"/>
    </row>
    <row r="44876" ht="14.25" customHeight="1" s="192">
      <c r="W44876" s="239" t="n"/>
      <c r="X44876" s="239" t="n"/>
    </row>
    <row r="44877" ht="14.25" customHeight="1" s="192">
      <c r="W44877" s="235" t="n"/>
      <c r="X44877" s="235" t="n"/>
    </row>
    <row r="44878" ht="14.25" customHeight="1" s="192">
      <c r="W44878" s="239" t="n"/>
      <c r="X44878" s="239" t="n"/>
    </row>
    <row r="44880" ht="14.25" customHeight="1" s="192">
      <c r="W44880" s="235" t="n"/>
      <c r="X44880" s="235" t="n"/>
    </row>
    <row r="44881" ht="15" customHeight="1" s="192" thickBot="1">
      <c r="W44881" s="239" t="n"/>
      <c r="X44881" s="239" t="n"/>
    </row>
    <row r="44882" ht="15" customHeight="1" s="192" thickBot="1">
      <c r="W44882" s="45" t="n"/>
      <c r="X44882" s="45" t="n"/>
    </row>
    <row r="44883" ht="14.25" customHeight="1" s="192">
      <c r="W44883" s="228" t="n"/>
      <c r="X44883" s="228" t="n"/>
    </row>
    <row r="44884" ht="14.25" customHeight="1" s="192">
      <c r="W44884" s="228" t="n"/>
      <c r="X44884" s="228" t="n"/>
    </row>
    <row r="44885" ht="14.25" customHeight="1" s="192">
      <c r="W44885" s="231" t="n"/>
      <c r="X44885" s="231" t="n"/>
    </row>
    <row r="44886" ht="14.25" customHeight="1" s="192">
      <c r="W44886" s="33" t="n"/>
      <c r="X44886" s="33" t="n"/>
    </row>
    <row r="44887" ht="14.25" customHeight="1" s="192">
      <c r="W44887" s="231" t="n"/>
      <c r="X44887" s="231" t="n"/>
    </row>
    <row r="44888" ht="14.25" customHeight="1" s="192">
      <c r="W44888" s="33" t="n"/>
      <c r="X44888" s="33" t="n"/>
    </row>
    <row r="44890" ht="14.25" customHeight="1" s="192">
      <c r="W44890" s="231" t="n"/>
      <c r="X44890" s="231" t="n"/>
    </row>
    <row r="44891" ht="14.25" customHeight="1" s="192">
      <c r="W44891" s="235" t="n"/>
      <c r="X44891" s="235" t="n"/>
    </row>
    <row r="44892" ht="14.25" customHeight="1" s="192">
      <c r="W44892" s="228" t="n"/>
      <c r="X44892" s="228" t="n"/>
    </row>
    <row r="44893" ht="14.25" customHeight="1" s="192">
      <c r="W44893" s="235" t="n"/>
      <c r="X44893" s="235" t="n"/>
    </row>
    <row r="44894" ht="14.25" customHeight="1" s="192">
      <c r="W44894" s="235" t="n"/>
      <c r="X44894" s="235" t="n"/>
    </row>
    <row r="44895" ht="14.25" customHeight="1" s="192">
      <c r="W44895" s="235" t="n"/>
      <c r="X44895" s="235" t="n"/>
    </row>
    <row r="44896" ht="14.25" customHeight="1" s="192">
      <c r="W44896" s="239" t="n"/>
      <c r="X44896" s="239" t="n"/>
    </row>
    <row r="44897" ht="14.25" customHeight="1" s="192">
      <c r="W44897" s="239" t="n"/>
      <c r="X44897" s="239" t="n"/>
    </row>
    <row r="44898" ht="14.25" customHeight="1" s="192">
      <c r="W44898" s="239" t="n"/>
      <c r="X44898" s="239" t="n"/>
    </row>
    <row r="44899" ht="14.25" customHeight="1" s="192">
      <c r="W44899" s="235" t="n"/>
      <c r="X44899" s="235" t="n"/>
    </row>
    <row r="44900" ht="14.25" customHeight="1" s="192">
      <c r="W44900" s="235" t="n"/>
      <c r="X44900" s="235" t="n"/>
    </row>
    <row r="44901" ht="14.25" customHeight="1" s="192">
      <c r="W44901" s="235" t="n"/>
      <c r="X44901" s="235" t="n"/>
    </row>
    <row r="44902" ht="14.25" customHeight="1" s="192">
      <c r="W44902" s="239" t="n"/>
      <c r="X44902" s="239" t="n"/>
    </row>
    <row r="44903" ht="14.25" customHeight="1" s="192">
      <c r="W44903" s="239" t="n"/>
      <c r="X44903" s="239" t="n"/>
    </row>
    <row r="44904" ht="14.25" customHeight="1" s="192">
      <c r="W44904" s="235" t="n"/>
      <c r="X44904" s="235" t="n"/>
    </row>
    <row r="44905" ht="14.25" customHeight="1" s="192">
      <c r="W44905" s="235" t="n"/>
      <c r="X44905" s="235" t="n"/>
    </row>
    <row r="44906" ht="14.25" customHeight="1" s="192">
      <c r="W44906" s="239" t="n"/>
      <c r="X44906" s="239" t="n"/>
    </row>
    <row r="44907" ht="14.25" customHeight="1" s="192">
      <c r="W44907" s="235" t="n"/>
      <c r="X44907" s="235" t="n"/>
    </row>
    <row r="44908" ht="14.25" customHeight="1" s="192">
      <c r="W44908" s="239" t="n"/>
      <c r="X44908" s="239" t="n"/>
    </row>
    <row r="44910" ht="14.25" customHeight="1" s="192">
      <c r="W44910" s="235" t="n"/>
      <c r="X44910" s="235" t="n"/>
    </row>
    <row r="44911" ht="15" customHeight="1" s="192" thickBot="1">
      <c r="W44911" s="239" t="n"/>
      <c r="X44911" s="239" t="n"/>
    </row>
    <row r="44912" ht="15" customHeight="1" s="192" thickBot="1">
      <c r="W44912" s="45" t="n"/>
      <c r="X44912" s="45" t="n"/>
    </row>
    <row r="44913" ht="14.25" customHeight="1" s="192">
      <c r="W44913" s="228" t="n"/>
      <c r="X44913" s="228" t="n"/>
    </row>
    <row r="44914" ht="14.25" customHeight="1" s="192">
      <c r="W44914" s="228" t="n"/>
      <c r="X44914" s="228" t="n"/>
    </row>
    <row r="44915" ht="14.25" customHeight="1" s="192">
      <c r="W44915" s="231" t="n"/>
      <c r="X44915" s="231" t="n"/>
    </row>
    <row r="44916" ht="14.25" customHeight="1" s="192">
      <c r="W44916" s="33" t="n"/>
      <c r="X44916" s="33" t="n"/>
    </row>
    <row r="44917" ht="14.25" customHeight="1" s="192">
      <c r="W44917" s="231" t="n"/>
      <c r="X44917" s="231" t="n"/>
    </row>
    <row r="44918" ht="14.25" customHeight="1" s="192">
      <c r="W44918" s="33" t="n"/>
      <c r="X44918" s="33" t="n"/>
    </row>
    <row r="44920" ht="14.25" customHeight="1" s="192">
      <c r="W44920" s="231" t="n"/>
      <c r="X44920" s="231" t="n"/>
    </row>
    <row r="44921" ht="14.25" customHeight="1" s="192">
      <c r="W44921" s="235" t="n"/>
      <c r="X44921" s="235" t="n"/>
    </row>
    <row r="44922" ht="14.25" customHeight="1" s="192">
      <c r="W44922" s="228" t="n"/>
      <c r="X44922" s="228" t="n"/>
    </row>
    <row r="44923" ht="14.25" customHeight="1" s="192">
      <c r="W44923" s="235" t="n"/>
      <c r="X44923" s="235" t="n"/>
    </row>
    <row r="44924" ht="14.25" customHeight="1" s="192">
      <c r="W44924" s="235" t="n"/>
      <c r="X44924" s="235" t="n"/>
    </row>
    <row r="44925" ht="14.25" customHeight="1" s="192">
      <c r="W44925" s="235" t="n"/>
      <c r="X44925" s="235" t="n"/>
    </row>
    <row r="44926" ht="14.25" customHeight="1" s="192">
      <c r="W44926" s="239" t="n"/>
      <c r="X44926" s="239" t="n"/>
    </row>
    <row r="44927" ht="14.25" customHeight="1" s="192">
      <c r="W44927" s="239" t="n"/>
      <c r="X44927" s="239" t="n"/>
    </row>
    <row r="44928" ht="14.25" customHeight="1" s="192">
      <c r="W44928" s="239" t="n"/>
      <c r="X44928" s="239" t="n"/>
    </row>
    <row r="44929" ht="14.25" customHeight="1" s="192">
      <c r="W44929" s="235" t="n"/>
      <c r="X44929" s="235" t="n"/>
    </row>
    <row r="44930" ht="14.25" customHeight="1" s="192">
      <c r="W44930" s="235" t="n"/>
      <c r="X44930" s="235" t="n"/>
    </row>
    <row r="44931" ht="14.25" customHeight="1" s="192">
      <c r="W44931" s="235" t="n"/>
      <c r="X44931" s="235" t="n"/>
    </row>
    <row r="44932" ht="14.25" customHeight="1" s="192">
      <c r="W44932" s="239" t="n"/>
      <c r="X44932" s="239" t="n"/>
    </row>
    <row r="44933" ht="14.25" customHeight="1" s="192">
      <c r="W44933" s="239" t="n"/>
      <c r="X44933" s="239" t="n"/>
    </row>
    <row r="44934" ht="14.25" customHeight="1" s="192">
      <c r="W44934" s="235" t="n"/>
      <c r="X44934" s="235" t="n"/>
    </row>
    <row r="44935" ht="14.25" customHeight="1" s="192">
      <c r="W44935" s="235" t="n"/>
      <c r="X44935" s="235" t="n"/>
    </row>
    <row r="44936" ht="14.25" customHeight="1" s="192">
      <c r="W44936" s="239" t="n"/>
      <c r="X44936" s="239" t="n"/>
    </row>
    <row r="44937" ht="14.25" customHeight="1" s="192">
      <c r="W44937" s="235" t="n"/>
      <c r="X44937" s="235" t="n"/>
    </row>
    <row r="44938" ht="14.25" customHeight="1" s="192">
      <c r="W44938" s="239" t="n"/>
      <c r="X44938" s="239" t="n"/>
    </row>
    <row r="44940" ht="14.25" customHeight="1" s="192">
      <c r="W44940" s="235" t="n"/>
      <c r="X44940" s="235" t="n"/>
    </row>
    <row r="44941" ht="15" customHeight="1" s="192" thickBot="1">
      <c r="W44941" s="239" t="n"/>
      <c r="X44941" s="239" t="n"/>
    </row>
    <row r="44942" ht="15" customHeight="1" s="192" thickBot="1">
      <c r="W44942" s="45" t="n"/>
      <c r="X44942" s="45" t="n"/>
    </row>
    <row r="44943" ht="14.25" customHeight="1" s="192">
      <c r="W44943" s="228" t="n"/>
      <c r="X44943" s="228" t="n"/>
    </row>
    <row r="44944" ht="14.25" customHeight="1" s="192">
      <c r="W44944" s="228" t="n"/>
      <c r="X44944" s="228" t="n"/>
    </row>
    <row r="44945" ht="14.25" customHeight="1" s="192">
      <c r="W44945" s="231" t="n"/>
      <c r="X44945" s="231" t="n"/>
    </row>
    <row r="44946" ht="14.25" customHeight="1" s="192">
      <c r="W44946" s="33" t="n"/>
      <c r="X44946" s="33" t="n"/>
    </row>
    <row r="44947" ht="14.25" customHeight="1" s="192">
      <c r="W44947" s="231" t="n"/>
      <c r="X44947" s="231" t="n"/>
    </row>
    <row r="44948" ht="14.25" customHeight="1" s="192">
      <c r="W44948" s="33" t="n"/>
      <c r="X44948" s="33" t="n"/>
    </row>
    <row r="44950" ht="14.25" customHeight="1" s="192">
      <c r="W44950" s="231" t="n"/>
      <c r="X44950" s="231" t="n"/>
    </row>
    <row r="44951" ht="14.25" customHeight="1" s="192">
      <c r="W44951" s="235" t="n"/>
      <c r="X44951" s="235" t="n"/>
    </row>
    <row r="44952" ht="14.25" customHeight="1" s="192">
      <c r="W44952" s="228" t="n"/>
      <c r="X44952" s="228" t="n"/>
    </row>
    <row r="44953" ht="14.25" customHeight="1" s="192">
      <c r="W44953" s="235" t="n"/>
      <c r="X44953" s="235" t="n"/>
    </row>
    <row r="44954" ht="14.25" customHeight="1" s="192">
      <c r="W44954" s="235" t="n"/>
      <c r="X44954" s="235" t="n"/>
    </row>
    <row r="44955" ht="14.25" customHeight="1" s="192">
      <c r="W44955" s="235" t="n"/>
      <c r="X44955" s="235" t="n"/>
    </row>
    <row r="44956" ht="14.25" customHeight="1" s="192">
      <c r="W44956" s="239" t="n"/>
      <c r="X44956" s="239" t="n"/>
    </row>
    <row r="44957" ht="14.25" customHeight="1" s="192">
      <c r="W44957" s="239" t="n"/>
      <c r="X44957" s="239" t="n"/>
    </row>
    <row r="44958" ht="14.25" customHeight="1" s="192">
      <c r="W44958" s="239" t="n"/>
      <c r="X44958" s="239" t="n"/>
    </row>
    <row r="44959" ht="14.25" customHeight="1" s="192">
      <c r="W44959" s="235" t="n"/>
      <c r="X44959" s="235" t="n"/>
    </row>
    <row r="44960" ht="14.25" customHeight="1" s="192">
      <c r="W44960" s="235" t="n"/>
      <c r="X44960" s="235" t="n"/>
    </row>
    <row r="44961" ht="14.25" customHeight="1" s="192">
      <c r="W44961" s="235" t="n"/>
      <c r="X44961" s="235" t="n"/>
    </row>
    <row r="44962" ht="14.25" customHeight="1" s="192">
      <c r="W44962" s="239" t="n"/>
      <c r="X44962" s="239" t="n"/>
    </row>
    <row r="44963" ht="14.25" customHeight="1" s="192">
      <c r="W44963" s="239" t="n"/>
      <c r="X44963" s="239" t="n"/>
    </row>
    <row r="44964" ht="14.25" customHeight="1" s="192">
      <c r="W44964" s="235" t="n"/>
      <c r="X44964" s="235" t="n"/>
    </row>
    <row r="44965" ht="14.25" customHeight="1" s="192">
      <c r="W44965" s="235" t="n"/>
      <c r="X44965" s="235" t="n"/>
    </row>
    <row r="44966" ht="14.25" customHeight="1" s="192">
      <c r="W44966" s="239" t="n"/>
      <c r="X44966" s="239" t="n"/>
    </row>
    <row r="44967" ht="14.25" customHeight="1" s="192">
      <c r="W44967" s="235" t="n"/>
      <c r="X44967" s="235" t="n"/>
    </row>
    <row r="44968" ht="14.25" customHeight="1" s="192">
      <c r="W44968" s="239" t="n"/>
      <c r="X44968" s="239" t="n"/>
    </row>
    <row r="44970" ht="14.25" customHeight="1" s="192">
      <c r="W44970" s="235" t="n"/>
      <c r="X44970" s="235" t="n"/>
    </row>
    <row r="44971" ht="15" customHeight="1" s="192" thickBot="1">
      <c r="W44971" s="239" t="n"/>
      <c r="X44971" s="239" t="n"/>
    </row>
    <row r="44972" ht="15" customHeight="1" s="192" thickBot="1">
      <c r="W44972" s="45" t="n"/>
      <c r="X44972" s="45" t="n"/>
    </row>
    <row r="44973" ht="14.25" customHeight="1" s="192">
      <c r="W44973" s="228" t="n"/>
      <c r="X44973" s="228" t="n"/>
    </row>
    <row r="44974" ht="14.25" customHeight="1" s="192">
      <c r="W44974" s="228" t="n"/>
      <c r="X44974" s="228" t="n"/>
    </row>
    <row r="44975" ht="14.25" customHeight="1" s="192">
      <c r="W44975" s="231" t="n"/>
      <c r="X44975" s="231" t="n"/>
    </row>
    <row r="44976" ht="14.25" customHeight="1" s="192">
      <c r="W44976" s="33" t="n"/>
      <c r="X44976" s="33" t="n"/>
    </row>
    <row r="44977" ht="14.25" customHeight="1" s="192">
      <c r="W44977" s="231" t="n"/>
      <c r="X44977" s="231" t="n"/>
    </row>
    <row r="44978" ht="14.25" customHeight="1" s="192">
      <c r="W44978" s="33" t="n"/>
      <c r="X44978" s="33" t="n"/>
    </row>
    <row r="44980" ht="14.25" customHeight="1" s="192">
      <c r="W44980" s="231" t="n"/>
      <c r="X44980" s="231" t="n"/>
    </row>
    <row r="44981" ht="14.25" customHeight="1" s="192">
      <c r="W44981" s="235" t="n"/>
      <c r="X44981" s="235" t="n"/>
    </row>
    <row r="44982" ht="14.25" customHeight="1" s="192">
      <c r="W44982" s="228" t="n"/>
      <c r="X44982" s="228" t="n"/>
    </row>
    <row r="44983" ht="14.25" customHeight="1" s="192">
      <c r="W44983" s="235" t="n"/>
      <c r="X44983" s="235" t="n"/>
    </row>
    <row r="44984" ht="14.25" customHeight="1" s="192">
      <c r="W44984" s="235" t="n"/>
      <c r="X44984" s="235" t="n"/>
    </row>
    <row r="44985" ht="14.25" customHeight="1" s="192">
      <c r="W44985" s="235" t="n"/>
      <c r="X44985" s="235" t="n"/>
    </row>
    <row r="44986" ht="14.25" customHeight="1" s="192">
      <c r="W44986" s="239" t="n"/>
      <c r="X44986" s="239" t="n"/>
    </row>
    <row r="44987" ht="14.25" customHeight="1" s="192">
      <c r="W44987" s="239" t="n"/>
      <c r="X44987" s="239" t="n"/>
    </row>
    <row r="44988" ht="14.25" customHeight="1" s="192">
      <c r="W44988" s="239" t="n"/>
      <c r="X44988" s="239" t="n"/>
    </row>
    <row r="44989" ht="14.25" customHeight="1" s="192">
      <c r="W44989" s="235" t="n"/>
      <c r="X44989" s="235" t="n"/>
    </row>
    <row r="44990" ht="14.25" customHeight="1" s="192">
      <c r="W44990" s="235" t="n"/>
      <c r="X44990" s="235" t="n"/>
    </row>
    <row r="44991" ht="14.25" customHeight="1" s="192">
      <c r="W44991" s="235" t="n"/>
      <c r="X44991" s="235" t="n"/>
    </row>
    <row r="44992" ht="14.25" customHeight="1" s="192">
      <c r="W44992" s="239" t="n"/>
      <c r="X44992" s="239" t="n"/>
    </row>
    <row r="44993" ht="14.25" customHeight="1" s="192">
      <c r="W44993" s="239" t="n"/>
      <c r="X44993" s="239" t="n"/>
    </row>
    <row r="44994" ht="14.25" customHeight="1" s="192">
      <c r="W44994" s="235" t="n"/>
      <c r="X44994" s="235" t="n"/>
    </row>
    <row r="44995" ht="14.25" customHeight="1" s="192">
      <c r="W44995" s="235" t="n"/>
      <c r="X44995" s="235" t="n"/>
    </row>
    <row r="44996" ht="14.25" customHeight="1" s="192">
      <c r="W44996" s="239" t="n"/>
      <c r="X44996" s="239" t="n"/>
    </row>
    <row r="44997" ht="14.25" customHeight="1" s="192">
      <c r="W44997" s="235" t="n"/>
      <c r="X44997" s="235" t="n"/>
    </row>
    <row r="44998" ht="14.25" customHeight="1" s="192">
      <c r="W44998" s="239" t="n"/>
      <c r="X44998" s="239" t="n"/>
    </row>
    <row r="45000" ht="14.25" customHeight="1" s="192">
      <c r="W45000" s="235" t="n"/>
      <c r="X45000" s="235" t="n"/>
    </row>
    <row r="45001" ht="15" customHeight="1" s="192" thickBot="1">
      <c r="W45001" s="239" t="n"/>
      <c r="X45001" s="239" t="n"/>
    </row>
    <row r="45002" ht="15" customHeight="1" s="192" thickBot="1">
      <c r="W45002" s="45" t="n"/>
      <c r="X45002" s="45" t="n"/>
    </row>
    <row r="45003" ht="14.25" customHeight="1" s="192">
      <c r="W45003" s="228" t="n"/>
      <c r="X45003" s="228" t="n"/>
    </row>
    <row r="45004" ht="14.25" customHeight="1" s="192">
      <c r="W45004" s="228" t="n"/>
      <c r="X45004" s="228" t="n"/>
    </row>
    <row r="45005" ht="14.25" customHeight="1" s="192">
      <c r="W45005" s="231" t="n"/>
      <c r="X45005" s="231" t="n"/>
    </row>
    <row r="45006" ht="14.25" customHeight="1" s="192">
      <c r="W45006" s="33" t="n"/>
      <c r="X45006" s="33" t="n"/>
    </row>
    <row r="45007" ht="14.25" customHeight="1" s="192">
      <c r="W45007" s="231" t="n"/>
      <c r="X45007" s="231" t="n"/>
    </row>
    <row r="45008" ht="14.25" customHeight="1" s="192">
      <c r="W45008" s="33" t="n"/>
      <c r="X45008" s="33" t="n"/>
    </row>
    <row r="45010" ht="14.25" customHeight="1" s="192">
      <c r="W45010" s="231" t="n"/>
      <c r="X45010" s="231" t="n"/>
    </row>
    <row r="45011" ht="14.25" customHeight="1" s="192">
      <c r="W45011" s="235" t="n"/>
      <c r="X45011" s="235" t="n"/>
    </row>
    <row r="45012" ht="14.25" customHeight="1" s="192">
      <c r="W45012" s="228" t="n"/>
      <c r="X45012" s="228" t="n"/>
    </row>
    <row r="45013" ht="14.25" customHeight="1" s="192">
      <c r="W45013" s="235" t="n"/>
      <c r="X45013" s="235" t="n"/>
    </row>
    <row r="45014" ht="14.25" customHeight="1" s="192">
      <c r="W45014" s="235" t="n"/>
      <c r="X45014" s="235" t="n"/>
    </row>
    <row r="45015" ht="14.25" customHeight="1" s="192">
      <c r="W45015" s="235" t="n"/>
      <c r="X45015" s="235" t="n"/>
    </row>
    <row r="45016" ht="14.25" customHeight="1" s="192">
      <c r="W45016" s="239" t="n"/>
      <c r="X45016" s="239" t="n"/>
    </row>
    <row r="45017" ht="14.25" customHeight="1" s="192">
      <c r="W45017" s="239" t="n"/>
      <c r="X45017" s="239" t="n"/>
    </row>
    <row r="45018" ht="14.25" customHeight="1" s="192">
      <c r="W45018" s="239" t="n"/>
      <c r="X45018" s="239" t="n"/>
    </row>
    <row r="45019" ht="14.25" customHeight="1" s="192">
      <c r="W45019" s="235" t="n"/>
      <c r="X45019" s="235" t="n"/>
    </row>
    <row r="45020" ht="14.25" customHeight="1" s="192">
      <c r="W45020" s="235" t="n"/>
      <c r="X45020" s="235" t="n"/>
    </row>
    <row r="45021" ht="14.25" customHeight="1" s="192">
      <c r="W45021" s="235" t="n"/>
      <c r="X45021" s="235" t="n"/>
    </row>
    <row r="45022" ht="14.25" customHeight="1" s="192">
      <c r="W45022" s="239" t="n"/>
      <c r="X45022" s="239" t="n"/>
    </row>
    <row r="45023" ht="14.25" customHeight="1" s="192">
      <c r="W45023" s="239" t="n"/>
      <c r="X45023" s="239" t="n"/>
    </row>
    <row r="45024" ht="14.25" customHeight="1" s="192">
      <c r="W45024" s="235" t="n"/>
      <c r="X45024" s="235" t="n"/>
    </row>
    <row r="45025" ht="14.25" customHeight="1" s="192">
      <c r="W45025" s="235" t="n"/>
      <c r="X45025" s="235" t="n"/>
    </row>
    <row r="45026" ht="14.25" customHeight="1" s="192">
      <c r="W45026" s="239" t="n"/>
      <c r="X45026" s="239" t="n"/>
    </row>
    <row r="45027" ht="14.25" customHeight="1" s="192">
      <c r="W45027" s="235" t="n"/>
      <c r="X45027" s="235" t="n"/>
    </row>
    <row r="45028" ht="14.25" customHeight="1" s="192">
      <c r="W45028" s="239" t="n"/>
      <c r="X45028" s="239" t="n"/>
    </row>
    <row r="45030" ht="14.25" customHeight="1" s="192">
      <c r="W45030" s="235" t="n"/>
      <c r="X45030" s="235" t="n"/>
    </row>
    <row r="45031" ht="15" customHeight="1" s="192" thickBot="1">
      <c r="W45031" s="239" t="n"/>
      <c r="X45031" s="239" t="n"/>
    </row>
    <row r="45032" ht="15" customHeight="1" s="192" thickBot="1">
      <c r="W45032" s="45" t="n"/>
      <c r="X45032" s="45" t="n"/>
    </row>
    <row r="45033" ht="14.25" customHeight="1" s="192">
      <c r="W45033" s="228" t="n"/>
      <c r="X45033" s="228" t="n"/>
    </row>
    <row r="45034" ht="14.25" customHeight="1" s="192">
      <c r="W45034" s="228" t="n"/>
      <c r="X45034" s="228" t="n"/>
    </row>
    <row r="45035" ht="14.25" customHeight="1" s="192">
      <c r="W45035" s="231" t="n"/>
      <c r="X45035" s="231" t="n"/>
    </row>
    <row r="45036" ht="14.25" customHeight="1" s="192">
      <c r="W45036" s="33" t="n"/>
      <c r="X45036" s="33" t="n"/>
    </row>
    <row r="45037" ht="14.25" customHeight="1" s="192">
      <c r="W45037" s="231" t="n"/>
      <c r="X45037" s="231" t="n"/>
    </row>
    <row r="45038" ht="14.25" customHeight="1" s="192">
      <c r="W45038" s="33" t="n"/>
      <c r="X45038" s="33" t="n"/>
    </row>
    <row r="45040" ht="14.25" customHeight="1" s="192">
      <c r="W45040" s="231" t="n"/>
      <c r="X45040" s="231" t="n"/>
    </row>
    <row r="45041" ht="14.25" customHeight="1" s="192">
      <c r="W45041" s="235" t="n"/>
      <c r="X45041" s="235" t="n"/>
    </row>
    <row r="45042" ht="14.25" customHeight="1" s="192">
      <c r="W45042" s="228" t="n"/>
      <c r="X45042" s="228" t="n"/>
    </row>
    <row r="45043" ht="14.25" customHeight="1" s="192">
      <c r="W45043" s="235" t="n"/>
      <c r="X45043" s="235" t="n"/>
    </row>
    <row r="45044" ht="14.25" customHeight="1" s="192">
      <c r="W45044" s="235" t="n"/>
      <c r="X45044" s="235" t="n"/>
    </row>
    <row r="45045" ht="14.25" customHeight="1" s="192">
      <c r="W45045" s="235" t="n"/>
      <c r="X45045" s="235" t="n"/>
    </row>
    <row r="45046" ht="14.25" customHeight="1" s="192">
      <c r="W45046" s="239" t="n"/>
      <c r="X45046" s="239" t="n"/>
    </row>
    <row r="45047" ht="14.25" customHeight="1" s="192">
      <c r="W45047" s="239" t="n"/>
      <c r="X45047" s="239" t="n"/>
    </row>
    <row r="45048" ht="14.25" customHeight="1" s="192">
      <c r="W45048" s="239" t="n"/>
      <c r="X45048" s="239" t="n"/>
    </row>
    <row r="45049" ht="14.25" customHeight="1" s="192">
      <c r="W45049" s="235" t="n"/>
      <c r="X45049" s="235" t="n"/>
    </row>
    <row r="45050" ht="14.25" customHeight="1" s="192">
      <c r="W45050" s="235" t="n"/>
      <c r="X45050" s="235" t="n"/>
    </row>
    <row r="45051" ht="14.25" customHeight="1" s="192">
      <c r="W45051" s="235" t="n"/>
      <c r="X45051" s="235" t="n"/>
    </row>
    <row r="45052" ht="14.25" customHeight="1" s="192">
      <c r="W45052" s="239" t="n"/>
      <c r="X45052" s="239" t="n"/>
    </row>
    <row r="45053" ht="14.25" customHeight="1" s="192">
      <c r="W45053" s="239" t="n"/>
      <c r="X45053" s="239" t="n"/>
    </row>
    <row r="45054" ht="14.25" customHeight="1" s="192">
      <c r="W45054" s="235" t="n"/>
      <c r="X45054" s="235" t="n"/>
    </row>
    <row r="45055" ht="14.25" customHeight="1" s="192">
      <c r="W45055" s="235" t="n"/>
      <c r="X45055" s="235" t="n"/>
    </row>
    <row r="45056" ht="14.25" customHeight="1" s="192">
      <c r="W45056" s="239" t="n"/>
      <c r="X45056" s="239" t="n"/>
    </row>
    <row r="45057" ht="14.25" customHeight="1" s="192">
      <c r="W45057" s="235" t="n"/>
      <c r="X45057" s="235" t="n"/>
    </row>
    <row r="45058" ht="14.25" customHeight="1" s="192">
      <c r="W45058" s="239" t="n"/>
      <c r="X45058" s="239" t="n"/>
    </row>
    <row r="45060" ht="14.25" customHeight="1" s="192">
      <c r="W45060" s="235" t="n"/>
      <c r="X45060" s="235" t="n"/>
    </row>
    <row r="45061" ht="15" customHeight="1" s="192" thickBot="1">
      <c r="W45061" s="239" t="n"/>
      <c r="X45061" s="239" t="n"/>
    </row>
    <row r="45062" ht="15" customHeight="1" s="192" thickBot="1">
      <c r="W45062" s="45" t="n"/>
      <c r="X45062" s="45" t="n"/>
    </row>
    <row r="45063" ht="14.25" customHeight="1" s="192">
      <c r="W45063" s="228" t="n"/>
      <c r="X45063" s="228" t="n"/>
    </row>
    <row r="45064" ht="14.25" customHeight="1" s="192">
      <c r="W45064" s="228" t="n"/>
      <c r="X45064" s="228" t="n"/>
    </row>
    <row r="45065" ht="14.25" customHeight="1" s="192">
      <c r="W45065" s="231" t="n"/>
      <c r="X45065" s="231" t="n"/>
    </row>
    <row r="45066" ht="14.25" customHeight="1" s="192">
      <c r="W45066" s="33" t="n"/>
      <c r="X45066" s="33" t="n"/>
    </row>
    <row r="45067" ht="14.25" customHeight="1" s="192">
      <c r="W45067" s="231" t="n"/>
      <c r="X45067" s="231" t="n"/>
    </row>
    <row r="45068" ht="14.25" customHeight="1" s="192">
      <c r="W45068" s="33" t="n"/>
      <c r="X45068" s="33" t="n"/>
    </row>
    <row r="45070" ht="14.25" customHeight="1" s="192">
      <c r="W45070" s="231" t="n"/>
      <c r="X45070" s="231" t="n"/>
    </row>
    <row r="45071" ht="14.25" customHeight="1" s="192">
      <c r="W45071" s="235" t="n"/>
      <c r="X45071" s="235" t="n"/>
    </row>
    <row r="45072" ht="14.25" customHeight="1" s="192">
      <c r="W45072" s="228" t="n"/>
      <c r="X45072" s="228" t="n"/>
    </row>
    <row r="45073" ht="14.25" customHeight="1" s="192">
      <c r="W45073" s="235" t="n"/>
      <c r="X45073" s="235" t="n"/>
    </row>
    <row r="45074" ht="14.25" customHeight="1" s="192">
      <c r="W45074" s="235" t="n"/>
      <c r="X45074" s="235" t="n"/>
    </row>
    <row r="45075" ht="14.25" customHeight="1" s="192">
      <c r="W45075" s="235" t="n"/>
      <c r="X45075" s="235" t="n"/>
    </row>
    <row r="45076" ht="14.25" customHeight="1" s="192">
      <c r="W45076" s="239" t="n"/>
      <c r="X45076" s="239" t="n"/>
    </row>
    <row r="45077" ht="14.25" customHeight="1" s="192">
      <c r="W45077" s="239" t="n"/>
      <c r="X45077" s="239" t="n"/>
    </row>
    <row r="45078" ht="14.25" customHeight="1" s="192">
      <c r="W45078" s="239" t="n"/>
      <c r="X45078" s="239" t="n"/>
    </row>
    <row r="45079" ht="14.25" customHeight="1" s="192">
      <c r="W45079" s="235" t="n"/>
      <c r="X45079" s="235" t="n"/>
    </row>
    <row r="45080" ht="14.25" customHeight="1" s="192">
      <c r="W45080" s="235" t="n"/>
      <c r="X45080" s="235" t="n"/>
    </row>
    <row r="45081" ht="14.25" customHeight="1" s="192">
      <c r="W45081" s="235" t="n"/>
      <c r="X45081" s="235" t="n"/>
    </row>
    <row r="45082" ht="14.25" customHeight="1" s="192">
      <c r="W45082" s="239" t="n"/>
      <c r="X45082" s="239" t="n"/>
    </row>
    <row r="45083" ht="14.25" customHeight="1" s="192">
      <c r="W45083" s="239" t="n"/>
      <c r="X45083" s="239" t="n"/>
    </row>
    <row r="45084" ht="14.25" customHeight="1" s="192">
      <c r="W45084" s="235" t="n"/>
      <c r="X45084" s="235" t="n"/>
    </row>
    <row r="45085" ht="14.25" customHeight="1" s="192">
      <c r="W45085" s="235" t="n"/>
      <c r="X45085" s="235" t="n"/>
    </row>
    <row r="45086" ht="14.25" customHeight="1" s="192">
      <c r="W45086" s="239" t="n"/>
      <c r="X45086" s="239" t="n"/>
    </row>
    <row r="45087" ht="14.25" customHeight="1" s="192">
      <c r="W45087" s="235" t="n"/>
      <c r="X45087" s="235" t="n"/>
    </row>
    <row r="45088" ht="14.25" customHeight="1" s="192">
      <c r="W45088" s="239" t="n"/>
      <c r="X45088" s="239" t="n"/>
    </row>
    <row r="45090" ht="14.25" customHeight="1" s="192">
      <c r="W45090" s="235" t="n"/>
      <c r="X45090" s="235" t="n"/>
    </row>
    <row r="45091" ht="15" customHeight="1" s="192" thickBot="1">
      <c r="W45091" s="239" t="n"/>
      <c r="X45091" s="239" t="n"/>
    </row>
    <row r="45092" ht="15" customHeight="1" s="192" thickBot="1">
      <c r="W45092" s="45" t="n"/>
      <c r="X45092" s="45" t="n"/>
    </row>
    <row r="45093" ht="14.25" customHeight="1" s="192">
      <c r="W45093" s="228" t="n"/>
      <c r="X45093" s="228" t="n"/>
    </row>
    <row r="45094" ht="14.25" customHeight="1" s="192">
      <c r="W45094" s="228" t="n"/>
      <c r="X45094" s="228" t="n"/>
    </row>
    <row r="45095" ht="14.25" customHeight="1" s="192">
      <c r="W45095" s="231" t="n"/>
      <c r="X45095" s="231" t="n"/>
    </row>
    <row r="45096" ht="14.25" customHeight="1" s="192">
      <c r="W45096" s="33" t="n"/>
      <c r="X45096" s="33" t="n"/>
    </row>
    <row r="45097" ht="14.25" customHeight="1" s="192">
      <c r="W45097" s="231" t="n"/>
      <c r="X45097" s="231" t="n"/>
    </row>
    <row r="45098" ht="14.25" customHeight="1" s="192">
      <c r="W45098" s="33" t="n"/>
      <c r="X45098" s="33" t="n"/>
    </row>
    <row r="45100" ht="14.25" customHeight="1" s="192">
      <c r="W45100" s="231" t="n"/>
      <c r="X45100" s="231" t="n"/>
    </row>
    <row r="45101" ht="14.25" customHeight="1" s="192">
      <c r="W45101" s="235" t="n"/>
      <c r="X45101" s="235" t="n"/>
    </row>
    <row r="45102" ht="14.25" customHeight="1" s="192">
      <c r="W45102" s="228" t="n"/>
      <c r="X45102" s="228" t="n"/>
    </row>
    <row r="45103" ht="14.25" customHeight="1" s="192">
      <c r="W45103" s="235" t="n"/>
      <c r="X45103" s="235" t="n"/>
    </row>
    <row r="45104" ht="14.25" customHeight="1" s="192">
      <c r="W45104" s="235" t="n"/>
      <c r="X45104" s="235" t="n"/>
    </row>
    <row r="45105" ht="14.25" customHeight="1" s="192">
      <c r="W45105" s="235" t="n"/>
      <c r="X45105" s="235" t="n"/>
    </row>
    <row r="45106" ht="14.25" customHeight="1" s="192">
      <c r="W45106" s="239" t="n"/>
      <c r="X45106" s="239" t="n"/>
    </row>
    <row r="45107" ht="14.25" customHeight="1" s="192">
      <c r="W45107" s="239" t="n"/>
      <c r="X45107" s="239" t="n"/>
    </row>
    <row r="45108" ht="14.25" customHeight="1" s="192">
      <c r="W45108" s="239" t="n"/>
      <c r="X45108" s="239" t="n"/>
    </row>
    <row r="45109" ht="14.25" customHeight="1" s="192">
      <c r="W45109" s="235" t="n"/>
      <c r="X45109" s="235" t="n"/>
    </row>
    <row r="45110" ht="14.25" customHeight="1" s="192">
      <c r="W45110" s="235" t="n"/>
      <c r="X45110" s="235" t="n"/>
    </row>
    <row r="45111" ht="14.25" customHeight="1" s="192">
      <c r="W45111" s="235" t="n"/>
      <c r="X45111" s="235" t="n"/>
    </row>
    <row r="45112" ht="14.25" customHeight="1" s="192">
      <c r="W45112" s="239" t="n"/>
      <c r="X45112" s="239" t="n"/>
    </row>
    <row r="45113" ht="14.25" customHeight="1" s="192">
      <c r="W45113" s="239" t="n"/>
      <c r="X45113" s="239" t="n"/>
    </row>
    <row r="45114" ht="14.25" customHeight="1" s="192">
      <c r="W45114" s="235" t="n"/>
      <c r="X45114" s="235" t="n"/>
    </row>
    <row r="45115" ht="14.25" customHeight="1" s="192">
      <c r="W45115" s="235" t="n"/>
      <c r="X45115" s="235" t="n"/>
    </row>
    <row r="45116" ht="14.25" customHeight="1" s="192">
      <c r="W45116" s="239" t="n"/>
      <c r="X45116" s="239" t="n"/>
    </row>
    <row r="45117" ht="14.25" customHeight="1" s="192">
      <c r="W45117" s="235" t="n"/>
      <c r="X45117" s="235" t="n"/>
    </row>
    <row r="45118" ht="14.25" customHeight="1" s="192">
      <c r="W45118" s="239" t="n"/>
      <c r="X45118" s="239" t="n"/>
    </row>
    <row r="45120" ht="14.25" customHeight="1" s="192">
      <c r="W45120" s="235" t="n"/>
      <c r="X45120" s="235" t="n"/>
    </row>
    <row r="45121" ht="15" customHeight="1" s="192" thickBot="1">
      <c r="W45121" s="239" t="n"/>
      <c r="X45121" s="239" t="n"/>
    </row>
    <row r="45122" ht="15" customHeight="1" s="192" thickBot="1">
      <c r="W45122" s="45" t="n"/>
      <c r="X45122" s="45" t="n"/>
    </row>
    <row r="45123" ht="14.25" customHeight="1" s="192">
      <c r="W45123" s="228" t="n"/>
      <c r="X45123" s="228" t="n"/>
    </row>
    <row r="45124" ht="14.25" customHeight="1" s="192">
      <c r="W45124" s="228" t="n"/>
      <c r="X45124" s="228" t="n"/>
    </row>
    <row r="45125" ht="14.25" customHeight="1" s="192">
      <c r="W45125" s="231" t="n"/>
      <c r="X45125" s="231" t="n"/>
    </row>
    <row r="45126" ht="14.25" customHeight="1" s="192">
      <c r="W45126" s="33" t="n"/>
      <c r="X45126" s="33" t="n"/>
    </row>
    <row r="45127" ht="14.25" customHeight="1" s="192">
      <c r="W45127" s="231" t="n"/>
      <c r="X45127" s="231" t="n"/>
    </row>
    <row r="45128" ht="14.25" customHeight="1" s="192">
      <c r="W45128" s="33" t="n"/>
      <c r="X45128" s="33" t="n"/>
    </row>
    <row r="45130" ht="14.25" customHeight="1" s="192">
      <c r="W45130" s="231" t="n"/>
      <c r="X45130" s="231" t="n"/>
    </row>
    <row r="45131" ht="14.25" customHeight="1" s="192">
      <c r="W45131" s="235" t="n"/>
      <c r="X45131" s="235" t="n"/>
    </row>
    <row r="45132" ht="14.25" customHeight="1" s="192">
      <c r="W45132" s="228" t="n"/>
      <c r="X45132" s="228" t="n"/>
    </row>
    <row r="45133" ht="14.25" customHeight="1" s="192">
      <c r="W45133" s="235" t="n"/>
      <c r="X45133" s="235" t="n"/>
    </row>
    <row r="45134" ht="14.25" customHeight="1" s="192">
      <c r="W45134" s="235" t="n"/>
      <c r="X45134" s="235" t="n"/>
    </row>
    <row r="45135" ht="14.25" customHeight="1" s="192">
      <c r="W45135" s="235" t="n"/>
      <c r="X45135" s="235" t="n"/>
    </row>
    <row r="45136" ht="14.25" customHeight="1" s="192">
      <c r="W45136" s="239" t="n"/>
      <c r="X45136" s="239" t="n"/>
    </row>
    <row r="45137" ht="14.25" customHeight="1" s="192">
      <c r="W45137" s="239" t="n"/>
      <c r="X45137" s="239" t="n"/>
    </row>
    <row r="45138" ht="14.25" customHeight="1" s="192">
      <c r="W45138" s="239" t="n"/>
      <c r="X45138" s="239" t="n"/>
    </row>
    <row r="45139" ht="14.25" customHeight="1" s="192">
      <c r="W45139" s="235" t="n"/>
      <c r="X45139" s="235" t="n"/>
    </row>
    <row r="45140" ht="14.25" customHeight="1" s="192">
      <c r="W45140" s="235" t="n"/>
      <c r="X45140" s="235" t="n"/>
    </row>
    <row r="45141" ht="14.25" customHeight="1" s="192">
      <c r="W45141" s="235" t="n"/>
      <c r="X45141" s="235" t="n"/>
    </row>
    <row r="45142" ht="14.25" customHeight="1" s="192">
      <c r="W45142" s="239" t="n"/>
      <c r="X45142" s="239" t="n"/>
    </row>
    <row r="45143" ht="14.25" customHeight="1" s="192">
      <c r="W45143" s="239" t="n"/>
      <c r="X45143" s="239" t="n"/>
    </row>
    <row r="45144" ht="14.25" customHeight="1" s="192">
      <c r="W45144" s="235" t="n"/>
      <c r="X45144" s="235" t="n"/>
    </row>
    <row r="45145" ht="14.25" customHeight="1" s="192">
      <c r="W45145" s="235" t="n"/>
      <c r="X45145" s="235" t="n"/>
    </row>
    <row r="45146" ht="14.25" customHeight="1" s="192">
      <c r="W45146" s="239" t="n"/>
      <c r="X45146" s="239" t="n"/>
    </row>
    <row r="45147" ht="14.25" customHeight="1" s="192">
      <c r="W45147" s="235" t="n"/>
      <c r="X45147" s="235" t="n"/>
    </row>
    <row r="45148" ht="14.25" customHeight="1" s="192">
      <c r="W45148" s="239" t="n"/>
      <c r="X45148" s="239" t="n"/>
    </row>
    <row r="45150" ht="14.25" customHeight="1" s="192">
      <c r="W45150" s="235" t="n"/>
      <c r="X45150" s="235" t="n"/>
    </row>
    <row r="45151" ht="15" customHeight="1" s="192" thickBot="1">
      <c r="W45151" s="239" t="n"/>
      <c r="X45151" s="239" t="n"/>
    </row>
    <row r="45152" ht="15" customHeight="1" s="192" thickBot="1">
      <c r="W45152" s="45" t="n"/>
      <c r="X45152" s="45" t="n"/>
    </row>
    <row r="45153" ht="14.25" customHeight="1" s="192">
      <c r="W45153" s="228" t="n"/>
      <c r="X45153" s="228" t="n"/>
    </row>
    <row r="45154" ht="14.25" customHeight="1" s="192">
      <c r="W45154" s="228" t="n"/>
      <c r="X45154" s="228" t="n"/>
    </row>
    <row r="45155" ht="14.25" customHeight="1" s="192">
      <c r="W45155" s="231" t="n"/>
      <c r="X45155" s="231" t="n"/>
    </row>
    <row r="45156" ht="14.25" customHeight="1" s="192">
      <c r="W45156" s="33" t="n"/>
      <c r="X45156" s="33" t="n"/>
    </row>
    <row r="45157" ht="14.25" customHeight="1" s="192">
      <c r="W45157" s="231" t="n"/>
      <c r="X45157" s="231" t="n"/>
    </row>
    <row r="45158" ht="14.25" customHeight="1" s="192">
      <c r="W45158" s="33" t="n"/>
      <c r="X45158" s="33" t="n"/>
    </row>
    <row r="45160" ht="14.25" customHeight="1" s="192">
      <c r="W45160" s="231" t="n"/>
      <c r="X45160" s="231" t="n"/>
    </row>
    <row r="45161" ht="14.25" customHeight="1" s="192">
      <c r="W45161" s="235" t="n"/>
      <c r="X45161" s="235" t="n"/>
    </row>
    <row r="45162" ht="14.25" customHeight="1" s="192">
      <c r="W45162" s="228" t="n"/>
      <c r="X45162" s="228" t="n"/>
    </row>
    <row r="45163" ht="14.25" customHeight="1" s="192">
      <c r="W45163" s="235" t="n"/>
      <c r="X45163" s="235" t="n"/>
    </row>
    <row r="45164" ht="14.25" customHeight="1" s="192">
      <c r="W45164" s="235" t="n"/>
      <c r="X45164" s="235" t="n"/>
    </row>
    <row r="45165" ht="14.25" customHeight="1" s="192">
      <c r="W45165" s="235" t="n"/>
      <c r="X45165" s="235" t="n"/>
    </row>
    <row r="45166" ht="14.25" customHeight="1" s="192">
      <c r="W45166" s="239" t="n"/>
      <c r="X45166" s="239" t="n"/>
    </row>
    <row r="45167" ht="14.25" customHeight="1" s="192">
      <c r="W45167" s="239" t="n"/>
      <c r="X45167" s="239" t="n"/>
    </row>
    <row r="45168" ht="14.25" customHeight="1" s="192">
      <c r="W45168" s="239" t="n"/>
      <c r="X45168" s="239" t="n"/>
    </row>
    <row r="45169" ht="14.25" customHeight="1" s="192">
      <c r="W45169" s="235" t="n"/>
      <c r="X45169" s="235" t="n"/>
    </row>
    <row r="45170" ht="14.25" customHeight="1" s="192">
      <c r="W45170" s="235" t="n"/>
      <c r="X45170" s="235" t="n"/>
    </row>
    <row r="45171" ht="14.25" customHeight="1" s="192">
      <c r="W45171" s="235" t="n"/>
      <c r="X45171" s="235" t="n"/>
    </row>
    <row r="45172" ht="14.25" customHeight="1" s="192">
      <c r="W45172" s="239" t="n"/>
      <c r="X45172" s="239" t="n"/>
    </row>
    <row r="45173" ht="14.25" customHeight="1" s="192">
      <c r="W45173" s="239" t="n"/>
      <c r="X45173" s="239" t="n"/>
    </row>
    <row r="45174" ht="14.25" customHeight="1" s="192">
      <c r="W45174" s="235" t="n"/>
      <c r="X45174" s="235" t="n"/>
    </row>
    <row r="45175" ht="14.25" customHeight="1" s="192">
      <c r="W45175" s="235" t="n"/>
      <c r="X45175" s="235" t="n"/>
    </row>
    <row r="45176" ht="14.25" customHeight="1" s="192">
      <c r="W45176" s="239" t="n"/>
      <c r="X45176" s="239" t="n"/>
    </row>
    <row r="45177" ht="14.25" customHeight="1" s="192">
      <c r="W45177" s="235" t="n"/>
      <c r="X45177" s="235" t="n"/>
    </row>
    <row r="45178" ht="14.25" customHeight="1" s="192">
      <c r="W45178" s="239" t="n"/>
      <c r="X45178" s="239" t="n"/>
    </row>
    <row r="45180" ht="14.25" customHeight="1" s="192">
      <c r="W45180" s="235" t="n"/>
      <c r="X45180" s="235" t="n"/>
    </row>
    <row r="45181" ht="15" customHeight="1" s="192" thickBot="1">
      <c r="W45181" s="239" t="n"/>
      <c r="X45181" s="239" t="n"/>
    </row>
    <row r="45182" ht="15" customHeight="1" s="192" thickBot="1">
      <c r="W45182" s="45" t="n"/>
      <c r="X45182" s="45" t="n"/>
    </row>
    <row r="45183" ht="14.25" customHeight="1" s="192">
      <c r="W45183" s="228" t="n"/>
      <c r="X45183" s="228" t="n"/>
    </row>
    <row r="45184" ht="14.25" customHeight="1" s="192">
      <c r="W45184" s="228" t="n"/>
      <c r="X45184" s="228" t="n"/>
    </row>
    <row r="45185" ht="14.25" customHeight="1" s="192">
      <c r="W45185" s="231" t="n"/>
      <c r="X45185" s="231" t="n"/>
    </row>
    <row r="45186" ht="14.25" customHeight="1" s="192">
      <c r="W45186" s="33" t="n"/>
      <c r="X45186" s="33" t="n"/>
    </row>
    <row r="45187" ht="14.25" customHeight="1" s="192">
      <c r="W45187" s="231" t="n"/>
      <c r="X45187" s="231" t="n"/>
    </row>
    <row r="45188" ht="14.25" customHeight="1" s="192">
      <c r="W45188" s="33" t="n"/>
      <c r="X45188" s="33" t="n"/>
    </row>
    <row r="45190" ht="14.25" customHeight="1" s="192">
      <c r="W45190" s="231" t="n"/>
      <c r="X45190" s="231" t="n"/>
    </row>
    <row r="45191" ht="14.25" customHeight="1" s="192">
      <c r="W45191" s="235" t="n"/>
      <c r="X45191" s="235" t="n"/>
    </row>
    <row r="45192" ht="14.25" customHeight="1" s="192">
      <c r="W45192" s="228" t="n"/>
      <c r="X45192" s="228" t="n"/>
    </row>
    <row r="45193" ht="14.25" customHeight="1" s="192">
      <c r="W45193" s="235" t="n"/>
      <c r="X45193" s="235" t="n"/>
    </row>
    <row r="45194" ht="14.25" customHeight="1" s="192">
      <c r="W45194" s="235" t="n"/>
      <c r="X45194" s="235" t="n"/>
    </row>
    <row r="45195" ht="14.25" customHeight="1" s="192">
      <c r="W45195" s="235" t="n"/>
      <c r="X45195" s="235" t="n"/>
    </row>
    <row r="45196" ht="14.25" customHeight="1" s="192">
      <c r="W45196" s="239" t="n"/>
      <c r="X45196" s="239" t="n"/>
    </row>
    <row r="45197" ht="14.25" customHeight="1" s="192">
      <c r="W45197" s="239" t="n"/>
      <c r="X45197" s="239" t="n"/>
    </row>
    <row r="45198" ht="14.25" customHeight="1" s="192">
      <c r="W45198" s="239" t="n"/>
      <c r="X45198" s="239" t="n"/>
    </row>
    <row r="45199" ht="14.25" customHeight="1" s="192">
      <c r="W45199" s="235" t="n"/>
      <c r="X45199" s="235" t="n"/>
    </row>
    <row r="45200" ht="14.25" customHeight="1" s="192">
      <c r="W45200" s="235" t="n"/>
      <c r="X45200" s="235" t="n"/>
    </row>
    <row r="45201" ht="14.25" customHeight="1" s="192">
      <c r="W45201" s="235" t="n"/>
      <c r="X45201" s="235" t="n"/>
    </row>
    <row r="45202" ht="14.25" customHeight="1" s="192">
      <c r="W45202" s="239" t="n"/>
      <c r="X45202" s="239" t="n"/>
    </row>
    <row r="45203" ht="14.25" customHeight="1" s="192">
      <c r="W45203" s="239" t="n"/>
      <c r="X45203" s="239" t="n"/>
    </row>
    <row r="45204" ht="14.25" customHeight="1" s="192">
      <c r="W45204" s="235" t="n"/>
      <c r="X45204" s="235" t="n"/>
    </row>
    <row r="45205" ht="14.25" customHeight="1" s="192">
      <c r="W45205" s="235" t="n"/>
      <c r="X45205" s="235" t="n"/>
    </row>
    <row r="45206" ht="14.25" customHeight="1" s="192">
      <c r="W45206" s="239" t="n"/>
      <c r="X45206" s="239" t="n"/>
    </row>
    <row r="45207" ht="14.25" customHeight="1" s="192">
      <c r="W45207" s="235" t="n"/>
      <c r="X45207" s="235" t="n"/>
    </row>
    <row r="45208" ht="14.25" customHeight="1" s="192">
      <c r="W45208" s="239" t="n"/>
      <c r="X45208" s="239" t="n"/>
    </row>
    <row r="45210" ht="14.25" customHeight="1" s="192">
      <c r="W45210" s="235" t="n"/>
      <c r="X45210" s="235" t="n"/>
    </row>
    <row r="45211" ht="15" customHeight="1" s="192" thickBot="1">
      <c r="W45211" s="239" t="n"/>
      <c r="X45211" s="239" t="n"/>
    </row>
    <row r="45212" ht="15" customHeight="1" s="192" thickBot="1">
      <c r="W45212" s="45" t="n"/>
      <c r="X45212" s="45" t="n"/>
    </row>
    <row r="45213" ht="14.25" customHeight="1" s="192">
      <c r="W45213" s="228" t="n"/>
      <c r="X45213" s="228" t="n"/>
    </row>
    <row r="45214" ht="14.25" customHeight="1" s="192">
      <c r="W45214" s="228" t="n"/>
      <c r="X45214" s="228" t="n"/>
    </row>
    <row r="45215" ht="14.25" customHeight="1" s="192">
      <c r="W45215" s="231" t="n"/>
      <c r="X45215" s="231" t="n"/>
    </row>
    <row r="45216" ht="14.25" customHeight="1" s="192">
      <c r="W45216" s="33" t="n"/>
      <c r="X45216" s="33" t="n"/>
    </row>
    <row r="45217" ht="14.25" customHeight="1" s="192">
      <c r="W45217" s="231" t="n"/>
      <c r="X45217" s="231" t="n"/>
    </row>
    <row r="45218" ht="14.25" customHeight="1" s="192">
      <c r="W45218" s="33" t="n"/>
      <c r="X45218" s="33" t="n"/>
    </row>
    <row r="45220" ht="14.25" customHeight="1" s="192">
      <c r="W45220" s="231" t="n"/>
      <c r="X45220" s="231" t="n"/>
    </row>
    <row r="45221" ht="14.25" customHeight="1" s="192">
      <c r="W45221" s="235" t="n"/>
      <c r="X45221" s="235" t="n"/>
    </row>
    <row r="45222" ht="14.25" customHeight="1" s="192">
      <c r="W45222" s="228" t="n"/>
      <c r="X45222" s="228" t="n"/>
    </row>
    <row r="45223" ht="14.25" customHeight="1" s="192">
      <c r="W45223" s="235" t="n"/>
      <c r="X45223" s="235" t="n"/>
    </row>
    <row r="45224" ht="14.25" customHeight="1" s="192">
      <c r="W45224" s="235" t="n"/>
      <c r="X45224" s="235" t="n"/>
    </row>
    <row r="45225" ht="14.25" customHeight="1" s="192">
      <c r="W45225" s="235" t="n"/>
      <c r="X45225" s="235" t="n"/>
    </row>
    <row r="45226" ht="14.25" customHeight="1" s="192">
      <c r="W45226" s="239" t="n"/>
      <c r="X45226" s="239" t="n"/>
    </row>
    <row r="45227" ht="14.25" customHeight="1" s="192">
      <c r="W45227" s="239" t="n"/>
      <c r="X45227" s="239" t="n"/>
    </row>
    <row r="45228" ht="14.25" customHeight="1" s="192">
      <c r="W45228" s="239" t="n"/>
      <c r="X45228" s="239" t="n"/>
    </row>
    <row r="45229" ht="14.25" customHeight="1" s="192">
      <c r="W45229" s="235" t="n"/>
      <c r="X45229" s="235" t="n"/>
    </row>
    <row r="45230" ht="14.25" customHeight="1" s="192">
      <c r="W45230" s="235" t="n"/>
      <c r="X45230" s="235" t="n"/>
    </row>
    <row r="45231" ht="14.25" customHeight="1" s="192">
      <c r="W45231" s="235" t="n"/>
      <c r="X45231" s="235" t="n"/>
    </row>
    <row r="45232" ht="14.25" customHeight="1" s="192">
      <c r="W45232" s="239" t="n"/>
      <c r="X45232" s="239" t="n"/>
    </row>
    <row r="45233" ht="14.25" customHeight="1" s="192">
      <c r="W45233" s="239" t="n"/>
      <c r="X45233" s="239" t="n"/>
    </row>
    <row r="45234" ht="14.25" customHeight="1" s="192">
      <c r="W45234" s="235" t="n"/>
      <c r="X45234" s="235" t="n"/>
    </row>
    <row r="45235" ht="14.25" customHeight="1" s="192">
      <c r="W45235" s="235" t="n"/>
      <c r="X45235" s="235" t="n"/>
    </row>
    <row r="45236" ht="14.25" customHeight="1" s="192">
      <c r="W45236" s="239" t="n"/>
      <c r="X45236" s="239" t="n"/>
    </row>
    <row r="45237" ht="14.25" customHeight="1" s="192">
      <c r="W45237" s="235" t="n"/>
      <c r="X45237" s="235" t="n"/>
    </row>
    <row r="45238" ht="14.25" customHeight="1" s="192">
      <c r="W45238" s="239" t="n"/>
      <c r="X45238" s="239" t="n"/>
    </row>
    <row r="45240" ht="14.25" customHeight="1" s="192">
      <c r="W45240" s="235" t="n"/>
      <c r="X45240" s="235" t="n"/>
    </row>
    <row r="45241" ht="15" customHeight="1" s="192" thickBot="1">
      <c r="W45241" s="239" t="n"/>
      <c r="X45241" s="239" t="n"/>
    </row>
    <row r="45242" ht="15" customHeight="1" s="192" thickBot="1">
      <c r="W45242" s="45" t="n"/>
      <c r="X45242" s="45" t="n"/>
    </row>
    <row r="45243" ht="14.25" customHeight="1" s="192">
      <c r="W45243" s="228" t="n"/>
      <c r="X45243" s="228" t="n"/>
    </row>
    <row r="45244" ht="14.25" customHeight="1" s="192">
      <c r="W45244" s="228" t="n"/>
      <c r="X45244" s="228" t="n"/>
    </row>
    <row r="45245" ht="14.25" customHeight="1" s="192">
      <c r="W45245" s="231" t="n"/>
      <c r="X45245" s="231" t="n"/>
    </row>
    <row r="45246" ht="14.25" customHeight="1" s="192">
      <c r="W45246" s="33" t="n"/>
      <c r="X45246" s="33" t="n"/>
    </row>
    <row r="45247" ht="14.25" customHeight="1" s="192">
      <c r="W45247" s="231" t="n"/>
      <c r="X45247" s="231" t="n"/>
    </row>
    <row r="45248" ht="14.25" customHeight="1" s="192">
      <c r="W45248" s="33" t="n"/>
      <c r="X45248" s="33" t="n"/>
    </row>
    <row r="45250" ht="14.25" customHeight="1" s="192">
      <c r="W45250" s="231" t="n"/>
      <c r="X45250" s="231" t="n"/>
    </row>
    <row r="45251" ht="14.25" customHeight="1" s="192">
      <c r="W45251" s="235" t="n"/>
      <c r="X45251" s="235" t="n"/>
    </row>
    <row r="45252" ht="14.25" customHeight="1" s="192">
      <c r="W45252" s="228" t="n"/>
      <c r="X45252" s="228" t="n"/>
    </row>
    <row r="45253" ht="14.25" customHeight="1" s="192">
      <c r="W45253" s="235" t="n"/>
      <c r="X45253" s="235" t="n"/>
    </row>
    <row r="45254" ht="14.25" customHeight="1" s="192">
      <c r="W45254" s="235" t="n"/>
      <c r="X45254" s="235" t="n"/>
    </row>
    <row r="45255" ht="14.25" customHeight="1" s="192">
      <c r="W45255" s="235" t="n"/>
      <c r="X45255" s="235" t="n"/>
    </row>
    <row r="45256" ht="14.25" customHeight="1" s="192">
      <c r="W45256" s="239" t="n"/>
      <c r="X45256" s="239" t="n"/>
    </row>
    <row r="45257" ht="14.25" customHeight="1" s="192">
      <c r="W45257" s="239" t="n"/>
      <c r="X45257" s="239" t="n"/>
    </row>
    <row r="45258" ht="14.25" customHeight="1" s="192">
      <c r="W45258" s="239" t="n"/>
      <c r="X45258" s="239" t="n"/>
    </row>
    <row r="45259" ht="14.25" customHeight="1" s="192">
      <c r="W45259" s="235" t="n"/>
      <c r="X45259" s="235" t="n"/>
    </row>
    <row r="45260" ht="14.25" customHeight="1" s="192">
      <c r="W45260" s="235" t="n"/>
      <c r="X45260" s="235" t="n"/>
    </row>
    <row r="45261" ht="14.25" customHeight="1" s="192">
      <c r="W45261" s="235" t="n"/>
      <c r="X45261" s="235" t="n"/>
    </row>
    <row r="45262" ht="14.25" customHeight="1" s="192">
      <c r="W45262" s="239" t="n"/>
      <c r="X45262" s="239" t="n"/>
    </row>
    <row r="45263" ht="14.25" customHeight="1" s="192">
      <c r="W45263" s="239" t="n"/>
      <c r="X45263" s="239" t="n"/>
    </row>
    <row r="45264" ht="14.25" customHeight="1" s="192">
      <c r="W45264" s="235" t="n"/>
      <c r="X45264" s="235" t="n"/>
    </row>
    <row r="45265" ht="14.25" customHeight="1" s="192">
      <c r="W45265" s="235" t="n"/>
      <c r="X45265" s="235" t="n"/>
    </row>
    <row r="45266" ht="14.25" customHeight="1" s="192">
      <c r="W45266" s="239" t="n"/>
      <c r="X45266" s="239" t="n"/>
    </row>
    <row r="45267" ht="14.25" customHeight="1" s="192">
      <c r="W45267" s="235" t="n"/>
      <c r="X45267" s="235" t="n"/>
    </row>
    <row r="45268" ht="14.25" customHeight="1" s="192">
      <c r="W45268" s="239" t="n"/>
      <c r="X45268" s="239" t="n"/>
    </row>
    <row r="45270" ht="14.25" customHeight="1" s="192">
      <c r="W45270" s="235" t="n"/>
      <c r="X45270" s="235" t="n"/>
    </row>
    <row r="45271" ht="15" customHeight="1" s="192" thickBot="1">
      <c r="W45271" s="239" t="n"/>
      <c r="X45271" s="239" t="n"/>
    </row>
    <row r="45272" ht="15" customHeight="1" s="192" thickBot="1">
      <c r="W45272" s="45" t="n"/>
      <c r="X45272" s="45" t="n"/>
    </row>
    <row r="45273" ht="14.25" customHeight="1" s="192">
      <c r="W45273" s="228" t="n"/>
      <c r="X45273" s="228" t="n"/>
    </row>
    <row r="45274" ht="14.25" customHeight="1" s="192">
      <c r="W45274" s="228" t="n"/>
      <c r="X45274" s="228" t="n"/>
    </row>
    <row r="45275" ht="14.25" customHeight="1" s="192">
      <c r="W45275" s="231" t="n"/>
      <c r="X45275" s="231" t="n"/>
    </row>
    <row r="45276" ht="14.25" customHeight="1" s="192">
      <c r="W45276" s="33" t="n"/>
      <c r="X45276" s="33" t="n"/>
    </row>
    <row r="45277" ht="14.25" customHeight="1" s="192">
      <c r="W45277" s="231" t="n"/>
      <c r="X45277" s="231" t="n"/>
    </row>
    <row r="45278" ht="14.25" customHeight="1" s="192">
      <c r="W45278" s="33" t="n"/>
      <c r="X45278" s="33" t="n"/>
    </row>
    <row r="45280" ht="14.25" customHeight="1" s="192">
      <c r="W45280" s="231" t="n"/>
      <c r="X45280" s="231" t="n"/>
    </row>
    <row r="45281" ht="14.25" customHeight="1" s="192">
      <c r="W45281" s="235" t="n"/>
      <c r="X45281" s="235" t="n"/>
    </row>
    <row r="45282" ht="14.25" customHeight="1" s="192">
      <c r="W45282" s="228" t="n"/>
      <c r="X45282" s="228" t="n"/>
    </row>
    <row r="45283" ht="14.25" customHeight="1" s="192">
      <c r="W45283" s="235" t="n"/>
      <c r="X45283" s="235" t="n"/>
    </row>
    <row r="45284" ht="14.25" customHeight="1" s="192">
      <c r="W45284" s="235" t="n"/>
      <c r="X45284" s="235" t="n"/>
    </row>
    <row r="45285" ht="14.25" customHeight="1" s="192">
      <c r="W45285" s="235" t="n"/>
      <c r="X45285" s="235" t="n"/>
    </row>
    <row r="45286" ht="14.25" customHeight="1" s="192">
      <c r="W45286" s="239" t="n"/>
      <c r="X45286" s="239" t="n"/>
    </row>
    <row r="45287" ht="14.25" customHeight="1" s="192">
      <c r="W45287" s="239" t="n"/>
      <c r="X45287" s="239" t="n"/>
    </row>
    <row r="45288" ht="14.25" customHeight="1" s="192">
      <c r="W45288" s="239" t="n"/>
      <c r="X45288" s="239" t="n"/>
    </row>
    <row r="45289" ht="14.25" customHeight="1" s="192">
      <c r="W45289" s="235" t="n"/>
      <c r="X45289" s="235" t="n"/>
    </row>
    <row r="45290" ht="14.25" customHeight="1" s="192">
      <c r="W45290" s="235" t="n"/>
      <c r="X45290" s="235" t="n"/>
    </row>
    <row r="45291" ht="14.25" customHeight="1" s="192">
      <c r="W45291" s="235" t="n"/>
      <c r="X45291" s="235" t="n"/>
    </row>
    <row r="45292" ht="14.25" customHeight="1" s="192">
      <c r="W45292" s="239" t="n"/>
      <c r="X45292" s="239" t="n"/>
    </row>
    <row r="45293" ht="14.25" customHeight="1" s="192">
      <c r="W45293" s="239" t="n"/>
      <c r="X45293" s="239" t="n"/>
    </row>
    <row r="45294" ht="14.25" customHeight="1" s="192">
      <c r="W45294" s="235" t="n"/>
      <c r="X45294" s="235" t="n"/>
    </row>
    <row r="45295" ht="14.25" customHeight="1" s="192">
      <c r="W45295" s="235" t="n"/>
      <c r="X45295" s="235" t="n"/>
    </row>
    <row r="45296" ht="14.25" customHeight="1" s="192">
      <c r="W45296" s="239" t="n"/>
      <c r="X45296" s="239" t="n"/>
    </row>
    <row r="45297" ht="14.25" customHeight="1" s="192">
      <c r="W45297" s="235" t="n"/>
      <c r="X45297" s="235" t="n"/>
    </row>
    <row r="45298" ht="14.25" customHeight="1" s="192">
      <c r="W45298" s="239" t="n"/>
      <c r="X45298" s="239" t="n"/>
    </row>
    <row r="45300" ht="14.25" customHeight="1" s="192">
      <c r="W45300" s="235" t="n"/>
      <c r="X45300" s="235" t="n"/>
    </row>
    <row r="45301" ht="15" customHeight="1" s="192" thickBot="1">
      <c r="W45301" s="239" t="n"/>
      <c r="X45301" s="239" t="n"/>
    </row>
    <row r="45302" ht="15" customHeight="1" s="192" thickBot="1">
      <c r="W45302" s="45" t="n"/>
      <c r="X45302" s="45" t="n"/>
    </row>
    <row r="45303" ht="14.25" customHeight="1" s="192">
      <c r="W45303" s="228" t="n"/>
      <c r="X45303" s="228" t="n"/>
    </row>
    <row r="45304" ht="14.25" customHeight="1" s="192">
      <c r="W45304" s="228" t="n"/>
      <c r="X45304" s="228" t="n"/>
    </row>
    <row r="45305" ht="14.25" customHeight="1" s="192">
      <c r="W45305" s="231" t="n"/>
      <c r="X45305" s="231" t="n"/>
    </row>
    <row r="45306" ht="14.25" customHeight="1" s="192">
      <c r="W45306" s="33" t="n"/>
      <c r="X45306" s="33" t="n"/>
    </row>
    <row r="45307" ht="14.25" customHeight="1" s="192">
      <c r="W45307" s="231" t="n"/>
      <c r="X45307" s="231" t="n"/>
    </row>
    <row r="45308" ht="14.25" customHeight="1" s="192">
      <c r="W45308" s="33" t="n"/>
      <c r="X45308" s="33" t="n"/>
    </row>
    <row r="45310" ht="14.25" customHeight="1" s="192">
      <c r="W45310" s="231" t="n"/>
      <c r="X45310" s="231" t="n"/>
    </row>
    <row r="45311" ht="14.25" customHeight="1" s="192">
      <c r="W45311" s="235" t="n"/>
      <c r="X45311" s="235" t="n"/>
    </row>
    <row r="45312" ht="14.25" customHeight="1" s="192">
      <c r="W45312" s="228" t="n"/>
      <c r="X45312" s="228" t="n"/>
    </row>
    <row r="45313" ht="14.25" customHeight="1" s="192">
      <c r="W45313" s="235" t="n"/>
      <c r="X45313" s="235" t="n"/>
    </row>
    <row r="45314" ht="14.25" customHeight="1" s="192">
      <c r="W45314" s="235" t="n"/>
      <c r="X45314" s="235" t="n"/>
    </row>
    <row r="45315" ht="14.25" customHeight="1" s="192">
      <c r="W45315" s="235" t="n"/>
      <c r="X45315" s="235" t="n"/>
    </row>
    <row r="45316" ht="14.25" customHeight="1" s="192">
      <c r="W45316" s="239" t="n"/>
      <c r="X45316" s="239" t="n"/>
    </row>
    <row r="45317" ht="14.25" customHeight="1" s="192">
      <c r="W45317" s="239" t="n"/>
      <c r="X45317" s="239" t="n"/>
    </row>
    <row r="45318" ht="14.25" customHeight="1" s="192">
      <c r="W45318" s="239" t="n"/>
      <c r="X45318" s="239" t="n"/>
    </row>
    <row r="45319" ht="14.25" customHeight="1" s="192">
      <c r="W45319" s="235" t="n"/>
      <c r="X45319" s="235" t="n"/>
    </row>
    <row r="45320" ht="14.25" customHeight="1" s="192">
      <c r="W45320" s="235" t="n"/>
      <c r="X45320" s="235" t="n"/>
    </row>
    <row r="45321" ht="14.25" customHeight="1" s="192">
      <c r="W45321" s="235" t="n"/>
      <c r="X45321" s="235" t="n"/>
    </row>
    <row r="45322" ht="14.25" customHeight="1" s="192">
      <c r="W45322" s="239" t="n"/>
      <c r="X45322" s="239" t="n"/>
    </row>
    <row r="45323" ht="14.25" customHeight="1" s="192">
      <c r="W45323" s="239" t="n"/>
      <c r="X45323" s="239" t="n"/>
    </row>
    <row r="45324" ht="14.25" customHeight="1" s="192">
      <c r="W45324" s="235" t="n"/>
      <c r="X45324" s="235" t="n"/>
    </row>
    <row r="45325" ht="14.25" customHeight="1" s="192">
      <c r="W45325" s="235" t="n"/>
      <c r="X45325" s="235" t="n"/>
    </row>
    <row r="45326" ht="14.25" customHeight="1" s="192">
      <c r="W45326" s="239" t="n"/>
      <c r="X45326" s="239" t="n"/>
    </row>
    <row r="45327" ht="14.25" customHeight="1" s="192">
      <c r="W45327" s="235" t="n"/>
      <c r="X45327" s="235" t="n"/>
    </row>
    <row r="45328" ht="14.25" customHeight="1" s="192">
      <c r="W45328" s="239" t="n"/>
      <c r="X45328" s="239" t="n"/>
    </row>
    <row r="45330" ht="14.25" customHeight="1" s="192">
      <c r="W45330" s="235" t="n"/>
      <c r="X45330" s="235" t="n"/>
    </row>
    <row r="45331" ht="15" customHeight="1" s="192" thickBot="1">
      <c r="W45331" s="239" t="n"/>
      <c r="X45331" s="239" t="n"/>
    </row>
    <row r="45332" ht="15" customHeight="1" s="192" thickBot="1">
      <c r="W45332" s="45" t="n"/>
      <c r="X45332" s="45" t="n"/>
    </row>
    <row r="45333" ht="14.25" customHeight="1" s="192">
      <c r="W45333" s="228" t="n"/>
      <c r="X45333" s="228" t="n"/>
    </row>
    <row r="45334" ht="14.25" customHeight="1" s="192">
      <c r="W45334" s="228" t="n"/>
      <c r="X45334" s="228" t="n"/>
    </row>
    <row r="45335" ht="14.25" customHeight="1" s="192">
      <c r="W45335" s="231" t="n"/>
      <c r="X45335" s="231" t="n"/>
    </row>
    <row r="45336" ht="14.25" customHeight="1" s="192">
      <c r="W45336" s="33" t="n"/>
      <c r="X45336" s="33" t="n"/>
    </row>
    <row r="45337" ht="14.25" customHeight="1" s="192">
      <c r="W45337" s="231" t="n"/>
      <c r="X45337" s="231" t="n"/>
    </row>
    <row r="45338" ht="14.25" customHeight="1" s="192">
      <c r="W45338" s="33" t="n"/>
      <c r="X45338" s="33" t="n"/>
    </row>
    <row r="45340" ht="14.25" customHeight="1" s="192">
      <c r="W45340" s="231" t="n"/>
      <c r="X45340" s="231" t="n"/>
    </row>
    <row r="45341" ht="14.25" customHeight="1" s="192">
      <c r="W45341" s="235" t="n"/>
      <c r="X45341" s="235" t="n"/>
    </row>
    <row r="45342" ht="14.25" customHeight="1" s="192">
      <c r="W45342" s="228" t="n"/>
      <c r="X45342" s="228" t="n"/>
    </row>
    <row r="45343" ht="14.25" customHeight="1" s="192">
      <c r="W45343" s="235" t="n"/>
      <c r="X45343" s="235" t="n"/>
    </row>
    <row r="45344" ht="14.25" customHeight="1" s="192">
      <c r="W45344" s="235" t="n"/>
      <c r="X45344" s="235" t="n"/>
    </row>
    <row r="45345" ht="14.25" customHeight="1" s="192">
      <c r="W45345" s="235" t="n"/>
      <c r="X45345" s="235" t="n"/>
    </row>
    <row r="45346" ht="14.25" customHeight="1" s="192">
      <c r="W45346" s="239" t="n"/>
      <c r="X45346" s="239" t="n"/>
    </row>
    <row r="45347" ht="14.25" customHeight="1" s="192">
      <c r="W45347" s="239" t="n"/>
      <c r="X45347" s="239" t="n"/>
    </row>
    <row r="45348" ht="14.25" customHeight="1" s="192">
      <c r="W45348" s="239" t="n"/>
      <c r="X45348" s="239" t="n"/>
    </row>
    <row r="45349" ht="14.25" customHeight="1" s="192">
      <c r="W45349" s="235" t="n"/>
      <c r="X45349" s="235" t="n"/>
    </row>
    <row r="45350" ht="14.25" customHeight="1" s="192">
      <c r="W45350" s="235" t="n"/>
      <c r="X45350" s="235" t="n"/>
    </row>
    <row r="45351" ht="14.25" customHeight="1" s="192">
      <c r="W45351" s="235" t="n"/>
      <c r="X45351" s="235" t="n"/>
    </row>
    <row r="45352" ht="14.25" customHeight="1" s="192">
      <c r="W45352" s="239" t="n"/>
      <c r="X45352" s="239" t="n"/>
    </row>
    <row r="45353" ht="14.25" customHeight="1" s="192">
      <c r="W45353" s="239" t="n"/>
      <c r="X45353" s="239" t="n"/>
    </row>
    <row r="45354" ht="14.25" customHeight="1" s="192">
      <c r="W45354" s="235" t="n"/>
      <c r="X45354" s="235" t="n"/>
    </row>
    <row r="45355" ht="14.25" customHeight="1" s="192">
      <c r="W45355" s="235" t="n"/>
      <c r="X45355" s="235" t="n"/>
    </row>
    <row r="45356" ht="14.25" customHeight="1" s="192">
      <c r="W45356" s="239" t="n"/>
      <c r="X45356" s="239" t="n"/>
    </row>
    <row r="45357" ht="14.25" customHeight="1" s="192">
      <c r="W45357" s="235" t="n"/>
      <c r="X45357" s="235" t="n"/>
    </row>
    <row r="45358" ht="14.25" customHeight="1" s="192">
      <c r="W45358" s="239" t="n"/>
      <c r="X45358" s="239" t="n"/>
    </row>
    <row r="45360" ht="14.25" customHeight="1" s="192">
      <c r="W45360" s="235" t="n"/>
      <c r="X45360" s="235" t="n"/>
    </row>
    <row r="45361" ht="15" customHeight="1" s="192" thickBot="1">
      <c r="W45361" s="239" t="n"/>
      <c r="X45361" s="239" t="n"/>
    </row>
    <row r="45362" ht="15" customHeight="1" s="192" thickBot="1">
      <c r="W45362" s="45" t="n"/>
      <c r="X45362" s="45" t="n"/>
    </row>
    <row r="45363" ht="14.25" customHeight="1" s="192">
      <c r="W45363" s="228" t="n"/>
      <c r="X45363" s="228" t="n"/>
    </row>
    <row r="45364" ht="14.25" customHeight="1" s="192">
      <c r="W45364" s="228" t="n"/>
      <c r="X45364" s="228" t="n"/>
    </row>
    <row r="45365" ht="14.25" customHeight="1" s="192">
      <c r="W45365" s="231" t="n"/>
      <c r="X45365" s="231" t="n"/>
    </row>
    <row r="45366" ht="14.25" customHeight="1" s="192">
      <c r="W45366" s="33" t="n"/>
      <c r="X45366" s="33" t="n"/>
    </row>
    <row r="45367" ht="14.25" customHeight="1" s="192">
      <c r="W45367" s="231" t="n"/>
      <c r="X45367" s="231" t="n"/>
    </row>
    <row r="45368" ht="14.25" customHeight="1" s="192">
      <c r="W45368" s="33" t="n"/>
      <c r="X45368" s="33" t="n"/>
    </row>
    <row r="45370" ht="14.25" customHeight="1" s="192">
      <c r="W45370" s="231" t="n"/>
      <c r="X45370" s="231" t="n"/>
    </row>
    <row r="45371" ht="14.25" customHeight="1" s="192">
      <c r="W45371" s="235" t="n"/>
      <c r="X45371" s="235" t="n"/>
    </row>
    <row r="45372" ht="14.25" customHeight="1" s="192">
      <c r="W45372" s="228" t="n"/>
      <c r="X45372" s="228" t="n"/>
    </row>
    <row r="45373" ht="14.25" customHeight="1" s="192">
      <c r="W45373" s="235" t="n"/>
      <c r="X45373" s="235" t="n"/>
    </row>
    <row r="45374" ht="14.25" customHeight="1" s="192">
      <c r="W45374" s="235" t="n"/>
      <c r="X45374" s="235" t="n"/>
    </row>
    <row r="45375" ht="14.25" customHeight="1" s="192">
      <c r="W45375" s="235" t="n"/>
      <c r="X45375" s="235" t="n"/>
    </row>
    <row r="45376" ht="14.25" customHeight="1" s="192">
      <c r="W45376" s="239" t="n"/>
      <c r="X45376" s="239" t="n"/>
    </row>
    <row r="45377" ht="14.25" customHeight="1" s="192">
      <c r="W45377" s="239" t="n"/>
      <c r="X45377" s="239" t="n"/>
    </row>
    <row r="45378" ht="14.25" customHeight="1" s="192">
      <c r="W45378" s="239" t="n"/>
      <c r="X45378" s="239" t="n"/>
    </row>
    <row r="45379" ht="14.25" customHeight="1" s="192">
      <c r="W45379" s="235" t="n"/>
      <c r="X45379" s="235" t="n"/>
    </row>
    <row r="45380" ht="14.25" customHeight="1" s="192">
      <c r="W45380" s="235" t="n"/>
      <c r="X45380" s="235" t="n"/>
    </row>
    <row r="45381" ht="14.25" customHeight="1" s="192">
      <c r="W45381" s="235" t="n"/>
      <c r="X45381" s="235" t="n"/>
    </row>
    <row r="45382" ht="14.25" customHeight="1" s="192">
      <c r="W45382" s="239" t="n"/>
      <c r="X45382" s="239" t="n"/>
    </row>
    <row r="45383" ht="14.25" customHeight="1" s="192">
      <c r="W45383" s="239" t="n"/>
      <c r="X45383" s="239" t="n"/>
    </row>
    <row r="45384" ht="14.25" customHeight="1" s="192">
      <c r="W45384" s="235" t="n"/>
      <c r="X45384" s="235" t="n"/>
    </row>
    <row r="45385" ht="14.25" customHeight="1" s="192">
      <c r="W45385" s="235" t="n"/>
      <c r="X45385" s="235" t="n"/>
    </row>
    <row r="45386" ht="14.25" customHeight="1" s="192">
      <c r="W45386" s="239" t="n"/>
      <c r="X45386" s="239" t="n"/>
    </row>
    <row r="45387" ht="14.25" customHeight="1" s="192">
      <c r="W45387" s="235" t="n"/>
      <c r="X45387" s="235" t="n"/>
    </row>
    <row r="45388" ht="14.25" customHeight="1" s="192">
      <c r="W45388" s="239" t="n"/>
      <c r="X45388" s="239" t="n"/>
    </row>
    <row r="45390" ht="14.25" customHeight="1" s="192">
      <c r="W45390" s="235" t="n"/>
      <c r="X45390" s="235" t="n"/>
    </row>
    <row r="45391" ht="15" customHeight="1" s="192" thickBot="1">
      <c r="W45391" s="239" t="n"/>
      <c r="X45391" s="239" t="n"/>
    </row>
    <row r="45392" ht="15" customHeight="1" s="192" thickBot="1">
      <c r="W45392" s="45" t="n"/>
      <c r="X45392" s="45" t="n"/>
    </row>
    <row r="45393" ht="14.25" customHeight="1" s="192">
      <c r="W45393" s="228" t="n"/>
      <c r="X45393" s="228" t="n"/>
    </row>
    <row r="45394" ht="14.25" customHeight="1" s="192">
      <c r="W45394" s="228" t="n"/>
      <c r="X45394" s="228" t="n"/>
    </row>
    <row r="45395" ht="14.25" customHeight="1" s="192">
      <c r="W45395" s="231" t="n"/>
      <c r="X45395" s="231" t="n"/>
    </row>
    <row r="45396" ht="14.25" customHeight="1" s="192">
      <c r="W45396" s="33" t="n"/>
      <c r="X45396" s="33" t="n"/>
    </row>
    <row r="45397" ht="14.25" customHeight="1" s="192">
      <c r="W45397" s="231" t="n"/>
      <c r="X45397" s="231" t="n"/>
    </row>
    <row r="45398" ht="14.25" customHeight="1" s="192">
      <c r="W45398" s="33" t="n"/>
      <c r="X45398" s="33" t="n"/>
    </row>
    <row r="45400" ht="14.25" customHeight="1" s="192">
      <c r="W45400" s="231" t="n"/>
      <c r="X45400" s="231" t="n"/>
    </row>
    <row r="45401" ht="14.25" customHeight="1" s="192">
      <c r="W45401" s="235" t="n"/>
      <c r="X45401" s="235" t="n"/>
    </row>
    <row r="45402" ht="14.25" customHeight="1" s="192">
      <c r="W45402" s="228" t="n"/>
      <c r="X45402" s="228" t="n"/>
    </row>
    <row r="45403" ht="14.25" customHeight="1" s="192">
      <c r="W45403" s="235" t="n"/>
      <c r="X45403" s="235" t="n"/>
    </row>
    <row r="45404" ht="14.25" customHeight="1" s="192">
      <c r="W45404" s="235" t="n"/>
      <c r="X45404" s="235" t="n"/>
    </row>
    <row r="45405" ht="14.25" customHeight="1" s="192">
      <c r="W45405" s="235" t="n"/>
      <c r="X45405" s="235" t="n"/>
    </row>
    <row r="45406" ht="14.25" customHeight="1" s="192">
      <c r="W45406" s="239" t="n"/>
      <c r="X45406" s="239" t="n"/>
    </row>
    <row r="45407" ht="14.25" customHeight="1" s="192">
      <c r="W45407" s="239" t="n"/>
      <c r="X45407" s="239" t="n"/>
    </row>
    <row r="45408" ht="14.25" customHeight="1" s="192">
      <c r="W45408" s="239" t="n"/>
      <c r="X45408" s="239" t="n"/>
    </row>
    <row r="45409" ht="14.25" customHeight="1" s="192">
      <c r="W45409" s="235" t="n"/>
      <c r="X45409" s="235" t="n"/>
    </row>
    <row r="45410" ht="14.25" customHeight="1" s="192">
      <c r="W45410" s="235" t="n"/>
      <c r="X45410" s="235" t="n"/>
    </row>
    <row r="45411" ht="14.25" customHeight="1" s="192">
      <c r="W45411" s="235" t="n"/>
      <c r="X45411" s="235" t="n"/>
    </row>
    <row r="45412" ht="14.25" customHeight="1" s="192">
      <c r="W45412" s="239" t="n"/>
      <c r="X45412" s="239" t="n"/>
    </row>
    <row r="45413" ht="14.25" customHeight="1" s="192">
      <c r="W45413" s="239" t="n"/>
      <c r="X45413" s="239" t="n"/>
    </row>
    <row r="45414" ht="14.25" customHeight="1" s="192">
      <c r="W45414" s="235" t="n"/>
      <c r="X45414" s="235" t="n"/>
    </row>
    <row r="45415" ht="14.25" customHeight="1" s="192">
      <c r="W45415" s="235" t="n"/>
      <c r="X45415" s="235" t="n"/>
    </row>
    <row r="45416" ht="14.25" customHeight="1" s="192">
      <c r="W45416" s="239" t="n"/>
      <c r="X45416" s="239" t="n"/>
    </row>
    <row r="45417" ht="14.25" customHeight="1" s="192">
      <c r="W45417" s="235" t="n"/>
      <c r="X45417" s="235" t="n"/>
    </row>
    <row r="45418" ht="14.25" customHeight="1" s="192">
      <c r="W45418" s="239" t="n"/>
      <c r="X45418" s="239" t="n"/>
    </row>
    <row r="45420" ht="14.25" customHeight="1" s="192">
      <c r="W45420" s="235" t="n"/>
      <c r="X45420" s="235" t="n"/>
    </row>
    <row r="45421" ht="15" customHeight="1" s="192" thickBot="1">
      <c r="W45421" s="239" t="n"/>
      <c r="X45421" s="239" t="n"/>
    </row>
    <row r="45422" ht="15" customHeight="1" s="192" thickBot="1">
      <c r="W45422" s="45" t="n"/>
      <c r="X45422" s="45" t="n"/>
    </row>
    <row r="45423" ht="14.25" customHeight="1" s="192">
      <c r="W45423" s="228" t="n"/>
      <c r="X45423" s="228" t="n"/>
    </row>
    <row r="45424" ht="14.25" customHeight="1" s="192">
      <c r="W45424" s="228" t="n"/>
      <c r="X45424" s="228" t="n"/>
    </row>
    <row r="45425" ht="14.25" customHeight="1" s="192">
      <c r="W45425" s="231" t="n"/>
      <c r="X45425" s="231" t="n"/>
    </row>
    <row r="45426" ht="14.25" customHeight="1" s="192">
      <c r="W45426" s="33" t="n"/>
      <c r="X45426" s="33" t="n"/>
    </row>
    <row r="45427" ht="14.25" customHeight="1" s="192">
      <c r="W45427" s="231" t="n"/>
      <c r="X45427" s="231" t="n"/>
    </row>
    <row r="45428" ht="14.25" customHeight="1" s="192">
      <c r="W45428" s="33" t="n"/>
      <c r="X45428" s="33" t="n"/>
    </row>
    <row r="45430" ht="14.25" customHeight="1" s="192">
      <c r="W45430" s="231" t="n"/>
      <c r="X45430" s="231" t="n"/>
    </row>
    <row r="45431" ht="14.25" customHeight="1" s="192">
      <c r="W45431" s="235" t="n"/>
      <c r="X45431" s="235" t="n"/>
    </row>
    <row r="45432" ht="14.25" customHeight="1" s="192">
      <c r="W45432" s="228" t="n"/>
      <c r="X45432" s="228" t="n"/>
    </row>
    <row r="45433" ht="14.25" customHeight="1" s="192">
      <c r="W45433" s="235" t="n"/>
      <c r="X45433" s="235" t="n"/>
    </row>
    <row r="45434" ht="14.25" customHeight="1" s="192">
      <c r="W45434" s="235" t="n"/>
      <c r="X45434" s="235" t="n"/>
    </row>
    <row r="45435" ht="14.25" customHeight="1" s="192">
      <c r="W45435" s="235" t="n"/>
      <c r="X45435" s="235" t="n"/>
    </row>
    <row r="45436" ht="14.25" customHeight="1" s="192">
      <c r="W45436" s="239" t="n"/>
      <c r="X45436" s="239" t="n"/>
    </row>
    <row r="45437" ht="14.25" customHeight="1" s="192">
      <c r="W45437" s="239" t="n"/>
      <c r="X45437" s="239" t="n"/>
    </row>
    <row r="45438" ht="14.25" customHeight="1" s="192">
      <c r="W45438" s="239" t="n"/>
      <c r="X45438" s="239" t="n"/>
    </row>
    <row r="45439" ht="14.25" customHeight="1" s="192">
      <c r="W45439" s="235" t="n"/>
      <c r="X45439" s="235" t="n"/>
    </row>
    <row r="45440" ht="14.25" customHeight="1" s="192">
      <c r="W45440" s="235" t="n"/>
      <c r="X45440" s="235" t="n"/>
    </row>
    <row r="45441" ht="14.25" customHeight="1" s="192">
      <c r="W45441" s="235" t="n"/>
      <c r="X45441" s="235" t="n"/>
    </row>
    <row r="45442" ht="14.25" customHeight="1" s="192">
      <c r="W45442" s="239" t="n"/>
      <c r="X45442" s="239" t="n"/>
    </row>
    <row r="45443" ht="14.25" customHeight="1" s="192">
      <c r="W45443" s="239" t="n"/>
      <c r="X45443" s="239" t="n"/>
    </row>
    <row r="45444" ht="14.25" customHeight="1" s="192">
      <c r="W45444" s="235" t="n"/>
      <c r="X45444" s="235" t="n"/>
    </row>
    <row r="45445" ht="14.25" customHeight="1" s="192">
      <c r="W45445" s="235" t="n"/>
      <c r="X45445" s="235" t="n"/>
    </row>
    <row r="45446" ht="14.25" customHeight="1" s="192">
      <c r="W45446" s="239" t="n"/>
      <c r="X45446" s="239" t="n"/>
    </row>
    <row r="45447" ht="14.25" customHeight="1" s="192">
      <c r="W45447" s="235" t="n"/>
      <c r="X45447" s="235" t="n"/>
    </row>
    <row r="45448" ht="14.25" customHeight="1" s="192">
      <c r="W45448" s="239" t="n"/>
      <c r="X45448" s="239" t="n"/>
    </row>
    <row r="45450" ht="14.25" customHeight="1" s="192">
      <c r="W45450" s="235" t="n"/>
      <c r="X45450" s="235" t="n"/>
    </row>
    <row r="45451" ht="15" customHeight="1" s="192" thickBot="1">
      <c r="W45451" s="239" t="n"/>
      <c r="X45451" s="239" t="n"/>
    </row>
    <row r="45452" ht="15" customHeight="1" s="192" thickBot="1">
      <c r="W45452" s="45" t="n"/>
      <c r="X45452" s="45" t="n"/>
    </row>
    <row r="45453" ht="14.25" customHeight="1" s="192">
      <c r="W45453" s="228" t="n"/>
      <c r="X45453" s="228" t="n"/>
    </row>
    <row r="45454" ht="14.25" customHeight="1" s="192">
      <c r="W45454" s="228" t="n"/>
      <c r="X45454" s="228" t="n"/>
    </row>
    <row r="45455" ht="14.25" customHeight="1" s="192">
      <c r="W45455" s="231" t="n"/>
      <c r="X45455" s="231" t="n"/>
    </row>
    <row r="45456" ht="14.25" customHeight="1" s="192">
      <c r="W45456" s="33" t="n"/>
      <c r="X45456" s="33" t="n"/>
    </row>
    <row r="45457" ht="14.25" customHeight="1" s="192">
      <c r="W45457" s="231" t="n"/>
      <c r="X45457" s="231" t="n"/>
    </row>
    <row r="45458" ht="14.25" customHeight="1" s="192">
      <c r="W45458" s="33" t="n"/>
      <c r="X45458" s="33" t="n"/>
    </row>
    <row r="45460" ht="14.25" customHeight="1" s="192">
      <c r="W45460" s="231" t="n"/>
      <c r="X45460" s="231" t="n"/>
    </row>
    <row r="45461" ht="14.25" customHeight="1" s="192">
      <c r="W45461" s="235" t="n"/>
      <c r="X45461" s="235" t="n"/>
    </row>
    <row r="45462" ht="14.25" customHeight="1" s="192">
      <c r="W45462" s="228" t="n"/>
      <c r="X45462" s="228" t="n"/>
    </row>
    <row r="45463" ht="14.25" customHeight="1" s="192">
      <c r="W45463" s="235" t="n"/>
      <c r="X45463" s="235" t="n"/>
    </row>
    <row r="45464" ht="14.25" customHeight="1" s="192">
      <c r="W45464" s="235" t="n"/>
      <c r="X45464" s="235" t="n"/>
    </row>
    <row r="45465" ht="14.25" customHeight="1" s="192">
      <c r="W45465" s="235" t="n"/>
      <c r="X45465" s="235" t="n"/>
    </row>
    <row r="45466" ht="14.25" customHeight="1" s="192">
      <c r="W45466" s="239" t="n"/>
      <c r="X45466" s="239" t="n"/>
    </row>
    <row r="45467" ht="14.25" customHeight="1" s="192">
      <c r="W45467" s="239" t="n"/>
      <c r="X45467" s="239" t="n"/>
    </row>
    <row r="45468" ht="14.25" customHeight="1" s="192">
      <c r="W45468" s="239" t="n"/>
      <c r="X45468" s="239" t="n"/>
    </row>
    <row r="45469" ht="14.25" customHeight="1" s="192">
      <c r="W45469" s="235" t="n"/>
      <c r="X45469" s="235" t="n"/>
    </row>
    <row r="45470" ht="14.25" customHeight="1" s="192">
      <c r="W45470" s="235" t="n"/>
      <c r="X45470" s="235" t="n"/>
    </row>
    <row r="45471" ht="14.25" customHeight="1" s="192">
      <c r="W45471" s="235" t="n"/>
      <c r="X45471" s="235" t="n"/>
    </row>
    <row r="45472" ht="14.25" customHeight="1" s="192">
      <c r="W45472" s="239" t="n"/>
      <c r="X45472" s="239" t="n"/>
    </row>
    <row r="45473" ht="14.25" customHeight="1" s="192">
      <c r="W45473" s="239" t="n"/>
      <c r="X45473" s="239" t="n"/>
    </row>
    <row r="45474" ht="14.25" customHeight="1" s="192">
      <c r="W45474" s="235" t="n"/>
      <c r="X45474" s="235" t="n"/>
    </row>
    <row r="45475" ht="14.25" customHeight="1" s="192">
      <c r="W45475" s="235" t="n"/>
      <c r="X45475" s="235" t="n"/>
    </row>
    <row r="45476" ht="14.25" customHeight="1" s="192">
      <c r="W45476" s="239" t="n"/>
      <c r="X45476" s="239" t="n"/>
    </row>
    <row r="45477" ht="14.25" customHeight="1" s="192">
      <c r="W45477" s="235" t="n"/>
      <c r="X45477" s="235" t="n"/>
    </row>
    <row r="45478" ht="14.25" customHeight="1" s="192">
      <c r="W45478" s="239" t="n"/>
      <c r="X45478" s="239" t="n"/>
    </row>
    <row r="45480" ht="14.25" customHeight="1" s="192">
      <c r="W45480" s="235" t="n"/>
      <c r="X45480" s="235" t="n"/>
    </row>
    <row r="45481" ht="15" customHeight="1" s="192" thickBot="1">
      <c r="W45481" s="239" t="n"/>
      <c r="X45481" s="239" t="n"/>
    </row>
    <row r="45482" ht="15" customHeight="1" s="192" thickBot="1">
      <c r="W45482" s="45" t="n"/>
      <c r="X45482" s="45" t="n"/>
    </row>
    <row r="45483" ht="14.25" customHeight="1" s="192">
      <c r="W45483" s="228" t="n"/>
      <c r="X45483" s="228" t="n"/>
    </row>
    <row r="45484" ht="14.25" customHeight="1" s="192">
      <c r="W45484" s="228" t="n"/>
      <c r="X45484" s="228" t="n"/>
    </row>
    <row r="45485" ht="14.25" customHeight="1" s="192">
      <c r="W45485" s="231" t="n"/>
      <c r="X45485" s="231" t="n"/>
    </row>
    <row r="45486" ht="14.25" customHeight="1" s="192">
      <c r="W45486" s="33" t="n"/>
      <c r="X45486" s="33" t="n"/>
    </row>
    <row r="45487" ht="14.25" customHeight="1" s="192">
      <c r="W45487" s="231" t="n"/>
      <c r="X45487" s="231" t="n"/>
    </row>
    <row r="45488" ht="14.25" customHeight="1" s="192">
      <c r="W45488" s="33" t="n"/>
      <c r="X45488" s="33" t="n"/>
    </row>
    <row r="45490" ht="14.25" customHeight="1" s="192">
      <c r="W45490" s="231" t="n"/>
      <c r="X45490" s="231" t="n"/>
    </row>
    <row r="45491" ht="14.25" customHeight="1" s="192">
      <c r="W45491" s="235" t="n"/>
      <c r="X45491" s="235" t="n"/>
    </row>
    <row r="45492" ht="14.25" customHeight="1" s="192">
      <c r="W45492" s="228" t="n"/>
      <c r="X45492" s="228" t="n"/>
    </row>
    <row r="45493" ht="14.25" customHeight="1" s="192">
      <c r="W45493" s="235" t="n"/>
      <c r="X45493" s="235" t="n"/>
    </row>
    <row r="45494" ht="14.25" customHeight="1" s="192">
      <c r="W45494" s="235" t="n"/>
      <c r="X45494" s="235" t="n"/>
    </row>
    <row r="45495" ht="14.25" customHeight="1" s="192">
      <c r="W45495" s="235" t="n"/>
      <c r="X45495" s="235" t="n"/>
    </row>
    <row r="45496" ht="14.25" customHeight="1" s="192">
      <c r="W45496" s="239" t="n"/>
      <c r="X45496" s="239" t="n"/>
    </row>
    <row r="45497" ht="14.25" customHeight="1" s="192">
      <c r="W45497" s="239" t="n"/>
      <c r="X45497" s="239" t="n"/>
    </row>
    <row r="45498" ht="14.25" customHeight="1" s="192">
      <c r="W45498" s="239" t="n"/>
      <c r="X45498" s="239" t="n"/>
    </row>
    <row r="45499" ht="14.25" customHeight="1" s="192">
      <c r="W45499" s="235" t="n"/>
      <c r="X45499" s="235" t="n"/>
    </row>
    <row r="45500" ht="14.25" customHeight="1" s="192">
      <c r="W45500" s="235" t="n"/>
      <c r="X45500" s="235" t="n"/>
    </row>
    <row r="45501" ht="14.25" customHeight="1" s="192">
      <c r="W45501" s="235" t="n"/>
      <c r="X45501" s="235" t="n"/>
    </row>
    <row r="45502" ht="14.25" customHeight="1" s="192">
      <c r="W45502" s="239" t="n"/>
      <c r="X45502" s="239" t="n"/>
    </row>
    <row r="45503" ht="14.25" customHeight="1" s="192">
      <c r="W45503" s="239" t="n"/>
      <c r="X45503" s="239" t="n"/>
    </row>
    <row r="45504" ht="14.25" customHeight="1" s="192">
      <c r="W45504" s="235" t="n"/>
      <c r="X45504" s="235" t="n"/>
    </row>
    <row r="45505" ht="14.25" customHeight="1" s="192">
      <c r="W45505" s="235" t="n"/>
      <c r="X45505" s="235" t="n"/>
    </row>
    <row r="45506" ht="14.25" customHeight="1" s="192">
      <c r="W45506" s="239" t="n"/>
      <c r="X45506" s="239" t="n"/>
    </row>
    <row r="45507" ht="14.25" customHeight="1" s="192">
      <c r="W45507" s="235" t="n"/>
      <c r="X45507" s="235" t="n"/>
    </row>
    <row r="45508" ht="14.25" customHeight="1" s="192">
      <c r="W45508" s="239" t="n"/>
      <c r="X45508" s="239" t="n"/>
    </row>
    <row r="45510" ht="14.25" customHeight="1" s="192">
      <c r="W45510" s="235" t="n"/>
      <c r="X45510" s="235" t="n"/>
    </row>
    <row r="45511" ht="15" customHeight="1" s="192" thickBot="1">
      <c r="W45511" s="239" t="n"/>
      <c r="X45511" s="239" t="n"/>
    </row>
    <row r="45512" ht="15" customHeight="1" s="192" thickBot="1">
      <c r="W45512" s="45" t="n"/>
      <c r="X45512" s="45" t="n"/>
    </row>
    <row r="45513" ht="14.25" customHeight="1" s="192">
      <c r="W45513" s="228" t="n"/>
      <c r="X45513" s="228" t="n"/>
    </row>
    <row r="45514" ht="14.25" customHeight="1" s="192">
      <c r="W45514" s="228" t="n"/>
      <c r="X45514" s="228" t="n"/>
    </row>
    <row r="45515" ht="14.25" customHeight="1" s="192">
      <c r="W45515" s="231" t="n"/>
      <c r="X45515" s="231" t="n"/>
    </row>
    <row r="45516" ht="14.25" customHeight="1" s="192">
      <c r="W45516" s="33" t="n"/>
      <c r="X45516" s="33" t="n"/>
    </row>
    <row r="45517" ht="14.25" customHeight="1" s="192">
      <c r="W45517" s="231" t="n"/>
      <c r="X45517" s="231" t="n"/>
    </row>
    <row r="45518" ht="14.25" customHeight="1" s="192">
      <c r="W45518" s="33" t="n"/>
      <c r="X45518" s="33" t="n"/>
    </row>
    <row r="45520" ht="14.25" customHeight="1" s="192">
      <c r="W45520" s="231" t="n"/>
      <c r="X45520" s="231" t="n"/>
    </row>
    <row r="45521" ht="14.25" customHeight="1" s="192">
      <c r="W45521" s="235" t="n"/>
      <c r="X45521" s="235" t="n"/>
    </row>
    <row r="45522" ht="14.25" customHeight="1" s="192">
      <c r="W45522" s="228" t="n"/>
      <c r="X45522" s="228" t="n"/>
    </row>
    <row r="45523" ht="14.25" customHeight="1" s="192">
      <c r="W45523" s="235" t="n"/>
      <c r="X45523" s="235" t="n"/>
    </row>
    <row r="45524" ht="14.25" customHeight="1" s="192">
      <c r="W45524" s="235" t="n"/>
      <c r="X45524" s="235" t="n"/>
    </row>
    <row r="45525" ht="14.25" customHeight="1" s="192">
      <c r="W45525" s="235" t="n"/>
      <c r="X45525" s="235" t="n"/>
    </row>
    <row r="45526" ht="14.25" customHeight="1" s="192">
      <c r="W45526" s="239" t="n"/>
      <c r="X45526" s="239" t="n"/>
    </row>
    <row r="45527" ht="14.25" customHeight="1" s="192">
      <c r="W45527" s="239" t="n"/>
      <c r="X45527" s="239" t="n"/>
    </row>
    <row r="45528" ht="14.25" customHeight="1" s="192">
      <c r="W45528" s="239" t="n"/>
      <c r="X45528" s="239" t="n"/>
    </row>
    <row r="45529" ht="14.25" customHeight="1" s="192">
      <c r="W45529" s="235" t="n"/>
      <c r="X45529" s="235" t="n"/>
    </row>
    <row r="45530" ht="14.25" customHeight="1" s="192">
      <c r="W45530" s="235" t="n"/>
      <c r="X45530" s="235" t="n"/>
    </row>
    <row r="45531" ht="14.25" customHeight="1" s="192">
      <c r="W45531" s="235" t="n"/>
      <c r="X45531" s="235" t="n"/>
    </row>
    <row r="45532" ht="14.25" customHeight="1" s="192">
      <c r="W45532" s="239" t="n"/>
      <c r="X45532" s="239" t="n"/>
    </row>
    <row r="45533" ht="14.25" customHeight="1" s="192">
      <c r="W45533" s="239" t="n"/>
      <c r="X45533" s="239" t="n"/>
    </row>
    <row r="45534" ht="14.25" customHeight="1" s="192">
      <c r="W45534" s="235" t="n"/>
      <c r="X45534" s="235" t="n"/>
    </row>
    <row r="45535" ht="14.25" customHeight="1" s="192">
      <c r="W45535" s="235" t="n"/>
      <c r="X45535" s="235" t="n"/>
    </row>
    <row r="45536" ht="14.25" customHeight="1" s="192">
      <c r="W45536" s="239" t="n"/>
      <c r="X45536" s="239" t="n"/>
    </row>
    <row r="45537" ht="14.25" customHeight="1" s="192">
      <c r="W45537" s="235" t="n"/>
      <c r="X45537" s="235" t="n"/>
    </row>
    <row r="45538" ht="14.25" customHeight="1" s="192">
      <c r="W45538" s="239" t="n"/>
      <c r="X45538" s="239" t="n"/>
    </row>
    <row r="45540" ht="14.25" customHeight="1" s="192">
      <c r="W45540" s="235" t="n"/>
      <c r="X45540" s="235" t="n"/>
    </row>
    <row r="45541" ht="15" customHeight="1" s="192" thickBot="1">
      <c r="W45541" s="239" t="n"/>
      <c r="X45541" s="239" t="n"/>
    </row>
    <row r="45542" ht="15" customHeight="1" s="192" thickBot="1">
      <c r="W45542" s="45" t="n"/>
      <c r="X45542" s="45" t="n"/>
    </row>
    <row r="45543" ht="14.25" customHeight="1" s="192">
      <c r="W45543" s="228" t="n"/>
      <c r="X45543" s="228" t="n"/>
    </row>
    <row r="45544" ht="14.25" customHeight="1" s="192">
      <c r="W45544" s="228" t="n"/>
      <c r="X45544" s="228" t="n"/>
    </row>
    <row r="45545" ht="14.25" customHeight="1" s="192">
      <c r="W45545" s="231" t="n"/>
      <c r="X45545" s="231" t="n"/>
    </row>
    <row r="45546" ht="14.25" customHeight="1" s="192">
      <c r="W45546" s="33" t="n"/>
      <c r="X45546" s="33" t="n"/>
    </row>
    <row r="45547" ht="14.25" customHeight="1" s="192">
      <c r="W45547" s="231" t="n"/>
      <c r="X45547" s="231" t="n"/>
    </row>
    <row r="45548" ht="14.25" customHeight="1" s="192">
      <c r="W45548" s="33" t="n"/>
      <c r="X45548" s="33" t="n"/>
    </row>
    <row r="45550" ht="14.25" customHeight="1" s="192">
      <c r="W45550" s="231" t="n"/>
      <c r="X45550" s="231" t="n"/>
    </row>
    <row r="45551" ht="14.25" customHeight="1" s="192">
      <c r="W45551" s="235" t="n"/>
      <c r="X45551" s="235" t="n"/>
    </row>
    <row r="45552" ht="14.25" customHeight="1" s="192">
      <c r="W45552" s="228" t="n"/>
      <c r="X45552" s="228" t="n"/>
    </row>
    <row r="45553" ht="14.25" customHeight="1" s="192">
      <c r="W45553" s="235" t="n"/>
      <c r="X45553" s="235" t="n"/>
    </row>
    <row r="45554" ht="14.25" customHeight="1" s="192">
      <c r="W45554" s="235" t="n"/>
      <c r="X45554" s="235" t="n"/>
    </row>
    <row r="45555" ht="14.25" customHeight="1" s="192">
      <c r="W45555" s="235" t="n"/>
      <c r="X45555" s="235" t="n"/>
    </row>
    <row r="45556" ht="14.25" customHeight="1" s="192">
      <c r="W45556" s="239" t="n"/>
      <c r="X45556" s="239" t="n"/>
    </row>
    <row r="45557" ht="14.25" customHeight="1" s="192">
      <c r="W45557" s="239" t="n"/>
      <c r="X45557" s="239" t="n"/>
    </row>
    <row r="45558" ht="14.25" customHeight="1" s="192">
      <c r="W45558" s="239" t="n"/>
      <c r="X45558" s="239" t="n"/>
    </row>
    <row r="45559" ht="14.25" customHeight="1" s="192">
      <c r="W45559" s="235" t="n"/>
      <c r="X45559" s="235" t="n"/>
    </row>
    <row r="45560" ht="14.25" customHeight="1" s="192">
      <c r="W45560" s="235" t="n"/>
      <c r="X45560" s="235" t="n"/>
    </row>
    <row r="45561" ht="14.25" customHeight="1" s="192">
      <c r="W45561" s="235" t="n"/>
      <c r="X45561" s="235" t="n"/>
    </row>
    <row r="45562" ht="14.25" customHeight="1" s="192">
      <c r="W45562" s="239" t="n"/>
      <c r="X45562" s="239" t="n"/>
    </row>
    <row r="45563" ht="14.25" customHeight="1" s="192">
      <c r="W45563" s="239" t="n"/>
      <c r="X45563" s="239" t="n"/>
    </row>
    <row r="45564" ht="14.25" customHeight="1" s="192">
      <c r="W45564" s="235" t="n"/>
      <c r="X45564" s="235" t="n"/>
    </row>
    <row r="45565" ht="14.25" customHeight="1" s="192">
      <c r="W45565" s="235" t="n"/>
      <c r="X45565" s="235" t="n"/>
    </row>
    <row r="45566" ht="14.25" customHeight="1" s="192">
      <c r="W45566" s="239" t="n"/>
      <c r="X45566" s="239" t="n"/>
    </row>
    <row r="45567" ht="14.25" customHeight="1" s="192">
      <c r="W45567" s="235" t="n"/>
      <c r="X45567" s="235" t="n"/>
    </row>
    <row r="45568" ht="14.25" customHeight="1" s="192">
      <c r="W45568" s="239" t="n"/>
      <c r="X45568" s="239" t="n"/>
    </row>
    <row r="45570" ht="14.25" customHeight="1" s="192">
      <c r="W45570" s="235" t="n"/>
      <c r="X45570" s="235" t="n"/>
    </row>
    <row r="45571" ht="15" customHeight="1" s="192" thickBot="1">
      <c r="W45571" s="239" t="n"/>
      <c r="X45571" s="239" t="n"/>
    </row>
    <row r="45572" ht="15" customHeight="1" s="192" thickBot="1">
      <c r="W45572" s="45" t="n"/>
      <c r="X45572" s="45" t="n"/>
    </row>
    <row r="45573" ht="14.25" customHeight="1" s="192">
      <c r="W45573" s="228" t="n"/>
      <c r="X45573" s="228" t="n"/>
    </row>
    <row r="45574" ht="14.25" customHeight="1" s="192">
      <c r="W45574" s="228" t="n"/>
      <c r="X45574" s="228" t="n"/>
    </row>
    <row r="45575" ht="14.25" customHeight="1" s="192">
      <c r="W45575" s="231" t="n"/>
      <c r="X45575" s="231" t="n"/>
    </row>
    <row r="45576" ht="14.25" customHeight="1" s="192">
      <c r="W45576" s="33" t="n"/>
      <c r="X45576" s="33" t="n"/>
    </row>
    <row r="45577" ht="14.25" customHeight="1" s="192">
      <c r="W45577" s="231" t="n"/>
      <c r="X45577" s="231" t="n"/>
    </row>
    <row r="45578" ht="14.25" customHeight="1" s="192">
      <c r="W45578" s="33" t="n"/>
      <c r="X45578" s="33" t="n"/>
    </row>
    <row r="45580" ht="14.25" customHeight="1" s="192">
      <c r="W45580" s="231" t="n"/>
      <c r="X45580" s="231" t="n"/>
    </row>
    <row r="45581" ht="14.25" customHeight="1" s="192">
      <c r="W45581" s="235" t="n"/>
      <c r="X45581" s="235" t="n"/>
    </row>
    <row r="45582" ht="14.25" customHeight="1" s="192">
      <c r="W45582" s="228" t="n"/>
      <c r="X45582" s="228" t="n"/>
    </row>
    <row r="45583" ht="14.25" customHeight="1" s="192">
      <c r="W45583" s="235" t="n"/>
      <c r="X45583" s="235" t="n"/>
    </row>
    <row r="45584" ht="14.25" customHeight="1" s="192">
      <c r="W45584" s="235" t="n"/>
      <c r="X45584" s="235" t="n"/>
    </row>
    <row r="45585" ht="14.25" customHeight="1" s="192">
      <c r="W45585" s="235" t="n"/>
      <c r="X45585" s="235" t="n"/>
    </row>
    <row r="45586" ht="14.25" customHeight="1" s="192">
      <c r="W45586" s="239" t="n"/>
      <c r="X45586" s="239" t="n"/>
    </row>
    <row r="45587" ht="14.25" customHeight="1" s="192">
      <c r="W45587" s="239" t="n"/>
      <c r="X45587" s="239" t="n"/>
    </row>
    <row r="45588" ht="14.25" customHeight="1" s="192">
      <c r="W45588" s="239" t="n"/>
      <c r="X45588" s="239" t="n"/>
    </row>
    <row r="45589" ht="14.25" customHeight="1" s="192">
      <c r="W45589" s="235" t="n"/>
      <c r="X45589" s="235" t="n"/>
    </row>
    <row r="45590" ht="14.25" customHeight="1" s="192">
      <c r="W45590" s="235" t="n"/>
      <c r="X45590" s="235" t="n"/>
    </row>
    <row r="45591" ht="14.25" customHeight="1" s="192">
      <c r="W45591" s="235" t="n"/>
      <c r="X45591" s="235" t="n"/>
    </row>
    <row r="45592" ht="14.25" customHeight="1" s="192">
      <c r="W45592" s="239" t="n"/>
      <c r="X45592" s="239" t="n"/>
    </row>
    <row r="45593" ht="14.25" customHeight="1" s="192">
      <c r="W45593" s="239" t="n"/>
      <c r="X45593" s="239" t="n"/>
    </row>
    <row r="45594" ht="14.25" customHeight="1" s="192">
      <c r="W45594" s="235" t="n"/>
      <c r="X45594" s="235" t="n"/>
    </row>
    <row r="45595" ht="14.25" customHeight="1" s="192">
      <c r="W45595" s="235" t="n"/>
      <c r="X45595" s="235" t="n"/>
    </row>
    <row r="45596" ht="14.25" customHeight="1" s="192">
      <c r="W45596" s="239" t="n"/>
      <c r="X45596" s="239" t="n"/>
    </row>
    <row r="45597" ht="14.25" customHeight="1" s="192">
      <c r="W45597" s="235" t="n"/>
      <c r="X45597" s="235" t="n"/>
    </row>
    <row r="45598" ht="14.25" customHeight="1" s="192">
      <c r="W45598" s="239" t="n"/>
      <c r="X45598" s="239" t="n"/>
    </row>
    <row r="45600" ht="14.25" customHeight="1" s="192">
      <c r="W45600" s="235" t="n"/>
      <c r="X45600" s="235" t="n"/>
    </row>
    <row r="45601" ht="15" customHeight="1" s="192" thickBot="1">
      <c r="W45601" s="239" t="n"/>
      <c r="X45601" s="239" t="n"/>
    </row>
    <row r="45602" ht="15" customHeight="1" s="192" thickBot="1">
      <c r="W45602" s="45" t="n"/>
      <c r="X45602" s="45" t="n"/>
    </row>
    <row r="45603" ht="14.25" customHeight="1" s="192">
      <c r="W45603" s="228" t="n"/>
      <c r="X45603" s="228" t="n"/>
    </row>
    <row r="45604" ht="14.25" customHeight="1" s="192">
      <c r="W45604" s="228" t="n"/>
      <c r="X45604" s="228" t="n"/>
    </row>
    <row r="45605" ht="14.25" customHeight="1" s="192">
      <c r="W45605" s="231" t="n"/>
      <c r="X45605" s="231" t="n"/>
    </row>
    <row r="45606" ht="14.25" customHeight="1" s="192">
      <c r="W45606" s="33" t="n"/>
      <c r="X45606" s="33" t="n"/>
    </row>
    <row r="45607" ht="14.25" customHeight="1" s="192">
      <c r="W45607" s="231" t="n"/>
      <c r="X45607" s="231" t="n"/>
    </row>
    <row r="45608" ht="14.25" customHeight="1" s="192">
      <c r="W45608" s="33" t="n"/>
      <c r="X45608" s="33" t="n"/>
    </row>
    <row r="45610" ht="14.25" customHeight="1" s="192">
      <c r="W45610" s="231" t="n"/>
      <c r="X45610" s="231" t="n"/>
    </row>
    <row r="45611" ht="14.25" customHeight="1" s="192">
      <c r="W45611" s="235" t="n"/>
      <c r="X45611" s="235" t="n"/>
    </row>
    <row r="45612" ht="14.25" customHeight="1" s="192">
      <c r="W45612" s="228" t="n"/>
      <c r="X45612" s="228" t="n"/>
    </row>
    <row r="45613" ht="14.25" customHeight="1" s="192">
      <c r="W45613" s="235" t="n"/>
      <c r="X45613" s="235" t="n"/>
    </row>
    <row r="45614" ht="14.25" customHeight="1" s="192">
      <c r="W45614" s="235" t="n"/>
      <c r="X45614" s="235" t="n"/>
    </row>
    <row r="45615" ht="14.25" customHeight="1" s="192">
      <c r="W45615" s="235" t="n"/>
      <c r="X45615" s="235" t="n"/>
    </row>
    <row r="45616" ht="14.25" customHeight="1" s="192">
      <c r="W45616" s="239" t="n"/>
      <c r="X45616" s="239" t="n"/>
    </row>
    <row r="45617" ht="14.25" customHeight="1" s="192">
      <c r="W45617" s="239" t="n"/>
      <c r="X45617" s="239" t="n"/>
    </row>
    <row r="45618" ht="14.25" customHeight="1" s="192">
      <c r="W45618" s="239" t="n"/>
      <c r="X45618" s="239" t="n"/>
    </row>
    <row r="45619" ht="14.25" customHeight="1" s="192">
      <c r="W45619" s="235" t="n"/>
      <c r="X45619" s="235" t="n"/>
    </row>
    <row r="45620" ht="14.25" customHeight="1" s="192">
      <c r="W45620" s="235" t="n"/>
      <c r="X45620" s="235" t="n"/>
    </row>
    <row r="45621" ht="14.25" customHeight="1" s="192">
      <c r="W45621" s="235" t="n"/>
      <c r="X45621" s="235" t="n"/>
    </row>
    <row r="45622" ht="14.25" customHeight="1" s="192">
      <c r="W45622" s="239" t="n"/>
      <c r="X45622" s="239" t="n"/>
    </row>
    <row r="45623" ht="14.25" customHeight="1" s="192">
      <c r="W45623" s="239" t="n"/>
      <c r="X45623" s="239" t="n"/>
    </row>
    <row r="45624" ht="14.25" customHeight="1" s="192">
      <c r="W45624" s="235" t="n"/>
      <c r="X45624" s="235" t="n"/>
    </row>
    <row r="45625" ht="14.25" customHeight="1" s="192">
      <c r="W45625" s="235" t="n"/>
      <c r="X45625" s="235" t="n"/>
    </row>
    <row r="45626" ht="14.25" customHeight="1" s="192">
      <c r="W45626" s="239" t="n"/>
      <c r="X45626" s="239" t="n"/>
    </row>
    <row r="45627" ht="14.25" customHeight="1" s="192">
      <c r="W45627" s="235" t="n"/>
      <c r="X45627" s="235" t="n"/>
    </row>
    <row r="45628" ht="14.25" customHeight="1" s="192">
      <c r="W45628" s="239" t="n"/>
      <c r="X45628" s="239" t="n"/>
    </row>
    <row r="45630" ht="14.25" customHeight="1" s="192">
      <c r="W45630" s="235" t="n"/>
      <c r="X45630" s="235" t="n"/>
    </row>
    <row r="45631" ht="15" customHeight="1" s="192" thickBot="1">
      <c r="W45631" s="239" t="n"/>
      <c r="X45631" s="239" t="n"/>
    </row>
    <row r="45632" ht="15" customHeight="1" s="192" thickBot="1">
      <c r="W45632" s="45" t="n"/>
      <c r="X45632" s="45" t="n"/>
    </row>
    <row r="45633" ht="14.25" customHeight="1" s="192">
      <c r="W45633" s="228" t="n"/>
      <c r="X45633" s="228" t="n"/>
    </row>
    <row r="45634" ht="14.25" customHeight="1" s="192">
      <c r="W45634" s="228" t="n"/>
      <c r="X45634" s="228" t="n"/>
    </row>
    <row r="45635" ht="14.25" customHeight="1" s="192">
      <c r="W45635" s="231" t="n"/>
      <c r="X45635" s="231" t="n"/>
    </row>
    <row r="45636" ht="14.25" customHeight="1" s="192">
      <c r="W45636" s="33" t="n"/>
      <c r="X45636" s="33" t="n"/>
    </row>
    <row r="45637" ht="14.25" customHeight="1" s="192">
      <c r="W45637" s="231" t="n"/>
      <c r="X45637" s="231" t="n"/>
    </row>
    <row r="45638" ht="14.25" customHeight="1" s="192">
      <c r="W45638" s="33" t="n"/>
      <c r="X45638" s="33" t="n"/>
    </row>
    <row r="45640" ht="14.25" customHeight="1" s="192">
      <c r="W45640" s="231" t="n"/>
      <c r="X45640" s="231" t="n"/>
    </row>
    <row r="45641" ht="14.25" customHeight="1" s="192">
      <c r="W45641" s="235" t="n"/>
      <c r="X45641" s="235" t="n"/>
    </row>
    <row r="45642" ht="14.25" customHeight="1" s="192">
      <c r="W45642" s="228" t="n"/>
      <c r="X45642" s="228" t="n"/>
    </row>
    <row r="45643" ht="14.25" customHeight="1" s="192">
      <c r="W45643" s="235" t="n"/>
      <c r="X45643" s="235" t="n"/>
    </row>
    <row r="45644" ht="14.25" customHeight="1" s="192">
      <c r="W45644" s="235" t="n"/>
      <c r="X45644" s="235" t="n"/>
    </row>
    <row r="45645" ht="14.25" customHeight="1" s="192">
      <c r="W45645" s="235" t="n"/>
      <c r="X45645" s="235" t="n"/>
    </row>
    <row r="45646" ht="14.25" customHeight="1" s="192">
      <c r="W45646" s="239" t="n"/>
      <c r="X45646" s="239" t="n"/>
    </row>
    <row r="45647" ht="14.25" customHeight="1" s="192">
      <c r="W45647" s="239" t="n"/>
      <c r="X45647" s="239" t="n"/>
    </row>
    <row r="45648" ht="14.25" customHeight="1" s="192">
      <c r="W45648" s="239" t="n"/>
      <c r="X45648" s="239" t="n"/>
    </row>
    <row r="45649" ht="14.25" customHeight="1" s="192">
      <c r="W45649" s="235" t="n"/>
      <c r="X45649" s="235" t="n"/>
    </row>
    <row r="45650" ht="14.25" customHeight="1" s="192">
      <c r="W45650" s="235" t="n"/>
      <c r="X45650" s="235" t="n"/>
    </row>
    <row r="45651" ht="14.25" customHeight="1" s="192">
      <c r="W45651" s="235" t="n"/>
      <c r="X45651" s="235" t="n"/>
    </row>
    <row r="45652" ht="14.25" customHeight="1" s="192">
      <c r="W45652" s="239" t="n"/>
      <c r="X45652" s="239" t="n"/>
    </row>
    <row r="45653" ht="14.25" customHeight="1" s="192">
      <c r="W45653" s="239" t="n"/>
      <c r="X45653" s="239" t="n"/>
    </row>
    <row r="45654" ht="14.25" customHeight="1" s="192">
      <c r="W45654" s="235" t="n"/>
      <c r="X45654" s="235" t="n"/>
    </row>
    <row r="45655" ht="14.25" customHeight="1" s="192">
      <c r="W45655" s="235" t="n"/>
      <c r="X45655" s="235" t="n"/>
    </row>
    <row r="45656" ht="14.25" customHeight="1" s="192">
      <c r="W45656" s="239" t="n"/>
      <c r="X45656" s="239" t="n"/>
    </row>
    <row r="45657" ht="14.25" customHeight="1" s="192">
      <c r="W45657" s="235" t="n"/>
      <c r="X45657" s="235" t="n"/>
    </row>
    <row r="45658" ht="14.25" customHeight="1" s="192">
      <c r="W45658" s="239" t="n"/>
      <c r="X45658" s="239" t="n"/>
    </row>
    <row r="45660" ht="14.25" customHeight="1" s="192">
      <c r="W45660" s="235" t="n"/>
      <c r="X45660" s="235" t="n"/>
    </row>
    <row r="45661" ht="15" customHeight="1" s="192" thickBot="1">
      <c r="W45661" s="239" t="n"/>
      <c r="X45661" s="239" t="n"/>
    </row>
    <row r="45662" ht="15" customHeight="1" s="192" thickBot="1">
      <c r="W45662" s="45" t="n"/>
      <c r="X45662" s="45" t="n"/>
    </row>
    <row r="45663" ht="14.25" customHeight="1" s="192">
      <c r="W45663" s="228" t="n"/>
      <c r="X45663" s="228" t="n"/>
    </row>
    <row r="45664" ht="14.25" customHeight="1" s="192">
      <c r="W45664" s="228" t="n"/>
      <c r="X45664" s="228" t="n"/>
    </row>
    <row r="45665" ht="14.25" customHeight="1" s="192">
      <c r="W45665" s="231" t="n"/>
      <c r="X45665" s="231" t="n"/>
    </row>
    <row r="45666" ht="14.25" customHeight="1" s="192">
      <c r="W45666" s="33" t="n"/>
      <c r="X45666" s="33" t="n"/>
    </row>
    <row r="45667" ht="14.25" customHeight="1" s="192">
      <c r="W45667" s="231" t="n"/>
      <c r="X45667" s="231" t="n"/>
    </row>
    <row r="45668" ht="14.25" customHeight="1" s="192">
      <c r="W45668" s="33" t="n"/>
      <c r="X45668" s="33" t="n"/>
    </row>
    <row r="45670" ht="14.25" customHeight="1" s="192">
      <c r="W45670" s="231" t="n"/>
      <c r="X45670" s="231" t="n"/>
    </row>
    <row r="45671" ht="14.25" customHeight="1" s="192">
      <c r="W45671" s="235" t="n"/>
      <c r="X45671" s="235" t="n"/>
    </row>
    <row r="45672" ht="14.25" customHeight="1" s="192">
      <c r="W45672" s="228" t="n"/>
      <c r="X45672" s="228" t="n"/>
    </row>
    <row r="45673" ht="14.25" customHeight="1" s="192">
      <c r="W45673" s="235" t="n"/>
      <c r="X45673" s="235" t="n"/>
    </row>
    <row r="45674" ht="14.25" customHeight="1" s="192">
      <c r="W45674" s="235" t="n"/>
      <c r="X45674" s="235" t="n"/>
    </row>
    <row r="45675" ht="14.25" customHeight="1" s="192">
      <c r="W45675" s="235" t="n"/>
      <c r="X45675" s="235" t="n"/>
    </row>
    <row r="45676" ht="14.25" customHeight="1" s="192">
      <c r="W45676" s="239" t="n"/>
      <c r="X45676" s="239" t="n"/>
    </row>
    <row r="45677" ht="14.25" customHeight="1" s="192">
      <c r="W45677" s="239" t="n"/>
      <c r="X45677" s="239" t="n"/>
    </row>
    <row r="45678" ht="14.25" customHeight="1" s="192">
      <c r="W45678" s="239" t="n"/>
      <c r="X45678" s="239" t="n"/>
    </row>
    <row r="45679" ht="14.25" customHeight="1" s="192">
      <c r="W45679" s="235" t="n"/>
      <c r="X45679" s="235" t="n"/>
    </row>
    <row r="45680" ht="14.25" customHeight="1" s="192">
      <c r="W45680" s="235" t="n"/>
      <c r="X45680" s="235" t="n"/>
    </row>
    <row r="45681" ht="14.25" customHeight="1" s="192">
      <c r="W45681" s="235" t="n"/>
      <c r="X45681" s="235" t="n"/>
    </row>
    <row r="45682" ht="14.25" customHeight="1" s="192">
      <c r="W45682" s="239" t="n"/>
      <c r="X45682" s="239" t="n"/>
    </row>
    <row r="45683" ht="14.25" customHeight="1" s="192">
      <c r="W45683" s="239" t="n"/>
      <c r="X45683" s="239" t="n"/>
    </row>
    <row r="45684" ht="14.25" customHeight="1" s="192">
      <c r="W45684" s="235" t="n"/>
      <c r="X45684" s="235" t="n"/>
    </row>
    <row r="45685" ht="14.25" customHeight="1" s="192">
      <c r="W45685" s="235" t="n"/>
      <c r="X45685" s="235" t="n"/>
    </row>
    <row r="45686" ht="14.25" customHeight="1" s="192">
      <c r="W45686" s="239" t="n"/>
      <c r="X45686" s="239" t="n"/>
    </row>
    <row r="45687" ht="14.25" customHeight="1" s="192">
      <c r="W45687" s="235" t="n"/>
      <c r="X45687" s="235" t="n"/>
    </row>
    <row r="45688" ht="14.25" customHeight="1" s="192">
      <c r="W45688" s="239" t="n"/>
      <c r="X45688" s="239" t="n"/>
    </row>
    <row r="45690" ht="14.25" customHeight="1" s="192">
      <c r="W45690" s="235" t="n"/>
      <c r="X45690" s="235" t="n"/>
    </row>
    <row r="45691" ht="15" customHeight="1" s="192" thickBot="1">
      <c r="W45691" s="239" t="n"/>
      <c r="X45691" s="239" t="n"/>
    </row>
    <row r="45692" ht="15" customHeight="1" s="192" thickBot="1">
      <c r="W45692" s="45" t="n"/>
      <c r="X45692" s="45" t="n"/>
    </row>
    <row r="45693" ht="14.25" customHeight="1" s="192">
      <c r="W45693" s="228" t="n"/>
      <c r="X45693" s="228" t="n"/>
    </row>
    <row r="45694" ht="14.25" customHeight="1" s="192">
      <c r="W45694" s="228" t="n"/>
      <c r="X45694" s="228" t="n"/>
    </row>
    <row r="45695" ht="14.25" customHeight="1" s="192">
      <c r="W45695" s="231" t="n"/>
      <c r="X45695" s="231" t="n"/>
    </row>
    <row r="45696" ht="14.25" customHeight="1" s="192">
      <c r="W45696" s="33" t="n"/>
      <c r="X45696" s="33" t="n"/>
    </row>
    <row r="45697" ht="14.25" customHeight="1" s="192">
      <c r="W45697" s="231" t="n"/>
      <c r="X45697" s="231" t="n"/>
    </row>
    <row r="45698" ht="14.25" customHeight="1" s="192">
      <c r="W45698" s="33" t="n"/>
      <c r="X45698" s="33" t="n"/>
    </row>
    <row r="45700" ht="14.25" customHeight="1" s="192">
      <c r="W45700" s="231" t="n"/>
      <c r="X45700" s="231" t="n"/>
    </row>
    <row r="45701" ht="14.25" customHeight="1" s="192">
      <c r="W45701" s="235" t="n"/>
      <c r="X45701" s="235" t="n"/>
    </row>
    <row r="45702" ht="14.25" customHeight="1" s="192">
      <c r="W45702" s="228" t="n"/>
      <c r="X45702" s="228" t="n"/>
    </row>
    <row r="45703" ht="14.25" customHeight="1" s="192">
      <c r="W45703" s="235" t="n"/>
      <c r="X45703" s="235" t="n"/>
    </row>
    <row r="45704" ht="14.25" customHeight="1" s="192">
      <c r="W45704" s="235" t="n"/>
      <c r="X45704" s="235" t="n"/>
    </row>
    <row r="45705" ht="14.25" customHeight="1" s="192">
      <c r="W45705" s="235" t="n"/>
      <c r="X45705" s="235" t="n"/>
    </row>
    <row r="45706" ht="14.25" customHeight="1" s="192">
      <c r="W45706" s="239" t="n"/>
      <c r="X45706" s="239" t="n"/>
    </row>
    <row r="45707" ht="14.25" customHeight="1" s="192">
      <c r="W45707" s="239" t="n"/>
      <c r="X45707" s="239" t="n"/>
    </row>
    <row r="45708" ht="14.25" customHeight="1" s="192">
      <c r="W45708" s="239" t="n"/>
      <c r="X45708" s="239" t="n"/>
    </row>
    <row r="45709" ht="14.25" customHeight="1" s="192">
      <c r="W45709" s="235" t="n"/>
      <c r="X45709" s="235" t="n"/>
    </row>
    <row r="45710" ht="14.25" customHeight="1" s="192">
      <c r="W45710" s="235" t="n"/>
      <c r="X45710" s="235" t="n"/>
    </row>
    <row r="45711" ht="14.25" customHeight="1" s="192">
      <c r="W45711" s="235" t="n"/>
      <c r="X45711" s="235" t="n"/>
    </row>
    <row r="45712" ht="14.25" customHeight="1" s="192">
      <c r="W45712" s="239" t="n"/>
      <c r="X45712" s="239" t="n"/>
    </row>
    <row r="45713" ht="14.25" customHeight="1" s="192">
      <c r="W45713" s="239" t="n"/>
      <c r="X45713" s="239" t="n"/>
    </row>
    <row r="45714" ht="14.25" customHeight="1" s="192">
      <c r="W45714" s="235" t="n"/>
      <c r="X45714" s="235" t="n"/>
    </row>
    <row r="45715" ht="14.25" customHeight="1" s="192">
      <c r="W45715" s="235" t="n"/>
      <c r="X45715" s="235" t="n"/>
    </row>
    <row r="45716" ht="14.25" customHeight="1" s="192">
      <c r="W45716" s="239" t="n"/>
      <c r="X45716" s="239" t="n"/>
    </row>
    <row r="45717" ht="14.25" customHeight="1" s="192">
      <c r="W45717" s="235" t="n"/>
      <c r="X45717" s="235" t="n"/>
    </row>
    <row r="45718" ht="14.25" customHeight="1" s="192">
      <c r="W45718" s="239" t="n"/>
      <c r="X45718" s="239" t="n"/>
    </row>
    <row r="45720" ht="14.25" customHeight="1" s="192">
      <c r="W45720" s="235" t="n"/>
      <c r="X45720" s="235" t="n"/>
    </row>
    <row r="45721" ht="15" customHeight="1" s="192" thickBot="1">
      <c r="W45721" s="239" t="n"/>
      <c r="X45721" s="239" t="n"/>
    </row>
    <row r="45722" ht="15" customHeight="1" s="192" thickBot="1">
      <c r="W45722" s="45" t="n"/>
      <c r="X45722" s="45" t="n"/>
    </row>
    <row r="45723" ht="14.25" customHeight="1" s="192">
      <c r="W45723" s="228" t="n"/>
      <c r="X45723" s="228" t="n"/>
    </row>
    <row r="45724" ht="14.25" customHeight="1" s="192">
      <c r="W45724" s="228" t="n"/>
      <c r="X45724" s="228" t="n"/>
    </row>
    <row r="45725" ht="14.25" customHeight="1" s="192">
      <c r="W45725" s="231" t="n"/>
      <c r="X45725" s="231" t="n"/>
    </row>
    <row r="45726" ht="14.25" customHeight="1" s="192">
      <c r="W45726" s="33" t="n"/>
      <c r="X45726" s="33" t="n"/>
    </row>
    <row r="45727" ht="14.25" customHeight="1" s="192">
      <c r="W45727" s="231" t="n"/>
      <c r="X45727" s="231" t="n"/>
    </row>
    <row r="45728" ht="14.25" customHeight="1" s="192">
      <c r="W45728" s="33" t="n"/>
      <c r="X45728" s="33" t="n"/>
    </row>
    <row r="45730" ht="14.25" customHeight="1" s="192">
      <c r="W45730" s="231" t="n"/>
      <c r="X45730" s="231" t="n"/>
    </row>
    <row r="45731" ht="14.25" customHeight="1" s="192">
      <c r="W45731" s="235" t="n"/>
      <c r="X45731" s="235" t="n"/>
    </row>
    <row r="45732" ht="14.25" customHeight="1" s="192">
      <c r="W45732" s="228" t="n"/>
      <c r="X45732" s="228" t="n"/>
    </row>
    <row r="45733" ht="14.25" customHeight="1" s="192">
      <c r="W45733" s="235" t="n"/>
      <c r="X45733" s="235" t="n"/>
    </row>
    <row r="45734" ht="14.25" customHeight="1" s="192">
      <c r="W45734" s="235" t="n"/>
      <c r="X45734" s="235" t="n"/>
    </row>
    <row r="45735" ht="14.25" customHeight="1" s="192">
      <c r="W45735" s="235" t="n"/>
      <c r="X45735" s="235" t="n"/>
    </row>
    <row r="45736" ht="14.25" customHeight="1" s="192">
      <c r="W45736" s="239" t="n"/>
      <c r="X45736" s="239" t="n"/>
    </row>
    <row r="45737" ht="14.25" customHeight="1" s="192">
      <c r="W45737" s="239" t="n"/>
      <c r="X45737" s="239" t="n"/>
    </row>
    <row r="45738" ht="14.25" customHeight="1" s="192">
      <c r="W45738" s="239" t="n"/>
      <c r="X45738" s="239" t="n"/>
    </row>
    <row r="45739" ht="14.25" customHeight="1" s="192">
      <c r="W45739" s="235" t="n"/>
      <c r="X45739" s="235" t="n"/>
    </row>
    <row r="45740" ht="14.25" customHeight="1" s="192">
      <c r="W45740" s="235" t="n"/>
      <c r="X45740" s="235" t="n"/>
    </row>
    <row r="45741" ht="14.25" customHeight="1" s="192">
      <c r="W45741" s="235" t="n"/>
      <c r="X45741" s="235" t="n"/>
    </row>
    <row r="45742" ht="14.25" customHeight="1" s="192">
      <c r="W45742" s="239" t="n"/>
      <c r="X45742" s="239" t="n"/>
    </row>
    <row r="45743" ht="14.25" customHeight="1" s="192">
      <c r="W45743" s="239" t="n"/>
      <c r="X45743" s="239" t="n"/>
    </row>
    <row r="45744" ht="14.25" customHeight="1" s="192">
      <c r="W45744" s="235" t="n"/>
      <c r="X45744" s="235" t="n"/>
    </row>
    <row r="45745" ht="14.25" customHeight="1" s="192">
      <c r="W45745" s="235" t="n"/>
      <c r="X45745" s="235" t="n"/>
    </row>
    <row r="45746" ht="14.25" customHeight="1" s="192">
      <c r="W45746" s="239" t="n"/>
      <c r="X45746" s="239" t="n"/>
    </row>
    <row r="45747" ht="14.25" customHeight="1" s="192">
      <c r="W45747" s="235" t="n"/>
      <c r="X45747" s="235" t="n"/>
    </row>
    <row r="45748" ht="14.25" customHeight="1" s="192">
      <c r="W45748" s="239" t="n"/>
      <c r="X45748" s="239" t="n"/>
    </row>
    <row r="45750" ht="14.25" customHeight="1" s="192">
      <c r="W45750" s="235" t="n"/>
      <c r="X45750" s="235" t="n"/>
    </row>
    <row r="45751" ht="15" customHeight="1" s="192" thickBot="1">
      <c r="W45751" s="239" t="n"/>
      <c r="X45751" s="239" t="n"/>
    </row>
    <row r="45752" ht="15" customHeight="1" s="192" thickBot="1">
      <c r="W45752" s="45" t="n"/>
      <c r="X45752" s="45" t="n"/>
    </row>
    <row r="45753" ht="14.25" customHeight="1" s="192">
      <c r="W45753" s="228" t="n"/>
      <c r="X45753" s="228" t="n"/>
    </row>
    <row r="45754" ht="14.25" customHeight="1" s="192">
      <c r="W45754" s="228" t="n"/>
      <c r="X45754" s="228" t="n"/>
    </row>
    <row r="45755" ht="14.25" customHeight="1" s="192">
      <c r="W45755" s="231" t="n"/>
      <c r="X45755" s="231" t="n"/>
    </row>
    <row r="45756" ht="14.25" customHeight="1" s="192">
      <c r="W45756" s="33" t="n"/>
      <c r="X45756" s="33" t="n"/>
    </row>
    <row r="45757" ht="14.25" customHeight="1" s="192">
      <c r="W45757" s="231" t="n"/>
      <c r="X45757" s="231" t="n"/>
    </row>
    <row r="45758" ht="14.25" customHeight="1" s="192">
      <c r="W45758" s="33" t="n"/>
      <c r="X45758" s="33" t="n"/>
    </row>
    <row r="45760" ht="14.25" customHeight="1" s="192">
      <c r="W45760" s="231" t="n"/>
      <c r="X45760" s="231" t="n"/>
    </row>
    <row r="45761" ht="14.25" customHeight="1" s="192">
      <c r="W45761" s="235" t="n"/>
      <c r="X45761" s="235" t="n"/>
    </row>
    <row r="45762" ht="14.25" customHeight="1" s="192">
      <c r="W45762" s="228" t="n"/>
      <c r="X45762" s="228" t="n"/>
    </row>
    <row r="45763" ht="14.25" customHeight="1" s="192">
      <c r="W45763" s="235" t="n"/>
      <c r="X45763" s="235" t="n"/>
    </row>
    <row r="45764" ht="14.25" customHeight="1" s="192">
      <c r="W45764" s="235" t="n"/>
      <c r="X45764" s="235" t="n"/>
    </row>
    <row r="45765" ht="14.25" customHeight="1" s="192">
      <c r="W45765" s="235" t="n"/>
      <c r="X45765" s="235" t="n"/>
    </row>
    <row r="45766" ht="14.25" customHeight="1" s="192">
      <c r="W45766" s="239" t="n"/>
      <c r="X45766" s="239" t="n"/>
    </row>
    <row r="45767" ht="14.25" customHeight="1" s="192">
      <c r="W45767" s="239" t="n"/>
      <c r="X45767" s="239" t="n"/>
    </row>
    <row r="45768" ht="14.25" customHeight="1" s="192">
      <c r="W45768" s="239" t="n"/>
      <c r="X45768" s="239" t="n"/>
    </row>
    <row r="45769" ht="14.25" customHeight="1" s="192">
      <c r="W45769" s="235" t="n"/>
      <c r="X45769" s="235" t="n"/>
    </row>
    <row r="45770" ht="14.25" customHeight="1" s="192">
      <c r="W45770" s="235" t="n"/>
      <c r="X45770" s="235" t="n"/>
    </row>
    <row r="45771" ht="14.25" customHeight="1" s="192">
      <c r="W45771" s="235" t="n"/>
      <c r="X45771" s="235" t="n"/>
    </row>
    <row r="45772" ht="14.25" customHeight="1" s="192">
      <c r="W45772" s="239" t="n"/>
      <c r="X45772" s="239" t="n"/>
    </row>
    <row r="45773" ht="14.25" customHeight="1" s="192">
      <c r="W45773" s="239" t="n"/>
      <c r="X45773" s="239" t="n"/>
    </row>
    <row r="45774" ht="14.25" customHeight="1" s="192">
      <c r="W45774" s="235" t="n"/>
      <c r="X45774" s="235" t="n"/>
    </row>
    <row r="45775" ht="14.25" customHeight="1" s="192">
      <c r="W45775" s="235" t="n"/>
      <c r="X45775" s="235" t="n"/>
    </row>
    <row r="45776" ht="14.25" customHeight="1" s="192">
      <c r="W45776" s="239" t="n"/>
      <c r="X45776" s="239" t="n"/>
    </row>
    <row r="45777" ht="14.25" customHeight="1" s="192">
      <c r="W45777" s="235" t="n"/>
      <c r="X45777" s="235" t="n"/>
    </row>
    <row r="45778" ht="14.25" customHeight="1" s="192">
      <c r="W45778" s="239" t="n"/>
      <c r="X45778" s="239" t="n"/>
    </row>
    <row r="45780" ht="14.25" customHeight="1" s="192">
      <c r="W45780" s="235" t="n"/>
      <c r="X45780" s="235" t="n"/>
    </row>
    <row r="45781" ht="15" customHeight="1" s="192" thickBot="1">
      <c r="W45781" s="239" t="n"/>
      <c r="X45781" s="239" t="n"/>
    </row>
    <row r="45782" ht="15" customHeight="1" s="192" thickBot="1">
      <c r="W45782" s="45" t="n"/>
      <c r="X45782" s="45" t="n"/>
    </row>
    <row r="45783" ht="14.25" customHeight="1" s="192">
      <c r="W45783" s="228" t="n"/>
      <c r="X45783" s="228" t="n"/>
    </row>
    <row r="45784" ht="14.25" customHeight="1" s="192">
      <c r="W45784" s="228" t="n"/>
      <c r="X45784" s="228" t="n"/>
    </row>
    <row r="45785" ht="14.25" customHeight="1" s="192">
      <c r="W45785" s="231" t="n"/>
      <c r="X45785" s="231" t="n"/>
    </row>
    <row r="45786" ht="14.25" customHeight="1" s="192">
      <c r="W45786" s="33" t="n"/>
      <c r="X45786" s="33" t="n"/>
    </row>
    <row r="45787" ht="14.25" customHeight="1" s="192">
      <c r="W45787" s="231" t="n"/>
      <c r="X45787" s="231" t="n"/>
    </row>
    <row r="45788" ht="14.25" customHeight="1" s="192">
      <c r="W45788" s="33" t="n"/>
      <c r="X45788" s="33" t="n"/>
    </row>
    <row r="45790" ht="14.25" customHeight="1" s="192">
      <c r="W45790" s="231" t="n"/>
      <c r="X45790" s="231" t="n"/>
    </row>
    <row r="45791" ht="14.25" customHeight="1" s="192">
      <c r="W45791" s="235" t="n"/>
      <c r="X45791" s="235" t="n"/>
    </row>
    <row r="45792" ht="14.25" customHeight="1" s="192">
      <c r="W45792" s="228" t="n"/>
      <c r="X45792" s="228" t="n"/>
    </row>
    <row r="45793" ht="14.25" customHeight="1" s="192">
      <c r="W45793" s="235" t="n"/>
      <c r="X45793" s="235" t="n"/>
    </row>
    <row r="45794" ht="14.25" customHeight="1" s="192">
      <c r="W45794" s="235" t="n"/>
      <c r="X45794" s="235" t="n"/>
    </row>
    <row r="45795" ht="14.25" customHeight="1" s="192">
      <c r="W45795" s="235" t="n"/>
      <c r="X45795" s="235" t="n"/>
    </row>
    <row r="45796" ht="14.25" customHeight="1" s="192">
      <c r="W45796" s="239" t="n"/>
      <c r="X45796" s="239" t="n"/>
    </row>
    <row r="45797" ht="14.25" customHeight="1" s="192">
      <c r="W45797" s="239" t="n"/>
      <c r="X45797" s="239" t="n"/>
    </row>
    <row r="45798" ht="14.25" customHeight="1" s="192">
      <c r="W45798" s="239" t="n"/>
      <c r="X45798" s="239" t="n"/>
    </row>
    <row r="45799" ht="14.25" customHeight="1" s="192">
      <c r="W45799" s="235" t="n"/>
      <c r="X45799" s="235" t="n"/>
    </row>
    <row r="45800" ht="14.25" customHeight="1" s="192">
      <c r="W45800" s="235" t="n"/>
      <c r="X45800" s="235" t="n"/>
    </row>
    <row r="45801" ht="14.25" customHeight="1" s="192">
      <c r="W45801" s="235" t="n"/>
      <c r="X45801" s="235" t="n"/>
    </row>
    <row r="45802" ht="14.25" customHeight="1" s="192">
      <c r="W45802" s="239" t="n"/>
      <c r="X45802" s="239" t="n"/>
    </row>
    <row r="45803" ht="14.25" customHeight="1" s="192">
      <c r="W45803" s="239" t="n"/>
      <c r="X45803" s="239" t="n"/>
    </row>
    <row r="45804" ht="14.25" customHeight="1" s="192">
      <c r="W45804" s="235" t="n"/>
      <c r="X45804" s="235" t="n"/>
    </row>
    <row r="45805" ht="14.25" customHeight="1" s="192">
      <c r="W45805" s="235" t="n"/>
      <c r="X45805" s="235" t="n"/>
    </row>
    <row r="45806" ht="14.25" customHeight="1" s="192">
      <c r="W45806" s="239" t="n"/>
      <c r="X45806" s="239" t="n"/>
    </row>
    <row r="45807" ht="14.25" customHeight="1" s="192">
      <c r="W45807" s="235" t="n"/>
      <c r="X45807" s="235" t="n"/>
    </row>
    <row r="45808" ht="14.25" customHeight="1" s="192">
      <c r="W45808" s="239" t="n"/>
      <c r="X45808" s="239" t="n"/>
    </row>
    <row r="45810" ht="14.25" customHeight="1" s="192">
      <c r="W45810" s="235" t="n"/>
      <c r="X45810" s="235" t="n"/>
    </row>
    <row r="45811" ht="15" customHeight="1" s="192" thickBot="1">
      <c r="W45811" s="239" t="n"/>
      <c r="X45811" s="239" t="n"/>
    </row>
    <row r="45812" ht="15" customHeight="1" s="192" thickBot="1">
      <c r="W45812" s="45" t="n"/>
      <c r="X45812" s="45" t="n"/>
    </row>
    <row r="45813" ht="14.25" customHeight="1" s="192">
      <c r="W45813" s="228" t="n"/>
      <c r="X45813" s="228" t="n"/>
    </row>
    <row r="45814" ht="14.25" customHeight="1" s="192">
      <c r="W45814" s="228" t="n"/>
      <c r="X45814" s="228" t="n"/>
    </row>
    <row r="45815" ht="14.25" customHeight="1" s="192">
      <c r="W45815" s="231" t="n"/>
      <c r="X45815" s="231" t="n"/>
    </row>
    <row r="45816" ht="14.25" customHeight="1" s="192">
      <c r="W45816" s="33" t="n"/>
      <c r="X45816" s="33" t="n"/>
    </row>
    <row r="45817" ht="14.25" customHeight="1" s="192">
      <c r="W45817" s="231" t="n"/>
      <c r="X45817" s="231" t="n"/>
    </row>
    <row r="45818" ht="14.25" customHeight="1" s="192">
      <c r="W45818" s="33" t="n"/>
      <c r="X45818" s="33" t="n"/>
    </row>
    <row r="45820" ht="14.25" customHeight="1" s="192">
      <c r="W45820" s="231" t="n"/>
      <c r="X45820" s="231" t="n"/>
    </row>
    <row r="45821" ht="14.25" customHeight="1" s="192">
      <c r="W45821" s="235" t="n"/>
      <c r="X45821" s="235" t="n"/>
    </row>
    <row r="45822" ht="14.25" customHeight="1" s="192">
      <c r="W45822" s="228" t="n"/>
      <c r="X45822" s="228" t="n"/>
    </row>
    <row r="45823" ht="14.25" customHeight="1" s="192">
      <c r="W45823" s="235" t="n"/>
      <c r="X45823" s="235" t="n"/>
    </row>
    <row r="45824" ht="14.25" customHeight="1" s="192">
      <c r="W45824" s="235" t="n"/>
      <c r="X45824" s="235" t="n"/>
    </row>
    <row r="45825" ht="14.25" customHeight="1" s="192">
      <c r="W45825" s="235" t="n"/>
      <c r="X45825" s="235" t="n"/>
    </row>
    <row r="45826" ht="14.25" customHeight="1" s="192">
      <c r="W45826" s="239" t="n"/>
      <c r="X45826" s="239" t="n"/>
    </row>
    <row r="45827" ht="14.25" customHeight="1" s="192">
      <c r="W45827" s="239" t="n"/>
      <c r="X45827" s="239" t="n"/>
    </row>
    <row r="45828" ht="14.25" customHeight="1" s="192">
      <c r="W45828" s="239" t="n"/>
      <c r="X45828" s="239" t="n"/>
    </row>
    <row r="45829" ht="14.25" customHeight="1" s="192">
      <c r="W45829" s="235" t="n"/>
      <c r="X45829" s="235" t="n"/>
    </row>
    <row r="45830" ht="14.25" customHeight="1" s="192">
      <c r="W45830" s="235" t="n"/>
      <c r="X45830" s="235" t="n"/>
    </row>
    <row r="45831" ht="14.25" customHeight="1" s="192">
      <c r="W45831" s="235" t="n"/>
      <c r="X45831" s="235" t="n"/>
    </row>
    <row r="45832" ht="14.25" customHeight="1" s="192">
      <c r="W45832" s="239" t="n"/>
      <c r="X45832" s="239" t="n"/>
    </row>
    <row r="45833" ht="14.25" customHeight="1" s="192">
      <c r="W45833" s="239" t="n"/>
      <c r="X45833" s="239" t="n"/>
    </row>
    <row r="45834" ht="14.25" customHeight="1" s="192">
      <c r="W45834" s="235" t="n"/>
      <c r="X45834" s="235" t="n"/>
    </row>
    <row r="45835" ht="14.25" customHeight="1" s="192">
      <c r="W45835" s="235" t="n"/>
      <c r="X45835" s="235" t="n"/>
    </row>
    <row r="45836" ht="14.25" customHeight="1" s="192">
      <c r="W45836" s="239" t="n"/>
      <c r="X45836" s="239" t="n"/>
    </row>
    <row r="45837" ht="14.25" customHeight="1" s="192">
      <c r="W45837" s="235" t="n"/>
      <c r="X45837" s="235" t="n"/>
    </row>
    <row r="45838" ht="14.25" customHeight="1" s="192">
      <c r="W45838" s="239" t="n"/>
      <c r="X45838" s="239" t="n"/>
    </row>
    <row r="45840" ht="14.25" customHeight="1" s="192">
      <c r="W45840" s="235" t="n"/>
      <c r="X45840" s="235" t="n"/>
    </row>
    <row r="45841" ht="15" customHeight="1" s="192" thickBot="1">
      <c r="W45841" s="239" t="n"/>
      <c r="X45841" s="239" t="n"/>
    </row>
    <row r="45842" ht="15" customHeight="1" s="192" thickBot="1">
      <c r="W45842" s="45" t="n"/>
      <c r="X45842" s="45" t="n"/>
    </row>
    <row r="45843" ht="14.25" customHeight="1" s="192">
      <c r="W45843" s="228" t="n"/>
      <c r="X45843" s="228" t="n"/>
    </row>
    <row r="45844" ht="14.25" customHeight="1" s="192">
      <c r="W45844" s="228" t="n"/>
      <c r="X45844" s="228" t="n"/>
    </row>
    <row r="45845" ht="14.25" customHeight="1" s="192">
      <c r="W45845" s="231" t="n"/>
      <c r="X45845" s="231" t="n"/>
    </row>
    <row r="45846" ht="14.25" customHeight="1" s="192">
      <c r="W45846" s="33" t="n"/>
      <c r="X45846" s="33" t="n"/>
    </row>
    <row r="45847" ht="14.25" customHeight="1" s="192">
      <c r="W45847" s="231" t="n"/>
      <c r="X45847" s="231" t="n"/>
    </row>
    <row r="45848" ht="14.25" customHeight="1" s="192">
      <c r="W45848" s="33" t="n"/>
      <c r="X45848" s="33" t="n"/>
    </row>
    <row r="45850" ht="14.25" customHeight="1" s="192">
      <c r="W45850" s="231" t="n"/>
      <c r="X45850" s="231" t="n"/>
    </row>
    <row r="45851" ht="14.25" customHeight="1" s="192">
      <c r="W45851" s="235" t="n"/>
      <c r="X45851" s="235" t="n"/>
    </row>
    <row r="45852" ht="14.25" customHeight="1" s="192">
      <c r="W45852" s="228" t="n"/>
      <c r="X45852" s="228" t="n"/>
    </row>
    <row r="45853" ht="14.25" customHeight="1" s="192">
      <c r="W45853" s="235" t="n"/>
      <c r="X45853" s="235" t="n"/>
    </row>
    <row r="45854" ht="14.25" customHeight="1" s="192">
      <c r="W45854" s="235" t="n"/>
      <c r="X45854" s="235" t="n"/>
    </row>
    <row r="45855" ht="14.25" customHeight="1" s="192">
      <c r="W45855" s="235" t="n"/>
      <c r="X45855" s="235" t="n"/>
    </row>
    <row r="45856" ht="14.25" customHeight="1" s="192">
      <c r="W45856" s="239" t="n"/>
      <c r="X45856" s="239" t="n"/>
    </row>
    <row r="45857" ht="14.25" customHeight="1" s="192">
      <c r="W45857" s="239" t="n"/>
      <c r="X45857" s="239" t="n"/>
    </row>
    <row r="45858" ht="14.25" customHeight="1" s="192">
      <c r="W45858" s="239" t="n"/>
      <c r="X45858" s="239" t="n"/>
    </row>
    <row r="45859" ht="14.25" customHeight="1" s="192">
      <c r="W45859" s="235" t="n"/>
      <c r="X45859" s="235" t="n"/>
    </row>
    <row r="45860" ht="14.25" customHeight="1" s="192">
      <c r="W45860" s="235" t="n"/>
      <c r="X45860" s="235" t="n"/>
    </row>
    <row r="45861" ht="14.25" customHeight="1" s="192">
      <c r="W45861" s="235" t="n"/>
      <c r="X45861" s="235" t="n"/>
    </row>
    <row r="45862" ht="14.25" customHeight="1" s="192">
      <c r="W45862" s="239" t="n"/>
      <c r="X45862" s="239" t="n"/>
    </row>
    <row r="45863" ht="14.25" customHeight="1" s="192">
      <c r="W45863" s="239" t="n"/>
      <c r="X45863" s="239" t="n"/>
    </row>
    <row r="45864" ht="14.25" customHeight="1" s="192">
      <c r="W45864" s="235" t="n"/>
      <c r="X45864" s="235" t="n"/>
    </row>
    <row r="45865" ht="14.25" customHeight="1" s="192">
      <c r="W45865" s="235" t="n"/>
      <c r="X45865" s="235" t="n"/>
    </row>
    <row r="45866" ht="14.25" customHeight="1" s="192">
      <c r="W45866" s="239" t="n"/>
      <c r="X45866" s="239" t="n"/>
    </row>
    <row r="45867" ht="14.25" customHeight="1" s="192">
      <c r="W45867" s="235" t="n"/>
      <c r="X45867" s="235" t="n"/>
    </row>
    <row r="45868" ht="14.25" customHeight="1" s="192">
      <c r="W45868" s="239" t="n"/>
      <c r="X45868" s="239" t="n"/>
    </row>
    <row r="45870" ht="14.25" customHeight="1" s="192">
      <c r="W45870" s="235" t="n"/>
      <c r="X45870" s="235" t="n"/>
    </row>
    <row r="45871" ht="15" customHeight="1" s="192" thickBot="1">
      <c r="W45871" s="239" t="n"/>
      <c r="X45871" s="239" t="n"/>
    </row>
    <row r="45872" ht="15" customHeight="1" s="192" thickBot="1">
      <c r="W45872" s="45" t="n"/>
      <c r="X45872" s="45" t="n"/>
    </row>
    <row r="45873" ht="14.25" customHeight="1" s="192">
      <c r="W45873" s="228" t="n"/>
      <c r="X45873" s="228" t="n"/>
    </row>
    <row r="45874" ht="14.25" customHeight="1" s="192">
      <c r="W45874" s="228" t="n"/>
      <c r="X45874" s="228" t="n"/>
    </row>
    <row r="45875" ht="14.25" customHeight="1" s="192">
      <c r="W45875" s="231" t="n"/>
      <c r="X45875" s="231" t="n"/>
    </row>
    <row r="45876" ht="14.25" customHeight="1" s="192">
      <c r="W45876" s="33" t="n"/>
      <c r="X45876" s="33" t="n"/>
    </row>
    <row r="45877" ht="14.25" customHeight="1" s="192">
      <c r="W45877" s="231" t="n"/>
      <c r="X45877" s="231" t="n"/>
    </row>
    <row r="45878" ht="14.25" customHeight="1" s="192">
      <c r="W45878" s="33" t="n"/>
      <c r="X45878" s="33" t="n"/>
    </row>
    <row r="45880" ht="14.25" customHeight="1" s="192">
      <c r="W45880" s="231" t="n"/>
      <c r="X45880" s="231" t="n"/>
    </row>
    <row r="45881" ht="14.25" customHeight="1" s="192">
      <c r="W45881" s="235" t="n"/>
      <c r="X45881" s="235" t="n"/>
    </row>
    <row r="45882" ht="14.25" customHeight="1" s="192">
      <c r="W45882" s="228" t="n"/>
      <c r="X45882" s="228" t="n"/>
    </row>
    <row r="45883" ht="14.25" customHeight="1" s="192">
      <c r="W45883" s="235" t="n"/>
      <c r="X45883" s="235" t="n"/>
    </row>
    <row r="45884" ht="14.25" customHeight="1" s="192">
      <c r="W45884" s="235" t="n"/>
      <c r="X45884" s="235" t="n"/>
    </row>
    <row r="45885" ht="14.25" customHeight="1" s="192">
      <c r="W45885" s="235" t="n"/>
      <c r="X45885" s="235" t="n"/>
    </row>
    <row r="45886" ht="14.25" customHeight="1" s="192">
      <c r="W45886" s="239" t="n"/>
      <c r="X45886" s="239" t="n"/>
    </row>
    <row r="45887" ht="14.25" customHeight="1" s="192">
      <c r="W45887" s="239" t="n"/>
      <c r="X45887" s="239" t="n"/>
    </row>
    <row r="45888" ht="14.25" customHeight="1" s="192">
      <c r="W45888" s="239" t="n"/>
      <c r="X45888" s="239" t="n"/>
    </row>
    <row r="45889" ht="14.25" customHeight="1" s="192">
      <c r="W45889" s="235" t="n"/>
      <c r="X45889" s="235" t="n"/>
    </row>
    <row r="45890" ht="14.25" customHeight="1" s="192">
      <c r="W45890" s="235" t="n"/>
      <c r="X45890" s="235" t="n"/>
    </row>
    <row r="45891" ht="14.25" customHeight="1" s="192">
      <c r="W45891" s="235" t="n"/>
      <c r="X45891" s="235" t="n"/>
    </row>
    <row r="45892" ht="14.25" customHeight="1" s="192">
      <c r="W45892" s="239" t="n"/>
      <c r="X45892" s="239" t="n"/>
    </row>
    <row r="45893" ht="14.25" customHeight="1" s="192">
      <c r="W45893" s="239" t="n"/>
      <c r="X45893" s="239" t="n"/>
    </row>
    <row r="45894" ht="14.25" customHeight="1" s="192">
      <c r="W45894" s="235" t="n"/>
      <c r="X45894" s="235" t="n"/>
    </row>
    <row r="45895" ht="14.25" customHeight="1" s="192">
      <c r="W45895" s="235" t="n"/>
      <c r="X45895" s="235" t="n"/>
    </row>
    <row r="45896" ht="14.25" customHeight="1" s="192">
      <c r="W45896" s="239" t="n"/>
      <c r="X45896" s="239" t="n"/>
    </row>
    <row r="45897" ht="14.25" customHeight="1" s="192">
      <c r="W45897" s="235" t="n"/>
      <c r="X45897" s="235" t="n"/>
    </row>
    <row r="45898" ht="14.25" customHeight="1" s="192">
      <c r="W45898" s="239" t="n"/>
      <c r="X45898" s="239" t="n"/>
    </row>
    <row r="45900" ht="14.25" customHeight="1" s="192">
      <c r="W45900" s="235" t="n"/>
      <c r="X45900" s="235" t="n"/>
    </row>
    <row r="45901" ht="15" customHeight="1" s="192" thickBot="1">
      <c r="W45901" s="239" t="n"/>
      <c r="X45901" s="239" t="n"/>
    </row>
    <row r="45902" ht="15" customHeight="1" s="192" thickBot="1">
      <c r="W45902" s="45" t="n"/>
      <c r="X45902" s="45" t="n"/>
    </row>
    <row r="45903" ht="14.25" customHeight="1" s="192">
      <c r="W45903" s="228" t="n"/>
      <c r="X45903" s="228" t="n"/>
    </row>
    <row r="45904" ht="14.25" customHeight="1" s="192">
      <c r="W45904" s="228" t="n"/>
      <c r="X45904" s="228" t="n"/>
    </row>
    <row r="45905" ht="14.25" customHeight="1" s="192">
      <c r="W45905" s="231" t="n"/>
      <c r="X45905" s="231" t="n"/>
    </row>
    <row r="45906" ht="14.25" customHeight="1" s="192">
      <c r="W45906" s="33" t="n"/>
      <c r="X45906" s="33" t="n"/>
    </row>
    <row r="45907" ht="14.25" customHeight="1" s="192">
      <c r="W45907" s="231" t="n"/>
      <c r="X45907" s="231" t="n"/>
    </row>
    <row r="45908" ht="14.25" customHeight="1" s="192">
      <c r="W45908" s="33" t="n"/>
      <c r="X45908" s="33" t="n"/>
    </row>
    <row r="45910" ht="14.25" customHeight="1" s="192">
      <c r="W45910" s="231" t="n"/>
      <c r="X45910" s="231" t="n"/>
    </row>
    <row r="45911" ht="14.25" customHeight="1" s="192">
      <c r="W45911" s="235" t="n"/>
      <c r="X45911" s="235" t="n"/>
    </row>
    <row r="45912" ht="14.25" customHeight="1" s="192">
      <c r="W45912" s="228" t="n"/>
      <c r="X45912" s="228" t="n"/>
    </row>
    <row r="45913" ht="14.25" customHeight="1" s="192">
      <c r="W45913" s="235" t="n"/>
      <c r="X45913" s="235" t="n"/>
    </row>
    <row r="45914" ht="14.25" customHeight="1" s="192">
      <c r="W45914" s="235" t="n"/>
      <c r="X45914" s="235" t="n"/>
    </row>
    <row r="45915" ht="14.25" customHeight="1" s="192">
      <c r="W45915" s="235" t="n"/>
      <c r="X45915" s="235" t="n"/>
    </row>
    <row r="45916" ht="14.25" customHeight="1" s="192">
      <c r="W45916" s="239" t="n"/>
      <c r="X45916" s="239" t="n"/>
    </row>
    <row r="45917" ht="14.25" customHeight="1" s="192">
      <c r="W45917" s="239" t="n"/>
      <c r="X45917" s="239" t="n"/>
    </row>
    <row r="45918" ht="14.25" customHeight="1" s="192">
      <c r="W45918" s="239" t="n"/>
      <c r="X45918" s="239" t="n"/>
    </row>
    <row r="45919" ht="14.25" customHeight="1" s="192">
      <c r="W45919" s="235" t="n"/>
      <c r="X45919" s="235" t="n"/>
    </row>
    <row r="45920" ht="14.25" customHeight="1" s="192">
      <c r="W45920" s="235" t="n"/>
      <c r="X45920" s="235" t="n"/>
    </row>
    <row r="45921" ht="14.25" customHeight="1" s="192">
      <c r="W45921" s="235" t="n"/>
      <c r="X45921" s="235" t="n"/>
    </row>
    <row r="45922" ht="14.25" customHeight="1" s="192">
      <c r="W45922" s="239" t="n"/>
      <c r="X45922" s="239" t="n"/>
    </row>
    <row r="45923" ht="14.25" customHeight="1" s="192">
      <c r="W45923" s="239" t="n"/>
      <c r="X45923" s="239" t="n"/>
    </row>
    <row r="45924" ht="14.25" customHeight="1" s="192">
      <c r="W45924" s="235" t="n"/>
      <c r="X45924" s="235" t="n"/>
    </row>
    <row r="45925" ht="14.25" customHeight="1" s="192">
      <c r="W45925" s="235" t="n"/>
      <c r="X45925" s="235" t="n"/>
    </row>
    <row r="45926" ht="14.25" customHeight="1" s="192">
      <c r="W45926" s="239" t="n"/>
      <c r="X45926" s="239" t="n"/>
    </row>
    <row r="45927" ht="14.25" customHeight="1" s="192">
      <c r="W45927" s="235" t="n"/>
      <c r="X45927" s="235" t="n"/>
    </row>
    <row r="45928" ht="14.25" customHeight="1" s="192">
      <c r="W45928" s="239" t="n"/>
      <c r="X45928" s="239" t="n"/>
    </row>
    <row r="45930" ht="14.25" customHeight="1" s="192">
      <c r="W45930" s="235" t="n"/>
      <c r="X45930" s="235" t="n"/>
    </row>
    <row r="45931" ht="15" customHeight="1" s="192" thickBot="1">
      <c r="W45931" s="239" t="n"/>
      <c r="X45931" s="239" t="n"/>
    </row>
    <row r="45932" ht="15" customHeight="1" s="192" thickBot="1">
      <c r="W45932" s="45" t="n"/>
      <c r="X45932" s="45" t="n"/>
    </row>
    <row r="45933" ht="14.25" customHeight="1" s="192">
      <c r="W45933" s="228" t="n"/>
      <c r="X45933" s="228" t="n"/>
    </row>
    <row r="45934" ht="14.25" customHeight="1" s="192">
      <c r="W45934" s="228" t="n"/>
      <c r="X45934" s="228" t="n"/>
    </row>
    <row r="45935" ht="14.25" customHeight="1" s="192">
      <c r="W45935" s="231" t="n"/>
      <c r="X45935" s="231" t="n"/>
    </row>
    <row r="45936" ht="14.25" customHeight="1" s="192">
      <c r="W45936" s="33" t="n"/>
      <c r="X45936" s="33" t="n"/>
    </row>
    <row r="45937" ht="14.25" customHeight="1" s="192">
      <c r="W45937" s="231" t="n"/>
      <c r="X45937" s="231" t="n"/>
    </row>
    <row r="45938" ht="14.25" customHeight="1" s="192">
      <c r="W45938" s="33" t="n"/>
      <c r="X45938" s="33" t="n"/>
    </row>
    <row r="45940" ht="14.25" customHeight="1" s="192">
      <c r="W45940" s="231" t="n"/>
      <c r="X45940" s="231" t="n"/>
    </row>
    <row r="45941" ht="14.25" customHeight="1" s="192">
      <c r="W45941" s="235" t="n"/>
      <c r="X45941" s="235" t="n"/>
    </row>
    <row r="45942" ht="14.25" customHeight="1" s="192">
      <c r="W45942" s="228" t="n"/>
      <c r="X45942" s="228" t="n"/>
    </row>
    <row r="45943" ht="14.25" customHeight="1" s="192">
      <c r="W45943" s="235" t="n"/>
      <c r="X45943" s="235" t="n"/>
    </row>
    <row r="45944" ht="14.25" customHeight="1" s="192">
      <c r="W45944" s="235" t="n"/>
      <c r="X45944" s="235" t="n"/>
    </row>
    <row r="45945" ht="14.25" customHeight="1" s="192">
      <c r="W45945" s="235" t="n"/>
      <c r="X45945" s="235" t="n"/>
    </row>
    <row r="45946" ht="14.25" customHeight="1" s="192">
      <c r="W45946" s="239" t="n"/>
      <c r="X45946" s="239" t="n"/>
    </row>
    <row r="45947" ht="14.25" customHeight="1" s="192">
      <c r="W45947" s="239" t="n"/>
      <c r="X45947" s="239" t="n"/>
    </row>
    <row r="45948" ht="14.25" customHeight="1" s="192">
      <c r="W45948" s="239" t="n"/>
      <c r="X45948" s="239" t="n"/>
    </row>
    <row r="45949" ht="14.25" customHeight="1" s="192">
      <c r="W45949" s="235" t="n"/>
      <c r="X45949" s="235" t="n"/>
    </row>
    <row r="45950" ht="14.25" customHeight="1" s="192">
      <c r="W45950" s="235" t="n"/>
      <c r="X45950" s="235" t="n"/>
    </row>
    <row r="45951" ht="14.25" customHeight="1" s="192">
      <c r="W45951" s="235" t="n"/>
      <c r="X45951" s="235" t="n"/>
    </row>
    <row r="45952" ht="14.25" customHeight="1" s="192">
      <c r="W45952" s="239" t="n"/>
      <c r="X45952" s="239" t="n"/>
    </row>
    <row r="45953" ht="14.25" customHeight="1" s="192">
      <c r="W45953" s="239" t="n"/>
      <c r="X45953" s="239" t="n"/>
    </row>
    <row r="45954" ht="14.25" customHeight="1" s="192">
      <c r="W45954" s="235" t="n"/>
      <c r="X45954" s="235" t="n"/>
    </row>
    <row r="45955" ht="14.25" customHeight="1" s="192">
      <c r="W45955" s="235" t="n"/>
      <c r="X45955" s="235" t="n"/>
    </row>
    <row r="45956" ht="14.25" customHeight="1" s="192">
      <c r="W45956" s="239" t="n"/>
      <c r="X45956" s="239" t="n"/>
    </row>
    <row r="45957" ht="14.25" customHeight="1" s="192">
      <c r="W45957" s="235" t="n"/>
      <c r="X45957" s="235" t="n"/>
    </row>
    <row r="45958" ht="14.25" customHeight="1" s="192">
      <c r="W45958" s="239" t="n"/>
      <c r="X45958" s="239" t="n"/>
    </row>
    <row r="45960" ht="14.25" customHeight="1" s="192">
      <c r="W45960" s="235" t="n"/>
      <c r="X45960" s="235" t="n"/>
    </row>
    <row r="45961" ht="15" customHeight="1" s="192" thickBot="1">
      <c r="W45961" s="239" t="n"/>
      <c r="X45961" s="239" t="n"/>
    </row>
    <row r="45962" ht="15" customHeight="1" s="192" thickBot="1">
      <c r="W45962" s="45" t="n"/>
      <c r="X45962" s="45" t="n"/>
    </row>
    <row r="45963" ht="14.25" customHeight="1" s="192">
      <c r="W45963" s="228" t="n"/>
      <c r="X45963" s="228" t="n"/>
    </row>
    <row r="45964" ht="14.25" customHeight="1" s="192">
      <c r="W45964" s="228" t="n"/>
      <c r="X45964" s="228" t="n"/>
    </row>
    <row r="45965" ht="14.25" customHeight="1" s="192">
      <c r="W45965" s="231" t="n"/>
      <c r="X45965" s="231" t="n"/>
    </row>
    <row r="45966" ht="14.25" customHeight="1" s="192">
      <c r="W45966" s="33" t="n"/>
      <c r="X45966" s="33" t="n"/>
    </row>
    <row r="45967" ht="14.25" customHeight="1" s="192">
      <c r="W45967" s="231" t="n"/>
      <c r="X45967" s="231" t="n"/>
    </row>
    <row r="45968" ht="14.25" customHeight="1" s="192">
      <c r="W45968" s="33" t="n"/>
      <c r="X45968" s="33" t="n"/>
    </row>
    <row r="45970" ht="14.25" customHeight="1" s="192">
      <c r="W45970" s="231" t="n"/>
      <c r="X45970" s="231" t="n"/>
    </row>
    <row r="45971" ht="14.25" customHeight="1" s="192">
      <c r="W45971" s="235" t="n"/>
      <c r="X45971" s="235" t="n"/>
    </row>
    <row r="45972" ht="14.25" customHeight="1" s="192">
      <c r="W45972" s="228" t="n"/>
      <c r="X45972" s="228" t="n"/>
    </row>
    <row r="45973" ht="14.25" customHeight="1" s="192">
      <c r="W45973" s="235" t="n"/>
      <c r="X45973" s="235" t="n"/>
    </row>
    <row r="45974" ht="14.25" customHeight="1" s="192">
      <c r="W45974" s="235" t="n"/>
      <c r="X45974" s="235" t="n"/>
    </row>
    <row r="45975" ht="14.25" customHeight="1" s="192">
      <c r="W45975" s="235" t="n"/>
      <c r="X45975" s="235" t="n"/>
    </row>
    <row r="45976" ht="14.25" customHeight="1" s="192">
      <c r="W45976" s="239" t="n"/>
      <c r="X45976" s="239" t="n"/>
    </row>
    <row r="45977" ht="14.25" customHeight="1" s="192">
      <c r="W45977" s="239" t="n"/>
      <c r="X45977" s="239" t="n"/>
    </row>
    <row r="45978" ht="14.25" customHeight="1" s="192">
      <c r="W45978" s="239" t="n"/>
      <c r="X45978" s="239" t="n"/>
    </row>
    <row r="45979" ht="14.25" customHeight="1" s="192">
      <c r="W45979" s="235" t="n"/>
      <c r="X45979" s="235" t="n"/>
    </row>
    <row r="45980" ht="14.25" customHeight="1" s="192">
      <c r="W45980" s="235" t="n"/>
      <c r="X45980" s="235" t="n"/>
    </row>
    <row r="45981" ht="14.25" customHeight="1" s="192">
      <c r="W45981" s="235" t="n"/>
      <c r="X45981" s="235" t="n"/>
    </row>
    <row r="45982" ht="14.25" customHeight="1" s="192">
      <c r="W45982" s="239" t="n"/>
      <c r="X45982" s="239" t="n"/>
    </row>
    <row r="45983" ht="14.25" customHeight="1" s="192">
      <c r="W45983" s="239" t="n"/>
      <c r="X45983" s="239" t="n"/>
    </row>
    <row r="45984" ht="14.25" customHeight="1" s="192">
      <c r="W45984" s="235" t="n"/>
      <c r="X45984" s="235" t="n"/>
    </row>
    <row r="45985" ht="14.25" customHeight="1" s="192">
      <c r="W45985" s="235" t="n"/>
      <c r="X45985" s="235" t="n"/>
    </row>
    <row r="45986" ht="14.25" customHeight="1" s="192">
      <c r="W45986" s="239" t="n"/>
      <c r="X45986" s="239" t="n"/>
    </row>
    <row r="45987" ht="14.25" customHeight="1" s="192">
      <c r="W45987" s="235" t="n"/>
      <c r="X45987" s="235" t="n"/>
    </row>
    <row r="45988" ht="14.25" customHeight="1" s="192">
      <c r="W45988" s="239" t="n"/>
      <c r="X45988" s="239" t="n"/>
    </row>
    <row r="45990" ht="14.25" customHeight="1" s="192">
      <c r="W45990" s="235" t="n"/>
      <c r="X45990" s="235" t="n"/>
    </row>
    <row r="45991" ht="15" customHeight="1" s="192" thickBot="1">
      <c r="W45991" s="239" t="n"/>
      <c r="X45991" s="239" t="n"/>
    </row>
    <row r="45992" ht="15" customHeight="1" s="192" thickBot="1">
      <c r="W45992" s="45" t="n"/>
      <c r="X45992" s="45" t="n"/>
    </row>
    <row r="45993" ht="14.25" customHeight="1" s="192">
      <c r="W45993" s="228" t="n"/>
      <c r="X45993" s="228" t="n"/>
    </row>
    <row r="45994" ht="14.25" customHeight="1" s="192">
      <c r="W45994" s="228" t="n"/>
      <c r="X45994" s="228" t="n"/>
    </row>
    <row r="45995" ht="14.25" customHeight="1" s="192">
      <c r="W45995" s="231" t="n"/>
      <c r="X45995" s="231" t="n"/>
    </row>
    <row r="45996" ht="14.25" customHeight="1" s="192">
      <c r="W45996" s="33" t="n"/>
      <c r="X45996" s="33" t="n"/>
    </row>
    <row r="45997" ht="14.25" customHeight="1" s="192">
      <c r="W45997" s="231" t="n"/>
      <c r="X45997" s="231" t="n"/>
    </row>
    <row r="45998" ht="14.25" customHeight="1" s="192">
      <c r="W45998" s="33" t="n"/>
      <c r="X45998" s="33" t="n"/>
    </row>
    <row r="46000" ht="14.25" customHeight="1" s="192">
      <c r="W46000" s="231" t="n"/>
      <c r="X46000" s="231" t="n"/>
    </row>
    <row r="46001" ht="14.25" customHeight="1" s="192">
      <c r="W46001" s="235" t="n"/>
      <c r="X46001" s="235" t="n"/>
    </row>
    <row r="46002" ht="14.25" customHeight="1" s="192">
      <c r="W46002" s="228" t="n"/>
      <c r="X46002" s="228" t="n"/>
    </row>
    <row r="46003" ht="14.25" customHeight="1" s="192">
      <c r="W46003" s="235" t="n"/>
      <c r="X46003" s="235" t="n"/>
    </row>
    <row r="46004" ht="14.25" customHeight="1" s="192">
      <c r="W46004" s="235" t="n"/>
      <c r="X46004" s="235" t="n"/>
    </row>
    <row r="46005" ht="14.25" customHeight="1" s="192">
      <c r="W46005" s="235" t="n"/>
      <c r="X46005" s="235" t="n"/>
    </row>
    <row r="46006" ht="14.25" customHeight="1" s="192">
      <c r="W46006" s="239" t="n"/>
      <c r="X46006" s="239" t="n"/>
    </row>
    <row r="46007" ht="14.25" customHeight="1" s="192">
      <c r="W46007" s="239" t="n"/>
      <c r="X46007" s="239" t="n"/>
    </row>
    <row r="46008" ht="14.25" customHeight="1" s="192">
      <c r="W46008" s="239" t="n"/>
      <c r="X46008" s="239" t="n"/>
    </row>
    <row r="46009" ht="14.25" customHeight="1" s="192">
      <c r="W46009" s="235" t="n"/>
      <c r="X46009" s="235" t="n"/>
    </row>
    <row r="46010" ht="14.25" customHeight="1" s="192">
      <c r="W46010" s="235" t="n"/>
      <c r="X46010" s="235" t="n"/>
    </row>
    <row r="46011" ht="14.25" customHeight="1" s="192">
      <c r="W46011" s="235" t="n"/>
      <c r="X46011" s="235" t="n"/>
    </row>
    <row r="46012" ht="14.25" customHeight="1" s="192">
      <c r="W46012" s="239" t="n"/>
      <c r="X46012" s="239" t="n"/>
    </row>
    <row r="46013" ht="14.25" customHeight="1" s="192">
      <c r="W46013" s="239" t="n"/>
      <c r="X46013" s="239" t="n"/>
    </row>
    <row r="46014" ht="14.25" customHeight="1" s="192">
      <c r="W46014" s="235" t="n"/>
      <c r="X46014" s="235" t="n"/>
    </row>
    <row r="46015" ht="14.25" customHeight="1" s="192">
      <c r="W46015" s="235" t="n"/>
      <c r="X46015" s="235" t="n"/>
    </row>
    <row r="46016" ht="14.25" customHeight="1" s="192">
      <c r="W46016" s="239" t="n"/>
      <c r="X46016" s="239" t="n"/>
    </row>
    <row r="46017" ht="14.25" customHeight="1" s="192">
      <c r="W46017" s="235" t="n"/>
      <c r="X46017" s="235" t="n"/>
    </row>
    <row r="46018" ht="14.25" customHeight="1" s="192">
      <c r="W46018" s="239" t="n"/>
      <c r="X46018" s="239" t="n"/>
    </row>
    <row r="46020" ht="14.25" customHeight="1" s="192">
      <c r="W46020" s="235" t="n"/>
      <c r="X46020" s="235" t="n"/>
    </row>
    <row r="46021" ht="15" customHeight="1" s="192" thickBot="1">
      <c r="W46021" s="239" t="n"/>
      <c r="X46021" s="239" t="n"/>
    </row>
    <row r="46022" ht="15" customHeight="1" s="192" thickBot="1">
      <c r="W46022" s="45" t="n"/>
      <c r="X46022" s="45" t="n"/>
    </row>
    <row r="46023" ht="14.25" customHeight="1" s="192">
      <c r="W46023" s="228" t="n"/>
      <c r="X46023" s="228" t="n"/>
    </row>
    <row r="46024" ht="14.25" customHeight="1" s="192">
      <c r="W46024" s="228" t="n"/>
      <c r="X46024" s="228" t="n"/>
    </row>
    <row r="46025" ht="14.25" customHeight="1" s="192">
      <c r="W46025" s="231" t="n"/>
      <c r="X46025" s="231" t="n"/>
    </row>
    <row r="46026" ht="14.25" customHeight="1" s="192">
      <c r="W46026" s="33" t="n"/>
      <c r="X46026" s="33" t="n"/>
    </row>
    <row r="46027" ht="14.25" customHeight="1" s="192">
      <c r="W46027" s="231" t="n"/>
      <c r="X46027" s="231" t="n"/>
    </row>
    <row r="46028" ht="14.25" customHeight="1" s="192">
      <c r="W46028" s="33" t="n"/>
      <c r="X46028" s="33" t="n"/>
    </row>
    <row r="46030" ht="14.25" customHeight="1" s="192">
      <c r="W46030" s="231" t="n"/>
      <c r="X46030" s="231" t="n"/>
    </row>
    <row r="46031" ht="14.25" customHeight="1" s="192">
      <c r="W46031" s="235" t="n"/>
      <c r="X46031" s="235" t="n"/>
    </row>
    <row r="46032" ht="14.25" customHeight="1" s="192">
      <c r="W46032" s="228" t="n"/>
      <c r="X46032" s="228" t="n"/>
    </row>
    <row r="46033" ht="14.25" customHeight="1" s="192">
      <c r="W46033" s="235" t="n"/>
      <c r="X46033" s="235" t="n"/>
    </row>
    <row r="46034" ht="14.25" customHeight="1" s="192">
      <c r="W46034" s="235" t="n"/>
      <c r="X46034" s="235" t="n"/>
    </row>
    <row r="46035" ht="14.25" customHeight="1" s="192">
      <c r="W46035" s="235" t="n"/>
      <c r="X46035" s="235" t="n"/>
    </row>
    <row r="46036" ht="14.25" customHeight="1" s="192">
      <c r="W46036" s="239" t="n"/>
      <c r="X46036" s="239" t="n"/>
    </row>
    <row r="46037" ht="14.25" customHeight="1" s="192">
      <c r="W46037" s="239" t="n"/>
      <c r="X46037" s="239" t="n"/>
    </row>
    <row r="46038" ht="14.25" customHeight="1" s="192">
      <c r="W46038" s="239" t="n"/>
      <c r="X46038" s="239" t="n"/>
    </row>
    <row r="46039" ht="14.25" customHeight="1" s="192">
      <c r="W46039" s="235" t="n"/>
      <c r="X46039" s="235" t="n"/>
    </row>
    <row r="46040" ht="14.25" customHeight="1" s="192">
      <c r="W46040" s="235" t="n"/>
      <c r="X46040" s="235" t="n"/>
    </row>
    <row r="46041" ht="14.25" customHeight="1" s="192">
      <c r="W46041" s="235" t="n"/>
      <c r="X46041" s="235" t="n"/>
    </row>
    <row r="46042" ht="14.25" customHeight="1" s="192">
      <c r="W46042" s="239" t="n"/>
      <c r="X46042" s="239" t="n"/>
    </row>
    <row r="46043" ht="14.25" customHeight="1" s="192">
      <c r="W46043" s="239" t="n"/>
      <c r="X46043" s="239" t="n"/>
    </row>
    <row r="46044" ht="14.25" customHeight="1" s="192">
      <c r="W46044" s="235" t="n"/>
      <c r="X46044" s="235" t="n"/>
    </row>
    <row r="46045" ht="14.25" customHeight="1" s="192">
      <c r="W46045" s="235" t="n"/>
      <c r="X46045" s="235" t="n"/>
    </row>
    <row r="46046" ht="14.25" customHeight="1" s="192">
      <c r="W46046" s="239" t="n"/>
      <c r="X46046" s="239" t="n"/>
    </row>
    <row r="46047" ht="14.25" customHeight="1" s="192">
      <c r="W46047" s="235" t="n"/>
      <c r="X46047" s="235" t="n"/>
    </row>
    <row r="46048" ht="14.25" customHeight="1" s="192">
      <c r="W46048" s="239" t="n"/>
      <c r="X46048" s="239" t="n"/>
    </row>
    <row r="46050" ht="14.25" customHeight="1" s="192">
      <c r="W46050" s="235" t="n"/>
      <c r="X46050" s="235" t="n"/>
    </row>
    <row r="46051" ht="15" customHeight="1" s="192" thickBot="1">
      <c r="W46051" s="239" t="n"/>
      <c r="X46051" s="239" t="n"/>
    </row>
    <row r="46052" ht="15" customHeight="1" s="192" thickBot="1">
      <c r="W46052" s="45" t="n"/>
      <c r="X46052" s="45" t="n"/>
    </row>
    <row r="46053" ht="14.25" customHeight="1" s="192">
      <c r="W46053" s="228" t="n"/>
      <c r="X46053" s="228" t="n"/>
    </row>
    <row r="46054" ht="14.25" customHeight="1" s="192">
      <c r="W46054" s="228" t="n"/>
      <c r="X46054" s="228" t="n"/>
    </row>
    <row r="46055" ht="14.25" customHeight="1" s="192">
      <c r="W46055" s="231" t="n"/>
      <c r="X46055" s="231" t="n"/>
    </row>
    <row r="46056" ht="14.25" customHeight="1" s="192">
      <c r="W46056" s="33" t="n"/>
      <c r="X46056" s="33" t="n"/>
    </row>
    <row r="46057" ht="14.25" customHeight="1" s="192">
      <c r="W46057" s="231" t="n"/>
      <c r="X46057" s="231" t="n"/>
    </row>
    <row r="46058" ht="14.25" customHeight="1" s="192">
      <c r="W46058" s="33" t="n"/>
      <c r="X46058" s="33" t="n"/>
    </row>
    <row r="46060" ht="14.25" customHeight="1" s="192">
      <c r="W46060" s="231" t="n"/>
      <c r="X46060" s="231" t="n"/>
    </row>
    <row r="46061" ht="14.25" customHeight="1" s="192">
      <c r="W46061" s="235" t="n"/>
      <c r="X46061" s="235" t="n"/>
    </row>
    <row r="46062" ht="14.25" customHeight="1" s="192">
      <c r="W46062" s="228" t="n"/>
      <c r="X46062" s="228" t="n"/>
    </row>
    <row r="46063" ht="14.25" customHeight="1" s="192">
      <c r="W46063" s="235" t="n"/>
      <c r="X46063" s="235" t="n"/>
    </row>
    <row r="46064" ht="14.25" customHeight="1" s="192">
      <c r="W46064" s="235" t="n"/>
      <c r="X46064" s="235" t="n"/>
    </row>
    <row r="46065" ht="14.25" customHeight="1" s="192">
      <c r="W46065" s="235" t="n"/>
      <c r="X46065" s="235" t="n"/>
    </row>
    <row r="46066" ht="14.25" customHeight="1" s="192">
      <c r="W46066" s="239" t="n"/>
      <c r="X46066" s="239" t="n"/>
    </row>
    <row r="46067" ht="14.25" customHeight="1" s="192">
      <c r="W46067" s="239" t="n"/>
      <c r="X46067" s="239" t="n"/>
    </row>
    <row r="46068" ht="14.25" customHeight="1" s="192">
      <c r="W46068" s="239" t="n"/>
      <c r="X46068" s="239" t="n"/>
    </row>
    <row r="46069" ht="14.25" customHeight="1" s="192">
      <c r="W46069" s="235" t="n"/>
      <c r="X46069" s="235" t="n"/>
    </row>
    <row r="46070" ht="14.25" customHeight="1" s="192">
      <c r="W46070" s="235" t="n"/>
      <c r="X46070" s="235" t="n"/>
    </row>
    <row r="46071" ht="14.25" customHeight="1" s="192">
      <c r="W46071" s="235" t="n"/>
      <c r="X46071" s="235" t="n"/>
    </row>
    <row r="46072" ht="14.25" customHeight="1" s="192">
      <c r="W46072" s="239" t="n"/>
      <c r="X46072" s="239" t="n"/>
    </row>
    <row r="46073" ht="14.25" customHeight="1" s="192">
      <c r="W46073" s="239" t="n"/>
      <c r="X46073" s="239" t="n"/>
    </row>
    <row r="46074" ht="14.25" customHeight="1" s="192">
      <c r="W46074" s="235" t="n"/>
      <c r="X46074" s="235" t="n"/>
    </row>
    <row r="46075" ht="14.25" customHeight="1" s="192">
      <c r="W46075" s="235" t="n"/>
      <c r="X46075" s="235" t="n"/>
    </row>
    <row r="46076" ht="14.25" customHeight="1" s="192">
      <c r="W46076" s="239" t="n"/>
      <c r="X46076" s="239" t="n"/>
    </row>
    <row r="46077" ht="14.25" customHeight="1" s="192">
      <c r="W46077" s="235" t="n"/>
      <c r="X46077" s="235" t="n"/>
    </row>
    <row r="46078" ht="14.25" customHeight="1" s="192">
      <c r="W46078" s="239" t="n"/>
      <c r="X46078" s="239" t="n"/>
    </row>
    <row r="46080" ht="14.25" customHeight="1" s="192">
      <c r="W46080" s="235" t="n"/>
      <c r="X46080" s="235" t="n"/>
    </row>
    <row r="46081" ht="15" customHeight="1" s="192" thickBot="1">
      <c r="W46081" s="239" t="n"/>
      <c r="X46081" s="239" t="n"/>
    </row>
    <row r="46082" ht="15" customHeight="1" s="192" thickBot="1">
      <c r="W46082" s="45" t="n"/>
      <c r="X46082" s="45" t="n"/>
    </row>
    <row r="46083" ht="14.25" customHeight="1" s="192">
      <c r="W46083" s="228" t="n"/>
      <c r="X46083" s="228" t="n"/>
    </row>
    <row r="46084" ht="14.25" customHeight="1" s="192">
      <c r="W46084" s="228" t="n"/>
      <c r="X46084" s="228" t="n"/>
    </row>
    <row r="46085" ht="14.25" customHeight="1" s="192">
      <c r="W46085" s="231" t="n"/>
      <c r="X46085" s="231" t="n"/>
    </row>
    <row r="46086" ht="14.25" customHeight="1" s="192">
      <c r="W46086" s="33" t="n"/>
      <c r="X46086" s="33" t="n"/>
    </row>
    <row r="46087" ht="14.25" customHeight="1" s="192">
      <c r="W46087" s="231" t="n"/>
      <c r="X46087" s="231" t="n"/>
    </row>
    <row r="46088" ht="14.25" customHeight="1" s="192">
      <c r="W46088" s="33" t="n"/>
      <c r="X46088" s="33" t="n"/>
    </row>
    <row r="46090" ht="14.25" customHeight="1" s="192">
      <c r="W46090" s="231" t="n"/>
      <c r="X46090" s="231" t="n"/>
    </row>
    <row r="46091" ht="14.25" customHeight="1" s="192">
      <c r="W46091" s="235" t="n"/>
      <c r="X46091" s="235" t="n"/>
    </row>
    <row r="46092" ht="14.25" customHeight="1" s="192">
      <c r="W46092" s="228" t="n"/>
      <c r="X46092" s="228" t="n"/>
    </row>
    <row r="46093" ht="14.25" customHeight="1" s="192">
      <c r="W46093" s="235" t="n"/>
      <c r="X46093" s="235" t="n"/>
    </row>
    <row r="46094" ht="14.25" customHeight="1" s="192">
      <c r="W46094" s="235" t="n"/>
      <c r="X46094" s="235" t="n"/>
    </row>
    <row r="46095" ht="14.25" customHeight="1" s="192">
      <c r="W46095" s="235" t="n"/>
      <c r="X46095" s="235" t="n"/>
    </row>
    <row r="46096" ht="14.25" customHeight="1" s="192">
      <c r="W46096" s="239" t="n"/>
      <c r="X46096" s="239" t="n"/>
    </row>
    <row r="46097" ht="14.25" customHeight="1" s="192">
      <c r="W46097" s="239" t="n"/>
      <c r="X46097" s="239" t="n"/>
    </row>
    <row r="46098" ht="14.25" customHeight="1" s="192">
      <c r="W46098" s="239" t="n"/>
      <c r="X46098" s="239" t="n"/>
    </row>
    <row r="46099" ht="14.25" customHeight="1" s="192">
      <c r="W46099" s="235" t="n"/>
      <c r="X46099" s="235" t="n"/>
    </row>
    <row r="46100" ht="14.25" customHeight="1" s="192">
      <c r="W46100" s="235" t="n"/>
      <c r="X46100" s="235" t="n"/>
    </row>
    <row r="46101" ht="14.25" customHeight="1" s="192">
      <c r="W46101" s="235" t="n"/>
      <c r="X46101" s="235" t="n"/>
    </row>
    <row r="46102" ht="14.25" customHeight="1" s="192">
      <c r="W46102" s="239" t="n"/>
      <c r="X46102" s="239" t="n"/>
    </row>
    <row r="46103" ht="14.25" customHeight="1" s="192">
      <c r="W46103" s="239" t="n"/>
      <c r="X46103" s="239" t="n"/>
    </row>
    <row r="46104" ht="14.25" customHeight="1" s="192">
      <c r="W46104" s="235" t="n"/>
      <c r="X46104" s="235" t="n"/>
    </row>
    <row r="46105" ht="14.25" customHeight="1" s="192">
      <c r="W46105" s="235" t="n"/>
      <c r="X46105" s="235" t="n"/>
    </row>
    <row r="46106" ht="14.25" customHeight="1" s="192">
      <c r="W46106" s="239" t="n"/>
      <c r="X46106" s="239" t="n"/>
    </row>
    <row r="46107" ht="14.25" customHeight="1" s="192">
      <c r="W46107" s="235" t="n"/>
      <c r="X46107" s="235" t="n"/>
    </row>
    <row r="46108" ht="14.25" customHeight="1" s="192">
      <c r="W46108" s="239" t="n"/>
      <c r="X46108" s="239" t="n"/>
    </row>
    <row r="46110" ht="14.25" customHeight="1" s="192">
      <c r="W46110" s="235" t="n"/>
      <c r="X46110" s="235" t="n"/>
    </row>
    <row r="46111" ht="15" customHeight="1" s="192" thickBot="1">
      <c r="W46111" s="239" t="n"/>
      <c r="X46111" s="239" t="n"/>
    </row>
    <row r="46112" ht="15" customHeight="1" s="192" thickBot="1">
      <c r="W46112" s="45" t="n"/>
      <c r="X46112" s="45" t="n"/>
    </row>
    <row r="46113" ht="14.25" customHeight="1" s="192">
      <c r="W46113" s="228" t="n"/>
      <c r="X46113" s="228" t="n"/>
    </row>
    <row r="46114" ht="14.25" customHeight="1" s="192">
      <c r="W46114" s="228" t="n"/>
      <c r="X46114" s="228" t="n"/>
    </row>
    <row r="46115" ht="14.25" customHeight="1" s="192">
      <c r="W46115" s="231" t="n"/>
      <c r="X46115" s="231" t="n"/>
    </row>
    <row r="46116" ht="14.25" customHeight="1" s="192">
      <c r="W46116" s="33" t="n"/>
      <c r="X46116" s="33" t="n"/>
    </row>
    <row r="46117" ht="14.25" customHeight="1" s="192">
      <c r="W46117" s="231" t="n"/>
      <c r="X46117" s="231" t="n"/>
    </row>
    <row r="46118" ht="14.25" customHeight="1" s="192">
      <c r="W46118" s="33" t="n"/>
      <c r="X46118" s="33" t="n"/>
    </row>
    <row r="46120" ht="14.25" customHeight="1" s="192">
      <c r="W46120" s="231" t="n"/>
      <c r="X46120" s="231" t="n"/>
    </row>
    <row r="46121" ht="14.25" customHeight="1" s="192">
      <c r="W46121" s="235" t="n"/>
      <c r="X46121" s="235" t="n"/>
    </row>
    <row r="46122" ht="14.25" customHeight="1" s="192">
      <c r="W46122" s="228" t="n"/>
      <c r="X46122" s="228" t="n"/>
    </row>
    <row r="46123" ht="14.25" customHeight="1" s="192">
      <c r="W46123" s="235" t="n"/>
      <c r="X46123" s="235" t="n"/>
    </row>
    <row r="46124" ht="14.25" customHeight="1" s="192">
      <c r="W46124" s="235" t="n"/>
      <c r="X46124" s="235" t="n"/>
    </row>
    <row r="46125" ht="14.25" customHeight="1" s="192">
      <c r="W46125" s="235" t="n"/>
      <c r="X46125" s="235" t="n"/>
    </row>
    <row r="46126" ht="14.25" customHeight="1" s="192">
      <c r="W46126" s="239" t="n"/>
      <c r="X46126" s="239" t="n"/>
    </row>
    <row r="46127" ht="14.25" customHeight="1" s="192">
      <c r="W46127" s="239" t="n"/>
      <c r="X46127" s="239" t="n"/>
    </row>
    <row r="46128" ht="14.25" customHeight="1" s="192">
      <c r="W46128" s="239" t="n"/>
      <c r="X46128" s="239" t="n"/>
    </row>
    <row r="46129" ht="14.25" customHeight="1" s="192">
      <c r="W46129" s="235" t="n"/>
      <c r="X46129" s="235" t="n"/>
    </row>
    <row r="46130" ht="14.25" customHeight="1" s="192">
      <c r="W46130" s="235" t="n"/>
      <c r="X46130" s="235" t="n"/>
    </row>
    <row r="46131" ht="14.25" customHeight="1" s="192">
      <c r="W46131" s="235" t="n"/>
      <c r="X46131" s="235" t="n"/>
    </row>
    <row r="46132" ht="14.25" customHeight="1" s="192">
      <c r="W46132" s="239" t="n"/>
      <c r="X46132" s="239" t="n"/>
    </row>
    <row r="46133" ht="14.25" customHeight="1" s="192">
      <c r="W46133" s="239" t="n"/>
      <c r="X46133" s="239" t="n"/>
    </row>
    <row r="46134" ht="14.25" customHeight="1" s="192">
      <c r="W46134" s="235" t="n"/>
      <c r="X46134" s="235" t="n"/>
    </row>
    <row r="46135" ht="14.25" customHeight="1" s="192">
      <c r="W46135" s="235" t="n"/>
      <c r="X46135" s="235" t="n"/>
    </row>
    <row r="46136" ht="14.25" customHeight="1" s="192">
      <c r="W46136" s="239" t="n"/>
      <c r="X46136" s="239" t="n"/>
    </row>
    <row r="46137" ht="14.25" customHeight="1" s="192">
      <c r="W46137" s="235" t="n"/>
      <c r="X46137" s="235" t="n"/>
    </row>
    <row r="46138" ht="14.25" customHeight="1" s="192">
      <c r="W46138" s="239" t="n"/>
      <c r="X46138" s="239" t="n"/>
    </row>
    <row r="46140" ht="14.25" customHeight="1" s="192">
      <c r="W46140" s="235" t="n"/>
      <c r="X46140" s="235" t="n"/>
    </row>
    <row r="46141" ht="15" customHeight="1" s="192" thickBot="1">
      <c r="W46141" s="239" t="n"/>
      <c r="X46141" s="239" t="n"/>
    </row>
    <row r="46142" ht="15" customHeight="1" s="192" thickBot="1">
      <c r="W46142" s="45" t="n"/>
      <c r="X46142" s="45" t="n"/>
    </row>
    <row r="46143" ht="14.25" customHeight="1" s="192">
      <c r="W46143" s="228" t="n"/>
      <c r="X46143" s="228" t="n"/>
    </row>
    <row r="46144" ht="14.25" customHeight="1" s="192">
      <c r="W46144" s="228" t="n"/>
      <c r="X46144" s="228" t="n"/>
    </row>
    <row r="46145" ht="14.25" customHeight="1" s="192">
      <c r="W46145" s="231" t="n"/>
      <c r="X46145" s="231" t="n"/>
    </row>
    <row r="46146" ht="14.25" customHeight="1" s="192">
      <c r="W46146" s="33" t="n"/>
      <c r="X46146" s="33" t="n"/>
    </row>
    <row r="46147" ht="14.25" customHeight="1" s="192">
      <c r="W46147" s="231" t="n"/>
      <c r="X46147" s="231" t="n"/>
    </row>
    <row r="46148" ht="14.25" customHeight="1" s="192">
      <c r="W46148" s="33" t="n"/>
      <c r="X46148" s="33" t="n"/>
    </row>
    <row r="46150" ht="14.25" customHeight="1" s="192">
      <c r="W46150" s="231" t="n"/>
      <c r="X46150" s="231" t="n"/>
    </row>
    <row r="46151" ht="14.25" customHeight="1" s="192">
      <c r="W46151" s="235" t="n"/>
      <c r="X46151" s="235" t="n"/>
    </row>
    <row r="46152" ht="14.25" customHeight="1" s="192">
      <c r="W46152" s="228" t="n"/>
      <c r="X46152" s="228" t="n"/>
    </row>
    <row r="46153" ht="14.25" customHeight="1" s="192">
      <c r="W46153" s="235" t="n"/>
      <c r="X46153" s="235" t="n"/>
    </row>
    <row r="46154" ht="14.25" customHeight="1" s="192">
      <c r="W46154" s="235" t="n"/>
      <c r="X46154" s="235" t="n"/>
    </row>
    <row r="46155" ht="14.25" customHeight="1" s="192">
      <c r="W46155" s="235" t="n"/>
      <c r="X46155" s="235" t="n"/>
    </row>
    <row r="46156" ht="14.25" customHeight="1" s="192">
      <c r="W46156" s="239" t="n"/>
      <c r="X46156" s="239" t="n"/>
    </row>
    <row r="46157" ht="14.25" customHeight="1" s="192">
      <c r="W46157" s="239" t="n"/>
      <c r="X46157" s="239" t="n"/>
    </row>
    <row r="46158" ht="14.25" customHeight="1" s="192">
      <c r="W46158" s="239" t="n"/>
      <c r="X46158" s="239" t="n"/>
    </row>
    <row r="46159" ht="14.25" customHeight="1" s="192">
      <c r="W46159" s="235" t="n"/>
      <c r="X46159" s="235" t="n"/>
    </row>
    <row r="46160" ht="14.25" customHeight="1" s="192">
      <c r="W46160" s="235" t="n"/>
      <c r="X46160" s="235" t="n"/>
    </row>
    <row r="46161" ht="14.25" customHeight="1" s="192">
      <c r="W46161" s="235" t="n"/>
      <c r="X46161" s="235" t="n"/>
    </row>
    <row r="46162" ht="14.25" customHeight="1" s="192">
      <c r="W46162" s="239" t="n"/>
      <c r="X46162" s="239" t="n"/>
    </row>
    <row r="46163" ht="14.25" customHeight="1" s="192">
      <c r="W46163" s="239" t="n"/>
      <c r="X46163" s="239" t="n"/>
    </row>
    <row r="46164" ht="14.25" customHeight="1" s="192">
      <c r="W46164" s="235" t="n"/>
      <c r="X46164" s="235" t="n"/>
    </row>
    <row r="46165" ht="14.25" customHeight="1" s="192">
      <c r="W46165" s="235" t="n"/>
      <c r="X46165" s="235" t="n"/>
    </row>
    <row r="46166" ht="14.25" customHeight="1" s="192">
      <c r="W46166" s="239" t="n"/>
      <c r="X46166" s="239" t="n"/>
    </row>
    <row r="46167" ht="14.25" customHeight="1" s="192">
      <c r="W46167" s="235" t="n"/>
      <c r="X46167" s="235" t="n"/>
    </row>
    <row r="46168" ht="14.25" customHeight="1" s="192">
      <c r="W46168" s="239" t="n"/>
      <c r="X46168" s="239" t="n"/>
    </row>
    <row r="46170" ht="14.25" customHeight="1" s="192">
      <c r="W46170" s="235" t="n"/>
      <c r="X46170" s="235" t="n"/>
    </row>
    <row r="46171" ht="15" customHeight="1" s="192" thickBot="1">
      <c r="W46171" s="239" t="n"/>
      <c r="X46171" s="239" t="n"/>
    </row>
    <row r="46172" ht="15" customHeight="1" s="192" thickBot="1">
      <c r="W46172" s="45" t="n"/>
      <c r="X46172" s="45" t="n"/>
    </row>
    <row r="46173" ht="14.25" customHeight="1" s="192">
      <c r="W46173" s="228" t="n"/>
      <c r="X46173" s="228" t="n"/>
    </row>
    <row r="46174" ht="14.25" customHeight="1" s="192">
      <c r="W46174" s="228" t="n"/>
      <c r="X46174" s="228" t="n"/>
    </row>
    <row r="46175" ht="14.25" customHeight="1" s="192">
      <c r="W46175" s="231" t="n"/>
      <c r="X46175" s="231" t="n"/>
    </row>
    <row r="46176" ht="14.25" customHeight="1" s="192">
      <c r="W46176" s="33" t="n"/>
      <c r="X46176" s="33" t="n"/>
    </row>
    <row r="46177" ht="14.25" customHeight="1" s="192">
      <c r="W46177" s="231" t="n"/>
      <c r="X46177" s="231" t="n"/>
    </row>
    <row r="46178" ht="14.25" customHeight="1" s="192">
      <c r="W46178" s="33" t="n"/>
      <c r="X46178" s="33" t="n"/>
    </row>
    <row r="46180" ht="14.25" customHeight="1" s="192">
      <c r="W46180" s="231" t="n"/>
      <c r="X46180" s="231" t="n"/>
    </row>
    <row r="46181" ht="14.25" customHeight="1" s="192">
      <c r="W46181" s="235" t="n"/>
      <c r="X46181" s="235" t="n"/>
    </row>
    <row r="46182" ht="14.25" customHeight="1" s="192">
      <c r="W46182" s="228" t="n"/>
      <c r="X46182" s="228" t="n"/>
    </row>
    <row r="46183" ht="14.25" customHeight="1" s="192">
      <c r="W46183" s="235" t="n"/>
      <c r="X46183" s="235" t="n"/>
    </row>
    <row r="46184" ht="14.25" customHeight="1" s="192">
      <c r="W46184" s="235" t="n"/>
      <c r="X46184" s="235" t="n"/>
    </row>
    <row r="46185" ht="14.25" customHeight="1" s="192">
      <c r="W46185" s="235" t="n"/>
      <c r="X46185" s="235" t="n"/>
    </row>
    <row r="46186" ht="14.25" customHeight="1" s="192">
      <c r="W46186" s="239" t="n"/>
      <c r="X46186" s="239" t="n"/>
    </row>
    <row r="46187" ht="14.25" customHeight="1" s="192">
      <c r="W46187" s="239" t="n"/>
      <c r="X46187" s="239" t="n"/>
    </row>
    <row r="46188" ht="14.25" customHeight="1" s="192">
      <c r="W46188" s="239" t="n"/>
      <c r="X46188" s="239" t="n"/>
    </row>
    <row r="46189" ht="14.25" customHeight="1" s="192">
      <c r="W46189" s="235" t="n"/>
      <c r="X46189" s="235" t="n"/>
    </row>
    <row r="46190" ht="14.25" customHeight="1" s="192">
      <c r="W46190" s="235" t="n"/>
      <c r="X46190" s="235" t="n"/>
    </row>
    <row r="46191" ht="14.25" customHeight="1" s="192">
      <c r="W46191" s="235" t="n"/>
      <c r="X46191" s="235" t="n"/>
    </row>
    <row r="46192" ht="14.25" customHeight="1" s="192">
      <c r="W46192" s="239" t="n"/>
      <c r="X46192" s="239" t="n"/>
    </row>
    <row r="46193" ht="14.25" customHeight="1" s="192">
      <c r="W46193" s="239" t="n"/>
      <c r="X46193" s="239" t="n"/>
    </row>
    <row r="46194" ht="14.25" customHeight="1" s="192">
      <c r="W46194" s="235" t="n"/>
      <c r="X46194" s="235" t="n"/>
    </row>
    <row r="46195" ht="14.25" customHeight="1" s="192">
      <c r="W46195" s="235" t="n"/>
      <c r="X46195" s="235" t="n"/>
    </row>
    <row r="46196" ht="14.25" customHeight="1" s="192">
      <c r="W46196" s="239" t="n"/>
      <c r="X46196" s="239" t="n"/>
    </row>
    <row r="46197" ht="14.25" customHeight="1" s="192">
      <c r="W46197" s="235" t="n"/>
      <c r="X46197" s="235" t="n"/>
    </row>
    <row r="46198" ht="14.25" customHeight="1" s="192">
      <c r="W46198" s="239" t="n"/>
      <c r="X46198" s="239" t="n"/>
    </row>
    <row r="46200" ht="14.25" customHeight="1" s="192">
      <c r="W46200" s="235" t="n"/>
      <c r="X46200" s="235" t="n"/>
    </row>
    <row r="46201" ht="15" customHeight="1" s="192" thickBot="1">
      <c r="W46201" s="239" t="n"/>
      <c r="X46201" s="239" t="n"/>
    </row>
    <row r="46202" ht="15" customHeight="1" s="192" thickBot="1">
      <c r="W46202" s="45" t="n"/>
      <c r="X46202" s="45" t="n"/>
    </row>
    <row r="46203" ht="14.25" customHeight="1" s="192">
      <c r="W46203" s="228" t="n"/>
      <c r="X46203" s="228" t="n"/>
    </row>
    <row r="46204" ht="14.25" customHeight="1" s="192">
      <c r="W46204" s="228" t="n"/>
      <c r="X46204" s="228" t="n"/>
    </row>
    <row r="46205" ht="14.25" customHeight="1" s="192">
      <c r="W46205" s="231" t="n"/>
      <c r="X46205" s="231" t="n"/>
    </row>
    <row r="46206" ht="14.25" customHeight="1" s="192">
      <c r="W46206" s="33" t="n"/>
      <c r="X46206" s="33" t="n"/>
    </row>
    <row r="46207" ht="14.25" customHeight="1" s="192">
      <c r="W46207" s="231" t="n"/>
      <c r="X46207" s="231" t="n"/>
    </row>
    <row r="46208" ht="14.25" customHeight="1" s="192">
      <c r="W46208" s="33" t="n"/>
      <c r="X46208" s="33" t="n"/>
    </row>
    <row r="46210" ht="14.25" customHeight="1" s="192">
      <c r="W46210" s="231" t="n"/>
      <c r="X46210" s="231" t="n"/>
    </row>
    <row r="46211" ht="14.25" customHeight="1" s="192">
      <c r="W46211" s="235" t="n"/>
      <c r="X46211" s="235" t="n"/>
    </row>
    <row r="46212" ht="14.25" customHeight="1" s="192">
      <c r="W46212" s="228" t="n"/>
      <c r="X46212" s="228" t="n"/>
    </row>
    <row r="46213" ht="14.25" customHeight="1" s="192">
      <c r="W46213" s="235" t="n"/>
      <c r="X46213" s="235" t="n"/>
    </row>
    <row r="46214" ht="14.25" customHeight="1" s="192">
      <c r="W46214" s="235" t="n"/>
      <c r="X46214" s="235" t="n"/>
    </row>
    <row r="46215" ht="14.25" customHeight="1" s="192">
      <c r="W46215" s="235" t="n"/>
      <c r="X46215" s="235" t="n"/>
    </row>
    <row r="46216" ht="14.25" customHeight="1" s="192">
      <c r="W46216" s="239" t="n"/>
      <c r="X46216" s="239" t="n"/>
    </row>
    <row r="46217" ht="14.25" customHeight="1" s="192">
      <c r="W46217" s="239" t="n"/>
      <c r="X46217" s="239" t="n"/>
    </row>
    <row r="46218" ht="14.25" customHeight="1" s="192">
      <c r="W46218" s="239" t="n"/>
      <c r="X46218" s="239" t="n"/>
    </row>
    <row r="46219" ht="14.25" customHeight="1" s="192">
      <c r="W46219" s="235" t="n"/>
      <c r="X46219" s="235" t="n"/>
    </row>
    <row r="46220" ht="14.25" customHeight="1" s="192">
      <c r="W46220" s="235" t="n"/>
      <c r="X46220" s="235" t="n"/>
    </row>
    <row r="46221" ht="14.25" customHeight="1" s="192">
      <c r="W46221" s="235" t="n"/>
      <c r="X46221" s="235" t="n"/>
    </row>
    <row r="46222" ht="14.25" customHeight="1" s="192">
      <c r="W46222" s="239" t="n"/>
      <c r="X46222" s="239" t="n"/>
    </row>
    <row r="46223" ht="14.25" customHeight="1" s="192">
      <c r="W46223" s="239" t="n"/>
      <c r="X46223" s="239" t="n"/>
    </row>
    <row r="46224" ht="14.25" customHeight="1" s="192">
      <c r="W46224" s="235" t="n"/>
      <c r="X46224" s="235" t="n"/>
    </row>
    <row r="46225" ht="14.25" customHeight="1" s="192">
      <c r="W46225" s="235" t="n"/>
      <c r="X46225" s="235" t="n"/>
    </row>
    <row r="46226" ht="14.25" customHeight="1" s="192">
      <c r="W46226" s="239" t="n"/>
      <c r="X46226" s="239" t="n"/>
    </row>
    <row r="46227" ht="14.25" customHeight="1" s="192">
      <c r="W46227" s="235" t="n"/>
      <c r="X46227" s="235" t="n"/>
    </row>
    <row r="46228" ht="14.25" customHeight="1" s="192">
      <c r="W46228" s="239" t="n"/>
      <c r="X46228" s="239" t="n"/>
    </row>
    <row r="46230" ht="14.25" customHeight="1" s="192">
      <c r="W46230" s="235" t="n"/>
      <c r="X46230" s="235" t="n"/>
    </row>
    <row r="46231" ht="15" customHeight="1" s="192" thickBot="1">
      <c r="W46231" s="239" t="n"/>
      <c r="X46231" s="239" t="n"/>
    </row>
    <row r="46232" ht="15" customHeight="1" s="192" thickBot="1">
      <c r="W46232" s="45" t="n"/>
      <c r="X46232" s="45" t="n"/>
    </row>
    <row r="46233" ht="14.25" customHeight="1" s="192">
      <c r="W46233" s="228" t="n"/>
      <c r="X46233" s="228" t="n"/>
    </row>
    <row r="46234" ht="14.25" customHeight="1" s="192">
      <c r="W46234" s="228" t="n"/>
      <c r="X46234" s="228" t="n"/>
    </row>
    <row r="46235" ht="14.25" customHeight="1" s="192">
      <c r="W46235" s="231" t="n"/>
      <c r="X46235" s="231" t="n"/>
    </row>
    <row r="46236" ht="14.25" customHeight="1" s="192">
      <c r="W46236" s="33" t="n"/>
      <c r="X46236" s="33" t="n"/>
    </row>
    <row r="46237" ht="14.25" customHeight="1" s="192">
      <c r="W46237" s="231" t="n"/>
      <c r="X46237" s="231" t="n"/>
    </row>
    <row r="46238" ht="14.25" customHeight="1" s="192">
      <c r="W46238" s="33" t="n"/>
      <c r="X46238" s="33" t="n"/>
    </row>
    <row r="46240" ht="14.25" customHeight="1" s="192">
      <c r="W46240" s="231" t="n"/>
      <c r="X46240" s="231" t="n"/>
    </row>
    <row r="46241" ht="14.25" customHeight="1" s="192">
      <c r="W46241" s="235" t="n"/>
      <c r="X46241" s="235" t="n"/>
    </row>
    <row r="46242" ht="14.25" customHeight="1" s="192">
      <c r="W46242" s="228" t="n"/>
      <c r="X46242" s="228" t="n"/>
    </row>
    <row r="46243" ht="14.25" customHeight="1" s="192">
      <c r="W46243" s="235" t="n"/>
      <c r="X46243" s="235" t="n"/>
    </row>
    <row r="46244" ht="14.25" customHeight="1" s="192">
      <c r="W46244" s="235" t="n"/>
      <c r="X46244" s="235" t="n"/>
    </row>
    <row r="46245" ht="14.25" customHeight="1" s="192">
      <c r="W46245" s="235" t="n"/>
      <c r="X46245" s="235" t="n"/>
    </row>
    <row r="46246" ht="14.25" customHeight="1" s="192">
      <c r="W46246" s="239" t="n"/>
      <c r="X46246" s="239" t="n"/>
    </row>
    <row r="46247" ht="14.25" customHeight="1" s="192">
      <c r="W46247" s="239" t="n"/>
      <c r="X46247" s="239" t="n"/>
    </row>
    <row r="46248" ht="14.25" customHeight="1" s="192">
      <c r="W46248" s="239" t="n"/>
      <c r="X46248" s="239" t="n"/>
    </row>
    <row r="46249" ht="14.25" customHeight="1" s="192">
      <c r="W46249" s="235" t="n"/>
      <c r="X46249" s="235" t="n"/>
    </row>
    <row r="46250" ht="14.25" customHeight="1" s="192">
      <c r="W46250" s="235" t="n"/>
      <c r="X46250" s="235" t="n"/>
    </row>
    <row r="46251" ht="14.25" customHeight="1" s="192">
      <c r="W46251" s="235" t="n"/>
      <c r="X46251" s="235" t="n"/>
    </row>
    <row r="46252" ht="14.25" customHeight="1" s="192">
      <c r="W46252" s="239" t="n"/>
      <c r="X46252" s="239" t="n"/>
    </row>
    <row r="46253" ht="14.25" customHeight="1" s="192">
      <c r="W46253" s="239" t="n"/>
      <c r="X46253" s="239" t="n"/>
    </row>
    <row r="46254" ht="14.25" customHeight="1" s="192">
      <c r="W46254" s="235" t="n"/>
      <c r="X46254" s="235" t="n"/>
    </row>
    <row r="46255" ht="14.25" customHeight="1" s="192">
      <c r="W46255" s="235" t="n"/>
      <c r="X46255" s="235" t="n"/>
    </row>
    <row r="46256" ht="14.25" customHeight="1" s="192">
      <c r="W46256" s="239" t="n"/>
      <c r="X46256" s="239" t="n"/>
    </row>
    <row r="46257" ht="14.25" customHeight="1" s="192">
      <c r="W46257" s="235" t="n"/>
      <c r="X46257" s="235" t="n"/>
    </row>
    <row r="46258" ht="14.25" customHeight="1" s="192">
      <c r="W46258" s="239" t="n"/>
      <c r="X46258" s="239" t="n"/>
    </row>
    <row r="46260" ht="14.25" customHeight="1" s="192">
      <c r="W46260" s="235" t="n"/>
      <c r="X46260" s="235" t="n"/>
    </row>
    <row r="46261" ht="15" customHeight="1" s="192" thickBot="1">
      <c r="W46261" s="239" t="n"/>
      <c r="X46261" s="239" t="n"/>
    </row>
    <row r="46262" ht="15" customHeight="1" s="192" thickBot="1">
      <c r="W46262" s="45" t="n"/>
      <c r="X46262" s="45" t="n"/>
    </row>
    <row r="46263" ht="14.25" customHeight="1" s="192">
      <c r="W46263" s="228" t="n"/>
      <c r="X46263" s="228" t="n"/>
    </row>
    <row r="46264" ht="14.25" customHeight="1" s="192">
      <c r="W46264" s="228" t="n"/>
      <c r="X46264" s="228" t="n"/>
    </row>
    <row r="46265" ht="14.25" customHeight="1" s="192">
      <c r="W46265" s="231" t="n"/>
      <c r="X46265" s="231" t="n"/>
    </row>
    <row r="46266" ht="14.25" customHeight="1" s="192">
      <c r="W46266" s="33" t="n"/>
      <c r="X46266" s="33" t="n"/>
    </row>
    <row r="46267" ht="14.25" customHeight="1" s="192">
      <c r="W46267" s="231" t="n"/>
      <c r="X46267" s="231" t="n"/>
    </row>
    <row r="46268" ht="14.25" customHeight="1" s="192">
      <c r="W46268" s="33" t="n"/>
      <c r="X46268" s="33" t="n"/>
    </row>
    <row r="46270" ht="14.25" customHeight="1" s="192">
      <c r="W46270" s="231" t="n"/>
      <c r="X46270" s="231" t="n"/>
    </row>
    <row r="46271" ht="14.25" customHeight="1" s="192">
      <c r="W46271" s="235" t="n"/>
      <c r="X46271" s="235" t="n"/>
    </row>
    <row r="46272" ht="14.25" customHeight="1" s="192">
      <c r="W46272" s="228" t="n"/>
      <c r="X46272" s="228" t="n"/>
    </row>
    <row r="46273" ht="14.25" customHeight="1" s="192">
      <c r="W46273" s="235" t="n"/>
      <c r="X46273" s="235" t="n"/>
    </row>
    <row r="46274" ht="14.25" customHeight="1" s="192">
      <c r="W46274" s="235" t="n"/>
      <c r="X46274" s="235" t="n"/>
    </row>
    <row r="46275" ht="14.25" customHeight="1" s="192">
      <c r="W46275" s="235" t="n"/>
      <c r="X46275" s="235" t="n"/>
    </row>
    <row r="46276" ht="14.25" customHeight="1" s="192">
      <c r="W46276" s="239" t="n"/>
      <c r="X46276" s="239" t="n"/>
    </row>
    <row r="46277" ht="14.25" customHeight="1" s="192">
      <c r="W46277" s="239" t="n"/>
      <c r="X46277" s="239" t="n"/>
    </row>
    <row r="46278" ht="14.25" customHeight="1" s="192">
      <c r="W46278" s="239" t="n"/>
      <c r="X46278" s="239" t="n"/>
    </row>
    <row r="46279" ht="14.25" customHeight="1" s="192">
      <c r="W46279" s="235" t="n"/>
      <c r="X46279" s="235" t="n"/>
    </row>
    <row r="46280" ht="14.25" customHeight="1" s="192">
      <c r="W46280" s="235" t="n"/>
      <c r="X46280" s="235" t="n"/>
    </row>
    <row r="46281" ht="14.25" customHeight="1" s="192">
      <c r="W46281" s="235" t="n"/>
      <c r="X46281" s="235" t="n"/>
    </row>
    <row r="46282" ht="14.25" customHeight="1" s="192">
      <c r="W46282" s="239" t="n"/>
      <c r="X46282" s="239" t="n"/>
    </row>
    <row r="46283" ht="14.25" customHeight="1" s="192">
      <c r="W46283" s="239" t="n"/>
      <c r="X46283" s="239" t="n"/>
    </row>
    <row r="46284" ht="14.25" customHeight="1" s="192">
      <c r="W46284" s="235" t="n"/>
      <c r="X46284" s="235" t="n"/>
    </row>
    <row r="46285" ht="14.25" customHeight="1" s="192">
      <c r="W46285" s="235" t="n"/>
      <c r="X46285" s="235" t="n"/>
    </row>
    <row r="46286" ht="14.25" customHeight="1" s="192">
      <c r="W46286" s="239" t="n"/>
      <c r="X46286" s="239" t="n"/>
    </row>
    <row r="46287" ht="14.25" customHeight="1" s="192">
      <c r="W46287" s="235" t="n"/>
      <c r="X46287" s="235" t="n"/>
    </row>
    <row r="46288" ht="14.25" customHeight="1" s="192">
      <c r="W46288" s="239" t="n"/>
      <c r="X46288" s="239" t="n"/>
    </row>
    <row r="46290" ht="14.25" customHeight="1" s="192">
      <c r="W46290" s="235" t="n"/>
      <c r="X46290" s="235" t="n"/>
    </row>
    <row r="46291" ht="15" customHeight="1" s="192" thickBot="1">
      <c r="W46291" s="239" t="n"/>
      <c r="X46291" s="239" t="n"/>
    </row>
    <row r="46292" ht="15" customHeight="1" s="192" thickBot="1">
      <c r="W46292" s="45" t="n"/>
      <c r="X46292" s="45" t="n"/>
    </row>
    <row r="46293" ht="14.25" customHeight="1" s="192">
      <c r="W46293" s="228" t="n"/>
      <c r="X46293" s="228" t="n"/>
    </row>
    <row r="46294" ht="14.25" customHeight="1" s="192">
      <c r="W46294" s="228" t="n"/>
      <c r="X46294" s="228" t="n"/>
    </row>
    <row r="46295" ht="14.25" customHeight="1" s="192">
      <c r="W46295" s="231" t="n"/>
      <c r="X46295" s="231" t="n"/>
    </row>
    <row r="46296" ht="14.25" customHeight="1" s="192">
      <c r="W46296" s="33" t="n"/>
      <c r="X46296" s="33" t="n"/>
    </row>
    <row r="46297" ht="14.25" customHeight="1" s="192">
      <c r="W46297" s="231" t="n"/>
      <c r="X46297" s="231" t="n"/>
    </row>
    <row r="46298" ht="14.25" customHeight="1" s="192">
      <c r="W46298" s="33" t="n"/>
      <c r="X46298" s="33" t="n"/>
    </row>
    <row r="46300" ht="14.25" customHeight="1" s="192">
      <c r="W46300" s="231" t="n"/>
      <c r="X46300" s="231" t="n"/>
    </row>
    <row r="46301" ht="14.25" customHeight="1" s="192">
      <c r="W46301" s="235" t="n"/>
      <c r="X46301" s="235" t="n"/>
    </row>
    <row r="46302" ht="14.25" customHeight="1" s="192">
      <c r="W46302" s="228" t="n"/>
      <c r="X46302" s="228" t="n"/>
    </row>
    <row r="46303" ht="14.25" customHeight="1" s="192">
      <c r="W46303" s="235" t="n"/>
      <c r="X46303" s="235" t="n"/>
    </row>
    <row r="46304" ht="14.25" customHeight="1" s="192">
      <c r="W46304" s="235" t="n"/>
      <c r="X46304" s="235" t="n"/>
    </row>
    <row r="46305" ht="14.25" customHeight="1" s="192">
      <c r="W46305" s="235" t="n"/>
      <c r="X46305" s="235" t="n"/>
    </row>
    <row r="46306" ht="14.25" customHeight="1" s="192">
      <c r="W46306" s="239" t="n"/>
      <c r="X46306" s="239" t="n"/>
    </row>
    <row r="46307" ht="14.25" customHeight="1" s="192">
      <c r="W46307" s="239" t="n"/>
      <c r="X46307" s="239" t="n"/>
    </row>
    <row r="46308" ht="14.25" customHeight="1" s="192">
      <c r="W46308" s="239" t="n"/>
      <c r="X46308" s="239" t="n"/>
    </row>
    <row r="46309" ht="14.25" customHeight="1" s="192">
      <c r="W46309" s="235" t="n"/>
      <c r="X46309" s="235" t="n"/>
    </row>
    <row r="46310" ht="14.25" customHeight="1" s="192">
      <c r="W46310" s="235" t="n"/>
      <c r="X46310" s="235" t="n"/>
    </row>
    <row r="46311" ht="14.25" customHeight="1" s="192">
      <c r="W46311" s="235" t="n"/>
      <c r="X46311" s="235" t="n"/>
    </row>
    <row r="46312" ht="14.25" customHeight="1" s="192">
      <c r="W46312" s="239" t="n"/>
      <c r="X46312" s="239" t="n"/>
    </row>
    <row r="46313" ht="14.25" customHeight="1" s="192">
      <c r="W46313" s="239" t="n"/>
      <c r="X46313" s="239" t="n"/>
    </row>
    <row r="46314" ht="14.25" customHeight="1" s="192">
      <c r="W46314" s="235" t="n"/>
      <c r="X46314" s="235" t="n"/>
    </row>
    <row r="46315" ht="14.25" customHeight="1" s="192">
      <c r="W46315" s="235" t="n"/>
      <c r="X46315" s="235" t="n"/>
    </row>
    <row r="46316" ht="14.25" customHeight="1" s="192">
      <c r="W46316" s="239" t="n"/>
      <c r="X46316" s="239" t="n"/>
    </row>
    <row r="46317" ht="14.25" customHeight="1" s="192">
      <c r="W46317" s="235" t="n"/>
      <c r="X46317" s="235" t="n"/>
    </row>
    <row r="46318" ht="14.25" customHeight="1" s="192">
      <c r="W46318" s="239" t="n"/>
      <c r="X46318" s="239" t="n"/>
    </row>
    <row r="46320" ht="14.25" customHeight="1" s="192">
      <c r="W46320" s="235" t="n"/>
      <c r="X46320" s="235" t="n"/>
    </row>
    <row r="46321" ht="15" customHeight="1" s="192" thickBot="1">
      <c r="W46321" s="239" t="n"/>
      <c r="X46321" s="239" t="n"/>
    </row>
    <row r="46322" ht="15" customHeight="1" s="192" thickBot="1">
      <c r="W46322" s="45" t="n"/>
      <c r="X46322" s="45" t="n"/>
    </row>
    <row r="46323" ht="14.25" customHeight="1" s="192">
      <c r="W46323" s="228" t="n"/>
      <c r="X46323" s="228" t="n"/>
    </row>
    <row r="46324" ht="14.25" customHeight="1" s="192">
      <c r="W46324" s="228" t="n"/>
      <c r="X46324" s="228" t="n"/>
    </row>
    <row r="46325" ht="14.25" customHeight="1" s="192">
      <c r="W46325" s="231" t="n"/>
      <c r="X46325" s="231" t="n"/>
    </row>
    <row r="46326" ht="14.25" customHeight="1" s="192">
      <c r="W46326" s="33" t="n"/>
      <c r="X46326" s="33" t="n"/>
    </row>
    <row r="46327" ht="14.25" customHeight="1" s="192">
      <c r="W46327" s="231" t="n"/>
      <c r="X46327" s="231" t="n"/>
    </row>
    <row r="46328" ht="14.25" customHeight="1" s="192">
      <c r="W46328" s="33" t="n"/>
      <c r="X46328" s="33" t="n"/>
    </row>
    <row r="46330" ht="14.25" customHeight="1" s="192">
      <c r="W46330" s="231" t="n"/>
      <c r="X46330" s="231" t="n"/>
    </row>
    <row r="46331" ht="14.25" customHeight="1" s="192">
      <c r="W46331" s="235" t="n"/>
      <c r="X46331" s="235" t="n"/>
    </row>
    <row r="46332" ht="14.25" customHeight="1" s="192">
      <c r="W46332" s="228" t="n"/>
      <c r="X46332" s="228" t="n"/>
    </row>
    <row r="46333" ht="14.25" customHeight="1" s="192">
      <c r="W46333" s="235" t="n"/>
      <c r="X46333" s="235" t="n"/>
    </row>
    <row r="46334" ht="14.25" customHeight="1" s="192">
      <c r="W46334" s="235" t="n"/>
      <c r="X46334" s="235" t="n"/>
    </row>
    <row r="46335" ht="14.25" customHeight="1" s="192">
      <c r="W46335" s="235" t="n"/>
      <c r="X46335" s="235" t="n"/>
    </row>
    <row r="46336" ht="14.25" customHeight="1" s="192">
      <c r="W46336" s="239" t="n"/>
      <c r="X46336" s="239" t="n"/>
    </row>
    <row r="46337" ht="14.25" customHeight="1" s="192">
      <c r="W46337" s="239" t="n"/>
      <c r="X46337" s="239" t="n"/>
    </row>
    <row r="46338" ht="14.25" customHeight="1" s="192">
      <c r="W46338" s="239" t="n"/>
      <c r="X46338" s="239" t="n"/>
    </row>
    <row r="46339" ht="14.25" customHeight="1" s="192">
      <c r="W46339" s="235" t="n"/>
      <c r="X46339" s="235" t="n"/>
    </row>
    <row r="46340" ht="14.25" customHeight="1" s="192">
      <c r="W46340" s="235" t="n"/>
      <c r="X46340" s="235" t="n"/>
    </row>
    <row r="46341" ht="14.25" customHeight="1" s="192">
      <c r="W46341" s="235" t="n"/>
      <c r="X46341" s="235" t="n"/>
    </row>
    <row r="46342" ht="14.25" customHeight="1" s="192">
      <c r="W46342" s="239" t="n"/>
      <c r="X46342" s="239" t="n"/>
    </row>
    <row r="46343" ht="14.25" customHeight="1" s="192">
      <c r="W46343" s="239" t="n"/>
      <c r="X46343" s="239" t="n"/>
    </row>
    <row r="46344" ht="14.25" customHeight="1" s="192">
      <c r="W46344" s="235" t="n"/>
      <c r="X46344" s="235" t="n"/>
    </row>
    <row r="46345" ht="14.25" customHeight="1" s="192">
      <c r="W46345" s="235" t="n"/>
      <c r="X46345" s="235" t="n"/>
    </row>
    <row r="46346" ht="14.25" customHeight="1" s="192">
      <c r="W46346" s="239" t="n"/>
      <c r="X46346" s="239" t="n"/>
    </row>
    <row r="46347" ht="14.25" customHeight="1" s="192">
      <c r="W46347" s="235" t="n"/>
      <c r="X46347" s="235" t="n"/>
    </row>
    <row r="46348" ht="14.25" customHeight="1" s="192">
      <c r="W46348" s="239" t="n"/>
      <c r="X46348" s="239" t="n"/>
    </row>
    <row r="46350" ht="14.25" customHeight="1" s="192">
      <c r="W46350" s="235" t="n"/>
      <c r="X46350" s="235" t="n"/>
    </row>
    <row r="46351" ht="15" customHeight="1" s="192" thickBot="1">
      <c r="W46351" s="239" t="n"/>
      <c r="X46351" s="239" t="n"/>
    </row>
    <row r="46352" ht="15" customHeight="1" s="192" thickBot="1">
      <c r="W46352" s="45" t="n"/>
      <c r="X46352" s="45" t="n"/>
    </row>
    <row r="46353" ht="14.25" customHeight="1" s="192">
      <c r="W46353" s="228" t="n"/>
      <c r="X46353" s="228" t="n"/>
    </row>
    <row r="46354" ht="14.25" customHeight="1" s="192">
      <c r="W46354" s="228" t="n"/>
      <c r="X46354" s="228" t="n"/>
    </row>
    <row r="46355" ht="14.25" customHeight="1" s="192">
      <c r="W46355" s="231" t="n"/>
      <c r="X46355" s="231" t="n"/>
    </row>
    <row r="46356" ht="14.25" customHeight="1" s="192">
      <c r="W46356" s="33" t="n"/>
      <c r="X46356" s="33" t="n"/>
    </row>
    <row r="46357" ht="14.25" customHeight="1" s="192">
      <c r="W46357" s="231" t="n"/>
      <c r="X46357" s="231" t="n"/>
    </row>
    <row r="46358" ht="14.25" customHeight="1" s="192">
      <c r="W46358" s="33" t="n"/>
      <c r="X46358" s="33" t="n"/>
    </row>
    <row r="46360" ht="14.25" customHeight="1" s="192">
      <c r="W46360" s="231" t="n"/>
      <c r="X46360" s="231" t="n"/>
    </row>
    <row r="46361" ht="14.25" customHeight="1" s="192">
      <c r="W46361" s="235" t="n"/>
      <c r="X46361" s="235" t="n"/>
    </row>
    <row r="46362" ht="14.25" customHeight="1" s="192">
      <c r="W46362" s="228" t="n"/>
      <c r="X46362" s="228" t="n"/>
    </row>
    <row r="46363" ht="14.25" customHeight="1" s="192">
      <c r="W46363" s="235" t="n"/>
      <c r="X46363" s="235" t="n"/>
    </row>
    <row r="46364" ht="14.25" customHeight="1" s="192">
      <c r="W46364" s="235" t="n"/>
      <c r="X46364" s="235" t="n"/>
    </row>
    <row r="46365" ht="14.25" customHeight="1" s="192">
      <c r="W46365" s="235" t="n"/>
      <c r="X46365" s="235" t="n"/>
    </row>
    <row r="46366" ht="14.25" customHeight="1" s="192">
      <c r="W46366" s="239" t="n"/>
      <c r="X46366" s="239" t="n"/>
    </row>
    <row r="46367" ht="14.25" customHeight="1" s="192">
      <c r="W46367" s="239" t="n"/>
      <c r="X46367" s="239" t="n"/>
    </row>
    <row r="46368" ht="14.25" customHeight="1" s="192">
      <c r="W46368" s="239" t="n"/>
      <c r="X46368" s="239" t="n"/>
    </row>
    <row r="46369" ht="14.25" customHeight="1" s="192">
      <c r="W46369" s="235" t="n"/>
      <c r="X46369" s="235" t="n"/>
    </row>
    <row r="46370" ht="14.25" customHeight="1" s="192">
      <c r="W46370" s="235" t="n"/>
      <c r="X46370" s="235" t="n"/>
    </row>
    <row r="46371" ht="14.25" customHeight="1" s="192">
      <c r="W46371" s="235" t="n"/>
      <c r="X46371" s="235" t="n"/>
    </row>
    <row r="46372" ht="14.25" customHeight="1" s="192">
      <c r="W46372" s="239" t="n"/>
      <c r="X46372" s="239" t="n"/>
    </row>
    <row r="46373" ht="14.25" customHeight="1" s="192">
      <c r="W46373" s="239" t="n"/>
      <c r="X46373" s="239" t="n"/>
    </row>
    <row r="46374" ht="14.25" customHeight="1" s="192">
      <c r="W46374" s="235" t="n"/>
      <c r="X46374" s="235" t="n"/>
    </row>
    <row r="46375" ht="14.25" customHeight="1" s="192">
      <c r="W46375" s="235" t="n"/>
      <c r="X46375" s="235" t="n"/>
    </row>
    <row r="46376" ht="14.25" customHeight="1" s="192">
      <c r="W46376" s="239" t="n"/>
      <c r="X46376" s="239" t="n"/>
    </row>
    <row r="46377" ht="14.25" customHeight="1" s="192">
      <c r="W46377" s="235" t="n"/>
      <c r="X46377" s="235" t="n"/>
    </row>
    <row r="46378" ht="14.25" customHeight="1" s="192">
      <c r="W46378" s="239" t="n"/>
      <c r="X46378" s="239" t="n"/>
    </row>
    <row r="46380" ht="14.25" customHeight="1" s="192">
      <c r="W46380" s="235" t="n"/>
      <c r="X46380" s="235" t="n"/>
    </row>
    <row r="46381" ht="15" customHeight="1" s="192" thickBot="1">
      <c r="W46381" s="239" t="n"/>
      <c r="X46381" s="239" t="n"/>
    </row>
    <row r="46382" ht="15" customHeight="1" s="192" thickBot="1">
      <c r="W46382" s="45" t="n"/>
      <c r="X46382" s="45" t="n"/>
    </row>
    <row r="46383" ht="14.25" customHeight="1" s="192">
      <c r="W46383" s="228" t="n"/>
      <c r="X46383" s="228" t="n"/>
    </row>
    <row r="46384" ht="14.25" customHeight="1" s="192">
      <c r="W46384" s="228" t="n"/>
      <c r="X46384" s="228" t="n"/>
    </row>
    <row r="46385" ht="14.25" customHeight="1" s="192">
      <c r="W46385" s="231" t="n"/>
      <c r="X46385" s="231" t="n"/>
    </row>
    <row r="46386" ht="14.25" customHeight="1" s="192">
      <c r="W46386" s="33" t="n"/>
      <c r="X46386" s="33" t="n"/>
    </row>
    <row r="46387" ht="14.25" customHeight="1" s="192">
      <c r="W46387" s="231" t="n"/>
      <c r="X46387" s="231" t="n"/>
    </row>
    <row r="46388" ht="14.25" customHeight="1" s="192">
      <c r="W46388" s="33" t="n"/>
      <c r="X46388" s="33" t="n"/>
    </row>
    <row r="46390" ht="14.25" customHeight="1" s="192">
      <c r="W46390" s="231" t="n"/>
      <c r="X46390" s="231" t="n"/>
    </row>
    <row r="46391" ht="14.25" customHeight="1" s="192">
      <c r="W46391" s="235" t="n"/>
      <c r="X46391" s="235" t="n"/>
    </row>
    <row r="46392" ht="14.25" customHeight="1" s="192">
      <c r="W46392" s="228" t="n"/>
      <c r="X46392" s="228" t="n"/>
    </row>
    <row r="46393" ht="14.25" customHeight="1" s="192">
      <c r="W46393" s="235" t="n"/>
      <c r="X46393" s="235" t="n"/>
    </row>
    <row r="46394" ht="14.25" customHeight="1" s="192">
      <c r="W46394" s="235" t="n"/>
      <c r="X46394" s="235" t="n"/>
    </row>
    <row r="46395" ht="14.25" customHeight="1" s="192">
      <c r="W46395" s="235" t="n"/>
      <c r="X46395" s="235" t="n"/>
    </row>
    <row r="46396" ht="14.25" customHeight="1" s="192">
      <c r="W46396" s="239" t="n"/>
      <c r="X46396" s="239" t="n"/>
    </row>
    <row r="46397" ht="14.25" customHeight="1" s="192">
      <c r="W46397" s="239" t="n"/>
      <c r="X46397" s="239" t="n"/>
    </row>
    <row r="46398" ht="14.25" customHeight="1" s="192">
      <c r="W46398" s="239" t="n"/>
      <c r="X46398" s="239" t="n"/>
    </row>
    <row r="46399" ht="14.25" customHeight="1" s="192">
      <c r="W46399" s="235" t="n"/>
      <c r="X46399" s="235" t="n"/>
    </row>
    <row r="46400" ht="14.25" customHeight="1" s="192">
      <c r="W46400" s="235" t="n"/>
      <c r="X46400" s="235" t="n"/>
    </row>
    <row r="46401" ht="14.25" customHeight="1" s="192">
      <c r="W46401" s="235" t="n"/>
      <c r="X46401" s="235" t="n"/>
    </row>
    <row r="46402" ht="14.25" customHeight="1" s="192">
      <c r="W46402" s="239" t="n"/>
      <c r="X46402" s="239" t="n"/>
    </row>
    <row r="46403" ht="14.25" customHeight="1" s="192">
      <c r="W46403" s="239" t="n"/>
      <c r="X46403" s="239" t="n"/>
    </row>
    <row r="46404" ht="14.25" customHeight="1" s="192">
      <c r="W46404" s="235" t="n"/>
      <c r="X46404" s="235" t="n"/>
    </row>
    <row r="46405" ht="14.25" customHeight="1" s="192">
      <c r="W46405" s="235" t="n"/>
      <c r="X46405" s="235" t="n"/>
    </row>
    <row r="46406" ht="14.25" customHeight="1" s="192">
      <c r="W46406" s="239" t="n"/>
      <c r="X46406" s="239" t="n"/>
    </row>
    <row r="46407" ht="14.25" customHeight="1" s="192">
      <c r="W46407" s="235" t="n"/>
      <c r="X46407" s="235" t="n"/>
    </row>
    <row r="46408" ht="14.25" customHeight="1" s="192">
      <c r="W46408" s="239" t="n"/>
      <c r="X46408" s="239" t="n"/>
    </row>
    <row r="46410" ht="14.25" customHeight="1" s="192">
      <c r="W46410" s="235" t="n"/>
      <c r="X46410" s="235" t="n"/>
    </row>
    <row r="46411" ht="15" customHeight="1" s="192" thickBot="1">
      <c r="W46411" s="239" t="n"/>
      <c r="X46411" s="239" t="n"/>
    </row>
    <row r="46412" ht="15" customHeight="1" s="192" thickBot="1">
      <c r="W46412" s="45" t="n"/>
      <c r="X46412" s="45" t="n"/>
    </row>
    <row r="46413" ht="14.25" customHeight="1" s="192">
      <c r="W46413" s="228" t="n"/>
      <c r="X46413" s="228" t="n"/>
    </row>
    <row r="46414" ht="14.25" customHeight="1" s="192">
      <c r="W46414" s="228" t="n"/>
      <c r="X46414" s="228" t="n"/>
    </row>
    <row r="46415" ht="14.25" customHeight="1" s="192">
      <c r="W46415" s="231" t="n"/>
      <c r="X46415" s="231" t="n"/>
    </row>
    <row r="46416" ht="14.25" customHeight="1" s="192">
      <c r="W46416" s="33" t="n"/>
      <c r="X46416" s="33" t="n"/>
    </row>
    <row r="46417" ht="14.25" customHeight="1" s="192">
      <c r="W46417" s="231" t="n"/>
      <c r="X46417" s="231" t="n"/>
    </row>
    <row r="46418" ht="14.25" customHeight="1" s="192">
      <c r="W46418" s="33" t="n"/>
      <c r="X46418" s="33" t="n"/>
    </row>
    <row r="46420" ht="14.25" customHeight="1" s="192">
      <c r="W46420" s="231" t="n"/>
      <c r="X46420" s="231" t="n"/>
    </row>
    <row r="46421" ht="14.25" customHeight="1" s="192">
      <c r="W46421" s="235" t="n"/>
      <c r="X46421" s="235" t="n"/>
    </row>
    <row r="46422" ht="14.25" customHeight="1" s="192">
      <c r="W46422" s="228" t="n"/>
      <c r="X46422" s="228" t="n"/>
    </row>
    <row r="46423" ht="14.25" customHeight="1" s="192">
      <c r="W46423" s="235" t="n"/>
      <c r="X46423" s="235" t="n"/>
    </row>
    <row r="46424" ht="14.25" customHeight="1" s="192">
      <c r="W46424" s="235" t="n"/>
      <c r="X46424" s="235" t="n"/>
    </row>
    <row r="46425" ht="14.25" customHeight="1" s="192">
      <c r="W46425" s="235" t="n"/>
      <c r="X46425" s="235" t="n"/>
    </row>
    <row r="46426" ht="14.25" customHeight="1" s="192">
      <c r="W46426" s="239" t="n"/>
      <c r="X46426" s="239" t="n"/>
    </row>
    <row r="46427" ht="14.25" customHeight="1" s="192">
      <c r="W46427" s="239" t="n"/>
      <c r="X46427" s="239" t="n"/>
    </row>
    <row r="46428" ht="14.25" customHeight="1" s="192">
      <c r="W46428" s="239" t="n"/>
      <c r="X46428" s="239" t="n"/>
    </row>
    <row r="46429" ht="14.25" customHeight="1" s="192">
      <c r="W46429" s="235" t="n"/>
      <c r="X46429" s="235" t="n"/>
    </row>
    <row r="46430" ht="14.25" customHeight="1" s="192">
      <c r="W46430" s="235" t="n"/>
      <c r="X46430" s="235" t="n"/>
    </row>
    <row r="46431" ht="14.25" customHeight="1" s="192">
      <c r="W46431" s="235" t="n"/>
      <c r="X46431" s="235" t="n"/>
    </row>
    <row r="46432" ht="14.25" customHeight="1" s="192">
      <c r="W46432" s="239" t="n"/>
      <c r="X46432" s="239" t="n"/>
    </row>
    <row r="46433" ht="14.25" customHeight="1" s="192">
      <c r="W46433" s="239" t="n"/>
      <c r="X46433" s="239" t="n"/>
    </row>
    <row r="46434" ht="14.25" customHeight="1" s="192">
      <c r="W46434" s="235" t="n"/>
      <c r="X46434" s="235" t="n"/>
    </row>
    <row r="46435" ht="14.25" customHeight="1" s="192">
      <c r="W46435" s="235" t="n"/>
      <c r="X46435" s="235" t="n"/>
    </row>
    <row r="46436" ht="14.25" customHeight="1" s="192">
      <c r="W46436" s="239" t="n"/>
      <c r="X46436" s="239" t="n"/>
    </row>
    <row r="46437" ht="14.25" customHeight="1" s="192">
      <c r="W46437" s="235" t="n"/>
      <c r="X46437" s="235" t="n"/>
    </row>
    <row r="46438" ht="14.25" customHeight="1" s="192">
      <c r="W46438" s="239" t="n"/>
      <c r="X46438" s="239" t="n"/>
    </row>
    <row r="46440" ht="14.25" customHeight="1" s="192">
      <c r="W46440" s="235" t="n"/>
      <c r="X46440" s="235" t="n"/>
    </row>
    <row r="46441" ht="15" customHeight="1" s="192" thickBot="1">
      <c r="W46441" s="239" t="n"/>
      <c r="X46441" s="239" t="n"/>
    </row>
    <row r="46442" ht="15" customHeight="1" s="192" thickBot="1">
      <c r="W46442" s="45" t="n"/>
      <c r="X46442" s="45" t="n"/>
    </row>
    <row r="46443" ht="14.25" customHeight="1" s="192">
      <c r="W46443" s="228" t="n"/>
      <c r="X46443" s="228" t="n"/>
    </row>
    <row r="46444" ht="14.25" customHeight="1" s="192">
      <c r="W46444" s="228" t="n"/>
      <c r="X46444" s="228" t="n"/>
    </row>
    <row r="46445" ht="14.25" customHeight="1" s="192">
      <c r="W46445" s="231" t="n"/>
      <c r="X46445" s="231" t="n"/>
    </row>
    <row r="46446" ht="14.25" customHeight="1" s="192">
      <c r="W46446" s="33" t="n"/>
      <c r="X46446" s="33" t="n"/>
    </row>
    <row r="46447" ht="14.25" customHeight="1" s="192">
      <c r="W46447" s="231" t="n"/>
      <c r="X46447" s="231" t="n"/>
    </row>
    <row r="46448" ht="14.25" customHeight="1" s="192">
      <c r="W46448" s="33" t="n"/>
      <c r="X46448" s="33" t="n"/>
    </row>
    <row r="46450" ht="14.25" customHeight="1" s="192">
      <c r="W46450" s="231" t="n"/>
      <c r="X46450" s="231" t="n"/>
    </row>
    <row r="46451" ht="14.25" customHeight="1" s="192">
      <c r="W46451" s="235" t="n"/>
      <c r="X46451" s="235" t="n"/>
    </row>
    <row r="46452" ht="14.25" customHeight="1" s="192">
      <c r="W46452" s="228" t="n"/>
      <c r="X46452" s="228" t="n"/>
    </row>
    <row r="46453" ht="14.25" customHeight="1" s="192">
      <c r="W46453" s="235" t="n"/>
      <c r="X46453" s="235" t="n"/>
    </row>
    <row r="46454" ht="14.25" customHeight="1" s="192">
      <c r="W46454" s="235" t="n"/>
      <c r="X46454" s="235" t="n"/>
    </row>
    <row r="46455" ht="14.25" customHeight="1" s="192">
      <c r="W46455" s="235" t="n"/>
      <c r="X46455" s="235" t="n"/>
    </row>
    <row r="46456" ht="14.25" customHeight="1" s="192">
      <c r="W46456" s="239" t="n"/>
      <c r="X46456" s="239" t="n"/>
    </row>
    <row r="46457" ht="14.25" customHeight="1" s="192">
      <c r="W46457" s="239" t="n"/>
      <c r="X46457" s="239" t="n"/>
    </row>
    <row r="46458" ht="14.25" customHeight="1" s="192">
      <c r="W46458" s="239" t="n"/>
      <c r="X46458" s="239" t="n"/>
    </row>
    <row r="46459" ht="14.25" customHeight="1" s="192">
      <c r="W46459" s="235" t="n"/>
      <c r="X46459" s="235" t="n"/>
    </row>
    <row r="46460" ht="14.25" customHeight="1" s="192">
      <c r="W46460" s="235" t="n"/>
      <c r="X46460" s="235" t="n"/>
    </row>
    <row r="46461" ht="14.25" customHeight="1" s="192">
      <c r="W46461" s="235" t="n"/>
      <c r="X46461" s="235" t="n"/>
    </row>
    <row r="46462" ht="14.25" customHeight="1" s="192">
      <c r="W46462" s="239" t="n"/>
      <c r="X46462" s="239" t="n"/>
    </row>
    <row r="46463" ht="14.25" customHeight="1" s="192">
      <c r="W46463" s="239" t="n"/>
      <c r="X46463" s="239" t="n"/>
    </row>
    <row r="46464" ht="14.25" customHeight="1" s="192">
      <c r="W46464" s="235" t="n"/>
      <c r="X46464" s="235" t="n"/>
    </row>
    <row r="46465" ht="14.25" customHeight="1" s="192">
      <c r="W46465" s="235" t="n"/>
      <c r="X46465" s="235" t="n"/>
    </row>
    <row r="46466" ht="14.25" customHeight="1" s="192">
      <c r="W46466" s="239" t="n"/>
      <c r="X46466" s="239" t="n"/>
    </row>
    <row r="46467" ht="14.25" customHeight="1" s="192">
      <c r="W46467" s="235" t="n"/>
      <c r="X46467" s="235" t="n"/>
    </row>
    <row r="46468" ht="14.25" customHeight="1" s="192">
      <c r="W46468" s="239" t="n"/>
      <c r="X46468" s="239" t="n"/>
    </row>
    <row r="46470" ht="14.25" customHeight="1" s="192">
      <c r="W46470" s="235" t="n"/>
      <c r="X46470" s="235" t="n"/>
    </row>
    <row r="46471" ht="15" customHeight="1" s="192" thickBot="1">
      <c r="W46471" s="239" t="n"/>
      <c r="X46471" s="239" t="n"/>
    </row>
    <row r="46472" ht="15" customHeight="1" s="192" thickBot="1">
      <c r="W46472" s="45" t="n"/>
      <c r="X46472" s="45" t="n"/>
    </row>
    <row r="46473" ht="14.25" customHeight="1" s="192">
      <c r="W46473" s="228" t="n"/>
      <c r="X46473" s="228" t="n"/>
    </row>
    <row r="46474" ht="14.25" customHeight="1" s="192">
      <c r="W46474" s="228" t="n"/>
      <c r="X46474" s="228" t="n"/>
    </row>
    <row r="46475" ht="14.25" customHeight="1" s="192">
      <c r="W46475" s="231" t="n"/>
      <c r="X46475" s="231" t="n"/>
    </row>
    <row r="46476" ht="14.25" customHeight="1" s="192">
      <c r="W46476" s="33" t="n"/>
      <c r="X46476" s="33" t="n"/>
    </row>
    <row r="46477" ht="14.25" customHeight="1" s="192">
      <c r="W46477" s="231" t="n"/>
      <c r="X46477" s="231" t="n"/>
    </row>
    <row r="46478" ht="14.25" customHeight="1" s="192">
      <c r="W46478" s="33" t="n"/>
      <c r="X46478" s="33" t="n"/>
    </row>
    <row r="46480" ht="14.25" customHeight="1" s="192">
      <c r="W46480" s="231" t="n"/>
      <c r="X46480" s="231" t="n"/>
    </row>
    <row r="46481" ht="14.25" customHeight="1" s="192">
      <c r="W46481" s="235" t="n"/>
      <c r="X46481" s="235" t="n"/>
    </row>
    <row r="46482" ht="14.25" customHeight="1" s="192">
      <c r="W46482" s="228" t="n"/>
      <c r="X46482" s="228" t="n"/>
    </row>
    <row r="46483" ht="14.25" customHeight="1" s="192">
      <c r="W46483" s="235" t="n"/>
      <c r="X46483" s="235" t="n"/>
    </row>
    <row r="46484" ht="14.25" customHeight="1" s="192">
      <c r="W46484" s="235" t="n"/>
      <c r="X46484" s="235" t="n"/>
    </row>
    <row r="46485" ht="14.25" customHeight="1" s="192">
      <c r="W46485" s="235" t="n"/>
      <c r="X46485" s="235" t="n"/>
    </row>
    <row r="46486" ht="14.25" customHeight="1" s="192">
      <c r="W46486" s="239" t="n"/>
      <c r="X46486" s="239" t="n"/>
    </row>
    <row r="46487" ht="14.25" customHeight="1" s="192">
      <c r="W46487" s="239" t="n"/>
      <c r="X46487" s="239" t="n"/>
    </row>
    <row r="46488" ht="14.25" customHeight="1" s="192">
      <c r="W46488" s="239" t="n"/>
      <c r="X46488" s="239" t="n"/>
    </row>
    <row r="46489" ht="14.25" customHeight="1" s="192">
      <c r="W46489" s="235" t="n"/>
      <c r="X46489" s="235" t="n"/>
    </row>
    <row r="46490" ht="14.25" customHeight="1" s="192">
      <c r="W46490" s="235" t="n"/>
      <c r="X46490" s="235" t="n"/>
    </row>
    <row r="46491" ht="14.25" customHeight="1" s="192">
      <c r="W46491" s="235" t="n"/>
      <c r="X46491" s="235" t="n"/>
    </row>
    <row r="46492" ht="14.25" customHeight="1" s="192">
      <c r="W46492" s="239" t="n"/>
      <c r="X46492" s="239" t="n"/>
    </row>
    <row r="46493" ht="14.25" customHeight="1" s="192">
      <c r="W46493" s="239" t="n"/>
      <c r="X46493" s="239" t="n"/>
    </row>
    <row r="46494" ht="14.25" customHeight="1" s="192">
      <c r="W46494" s="235" t="n"/>
      <c r="X46494" s="235" t="n"/>
    </row>
    <row r="46495" ht="14.25" customHeight="1" s="192">
      <c r="W46495" s="235" t="n"/>
      <c r="X46495" s="235" t="n"/>
    </row>
    <row r="46496" ht="14.25" customHeight="1" s="192">
      <c r="W46496" s="239" t="n"/>
      <c r="X46496" s="239" t="n"/>
    </row>
    <row r="46497" ht="14.25" customHeight="1" s="192">
      <c r="W46497" s="235" t="n"/>
      <c r="X46497" s="235" t="n"/>
    </row>
    <row r="46498" ht="14.25" customHeight="1" s="192">
      <c r="W46498" s="239" t="n"/>
      <c r="X46498" s="239" t="n"/>
    </row>
    <row r="46500" ht="14.25" customHeight="1" s="192">
      <c r="W46500" s="235" t="n"/>
      <c r="X46500" s="235" t="n"/>
    </row>
    <row r="46501" ht="15" customHeight="1" s="192" thickBot="1">
      <c r="W46501" s="239" t="n"/>
      <c r="X46501" s="239" t="n"/>
    </row>
    <row r="46502" ht="15" customHeight="1" s="192" thickBot="1">
      <c r="W46502" s="45" t="n"/>
      <c r="X46502" s="45" t="n"/>
    </row>
    <row r="46503" ht="14.25" customHeight="1" s="192">
      <c r="W46503" s="228" t="n"/>
      <c r="X46503" s="228" t="n"/>
    </row>
    <row r="46504" ht="14.25" customHeight="1" s="192">
      <c r="W46504" s="228" t="n"/>
      <c r="X46504" s="228" t="n"/>
    </row>
    <row r="46505" ht="14.25" customHeight="1" s="192">
      <c r="W46505" s="231" t="n"/>
      <c r="X46505" s="231" t="n"/>
    </row>
    <row r="46506" ht="14.25" customHeight="1" s="192">
      <c r="W46506" s="33" t="n"/>
      <c r="X46506" s="33" t="n"/>
    </row>
    <row r="46507" ht="14.25" customHeight="1" s="192">
      <c r="W46507" s="231" t="n"/>
      <c r="X46507" s="231" t="n"/>
    </row>
    <row r="46508" ht="14.25" customHeight="1" s="192">
      <c r="W46508" s="33" t="n"/>
      <c r="X46508" s="33" t="n"/>
    </row>
    <row r="46510" ht="14.25" customHeight="1" s="192">
      <c r="W46510" s="231" t="n"/>
      <c r="X46510" s="231" t="n"/>
    </row>
    <row r="46511" ht="14.25" customHeight="1" s="192">
      <c r="W46511" s="235" t="n"/>
      <c r="X46511" s="235" t="n"/>
    </row>
    <row r="46512" ht="14.25" customHeight="1" s="192">
      <c r="W46512" s="228" t="n"/>
      <c r="X46512" s="228" t="n"/>
    </row>
    <row r="46513" ht="14.25" customHeight="1" s="192">
      <c r="W46513" s="235" t="n"/>
      <c r="X46513" s="235" t="n"/>
    </row>
    <row r="46514" ht="14.25" customHeight="1" s="192">
      <c r="W46514" s="235" t="n"/>
      <c r="X46514" s="235" t="n"/>
    </row>
    <row r="46515" ht="14.25" customHeight="1" s="192">
      <c r="W46515" s="235" t="n"/>
      <c r="X46515" s="235" t="n"/>
    </row>
    <row r="46516" ht="14.25" customHeight="1" s="192">
      <c r="W46516" s="239" t="n"/>
      <c r="X46516" s="239" t="n"/>
    </row>
    <row r="46517" ht="14.25" customHeight="1" s="192">
      <c r="W46517" s="239" t="n"/>
      <c r="X46517" s="239" t="n"/>
    </row>
    <row r="46518" ht="14.25" customHeight="1" s="192">
      <c r="W46518" s="239" t="n"/>
      <c r="X46518" s="239" t="n"/>
    </row>
    <row r="46519" ht="14.25" customHeight="1" s="192">
      <c r="W46519" s="235" t="n"/>
      <c r="X46519" s="235" t="n"/>
    </row>
    <row r="46520" ht="14.25" customHeight="1" s="192">
      <c r="W46520" s="235" t="n"/>
      <c r="X46520" s="235" t="n"/>
    </row>
    <row r="46521" ht="14.25" customHeight="1" s="192">
      <c r="W46521" s="235" t="n"/>
      <c r="X46521" s="235" t="n"/>
    </row>
    <row r="46522" ht="14.25" customHeight="1" s="192">
      <c r="W46522" s="239" t="n"/>
      <c r="X46522" s="239" t="n"/>
    </row>
    <row r="46523" ht="14.25" customHeight="1" s="192">
      <c r="W46523" s="239" t="n"/>
      <c r="X46523" s="239" t="n"/>
    </row>
    <row r="46524" ht="14.25" customHeight="1" s="192">
      <c r="W46524" s="235" t="n"/>
      <c r="X46524" s="235" t="n"/>
    </row>
    <row r="46525" ht="14.25" customHeight="1" s="192">
      <c r="W46525" s="235" t="n"/>
      <c r="X46525" s="235" t="n"/>
    </row>
    <row r="46526" ht="14.25" customHeight="1" s="192">
      <c r="W46526" s="239" t="n"/>
      <c r="X46526" s="239" t="n"/>
    </row>
    <row r="46527" ht="14.25" customHeight="1" s="192">
      <c r="W46527" s="235" t="n"/>
      <c r="X46527" s="235" t="n"/>
    </row>
    <row r="46528" ht="14.25" customHeight="1" s="192">
      <c r="W46528" s="239" t="n"/>
      <c r="X46528" s="239" t="n"/>
    </row>
    <row r="46530" ht="14.25" customHeight="1" s="192">
      <c r="W46530" s="235" t="n"/>
      <c r="X46530" s="235" t="n"/>
    </row>
    <row r="46531" ht="15" customHeight="1" s="192" thickBot="1">
      <c r="W46531" s="239" t="n"/>
      <c r="X46531" s="239" t="n"/>
    </row>
    <row r="46532" ht="15" customHeight="1" s="192" thickBot="1">
      <c r="W46532" s="45" t="n"/>
      <c r="X46532" s="45" t="n"/>
    </row>
    <row r="46533" ht="14.25" customHeight="1" s="192">
      <c r="W46533" s="228" t="n"/>
      <c r="X46533" s="228" t="n"/>
    </row>
    <row r="46534" ht="14.25" customHeight="1" s="192">
      <c r="W46534" s="228" t="n"/>
      <c r="X46534" s="228" t="n"/>
    </row>
    <row r="46535" ht="14.25" customHeight="1" s="192">
      <c r="W46535" s="231" t="n"/>
      <c r="X46535" s="231" t="n"/>
    </row>
    <row r="46536" ht="14.25" customHeight="1" s="192">
      <c r="W46536" s="33" t="n"/>
      <c r="X46536" s="33" t="n"/>
    </row>
    <row r="46537" ht="14.25" customHeight="1" s="192">
      <c r="W46537" s="231" t="n"/>
      <c r="X46537" s="231" t="n"/>
    </row>
    <row r="46538" ht="14.25" customHeight="1" s="192">
      <c r="W46538" s="33" t="n"/>
      <c r="X46538" s="33" t="n"/>
    </row>
    <row r="46540" ht="14.25" customHeight="1" s="192">
      <c r="W46540" s="231" t="n"/>
      <c r="X46540" s="231" t="n"/>
    </row>
    <row r="46541" ht="14.25" customHeight="1" s="192">
      <c r="W46541" s="235" t="n"/>
      <c r="X46541" s="235" t="n"/>
    </row>
    <row r="46542" ht="14.25" customHeight="1" s="192">
      <c r="W46542" s="228" t="n"/>
      <c r="X46542" s="228" t="n"/>
    </row>
    <row r="46543" ht="14.25" customHeight="1" s="192">
      <c r="W46543" s="235" t="n"/>
      <c r="X46543" s="235" t="n"/>
    </row>
    <row r="46544" ht="14.25" customHeight="1" s="192">
      <c r="W46544" s="235" t="n"/>
      <c r="X46544" s="235" t="n"/>
    </row>
    <row r="46545" ht="14.25" customHeight="1" s="192">
      <c r="W46545" s="235" t="n"/>
      <c r="X46545" s="235" t="n"/>
    </row>
    <row r="46546" ht="14.25" customHeight="1" s="192">
      <c r="W46546" s="239" t="n"/>
      <c r="X46546" s="239" t="n"/>
    </row>
    <row r="46547" ht="14.25" customHeight="1" s="192">
      <c r="W46547" s="239" t="n"/>
      <c r="X46547" s="239" t="n"/>
    </row>
    <row r="46548" ht="14.25" customHeight="1" s="192">
      <c r="W46548" s="239" t="n"/>
      <c r="X46548" s="239" t="n"/>
    </row>
    <row r="46549" ht="14.25" customHeight="1" s="192">
      <c r="W46549" s="235" t="n"/>
      <c r="X46549" s="235" t="n"/>
    </row>
    <row r="46550" ht="14.25" customHeight="1" s="192">
      <c r="W46550" s="235" t="n"/>
      <c r="X46550" s="235" t="n"/>
    </row>
    <row r="46551" ht="14.25" customHeight="1" s="192">
      <c r="W46551" s="235" t="n"/>
      <c r="X46551" s="235" t="n"/>
    </row>
    <row r="46552" ht="14.25" customHeight="1" s="192">
      <c r="W46552" s="239" t="n"/>
      <c r="X46552" s="239" t="n"/>
    </row>
    <row r="46553" ht="14.25" customHeight="1" s="192">
      <c r="W46553" s="239" t="n"/>
      <c r="X46553" s="239" t="n"/>
    </row>
    <row r="46554" ht="14.25" customHeight="1" s="192">
      <c r="W46554" s="235" t="n"/>
      <c r="X46554" s="235" t="n"/>
    </row>
    <row r="46555" ht="14.25" customHeight="1" s="192">
      <c r="W46555" s="235" t="n"/>
      <c r="X46555" s="235" t="n"/>
    </row>
    <row r="46556" ht="14.25" customHeight="1" s="192">
      <c r="W46556" s="239" t="n"/>
      <c r="X46556" s="239" t="n"/>
    </row>
    <row r="46557" ht="14.25" customHeight="1" s="192">
      <c r="W46557" s="235" t="n"/>
      <c r="X46557" s="235" t="n"/>
    </row>
    <row r="46558" ht="14.25" customHeight="1" s="192">
      <c r="W46558" s="239" t="n"/>
      <c r="X46558" s="239" t="n"/>
    </row>
    <row r="46560" ht="14.25" customHeight="1" s="192">
      <c r="W46560" s="235" t="n"/>
      <c r="X46560" s="235" t="n"/>
    </row>
    <row r="46561" ht="15" customHeight="1" s="192" thickBot="1">
      <c r="W46561" s="239" t="n"/>
      <c r="X46561" s="239" t="n"/>
    </row>
    <row r="46562" ht="15" customHeight="1" s="192" thickBot="1">
      <c r="W46562" s="45" t="n"/>
      <c r="X46562" s="45" t="n"/>
    </row>
    <row r="46563" ht="14.25" customHeight="1" s="192">
      <c r="W46563" s="228" t="n"/>
      <c r="X46563" s="228" t="n"/>
    </row>
    <row r="46564" ht="14.25" customHeight="1" s="192">
      <c r="W46564" s="228" t="n"/>
      <c r="X46564" s="228" t="n"/>
    </row>
    <row r="46565" ht="14.25" customHeight="1" s="192">
      <c r="W46565" s="231" t="n"/>
      <c r="X46565" s="231" t="n"/>
    </row>
    <row r="46566" ht="14.25" customHeight="1" s="192">
      <c r="W46566" s="33" t="n"/>
      <c r="X46566" s="33" t="n"/>
    </row>
    <row r="46567" ht="14.25" customHeight="1" s="192">
      <c r="W46567" s="231" t="n"/>
      <c r="X46567" s="231" t="n"/>
    </row>
    <row r="46568" ht="14.25" customHeight="1" s="192">
      <c r="W46568" s="33" t="n"/>
      <c r="X46568" s="33" t="n"/>
    </row>
    <row r="46570" ht="14.25" customHeight="1" s="192">
      <c r="W46570" s="231" t="n"/>
      <c r="X46570" s="231" t="n"/>
    </row>
    <row r="46571" ht="14.25" customHeight="1" s="192">
      <c r="W46571" s="235" t="n"/>
      <c r="X46571" s="235" t="n"/>
    </row>
    <row r="46572" ht="14.25" customHeight="1" s="192">
      <c r="W46572" s="228" t="n"/>
      <c r="X46572" s="228" t="n"/>
    </row>
    <row r="46573" ht="14.25" customHeight="1" s="192">
      <c r="W46573" s="235" t="n"/>
      <c r="X46573" s="235" t="n"/>
    </row>
    <row r="46574" ht="14.25" customHeight="1" s="192">
      <c r="W46574" s="235" t="n"/>
      <c r="X46574" s="235" t="n"/>
    </row>
    <row r="46575" ht="14.25" customHeight="1" s="192">
      <c r="W46575" s="235" t="n"/>
      <c r="X46575" s="235" t="n"/>
    </row>
    <row r="46576" ht="14.25" customHeight="1" s="192">
      <c r="W46576" s="239" t="n"/>
      <c r="X46576" s="239" t="n"/>
    </row>
    <row r="46577" ht="14.25" customHeight="1" s="192">
      <c r="W46577" s="239" t="n"/>
      <c r="X46577" s="239" t="n"/>
    </row>
    <row r="46578" ht="14.25" customHeight="1" s="192">
      <c r="W46578" s="239" t="n"/>
      <c r="X46578" s="239" t="n"/>
    </row>
    <row r="46579" ht="14.25" customHeight="1" s="192">
      <c r="W46579" s="235" t="n"/>
      <c r="X46579" s="235" t="n"/>
    </row>
    <row r="46580" ht="14.25" customHeight="1" s="192">
      <c r="W46580" s="235" t="n"/>
      <c r="X46580" s="235" t="n"/>
    </row>
    <row r="46581" ht="14.25" customHeight="1" s="192">
      <c r="W46581" s="235" t="n"/>
      <c r="X46581" s="235" t="n"/>
    </row>
    <row r="46582" ht="14.25" customHeight="1" s="192">
      <c r="W46582" s="239" t="n"/>
      <c r="X46582" s="239" t="n"/>
    </row>
    <row r="46583" ht="14.25" customHeight="1" s="192">
      <c r="W46583" s="239" t="n"/>
      <c r="X46583" s="239" t="n"/>
    </row>
    <row r="46584" ht="14.25" customHeight="1" s="192">
      <c r="W46584" s="235" t="n"/>
      <c r="X46584" s="235" t="n"/>
    </row>
    <row r="46585" ht="14.25" customHeight="1" s="192">
      <c r="W46585" s="235" t="n"/>
      <c r="X46585" s="235" t="n"/>
    </row>
    <row r="46586" ht="14.25" customHeight="1" s="192">
      <c r="W46586" s="239" t="n"/>
      <c r="X46586" s="239" t="n"/>
    </row>
    <row r="46587" ht="14.25" customHeight="1" s="192">
      <c r="W46587" s="235" t="n"/>
      <c r="X46587" s="235" t="n"/>
    </row>
    <row r="46588" ht="14.25" customHeight="1" s="192">
      <c r="W46588" s="239" t="n"/>
      <c r="X46588" s="239" t="n"/>
    </row>
    <row r="46590" ht="14.25" customHeight="1" s="192">
      <c r="W46590" s="235" t="n"/>
      <c r="X46590" s="235" t="n"/>
    </row>
    <row r="46591" ht="15" customHeight="1" s="192" thickBot="1">
      <c r="W46591" s="239" t="n"/>
      <c r="X46591" s="239" t="n"/>
    </row>
    <row r="46592" ht="15" customHeight="1" s="192" thickBot="1">
      <c r="W46592" s="45" t="n"/>
      <c r="X46592" s="45" t="n"/>
    </row>
    <row r="46593" ht="14.25" customHeight="1" s="192">
      <c r="W46593" s="228" t="n"/>
      <c r="X46593" s="228" t="n"/>
    </row>
    <row r="46594" ht="14.25" customHeight="1" s="192">
      <c r="W46594" s="228" t="n"/>
      <c r="X46594" s="228" t="n"/>
    </row>
    <row r="46595" ht="14.25" customHeight="1" s="192">
      <c r="W46595" s="231" t="n"/>
      <c r="X46595" s="231" t="n"/>
    </row>
    <row r="46596" ht="14.25" customHeight="1" s="192">
      <c r="W46596" s="33" t="n"/>
      <c r="X46596" s="33" t="n"/>
    </row>
    <row r="46597" ht="14.25" customHeight="1" s="192">
      <c r="W46597" s="231" t="n"/>
      <c r="X46597" s="231" t="n"/>
    </row>
    <row r="46598" ht="14.25" customHeight="1" s="192">
      <c r="W46598" s="33" t="n"/>
      <c r="X46598" s="33" t="n"/>
    </row>
    <row r="46600" ht="14.25" customHeight="1" s="192">
      <c r="W46600" s="231" t="n"/>
      <c r="X46600" s="231" t="n"/>
    </row>
    <row r="46601" ht="14.25" customHeight="1" s="192">
      <c r="W46601" s="235" t="n"/>
      <c r="X46601" s="235" t="n"/>
    </row>
    <row r="46602" ht="14.25" customHeight="1" s="192">
      <c r="W46602" s="228" t="n"/>
      <c r="X46602" s="228" t="n"/>
    </row>
    <row r="46603" ht="14.25" customHeight="1" s="192">
      <c r="W46603" s="235" t="n"/>
      <c r="X46603" s="235" t="n"/>
    </row>
    <row r="46604" ht="14.25" customHeight="1" s="192">
      <c r="W46604" s="235" t="n"/>
      <c r="X46604" s="235" t="n"/>
    </row>
    <row r="46605" ht="14.25" customHeight="1" s="192">
      <c r="W46605" s="235" t="n"/>
      <c r="X46605" s="235" t="n"/>
    </row>
    <row r="46606" ht="14.25" customHeight="1" s="192">
      <c r="W46606" s="239" t="n"/>
      <c r="X46606" s="239" t="n"/>
    </row>
    <row r="46607" ht="14.25" customHeight="1" s="192">
      <c r="W46607" s="239" t="n"/>
      <c r="X46607" s="239" t="n"/>
    </row>
    <row r="46608" ht="14.25" customHeight="1" s="192">
      <c r="W46608" s="239" t="n"/>
      <c r="X46608" s="239" t="n"/>
    </row>
    <row r="46609" ht="14.25" customHeight="1" s="192">
      <c r="W46609" s="235" t="n"/>
      <c r="X46609" s="235" t="n"/>
    </row>
    <row r="46610" ht="14.25" customHeight="1" s="192">
      <c r="W46610" s="235" t="n"/>
      <c r="X46610" s="235" t="n"/>
    </row>
    <row r="46611" ht="14.25" customHeight="1" s="192">
      <c r="W46611" s="235" t="n"/>
      <c r="X46611" s="235" t="n"/>
    </row>
    <row r="46612" ht="14.25" customHeight="1" s="192">
      <c r="W46612" s="239" t="n"/>
      <c r="X46612" s="239" t="n"/>
    </row>
    <row r="46613" ht="14.25" customHeight="1" s="192">
      <c r="W46613" s="239" t="n"/>
      <c r="X46613" s="239" t="n"/>
    </row>
    <row r="46614" ht="14.25" customHeight="1" s="192">
      <c r="W46614" s="235" t="n"/>
      <c r="X46614" s="235" t="n"/>
    </row>
    <row r="46615" ht="14.25" customHeight="1" s="192">
      <c r="W46615" s="235" t="n"/>
      <c r="X46615" s="235" t="n"/>
    </row>
    <row r="46616" ht="14.25" customHeight="1" s="192">
      <c r="W46616" s="239" t="n"/>
      <c r="X46616" s="239" t="n"/>
    </row>
    <row r="46617" ht="14.25" customHeight="1" s="192">
      <c r="W46617" s="235" t="n"/>
      <c r="X46617" s="235" t="n"/>
    </row>
    <row r="46618" ht="14.25" customHeight="1" s="192">
      <c r="W46618" s="239" t="n"/>
      <c r="X46618" s="239" t="n"/>
    </row>
    <row r="46620" ht="14.25" customHeight="1" s="192">
      <c r="W46620" s="235" t="n"/>
      <c r="X46620" s="235" t="n"/>
    </row>
    <row r="46621" ht="15" customHeight="1" s="192" thickBot="1">
      <c r="W46621" s="239" t="n"/>
      <c r="X46621" s="239" t="n"/>
    </row>
    <row r="46622" ht="15" customHeight="1" s="192" thickBot="1">
      <c r="W46622" s="45" t="n"/>
      <c r="X46622" s="45" t="n"/>
    </row>
    <row r="46623" ht="14.25" customHeight="1" s="192">
      <c r="W46623" s="228" t="n"/>
      <c r="X46623" s="228" t="n"/>
    </row>
    <row r="46624" ht="14.25" customHeight="1" s="192">
      <c r="W46624" s="228" t="n"/>
      <c r="X46624" s="228" t="n"/>
    </row>
    <row r="46625" ht="14.25" customHeight="1" s="192">
      <c r="W46625" s="231" t="n"/>
      <c r="X46625" s="231" t="n"/>
    </row>
    <row r="46626" ht="14.25" customHeight="1" s="192">
      <c r="W46626" s="33" t="n"/>
      <c r="X46626" s="33" t="n"/>
    </row>
    <row r="46627" ht="14.25" customHeight="1" s="192">
      <c r="W46627" s="231" t="n"/>
      <c r="X46627" s="231" t="n"/>
    </row>
    <row r="46628" ht="14.25" customHeight="1" s="192">
      <c r="W46628" s="33" t="n"/>
      <c r="X46628" s="33" t="n"/>
    </row>
    <row r="46630" ht="14.25" customHeight="1" s="192">
      <c r="W46630" s="231" t="n"/>
      <c r="X46630" s="231" t="n"/>
    </row>
    <row r="46631" ht="14.25" customHeight="1" s="192">
      <c r="W46631" s="235" t="n"/>
      <c r="X46631" s="235" t="n"/>
    </row>
    <row r="46632" ht="14.25" customHeight="1" s="192">
      <c r="W46632" s="228" t="n"/>
      <c r="X46632" s="228" t="n"/>
    </row>
    <row r="46633" ht="14.25" customHeight="1" s="192">
      <c r="W46633" s="235" t="n"/>
      <c r="X46633" s="235" t="n"/>
    </row>
    <row r="46634" ht="14.25" customHeight="1" s="192">
      <c r="W46634" s="235" t="n"/>
      <c r="X46634" s="235" t="n"/>
    </row>
    <row r="46635" ht="14.25" customHeight="1" s="192">
      <c r="W46635" s="235" t="n"/>
      <c r="X46635" s="235" t="n"/>
    </row>
    <row r="46636" ht="14.25" customHeight="1" s="192">
      <c r="W46636" s="239" t="n"/>
      <c r="X46636" s="239" t="n"/>
    </row>
    <row r="46637" ht="14.25" customHeight="1" s="192">
      <c r="W46637" s="239" t="n"/>
      <c r="X46637" s="239" t="n"/>
    </row>
    <row r="46638" ht="14.25" customHeight="1" s="192">
      <c r="W46638" s="239" t="n"/>
      <c r="X46638" s="239" t="n"/>
    </row>
    <row r="46639" ht="14.25" customHeight="1" s="192">
      <c r="W46639" s="235" t="n"/>
      <c r="X46639" s="235" t="n"/>
    </row>
    <row r="46640" ht="14.25" customHeight="1" s="192">
      <c r="W46640" s="235" t="n"/>
      <c r="X46640" s="235" t="n"/>
    </row>
    <row r="46641" ht="14.25" customHeight="1" s="192">
      <c r="W46641" s="235" t="n"/>
      <c r="X46641" s="235" t="n"/>
    </row>
    <row r="46642" ht="14.25" customHeight="1" s="192">
      <c r="W46642" s="239" t="n"/>
      <c r="X46642" s="239" t="n"/>
    </row>
    <row r="46643" ht="14.25" customHeight="1" s="192">
      <c r="W46643" s="239" t="n"/>
      <c r="X46643" s="239" t="n"/>
    </row>
    <row r="46644" ht="14.25" customHeight="1" s="192">
      <c r="W46644" s="235" t="n"/>
      <c r="X46644" s="235" t="n"/>
    </row>
    <row r="46645" ht="14.25" customHeight="1" s="192">
      <c r="W46645" s="235" t="n"/>
      <c r="X46645" s="235" t="n"/>
    </row>
    <row r="46646" ht="14.25" customHeight="1" s="192">
      <c r="W46646" s="239" t="n"/>
      <c r="X46646" s="239" t="n"/>
    </row>
    <row r="46647" ht="14.25" customHeight="1" s="192">
      <c r="W46647" s="235" t="n"/>
      <c r="X46647" s="235" t="n"/>
    </row>
    <row r="46648" ht="14.25" customHeight="1" s="192">
      <c r="W46648" s="239" t="n"/>
      <c r="X46648" s="239" t="n"/>
    </row>
    <row r="46650" ht="14.25" customHeight="1" s="192">
      <c r="W46650" s="235" t="n"/>
      <c r="X46650" s="235" t="n"/>
    </row>
    <row r="46651" ht="15" customHeight="1" s="192" thickBot="1">
      <c r="W46651" s="239" t="n"/>
      <c r="X46651" s="239" t="n"/>
    </row>
    <row r="46652" ht="15" customHeight="1" s="192" thickBot="1">
      <c r="W46652" s="45" t="n"/>
      <c r="X46652" s="45" t="n"/>
    </row>
    <row r="46653" ht="14.25" customHeight="1" s="192">
      <c r="W46653" s="228" t="n"/>
      <c r="X46653" s="228" t="n"/>
    </row>
    <row r="46654" ht="14.25" customHeight="1" s="192">
      <c r="W46654" s="228" t="n"/>
      <c r="X46654" s="228" t="n"/>
    </row>
    <row r="46655" ht="14.25" customHeight="1" s="192">
      <c r="W46655" s="231" t="n"/>
      <c r="X46655" s="231" t="n"/>
    </row>
    <row r="46656" ht="14.25" customHeight="1" s="192">
      <c r="W46656" s="33" t="n"/>
      <c r="X46656" s="33" t="n"/>
    </row>
    <row r="46657" ht="14.25" customHeight="1" s="192">
      <c r="W46657" s="231" t="n"/>
      <c r="X46657" s="231" t="n"/>
    </row>
    <row r="46658" ht="14.25" customHeight="1" s="192">
      <c r="W46658" s="33" t="n"/>
      <c r="X46658" s="33" t="n"/>
    </row>
    <row r="46660" ht="14.25" customHeight="1" s="192">
      <c r="W46660" s="231" t="n"/>
      <c r="X46660" s="231" t="n"/>
    </row>
    <row r="46661" ht="14.25" customHeight="1" s="192">
      <c r="W46661" s="235" t="n"/>
      <c r="X46661" s="235" t="n"/>
    </row>
    <row r="46662" ht="14.25" customHeight="1" s="192">
      <c r="W46662" s="228" t="n"/>
      <c r="X46662" s="228" t="n"/>
    </row>
    <row r="46663" ht="14.25" customHeight="1" s="192">
      <c r="W46663" s="235" t="n"/>
      <c r="X46663" s="235" t="n"/>
    </row>
    <row r="46664" ht="14.25" customHeight="1" s="192">
      <c r="W46664" s="235" t="n"/>
      <c r="X46664" s="235" t="n"/>
    </row>
    <row r="46665" ht="14.25" customHeight="1" s="192">
      <c r="W46665" s="235" t="n"/>
      <c r="X46665" s="235" t="n"/>
    </row>
    <row r="46666" ht="14.25" customHeight="1" s="192">
      <c r="W46666" s="239" t="n"/>
      <c r="X46666" s="239" t="n"/>
    </row>
    <row r="46667" ht="14.25" customHeight="1" s="192">
      <c r="W46667" s="239" t="n"/>
      <c r="X46667" s="239" t="n"/>
    </row>
    <row r="46668" ht="14.25" customHeight="1" s="192">
      <c r="W46668" s="239" t="n"/>
      <c r="X46668" s="239" t="n"/>
    </row>
    <row r="46669" ht="14.25" customHeight="1" s="192">
      <c r="W46669" s="235" t="n"/>
      <c r="X46669" s="235" t="n"/>
    </row>
    <row r="46670" ht="14.25" customHeight="1" s="192">
      <c r="W46670" s="235" t="n"/>
      <c r="X46670" s="235" t="n"/>
    </row>
    <row r="46671" ht="14.25" customHeight="1" s="192">
      <c r="W46671" s="235" t="n"/>
      <c r="X46671" s="235" t="n"/>
    </row>
    <row r="46672" ht="14.25" customHeight="1" s="192">
      <c r="W46672" s="239" t="n"/>
      <c r="X46672" s="239" t="n"/>
    </row>
    <row r="46673" ht="14.25" customHeight="1" s="192">
      <c r="W46673" s="239" t="n"/>
      <c r="X46673" s="239" t="n"/>
    </row>
    <row r="46674" ht="14.25" customHeight="1" s="192">
      <c r="W46674" s="235" t="n"/>
      <c r="X46674" s="235" t="n"/>
    </row>
    <row r="46675" ht="14.25" customHeight="1" s="192">
      <c r="W46675" s="235" t="n"/>
      <c r="X46675" s="235" t="n"/>
    </row>
    <row r="46676" ht="14.25" customHeight="1" s="192">
      <c r="W46676" s="239" t="n"/>
      <c r="X46676" s="239" t="n"/>
    </row>
    <row r="46677" ht="14.25" customHeight="1" s="192">
      <c r="W46677" s="235" t="n"/>
      <c r="X46677" s="235" t="n"/>
    </row>
    <row r="46678" ht="14.25" customHeight="1" s="192">
      <c r="W46678" s="239" t="n"/>
      <c r="X46678" s="239" t="n"/>
    </row>
    <row r="46680" ht="14.25" customHeight="1" s="192">
      <c r="W46680" s="235" t="n"/>
      <c r="X46680" s="235" t="n"/>
    </row>
    <row r="46681" ht="15" customHeight="1" s="192" thickBot="1">
      <c r="W46681" s="239" t="n"/>
      <c r="X46681" s="239" t="n"/>
    </row>
    <row r="46682" ht="15" customHeight="1" s="192" thickBot="1">
      <c r="W46682" s="45" t="n"/>
      <c r="X46682" s="45" t="n"/>
    </row>
    <row r="46683" ht="14.25" customHeight="1" s="192">
      <c r="W46683" s="228" t="n"/>
      <c r="X46683" s="228" t="n"/>
    </row>
    <row r="46684" ht="14.25" customHeight="1" s="192">
      <c r="W46684" s="228" t="n"/>
      <c r="X46684" s="228" t="n"/>
    </row>
    <row r="46685" ht="14.25" customHeight="1" s="192">
      <c r="W46685" s="231" t="n"/>
      <c r="X46685" s="231" t="n"/>
    </row>
    <row r="46686" ht="14.25" customHeight="1" s="192">
      <c r="W46686" s="33" t="n"/>
      <c r="X46686" s="33" t="n"/>
    </row>
    <row r="46687" ht="14.25" customHeight="1" s="192">
      <c r="W46687" s="231" t="n"/>
      <c r="X46687" s="231" t="n"/>
    </row>
    <row r="46688" ht="14.25" customHeight="1" s="192">
      <c r="W46688" s="33" t="n"/>
      <c r="X46688" s="33" t="n"/>
    </row>
    <row r="46690" ht="14.25" customHeight="1" s="192">
      <c r="W46690" s="231" t="n"/>
      <c r="X46690" s="231" t="n"/>
    </row>
    <row r="46691" ht="14.25" customHeight="1" s="192">
      <c r="W46691" s="235" t="n"/>
      <c r="X46691" s="235" t="n"/>
    </row>
    <row r="46692" ht="14.25" customHeight="1" s="192">
      <c r="W46692" s="228" t="n"/>
      <c r="X46692" s="228" t="n"/>
    </row>
    <row r="46693" ht="14.25" customHeight="1" s="192">
      <c r="W46693" s="235" t="n"/>
      <c r="X46693" s="235" t="n"/>
    </row>
    <row r="46694" ht="14.25" customHeight="1" s="192">
      <c r="W46694" s="235" t="n"/>
      <c r="X46694" s="235" t="n"/>
    </row>
    <row r="46695" ht="14.25" customHeight="1" s="192">
      <c r="W46695" s="235" t="n"/>
      <c r="X46695" s="235" t="n"/>
    </row>
    <row r="46696" ht="14.25" customHeight="1" s="192">
      <c r="W46696" s="239" t="n"/>
      <c r="X46696" s="239" t="n"/>
    </row>
    <row r="46697" ht="14.25" customHeight="1" s="192">
      <c r="W46697" s="239" t="n"/>
      <c r="X46697" s="239" t="n"/>
    </row>
    <row r="46698" ht="14.25" customHeight="1" s="192">
      <c r="W46698" s="239" t="n"/>
      <c r="X46698" s="239" t="n"/>
    </row>
    <row r="46699" ht="14.25" customHeight="1" s="192">
      <c r="W46699" s="235" t="n"/>
      <c r="X46699" s="235" t="n"/>
    </row>
    <row r="46700" ht="14.25" customHeight="1" s="192">
      <c r="W46700" s="235" t="n"/>
      <c r="X46700" s="235" t="n"/>
    </row>
    <row r="46701" ht="14.25" customHeight="1" s="192">
      <c r="W46701" s="235" t="n"/>
      <c r="X46701" s="235" t="n"/>
    </row>
    <row r="46702" ht="14.25" customHeight="1" s="192">
      <c r="W46702" s="239" t="n"/>
      <c r="X46702" s="239" t="n"/>
    </row>
    <row r="46703" ht="14.25" customHeight="1" s="192">
      <c r="W46703" s="239" t="n"/>
      <c r="X46703" s="239" t="n"/>
    </row>
    <row r="46704" ht="14.25" customHeight="1" s="192">
      <c r="W46704" s="235" t="n"/>
      <c r="X46704" s="235" t="n"/>
    </row>
    <row r="46705" ht="14.25" customHeight="1" s="192">
      <c r="W46705" s="235" t="n"/>
      <c r="X46705" s="235" t="n"/>
    </row>
    <row r="46706" ht="14.25" customHeight="1" s="192">
      <c r="W46706" s="239" t="n"/>
      <c r="X46706" s="239" t="n"/>
    </row>
    <row r="46707" ht="14.25" customHeight="1" s="192">
      <c r="W46707" s="235" t="n"/>
      <c r="X46707" s="235" t="n"/>
    </row>
    <row r="46708" ht="14.25" customHeight="1" s="192">
      <c r="W46708" s="239" t="n"/>
      <c r="X46708" s="239" t="n"/>
    </row>
    <row r="46710" ht="14.25" customHeight="1" s="192">
      <c r="W46710" s="235" t="n"/>
      <c r="X46710" s="235" t="n"/>
    </row>
    <row r="46711" ht="15" customHeight="1" s="192" thickBot="1">
      <c r="W46711" s="239" t="n"/>
      <c r="X46711" s="239" t="n"/>
    </row>
    <row r="46712" ht="15" customHeight="1" s="192" thickBot="1">
      <c r="W46712" s="45" t="n"/>
      <c r="X46712" s="45" t="n"/>
    </row>
    <row r="46713" ht="14.25" customHeight="1" s="192">
      <c r="W46713" s="228" t="n"/>
      <c r="X46713" s="228" t="n"/>
    </row>
    <row r="46714" ht="14.25" customHeight="1" s="192">
      <c r="W46714" s="228" t="n"/>
      <c r="X46714" s="228" t="n"/>
    </row>
    <row r="46715" ht="14.25" customHeight="1" s="192">
      <c r="W46715" s="231" t="n"/>
      <c r="X46715" s="231" t="n"/>
    </row>
    <row r="46716" ht="14.25" customHeight="1" s="192">
      <c r="W46716" s="33" t="n"/>
      <c r="X46716" s="33" t="n"/>
    </row>
    <row r="46717" ht="14.25" customHeight="1" s="192">
      <c r="W46717" s="231" t="n"/>
      <c r="X46717" s="231" t="n"/>
    </row>
    <row r="46718" ht="14.25" customHeight="1" s="192">
      <c r="W46718" s="33" t="n"/>
      <c r="X46718" s="33" t="n"/>
    </row>
    <row r="46720" ht="14.25" customHeight="1" s="192">
      <c r="W46720" s="231" t="n"/>
      <c r="X46720" s="231" t="n"/>
    </row>
    <row r="46721" ht="14.25" customHeight="1" s="192">
      <c r="W46721" s="235" t="n"/>
      <c r="X46721" s="235" t="n"/>
    </row>
    <row r="46722" ht="14.25" customHeight="1" s="192">
      <c r="W46722" s="228" t="n"/>
      <c r="X46722" s="228" t="n"/>
    </row>
    <row r="46723" ht="14.25" customHeight="1" s="192">
      <c r="W46723" s="235" t="n"/>
      <c r="X46723" s="235" t="n"/>
    </row>
    <row r="46724" ht="14.25" customHeight="1" s="192">
      <c r="W46724" s="235" t="n"/>
      <c r="X46724" s="235" t="n"/>
    </row>
    <row r="46725" ht="14.25" customHeight="1" s="192">
      <c r="W46725" s="235" t="n"/>
      <c r="X46725" s="235" t="n"/>
    </row>
    <row r="46726" ht="14.25" customHeight="1" s="192">
      <c r="W46726" s="239" t="n"/>
      <c r="X46726" s="239" t="n"/>
    </row>
    <row r="46727" ht="14.25" customHeight="1" s="192">
      <c r="W46727" s="239" t="n"/>
      <c r="X46727" s="239" t="n"/>
    </row>
    <row r="46728" ht="14.25" customHeight="1" s="192">
      <c r="W46728" s="239" t="n"/>
      <c r="X46728" s="239" t="n"/>
    </row>
    <row r="46729" ht="14.25" customHeight="1" s="192">
      <c r="W46729" s="235" t="n"/>
      <c r="X46729" s="235" t="n"/>
    </row>
    <row r="46730" ht="14.25" customHeight="1" s="192">
      <c r="W46730" s="235" t="n"/>
      <c r="X46730" s="235" t="n"/>
    </row>
    <row r="46731" ht="14.25" customHeight="1" s="192">
      <c r="W46731" s="235" t="n"/>
      <c r="X46731" s="235" t="n"/>
    </row>
    <row r="46732" ht="14.25" customHeight="1" s="192">
      <c r="W46732" s="239" t="n"/>
      <c r="X46732" s="239" t="n"/>
    </row>
    <row r="46733" ht="14.25" customHeight="1" s="192">
      <c r="W46733" s="239" t="n"/>
      <c r="X46733" s="239" t="n"/>
    </row>
    <row r="46734" ht="14.25" customHeight="1" s="192">
      <c r="W46734" s="235" t="n"/>
      <c r="X46734" s="235" t="n"/>
    </row>
    <row r="46735" ht="14.25" customHeight="1" s="192">
      <c r="W46735" s="235" t="n"/>
      <c r="X46735" s="235" t="n"/>
    </row>
    <row r="46736" ht="14.25" customHeight="1" s="192">
      <c r="W46736" s="239" t="n"/>
      <c r="X46736" s="239" t="n"/>
    </row>
    <row r="46737" ht="14.25" customHeight="1" s="192">
      <c r="W46737" s="235" t="n"/>
      <c r="X46737" s="235" t="n"/>
    </row>
    <row r="46738" ht="14.25" customHeight="1" s="192">
      <c r="W46738" s="239" t="n"/>
      <c r="X46738" s="239" t="n"/>
    </row>
    <row r="46740" ht="14.25" customHeight="1" s="192">
      <c r="W46740" s="235" t="n"/>
      <c r="X46740" s="235" t="n"/>
    </row>
    <row r="46741" ht="15" customHeight="1" s="192" thickBot="1">
      <c r="W46741" s="239" t="n"/>
      <c r="X46741" s="239" t="n"/>
    </row>
    <row r="46742" ht="15" customHeight="1" s="192" thickBot="1">
      <c r="W46742" s="45" t="n"/>
      <c r="X46742" s="45" t="n"/>
    </row>
    <row r="46743" ht="14.25" customHeight="1" s="192">
      <c r="W46743" s="228" t="n"/>
      <c r="X46743" s="228" t="n"/>
    </row>
    <row r="46744" ht="14.25" customHeight="1" s="192">
      <c r="W46744" s="228" t="n"/>
      <c r="X46744" s="228" t="n"/>
    </row>
    <row r="46745" ht="14.25" customHeight="1" s="192">
      <c r="W46745" s="231" t="n"/>
      <c r="X46745" s="231" t="n"/>
    </row>
    <row r="46746" ht="14.25" customHeight="1" s="192">
      <c r="W46746" s="33" t="n"/>
      <c r="X46746" s="33" t="n"/>
    </row>
    <row r="46747" ht="14.25" customHeight="1" s="192">
      <c r="W46747" s="231" t="n"/>
      <c r="X46747" s="231" t="n"/>
    </row>
    <row r="46748" ht="14.25" customHeight="1" s="192">
      <c r="W46748" s="33" t="n"/>
      <c r="X46748" s="33" t="n"/>
    </row>
    <row r="46750" ht="14.25" customHeight="1" s="192">
      <c r="W46750" s="231" t="n"/>
      <c r="X46750" s="231" t="n"/>
    </row>
    <row r="46751" ht="14.25" customHeight="1" s="192">
      <c r="W46751" s="235" t="n"/>
      <c r="X46751" s="235" t="n"/>
    </row>
    <row r="46752" ht="14.25" customHeight="1" s="192">
      <c r="W46752" s="228" t="n"/>
      <c r="X46752" s="228" t="n"/>
    </row>
    <row r="46753" ht="14.25" customHeight="1" s="192">
      <c r="W46753" s="235" t="n"/>
      <c r="X46753" s="235" t="n"/>
    </row>
    <row r="46754" ht="14.25" customHeight="1" s="192">
      <c r="W46754" s="235" t="n"/>
      <c r="X46754" s="235" t="n"/>
    </row>
    <row r="46755" ht="14.25" customHeight="1" s="192">
      <c r="W46755" s="235" t="n"/>
      <c r="X46755" s="235" t="n"/>
    </row>
    <row r="46756" ht="14.25" customHeight="1" s="192">
      <c r="W46756" s="239" t="n"/>
      <c r="X46756" s="239" t="n"/>
    </row>
    <row r="46757" ht="14.25" customHeight="1" s="192">
      <c r="W46757" s="239" t="n"/>
      <c r="X46757" s="239" t="n"/>
    </row>
    <row r="46758" ht="14.25" customHeight="1" s="192">
      <c r="W46758" s="239" t="n"/>
      <c r="X46758" s="239" t="n"/>
    </row>
    <row r="46759" ht="14.25" customHeight="1" s="192">
      <c r="W46759" s="235" t="n"/>
      <c r="X46759" s="235" t="n"/>
    </row>
    <row r="46760" ht="14.25" customHeight="1" s="192">
      <c r="W46760" s="235" t="n"/>
      <c r="X46760" s="235" t="n"/>
    </row>
    <row r="46761" ht="14.25" customHeight="1" s="192">
      <c r="W46761" s="235" t="n"/>
      <c r="X46761" s="235" t="n"/>
    </row>
    <row r="46762" ht="14.25" customHeight="1" s="192">
      <c r="W46762" s="239" t="n"/>
      <c r="X46762" s="239" t="n"/>
    </row>
    <row r="46763" ht="14.25" customHeight="1" s="192">
      <c r="W46763" s="239" t="n"/>
      <c r="X46763" s="239" t="n"/>
    </row>
    <row r="46764" ht="14.25" customHeight="1" s="192">
      <c r="W46764" s="235" t="n"/>
      <c r="X46764" s="235" t="n"/>
    </row>
    <row r="46765" ht="14.25" customHeight="1" s="192">
      <c r="W46765" s="235" t="n"/>
      <c r="X46765" s="235" t="n"/>
    </row>
    <row r="46766" ht="14.25" customHeight="1" s="192">
      <c r="W46766" s="239" t="n"/>
      <c r="X46766" s="239" t="n"/>
    </row>
    <row r="46767" ht="14.25" customHeight="1" s="192">
      <c r="W46767" s="235" t="n"/>
      <c r="X46767" s="235" t="n"/>
    </row>
    <row r="46768" ht="14.25" customHeight="1" s="192">
      <c r="W46768" s="239" t="n"/>
      <c r="X46768" s="239" t="n"/>
    </row>
    <row r="46770" ht="14.25" customHeight="1" s="192">
      <c r="W46770" s="235" t="n"/>
      <c r="X46770" s="235" t="n"/>
    </row>
    <row r="46771" ht="15" customHeight="1" s="192" thickBot="1">
      <c r="W46771" s="239" t="n"/>
      <c r="X46771" s="239" t="n"/>
    </row>
    <row r="46772" ht="15" customHeight="1" s="192" thickBot="1">
      <c r="W46772" s="45" t="n"/>
      <c r="X46772" s="45" t="n"/>
    </row>
    <row r="46773" ht="14.25" customHeight="1" s="192">
      <c r="W46773" s="228" t="n"/>
      <c r="X46773" s="228" t="n"/>
    </row>
    <row r="46774" ht="14.25" customHeight="1" s="192">
      <c r="W46774" s="228" t="n"/>
      <c r="X46774" s="228" t="n"/>
    </row>
    <row r="46775" ht="14.25" customHeight="1" s="192">
      <c r="W46775" s="231" t="n"/>
      <c r="X46775" s="231" t="n"/>
    </row>
    <row r="46776" ht="14.25" customHeight="1" s="192">
      <c r="W46776" s="33" t="n"/>
      <c r="X46776" s="33" t="n"/>
    </row>
    <row r="46777" ht="14.25" customHeight="1" s="192">
      <c r="W46777" s="231" t="n"/>
      <c r="X46777" s="231" t="n"/>
    </row>
    <row r="46778" ht="14.25" customHeight="1" s="192">
      <c r="W46778" s="33" t="n"/>
      <c r="X46778" s="33" t="n"/>
    </row>
    <row r="46780" ht="14.25" customHeight="1" s="192">
      <c r="W46780" s="231" t="n"/>
      <c r="X46780" s="231" t="n"/>
    </row>
    <row r="46781" ht="14.25" customHeight="1" s="192">
      <c r="W46781" s="235" t="n"/>
      <c r="X46781" s="235" t="n"/>
    </row>
    <row r="46782" ht="14.25" customHeight="1" s="192">
      <c r="W46782" s="228" t="n"/>
      <c r="X46782" s="228" t="n"/>
    </row>
    <row r="46783" ht="14.25" customHeight="1" s="192">
      <c r="W46783" s="235" t="n"/>
      <c r="X46783" s="235" t="n"/>
    </row>
    <row r="46784" ht="14.25" customHeight="1" s="192">
      <c r="W46784" s="235" t="n"/>
      <c r="X46784" s="235" t="n"/>
    </row>
    <row r="46785" ht="14.25" customHeight="1" s="192">
      <c r="W46785" s="235" t="n"/>
      <c r="X46785" s="235" t="n"/>
    </row>
    <row r="46786" ht="14.25" customHeight="1" s="192">
      <c r="W46786" s="239" t="n"/>
      <c r="X46786" s="239" t="n"/>
    </row>
    <row r="46787" ht="14.25" customHeight="1" s="192">
      <c r="W46787" s="239" t="n"/>
      <c r="X46787" s="239" t="n"/>
    </row>
    <row r="46788" ht="14.25" customHeight="1" s="192">
      <c r="W46788" s="239" t="n"/>
      <c r="X46788" s="239" t="n"/>
    </row>
    <row r="46789" ht="14.25" customHeight="1" s="192">
      <c r="W46789" s="235" t="n"/>
      <c r="X46789" s="235" t="n"/>
    </row>
    <row r="46790" ht="14.25" customHeight="1" s="192">
      <c r="W46790" s="235" t="n"/>
      <c r="X46790" s="235" t="n"/>
    </row>
    <row r="46791" ht="14.25" customHeight="1" s="192">
      <c r="W46791" s="235" t="n"/>
      <c r="X46791" s="235" t="n"/>
    </row>
    <row r="46792" ht="14.25" customHeight="1" s="192">
      <c r="W46792" s="239" t="n"/>
      <c r="X46792" s="239" t="n"/>
    </row>
    <row r="46793" ht="14.25" customHeight="1" s="192">
      <c r="W46793" s="239" t="n"/>
      <c r="X46793" s="239" t="n"/>
    </row>
    <row r="46794" ht="14.25" customHeight="1" s="192">
      <c r="W46794" s="235" t="n"/>
      <c r="X46794" s="235" t="n"/>
    </row>
    <row r="46795" ht="14.25" customHeight="1" s="192">
      <c r="W46795" s="235" t="n"/>
      <c r="X46795" s="235" t="n"/>
    </row>
    <row r="46796" ht="14.25" customHeight="1" s="192">
      <c r="W46796" s="239" t="n"/>
      <c r="X46796" s="239" t="n"/>
    </row>
    <row r="46797" ht="14.25" customHeight="1" s="192">
      <c r="W46797" s="235" t="n"/>
      <c r="X46797" s="235" t="n"/>
    </row>
    <row r="46798" ht="14.25" customHeight="1" s="192">
      <c r="W46798" s="239" t="n"/>
      <c r="X46798" s="239" t="n"/>
    </row>
    <row r="46800" ht="14.25" customHeight="1" s="192">
      <c r="W46800" s="235" t="n"/>
      <c r="X46800" s="235" t="n"/>
    </row>
    <row r="46801" ht="15" customHeight="1" s="192" thickBot="1">
      <c r="W46801" s="239" t="n"/>
      <c r="X46801" s="239" t="n"/>
    </row>
    <row r="46802" ht="15" customHeight="1" s="192" thickBot="1">
      <c r="W46802" s="45" t="n"/>
      <c r="X46802" s="45" t="n"/>
    </row>
    <row r="46803" ht="14.25" customHeight="1" s="192">
      <c r="W46803" s="228" t="n"/>
      <c r="X46803" s="228" t="n"/>
    </row>
    <row r="46804" ht="14.25" customHeight="1" s="192">
      <c r="W46804" s="228" t="n"/>
      <c r="X46804" s="228" t="n"/>
    </row>
    <row r="46805" ht="14.25" customHeight="1" s="192">
      <c r="W46805" s="231" t="n"/>
      <c r="X46805" s="231" t="n"/>
    </row>
    <row r="46806" ht="14.25" customHeight="1" s="192">
      <c r="W46806" s="33" t="n"/>
      <c r="X46806" s="33" t="n"/>
    </row>
    <row r="46807" ht="14.25" customHeight="1" s="192">
      <c r="W46807" s="231" t="n"/>
      <c r="X46807" s="231" t="n"/>
    </row>
    <row r="46808" ht="14.25" customHeight="1" s="192">
      <c r="W46808" s="33" t="n"/>
      <c r="X46808" s="33" t="n"/>
    </row>
    <row r="46810" ht="14.25" customHeight="1" s="192">
      <c r="W46810" s="231" t="n"/>
      <c r="X46810" s="231" t="n"/>
    </row>
    <row r="46811" ht="14.25" customHeight="1" s="192">
      <c r="W46811" s="235" t="n"/>
      <c r="X46811" s="235" t="n"/>
    </row>
    <row r="46812" ht="14.25" customHeight="1" s="192">
      <c r="W46812" s="228" t="n"/>
      <c r="X46812" s="228" t="n"/>
    </row>
    <row r="46813" ht="14.25" customHeight="1" s="192">
      <c r="W46813" s="235" t="n"/>
      <c r="X46813" s="235" t="n"/>
    </row>
    <row r="46814" ht="14.25" customHeight="1" s="192">
      <c r="W46814" s="235" t="n"/>
      <c r="X46814" s="235" t="n"/>
    </row>
    <row r="46815" ht="14.25" customHeight="1" s="192">
      <c r="W46815" s="235" t="n"/>
      <c r="X46815" s="235" t="n"/>
    </row>
    <row r="46816" ht="14.25" customHeight="1" s="192">
      <c r="W46816" s="239" t="n"/>
      <c r="X46816" s="239" t="n"/>
    </row>
    <row r="46817" ht="14.25" customHeight="1" s="192">
      <c r="W46817" s="239" t="n"/>
      <c r="X46817" s="239" t="n"/>
    </row>
    <row r="46818" ht="14.25" customHeight="1" s="192">
      <c r="W46818" s="239" t="n"/>
      <c r="X46818" s="239" t="n"/>
    </row>
    <row r="46819" ht="14.25" customHeight="1" s="192">
      <c r="W46819" s="235" t="n"/>
      <c r="X46819" s="235" t="n"/>
    </row>
    <row r="46820" ht="14.25" customHeight="1" s="192">
      <c r="W46820" s="235" t="n"/>
      <c r="X46820" s="235" t="n"/>
    </row>
    <row r="46821" ht="14.25" customHeight="1" s="192">
      <c r="W46821" s="235" t="n"/>
      <c r="X46821" s="235" t="n"/>
    </row>
    <row r="46822" ht="14.25" customHeight="1" s="192">
      <c r="W46822" s="239" t="n"/>
      <c r="X46822" s="239" t="n"/>
    </row>
    <row r="46823" ht="14.25" customHeight="1" s="192">
      <c r="W46823" s="239" t="n"/>
      <c r="X46823" s="239" t="n"/>
    </row>
    <row r="46824" ht="14.25" customHeight="1" s="192">
      <c r="W46824" s="235" t="n"/>
      <c r="X46824" s="235" t="n"/>
    </row>
    <row r="46825" ht="14.25" customHeight="1" s="192">
      <c r="W46825" s="235" t="n"/>
      <c r="X46825" s="235" t="n"/>
    </row>
    <row r="46826" ht="14.25" customHeight="1" s="192">
      <c r="W46826" s="239" t="n"/>
      <c r="X46826" s="239" t="n"/>
    </row>
    <row r="46827" ht="14.25" customHeight="1" s="192">
      <c r="W46827" s="235" t="n"/>
      <c r="X46827" s="235" t="n"/>
    </row>
    <row r="46828" ht="14.25" customHeight="1" s="192">
      <c r="W46828" s="239" t="n"/>
      <c r="X46828" s="239" t="n"/>
    </row>
    <row r="46830" ht="14.25" customHeight="1" s="192">
      <c r="W46830" s="235" t="n"/>
      <c r="X46830" s="235" t="n"/>
    </row>
    <row r="46831" ht="15" customHeight="1" s="192" thickBot="1">
      <c r="W46831" s="239" t="n"/>
      <c r="X46831" s="239" t="n"/>
    </row>
    <row r="46832" ht="15" customHeight="1" s="192" thickBot="1">
      <c r="W46832" s="45" t="n"/>
      <c r="X46832" s="45" t="n"/>
    </row>
    <row r="46833" ht="14.25" customHeight="1" s="192">
      <c r="W46833" s="228" t="n"/>
      <c r="X46833" s="228" t="n"/>
    </row>
    <row r="46834" ht="14.25" customHeight="1" s="192">
      <c r="W46834" s="228" t="n"/>
      <c r="X46834" s="228" t="n"/>
    </row>
    <row r="46835" ht="14.25" customHeight="1" s="192">
      <c r="W46835" s="231" t="n"/>
      <c r="X46835" s="231" t="n"/>
    </row>
    <row r="46836" ht="14.25" customHeight="1" s="192">
      <c r="W46836" s="33" t="n"/>
      <c r="X46836" s="33" t="n"/>
    </row>
    <row r="46837" ht="14.25" customHeight="1" s="192">
      <c r="W46837" s="231" t="n"/>
      <c r="X46837" s="231" t="n"/>
    </row>
    <row r="46838" ht="14.25" customHeight="1" s="192">
      <c r="W46838" s="33" t="n"/>
      <c r="X46838" s="33" t="n"/>
    </row>
    <row r="46840" ht="14.25" customHeight="1" s="192">
      <c r="W46840" s="231" t="n"/>
      <c r="X46840" s="231" t="n"/>
    </row>
    <row r="46841" ht="14.25" customHeight="1" s="192">
      <c r="W46841" s="235" t="n"/>
      <c r="X46841" s="235" t="n"/>
    </row>
    <row r="46842" ht="14.25" customHeight="1" s="192">
      <c r="W46842" s="228" t="n"/>
      <c r="X46842" s="228" t="n"/>
    </row>
    <row r="46843" ht="14.25" customHeight="1" s="192">
      <c r="W46843" s="235" t="n"/>
      <c r="X46843" s="235" t="n"/>
    </row>
    <row r="46844" ht="14.25" customHeight="1" s="192">
      <c r="W46844" s="235" t="n"/>
      <c r="X46844" s="235" t="n"/>
    </row>
    <row r="46845" ht="14.25" customHeight="1" s="192">
      <c r="W46845" s="235" t="n"/>
      <c r="X46845" s="235" t="n"/>
    </row>
    <row r="46846" ht="14.25" customHeight="1" s="192">
      <c r="W46846" s="239" t="n"/>
      <c r="X46846" s="239" t="n"/>
    </row>
    <row r="46847" ht="14.25" customHeight="1" s="192">
      <c r="W46847" s="239" t="n"/>
      <c r="X46847" s="239" t="n"/>
    </row>
    <row r="46848" ht="14.25" customHeight="1" s="192">
      <c r="W46848" s="239" t="n"/>
      <c r="X46848" s="239" t="n"/>
    </row>
    <row r="46849" ht="14.25" customHeight="1" s="192">
      <c r="W46849" s="235" t="n"/>
      <c r="X46849" s="235" t="n"/>
    </row>
    <row r="46850" ht="14.25" customHeight="1" s="192">
      <c r="W46850" s="235" t="n"/>
      <c r="X46850" s="235" t="n"/>
    </row>
    <row r="46851" ht="14.25" customHeight="1" s="192">
      <c r="W46851" s="235" t="n"/>
      <c r="X46851" s="235" t="n"/>
    </row>
    <row r="46852" ht="14.25" customHeight="1" s="192">
      <c r="W46852" s="239" t="n"/>
      <c r="X46852" s="239" t="n"/>
    </row>
    <row r="46853" ht="14.25" customHeight="1" s="192">
      <c r="W46853" s="239" t="n"/>
      <c r="X46853" s="239" t="n"/>
    </row>
    <row r="46854" ht="14.25" customHeight="1" s="192">
      <c r="W46854" s="235" t="n"/>
      <c r="X46854" s="235" t="n"/>
    </row>
    <row r="46855" ht="14.25" customHeight="1" s="192">
      <c r="W46855" s="235" t="n"/>
      <c r="X46855" s="235" t="n"/>
    </row>
    <row r="46856" ht="14.25" customHeight="1" s="192">
      <c r="W46856" s="239" t="n"/>
      <c r="X46856" s="239" t="n"/>
    </row>
    <row r="46857" ht="14.25" customHeight="1" s="192">
      <c r="W46857" s="235" t="n"/>
      <c r="X46857" s="235" t="n"/>
    </row>
    <row r="46858" ht="14.25" customHeight="1" s="192">
      <c r="W46858" s="239" t="n"/>
      <c r="X46858" s="239" t="n"/>
    </row>
    <row r="46860" ht="14.25" customHeight="1" s="192">
      <c r="W46860" s="235" t="n"/>
      <c r="X46860" s="235" t="n"/>
    </row>
    <row r="46861" ht="15" customHeight="1" s="192" thickBot="1">
      <c r="W46861" s="239" t="n"/>
      <c r="X46861" s="239" t="n"/>
    </row>
    <row r="46862" ht="15" customHeight="1" s="192" thickBot="1">
      <c r="W46862" s="45" t="n"/>
      <c r="X46862" s="45" t="n"/>
    </row>
    <row r="46863" ht="14.25" customHeight="1" s="192">
      <c r="W46863" s="228" t="n"/>
      <c r="X46863" s="228" t="n"/>
    </row>
    <row r="46864" ht="14.25" customHeight="1" s="192">
      <c r="W46864" s="228" t="n"/>
      <c r="X46864" s="228" t="n"/>
    </row>
    <row r="46865" ht="14.25" customHeight="1" s="192">
      <c r="W46865" s="231" t="n"/>
      <c r="X46865" s="231" t="n"/>
    </row>
    <row r="46866" ht="14.25" customHeight="1" s="192">
      <c r="W46866" s="33" t="n"/>
      <c r="X46866" s="33" t="n"/>
    </row>
    <row r="46867" ht="14.25" customHeight="1" s="192">
      <c r="W46867" s="231" t="n"/>
      <c r="X46867" s="231" t="n"/>
    </row>
    <row r="46868" ht="14.25" customHeight="1" s="192">
      <c r="W46868" s="33" t="n"/>
      <c r="X46868" s="33" t="n"/>
    </row>
    <row r="46870" ht="14.25" customHeight="1" s="192">
      <c r="W46870" s="231" t="n"/>
      <c r="X46870" s="231" t="n"/>
    </row>
    <row r="46871" ht="14.25" customHeight="1" s="192">
      <c r="W46871" s="235" t="n"/>
      <c r="X46871" s="235" t="n"/>
    </row>
    <row r="46872" ht="14.25" customHeight="1" s="192">
      <c r="W46872" s="228" t="n"/>
      <c r="X46872" s="228" t="n"/>
    </row>
    <row r="46873" ht="14.25" customHeight="1" s="192">
      <c r="W46873" s="235" t="n"/>
      <c r="X46873" s="235" t="n"/>
    </row>
    <row r="46874" ht="14.25" customHeight="1" s="192">
      <c r="W46874" s="235" t="n"/>
      <c r="X46874" s="235" t="n"/>
    </row>
    <row r="46875" ht="14.25" customHeight="1" s="192">
      <c r="W46875" s="235" t="n"/>
      <c r="X46875" s="235" t="n"/>
    </row>
    <row r="46876" ht="14.25" customHeight="1" s="192">
      <c r="W46876" s="239" t="n"/>
      <c r="X46876" s="239" t="n"/>
    </row>
    <row r="46877" ht="14.25" customHeight="1" s="192">
      <c r="W46877" s="239" t="n"/>
      <c r="X46877" s="239" t="n"/>
    </row>
    <row r="46878" ht="14.25" customHeight="1" s="192">
      <c r="W46878" s="239" t="n"/>
      <c r="X46878" s="239" t="n"/>
    </row>
    <row r="46879" ht="14.25" customHeight="1" s="192">
      <c r="W46879" s="235" t="n"/>
      <c r="X46879" s="235" t="n"/>
    </row>
    <row r="46880" ht="14.25" customHeight="1" s="192">
      <c r="W46880" s="235" t="n"/>
      <c r="X46880" s="235" t="n"/>
    </row>
    <row r="46881" ht="14.25" customHeight="1" s="192">
      <c r="W46881" s="235" t="n"/>
      <c r="X46881" s="235" t="n"/>
    </row>
    <row r="46882" ht="14.25" customHeight="1" s="192">
      <c r="W46882" s="239" t="n"/>
      <c r="X46882" s="239" t="n"/>
    </row>
    <row r="46883" ht="14.25" customHeight="1" s="192">
      <c r="W46883" s="239" t="n"/>
      <c r="X46883" s="239" t="n"/>
    </row>
    <row r="46884" ht="14.25" customHeight="1" s="192">
      <c r="W46884" s="235" t="n"/>
      <c r="X46884" s="235" t="n"/>
    </row>
    <row r="46885" ht="14.25" customHeight="1" s="192">
      <c r="W46885" s="235" t="n"/>
      <c r="X46885" s="235" t="n"/>
    </row>
    <row r="46886" ht="14.25" customHeight="1" s="192">
      <c r="W46886" s="239" t="n"/>
      <c r="X46886" s="239" t="n"/>
    </row>
    <row r="46887" ht="14.25" customHeight="1" s="192">
      <c r="W46887" s="235" t="n"/>
      <c r="X46887" s="235" t="n"/>
    </row>
    <row r="46888" ht="14.25" customHeight="1" s="192">
      <c r="W46888" s="239" t="n"/>
      <c r="X46888" s="239" t="n"/>
    </row>
    <row r="46890" ht="14.25" customHeight="1" s="192">
      <c r="W46890" s="235" t="n"/>
      <c r="X46890" s="235" t="n"/>
    </row>
    <row r="46891" ht="15" customHeight="1" s="192" thickBot="1">
      <c r="W46891" s="239" t="n"/>
      <c r="X46891" s="239" t="n"/>
    </row>
    <row r="46892" ht="15" customHeight="1" s="192" thickBot="1">
      <c r="W46892" s="45" t="n"/>
      <c r="X46892" s="45" t="n"/>
    </row>
    <row r="46893" ht="14.25" customHeight="1" s="192">
      <c r="W46893" s="228" t="n"/>
      <c r="X46893" s="228" t="n"/>
    </row>
    <row r="46894" ht="14.25" customHeight="1" s="192">
      <c r="W46894" s="228" t="n"/>
      <c r="X46894" s="228" t="n"/>
    </row>
    <row r="46895" ht="14.25" customHeight="1" s="192">
      <c r="W46895" s="231" t="n"/>
      <c r="X46895" s="231" t="n"/>
    </row>
    <row r="46896" ht="14.25" customHeight="1" s="192">
      <c r="W46896" s="33" t="n"/>
      <c r="X46896" s="33" t="n"/>
    </row>
    <row r="46897" ht="14.25" customHeight="1" s="192">
      <c r="W46897" s="231" t="n"/>
      <c r="X46897" s="231" t="n"/>
    </row>
    <row r="46898" ht="14.25" customHeight="1" s="192">
      <c r="W46898" s="33" t="n"/>
      <c r="X46898" s="33" t="n"/>
    </row>
    <row r="46900" ht="14.25" customHeight="1" s="192">
      <c r="W46900" s="231" t="n"/>
      <c r="X46900" s="231" t="n"/>
    </row>
    <row r="46901" ht="14.25" customHeight="1" s="192">
      <c r="W46901" s="235" t="n"/>
      <c r="X46901" s="235" t="n"/>
    </row>
    <row r="46902" ht="14.25" customHeight="1" s="192">
      <c r="W46902" s="228" t="n"/>
      <c r="X46902" s="228" t="n"/>
    </row>
    <row r="46903" ht="14.25" customHeight="1" s="192">
      <c r="W46903" s="235" t="n"/>
      <c r="X46903" s="235" t="n"/>
    </row>
    <row r="46904" ht="14.25" customHeight="1" s="192">
      <c r="W46904" s="235" t="n"/>
      <c r="X46904" s="235" t="n"/>
    </row>
    <row r="46905" ht="14.25" customHeight="1" s="192">
      <c r="W46905" s="235" t="n"/>
      <c r="X46905" s="235" t="n"/>
    </row>
    <row r="46906" ht="14.25" customHeight="1" s="192">
      <c r="W46906" s="239" t="n"/>
      <c r="X46906" s="239" t="n"/>
    </row>
    <row r="46907" ht="14.25" customHeight="1" s="192">
      <c r="W46907" s="239" t="n"/>
      <c r="X46907" s="239" t="n"/>
    </row>
    <row r="46908" ht="14.25" customHeight="1" s="192">
      <c r="W46908" s="239" t="n"/>
      <c r="X46908" s="239" t="n"/>
    </row>
    <row r="46909" ht="14.25" customHeight="1" s="192">
      <c r="W46909" s="235" t="n"/>
      <c r="X46909" s="235" t="n"/>
    </row>
    <row r="46910" ht="14.25" customHeight="1" s="192">
      <c r="W46910" s="235" t="n"/>
      <c r="X46910" s="235" t="n"/>
    </row>
    <row r="46911" ht="14.25" customHeight="1" s="192">
      <c r="W46911" s="235" t="n"/>
      <c r="X46911" s="235" t="n"/>
    </row>
    <row r="46912" ht="14.25" customHeight="1" s="192">
      <c r="W46912" s="239" t="n"/>
      <c r="X46912" s="239" t="n"/>
    </row>
    <row r="46913" ht="14.25" customHeight="1" s="192">
      <c r="W46913" s="239" t="n"/>
      <c r="X46913" s="239" t="n"/>
    </row>
    <row r="46914" ht="14.25" customHeight="1" s="192">
      <c r="W46914" s="235" t="n"/>
      <c r="X46914" s="235" t="n"/>
    </row>
    <row r="46915" ht="14.25" customHeight="1" s="192">
      <c r="W46915" s="235" t="n"/>
      <c r="X46915" s="235" t="n"/>
    </row>
    <row r="46916" ht="14.25" customHeight="1" s="192">
      <c r="W46916" s="239" t="n"/>
      <c r="X46916" s="239" t="n"/>
    </row>
    <row r="46917" ht="14.25" customHeight="1" s="192">
      <c r="W46917" s="235" t="n"/>
      <c r="X46917" s="235" t="n"/>
    </row>
    <row r="46918" ht="14.25" customHeight="1" s="192">
      <c r="W46918" s="239" t="n"/>
      <c r="X46918" s="239" t="n"/>
    </row>
    <row r="46920" ht="14.25" customHeight="1" s="192">
      <c r="W46920" s="235" t="n"/>
      <c r="X46920" s="235" t="n"/>
    </row>
    <row r="46921" ht="15" customHeight="1" s="192" thickBot="1">
      <c r="W46921" s="239" t="n"/>
      <c r="X46921" s="239" t="n"/>
    </row>
    <row r="46922" ht="15" customHeight="1" s="192" thickBot="1">
      <c r="W46922" s="45" t="n"/>
      <c r="X46922" s="45" t="n"/>
    </row>
    <row r="46923" ht="14.25" customHeight="1" s="192">
      <c r="W46923" s="228" t="n"/>
      <c r="X46923" s="228" t="n"/>
    </row>
    <row r="46924" ht="14.25" customHeight="1" s="192">
      <c r="W46924" s="228" t="n"/>
      <c r="X46924" s="228" t="n"/>
    </row>
    <row r="46925" ht="14.25" customHeight="1" s="192">
      <c r="W46925" s="231" t="n"/>
      <c r="X46925" s="231" t="n"/>
    </row>
    <row r="46926" ht="14.25" customHeight="1" s="192">
      <c r="W46926" s="33" t="n"/>
      <c r="X46926" s="33" t="n"/>
    </row>
    <row r="46927" ht="14.25" customHeight="1" s="192">
      <c r="W46927" s="231" t="n"/>
      <c r="X46927" s="231" t="n"/>
    </row>
    <row r="46928" ht="14.25" customHeight="1" s="192">
      <c r="W46928" s="33" t="n"/>
      <c r="X46928" s="33" t="n"/>
    </row>
    <row r="46930" ht="14.25" customHeight="1" s="192">
      <c r="W46930" s="231" t="n"/>
      <c r="X46930" s="231" t="n"/>
    </row>
    <row r="46931" ht="14.25" customHeight="1" s="192">
      <c r="W46931" s="235" t="n"/>
      <c r="X46931" s="235" t="n"/>
    </row>
    <row r="46932" ht="14.25" customHeight="1" s="192">
      <c r="W46932" s="228" t="n"/>
      <c r="X46932" s="228" t="n"/>
    </row>
    <row r="46933" ht="14.25" customHeight="1" s="192">
      <c r="W46933" s="235" t="n"/>
      <c r="X46933" s="235" t="n"/>
    </row>
    <row r="46934" ht="14.25" customHeight="1" s="192">
      <c r="W46934" s="235" t="n"/>
      <c r="X46934" s="235" t="n"/>
    </row>
    <row r="46935" ht="14.25" customHeight="1" s="192">
      <c r="W46935" s="235" t="n"/>
      <c r="X46935" s="235" t="n"/>
    </row>
    <row r="46936" ht="14.25" customHeight="1" s="192">
      <c r="W46936" s="239" t="n"/>
      <c r="X46936" s="239" t="n"/>
    </row>
    <row r="46937" ht="14.25" customHeight="1" s="192">
      <c r="W46937" s="239" t="n"/>
      <c r="X46937" s="239" t="n"/>
    </row>
    <row r="46938" ht="14.25" customHeight="1" s="192">
      <c r="W46938" s="239" t="n"/>
      <c r="X46938" s="239" t="n"/>
    </row>
    <row r="46939" ht="14.25" customHeight="1" s="192">
      <c r="W46939" s="235" t="n"/>
      <c r="X46939" s="235" t="n"/>
    </row>
    <row r="46940" ht="14.25" customHeight="1" s="192">
      <c r="W46940" s="235" t="n"/>
      <c r="X46940" s="235" t="n"/>
    </row>
    <row r="46941" ht="14.25" customHeight="1" s="192">
      <c r="W46941" s="235" t="n"/>
      <c r="X46941" s="235" t="n"/>
    </row>
    <row r="46942" ht="14.25" customHeight="1" s="192">
      <c r="W46942" s="239" t="n"/>
      <c r="X46942" s="239" t="n"/>
    </row>
    <row r="46943" ht="14.25" customHeight="1" s="192">
      <c r="W46943" s="239" t="n"/>
      <c r="X46943" s="239" t="n"/>
    </row>
    <row r="46944" ht="14.25" customHeight="1" s="192">
      <c r="W46944" s="235" t="n"/>
      <c r="X46944" s="235" t="n"/>
    </row>
    <row r="46945" ht="14.25" customHeight="1" s="192">
      <c r="W46945" s="235" t="n"/>
      <c r="X46945" s="235" t="n"/>
    </row>
    <row r="46946" ht="14.25" customHeight="1" s="192">
      <c r="W46946" s="239" t="n"/>
      <c r="X46946" s="239" t="n"/>
    </row>
    <row r="46947" ht="14.25" customHeight="1" s="192">
      <c r="W46947" s="235" t="n"/>
      <c r="X46947" s="235" t="n"/>
    </row>
    <row r="46948" ht="14.25" customHeight="1" s="192">
      <c r="W46948" s="239" t="n"/>
      <c r="X46948" s="239" t="n"/>
    </row>
    <row r="46950" ht="14.25" customHeight="1" s="192">
      <c r="W46950" s="235" t="n"/>
      <c r="X46950" s="235" t="n"/>
    </row>
    <row r="46951" ht="15" customHeight="1" s="192" thickBot="1">
      <c r="W46951" s="239" t="n"/>
      <c r="X46951" s="239" t="n"/>
    </row>
    <row r="46952" ht="15" customHeight="1" s="192" thickBot="1">
      <c r="W46952" s="45" t="n"/>
      <c r="X46952" s="45" t="n"/>
    </row>
    <row r="46953" ht="14.25" customHeight="1" s="192">
      <c r="W46953" s="228" t="n"/>
      <c r="X46953" s="228" t="n"/>
    </row>
    <row r="46954" ht="14.25" customHeight="1" s="192">
      <c r="W46954" s="228" t="n"/>
      <c r="X46954" s="228" t="n"/>
    </row>
    <row r="46955" ht="14.25" customHeight="1" s="192">
      <c r="W46955" s="231" t="n"/>
      <c r="X46955" s="231" t="n"/>
    </row>
    <row r="46956" ht="14.25" customHeight="1" s="192">
      <c r="W46956" s="33" t="n"/>
      <c r="X46956" s="33" t="n"/>
    </row>
    <row r="46957" ht="14.25" customHeight="1" s="192">
      <c r="W46957" s="231" t="n"/>
      <c r="X46957" s="231" t="n"/>
    </row>
    <row r="46958" ht="14.25" customHeight="1" s="192">
      <c r="W46958" s="33" t="n"/>
      <c r="X46958" s="33" t="n"/>
    </row>
    <row r="46960" ht="14.25" customHeight="1" s="192">
      <c r="W46960" s="231" t="n"/>
      <c r="X46960" s="231" t="n"/>
    </row>
    <row r="46961" ht="14.25" customHeight="1" s="192">
      <c r="W46961" s="235" t="n"/>
      <c r="X46961" s="235" t="n"/>
    </row>
    <row r="46962" ht="14.25" customHeight="1" s="192">
      <c r="W46962" s="228" t="n"/>
      <c r="X46962" s="228" t="n"/>
    </row>
    <row r="46963" ht="14.25" customHeight="1" s="192">
      <c r="W46963" s="235" t="n"/>
      <c r="X46963" s="235" t="n"/>
    </row>
    <row r="46964" ht="14.25" customHeight="1" s="192">
      <c r="W46964" s="235" t="n"/>
      <c r="X46964" s="235" t="n"/>
    </row>
    <row r="46965" ht="14.25" customHeight="1" s="192">
      <c r="W46965" s="235" t="n"/>
      <c r="X46965" s="235" t="n"/>
    </row>
    <row r="46966" ht="14.25" customHeight="1" s="192">
      <c r="W46966" s="239" t="n"/>
      <c r="X46966" s="239" t="n"/>
    </row>
    <row r="46967" ht="14.25" customHeight="1" s="192">
      <c r="W46967" s="239" t="n"/>
      <c r="X46967" s="239" t="n"/>
    </row>
    <row r="46968" ht="14.25" customHeight="1" s="192">
      <c r="W46968" s="239" t="n"/>
      <c r="X46968" s="239" t="n"/>
    </row>
    <row r="46969" ht="14.25" customHeight="1" s="192">
      <c r="W46969" s="235" t="n"/>
      <c r="X46969" s="235" t="n"/>
    </row>
    <row r="46970" ht="14.25" customHeight="1" s="192">
      <c r="W46970" s="235" t="n"/>
      <c r="X46970" s="235" t="n"/>
    </row>
    <row r="46971" ht="14.25" customHeight="1" s="192">
      <c r="W46971" s="235" t="n"/>
      <c r="X46971" s="235" t="n"/>
    </row>
    <row r="46972" ht="14.25" customHeight="1" s="192">
      <c r="W46972" s="239" t="n"/>
      <c r="X46972" s="239" t="n"/>
    </row>
    <row r="46973" ht="14.25" customHeight="1" s="192">
      <c r="W46973" s="239" t="n"/>
      <c r="X46973" s="239" t="n"/>
    </row>
    <row r="46974" ht="14.25" customHeight="1" s="192">
      <c r="W46974" s="235" t="n"/>
      <c r="X46974" s="235" t="n"/>
    </row>
    <row r="46975" ht="14.25" customHeight="1" s="192">
      <c r="W46975" s="235" t="n"/>
      <c r="X46975" s="235" t="n"/>
    </row>
    <row r="46976" ht="14.25" customHeight="1" s="192">
      <c r="W46976" s="239" t="n"/>
      <c r="X46976" s="239" t="n"/>
    </row>
    <row r="46977" ht="14.25" customHeight="1" s="192">
      <c r="W46977" s="235" t="n"/>
      <c r="X46977" s="235" t="n"/>
    </row>
    <row r="46978" ht="14.25" customHeight="1" s="192">
      <c r="W46978" s="239" t="n"/>
      <c r="X46978" s="239" t="n"/>
    </row>
    <row r="46980" ht="14.25" customHeight="1" s="192">
      <c r="W46980" s="235" t="n"/>
      <c r="X46980" s="235" t="n"/>
    </row>
    <row r="46981" ht="15" customHeight="1" s="192" thickBot="1">
      <c r="W46981" s="239" t="n"/>
      <c r="X46981" s="239" t="n"/>
    </row>
    <row r="46982" ht="15" customHeight="1" s="192" thickBot="1">
      <c r="W46982" s="45" t="n"/>
      <c r="X46982" s="45" t="n"/>
    </row>
    <row r="46983" ht="14.25" customHeight="1" s="192">
      <c r="W46983" s="228" t="n"/>
      <c r="X46983" s="228" t="n"/>
    </row>
    <row r="46984" ht="14.25" customHeight="1" s="192">
      <c r="W46984" s="228" t="n"/>
      <c r="X46984" s="228" t="n"/>
    </row>
    <row r="46985" ht="14.25" customHeight="1" s="192">
      <c r="W46985" s="231" t="n"/>
      <c r="X46985" s="231" t="n"/>
    </row>
    <row r="46986" ht="14.25" customHeight="1" s="192">
      <c r="W46986" s="33" t="n"/>
      <c r="X46986" s="33" t="n"/>
    </row>
    <row r="46987" ht="14.25" customHeight="1" s="192">
      <c r="W46987" s="231" t="n"/>
      <c r="X46987" s="231" t="n"/>
    </row>
    <row r="46988" ht="14.25" customHeight="1" s="192">
      <c r="W46988" s="33" t="n"/>
      <c r="X46988" s="33" t="n"/>
    </row>
    <row r="46990" ht="14.25" customHeight="1" s="192">
      <c r="W46990" s="231" t="n"/>
      <c r="X46990" s="231" t="n"/>
    </row>
    <row r="46991" ht="14.25" customHeight="1" s="192">
      <c r="W46991" s="235" t="n"/>
      <c r="X46991" s="235" t="n"/>
    </row>
    <row r="46992" ht="14.25" customHeight="1" s="192">
      <c r="W46992" s="228" t="n"/>
      <c r="X46992" s="228" t="n"/>
    </row>
    <row r="46993" ht="14.25" customHeight="1" s="192">
      <c r="W46993" s="235" t="n"/>
      <c r="X46993" s="235" t="n"/>
    </row>
    <row r="46994" ht="14.25" customHeight="1" s="192">
      <c r="W46994" s="235" t="n"/>
      <c r="X46994" s="235" t="n"/>
    </row>
    <row r="46995" ht="14.25" customHeight="1" s="192">
      <c r="W46995" s="235" t="n"/>
      <c r="X46995" s="235" t="n"/>
    </row>
    <row r="46996" ht="14.25" customHeight="1" s="192">
      <c r="W46996" s="239" t="n"/>
      <c r="X46996" s="239" t="n"/>
    </row>
    <row r="46997" ht="14.25" customHeight="1" s="192">
      <c r="W46997" s="239" t="n"/>
      <c r="X46997" s="239" t="n"/>
    </row>
    <row r="46998" ht="14.25" customHeight="1" s="192">
      <c r="W46998" s="239" t="n"/>
      <c r="X46998" s="239" t="n"/>
    </row>
    <row r="46999" ht="14.25" customHeight="1" s="192">
      <c r="W46999" s="235" t="n"/>
      <c r="X46999" s="235" t="n"/>
    </row>
    <row r="47000" ht="14.25" customHeight="1" s="192">
      <c r="W47000" s="235" t="n"/>
      <c r="X47000" s="235" t="n"/>
    </row>
    <row r="47001" ht="14.25" customHeight="1" s="192">
      <c r="W47001" s="235" t="n"/>
      <c r="X47001" s="235" t="n"/>
    </row>
    <row r="47002" ht="14.25" customHeight="1" s="192">
      <c r="W47002" s="239" t="n"/>
      <c r="X47002" s="239" t="n"/>
    </row>
    <row r="47003" ht="14.25" customHeight="1" s="192">
      <c r="W47003" s="239" t="n"/>
      <c r="X47003" s="239" t="n"/>
    </row>
    <row r="47004" ht="14.25" customHeight="1" s="192">
      <c r="W47004" s="235" t="n"/>
      <c r="X47004" s="235" t="n"/>
    </row>
    <row r="47005" ht="14.25" customHeight="1" s="192">
      <c r="W47005" s="235" t="n"/>
      <c r="X47005" s="235" t="n"/>
    </row>
    <row r="47006" ht="14.25" customHeight="1" s="192">
      <c r="W47006" s="239" t="n"/>
      <c r="X47006" s="239" t="n"/>
    </row>
    <row r="47007" ht="14.25" customHeight="1" s="192">
      <c r="W47007" s="235" t="n"/>
      <c r="X47007" s="235" t="n"/>
    </row>
    <row r="47008" ht="14.25" customHeight="1" s="192">
      <c r="W47008" s="239" t="n"/>
      <c r="X47008" s="239" t="n"/>
    </row>
    <row r="47010" ht="14.25" customHeight="1" s="192">
      <c r="W47010" s="235" t="n"/>
      <c r="X47010" s="235" t="n"/>
    </row>
    <row r="47011" ht="15" customHeight="1" s="192" thickBot="1">
      <c r="W47011" s="239" t="n"/>
      <c r="X47011" s="239" t="n"/>
    </row>
    <row r="47012" ht="15" customHeight="1" s="192" thickBot="1">
      <c r="W47012" s="45" t="n"/>
      <c r="X47012" s="45" t="n"/>
    </row>
    <row r="47013" ht="14.25" customHeight="1" s="192">
      <c r="W47013" s="228" t="n"/>
      <c r="X47013" s="228" t="n"/>
    </row>
    <row r="47014" ht="14.25" customHeight="1" s="192">
      <c r="W47014" s="228" t="n"/>
      <c r="X47014" s="228" t="n"/>
    </row>
    <row r="47015" ht="14.25" customHeight="1" s="192">
      <c r="W47015" s="231" t="n"/>
      <c r="X47015" s="231" t="n"/>
    </row>
    <row r="47016" ht="14.25" customHeight="1" s="192">
      <c r="W47016" s="33" t="n"/>
      <c r="X47016" s="33" t="n"/>
    </row>
    <row r="47017" ht="14.25" customHeight="1" s="192">
      <c r="W47017" s="231" t="n"/>
      <c r="X47017" s="231" t="n"/>
    </row>
    <row r="47018" ht="14.25" customHeight="1" s="192">
      <c r="W47018" s="33" t="n"/>
      <c r="X47018" s="33" t="n"/>
    </row>
    <row r="47020" ht="14.25" customHeight="1" s="192">
      <c r="W47020" s="231" t="n"/>
      <c r="X47020" s="231" t="n"/>
    </row>
    <row r="47021" ht="14.25" customHeight="1" s="192">
      <c r="W47021" s="235" t="n"/>
      <c r="X47021" s="235" t="n"/>
    </row>
    <row r="47022" ht="14.25" customHeight="1" s="192">
      <c r="W47022" s="228" t="n"/>
      <c r="X47022" s="228" t="n"/>
    </row>
    <row r="47023" ht="14.25" customHeight="1" s="192">
      <c r="W47023" s="235" t="n"/>
      <c r="X47023" s="235" t="n"/>
    </row>
    <row r="47024" ht="14.25" customHeight="1" s="192">
      <c r="W47024" s="235" t="n"/>
      <c r="X47024" s="235" t="n"/>
    </row>
    <row r="47025" ht="14.25" customHeight="1" s="192">
      <c r="W47025" s="235" t="n"/>
      <c r="X47025" s="235" t="n"/>
    </row>
    <row r="47026" ht="14.25" customHeight="1" s="192">
      <c r="W47026" s="239" t="n"/>
      <c r="X47026" s="239" t="n"/>
    </row>
    <row r="47027" ht="14.25" customHeight="1" s="192">
      <c r="W47027" s="239" t="n"/>
      <c r="X47027" s="239" t="n"/>
    </row>
    <row r="47028" ht="14.25" customHeight="1" s="192">
      <c r="W47028" s="239" t="n"/>
      <c r="X47028" s="239" t="n"/>
    </row>
    <row r="47029" ht="14.25" customHeight="1" s="192">
      <c r="W47029" s="235" t="n"/>
      <c r="X47029" s="235" t="n"/>
    </row>
    <row r="47030" ht="14.25" customHeight="1" s="192">
      <c r="W47030" s="235" t="n"/>
      <c r="X47030" s="235" t="n"/>
    </row>
    <row r="47031" ht="14.25" customHeight="1" s="192">
      <c r="W47031" s="235" t="n"/>
      <c r="X47031" s="235" t="n"/>
    </row>
    <row r="47032" ht="14.25" customHeight="1" s="192">
      <c r="W47032" s="239" t="n"/>
      <c r="X47032" s="239" t="n"/>
    </row>
    <row r="47033" ht="14.25" customHeight="1" s="192">
      <c r="W47033" s="239" t="n"/>
      <c r="X47033" s="239" t="n"/>
    </row>
    <row r="47034" ht="14.25" customHeight="1" s="192">
      <c r="W47034" s="235" t="n"/>
      <c r="X47034" s="235" t="n"/>
    </row>
    <row r="47035" ht="14.25" customHeight="1" s="192">
      <c r="W47035" s="235" t="n"/>
      <c r="X47035" s="235" t="n"/>
    </row>
    <row r="47036" ht="14.25" customHeight="1" s="192">
      <c r="W47036" s="239" t="n"/>
      <c r="X47036" s="239" t="n"/>
    </row>
    <row r="47037" ht="14.25" customHeight="1" s="192">
      <c r="W47037" s="235" t="n"/>
      <c r="X47037" s="235" t="n"/>
    </row>
    <row r="47038" ht="14.25" customHeight="1" s="192">
      <c r="W47038" s="239" t="n"/>
      <c r="X47038" s="239" t="n"/>
    </row>
    <row r="47040" ht="14.25" customHeight="1" s="192">
      <c r="W47040" s="235" t="n"/>
      <c r="X47040" s="235" t="n"/>
    </row>
    <row r="47041" ht="15" customHeight="1" s="192" thickBot="1">
      <c r="W47041" s="239" t="n"/>
      <c r="X47041" s="239" t="n"/>
    </row>
    <row r="47042" ht="15" customHeight="1" s="192" thickBot="1">
      <c r="W47042" s="45" t="n"/>
      <c r="X47042" s="45" t="n"/>
    </row>
    <row r="47043" ht="14.25" customHeight="1" s="192">
      <c r="W47043" s="228" t="n"/>
      <c r="X47043" s="228" t="n"/>
    </row>
    <row r="47044" ht="14.25" customHeight="1" s="192">
      <c r="W47044" s="228" t="n"/>
      <c r="X47044" s="228" t="n"/>
    </row>
    <row r="47045" ht="14.25" customHeight="1" s="192">
      <c r="W47045" s="231" t="n"/>
      <c r="X47045" s="231" t="n"/>
    </row>
    <row r="47046" ht="14.25" customHeight="1" s="192">
      <c r="W47046" s="33" t="n"/>
      <c r="X47046" s="33" t="n"/>
    </row>
    <row r="47047" ht="14.25" customHeight="1" s="192">
      <c r="W47047" s="231" t="n"/>
      <c r="X47047" s="231" t="n"/>
    </row>
    <row r="47048" ht="14.25" customHeight="1" s="192">
      <c r="W47048" s="33" t="n"/>
      <c r="X47048" s="33" t="n"/>
    </row>
    <row r="47050" ht="14.25" customHeight="1" s="192">
      <c r="W47050" s="231" t="n"/>
      <c r="X47050" s="231" t="n"/>
    </row>
    <row r="47051" ht="14.25" customHeight="1" s="192">
      <c r="W47051" s="235" t="n"/>
      <c r="X47051" s="235" t="n"/>
    </row>
    <row r="47052" ht="14.25" customHeight="1" s="192">
      <c r="W47052" s="228" t="n"/>
      <c r="X47052" s="228" t="n"/>
    </row>
    <row r="47053" ht="14.25" customHeight="1" s="192">
      <c r="W47053" s="235" t="n"/>
      <c r="X47053" s="235" t="n"/>
    </row>
    <row r="47054" ht="14.25" customHeight="1" s="192">
      <c r="W47054" s="235" t="n"/>
      <c r="X47054" s="235" t="n"/>
    </row>
    <row r="47055" ht="14.25" customHeight="1" s="192">
      <c r="W47055" s="235" t="n"/>
      <c r="X47055" s="235" t="n"/>
    </row>
    <row r="47056" ht="14.25" customHeight="1" s="192">
      <c r="W47056" s="239" t="n"/>
      <c r="X47056" s="239" t="n"/>
    </row>
    <row r="47057" ht="14.25" customHeight="1" s="192">
      <c r="W47057" s="239" t="n"/>
      <c r="X47057" s="239" t="n"/>
    </row>
    <row r="47058" ht="14.25" customHeight="1" s="192">
      <c r="W47058" s="239" t="n"/>
      <c r="X47058" s="239" t="n"/>
    </row>
    <row r="47059" ht="14.25" customHeight="1" s="192">
      <c r="W47059" s="235" t="n"/>
      <c r="X47059" s="235" t="n"/>
    </row>
    <row r="47060" ht="14.25" customHeight="1" s="192">
      <c r="W47060" s="235" t="n"/>
      <c r="X47060" s="235" t="n"/>
    </row>
    <row r="47061" ht="14.25" customHeight="1" s="192">
      <c r="W47061" s="235" t="n"/>
      <c r="X47061" s="235" t="n"/>
    </row>
    <row r="47062" ht="14.25" customHeight="1" s="192">
      <c r="W47062" s="239" t="n"/>
      <c r="X47062" s="239" t="n"/>
    </row>
    <row r="47063" ht="14.25" customHeight="1" s="192">
      <c r="W47063" s="239" t="n"/>
      <c r="X47063" s="239" t="n"/>
    </row>
    <row r="47064" ht="14.25" customHeight="1" s="192">
      <c r="W47064" s="235" t="n"/>
      <c r="X47064" s="235" t="n"/>
    </row>
    <row r="47065" ht="14.25" customHeight="1" s="192">
      <c r="W47065" s="235" t="n"/>
      <c r="X47065" s="235" t="n"/>
    </row>
    <row r="47066" ht="14.25" customHeight="1" s="192">
      <c r="W47066" s="239" t="n"/>
      <c r="X47066" s="239" t="n"/>
    </row>
    <row r="47067" ht="14.25" customHeight="1" s="192">
      <c r="W47067" s="235" t="n"/>
      <c r="X47067" s="235" t="n"/>
    </row>
    <row r="47068" ht="14.25" customHeight="1" s="192">
      <c r="W47068" s="239" t="n"/>
      <c r="X47068" s="239" t="n"/>
    </row>
    <row r="47070" ht="14.25" customHeight="1" s="192">
      <c r="W47070" s="235" t="n"/>
      <c r="X47070" s="235" t="n"/>
    </row>
    <row r="47071" ht="15" customHeight="1" s="192" thickBot="1">
      <c r="W47071" s="239" t="n"/>
      <c r="X47071" s="239" t="n"/>
    </row>
    <row r="47072" ht="15" customHeight="1" s="192" thickBot="1">
      <c r="W47072" s="45" t="n"/>
      <c r="X47072" s="45" t="n"/>
    </row>
    <row r="47073" ht="14.25" customHeight="1" s="192">
      <c r="W47073" s="228" t="n"/>
      <c r="X47073" s="228" t="n"/>
    </row>
    <row r="47074" ht="14.25" customHeight="1" s="192">
      <c r="W47074" s="228" t="n"/>
      <c r="X47074" s="228" t="n"/>
    </row>
    <row r="47075" ht="14.25" customHeight="1" s="192">
      <c r="W47075" s="231" t="n"/>
      <c r="X47075" s="231" t="n"/>
    </row>
    <row r="47076" ht="14.25" customHeight="1" s="192">
      <c r="W47076" s="33" t="n"/>
      <c r="X47076" s="33" t="n"/>
    </row>
    <row r="47077" ht="14.25" customHeight="1" s="192">
      <c r="W47077" s="231" t="n"/>
      <c r="X47077" s="231" t="n"/>
    </row>
    <row r="47078" ht="14.25" customHeight="1" s="192">
      <c r="W47078" s="33" t="n"/>
      <c r="X47078" s="33" t="n"/>
    </row>
    <row r="47080" ht="14.25" customHeight="1" s="192">
      <c r="W47080" s="231" t="n"/>
      <c r="X47080" s="231" t="n"/>
    </row>
    <row r="47081" ht="14.25" customHeight="1" s="192">
      <c r="W47081" s="235" t="n"/>
      <c r="X47081" s="235" t="n"/>
    </row>
    <row r="47082" ht="14.25" customHeight="1" s="192">
      <c r="W47082" s="228" t="n"/>
      <c r="X47082" s="228" t="n"/>
    </row>
    <row r="47083" ht="14.25" customHeight="1" s="192">
      <c r="W47083" s="235" t="n"/>
      <c r="X47083" s="235" t="n"/>
    </row>
    <row r="47084" ht="14.25" customHeight="1" s="192">
      <c r="W47084" s="235" t="n"/>
      <c r="X47084" s="235" t="n"/>
    </row>
    <row r="47085" ht="14.25" customHeight="1" s="192">
      <c r="W47085" s="235" t="n"/>
      <c r="X47085" s="235" t="n"/>
    </row>
    <row r="47086" ht="14.25" customHeight="1" s="192">
      <c r="W47086" s="239" t="n"/>
      <c r="X47086" s="239" t="n"/>
    </row>
    <row r="47087" ht="14.25" customHeight="1" s="192">
      <c r="W47087" s="239" t="n"/>
      <c r="X47087" s="239" t="n"/>
    </row>
    <row r="47088" ht="14.25" customHeight="1" s="192">
      <c r="W47088" s="239" t="n"/>
      <c r="X47088" s="239" t="n"/>
    </row>
    <row r="47089" ht="14.25" customHeight="1" s="192">
      <c r="W47089" s="235" t="n"/>
      <c r="X47089" s="235" t="n"/>
    </row>
    <row r="47090" ht="14.25" customHeight="1" s="192">
      <c r="W47090" s="235" t="n"/>
      <c r="X47090" s="235" t="n"/>
    </row>
    <row r="47091" ht="14.25" customHeight="1" s="192">
      <c r="W47091" s="235" t="n"/>
      <c r="X47091" s="235" t="n"/>
    </row>
    <row r="47092" ht="14.25" customHeight="1" s="192">
      <c r="W47092" s="239" t="n"/>
      <c r="X47092" s="239" t="n"/>
    </row>
    <row r="47093" ht="14.25" customHeight="1" s="192">
      <c r="W47093" s="239" t="n"/>
      <c r="X47093" s="239" t="n"/>
    </row>
    <row r="47094" ht="14.25" customHeight="1" s="192">
      <c r="W47094" s="235" t="n"/>
      <c r="X47094" s="235" t="n"/>
    </row>
    <row r="47095" ht="14.25" customHeight="1" s="192">
      <c r="W47095" s="235" t="n"/>
      <c r="X47095" s="235" t="n"/>
    </row>
    <row r="47096" ht="14.25" customHeight="1" s="192">
      <c r="W47096" s="239" t="n"/>
      <c r="X47096" s="239" t="n"/>
    </row>
    <row r="47097" ht="14.25" customHeight="1" s="192">
      <c r="W47097" s="235" t="n"/>
      <c r="X47097" s="235" t="n"/>
    </row>
    <row r="47098" ht="14.25" customHeight="1" s="192">
      <c r="W47098" s="239" t="n"/>
      <c r="X47098" s="239" t="n"/>
    </row>
    <row r="47100" ht="14.25" customHeight="1" s="192">
      <c r="W47100" s="235" t="n"/>
      <c r="X47100" s="235" t="n"/>
    </row>
    <row r="47101" ht="15" customHeight="1" s="192" thickBot="1">
      <c r="W47101" s="239" t="n"/>
      <c r="X47101" s="239" t="n"/>
    </row>
    <row r="47102" ht="15" customHeight="1" s="192" thickBot="1">
      <c r="W47102" s="45" t="n"/>
      <c r="X47102" s="45" t="n"/>
    </row>
    <row r="47103" ht="14.25" customHeight="1" s="192">
      <c r="W47103" s="228" t="n"/>
      <c r="X47103" s="228" t="n"/>
    </row>
    <row r="47104" ht="14.25" customHeight="1" s="192">
      <c r="W47104" s="228" t="n"/>
      <c r="X47104" s="228" t="n"/>
    </row>
    <row r="47105" ht="14.25" customHeight="1" s="192">
      <c r="W47105" s="231" t="n"/>
      <c r="X47105" s="231" t="n"/>
    </row>
    <row r="47106" ht="14.25" customHeight="1" s="192">
      <c r="W47106" s="33" t="n"/>
      <c r="X47106" s="33" t="n"/>
    </row>
    <row r="47107" ht="14.25" customHeight="1" s="192">
      <c r="W47107" s="231" t="n"/>
      <c r="X47107" s="231" t="n"/>
    </row>
    <row r="47108" ht="14.25" customHeight="1" s="192">
      <c r="W47108" s="33" t="n"/>
      <c r="X47108" s="33" t="n"/>
    </row>
    <row r="47110" ht="14.25" customHeight="1" s="192">
      <c r="W47110" s="231" t="n"/>
      <c r="X47110" s="231" t="n"/>
    </row>
    <row r="47111" ht="14.25" customHeight="1" s="192">
      <c r="W47111" s="235" t="n"/>
      <c r="X47111" s="235" t="n"/>
    </row>
    <row r="47112" ht="14.25" customHeight="1" s="192">
      <c r="W47112" s="228" t="n"/>
      <c r="X47112" s="228" t="n"/>
    </row>
    <row r="47113" ht="14.25" customHeight="1" s="192">
      <c r="W47113" s="235" t="n"/>
      <c r="X47113" s="235" t="n"/>
    </row>
    <row r="47114" ht="14.25" customHeight="1" s="192">
      <c r="W47114" s="235" t="n"/>
      <c r="X47114" s="235" t="n"/>
    </row>
    <row r="47115" ht="14.25" customHeight="1" s="192">
      <c r="W47115" s="235" t="n"/>
      <c r="X47115" s="235" t="n"/>
    </row>
    <row r="47116" ht="14.25" customHeight="1" s="192">
      <c r="W47116" s="239" t="n"/>
      <c r="X47116" s="239" t="n"/>
    </row>
    <row r="47117" ht="14.25" customHeight="1" s="192">
      <c r="W47117" s="239" t="n"/>
      <c r="X47117" s="239" t="n"/>
    </row>
    <row r="47118" ht="14.25" customHeight="1" s="192">
      <c r="W47118" s="239" t="n"/>
      <c r="X47118" s="239" t="n"/>
    </row>
    <row r="47119" ht="14.25" customHeight="1" s="192">
      <c r="W47119" s="235" t="n"/>
      <c r="X47119" s="235" t="n"/>
    </row>
    <row r="47120" ht="14.25" customHeight="1" s="192">
      <c r="W47120" s="235" t="n"/>
      <c r="X47120" s="235" t="n"/>
    </row>
    <row r="47121" ht="14.25" customHeight="1" s="192">
      <c r="W47121" s="235" t="n"/>
      <c r="X47121" s="235" t="n"/>
    </row>
    <row r="47122" ht="14.25" customHeight="1" s="192">
      <c r="W47122" s="239" t="n"/>
      <c r="X47122" s="239" t="n"/>
    </row>
    <row r="47123" ht="14.25" customHeight="1" s="192">
      <c r="W47123" s="239" t="n"/>
      <c r="X47123" s="239" t="n"/>
    </row>
    <row r="47124" ht="14.25" customHeight="1" s="192">
      <c r="W47124" s="235" t="n"/>
      <c r="X47124" s="235" t="n"/>
    </row>
    <row r="47125" ht="14.25" customHeight="1" s="192">
      <c r="W47125" s="235" t="n"/>
      <c r="X47125" s="235" t="n"/>
    </row>
    <row r="47126" ht="14.25" customHeight="1" s="192">
      <c r="W47126" s="239" t="n"/>
      <c r="X47126" s="239" t="n"/>
    </row>
    <row r="47127" ht="14.25" customHeight="1" s="192">
      <c r="W47127" s="235" t="n"/>
      <c r="X47127" s="235" t="n"/>
    </row>
    <row r="47128" ht="14.25" customHeight="1" s="192">
      <c r="W47128" s="239" t="n"/>
      <c r="X47128" s="239" t="n"/>
    </row>
    <row r="47130" ht="14.25" customHeight="1" s="192">
      <c r="W47130" s="235" t="n"/>
      <c r="X47130" s="235" t="n"/>
    </row>
    <row r="47131" ht="15" customHeight="1" s="192" thickBot="1">
      <c r="W47131" s="239" t="n"/>
      <c r="X47131" s="239" t="n"/>
    </row>
    <row r="47132" ht="15" customHeight="1" s="192" thickBot="1">
      <c r="W47132" s="45" t="n"/>
      <c r="X47132" s="45" t="n"/>
    </row>
    <row r="47133" ht="14.25" customHeight="1" s="192">
      <c r="W47133" s="228" t="n"/>
      <c r="X47133" s="228" t="n"/>
    </row>
    <row r="47134" ht="14.25" customHeight="1" s="192">
      <c r="W47134" s="228" t="n"/>
      <c r="X47134" s="228" t="n"/>
    </row>
    <row r="47135" ht="14.25" customHeight="1" s="192">
      <c r="W47135" s="231" t="n"/>
      <c r="X47135" s="231" t="n"/>
    </row>
    <row r="47136" ht="14.25" customHeight="1" s="192">
      <c r="W47136" s="33" t="n"/>
      <c r="X47136" s="33" t="n"/>
    </row>
    <row r="47137" ht="14.25" customHeight="1" s="192">
      <c r="W47137" s="231" t="n"/>
      <c r="X47137" s="231" t="n"/>
    </row>
    <row r="47138" ht="14.25" customHeight="1" s="192">
      <c r="W47138" s="33" t="n"/>
      <c r="X47138" s="33" t="n"/>
    </row>
    <row r="47140" ht="14.25" customHeight="1" s="192">
      <c r="W47140" s="231" t="n"/>
      <c r="X47140" s="231" t="n"/>
    </row>
    <row r="47141" ht="14.25" customHeight="1" s="192">
      <c r="W47141" s="235" t="n"/>
      <c r="X47141" s="235" t="n"/>
    </row>
    <row r="47142" ht="14.25" customHeight="1" s="192">
      <c r="W47142" s="228" t="n"/>
      <c r="X47142" s="228" t="n"/>
    </row>
    <row r="47143" ht="14.25" customHeight="1" s="192">
      <c r="W47143" s="235" t="n"/>
      <c r="X47143" s="235" t="n"/>
    </row>
    <row r="47144" ht="14.25" customHeight="1" s="192">
      <c r="W47144" s="235" t="n"/>
      <c r="X47144" s="235" t="n"/>
    </row>
    <row r="47145" ht="14.25" customHeight="1" s="192">
      <c r="W47145" s="235" t="n"/>
      <c r="X47145" s="235" t="n"/>
    </row>
    <row r="47146" ht="14.25" customHeight="1" s="192">
      <c r="W47146" s="239" t="n"/>
      <c r="X47146" s="239" t="n"/>
    </row>
    <row r="47147" ht="14.25" customHeight="1" s="192">
      <c r="W47147" s="239" t="n"/>
      <c r="X47147" s="239" t="n"/>
    </row>
    <row r="47148" ht="14.25" customHeight="1" s="192">
      <c r="W47148" s="239" t="n"/>
      <c r="X47148" s="239" t="n"/>
    </row>
    <row r="47149" ht="14.25" customHeight="1" s="192">
      <c r="W47149" s="235" t="n"/>
      <c r="X47149" s="235" t="n"/>
    </row>
    <row r="47150" ht="14.25" customHeight="1" s="192">
      <c r="W47150" s="235" t="n"/>
      <c r="X47150" s="235" t="n"/>
    </row>
    <row r="47151" ht="14.25" customHeight="1" s="192">
      <c r="W47151" s="235" t="n"/>
      <c r="X47151" s="235" t="n"/>
    </row>
    <row r="47152" ht="14.25" customHeight="1" s="192">
      <c r="W47152" s="239" t="n"/>
      <c r="X47152" s="239" t="n"/>
    </row>
    <row r="47153" ht="14.25" customHeight="1" s="192">
      <c r="W47153" s="239" t="n"/>
      <c r="X47153" s="239" t="n"/>
    </row>
    <row r="47154" ht="14.25" customHeight="1" s="192">
      <c r="W47154" s="235" t="n"/>
      <c r="X47154" s="235" t="n"/>
    </row>
    <row r="47155" ht="14.25" customHeight="1" s="192">
      <c r="W47155" s="235" t="n"/>
      <c r="X47155" s="235" t="n"/>
    </row>
    <row r="47156" ht="14.25" customHeight="1" s="192">
      <c r="W47156" s="239" t="n"/>
      <c r="X47156" s="239" t="n"/>
    </row>
    <row r="47157" ht="14.25" customHeight="1" s="192">
      <c r="W47157" s="235" t="n"/>
      <c r="X47157" s="235" t="n"/>
    </row>
    <row r="47158" ht="14.25" customHeight="1" s="192">
      <c r="W47158" s="239" t="n"/>
      <c r="X47158" s="239" t="n"/>
    </row>
    <row r="47160" ht="14.25" customHeight="1" s="192">
      <c r="W47160" s="235" t="n"/>
      <c r="X47160" s="235" t="n"/>
    </row>
    <row r="47161" ht="15" customHeight="1" s="192" thickBot="1">
      <c r="W47161" s="239" t="n"/>
      <c r="X47161" s="239" t="n"/>
    </row>
    <row r="47162" ht="15" customHeight="1" s="192" thickBot="1">
      <c r="W47162" s="45" t="n"/>
      <c r="X47162" s="45" t="n"/>
    </row>
    <row r="47163" ht="14.25" customHeight="1" s="192">
      <c r="W47163" s="228" t="n"/>
      <c r="X47163" s="228" t="n"/>
    </row>
    <row r="47164" ht="14.25" customHeight="1" s="192">
      <c r="W47164" s="228" t="n"/>
      <c r="X47164" s="228" t="n"/>
    </row>
    <row r="47165" ht="14.25" customHeight="1" s="192">
      <c r="W47165" s="231" t="n"/>
      <c r="X47165" s="231" t="n"/>
    </row>
    <row r="47166" ht="14.25" customHeight="1" s="192">
      <c r="W47166" s="33" t="n"/>
      <c r="X47166" s="33" t="n"/>
    </row>
    <row r="47167" ht="14.25" customHeight="1" s="192">
      <c r="W47167" s="231" t="n"/>
      <c r="X47167" s="231" t="n"/>
    </row>
    <row r="47168" ht="14.25" customHeight="1" s="192">
      <c r="W47168" s="33" t="n"/>
      <c r="X47168" s="33" t="n"/>
    </row>
    <row r="47170" ht="14.25" customHeight="1" s="192">
      <c r="W47170" s="231" t="n"/>
      <c r="X47170" s="231" t="n"/>
    </row>
    <row r="47171" ht="14.25" customHeight="1" s="192">
      <c r="W47171" s="235" t="n"/>
      <c r="X47171" s="235" t="n"/>
    </row>
    <row r="47172" ht="14.25" customHeight="1" s="192">
      <c r="W47172" s="228" t="n"/>
      <c r="X47172" s="228" t="n"/>
    </row>
    <row r="47173" ht="14.25" customHeight="1" s="192">
      <c r="W47173" s="235" t="n"/>
      <c r="X47173" s="235" t="n"/>
    </row>
    <row r="47174" ht="14.25" customHeight="1" s="192">
      <c r="W47174" s="235" t="n"/>
      <c r="X47174" s="235" t="n"/>
    </row>
    <row r="47175" ht="14.25" customHeight="1" s="192">
      <c r="W47175" s="235" t="n"/>
      <c r="X47175" s="235" t="n"/>
    </row>
    <row r="47176" ht="14.25" customHeight="1" s="192">
      <c r="W47176" s="239" t="n"/>
      <c r="X47176" s="239" t="n"/>
    </row>
    <row r="47177" ht="14.25" customHeight="1" s="192">
      <c r="W47177" s="239" t="n"/>
      <c r="X47177" s="239" t="n"/>
    </row>
    <row r="47178" ht="14.25" customHeight="1" s="192">
      <c r="W47178" s="239" t="n"/>
      <c r="X47178" s="239" t="n"/>
    </row>
    <row r="47179" ht="14.25" customHeight="1" s="192">
      <c r="W47179" s="235" t="n"/>
      <c r="X47179" s="235" t="n"/>
    </row>
    <row r="47180" ht="14.25" customHeight="1" s="192">
      <c r="W47180" s="235" t="n"/>
      <c r="X47180" s="235" t="n"/>
    </row>
    <row r="47181" ht="14.25" customHeight="1" s="192">
      <c r="W47181" s="235" t="n"/>
      <c r="X47181" s="235" t="n"/>
    </row>
    <row r="47182" ht="14.25" customHeight="1" s="192">
      <c r="W47182" s="239" t="n"/>
      <c r="X47182" s="239" t="n"/>
    </row>
    <row r="47183" ht="14.25" customHeight="1" s="192">
      <c r="W47183" s="239" t="n"/>
      <c r="X47183" s="239" t="n"/>
    </row>
    <row r="47184" ht="14.25" customHeight="1" s="192">
      <c r="W47184" s="235" t="n"/>
      <c r="X47184" s="235" t="n"/>
    </row>
    <row r="47185" ht="14.25" customHeight="1" s="192">
      <c r="W47185" s="235" t="n"/>
      <c r="X47185" s="235" t="n"/>
    </row>
    <row r="47186" ht="14.25" customHeight="1" s="192">
      <c r="W47186" s="239" t="n"/>
      <c r="X47186" s="239" t="n"/>
    </row>
    <row r="47187" ht="14.25" customHeight="1" s="192">
      <c r="W47187" s="235" t="n"/>
      <c r="X47187" s="235" t="n"/>
    </row>
    <row r="47188" ht="14.25" customHeight="1" s="192">
      <c r="W47188" s="239" t="n"/>
      <c r="X47188" s="239" t="n"/>
    </row>
    <row r="47190" ht="14.25" customHeight="1" s="192">
      <c r="W47190" s="235" t="n"/>
      <c r="X47190" s="235" t="n"/>
    </row>
    <row r="47191" ht="15" customHeight="1" s="192" thickBot="1">
      <c r="W47191" s="239" t="n"/>
      <c r="X47191" s="239" t="n"/>
    </row>
    <row r="47192" ht="15" customHeight="1" s="192" thickBot="1">
      <c r="W47192" s="45" t="n"/>
      <c r="X47192" s="45" t="n"/>
    </row>
    <row r="47193" ht="14.25" customHeight="1" s="192">
      <c r="W47193" s="228" t="n"/>
      <c r="X47193" s="228" t="n"/>
    </row>
    <row r="47194" ht="14.25" customHeight="1" s="192">
      <c r="W47194" s="228" t="n"/>
      <c r="X47194" s="228" t="n"/>
    </row>
    <row r="47195" ht="14.25" customHeight="1" s="192">
      <c r="W47195" s="231" t="n"/>
      <c r="X47195" s="231" t="n"/>
    </row>
    <row r="47196" ht="14.25" customHeight="1" s="192">
      <c r="W47196" s="33" t="n"/>
      <c r="X47196" s="33" t="n"/>
    </row>
    <row r="47197" ht="14.25" customHeight="1" s="192">
      <c r="W47197" s="231" t="n"/>
      <c r="X47197" s="231" t="n"/>
    </row>
    <row r="47198" ht="14.25" customHeight="1" s="192">
      <c r="W47198" s="33" t="n"/>
      <c r="X47198" s="33" t="n"/>
    </row>
    <row r="47200" ht="14.25" customHeight="1" s="192">
      <c r="W47200" s="231" t="n"/>
      <c r="X47200" s="231" t="n"/>
    </row>
    <row r="47201" ht="14.25" customHeight="1" s="192">
      <c r="W47201" s="235" t="n"/>
      <c r="X47201" s="235" t="n"/>
    </row>
    <row r="47202" ht="14.25" customHeight="1" s="192">
      <c r="W47202" s="228" t="n"/>
      <c r="X47202" s="228" t="n"/>
    </row>
    <row r="47203" ht="14.25" customHeight="1" s="192">
      <c r="W47203" s="235" t="n"/>
      <c r="X47203" s="235" t="n"/>
    </row>
    <row r="47204" ht="14.25" customHeight="1" s="192">
      <c r="W47204" s="235" t="n"/>
      <c r="X47204" s="235" t="n"/>
    </row>
    <row r="47205" ht="14.25" customHeight="1" s="192">
      <c r="W47205" s="235" t="n"/>
      <c r="X47205" s="235" t="n"/>
    </row>
    <row r="47206" ht="14.25" customHeight="1" s="192">
      <c r="W47206" s="239" t="n"/>
      <c r="X47206" s="239" t="n"/>
    </row>
    <row r="47207" ht="14.25" customHeight="1" s="192">
      <c r="W47207" s="239" t="n"/>
      <c r="X47207" s="239" t="n"/>
    </row>
    <row r="47208" ht="14.25" customHeight="1" s="192">
      <c r="W47208" s="239" t="n"/>
      <c r="X47208" s="239" t="n"/>
    </row>
    <row r="47209" ht="14.25" customHeight="1" s="192">
      <c r="W47209" s="235" t="n"/>
      <c r="X47209" s="235" t="n"/>
    </row>
    <row r="47210" ht="14.25" customHeight="1" s="192">
      <c r="W47210" s="235" t="n"/>
      <c r="X47210" s="235" t="n"/>
    </row>
    <row r="47211" ht="14.25" customHeight="1" s="192">
      <c r="W47211" s="235" t="n"/>
      <c r="X47211" s="235" t="n"/>
    </row>
    <row r="47212" ht="14.25" customHeight="1" s="192">
      <c r="W47212" s="239" t="n"/>
      <c r="X47212" s="239" t="n"/>
    </row>
    <row r="47213" ht="14.25" customHeight="1" s="192">
      <c r="W47213" s="239" t="n"/>
      <c r="X47213" s="239" t="n"/>
    </row>
    <row r="47214" ht="14.25" customHeight="1" s="192">
      <c r="W47214" s="235" t="n"/>
      <c r="X47214" s="235" t="n"/>
    </row>
    <row r="47215" ht="14.25" customHeight="1" s="192">
      <c r="W47215" s="235" t="n"/>
      <c r="X47215" s="235" t="n"/>
    </row>
    <row r="47216" ht="14.25" customHeight="1" s="192">
      <c r="W47216" s="239" t="n"/>
      <c r="X47216" s="239" t="n"/>
    </row>
    <row r="47217" ht="14.25" customHeight="1" s="192">
      <c r="W47217" s="235" t="n"/>
      <c r="X47217" s="235" t="n"/>
    </row>
    <row r="47218" ht="14.25" customHeight="1" s="192">
      <c r="W47218" s="239" t="n"/>
      <c r="X47218" s="239" t="n"/>
    </row>
    <row r="47220" ht="14.25" customHeight="1" s="192">
      <c r="W47220" s="235" t="n"/>
      <c r="X47220" s="235" t="n"/>
    </row>
    <row r="47221" ht="15" customHeight="1" s="192" thickBot="1">
      <c r="W47221" s="239" t="n"/>
      <c r="X47221" s="239" t="n"/>
    </row>
    <row r="47222" ht="15" customHeight="1" s="192" thickBot="1">
      <c r="W47222" s="45" t="n"/>
      <c r="X47222" s="45" t="n"/>
    </row>
    <row r="47223" ht="14.25" customHeight="1" s="192">
      <c r="W47223" s="228" t="n"/>
      <c r="X47223" s="228" t="n"/>
    </row>
    <row r="47224" ht="14.25" customHeight="1" s="192">
      <c r="W47224" s="228" t="n"/>
      <c r="X47224" s="228" t="n"/>
    </row>
    <row r="47225" ht="14.25" customHeight="1" s="192">
      <c r="W47225" s="231" t="n"/>
      <c r="X47225" s="231" t="n"/>
    </row>
    <row r="47226" ht="14.25" customHeight="1" s="192">
      <c r="W47226" s="33" t="n"/>
      <c r="X47226" s="33" t="n"/>
    </row>
    <row r="47227" ht="14.25" customHeight="1" s="192">
      <c r="W47227" s="231" t="n"/>
      <c r="X47227" s="231" t="n"/>
    </row>
    <row r="47228" ht="14.25" customHeight="1" s="192">
      <c r="W47228" s="33" t="n"/>
      <c r="X47228" s="33" t="n"/>
    </row>
    <row r="47230" ht="14.25" customHeight="1" s="192">
      <c r="W47230" s="231" t="n"/>
      <c r="X47230" s="231" t="n"/>
    </row>
    <row r="47231" ht="14.25" customHeight="1" s="192">
      <c r="W47231" s="235" t="n"/>
      <c r="X47231" s="235" t="n"/>
    </row>
    <row r="47232" ht="14.25" customHeight="1" s="192">
      <c r="W47232" s="228" t="n"/>
      <c r="X47232" s="228" t="n"/>
    </row>
    <row r="47233" ht="14.25" customHeight="1" s="192">
      <c r="W47233" s="235" t="n"/>
      <c r="X47233" s="235" t="n"/>
    </row>
    <row r="47234" ht="14.25" customHeight="1" s="192">
      <c r="W47234" s="235" t="n"/>
      <c r="X47234" s="235" t="n"/>
    </row>
    <row r="47235" ht="14.25" customHeight="1" s="192">
      <c r="W47235" s="235" t="n"/>
      <c r="X47235" s="235" t="n"/>
    </row>
    <row r="47236" ht="14.25" customHeight="1" s="192">
      <c r="W47236" s="239" t="n"/>
      <c r="X47236" s="239" t="n"/>
    </row>
    <row r="47237" ht="14.25" customHeight="1" s="192">
      <c r="W47237" s="239" t="n"/>
      <c r="X47237" s="239" t="n"/>
    </row>
    <row r="47238" ht="14.25" customHeight="1" s="192">
      <c r="W47238" s="239" t="n"/>
      <c r="X47238" s="239" t="n"/>
    </row>
    <row r="47239" ht="14.25" customHeight="1" s="192">
      <c r="W47239" s="235" t="n"/>
      <c r="X47239" s="235" t="n"/>
    </row>
    <row r="47240" ht="14.25" customHeight="1" s="192">
      <c r="W47240" s="235" t="n"/>
      <c r="X47240" s="235" t="n"/>
    </row>
    <row r="47241" ht="14.25" customHeight="1" s="192">
      <c r="W47241" s="235" t="n"/>
      <c r="X47241" s="235" t="n"/>
    </row>
    <row r="47242" ht="14.25" customHeight="1" s="192">
      <c r="W47242" s="239" t="n"/>
      <c r="X47242" s="239" t="n"/>
    </row>
    <row r="47243" ht="14.25" customHeight="1" s="192">
      <c r="W47243" s="239" t="n"/>
      <c r="X47243" s="239" t="n"/>
    </row>
    <row r="47244" ht="14.25" customHeight="1" s="192">
      <c r="W47244" s="235" t="n"/>
      <c r="X47244" s="235" t="n"/>
    </row>
    <row r="47245" ht="14.25" customHeight="1" s="192">
      <c r="W47245" s="235" t="n"/>
      <c r="X47245" s="235" t="n"/>
    </row>
    <row r="47246" ht="14.25" customHeight="1" s="192">
      <c r="W47246" s="239" t="n"/>
      <c r="X47246" s="239" t="n"/>
    </row>
    <row r="47247" ht="14.25" customHeight="1" s="192">
      <c r="W47247" s="235" t="n"/>
      <c r="X47247" s="235" t="n"/>
    </row>
    <row r="47248" ht="14.25" customHeight="1" s="192">
      <c r="W47248" s="239" t="n"/>
      <c r="X47248" s="239" t="n"/>
    </row>
    <row r="47250" ht="14.25" customHeight="1" s="192">
      <c r="W47250" s="235" t="n"/>
      <c r="X47250" s="235" t="n"/>
    </row>
    <row r="47251" ht="15" customHeight="1" s="192" thickBot="1">
      <c r="W47251" s="239" t="n"/>
      <c r="X47251" s="239" t="n"/>
    </row>
    <row r="47252" ht="15" customHeight="1" s="192" thickBot="1">
      <c r="W47252" s="45" t="n"/>
      <c r="X47252" s="45" t="n"/>
    </row>
    <row r="47253" ht="14.25" customHeight="1" s="192">
      <c r="W47253" s="228" t="n"/>
      <c r="X47253" s="228" t="n"/>
    </row>
    <row r="47254" ht="14.25" customHeight="1" s="192">
      <c r="W47254" s="228" t="n"/>
      <c r="X47254" s="228" t="n"/>
    </row>
    <row r="47255" ht="14.25" customHeight="1" s="192">
      <c r="W47255" s="231" t="n"/>
      <c r="X47255" s="231" t="n"/>
    </row>
    <row r="47256" ht="14.25" customHeight="1" s="192">
      <c r="W47256" s="33" t="n"/>
      <c r="X47256" s="33" t="n"/>
    </row>
    <row r="47257" ht="14.25" customHeight="1" s="192">
      <c r="W47257" s="231" t="n"/>
      <c r="X47257" s="231" t="n"/>
    </row>
    <row r="47258" ht="14.25" customHeight="1" s="192">
      <c r="W47258" s="33" t="n"/>
      <c r="X47258" s="33" t="n"/>
    </row>
    <row r="47260" ht="14.25" customHeight="1" s="192">
      <c r="W47260" s="231" t="n"/>
      <c r="X47260" s="231" t="n"/>
    </row>
    <row r="47261" ht="14.25" customHeight="1" s="192">
      <c r="W47261" s="235" t="n"/>
      <c r="X47261" s="235" t="n"/>
    </row>
    <row r="47262" ht="14.25" customHeight="1" s="192">
      <c r="W47262" s="228" t="n"/>
      <c r="X47262" s="228" t="n"/>
    </row>
    <row r="47263" ht="14.25" customHeight="1" s="192">
      <c r="W47263" s="235" t="n"/>
      <c r="X47263" s="235" t="n"/>
    </row>
    <row r="47264" ht="14.25" customHeight="1" s="192">
      <c r="W47264" s="235" t="n"/>
      <c r="X47264" s="235" t="n"/>
    </row>
    <row r="47265" ht="14.25" customHeight="1" s="192">
      <c r="W47265" s="235" t="n"/>
      <c r="X47265" s="235" t="n"/>
    </row>
    <row r="47266" ht="14.25" customHeight="1" s="192">
      <c r="W47266" s="239" t="n"/>
      <c r="X47266" s="239" t="n"/>
    </row>
    <row r="47267" ht="14.25" customHeight="1" s="192">
      <c r="W47267" s="239" t="n"/>
      <c r="X47267" s="239" t="n"/>
    </row>
    <row r="47268" ht="14.25" customHeight="1" s="192">
      <c r="W47268" s="239" t="n"/>
      <c r="X47268" s="239" t="n"/>
    </row>
    <row r="47269" ht="14.25" customHeight="1" s="192">
      <c r="W47269" s="235" t="n"/>
      <c r="X47269" s="235" t="n"/>
    </row>
    <row r="47270" ht="14.25" customHeight="1" s="192">
      <c r="W47270" s="235" t="n"/>
      <c r="X47270" s="235" t="n"/>
    </row>
    <row r="47271" ht="14.25" customHeight="1" s="192">
      <c r="W47271" s="235" t="n"/>
      <c r="X47271" s="235" t="n"/>
    </row>
    <row r="47272" ht="14.25" customHeight="1" s="192">
      <c r="W47272" s="239" t="n"/>
      <c r="X47272" s="239" t="n"/>
    </row>
    <row r="47273" ht="14.25" customHeight="1" s="192">
      <c r="W47273" s="239" t="n"/>
      <c r="X47273" s="239" t="n"/>
    </row>
    <row r="47274" ht="14.25" customHeight="1" s="192">
      <c r="W47274" s="235" t="n"/>
      <c r="X47274" s="235" t="n"/>
    </row>
    <row r="47275" ht="14.25" customHeight="1" s="192">
      <c r="W47275" s="235" t="n"/>
      <c r="X47275" s="235" t="n"/>
    </row>
    <row r="47276" ht="14.25" customHeight="1" s="192">
      <c r="W47276" s="239" t="n"/>
      <c r="X47276" s="239" t="n"/>
    </row>
    <row r="47277" ht="14.25" customHeight="1" s="192">
      <c r="W47277" s="235" t="n"/>
      <c r="X47277" s="235" t="n"/>
    </row>
    <row r="47278" ht="14.25" customHeight="1" s="192">
      <c r="W47278" s="239" t="n"/>
      <c r="X47278" s="239" t="n"/>
    </row>
    <row r="47280" ht="14.25" customHeight="1" s="192">
      <c r="W47280" s="235" t="n"/>
      <c r="X47280" s="235" t="n"/>
    </row>
    <row r="47281" ht="15" customHeight="1" s="192" thickBot="1">
      <c r="W47281" s="239" t="n"/>
      <c r="X47281" s="239" t="n"/>
    </row>
    <row r="47282" ht="15" customHeight="1" s="192" thickBot="1">
      <c r="W47282" s="45" t="n"/>
      <c r="X47282" s="45" t="n"/>
    </row>
    <row r="47283" ht="14.25" customHeight="1" s="192">
      <c r="W47283" s="228" t="n"/>
      <c r="X47283" s="228" t="n"/>
    </row>
    <row r="47284" ht="14.25" customHeight="1" s="192">
      <c r="W47284" s="228" t="n"/>
      <c r="X47284" s="228" t="n"/>
    </row>
    <row r="47285" ht="14.25" customHeight="1" s="192">
      <c r="W47285" s="231" t="n"/>
      <c r="X47285" s="231" t="n"/>
    </row>
    <row r="47286" ht="14.25" customHeight="1" s="192">
      <c r="W47286" s="33" t="n"/>
      <c r="X47286" s="33" t="n"/>
    </row>
    <row r="47287" ht="14.25" customHeight="1" s="192">
      <c r="W47287" s="231" t="n"/>
      <c r="X47287" s="231" t="n"/>
    </row>
    <row r="47288" ht="14.25" customHeight="1" s="192">
      <c r="W47288" s="33" t="n"/>
      <c r="X47288" s="33" t="n"/>
    </row>
    <row r="47290" ht="14.25" customHeight="1" s="192">
      <c r="W47290" s="231" t="n"/>
      <c r="X47290" s="231" t="n"/>
    </row>
    <row r="47291" ht="14.25" customHeight="1" s="192">
      <c r="W47291" s="235" t="n"/>
      <c r="X47291" s="235" t="n"/>
    </row>
    <row r="47292" ht="14.25" customHeight="1" s="192">
      <c r="W47292" s="228" t="n"/>
      <c r="X47292" s="228" t="n"/>
    </row>
    <row r="47293" ht="14.25" customHeight="1" s="192">
      <c r="W47293" s="235" t="n"/>
      <c r="X47293" s="235" t="n"/>
    </row>
    <row r="47294" ht="14.25" customHeight="1" s="192">
      <c r="W47294" s="235" t="n"/>
      <c r="X47294" s="235" t="n"/>
    </row>
    <row r="47295" ht="14.25" customHeight="1" s="192">
      <c r="W47295" s="235" t="n"/>
      <c r="X47295" s="235" t="n"/>
    </row>
    <row r="47296" ht="14.25" customHeight="1" s="192">
      <c r="W47296" s="239" t="n"/>
      <c r="X47296" s="239" t="n"/>
    </row>
    <row r="47297" ht="14.25" customHeight="1" s="192">
      <c r="W47297" s="239" t="n"/>
      <c r="X47297" s="239" t="n"/>
    </row>
    <row r="47298" ht="14.25" customHeight="1" s="192">
      <c r="W47298" s="239" t="n"/>
      <c r="X47298" s="239" t="n"/>
    </row>
    <row r="47299" ht="14.25" customHeight="1" s="192">
      <c r="W47299" s="235" t="n"/>
      <c r="X47299" s="235" t="n"/>
    </row>
    <row r="47300" ht="14.25" customHeight="1" s="192">
      <c r="W47300" s="235" t="n"/>
      <c r="X47300" s="235" t="n"/>
    </row>
    <row r="47301" ht="14.25" customHeight="1" s="192">
      <c r="W47301" s="235" t="n"/>
      <c r="X47301" s="235" t="n"/>
    </row>
    <row r="47302" ht="14.25" customHeight="1" s="192">
      <c r="W47302" s="239" t="n"/>
      <c r="X47302" s="239" t="n"/>
    </row>
    <row r="47303" ht="14.25" customHeight="1" s="192">
      <c r="W47303" s="239" t="n"/>
      <c r="X47303" s="239" t="n"/>
    </row>
    <row r="47304" ht="14.25" customHeight="1" s="192">
      <c r="W47304" s="235" t="n"/>
      <c r="X47304" s="235" t="n"/>
    </row>
    <row r="47305" ht="14.25" customHeight="1" s="192">
      <c r="W47305" s="235" t="n"/>
      <c r="X47305" s="235" t="n"/>
    </row>
    <row r="47306" ht="14.25" customHeight="1" s="192">
      <c r="W47306" s="239" t="n"/>
      <c r="X47306" s="239" t="n"/>
    </row>
    <row r="47307" ht="14.25" customHeight="1" s="192">
      <c r="W47307" s="235" t="n"/>
      <c r="X47307" s="235" t="n"/>
    </row>
    <row r="47308" ht="14.25" customHeight="1" s="192">
      <c r="W47308" s="239" t="n"/>
      <c r="X47308" s="239" t="n"/>
    </row>
    <row r="47310" ht="14.25" customHeight="1" s="192">
      <c r="W47310" s="235" t="n"/>
      <c r="X47310" s="235" t="n"/>
    </row>
    <row r="47311" ht="15" customHeight="1" s="192" thickBot="1">
      <c r="W47311" s="239" t="n"/>
      <c r="X47311" s="239" t="n"/>
    </row>
    <row r="47312" ht="15" customHeight="1" s="192" thickBot="1">
      <c r="W47312" s="45" t="n"/>
      <c r="X47312" s="45" t="n"/>
    </row>
    <row r="47313" ht="14.25" customHeight="1" s="192">
      <c r="W47313" s="228" t="n"/>
      <c r="X47313" s="228" t="n"/>
    </row>
    <row r="47314" ht="14.25" customHeight="1" s="192">
      <c r="W47314" s="228" t="n"/>
      <c r="X47314" s="228" t="n"/>
    </row>
    <row r="47315" ht="14.25" customHeight="1" s="192">
      <c r="W47315" s="231" t="n"/>
      <c r="X47315" s="231" t="n"/>
    </row>
    <row r="47316" ht="14.25" customHeight="1" s="192">
      <c r="W47316" s="33" t="n"/>
      <c r="X47316" s="33" t="n"/>
    </row>
    <row r="47317" ht="14.25" customHeight="1" s="192">
      <c r="W47317" s="231" t="n"/>
      <c r="X47317" s="231" t="n"/>
    </row>
    <row r="47318" ht="14.25" customHeight="1" s="192">
      <c r="W47318" s="33" t="n"/>
      <c r="X47318" s="33" t="n"/>
    </row>
    <row r="47320" ht="14.25" customHeight="1" s="192">
      <c r="W47320" s="231" t="n"/>
      <c r="X47320" s="231" t="n"/>
    </row>
    <row r="47321" ht="14.25" customHeight="1" s="192">
      <c r="W47321" s="235" t="n"/>
      <c r="X47321" s="235" t="n"/>
    </row>
    <row r="47322" ht="14.25" customHeight="1" s="192">
      <c r="W47322" s="228" t="n"/>
      <c r="X47322" s="228" t="n"/>
    </row>
    <row r="47323" ht="14.25" customHeight="1" s="192">
      <c r="W47323" s="235" t="n"/>
      <c r="X47323" s="235" t="n"/>
    </row>
    <row r="47324" ht="14.25" customHeight="1" s="192">
      <c r="W47324" s="235" t="n"/>
      <c r="X47324" s="235" t="n"/>
    </row>
    <row r="47325" ht="14.25" customHeight="1" s="192">
      <c r="W47325" s="235" t="n"/>
      <c r="X47325" s="235" t="n"/>
    </row>
    <row r="47326" ht="14.25" customHeight="1" s="192">
      <c r="W47326" s="239" t="n"/>
      <c r="X47326" s="239" t="n"/>
    </row>
    <row r="47327" ht="14.25" customHeight="1" s="192">
      <c r="W47327" s="239" t="n"/>
      <c r="X47327" s="239" t="n"/>
    </row>
    <row r="47328" ht="14.25" customHeight="1" s="192">
      <c r="W47328" s="239" t="n"/>
      <c r="X47328" s="239" t="n"/>
    </row>
    <row r="47329" ht="14.25" customHeight="1" s="192">
      <c r="W47329" s="235" t="n"/>
      <c r="X47329" s="235" t="n"/>
    </row>
    <row r="47330" ht="14.25" customHeight="1" s="192">
      <c r="W47330" s="235" t="n"/>
      <c r="X47330" s="235" t="n"/>
    </row>
    <row r="47331" ht="14.25" customHeight="1" s="192">
      <c r="W47331" s="235" t="n"/>
      <c r="X47331" s="235" t="n"/>
    </row>
    <row r="47332" ht="14.25" customHeight="1" s="192">
      <c r="W47332" s="239" t="n"/>
      <c r="X47332" s="239" t="n"/>
    </row>
    <row r="47333" ht="14.25" customHeight="1" s="192">
      <c r="W47333" s="239" t="n"/>
      <c r="X47333" s="239" t="n"/>
    </row>
    <row r="47334" ht="14.25" customHeight="1" s="192">
      <c r="W47334" s="235" t="n"/>
      <c r="X47334" s="235" t="n"/>
    </row>
    <row r="47335" ht="14.25" customHeight="1" s="192">
      <c r="W47335" s="235" t="n"/>
      <c r="X47335" s="235" t="n"/>
    </row>
    <row r="47336" ht="14.25" customHeight="1" s="192">
      <c r="W47336" s="239" t="n"/>
      <c r="X47336" s="239" t="n"/>
    </row>
    <row r="47337" ht="14.25" customHeight="1" s="192">
      <c r="W47337" s="235" t="n"/>
      <c r="X47337" s="235" t="n"/>
    </row>
    <row r="47338" ht="14.25" customHeight="1" s="192">
      <c r="W47338" s="239" t="n"/>
      <c r="X47338" s="239" t="n"/>
    </row>
    <row r="47340" ht="14.25" customHeight="1" s="192">
      <c r="W47340" s="235" t="n"/>
      <c r="X47340" s="235" t="n"/>
    </row>
    <row r="47341" ht="15" customHeight="1" s="192" thickBot="1">
      <c r="W47341" s="239" t="n"/>
      <c r="X47341" s="239" t="n"/>
    </row>
    <row r="47342" ht="15" customHeight="1" s="192" thickBot="1">
      <c r="W47342" s="45" t="n"/>
      <c r="X47342" s="45" t="n"/>
    </row>
    <row r="47343" ht="14.25" customHeight="1" s="192">
      <c r="W47343" s="228" t="n"/>
      <c r="X47343" s="228" t="n"/>
    </row>
    <row r="47344" ht="14.25" customHeight="1" s="192">
      <c r="W47344" s="228" t="n"/>
      <c r="X47344" s="228" t="n"/>
    </row>
    <row r="47345" ht="14.25" customHeight="1" s="192">
      <c r="W47345" s="231" t="n"/>
      <c r="X47345" s="231" t="n"/>
    </row>
    <row r="47346" ht="14.25" customHeight="1" s="192">
      <c r="W47346" s="33" t="n"/>
      <c r="X47346" s="33" t="n"/>
    </row>
    <row r="47347" ht="14.25" customHeight="1" s="192">
      <c r="W47347" s="231" t="n"/>
      <c r="X47347" s="231" t="n"/>
    </row>
    <row r="47348" ht="14.25" customHeight="1" s="192">
      <c r="W47348" s="33" t="n"/>
      <c r="X47348" s="33" t="n"/>
    </row>
    <row r="47350" ht="14.25" customHeight="1" s="192">
      <c r="W47350" s="231" t="n"/>
      <c r="X47350" s="231" t="n"/>
    </row>
    <row r="47351" ht="14.25" customHeight="1" s="192">
      <c r="W47351" s="235" t="n"/>
      <c r="X47351" s="235" t="n"/>
    </row>
    <row r="47352" ht="14.25" customHeight="1" s="192">
      <c r="W47352" s="228" t="n"/>
      <c r="X47352" s="228" t="n"/>
    </row>
    <row r="47353" ht="14.25" customHeight="1" s="192">
      <c r="W47353" s="235" t="n"/>
      <c r="X47353" s="235" t="n"/>
    </row>
    <row r="47354" ht="14.25" customHeight="1" s="192">
      <c r="W47354" s="235" t="n"/>
      <c r="X47354" s="235" t="n"/>
    </row>
    <row r="47355" ht="14.25" customHeight="1" s="192">
      <c r="W47355" s="235" t="n"/>
      <c r="X47355" s="235" t="n"/>
    </row>
    <row r="47356" ht="14.25" customHeight="1" s="192">
      <c r="W47356" s="239" t="n"/>
      <c r="X47356" s="239" t="n"/>
    </row>
    <row r="47357" ht="14.25" customHeight="1" s="192">
      <c r="W47357" s="239" t="n"/>
      <c r="X47357" s="239" t="n"/>
    </row>
    <row r="47358" ht="14.25" customHeight="1" s="192">
      <c r="W47358" s="239" t="n"/>
      <c r="X47358" s="239" t="n"/>
    </row>
    <row r="47359" ht="14.25" customHeight="1" s="192">
      <c r="W47359" s="235" t="n"/>
      <c r="X47359" s="235" t="n"/>
    </row>
    <row r="47360" ht="14.25" customHeight="1" s="192">
      <c r="W47360" s="235" t="n"/>
      <c r="X47360" s="235" t="n"/>
    </row>
    <row r="47361" ht="14.25" customHeight="1" s="192">
      <c r="W47361" s="235" t="n"/>
      <c r="X47361" s="235" t="n"/>
    </row>
    <row r="47362" ht="14.25" customHeight="1" s="192">
      <c r="W47362" s="239" t="n"/>
      <c r="X47362" s="239" t="n"/>
    </row>
    <row r="47363" ht="14.25" customHeight="1" s="192">
      <c r="W47363" s="239" t="n"/>
      <c r="X47363" s="239" t="n"/>
    </row>
    <row r="47364" ht="14.25" customHeight="1" s="192">
      <c r="W47364" s="235" t="n"/>
      <c r="X47364" s="235" t="n"/>
    </row>
    <row r="47365" ht="14.25" customHeight="1" s="192">
      <c r="W47365" s="235" t="n"/>
      <c r="X47365" s="235" t="n"/>
    </row>
    <row r="47366" ht="14.25" customHeight="1" s="192">
      <c r="W47366" s="239" t="n"/>
      <c r="X47366" s="239" t="n"/>
    </row>
    <row r="47367" ht="14.25" customHeight="1" s="192">
      <c r="W47367" s="235" t="n"/>
      <c r="X47367" s="235" t="n"/>
    </row>
    <row r="47368" ht="14.25" customHeight="1" s="192">
      <c r="W47368" s="239" t="n"/>
      <c r="X47368" s="239" t="n"/>
    </row>
    <row r="47370" ht="14.25" customHeight="1" s="192">
      <c r="W47370" s="235" t="n"/>
      <c r="X47370" s="235" t="n"/>
    </row>
    <row r="47371" ht="15" customHeight="1" s="192" thickBot="1">
      <c r="W47371" s="239" t="n"/>
      <c r="X47371" s="239" t="n"/>
    </row>
    <row r="47372" ht="15" customHeight="1" s="192" thickBot="1">
      <c r="W47372" s="45" t="n"/>
      <c r="X47372" s="45" t="n"/>
    </row>
    <row r="47373" ht="14.25" customHeight="1" s="192">
      <c r="W47373" s="228" t="n"/>
      <c r="X47373" s="228" t="n"/>
    </row>
    <row r="47374" ht="14.25" customHeight="1" s="192">
      <c r="W47374" s="228" t="n"/>
      <c r="X47374" s="228" t="n"/>
    </row>
    <row r="47375" ht="14.25" customHeight="1" s="192">
      <c r="W47375" s="231" t="n"/>
      <c r="X47375" s="231" t="n"/>
    </row>
    <row r="47376" ht="14.25" customHeight="1" s="192">
      <c r="W47376" s="33" t="n"/>
      <c r="X47376" s="33" t="n"/>
    </row>
    <row r="47377" ht="14.25" customHeight="1" s="192">
      <c r="W47377" s="231" t="n"/>
      <c r="X47377" s="231" t="n"/>
    </row>
    <row r="47378" ht="14.25" customHeight="1" s="192">
      <c r="W47378" s="33" t="n"/>
      <c r="X47378" s="33" t="n"/>
    </row>
    <row r="47380" ht="14.25" customHeight="1" s="192">
      <c r="W47380" s="231" t="n"/>
      <c r="X47380" s="231" t="n"/>
    </row>
    <row r="47381" ht="14.25" customHeight="1" s="192">
      <c r="W47381" s="235" t="n"/>
      <c r="X47381" s="235" t="n"/>
    </row>
    <row r="47382" ht="14.25" customHeight="1" s="192">
      <c r="W47382" s="228" t="n"/>
      <c r="X47382" s="228" t="n"/>
    </row>
    <row r="47383" ht="14.25" customHeight="1" s="192">
      <c r="W47383" s="235" t="n"/>
      <c r="X47383" s="235" t="n"/>
    </row>
    <row r="47384" ht="14.25" customHeight="1" s="192">
      <c r="W47384" s="235" t="n"/>
      <c r="X47384" s="235" t="n"/>
    </row>
    <row r="47385" ht="14.25" customHeight="1" s="192">
      <c r="W47385" s="235" t="n"/>
      <c r="X47385" s="235" t="n"/>
    </row>
    <row r="47386" ht="14.25" customHeight="1" s="192">
      <c r="W47386" s="239" t="n"/>
      <c r="X47386" s="239" t="n"/>
    </row>
    <row r="47387" ht="14.25" customHeight="1" s="192">
      <c r="W47387" s="239" t="n"/>
      <c r="X47387" s="239" t="n"/>
    </row>
    <row r="47388" ht="14.25" customHeight="1" s="192">
      <c r="W47388" s="239" t="n"/>
      <c r="X47388" s="239" t="n"/>
    </row>
    <row r="47389" ht="14.25" customHeight="1" s="192">
      <c r="W47389" s="235" t="n"/>
      <c r="X47389" s="235" t="n"/>
    </row>
    <row r="47390" ht="14.25" customHeight="1" s="192">
      <c r="W47390" s="235" t="n"/>
      <c r="X47390" s="235" t="n"/>
    </row>
    <row r="47391" ht="14.25" customHeight="1" s="192">
      <c r="W47391" s="235" t="n"/>
      <c r="X47391" s="235" t="n"/>
    </row>
    <row r="47392" ht="14.25" customHeight="1" s="192">
      <c r="W47392" s="239" t="n"/>
      <c r="X47392" s="239" t="n"/>
    </row>
    <row r="47393" ht="14.25" customHeight="1" s="192">
      <c r="W47393" s="239" t="n"/>
      <c r="X47393" s="239" t="n"/>
    </row>
    <row r="47394" ht="14.25" customHeight="1" s="192">
      <c r="W47394" s="235" t="n"/>
      <c r="X47394" s="235" t="n"/>
    </row>
    <row r="47395" ht="14.25" customHeight="1" s="192">
      <c r="W47395" s="235" t="n"/>
      <c r="X47395" s="235" t="n"/>
    </row>
    <row r="47396" ht="14.25" customHeight="1" s="192">
      <c r="W47396" s="239" t="n"/>
      <c r="X47396" s="239" t="n"/>
    </row>
    <row r="47397" ht="14.25" customHeight="1" s="192">
      <c r="W47397" s="235" t="n"/>
      <c r="X47397" s="235" t="n"/>
    </row>
    <row r="47398" ht="14.25" customHeight="1" s="192">
      <c r="W47398" s="239" t="n"/>
      <c r="X47398" s="239" t="n"/>
    </row>
    <row r="47400" ht="14.25" customHeight="1" s="192">
      <c r="W47400" s="235" t="n"/>
      <c r="X47400" s="235" t="n"/>
    </row>
    <row r="47401" ht="15" customHeight="1" s="192" thickBot="1">
      <c r="W47401" s="239" t="n"/>
      <c r="X47401" s="239" t="n"/>
    </row>
    <row r="47402" ht="15" customHeight="1" s="192" thickBot="1">
      <c r="W47402" s="45" t="n"/>
      <c r="X47402" s="45" t="n"/>
    </row>
    <row r="47403" ht="14.25" customHeight="1" s="192">
      <c r="W47403" s="228" t="n"/>
      <c r="X47403" s="228" t="n"/>
    </row>
    <row r="47404" ht="14.25" customHeight="1" s="192">
      <c r="W47404" s="228" t="n"/>
      <c r="X47404" s="228" t="n"/>
    </row>
    <row r="47405" ht="14.25" customHeight="1" s="192">
      <c r="W47405" s="231" t="n"/>
      <c r="X47405" s="231" t="n"/>
    </row>
    <row r="47406" ht="14.25" customHeight="1" s="192">
      <c r="W47406" s="33" t="n"/>
      <c r="X47406" s="33" t="n"/>
    </row>
    <row r="47407" ht="14.25" customHeight="1" s="192">
      <c r="W47407" s="231" t="n"/>
      <c r="X47407" s="231" t="n"/>
    </row>
    <row r="47408" ht="14.25" customHeight="1" s="192">
      <c r="W47408" s="33" t="n"/>
      <c r="X47408" s="33" t="n"/>
    </row>
    <row r="47410" ht="14.25" customHeight="1" s="192">
      <c r="W47410" s="231" t="n"/>
      <c r="X47410" s="231" t="n"/>
    </row>
    <row r="47411" ht="14.25" customHeight="1" s="192">
      <c r="W47411" s="235" t="n"/>
      <c r="X47411" s="235" t="n"/>
    </row>
    <row r="47412" ht="14.25" customHeight="1" s="192">
      <c r="W47412" s="228" t="n"/>
      <c r="X47412" s="228" t="n"/>
    </row>
    <row r="47413" ht="14.25" customHeight="1" s="192">
      <c r="W47413" s="235" t="n"/>
      <c r="X47413" s="235" t="n"/>
    </row>
    <row r="47414" ht="14.25" customHeight="1" s="192">
      <c r="W47414" s="235" t="n"/>
      <c r="X47414" s="235" t="n"/>
    </row>
    <row r="47415" ht="14.25" customHeight="1" s="192">
      <c r="W47415" s="235" t="n"/>
      <c r="X47415" s="235" t="n"/>
    </row>
    <row r="47416" ht="14.25" customHeight="1" s="192">
      <c r="W47416" s="239" t="n"/>
      <c r="X47416" s="239" t="n"/>
    </row>
    <row r="47417" ht="14.25" customHeight="1" s="192">
      <c r="W47417" s="239" t="n"/>
      <c r="X47417" s="239" t="n"/>
    </row>
    <row r="47418" ht="14.25" customHeight="1" s="192">
      <c r="W47418" s="239" t="n"/>
      <c r="X47418" s="239" t="n"/>
    </row>
    <row r="47419" ht="14.25" customHeight="1" s="192">
      <c r="W47419" s="235" t="n"/>
      <c r="X47419" s="235" t="n"/>
    </row>
    <row r="47420" ht="14.25" customHeight="1" s="192">
      <c r="W47420" s="235" t="n"/>
      <c r="X47420" s="235" t="n"/>
    </row>
    <row r="47421" ht="14.25" customHeight="1" s="192">
      <c r="W47421" s="235" t="n"/>
      <c r="X47421" s="235" t="n"/>
    </row>
    <row r="47422" ht="14.25" customHeight="1" s="192">
      <c r="W47422" s="239" t="n"/>
      <c r="X47422" s="239" t="n"/>
    </row>
    <row r="47423" ht="14.25" customHeight="1" s="192">
      <c r="W47423" s="239" t="n"/>
      <c r="X47423" s="239" t="n"/>
    </row>
    <row r="47424" ht="14.25" customHeight="1" s="192">
      <c r="W47424" s="235" t="n"/>
      <c r="X47424" s="235" t="n"/>
    </row>
    <row r="47425" ht="14.25" customHeight="1" s="192">
      <c r="W47425" s="235" t="n"/>
      <c r="X47425" s="235" t="n"/>
    </row>
    <row r="47426" ht="14.25" customHeight="1" s="192">
      <c r="W47426" s="239" t="n"/>
      <c r="X47426" s="239" t="n"/>
    </row>
    <row r="47427" ht="14.25" customHeight="1" s="192">
      <c r="W47427" s="235" t="n"/>
      <c r="X47427" s="235" t="n"/>
    </row>
    <row r="47428" ht="14.25" customHeight="1" s="192">
      <c r="W47428" s="239" t="n"/>
      <c r="X47428" s="239" t="n"/>
    </row>
    <row r="47430" ht="14.25" customHeight="1" s="192">
      <c r="W47430" s="235" t="n"/>
      <c r="X47430" s="235" t="n"/>
    </row>
    <row r="47431" ht="15" customHeight="1" s="192" thickBot="1">
      <c r="W47431" s="239" t="n"/>
      <c r="X47431" s="239" t="n"/>
    </row>
    <row r="47432" ht="15" customHeight="1" s="192" thickBot="1">
      <c r="W47432" s="45" t="n"/>
      <c r="X47432" s="45" t="n"/>
    </row>
    <row r="47433" ht="14.25" customHeight="1" s="192">
      <c r="W47433" s="228" t="n"/>
      <c r="X47433" s="228" t="n"/>
    </row>
    <row r="47434" ht="14.25" customHeight="1" s="192">
      <c r="W47434" s="228" t="n"/>
      <c r="X47434" s="228" t="n"/>
    </row>
    <row r="47435" ht="14.25" customHeight="1" s="192">
      <c r="W47435" s="231" t="n"/>
      <c r="X47435" s="231" t="n"/>
    </row>
    <row r="47436" ht="14.25" customHeight="1" s="192">
      <c r="W47436" s="33" t="n"/>
      <c r="X47436" s="33" t="n"/>
    </row>
    <row r="47437" ht="14.25" customHeight="1" s="192">
      <c r="W47437" s="231" t="n"/>
      <c r="X47437" s="231" t="n"/>
    </row>
    <row r="47438" ht="14.25" customHeight="1" s="192">
      <c r="W47438" s="33" t="n"/>
      <c r="X47438" s="33" t="n"/>
    </row>
    <row r="47440" ht="14.25" customHeight="1" s="192">
      <c r="W47440" s="231" t="n"/>
      <c r="X47440" s="231" t="n"/>
    </row>
    <row r="47441" ht="14.25" customHeight="1" s="192">
      <c r="W47441" s="235" t="n"/>
      <c r="X47441" s="235" t="n"/>
    </row>
    <row r="47442" ht="14.25" customHeight="1" s="192">
      <c r="W47442" s="228" t="n"/>
      <c r="X47442" s="228" t="n"/>
    </row>
    <row r="47443" ht="14.25" customHeight="1" s="192">
      <c r="W47443" s="235" t="n"/>
      <c r="X47443" s="235" t="n"/>
    </row>
    <row r="47444" ht="14.25" customHeight="1" s="192">
      <c r="W47444" s="235" t="n"/>
      <c r="X47444" s="235" t="n"/>
    </row>
    <row r="47445" ht="14.25" customHeight="1" s="192">
      <c r="W47445" s="235" t="n"/>
      <c r="X47445" s="235" t="n"/>
    </row>
    <row r="47446" ht="14.25" customHeight="1" s="192">
      <c r="W47446" s="239" t="n"/>
      <c r="X47446" s="239" t="n"/>
    </row>
    <row r="47447" ht="14.25" customHeight="1" s="192">
      <c r="W47447" s="239" t="n"/>
      <c r="X47447" s="239" t="n"/>
    </row>
    <row r="47448" ht="14.25" customHeight="1" s="192">
      <c r="W47448" s="239" t="n"/>
      <c r="X47448" s="239" t="n"/>
    </row>
    <row r="47449" ht="14.25" customHeight="1" s="192">
      <c r="W47449" s="235" t="n"/>
      <c r="X47449" s="235" t="n"/>
    </row>
    <row r="47450" ht="14.25" customHeight="1" s="192">
      <c r="W47450" s="235" t="n"/>
      <c r="X47450" s="235" t="n"/>
    </row>
    <row r="47451" ht="14.25" customHeight="1" s="192">
      <c r="W47451" s="235" t="n"/>
      <c r="X47451" s="235" t="n"/>
    </row>
    <row r="47452" ht="14.25" customHeight="1" s="192">
      <c r="W47452" s="239" t="n"/>
      <c r="X47452" s="239" t="n"/>
    </row>
    <row r="47453" ht="14.25" customHeight="1" s="192">
      <c r="W47453" s="239" t="n"/>
      <c r="X47453" s="239" t="n"/>
    </row>
    <row r="47454" ht="14.25" customHeight="1" s="192">
      <c r="W47454" s="235" t="n"/>
      <c r="X47454" s="235" t="n"/>
    </row>
    <row r="47455" ht="14.25" customHeight="1" s="192">
      <c r="W47455" s="235" t="n"/>
      <c r="X47455" s="235" t="n"/>
    </row>
    <row r="47456" ht="14.25" customHeight="1" s="192">
      <c r="W47456" s="239" t="n"/>
      <c r="X47456" s="239" t="n"/>
    </row>
    <row r="47457" ht="14.25" customHeight="1" s="192">
      <c r="W47457" s="235" t="n"/>
      <c r="X47457" s="235" t="n"/>
    </row>
    <row r="47458" ht="14.25" customHeight="1" s="192">
      <c r="W47458" s="239" t="n"/>
      <c r="X47458" s="239" t="n"/>
    </row>
    <row r="47460" ht="14.25" customHeight="1" s="192">
      <c r="W47460" s="235" t="n"/>
      <c r="X47460" s="235" t="n"/>
    </row>
    <row r="47461" ht="15" customHeight="1" s="192" thickBot="1">
      <c r="W47461" s="239" t="n"/>
      <c r="X47461" s="239" t="n"/>
    </row>
    <row r="47462" ht="15" customHeight="1" s="192" thickBot="1">
      <c r="W47462" s="45" t="n"/>
      <c r="X47462" s="45" t="n"/>
    </row>
    <row r="47463" ht="14.25" customHeight="1" s="192">
      <c r="W47463" s="228" t="n"/>
      <c r="X47463" s="228" t="n"/>
    </row>
    <row r="47464" ht="14.25" customHeight="1" s="192">
      <c r="W47464" s="228" t="n"/>
      <c r="X47464" s="228" t="n"/>
    </row>
    <row r="47465" ht="14.25" customHeight="1" s="192">
      <c r="W47465" s="231" t="n"/>
      <c r="X47465" s="231" t="n"/>
    </row>
    <row r="47466" ht="14.25" customHeight="1" s="192">
      <c r="W47466" s="33" t="n"/>
      <c r="X47466" s="33" t="n"/>
    </row>
    <row r="47467" ht="14.25" customHeight="1" s="192">
      <c r="W47467" s="231" t="n"/>
      <c r="X47467" s="231" t="n"/>
    </row>
    <row r="47468" ht="14.25" customHeight="1" s="192">
      <c r="W47468" s="33" t="n"/>
      <c r="X47468" s="33" t="n"/>
    </row>
    <row r="47470" ht="14.25" customHeight="1" s="192">
      <c r="W47470" s="231" t="n"/>
      <c r="X47470" s="231" t="n"/>
    </row>
    <row r="47471" ht="14.25" customHeight="1" s="192">
      <c r="W47471" s="235" t="n"/>
      <c r="X47471" s="235" t="n"/>
    </row>
    <row r="47472" ht="14.25" customHeight="1" s="192">
      <c r="W47472" s="228" t="n"/>
      <c r="X47472" s="228" t="n"/>
    </row>
    <row r="47473" ht="14.25" customHeight="1" s="192">
      <c r="W47473" s="235" t="n"/>
      <c r="X47473" s="235" t="n"/>
    </row>
    <row r="47474" ht="14.25" customHeight="1" s="192">
      <c r="W47474" s="235" t="n"/>
      <c r="X47474" s="235" t="n"/>
    </row>
    <row r="47475" ht="14.25" customHeight="1" s="192">
      <c r="W47475" s="235" t="n"/>
      <c r="X47475" s="235" t="n"/>
    </row>
    <row r="47476" ht="14.25" customHeight="1" s="192">
      <c r="W47476" s="239" t="n"/>
      <c r="X47476" s="239" t="n"/>
    </row>
    <row r="47477" ht="14.25" customHeight="1" s="192">
      <c r="W47477" s="239" t="n"/>
      <c r="X47477" s="239" t="n"/>
    </row>
    <row r="47478" ht="14.25" customHeight="1" s="192">
      <c r="W47478" s="239" t="n"/>
      <c r="X47478" s="239" t="n"/>
    </row>
    <row r="47479" ht="14.25" customHeight="1" s="192">
      <c r="W47479" s="235" t="n"/>
      <c r="X47479" s="235" t="n"/>
    </row>
    <row r="47480" ht="14.25" customHeight="1" s="192">
      <c r="W47480" s="235" t="n"/>
      <c r="X47480" s="235" t="n"/>
    </row>
    <row r="47481" ht="14.25" customHeight="1" s="192">
      <c r="W47481" s="235" t="n"/>
      <c r="X47481" s="235" t="n"/>
    </row>
    <row r="47482" ht="14.25" customHeight="1" s="192">
      <c r="W47482" s="239" t="n"/>
      <c r="X47482" s="239" t="n"/>
    </row>
    <row r="47483" ht="14.25" customHeight="1" s="192">
      <c r="W47483" s="239" t="n"/>
      <c r="X47483" s="239" t="n"/>
    </row>
    <row r="47484" ht="14.25" customHeight="1" s="192">
      <c r="W47484" s="235" t="n"/>
      <c r="X47484" s="235" t="n"/>
    </row>
    <row r="47485" ht="14.25" customHeight="1" s="192">
      <c r="W47485" s="235" t="n"/>
      <c r="X47485" s="235" t="n"/>
    </row>
    <row r="47486" ht="14.25" customHeight="1" s="192">
      <c r="W47486" s="239" t="n"/>
      <c r="X47486" s="239" t="n"/>
    </row>
    <row r="47487" ht="14.25" customHeight="1" s="192">
      <c r="W47487" s="235" t="n"/>
      <c r="X47487" s="235" t="n"/>
    </row>
    <row r="47488" ht="14.25" customHeight="1" s="192">
      <c r="W47488" s="239" t="n"/>
      <c r="X47488" s="239" t="n"/>
    </row>
    <row r="47490" ht="14.25" customHeight="1" s="192">
      <c r="W47490" s="235" t="n"/>
      <c r="X47490" s="235" t="n"/>
    </row>
    <row r="47491" ht="15" customHeight="1" s="192" thickBot="1">
      <c r="W47491" s="239" t="n"/>
      <c r="X47491" s="239" t="n"/>
    </row>
    <row r="47492" ht="15" customHeight="1" s="192" thickBot="1">
      <c r="W47492" s="45" t="n"/>
      <c r="X47492" s="45" t="n"/>
    </row>
    <row r="47493" ht="14.25" customHeight="1" s="192">
      <c r="W47493" s="228" t="n"/>
      <c r="X47493" s="228" t="n"/>
    </row>
    <row r="47494" ht="14.25" customHeight="1" s="192">
      <c r="W47494" s="228" t="n"/>
      <c r="X47494" s="228" t="n"/>
    </row>
    <row r="47495" ht="14.25" customHeight="1" s="192">
      <c r="W47495" s="231" t="n"/>
      <c r="X47495" s="231" t="n"/>
    </row>
    <row r="47496" ht="14.25" customHeight="1" s="192">
      <c r="W47496" s="33" t="n"/>
      <c r="X47496" s="33" t="n"/>
    </row>
    <row r="47497" ht="14.25" customHeight="1" s="192">
      <c r="W47497" s="231" t="n"/>
      <c r="X47497" s="231" t="n"/>
    </row>
    <row r="47498" ht="14.25" customHeight="1" s="192">
      <c r="W47498" s="33" t="n"/>
      <c r="X47498" s="33" t="n"/>
    </row>
    <row r="47500" ht="14.25" customHeight="1" s="192">
      <c r="W47500" s="231" t="n"/>
      <c r="X47500" s="231" t="n"/>
    </row>
    <row r="47501" ht="14.25" customHeight="1" s="192">
      <c r="W47501" s="235" t="n"/>
      <c r="X47501" s="235" t="n"/>
    </row>
    <row r="47502" ht="14.25" customHeight="1" s="192">
      <c r="W47502" s="228" t="n"/>
      <c r="X47502" s="228" t="n"/>
    </row>
    <row r="47503" ht="14.25" customHeight="1" s="192">
      <c r="W47503" s="235" t="n"/>
      <c r="X47503" s="235" t="n"/>
    </row>
    <row r="47504" ht="14.25" customHeight="1" s="192">
      <c r="W47504" s="235" t="n"/>
      <c r="X47504" s="235" t="n"/>
    </row>
    <row r="47505" ht="14.25" customHeight="1" s="192">
      <c r="W47505" s="235" t="n"/>
      <c r="X47505" s="235" t="n"/>
    </row>
    <row r="47506" ht="14.25" customHeight="1" s="192">
      <c r="W47506" s="239" t="n"/>
      <c r="X47506" s="239" t="n"/>
    </row>
    <row r="47507" ht="14.25" customHeight="1" s="192">
      <c r="W47507" s="239" t="n"/>
      <c r="X47507" s="239" t="n"/>
    </row>
    <row r="47508" ht="14.25" customHeight="1" s="192">
      <c r="W47508" s="239" t="n"/>
      <c r="X47508" s="239" t="n"/>
    </row>
    <row r="47509" ht="14.25" customHeight="1" s="192">
      <c r="W47509" s="235" t="n"/>
      <c r="X47509" s="235" t="n"/>
    </row>
    <row r="47510" ht="14.25" customHeight="1" s="192">
      <c r="W47510" s="235" t="n"/>
      <c r="X47510" s="235" t="n"/>
    </row>
    <row r="47511" ht="14.25" customHeight="1" s="192">
      <c r="W47511" s="235" t="n"/>
      <c r="X47511" s="235" t="n"/>
    </row>
    <row r="47512" ht="14.25" customHeight="1" s="192">
      <c r="W47512" s="239" t="n"/>
      <c r="X47512" s="239" t="n"/>
    </row>
    <row r="47513" ht="14.25" customHeight="1" s="192">
      <c r="W47513" s="239" t="n"/>
      <c r="X47513" s="239" t="n"/>
    </row>
    <row r="47514" ht="14.25" customHeight="1" s="192">
      <c r="W47514" s="235" t="n"/>
      <c r="X47514" s="235" t="n"/>
    </row>
    <row r="47515" ht="14.25" customHeight="1" s="192">
      <c r="W47515" s="235" t="n"/>
      <c r="X47515" s="235" t="n"/>
    </row>
    <row r="47516" ht="14.25" customHeight="1" s="192">
      <c r="W47516" s="239" t="n"/>
      <c r="X47516" s="239" t="n"/>
    </row>
    <row r="47517" ht="14.25" customHeight="1" s="192">
      <c r="W47517" s="235" t="n"/>
      <c r="X47517" s="235" t="n"/>
    </row>
    <row r="47518" ht="14.25" customHeight="1" s="192">
      <c r="W47518" s="239" t="n"/>
      <c r="X47518" s="239" t="n"/>
    </row>
    <row r="47520" ht="14.25" customHeight="1" s="192">
      <c r="W47520" s="235" t="n"/>
      <c r="X47520" s="235" t="n"/>
    </row>
    <row r="47521" ht="15" customHeight="1" s="192" thickBot="1">
      <c r="W47521" s="239" t="n"/>
      <c r="X47521" s="239" t="n"/>
    </row>
    <row r="47522" ht="15" customHeight="1" s="192" thickBot="1">
      <c r="W47522" s="45" t="n"/>
      <c r="X47522" s="45" t="n"/>
    </row>
    <row r="47523" ht="14.25" customHeight="1" s="192">
      <c r="W47523" s="228" t="n"/>
      <c r="X47523" s="228" t="n"/>
    </row>
    <row r="47524" ht="14.25" customHeight="1" s="192">
      <c r="W47524" s="228" t="n"/>
      <c r="X47524" s="228" t="n"/>
    </row>
    <row r="47525" ht="14.25" customHeight="1" s="192">
      <c r="W47525" s="231" t="n"/>
      <c r="X47525" s="231" t="n"/>
    </row>
    <row r="47526" ht="14.25" customHeight="1" s="192">
      <c r="W47526" s="33" t="n"/>
      <c r="X47526" s="33" t="n"/>
    </row>
    <row r="47527" ht="14.25" customHeight="1" s="192">
      <c r="W47527" s="231" t="n"/>
      <c r="X47527" s="231" t="n"/>
    </row>
    <row r="47528" ht="14.25" customHeight="1" s="192">
      <c r="W47528" s="33" t="n"/>
      <c r="X47528" s="33" t="n"/>
    </row>
    <row r="47530" ht="14.25" customHeight="1" s="192">
      <c r="W47530" s="231" t="n"/>
      <c r="X47530" s="231" t="n"/>
    </row>
    <row r="47531" ht="14.25" customHeight="1" s="192">
      <c r="W47531" s="235" t="n"/>
      <c r="X47531" s="235" t="n"/>
    </row>
    <row r="47532" ht="14.25" customHeight="1" s="192">
      <c r="W47532" s="228" t="n"/>
      <c r="X47532" s="228" t="n"/>
    </row>
    <row r="47533" ht="14.25" customHeight="1" s="192">
      <c r="W47533" s="235" t="n"/>
      <c r="X47533" s="235" t="n"/>
    </row>
    <row r="47534" ht="14.25" customHeight="1" s="192">
      <c r="W47534" s="235" t="n"/>
      <c r="X47534" s="235" t="n"/>
    </row>
    <row r="47535" ht="14.25" customHeight="1" s="192">
      <c r="W47535" s="235" t="n"/>
      <c r="X47535" s="235" t="n"/>
    </row>
    <row r="47536" ht="14.25" customHeight="1" s="192">
      <c r="W47536" s="239" t="n"/>
      <c r="X47536" s="239" t="n"/>
    </row>
    <row r="47537" ht="14.25" customHeight="1" s="192">
      <c r="W47537" s="239" t="n"/>
      <c r="X47537" s="239" t="n"/>
    </row>
    <row r="47538" ht="14.25" customHeight="1" s="192">
      <c r="W47538" s="239" t="n"/>
      <c r="X47538" s="239" t="n"/>
    </row>
    <row r="47539" ht="14.25" customHeight="1" s="192">
      <c r="W47539" s="235" t="n"/>
      <c r="X47539" s="235" t="n"/>
    </row>
    <row r="47540" ht="14.25" customHeight="1" s="192">
      <c r="W47540" s="235" t="n"/>
      <c r="X47540" s="235" t="n"/>
    </row>
    <row r="47541" ht="14.25" customHeight="1" s="192">
      <c r="W47541" s="235" t="n"/>
      <c r="X47541" s="235" t="n"/>
    </row>
    <row r="47542" ht="14.25" customHeight="1" s="192">
      <c r="W47542" s="239" t="n"/>
      <c r="X47542" s="239" t="n"/>
    </row>
    <row r="47543" ht="14.25" customHeight="1" s="192">
      <c r="W47543" s="239" t="n"/>
      <c r="X47543" s="239" t="n"/>
    </row>
    <row r="47544" ht="14.25" customHeight="1" s="192">
      <c r="W47544" s="235" t="n"/>
      <c r="X47544" s="235" t="n"/>
    </row>
    <row r="47545" ht="14.25" customHeight="1" s="192">
      <c r="W47545" s="235" t="n"/>
      <c r="X47545" s="235" t="n"/>
    </row>
    <row r="47546" ht="14.25" customHeight="1" s="192">
      <c r="W47546" s="239" t="n"/>
      <c r="X47546" s="239" t="n"/>
    </row>
    <row r="47547" ht="14.25" customHeight="1" s="192">
      <c r="W47547" s="235" t="n"/>
      <c r="X47547" s="235" t="n"/>
    </row>
    <row r="47548" ht="14.25" customHeight="1" s="192">
      <c r="W47548" s="239" t="n"/>
      <c r="X47548" s="239" t="n"/>
    </row>
    <row r="47550" ht="14.25" customHeight="1" s="192">
      <c r="W47550" s="235" t="n"/>
      <c r="X47550" s="235" t="n"/>
    </row>
    <row r="47551" ht="15" customHeight="1" s="192" thickBot="1">
      <c r="W47551" s="239" t="n"/>
      <c r="X47551" s="239" t="n"/>
    </row>
    <row r="47552" ht="15" customHeight="1" s="192" thickBot="1">
      <c r="W47552" s="45" t="n"/>
      <c r="X47552" s="45" t="n"/>
    </row>
    <row r="47553" ht="14.25" customHeight="1" s="192">
      <c r="W47553" s="228" t="n"/>
      <c r="X47553" s="228" t="n"/>
    </row>
    <row r="47554" ht="14.25" customHeight="1" s="192">
      <c r="W47554" s="228" t="n"/>
      <c r="X47554" s="228" t="n"/>
    </row>
    <row r="47555" ht="14.25" customHeight="1" s="192">
      <c r="W47555" s="231" t="n"/>
      <c r="X47555" s="231" t="n"/>
    </row>
    <row r="47556" ht="14.25" customHeight="1" s="192">
      <c r="W47556" s="33" t="n"/>
      <c r="X47556" s="33" t="n"/>
    </row>
    <row r="47557" ht="14.25" customHeight="1" s="192">
      <c r="W47557" s="231" t="n"/>
      <c r="X47557" s="231" t="n"/>
    </row>
    <row r="47558" ht="14.25" customHeight="1" s="192">
      <c r="W47558" s="33" t="n"/>
      <c r="X47558" s="33" t="n"/>
    </row>
    <row r="47560" ht="14.25" customHeight="1" s="192">
      <c r="W47560" s="231" t="n"/>
      <c r="X47560" s="231" t="n"/>
    </row>
    <row r="47561" ht="14.25" customHeight="1" s="192">
      <c r="W47561" s="235" t="n"/>
      <c r="X47561" s="235" t="n"/>
    </row>
    <row r="47562" ht="14.25" customHeight="1" s="192">
      <c r="W47562" s="228" t="n"/>
      <c r="X47562" s="228" t="n"/>
    </row>
    <row r="47563" ht="14.25" customHeight="1" s="192">
      <c r="W47563" s="235" t="n"/>
      <c r="X47563" s="235" t="n"/>
    </row>
    <row r="47564" ht="14.25" customHeight="1" s="192">
      <c r="W47564" s="235" t="n"/>
      <c r="X47564" s="235" t="n"/>
    </row>
    <row r="47565" ht="14.25" customHeight="1" s="192">
      <c r="W47565" s="235" t="n"/>
      <c r="X47565" s="235" t="n"/>
    </row>
    <row r="47566" ht="14.25" customHeight="1" s="192">
      <c r="W47566" s="239" t="n"/>
      <c r="X47566" s="239" t="n"/>
    </row>
    <row r="47567" ht="14.25" customHeight="1" s="192">
      <c r="W47567" s="239" t="n"/>
      <c r="X47567" s="239" t="n"/>
    </row>
    <row r="47568" ht="14.25" customHeight="1" s="192">
      <c r="W47568" s="239" t="n"/>
      <c r="X47568" s="239" t="n"/>
    </row>
    <row r="47569" ht="14.25" customHeight="1" s="192">
      <c r="W47569" s="235" t="n"/>
      <c r="X47569" s="235" t="n"/>
    </row>
    <row r="47570" ht="14.25" customHeight="1" s="192">
      <c r="W47570" s="235" t="n"/>
      <c r="X47570" s="235" t="n"/>
    </row>
    <row r="47571" ht="14.25" customHeight="1" s="192">
      <c r="W47571" s="235" t="n"/>
      <c r="X47571" s="235" t="n"/>
    </row>
    <row r="47572" ht="14.25" customHeight="1" s="192">
      <c r="W47572" s="239" t="n"/>
      <c r="X47572" s="239" t="n"/>
    </row>
    <row r="47573" ht="14.25" customHeight="1" s="192">
      <c r="W47573" s="239" t="n"/>
      <c r="X47573" s="239" t="n"/>
    </row>
    <row r="47574" ht="14.25" customHeight="1" s="192">
      <c r="W47574" s="235" t="n"/>
      <c r="X47574" s="235" t="n"/>
    </row>
    <row r="47575" ht="14.25" customHeight="1" s="192">
      <c r="W47575" s="235" t="n"/>
      <c r="X47575" s="235" t="n"/>
    </row>
    <row r="47576" ht="14.25" customHeight="1" s="192">
      <c r="W47576" s="239" t="n"/>
      <c r="X47576" s="239" t="n"/>
    </row>
    <row r="47577" ht="14.25" customHeight="1" s="192">
      <c r="W47577" s="235" t="n"/>
      <c r="X47577" s="235" t="n"/>
    </row>
    <row r="47578" ht="14.25" customHeight="1" s="192">
      <c r="W47578" s="239" t="n"/>
      <c r="X47578" s="239" t="n"/>
    </row>
    <row r="47580" ht="14.25" customHeight="1" s="192">
      <c r="W47580" s="235" t="n"/>
      <c r="X47580" s="235" t="n"/>
    </row>
    <row r="47581" ht="15" customHeight="1" s="192" thickBot="1">
      <c r="W47581" s="239" t="n"/>
      <c r="X47581" s="239" t="n"/>
    </row>
    <row r="47582" ht="15" customHeight="1" s="192" thickBot="1">
      <c r="W47582" s="45" t="n"/>
      <c r="X47582" s="45" t="n"/>
    </row>
    <row r="47583" ht="14.25" customHeight="1" s="192">
      <c r="W47583" s="228" t="n"/>
      <c r="X47583" s="228" t="n"/>
    </row>
    <row r="47584" ht="14.25" customHeight="1" s="192">
      <c r="W47584" s="228" t="n"/>
      <c r="X47584" s="228" t="n"/>
    </row>
    <row r="47585" ht="14.25" customHeight="1" s="192">
      <c r="W47585" s="231" t="n"/>
      <c r="X47585" s="231" t="n"/>
    </row>
    <row r="47586" ht="14.25" customHeight="1" s="192">
      <c r="W47586" s="33" t="n"/>
      <c r="X47586" s="33" t="n"/>
    </row>
    <row r="47587" ht="14.25" customHeight="1" s="192">
      <c r="W47587" s="231" t="n"/>
      <c r="X47587" s="231" t="n"/>
    </row>
    <row r="47588" ht="14.25" customHeight="1" s="192">
      <c r="W47588" s="33" t="n"/>
      <c r="X47588" s="33" t="n"/>
    </row>
    <row r="47590" ht="14.25" customHeight="1" s="192">
      <c r="W47590" s="231" t="n"/>
      <c r="X47590" s="231" t="n"/>
    </row>
    <row r="47591" ht="14.25" customHeight="1" s="192">
      <c r="W47591" s="235" t="n"/>
      <c r="X47591" s="235" t="n"/>
    </row>
    <row r="47592" ht="14.25" customHeight="1" s="192">
      <c r="W47592" s="228" t="n"/>
      <c r="X47592" s="228" t="n"/>
    </row>
    <row r="47593" ht="14.25" customHeight="1" s="192">
      <c r="W47593" s="235" t="n"/>
      <c r="X47593" s="235" t="n"/>
    </row>
    <row r="47594" ht="14.25" customHeight="1" s="192">
      <c r="W47594" s="235" t="n"/>
      <c r="X47594" s="235" t="n"/>
    </row>
    <row r="47595" ht="14.25" customHeight="1" s="192">
      <c r="W47595" s="235" t="n"/>
      <c r="X47595" s="235" t="n"/>
    </row>
    <row r="47596" ht="14.25" customHeight="1" s="192">
      <c r="W47596" s="239" t="n"/>
      <c r="X47596" s="239" t="n"/>
    </row>
    <row r="47597" ht="14.25" customHeight="1" s="192">
      <c r="W47597" s="239" t="n"/>
      <c r="X47597" s="239" t="n"/>
    </row>
    <row r="47598" ht="14.25" customHeight="1" s="192">
      <c r="W47598" s="239" t="n"/>
      <c r="X47598" s="239" t="n"/>
    </row>
    <row r="47599" ht="14.25" customHeight="1" s="192">
      <c r="W47599" s="235" t="n"/>
      <c r="X47599" s="235" t="n"/>
    </row>
    <row r="47600" ht="14.25" customHeight="1" s="192">
      <c r="W47600" s="235" t="n"/>
      <c r="X47600" s="235" t="n"/>
    </row>
    <row r="47601" ht="14.25" customHeight="1" s="192">
      <c r="W47601" s="235" t="n"/>
      <c r="X47601" s="235" t="n"/>
    </row>
    <row r="47602" ht="14.25" customHeight="1" s="192">
      <c r="W47602" s="239" t="n"/>
      <c r="X47602" s="239" t="n"/>
    </row>
    <row r="47603" ht="14.25" customHeight="1" s="192">
      <c r="W47603" s="239" t="n"/>
      <c r="X47603" s="239" t="n"/>
    </row>
    <row r="47604" ht="14.25" customHeight="1" s="192">
      <c r="W47604" s="235" t="n"/>
      <c r="X47604" s="235" t="n"/>
    </row>
    <row r="47605" ht="14.25" customHeight="1" s="192">
      <c r="W47605" s="235" t="n"/>
      <c r="X47605" s="235" t="n"/>
    </row>
    <row r="47606" ht="14.25" customHeight="1" s="192">
      <c r="W47606" s="239" t="n"/>
      <c r="X47606" s="239" t="n"/>
    </row>
    <row r="47607" ht="14.25" customHeight="1" s="192">
      <c r="W47607" s="235" t="n"/>
      <c r="X47607" s="235" t="n"/>
    </row>
    <row r="47608" ht="14.25" customHeight="1" s="192">
      <c r="W47608" s="239" t="n"/>
      <c r="X47608" s="239" t="n"/>
    </row>
    <row r="47610" ht="14.25" customHeight="1" s="192">
      <c r="W47610" s="235" t="n"/>
      <c r="X47610" s="235" t="n"/>
    </row>
    <row r="47611" ht="15" customHeight="1" s="192" thickBot="1">
      <c r="W47611" s="239" t="n"/>
      <c r="X47611" s="239" t="n"/>
    </row>
    <row r="47612" ht="15" customHeight="1" s="192" thickBot="1">
      <c r="W47612" s="45" t="n"/>
      <c r="X47612" s="45" t="n"/>
    </row>
    <row r="47613" ht="14.25" customHeight="1" s="192">
      <c r="W47613" s="228" t="n"/>
      <c r="X47613" s="228" t="n"/>
    </row>
    <row r="47614" ht="14.25" customHeight="1" s="192">
      <c r="W47614" s="228" t="n"/>
      <c r="X47614" s="228" t="n"/>
    </row>
    <row r="47615" ht="14.25" customHeight="1" s="192">
      <c r="W47615" s="231" t="n"/>
      <c r="X47615" s="231" t="n"/>
    </row>
    <row r="47616" ht="14.25" customHeight="1" s="192">
      <c r="W47616" s="33" t="n"/>
      <c r="X47616" s="33" t="n"/>
    </row>
    <row r="47617" ht="14.25" customHeight="1" s="192">
      <c r="W47617" s="231" t="n"/>
      <c r="X47617" s="231" t="n"/>
    </row>
    <row r="47618" ht="14.25" customHeight="1" s="192">
      <c r="W47618" s="33" t="n"/>
      <c r="X47618" s="33" t="n"/>
    </row>
    <row r="47620" ht="14.25" customHeight="1" s="192">
      <c r="W47620" s="231" t="n"/>
      <c r="X47620" s="231" t="n"/>
    </row>
    <row r="47621" ht="14.25" customHeight="1" s="192">
      <c r="W47621" s="235" t="n"/>
      <c r="X47621" s="235" t="n"/>
    </row>
    <row r="47622" ht="14.25" customHeight="1" s="192">
      <c r="W47622" s="228" t="n"/>
      <c r="X47622" s="228" t="n"/>
    </row>
    <row r="47623" ht="14.25" customHeight="1" s="192">
      <c r="W47623" s="235" t="n"/>
      <c r="X47623" s="235" t="n"/>
    </row>
    <row r="47624" ht="14.25" customHeight="1" s="192">
      <c r="W47624" s="235" t="n"/>
      <c r="X47624" s="235" t="n"/>
    </row>
    <row r="47625" ht="14.25" customHeight="1" s="192">
      <c r="W47625" s="235" t="n"/>
      <c r="X47625" s="235" t="n"/>
    </row>
    <row r="47626" ht="14.25" customHeight="1" s="192">
      <c r="W47626" s="239" t="n"/>
      <c r="X47626" s="239" t="n"/>
    </row>
    <row r="47627" ht="14.25" customHeight="1" s="192">
      <c r="W47627" s="239" t="n"/>
      <c r="X47627" s="239" t="n"/>
    </row>
    <row r="47628" ht="14.25" customHeight="1" s="192">
      <c r="W47628" s="239" t="n"/>
      <c r="X47628" s="239" t="n"/>
    </row>
    <row r="47629" ht="14.25" customHeight="1" s="192">
      <c r="W47629" s="235" t="n"/>
      <c r="X47629" s="235" t="n"/>
    </row>
    <row r="47630" ht="14.25" customHeight="1" s="192">
      <c r="W47630" s="235" t="n"/>
      <c r="X47630" s="235" t="n"/>
    </row>
    <row r="47631" ht="14.25" customHeight="1" s="192">
      <c r="W47631" s="235" t="n"/>
      <c r="X47631" s="235" t="n"/>
    </row>
    <row r="47632" ht="14.25" customHeight="1" s="192">
      <c r="W47632" s="239" t="n"/>
      <c r="X47632" s="239" t="n"/>
    </row>
    <row r="47633" ht="14.25" customHeight="1" s="192">
      <c r="W47633" s="239" t="n"/>
      <c r="X47633" s="239" t="n"/>
    </row>
    <row r="47634" ht="14.25" customHeight="1" s="192">
      <c r="W47634" s="235" t="n"/>
      <c r="X47634" s="235" t="n"/>
    </row>
    <row r="47635" ht="14.25" customHeight="1" s="192">
      <c r="W47635" s="235" t="n"/>
      <c r="X47635" s="235" t="n"/>
    </row>
    <row r="47636" ht="14.25" customHeight="1" s="192">
      <c r="W47636" s="239" t="n"/>
      <c r="X47636" s="239" t="n"/>
    </row>
    <row r="47637" ht="14.25" customHeight="1" s="192">
      <c r="W47637" s="235" t="n"/>
      <c r="X47637" s="235" t="n"/>
    </row>
    <row r="47638" ht="14.25" customHeight="1" s="192">
      <c r="W47638" s="239" t="n"/>
      <c r="X47638" s="239" t="n"/>
    </row>
    <row r="47640" ht="14.25" customHeight="1" s="192">
      <c r="W47640" s="235" t="n"/>
      <c r="X47640" s="235" t="n"/>
    </row>
    <row r="47641" ht="15" customHeight="1" s="192" thickBot="1">
      <c r="W47641" s="239" t="n"/>
      <c r="X47641" s="239" t="n"/>
    </row>
    <row r="47642" ht="15" customHeight="1" s="192" thickBot="1">
      <c r="W47642" s="45" t="n"/>
      <c r="X47642" s="45" t="n"/>
    </row>
    <row r="47643" ht="14.25" customHeight="1" s="192">
      <c r="W47643" s="228" t="n"/>
      <c r="X47643" s="228" t="n"/>
    </row>
    <row r="47644" ht="14.25" customHeight="1" s="192">
      <c r="W47644" s="228" t="n"/>
      <c r="X47644" s="228" t="n"/>
    </row>
    <row r="47645" ht="14.25" customHeight="1" s="192">
      <c r="W47645" s="231" t="n"/>
      <c r="X47645" s="231" t="n"/>
    </row>
    <row r="47646" ht="14.25" customHeight="1" s="192">
      <c r="W47646" s="33" t="n"/>
      <c r="X47646" s="33" t="n"/>
    </row>
    <row r="47647" ht="14.25" customHeight="1" s="192">
      <c r="W47647" s="231" t="n"/>
      <c r="X47647" s="231" t="n"/>
    </row>
    <row r="47648" ht="14.25" customHeight="1" s="192">
      <c r="W47648" s="33" t="n"/>
      <c r="X47648" s="33" t="n"/>
    </row>
    <row r="47650" ht="14.25" customHeight="1" s="192">
      <c r="W47650" s="231" t="n"/>
      <c r="X47650" s="231" t="n"/>
    </row>
    <row r="47651" ht="14.25" customHeight="1" s="192">
      <c r="W47651" s="235" t="n"/>
      <c r="X47651" s="235" t="n"/>
    </row>
    <row r="47652" ht="14.25" customHeight="1" s="192">
      <c r="W47652" s="228" t="n"/>
      <c r="X47652" s="228" t="n"/>
    </row>
    <row r="47653" ht="14.25" customHeight="1" s="192">
      <c r="W47653" s="235" t="n"/>
      <c r="X47653" s="235" t="n"/>
    </row>
    <row r="47654" ht="14.25" customHeight="1" s="192">
      <c r="W47654" s="235" t="n"/>
      <c r="X47654" s="235" t="n"/>
    </row>
    <row r="47655" ht="14.25" customHeight="1" s="192">
      <c r="W47655" s="235" t="n"/>
      <c r="X47655" s="235" t="n"/>
    </row>
    <row r="47656" ht="14.25" customHeight="1" s="192">
      <c r="W47656" s="239" t="n"/>
      <c r="X47656" s="239" t="n"/>
    </row>
    <row r="47657" ht="14.25" customHeight="1" s="192">
      <c r="W47657" s="239" t="n"/>
      <c r="X47657" s="239" t="n"/>
    </row>
    <row r="47658" ht="14.25" customHeight="1" s="192">
      <c r="W47658" s="239" t="n"/>
      <c r="X47658" s="239" t="n"/>
    </row>
    <row r="47659" ht="14.25" customHeight="1" s="192">
      <c r="W47659" s="235" t="n"/>
      <c r="X47659" s="235" t="n"/>
    </row>
    <row r="47660" ht="14.25" customHeight="1" s="192">
      <c r="W47660" s="235" t="n"/>
      <c r="X47660" s="235" t="n"/>
    </row>
    <row r="47661" ht="14.25" customHeight="1" s="192">
      <c r="W47661" s="235" t="n"/>
      <c r="X47661" s="235" t="n"/>
    </row>
    <row r="47662" ht="14.25" customHeight="1" s="192">
      <c r="W47662" s="239" t="n"/>
      <c r="X47662" s="239" t="n"/>
    </row>
    <row r="47663" ht="14.25" customHeight="1" s="192">
      <c r="W47663" s="239" t="n"/>
      <c r="X47663" s="239" t="n"/>
    </row>
    <row r="47664" ht="14.25" customHeight="1" s="192">
      <c r="W47664" s="235" t="n"/>
      <c r="X47664" s="235" t="n"/>
    </row>
    <row r="47665" ht="14.25" customHeight="1" s="192">
      <c r="W47665" s="235" t="n"/>
      <c r="X47665" s="235" t="n"/>
    </row>
    <row r="47666" ht="14.25" customHeight="1" s="192">
      <c r="W47666" s="239" t="n"/>
      <c r="X47666" s="239" t="n"/>
    </row>
    <row r="47667" ht="14.25" customHeight="1" s="192">
      <c r="W47667" s="235" t="n"/>
      <c r="X47667" s="235" t="n"/>
    </row>
    <row r="47668" ht="14.25" customHeight="1" s="192">
      <c r="W47668" s="239" t="n"/>
      <c r="X47668" s="239" t="n"/>
    </row>
    <row r="47670" ht="14.25" customHeight="1" s="192">
      <c r="W47670" s="235" t="n"/>
      <c r="X47670" s="235" t="n"/>
    </row>
    <row r="47671" ht="15" customHeight="1" s="192" thickBot="1">
      <c r="W47671" s="239" t="n"/>
      <c r="X47671" s="239" t="n"/>
    </row>
    <row r="47672" ht="15" customHeight="1" s="192" thickBot="1">
      <c r="W47672" s="45" t="n"/>
      <c r="X47672" s="45" t="n"/>
    </row>
    <row r="47673" ht="14.25" customHeight="1" s="192">
      <c r="W47673" s="228" t="n"/>
      <c r="X47673" s="228" t="n"/>
    </row>
    <row r="47674" ht="14.25" customHeight="1" s="192">
      <c r="W47674" s="228" t="n"/>
      <c r="X47674" s="228" t="n"/>
    </row>
    <row r="47675" ht="14.25" customHeight="1" s="192">
      <c r="W47675" s="231" t="n"/>
      <c r="X47675" s="231" t="n"/>
    </row>
    <row r="47676" ht="14.25" customHeight="1" s="192">
      <c r="W47676" s="33" t="n"/>
      <c r="X47676" s="33" t="n"/>
    </row>
    <row r="47677" ht="14.25" customHeight="1" s="192">
      <c r="W47677" s="231" t="n"/>
      <c r="X47677" s="231" t="n"/>
    </row>
    <row r="47678" ht="14.25" customHeight="1" s="192">
      <c r="W47678" s="33" t="n"/>
      <c r="X47678" s="33" t="n"/>
    </row>
    <row r="47680" ht="14.25" customHeight="1" s="192">
      <c r="W47680" s="231" t="n"/>
      <c r="X47680" s="231" t="n"/>
    </row>
    <row r="47681" ht="14.25" customHeight="1" s="192">
      <c r="W47681" s="235" t="n"/>
      <c r="X47681" s="235" t="n"/>
    </row>
    <row r="47682" ht="14.25" customHeight="1" s="192">
      <c r="W47682" s="228" t="n"/>
      <c r="X47682" s="228" t="n"/>
    </row>
    <row r="47683" ht="14.25" customHeight="1" s="192">
      <c r="W47683" s="235" t="n"/>
      <c r="X47683" s="235" t="n"/>
    </row>
    <row r="47684" ht="14.25" customHeight="1" s="192">
      <c r="W47684" s="235" t="n"/>
      <c r="X47684" s="235" t="n"/>
    </row>
    <row r="47685" ht="14.25" customHeight="1" s="192">
      <c r="W47685" s="235" t="n"/>
      <c r="X47685" s="235" t="n"/>
    </row>
    <row r="47686" ht="14.25" customHeight="1" s="192">
      <c r="W47686" s="239" t="n"/>
      <c r="X47686" s="239" t="n"/>
    </row>
    <row r="47687" ht="14.25" customHeight="1" s="192">
      <c r="W47687" s="239" t="n"/>
      <c r="X47687" s="239" t="n"/>
    </row>
    <row r="47688" ht="14.25" customHeight="1" s="192">
      <c r="W47688" s="239" t="n"/>
      <c r="X47688" s="239" t="n"/>
    </row>
    <row r="47689" ht="14.25" customHeight="1" s="192">
      <c r="W47689" s="235" t="n"/>
      <c r="X47689" s="235" t="n"/>
    </row>
    <row r="47690" ht="14.25" customHeight="1" s="192">
      <c r="W47690" s="235" t="n"/>
      <c r="X47690" s="235" t="n"/>
    </row>
    <row r="47691" ht="14.25" customHeight="1" s="192">
      <c r="W47691" s="235" t="n"/>
      <c r="X47691" s="235" t="n"/>
    </row>
    <row r="47692" ht="14.25" customHeight="1" s="192">
      <c r="W47692" s="239" t="n"/>
      <c r="X47692" s="239" t="n"/>
    </row>
    <row r="47693" ht="14.25" customHeight="1" s="192">
      <c r="W47693" s="239" t="n"/>
      <c r="X47693" s="239" t="n"/>
    </row>
    <row r="47694" ht="14.25" customHeight="1" s="192">
      <c r="W47694" s="235" t="n"/>
      <c r="X47694" s="235" t="n"/>
    </row>
    <row r="47695" ht="14.25" customHeight="1" s="192">
      <c r="W47695" s="235" t="n"/>
      <c r="X47695" s="235" t="n"/>
    </row>
    <row r="47696" ht="14.25" customHeight="1" s="192">
      <c r="W47696" s="239" t="n"/>
      <c r="X47696" s="239" t="n"/>
    </row>
    <row r="47697" ht="14.25" customHeight="1" s="192">
      <c r="W47697" s="235" t="n"/>
      <c r="X47697" s="235" t="n"/>
    </row>
    <row r="47698" ht="14.25" customHeight="1" s="192">
      <c r="W47698" s="239" t="n"/>
      <c r="X47698" s="239" t="n"/>
    </row>
    <row r="47700" ht="14.25" customHeight="1" s="192">
      <c r="W47700" s="235" t="n"/>
      <c r="X47700" s="235" t="n"/>
    </row>
    <row r="47701" ht="15" customHeight="1" s="192" thickBot="1">
      <c r="W47701" s="239" t="n"/>
      <c r="X47701" s="239" t="n"/>
    </row>
    <row r="47702" ht="15" customHeight="1" s="192" thickBot="1">
      <c r="W47702" s="45" t="n"/>
      <c r="X47702" s="45" t="n"/>
    </row>
    <row r="47703" ht="14.25" customHeight="1" s="192">
      <c r="W47703" s="228" t="n"/>
      <c r="X47703" s="228" t="n"/>
    </row>
    <row r="47704" ht="14.25" customHeight="1" s="192">
      <c r="W47704" s="228" t="n"/>
      <c r="X47704" s="228" t="n"/>
    </row>
    <row r="47705" ht="14.25" customHeight="1" s="192">
      <c r="W47705" s="231" t="n"/>
      <c r="X47705" s="231" t="n"/>
    </row>
    <row r="47706" ht="14.25" customHeight="1" s="192">
      <c r="W47706" s="33" t="n"/>
      <c r="X47706" s="33" t="n"/>
    </row>
    <row r="47707" ht="14.25" customHeight="1" s="192">
      <c r="W47707" s="231" t="n"/>
      <c r="X47707" s="231" t="n"/>
    </row>
    <row r="47708" ht="14.25" customHeight="1" s="192">
      <c r="W47708" s="33" t="n"/>
      <c r="X47708" s="33" t="n"/>
    </row>
    <row r="47710" ht="14.25" customHeight="1" s="192">
      <c r="W47710" s="231" t="n"/>
      <c r="X47710" s="231" t="n"/>
    </row>
    <row r="47711" ht="14.25" customHeight="1" s="192">
      <c r="W47711" s="235" t="n"/>
      <c r="X47711" s="235" t="n"/>
    </row>
    <row r="47712" ht="14.25" customHeight="1" s="192">
      <c r="W47712" s="228" t="n"/>
      <c r="X47712" s="228" t="n"/>
    </row>
    <row r="47713" ht="14.25" customHeight="1" s="192">
      <c r="W47713" s="235" t="n"/>
      <c r="X47713" s="235" t="n"/>
    </row>
    <row r="47714" ht="14.25" customHeight="1" s="192">
      <c r="W47714" s="235" t="n"/>
      <c r="X47714" s="235" t="n"/>
    </row>
    <row r="47715" ht="14.25" customHeight="1" s="192">
      <c r="W47715" s="235" t="n"/>
      <c r="X47715" s="235" t="n"/>
    </row>
    <row r="47716" ht="14.25" customHeight="1" s="192">
      <c r="W47716" s="239" t="n"/>
      <c r="X47716" s="239" t="n"/>
    </row>
    <row r="47717" ht="14.25" customHeight="1" s="192">
      <c r="W47717" s="239" t="n"/>
      <c r="X47717" s="239" t="n"/>
    </row>
    <row r="47718" ht="14.25" customHeight="1" s="192">
      <c r="W47718" s="239" t="n"/>
      <c r="X47718" s="239" t="n"/>
    </row>
    <row r="47719" ht="14.25" customHeight="1" s="192">
      <c r="W47719" s="235" t="n"/>
      <c r="X47719" s="235" t="n"/>
    </row>
    <row r="47720" ht="14.25" customHeight="1" s="192">
      <c r="W47720" s="235" t="n"/>
      <c r="X47720" s="235" t="n"/>
    </row>
    <row r="47721" ht="14.25" customHeight="1" s="192">
      <c r="W47721" s="235" t="n"/>
      <c r="X47721" s="235" t="n"/>
    </row>
    <row r="47722" ht="14.25" customHeight="1" s="192">
      <c r="W47722" s="239" t="n"/>
      <c r="X47722" s="239" t="n"/>
    </row>
    <row r="47723" ht="14.25" customHeight="1" s="192">
      <c r="W47723" s="239" t="n"/>
      <c r="X47723" s="239" t="n"/>
    </row>
    <row r="47724" ht="14.25" customHeight="1" s="192">
      <c r="W47724" s="235" t="n"/>
      <c r="X47724" s="235" t="n"/>
    </row>
    <row r="47725" ht="14.25" customHeight="1" s="192">
      <c r="W47725" s="235" t="n"/>
      <c r="X47725" s="235" t="n"/>
    </row>
    <row r="47726" ht="14.25" customHeight="1" s="192">
      <c r="W47726" s="239" t="n"/>
      <c r="X47726" s="239" t="n"/>
    </row>
    <row r="47727" ht="14.25" customHeight="1" s="192">
      <c r="W47727" s="235" t="n"/>
      <c r="X47727" s="235" t="n"/>
    </row>
    <row r="47728" ht="14.25" customHeight="1" s="192">
      <c r="W47728" s="239" t="n"/>
      <c r="X47728" s="239" t="n"/>
    </row>
    <row r="47730" ht="14.25" customHeight="1" s="192">
      <c r="W47730" s="235" t="n"/>
      <c r="X47730" s="235" t="n"/>
    </row>
    <row r="47731" ht="15" customHeight="1" s="192" thickBot="1">
      <c r="W47731" s="239" t="n"/>
      <c r="X47731" s="239" t="n"/>
    </row>
    <row r="47732" ht="15" customHeight="1" s="192" thickBot="1">
      <c r="W47732" s="45" t="n"/>
      <c r="X47732" s="45" t="n"/>
    </row>
    <row r="47733" ht="14.25" customHeight="1" s="192">
      <c r="W47733" s="228" t="n"/>
      <c r="X47733" s="228" t="n"/>
    </row>
    <row r="47734" ht="14.25" customHeight="1" s="192">
      <c r="W47734" s="228" t="n"/>
      <c r="X47734" s="228" t="n"/>
    </row>
    <row r="47735" ht="14.25" customHeight="1" s="192">
      <c r="W47735" s="231" t="n"/>
      <c r="X47735" s="231" t="n"/>
    </row>
    <row r="47736" ht="14.25" customHeight="1" s="192">
      <c r="W47736" s="33" t="n"/>
      <c r="X47736" s="33" t="n"/>
    </row>
    <row r="47737" ht="14.25" customHeight="1" s="192">
      <c r="W47737" s="231" t="n"/>
      <c r="X47737" s="231" t="n"/>
    </row>
    <row r="47738" ht="14.25" customHeight="1" s="192">
      <c r="W47738" s="33" t="n"/>
      <c r="X47738" s="33" t="n"/>
    </row>
    <row r="47740" ht="14.25" customHeight="1" s="192">
      <c r="W47740" s="231" t="n"/>
      <c r="X47740" s="231" t="n"/>
    </row>
    <row r="47741" ht="14.25" customHeight="1" s="192">
      <c r="W47741" s="235" t="n"/>
      <c r="X47741" s="235" t="n"/>
    </row>
    <row r="47742" ht="14.25" customHeight="1" s="192">
      <c r="W47742" s="228" t="n"/>
      <c r="X47742" s="228" t="n"/>
    </row>
    <row r="47743" ht="14.25" customHeight="1" s="192">
      <c r="W47743" s="235" t="n"/>
      <c r="X47743" s="235" t="n"/>
    </row>
    <row r="47744" ht="14.25" customHeight="1" s="192">
      <c r="W47744" s="235" t="n"/>
      <c r="X47744" s="235" t="n"/>
    </row>
    <row r="47745" ht="14.25" customHeight="1" s="192">
      <c r="W47745" s="235" t="n"/>
      <c r="X47745" s="235" t="n"/>
    </row>
    <row r="47746" ht="14.25" customHeight="1" s="192">
      <c r="W47746" s="239" t="n"/>
      <c r="X47746" s="239" t="n"/>
    </row>
    <row r="47747" ht="14.25" customHeight="1" s="192">
      <c r="W47747" s="239" t="n"/>
      <c r="X47747" s="239" t="n"/>
    </row>
    <row r="47748" ht="14.25" customHeight="1" s="192">
      <c r="W47748" s="239" t="n"/>
      <c r="X47748" s="239" t="n"/>
    </row>
    <row r="47749" ht="14.25" customHeight="1" s="192">
      <c r="W47749" s="235" t="n"/>
      <c r="X47749" s="235" t="n"/>
    </row>
    <row r="47750" ht="14.25" customHeight="1" s="192">
      <c r="W47750" s="235" t="n"/>
      <c r="X47750" s="235" t="n"/>
    </row>
    <row r="47751" ht="14.25" customHeight="1" s="192">
      <c r="W47751" s="235" t="n"/>
      <c r="X47751" s="235" t="n"/>
    </row>
    <row r="47752" ht="14.25" customHeight="1" s="192">
      <c r="W47752" s="239" t="n"/>
      <c r="X47752" s="239" t="n"/>
    </row>
    <row r="47753" ht="14.25" customHeight="1" s="192">
      <c r="W47753" s="239" t="n"/>
      <c r="X47753" s="239" t="n"/>
    </row>
    <row r="47754" ht="14.25" customHeight="1" s="192">
      <c r="W47754" s="235" t="n"/>
      <c r="X47754" s="235" t="n"/>
    </row>
    <row r="47755" ht="14.25" customHeight="1" s="192">
      <c r="W47755" s="235" t="n"/>
      <c r="X47755" s="235" t="n"/>
    </row>
    <row r="47756" ht="14.25" customHeight="1" s="192">
      <c r="W47756" s="239" t="n"/>
      <c r="X47756" s="239" t="n"/>
    </row>
    <row r="47757" ht="14.25" customHeight="1" s="192">
      <c r="W47757" s="235" t="n"/>
      <c r="X47757" s="235" t="n"/>
    </row>
    <row r="47758" ht="14.25" customHeight="1" s="192">
      <c r="W47758" s="239" t="n"/>
      <c r="X47758" s="239" t="n"/>
    </row>
    <row r="47760" ht="14.25" customHeight="1" s="192">
      <c r="W47760" s="235" t="n"/>
      <c r="X47760" s="235" t="n"/>
    </row>
    <row r="47761" ht="15" customHeight="1" s="192" thickBot="1">
      <c r="W47761" s="239" t="n"/>
      <c r="X47761" s="239" t="n"/>
    </row>
    <row r="47762" ht="15" customHeight="1" s="192" thickBot="1">
      <c r="W47762" s="45" t="n"/>
      <c r="X47762" s="45" t="n"/>
    </row>
    <row r="47763" ht="14.25" customHeight="1" s="192">
      <c r="W47763" s="228" t="n"/>
      <c r="X47763" s="228" t="n"/>
    </row>
    <row r="47764" ht="14.25" customHeight="1" s="192">
      <c r="W47764" s="228" t="n"/>
      <c r="X47764" s="228" t="n"/>
    </row>
    <row r="47765" ht="14.25" customHeight="1" s="192">
      <c r="W47765" s="231" t="n"/>
      <c r="X47765" s="231" t="n"/>
    </row>
    <row r="47766" ht="14.25" customHeight="1" s="192">
      <c r="W47766" s="33" t="n"/>
      <c r="X47766" s="33" t="n"/>
    </row>
    <row r="47767" ht="14.25" customHeight="1" s="192">
      <c r="W47767" s="231" t="n"/>
      <c r="X47767" s="231" t="n"/>
    </row>
    <row r="47768" ht="14.25" customHeight="1" s="192">
      <c r="W47768" s="33" t="n"/>
      <c r="X47768" s="33" t="n"/>
    </row>
    <row r="47770" ht="14.25" customHeight="1" s="192">
      <c r="W47770" s="231" t="n"/>
      <c r="X47770" s="231" t="n"/>
    </row>
    <row r="47771" ht="14.25" customHeight="1" s="192">
      <c r="W47771" s="235" t="n"/>
      <c r="X47771" s="235" t="n"/>
    </row>
    <row r="47772" ht="14.25" customHeight="1" s="192">
      <c r="W47772" s="228" t="n"/>
      <c r="X47772" s="228" t="n"/>
    </row>
    <row r="47773" ht="14.25" customHeight="1" s="192">
      <c r="W47773" s="235" t="n"/>
      <c r="X47773" s="235" t="n"/>
    </row>
    <row r="47774" ht="14.25" customHeight="1" s="192">
      <c r="W47774" s="235" t="n"/>
      <c r="X47774" s="235" t="n"/>
    </row>
    <row r="47775" ht="14.25" customHeight="1" s="192">
      <c r="W47775" s="235" t="n"/>
      <c r="X47775" s="235" t="n"/>
    </row>
    <row r="47776" ht="14.25" customHeight="1" s="192">
      <c r="W47776" s="239" t="n"/>
      <c r="X47776" s="239" t="n"/>
    </row>
    <row r="47777" ht="14.25" customHeight="1" s="192">
      <c r="W47777" s="239" t="n"/>
      <c r="X47777" s="239" t="n"/>
    </row>
    <row r="47778" ht="14.25" customHeight="1" s="192">
      <c r="W47778" s="239" t="n"/>
      <c r="X47778" s="239" t="n"/>
    </row>
    <row r="47779" ht="14.25" customHeight="1" s="192">
      <c r="W47779" s="235" t="n"/>
      <c r="X47779" s="235" t="n"/>
    </row>
    <row r="47780" ht="14.25" customHeight="1" s="192">
      <c r="W47780" s="235" t="n"/>
      <c r="X47780" s="235" t="n"/>
    </row>
    <row r="47781" ht="14.25" customHeight="1" s="192">
      <c r="W47781" s="235" t="n"/>
      <c r="X47781" s="235" t="n"/>
    </row>
    <row r="47782" ht="14.25" customHeight="1" s="192">
      <c r="W47782" s="239" t="n"/>
      <c r="X47782" s="239" t="n"/>
    </row>
    <row r="47783" ht="14.25" customHeight="1" s="192">
      <c r="W47783" s="239" t="n"/>
      <c r="X47783" s="239" t="n"/>
    </row>
    <row r="47784" ht="14.25" customHeight="1" s="192">
      <c r="W47784" s="235" t="n"/>
      <c r="X47784" s="235" t="n"/>
    </row>
    <row r="47785" ht="14.25" customHeight="1" s="192">
      <c r="W47785" s="235" t="n"/>
      <c r="X47785" s="235" t="n"/>
    </row>
    <row r="47786" ht="14.25" customHeight="1" s="192">
      <c r="W47786" s="239" t="n"/>
      <c r="X47786" s="239" t="n"/>
    </row>
    <row r="47787" ht="14.25" customHeight="1" s="192">
      <c r="W47787" s="235" t="n"/>
      <c r="X47787" s="235" t="n"/>
    </row>
    <row r="47788" ht="14.25" customHeight="1" s="192">
      <c r="W47788" s="239" t="n"/>
      <c r="X47788" s="239" t="n"/>
    </row>
    <row r="47790" ht="14.25" customHeight="1" s="192">
      <c r="W47790" s="235" t="n"/>
      <c r="X47790" s="235" t="n"/>
    </row>
    <row r="47791" ht="15" customHeight="1" s="192" thickBot="1">
      <c r="W47791" s="239" t="n"/>
      <c r="X47791" s="239" t="n"/>
    </row>
    <row r="47792" ht="15" customHeight="1" s="192" thickBot="1">
      <c r="W47792" s="45" t="n"/>
      <c r="X47792" s="45" t="n"/>
    </row>
    <row r="47793" ht="14.25" customHeight="1" s="192">
      <c r="W47793" s="228" t="n"/>
      <c r="X47793" s="228" t="n"/>
    </row>
    <row r="47794" ht="14.25" customHeight="1" s="192">
      <c r="W47794" s="228" t="n"/>
      <c r="X47794" s="228" t="n"/>
    </row>
    <row r="47795" ht="14.25" customHeight="1" s="192">
      <c r="W47795" s="231" t="n"/>
      <c r="X47795" s="231" t="n"/>
    </row>
    <row r="47796" ht="14.25" customHeight="1" s="192">
      <c r="W47796" s="33" t="n"/>
      <c r="X47796" s="33" t="n"/>
    </row>
    <row r="47797" ht="14.25" customHeight="1" s="192">
      <c r="W47797" s="231" t="n"/>
      <c r="X47797" s="231" t="n"/>
    </row>
    <row r="47798" ht="14.25" customHeight="1" s="192">
      <c r="W47798" s="33" t="n"/>
      <c r="X47798" s="33" t="n"/>
    </row>
    <row r="47800" ht="14.25" customHeight="1" s="192">
      <c r="W47800" s="231" t="n"/>
      <c r="X47800" s="231" t="n"/>
    </row>
    <row r="47801" ht="14.25" customHeight="1" s="192">
      <c r="W47801" s="235" t="n"/>
      <c r="X47801" s="235" t="n"/>
    </row>
    <row r="47802" ht="14.25" customHeight="1" s="192">
      <c r="W47802" s="228" t="n"/>
      <c r="X47802" s="228" t="n"/>
    </row>
    <row r="47803" ht="14.25" customHeight="1" s="192">
      <c r="W47803" s="235" t="n"/>
      <c r="X47803" s="235" t="n"/>
    </row>
    <row r="47804" ht="14.25" customHeight="1" s="192">
      <c r="W47804" s="235" t="n"/>
      <c r="X47804" s="235" t="n"/>
    </row>
    <row r="47805" ht="14.25" customHeight="1" s="192">
      <c r="W47805" s="235" t="n"/>
      <c r="X47805" s="235" t="n"/>
    </row>
    <row r="47806" ht="14.25" customHeight="1" s="192">
      <c r="W47806" s="239" t="n"/>
      <c r="X47806" s="239" t="n"/>
    </row>
    <row r="47807" ht="14.25" customHeight="1" s="192">
      <c r="W47807" s="239" t="n"/>
      <c r="X47807" s="239" t="n"/>
    </row>
    <row r="47808" ht="14.25" customHeight="1" s="192">
      <c r="W47808" s="239" t="n"/>
      <c r="X47808" s="239" t="n"/>
    </row>
    <row r="47809" ht="14.25" customHeight="1" s="192">
      <c r="W47809" s="235" t="n"/>
      <c r="X47809" s="235" t="n"/>
    </row>
    <row r="47810" ht="14.25" customHeight="1" s="192">
      <c r="W47810" s="235" t="n"/>
      <c r="X47810" s="235" t="n"/>
    </row>
    <row r="47811" ht="14.25" customHeight="1" s="192">
      <c r="W47811" s="235" t="n"/>
      <c r="X47811" s="235" t="n"/>
    </row>
    <row r="47812" ht="14.25" customHeight="1" s="192">
      <c r="W47812" s="239" t="n"/>
      <c r="X47812" s="239" t="n"/>
    </row>
    <row r="47813" ht="14.25" customHeight="1" s="192">
      <c r="W47813" s="239" t="n"/>
      <c r="X47813" s="239" t="n"/>
    </row>
    <row r="47814" ht="14.25" customHeight="1" s="192">
      <c r="W47814" s="235" t="n"/>
      <c r="X47814" s="235" t="n"/>
    </row>
    <row r="47815" ht="14.25" customHeight="1" s="192">
      <c r="W47815" s="235" t="n"/>
      <c r="X47815" s="235" t="n"/>
    </row>
    <row r="47816" ht="14.25" customHeight="1" s="192">
      <c r="W47816" s="239" t="n"/>
      <c r="X47816" s="239" t="n"/>
    </row>
    <row r="47817" ht="14.25" customHeight="1" s="192">
      <c r="W47817" s="235" t="n"/>
      <c r="X47817" s="235" t="n"/>
    </row>
    <row r="47818" ht="14.25" customHeight="1" s="192">
      <c r="W47818" s="239" t="n"/>
      <c r="X47818" s="239" t="n"/>
    </row>
    <row r="47820" ht="14.25" customHeight="1" s="192">
      <c r="W47820" s="235" t="n"/>
      <c r="X47820" s="235" t="n"/>
    </row>
    <row r="47821" ht="15" customHeight="1" s="192" thickBot="1">
      <c r="W47821" s="239" t="n"/>
      <c r="X47821" s="239" t="n"/>
    </row>
    <row r="47822" ht="15" customHeight="1" s="192" thickBot="1">
      <c r="W47822" s="45" t="n"/>
      <c r="X47822" s="45" t="n"/>
    </row>
    <row r="47823" ht="14.25" customHeight="1" s="192">
      <c r="W47823" s="228" t="n"/>
      <c r="X47823" s="228" t="n"/>
    </row>
    <row r="47824" ht="14.25" customHeight="1" s="192">
      <c r="W47824" s="228" t="n"/>
      <c r="X47824" s="228" t="n"/>
    </row>
    <row r="47825" ht="14.25" customHeight="1" s="192">
      <c r="W47825" s="231" t="n"/>
      <c r="X47825" s="231" t="n"/>
    </row>
    <row r="47826" ht="14.25" customHeight="1" s="192">
      <c r="W47826" s="33" t="n"/>
      <c r="X47826" s="33" t="n"/>
    </row>
    <row r="47827" ht="14.25" customHeight="1" s="192">
      <c r="W47827" s="231" t="n"/>
      <c r="X47827" s="231" t="n"/>
    </row>
    <row r="47828" ht="14.25" customHeight="1" s="192">
      <c r="W47828" s="33" t="n"/>
      <c r="X47828" s="33" t="n"/>
    </row>
    <row r="47830" ht="14.25" customHeight="1" s="192">
      <c r="W47830" s="231" t="n"/>
      <c r="X47830" s="231" t="n"/>
    </row>
    <row r="47831" ht="14.25" customHeight="1" s="192">
      <c r="W47831" s="235" t="n"/>
      <c r="X47831" s="235" t="n"/>
    </row>
    <row r="47832" ht="14.25" customHeight="1" s="192">
      <c r="W47832" s="228" t="n"/>
      <c r="X47832" s="228" t="n"/>
    </row>
    <row r="47833" ht="14.25" customHeight="1" s="192">
      <c r="W47833" s="235" t="n"/>
      <c r="X47833" s="235" t="n"/>
    </row>
    <row r="47834" ht="14.25" customHeight="1" s="192">
      <c r="W47834" s="235" t="n"/>
      <c r="X47834" s="235" t="n"/>
    </row>
    <row r="47835" ht="14.25" customHeight="1" s="192">
      <c r="W47835" s="235" t="n"/>
      <c r="X47835" s="235" t="n"/>
    </row>
    <row r="47836" ht="14.25" customHeight="1" s="192">
      <c r="W47836" s="239" t="n"/>
      <c r="X47836" s="239" t="n"/>
    </row>
    <row r="47837" ht="14.25" customHeight="1" s="192">
      <c r="W47837" s="239" t="n"/>
      <c r="X47837" s="239" t="n"/>
    </row>
    <row r="47838" ht="14.25" customHeight="1" s="192">
      <c r="W47838" s="239" t="n"/>
      <c r="X47838" s="239" t="n"/>
    </row>
    <row r="47839" ht="14.25" customHeight="1" s="192">
      <c r="W47839" s="235" t="n"/>
      <c r="X47839" s="235" t="n"/>
    </row>
    <row r="47840" ht="14.25" customHeight="1" s="192">
      <c r="W47840" s="235" t="n"/>
      <c r="X47840" s="235" t="n"/>
    </row>
    <row r="47841" ht="14.25" customHeight="1" s="192">
      <c r="W47841" s="235" t="n"/>
      <c r="X47841" s="235" t="n"/>
    </row>
    <row r="47842" ht="14.25" customHeight="1" s="192">
      <c r="W47842" s="239" t="n"/>
      <c r="X47842" s="239" t="n"/>
    </row>
    <row r="47843" ht="14.25" customHeight="1" s="192">
      <c r="W47843" s="239" t="n"/>
      <c r="X47843" s="239" t="n"/>
    </row>
    <row r="47844" ht="14.25" customHeight="1" s="192">
      <c r="W47844" s="235" t="n"/>
      <c r="X47844" s="235" t="n"/>
    </row>
    <row r="47845" ht="14.25" customHeight="1" s="192">
      <c r="W47845" s="235" t="n"/>
      <c r="X47845" s="235" t="n"/>
    </row>
    <row r="47846" ht="14.25" customHeight="1" s="192">
      <c r="W47846" s="239" t="n"/>
      <c r="X47846" s="239" t="n"/>
    </row>
    <row r="47847" ht="14.25" customHeight="1" s="192">
      <c r="W47847" s="235" t="n"/>
      <c r="X47847" s="235" t="n"/>
    </row>
    <row r="47848" ht="14.25" customHeight="1" s="192">
      <c r="W47848" s="239" t="n"/>
      <c r="X47848" s="239" t="n"/>
    </row>
    <row r="47850" ht="14.25" customHeight="1" s="192">
      <c r="W47850" s="235" t="n"/>
      <c r="X47850" s="235" t="n"/>
    </row>
    <row r="47851" ht="15" customHeight="1" s="192" thickBot="1">
      <c r="W47851" s="239" t="n"/>
      <c r="X47851" s="239" t="n"/>
    </row>
    <row r="47852" ht="15" customHeight="1" s="192" thickBot="1">
      <c r="W47852" s="45" t="n"/>
      <c r="X47852" s="45" t="n"/>
    </row>
    <row r="47853" ht="14.25" customHeight="1" s="192">
      <c r="W47853" s="228" t="n"/>
      <c r="X47853" s="228" t="n"/>
    </row>
    <row r="47854" ht="14.25" customHeight="1" s="192">
      <c r="W47854" s="228" t="n"/>
      <c r="X47854" s="228" t="n"/>
    </row>
    <row r="47855" ht="14.25" customHeight="1" s="192">
      <c r="W47855" s="231" t="n"/>
      <c r="X47855" s="231" t="n"/>
    </row>
    <row r="47856" ht="14.25" customHeight="1" s="192">
      <c r="W47856" s="33" t="n"/>
      <c r="X47856" s="33" t="n"/>
    </row>
    <row r="47857" ht="14.25" customHeight="1" s="192">
      <c r="W47857" s="231" t="n"/>
      <c r="X47857" s="231" t="n"/>
    </row>
    <row r="47858" ht="14.25" customHeight="1" s="192">
      <c r="W47858" s="33" t="n"/>
      <c r="X47858" s="33" t="n"/>
    </row>
    <row r="47860" ht="14.25" customHeight="1" s="192">
      <c r="W47860" s="231" t="n"/>
      <c r="X47860" s="231" t="n"/>
    </row>
    <row r="47861" ht="14.25" customHeight="1" s="192">
      <c r="W47861" s="235" t="n"/>
      <c r="X47861" s="235" t="n"/>
    </row>
    <row r="47862" ht="14.25" customHeight="1" s="192">
      <c r="W47862" s="228" t="n"/>
      <c r="X47862" s="228" t="n"/>
    </row>
    <row r="47863" ht="14.25" customHeight="1" s="192">
      <c r="W47863" s="235" t="n"/>
      <c r="X47863" s="235" t="n"/>
    </row>
    <row r="47864" ht="14.25" customHeight="1" s="192">
      <c r="W47864" s="235" t="n"/>
      <c r="X47864" s="235" t="n"/>
    </row>
    <row r="47865" ht="14.25" customHeight="1" s="192">
      <c r="W47865" s="235" t="n"/>
      <c r="X47865" s="235" t="n"/>
    </row>
    <row r="47866" ht="14.25" customHeight="1" s="192">
      <c r="W47866" s="239" t="n"/>
      <c r="X47866" s="239" t="n"/>
    </row>
    <row r="47867" ht="14.25" customHeight="1" s="192">
      <c r="W47867" s="239" t="n"/>
      <c r="X47867" s="239" t="n"/>
    </row>
    <row r="47868" ht="14.25" customHeight="1" s="192">
      <c r="W47868" s="239" t="n"/>
      <c r="X47868" s="239" t="n"/>
    </row>
    <row r="47869" ht="14.25" customHeight="1" s="192">
      <c r="W47869" s="235" t="n"/>
      <c r="X47869" s="235" t="n"/>
    </row>
    <row r="47870" ht="14.25" customHeight="1" s="192">
      <c r="W47870" s="235" t="n"/>
      <c r="X47870" s="235" t="n"/>
    </row>
    <row r="47871" ht="14.25" customHeight="1" s="192">
      <c r="W47871" s="235" t="n"/>
      <c r="X47871" s="235" t="n"/>
    </row>
    <row r="47872" ht="14.25" customHeight="1" s="192">
      <c r="W47872" s="239" t="n"/>
      <c r="X47872" s="239" t="n"/>
    </row>
    <row r="47873" ht="14.25" customHeight="1" s="192">
      <c r="W47873" s="239" t="n"/>
      <c r="X47873" s="239" t="n"/>
    </row>
    <row r="47874" ht="14.25" customHeight="1" s="192">
      <c r="W47874" s="235" t="n"/>
      <c r="X47874" s="235" t="n"/>
    </row>
    <row r="47875" ht="14.25" customHeight="1" s="192">
      <c r="W47875" s="235" t="n"/>
      <c r="X47875" s="235" t="n"/>
    </row>
    <row r="47876" ht="14.25" customHeight="1" s="192">
      <c r="W47876" s="239" t="n"/>
      <c r="X47876" s="239" t="n"/>
    </row>
    <row r="47877" ht="14.25" customHeight="1" s="192">
      <c r="W47877" s="235" t="n"/>
      <c r="X47877" s="235" t="n"/>
    </row>
    <row r="47878" ht="14.25" customHeight="1" s="192">
      <c r="W47878" s="239" t="n"/>
      <c r="X47878" s="239" t="n"/>
    </row>
    <row r="47880" ht="14.25" customHeight="1" s="192">
      <c r="W47880" s="235" t="n"/>
      <c r="X47880" s="235" t="n"/>
    </row>
    <row r="47881" ht="15" customHeight="1" s="192" thickBot="1">
      <c r="W47881" s="239" t="n"/>
      <c r="X47881" s="239" t="n"/>
    </row>
    <row r="47882" ht="15" customHeight="1" s="192" thickBot="1">
      <c r="W47882" s="45" t="n"/>
      <c r="X47882" s="45" t="n"/>
    </row>
    <row r="47883" ht="14.25" customHeight="1" s="192">
      <c r="W47883" s="228" t="n"/>
      <c r="X47883" s="228" t="n"/>
    </row>
    <row r="47884" ht="14.25" customHeight="1" s="192">
      <c r="W47884" s="228" t="n"/>
      <c r="X47884" s="228" t="n"/>
    </row>
    <row r="47885" ht="14.25" customHeight="1" s="192">
      <c r="W47885" s="231" t="n"/>
      <c r="X47885" s="231" t="n"/>
    </row>
    <row r="47886" ht="14.25" customHeight="1" s="192">
      <c r="W47886" s="33" t="n"/>
      <c r="X47886" s="33" t="n"/>
    </row>
    <row r="47887" ht="14.25" customHeight="1" s="192">
      <c r="W47887" s="231" t="n"/>
      <c r="X47887" s="231" t="n"/>
    </row>
    <row r="47888" ht="14.25" customHeight="1" s="192">
      <c r="W47888" s="33" t="n"/>
      <c r="X47888" s="33" t="n"/>
    </row>
    <row r="47890" ht="14.25" customHeight="1" s="192">
      <c r="W47890" s="231" t="n"/>
      <c r="X47890" s="231" t="n"/>
    </row>
    <row r="47891" ht="14.25" customHeight="1" s="192">
      <c r="W47891" s="235" t="n"/>
      <c r="X47891" s="235" t="n"/>
    </row>
    <row r="47892" ht="14.25" customHeight="1" s="192">
      <c r="W47892" s="228" t="n"/>
      <c r="X47892" s="228" t="n"/>
    </row>
    <row r="47893" ht="14.25" customHeight="1" s="192">
      <c r="W47893" s="235" t="n"/>
      <c r="X47893" s="235" t="n"/>
    </row>
    <row r="47894" ht="14.25" customHeight="1" s="192">
      <c r="W47894" s="235" t="n"/>
      <c r="X47894" s="235" t="n"/>
    </row>
    <row r="47895" ht="14.25" customHeight="1" s="192">
      <c r="W47895" s="235" t="n"/>
      <c r="X47895" s="235" t="n"/>
    </row>
    <row r="47896" ht="14.25" customHeight="1" s="192">
      <c r="W47896" s="239" t="n"/>
      <c r="X47896" s="239" t="n"/>
    </row>
    <row r="47897" ht="14.25" customHeight="1" s="192">
      <c r="W47897" s="239" t="n"/>
      <c r="X47897" s="239" t="n"/>
    </row>
    <row r="47898" ht="14.25" customHeight="1" s="192">
      <c r="W47898" s="239" t="n"/>
      <c r="X47898" s="239" t="n"/>
    </row>
    <row r="47899" ht="14.25" customHeight="1" s="192">
      <c r="W47899" s="235" t="n"/>
      <c r="X47899" s="235" t="n"/>
    </row>
    <row r="47900" ht="14.25" customHeight="1" s="192">
      <c r="W47900" s="235" t="n"/>
      <c r="X47900" s="235" t="n"/>
    </row>
    <row r="47901" ht="14.25" customHeight="1" s="192">
      <c r="W47901" s="235" t="n"/>
      <c r="X47901" s="235" t="n"/>
    </row>
    <row r="47902" ht="14.25" customHeight="1" s="192">
      <c r="W47902" s="239" t="n"/>
      <c r="X47902" s="239" t="n"/>
    </row>
    <row r="47903" ht="14.25" customHeight="1" s="192">
      <c r="W47903" s="239" t="n"/>
      <c r="X47903" s="239" t="n"/>
    </row>
    <row r="47904" ht="14.25" customHeight="1" s="192">
      <c r="W47904" s="235" t="n"/>
      <c r="X47904" s="235" t="n"/>
    </row>
    <row r="47905" ht="14.25" customHeight="1" s="192">
      <c r="W47905" s="235" t="n"/>
      <c r="X47905" s="235" t="n"/>
    </row>
    <row r="47906" ht="14.25" customHeight="1" s="192">
      <c r="W47906" s="239" t="n"/>
      <c r="X47906" s="239" t="n"/>
    </row>
    <row r="47907" ht="14.25" customHeight="1" s="192">
      <c r="W47907" s="235" t="n"/>
      <c r="X47907" s="235" t="n"/>
    </row>
    <row r="47908" ht="14.25" customHeight="1" s="192">
      <c r="W47908" s="239" t="n"/>
      <c r="X47908" s="239" t="n"/>
    </row>
    <row r="47910" ht="14.25" customHeight="1" s="192">
      <c r="W47910" s="235" t="n"/>
      <c r="X47910" s="235" t="n"/>
    </row>
    <row r="47911" ht="15" customHeight="1" s="192" thickBot="1">
      <c r="W47911" s="239" t="n"/>
      <c r="X47911" s="239" t="n"/>
    </row>
    <row r="47912" ht="15" customHeight="1" s="192" thickBot="1">
      <c r="W47912" s="45" t="n"/>
      <c r="X47912" s="45" t="n"/>
    </row>
    <row r="47913" ht="14.25" customHeight="1" s="192">
      <c r="W47913" s="228" t="n"/>
      <c r="X47913" s="228" t="n"/>
    </row>
    <row r="47914" ht="14.25" customHeight="1" s="192">
      <c r="W47914" s="228" t="n"/>
      <c r="X47914" s="228" t="n"/>
    </row>
    <row r="47915" ht="14.25" customHeight="1" s="192">
      <c r="W47915" s="231" t="n"/>
      <c r="X47915" s="231" t="n"/>
    </row>
    <row r="47916" ht="14.25" customHeight="1" s="192">
      <c r="W47916" s="33" t="n"/>
      <c r="X47916" s="33" t="n"/>
    </row>
    <row r="47917" ht="14.25" customHeight="1" s="192">
      <c r="W47917" s="231" t="n"/>
      <c r="X47917" s="231" t="n"/>
    </row>
    <row r="47918" ht="14.25" customHeight="1" s="192">
      <c r="W47918" s="33" t="n"/>
      <c r="X47918" s="33" t="n"/>
    </row>
    <row r="47920" ht="14.25" customHeight="1" s="192">
      <c r="W47920" s="231" t="n"/>
      <c r="X47920" s="231" t="n"/>
    </row>
    <row r="47921" ht="14.25" customHeight="1" s="192">
      <c r="W47921" s="235" t="n"/>
      <c r="X47921" s="235" t="n"/>
    </row>
    <row r="47922" ht="14.25" customHeight="1" s="192">
      <c r="W47922" s="228" t="n"/>
      <c r="X47922" s="228" t="n"/>
    </row>
    <row r="47923" ht="14.25" customHeight="1" s="192">
      <c r="W47923" s="235" t="n"/>
      <c r="X47923" s="235" t="n"/>
    </row>
    <row r="47924" ht="14.25" customHeight="1" s="192">
      <c r="W47924" s="235" t="n"/>
      <c r="X47924" s="235" t="n"/>
    </row>
    <row r="47925" ht="14.25" customHeight="1" s="192">
      <c r="W47925" s="235" t="n"/>
      <c r="X47925" s="235" t="n"/>
    </row>
    <row r="47926" ht="14.25" customHeight="1" s="192">
      <c r="W47926" s="239" t="n"/>
      <c r="X47926" s="239" t="n"/>
    </row>
    <row r="47927" ht="14.25" customHeight="1" s="192">
      <c r="W47927" s="239" t="n"/>
      <c r="X47927" s="239" t="n"/>
    </row>
    <row r="47928" ht="14.25" customHeight="1" s="192">
      <c r="W47928" s="239" t="n"/>
      <c r="X47928" s="239" t="n"/>
    </row>
    <row r="47929" ht="14.25" customHeight="1" s="192">
      <c r="W47929" s="235" t="n"/>
      <c r="X47929" s="235" t="n"/>
    </row>
    <row r="47930" ht="14.25" customHeight="1" s="192">
      <c r="W47930" s="235" t="n"/>
      <c r="X47930" s="235" t="n"/>
    </row>
    <row r="47931" ht="14.25" customHeight="1" s="192">
      <c r="W47931" s="235" t="n"/>
      <c r="X47931" s="235" t="n"/>
    </row>
    <row r="47932" ht="14.25" customHeight="1" s="192">
      <c r="W47932" s="239" t="n"/>
      <c r="X47932" s="239" t="n"/>
    </row>
    <row r="47933" ht="14.25" customHeight="1" s="192">
      <c r="W47933" s="239" t="n"/>
      <c r="X47933" s="239" t="n"/>
    </row>
    <row r="47934" ht="14.25" customHeight="1" s="192">
      <c r="W47934" s="235" t="n"/>
      <c r="X47934" s="235" t="n"/>
    </row>
    <row r="47935" ht="14.25" customHeight="1" s="192">
      <c r="W47935" s="235" t="n"/>
      <c r="X47935" s="235" t="n"/>
    </row>
    <row r="47936" ht="14.25" customHeight="1" s="192">
      <c r="W47936" s="239" t="n"/>
      <c r="X47936" s="239" t="n"/>
    </row>
    <row r="47937" ht="14.25" customHeight="1" s="192">
      <c r="W47937" s="235" t="n"/>
      <c r="X47937" s="235" t="n"/>
    </row>
    <row r="47938" ht="14.25" customHeight="1" s="192">
      <c r="W47938" s="239" t="n"/>
      <c r="X47938" s="239" t="n"/>
    </row>
    <row r="47940" ht="14.25" customHeight="1" s="192">
      <c r="W47940" s="235" t="n"/>
      <c r="X47940" s="235" t="n"/>
    </row>
    <row r="47941" ht="15" customHeight="1" s="192" thickBot="1">
      <c r="W47941" s="239" t="n"/>
      <c r="X47941" s="239" t="n"/>
    </row>
    <row r="47942" ht="15" customHeight="1" s="192" thickBot="1">
      <c r="W47942" s="45" t="n"/>
      <c r="X47942" s="45" t="n"/>
    </row>
    <row r="47943" ht="14.25" customHeight="1" s="192">
      <c r="W47943" s="228" t="n"/>
      <c r="X47943" s="228" t="n"/>
    </row>
    <row r="47944" ht="14.25" customHeight="1" s="192">
      <c r="W47944" s="228" t="n"/>
      <c r="X47944" s="228" t="n"/>
    </row>
    <row r="47945" ht="14.25" customHeight="1" s="192">
      <c r="W47945" s="231" t="n"/>
      <c r="X47945" s="231" t="n"/>
    </row>
    <row r="47946" ht="14.25" customHeight="1" s="192">
      <c r="W47946" s="33" t="n"/>
      <c r="X47946" s="33" t="n"/>
    </row>
    <row r="47947" ht="14.25" customHeight="1" s="192">
      <c r="W47947" s="231" t="n"/>
      <c r="X47947" s="231" t="n"/>
    </row>
    <row r="47948" ht="14.25" customHeight="1" s="192">
      <c r="W47948" s="33" t="n"/>
      <c r="X47948" s="33" t="n"/>
    </row>
    <row r="47950" ht="14.25" customHeight="1" s="192">
      <c r="W47950" s="231" t="n"/>
      <c r="X47950" s="231" t="n"/>
    </row>
    <row r="47951" ht="14.25" customHeight="1" s="192">
      <c r="W47951" s="235" t="n"/>
      <c r="X47951" s="235" t="n"/>
    </row>
    <row r="47952" ht="14.25" customHeight="1" s="192">
      <c r="W47952" s="228" t="n"/>
      <c r="X47952" s="228" t="n"/>
    </row>
    <row r="47953" ht="14.25" customHeight="1" s="192">
      <c r="W47953" s="235" t="n"/>
      <c r="X47953" s="235" t="n"/>
    </row>
    <row r="47954" ht="14.25" customHeight="1" s="192">
      <c r="W47954" s="235" t="n"/>
      <c r="X47954" s="235" t="n"/>
    </row>
    <row r="47955" ht="14.25" customHeight="1" s="192">
      <c r="W47955" s="235" t="n"/>
      <c r="X47955" s="235" t="n"/>
    </row>
    <row r="47956" ht="14.25" customHeight="1" s="192">
      <c r="W47956" s="239" t="n"/>
      <c r="X47956" s="239" t="n"/>
    </row>
    <row r="47957" ht="14.25" customHeight="1" s="192">
      <c r="W47957" s="239" t="n"/>
      <c r="X47957" s="239" t="n"/>
    </row>
    <row r="47958" ht="14.25" customHeight="1" s="192">
      <c r="W47958" s="239" t="n"/>
      <c r="X47958" s="239" t="n"/>
    </row>
    <row r="47959" ht="14.25" customHeight="1" s="192">
      <c r="W47959" s="235" t="n"/>
      <c r="X47959" s="235" t="n"/>
    </row>
    <row r="47960" ht="14.25" customHeight="1" s="192">
      <c r="W47960" s="235" t="n"/>
      <c r="X47960" s="235" t="n"/>
    </row>
    <row r="47961" ht="14.25" customHeight="1" s="192">
      <c r="W47961" s="235" t="n"/>
      <c r="X47961" s="235" t="n"/>
    </row>
    <row r="47962" ht="14.25" customHeight="1" s="192">
      <c r="W47962" s="239" t="n"/>
      <c r="X47962" s="239" t="n"/>
    </row>
    <row r="47963" ht="14.25" customHeight="1" s="192">
      <c r="W47963" s="239" t="n"/>
      <c r="X47963" s="239" t="n"/>
    </row>
    <row r="47964" ht="14.25" customHeight="1" s="192">
      <c r="W47964" s="235" t="n"/>
      <c r="X47964" s="235" t="n"/>
    </row>
    <row r="47965" ht="14.25" customHeight="1" s="192">
      <c r="W47965" s="235" t="n"/>
      <c r="X47965" s="235" t="n"/>
    </row>
    <row r="47966" ht="14.25" customHeight="1" s="192">
      <c r="W47966" s="239" t="n"/>
      <c r="X47966" s="239" t="n"/>
    </row>
    <row r="47967" ht="14.25" customHeight="1" s="192">
      <c r="W47967" s="235" t="n"/>
      <c r="X47967" s="235" t="n"/>
    </row>
    <row r="47968" ht="14.25" customHeight="1" s="192">
      <c r="W47968" s="239" t="n"/>
      <c r="X47968" s="239" t="n"/>
    </row>
    <row r="47970" ht="14.25" customHeight="1" s="192">
      <c r="W47970" s="235" t="n"/>
      <c r="X47970" s="235" t="n"/>
    </row>
    <row r="47971" ht="15" customHeight="1" s="192" thickBot="1">
      <c r="W47971" s="239" t="n"/>
      <c r="X47971" s="239" t="n"/>
    </row>
    <row r="47972" ht="15" customHeight="1" s="192" thickBot="1">
      <c r="W47972" s="45" t="n"/>
      <c r="X47972" s="45" t="n"/>
    </row>
    <row r="47973" ht="14.25" customHeight="1" s="192">
      <c r="W47973" s="228" t="n"/>
      <c r="X47973" s="228" t="n"/>
    </row>
    <row r="47974" ht="14.25" customHeight="1" s="192">
      <c r="W47974" s="228" t="n"/>
      <c r="X47974" s="228" t="n"/>
    </row>
    <row r="47975" ht="14.25" customHeight="1" s="192">
      <c r="W47975" s="231" t="n"/>
      <c r="X47975" s="231" t="n"/>
    </row>
    <row r="47976" ht="14.25" customHeight="1" s="192">
      <c r="W47976" s="33" t="n"/>
      <c r="X47976" s="33" t="n"/>
    </row>
    <row r="47977" ht="14.25" customHeight="1" s="192">
      <c r="W47977" s="231" t="n"/>
      <c r="X47977" s="231" t="n"/>
    </row>
    <row r="47978" ht="14.25" customHeight="1" s="192">
      <c r="W47978" s="33" t="n"/>
      <c r="X47978" s="33" t="n"/>
    </row>
    <row r="47980" ht="14.25" customHeight="1" s="192">
      <c r="W47980" s="231" t="n"/>
      <c r="X47980" s="231" t="n"/>
    </row>
    <row r="47981" ht="14.25" customHeight="1" s="192">
      <c r="W47981" s="235" t="n"/>
      <c r="X47981" s="235" t="n"/>
    </row>
    <row r="47982" ht="14.25" customHeight="1" s="192">
      <c r="W47982" s="228" t="n"/>
      <c r="X47982" s="228" t="n"/>
    </row>
    <row r="47983" ht="14.25" customHeight="1" s="192">
      <c r="W47983" s="235" t="n"/>
      <c r="X47983" s="235" t="n"/>
    </row>
    <row r="47984" ht="14.25" customHeight="1" s="192">
      <c r="W47984" s="235" t="n"/>
      <c r="X47984" s="235" t="n"/>
    </row>
    <row r="47985" ht="14.25" customHeight="1" s="192">
      <c r="W47985" s="235" t="n"/>
      <c r="X47985" s="235" t="n"/>
    </row>
    <row r="47986" ht="14.25" customHeight="1" s="192">
      <c r="W47986" s="239" t="n"/>
      <c r="X47986" s="239" t="n"/>
    </row>
    <row r="47987" ht="14.25" customHeight="1" s="192">
      <c r="W47987" s="239" t="n"/>
      <c r="X47987" s="239" t="n"/>
    </row>
    <row r="47988" ht="14.25" customHeight="1" s="192">
      <c r="W47988" s="239" t="n"/>
      <c r="X47988" s="239" t="n"/>
    </row>
    <row r="47989" ht="14.25" customHeight="1" s="192">
      <c r="W47989" s="235" t="n"/>
      <c r="X47989" s="235" t="n"/>
    </row>
    <row r="47990" ht="14.25" customHeight="1" s="192">
      <c r="W47990" s="235" t="n"/>
      <c r="X47990" s="235" t="n"/>
    </row>
    <row r="47991" ht="14.25" customHeight="1" s="192">
      <c r="W47991" s="235" t="n"/>
      <c r="X47991" s="235" t="n"/>
    </row>
    <row r="47992" ht="14.25" customHeight="1" s="192">
      <c r="W47992" s="239" t="n"/>
      <c r="X47992" s="239" t="n"/>
    </row>
    <row r="47993" ht="14.25" customHeight="1" s="192">
      <c r="W47993" s="239" t="n"/>
      <c r="X47993" s="239" t="n"/>
    </row>
    <row r="47994" ht="14.25" customHeight="1" s="192">
      <c r="W47994" s="235" t="n"/>
      <c r="X47994" s="235" t="n"/>
    </row>
    <row r="47995" ht="14.25" customHeight="1" s="192">
      <c r="W47995" s="235" t="n"/>
      <c r="X47995" s="235" t="n"/>
    </row>
    <row r="47996" ht="14.25" customHeight="1" s="192">
      <c r="W47996" s="239" t="n"/>
      <c r="X47996" s="239" t="n"/>
    </row>
    <row r="47997" ht="14.25" customHeight="1" s="192">
      <c r="W47997" s="235" t="n"/>
      <c r="X47997" s="235" t="n"/>
    </row>
    <row r="47998" ht="14.25" customHeight="1" s="192">
      <c r="W47998" s="239" t="n"/>
      <c r="X47998" s="239" t="n"/>
    </row>
    <row r="48000" ht="14.25" customHeight="1" s="192">
      <c r="W48000" s="235" t="n"/>
      <c r="X48000" s="235" t="n"/>
    </row>
    <row r="48001" ht="15" customHeight="1" s="192" thickBot="1">
      <c r="W48001" s="239" t="n"/>
      <c r="X48001" s="239" t="n"/>
    </row>
    <row r="48002" ht="15" customHeight="1" s="192" thickBot="1">
      <c r="W48002" s="45" t="n"/>
      <c r="X48002" s="45" t="n"/>
    </row>
    <row r="48003" ht="14.25" customHeight="1" s="192">
      <c r="W48003" s="228" t="n"/>
      <c r="X48003" s="228" t="n"/>
    </row>
    <row r="48004" ht="14.25" customHeight="1" s="192">
      <c r="W48004" s="228" t="n"/>
      <c r="X48004" s="228" t="n"/>
    </row>
    <row r="48005" ht="14.25" customHeight="1" s="192">
      <c r="W48005" s="231" t="n"/>
      <c r="X48005" s="231" t="n"/>
    </row>
    <row r="48006" ht="14.25" customHeight="1" s="192">
      <c r="W48006" s="33" t="n"/>
      <c r="X48006" s="33" t="n"/>
    </row>
    <row r="48007" ht="14.25" customHeight="1" s="192">
      <c r="W48007" s="231" t="n"/>
      <c r="X48007" s="231" t="n"/>
    </row>
    <row r="48008" ht="14.25" customHeight="1" s="192">
      <c r="W48008" s="33" t="n"/>
      <c r="X48008" s="33" t="n"/>
    </row>
    <row r="48010" ht="14.25" customHeight="1" s="192">
      <c r="W48010" s="231" t="n"/>
      <c r="X48010" s="231" t="n"/>
    </row>
    <row r="48011" ht="14.25" customHeight="1" s="192">
      <c r="W48011" s="235" t="n"/>
      <c r="X48011" s="235" t="n"/>
    </row>
    <row r="48012" ht="14.25" customHeight="1" s="192">
      <c r="W48012" s="228" t="n"/>
      <c r="X48012" s="228" t="n"/>
    </row>
    <row r="48013" ht="14.25" customHeight="1" s="192">
      <c r="W48013" s="235" t="n"/>
      <c r="X48013" s="235" t="n"/>
    </row>
    <row r="48014" ht="14.25" customHeight="1" s="192">
      <c r="W48014" s="235" t="n"/>
      <c r="X48014" s="235" t="n"/>
    </row>
    <row r="48015" ht="14.25" customHeight="1" s="192">
      <c r="W48015" s="235" t="n"/>
      <c r="X48015" s="235" t="n"/>
    </row>
    <row r="48016" ht="14.25" customHeight="1" s="192">
      <c r="W48016" s="239" t="n"/>
      <c r="X48016" s="239" t="n"/>
    </row>
    <row r="48017" ht="14.25" customHeight="1" s="192">
      <c r="W48017" s="239" t="n"/>
      <c r="X48017" s="239" t="n"/>
    </row>
    <row r="48018" ht="14.25" customHeight="1" s="192">
      <c r="W48018" s="239" t="n"/>
      <c r="X48018" s="239" t="n"/>
    </row>
    <row r="48019" ht="14.25" customHeight="1" s="192">
      <c r="W48019" s="235" t="n"/>
      <c r="X48019" s="235" t="n"/>
    </row>
    <row r="48020" ht="14.25" customHeight="1" s="192">
      <c r="W48020" s="235" t="n"/>
      <c r="X48020" s="235" t="n"/>
    </row>
    <row r="48021" ht="14.25" customHeight="1" s="192">
      <c r="W48021" s="235" t="n"/>
      <c r="X48021" s="235" t="n"/>
    </row>
    <row r="48022" ht="14.25" customHeight="1" s="192">
      <c r="W48022" s="239" t="n"/>
      <c r="X48022" s="239" t="n"/>
    </row>
    <row r="48023" ht="14.25" customHeight="1" s="192">
      <c r="W48023" s="239" t="n"/>
      <c r="X48023" s="239" t="n"/>
    </row>
    <row r="48024" ht="14.25" customHeight="1" s="192">
      <c r="W48024" s="235" t="n"/>
      <c r="X48024" s="235" t="n"/>
    </row>
    <row r="48025" ht="14.25" customHeight="1" s="192">
      <c r="W48025" s="235" t="n"/>
      <c r="X48025" s="235" t="n"/>
    </row>
    <row r="48026" ht="14.25" customHeight="1" s="192">
      <c r="W48026" s="239" t="n"/>
      <c r="X48026" s="239" t="n"/>
    </row>
    <row r="48027" ht="14.25" customHeight="1" s="192">
      <c r="W48027" s="235" t="n"/>
      <c r="X48027" s="235" t="n"/>
    </row>
    <row r="48028" ht="14.25" customHeight="1" s="192">
      <c r="W48028" s="239" t="n"/>
      <c r="X48028" s="239" t="n"/>
    </row>
    <row r="48030" ht="14.25" customHeight="1" s="192">
      <c r="W48030" s="235" t="n"/>
      <c r="X48030" s="235" t="n"/>
    </row>
    <row r="48031" ht="15" customHeight="1" s="192" thickBot="1">
      <c r="W48031" s="239" t="n"/>
      <c r="X48031" s="239" t="n"/>
    </row>
    <row r="48032" ht="15" customHeight="1" s="192" thickBot="1">
      <c r="W48032" s="45" t="n"/>
      <c r="X48032" s="45" t="n"/>
    </row>
    <row r="48033" ht="14.25" customHeight="1" s="192">
      <c r="W48033" s="228" t="n"/>
      <c r="X48033" s="228" t="n"/>
    </row>
    <row r="48034" ht="14.25" customHeight="1" s="192">
      <c r="W48034" s="228" t="n"/>
      <c r="X48034" s="228" t="n"/>
    </row>
    <row r="48035" ht="14.25" customHeight="1" s="192">
      <c r="W48035" s="231" t="n"/>
      <c r="X48035" s="231" t="n"/>
    </row>
    <row r="48036" ht="14.25" customHeight="1" s="192">
      <c r="W48036" s="33" t="n"/>
      <c r="X48036" s="33" t="n"/>
    </row>
    <row r="48037" ht="14.25" customHeight="1" s="192">
      <c r="W48037" s="231" t="n"/>
      <c r="X48037" s="231" t="n"/>
    </row>
    <row r="48038" ht="14.25" customHeight="1" s="192">
      <c r="W48038" s="33" t="n"/>
      <c r="X48038" s="33" t="n"/>
    </row>
    <row r="48040" ht="14.25" customHeight="1" s="192">
      <c r="W48040" s="231" t="n"/>
      <c r="X48040" s="231" t="n"/>
    </row>
    <row r="48041" ht="14.25" customHeight="1" s="192">
      <c r="W48041" s="235" t="n"/>
      <c r="X48041" s="235" t="n"/>
    </row>
    <row r="48042" ht="14.25" customHeight="1" s="192">
      <c r="W48042" s="228" t="n"/>
      <c r="X48042" s="228" t="n"/>
    </row>
    <row r="48043" ht="14.25" customHeight="1" s="192">
      <c r="W48043" s="235" t="n"/>
      <c r="X48043" s="235" t="n"/>
    </row>
    <row r="48044" ht="14.25" customHeight="1" s="192">
      <c r="W48044" s="235" t="n"/>
      <c r="X48044" s="235" t="n"/>
    </row>
    <row r="48045" ht="14.25" customHeight="1" s="192">
      <c r="W48045" s="235" t="n"/>
      <c r="X48045" s="235" t="n"/>
    </row>
    <row r="48046" ht="14.25" customHeight="1" s="192">
      <c r="W48046" s="239" t="n"/>
      <c r="X48046" s="239" t="n"/>
    </row>
    <row r="48047" ht="14.25" customHeight="1" s="192">
      <c r="W48047" s="239" t="n"/>
      <c r="X48047" s="239" t="n"/>
    </row>
    <row r="48048" ht="14.25" customHeight="1" s="192">
      <c r="W48048" s="239" t="n"/>
      <c r="X48048" s="239" t="n"/>
    </row>
    <row r="48049" ht="14.25" customHeight="1" s="192">
      <c r="W48049" s="235" t="n"/>
      <c r="X48049" s="235" t="n"/>
    </row>
    <row r="48050" ht="14.25" customHeight="1" s="192">
      <c r="W48050" s="235" t="n"/>
      <c r="X48050" s="235" t="n"/>
    </row>
    <row r="48051" ht="14.25" customHeight="1" s="192">
      <c r="W48051" s="235" t="n"/>
      <c r="X48051" s="235" t="n"/>
    </row>
    <row r="48052" ht="14.25" customHeight="1" s="192">
      <c r="W48052" s="239" t="n"/>
      <c r="X48052" s="239" t="n"/>
    </row>
    <row r="48053" ht="14.25" customHeight="1" s="192">
      <c r="W48053" s="239" t="n"/>
      <c r="X48053" s="239" t="n"/>
    </row>
    <row r="48054" ht="14.25" customHeight="1" s="192">
      <c r="W48054" s="235" t="n"/>
      <c r="X48054" s="235" t="n"/>
    </row>
    <row r="48055" ht="14.25" customHeight="1" s="192">
      <c r="W48055" s="235" t="n"/>
      <c r="X48055" s="235" t="n"/>
    </row>
    <row r="48056" ht="14.25" customHeight="1" s="192">
      <c r="W48056" s="239" t="n"/>
      <c r="X48056" s="239" t="n"/>
    </row>
    <row r="48057" ht="14.25" customHeight="1" s="192">
      <c r="W48057" s="235" t="n"/>
      <c r="X48057" s="235" t="n"/>
    </row>
    <row r="48058" ht="14.25" customHeight="1" s="192">
      <c r="W48058" s="239" t="n"/>
      <c r="X48058" s="239" t="n"/>
    </row>
    <row r="48060" ht="14.25" customHeight="1" s="192">
      <c r="W48060" s="235" t="n"/>
      <c r="X48060" s="235" t="n"/>
    </row>
    <row r="48061" ht="15" customHeight="1" s="192" thickBot="1">
      <c r="W48061" s="239" t="n"/>
      <c r="X48061" s="239" t="n"/>
    </row>
    <row r="48062" ht="15" customHeight="1" s="192" thickBot="1">
      <c r="W48062" s="45" t="n"/>
      <c r="X48062" s="45" t="n"/>
    </row>
    <row r="48063" ht="14.25" customHeight="1" s="192">
      <c r="W48063" s="228" t="n"/>
      <c r="X48063" s="228" t="n"/>
    </row>
    <row r="48064" ht="14.25" customHeight="1" s="192">
      <c r="W48064" s="228" t="n"/>
      <c r="X48064" s="228" t="n"/>
    </row>
    <row r="48065" ht="14.25" customHeight="1" s="192">
      <c r="W48065" s="231" t="n"/>
      <c r="X48065" s="231" t="n"/>
    </row>
    <row r="48066" ht="14.25" customHeight="1" s="192">
      <c r="W48066" s="33" t="n"/>
      <c r="X48066" s="33" t="n"/>
    </row>
    <row r="48067" ht="14.25" customHeight="1" s="192">
      <c r="W48067" s="231" t="n"/>
      <c r="X48067" s="231" t="n"/>
    </row>
    <row r="48068" ht="14.25" customHeight="1" s="192">
      <c r="W48068" s="33" t="n"/>
      <c r="X48068" s="33" t="n"/>
    </row>
    <row r="48070" ht="14.25" customHeight="1" s="192">
      <c r="W48070" s="231" t="n"/>
      <c r="X48070" s="231" t="n"/>
    </row>
    <row r="48071" ht="14.25" customHeight="1" s="192">
      <c r="W48071" s="235" t="n"/>
      <c r="X48071" s="235" t="n"/>
    </row>
    <row r="48072" ht="14.25" customHeight="1" s="192">
      <c r="W48072" s="228" t="n"/>
      <c r="X48072" s="228" t="n"/>
    </row>
    <row r="48073" ht="14.25" customHeight="1" s="192">
      <c r="W48073" s="235" t="n"/>
      <c r="X48073" s="235" t="n"/>
    </row>
    <row r="48074" ht="14.25" customHeight="1" s="192">
      <c r="W48074" s="235" t="n"/>
      <c r="X48074" s="235" t="n"/>
    </row>
    <row r="48075" ht="14.25" customHeight="1" s="192">
      <c r="W48075" s="235" t="n"/>
      <c r="X48075" s="235" t="n"/>
    </row>
    <row r="48076" ht="14.25" customHeight="1" s="192">
      <c r="W48076" s="239" t="n"/>
      <c r="X48076" s="239" t="n"/>
    </row>
    <row r="48077" ht="14.25" customHeight="1" s="192">
      <c r="W48077" s="239" t="n"/>
      <c r="X48077" s="239" t="n"/>
    </row>
    <row r="48078" ht="14.25" customHeight="1" s="192">
      <c r="W48078" s="239" t="n"/>
      <c r="X48078" s="239" t="n"/>
    </row>
    <row r="48079" ht="14.25" customHeight="1" s="192">
      <c r="W48079" s="235" t="n"/>
      <c r="X48079" s="235" t="n"/>
    </row>
    <row r="48080" ht="14.25" customHeight="1" s="192">
      <c r="W48080" s="235" t="n"/>
      <c r="X48080" s="235" t="n"/>
    </row>
    <row r="48081" ht="14.25" customHeight="1" s="192">
      <c r="W48081" s="235" t="n"/>
      <c r="X48081" s="235" t="n"/>
    </row>
    <row r="48082" ht="14.25" customHeight="1" s="192">
      <c r="W48082" s="239" t="n"/>
      <c r="X48082" s="239" t="n"/>
    </row>
    <row r="48083" ht="14.25" customHeight="1" s="192">
      <c r="W48083" s="239" t="n"/>
      <c r="X48083" s="239" t="n"/>
    </row>
    <row r="48084" ht="14.25" customHeight="1" s="192">
      <c r="W48084" s="235" t="n"/>
      <c r="X48084" s="235" t="n"/>
    </row>
    <row r="48085" ht="14.25" customHeight="1" s="192">
      <c r="W48085" s="235" t="n"/>
      <c r="X48085" s="235" t="n"/>
    </row>
    <row r="48086" ht="14.25" customHeight="1" s="192">
      <c r="W48086" s="239" t="n"/>
      <c r="X48086" s="239" t="n"/>
    </row>
    <row r="48087" ht="14.25" customHeight="1" s="192">
      <c r="W48087" s="235" t="n"/>
      <c r="X48087" s="235" t="n"/>
    </row>
    <row r="48088" ht="14.25" customHeight="1" s="192">
      <c r="W48088" s="239" t="n"/>
      <c r="X48088" s="239" t="n"/>
    </row>
    <row r="48090" ht="14.25" customHeight="1" s="192">
      <c r="W48090" s="235" t="n"/>
      <c r="X48090" s="235" t="n"/>
    </row>
    <row r="48091" ht="15" customHeight="1" s="192" thickBot="1">
      <c r="W48091" s="239" t="n"/>
      <c r="X48091" s="239" t="n"/>
    </row>
    <row r="48092" ht="15" customHeight="1" s="192" thickBot="1">
      <c r="W48092" s="45" t="n"/>
      <c r="X48092" s="45" t="n"/>
    </row>
    <row r="48093" ht="14.25" customHeight="1" s="192">
      <c r="W48093" s="228" t="n"/>
      <c r="X48093" s="228" t="n"/>
    </row>
    <row r="48094" ht="14.25" customHeight="1" s="192">
      <c r="W48094" s="228" t="n"/>
      <c r="X48094" s="228" t="n"/>
    </row>
    <row r="48095" ht="14.25" customHeight="1" s="192">
      <c r="W48095" s="231" t="n"/>
      <c r="X48095" s="231" t="n"/>
    </row>
    <row r="48096" ht="14.25" customHeight="1" s="192">
      <c r="W48096" s="33" t="n"/>
      <c r="X48096" s="33" t="n"/>
    </row>
    <row r="48097" ht="14.25" customHeight="1" s="192">
      <c r="W48097" s="231" t="n"/>
      <c r="X48097" s="231" t="n"/>
    </row>
    <row r="48098" ht="14.25" customHeight="1" s="192">
      <c r="W48098" s="33" t="n"/>
      <c r="X48098" s="33" t="n"/>
    </row>
    <row r="48100" ht="14.25" customHeight="1" s="192">
      <c r="W48100" s="231" t="n"/>
      <c r="X48100" s="231" t="n"/>
    </row>
    <row r="48101" ht="14.25" customHeight="1" s="192">
      <c r="W48101" s="235" t="n"/>
      <c r="X48101" s="235" t="n"/>
    </row>
    <row r="48102" ht="14.25" customHeight="1" s="192">
      <c r="W48102" s="228" t="n"/>
      <c r="X48102" s="228" t="n"/>
    </row>
    <row r="48103" ht="14.25" customHeight="1" s="192">
      <c r="W48103" s="235" t="n"/>
      <c r="X48103" s="235" t="n"/>
    </row>
    <row r="48104" ht="14.25" customHeight="1" s="192">
      <c r="W48104" s="235" t="n"/>
      <c r="X48104" s="235" t="n"/>
    </row>
    <row r="48105" ht="14.25" customHeight="1" s="192">
      <c r="W48105" s="235" t="n"/>
      <c r="X48105" s="235" t="n"/>
    </row>
    <row r="48106" ht="14.25" customHeight="1" s="192">
      <c r="W48106" s="239" t="n"/>
      <c r="X48106" s="239" t="n"/>
    </row>
    <row r="48107" ht="14.25" customHeight="1" s="192">
      <c r="W48107" s="239" t="n"/>
      <c r="X48107" s="239" t="n"/>
    </row>
    <row r="48108" ht="14.25" customHeight="1" s="192">
      <c r="W48108" s="239" t="n"/>
      <c r="X48108" s="239" t="n"/>
    </row>
    <row r="48109" ht="14.25" customHeight="1" s="192">
      <c r="W48109" s="235" t="n"/>
      <c r="X48109" s="235" t="n"/>
    </row>
    <row r="48110" ht="14.25" customHeight="1" s="192">
      <c r="W48110" s="235" t="n"/>
      <c r="X48110" s="235" t="n"/>
    </row>
    <row r="48111" ht="14.25" customHeight="1" s="192">
      <c r="W48111" s="235" t="n"/>
      <c r="X48111" s="235" t="n"/>
    </row>
    <row r="48112" ht="14.25" customHeight="1" s="192">
      <c r="W48112" s="239" t="n"/>
      <c r="X48112" s="239" t="n"/>
    </row>
    <row r="48113" ht="14.25" customHeight="1" s="192">
      <c r="W48113" s="239" t="n"/>
      <c r="X48113" s="239" t="n"/>
    </row>
    <row r="48114" ht="14.25" customHeight="1" s="192">
      <c r="W48114" s="235" t="n"/>
      <c r="X48114" s="235" t="n"/>
    </row>
    <row r="48115" ht="14.25" customHeight="1" s="192">
      <c r="W48115" s="235" t="n"/>
      <c r="X48115" s="235" t="n"/>
    </row>
    <row r="48116" ht="14.25" customHeight="1" s="192">
      <c r="W48116" s="239" t="n"/>
      <c r="X48116" s="239" t="n"/>
    </row>
    <row r="48117" ht="14.25" customHeight="1" s="192">
      <c r="W48117" s="235" t="n"/>
      <c r="X48117" s="235" t="n"/>
    </row>
    <row r="48118" ht="14.25" customHeight="1" s="192">
      <c r="W48118" s="239" t="n"/>
      <c r="X48118" s="239" t="n"/>
    </row>
    <row r="48120" ht="14.25" customHeight="1" s="192">
      <c r="W48120" s="235" t="n"/>
      <c r="X48120" s="235" t="n"/>
    </row>
    <row r="48121" ht="15" customHeight="1" s="192" thickBot="1">
      <c r="W48121" s="239" t="n"/>
      <c r="X48121" s="239" t="n"/>
    </row>
    <row r="48122" ht="15" customHeight="1" s="192" thickBot="1">
      <c r="W48122" s="45" t="n"/>
      <c r="X48122" s="45" t="n"/>
    </row>
    <row r="48123" ht="14.25" customHeight="1" s="192">
      <c r="W48123" s="228" t="n"/>
      <c r="X48123" s="228" t="n"/>
    </row>
    <row r="48124" ht="14.25" customHeight="1" s="192">
      <c r="W48124" s="228" t="n"/>
      <c r="X48124" s="228" t="n"/>
    </row>
    <row r="48125" ht="14.25" customHeight="1" s="192">
      <c r="W48125" s="231" t="n"/>
      <c r="X48125" s="231" t="n"/>
    </row>
    <row r="48126" ht="14.25" customHeight="1" s="192">
      <c r="W48126" s="33" t="n"/>
      <c r="X48126" s="33" t="n"/>
    </row>
    <row r="48127" ht="14.25" customHeight="1" s="192">
      <c r="W48127" s="231" t="n"/>
      <c r="X48127" s="231" t="n"/>
    </row>
    <row r="48128" ht="14.25" customHeight="1" s="192">
      <c r="W48128" s="33" t="n"/>
      <c r="X48128" s="33" t="n"/>
    </row>
    <row r="48130" ht="14.25" customHeight="1" s="192">
      <c r="W48130" s="231" t="n"/>
      <c r="X48130" s="231" t="n"/>
    </row>
    <row r="48131" ht="14.25" customHeight="1" s="192">
      <c r="W48131" s="235" t="n"/>
      <c r="X48131" s="235" t="n"/>
    </row>
    <row r="48132" ht="14.25" customHeight="1" s="192">
      <c r="W48132" s="228" t="n"/>
      <c r="X48132" s="228" t="n"/>
    </row>
    <row r="48133" ht="14.25" customHeight="1" s="192">
      <c r="W48133" s="235" t="n"/>
      <c r="X48133" s="235" t="n"/>
    </row>
    <row r="48134" ht="14.25" customHeight="1" s="192">
      <c r="W48134" s="235" t="n"/>
      <c r="X48134" s="235" t="n"/>
    </row>
    <row r="48135" ht="14.25" customHeight="1" s="192">
      <c r="W48135" s="235" t="n"/>
      <c r="X48135" s="235" t="n"/>
    </row>
    <row r="48136" ht="14.25" customHeight="1" s="192">
      <c r="W48136" s="239" t="n"/>
      <c r="X48136" s="239" t="n"/>
    </row>
    <row r="48137" ht="14.25" customHeight="1" s="192">
      <c r="W48137" s="239" t="n"/>
      <c r="X48137" s="239" t="n"/>
    </row>
    <row r="48138" ht="14.25" customHeight="1" s="192">
      <c r="W48138" s="239" t="n"/>
      <c r="X48138" s="239" t="n"/>
    </row>
    <row r="48139" ht="14.25" customHeight="1" s="192">
      <c r="W48139" s="235" t="n"/>
      <c r="X48139" s="235" t="n"/>
    </row>
    <row r="48140" ht="14.25" customHeight="1" s="192">
      <c r="W48140" s="235" t="n"/>
      <c r="X48140" s="235" t="n"/>
    </row>
    <row r="48141" ht="14.25" customHeight="1" s="192">
      <c r="W48141" s="235" t="n"/>
      <c r="X48141" s="235" t="n"/>
    </row>
    <row r="48142" ht="14.25" customHeight="1" s="192">
      <c r="W48142" s="239" t="n"/>
      <c r="X48142" s="239" t="n"/>
    </row>
    <row r="48143" ht="14.25" customHeight="1" s="192">
      <c r="W48143" s="239" t="n"/>
      <c r="X48143" s="239" t="n"/>
    </row>
    <row r="48144" ht="14.25" customHeight="1" s="192">
      <c r="W48144" s="235" t="n"/>
      <c r="X48144" s="235" t="n"/>
    </row>
    <row r="48145" ht="14.25" customHeight="1" s="192">
      <c r="W48145" s="235" t="n"/>
      <c r="X48145" s="235" t="n"/>
    </row>
    <row r="48146" ht="14.25" customHeight="1" s="192">
      <c r="W48146" s="239" t="n"/>
      <c r="X48146" s="239" t="n"/>
    </row>
    <row r="48147" ht="14.25" customHeight="1" s="192">
      <c r="W48147" s="235" t="n"/>
      <c r="X48147" s="235" t="n"/>
    </row>
    <row r="48148" ht="14.25" customHeight="1" s="192">
      <c r="W48148" s="239" t="n"/>
      <c r="X48148" s="239" t="n"/>
    </row>
    <row r="48150" ht="14.25" customHeight="1" s="192">
      <c r="W48150" s="235" t="n"/>
      <c r="X48150" s="235" t="n"/>
    </row>
    <row r="48151" ht="15" customHeight="1" s="192" thickBot="1">
      <c r="W48151" s="239" t="n"/>
      <c r="X48151" s="239" t="n"/>
    </row>
    <row r="48152" ht="15" customHeight="1" s="192" thickBot="1">
      <c r="W48152" s="45" t="n"/>
      <c r="X48152" s="45" t="n"/>
    </row>
    <row r="48153" ht="14.25" customHeight="1" s="192">
      <c r="W48153" s="228" t="n"/>
      <c r="X48153" s="228" t="n"/>
    </row>
    <row r="48154" ht="14.25" customHeight="1" s="192">
      <c r="W48154" s="228" t="n"/>
      <c r="X48154" s="228" t="n"/>
    </row>
    <row r="48155" ht="14.25" customHeight="1" s="192">
      <c r="W48155" s="231" t="n"/>
      <c r="X48155" s="231" t="n"/>
    </row>
    <row r="48156" ht="14.25" customHeight="1" s="192">
      <c r="W48156" s="33" t="n"/>
      <c r="X48156" s="33" t="n"/>
    </row>
    <row r="48157" ht="14.25" customHeight="1" s="192">
      <c r="W48157" s="231" t="n"/>
      <c r="X48157" s="231" t="n"/>
    </row>
    <row r="48158" ht="14.25" customHeight="1" s="192">
      <c r="W48158" s="33" t="n"/>
      <c r="X48158" s="33" t="n"/>
    </row>
    <row r="48160" ht="14.25" customHeight="1" s="192">
      <c r="W48160" s="231" t="n"/>
      <c r="X48160" s="231" t="n"/>
    </row>
    <row r="48161" ht="14.25" customHeight="1" s="192">
      <c r="W48161" s="235" t="n"/>
      <c r="X48161" s="235" t="n"/>
    </row>
    <row r="48162" ht="14.25" customHeight="1" s="192">
      <c r="W48162" s="228" t="n"/>
      <c r="X48162" s="228" t="n"/>
    </row>
    <row r="48163" ht="14.25" customHeight="1" s="192">
      <c r="W48163" s="235" t="n"/>
      <c r="X48163" s="235" t="n"/>
    </row>
    <row r="48164" ht="14.25" customHeight="1" s="192">
      <c r="W48164" s="235" t="n"/>
      <c r="X48164" s="235" t="n"/>
    </row>
    <row r="48165" ht="14.25" customHeight="1" s="192">
      <c r="W48165" s="235" t="n"/>
      <c r="X48165" s="235" t="n"/>
    </row>
    <row r="48166" ht="14.25" customHeight="1" s="192">
      <c r="W48166" s="239" t="n"/>
      <c r="X48166" s="239" t="n"/>
    </row>
    <row r="48167" ht="14.25" customHeight="1" s="192">
      <c r="W48167" s="239" t="n"/>
      <c r="X48167" s="239" t="n"/>
    </row>
    <row r="48168" ht="14.25" customHeight="1" s="192">
      <c r="W48168" s="239" t="n"/>
      <c r="X48168" s="239" t="n"/>
    </row>
    <row r="48169" ht="14.25" customHeight="1" s="192">
      <c r="W48169" s="235" t="n"/>
      <c r="X48169" s="235" t="n"/>
    </row>
    <row r="48170" ht="14.25" customHeight="1" s="192">
      <c r="W48170" s="235" t="n"/>
      <c r="X48170" s="235" t="n"/>
    </row>
    <row r="48171" ht="14.25" customHeight="1" s="192">
      <c r="W48171" s="235" t="n"/>
      <c r="X48171" s="235" t="n"/>
    </row>
    <row r="48172" ht="14.25" customHeight="1" s="192">
      <c r="W48172" s="239" t="n"/>
      <c r="X48172" s="239" t="n"/>
    </row>
    <row r="48173" ht="14.25" customHeight="1" s="192">
      <c r="W48173" s="239" t="n"/>
      <c r="X48173" s="239" t="n"/>
    </row>
    <row r="48174" ht="14.25" customHeight="1" s="192">
      <c r="W48174" s="235" t="n"/>
      <c r="X48174" s="235" t="n"/>
    </row>
    <row r="48175" ht="14.25" customHeight="1" s="192">
      <c r="W48175" s="235" t="n"/>
      <c r="X48175" s="235" t="n"/>
    </row>
    <row r="48176" ht="14.25" customHeight="1" s="192">
      <c r="W48176" s="239" t="n"/>
      <c r="X48176" s="239" t="n"/>
    </row>
    <row r="48177" ht="14.25" customHeight="1" s="192">
      <c r="W48177" s="235" t="n"/>
      <c r="X48177" s="235" t="n"/>
    </row>
    <row r="48178" ht="14.25" customHeight="1" s="192">
      <c r="W48178" s="239" t="n"/>
      <c r="X48178" s="239" t="n"/>
    </row>
    <row r="48180" ht="14.25" customHeight="1" s="192">
      <c r="W48180" s="235" t="n"/>
      <c r="X48180" s="235" t="n"/>
    </row>
    <row r="48181" ht="15" customHeight="1" s="192" thickBot="1">
      <c r="W48181" s="239" t="n"/>
      <c r="X48181" s="239" t="n"/>
    </row>
    <row r="48182" ht="15" customHeight="1" s="192" thickBot="1">
      <c r="W48182" s="45" t="n"/>
      <c r="X48182" s="45" t="n"/>
    </row>
    <row r="48183" ht="14.25" customHeight="1" s="192">
      <c r="W48183" s="228" t="n"/>
      <c r="X48183" s="228" t="n"/>
    </row>
    <row r="48184" ht="14.25" customHeight="1" s="192">
      <c r="W48184" s="228" t="n"/>
      <c r="X48184" s="228" t="n"/>
    </row>
    <row r="48185" ht="14.25" customHeight="1" s="192">
      <c r="W48185" s="231" t="n"/>
      <c r="X48185" s="231" t="n"/>
    </row>
    <row r="48186" ht="14.25" customHeight="1" s="192">
      <c r="W48186" s="33" t="n"/>
      <c r="X48186" s="33" t="n"/>
    </row>
    <row r="48187" ht="14.25" customHeight="1" s="192">
      <c r="W48187" s="231" t="n"/>
      <c r="X48187" s="231" t="n"/>
    </row>
    <row r="48188" ht="14.25" customHeight="1" s="192">
      <c r="W48188" s="33" t="n"/>
      <c r="X48188" s="33" t="n"/>
    </row>
    <row r="48190" ht="14.25" customHeight="1" s="192">
      <c r="W48190" s="231" t="n"/>
      <c r="X48190" s="231" t="n"/>
    </row>
    <row r="48191" ht="14.25" customHeight="1" s="192">
      <c r="W48191" s="235" t="n"/>
      <c r="X48191" s="235" t="n"/>
    </row>
    <row r="48192" ht="14.25" customHeight="1" s="192">
      <c r="W48192" s="228" t="n"/>
      <c r="X48192" s="228" t="n"/>
    </row>
    <row r="48193" ht="14.25" customHeight="1" s="192">
      <c r="W48193" s="235" t="n"/>
      <c r="X48193" s="235" t="n"/>
    </row>
    <row r="48194" ht="14.25" customHeight="1" s="192">
      <c r="W48194" s="235" t="n"/>
      <c r="X48194" s="235" t="n"/>
    </row>
    <row r="48195" ht="14.25" customHeight="1" s="192">
      <c r="W48195" s="235" t="n"/>
      <c r="X48195" s="235" t="n"/>
    </row>
    <row r="48196" ht="14.25" customHeight="1" s="192">
      <c r="W48196" s="239" t="n"/>
      <c r="X48196" s="239" t="n"/>
    </row>
    <row r="48197" ht="14.25" customHeight="1" s="192">
      <c r="W48197" s="239" t="n"/>
      <c r="X48197" s="239" t="n"/>
    </row>
    <row r="48198" ht="14.25" customHeight="1" s="192">
      <c r="W48198" s="239" t="n"/>
      <c r="X48198" s="239" t="n"/>
    </row>
    <row r="48199" ht="14.25" customHeight="1" s="192">
      <c r="W48199" s="235" t="n"/>
      <c r="X48199" s="235" t="n"/>
    </row>
    <row r="48200" ht="14.25" customHeight="1" s="192">
      <c r="W48200" s="235" t="n"/>
      <c r="X48200" s="235" t="n"/>
    </row>
    <row r="48201" ht="14.25" customHeight="1" s="192">
      <c r="W48201" s="235" t="n"/>
      <c r="X48201" s="235" t="n"/>
    </row>
    <row r="48202" ht="14.25" customHeight="1" s="192">
      <c r="W48202" s="239" t="n"/>
      <c r="X48202" s="239" t="n"/>
    </row>
    <row r="48203" ht="14.25" customHeight="1" s="192">
      <c r="W48203" s="239" t="n"/>
      <c r="X48203" s="239" t="n"/>
    </row>
    <row r="48204" ht="14.25" customHeight="1" s="192">
      <c r="W48204" s="235" t="n"/>
      <c r="X48204" s="235" t="n"/>
    </row>
    <row r="48205" ht="14.25" customHeight="1" s="192">
      <c r="W48205" s="235" t="n"/>
      <c r="X48205" s="235" t="n"/>
    </row>
    <row r="48206" ht="14.25" customHeight="1" s="192">
      <c r="W48206" s="239" t="n"/>
      <c r="X48206" s="239" t="n"/>
    </row>
    <row r="48207" ht="14.25" customHeight="1" s="192">
      <c r="W48207" s="235" t="n"/>
      <c r="X48207" s="235" t="n"/>
    </row>
    <row r="48208" ht="14.25" customHeight="1" s="192">
      <c r="W48208" s="239" t="n"/>
      <c r="X48208" s="239" t="n"/>
    </row>
    <row r="48210" ht="14.25" customHeight="1" s="192">
      <c r="W48210" s="235" t="n"/>
      <c r="X48210" s="235" t="n"/>
    </row>
    <row r="48211" ht="15" customHeight="1" s="192" thickBot="1">
      <c r="W48211" s="239" t="n"/>
      <c r="X48211" s="239" t="n"/>
    </row>
    <row r="48212" ht="15" customHeight="1" s="192" thickBot="1">
      <c r="W48212" s="45" t="n"/>
      <c r="X48212" s="45" t="n"/>
    </row>
    <row r="48213" ht="14.25" customHeight="1" s="192">
      <c r="W48213" s="228" t="n"/>
      <c r="X48213" s="228" t="n"/>
    </row>
    <row r="48214" ht="14.25" customHeight="1" s="192">
      <c r="W48214" s="228" t="n"/>
      <c r="X48214" s="228" t="n"/>
    </row>
    <row r="48215" ht="14.25" customHeight="1" s="192">
      <c r="W48215" s="231" t="n"/>
      <c r="X48215" s="231" t="n"/>
    </row>
    <row r="48216" ht="14.25" customHeight="1" s="192">
      <c r="W48216" s="33" t="n"/>
      <c r="X48216" s="33" t="n"/>
    </row>
    <row r="48217" ht="14.25" customHeight="1" s="192">
      <c r="W48217" s="231" t="n"/>
      <c r="X48217" s="231" t="n"/>
    </row>
    <row r="48218" ht="14.25" customHeight="1" s="192">
      <c r="W48218" s="33" t="n"/>
      <c r="X48218" s="33" t="n"/>
    </row>
    <row r="48220" ht="14.25" customHeight="1" s="192">
      <c r="W48220" s="231" t="n"/>
      <c r="X48220" s="231" t="n"/>
    </row>
    <row r="48221" ht="14.25" customHeight="1" s="192">
      <c r="W48221" s="235" t="n"/>
      <c r="X48221" s="235" t="n"/>
    </row>
    <row r="48222" ht="14.25" customHeight="1" s="192">
      <c r="W48222" s="228" t="n"/>
      <c r="X48222" s="228" t="n"/>
    </row>
    <row r="48223" ht="14.25" customHeight="1" s="192">
      <c r="W48223" s="235" t="n"/>
      <c r="X48223" s="235" t="n"/>
    </row>
    <row r="48224" ht="14.25" customHeight="1" s="192">
      <c r="W48224" s="235" t="n"/>
      <c r="X48224" s="235" t="n"/>
    </row>
    <row r="48225" ht="14.25" customHeight="1" s="192">
      <c r="W48225" s="235" t="n"/>
      <c r="X48225" s="235" t="n"/>
    </row>
    <row r="48226" ht="14.25" customHeight="1" s="192">
      <c r="W48226" s="239" t="n"/>
      <c r="X48226" s="239" t="n"/>
    </row>
    <row r="48227" ht="14.25" customHeight="1" s="192">
      <c r="W48227" s="239" t="n"/>
      <c r="X48227" s="239" t="n"/>
    </row>
    <row r="48228" ht="14.25" customHeight="1" s="192">
      <c r="W48228" s="239" t="n"/>
      <c r="X48228" s="239" t="n"/>
    </row>
    <row r="48229" ht="14.25" customHeight="1" s="192">
      <c r="W48229" s="235" t="n"/>
      <c r="X48229" s="235" t="n"/>
    </row>
    <row r="48230" ht="14.25" customHeight="1" s="192">
      <c r="W48230" s="235" t="n"/>
      <c r="X48230" s="235" t="n"/>
    </row>
    <row r="48231" ht="14.25" customHeight="1" s="192">
      <c r="W48231" s="235" t="n"/>
      <c r="X48231" s="235" t="n"/>
    </row>
    <row r="48232" ht="14.25" customHeight="1" s="192">
      <c r="W48232" s="239" t="n"/>
      <c r="X48232" s="239" t="n"/>
    </row>
    <row r="48233" ht="14.25" customHeight="1" s="192">
      <c r="W48233" s="239" t="n"/>
      <c r="X48233" s="239" t="n"/>
    </row>
    <row r="48234" ht="14.25" customHeight="1" s="192">
      <c r="W48234" s="235" t="n"/>
      <c r="X48234" s="235" t="n"/>
    </row>
    <row r="48235" ht="14.25" customHeight="1" s="192">
      <c r="W48235" s="235" t="n"/>
      <c r="X48235" s="235" t="n"/>
    </row>
    <row r="48236" ht="14.25" customHeight="1" s="192">
      <c r="W48236" s="239" t="n"/>
      <c r="X48236" s="239" t="n"/>
    </row>
    <row r="48237" ht="14.25" customHeight="1" s="192">
      <c r="W48237" s="235" t="n"/>
      <c r="X48237" s="235" t="n"/>
    </row>
    <row r="48238" ht="14.25" customHeight="1" s="192">
      <c r="W48238" s="239" t="n"/>
      <c r="X48238" s="239" t="n"/>
    </row>
    <row r="48240" ht="14.25" customHeight="1" s="192">
      <c r="W48240" s="235" t="n"/>
      <c r="X48240" s="235" t="n"/>
    </row>
    <row r="48241" ht="15" customHeight="1" s="192" thickBot="1">
      <c r="W48241" s="239" t="n"/>
      <c r="X48241" s="239" t="n"/>
    </row>
    <row r="48242" ht="15" customHeight="1" s="192" thickBot="1">
      <c r="W48242" s="45" t="n"/>
      <c r="X48242" s="45" t="n"/>
    </row>
    <row r="48243" ht="14.25" customHeight="1" s="192">
      <c r="W48243" s="228" t="n"/>
      <c r="X48243" s="228" t="n"/>
    </row>
    <row r="48244" ht="14.25" customHeight="1" s="192">
      <c r="W48244" s="228" t="n"/>
      <c r="X48244" s="228" t="n"/>
    </row>
    <row r="48245" ht="14.25" customHeight="1" s="192">
      <c r="W48245" s="231" t="n"/>
      <c r="X48245" s="231" t="n"/>
    </row>
    <row r="48246" ht="14.25" customHeight="1" s="192">
      <c r="W48246" s="33" t="n"/>
      <c r="X48246" s="33" t="n"/>
    </row>
    <row r="48247" ht="14.25" customHeight="1" s="192">
      <c r="W48247" s="231" t="n"/>
      <c r="X48247" s="231" t="n"/>
    </row>
    <row r="48248" ht="14.25" customHeight="1" s="192">
      <c r="W48248" s="33" t="n"/>
      <c r="X48248" s="33" t="n"/>
    </row>
    <row r="48250" ht="14.25" customHeight="1" s="192">
      <c r="W48250" s="231" t="n"/>
      <c r="X48250" s="231" t="n"/>
    </row>
    <row r="48251" ht="14.25" customHeight="1" s="192">
      <c r="W48251" s="235" t="n"/>
      <c r="X48251" s="235" t="n"/>
    </row>
    <row r="48252" ht="14.25" customHeight="1" s="192">
      <c r="W48252" s="228" t="n"/>
      <c r="X48252" s="228" t="n"/>
    </row>
    <row r="48253" ht="14.25" customHeight="1" s="192">
      <c r="W48253" s="235" t="n"/>
      <c r="X48253" s="235" t="n"/>
    </row>
    <row r="48254" ht="14.25" customHeight="1" s="192">
      <c r="W48254" s="235" t="n"/>
      <c r="X48254" s="235" t="n"/>
    </row>
    <row r="48255" ht="14.25" customHeight="1" s="192">
      <c r="W48255" s="235" t="n"/>
      <c r="X48255" s="235" t="n"/>
    </row>
    <row r="48256" ht="14.25" customHeight="1" s="192">
      <c r="W48256" s="239" t="n"/>
      <c r="X48256" s="239" t="n"/>
    </row>
    <row r="48257" ht="14.25" customHeight="1" s="192">
      <c r="W48257" s="239" t="n"/>
      <c r="X48257" s="239" t="n"/>
    </row>
    <row r="48258" ht="14.25" customHeight="1" s="192">
      <c r="W48258" s="239" t="n"/>
      <c r="X48258" s="239" t="n"/>
    </row>
    <row r="48259" ht="14.25" customHeight="1" s="192">
      <c r="W48259" s="235" t="n"/>
      <c r="X48259" s="235" t="n"/>
    </row>
    <row r="48260" ht="14.25" customHeight="1" s="192">
      <c r="W48260" s="235" t="n"/>
      <c r="X48260" s="235" t="n"/>
    </row>
    <row r="48261" ht="14.25" customHeight="1" s="192">
      <c r="W48261" s="235" t="n"/>
      <c r="X48261" s="235" t="n"/>
    </row>
    <row r="48262" ht="14.25" customHeight="1" s="192">
      <c r="W48262" s="239" t="n"/>
      <c r="X48262" s="239" t="n"/>
    </row>
    <row r="48263" ht="14.25" customHeight="1" s="192">
      <c r="W48263" s="239" t="n"/>
      <c r="X48263" s="239" t="n"/>
    </row>
    <row r="48264" ht="14.25" customHeight="1" s="192">
      <c r="W48264" s="235" t="n"/>
      <c r="X48264" s="235" t="n"/>
    </row>
    <row r="48265" ht="14.25" customHeight="1" s="192">
      <c r="W48265" s="235" t="n"/>
      <c r="X48265" s="235" t="n"/>
    </row>
    <row r="48266" ht="14.25" customHeight="1" s="192">
      <c r="W48266" s="239" t="n"/>
      <c r="X48266" s="239" t="n"/>
    </row>
    <row r="48267" ht="14.25" customHeight="1" s="192">
      <c r="W48267" s="235" t="n"/>
      <c r="X48267" s="235" t="n"/>
    </row>
    <row r="48268" ht="14.25" customHeight="1" s="192">
      <c r="W48268" s="239" t="n"/>
      <c r="X48268" s="239" t="n"/>
    </row>
    <row r="48270" ht="14.25" customHeight="1" s="192">
      <c r="W48270" s="235" t="n"/>
      <c r="X48270" s="235" t="n"/>
    </row>
    <row r="48271" ht="15" customHeight="1" s="192" thickBot="1">
      <c r="W48271" s="239" t="n"/>
      <c r="X48271" s="239" t="n"/>
    </row>
    <row r="48272" ht="15" customHeight="1" s="192" thickBot="1">
      <c r="W48272" s="45" t="n"/>
      <c r="X48272" s="45" t="n"/>
    </row>
    <row r="48273" ht="14.25" customHeight="1" s="192">
      <c r="W48273" s="228" t="n"/>
      <c r="X48273" s="228" t="n"/>
    </row>
    <row r="48274" ht="14.25" customHeight="1" s="192">
      <c r="W48274" s="228" t="n"/>
      <c r="X48274" s="228" t="n"/>
    </row>
    <row r="48275" ht="14.25" customHeight="1" s="192">
      <c r="W48275" s="231" t="n"/>
      <c r="X48275" s="231" t="n"/>
    </row>
    <row r="48276" ht="14.25" customHeight="1" s="192">
      <c r="W48276" s="33" t="n"/>
      <c r="X48276" s="33" t="n"/>
    </row>
    <row r="48277" ht="14.25" customHeight="1" s="192">
      <c r="W48277" s="231" t="n"/>
      <c r="X48277" s="231" t="n"/>
    </row>
    <row r="48278" ht="14.25" customHeight="1" s="192">
      <c r="W48278" s="33" t="n"/>
      <c r="X48278" s="33" t="n"/>
    </row>
    <row r="48280" ht="14.25" customHeight="1" s="192">
      <c r="W48280" s="231" t="n"/>
      <c r="X48280" s="231" t="n"/>
    </row>
    <row r="48281" ht="14.25" customHeight="1" s="192">
      <c r="W48281" s="235" t="n"/>
      <c r="X48281" s="235" t="n"/>
    </row>
    <row r="48282" ht="14.25" customHeight="1" s="192">
      <c r="W48282" s="228" t="n"/>
      <c r="X48282" s="228" t="n"/>
    </row>
    <row r="48283" ht="14.25" customHeight="1" s="192">
      <c r="W48283" s="235" t="n"/>
      <c r="X48283" s="235" t="n"/>
    </row>
    <row r="48284" ht="14.25" customHeight="1" s="192">
      <c r="W48284" s="235" t="n"/>
      <c r="X48284" s="235" t="n"/>
    </row>
    <row r="48285" ht="14.25" customHeight="1" s="192">
      <c r="W48285" s="235" t="n"/>
      <c r="X48285" s="235" t="n"/>
    </row>
    <row r="48286" ht="14.25" customHeight="1" s="192">
      <c r="W48286" s="239" t="n"/>
      <c r="X48286" s="239" t="n"/>
    </row>
    <row r="48287" ht="14.25" customHeight="1" s="192">
      <c r="W48287" s="239" t="n"/>
      <c r="X48287" s="239" t="n"/>
    </row>
    <row r="48288" ht="14.25" customHeight="1" s="192">
      <c r="W48288" s="239" t="n"/>
      <c r="X48288" s="239" t="n"/>
    </row>
    <row r="48289" ht="14.25" customHeight="1" s="192">
      <c r="W48289" s="235" t="n"/>
      <c r="X48289" s="235" t="n"/>
    </row>
    <row r="48290" ht="14.25" customHeight="1" s="192">
      <c r="W48290" s="235" t="n"/>
      <c r="X48290" s="235" t="n"/>
    </row>
    <row r="48291" ht="14.25" customHeight="1" s="192">
      <c r="W48291" s="235" t="n"/>
      <c r="X48291" s="235" t="n"/>
    </row>
    <row r="48292" ht="14.25" customHeight="1" s="192">
      <c r="W48292" s="239" t="n"/>
      <c r="X48292" s="239" t="n"/>
    </row>
    <row r="48293" ht="14.25" customHeight="1" s="192">
      <c r="W48293" s="239" t="n"/>
      <c r="X48293" s="239" t="n"/>
    </row>
    <row r="48294" ht="14.25" customHeight="1" s="192">
      <c r="W48294" s="235" t="n"/>
      <c r="X48294" s="235" t="n"/>
    </row>
    <row r="48295" ht="14.25" customHeight="1" s="192">
      <c r="W48295" s="235" t="n"/>
      <c r="X48295" s="235" t="n"/>
    </row>
    <row r="48296" ht="14.25" customHeight="1" s="192">
      <c r="W48296" s="239" t="n"/>
      <c r="X48296" s="239" t="n"/>
    </row>
    <row r="48297" ht="14.25" customHeight="1" s="192">
      <c r="W48297" s="235" t="n"/>
      <c r="X48297" s="235" t="n"/>
    </row>
    <row r="48298" ht="14.25" customHeight="1" s="192">
      <c r="W48298" s="239" t="n"/>
      <c r="X48298" s="239" t="n"/>
    </row>
    <row r="48300" ht="14.25" customHeight="1" s="192">
      <c r="W48300" s="235" t="n"/>
      <c r="X48300" s="235" t="n"/>
    </row>
    <row r="48301" ht="15" customHeight="1" s="192" thickBot="1">
      <c r="W48301" s="239" t="n"/>
      <c r="X48301" s="239" t="n"/>
    </row>
    <row r="48302" ht="15" customHeight="1" s="192" thickBot="1">
      <c r="W48302" s="45" t="n"/>
      <c r="X48302" s="45" t="n"/>
    </row>
    <row r="48303" ht="14.25" customHeight="1" s="192">
      <c r="W48303" s="228" t="n"/>
      <c r="X48303" s="228" t="n"/>
    </row>
    <row r="48304" ht="14.25" customHeight="1" s="192">
      <c r="W48304" s="228" t="n"/>
      <c r="X48304" s="228" t="n"/>
    </row>
    <row r="48305" ht="14.25" customHeight="1" s="192">
      <c r="W48305" s="231" t="n"/>
      <c r="X48305" s="231" t="n"/>
    </row>
    <row r="48306" ht="14.25" customHeight="1" s="192">
      <c r="W48306" s="33" t="n"/>
      <c r="X48306" s="33" t="n"/>
    </row>
    <row r="48307" ht="14.25" customHeight="1" s="192">
      <c r="W48307" s="231" t="n"/>
      <c r="X48307" s="231" t="n"/>
    </row>
    <row r="48308" ht="14.25" customHeight="1" s="192">
      <c r="W48308" s="33" t="n"/>
      <c r="X48308" s="33" t="n"/>
    </row>
    <row r="48310" ht="14.25" customHeight="1" s="192">
      <c r="W48310" s="231" t="n"/>
      <c r="X48310" s="231" t="n"/>
    </row>
    <row r="48311" ht="14.25" customHeight="1" s="192">
      <c r="W48311" s="235" t="n"/>
      <c r="X48311" s="235" t="n"/>
    </row>
    <row r="48312" ht="14.25" customHeight="1" s="192">
      <c r="W48312" s="228" t="n"/>
      <c r="X48312" s="228" t="n"/>
    </row>
    <row r="48313" ht="14.25" customHeight="1" s="192">
      <c r="W48313" s="235" t="n"/>
      <c r="X48313" s="235" t="n"/>
    </row>
    <row r="48314" ht="14.25" customHeight="1" s="192">
      <c r="W48314" s="235" t="n"/>
      <c r="X48314" s="235" t="n"/>
    </row>
    <row r="48315" ht="14.25" customHeight="1" s="192">
      <c r="W48315" s="235" t="n"/>
      <c r="X48315" s="235" t="n"/>
    </row>
    <row r="48316" ht="14.25" customHeight="1" s="192">
      <c r="W48316" s="239" t="n"/>
      <c r="X48316" s="239" t="n"/>
    </row>
    <row r="48317" ht="14.25" customHeight="1" s="192">
      <c r="W48317" s="239" t="n"/>
      <c r="X48317" s="239" t="n"/>
    </row>
    <row r="48318" ht="14.25" customHeight="1" s="192">
      <c r="W48318" s="239" t="n"/>
      <c r="X48318" s="239" t="n"/>
    </row>
    <row r="48319" ht="14.25" customHeight="1" s="192">
      <c r="W48319" s="235" t="n"/>
      <c r="X48319" s="235" t="n"/>
    </row>
    <row r="48320" ht="14.25" customHeight="1" s="192">
      <c r="W48320" s="235" t="n"/>
      <c r="X48320" s="235" t="n"/>
    </row>
    <row r="48321" ht="14.25" customHeight="1" s="192">
      <c r="W48321" s="235" t="n"/>
      <c r="X48321" s="235" t="n"/>
    </row>
    <row r="48322" ht="14.25" customHeight="1" s="192">
      <c r="W48322" s="239" t="n"/>
      <c r="X48322" s="239" t="n"/>
    </row>
    <row r="48323" ht="14.25" customHeight="1" s="192">
      <c r="W48323" s="239" t="n"/>
      <c r="X48323" s="239" t="n"/>
    </row>
    <row r="48324" ht="14.25" customHeight="1" s="192">
      <c r="W48324" s="235" t="n"/>
      <c r="X48324" s="235" t="n"/>
    </row>
    <row r="48325" ht="14.25" customHeight="1" s="192">
      <c r="W48325" s="235" t="n"/>
      <c r="X48325" s="235" t="n"/>
    </row>
    <row r="48326" ht="14.25" customHeight="1" s="192">
      <c r="W48326" s="239" t="n"/>
      <c r="X48326" s="239" t="n"/>
    </row>
    <row r="48327" ht="14.25" customHeight="1" s="192">
      <c r="W48327" s="235" t="n"/>
      <c r="X48327" s="235" t="n"/>
    </row>
    <row r="48328" ht="14.25" customHeight="1" s="192">
      <c r="W48328" s="239" t="n"/>
      <c r="X48328" s="239" t="n"/>
    </row>
    <row r="48330" ht="14.25" customHeight="1" s="192">
      <c r="W48330" s="235" t="n"/>
      <c r="X48330" s="235" t="n"/>
    </row>
    <row r="48331" ht="15" customHeight="1" s="192" thickBot="1">
      <c r="W48331" s="239" t="n"/>
      <c r="X48331" s="239" t="n"/>
    </row>
    <row r="48332" ht="15" customHeight="1" s="192" thickBot="1">
      <c r="W48332" s="45" t="n"/>
      <c r="X48332" s="45" t="n"/>
    </row>
    <row r="48333" ht="14.25" customHeight="1" s="192">
      <c r="W48333" s="228" t="n"/>
      <c r="X48333" s="228" t="n"/>
    </row>
    <row r="48334" ht="14.25" customHeight="1" s="192">
      <c r="W48334" s="228" t="n"/>
      <c r="X48334" s="228" t="n"/>
    </row>
    <row r="48335" ht="14.25" customHeight="1" s="192">
      <c r="W48335" s="231" t="n"/>
      <c r="X48335" s="231" t="n"/>
    </row>
    <row r="48336" ht="14.25" customHeight="1" s="192">
      <c r="W48336" s="33" t="n"/>
      <c r="X48336" s="33" t="n"/>
    </row>
    <row r="48337" ht="14.25" customHeight="1" s="192">
      <c r="W48337" s="231" t="n"/>
      <c r="X48337" s="231" t="n"/>
    </row>
    <row r="48338" ht="14.25" customHeight="1" s="192">
      <c r="W48338" s="33" t="n"/>
      <c r="X48338" s="33" t="n"/>
    </row>
    <row r="48340" ht="14.25" customHeight="1" s="192">
      <c r="W48340" s="231" t="n"/>
      <c r="X48340" s="231" t="n"/>
    </row>
    <row r="48341" ht="14.25" customHeight="1" s="192">
      <c r="W48341" s="235" t="n"/>
      <c r="X48341" s="235" t="n"/>
    </row>
    <row r="48342" ht="14.25" customHeight="1" s="192">
      <c r="W48342" s="228" t="n"/>
      <c r="X48342" s="228" t="n"/>
    </row>
    <row r="48343" ht="14.25" customHeight="1" s="192">
      <c r="W48343" s="235" t="n"/>
      <c r="X48343" s="235" t="n"/>
    </row>
    <row r="48344" ht="14.25" customHeight="1" s="192">
      <c r="W48344" s="235" t="n"/>
      <c r="X48344" s="235" t="n"/>
    </row>
    <row r="48345" ht="14.25" customHeight="1" s="192">
      <c r="W48345" s="235" t="n"/>
      <c r="X48345" s="235" t="n"/>
    </row>
    <row r="48346" ht="14.25" customHeight="1" s="192">
      <c r="W48346" s="239" t="n"/>
      <c r="X48346" s="239" t="n"/>
    </row>
    <row r="48347" ht="14.25" customHeight="1" s="192">
      <c r="W48347" s="239" t="n"/>
      <c r="X48347" s="239" t="n"/>
    </row>
    <row r="48348" ht="14.25" customHeight="1" s="192">
      <c r="W48348" s="239" t="n"/>
      <c r="X48348" s="239" t="n"/>
    </row>
    <row r="48349" ht="14.25" customHeight="1" s="192">
      <c r="W48349" s="235" t="n"/>
      <c r="X48349" s="235" t="n"/>
    </row>
    <row r="48350" ht="14.25" customHeight="1" s="192">
      <c r="W48350" s="235" t="n"/>
      <c r="X48350" s="235" t="n"/>
    </row>
    <row r="48351" ht="14.25" customHeight="1" s="192">
      <c r="W48351" s="235" t="n"/>
      <c r="X48351" s="235" t="n"/>
    </row>
    <row r="48352" ht="14.25" customHeight="1" s="192">
      <c r="W48352" s="239" t="n"/>
      <c r="X48352" s="239" t="n"/>
    </row>
    <row r="48353" ht="14.25" customHeight="1" s="192">
      <c r="W48353" s="239" t="n"/>
      <c r="X48353" s="239" t="n"/>
    </row>
    <row r="48354" ht="14.25" customHeight="1" s="192">
      <c r="W48354" s="235" t="n"/>
      <c r="X48354" s="235" t="n"/>
    </row>
    <row r="48355" ht="14.25" customHeight="1" s="192">
      <c r="W48355" s="235" t="n"/>
      <c r="X48355" s="235" t="n"/>
    </row>
    <row r="48356" ht="14.25" customHeight="1" s="192">
      <c r="W48356" s="239" t="n"/>
      <c r="X48356" s="239" t="n"/>
    </row>
    <row r="48357" ht="14.25" customHeight="1" s="192">
      <c r="W48357" s="235" t="n"/>
      <c r="X48357" s="235" t="n"/>
    </row>
    <row r="48358" ht="14.25" customHeight="1" s="192">
      <c r="W48358" s="239" t="n"/>
      <c r="X48358" s="239" t="n"/>
    </row>
    <row r="48360" ht="14.25" customHeight="1" s="192">
      <c r="W48360" s="235" t="n"/>
      <c r="X48360" s="235" t="n"/>
    </row>
    <row r="48361" ht="15" customHeight="1" s="192" thickBot="1">
      <c r="W48361" s="239" t="n"/>
      <c r="X48361" s="239" t="n"/>
    </row>
    <row r="48362" ht="15" customHeight="1" s="192" thickBot="1">
      <c r="W48362" s="45" t="n"/>
      <c r="X48362" s="45" t="n"/>
    </row>
    <row r="48363" ht="14.25" customHeight="1" s="192">
      <c r="W48363" s="228" t="n"/>
      <c r="X48363" s="228" t="n"/>
    </row>
    <row r="48364" ht="14.25" customHeight="1" s="192">
      <c r="W48364" s="228" t="n"/>
      <c r="X48364" s="228" t="n"/>
    </row>
    <row r="48365" ht="14.25" customHeight="1" s="192">
      <c r="W48365" s="231" t="n"/>
      <c r="X48365" s="231" t="n"/>
    </row>
    <row r="48366" ht="14.25" customHeight="1" s="192">
      <c r="W48366" s="33" t="n"/>
      <c r="X48366" s="33" t="n"/>
    </row>
    <row r="48367" ht="14.25" customHeight="1" s="192">
      <c r="W48367" s="231" t="n"/>
      <c r="X48367" s="231" t="n"/>
    </row>
    <row r="48368" ht="14.25" customHeight="1" s="192">
      <c r="W48368" s="33" t="n"/>
      <c r="X48368" s="33" t="n"/>
    </row>
    <row r="48370" ht="14.25" customHeight="1" s="192">
      <c r="W48370" s="231" t="n"/>
      <c r="X48370" s="231" t="n"/>
    </row>
    <row r="48371" ht="14.25" customHeight="1" s="192">
      <c r="W48371" s="235" t="n"/>
      <c r="X48371" s="235" t="n"/>
    </row>
    <row r="48372" ht="14.25" customHeight="1" s="192">
      <c r="W48372" s="228" t="n"/>
      <c r="X48372" s="228" t="n"/>
    </row>
    <row r="48373" ht="14.25" customHeight="1" s="192">
      <c r="W48373" s="235" t="n"/>
      <c r="X48373" s="235" t="n"/>
    </row>
    <row r="48374" ht="14.25" customHeight="1" s="192">
      <c r="W48374" s="235" t="n"/>
      <c r="X48374" s="235" t="n"/>
    </row>
    <row r="48375" ht="14.25" customHeight="1" s="192">
      <c r="W48375" s="235" t="n"/>
      <c r="X48375" s="235" t="n"/>
    </row>
    <row r="48376" ht="14.25" customHeight="1" s="192">
      <c r="W48376" s="239" t="n"/>
      <c r="X48376" s="239" t="n"/>
    </row>
    <row r="48377" ht="14.25" customHeight="1" s="192">
      <c r="W48377" s="239" t="n"/>
      <c r="X48377" s="239" t="n"/>
    </row>
    <row r="48378" ht="14.25" customHeight="1" s="192">
      <c r="W48378" s="239" t="n"/>
      <c r="X48378" s="239" t="n"/>
    </row>
    <row r="48379" ht="14.25" customHeight="1" s="192">
      <c r="W48379" s="235" t="n"/>
      <c r="X48379" s="235" t="n"/>
    </row>
    <row r="48380" ht="14.25" customHeight="1" s="192">
      <c r="W48380" s="235" t="n"/>
      <c r="X48380" s="235" t="n"/>
    </row>
    <row r="48381" ht="14.25" customHeight="1" s="192">
      <c r="W48381" s="235" t="n"/>
      <c r="X48381" s="235" t="n"/>
    </row>
    <row r="48382" ht="14.25" customHeight="1" s="192">
      <c r="W48382" s="239" t="n"/>
      <c r="X48382" s="239" t="n"/>
    </row>
    <row r="48383" ht="14.25" customHeight="1" s="192">
      <c r="W48383" s="239" t="n"/>
      <c r="X48383" s="239" t="n"/>
    </row>
    <row r="48384" ht="14.25" customHeight="1" s="192">
      <c r="W48384" s="235" t="n"/>
      <c r="X48384" s="235" t="n"/>
    </row>
    <row r="48385" ht="14.25" customHeight="1" s="192">
      <c r="W48385" s="235" t="n"/>
      <c r="X48385" s="235" t="n"/>
    </row>
    <row r="48386" ht="14.25" customHeight="1" s="192">
      <c r="W48386" s="239" t="n"/>
      <c r="X48386" s="239" t="n"/>
    </row>
    <row r="48387" ht="14.25" customHeight="1" s="192">
      <c r="W48387" s="235" t="n"/>
      <c r="X48387" s="235" t="n"/>
    </row>
    <row r="48388" ht="14.25" customHeight="1" s="192">
      <c r="W48388" s="239" t="n"/>
      <c r="X48388" s="239" t="n"/>
    </row>
    <row r="48390" ht="14.25" customHeight="1" s="192">
      <c r="W48390" s="235" t="n"/>
      <c r="X48390" s="235" t="n"/>
    </row>
    <row r="48391" ht="15" customHeight="1" s="192" thickBot="1">
      <c r="W48391" s="239" t="n"/>
      <c r="X48391" s="239" t="n"/>
    </row>
    <row r="48392" ht="15" customHeight="1" s="192" thickBot="1">
      <c r="W48392" s="45" t="n"/>
      <c r="X48392" s="45" t="n"/>
    </row>
    <row r="48393" ht="14.25" customHeight="1" s="192">
      <c r="W48393" s="228" t="n"/>
      <c r="X48393" s="228" t="n"/>
    </row>
    <row r="48394" ht="14.25" customHeight="1" s="192">
      <c r="W48394" s="228" t="n"/>
      <c r="X48394" s="228" t="n"/>
    </row>
    <row r="48395" ht="14.25" customHeight="1" s="192">
      <c r="W48395" s="231" t="n"/>
      <c r="X48395" s="231" t="n"/>
    </row>
    <row r="48396" ht="14.25" customHeight="1" s="192">
      <c r="W48396" s="33" t="n"/>
      <c r="X48396" s="33" t="n"/>
    </row>
    <row r="48397" ht="14.25" customHeight="1" s="192">
      <c r="W48397" s="231" t="n"/>
      <c r="X48397" s="231" t="n"/>
    </row>
    <row r="48398" ht="14.25" customHeight="1" s="192">
      <c r="W48398" s="33" t="n"/>
      <c r="X48398" s="33" t="n"/>
    </row>
    <row r="48400" ht="14.25" customHeight="1" s="192">
      <c r="W48400" s="231" t="n"/>
      <c r="X48400" s="231" t="n"/>
    </row>
    <row r="48401" ht="14.25" customHeight="1" s="192">
      <c r="W48401" s="235" t="n"/>
      <c r="X48401" s="235" t="n"/>
    </row>
    <row r="48402" ht="14.25" customHeight="1" s="192">
      <c r="W48402" s="228" t="n"/>
      <c r="X48402" s="228" t="n"/>
    </row>
    <row r="48403" ht="14.25" customHeight="1" s="192">
      <c r="W48403" s="235" t="n"/>
      <c r="X48403" s="235" t="n"/>
    </row>
    <row r="48404" ht="14.25" customHeight="1" s="192">
      <c r="W48404" s="235" t="n"/>
      <c r="X48404" s="235" t="n"/>
    </row>
    <row r="48405" ht="14.25" customHeight="1" s="192">
      <c r="W48405" s="235" t="n"/>
      <c r="X48405" s="235" t="n"/>
    </row>
    <row r="48406" ht="14.25" customHeight="1" s="192">
      <c r="W48406" s="239" t="n"/>
      <c r="X48406" s="239" t="n"/>
    </row>
    <row r="48407" ht="14.25" customHeight="1" s="192">
      <c r="W48407" s="239" t="n"/>
      <c r="X48407" s="239" t="n"/>
    </row>
    <row r="48408" ht="14.25" customHeight="1" s="192">
      <c r="W48408" s="239" t="n"/>
      <c r="X48408" s="239" t="n"/>
    </row>
    <row r="48409" ht="14.25" customHeight="1" s="192">
      <c r="W48409" s="235" t="n"/>
      <c r="X48409" s="235" t="n"/>
    </row>
    <row r="48410" ht="14.25" customHeight="1" s="192">
      <c r="W48410" s="235" t="n"/>
      <c r="X48410" s="235" t="n"/>
    </row>
    <row r="48411" ht="14.25" customHeight="1" s="192">
      <c r="W48411" s="235" t="n"/>
      <c r="X48411" s="235" t="n"/>
    </row>
    <row r="48412" ht="14.25" customHeight="1" s="192">
      <c r="W48412" s="239" t="n"/>
      <c r="X48412" s="239" t="n"/>
    </row>
    <row r="48413" ht="14.25" customHeight="1" s="192">
      <c r="W48413" s="239" t="n"/>
      <c r="X48413" s="239" t="n"/>
    </row>
    <row r="48414" ht="14.25" customHeight="1" s="192">
      <c r="W48414" s="235" t="n"/>
      <c r="X48414" s="235" t="n"/>
    </row>
    <row r="48415" ht="14.25" customHeight="1" s="192">
      <c r="W48415" s="235" t="n"/>
      <c r="X48415" s="235" t="n"/>
    </row>
    <row r="48416" ht="14.25" customHeight="1" s="192">
      <c r="W48416" s="239" t="n"/>
      <c r="X48416" s="239" t="n"/>
    </row>
    <row r="48417" ht="14.25" customHeight="1" s="192">
      <c r="W48417" s="235" t="n"/>
      <c r="X48417" s="235" t="n"/>
    </row>
    <row r="48418" ht="14.25" customHeight="1" s="192">
      <c r="W48418" s="239" t="n"/>
      <c r="X48418" s="239" t="n"/>
    </row>
    <row r="48420" ht="14.25" customHeight="1" s="192">
      <c r="W48420" s="235" t="n"/>
      <c r="X48420" s="235" t="n"/>
    </row>
    <row r="48421" ht="15" customHeight="1" s="192" thickBot="1">
      <c r="W48421" s="239" t="n"/>
      <c r="X48421" s="239" t="n"/>
    </row>
    <row r="48422" ht="15" customHeight="1" s="192" thickBot="1">
      <c r="W48422" s="45" t="n"/>
      <c r="X48422" s="45" t="n"/>
    </row>
    <row r="48423" ht="14.25" customHeight="1" s="192">
      <c r="W48423" s="228" t="n"/>
      <c r="X48423" s="228" t="n"/>
    </row>
    <row r="48424" ht="14.25" customHeight="1" s="192">
      <c r="W48424" s="228" t="n"/>
      <c r="X48424" s="228" t="n"/>
    </row>
    <row r="48425" ht="14.25" customHeight="1" s="192">
      <c r="W48425" s="231" t="n"/>
      <c r="X48425" s="231" t="n"/>
    </row>
    <row r="48426" ht="14.25" customHeight="1" s="192">
      <c r="W48426" s="33" t="n"/>
      <c r="X48426" s="33" t="n"/>
    </row>
    <row r="48427" ht="14.25" customHeight="1" s="192">
      <c r="W48427" s="231" t="n"/>
      <c r="X48427" s="231" t="n"/>
    </row>
    <row r="48428" ht="14.25" customHeight="1" s="192">
      <c r="W48428" s="33" t="n"/>
      <c r="X48428" s="33" t="n"/>
    </row>
    <row r="48430" ht="14.25" customHeight="1" s="192">
      <c r="W48430" s="231" t="n"/>
      <c r="X48430" s="231" t="n"/>
    </row>
    <row r="48431" ht="14.25" customHeight="1" s="192">
      <c r="W48431" s="235" t="n"/>
      <c r="X48431" s="235" t="n"/>
    </row>
    <row r="48432" ht="14.25" customHeight="1" s="192">
      <c r="W48432" s="228" t="n"/>
      <c r="X48432" s="228" t="n"/>
    </row>
    <row r="48433" ht="14.25" customHeight="1" s="192">
      <c r="W48433" s="235" t="n"/>
      <c r="X48433" s="235" t="n"/>
    </row>
    <row r="48434" ht="14.25" customHeight="1" s="192">
      <c r="W48434" s="235" t="n"/>
      <c r="X48434" s="235" t="n"/>
    </row>
    <row r="48435" ht="14.25" customHeight="1" s="192">
      <c r="W48435" s="235" t="n"/>
      <c r="X48435" s="235" t="n"/>
    </row>
    <row r="48436" ht="14.25" customHeight="1" s="192">
      <c r="W48436" s="239" t="n"/>
      <c r="X48436" s="239" t="n"/>
    </row>
    <row r="48437" ht="14.25" customHeight="1" s="192">
      <c r="W48437" s="239" t="n"/>
      <c r="X48437" s="239" t="n"/>
    </row>
    <row r="48438" ht="14.25" customHeight="1" s="192">
      <c r="W48438" s="239" t="n"/>
      <c r="X48438" s="239" t="n"/>
    </row>
    <row r="48439" ht="14.25" customHeight="1" s="192">
      <c r="W48439" s="235" t="n"/>
      <c r="X48439" s="235" t="n"/>
    </row>
    <row r="48440" ht="14.25" customHeight="1" s="192">
      <c r="W48440" s="235" t="n"/>
      <c r="X48440" s="235" t="n"/>
    </row>
    <row r="48441" ht="14.25" customHeight="1" s="192">
      <c r="W48441" s="235" t="n"/>
      <c r="X48441" s="235" t="n"/>
    </row>
    <row r="48442" ht="14.25" customHeight="1" s="192">
      <c r="W48442" s="239" t="n"/>
      <c r="X48442" s="239" t="n"/>
    </row>
    <row r="48443" ht="14.25" customHeight="1" s="192">
      <c r="W48443" s="239" t="n"/>
      <c r="X48443" s="239" t="n"/>
    </row>
    <row r="48444" ht="14.25" customHeight="1" s="192">
      <c r="W48444" s="235" t="n"/>
      <c r="X48444" s="235" t="n"/>
    </row>
    <row r="48445" ht="14.25" customHeight="1" s="192">
      <c r="W48445" s="235" t="n"/>
      <c r="X48445" s="235" t="n"/>
    </row>
    <row r="48446" ht="14.25" customHeight="1" s="192">
      <c r="W48446" s="239" t="n"/>
      <c r="X48446" s="239" t="n"/>
    </row>
    <row r="48447" ht="14.25" customHeight="1" s="192">
      <c r="W48447" s="235" t="n"/>
      <c r="X48447" s="235" t="n"/>
    </row>
    <row r="48448" ht="14.25" customHeight="1" s="192">
      <c r="W48448" s="239" t="n"/>
      <c r="X48448" s="239" t="n"/>
    </row>
    <row r="48450" ht="14.25" customHeight="1" s="192">
      <c r="W48450" s="235" t="n"/>
      <c r="X48450" s="235" t="n"/>
    </row>
    <row r="48451" ht="15" customHeight="1" s="192" thickBot="1">
      <c r="W48451" s="239" t="n"/>
      <c r="X48451" s="239" t="n"/>
    </row>
    <row r="48452" ht="15" customHeight="1" s="192" thickBot="1">
      <c r="W48452" s="45" t="n"/>
      <c r="X48452" s="45" t="n"/>
    </row>
    <row r="48453" ht="14.25" customHeight="1" s="192">
      <c r="W48453" s="228" t="n"/>
      <c r="X48453" s="228" t="n"/>
    </row>
    <row r="48454" ht="14.25" customHeight="1" s="192">
      <c r="W48454" s="228" t="n"/>
      <c r="X48454" s="228" t="n"/>
    </row>
    <row r="48455" ht="14.25" customHeight="1" s="192">
      <c r="W48455" s="231" t="n"/>
      <c r="X48455" s="231" t="n"/>
    </row>
    <row r="48456" ht="14.25" customHeight="1" s="192">
      <c r="W48456" s="33" t="n"/>
      <c r="X48456" s="33" t="n"/>
    </row>
    <row r="48457" ht="14.25" customHeight="1" s="192">
      <c r="W48457" s="231" t="n"/>
      <c r="X48457" s="231" t="n"/>
    </row>
    <row r="48458" ht="14.25" customHeight="1" s="192">
      <c r="W48458" s="33" t="n"/>
      <c r="X48458" s="33" t="n"/>
    </row>
    <row r="48460" ht="14.25" customHeight="1" s="192">
      <c r="W48460" s="231" t="n"/>
      <c r="X48460" s="231" t="n"/>
    </row>
    <row r="48461" ht="14.25" customHeight="1" s="192">
      <c r="W48461" s="235" t="n"/>
      <c r="X48461" s="235" t="n"/>
    </row>
    <row r="48462" ht="14.25" customHeight="1" s="192">
      <c r="W48462" s="228" t="n"/>
      <c r="X48462" s="228" t="n"/>
    </row>
    <row r="48463" ht="14.25" customHeight="1" s="192">
      <c r="W48463" s="235" t="n"/>
      <c r="X48463" s="235" t="n"/>
    </row>
    <row r="48464" ht="14.25" customHeight="1" s="192">
      <c r="W48464" s="235" t="n"/>
      <c r="X48464" s="235" t="n"/>
    </row>
    <row r="48465" ht="14.25" customHeight="1" s="192">
      <c r="W48465" s="235" t="n"/>
      <c r="X48465" s="235" t="n"/>
    </row>
    <row r="48466" ht="14.25" customHeight="1" s="192">
      <c r="W48466" s="239" t="n"/>
      <c r="X48466" s="239" t="n"/>
    </row>
    <row r="48467" ht="14.25" customHeight="1" s="192">
      <c r="W48467" s="239" t="n"/>
      <c r="X48467" s="239" t="n"/>
    </row>
    <row r="48468" ht="14.25" customHeight="1" s="192">
      <c r="W48468" s="239" t="n"/>
      <c r="X48468" s="239" t="n"/>
    </row>
    <row r="48469" ht="14.25" customHeight="1" s="192">
      <c r="W48469" s="235" t="n"/>
      <c r="X48469" s="235" t="n"/>
    </row>
    <row r="48470" ht="14.25" customHeight="1" s="192">
      <c r="W48470" s="235" t="n"/>
      <c r="X48470" s="235" t="n"/>
    </row>
    <row r="48471" ht="14.25" customHeight="1" s="192">
      <c r="W48471" s="235" t="n"/>
      <c r="X48471" s="235" t="n"/>
    </row>
    <row r="48472" ht="14.25" customHeight="1" s="192">
      <c r="W48472" s="239" t="n"/>
      <c r="X48472" s="239" t="n"/>
    </row>
    <row r="48473" ht="14.25" customHeight="1" s="192">
      <c r="W48473" s="239" t="n"/>
      <c r="X48473" s="239" t="n"/>
    </row>
    <row r="48474" ht="14.25" customHeight="1" s="192">
      <c r="W48474" s="235" t="n"/>
      <c r="X48474" s="235" t="n"/>
    </row>
    <row r="48475" ht="14.25" customHeight="1" s="192">
      <c r="W48475" s="235" t="n"/>
      <c r="X48475" s="235" t="n"/>
    </row>
    <row r="48476" ht="14.25" customHeight="1" s="192">
      <c r="W48476" s="239" t="n"/>
      <c r="X48476" s="239" t="n"/>
    </row>
    <row r="48477" ht="14.25" customHeight="1" s="192">
      <c r="W48477" s="235" t="n"/>
      <c r="X48477" s="235" t="n"/>
    </row>
    <row r="48478" ht="14.25" customHeight="1" s="192">
      <c r="W48478" s="239" t="n"/>
      <c r="X48478" s="239" t="n"/>
    </row>
    <row r="48480" ht="14.25" customHeight="1" s="192">
      <c r="W48480" s="235" t="n"/>
      <c r="X48480" s="235" t="n"/>
    </row>
    <row r="48481" ht="15" customHeight="1" s="192" thickBot="1">
      <c r="W48481" s="239" t="n"/>
      <c r="X48481" s="239" t="n"/>
    </row>
    <row r="48482" ht="15" customHeight="1" s="192" thickBot="1">
      <c r="W48482" s="45" t="n"/>
      <c r="X48482" s="45" t="n"/>
    </row>
    <row r="48483" ht="14.25" customHeight="1" s="192">
      <c r="W48483" s="228" t="n"/>
      <c r="X48483" s="228" t="n"/>
    </row>
    <row r="48484" ht="14.25" customHeight="1" s="192">
      <c r="W48484" s="228" t="n"/>
      <c r="X48484" s="228" t="n"/>
    </row>
    <row r="48485" ht="14.25" customHeight="1" s="192">
      <c r="W48485" s="231" t="n"/>
      <c r="X48485" s="231" t="n"/>
    </row>
    <row r="48486" ht="14.25" customHeight="1" s="192">
      <c r="W48486" s="33" t="n"/>
      <c r="X48486" s="33" t="n"/>
    </row>
    <row r="48487" ht="14.25" customHeight="1" s="192">
      <c r="W48487" s="231" t="n"/>
      <c r="X48487" s="231" t="n"/>
    </row>
    <row r="48488" ht="14.25" customHeight="1" s="192">
      <c r="W48488" s="33" t="n"/>
      <c r="X48488" s="33" t="n"/>
    </row>
    <row r="48490" ht="14.25" customHeight="1" s="192">
      <c r="W48490" s="231" t="n"/>
      <c r="X48490" s="231" t="n"/>
    </row>
    <row r="48491" ht="14.25" customHeight="1" s="192">
      <c r="W48491" s="235" t="n"/>
      <c r="X48491" s="235" t="n"/>
    </row>
    <row r="48492" ht="14.25" customHeight="1" s="192">
      <c r="W48492" s="228" t="n"/>
      <c r="X48492" s="228" t="n"/>
    </row>
    <row r="48493" ht="14.25" customHeight="1" s="192">
      <c r="W48493" s="235" t="n"/>
      <c r="X48493" s="235" t="n"/>
    </row>
    <row r="48494" ht="14.25" customHeight="1" s="192">
      <c r="W48494" s="235" t="n"/>
      <c r="X48494" s="235" t="n"/>
    </row>
    <row r="48495" ht="14.25" customHeight="1" s="192">
      <c r="W48495" s="235" t="n"/>
      <c r="X48495" s="235" t="n"/>
    </row>
    <row r="48496" ht="14.25" customHeight="1" s="192">
      <c r="W48496" s="239" t="n"/>
      <c r="X48496" s="239" t="n"/>
    </row>
    <row r="48497" ht="14.25" customHeight="1" s="192">
      <c r="W48497" s="239" t="n"/>
      <c r="X48497" s="239" t="n"/>
    </row>
    <row r="48498" ht="14.25" customHeight="1" s="192">
      <c r="W48498" s="239" t="n"/>
      <c r="X48498" s="239" t="n"/>
    </row>
    <row r="48499" ht="14.25" customHeight="1" s="192">
      <c r="W48499" s="235" t="n"/>
      <c r="X48499" s="235" t="n"/>
    </row>
    <row r="48500" ht="14.25" customHeight="1" s="192">
      <c r="W48500" s="235" t="n"/>
      <c r="X48500" s="235" t="n"/>
    </row>
    <row r="48501" ht="14.25" customHeight="1" s="192">
      <c r="W48501" s="235" t="n"/>
      <c r="X48501" s="235" t="n"/>
    </row>
    <row r="48502" ht="14.25" customHeight="1" s="192">
      <c r="W48502" s="239" t="n"/>
      <c r="X48502" s="239" t="n"/>
    </row>
    <row r="48503" ht="14.25" customHeight="1" s="192">
      <c r="W48503" s="239" t="n"/>
      <c r="X48503" s="239" t="n"/>
    </row>
    <row r="48504" ht="14.25" customHeight="1" s="192">
      <c r="W48504" s="235" t="n"/>
      <c r="X48504" s="235" t="n"/>
    </row>
    <row r="48505" ht="14.25" customHeight="1" s="192">
      <c r="W48505" s="235" t="n"/>
      <c r="X48505" s="235" t="n"/>
    </row>
    <row r="48506" ht="14.25" customHeight="1" s="192">
      <c r="W48506" s="239" t="n"/>
      <c r="X48506" s="239" t="n"/>
    </row>
    <row r="48507" ht="14.25" customHeight="1" s="192">
      <c r="W48507" s="235" t="n"/>
      <c r="X48507" s="235" t="n"/>
    </row>
    <row r="48508" ht="14.25" customHeight="1" s="192">
      <c r="W48508" s="239" t="n"/>
      <c r="X48508" s="239" t="n"/>
    </row>
    <row r="48510" ht="14.25" customHeight="1" s="192">
      <c r="W48510" s="235" t="n"/>
      <c r="X48510" s="235" t="n"/>
    </row>
    <row r="48511" ht="15" customHeight="1" s="192" thickBot="1">
      <c r="W48511" s="239" t="n"/>
      <c r="X48511" s="239" t="n"/>
    </row>
    <row r="48512" ht="15" customHeight="1" s="192" thickBot="1">
      <c r="W48512" s="45" t="n"/>
      <c r="X48512" s="45" t="n"/>
    </row>
    <row r="48513" ht="14.25" customHeight="1" s="192">
      <c r="W48513" s="228" t="n"/>
      <c r="X48513" s="228" t="n"/>
    </row>
    <row r="48514" ht="14.25" customHeight="1" s="192">
      <c r="W48514" s="228" t="n"/>
      <c r="X48514" s="228" t="n"/>
    </row>
    <row r="48515" ht="14.25" customHeight="1" s="192">
      <c r="W48515" s="231" t="n"/>
      <c r="X48515" s="231" t="n"/>
    </row>
    <row r="48516" ht="14.25" customHeight="1" s="192">
      <c r="W48516" s="33" t="n"/>
      <c r="X48516" s="33" t="n"/>
    </row>
    <row r="48517" ht="14.25" customHeight="1" s="192">
      <c r="W48517" s="231" t="n"/>
      <c r="X48517" s="231" t="n"/>
    </row>
    <row r="48518" ht="14.25" customHeight="1" s="192">
      <c r="W48518" s="33" t="n"/>
      <c r="X48518" s="33" t="n"/>
    </row>
    <row r="48520" ht="14.25" customHeight="1" s="192">
      <c r="W48520" s="231" t="n"/>
      <c r="X48520" s="231" t="n"/>
    </row>
    <row r="48521" ht="14.25" customHeight="1" s="192">
      <c r="W48521" s="235" t="n"/>
      <c r="X48521" s="235" t="n"/>
    </row>
    <row r="48522" ht="14.25" customHeight="1" s="192">
      <c r="W48522" s="228" t="n"/>
      <c r="X48522" s="228" t="n"/>
    </row>
    <row r="48523" ht="14.25" customHeight="1" s="192">
      <c r="W48523" s="235" t="n"/>
      <c r="X48523" s="235" t="n"/>
    </row>
    <row r="48524" ht="14.25" customHeight="1" s="192">
      <c r="W48524" s="235" t="n"/>
      <c r="X48524" s="235" t="n"/>
    </row>
    <row r="48525" ht="14.25" customHeight="1" s="192">
      <c r="W48525" s="235" t="n"/>
      <c r="X48525" s="235" t="n"/>
    </row>
    <row r="48526" ht="14.25" customHeight="1" s="192">
      <c r="W48526" s="239" t="n"/>
      <c r="X48526" s="239" t="n"/>
    </row>
    <row r="48527" ht="14.25" customHeight="1" s="192">
      <c r="W48527" s="239" t="n"/>
      <c r="X48527" s="239" t="n"/>
    </row>
    <row r="48528" ht="14.25" customHeight="1" s="192">
      <c r="W48528" s="239" t="n"/>
      <c r="X48528" s="239" t="n"/>
    </row>
    <row r="48529" ht="14.25" customHeight="1" s="192">
      <c r="W48529" s="235" t="n"/>
      <c r="X48529" s="235" t="n"/>
    </row>
    <row r="48530" ht="14.25" customHeight="1" s="192">
      <c r="W48530" s="235" t="n"/>
      <c r="X48530" s="235" t="n"/>
    </row>
    <row r="48531" ht="14.25" customHeight="1" s="192">
      <c r="W48531" s="235" t="n"/>
      <c r="X48531" s="235" t="n"/>
    </row>
    <row r="48532" ht="14.25" customHeight="1" s="192">
      <c r="W48532" s="239" t="n"/>
      <c r="X48532" s="239" t="n"/>
    </row>
    <row r="48533" ht="14.25" customHeight="1" s="192">
      <c r="W48533" s="239" t="n"/>
      <c r="X48533" s="239" t="n"/>
    </row>
    <row r="48534" ht="14.25" customHeight="1" s="192">
      <c r="W48534" s="235" t="n"/>
      <c r="X48534" s="235" t="n"/>
    </row>
    <row r="48535" ht="14.25" customHeight="1" s="192">
      <c r="W48535" s="235" t="n"/>
      <c r="X48535" s="235" t="n"/>
    </row>
    <row r="48536" ht="14.25" customHeight="1" s="192">
      <c r="W48536" s="239" t="n"/>
      <c r="X48536" s="239" t="n"/>
    </row>
    <row r="48537" ht="14.25" customHeight="1" s="192">
      <c r="W48537" s="235" t="n"/>
      <c r="X48537" s="235" t="n"/>
    </row>
    <row r="48538" ht="14.25" customHeight="1" s="192">
      <c r="W48538" s="239" t="n"/>
      <c r="X48538" s="239" t="n"/>
    </row>
    <row r="48540" ht="14.25" customHeight="1" s="192">
      <c r="W48540" s="235" t="n"/>
      <c r="X48540" s="235" t="n"/>
    </row>
    <row r="48541" ht="15" customHeight="1" s="192" thickBot="1">
      <c r="W48541" s="239" t="n"/>
      <c r="X48541" s="239" t="n"/>
    </row>
    <row r="48542" ht="15" customHeight="1" s="192" thickBot="1">
      <c r="W48542" s="45" t="n"/>
      <c r="X48542" s="45" t="n"/>
    </row>
    <row r="48543" ht="14.25" customHeight="1" s="192">
      <c r="W48543" s="228" t="n"/>
      <c r="X48543" s="228" t="n"/>
    </row>
    <row r="48544" ht="14.25" customHeight="1" s="192">
      <c r="W48544" s="228" t="n"/>
      <c r="X48544" s="228" t="n"/>
    </row>
    <row r="48545" ht="14.25" customHeight="1" s="192">
      <c r="W48545" s="231" t="n"/>
      <c r="X48545" s="231" t="n"/>
    </row>
    <row r="48546" ht="14.25" customHeight="1" s="192">
      <c r="W48546" s="33" t="n"/>
      <c r="X48546" s="33" t="n"/>
    </row>
    <row r="48547" ht="14.25" customHeight="1" s="192">
      <c r="W48547" s="231" t="n"/>
      <c r="X48547" s="231" t="n"/>
    </row>
    <row r="48548" ht="14.25" customHeight="1" s="192">
      <c r="W48548" s="33" t="n"/>
      <c r="X48548" s="33" t="n"/>
    </row>
    <row r="48550" ht="14.25" customHeight="1" s="192">
      <c r="W48550" s="231" t="n"/>
      <c r="X48550" s="231" t="n"/>
    </row>
    <row r="48551" ht="14.25" customHeight="1" s="192">
      <c r="W48551" s="235" t="n"/>
      <c r="X48551" s="235" t="n"/>
    </row>
    <row r="48552" ht="14.25" customHeight="1" s="192">
      <c r="W48552" s="228" t="n"/>
      <c r="X48552" s="228" t="n"/>
    </row>
    <row r="48553" ht="14.25" customHeight="1" s="192">
      <c r="W48553" s="235" t="n"/>
      <c r="X48553" s="235" t="n"/>
    </row>
    <row r="48554" ht="14.25" customHeight="1" s="192">
      <c r="W48554" s="235" t="n"/>
      <c r="X48554" s="235" t="n"/>
    </row>
    <row r="48555" ht="14.25" customHeight="1" s="192">
      <c r="W48555" s="235" t="n"/>
      <c r="X48555" s="235" t="n"/>
    </row>
    <row r="48556" ht="14.25" customHeight="1" s="192">
      <c r="W48556" s="239" t="n"/>
      <c r="X48556" s="239" t="n"/>
    </row>
    <row r="48557" ht="14.25" customHeight="1" s="192">
      <c r="W48557" s="239" t="n"/>
      <c r="X48557" s="239" t="n"/>
    </row>
    <row r="48558" ht="14.25" customHeight="1" s="192">
      <c r="W48558" s="239" t="n"/>
      <c r="X48558" s="239" t="n"/>
    </row>
    <row r="48559" ht="14.25" customHeight="1" s="192">
      <c r="W48559" s="235" t="n"/>
      <c r="X48559" s="235" t="n"/>
    </row>
    <row r="48560" ht="14.25" customHeight="1" s="192">
      <c r="W48560" s="235" t="n"/>
      <c r="X48560" s="235" t="n"/>
    </row>
    <row r="48561" ht="14.25" customHeight="1" s="192">
      <c r="W48561" s="235" t="n"/>
      <c r="X48561" s="235" t="n"/>
    </row>
    <row r="48562" ht="14.25" customHeight="1" s="192">
      <c r="W48562" s="239" t="n"/>
      <c r="X48562" s="239" t="n"/>
    </row>
    <row r="48563" ht="14.25" customHeight="1" s="192">
      <c r="W48563" s="239" t="n"/>
      <c r="X48563" s="239" t="n"/>
    </row>
    <row r="48564" ht="14.25" customHeight="1" s="192">
      <c r="W48564" s="235" t="n"/>
      <c r="X48564" s="235" t="n"/>
    </row>
    <row r="48565" ht="14.25" customHeight="1" s="192">
      <c r="W48565" s="235" t="n"/>
      <c r="X48565" s="235" t="n"/>
    </row>
    <row r="48566" ht="14.25" customHeight="1" s="192">
      <c r="W48566" s="239" t="n"/>
      <c r="X48566" s="239" t="n"/>
    </row>
    <row r="48567" ht="14.25" customHeight="1" s="192">
      <c r="W48567" s="235" t="n"/>
      <c r="X48567" s="235" t="n"/>
    </row>
    <row r="48568" ht="14.25" customHeight="1" s="192">
      <c r="W48568" s="239" t="n"/>
      <c r="X48568" s="239" t="n"/>
    </row>
    <row r="48570" ht="14.25" customHeight="1" s="192">
      <c r="W48570" s="235" t="n"/>
      <c r="X48570" s="235" t="n"/>
    </row>
    <row r="48571" ht="15" customHeight="1" s="192" thickBot="1">
      <c r="W48571" s="239" t="n"/>
      <c r="X48571" s="239" t="n"/>
    </row>
    <row r="48572" ht="15" customHeight="1" s="192" thickBot="1">
      <c r="W48572" s="45" t="n"/>
      <c r="X48572" s="45" t="n"/>
    </row>
    <row r="48573" ht="14.25" customHeight="1" s="192">
      <c r="W48573" s="228" t="n"/>
      <c r="X48573" s="228" t="n"/>
    </row>
    <row r="48574" ht="14.25" customHeight="1" s="192">
      <c r="W48574" s="228" t="n"/>
      <c r="X48574" s="228" t="n"/>
    </row>
    <row r="48575" ht="14.25" customHeight="1" s="192">
      <c r="W48575" s="231" t="n"/>
      <c r="X48575" s="231" t="n"/>
    </row>
    <row r="48576" ht="14.25" customHeight="1" s="192">
      <c r="W48576" s="33" t="n"/>
      <c r="X48576" s="33" t="n"/>
    </row>
    <row r="48577" ht="14.25" customHeight="1" s="192">
      <c r="W48577" s="231" t="n"/>
      <c r="X48577" s="231" t="n"/>
    </row>
    <row r="48578" ht="14.25" customHeight="1" s="192">
      <c r="W48578" s="33" t="n"/>
      <c r="X48578" s="33" t="n"/>
    </row>
    <row r="48580" ht="14.25" customHeight="1" s="192">
      <c r="W48580" s="231" t="n"/>
      <c r="X48580" s="231" t="n"/>
    </row>
    <row r="48581" ht="14.25" customHeight="1" s="192">
      <c r="W48581" s="235" t="n"/>
      <c r="X48581" s="235" t="n"/>
    </row>
    <row r="48582" ht="14.25" customHeight="1" s="192">
      <c r="W48582" s="228" t="n"/>
      <c r="X48582" s="228" t="n"/>
    </row>
    <row r="48583" ht="14.25" customHeight="1" s="192">
      <c r="W48583" s="235" t="n"/>
      <c r="X48583" s="235" t="n"/>
    </row>
    <row r="48584" ht="14.25" customHeight="1" s="192">
      <c r="W48584" s="235" t="n"/>
      <c r="X48584" s="235" t="n"/>
    </row>
    <row r="48585" ht="14.25" customHeight="1" s="192">
      <c r="W48585" s="235" t="n"/>
      <c r="X48585" s="235" t="n"/>
    </row>
    <row r="48586" ht="14.25" customHeight="1" s="192">
      <c r="W48586" s="239" t="n"/>
      <c r="X48586" s="239" t="n"/>
    </row>
    <row r="48587" ht="14.25" customHeight="1" s="192">
      <c r="W48587" s="239" t="n"/>
      <c r="X48587" s="239" t="n"/>
    </row>
    <row r="48588" ht="14.25" customHeight="1" s="192">
      <c r="W48588" s="239" t="n"/>
      <c r="X48588" s="239" t="n"/>
    </row>
    <row r="48589" ht="14.25" customHeight="1" s="192">
      <c r="W48589" s="235" t="n"/>
      <c r="X48589" s="235" t="n"/>
    </row>
    <row r="48590" ht="14.25" customHeight="1" s="192">
      <c r="W48590" s="235" t="n"/>
      <c r="X48590" s="235" t="n"/>
    </row>
    <row r="48591" ht="14.25" customHeight="1" s="192">
      <c r="W48591" s="235" t="n"/>
      <c r="X48591" s="235" t="n"/>
    </row>
    <row r="48592" ht="14.25" customHeight="1" s="192">
      <c r="W48592" s="239" t="n"/>
      <c r="X48592" s="239" t="n"/>
    </row>
    <row r="48593" ht="14.25" customHeight="1" s="192">
      <c r="W48593" s="239" t="n"/>
      <c r="X48593" s="239" t="n"/>
    </row>
    <row r="48594" ht="14.25" customHeight="1" s="192">
      <c r="W48594" s="235" t="n"/>
      <c r="X48594" s="235" t="n"/>
    </row>
    <row r="48595" ht="14.25" customHeight="1" s="192">
      <c r="W48595" s="235" t="n"/>
      <c r="X48595" s="235" t="n"/>
    </row>
    <row r="48596" ht="14.25" customHeight="1" s="192">
      <c r="W48596" s="239" t="n"/>
      <c r="X48596" s="239" t="n"/>
    </row>
    <row r="48597" ht="14.25" customHeight="1" s="192">
      <c r="W48597" s="235" t="n"/>
      <c r="X48597" s="235" t="n"/>
    </row>
    <row r="48598" ht="14.25" customHeight="1" s="192">
      <c r="W48598" s="239" t="n"/>
      <c r="X48598" s="239" t="n"/>
    </row>
    <row r="48600" ht="14.25" customHeight="1" s="192">
      <c r="W48600" s="235" t="n"/>
      <c r="X48600" s="235" t="n"/>
    </row>
    <row r="48601" ht="15" customHeight="1" s="192" thickBot="1">
      <c r="W48601" s="239" t="n"/>
      <c r="X48601" s="239" t="n"/>
    </row>
    <row r="48602" ht="15" customHeight="1" s="192" thickBot="1">
      <c r="W48602" s="45" t="n"/>
      <c r="X48602" s="45" t="n"/>
    </row>
    <row r="48603" ht="14.25" customHeight="1" s="192">
      <c r="W48603" s="228" t="n"/>
      <c r="X48603" s="228" t="n"/>
    </row>
    <row r="48604" ht="14.25" customHeight="1" s="192">
      <c r="W48604" s="228" t="n"/>
      <c r="X48604" s="228" t="n"/>
    </row>
    <row r="48605" ht="14.25" customHeight="1" s="192">
      <c r="W48605" s="231" t="n"/>
      <c r="X48605" s="231" t="n"/>
    </row>
    <row r="48606" ht="14.25" customHeight="1" s="192">
      <c r="W48606" s="33" t="n"/>
      <c r="X48606" s="33" t="n"/>
    </row>
    <row r="48607" ht="14.25" customHeight="1" s="192">
      <c r="W48607" s="231" t="n"/>
      <c r="X48607" s="231" t="n"/>
    </row>
    <row r="48608" ht="14.25" customHeight="1" s="192">
      <c r="W48608" s="33" t="n"/>
      <c r="X48608" s="33" t="n"/>
    </row>
    <row r="48610" ht="14.25" customHeight="1" s="192">
      <c r="W48610" s="231" t="n"/>
      <c r="X48610" s="231" t="n"/>
    </row>
    <row r="48611" ht="14.25" customHeight="1" s="192">
      <c r="W48611" s="235" t="n"/>
      <c r="X48611" s="235" t="n"/>
    </row>
    <row r="48612" ht="14.25" customHeight="1" s="192">
      <c r="W48612" s="228" t="n"/>
      <c r="X48612" s="228" t="n"/>
    </row>
    <row r="48613" ht="14.25" customHeight="1" s="192">
      <c r="W48613" s="235" t="n"/>
      <c r="X48613" s="235" t="n"/>
    </row>
    <row r="48614" ht="14.25" customHeight="1" s="192">
      <c r="W48614" s="235" t="n"/>
      <c r="X48614" s="235" t="n"/>
    </row>
    <row r="48615" ht="14.25" customHeight="1" s="192">
      <c r="W48615" s="235" t="n"/>
      <c r="X48615" s="235" t="n"/>
    </row>
    <row r="48616" ht="14.25" customHeight="1" s="192">
      <c r="W48616" s="239" t="n"/>
      <c r="X48616" s="239" t="n"/>
    </row>
    <row r="48617" ht="14.25" customHeight="1" s="192">
      <c r="W48617" s="239" t="n"/>
      <c r="X48617" s="239" t="n"/>
    </row>
    <row r="48618" ht="14.25" customHeight="1" s="192">
      <c r="W48618" s="239" t="n"/>
      <c r="X48618" s="239" t="n"/>
    </row>
    <row r="48619" ht="14.25" customHeight="1" s="192">
      <c r="W48619" s="235" t="n"/>
      <c r="X48619" s="235" t="n"/>
    </row>
    <row r="48620" ht="14.25" customHeight="1" s="192">
      <c r="W48620" s="235" t="n"/>
      <c r="X48620" s="235" t="n"/>
    </row>
    <row r="48621" ht="14.25" customHeight="1" s="192">
      <c r="W48621" s="235" t="n"/>
      <c r="X48621" s="235" t="n"/>
    </row>
    <row r="48622" ht="14.25" customHeight="1" s="192">
      <c r="W48622" s="239" t="n"/>
      <c r="X48622" s="239" t="n"/>
    </row>
    <row r="48623" ht="14.25" customHeight="1" s="192">
      <c r="W48623" s="239" t="n"/>
      <c r="X48623" s="239" t="n"/>
    </row>
    <row r="48624" ht="14.25" customHeight="1" s="192">
      <c r="W48624" s="235" t="n"/>
      <c r="X48624" s="235" t="n"/>
    </row>
    <row r="48625" ht="14.25" customHeight="1" s="192">
      <c r="W48625" s="235" t="n"/>
      <c r="X48625" s="235" t="n"/>
    </row>
    <row r="48626" ht="14.25" customHeight="1" s="192">
      <c r="W48626" s="239" t="n"/>
      <c r="X48626" s="239" t="n"/>
    </row>
    <row r="48627" ht="14.25" customHeight="1" s="192">
      <c r="W48627" s="235" t="n"/>
      <c r="X48627" s="235" t="n"/>
    </row>
    <row r="48628" ht="14.25" customHeight="1" s="192">
      <c r="W48628" s="239" t="n"/>
      <c r="X48628" s="239" t="n"/>
    </row>
    <row r="48630" ht="14.25" customHeight="1" s="192">
      <c r="W48630" s="235" t="n"/>
      <c r="X48630" s="235" t="n"/>
    </row>
    <row r="48631" ht="15" customHeight="1" s="192" thickBot="1">
      <c r="W48631" s="239" t="n"/>
      <c r="X48631" s="239" t="n"/>
    </row>
    <row r="48632" ht="15" customHeight="1" s="192" thickBot="1">
      <c r="W48632" s="45" t="n"/>
      <c r="X48632" s="45" t="n"/>
    </row>
    <row r="48633" ht="14.25" customHeight="1" s="192">
      <c r="W48633" s="228" t="n"/>
      <c r="X48633" s="228" t="n"/>
    </row>
    <row r="48634" ht="14.25" customHeight="1" s="192">
      <c r="W48634" s="228" t="n"/>
      <c r="X48634" s="228" t="n"/>
    </row>
    <row r="48635" ht="14.25" customHeight="1" s="192">
      <c r="W48635" s="231" t="n"/>
      <c r="X48635" s="231" t="n"/>
    </row>
    <row r="48636" ht="14.25" customHeight="1" s="192">
      <c r="W48636" s="33" t="n"/>
      <c r="X48636" s="33" t="n"/>
    </row>
    <row r="48637" ht="14.25" customHeight="1" s="192">
      <c r="W48637" s="231" t="n"/>
      <c r="X48637" s="231" t="n"/>
    </row>
    <row r="48638" ht="14.25" customHeight="1" s="192">
      <c r="W48638" s="33" t="n"/>
      <c r="X48638" s="33" t="n"/>
    </row>
    <row r="48640" ht="14.25" customHeight="1" s="192">
      <c r="W48640" s="231" t="n"/>
      <c r="X48640" s="231" t="n"/>
    </row>
    <row r="48641" ht="14.25" customHeight="1" s="192">
      <c r="W48641" s="235" t="n"/>
      <c r="X48641" s="235" t="n"/>
    </row>
    <row r="48642" ht="14.25" customHeight="1" s="192">
      <c r="W48642" s="228" t="n"/>
      <c r="X48642" s="228" t="n"/>
    </row>
    <row r="48643" ht="14.25" customHeight="1" s="192">
      <c r="W48643" s="235" t="n"/>
      <c r="X48643" s="235" t="n"/>
    </row>
    <row r="48644" ht="14.25" customHeight="1" s="192">
      <c r="W48644" s="235" t="n"/>
      <c r="X48644" s="235" t="n"/>
    </row>
    <row r="48645" ht="14.25" customHeight="1" s="192">
      <c r="W48645" s="235" t="n"/>
      <c r="X48645" s="235" t="n"/>
    </row>
    <row r="48646" ht="14.25" customHeight="1" s="192">
      <c r="W48646" s="239" t="n"/>
      <c r="X48646" s="239" t="n"/>
    </row>
    <row r="48647" ht="14.25" customHeight="1" s="192">
      <c r="W48647" s="239" t="n"/>
      <c r="X48647" s="239" t="n"/>
    </row>
    <row r="48648" ht="14.25" customHeight="1" s="192">
      <c r="W48648" s="239" t="n"/>
      <c r="X48648" s="239" t="n"/>
    </row>
    <row r="48649" ht="14.25" customHeight="1" s="192">
      <c r="W48649" s="235" t="n"/>
      <c r="X48649" s="235" t="n"/>
    </row>
    <row r="48650" ht="14.25" customHeight="1" s="192">
      <c r="W48650" s="235" t="n"/>
      <c r="X48650" s="235" t="n"/>
    </row>
    <row r="48651" ht="14.25" customHeight="1" s="192">
      <c r="W48651" s="235" t="n"/>
      <c r="X48651" s="235" t="n"/>
    </row>
    <row r="48652" ht="14.25" customHeight="1" s="192">
      <c r="W48652" s="239" t="n"/>
      <c r="X48652" s="239" t="n"/>
    </row>
    <row r="48653" ht="14.25" customHeight="1" s="192">
      <c r="W48653" s="239" t="n"/>
      <c r="X48653" s="239" t="n"/>
    </row>
    <row r="48654" ht="14.25" customHeight="1" s="192">
      <c r="W48654" s="235" t="n"/>
      <c r="X48654" s="235" t="n"/>
    </row>
    <row r="48655" ht="14.25" customHeight="1" s="192">
      <c r="W48655" s="235" t="n"/>
      <c r="X48655" s="235" t="n"/>
    </row>
    <row r="48656" ht="14.25" customHeight="1" s="192">
      <c r="W48656" s="239" t="n"/>
      <c r="X48656" s="239" t="n"/>
    </row>
    <row r="48657" ht="14.25" customHeight="1" s="192">
      <c r="W48657" s="235" t="n"/>
      <c r="X48657" s="235" t="n"/>
    </row>
    <row r="48658" ht="14.25" customHeight="1" s="192">
      <c r="W48658" s="239" t="n"/>
      <c r="X48658" s="239" t="n"/>
    </row>
    <row r="48660" ht="14.25" customHeight="1" s="192">
      <c r="W48660" s="235" t="n"/>
      <c r="X48660" s="235" t="n"/>
    </row>
    <row r="48661" ht="15" customHeight="1" s="192" thickBot="1">
      <c r="W48661" s="239" t="n"/>
      <c r="X48661" s="239" t="n"/>
    </row>
    <row r="48662" ht="15" customHeight="1" s="192" thickBot="1">
      <c r="W48662" s="45" t="n"/>
      <c r="X48662" s="45" t="n"/>
    </row>
    <row r="48663" ht="14.25" customHeight="1" s="192">
      <c r="W48663" s="228" t="n"/>
      <c r="X48663" s="228" t="n"/>
    </row>
    <row r="48664" ht="14.25" customHeight="1" s="192">
      <c r="W48664" s="228" t="n"/>
      <c r="X48664" s="228" t="n"/>
    </row>
    <row r="48665" ht="14.25" customHeight="1" s="192">
      <c r="W48665" s="231" t="n"/>
      <c r="X48665" s="231" t="n"/>
    </row>
    <row r="48666" ht="14.25" customHeight="1" s="192">
      <c r="W48666" s="33" t="n"/>
      <c r="X48666" s="33" t="n"/>
    </row>
    <row r="48667" ht="14.25" customHeight="1" s="192">
      <c r="W48667" s="231" t="n"/>
      <c r="X48667" s="231" t="n"/>
    </row>
    <row r="48668" ht="14.25" customHeight="1" s="192">
      <c r="W48668" s="33" t="n"/>
      <c r="X48668" s="33" t="n"/>
    </row>
    <row r="48670" ht="14.25" customHeight="1" s="192">
      <c r="W48670" s="231" t="n"/>
      <c r="X48670" s="231" t="n"/>
    </row>
    <row r="48671" ht="14.25" customHeight="1" s="192">
      <c r="W48671" s="235" t="n"/>
      <c r="X48671" s="235" t="n"/>
    </row>
    <row r="48672" ht="14.25" customHeight="1" s="192">
      <c r="W48672" s="228" t="n"/>
      <c r="X48672" s="228" t="n"/>
    </row>
    <row r="48673" ht="14.25" customHeight="1" s="192">
      <c r="W48673" s="235" t="n"/>
      <c r="X48673" s="235" t="n"/>
    </row>
    <row r="48674" ht="14.25" customHeight="1" s="192">
      <c r="W48674" s="235" t="n"/>
      <c r="X48674" s="235" t="n"/>
    </row>
    <row r="48675" ht="14.25" customHeight="1" s="192">
      <c r="W48675" s="235" t="n"/>
      <c r="X48675" s="235" t="n"/>
    </row>
    <row r="48676" ht="14.25" customHeight="1" s="192">
      <c r="W48676" s="239" t="n"/>
      <c r="X48676" s="239" t="n"/>
    </row>
    <row r="48677" ht="14.25" customHeight="1" s="192">
      <c r="W48677" s="239" t="n"/>
      <c r="X48677" s="239" t="n"/>
    </row>
    <row r="48678" ht="14.25" customHeight="1" s="192">
      <c r="W48678" s="239" t="n"/>
      <c r="X48678" s="239" t="n"/>
    </row>
    <row r="48679" ht="14.25" customHeight="1" s="192">
      <c r="W48679" s="235" t="n"/>
      <c r="X48679" s="235" t="n"/>
    </row>
    <row r="48680" ht="14.25" customHeight="1" s="192">
      <c r="W48680" s="235" t="n"/>
      <c r="X48680" s="235" t="n"/>
    </row>
    <row r="48681" ht="14.25" customHeight="1" s="192">
      <c r="W48681" s="235" t="n"/>
      <c r="X48681" s="235" t="n"/>
    </row>
    <row r="48682" ht="14.25" customHeight="1" s="192">
      <c r="W48682" s="239" t="n"/>
      <c r="X48682" s="239" t="n"/>
    </row>
    <row r="48683" ht="14.25" customHeight="1" s="192">
      <c r="W48683" s="239" t="n"/>
      <c r="X48683" s="239" t="n"/>
    </row>
    <row r="48684" ht="14.25" customHeight="1" s="192">
      <c r="W48684" s="235" t="n"/>
      <c r="X48684" s="235" t="n"/>
    </row>
    <row r="48685" ht="14.25" customHeight="1" s="192">
      <c r="W48685" s="235" t="n"/>
      <c r="X48685" s="235" t="n"/>
    </row>
    <row r="48686" ht="14.25" customHeight="1" s="192">
      <c r="W48686" s="239" t="n"/>
      <c r="X48686" s="239" t="n"/>
    </row>
    <row r="48687" ht="14.25" customHeight="1" s="192">
      <c r="W48687" s="235" t="n"/>
      <c r="X48687" s="235" t="n"/>
    </row>
    <row r="48688" ht="14.25" customHeight="1" s="192">
      <c r="W48688" s="239" t="n"/>
      <c r="X48688" s="239" t="n"/>
    </row>
    <row r="48690" ht="14.25" customHeight="1" s="192">
      <c r="W48690" s="235" t="n"/>
      <c r="X48690" s="235" t="n"/>
    </row>
    <row r="48691" ht="15" customHeight="1" s="192" thickBot="1">
      <c r="W48691" s="239" t="n"/>
      <c r="X48691" s="239" t="n"/>
    </row>
    <row r="48692" ht="15" customHeight="1" s="192" thickBot="1">
      <c r="W48692" s="45" t="n"/>
      <c r="X48692" s="45" t="n"/>
    </row>
    <row r="48693" ht="14.25" customHeight="1" s="192">
      <c r="W48693" s="228" t="n"/>
      <c r="X48693" s="228" t="n"/>
    </row>
    <row r="48694" ht="14.25" customHeight="1" s="192">
      <c r="W48694" s="228" t="n"/>
      <c r="X48694" s="228" t="n"/>
    </row>
    <row r="48695" ht="14.25" customHeight="1" s="192">
      <c r="W48695" s="231" t="n"/>
      <c r="X48695" s="231" t="n"/>
    </row>
    <row r="48696" ht="14.25" customHeight="1" s="192">
      <c r="W48696" s="33" t="n"/>
      <c r="X48696" s="33" t="n"/>
    </row>
    <row r="48697" ht="14.25" customHeight="1" s="192">
      <c r="W48697" s="231" t="n"/>
      <c r="X48697" s="231" t="n"/>
    </row>
    <row r="48698" ht="14.25" customHeight="1" s="192">
      <c r="W48698" s="33" t="n"/>
      <c r="X48698" s="33" t="n"/>
    </row>
    <row r="48700" ht="14.25" customHeight="1" s="192">
      <c r="W48700" s="231" t="n"/>
      <c r="X48700" s="231" t="n"/>
    </row>
    <row r="48701" ht="14.25" customHeight="1" s="192">
      <c r="W48701" s="235" t="n"/>
      <c r="X48701" s="235" t="n"/>
    </row>
    <row r="48702" ht="14.25" customHeight="1" s="192">
      <c r="W48702" s="228" t="n"/>
      <c r="X48702" s="228" t="n"/>
    </row>
    <row r="48703" ht="14.25" customHeight="1" s="192">
      <c r="W48703" s="235" t="n"/>
      <c r="X48703" s="235" t="n"/>
    </row>
    <row r="48704" ht="14.25" customHeight="1" s="192">
      <c r="W48704" s="235" t="n"/>
      <c r="X48704" s="235" t="n"/>
    </row>
    <row r="48705" ht="14.25" customHeight="1" s="192">
      <c r="W48705" s="235" t="n"/>
      <c r="X48705" s="235" t="n"/>
    </row>
    <row r="48706" ht="14.25" customHeight="1" s="192">
      <c r="W48706" s="239" t="n"/>
      <c r="X48706" s="239" t="n"/>
    </row>
    <row r="48707" ht="14.25" customHeight="1" s="192">
      <c r="W48707" s="239" t="n"/>
      <c r="X48707" s="239" t="n"/>
    </row>
    <row r="48708" ht="14.25" customHeight="1" s="192">
      <c r="W48708" s="239" t="n"/>
      <c r="X48708" s="239" t="n"/>
    </row>
    <row r="48709" ht="14.25" customHeight="1" s="192">
      <c r="W48709" s="235" t="n"/>
      <c r="X48709" s="235" t="n"/>
    </row>
    <row r="48710" ht="14.25" customHeight="1" s="192">
      <c r="W48710" s="235" t="n"/>
      <c r="X48710" s="235" t="n"/>
    </row>
    <row r="48711" ht="14.25" customHeight="1" s="192">
      <c r="W48711" s="235" t="n"/>
      <c r="X48711" s="235" t="n"/>
    </row>
    <row r="48712" ht="14.25" customHeight="1" s="192">
      <c r="W48712" s="239" t="n"/>
      <c r="X48712" s="239" t="n"/>
    </row>
    <row r="48713" ht="14.25" customHeight="1" s="192">
      <c r="W48713" s="239" t="n"/>
      <c r="X48713" s="239" t="n"/>
    </row>
    <row r="48714" ht="14.25" customHeight="1" s="192">
      <c r="W48714" s="235" t="n"/>
      <c r="X48714" s="235" t="n"/>
    </row>
    <row r="48715" ht="14.25" customHeight="1" s="192">
      <c r="W48715" s="235" t="n"/>
      <c r="X48715" s="235" t="n"/>
    </row>
    <row r="48716" ht="14.25" customHeight="1" s="192">
      <c r="W48716" s="239" t="n"/>
      <c r="X48716" s="239" t="n"/>
    </row>
    <row r="48717" ht="14.25" customHeight="1" s="192">
      <c r="W48717" s="235" t="n"/>
      <c r="X48717" s="235" t="n"/>
    </row>
    <row r="48718" ht="14.25" customHeight="1" s="192">
      <c r="W48718" s="239" t="n"/>
      <c r="X48718" s="239" t="n"/>
    </row>
    <row r="48720" ht="14.25" customHeight="1" s="192">
      <c r="W48720" s="235" t="n"/>
      <c r="X48720" s="235" t="n"/>
    </row>
    <row r="48721" ht="15" customHeight="1" s="192" thickBot="1">
      <c r="W48721" s="239" t="n"/>
      <c r="X48721" s="239" t="n"/>
    </row>
    <row r="48722" ht="15" customHeight="1" s="192" thickBot="1">
      <c r="W48722" s="45" t="n"/>
      <c r="X48722" s="45" t="n"/>
    </row>
    <row r="48723" ht="14.25" customHeight="1" s="192">
      <c r="W48723" s="228" t="n"/>
      <c r="X48723" s="228" t="n"/>
    </row>
    <row r="48724" ht="14.25" customHeight="1" s="192">
      <c r="W48724" s="228" t="n"/>
      <c r="X48724" s="228" t="n"/>
    </row>
    <row r="48725" ht="14.25" customHeight="1" s="192">
      <c r="W48725" s="231" t="n"/>
      <c r="X48725" s="231" t="n"/>
    </row>
    <row r="48726" ht="14.25" customHeight="1" s="192">
      <c r="W48726" s="33" t="n"/>
      <c r="X48726" s="33" t="n"/>
    </row>
    <row r="48727" ht="14.25" customHeight="1" s="192">
      <c r="W48727" s="231" t="n"/>
      <c r="X48727" s="231" t="n"/>
    </row>
    <row r="48728" ht="14.25" customHeight="1" s="192">
      <c r="W48728" s="33" t="n"/>
      <c r="X48728" s="33" t="n"/>
    </row>
    <row r="48730" ht="14.25" customHeight="1" s="192">
      <c r="W48730" s="231" t="n"/>
      <c r="X48730" s="231" t="n"/>
    </row>
    <row r="48731" ht="14.25" customHeight="1" s="192">
      <c r="W48731" s="235" t="n"/>
      <c r="X48731" s="235" t="n"/>
    </row>
    <row r="48732" ht="14.25" customHeight="1" s="192">
      <c r="W48732" s="228" t="n"/>
      <c r="X48732" s="228" t="n"/>
    </row>
    <row r="48733" ht="14.25" customHeight="1" s="192">
      <c r="W48733" s="235" t="n"/>
      <c r="X48733" s="235" t="n"/>
    </row>
    <row r="48734" ht="14.25" customHeight="1" s="192">
      <c r="W48734" s="235" t="n"/>
      <c r="X48734" s="235" t="n"/>
    </row>
    <row r="48735" ht="14.25" customHeight="1" s="192">
      <c r="W48735" s="235" t="n"/>
      <c r="X48735" s="235" t="n"/>
    </row>
    <row r="48736" ht="14.25" customHeight="1" s="192">
      <c r="W48736" s="239" t="n"/>
      <c r="X48736" s="239" t="n"/>
    </row>
    <row r="48737" ht="14.25" customHeight="1" s="192">
      <c r="W48737" s="239" t="n"/>
      <c r="X48737" s="239" t="n"/>
    </row>
    <row r="48738" ht="14.25" customHeight="1" s="192">
      <c r="W48738" s="239" t="n"/>
      <c r="X48738" s="239" t="n"/>
    </row>
    <row r="48739" ht="14.25" customHeight="1" s="192">
      <c r="W48739" s="235" t="n"/>
      <c r="X48739" s="235" t="n"/>
    </row>
    <row r="48740" ht="14.25" customHeight="1" s="192">
      <c r="W48740" s="235" t="n"/>
      <c r="X48740" s="235" t="n"/>
    </row>
    <row r="48741" ht="14.25" customHeight="1" s="192">
      <c r="W48741" s="235" t="n"/>
      <c r="X48741" s="235" t="n"/>
    </row>
    <row r="48742" ht="14.25" customHeight="1" s="192">
      <c r="W48742" s="239" t="n"/>
      <c r="X48742" s="239" t="n"/>
    </row>
    <row r="48743" ht="14.25" customHeight="1" s="192">
      <c r="W48743" s="239" t="n"/>
      <c r="X48743" s="239" t="n"/>
    </row>
    <row r="48744" ht="14.25" customHeight="1" s="192">
      <c r="W48744" s="235" t="n"/>
      <c r="X48744" s="235" t="n"/>
    </row>
    <row r="48745" ht="14.25" customHeight="1" s="192">
      <c r="W48745" s="235" t="n"/>
      <c r="X48745" s="235" t="n"/>
    </row>
    <row r="48746" ht="14.25" customHeight="1" s="192">
      <c r="W48746" s="239" t="n"/>
      <c r="X48746" s="239" t="n"/>
    </row>
    <row r="48747" ht="14.25" customHeight="1" s="192">
      <c r="W48747" s="235" t="n"/>
      <c r="X48747" s="235" t="n"/>
    </row>
    <row r="48748" ht="14.25" customHeight="1" s="192">
      <c r="W48748" s="239" t="n"/>
      <c r="X48748" s="239" t="n"/>
    </row>
    <row r="48750" ht="14.25" customHeight="1" s="192">
      <c r="W48750" s="235" t="n"/>
      <c r="X48750" s="235" t="n"/>
    </row>
    <row r="48751" ht="15" customHeight="1" s="192" thickBot="1">
      <c r="W48751" s="239" t="n"/>
      <c r="X48751" s="239" t="n"/>
    </row>
    <row r="48752" ht="15" customHeight="1" s="192" thickBot="1">
      <c r="W48752" s="45" t="n"/>
      <c r="X48752" s="45" t="n"/>
    </row>
    <row r="48753" ht="14.25" customHeight="1" s="192">
      <c r="W48753" s="228" t="n"/>
      <c r="X48753" s="228" t="n"/>
    </row>
    <row r="48754" ht="14.25" customHeight="1" s="192">
      <c r="W48754" s="228" t="n"/>
      <c r="X48754" s="228" t="n"/>
    </row>
    <row r="48755" ht="14.25" customHeight="1" s="192">
      <c r="W48755" s="231" t="n"/>
      <c r="X48755" s="231" t="n"/>
    </row>
    <row r="48756" ht="14.25" customHeight="1" s="192">
      <c r="W48756" s="33" t="n"/>
      <c r="X48756" s="33" t="n"/>
    </row>
    <row r="48757" ht="14.25" customHeight="1" s="192">
      <c r="W48757" s="231" t="n"/>
      <c r="X48757" s="231" t="n"/>
    </row>
    <row r="48758" ht="14.25" customHeight="1" s="192">
      <c r="W48758" s="33" t="n"/>
      <c r="X48758" s="33" t="n"/>
    </row>
    <row r="48760" ht="14.25" customHeight="1" s="192">
      <c r="W48760" s="231" t="n"/>
      <c r="X48760" s="231" t="n"/>
    </row>
    <row r="48761" ht="14.25" customHeight="1" s="192">
      <c r="W48761" s="235" t="n"/>
      <c r="X48761" s="235" t="n"/>
    </row>
    <row r="48762" ht="14.25" customHeight="1" s="192">
      <c r="W48762" s="228" t="n"/>
      <c r="X48762" s="228" t="n"/>
    </row>
    <row r="48763" ht="14.25" customHeight="1" s="192">
      <c r="W48763" s="235" t="n"/>
      <c r="X48763" s="235" t="n"/>
    </row>
    <row r="48764" ht="14.25" customHeight="1" s="192">
      <c r="W48764" s="235" t="n"/>
      <c r="X48764" s="235" t="n"/>
    </row>
    <row r="48765" ht="14.25" customHeight="1" s="192">
      <c r="W48765" s="235" t="n"/>
      <c r="X48765" s="235" t="n"/>
    </row>
    <row r="48766" ht="14.25" customHeight="1" s="192">
      <c r="W48766" s="239" t="n"/>
      <c r="X48766" s="239" t="n"/>
    </row>
    <row r="48767" ht="14.25" customHeight="1" s="192">
      <c r="W48767" s="239" t="n"/>
      <c r="X48767" s="239" t="n"/>
    </row>
    <row r="48768" ht="14.25" customHeight="1" s="192">
      <c r="W48768" s="239" t="n"/>
      <c r="X48768" s="239" t="n"/>
    </row>
    <row r="48769" ht="14.25" customHeight="1" s="192">
      <c r="W48769" s="235" t="n"/>
      <c r="X48769" s="235" t="n"/>
    </row>
    <row r="48770" ht="14.25" customHeight="1" s="192">
      <c r="W48770" s="235" t="n"/>
      <c r="X48770" s="235" t="n"/>
    </row>
    <row r="48771" ht="14.25" customHeight="1" s="192">
      <c r="W48771" s="235" t="n"/>
      <c r="X48771" s="235" t="n"/>
    </row>
    <row r="48772" ht="14.25" customHeight="1" s="192">
      <c r="W48772" s="239" t="n"/>
      <c r="X48772" s="239" t="n"/>
    </row>
    <row r="48773" ht="14.25" customHeight="1" s="192">
      <c r="W48773" s="239" t="n"/>
      <c r="X48773" s="239" t="n"/>
    </row>
    <row r="48774" ht="14.25" customHeight="1" s="192">
      <c r="W48774" s="235" t="n"/>
      <c r="X48774" s="235" t="n"/>
    </row>
    <row r="48775" ht="14.25" customHeight="1" s="192">
      <c r="W48775" s="235" t="n"/>
      <c r="X48775" s="235" t="n"/>
    </row>
    <row r="48776" ht="14.25" customHeight="1" s="192">
      <c r="W48776" s="239" t="n"/>
      <c r="X48776" s="239" t="n"/>
    </row>
    <row r="48777" ht="14.25" customHeight="1" s="192">
      <c r="W48777" s="235" t="n"/>
      <c r="X48777" s="235" t="n"/>
    </row>
    <row r="48778" ht="14.25" customHeight="1" s="192">
      <c r="W48778" s="239" t="n"/>
      <c r="X48778" s="239" t="n"/>
    </row>
    <row r="48780" ht="14.25" customHeight="1" s="192">
      <c r="W48780" s="235" t="n"/>
      <c r="X48780" s="235" t="n"/>
    </row>
    <row r="48781" ht="15" customHeight="1" s="192" thickBot="1">
      <c r="W48781" s="239" t="n"/>
      <c r="X48781" s="239" t="n"/>
    </row>
    <row r="48782" ht="15" customHeight="1" s="192" thickBot="1">
      <c r="W48782" s="45" t="n"/>
      <c r="X48782" s="45" t="n"/>
    </row>
    <row r="48783" ht="14.25" customHeight="1" s="192">
      <c r="W48783" s="228" t="n"/>
      <c r="X48783" s="228" t="n"/>
    </row>
    <row r="48784" ht="14.25" customHeight="1" s="192">
      <c r="W48784" s="228" t="n"/>
      <c r="X48784" s="228" t="n"/>
    </row>
    <row r="48785" ht="14.25" customHeight="1" s="192">
      <c r="W48785" s="231" t="n"/>
      <c r="X48785" s="231" t="n"/>
    </row>
    <row r="48786" ht="14.25" customHeight="1" s="192">
      <c r="W48786" s="33" t="n"/>
      <c r="X48786" s="33" t="n"/>
    </row>
    <row r="48787" ht="14.25" customHeight="1" s="192">
      <c r="W48787" s="231" t="n"/>
      <c r="X48787" s="231" t="n"/>
    </row>
    <row r="48788" ht="14.25" customHeight="1" s="192">
      <c r="W48788" s="33" t="n"/>
      <c r="X48788" s="33" t="n"/>
    </row>
    <row r="48790" ht="14.25" customHeight="1" s="192">
      <c r="W48790" s="231" t="n"/>
      <c r="X48790" s="231" t="n"/>
    </row>
    <row r="48791" ht="14.25" customHeight="1" s="192">
      <c r="W48791" s="235" t="n"/>
      <c r="X48791" s="235" t="n"/>
    </row>
    <row r="48792" ht="14.25" customHeight="1" s="192">
      <c r="W48792" s="228" t="n"/>
      <c r="X48792" s="228" t="n"/>
    </row>
    <row r="48793" ht="14.25" customHeight="1" s="192">
      <c r="W48793" s="235" t="n"/>
      <c r="X48793" s="235" t="n"/>
    </row>
    <row r="48794" ht="14.25" customHeight="1" s="192">
      <c r="W48794" s="235" t="n"/>
      <c r="X48794" s="235" t="n"/>
    </row>
    <row r="48795" ht="14.25" customHeight="1" s="192">
      <c r="W48795" s="235" t="n"/>
      <c r="X48795" s="235" t="n"/>
    </row>
    <row r="48796" ht="14.25" customHeight="1" s="192">
      <c r="W48796" s="239" t="n"/>
      <c r="X48796" s="239" t="n"/>
    </row>
    <row r="48797" ht="14.25" customHeight="1" s="192">
      <c r="W48797" s="239" t="n"/>
      <c r="X48797" s="239" t="n"/>
    </row>
    <row r="48798" ht="14.25" customHeight="1" s="192">
      <c r="W48798" s="239" t="n"/>
      <c r="X48798" s="239" t="n"/>
    </row>
    <row r="48799" ht="14.25" customHeight="1" s="192">
      <c r="W48799" s="235" t="n"/>
      <c r="X48799" s="235" t="n"/>
    </row>
    <row r="48800" ht="14.25" customHeight="1" s="192">
      <c r="W48800" s="235" t="n"/>
      <c r="X48800" s="235" t="n"/>
    </row>
    <row r="48801" ht="14.25" customHeight="1" s="192">
      <c r="W48801" s="235" t="n"/>
      <c r="X48801" s="235" t="n"/>
    </row>
    <row r="48802" ht="14.25" customHeight="1" s="192">
      <c r="W48802" s="239" t="n"/>
      <c r="X48802" s="239" t="n"/>
    </row>
    <row r="48803" ht="14.25" customHeight="1" s="192">
      <c r="W48803" s="239" t="n"/>
      <c r="X48803" s="239" t="n"/>
    </row>
    <row r="48804" ht="14.25" customHeight="1" s="192">
      <c r="W48804" s="235" t="n"/>
      <c r="X48804" s="235" t="n"/>
    </row>
    <row r="48805" ht="14.25" customHeight="1" s="192">
      <c r="W48805" s="235" t="n"/>
      <c r="X48805" s="235" t="n"/>
    </row>
    <row r="48806" ht="14.25" customHeight="1" s="192">
      <c r="W48806" s="239" t="n"/>
      <c r="X48806" s="239" t="n"/>
    </row>
    <row r="48807" ht="14.25" customHeight="1" s="192">
      <c r="W48807" s="235" t="n"/>
      <c r="X48807" s="235" t="n"/>
    </row>
    <row r="48808" ht="14.25" customHeight="1" s="192">
      <c r="W48808" s="239" t="n"/>
      <c r="X48808" s="239" t="n"/>
    </row>
    <row r="48810" ht="14.25" customHeight="1" s="192">
      <c r="W48810" s="235" t="n"/>
      <c r="X48810" s="235" t="n"/>
    </row>
    <row r="48811" ht="15" customHeight="1" s="192" thickBot="1">
      <c r="W48811" s="239" t="n"/>
      <c r="X48811" s="239" t="n"/>
    </row>
    <row r="48812" ht="15" customHeight="1" s="192" thickBot="1">
      <c r="W48812" s="45" t="n"/>
      <c r="X48812" s="45" t="n"/>
    </row>
    <row r="48813" ht="14.25" customHeight="1" s="192">
      <c r="W48813" s="228" t="n"/>
      <c r="X48813" s="228" t="n"/>
    </row>
    <row r="48814" ht="14.25" customHeight="1" s="192">
      <c r="W48814" s="228" t="n"/>
      <c r="X48814" s="228" t="n"/>
    </row>
    <row r="48815" ht="14.25" customHeight="1" s="192">
      <c r="W48815" s="231" t="n"/>
      <c r="X48815" s="231" t="n"/>
    </row>
    <row r="48816" ht="14.25" customHeight="1" s="192">
      <c r="W48816" s="33" t="n"/>
      <c r="X48816" s="33" t="n"/>
    </row>
    <row r="48817" ht="14.25" customHeight="1" s="192">
      <c r="W48817" s="231" t="n"/>
      <c r="X48817" s="231" t="n"/>
    </row>
    <row r="48818" ht="14.25" customHeight="1" s="192">
      <c r="W48818" s="33" t="n"/>
      <c r="X48818" s="33" t="n"/>
    </row>
    <row r="48820" ht="14.25" customHeight="1" s="192">
      <c r="W48820" s="231" t="n"/>
      <c r="X48820" s="231" t="n"/>
    </row>
    <row r="48821" ht="14.25" customHeight="1" s="192">
      <c r="W48821" s="235" t="n"/>
      <c r="X48821" s="235" t="n"/>
    </row>
    <row r="48822" ht="14.25" customHeight="1" s="192">
      <c r="W48822" s="228" t="n"/>
      <c r="X48822" s="228" t="n"/>
    </row>
    <row r="48823" ht="14.25" customHeight="1" s="192">
      <c r="W48823" s="235" t="n"/>
      <c r="X48823" s="235" t="n"/>
    </row>
    <row r="48824" ht="14.25" customHeight="1" s="192">
      <c r="W48824" s="235" t="n"/>
      <c r="X48824" s="235" t="n"/>
    </row>
    <row r="48825" ht="14.25" customHeight="1" s="192">
      <c r="W48825" s="235" t="n"/>
      <c r="X48825" s="235" t="n"/>
    </row>
    <row r="48826" ht="14.25" customHeight="1" s="192">
      <c r="W48826" s="239" t="n"/>
      <c r="X48826" s="239" t="n"/>
    </row>
    <row r="48827" ht="14.25" customHeight="1" s="192">
      <c r="W48827" s="239" t="n"/>
      <c r="X48827" s="239" t="n"/>
    </row>
    <row r="48828" ht="14.25" customHeight="1" s="192">
      <c r="W48828" s="239" t="n"/>
      <c r="X48828" s="239" t="n"/>
    </row>
    <row r="48829" ht="14.25" customHeight="1" s="192">
      <c r="W48829" s="235" t="n"/>
      <c r="X48829" s="235" t="n"/>
    </row>
    <row r="48830" ht="14.25" customHeight="1" s="192">
      <c r="W48830" s="235" t="n"/>
      <c r="X48830" s="235" t="n"/>
    </row>
    <row r="48831" ht="14.25" customHeight="1" s="192">
      <c r="W48831" s="235" t="n"/>
      <c r="X48831" s="235" t="n"/>
    </row>
    <row r="48832" ht="14.25" customHeight="1" s="192">
      <c r="W48832" s="239" t="n"/>
      <c r="X48832" s="239" t="n"/>
    </row>
    <row r="48833" ht="14.25" customHeight="1" s="192">
      <c r="W48833" s="239" t="n"/>
      <c r="X48833" s="239" t="n"/>
    </row>
    <row r="48834" ht="14.25" customHeight="1" s="192">
      <c r="W48834" s="235" t="n"/>
      <c r="X48834" s="235" t="n"/>
    </row>
    <row r="48835" ht="14.25" customHeight="1" s="192">
      <c r="W48835" s="235" t="n"/>
      <c r="X48835" s="235" t="n"/>
    </row>
    <row r="48836" ht="14.25" customHeight="1" s="192">
      <c r="W48836" s="239" t="n"/>
      <c r="X48836" s="239" t="n"/>
    </row>
    <row r="48837" ht="14.25" customHeight="1" s="192">
      <c r="W48837" s="235" t="n"/>
      <c r="X48837" s="235" t="n"/>
    </row>
    <row r="48838" ht="14.25" customHeight="1" s="192">
      <c r="W48838" s="239" t="n"/>
      <c r="X48838" s="239" t="n"/>
    </row>
    <row r="48840" ht="14.25" customHeight="1" s="192">
      <c r="W48840" s="235" t="n"/>
      <c r="X48840" s="235" t="n"/>
    </row>
    <row r="48841" ht="15" customHeight="1" s="192" thickBot="1">
      <c r="W48841" s="239" t="n"/>
      <c r="X48841" s="239" t="n"/>
    </row>
    <row r="48842" ht="15" customHeight="1" s="192" thickBot="1">
      <c r="W48842" s="45" t="n"/>
      <c r="X48842" s="45" t="n"/>
    </row>
    <row r="48843" ht="14.25" customHeight="1" s="192">
      <c r="W48843" s="228" t="n"/>
      <c r="X48843" s="228" t="n"/>
    </row>
    <row r="48844" ht="14.25" customHeight="1" s="192">
      <c r="W48844" s="228" t="n"/>
      <c r="X48844" s="228" t="n"/>
    </row>
    <row r="48845" ht="14.25" customHeight="1" s="192">
      <c r="W48845" s="231" t="n"/>
      <c r="X48845" s="231" t="n"/>
    </row>
    <row r="48846" ht="14.25" customHeight="1" s="192">
      <c r="W48846" s="33" t="n"/>
      <c r="X48846" s="33" t="n"/>
    </row>
    <row r="48847" ht="14.25" customHeight="1" s="192">
      <c r="W48847" s="231" t="n"/>
      <c r="X48847" s="231" t="n"/>
    </row>
    <row r="48848" ht="14.25" customHeight="1" s="192">
      <c r="W48848" s="33" t="n"/>
      <c r="X48848" s="33" t="n"/>
    </row>
    <row r="48850" ht="14.25" customHeight="1" s="192">
      <c r="W48850" s="231" t="n"/>
      <c r="X48850" s="231" t="n"/>
    </row>
    <row r="48851" ht="14.25" customHeight="1" s="192">
      <c r="W48851" s="235" t="n"/>
      <c r="X48851" s="235" t="n"/>
    </row>
    <row r="48852" ht="14.25" customHeight="1" s="192">
      <c r="W48852" s="228" t="n"/>
      <c r="X48852" s="228" t="n"/>
    </row>
    <row r="48853" ht="14.25" customHeight="1" s="192">
      <c r="W48853" s="235" t="n"/>
      <c r="X48853" s="235" t="n"/>
    </row>
    <row r="48854" ht="14.25" customHeight="1" s="192">
      <c r="W48854" s="235" t="n"/>
      <c r="X48854" s="235" t="n"/>
    </row>
    <row r="48855" ht="14.25" customHeight="1" s="192">
      <c r="W48855" s="235" t="n"/>
      <c r="X48855" s="235" t="n"/>
    </row>
    <row r="48856" ht="14.25" customHeight="1" s="192">
      <c r="W48856" s="239" t="n"/>
      <c r="X48856" s="239" t="n"/>
    </row>
    <row r="48857" ht="14.25" customHeight="1" s="192">
      <c r="W48857" s="239" t="n"/>
      <c r="X48857" s="239" t="n"/>
    </row>
    <row r="48858" ht="14.25" customHeight="1" s="192">
      <c r="W48858" s="239" t="n"/>
      <c r="X48858" s="239" t="n"/>
    </row>
    <row r="48859" ht="14.25" customHeight="1" s="192">
      <c r="W48859" s="235" t="n"/>
      <c r="X48859" s="235" t="n"/>
    </row>
    <row r="48860" ht="14.25" customHeight="1" s="192">
      <c r="W48860" s="235" t="n"/>
      <c r="X48860" s="235" t="n"/>
    </row>
    <row r="48861" ht="14.25" customHeight="1" s="192">
      <c r="W48861" s="235" t="n"/>
      <c r="X48861" s="235" t="n"/>
    </row>
    <row r="48862" ht="14.25" customHeight="1" s="192">
      <c r="W48862" s="239" t="n"/>
      <c r="X48862" s="239" t="n"/>
    </row>
    <row r="48863" ht="14.25" customHeight="1" s="192">
      <c r="W48863" s="239" t="n"/>
      <c r="X48863" s="239" t="n"/>
    </row>
    <row r="48864" ht="14.25" customHeight="1" s="192">
      <c r="W48864" s="235" t="n"/>
      <c r="X48864" s="235" t="n"/>
    </row>
    <row r="48865" ht="14.25" customHeight="1" s="192">
      <c r="W48865" s="235" t="n"/>
      <c r="X48865" s="235" t="n"/>
    </row>
    <row r="48866" ht="14.25" customHeight="1" s="192">
      <c r="W48866" s="239" t="n"/>
      <c r="X48866" s="239" t="n"/>
    </row>
    <row r="48867" ht="14.25" customHeight="1" s="192">
      <c r="W48867" s="235" t="n"/>
      <c r="X48867" s="235" t="n"/>
    </row>
    <row r="48868" ht="14.25" customHeight="1" s="192">
      <c r="W48868" s="239" t="n"/>
      <c r="X48868" s="239" t="n"/>
    </row>
    <row r="48870" ht="14.25" customHeight="1" s="192">
      <c r="W48870" s="235" t="n"/>
      <c r="X48870" s="235" t="n"/>
    </row>
    <row r="48871" ht="15" customHeight="1" s="192" thickBot="1">
      <c r="W48871" s="239" t="n"/>
      <c r="X48871" s="239" t="n"/>
    </row>
    <row r="48872" ht="15" customHeight="1" s="192" thickBot="1">
      <c r="W48872" s="45" t="n"/>
      <c r="X48872" s="45" t="n"/>
    </row>
    <row r="48873" ht="14.25" customHeight="1" s="192">
      <c r="W48873" s="228" t="n"/>
      <c r="X48873" s="228" t="n"/>
    </row>
    <row r="48874" ht="14.25" customHeight="1" s="192">
      <c r="W48874" s="228" t="n"/>
      <c r="X48874" s="228" t="n"/>
    </row>
    <row r="48875" ht="14.25" customHeight="1" s="192">
      <c r="W48875" s="231" t="n"/>
      <c r="X48875" s="231" t="n"/>
    </row>
    <row r="48876" ht="14.25" customHeight="1" s="192">
      <c r="W48876" s="33" t="n"/>
      <c r="X48876" s="33" t="n"/>
    </row>
    <row r="48877" ht="14.25" customHeight="1" s="192">
      <c r="W48877" s="231" t="n"/>
      <c r="X48877" s="231" t="n"/>
    </row>
    <row r="48878" ht="14.25" customHeight="1" s="192">
      <c r="W48878" s="33" t="n"/>
      <c r="X48878" s="33" t="n"/>
    </row>
    <row r="48880" ht="14.25" customHeight="1" s="192">
      <c r="W48880" s="231" t="n"/>
      <c r="X48880" s="231" t="n"/>
    </row>
    <row r="48881" ht="14.25" customHeight="1" s="192">
      <c r="W48881" s="235" t="n"/>
      <c r="X48881" s="235" t="n"/>
    </row>
    <row r="48882" ht="14.25" customHeight="1" s="192">
      <c r="W48882" s="228" t="n"/>
      <c r="X48882" s="228" t="n"/>
    </row>
    <row r="48883" ht="14.25" customHeight="1" s="192">
      <c r="W48883" s="235" t="n"/>
      <c r="X48883" s="235" t="n"/>
    </row>
    <row r="48884" ht="14.25" customHeight="1" s="192">
      <c r="W48884" s="235" t="n"/>
      <c r="X48884" s="235" t="n"/>
    </row>
    <row r="48885" ht="14.25" customHeight="1" s="192">
      <c r="W48885" s="235" t="n"/>
      <c r="X48885" s="235" t="n"/>
    </row>
    <row r="48886" ht="14.25" customHeight="1" s="192">
      <c r="W48886" s="239" t="n"/>
      <c r="X48886" s="239" t="n"/>
    </row>
    <row r="48887" ht="14.25" customHeight="1" s="192">
      <c r="W48887" s="239" t="n"/>
      <c r="X48887" s="239" t="n"/>
    </row>
    <row r="48888" ht="14.25" customHeight="1" s="192">
      <c r="W48888" s="239" t="n"/>
      <c r="X48888" s="239" t="n"/>
    </row>
    <row r="48889" ht="14.25" customHeight="1" s="192">
      <c r="W48889" s="235" t="n"/>
      <c r="X48889" s="235" t="n"/>
    </row>
    <row r="48890" ht="14.25" customHeight="1" s="192">
      <c r="W48890" s="235" t="n"/>
      <c r="X48890" s="235" t="n"/>
    </row>
    <row r="48891" ht="14.25" customHeight="1" s="192">
      <c r="W48891" s="235" t="n"/>
      <c r="X48891" s="235" t="n"/>
    </row>
    <row r="48892" ht="14.25" customHeight="1" s="192">
      <c r="W48892" s="239" t="n"/>
      <c r="X48892" s="239" t="n"/>
    </row>
    <row r="48893" ht="14.25" customHeight="1" s="192">
      <c r="W48893" s="239" t="n"/>
      <c r="X48893" s="239" t="n"/>
    </row>
    <row r="48894" ht="14.25" customHeight="1" s="192">
      <c r="W48894" s="235" t="n"/>
      <c r="X48894" s="235" t="n"/>
    </row>
    <row r="48895" ht="14.25" customHeight="1" s="192">
      <c r="W48895" s="235" t="n"/>
      <c r="X48895" s="235" t="n"/>
    </row>
    <row r="48896" ht="14.25" customHeight="1" s="192">
      <c r="W48896" s="239" t="n"/>
      <c r="X48896" s="239" t="n"/>
    </row>
    <row r="48897" ht="14.25" customHeight="1" s="192">
      <c r="W48897" s="235" t="n"/>
      <c r="X48897" s="235" t="n"/>
    </row>
    <row r="48898" ht="14.25" customHeight="1" s="192">
      <c r="W48898" s="239" t="n"/>
      <c r="X48898" s="239" t="n"/>
    </row>
    <row r="48900" ht="14.25" customHeight="1" s="192">
      <c r="W48900" s="235" t="n"/>
      <c r="X48900" s="235" t="n"/>
    </row>
    <row r="48901" ht="15" customHeight="1" s="192" thickBot="1">
      <c r="W48901" s="239" t="n"/>
      <c r="X48901" s="239" t="n"/>
    </row>
    <row r="48902" ht="15" customHeight="1" s="192" thickBot="1">
      <c r="W48902" s="45" t="n"/>
      <c r="X48902" s="45" t="n"/>
    </row>
    <row r="48903" ht="14.25" customHeight="1" s="192">
      <c r="W48903" s="228" t="n"/>
      <c r="X48903" s="228" t="n"/>
    </row>
    <row r="48904" ht="14.25" customHeight="1" s="192">
      <c r="W48904" s="228" t="n"/>
      <c r="X48904" s="228" t="n"/>
    </row>
    <row r="48905" ht="14.25" customHeight="1" s="192">
      <c r="W48905" s="231" t="n"/>
      <c r="X48905" s="231" t="n"/>
    </row>
    <row r="48906" ht="14.25" customHeight="1" s="192">
      <c r="W48906" s="33" t="n"/>
      <c r="X48906" s="33" t="n"/>
    </row>
    <row r="48907" ht="14.25" customHeight="1" s="192">
      <c r="W48907" s="231" t="n"/>
      <c r="X48907" s="231" t="n"/>
    </row>
    <row r="48908" ht="14.25" customHeight="1" s="192">
      <c r="W48908" s="33" t="n"/>
      <c r="X48908" s="33" t="n"/>
    </row>
    <row r="48910" ht="14.25" customHeight="1" s="192">
      <c r="W48910" s="231" t="n"/>
      <c r="X48910" s="231" t="n"/>
    </row>
    <row r="48911" ht="14.25" customHeight="1" s="192">
      <c r="W48911" s="235" t="n"/>
      <c r="X48911" s="235" t="n"/>
    </row>
    <row r="48912" ht="14.25" customHeight="1" s="192">
      <c r="W48912" s="228" t="n"/>
      <c r="X48912" s="228" t="n"/>
    </row>
    <row r="48913" ht="14.25" customHeight="1" s="192">
      <c r="W48913" s="235" t="n"/>
      <c r="X48913" s="235" t="n"/>
    </row>
    <row r="48914" ht="14.25" customHeight="1" s="192">
      <c r="W48914" s="235" t="n"/>
      <c r="X48914" s="235" t="n"/>
    </row>
    <row r="48915" ht="14.25" customHeight="1" s="192">
      <c r="W48915" s="235" t="n"/>
      <c r="X48915" s="235" t="n"/>
    </row>
    <row r="48916" ht="14.25" customHeight="1" s="192">
      <c r="W48916" s="239" t="n"/>
      <c r="X48916" s="239" t="n"/>
    </row>
    <row r="48917" ht="14.25" customHeight="1" s="192">
      <c r="W48917" s="239" t="n"/>
      <c r="X48917" s="239" t="n"/>
    </row>
    <row r="48918" ht="14.25" customHeight="1" s="192">
      <c r="W48918" s="239" t="n"/>
      <c r="X48918" s="239" t="n"/>
    </row>
    <row r="48919" ht="14.25" customHeight="1" s="192">
      <c r="W48919" s="235" t="n"/>
      <c r="X48919" s="235" t="n"/>
    </row>
    <row r="48920" ht="14.25" customHeight="1" s="192">
      <c r="W48920" s="235" t="n"/>
      <c r="X48920" s="235" t="n"/>
    </row>
    <row r="48921" ht="14.25" customHeight="1" s="192">
      <c r="W48921" s="235" t="n"/>
      <c r="X48921" s="235" t="n"/>
    </row>
    <row r="48922" ht="14.25" customHeight="1" s="192">
      <c r="W48922" s="239" t="n"/>
      <c r="X48922" s="239" t="n"/>
    </row>
    <row r="48923" ht="14.25" customHeight="1" s="192">
      <c r="W48923" s="239" t="n"/>
      <c r="X48923" s="239" t="n"/>
    </row>
    <row r="48924" ht="14.25" customHeight="1" s="192">
      <c r="W48924" s="235" t="n"/>
      <c r="X48924" s="235" t="n"/>
    </row>
    <row r="48925" ht="14.25" customHeight="1" s="192">
      <c r="W48925" s="235" t="n"/>
      <c r="X48925" s="235" t="n"/>
    </row>
    <row r="48926" ht="14.25" customHeight="1" s="192">
      <c r="W48926" s="239" t="n"/>
      <c r="X48926" s="239" t="n"/>
    </row>
    <row r="48927" ht="14.25" customHeight="1" s="192">
      <c r="W48927" s="235" t="n"/>
      <c r="X48927" s="235" t="n"/>
    </row>
    <row r="48928" ht="14.25" customHeight="1" s="192">
      <c r="W48928" s="239" t="n"/>
      <c r="X48928" s="239" t="n"/>
    </row>
    <row r="48930" ht="14.25" customHeight="1" s="192">
      <c r="W48930" s="235" t="n"/>
      <c r="X48930" s="235" t="n"/>
    </row>
    <row r="48931" ht="15" customHeight="1" s="192" thickBot="1">
      <c r="W48931" s="239" t="n"/>
      <c r="X48931" s="239" t="n"/>
    </row>
    <row r="48932" ht="15" customHeight="1" s="192" thickBot="1">
      <c r="W48932" s="45" t="n"/>
      <c r="X48932" s="45" t="n"/>
    </row>
    <row r="48933" ht="14.25" customHeight="1" s="192">
      <c r="W48933" s="228" t="n"/>
      <c r="X48933" s="228" t="n"/>
    </row>
    <row r="48934" ht="14.25" customHeight="1" s="192">
      <c r="W48934" s="228" t="n"/>
      <c r="X48934" s="228" t="n"/>
    </row>
    <row r="48935" ht="14.25" customHeight="1" s="192">
      <c r="W48935" s="231" t="n"/>
      <c r="X48935" s="231" t="n"/>
    </row>
    <row r="48936" ht="14.25" customHeight="1" s="192">
      <c r="W48936" s="33" t="n"/>
      <c r="X48936" s="33" t="n"/>
    </row>
    <row r="48937" ht="14.25" customHeight="1" s="192">
      <c r="W48937" s="231" t="n"/>
      <c r="X48937" s="231" t="n"/>
    </row>
    <row r="48938" ht="14.25" customHeight="1" s="192">
      <c r="W48938" s="33" t="n"/>
      <c r="X48938" s="33" t="n"/>
    </row>
    <row r="48940" ht="14.25" customHeight="1" s="192">
      <c r="W48940" s="231" t="n"/>
      <c r="X48940" s="231" t="n"/>
    </row>
    <row r="48941" ht="14.25" customHeight="1" s="192">
      <c r="W48941" s="235" t="n"/>
      <c r="X48941" s="235" t="n"/>
    </row>
    <row r="48942" ht="14.25" customHeight="1" s="192">
      <c r="W48942" s="228" t="n"/>
      <c r="X48942" s="228" t="n"/>
    </row>
    <row r="48943" ht="14.25" customHeight="1" s="192">
      <c r="W48943" s="235" t="n"/>
      <c r="X48943" s="235" t="n"/>
    </row>
    <row r="48944" ht="14.25" customHeight="1" s="192">
      <c r="W48944" s="235" t="n"/>
      <c r="X48944" s="235" t="n"/>
    </row>
    <row r="48945" ht="14.25" customHeight="1" s="192">
      <c r="W48945" s="235" t="n"/>
      <c r="X48945" s="235" t="n"/>
    </row>
    <row r="48946" ht="14.25" customHeight="1" s="192">
      <c r="W48946" s="239" t="n"/>
      <c r="X48946" s="239" t="n"/>
    </row>
    <row r="48947" ht="14.25" customHeight="1" s="192">
      <c r="W48947" s="239" t="n"/>
      <c r="X48947" s="239" t="n"/>
    </row>
    <row r="48948" ht="14.25" customHeight="1" s="192">
      <c r="W48948" s="239" t="n"/>
      <c r="X48948" s="239" t="n"/>
    </row>
    <row r="48949" ht="14.25" customHeight="1" s="192">
      <c r="W48949" s="235" t="n"/>
      <c r="X48949" s="235" t="n"/>
    </row>
    <row r="48950" ht="14.25" customHeight="1" s="192">
      <c r="W48950" s="235" t="n"/>
      <c r="X48950" s="235" t="n"/>
    </row>
    <row r="48951" ht="14.25" customHeight="1" s="192">
      <c r="W48951" s="235" t="n"/>
      <c r="X48951" s="235" t="n"/>
    </row>
    <row r="48952" ht="14.25" customHeight="1" s="192">
      <c r="W48952" s="239" t="n"/>
      <c r="X48952" s="239" t="n"/>
    </row>
    <row r="48953" ht="14.25" customHeight="1" s="192">
      <c r="W48953" s="239" t="n"/>
      <c r="X48953" s="239" t="n"/>
    </row>
    <row r="48954" ht="14.25" customHeight="1" s="192">
      <c r="W48954" s="235" t="n"/>
      <c r="X48954" s="235" t="n"/>
    </row>
    <row r="48955" ht="14.25" customHeight="1" s="192">
      <c r="W48955" s="235" t="n"/>
      <c r="X48955" s="235" t="n"/>
    </row>
    <row r="48956" ht="14.25" customHeight="1" s="192">
      <c r="W48956" s="239" t="n"/>
      <c r="X48956" s="239" t="n"/>
    </row>
    <row r="48957" ht="14.25" customHeight="1" s="192">
      <c r="W48957" s="235" t="n"/>
      <c r="X48957" s="235" t="n"/>
    </row>
    <row r="48958" ht="14.25" customHeight="1" s="192">
      <c r="W48958" s="239" t="n"/>
      <c r="X48958" s="239" t="n"/>
    </row>
    <row r="48960" ht="14.25" customHeight="1" s="192">
      <c r="W48960" s="235" t="n"/>
      <c r="X48960" s="235" t="n"/>
    </row>
    <row r="48961" ht="15" customHeight="1" s="192" thickBot="1">
      <c r="W48961" s="239" t="n"/>
      <c r="X48961" s="239" t="n"/>
    </row>
    <row r="48962" ht="15" customHeight="1" s="192" thickBot="1">
      <c r="W48962" s="45" t="n"/>
      <c r="X48962" s="45" t="n"/>
    </row>
    <row r="48963" ht="14.25" customHeight="1" s="192">
      <c r="W48963" s="228" t="n"/>
      <c r="X48963" s="228" t="n"/>
    </row>
    <row r="48964" ht="14.25" customHeight="1" s="192">
      <c r="W48964" s="228" t="n"/>
      <c r="X48964" s="228" t="n"/>
    </row>
    <row r="48965" ht="14.25" customHeight="1" s="192">
      <c r="W48965" s="231" t="n"/>
      <c r="X48965" s="231" t="n"/>
    </row>
    <row r="48966" ht="14.25" customHeight="1" s="192">
      <c r="W48966" s="33" t="n"/>
      <c r="X48966" s="33" t="n"/>
    </row>
    <row r="48967" ht="14.25" customHeight="1" s="192">
      <c r="W48967" s="231" t="n"/>
      <c r="X48967" s="231" t="n"/>
    </row>
    <row r="48968" ht="14.25" customHeight="1" s="192">
      <c r="W48968" s="33" t="n"/>
      <c r="X48968" s="33" t="n"/>
    </row>
    <row r="48970" ht="14.25" customHeight="1" s="192">
      <c r="W48970" s="231" t="n"/>
      <c r="X48970" s="231" t="n"/>
    </row>
    <row r="48971" ht="14.25" customHeight="1" s="192">
      <c r="W48971" s="235" t="n"/>
      <c r="X48971" s="235" t="n"/>
    </row>
    <row r="48972" ht="14.25" customHeight="1" s="192">
      <c r="W48972" s="228" t="n"/>
      <c r="X48972" s="228" t="n"/>
    </row>
    <row r="48973" ht="14.25" customHeight="1" s="192">
      <c r="W48973" s="235" t="n"/>
      <c r="X48973" s="235" t="n"/>
    </row>
    <row r="48974" ht="14.25" customHeight="1" s="192">
      <c r="W48974" s="235" t="n"/>
      <c r="X48974" s="235" t="n"/>
    </row>
    <row r="48975" ht="14.25" customHeight="1" s="192">
      <c r="W48975" s="235" t="n"/>
      <c r="X48975" s="235" t="n"/>
    </row>
    <row r="48976" ht="14.25" customHeight="1" s="192">
      <c r="W48976" s="239" t="n"/>
      <c r="X48976" s="239" t="n"/>
    </row>
    <row r="48977" ht="14.25" customHeight="1" s="192">
      <c r="W48977" s="239" t="n"/>
      <c r="X48977" s="239" t="n"/>
    </row>
    <row r="48978" ht="14.25" customHeight="1" s="192">
      <c r="W48978" s="239" t="n"/>
      <c r="X48978" s="239" t="n"/>
    </row>
    <row r="48979" ht="14.25" customHeight="1" s="192">
      <c r="W48979" s="235" t="n"/>
      <c r="X48979" s="235" t="n"/>
    </row>
    <row r="48980" ht="14.25" customHeight="1" s="192">
      <c r="W48980" s="235" t="n"/>
      <c r="X48980" s="235" t="n"/>
    </row>
    <row r="48981" ht="14.25" customHeight="1" s="192">
      <c r="W48981" s="235" t="n"/>
      <c r="X48981" s="235" t="n"/>
    </row>
    <row r="48982" ht="14.25" customHeight="1" s="192">
      <c r="W48982" s="239" t="n"/>
      <c r="X48982" s="239" t="n"/>
    </row>
    <row r="48983" ht="14.25" customHeight="1" s="192">
      <c r="W48983" s="239" t="n"/>
      <c r="X48983" s="239" t="n"/>
    </row>
    <row r="48984" ht="14.25" customHeight="1" s="192">
      <c r="W48984" s="235" t="n"/>
      <c r="X48984" s="235" t="n"/>
    </row>
    <row r="48985" ht="14.25" customHeight="1" s="192">
      <c r="W48985" s="235" t="n"/>
      <c r="X48985" s="235" t="n"/>
    </row>
    <row r="48986" ht="14.25" customHeight="1" s="192">
      <c r="W48986" s="239" t="n"/>
      <c r="X48986" s="239" t="n"/>
    </row>
    <row r="48987" ht="14.25" customHeight="1" s="192">
      <c r="W48987" s="235" t="n"/>
      <c r="X48987" s="235" t="n"/>
    </row>
    <row r="48988" ht="14.25" customHeight="1" s="192">
      <c r="W48988" s="239" t="n"/>
      <c r="X48988" s="239" t="n"/>
    </row>
    <row r="48990" ht="14.25" customHeight="1" s="192">
      <c r="W48990" s="235" t="n"/>
      <c r="X48990" s="235" t="n"/>
    </row>
    <row r="48991" ht="15" customHeight="1" s="192" thickBot="1">
      <c r="W48991" s="239" t="n"/>
      <c r="X48991" s="239" t="n"/>
    </row>
    <row r="48992" ht="15" customHeight="1" s="192" thickBot="1">
      <c r="W48992" s="45" t="n"/>
      <c r="X48992" s="45" t="n"/>
    </row>
    <row r="48993" ht="14.25" customHeight="1" s="192">
      <c r="W48993" s="228" t="n"/>
      <c r="X48993" s="228" t="n"/>
    </row>
    <row r="48994" ht="14.25" customHeight="1" s="192">
      <c r="W48994" s="228" t="n"/>
      <c r="X48994" s="228" t="n"/>
    </row>
    <row r="48995" ht="14.25" customHeight="1" s="192">
      <c r="W48995" s="231" t="n"/>
      <c r="X48995" s="231" t="n"/>
    </row>
    <row r="48996" ht="14.25" customHeight="1" s="192">
      <c r="W48996" s="33" t="n"/>
      <c r="X48996" s="33" t="n"/>
    </row>
    <row r="48997" ht="14.25" customHeight="1" s="192">
      <c r="W48997" s="231" t="n"/>
      <c r="X48997" s="231" t="n"/>
    </row>
    <row r="48998" ht="14.25" customHeight="1" s="192">
      <c r="W48998" s="33" t="n"/>
      <c r="X48998" s="33" t="n"/>
    </row>
    <row r="49000" ht="14.25" customHeight="1" s="192">
      <c r="W49000" s="231" t="n"/>
      <c r="X49000" s="231" t="n"/>
    </row>
    <row r="49001" ht="14.25" customHeight="1" s="192">
      <c r="W49001" s="235" t="n"/>
      <c r="X49001" s="235" t="n"/>
    </row>
    <row r="49002" ht="14.25" customHeight="1" s="192">
      <c r="W49002" s="228" t="n"/>
      <c r="X49002" s="228" t="n"/>
    </row>
    <row r="49003" ht="14.25" customHeight="1" s="192">
      <c r="W49003" s="235" t="n"/>
      <c r="X49003" s="235" t="n"/>
    </row>
    <row r="49004" ht="14.25" customHeight="1" s="192">
      <c r="W49004" s="235" t="n"/>
      <c r="X49004" s="235" t="n"/>
    </row>
    <row r="49005" ht="14.25" customHeight="1" s="192">
      <c r="W49005" s="235" t="n"/>
      <c r="X49005" s="235" t="n"/>
    </row>
    <row r="49006" ht="14.25" customHeight="1" s="192">
      <c r="W49006" s="239" t="n"/>
      <c r="X49006" s="239" t="n"/>
    </row>
    <row r="49007" ht="14.25" customHeight="1" s="192">
      <c r="W49007" s="239" t="n"/>
      <c r="X49007" s="239" t="n"/>
    </row>
    <row r="49008" ht="14.25" customHeight="1" s="192">
      <c r="W49008" s="239" t="n"/>
      <c r="X49008" s="239" t="n"/>
    </row>
    <row r="49009" ht="14.25" customHeight="1" s="192">
      <c r="W49009" s="235" t="n"/>
      <c r="X49009" s="235" t="n"/>
    </row>
    <row r="49010" ht="14.25" customHeight="1" s="192">
      <c r="W49010" s="235" t="n"/>
      <c r="X49010" s="235" t="n"/>
    </row>
    <row r="49011" ht="14.25" customHeight="1" s="192">
      <c r="W49011" s="235" t="n"/>
      <c r="X49011" s="235" t="n"/>
    </row>
    <row r="49012" ht="14.25" customHeight="1" s="192">
      <c r="W49012" s="239" t="n"/>
      <c r="X49012" s="239" t="n"/>
    </row>
    <row r="49013" ht="14.25" customHeight="1" s="192">
      <c r="W49013" s="239" t="n"/>
      <c r="X49013" s="239" t="n"/>
    </row>
    <row r="49014" ht="14.25" customHeight="1" s="192">
      <c r="W49014" s="235" t="n"/>
      <c r="X49014" s="235" t="n"/>
    </row>
    <row r="49015" ht="14.25" customHeight="1" s="192">
      <c r="W49015" s="235" t="n"/>
      <c r="X49015" s="235" t="n"/>
    </row>
    <row r="49016" ht="14.25" customHeight="1" s="192">
      <c r="W49016" s="239" t="n"/>
      <c r="X49016" s="239" t="n"/>
    </row>
    <row r="49017" ht="14.25" customHeight="1" s="192">
      <c r="W49017" s="235" t="n"/>
      <c r="X49017" s="235" t="n"/>
    </row>
    <row r="49018" ht="14.25" customHeight="1" s="192">
      <c r="W49018" s="239" t="n"/>
      <c r="X49018" s="239" t="n"/>
    </row>
    <row r="49020" ht="14.25" customHeight="1" s="192">
      <c r="W49020" s="235" t="n"/>
      <c r="X49020" s="235" t="n"/>
    </row>
    <row r="49021" ht="15" customHeight="1" s="192" thickBot="1">
      <c r="W49021" s="239" t="n"/>
      <c r="X49021" s="239" t="n"/>
    </row>
    <row r="49022" ht="15" customHeight="1" s="192" thickBot="1">
      <c r="W49022" s="45" t="n"/>
      <c r="X49022" s="45" t="n"/>
    </row>
    <row r="49023" ht="14.25" customHeight="1" s="192">
      <c r="W49023" s="228" t="n"/>
      <c r="X49023" s="228" t="n"/>
    </row>
    <row r="49024" ht="14.25" customHeight="1" s="192">
      <c r="W49024" s="228" t="n"/>
      <c r="X49024" s="228" t="n"/>
    </row>
    <row r="49025" ht="14.25" customHeight="1" s="192">
      <c r="W49025" s="231" t="n"/>
      <c r="X49025" s="231" t="n"/>
    </row>
    <row r="49026" ht="14.25" customHeight="1" s="192">
      <c r="W49026" s="33" t="n"/>
      <c r="X49026" s="33" t="n"/>
    </row>
    <row r="49027" ht="14.25" customHeight="1" s="192">
      <c r="W49027" s="231" t="n"/>
      <c r="X49027" s="231" t="n"/>
    </row>
    <row r="49028" ht="14.25" customHeight="1" s="192">
      <c r="W49028" s="33" t="n"/>
      <c r="X49028" s="33" t="n"/>
    </row>
    <row r="49030" ht="14.25" customHeight="1" s="192">
      <c r="W49030" s="231" t="n"/>
      <c r="X49030" s="231" t="n"/>
    </row>
    <row r="49031" ht="14.25" customHeight="1" s="192">
      <c r="W49031" s="235" t="n"/>
      <c r="X49031" s="235" t="n"/>
    </row>
    <row r="49032" ht="14.25" customHeight="1" s="192">
      <c r="W49032" s="228" t="n"/>
      <c r="X49032" s="228" t="n"/>
    </row>
    <row r="49033" ht="14.25" customHeight="1" s="192">
      <c r="W49033" s="235" t="n"/>
      <c r="X49033" s="235" t="n"/>
    </row>
    <row r="49034" ht="14.25" customHeight="1" s="192">
      <c r="W49034" s="235" t="n"/>
      <c r="X49034" s="235" t="n"/>
    </row>
    <row r="49035" ht="14.25" customHeight="1" s="192">
      <c r="W49035" s="235" t="n"/>
      <c r="X49035" s="235" t="n"/>
    </row>
    <row r="49036" ht="14.25" customHeight="1" s="192">
      <c r="W49036" s="239" t="n"/>
      <c r="X49036" s="239" t="n"/>
    </row>
    <row r="49037" ht="14.25" customHeight="1" s="192">
      <c r="W49037" s="239" t="n"/>
      <c r="X49037" s="239" t="n"/>
    </row>
    <row r="49038" ht="14.25" customHeight="1" s="192">
      <c r="W49038" s="239" t="n"/>
      <c r="X49038" s="239" t="n"/>
    </row>
    <row r="49039" ht="14.25" customHeight="1" s="192">
      <c r="W49039" s="235" t="n"/>
      <c r="X49039" s="235" t="n"/>
    </row>
    <row r="49040" ht="14.25" customHeight="1" s="192">
      <c r="W49040" s="235" t="n"/>
      <c r="X49040" s="235" t="n"/>
    </row>
    <row r="49041" ht="14.25" customHeight="1" s="192">
      <c r="W49041" s="235" t="n"/>
      <c r="X49041" s="235" t="n"/>
    </row>
    <row r="49042" ht="14.25" customHeight="1" s="192">
      <c r="W49042" s="239" t="n"/>
      <c r="X49042" s="239" t="n"/>
    </row>
    <row r="49043" ht="14.25" customHeight="1" s="192">
      <c r="W49043" s="239" t="n"/>
      <c r="X49043" s="239" t="n"/>
    </row>
    <row r="49044" ht="14.25" customHeight="1" s="192">
      <c r="W49044" s="235" t="n"/>
      <c r="X49044" s="235" t="n"/>
    </row>
    <row r="49045" ht="14.25" customHeight="1" s="192">
      <c r="W49045" s="235" t="n"/>
      <c r="X49045" s="235" t="n"/>
    </row>
    <row r="49046" ht="14.25" customHeight="1" s="192">
      <c r="W49046" s="239" t="n"/>
      <c r="X49046" s="239" t="n"/>
    </row>
    <row r="49047" ht="14.25" customHeight="1" s="192">
      <c r="W49047" s="235" t="n"/>
      <c r="X49047" s="235" t="n"/>
    </row>
    <row r="49048" ht="14.25" customHeight="1" s="192">
      <c r="W49048" s="239" t="n"/>
      <c r="X49048" s="239" t="n"/>
    </row>
    <row r="49050" ht="14.25" customHeight="1" s="192">
      <c r="W49050" s="235" t="n"/>
      <c r="X49050" s="235" t="n"/>
    </row>
    <row r="49051" ht="15" customHeight="1" s="192" thickBot="1">
      <c r="W49051" s="239" t="n"/>
      <c r="X49051" s="239" t="n"/>
    </row>
    <row r="49052" ht="15" customHeight="1" s="192" thickBot="1">
      <c r="W49052" s="45" t="n"/>
      <c r="X49052" s="45" t="n"/>
    </row>
    <row r="49053" ht="14.25" customHeight="1" s="192">
      <c r="W49053" s="228" t="n"/>
      <c r="X49053" s="228" t="n"/>
    </row>
    <row r="49054" ht="14.25" customHeight="1" s="192">
      <c r="W49054" s="228" t="n"/>
      <c r="X49054" s="228" t="n"/>
    </row>
    <row r="49055" ht="14.25" customHeight="1" s="192">
      <c r="W49055" s="231" t="n"/>
      <c r="X49055" s="231" t="n"/>
    </row>
    <row r="49056" ht="14.25" customHeight="1" s="192">
      <c r="W49056" s="33" t="n"/>
      <c r="X49056" s="33" t="n"/>
    </row>
    <row r="49057" ht="14.25" customHeight="1" s="192">
      <c r="W49057" s="231" t="n"/>
      <c r="X49057" s="231" t="n"/>
    </row>
    <row r="49058" ht="14.25" customHeight="1" s="192">
      <c r="W49058" s="33" t="n"/>
      <c r="X49058" s="33" t="n"/>
    </row>
    <row r="49060" ht="14.25" customHeight="1" s="192">
      <c r="W49060" s="231" t="n"/>
      <c r="X49060" s="231" t="n"/>
    </row>
    <row r="49061" ht="14.25" customHeight="1" s="192">
      <c r="W49061" s="235" t="n"/>
      <c r="X49061" s="235" t="n"/>
    </row>
    <row r="49062" ht="14.25" customHeight="1" s="192">
      <c r="W49062" s="228" t="n"/>
      <c r="X49062" s="228" t="n"/>
    </row>
    <row r="49063" ht="14.25" customHeight="1" s="192">
      <c r="W49063" s="235" t="n"/>
      <c r="X49063" s="235" t="n"/>
    </row>
    <row r="49064" ht="14.25" customHeight="1" s="192">
      <c r="W49064" s="235" t="n"/>
      <c r="X49064" s="235" t="n"/>
    </row>
    <row r="49065" ht="14.25" customHeight="1" s="192">
      <c r="W49065" s="235" t="n"/>
      <c r="X49065" s="235" t="n"/>
    </row>
    <row r="49066" ht="14.25" customHeight="1" s="192">
      <c r="W49066" s="239" t="n"/>
      <c r="X49066" s="239" t="n"/>
    </row>
    <row r="49067" ht="14.25" customHeight="1" s="192">
      <c r="W49067" s="239" t="n"/>
      <c r="X49067" s="239" t="n"/>
    </row>
    <row r="49068" ht="14.25" customHeight="1" s="192">
      <c r="W49068" s="239" t="n"/>
      <c r="X49068" s="239" t="n"/>
    </row>
    <row r="49069" ht="14.25" customHeight="1" s="192">
      <c r="W49069" s="235" t="n"/>
      <c r="X49069" s="235" t="n"/>
    </row>
    <row r="49070" ht="14.25" customHeight="1" s="192">
      <c r="W49070" s="235" t="n"/>
      <c r="X49070" s="235" t="n"/>
    </row>
    <row r="49071" ht="14.25" customHeight="1" s="192">
      <c r="W49071" s="235" t="n"/>
      <c r="X49071" s="235" t="n"/>
    </row>
    <row r="49072" ht="14.25" customHeight="1" s="192">
      <c r="W49072" s="239" t="n"/>
      <c r="X49072" s="239" t="n"/>
    </row>
    <row r="49073" ht="14.25" customHeight="1" s="192">
      <c r="W49073" s="239" t="n"/>
      <c r="X49073" s="239" t="n"/>
    </row>
    <row r="49074" ht="14.25" customHeight="1" s="192">
      <c r="W49074" s="235" t="n"/>
      <c r="X49074" s="235" t="n"/>
    </row>
    <row r="49075" ht="14.25" customHeight="1" s="192">
      <c r="W49075" s="235" t="n"/>
      <c r="X49075" s="235" t="n"/>
    </row>
    <row r="49076" ht="14.25" customHeight="1" s="192">
      <c r="W49076" s="239" t="n"/>
      <c r="X49076" s="239" t="n"/>
    </row>
    <row r="49077" ht="14.25" customHeight="1" s="192">
      <c r="W49077" s="235" t="n"/>
      <c r="X49077" s="235" t="n"/>
    </row>
    <row r="49078" ht="14.25" customHeight="1" s="192">
      <c r="W49078" s="239" t="n"/>
      <c r="X49078" s="239" t="n"/>
    </row>
    <row r="49080" ht="14.25" customHeight="1" s="192">
      <c r="W49080" s="235" t="n"/>
      <c r="X49080" s="235" t="n"/>
    </row>
    <row r="49081" ht="15" customHeight="1" s="192" thickBot="1">
      <c r="W49081" s="239" t="n"/>
      <c r="X49081" s="239" t="n"/>
    </row>
    <row r="49082" ht="15" customHeight="1" s="192" thickBot="1">
      <c r="W49082" s="45" t="n"/>
      <c r="X49082" s="45" t="n"/>
    </row>
    <row r="49083" ht="14.25" customHeight="1" s="192">
      <c r="W49083" s="228" t="n"/>
      <c r="X49083" s="228" t="n"/>
    </row>
    <row r="49084" ht="14.25" customHeight="1" s="192">
      <c r="W49084" s="228" t="n"/>
      <c r="X49084" s="228" t="n"/>
    </row>
    <row r="49085" ht="14.25" customHeight="1" s="192">
      <c r="W49085" s="231" t="n"/>
      <c r="X49085" s="231" t="n"/>
    </row>
    <row r="49086" ht="14.25" customHeight="1" s="192">
      <c r="W49086" s="33" t="n"/>
      <c r="X49086" s="33" t="n"/>
    </row>
    <row r="49087" ht="14.25" customHeight="1" s="192">
      <c r="W49087" s="231" t="n"/>
      <c r="X49087" s="231" t="n"/>
    </row>
    <row r="49088" ht="14.25" customHeight="1" s="192">
      <c r="W49088" s="33" t="n"/>
      <c r="X49088" s="33" t="n"/>
    </row>
    <row r="49090" ht="14.25" customHeight="1" s="192">
      <c r="W49090" s="231" t="n"/>
      <c r="X49090" s="231" t="n"/>
    </row>
    <row r="49091" ht="14.25" customHeight="1" s="192">
      <c r="W49091" s="235" t="n"/>
      <c r="X49091" s="235" t="n"/>
    </row>
    <row r="49092" ht="14.25" customHeight="1" s="192">
      <c r="W49092" s="228" t="n"/>
      <c r="X49092" s="228" t="n"/>
    </row>
    <row r="49093" ht="14.25" customHeight="1" s="192">
      <c r="W49093" s="235" t="n"/>
      <c r="X49093" s="235" t="n"/>
    </row>
    <row r="49094" ht="14.25" customHeight="1" s="192">
      <c r="W49094" s="235" t="n"/>
      <c r="X49094" s="235" t="n"/>
    </row>
    <row r="49095" ht="14.25" customHeight="1" s="192">
      <c r="W49095" s="235" t="n"/>
      <c r="X49095" s="235" t="n"/>
    </row>
    <row r="49096" ht="14.25" customHeight="1" s="192">
      <c r="W49096" s="239" t="n"/>
      <c r="X49096" s="239" t="n"/>
    </row>
    <row r="49097" ht="14.25" customHeight="1" s="192">
      <c r="W49097" s="239" t="n"/>
      <c r="X49097" s="239" t="n"/>
    </row>
    <row r="49098" ht="14.25" customHeight="1" s="192">
      <c r="W49098" s="239" t="n"/>
      <c r="X49098" s="239" t="n"/>
    </row>
    <row r="49099" ht="14.25" customHeight="1" s="192">
      <c r="W49099" s="235" t="n"/>
      <c r="X49099" s="235" t="n"/>
    </row>
    <row r="49100" ht="14.25" customHeight="1" s="192">
      <c r="W49100" s="235" t="n"/>
      <c r="X49100" s="235" t="n"/>
    </row>
    <row r="49101" ht="14.25" customHeight="1" s="192">
      <c r="W49101" s="235" t="n"/>
      <c r="X49101" s="235" t="n"/>
    </row>
    <row r="49102" ht="14.25" customHeight="1" s="192">
      <c r="W49102" s="239" t="n"/>
      <c r="X49102" s="239" t="n"/>
    </row>
    <row r="49103" ht="14.25" customHeight="1" s="192">
      <c r="W49103" s="239" t="n"/>
      <c r="X49103" s="239" t="n"/>
    </row>
    <row r="49104" ht="14.25" customHeight="1" s="192">
      <c r="W49104" s="235" t="n"/>
      <c r="X49104" s="235" t="n"/>
    </row>
    <row r="49105" ht="14.25" customHeight="1" s="192">
      <c r="W49105" s="235" t="n"/>
      <c r="X49105" s="235" t="n"/>
    </row>
    <row r="49106" ht="14.25" customHeight="1" s="192">
      <c r="W49106" s="239" t="n"/>
      <c r="X49106" s="239" t="n"/>
    </row>
    <row r="49107" ht="14.25" customHeight="1" s="192">
      <c r="W49107" s="235" t="n"/>
      <c r="X49107" s="235" t="n"/>
    </row>
    <row r="49108" ht="14.25" customHeight="1" s="192">
      <c r="W49108" s="239" t="n"/>
      <c r="X49108" s="239" t="n"/>
    </row>
    <row r="49110" ht="14.25" customHeight="1" s="192">
      <c r="W49110" s="235" t="n"/>
      <c r="X49110" s="235" t="n"/>
    </row>
    <row r="49111" ht="15" customHeight="1" s="192" thickBot="1">
      <c r="W49111" s="239" t="n"/>
      <c r="X49111" s="239" t="n"/>
    </row>
    <row r="49112" ht="15" customHeight="1" s="192" thickBot="1">
      <c r="W49112" s="45" t="n"/>
      <c r="X49112" s="45" t="n"/>
    </row>
    <row r="49113" ht="14.25" customHeight="1" s="192">
      <c r="W49113" s="228" t="n"/>
      <c r="X49113" s="228" t="n"/>
    </row>
    <row r="49114" ht="14.25" customHeight="1" s="192">
      <c r="W49114" s="228" t="n"/>
      <c r="X49114" s="228" t="n"/>
    </row>
    <row r="49115" ht="14.25" customHeight="1" s="192">
      <c r="W49115" s="231" t="n"/>
      <c r="X49115" s="231" t="n"/>
    </row>
    <row r="49116" ht="14.25" customHeight="1" s="192">
      <c r="W49116" s="33" t="n"/>
      <c r="X49116" s="33" t="n"/>
    </row>
    <row r="49117" ht="14.25" customHeight="1" s="192">
      <c r="W49117" s="231" t="n"/>
      <c r="X49117" s="231" t="n"/>
    </row>
    <row r="49118" ht="14.25" customHeight="1" s="192">
      <c r="W49118" s="33" t="n"/>
      <c r="X49118" s="33" t="n"/>
    </row>
    <row r="49120" ht="14.25" customHeight="1" s="192">
      <c r="W49120" s="231" t="n"/>
      <c r="X49120" s="231" t="n"/>
    </row>
    <row r="49121" ht="14.25" customHeight="1" s="192">
      <c r="W49121" s="235" t="n"/>
      <c r="X49121" s="235" t="n"/>
    </row>
    <row r="49122" ht="14.25" customHeight="1" s="192">
      <c r="W49122" s="228" t="n"/>
      <c r="X49122" s="228" t="n"/>
    </row>
    <row r="49123" ht="14.25" customHeight="1" s="192">
      <c r="W49123" s="235" t="n"/>
      <c r="X49123" s="235" t="n"/>
    </row>
    <row r="49124" ht="14.25" customHeight="1" s="192">
      <c r="W49124" s="235" t="n"/>
      <c r="X49124" s="235" t="n"/>
    </row>
    <row r="49125" ht="14.25" customHeight="1" s="192">
      <c r="W49125" s="235" t="n"/>
      <c r="X49125" s="235" t="n"/>
    </row>
    <row r="49126" ht="14.25" customHeight="1" s="192">
      <c r="W49126" s="239" t="n"/>
      <c r="X49126" s="239" t="n"/>
    </row>
    <row r="49127" ht="14.25" customHeight="1" s="192">
      <c r="W49127" s="239" t="n"/>
      <c r="X49127" s="239" t="n"/>
    </row>
    <row r="49128" ht="14.25" customHeight="1" s="192">
      <c r="W49128" s="239" t="n"/>
      <c r="X49128" s="239" t="n"/>
    </row>
    <row r="49129" ht="14.25" customHeight="1" s="192">
      <c r="W49129" s="235" t="n"/>
      <c r="X49129" s="235" t="n"/>
    </row>
    <row r="49130" ht="14.25" customHeight="1" s="192">
      <c r="W49130" s="235" t="n"/>
      <c r="X49130" s="235" t="n"/>
    </row>
    <row r="49131" ht="14.25" customHeight="1" s="192">
      <c r="W49131" s="235" t="n"/>
      <c r="X49131" s="235" t="n"/>
    </row>
    <row r="49132" ht="14.25" customHeight="1" s="192">
      <c r="W49132" s="239" t="n"/>
      <c r="X49132" s="239" t="n"/>
    </row>
    <row r="49133" ht="14.25" customHeight="1" s="192">
      <c r="W49133" s="239" t="n"/>
      <c r="X49133" s="239" t="n"/>
    </row>
    <row r="49134" ht="14.25" customHeight="1" s="192">
      <c r="W49134" s="235" t="n"/>
      <c r="X49134" s="235" t="n"/>
    </row>
    <row r="49135" ht="14.25" customHeight="1" s="192">
      <c r="W49135" s="235" t="n"/>
      <c r="X49135" s="235" t="n"/>
    </row>
    <row r="49136" ht="14.25" customHeight="1" s="192">
      <c r="W49136" s="239" t="n"/>
      <c r="X49136" s="239" t="n"/>
    </row>
    <row r="49137" ht="14.25" customHeight="1" s="192">
      <c r="W49137" s="235" t="n"/>
      <c r="X49137" s="235" t="n"/>
    </row>
    <row r="49138" ht="14.25" customHeight="1" s="192">
      <c r="W49138" s="239" t="n"/>
      <c r="X49138" s="239" t="n"/>
    </row>
    <row r="49140" ht="14.25" customHeight="1" s="192">
      <c r="W49140" s="235" t="n"/>
      <c r="X49140" s="235" t="n"/>
    </row>
    <row r="49141" ht="15" customHeight="1" s="192" thickBot="1">
      <c r="W49141" s="239" t="n"/>
      <c r="X49141" s="239" t="n"/>
    </row>
    <row r="49142" ht="15" customHeight="1" s="192" thickBot="1">
      <c r="W49142" s="45" t="n"/>
      <c r="X49142" s="45" t="n"/>
    </row>
    <row r="49143" ht="14.25" customHeight="1" s="192">
      <c r="W49143" s="228" t="n"/>
      <c r="X49143" s="228" t="n"/>
    </row>
    <row r="49144" ht="14.25" customHeight="1" s="192">
      <c r="W49144" s="228" t="n"/>
      <c r="X49144" s="228" t="n"/>
    </row>
    <row r="49145" ht="14.25" customHeight="1" s="192">
      <c r="W49145" s="231" t="n"/>
      <c r="X49145" s="231" t="n"/>
    </row>
    <row r="49146" ht="14.25" customHeight="1" s="192">
      <c r="W49146" s="33" t="n"/>
      <c r="X49146" s="33" t="n"/>
    </row>
    <row r="49147" ht="14.25" customHeight="1" s="192">
      <c r="W49147" s="231" t="n"/>
      <c r="X49147" s="231" t="n"/>
    </row>
    <row r="49148" ht="14.25" customHeight="1" s="192">
      <c r="W49148" s="33" t="n"/>
      <c r="X49148" s="33" t="n"/>
    </row>
    <row r="49150" ht="14.25" customHeight="1" s="192">
      <c r="W49150" s="231" t="n"/>
      <c r="X49150" s="231" t="n"/>
    </row>
    <row r="49151" ht="14.25" customHeight="1" s="192">
      <c r="W49151" s="235" t="n"/>
      <c r="X49151" s="235" t="n"/>
    </row>
    <row r="49152" ht="14.25" customHeight="1" s="192">
      <c r="W49152" s="228" t="n"/>
      <c r="X49152" s="228" t="n"/>
    </row>
    <row r="49153" ht="14.25" customHeight="1" s="192">
      <c r="W49153" s="235" t="n"/>
      <c r="X49153" s="235" t="n"/>
    </row>
    <row r="49154" ht="14.25" customHeight="1" s="192">
      <c r="W49154" s="235" t="n"/>
      <c r="X49154" s="235" t="n"/>
    </row>
    <row r="49155" ht="14.25" customHeight="1" s="192">
      <c r="W49155" s="235" t="n"/>
      <c r="X49155" s="235" t="n"/>
    </row>
    <row r="49156" ht="14.25" customHeight="1" s="192">
      <c r="W49156" s="239" t="n"/>
      <c r="X49156" s="239" t="n"/>
    </row>
    <row r="49157" ht="14.25" customHeight="1" s="192">
      <c r="W49157" s="239" t="n"/>
      <c r="X49157" s="239" t="n"/>
    </row>
    <row r="49158" ht="14.25" customHeight="1" s="192">
      <c r="W49158" s="239" t="n"/>
      <c r="X49158" s="239" t="n"/>
    </row>
    <row r="49159" ht="14.25" customHeight="1" s="192">
      <c r="W49159" s="235" t="n"/>
      <c r="X49159" s="235" t="n"/>
    </row>
    <row r="49160" ht="14.25" customHeight="1" s="192">
      <c r="W49160" s="235" t="n"/>
      <c r="X49160" s="235" t="n"/>
    </row>
    <row r="49161" ht="14.25" customHeight="1" s="192">
      <c r="W49161" s="235" t="n"/>
      <c r="X49161" s="235" t="n"/>
    </row>
    <row r="49162" ht="14.25" customHeight="1" s="192">
      <c r="W49162" s="239" t="n"/>
      <c r="X49162" s="239" t="n"/>
    </row>
    <row r="49163" ht="14.25" customHeight="1" s="192">
      <c r="W49163" s="239" t="n"/>
      <c r="X49163" s="239" t="n"/>
    </row>
    <row r="49164" ht="14.25" customHeight="1" s="192">
      <c r="W49164" s="235" t="n"/>
      <c r="X49164" s="235" t="n"/>
    </row>
    <row r="49165" ht="14.25" customHeight="1" s="192">
      <c r="W49165" s="235" t="n"/>
      <c r="X49165" s="235" t="n"/>
    </row>
    <row r="49166" ht="14.25" customHeight="1" s="192">
      <c r="W49166" s="239" t="n"/>
      <c r="X49166" s="239" t="n"/>
    </row>
    <row r="49167" ht="14.25" customHeight="1" s="192">
      <c r="W49167" s="235" t="n"/>
      <c r="X49167" s="235" t="n"/>
    </row>
    <row r="49168" ht="14.25" customHeight="1" s="192">
      <c r="W49168" s="239" t="n"/>
      <c r="X49168" s="239" t="n"/>
    </row>
    <row r="49170" ht="14.25" customHeight="1" s="192">
      <c r="W49170" s="235" t="n"/>
      <c r="X49170" s="235" t="n"/>
    </row>
    <row r="49171" ht="15" customHeight="1" s="192" thickBot="1">
      <c r="W49171" s="239" t="n"/>
      <c r="X49171" s="239" t="n"/>
    </row>
    <row r="49172" ht="15" customHeight="1" s="192" thickBot="1">
      <c r="W49172" s="45" t="n"/>
      <c r="X49172" s="45" t="n"/>
    </row>
    <row r="49173" ht="14.25" customHeight="1" s="192">
      <c r="W49173" s="228" t="n"/>
      <c r="X49173" s="228" t="n"/>
    </row>
    <row r="49174" ht="14.25" customHeight="1" s="192">
      <c r="W49174" s="228" t="n"/>
      <c r="X49174" s="228" t="n"/>
    </row>
    <row r="49175" ht="14.25" customHeight="1" s="192">
      <c r="W49175" s="231" t="n"/>
      <c r="X49175" s="231" t="n"/>
    </row>
    <row r="49176" ht="14.25" customHeight="1" s="192">
      <c r="W49176" s="33" t="n"/>
      <c r="X49176" s="33" t="n"/>
    </row>
    <row r="49177" ht="14.25" customHeight="1" s="192">
      <c r="W49177" s="231" t="n"/>
      <c r="X49177" s="231" t="n"/>
    </row>
    <row r="49178" ht="14.25" customHeight="1" s="192">
      <c r="W49178" s="33" t="n"/>
      <c r="X49178" s="33" t="n"/>
    </row>
    <row r="49180" ht="14.25" customHeight="1" s="192">
      <c r="W49180" s="231" t="n"/>
      <c r="X49180" s="231" t="n"/>
    </row>
    <row r="49181" ht="14.25" customHeight="1" s="192">
      <c r="W49181" s="235" t="n"/>
      <c r="X49181" s="235" t="n"/>
    </row>
    <row r="49182" ht="14.25" customHeight="1" s="192">
      <c r="W49182" s="228" t="n"/>
      <c r="X49182" s="228" t="n"/>
    </row>
    <row r="49183" ht="14.25" customHeight="1" s="192">
      <c r="W49183" s="235" t="n"/>
      <c r="X49183" s="235" t="n"/>
    </row>
    <row r="49184" ht="14.25" customHeight="1" s="192">
      <c r="W49184" s="235" t="n"/>
      <c r="X49184" s="235" t="n"/>
    </row>
    <row r="49185" ht="14.25" customHeight="1" s="192">
      <c r="W49185" s="235" t="n"/>
      <c r="X49185" s="235" t="n"/>
    </row>
    <row r="49186" ht="14.25" customHeight="1" s="192">
      <c r="W49186" s="239" t="n"/>
      <c r="X49186" s="239" t="n"/>
    </row>
    <row r="49187" ht="14.25" customHeight="1" s="192">
      <c r="W49187" s="239" t="n"/>
      <c r="X49187" s="239" t="n"/>
    </row>
    <row r="49188" ht="14.25" customHeight="1" s="192">
      <c r="W49188" s="239" t="n"/>
      <c r="X49188" s="239" t="n"/>
    </row>
    <row r="49189" ht="14.25" customHeight="1" s="192">
      <c r="W49189" s="235" t="n"/>
      <c r="X49189" s="235" t="n"/>
    </row>
    <row r="49190" ht="14.25" customHeight="1" s="192">
      <c r="W49190" s="235" t="n"/>
      <c r="X49190" s="235" t="n"/>
    </row>
    <row r="49191" ht="14.25" customHeight="1" s="192">
      <c r="W49191" s="235" t="n"/>
      <c r="X49191" s="235" t="n"/>
    </row>
    <row r="49192" ht="14.25" customHeight="1" s="192">
      <c r="W49192" s="239" t="n"/>
      <c r="X49192" s="239" t="n"/>
    </row>
    <row r="49193" ht="14.25" customHeight="1" s="192">
      <c r="W49193" s="239" t="n"/>
      <c r="X49193" s="239" t="n"/>
    </row>
    <row r="49194" ht="14.25" customHeight="1" s="192">
      <c r="W49194" s="235" t="n"/>
      <c r="X49194" s="235" t="n"/>
    </row>
    <row r="49195" ht="14.25" customHeight="1" s="192">
      <c r="W49195" s="235" t="n"/>
      <c r="X49195" s="235" t="n"/>
    </row>
    <row r="49196" ht="14.25" customHeight="1" s="192">
      <c r="W49196" s="239" t="n"/>
      <c r="X49196" s="239" t="n"/>
    </row>
    <row r="49197" ht="14.25" customHeight="1" s="192">
      <c r="W49197" s="235" t="n"/>
      <c r="X49197" s="235" t="n"/>
    </row>
    <row r="49198" ht="14.25" customHeight="1" s="192">
      <c r="W49198" s="239" t="n"/>
      <c r="X49198" s="239" t="n"/>
    </row>
    <row r="49200" ht="14.25" customHeight="1" s="192">
      <c r="W49200" s="235" t="n"/>
      <c r="X49200" s="235" t="n"/>
    </row>
    <row r="49201" ht="15" customHeight="1" s="192" thickBot="1">
      <c r="W49201" s="239" t="n"/>
      <c r="X49201" s="239" t="n"/>
    </row>
    <row r="49202" ht="15" customHeight="1" s="192" thickBot="1">
      <c r="W49202" s="45" t="n"/>
      <c r="X49202" s="45" t="n"/>
    </row>
    <row r="49203" ht="14.25" customHeight="1" s="192">
      <c r="W49203" s="228" t="n"/>
      <c r="X49203" s="228" t="n"/>
    </row>
    <row r="49204" ht="14.25" customHeight="1" s="192">
      <c r="W49204" s="228" t="n"/>
      <c r="X49204" s="228" t="n"/>
    </row>
    <row r="49205" ht="14.25" customHeight="1" s="192">
      <c r="W49205" s="231" t="n"/>
      <c r="X49205" s="231" t="n"/>
    </row>
    <row r="49206" ht="14.25" customHeight="1" s="192">
      <c r="W49206" s="33" t="n"/>
      <c r="X49206" s="33" t="n"/>
    </row>
    <row r="49207" ht="14.25" customHeight="1" s="192">
      <c r="W49207" s="231" t="n"/>
      <c r="X49207" s="231" t="n"/>
    </row>
    <row r="49208" ht="14.25" customHeight="1" s="192">
      <c r="W49208" s="33" t="n"/>
      <c r="X49208" s="33" t="n"/>
    </row>
    <row r="49210" ht="14.25" customHeight="1" s="192">
      <c r="W49210" s="231" t="n"/>
      <c r="X49210" s="231" t="n"/>
    </row>
    <row r="49211" ht="14.25" customHeight="1" s="192">
      <c r="W49211" s="235" t="n"/>
      <c r="X49211" s="235" t="n"/>
    </row>
    <row r="49212" ht="14.25" customHeight="1" s="192">
      <c r="W49212" s="228" t="n"/>
      <c r="X49212" s="228" t="n"/>
    </row>
    <row r="49213" ht="14.25" customHeight="1" s="192">
      <c r="W49213" s="235" t="n"/>
      <c r="X49213" s="235" t="n"/>
    </row>
    <row r="49214" ht="14.25" customHeight="1" s="192">
      <c r="W49214" s="235" t="n"/>
      <c r="X49214" s="235" t="n"/>
    </row>
    <row r="49215" ht="14.25" customHeight="1" s="192">
      <c r="W49215" s="235" t="n"/>
      <c r="X49215" s="235" t="n"/>
    </row>
    <row r="49216" ht="14.25" customHeight="1" s="192">
      <c r="W49216" s="239" t="n"/>
      <c r="X49216" s="239" t="n"/>
    </row>
    <row r="49217" ht="14.25" customHeight="1" s="192">
      <c r="W49217" s="239" t="n"/>
      <c r="X49217" s="239" t="n"/>
    </row>
    <row r="49218" ht="14.25" customHeight="1" s="192">
      <c r="W49218" s="239" t="n"/>
      <c r="X49218" s="239" t="n"/>
    </row>
    <row r="49219" ht="14.25" customHeight="1" s="192">
      <c r="W49219" s="235" t="n"/>
      <c r="X49219" s="235" t="n"/>
    </row>
    <row r="49220" ht="14.25" customHeight="1" s="192">
      <c r="W49220" s="235" t="n"/>
      <c r="X49220" s="235" t="n"/>
    </row>
    <row r="49221" ht="14.25" customHeight="1" s="192">
      <c r="W49221" s="235" t="n"/>
      <c r="X49221" s="235" t="n"/>
    </row>
    <row r="49222" ht="14.25" customHeight="1" s="192">
      <c r="W49222" s="239" t="n"/>
      <c r="X49222" s="239" t="n"/>
    </row>
    <row r="49223" ht="14.25" customHeight="1" s="192">
      <c r="W49223" s="239" t="n"/>
      <c r="X49223" s="239" t="n"/>
    </row>
    <row r="49224" ht="14.25" customHeight="1" s="192">
      <c r="W49224" s="235" t="n"/>
      <c r="X49224" s="235" t="n"/>
    </row>
    <row r="49225" ht="14.25" customHeight="1" s="192">
      <c r="W49225" s="235" t="n"/>
      <c r="X49225" s="235" t="n"/>
    </row>
    <row r="49226" ht="14.25" customHeight="1" s="192">
      <c r="W49226" s="239" t="n"/>
      <c r="X49226" s="239" t="n"/>
    </row>
    <row r="49227" ht="14.25" customHeight="1" s="192">
      <c r="W49227" s="235" t="n"/>
      <c r="X49227" s="235" t="n"/>
    </row>
    <row r="49228" ht="14.25" customHeight="1" s="192">
      <c r="W49228" s="239" t="n"/>
      <c r="X49228" s="239" t="n"/>
    </row>
    <row r="49230" ht="14.25" customHeight="1" s="192">
      <c r="W49230" s="235" t="n"/>
      <c r="X49230" s="235" t="n"/>
    </row>
    <row r="49231" ht="15" customHeight="1" s="192" thickBot="1">
      <c r="W49231" s="239" t="n"/>
      <c r="X49231" s="239" t="n"/>
    </row>
    <row r="49232" ht="15" customHeight="1" s="192" thickBot="1">
      <c r="W49232" s="45" t="n"/>
      <c r="X49232" s="45" t="n"/>
    </row>
    <row r="49233" ht="14.25" customHeight="1" s="192">
      <c r="W49233" s="228" t="n"/>
      <c r="X49233" s="228" t="n"/>
    </row>
    <row r="49234" ht="14.25" customHeight="1" s="192">
      <c r="W49234" s="228" t="n"/>
      <c r="X49234" s="228" t="n"/>
    </row>
    <row r="49235" ht="14.25" customHeight="1" s="192">
      <c r="W49235" s="231" t="n"/>
      <c r="X49235" s="231" t="n"/>
    </row>
    <row r="49236" ht="14.25" customHeight="1" s="192">
      <c r="W49236" s="33" t="n"/>
      <c r="X49236" s="33" t="n"/>
    </row>
    <row r="49237" ht="14.25" customHeight="1" s="192">
      <c r="W49237" s="231" t="n"/>
      <c r="X49237" s="231" t="n"/>
    </row>
    <row r="49238" ht="14.25" customHeight="1" s="192">
      <c r="W49238" s="33" t="n"/>
      <c r="X49238" s="33" t="n"/>
    </row>
    <row r="49240" ht="14.25" customHeight="1" s="192">
      <c r="W49240" s="231" t="n"/>
      <c r="X49240" s="231" t="n"/>
    </row>
    <row r="49241" ht="14.25" customHeight="1" s="192">
      <c r="W49241" s="235" t="n"/>
      <c r="X49241" s="235" t="n"/>
    </row>
    <row r="49242" ht="14.25" customHeight="1" s="192">
      <c r="W49242" s="228" t="n"/>
      <c r="X49242" s="228" t="n"/>
    </row>
    <row r="49243" ht="14.25" customHeight="1" s="192">
      <c r="W49243" s="235" t="n"/>
      <c r="X49243" s="235" t="n"/>
    </row>
    <row r="49244" ht="14.25" customHeight="1" s="192">
      <c r="W49244" s="235" t="n"/>
      <c r="X49244" s="235" t="n"/>
    </row>
    <row r="49245" ht="14.25" customHeight="1" s="192">
      <c r="W49245" s="235" t="n"/>
      <c r="X49245" s="235" t="n"/>
    </row>
    <row r="49246" ht="14.25" customHeight="1" s="192">
      <c r="W49246" s="239" t="n"/>
      <c r="X49246" s="239" t="n"/>
    </row>
    <row r="49247" ht="14.25" customHeight="1" s="192">
      <c r="W49247" s="239" t="n"/>
      <c r="X49247" s="239" t="n"/>
    </row>
    <row r="49248" ht="14.25" customHeight="1" s="192">
      <c r="W49248" s="239" t="n"/>
      <c r="X49248" s="239" t="n"/>
    </row>
    <row r="49249" ht="14.25" customHeight="1" s="192">
      <c r="W49249" s="235" t="n"/>
      <c r="X49249" s="235" t="n"/>
    </row>
    <row r="49250" ht="14.25" customHeight="1" s="192">
      <c r="W49250" s="235" t="n"/>
      <c r="X49250" s="235" t="n"/>
    </row>
    <row r="49251" ht="14.25" customHeight="1" s="192">
      <c r="W49251" s="235" t="n"/>
      <c r="X49251" s="235" t="n"/>
    </row>
    <row r="49252" ht="14.25" customHeight="1" s="192">
      <c r="W49252" s="239" t="n"/>
      <c r="X49252" s="239" t="n"/>
    </row>
    <row r="49253" ht="14.25" customHeight="1" s="192">
      <c r="W49253" s="239" t="n"/>
      <c r="X49253" s="239" t="n"/>
    </row>
    <row r="49254" ht="14.25" customHeight="1" s="192">
      <c r="W49254" s="235" t="n"/>
      <c r="X49254" s="235" t="n"/>
    </row>
    <row r="49255" ht="14.25" customHeight="1" s="192">
      <c r="W49255" s="235" t="n"/>
      <c r="X49255" s="235" t="n"/>
    </row>
    <row r="49256" ht="14.25" customHeight="1" s="192">
      <c r="W49256" s="239" t="n"/>
      <c r="X49256" s="239" t="n"/>
    </row>
    <row r="49257" ht="14.25" customHeight="1" s="192">
      <c r="W49257" s="235" t="n"/>
      <c r="X49257" s="235" t="n"/>
    </row>
    <row r="49258" ht="14.25" customHeight="1" s="192">
      <c r="W49258" s="239" t="n"/>
      <c r="X49258" s="239" t="n"/>
    </row>
    <row r="49260" ht="14.25" customHeight="1" s="192">
      <c r="W49260" s="235" t="n"/>
      <c r="X49260" s="235" t="n"/>
    </row>
    <row r="49261" ht="15" customHeight="1" s="192" thickBot="1">
      <c r="W49261" s="239" t="n"/>
      <c r="X49261" s="239" t="n"/>
    </row>
    <row r="49262" ht="15" customHeight="1" s="192" thickBot="1">
      <c r="W49262" s="45" t="n"/>
      <c r="X49262" s="45" t="n"/>
    </row>
    <row r="49263" ht="14.25" customHeight="1" s="192">
      <c r="W49263" s="228" t="n"/>
      <c r="X49263" s="228" t="n"/>
    </row>
    <row r="49264" ht="14.25" customHeight="1" s="192">
      <c r="W49264" s="228" t="n"/>
      <c r="X49264" s="228" t="n"/>
    </row>
    <row r="49265" ht="14.25" customHeight="1" s="192">
      <c r="W49265" s="231" t="n"/>
      <c r="X49265" s="231" t="n"/>
    </row>
    <row r="49266" ht="14.25" customHeight="1" s="192">
      <c r="W49266" s="33" t="n"/>
      <c r="X49266" s="33" t="n"/>
    </row>
    <row r="49267" ht="14.25" customHeight="1" s="192">
      <c r="W49267" s="231" t="n"/>
      <c r="X49267" s="231" t="n"/>
    </row>
    <row r="49268" ht="14.25" customHeight="1" s="192">
      <c r="W49268" s="33" t="n"/>
      <c r="X49268" s="33" t="n"/>
    </row>
    <row r="49270" ht="14.25" customHeight="1" s="192">
      <c r="W49270" s="231" t="n"/>
      <c r="X49270" s="231" t="n"/>
    </row>
    <row r="49271" ht="14.25" customHeight="1" s="192">
      <c r="W49271" s="235" t="n"/>
      <c r="X49271" s="235" t="n"/>
    </row>
    <row r="49272" ht="14.25" customHeight="1" s="192">
      <c r="W49272" s="228" t="n"/>
      <c r="X49272" s="228" t="n"/>
    </row>
    <row r="49273" ht="14.25" customHeight="1" s="192">
      <c r="W49273" s="235" t="n"/>
      <c r="X49273" s="235" t="n"/>
    </row>
    <row r="49274" ht="14.25" customHeight="1" s="192">
      <c r="W49274" s="235" t="n"/>
      <c r="X49274" s="235" t="n"/>
    </row>
    <row r="49275" ht="14.25" customHeight="1" s="192">
      <c r="W49275" s="235" t="n"/>
      <c r="X49275" s="235" t="n"/>
    </row>
    <row r="49276" ht="14.25" customHeight="1" s="192">
      <c r="W49276" s="239" t="n"/>
      <c r="X49276" s="239" t="n"/>
    </row>
    <row r="49277" ht="14.25" customHeight="1" s="192">
      <c r="W49277" s="239" t="n"/>
      <c r="X49277" s="239" t="n"/>
    </row>
    <row r="49278" ht="14.25" customHeight="1" s="192">
      <c r="W49278" s="239" t="n"/>
      <c r="X49278" s="239" t="n"/>
    </row>
    <row r="49279" ht="14.25" customHeight="1" s="192">
      <c r="W49279" s="235" t="n"/>
      <c r="X49279" s="235" t="n"/>
    </row>
    <row r="49280" ht="14.25" customHeight="1" s="192">
      <c r="W49280" s="235" t="n"/>
      <c r="X49280" s="235" t="n"/>
    </row>
    <row r="49281" ht="14.25" customHeight="1" s="192">
      <c r="W49281" s="235" t="n"/>
      <c r="X49281" s="235" t="n"/>
    </row>
    <row r="49282" ht="14.25" customHeight="1" s="192">
      <c r="W49282" s="239" t="n"/>
      <c r="X49282" s="239" t="n"/>
    </row>
    <row r="49283" ht="14.25" customHeight="1" s="192">
      <c r="W49283" s="239" t="n"/>
      <c r="X49283" s="239" t="n"/>
    </row>
    <row r="49284" ht="14.25" customHeight="1" s="192">
      <c r="W49284" s="235" t="n"/>
      <c r="X49284" s="235" t="n"/>
    </row>
    <row r="49285" ht="14.25" customHeight="1" s="192">
      <c r="W49285" s="235" t="n"/>
      <c r="X49285" s="235" t="n"/>
    </row>
    <row r="49286" ht="14.25" customHeight="1" s="192">
      <c r="W49286" s="239" t="n"/>
      <c r="X49286" s="239" t="n"/>
    </row>
    <row r="49287" ht="14.25" customHeight="1" s="192">
      <c r="W49287" s="235" t="n"/>
      <c r="X49287" s="235" t="n"/>
    </row>
    <row r="49288" ht="14.25" customHeight="1" s="192">
      <c r="W49288" s="239" t="n"/>
      <c r="X49288" s="239" t="n"/>
    </row>
    <row r="49290" ht="14.25" customHeight="1" s="192">
      <c r="W49290" s="235" t="n"/>
      <c r="X49290" s="235" t="n"/>
    </row>
    <row r="49291" ht="15" customHeight="1" s="192" thickBot="1">
      <c r="W49291" s="239" t="n"/>
      <c r="X49291" s="239" t="n"/>
    </row>
    <row r="49292" ht="15" customHeight="1" s="192" thickBot="1">
      <c r="W49292" s="45" t="n"/>
      <c r="X49292" s="45" t="n"/>
    </row>
    <row r="49293" ht="14.25" customHeight="1" s="192">
      <c r="W49293" s="228" t="n"/>
      <c r="X49293" s="228" t="n"/>
    </row>
    <row r="49294" ht="14.25" customHeight="1" s="192">
      <c r="W49294" s="228" t="n"/>
      <c r="X49294" s="228" t="n"/>
    </row>
    <row r="49295" ht="14.25" customHeight="1" s="192">
      <c r="W49295" s="231" t="n"/>
      <c r="X49295" s="231" t="n"/>
    </row>
    <row r="49296" ht="14.25" customHeight="1" s="192">
      <c r="W49296" s="33" t="n"/>
      <c r="X49296" s="33" t="n"/>
    </row>
    <row r="49297" ht="14.25" customHeight="1" s="192">
      <c r="W49297" s="231" t="n"/>
      <c r="X49297" s="231" t="n"/>
    </row>
    <row r="49298" ht="14.25" customHeight="1" s="192">
      <c r="W49298" s="33" t="n"/>
      <c r="X49298" s="33" t="n"/>
    </row>
    <row r="49300" ht="14.25" customHeight="1" s="192">
      <c r="W49300" s="231" t="n"/>
      <c r="X49300" s="231" t="n"/>
    </row>
    <row r="49301" ht="14.25" customHeight="1" s="192">
      <c r="W49301" s="235" t="n"/>
      <c r="X49301" s="235" t="n"/>
    </row>
    <row r="49302" ht="14.25" customHeight="1" s="192">
      <c r="W49302" s="228" t="n"/>
      <c r="X49302" s="228" t="n"/>
    </row>
    <row r="49303" ht="14.25" customHeight="1" s="192">
      <c r="W49303" s="235" t="n"/>
      <c r="X49303" s="235" t="n"/>
    </row>
    <row r="49304" ht="14.25" customHeight="1" s="192">
      <c r="W49304" s="235" t="n"/>
      <c r="X49304" s="235" t="n"/>
    </row>
    <row r="49305" ht="14.25" customHeight="1" s="192">
      <c r="W49305" s="235" t="n"/>
      <c r="X49305" s="235" t="n"/>
    </row>
    <row r="49306" ht="14.25" customHeight="1" s="192">
      <c r="W49306" s="239" t="n"/>
      <c r="X49306" s="239" t="n"/>
    </row>
    <row r="49307" ht="14.25" customHeight="1" s="192">
      <c r="W49307" s="239" t="n"/>
      <c r="X49307" s="239" t="n"/>
    </row>
    <row r="49308" ht="14.25" customHeight="1" s="192">
      <c r="W49308" s="239" t="n"/>
      <c r="X49308" s="239" t="n"/>
    </row>
    <row r="49309" ht="14.25" customHeight="1" s="192">
      <c r="W49309" s="235" t="n"/>
      <c r="X49309" s="235" t="n"/>
    </row>
    <row r="49310" ht="14.25" customHeight="1" s="192">
      <c r="W49310" s="235" t="n"/>
      <c r="X49310" s="235" t="n"/>
    </row>
    <row r="49311" ht="14.25" customHeight="1" s="192">
      <c r="W49311" s="235" t="n"/>
      <c r="X49311" s="235" t="n"/>
    </row>
    <row r="49312" ht="14.25" customHeight="1" s="192">
      <c r="W49312" s="239" t="n"/>
      <c r="X49312" s="239" t="n"/>
    </row>
    <row r="49313" ht="14.25" customHeight="1" s="192">
      <c r="W49313" s="239" t="n"/>
      <c r="X49313" s="239" t="n"/>
    </row>
    <row r="49314" ht="14.25" customHeight="1" s="192">
      <c r="W49314" s="235" t="n"/>
      <c r="X49314" s="235" t="n"/>
    </row>
    <row r="49315" ht="14.25" customHeight="1" s="192">
      <c r="W49315" s="235" t="n"/>
      <c r="X49315" s="235" t="n"/>
    </row>
    <row r="49316" ht="14.25" customHeight="1" s="192">
      <c r="W49316" s="239" t="n"/>
      <c r="X49316" s="239" t="n"/>
    </row>
    <row r="49317" ht="14.25" customHeight="1" s="192">
      <c r="W49317" s="235" t="n"/>
      <c r="X49317" s="235" t="n"/>
    </row>
    <row r="49318" ht="14.25" customHeight="1" s="192">
      <c r="W49318" s="239" t="n"/>
      <c r="X49318" s="239" t="n"/>
    </row>
    <row r="49320" ht="14.25" customHeight="1" s="192">
      <c r="W49320" s="235" t="n"/>
      <c r="X49320" s="235" t="n"/>
    </row>
    <row r="49321" ht="15" customHeight="1" s="192" thickBot="1">
      <c r="W49321" s="239" t="n"/>
      <c r="X49321" s="239" t="n"/>
    </row>
    <row r="49322" ht="15" customHeight="1" s="192" thickBot="1">
      <c r="W49322" s="45" t="n"/>
      <c r="X49322" s="45" t="n"/>
    </row>
    <row r="49323" ht="14.25" customHeight="1" s="192">
      <c r="W49323" s="228" t="n"/>
      <c r="X49323" s="228" t="n"/>
    </row>
    <row r="49324" ht="14.25" customHeight="1" s="192">
      <c r="W49324" s="228" t="n"/>
      <c r="X49324" s="228" t="n"/>
    </row>
    <row r="49325" ht="14.25" customHeight="1" s="192">
      <c r="W49325" s="231" t="n"/>
      <c r="X49325" s="231" t="n"/>
    </row>
    <row r="49326" ht="14.25" customHeight="1" s="192">
      <c r="W49326" s="33" t="n"/>
      <c r="X49326" s="33" t="n"/>
    </row>
    <row r="49327" ht="14.25" customHeight="1" s="192">
      <c r="W49327" s="231" t="n"/>
      <c r="X49327" s="231" t="n"/>
    </row>
    <row r="49328" ht="14.25" customHeight="1" s="192">
      <c r="W49328" s="33" t="n"/>
      <c r="X49328" s="33" t="n"/>
    </row>
    <row r="49330" ht="14.25" customHeight="1" s="192">
      <c r="W49330" s="231" t="n"/>
      <c r="X49330" s="231" t="n"/>
    </row>
    <row r="49331" ht="14.25" customHeight="1" s="192">
      <c r="W49331" s="235" t="n"/>
      <c r="X49331" s="235" t="n"/>
    </row>
    <row r="49332" ht="14.25" customHeight="1" s="192">
      <c r="W49332" s="228" t="n"/>
      <c r="X49332" s="228" t="n"/>
    </row>
    <row r="49333" ht="14.25" customHeight="1" s="192">
      <c r="W49333" s="235" t="n"/>
      <c r="X49333" s="235" t="n"/>
    </row>
    <row r="49334" ht="14.25" customHeight="1" s="192">
      <c r="W49334" s="235" t="n"/>
      <c r="X49334" s="235" t="n"/>
    </row>
    <row r="49335" ht="14.25" customHeight="1" s="192">
      <c r="W49335" s="235" t="n"/>
      <c r="X49335" s="235" t="n"/>
    </row>
    <row r="49336" ht="14.25" customHeight="1" s="192">
      <c r="W49336" s="239" t="n"/>
      <c r="X49336" s="239" t="n"/>
    </row>
    <row r="49337" ht="14.25" customHeight="1" s="192">
      <c r="W49337" s="239" t="n"/>
      <c r="X49337" s="239" t="n"/>
    </row>
    <row r="49338" ht="14.25" customHeight="1" s="192">
      <c r="W49338" s="239" t="n"/>
      <c r="X49338" s="239" t="n"/>
    </row>
    <row r="49339" ht="14.25" customHeight="1" s="192">
      <c r="W49339" s="235" t="n"/>
      <c r="X49339" s="235" t="n"/>
    </row>
    <row r="49340" ht="14.25" customHeight="1" s="192">
      <c r="W49340" s="235" t="n"/>
      <c r="X49340" s="235" t="n"/>
    </row>
    <row r="49341" ht="14.25" customHeight="1" s="192">
      <c r="W49341" s="235" t="n"/>
      <c r="X49341" s="235" t="n"/>
    </row>
    <row r="49342" ht="14.25" customHeight="1" s="192">
      <c r="W49342" s="239" t="n"/>
      <c r="X49342" s="239" t="n"/>
    </row>
    <row r="49343" ht="14.25" customHeight="1" s="192">
      <c r="W49343" s="239" t="n"/>
      <c r="X49343" s="239" t="n"/>
    </row>
    <row r="49344" ht="14.25" customHeight="1" s="192">
      <c r="W49344" s="235" t="n"/>
      <c r="X49344" s="235" t="n"/>
    </row>
    <row r="49345" ht="14.25" customHeight="1" s="192">
      <c r="W49345" s="235" t="n"/>
      <c r="X49345" s="235" t="n"/>
    </row>
    <row r="49346" ht="14.25" customHeight="1" s="192">
      <c r="W49346" s="239" t="n"/>
      <c r="X49346" s="239" t="n"/>
    </row>
    <row r="49347" ht="14.25" customHeight="1" s="192">
      <c r="W49347" s="235" t="n"/>
      <c r="X49347" s="235" t="n"/>
    </row>
    <row r="49348" ht="14.25" customHeight="1" s="192">
      <c r="W49348" s="239" t="n"/>
      <c r="X49348" s="239" t="n"/>
    </row>
    <row r="49350" ht="14.25" customHeight="1" s="192">
      <c r="W49350" s="235" t="n"/>
      <c r="X49350" s="235" t="n"/>
    </row>
    <row r="49351" ht="15" customHeight="1" s="192" thickBot="1">
      <c r="W49351" s="239" t="n"/>
      <c r="X49351" s="239" t="n"/>
    </row>
    <row r="49352" ht="15" customHeight="1" s="192" thickBot="1">
      <c r="W49352" s="45" t="n"/>
      <c r="X49352" s="45" t="n"/>
    </row>
    <row r="49353" ht="14.25" customHeight="1" s="192">
      <c r="W49353" s="228" t="n"/>
      <c r="X49353" s="228" t="n"/>
    </row>
    <row r="49354" ht="14.25" customHeight="1" s="192">
      <c r="W49354" s="228" t="n"/>
      <c r="X49354" s="228" t="n"/>
    </row>
    <row r="49355" ht="14.25" customHeight="1" s="192">
      <c r="W49355" s="231" t="n"/>
      <c r="X49355" s="231" t="n"/>
    </row>
    <row r="49356" ht="14.25" customHeight="1" s="192">
      <c r="W49356" s="33" t="n"/>
      <c r="X49356" s="33" t="n"/>
    </row>
    <row r="49357" ht="14.25" customHeight="1" s="192">
      <c r="W49357" s="231" t="n"/>
      <c r="X49357" s="231" t="n"/>
    </row>
    <row r="49358" ht="14.25" customHeight="1" s="192">
      <c r="W49358" s="33" t="n"/>
      <c r="X49358" s="33" t="n"/>
    </row>
    <row r="49360" ht="14.25" customHeight="1" s="192">
      <c r="W49360" s="231" t="n"/>
      <c r="X49360" s="231" t="n"/>
    </row>
    <row r="49361" ht="14.25" customHeight="1" s="192">
      <c r="W49361" s="235" t="n"/>
      <c r="X49361" s="235" t="n"/>
    </row>
    <row r="49362" ht="14.25" customHeight="1" s="192">
      <c r="W49362" s="228" t="n"/>
      <c r="X49362" s="228" t="n"/>
    </row>
    <row r="49363" ht="14.25" customHeight="1" s="192">
      <c r="W49363" s="235" t="n"/>
      <c r="X49363" s="235" t="n"/>
    </row>
    <row r="49364" ht="14.25" customHeight="1" s="192">
      <c r="W49364" s="235" t="n"/>
      <c r="X49364" s="235" t="n"/>
    </row>
    <row r="49365" ht="14.25" customHeight="1" s="192">
      <c r="W49365" s="235" t="n"/>
      <c r="X49365" s="235" t="n"/>
    </row>
    <row r="49366" ht="14.25" customHeight="1" s="192">
      <c r="W49366" s="239" t="n"/>
      <c r="X49366" s="239" t="n"/>
    </row>
    <row r="49367" ht="14.25" customHeight="1" s="192">
      <c r="W49367" s="239" t="n"/>
      <c r="X49367" s="239" t="n"/>
    </row>
    <row r="49368" ht="14.25" customHeight="1" s="192">
      <c r="W49368" s="239" t="n"/>
      <c r="X49368" s="239" t="n"/>
    </row>
    <row r="49369" ht="14.25" customHeight="1" s="192">
      <c r="W49369" s="235" t="n"/>
      <c r="X49369" s="235" t="n"/>
    </row>
    <row r="49370" ht="14.25" customHeight="1" s="192">
      <c r="W49370" s="235" t="n"/>
      <c r="X49370" s="235" t="n"/>
    </row>
    <row r="49371" ht="14.25" customHeight="1" s="192">
      <c r="W49371" s="235" t="n"/>
      <c r="X49371" s="235" t="n"/>
    </row>
    <row r="49372" ht="14.25" customHeight="1" s="192">
      <c r="W49372" s="239" t="n"/>
      <c r="X49372" s="239" t="n"/>
    </row>
    <row r="49373" ht="14.25" customHeight="1" s="192">
      <c r="W49373" s="239" t="n"/>
      <c r="X49373" s="239" t="n"/>
    </row>
    <row r="49374" ht="14.25" customHeight="1" s="192">
      <c r="W49374" s="235" t="n"/>
      <c r="X49374" s="235" t="n"/>
    </row>
    <row r="49375" ht="14.25" customHeight="1" s="192">
      <c r="W49375" s="235" t="n"/>
      <c r="X49375" s="235" t="n"/>
    </row>
    <row r="49376" ht="14.25" customHeight="1" s="192">
      <c r="W49376" s="239" t="n"/>
      <c r="X49376" s="239" t="n"/>
    </row>
    <row r="49377" ht="14.25" customHeight="1" s="192">
      <c r="W49377" s="235" t="n"/>
      <c r="X49377" s="235" t="n"/>
    </row>
    <row r="49378" ht="14.25" customHeight="1" s="192">
      <c r="W49378" s="239" t="n"/>
      <c r="X49378" s="239" t="n"/>
    </row>
    <row r="49380" ht="14.25" customHeight="1" s="192">
      <c r="W49380" s="235" t="n"/>
      <c r="X49380" s="235" t="n"/>
    </row>
    <row r="49381" ht="15" customHeight="1" s="192" thickBot="1">
      <c r="W49381" s="239" t="n"/>
      <c r="X49381" s="239" t="n"/>
    </row>
    <row r="49382" ht="15" customHeight="1" s="192" thickBot="1">
      <c r="W49382" s="45" t="n"/>
      <c r="X49382" s="45" t="n"/>
    </row>
    <row r="49383" ht="14.25" customHeight="1" s="192">
      <c r="W49383" s="228" t="n"/>
      <c r="X49383" s="228" t="n"/>
    </row>
    <row r="49384" ht="14.25" customHeight="1" s="192">
      <c r="W49384" s="228" t="n"/>
      <c r="X49384" s="228" t="n"/>
    </row>
    <row r="49385" ht="14.25" customHeight="1" s="192">
      <c r="W49385" s="231" t="n"/>
      <c r="X49385" s="231" t="n"/>
    </row>
    <row r="49386" ht="14.25" customHeight="1" s="192">
      <c r="W49386" s="33" t="n"/>
      <c r="X49386" s="33" t="n"/>
    </row>
    <row r="49387" ht="14.25" customHeight="1" s="192">
      <c r="W49387" s="231" t="n"/>
      <c r="X49387" s="231" t="n"/>
    </row>
    <row r="49388" ht="14.25" customHeight="1" s="192">
      <c r="W49388" s="33" t="n"/>
      <c r="X49388" s="33" t="n"/>
    </row>
    <row r="49390" ht="14.25" customHeight="1" s="192">
      <c r="W49390" s="231" t="n"/>
      <c r="X49390" s="231" t="n"/>
    </row>
    <row r="49391" ht="14.25" customHeight="1" s="192">
      <c r="W49391" s="235" t="n"/>
      <c r="X49391" s="235" t="n"/>
    </row>
    <row r="49392" ht="14.25" customHeight="1" s="192">
      <c r="W49392" s="228" t="n"/>
      <c r="X49392" s="228" t="n"/>
    </row>
    <row r="49393" ht="14.25" customHeight="1" s="192">
      <c r="W49393" s="235" t="n"/>
      <c r="X49393" s="235" t="n"/>
    </row>
    <row r="49394" ht="14.25" customHeight="1" s="192">
      <c r="W49394" s="235" t="n"/>
      <c r="X49394" s="235" t="n"/>
    </row>
    <row r="49395" ht="14.25" customHeight="1" s="192">
      <c r="W49395" s="235" t="n"/>
      <c r="X49395" s="235" t="n"/>
    </row>
    <row r="49396" ht="14.25" customHeight="1" s="192">
      <c r="W49396" s="239" t="n"/>
      <c r="X49396" s="239" t="n"/>
    </row>
    <row r="49397" ht="14.25" customHeight="1" s="192">
      <c r="W49397" s="239" t="n"/>
      <c r="X49397" s="239" t="n"/>
    </row>
    <row r="49398" ht="14.25" customHeight="1" s="192">
      <c r="W49398" s="239" t="n"/>
      <c r="X49398" s="239" t="n"/>
    </row>
    <row r="49399" ht="14.25" customHeight="1" s="192">
      <c r="W49399" s="235" t="n"/>
      <c r="X49399" s="235" t="n"/>
    </row>
    <row r="49400" ht="14.25" customHeight="1" s="192">
      <c r="W49400" s="235" t="n"/>
      <c r="X49400" s="235" t="n"/>
    </row>
    <row r="49401" ht="14.25" customHeight="1" s="192">
      <c r="W49401" s="235" t="n"/>
      <c r="X49401" s="235" t="n"/>
    </row>
    <row r="49402" ht="14.25" customHeight="1" s="192">
      <c r="W49402" s="239" t="n"/>
      <c r="X49402" s="239" t="n"/>
    </row>
    <row r="49403" ht="14.25" customHeight="1" s="192">
      <c r="W49403" s="239" t="n"/>
      <c r="X49403" s="239" t="n"/>
    </row>
    <row r="49404" ht="14.25" customHeight="1" s="192">
      <c r="W49404" s="235" t="n"/>
      <c r="X49404" s="235" t="n"/>
    </row>
    <row r="49405" ht="14.25" customHeight="1" s="192">
      <c r="W49405" s="235" t="n"/>
      <c r="X49405" s="235" t="n"/>
    </row>
    <row r="49406" ht="14.25" customHeight="1" s="192">
      <c r="W49406" s="239" t="n"/>
      <c r="X49406" s="239" t="n"/>
    </row>
    <row r="49407" ht="14.25" customHeight="1" s="192">
      <c r="W49407" s="235" t="n"/>
      <c r="X49407" s="235" t="n"/>
    </row>
    <row r="49408" ht="14.25" customHeight="1" s="192">
      <c r="W49408" s="239" t="n"/>
      <c r="X49408" s="239" t="n"/>
    </row>
    <row r="49410" ht="14.25" customHeight="1" s="192">
      <c r="W49410" s="235" t="n"/>
      <c r="X49410" s="235" t="n"/>
    </row>
    <row r="49411" ht="15" customHeight="1" s="192" thickBot="1">
      <c r="W49411" s="239" t="n"/>
      <c r="X49411" s="239" t="n"/>
    </row>
    <row r="49412" ht="15" customHeight="1" s="192" thickBot="1">
      <c r="W49412" s="45" t="n"/>
      <c r="X49412" s="45" t="n"/>
    </row>
    <row r="49413" ht="14.25" customHeight="1" s="192">
      <c r="W49413" s="228" t="n"/>
      <c r="X49413" s="228" t="n"/>
    </row>
    <row r="49414" ht="14.25" customHeight="1" s="192">
      <c r="W49414" s="228" t="n"/>
      <c r="X49414" s="228" t="n"/>
    </row>
    <row r="49415" ht="14.25" customHeight="1" s="192">
      <c r="W49415" s="231" t="n"/>
      <c r="X49415" s="231" t="n"/>
    </row>
    <row r="49416" ht="14.25" customHeight="1" s="192">
      <c r="W49416" s="33" t="n"/>
      <c r="X49416" s="33" t="n"/>
    </row>
    <row r="49417" ht="14.25" customHeight="1" s="192">
      <c r="W49417" s="231" t="n"/>
      <c r="X49417" s="231" t="n"/>
    </row>
    <row r="49418" ht="14.25" customHeight="1" s="192">
      <c r="W49418" s="33" t="n"/>
      <c r="X49418" s="33" t="n"/>
    </row>
    <row r="49420" ht="14.25" customHeight="1" s="192">
      <c r="W49420" s="231" t="n"/>
      <c r="X49420" s="231" t="n"/>
    </row>
    <row r="49421" ht="14.25" customHeight="1" s="192">
      <c r="W49421" s="235" t="n"/>
      <c r="X49421" s="235" t="n"/>
    </row>
    <row r="49422" ht="14.25" customHeight="1" s="192">
      <c r="W49422" s="228" t="n"/>
      <c r="X49422" s="228" t="n"/>
    </row>
    <row r="49423" ht="14.25" customHeight="1" s="192">
      <c r="W49423" s="235" t="n"/>
      <c r="X49423" s="235" t="n"/>
    </row>
    <row r="49424" ht="14.25" customHeight="1" s="192">
      <c r="W49424" s="235" t="n"/>
      <c r="X49424" s="235" t="n"/>
    </row>
    <row r="49425" ht="14.25" customHeight="1" s="192">
      <c r="W49425" s="235" t="n"/>
      <c r="X49425" s="235" t="n"/>
    </row>
    <row r="49426" ht="14.25" customHeight="1" s="192">
      <c r="W49426" s="239" t="n"/>
      <c r="X49426" s="239" t="n"/>
    </row>
    <row r="49427" ht="14.25" customHeight="1" s="192">
      <c r="W49427" s="239" t="n"/>
      <c r="X49427" s="239" t="n"/>
    </row>
    <row r="49428" ht="14.25" customHeight="1" s="192">
      <c r="W49428" s="239" t="n"/>
      <c r="X49428" s="239" t="n"/>
    </row>
    <row r="49429" ht="14.25" customHeight="1" s="192">
      <c r="W49429" s="235" t="n"/>
      <c r="X49429" s="235" t="n"/>
    </row>
    <row r="49430" ht="14.25" customHeight="1" s="192">
      <c r="W49430" s="235" t="n"/>
      <c r="X49430" s="235" t="n"/>
    </row>
    <row r="49431" ht="14.25" customHeight="1" s="192">
      <c r="W49431" s="235" t="n"/>
      <c r="X49431" s="235" t="n"/>
    </row>
    <row r="49432" ht="14.25" customHeight="1" s="192">
      <c r="W49432" s="239" t="n"/>
      <c r="X49432" s="239" t="n"/>
    </row>
    <row r="49433" ht="14.25" customHeight="1" s="192">
      <c r="W49433" s="239" t="n"/>
      <c r="X49433" s="239" t="n"/>
    </row>
    <row r="49434" ht="14.25" customHeight="1" s="192">
      <c r="W49434" s="235" t="n"/>
      <c r="X49434" s="235" t="n"/>
    </row>
    <row r="49435" ht="14.25" customHeight="1" s="192">
      <c r="W49435" s="235" t="n"/>
      <c r="X49435" s="235" t="n"/>
    </row>
    <row r="49436" ht="14.25" customHeight="1" s="192">
      <c r="W49436" s="239" t="n"/>
      <c r="X49436" s="239" t="n"/>
    </row>
    <row r="49437" ht="14.25" customHeight="1" s="192">
      <c r="W49437" s="235" t="n"/>
      <c r="X49437" s="235" t="n"/>
    </row>
    <row r="49438" ht="14.25" customHeight="1" s="192">
      <c r="W49438" s="239" t="n"/>
      <c r="X49438" s="239" t="n"/>
    </row>
    <row r="49440" ht="14.25" customHeight="1" s="192">
      <c r="W49440" s="235" t="n"/>
      <c r="X49440" s="235" t="n"/>
    </row>
    <row r="49441" ht="15" customHeight="1" s="192" thickBot="1">
      <c r="W49441" s="239" t="n"/>
      <c r="X49441" s="239" t="n"/>
    </row>
    <row r="49442" ht="15" customHeight="1" s="192" thickBot="1">
      <c r="W49442" s="45" t="n"/>
      <c r="X49442" s="45" t="n"/>
    </row>
    <row r="49443" ht="14.25" customHeight="1" s="192">
      <c r="W49443" s="228" t="n"/>
      <c r="X49443" s="228" t="n"/>
    </row>
    <row r="49444" ht="14.25" customHeight="1" s="192">
      <c r="W49444" s="228" t="n"/>
      <c r="X49444" s="228" t="n"/>
    </row>
    <row r="49445" ht="14.25" customHeight="1" s="192">
      <c r="W49445" s="231" t="n"/>
      <c r="X49445" s="231" t="n"/>
    </row>
    <row r="49446" ht="14.25" customHeight="1" s="192">
      <c r="W49446" s="33" t="n"/>
      <c r="X49446" s="33" t="n"/>
    </row>
    <row r="49447" ht="14.25" customHeight="1" s="192">
      <c r="W49447" s="231" t="n"/>
      <c r="X49447" s="231" t="n"/>
    </row>
    <row r="49448" ht="14.25" customHeight="1" s="192">
      <c r="W49448" s="33" t="n"/>
      <c r="X49448" s="33" t="n"/>
    </row>
    <row r="49450" ht="14.25" customHeight="1" s="192">
      <c r="W49450" s="231" t="n"/>
      <c r="X49450" s="231" t="n"/>
    </row>
    <row r="49451" ht="14.25" customHeight="1" s="192">
      <c r="W49451" s="235" t="n"/>
      <c r="X49451" s="235" t="n"/>
    </row>
    <row r="49452" ht="14.25" customHeight="1" s="192">
      <c r="W49452" s="228" t="n"/>
      <c r="X49452" s="228" t="n"/>
    </row>
    <row r="49453" ht="14.25" customHeight="1" s="192">
      <c r="W49453" s="235" t="n"/>
      <c r="X49453" s="235" t="n"/>
    </row>
    <row r="49454" ht="14.25" customHeight="1" s="192">
      <c r="W49454" s="235" t="n"/>
      <c r="X49454" s="235" t="n"/>
    </row>
    <row r="49455" ht="14.25" customHeight="1" s="192">
      <c r="W49455" s="235" t="n"/>
      <c r="X49455" s="235" t="n"/>
    </row>
    <row r="49456" ht="14.25" customHeight="1" s="192">
      <c r="W49456" s="239" t="n"/>
      <c r="X49456" s="239" t="n"/>
    </row>
    <row r="49457" ht="14.25" customHeight="1" s="192">
      <c r="W49457" s="239" t="n"/>
      <c r="X49457" s="239" t="n"/>
    </row>
    <row r="49458" ht="14.25" customHeight="1" s="192">
      <c r="W49458" s="239" t="n"/>
      <c r="X49458" s="239" t="n"/>
    </row>
    <row r="49459" ht="14.25" customHeight="1" s="192">
      <c r="W49459" s="235" t="n"/>
      <c r="X49459" s="235" t="n"/>
    </row>
    <row r="49460" ht="14.25" customHeight="1" s="192">
      <c r="W49460" s="235" t="n"/>
      <c r="X49460" s="235" t="n"/>
    </row>
    <row r="49461" ht="14.25" customHeight="1" s="192">
      <c r="W49461" s="235" t="n"/>
      <c r="X49461" s="235" t="n"/>
    </row>
    <row r="49462" ht="14.25" customHeight="1" s="192">
      <c r="W49462" s="239" t="n"/>
      <c r="X49462" s="239" t="n"/>
    </row>
    <row r="49463" ht="14.25" customHeight="1" s="192">
      <c r="W49463" s="239" t="n"/>
      <c r="X49463" s="239" t="n"/>
    </row>
    <row r="49464" ht="14.25" customHeight="1" s="192">
      <c r="W49464" s="235" t="n"/>
      <c r="X49464" s="235" t="n"/>
    </row>
    <row r="49465" ht="14.25" customHeight="1" s="192">
      <c r="W49465" s="235" t="n"/>
      <c r="X49465" s="235" t="n"/>
    </row>
    <row r="49466" ht="14.25" customHeight="1" s="192">
      <c r="W49466" s="239" t="n"/>
      <c r="X49466" s="239" t="n"/>
    </row>
    <row r="49467" ht="14.25" customHeight="1" s="192">
      <c r="W49467" s="235" t="n"/>
      <c r="X49467" s="235" t="n"/>
    </row>
    <row r="49468" ht="14.25" customHeight="1" s="192">
      <c r="W49468" s="239" t="n"/>
      <c r="X49468" s="239" t="n"/>
    </row>
    <row r="49470" ht="14.25" customHeight="1" s="192">
      <c r="W49470" s="235" t="n"/>
      <c r="X49470" s="235" t="n"/>
    </row>
    <row r="49471" ht="15" customHeight="1" s="192" thickBot="1">
      <c r="W49471" s="239" t="n"/>
      <c r="X49471" s="239" t="n"/>
    </row>
    <row r="49472" ht="15" customHeight="1" s="192" thickBot="1">
      <c r="W49472" s="45" t="n"/>
      <c r="X49472" s="45" t="n"/>
    </row>
    <row r="49473" ht="14.25" customHeight="1" s="192">
      <c r="W49473" s="228" t="n"/>
      <c r="X49473" s="228" t="n"/>
    </row>
    <row r="49474" ht="14.25" customHeight="1" s="192">
      <c r="W49474" s="228" t="n"/>
      <c r="X49474" s="228" t="n"/>
    </row>
    <row r="49475" ht="14.25" customHeight="1" s="192">
      <c r="W49475" s="231" t="n"/>
      <c r="X49475" s="231" t="n"/>
    </row>
    <row r="49476" ht="14.25" customHeight="1" s="192">
      <c r="W49476" s="33" t="n"/>
      <c r="X49476" s="33" t="n"/>
    </row>
    <row r="49477" ht="14.25" customHeight="1" s="192">
      <c r="W49477" s="231" t="n"/>
      <c r="X49477" s="231" t="n"/>
    </row>
    <row r="49478" ht="14.25" customHeight="1" s="192">
      <c r="W49478" s="33" t="n"/>
      <c r="X49478" s="33" t="n"/>
    </row>
    <row r="49480" ht="14.25" customHeight="1" s="192">
      <c r="W49480" s="231" t="n"/>
      <c r="X49480" s="231" t="n"/>
    </row>
    <row r="49481" ht="14.25" customHeight="1" s="192">
      <c r="W49481" s="235" t="n"/>
      <c r="X49481" s="235" t="n"/>
    </row>
    <row r="49482" ht="14.25" customHeight="1" s="192">
      <c r="W49482" s="228" t="n"/>
      <c r="X49482" s="228" t="n"/>
    </row>
    <row r="49483" ht="14.25" customHeight="1" s="192">
      <c r="W49483" s="235" t="n"/>
      <c r="X49483" s="235" t="n"/>
    </row>
    <row r="49484" ht="14.25" customHeight="1" s="192">
      <c r="W49484" s="235" t="n"/>
      <c r="X49484" s="235" t="n"/>
    </row>
    <row r="49485" ht="14.25" customHeight="1" s="192">
      <c r="W49485" s="235" t="n"/>
      <c r="X49485" s="235" t="n"/>
    </row>
    <row r="49486" ht="14.25" customHeight="1" s="192">
      <c r="W49486" s="239" t="n"/>
      <c r="X49486" s="239" t="n"/>
    </row>
    <row r="49487" ht="14.25" customHeight="1" s="192">
      <c r="W49487" s="239" t="n"/>
      <c r="X49487" s="239" t="n"/>
    </row>
    <row r="49488" ht="14.25" customHeight="1" s="192">
      <c r="W49488" s="239" t="n"/>
      <c r="X49488" s="239" t="n"/>
    </row>
    <row r="49489" ht="14.25" customHeight="1" s="192">
      <c r="W49489" s="235" t="n"/>
      <c r="X49489" s="235" t="n"/>
    </row>
    <row r="49490" ht="14.25" customHeight="1" s="192">
      <c r="W49490" s="235" t="n"/>
      <c r="X49490" s="235" t="n"/>
    </row>
    <row r="49491" ht="14.25" customHeight="1" s="192">
      <c r="W49491" s="235" t="n"/>
      <c r="X49491" s="235" t="n"/>
    </row>
    <row r="49492" ht="14.25" customHeight="1" s="192">
      <c r="W49492" s="239" t="n"/>
      <c r="X49492" s="239" t="n"/>
    </row>
    <row r="49493" ht="14.25" customHeight="1" s="192">
      <c r="W49493" s="239" t="n"/>
      <c r="X49493" s="239" t="n"/>
    </row>
    <row r="49494" ht="14.25" customHeight="1" s="192">
      <c r="W49494" s="235" t="n"/>
      <c r="X49494" s="235" t="n"/>
    </row>
    <row r="49495" ht="14.25" customHeight="1" s="192">
      <c r="W49495" s="235" t="n"/>
      <c r="X49495" s="235" t="n"/>
    </row>
    <row r="49496" ht="14.25" customHeight="1" s="192">
      <c r="W49496" s="239" t="n"/>
      <c r="X49496" s="239" t="n"/>
    </row>
    <row r="49497" ht="14.25" customHeight="1" s="192">
      <c r="W49497" s="235" t="n"/>
      <c r="X49497" s="235" t="n"/>
    </row>
    <row r="49498" ht="14.25" customHeight="1" s="192">
      <c r="W49498" s="239" t="n"/>
      <c r="X49498" s="239" t="n"/>
    </row>
    <row r="49500" ht="14.25" customHeight="1" s="192">
      <c r="W49500" s="235" t="n"/>
      <c r="X49500" s="235" t="n"/>
    </row>
    <row r="49501" ht="15" customHeight="1" s="192" thickBot="1">
      <c r="W49501" s="239" t="n"/>
      <c r="X49501" s="239" t="n"/>
    </row>
    <row r="49502" ht="15" customHeight="1" s="192" thickBot="1">
      <c r="W49502" s="45" t="n"/>
      <c r="X49502" s="45" t="n"/>
    </row>
    <row r="49503" ht="14.25" customHeight="1" s="192">
      <c r="W49503" s="228" t="n"/>
      <c r="X49503" s="228" t="n"/>
    </row>
    <row r="49504" ht="14.25" customHeight="1" s="192">
      <c r="W49504" s="228" t="n"/>
      <c r="X49504" s="228" t="n"/>
    </row>
    <row r="49505" ht="14.25" customHeight="1" s="192">
      <c r="W49505" s="231" t="n"/>
      <c r="X49505" s="231" t="n"/>
    </row>
    <row r="49506" ht="14.25" customHeight="1" s="192">
      <c r="W49506" s="33" t="n"/>
      <c r="X49506" s="33" t="n"/>
    </row>
    <row r="49507" ht="14.25" customHeight="1" s="192">
      <c r="W49507" s="231" t="n"/>
      <c r="X49507" s="231" t="n"/>
    </row>
    <row r="49508" ht="14.25" customHeight="1" s="192">
      <c r="W49508" s="33" t="n"/>
      <c r="X49508" s="33" t="n"/>
    </row>
    <row r="49510" ht="14.25" customHeight="1" s="192">
      <c r="W49510" s="231" t="n"/>
      <c r="X49510" s="231" t="n"/>
    </row>
    <row r="49511" ht="14.25" customHeight="1" s="192">
      <c r="W49511" s="235" t="n"/>
      <c r="X49511" s="235" t="n"/>
    </row>
    <row r="49512" ht="14.25" customHeight="1" s="192">
      <c r="W49512" s="228" t="n"/>
      <c r="X49512" s="228" t="n"/>
    </row>
    <row r="49513" ht="14.25" customHeight="1" s="192">
      <c r="W49513" s="235" t="n"/>
      <c r="X49513" s="235" t="n"/>
    </row>
    <row r="49514" ht="14.25" customHeight="1" s="192">
      <c r="W49514" s="235" t="n"/>
      <c r="X49514" s="235" t="n"/>
    </row>
    <row r="49515" ht="14.25" customHeight="1" s="192">
      <c r="W49515" s="235" t="n"/>
      <c r="X49515" s="235" t="n"/>
    </row>
    <row r="49516" ht="14.25" customHeight="1" s="192">
      <c r="W49516" s="239" t="n"/>
      <c r="X49516" s="239" t="n"/>
    </row>
    <row r="49517" ht="14.25" customHeight="1" s="192">
      <c r="W49517" s="239" t="n"/>
      <c r="X49517" s="239" t="n"/>
    </row>
    <row r="49518" ht="14.25" customHeight="1" s="192">
      <c r="W49518" s="239" t="n"/>
      <c r="X49518" s="239" t="n"/>
    </row>
    <row r="49519" ht="14.25" customHeight="1" s="192">
      <c r="W49519" s="235" t="n"/>
      <c r="X49519" s="235" t="n"/>
    </row>
    <row r="49520" ht="14.25" customHeight="1" s="192">
      <c r="W49520" s="235" t="n"/>
      <c r="X49520" s="235" t="n"/>
    </row>
    <row r="49521" ht="14.25" customHeight="1" s="192">
      <c r="W49521" s="235" t="n"/>
      <c r="X49521" s="235" t="n"/>
    </row>
    <row r="49522" ht="14.25" customHeight="1" s="192">
      <c r="W49522" s="239" t="n"/>
      <c r="X49522" s="239" t="n"/>
    </row>
    <row r="49523" ht="14.25" customHeight="1" s="192">
      <c r="W49523" s="239" t="n"/>
      <c r="X49523" s="239" t="n"/>
    </row>
    <row r="49524" ht="14.25" customHeight="1" s="192">
      <c r="W49524" s="235" t="n"/>
      <c r="X49524" s="235" t="n"/>
    </row>
    <row r="49525" ht="14.25" customHeight="1" s="192">
      <c r="W49525" s="235" t="n"/>
      <c r="X49525" s="235" t="n"/>
    </row>
    <row r="49526" ht="14.25" customHeight="1" s="192">
      <c r="W49526" s="239" t="n"/>
      <c r="X49526" s="239" t="n"/>
    </row>
    <row r="49527" ht="14.25" customHeight="1" s="192">
      <c r="W49527" s="235" t="n"/>
      <c r="X49527" s="235" t="n"/>
    </row>
    <row r="49528" ht="14.25" customHeight="1" s="192">
      <c r="W49528" s="239" t="n"/>
      <c r="X49528" s="239" t="n"/>
    </row>
    <row r="49530" ht="14.25" customHeight="1" s="192">
      <c r="W49530" s="235" t="n"/>
      <c r="X49530" s="235" t="n"/>
    </row>
    <row r="49531" ht="15" customHeight="1" s="192" thickBot="1">
      <c r="W49531" s="239" t="n"/>
      <c r="X49531" s="239" t="n"/>
    </row>
    <row r="49532" ht="15" customHeight="1" s="192" thickBot="1">
      <c r="W49532" s="45" t="n"/>
      <c r="X49532" s="45" t="n"/>
    </row>
    <row r="49533" ht="14.25" customHeight="1" s="192">
      <c r="W49533" s="228" t="n"/>
      <c r="X49533" s="228" t="n"/>
    </row>
    <row r="49534" ht="14.25" customHeight="1" s="192">
      <c r="W49534" s="228" t="n"/>
      <c r="X49534" s="228" t="n"/>
    </row>
    <row r="49535" ht="14.25" customHeight="1" s="192">
      <c r="W49535" s="231" t="n"/>
      <c r="X49535" s="231" t="n"/>
    </row>
    <row r="49536" ht="14.25" customHeight="1" s="192">
      <c r="W49536" s="33" t="n"/>
      <c r="X49536" s="33" t="n"/>
    </row>
    <row r="49537" ht="14.25" customHeight="1" s="192">
      <c r="W49537" s="231" t="n"/>
      <c r="X49537" s="231" t="n"/>
    </row>
    <row r="49538" ht="14.25" customHeight="1" s="192">
      <c r="W49538" s="33" t="n"/>
      <c r="X49538" s="33" t="n"/>
    </row>
    <row r="49540" ht="14.25" customHeight="1" s="192">
      <c r="W49540" s="231" t="n"/>
      <c r="X49540" s="231" t="n"/>
    </row>
    <row r="49541" ht="14.25" customHeight="1" s="192">
      <c r="W49541" s="235" t="n"/>
      <c r="X49541" s="235" t="n"/>
    </row>
    <row r="49542" ht="14.25" customHeight="1" s="192">
      <c r="W49542" s="228" t="n"/>
      <c r="X49542" s="228" t="n"/>
    </row>
    <row r="49543" ht="14.25" customHeight="1" s="192">
      <c r="W49543" s="235" t="n"/>
      <c r="X49543" s="235" t="n"/>
    </row>
    <row r="49544" ht="14.25" customHeight="1" s="192">
      <c r="W49544" s="235" t="n"/>
      <c r="X49544" s="235" t="n"/>
    </row>
    <row r="49545" ht="14.25" customHeight="1" s="192">
      <c r="W49545" s="235" t="n"/>
      <c r="X49545" s="235" t="n"/>
    </row>
    <row r="49546" ht="14.25" customHeight="1" s="192">
      <c r="W49546" s="239" t="n"/>
      <c r="X49546" s="239" t="n"/>
    </row>
    <row r="49547" ht="14.25" customHeight="1" s="192">
      <c r="W49547" s="239" t="n"/>
      <c r="X49547" s="239" t="n"/>
    </row>
    <row r="49548" ht="14.25" customHeight="1" s="192">
      <c r="W49548" s="239" t="n"/>
      <c r="X49548" s="239" t="n"/>
    </row>
    <row r="49549" ht="14.25" customHeight="1" s="192">
      <c r="W49549" s="235" t="n"/>
      <c r="X49549" s="235" t="n"/>
    </row>
    <row r="49550" ht="14.25" customHeight="1" s="192">
      <c r="W49550" s="235" t="n"/>
      <c r="X49550" s="235" t="n"/>
    </row>
    <row r="49551" ht="14.25" customHeight="1" s="192">
      <c r="W49551" s="235" t="n"/>
      <c r="X49551" s="235" t="n"/>
    </row>
    <row r="49552" ht="14.25" customHeight="1" s="192">
      <c r="W49552" s="239" t="n"/>
      <c r="X49552" s="239" t="n"/>
    </row>
    <row r="49553" ht="14.25" customHeight="1" s="192">
      <c r="W49553" s="239" t="n"/>
      <c r="X49553" s="239" t="n"/>
    </row>
    <row r="49554" ht="14.25" customHeight="1" s="192">
      <c r="W49554" s="235" t="n"/>
      <c r="X49554" s="235" t="n"/>
    </row>
    <row r="49555" ht="14.25" customHeight="1" s="192">
      <c r="W49555" s="235" t="n"/>
      <c r="X49555" s="235" t="n"/>
    </row>
    <row r="49556" ht="14.25" customHeight="1" s="192">
      <c r="W49556" s="239" t="n"/>
      <c r="X49556" s="239" t="n"/>
    </row>
    <row r="49557" ht="14.25" customHeight="1" s="192">
      <c r="W49557" s="235" t="n"/>
      <c r="X49557" s="235" t="n"/>
    </row>
    <row r="49558" ht="14.25" customHeight="1" s="192">
      <c r="W49558" s="239" t="n"/>
      <c r="X49558" s="239" t="n"/>
    </row>
    <row r="49560" ht="14.25" customHeight="1" s="192">
      <c r="W49560" s="235" t="n"/>
      <c r="X49560" s="235" t="n"/>
    </row>
    <row r="49561" ht="15" customHeight="1" s="192" thickBot="1">
      <c r="W49561" s="239" t="n"/>
      <c r="X49561" s="239" t="n"/>
    </row>
    <row r="49562" ht="15" customHeight="1" s="192" thickBot="1">
      <c r="W49562" s="45" t="n"/>
      <c r="X49562" s="45" t="n"/>
    </row>
    <row r="49563" ht="14.25" customHeight="1" s="192">
      <c r="W49563" s="228" t="n"/>
      <c r="X49563" s="228" t="n"/>
    </row>
    <row r="49564" ht="14.25" customHeight="1" s="192">
      <c r="W49564" s="228" t="n"/>
      <c r="X49564" s="228" t="n"/>
    </row>
    <row r="49565" ht="14.25" customHeight="1" s="192">
      <c r="W49565" s="231" t="n"/>
      <c r="X49565" s="231" t="n"/>
    </row>
    <row r="49566" ht="14.25" customHeight="1" s="192">
      <c r="W49566" s="33" t="n"/>
      <c r="X49566" s="33" t="n"/>
    </row>
    <row r="49567" ht="14.25" customHeight="1" s="192">
      <c r="W49567" s="231" t="n"/>
      <c r="X49567" s="231" t="n"/>
    </row>
    <row r="49568" ht="14.25" customHeight="1" s="192">
      <c r="W49568" s="33" t="n"/>
      <c r="X49568" s="33" t="n"/>
    </row>
    <row r="49570" ht="14.25" customHeight="1" s="192">
      <c r="W49570" s="231" t="n"/>
      <c r="X49570" s="231" t="n"/>
    </row>
    <row r="49571" ht="14.25" customHeight="1" s="192">
      <c r="W49571" s="235" t="n"/>
      <c r="X49571" s="235" t="n"/>
    </row>
    <row r="49572" ht="14.25" customHeight="1" s="192">
      <c r="W49572" s="228" t="n"/>
      <c r="X49572" s="228" t="n"/>
    </row>
    <row r="49573" ht="14.25" customHeight="1" s="192">
      <c r="W49573" s="235" t="n"/>
      <c r="X49573" s="235" t="n"/>
    </row>
    <row r="49574" ht="14.25" customHeight="1" s="192">
      <c r="W49574" s="235" t="n"/>
      <c r="X49574" s="235" t="n"/>
    </row>
    <row r="49575" ht="14.25" customHeight="1" s="192">
      <c r="W49575" s="235" t="n"/>
      <c r="X49575" s="235" t="n"/>
    </row>
    <row r="49576" ht="14.25" customHeight="1" s="192">
      <c r="W49576" s="239" t="n"/>
      <c r="X49576" s="239" t="n"/>
    </row>
    <row r="49577" ht="14.25" customHeight="1" s="192">
      <c r="W49577" s="239" t="n"/>
      <c r="X49577" s="239" t="n"/>
    </row>
    <row r="49578" ht="14.25" customHeight="1" s="192">
      <c r="W49578" s="239" t="n"/>
      <c r="X49578" s="239" t="n"/>
    </row>
    <row r="49579" ht="14.25" customHeight="1" s="192">
      <c r="W49579" s="235" t="n"/>
      <c r="X49579" s="235" t="n"/>
    </row>
    <row r="49580" ht="14.25" customHeight="1" s="192">
      <c r="W49580" s="235" t="n"/>
      <c r="X49580" s="235" t="n"/>
    </row>
    <row r="49581" ht="14.25" customHeight="1" s="192">
      <c r="W49581" s="235" t="n"/>
      <c r="X49581" s="235" t="n"/>
    </row>
    <row r="49582" ht="14.25" customHeight="1" s="192">
      <c r="W49582" s="239" t="n"/>
      <c r="X49582" s="239" t="n"/>
    </row>
    <row r="49583" ht="14.25" customHeight="1" s="192">
      <c r="W49583" s="239" t="n"/>
      <c r="X49583" s="239" t="n"/>
    </row>
    <row r="49584" ht="14.25" customHeight="1" s="192">
      <c r="W49584" s="235" t="n"/>
      <c r="X49584" s="235" t="n"/>
    </row>
    <row r="49585" ht="14.25" customHeight="1" s="192">
      <c r="W49585" s="235" t="n"/>
      <c r="X49585" s="235" t="n"/>
    </row>
    <row r="49586" ht="14.25" customHeight="1" s="192">
      <c r="W49586" s="239" t="n"/>
      <c r="X49586" s="239" t="n"/>
    </row>
    <row r="49587" ht="14.25" customHeight="1" s="192">
      <c r="W49587" s="235" t="n"/>
      <c r="X49587" s="235" t="n"/>
    </row>
    <row r="49588" ht="14.25" customHeight="1" s="192">
      <c r="W49588" s="239" t="n"/>
      <c r="X49588" s="239" t="n"/>
    </row>
    <row r="49590" ht="14.25" customHeight="1" s="192">
      <c r="W49590" s="235" t="n"/>
      <c r="X49590" s="235" t="n"/>
    </row>
    <row r="49591" ht="15" customHeight="1" s="192" thickBot="1">
      <c r="W49591" s="239" t="n"/>
      <c r="X49591" s="239" t="n"/>
    </row>
    <row r="49592" ht="15" customHeight="1" s="192" thickBot="1">
      <c r="W49592" s="45" t="n"/>
      <c r="X49592" s="45" t="n"/>
    </row>
    <row r="49593" ht="14.25" customHeight="1" s="192">
      <c r="W49593" s="228" t="n"/>
      <c r="X49593" s="228" t="n"/>
    </row>
    <row r="49594" ht="14.25" customHeight="1" s="192">
      <c r="W49594" s="228" t="n"/>
      <c r="X49594" s="228" t="n"/>
    </row>
    <row r="49595" ht="14.25" customHeight="1" s="192">
      <c r="W49595" s="231" t="n"/>
      <c r="X49595" s="231" t="n"/>
    </row>
    <row r="49596" ht="14.25" customHeight="1" s="192">
      <c r="W49596" s="33" t="n"/>
      <c r="X49596" s="33" t="n"/>
    </row>
    <row r="49597" ht="14.25" customHeight="1" s="192">
      <c r="W49597" s="231" t="n"/>
      <c r="X49597" s="231" t="n"/>
    </row>
    <row r="49598" ht="14.25" customHeight="1" s="192">
      <c r="W49598" s="33" t="n"/>
      <c r="X49598" s="33" t="n"/>
    </row>
    <row r="49600" ht="14.25" customHeight="1" s="192">
      <c r="W49600" s="231" t="n"/>
      <c r="X49600" s="231" t="n"/>
    </row>
    <row r="49601" ht="14.25" customHeight="1" s="192">
      <c r="W49601" s="235" t="n"/>
      <c r="X49601" s="235" t="n"/>
    </row>
    <row r="49602" ht="14.25" customHeight="1" s="192">
      <c r="W49602" s="228" t="n"/>
      <c r="X49602" s="228" t="n"/>
    </row>
    <row r="49603" ht="14.25" customHeight="1" s="192">
      <c r="W49603" s="235" t="n"/>
      <c r="X49603" s="235" t="n"/>
    </row>
    <row r="49604" ht="14.25" customHeight="1" s="192">
      <c r="W49604" s="235" t="n"/>
      <c r="X49604" s="235" t="n"/>
    </row>
    <row r="49605" ht="14.25" customHeight="1" s="192">
      <c r="W49605" s="235" t="n"/>
      <c r="X49605" s="235" t="n"/>
    </row>
    <row r="49606" ht="14.25" customHeight="1" s="192">
      <c r="W49606" s="239" t="n"/>
      <c r="X49606" s="239" t="n"/>
    </row>
    <row r="49607" ht="14.25" customHeight="1" s="192">
      <c r="W49607" s="239" t="n"/>
      <c r="X49607" s="239" t="n"/>
    </row>
    <row r="49608" ht="14.25" customHeight="1" s="192">
      <c r="W49608" s="239" t="n"/>
      <c r="X49608" s="239" t="n"/>
    </row>
    <row r="49609" ht="14.25" customHeight="1" s="192">
      <c r="W49609" s="235" t="n"/>
      <c r="X49609" s="235" t="n"/>
    </row>
    <row r="49610" ht="14.25" customHeight="1" s="192">
      <c r="W49610" s="235" t="n"/>
      <c r="X49610" s="235" t="n"/>
    </row>
    <row r="49611" ht="14.25" customHeight="1" s="192">
      <c r="W49611" s="235" t="n"/>
      <c r="X49611" s="235" t="n"/>
    </row>
    <row r="49612" ht="14.25" customHeight="1" s="192">
      <c r="W49612" s="239" t="n"/>
      <c r="X49612" s="239" t="n"/>
    </row>
    <row r="49613" ht="14.25" customHeight="1" s="192">
      <c r="W49613" s="239" t="n"/>
      <c r="X49613" s="239" t="n"/>
    </row>
    <row r="49614" ht="14.25" customHeight="1" s="192">
      <c r="W49614" s="235" t="n"/>
      <c r="X49614" s="235" t="n"/>
    </row>
    <row r="49615" ht="14.25" customHeight="1" s="192">
      <c r="W49615" s="235" t="n"/>
      <c r="X49615" s="235" t="n"/>
    </row>
    <row r="49616" ht="14.25" customHeight="1" s="192">
      <c r="W49616" s="239" t="n"/>
      <c r="X49616" s="239" t="n"/>
    </row>
    <row r="49617" ht="14.25" customHeight="1" s="192">
      <c r="W49617" s="235" t="n"/>
      <c r="X49617" s="235" t="n"/>
    </row>
    <row r="49618" ht="14.25" customHeight="1" s="192">
      <c r="W49618" s="239" t="n"/>
      <c r="X49618" s="239" t="n"/>
    </row>
    <row r="49620" ht="14.25" customHeight="1" s="192">
      <c r="W49620" s="235" t="n"/>
      <c r="X49620" s="235" t="n"/>
    </row>
    <row r="49621" ht="15" customHeight="1" s="192" thickBot="1">
      <c r="W49621" s="239" t="n"/>
      <c r="X49621" s="239" t="n"/>
    </row>
    <row r="49622" ht="15" customHeight="1" s="192" thickBot="1">
      <c r="W49622" s="45" t="n"/>
      <c r="X49622" s="45" t="n"/>
    </row>
    <row r="49623" ht="14.25" customHeight="1" s="192">
      <c r="W49623" s="228" t="n"/>
      <c r="X49623" s="228" t="n"/>
    </row>
    <row r="49624" ht="14.25" customHeight="1" s="192">
      <c r="W49624" s="228" t="n"/>
      <c r="X49624" s="228" t="n"/>
    </row>
    <row r="49625" ht="14.25" customHeight="1" s="192">
      <c r="W49625" s="231" t="n"/>
      <c r="X49625" s="231" t="n"/>
    </row>
    <row r="49626" ht="14.25" customHeight="1" s="192">
      <c r="W49626" s="33" t="n"/>
      <c r="X49626" s="33" t="n"/>
    </row>
    <row r="49627" ht="14.25" customHeight="1" s="192">
      <c r="W49627" s="231" t="n"/>
      <c r="X49627" s="231" t="n"/>
    </row>
    <row r="49628" ht="14.25" customHeight="1" s="192">
      <c r="W49628" s="33" t="n"/>
      <c r="X49628" s="33" t="n"/>
    </row>
    <row r="49630" ht="14.25" customHeight="1" s="192">
      <c r="W49630" s="231" t="n"/>
      <c r="X49630" s="231" t="n"/>
    </row>
    <row r="49631" ht="14.25" customHeight="1" s="192">
      <c r="W49631" s="235" t="n"/>
      <c r="X49631" s="235" t="n"/>
    </row>
    <row r="49632" ht="14.25" customHeight="1" s="192">
      <c r="W49632" s="228" t="n"/>
      <c r="X49632" s="228" t="n"/>
    </row>
    <row r="49633" ht="14.25" customHeight="1" s="192">
      <c r="W49633" s="235" t="n"/>
      <c r="X49633" s="235" t="n"/>
    </row>
    <row r="49634" ht="14.25" customHeight="1" s="192">
      <c r="W49634" s="235" t="n"/>
      <c r="X49634" s="235" t="n"/>
    </row>
    <row r="49635" ht="14.25" customHeight="1" s="192">
      <c r="W49635" s="235" t="n"/>
      <c r="X49635" s="235" t="n"/>
    </row>
    <row r="49636" ht="14.25" customHeight="1" s="192">
      <c r="W49636" s="239" t="n"/>
      <c r="X49636" s="239" t="n"/>
    </row>
    <row r="49637" ht="14.25" customHeight="1" s="192">
      <c r="W49637" s="239" t="n"/>
      <c r="X49637" s="239" t="n"/>
    </row>
    <row r="49638" ht="14.25" customHeight="1" s="192">
      <c r="W49638" s="239" t="n"/>
      <c r="X49638" s="239" t="n"/>
    </row>
    <row r="49639" ht="14.25" customHeight="1" s="192">
      <c r="W49639" s="235" t="n"/>
      <c r="X49639" s="235" t="n"/>
    </row>
    <row r="49640" ht="14.25" customHeight="1" s="192">
      <c r="W49640" s="235" t="n"/>
      <c r="X49640" s="235" t="n"/>
    </row>
    <row r="49641" ht="14.25" customHeight="1" s="192">
      <c r="W49641" s="235" t="n"/>
      <c r="X49641" s="235" t="n"/>
    </row>
    <row r="49642" ht="14.25" customHeight="1" s="192">
      <c r="W49642" s="239" t="n"/>
      <c r="X49642" s="239" t="n"/>
    </row>
    <row r="49643" ht="14.25" customHeight="1" s="192">
      <c r="W49643" s="239" t="n"/>
      <c r="X49643" s="239" t="n"/>
    </row>
    <row r="49644" ht="14.25" customHeight="1" s="192">
      <c r="W49644" s="235" t="n"/>
      <c r="X49644" s="235" t="n"/>
    </row>
    <row r="49645" ht="14.25" customHeight="1" s="192">
      <c r="W49645" s="235" t="n"/>
      <c r="X49645" s="235" t="n"/>
    </row>
    <row r="49646" ht="14.25" customHeight="1" s="192">
      <c r="W49646" s="239" t="n"/>
      <c r="X49646" s="239" t="n"/>
    </row>
    <row r="49647" ht="14.25" customHeight="1" s="192">
      <c r="W49647" s="235" t="n"/>
      <c r="X49647" s="235" t="n"/>
    </row>
    <row r="49648" ht="14.25" customHeight="1" s="192">
      <c r="W49648" s="239" t="n"/>
      <c r="X49648" s="239" t="n"/>
    </row>
    <row r="49650" ht="14.25" customHeight="1" s="192">
      <c r="W49650" s="235" t="n"/>
      <c r="X49650" s="235" t="n"/>
    </row>
    <row r="49651" ht="15" customHeight="1" s="192" thickBot="1">
      <c r="W49651" s="239" t="n"/>
      <c r="X49651" s="239" t="n"/>
    </row>
    <row r="49652" ht="15" customHeight="1" s="192" thickBot="1">
      <c r="W49652" s="45" t="n"/>
      <c r="X49652" s="45" t="n"/>
    </row>
    <row r="49653" ht="14.25" customHeight="1" s="192">
      <c r="W49653" s="228" t="n"/>
      <c r="X49653" s="228" t="n"/>
    </row>
    <row r="49654" ht="14.25" customHeight="1" s="192">
      <c r="W49654" s="228" t="n"/>
      <c r="X49654" s="228" t="n"/>
    </row>
    <row r="49655" ht="14.25" customHeight="1" s="192">
      <c r="W49655" s="231" t="n"/>
      <c r="X49655" s="231" t="n"/>
    </row>
    <row r="49656" ht="14.25" customHeight="1" s="192">
      <c r="W49656" s="33" t="n"/>
      <c r="X49656" s="33" t="n"/>
    </row>
    <row r="49657" ht="14.25" customHeight="1" s="192">
      <c r="W49657" s="231" t="n"/>
      <c r="X49657" s="231" t="n"/>
    </row>
    <row r="49658" ht="14.25" customHeight="1" s="192">
      <c r="W49658" s="33" t="n"/>
      <c r="X49658" s="33" t="n"/>
    </row>
    <row r="49660" ht="14.25" customHeight="1" s="192">
      <c r="W49660" s="231" t="n"/>
      <c r="X49660" s="231" t="n"/>
    </row>
    <row r="49661" ht="14.25" customHeight="1" s="192">
      <c r="W49661" s="235" t="n"/>
      <c r="X49661" s="235" t="n"/>
    </row>
    <row r="49662" ht="14.25" customHeight="1" s="192">
      <c r="W49662" s="228" t="n"/>
      <c r="X49662" s="228" t="n"/>
    </row>
    <row r="49663" ht="14.25" customHeight="1" s="192">
      <c r="W49663" s="235" t="n"/>
      <c r="X49663" s="235" t="n"/>
    </row>
    <row r="49664" ht="14.25" customHeight="1" s="192">
      <c r="W49664" s="235" t="n"/>
      <c r="X49664" s="235" t="n"/>
    </row>
    <row r="49665" ht="14.25" customHeight="1" s="192">
      <c r="W49665" s="235" t="n"/>
      <c r="X49665" s="235" t="n"/>
    </row>
    <row r="49666" ht="14.25" customHeight="1" s="192">
      <c r="W49666" s="239" t="n"/>
      <c r="X49666" s="239" t="n"/>
    </row>
    <row r="49667" ht="14.25" customHeight="1" s="192">
      <c r="W49667" s="239" t="n"/>
      <c r="X49667" s="239" t="n"/>
    </row>
    <row r="49668" ht="14.25" customHeight="1" s="192">
      <c r="W49668" s="239" t="n"/>
      <c r="X49668" s="239" t="n"/>
    </row>
    <row r="49669" ht="14.25" customHeight="1" s="192">
      <c r="W49669" s="235" t="n"/>
      <c r="X49669" s="235" t="n"/>
    </row>
    <row r="49670" ht="14.25" customHeight="1" s="192">
      <c r="W49670" s="235" t="n"/>
      <c r="X49670" s="235" t="n"/>
    </row>
    <row r="49671" ht="14.25" customHeight="1" s="192">
      <c r="W49671" s="235" t="n"/>
      <c r="X49671" s="235" t="n"/>
    </row>
    <row r="49672" ht="14.25" customHeight="1" s="192">
      <c r="W49672" s="239" t="n"/>
      <c r="X49672" s="239" t="n"/>
    </row>
    <row r="49673" ht="14.25" customHeight="1" s="192">
      <c r="W49673" s="239" t="n"/>
      <c r="X49673" s="239" t="n"/>
    </row>
    <row r="49674" ht="14.25" customHeight="1" s="192">
      <c r="W49674" s="235" t="n"/>
      <c r="X49674" s="235" t="n"/>
    </row>
    <row r="49675" ht="14.25" customHeight="1" s="192">
      <c r="W49675" s="235" t="n"/>
      <c r="X49675" s="235" t="n"/>
    </row>
    <row r="49676" ht="14.25" customHeight="1" s="192">
      <c r="W49676" s="239" t="n"/>
      <c r="X49676" s="239" t="n"/>
    </row>
    <row r="49677" ht="14.25" customHeight="1" s="192">
      <c r="W49677" s="235" t="n"/>
      <c r="X49677" s="235" t="n"/>
    </row>
    <row r="49678" ht="14.25" customHeight="1" s="192">
      <c r="W49678" s="239" t="n"/>
      <c r="X49678" s="239" t="n"/>
    </row>
    <row r="49680" ht="14.25" customHeight="1" s="192">
      <c r="W49680" s="235" t="n"/>
      <c r="X49680" s="235" t="n"/>
    </row>
    <row r="49681" ht="15" customHeight="1" s="192" thickBot="1">
      <c r="W49681" s="239" t="n"/>
      <c r="X49681" s="239" t="n"/>
    </row>
    <row r="49682" ht="15" customHeight="1" s="192" thickBot="1">
      <c r="W49682" s="45" t="n"/>
      <c r="X49682" s="45" t="n"/>
    </row>
    <row r="49683" ht="14.25" customHeight="1" s="192">
      <c r="W49683" s="228" t="n"/>
      <c r="X49683" s="228" t="n"/>
    </row>
    <row r="49684" ht="14.25" customHeight="1" s="192">
      <c r="W49684" s="228" t="n"/>
      <c r="X49684" s="228" t="n"/>
    </row>
    <row r="49685" ht="14.25" customHeight="1" s="192">
      <c r="W49685" s="231" t="n"/>
      <c r="X49685" s="231" t="n"/>
    </row>
    <row r="49686" ht="14.25" customHeight="1" s="192">
      <c r="W49686" s="33" t="n"/>
      <c r="X49686" s="33" t="n"/>
    </row>
    <row r="49687" ht="14.25" customHeight="1" s="192">
      <c r="W49687" s="231" t="n"/>
      <c r="X49687" s="231" t="n"/>
    </row>
    <row r="49688" ht="14.25" customHeight="1" s="192">
      <c r="W49688" s="33" t="n"/>
      <c r="X49688" s="33" t="n"/>
    </row>
    <row r="49690" ht="14.25" customHeight="1" s="192">
      <c r="W49690" s="231" t="n"/>
      <c r="X49690" s="231" t="n"/>
    </row>
    <row r="49691" ht="14.25" customHeight="1" s="192">
      <c r="W49691" s="235" t="n"/>
      <c r="X49691" s="235" t="n"/>
    </row>
    <row r="49692" ht="14.25" customHeight="1" s="192">
      <c r="W49692" s="228" t="n"/>
      <c r="X49692" s="228" t="n"/>
    </row>
    <row r="49693" ht="14.25" customHeight="1" s="192">
      <c r="W49693" s="235" t="n"/>
      <c r="X49693" s="235" t="n"/>
    </row>
    <row r="49694" ht="14.25" customHeight="1" s="192">
      <c r="W49694" s="235" t="n"/>
      <c r="X49694" s="235" t="n"/>
    </row>
    <row r="49695" ht="14.25" customHeight="1" s="192">
      <c r="W49695" s="235" t="n"/>
      <c r="X49695" s="235" t="n"/>
    </row>
    <row r="49696" ht="14.25" customHeight="1" s="192">
      <c r="W49696" s="239" t="n"/>
      <c r="X49696" s="239" t="n"/>
    </row>
    <row r="49697" ht="14.25" customHeight="1" s="192">
      <c r="W49697" s="239" t="n"/>
      <c r="X49697" s="239" t="n"/>
    </row>
    <row r="49698" ht="14.25" customHeight="1" s="192">
      <c r="W49698" s="239" t="n"/>
      <c r="X49698" s="239" t="n"/>
    </row>
    <row r="49699" ht="14.25" customHeight="1" s="192">
      <c r="W49699" s="235" t="n"/>
      <c r="X49699" s="235" t="n"/>
    </row>
    <row r="49700" ht="14.25" customHeight="1" s="192">
      <c r="W49700" s="235" t="n"/>
      <c r="X49700" s="235" t="n"/>
    </row>
    <row r="49701" ht="14.25" customHeight="1" s="192">
      <c r="W49701" s="235" t="n"/>
      <c r="X49701" s="235" t="n"/>
    </row>
    <row r="49702" ht="14.25" customHeight="1" s="192">
      <c r="W49702" s="239" t="n"/>
      <c r="X49702" s="239" t="n"/>
    </row>
    <row r="49703" ht="14.25" customHeight="1" s="192">
      <c r="W49703" s="239" t="n"/>
      <c r="X49703" s="239" t="n"/>
    </row>
    <row r="49704" ht="14.25" customHeight="1" s="192">
      <c r="W49704" s="235" t="n"/>
      <c r="X49704" s="235" t="n"/>
    </row>
    <row r="49705" ht="14.25" customHeight="1" s="192">
      <c r="W49705" s="235" t="n"/>
      <c r="X49705" s="235" t="n"/>
    </row>
    <row r="49706" ht="14.25" customHeight="1" s="192">
      <c r="W49706" s="239" t="n"/>
      <c r="X49706" s="239" t="n"/>
    </row>
    <row r="49707" ht="14.25" customHeight="1" s="192">
      <c r="W49707" s="235" t="n"/>
      <c r="X49707" s="235" t="n"/>
    </row>
    <row r="49708" ht="14.25" customHeight="1" s="192">
      <c r="W49708" s="239" t="n"/>
      <c r="X49708" s="239" t="n"/>
    </row>
    <row r="49710" ht="14.25" customHeight="1" s="192">
      <c r="W49710" s="235" t="n"/>
      <c r="X49710" s="235" t="n"/>
    </row>
    <row r="49711" ht="15" customHeight="1" s="192" thickBot="1">
      <c r="W49711" s="239" t="n"/>
      <c r="X49711" s="239" t="n"/>
    </row>
    <row r="49712" ht="15" customHeight="1" s="192" thickBot="1">
      <c r="W49712" s="45" t="n"/>
      <c r="X49712" s="45" t="n"/>
    </row>
    <row r="49713" ht="14.25" customHeight="1" s="192">
      <c r="W49713" s="228" t="n"/>
      <c r="X49713" s="228" t="n"/>
    </row>
    <row r="49714" ht="14.25" customHeight="1" s="192">
      <c r="W49714" s="228" t="n"/>
      <c r="X49714" s="228" t="n"/>
    </row>
    <row r="49715" ht="14.25" customHeight="1" s="192">
      <c r="W49715" s="231" t="n"/>
      <c r="X49715" s="231" t="n"/>
    </row>
    <row r="49716" ht="14.25" customHeight="1" s="192">
      <c r="W49716" s="33" t="n"/>
      <c r="X49716" s="33" t="n"/>
    </row>
    <row r="49717" ht="14.25" customHeight="1" s="192">
      <c r="W49717" s="231" t="n"/>
      <c r="X49717" s="231" t="n"/>
    </row>
    <row r="49718" ht="14.25" customHeight="1" s="192">
      <c r="W49718" s="33" t="n"/>
      <c r="X49718" s="33" t="n"/>
    </row>
    <row r="49720" ht="14.25" customHeight="1" s="192">
      <c r="W49720" s="231" t="n"/>
      <c r="X49720" s="231" t="n"/>
    </row>
    <row r="49721" ht="14.25" customHeight="1" s="192">
      <c r="W49721" s="235" t="n"/>
      <c r="X49721" s="235" t="n"/>
    </row>
    <row r="49722" ht="14.25" customHeight="1" s="192">
      <c r="W49722" s="228" t="n"/>
      <c r="X49722" s="228" t="n"/>
    </row>
    <row r="49723" ht="14.25" customHeight="1" s="192">
      <c r="W49723" s="235" t="n"/>
      <c r="X49723" s="235" t="n"/>
    </row>
    <row r="49724" ht="14.25" customHeight="1" s="192">
      <c r="W49724" s="235" t="n"/>
      <c r="X49724" s="235" t="n"/>
    </row>
    <row r="49725" ht="14.25" customHeight="1" s="192">
      <c r="W49725" s="235" t="n"/>
      <c r="X49725" s="235" t="n"/>
    </row>
    <row r="49726" ht="14.25" customHeight="1" s="192">
      <c r="W49726" s="239" t="n"/>
      <c r="X49726" s="239" t="n"/>
    </row>
    <row r="49727" ht="14.25" customHeight="1" s="192">
      <c r="W49727" s="239" t="n"/>
      <c r="X49727" s="239" t="n"/>
    </row>
    <row r="49728" ht="14.25" customHeight="1" s="192">
      <c r="W49728" s="239" t="n"/>
      <c r="X49728" s="239" t="n"/>
    </row>
    <row r="49729" ht="14.25" customHeight="1" s="192">
      <c r="W49729" s="235" t="n"/>
      <c r="X49729" s="235" t="n"/>
    </row>
    <row r="49730" ht="14.25" customHeight="1" s="192">
      <c r="W49730" s="235" t="n"/>
      <c r="X49730" s="235" t="n"/>
    </row>
    <row r="49731" ht="14.25" customHeight="1" s="192">
      <c r="W49731" s="235" t="n"/>
      <c r="X49731" s="235" t="n"/>
    </row>
    <row r="49732" ht="14.25" customHeight="1" s="192">
      <c r="W49732" s="239" t="n"/>
      <c r="X49732" s="239" t="n"/>
    </row>
    <row r="49733" ht="14.25" customHeight="1" s="192">
      <c r="W49733" s="239" t="n"/>
      <c r="X49733" s="239" t="n"/>
    </row>
    <row r="49734" ht="14.25" customHeight="1" s="192">
      <c r="W49734" s="235" t="n"/>
      <c r="X49734" s="235" t="n"/>
    </row>
    <row r="49735" ht="14.25" customHeight="1" s="192">
      <c r="W49735" s="235" t="n"/>
      <c r="X49735" s="235" t="n"/>
    </row>
    <row r="49736" ht="14.25" customHeight="1" s="192">
      <c r="W49736" s="239" t="n"/>
      <c r="X49736" s="239" t="n"/>
    </row>
    <row r="49737" ht="14.25" customHeight="1" s="192">
      <c r="W49737" s="235" t="n"/>
      <c r="X49737" s="235" t="n"/>
    </row>
    <row r="49738" ht="14.25" customHeight="1" s="192">
      <c r="W49738" s="239" t="n"/>
      <c r="X49738" s="239" t="n"/>
    </row>
    <row r="49740" ht="14.25" customHeight="1" s="192">
      <c r="W49740" s="235" t="n"/>
      <c r="X49740" s="235" t="n"/>
    </row>
    <row r="49741" ht="15" customHeight="1" s="192" thickBot="1">
      <c r="W49741" s="239" t="n"/>
      <c r="X49741" s="239" t="n"/>
    </row>
    <row r="49742" ht="15" customHeight="1" s="192" thickBot="1">
      <c r="W49742" s="45" t="n"/>
      <c r="X49742" s="45" t="n"/>
    </row>
    <row r="49743" ht="14.25" customHeight="1" s="192">
      <c r="W49743" s="228" t="n"/>
      <c r="X49743" s="228" t="n"/>
    </row>
    <row r="49744" ht="14.25" customHeight="1" s="192">
      <c r="W49744" s="228" t="n"/>
      <c r="X49744" s="228" t="n"/>
    </row>
    <row r="49745" ht="14.25" customHeight="1" s="192">
      <c r="W49745" s="231" t="n"/>
      <c r="X49745" s="231" t="n"/>
    </row>
    <row r="49746" ht="14.25" customHeight="1" s="192">
      <c r="W49746" s="33" t="n"/>
      <c r="X49746" s="33" t="n"/>
    </row>
    <row r="49747" ht="14.25" customHeight="1" s="192">
      <c r="W49747" s="231" t="n"/>
      <c r="X49747" s="231" t="n"/>
    </row>
    <row r="49748" ht="14.25" customHeight="1" s="192">
      <c r="W49748" s="33" t="n"/>
      <c r="X49748" s="33" t="n"/>
    </row>
    <row r="49750" ht="14.25" customHeight="1" s="192">
      <c r="W49750" s="231" t="n"/>
      <c r="X49750" s="231" t="n"/>
    </row>
    <row r="49751" ht="14.25" customHeight="1" s="192">
      <c r="W49751" s="235" t="n"/>
      <c r="X49751" s="235" t="n"/>
    </row>
    <row r="49752" ht="14.25" customHeight="1" s="192">
      <c r="W49752" s="228" t="n"/>
      <c r="X49752" s="228" t="n"/>
    </row>
    <row r="49753" ht="14.25" customHeight="1" s="192">
      <c r="W49753" s="235" t="n"/>
      <c r="X49753" s="235" t="n"/>
    </row>
    <row r="49754" ht="14.25" customHeight="1" s="192">
      <c r="W49754" s="235" t="n"/>
      <c r="X49754" s="235" t="n"/>
    </row>
    <row r="49755" ht="14.25" customHeight="1" s="192">
      <c r="W49755" s="235" t="n"/>
      <c r="X49755" s="235" t="n"/>
    </row>
    <row r="49756" ht="14.25" customHeight="1" s="192">
      <c r="W49756" s="239" t="n"/>
      <c r="X49756" s="239" t="n"/>
    </row>
    <row r="49757" ht="14.25" customHeight="1" s="192">
      <c r="W49757" s="239" t="n"/>
      <c r="X49757" s="239" t="n"/>
    </row>
    <row r="49758" ht="14.25" customHeight="1" s="192">
      <c r="W49758" s="239" t="n"/>
      <c r="X49758" s="239" t="n"/>
    </row>
    <row r="49759" ht="14.25" customHeight="1" s="192">
      <c r="W49759" s="235" t="n"/>
      <c r="X49759" s="235" t="n"/>
    </row>
    <row r="49760" ht="14.25" customHeight="1" s="192">
      <c r="W49760" s="235" t="n"/>
      <c r="X49760" s="235" t="n"/>
    </row>
    <row r="49761" ht="14.25" customHeight="1" s="192">
      <c r="W49761" s="235" t="n"/>
      <c r="X49761" s="235" t="n"/>
    </row>
    <row r="49762" ht="14.25" customHeight="1" s="192">
      <c r="W49762" s="239" t="n"/>
      <c r="X49762" s="239" t="n"/>
    </row>
    <row r="49763" ht="14.25" customHeight="1" s="192">
      <c r="W49763" s="239" t="n"/>
      <c r="X49763" s="239" t="n"/>
    </row>
    <row r="49764" ht="14.25" customHeight="1" s="192">
      <c r="W49764" s="235" t="n"/>
      <c r="X49764" s="235" t="n"/>
    </row>
    <row r="49765" ht="14.25" customHeight="1" s="192">
      <c r="W49765" s="235" t="n"/>
      <c r="X49765" s="235" t="n"/>
    </row>
    <row r="49766" ht="14.25" customHeight="1" s="192">
      <c r="W49766" s="239" t="n"/>
      <c r="X49766" s="239" t="n"/>
    </row>
    <row r="49767" ht="14.25" customHeight="1" s="192">
      <c r="W49767" s="235" t="n"/>
      <c r="X49767" s="235" t="n"/>
    </row>
    <row r="49768" ht="14.25" customHeight="1" s="192">
      <c r="W49768" s="239" t="n"/>
      <c r="X49768" s="239" t="n"/>
    </row>
    <row r="49770" ht="14.25" customHeight="1" s="192">
      <c r="W49770" s="235" t="n"/>
      <c r="X49770" s="235" t="n"/>
    </row>
    <row r="49771" ht="15" customHeight="1" s="192" thickBot="1">
      <c r="W49771" s="239" t="n"/>
      <c r="X49771" s="239" t="n"/>
    </row>
    <row r="49772" ht="15" customHeight="1" s="192" thickBot="1">
      <c r="W49772" s="45" t="n"/>
      <c r="X49772" s="45" t="n"/>
    </row>
    <row r="49773" ht="14.25" customHeight="1" s="192">
      <c r="W49773" s="228" t="n"/>
      <c r="X49773" s="228" t="n"/>
    </row>
    <row r="49774" ht="14.25" customHeight="1" s="192">
      <c r="W49774" s="228" t="n"/>
      <c r="X49774" s="228" t="n"/>
    </row>
    <row r="49775" ht="14.25" customHeight="1" s="192">
      <c r="W49775" s="231" t="n"/>
      <c r="X49775" s="231" t="n"/>
    </row>
    <row r="49776" ht="14.25" customHeight="1" s="192">
      <c r="W49776" s="33" t="n"/>
      <c r="X49776" s="33" t="n"/>
    </row>
    <row r="49777" ht="14.25" customHeight="1" s="192">
      <c r="W49777" s="231" t="n"/>
      <c r="X49777" s="231" t="n"/>
    </row>
    <row r="49778" ht="14.25" customHeight="1" s="192">
      <c r="W49778" s="33" t="n"/>
      <c r="X49778" s="33" t="n"/>
    </row>
    <row r="49780" ht="14.25" customHeight="1" s="192">
      <c r="W49780" s="231" t="n"/>
      <c r="X49780" s="231" t="n"/>
    </row>
    <row r="49781" ht="14.25" customHeight="1" s="192">
      <c r="W49781" s="235" t="n"/>
      <c r="X49781" s="235" t="n"/>
    </row>
    <row r="49782" ht="14.25" customHeight="1" s="192">
      <c r="W49782" s="228" t="n"/>
      <c r="X49782" s="228" t="n"/>
    </row>
    <row r="49783" ht="14.25" customHeight="1" s="192">
      <c r="W49783" s="235" t="n"/>
      <c r="X49783" s="235" t="n"/>
    </row>
    <row r="49784" ht="14.25" customHeight="1" s="192">
      <c r="W49784" s="235" t="n"/>
      <c r="X49784" s="235" t="n"/>
    </row>
    <row r="49785" ht="14.25" customHeight="1" s="192">
      <c r="W49785" s="235" t="n"/>
      <c r="X49785" s="235" t="n"/>
    </row>
    <row r="49786" ht="14.25" customHeight="1" s="192">
      <c r="W49786" s="239" t="n"/>
      <c r="X49786" s="239" t="n"/>
    </row>
    <row r="49787" ht="14.25" customHeight="1" s="192">
      <c r="W49787" s="239" t="n"/>
      <c r="X49787" s="239" t="n"/>
    </row>
    <row r="49788" ht="14.25" customHeight="1" s="192">
      <c r="W49788" s="239" t="n"/>
      <c r="X49788" s="239" t="n"/>
    </row>
    <row r="49789" ht="14.25" customHeight="1" s="192">
      <c r="W49789" s="235" t="n"/>
      <c r="X49789" s="235" t="n"/>
    </row>
    <row r="49790" ht="14.25" customHeight="1" s="192">
      <c r="W49790" s="235" t="n"/>
      <c r="X49790" s="235" t="n"/>
    </row>
    <row r="49791" ht="14.25" customHeight="1" s="192">
      <c r="W49791" s="235" t="n"/>
      <c r="X49791" s="235" t="n"/>
    </row>
    <row r="49792" ht="14.25" customHeight="1" s="192">
      <c r="W49792" s="239" t="n"/>
      <c r="X49792" s="239" t="n"/>
    </row>
    <row r="49793" ht="14.25" customHeight="1" s="192">
      <c r="W49793" s="239" t="n"/>
      <c r="X49793" s="239" t="n"/>
    </row>
    <row r="49794" ht="14.25" customHeight="1" s="192">
      <c r="W49794" s="235" t="n"/>
      <c r="X49794" s="235" t="n"/>
    </row>
    <row r="49795" ht="14.25" customHeight="1" s="192">
      <c r="W49795" s="235" t="n"/>
      <c r="X49795" s="235" t="n"/>
    </row>
    <row r="49796" ht="14.25" customHeight="1" s="192">
      <c r="W49796" s="239" t="n"/>
      <c r="X49796" s="239" t="n"/>
    </row>
    <row r="49797" ht="14.25" customHeight="1" s="192">
      <c r="W49797" s="235" t="n"/>
      <c r="X49797" s="235" t="n"/>
    </row>
    <row r="49798" ht="14.25" customHeight="1" s="192">
      <c r="W49798" s="239" t="n"/>
      <c r="X49798" s="239" t="n"/>
    </row>
    <row r="49800" ht="14.25" customHeight="1" s="192">
      <c r="W49800" s="235" t="n"/>
      <c r="X49800" s="235" t="n"/>
    </row>
    <row r="49801" ht="15" customHeight="1" s="192" thickBot="1">
      <c r="W49801" s="239" t="n"/>
      <c r="X49801" s="239" t="n"/>
    </row>
    <row r="49802" ht="15" customHeight="1" s="192" thickBot="1">
      <c r="W49802" s="45" t="n"/>
      <c r="X49802" s="45" t="n"/>
    </row>
    <row r="49803" ht="14.25" customHeight="1" s="192">
      <c r="W49803" s="228" t="n"/>
      <c r="X49803" s="228" t="n"/>
    </row>
    <row r="49804" ht="14.25" customHeight="1" s="192">
      <c r="W49804" s="228" t="n"/>
      <c r="X49804" s="228" t="n"/>
    </row>
    <row r="49805" ht="14.25" customHeight="1" s="192">
      <c r="W49805" s="231" t="n"/>
      <c r="X49805" s="231" t="n"/>
    </row>
    <row r="49806" ht="14.25" customHeight="1" s="192">
      <c r="W49806" s="33" t="n"/>
      <c r="X49806" s="33" t="n"/>
    </row>
    <row r="49807" ht="14.25" customHeight="1" s="192">
      <c r="W49807" s="231" t="n"/>
      <c r="X49807" s="231" t="n"/>
    </row>
    <row r="49808" ht="14.25" customHeight="1" s="192">
      <c r="W49808" s="33" t="n"/>
      <c r="X49808" s="33" t="n"/>
    </row>
    <row r="49810" ht="14.25" customHeight="1" s="192">
      <c r="W49810" s="231" t="n"/>
      <c r="X49810" s="231" t="n"/>
    </row>
    <row r="49811" ht="14.25" customHeight="1" s="192">
      <c r="W49811" s="235" t="n"/>
      <c r="X49811" s="235" t="n"/>
    </row>
    <row r="49812" ht="14.25" customHeight="1" s="192">
      <c r="W49812" s="228" t="n"/>
      <c r="X49812" s="228" t="n"/>
    </row>
    <row r="49813" ht="14.25" customHeight="1" s="192">
      <c r="W49813" s="235" t="n"/>
      <c r="X49813" s="235" t="n"/>
    </row>
    <row r="49814" ht="14.25" customHeight="1" s="192">
      <c r="W49814" s="235" t="n"/>
      <c r="X49814" s="235" t="n"/>
    </row>
    <row r="49815" ht="14.25" customHeight="1" s="192">
      <c r="W49815" s="235" t="n"/>
      <c r="X49815" s="235" t="n"/>
    </row>
    <row r="49816" ht="14.25" customHeight="1" s="192">
      <c r="W49816" s="239" t="n"/>
      <c r="X49816" s="239" t="n"/>
    </row>
    <row r="49817" ht="14.25" customHeight="1" s="192">
      <c r="W49817" s="239" t="n"/>
      <c r="X49817" s="239" t="n"/>
    </row>
    <row r="49818" ht="14.25" customHeight="1" s="192">
      <c r="W49818" s="239" t="n"/>
      <c r="X49818" s="239" t="n"/>
    </row>
    <row r="49819" ht="14.25" customHeight="1" s="192">
      <c r="W49819" s="235" t="n"/>
      <c r="X49819" s="235" t="n"/>
    </row>
    <row r="49820" ht="14.25" customHeight="1" s="192">
      <c r="W49820" s="235" t="n"/>
      <c r="X49820" s="235" t="n"/>
    </row>
    <row r="49821" ht="14.25" customHeight="1" s="192">
      <c r="W49821" s="235" t="n"/>
      <c r="X49821" s="235" t="n"/>
    </row>
    <row r="49822" ht="14.25" customHeight="1" s="192">
      <c r="W49822" s="239" t="n"/>
      <c r="X49822" s="239" t="n"/>
    </row>
    <row r="49823" ht="14.25" customHeight="1" s="192">
      <c r="W49823" s="239" t="n"/>
      <c r="X49823" s="239" t="n"/>
    </row>
    <row r="49824" ht="14.25" customHeight="1" s="192">
      <c r="W49824" s="235" t="n"/>
      <c r="X49824" s="235" t="n"/>
    </row>
    <row r="49825" ht="14.25" customHeight="1" s="192">
      <c r="W49825" s="235" t="n"/>
      <c r="X49825" s="235" t="n"/>
    </row>
    <row r="49826" ht="14.25" customHeight="1" s="192">
      <c r="W49826" s="239" t="n"/>
      <c r="X49826" s="239" t="n"/>
    </row>
    <row r="49827" ht="14.25" customHeight="1" s="192">
      <c r="W49827" s="235" t="n"/>
      <c r="X49827" s="235" t="n"/>
    </row>
    <row r="49828" ht="14.25" customHeight="1" s="192">
      <c r="W49828" s="239" t="n"/>
      <c r="X49828" s="239" t="n"/>
    </row>
    <row r="49830" ht="14.25" customHeight="1" s="192">
      <c r="W49830" s="235" t="n"/>
      <c r="X49830" s="235" t="n"/>
    </row>
    <row r="49831" ht="15" customHeight="1" s="192" thickBot="1">
      <c r="W49831" s="239" t="n"/>
      <c r="X49831" s="239" t="n"/>
    </row>
    <row r="49832" ht="15" customHeight="1" s="192" thickBot="1">
      <c r="W49832" s="45" t="n"/>
      <c r="X49832" s="45" t="n"/>
    </row>
    <row r="49833" ht="14.25" customHeight="1" s="192">
      <c r="W49833" s="228" t="n"/>
      <c r="X49833" s="228" t="n"/>
    </row>
    <row r="49834" ht="14.25" customHeight="1" s="192">
      <c r="W49834" s="228" t="n"/>
      <c r="X49834" s="228" t="n"/>
    </row>
    <row r="49835" ht="14.25" customHeight="1" s="192">
      <c r="W49835" s="231" t="n"/>
      <c r="X49835" s="231" t="n"/>
    </row>
    <row r="49836" ht="14.25" customHeight="1" s="192">
      <c r="W49836" s="33" t="n"/>
      <c r="X49836" s="33" t="n"/>
    </row>
    <row r="49837" ht="14.25" customHeight="1" s="192">
      <c r="W49837" s="231" t="n"/>
      <c r="X49837" s="231" t="n"/>
    </row>
    <row r="49838" ht="14.25" customHeight="1" s="192">
      <c r="W49838" s="33" t="n"/>
      <c r="X49838" s="33" t="n"/>
    </row>
    <row r="49840" ht="14.25" customHeight="1" s="192">
      <c r="W49840" s="231" t="n"/>
      <c r="X49840" s="231" t="n"/>
    </row>
    <row r="49841" ht="14.25" customHeight="1" s="192">
      <c r="W49841" s="235" t="n"/>
      <c r="X49841" s="235" t="n"/>
    </row>
    <row r="49842" ht="14.25" customHeight="1" s="192">
      <c r="W49842" s="228" t="n"/>
      <c r="X49842" s="228" t="n"/>
    </row>
    <row r="49843" ht="14.25" customHeight="1" s="192">
      <c r="W49843" s="235" t="n"/>
      <c r="X49843" s="235" t="n"/>
    </row>
    <row r="49844" ht="14.25" customHeight="1" s="192">
      <c r="W49844" s="235" t="n"/>
      <c r="X49844" s="235" t="n"/>
    </row>
    <row r="49845" ht="14.25" customHeight="1" s="192">
      <c r="W49845" s="235" t="n"/>
      <c r="X49845" s="235" t="n"/>
    </row>
    <row r="49846" ht="14.25" customHeight="1" s="192">
      <c r="W49846" s="239" t="n"/>
      <c r="X49846" s="239" t="n"/>
    </row>
    <row r="49847" ht="14.25" customHeight="1" s="192">
      <c r="W49847" s="239" t="n"/>
      <c r="X49847" s="239" t="n"/>
    </row>
    <row r="49848" ht="14.25" customHeight="1" s="192">
      <c r="W49848" s="239" t="n"/>
      <c r="X49848" s="239" t="n"/>
    </row>
    <row r="49849" ht="14.25" customHeight="1" s="192">
      <c r="W49849" s="235" t="n"/>
      <c r="X49849" s="235" t="n"/>
    </row>
    <row r="49850" ht="14.25" customHeight="1" s="192">
      <c r="W49850" s="235" t="n"/>
      <c r="X49850" s="235" t="n"/>
    </row>
    <row r="49851" ht="14.25" customHeight="1" s="192">
      <c r="W49851" s="235" t="n"/>
      <c r="X49851" s="235" t="n"/>
    </row>
    <row r="49852" ht="14.25" customHeight="1" s="192">
      <c r="W49852" s="239" t="n"/>
      <c r="X49852" s="239" t="n"/>
    </row>
    <row r="49853" ht="14.25" customHeight="1" s="192">
      <c r="W49853" s="239" t="n"/>
      <c r="X49853" s="239" t="n"/>
    </row>
    <row r="49854" ht="14.25" customHeight="1" s="192">
      <c r="W49854" s="235" t="n"/>
      <c r="X49854" s="235" t="n"/>
    </row>
    <row r="49855" ht="14.25" customHeight="1" s="192">
      <c r="W49855" s="235" t="n"/>
      <c r="X49855" s="235" t="n"/>
    </row>
    <row r="49856" ht="14.25" customHeight="1" s="192">
      <c r="W49856" s="239" t="n"/>
      <c r="X49856" s="239" t="n"/>
    </row>
    <row r="49857" ht="14.25" customHeight="1" s="192">
      <c r="W49857" s="235" t="n"/>
      <c r="X49857" s="235" t="n"/>
    </row>
    <row r="49858" ht="14.25" customHeight="1" s="192">
      <c r="W49858" s="239" t="n"/>
      <c r="X49858" s="239" t="n"/>
    </row>
    <row r="49860" ht="14.25" customHeight="1" s="192">
      <c r="W49860" s="235" t="n"/>
      <c r="X49860" s="235" t="n"/>
    </row>
    <row r="49861" ht="15" customHeight="1" s="192" thickBot="1">
      <c r="W49861" s="239" t="n"/>
      <c r="X49861" s="239" t="n"/>
    </row>
    <row r="49862" ht="15" customHeight="1" s="192" thickBot="1">
      <c r="W49862" s="45" t="n"/>
      <c r="X49862" s="45" t="n"/>
    </row>
    <row r="49863" ht="14.25" customHeight="1" s="192">
      <c r="W49863" s="228" t="n"/>
      <c r="X49863" s="228" t="n"/>
    </row>
    <row r="49864" ht="14.25" customHeight="1" s="192">
      <c r="W49864" s="228" t="n"/>
      <c r="X49864" s="228" t="n"/>
    </row>
    <row r="49865" ht="14.25" customHeight="1" s="192">
      <c r="W49865" s="231" t="n"/>
      <c r="X49865" s="231" t="n"/>
    </row>
    <row r="49866" ht="14.25" customHeight="1" s="192">
      <c r="W49866" s="33" t="n"/>
      <c r="X49866" s="33" t="n"/>
    </row>
    <row r="49867" ht="14.25" customHeight="1" s="192">
      <c r="W49867" s="231" t="n"/>
      <c r="X49867" s="231" t="n"/>
    </row>
    <row r="49868" ht="14.25" customHeight="1" s="192">
      <c r="W49868" s="33" t="n"/>
      <c r="X49868" s="33" t="n"/>
    </row>
    <row r="49870" ht="14.25" customHeight="1" s="192">
      <c r="W49870" s="231" t="n"/>
      <c r="X49870" s="231" t="n"/>
    </row>
    <row r="49871" ht="14.25" customHeight="1" s="192">
      <c r="W49871" s="235" t="n"/>
      <c r="X49871" s="235" t="n"/>
    </row>
    <row r="49872" ht="14.25" customHeight="1" s="192">
      <c r="W49872" s="228" t="n"/>
      <c r="X49872" s="228" t="n"/>
    </row>
    <row r="49873" ht="14.25" customHeight="1" s="192">
      <c r="W49873" s="235" t="n"/>
      <c r="X49873" s="235" t="n"/>
    </row>
    <row r="49874" ht="14.25" customHeight="1" s="192">
      <c r="W49874" s="235" t="n"/>
      <c r="X49874" s="235" t="n"/>
    </row>
    <row r="49875" ht="14.25" customHeight="1" s="192">
      <c r="W49875" s="235" t="n"/>
      <c r="X49875" s="235" t="n"/>
    </row>
    <row r="49876" ht="14.25" customHeight="1" s="192">
      <c r="W49876" s="239" t="n"/>
      <c r="X49876" s="239" t="n"/>
    </row>
    <row r="49877" ht="14.25" customHeight="1" s="192">
      <c r="W49877" s="239" t="n"/>
      <c r="X49877" s="239" t="n"/>
    </row>
    <row r="49878" ht="14.25" customHeight="1" s="192">
      <c r="W49878" s="239" t="n"/>
      <c r="X49878" s="239" t="n"/>
    </row>
    <row r="49879" ht="14.25" customHeight="1" s="192">
      <c r="W49879" s="235" t="n"/>
      <c r="X49879" s="235" t="n"/>
    </row>
    <row r="49880" ht="14.25" customHeight="1" s="192">
      <c r="W49880" s="235" t="n"/>
      <c r="X49880" s="235" t="n"/>
    </row>
    <row r="49881" ht="14.25" customHeight="1" s="192">
      <c r="W49881" s="235" t="n"/>
      <c r="X49881" s="235" t="n"/>
    </row>
    <row r="49882" ht="14.25" customHeight="1" s="192">
      <c r="W49882" s="239" t="n"/>
      <c r="X49882" s="239" t="n"/>
    </row>
    <row r="49883" ht="14.25" customHeight="1" s="192">
      <c r="W49883" s="239" t="n"/>
      <c r="X49883" s="239" t="n"/>
    </row>
    <row r="49884" ht="14.25" customHeight="1" s="192">
      <c r="W49884" s="235" t="n"/>
      <c r="X49884" s="235" t="n"/>
    </row>
    <row r="49885" ht="14.25" customHeight="1" s="192">
      <c r="W49885" s="235" t="n"/>
      <c r="X49885" s="235" t="n"/>
    </row>
    <row r="49886" ht="14.25" customHeight="1" s="192">
      <c r="W49886" s="239" t="n"/>
      <c r="X49886" s="239" t="n"/>
    </row>
    <row r="49887" ht="14.25" customHeight="1" s="192">
      <c r="W49887" s="235" t="n"/>
      <c r="X49887" s="235" t="n"/>
    </row>
    <row r="49888" ht="14.25" customHeight="1" s="192">
      <c r="W49888" s="239" t="n"/>
      <c r="X49888" s="239" t="n"/>
    </row>
    <row r="49890" ht="14.25" customHeight="1" s="192">
      <c r="W49890" s="235" t="n"/>
      <c r="X49890" s="235" t="n"/>
    </row>
    <row r="49891" ht="15" customHeight="1" s="192" thickBot="1">
      <c r="W49891" s="239" t="n"/>
      <c r="X49891" s="239" t="n"/>
    </row>
    <row r="49892" ht="15" customHeight="1" s="192" thickBot="1">
      <c r="W49892" s="45" t="n"/>
      <c r="X49892" s="45" t="n"/>
    </row>
    <row r="49893" ht="14.25" customHeight="1" s="192">
      <c r="W49893" s="228" t="n"/>
      <c r="X49893" s="228" t="n"/>
    </row>
    <row r="49894" ht="14.25" customHeight="1" s="192">
      <c r="W49894" s="228" t="n"/>
      <c r="X49894" s="228" t="n"/>
    </row>
    <row r="49895" ht="14.25" customHeight="1" s="192">
      <c r="W49895" s="231" t="n"/>
      <c r="X49895" s="231" t="n"/>
    </row>
    <row r="49896" ht="14.25" customHeight="1" s="192">
      <c r="W49896" s="33" t="n"/>
      <c r="X49896" s="33" t="n"/>
    </row>
    <row r="49897" ht="14.25" customHeight="1" s="192">
      <c r="W49897" s="231" t="n"/>
      <c r="X49897" s="231" t="n"/>
    </row>
    <row r="49898" ht="14.25" customHeight="1" s="192">
      <c r="W49898" s="33" t="n"/>
      <c r="X49898" s="33" t="n"/>
    </row>
    <row r="49900" ht="14.25" customHeight="1" s="192">
      <c r="W49900" s="231" t="n"/>
      <c r="X49900" s="231" t="n"/>
    </row>
    <row r="49901" ht="14.25" customHeight="1" s="192">
      <c r="W49901" s="235" t="n"/>
      <c r="X49901" s="235" t="n"/>
    </row>
    <row r="49902" ht="14.25" customHeight="1" s="192">
      <c r="W49902" s="228" t="n"/>
      <c r="X49902" s="228" t="n"/>
    </row>
    <row r="49903" ht="14.25" customHeight="1" s="192">
      <c r="W49903" s="235" t="n"/>
      <c r="X49903" s="235" t="n"/>
    </row>
    <row r="49904" ht="14.25" customHeight="1" s="192">
      <c r="W49904" s="235" t="n"/>
      <c r="X49904" s="235" t="n"/>
    </row>
    <row r="49905" ht="14.25" customHeight="1" s="192">
      <c r="W49905" s="235" t="n"/>
      <c r="X49905" s="235" t="n"/>
    </row>
    <row r="49906" ht="14.25" customHeight="1" s="192">
      <c r="W49906" s="239" t="n"/>
      <c r="X49906" s="239" t="n"/>
    </row>
    <row r="49907" ht="14.25" customHeight="1" s="192">
      <c r="W49907" s="239" t="n"/>
      <c r="X49907" s="239" t="n"/>
    </row>
    <row r="49908" ht="14.25" customHeight="1" s="192">
      <c r="W49908" s="239" t="n"/>
      <c r="X49908" s="239" t="n"/>
    </row>
    <row r="49909" ht="14.25" customHeight="1" s="192">
      <c r="W49909" s="235" t="n"/>
      <c r="X49909" s="235" t="n"/>
    </row>
    <row r="49910" ht="14.25" customHeight="1" s="192">
      <c r="W49910" s="235" t="n"/>
      <c r="X49910" s="235" t="n"/>
    </row>
    <row r="49911" ht="14.25" customHeight="1" s="192">
      <c r="W49911" s="235" t="n"/>
      <c r="X49911" s="235" t="n"/>
    </row>
    <row r="49912" ht="14.25" customHeight="1" s="192">
      <c r="W49912" s="239" t="n"/>
      <c r="X49912" s="239" t="n"/>
    </row>
    <row r="49913" ht="14.25" customHeight="1" s="192">
      <c r="W49913" s="239" t="n"/>
      <c r="X49913" s="239" t="n"/>
    </row>
    <row r="49914" ht="14.25" customHeight="1" s="192">
      <c r="W49914" s="235" t="n"/>
      <c r="X49914" s="235" t="n"/>
    </row>
    <row r="49915" ht="14.25" customHeight="1" s="192">
      <c r="W49915" s="235" t="n"/>
      <c r="X49915" s="235" t="n"/>
    </row>
    <row r="49916" ht="14.25" customHeight="1" s="192">
      <c r="W49916" s="239" t="n"/>
      <c r="X49916" s="239" t="n"/>
    </row>
    <row r="49917" ht="14.25" customHeight="1" s="192">
      <c r="W49917" s="235" t="n"/>
      <c r="X49917" s="235" t="n"/>
    </row>
    <row r="49918" ht="14.25" customHeight="1" s="192">
      <c r="W49918" s="239" t="n"/>
      <c r="X49918" s="239" t="n"/>
    </row>
    <row r="49920" ht="14.25" customHeight="1" s="192">
      <c r="W49920" s="235" t="n"/>
      <c r="X49920" s="235" t="n"/>
    </row>
    <row r="49921" ht="15" customHeight="1" s="192" thickBot="1">
      <c r="W49921" s="239" t="n"/>
      <c r="X49921" s="239" t="n"/>
    </row>
    <row r="49922" ht="15" customHeight="1" s="192" thickBot="1">
      <c r="W49922" s="45" t="n"/>
      <c r="X49922" s="45" t="n"/>
    </row>
    <row r="49923" ht="14.25" customHeight="1" s="192">
      <c r="W49923" s="228" t="n"/>
      <c r="X49923" s="228" t="n"/>
    </row>
    <row r="49924" ht="14.25" customHeight="1" s="192">
      <c r="W49924" s="228" t="n"/>
      <c r="X49924" s="228" t="n"/>
    </row>
    <row r="49925" ht="14.25" customHeight="1" s="192">
      <c r="W49925" s="231" t="n"/>
      <c r="X49925" s="231" t="n"/>
    </row>
    <row r="49926" ht="14.25" customHeight="1" s="192">
      <c r="W49926" s="33" t="n"/>
      <c r="X49926" s="33" t="n"/>
    </row>
    <row r="49927" ht="14.25" customHeight="1" s="192">
      <c r="W49927" s="231" t="n"/>
      <c r="X49927" s="231" t="n"/>
    </row>
    <row r="49928" ht="14.25" customHeight="1" s="192">
      <c r="W49928" s="33" t="n"/>
      <c r="X49928" s="33" t="n"/>
    </row>
    <row r="49930" ht="14.25" customHeight="1" s="192">
      <c r="W49930" s="231" t="n"/>
      <c r="X49930" s="231" t="n"/>
    </row>
    <row r="49931" ht="14.25" customHeight="1" s="192">
      <c r="W49931" s="235" t="n"/>
      <c r="X49931" s="235" t="n"/>
    </row>
    <row r="49932" ht="14.25" customHeight="1" s="192">
      <c r="W49932" s="228" t="n"/>
      <c r="X49932" s="228" t="n"/>
    </row>
    <row r="49933" ht="14.25" customHeight="1" s="192">
      <c r="W49933" s="235" t="n"/>
      <c r="X49933" s="235" t="n"/>
    </row>
    <row r="49934" ht="14.25" customHeight="1" s="192">
      <c r="W49934" s="235" t="n"/>
      <c r="X49934" s="235" t="n"/>
    </row>
    <row r="49935" ht="14.25" customHeight="1" s="192">
      <c r="W49935" s="235" t="n"/>
      <c r="X49935" s="235" t="n"/>
    </row>
    <row r="49936" ht="14.25" customHeight="1" s="192">
      <c r="W49936" s="239" t="n"/>
      <c r="X49936" s="239" t="n"/>
    </row>
    <row r="49937" ht="14.25" customHeight="1" s="192">
      <c r="W49937" s="239" t="n"/>
      <c r="X49937" s="239" t="n"/>
    </row>
    <row r="49938" ht="14.25" customHeight="1" s="192">
      <c r="W49938" s="239" t="n"/>
      <c r="X49938" s="239" t="n"/>
    </row>
    <row r="49939" ht="14.25" customHeight="1" s="192">
      <c r="W49939" s="235" t="n"/>
      <c r="X49939" s="235" t="n"/>
    </row>
    <row r="49940" ht="14.25" customHeight="1" s="192">
      <c r="W49940" s="235" t="n"/>
      <c r="X49940" s="235" t="n"/>
    </row>
    <row r="49941" ht="14.25" customHeight="1" s="192">
      <c r="W49941" s="235" t="n"/>
      <c r="X49941" s="235" t="n"/>
    </row>
    <row r="49942" ht="14.25" customHeight="1" s="192">
      <c r="W49942" s="239" t="n"/>
      <c r="X49942" s="239" t="n"/>
    </row>
    <row r="49943" ht="14.25" customHeight="1" s="192">
      <c r="W49943" s="239" t="n"/>
      <c r="X49943" s="239" t="n"/>
    </row>
    <row r="49944" ht="14.25" customHeight="1" s="192">
      <c r="W49944" s="235" t="n"/>
      <c r="X49944" s="235" t="n"/>
    </row>
    <row r="49945" ht="14.25" customHeight="1" s="192">
      <c r="W49945" s="235" t="n"/>
      <c r="X49945" s="235" t="n"/>
    </row>
    <row r="49946" ht="14.25" customHeight="1" s="192">
      <c r="W49946" s="239" t="n"/>
      <c r="X49946" s="239" t="n"/>
    </row>
    <row r="49947" ht="14.25" customHeight="1" s="192">
      <c r="W49947" s="235" t="n"/>
      <c r="X49947" s="235" t="n"/>
    </row>
    <row r="49948" ht="14.25" customHeight="1" s="192">
      <c r="W49948" s="239" t="n"/>
      <c r="X49948" s="239" t="n"/>
    </row>
    <row r="49950" ht="14.25" customHeight="1" s="192">
      <c r="W49950" s="235" t="n"/>
      <c r="X49950" s="235" t="n"/>
    </row>
    <row r="49951" ht="15" customHeight="1" s="192" thickBot="1">
      <c r="W49951" s="239" t="n"/>
      <c r="X49951" s="239" t="n"/>
    </row>
    <row r="49952" ht="15" customHeight="1" s="192" thickBot="1">
      <c r="W49952" s="45" t="n"/>
      <c r="X49952" s="45" t="n"/>
    </row>
    <row r="49953" ht="14.25" customHeight="1" s="192">
      <c r="W49953" s="228" t="n"/>
      <c r="X49953" s="228" t="n"/>
    </row>
    <row r="49954" ht="14.25" customHeight="1" s="192">
      <c r="W49954" s="228" t="n"/>
      <c r="X49954" s="228" t="n"/>
    </row>
    <row r="49955" ht="14.25" customHeight="1" s="192">
      <c r="W49955" s="231" t="n"/>
      <c r="X49955" s="231" t="n"/>
    </row>
    <row r="49956" ht="14.25" customHeight="1" s="192">
      <c r="W49956" s="33" t="n"/>
      <c r="X49956" s="33" t="n"/>
    </row>
    <row r="49957" ht="14.25" customHeight="1" s="192">
      <c r="W49957" s="231" t="n"/>
      <c r="X49957" s="231" t="n"/>
    </row>
    <row r="49958" ht="14.25" customHeight="1" s="192">
      <c r="W49958" s="33" t="n"/>
      <c r="X49958" s="33" t="n"/>
    </row>
    <row r="49960" ht="14.25" customHeight="1" s="192">
      <c r="W49960" s="231" t="n"/>
      <c r="X49960" s="231" t="n"/>
    </row>
    <row r="49961" ht="14.25" customHeight="1" s="192">
      <c r="W49961" s="235" t="n"/>
      <c r="X49961" s="235" t="n"/>
    </row>
    <row r="49962" ht="14.25" customHeight="1" s="192">
      <c r="W49962" s="228" t="n"/>
      <c r="X49962" s="228" t="n"/>
    </row>
    <row r="49963" ht="14.25" customHeight="1" s="192">
      <c r="W49963" s="235" t="n"/>
      <c r="X49963" s="235" t="n"/>
    </row>
    <row r="49964" ht="14.25" customHeight="1" s="192">
      <c r="W49964" s="235" t="n"/>
      <c r="X49964" s="235" t="n"/>
    </row>
    <row r="49965" ht="14.25" customHeight="1" s="192">
      <c r="W49965" s="235" t="n"/>
      <c r="X49965" s="235" t="n"/>
    </row>
    <row r="49966" ht="14.25" customHeight="1" s="192">
      <c r="W49966" s="239" t="n"/>
      <c r="X49966" s="239" t="n"/>
    </row>
    <row r="49967" ht="14.25" customHeight="1" s="192">
      <c r="W49967" s="239" t="n"/>
      <c r="X49967" s="239" t="n"/>
    </row>
    <row r="49968" ht="14.25" customHeight="1" s="192">
      <c r="W49968" s="239" t="n"/>
      <c r="X49968" s="239" t="n"/>
    </row>
    <row r="49969" ht="14.25" customHeight="1" s="192">
      <c r="W49969" s="235" t="n"/>
      <c r="X49969" s="235" t="n"/>
    </row>
    <row r="49970" ht="14.25" customHeight="1" s="192">
      <c r="W49970" s="235" t="n"/>
      <c r="X49970" s="235" t="n"/>
    </row>
    <row r="49971" ht="14.25" customHeight="1" s="192">
      <c r="W49971" s="235" t="n"/>
      <c r="X49971" s="235" t="n"/>
    </row>
    <row r="49972" ht="14.25" customHeight="1" s="192">
      <c r="W49972" s="239" t="n"/>
      <c r="X49972" s="239" t="n"/>
    </row>
    <row r="49973" ht="14.25" customHeight="1" s="192">
      <c r="W49973" s="239" t="n"/>
      <c r="X49973" s="239" t="n"/>
    </row>
    <row r="49974" ht="14.25" customHeight="1" s="192">
      <c r="W49974" s="235" t="n"/>
      <c r="X49974" s="235" t="n"/>
    </row>
    <row r="49975" ht="14.25" customHeight="1" s="192">
      <c r="W49975" s="235" t="n"/>
      <c r="X49975" s="235" t="n"/>
    </row>
    <row r="49976" ht="14.25" customHeight="1" s="192">
      <c r="W49976" s="239" t="n"/>
      <c r="X49976" s="239" t="n"/>
    </row>
    <row r="49977" ht="14.25" customHeight="1" s="192">
      <c r="W49977" s="235" t="n"/>
      <c r="X49977" s="235" t="n"/>
    </row>
    <row r="49978" ht="14.25" customHeight="1" s="192">
      <c r="W49978" s="239" t="n"/>
      <c r="X49978" s="239" t="n"/>
    </row>
    <row r="49980" ht="14.25" customHeight="1" s="192">
      <c r="W49980" s="235" t="n"/>
      <c r="X49980" s="235" t="n"/>
    </row>
    <row r="49981" ht="15" customHeight="1" s="192" thickBot="1">
      <c r="W49981" s="239" t="n"/>
      <c r="X49981" s="239" t="n"/>
    </row>
    <row r="49982" ht="15" customHeight="1" s="192" thickBot="1">
      <c r="W49982" s="45" t="n"/>
      <c r="X49982" s="45" t="n"/>
    </row>
    <row r="49983" ht="14.25" customHeight="1" s="192">
      <c r="W49983" s="228" t="n"/>
      <c r="X49983" s="228" t="n"/>
    </row>
    <row r="49984" ht="14.25" customHeight="1" s="192">
      <c r="W49984" s="228" t="n"/>
      <c r="X49984" s="228" t="n"/>
    </row>
    <row r="49985" ht="14.25" customHeight="1" s="192">
      <c r="W49985" s="231" t="n"/>
      <c r="X49985" s="231" t="n"/>
    </row>
    <row r="49986" ht="14.25" customHeight="1" s="192">
      <c r="W49986" s="33" t="n"/>
      <c r="X49986" s="33" t="n"/>
    </row>
    <row r="49987" ht="14.25" customHeight="1" s="192">
      <c r="W49987" s="231" t="n"/>
      <c r="X49987" s="231" t="n"/>
    </row>
    <row r="49988" ht="14.25" customHeight="1" s="192">
      <c r="W49988" s="33" t="n"/>
      <c r="X49988" s="33" t="n"/>
    </row>
    <row r="49990" ht="14.25" customHeight="1" s="192">
      <c r="W49990" s="231" t="n"/>
      <c r="X49990" s="231" t="n"/>
    </row>
    <row r="49991" ht="14.25" customHeight="1" s="192">
      <c r="W49991" s="235" t="n"/>
      <c r="X49991" s="235" t="n"/>
    </row>
    <row r="49992" ht="14.25" customHeight="1" s="192">
      <c r="W49992" s="228" t="n"/>
      <c r="X49992" s="228" t="n"/>
    </row>
    <row r="49993" ht="14.25" customHeight="1" s="192">
      <c r="W49993" s="235" t="n"/>
      <c r="X49993" s="235" t="n"/>
    </row>
    <row r="49994" ht="14.25" customHeight="1" s="192">
      <c r="W49994" s="235" t="n"/>
      <c r="X49994" s="235" t="n"/>
    </row>
    <row r="49995" ht="14.25" customHeight="1" s="192">
      <c r="W49995" s="235" t="n"/>
      <c r="X49995" s="235" t="n"/>
    </row>
    <row r="49996" ht="14.25" customHeight="1" s="192">
      <c r="W49996" s="239" t="n"/>
      <c r="X49996" s="239" t="n"/>
    </row>
    <row r="49997" ht="14.25" customHeight="1" s="192">
      <c r="W49997" s="239" t="n"/>
      <c r="X49997" s="239" t="n"/>
    </row>
    <row r="49998" ht="14.25" customHeight="1" s="192">
      <c r="W49998" s="239" t="n"/>
      <c r="X49998" s="239" t="n"/>
    </row>
    <row r="49999" ht="14.25" customHeight="1" s="192">
      <c r="W49999" s="235" t="n"/>
      <c r="X49999" s="235" t="n"/>
    </row>
    <row r="50000" ht="14.25" customHeight="1" s="192">
      <c r="W50000" s="235" t="n"/>
      <c r="X50000" s="235" t="n"/>
    </row>
    <row r="50001" ht="14.25" customHeight="1" s="192">
      <c r="W50001" s="235" t="n"/>
      <c r="X50001" s="235" t="n"/>
    </row>
    <row r="50002" ht="14.25" customHeight="1" s="192">
      <c r="W50002" s="239" t="n"/>
      <c r="X50002" s="239" t="n"/>
    </row>
    <row r="50003" ht="14.25" customHeight="1" s="192">
      <c r="W50003" s="239" t="n"/>
      <c r="X50003" s="239" t="n"/>
    </row>
    <row r="50004" ht="14.25" customHeight="1" s="192">
      <c r="W50004" s="235" t="n"/>
      <c r="X50004" s="235" t="n"/>
    </row>
    <row r="50005" ht="14.25" customHeight="1" s="192">
      <c r="W50005" s="235" t="n"/>
      <c r="X50005" s="235" t="n"/>
    </row>
    <row r="50006" ht="14.25" customHeight="1" s="192">
      <c r="W50006" s="239" t="n"/>
      <c r="X50006" s="239" t="n"/>
    </row>
    <row r="50007" ht="14.25" customHeight="1" s="192">
      <c r="W50007" s="235" t="n"/>
      <c r="X50007" s="235" t="n"/>
    </row>
    <row r="50008" ht="14.25" customHeight="1" s="192">
      <c r="W50008" s="239" t="n"/>
      <c r="X50008" s="239" t="n"/>
    </row>
    <row r="50010" ht="14.25" customHeight="1" s="192">
      <c r="W50010" s="235" t="n"/>
      <c r="X50010" s="235" t="n"/>
    </row>
    <row r="50011" ht="15" customHeight="1" s="192" thickBot="1">
      <c r="W50011" s="239" t="n"/>
      <c r="X50011" s="239" t="n"/>
    </row>
    <row r="50012" ht="15" customHeight="1" s="192" thickBot="1">
      <c r="W50012" s="45" t="n"/>
      <c r="X50012" s="45" t="n"/>
    </row>
    <row r="50013" ht="14.25" customHeight="1" s="192">
      <c r="W50013" s="228" t="n"/>
      <c r="X50013" s="228" t="n"/>
    </row>
    <row r="50014" ht="14.25" customHeight="1" s="192">
      <c r="W50014" s="228" t="n"/>
      <c r="X50014" s="228" t="n"/>
    </row>
    <row r="50015" ht="14.25" customHeight="1" s="192">
      <c r="W50015" s="231" t="n"/>
      <c r="X50015" s="231" t="n"/>
    </row>
    <row r="50016" ht="14.25" customHeight="1" s="192">
      <c r="W50016" s="33" t="n"/>
      <c r="X50016" s="33" t="n"/>
    </row>
    <row r="50017" ht="14.25" customHeight="1" s="192">
      <c r="W50017" s="231" t="n"/>
      <c r="X50017" s="231" t="n"/>
    </row>
    <row r="50018" ht="14.25" customHeight="1" s="192">
      <c r="W50018" s="33" t="n"/>
      <c r="X50018" s="33" t="n"/>
    </row>
    <row r="50020" ht="14.25" customHeight="1" s="192">
      <c r="W50020" s="231" t="n"/>
      <c r="X50020" s="231" t="n"/>
    </row>
    <row r="50021" ht="14.25" customHeight="1" s="192">
      <c r="W50021" s="235" t="n"/>
      <c r="X50021" s="235" t="n"/>
    </row>
    <row r="50022" ht="14.25" customHeight="1" s="192">
      <c r="W50022" s="228" t="n"/>
      <c r="X50022" s="228" t="n"/>
    </row>
    <row r="50023" ht="14.25" customHeight="1" s="192">
      <c r="W50023" s="235" t="n"/>
      <c r="X50023" s="235" t="n"/>
    </row>
    <row r="50024" ht="14.25" customHeight="1" s="192">
      <c r="W50024" s="235" t="n"/>
      <c r="X50024" s="235" t="n"/>
    </row>
    <row r="50025" ht="14.25" customHeight="1" s="192">
      <c r="W50025" s="235" t="n"/>
      <c r="X50025" s="235" t="n"/>
    </row>
    <row r="50026" ht="14.25" customHeight="1" s="192">
      <c r="W50026" s="239" t="n"/>
      <c r="X50026" s="239" t="n"/>
    </row>
    <row r="50027" ht="14.25" customHeight="1" s="192">
      <c r="W50027" s="239" t="n"/>
      <c r="X50027" s="239" t="n"/>
    </row>
    <row r="50028" ht="14.25" customHeight="1" s="192">
      <c r="W50028" s="239" t="n"/>
      <c r="X50028" s="239" t="n"/>
    </row>
    <row r="50029" ht="14.25" customHeight="1" s="192">
      <c r="W50029" s="235" t="n"/>
      <c r="X50029" s="235" t="n"/>
    </row>
    <row r="50030" ht="14.25" customHeight="1" s="192">
      <c r="W50030" s="235" t="n"/>
      <c r="X50030" s="235" t="n"/>
    </row>
    <row r="50031" ht="14.25" customHeight="1" s="192">
      <c r="W50031" s="235" t="n"/>
      <c r="X50031" s="235" t="n"/>
    </row>
    <row r="50032" ht="14.25" customHeight="1" s="192">
      <c r="W50032" s="239" t="n"/>
      <c r="X50032" s="239" t="n"/>
    </row>
    <row r="50033" ht="14.25" customHeight="1" s="192">
      <c r="W50033" s="239" t="n"/>
      <c r="X50033" s="239" t="n"/>
    </row>
    <row r="50034" ht="14.25" customHeight="1" s="192">
      <c r="W50034" s="235" t="n"/>
      <c r="X50034" s="235" t="n"/>
    </row>
    <row r="50035" ht="14.25" customHeight="1" s="192">
      <c r="W50035" s="235" t="n"/>
      <c r="X50035" s="235" t="n"/>
    </row>
    <row r="50036" ht="14.25" customHeight="1" s="192">
      <c r="W50036" s="239" t="n"/>
      <c r="X50036" s="239" t="n"/>
    </row>
    <row r="50037" ht="14.25" customHeight="1" s="192">
      <c r="W50037" s="235" t="n"/>
      <c r="X50037" s="235" t="n"/>
    </row>
    <row r="50038" ht="14.25" customHeight="1" s="192">
      <c r="W50038" s="239" t="n"/>
      <c r="X50038" s="239" t="n"/>
    </row>
    <row r="50040" ht="14.25" customHeight="1" s="192">
      <c r="W50040" s="235" t="n"/>
      <c r="X50040" s="235" t="n"/>
    </row>
    <row r="50041" ht="15" customHeight="1" s="192" thickBot="1">
      <c r="W50041" s="239" t="n"/>
      <c r="X50041" s="239" t="n"/>
    </row>
    <row r="50042" ht="15" customHeight="1" s="192" thickBot="1">
      <c r="W50042" s="45" t="n"/>
      <c r="X50042" s="45" t="n"/>
    </row>
    <row r="50043" ht="14.25" customHeight="1" s="192">
      <c r="W50043" s="228" t="n"/>
      <c r="X50043" s="228" t="n"/>
    </row>
    <row r="50044" ht="14.25" customHeight="1" s="192">
      <c r="W50044" s="228" t="n"/>
      <c r="X50044" s="228" t="n"/>
    </row>
    <row r="50045" ht="14.25" customHeight="1" s="192">
      <c r="W50045" s="231" t="n"/>
      <c r="X50045" s="231" t="n"/>
    </row>
    <row r="50046" ht="14.25" customHeight="1" s="192">
      <c r="W50046" s="33" t="n"/>
      <c r="X50046" s="33" t="n"/>
    </row>
    <row r="50047" ht="14.25" customHeight="1" s="192">
      <c r="W50047" s="231" t="n"/>
      <c r="X50047" s="231" t="n"/>
    </row>
    <row r="50048" ht="14.25" customHeight="1" s="192">
      <c r="W50048" s="33" t="n"/>
      <c r="X50048" s="33" t="n"/>
    </row>
    <row r="50050" ht="14.25" customHeight="1" s="192">
      <c r="W50050" s="231" t="n"/>
      <c r="X50050" s="231" t="n"/>
    </row>
    <row r="50051" ht="14.25" customHeight="1" s="192">
      <c r="W50051" s="235" t="n"/>
      <c r="X50051" s="235" t="n"/>
    </row>
    <row r="50052" ht="14.25" customHeight="1" s="192">
      <c r="W50052" s="228" t="n"/>
      <c r="X50052" s="228" t="n"/>
    </row>
    <row r="50053" ht="14.25" customHeight="1" s="192">
      <c r="W50053" s="235" t="n"/>
      <c r="X50053" s="235" t="n"/>
    </row>
    <row r="50054" ht="14.25" customHeight="1" s="192">
      <c r="W50054" s="235" t="n"/>
      <c r="X50054" s="235" t="n"/>
    </row>
    <row r="50055" ht="14.25" customHeight="1" s="192">
      <c r="W50055" s="235" t="n"/>
      <c r="X50055" s="235" t="n"/>
    </row>
    <row r="50056" ht="14.25" customHeight="1" s="192">
      <c r="W50056" s="239" t="n"/>
      <c r="X50056" s="239" t="n"/>
    </row>
    <row r="50057" ht="14.25" customHeight="1" s="192">
      <c r="W50057" s="239" t="n"/>
      <c r="X50057" s="239" t="n"/>
    </row>
    <row r="50058" ht="14.25" customHeight="1" s="192">
      <c r="W50058" s="239" t="n"/>
      <c r="X50058" s="239" t="n"/>
    </row>
    <row r="50059" ht="14.25" customHeight="1" s="192">
      <c r="W50059" s="235" t="n"/>
      <c r="X50059" s="235" t="n"/>
    </row>
    <row r="50060" ht="14.25" customHeight="1" s="192">
      <c r="W50060" s="235" t="n"/>
      <c r="X50060" s="235" t="n"/>
    </row>
    <row r="50061" ht="14.25" customHeight="1" s="192">
      <c r="W50061" s="235" t="n"/>
      <c r="X50061" s="235" t="n"/>
    </row>
    <row r="50062" ht="14.25" customHeight="1" s="192">
      <c r="W50062" s="239" t="n"/>
      <c r="X50062" s="239" t="n"/>
    </row>
    <row r="50063" ht="14.25" customHeight="1" s="192">
      <c r="W50063" s="239" t="n"/>
      <c r="X50063" s="239" t="n"/>
    </row>
    <row r="50064" ht="14.25" customHeight="1" s="192">
      <c r="W50064" s="235" t="n"/>
      <c r="X50064" s="235" t="n"/>
    </row>
    <row r="50065" ht="14.25" customHeight="1" s="192">
      <c r="W50065" s="235" t="n"/>
      <c r="X50065" s="235" t="n"/>
    </row>
    <row r="50066" ht="14.25" customHeight="1" s="192">
      <c r="W50066" s="239" t="n"/>
      <c r="X50066" s="239" t="n"/>
    </row>
    <row r="50067" ht="14.25" customHeight="1" s="192">
      <c r="W50067" s="235" t="n"/>
      <c r="X50067" s="235" t="n"/>
    </row>
    <row r="50068" ht="14.25" customHeight="1" s="192">
      <c r="W50068" s="239" t="n"/>
      <c r="X50068" s="239" t="n"/>
    </row>
    <row r="50070" ht="14.25" customHeight="1" s="192">
      <c r="W50070" s="235" t="n"/>
      <c r="X50070" s="235" t="n"/>
    </row>
    <row r="50071" ht="15" customHeight="1" s="192" thickBot="1">
      <c r="W50071" s="239" t="n"/>
      <c r="X50071" s="239" t="n"/>
    </row>
    <row r="50072" ht="15" customHeight="1" s="192" thickBot="1">
      <c r="W50072" s="45" t="n"/>
      <c r="X50072" s="45" t="n"/>
    </row>
    <row r="50073" ht="14.25" customHeight="1" s="192">
      <c r="W50073" s="228" t="n"/>
      <c r="X50073" s="228" t="n"/>
    </row>
    <row r="50074" ht="14.25" customHeight="1" s="192">
      <c r="W50074" s="228" t="n"/>
      <c r="X50074" s="228" t="n"/>
    </row>
    <row r="50075" ht="14.25" customHeight="1" s="192">
      <c r="W50075" s="231" t="n"/>
      <c r="X50075" s="231" t="n"/>
    </row>
    <row r="50076" ht="14.25" customHeight="1" s="192">
      <c r="W50076" s="33" t="n"/>
      <c r="X50076" s="33" t="n"/>
    </row>
    <row r="50077" ht="14.25" customHeight="1" s="192">
      <c r="W50077" s="231" t="n"/>
      <c r="X50077" s="231" t="n"/>
    </row>
    <row r="50078" ht="14.25" customHeight="1" s="192">
      <c r="W50078" s="33" t="n"/>
      <c r="X50078" s="33" t="n"/>
    </row>
    <row r="50080" ht="14.25" customHeight="1" s="192">
      <c r="W50080" s="231" t="n"/>
      <c r="X50080" s="231" t="n"/>
    </row>
    <row r="50081" ht="14.25" customHeight="1" s="192">
      <c r="W50081" s="235" t="n"/>
      <c r="X50081" s="235" t="n"/>
    </row>
    <row r="50082" ht="14.25" customHeight="1" s="192">
      <c r="W50082" s="228" t="n"/>
      <c r="X50082" s="228" t="n"/>
    </row>
    <row r="50083" ht="14.25" customHeight="1" s="192">
      <c r="W50083" s="235" t="n"/>
      <c r="X50083" s="235" t="n"/>
    </row>
    <row r="50084" ht="14.25" customHeight="1" s="192">
      <c r="W50084" s="235" t="n"/>
      <c r="X50084" s="235" t="n"/>
    </row>
    <row r="50085" ht="14.25" customHeight="1" s="192">
      <c r="W50085" s="235" t="n"/>
      <c r="X50085" s="235" t="n"/>
    </row>
    <row r="50086" ht="14.25" customHeight="1" s="192">
      <c r="W50086" s="239" t="n"/>
      <c r="X50086" s="239" t="n"/>
    </row>
    <row r="50087" ht="14.25" customHeight="1" s="192">
      <c r="W50087" s="239" t="n"/>
      <c r="X50087" s="239" t="n"/>
    </row>
    <row r="50088" ht="14.25" customHeight="1" s="192">
      <c r="W50088" s="239" t="n"/>
      <c r="X50088" s="239" t="n"/>
    </row>
    <row r="50089" ht="14.25" customHeight="1" s="192">
      <c r="W50089" s="235" t="n"/>
      <c r="X50089" s="235" t="n"/>
    </row>
    <row r="50090" ht="14.25" customHeight="1" s="192">
      <c r="W50090" s="235" t="n"/>
      <c r="X50090" s="235" t="n"/>
    </row>
    <row r="50091" ht="14.25" customHeight="1" s="192">
      <c r="W50091" s="235" t="n"/>
      <c r="X50091" s="235" t="n"/>
    </row>
    <row r="50092" ht="14.25" customHeight="1" s="192">
      <c r="W50092" s="239" t="n"/>
      <c r="X50092" s="239" t="n"/>
    </row>
    <row r="50093" ht="14.25" customHeight="1" s="192">
      <c r="W50093" s="239" t="n"/>
      <c r="X50093" s="239" t="n"/>
    </row>
    <row r="50094" ht="14.25" customHeight="1" s="192">
      <c r="W50094" s="235" t="n"/>
      <c r="X50094" s="235" t="n"/>
    </row>
    <row r="50095" ht="14.25" customHeight="1" s="192">
      <c r="W50095" s="235" t="n"/>
      <c r="X50095" s="235" t="n"/>
    </row>
    <row r="50096" ht="14.25" customHeight="1" s="192">
      <c r="W50096" s="239" t="n"/>
      <c r="X50096" s="239" t="n"/>
    </row>
    <row r="50097" ht="14.25" customHeight="1" s="192">
      <c r="W50097" s="235" t="n"/>
      <c r="X50097" s="235" t="n"/>
    </row>
    <row r="50098" ht="14.25" customHeight="1" s="192">
      <c r="W50098" s="239" t="n"/>
      <c r="X50098" s="239" t="n"/>
    </row>
    <row r="50100" ht="14.25" customHeight="1" s="192">
      <c r="W50100" s="235" t="n"/>
      <c r="X50100" s="235" t="n"/>
    </row>
    <row r="50101" ht="15" customHeight="1" s="192" thickBot="1">
      <c r="W50101" s="239" t="n"/>
      <c r="X50101" s="239" t="n"/>
    </row>
    <row r="50102" ht="15" customHeight="1" s="192" thickBot="1">
      <c r="W50102" s="45" t="n"/>
      <c r="X50102" s="45" t="n"/>
    </row>
    <row r="50103" ht="14.25" customHeight="1" s="192">
      <c r="W50103" s="228" t="n"/>
      <c r="X50103" s="228" t="n"/>
    </row>
    <row r="50104" ht="14.25" customHeight="1" s="192">
      <c r="W50104" s="228" t="n"/>
      <c r="X50104" s="228" t="n"/>
    </row>
    <row r="50105" ht="14.25" customHeight="1" s="192">
      <c r="W50105" s="231" t="n"/>
      <c r="X50105" s="231" t="n"/>
    </row>
    <row r="50106" ht="14.25" customHeight="1" s="192">
      <c r="W50106" s="33" t="n"/>
      <c r="X50106" s="33" t="n"/>
    </row>
    <row r="50107" ht="14.25" customHeight="1" s="192">
      <c r="W50107" s="231" t="n"/>
      <c r="X50107" s="231" t="n"/>
    </row>
    <row r="50108" ht="14.25" customHeight="1" s="192">
      <c r="W50108" s="33" t="n"/>
      <c r="X50108" s="33" t="n"/>
    </row>
    <row r="50110" ht="14.25" customHeight="1" s="192">
      <c r="W50110" s="231" t="n"/>
      <c r="X50110" s="231" t="n"/>
    </row>
    <row r="50111" ht="14.25" customHeight="1" s="192">
      <c r="W50111" s="235" t="n"/>
      <c r="X50111" s="235" t="n"/>
    </row>
    <row r="50112" ht="14.25" customHeight="1" s="192">
      <c r="W50112" s="228" t="n"/>
      <c r="X50112" s="228" t="n"/>
    </row>
    <row r="50113" ht="14.25" customHeight="1" s="192">
      <c r="W50113" s="235" t="n"/>
      <c r="X50113" s="235" t="n"/>
    </row>
    <row r="50114" ht="14.25" customHeight="1" s="192">
      <c r="W50114" s="235" t="n"/>
      <c r="X50114" s="235" t="n"/>
    </row>
    <row r="50115" ht="14.25" customHeight="1" s="192">
      <c r="W50115" s="235" t="n"/>
      <c r="X50115" s="235" t="n"/>
    </row>
    <row r="50116" ht="14.25" customHeight="1" s="192">
      <c r="W50116" s="239" t="n"/>
      <c r="X50116" s="239" t="n"/>
    </row>
    <row r="50117" ht="14.25" customHeight="1" s="192">
      <c r="W50117" s="239" t="n"/>
      <c r="X50117" s="239" t="n"/>
    </row>
    <row r="50118" ht="14.25" customHeight="1" s="192">
      <c r="W50118" s="239" t="n"/>
      <c r="X50118" s="239" t="n"/>
    </row>
    <row r="50119" ht="14.25" customHeight="1" s="192">
      <c r="W50119" s="235" t="n"/>
      <c r="X50119" s="235" t="n"/>
    </row>
    <row r="50120" ht="14.25" customHeight="1" s="192">
      <c r="W50120" s="235" t="n"/>
      <c r="X50120" s="235" t="n"/>
    </row>
    <row r="50121" ht="14.25" customHeight="1" s="192">
      <c r="W50121" s="235" t="n"/>
      <c r="X50121" s="235" t="n"/>
    </row>
    <row r="50122" ht="14.25" customHeight="1" s="192">
      <c r="W50122" s="239" t="n"/>
      <c r="X50122" s="239" t="n"/>
    </row>
    <row r="50123" ht="14.25" customHeight="1" s="192">
      <c r="W50123" s="239" t="n"/>
      <c r="X50123" s="239" t="n"/>
    </row>
    <row r="50124" ht="14.25" customHeight="1" s="192">
      <c r="W50124" s="235" t="n"/>
      <c r="X50124" s="235" t="n"/>
    </row>
    <row r="50125" ht="14.25" customHeight="1" s="192">
      <c r="W50125" s="235" t="n"/>
      <c r="X50125" s="235" t="n"/>
    </row>
    <row r="50126" ht="14.25" customHeight="1" s="192">
      <c r="W50126" s="239" t="n"/>
      <c r="X50126" s="239" t="n"/>
    </row>
    <row r="50127" ht="14.25" customHeight="1" s="192">
      <c r="W50127" s="235" t="n"/>
      <c r="X50127" s="235" t="n"/>
    </row>
    <row r="50128" ht="14.25" customHeight="1" s="192">
      <c r="W50128" s="239" t="n"/>
      <c r="X50128" s="239" t="n"/>
    </row>
    <row r="50130" ht="14.25" customHeight="1" s="192">
      <c r="W50130" s="235" t="n"/>
      <c r="X50130" s="235" t="n"/>
    </row>
    <row r="50131" ht="15" customHeight="1" s="192" thickBot="1">
      <c r="W50131" s="239" t="n"/>
      <c r="X50131" s="239" t="n"/>
    </row>
    <row r="50132" ht="15" customHeight="1" s="192" thickBot="1">
      <c r="W50132" s="45" t="n"/>
      <c r="X50132" s="45" t="n"/>
    </row>
    <row r="50133" ht="14.25" customHeight="1" s="192">
      <c r="W50133" s="228" t="n"/>
      <c r="X50133" s="228" t="n"/>
    </row>
    <row r="50134" ht="14.25" customHeight="1" s="192">
      <c r="W50134" s="228" t="n"/>
      <c r="X50134" s="228" t="n"/>
    </row>
    <row r="50135" ht="14.25" customHeight="1" s="192">
      <c r="W50135" s="231" t="n"/>
      <c r="X50135" s="231" t="n"/>
    </row>
    <row r="50136" ht="14.25" customHeight="1" s="192">
      <c r="W50136" s="33" t="n"/>
      <c r="X50136" s="33" t="n"/>
    </row>
    <row r="50137" ht="14.25" customHeight="1" s="192">
      <c r="W50137" s="231" t="n"/>
      <c r="X50137" s="231" t="n"/>
    </row>
    <row r="50138" ht="14.25" customHeight="1" s="192">
      <c r="W50138" s="33" t="n"/>
      <c r="X50138" s="33" t="n"/>
    </row>
    <row r="50140" ht="14.25" customHeight="1" s="192">
      <c r="W50140" s="231" t="n"/>
      <c r="X50140" s="231" t="n"/>
    </row>
    <row r="50141" ht="14.25" customHeight="1" s="192">
      <c r="W50141" s="235" t="n"/>
      <c r="X50141" s="235" t="n"/>
    </row>
    <row r="50142" ht="14.25" customHeight="1" s="192">
      <c r="W50142" s="228" t="n"/>
      <c r="X50142" s="228" t="n"/>
    </row>
    <row r="50143" ht="14.25" customHeight="1" s="192">
      <c r="W50143" s="235" t="n"/>
      <c r="X50143" s="235" t="n"/>
    </row>
    <row r="50144" ht="14.25" customHeight="1" s="192">
      <c r="W50144" s="235" t="n"/>
      <c r="X50144" s="235" t="n"/>
    </row>
    <row r="50145" ht="14.25" customHeight="1" s="192">
      <c r="W50145" s="235" t="n"/>
      <c r="X50145" s="235" t="n"/>
    </row>
    <row r="50146" ht="14.25" customHeight="1" s="192">
      <c r="W50146" s="239" t="n"/>
      <c r="X50146" s="239" t="n"/>
    </row>
    <row r="50147" ht="14.25" customHeight="1" s="192">
      <c r="W50147" s="239" t="n"/>
      <c r="X50147" s="239" t="n"/>
    </row>
    <row r="50148" ht="14.25" customHeight="1" s="192">
      <c r="W50148" s="239" t="n"/>
      <c r="X50148" s="239" t="n"/>
    </row>
    <row r="50149" ht="14.25" customHeight="1" s="192">
      <c r="W50149" s="235" t="n"/>
      <c r="X50149" s="235" t="n"/>
    </row>
    <row r="50150" ht="14.25" customHeight="1" s="192">
      <c r="W50150" s="235" t="n"/>
      <c r="X50150" s="235" t="n"/>
    </row>
    <row r="50151" ht="14.25" customHeight="1" s="192">
      <c r="W50151" s="235" t="n"/>
      <c r="X50151" s="235" t="n"/>
    </row>
    <row r="50152" ht="14.25" customHeight="1" s="192">
      <c r="W50152" s="239" t="n"/>
      <c r="X50152" s="239" t="n"/>
    </row>
    <row r="50153" ht="14.25" customHeight="1" s="192">
      <c r="W50153" s="239" t="n"/>
      <c r="X50153" s="239" t="n"/>
    </row>
    <row r="50154" ht="14.25" customHeight="1" s="192">
      <c r="W50154" s="235" t="n"/>
      <c r="X50154" s="235" t="n"/>
    </row>
    <row r="50155" ht="14.25" customHeight="1" s="192">
      <c r="W50155" s="235" t="n"/>
      <c r="X50155" s="235" t="n"/>
    </row>
    <row r="50156" ht="14.25" customHeight="1" s="192">
      <c r="W50156" s="239" t="n"/>
      <c r="X50156" s="239" t="n"/>
    </row>
    <row r="50157" ht="14.25" customHeight="1" s="192">
      <c r="W50157" s="235" t="n"/>
      <c r="X50157" s="235" t="n"/>
    </row>
    <row r="50158" ht="14.25" customHeight="1" s="192">
      <c r="W50158" s="239" t="n"/>
      <c r="X50158" s="239" t="n"/>
    </row>
    <row r="50160" ht="14.25" customHeight="1" s="192">
      <c r="W50160" s="235" t="n"/>
      <c r="X50160" s="235" t="n"/>
    </row>
    <row r="50161" ht="15" customHeight="1" s="192" thickBot="1">
      <c r="W50161" s="239" t="n"/>
      <c r="X50161" s="239" t="n"/>
    </row>
    <row r="50162" ht="15" customHeight="1" s="192" thickBot="1">
      <c r="W50162" s="45" t="n"/>
      <c r="X50162" s="45" t="n"/>
    </row>
    <row r="50163" ht="14.25" customHeight="1" s="192">
      <c r="W50163" s="228" t="n"/>
      <c r="X50163" s="228" t="n"/>
    </row>
    <row r="50164" ht="14.25" customHeight="1" s="192">
      <c r="W50164" s="228" t="n"/>
      <c r="X50164" s="228" t="n"/>
    </row>
    <row r="50165" ht="14.25" customHeight="1" s="192">
      <c r="W50165" s="231" t="n"/>
      <c r="X50165" s="231" t="n"/>
    </row>
    <row r="50166" ht="14.25" customHeight="1" s="192">
      <c r="W50166" s="33" t="n"/>
      <c r="X50166" s="33" t="n"/>
    </row>
    <row r="50167" ht="14.25" customHeight="1" s="192">
      <c r="W50167" s="231" t="n"/>
      <c r="X50167" s="231" t="n"/>
    </row>
    <row r="50168" ht="14.25" customHeight="1" s="192">
      <c r="W50168" s="33" t="n"/>
      <c r="X50168" s="33" t="n"/>
    </row>
    <row r="50170" ht="14.25" customHeight="1" s="192">
      <c r="W50170" s="231" t="n"/>
      <c r="X50170" s="231" t="n"/>
    </row>
    <row r="50171" ht="14.25" customHeight="1" s="192">
      <c r="W50171" s="235" t="n"/>
      <c r="X50171" s="235" t="n"/>
    </row>
    <row r="50172" ht="14.25" customHeight="1" s="192">
      <c r="W50172" s="228" t="n"/>
      <c r="X50172" s="228" t="n"/>
    </row>
    <row r="50173" ht="14.25" customHeight="1" s="192">
      <c r="W50173" s="235" t="n"/>
      <c r="X50173" s="235" t="n"/>
    </row>
    <row r="50174" ht="14.25" customHeight="1" s="192">
      <c r="W50174" s="235" t="n"/>
      <c r="X50174" s="235" t="n"/>
    </row>
    <row r="50175" ht="14.25" customHeight="1" s="192">
      <c r="W50175" s="235" t="n"/>
      <c r="X50175" s="235" t="n"/>
    </row>
    <row r="50176" ht="14.25" customHeight="1" s="192">
      <c r="W50176" s="239" t="n"/>
      <c r="X50176" s="239" t="n"/>
    </row>
    <row r="50177" ht="14.25" customHeight="1" s="192">
      <c r="W50177" s="239" t="n"/>
      <c r="X50177" s="239" t="n"/>
    </row>
    <row r="50178" ht="14.25" customHeight="1" s="192">
      <c r="W50178" s="239" t="n"/>
      <c r="X50178" s="239" t="n"/>
    </row>
    <row r="50179" ht="14.25" customHeight="1" s="192">
      <c r="W50179" s="235" t="n"/>
      <c r="X50179" s="235" t="n"/>
    </row>
    <row r="50180" ht="14.25" customHeight="1" s="192">
      <c r="W50180" s="235" t="n"/>
      <c r="X50180" s="235" t="n"/>
    </row>
    <row r="50181" ht="14.25" customHeight="1" s="192">
      <c r="W50181" s="235" t="n"/>
      <c r="X50181" s="235" t="n"/>
    </row>
    <row r="50182" ht="14.25" customHeight="1" s="192">
      <c r="W50182" s="239" t="n"/>
      <c r="X50182" s="239" t="n"/>
    </row>
    <row r="50183" ht="14.25" customHeight="1" s="192">
      <c r="W50183" s="239" t="n"/>
      <c r="X50183" s="239" t="n"/>
    </row>
    <row r="50184" ht="14.25" customHeight="1" s="192">
      <c r="W50184" s="235" t="n"/>
      <c r="X50184" s="235" t="n"/>
    </row>
    <row r="50185" ht="14.25" customHeight="1" s="192">
      <c r="W50185" s="235" t="n"/>
      <c r="X50185" s="235" t="n"/>
    </row>
    <row r="50186" ht="14.25" customHeight="1" s="192">
      <c r="W50186" s="239" t="n"/>
      <c r="X50186" s="239" t="n"/>
    </row>
    <row r="50187" ht="14.25" customHeight="1" s="192">
      <c r="W50187" s="235" t="n"/>
      <c r="X50187" s="235" t="n"/>
    </row>
    <row r="50188" ht="14.25" customHeight="1" s="192">
      <c r="W50188" s="239" t="n"/>
      <c r="X50188" s="239" t="n"/>
    </row>
    <row r="50190" ht="14.25" customHeight="1" s="192">
      <c r="W50190" s="235" t="n"/>
      <c r="X50190" s="235" t="n"/>
    </row>
    <row r="50191" ht="15" customHeight="1" s="192" thickBot="1">
      <c r="W50191" s="239" t="n"/>
      <c r="X50191" s="239" t="n"/>
    </row>
    <row r="50192" ht="15" customHeight="1" s="192" thickBot="1">
      <c r="W50192" s="45" t="n"/>
      <c r="X50192" s="45" t="n"/>
    </row>
    <row r="50193" ht="14.25" customHeight="1" s="192">
      <c r="W50193" s="228" t="n"/>
      <c r="X50193" s="228" t="n"/>
    </row>
    <row r="50194" ht="14.25" customHeight="1" s="192">
      <c r="W50194" s="228" t="n"/>
      <c r="X50194" s="228" t="n"/>
    </row>
    <row r="50195" ht="14.25" customHeight="1" s="192">
      <c r="W50195" s="231" t="n"/>
      <c r="X50195" s="231" t="n"/>
    </row>
    <row r="50196" ht="14.25" customHeight="1" s="192">
      <c r="W50196" s="33" t="n"/>
      <c r="X50196" s="33" t="n"/>
    </row>
    <row r="50197" ht="14.25" customHeight="1" s="192">
      <c r="W50197" s="231" t="n"/>
      <c r="X50197" s="231" t="n"/>
    </row>
    <row r="50198" ht="14.25" customHeight="1" s="192">
      <c r="W50198" s="33" t="n"/>
      <c r="X50198" s="33" t="n"/>
    </row>
    <row r="50200" ht="14.25" customHeight="1" s="192">
      <c r="W50200" s="231" t="n"/>
      <c r="X50200" s="231" t="n"/>
    </row>
    <row r="50201" ht="14.25" customHeight="1" s="192">
      <c r="W50201" s="235" t="n"/>
      <c r="X50201" s="235" t="n"/>
    </row>
    <row r="50202" ht="14.25" customHeight="1" s="192">
      <c r="W50202" s="228" t="n"/>
      <c r="X50202" s="228" t="n"/>
    </row>
    <row r="50203" ht="14.25" customHeight="1" s="192">
      <c r="W50203" s="235" t="n"/>
      <c r="X50203" s="235" t="n"/>
    </row>
    <row r="50204" ht="14.25" customHeight="1" s="192">
      <c r="W50204" s="235" t="n"/>
      <c r="X50204" s="235" t="n"/>
    </row>
    <row r="50205" ht="14.25" customHeight="1" s="192">
      <c r="W50205" s="235" t="n"/>
      <c r="X50205" s="235" t="n"/>
    </row>
    <row r="50206" ht="14.25" customHeight="1" s="192">
      <c r="W50206" s="239" t="n"/>
      <c r="X50206" s="239" t="n"/>
    </row>
    <row r="50207" ht="14.25" customHeight="1" s="192">
      <c r="W50207" s="239" t="n"/>
      <c r="X50207" s="239" t="n"/>
    </row>
    <row r="50208" ht="14.25" customHeight="1" s="192">
      <c r="W50208" s="239" t="n"/>
      <c r="X50208" s="239" t="n"/>
    </row>
    <row r="50209" ht="14.25" customHeight="1" s="192">
      <c r="W50209" s="235" t="n"/>
      <c r="X50209" s="235" t="n"/>
    </row>
    <row r="50210" ht="14.25" customHeight="1" s="192">
      <c r="W50210" s="235" t="n"/>
      <c r="X50210" s="235" t="n"/>
    </row>
    <row r="50211" ht="14.25" customHeight="1" s="192">
      <c r="W50211" s="235" t="n"/>
      <c r="X50211" s="235" t="n"/>
    </row>
    <row r="50212" ht="14.25" customHeight="1" s="192">
      <c r="W50212" s="239" t="n"/>
      <c r="X50212" s="239" t="n"/>
    </row>
    <row r="50213" ht="14.25" customHeight="1" s="192">
      <c r="W50213" s="239" t="n"/>
      <c r="X50213" s="239" t="n"/>
    </row>
    <row r="50214" ht="14.25" customHeight="1" s="192">
      <c r="W50214" s="235" t="n"/>
      <c r="X50214" s="235" t="n"/>
    </row>
    <row r="50215" ht="14.25" customHeight="1" s="192">
      <c r="W50215" s="235" t="n"/>
      <c r="X50215" s="235" t="n"/>
    </row>
    <row r="50216" ht="14.25" customHeight="1" s="192">
      <c r="W50216" s="239" t="n"/>
      <c r="X50216" s="239" t="n"/>
    </row>
    <row r="50217" ht="14.25" customHeight="1" s="192">
      <c r="W50217" s="235" t="n"/>
      <c r="X50217" s="235" t="n"/>
    </row>
    <row r="50218" ht="14.25" customHeight="1" s="192">
      <c r="W50218" s="239" t="n"/>
      <c r="X50218" s="239" t="n"/>
    </row>
    <row r="50220" ht="14.25" customHeight="1" s="192">
      <c r="W50220" s="235" t="n"/>
      <c r="X50220" s="235" t="n"/>
    </row>
    <row r="50221" ht="15" customHeight="1" s="192" thickBot="1">
      <c r="W50221" s="239" t="n"/>
      <c r="X50221" s="239" t="n"/>
    </row>
    <row r="50222" ht="15" customHeight="1" s="192" thickBot="1">
      <c r="W50222" s="45" t="n"/>
      <c r="X50222" s="45" t="n"/>
    </row>
    <row r="50223" ht="14.25" customHeight="1" s="192">
      <c r="W50223" s="228" t="n"/>
      <c r="X50223" s="228" t="n"/>
    </row>
    <row r="50224" ht="14.25" customHeight="1" s="192">
      <c r="W50224" s="228" t="n"/>
      <c r="X50224" s="228" t="n"/>
    </row>
    <row r="50225" ht="14.25" customHeight="1" s="192">
      <c r="W50225" s="231" t="n"/>
      <c r="X50225" s="231" t="n"/>
    </row>
    <row r="50226" ht="14.25" customHeight="1" s="192">
      <c r="W50226" s="33" t="n"/>
      <c r="X50226" s="33" t="n"/>
    </row>
    <row r="50227" ht="14.25" customHeight="1" s="192">
      <c r="W50227" s="231" t="n"/>
      <c r="X50227" s="231" t="n"/>
    </row>
    <row r="50228" ht="14.25" customHeight="1" s="192">
      <c r="W50228" s="33" t="n"/>
      <c r="X50228" s="33" t="n"/>
    </row>
    <row r="50230" ht="14.25" customHeight="1" s="192">
      <c r="W50230" s="231" t="n"/>
      <c r="X50230" s="231" t="n"/>
    </row>
    <row r="50231" ht="14.25" customHeight="1" s="192">
      <c r="W50231" s="235" t="n"/>
      <c r="X50231" s="235" t="n"/>
    </row>
    <row r="50232" ht="14.25" customHeight="1" s="192">
      <c r="W50232" s="228" t="n"/>
      <c r="X50232" s="228" t="n"/>
    </row>
    <row r="50233" ht="14.25" customHeight="1" s="192">
      <c r="W50233" s="235" t="n"/>
      <c r="X50233" s="235" t="n"/>
    </row>
    <row r="50234" ht="14.25" customHeight="1" s="192">
      <c r="W50234" s="235" t="n"/>
      <c r="X50234" s="235" t="n"/>
    </row>
    <row r="50235" ht="14.25" customHeight="1" s="192">
      <c r="W50235" s="235" t="n"/>
      <c r="X50235" s="235" t="n"/>
    </row>
    <row r="50236" ht="14.25" customHeight="1" s="192">
      <c r="W50236" s="239" t="n"/>
      <c r="X50236" s="239" t="n"/>
    </row>
    <row r="50237" ht="14.25" customHeight="1" s="192">
      <c r="W50237" s="239" t="n"/>
      <c r="X50237" s="239" t="n"/>
    </row>
    <row r="50238" ht="14.25" customHeight="1" s="192">
      <c r="W50238" s="239" t="n"/>
      <c r="X50238" s="239" t="n"/>
    </row>
    <row r="50239" ht="14.25" customHeight="1" s="192">
      <c r="W50239" s="235" t="n"/>
      <c r="X50239" s="235" t="n"/>
    </row>
    <row r="50240" ht="14.25" customHeight="1" s="192">
      <c r="W50240" s="235" t="n"/>
      <c r="X50240" s="235" t="n"/>
    </row>
    <row r="50241" ht="14.25" customHeight="1" s="192">
      <c r="W50241" s="235" t="n"/>
      <c r="X50241" s="235" t="n"/>
    </row>
    <row r="50242" ht="14.25" customHeight="1" s="192">
      <c r="W50242" s="239" t="n"/>
      <c r="X50242" s="239" t="n"/>
    </row>
    <row r="50243" ht="14.25" customHeight="1" s="192">
      <c r="W50243" s="239" t="n"/>
      <c r="X50243" s="239" t="n"/>
    </row>
    <row r="50244" ht="14.25" customHeight="1" s="192">
      <c r="W50244" s="235" t="n"/>
      <c r="X50244" s="235" t="n"/>
    </row>
    <row r="50245" ht="14.25" customHeight="1" s="192">
      <c r="W50245" s="235" t="n"/>
      <c r="X50245" s="235" t="n"/>
    </row>
    <row r="50246" ht="14.25" customHeight="1" s="192">
      <c r="W50246" s="239" t="n"/>
      <c r="X50246" s="239" t="n"/>
    </row>
    <row r="50247" ht="14.25" customHeight="1" s="192">
      <c r="W50247" s="235" t="n"/>
      <c r="X50247" s="235" t="n"/>
    </row>
    <row r="50248" ht="14.25" customHeight="1" s="192">
      <c r="W50248" s="239" t="n"/>
      <c r="X50248" s="239" t="n"/>
    </row>
    <row r="50250" ht="14.25" customHeight="1" s="192">
      <c r="W50250" s="235" t="n"/>
      <c r="X50250" s="235" t="n"/>
    </row>
    <row r="50251" ht="15" customHeight="1" s="192" thickBot="1">
      <c r="W50251" s="239" t="n"/>
      <c r="X50251" s="239" t="n"/>
    </row>
    <row r="50252" ht="15" customHeight="1" s="192" thickBot="1">
      <c r="W50252" s="45" t="n"/>
      <c r="X50252" s="45" t="n"/>
    </row>
    <row r="50253" ht="14.25" customHeight="1" s="192">
      <c r="W50253" s="228" t="n"/>
      <c r="X50253" s="228" t="n"/>
    </row>
    <row r="50254" ht="14.25" customHeight="1" s="192">
      <c r="W50254" s="228" t="n"/>
      <c r="X50254" s="228" t="n"/>
    </row>
    <row r="50255" ht="14.25" customHeight="1" s="192">
      <c r="W50255" s="231" t="n"/>
      <c r="X50255" s="231" t="n"/>
    </row>
    <row r="50256" ht="14.25" customHeight="1" s="192">
      <c r="W50256" s="33" t="n"/>
      <c r="X50256" s="33" t="n"/>
    </row>
    <row r="50257" ht="14.25" customHeight="1" s="192">
      <c r="W50257" s="231" t="n"/>
      <c r="X50257" s="231" t="n"/>
    </row>
    <row r="50258" ht="14.25" customHeight="1" s="192">
      <c r="W50258" s="33" t="n"/>
      <c r="X50258" s="33" t="n"/>
    </row>
    <row r="50260" ht="14.25" customHeight="1" s="192">
      <c r="W50260" s="231" t="n"/>
      <c r="X50260" s="231" t="n"/>
    </row>
    <row r="50261" ht="14.25" customHeight="1" s="192">
      <c r="W50261" s="235" t="n"/>
      <c r="X50261" s="235" t="n"/>
    </row>
    <row r="50262" ht="14.25" customHeight="1" s="192">
      <c r="W50262" s="228" t="n"/>
      <c r="X50262" s="228" t="n"/>
    </row>
    <row r="50263" ht="14.25" customHeight="1" s="192">
      <c r="W50263" s="235" t="n"/>
      <c r="X50263" s="235" t="n"/>
    </row>
    <row r="50264" ht="14.25" customHeight="1" s="192">
      <c r="W50264" s="235" t="n"/>
      <c r="X50264" s="235" t="n"/>
    </row>
    <row r="50265" ht="14.25" customHeight="1" s="192">
      <c r="W50265" s="235" t="n"/>
      <c r="X50265" s="235" t="n"/>
    </row>
    <row r="50266" ht="14.25" customHeight="1" s="192">
      <c r="W50266" s="239" t="n"/>
      <c r="X50266" s="239" t="n"/>
    </row>
    <row r="50267" ht="14.25" customHeight="1" s="192">
      <c r="W50267" s="239" t="n"/>
      <c r="X50267" s="239" t="n"/>
    </row>
    <row r="50268" ht="14.25" customHeight="1" s="192">
      <c r="W50268" s="239" t="n"/>
      <c r="X50268" s="239" t="n"/>
    </row>
    <row r="50269" ht="14.25" customHeight="1" s="192">
      <c r="W50269" s="235" t="n"/>
      <c r="X50269" s="235" t="n"/>
    </row>
    <row r="50270" ht="14.25" customHeight="1" s="192">
      <c r="W50270" s="235" t="n"/>
      <c r="X50270" s="235" t="n"/>
    </row>
    <row r="50271" ht="14.25" customHeight="1" s="192">
      <c r="W50271" s="235" t="n"/>
      <c r="X50271" s="235" t="n"/>
    </row>
    <row r="50272" ht="14.25" customHeight="1" s="192">
      <c r="W50272" s="239" t="n"/>
      <c r="X50272" s="239" t="n"/>
    </row>
    <row r="50273" ht="14.25" customHeight="1" s="192">
      <c r="W50273" s="239" t="n"/>
      <c r="X50273" s="239" t="n"/>
    </row>
    <row r="50274" ht="14.25" customHeight="1" s="192">
      <c r="W50274" s="235" t="n"/>
      <c r="X50274" s="235" t="n"/>
    </row>
    <row r="50275" ht="14.25" customHeight="1" s="192">
      <c r="W50275" s="235" t="n"/>
      <c r="X50275" s="235" t="n"/>
    </row>
    <row r="50276" ht="14.25" customHeight="1" s="192">
      <c r="W50276" s="239" t="n"/>
      <c r="X50276" s="239" t="n"/>
    </row>
    <row r="50277" ht="14.25" customHeight="1" s="192">
      <c r="W50277" s="235" t="n"/>
      <c r="X50277" s="235" t="n"/>
    </row>
    <row r="50278" ht="14.25" customHeight="1" s="192">
      <c r="W50278" s="239" t="n"/>
      <c r="X50278" s="239" t="n"/>
    </row>
    <row r="50280" ht="14.25" customHeight="1" s="192">
      <c r="W50280" s="235" t="n"/>
      <c r="X50280" s="235" t="n"/>
    </row>
    <row r="50281" ht="15" customHeight="1" s="192" thickBot="1">
      <c r="W50281" s="239" t="n"/>
      <c r="X50281" s="239" t="n"/>
    </row>
    <row r="50282" ht="15" customHeight="1" s="192" thickBot="1">
      <c r="W50282" s="45" t="n"/>
      <c r="X50282" s="45" t="n"/>
    </row>
    <row r="50283" ht="14.25" customHeight="1" s="192">
      <c r="W50283" s="228" t="n"/>
      <c r="X50283" s="228" t="n"/>
    </row>
    <row r="50284" ht="14.25" customHeight="1" s="192">
      <c r="W50284" s="228" t="n"/>
      <c r="X50284" s="228" t="n"/>
    </row>
    <row r="50285" ht="14.25" customHeight="1" s="192">
      <c r="W50285" s="231" t="n"/>
      <c r="X50285" s="231" t="n"/>
    </row>
    <row r="50286" ht="14.25" customHeight="1" s="192">
      <c r="W50286" s="33" t="n"/>
      <c r="X50286" s="33" t="n"/>
    </row>
    <row r="50287" ht="14.25" customHeight="1" s="192">
      <c r="W50287" s="231" t="n"/>
      <c r="X50287" s="231" t="n"/>
    </row>
    <row r="50288" ht="14.25" customHeight="1" s="192">
      <c r="W50288" s="33" t="n"/>
      <c r="X50288" s="33" t="n"/>
    </row>
    <row r="50290" ht="14.25" customHeight="1" s="192">
      <c r="W50290" s="231" t="n"/>
      <c r="X50290" s="231" t="n"/>
    </row>
    <row r="50291" ht="14.25" customHeight="1" s="192">
      <c r="W50291" s="235" t="n"/>
      <c r="X50291" s="235" t="n"/>
    </row>
    <row r="50292" ht="14.25" customHeight="1" s="192">
      <c r="W50292" s="228" t="n"/>
      <c r="X50292" s="228" t="n"/>
    </row>
    <row r="50293" ht="14.25" customHeight="1" s="192">
      <c r="W50293" s="235" t="n"/>
      <c r="X50293" s="235" t="n"/>
    </row>
    <row r="50294" ht="14.25" customHeight="1" s="192">
      <c r="W50294" s="235" t="n"/>
      <c r="X50294" s="235" t="n"/>
    </row>
    <row r="50295" ht="14.25" customHeight="1" s="192">
      <c r="W50295" s="235" t="n"/>
      <c r="X50295" s="235" t="n"/>
    </row>
    <row r="50296" ht="14.25" customHeight="1" s="192">
      <c r="W50296" s="239" t="n"/>
      <c r="X50296" s="239" t="n"/>
    </row>
    <row r="50297" ht="14.25" customHeight="1" s="192">
      <c r="W50297" s="239" t="n"/>
      <c r="X50297" s="239" t="n"/>
    </row>
    <row r="50298" ht="14.25" customHeight="1" s="192">
      <c r="W50298" s="239" t="n"/>
      <c r="X50298" s="239" t="n"/>
    </row>
    <row r="50299" ht="14.25" customHeight="1" s="192">
      <c r="W50299" s="235" t="n"/>
      <c r="X50299" s="235" t="n"/>
    </row>
    <row r="50300" ht="14.25" customHeight="1" s="192">
      <c r="W50300" s="235" t="n"/>
      <c r="X50300" s="235" t="n"/>
    </row>
    <row r="50301" ht="14.25" customHeight="1" s="192">
      <c r="W50301" s="235" t="n"/>
      <c r="X50301" s="235" t="n"/>
    </row>
    <row r="50302" ht="14.25" customHeight="1" s="192">
      <c r="W50302" s="239" t="n"/>
      <c r="X50302" s="239" t="n"/>
    </row>
    <row r="50303" ht="14.25" customHeight="1" s="192">
      <c r="W50303" s="239" t="n"/>
      <c r="X50303" s="239" t="n"/>
    </row>
    <row r="50304" ht="14.25" customHeight="1" s="192">
      <c r="W50304" s="235" t="n"/>
      <c r="X50304" s="235" t="n"/>
    </row>
    <row r="50305" ht="14.25" customHeight="1" s="192">
      <c r="W50305" s="235" t="n"/>
      <c r="X50305" s="235" t="n"/>
    </row>
    <row r="50306" ht="14.25" customHeight="1" s="192">
      <c r="W50306" s="239" t="n"/>
      <c r="X50306" s="239" t="n"/>
    </row>
    <row r="50307" ht="14.25" customHeight="1" s="192">
      <c r="W50307" s="235" t="n"/>
      <c r="X50307" s="235" t="n"/>
    </row>
    <row r="50308" ht="14.25" customHeight="1" s="192">
      <c r="W50308" s="239" t="n"/>
      <c r="X50308" s="239" t="n"/>
    </row>
    <row r="50310" ht="14.25" customHeight="1" s="192">
      <c r="W50310" s="235" t="n"/>
      <c r="X50310" s="235" t="n"/>
    </row>
    <row r="50311" ht="15" customHeight="1" s="192" thickBot="1">
      <c r="W50311" s="239" t="n"/>
      <c r="X50311" s="239" t="n"/>
    </row>
    <row r="50312" ht="15" customHeight="1" s="192" thickBot="1">
      <c r="W50312" s="45" t="n"/>
      <c r="X50312" s="45" t="n"/>
    </row>
    <row r="50313" ht="14.25" customHeight="1" s="192">
      <c r="W50313" s="228" t="n"/>
      <c r="X50313" s="228" t="n"/>
    </row>
    <row r="50314" ht="14.25" customHeight="1" s="192">
      <c r="W50314" s="228" t="n"/>
      <c r="X50314" s="228" t="n"/>
    </row>
    <row r="50315" ht="14.25" customHeight="1" s="192">
      <c r="W50315" s="231" t="n"/>
      <c r="X50315" s="231" t="n"/>
    </row>
    <row r="50316" ht="14.25" customHeight="1" s="192">
      <c r="W50316" s="33" t="n"/>
      <c r="X50316" s="33" t="n"/>
    </row>
    <row r="50317" ht="14.25" customHeight="1" s="192">
      <c r="W50317" s="231" t="n"/>
      <c r="X50317" s="231" t="n"/>
    </row>
    <row r="50318" ht="14.25" customHeight="1" s="192">
      <c r="W50318" s="33" t="n"/>
      <c r="X50318" s="33" t="n"/>
    </row>
    <row r="50320" ht="14.25" customHeight="1" s="192">
      <c r="W50320" s="231" t="n"/>
      <c r="X50320" s="231" t="n"/>
    </row>
    <row r="50321" ht="14.25" customHeight="1" s="192">
      <c r="W50321" s="235" t="n"/>
      <c r="X50321" s="235" t="n"/>
    </row>
    <row r="50322" ht="14.25" customHeight="1" s="192">
      <c r="W50322" s="228" t="n"/>
      <c r="X50322" s="228" t="n"/>
    </row>
    <row r="50323" ht="14.25" customHeight="1" s="192">
      <c r="W50323" s="235" t="n"/>
      <c r="X50323" s="235" t="n"/>
    </row>
    <row r="50324" ht="14.25" customHeight="1" s="192">
      <c r="W50324" s="235" t="n"/>
      <c r="X50324" s="235" t="n"/>
    </row>
    <row r="50325" ht="14.25" customHeight="1" s="192">
      <c r="W50325" s="235" t="n"/>
      <c r="X50325" s="235" t="n"/>
    </row>
    <row r="50326" ht="14.25" customHeight="1" s="192">
      <c r="W50326" s="239" t="n"/>
      <c r="X50326" s="239" t="n"/>
    </row>
    <row r="50327" ht="14.25" customHeight="1" s="192">
      <c r="W50327" s="239" t="n"/>
      <c r="X50327" s="239" t="n"/>
    </row>
    <row r="50328" ht="14.25" customHeight="1" s="192">
      <c r="W50328" s="239" t="n"/>
      <c r="X50328" s="239" t="n"/>
    </row>
    <row r="50329" ht="14.25" customHeight="1" s="192">
      <c r="W50329" s="235" t="n"/>
      <c r="X50329" s="235" t="n"/>
    </row>
    <row r="50330" ht="14.25" customHeight="1" s="192">
      <c r="W50330" s="235" t="n"/>
      <c r="X50330" s="235" t="n"/>
    </row>
    <row r="50331" ht="14.25" customHeight="1" s="192">
      <c r="W50331" s="235" t="n"/>
      <c r="X50331" s="235" t="n"/>
    </row>
    <row r="50332" ht="14.25" customHeight="1" s="192">
      <c r="W50332" s="239" t="n"/>
      <c r="X50332" s="239" t="n"/>
    </row>
    <row r="50333" ht="14.25" customHeight="1" s="192">
      <c r="W50333" s="239" t="n"/>
      <c r="X50333" s="239" t="n"/>
    </row>
    <row r="50334" ht="14.25" customHeight="1" s="192">
      <c r="W50334" s="235" t="n"/>
      <c r="X50334" s="235" t="n"/>
    </row>
    <row r="50335" ht="14.25" customHeight="1" s="192">
      <c r="W50335" s="235" t="n"/>
      <c r="X50335" s="235" t="n"/>
    </row>
    <row r="50336" ht="14.25" customHeight="1" s="192">
      <c r="W50336" s="239" t="n"/>
      <c r="X50336" s="239" t="n"/>
    </row>
    <row r="50337" ht="14.25" customHeight="1" s="192">
      <c r="W50337" s="235" t="n"/>
      <c r="X50337" s="235" t="n"/>
    </row>
    <row r="50338" ht="14.25" customHeight="1" s="192">
      <c r="W50338" s="239" t="n"/>
      <c r="X50338" s="239" t="n"/>
    </row>
    <row r="50340" ht="14.25" customHeight="1" s="192">
      <c r="W50340" s="235" t="n"/>
      <c r="X50340" s="235" t="n"/>
    </row>
    <row r="50341" ht="15" customHeight="1" s="192" thickBot="1">
      <c r="W50341" s="239" t="n"/>
      <c r="X50341" s="239" t="n"/>
    </row>
    <row r="50342" ht="15" customHeight="1" s="192" thickBot="1">
      <c r="W50342" s="45" t="n"/>
      <c r="X50342" s="45" t="n"/>
    </row>
    <row r="50343" ht="14.25" customHeight="1" s="192">
      <c r="W50343" s="228" t="n"/>
      <c r="X50343" s="228" t="n"/>
    </row>
    <row r="50344" ht="14.25" customHeight="1" s="192">
      <c r="W50344" s="228" t="n"/>
      <c r="X50344" s="228" t="n"/>
    </row>
    <row r="50345" ht="14.25" customHeight="1" s="192">
      <c r="W50345" s="231" t="n"/>
      <c r="X50345" s="231" t="n"/>
    </row>
    <row r="50346" ht="14.25" customHeight="1" s="192">
      <c r="W50346" s="33" t="n"/>
      <c r="X50346" s="33" t="n"/>
    </row>
    <row r="50347" ht="14.25" customHeight="1" s="192">
      <c r="W50347" s="231" t="n"/>
      <c r="X50347" s="231" t="n"/>
    </row>
    <row r="50348" ht="14.25" customHeight="1" s="192">
      <c r="W50348" s="33" t="n"/>
      <c r="X50348" s="33" t="n"/>
    </row>
    <row r="50350" ht="14.25" customHeight="1" s="192">
      <c r="W50350" s="231" t="n"/>
      <c r="X50350" s="231" t="n"/>
    </row>
    <row r="50351" ht="14.25" customHeight="1" s="192">
      <c r="W50351" s="235" t="n"/>
      <c r="X50351" s="235" t="n"/>
    </row>
    <row r="50352" ht="14.25" customHeight="1" s="192">
      <c r="W50352" s="228" t="n"/>
      <c r="X50352" s="228" t="n"/>
    </row>
    <row r="50353" ht="14.25" customHeight="1" s="192">
      <c r="W50353" s="235" t="n"/>
      <c r="X50353" s="235" t="n"/>
    </row>
    <row r="50354" ht="14.25" customHeight="1" s="192">
      <c r="W50354" s="235" t="n"/>
      <c r="X50354" s="235" t="n"/>
    </row>
    <row r="50355" ht="14.25" customHeight="1" s="192">
      <c r="W50355" s="235" t="n"/>
      <c r="X50355" s="235" t="n"/>
    </row>
    <row r="50356" ht="14.25" customHeight="1" s="192">
      <c r="W50356" s="239" t="n"/>
      <c r="X50356" s="239" t="n"/>
    </row>
    <row r="50357" ht="14.25" customHeight="1" s="192">
      <c r="W50357" s="239" t="n"/>
      <c r="X50357" s="239" t="n"/>
    </row>
    <row r="50358" ht="14.25" customHeight="1" s="192">
      <c r="W50358" s="239" t="n"/>
      <c r="X50358" s="239" t="n"/>
    </row>
    <row r="50359" ht="14.25" customHeight="1" s="192">
      <c r="W50359" s="235" t="n"/>
      <c r="X50359" s="235" t="n"/>
    </row>
    <row r="50360" ht="14.25" customHeight="1" s="192">
      <c r="W50360" s="235" t="n"/>
      <c r="X50360" s="235" t="n"/>
    </row>
    <row r="50361" ht="14.25" customHeight="1" s="192">
      <c r="W50361" s="235" t="n"/>
      <c r="X50361" s="235" t="n"/>
    </row>
    <row r="50362" ht="14.25" customHeight="1" s="192">
      <c r="W50362" s="239" t="n"/>
      <c r="X50362" s="239" t="n"/>
    </row>
    <row r="50363" ht="14.25" customHeight="1" s="192">
      <c r="W50363" s="239" t="n"/>
      <c r="X50363" s="239" t="n"/>
    </row>
    <row r="50364" ht="14.25" customHeight="1" s="192">
      <c r="W50364" s="235" t="n"/>
      <c r="X50364" s="235" t="n"/>
    </row>
    <row r="50365" ht="14.25" customHeight="1" s="192">
      <c r="W50365" s="235" t="n"/>
      <c r="X50365" s="235" t="n"/>
    </row>
    <row r="50366" ht="14.25" customHeight="1" s="192">
      <c r="W50366" s="239" t="n"/>
      <c r="X50366" s="239" t="n"/>
    </row>
    <row r="50367" ht="14.25" customHeight="1" s="192">
      <c r="W50367" s="235" t="n"/>
      <c r="X50367" s="235" t="n"/>
    </row>
    <row r="50368" ht="14.25" customHeight="1" s="192">
      <c r="W50368" s="239" t="n"/>
      <c r="X50368" s="239" t="n"/>
    </row>
    <row r="50370" ht="14.25" customHeight="1" s="192">
      <c r="W50370" s="235" t="n"/>
      <c r="X50370" s="235" t="n"/>
    </row>
    <row r="50371" ht="15" customHeight="1" s="192" thickBot="1">
      <c r="W50371" s="239" t="n"/>
      <c r="X50371" s="239" t="n"/>
    </row>
    <row r="50372" ht="15" customHeight="1" s="192" thickBot="1">
      <c r="W50372" s="45" t="n"/>
      <c r="X50372" s="45" t="n"/>
    </row>
    <row r="50373" ht="14.25" customHeight="1" s="192">
      <c r="W50373" s="228" t="n"/>
      <c r="X50373" s="228" t="n"/>
    </row>
    <row r="50374" ht="14.25" customHeight="1" s="192">
      <c r="W50374" s="228" t="n"/>
      <c r="X50374" s="228" t="n"/>
    </row>
    <row r="50375" ht="14.25" customHeight="1" s="192">
      <c r="W50375" s="231" t="n"/>
      <c r="X50375" s="231" t="n"/>
    </row>
    <row r="50376" ht="14.25" customHeight="1" s="192">
      <c r="W50376" s="33" t="n"/>
      <c r="X50376" s="33" t="n"/>
    </row>
    <row r="50377" ht="14.25" customHeight="1" s="192">
      <c r="W50377" s="231" t="n"/>
      <c r="X50377" s="231" t="n"/>
    </row>
    <row r="50378" ht="14.25" customHeight="1" s="192">
      <c r="W50378" s="33" t="n"/>
      <c r="X50378" s="33" t="n"/>
    </row>
    <row r="50380" ht="14.25" customHeight="1" s="192">
      <c r="W50380" s="231" t="n"/>
      <c r="X50380" s="231" t="n"/>
    </row>
    <row r="50381" ht="14.25" customHeight="1" s="192">
      <c r="W50381" s="235" t="n"/>
      <c r="X50381" s="235" t="n"/>
    </row>
    <row r="50382" ht="14.25" customHeight="1" s="192">
      <c r="W50382" s="228" t="n"/>
      <c r="X50382" s="228" t="n"/>
    </row>
    <row r="50383" ht="14.25" customHeight="1" s="192">
      <c r="W50383" s="235" t="n"/>
      <c r="X50383" s="235" t="n"/>
    </row>
    <row r="50384" ht="14.25" customHeight="1" s="192">
      <c r="W50384" s="235" t="n"/>
      <c r="X50384" s="235" t="n"/>
    </row>
    <row r="50385" ht="14.25" customHeight="1" s="192">
      <c r="W50385" s="235" t="n"/>
      <c r="X50385" s="235" t="n"/>
    </row>
    <row r="50386" ht="14.25" customHeight="1" s="192">
      <c r="W50386" s="239" t="n"/>
      <c r="X50386" s="239" t="n"/>
    </row>
    <row r="50387" ht="14.25" customHeight="1" s="192">
      <c r="W50387" s="239" t="n"/>
      <c r="X50387" s="239" t="n"/>
    </row>
    <row r="50388" ht="14.25" customHeight="1" s="192">
      <c r="W50388" s="239" t="n"/>
      <c r="X50388" s="239" t="n"/>
    </row>
    <row r="50389" ht="14.25" customHeight="1" s="192">
      <c r="W50389" s="235" t="n"/>
      <c r="X50389" s="235" t="n"/>
    </row>
    <row r="50390" ht="14.25" customHeight="1" s="192">
      <c r="W50390" s="235" t="n"/>
      <c r="X50390" s="235" t="n"/>
    </row>
    <row r="50391" ht="14.25" customHeight="1" s="192">
      <c r="W50391" s="235" t="n"/>
      <c r="X50391" s="235" t="n"/>
    </row>
    <row r="50392" ht="14.25" customHeight="1" s="192">
      <c r="W50392" s="239" t="n"/>
      <c r="X50392" s="239" t="n"/>
    </row>
    <row r="50393" ht="14.25" customHeight="1" s="192">
      <c r="W50393" s="239" t="n"/>
      <c r="X50393" s="239" t="n"/>
    </row>
    <row r="50394" ht="14.25" customHeight="1" s="192">
      <c r="W50394" s="235" t="n"/>
      <c r="X50394" s="235" t="n"/>
    </row>
    <row r="50395" ht="14.25" customHeight="1" s="192">
      <c r="W50395" s="235" t="n"/>
      <c r="X50395" s="235" t="n"/>
    </row>
    <row r="50396" ht="14.25" customHeight="1" s="192">
      <c r="W50396" s="239" t="n"/>
      <c r="X50396" s="239" t="n"/>
    </row>
    <row r="50397" ht="14.25" customHeight="1" s="192">
      <c r="W50397" s="235" t="n"/>
      <c r="X50397" s="235" t="n"/>
    </row>
    <row r="50398" ht="14.25" customHeight="1" s="192">
      <c r="W50398" s="239" t="n"/>
      <c r="X50398" s="239" t="n"/>
    </row>
    <row r="50400" ht="14.25" customHeight="1" s="192">
      <c r="W50400" s="235" t="n"/>
      <c r="X50400" s="235" t="n"/>
    </row>
    <row r="50401" ht="15" customHeight="1" s="192" thickBot="1">
      <c r="W50401" s="239" t="n"/>
      <c r="X50401" s="239" t="n"/>
    </row>
    <row r="50402" ht="15" customHeight="1" s="192" thickBot="1">
      <c r="W50402" s="45" t="n"/>
      <c r="X50402" s="45" t="n"/>
    </row>
    <row r="50403" ht="14.25" customHeight="1" s="192">
      <c r="W50403" s="228" t="n"/>
      <c r="X50403" s="228" t="n"/>
    </row>
    <row r="50404" ht="14.25" customHeight="1" s="192">
      <c r="W50404" s="228" t="n"/>
      <c r="X50404" s="228" t="n"/>
    </row>
    <row r="50405" ht="14.25" customHeight="1" s="192">
      <c r="W50405" s="231" t="n"/>
      <c r="X50405" s="231" t="n"/>
    </row>
    <row r="50406" ht="14.25" customHeight="1" s="192">
      <c r="W50406" s="33" t="n"/>
      <c r="X50406" s="33" t="n"/>
    </row>
    <row r="50407" ht="14.25" customHeight="1" s="192">
      <c r="W50407" s="231" t="n"/>
      <c r="X50407" s="231" t="n"/>
    </row>
    <row r="50408" ht="14.25" customHeight="1" s="192">
      <c r="W50408" s="33" t="n"/>
      <c r="X50408" s="33" t="n"/>
    </row>
    <row r="50410" ht="14.25" customHeight="1" s="192">
      <c r="W50410" s="231" t="n"/>
      <c r="X50410" s="231" t="n"/>
    </row>
    <row r="50411" ht="14.25" customHeight="1" s="192">
      <c r="W50411" s="235" t="n"/>
      <c r="X50411" s="235" t="n"/>
    </row>
    <row r="50412" ht="14.25" customHeight="1" s="192">
      <c r="W50412" s="228" t="n"/>
      <c r="X50412" s="228" t="n"/>
    </row>
    <row r="50413" ht="14.25" customHeight="1" s="192">
      <c r="W50413" s="235" t="n"/>
      <c r="X50413" s="235" t="n"/>
    </row>
    <row r="50414" ht="14.25" customHeight="1" s="192">
      <c r="W50414" s="235" t="n"/>
      <c r="X50414" s="235" t="n"/>
    </row>
    <row r="50415" ht="14.25" customHeight="1" s="192">
      <c r="W50415" s="235" t="n"/>
      <c r="X50415" s="235" t="n"/>
    </row>
    <row r="50416" ht="14.25" customHeight="1" s="192">
      <c r="W50416" s="239" t="n"/>
      <c r="X50416" s="239" t="n"/>
    </row>
    <row r="50417" ht="14.25" customHeight="1" s="192">
      <c r="W50417" s="239" t="n"/>
      <c r="X50417" s="239" t="n"/>
    </row>
    <row r="50418" ht="14.25" customHeight="1" s="192">
      <c r="W50418" s="239" t="n"/>
      <c r="X50418" s="239" t="n"/>
    </row>
    <row r="50419" ht="14.25" customHeight="1" s="192">
      <c r="W50419" s="235" t="n"/>
      <c r="X50419" s="235" t="n"/>
    </row>
    <row r="50420" ht="14.25" customHeight="1" s="192">
      <c r="W50420" s="235" t="n"/>
      <c r="X50420" s="235" t="n"/>
    </row>
    <row r="50421" ht="14.25" customHeight="1" s="192">
      <c r="W50421" s="235" t="n"/>
      <c r="X50421" s="235" t="n"/>
    </row>
    <row r="50422" ht="14.25" customHeight="1" s="192">
      <c r="W50422" s="239" t="n"/>
      <c r="X50422" s="239" t="n"/>
    </row>
    <row r="50423" ht="14.25" customHeight="1" s="192">
      <c r="W50423" s="239" t="n"/>
      <c r="X50423" s="239" t="n"/>
    </row>
    <row r="50424" ht="14.25" customHeight="1" s="192">
      <c r="W50424" s="235" t="n"/>
      <c r="X50424" s="235" t="n"/>
    </row>
    <row r="50425" ht="14.25" customHeight="1" s="192">
      <c r="W50425" s="235" t="n"/>
      <c r="X50425" s="235" t="n"/>
    </row>
    <row r="50426" ht="14.25" customHeight="1" s="192">
      <c r="W50426" s="239" t="n"/>
      <c r="X50426" s="239" t="n"/>
    </row>
    <row r="50427" ht="14.25" customHeight="1" s="192">
      <c r="W50427" s="235" t="n"/>
      <c r="X50427" s="235" t="n"/>
    </row>
    <row r="50428" ht="14.25" customHeight="1" s="192">
      <c r="W50428" s="239" t="n"/>
      <c r="X50428" s="239" t="n"/>
    </row>
    <row r="50430" ht="14.25" customHeight="1" s="192">
      <c r="W50430" s="235" t="n"/>
      <c r="X50430" s="235" t="n"/>
    </row>
    <row r="50431" ht="15" customHeight="1" s="192" thickBot="1">
      <c r="W50431" s="239" t="n"/>
      <c r="X50431" s="239" t="n"/>
    </row>
    <row r="50432" ht="15" customHeight="1" s="192" thickBot="1">
      <c r="W50432" s="45" t="n"/>
      <c r="X50432" s="45" t="n"/>
    </row>
    <row r="50433" ht="14.25" customHeight="1" s="192">
      <c r="W50433" s="228" t="n"/>
      <c r="X50433" s="228" t="n"/>
    </row>
    <row r="50434" ht="14.25" customHeight="1" s="192">
      <c r="W50434" s="228" t="n"/>
      <c r="X50434" s="228" t="n"/>
    </row>
    <row r="50435" ht="14.25" customHeight="1" s="192">
      <c r="W50435" s="231" t="n"/>
      <c r="X50435" s="231" t="n"/>
    </row>
    <row r="50436" ht="14.25" customHeight="1" s="192">
      <c r="W50436" s="33" t="n"/>
      <c r="X50436" s="33" t="n"/>
    </row>
    <row r="50437" ht="14.25" customHeight="1" s="192">
      <c r="W50437" s="231" t="n"/>
      <c r="X50437" s="231" t="n"/>
    </row>
    <row r="50438" ht="14.25" customHeight="1" s="192">
      <c r="W50438" s="33" t="n"/>
      <c r="X50438" s="33" t="n"/>
    </row>
    <row r="50440" ht="14.25" customHeight="1" s="192">
      <c r="W50440" s="231" t="n"/>
      <c r="X50440" s="231" t="n"/>
    </row>
    <row r="50441" ht="14.25" customHeight="1" s="192">
      <c r="W50441" s="235" t="n"/>
      <c r="X50441" s="235" t="n"/>
    </row>
    <row r="50442" ht="14.25" customHeight="1" s="192">
      <c r="W50442" s="228" t="n"/>
      <c r="X50442" s="228" t="n"/>
    </row>
    <row r="50443" ht="14.25" customHeight="1" s="192">
      <c r="W50443" s="235" t="n"/>
      <c r="X50443" s="235" t="n"/>
    </row>
    <row r="50444" ht="14.25" customHeight="1" s="192">
      <c r="W50444" s="235" t="n"/>
      <c r="X50444" s="235" t="n"/>
    </row>
    <row r="50445" ht="14.25" customHeight="1" s="192">
      <c r="W50445" s="235" t="n"/>
      <c r="X50445" s="235" t="n"/>
    </row>
    <row r="50446" ht="14.25" customHeight="1" s="192">
      <c r="W50446" s="239" t="n"/>
      <c r="X50446" s="239" t="n"/>
    </row>
    <row r="50447" ht="14.25" customHeight="1" s="192">
      <c r="W50447" s="239" t="n"/>
      <c r="X50447" s="239" t="n"/>
    </row>
    <row r="50448" ht="14.25" customHeight="1" s="192">
      <c r="W50448" s="239" t="n"/>
      <c r="X50448" s="239" t="n"/>
    </row>
    <row r="50449" ht="14.25" customHeight="1" s="192">
      <c r="W50449" s="235" t="n"/>
      <c r="X50449" s="235" t="n"/>
    </row>
    <row r="50450" ht="14.25" customHeight="1" s="192">
      <c r="W50450" s="235" t="n"/>
      <c r="X50450" s="235" t="n"/>
    </row>
    <row r="50451" ht="14.25" customHeight="1" s="192">
      <c r="W50451" s="235" t="n"/>
      <c r="X50451" s="235" t="n"/>
    </row>
    <row r="50452" ht="14.25" customHeight="1" s="192">
      <c r="W50452" s="239" t="n"/>
      <c r="X50452" s="239" t="n"/>
    </row>
    <row r="50453" ht="14.25" customHeight="1" s="192">
      <c r="W50453" s="239" t="n"/>
      <c r="X50453" s="239" t="n"/>
    </row>
    <row r="50454" ht="14.25" customHeight="1" s="192">
      <c r="W50454" s="235" t="n"/>
      <c r="X50454" s="235" t="n"/>
    </row>
    <row r="50455" ht="14.25" customHeight="1" s="192">
      <c r="W50455" s="235" t="n"/>
      <c r="X50455" s="235" t="n"/>
    </row>
    <row r="50456" ht="14.25" customHeight="1" s="192">
      <c r="W50456" s="239" t="n"/>
      <c r="X50456" s="239" t="n"/>
    </row>
    <row r="50457" ht="14.25" customHeight="1" s="192">
      <c r="W50457" s="235" t="n"/>
      <c r="X50457" s="235" t="n"/>
    </row>
    <row r="50458" ht="14.25" customHeight="1" s="192">
      <c r="W50458" s="239" t="n"/>
      <c r="X50458" s="239" t="n"/>
    </row>
    <row r="50460" ht="14.25" customHeight="1" s="192">
      <c r="W50460" s="235" t="n"/>
      <c r="X50460" s="235" t="n"/>
    </row>
    <row r="50461" ht="15" customHeight="1" s="192" thickBot="1">
      <c r="W50461" s="239" t="n"/>
      <c r="X50461" s="239" t="n"/>
    </row>
    <row r="50462" ht="15" customHeight="1" s="192" thickBot="1">
      <c r="W50462" s="45" t="n"/>
      <c r="X50462" s="45" t="n"/>
    </row>
    <row r="50463" ht="14.25" customHeight="1" s="192">
      <c r="W50463" s="228" t="n"/>
      <c r="X50463" s="228" t="n"/>
    </row>
    <row r="50464" ht="14.25" customHeight="1" s="192">
      <c r="W50464" s="228" t="n"/>
      <c r="X50464" s="228" t="n"/>
    </row>
    <row r="50465" ht="14.25" customHeight="1" s="192">
      <c r="W50465" s="231" t="n"/>
      <c r="X50465" s="231" t="n"/>
    </row>
    <row r="50466" ht="14.25" customHeight="1" s="192">
      <c r="W50466" s="33" t="n"/>
      <c r="X50466" s="33" t="n"/>
    </row>
    <row r="50467" ht="14.25" customHeight="1" s="192">
      <c r="W50467" s="231" t="n"/>
      <c r="X50467" s="231" t="n"/>
    </row>
    <row r="50468" ht="14.25" customHeight="1" s="192">
      <c r="W50468" s="33" t="n"/>
      <c r="X50468" s="33" t="n"/>
    </row>
    <row r="50470" ht="14.25" customHeight="1" s="192">
      <c r="W50470" s="231" t="n"/>
      <c r="X50470" s="231" t="n"/>
    </row>
    <row r="50471" ht="14.25" customHeight="1" s="192">
      <c r="W50471" s="235" t="n"/>
      <c r="X50471" s="235" t="n"/>
    </row>
    <row r="50472" ht="14.25" customHeight="1" s="192">
      <c r="W50472" s="228" t="n"/>
      <c r="X50472" s="228" t="n"/>
    </row>
    <row r="50473" ht="14.25" customHeight="1" s="192">
      <c r="W50473" s="235" t="n"/>
      <c r="X50473" s="235" t="n"/>
    </row>
    <row r="50474" ht="14.25" customHeight="1" s="192">
      <c r="W50474" s="235" t="n"/>
      <c r="X50474" s="235" t="n"/>
    </row>
    <row r="50475" ht="14.25" customHeight="1" s="192">
      <c r="W50475" s="235" t="n"/>
      <c r="X50475" s="235" t="n"/>
    </row>
    <row r="50476" ht="14.25" customHeight="1" s="192">
      <c r="W50476" s="239" t="n"/>
      <c r="X50476" s="239" t="n"/>
    </row>
    <row r="50477" ht="14.25" customHeight="1" s="192">
      <c r="W50477" s="239" t="n"/>
      <c r="X50477" s="239" t="n"/>
    </row>
    <row r="50478" ht="14.25" customHeight="1" s="192">
      <c r="W50478" s="239" t="n"/>
      <c r="X50478" s="239" t="n"/>
    </row>
    <row r="50479" ht="14.25" customHeight="1" s="192">
      <c r="W50479" s="235" t="n"/>
      <c r="X50479" s="235" t="n"/>
    </row>
    <row r="50480" ht="14.25" customHeight="1" s="192">
      <c r="W50480" s="235" t="n"/>
      <c r="X50480" s="235" t="n"/>
    </row>
    <row r="50481" ht="14.25" customHeight="1" s="192">
      <c r="W50481" s="235" t="n"/>
      <c r="X50481" s="235" t="n"/>
    </row>
    <row r="50482" ht="14.25" customHeight="1" s="192">
      <c r="W50482" s="239" t="n"/>
      <c r="X50482" s="239" t="n"/>
    </row>
    <row r="50483" ht="14.25" customHeight="1" s="192">
      <c r="W50483" s="239" t="n"/>
      <c r="X50483" s="239" t="n"/>
    </row>
    <row r="50484" ht="14.25" customHeight="1" s="192">
      <c r="W50484" s="235" t="n"/>
      <c r="X50484" s="235" t="n"/>
    </row>
    <row r="50485" ht="14.25" customHeight="1" s="192">
      <c r="W50485" s="235" t="n"/>
      <c r="X50485" s="235" t="n"/>
    </row>
    <row r="50486" ht="14.25" customHeight="1" s="192">
      <c r="W50486" s="239" t="n"/>
      <c r="X50486" s="239" t="n"/>
    </row>
    <row r="50487" ht="14.25" customHeight="1" s="192">
      <c r="W50487" s="235" t="n"/>
      <c r="X50487" s="235" t="n"/>
    </row>
    <row r="50488" ht="14.25" customHeight="1" s="192">
      <c r="W50488" s="239" t="n"/>
      <c r="X50488" s="239" t="n"/>
    </row>
    <row r="50490" ht="14.25" customHeight="1" s="192">
      <c r="W50490" s="235" t="n"/>
      <c r="X50490" s="235" t="n"/>
    </row>
    <row r="50491" ht="15" customHeight="1" s="192" thickBot="1">
      <c r="W50491" s="239" t="n"/>
      <c r="X50491" s="239" t="n"/>
    </row>
    <row r="50492" ht="15" customHeight="1" s="192" thickBot="1">
      <c r="W50492" s="45" t="n"/>
      <c r="X50492" s="45" t="n"/>
    </row>
    <row r="50493" ht="14.25" customHeight="1" s="192">
      <c r="W50493" s="228" t="n"/>
      <c r="X50493" s="228" t="n"/>
    </row>
    <row r="50494" ht="14.25" customHeight="1" s="192">
      <c r="W50494" s="228" t="n"/>
      <c r="X50494" s="228" t="n"/>
    </row>
    <row r="50495" ht="14.25" customHeight="1" s="192">
      <c r="W50495" s="231" t="n"/>
      <c r="X50495" s="231" t="n"/>
    </row>
    <row r="50496" ht="14.25" customHeight="1" s="192">
      <c r="W50496" s="33" t="n"/>
      <c r="X50496" s="33" t="n"/>
    </row>
    <row r="50497" ht="14.25" customHeight="1" s="192">
      <c r="W50497" s="231" t="n"/>
      <c r="X50497" s="231" t="n"/>
    </row>
    <row r="50498" ht="14.25" customHeight="1" s="192">
      <c r="W50498" s="33" t="n"/>
      <c r="X50498" s="33" t="n"/>
    </row>
    <row r="50500" ht="14.25" customHeight="1" s="192">
      <c r="W50500" s="231" t="n"/>
      <c r="X50500" s="231" t="n"/>
    </row>
    <row r="50501" ht="14.25" customHeight="1" s="192">
      <c r="W50501" s="235" t="n"/>
      <c r="X50501" s="235" t="n"/>
    </row>
    <row r="50502" ht="14.25" customHeight="1" s="192">
      <c r="W50502" s="228" t="n"/>
      <c r="X50502" s="228" t="n"/>
    </row>
    <row r="50503" ht="14.25" customHeight="1" s="192">
      <c r="W50503" s="235" t="n"/>
      <c r="X50503" s="235" t="n"/>
    </row>
    <row r="50504" ht="14.25" customHeight="1" s="192">
      <c r="W50504" s="235" t="n"/>
      <c r="X50504" s="235" t="n"/>
    </row>
    <row r="50505" ht="14.25" customHeight="1" s="192">
      <c r="W50505" s="235" t="n"/>
      <c r="X50505" s="235" t="n"/>
    </row>
    <row r="50506" ht="14.25" customHeight="1" s="192">
      <c r="W50506" s="239" t="n"/>
      <c r="X50506" s="239" t="n"/>
    </row>
    <row r="50507" ht="14.25" customHeight="1" s="192">
      <c r="W50507" s="239" t="n"/>
      <c r="X50507" s="239" t="n"/>
    </row>
    <row r="50508" ht="14.25" customHeight="1" s="192">
      <c r="W50508" s="239" t="n"/>
      <c r="X50508" s="239" t="n"/>
    </row>
    <row r="50509" ht="14.25" customHeight="1" s="192">
      <c r="W50509" s="235" t="n"/>
      <c r="X50509" s="235" t="n"/>
    </row>
    <row r="50510" ht="14.25" customHeight="1" s="192">
      <c r="W50510" s="235" t="n"/>
      <c r="X50510" s="235" t="n"/>
    </row>
    <row r="50511" ht="14.25" customHeight="1" s="192">
      <c r="W50511" s="235" t="n"/>
      <c r="X50511" s="235" t="n"/>
    </row>
    <row r="50512" ht="14.25" customHeight="1" s="192">
      <c r="W50512" s="239" t="n"/>
      <c r="X50512" s="239" t="n"/>
    </row>
    <row r="50513" ht="14.25" customHeight="1" s="192">
      <c r="W50513" s="239" t="n"/>
      <c r="X50513" s="239" t="n"/>
    </row>
    <row r="50514" ht="14.25" customHeight="1" s="192">
      <c r="W50514" s="235" t="n"/>
      <c r="X50514" s="235" t="n"/>
    </row>
    <row r="50515" ht="14.25" customHeight="1" s="192">
      <c r="W50515" s="235" t="n"/>
      <c r="X50515" s="235" t="n"/>
    </row>
    <row r="50516" ht="14.25" customHeight="1" s="192">
      <c r="W50516" s="239" t="n"/>
      <c r="X50516" s="239" t="n"/>
    </row>
    <row r="50517" ht="14.25" customHeight="1" s="192">
      <c r="W50517" s="235" t="n"/>
      <c r="X50517" s="235" t="n"/>
    </row>
    <row r="50518" ht="14.25" customHeight="1" s="192">
      <c r="W50518" s="239" t="n"/>
      <c r="X50518" s="239" t="n"/>
    </row>
    <row r="50520" ht="14.25" customHeight="1" s="192">
      <c r="W50520" s="235" t="n"/>
      <c r="X50520" s="235" t="n"/>
    </row>
    <row r="50521" ht="15" customHeight="1" s="192" thickBot="1">
      <c r="W50521" s="239" t="n"/>
      <c r="X50521" s="239" t="n"/>
    </row>
    <row r="50522" ht="15" customHeight="1" s="192" thickBot="1">
      <c r="W50522" s="45" t="n"/>
      <c r="X50522" s="45" t="n"/>
    </row>
    <row r="50523" ht="14.25" customHeight="1" s="192">
      <c r="W50523" s="228" t="n"/>
      <c r="X50523" s="228" t="n"/>
    </row>
    <row r="50524" ht="14.25" customHeight="1" s="192">
      <c r="W50524" s="228" t="n"/>
      <c r="X50524" s="228" t="n"/>
    </row>
    <row r="50525" ht="14.25" customHeight="1" s="192">
      <c r="W50525" s="231" t="n"/>
      <c r="X50525" s="231" t="n"/>
    </row>
    <row r="50526" ht="14.25" customHeight="1" s="192">
      <c r="W50526" s="33" t="n"/>
      <c r="X50526" s="33" t="n"/>
    </row>
    <row r="50527" ht="14.25" customHeight="1" s="192">
      <c r="W50527" s="231" t="n"/>
      <c r="X50527" s="231" t="n"/>
    </row>
    <row r="50528" ht="14.25" customHeight="1" s="192">
      <c r="W50528" s="33" t="n"/>
      <c r="X50528" s="33" t="n"/>
    </row>
    <row r="50530" ht="14.25" customHeight="1" s="192">
      <c r="W50530" s="231" t="n"/>
      <c r="X50530" s="231" t="n"/>
    </row>
    <row r="50531" ht="14.25" customHeight="1" s="192">
      <c r="W50531" s="235" t="n"/>
      <c r="X50531" s="235" t="n"/>
    </row>
    <row r="50532" ht="14.25" customHeight="1" s="192">
      <c r="W50532" s="228" t="n"/>
      <c r="X50532" s="228" t="n"/>
    </row>
    <row r="50533" ht="14.25" customHeight="1" s="192">
      <c r="W50533" s="235" t="n"/>
      <c r="X50533" s="235" t="n"/>
    </row>
    <row r="50534" ht="14.25" customHeight="1" s="192">
      <c r="W50534" s="235" t="n"/>
      <c r="X50534" s="235" t="n"/>
    </row>
    <row r="50535" ht="14.25" customHeight="1" s="192">
      <c r="W50535" s="235" t="n"/>
      <c r="X50535" s="235" t="n"/>
    </row>
    <row r="50536" ht="14.25" customHeight="1" s="192">
      <c r="W50536" s="239" t="n"/>
      <c r="X50536" s="239" t="n"/>
    </row>
    <row r="50537" ht="14.25" customHeight="1" s="192">
      <c r="W50537" s="239" t="n"/>
      <c r="X50537" s="239" t="n"/>
    </row>
    <row r="50538" ht="14.25" customHeight="1" s="192">
      <c r="W50538" s="239" t="n"/>
      <c r="X50538" s="239" t="n"/>
    </row>
    <row r="50539" ht="14.25" customHeight="1" s="192">
      <c r="W50539" s="235" t="n"/>
      <c r="X50539" s="235" t="n"/>
    </row>
    <row r="50540" ht="14.25" customHeight="1" s="192">
      <c r="W50540" s="235" t="n"/>
      <c r="X50540" s="235" t="n"/>
    </row>
    <row r="50541" ht="14.25" customHeight="1" s="192">
      <c r="W50541" s="235" t="n"/>
      <c r="X50541" s="235" t="n"/>
    </row>
    <row r="50542" ht="14.25" customHeight="1" s="192">
      <c r="W50542" s="239" t="n"/>
      <c r="X50542" s="239" t="n"/>
    </row>
    <row r="50543" ht="14.25" customHeight="1" s="192">
      <c r="W50543" s="239" t="n"/>
      <c r="X50543" s="239" t="n"/>
    </row>
    <row r="50544" ht="14.25" customHeight="1" s="192">
      <c r="W50544" s="235" t="n"/>
      <c r="X50544" s="235" t="n"/>
    </row>
    <row r="50545" ht="14.25" customHeight="1" s="192">
      <c r="W50545" s="235" t="n"/>
      <c r="X50545" s="235" t="n"/>
    </row>
    <row r="50546" ht="14.25" customHeight="1" s="192">
      <c r="W50546" s="239" t="n"/>
      <c r="X50546" s="239" t="n"/>
    </row>
    <row r="50547" ht="14.25" customHeight="1" s="192">
      <c r="W50547" s="235" t="n"/>
      <c r="X50547" s="235" t="n"/>
    </row>
    <row r="50548" ht="14.25" customHeight="1" s="192">
      <c r="W50548" s="239" t="n"/>
      <c r="X50548" s="239" t="n"/>
    </row>
    <row r="50550" ht="14.25" customHeight="1" s="192">
      <c r="W50550" s="235" t="n"/>
      <c r="X50550" s="235" t="n"/>
    </row>
    <row r="50551" ht="15" customHeight="1" s="192" thickBot="1">
      <c r="W50551" s="239" t="n"/>
      <c r="X50551" s="239" t="n"/>
    </row>
    <row r="50552" ht="15" customHeight="1" s="192" thickBot="1">
      <c r="W50552" s="45" t="n"/>
      <c r="X50552" s="45" t="n"/>
    </row>
    <row r="50553" ht="14.25" customHeight="1" s="192">
      <c r="W50553" s="228" t="n"/>
      <c r="X50553" s="228" t="n"/>
    </row>
    <row r="50554" ht="14.25" customHeight="1" s="192">
      <c r="W50554" s="228" t="n"/>
      <c r="X50554" s="228" t="n"/>
    </row>
    <row r="50555" ht="14.25" customHeight="1" s="192">
      <c r="W50555" s="231" t="n"/>
      <c r="X50555" s="231" t="n"/>
    </row>
    <row r="50556" ht="14.25" customHeight="1" s="192">
      <c r="W50556" s="33" t="n"/>
      <c r="X50556" s="33" t="n"/>
    </row>
    <row r="50557" ht="14.25" customHeight="1" s="192">
      <c r="W50557" s="231" t="n"/>
      <c r="X50557" s="231" t="n"/>
    </row>
    <row r="50558" ht="14.25" customHeight="1" s="192">
      <c r="W50558" s="33" t="n"/>
      <c r="X50558" s="33" t="n"/>
    </row>
    <row r="50560" ht="14.25" customHeight="1" s="192">
      <c r="W50560" s="231" t="n"/>
      <c r="X50560" s="231" t="n"/>
    </row>
    <row r="50561" ht="14.25" customHeight="1" s="192">
      <c r="W50561" s="235" t="n"/>
      <c r="X50561" s="235" t="n"/>
    </row>
    <row r="50562" ht="14.25" customHeight="1" s="192">
      <c r="W50562" s="228" t="n"/>
      <c r="X50562" s="228" t="n"/>
    </row>
    <row r="50563" ht="14.25" customHeight="1" s="192">
      <c r="W50563" s="235" t="n"/>
      <c r="X50563" s="235" t="n"/>
    </row>
    <row r="50564" ht="14.25" customHeight="1" s="192">
      <c r="W50564" s="235" t="n"/>
      <c r="X50564" s="235" t="n"/>
    </row>
    <row r="50565" ht="14.25" customHeight="1" s="192">
      <c r="W50565" s="235" t="n"/>
      <c r="X50565" s="235" t="n"/>
    </row>
    <row r="50566" ht="14.25" customHeight="1" s="192">
      <c r="W50566" s="239" t="n"/>
      <c r="X50566" s="239" t="n"/>
    </row>
    <row r="50567" ht="14.25" customHeight="1" s="192">
      <c r="W50567" s="239" t="n"/>
      <c r="X50567" s="239" t="n"/>
    </row>
    <row r="50568" ht="14.25" customHeight="1" s="192">
      <c r="W50568" s="239" t="n"/>
      <c r="X50568" s="239" t="n"/>
    </row>
    <row r="50569" ht="14.25" customHeight="1" s="192">
      <c r="W50569" s="235" t="n"/>
      <c r="X50569" s="235" t="n"/>
    </row>
    <row r="50570" ht="14.25" customHeight="1" s="192">
      <c r="W50570" s="235" t="n"/>
      <c r="X50570" s="235" t="n"/>
    </row>
    <row r="50571" ht="14.25" customHeight="1" s="192">
      <c r="W50571" s="235" t="n"/>
      <c r="X50571" s="235" t="n"/>
    </row>
    <row r="50572" ht="14.25" customHeight="1" s="192">
      <c r="W50572" s="239" t="n"/>
      <c r="X50572" s="239" t="n"/>
    </row>
    <row r="50573" ht="14.25" customHeight="1" s="192">
      <c r="W50573" s="239" t="n"/>
      <c r="X50573" s="239" t="n"/>
    </row>
    <row r="50574" ht="14.25" customHeight="1" s="192">
      <c r="W50574" s="235" t="n"/>
      <c r="X50574" s="235" t="n"/>
    </row>
    <row r="50575" ht="14.25" customHeight="1" s="192">
      <c r="W50575" s="235" t="n"/>
      <c r="X50575" s="235" t="n"/>
    </row>
    <row r="50576" ht="14.25" customHeight="1" s="192">
      <c r="W50576" s="239" t="n"/>
      <c r="X50576" s="239" t="n"/>
    </row>
    <row r="50577" ht="14.25" customHeight="1" s="192">
      <c r="W50577" s="235" t="n"/>
      <c r="X50577" s="235" t="n"/>
    </row>
    <row r="50578" ht="14.25" customHeight="1" s="192">
      <c r="W50578" s="239" t="n"/>
      <c r="X50578" s="239" t="n"/>
    </row>
    <row r="50580" ht="14.25" customHeight="1" s="192">
      <c r="W50580" s="235" t="n"/>
      <c r="X50580" s="235" t="n"/>
    </row>
    <row r="50581" ht="15" customHeight="1" s="192" thickBot="1">
      <c r="W50581" s="239" t="n"/>
      <c r="X50581" s="239" t="n"/>
    </row>
    <row r="50582" ht="15" customHeight="1" s="192" thickBot="1">
      <c r="W50582" s="45" t="n"/>
      <c r="X50582" s="45" t="n"/>
    </row>
    <row r="50583" ht="14.25" customHeight="1" s="192">
      <c r="W50583" s="228" t="n"/>
      <c r="X50583" s="228" t="n"/>
    </row>
    <row r="50584" ht="14.25" customHeight="1" s="192">
      <c r="W50584" s="228" t="n"/>
      <c r="X50584" s="228" t="n"/>
    </row>
    <row r="50585" ht="14.25" customHeight="1" s="192">
      <c r="W50585" s="231" t="n"/>
      <c r="X50585" s="231" t="n"/>
    </row>
    <row r="50586" ht="14.25" customHeight="1" s="192">
      <c r="W50586" s="33" t="n"/>
      <c r="X50586" s="33" t="n"/>
    </row>
    <row r="50587" ht="14.25" customHeight="1" s="192">
      <c r="W50587" s="231" t="n"/>
      <c r="X50587" s="231" t="n"/>
    </row>
    <row r="50588" ht="14.25" customHeight="1" s="192">
      <c r="W50588" s="33" t="n"/>
      <c r="X50588" s="33" t="n"/>
    </row>
    <row r="50590" ht="14.25" customHeight="1" s="192">
      <c r="W50590" s="231" t="n"/>
      <c r="X50590" s="231" t="n"/>
    </row>
    <row r="50591" ht="14.25" customHeight="1" s="192">
      <c r="W50591" s="235" t="n"/>
      <c r="X50591" s="235" t="n"/>
    </row>
    <row r="50592" ht="14.25" customHeight="1" s="192">
      <c r="W50592" s="228" t="n"/>
      <c r="X50592" s="228" t="n"/>
    </row>
    <row r="50593" ht="14.25" customHeight="1" s="192">
      <c r="W50593" s="235" t="n"/>
      <c r="X50593" s="235" t="n"/>
    </row>
    <row r="50594" ht="14.25" customHeight="1" s="192">
      <c r="W50594" s="235" t="n"/>
      <c r="X50594" s="235" t="n"/>
    </row>
    <row r="50595" ht="14.25" customHeight="1" s="192">
      <c r="W50595" s="235" t="n"/>
      <c r="X50595" s="235" t="n"/>
    </row>
    <row r="50596" ht="14.25" customHeight="1" s="192">
      <c r="W50596" s="239" t="n"/>
      <c r="X50596" s="239" t="n"/>
    </row>
    <row r="50597" ht="14.25" customHeight="1" s="192">
      <c r="W50597" s="239" t="n"/>
      <c r="X50597" s="239" t="n"/>
    </row>
    <row r="50598" ht="14.25" customHeight="1" s="192">
      <c r="W50598" s="239" t="n"/>
      <c r="X50598" s="239" t="n"/>
    </row>
    <row r="50599" ht="14.25" customHeight="1" s="192">
      <c r="W50599" s="235" t="n"/>
      <c r="X50599" s="235" t="n"/>
    </row>
    <row r="50600" ht="14.25" customHeight="1" s="192">
      <c r="W50600" s="235" t="n"/>
      <c r="X50600" s="235" t="n"/>
    </row>
    <row r="50601" ht="14.25" customHeight="1" s="192">
      <c r="W50601" s="235" t="n"/>
      <c r="X50601" s="235" t="n"/>
    </row>
    <row r="50602" ht="14.25" customHeight="1" s="192">
      <c r="W50602" s="239" t="n"/>
      <c r="X50602" s="239" t="n"/>
    </row>
    <row r="50603" ht="14.25" customHeight="1" s="192">
      <c r="W50603" s="239" t="n"/>
      <c r="X50603" s="239" t="n"/>
    </row>
    <row r="50604" ht="14.25" customHeight="1" s="192">
      <c r="W50604" s="235" t="n"/>
      <c r="X50604" s="235" t="n"/>
    </row>
    <row r="50605" ht="14.25" customHeight="1" s="192">
      <c r="W50605" s="235" t="n"/>
      <c r="X50605" s="235" t="n"/>
    </row>
    <row r="50606" ht="14.25" customHeight="1" s="192">
      <c r="W50606" s="239" t="n"/>
      <c r="X50606" s="239" t="n"/>
    </row>
    <row r="50607" ht="14.25" customHeight="1" s="192">
      <c r="W50607" s="235" t="n"/>
      <c r="X50607" s="235" t="n"/>
    </row>
    <row r="50608" ht="14.25" customHeight="1" s="192">
      <c r="W50608" s="239" t="n"/>
      <c r="X50608" s="239" t="n"/>
    </row>
    <row r="50610" ht="14.25" customHeight="1" s="192">
      <c r="W50610" s="235" t="n"/>
      <c r="X50610" s="235" t="n"/>
    </row>
    <row r="50611" ht="15" customHeight="1" s="192" thickBot="1">
      <c r="W50611" s="239" t="n"/>
      <c r="X50611" s="239" t="n"/>
    </row>
    <row r="50612" ht="15" customHeight="1" s="192" thickBot="1">
      <c r="W50612" s="45" t="n"/>
      <c r="X50612" s="45" t="n"/>
    </row>
    <row r="50613" ht="14.25" customHeight="1" s="192">
      <c r="W50613" s="228" t="n"/>
      <c r="X50613" s="228" t="n"/>
    </row>
    <row r="50614" ht="14.25" customHeight="1" s="192">
      <c r="W50614" s="228" t="n"/>
      <c r="X50614" s="228" t="n"/>
    </row>
    <row r="50615" ht="14.25" customHeight="1" s="192">
      <c r="W50615" s="231" t="n"/>
      <c r="X50615" s="231" t="n"/>
    </row>
    <row r="50616" ht="14.25" customHeight="1" s="192">
      <c r="W50616" s="33" t="n"/>
      <c r="X50616" s="33" t="n"/>
    </row>
    <row r="50617" ht="14.25" customHeight="1" s="192">
      <c r="W50617" s="231" t="n"/>
      <c r="X50617" s="231" t="n"/>
    </row>
    <row r="50618" ht="14.25" customHeight="1" s="192">
      <c r="W50618" s="33" t="n"/>
      <c r="X50618" s="33" t="n"/>
    </row>
    <row r="50620" ht="14.25" customHeight="1" s="192">
      <c r="W50620" s="231" t="n"/>
      <c r="X50620" s="231" t="n"/>
    </row>
    <row r="50621" ht="14.25" customHeight="1" s="192">
      <c r="W50621" s="235" t="n"/>
      <c r="X50621" s="235" t="n"/>
    </row>
    <row r="50622" ht="14.25" customHeight="1" s="192">
      <c r="W50622" s="228" t="n"/>
      <c r="X50622" s="228" t="n"/>
    </row>
    <row r="50623" ht="14.25" customHeight="1" s="192">
      <c r="W50623" s="235" t="n"/>
      <c r="X50623" s="235" t="n"/>
    </row>
    <row r="50624" ht="14.25" customHeight="1" s="192">
      <c r="W50624" s="235" t="n"/>
      <c r="X50624" s="235" t="n"/>
    </row>
    <row r="50625" ht="14.25" customHeight="1" s="192">
      <c r="W50625" s="235" t="n"/>
      <c r="X50625" s="235" t="n"/>
    </row>
    <row r="50626" ht="14.25" customHeight="1" s="192">
      <c r="W50626" s="239" t="n"/>
      <c r="X50626" s="239" t="n"/>
    </row>
    <row r="50627" ht="14.25" customHeight="1" s="192">
      <c r="W50627" s="239" t="n"/>
      <c r="X50627" s="239" t="n"/>
    </row>
    <row r="50628" ht="14.25" customHeight="1" s="192">
      <c r="W50628" s="239" t="n"/>
      <c r="X50628" s="239" t="n"/>
    </row>
    <row r="50629" ht="14.25" customHeight="1" s="192">
      <c r="W50629" s="235" t="n"/>
      <c r="X50629" s="235" t="n"/>
    </row>
    <row r="50630" ht="14.25" customHeight="1" s="192">
      <c r="W50630" s="235" t="n"/>
      <c r="X50630" s="235" t="n"/>
    </row>
    <row r="50631" ht="14.25" customHeight="1" s="192">
      <c r="W50631" s="235" t="n"/>
      <c r="X50631" s="235" t="n"/>
    </row>
    <row r="50632" ht="14.25" customHeight="1" s="192">
      <c r="W50632" s="239" t="n"/>
      <c r="X50632" s="239" t="n"/>
    </row>
    <row r="50633" ht="14.25" customHeight="1" s="192">
      <c r="W50633" s="239" t="n"/>
      <c r="X50633" s="239" t="n"/>
    </row>
    <row r="50634" ht="14.25" customHeight="1" s="192">
      <c r="W50634" s="235" t="n"/>
      <c r="X50634" s="235" t="n"/>
    </row>
    <row r="50635" ht="14.25" customHeight="1" s="192">
      <c r="W50635" s="235" t="n"/>
      <c r="X50635" s="235" t="n"/>
    </row>
    <row r="50636" ht="14.25" customHeight="1" s="192">
      <c r="W50636" s="239" t="n"/>
      <c r="X50636" s="239" t="n"/>
    </row>
    <row r="50637" ht="14.25" customHeight="1" s="192">
      <c r="W50637" s="235" t="n"/>
      <c r="X50637" s="235" t="n"/>
    </row>
    <row r="50638" ht="14.25" customHeight="1" s="192">
      <c r="W50638" s="239" t="n"/>
      <c r="X50638" s="239" t="n"/>
    </row>
    <row r="50640" ht="14.25" customHeight="1" s="192">
      <c r="W50640" s="235" t="n"/>
      <c r="X50640" s="235" t="n"/>
    </row>
    <row r="50641" ht="15" customHeight="1" s="192" thickBot="1">
      <c r="W50641" s="239" t="n"/>
      <c r="X50641" s="239" t="n"/>
    </row>
    <row r="50642" ht="15" customHeight="1" s="192" thickBot="1">
      <c r="W50642" s="45" t="n"/>
      <c r="X50642" s="45" t="n"/>
    </row>
    <row r="50643" ht="14.25" customHeight="1" s="192">
      <c r="W50643" s="228" t="n"/>
      <c r="X50643" s="228" t="n"/>
    </row>
    <row r="50644" ht="14.25" customHeight="1" s="192">
      <c r="W50644" s="228" t="n"/>
      <c r="X50644" s="228" t="n"/>
    </row>
    <row r="50645" ht="14.25" customHeight="1" s="192">
      <c r="W50645" s="231" t="n"/>
      <c r="X50645" s="231" t="n"/>
    </row>
    <row r="50646" ht="14.25" customHeight="1" s="192">
      <c r="W50646" s="33" t="n"/>
      <c r="X50646" s="33" t="n"/>
    </row>
    <row r="50647" ht="14.25" customHeight="1" s="192">
      <c r="W50647" s="231" t="n"/>
      <c r="X50647" s="231" t="n"/>
    </row>
    <row r="50648" ht="14.25" customHeight="1" s="192">
      <c r="W50648" s="33" t="n"/>
      <c r="X50648" s="33" t="n"/>
    </row>
    <row r="50650" ht="14.25" customHeight="1" s="192">
      <c r="W50650" s="231" t="n"/>
      <c r="X50650" s="231" t="n"/>
    </row>
    <row r="50651" ht="14.25" customHeight="1" s="192">
      <c r="W50651" s="235" t="n"/>
      <c r="X50651" s="235" t="n"/>
    </row>
    <row r="50652" ht="14.25" customHeight="1" s="192">
      <c r="W50652" s="228" t="n"/>
      <c r="X50652" s="228" t="n"/>
    </row>
    <row r="50653" ht="14.25" customHeight="1" s="192">
      <c r="W50653" s="235" t="n"/>
      <c r="X50653" s="235" t="n"/>
    </row>
    <row r="50654" ht="14.25" customHeight="1" s="192">
      <c r="W50654" s="235" t="n"/>
      <c r="X50654" s="235" t="n"/>
    </row>
    <row r="50655" ht="14.25" customHeight="1" s="192">
      <c r="W50655" s="235" t="n"/>
      <c r="X50655" s="235" t="n"/>
    </row>
    <row r="50656" ht="14.25" customHeight="1" s="192">
      <c r="W50656" s="239" t="n"/>
      <c r="X50656" s="239" t="n"/>
    </row>
    <row r="50657" ht="14.25" customHeight="1" s="192">
      <c r="W50657" s="239" t="n"/>
      <c r="X50657" s="239" t="n"/>
    </row>
    <row r="50658" ht="14.25" customHeight="1" s="192">
      <c r="W50658" s="239" t="n"/>
      <c r="X50658" s="239" t="n"/>
    </row>
    <row r="50659" ht="14.25" customHeight="1" s="192">
      <c r="W50659" s="235" t="n"/>
      <c r="X50659" s="235" t="n"/>
    </row>
    <row r="50660" ht="14.25" customHeight="1" s="192">
      <c r="W50660" s="235" t="n"/>
      <c r="X50660" s="235" t="n"/>
    </row>
    <row r="50661" ht="14.25" customHeight="1" s="192">
      <c r="W50661" s="235" t="n"/>
      <c r="X50661" s="235" t="n"/>
    </row>
    <row r="50662" ht="14.25" customHeight="1" s="192">
      <c r="W50662" s="239" t="n"/>
      <c r="X50662" s="239" t="n"/>
    </row>
    <row r="50663" ht="14.25" customHeight="1" s="192">
      <c r="W50663" s="239" t="n"/>
      <c r="X50663" s="239" t="n"/>
    </row>
    <row r="50664" ht="14.25" customHeight="1" s="192">
      <c r="W50664" s="235" t="n"/>
      <c r="X50664" s="235" t="n"/>
    </row>
    <row r="50665" ht="14.25" customHeight="1" s="192">
      <c r="W50665" s="235" t="n"/>
      <c r="X50665" s="235" t="n"/>
    </row>
    <row r="50666" ht="14.25" customHeight="1" s="192">
      <c r="W50666" s="239" t="n"/>
      <c r="X50666" s="239" t="n"/>
    </row>
    <row r="50667" ht="14.25" customHeight="1" s="192">
      <c r="W50667" s="235" t="n"/>
      <c r="X50667" s="235" t="n"/>
    </row>
    <row r="50668" ht="14.25" customHeight="1" s="192">
      <c r="W50668" s="239" t="n"/>
      <c r="X50668" s="239" t="n"/>
    </row>
    <row r="50670" ht="14.25" customHeight="1" s="192">
      <c r="W50670" s="235" t="n"/>
      <c r="X50670" s="235" t="n"/>
    </row>
    <row r="50671" ht="15" customHeight="1" s="192" thickBot="1">
      <c r="W50671" s="239" t="n"/>
      <c r="X50671" s="239" t="n"/>
    </row>
    <row r="50672" ht="15" customHeight="1" s="192" thickBot="1">
      <c r="W50672" s="45" t="n"/>
      <c r="X50672" s="45" t="n"/>
    </row>
    <row r="50673" ht="14.25" customHeight="1" s="192">
      <c r="W50673" s="228" t="n"/>
      <c r="X50673" s="228" t="n"/>
    </row>
    <row r="50674" ht="14.25" customHeight="1" s="192">
      <c r="W50674" s="228" t="n"/>
      <c r="X50674" s="228" t="n"/>
    </row>
    <row r="50675" ht="14.25" customHeight="1" s="192">
      <c r="W50675" s="231" t="n"/>
      <c r="X50675" s="231" t="n"/>
    </row>
    <row r="50676" ht="14.25" customHeight="1" s="192">
      <c r="W50676" s="33" t="n"/>
      <c r="X50676" s="33" t="n"/>
    </row>
    <row r="50677" ht="14.25" customHeight="1" s="192">
      <c r="W50677" s="231" t="n"/>
      <c r="X50677" s="231" t="n"/>
    </row>
    <row r="50678" ht="14.25" customHeight="1" s="192">
      <c r="W50678" s="33" t="n"/>
      <c r="X50678" s="33" t="n"/>
    </row>
    <row r="50680" ht="14.25" customHeight="1" s="192">
      <c r="W50680" s="231" t="n"/>
      <c r="X50680" s="231" t="n"/>
    </row>
    <row r="50681" ht="14.25" customHeight="1" s="192">
      <c r="W50681" s="235" t="n"/>
      <c r="X50681" s="235" t="n"/>
    </row>
    <row r="50682" ht="14.25" customHeight="1" s="192">
      <c r="W50682" s="228" t="n"/>
      <c r="X50682" s="228" t="n"/>
    </row>
    <row r="50683" ht="14.25" customHeight="1" s="192">
      <c r="W50683" s="235" t="n"/>
      <c r="X50683" s="235" t="n"/>
    </row>
    <row r="50684" ht="14.25" customHeight="1" s="192">
      <c r="W50684" s="235" t="n"/>
      <c r="X50684" s="235" t="n"/>
    </row>
    <row r="50685" ht="14.25" customHeight="1" s="192">
      <c r="W50685" s="235" t="n"/>
      <c r="X50685" s="235" t="n"/>
    </row>
    <row r="50686" ht="14.25" customHeight="1" s="192">
      <c r="W50686" s="239" t="n"/>
      <c r="X50686" s="239" t="n"/>
    </row>
    <row r="50687" ht="14.25" customHeight="1" s="192">
      <c r="W50687" s="239" t="n"/>
      <c r="X50687" s="239" t="n"/>
    </row>
    <row r="50688" ht="14.25" customHeight="1" s="192">
      <c r="W50688" s="239" t="n"/>
      <c r="X50688" s="239" t="n"/>
    </row>
    <row r="50689" ht="14.25" customHeight="1" s="192">
      <c r="W50689" s="235" t="n"/>
      <c r="X50689" s="235" t="n"/>
    </row>
    <row r="50690" ht="14.25" customHeight="1" s="192">
      <c r="W50690" s="235" t="n"/>
      <c r="X50690" s="235" t="n"/>
    </row>
    <row r="50691" ht="14.25" customHeight="1" s="192">
      <c r="W50691" s="235" t="n"/>
      <c r="X50691" s="235" t="n"/>
    </row>
    <row r="50692" ht="14.25" customHeight="1" s="192">
      <c r="W50692" s="239" t="n"/>
      <c r="X50692" s="239" t="n"/>
    </row>
    <row r="50693" ht="14.25" customHeight="1" s="192">
      <c r="W50693" s="239" t="n"/>
      <c r="X50693" s="239" t="n"/>
    </row>
    <row r="50694" ht="14.25" customHeight="1" s="192">
      <c r="W50694" s="235" t="n"/>
      <c r="X50694" s="235" t="n"/>
    </row>
    <row r="50695" ht="14.25" customHeight="1" s="192">
      <c r="W50695" s="235" t="n"/>
      <c r="X50695" s="235" t="n"/>
    </row>
    <row r="50696" ht="14.25" customHeight="1" s="192">
      <c r="W50696" s="239" t="n"/>
      <c r="X50696" s="239" t="n"/>
    </row>
    <row r="50697" ht="14.25" customHeight="1" s="192">
      <c r="W50697" s="235" t="n"/>
      <c r="X50697" s="235" t="n"/>
    </row>
    <row r="50698" ht="14.25" customHeight="1" s="192">
      <c r="W50698" s="239" t="n"/>
      <c r="X50698" s="239" t="n"/>
    </row>
    <row r="50700" ht="14.25" customHeight="1" s="192">
      <c r="W50700" s="235" t="n"/>
      <c r="X50700" s="235" t="n"/>
    </row>
    <row r="50701" ht="15" customHeight="1" s="192" thickBot="1">
      <c r="W50701" s="239" t="n"/>
      <c r="X50701" s="239" t="n"/>
    </row>
    <row r="50702" ht="15" customHeight="1" s="192" thickBot="1">
      <c r="W50702" s="45" t="n"/>
      <c r="X50702" s="45" t="n"/>
    </row>
    <row r="50703" ht="14.25" customHeight="1" s="192">
      <c r="W50703" s="228" t="n"/>
      <c r="X50703" s="228" t="n"/>
    </row>
    <row r="50704" ht="14.25" customHeight="1" s="192">
      <c r="W50704" s="228" t="n"/>
      <c r="X50704" s="228" t="n"/>
    </row>
    <row r="50705" ht="14.25" customHeight="1" s="192">
      <c r="W50705" s="231" t="n"/>
      <c r="X50705" s="231" t="n"/>
    </row>
    <row r="50706" ht="14.25" customHeight="1" s="192">
      <c r="W50706" s="33" t="n"/>
      <c r="X50706" s="33" t="n"/>
    </row>
    <row r="50707" ht="14.25" customHeight="1" s="192">
      <c r="W50707" s="231" t="n"/>
      <c r="X50707" s="231" t="n"/>
    </row>
    <row r="50708" ht="14.25" customHeight="1" s="192">
      <c r="W50708" s="33" t="n"/>
      <c r="X50708" s="33" t="n"/>
    </row>
    <row r="50710" ht="14.25" customHeight="1" s="192">
      <c r="W50710" s="231" t="n"/>
      <c r="X50710" s="231" t="n"/>
    </row>
    <row r="50711" ht="14.25" customHeight="1" s="192">
      <c r="W50711" s="235" t="n"/>
      <c r="X50711" s="235" t="n"/>
    </row>
    <row r="50712" ht="14.25" customHeight="1" s="192">
      <c r="W50712" s="228" t="n"/>
      <c r="X50712" s="228" t="n"/>
    </row>
    <row r="50713" ht="14.25" customHeight="1" s="192">
      <c r="W50713" s="235" t="n"/>
      <c r="X50713" s="235" t="n"/>
    </row>
    <row r="50714" ht="14.25" customHeight="1" s="192">
      <c r="W50714" s="235" t="n"/>
      <c r="X50714" s="235" t="n"/>
    </row>
    <row r="50715" ht="14.25" customHeight="1" s="192">
      <c r="W50715" s="235" t="n"/>
      <c r="X50715" s="235" t="n"/>
    </row>
    <row r="50716" ht="14.25" customHeight="1" s="192">
      <c r="W50716" s="239" t="n"/>
      <c r="X50716" s="239" t="n"/>
    </row>
    <row r="50717" ht="14.25" customHeight="1" s="192">
      <c r="W50717" s="239" t="n"/>
      <c r="X50717" s="239" t="n"/>
    </row>
    <row r="50718" ht="14.25" customHeight="1" s="192">
      <c r="W50718" s="239" t="n"/>
      <c r="X50718" s="239" t="n"/>
    </row>
    <row r="50719" ht="14.25" customHeight="1" s="192">
      <c r="W50719" s="235" t="n"/>
      <c r="X50719" s="235" t="n"/>
    </row>
    <row r="50720" ht="14.25" customHeight="1" s="192">
      <c r="W50720" s="235" t="n"/>
      <c r="X50720" s="235" t="n"/>
    </row>
    <row r="50721" ht="14.25" customHeight="1" s="192">
      <c r="W50721" s="235" t="n"/>
      <c r="X50721" s="235" t="n"/>
    </row>
    <row r="50722" ht="14.25" customHeight="1" s="192">
      <c r="W50722" s="239" t="n"/>
      <c r="X50722" s="239" t="n"/>
    </row>
    <row r="50723" ht="14.25" customHeight="1" s="192">
      <c r="W50723" s="239" t="n"/>
      <c r="X50723" s="239" t="n"/>
    </row>
    <row r="50724" ht="14.25" customHeight="1" s="192">
      <c r="W50724" s="235" t="n"/>
      <c r="X50724" s="235" t="n"/>
    </row>
    <row r="50725" ht="14.25" customHeight="1" s="192">
      <c r="W50725" s="235" t="n"/>
      <c r="X50725" s="235" t="n"/>
    </row>
    <row r="50726" ht="14.25" customHeight="1" s="192">
      <c r="W50726" s="239" t="n"/>
      <c r="X50726" s="239" t="n"/>
    </row>
    <row r="50727" ht="14.25" customHeight="1" s="192">
      <c r="W50727" s="235" t="n"/>
      <c r="X50727" s="235" t="n"/>
    </row>
    <row r="50728" ht="14.25" customHeight="1" s="192">
      <c r="W50728" s="239" t="n"/>
      <c r="X50728" s="239" t="n"/>
    </row>
    <row r="50730" ht="14.25" customHeight="1" s="192">
      <c r="W50730" s="235" t="n"/>
      <c r="X50730" s="235" t="n"/>
    </row>
    <row r="50731" ht="15" customHeight="1" s="192" thickBot="1">
      <c r="W50731" s="239" t="n"/>
      <c r="X50731" s="239" t="n"/>
    </row>
    <row r="50732" ht="15" customHeight="1" s="192" thickBot="1">
      <c r="W50732" s="45" t="n"/>
      <c r="X50732" s="45" t="n"/>
    </row>
    <row r="50733" ht="14.25" customHeight="1" s="192">
      <c r="W50733" s="228" t="n"/>
      <c r="X50733" s="228" t="n"/>
    </row>
    <row r="50734" ht="14.25" customHeight="1" s="192">
      <c r="W50734" s="228" t="n"/>
      <c r="X50734" s="228" t="n"/>
    </row>
    <row r="50735" ht="14.25" customHeight="1" s="192">
      <c r="W50735" s="231" t="n"/>
      <c r="X50735" s="231" t="n"/>
    </row>
    <row r="50736" ht="14.25" customHeight="1" s="192">
      <c r="W50736" s="33" t="n"/>
      <c r="X50736" s="33" t="n"/>
    </row>
    <row r="50737" ht="14.25" customHeight="1" s="192">
      <c r="W50737" s="231" t="n"/>
      <c r="X50737" s="231" t="n"/>
    </row>
    <row r="50738" ht="14.25" customHeight="1" s="192">
      <c r="W50738" s="33" t="n"/>
      <c r="X50738" s="33" t="n"/>
    </row>
    <row r="50740" ht="14.25" customHeight="1" s="192">
      <c r="W50740" s="231" t="n"/>
      <c r="X50740" s="231" t="n"/>
    </row>
    <row r="50741" ht="14.25" customHeight="1" s="192">
      <c r="W50741" s="235" t="n"/>
      <c r="X50741" s="235" t="n"/>
    </row>
    <row r="50742" ht="14.25" customHeight="1" s="192">
      <c r="W50742" s="228" t="n"/>
      <c r="X50742" s="228" t="n"/>
    </row>
    <row r="50743" ht="14.25" customHeight="1" s="192">
      <c r="W50743" s="235" t="n"/>
      <c r="X50743" s="235" t="n"/>
    </row>
    <row r="50744" ht="14.25" customHeight="1" s="192">
      <c r="W50744" s="235" t="n"/>
      <c r="X50744" s="235" t="n"/>
    </row>
    <row r="50745" ht="14.25" customHeight="1" s="192">
      <c r="W50745" s="235" t="n"/>
      <c r="X50745" s="235" t="n"/>
    </row>
    <row r="50746" ht="14.25" customHeight="1" s="192">
      <c r="W50746" s="239" t="n"/>
      <c r="X50746" s="239" t="n"/>
    </row>
    <row r="50747" ht="14.25" customHeight="1" s="192">
      <c r="W50747" s="239" t="n"/>
      <c r="X50747" s="239" t="n"/>
    </row>
    <row r="50748" ht="14.25" customHeight="1" s="192">
      <c r="W50748" s="239" t="n"/>
      <c r="X50748" s="239" t="n"/>
    </row>
    <row r="50749" ht="14.25" customHeight="1" s="192">
      <c r="W50749" s="235" t="n"/>
      <c r="X50749" s="235" t="n"/>
    </row>
    <row r="50750" ht="14.25" customHeight="1" s="192">
      <c r="W50750" s="235" t="n"/>
      <c r="X50750" s="235" t="n"/>
    </row>
    <row r="50751" ht="14.25" customHeight="1" s="192">
      <c r="W50751" s="235" t="n"/>
      <c r="X50751" s="235" t="n"/>
    </row>
    <row r="50752" ht="14.25" customHeight="1" s="192">
      <c r="W50752" s="239" t="n"/>
      <c r="X50752" s="239" t="n"/>
    </row>
    <row r="50753" ht="14.25" customHeight="1" s="192">
      <c r="W50753" s="239" t="n"/>
      <c r="X50753" s="239" t="n"/>
    </row>
    <row r="50754" ht="14.25" customHeight="1" s="192">
      <c r="W50754" s="235" t="n"/>
      <c r="X50754" s="235" t="n"/>
    </row>
    <row r="50755" ht="14.25" customHeight="1" s="192">
      <c r="W50755" s="235" t="n"/>
      <c r="X50755" s="235" t="n"/>
    </row>
    <row r="50756" ht="14.25" customHeight="1" s="192">
      <c r="W50756" s="239" t="n"/>
      <c r="X50756" s="239" t="n"/>
    </row>
    <row r="50757" ht="14.25" customHeight="1" s="192">
      <c r="W50757" s="235" t="n"/>
      <c r="X50757" s="235" t="n"/>
    </row>
    <row r="50758" ht="14.25" customHeight="1" s="192">
      <c r="W50758" s="239" t="n"/>
      <c r="X50758" s="239" t="n"/>
    </row>
    <row r="50760" ht="14.25" customHeight="1" s="192">
      <c r="W50760" s="235" t="n"/>
      <c r="X50760" s="235" t="n"/>
    </row>
    <row r="50761" ht="15" customHeight="1" s="192" thickBot="1">
      <c r="W50761" s="239" t="n"/>
      <c r="X50761" s="239" t="n"/>
    </row>
    <row r="50762" ht="15" customHeight="1" s="192" thickBot="1">
      <c r="W50762" s="45" t="n"/>
      <c r="X50762" s="45" t="n"/>
    </row>
    <row r="50763" ht="14.25" customHeight="1" s="192">
      <c r="W50763" s="228" t="n"/>
      <c r="X50763" s="228" t="n"/>
    </row>
    <row r="50764" ht="14.25" customHeight="1" s="192">
      <c r="W50764" s="228" t="n"/>
      <c r="X50764" s="228" t="n"/>
    </row>
    <row r="50765" ht="14.25" customHeight="1" s="192">
      <c r="W50765" s="231" t="n"/>
      <c r="X50765" s="231" t="n"/>
    </row>
    <row r="50766" ht="14.25" customHeight="1" s="192">
      <c r="W50766" s="33" t="n"/>
      <c r="X50766" s="33" t="n"/>
    </row>
    <row r="50767" ht="14.25" customHeight="1" s="192">
      <c r="W50767" s="231" t="n"/>
      <c r="X50767" s="231" t="n"/>
    </row>
    <row r="50768" ht="14.25" customHeight="1" s="192">
      <c r="W50768" s="33" t="n"/>
      <c r="X50768" s="33" t="n"/>
    </row>
    <row r="50770" ht="14.25" customHeight="1" s="192">
      <c r="W50770" s="231" t="n"/>
      <c r="X50770" s="231" t="n"/>
    </row>
    <row r="50771" ht="14.25" customHeight="1" s="192">
      <c r="W50771" s="235" t="n"/>
      <c r="X50771" s="235" t="n"/>
    </row>
    <row r="50772" ht="14.25" customHeight="1" s="192">
      <c r="W50772" s="228" t="n"/>
      <c r="X50772" s="228" t="n"/>
    </row>
    <row r="50773" ht="14.25" customHeight="1" s="192">
      <c r="W50773" s="235" t="n"/>
      <c r="X50773" s="235" t="n"/>
    </row>
    <row r="50774" ht="14.25" customHeight="1" s="192">
      <c r="W50774" s="235" t="n"/>
      <c r="X50774" s="235" t="n"/>
    </row>
    <row r="50775" ht="14.25" customHeight="1" s="192">
      <c r="W50775" s="235" t="n"/>
      <c r="X50775" s="235" t="n"/>
    </row>
    <row r="50776" ht="14.25" customHeight="1" s="192">
      <c r="W50776" s="239" t="n"/>
      <c r="X50776" s="239" t="n"/>
    </row>
    <row r="50777" ht="14.25" customHeight="1" s="192">
      <c r="W50777" s="239" t="n"/>
      <c r="X50777" s="239" t="n"/>
    </row>
    <row r="50778" ht="14.25" customHeight="1" s="192">
      <c r="W50778" s="239" t="n"/>
      <c r="X50778" s="239" t="n"/>
    </row>
    <row r="50779" ht="14.25" customHeight="1" s="192">
      <c r="W50779" s="235" t="n"/>
      <c r="X50779" s="235" t="n"/>
    </row>
    <row r="50780" ht="14.25" customHeight="1" s="192">
      <c r="W50780" s="235" t="n"/>
      <c r="X50780" s="235" t="n"/>
    </row>
    <row r="50781" ht="14.25" customHeight="1" s="192">
      <c r="W50781" s="235" t="n"/>
      <c r="X50781" s="235" t="n"/>
    </row>
    <row r="50782" ht="14.25" customHeight="1" s="192">
      <c r="W50782" s="239" t="n"/>
      <c r="X50782" s="239" t="n"/>
    </row>
    <row r="50783" ht="14.25" customHeight="1" s="192">
      <c r="W50783" s="239" t="n"/>
      <c r="X50783" s="239" t="n"/>
    </row>
    <row r="50784" ht="14.25" customHeight="1" s="192">
      <c r="W50784" s="235" t="n"/>
      <c r="X50784" s="235" t="n"/>
    </row>
    <row r="50785" ht="14.25" customHeight="1" s="192">
      <c r="W50785" s="235" t="n"/>
      <c r="X50785" s="235" t="n"/>
    </row>
    <row r="50786" ht="14.25" customHeight="1" s="192">
      <c r="W50786" s="239" t="n"/>
      <c r="X50786" s="239" t="n"/>
    </row>
    <row r="50787" ht="14.25" customHeight="1" s="192">
      <c r="W50787" s="235" t="n"/>
      <c r="X50787" s="235" t="n"/>
    </row>
    <row r="50788" ht="14.25" customHeight="1" s="192">
      <c r="W50788" s="239" t="n"/>
      <c r="X50788" s="239" t="n"/>
    </row>
    <row r="50790" ht="14.25" customHeight="1" s="192">
      <c r="W50790" s="235" t="n"/>
      <c r="X50790" s="235" t="n"/>
    </row>
    <row r="50791" ht="15" customHeight="1" s="192" thickBot="1">
      <c r="W50791" s="239" t="n"/>
      <c r="X50791" s="239" t="n"/>
    </row>
    <row r="50792" ht="15" customHeight="1" s="192" thickBot="1">
      <c r="W50792" s="45" t="n"/>
      <c r="X50792" s="45" t="n"/>
    </row>
    <row r="50793" ht="14.25" customHeight="1" s="192">
      <c r="W50793" s="228" t="n"/>
      <c r="X50793" s="228" t="n"/>
    </row>
    <row r="50794" ht="14.25" customHeight="1" s="192">
      <c r="W50794" s="228" t="n"/>
      <c r="X50794" s="228" t="n"/>
    </row>
    <row r="50795" ht="14.25" customHeight="1" s="192">
      <c r="W50795" s="231" t="n"/>
      <c r="X50795" s="231" t="n"/>
    </row>
    <row r="50796" ht="14.25" customHeight="1" s="192">
      <c r="W50796" s="33" t="n"/>
      <c r="X50796" s="33" t="n"/>
    </row>
    <row r="50797" ht="14.25" customHeight="1" s="192">
      <c r="W50797" s="231" t="n"/>
      <c r="X50797" s="231" t="n"/>
    </row>
    <row r="50798" ht="14.25" customHeight="1" s="192">
      <c r="W50798" s="33" t="n"/>
      <c r="X50798" s="33" t="n"/>
    </row>
    <row r="50800" ht="14.25" customHeight="1" s="192">
      <c r="W50800" s="231" t="n"/>
      <c r="X50800" s="231" t="n"/>
    </row>
    <row r="50801" ht="14.25" customHeight="1" s="192">
      <c r="W50801" s="235" t="n"/>
      <c r="X50801" s="235" t="n"/>
    </row>
    <row r="50802" ht="14.25" customHeight="1" s="192">
      <c r="W50802" s="228" t="n"/>
      <c r="X50802" s="228" t="n"/>
    </row>
    <row r="50803" ht="14.25" customHeight="1" s="192">
      <c r="W50803" s="235" t="n"/>
      <c r="X50803" s="235" t="n"/>
    </row>
    <row r="50804" ht="14.25" customHeight="1" s="192">
      <c r="W50804" s="235" t="n"/>
      <c r="X50804" s="235" t="n"/>
    </row>
    <row r="50805" ht="14.25" customHeight="1" s="192">
      <c r="W50805" s="235" t="n"/>
      <c r="X50805" s="235" t="n"/>
    </row>
    <row r="50806" ht="14.25" customHeight="1" s="192">
      <c r="W50806" s="239" t="n"/>
      <c r="X50806" s="239" t="n"/>
    </row>
    <row r="50807" ht="14.25" customHeight="1" s="192">
      <c r="W50807" s="239" t="n"/>
      <c r="X50807" s="239" t="n"/>
    </row>
    <row r="50808" ht="14.25" customHeight="1" s="192">
      <c r="W50808" s="239" t="n"/>
      <c r="X50808" s="239" t="n"/>
    </row>
    <row r="50809" ht="14.25" customHeight="1" s="192">
      <c r="W50809" s="235" t="n"/>
      <c r="X50809" s="235" t="n"/>
    </row>
    <row r="50810" ht="14.25" customHeight="1" s="192">
      <c r="W50810" s="235" t="n"/>
      <c r="X50810" s="235" t="n"/>
    </row>
    <row r="50811" ht="14.25" customHeight="1" s="192">
      <c r="W50811" s="235" t="n"/>
      <c r="X50811" s="235" t="n"/>
    </row>
    <row r="50812" ht="14.25" customHeight="1" s="192">
      <c r="W50812" s="239" t="n"/>
      <c r="X50812" s="239" t="n"/>
    </row>
    <row r="50813" ht="14.25" customHeight="1" s="192">
      <c r="W50813" s="239" t="n"/>
      <c r="X50813" s="239" t="n"/>
    </row>
    <row r="50814" ht="14.25" customHeight="1" s="192">
      <c r="W50814" s="235" t="n"/>
      <c r="X50814" s="235" t="n"/>
    </row>
    <row r="50815" ht="14.25" customHeight="1" s="192">
      <c r="W50815" s="235" t="n"/>
      <c r="X50815" s="235" t="n"/>
    </row>
    <row r="50816" ht="14.25" customHeight="1" s="192">
      <c r="W50816" s="239" t="n"/>
      <c r="X50816" s="239" t="n"/>
    </row>
    <row r="50817" ht="14.25" customHeight="1" s="192">
      <c r="W50817" s="235" t="n"/>
      <c r="X50817" s="235" t="n"/>
    </row>
    <row r="50818" ht="14.25" customHeight="1" s="192">
      <c r="W50818" s="239" t="n"/>
      <c r="X50818" s="239" t="n"/>
    </row>
    <row r="50820" ht="14.25" customHeight="1" s="192">
      <c r="W50820" s="235" t="n"/>
      <c r="X50820" s="235" t="n"/>
    </row>
    <row r="50821" ht="15" customHeight="1" s="192" thickBot="1">
      <c r="W50821" s="239" t="n"/>
      <c r="X50821" s="239" t="n"/>
    </row>
    <row r="50822" ht="15" customHeight="1" s="192" thickBot="1">
      <c r="W50822" s="45" t="n"/>
      <c r="X50822" s="45" t="n"/>
    </row>
    <row r="50823" ht="14.25" customHeight="1" s="192">
      <c r="W50823" s="228" t="n"/>
      <c r="X50823" s="228" t="n"/>
    </row>
    <row r="50824" ht="14.25" customHeight="1" s="192">
      <c r="W50824" s="228" t="n"/>
      <c r="X50824" s="228" t="n"/>
    </row>
    <row r="50825" ht="14.25" customHeight="1" s="192">
      <c r="W50825" s="231" t="n"/>
      <c r="X50825" s="231" t="n"/>
    </row>
    <row r="50826" ht="14.25" customHeight="1" s="192">
      <c r="W50826" s="33" t="n"/>
      <c r="X50826" s="33" t="n"/>
    </row>
    <row r="50827" ht="14.25" customHeight="1" s="192">
      <c r="W50827" s="231" t="n"/>
      <c r="X50827" s="231" t="n"/>
    </row>
    <row r="50828" ht="14.25" customHeight="1" s="192">
      <c r="W50828" s="33" t="n"/>
      <c r="X50828" s="33" t="n"/>
    </row>
    <row r="50830" ht="14.25" customHeight="1" s="192">
      <c r="W50830" s="231" t="n"/>
      <c r="X50830" s="231" t="n"/>
    </row>
    <row r="50831" ht="14.25" customHeight="1" s="192">
      <c r="W50831" s="235" t="n"/>
      <c r="X50831" s="235" t="n"/>
    </row>
    <row r="50832" ht="14.25" customHeight="1" s="192">
      <c r="W50832" s="228" t="n"/>
      <c r="X50832" s="228" t="n"/>
    </row>
    <row r="50833" ht="14.25" customHeight="1" s="192">
      <c r="W50833" s="235" t="n"/>
      <c r="X50833" s="235" t="n"/>
    </row>
    <row r="50834" ht="14.25" customHeight="1" s="192">
      <c r="W50834" s="235" t="n"/>
      <c r="X50834" s="235" t="n"/>
    </row>
    <row r="50835" ht="14.25" customHeight="1" s="192">
      <c r="W50835" s="235" t="n"/>
      <c r="X50835" s="235" t="n"/>
    </row>
    <row r="50836" ht="14.25" customHeight="1" s="192">
      <c r="W50836" s="239" t="n"/>
      <c r="X50836" s="239" t="n"/>
    </row>
    <row r="50837" ht="14.25" customHeight="1" s="192">
      <c r="W50837" s="239" t="n"/>
      <c r="X50837" s="239" t="n"/>
    </row>
    <row r="50838" ht="14.25" customHeight="1" s="192">
      <c r="W50838" s="239" t="n"/>
      <c r="X50838" s="239" t="n"/>
    </row>
    <row r="50839" ht="14.25" customHeight="1" s="192">
      <c r="W50839" s="235" t="n"/>
      <c r="X50839" s="235" t="n"/>
    </row>
    <row r="50840" ht="14.25" customHeight="1" s="192">
      <c r="W50840" s="235" t="n"/>
      <c r="X50840" s="235" t="n"/>
    </row>
    <row r="50841" ht="14.25" customHeight="1" s="192">
      <c r="W50841" s="235" t="n"/>
      <c r="X50841" s="235" t="n"/>
    </row>
    <row r="50842" ht="14.25" customHeight="1" s="192">
      <c r="W50842" s="239" t="n"/>
      <c r="X50842" s="239" t="n"/>
    </row>
    <row r="50843" ht="14.25" customHeight="1" s="192">
      <c r="W50843" s="239" t="n"/>
      <c r="X50843" s="239" t="n"/>
    </row>
    <row r="50844" ht="14.25" customHeight="1" s="192">
      <c r="W50844" s="235" t="n"/>
      <c r="X50844" s="235" t="n"/>
    </row>
    <row r="50845" ht="14.25" customHeight="1" s="192">
      <c r="W50845" s="235" t="n"/>
      <c r="X50845" s="235" t="n"/>
    </row>
    <row r="50846" ht="14.25" customHeight="1" s="192">
      <c r="W50846" s="239" t="n"/>
      <c r="X50846" s="239" t="n"/>
    </row>
    <row r="50847" ht="14.25" customHeight="1" s="192">
      <c r="W50847" s="235" t="n"/>
      <c r="X50847" s="235" t="n"/>
    </row>
    <row r="50848" ht="14.25" customHeight="1" s="192">
      <c r="W50848" s="239" t="n"/>
      <c r="X50848" s="239" t="n"/>
    </row>
    <row r="50850" ht="14.25" customHeight="1" s="192">
      <c r="W50850" s="235" t="n"/>
      <c r="X50850" s="235" t="n"/>
    </row>
    <row r="50851" ht="15" customHeight="1" s="192" thickBot="1">
      <c r="W50851" s="239" t="n"/>
      <c r="X50851" s="239" t="n"/>
    </row>
    <row r="50852" ht="15" customHeight="1" s="192" thickBot="1">
      <c r="W50852" s="45" t="n"/>
      <c r="X50852" s="45" t="n"/>
    </row>
    <row r="50853" ht="14.25" customHeight="1" s="192">
      <c r="W50853" s="228" t="n"/>
      <c r="X50853" s="228" t="n"/>
    </row>
    <row r="50854" ht="14.25" customHeight="1" s="192">
      <c r="W50854" s="228" t="n"/>
      <c r="X50854" s="228" t="n"/>
    </row>
    <row r="50855" ht="14.25" customHeight="1" s="192">
      <c r="W50855" s="231" t="n"/>
      <c r="X50855" s="231" t="n"/>
    </row>
    <row r="50856" ht="14.25" customHeight="1" s="192">
      <c r="W50856" s="33" t="n"/>
      <c r="X50856" s="33" t="n"/>
    </row>
    <row r="50857" ht="14.25" customHeight="1" s="192">
      <c r="W50857" s="231" t="n"/>
      <c r="X50857" s="231" t="n"/>
    </row>
    <row r="50858" ht="14.25" customHeight="1" s="192">
      <c r="W50858" s="33" t="n"/>
      <c r="X50858" s="33" t="n"/>
    </row>
    <row r="50860" ht="14.25" customHeight="1" s="192">
      <c r="W50860" s="231" t="n"/>
      <c r="X50860" s="231" t="n"/>
    </row>
    <row r="50861" ht="14.25" customHeight="1" s="192">
      <c r="W50861" s="235" t="n"/>
      <c r="X50861" s="235" t="n"/>
    </row>
    <row r="50862" ht="14.25" customHeight="1" s="192">
      <c r="W50862" s="228" t="n"/>
      <c r="X50862" s="228" t="n"/>
    </row>
    <row r="50863" ht="14.25" customHeight="1" s="192">
      <c r="W50863" s="235" t="n"/>
      <c r="X50863" s="235" t="n"/>
    </row>
    <row r="50864" ht="14.25" customHeight="1" s="192">
      <c r="W50864" s="235" t="n"/>
      <c r="X50864" s="235" t="n"/>
    </row>
    <row r="50865" ht="14.25" customHeight="1" s="192">
      <c r="W50865" s="235" t="n"/>
      <c r="X50865" s="235" t="n"/>
    </row>
    <row r="50866" ht="14.25" customHeight="1" s="192">
      <c r="W50866" s="239" t="n"/>
      <c r="X50866" s="239" t="n"/>
    </row>
    <row r="50867" ht="14.25" customHeight="1" s="192">
      <c r="W50867" s="239" t="n"/>
      <c r="X50867" s="239" t="n"/>
    </row>
    <row r="50868" ht="14.25" customHeight="1" s="192">
      <c r="W50868" s="239" t="n"/>
      <c r="X50868" s="239" t="n"/>
    </row>
    <row r="50869" ht="14.25" customHeight="1" s="192">
      <c r="W50869" s="235" t="n"/>
      <c r="X50869" s="235" t="n"/>
    </row>
    <row r="50870" ht="14.25" customHeight="1" s="192">
      <c r="W50870" s="235" t="n"/>
      <c r="X50870" s="235" t="n"/>
    </row>
    <row r="50871" ht="14.25" customHeight="1" s="192">
      <c r="W50871" s="235" t="n"/>
      <c r="X50871" s="235" t="n"/>
    </row>
    <row r="50872" ht="14.25" customHeight="1" s="192">
      <c r="W50872" s="239" t="n"/>
      <c r="X50872" s="239" t="n"/>
    </row>
    <row r="50873" ht="14.25" customHeight="1" s="192">
      <c r="W50873" s="239" t="n"/>
      <c r="X50873" s="239" t="n"/>
    </row>
    <row r="50874" ht="14.25" customHeight="1" s="192">
      <c r="W50874" s="235" t="n"/>
      <c r="X50874" s="235" t="n"/>
    </row>
    <row r="50875" ht="14.25" customHeight="1" s="192">
      <c r="W50875" s="235" t="n"/>
      <c r="X50875" s="235" t="n"/>
    </row>
    <row r="50876" ht="14.25" customHeight="1" s="192">
      <c r="W50876" s="239" t="n"/>
      <c r="X50876" s="239" t="n"/>
    </row>
    <row r="50877" ht="14.25" customHeight="1" s="192">
      <c r="W50877" s="235" t="n"/>
      <c r="X50877" s="235" t="n"/>
    </row>
    <row r="50878" ht="14.25" customHeight="1" s="192">
      <c r="W50878" s="239" t="n"/>
      <c r="X50878" s="239" t="n"/>
    </row>
    <row r="50880" ht="14.25" customHeight="1" s="192">
      <c r="W50880" s="235" t="n"/>
      <c r="X50880" s="235" t="n"/>
    </row>
    <row r="50881" ht="15" customHeight="1" s="192" thickBot="1">
      <c r="W50881" s="239" t="n"/>
      <c r="X50881" s="239" t="n"/>
    </row>
    <row r="50882" ht="15" customHeight="1" s="192" thickBot="1">
      <c r="W50882" s="45" t="n"/>
      <c r="X50882" s="45" t="n"/>
    </row>
    <row r="50883" ht="14.25" customHeight="1" s="192">
      <c r="W50883" s="228" t="n"/>
      <c r="X50883" s="228" t="n"/>
    </row>
    <row r="50884" ht="14.25" customHeight="1" s="192">
      <c r="W50884" s="228" t="n"/>
      <c r="X50884" s="228" t="n"/>
    </row>
    <row r="50885" ht="14.25" customHeight="1" s="192">
      <c r="W50885" s="231" t="n"/>
      <c r="X50885" s="231" t="n"/>
    </row>
    <row r="50886" ht="14.25" customHeight="1" s="192">
      <c r="W50886" s="33" t="n"/>
      <c r="X50886" s="33" t="n"/>
    </row>
    <row r="50887" ht="14.25" customHeight="1" s="192">
      <c r="W50887" s="231" t="n"/>
      <c r="X50887" s="231" t="n"/>
    </row>
    <row r="50888" ht="14.25" customHeight="1" s="192">
      <c r="W50888" s="33" t="n"/>
      <c r="X50888" s="33" t="n"/>
    </row>
    <row r="50890" ht="14.25" customHeight="1" s="192">
      <c r="W50890" s="231" t="n"/>
      <c r="X50890" s="231" t="n"/>
    </row>
    <row r="50891" ht="14.25" customHeight="1" s="192">
      <c r="W50891" s="235" t="n"/>
      <c r="X50891" s="235" t="n"/>
    </row>
    <row r="50892" ht="14.25" customHeight="1" s="192">
      <c r="W50892" s="228" t="n"/>
      <c r="X50892" s="228" t="n"/>
    </row>
    <row r="50893" ht="14.25" customHeight="1" s="192">
      <c r="W50893" s="235" t="n"/>
      <c r="X50893" s="235" t="n"/>
    </row>
    <row r="50894" ht="14.25" customHeight="1" s="192">
      <c r="W50894" s="235" t="n"/>
      <c r="X50894" s="235" t="n"/>
    </row>
    <row r="50895" ht="14.25" customHeight="1" s="192">
      <c r="W50895" s="235" t="n"/>
      <c r="X50895" s="235" t="n"/>
    </row>
    <row r="50896" ht="14.25" customHeight="1" s="192">
      <c r="W50896" s="239" t="n"/>
      <c r="X50896" s="239" t="n"/>
    </row>
    <row r="50897" ht="14.25" customHeight="1" s="192">
      <c r="W50897" s="239" t="n"/>
      <c r="X50897" s="239" t="n"/>
    </row>
    <row r="50898" ht="14.25" customHeight="1" s="192">
      <c r="W50898" s="239" t="n"/>
      <c r="X50898" s="239" t="n"/>
    </row>
    <row r="50899" ht="14.25" customHeight="1" s="192">
      <c r="W50899" s="235" t="n"/>
      <c r="X50899" s="235" t="n"/>
    </row>
    <row r="50900" ht="14.25" customHeight="1" s="192">
      <c r="W50900" s="235" t="n"/>
      <c r="X50900" s="235" t="n"/>
    </row>
    <row r="50901" ht="14.25" customHeight="1" s="192">
      <c r="W50901" s="235" t="n"/>
      <c r="X50901" s="235" t="n"/>
    </row>
    <row r="50902" ht="14.25" customHeight="1" s="192">
      <c r="W50902" s="239" t="n"/>
      <c r="X50902" s="239" t="n"/>
    </row>
    <row r="50903" ht="14.25" customHeight="1" s="192">
      <c r="W50903" s="239" t="n"/>
      <c r="X50903" s="239" t="n"/>
    </row>
    <row r="50904" ht="14.25" customHeight="1" s="192">
      <c r="W50904" s="235" t="n"/>
      <c r="X50904" s="235" t="n"/>
    </row>
    <row r="50905" ht="14.25" customHeight="1" s="192">
      <c r="W50905" s="235" t="n"/>
      <c r="X50905" s="235" t="n"/>
    </row>
    <row r="50906" ht="14.25" customHeight="1" s="192">
      <c r="W50906" s="239" t="n"/>
      <c r="X50906" s="239" t="n"/>
    </row>
    <row r="50907" ht="14.25" customHeight="1" s="192">
      <c r="W50907" s="235" t="n"/>
      <c r="X50907" s="235" t="n"/>
    </row>
    <row r="50908" ht="14.25" customHeight="1" s="192">
      <c r="W50908" s="239" t="n"/>
      <c r="X50908" s="239" t="n"/>
    </row>
    <row r="50910" ht="14.25" customHeight="1" s="192">
      <c r="W50910" s="235" t="n"/>
      <c r="X50910" s="235" t="n"/>
    </row>
    <row r="50911" ht="15" customHeight="1" s="192" thickBot="1">
      <c r="W50911" s="239" t="n"/>
      <c r="X50911" s="239" t="n"/>
    </row>
    <row r="50912" ht="15" customHeight="1" s="192" thickBot="1">
      <c r="W50912" s="45" t="n"/>
      <c r="X50912" s="45" t="n"/>
    </row>
    <row r="50913" ht="14.25" customHeight="1" s="192">
      <c r="W50913" s="228" t="n"/>
      <c r="X50913" s="228" t="n"/>
    </row>
    <row r="50914" ht="14.25" customHeight="1" s="192">
      <c r="W50914" s="228" t="n"/>
      <c r="X50914" s="228" t="n"/>
    </row>
    <row r="50915" ht="14.25" customHeight="1" s="192">
      <c r="W50915" s="231" t="n"/>
      <c r="X50915" s="231" t="n"/>
    </row>
    <row r="50916" ht="14.25" customHeight="1" s="192">
      <c r="W50916" s="33" t="n"/>
      <c r="X50916" s="33" t="n"/>
    </row>
    <row r="50917" ht="14.25" customHeight="1" s="192">
      <c r="W50917" s="231" t="n"/>
      <c r="X50917" s="231" t="n"/>
    </row>
    <row r="50918" ht="14.25" customHeight="1" s="192">
      <c r="W50918" s="33" t="n"/>
      <c r="X50918" s="33" t="n"/>
    </row>
    <row r="50920" ht="14.25" customHeight="1" s="192">
      <c r="W50920" s="231" t="n"/>
      <c r="X50920" s="231" t="n"/>
    </row>
    <row r="50921" ht="14.25" customHeight="1" s="192">
      <c r="W50921" s="235" t="n"/>
      <c r="X50921" s="235" t="n"/>
    </row>
    <row r="50922" ht="14.25" customHeight="1" s="192">
      <c r="W50922" s="228" t="n"/>
      <c r="X50922" s="228" t="n"/>
    </row>
    <row r="50923" ht="14.25" customHeight="1" s="192">
      <c r="W50923" s="235" t="n"/>
      <c r="X50923" s="235" t="n"/>
    </row>
    <row r="50924" ht="14.25" customHeight="1" s="192">
      <c r="W50924" s="235" t="n"/>
      <c r="X50924" s="235" t="n"/>
    </row>
    <row r="50925" ht="14.25" customHeight="1" s="192">
      <c r="W50925" s="235" t="n"/>
      <c r="X50925" s="235" t="n"/>
    </row>
    <row r="50926" ht="14.25" customHeight="1" s="192">
      <c r="W50926" s="239" t="n"/>
      <c r="X50926" s="239" t="n"/>
    </row>
    <row r="50927" ht="14.25" customHeight="1" s="192">
      <c r="W50927" s="239" t="n"/>
      <c r="X50927" s="239" t="n"/>
    </row>
    <row r="50928" ht="14.25" customHeight="1" s="192">
      <c r="W50928" s="239" t="n"/>
      <c r="X50928" s="239" t="n"/>
    </row>
    <row r="50929" ht="14.25" customHeight="1" s="192">
      <c r="W50929" s="235" t="n"/>
      <c r="X50929" s="235" t="n"/>
    </row>
    <row r="50930" ht="14.25" customHeight="1" s="192">
      <c r="W50930" s="235" t="n"/>
      <c r="X50930" s="235" t="n"/>
    </row>
    <row r="50931" ht="14.25" customHeight="1" s="192">
      <c r="W50931" s="235" t="n"/>
      <c r="X50931" s="235" t="n"/>
    </row>
    <row r="50932" ht="14.25" customHeight="1" s="192">
      <c r="W50932" s="239" t="n"/>
      <c r="X50932" s="239" t="n"/>
    </row>
    <row r="50933" ht="14.25" customHeight="1" s="192">
      <c r="W50933" s="239" t="n"/>
      <c r="X50933" s="239" t="n"/>
    </row>
    <row r="50934" ht="14.25" customHeight="1" s="192">
      <c r="W50934" s="235" t="n"/>
      <c r="X50934" s="235" t="n"/>
    </row>
    <row r="50935" ht="14.25" customHeight="1" s="192">
      <c r="W50935" s="235" t="n"/>
      <c r="X50935" s="235" t="n"/>
    </row>
    <row r="50936" ht="14.25" customHeight="1" s="192">
      <c r="W50936" s="239" t="n"/>
      <c r="X50936" s="239" t="n"/>
    </row>
    <row r="50937" ht="14.25" customHeight="1" s="192">
      <c r="W50937" s="235" t="n"/>
      <c r="X50937" s="235" t="n"/>
    </row>
    <row r="50938" ht="14.25" customHeight="1" s="192">
      <c r="W50938" s="239" t="n"/>
      <c r="X50938" s="239" t="n"/>
    </row>
    <row r="50940" ht="14.25" customHeight="1" s="192">
      <c r="W50940" s="235" t="n"/>
      <c r="X50940" s="235" t="n"/>
    </row>
    <row r="50941" ht="15" customHeight="1" s="192" thickBot="1">
      <c r="W50941" s="239" t="n"/>
      <c r="X50941" s="239" t="n"/>
    </row>
    <row r="50942" ht="15" customHeight="1" s="192" thickBot="1">
      <c r="W50942" s="45" t="n"/>
      <c r="X50942" s="45" t="n"/>
    </row>
    <row r="50943" ht="14.25" customHeight="1" s="192">
      <c r="W50943" s="228" t="n"/>
      <c r="X50943" s="228" t="n"/>
    </row>
    <row r="50944" ht="14.25" customHeight="1" s="192">
      <c r="W50944" s="228" t="n"/>
      <c r="X50944" s="228" t="n"/>
    </row>
    <row r="50945" ht="14.25" customHeight="1" s="192">
      <c r="W50945" s="231" t="n"/>
      <c r="X50945" s="231" t="n"/>
    </row>
    <row r="50946" ht="14.25" customHeight="1" s="192">
      <c r="W50946" s="33" t="n"/>
      <c r="X50946" s="33" t="n"/>
    </row>
    <row r="50947" ht="14.25" customHeight="1" s="192">
      <c r="W50947" s="231" t="n"/>
      <c r="X50947" s="231" t="n"/>
    </row>
    <row r="50948" ht="14.25" customHeight="1" s="192">
      <c r="W50948" s="33" t="n"/>
      <c r="X50948" s="33" t="n"/>
    </row>
    <row r="50950" ht="14.25" customHeight="1" s="192">
      <c r="W50950" s="231" t="n"/>
      <c r="X50950" s="231" t="n"/>
    </row>
    <row r="50951" ht="14.25" customHeight="1" s="192">
      <c r="W50951" s="235" t="n"/>
      <c r="X50951" s="235" t="n"/>
    </row>
    <row r="50952" ht="14.25" customHeight="1" s="192">
      <c r="W50952" s="228" t="n"/>
      <c r="X50952" s="228" t="n"/>
    </row>
    <row r="50953" ht="14.25" customHeight="1" s="192">
      <c r="W50953" s="235" t="n"/>
      <c r="X50953" s="235" t="n"/>
    </row>
    <row r="50954" ht="14.25" customHeight="1" s="192">
      <c r="W50954" s="235" t="n"/>
      <c r="X50954" s="235" t="n"/>
    </row>
    <row r="50955" ht="14.25" customHeight="1" s="192">
      <c r="W50955" s="235" t="n"/>
      <c r="X50955" s="235" t="n"/>
    </row>
    <row r="50956" ht="14.25" customHeight="1" s="192">
      <c r="W50956" s="239" t="n"/>
      <c r="X50956" s="239" t="n"/>
    </row>
    <row r="50957" ht="14.25" customHeight="1" s="192">
      <c r="W50957" s="239" t="n"/>
      <c r="X50957" s="239" t="n"/>
    </row>
    <row r="50958" ht="14.25" customHeight="1" s="192">
      <c r="W50958" s="239" t="n"/>
      <c r="X50958" s="239" t="n"/>
    </row>
    <row r="50959" ht="14.25" customHeight="1" s="192">
      <c r="W50959" s="235" t="n"/>
      <c r="X50959" s="235" t="n"/>
    </row>
    <row r="50960" ht="14.25" customHeight="1" s="192">
      <c r="W50960" s="235" t="n"/>
      <c r="X50960" s="235" t="n"/>
    </row>
    <row r="50961" ht="14.25" customHeight="1" s="192">
      <c r="W50961" s="235" t="n"/>
      <c r="X50961" s="235" t="n"/>
    </row>
    <row r="50962" ht="14.25" customHeight="1" s="192">
      <c r="W50962" s="239" t="n"/>
      <c r="X50962" s="239" t="n"/>
    </row>
    <row r="50963" ht="14.25" customHeight="1" s="192">
      <c r="W50963" s="239" t="n"/>
      <c r="X50963" s="239" t="n"/>
    </row>
    <row r="50964" ht="14.25" customHeight="1" s="192">
      <c r="W50964" s="235" t="n"/>
      <c r="X50964" s="235" t="n"/>
    </row>
    <row r="50965" ht="14.25" customHeight="1" s="192">
      <c r="W50965" s="235" t="n"/>
      <c r="X50965" s="235" t="n"/>
    </row>
    <row r="50966" ht="14.25" customHeight="1" s="192">
      <c r="W50966" s="239" t="n"/>
      <c r="X50966" s="239" t="n"/>
    </row>
    <row r="50967" ht="14.25" customHeight="1" s="192">
      <c r="W50967" s="235" t="n"/>
      <c r="X50967" s="235" t="n"/>
    </row>
    <row r="50968" ht="14.25" customHeight="1" s="192">
      <c r="W50968" s="239" t="n"/>
      <c r="X50968" s="239" t="n"/>
    </row>
    <row r="50970" ht="14.25" customHeight="1" s="192">
      <c r="W50970" s="235" t="n"/>
      <c r="X50970" s="235" t="n"/>
    </row>
    <row r="50971" ht="15" customHeight="1" s="192" thickBot="1">
      <c r="W50971" s="239" t="n"/>
      <c r="X50971" s="239" t="n"/>
    </row>
    <row r="50972" ht="15" customHeight="1" s="192" thickBot="1">
      <c r="W50972" s="45" t="n"/>
      <c r="X50972" s="45" t="n"/>
    </row>
    <row r="50973" ht="14.25" customHeight="1" s="192">
      <c r="W50973" s="228" t="n"/>
      <c r="X50973" s="228" t="n"/>
    </row>
    <row r="50974" ht="14.25" customHeight="1" s="192">
      <c r="W50974" s="228" t="n"/>
      <c r="X50974" s="228" t="n"/>
    </row>
    <row r="50975" ht="14.25" customHeight="1" s="192">
      <c r="W50975" s="231" t="n"/>
      <c r="X50975" s="231" t="n"/>
    </row>
    <row r="50976" ht="14.25" customHeight="1" s="192">
      <c r="W50976" s="33" t="n"/>
      <c r="X50976" s="33" t="n"/>
    </row>
    <row r="50977" ht="14.25" customHeight="1" s="192">
      <c r="W50977" s="231" t="n"/>
      <c r="X50977" s="231" t="n"/>
    </row>
    <row r="50978" ht="14.25" customHeight="1" s="192">
      <c r="W50978" s="33" t="n"/>
      <c r="X50978" s="33" t="n"/>
    </row>
    <row r="50980" ht="14.25" customHeight="1" s="192">
      <c r="W50980" s="231" t="n"/>
      <c r="X50980" s="231" t="n"/>
    </row>
    <row r="50981" ht="14.25" customHeight="1" s="192">
      <c r="W50981" s="235" t="n"/>
      <c r="X50981" s="235" t="n"/>
    </row>
    <row r="50982" ht="14.25" customHeight="1" s="192">
      <c r="W50982" s="228" t="n"/>
      <c r="X50982" s="228" t="n"/>
    </row>
    <row r="50983" ht="14.25" customHeight="1" s="192">
      <c r="W50983" s="235" t="n"/>
      <c r="X50983" s="235" t="n"/>
    </row>
    <row r="50984" ht="14.25" customHeight="1" s="192">
      <c r="W50984" s="235" t="n"/>
      <c r="X50984" s="235" t="n"/>
    </row>
    <row r="50985" ht="14.25" customHeight="1" s="192">
      <c r="W50985" s="235" t="n"/>
      <c r="X50985" s="235" t="n"/>
    </row>
    <row r="50986" ht="14.25" customHeight="1" s="192">
      <c r="W50986" s="239" t="n"/>
      <c r="X50986" s="239" t="n"/>
    </row>
    <row r="50987" ht="14.25" customHeight="1" s="192">
      <c r="W50987" s="239" t="n"/>
      <c r="X50987" s="239" t="n"/>
    </row>
    <row r="50988" ht="14.25" customHeight="1" s="192">
      <c r="W50988" s="239" t="n"/>
      <c r="X50988" s="239" t="n"/>
    </row>
    <row r="50989" ht="14.25" customHeight="1" s="192">
      <c r="W50989" s="235" t="n"/>
      <c r="X50989" s="235" t="n"/>
    </row>
    <row r="50990" ht="14.25" customHeight="1" s="192">
      <c r="W50990" s="235" t="n"/>
      <c r="X50990" s="235" t="n"/>
    </row>
    <row r="50991" ht="14.25" customHeight="1" s="192">
      <c r="W50991" s="235" t="n"/>
      <c r="X50991" s="235" t="n"/>
    </row>
    <row r="50992" ht="14.25" customHeight="1" s="192">
      <c r="W50992" s="239" t="n"/>
      <c r="X50992" s="239" t="n"/>
    </row>
    <row r="50993" ht="14.25" customHeight="1" s="192">
      <c r="W50993" s="239" t="n"/>
      <c r="X50993" s="239" t="n"/>
    </row>
    <row r="50994" ht="14.25" customHeight="1" s="192">
      <c r="W50994" s="235" t="n"/>
      <c r="X50994" s="235" t="n"/>
    </row>
    <row r="50995" ht="14.25" customHeight="1" s="192">
      <c r="W50995" s="235" t="n"/>
      <c r="X50995" s="235" t="n"/>
    </row>
    <row r="50996" ht="14.25" customHeight="1" s="192">
      <c r="W50996" s="239" t="n"/>
      <c r="X50996" s="239" t="n"/>
    </row>
    <row r="50997" ht="14.25" customHeight="1" s="192">
      <c r="W50997" s="235" t="n"/>
      <c r="X50997" s="235" t="n"/>
    </row>
    <row r="50998" ht="14.25" customHeight="1" s="192">
      <c r="W50998" s="239" t="n"/>
      <c r="X50998" s="239" t="n"/>
    </row>
    <row r="51000" ht="14.25" customHeight="1" s="192">
      <c r="W51000" s="235" t="n"/>
      <c r="X51000" s="235" t="n"/>
    </row>
    <row r="51001" ht="15" customHeight="1" s="192" thickBot="1">
      <c r="W51001" s="239" t="n"/>
      <c r="X51001" s="239" t="n"/>
    </row>
    <row r="51002" ht="15" customHeight="1" s="192" thickBot="1">
      <c r="W51002" s="45" t="n"/>
      <c r="X51002" s="45" t="n"/>
    </row>
    <row r="51003" ht="14.25" customHeight="1" s="192">
      <c r="W51003" s="228" t="n"/>
      <c r="X51003" s="228" t="n"/>
    </row>
    <row r="51004" ht="14.25" customHeight="1" s="192">
      <c r="W51004" s="228" t="n"/>
      <c r="X51004" s="228" t="n"/>
    </row>
    <row r="51005" ht="14.25" customHeight="1" s="192">
      <c r="W51005" s="231" t="n"/>
      <c r="X51005" s="231" t="n"/>
    </row>
    <row r="51006" ht="14.25" customHeight="1" s="192">
      <c r="W51006" s="33" t="n"/>
      <c r="X51006" s="33" t="n"/>
    </row>
    <row r="51007" ht="14.25" customHeight="1" s="192">
      <c r="W51007" s="231" t="n"/>
      <c r="X51007" s="231" t="n"/>
    </row>
    <row r="51008" ht="14.25" customHeight="1" s="192">
      <c r="W51008" s="33" t="n"/>
      <c r="X51008" s="33" t="n"/>
    </row>
    <row r="51010" ht="14.25" customHeight="1" s="192">
      <c r="W51010" s="231" t="n"/>
      <c r="X51010" s="231" t="n"/>
    </row>
    <row r="51011" ht="14.25" customHeight="1" s="192">
      <c r="W51011" s="235" t="n"/>
      <c r="X51011" s="235" t="n"/>
    </row>
    <row r="51012" ht="14.25" customHeight="1" s="192">
      <c r="W51012" s="228" t="n"/>
      <c r="X51012" s="228" t="n"/>
    </row>
    <row r="51013" ht="14.25" customHeight="1" s="192">
      <c r="W51013" s="235" t="n"/>
      <c r="X51013" s="235" t="n"/>
    </row>
    <row r="51014" ht="14.25" customHeight="1" s="192">
      <c r="W51014" s="235" t="n"/>
      <c r="X51014" s="235" t="n"/>
    </row>
    <row r="51015" ht="14.25" customHeight="1" s="192">
      <c r="W51015" s="235" t="n"/>
      <c r="X51015" s="235" t="n"/>
    </row>
    <row r="51016" ht="14.25" customHeight="1" s="192">
      <c r="W51016" s="239" t="n"/>
      <c r="X51016" s="239" t="n"/>
    </row>
    <row r="51017" ht="14.25" customHeight="1" s="192">
      <c r="W51017" s="239" t="n"/>
      <c r="X51017" s="239" t="n"/>
    </row>
    <row r="51018" ht="14.25" customHeight="1" s="192">
      <c r="W51018" s="239" t="n"/>
      <c r="X51018" s="239" t="n"/>
    </row>
    <row r="51019" ht="14.25" customHeight="1" s="192">
      <c r="W51019" s="235" t="n"/>
      <c r="X51019" s="235" t="n"/>
    </row>
    <row r="51020" ht="14.25" customHeight="1" s="192">
      <c r="W51020" s="235" t="n"/>
      <c r="X51020" s="235" t="n"/>
    </row>
    <row r="51021" ht="14.25" customHeight="1" s="192">
      <c r="W51021" s="235" t="n"/>
      <c r="X51021" s="235" t="n"/>
    </row>
    <row r="51022" ht="14.25" customHeight="1" s="192">
      <c r="W51022" s="239" t="n"/>
      <c r="X51022" s="239" t="n"/>
    </row>
    <row r="51023" ht="14.25" customHeight="1" s="192">
      <c r="W51023" s="239" t="n"/>
      <c r="X51023" s="239" t="n"/>
    </row>
    <row r="51024" ht="14.25" customHeight="1" s="192">
      <c r="W51024" s="235" t="n"/>
      <c r="X51024" s="235" t="n"/>
    </row>
    <row r="51025" ht="14.25" customHeight="1" s="192">
      <c r="W51025" s="235" t="n"/>
      <c r="X51025" s="235" t="n"/>
    </row>
    <row r="51026" ht="14.25" customHeight="1" s="192">
      <c r="W51026" s="239" t="n"/>
      <c r="X51026" s="239" t="n"/>
    </row>
    <row r="51027" ht="14.25" customHeight="1" s="192">
      <c r="W51027" s="235" t="n"/>
      <c r="X51027" s="235" t="n"/>
    </row>
    <row r="51028" ht="14.25" customHeight="1" s="192">
      <c r="W51028" s="239" t="n"/>
      <c r="X51028" s="239" t="n"/>
    </row>
    <row r="51030" ht="14.25" customHeight="1" s="192">
      <c r="W51030" s="235" t="n"/>
      <c r="X51030" s="235" t="n"/>
    </row>
    <row r="51031" ht="15" customHeight="1" s="192" thickBot="1">
      <c r="W51031" s="239" t="n"/>
      <c r="X51031" s="239" t="n"/>
    </row>
    <row r="51032" ht="15" customHeight="1" s="192" thickBot="1">
      <c r="W51032" s="45" t="n"/>
      <c r="X51032" s="45" t="n"/>
    </row>
    <row r="51033" ht="14.25" customHeight="1" s="192">
      <c r="W51033" s="228" t="n"/>
      <c r="X51033" s="228" t="n"/>
    </row>
    <row r="51034" ht="14.25" customHeight="1" s="192">
      <c r="W51034" s="228" t="n"/>
      <c r="X51034" s="228" t="n"/>
    </row>
    <row r="51035" ht="14.25" customHeight="1" s="192">
      <c r="W51035" s="231" t="n"/>
      <c r="X51035" s="231" t="n"/>
    </row>
    <row r="51036" ht="14.25" customHeight="1" s="192">
      <c r="W51036" s="33" t="n"/>
      <c r="X51036" s="33" t="n"/>
    </row>
    <row r="51037" ht="14.25" customHeight="1" s="192">
      <c r="W51037" s="231" t="n"/>
      <c r="X51037" s="231" t="n"/>
    </row>
    <row r="51038" ht="14.25" customHeight="1" s="192">
      <c r="W51038" s="33" t="n"/>
      <c r="X51038" s="33" t="n"/>
    </row>
    <row r="51040" ht="14.25" customHeight="1" s="192">
      <c r="W51040" s="231" t="n"/>
      <c r="X51040" s="231" t="n"/>
    </row>
    <row r="51041" ht="14.25" customHeight="1" s="192">
      <c r="W51041" s="235" t="n"/>
      <c r="X51041" s="235" t="n"/>
    </row>
    <row r="51042" ht="14.25" customHeight="1" s="192">
      <c r="W51042" s="228" t="n"/>
      <c r="X51042" s="228" t="n"/>
    </row>
    <row r="51043" ht="14.25" customHeight="1" s="192">
      <c r="W51043" s="235" t="n"/>
      <c r="X51043" s="235" t="n"/>
    </row>
    <row r="51044" ht="14.25" customHeight="1" s="192">
      <c r="W51044" s="235" t="n"/>
      <c r="X51044" s="235" t="n"/>
    </row>
    <row r="51045" ht="14.25" customHeight="1" s="192">
      <c r="W51045" s="235" t="n"/>
      <c r="X51045" s="235" t="n"/>
    </row>
    <row r="51046" ht="14.25" customHeight="1" s="192">
      <c r="W51046" s="239" t="n"/>
      <c r="X51046" s="239" t="n"/>
    </row>
    <row r="51047" ht="14.25" customHeight="1" s="192">
      <c r="W51047" s="239" t="n"/>
      <c r="X51047" s="239" t="n"/>
    </row>
    <row r="51048" ht="14.25" customHeight="1" s="192">
      <c r="W51048" s="239" t="n"/>
      <c r="X51048" s="239" t="n"/>
    </row>
    <row r="51049" ht="14.25" customHeight="1" s="192">
      <c r="W51049" s="235" t="n"/>
      <c r="X51049" s="235" t="n"/>
    </row>
    <row r="51050" ht="14.25" customHeight="1" s="192">
      <c r="W51050" s="235" t="n"/>
      <c r="X51050" s="235" t="n"/>
    </row>
    <row r="51051" ht="14.25" customHeight="1" s="192">
      <c r="W51051" s="235" t="n"/>
      <c r="X51051" s="235" t="n"/>
    </row>
    <row r="51052" ht="14.25" customHeight="1" s="192">
      <c r="W51052" s="239" t="n"/>
      <c r="X51052" s="239" t="n"/>
    </row>
    <row r="51053" ht="14.25" customHeight="1" s="192">
      <c r="W51053" s="239" t="n"/>
      <c r="X51053" s="239" t="n"/>
    </row>
    <row r="51054" ht="14.25" customHeight="1" s="192">
      <c r="W51054" s="235" t="n"/>
      <c r="X51054" s="235" t="n"/>
    </row>
    <row r="51055" ht="14.25" customHeight="1" s="192">
      <c r="W51055" s="235" t="n"/>
      <c r="X51055" s="235" t="n"/>
    </row>
    <row r="51056" ht="14.25" customHeight="1" s="192">
      <c r="W51056" s="239" t="n"/>
      <c r="X51056" s="239" t="n"/>
    </row>
    <row r="51057" ht="14.25" customHeight="1" s="192">
      <c r="W51057" s="235" t="n"/>
      <c r="X51057" s="235" t="n"/>
    </row>
    <row r="51058" ht="14.25" customHeight="1" s="192">
      <c r="W51058" s="239" t="n"/>
      <c r="X51058" s="239" t="n"/>
    </row>
    <row r="51060" ht="14.25" customHeight="1" s="192">
      <c r="W51060" s="235" t="n"/>
      <c r="X51060" s="235" t="n"/>
    </row>
    <row r="51061" ht="15" customHeight="1" s="192" thickBot="1">
      <c r="W51061" s="239" t="n"/>
      <c r="X51061" s="239" t="n"/>
    </row>
    <row r="51062" ht="15" customHeight="1" s="192" thickBot="1">
      <c r="W51062" s="45" t="n"/>
      <c r="X51062" s="45" t="n"/>
    </row>
    <row r="51063" ht="14.25" customHeight="1" s="192">
      <c r="W51063" s="228" t="n"/>
      <c r="X51063" s="228" t="n"/>
    </row>
    <row r="51064" ht="14.25" customHeight="1" s="192">
      <c r="W51064" s="228" t="n"/>
      <c r="X51064" s="228" t="n"/>
    </row>
    <row r="51065" ht="14.25" customHeight="1" s="192">
      <c r="W51065" s="231" t="n"/>
      <c r="X51065" s="231" t="n"/>
    </row>
    <row r="51066" ht="14.25" customHeight="1" s="192">
      <c r="W51066" s="33" t="n"/>
      <c r="X51066" s="33" t="n"/>
    </row>
    <row r="51067" ht="14.25" customHeight="1" s="192">
      <c r="W51067" s="231" t="n"/>
      <c r="X51067" s="231" t="n"/>
    </row>
    <row r="51068" ht="14.25" customHeight="1" s="192">
      <c r="W51068" s="33" t="n"/>
      <c r="X51068" s="33" t="n"/>
    </row>
    <row r="51070" ht="14.25" customHeight="1" s="192">
      <c r="W51070" s="231" t="n"/>
      <c r="X51070" s="231" t="n"/>
    </row>
    <row r="51071" ht="14.25" customHeight="1" s="192">
      <c r="W51071" s="235" t="n"/>
      <c r="X51071" s="235" t="n"/>
    </row>
    <row r="51072" ht="14.25" customHeight="1" s="192">
      <c r="W51072" s="228" t="n"/>
      <c r="X51072" s="228" t="n"/>
    </row>
    <row r="51073" ht="14.25" customHeight="1" s="192">
      <c r="W51073" s="235" t="n"/>
      <c r="X51073" s="235" t="n"/>
    </row>
    <row r="51074" ht="14.25" customHeight="1" s="192">
      <c r="W51074" s="235" t="n"/>
      <c r="X51074" s="235" t="n"/>
    </row>
    <row r="51075" ht="14.25" customHeight="1" s="192">
      <c r="W51075" s="235" t="n"/>
      <c r="X51075" s="235" t="n"/>
    </row>
    <row r="51076" ht="14.25" customHeight="1" s="192">
      <c r="W51076" s="239" t="n"/>
      <c r="X51076" s="239" t="n"/>
    </row>
    <row r="51077" ht="14.25" customHeight="1" s="192">
      <c r="W51077" s="239" t="n"/>
      <c r="X51077" s="239" t="n"/>
    </row>
    <row r="51078" ht="14.25" customHeight="1" s="192">
      <c r="W51078" s="239" t="n"/>
      <c r="X51078" s="239" t="n"/>
    </row>
    <row r="51079" ht="14.25" customHeight="1" s="192">
      <c r="W51079" s="235" t="n"/>
      <c r="X51079" s="235" t="n"/>
    </row>
    <row r="51080" ht="14.25" customHeight="1" s="192">
      <c r="W51080" s="235" t="n"/>
      <c r="X51080" s="235" t="n"/>
    </row>
    <row r="51081" ht="14.25" customHeight="1" s="192">
      <c r="W51081" s="235" t="n"/>
      <c r="X51081" s="235" t="n"/>
    </row>
    <row r="51082" ht="14.25" customHeight="1" s="192">
      <c r="W51082" s="239" t="n"/>
      <c r="X51082" s="239" t="n"/>
    </row>
    <row r="51083" ht="14.25" customHeight="1" s="192">
      <c r="W51083" s="239" t="n"/>
      <c r="X51083" s="239" t="n"/>
    </row>
    <row r="51084" ht="14.25" customHeight="1" s="192">
      <c r="W51084" s="235" t="n"/>
      <c r="X51084" s="235" t="n"/>
    </row>
    <row r="51085" ht="14.25" customHeight="1" s="192">
      <c r="W51085" s="235" t="n"/>
      <c r="X51085" s="235" t="n"/>
    </row>
    <row r="51086" ht="14.25" customHeight="1" s="192">
      <c r="W51086" s="239" t="n"/>
      <c r="X51086" s="239" t="n"/>
    </row>
    <row r="51087" ht="14.25" customHeight="1" s="192">
      <c r="W51087" s="235" t="n"/>
      <c r="X51087" s="235" t="n"/>
    </row>
    <row r="51088" ht="14.25" customHeight="1" s="192">
      <c r="W51088" s="239" t="n"/>
      <c r="X51088" s="239" t="n"/>
    </row>
    <row r="51090" ht="14.25" customHeight="1" s="192">
      <c r="W51090" s="235" t="n"/>
      <c r="X51090" s="235" t="n"/>
    </row>
    <row r="51091" ht="15" customHeight="1" s="192" thickBot="1">
      <c r="W51091" s="239" t="n"/>
      <c r="X51091" s="239" t="n"/>
    </row>
    <row r="51092" ht="15" customHeight="1" s="192" thickBot="1">
      <c r="W51092" s="45" t="n"/>
      <c r="X51092" s="45" t="n"/>
    </row>
    <row r="51093" ht="14.25" customHeight="1" s="192">
      <c r="W51093" s="228" t="n"/>
      <c r="X51093" s="228" t="n"/>
    </row>
    <row r="51094" ht="14.25" customHeight="1" s="192">
      <c r="W51094" s="228" t="n"/>
      <c r="X51094" s="228" t="n"/>
    </row>
    <row r="51095" ht="14.25" customHeight="1" s="192">
      <c r="W51095" s="231" t="n"/>
      <c r="X51095" s="231" t="n"/>
    </row>
    <row r="51096" ht="14.25" customHeight="1" s="192">
      <c r="W51096" s="33" t="n"/>
      <c r="X51096" s="33" t="n"/>
    </row>
    <row r="51097" ht="14.25" customHeight="1" s="192">
      <c r="W51097" s="231" t="n"/>
      <c r="X51097" s="231" t="n"/>
    </row>
    <row r="51098" ht="14.25" customHeight="1" s="192">
      <c r="W51098" s="33" t="n"/>
      <c r="X51098" s="33" t="n"/>
    </row>
    <row r="51100" ht="14.25" customHeight="1" s="192">
      <c r="W51100" s="231" t="n"/>
      <c r="X51100" s="231" t="n"/>
    </row>
    <row r="51101" ht="14.25" customHeight="1" s="192">
      <c r="W51101" s="235" t="n"/>
      <c r="X51101" s="235" t="n"/>
    </row>
    <row r="51102" ht="14.25" customHeight="1" s="192">
      <c r="W51102" s="228" t="n"/>
      <c r="X51102" s="228" t="n"/>
    </row>
    <row r="51103" ht="14.25" customHeight="1" s="192">
      <c r="W51103" s="235" t="n"/>
      <c r="X51103" s="235" t="n"/>
    </row>
    <row r="51104" ht="14.25" customHeight="1" s="192">
      <c r="W51104" s="235" t="n"/>
      <c r="X51104" s="235" t="n"/>
    </row>
    <row r="51105" ht="14.25" customHeight="1" s="192">
      <c r="W51105" s="235" t="n"/>
      <c r="X51105" s="235" t="n"/>
    </row>
    <row r="51106" ht="14.25" customHeight="1" s="192">
      <c r="W51106" s="239" t="n"/>
      <c r="X51106" s="239" t="n"/>
    </row>
    <row r="51107" ht="14.25" customHeight="1" s="192">
      <c r="W51107" s="239" t="n"/>
      <c r="X51107" s="239" t="n"/>
    </row>
    <row r="51108" ht="14.25" customHeight="1" s="192">
      <c r="W51108" s="239" t="n"/>
      <c r="X51108" s="239" t="n"/>
    </row>
    <row r="51109" ht="14.25" customHeight="1" s="192">
      <c r="W51109" s="235" t="n"/>
      <c r="X51109" s="235" t="n"/>
    </row>
    <row r="51110" ht="14.25" customHeight="1" s="192">
      <c r="W51110" s="235" t="n"/>
      <c r="X51110" s="235" t="n"/>
    </row>
    <row r="51111" ht="14.25" customHeight="1" s="192">
      <c r="W51111" s="235" t="n"/>
      <c r="X51111" s="235" t="n"/>
    </row>
    <row r="51112" ht="14.25" customHeight="1" s="192">
      <c r="W51112" s="239" t="n"/>
      <c r="X51112" s="239" t="n"/>
    </row>
    <row r="51113" ht="14.25" customHeight="1" s="192">
      <c r="W51113" s="239" t="n"/>
      <c r="X51113" s="239" t="n"/>
    </row>
    <row r="51114" ht="14.25" customHeight="1" s="192">
      <c r="W51114" s="235" t="n"/>
      <c r="X51114" s="235" t="n"/>
    </row>
    <row r="51115" ht="14.25" customHeight="1" s="192">
      <c r="W51115" s="235" t="n"/>
      <c r="X51115" s="235" t="n"/>
    </row>
    <row r="51116" ht="14.25" customHeight="1" s="192">
      <c r="W51116" s="239" t="n"/>
      <c r="X51116" s="239" t="n"/>
    </row>
    <row r="51117" ht="14.25" customHeight="1" s="192">
      <c r="W51117" s="235" t="n"/>
      <c r="X51117" s="235" t="n"/>
    </row>
    <row r="51118" ht="14.25" customHeight="1" s="192">
      <c r="W51118" s="239" t="n"/>
      <c r="X51118" s="239" t="n"/>
    </row>
    <row r="51120" ht="14.25" customHeight="1" s="192">
      <c r="W51120" s="235" t="n"/>
      <c r="X51120" s="235" t="n"/>
    </row>
    <row r="51121" ht="15" customHeight="1" s="192" thickBot="1">
      <c r="W51121" s="239" t="n"/>
      <c r="X51121" s="239" t="n"/>
    </row>
    <row r="51122" ht="15" customHeight="1" s="192" thickBot="1">
      <c r="W51122" s="45" t="n"/>
      <c r="X51122" s="45" t="n"/>
    </row>
    <row r="51123" ht="14.25" customHeight="1" s="192">
      <c r="W51123" s="228" t="n"/>
      <c r="X51123" s="228" t="n"/>
    </row>
    <row r="51124" ht="14.25" customHeight="1" s="192">
      <c r="W51124" s="228" t="n"/>
      <c r="X51124" s="228" t="n"/>
    </row>
    <row r="51125" ht="14.25" customHeight="1" s="192">
      <c r="W51125" s="231" t="n"/>
      <c r="X51125" s="231" t="n"/>
    </row>
    <row r="51126" ht="14.25" customHeight="1" s="192">
      <c r="W51126" s="33" t="n"/>
      <c r="X51126" s="33" t="n"/>
    </row>
    <row r="51127" ht="14.25" customHeight="1" s="192">
      <c r="W51127" s="231" t="n"/>
      <c r="X51127" s="231" t="n"/>
    </row>
    <row r="51128" ht="14.25" customHeight="1" s="192">
      <c r="W51128" s="33" t="n"/>
      <c r="X51128" s="33" t="n"/>
    </row>
    <row r="51130" ht="14.25" customHeight="1" s="192">
      <c r="W51130" s="231" t="n"/>
      <c r="X51130" s="231" t="n"/>
    </row>
    <row r="51131" ht="14.25" customHeight="1" s="192">
      <c r="W51131" s="235" t="n"/>
      <c r="X51131" s="235" t="n"/>
    </row>
    <row r="51132" ht="14.25" customHeight="1" s="192">
      <c r="W51132" s="228" t="n"/>
      <c r="X51132" s="228" t="n"/>
    </row>
    <row r="51133" ht="14.25" customHeight="1" s="192">
      <c r="W51133" s="235" t="n"/>
      <c r="X51133" s="235" t="n"/>
    </row>
    <row r="51134" ht="14.25" customHeight="1" s="192">
      <c r="W51134" s="235" t="n"/>
      <c r="X51134" s="235" t="n"/>
    </row>
    <row r="51135" ht="14.25" customHeight="1" s="192">
      <c r="W51135" s="235" t="n"/>
      <c r="X51135" s="235" t="n"/>
    </row>
    <row r="51136" ht="14.25" customHeight="1" s="192">
      <c r="W51136" s="239" t="n"/>
      <c r="X51136" s="239" t="n"/>
    </row>
    <row r="51137" ht="14.25" customHeight="1" s="192">
      <c r="W51137" s="239" t="n"/>
      <c r="X51137" s="239" t="n"/>
    </row>
    <row r="51138" ht="14.25" customHeight="1" s="192">
      <c r="W51138" s="239" t="n"/>
      <c r="X51138" s="239" t="n"/>
    </row>
    <row r="51139" ht="14.25" customHeight="1" s="192">
      <c r="W51139" s="235" t="n"/>
      <c r="X51139" s="235" t="n"/>
    </row>
    <row r="51140" ht="14.25" customHeight="1" s="192">
      <c r="W51140" s="235" t="n"/>
      <c r="X51140" s="235" t="n"/>
    </row>
    <row r="51141" ht="14.25" customHeight="1" s="192">
      <c r="W51141" s="235" t="n"/>
      <c r="X51141" s="235" t="n"/>
    </row>
    <row r="51142" ht="14.25" customHeight="1" s="192">
      <c r="W51142" s="239" t="n"/>
      <c r="X51142" s="239" t="n"/>
    </row>
    <row r="51143" ht="14.25" customHeight="1" s="192">
      <c r="W51143" s="239" t="n"/>
      <c r="X51143" s="239" t="n"/>
    </row>
    <row r="51144" ht="14.25" customHeight="1" s="192">
      <c r="W51144" s="235" t="n"/>
      <c r="X51144" s="235" t="n"/>
    </row>
    <row r="51145" ht="14.25" customHeight="1" s="192">
      <c r="W51145" s="235" t="n"/>
      <c r="X51145" s="235" t="n"/>
    </row>
    <row r="51146" ht="14.25" customHeight="1" s="192">
      <c r="W51146" s="239" t="n"/>
      <c r="X51146" s="239" t="n"/>
    </row>
    <row r="51147" ht="14.25" customHeight="1" s="192">
      <c r="W51147" s="235" t="n"/>
      <c r="X51147" s="235" t="n"/>
    </row>
    <row r="51148" ht="14.25" customHeight="1" s="192">
      <c r="W51148" s="239" t="n"/>
      <c r="X51148" s="239" t="n"/>
    </row>
    <row r="51150" ht="14.25" customHeight="1" s="192">
      <c r="W51150" s="235" t="n"/>
      <c r="X51150" s="235" t="n"/>
    </row>
    <row r="51151" ht="15" customHeight="1" s="192" thickBot="1">
      <c r="W51151" s="239" t="n"/>
      <c r="X51151" s="239" t="n"/>
    </row>
    <row r="51152" ht="15" customHeight="1" s="192" thickBot="1">
      <c r="W51152" s="45" t="n"/>
      <c r="X51152" s="45" t="n"/>
    </row>
    <row r="51153" ht="14.25" customHeight="1" s="192">
      <c r="W51153" s="228" t="n"/>
      <c r="X51153" s="228" t="n"/>
    </row>
    <row r="51154" ht="14.25" customHeight="1" s="192">
      <c r="W51154" s="228" t="n"/>
      <c r="X51154" s="228" t="n"/>
    </row>
    <row r="51155" ht="14.25" customHeight="1" s="192">
      <c r="W51155" s="231" t="n"/>
      <c r="X51155" s="231" t="n"/>
    </row>
    <row r="51156" ht="14.25" customHeight="1" s="192">
      <c r="W51156" s="33" t="n"/>
      <c r="X51156" s="33" t="n"/>
    </row>
    <row r="51157" ht="14.25" customHeight="1" s="192">
      <c r="W51157" s="231" t="n"/>
      <c r="X51157" s="231" t="n"/>
    </row>
    <row r="51158" ht="14.25" customHeight="1" s="192">
      <c r="W51158" s="33" t="n"/>
      <c r="X51158" s="33" t="n"/>
    </row>
    <row r="51160" ht="14.25" customHeight="1" s="192">
      <c r="W51160" s="231" t="n"/>
      <c r="X51160" s="231" t="n"/>
    </row>
    <row r="51161" ht="14.25" customHeight="1" s="192">
      <c r="W51161" s="235" t="n"/>
      <c r="X51161" s="235" t="n"/>
    </row>
    <row r="51162" ht="14.25" customHeight="1" s="192">
      <c r="W51162" s="228" t="n"/>
      <c r="X51162" s="228" t="n"/>
    </row>
    <row r="51163" ht="14.25" customHeight="1" s="192">
      <c r="W51163" s="235" t="n"/>
      <c r="X51163" s="235" t="n"/>
    </row>
    <row r="51164" ht="14.25" customHeight="1" s="192">
      <c r="W51164" s="235" t="n"/>
      <c r="X51164" s="235" t="n"/>
    </row>
    <row r="51165" ht="14.25" customHeight="1" s="192">
      <c r="W51165" s="235" t="n"/>
      <c r="X51165" s="235" t="n"/>
    </row>
    <row r="51166" ht="14.25" customHeight="1" s="192">
      <c r="W51166" s="239" t="n"/>
      <c r="X51166" s="239" t="n"/>
    </row>
    <row r="51167" ht="14.25" customHeight="1" s="192">
      <c r="W51167" s="239" t="n"/>
      <c r="X51167" s="239" t="n"/>
    </row>
    <row r="51168" ht="14.25" customHeight="1" s="192">
      <c r="W51168" s="239" t="n"/>
      <c r="X51168" s="239" t="n"/>
    </row>
    <row r="51169" ht="14.25" customHeight="1" s="192">
      <c r="W51169" s="235" t="n"/>
      <c r="X51169" s="235" t="n"/>
    </row>
    <row r="51170" ht="14.25" customHeight="1" s="192">
      <c r="W51170" s="235" t="n"/>
      <c r="X51170" s="235" t="n"/>
    </row>
    <row r="51171" ht="14.25" customHeight="1" s="192">
      <c r="W51171" s="235" t="n"/>
      <c r="X51171" s="235" t="n"/>
    </row>
    <row r="51172" ht="14.25" customHeight="1" s="192">
      <c r="W51172" s="239" t="n"/>
      <c r="X51172" s="239" t="n"/>
    </row>
    <row r="51173" ht="14.25" customHeight="1" s="192">
      <c r="W51173" s="239" t="n"/>
      <c r="X51173" s="239" t="n"/>
    </row>
    <row r="51174" ht="14.25" customHeight="1" s="192">
      <c r="W51174" s="235" t="n"/>
      <c r="X51174" s="235" t="n"/>
    </row>
    <row r="51175" ht="14.25" customHeight="1" s="192">
      <c r="W51175" s="235" t="n"/>
      <c r="X51175" s="235" t="n"/>
    </row>
    <row r="51176" ht="14.25" customHeight="1" s="192">
      <c r="W51176" s="239" t="n"/>
      <c r="X51176" s="239" t="n"/>
    </row>
    <row r="51177" ht="14.25" customHeight="1" s="192">
      <c r="W51177" s="235" t="n"/>
      <c r="X51177" s="235" t="n"/>
    </row>
    <row r="51178" ht="14.25" customHeight="1" s="192">
      <c r="W51178" s="239" t="n"/>
      <c r="X51178" s="239" t="n"/>
    </row>
    <row r="51180" ht="14.25" customHeight="1" s="192">
      <c r="W51180" s="235" t="n"/>
      <c r="X51180" s="235" t="n"/>
    </row>
    <row r="51181" ht="15" customHeight="1" s="192" thickBot="1">
      <c r="W51181" s="239" t="n"/>
      <c r="X51181" s="239" t="n"/>
    </row>
    <row r="51182" ht="15" customHeight="1" s="192" thickBot="1">
      <c r="W51182" s="45" t="n"/>
      <c r="X51182" s="45" t="n"/>
    </row>
    <row r="51183" ht="14.25" customHeight="1" s="192">
      <c r="W51183" s="228" t="n"/>
      <c r="X51183" s="228" t="n"/>
    </row>
    <row r="51184" ht="14.25" customHeight="1" s="192">
      <c r="W51184" s="228" t="n"/>
      <c r="X51184" s="228" t="n"/>
    </row>
    <row r="51185" ht="14.25" customHeight="1" s="192">
      <c r="W51185" s="231" t="n"/>
      <c r="X51185" s="231" t="n"/>
    </row>
    <row r="51186" ht="14.25" customHeight="1" s="192">
      <c r="W51186" s="33" t="n"/>
      <c r="X51186" s="33" t="n"/>
    </row>
    <row r="51187" ht="14.25" customHeight="1" s="192">
      <c r="W51187" s="231" t="n"/>
      <c r="X51187" s="231" t="n"/>
    </row>
    <row r="51188" ht="14.25" customHeight="1" s="192">
      <c r="W51188" s="33" t="n"/>
      <c r="X51188" s="33" t="n"/>
    </row>
    <row r="51190" ht="14.25" customHeight="1" s="192">
      <c r="W51190" s="231" t="n"/>
      <c r="X51190" s="231" t="n"/>
    </row>
    <row r="51191" ht="14.25" customHeight="1" s="192">
      <c r="W51191" s="235" t="n"/>
      <c r="X51191" s="235" t="n"/>
    </row>
    <row r="51192" ht="14.25" customHeight="1" s="192">
      <c r="W51192" s="228" t="n"/>
      <c r="X51192" s="228" t="n"/>
    </row>
    <row r="51193" ht="14.25" customHeight="1" s="192">
      <c r="W51193" s="235" t="n"/>
      <c r="X51193" s="235" t="n"/>
    </row>
    <row r="51194" ht="14.25" customHeight="1" s="192">
      <c r="W51194" s="235" t="n"/>
      <c r="X51194" s="235" t="n"/>
    </row>
    <row r="51195" ht="14.25" customHeight="1" s="192">
      <c r="W51195" s="235" t="n"/>
      <c r="X51195" s="235" t="n"/>
    </row>
    <row r="51196" ht="14.25" customHeight="1" s="192">
      <c r="W51196" s="239" t="n"/>
      <c r="X51196" s="239" t="n"/>
    </row>
    <row r="51197" ht="14.25" customHeight="1" s="192">
      <c r="W51197" s="239" t="n"/>
      <c r="X51197" s="239" t="n"/>
    </row>
    <row r="51198" ht="14.25" customHeight="1" s="192">
      <c r="W51198" s="239" t="n"/>
      <c r="X51198" s="239" t="n"/>
    </row>
    <row r="51199" ht="14.25" customHeight="1" s="192">
      <c r="W51199" s="235" t="n"/>
      <c r="X51199" s="235" t="n"/>
    </row>
    <row r="51200" ht="14.25" customHeight="1" s="192">
      <c r="W51200" s="235" t="n"/>
      <c r="X51200" s="235" t="n"/>
    </row>
    <row r="51201" ht="14.25" customHeight="1" s="192">
      <c r="W51201" s="235" t="n"/>
      <c r="X51201" s="235" t="n"/>
    </row>
    <row r="51202" ht="14.25" customHeight="1" s="192">
      <c r="W51202" s="239" t="n"/>
      <c r="X51202" s="239" t="n"/>
    </row>
    <row r="51203" ht="14.25" customHeight="1" s="192">
      <c r="W51203" s="239" t="n"/>
      <c r="X51203" s="239" t="n"/>
    </row>
    <row r="51204" ht="14.25" customHeight="1" s="192">
      <c r="W51204" s="235" t="n"/>
      <c r="X51204" s="235" t="n"/>
    </row>
    <row r="51205" ht="14.25" customHeight="1" s="192">
      <c r="W51205" s="235" t="n"/>
      <c r="X51205" s="235" t="n"/>
    </row>
    <row r="51206" ht="14.25" customHeight="1" s="192">
      <c r="W51206" s="239" t="n"/>
      <c r="X51206" s="239" t="n"/>
    </row>
    <row r="51207" ht="14.25" customHeight="1" s="192">
      <c r="W51207" s="235" t="n"/>
      <c r="X51207" s="235" t="n"/>
    </row>
    <row r="51208" ht="14.25" customHeight="1" s="192">
      <c r="W51208" s="239" t="n"/>
      <c r="X51208" s="239" t="n"/>
    </row>
    <row r="51210" ht="14.25" customHeight="1" s="192">
      <c r="W51210" s="235" t="n"/>
      <c r="X51210" s="235" t="n"/>
    </row>
    <row r="51211" ht="15" customHeight="1" s="192" thickBot="1">
      <c r="W51211" s="239" t="n"/>
      <c r="X51211" s="239" t="n"/>
    </row>
    <row r="51212" ht="15" customHeight="1" s="192" thickBot="1">
      <c r="W51212" s="45" t="n"/>
      <c r="X51212" s="45" t="n"/>
    </row>
    <row r="51213" ht="14.25" customHeight="1" s="192">
      <c r="W51213" s="228" t="n"/>
      <c r="X51213" s="228" t="n"/>
    </row>
    <row r="51214" ht="14.25" customHeight="1" s="192">
      <c r="W51214" s="228" t="n"/>
      <c r="X51214" s="228" t="n"/>
    </row>
    <row r="51215" ht="14.25" customHeight="1" s="192">
      <c r="W51215" s="231" t="n"/>
      <c r="X51215" s="231" t="n"/>
    </row>
    <row r="51216" ht="14.25" customHeight="1" s="192">
      <c r="W51216" s="33" t="n"/>
      <c r="X51216" s="33" t="n"/>
    </row>
    <row r="51217" ht="14.25" customHeight="1" s="192">
      <c r="W51217" s="231" t="n"/>
      <c r="X51217" s="231" t="n"/>
    </row>
    <row r="51218" ht="14.25" customHeight="1" s="192">
      <c r="W51218" s="33" t="n"/>
      <c r="X51218" s="33" t="n"/>
    </row>
    <row r="51220" ht="14.25" customHeight="1" s="192">
      <c r="W51220" s="231" t="n"/>
      <c r="X51220" s="231" t="n"/>
    </row>
    <row r="51221" ht="14.25" customHeight="1" s="192">
      <c r="W51221" s="235" t="n"/>
      <c r="X51221" s="235" t="n"/>
    </row>
    <row r="51222" ht="14.25" customHeight="1" s="192">
      <c r="W51222" s="228" t="n"/>
      <c r="X51222" s="228" t="n"/>
    </row>
    <row r="51223" ht="14.25" customHeight="1" s="192">
      <c r="W51223" s="235" t="n"/>
      <c r="X51223" s="235" t="n"/>
    </row>
    <row r="51224" ht="14.25" customHeight="1" s="192">
      <c r="W51224" s="235" t="n"/>
      <c r="X51224" s="235" t="n"/>
    </row>
    <row r="51225" ht="14.25" customHeight="1" s="192">
      <c r="W51225" s="235" t="n"/>
      <c r="X51225" s="235" t="n"/>
    </row>
    <row r="51226" ht="14.25" customHeight="1" s="192">
      <c r="W51226" s="239" t="n"/>
      <c r="X51226" s="239" t="n"/>
    </row>
    <row r="51227" ht="14.25" customHeight="1" s="192">
      <c r="W51227" s="239" t="n"/>
      <c r="X51227" s="239" t="n"/>
    </row>
    <row r="51228" ht="14.25" customHeight="1" s="192">
      <c r="W51228" s="239" t="n"/>
      <c r="X51228" s="239" t="n"/>
    </row>
    <row r="51229" ht="14.25" customHeight="1" s="192">
      <c r="W51229" s="235" t="n"/>
      <c r="X51229" s="235" t="n"/>
    </row>
    <row r="51230" ht="14.25" customHeight="1" s="192">
      <c r="W51230" s="235" t="n"/>
      <c r="X51230" s="235" t="n"/>
    </row>
    <row r="51231" ht="14.25" customHeight="1" s="192">
      <c r="W51231" s="235" t="n"/>
      <c r="X51231" s="235" t="n"/>
    </row>
    <row r="51232" ht="14.25" customHeight="1" s="192">
      <c r="W51232" s="239" t="n"/>
      <c r="X51232" s="239" t="n"/>
    </row>
    <row r="51233" ht="14.25" customHeight="1" s="192">
      <c r="W51233" s="239" t="n"/>
      <c r="X51233" s="239" t="n"/>
    </row>
    <row r="51234" ht="14.25" customHeight="1" s="192">
      <c r="W51234" s="235" t="n"/>
      <c r="X51234" s="235" t="n"/>
    </row>
    <row r="51235" ht="14.25" customHeight="1" s="192">
      <c r="W51235" s="235" t="n"/>
      <c r="X51235" s="235" t="n"/>
    </row>
    <row r="51236" ht="14.25" customHeight="1" s="192">
      <c r="W51236" s="239" t="n"/>
      <c r="X51236" s="239" t="n"/>
    </row>
    <row r="51237" ht="14.25" customHeight="1" s="192">
      <c r="W51237" s="235" t="n"/>
      <c r="X51237" s="235" t="n"/>
    </row>
    <row r="51238" ht="14.25" customHeight="1" s="192">
      <c r="W51238" s="239" t="n"/>
      <c r="X51238" s="239" t="n"/>
    </row>
    <row r="51240" ht="14.25" customHeight="1" s="192">
      <c r="W51240" s="235" t="n"/>
      <c r="X51240" s="235" t="n"/>
    </row>
    <row r="51241" ht="15" customHeight="1" s="192" thickBot="1">
      <c r="W51241" s="239" t="n"/>
      <c r="X51241" s="239" t="n"/>
    </row>
    <row r="51242" ht="15" customHeight="1" s="192" thickBot="1">
      <c r="W51242" s="45" t="n"/>
      <c r="X51242" s="45" t="n"/>
    </row>
    <row r="51243" ht="14.25" customHeight="1" s="192">
      <c r="W51243" s="228" t="n"/>
      <c r="X51243" s="228" t="n"/>
    </row>
    <row r="51244" ht="14.25" customHeight="1" s="192">
      <c r="W51244" s="228" t="n"/>
      <c r="X51244" s="228" t="n"/>
    </row>
    <row r="51245" ht="14.25" customHeight="1" s="192">
      <c r="W51245" s="231" t="n"/>
      <c r="X51245" s="231" t="n"/>
    </row>
    <row r="51246" ht="14.25" customHeight="1" s="192">
      <c r="W51246" s="33" t="n"/>
      <c r="X51246" s="33" t="n"/>
    </row>
    <row r="51247" ht="14.25" customHeight="1" s="192">
      <c r="W51247" s="231" t="n"/>
      <c r="X51247" s="231" t="n"/>
    </row>
    <row r="51248" ht="14.25" customHeight="1" s="192">
      <c r="W51248" s="33" t="n"/>
      <c r="X51248" s="33" t="n"/>
    </row>
    <row r="51250" ht="14.25" customHeight="1" s="192">
      <c r="W51250" s="231" t="n"/>
      <c r="X51250" s="231" t="n"/>
    </row>
    <row r="51251" ht="14.25" customHeight="1" s="192">
      <c r="W51251" s="235" t="n"/>
      <c r="X51251" s="235" t="n"/>
    </row>
    <row r="51252" ht="14.25" customHeight="1" s="192">
      <c r="W51252" s="228" t="n"/>
      <c r="X51252" s="228" t="n"/>
    </row>
    <row r="51253" ht="14.25" customHeight="1" s="192">
      <c r="W51253" s="235" t="n"/>
      <c r="X51253" s="235" t="n"/>
    </row>
    <row r="51254" ht="14.25" customHeight="1" s="192">
      <c r="W51254" s="235" t="n"/>
      <c r="X51254" s="235" t="n"/>
    </row>
    <row r="51255" ht="14.25" customHeight="1" s="192">
      <c r="W51255" s="235" t="n"/>
      <c r="X51255" s="235" t="n"/>
    </row>
    <row r="51256" ht="14.25" customHeight="1" s="192">
      <c r="W51256" s="239" t="n"/>
      <c r="X51256" s="239" t="n"/>
    </row>
    <row r="51257" ht="14.25" customHeight="1" s="192">
      <c r="W51257" s="239" t="n"/>
      <c r="X51257" s="239" t="n"/>
    </row>
    <row r="51258" ht="14.25" customHeight="1" s="192">
      <c r="W51258" s="239" t="n"/>
      <c r="X51258" s="239" t="n"/>
    </row>
    <row r="51259" ht="14.25" customHeight="1" s="192">
      <c r="W51259" s="235" t="n"/>
      <c r="X51259" s="235" t="n"/>
    </row>
    <row r="51260" ht="14.25" customHeight="1" s="192">
      <c r="W51260" s="235" t="n"/>
      <c r="X51260" s="235" t="n"/>
    </row>
    <row r="51261" ht="14.25" customHeight="1" s="192">
      <c r="W51261" s="235" t="n"/>
      <c r="X51261" s="235" t="n"/>
    </row>
    <row r="51262" ht="14.25" customHeight="1" s="192">
      <c r="W51262" s="239" t="n"/>
      <c r="X51262" s="239" t="n"/>
    </row>
    <row r="51263" ht="14.25" customHeight="1" s="192">
      <c r="W51263" s="239" t="n"/>
      <c r="X51263" s="239" t="n"/>
    </row>
    <row r="51264" ht="14.25" customHeight="1" s="192">
      <c r="W51264" s="235" t="n"/>
      <c r="X51264" s="235" t="n"/>
    </row>
    <row r="51265" ht="14.25" customHeight="1" s="192">
      <c r="W51265" s="235" t="n"/>
      <c r="X51265" s="235" t="n"/>
    </row>
    <row r="51266" ht="14.25" customHeight="1" s="192">
      <c r="W51266" s="239" t="n"/>
      <c r="X51266" s="239" t="n"/>
    </row>
    <row r="51267" ht="14.25" customHeight="1" s="192">
      <c r="W51267" s="235" t="n"/>
      <c r="X51267" s="235" t="n"/>
    </row>
    <row r="51268" ht="14.25" customHeight="1" s="192">
      <c r="W51268" s="239" t="n"/>
      <c r="X51268" s="239" t="n"/>
    </row>
    <row r="51270" ht="14.25" customHeight="1" s="192">
      <c r="W51270" s="235" t="n"/>
      <c r="X51270" s="235" t="n"/>
    </row>
    <row r="51271" ht="15" customHeight="1" s="192" thickBot="1">
      <c r="W51271" s="239" t="n"/>
      <c r="X51271" s="239" t="n"/>
    </row>
    <row r="51272" ht="15" customHeight="1" s="192" thickBot="1">
      <c r="W51272" s="45" t="n"/>
      <c r="X51272" s="45" t="n"/>
    </row>
    <row r="51273" ht="14.25" customHeight="1" s="192">
      <c r="W51273" s="228" t="n"/>
      <c r="X51273" s="228" t="n"/>
    </row>
    <row r="51274" ht="14.25" customHeight="1" s="192">
      <c r="W51274" s="228" t="n"/>
      <c r="X51274" s="228" t="n"/>
    </row>
    <row r="51275" ht="14.25" customHeight="1" s="192">
      <c r="W51275" s="231" t="n"/>
      <c r="X51275" s="231" t="n"/>
    </row>
    <row r="51276" ht="14.25" customHeight="1" s="192">
      <c r="W51276" s="33" t="n"/>
      <c r="X51276" s="33" t="n"/>
    </row>
    <row r="51277" ht="14.25" customHeight="1" s="192">
      <c r="W51277" s="231" t="n"/>
      <c r="X51277" s="231" t="n"/>
    </row>
    <row r="51278" ht="14.25" customHeight="1" s="192">
      <c r="W51278" s="33" t="n"/>
      <c r="X51278" s="33" t="n"/>
    </row>
    <row r="51280" ht="14.25" customHeight="1" s="192">
      <c r="W51280" s="231" t="n"/>
      <c r="X51280" s="231" t="n"/>
    </row>
    <row r="51281" ht="14.25" customHeight="1" s="192">
      <c r="W51281" s="235" t="n"/>
      <c r="X51281" s="235" t="n"/>
    </row>
    <row r="51282" ht="14.25" customHeight="1" s="192">
      <c r="W51282" s="228" t="n"/>
      <c r="X51282" s="228" t="n"/>
    </row>
    <row r="51283" ht="14.25" customHeight="1" s="192">
      <c r="W51283" s="235" t="n"/>
      <c r="X51283" s="235" t="n"/>
    </row>
    <row r="51284" ht="14.25" customHeight="1" s="192">
      <c r="W51284" s="235" t="n"/>
      <c r="X51284" s="235" t="n"/>
    </row>
    <row r="51285" ht="14.25" customHeight="1" s="192">
      <c r="W51285" s="235" t="n"/>
      <c r="X51285" s="235" t="n"/>
    </row>
    <row r="51286" ht="14.25" customHeight="1" s="192">
      <c r="W51286" s="239" t="n"/>
      <c r="X51286" s="239" t="n"/>
    </row>
    <row r="51287" ht="14.25" customHeight="1" s="192">
      <c r="W51287" s="239" t="n"/>
      <c r="X51287" s="239" t="n"/>
    </row>
    <row r="51288" ht="14.25" customHeight="1" s="192">
      <c r="W51288" s="239" t="n"/>
      <c r="X51288" s="239" t="n"/>
    </row>
    <row r="51289" ht="14.25" customHeight="1" s="192">
      <c r="W51289" s="235" t="n"/>
      <c r="X51289" s="235" t="n"/>
    </row>
    <row r="51290" ht="14.25" customHeight="1" s="192">
      <c r="W51290" s="235" t="n"/>
      <c r="X51290" s="235" t="n"/>
    </row>
    <row r="51291" ht="14.25" customHeight="1" s="192">
      <c r="W51291" s="235" t="n"/>
      <c r="X51291" s="235" t="n"/>
    </row>
    <row r="51292" ht="14.25" customHeight="1" s="192">
      <c r="W51292" s="239" t="n"/>
      <c r="X51292" s="239" t="n"/>
    </row>
    <row r="51293" ht="14.25" customHeight="1" s="192">
      <c r="W51293" s="239" t="n"/>
      <c r="X51293" s="239" t="n"/>
    </row>
    <row r="51294" ht="14.25" customHeight="1" s="192">
      <c r="W51294" s="235" t="n"/>
      <c r="X51294" s="235" t="n"/>
    </row>
    <row r="51295" ht="14.25" customHeight="1" s="192">
      <c r="W51295" s="235" t="n"/>
      <c r="X51295" s="235" t="n"/>
    </row>
    <row r="51296" ht="14.25" customHeight="1" s="192">
      <c r="W51296" s="239" t="n"/>
      <c r="X51296" s="239" t="n"/>
    </row>
    <row r="51297" ht="14.25" customHeight="1" s="192">
      <c r="W51297" s="235" t="n"/>
      <c r="X51297" s="235" t="n"/>
    </row>
    <row r="51298" ht="14.25" customHeight="1" s="192">
      <c r="W51298" s="239" t="n"/>
      <c r="X51298" s="239" t="n"/>
    </row>
    <row r="51300" ht="14.25" customHeight="1" s="192">
      <c r="W51300" s="235" t="n"/>
      <c r="X51300" s="235" t="n"/>
    </row>
    <row r="51301" ht="15" customHeight="1" s="192" thickBot="1">
      <c r="W51301" s="239" t="n"/>
      <c r="X51301" s="239" t="n"/>
    </row>
    <row r="51302" ht="15" customHeight="1" s="192" thickBot="1">
      <c r="W51302" s="45" t="n"/>
      <c r="X51302" s="45" t="n"/>
    </row>
    <row r="51303" ht="14.25" customHeight="1" s="192">
      <c r="W51303" s="228" t="n"/>
      <c r="X51303" s="228" t="n"/>
    </row>
    <row r="51304" ht="14.25" customHeight="1" s="192">
      <c r="W51304" s="228" t="n"/>
      <c r="X51304" s="228" t="n"/>
    </row>
    <row r="51305" ht="14.25" customHeight="1" s="192">
      <c r="W51305" s="231" t="n"/>
      <c r="X51305" s="231" t="n"/>
    </row>
    <row r="51306" ht="14.25" customHeight="1" s="192">
      <c r="W51306" s="33" t="n"/>
      <c r="X51306" s="33" t="n"/>
    </row>
    <row r="51307" ht="14.25" customHeight="1" s="192">
      <c r="W51307" s="231" t="n"/>
      <c r="X51307" s="231" t="n"/>
    </row>
    <row r="51308" ht="14.25" customHeight="1" s="192">
      <c r="W51308" s="33" t="n"/>
      <c r="X51308" s="33" t="n"/>
    </row>
    <row r="51310" ht="14.25" customHeight="1" s="192">
      <c r="W51310" s="231" t="n"/>
      <c r="X51310" s="231" t="n"/>
    </row>
    <row r="51311" ht="14.25" customHeight="1" s="192">
      <c r="W51311" s="235" t="n"/>
      <c r="X51311" s="235" t="n"/>
    </row>
    <row r="51312" ht="14.25" customHeight="1" s="192">
      <c r="W51312" s="228" t="n"/>
      <c r="X51312" s="228" t="n"/>
    </row>
    <row r="51313" ht="14.25" customHeight="1" s="192">
      <c r="W51313" s="235" t="n"/>
      <c r="X51313" s="235" t="n"/>
    </row>
    <row r="51314" ht="14.25" customHeight="1" s="192">
      <c r="W51314" s="235" t="n"/>
      <c r="X51314" s="235" t="n"/>
    </row>
    <row r="51315" ht="14.25" customHeight="1" s="192">
      <c r="W51315" s="235" t="n"/>
      <c r="X51315" s="235" t="n"/>
    </row>
    <row r="51316" ht="14.25" customHeight="1" s="192">
      <c r="W51316" s="239" t="n"/>
      <c r="X51316" s="239" t="n"/>
    </row>
    <row r="51317" ht="14.25" customHeight="1" s="192">
      <c r="W51317" s="239" t="n"/>
      <c r="X51317" s="239" t="n"/>
    </row>
    <row r="51318" ht="14.25" customHeight="1" s="192">
      <c r="W51318" s="239" t="n"/>
      <c r="X51318" s="239" t="n"/>
    </row>
    <row r="51319" ht="14.25" customHeight="1" s="192">
      <c r="W51319" s="235" t="n"/>
      <c r="X51319" s="235" t="n"/>
    </row>
    <row r="51320" ht="14.25" customHeight="1" s="192">
      <c r="W51320" s="235" t="n"/>
      <c r="X51320" s="235" t="n"/>
    </row>
    <row r="51321" ht="14.25" customHeight="1" s="192">
      <c r="W51321" s="235" t="n"/>
      <c r="X51321" s="235" t="n"/>
    </row>
    <row r="51322" ht="14.25" customHeight="1" s="192">
      <c r="W51322" s="239" t="n"/>
      <c r="X51322" s="239" t="n"/>
    </row>
    <row r="51323" ht="14.25" customHeight="1" s="192">
      <c r="W51323" s="239" t="n"/>
      <c r="X51323" s="239" t="n"/>
    </row>
    <row r="51324" ht="14.25" customHeight="1" s="192">
      <c r="W51324" s="235" t="n"/>
      <c r="X51324" s="235" t="n"/>
    </row>
    <row r="51325" ht="14.25" customHeight="1" s="192">
      <c r="W51325" s="235" t="n"/>
      <c r="X51325" s="235" t="n"/>
    </row>
    <row r="51326" ht="14.25" customHeight="1" s="192">
      <c r="W51326" s="239" t="n"/>
      <c r="X51326" s="239" t="n"/>
    </row>
    <row r="51327" ht="14.25" customHeight="1" s="192">
      <c r="W51327" s="235" t="n"/>
      <c r="X51327" s="235" t="n"/>
    </row>
    <row r="51328" ht="14.25" customHeight="1" s="192">
      <c r="W51328" s="239" t="n"/>
      <c r="X51328" s="239" t="n"/>
    </row>
    <row r="51330" ht="14.25" customHeight="1" s="192">
      <c r="W51330" s="235" t="n"/>
      <c r="X51330" s="235" t="n"/>
    </row>
    <row r="51331" ht="15" customHeight="1" s="192" thickBot="1">
      <c r="W51331" s="239" t="n"/>
      <c r="X51331" s="239" t="n"/>
    </row>
    <row r="51332" ht="15" customHeight="1" s="192" thickBot="1">
      <c r="W51332" s="45" t="n"/>
      <c r="X51332" s="45" t="n"/>
    </row>
    <row r="51333" ht="14.25" customHeight="1" s="192">
      <c r="W51333" s="228" t="n"/>
      <c r="X51333" s="228" t="n"/>
    </row>
    <row r="51334" ht="14.25" customHeight="1" s="192">
      <c r="W51334" s="228" t="n"/>
      <c r="X51334" s="228" t="n"/>
    </row>
    <row r="51335" ht="14.25" customHeight="1" s="192">
      <c r="W51335" s="231" t="n"/>
      <c r="X51335" s="231" t="n"/>
    </row>
    <row r="51336" ht="14.25" customHeight="1" s="192">
      <c r="W51336" s="33" t="n"/>
      <c r="X51336" s="33" t="n"/>
    </row>
    <row r="51337" ht="14.25" customHeight="1" s="192">
      <c r="W51337" s="231" t="n"/>
      <c r="X51337" s="231" t="n"/>
    </row>
    <row r="51338" ht="14.25" customHeight="1" s="192">
      <c r="W51338" s="33" t="n"/>
      <c r="X51338" s="33" t="n"/>
    </row>
    <row r="51340" ht="14.25" customHeight="1" s="192">
      <c r="W51340" s="231" t="n"/>
      <c r="X51340" s="231" t="n"/>
    </row>
    <row r="51341" ht="14.25" customHeight="1" s="192">
      <c r="W51341" s="235" t="n"/>
      <c r="X51341" s="235" t="n"/>
    </row>
    <row r="51342" ht="14.25" customHeight="1" s="192">
      <c r="W51342" s="228" t="n"/>
      <c r="X51342" s="228" t="n"/>
    </row>
    <row r="51343" ht="14.25" customHeight="1" s="192">
      <c r="W51343" s="235" t="n"/>
      <c r="X51343" s="235" t="n"/>
    </row>
    <row r="51344" ht="14.25" customHeight="1" s="192">
      <c r="W51344" s="235" t="n"/>
      <c r="X51344" s="235" t="n"/>
    </row>
    <row r="51345" ht="14.25" customHeight="1" s="192">
      <c r="W51345" s="235" t="n"/>
      <c r="X51345" s="235" t="n"/>
    </row>
    <row r="51346" ht="14.25" customHeight="1" s="192">
      <c r="W51346" s="239" t="n"/>
      <c r="X51346" s="239" t="n"/>
    </row>
    <row r="51347" ht="14.25" customHeight="1" s="192">
      <c r="W51347" s="239" t="n"/>
      <c r="X51347" s="239" t="n"/>
    </row>
    <row r="51348" ht="14.25" customHeight="1" s="192">
      <c r="W51348" s="239" t="n"/>
      <c r="X51348" s="239" t="n"/>
    </row>
    <row r="51349" ht="14.25" customHeight="1" s="192">
      <c r="W51349" s="235" t="n"/>
      <c r="X51349" s="235" t="n"/>
    </row>
    <row r="51350" ht="14.25" customHeight="1" s="192">
      <c r="W51350" s="235" t="n"/>
      <c r="X51350" s="235" t="n"/>
    </row>
    <row r="51351" ht="14.25" customHeight="1" s="192">
      <c r="W51351" s="235" t="n"/>
      <c r="X51351" s="235" t="n"/>
    </row>
    <row r="51352" ht="14.25" customHeight="1" s="192">
      <c r="W51352" s="239" t="n"/>
      <c r="X51352" s="239" t="n"/>
    </row>
    <row r="51353" ht="14.25" customHeight="1" s="192">
      <c r="W51353" s="239" t="n"/>
      <c r="X51353" s="239" t="n"/>
    </row>
    <row r="51354" ht="14.25" customHeight="1" s="192">
      <c r="W51354" s="235" t="n"/>
      <c r="X51354" s="235" t="n"/>
    </row>
    <row r="51355" ht="14.25" customHeight="1" s="192">
      <c r="W51355" s="235" t="n"/>
      <c r="X51355" s="235" t="n"/>
    </row>
    <row r="51356" ht="14.25" customHeight="1" s="192">
      <c r="W51356" s="239" t="n"/>
      <c r="X51356" s="239" t="n"/>
    </row>
    <row r="51357" ht="14.25" customHeight="1" s="192">
      <c r="W51357" s="235" t="n"/>
      <c r="X51357" s="235" t="n"/>
    </row>
    <row r="51358" ht="14.25" customHeight="1" s="192">
      <c r="W51358" s="239" t="n"/>
      <c r="X51358" s="239" t="n"/>
    </row>
    <row r="51360" ht="14.25" customHeight="1" s="192">
      <c r="W51360" s="235" t="n"/>
      <c r="X51360" s="235" t="n"/>
    </row>
    <row r="51361" ht="15" customHeight="1" s="192" thickBot="1">
      <c r="W51361" s="239" t="n"/>
      <c r="X51361" s="239" t="n"/>
    </row>
    <row r="51362" ht="15" customHeight="1" s="192" thickBot="1">
      <c r="W51362" s="45" t="n"/>
      <c r="X51362" s="45" t="n"/>
    </row>
    <row r="51363" ht="14.25" customHeight="1" s="192">
      <c r="W51363" s="228" t="n"/>
      <c r="X51363" s="228" t="n"/>
    </row>
    <row r="51364" ht="14.25" customHeight="1" s="192">
      <c r="W51364" s="228" t="n"/>
      <c r="X51364" s="228" t="n"/>
    </row>
    <row r="51365" ht="14.25" customHeight="1" s="192">
      <c r="W51365" s="231" t="n"/>
      <c r="X51365" s="231" t="n"/>
    </row>
    <row r="51366" ht="14.25" customHeight="1" s="192">
      <c r="W51366" s="33" t="n"/>
      <c r="X51366" s="33" t="n"/>
    </row>
    <row r="51367" ht="14.25" customHeight="1" s="192">
      <c r="W51367" s="231" t="n"/>
      <c r="X51367" s="231" t="n"/>
    </row>
    <row r="51368" ht="14.25" customHeight="1" s="192">
      <c r="W51368" s="33" t="n"/>
      <c r="X51368" s="33" t="n"/>
    </row>
    <row r="51370" ht="14.25" customHeight="1" s="192">
      <c r="W51370" s="231" t="n"/>
      <c r="X51370" s="231" t="n"/>
    </row>
    <row r="51371" ht="14.25" customHeight="1" s="192">
      <c r="W51371" s="235" t="n"/>
      <c r="X51371" s="235" t="n"/>
    </row>
    <row r="51372" ht="14.25" customHeight="1" s="192">
      <c r="W51372" s="228" t="n"/>
      <c r="X51372" s="228" t="n"/>
    </row>
    <row r="51373" ht="14.25" customHeight="1" s="192">
      <c r="W51373" s="235" t="n"/>
      <c r="X51373" s="235" t="n"/>
    </row>
    <row r="51374" ht="14.25" customHeight="1" s="192">
      <c r="W51374" s="235" t="n"/>
      <c r="X51374" s="235" t="n"/>
    </row>
    <row r="51375" ht="14.25" customHeight="1" s="192">
      <c r="W51375" s="235" t="n"/>
      <c r="X51375" s="235" t="n"/>
    </row>
    <row r="51376" ht="14.25" customHeight="1" s="192">
      <c r="W51376" s="239" t="n"/>
      <c r="X51376" s="239" t="n"/>
    </row>
    <row r="51377" ht="14.25" customHeight="1" s="192">
      <c r="W51377" s="239" t="n"/>
      <c r="X51377" s="239" t="n"/>
    </row>
    <row r="51378" ht="14.25" customHeight="1" s="192">
      <c r="W51378" s="239" t="n"/>
      <c r="X51378" s="239" t="n"/>
    </row>
    <row r="51379" ht="14.25" customHeight="1" s="192">
      <c r="W51379" s="235" t="n"/>
      <c r="X51379" s="235" t="n"/>
    </row>
    <row r="51380" ht="14.25" customHeight="1" s="192">
      <c r="W51380" s="235" t="n"/>
      <c r="X51380" s="235" t="n"/>
    </row>
    <row r="51381" ht="14.25" customHeight="1" s="192">
      <c r="W51381" s="235" t="n"/>
      <c r="X51381" s="235" t="n"/>
    </row>
    <row r="51382" ht="14.25" customHeight="1" s="192">
      <c r="W51382" s="239" t="n"/>
      <c r="X51382" s="239" t="n"/>
    </row>
    <row r="51383" ht="14.25" customHeight="1" s="192">
      <c r="W51383" s="239" t="n"/>
      <c r="X51383" s="239" t="n"/>
    </row>
    <row r="51384" ht="14.25" customHeight="1" s="192">
      <c r="W51384" s="235" t="n"/>
      <c r="X51384" s="235" t="n"/>
    </row>
    <row r="51385" ht="14.25" customHeight="1" s="192">
      <c r="W51385" s="235" t="n"/>
      <c r="X51385" s="235" t="n"/>
    </row>
    <row r="51386" ht="14.25" customHeight="1" s="192">
      <c r="W51386" s="239" t="n"/>
      <c r="X51386" s="239" t="n"/>
    </row>
    <row r="51387" ht="14.25" customHeight="1" s="192">
      <c r="W51387" s="235" t="n"/>
      <c r="X51387" s="235" t="n"/>
    </row>
    <row r="51388" ht="14.25" customHeight="1" s="192">
      <c r="W51388" s="239" t="n"/>
      <c r="X51388" s="239" t="n"/>
    </row>
    <row r="51390" ht="14.25" customHeight="1" s="192">
      <c r="W51390" s="235" t="n"/>
      <c r="X51390" s="235" t="n"/>
    </row>
    <row r="51391" ht="15" customHeight="1" s="192" thickBot="1">
      <c r="W51391" s="239" t="n"/>
      <c r="X51391" s="239" t="n"/>
    </row>
    <row r="51392" ht="15" customHeight="1" s="192" thickBot="1">
      <c r="W51392" s="45" t="n"/>
      <c r="X51392" s="45" t="n"/>
    </row>
    <row r="51393" ht="14.25" customHeight="1" s="192">
      <c r="W51393" s="228" t="n"/>
      <c r="X51393" s="228" t="n"/>
    </row>
    <row r="51394" ht="14.25" customHeight="1" s="192">
      <c r="W51394" s="228" t="n"/>
      <c r="X51394" s="228" t="n"/>
    </row>
    <row r="51395" ht="14.25" customHeight="1" s="192">
      <c r="W51395" s="231" t="n"/>
      <c r="X51395" s="231" t="n"/>
    </row>
    <row r="51396" ht="14.25" customHeight="1" s="192">
      <c r="W51396" s="33" t="n"/>
      <c r="X51396" s="33" t="n"/>
    </row>
    <row r="51397" ht="14.25" customHeight="1" s="192">
      <c r="W51397" s="231" t="n"/>
      <c r="X51397" s="231" t="n"/>
    </row>
    <row r="51398" ht="14.25" customHeight="1" s="192">
      <c r="W51398" s="33" t="n"/>
      <c r="X51398" s="33" t="n"/>
    </row>
    <row r="51400" ht="14.25" customHeight="1" s="192">
      <c r="W51400" s="231" t="n"/>
      <c r="X51400" s="231" t="n"/>
    </row>
    <row r="51401" ht="14.25" customHeight="1" s="192">
      <c r="W51401" s="235" t="n"/>
      <c r="X51401" s="235" t="n"/>
    </row>
    <row r="51402" ht="14.25" customHeight="1" s="192">
      <c r="W51402" s="228" t="n"/>
      <c r="X51402" s="228" t="n"/>
    </row>
    <row r="51403" ht="14.25" customHeight="1" s="192">
      <c r="W51403" s="235" t="n"/>
      <c r="X51403" s="235" t="n"/>
    </row>
    <row r="51404" ht="14.25" customHeight="1" s="192">
      <c r="W51404" s="235" t="n"/>
      <c r="X51404" s="235" t="n"/>
    </row>
    <row r="51405" ht="14.25" customHeight="1" s="192">
      <c r="W51405" s="235" t="n"/>
      <c r="X51405" s="235" t="n"/>
    </row>
    <row r="51406" ht="14.25" customHeight="1" s="192">
      <c r="W51406" s="239" t="n"/>
      <c r="X51406" s="239" t="n"/>
    </row>
    <row r="51407" ht="14.25" customHeight="1" s="192">
      <c r="W51407" s="239" t="n"/>
      <c r="X51407" s="239" t="n"/>
    </row>
    <row r="51408" ht="14.25" customHeight="1" s="192">
      <c r="W51408" s="239" t="n"/>
      <c r="X51408" s="239" t="n"/>
    </row>
    <row r="51409" ht="14.25" customHeight="1" s="192">
      <c r="W51409" s="235" t="n"/>
      <c r="X51409" s="235" t="n"/>
    </row>
    <row r="51410" ht="14.25" customHeight="1" s="192">
      <c r="W51410" s="235" t="n"/>
      <c r="X51410" s="235" t="n"/>
    </row>
    <row r="51411" ht="14.25" customHeight="1" s="192">
      <c r="W51411" s="235" t="n"/>
      <c r="X51411" s="235" t="n"/>
    </row>
    <row r="51412" ht="14.25" customHeight="1" s="192">
      <c r="W51412" s="239" t="n"/>
      <c r="X51412" s="239" t="n"/>
    </row>
    <row r="51413" ht="14.25" customHeight="1" s="192">
      <c r="W51413" s="239" t="n"/>
      <c r="X51413" s="239" t="n"/>
    </row>
    <row r="51414" ht="14.25" customHeight="1" s="192">
      <c r="W51414" s="235" t="n"/>
      <c r="X51414" s="235" t="n"/>
    </row>
    <row r="51415" ht="14.25" customHeight="1" s="192">
      <c r="W51415" s="235" t="n"/>
      <c r="X51415" s="235" t="n"/>
    </row>
    <row r="51416" ht="14.25" customHeight="1" s="192">
      <c r="W51416" s="239" t="n"/>
      <c r="X51416" s="239" t="n"/>
    </row>
    <row r="51417" ht="14.25" customHeight="1" s="192">
      <c r="W51417" s="235" t="n"/>
      <c r="X51417" s="235" t="n"/>
    </row>
    <row r="51418" ht="14.25" customHeight="1" s="192">
      <c r="W51418" s="239" t="n"/>
      <c r="X51418" s="239" t="n"/>
    </row>
    <row r="51420" ht="14.25" customHeight="1" s="192">
      <c r="W51420" s="235" t="n"/>
      <c r="X51420" s="235" t="n"/>
    </row>
    <row r="51421" ht="15" customHeight="1" s="192" thickBot="1">
      <c r="W51421" s="239" t="n"/>
      <c r="X51421" s="239" t="n"/>
    </row>
    <row r="51422" ht="15" customHeight="1" s="192" thickBot="1">
      <c r="W51422" s="45" t="n"/>
      <c r="X51422" s="45" t="n"/>
    </row>
    <row r="51423" ht="14.25" customHeight="1" s="192">
      <c r="W51423" s="228" t="n"/>
      <c r="X51423" s="228" t="n"/>
    </row>
    <row r="51424" ht="14.25" customHeight="1" s="192">
      <c r="W51424" s="228" t="n"/>
      <c r="X51424" s="228" t="n"/>
    </row>
    <row r="51425" ht="14.25" customHeight="1" s="192">
      <c r="W51425" s="231" t="n"/>
      <c r="X51425" s="231" t="n"/>
    </row>
    <row r="51426" ht="14.25" customHeight="1" s="192">
      <c r="W51426" s="33" t="n"/>
      <c r="X51426" s="33" t="n"/>
    </row>
    <row r="51427" ht="14.25" customHeight="1" s="192">
      <c r="W51427" s="231" t="n"/>
      <c r="X51427" s="231" t="n"/>
    </row>
    <row r="51428" ht="14.25" customHeight="1" s="192">
      <c r="W51428" s="33" t="n"/>
      <c r="X51428" s="33" t="n"/>
    </row>
    <row r="51430" ht="14.25" customHeight="1" s="192">
      <c r="W51430" s="231" t="n"/>
      <c r="X51430" s="231" t="n"/>
    </row>
    <row r="51431" ht="14.25" customHeight="1" s="192">
      <c r="W51431" s="235" t="n"/>
      <c r="X51431" s="235" t="n"/>
    </row>
    <row r="51432" ht="14.25" customHeight="1" s="192">
      <c r="W51432" s="228" t="n"/>
      <c r="X51432" s="228" t="n"/>
    </row>
    <row r="51433" ht="14.25" customHeight="1" s="192">
      <c r="W51433" s="235" t="n"/>
      <c r="X51433" s="235" t="n"/>
    </row>
    <row r="51434" ht="14.25" customHeight="1" s="192">
      <c r="W51434" s="235" t="n"/>
      <c r="X51434" s="235" t="n"/>
    </row>
    <row r="51435" ht="14.25" customHeight="1" s="192">
      <c r="W51435" s="235" t="n"/>
      <c r="X51435" s="235" t="n"/>
    </row>
    <row r="51436" ht="14.25" customHeight="1" s="192">
      <c r="W51436" s="239" t="n"/>
      <c r="X51436" s="239" t="n"/>
    </row>
    <row r="51437" ht="14.25" customHeight="1" s="192">
      <c r="W51437" s="239" t="n"/>
      <c r="X51437" s="239" t="n"/>
    </row>
    <row r="51438" ht="14.25" customHeight="1" s="192">
      <c r="W51438" s="239" t="n"/>
      <c r="X51438" s="239" t="n"/>
    </row>
    <row r="51439" ht="14.25" customHeight="1" s="192">
      <c r="W51439" s="235" t="n"/>
      <c r="X51439" s="235" t="n"/>
    </row>
    <row r="51440" ht="14.25" customHeight="1" s="192">
      <c r="W51440" s="235" t="n"/>
      <c r="X51440" s="235" t="n"/>
    </row>
    <row r="51441" ht="14.25" customHeight="1" s="192">
      <c r="W51441" s="235" t="n"/>
      <c r="X51441" s="235" t="n"/>
    </row>
    <row r="51442" ht="14.25" customHeight="1" s="192">
      <c r="W51442" s="239" t="n"/>
      <c r="X51442" s="239" t="n"/>
    </row>
    <row r="51443" ht="14.25" customHeight="1" s="192">
      <c r="W51443" s="239" t="n"/>
      <c r="X51443" s="239" t="n"/>
    </row>
    <row r="51444" ht="14.25" customHeight="1" s="192">
      <c r="W51444" s="235" t="n"/>
      <c r="X51444" s="235" t="n"/>
    </row>
    <row r="51445" ht="14.25" customHeight="1" s="192">
      <c r="W51445" s="235" t="n"/>
      <c r="X51445" s="235" t="n"/>
    </row>
    <row r="51446" ht="14.25" customHeight="1" s="192">
      <c r="W51446" s="239" t="n"/>
      <c r="X51446" s="239" t="n"/>
    </row>
    <row r="51447" ht="14.25" customHeight="1" s="192">
      <c r="W51447" s="235" t="n"/>
      <c r="X51447" s="235" t="n"/>
    </row>
    <row r="51448" ht="14.25" customHeight="1" s="192">
      <c r="W51448" s="239" t="n"/>
      <c r="X51448" s="239" t="n"/>
    </row>
    <row r="51450" ht="14.25" customHeight="1" s="192">
      <c r="W51450" s="235" t="n"/>
      <c r="X51450" s="235" t="n"/>
    </row>
    <row r="51451" ht="15" customHeight="1" s="192" thickBot="1">
      <c r="W51451" s="239" t="n"/>
      <c r="X51451" s="239" t="n"/>
    </row>
    <row r="51452" ht="15" customHeight="1" s="192" thickBot="1">
      <c r="W51452" s="45" t="n"/>
      <c r="X51452" s="45" t="n"/>
    </row>
    <row r="51453" ht="14.25" customHeight="1" s="192">
      <c r="W51453" s="228" t="n"/>
      <c r="X51453" s="228" t="n"/>
    </row>
    <row r="51454" ht="14.25" customHeight="1" s="192">
      <c r="W51454" s="228" t="n"/>
      <c r="X51454" s="228" t="n"/>
    </row>
    <row r="51455" ht="14.25" customHeight="1" s="192">
      <c r="W51455" s="231" t="n"/>
      <c r="X51455" s="231" t="n"/>
    </row>
    <row r="51456" ht="14.25" customHeight="1" s="192">
      <c r="W51456" s="33" t="n"/>
      <c r="X51456" s="33" t="n"/>
    </row>
    <row r="51457" ht="14.25" customHeight="1" s="192">
      <c r="W51457" s="231" t="n"/>
      <c r="X51457" s="231" t="n"/>
    </row>
    <row r="51458" ht="14.25" customHeight="1" s="192">
      <c r="W51458" s="33" t="n"/>
      <c r="X51458" s="33" t="n"/>
    </row>
    <row r="51460" ht="14.25" customHeight="1" s="192">
      <c r="W51460" s="231" t="n"/>
      <c r="X51460" s="231" t="n"/>
    </row>
    <row r="51461" ht="14.25" customHeight="1" s="192">
      <c r="W51461" s="235" t="n"/>
      <c r="X51461" s="235" t="n"/>
    </row>
    <row r="51462" ht="14.25" customHeight="1" s="192">
      <c r="W51462" s="228" t="n"/>
      <c r="X51462" s="228" t="n"/>
    </row>
    <row r="51463" ht="14.25" customHeight="1" s="192">
      <c r="W51463" s="235" t="n"/>
      <c r="X51463" s="235" t="n"/>
    </row>
    <row r="51464" ht="14.25" customHeight="1" s="192">
      <c r="W51464" s="235" t="n"/>
      <c r="X51464" s="235" t="n"/>
    </row>
    <row r="51465" ht="14.25" customHeight="1" s="192">
      <c r="W51465" s="235" t="n"/>
      <c r="X51465" s="235" t="n"/>
    </row>
    <row r="51466" ht="14.25" customHeight="1" s="192">
      <c r="W51466" s="239" t="n"/>
      <c r="X51466" s="239" t="n"/>
    </row>
    <row r="51467" ht="14.25" customHeight="1" s="192">
      <c r="W51467" s="239" t="n"/>
      <c r="X51467" s="239" t="n"/>
    </row>
    <row r="51468" ht="14.25" customHeight="1" s="192">
      <c r="W51468" s="239" t="n"/>
      <c r="X51468" s="239" t="n"/>
    </row>
    <row r="51469" ht="14.25" customHeight="1" s="192">
      <c r="W51469" s="235" t="n"/>
      <c r="X51469" s="235" t="n"/>
    </row>
    <row r="51470" ht="14.25" customHeight="1" s="192">
      <c r="W51470" s="235" t="n"/>
      <c r="X51470" s="235" t="n"/>
    </row>
    <row r="51471" ht="14.25" customHeight="1" s="192">
      <c r="W51471" s="235" t="n"/>
      <c r="X51471" s="235" t="n"/>
    </row>
    <row r="51472" ht="14.25" customHeight="1" s="192">
      <c r="W51472" s="239" t="n"/>
      <c r="X51472" s="239" t="n"/>
    </row>
    <row r="51473" ht="14.25" customHeight="1" s="192">
      <c r="W51473" s="239" t="n"/>
      <c r="X51473" s="239" t="n"/>
    </row>
    <row r="51474" ht="14.25" customHeight="1" s="192">
      <c r="W51474" s="235" t="n"/>
      <c r="X51474" s="235" t="n"/>
    </row>
    <row r="51475" ht="14.25" customHeight="1" s="192">
      <c r="W51475" s="235" t="n"/>
      <c r="X51475" s="235" t="n"/>
    </row>
    <row r="51476" ht="14.25" customHeight="1" s="192">
      <c r="W51476" s="239" t="n"/>
      <c r="X51476" s="239" t="n"/>
    </row>
    <row r="51477" ht="14.25" customHeight="1" s="192">
      <c r="W51477" s="235" t="n"/>
      <c r="X51477" s="235" t="n"/>
    </row>
    <row r="51478" ht="14.25" customHeight="1" s="192">
      <c r="W51478" s="239" t="n"/>
      <c r="X51478" s="239" t="n"/>
    </row>
    <row r="51480" ht="14.25" customHeight="1" s="192">
      <c r="W51480" s="235" t="n"/>
      <c r="X51480" s="235" t="n"/>
    </row>
    <row r="51481" ht="15" customHeight="1" s="192" thickBot="1">
      <c r="W51481" s="239" t="n"/>
      <c r="X51481" s="239" t="n"/>
    </row>
    <row r="51482" ht="15" customHeight="1" s="192" thickBot="1">
      <c r="W51482" s="45" t="n"/>
      <c r="X51482" s="45" t="n"/>
    </row>
    <row r="51483" ht="14.25" customHeight="1" s="192">
      <c r="W51483" s="228" t="n"/>
      <c r="X51483" s="228" t="n"/>
    </row>
    <row r="51484" ht="14.25" customHeight="1" s="192">
      <c r="W51484" s="228" t="n"/>
      <c r="X51484" s="228" t="n"/>
    </row>
    <row r="51485" ht="14.25" customHeight="1" s="192">
      <c r="W51485" s="231" t="n"/>
      <c r="X51485" s="231" t="n"/>
    </row>
    <row r="51486" ht="14.25" customHeight="1" s="192">
      <c r="W51486" s="33" t="n"/>
      <c r="X51486" s="33" t="n"/>
    </row>
    <row r="51487" ht="14.25" customHeight="1" s="192">
      <c r="W51487" s="231" t="n"/>
      <c r="X51487" s="231" t="n"/>
    </row>
    <row r="51488" ht="14.25" customHeight="1" s="192">
      <c r="W51488" s="33" t="n"/>
      <c r="X51488" s="33" t="n"/>
    </row>
    <row r="51490" ht="14.25" customHeight="1" s="192">
      <c r="W51490" s="231" t="n"/>
      <c r="X51490" s="231" t="n"/>
    </row>
    <row r="51491" ht="14.25" customHeight="1" s="192">
      <c r="W51491" s="235" t="n"/>
      <c r="X51491" s="235" t="n"/>
    </row>
    <row r="51492" ht="14.25" customHeight="1" s="192">
      <c r="W51492" s="228" t="n"/>
      <c r="X51492" s="228" t="n"/>
    </row>
    <row r="51493" ht="14.25" customHeight="1" s="192">
      <c r="W51493" s="235" t="n"/>
      <c r="X51493" s="235" t="n"/>
    </row>
    <row r="51494" ht="14.25" customHeight="1" s="192">
      <c r="W51494" s="235" t="n"/>
      <c r="X51494" s="235" t="n"/>
    </row>
    <row r="51495" ht="14.25" customHeight="1" s="192">
      <c r="W51495" s="235" t="n"/>
      <c r="X51495" s="235" t="n"/>
    </row>
    <row r="51496" ht="14.25" customHeight="1" s="192">
      <c r="W51496" s="239" t="n"/>
      <c r="X51496" s="239" t="n"/>
    </row>
    <row r="51497" ht="14.25" customHeight="1" s="192">
      <c r="W51497" s="239" t="n"/>
      <c r="X51497" s="239" t="n"/>
    </row>
    <row r="51498" ht="14.25" customHeight="1" s="192">
      <c r="W51498" s="239" t="n"/>
      <c r="X51498" s="239" t="n"/>
    </row>
    <row r="51499" ht="14.25" customHeight="1" s="192">
      <c r="W51499" s="235" t="n"/>
      <c r="X51499" s="235" t="n"/>
    </row>
    <row r="51500" ht="14.25" customHeight="1" s="192">
      <c r="W51500" s="235" t="n"/>
      <c r="X51500" s="235" t="n"/>
    </row>
    <row r="51501" ht="14.25" customHeight="1" s="192">
      <c r="W51501" s="235" t="n"/>
      <c r="X51501" s="235" t="n"/>
    </row>
    <row r="51502" ht="14.25" customHeight="1" s="192">
      <c r="W51502" s="239" t="n"/>
      <c r="X51502" s="239" t="n"/>
    </row>
    <row r="51503" ht="14.25" customHeight="1" s="192">
      <c r="W51503" s="239" t="n"/>
      <c r="X51503" s="239" t="n"/>
    </row>
    <row r="51504" ht="14.25" customHeight="1" s="192">
      <c r="W51504" s="235" t="n"/>
      <c r="X51504" s="235" t="n"/>
    </row>
    <row r="51505" ht="14.25" customHeight="1" s="192">
      <c r="W51505" s="235" t="n"/>
      <c r="X51505" s="235" t="n"/>
    </row>
    <row r="51506" ht="14.25" customHeight="1" s="192">
      <c r="W51506" s="239" t="n"/>
      <c r="X51506" s="239" t="n"/>
    </row>
    <row r="51507" ht="14.25" customHeight="1" s="192">
      <c r="W51507" s="235" t="n"/>
      <c r="X51507" s="235" t="n"/>
    </row>
    <row r="51508" ht="14.25" customHeight="1" s="192">
      <c r="W51508" s="239" t="n"/>
      <c r="X51508" s="239" t="n"/>
    </row>
    <row r="51510" ht="14.25" customHeight="1" s="192">
      <c r="W51510" s="235" t="n"/>
      <c r="X51510" s="235" t="n"/>
    </row>
    <row r="51511" ht="15" customHeight="1" s="192" thickBot="1">
      <c r="W51511" s="239" t="n"/>
      <c r="X51511" s="239" t="n"/>
    </row>
    <row r="51512" ht="15" customHeight="1" s="192" thickBot="1">
      <c r="W51512" s="45" t="n"/>
      <c r="X51512" s="45" t="n"/>
    </row>
    <row r="51513" ht="14.25" customHeight="1" s="192">
      <c r="W51513" s="228" t="n"/>
      <c r="X51513" s="228" t="n"/>
    </row>
    <row r="51514" ht="14.25" customHeight="1" s="192">
      <c r="W51514" s="228" t="n"/>
      <c r="X51514" s="228" t="n"/>
    </row>
    <row r="51515" ht="14.25" customHeight="1" s="192">
      <c r="W51515" s="231" t="n"/>
      <c r="X51515" s="231" t="n"/>
    </row>
    <row r="51516" ht="14.25" customHeight="1" s="192">
      <c r="W51516" s="33" t="n"/>
      <c r="X51516" s="33" t="n"/>
    </row>
    <row r="51517" ht="14.25" customHeight="1" s="192">
      <c r="W51517" s="231" t="n"/>
      <c r="X51517" s="231" t="n"/>
    </row>
    <row r="51518" ht="14.25" customHeight="1" s="192">
      <c r="W51518" s="33" t="n"/>
      <c r="X51518" s="33" t="n"/>
    </row>
    <row r="51520" ht="14.25" customHeight="1" s="192">
      <c r="W51520" s="231" t="n"/>
      <c r="X51520" s="231" t="n"/>
    </row>
    <row r="51521" ht="14.25" customHeight="1" s="192">
      <c r="W51521" s="235" t="n"/>
      <c r="X51521" s="235" t="n"/>
    </row>
    <row r="51522" ht="14.25" customHeight="1" s="192">
      <c r="W51522" s="228" t="n"/>
      <c r="X51522" s="228" t="n"/>
    </row>
    <row r="51523" ht="14.25" customHeight="1" s="192">
      <c r="W51523" s="235" t="n"/>
      <c r="X51523" s="235" t="n"/>
    </row>
    <row r="51524" ht="14.25" customHeight="1" s="192">
      <c r="W51524" s="235" t="n"/>
      <c r="X51524" s="235" t="n"/>
    </row>
    <row r="51525" ht="14.25" customHeight="1" s="192">
      <c r="W51525" s="235" t="n"/>
      <c r="X51525" s="235" t="n"/>
    </row>
    <row r="51526" ht="14.25" customHeight="1" s="192">
      <c r="W51526" s="239" t="n"/>
      <c r="X51526" s="239" t="n"/>
    </row>
    <row r="51527" ht="14.25" customHeight="1" s="192">
      <c r="W51527" s="239" t="n"/>
      <c r="X51527" s="239" t="n"/>
    </row>
    <row r="51528" ht="14.25" customHeight="1" s="192">
      <c r="W51528" s="239" t="n"/>
      <c r="X51528" s="239" t="n"/>
    </row>
    <row r="51529" ht="14.25" customHeight="1" s="192">
      <c r="W51529" s="235" t="n"/>
      <c r="X51529" s="235" t="n"/>
    </row>
    <row r="51530" ht="14.25" customHeight="1" s="192">
      <c r="W51530" s="235" t="n"/>
      <c r="X51530" s="235" t="n"/>
    </row>
    <row r="51531" ht="14.25" customHeight="1" s="192">
      <c r="W51531" s="235" t="n"/>
      <c r="X51531" s="235" t="n"/>
    </row>
    <row r="51532" ht="14.25" customHeight="1" s="192">
      <c r="W51532" s="239" t="n"/>
      <c r="X51532" s="239" t="n"/>
    </row>
    <row r="51533" ht="14.25" customHeight="1" s="192">
      <c r="W51533" s="239" t="n"/>
      <c r="X51533" s="239" t="n"/>
    </row>
    <row r="51534" ht="14.25" customHeight="1" s="192">
      <c r="W51534" s="235" t="n"/>
      <c r="X51534" s="235" t="n"/>
    </row>
    <row r="51535" ht="14.25" customHeight="1" s="192">
      <c r="W51535" s="235" t="n"/>
      <c r="X51535" s="235" t="n"/>
    </row>
    <row r="51536" ht="14.25" customHeight="1" s="192">
      <c r="W51536" s="239" t="n"/>
      <c r="X51536" s="239" t="n"/>
    </row>
    <row r="51537" ht="14.25" customHeight="1" s="192">
      <c r="W51537" s="235" t="n"/>
      <c r="X51537" s="235" t="n"/>
    </row>
    <row r="51538" ht="14.25" customHeight="1" s="192">
      <c r="W51538" s="239" t="n"/>
      <c r="X51538" s="239" t="n"/>
    </row>
    <row r="51540" ht="14.25" customHeight="1" s="192">
      <c r="W51540" s="235" t="n"/>
      <c r="X51540" s="235" t="n"/>
    </row>
    <row r="51541" ht="15" customHeight="1" s="192" thickBot="1">
      <c r="W51541" s="239" t="n"/>
      <c r="X51541" s="239" t="n"/>
    </row>
    <row r="51542" ht="15" customHeight="1" s="192" thickBot="1">
      <c r="W51542" s="45" t="n"/>
      <c r="X51542" s="45" t="n"/>
    </row>
    <row r="51543" ht="14.25" customHeight="1" s="192">
      <c r="W51543" s="228" t="n"/>
      <c r="X51543" s="228" t="n"/>
    </row>
    <row r="51544" ht="14.25" customHeight="1" s="192">
      <c r="W51544" s="228" t="n"/>
      <c r="X51544" s="228" t="n"/>
    </row>
    <row r="51545" ht="14.25" customHeight="1" s="192">
      <c r="W51545" s="231" t="n"/>
      <c r="X51545" s="231" t="n"/>
    </row>
    <row r="51546" ht="14.25" customHeight="1" s="192">
      <c r="W51546" s="33" t="n"/>
      <c r="X51546" s="33" t="n"/>
    </row>
    <row r="51547" ht="14.25" customHeight="1" s="192">
      <c r="W51547" s="231" t="n"/>
      <c r="X51547" s="231" t="n"/>
    </row>
    <row r="51548" ht="14.25" customHeight="1" s="192">
      <c r="W51548" s="33" t="n"/>
      <c r="X51548" s="33" t="n"/>
    </row>
    <row r="51550" ht="14.25" customHeight="1" s="192">
      <c r="W51550" s="231" t="n"/>
      <c r="X51550" s="231" t="n"/>
    </row>
    <row r="51551" ht="14.25" customHeight="1" s="192">
      <c r="W51551" s="235" t="n"/>
      <c r="X51551" s="235" t="n"/>
    </row>
    <row r="51552" ht="14.25" customHeight="1" s="192">
      <c r="W51552" s="228" t="n"/>
      <c r="X51552" s="228" t="n"/>
    </row>
    <row r="51553" ht="14.25" customHeight="1" s="192">
      <c r="W51553" s="235" t="n"/>
      <c r="X51553" s="235" t="n"/>
    </row>
    <row r="51554" ht="14.25" customHeight="1" s="192">
      <c r="W51554" s="235" t="n"/>
      <c r="X51554" s="235" t="n"/>
    </row>
    <row r="51555" ht="14.25" customHeight="1" s="192">
      <c r="W51555" s="235" t="n"/>
      <c r="X51555" s="235" t="n"/>
    </row>
    <row r="51556" ht="14.25" customHeight="1" s="192">
      <c r="W51556" s="239" t="n"/>
      <c r="X51556" s="239" t="n"/>
    </row>
    <row r="51557" ht="14.25" customHeight="1" s="192">
      <c r="W51557" s="239" t="n"/>
      <c r="X51557" s="239" t="n"/>
    </row>
    <row r="51558" ht="14.25" customHeight="1" s="192">
      <c r="W51558" s="239" t="n"/>
      <c r="X51558" s="239" t="n"/>
    </row>
    <row r="51559" ht="14.25" customHeight="1" s="192">
      <c r="W51559" s="235" t="n"/>
      <c r="X51559" s="235" t="n"/>
    </row>
    <row r="51560" ht="14.25" customHeight="1" s="192">
      <c r="W51560" s="235" t="n"/>
      <c r="X51560" s="235" t="n"/>
    </row>
    <row r="51561" ht="14.25" customHeight="1" s="192">
      <c r="W51561" s="235" t="n"/>
      <c r="X51561" s="235" t="n"/>
    </row>
    <row r="51562" ht="14.25" customHeight="1" s="192">
      <c r="W51562" s="239" t="n"/>
      <c r="X51562" s="239" t="n"/>
    </row>
    <row r="51563" ht="14.25" customHeight="1" s="192">
      <c r="W51563" s="239" t="n"/>
      <c r="X51563" s="239" t="n"/>
    </row>
    <row r="51564" ht="14.25" customHeight="1" s="192">
      <c r="W51564" s="235" t="n"/>
      <c r="X51564" s="235" t="n"/>
    </row>
    <row r="51565" ht="14.25" customHeight="1" s="192">
      <c r="W51565" s="235" t="n"/>
      <c r="X51565" s="235" t="n"/>
    </row>
    <row r="51566" ht="14.25" customHeight="1" s="192">
      <c r="W51566" s="239" t="n"/>
      <c r="X51566" s="239" t="n"/>
    </row>
    <row r="51567" ht="14.25" customHeight="1" s="192">
      <c r="W51567" s="235" t="n"/>
      <c r="X51567" s="235" t="n"/>
    </row>
    <row r="51568" ht="14.25" customHeight="1" s="192">
      <c r="W51568" s="239" t="n"/>
      <c r="X51568" s="239" t="n"/>
    </row>
    <row r="51570" ht="14.25" customHeight="1" s="192">
      <c r="W51570" s="235" t="n"/>
      <c r="X51570" s="235" t="n"/>
    </row>
    <row r="51571" ht="15" customHeight="1" s="192" thickBot="1">
      <c r="W51571" s="239" t="n"/>
      <c r="X51571" s="239" t="n"/>
    </row>
    <row r="51572" ht="15" customHeight="1" s="192" thickBot="1">
      <c r="W51572" s="45" t="n"/>
      <c r="X51572" s="45" t="n"/>
    </row>
    <row r="51573" ht="14.25" customHeight="1" s="192">
      <c r="W51573" s="228" t="n"/>
      <c r="X51573" s="228" t="n"/>
    </row>
    <row r="51574" ht="14.25" customHeight="1" s="192">
      <c r="W51574" s="228" t="n"/>
      <c r="X51574" s="228" t="n"/>
    </row>
    <row r="51575" ht="14.25" customHeight="1" s="192">
      <c r="W51575" s="231" t="n"/>
      <c r="X51575" s="231" t="n"/>
    </row>
    <row r="51576" ht="14.25" customHeight="1" s="192">
      <c r="W51576" s="33" t="n"/>
      <c r="X51576" s="33" t="n"/>
    </row>
    <row r="51577" ht="14.25" customHeight="1" s="192">
      <c r="W51577" s="231" t="n"/>
      <c r="X51577" s="231" t="n"/>
    </row>
    <row r="51578" ht="14.25" customHeight="1" s="192">
      <c r="W51578" s="33" t="n"/>
      <c r="X51578" s="33" t="n"/>
    </row>
    <row r="51580" ht="14.25" customHeight="1" s="192">
      <c r="W51580" s="231" t="n"/>
      <c r="X51580" s="231" t="n"/>
    </row>
    <row r="51581" ht="14.25" customHeight="1" s="192">
      <c r="W51581" s="235" t="n"/>
      <c r="X51581" s="235" t="n"/>
    </row>
    <row r="51582" ht="14.25" customHeight="1" s="192">
      <c r="W51582" s="228" t="n"/>
      <c r="X51582" s="228" t="n"/>
    </row>
    <row r="51583" ht="14.25" customHeight="1" s="192">
      <c r="W51583" s="235" t="n"/>
      <c r="X51583" s="235" t="n"/>
    </row>
    <row r="51584" ht="14.25" customHeight="1" s="192">
      <c r="W51584" s="235" t="n"/>
      <c r="X51584" s="235" t="n"/>
    </row>
    <row r="51585" ht="14.25" customHeight="1" s="192">
      <c r="W51585" s="235" t="n"/>
      <c r="X51585" s="235" t="n"/>
    </row>
    <row r="51586" ht="14.25" customHeight="1" s="192">
      <c r="W51586" s="239" t="n"/>
      <c r="X51586" s="239" t="n"/>
    </row>
    <row r="51587" ht="14.25" customHeight="1" s="192">
      <c r="W51587" s="239" t="n"/>
      <c r="X51587" s="239" t="n"/>
    </row>
    <row r="51588" ht="14.25" customHeight="1" s="192">
      <c r="W51588" s="239" t="n"/>
      <c r="X51588" s="239" t="n"/>
    </row>
    <row r="51589" ht="14.25" customHeight="1" s="192">
      <c r="W51589" s="235" t="n"/>
      <c r="X51589" s="235" t="n"/>
    </row>
    <row r="51590" ht="14.25" customHeight="1" s="192">
      <c r="W51590" s="235" t="n"/>
      <c r="X51590" s="235" t="n"/>
    </row>
    <row r="51591" ht="14.25" customHeight="1" s="192">
      <c r="W51591" s="235" t="n"/>
      <c r="X51591" s="235" t="n"/>
    </row>
    <row r="51592" ht="14.25" customHeight="1" s="192">
      <c r="W51592" s="239" t="n"/>
      <c r="X51592" s="239" t="n"/>
    </row>
    <row r="51593" ht="14.25" customHeight="1" s="192">
      <c r="W51593" s="239" t="n"/>
      <c r="X51593" s="239" t="n"/>
    </row>
    <row r="51594" ht="14.25" customHeight="1" s="192">
      <c r="W51594" s="235" t="n"/>
      <c r="X51594" s="235" t="n"/>
    </row>
    <row r="51595" ht="14.25" customHeight="1" s="192">
      <c r="W51595" s="235" t="n"/>
      <c r="X51595" s="235" t="n"/>
    </row>
    <row r="51596" ht="14.25" customHeight="1" s="192">
      <c r="W51596" s="239" t="n"/>
      <c r="X51596" s="239" t="n"/>
    </row>
    <row r="51597" ht="14.25" customHeight="1" s="192">
      <c r="W51597" s="235" t="n"/>
      <c r="X51597" s="235" t="n"/>
    </row>
    <row r="51598" ht="14.25" customHeight="1" s="192">
      <c r="W51598" s="239" t="n"/>
      <c r="X51598" s="239" t="n"/>
    </row>
    <row r="51600" ht="14.25" customHeight="1" s="192">
      <c r="W51600" s="235" t="n"/>
      <c r="X51600" s="235" t="n"/>
    </row>
    <row r="51601" ht="15" customHeight="1" s="192" thickBot="1">
      <c r="W51601" s="239" t="n"/>
      <c r="X51601" s="239" t="n"/>
    </row>
    <row r="51602" ht="15" customHeight="1" s="192" thickBot="1">
      <c r="W51602" s="45" t="n"/>
      <c r="X51602" s="45" t="n"/>
    </row>
    <row r="51603" ht="14.25" customHeight="1" s="192">
      <c r="W51603" s="228" t="n"/>
      <c r="X51603" s="228" t="n"/>
    </row>
    <row r="51604" ht="14.25" customHeight="1" s="192">
      <c r="W51604" s="228" t="n"/>
      <c r="X51604" s="228" t="n"/>
    </row>
    <row r="51605" ht="14.25" customHeight="1" s="192">
      <c r="W51605" s="231" t="n"/>
      <c r="X51605" s="231" t="n"/>
    </row>
    <row r="51606" ht="14.25" customHeight="1" s="192">
      <c r="W51606" s="33" t="n"/>
      <c r="X51606" s="33" t="n"/>
    </row>
    <row r="51607" ht="14.25" customHeight="1" s="192">
      <c r="W51607" s="231" t="n"/>
      <c r="X51607" s="231" t="n"/>
    </row>
    <row r="51608" ht="14.25" customHeight="1" s="192">
      <c r="W51608" s="33" t="n"/>
      <c r="X51608" s="33" t="n"/>
    </row>
    <row r="51610" ht="14.25" customHeight="1" s="192">
      <c r="W51610" s="231" t="n"/>
      <c r="X51610" s="231" t="n"/>
    </row>
    <row r="51611" ht="14.25" customHeight="1" s="192">
      <c r="W51611" s="235" t="n"/>
      <c r="X51611" s="235" t="n"/>
    </row>
    <row r="51612" ht="14.25" customHeight="1" s="192">
      <c r="W51612" s="228" t="n"/>
      <c r="X51612" s="228" t="n"/>
    </row>
    <row r="51613" ht="14.25" customHeight="1" s="192">
      <c r="W51613" s="235" t="n"/>
      <c r="X51613" s="235" t="n"/>
    </row>
    <row r="51614" ht="14.25" customHeight="1" s="192">
      <c r="W51614" s="235" t="n"/>
      <c r="X51614" s="235" t="n"/>
    </row>
    <row r="51615" ht="14.25" customHeight="1" s="192">
      <c r="W51615" s="235" t="n"/>
      <c r="X51615" s="235" t="n"/>
    </row>
    <row r="51616" ht="14.25" customHeight="1" s="192">
      <c r="W51616" s="239" t="n"/>
      <c r="X51616" s="239" t="n"/>
    </row>
    <row r="51617" ht="14.25" customHeight="1" s="192">
      <c r="W51617" s="239" t="n"/>
      <c r="X51617" s="239" t="n"/>
    </row>
    <row r="51618" ht="14.25" customHeight="1" s="192">
      <c r="W51618" s="239" t="n"/>
      <c r="X51618" s="239" t="n"/>
    </row>
    <row r="51619" ht="14.25" customHeight="1" s="192">
      <c r="W51619" s="235" t="n"/>
      <c r="X51619" s="235" t="n"/>
    </row>
    <row r="51620" ht="14.25" customHeight="1" s="192">
      <c r="W51620" s="235" t="n"/>
      <c r="X51620" s="235" t="n"/>
    </row>
    <row r="51621" ht="14.25" customHeight="1" s="192">
      <c r="W51621" s="235" t="n"/>
      <c r="X51621" s="235" t="n"/>
    </row>
    <row r="51622" ht="14.25" customHeight="1" s="192">
      <c r="W51622" s="239" t="n"/>
      <c r="X51622" s="239" t="n"/>
    </row>
    <row r="51623" ht="14.25" customHeight="1" s="192">
      <c r="W51623" s="239" t="n"/>
      <c r="X51623" s="239" t="n"/>
    </row>
    <row r="51624" ht="14.25" customHeight="1" s="192">
      <c r="W51624" s="235" t="n"/>
      <c r="X51624" s="235" t="n"/>
    </row>
    <row r="51625" ht="14.25" customHeight="1" s="192">
      <c r="W51625" s="235" t="n"/>
      <c r="X51625" s="235" t="n"/>
    </row>
    <row r="51626" ht="14.25" customHeight="1" s="192">
      <c r="W51626" s="239" t="n"/>
      <c r="X51626" s="239" t="n"/>
    </row>
    <row r="51627" ht="14.25" customHeight="1" s="192">
      <c r="W51627" s="235" t="n"/>
      <c r="X51627" s="235" t="n"/>
    </row>
    <row r="51628" ht="14.25" customHeight="1" s="192">
      <c r="W51628" s="239" t="n"/>
      <c r="X51628" s="239" t="n"/>
    </row>
    <row r="51630" ht="14.25" customHeight="1" s="192">
      <c r="W51630" s="235" t="n"/>
      <c r="X51630" s="235" t="n"/>
    </row>
    <row r="51631" ht="15" customHeight="1" s="192" thickBot="1">
      <c r="W51631" s="239" t="n"/>
      <c r="X51631" s="239" t="n"/>
    </row>
    <row r="51632" ht="15" customHeight="1" s="192" thickBot="1">
      <c r="W51632" s="45" t="n"/>
      <c r="X51632" s="45" t="n"/>
    </row>
    <row r="51633" ht="14.25" customHeight="1" s="192">
      <c r="W51633" s="228" t="n"/>
      <c r="X51633" s="228" t="n"/>
    </row>
    <row r="51634" ht="14.25" customHeight="1" s="192">
      <c r="W51634" s="228" t="n"/>
      <c r="X51634" s="228" t="n"/>
    </row>
    <row r="51635" ht="14.25" customHeight="1" s="192">
      <c r="W51635" s="231" t="n"/>
      <c r="X51635" s="231" t="n"/>
    </row>
    <row r="51636" ht="14.25" customHeight="1" s="192">
      <c r="W51636" s="33" t="n"/>
      <c r="X51636" s="33" t="n"/>
    </row>
    <row r="51637" ht="14.25" customHeight="1" s="192">
      <c r="W51637" s="231" t="n"/>
      <c r="X51637" s="231" t="n"/>
    </row>
    <row r="51638" ht="14.25" customHeight="1" s="192">
      <c r="W51638" s="33" t="n"/>
      <c r="X51638" s="33" t="n"/>
    </row>
    <row r="51640" ht="14.25" customHeight="1" s="192">
      <c r="W51640" s="231" t="n"/>
      <c r="X51640" s="231" t="n"/>
    </row>
    <row r="51641" ht="14.25" customHeight="1" s="192">
      <c r="W51641" s="235" t="n"/>
      <c r="X51641" s="235" t="n"/>
    </row>
    <row r="51642" ht="14.25" customHeight="1" s="192">
      <c r="W51642" s="228" t="n"/>
      <c r="X51642" s="228" t="n"/>
    </row>
    <row r="51643" ht="14.25" customHeight="1" s="192">
      <c r="W51643" s="235" t="n"/>
      <c r="X51643" s="235" t="n"/>
    </row>
    <row r="51644" ht="14.25" customHeight="1" s="192">
      <c r="W51644" s="235" t="n"/>
      <c r="X51644" s="235" t="n"/>
    </row>
    <row r="51645" ht="14.25" customHeight="1" s="192">
      <c r="W51645" s="235" t="n"/>
      <c r="X51645" s="235" t="n"/>
    </row>
    <row r="51646" ht="14.25" customHeight="1" s="192">
      <c r="W51646" s="239" t="n"/>
      <c r="X51646" s="239" t="n"/>
    </row>
    <row r="51647" ht="14.25" customHeight="1" s="192">
      <c r="W51647" s="239" t="n"/>
      <c r="X51647" s="239" t="n"/>
    </row>
    <row r="51648" ht="14.25" customHeight="1" s="192">
      <c r="W51648" s="239" t="n"/>
      <c r="X51648" s="239" t="n"/>
    </row>
    <row r="51649" ht="14.25" customHeight="1" s="192">
      <c r="W51649" s="235" t="n"/>
      <c r="X51649" s="235" t="n"/>
    </row>
    <row r="51650" ht="14.25" customHeight="1" s="192">
      <c r="W51650" s="235" t="n"/>
      <c r="X51650" s="235" t="n"/>
    </row>
    <row r="51651" ht="14.25" customHeight="1" s="192">
      <c r="W51651" s="235" t="n"/>
      <c r="X51651" s="235" t="n"/>
    </row>
    <row r="51652" ht="14.25" customHeight="1" s="192">
      <c r="W51652" s="239" t="n"/>
      <c r="X51652" s="239" t="n"/>
    </row>
    <row r="51653" ht="14.25" customHeight="1" s="192">
      <c r="W51653" s="239" t="n"/>
      <c r="X51653" s="239" t="n"/>
    </row>
    <row r="51654" ht="14.25" customHeight="1" s="192">
      <c r="W51654" s="235" t="n"/>
      <c r="X51654" s="235" t="n"/>
    </row>
    <row r="51655" ht="14.25" customHeight="1" s="192">
      <c r="W51655" s="235" t="n"/>
      <c r="X51655" s="235" t="n"/>
    </row>
    <row r="51656" ht="14.25" customHeight="1" s="192">
      <c r="W51656" s="239" t="n"/>
      <c r="X51656" s="239" t="n"/>
    </row>
    <row r="51657" ht="14.25" customHeight="1" s="192">
      <c r="W51657" s="235" t="n"/>
      <c r="X51657" s="235" t="n"/>
    </row>
    <row r="51658" ht="14.25" customHeight="1" s="192">
      <c r="W51658" s="239" t="n"/>
      <c r="X51658" s="239" t="n"/>
    </row>
    <row r="51660" ht="14.25" customHeight="1" s="192">
      <c r="W51660" s="235" t="n"/>
      <c r="X51660" s="235" t="n"/>
    </row>
    <row r="51661" ht="15" customHeight="1" s="192" thickBot="1">
      <c r="W51661" s="239" t="n"/>
      <c r="X51661" s="239" t="n"/>
    </row>
    <row r="51662" ht="15" customHeight="1" s="192" thickBot="1">
      <c r="W51662" s="45" t="n"/>
      <c r="X51662" s="45" t="n"/>
    </row>
    <row r="51663" ht="14.25" customHeight="1" s="192">
      <c r="W51663" s="228" t="n"/>
      <c r="X51663" s="228" t="n"/>
    </row>
    <row r="51664" ht="14.25" customHeight="1" s="192">
      <c r="W51664" s="228" t="n"/>
      <c r="X51664" s="228" t="n"/>
    </row>
    <row r="51665" ht="14.25" customHeight="1" s="192">
      <c r="W51665" s="231" t="n"/>
      <c r="X51665" s="231" t="n"/>
    </row>
    <row r="51666" ht="14.25" customHeight="1" s="192">
      <c r="W51666" s="33" t="n"/>
      <c r="X51666" s="33" t="n"/>
    </row>
    <row r="51667" ht="14.25" customHeight="1" s="192">
      <c r="W51667" s="231" t="n"/>
      <c r="X51667" s="231" t="n"/>
    </row>
    <row r="51668" ht="14.25" customHeight="1" s="192">
      <c r="W51668" s="33" t="n"/>
      <c r="X51668" s="33" t="n"/>
    </row>
    <row r="51670" ht="14.25" customHeight="1" s="192">
      <c r="W51670" s="231" t="n"/>
      <c r="X51670" s="231" t="n"/>
    </row>
    <row r="51671" ht="14.25" customHeight="1" s="192">
      <c r="W51671" s="235" t="n"/>
      <c r="X51671" s="235" t="n"/>
    </row>
    <row r="51672" ht="14.25" customHeight="1" s="192">
      <c r="W51672" s="228" t="n"/>
      <c r="X51672" s="228" t="n"/>
    </row>
    <row r="51673" ht="14.25" customHeight="1" s="192">
      <c r="W51673" s="235" t="n"/>
      <c r="X51673" s="235" t="n"/>
    </row>
    <row r="51674" ht="14.25" customHeight="1" s="192">
      <c r="W51674" s="235" t="n"/>
      <c r="X51674" s="235" t="n"/>
    </row>
    <row r="51675" ht="14.25" customHeight="1" s="192">
      <c r="W51675" s="235" t="n"/>
      <c r="X51675" s="235" t="n"/>
    </row>
    <row r="51676" ht="14.25" customHeight="1" s="192">
      <c r="W51676" s="239" t="n"/>
      <c r="X51676" s="239" t="n"/>
    </row>
    <row r="51677" ht="14.25" customHeight="1" s="192">
      <c r="W51677" s="239" t="n"/>
      <c r="X51677" s="239" t="n"/>
    </row>
    <row r="51678" ht="14.25" customHeight="1" s="192">
      <c r="W51678" s="239" t="n"/>
      <c r="X51678" s="239" t="n"/>
    </row>
    <row r="51679" ht="14.25" customHeight="1" s="192">
      <c r="W51679" s="235" t="n"/>
      <c r="X51679" s="235" t="n"/>
    </row>
    <row r="51680" ht="14.25" customHeight="1" s="192">
      <c r="W51680" s="235" t="n"/>
      <c r="X51680" s="235" t="n"/>
    </row>
    <row r="51681" ht="14.25" customHeight="1" s="192">
      <c r="W51681" s="235" t="n"/>
      <c r="X51681" s="235" t="n"/>
    </row>
    <row r="51682" ht="14.25" customHeight="1" s="192">
      <c r="W51682" s="239" t="n"/>
      <c r="X51682" s="239" t="n"/>
    </row>
    <row r="51683" ht="14.25" customHeight="1" s="192">
      <c r="W51683" s="239" t="n"/>
      <c r="X51683" s="239" t="n"/>
    </row>
    <row r="51684" ht="14.25" customHeight="1" s="192">
      <c r="W51684" s="235" t="n"/>
      <c r="X51684" s="235" t="n"/>
    </row>
    <row r="51685" ht="14.25" customHeight="1" s="192">
      <c r="W51685" s="235" t="n"/>
      <c r="X51685" s="235" t="n"/>
    </row>
    <row r="51686" ht="14.25" customHeight="1" s="192">
      <c r="W51686" s="239" t="n"/>
      <c r="X51686" s="239" t="n"/>
    </row>
    <row r="51687" ht="14.25" customHeight="1" s="192">
      <c r="W51687" s="235" t="n"/>
      <c r="X51687" s="235" t="n"/>
    </row>
    <row r="51688" ht="14.25" customHeight="1" s="192">
      <c r="W51688" s="239" t="n"/>
      <c r="X51688" s="239" t="n"/>
    </row>
    <row r="51690" ht="14.25" customHeight="1" s="192">
      <c r="W51690" s="235" t="n"/>
      <c r="X51690" s="235" t="n"/>
    </row>
    <row r="51691" ht="15" customHeight="1" s="192" thickBot="1">
      <c r="W51691" s="239" t="n"/>
      <c r="X51691" s="239" t="n"/>
    </row>
    <row r="51692" ht="15" customHeight="1" s="192" thickBot="1">
      <c r="W51692" s="45" t="n"/>
      <c r="X51692" s="45" t="n"/>
    </row>
    <row r="51693" ht="14.25" customHeight="1" s="192">
      <c r="W51693" s="228" t="n"/>
      <c r="X51693" s="228" t="n"/>
    </row>
    <row r="51694" ht="14.25" customHeight="1" s="192">
      <c r="W51694" s="228" t="n"/>
      <c r="X51694" s="228" t="n"/>
    </row>
    <row r="51695" ht="14.25" customHeight="1" s="192">
      <c r="W51695" s="231" t="n"/>
      <c r="X51695" s="231" t="n"/>
    </row>
    <row r="51696" ht="14.25" customHeight="1" s="192">
      <c r="W51696" s="33" t="n"/>
      <c r="X51696" s="33" t="n"/>
    </row>
    <row r="51697" ht="14.25" customHeight="1" s="192">
      <c r="W51697" s="231" t="n"/>
      <c r="X51697" s="231" t="n"/>
    </row>
    <row r="51698" ht="14.25" customHeight="1" s="192">
      <c r="W51698" s="33" t="n"/>
      <c r="X51698" s="33" t="n"/>
    </row>
    <row r="51700" ht="14.25" customHeight="1" s="192">
      <c r="W51700" s="231" t="n"/>
      <c r="X51700" s="231" t="n"/>
    </row>
    <row r="51701" ht="14.25" customHeight="1" s="192">
      <c r="W51701" s="235" t="n"/>
      <c r="X51701" s="235" t="n"/>
    </row>
    <row r="51702" ht="14.25" customHeight="1" s="192">
      <c r="W51702" s="228" t="n"/>
      <c r="X51702" s="228" t="n"/>
    </row>
    <row r="51703" ht="14.25" customHeight="1" s="192">
      <c r="W51703" s="235" t="n"/>
      <c r="X51703" s="235" t="n"/>
    </row>
    <row r="51704" ht="14.25" customHeight="1" s="192">
      <c r="W51704" s="235" t="n"/>
      <c r="X51704" s="235" t="n"/>
    </row>
    <row r="51705" ht="14.25" customHeight="1" s="192">
      <c r="W51705" s="235" t="n"/>
      <c r="X51705" s="235" t="n"/>
    </row>
    <row r="51706" ht="14.25" customHeight="1" s="192">
      <c r="W51706" s="239" t="n"/>
      <c r="X51706" s="239" t="n"/>
    </row>
    <row r="51707" ht="14.25" customHeight="1" s="192">
      <c r="W51707" s="239" t="n"/>
      <c r="X51707" s="239" t="n"/>
    </row>
    <row r="51708" ht="14.25" customHeight="1" s="192">
      <c r="W51708" s="239" t="n"/>
      <c r="X51708" s="239" t="n"/>
    </row>
    <row r="51709" ht="14.25" customHeight="1" s="192">
      <c r="W51709" s="235" t="n"/>
      <c r="X51709" s="235" t="n"/>
    </row>
    <row r="51710" ht="14.25" customHeight="1" s="192">
      <c r="W51710" s="235" t="n"/>
      <c r="X51710" s="235" t="n"/>
    </row>
    <row r="51711" ht="14.25" customHeight="1" s="192">
      <c r="W51711" s="235" t="n"/>
      <c r="X51711" s="235" t="n"/>
    </row>
    <row r="51712" ht="14.25" customHeight="1" s="192">
      <c r="W51712" s="239" t="n"/>
      <c r="X51712" s="239" t="n"/>
    </row>
    <row r="51713" ht="14.25" customHeight="1" s="192">
      <c r="W51713" s="239" t="n"/>
      <c r="X51713" s="239" t="n"/>
    </row>
    <row r="51714" ht="14.25" customHeight="1" s="192">
      <c r="W51714" s="235" t="n"/>
      <c r="X51714" s="235" t="n"/>
    </row>
    <row r="51715" ht="14.25" customHeight="1" s="192">
      <c r="W51715" s="235" t="n"/>
      <c r="X51715" s="235" t="n"/>
    </row>
    <row r="51716" ht="14.25" customHeight="1" s="192">
      <c r="W51716" s="239" t="n"/>
      <c r="X51716" s="239" t="n"/>
    </row>
    <row r="51717" ht="14.25" customHeight="1" s="192">
      <c r="W51717" s="235" t="n"/>
      <c r="X51717" s="235" t="n"/>
    </row>
    <row r="51718" ht="14.25" customHeight="1" s="192">
      <c r="W51718" s="239" t="n"/>
      <c r="X51718" s="239" t="n"/>
    </row>
    <row r="51720" ht="14.25" customHeight="1" s="192">
      <c r="W51720" s="235" t="n"/>
      <c r="X51720" s="235" t="n"/>
    </row>
    <row r="51721" ht="15" customHeight="1" s="192" thickBot="1">
      <c r="W51721" s="239" t="n"/>
      <c r="X51721" s="239" t="n"/>
    </row>
    <row r="51722" ht="15" customHeight="1" s="192" thickBot="1">
      <c r="W51722" s="45" t="n"/>
      <c r="X51722" s="45" t="n"/>
    </row>
    <row r="51723" ht="14.25" customHeight="1" s="192">
      <c r="W51723" s="228" t="n"/>
      <c r="X51723" s="228" t="n"/>
    </row>
    <row r="51724" ht="14.25" customHeight="1" s="192">
      <c r="W51724" s="228" t="n"/>
      <c r="X51724" s="228" t="n"/>
    </row>
    <row r="51725" ht="14.25" customHeight="1" s="192">
      <c r="W51725" s="231" t="n"/>
      <c r="X51725" s="231" t="n"/>
    </row>
    <row r="51726" ht="14.25" customHeight="1" s="192">
      <c r="W51726" s="33" t="n"/>
      <c r="X51726" s="33" t="n"/>
    </row>
    <row r="51727" ht="14.25" customHeight="1" s="192">
      <c r="W51727" s="231" t="n"/>
      <c r="X51727" s="231" t="n"/>
    </row>
    <row r="51728" ht="14.25" customHeight="1" s="192">
      <c r="W51728" s="33" t="n"/>
      <c r="X51728" s="33" t="n"/>
    </row>
    <row r="51730" ht="14.25" customHeight="1" s="192">
      <c r="W51730" s="231" t="n"/>
      <c r="X51730" s="231" t="n"/>
    </row>
    <row r="51731" ht="14.25" customHeight="1" s="192">
      <c r="W51731" s="235" t="n"/>
      <c r="X51731" s="235" t="n"/>
    </row>
    <row r="51732" ht="14.25" customHeight="1" s="192">
      <c r="W51732" s="228" t="n"/>
      <c r="X51732" s="228" t="n"/>
    </row>
    <row r="51733" ht="14.25" customHeight="1" s="192">
      <c r="W51733" s="235" t="n"/>
      <c r="X51733" s="235" t="n"/>
    </row>
    <row r="51734" ht="14.25" customHeight="1" s="192">
      <c r="W51734" s="235" t="n"/>
      <c r="X51734" s="235" t="n"/>
    </row>
    <row r="51735" ht="14.25" customHeight="1" s="192">
      <c r="W51735" s="235" t="n"/>
      <c r="X51735" s="235" t="n"/>
    </row>
    <row r="51736" ht="14.25" customHeight="1" s="192">
      <c r="W51736" s="239" t="n"/>
      <c r="X51736" s="239" t="n"/>
    </row>
    <row r="51737" ht="14.25" customHeight="1" s="192">
      <c r="W51737" s="239" t="n"/>
      <c r="X51737" s="239" t="n"/>
    </row>
    <row r="51738" ht="14.25" customHeight="1" s="192">
      <c r="W51738" s="239" t="n"/>
      <c r="X51738" s="239" t="n"/>
    </row>
    <row r="51739" ht="14.25" customHeight="1" s="192">
      <c r="W51739" s="235" t="n"/>
      <c r="X51739" s="235" t="n"/>
    </row>
    <row r="51740" ht="14.25" customHeight="1" s="192">
      <c r="W51740" s="235" t="n"/>
      <c r="X51740" s="235" t="n"/>
    </row>
    <row r="51741" ht="14.25" customHeight="1" s="192">
      <c r="W51741" s="235" t="n"/>
      <c r="X51741" s="235" t="n"/>
    </row>
    <row r="51742" ht="14.25" customHeight="1" s="192">
      <c r="W51742" s="239" t="n"/>
      <c r="X51742" s="239" t="n"/>
    </row>
    <row r="51743" ht="14.25" customHeight="1" s="192">
      <c r="W51743" s="239" t="n"/>
      <c r="X51743" s="239" t="n"/>
    </row>
    <row r="51744" ht="14.25" customHeight="1" s="192">
      <c r="W51744" s="235" t="n"/>
      <c r="X51744" s="235" t="n"/>
    </row>
    <row r="51745" ht="14.25" customHeight="1" s="192">
      <c r="W51745" s="235" t="n"/>
      <c r="X51745" s="235" t="n"/>
    </row>
    <row r="51746" ht="14.25" customHeight="1" s="192">
      <c r="W51746" s="239" t="n"/>
      <c r="X51746" s="239" t="n"/>
    </row>
    <row r="51747" ht="14.25" customHeight="1" s="192">
      <c r="W51747" s="235" t="n"/>
      <c r="X51747" s="235" t="n"/>
    </row>
    <row r="51748" ht="14.25" customHeight="1" s="192">
      <c r="W51748" s="239" t="n"/>
      <c r="X51748" s="239" t="n"/>
    </row>
    <row r="51750" ht="14.25" customHeight="1" s="192">
      <c r="W51750" s="235" t="n"/>
      <c r="X51750" s="235" t="n"/>
    </row>
    <row r="51751" ht="15" customHeight="1" s="192" thickBot="1">
      <c r="W51751" s="239" t="n"/>
      <c r="X51751" s="239" t="n"/>
    </row>
    <row r="51752" ht="15" customHeight="1" s="192" thickBot="1">
      <c r="W51752" s="45" t="n"/>
      <c r="X51752" s="45" t="n"/>
    </row>
    <row r="51753" ht="14.25" customHeight="1" s="192">
      <c r="W51753" s="228" t="n"/>
      <c r="X51753" s="228" t="n"/>
    </row>
    <row r="51754" ht="14.25" customHeight="1" s="192">
      <c r="W51754" s="228" t="n"/>
      <c r="X51754" s="228" t="n"/>
    </row>
    <row r="51755" ht="14.25" customHeight="1" s="192">
      <c r="W51755" s="231" t="n"/>
      <c r="X51755" s="231" t="n"/>
    </row>
    <row r="51756" ht="14.25" customHeight="1" s="192">
      <c r="W51756" s="33" t="n"/>
      <c r="X51756" s="33" t="n"/>
    </row>
    <row r="51757" ht="14.25" customHeight="1" s="192">
      <c r="W51757" s="231" t="n"/>
      <c r="X51757" s="231" t="n"/>
    </row>
    <row r="51758" ht="14.25" customHeight="1" s="192">
      <c r="W51758" s="33" t="n"/>
      <c r="X51758" s="33" t="n"/>
    </row>
    <row r="51760" ht="14.25" customHeight="1" s="192">
      <c r="W51760" s="231" t="n"/>
      <c r="X51760" s="231" t="n"/>
    </row>
    <row r="51761" ht="14.25" customHeight="1" s="192">
      <c r="W51761" s="235" t="n"/>
      <c r="X51761" s="235" t="n"/>
    </row>
    <row r="51762" ht="14.25" customHeight="1" s="192">
      <c r="W51762" s="228" t="n"/>
      <c r="X51762" s="228" t="n"/>
    </row>
    <row r="51763" ht="14.25" customHeight="1" s="192">
      <c r="W51763" s="235" t="n"/>
      <c r="X51763" s="235" t="n"/>
    </row>
    <row r="51764" ht="14.25" customHeight="1" s="192">
      <c r="W51764" s="235" t="n"/>
      <c r="X51764" s="235" t="n"/>
    </row>
    <row r="51765" ht="14.25" customHeight="1" s="192">
      <c r="W51765" s="235" t="n"/>
      <c r="X51765" s="235" t="n"/>
    </row>
    <row r="51766" ht="14.25" customHeight="1" s="192">
      <c r="W51766" s="239" t="n"/>
      <c r="X51766" s="239" t="n"/>
    </row>
    <row r="51767" ht="14.25" customHeight="1" s="192">
      <c r="W51767" s="239" t="n"/>
      <c r="X51767" s="239" t="n"/>
    </row>
    <row r="51768" ht="14.25" customHeight="1" s="192">
      <c r="W51768" s="239" t="n"/>
      <c r="X51768" s="239" t="n"/>
    </row>
    <row r="51769" ht="14.25" customHeight="1" s="192">
      <c r="W51769" s="235" t="n"/>
      <c r="X51769" s="235" t="n"/>
    </row>
    <row r="51770" ht="14.25" customHeight="1" s="192">
      <c r="W51770" s="235" t="n"/>
      <c r="X51770" s="235" t="n"/>
    </row>
    <row r="51771" ht="14.25" customHeight="1" s="192">
      <c r="W51771" s="235" t="n"/>
      <c r="X51771" s="235" t="n"/>
    </row>
    <row r="51772" ht="14.25" customHeight="1" s="192">
      <c r="W51772" s="239" t="n"/>
      <c r="X51772" s="239" t="n"/>
    </row>
    <row r="51773" ht="14.25" customHeight="1" s="192">
      <c r="W51773" s="239" t="n"/>
      <c r="X51773" s="239" t="n"/>
    </row>
    <row r="51774" ht="14.25" customHeight="1" s="192">
      <c r="W51774" s="235" t="n"/>
      <c r="X51774" s="235" t="n"/>
    </row>
    <row r="51775" ht="14.25" customHeight="1" s="192">
      <c r="W51775" s="235" t="n"/>
      <c r="X51775" s="235" t="n"/>
    </row>
    <row r="51776" ht="14.25" customHeight="1" s="192">
      <c r="W51776" s="239" t="n"/>
      <c r="X51776" s="239" t="n"/>
    </row>
    <row r="51777" ht="14.25" customHeight="1" s="192">
      <c r="W51777" s="235" t="n"/>
      <c r="X51777" s="235" t="n"/>
    </row>
    <row r="51778" ht="14.25" customHeight="1" s="192">
      <c r="W51778" s="239" t="n"/>
      <c r="X51778" s="239" t="n"/>
    </row>
    <row r="51780" ht="14.25" customHeight="1" s="192">
      <c r="W51780" s="235" t="n"/>
      <c r="X51780" s="235" t="n"/>
    </row>
    <row r="51781" ht="15" customHeight="1" s="192" thickBot="1">
      <c r="W51781" s="239" t="n"/>
      <c r="X51781" s="239" t="n"/>
    </row>
    <row r="51782" ht="15" customHeight="1" s="192" thickBot="1">
      <c r="W51782" s="45" t="n"/>
      <c r="X51782" s="45" t="n"/>
    </row>
    <row r="51783" ht="14.25" customHeight="1" s="192">
      <c r="W51783" s="228" t="n"/>
      <c r="X51783" s="228" t="n"/>
    </row>
    <row r="51784" ht="14.25" customHeight="1" s="192">
      <c r="W51784" s="228" t="n"/>
      <c r="X51784" s="228" t="n"/>
    </row>
    <row r="51785" ht="14.25" customHeight="1" s="192">
      <c r="W51785" s="231" t="n"/>
      <c r="X51785" s="231" t="n"/>
    </row>
    <row r="51786" ht="14.25" customHeight="1" s="192">
      <c r="W51786" s="33" t="n"/>
      <c r="X51786" s="33" t="n"/>
    </row>
    <row r="51787" ht="14.25" customHeight="1" s="192">
      <c r="W51787" s="231" t="n"/>
      <c r="X51787" s="231" t="n"/>
    </row>
    <row r="51788" ht="14.25" customHeight="1" s="192">
      <c r="W51788" s="33" t="n"/>
      <c r="X51788" s="33" t="n"/>
    </row>
    <row r="51790" ht="14.25" customHeight="1" s="192">
      <c r="W51790" s="231" t="n"/>
      <c r="X51790" s="231" t="n"/>
    </row>
    <row r="51791" ht="14.25" customHeight="1" s="192">
      <c r="W51791" s="235" t="n"/>
      <c r="X51791" s="235" t="n"/>
    </row>
    <row r="51792" ht="14.25" customHeight="1" s="192">
      <c r="W51792" s="228" t="n"/>
      <c r="X51792" s="228" t="n"/>
    </row>
    <row r="51793" ht="14.25" customHeight="1" s="192">
      <c r="W51793" s="235" t="n"/>
      <c r="X51793" s="235" t="n"/>
    </row>
    <row r="51794" ht="14.25" customHeight="1" s="192">
      <c r="W51794" s="235" t="n"/>
      <c r="X51794" s="235" t="n"/>
    </row>
    <row r="51795" ht="14.25" customHeight="1" s="192">
      <c r="W51795" s="235" t="n"/>
      <c r="X51795" s="235" t="n"/>
    </row>
    <row r="51796" ht="14.25" customHeight="1" s="192">
      <c r="W51796" s="239" t="n"/>
      <c r="X51796" s="239" t="n"/>
    </row>
    <row r="51797" ht="14.25" customHeight="1" s="192">
      <c r="W51797" s="239" t="n"/>
      <c r="X51797" s="239" t="n"/>
    </row>
    <row r="51798" ht="14.25" customHeight="1" s="192">
      <c r="W51798" s="239" t="n"/>
      <c r="X51798" s="239" t="n"/>
    </row>
    <row r="51799" ht="14.25" customHeight="1" s="192">
      <c r="W51799" s="235" t="n"/>
      <c r="X51799" s="235" t="n"/>
    </row>
    <row r="51800" ht="14.25" customHeight="1" s="192">
      <c r="W51800" s="235" t="n"/>
      <c r="X51800" s="235" t="n"/>
    </row>
    <row r="51801" ht="14.25" customHeight="1" s="192">
      <c r="W51801" s="235" t="n"/>
      <c r="X51801" s="235" t="n"/>
    </row>
    <row r="51802" ht="14.25" customHeight="1" s="192">
      <c r="W51802" s="239" t="n"/>
      <c r="X51802" s="239" t="n"/>
    </row>
    <row r="51803" ht="14.25" customHeight="1" s="192">
      <c r="W51803" s="239" t="n"/>
      <c r="X51803" s="239" t="n"/>
    </row>
    <row r="51804" ht="14.25" customHeight="1" s="192">
      <c r="W51804" s="235" t="n"/>
      <c r="X51804" s="235" t="n"/>
    </row>
    <row r="51805" ht="14.25" customHeight="1" s="192">
      <c r="W51805" s="235" t="n"/>
      <c r="X51805" s="235" t="n"/>
    </row>
    <row r="51806" ht="14.25" customHeight="1" s="192">
      <c r="W51806" s="239" t="n"/>
      <c r="X51806" s="239" t="n"/>
    </row>
    <row r="51807" ht="14.25" customHeight="1" s="192">
      <c r="W51807" s="235" t="n"/>
      <c r="X51807" s="235" t="n"/>
    </row>
    <row r="51808" ht="14.25" customHeight="1" s="192">
      <c r="W51808" s="239" t="n"/>
      <c r="X51808" s="239" t="n"/>
    </row>
    <row r="51810" ht="14.25" customHeight="1" s="192">
      <c r="W51810" s="235" t="n"/>
      <c r="X51810" s="235" t="n"/>
    </row>
    <row r="51811" ht="15" customHeight="1" s="192" thickBot="1">
      <c r="W51811" s="239" t="n"/>
      <c r="X51811" s="239" t="n"/>
    </row>
    <row r="51812" ht="15" customHeight="1" s="192" thickBot="1">
      <c r="W51812" s="45" t="n"/>
      <c r="X51812" s="45" t="n"/>
    </row>
    <row r="51813" ht="14.25" customHeight="1" s="192">
      <c r="W51813" s="228" t="n"/>
      <c r="X51813" s="228" t="n"/>
    </row>
    <row r="51814" ht="14.25" customHeight="1" s="192">
      <c r="W51814" s="228" t="n"/>
      <c r="X51814" s="228" t="n"/>
    </row>
    <row r="51815" ht="14.25" customHeight="1" s="192">
      <c r="W51815" s="231" t="n"/>
      <c r="X51815" s="231" t="n"/>
    </row>
    <row r="51816" ht="14.25" customHeight="1" s="192">
      <c r="W51816" s="33" t="n"/>
      <c r="X51816" s="33" t="n"/>
    </row>
    <row r="51817" ht="14.25" customHeight="1" s="192">
      <c r="W51817" s="231" t="n"/>
      <c r="X51817" s="231" t="n"/>
    </row>
    <row r="51818" ht="14.25" customHeight="1" s="192">
      <c r="W51818" s="33" t="n"/>
      <c r="X51818" s="33" t="n"/>
    </row>
    <row r="51820" ht="14.25" customHeight="1" s="192">
      <c r="W51820" s="231" t="n"/>
      <c r="X51820" s="231" t="n"/>
    </row>
    <row r="51821" ht="14.25" customHeight="1" s="192">
      <c r="W51821" s="235" t="n"/>
      <c r="X51821" s="235" t="n"/>
    </row>
    <row r="51822" ht="14.25" customHeight="1" s="192">
      <c r="W51822" s="228" t="n"/>
      <c r="X51822" s="228" t="n"/>
    </row>
    <row r="51823" ht="14.25" customHeight="1" s="192">
      <c r="W51823" s="235" t="n"/>
      <c r="X51823" s="235" t="n"/>
    </row>
    <row r="51824" ht="14.25" customHeight="1" s="192">
      <c r="W51824" s="235" t="n"/>
      <c r="X51824" s="235" t="n"/>
    </row>
    <row r="51825" ht="14.25" customHeight="1" s="192">
      <c r="W51825" s="235" t="n"/>
      <c r="X51825" s="235" t="n"/>
    </row>
    <row r="51826" ht="14.25" customHeight="1" s="192">
      <c r="W51826" s="239" t="n"/>
      <c r="X51826" s="239" t="n"/>
    </row>
    <row r="51827" ht="14.25" customHeight="1" s="192">
      <c r="W51827" s="239" t="n"/>
      <c r="X51827" s="239" t="n"/>
    </row>
    <row r="51828" ht="14.25" customHeight="1" s="192">
      <c r="W51828" s="239" t="n"/>
      <c r="X51828" s="239" t="n"/>
    </row>
    <row r="51829" ht="14.25" customHeight="1" s="192">
      <c r="W51829" s="235" t="n"/>
      <c r="X51829" s="235" t="n"/>
    </row>
    <row r="51830" ht="14.25" customHeight="1" s="192">
      <c r="W51830" s="235" t="n"/>
      <c r="X51830" s="235" t="n"/>
    </row>
    <row r="51831" ht="14.25" customHeight="1" s="192">
      <c r="W51831" s="235" t="n"/>
      <c r="X51831" s="235" t="n"/>
    </row>
    <row r="51832" ht="14.25" customHeight="1" s="192">
      <c r="W51832" s="239" t="n"/>
      <c r="X51832" s="239" t="n"/>
    </row>
    <row r="51833" ht="14.25" customHeight="1" s="192">
      <c r="W51833" s="239" t="n"/>
      <c r="X51833" s="239" t="n"/>
    </row>
    <row r="51834" ht="14.25" customHeight="1" s="192">
      <c r="W51834" s="235" t="n"/>
      <c r="X51834" s="235" t="n"/>
    </row>
    <row r="51835" ht="14.25" customHeight="1" s="192">
      <c r="W51835" s="235" t="n"/>
      <c r="X51835" s="235" t="n"/>
    </row>
    <row r="51836" ht="14.25" customHeight="1" s="192">
      <c r="W51836" s="239" t="n"/>
      <c r="X51836" s="239" t="n"/>
    </row>
    <row r="51837" ht="14.25" customHeight="1" s="192">
      <c r="W51837" s="235" t="n"/>
      <c r="X51837" s="235" t="n"/>
    </row>
    <row r="51838" ht="14.25" customHeight="1" s="192">
      <c r="W51838" s="239" t="n"/>
      <c r="X51838" s="239" t="n"/>
    </row>
    <row r="51840" ht="14.25" customHeight="1" s="192">
      <c r="W51840" s="235" t="n"/>
      <c r="X51840" s="235" t="n"/>
    </row>
    <row r="51841" ht="15" customHeight="1" s="192" thickBot="1">
      <c r="W51841" s="239" t="n"/>
      <c r="X51841" s="239" t="n"/>
    </row>
    <row r="51842" ht="15" customHeight="1" s="192" thickBot="1">
      <c r="W51842" s="45" t="n"/>
      <c r="X51842" s="45" t="n"/>
    </row>
    <row r="51843" ht="14.25" customHeight="1" s="192">
      <c r="W51843" s="228" t="n"/>
      <c r="X51843" s="228" t="n"/>
    </row>
    <row r="51844" ht="14.25" customHeight="1" s="192">
      <c r="W51844" s="228" t="n"/>
      <c r="X51844" s="228" t="n"/>
    </row>
    <row r="51845" ht="14.25" customHeight="1" s="192">
      <c r="W51845" s="231" t="n"/>
      <c r="X51845" s="231" t="n"/>
    </row>
    <row r="51846" ht="14.25" customHeight="1" s="192">
      <c r="W51846" s="33" t="n"/>
      <c r="X51846" s="33" t="n"/>
    </row>
    <row r="51847" ht="14.25" customHeight="1" s="192">
      <c r="W51847" s="231" t="n"/>
      <c r="X51847" s="231" t="n"/>
    </row>
    <row r="51848" ht="14.25" customHeight="1" s="192">
      <c r="W51848" s="33" t="n"/>
      <c r="X51848" s="33" t="n"/>
    </row>
    <row r="51850" ht="14.25" customHeight="1" s="192">
      <c r="W51850" s="231" t="n"/>
      <c r="X51850" s="231" t="n"/>
    </row>
    <row r="51851" ht="14.25" customHeight="1" s="192">
      <c r="W51851" s="235" t="n"/>
      <c r="X51851" s="235" t="n"/>
    </row>
    <row r="51852" ht="14.25" customHeight="1" s="192">
      <c r="W51852" s="228" t="n"/>
      <c r="X51852" s="228" t="n"/>
    </row>
    <row r="51853" ht="14.25" customHeight="1" s="192">
      <c r="W51853" s="235" t="n"/>
      <c r="X51853" s="235" t="n"/>
    </row>
    <row r="51854" ht="14.25" customHeight="1" s="192">
      <c r="W51854" s="235" t="n"/>
      <c r="X51854" s="235" t="n"/>
    </row>
    <row r="51855" ht="14.25" customHeight="1" s="192">
      <c r="W51855" s="235" t="n"/>
      <c r="X51855" s="235" t="n"/>
    </row>
    <row r="51856" ht="14.25" customHeight="1" s="192">
      <c r="W51856" s="239" t="n"/>
      <c r="X51856" s="239" t="n"/>
    </row>
    <row r="51857" ht="14.25" customHeight="1" s="192">
      <c r="W51857" s="239" t="n"/>
      <c r="X51857" s="239" t="n"/>
    </row>
    <row r="51858" ht="14.25" customHeight="1" s="192">
      <c r="W51858" s="239" t="n"/>
      <c r="X51858" s="239" t="n"/>
    </row>
    <row r="51859" ht="14.25" customHeight="1" s="192">
      <c r="W51859" s="235" t="n"/>
      <c r="X51859" s="235" t="n"/>
    </row>
    <row r="51860" ht="14.25" customHeight="1" s="192">
      <c r="W51860" s="235" t="n"/>
      <c r="X51860" s="235" t="n"/>
    </row>
    <row r="51861" ht="14.25" customHeight="1" s="192">
      <c r="W51861" s="235" t="n"/>
      <c r="X51861" s="235" t="n"/>
    </row>
    <row r="51862" ht="14.25" customHeight="1" s="192">
      <c r="W51862" s="239" t="n"/>
      <c r="X51862" s="239" t="n"/>
    </row>
    <row r="51863" ht="14.25" customHeight="1" s="192">
      <c r="W51863" s="239" t="n"/>
      <c r="X51863" s="239" t="n"/>
    </row>
    <row r="51864" ht="14.25" customHeight="1" s="192">
      <c r="W51864" s="235" t="n"/>
      <c r="X51864" s="235" t="n"/>
    </row>
    <row r="51865" ht="14.25" customHeight="1" s="192">
      <c r="W51865" s="235" t="n"/>
      <c r="X51865" s="235" t="n"/>
    </row>
    <row r="51866" ht="14.25" customHeight="1" s="192">
      <c r="W51866" s="239" t="n"/>
      <c r="X51866" s="239" t="n"/>
    </row>
    <row r="51867" ht="14.25" customHeight="1" s="192">
      <c r="W51867" s="235" t="n"/>
      <c r="X51867" s="235" t="n"/>
    </row>
    <row r="51868" ht="14.25" customHeight="1" s="192">
      <c r="W51868" s="239" t="n"/>
      <c r="X51868" s="239" t="n"/>
    </row>
    <row r="51870" ht="14.25" customHeight="1" s="192">
      <c r="W51870" s="235" t="n"/>
      <c r="X51870" s="235" t="n"/>
    </row>
    <row r="51871" ht="15" customHeight="1" s="192" thickBot="1">
      <c r="W51871" s="239" t="n"/>
      <c r="X51871" s="239" t="n"/>
    </row>
    <row r="51872" ht="15" customHeight="1" s="192" thickBot="1">
      <c r="W51872" s="45" t="n"/>
      <c r="X51872" s="45" t="n"/>
    </row>
    <row r="51873" ht="14.25" customHeight="1" s="192">
      <c r="W51873" s="228" t="n"/>
      <c r="X51873" s="228" t="n"/>
    </row>
    <row r="51874" ht="14.25" customHeight="1" s="192">
      <c r="W51874" s="228" t="n"/>
      <c r="X51874" s="228" t="n"/>
    </row>
    <row r="51875" ht="14.25" customHeight="1" s="192">
      <c r="W51875" s="231" t="n"/>
      <c r="X51875" s="231" t="n"/>
    </row>
    <row r="51876" ht="14.25" customHeight="1" s="192">
      <c r="W51876" s="33" t="n"/>
      <c r="X51876" s="33" t="n"/>
    </row>
    <row r="51877" ht="14.25" customHeight="1" s="192">
      <c r="W51877" s="231" t="n"/>
      <c r="X51877" s="231" t="n"/>
    </row>
    <row r="51878" ht="14.25" customHeight="1" s="192">
      <c r="W51878" s="33" t="n"/>
      <c r="X51878" s="33" t="n"/>
    </row>
    <row r="51880" ht="14.25" customHeight="1" s="192">
      <c r="W51880" s="231" t="n"/>
      <c r="X51880" s="231" t="n"/>
    </row>
    <row r="51881" ht="14.25" customHeight="1" s="192">
      <c r="W51881" s="235" t="n"/>
      <c r="X51881" s="235" t="n"/>
    </row>
    <row r="51882" ht="14.25" customHeight="1" s="192">
      <c r="W51882" s="228" t="n"/>
      <c r="X51882" s="228" t="n"/>
    </row>
    <row r="51883" ht="14.25" customHeight="1" s="192">
      <c r="W51883" s="235" t="n"/>
      <c r="X51883" s="235" t="n"/>
    </row>
    <row r="51884" ht="14.25" customHeight="1" s="192">
      <c r="W51884" s="235" t="n"/>
      <c r="X51884" s="235" t="n"/>
    </row>
    <row r="51885" ht="14.25" customHeight="1" s="192">
      <c r="W51885" s="235" t="n"/>
      <c r="X51885" s="235" t="n"/>
    </row>
    <row r="51886" ht="14.25" customHeight="1" s="192">
      <c r="W51886" s="239" t="n"/>
      <c r="X51886" s="239" t="n"/>
    </row>
    <row r="51887" ht="14.25" customHeight="1" s="192">
      <c r="W51887" s="239" t="n"/>
      <c r="X51887" s="239" t="n"/>
    </row>
    <row r="51888" ht="14.25" customHeight="1" s="192">
      <c r="W51888" s="239" t="n"/>
      <c r="X51888" s="239" t="n"/>
    </row>
    <row r="51889" ht="14.25" customHeight="1" s="192">
      <c r="W51889" s="235" t="n"/>
      <c r="X51889" s="235" t="n"/>
    </row>
    <row r="51890" ht="14.25" customHeight="1" s="192">
      <c r="W51890" s="235" t="n"/>
      <c r="X51890" s="235" t="n"/>
    </row>
    <row r="51891" ht="14.25" customHeight="1" s="192">
      <c r="W51891" s="235" t="n"/>
      <c r="X51891" s="235" t="n"/>
    </row>
    <row r="51892" ht="14.25" customHeight="1" s="192">
      <c r="W51892" s="239" t="n"/>
      <c r="X51892" s="239" t="n"/>
    </row>
    <row r="51893" ht="14.25" customHeight="1" s="192">
      <c r="W51893" s="239" t="n"/>
      <c r="X51893" s="239" t="n"/>
    </row>
    <row r="51894" ht="14.25" customHeight="1" s="192">
      <c r="W51894" s="235" t="n"/>
      <c r="X51894" s="235" t="n"/>
    </row>
    <row r="51895" ht="14.25" customHeight="1" s="192">
      <c r="W51895" s="235" t="n"/>
      <c r="X51895" s="235" t="n"/>
    </row>
    <row r="51896" ht="14.25" customHeight="1" s="192">
      <c r="W51896" s="239" t="n"/>
      <c r="X51896" s="239" t="n"/>
    </row>
    <row r="51897" ht="14.25" customHeight="1" s="192">
      <c r="W51897" s="235" t="n"/>
      <c r="X51897" s="235" t="n"/>
    </row>
    <row r="51898" ht="14.25" customHeight="1" s="192">
      <c r="W51898" s="239" t="n"/>
      <c r="X51898" s="239" t="n"/>
    </row>
    <row r="51900" ht="14.25" customHeight="1" s="192">
      <c r="W51900" s="235" t="n"/>
      <c r="X51900" s="235" t="n"/>
    </row>
    <row r="51901" ht="15" customHeight="1" s="192" thickBot="1">
      <c r="W51901" s="239" t="n"/>
      <c r="X51901" s="239" t="n"/>
    </row>
    <row r="51902" ht="15" customHeight="1" s="192" thickBot="1">
      <c r="W51902" s="45" t="n"/>
      <c r="X51902" s="45" t="n"/>
    </row>
    <row r="51903" ht="14.25" customHeight="1" s="192">
      <c r="W51903" s="228" t="n"/>
      <c r="X51903" s="228" t="n"/>
    </row>
    <row r="51904" ht="14.25" customHeight="1" s="192">
      <c r="W51904" s="228" t="n"/>
      <c r="X51904" s="228" t="n"/>
    </row>
    <row r="51905" ht="14.25" customHeight="1" s="192">
      <c r="W51905" s="231" t="n"/>
      <c r="X51905" s="231" t="n"/>
    </row>
    <row r="51906" ht="14.25" customHeight="1" s="192">
      <c r="W51906" s="33" t="n"/>
      <c r="X51906" s="33" t="n"/>
    </row>
    <row r="51907" ht="14.25" customHeight="1" s="192">
      <c r="W51907" s="231" t="n"/>
      <c r="X51907" s="231" t="n"/>
    </row>
    <row r="51908" ht="14.25" customHeight="1" s="192">
      <c r="W51908" s="33" t="n"/>
      <c r="X51908" s="33" t="n"/>
    </row>
    <row r="51910" ht="14.25" customHeight="1" s="192">
      <c r="W51910" s="231" t="n"/>
      <c r="X51910" s="231" t="n"/>
    </row>
    <row r="51911" ht="14.25" customHeight="1" s="192">
      <c r="W51911" s="235" t="n"/>
      <c r="X51911" s="235" t="n"/>
    </row>
    <row r="51912" ht="14.25" customHeight="1" s="192">
      <c r="W51912" s="228" t="n"/>
      <c r="X51912" s="228" t="n"/>
    </row>
    <row r="51913" ht="14.25" customHeight="1" s="192">
      <c r="W51913" s="235" t="n"/>
      <c r="X51913" s="235" t="n"/>
    </row>
    <row r="51914" ht="14.25" customHeight="1" s="192">
      <c r="W51914" s="235" t="n"/>
      <c r="X51914" s="235" t="n"/>
    </row>
    <row r="51915" ht="14.25" customHeight="1" s="192">
      <c r="W51915" s="235" t="n"/>
      <c r="X51915" s="235" t="n"/>
    </row>
    <row r="51916" ht="14.25" customHeight="1" s="192">
      <c r="W51916" s="239" t="n"/>
      <c r="X51916" s="239" t="n"/>
    </row>
    <row r="51917" ht="14.25" customHeight="1" s="192">
      <c r="W51917" s="239" t="n"/>
      <c r="X51917" s="239" t="n"/>
    </row>
    <row r="51918" ht="14.25" customHeight="1" s="192">
      <c r="W51918" s="239" t="n"/>
      <c r="X51918" s="239" t="n"/>
    </row>
    <row r="51919" ht="14.25" customHeight="1" s="192">
      <c r="W51919" s="235" t="n"/>
      <c r="X51919" s="235" t="n"/>
    </row>
    <row r="51920" ht="14.25" customHeight="1" s="192">
      <c r="W51920" s="235" t="n"/>
      <c r="X51920" s="235" t="n"/>
    </row>
    <row r="51921" ht="14.25" customHeight="1" s="192">
      <c r="W51921" s="235" t="n"/>
      <c r="X51921" s="235" t="n"/>
    </row>
    <row r="51922" ht="14.25" customHeight="1" s="192">
      <c r="W51922" s="239" t="n"/>
      <c r="X51922" s="239" t="n"/>
    </row>
    <row r="51923" ht="14.25" customHeight="1" s="192">
      <c r="W51923" s="239" t="n"/>
      <c r="X51923" s="239" t="n"/>
    </row>
    <row r="51924" ht="14.25" customHeight="1" s="192">
      <c r="W51924" s="235" t="n"/>
      <c r="X51924" s="235" t="n"/>
    </row>
    <row r="51925" ht="14.25" customHeight="1" s="192">
      <c r="W51925" s="235" t="n"/>
      <c r="X51925" s="235" t="n"/>
    </row>
    <row r="51926" ht="14.25" customHeight="1" s="192">
      <c r="W51926" s="239" t="n"/>
      <c r="X51926" s="239" t="n"/>
    </row>
    <row r="51927" ht="14.25" customHeight="1" s="192">
      <c r="W51927" s="235" t="n"/>
      <c r="X51927" s="235" t="n"/>
    </row>
    <row r="51928" ht="14.25" customHeight="1" s="192">
      <c r="W51928" s="239" t="n"/>
      <c r="X51928" s="239" t="n"/>
    </row>
    <row r="51930" ht="14.25" customHeight="1" s="192">
      <c r="W51930" s="235" t="n"/>
      <c r="X51930" s="235" t="n"/>
    </row>
    <row r="51931" ht="15" customHeight="1" s="192" thickBot="1">
      <c r="W51931" s="239" t="n"/>
      <c r="X51931" s="239" t="n"/>
    </row>
    <row r="51932" ht="15" customHeight="1" s="192" thickBot="1">
      <c r="W51932" s="45" t="n"/>
      <c r="X51932" s="45" t="n"/>
    </row>
    <row r="51933" ht="14.25" customHeight="1" s="192">
      <c r="W51933" s="228" t="n"/>
      <c r="X51933" s="228" t="n"/>
    </row>
    <row r="51934" ht="14.25" customHeight="1" s="192">
      <c r="W51934" s="228" t="n"/>
      <c r="X51934" s="228" t="n"/>
    </row>
    <row r="51935" ht="14.25" customHeight="1" s="192">
      <c r="W51935" s="231" t="n"/>
      <c r="X51935" s="231" t="n"/>
    </row>
    <row r="51936" ht="14.25" customHeight="1" s="192">
      <c r="W51936" s="33" t="n"/>
      <c r="X51936" s="33" t="n"/>
    </row>
    <row r="51937" ht="14.25" customHeight="1" s="192">
      <c r="W51937" s="231" t="n"/>
      <c r="X51937" s="231" t="n"/>
    </row>
    <row r="51938" ht="14.25" customHeight="1" s="192">
      <c r="W51938" s="33" t="n"/>
      <c r="X51938" s="33" t="n"/>
    </row>
    <row r="51940" ht="14.25" customHeight="1" s="192">
      <c r="W51940" s="231" t="n"/>
      <c r="X51940" s="231" t="n"/>
    </row>
    <row r="51941" ht="14.25" customHeight="1" s="192">
      <c r="W51941" s="235" t="n"/>
      <c r="X51941" s="235" t="n"/>
    </row>
    <row r="51942" ht="14.25" customHeight="1" s="192">
      <c r="W51942" s="228" t="n"/>
      <c r="X51942" s="228" t="n"/>
    </row>
    <row r="51943" ht="14.25" customHeight="1" s="192">
      <c r="W51943" s="235" t="n"/>
      <c r="X51943" s="235" t="n"/>
    </row>
    <row r="51944" ht="14.25" customHeight="1" s="192">
      <c r="W51944" s="235" t="n"/>
      <c r="X51944" s="235" t="n"/>
    </row>
    <row r="51945" ht="14.25" customHeight="1" s="192">
      <c r="W51945" s="235" t="n"/>
      <c r="X51945" s="235" t="n"/>
    </row>
    <row r="51946" ht="14.25" customHeight="1" s="192">
      <c r="W51946" s="239" t="n"/>
      <c r="X51946" s="239" t="n"/>
    </row>
    <row r="51947" ht="14.25" customHeight="1" s="192">
      <c r="W51947" s="239" t="n"/>
      <c r="X51947" s="239" t="n"/>
    </row>
    <row r="51948" ht="14.25" customHeight="1" s="192">
      <c r="W51948" s="239" t="n"/>
      <c r="X51948" s="239" t="n"/>
    </row>
    <row r="51949" ht="14.25" customHeight="1" s="192">
      <c r="W51949" s="235" t="n"/>
      <c r="X51949" s="235" t="n"/>
    </row>
    <row r="51950" ht="14.25" customHeight="1" s="192">
      <c r="W51950" s="235" t="n"/>
      <c r="X51950" s="235" t="n"/>
    </row>
    <row r="51951" ht="14.25" customHeight="1" s="192">
      <c r="W51951" s="235" t="n"/>
      <c r="X51951" s="235" t="n"/>
    </row>
    <row r="51952" ht="14.25" customHeight="1" s="192">
      <c r="W51952" s="239" t="n"/>
      <c r="X51952" s="239" t="n"/>
    </row>
    <row r="51953" ht="14.25" customHeight="1" s="192">
      <c r="W51953" s="239" t="n"/>
      <c r="X51953" s="239" t="n"/>
    </row>
    <row r="51954" ht="14.25" customHeight="1" s="192">
      <c r="W51954" s="235" t="n"/>
      <c r="X51954" s="235" t="n"/>
    </row>
    <row r="51955" ht="14.25" customHeight="1" s="192">
      <c r="W51955" s="235" t="n"/>
      <c r="X51955" s="235" t="n"/>
    </row>
    <row r="51956" ht="14.25" customHeight="1" s="192">
      <c r="W51956" s="239" t="n"/>
      <c r="X51956" s="239" t="n"/>
    </row>
    <row r="51957" ht="14.25" customHeight="1" s="192">
      <c r="W51957" s="235" t="n"/>
      <c r="X51957" s="235" t="n"/>
    </row>
    <row r="51958" ht="14.25" customHeight="1" s="192">
      <c r="W51958" s="239" t="n"/>
      <c r="X51958" s="239" t="n"/>
    </row>
    <row r="51960" ht="14.25" customHeight="1" s="192">
      <c r="W51960" s="235" t="n"/>
      <c r="X51960" s="235" t="n"/>
    </row>
    <row r="51961" ht="15" customHeight="1" s="192" thickBot="1">
      <c r="W51961" s="239" t="n"/>
      <c r="X51961" s="239" t="n"/>
    </row>
    <row r="51962" ht="15" customHeight="1" s="192" thickBot="1">
      <c r="W51962" s="45" t="n"/>
      <c r="X51962" s="45" t="n"/>
    </row>
    <row r="51963" ht="14.25" customHeight="1" s="192">
      <c r="W51963" s="228" t="n"/>
      <c r="X51963" s="228" t="n"/>
    </row>
    <row r="51964" ht="14.25" customHeight="1" s="192">
      <c r="W51964" s="228" t="n"/>
      <c r="X51964" s="228" t="n"/>
    </row>
    <row r="51965" ht="14.25" customHeight="1" s="192">
      <c r="W51965" s="231" t="n"/>
      <c r="X51965" s="231" t="n"/>
    </row>
    <row r="51966" ht="14.25" customHeight="1" s="192">
      <c r="W51966" s="33" t="n"/>
      <c r="X51966" s="33" t="n"/>
    </row>
    <row r="51967" ht="14.25" customHeight="1" s="192">
      <c r="W51967" s="231" t="n"/>
      <c r="X51967" s="231" t="n"/>
    </row>
    <row r="51968" ht="14.25" customHeight="1" s="192">
      <c r="W51968" s="33" t="n"/>
      <c r="X51968" s="33" t="n"/>
    </row>
    <row r="51970" ht="14.25" customHeight="1" s="192">
      <c r="W51970" s="231" t="n"/>
      <c r="X51970" s="231" t="n"/>
    </row>
    <row r="51971" ht="14.25" customHeight="1" s="192">
      <c r="W51971" s="235" t="n"/>
      <c r="X51971" s="235" t="n"/>
    </row>
    <row r="51972" ht="14.25" customHeight="1" s="192">
      <c r="W51972" s="228" t="n"/>
      <c r="X51972" s="228" t="n"/>
    </row>
    <row r="51973" ht="14.25" customHeight="1" s="192">
      <c r="W51973" s="235" t="n"/>
      <c r="X51973" s="235" t="n"/>
    </row>
    <row r="51974" ht="14.25" customHeight="1" s="192">
      <c r="W51974" s="235" t="n"/>
      <c r="X51974" s="235" t="n"/>
    </row>
    <row r="51975" ht="14.25" customHeight="1" s="192">
      <c r="W51975" s="235" t="n"/>
      <c r="X51975" s="235" t="n"/>
    </row>
    <row r="51976" ht="14.25" customHeight="1" s="192">
      <c r="W51976" s="239" t="n"/>
      <c r="X51976" s="239" t="n"/>
    </row>
    <row r="51977" ht="14.25" customHeight="1" s="192">
      <c r="W51977" s="239" t="n"/>
      <c r="X51977" s="239" t="n"/>
    </row>
    <row r="51978" ht="14.25" customHeight="1" s="192">
      <c r="W51978" s="239" t="n"/>
      <c r="X51978" s="239" t="n"/>
    </row>
    <row r="51979" ht="14.25" customHeight="1" s="192">
      <c r="W51979" s="235" t="n"/>
      <c r="X51979" s="235" t="n"/>
    </row>
    <row r="51980" ht="14.25" customHeight="1" s="192">
      <c r="W51980" s="235" t="n"/>
      <c r="X51980" s="235" t="n"/>
    </row>
    <row r="51981" ht="14.25" customHeight="1" s="192">
      <c r="W51981" s="235" t="n"/>
      <c r="X51981" s="235" t="n"/>
    </row>
    <row r="51982" ht="14.25" customHeight="1" s="192">
      <c r="W51982" s="239" t="n"/>
      <c r="X51982" s="239" t="n"/>
    </row>
    <row r="51983" ht="14.25" customHeight="1" s="192">
      <c r="W51983" s="239" t="n"/>
      <c r="X51983" s="239" t="n"/>
    </row>
    <row r="51984" ht="14.25" customHeight="1" s="192">
      <c r="W51984" s="235" t="n"/>
      <c r="X51984" s="235" t="n"/>
    </row>
    <row r="51985" ht="14.25" customHeight="1" s="192">
      <c r="W51985" s="235" t="n"/>
      <c r="X51985" s="235" t="n"/>
    </row>
    <row r="51986" ht="14.25" customHeight="1" s="192">
      <c r="W51986" s="239" t="n"/>
      <c r="X51986" s="239" t="n"/>
    </row>
    <row r="51987" ht="14.25" customHeight="1" s="192">
      <c r="W51987" s="235" t="n"/>
      <c r="X51987" s="235" t="n"/>
    </row>
    <row r="51988" ht="14.25" customHeight="1" s="192">
      <c r="W51988" s="239" t="n"/>
      <c r="X51988" s="239" t="n"/>
    </row>
    <row r="51990" ht="14.25" customHeight="1" s="192">
      <c r="W51990" s="235" t="n"/>
      <c r="X51990" s="235" t="n"/>
    </row>
    <row r="51991" ht="15" customHeight="1" s="192" thickBot="1">
      <c r="W51991" s="239" t="n"/>
      <c r="X51991" s="239" t="n"/>
    </row>
    <row r="51992" ht="15" customHeight="1" s="192" thickBot="1">
      <c r="W51992" s="45" t="n"/>
      <c r="X51992" s="45" t="n"/>
    </row>
    <row r="51993" ht="14.25" customHeight="1" s="192">
      <c r="W51993" s="228" t="n"/>
      <c r="X51993" s="228" t="n"/>
    </row>
    <row r="51994" ht="14.25" customHeight="1" s="192">
      <c r="W51994" s="228" t="n"/>
      <c r="X51994" s="228" t="n"/>
    </row>
    <row r="51995" ht="14.25" customHeight="1" s="192">
      <c r="W51995" s="231" t="n"/>
      <c r="X51995" s="231" t="n"/>
    </row>
    <row r="51996" ht="14.25" customHeight="1" s="192">
      <c r="W51996" s="33" t="n"/>
      <c r="X51996" s="33" t="n"/>
    </row>
    <row r="51997" ht="14.25" customHeight="1" s="192">
      <c r="W51997" s="231" t="n"/>
      <c r="X51997" s="231" t="n"/>
    </row>
    <row r="51998" ht="14.25" customHeight="1" s="192">
      <c r="W51998" s="33" t="n"/>
      <c r="X51998" s="33" t="n"/>
    </row>
    <row r="52000" ht="14.25" customHeight="1" s="192">
      <c r="W52000" s="231" t="n"/>
      <c r="X52000" s="231" t="n"/>
    </row>
    <row r="52001" ht="14.25" customHeight="1" s="192">
      <c r="W52001" s="235" t="n"/>
      <c r="X52001" s="235" t="n"/>
    </row>
    <row r="52002" ht="14.25" customHeight="1" s="192">
      <c r="W52002" s="228" t="n"/>
      <c r="X52002" s="228" t="n"/>
    </row>
    <row r="52003" ht="14.25" customHeight="1" s="192">
      <c r="W52003" s="235" t="n"/>
      <c r="X52003" s="235" t="n"/>
    </row>
    <row r="52004" ht="14.25" customHeight="1" s="192">
      <c r="W52004" s="235" t="n"/>
      <c r="X52004" s="235" t="n"/>
    </row>
    <row r="52005" ht="14.25" customHeight="1" s="192">
      <c r="W52005" s="235" t="n"/>
      <c r="X52005" s="235" t="n"/>
    </row>
    <row r="52006" ht="14.25" customHeight="1" s="192">
      <c r="W52006" s="239" t="n"/>
      <c r="X52006" s="239" t="n"/>
    </row>
    <row r="52007" ht="14.25" customHeight="1" s="192">
      <c r="W52007" s="239" t="n"/>
      <c r="X52007" s="239" t="n"/>
    </row>
    <row r="52008" ht="14.25" customHeight="1" s="192">
      <c r="W52008" s="239" t="n"/>
      <c r="X52008" s="239" t="n"/>
    </row>
    <row r="52009" ht="14.25" customHeight="1" s="192">
      <c r="W52009" s="235" t="n"/>
      <c r="X52009" s="235" t="n"/>
    </row>
    <row r="52010" ht="14.25" customHeight="1" s="192">
      <c r="W52010" s="235" t="n"/>
      <c r="X52010" s="235" t="n"/>
    </row>
    <row r="52011" ht="14.25" customHeight="1" s="192">
      <c r="W52011" s="235" t="n"/>
      <c r="X52011" s="235" t="n"/>
    </row>
    <row r="52012" ht="14.25" customHeight="1" s="192">
      <c r="W52012" s="239" t="n"/>
      <c r="X52012" s="239" t="n"/>
    </row>
    <row r="52013" ht="14.25" customHeight="1" s="192">
      <c r="W52013" s="239" t="n"/>
      <c r="X52013" s="239" t="n"/>
    </row>
    <row r="52014" ht="14.25" customHeight="1" s="192">
      <c r="W52014" s="235" t="n"/>
      <c r="X52014" s="235" t="n"/>
    </row>
    <row r="52015" ht="14.25" customHeight="1" s="192">
      <c r="W52015" s="235" t="n"/>
      <c r="X52015" s="235" t="n"/>
    </row>
    <row r="52016" ht="14.25" customHeight="1" s="192">
      <c r="W52016" s="239" t="n"/>
      <c r="X52016" s="239" t="n"/>
    </row>
    <row r="52017" ht="14.25" customHeight="1" s="192">
      <c r="W52017" s="235" t="n"/>
      <c r="X52017" s="235" t="n"/>
    </row>
    <row r="52018" ht="14.25" customHeight="1" s="192">
      <c r="W52018" s="239" t="n"/>
      <c r="X52018" s="239" t="n"/>
    </row>
    <row r="52020" ht="14.25" customHeight="1" s="192">
      <c r="W52020" s="235" t="n"/>
      <c r="X52020" s="235" t="n"/>
    </row>
    <row r="52021" ht="15" customHeight="1" s="192" thickBot="1">
      <c r="W52021" s="239" t="n"/>
      <c r="X52021" s="239" t="n"/>
    </row>
    <row r="52022" ht="15" customHeight="1" s="192" thickBot="1">
      <c r="W52022" s="45" t="n"/>
      <c r="X52022" s="45" t="n"/>
    </row>
    <row r="52023" ht="14.25" customHeight="1" s="192">
      <c r="W52023" s="228" t="n"/>
      <c r="X52023" s="228" t="n"/>
    </row>
    <row r="52024" ht="14.25" customHeight="1" s="192">
      <c r="W52024" s="228" t="n"/>
      <c r="X52024" s="228" t="n"/>
    </row>
    <row r="52025" ht="14.25" customHeight="1" s="192">
      <c r="W52025" s="231" t="n"/>
      <c r="X52025" s="231" t="n"/>
    </row>
    <row r="52026" ht="14.25" customHeight="1" s="192">
      <c r="W52026" s="33" t="n"/>
      <c r="X52026" s="33" t="n"/>
    </row>
    <row r="52027" ht="14.25" customHeight="1" s="192">
      <c r="W52027" s="231" t="n"/>
      <c r="X52027" s="231" t="n"/>
    </row>
    <row r="52028" ht="14.25" customHeight="1" s="192">
      <c r="W52028" s="33" t="n"/>
      <c r="X52028" s="33" t="n"/>
    </row>
    <row r="52030" ht="14.25" customHeight="1" s="192">
      <c r="W52030" s="231" t="n"/>
      <c r="X52030" s="231" t="n"/>
    </row>
    <row r="52031" ht="14.25" customHeight="1" s="192">
      <c r="W52031" s="235" t="n"/>
      <c r="X52031" s="235" t="n"/>
    </row>
    <row r="52032" ht="14.25" customHeight="1" s="192">
      <c r="W52032" s="228" t="n"/>
      <c r="X52032" s="228" t="n"/>
    </row>
    <row r="52033" ht="14.25" customHeight="1" s="192">
      <c r="W52033" s="235" t="n"/>
      <c r="X52033" s="235" t="n"/>
    </row>
    <row r="52034" ht="14.25" customHeight="1" s="192">
      <c r="W52034" s="235" t="n"/>
      <c r="X52034" s="235" t="n"/>
    </row>
    <row r="52035" ht="14.25" customHeight="1" s="192">
      <c r="W52035" s="235" t="n"/>
      <c r="X52035" s="235" t="n"/>
    </row>
    <row r="52036" ht="14.25" customHeight="1" s="192">
      <c r="W52036" s="239" t="n"/>
      <c r="X52036" s="239" t="n"/>
    </row>
    <row r="52037" ht="14.25" customHeight="1" s="192">
      <c r="W52037" s="239" t="n"/>
      <c r="X52037" s="239" t="n"/>
    </row>
    <row r="52038" ht="14.25" customHeight="1" s="192">
      <c r="W52038" s="239" t="n"/>
      <c r="X52038" s="239" t="n"/>
    </row>
    <row r="52039" ht="14.25" customHeight="1" s="192">
      <c r="W52039" s="235" t="n"/>
      <c r="X52039" s="235" t="n"/>
    </row>
    <row r="52040" ht="14.25" customHeight="1" s="192">
      <c r="W52040" s="235" t="n"/>
      <c r="X52040" s="235" t="n"/>
    </row>
    <row r="52041" ht="14.25" customHeight="1" s="192">
      <c r="W52041" s="235" t="n"/>
      <c r="X52041" s="235" t="n"/>
    </row>
    <row r="52042" ht="14.25" customHeight="1" s="192">
      <c r="W52042" s="239" t="n"/>
      <c r="X52042" s="239" t="n"/>
    </row>
    <row r="52043" ht="14.25" customHeight="1" s="192">
      <c r="W52043" s="239" t="n"/>
      <c r="X52043" s="239" t="n"/>
    </row>
    <row r="52044" ht="14.25" customHeight="1" s="192">
      <c r="W52044" s="235" t="n"/>
      <c r="X52044" s="235" t="n"/>
    </row>
    <row r="52045" ht="14.25" customHeight="1" s="192">
      <c r="W52045" s="235" t="n"/>
      <c r="X52045" s="235" t="n"/>
    </row>
    <row r="52046" ht="14.25" customHeight="1" s="192">
      <c r="W52046" s="239" t="n"/>
      <c r="X52046" s="239" t="n"/>
    </row>
    <row r="52047" ht="14.25" customHeight="1" s="192">
      <c r="W52047" s="235" t="n"/>
      <c r="X52047" s="235" t="n"/>
    </row>
    <row r="52048" ht="14.25" customHeight="1" s="192">
      <c r="W52048" s="239" t="n"/>
      <c r="X52048" s="239" t="n"/>
    </row>
    <row r="52050" ht="14.25" customHeight="1" s="192">
      <c r="W52050" s="235" t="n"/>
      <c r="X52050" s="235" t="n"/>
    </row>
    <row r="52051" ht="15" customHeight="1" s="192" thickBot="1">
      <c r="W52051" s="239" t="n"/>
      <c r="X52051" s="239" t="n"/>
    </row>
    <row r="52052" ht="15" customHeight="1" s="192" thickBot="1">
      <c r="W52052" s="45" t="n"/>
      <c r="X52052" s="45" t="n"/>
    </row>
    <row r="52053" ht="14.25" customHeight="1" s="192">
      <c r="W52053" s="228" t="n"/>
      <c r="X52053" s="228" t="n"/>
    </row>
    <row r="52054" ht="14.25" customHeight="1" s="192">
      <c r="W52054" s="228" t="n"/>
      <c r="X52054" s="228" t="n"/>
    </row>
    <row r="52055" ht="14.25" customHeight="1" s="192">
      <c r="W52055" s="231" t="n"/>
      <c r="X52055" s="231" t="n"/>
    </row>
    <row r="52056" ht="14.25" customHeight="1" s="192">
      <c r="W52056" s="33" t="n"/>
      <c r="X52056" s="33" t="n"/>
    </row>
    <row r="52057" ht="14.25" customHeight="1" s="192">
      <c r="W52057" s="231" t="n"/>
      <c r="X52057" s="231" t="n"/>
    </row>
    <row r="52058" ht="14.25" customHeight="1" s="192">
      <c r="W52058" s="33" t="n"/>
      <c r="X52058" s="33" t="n"/>
    </row>
    <row r="52060" ht="14.25" customHeight="1" s="192">
      <c r="W52060" s="231" t="n"/>
      <c r="X52060" s="231" t="n"/>
    </row>
    <row r="52061" ht="14.25" customHeight="1" s="192">
      <c r="W52061" s="235" t="n"/>
      <c r="X52061" s="235" t="n"/>
    </row>
    <row r="52062" ht="14.25" customHeight="1" s="192">
      <c r="W52062" s="228" t="n"/>
      <c r="X52062" s="228" t="n"/>
    </row>
    <row r="52063" ht="14.25" customHeight="1" s="192">
      <c r="W52063" s="235" t="n"/>
      <c r="X52063" s="235" t="n"/>
    </row>
    <row r="52064" ht="14.25" customHeight="1" s="192">
      <c r="W52064" s="235" t="n"/>
      <c r="X52064" s="235" t="n"/>
    </row>
    <row r="52065" ht="14.25" customHeight="1" s="192">
      <c r="W52065" s="235" t="n"/>
      <c r="X52065" s="235" t="n"/>
    </row>
    <row r="52066" ht="14.25" customHeight="1" s="192">
      <c r="W52066" s="239" t="n"/>
      <c r="X52066" s="239" t="n"/>
    </row>
    <row r="52067" ht="14.25" customHeight="1" s="192">
      <c r="W52067" s="239" t="n"/>
      <c r="X52067" s="239" t="n"/>
    </row>
    <row r="52068" ht="14.25" customHeight="1" s="192">
      <c r="W52068" s="239" t="n"/>
      <c r="X52068" s="239" t="n"/>
    </row>
    <row r="52069" ht="14.25" customHeight="1" s="192">
      <c r="W52069" s="235" t="n"/>
      <c r="X52069" s="235" t="n"/>
    </row>
    <row r="52070" ht="14.25" customHeight="1" s="192">
      <c r="W52070" s="235" t="n"/>
      <c r="X52070" s="235" t="n"/>
    </row>
    <row r="52071" ht="14.25" customHeight="1" s="192">
      <c r="W52071" s="235" t="n"/>
      <c r="X52071" s="235" t="n"/>
    </row>
    <row r="52072" ht="14.25" customHeight="1" s="192">
      <c r="W52072" s="239" t="n"/>
      <c r="X52072" s="239" t="n"/>
    </row>
    <row r="52073" ht="14.25" customHeight="1" s="192">
      <c r="W52073" s="239" t="n"/>
      <c r="X52073" s="239" t="n"/>
    </row>
    <row r="52074" ht="14.25" customHeight="1" s="192">
      <c r="W52074" s="235" t="n"/>
      <c r="X52074" s="235" t="n"/>
    </row>
    <row r="52075" ht="14.25" customHeight="1" s="192">
      <c r="W52075" s="235" t="n"/>
      <c r="X52075" s="235" t="n"/>
    </row>
    <row r="52076" ht="14.25" customHeight="1" s="192">
      <c r="W52076" s="239" t="n"/>
      <c r="X52076" s="239" t="n"/>
    </row>
    <row r="52077" ht="14.25" customHeight="1" s="192">
      <c r="W52077" s="235" t="n"/>
      <c r="X52077" s="235" t="n"/>
    </row>
    <row r="52078" ht="14.25" customHeight="1" s="192">
      <c r="W52078" s="239" t="n"/>
      <c r="X52078" s="239" t="n"/>
    </row>
    <row r="52080" ht="14.25" customHeight="1" s="192">
      <c r="W52080" s="235" t="n"/>
      <c r="X52080" s="235" t="n"/>
    </row>
    <row r="52081" ht="15" customHeight="1" s="192" thickBot="1">
      <c r="W52081" s="239" t="n"/>
      <c r="X52081" s="239" t="n"/>
    </row>
    <row r="52082" ht="15" customHeight="1" s="192" thickBot="1">
      <c r="W52082" s="45" t="n"/>
      <c r="X52082" s="45" t="n"/>
    </row>
    <row r="52083" ht="14.25" customHeight="1" s="192">
      <c r="W52083" s="228" t="n"/>
      <c r="X52083" s="228" t="n"/>
    </row>
    <row r="52084" ht="14.25" customHeight="1" s="192">
      <c r="W52084" s="228" t="n"/>
      <c r="X52084" s="228" t="n"/>
    </row>
    <row r="52085" ht="14.25" customHeight="1" s="192">
      <c r="W52085" s="231" t="n"/>
      <c r="X52085" s="231" t="n"/>
    </row>
    <row r="52086" ht="14.25" customHeight="1" s="192">
      <c r="W52086" s="33" t="n"/>
      <c r="X52086" s="33" t="n"/>
    </row>
    <row r="52087" ht="14.25" customHeight="1" s="192">
      <c r="W52087" s="231" t="n"/>
      <c r="X52087" s="231" t="n"/>
    </row>
    <row r="52088" ht="14.25" customHeight="1" s="192">
      <c r="W52088" s="33" t="n"/>
      <c r="X52088" s="33" t="n"/>
    </row>
    <row r="52090" ht="14.25" customHeight="1" s="192">
      <c r="W52090" s="231" t="n"/>
      <c r="X52090" s="231" t="n"/>
    </row>
    <row r="52091" ht="14.25" customHeight="1" s="192">
      <c r="W52091" s="235" t="n"/>
      <c r="X52091" s="235" t="n"/>
    </row>
    <row r="52092" ht="14.25" customHeight="1" s="192">
      <c r="W52092" s="228" t="n"/>
      <c r="X52092" s="228" t="n"/>
    </row>
    <row r="52093" ht="14.25" customHeight="1" s="192">
      <c r="W52093" s="235" t="n"/>
      <c r="X52093" s="235" t="n"/>
    </row>
    <row r="52094" ht="14.25" customHeight="1" s="192">
      <c r="W52094" s="235" t="n"/>
      <c r="X52094" s="235" t="n"/>
    </row>
    <row r="52095" ht="14.25" customHeight="1" s="192">
      <c r="W52095" s="235" t="n"/>
      <c r="X52095" s="235" t="n"/>
    </row>
    <row r="52096" ht="14.25" customHeight="1" s="192">
      <c r="W52096" s="239" t="n"/>
      <c r="X52096" s="239" t="n"/>
    </row>
    <row r="52097" ht="14.25" customHeight="1" s="192">
      <c r="W52097" s="239" t="n"/>
      <c r="X52097" s="239" t="n"/>
    </row>
    <row r="52098" ht="14.25" customHeight="1" s="192">
      <c r="W52098" s="239" t="n"/>
      <c r="X52098" s="239" t="n"/>
    </row>
    <row r="52099" ht="14.25" customHeight="1" s="192">
      <c r="W52099" s="235" t="n"/>
      <c r="X52099" s="235" t="n"/>
    </row>
    <row r="52100" ht="14.25" customHeight="1" s="192">
      <c r="W52100" s="235" t="n"/>
      <c r="X52100" s="235" t="n"/>
    </row>
    <row r="52101" ht="14.25" customHeight="1" s="192">
      <c r="W52101" s="235" t="n"/>
      <c r="X52101" s="235" t="n"/>
    </row>
    <row r="52102" ht="14.25" customHeight="1" s="192">
      <c r="W52102" s="239" t="n"/>
      <c r="X52102" s="239" t="n"/>
    </row>
    <row r="52103" ht="14.25" customHeight="1" s="192">
      <c r="W52103" s="239" t="n"/>
      <c r="X52103" s="239" t="n"/>
    </row>
    <row r="52104" ht="14.25" customHeight="1" s="192">
      <c r="W52104" s="235" t="n"/>
      <c r="X52104" s="235" t="n"/>
    </row>
    <row r="52105" ht="14.25" customHeight="1" s="192">
      <c r="W52105" s="235" t="n"/>
      <c r="X52105" s="235" t="n"/>
    </row>
    <row r="52106" ht="14.25" customHeight="1" s="192">
      <c r="W52106" s="239" t="n"/>
      <c r="X52106" s="239" t="n"/>
    </row>
    <row r="52107" ht="14.25" customHeight="1" s="192">
      <c r="W52107" s="235" t="n"/>
      <c r="X52107" s="235" t="n"/>
    </row>
    <row r="52108" ht="14.25" customHeight="1" s="192">
      <c r="W52108" s="239" t="n"/>
      <c r="X52108" s="239" t="n"/>
    </row>
    <row r="52110" ht="14.25" customHeight="1" s="192">
      <c r="W52110" s="235" t="n"/>
      <c r="X52110" s="235" t="n"/>
    </row>
    <row r="52111" ht="15" customHeight="1" s="192" thickBot="1">
      <c r="W52111" s="239" t="n"/>
      <c r="X52111" s="239" t="n"/>
    </row>
    <row r="52112" ht="15" customHeight="1" s="192" thickBot="1">
      <c r="W52112" s="45" t="n"/>
      <c r="X52112" s="45" t="n"/>
    </row>
    <row r="52113" ht="14.25" customHeight="1" s="192">
      <c r="W52113" s="228" t="n"/>
      <c r="X52113" s="228" t="n"/>
    </row>
    <row r="52114" ht="14.25" customHeight="1" s="192">
      <c r="W52114" s="228" t="n"/>
      <c r="X52114" s="228" t="n"/>
    </row>
    <row r="52115" ht="14.25" customHeight="1" s="192">
      <c r="W52115" s="231" t="n"/>
      <c r="X52115" s="231" t="n"/>
    </row>
    <row r="52116" ht="14.25" customHeight="1" s="192">
      <c r="W52116" s="33" t="n"/>
      <c r="X52116" s="33" t="n"/>
    </row>
    <row r="52117" ht="14.25" customHeight="1" s="192">
      <c r="W52117" s="231" t="n"/>
      <c r="X52117" s="231" t="n"/>
    </row>
    <row r="52118" ht="14.25" customHeight="1" s="192">
      <c r="W52118" s="33" t="n"/>
      <c r="X52118" s="33" t="n"/>
    </row>
    <row r="52120" ht="14.25" customHeight="1" s="192">
      <c r="W52120" s="231" t="n"/>
      <c r="X52120" s="231" t="n"/>
    </row>
    <row r="52121" ht="14.25" customHeight="1" s="192">
      <c r="W52121" s="235" t="n"/>
      <c r="X52121" s="235" t="n"/>
    </row>
    <row r="52122" ht="14.25" customHeight="1" s="192">
      <c r="W52122" s="228" t="n"/>
      <c r="X52122" s="228" t="n"/>
    </row>
    <row r="52123" ht="14.25" customHeight="1" s="192">
      <c r="W52123" s="235" t="n"/>
      <c r="X52123" s="235" t="n"/>
    </row>
    <row r="52124" ht="14.25" customHeight="1" s="192">
      <c r="W52124" s="235" t="n"/>
      <c r="X52124" s="235" t="n"/>
    </row>
    <row r="52125" ht="14.25" customHeight="1" s="192">
      <c r="W52125" s="235" t="n"/>
      <c r="X52125" s="235" t="n"/>
    </row>
    <row r="52126" ht="14.25" customHeight="1" s="192">
      <c r="W52126" s="239" t="n"/>
      <c r="X52126" s="239" t="n"/>
    </row>
    <row r="52127" ht="14.25" customHeight="1" s="192">
      <c r="W52127" s="239" t="n"/>
      <c r="X52127" s="239" t="n"/>
    </row>
    <row r="52128" ht="14.25" customHeight="1" s="192">
      <c r="W52128" s="239" t="n"/>
      <c r="X52128" s="239" t="n"/>
    </row>
    <row r="52129" ht="14.25" customHeight="1" s="192">
      <c r="W52129" s="235" t="n"/>
      <c r="X52129" s="235" t="n"/>
    </row>
    <row r="52130" ht="14.25" customHeight="1" s="192">
      <c r="W52130" s="235" t="n"/>
      <c r="X52130" s="235" t="n"/>
    </row>
    <row r="52131" ht="14.25" customHeight="1" s="192">
      <c r="W52131" s="235" t="n"/>
      <c r="X52131" s="235" t="n"/>
    </row>
    <row r="52132" ht="14.25" customHeight="1" s="192">
      <c r="W52132" s="239" t="n"/>
      <c r="X52132" s="239" t="n"/>
    </row>
    <row r="52133" ht="14.25" customHeight="1" s="192">
      <c r="W52133" s="239" t="n"/>
      <c r="X52133" s="239" t="n"/>
    </row>
    <row r="52134" ht="14.25" customHeight="1" s="192">
      <c r="W52134" s="235" t="n"/>
      <c r="X52134" s="235" t="n"/>
    </row>
    <row r="52135" ht="14.25" customHeight="1" s="192">
      <c r="W52135" s="235" t="n"/>
      <c r="X52135" s="235" t="n"/>
    </row>
    <row r="52136" ht="14.25" customHeight="1" s="192">
      <c r="W52136" s="239" t="n"/>
      <c r="X52136" s="239" t="n"/>
    </row>
    <row r="52137" ht="14.25" customHeight="1" s="192">
      <c r="W52137" s="235" t="n"/>
      <c r="X52137" s="235" t="n"/>
    </row>
    <row r="52138" ht="14.25" customHeight="1" s="192">
      <c r="W52138" s="239" t="n"/>
      <c r="X52138" s="239" t="n"/>
    </row>
    <row r="52140" ht="14.25" customHeight="1" s="192">
      <c r="W52140" s="235" t="n"/>
      <c r="X52140" s="235" t="n"/>
    </row>
    <row r="52141" ht="15" customHeight="1" s="192" thickBot="1">
      <c r="W52141" s="239" t="n"/>
      <c r="X52141" s="239" t="n"/>
    </row>
    <row r="52142" ht="15" customHeight="1" s="192" thickBot="1">
      <c r="W52142" s="45" t="n"/>
      <c r="X52142" s="45" t="n"/>
    </row>
    <row r="52143" ht="14.25" customHeight="1" s="192">
      <c r="W52143" s="228" t="n"/>
      <c r="X52143" s="228" t="n"/>
    </row>
    <row r="52144" ht="14.25" customHeight="1" s="192">
      <c r="W52144" s="228" t="n"/>
      <c r="X52144" s="228" t="n"/>
    </row>
    <row r="52145" ht="14.25" customHeight="1" s="192">
      <c r="W52145" s="231" t="n"/>
      <c r="X52145" s="231" t="n"/>
    </row>
    <row r="52146" ht="14.25" customHeight="1" s="192">
      <c r="W52146" s="33" t="n"/>
      <c r="X52146" s="33" t="n"/>
    </row>
    <row r="52147" ht="14.25" customHeight="1" s="192">
      <c r="W52147" s="231" t="n"/>
      <c r="X52147" s="231" t="n"/>
    </row>
    <row r="52148" ht="14.25" customHeight="1" s="192">
      <c r="W52148" s="33" t="n"/>
      <c r="X52148" s="33" t="n"/>
    </row>
    <row r="52150" ht="14.25" customHeight="1" s="192">
      <c r="W52150" s="231" t="n"/>
      <c r="X52150" s="231" t="n"/>
    </row>
    <row r="52151" ht="14.25" customHeight="1" s="192">
      <c r="W52151" s="235" t="n"/>
      <c r="X52151" s="235" t="n"/>
    </row>
    <row r="52152" ht="14.25" customHeight="1" s="192">
      <c r="W52152" s="228" t="n"/>
      <c r="X52152" s="228" t="n"/>
    </row>
    <row r="52153" ht="14.25" customHeight="1" s="192">
      <c r="W52153" s="235" t="n"/>
      <c r="X52153" s="235" t="n"/>
    </row>
    <row r="52154" ht="14.25" customHeight="1" s="192">
      <c r="W52154" s="235" t="n"/>
      <c r="X52154" s="235" t="n"/>
    </row>
    <row r="52155" ht="14.25" customHeight="1" s="192">
      <c r="W52155" s="235" t="n"/>
      <c r="X52155" s="235" t="n"/>
    </row>
    <row r="52156" ht="14.25" customHeight="1" s="192">
      <c r="W52156" s="239" t="n"/>
      <c r="X52156" s="239" t="n"/>
    </row>
    <row r="52157" ht="14.25" customHeight="1" s="192">
      <c r="W52157" s="239" t="n"/>
      <c r="X52157" s="239" t="n"/>
    </row>
    <row r="52158" ht="14.25" customHeight="1" s="192">
      <c r="W52158" s="239" t="n"/>
      <c r="X52158" s="239" t="n"/>
    </row>
    <row r="52159" ht="14.25" customHeight="1" s="192">
      <c r="W52159" s="235" t="n"/>
      <c r="X52159" s="235" t="n"/>
    </row>
    <row r="52160" ht="14.25" customHeight="1" s="192">
      <c r="W52160" s="235" t="n"/>
      <c r="X52160" s="235" t="n"/>
    </row>
    <row r="52161" ht="14.25" customHeight="1" s="192">
      <c r="W52161" s="235" t="n"/>
      <c r="X52161" s="235" t="n"/>
    </row>
    <row r="52162" ht="14.25" customHeight="1" s="192">
      <c r="W52162" s="239" t="n"/>
      <c r="X52162" s="239" t="n"/>
    </row>
    <row r="52163" ht="14.25" customHeight="1" s="192">
      <c r="W52163" s="239" t="n"/>
      <c r="X52163" s="239" t="n"/>
    </row>
    <row r="52164" ht="14.25" customHeight="1" s="192">
      <c r="W52164" s="235" t="n"/>
      <c r="X52164" s="235" t="n"/>
    </row>
    <row r="52165" ht="14.25" customHeight="1" s="192">
      <c r="W52165" s="235" t="n"/>
      <c r="X52165" s="235" t="n"/>
    </row>
    <row r="52166" ht="14.25" customHeight="1" s="192">
      <c r="W52166" s="239" t="n"/>
      <c r="X52166" s="239" t="n"/>
    </row>
    <row r="52167" ht="14.25" customHeight="1" s="192">
      <c r="W52167" s="235" t="n"/>
      <c r="X52167" s="235" t="n"/>
    </row>
    <row r="52168" ht="14.25" customHeight="1" s="192">
      <c r="W52168" s="239" t="n"/>
      <c r="X52168" s="239" t="n"/>
    </row>
    <row r="52170" ht="14.25" customHeight="1" s="192">
      <c r="W52170" s="235" t="n"/>
      <c r="X52170" s="235" t="n"/>
    </row>
    <row r="52171" ht="15" customHeight="1" s="192" thickBot="1">
      <c r="W52171" s="239" t="n"/>
      <c r="X52171" s="239" t="n"/>
    </row>
    <row r="52172" ht="15" customHeight="1" s="192" thickBot="1">
      <c r="W52172" s="45" t="n"/>
      <c r="X52172" s="45" t="n"/>
    </row>
    <row r="52173" ht="14.25" customHeight="1" s="192">
      <c r="W52173" s="228" t="n"/>
      <c r="X52173" s="228" t="n"/>
    </row>
    <row r="52174" ht="14.25" customHeight="1" s="192">
      <c r="W52174" s="228" t="n"/>
      <c r="X52174" s="228" t="n"/>
    </row>
    <row r="52175" ht="14.25" customHeight="1" s="192">
      <c r="W52175" s="231" t="n"/>
      <c r="X52175" s="231" t="n"/>
    </row>
    <row r="52176" ht="14.25" customHeight="1" s="192">
      <c r="W52176" s="33" t="n"/>
      <c r="X52176" s="33" t="n"/>
    </row>
    <row r="52177" ht="14.25" customHeight="1" s="192">
      <c r="W52177" s="231" t="n"/>
      <c r="X52177" s="231" t="n"/>
    </row>
    <row r="52178" ht="14.25" customHeight="1" s="192">
      <c r="W52178" s="33" t="n"/>
      <c r="X52178" s="33" t="n"/>
    </row>
    <row r="52180" ht="14.25" customHeight="1" s="192">
      <c r="W52180" s="231" t="n"/>
      <c r="X52180" s="231" t="n"/>
    </row>
    <row r="52181" ht="14.25" customHeight="1" s="192">
      <c r="W52181" s="235" t="n"/>
      <c r="X52181" s="235" t="n"/>
    </row>
    <row r="52182" ht="14.25" customHeight="1" s="192">
      <c r="W52182" s="228" t="n"/>
      <c r="X52182" s="228" t="n"/>
    </row>
    <row r="52183" ht="14.25" customHeight="1" s="192">
      <c r="W52183" s="235" t="n"/>
      <c r="X52183" s="235" t="n"/>
    </row>
    <row r="52184" ht="14.25" customHeight="1" s="192">
      <c r="W52184" s="235" t="n"/>
      <c r="X52184" s="235" t="n"/>
    </row>
    <row r="52185" ht="14.25" customHeight="1" s="192">
      <c r="W52185" s="235" t="n"/>
      <c r="X52185" s="235" t="n"/>
    </row>
    <row r="52186" ht="14.25" customHeight="1" s="192">
      <c r="W52186" s="239" t="n"/>
      <c r="X52186" s="239" t="n"/>
    </row>
    <row r="52187" ht="14.25" customHeight="1" s="192">
      <c r="W52187" s="239" t="n"/>
      <c r="X52187" s="239" t="n"/>
    </row>
    <row r="52188" ht="14.25" customHeight="1" s="192">
      <c r="W52188" s="239" t="n"/>
      <c r="X52188" s="239" t="n"/>
    </row>
    <row r="52189" ht="14.25" customHeight="1" s="192">
      <c r="W52189" s="235" t="n"/>
      <c r="X52189" s="235" t="n"/>
    </row>
    <row r="52190" ht="14.25" customHeight="1" s="192">
      <c r="W52190" s="235" t="n"/>
      <c r="X52190" s="235" t="n"/>
    </row>
    <row r="52191" ht="14.25" customHeight="1" s="192">
      <c r="W52191" s="235" t="n"/>
      <c r="X52191" s="235" t="n"/>
    </row>
    <row r="52192" ht="14.25" customHeight="1" s="192">
      <c r="W52192" s="239" t="n"/>
      <c r="X52192" s="239" t="n"/>
    </row>
    <row r="52193" ht="14.25" customHeight="1" s="192">
      <c r="W52193" s="239" t="n"/>
      <c r="X52193" s="239" t="n"/>
    </row>
    <row r="52194" ht="14.25" customHeight="1" s="192">
      <c r="W52194" s="235" t="n"/>
      <c r="X52194" s="235" t="n"/>
    </row>
    <row r="52195" ht="14.25" customHeight="1" s="192">
      <c r="W52195" s="235" t="n"/>
      <c r="X52195" s="235" t="n"/>
    </row>
    <row r="52196" ht="14.25" customHeight="1" s="192">
      <c r="W52196" s="239" t="n"/>
      <c r="X52196" s="239" t="n"/>
    </row>
    <row r="52197" ht="14.25" customHeight="1" s="192">
      <c r="W52197" s="235" t="n"/>
      <c r="X52197" s="235" t="n"/>
    </row>
    <row r="52198" ht="14.25" customHeight="1" s="192">
      <c r="W52198" s="239" t="n"/>
      <c r="X52198" s="239" t="n"/>
    </row>
    <row r="52200" ht="14.25" customHeight="1" s="192">
      <c r="W52200" s="235" t="n"/>
      <c r="X52200" s="235" t="n"/>
    </row>
    <row r="52201" ht="15" customHeight="1" s="192" thickBot="1">
      <c r="W52201" s="239" t="n"/>
      <c r="X52201" s="239" t="n"/>
    </row>
    <row r="52202" ht="15" customHeight="1" s="192" thickBot="1">
      <c r="W52202" s="45" t="n"/>
      <c r="X52202" s="45" t="n"/>
    </row>
    <row r="52203" ht="14.25" customHeight="1" s="192">
      <c r="W52203" s="228" t="n"/>
      <c r="X52203" s="228" t="n"/>
    </row>
    <row r="52204" ht="14.25" customHeight="1" s="192">
      <c r="W52204" s="228" t="n"/>
      <c r="X52204" s="228" t="n"/>
    </row>
    <row r="52205" ht="14.25" customHeight="1" s="192">
      <c r="W52205" s="231" t="n"/>
      <c r="X52205" s="231" t="n"/>
    </row>
    <row r="52206" ht="14.25" customHeight="1" s="192">
      <c r="W52206" s="33" t="n"/>
      <c r="X52206" s="33" t="n"/>
    </row>
    <row r="52207" ht="14.25" customHeight="1" s="192">
      <c r="W52207" s="231" t="n"/>
      <c r="X52207" s="231" t="n"/>
    </row>
    <row r="52208" ht="14.25" customHeight="1" s="192">
      <c r="W52208" s="33" t="n"/>
      <c r="X52208" s="33" t="n"/>
    </row>
    <row r="52210" ht="14.25" customHeight="1" s="192">
      <c r="W52210" s="231" t="n"/>
      <c r="X52210" s="231" t="n"/>
    </row>
    <row r="52211" ht="14.25" customHeight="1" s="192">
      <c r="W52211" s="235" t="n"/>
      <c r="X52211" s="235" t="n"/>
    </row>
    <row r="52212" ht="14.25" customHeight="1" s="192">
      <c r="W52212" s="228" t="n"/>
      <c r="X52212" s="228" t="n"/>
    </row>
    <row r="52213" ht="14.25" customHeight="1" s="192">
      <c r="W52213" s="235" t="n"/>
      <c r="X52213" s="235" t="n"/>
    </row>
    <row r="52214" ht="14.25" customHeight="1" s="192">
      <c r="W52214" s="235" t="n"/>
      <c r="X52214" s="235" t="n"/>
    </row>
    <row r="52215" ht="14.25" customHeight="1" s="192">
      <c r="W52215" s="235" t="n"/>
      <c r="X52215" s="235" t="n"/>
    </row>
    <row r="52216" ht="14.25" customHeight="1" s="192">
      <c r="W52216" s="239" t="n"/>
      <c r="X52216" s="239" t="n"/>
    </row>
    <row r="52217" ht="14.25" customHeight="1" s="192">
      <c r="W52217" s="239" t="n"/>
      <c r="X52217" s="239" t="n"/>
    </row>
    <row r="52218" ht="14.25" customHeight="1" s="192">
      <c r="W52218" s="239" t="n"/>
      <c r="X52218" s="239" t="n"/>
    </row>
    <row r="52219" ht="14.25" customHeight="1" s="192">
      <c r="W52219" s="235" t="n"/>
      <c r="X52219" s="235" t="n"/>
    </row>
    <row r="52220" ht="14.25" customHeight="1" s="192">
      <c r="W52220" s="235" t="n"/>
      <c r="X52220" s="235" t="n"/>
    </row>
    <row r="52221" ht="14.25" customHeight="1" s="192">
      <c r="W52221" s="235" t="n"/>
      <c r="X52221" s="235" t="n"/>
    </row>
    <row r="52222" ht="14.25" customHeight="1" s="192">
      <c r="W52222" s="239" t="n"/>
      <c r="X52222" s="239" t="n"/>
    </row>
    <row r="52223" ht="14.25" customHeight="1" s="192">
      <c r="W52223" s="239" t="n"/>
      <c r="X52223" s="239" t="n"/>
    </row>
    <row r="52224" ht="14.25" customHeight="1" s="192">
      <c r="W52224" s="235" t="n"/>
      <c r="X52224" s="235" t="n"/>
    </row>
    <row r="52225" ht="14.25" customHeight="1" s="192">
      <c r="W52225" s="235" t="n"/>
      <c r="X52225" s="235" t="n"/>
    </row>
    <row r="52226" ht="14.25" customHeight="1" s="192">
      <c r="W52226" s="239" t="n"/>
      <c r="X52226" s="239" t="n"/>
    </row>
    <row r="52227" ht="14.25" customHeight="1" s="192">
      <c r="W52227" s="235" t="n"/>
      <c r="X52227" s="235" t="n"/>
    </row>
    <row r="52228" ht="14.25" customHeight="1" s="192">
      <c r="W52228" s="239" t="n"/>
      <c r="X52228" s="239" t="n"/>
    </row>
    <row r="52230" ht="14.25" customHeight="1" s="192">
      <c r="W52230" s="235" t="n"/>
      <c r="X52230" s="235" t="n"/>
    </row>
    <row r="52231" ht="15" customHeight="1" s="192" thickBot="1">
      <c r="W52231" s="239" t="n"/>
      <c r="X52231" s="239" t="n"/>
    </row>
    <row r="52232" ht="15" customHeight="1" s="192" thickBot="1">
      <c r="W52232" s="45" t="n"/>
      <c r="X52232" s="45" t="n"/>
    </row>
    <row r="52233" ht="14.25" customHeight="1" s="192">
      <c r="W52233" s="228" t="n"/>
      <c r="X52233" s="228" t="n"/>
    </row>
    <row r="52234" ht="14.25" customHeight="1" s="192">
      <c r="W52234" s="228" t="n"/>
      <c r="X52234" s="228" t="n"/>
    </row>
    <row r="52235" ht="14.25" customHeight="1" s="192">
      <c r="W52235" s="231" t="n"/>
      <c r="X52235" s="231" t="n"/>
    </row>
    <row r="52236" ht="14.25" customHeight="1" s="192">
      <c r="W52236" s="33" t="n"/>
      <c r="X52236" s="33" t="n"/>
    </row>
    <row r="52237" ht="14.25" customHeight="1" s="192">
      <c r="W52237" s="231" t="n"/>
      <c r="X52237" s="231" t="n"/>
    </row>
    <row r="52238" ht="14.25" customHeight="1" s="192">
      <c r="W52238" s="33" t="n"/>
      <c r="X52238" s="33" t="n"/>
    </row>
    <row r="52240" ht="14.25" customHeight="1" s="192">
      <c r="W52240" s="231" t="n"/>
      <c r="X52240" s="231" t="n"/>
    </row>
    <row r="52241" ht="14.25" customHeight="1" s="192">
      <c r="W52241" s="235" t="n"/>
      <c r="X52241" s="235" t="n"/>
    </row>
    <row r="52242" ht="14.25" customHeight="1" s="192">
      <c r="W52242" s="228" t="n"/>
      <c r="X52242" s="228" t="n"/>
    </row>
    <row r="52243" ht="14.25" customHeight="1" s="192">
      <c r="W52243" s="235" t="n"/>
      <c r="X52243" s="235" t="n"/>
    </row>
    <row r="52244" ht="14.25" customHeight="1" s="192">
      <c r="W52244" s="235" t="n"/>
      <c r="X52244" s="235" t="n"/>
    </row>
    <row r="52245" ht="14.25" customHeight="1" s="192">
      <c r="W52245" s="235" t="n"/>
      <c r="X52245" s="235" t="n"/>
    </row>
    <row r="52246" ht="14.25" customHeight="1" s="192">
      <c r="W52246" s="239" t="n"/>
      <c r="X52246" s="239" t="n"/>
    </row>
    <row r="52247" ht="14.25" customHeight="1" s="192">
      <c r="W52247" s="239" t="n"/>
      <c r="X52247" s="239" t="n"/>
    </row>
    <row r="52248" ht="14.25" customHeight="1" s="192">
      <c r="W52248" s="239" t="n"/>
      <c r="X52248" s="239" t="n"/>
    </row>
    <row r="52249" ht="14.25" customHeight="1" s="192">
      <c r="W52249" s="235" t="n"/>
      <c r="X52249" s="235" t="n"/>
    </row>
    <row r="52250" ht="14.25" customHeight="1" s="192">
      <c r="W52250" s="235" t="n"/>
      <c r="X52250" s="235" t="n"/>
    </row>
    <row r="52251" ht="14.25" customHeight="1" s="192">
      <c r="W52251" s="235" t="n"/>
      <c r="X52251" s="235" t="n"/>
    </row>
    <row r="52252" ht="14.25" customHeight="1" s="192">
      <c r="W52252" s="239" t="n"/>
      <c r="X52252" s="239" t="n"/>
    </row>
    <row r="52253" ht="14.25" customHeight="1" s="192">
      <c r="W52253" s="239" t="n"/>
      <c r="X52253" s="239" t="n"/>
    </row>
    <row r="52254" ht="14.25" customHeight="1" s="192">
      <c r="W52254" s="235" t="n"/>
      <c r="X52254" s="235" t="n"/>
    </row>
    <row r="52255" ht="14.25" customHeight="1" s="192">
      <c r="W52255" s="235" t="n"/>
      <c r="X52255" s="235" t="n"/>
    </row>
    <row r="52256" ht="14.25" customHeight="1" s="192">
      <c r="W52256" s="239" t="n"/>
      <c r="X52256" s="239" t="n"/>
    </row>
    <row r="52257" ht="14.25" customHeight="1" s="192">
      <c r="W52257" s="235" t="n"/>
      <c r="X52257" s="235" t="n"/>
    </row>
    <row r="52258" ht="14.25" customHeight="1" s="192">
      <c r="W52258" s="239" t="n"/>
      <c r="X52258" s="239" t="n"/>
    </row>
    <row r="52260" ht="14.25" customHeight="1" s="192">
      <c r="W52260" s="235" t="n"/>
      <c r="X52260" s="235" t="n"/>
    </row>
    <row r="52261" ht="15" customHeight="1" s="192" thickBot="1">
      <c r="W52261" s="239" t="n"/>
      <c r="X52261" s="239" t="n"/>
    </row>
    <row r="52262" ht="15" customHeight="1" s="192" thickBot="1">
      <c r="W52262" s="45" t="n"/>
      <c r="X52262" s="45" t="n"/>
    </row>
    <row r="52263" ht="14.25" customHeight="1" s="192">
      <c r="W52263" s="228" t="n"/>
      <c r="X52263" s="228" t="n"/>
    </row>
    <row r="52264" ht="14.25" customHeight="1" s="192">
      <c r="W52264" s="228" t="n"/>
      <c r="X52264" s="228" t="n"/>
    </row>
    <row r="52265" ht="14.25" customHeight="1" s="192">
      <c r="W52265" s="231" t="n"/>
      <c r="X52265" s="231" t="n"/>
    </row>
    <row r="52266" ht="14.25" customHeight="1" s="192">
      <c r="W52266" s="33" t="n"/>
      <c r="X52266" s="33" t="n"/>
    </row>
    <row r="52267" ht="14.25" customHeight="1" s="192">
      <c r="W52267" s="231" t="n"/>
      <c r="X52267" s="231" t="n"/>
    </row>
    <row r="52268" ht="14.25" customHeight="1" s="192">
      <c r="W52268" s="33" t="n"/>
      <c r="X52268" s="33" t="n"/>
    </row>
    <row r="52270" ht="14.25" customHeight="1" s="192">
      <c r="W52270" s="231" t="n"/>
      <c r="X52270" s="231" t="n"/>
    </row>
    <row r="52271" ht="14.25" customHeight="1" s="192">
      <c r="W52271" s="235" t="n"/>
      <c r="X52271" s="235" t="n"/>
    </row>
    <row r="52272" ht="14.25" customHeight="1" s="192">
      <c r="W52272" s="228" t="n"/>
      <c r="X52272" s="228" t="n"/>
    </row>
    <row r="52273" ht="14.25" customHeight="1" s="192">
      <c r="W52273" s="235" t="n"/>
      <c r="X52273" s="235" t="n"/>
    </row>
    <row r="52274" ht="14.25" customHeight="1" s="192">
      <c r="W52274" s="235" t="n"/>
      <c r="X52274" s="235" t="n"/>
    </row>
    <row r="52275" ht="14.25" customHeight="1" s="192">
      <c r="W52275" s="235" t="n"/>
      <c r="X52275" s="235" t="n"/>
    </row>
    <row r="52276" ht="14.25" customHeight="1" s="192">
      <c r="W52276" s="239" t="n"/>
      <c r="X52276" s="239" t="n"/>
    </row>
    <row r="52277" ht="14.25" customHeight="1" s="192">
      <c r="W52277" s="239" t="n"/>
      <c r="X52277" s="239" t="n"/>
    </row>
    <row r="52278" ht="14.25" customHeight="1" s="192">
      <c r="W52278" s="239" t="n"/>
      <c r="X52278" s="239" t="n"/>
    </row>
    <row r="52279" ht="14.25" customHeight="1" s="192">
      <c r="W52279" s="235" t="n"/>
      <c r="X52279" s="235" t="n"/>
    </row>
    <row r="52280" ht="14.25" customHeight="1" s="192">
      <c r="W52280" s="235" t="n"/>
      <c r="X52280" s="235" t="n"/>
    </row>
    <row r="52281" ht="14.25" customHeight="1" s="192">
      <c r="W52281" s="235" t="n"/>
      <c r="X52281" s="235" t="n"/>
    </row>
    <row r="52282" ht="14.25" customHeight="1" s="192">
      <c r="W52282" s="239" t="n"/>
      <c r="X52282" s="239" t="n"/>
    </row>
    <row r="52283" ht="14.25" customHeight="1" s="192">
      <c r="W52283" s="239" t="n"/>
      <c r="X52283" s="239" t="n"/>
    </row>
    <row r="52284" ht="14.25" customHeight="1" s="192">
      <c r="W52284" s="235" t="n"/>
      <c r="X52284" s="235" t="n"/>
    </row>
    <row r="52285" ht="14.25" customHeight="1" s="192">
      <c r="W52285" s="235" t="n"/>
      <c r="X52285" s="235" t="n"/>
    </row>
    <row r="52286" ht="14.25" customHeight="1" s="192">
      <c r="W52286" s="239" t="n"/>
      <c r="X52286" s="239" t="n"/>
    </row>
    <row r="52287" ht="14.25" customHeight="1" s="192">
      <c r="W52287" s="235" t="n"/>
      <c r="X52287" s="235" t="n"/>
    </row>
    <row r="52288" ht="14.25" customHeight="1" s="192">
      <c r="W52288" s="239" t="n"/>
      <c r="X52288" s="239" t="n"/>
    </row>
    <row r="52290" ht="14.25" customHeight="1" s="192">
      <c r="W52290" s="235" t="n"/>
      <c r="X52290" s="235" t="n"/>
    </row>
    <row r="52291" ht="15" customHeight="1" s="192" thickBot="1">
      <c r="W52291" s="239" t="n"/>
      <c r="X52291" s="239" t="n"/>
    </row>
    <row r="52292" ht="15" customHeight="1" s="192" thickBot="1">
      <c r="W52292" s="45" t="n"/>
      <c r="X52292" s="45" t="n"/>
    </row>
    <row r="52293" ht="14.25" customHeight="1" s="192">
      <c r="W52293" s="228" t="n"/>
      <c r="X52293" s="228" t="n"/>
    </row>
    <row r="52294" ht="14.25" customHeight="1" s="192">
      <c r="W52294" s="228" t="n"/>
      <c r="X52294" s="228" t="n"/>
    </row>
    <row r="52295" ht="14.25" customHeight="1" s="192">
      <c r="W52295" s="231" t="n"/>
      <c r="X52295" s="231" t="n"/>
    </row>
    <row r="52296" ht="14.25" customHeight="1" s="192">
      <c r="W52296" s="33" t="n"/>
      <c r="X52296" s="33" t="n"/>
    </row>
    <row r="52297" ht="14.25" customHeight="1" s="192">
      <c r="W52297" s="231" t="n"/>
      <c r="X52297" s="231" t="n"/>
    </row>
    <row r="52298" ht="14.25" customHeight="1" s="192">
      <c r="W52298" s="33" t="n"/>
      <c r="X52298" s="33" t="n"/>
    </row>
    <row r="52300" ht="14.25" customHeight="1" s="192">
      <c r="W52300" s="231" t="n"/>
      <c r="X52300" s="231" t="n"/>
    </row>
    <row r="52301" ht="14.25" customHeight="1" s="192">
      <c r="W52301" s="235" t="n"/>
      <c r="X52301" s="235" t="n"/>
    </row>
    <row r="52302" ht="14.25" customHeight="1" s="192">
      <c r="W52302" s="228" t="n"/>
      <c r="X52302" s="228" t="n"/>
    </row>
    <row r="52303" ht="14.25" customHeight="1" s="192">
      <c r="W52303" s="235" t="n"/>
      <c r="X52303" s="235" t="n"/>
    </row>
    <row r="52304" ht="14.25" customHeight="1" s="192">
      <c r="W52304" s="235" t="n"/>
      <c r="X52304" s="235" t="n"/>
    </row>
    <row r="52305" ht="14.25" customHeight="1" s="192">
      <c r="W52305" s="235" t="n"/>
      <c r="X52305" s="235" t="n"/>
    </row>
    <row r="52306" ht="14.25" customHeight="1" s="192">
      <c r="W52306" s="239" t="n"/>
      <c r="X52306" s="239" t="n"/>
    </row>
    <row r="52307" ht="14.25" customHeight="1" s="192">
      <c r="W52307" s="239" t="n"/>
      <c r="X52307" s="239" t="n"/>
    </row>
    <row r="52308" ht="14.25" customHeight="1" s="192">
      <c r="W52308" s="239" t="n"/>
      <c r="X52308" s="239" t="n"/>
    </row>
    <row r="52309" ht="14.25" customHeight="1" s="192">
      <c r="W52309" s="235" t="n"/>
      <c r="X52309" s="235" t="n"/>
    </row>
    <row r="52310" ht="14.25" customHeight="1" s="192">
      <c r="W52310" s="235" t="n"/>
      <c r="X52310" s="235" t="n"/>
    </row>
    <row r="52311" ht="14.25" customHeight="1" s="192">
      <c r="W52311" s="235" t="n"/>
      <c r="X52311" s="235" t="n"/>
    </row>
    <row r="52312" ht="14.25" customHeight="1" s="192">
      <c r="W52312" s="239" t="n"/>
      <c r="X52312" s="239" t="n"/>
    </row>
    <row r="52313" ht="14.25" customHeight="1" s="192">
      <c r="W52313" s="239" t="n"/>
      <c r="X52313" s="239" t="n"/>
    </row>
    <row r="52314" ht="14.25" customHeight="1" s="192">
      <c r="W52314" s="235" t="n"/>
      <c r="X52314" s="235" t="n"/>
    </row>
    <row r="52315" ht="14.25" customHeight="1" s="192">
      <c r="W52315" s="235" t="n"/>
      <c r="X52315" s="235" t="n"/>
    </row>
    <row r="52316" ht="14.25" customHeight="1" s="192">
      <c r="W52316" s="239" t="n"/>
      <c r="X52316" s="239" t="n"/>
    </row>
    <row r="52317" ht="14.25" customHeight="1" s="192">
      <c r="W52317" s="235" t="n"/>
      <c r="X52317" s="235" t="n"/>
    </row>
    <row r="52318" ht="14.25" customHeight="1" s="192">
      <c r="W52318" s="239" t="n"/>
      <c r="X52318" s="239" t="n"/>
    </row>
    <row r="52320" ht="14.25" customHeight="1" s="192">
      <c r="W52320" s="235" t="n"/>
      <c r="X52320" s="235" t="n"/>
    </row>
    <row r="52321" ht="15" customHeight="1" s="192" thickBot="1">
      <c r="W52321" s="239" t="n"/>
      <c r="X52321" s="239" t="n"/>
    </row>
    <row r="52322" ht="15" customHeight="1" s="192" thickBot="1">
      <c r="W52322" s="45" t="n"/>
      <c r="X52322" s="45" t="n"/>
    </row>
    <row r="52323" ht="14.25" customHeight="1" s="192">
      <c r="W52323" s="228" t="n"/>
      <c r="X52323" s="228" t="n"/>
    </row>
    <row r="52324" ht="14.25" customHeight="1" s="192">
      <c r="W52324" s="228" t="n"/>
      <c r="X52324" s="228" t="n"/>
    </row>
    <row r="52325" ht="14.25" customHeight="1" s="192">
      <c r="W52325" s="231" t="n"/>
      <c r="X52325" s="231" t="n"/>
    </row>
    <row r="52326" ht="14.25" customHeight="1" s="192">
      <c r="W52326" s="33" t="n"/>
      <c r="X52326" s="33" t="n"/>
    </row>
    <row r="52327" ht="14.25" customHeight="1" s="192">
      <c r="W52327" s="231" t="n"/>
      <c r="X52327" s="231" t="n"/>
    </row>
    <row r="52328" ht="14.25" customHeight="1" s="192">
      <c r="W52328" s="33" t="n"/>
      <c r="X52328" s="33" t="n"/>
    </row>
    <row r="52330" ht="14.25" customHeight="1" s="192">
      <c r="W52330" s="231" t="n"/>
      <c r="X52330" s="231" t="n"/>
    </row>
    <row r="52331" ht="14.25" customHeight="1" s="192">
      <c r="W52331" s="235" t="n"/>
      <c r="X52331" s="235" t="n"/>
    </row>
    <row r="52332" ht="14.25" customHeight="1" s="192">
      <c r="W52332" s="228" t="n"/>
      <c r="X52332" s="228" t="n"/>
    </row>
    <row r="52333" ht="14.25" customHeight="1" s="192">
      <c r="W52333" s="235" t="n"/>
      <c r="X52333" s="235" t="n"/>
    </row>
    <row r="52334" ht="14.25" customHeight="1" s="192">
      <c r="W52334" s="235" t="n"/>
      <c r="X52334" s="235" t="n"/>
    </row>
    <row r="52335" ht="14.25" customHeight="1" s="192">
      <c r="W52335" s="235" t="n"/>
      <c r="X52335" s="235" t="n"/>
    </row>
    <row r="52336" ht="14.25" customHeight="1" s="192">
      <c r="W52336" s="239" t="n"/>
      <c r="X52336" s="239" t="n"/>
    </row>
    <row r="52337" ht="14.25" customHeight="1" s="192">
      <c r="W52337" s="239" t="n"/>
      <c r="X52337" s="239" t="n"/>
    </row>
    <row r="52338" ht="14.25" customHeight="1" s="192">
      <c r="W52338" s="239" t="n"/>
      <c r="X52338" s="239" t="n"/>
    </row>
    <row r="52339" ht="14.25" customHeight="1" s="192">
      <c r="W52339" s="235" t="n"/>
      <c r="X52339" s="235" t="n"/>
    </row>
    <row r="52340" ht="14.25" customHeight="1" s="192">
      <c r="W52340" s="235" t="n"/>
      <c r="X52340" s="235" t="n"/>
    </row>
    <row r="52341" ht="14.25" customHeight="1" s="192">
      <c r="W52341" s="235" t="n"/>
      <c r="X52341" s="235" t="n"/>
    </row>
    <row r="52342" ht="14.25" customHeight="1" s="192">
      <c r="W52342" s="239" t="n"/>
      <c r="X52342" s="239" t="n"/>
    </row>
    <row r="52343" ht="14.25" customHeight="1" s="192">
      <c r="W52343" s="239" t="n"/>
      <c r="X52343" s="239" t="n"/>
    </row>
    <row r="52344" ht="14.25" customHeight="1" s="192">
      <c r="W52344" s="235" t="n"/>
      <c r="X52344" s="235" t="n"/>
    </row>
    <row r="52345" ht="14.25" customHeight="1" s="192">
      <c r="W52345" s="235" t="n"/>
      <c r="X52345" s="235" t="n"/>
    </row>
    <row r="52346" ht="14.25" customHeight="1" s="192">
      <c r="W52346" s="239" t="n"/>
      <c r="X52346" s="239" t="n"/>
    </row>
    <row r="52347" ht="14.25" customHeight="1" s="192">
      <c r="W52347" s="235" t="n"/>
      <c r="X52347" s="235" t="n"/>
    </row>
    <row r="52348" ht="14.25" customHeight="1" s="192">
      <c r="W52348" s="239" t="n"/>
      <c r="X52348" s="239" t="n"/>
    </row>
    <row r="52350" ht="14.25" customHeight="1" s="192">
      <c r="W52350" s="235" t="n"/>
      <c r="X52350" s="235" t="n"/>
    </row>
    <row r="52351" ht="15" customHeight="1" s="192" thickBot="1">
      <c r="W52351" s="239" t="n"/>
      <c r="X52351" s="239" t="n"/>
    </row>
    <row r="52352" ht="15" customHeight="1" s="192" thickBot="1">
      <c r="W52352" s="45" t="n"/>
      <c r="X52352" s="45" t="n"/>
    </row>
    <row r="52353" ht="14.25" customHeight="1" s="192">
      <c r="W52353" s="228" t="n"/>
      <c r="X52353" s="228" t="n"/>
    </row>
    <row r="52354" ht="14.25" customHeight="1" s="192">
      <c r="W52354" s="228" t="n"/>
      <c r="X52354" s="228" t="n"/>
    </row>
    <row r="52355" ht="14.25" customHeight="1" s="192">
      <c r="W52355" s="231" t="n"/>
      <c r="X52355" s="231" t="n"/>
    </row>
    <row r="52356" ht="14.25" customHeight="1" s="192">
      <c r="W52356" s="33" t="n"/>
      <c r="X52356" s="33" t="n"/>
    </row>
    <row r="52357" ht="14.25" customHeight="1" s="192">
      <c r="W52357" s="231" t="n"/>
      <c r="X52357" s="231" t="n"/>
    </row>
    <row r="52358" ht="14.25" customHeight="1" s="192">
      <c r="W52358" s="33" t="n"/>
      <c r="X52358" s="33" t="n"/>
    </row>
    <row r="52360" ht="14.25" customHeight="1" s="192">
      <c r="W52360" s="231" t="n"/>
      <c r="X52360" s="231" t="n"/>
    </row>
    <row r="52361" ht="14.25" customHeight="1" s="192">
      <c r="W52361" s="235" t="n"/>
      <c r="X52361" s="235" t="n"/>
    </row>
    <row r="52362" ht="14.25" customHeight="1" s="192">
      <c r="W52362" s="228" t="n"/>
      <c r="X52362" s="228" t="n"/>
    </row>
    <row r="52363" ht="14.25" customHeight="1" s="192">
      <c r="W52363" s="235" t="n"/>
      <c r="X52363" s="235" t="n"/>
    </row>
    <row r="52364" ht="14.25" customHeight="1" s="192">
      <c r="W52364" s="235" t="n"/>
      <c r="X52364" s="235" t="n"/>
    </row>
    <row r="52365" ht="14.25" customHeight="1" s="192">
      <c r="W52365" s="235" t="n"/>
      <c r="X52365" s="235" t="n"/>
    </row>
    <row r="52366" ht="14.25" customHeight="1" s="192">
      <c r="W52366" s="239" t="n"/>
      <c r="X52366" s="239" t="n"/>
    </row>
    <row r="52367" ht="14.25" customHeight="1" s="192">
      <c r="W52367" s="239" t="n"/>
      <c r="X52367" s="239" t="n"/>
    </row>
    <row r="52368" ht="14.25" customHeight="1" s="192">
      <c r="W52368" s="239" t="n"/>
      <c r="X52368" s="239" t="n"/>
    </row>
    <row r="52369" ht="14.25" customHeight="1" s="192">
      <c r="W52369" s="235" t="n"/>
      <c r="X52369" s="235" t="n"/>
    </row>
    <row r="52370" ht="14.25" customHeight="1" s="192">
      <c r="W52370" s="235" t="n"/>
      <c r="X52370" s="235" t="n"/>
    </row>
    <row r="52371" ht="14.25" customHeight="1" s="192">
      <c r="W52371" s="235" t="n"/>
      <c r="X52371" s="235" t="n"/>
    </row>
    <row r="52372" ht="14.25" customHeight="1" s="192">
      <c r="W52372" s="239" t="n"/>
      <c r="X52372" s="239" t="n"/>
    </row>
    <row r="52373" ht="14.25" customHeight="1" s="192">
      <c r="W52373" s="239" t="n"/>
      <c r="X52373" s="239" t="n"/>
    </row>
    <row r="52374" ht="14.25" customHeight="1" s="192">
      <c r="W52374" s="235" t="n"/>
      <c r="X52374" s="235" t="n"/>
    </row>
    <row r="52375" ht="14.25" customHeight="1" s="192">
      <c r="W52375" s="235" t="n"/>
      <c r="X52375" s="235" t="n"/>
    </row>
    <row r="52376" ht="14.25" customHeight="1" s="192">
      <c r="W52376" s="239" t="n"/>
      <c r="X52376" s="239" t="n"/>
    </row>
    <row r="52377" ht="14.25" customHeight="1" s="192">
      <c r="W52377" s="235" t="n"/>
      <c r="X52377" s="235" t="n"/>
    </row>
    <row r="52378" ht="14.25" customHeight="1" s="192">
      <c r="W52378" s="239" t="n"/>
      <c r="X52378" s="239" t="n"/>
    </row>
    <row r="52380" ht="14.25" customHeight="1" s="192">
      <c r="W52380" s="235" t="n"/>
      <c r="X52380" s="235" t="n"/>
    </row>
    <row r="52381" ht="15" customHeight="1" s="192" thickBot="1">
      <c r="W52381" s="239" t="n"/>
      <c r="X52381" s="239" t="n"/>
    </row>
    <row r="52382" ht="15" customHeight="1" s="192" thickBot="1">
      <c r="W52382" s="45" t="n"/>
      <c r="X52382" s="45" t="n"/>
    </row>
    <row r="52383" ht="14.25" customHeight="1" s="192">
      <c r="W52383" s="228" t="n"/>
      <c r="X52383" s="228" t="n"/>
    </row>
    <row r="52384" ht="14.25" customHeight="1" s="192">
      <c r="W52384" s="228" t="n"/>
      <c r="X52384" s="228" t="n"/>
    </row>
    <row r="52385" ht="14.25" customHeight="1" s="192">
      <c r="W52385" s="231" t="n"/>
      <c r="X52385" s="231" t="n"/>
    </row>
    <row r="52386" ht="14.25" customHeight="1" s="192">
      <c r="W52386" s="33" t="n"/>
      <c r="X52386" s="33" t="n"/>
    </row>
    <row r="52387" ht="14.25" customHeight="1" s="192">
      <c r="W52387" s="231" t="n"/>
      <c r="X52387" s="231" t="n"/>
    </row>
    <row r="52388" ht="14.25" customHeight="1" s="192">
      <c r="W52388" s="33" t="n"/>
      <c r="X52388" s="33" t="n"/>
    </row>
    <row r="52390" ht="14.25" customHeight="1" s="192">
      <c r="W52390" s="231" t="n"/>
      <c r="X52390" s="231" t="n"/>
    </row>
    <row r="52391" ht="14.25" customHeight="1" s="192">
      <c r="W52391" s="235" t="n"/>
      <c r="X52391" s="235" t="n"/>
    </row>
    <row r="52392" ht="14.25" customHeight="1" s="192">
      <c r="W52392" s="228" t="n"/>
      <c r="X52392" s="228" t="n"/>
    </row>
    <row r="52393" ht="14.25" customHeight="1" s="192">
      <c r="W52393" s="235" t="n"/>
      <c r="X52393" s="235" t="n"/>
    </row>
    <row r="52394" ht="14.25" customHeight="1" s="192">
      <c r="W52394" s="235" t="n"/>
      <c r="X52394" s="235" t="n"/>
    </row>
    <row r="52395" ht="14.25" customHeight="1" s="192">
      <c r="W52395" s="235" t="n"/>
      <c r="X52395" s="235" t="n"/>
    </row>
    <row r="52396" ht="14.25" customHeight="1" s="192">
      <c r="W52396" s="239" t="n"/>
      <c r="X52396" s="239" t="n"/>
    </row>
    <row r="52397" ht="14.25" customHeight="1" s="192">
      <c r="W52397" s="239" t="n"/>
      <c r="X52397" s="239" t="n"/>
    </row>
    <row r="52398" ht="14.25" customHeight="1" s="192">
      <c r="W52398" s="239" t="n"/>
      <c r="X52398" s="239" t="n"/>
    </row>
    <row r="52399" ht="14.25" customHeight="1" s="192">
      <c r="W52399" s="235" t="n"/>
      <c r="X52399" s="235" t="n"/>
    </row>
    <row r="52400" ht="14.25" customHeight="1" s="192">
      <c r="W52400" s="235" t="n"/>
      <c r="X52400" s="235" t="n"/>
    </row>
    <row r="52401" ht="14.25" customHeight="1" s="192">
      <c r="W52401" s="235" t="n"/>
      <c r="X52401" s="235" t="n"/>
    </row>
    <row r="52402" ht="14.25" customHeight="1" s="192">
      <c r="W52402" s="239" t="n"/>
      <c r="X52402" s="239" t="n"/>
    </row>
    <row r="52403" ht="14.25" customHeight="1" s="192">
      <c r="W52403" s="239" t="n"/>
      <c r="X52403" s="239" t="n"/>
    </row>
    <row r="52404" ht="14.25" customHeight="1" s="192">
      <c r="W52404" s="235" t="n"/>
      <c r="X52404" s="235" t="n"/>
    </row>
    <row r="52405" ht="14.25" customHeight="1" s="192">
      <c r="W52405" s="235" t="n"/>
      <c r="X52405" s="235" t="n"/>
    </row>
    <row r="52406" ht="14.25" customHeight="1" s="192">
      <c r="W52406" s="239" t="n"/>
      <c r="X52406" s="239" t="n"/>
    </row>
    <row r="52407" ht="14.25" customHeight="1" s="192">
      <c r="W52407" s="235" t="n"/>
      <c r="X52407" s="235" t="n"/>
    </row>
    <row r="52408" ht="14.25" customHeight="1" s="192">
      <c r="W52408" s="239" t="n"/>
      <c r="X52408" s="239" t="n"/>
    </row>
    <row r="52410" ht="14.25" customHeight="1" s="192">
      <c r="W52410" s="235" t="n"/>
      <c r="X52410" s="235" t="n"/>
    </row>
    <row r="52411" ht="15" customHeight="1" s="192" thickBot="1">
      <c r="W52411" s="239" t="n"/>
      <c r="X52411" s="239" t="n"/>
    </row>
    <row r="52412" ht="15" customHeight="1" s="192" thickBot="1">
      <c r="W52412" s="45" t="n"/>
      <c r="X52412" s="45" t="n"/>
    </row>
    <row r="52413" ht="14.25" customHeight="1" s="192">
      <c r="W52413" s="228" t="n"/>
      <c r="X52413" s="228" t="n"/>
    </row>
    <row r="52414" ht="14.25" customHeight="1" s="192">
      <c r="W52414" s="228" t="n"/>
      <c r="X52414" s="228" t="n"/>
    </row>
    <row r="52415" ht="14.25" customHeight="1" s="192">
      <c r="W52415" s="231" t="n"/>
      <c r="X52415" s="231" t="n"/>
    </row>
    <row r="52416" ht="14.25" customHeight="1" s="192">
      <c r="W52416" s="33" t="n"/>
      <c r="X52416" s="33" t="n"/>
    </row>
    <row r="52417" ht="14.25" customHeight="1" s="192">
      <c r="W52417" s="231" t="n"/>
      <c r="X52417" s="231" t="n"/>
    </row>
    <row r="52418" ht="14.25" customHeight="1" s="192">
      <c r="W52418" s="33" t="n"/>
      <c r="X52418" s="33" t="n"/>
    </row>
    <row r="52420" ht="14.25" customHeight="1" s="192">
      <c r="W52420" s="231" t="n"/>
      <c r="X52420" s="231" t="n"/>
    </row>
    <row r="52421" ht="14.25" customHeight="1" s="192">
      <c r="W52421" s="235" t="n"/>
      <c r="X52421" s="235" t="n"/>
    </row>
    <row r="52422" ht="14.25" customHeight="1" s="192">
      <c r="W52422" s="228" t="n"/>
      <c r="X52422" s="228" t="n"/>
    </row>
    <row r="52423" ht="14.25" customHeight="1" s="192">
      <c r="W52423" s="235" t="n"/>
      <c r="X52423" s="235" t="n"/>
    </row>
    <row r="52424" ht="14.25" customHeight="1" s="192">
      <c r="W52424" s="235" t="n"/>
      <c r="X52424" s="235" t="n"/>
    </row>
    <row r="52425" ht="14.25" customHeight="1" s="192">
      <c r="W52425" s="235" t="n"/>
      <c r="X52425" s="235" t="n"/>
    </row>
    <row r="52426" ht="14.25" customHeight="1" s="192">
      <c r="W52426" s="239" t="n"/>
      <c r="X52426" s="239" t="n"/>
    </row>
    <row r="52427" ht="14.25" customHeight="1" s="192">
      <c r="W52427" s="239" t="n"/>
      <c r="X52427" s="239" t="n"/>
    </row>
    <row r="52428" ht="14.25" customHeight="1" s="192">
      <c r="W52428" s="239" t="n"/>
      <c r="X52428" s="239" t="n"/>
    </row>
    <row r="52429" ht="14.25" customHeight="1" s="192">
      <c r="W52429" s="235" t="n"/>
      <c r="X52429" s="235" t="n"/>
    </row>
    <row r="52430" ht="14.25" customHeight="1" s="192">
      <c r="W52430" s="235" t="n"/>
      <c r="X52430" s="235" t="n"/>
    </row>
    <row r="52431" ht="14.25" customHeight="1" s="192">
      <c r="W52431" s="235" t="n"/>
      <c r="X52431" s="235" t="n"/>
    </row>
    <row r="52432" ht="14.25" customHeight="1" s="192">
      <c r="W52432" s="239" t="n"/>
      <c r="X52432" s="239" t="n"/>
    </row>
    <row r="52433" ht="14.25" customHeight="1" s="192">
      <c r="W52433" s="239" t="n"/>
      <c r="X52433" s="239" t="n"/>
    </row>
    <row r="52434" ht="14.25" customHeight="1" s="192">
      <c r="W52434" s="235" t="n"/>
      <c r="X52434" s="235" t="n"/>
    </row>
    <row r="52435" ht="14.25" customHeight="1" s="192">
      <c r="W52435" s="235" t="n"/>
      <c r="X52435" s="235" t="n"/>
    </row>
    <row r="52436" ht="14.25" customHeight="1" s="192">
      <c r="W52436" s="239" t="n"/>
      <c r="X52436" s="239" t="n"/>
    </row>
    <row r="52437" ht="14.25" customHeight="1" s="192">
      <c r="W52437" s="235" t="n"/>
      <c r="X52437" s="235" t="n"/>
    </row>
    <row r="52438" ht="14.25" customHeight="1" s="192">
      <c r="W52438" s="239" t="n"/>
      <c r="X52438" s="239" t="n"/>
    </row>
    <row r="52440" ht="14.25" customHeight="1" s="192">
      <c r="W52440" s="235" t="n"/>
      <c r="X52440" s="235" t="n"/>
    </row>
    <row r="52441" ht="15" customHeight="1" s="192" thickBot="1">
      <c r="W52441" s="239" t="n"/>
      <c r="X52441" s="239" t="n"/>
    </row>
    <row r="52442" ht="15" customHeight="1" s="192" thickBot="1">
      <c r="W52442" s="45" t="n"/>
      <c r="X52442" s="45" t="n"/>
    </row>
    <row r="52443" ht="14.25" customHeight="1" s="192">
      <c r="W52443" s="228" t="n"/>
      <c r="X52443" s="228" t="n"/>
    </row>
    <row r="52444" ht="14.25" customHeight="1" s="192">
      <c r="W52444" s="228" t="n"/>
      <c r="X52444" s="228" t="n"/>
    </row>
    <row r="52445" ht="14.25" customHeight="1" s="192">
      <c r="W52445" s="231" t="n"/>
      <c r="X52445" s="231" t="n"/>
    </row>
    <row r="52446" ht="14.25" customHeight="1" s="192">
      <c r="W52446" s="33" t="n"/>
      <c r="X52446" s="33" t="n"/>
    </row>
    <row r="52447" ht="14.25" customHeight="1" s="192">
      <c r="W52447" s="231" t="n"/>
      <c r="X52447" s="231" t="n"/>
    </row>
    <row r="52448" ht="14.25" customHeight="1" s="192">
      <c r="W52448" s="33" t="n"/>
      <c r="X52448" s="33" t="n"/>
    </row>
    <row r="52450" ht="14.25" customHeight="1" s="192">
      <c r="W52450" s="231" t="n"/>
      <c r="X52450" s="231" t="n"/>
    </row>
    <row r="52451" ht="14.25" customHeight="1" s="192">
      <c r="W52451" s="235" t="n"/>
      <c r="X52451" s="235" t="n"/>
    </row>
    <row r="52452" ht="14.25" customHeight="1" s="192">
      <c r="W52452" s="228" t="n"/>
      <c r="X52452" s="228" t="n"/>
    </row>
    <row r="52453" ht="14.25" customHeight="1" s="192">
      <c r="W52453" s="235" t="n"/>
      <c r="X52453" s="235" t="n"/>
    </row>
    <row r="52454" ht="14.25" customHeight="1" s="192">
      <c r="W52454" s="235" t="n"/>
      <c r="X52454" s="235" t="n"/>
    </row>
    <row r="52455" ht="14.25" customHeight="1" s="192">
      <c r="W52455" s="235" t="n"/>
      <c r="X52455" s="235" t="n"/>
    </row>
    <row r="52456" ht="14.25" customHeight="1" s="192">
      <c r="W52456" s="239" t="n"/>
      <c r="X52456" s="239" t="n"/>
    </row>
    <row r="52457" ht="14.25" customHeight="1" s="192">
      <c r="W52457" s="239" t="n"/>
      <c r="X52457" s="239" t="n"/>
    </row>
    <row r="52458" ht="14.25" customHeight="1" s="192">
      <c r="W52458" s="239" t="n"/>
      <c r="X52458" s="239" t="n"/>
    </row>
    <row r="52459" ht="14.25" customHeight="1" s="192">
      <c r="W52459" s="235" t="n"/>
      <c r="X52459" s="235" t="n"/>
    </row>
    <row r="52460" ht="14.25" customHeight="1" s="192">
      <c r="W52460" s="235" t="n"/>
      <c r="X52460" s="235" t="n"/>
    </row>
    <row r="52461" ht="14.25" customHeight="1" s="192">
      <c r="W52461" s="235" t="n"/>
      <c r="X52461" s="235" t="n"/>
    </row>
    <row r="52462" ht="14.25" customHeight="1" s="192">
      <c r="W52462" s="239" t="n"/>
      <c r="X52462" s="239" t="n"/>
    </row>
    <row r="52463" ht="14.25" customHeight="1" s="192">
      <c r="W52463" s="239" t="n"/>
      <c r="X52463" s="239" t="n"/>
    </row>
    <row r="52464" ht="14.25" customHeight="1" s="192">
      <c r="W52464" s="235" t="n"/>
      <c r="X52464" s="235" t="n"/>
    </row>
    <row r="52465" ht="14.25" customHeight="1" s="192">
      <c r="W52465" s="235" t="n"/>
      <c r="X52465" s="235" t="n"/>
    </row>
    <row r="52466" ht="14.25" customHeight="1" s="192">
      <c r="W52466" s="239" t="n"/>
      <c r="X52466" s="239" t="n"/>
    </row>
    <row r="52467" ht="14.25" customHeight="1" s="192">
      <c r="W52467" s="235" t="n"/>
      <c r="X52467" s="235" t="n"/>
    </row>
    <row r="52468" ht="14.25" customHeight="1" s="192">
      <c r="W52468" s="239" t="n"/>
      <c r="X52468" s="239" t="n"/>
    </row>
    <row r="52470" ht="14.25" customHeight="1" s="192">
      <c r="W52470" s="235" t="n"/>
      <c r="X52470" s="235" t="n"/>
    </row>
    <row r="52471" ht="15" customHeight="1" s="192" thickBot="1">
      <c r="W52471" s="239" t="n"/>
      <c r="X52471" s="239" t="n"/>
    </row>
    <row r="52472" ht="15" customHeight="1" s="192" thickBot="1">
      <c r="W52472" s="45" t="n"/>
      <c r="X52472" s="45" t="n"/>
    </row>
    <row r="52473" ht="14.25" customHeight="1" s="192">
      <c r="W52473" s="228" t="n"/>
      <c r="X52473" s="228" t="n"/>
    </row>
    <row r="52474" ht="14.25" customHeight="1" s="192">
      <c r="W52474" s="228" t="n"/>
      <c r="X52474" s="228" t="n"/>
    </row>
    <row r="52475" ht="14.25" customHeight="1" s="192">
      <c r="W52475" s="231" t="n"/>
      <c r="X52475" s="231" t="n"/>
    </row>
    <row r="52476" ht="14.25" customHeight="1" s="192">
      <c r="W52476" s="33" t="n"/>
      <c r="X52476" s="33" t="n"/>
    </row>
    <row r="52477" ht="14.25" customHeight="1" s="192">
      <c r="W52477" s="231" t="n"/>
      <c r="X52477" s="231" t="n"/>
    </row>
    <row r="52478" ht="14.25" customHeight="1" s="192">
      <c r="W52478" s="33" t="n"/>
      <c r="X52478" s="33" t="n"/>
    </row>
    <row r="52480" ht="14.25" customHeight="1" s="192">
      <c r="W52480" s="231" t="n"/>
      <c r="X52480" s="231" t="n"/>
    </row>
    <row r="52481" ht="14.25" customHeight="1" s="192">
      <c r="W52481" s="235" t="n"/>
      <c r="X52481" s="235" t="n"/>
    </row>
    <row r="52482" ht="14.25" customHeight="1" s="192">
      <c r="W52482" s="228" t="n"/>
      <c r="X52482" s="228" t="n"/>
    </row>
    <row r="52483" ht="14.25" customHeight="1" s="192">
      <c r="W52483" s="235" t="n"/>
      <c r="X52483" s="235" t="n"/>
    </row>
    <row r="52484" ht="14.25" customHeight="1" s="192">
      <c r="W52484" s="235" t="n"/>
      <c r="X52484" s="235" t="n"/>
    </row>
    <row r="52485" ht="14.25" customHeight="1" s="192">
      <c r="W52485" s="235" t="n"/>
      <c r="X52485" s="235" t="n"/>
    </row>
    <row r="52486" ht="14.25" customHeight="1" s="192">
      <c r="W52486" s="239" t="n"/>
      <c r="X52486" s="239" t="n"/>
    </row>
    <row r="52487" ht="14.25" customHeight="1" s="192">
      <c r="W52487" s="239" t="n"/>
      <c r="X52487" s="239" t="n"/>
    </row>
    <row r="52488" ht="14.25" customHeight="1" s="192">
      <c r="W52488" s="239" t="n"/>
      <c r="X52488" s="239" t="n"/>
    </row>
    <row r="52489" ht="14.25" customHeight="1" s="192">
      <c r="W52489" s="235" t="n"/>
      <c r="X52489" s="235" t="n"/>
    </row>
    <row r="52490" ht="14.25" customHeight="1" s="192">
      <c r="W52490" s="235" t="n"/>
      <c r="X52490" s="235" t="n"/>
    </row>
    <row r="52491" ht="14.25" customHeight="1" s="192">
      <c r="W52491" s="235" t="n"/>
      <c r="X52491" s="235" t="n"/>
    </row>
    <row r="52492" ht="14.25" customHeight="1" s="192">
      <c r="W52492" s="239" t="n"/>
      <c r="X52492" s="239" t="n"/>
    </row>
    <row r="52493" ht="14.25" customHeight="1" s="192">
      <c r="W52493" s="239" t="n"/>
      <c r="X52493" s="239" t="n"/>
    </row>
    <row r="52494" ht="14.25" customHeight="1" s="192">
      <c r="W52494" s="235" t="n"/>
      <c r="X52494" s="235" t="n"/>
    </row>
    <row r="52495" ht="14.25" customHeight="1" s="192">
      <c r="W52495" s="235" t="n"/>
      <c r="X52495" s="235" t="n"/>
    </row>
    <row r="52496" ht="14.25" customHeight="1" s="192">
      <c r="W52496" s="239" t="n"/>
      <c r="X52496" s="239" t="n"/>
    </row>
    <row r="52497" ht="14.25" customHeight="1" s="192">
      <c r="W52497" s="235" t="n"/>
      <c r="X52497" s="235" t="n"/>
    </row>
    <row r="52498" ht="14.25" customHeight="1" s="192">
      <c r="W52498" s="239" t="n"/>
      <c r="X52498" s="239" t="n"/>
    </row>
    <row r="52500" ht="14.25" customHeight="1" s="192">
      <c r="W52500" s="235" t="n"/>
      <c r="X52500" s="235" t="n"/>
    </row>
    <row r="52501" ht="15" customHeight="1" s="192" thickBot="1">
      <c r="W52501" s="239" t="n"/>
      <c r="X52501" s="239" t="n"/>
    </row>
    <row r="52502" ht="15" customHeight="1" s="192" thickBot="1">
      <c r="W52502" s="45" t="n"/>
      <c r="X52502" s="45" t="n"/>
    </row>
    <row r="52503" ht="14.25" customHeight="1" s="192">
      <c r="W52503" s="228" t="n"/>
      <c r="X52503" s="228" t="n"/>
    </row>
    <row r="52504" ht="14.25" customHeight="1" s="192">
      <c r="W52504" s="228" t="n"/>
      <c r="X52504" s="228" t="n"/>
    </row>
    <row r="52505" ht="14.25" customHeight="1" s="192">
      <c r="W52505" s="231" t="n"/>
      <c r="X52505" s="231" t="n"/>
    </row>
    <row r="52506" ht="14.25" customHeight="1" s="192">
      <c r="W52506" s="33" t="n"/>
      <c r="X52506" s="33" t="n"/>
    </row>
    <row r="52507" ht="14.25" customHeight="1" s="192">
      <c r="W52507" s="231" t="n"/>
      <c r="X52507" s="231" t="n"/>
    </row>
    <row r="52508" ht="14.25" customHeight="1" s="192">
      <c r="W52508" s="33" t="n"/>
      <c r="X52508" s="33" t="n"/>
    </row>
    <row r="52510" ht="14.25" customHeight="1" s="192">
      <c r="W52510" s="231" t="n"/>
      <c r="X52510" s="231" t="n"/>
    </row>
    <row r="52511" ht="14.25" customHeight="1" s="192">
      <c r="W52511" s="235" t="n"/>
      <c r="X52511" s="235" t="n"/>
    </row>
    <row r="52512" ht="14.25" customHeight="1" s="192">
      <c r="W52512" s="228" t="n"/>
      <c r="X52512" s="228" t="n"/>
    </row>
    <row r="52513" ht="14.25" customHeight="1" s="192">
      <c r="W52513" s="235" t="n"/>
      <c r="X52513" s="235" t="n"/>
    </row>
    <row r="52514" ht="14.25" customHeight="1" s="192">
      <c r="W52514" s="235" t="n"/>
      <c r="X52514" s="235" t="n"/>
    </row>
    <row r="52515" ht="14.25" customHeight="1" s="192">
      <c r="W52515" s="235" t="n"/>
      <c r="X52515" s="235" t="n"/>
    </row>
    <row r="52516" ht="14.25" customHeight="1" s="192">
      <c r="W52516" s="239" t="n"/>
      <c r="X52516" s="239" t="n"/>
    </row>
    <row r="52517" ht="14.25" customHeight="1" s="192">
      <c r="W52517" s="239" t="n"/>
      <c r="X52517" s="239" t="n"/>
    </row>
    <row r="52518" ht="14.25" customHeight="1" s="192">
      <c r="W52518" s="239" t="n"/>
      <c r="X52518" s="239" t="n"/>
    </row>
    <row r="52519" ht="14.25" customHeight="1" s="192">
      <c r="W52519" s="235" t="n"/>
      <c r="X52519" s="235" t="n"/>
    </row>
    <row r="52520" ht="14.25" customHeight="1" s="192">
      <c r="W52520" s="235" t="n"/>
      <c r="X52520" s="235" t="n"/>
    </row>
    <row r="52521" ht="14.25" customHeight="1" s="192">
      <c r="W52521" s="235" t="n"/>
      <c r="X52521" s="235" t="n"/>
    </row>
    <row r="52522" ht="14.25" customHeight="1" s="192">
      <c r="W52522" s="239" t="n"/>
      <c r="X52522" s="239" t="n"/>
    </row>
    <row r="52523" ht="14.25" customHeight="1" s="192">
      <c r="W52523" s="239" t="n"/>
      <c r="X52523" s="239" t="n"/>
    </row>
    <row r="52524" ht="14.25" customHeight="1" s="192">
      <c r="W52524" s="235" t="n"/>
      <c r="X52524" s="235" t="n"/>
    </row>
    <row r="52525" ht="14.25" customHeight="1" s="192">
      <c r="W52525" s="235" t="n"/>
      <c r="X52525" s="235" t="n"/>
    </row>
    <row r="52526" ht="14.25" customHeight="1" s="192">
      <c r="W52526" s="239" t="n"/>
      <c r="X52526" s="239" t="n"/>
    </row>
    <row r="52527" ht="14.25" customHeight="1" s="192">
      <c r="W52527" s="235" t="n"/>
      <c r="X52527" s="235" t="n"/>
    </row>
    <row r="52528" ht="14.25" customHeight="1" s="192">
      <c r="W52528" s="239" t="n"/>
      <c r="X52528" s="239" t="n"/>
    </row>
    <row r="52530" ht="14.25" customHeight="1" s="192">
      <c r="W52530" s="235" t="n"/>
      <c r="X52530" s="235" t="n"/>
    </row>
    <row r="52531" ht="15" customHeight="1" s="192" thickBot="1">
      <c r="W52531" s="239" t="n"/>
      <c r="X52531" s="239" t="n"/>
    </row>
    <row r="52532" ht="15" customHeight="1" s="192" thickBot="1">
      <c r="W52532" s="45" t="n"/>
      <c r="X52532" s="45" t="n"/>
    </row>
    <row r="52533" ht="14.25" customHeight="1" s="192">
      <c r="W52533" s="228" t="n"/>
      <c r="X52533" s="228" t="n"/>
    </row>
    <row r="52534" ht="14.25" customHeight="1" s="192">
      <c r="W52534" s="228" t="n"/>
      <c r="X52534" s="228" t="n"/>
    </row>
    <row r="52535" ht="14.25" customHeight="1" s="192">
      <c r="W52535" s="231" t="n"/>
      <c r="X52535" s="231" t="n"/>
    </row>
    <row r="52536" ht="14.25" customHeight="1" s="192">
      <c r="W52536" s="33" t="n"/>
      <c r="X52536" s="33" t="n"/>
    </row>
    <row r="52537" ht="14.25" customHeight="1" s="192">
      <c r="W52537" s="231" t="n"/>
      <c r="X52537" s="231" t="n"/>
    </row>
    <row r="52538" ht="14.25" customHeight="1" s="192">
      <c r="W52538" s="33" t="n"/>
      <c r="X52538" s="33" t="n"/>
    </row>
    <row r="52540" ht="14.25" customHeight="1" s="192">
      <c r="W52540" s="231" t="n"/>
      <c r="X52540" s="231" t="n"/>
    </row>
    <row r="52541" ht="14.25" customHeight="1" s="192">
      <c r="W52541" s="235" t="n"/>
      <c r="X52541" s="235" t="n"/>
    </row>
    <row r="52542" ht="14.25" customHeight="1" s="192">
      <c r="W52542" s="228" t="n"/>
      <c r="X52542" s="228" t="n"/>
    </row>
    <row r="52543" ht="14.25" customHeight="1" s="192">
      <c r="W52543" s="235" t="n"/>
      <c r="X52543" s="235" t="n"/>
    </row>
    <row r="52544" ht="14.25" customHeight="1" s="192">
      <c r="W52544" s="235" t="n"/>
      <c r="X52544" s="235" t="n"/>
    </row>
    <row r="52545" ht="14.25" customHeight="1" s="192">
      <c r="W52545" s="235" t="n"/>
      <c r="X52545" s="235" t="n"/>
    </row>
    <row r="52546" ht="14.25" customHeight="1" s="192">
      <c r="W52546" s="239" t="n"/>
      <c r="X52546" s="239" t="n"/>
    </row>
    <row r="52547" ht="14.25" customHeight="1" s="192">
      <c r="W52547" s="239" t="n"/>
      <c r="X52547" s="239" t="n"/>
    </row>
    <row r="52548" ht="14.25" customHeight="1" s="192">
      <c r="W52548" s="239" t="n"/>
      <c r="X52548" s="239" t="n"/>
    </row>
    <row r="52549" ht="14.25" customHeight="1" s="192">
      <c r="W52549" s="235" t="n"/>
      <c r="X52549" s="235" t="n"/>
    </row>
    <row r="52550" ht="14.25" customHeight="1" s="192">
      <c r="W52550" s="235" t="n"/>
      <c r="X52550" s="235" t="n"/>
    </row>
    <row r="52551" ht="14.25" customHeight="1" s="192">
      <c r="W52551" s="235" t="n"/>
      <c r="X52551" s="235" t="n"/>
    </row>
    <row r="52552" ht="14.25" customHeight="1" s="192">
      <c r="W52552" s="239" t="n"/>
      <c r="X52552" s="239" t="n"/>
    </row>
    <row r="52553" ht="14.25" customHeight="1" s="192">
      <c r="W52553" s="239" t="n"/>
      <c r="X52553" s="239" t="n"/>
    </row>
    <row r="52554" ht="14.25" customHeight="1" s="192">
      <c r="W52554" s="235" t="n"/>
      <c r="X52554" s="235" t="n"/>
    </row>
    <row r="52555" ht="14.25" customHeight="1" s="192">
      <c r="W52555" s="235" t="n"/>
      <c r="X52555" s="235" t="n"/>
    </row>
    <row r="52556" ht="14.25" customHeight="1" s="192">
      <c r="W52556" s="239" t="n"/>
      <c r="X52556" s="239" t="n"/>
    </row>
    <row r="52557" ht="14.25" customHeight="1" s="192">
      <c r="W52557" s="235" t="n"/>
      <c r="X52557" s="235" t="n"/>
    </row>
    <row r="52558" ht="14.25" customHeight="1" s="192">
      <c r="W52558" s="239" t="n"/>
      <c r="X52558" s="239" t="n"/>
    </row>
    <row r="52560" ht="14.25" customHeight="1" s="192">
      <c r="W52560" s="235" t="n"/>
      <c r="X52560" s="235" t="n"/>
    </row>
    <row r="52561" ht="15" customHeight="1" s="192" thickBot="1">
      <c r="W52561" s="239" t="n"/>
      <c r="X52561" s="239" t="n"/>
    </row>
    <row r="52562" ht="15" customHeight="1" s="192" thickBot="1">
      <c r="W52562" s="45" t="n"/>
      <c r="X52562" s="45" t="n"/>
    </row>
    <row r="52563" ht="14.25" customHeight="1" s="192">
      <c r="W52563" s="228" t="n"/>
      <c r="X52563" s="228" t="n"/>
    </row>
    <row r="52564" ht="14.25" customHeight="1" s="192">
      <c r="W52564" s="228" t="n"/>
      <c r="X52564" s="228" t="n"/>
    </row>
    <row r="52565" ht="14.25" customHeight="1" s="192">
      <c r="W52565" s="231" t="n"/>
      <c r="X52565" s="231" t="n"/>
    </row>
    <row r="52566" ht="14.25" customHeight="1" s="192">
      <c r="W52566" s="33" t="n"/>
      <c r="X52566" s="33" t="n"/>
    </row>
    <row r="52567" ht="14.25" customHeight="1" s="192">
      <c r="W52567" s="231" t="n"/>
      <c r="X52567" s="231" t="n"/>
    </row>
    <row r="52568" ht="14.25" customHeight="1" s="192">
      <c r="W52568" s="33" t="n"/>
      <c r="X52568" s="33" t="n"/>
    </row>
    <row r="52570" ht="14.25" customHeight="1" s="192">
      <c r="W52570" s="231" t="n"/>
      <c r="X52570" s="231" t="n"/>
    </row>
    <row r="52571" ht="14.25" customHeight="1" s="192">
      <c r="W52571" s="235" t="n"/>
      <c r="X52571" s="235" t="n"/>
    </row>
    <row r="52572" ht="14.25" customHeight="1" s="192">
      <c r="W52572" s="228" t="n"/>
      <c r="X52572" s="228" t="n"/>
    </row>
    <row r="52573" ht="14.25" customHeight="1" s="192">
      <c r="W52573" s="235" t="n"/>
      <c r="X52573" s="235" t="n"/>
    </row>
    <row r="52574" ht="14.25" customHeight="1" s="192">
      <c r="W52574" s="235" t="n"/>
      <c r="X52574" s="235" t="n"/>
    </row>
    <row r="52575" ht="14.25" customHeight="1" s="192">
      <c r="W52575" s="235" t="n"/>
      <c r="X52575" s="235" t="n"/>
    </row>
    <row r="52576" ht="14.25" customHeight="1" s="192">
      <c r="W52576" s="239" t="n"/>
      <c r="X52576" s="239" t="n"/>
    </row>
    <row r="52577" ht="14.25" customHeight="1" s="192">
      <c r="W52577" s="239" t="n"/>
      <c r="X52577" s="239" t="n"/>
    </row>
    <row r="52578" ht="14.25" customHeight="1" s="192">
      <c r="W52578" s="239" t="n"/>
      <c r="X52578" s="239" t="n"/>
    </row>
    <row r="52579" ht="14.25" customHeight="1" s="192">
      <c r="W52579" s="235" t="n"/>
      <c r="X52579" s="235" t="n"/>
    </row>
    <row r="52580" ht="14.25" customHeight="1" s="192">
      <c r="W52580" s="235" t="n"/>
      <c r="X52580" s="235" t="n"/>
    </row>
    <row r="52581" ht="14.25" customHeight="1" s="192">
      <c r="W52581" s="235" t="n"/>
      <c r="X52581" s="235" t="n"/>
    </row>
    <row r="52582" ht="14.25" customHeight="1" s="192">
      <c r="W52582" s="239" t="n"/>
      <c r="X52582" s="239" t="n"/>
    </row>
    <row r="52583" ht="14.25" customHeight="1" s="192">
      <c r="W52583" s="239" t="n"/>
      <c r="X52583" s="239" t="n"/>
    </row>
    <row r="52584" ht="14.25" customHeight="1" s="192">
      <c r="W52584" s="235" t="n"/>
      <c r="X52584" s="235" t="n"/>
    </row>
    <row r="52585" ht="14.25" customHeight="1" s="192">
      <c r="W52585" s="235" t="n"/>
      <c r="X52585" s="235" t="n"/>
    </row>
    <row r="52586" ht="14.25" customHeight="1" s="192">
      <c r="W52586" s="239" t="n"/>
      <c r="X52586" s="239" t="n"/>
    </row>
    <row r="52587" ht="14.25" customHeight="1" s="192">
      <c r="W52587" s="235" t="n"/>
      <c r="X52587" s="235" t="n"/>
    </row>
    <row r="52588" ht="14.25" customHeight="1" s="192">
      <c r="W52588" s="239" t="n"/>
      <c r="X52588" s="239" t="n"/>
    </row>
    <row r="52590" ht="14.25" customHeight="1" s="192">
      <c r="W52590" s="235" t="n"/>
      <c r="X52590" s="235" t="n"/>
    </row>
    <row r="52591" ht="15" customHeight="1" s="192" thickBot="1">
      <c r="W52591" s="239" t="n"/>
      <c r="X52591" s="239" t="n"/>
    </row>
    <row r="52592" ht="15" customHeight="1" s="192" thickBot="1">
      <c r="W52592" s="45" t="n"/>
      <c r="X52592" s="45" t="n"/>
    </row>
    <row r="52593" ht="14.25" customHeight="1" s="192">
      <c r="W52593" s="228" t="n"/>
      <c r="X52593" s="228" t="n"/>
    </row>
    <row r="52594" ht="14.25" customHeight="1" s="192">
      <c r="W52594" s="228" t="n"/>
      <c r="X52594" s="228" t="n"/>
    </row>
    <row r="52595" ht="14.25" customHeight="1" s="192">
      <c r="W52595" s="231" t="n"/>
      <c r="X52595" s="231" t="n"/>
    </row>
    <row r="52596" ht="14.25" customHeight="1" s="192">
      <c r="W52596" s="33" t="n"/>
      <c r="X52596" s="33" t="n"/>
    </row>
    <row r="52597" ht="14.25" customHeight="1" s="192">
      <c r="W52597" s="231" t="n"/>
      <c r="X52597" s="231" t="n"/>
    </row>
    <row r="52598" ht="14.25" customHeight="1" s="192">
      <c r="W52598" s="33" t="n"/>
      <c r="X52598" s="33" t="n"/>
    </row>
    <row r="52600" ht="14.25" customHeight="1" s="192">
      <c r="W52600" s="231" t="n"/>
      <c r="X52600" s="231" t="n"/>
    </row>
    <row r="52601" ht="14.25" customHeight="1" s="192">
      <c r="W52601" s="235" t="n"/>
      <c r="X52601" s="235" t="n"/>
    </row>
    <row r="52602" ht="14.25" customHeight="1" s="192">
      <c r="W52602" s="228" t="n"/>
      <c r="X52602" s="228" t="n"/>
    </row>
    <row r="52603" ht="14.25" customHeight="1" s="192">
      <c r="W52603" s="235" t="n"/>
      <c r="X52603" s="235" t="n"/>
    </row>
    <row r="52604" ht="14.25" customHeight="1" s="192">
      <c r="W52604" s="235" t="n"/>
      <c r="X52604" s="235" t="n"/>
    </row>
    <row r="52605" ht="14.25" customHeight="1" s="192">
      <c r="W52605" s="235" t="n"/>
      <c r="X52605" s="235" t="n"/>
    </row>
    <row r="52606" ht="14.25" customHeight="1" s="192">
      <c r="W52606" s="239" t="n"/>
      <c r="X52606" s="239" t="n"/>
    </row>
    <row r="52607" ht="14.25" customHeight="1" s="192">
      <c r="W52607" s="239" t="n"/>
      <c r="X52607" s="239" t="n"/>
    </row>
    <row r="52608" ht="14.25" customHeight="1" s="192">
      <c r="W52608" s="239" t="n"/>
      <c r="X52608" s="239" t="n"/>
    </row>
    <row r="52609" ht="14.25" customHeight="1" s="192">
      <c r="W52609" s="235" t="n"/>
      <c r="X52609" s="235" t="n"/>
    </row>
    <row r="52610" ht="14.25" customHeight="1" s="192">
      <c r="W52610" s="235" t="n"/>
      <c r="X52610" s="235" t="n"/>
    </row>
    <row r="52611" ht="14.25" customHeight="1" s="192">
      <c r="W52611" s="235" t="n"/>
      <c r="X52611" s="235" t="n"/>
    </row>
    <row r="52612" ht="14.25" customHeight="1" s="192">
      <c r="W52612" s="239" t="n"/>
      <c r="X52612" s="239" t="n"/>
    </row>
    <row r="52613" ht="14.25" customHeight="1" s="192">
      <c r="W52613" s="239" t="n"/>
      <c r="X52613" s="239" t="n"/>
    </row>
    <row r="52614" ht="14.25" customHeight="1" s="192">
      <c r="W52614" s="235" t="n"/>
      <c r="X52614" s="235" t="n"/>
    </row>
    <row r="52615" ht="14.25" customHeight="1" s="192">
      <c r="W52615" s="235" t="n"/>
      <c r="X52615" s="235" t="n"/>
    </row>
    <row r="52616" ht="14.25" customHeight="1" s="192">
      <c r="W52616" s="239" t="n"/>
      <c r="X52616" s="239" t="n"/>
    </row>
    <row r="52617" ht="14.25" customHeight="1" s="192">
      <c r="W52617" s="235" t="n"/>
      <c r="X52617" s="235" t="n"/>
    </row>
    <row r="52618" ht="14.25" customHeight="1" s="192">
      <c r="W52618" s="239" t="n"/>
      <c r="X52618" s="239" t="n"/>
    </row>
    <row r="52620" ht="14.25" customHeight="1" s="192">
      <c r="W52620" s="235" t="n"/>
      <c r="X52620" s="235" t="n"/>
    </row>
    <row r="52621" ht="15" customHeight="1" s="192" thickBot="1">
      <c r="W52621" s="239" t="n"/>
      <c r="X52621" s="239" t="n"/>
    </row>
    <row r="52622" ht="15" customHeight="1" s="192" thickBot="1">
      <c r="W52622" s="45" t="n"/>
      <c r="X52622" s="45" t="n"/>
    </row>
    <row r="52623" ht="14.25" customHeight="1" s="192">
      <c r="W52623" s="228" t="n"/>
      <c r="X52623" s="228" t="n"/>
    </row>
    <row r="52624" ht="14.25" customHeight="1" s="192">
      <c r="W52624" s="228" t="n"/>
      <c r="X52624" s="228" t="n"/>
    </row>
    <row r="52625" ht="14.25" customHeight="1" s="192">
      <c r="W52625" s="231" t="n"/>
      <c r="X52625" s="231" t="n"/>
    </row>
    <row r="52626" ht="14.25" customHeight="1" s="192">
      <c r="W52626" s="33" t="n"/>
      <c r="X52626" s="33" t="n"/>
    </row>
    <row r="52627" ht="14.25" customHeight="1" s="192">
      <c r="W52627" s="231" t="n"/>
      <c r="X52627" s="231" t="n"/>
    </row>
    <row r="52628" ht="14.25" customHeight="1" s="192">
      <c r="W52628" s="33" t="n"/>
      <c r="X52628" s="33" t="n"/>
    </row>
    <row r="52630" ht="14.25" customHeight="1" s="192">
      <c r="W52630" s="231" t="n"/>
      <c r="X52630" s="231" t="n"/>
    </row>
    <row r="52631" ht="14.25" customHeight="1" s="192">
      <c r="W52631" s="235" t="n"/>
      <c r="X52631" s="235" t="n"/>
    </row>
    <row r="52632" ht="14.25" customHeight="1" s="192">
      <c r="W52632" s="228" t="n"/>
      <c r="X52632" s="228" t="n"/>
    </row>
    <row r="52633" ht="14.25" customHeight="1" s="192">
      <c r="W52633" s="235" t="n"/>
      <c r="X52633" s="235" t="n"/>
    </row>
    <row r="52634" ht="14.25" customHeight="1" s="192">
      <c r="W52634" s="235" t="n"/>
      <c r="X52634" s="235" t="n"/>
    </row>
    <row r="52635" ht="14.25" customHeight="1" s="192">
      <c r="W52635" s="235" t="n"/>
      <c r="X52635" s="235" t="n"/>
    </row>
    <row r="52636" ht="14.25" customHeight="1" s="192">
      <c r="W52636" s="239" t="n"/>
      <c r="X52636" s="239" t="n"/>
    </row>
    <row r="52637" ht="14.25" customHeight="1" s="192">
      <c r="W52637" s="239" t="n"/>
      <c r="X52637" s="239" t="n"/>
    </row>
    <row r="52638" ht="14.25" customHeight="1" s="192">
      <c r="W52638" s="239" t="n"/>
      <c r="X52638" s="239" t="n"/>
    </row>
    <row r="52639" ht="14.25" customHeight="1" s="192">
      <c r="W52639" s="235" t="n"/>
      <c r="X52639" s="235" t="n"/>
    </row>
    <row r="52640" ht="14.25" customHeight="1" s="192">
      <c r="W52640" s="235" t="n"/>
      <c r="X52640" s="235" t="n"/>
    </row>
    <row r="52641" ht="14.25" customHeight="1" s="192">
      <c r="W52641" s="235" t="n"/>
      <c r="X52641" s="235" t="n"/>
    </row>
    <row r="52642" ht="14.25" customHeight="1" s="192">
      <c r="W52642" s="239" t="n"/>
      <c r="X52642" s="239" t="n"/>
    </row>
    <row r="52643" ht="14.25" customHeight="1" s="192">
      <c r="W52643" s="239" t="n"/>
      <c r="X52643" s="239" t="n"/>
    </row>
    <row r="52644" ht="14.25" customHeight="1" s="192">
      <c r="W52644" s="235" t="n"/>
      <c r="X52644" s="235" t="n"/>
    </row>
    <row r="52645" ht="14.25" customHeight="1" s="192">
      <c r="W52645" s="235" t="n"/>
      <c r="X52645" s="235" t="n"/>
    </row>
    <row r="52646" ht="14.25" customHeight="1" s="192">
      <c r="W52646" s="239" t="n"/>
      <c r="X52646" s="239" t="n"/>
    </row>
    <row r="52647" ht="14.25" customHeight="1" s="192">
      <c r="W52647" s="235" t="n"/>
      <c r="X52647" s="235" t="n"/>
    </row>
    <row r="52648" ht="14.25" customHeight="1" s="192">
      <c r="W52648" s="239" t="n"/>
      <c r="X52648" s="239" t="n"/>
    </row>
    <row r="52650" ht="14.25" customHeight="1" s="192">
      <c r="W52650" s="235" t="n"/>
      <c r="X52650" s="235" t="n"/>
    </row>
    <row r="52651" ht="15" customHeight="1" s="192" thickBot="1">
      <c r="W52651" s="239" t="n"/>
      <c r="X52651" s="239" t="n"/>
    </row>
    <row r="52652" ht="15" customHeight="1" s="192" thickBot="1">
      <c r="W52652" s="45" t="n"/>
      <c r="X52652" s="45" t="n"/>
    </row>
    <row r="52653" ht="14.25" customHeight="1" s="192">
      <c r="W52653" s="228" t="n"/>
      <c r="X52653" s="228" t="n"/>
    </row>
    <row r="52654" ht="14.25" customHeight="1" s="192">
      <c r="W52654" s="228" t="n"/>
      <c r="X52654" s="228" t="n"/>
    </row>
    <row r="52655" ht="14.25" customHeight="1" s="192">
      <c r="W52655" s="231" t="n"/>
      <c r="X52655" s="231" t="n"/>
    </row>
    <row r="52656" ht="14.25" customHeight="1" s="192">
      <c r="W52656" s="33" t="n"/>
      <c r="X52656" s="33" t="n"/>
    </row>
    <row r="52657" ht="14.25" customHeight="1" s="192">
      <c r="W52657" s="231" t="n"/>
      <c r="X52657" s="231" t="n"/>
    </row>
    <row r="52658" ht="14.25" customHeight="1" s="192">
      <c r="W52658" s="33" t="n"/>
      <c r="X52658" s="33" t="n"/>
    </row>
    <row r="52660" ht="14.25" customHeight="1" s="192">
      <c r="W52660" s="231" t="n"/>
      <c r="X52660" s="231" t="n"/>
    </row>
    <row r="52661" ht="14.25" customHeight="1" s="192">
      <c r="W52661" s="235" t="n"/>
      <c r="X52661" s="235" t="n"/>
    </row>
    <row r="52662" ht="14.25" customHeight="1" s="192">
      <c r="W52662" s="228" t="n"/>
      <c r="X52662" s="228" t="n"/>
    </row>
    <row r="52663" ht="14.25" customHeight="1" s="192">
      <c r="W52663" s="235" t="n"/>
      <c r="X52663" s="235" t="n"/>
    </row>
    <row r="52664" ht="14.25" customHeight="1" s="192">
      <c r="W52664" s="235" t="n"/>
      <c r="X52664" s="235" t="n"/>
    </row>
    <row r="52665" ht="14.25" customHeight="1" s="192">
      <c r="W52665" s="235" t="n"/>
      <c r="X52665" s="235" t="n"/>
    </row>
    <row r="52666" ht="14.25" customHeight="1" s="192">
      <c r="W52666" s="239" t="n"/>
      <c r="X52666" s="239" t="n"/>
    </row>
    <row r="52667" ht="14.25" customHeight="1" s="192">
      <c r="W52667" s="239" t="n"/>
      <c r="X52667" s="239" t="n"/>
    </row>
    <row r="52668" ht="14.25" customHeight="1" s="192">
      <c r="W52668" s="239" t="n"/>
      <c r="X52668" s="239" t="n"/>
    </row>
    <row r="52669" ht="14.25" customHeight="1" s="192">
      <c r="W52669" s="235" t="n"/>
      <c r="X52669" s="235" t="n"/>
    </row>
    <row r="52670" ht="14.25" customHeight="1" s="192">
      <c r="W52670" s="235" t="n"/>
      <c r="X52670" s="235" t="n"/>
    </row>
    <row r="52671" ht="14.25" customHeight="1" s="192">
      <c r="W52671" s="235" t="n"/>
      <c r="X52671" s="235" t="n"/>
    </row>
    <row r="52672" ht="14.25" customHeight="1" s="192">
      <c r="W52672" s="239" t="n"/>
      <c r="X52672" s="239" t="n"/>
    </row>
    <row r="52673" ht="14.25" customHeight="1" s="192">
      <c r="W52673" s="239" t="n"/>
      <c r="X52673" s="239" t="n"/>
    </row>
    <row r="52674" ht="14.25" customHeight="1" s="192">
      <c r="W52674" s="235" t="n"/>
      <c r="X52674" s="235" t="n"/>
    </row>
    <row r="52675" ht="14.25" customHeight="1" s="192">
      <c r="W52675" s="235" t="n"/>
      <c r="X52675" s="235" t="n"/>
    </row>
    <row r="52676" ht="14.25" customHeight="1" s="192">
      <c r="W52676" s="239" t="n"/>
      <c r="X52676" s="239" t="n"/>
    </row>
    <row r="52677" ht="14.25" customHeight="1" s="192">
      <c r="W52677" s="235" t="n"/>
      <c r="X52677" s="235" t="n"/>
    </row>
    <row r="52678" ht="14.25" customHeight="1" s="192">
      <c r="W52678" s="239" t="n"/>
      <c r="X52678" s="239" t="n"/>
    </row>
    <row r="52680" ht="14.25" customHeight="1" s="192">
      <c r="W52680" s="235" t="n"/>
      <c r="X52680" s="235" t="n"/>
    </row>
    <row r="52681" ht="15" customHeight="1" s="192" thickBot="1">
      <c r="W52681" s="239" t="n"/>
      <c r="X52681" s="239" t="n"/>
    </row>
    <row r="52682" ht="15" customHeight="1" s="192" thickBot="1">
      <c r="W52682" s="45" t="n"/>
      <c r="X52682" s="45" t="n"/>
    </row>
    <row r="52683" ht="14.25" customHeight="1" s="192">
      <c r="W52683" s="228" t="n"/>
      <c r="X52683" s="228" t="n"/>
    </row>
    <row r="52684" ht="14.25" customHeight="1" s="192">
      <c r="W52684" s="228" t="n"/>
      <c r="X52684" s="228" t="n"/>
    </row>
    <row r="52685" ht="14.25" customHeight="1" s="192">
      <c r="W52685" s="231" t="n"/>
      <c r="X52685" s="231" t="n"/>
    </row>
    <row r="52686" ht="14.25" customHeight="1" s="192">
      <c r="W52686" s="33" t="n"/>
      <c r="X52686" s="33" t="n"/>
    </row>
    <row r="52687" ht="14.25" customHeight="1" s="192">
      <c r="W52687" s="231" t="n"/>
      <c r="X52687" s="231" t="n"/>
    </row>
    <row r="52688" ht="14.25" customHeight="1" s="192">
      <c r="W52688" s="33" t="n"/>
      <c r="X52688" s="33" t="n"/>
    </row>
    <row r="52690" ht="14.25" customHeight="1" s="192">
      <c r="W52690" s="231" t="n"/>
      <c r="X52690" s="231" t="n"/>
    </row>
    <row r="52691" ht="14.25" customHeight="1" s="192">
      <c r="W52691" s="235" t="n"/>
      <c r="X52691" s="235" t="n"/>
    </row>
    <row r="52692" ht="14.25" customHeight="1" s="192">
      <c r="W52692" s="228" t="n"/>
      <c r="X52692" s="228" t="n"/>
    </row>
    <row r="52693" ht="14.25" customHeight="1" s="192">
      <c r="W52693" s="235" t="n"/>
      <c r="X52693" s="235" t="n"/>
    </row>
    <row r="52694" ht="14.25" customHeight="1" s="192">
      <c r="W52694" s="235" t="n"/>
      <c r="X52694" s="235" t="n"/>
    </row>
    <row r="52695" ht="14.25" customHeight="1" s="192">
      <c r="W52695" s="235" t="n"/>
      <c r="X52695" s="235" t="n"/>
    </row>
    <row r="52696" ht="14.25" customHeight="1" s="192">
      <c r="W52696" s="239" t="n"/>
      <c r="X52696" s="239" t="n"/>
    </row>
    <row r="52697" ht="14.25" customHeight="1" s="192">
      <c r="W52697" s="239" t="n"/>
      <c r="X52697" s="239" t="n"/>
    </row>
    <row r="52698" ht="14.25" customHeight="1" s="192">
      <c r="W52698" s="239" t="n"/>
      <c r="X52698" s="239" t="n"/>
    </row>
    <row r="52699" ht="14.25" customHeight="1" s="192">
      <c r="W52699" s="235" t="n"/>
      <c r="X52699" s="235" t="n"/>
    </row>
    <row r="52700" ht="14.25" customHeight="1" s="192">
      <c r="W52700" s="235" t="n"/>
      <c r="X52700" s="235" t="n"/>
    </row>
    <row r="52701" ht="14.25" customHeight="1" s="192">
      <c r="W52701" s="235" t="n"/>
      <c r="X52701" s="235" t="n"/>
    </row>
    <row r="52702" ht="14.25" customHeight="1" s="192">
      <c r="W52702" s="239" t="n"/>
      <c r="X52702" s="239" t="n"/>
    </row>
    <row r="52703" ht="14.25" customHeight="1" s="192">
      <c r="W52703" s="239" t="n"/>
      <c r="X52703" s="239" t="n"/>
    </row>
    <row r="52704" ht="14.25" customHeight="1" s="192">
      <c r="W52704" s="235" t="n"/>
      <c r="X52704" s="235" t="n"/>
    </row>
    <row r="52705" ht="14.25" customHeight="1" s="192">
      <c r="W52705" s="235" t="n"/>
      <c r="X52705" s="235" t="n"/>
    </row>
    <row r="52706" ht="14.25" customHeight="1" s="192">
      <c r="W52706" s="239" t="n"/>
      <c r="X52706" s="239" t="n"/>
    </row>
    <row r="52707" ht="14.25" customHeight="1" s="192">
      <c r="W52707" s="235" t="n"/>
      <c r="X52707" s="235" t="n"/>
    </row>
    <row r="52708" ht="14.25" customHeight="1" s="192">
      <c r="W52708" s="239" t="n"/>
      <c r="X52708" s="239" t="n"/>
    </row>
    <row r="52710" ht="14.25" customHeight="1" s="192">
      <c r="W52710" s="235" t="n"/>
      <c r="X52710" s="235" t="n"/>
    </row>
    <row r="52711" ht="15" customHeight="1" s="192" thickBot="1">
      <c r="W52711" s="239" t="n"/>
      <c r="X52711" s="239" t="n"/>
    </row>
    <row r="52712" ht="15" customHeight="1" s="192" thickBot="1">
      <c r="W52712" s="45" t="n"/>
      <c r="X52712" s="45" t="n"/>
    </row>
    <row r="52713" ht="14.25" customHeight="1" s="192">
      <c r="W52713" s="228" t="n"/>
      <c r="X52713" s="228" t="n"/>
    </row>
    <row r="52714" ht="14.25" customHeight="1" s="192">
      <c r="W52714" s="228" t="n"/>
      <c r="X52714" s="228" t="n"/>
    </row>
    <row r="52715" ht="14.25" customHeight="1" s="192">
      <c r="W52715" s="231" t="n"/>
      <c r="X52715" s="231" t="n"/>
    </row>
    <row r="52716" ht="14.25" customHeight="1" s="192">
      <c r="W52716" s="33" t="n"/>
      <c r="X52716" s="33" t="n"/>
    </row>
    <row r="52717" ht="14.25" customHeight="1" s="192">
      <c r="W52717" s="231" t="n"/>
      <c r="X52717" s="231" t="n"/>
    </row>
    <row r="52718" ht="14.25" customHeight="1" s="192">
      <c r="W52718" s="33" t="n"/>
      <c r="X52718" s="33" t="n"/>
    </row>
    <row r="52720" ht="14.25" customHeight="1" s="192">
      <c r="W52720" s="231" t="n"/>
      <c r="X52720" s="231" t="n"/>
    </row>
    <row r="52721" ht="14.25" customHeight="1" s="192">
      <c r="W52721" s="235" t="n"/>
      <c r="X52721" s="235" t="n"/>
    </row>
    <row r="52722" ht="14.25" customHeight="1" s="192">
      <c r="W52722" s="228" t="n"/>
      <c r="X52722" s="228" t="n"/>
    </row>
    <row r="52723" ht="14.25" customHeight="1" s="192">
      <c r="W52723" s="235" t="n"/>
      <c r="X52723" s="235" t="n"/>
    </row>
    <row r="52724" ht="14.25" customHeight="1" s="192">
      <c r="W52724" s="235" t="n"/>
      <c r="X52724" s="235" t="n"/>
    </row>
    <row r="52725" ht="14.25" customHeight="1" s="192">
      <c r="W52725" s="235" t="n"/>
      <c r="X52725" s="235" t="n"/>
    </row>
    <row r="52726" ht="14.25" customHeight="1" s="192">
      <c r="W52726" s="239" t="n"/>
      <c r="X52726" s="239" t="n"/>
    </row>
    <row r="52727" ht="14.25" customHeight="1" s="192">
      <c r="W52727" s="239" t="n"/>
      <c r="X52727" s="239" t="n"/>
    </row>
    <row r="52728" ht="14.25" customHeight="1" s="192">
      <c r="W52728" s="239" t="n"/>
      <c r="X52728" s="239" t="n"/>
    </row>
    <row r="52729" ht="14.25" customHeight="1" s="192">
      <c r="W52729" s="235" t="n"/>
      <c r="X52729" s="235" t="n"/>
    </row>
    <row r="52730" ht="14.25" customHeight="1" s="192">
      <c r="W52730" s="235" t="n"/>
      <c r="X52730" s="235" t="n"/>
    </row>
    <row r="52731" ht="14.25" customHeight="1" s="192">
      <c r="W52731" s="235" t="n"/>
      <c r="X52731" s="235" t="n"/>
    </row>
    <row r="52732" ht="14.25" customHeight="1" s="192">
      <c r="W52732" s="239" t="n"/>
      <c r="X52732" s="239" t="n"/>
    </row>
    <row r="52733" ht="14.25" customHeight="1" s="192">
      <c r="W52733" s="239" t="n"/>
      <c r="X52733" s="239" t="n"/>
    </row>
    <row r="52734" ht="14.25" customHeight="1" s="192">
      <c r="W52734" s="235" t="n"/>
      <c r="X52734" s="235" t="n"/>
    </row>
    <row r="52735" ht="14.25" customHeight="1" s="192">
      <c r="W52735" s="235" t="n"/>
      <c r="X52735" s="235" t="n"/>
    </row>
    <row r="52736" ht="14.25" customHeight="1" s="192">
      <c r="W52736" s="239" t="n"/>
      <c r="X52736" s="239" t="n"/>
    </row>
    <row r="52737" ht="14.25" customHeight="1" s="192">
      <c r="W52737" s="235" t="n"/>
      <c r="X52737" s="235" t="n"/>
    </row>
    <row r="52738" ht="14.25" customHeight="1" s="192">
      <c r="W52738" s="239" t="n"/>
      <c r="X52738" s="239" t="n"/>
    </row>
    <row r="52740" ht="14.25" customHeight="1" s="192">
      <c r="W52740" s="235" t="n"/>
      <c r="X52740" s="235" t="n"/>
    </row>
    <row r="52741" ht="15" customHeight="1" s="192" thickBot="1">
      <c r="W52741" s="239" t="n"/>
      <c r="X52741" s="239" t="n"/>
    </row>
    <row r="52742" ht="15" customHeight="1" s="192" thickBot="1">
      <c r="W52742" s="45" t="n"/>
      <c r="X52742" s="45" t="n"/>
    </row>
    <row r="52743" ht="14.25" customHeight="1" s="192">
      <c r="W52743" s="228" t="n"/>
      <c r="X52743" s="228" t="n"/>
    </row>
    <row r="52744" ht="14.25" customHeight="1" s="192">
      <c r="W52744" s="228" t="n"/>
      <c r="X52744" s="228" t="n"/>
    </row>
    <row r="52745" ht="14.25" customHeight="1" s="192">
      <c r="W52745" s="231" t="n"/>
      <c r="X52745" s="231" t="n"/>
    </row>
    <row r="52746" ht="14.25" customHeight="1" s="192">
      <c r="W52746" s="33" t="n"/>
      <c r="X52746" s="33" t="n"/>
    </row>
    <row r="52747" ht="14.25" customHeight="1" s="192">
      <c r="W52747" s="231" t="n"/>
      <c r="X52747" s="231" t="n"/>
    </row>
    <row r="52748" ht="14.25" customHeight="1" s="192">
      <c r="W52748" s="33" t="n"/>
      <c r="X52748" s="33" t="n"/>
    </row>
    <row r="52750" ht="14.25" customHeight="1" s="192">
      <c r="W52750" s="231" t="n"/>
      <c r="X52750" s="231" t="n"/>
    </row>
    <row r="52751" ht="14.25" customHeight="1" s="192">
      <c r="W52751" s="235" t="n"/>
      <c r="X52751" s="235" t="n"/>
    </row>
    <row r="52752" ht="14.25" customHeight="1" s="192">
      <c r="W52752" s="228" t="n"/>
      <c r="X52752" s="228" t="n"/>
    </row>
    <row r="52753" ht="14.25" customHeight="1" s="192">
      <c r="W52753" s="235" t="n"/>
      <c r="X52753" s="235" t="n"/>
    </row>
    <row r="52754" ht="14.25" customHeight="1" s="192">
      <c r="W52754" s="235" t="n"/>
      <c r="X52754" s="235" t="n"/>
    </row>
    <row r="52755" ht="14.25" customHeight="1" s="192">
      <c r="W52755" s="235" t="n"/>
      <c r="X52755" s="235" t="n"/>
    </row>
    <row r="52756" ht="14.25" customHeight="1" s="192">
      <c r="W52756" s="239" t="n"/>
      <c r="X52756" s="239" t="n"/>
    </row>
    <row r="52757" ht="14.25" customHeight="1" s="192">
      <c r="W52757" s="239" t="n"/>
      <c r="X52757" s="239" t="n"/>
    </row>
    <row r="52758" ht="14.25" customHeight="1" s="192">
      <c r="W52758" s="239" t="n"/>
      <c r="X52758" s="239" t="n"/>
    </row>
    <row r="52759" ht="14.25" customHeight="1" s="192">
      <c r="W52759" s="235" t="n"/>
      <c r="X52759" s="235" t="n"/>
    </row>
    <row r="52760" ht="14.25" customHeight="1" s="192">
      <c r="W52760" s="235" t="n"/>
      <c r="X52760" s="235" t="n"/>
    </row>
    <row r="52761" ht="14.25" customHeight="1" s="192">
      <c r="W52761" s="235" t="n"/>
      <c r="X52761" s="235" t="n"/>
    </row>
    <row r="52762" ht="14.25" customHeight="1" s="192">
      <c r="W52762" s="239" t="n"/>
      <c r="X52762" s="239" t="n"/>
    </row>
    <row r="52763" ht="14.25" customHeight="1" s="192">
      <c r="W52763" s="239" t="n"/>
      <c r="X52763" s="239" t="n"/>
    </row>
    <row r="52764" ht="14.25" customHeight="1" s="192">
      <c r="W52764" s="235" t="n"/>
      <c r="X52764" s="235" t="n"/>
    </row>
    <row r="52765" ht="14.25" customHeight="1" s="192">
      <c r="W52765" s="235" t="n"/>
      <c r="X52765" s="235" t="n"/>
    </row>
    <row r="52766" ht="14.25" customHeight="1" s="192">
      <c r="W52766" s="239" t="n"/>
      <c r="X52766" s="239" t="n"/>
    </row>
    <row r="52767" ht="14.25" customHeight="1" s="192">
      <c r="W52767" s="235" t="n"/>
      <c r="X52767" s="235" t="n"/>
    </row>
    <row r="52768" ht="14.25" customHeight="1" s="192">
      <c r="W52768" s="239" t="n"/>
      <c r="X52768" s="239" t="n"/>
    </row>
    <row r="52770" ht="14.25" customHeight="1" s="192">
      <c r="W52770" s="235" t="n"/>
      <c r="X52770" s="235" t="n"/>
    </row>
    <row r="52771" ht="15" customHeight="1" s="192" thickBot="1">
      <c r="W52771" s="239" t="n"/>
      <c r="X52771" s="239" t="n"/>
    </row>
    <row r="52772" ht="15" customHeight="1" s="192" thickBot="1">
      <c r="W52772" s="45" t="n"/>
      <c r="X52772" s="45" t="n"/>
    </row>
    <row r="52773" ht="14.25" customHeight="1" s="192">
      <c r="W52773" s="228" t="n"/>
      <c r="X52773" s="228" t="n"/>
    </row>
    <row r="52774" ht="14.25" customHeight="1" s="192">
      <c r="W52774" s="228" t="n"/>
      <c r="X52774" s="228" t="n"/>
    </row>
    <row r="52775" ht="14.25" customHeight="1" s="192">
      <c r="W52775" s="231" t="n"/>
      <c r="X52775" s="231" t="n"/>
    </row>
    <row r="52776" ht="14.25" customHeight="1" s="192">
      <c r="W52776" s="33" t="n"/>
      <c r="X52776" s="33" t="n"/>
    </row>
    <row r="52777" ht="14.25" customHeight="1" s="192">
      <c r="W52777" s="231" t="n"/>
      <c r="X52777" s="231" t="n"/>
    </row>
    <row r="52778" ht="14.25" customHeight="1" s="192">
      <c r="W52778" s="33" t="n"/>
      <c r="X52778" s="33" t="n"/>
    </row>
    <row r="52780" ht="14.25" customHeight="1" s="192">
      <c r="W52780" s="231" t="n"/>
      <c r="X52780" s="231" t="n"/>
    </row>
    <row r="52781" ht="14.25" customHeight="1" s="192">
      <c r="W52781" s="235" t="n"/>
      <c r="X52781" s="235" t="n"/>
    </row>
    <row r="52782" ht="14.25" customHeight="1" s="192">
      <c r="W52782" s="228" t="n"/>
      <c r="X52782" s="228" t="n"/>
    </row>
    <row r="52783" ht="14.25" customHeight="1" s="192">
      <c r="W52783" s="235" t="n"/>
      <c r="X52783" s="235" t="n"/>
    </row>
    <row r="52784" ht="14.25" customHeight="1" s="192">
      <c r="W52784" s="235" t="n"/>
      <c r="X52784" s="235" t="n"/>
    </row>
    <row r="52785" ht="14.25" customHeight="1" s="192">
      <c r="W52785" s="235" t="n"/>
      <c r="X52785" s="235" t="n"/>
    </row>
    <row r="52786" ht="14.25" customHeight="1" s="192">
      <c r="W52786" s="239" t="n"/>
      <c r="X52786" s="239" t="n"/>
    </row>
    <row r="52787" ht="14.25" customHeight="1" s="192">
      <c r="W52787" s="239" t="n"/>
      <c r="X52787" s="239" t="n"/>
    </row>
    <row r="52788" ht="14.25" customHeight="1" s="192">
      <c r="W52788" s="239" t="n"/>
      <c r="X52788" s="239" t="n"/>
    </row>
    <row r="52789" ht="14.25" customHeight="1" s="192">
      <c r="W52789" s="235" t="n"/>
      <c r="X52789" s="235" t="n"/>
    </row>
    <row r="52790" ht="14.25" customHeight="1" s="192">
      <c r="W52790" s="235" t="n"/>
      <c r="X52790" s="235" t="n"/>
    </row>
    <row r="52791" ht="14.25" customHeight="1" s="192">
      <c r="W52791" s="235" t="n"/>
      <c r="X52791" s="235" t="n"/>
    </row>
    <row r="52792" ht="14.25" customHeight="1" s="192">
      <c r="W52792" s="239" t="n"/>
      <c r="X52792" s="239" t="n"/>
    </row>
    <row r="52793" ht="14.25" customHeight="1" s="192">
      <c r="W52793" s="239" t="n"/>
      <c r="X52793" s="239" t="n"/>
    </row>
    <row r="52794" ht="14.25" customHeight="1" s="192">
      <c r="W52794" s="235" t="n"/>
      <c r="X52794" s="235" t="n"/>
    </row>
    <row r="52795" ht="14.25" customHeight="1" s="192">
      <c r="W52795" s="235" t="n"/>
      <c r="X52795" s="235" t="n"/>
    </row>
    <row r="52796" ht="14.25" customHeight="1" s="192">
      <c r="W52796" s="239" t="n"/>
      <c r="X52796" s="239" t="n"/>
    </row>
    <row r="52797" ht="14.25" customHeight="1" s="192">
      <c r="W52797" s="235" t="n"/>
      <c r="X52797" s="235" t="n"/>
    </row>
    <row r="52798" ht="14.25" customHeight="1" s="192">
      <c r="W52798" s="239" t="n"/>
      <c r="X52798" s="239" t="n"/>
    </row>
    <row r="52800" ht="14.25" customHeight="1" s="192">
      <c r="W52800" s="235" t="n"/>
      <c r="X52800" s="235" t="n"/>
    </row>
    <row r="52801" ht="15" customHeight="1" s="192" thickBot="1">
      <c r="W52801" s="239" t="n"/>
      <c r="X52801" s="239" t="n"/>
    </row>
    <row r="52802" ht="15" customHeight="1" s="192" thickBot="1">
      <c r="W52802" s="45" t="n"/>
      <c r="X52802" s="45" t="n"/>
    </row>
    <row r="52803" ht="14.25" customHeight="1" s="192">
      <c r="W52803" s="228" t="n"/>
      <c r="X52803" s="228" t="n"/>
    </row>
    <row r="52804" ht="14.25" customHeight="1" s="192">
      <c r="W52804" s="228" t="n"/>
      <c r="X52804" s="228" t="n"/>
    </row>
    <row r="52805" ht="14.25" customHeight="1" s="192">
      <c r="W52805" s="231" t="n"/>
      <c r="X52805" s="231" t="n"/>
    </row>
    <row r="52806" ht="14.25" customHeight="1" s="192">
      <c r="W52806" s="33" t="n"/>
      <c r="X52806" s="33" t="n"/>
    </row>
    <row r="52807" ht="14.25" customHeight="1" s="192">
      <c r="W52807" s="231" t="n"/>
      <c r="X52807" s="231" t="n"/>
    </row>
    <row r="52808" ht="14.25" customHeight="1" s="192">
      <c r="W52808" s="33" t="n"/>
      <c r="X52808" s="33" t="n"/>
    </row>
    <row r="52810" ht="14.25" customHeight="1" s="192">
      <c r="W52810" s="231" t="n"/>
      <c r="X52810" s="231" t="n"/>
    </row>
    <row r="52811" ht="14.25" customHeight="1" s="192">
      <c r="W52811" s="235" t="n"/>
      <c r="X52811" s="235" t="n"/>
    </row>
    <row r="52812" ht="14.25" customHeight="1" s="192">
      <c r="W52812" s="228" t="n"/>
      <c r="X52812" s="228" t="n"/>
    </row>
    <row r="52813" ht="14.25" customHeight="1" s="192">
      <c r="W52813" s="235" t="n"/>
      <c r="X52813" s="235" t="n"/>
    </row>
    <row r="52814" ht="14.25" customHeight="1" s="192">
      <c r="W52814" s="235" t="n"/>
      <c r="X52814" s="235" t="n"/>
    </row>
    <row r="52815" ht="14.25" customHeight="1" s="192">
      <c r="W52815" s="235" t="n"/>
      <c r="X52815" s="235" t="n"/>
    </row>
    <row r="52816" ht="14.25" customHeight="1" s="192">
      <c r="W52816" s="239" t="n"/>
      <c r="X52816" s="239" t="n"/>
    </row>
    <row r="52817" ht="14.25" customHeight="1" s="192">
      <c r="W52817" s="239" t="n"/>
      <c r="X52817" s="239" t="n"/>
    </row>
    <row r="52818" ht="14.25" customHeight="1" s="192">
      <c r="W52818" s="239" t="n"/>
      <c r="X52818" s="239" t="n"/>
    </row>
    <row r="52819" ht="14.25" customHeight="1" s="192">
      <c r="W52819" s="235" t="n"/>
      <c r="X52819" s="235" t="n"/>
    </row>
    <row r="52820" ht="14.25" customHeight="1" s="192">
      <c r="W52820" s="235" t="n"/>
      <c r="X52820" s="235" t="n"/>
    </row>
    <row r="52821" ht="14.25" customHeight="1" s="192">
      <c r="W52821" s="235" t="n"/>
      <c r="X52821" s="235" t="n"/>
    </row>
    <row r="52822" ht="14.25" customHeight="1" s="192">
      <c r="W52822" s="239" t="n"/>
      <c r="X52822" s="239" t="n"/>
    </row>
    <row r="52823" ht="14.25" customHeight="1" s="192">
      <c r="W52823" s="239" t="n"/>
      <c r="X52823" s="239" t="n"/>
    </row>
    <row r="52824" ht="14.25" customHeight="1" s="192">
      <c r="W52824" s="235" t="n"/>
      <c r="X52824" s="235" t="n"/>
    </row>
    <row r="52825" ht="14.25" customHeight="1" s="192">
      <c r="W52825" s="235" t="n"/>
      <c r="X52825" s="235" t="n"/>
    </row>
    <row r="52826" ht="14.25" customHeight="1" s="192">
      <c r="W52826" s="239" t="n"/>
      <c r="X52826" s="239" t="n"/>
    </row>
    <row r="52827" ht="14.25" customHeight="1" s="192">
      <c r="W52827" s="235" t="n"/>
      <c r="X52827" s="235" t="n"/>
    </row>
    <row r="52828" ht="14.25" customHeight="1" s="192">
      <c r="W52828" s="239" t="n"/>
      <c r="X52828" s="239" t="n"/>
    </row>
    <row r="52830" ht="14.25" customHeight="1" s="192">
      <c r="W52830" s="235" t="n"/>
      <c r="X52830" s="235" t="n"/>
    </row>
    <row r="52831" ht="15" customHeight="1" s="192" thickBot="1">
      <c r="W52831" s="239" t="n"/>
      <c r="X52831" s="239" t="n"/>
    </row>
    <row r="52832" ht="15" customHeight="1" s="192" thickBot="1">
      <c r="W52832" s="45" t="n"/>
      <c r="X52832" s="45" t="n"/>
    </row>
    <row r="52833" ht="14.25" customHeight="1" s="192">
      <c r="W52833" s="228" t="n"/>
      <c r="X52833" s="228" t="n"/>
    </row>
    <row r="52834" ht="14.25" customHeight="1" s="192">
      <c r="W52834" s="228" t="n"/>
      <c r="X52834" s="228" t="n"/>
    </row>
    <row r="52835" ht="14.25" customHeight="1" s="192">
      <c r="W52835" s="231" t="n"/>
      <c r="X52835" s="231" t="n"/>
    </row>
    <row r="52836" ht="14.25" customHeight="1" s="192">
      <c r="W52836" s="33" t="n"/>
      <c r="X52836" s="33" t="n"/>
    </row>
    <row r="52837" ht="14.25" customHeight="1" s="192">
      <c r="W52837" s="231" t="n"/>
      <c r="X52837" s="231" t="n"/>
    </row>
    <row r="52838" ht="14.25" customHeight="1" s="192">
      <c r="W52838" s="33" t="n"/>
      <c r="X52838" s="33" t="n"/>
    </row>
    <row r="52840" ht="14.25" customHeight="1" s="192">
      <c r="W52840" s="231" t="n"/>
      <c r="X52840" s="231" t="n"/>
    </row>
    <row r="52841" ht="14.25" customHeight="1" s="192">
      <c r="W52841" s="235" t="n"/>
      <c r="X52841" s="235" t="n"/>
    </row>
    <row r="52842" ht="14.25" customHeight="1" s="192">
      <c r="W52842" s="228" t="n"/>
      <c r="X52842" s="228" t="n"/>
    </row>
    <row r="52843" ht="14.25" customHeight="1" s="192">
      <c r="W52843" s="235" t="n"/>
      <c r="X52843" s="235" t="n"/>
    </row>
    <row r="52844" ht="14.25" customHeight="1" s="192">
      <c r="W52844" s="235" t="n"/>
      <c r="X52844" s="235" t="n"/>
    </row>
    <row r="52845" ht="14.25" customHeight="1" s="192">
      <c r="W52845" s="235" t="n"/>
      <c r="X52845" s="235" t="n"/>
    </row>
    <row r="52846" ht="14.25" customHeight="1" s="192">
      <c r="W52846" s="239" t="n"/>
      <c r="X52846" s="239" t="n"/>
    </row>
    <row r="52847" ht="14.25" customHeight="1" s="192">
      <c r="W52847" s="239" t="n"/>
      <c r="X52847" s="239" t="n"/>
    </row>
    <row r="52848" ht="14.25" customHeight="1" s="192">
      <c r="W52848" s="239" t="n"/>
      <c r="X52848" s="239" t="n"/>
    </row>
    <row r="52849" ht="14.25" customHeight="1" s="192">
      <c r="W52849" s="235" t="n"/>
      <c r="X52849" s="235" t="n"/>
    </row>
    <row r="52850" ht="14.25" customHeight="1" s="192">
      <c r="W52850" s="235" t="n"/>
      <c r="X52850" s="235" t="n"/>
    </row>
    <row r="52851" ht="14.25" customHeight="1" s="192">
      <c r="W52851" s="235" t="n"/>
      <c r="X52851" s="235" t="n"/>
    </row>
    <row r="52852" ht="14.25" customHeight="1" s="192">
      <c r="W52852" s="239" t="n"/>
      <c r="X52852" s="239" t="n"/>
    </row>
    <row r="52853" ht="14.25" customHeight="1" s="192">
      <c r="W52853" s="239" t="n"/>
      <c r="X52853" s="239" t="n"/>
    </row>
    <row r="52854" ht="14.25" customHeight="1" s="192">
      <c r="W52854" s="235" t="n"/>
      <c r="X52854" s="235" t="n"/>
    </row>
    <row r="52855" ht="14.25" customHeight="1" s="192">
      <c r="W52855" s="235" t="n"/>
      <c r="X52855" s="235" t="n"/>
    </row>
    <row r="52856" ht="14.25" customHeight="1" s="192">
      <c r="W52856" s="239" t="n"/>
      <c r="X52856" s="239" t="n"/>
    </row>
    <row r="52857" ht="14.25" customHeight="1" s="192">
      <c r="W52857" s="235" t="n"/>
      <c r="X52857" s="235" t="n"/>
    </row>
    <row r="52858" ht="14.25" customHeight="1" s="192">
      <c r="W52858" s="239" t="n"/>
      <c r="X52858" s="239" t="n"/>
    </row>
    <row r="52860" ht="14.25" customHeight="1" s="192">
      <c r="W52860" s="235" t="n"/>
      <c r="X52860" s="235" t="n"/>
    </row>
    <row r="52861" ht="15" customHeight="1" s="192" thickBot="1">
      <c r="W52861" s="239" t="n"/>
      <c r="X52861" s="239" t="n"/>
    </row>
    <row r="52862" ht="15" customHeight="1" s="192" thickBot="1">
      <c r="W52862" s="45" t="n"/>
      <c r="X52862" s="45" t="n"/>
    </row>
    <row r="52863" ht="14.25" customHeight="1" s="192">
      <c r="W52863" s="228" t="n"/>
      <c r="X52863" s="228" t="n"/>
    </row>
    <row r="52864" ht="14.25" customHeight="1" s="192">
      <c r="W52864" s="228" t="n"/>
      <c r="X52864" s="228" t="n"/>
    </row>
    <row r="52865" ht="14.25" customHeight="1" s="192">
      <c r="W52865" s="231" t="n"/>
      <c r="X52865" s="231" t="n"/>
    </row>
    <row r="52866" ht="14.25" customHeight="1" s="192">
      <c r="W52866" s="33" t="n"/>
      <c r="X52866" s="33" t="n"/>
    </row>
    <row r="52867" ht="14.25" customHeight="1" s="192">
      <c r="W52867" s="231" t="n"/>
      <c r="X52867" s="231" t="n"/>
    </row>
    <row r="52868" ht="14.25" customHeight="1" s="192">
      <c r="W52868" s="33" t="n"/>
      <c r="X52868" s="33" t="n"/>
    </row>
    <row r="52870" ht="14.25" customHeight="1" s="192">
      <c r="W52870" s="231" t="n"/>
      <c r="X52870" s="231" t="n"/>
    </row>
    <row r="52871" ht="14.25" customHeight="1" s="192">
      <c r="W52871" s="235" t="n"/>
      <c r="X52871" s="235" t="n"/>
    </row>
    <row r="52872" ht="14.25" customHeight="1" s="192">
      <c r="W52872" s="228" t="n"/>
      <c r="X52872" s="228" t="n"/>
    </row>
    <row r="52873" ht="14.25" customHeight="1" s="192">
      <c r="W52873" s="235" t="n"/>
      <c r="X52873" s="235" t="n"/>
    </row>
    <row r="52874" ht="14.25" customHeight="1" s="192">
      <c r="W52874" s="235" t="n"/>
      <c r="X52874" s="235" t="n"/>
    </row>
    <row r="52875" ht="14.25" customHeight="1" s="192">
      <c r="W52875" s="235" t="n"/>
      <c r="X52875" s="235" t="n"/>
    </row>
    <row r="52876" ht="14.25" customHeight="1" s="192">
      <c r="W52876" s="239" t="n"/>
      <c r="X52876" s="239" t="n"/>
    </row>
    <row r="52877" ht="14.25" customHeight="1" s="192">
      <c r="W52877" s="239" t="n"/>
      <c r="X52877" s="239" t="n"/>
    </row>
    <row r="52878" ht="14.25" customHeight="1" s="192">
      <c r="W52878" s="239" t="n"/>
      <c r="X52878" s="239" t="n"/>
    </row>
    <row r="52879" ht="14.25" customHeight="1" s="192">
      <c r="W52879" s="235" t="n"/>
      <c r="X52879" s="235" t="n"/>
    </row>
    <row r="52880" ht="14.25" customHeight="1" s="192">
      <c r="W52880" s="235" t="n"/>
      <c r="X52880" s="235" t="n"/>
    </row>
    <row r="52881" ht="14.25" customHeight="1" s="192">
      <c r="W52881" s="235" t="n"/>
      <c r="X52881" s="235" t="n"/>
    </row>
    <row r="52882" ht="14.25" customHeight="1" s="192">
      <c r="W52882" s="239" t="n"/>
      <c r="X52882" s="239" t="n"/>
    </row>
    <row r="52883" ht="14.25" customHeight="1" s="192">
      <c r="W52883" s="239" t="n"/>
      <c r="X52883" s="239" t="n"/>
    </row>
    <row r="52884" ht="14.25" customHeight="1" s="192">
      <c r="W52884" s="235" t="n"/>
      <c r="X52884" s="235" t="n"/>
    </row>
    <row r="52885" ht="14.25" customHeight="1" s="192">
      <c r="W52885" s="235" t="n"/>
      <c r="X52885" s="235" t="n"/>
    </row>
    <row r="52886" ht="14.25" customHeight="1" s="192">
      <c r="W52886" s="239" t="n"/>
      <c r="X52886" s="239" t="n"/>
    </row>
    <row r="52887" ht="14.25" customHeight="1" s="192">
      <c r="W52887" s="235" t="n"/>
      <c r="X52887" s="235" t="n"/>
    </row>
    <row r="52888" ht="14.25" customHeight="1" s="192">
      <c r="W52888" s="239" t="n"/>
      <c r="X52888" s="239" t="n"/>
    </row>
    <row r="52890" ht="14.25" customHeight="1" s="192">
      <c r="W52890" s="235" t="n"/>
      <c r="X52890" s="235" t="n"/>
    </row>
    <row r="52891" ht="15" customHeight="1" s="192" thickBot="1">
      <c r="W52891" s="239" t="n"/>
      <c r="X52891" s="239" t="n"/>
    </row>
    <row r="52892" ht="15" customHeight="1" s="192" thickBot="1">
      <c r="W52892" s="45" t="n"/>
      <c r="X52892" s="45" t="n"/>
    </row>
    <row r="52893" ht="14.25" customHeight="1" s="192">
      <c r="W52893" s="228" t="n"/>
      <c r="X52893" s="228" t="n"/>
    </row>
    <row r="52894" ht="14.25" customHeight="1" s="192">
      <c r="W52894" s="228" t="n"/>
      <c r="X52894" s="228" t="n"/>
    </row>
    <row r="52895" ht="14.25" customHeight="1" s="192">
      <c r="W52895" s="231" t="n"/>
      <c r="X52895" s="231" t="n"/>
    </row>
    <row r="52896" ht="14.25" customHeight="1" s="192">
      <c r="W52896" s="33" t="n"/>
      <c r="X52896" s="33" t="n"/>
    </row>
    <row r="52897" ht="14.25" customHeight="1" s="192">
      <c r="W52897" s="231" t="n"/>
      <c r="X52897" s="231" t="n"/>
    </row>
    <row r="52898" ht="14.25" customHeight="1" s="192">
      <c r="W52898" s="33" t="n"/>
      <c r="X52898" s="33" t="n"/>
    </row>
    <row r="52900" ht="14.25" customHeight="1" s="192">
      <c r="W52900" s="231" t="n"/>
      <c r="X52900" s="231" t="n"/>
    </row>
    <row r="52901" ht="14.25" customHeight="1" s="192">
      <c r="W52901" s="235" t="n"/>
      <c r="X52901" s="235" t="n"/>
    </row>
    <row r="52902" ht="14.25" customHeight="1" s="192">
      <c r="W52902" s="228" t="n"/>
      <c r="X52902" s="228" t="n"/>
    </row>
    <row r="52903" ht="14.25" customHeight="1" s="192">
      <c r="W52903" s="235" t="n"/>
      <c r="X52903" s="235" t="n"/>
    </row>
    <row r="52904" ht="14.25" customHeight="1" s="192">
      <c r="W52904" s="235" t="n"/>
      <c r="X52904" s="235" t="n"/>
    </row>
    <row r="52905" ht="14.25" customHeight="1" s="192">
      <c r="W52905" s="235" t="n"/>
      <c r="X52905" s="235" t="n"/>
    </row>
    <row r="52906" ht="14.25" customHeight="1" s="192">
      <c r="W52906" s="239" t="n"/>
      <c r="X52906" s="239" t="n"/>
    </row>
    <row r="52907" ht="14.25" customHeight="1" s="192">
      <c r="W52907" s="239" t="n"/>
      <c r="X52907" s="239" t="n"/>
    </row>
    <row r="52908" ht="14.25" customHeight="1" s="192">
      <c r="W52908" s="239" t="n"/>
      <c r="X52908" s="239" t="n"/>
    </row>
    <row r="52909" ht="14.25" customHeight="1" s="192">
      <c r="W52909" s="235" t="n"/>
      <c r="X52909" s="235" t="n"/>
    </row>
    <row r="52910" ht="14.25" customHeight="1" s="192">
      <c r="W52910" s="235" t="n"/>
      <c r="X52910" s="235" t="n"/>
    </row>
    <row r="52911" ht="14.25" customHeight="1" s="192">
      <c r="W52911" s="235" t="n"/>
      <c r="X52911" s="235" t="n"/>
    </row>
    <row r="52912" ht="14.25" customHeight="1" s="192">
      <c r="W52912" s="239" t="n"/>
      <c r="X52912" s="239" t="n"/>
    </row>
    <row r="52913" ht="14.25" customHeight="1" s="192">
      <c r="W52913" s="239" t="n"/>
      <c r="X52913" s="239" t="n"/>
    </row>
    <row r="52914" ht="14.25" customHeight="1" s="192">
      <c r="W52914" s="235" t="n"/>
      <c r="X52914" s="235" t="n"/>
    </row>
    <row r="52915" ht="14.25" customHeight="1" s="192">
      <c r="W52915" s="235" t="n"/>
      <c r="X52915" s="235" t="n"/>
    </row>
    <row r="52916" ht="14.25" customHeight="1" s="192">
      <c r="W52916" s="239" t="n"/>
      <c r="X52916" s="239" t="n"/>
    </row>
    <row r="52917" ht="14.25" customHeight="1" s="192">
      <c r="W52917" s="235" t="n"/>
      <c r="X52917" s="235" t="n"/>
    </row>
    <row r="52918" ht="14.25" customHeight="1" s="192">
      <c r="W52918" s="239" t="n"/>
      <c r="X52918" s="239" t="n"/>
    </row>
    <row r="52920" ht="14.25" customHeight="1" s="192">
      <c r="W52920" s="235" t="n"/>
      <c r="X52920" s="235" t="n"/>
    </row>
    <row r="52921" ht="15" customHeight="1" s="192" thickBot="1">
      <c r="W52921" s="239" t="n"/>
      <c r="X52921" s="239" t="n"/>
    </row>
    <row r="52922" ht="15" customHeight="1" s="192" thickBot="1">
      <c r="W52922" s="45" t="n"/>
      <c r="X52922" s="45" t="n"/>
    </row>
    <row r="52923" ht="14.25" customHeight="1" s="192">
      <c r="W52923" s="228" t="n"/>
      <c r="X52923" s="228" t="n"/>
    </row>
    <row r="52924" ht="14.25" customHeight="1" s="192">
      <c r="W52924" s="228" t="n"/>
      <c r="X52924" s="228" t="n"/>
    </row>
    <row r="52925" ht="14.25" customHeight="1" s="192">
      <c r="W52925" s="231" t="n"/>
      <c r="X52925" s="231" t="n"/>
    </row>
    <row r="52926" ht="14.25" customHeight="1" s="192">
      <c r="W52926" s="33" t="n"/>
      <c r="X52926" s="33" t="n"/>
    </row>
    <row r="52927" ht="14.25" customHeight="1" s="192">
      <c r="W52927" s="231" t="n"/>
      <c r="X52927" s="231" t="n"/>
    </row>
    <row r="52928" ht="14.25" customHeight="1" s="192">
      <c r="W52928" s="33" t="n"/>
      <c r="X52928" s="33" t="n"/>
    </row>
    <row r="52930" ht="14.25" customHeight="1" s="192">
      <c r="W52930" s="231" t="n"/>
      <c r="X52930" s="231" t="n"/>
    </row>
    <row r="52931" ht="14.25" customHeight="1" s="192">
      <c r="W52931" s="235" t="n"/>
      <c r="X52931" s="235" t="n"/>
    </row>
    <row r="52932" ht="14.25" customHeight="1" s="192">
      <c r="W52932" s="228" t="n"/>
      <c r="X52932" s="228" t="n"/>
    </row>
    <row r="52933" ht="14.25" customHeight="1" s="192">
      <c r="W52933" s="235" t="n"/>
      <c r="X52933" s="235" t="n"/>
    </row>
    <row r="52934" ht="14.25" customHeight="1" s="192">
      <c r="W52934" s="235" t="n"/>
      <c r="X52934" s="235" t="n"/>
    </row>
    <row r="52935" ht="14.25" customHeight="1" s="192">
      <c r="W52935" s="235" t="n"/>
      <c r="X52935" s="235" t="n"/>
    </row>
    <row r="52936" ht="14.25" customHeight="1" s="192">
      <c r="W52936" s="239" t="n"/>
      <c r="X52936" s="239" t="n"/>
    </row>
    <row r="52937" ht="14.25" customHeight="1" s="192">
      <c r="W52937" s="239" t="n"/>
      <c r="X52937" s="239" t="n"/>
    </row>
    <row r="52938" ht="14.25" customHeight="1" s="192">
      <c r="W52938" s="239" t="n"/>
      <c r="X52938" s="239" t="n"/>
    </row>
    <row r="52939" ht="14.25" customHeight="1" s="192">
      <c r="W52939" s="235" t="n"/>
      <c r="X52939" s="235" t="n"/>
    </row>
    <row r="52940" ht="14.25" customHeight="1" s="192">
      <c r="W52940" s="235" t="n"/>
      <c r="X52940" s="235" t="n"/>
    </row>
    <row r="52941" ht="14.25" customHeight="1" s="192">
      <c r="W52941" s="235" t="n"/>
      <c r="X52941" s="235" t="n"/>
    </row>
    <row r="52942" ht="14.25" customHeight="1" s="192">
      <c r="W52942" s="239" t="n"/>
      <c r="X52942" s="239" t="n"/>
    </row>
    <row r="52943" ht="14.25" customHeight="1" s="192">
      <c r="W52943" s="239" t="n"/>
      <c r="X52943" s="239" t="n"/>
    </row>
    <row r="52944" ht="14.25" customHeight="1" s="192">
      <c r="W52944" s="235" t="n"/>
      <c r="X52944" s="235" t="n"/>
    </row>
    <row r="52945" ht="14.25" customHeight="1" s="192">
      <c r="W52945" s="235" t="n"/>
      <c r="X52945" s="235" t="n"/>
    </row>
    <row r="52946" ht="14.25" customHeight="1" s="192">
      <c r="W52946" s="239" t="n"/>
      <c r="X52946" s="239" t="n"/>
    </row>
    <row r="52947" ht="14.25" customHeight="1" s="192">
      <c r="W52947" s="235" t="n"/>
      <c r="X52947" s="235" t="n"/>
    </row>
    <row r="52948" ht="14.25" customHeight="1" s="192">
      <c r="W52948" s="239" t="n"/>
      <c r="X52948" s="239" t="n"/>
    </row>
    <row r="52950" ht="14.25" customHeight="1" s="192">
      <c r="W52950" s="235" t="n"/>
      <c r="X52950" s="235" t="n"/>
    </row>
    <row r="52951" ht="15" customHeight="1" s="192" thickBot="1">
      <c r="W52951" s="239" t="n"/>
      <c r="X52951" s="239" t="n"/>
    </row>
    <row r="52952" ht="15" customHeight="1" s="192" thickBot="1">
      <c r="W52952" s="45" t="n"/>
      <c r="X52952" s="45" t="n"/>
    </row>
    <row r="52953" ht="14.25" customHeight="1" s="192">
      <c r="W52953" s="228" t="n"/>
      <c r="X52953" s="228" t="n"/>
    </row>
    <row r="52954" ht="14.25" customHeight="1" s="192">
      <c r="W52954" s="228" t="n"/>
      <c r="X52954" s="228" t="n"/>
    </row>
    <row r="52955" ht="14.25" customHeight="1" s="192">
      <c r="W52955" s="231" t="n"/>
      <c r="X52955" s="231" t="n"/>
    </row>
    <row r="52956" ht="14.25" customHeight="1" s="192">
      <c r="W52956" s="33" t="n"/>
      <c r="X52956" s="33" t="n"/>
    </row>
    <row r="52957" ht="14.25" customHeight="1" s="192">
      <c r="W52957" s="231" t="n"/>
      <c r="X52957" s="231" t="n"/>
    </row>
    <row r="52958" ht="14.25" customHeight="1" s="192">
      <c r="W52958" s="33" t="n"/>
      <c r="X52958" s="33" t="n"/>
    </row>
    <row r="52960" ht="14.25" customHeight="1" s="192">
      <c r="W52960" s="231" t="n"/>
      <c r="X52960" s="231" t="n"/>
    </row>
    <row r="52961" ht="14.25" customHeight="1" s="192">
      <c r="W52961" s="235" t="n"/>
      <c r="X52961" s="235" t="n"/>
    </row>
    <row r="52962" ht="14.25" customHeight="1" s="192">
      <c r="W52962" s="228" t="n"/>
      <c r="X52962" s="228" t="n"/>
    </row>
    <row r="52963" ht="14.25" customHeight="1" s="192">
      <c r="W52963" s="235" t="n"/>
      <c r="X52963" s="235" t="n"/>
    </row>
    <row r="52964" ht="14.25" customHeight="1" s="192">
      <c r="W52964" s="235" t="n"/>
      <c r="X52964" s="235" t="n"/>
    </row>
    <row r="52965" ht="14.25" customHeight="1" s="192">
      <c r="W52965" s="235" t="n"/>
      <c r="X52965" s="235" t="n"/>
    </row>
    <row r="52966" ht="14.25" customHeight="1" s="192">
      <c r="W52966" s="239" t="n"/>
      <c r="X52966" s="239" t="n"/>
    </row>
    <row r="52967" ht="14.25" customHeight="1" s="192">
      <c r="W52967" s="239" t="n"/>
      <c r="X52967" s="239" t="n"/>
    </row>
    <row r="52968" ht="14.25" customHeight="1" s="192">
      <c r="W52968" s="239" t="n"/>
      <c r="X52968" s="239" t="n"/>
    </row>
    <row r="52969" ht="14.25" customHeight="1" s="192">
      <c r="W52969" s="235" t="n"/>
      <c r="X52969" s="235" t="n"/>
    </row>
    <row r="52970" ht="14.25" customHeight="1" s="192">
      <c r="W52970" s="235" t="n"/>
      <c r="X52970" s="235" t="n"/>
    </row>
    <row r="52971" ht="14.25" customHeight="1" s="192">
      <c r="W52971" s="235" t="n"/>
      <c r="X52971" s="235" t="n"/>
    </row>
    <row r="52972" ht="14.25" customHeight="1" s="192">
      <c r="W52972" s="239" t="n"/>
      <c r="X52972" s="239" t="n"/>
    </row>
    <row r="52973" ht="14.25" customHeight="1" s="192">
      <c r="W52973" s="239" t="n"/>
      <c r="X52973" s="239" t="n"/>
    </row>
    <row r="52974" ht="14.25" customHeight="1" s="192">
      <c r="W52974" s="235" t="n"/>
      <c r="X52974" s="235" t="n"/>
    </row>
    <row r="52975" ht="14.25" customHeight="1" s="192">
      <c r="W52975" s="235" t="n"/>
      <c r="X52975" s="235" t="n"/>
    </row>
    <row r="52976" ht="14.25" customHeight="1" s="192">
      <c r="W52976" s="239" t="n"/>
      <c r="X52976" s="239" t="n"/>
    </row>
    <row r="52977" ht="14.25" customHeight="1" s="192">
      <c r="W52977" s="235" t="n"/>
      <c r="X52977" s="235" t="n"/>
    </row>
    <row r="52978" ht="14.25" customHeight="1" s="192">
      <c r="W52978" s="239" t="n"/>
      <c r="X52978" s="239" t="n"/>
    </row>
    <row r="52980" ht="14.25" customHeight="1" s="192">
      <c r="W52980" s="235" t="n"/>
      <c r="X52980" s="235" t="n"/>
    </row>
    <row r="52981" ht="15" customHeight="1" s="192" thickBot="1">
      <c r="W52981" s="239" t="n"/>
      <c r="X52981" s="239" t="n"/>
    </row>
    <row r="52982" ht="15" customHeight="1" s="192" thickBot="1">
      <c r="W52982" s="45" t="n"/>
      <c r="X52982" s="45" t="n"/>
    </row>
    <row r="52983" ht="14.25" customHeight="1" s="192">
      <c r="W52983" s="228" t="n"/>
      <c r="X52983" s="228" t="n"/>
    </row>
    <row r="52984" ht="14.25" customHeight="1" s="192">
      <c r="W52984" s="228" t="n"/>
      <c r="X52984" s="228" t="n"/>
    </row>
    <row r="52985" ht="14.25" customHeight="1" s="192">
      <c r="W52985" s="231" t="n"/>
      <c r="X52985" s="231" t="n"/>
    </row>
    <row r="52986" ht="14.25" customHeight="1" s="192">
      <c r="W52986" s="33" t="n"/>
      <c r="X52986" s="33" t="n"/>
    </row>
    <row r="52987" ht="14.25" customHeight="1" s="192">
      <c r="W52987" s="231" t="n"/>
      <c r="X52987" s="231" t="n"/>
    </row>
    <row r="52988" ht="14.25" customHeight="1" s="192">
      <c r="W52988" s="33" t="n"/>
      <c r="X52988" s="33" t="n"/>
    </row>
    <row r="52990" ht="14.25" customHeight="1" s="192">
      <c r="W52990" s="231" t="n"/>
      <c r="X52990" s="231" t="n"/>
    </row>
    <row r="52991" ht="14.25" customHeight="1" s="192">
      <c r="W52991" s="235" t="n"/>
      <c r="X52991" s="235" t="n"/>
    </row>
    <row r="52992" ht="14.25" customHeight="1" s="192">
      <c r="W52992" s="228" t="n"/>
      <c r="X52992" s="228" t="n"/>
    </row>
    <row r="52993" ht="14.25" customHeight="1" s="192">
      <c r="W52993" s="235" t="n"/>
      <c r="X52993" s="235" t="n"/>
    </row>
    <row r="52994" ht="14.25" customHeight="1" s="192">
      <c r="W52994" s="235" t="n"/>
      <c r="X52994" s="235" t="n"/>
    </row>
    <row r="52995" ht="14.25" customHeight="1" s="192">
      <c r="W52995" s="235" t="n"/>
      <c r="X52995" s="235" t="n"/>
    </row>
    <row r="52996" ht="14.25" customHeight="1" s="192">
      <c r="W52996" s="239" t="n"/>
      <c r="X52996" s="239" t="n"/>
    </row>
    <row r="52997" ht="14.25" customHeight="1" s="192">
      <c r="W52997" s="239" t="n"/>
      <c r="X52997" s="239" t="n"/>
    </row>
    <row r="52998" ht="14.25" customHeight="1" s="192">
      <c r="W52998" s="239" t="n"/>
      <c r="X52998" s="239" t="n"/>
    </row>
    <row r="52999" ht="14.25" customHeight="1" s="192">
      <c r="W52999" s="235" t="n"/>
      <c r="X52999" s="235" t="n"/>
    </row>
    <row r="53000" ht="14.25" customHeight="1" s="192">
      <c r="W53000" s="235" t="n"/>
      <c r="X53000" s="235" t="n"/>
    </row>
    <row r="53001" ht="14.25" customHeight="1" s="192">
      <c r="W53001" s="235" t="n"/>
      <c r="X53001" s="235" t="n"/>
    </row>
    <row r="53002" ht="14.25" customHeight="1" s="192">
      <c r="W53002" s="239" t="n"/>
      <c r="X53002" s="239" t="n"/>
    </row>
    <row r="53003" ht="14.25" customHeight="1" s="192">
      <c r="W53003" s="239" t="n"/>
      <c r="X53003" s="239" t="n"/>
    </row>
    <row r="53004" ht="14.25" customHeight="1" s="192">
      <c r="W53004" s="235" t="n"/>
      <c r="X53004" s="235" t="n"/>
    </row>
    <row r="53005" ht="14.25" customHeight="1" s="192">
      <c r="W53005" s="235" t="n"/>
      <c r="X53005" s="235" t="n"/>
    </row>
    <row r="53006" ht="14.25" customHeight="1" s="192">
      <c r="W53006" s="239" t="n"/>
      <c r="X53006" s="239" t="n"/>
    </row>
    <row r="53007" ht="14.25" customHeight="1" s="192">
      <c r="W53007" s="235" t="n"/>
      <c r="X53007" s="235" t="n"/>
    </row>
    <row r="53008" ht="14.25" customHeight="1" s="192">
      <c r="W53008" s="239" t="n"/>
      <c r="X53008" s="239" t="n"/>
    </row>
    <row r="53010" ht="14.25" customHeight="1" s="192">
      <c r="W53010" s="235" t="n"/>
      <c r="X53010" s="235" t="n"/>
    </row>
    <row r="53011" ht="15" customHeight="1" s="192" thickBot="1">
      <c r="W53011" s="239" t="n"/>
      <c r="X53011" s="239" t="n"/>
    </row>
    <row r="53012" ht="15" customHeight="1" s="192" thickBot="1">
      <c r="W53012" s="45" t="n"/>
      <c r="X53012" s="45" t="n"/>
    </row>
    <row r="53013" ht="14.25" customHeight="1" s="192">
      <c r="W53013" s="228" t="n"/>
      <c r="X53013" s="228" t="n"/>
    </row>
    <row r="53014" ht="14.25" customHeight="1" s="192">
      <c r="W53014" s="228" t="n"/>
      <c r="X53014" s="228" t="n"/>
    </row>
    <row r="53015" ht="14.25" customHeight="1" s="192">
      <c r="W53015" s="231" t="n"/>
      <c r="X53015" s="231" t="n"/>
    </row>
    <row r="53016" ht="14.25" customHeight="1" s="192">
      <c r="W53016" s="33" t="n"/>
      <c r="X53016" s="33" t="n"/>
    </row>
    <row r="53017" ht="14.25" customHeight="1" s="192">
      <c r="W53017" s="231" t="n"/>
      <c r="X53017" s="231" t="n"/>
    </row>
    <row r="53018" ht="14.25" customHeight="1" s="192">
      <c r="W53018" s="33" t="n"/>
      <c r="X53018" s="33" t="n"/>
    </row>
    <row r="53020" ht="14.25" customHeight="1" s="192">
      <c r="W53020" s="231" t="n"/>
      <c r="X53020" s="231" t="n"/>
    </row>
    <row r="53021" ht="14.25" customHeight="1" s="192">
      <c r="W53021" s="235" t="n"/>
      <c r="X53021" s="235" t="n"/>
    </row>
    <row r="53022" ht="14.25" customHeight="1" s="192">
      <c r="W53022" s="228" t="n"/>
      <c r="X53022" s="228" t="n"/>
    </row>
    <row r="53023" ht="14.25" customHeight="1" s="192">
      <c r="W53023" s="235" t="n"/>
      <c r="X53023" s="235" t="n"/>
    </row>
    <row r="53024" ht="14.25" customHeight="1" s="192">
      <c r="W53024" s="235" t="n"/>
      <c r="X53024" s="235" t="n"/>
    </row>
    <row r="53025" ht="14.25" customHeight="1" s="192">
      <c r="W53025" s="235" t="n"/>
      <c r="X53025" s="235" t="n"/>
    </row>
    <row r="53026" ht="14.25" customHeight="1" s="192">
      <c r="W53026" s="239" t="n"/>
      <c r="X53026" s="239" t="n"/>
    </row>
    <row r="53027" ht="14.25" customHeight="1" s="192">
      <c r="W53027" s="239" t="n"/>
      <c r="X53027" s="239" t="n"/>
    </row>
    <row r="53028" ht="14.25" customHeight="1" s="192">
      <c r="W53028" s="239" t="n"/>
      <c r="X53028" s="239" t="n"/>
    </row>
    <row r="53029" ht="14.25" customHeight="1" s="192">
      <c r="W53029" s="235" t="n"/>
      <c r="X53029" s="235" t="n"/>
    </row>
    <row r="53030" ht="14.25" customHeight="1" s="192">
      <c r="W53030" s="235" t="n"/>
      <c r="X53030" s="235" t="n"/>
    </row>
    <row r="53031" ht="14.25" customHeight="1" s="192">
      <c r="W53031" s="235" t="n"/>
      <c r="X53031" s="235" t="n"/>
    </row>
    <row r="53032" ht="14.25" customHeight="1" s="192">
      <c r="W53032" s="239" t="n"/>
      <c r="X53032" s="239" t="n"/>
    </row>
    <row r="53033" ht="14.25" customHeight="1" s="192">
      <c r="W53033" s="239" t="n"/>
      <c r="X53033" s="239" t="n"/>
    </row>
    <row r="53034" ht="14.25" customHeight="1" s="192">
      <c r="W53034" s="235" t="n"/>
      <c r="X53034" s="235" t="n"/>
    </row>
    <row r="53035" ht="14.25" customHeight="1" s="192">
      <c r="W53035" s="235" t="n"/>
      <c r="X53035" s="235" t="n"/>
    </row>
    <row r="53036" ht="14.25" customHeight="1" s="192">
      <c r="W53036" s="239" t="n"/>
      <c r="X53036" s="239" t="n"/>
    </row>
    <row r="53037" ht="14.25" customHeight="1" s="192">
      <c r="W53037" s="235" t="n"/>
      <c r="X53037" s="235" t="n"/>
    </row>
    <row r="53038" ht="14.25" customHeight="1" s="192">
      <c r="W53038" s="239" t="n"/>
      <c r="X53038" s="239" t="n"/>
    </row>
    <row r="53040" ht="14.25" customHeight="1" s="192">
      <c r="W53040" s="235" t="n"/>
      <c r="X53040" s="235" t="n"/>
    </row>
    <row r="53041" ht="15" customHeight="1" s="192" thickBot="1">
      <c r="W53041" s="239" t="n"/>
      <c r="X53041" s="239" t="n"/>
    </row>
    <row r="53042" ht="15" customHeight="1" s="192" thickBot="1">
      <c r="W53042" s="45" t="n"/>
      <c r="X53042" s="45" t="n"/>
    </row>
    <row r="53043" ht="14.25" customHeight="1" s="192">
      <c r="W53043" s="228" t="n"/>
      <c r="X53043" s="228" t="n"/>
    </row>
    <row r="53044" ht="14.25" customHeight="1" s="192">
      <c r="W53044" s="228" t="n"/>
      <c r="X53044" s="228" t="n"/>
    </row>
    <row r="53045" ht="14.25" customHeight="1" s="192">
      <c r="W53045" s="231" t="n"/>
      <c r="X53045" s="231" t="n"/>
    </row>
    <row r="53046" ht="14.25" customHeight="1" s="192">
      <c r="W53046" s="33" t="n"/>
      <c r="X53046" s="33" t="n"/>
    </row>
    <row r="53047" ht="14.25" customHeight="1" s="192">
      <c r="W53047" s="231" t="n"/>
      <c r="X53047" s="231" t="n"/>
    </row>
    <row r="53048" ht="14.25" customHeight="1" s="192">
      <c r="W53048" s="33" t="n"/>
      <c r="X53048" s="33" t="n"/>
    </row>
    <row r="53050" ht="14.25" customHeight="1" s="192">
      <c r="W53050" s="231" t="n"/>
      <c r="X53050" s="231" t="n"/>
    </row>
    <row r="53051" ht="14.25" customHeight="1" s="192">
      <c r="W53051" s="235" t="n"/>
      <c r="X53051" s="235" t="n"/>
    </row>
    <row r="53052" ht="14.25" customHeight="1" s="192">
      <c r="W53052" s="228" t="n"/>
      <c r="X53052" s="228" t="n"/>
    </row>
    <row r="53053" ht="14.25" customHeight="1" s="192">
      <c r="W53053" s="235" t="n"/>
      <c r="X53053" s="235" t="n"/>
    </row>
    <row r="53054" ht="14.25" customHeight="1" s="192">
      <c r="W53054" s="235" t="n"/>
      <c r="X53054" s="235" t="n"/>
    </row>
    <row r="53055" ht="14.25" customHeight="1" s="192">
      <c r="W53055" s="235" t="n"/>
      <c r="X53055" s="235" t="n"/>
    </row>
    <row r="53056" ht="14.25" customHeight="1" s="192">
      <c r="W53056" s="239" t="n"/>
      <c r="X53056" s="239" t="n"/>
    </row>
    <row r="53057" ht="14.25" customHeight="1" s="192">
      <c r="W53057" s="239" t="n"/>
      <c r="X53057" s="239" t="n"/>
    </row>
    <row r="53058" ht="14.25" customHeight="1" s="192">
      <c r="W53058" s="239" t="n"/>
      <c r="X53058" s="239" t="n"/>
    </row>
    <row r="53059" ht="14.25" customHeight="1" s="192">
      <c r="W53059" s="235" t="n"/>
      <c r="X53059" s="235" t="n"/>
    </row>
    <row r="53060" ht="14.25" customHeight="1" s="192">
      <c r="W53060" s="235" t="n"/>
      <c r="X53060" s="235" t="n"/>
    </row>
    <row r="53061" ht="14.25" customHeight="1" s="192">
      <c r="W53061" s="235" t="n"/>
      <c r="X53061" s="235" t="n"/>
    </row>
    <row r="53062" ht="14.25" customHeight="1" s="192">
      <c r="W53062" s="239" t="n"/>
      <c r="X53062" s="239" t="n"/>
    </row>
    <row r="53063" ht="14.25" customHeight="1" s="192">
      <c r="W53063" s="239" t="n"/>
      <c r="X53063" s="239" t="n"/>
    </row>
    <row r="53064" ht="14.25" customHeight="1" s="192">
      <c r="W53064" s="235" t="n"/>
      <c r="X53064" s="235" t="n"/>
    </row>
    <row r="53065" ht="14.25" customHeight="1" s="192">
      <c r="W53065" s="235" t="n"/>
      <c r="X53065" s="235" t="n"/>
    </row>
    <row r="53066" ht="14.25" customHeight="1" s="192">
      <c r="W53066" s="239" t="n"/>
      <c r="X53066" s="239" t="n"/>
    </row>
    <row r="53067" ht="14.25" customHeight="1" s="192">
      <c r="W53067" s="235" t="n"/>
      <c r="X53067" s="235" t="n"/>
    </row>
    <row r="53068" ht="14.25" customHeight="1" s="192">
      <c r="W53068" s="239" t="n"/>
      <c r="X53068" s="239" t="n"/>
    </row>
    <row r="53070" ht="14.25" customHeight="1" s="192">
      <c r="W53070" s="235" t="n"/>
      <c r="X53070" s="235" t="n"/>
    </row>
    <row r="53071" ht="15" customHeight="1" s="192" thickBot="1">
      <c r="W53071" s="239" t="n"/>
      <c r="X53071" s="239" t="n"/>
    </row>
    <row r="53072" ht="15" customHeight="1" s="192" thickBot="1">
      <c r="W53072" s="45" t="n"/>
      <c r="X53072" s="45" t="n"/>
    </row>
    <row r="53073" ht="14.25" customHeight="1" s="192">
      <c r="W53073" s="228" t="n"/>
      <c r="X53073" s="228" t="n"/>
    </row>
    <row r="53074" ht="14.25" customHeight="1" s="192">
      <c r="W53074" s="228" t="n"/>
      <c r="X53074" s="228" t="n"/>
    </row>
    <row r="53075" ht="14.25" customHeight="1" s="192">
      <c r="W53075" s="231" t="n"/>
      <c r="X53075" s="231" t="n"/>
    </row>
    <row r="53076" ht="14.25" customHeight="1" s="192">
      <c r="W53076" s="33" t="n"/>
      <c r="X53076" s="33" t="n"/>
    </row>
    <row r="53077" ht="14.25" customHeight="1" s="192">
      <c r="W53077" s="231" t="n"/>
      <c r="X53077" s="231" t="n"/>
    </row>
    <row r="53078" ht="14.25" customHeight="1" s="192">
      <c r="W53078" s="33" t="n"/>
      <c r="X53078" s="33" t="n"/>
    </row>
    <row r="53080" ht="14.25" customHeight="1" s="192">
      <c r="W53080" s="231" t="n"/>
      <c r="X53080" s="231" t="n"/>
    </row>
    <row r="53081" ht="14.25" customHeight="1" s="192">
      <c r="W53081" s="235" t="n"/>
      <c r="X53081" s="235" t="n"/>
    </row>
    <row r="53082" ht="14.25" customHeight="1" s="192">
      <c r="W53082" s="228" t="n"/>
      <c r="X53082" s="228" t="n"/>
    </row>
    <row r="53083" ht="14.25" customHeight="1" s="192">
      <c r="W53083" s="235" t="n"/>
      <c r="X53083" s="235" t="n"/>
    </row>
    <row r="53084" ht="14.25" customHeight="1" s="192">
      <c r="W53084" s="235" t="n"/>
      <c r="X53084" s="235" t="n"/>
    </row>
    <row r="53085" ht="14.25" customHeight="1" s="192">
      <c r="W53085" s="235" t="n"/>
      <c r="X53085" s="235" t="n"/>
    </row>
    <row r="53086" ht="14.25" customHeight="1" s="192">
      <c r="W53086" s="239" t="n"/>
      <c r="X53086" s="239" t="n"/>
    </row>
    <row r="53087" ht="14.25" customHeight="1" s="192">
      <c r="W53087" s="239" t="n"/>
      <c r="X53087" s="239" t="n"/>
    </row>
    <row r="53088" ht="14.25" customHeight="1" s="192">
      <c r="W53088" s="239" t="n"/>
      <c r="X53088" s="239" t="n"/>
    </row>
    <row r="53089" ht="14.25" customHeight="1" s="192">
      <c r="W53089" s="235" t="n"/>
      <c r="X53089" s="235" t="n"/>
    </row>
    <row r="53090" ht="14.25" customHeight="1" s="192">
      <c r="W53090" s="235" t="n"/>
      <c r="X53090" s="235" t="n"/>
    </row>
    <row r="53091" ht="14.25" customHeight="1" s="192">
      <c r="W53091" s="235" t="n"/>
      <c r="X53091" s="235" t="n"/>
    </row>
    <row r="53092" ht="14.25" customHeight="1" s="192">
      <c r="W53092" s="239" t="n"/>
      <c r="X53092" s="239" t="n"/>
    </row>
    <row r="53093" ht="14.25" customHeight="1" s="192">
      <c r="W53093" s="239" t="n"/>
      <c r="X53093" s="239" t="n"/>
    </row>
    <row r="53094" ht="14.25" customHeight="1" s="192">
      <c r="W53094" s="235" t="n"/>
      <c r="X53094" s="235" t="n"/>
    </row>
    <row r="53095" ht="14.25" customHeight="1" s="192">
      <c r="W53095" s="235" t="n"/>
      <c r="X53095" s="235" t="n"/>
    </row>
    <row r="53096" ht="14.25" customHeight="1" s="192">
      <c r="W53096" s="239" t="n"/>
      <c r="X53096" s="239" t="n"/>
    </row>
    <row r="53097" ht="14.25" customHeight="1" s="192">
      <c r="W53097" s="235" t="n"/>
      <c r="X53097" s="235" t="n"/>
    </row>
    <row r="53098" ht="14.25" customHeight="1" s="192">
      <c r="W53098" s="239" t="n"/>
      <c r="X53098" s="239" t="n"/>
    </row>
    <row r="53100" ht="14.25" customHeight="1" s="192">
      <c r="W53100" s="235" t="n"/>
      <c r="X53100" s="235" t="n"/>
    </row>
    <row r="53101" ht="15" customHeight="1" s="192" thickBot="1">
      <c r="W53101" s="239" t="n"/>
      <c r="X53101" s="239" t="n"/>
    </row>
    <row r="53102" ht="15" customHeight="1" s="192" thickBot="1">
      <c r="W53102" s="45" t="n"/>
      <c r="X53102" s="45" t="n"/>
    </row>
    <row r="53103" ht="14.25" customHeight="1" s="192">
      <c r="W53103" s="228" t="n"/>
      <c r="X53103" s="228" t="n"/>
    </row>
    <row r="53104" ht="14.25" customHeight="1" s="192">
      <c r="W53104" s="228" t="n"/>
      <c r="X53104" s="228" t="n"/>
    </row>
    <row r="53105" ht="14.25" customHeight="1" s="192">
      <c r="W53105" s="231" t="n"/>
      <c r="X53105" s="231" t="n"/>
    </row>
    <row r="53106" ht="14.25" customHeight="1" s="192">
      <c r="W53106" s="33" t="n"/>
      <c r="X53106" s="33" t="n"/>
    </row>
    <row r="53107" ht="14.25" customHeight="1" s="192">
      <c r="W53107" s="231" t="n"/>
      <c r="X53107" s="231" t="n"/>
    </row>
    <row r="53108" ht="14.25" customHeight="1" s="192">
      <c r="W53108" s="33" t="n"/>
      <c r="X53108" s="33" t="n"/>
    </row>
    <row r="53110" ht="14.25" customHeight="1" s="192">
      <c r="W53110" s="231" t="n"/>
      <c r="X53110" s="231" t="n"/>
    </row>
    <row r="53111" ht="14.25" customHeight="1" s="192">
      <c r="W53111" s="235" t="n"/>
      <c r="X53111" s="235" t="n"/>
    </row>
    <row r="53112" ht="14.25" customHeight="1" s="192">
      <c r="W53112" s="228" t="n"/>
      <c r="X53112" s="228" t="n"/>
    </row>
    <row r="53113" ht="14.25" customHeight="1" s="192">
      <c r="W53113" s="235" t="n"/>
      <c r="X53113" s="235" t="n"/>
    </row>
    <row r="53114" ht="14.25" customHeight="1" s="192">
      <c r="W53114" s="235" t="n"/>
      <c r="X53114" s="235" t="n"/>
    </row>
    <row r="53115" ht="14.25" customHeight="1" s="192">
      <c r="W53115" s="235" t="n"/>
      <c r="X53115" s="235" t="n"/>
    </row>
    <row r="53116" ht="14.25" customHeight="1" s="192">
      <c r="W53116" s="239" t="n"/>
      <c r="X53116" s="239" t="n"/>
    </row>
    <row r="53117" ht="14.25" customHeight="1" s="192">
      <c r="W53117" s="239" t="n"/>
      <c r="X53117" s="239" t="n"/>
    </row>
    <row r="53118" ht="14.25" customHeight="1" s="192">
      <c r="W53118" s="239" t="n"/>
      <c r="X53118" s="239" t="n"/>
    </row>
    <row r="53119" ht="14.25" customHeight="1" s="192">
      <c r="W53119" s="235" t="n"/>
      <c r="X53119" s="235" t="n"/>
    </row>
    <row r="53120" ht="14.25" customHeight="1" s="192">
      <c r="W53120" s="235" t="n"/>
      <c r="X53120" s="235" t="n"/>
    </row>
    <row r="53121" ht="14.25" customHeight="1" s="192">
      <c r="W53121" s="235" t="n"/>
      <c r="X53121" s="235" t="n"/>
    </row>
    <row r="53122" ht="14.25" customHeight="1" s="192">
      <c r="W53122" s="239" t="n"/>
      <c r="X53122" s="239" t="n"/>
    </row>
    <row r="53123" ht="14.25" customHeight="1" s="192">
      <c r="W53123" s="239" t="n"/>
      <c r="X53123" s="239" t="n"/>
    </row>
    <row r="53124" ht="14.25" customHeight="1" s="192">
      <c r="W53124" s="235" t="n"/>
      <c r="X53124" s="235" t="n"/>
    </row>
    <row r="53125" ht="14.25" customHeight="1" s="192">
      <c r="W53125" s="235" t="n"/>
      <c r="X53125" s="235" t="n"/>
    </row>
    <row r="53126" ht="14.25" customHeight="1" s="192">
      <c r="W53126" s="239" t="n"/>
      <c r="X53126" s="239" t="n"/>
    </row>
    <row r="53127" ht="14.25" customHeight="1" s="192">
      <c r="W53127" s="235" t="n"/>
      <c r="X53127" s="235" t="n"/>
    </row>
    <row r="53128" ht="14.25" customHeight="1" s="192">
      <c r="W53128" s="239" t="n"/>
      <c r="X53128" s="239" t="n"/>
    </row>
    <row r="53130" ht="14.25" customHeight="1" s="192">
      <c r="W53130" s="235" t="n"/>
      <c r="X53130" s="235" t="n"/>
    </row>
    <row r="53131" ht="15" customHeight="1" s="192" thickBot="1">
      <c r="W53131" s="239" t="n"/>
      <c r="X53131" s="239" t="n"/>
    </row>
    <row r="53132" ht="15" customHeight="1" s="192" thickBot="1">
      <c r="W53132" s="45" t="n"/>
      <c r="X53132" s="45" t="n"/>
    </row>
    <row r="53133" ht="14.25" customHeight="1" s="192">
      <c r="W53133" s="228" t="n"/>
      <c r="X53133" s="228" t="n"/>
    </row>
    <row r="53134" ht="14.25" customHeight="1" s="192">
      <c r="W53134" s="228" t="n"/>
      <c r="X53134" s="228" t="n"/>
    </row>
    <row r="53135" ht="14.25" customHeight="1" s="192">
      <c r="W53135" s="231" t="n"/>
      <c r="X53135" s="231" t="n"/>
    </row>
    <row r="53136" ht="14.25" customHeight="1" s="192">
      <c r="W53136" s="33" t="n"/>
      <c r="X53136" s="33" t="n"/>
    </row>
    <row r="53137" ht="14.25" customHeight="1" s="192">
      <c r="W53137" s="231" t="n"/>
      <c r="X53137" s="231" t="n"/>
    </row>
    <row r="53138" ht="14.25" customHeight="1" s="192">
      <c r="W53138" s="33" t="n"/>
      <c r="X53138" s="33" t="n"/>
    </row>
    <row r="53140" ht="14.25" customHeight="1" s="192">
      <c r="W53140" s="231" t="n"/>
      <c r="X53140" s="231" t="n"/>
    </row>
    <row r="53141" ht="14.25" customHeight="1" s="192">
      <c r="W53141" s="235" t="n"/>
      <c r="X53141" s="235" t="n"/>
    </row>
    <row r="53142" ht="14.25" customHeight="1" s="192">
      <c r="W53142" s="228" t="n"/>
      <c r="X53142" s="228" t="n"/>
    </row>
    <row r="53143" ht="14.25" customHeight="1" s="192">
      <c r="W53143" s="235" t="n"/>
      <c r="X53143" s="235" t="n"/>
    </row>
    <row r="53144" ht="14.25" customHeight="1" s="192">
      <c r="W53144" s="235" t="n"/>
      <c r="X53144" s="235" t="n"/>
    </row>
    <row r="53145" ht="14.25" customHeight="1" s="192">
      <c r="W53145" s="235" t="n"/>
      <c r="X53145" s="235" t="n"/>
    </row>
    <row r="53146" ht="14.25" customHeight="1" s="192">
      <c r="W53146" s="239" t="n"/>
      <c r="X53146" s="239" t="n"/>
    </row>
    <row r="53147" ht="14.25" customHeight="1" s="192">
      <c r="W53147" s="239" t="n"/>
      <c r="X53147" s="239" t="n"/>
    </row>
    <row r="53148" ht="14.25" customHeight="1" s="192">
      <c r="W53148" s="239" t="n"/>
      <c r="X53148" s="239" t="n"/>
    </row>
    <row r="53149" ht="14.25" customHeight="1" s="192">
      <c r="W53149" s="235" t="n"/>
      <c r="X53149" s="235" t="n"/>
    </row>
    <row r="53150" ht="14.25" customHeight="1" s="192">
      <c r="W53150" s="235" t="n"/>
      <c r="X53150" s="235" t="n"/>
    </row>
    <row r="53151" ht="14.25" customHeight="1" s="192">
      <c r="W53151" s="235" t="n"/>
      <c r="X53151" s="235" t="n"/>
    </row>
    <row r="53152" ht="14.25" customHeight="1" s="192">
      <c r="W53152" s="239" t="n"/>
      <c r="X53152" s="239" t="n"/>
    </row>
    <row r="53153" ht="14.25" customHeight="1" s="192">
      <c r="W53153" s="239" t="n"/>
      <c r="X53153" s="239" t="n"/>
    </row>
    <row r="53154" ht="14.25" customHeight="1" s="192">
      <c r="W53154" s="235" t="n"/>
      <c r="X53154" s="235" t="n"/>
    </row>
    <row r="53155" ht="14.25" customHeight="1" s="192">
      <c r="W53155" s="235" t="n"/>
      <c r="X53155" s="235" t="n"/>
    </row>
    <row r="53156" ht="14.25" customHeight="1" s="192">
      <c r="W53156" s="239" t="n"/>
      <c r="X53156" s="239" t="n"/>
    </row>
    <row r="53157" ht="14.25" customHeight="1" s="192">
      <c r="W53157" s="235" t="n"/>
      <c r="X53157" s="235" t="n"/>
    </row>
    <row r="53158" ht="14.25" customHeight="1" s="192">
      <c r="W53158" s="239" t="n"/>
      <c r="X53158" s="239" t="n"/>
    </row>
    <row r="53160" ht="14.25" customHeight="1" s="192">
      <c r="W53160" s="235" t="n"/>
      <c r="X53160" s="235" t="n"/>
    </row>
    <row r="53161" ht="15" customHeight="1" s="192" thickBot="1">
      <c r="W53161" s="239" t="n"/>
      <c r="X53161" s="239" t="n"/>
    </row>
    <row r="53162" ht="15" customHeight="1" s="192" thickBot="1">
      <c r="W53162" s="45" t="n"/>
      <c r="X53162" s="45" t="n"/>
    </row>
    <row r="53163" ht="14.25" customHeight="1" s="192">
      <c r="W53163" s="228" t="n"/>
      <c r="X53163" s="228" t="n"/>
    </row>
    <row r="53164" ht="14.25" customHeight="1" s="192">
      <c r="W53164" s="228" t="n"/>
      <c r="X53164" s="228" t="n"/>
    </row>
    <row r="53165" ht="14.25" customHeight="1" s="192">
      <c r="W53165" s="231" t="n"/>
      <c r="X53165" s="231" t="n"/>
    </row>
    <row r="53166" ht="14.25" customHeight="1" s="192">
      <c r="W53166" s="33" t="n"/>
      <c r="X53166" s="33" t="n"/>
    </row>
    <row r="53167" ht="14.25" customHeight="1" s="192">
      <c r="W53167" s="231" t="n"/>
      <c r="X53167" s="231" t="n"/>
    </row>
    <row r="53168" ht="14.25" customHeight="1" s="192">
      <c r="W53168" s="33" t="n"/>
      <c r="X53168" s="33" t="n"/>
    </row>
    <row r="53170" ht="14.25" customHeight="1" s="192">
      <c r="W53170" s="231" t="n"/>
      <c r="X53170" s="231" t="n"/>
    </row>
    <row r="53171" ht="14.25" customHeight="1" s="192">
      <c r="W53171" s="235" t="n"/>
      <c r="X53171" s="235" t="n"/>
    </row>
    <row r="53172" ht="14.25" customHeight="1" s="192">
      <c r="W53172" s="228" t="n"/>
      <c r="X53172" s="228" t="n"/>
    </row>
    <row r="53173" ht="14.25" customHeight="1" s="192">
      <c r="W53173" s="235" t="n"/>
      <c r="X53173" s="235" t="n"/>
    </row>
    <row r="53174" ht="14.25" customHeight="1" s="192">
      <c r="W53174" s="235" t="n"/>
      <c r="X53174" s="235" t="n"/>
    </row>
    <row r="53175" ht="14.25" customHeight="1" s="192">
      <c r="W53175" s="235" t="n"/>
      <c r="X53175" s="235" t="n"/>
    </row>
    <row r="53176" ht="14.25" customHeight="1" s="192">
      <c r="W53176" s="239" t="n"/>
      <c r="X53176" s="239" t="n"/>
    </row>
    <row r="53177" ht="14.25" customHeight="1" s="192">
      <c r="W53177" s="239" t="n"/>
      <c r="X53177" s="239" t="n"/>
    </row>
    <row r="53178" ht="14.25" customHeight="1" s="192">
      <c r="W53178" s="239" t="n"/>
      <c r="X53178" s="239" t="n"/>
    </row>
    <row r="53179" ht="14.25" customHeight="1" s="192">
      <c r="W53179" s="235" t="n"/>
      <c r="X53179" s="235" t="n"/>
    </row>
    <row r="53180" ht="14.25" customHeight="1" s="192">
      <c r="W53180" s="235" t="n"/>
      <c r="X53180" s="235" t="n"/>
    </row>
    <row r="53181" ht="14.25" customHeight="1" s="192">
      <c r="W53181" s="235" t="n"/>
      <c r="X53181" s="235" t="n"/>
    </row>
    <row r="53182" ht="14.25" customHeight="1" s="192">
      <c r="W53182" s="239" t="n"/>
      <c r="X53182" s="239" t="n"/>
    </row>
    <row r="53183" ht="14.25" customHeight="1" s="192">
      <c r="W53183" s="239" t="n"/>
      <c r="X53183" s="239" t="n"/>
    </row>
    <row r="53184" ht="14.25" customHeight="1" s="192">
      <c r="W53184" s="235" t="n"/>
      <c r="X53184" s="235" t="n"/>
    </row>
    <row r="53185" ht="14.25" customHeight="1" s="192">
      <c r="W53185" s="235" t="n"/>
      <c r="X53185" s="235" t="n"/>
    </row>
    <row r="53186" ht="14.25" customHeight="1" s="192">
      <c r="W53186" s="239" t="n"/>
      <c r="X53186" s="239" t="n"/>
    </row>
    <row r="53187" ht="14.25" customHeight="1" s="192">
      <c r="W53187" s="235" t="n"/>
      <c r="X53187" s="235" t="n"/>
    </row>
    <row r="53188" ht="14.25" customHeight="1" s="192">
      <c r="W53188" s="239" t="n"/>
      <c r="X53188" s="239" t="n"/>
    </row>
    <row r="53190" ht="14.25" customHeight="1" s="192">
      <c r="W53190" s="235" t="n"/>
      <c r="X53190" s="235" t="n"/>
    </row>
    <row r="53191" ht="15" customHeight="1" s="192" thickBot="1">
      <c r="W53191" s="239" t="n"/>
      <c r="X53191" s="239" t="n"/>
    </row>
    <row r="53192" ht="15" customHeight="1" s="192" thickBot="1">
      <c r="W53192" s="45" t="n"/>
      <c r="X53192" s="45" t="n"/>
    </row>
    <row r="53193" ht="14.25" customHeight="1" s="192">
      <c r="W53193" s="228" t="n"/>
      <c r="X53193" s="228" t="n"/>
    </row>
    <row r="53194" ht="14.25" customHeight="1" s="192">
      <c r="W53194" s="228" t="n"/>
      <c r="X53194" s="228" t="n"/>
    </row>
    <row r="53195" ht="14.25" customHeight="1" s="192">
      <c r="W53195" s="231" t="n"/>
      <c r="X53195" s="231" t="n"/>
    </row>
    <row r="53196" ht="14.25" customHeight="1" s="192">
      <c r="W53196" s="33" t="n"/>
      <c r="X53196" s="33" t="n"/>
    </row>
    <row r="53197" ht="14.25" customHeight="1" s="192">
      <c r="W53197" s="231" t="n"/>
      <c r="X53197" s="231" t="n"/>
    </row>
    <row r="53198" ht="14.25" customHeight="1" s="192">
      <c r="W53198" s="33" t="n"/>
      <c r="X53198" s="33" t="n"/>
    </row>
    <row r="53200" ht="14.25" customHeight="1" s="192">
      <c r="W53200" s="231" t="n"/>
      <c r="X53200" s="231" t="n"/>
    </row>
    <row r="53201" ht="14.25" customHeight="1" s="192">
      <c r="W53201" s="235" t="n"/>
      <c r="X53201" s="235" t="n"/>
    </row>
    <row r="53202" ht="14.25" customHeight="1" s="192">
      <c r="W53202" s="228" t="n"/>
      <c r="X53202" s="228" t="n"/>
    </row>
    <row r="53203" ht="14.25" customHeight="1" s="192">
      <c r="W53203" s="235" t="n"/>
      <c r="X53203" s="235" t="n"/>
    </row>
    <row r="53204" ht="14.25" customHeight="1" s="192">
      <c r="W53204" s="235" t="n"/>
      <c r="X53204" s="235" t="n"/>
    </row>
    <row r="53205" ht="14.25" customHeight="1" s="192">
      <c r="W53205" s="235" t="n"/>
      <c r="X53205" s="235" t="n"/>
    </row>
    <row r="53206" ht="14.25" customHeight="1" s="192">
      <c r="W53206" s="239" t="n"/>
      <c r="X53206" s="239" t="n"/>
    </row>
    <row r="53207" ht="14.25" customHeight="1" s="192">
      <c r="W53207" s="239" t="n"/>
      <c r="X53207" s="239" t="n"/>
    </row>
    <row r="53208" ht="14.25" customHeight="1" s="192">
      <c r="W53208" s="239" t="n"/>
      <c r="X53208" s="239" t="n"/>
    </row>
    <row r="53209" ht="14.25" customHeight="1" s="192">
      <c r="W53209" s="235" t="n"/>
      <c r="X53209" s="235" t="n"/>
    </row>
    <row r="53210" ht="14.25" customHeight="1" s="192">
      <c r="W53210" s="235" t="n"/>
      <c r="X53210" s="235" t="n"/>
    </row>
    <row r="53211" ht="14.25" customHeight="1" s="192">
      <c r="W53211" s="235" t="n"/>
      <c r="X53211" s="235" t="n"/>
    </row>
    <row r="53212" ht="14.25" customHeight="1" s="192">
      <c r="W53212" s="239" t="n"/>
      <c r="X53212" s="239" t="n"/>
    </row>
    <row r="53213" ht="14.25" customHeight="1" s="192">
      <c r="W53213" s="239" t="n"/>
      <c r="X53213" s="239" t="n"/>
    </row>
    <row r="53214" ht="14.25" customHeight="1" s="192">
      <c r="W53214" s="235" t="n"/>
      <c r="X53214" s="235" t="n"/>
    </row>
    <row r="53215" ht="14.25" customHeight="1" s="192">
      <c r="W53215" s="235" t="n"/>
      <c r="X53215" s="235" t="n"/>
    </row>
    <row r="53216" ht="14.25" customHeight="1" s="192">
      <c r="W53216" s="239" t="n"/>
      <c r="X53216" s="239" t="n"/>
    </row>
    <row r="53217" ht="14.25" customHeight="1" s="192">
      <c r="W53217" s="235" t="n"/>
      <c r="X53217" s="235" t="n"/>
    </row>
    <row r="53218" ht="14.25" customHeight="1" s="192">
      <c r="W53218" s="239" t="n"/>
      <c r="X53218" s="239" t="n"/>
    </row>
    <row r="53220" ht="14.25" customHeight="1" s="192">
      <c r="W53220" s="235" t="n"/>
      <c r="X53220" s="235" t="n"/>
    </row>
    <row r="53221" ht="15" customHeight="1" s="192" thickBot="1">
      <c r="W53221" s="239" t="n"/>
      <c r="X53221" s="239" t="n"/>
    </row>
    <row r="53222" ht="15" customHeight="1" s="192" thickBot="1">
      <c r="W53222" s="45" t="n"/>
      <c r="X53222" s="45" t="n"/>
    </row>
    <row r="53223" ht="14.25" customHeight="1" s="192">
      <c r="W53223" s="228" t="n"/>
      <c r="X53223" s="228" t="n"/>
    </row>
    <row r="53224" ht="14.25" customHeight="1" s="192">
      <c r="W53224" s="228" t="n"/>
      <c r="X53224" s="228" t="n"/>
    </row>
    <row r="53225" ht="14.25" customHeight="1" s="192">
      <c r="W53225" s="231" t="n"/>
      <c r="X53225" s="231" t="n"/>
    </row>
    <row r="53226" ht="14.25" customHeight="1" s="192">
      <c r="W53226" s="33" t="n"/>
      <c r="X53226" s="33" t="n"/>
    </row>
    <row r="53227" ht="14.25" customHeight="1" s="192">
      <c r="W53227" s="231" t="n"/>
      <c r="X53227" s="231" t="n"/>
    </row>
    <row r="53228" ht="14.25" customHeight="1" s="192">
      <c r="W53228" s="33" t="n"/>
      <c r="X53228" s="33" t="n"/>
    </row>
    <row r="53230" ht="14.25" customHeight="1" s="192">
      <c r="W53230" s="231" t="n"/>
      <c r="X53230" s="231" t="n"/>
    </row>
    <row r="53231" ht="14.25" customHeight="1" s="192">
      <c r="W53231" s="235" t="n"/>
      <c r="X53231" s="235" t="n"/>
    </row>
    <row r="53232" ht="14.25" customHeight="1" s="192">
      <c r="W53232" s="228" t="n"/>
      <c r="X53232" s="228" t="n"/>
    </row>
    <row r="53233" ht="14.25" customHeight="1" s="192">
      <c r="W53233" s="235" t="n"/>
      <c r="X53233" s="235" t="n"/>
    </row>
    <row r="53234" ht="14.25" customHeight="1" s="192">
      <c r="W53234" s="235" t="n"/>
      <c r="X53234" s="235" t="n"/>
    </row>
    <row r="53235" ht="14.25" customHeight="1" s="192">
      <c r="W53235" s="235" t="n"/>
      <c r="X53235" s="235" t="n"/>
    </row>
    <row r="53236" ht="14.25" customHeight="1" s="192">
      <c r="W53236" s="239" t="n"/>
      <c r="X53236" s="239" t="n"/>
    </row>
    <row r="53237" ht="14.25" customHeight="1" s="192">
      <c r="W53237" s="239" t="n"/>
      <c r="X53237" s="239" t="n"/>
    </row>
    <row r="53238" ht="14.25" customHeight="1" s="192">
      <c r="W53238" s="239" t="n"/>
      <c r="X53238" s="239" t="n"/>
    </row>
    <row r="53239" ht="14.25" customHeight="1" s="192">
      <c r="W53239" s="235" t="n"/>
      <c r="X53239" s="235" t="n"/>
    </row>
    <row r="53240" ht="14.25" customHeight="1" s="192">
      <c r="W53240" s="235" t="n"/>
      <c r="X53240" s="235" t="n"/>
    </row>
    <row r="53241" ht="14.25" customHeight="1" s="192">
      <c r="W53241" s="235" t="n"/>
      <c r="X53241" s="235" t="n"/>
    </row>
    <row r="53242" ht="14.25" customHeight="1" s="192">
      <c r="W53242" s="239" t="n"/>
      <c r="X53242" s="239" t="n"/>
    </row>
    <row r="53243" ht="14.25" customHeight="1" s="192">
      <c r="W53243" s="239" t="n"/>
      <c r="X53243" s="239" t="n"/>
    </row>
    <row r="53244" ht="14.25" customHeight="1" s="192">
      <c r="W53244" s="235" t="n"/>
      <c r="X53244" s="235" t="n"/>
    </row>
    <row r="53245" ht="14.25" customHeight="1" s="192">
      <c r="W53245" s="235" t="n"/>
      <c r="X53245" s="235" t="n"/>
    </row>
    <row r="53246" ht="14.25" customHeight="1" s="192">
      <c r="W53246" s="239" t="n"/>
      <c r="X53246" s="239" t="n"/>
    </row>
    <row r="53247" ht="14.25" customHeight="1" s="192">
      <c r="W53247" s="235" t="n"/>
      <c r="X53247" s="235" t="n"/>
    </row>
    <row r="53248" ht="14.25" customHeight="1" s="192">
      <c r="W53248" s="239" t="n"/>
      <c r="X53248" s="239" t="n"/>
    </row>
    <row r="53250" ht="14.25" customHeight="1" s="192">
      <c r="W53250" s="235" t="n"/>
      <c r="X53250" s="235" t="n"/>
    </row>
    <row r="53251" ht="15" customHeight="1" s="192" thickBot="1">
      <c r="W53251" s="239" t="n"/>
      <c r="X53251" s="239" t="n"/>
    </row>
    <row r="53252" ht="15" customHeight="1" s="192" thickBot="1">
      <c r="W53252" s="45" t="n"/>
      <c r="X53252" s="45" t="n"/>
    </row>
    <row r="53253" ht="14.25" customHeight="1" s="192">
      <c r="W53253" s="228" t="n"/>
      <c r="X53253" s="228" t="n"/>
    </row>
    <row r="53254" ht="14.25" customHeight="1" s="192">
      <c r="W53254" s="228" t="n"/>
      <c r="X53254" s="228" t="n"/>
    </row>
    <row r="53255" ht="14.25" customHeight="1" s="192">
      <c r="W53255" s="231" t="n"/>
      <c r="X53255" s="231" t="n"/>
    </row>
    <row r="53256" ht="14.25" customHeight="1" s="192">
      <c r="W53256" s="33" t="n"/>
      <c r="X53256" s="33" t="n"/>
    </row>
    <row r="53257" ht="14.25" customHeight="1" s="192">
      <c r="W53257" s="231" t="n"/>
      <c r="X53257" s="231" t="n"/>
    </row>
    <row r="53258" ht="14.25" customHeight="1" s="192">
      <c r="W53258" s="33" t="n"/>
      <c r="X53258" s="33" t="n"/>
    </row>
    <row r="53260" ht="14.25" customHeight="1" s="192">
      <c r="W53260" s="231" t="n"/>
      <c r="X53260" s="231" t="n"/>
    </row>
    <row r="53261" ht="14.25" customHeight="1" s="192">
      <c r="W53261" s="235" t="n"/>
      <c r="X53261" s="235" t="n"/>
    </row>
    <row r="53262" ht="14.25" customHeight="1" s="192">
      <c r="W53262" s="228" t="n"/>
      <c r="X53262" s="228" t="n"/>
    </row>
    <row r="53263" ht="14.25" customHeight="1" s="192">
      <c r="W53263" s="235" t="n"/>
      <c r="X53263" s="235" t="n"/>
    </row>
    <row r="53264" ht="14.25" customHeight="1" s="192">
      <c r="W53264" s="235" t="n"/>
      <c r="X53264" s="235" t="n"/>
    </row>
    <row r="53265" ht="14.25" customHeight="1" s="192">
      <c r="W53265" s="235" t="n"/>
      <c r="X53265" s="235" t="n"/>
    </row>
    <row r="53266" ht="14.25" customHeight="1" s="192">
      <c r="W53266" s="239" t="n"/>
      <c r="X53266" s="239" t="n"/>
    </row>
    <row r="53267" ht="14.25" customHeight="1" s="192">
      <c r="W53267" s="239" t="n"/>
      <c r="X53267" s="239" t="n"/>
    </row>
    <row r="53268" ht="14.25" customHeight="1" s="192">
      <c r="W53268" s="239" t="n"/>
      <c r="X53268" s="239" t="n"/>
    </row>
    <row r="53269" ht="14.25" customHeight="1" s="192">
      <c r="W53269" s="235" t="n"/>
      <c r="X53269" s="235" t="n"/>
    </row>
    <row r="53270" ht="14.25" customHeight="1" s="192">
      <c r="W53270" s="235" t="n"/>
      <c r="X53270" s="235" t="n"/>
    </row>
    <row r="53271" ht="14.25" customHeight="1" s="192">
      <c r="W53271" s="235" t="n"/>
      <c r="X53271" s="235" t="n"/>
    </row>
    <row r="53272" ht="14.25" customHeight="1" s="192">
      <c r="W53272" s="239" t="n"/>
      <c r="X53272" s="239" t="n"/>
    </row>
    <row r="53273" ht="14.25" customHeight="1" s="192">
      <c r="W53273" s="239" t="n"/>
      <c r="X53273" s="239" t="n"/>
    </row>
    <row r="53274" ht="14.25" customHeight="1" s="192">
      <c r="W53274" s="235" t="n"/>
      <c r="X53274" s="235" t="n"/>
    </row>
    <row r="53275" ht="14.25" customHeight="1" s="192">
      <c r="W53275" s="235" t="n"/>
      <c r="X53275" s="235" t="n"/>
    </row>
    <row r="53276" ht="14.25" customHeight="1" s="192">
      <c r="W53276" s="239" t="n"/>
      <c r="X53276" s="239" t="n"/>
    </row>
    <row r="53277" ht="14.25" customHeight="1" s="192">
      <c r="W53277" s="235" t="n"/>
      <c r="X53277" s="235" t="n"/>
    </row>
    <row r="53278" ht="14.25" customHeight="1" s="192">
      <c r="W53278" s="239" t="n"/>
      <c r="X53278" s="239" t="n"/>
    </row>
    <row r="53280" ht="14.25" customHeight="1" s="192">
      <c r="W53280" s="235" t="n"/>
      <c r="X53280" s="235" t="n"/>
    </row>
    <row r="53281" ht="15" customHeight="1" s="192" thickBot="1">
      <c r="W53281" s="239" t="n"/>
      <c r="X53281" s="239" t="n"/>
    </row>
    <row r="53282" ht="15" customHeight="1" s="192" thickBot="1">
      <c r="W53282" s="45" t="n"/>
      <c r="X53282" s="45" t="n"/>
    </row>
    <row r="53283" ht="14.25" customHeight="1" s="192">
      <c r="W53283" s="228" t="n"/>
      <c r="X53283" s="228" t="n"/>
    </row>
    <row r="53284" ht="14.25" customHeight="1" s="192">
      <c r="W53284" s="228" t="n"/>
      <c r="X53284" s="228" t="n"/>
    </row>
    <row r="53285" ht="14.25" customHeight="1" s="192">
      <c r="W53285" s="231" t="n"/>
      <c r="X53285" s="231" t="n"/>
    </row>
    <row r="53286" ht="14.25" customHeight="1" s="192">
      <c r="W53286" s="33" t="n"/>
      <c r="X53286" s="33" t="n"/>
    </row>
    <row r="53287" ht="14.25" customHeight="1" s="192">
      <c r="W53287" s="231" t="n"/>
      <c r="X53287" s="231" t="n"/>
    </row>
    <row r="53288" ht="14.25" customHeight="1" s="192">
      <c r="W53288" s="33" t="n"/>
      <c r="X53288" s="33" t="n"/>
    </row>
    <row r="53290" ht="14.25" customHeight="1" s="192">
      <c r="W53290" s="231" t="n"/>
      <c r="X53290" s="231" t="n"/>
    </row>
    <row r="53291" ht="14.25" customHeight="1" s="192">
      <c r="W53291" s="235" t="n"/>
      <c r="X53291" s="235" t="n"/>
    </row>
    <row r="53292" ht="14.25" customHeight="1" s="192">
      <c r="W53292" s="228" t="n"/>
      <c r="X53292" s="228" t="n"/>
    </row>
    <row r="53293" ht="14.25" customHeight="1" s="192">
      <c r="W53293" s="235" t="n"/>
      <c r="X53293" s="235" t="n"/>
    </row>
    <row r="53294" ht="14.25" customHeight="1" s="192">
      <c r="W53294" s="235" t="n"/>
      <c r="X53294" s="235" t="n"/>
    </row>
    <row r="53295" ht="14.25" customHeight="1" s="192">
      <c r="W53295" s="235" t="n"/>
      <c r="X53295" s="235" t="n"/>
    </row>
    <row r="53296" ht="14.25" customHeight="1" s="192">
      <c r="W53296" s="239" t="n"/>
      <c r="X53296" s="239" t="n"/>
    </row>
    <row r="53297" ht="14.25" customHeight="1" s="192">
      <c r="W53297" s="239" t="n"/>
      <c r="X53297" s="239" t="n"/>
    </row>
    <row r="53298" ht="14.25" customHeight="1" s="192">
      <c r="W53298" s="239" t="n"/>
      <c r="X53298" s="239" t="n"/>
    </row>
    <row r="53299" ht="14.25" customHeight="1" s="192">
      <c r="W53299" s="235" t="n"/>
      <c r="X53299" s="235" t="n"/>
    </row>
    <row r="53300" ht="14.25" customHeight="1" s="192">
      <c r="W53300" s="235" t="n"/>
      <c r="X53300" s="235" t="n"/>
    </row>
    <row r="53301" ht="14.25" customHeight="1" s="192">
      <c r="W53301" s="235" t="n"/>
      <c r="X53301" s="235" t="n"/>
    </row>
    <row r="53302" ht="14.25" customHeight="1" s="192">
      <c r="W53302" s="239" t="n"/>
      <c r="X53302" s="239" t="n"/>
    </row>
    <row r="53303" ht="14.25" customHeight="1" s="192">
      <c r="W53303" s="239" t="n"/>
      <c r="X53303" s="239" t="n"/>
    </row>
    <row r="53304" ht="14.25" customHeight="1" s="192">
      <c r="W53304" s="235" t="n"/>
      <c r="X53304" s="235" t="n"/>
    </row>
    <row r="53305" ht="14.25" customHeight="1" s="192">
      <c r="W53305" s="235" t="n"/>
      <c r="X53305" s="235" t="n"/>
    </row>
    <row r="53306" ht="14.25" customHeight="1" s="192">
      <c r="W53306" s="239" t="n"/>
      <c r="X53306" s="239" t="n"/>
    </row>
    <row r="53307" ht="14.25" customHeight="1" s="192">
      <c r="W53307" s="235" t="n"/>
      <c r="X53307" s="235" t="n"/>
    </row>
    <row r="53308" ht="14.25" customHeight="1" s="192">
      <c r="W53308" s="239" t="n"/>
      <c r="X53308" s="239" t="n"/>
    </row>
    <row r="53310" ht="14.25" customHeight="1" s="192">
      <c r="W53310" s="235" t="n"/>
      <c r="X53310" s="235" t="n"/>
    </row>
    <row r="53311" ht="15" customHeight="1" s="192" thickBot="1">
      <c r="W53311" s="239" t="n"/>
      <c r="X53311" s="239" t="n"/>
    </row>
    <row r="53312" ht="15" customHeight="1" s="192" thickBot="1">
      <c r="W53312" s="45" t="n"/>
      <c r="X53312" s="45" t="n"/>
    </row>
    <row r="53313" ht="14.25" customHeight="1" s="192">
      <c r="W53313" s="228" t="n"/>
      <c r="X53313" s="228" t="n"/>
    </row>
    <row r="53314" ht="14.25" customHeight="1" s="192">
      <c r="W53314" s="228" t="n"/>
      <c r="X53314" s="228" t="n"/>
    </row>
    <row r="53315" ht="14.25" customHeight="1" s="192">
      <c r="W53315" s="231" t="n"/>
      <c r="X53315" s="231" t="n"/>
    </row>
    <row r="53316" ht="14.25" customHeight="1" s="192">
      <c r="W53316" s="33" t="n"/>
      <c r="X53316" s="33" t="n"/>
    </row>
    <row r="53317" ht="14.25" customHeight="1" s="192">
      <c r="W53317" s="231" t="n"/>
      <c r="X53317" s="231" t="n"/>
    </row>
    <row r="53318" ht="14.25" customHeight="1" s="192">
      <c r="W53318" s="33" t="n"/>
      <c r="X53318" s="33" t="n"/>
    </row>
    <row r="53320" ht="14.25" customHeight="1" s="192">
      <c r="W53320" s="231" t="n"/>
      <c r="X53320" s="231" t="n"/>
    </row>
    <row r="53321" ht="14.25" customHeight="1" s="192">
      <c r="W53321" s="235" t="n"/>
      <c r="X53321" s="235" t="n"/>
    </row>
    <row r="53322" ht="14.25" customHeight="1" s="192">
      <c r="W53322" s="228" t="n"/>
      <c r="X53322" s="228" t="n"/>
    </row>
    <row r="53323" ht="14.25" customHeight="1" s="192">
      <c r="W53323" s="235" t="n"/>
      <c r="X53323" s="235" t="n"/>
    </row>
    <row r="53324" ht="14.25" customHeight="1" s="192">
      <c r="W53324" s="235" t="n"/>
      <c r="X53324" s="235" t="n"/>
    </row>
    <row r="53325" ht="14.25" customHeight="1" s="192">
      <c r="W53325" s="235" t="n"/>
      <c r="X53325" s="235" t="n"/>
    </row>
    <row r="53326" ht="14.25" customHeight="1" s="192">
      <c r="W53326" s="239" t="n"/>
      <c r="X53326" s="239" t="n"/>
    </row>
    <row r="53327" ht="14.25" customHeight="1" s="192">
      <c r="W53327" s="239" t="n"/>
      <c r="X53327" s="239" t="n"/>
    </row>
    <row r="53328" ht="14.25" customHeight="1" s="192">
      <c r="W53328" s="239" t="n"/>
      <c r="X53328" s="239" t="n"/>
    </row>
    <row r="53329" ht="14.25" customHeight="1" s="192">
      <c r="W53329" s="235" t="n"/>
      <c r="X53329" s="235" t="n"/>
    </row>
    <row r="53330" ht="14.25" customHeight="1" s="192">
      <c r="W53330" s="235" t="n"/>
      <c r="X53330" s="235" t="n"/>
    </row>
    <row r="53331" ht="14.25" customHeight="1" s="192">
      <c r="W53331" s="235" t="n"/>
      <c r="X53331" s="235" t="n"/>
    </row>
    <row r="53332" ht="14.25" customHeight="1" s="192">
      <c r="W53332" s="239" t="n"/>
      <c r="X53332" s="239" t="n"/>
    </row>
    <row r="53333" ht="14.25" customHeight="1" s="192">
      <c r="W53333" s="239" t="n"/>
      <c r="X53333" s="239" t="n"/>
    </row>
    <row r="53334" ht="14.25" customHeight="1" s="192">
      <c r="W53334" s="235" t="n"/>
      <c r="X53334" s="235" t="n"/>
    </row>
    <row r="53335" ht="14.25" customHeight="1" s="192">
      <c r="W53335" s="235" t="n"/>
      <c r="X53335" s="235" t="n"/>
    </row>
    <row r="53336" ht="14.25" customHeight="1" s="192">
      <c r="W53336" s="239" t="n"/>
      <c r="X53336" s="239" t="n"/>
    </row>
    <row r="53337" ht="14.25" customHeight="1" s="192">
      <c r="W53337" s="235" t="n"/>
      <c r="X53337" s="235" t="n"/>
    </row>
    <row r="53338" ht="14.25" customHeight="1" s="192">
      <c r="W53338" s="239" t="n"/>
      <c r="X53338" s="239" t="n"/>
    </row>
    <row r="53340" ht="14.25" customHeight="1" s="192">
      <c r="W53340" s="235" t="n"/>
      <c r="X53340" s="235" t="n"/>
    </row>
    <row r="53341" ht="15" customHeight="1" s="192" thickBot="1">
      <c r="W53341" s="239" t="n"/>
      <c r="X53341" s="239" t="n"/>
    </row>
    <row r="53342" ht="15" customHeight="1" s="192" thickBot="1">
      <c r="W53342" s="45" t="n"/>
      <c r="X53342" s="45" t="n"/>
    </row>
    <row r="53343" ht="14.25" customHeight="1" s="192">
      <c r="W53343" s="228" t="n"/>
      <c r="X53343" s="228" t="n"/>
    </row>
    <row r="53344" ht="14.25" customHeight="1" s="192">
      <c r="W53344" s="228" t="n"/>
      <c r="X53344" s="228" t="n"/>
    </row>
    <row r="53345" ht="14.25" customHeight="1" s="192">
      <c r="W53345" s="231" t="n"/>
      <c r="X53345" s="231" t="n"/>
    </row>
    <row r="53346" ht="14.25" customHeight="1" s="192">
      <c r="W53346" s="33" t="n"/>
      <c r="X53346" s="33" t="n"/>
    </row>
    <row r="53347" ht="14.25" customHeight="1" s="192">
      <c r="W53347" s="231" t="n"/>
      <c r="X53347" s="231" t="n"/>
    </row>
    <row r="53348" ht="14.25" customHeight="1" s="192">
      <c r="W53348" s="33" t="n"/>
      <c r="X53348" s="33" t="n"/>
    </row>
    <row r="53350" ht="14.25" customHeight="1" s="192">
      <c r="W53350" s="231" t="n"/>
      <c r="X53350" s="231" t="n"/>
    </row>
    <row r="53351" ht="14.25" customHeight="1" s="192">
      <c r="W53351" s="235" t="n"/>
      <c r="X53351" s="235" t="n"/>
    </row>
    <row r="53352" ht="14.25" customHeight="1" s="192">
      <c r="W53352" s="228" t="n"/>
      <c r="X53352" s="228" t="n"/>
    </row>
    <row r="53353" ht="14.25" customHeight="1" s="192">
      <c r="W53353" s="235" t="n"/>
      <c r="X53353" s="235" t="n"/>
    </row>
    <row r="53354" ht="14.25" customHeight="1" s="192">
      <c r="W53354" s="235" t="n"/>
      <c r="X53354" s="235" t="n"/>
    </row>
    <row r="53355" ht="14.25" customHeight="1" s="192">
      <c r="W53355" s="235" t="n"/>
      <c r="X53355" s="235" t="n"/>
    </row>
    <row r="53356" ht="14.25" customHeight="1" s="192">
      <c r="W53356" s="239" t="n"/>
      <c r="X53356" s="239" t="n"/>
    </row>
    <row r="53357" ht="14.25" customHeight="1" s="192">
      <c r="W53357" s="239" t="n"/>
      <c r="X53357" s="239" t="n"/>
    </row>
    <row r="53358" ht="14.25" customHeight="1" s="192">
      <c r="W53358" s="239" t="n"/>
      <c r="X53358" s="239" t="n"/>
    </row>
    <row r="53359" ht="14.25" customHeight="1" s="192">
      <c r="W53359" s="235" t="n"/>
      <c r="X53359" s="235" t="n"/>
    </row>
    <row r="53360" ht="14.25" customHeight="1" s="192">
      <c r="W53360" s="235" t="n"/>
      <c r="X53360" s="235" t="n"/>
    </row>
    <row r="53361" ht="14.25" customHeight="1" s="192">
      <c r="W53361" s="235" t="n"/>
      <c r="X53361" s="235" t="n"/>
    </row>
    <row r="53362" ht="14.25" customHeight="1" s="192">
      <c r="W53362" s="239" t="n"/>
      <c r="X53362" s="239" t="n"/>
    </row>
    <row r="53363" ht="14.25" customHeight="1" s="192">
      <c r="W53363" s="239" t="n"/>
      <c r="X53363" s="239" t="n"/>
    </row>
    <row r="53364" ht="14.25" customHeight="1" s="192">
      <c r="W53364" s="235" t="n"/>
      <c r="X53364" s="235" t="n"/>
    </row>
    <row r="53365" ht="14.25" customHeight="1" s="192">
      <c r="W53365" s="235" t="n"/>
      <c r="X53365" s="235" t="n"/>
    </row>
    <row r="53366" ht="14.25" customHeight="1" s="192">
      <c r="W53366" s="239" t="n"/>
      <c r="X53366" s="239" t="n"/>
    </row>
    <row r="53367" ht="14.25" customHeight="1" s="192">
      <c r="W53367" s="235" t="n"/>
      <c r="X53367" s="235" t="n"/>
    </row>
    <row r="53368" ht="14.25" customHeight="1" s="192">
      <c r="W53368" s="239" t="n"/>
      <c r="X53368" s="239" t="n"/>
    </row>
    <row r="53370" ht="14.25" customHeight="1" s="192">
      <c r="W53370" s="235" t="n"/>
      <c r="X53370" s="235" t="n"/>
    </row>
    <row r="53371" ht="15" customHeight="1" s="192" thickBot="1">
      <c r="W53371" s="239" t="n"/>
      <c r="X53371" s="239" t="n"/>
    </row>
    <row r="53372" ht="15" customHeight="1" s="192" thickBot="1">
      <c r="W53372" s="45" t="n"/>
      <c r="X53372" s="45" t="n"/>
    </row>
    <row r="53373" ht="14.25" customHeight="1" s="192">
      <c r="W53373" s="228" t="n"/>
      <c r="X53373" s="228" t="n"/>
    </row>
    <row r="53374" ht="14.25" customHeight="1" s="192">
      <c r="W53374" s="228" t="n"/>
      <c r="X53374" s="228" t="n"/>
    </row>
    <row r="53375" ht="14.25" customHeight="1" s="192">
      <c r="W53375" s="231" t="n"/>
      <c r="X53375" s="231" t="n"/>
    </row>
    <row r="53376" ht="14.25" customHeight="1" s="192">
      <c r="W53376" s="33" t="n"/>
      <c r="X53376" s="33" t="n"/>
    </row>
    <row r="53377" ht="14.25" customHeight="1" s="192">
      <c r="W53377" s="231" t="n"/>
      <c r="X53377" s="231" t="n"/>
    </row>
    <row r="53378" ht="14.25" customHeight="1" s="192">
      <c r="W53378" s="33" t="n"/>
      <c r="X53378" s="33" t="n"/>
    </row>
    <row r="53380" ht="14.25" customHeight="1" s="192">
      <c r="W53380" s="231" t="n"/>
      <c r="X53380" s="231" t="n"/>
    </row>
    <row r="53381" ht="14.25" customHeight="1" s="192">
      <c r="W53381" s="235" t="n"/>
      <c r="X53381" s="235" t="n"/>
    </row>
    <row r="53382" ht="14.25" customHeight="1" s="192">
      <c r="W53382" s="228" t="n"/>
      <c r="X53382" s="228" t="n"/>
    </row>
    <row r="53383" ht="14.25" customHeight="1" s="192">
      <c r="W53383" s="235" t="n"/>
      <c r="X53383" s="235" t="n"/>
    </row>
    <row r="53384" ht="14.25" customHeight="1" s="192">
      <c r="W53384" s="235" t="n"/>
      <c r="X53384" s="235" t="n"/>
    </row>
    <row r="53385" ht="14.25" customHeight="1" s="192">
      <c r="W53385" s="235" t="n"/>
      <c r="X53385" s="235" t="n"/>
    </row>
    <row r="53386" ht="14.25" customHeight="1" s="192">
      <c r="W53386" s="239" t="n"/>
      <c r="X53386" s="239" t="n"/>
    </row>
    <row r="53387" ht="14.25" customHeight="1" s="192">
      <c r="W53387" s="239" t="n"/>
      <c r="X53387" s="239" t="n"/>
    </row>
    <row r="53388" ht="14.25" customHeight="1" s="192">
      <c r="W53388" s="239" t="n"/>
      <c r="X53388" s="239" t="n"/>
    </row>
    <row r="53389" ht="14.25" customHeight="1" s="192">
      <c r="W53389" s="235" t="n"/>
      <c r="X53389" s="235" t="n"/>
    </row>
    <row r="53390" ht="14.25" customHeight="1" s="192">
      <c r="W53390" s="235" t="n"/>
      <c r="X53390" s="235" t="n"/>
    </row>
    <row r="53391" ht="14.25" customHeight="1" s="192">
      <c r="W53391" s="235" t="n"/>
      <c r="X53391" s="235" t="n"/>
    </row>
    <row r="53392" ht="14.25" customHeight="1" s="192">
      <c r="W53392" s="239" t="n"/>
      <c r="X53392" s="239" t="n"/>
    </row>
    <row r="53393" ht="14.25" customHeight="1" s="192">
      <c r="W53393" s="239" t="n"/>
      <c r="X53393" s="239" t="n"/>
    </row>
    <row r="53394" ht="14.25" customHeight="1" s="192">
      <c r="W53394" s="235" t="n"/>
      <c r="X53394" s="235" t="n"/>
    </row>
    <row r="53395" ht="14.25" customHeight="1" s="192">
      <c r="W53395" s="235" t="n"/>
      <c r="X53395" s="235" t="n"/>
    </row>
    <row r="53396" ht="14.25" customHeight="1" s="192">
      <c r="W53396" s="239" t="n"/>
      <c r="X53396" s="239" t="n"/>
    </row>
    <row r="53397" ht="14.25" customHeight="1" s="192">
      <c r="W53397" s="235" t="n"/>
      <c r="X53397" s="235" t="n"/>
    </row>
    <row r="53398" ht="14.25" customHeight="1" s="192">
      <c r="W53398" s="239" t="n"/>
      <c r="X53398" s="239" t="n"/>
    </row>
    <row r="53400" ht="14.25" customHeight="1" s="192">
      <c r="W53400" s="235" t="n"/>
      <c r="X53400" s="235" t="n"/>
    </row>
    <row r="53401" ht="15" customHeight="1" s="192" thickBot="1">
      <c r="W53401" s="239" t="n"/>
      <c r="X53401" s="239" t="n"/>
    </row>
    <row r="53402" ht="15" customHeight="1" s="192" thickBot="1">
      <c r="W53402" s="45" t="n"/>
      <c r="X53402" s="45" t="n"/>
    </row>
    <row r="53403" ht="14.25" customHeight="1" s="192">
      <c r="W53403" s="228" t="n"/>
      <c r="X53403" s="228" t="n"/>
    </row>
    <row r="53404" ht="14.25" customHeight="1" s="192">
      <c r="W53404" s="228" t="n"/>
      <c r="X53404" s="228" t="n"/>
    </row>
    <row r="53405" ht="14.25" customHeight="1" s="192">
      <c r="W53405" s="231" t="n"/>
      <c r="X53405" s="231" t="n"/>
    </row>
    <row r="53406" ht="14.25" customHeight="1" s="192">
      <c r="W53406" s="33" t="n"/>
      <c r="X53406" s="33" t="n"/>
    </row>
    <row r="53407" ht="14.25" customHeight="1" s="192">
      <c r="W53407" s="231" t="n"/>
      <c r="X53407" s="231" t="n"/>
    </row>
    <row r="53408" ht="14.25" customHeight="1" s="192">
      <c r="W53408" s="33" t="n"/>
      <c r="X53408" s="33" t="n"/>
    </row>
    <row r="53410" ht="14.25" customHeight="1" s="192">
      <c r="W53410" s="231" t="n"/>
      <c r="X53410" s="231" t="n"/>
    </row>
    <row r="53411" ht="14.25" customHeight="1" s="192">
      <c r="W53411" s="235" t="n"/>
      <c r="X53411" s="235" t="n"/>
    </row>
    <row r="53412" ht="14.25" customHeight="1" s="192">
      <c r="W53412" s="228" t="n"/>
      <c r="X53412" s="228" t="n"/>
    </row>
    <row r="53413" ht="14.25" customHeight="1" s="192">
      <c r="W53413" s="235" t="n"/>
      <c r="X53413" s="235" t="n"/>
    </row>
    <row r="53414" ht="14.25" customHeight="1" s="192">
      <c r="W53414" s="235" t="n"/>
      <c r="X53414" s="235" t="n"/>
    </row>
    <row r="53415" ht="14.25" customHeight="1" s="192">
      <c r="W53415" s="235" t="n"/>
      <c r="X53415" s="235" t="n"/>
    </row>
    <row r="53416" ht="14.25" customHeight="1" s="192">
      <c r="W53416" s="239" t="n"/>
      <c r="X53416" s="239" t="n"/>
    </row>
    <row r="53417" ht="14.25" customHeight="1" s="192">
      <c r="W53417" s="239" t="n"/>
      <c r="X53417" s="239" t="n"/>
    </row>
    <row r="53418" ht="14.25" customHeight="1" s="192">
      <c r="W53418" s="239" t="n"/>
      <c r="X53418" s="239" t="n"/>
    </row>
    <row r="53419" ht="14.25" customHeight="1" s="192">
      <c r="W53419" s="235" t="n"/>
      <c r="X53419" s="235" t="n"/>
    </row>
    <row r="53420" ht="14.25" customHeight="1" s="192">
      <c r="W53420" s="235" t="n"/>
      <c r="X53420" s="235" t="n"/>
    </row>
    <row r="53421" ht="14.25" customHeight="1" s="192">
      <c r="W53421" s="235" t="n"/>
      <c r="X53421" s="235" t="n"/>
    </row>
    <row r="53422" ht="14.25" customHeight="1" s="192">
      <c r="W53422" s="239" t="n"/>
      <c r="X53422" s="239" t="n"/>
    </row>
    <row r="53423" ht="14.25" customHeight="1" s="192">
      <c r="W53423" s="239" t="n"/>
      <c r="X53423" s="239" t="n"/>
    </row>
    <row r="53424" ht="14.25" customHeight="1" s="192">
      <c r="W53424" s="235" t="n"/>
      <c r="X53424" s="235" t="n"/>
    </row>
    <row r="53425" ht="14.25" customHeight="1" s="192">
      <c r="W53425" s="235" t="n"/>
      <c r="X53425" s="235" t="n"/>
    </row>
    <row r="53426" ht="14.25" customHeight="1" s="192">
      <c r="W53426" s="239" t="n"/>
      <c r="X53426" s="239" t="n"/>
    </row>
    <row r="53427" ht="14.25" customHeight="1" s="192">
      <c r="W53427" s="235" t="n"/>
      <c r="X53427" s="235" t="n"/>
    </row>
    <row r="53428" ht="14.25" customHeight="1" s="192">
      <c r="W53428" s="239" t="n"/>
      <c r="X53428" s="239" t="n"/>
    </row>
    <row r="53430" ht="14.25" customHeight="1" s="192">
      <c r="W53430" s="235" t="n"/>
      <c r="X53430" s="235" t="n"/>
    </row>
    <row r="53431" ht="15" customHeight="1" s="192" thickBot="1">
      <c r="W53431" s="239" t="n"/>
      <c r="X53431" s="239" t="n"/>
    </row>
    <row r="53432" ht="15" customHeight="1" s="192" thickBot="1">
      <c r="W53432" s="45" t="n"/>
      <c r="X53432" s="45" t="n"/>
    </row>
    <row r="53433" ht="14.25" customHeight="1" s="192">
      <c r="W53433" s="228" t="n"/>
      <c r="X53433" s="228" t="n"/>
    </row>
    <row r="53434" ht="14.25" customHeight="1" s="192">
      <c r="W53434" s="228" t="n"/>
      <c r="X53434" s="228" t="n"/>
    </row>
    <row r="53435" ht="14.25" customHeight="1" s="192">
      <c r="W53435" s="231" t="n"/>
      <c r="X53435" s="231" t="n"/>
    </row>
    <row r="53436" ht="14.25" customHeight="1" s="192">
      <c r="W53436" s="33" t="n"/>
      <c r="X53436" s="33" t="n"/>
    </row>
    <row r="53437" ht="14.25" customHeight="1" s="192">
      <c r="W53437" s="231" t="n"/>
      <c r="X53437" s="231" t="n"/>
    </row>
    <row r="53438" ht="14.25" customHeight="1" s="192">
      <c r="W53438" s="33" t="n"/>
      <c r="X53438" s="33" t="n"/>
    </row>
    <row r="53440" ht="14.25" customHeight="1" s="192">
      <c r="W53440" s="231" t="n"/>
      <c r="X53440" s="231" t="n"/>
    </row>
    <row r="53441" ht="14.25" customHeight="1" s="192">
      <c r="W53441" s="235" t="n"/>
      <c r="X53441" s="235" t="n"/>
    </row>
    <row r="53442" ht="14.25" customHeight="1" s="192">
      <c r="W53442" s="228" t="n"/>
      <c r="X53442" s="228" t="n"/>
    </row>
    <row r="53443" ht="14.25" customHeight="1" s="192">
      <c r="W53443" s="235" t="n"/>
      <c r="X53443" s="235" t="n"/>
    </row>
    <row r="53444" ht="14.25" customHeight="1" s="192">
      <c r="W53444" s="235" t="n"/>
      <c r="X53444" s="235" t="n"/>
    </row>
    <row r="53445" ht="14.25" customHeight="1" s="192">
      <c r="W53445" s="235" t="n"/>
      <c r="X53445" s="235" t="n"/>
    </row>
    <row r="53446" ht="14.25" customHeight="1" s="192">
      <c r="W53446" s="239" t="n"/>
      <c r="X53446" s="239" t="n"/>
    </row>
    <row r="53447" ht="14.25" customHeight="1" s="192">
      <c r="W53447" s="239" t="n"/>
      <c r="X53447" s="239" t="n"/>
    </row>
    <row r="53448" ht="14.25" customHeight="1" s="192">
      <c r="W53448" s="239" t="n"/>
      <c r="X53448" s="239" t="n"/>
    </row>
    <row r="53449" ht="14.25" customHeight="1" s="192">
      <c r="W53449" s="235" t="n"/>
      <c r="X53449" s="235" t="n"/>
    </row>
    <row r="53450" ht="14.25" customHeight="1" s="192">
      <c r="W53450" s="235" t="n"/>
      <c r="X53450" s="235" t="n"/>
    </row>
    <row r="53451" ht="14.25" customHeight="1" s="192">
      <c r="W53451" s="235" t="n"/>
      <c r="X53451" s="235" t="n"/>
    </row>
    <row r="53452" ht="14.25" customHeight="1" s="192">
      <c r="W53452" s="239" t="n"/>
      <c r="X53452" s="239" t="n"/>
    </row>
    <row r="53453" ht="14.25" customHeight="1" s="192">
      <c r="W53453" s="239" t="n"/>
      <c r="X53453" s="239" t="n"/>
    </row>
    <row r="53454" ht="14.25" customHeight="1" s="192">
      <c r="W53454" s="235" t="n"/>
      <c r="X53454" s="235" t="n"/>
    </row>
    <row r="53455" ht="14.25" customHeight="1" s="192">
      <c r="W53455" s="235" t="n"/>
      <c r="X53455" s="235" t="n"/>
    </row>
    <row r="53456" ht="14.25" customHeight="1" s="192">
      <c r="W53456" s="239" t="n"/>
      <c r="X53456" s="239" t="n"/>
    </row>
    <row r="53457" ht="14.25" customHeight="1" s="192">
      <c r="W53457" s="235" t="n"/>
      <c r="X53457" s="235" t="n"/>
    </row>
    <row r="53458" ht="14.25" customHeight="1" s="192">
      <c r="W53458" s="239" t="n"/>
      <c r="X53458" s="239" t="n"/>
    </row>
    <row r="53460" ht="14.25" customHeight="1" s="192">
      <c r="W53460" s="235" t="n"/>
      <c r="X53460" s="235" t="n"/>
    </row>
    <row r="53461" ht="15" customHeight="1" s="192" thickBot="1">
      <c r="W53461" s="239" t="n"/>
      <c r="X53461" s="239" t="n"/>
    </row>
    <row r="53462" ht="15" customHeight="1" s="192" thickBot="1">
      <c r="W53462" s="45" t="n"/>
      <c r="X53462" s="45" t="n"/>
    </row>
    <row r="53463" ht="14.25" customHeight="1" s="192">
      <c r="W53463" s="228" t="n"/>
      <c r="X53463" s="228" t="n"/>
    </row>
    <row r="53464" ht="14.25" customHeight="1" s="192">
      <c r="W53464" s="228" t="n"/>
      <c r="X53464" s="228" t="n"/>
    </row>
    <row r="53465" ht="14.25" customHeight="1" s="192">
      <c r="W53465" s="231" t="n"/>
      <c r="X53465" s="231" t="n"/>
    </row>
    <row r="53466" ht="14.25" customHeight="1" s="192">
      <c r="W53466" s="33" t="n"/>
      <c r="X53466" s="33" t="n"/>
    </row>
    <row r="53467" ht="14.25" customHeight="1" s="192">
      <c r="W53467" s="231" t="n"/>
      <c r="X53467" s="231" t="n"/>
    </row>
    <row r="53468" ht="14.25" customHeight="1" s="192">
      <c r="W53468" s="33" t="n"/>
      <c r="X53468" s="33" t="n"/>
    </row>
    <row r="53470" ht="14.25" customHeight="1" s="192">
      <c r="W53470" s="231" t="n"/>
      <c r="X53470" s="231" t="n"/>
    </row>
    <row r="53471" ht="14.25" customHeight="1" s="192">
      <c r="W53471" s="235" t="n"/>
      <c r="X53471" s="235" t="n"/>
    </row>
    <row r="53472" ht="14.25" customHeight="1" s="192">
      <c r="W53472" s="228" t="n"/>
      <c r="X53472" s="228" t="n"/>
    </row>
    <row r="53473" ht="14.25" customHeight="1" s="192">
      <c r="W53473" s="235" t="n"/>
      <c r="X53473" s="235" t="n"/>
    </row>
    <row r="53474" ht="14.25" customHeight="1" s="192">
      <c r="W53474" s="235" t="n"/>
      <c r="X53474" s="235" t="n"/>
    </row>
    <row r="53475" ht="14.25" customHeight="1" s="192">
      <c r="W53475" s="235" t="n"/>
      <c r="X53475" s="235" t="n"/>
    </row>
    <row r="53476" ht="14.25" customHeight="1" s="192">
      <c r="W53476" s="239" t="n"/>
      <c r="X53476" s="239" t="n"/>
    </row>
    <row r="53477" ht="14.25" customHeight="1" s="192">
      <c r="W53477" s="239" t="n"/>
      <c r="X53477" s="239" t="n"/>
    </row>
    <row r="53478" ht="14.25" customHeight="1" s="192">
      <c r="W53478" s="239" t="n"/>
      <c r="X53478" s="239" t="n"/>
    </row>
    <row r="53479" ht="14.25" customHeight="1" s="192">
      <c r="W53479" s="235" t="n"/>
      <c r="X53479" s="235" t="n"/>
    </row>
    <row r="53480" ht="14.25" customHeight="1" s="192">
      <c r="W53480" s="235" t="n"/>
      <c r="X53480" s="235" t="n"/>
    </row>
    <row r="53481" ht="14.25" customHeight="1" s="192">
      <c r="W53481" s="235" t="n"/>
      <c r="X53481" s="235" t="n"/>
    </row>
    <row r="53482" ht="14.25" customHeight="1" s="192">
      <c r="W53482" s="239" t="n"/>
      <c r="X53482" s="239" t="n"/>
    </row>
    <row r="53483" ht="14.25" customHeight="1" s="192">
      <c r="W53483" s="239" t="n"/>
      <c r="X53483" s="239" t="n"/>
    </row>
    <row r="53484" ht="14.25" customHeight="1" s="192">
      <c r="W53484" s="235" t="n"/>
      <c r="X53484" s="235" t="n"/>
    </row>
    <row r="53485" ht="14.25" customHeight="1" s="192">
      <c r="W53485" s="235" t="n"/>
      <c r="X53485" s="235" t="n"/>
    </row>
    <row r="53486" ht="14.25" customHeight="1" s="192">
      <c r="W53486" s="239" t="n"/>
      <c r="X53486" s="239" t="n"/>
    </row>
    <row r="53487" ht="14.25" customHeight="1" s="192">
      <c r="W53487" s="235" t="n"/>
      <c r="X53487" s="235" t="n"/>
    </row>
    <row r="53488" ht="14.25" customHeight="1" s="192">
      <c r="W53488" s="239" t="n"/>
      <c r="X53488" s="239" t="n"/>
    </row>
    <row r="53490" ht="14.25" customHeight="1" s="192">
      <c r="W53490" s="235" t="n"/>
      <c r="X53490" s="235" t="n"/>
    </row>
    <row r="53491" ht="15" customHeight="1" s="192" thickBot="1">
      <c r="W53491" s="239" t="n"/>
      <c r="X53491" s="239" t="n"/>
    </row>
    <row r="53492" ht="15" customHeight="1" s="192" thickBot="1">
      <c r="W53492" s="45" t="n"/>
      <c r="X53492" s="45" t="n"/>
    </row>
    <row r="53493" ht="14.25" customHeight="1" s="192">
      <c r="W53493" s="228" t="n"/>
      <c r="X53493" s="228" t="n"/>
    </row>
    <row r="53494" ht="14.25" customHeight="1" s="192">
      <c r="W53494" s="228" t="n"/>
      <c r="X53494" s="228" t="n"/>
    </row>
    <row r="53495" ht="14.25" customHeight="1" s="192">
      <c r="W53495" s="231" t="n"/>
      <c r="X53495" s="231" t="n"/>
    </row>
    <row r="53496" ht="14.25" customHeight="1" s="192">
      <c r="W53496" s="33" t="n"/>
      <c r="X53496" s="33" t="n"/>
    </row>
    <row r="53497" ht="14.25" customHeight="1" s="192">
      <c r="W53497" s="231" t="n"/>
      <c r="X53497" s="231" t="n"/>
    </row>
    <row r="53498" ht="14.25" customHeight="1" s="192">
      <c r="W53498" s="33" t="n"/>
      <c r="X53498" s="33" t="n"/>
    </row>
    <row r="53500" ht="14.25" customHeight="1" s="192">
      <c r="W53500" s="231" t="n"/>
      <c r="X53500" s="231" t="n"/>
    </row>
    <row r="53501" ht="14.25" customHeight="1" s="192">
      <c r="W53501" s="235" t="n"/>
      <c r="X53501" s="235" t="n"/>
    </row>
    <row r="53502" ht="14.25" customHeight="1" s="192">
      <c r="W53502" s="228" t="n"/>
      <c r="X53502" s="228" t="n"/>
    </row>
    <row r="53503" ht="14.25" customHeight="1" s="192">
      <c r="W53503" s="235" t="n"/>
      <c r="X53503" s="235" t="n"/>
    </row>
    <row r="53504" ht="14.25" customHeight="1" s="192">
      <c r="W53504" s="235" t="n"/>
      <c r="X53504" s="235" t="n"/>
    </row>
    <row r="53505" ht="14.25" customHeight="1" s="192">
      <c r="W53505" s="235" t="n"/>
      <c r="X53505" s="235" t="n"/>
    </row>
    <row r="53506" ht="14.25" customHeight="1" s="192">
      <c r="W53506" s="239" t="n"/>
      <c r="X53506" s="239" t="n"/>
    </row>
    <row r="53507" ht="14.25" customHeight="1" s="192">
      <c r="W53507" s="239" t="n"/>
      <c r="X53507" s="239" t="n"/>
    </row>
    <row r="53508" ht="14.25" customHeight="1" s="192">
      <c r="W53508" s="239" t="n"/>
      <c r="X53508" s="239" t="n"/>
    </row>
    <row r="53509" ht="14.25" customHeight="1" s="192">
      <c r="W53509" s="235" t="n"/>
      <c r="X53509" s="235" t="n"/>
    </row>
    <row r="53510" ht="14.25" customHeight="1" s="192">
      <c r="W53510" s="235" t="n"/>
      <c r="X53510" s="235" t="n"/>
    </row>
    <row r="53511" ht="14.25" customHeight="1" s="192">
      <c r="W53511" s="235" t="n"/>
      <c r="X53511" s="235" t="n"/>
    </row>
    <row r="53512" ht="14.25" customHeight="1" s="192">
      <c r="W53512" s="239" t="n"/>
      <c r="X53512" s="239" t="n"/>
    </row>
    <row r="53513" ht="14.25" customHeight="1" s="192">
      <c r="W53513" s="239" t="n"/>
      <c r="X53513" s="239" t="n"/>
    </row>
    <row r="53514" ht="14.25" customHeight="1" s="192">
      <c r="W53514" s="235" t="n"/>
      <c r="X53514" s="235" t="n"/>
    </row>
    <row r="53515" ht="14.25" customHeight="1" s="192">
      <c r="W53515" s="235" t="n"/>
      <c r="X53515" s="235" t="n"/>
    </row>
    <row r="53516" ht="14.25" customHeight="1" s="192">
      <c r="W53516" s="239" t="n"/>
      <c r="X53516" s="239" t="n"/>
    </row>
    <row r="53517" ht="14.25" customHeight="1" s="192">
      <c r="W53517" s="235" t="n"/>
      <c r="X53517" s="235" t="n"/>
    </row>
    <row r="53518" ht="14.25" customHeight="1" s="192">
      <c r="W53518" s="239" t="n"/>
      <c r="X53518" s="239" t="n"/>
    </row>
    <row r="53520" ht="14.25" customHeight="1" s="192">
      <c r="W53520" s="235" t="n"/>
      <c r="X53520" s="235" t="n"/>
    </row>
    <row r="53521" ht="15" customHeight="1" s="192" thickBot="1">
      <c r="W53521" s="239" t="n"/>
      <c r="X53521" s="239" t="n"/>
    </row>
    <row r="53522" ht="15" customHeight="1" s="192" thickBot="1">
      <c r="W53522" s="45" t="n"/>
      <c r="X53522" s="45" t="n"/>
    </row>
    <row r="53523" ht="14.25" customHeight="1" s="192">
      <c r="W53523" s="228" t="n"/>
      <c r="X53523" s="228" t="n"/>
    </row>
    <row r="53524" ht="14.25" customHeight="1" s="192">
      <c r="W53524" s="228" t="n"/>
      <c r="X53524" s="228" t="n"/>
    </row>
    <row r="53525" ht="14.25" customHeight="1" s="192">
      <c r="W53525" s="231" t="n"/>
      <c r="X53525" s="231" t="n"/>
    </row>
    <row r="53526" ht="14.25" customHeight="1" s="192">
      <c r="W53526" s="33" t="n"/>
      <c r="X53526" s="33" t="n"/>
    </row>
    <row r="53527" ht="14.25" customHeight="1" s="192">
      <c r="W53527" s="231" t="n"/>
      <c r="X53527" s="231" t="n"/>
    </row>
    <row r="53528" ht="14.25" customHeight="1" s="192">
      <c r="W53528" s="33" t="n"/>
      <c r="X53528" s="33" t="n"/>
    </row>
    <row r="53530" ht="14.25" customHeight="1" s="192">
      <c r="W53530" s="231" t="n"/>
      <c r="X53530" s="231" t="n"/>
    </row>
    <row r="53531" ht="14.25" customHeight="1" s="192">
      <c r="W53531" s="235" t="n"/>
      <c r="X53531" s="235" t="n"/>
    </row>
    <row r="53532" ht="14.25" customHeight="1" s="192">
      <c r="W53532" s="228" t="n"/>
      <c r="X53532" s="228" t="n"/>
    </row>
    <row r="53533" ht="14.25" customHeight="1" s="192">
      <c r="W53533" s="235" t="n"/>
      <c r="X53533" s="235" t="n"/>
    </row>
    <row r="53534" ht="14.25" customHeight="1" s="192">
      <c r="W53534" s="235" t="n"/>
      <c r="X53534" s="235" t="n"/>
    </row>
    <row r="53535" ht="14.25" customHeight="1" s="192">
      <c r="W53535" s="235" t="n"/>
      <c r="X53535" s="235" t="n"/>
    </row>
    <row r="53536" ht="14.25" customHeight="1" s="192">
      <c r="W53536" s="239" t="n"/>
      <c r="X53536" s="239" t="n"/>
    </row>
    <row r="53537" ht="14.25" customHeight="1" s="192">
      <c r="W53537" s="239" t="n"/>
      <c r="X53537" s="239" t="n"/>
    </row>
    <row r="53538" ht="14.25" customHeight="1" s="192">
      <c r="W53538" s="239" t="n"/>
      <c r="X53538" s="239" t="n"/>
    </row>
    <row r="53539" ht="14.25" customHeight="1" s="192">
      <c r="W53539" s="235" t="n"/>
      <c r="X53539" s="235" t="n"/>
    </row>
    <row r="53540" ht="14.25" customHeight="1" s="192">
      <c r="W53540" s="235" t="n"/>
      <c r="X53540" s="235" t="n"/>
    </row>
    <row r="53541" ht="14.25" customHeight="1" s="192">
      <c r="W53541" s="235" t="n"/>
      <c r="X53541" s="235" t="n"/>
    </row>
    <row r="53542" ht="14.25" customHeight="1" s="192">
      <c r="W53542" s="239" t="n"/>
      <c r="X53542" s="239" t="n"/>
    </row>
    <row r="53543" ht="14.25" customHeight="1" s="192">
      <c r="W53543" s="239" t="n"/>
      <c r="X53543" s="239" t="n"/>
    </row>
    <row r="53544" ht="14.25" customHeight="1" s="192">
      <c r="W53544" s="235" t="n"/>
      <c r="X53544" s="235" t="n"/>
    </row>
    <row r="53545" ht="14.25" customHeight="1" s="192">
      <c r="W53545" s="235" t="n"/>
      <c r="X53545" s="235" t="n"/>
    </row>
    <row r="53546" ht="14.25" customHeight="1" s="192">
      <c r="W53546" s="239" t="n"/>
      <c r="X53546" s="239" t="n"/>
    </row>
    <row r="53547" ht="14.25" customHeight="1" s="192">
      <c r="W53547" s="235" t="n"/>
      <c r="X53547" s="235" t="n"/>
    </row>
    <row r="53548" ht="14.25" customHeight="1" s="192">
      <c r="W53548" s="239" t="n"/>
      <c r="X53548" s="239" t="n"/>
    </row>
    <row r="53550" ht="14.25" customHeight="1" s="192">
      <c r="W53550" s="235" t="n"/>
      <c r="X53550" s="235" t="n"/>
    </row>
    <row r="53551" ht="15" customHeight="1" s="192" thickBot="1">
      <c r="W53551" s="239" t="n"/>
      <c r="X53551" s="239" t="n"/>
    </row>
    <row r="53552" ht="15" customHeight="1" s="192" thickBot="1">
      <c r="W53552" s="45" t="n"/>
      <c r="X53552" s="45" t="n"/>
    </row>
    <row r="53553" ht="14.25" customHeight="1" s="192">
      <c r="W53553" s="228" t="n"/>
      <c r="X53553" s="228" t="n"/>
    </row>
    <row r="53554" ht="14.25" customHeight="1" s="192">
      <c r="W53554" s="228" t="n"/>
      <c r="X53554" s="228" t="n"/>
    </row>
    <row r="53555" ht="14.25" customHeight="1" s="192">
      <c r="W53555" s="231" t="n"/>
      <c r="X53555" s="231" t="n"/>
    </row>
    <row r="53556" ht="14.25" customHeight="1" s="192">
      <c r="W53556" s="33" t="n"/>
      <c r="X53556" s="33" t="n"/>
    </row>
    <row r="53557" ht="14.25" customHeight="1" s="192">
      <c r="W53557" s="231" t="n"/>
      <c r="X53557" s="231" t="n"/>
    </row>
    <row r="53558" ht="14.25" customHeight="1" s="192">
      <c r="W53558" s="33" t="n"/>
      <c r="X53558" s="33" t="n"/>
    </row>
    <row r="53560" ht="14.25" customHeight="1" s="192">
      <c r="W53560" s="231" t="n"/>
      <c r="X53560" s="231" t="n"/>
    </row>
    <row r="53561" ht="14.25" customHeight="1" s="192">
      <c r="W53561" s="235" t="n"/>
      <c r="X53561" s="235" t="n"/>
    </row>
    <row r="53562" ht="14.25" customHeight="1" s="192">
      <c r="W53562" s="228" t="n"/>
      <c r="X53562" s="228" t="n"/>
    </row>
    <row r="53563" ht="14.25" customHeight="1" s="192">
      <c r="W53563" s="235" t="n"/>
      <c r="X53563" s="235" t="n"/>
    </row>
    <row r="53564" ht="14.25" customHeight="1" s="192">
      <c r="W53564" s="235" t="n"/>
      <c r="X53564" s="235" t="n"/>
    </row>
    <row r="53565" ht="14.25" customHeight="1" s="192">
      <c r="W53565" s="235" t="n"/>
      <c r="X53565" s="235" t="n"/>
    </row>
    <row r="53566" ht="14.25" customHeight="1" s="192">
      <c r="W53566" s="239" t="n"/>
      <c r="X53566" s="239" t="n"/>
    </row>
    <row r="53567" ht="14.25" customHeight="1" s="192">
      <c r="W53567" s="239" t="n"/>
      <c r="X53567" s="239" t="n"/>
    </row>
    <row r="53568" ht="14.25" customHeight="1" s="192">
      <c r="W53568" s="239" t="n"/>
      <c r="X53568" s="239" t="n"/>
    </row>
    <row r="53569" ht="14.25" customHeight="1" s="192">
      <c r="W53569" s="235" t="n"/>
      <c r="X53569" s="235" t="n"/>
    </row>
    <row r="53570" ht="14.25" customHeight="1" s="192">
      <c r="W53570" s="235" t="n"/>
      <c r="X53570" s="235" t="n"/>
    </row>
    <row r="53571" ht="14.25" customHeight="1" s="192">
      <c r="W53571" s="235" t="n"/>
      <c r="X53571" s="235" t="n"/>
    </row>
    <row r="53572" ht="14.25" customHeight="1" s="192">
      <c r="W53572" s="239" t="n"/>
      <c r="X53572" s="239" t="n"/>
    </row>
    <row r="53573" ht="14.25" customHeight="1" s="192">
      <c r="W53573" s="239" t="n"/>
      <c r="X53573" s="239" t="n"/>
    </row>
    <row r="53574" ht="14.25" customHeight="1" s="192">
      <c r="W53574" s="235" t="n"/>
      <c r="X53574" s="235" t="n"/>
    </row>
    <row r="53575" ht="14.25" customHeight="1" s="192">
      <c r="W53575" s="235" t="n"/>
      <c r="X53575" s="235" t="n"/>
    </row>
    <row r="53576" ht="14.25" customHeight="1" s="192">
      <c r="W53576" s="239" t="n"/>
      <c r="X53576" s="239" t="n"/>
    </row>
    <row r="53577" ht="14.25" customHeight="1" s="192">
      <c r="W53577" s="235" t="n"/>
      <c r="X53577" s="235" t="n"/>
    </row>
    <row r="53578" ht="14.25" customHeight="1" s="192">
      <c r="W53578" s="239" t="n"/>
      <c r="X53578" s="239" t="n"/>
    </row>
    <row r="53580" ht="14.25" customHeight="1" s="192">
      <c r="W53580" s="235" t="n"/>
      <c r="X53580" s="235" t="n"/>
    </row>
    <row r="53581" ht="15" customHeight="1" s="192" thickBot="1">
      <c r="W53581" s="239" t="n"/>
      <c r="X53581" s="239" t="n"/>
    </row>
    <row r="53582" ht="15" customHeight="1" s="192" thickBot="1">
      <c r="W53582" s="45" t="n"/>
      <c r="X53582" s="45" t="n"/>
    </row>
    <row r="53583" ht="14.25" customHeight="1" s="192">
      <c r="W53583" s="228" t="n"/>
      <c r="X53583" s="228" t="n"/>
    </row>
    <row r="53584" ht="14.25" customHeight="1" s="192">
      <c r="W53584" s="228" t="n"/>
      <c r="X53584" s="228" t="n"/>
    </row>
    <row r="53585" ht="14.25" customHeight="1" s="192">
      <c r="W53585" s="231" t="n"/>
      <c r="X53585" s="231" t="n"/>
    </row>
    <row r="53586" ht="14.25" customHeight="1" s="192">
      <c r="W53586" s="33" t="n"/>
      <c r="X53586" s="33" t="n"/>
    </row>
    <row r="53587" ht="14.25" customHeight="1" s="192">
      <c r="W53587" s="231" t="n"/>
      <c r="X53587" s="231" t="n"/>
    </row>
    <row r="53588" ht="14.25" customHeight="1" s="192">
      <c r="W53588" s="33" t="n"/>
      <c r="X53588" s="33" t="n"/>
    </row>
    <row r="53590" ht="14.25" customHeight="1" s="192">
      <c r="W53590" s="231" t="n"/>
      <c r="X53590" s="231" t="n"/>
    </row>
    <row r="53591" ht="14.25" customHeight="1" s="192">
      <c r="W53591" s="235" t="n"/>
      <c r="X53591" s="235" t="n"/>
    </row>
    <row r="53592" ht="14.25" customHeight="1" s="192">
      <c r="W53592" s="228" t="n"/>
      <c r="X53592" s="228" t="n"/>
    </row>
    <row r="53593" ht="14.25" customHeight="1" s="192">
      <c r="W53593" s="235" t="n"/>
      <c r="X53593" s="235" t="n"/>
    </row>
    <row r="53594" ht="14.25" customHeight="1" s="192">
      <c r="W53594" s="235" t="n"/>
      <c r="X53594" s="235" t="n"/>
    </row>
    <row r="53595" ht="14.25" customHeight="1" s="192">
      <c r="W53595" s="235" t="n"/>
      <c r="X53595" s="235" t="n"/>
    </row>
    <row r="53596" ht="14.25" customHeight="1" s="192">
      <c r="W53596" s="239" t="n"/>
      <c r="X53596" s="239" t="n"/>
    </row>
    <row r="53597" ht="14.25" customHeight="1" s="192">
      <c r="W53597" s="239" t="n"/>
      <c r="X53597" s="239" t="n"/>
    </row>
    <row r="53598" ht="14.25" customHeight="1" s="192">
      <c r="W53598" s="239" t="n"/>
      <c r="X53598" s="239" t="n"/>
    </row>
    <row r="53599" ht="14.25" customHeight="1" s="192">
      <c r="W53599" s="235" t="n"/>
      <c r="X53599" s="235" t="n"/>
    </row>
    <row r="53600" ht="14.25" customHeight="1" s="192">
      <c r="W53600" s="235" t="n"/>
      <c r="X53600" s="235" t="n"/>
    </row>
    <row r="53601" ht="14.25" customHeight="1" s="192">
      <c r="W53601" s="235" t="n"/>
      <c r="X53601" s="235" t="n"/>
    </row>
    <row r="53602" ht="14.25" customHeight="1" s="192">
      <c r="W53602" s="239" t="n"/>
      <c r="X53602" s="239" t="n"/>
    </row>
    <row r="53603" ht="14.25" customHeight="1" s="192">
      <c r="W53603" s="239" t="n"/>
      <c r="X53603" s="239" t="n"/>
    </row>
    <row r="53604" ht="14.25" customHeight="1" s="192">
      <c r="W53604" s="235" t="n"/>
      <c r="X53604" s="235" t="n"/>
    </row>
    <row r="53605" ht="14.25" customHeight="1" s="192">
      <c r="W53605" s="235" t="n"/>
      <c r="X53605" s="235" t="n"/>
    </row>
    <row r="53606" ht="14.25" customHeight="1" s="192">
      <c r="W53606" s="239" t="n"/>
      <c r="X53606" s="239" t="n"/>
    </row>
    <row r="53607" ht="14.25" customHeight="1" s="192">
      <c r="W53607" s="235" t="n"/>
      <c r="X53607" s="235" t="n"/>
    </row>
    <row r="53608" ht="14.25" customHeight="1" s="192">
      <c r="W53608" s="239" t="n"/>
      <c r="X53608" s="239" t="n"/>
    </row>
    <row r="53610" ht="14.25" customHeight="1" s="192">
      <c r="W53610" s="235" t="n"/>
      <c r="X53610" s="235" t="n"/>
    </row>
    <row r="53611" ht="15" customHeight="1" s="192" thickBot="1">
      <c r="W53611" s="239" t="n"/>
      <c r="X53611" s="239" t="n"/>
    </row>
    <row r="53612" ht="15" customHeight="1" s="192" thickBot="1">
      <c r="W53612" s="45" t="n"/>
      <c r="X53612" s="45" t="n"/>
    </row>
    <row r="53613" ht="14.25" customHeight="1" s="192">
      <c r="W53613" s="228" t="n"/>
      <c r="X53613" s="228" t="n"/>
    </row>
    <row r="53614" ht="14.25" customHeight="1" s="192">
      <c r="W53614" s="228" t="n"/>
      <c r="X53614" s="228" t="n"/>
    </row>
    <row r="53615" ht="14.25" customHeight="1" s="192">
      <c r="W53615" s="231" t="n"/>
      <c r="X53615" s="231" t="n"/>
    </row>
    <row r="53616" ht="14.25" customHeight="1" s="192">
      <c r="W53616" s="33" t="n"/>
      <c r="X53616" s="33" t="n"/>
    </row>
    <row r="53617" ht="14.25" customHeight="1" s="192">
      <c r="W53617" s="231" t="n"/>
      <c r="X53617" s="231" t="n"/>
    </row>
    <row r="53618" ht="14.25" customHeight="1" s="192">
      <c r="W53618" s="33" t="n"/>
      <c r="X53618" s="33" t="n"/>
    </row>
    <row r="53620" ht="14.25" customHeight="1" s="192">
      <c r="W53620" s="231" t="n"/>
      <c r="X53620" s="231" t="n"/>
    </row>
    <row r="53621" ht="14.25" customHeight="1" s="192">
      <c r="W53621" s="235" t="n"/>
      <c r="X53621" s="235" t="n"/>
    </row>
    <row r="53622" ht="14.25" customHeight="1" s="192">
      <c r="W53622" s="228" t="n"/>
      <c r="X53622" s="228" t="n"/>
    </row>
    <row r="53623" ht="14.25" customHeight="1" s="192">
      <c r="W53623" s="235" t="n"/>
      <c r="X53623" s="235" t="n"/>
    </row>
    <row r="53624" ht="14.25" customHeight="1" s="192">
      <c r="W53624" s="235" t="n"/>
      <c r="X53624" s="235" t="n"/>
    </row>
    <row r="53625" ht="14.25" customHeight="1" s="192">
      <c r="W53625" s="235" t="n"/>
      <c r="X53625" s="235" t="n"/>
    </row>
    <row r="53626" ht="14.25" customHeight="1" s="192">
      <c r="W53626" s="239" t="n"/>
      <c r="X53626" s="239" t="n"/>
    </row>
    <row r="53627" ht="14.25" customHeight="1" s="192">
      <c r="W53627" s="239" t="n"/>
      <c r="X53627" s="239" t="n"/>
    </row>
    <row r="53628" ht="14.25" customHeight="1" s="192">
      <c r="W53628" s="239" t="n"/>
      <c r="X53628" s="239" t="n"/>
    </row>
    <row r="53629" ht="14.25" customHeight="1" s="192">
      <c r="W53629" s="235" t="n"/>
      <c r="X53629" s="235" t="n"/>
    </row>
    <row r="53630" ht="14.25" customHeight="1" s="192">
      <c r="W53630" s="235" t="n"/>
      <c r="X53630" s="235" t="n"/>
    </row>
    <row r="53631" ht="14.25" customHeight="1" s="192">
      <c r="W53631" s="235" t="n"/>
      <c r="X53631" s="235" t="n"/>
    </row>
    <row r="53632" ht="14.25" customHeight="1" s="192">
      <c r="W53632" s="239" t="n"/>
      <c r="X53632" s="239" t="n"/>
    </row>
    <row r="53633" ht="14.25" customHeight="1" s="192">
      <c r="W53633" s="239" t="n"/>
      <c r="X53633" s="239" t="n"/>
    </row>
    <row r="53634" ht="14.25" customHeight="1" s="192">
      <c r="W53634" s="235" t="n"/>
      <c r="X53634" s="235" t="n"/>
    </row>
    <row r="53635" ht="14.25" customHeight="1" s="192">
      <c r="W53635" s="235" t="n"/>
      <c r="X53635" s="235" t="n"/>
    </row>
    <row r="53636" ht="14.25" customHeight="1" s="192">
      <c r="W53636" s="239" t="n"/>
      <c r="X53636" s="239" t="n"/>
    </row>
    <row r="53637" ht="14.25" customHeight="1" s="192">
      <c r="W53637" s="235" t="n"/>
      <c r="X53637" s="235" t="n"/>
    </row>
    <row r="53638" ht="14.25" customHeight="1" s="192">
      <c r="W53638" s="239" t="n"/>
      <c r="X53638" s="239" t="n"/>
    </row>
    <row r="53640" ht="14.25" customHeight="1" s="192">
      <c r="W53640" s="235" t="n"/>
      <c r="X53640" s="235" t="n"/>
    </row>
    <row r="53641" ht="15" customHeight="1" s="192" thickBot="1">
      <c r="W53641" s="239" t="n"/>
      <c r="X53641" s="239" t="n"/>
    </row>
    <row r="53642" ht="15" customHeight="1" s="192" thickBot="1">
      <c r="W53642" s="45" t="n"/>
      <c r="X53642" s="45" t="n"/>
    </row>
    <row r="53643" ht="14.25" customHeight="1" s="192">
      <c r="W53643" s="228" t="n"/>
      <c r="X53643" s="228" t="n"/>
    </row>
    <row r="53644" ht="14.25" customHeight="1" s="192">
      <c r="W53644" s="228" t="n"/>
      <c r="X53644" s="228" t="n"/>
    </row>
    <row r="53645" ht="14.25" customHeight="1" s="192">
      <c r="W53645" s="231" t="n"/>
      <c r="X53645" s="231" t="n"/>
    </row>
    <row r="53646" ht="14.25" customHeight="1" s="192">
      <c r="W53646" s="33" t="n"/>
      <c r="X53646" s="33" t="n"/>
    </row>
    <row r="53647" ht="14.25" customHeight="1" s="192">
      <c r="W53647" s="231" t="n"/>
      <c r="X53647" s="231" t="n"/>
    </row>
    <row r="53648" ht="14.25" customHeight="1" s="192">
      <c r="W53648" s="33" t="n"/>
      <c r="X53648" s="33" t="n"/>
    </row>
    <row r="53650" ht="14.25" customHeight="1" s="192">
      <c r="W53650" s="231" t="n"/>
      <c r="X53650" s="231" t="n"/>
    </row>
    <row r="53651" ht="14.25" customHeight="1" s="192">
      <c r="W53651" s="235" t="n"/>
      <c r="X53651" s="235" t="n"/>
    </row>
    <row r="53652" ht="14.25" customHeight="1" s="192">
      <c r="W53652" s="228" t="n"/>
      <c r="X53652" s="228" t="n"/>
    </row>
    <row r="53653" ht="14.25" customHeight="1" s="192">
      <c r="W53653" s="235" t="n"/>
      <c r="X53653" s="235" t="n"/>
    </row>
    <row r="53654" ht="14.25" customHeight="1" s="192">
      <c r="W53654" s="235" t="n"/>
      <c r="X53654" s="235" t="n"/>
    </row>
    <row r="53655" ht="14.25" customHeight="1" s="192">
      <c r="W53655" s="235" t="n"/>
      <c r="X53655" s="235" t="n"/>
    </row>
    <row r="53656" ht="14.25" customHeight="1" s="192">
      <c r="W53656" s="239" t="n"/>
      <c r="X53656" s="239" t="n"/>
    </row>
    <row r="53657" ht="14.25" customHeight="1" s="192">
      <c r="W53657" s="239" t="n"/>
      <c r="X53657" s="239" t="n"/>
    </row>
    <row r="53658" ht="14.25" customHeight="1" s="192">
      <c r="W53658" s="239" t="n"/>
      <c r="X53658" s="239" t="n"/>
    </row>
    <row r="53659" ht="14.25" customHeight="1" s="192">
      <c r="W53659" s="235" t="n"/>
      <c r="X53659" s="235" t="n"/>
    </row>
    <row r="53660" ht="14.25" customHeight="1" s="192">
      <c r="W53660" s="235" t="n"/>
      <c r="X53660" s="235" t="n"/>
    </row>
    <row r="53661" ht="14.25" customHeight="1" s="192">
      <c r="W53661" s="235" t="n"/>
      <c r="X53661" s="235" t="n"/>
    </row>
    <row r="53662" ht="14.25" customHeight="1" s="192">
      <c r="W53662" s="239" t="n"/>
      <c r="X53662" s="239" t="n"/>
    </row>
    <row r="53663" ht="14.25" customHeight="1" s="192">
      <c r="W53663" s="239" t="n"/>
      <c r="X53663" s="239" t="n"/>
    </row>
    <row r="53664" ht="14.25" customHeight="1" s="192">
      <c r="W53664" s="235" t="n"/>
      <c r="X53664" s="235" t="n"/>
    </row>
    <row r="53665" ht="14.25" customHeight="1" s="192">
      <c r="W53665" s="235" t="n"/>
      <c r="X53665" s="235" t="n"/>
    </row>
    <row r="53666" ht="14.25" customHeight="1" s="192">
      <c r="W53666" s="239" t="n"/>
      <c r="X53666" s="239" t="n"/>
    </row>
    <row r="53667" ht="14.25" customHeight="1" s="192">
      <c r="W53667" s="235" t="n"/>
      <c r="X53667" s="235" t="n"/>
    </row>
    <row r="53668" ht="14.25" customHeight="1" s="192">
      <c r="W53668" s="239" t="n"/>
      <c r="X53668" s="239" t="n"/>
    </row>
    <row r="53670" ht="14.25" customHeight="1" s="192">
      <c r="W53670" s="235" t="n"/>
      <c r="X53670" s="235" t="n"/>
    </row>
    <row r="53671" ht="15" customHeight="1" s="192" thickBot="1">
      <c r="W53671" s="239" t="n"/>
      <c r="X53671" s="239" t="n"/>
    </row>
    <row r="53672" ht="15" customHeight="1" s="192" thickBot="1">
      <c r="W53672" s="45" t="n"/>
      <c r="X53672" s="45" t="n"/>
    </row>
    <row r="53673" ht="14.25" customHeight="1" s="192">
      <c r="W53673" s="228" t="n"/>
      <c r="X53673" s="228" t="n"/>
    </row>
    <row r="53674" ht="14.25" customHeight="1" s="192">
      <c r="W53674" s="228" t="n"/>
      <c r="X53674" s="228" t="n"/>
    </row>
    <row r="53675" ht="14.25" customHeight="1" s="192">
      <c r="W53675" s="231" t="n"/>
      <c r="X53675" s="231" t="n"/>
    </row>
    <row r="53676" ht="14.25" customHeight="1" s="192">
      <c r="W53676" s="33" t="n"/>
      <c r="X53676" s="33" t="n"/>
    </row>
    <row r="53677" ht="14.25" customHeight="1" s="192">
      <c r="W53677" s="231" t="n"/>
      <c r="X53677" s="231" t="n"/>
    </row>
    <row r="53678" ht="14.25" customHeight="1" s="192">
      <c r="W53678" s="33" t="n"/>
      <c r="X53678" s="33" t="n"/>
    </row>
    <row r="53680" ht="14.25" customHeight="1" s="192">
      <c r="W53680" s="231" t="n"/>
      <c r="X53680" s="231" t="n"/>
    </row>
    <row r="53681" ht="14.25" customHeight="1" s="192">
      <c r="W53681" s="235" t="n"/>
      <c r="X53681" s="235" t="n"/>
    </row>
    <row r="53682" ht="14.25" customHeight="1" s="192">
      <c r="W53682" s="228" t="n"/>
      <c r="X53682" s="228" t="n"/>
    </row>
    <row r="53683" ht="14.25" customHeight="1" s="192">
      <c r="W53683" s="235" t="n"/>
      <c r="X53683" s="235" t="n"/>
    </row>
    <row r="53684" ht="14.25" customHeight="1" s="192">
      <c r="W53684" s="235" t="n"/>
      <c r="X53684" s="235" t="n"/>
    </row>
    <row r="53685" ht="14.25" customHeight="1" s="192">
      <c r="W53685" s="235" t="n"/>
      <c r="X53685" s="235" t="n"/>
    </row>
    <row r="53686" ht="14.25" customHeight="1" s="192">
      <c r="W53686" s="239" t="n"/>
      <c r="X53686" s="239" t="n"/>
    </row>
    <row r="53687" ht="14.25" customHeight="1" s="192">
      <c r="W53687" s="239" t="n"/>
      <c r="X53687" s="239" t="n"/>
    </row>
    <row r="53688" ht="14.25" customHeight="1" s="192">
      <c r="W53688" s="239" t="n"/>
      <c r="X53688" s="239" t="n"/>
    </row>
    <row r="53689" ht="14.25" customHeight="1" s="192">
      <c r="W53689" s="235" t="n"/>
      <c r="X53689" s="235" t="n"/>
    </row>
    <row r="53690" ht="14.25" customHeight="1" s="192">
      <c r="W53690" s="235" t="n"/>
      <c r="X53690" s="235" t="n"/>
    </row>
    <row r="53691" ht="14.25" customHeight="1" s="192">
      <c r="W53691" s="235" t="n"/>
      <c r="X53691" s="235" t="n"/>
    </row>
    <row r="53692" ht="14.25" customHeight="1" s="192">
      <c r="W53692" s="239" t="n"/>
      <c r="X53692" s="239" t="n"/>
    </row>
    <row r="53693" ht="14.25" customHeight="1" s="192">
      <c r="W53693" s="239" t="n"/>
      <c r="X53693" s="239" t="n"/>
    </row>
    <row r="53694" ht="14.25" customHeight="1" s="192">
      <c r="W53694" s="235" t="n"/>
      <c r="X53694" s="235" t="n"/>
    </row>
    <row r="53695" ht="14.25" customHeight="1" s="192">
      <c r="W53695" s="235" t="n"/>
      <c r="X53695" s="235" t="n"/>
    </row>
    <row r="53696" ht="14.25" customHeight="1" s="192">
      <c r="W53696" s="239" t="n"/>
      <c r="X53696" s="239" t="n"/>
    </row>
    <row r="53697" ht="14.25" customHeight="1" s="192">
      <c r="W53697" s="235" t="n"/>
      <c r="X53697" s="235" t="n"/>
    </row>
    <row r="53698" ht="14.25" customHeight="1" s="192">
      <c r="W53698" s="239" t="n"/>
      <c r="X53698" s="239" t="n"/>
    </row>
    <row r="53700" ht="14.25" customHeight="1" s="192">
      <c r="W53700" s="235" t="n"/>
      <c r="X53700" s="235" t="n"/>
    </row>
    <row r="53701" ht="15" customHeight="1" s="192" thickBot="1">
      <c r="W53701" s="239" t="n"/>
      <c r="X53701" s="239" t="n"/>
    </row>
    <row r="53702" ht="15" customHeight="1" s="192" thickBot="1">
      <c r="W53702" s="45" t="n"/>
      <c r="X53702" s="45" t="n"/>
    </row>
    <row r="53703" ht="14.25" customHeight="1" s="192">
      <c r="W53703" s="228" t="n"/>
      <c r="X53703" s="228" t="n"/>
    </row>
    <row r="53704" ht="14.25" customHeight="1" s="192">
      <c r="W53704" s="228" t="n"/>
      <c r="X53704" s="228" t="n"/>
    </row>
    <row r="53705" ht="14.25" customHeight="1" s="192">
      <c r="W53705" s="231" t="n"/>
      <c r="X53705" s="231" t="n"/>
    </row>
    <row r="53706" ht="14.25" customHeight="1" s="192">
      <c r="W53706" s="33" t="n"/>
      <c r="X53706" s="33" t="n"/>
    </row>
    <row r="53707" ht="14.25" customHeight="1" s="192">
      <c r="W53707" s="231" t="n"/>
      <c r="X53707" s="231" t="n"/>
    </row>
    <row r="53708" ht="14.25" customHeight="1" s="192">
      <c r="W53708" s="33" t="n"/>
      <c r="X53708" s="33" t="n"/>
    </row>
    <row r="53710" ht="14.25" customHeight="1" s="192">
      <c r="W53710" s="231" t="n"/>
      <c r="X53710" s="231" t="n"/>
    </row>
    <row r="53711" ht="14.25" customHeight="1" s="192">
      <c r="W53711" s="235" t="n"/>
      <c r="X53711" s="235" t="n"/>
    </row>
    <row r="53712" ht="14.25" customHeight="1" s="192">
      <c r="W53712" s="228" t="n"/>
      <c r="X53712" s="228" t="n"/>
    </row>
    <row r="53713" ht="14.25" customHeight="1" s="192">
      <c r="W53713" s="235" t="n"/>
      <c r="X53713" s="235" t="n"/>
    </row>
    <row r="53714" ht="14.25" customHeight="1" s="192">
      <c r="W53714" s="235" t="n"/>
      <c r="X53714" s="235" t="n"/>
    </row>
    <row r="53715" ht="14.25" customHeight="1" s="192">
      <c r="W53715" s="235" t="n"/>
      <c r="X53715" s="235" t="n"/>
    </row>
    <row r="53716" ht="14.25" customHeight="1" s="192">
      <c r="W53716" s="239" t="n"/>
      <c r="X53716" s="239" t="n"/>
    </row>
    <row r="53717" ht="14.25" customHeight="1" s="192">
      <c r="W53717" s="239" t="n"/>
      <c r="X53717" s="239" t="n"/>
    </row>
    <row r="53718" ht="14.25" customHeight="1" s="192">
      <c r="W53718" s="239" t="n"/>
      <c r="X53718" s="239" t="n"/>
    </row>
    <row r="53719" ht="14.25" customHeight="1" s="192">
      <c r="W53719" s="235" t="n"/>
      <c r="X53719" s="235" t="n"/>
    </row>
    <row r="53720" ht="14.25" customHeight="1" s="192">
      <c r="W53720" s="235" t="n"/>
      <c r="X53720" s="235" t="n"/>
    </row>
    <row r="53721" ht="14.25" customHeight="1" s="192">
      <c r="W53721" s="235" t="n"/>
      <c r="X53721" s="235" t="n"/>
    </row>
    <row r="53722" ht="14.25" customHeight="1" s="192">
      <c r="W53722" s="239" t="n"/>
      <c r="X53722" s="239" t="n"/>
    </row>
    <row r="53723" ht="14.25" customHeight="1" s="192">
      <c r="W53723" s="239" t="n"/>
      <c r="X53723" s="239" t="n"/>
    </row>
    <row r="53724" ht="14.25" customHeight="1" s="192">
      <c r="W53724" s="235" t="n"/>
      <c r="X53724" s="235" t="n"/>
    </row>
    <row r="53725" ht="14.25" customHeight="1" s="192">
      <c r="W53725" s="235" t="n"/>
      <c r="X53725" s="235" t="n"/>
    </row>
    <row r="53726" ht="14.25" customHeight="1" s="192">
      <c r="W53726" s="239" t="n"/>
      <c r="X53726" s="239" t="n"/>
    </row>
    <row r="53727" ht="14.25" customHeight="1" s="192">
      <c r="W53727" s="235" t="n"/>
      <c r="X53727" s="235" t="n"/>
    </row>
    <row r="53728" ht="14.25" customHeight="1" s="192">
      <c r="W53728" s="239" t="n"/>
      <c r="X53728" s="239" t="n"/>
    </row>
    <row r="53730" ht="14.25" customHeight="1" s="192">
      <c r="W53730" s="235" t="n"/>
      <c r="X53730" s="235" t="n"/>
    </row>
    <row r="53731" ht="15" customHeight="1" s="192" thickBot="1">
      <c r="W53731" s="239" t="n"/>
      <c r="X53731" s="239" t="n"/>
    </row>
    <row r="53732" ht="15" customHeight="1" s="192" thickBot="1">
      <c r="W53732" s="45" t="n"/>
      <c r="X53732" s="45" t="n"/>
    </row>
    <row r="53733" ht="14.25" customHeight="1" s="192">
      <c r="W53733" s="228" t="n"/>
      <c r="X53733" s="228" t="n"/>
    </row>
    <row r="53734" ht="14.25" customHeight="1" s="192">
      <c r="W53734" s="228" t="n"/>
      <c r="X53734" s="228" t="n"/>
    </row>
    <row r="53735" ht="14.25" customHeight="1" s="192">
      <c r="W53735" s="231" t="n"/>
      <c r="X53735" s="231" t="n"/>
    </row>
    <row r="53736" ht="14.25" customHeight="1" s="192">
      <c r="W53736" s="33" t="n"/>
      <c r="X53736" s="33" t="n"/>
    </row>
    <row r="53737" ht="14.25" customHeight="1" s="192">
      <c r="W53737" s="231" t="n"/>
      <c r="X53737" s="231" t="n"/>
    </row>
    <row r="53738" ht="14.25" customHeight="1" s="192">
      <c r="W53738" s="33" t="n"/>
      <c r="X53738" s="33" t="n"/>
    </row>
    <row r="53740" ht="14.25" customHeight="1" s="192">
      <c r="W53740" s="231" t="n"/>
      <c r="X53740" s="231" t="n"/>
    </row>
    <row r="53741" ht="14.25" customHeight="1" s="192">
      <c r="W53741" s="235" t="n"/>
      <c r="X53741" s="235" t="n"/>
    </row>
    <row r="53742" ht="14.25" customHeight="1" s="192">
      <c r="W53742" s="228" t="n"/>
      <c r="X53742" s="228" t="n"/>
    </row>
    <row r="53743" ht="14.25" customHeight="1" s="192">
      <c r="W53743" s="235" t="n"/>
      <c r="X53743" s="235" t="n"/>
    </row>
    <row r="53744" ht="14.25" customHeight="1" s="192">
      <c r="W53744" s="235" t="n"/>
      <c r="X53744" s="235" t="n"/>
    </row>
    <row r="53745" ht="14.25" customHeight="1" s="192">
      <c r="W53745" s="235" t="n"/>
      <c r="X53745" s="235" t="n"/>
    </row>
    <row r="53746" ht="14.25" customHeight="1" s="192">
      <c r="W53746" s="239" t="n"/>
      <c r="X53746" s="239" t="n"/>
    </row>
    <row r="53747" ht="14.25" customHeight="1" s="192">
      <c r="W53747" s="239" t="n"/>
      <c r="X53747" s="239" t="n"/>
    </row>
    <row r="53748" ht="14.25" customHeight="1" s="192">
      <c r="W53748" s="239" t="n"/>
      <c r="X53748" s="239" t="n"/>
    </row>
    <row r="53749" ht="14.25" customHeight="1" s="192">
      <c r="W53749" s="235" t="n"/>
      <c r="X53749" s="235" t="n"/>
    </row>
    <row r="53750" ht="14.25" customHeight="1" s="192">
      <c r="W53750" s="235" t="n"/>
      <c r="X53750" s="235" t="n"/>
    </row>
    <row r="53751" ht="14.25" customHeight="1" s="192">
      <c r="W53751" s="235" t="n"/>
      <c r="X53751" s="235" t="n"/>
    </row>
    <row r="53752" ht="14.25" customHeight="1" s="192">
      <c r="W53752" s="239" t="n"/>
      <c r="X53752" s="239" t="n"/>
    </row>
    <row r="53753" ht="14.25" customHeight="1" s="192">
      <c r="W53753" s="239" t="n"/>
      <c r="X53753" s="239" t="n"/>
    </row>
    <row r="53754" ht="14.25" customHeight="1" s="192">
      <c r="W53754" s="235" t="n"/>
      <c r="X53754" s="235" t="n"/>
    </row>
    <row r="53755" ht="14.25" customHeight="1" s="192">
      <c r="W53755" s="235" t="n"/>
      <c r="X53755" s="235" t="n"/>
    </row>
    <row r="53756" ht="14.25" customHeight="1" s="192">
      <c r="W53756" s="239" t="n"/>
      <c r="X53756" s="239" t="n"/>
    </row>
    <row r="53757" ht="14.25" customHeight="1" s="192">
      <c r="W53757" s="235" t="n"/>
      <c r="X53757" s="235" t="n"/>
    </row>
    <row r="53758" ht="14.25" customHeight="1" s="192">
      <c r="W53758" s="239" t="n"/>
      <c r="X53758" s="239" t="n"/>
    </row>
    <row r="53760" ht="14.25" customHeight="1" s="192">
      <c r="W53760" s="235" t="n"/>
      <c r="X53760" s="235" t="n"/>
    </row>
    <row r="53761" ht="15" customHeight="1" s="192" thickBot="1">
      <c r="W53761" s="239" t="n"/>
      <c r="X53761" s="239" t="n"/>
    </row>
    <row r="53762" ht="15" customHeight="1" s="192" thickBot="1">
      <c r="W53762" s="45" t="n"/>
      <c r="X53762" s="45" t="n"/>
    </row>
    <row r="53763" ht="14.25" customHeight="1" s="192">
      <c r="W53763" s="228" t="n"/>
      <c r="X53763" s="228" t="n"/>
    </row>
    <row r="53764" ht="14.25" customHeight="1" s="192">
      <c r="W53764" s="228" t="n"/>
      <c r="X53764" s="228" t="n"/>
    </row>
    <row r="53765" ht="14.25" customHeight="1" s="192">
      <c r="W53765" s="231" t="n"/>
      <c r="X53765" s="231" t="n"/>
    </row>
    <row r="53766" ht="14.25" customHeight="1" s="192">
      <c r="W53766" s="33" t="n"/>
      <c r="X53766" s="33" t="n"/>
    </row>
    <row r="53767" ht="14.25" customHeight="1" s="192">
      <c r="W53767" s="231" t="n"/>
      <c r="X53767" s="231" t="n"/>
    </row>
    <row r="53768" ht="14.25" customHeight="1" s="192">
      <c r="W53768" s="33" t="n"/>
      <c r="X53768" s="33" t="n"/>
    </row>
    <row r="53770" ht="14.25" customHeight="1" s="192">
      <c r="W53770" s="231" t="n"/>
      <c r="X53770" s="231" t="n"/>
    </row>
    <row r="53771" ht="14.25" customHeight="1" s="192">
      <c r="W53771" s="235" t="n"/>
      <c r="X53771" s="235" t="n"/>
    </row>
    <row r="53772" ht="14.25" customHeight="1" s="192">
      <c r="W53772" s="228" t="n"/>
      <c r="X53772" s="228" t="n"/>
    </row>
    <row r="53773" ht="14.25" customHeight="1" s="192">
      <c r="W53773" s="235" t="n"/>
      <c r="X53773" s="235" t="n"/>
    </row>
    <row r="53774" ht="14.25" customHeight="1" s="192">
      <c r="W53774" s="235" t="n"/>
      <c r="X53774" s="235" t="n"/>
    </row>
    <row r="53775" ht="14.25" customHeight="1" s="192">
      <c r="W53775" s="235" t="n"/>
      <c r="X53775" s="235" t="n"/>
    </row>
    <row r="53776" ht="14.25" customHeight="1" s="192">
      <c r="W53776" s="239" t="n"/>
      <c r="X53776" s="239" t="n"/>
    </row>
    <row r="53777" ht="14.25" customHeight="1" s="192">
      <c r="W53777" s="239" t="n"/>
      <c r="X53777" s="239" t="n"/>
    </row>
    <row r="53778" ht="14.25" customHeight="1" s="192">
      <c r="W53778" s="239" t="n"/>
      <c r="X53778" s="239" t="n"/>
    </row>
    <row r="53779" ht="14.25" customHeight="1" s="192">
      <c r="W53779" s="235" t="n"/>
      <c r="X53779" s="235" t="n"/>
    </row>
    <row r="53780" ht="14.25" customHeight="1" s="192">
      <c r="W53780" s="235" t="n"/>
      <c r="X53780" s="235" t="n"/>
    </row>
    <row r="53781" ht="14.25" customHeight="1" s="192">
      <c r="W53781" s="235" t="n"/>
      <c r="X53781" s="235" t="n"/>
    </row>
    <row r="53782" ht="14.25" customHeight="1" s="192">
      <c r="W53782" s="239" t="n"/>
      <c r="X53782" s="239" t="n"/>
    </row>
    <row r="53783" ht="14.25" customHeight="1" s="192">
      <c r="W53783" s="239" t="n"/>
      <c r="X53783" s="239" t="n"/>
    </row>
    <row r="53784" ht="14.25" customHeight="1" s="192">
      <c r="W53784" s="235" t="n"/>
      <c r="X53784" s="235" t="n"/>
    </row>
    <row r="53785" ht="14.25" customHeight="1" s="192">
      <c r="W53785" s="235" t="n"/>
      <c r="X53785" s="235" t="n"/>
    </row>
    <row r="53786" ht="14.25" customHeight="1" s="192">
      <c r="W53786" s="239" t="n"/>
      <c r="X53786" s="239" t="n"/>
    </row>
    <row r="53787" ht="14.25" customHeight="1" s="192">
      <c r="W53787" s="235" t="n"/>
      <c r="X53787" s="235" t="n"/>
    </row>
    <row r="53788" ht="14.25" customHeight="1" s="192">
      <c r="W53788" s="239" t="n"/>
      <c r="X53788" s="239" t="n"/>
    </row>
    <row r="53790" ht="14.25" customHeight="1" s="192">
      <c r="W53790" s="235" t="n"/>
      <c r="X53790" s="235" t="n"/>
    </row>
    <row r="53791" ht="15" customHeight="1" s="192" thickBot="1">
      <c r="W53791" s="239" t="n"/>
      <c r="X53791" s="239" t="n"/>
    </row>
    <row r="53792" ht="15" customHeight="1" s="192" thickBot="1">
      <c r="W53792" s="45" t="n"/>
      <c r="X53792" s="45" t="n"/>
    </row>
    <row r="53793" ht="14.25" customHeight="1" s="192">
      <c r="W53793" s="228" t="n"/>
      <c r="X53793" s="228" t="n"/>
    </row>
    <row r="53794" ht="14.25" customHeight="1" s="192">
      <c r="W53794" s="228" t="n"/>
      <c r="X53794" s="228" t="n"/>
    </row>
    <row r="53795" ht="14.25" customHeight="1" s="192">
      <c r="W53795" s="231" t="n"/>
      <c r="X53795" s="231" t="n"/>
    </row>
    <row r="53796" ht="14.25" customHeight="1" s="192">
      <c r="W53796" s="33" t="n"/>
      <c r="X53796" s="33" t="n"/>
    </row>
    <row r="53797" ht="14.25" customHeight="1" s="192">
      <c r="W53797" s="231" t="n"/>
      <c r="X53797" s="231" t="n"/>
    </row>
    <row r="53798" ht="14.25" customHeight="1" s="192">
      <c r="W53798" s="33" t="n"/>
      <c r="X53798" s="33" t="n"/>
    </row>
    <row r="53800" ht="14.25" customHeight="1" s="192">
      <c r="W53800" s="231" t="n"/>
      <c r="X53800" s="231" t="n"/>
    </row>
    <row r="53801" ht="14.25" customHeight="1" s="192">
      <c r="W53801" s="235" t="n"/>
      <c r="X53801" s="235" t="n"/>
    </row>
    <row r="53802" ht="14.25" customHeight="1" s="192">
      <c r="W53802" s="228" t="n"/>
      <c r="X53802" s="228" t="n"/>
    </row>
    <row r="53803" ht="14.25" customHeight="1" s="192">
      <c r="W53803" s="235" t="n"/>
      <c r="X53803" s="235" t="n"/>
    </row>
    <row r="53804" ht="14.25" customHeight="1" s="192">
      <c r="W53804" s="235" t="n"/>
      <c r="X53804" s="235" t="n"/>
    </row>
    <row r="53805" ht="14.25" customHeight="1" s="192">
      <c r="W53805" s="235" t="n"/>
      <c r="X53805" s="235" t="n"/>
    </row>
    <row r="53806" ht="14.25" customHeight="1" s="192">
      <c r="W53806" s="239" t="n"/>
      <c r="X53806" s="239" t="n"/>
    </row>
    <row r="53807" ht="14.25" customHeight="1" s="192">
      <c r="W53807" s="239" t="n"/>
      <c r="X53807" s="239" t="n"/>
    </row>
    <row r="53808" ht="14.25" customHeight="1" s="192">
      <c r="W53808" s="239" t="n"/>
      <c r="X53808" s="239" t="n"/>
    </row>
    <row r="53809" ht="14.25" customHeight="1" s="192">
      <c r="W53809" s="235" t="n"/>
      <c r="X53809" s="235" t="n"/>
    </row>
    <row r="53810" ht="14.25" customHeight="1" s="192">
      <c r="W53810" s="235" t="n"/>
      <c r="X53810" s="235" t="n"/>
    </row>
    <row r="53811" ht="14.25" customHeight="1" s="192">
      <c r="W53811" s="235" t="n"/>
      <c r="X53811" s="235" t="n"/>
    </row>
    <row r="53812" ht="14.25" customHeight="1" s="192">
      <c r="W53812" s="239" t="n"/>
      <c r="X53812" s="239" t="n"/>
    </row>
    <row r="53813" ht="14.25" customHeight="1" s="192">
      <c r="W53813" s="239" t="n"/>
      <c r="X53813" s="239" t="n"/>
    </row>
    <row r="53814" ht="14.25" customHeight="1" s="192">
      <c r="W53814" s="235" t="n"/>
      <c r="X53814" s="235" t="n"/>
    </row>
    <row r="53815" ht="14.25" customHeight="1" s="192">
      <c r="W53815" s="235" t="n"/>
      <c r="X53815" s="235" t="n"/>
    </row>
    <row r="53816" ht="14.25" customHeight="1" s="192">
      <c r="W53816" s="239" t="n"/>
      <c r="X53816" s="239" t="n"/>
    </row>
    <row r="53817" ht="14.25" customHeight="1" s="192">
      <c r="W53817" s="235" t="n"/>
      <c r="X53817" s="235" t="n"/>
    </row>
    <row r="53818" ht="14.25" customHeight="1" s="192">
      <c r="W53818" s="239" t="n"/>
      <c r="X53818" s="239" t="n"/>
    </row>
    <row r="53820" ht="14.25" customHeight="1" s="192">
      <c r="W53820" s="235" t="n"/>
      <c r="X53820" s="235" t="n"/>
    </row>
    <row r="53821" ht="15" customHeight="1" s="192" thickBot="1">
      <c r="W53821" s="239" t="n"/>
      <c r="X53821" s="239" t="n"/>
    </row>
    <row r="53822" ht="15" customHeight="1" s="192" thickBot="1">
      <c r="W53822" s="45" t="n"/>
      <c r="X53822" s="45" t="n"/>
    </row>
    <row r="53823" ht="14.25" customHeight="1" s="192">
      <c r="W53823" s="228" t="n"/>
      <c r="X53823" s="228" t="n"/>
    </row>
    <row r="53824" ht="14.25" customHeight="1" s="192">
      <c r="W53824" s="228" t="n"/>
      <c r="X53824" s="228" t="n"/>
    </row>
    <row r="53825" ht="14.25" customHeight="1" s="192">
      <c r="W53825" s="231" t="n"/>
      <c r="X53825" s="231" t="n"/>
    </row>
    <row r="53826" ht="14.25" customHeight="1" s="192">
      <c r="W53826" s="33" t="n"/>
      <c r="X53826" s="33" t="n"/>
    </row>
    <row r="53827" ht="14.25" customHeight="1" s="192">
      <c r="W53827" s="231" t="n"/>
      <c r="X53827" s="231" t="n"/>
    </row>
    <row r="53828" ht="14.25" customHeight="1" s="192">
      <c r="W53828" s="33" t="n"/>
      <c r="X53828" s="33" t="n"/>
    </row>
    <row r="53830" ht="14.25" customHeight="1" s="192">
      <c r="W53830" s="231" t="n"/>
      <c r="X53830" s="231" t="n"/>
    </row>
    <row r="53831" ht="14.25" customHeight="1" s="192">
      <c r="W53831" s="235" t="n"/>
      <c r="X53831" s="235" t="n"/>
    </row>
    <row r="53832" ht="14.25" customHeight="1" s="192">
      <c r="W53832" s="228" t="n"/>
      <c r="X53832" s="228" t="n"/>
    </row>
    <row r="53833" ht="14.25" customHeight="1" s="192">
      <c r="W53833" s="235" t="n"/>
      <c r="X53833" s="235" t="n"/>
    </row>
    <row r="53834" ht="14.25" customHeight="1" s="192">
      <c r="W53834" s="235" t="n"/>
      <c r="X53834" s="235" t="n"/>
    </row>
    <row r="53835" ht="14.25" customHeight="1" s="192">
      <c r="W53835" s="235" t="n"/>
      <c r="X53835" s="235" t="n"/>
    </row>
    <row r="53836" ht="14.25" customHeight="1" s="192">
      <c r="W53836" s="239" t="n"/>
      <c r="X53836" s="239" t="n"/>
    </row>
    <row r="53837" ht="14.25" customHeight="1" s="192">
      <c r="W53837" s="239" t="n"/>
      <c r="X53837" s="239" t="n"/>
    </row>
    <row r="53838" ht="14.25" customHeight="1" s="192">
      <c r="W53838" s="239" t="n"/>
      <c r="X53838" s="239" t="n"/>
    </row>
    <row r="53839" ht="14.25" customHeight="1" s="192">
      <c r="W53839" s="235" t="n"/>
      <c r="X53839" s="235" t="n"/>
    </row>
    <row r="53840" ht="14.25" customHeight="1" s="192">
      <c r="W53840" s="235" t="n"/>
      <c r="X53840" s="235" t="n"/>
    </row>
    <row r="53841" ht="14.25" customHeight="1" s="192">
      <c r="W53841" s="235" t="n"/>
      <c r="X53841" s="235" t="n"/>
    </row>
    <row r="53842" ht="14.25" customHeight="1" s="192">
      <c r="W53842" s="239" t="n"/>
      <c r="X53842" s="239" t="n"/>
    </row>
    <row r="53843" ht="14.25" customHeight="1" s="192">
      <c r="W53843" s="239" t="n"/>
      <c r="X53843" s="239" t="n"/>
    </row>
    <row r="53844" ht="14.25" customHeight="1" s="192">
      <c r="W53844" s="235" t="n"/>
      <c r="X53844" s="235" t="n"/>
    </row>
    <row r="53845" ht="14.25" customHeight="1" s="192">
      <c r="W53845" s="235" t="n"/>
      <c r="X53845" s="235" t="n"/>
    </row>
    <row r="53846" ht="14.25" customHeight="1" s="192">
      <c r="W53846" s="239" t="n"/>
      <c r="X53846" s="239" t="n"/>
    </row>
    <row r="53847" ht="14.25" customHeight="1" s="192">
      <c r="W53847" s="235" t="n"/>
      <c r="X53847" s="235" t="n"/>
    </row>
    <row r="53848" ht="14.25" customHeight="1" s="192">
      <c r="W53848" s="239" t="n"/>
      <c r="X53848" s="239" t="n"/>
    </row>
    <row r="53850" ht="14.25" customHeight="1" s="192">
      <c r="W53850" s="235" t="n"/>
      <c r="X53850" s="235" t="n"/>
    </row>
    <row r="53851" ht="15" customHeight="1" s="192" thickBot="1">
      <c r="W53851" s="239" t="n"/>
      <c r="X53851" s="239" t="n"/>
    </row>
    <row r="53852" ht="15" customHeight="1" s="192" thickBot="1">
      <c r="W53852" s="45" t="n"/>
      <c r="X53852" s="45" t="n"/>
    </row>
    <row r="53853" ht="14.25" customHeight="1" s="192">
      <c r="W53853" s="228" t="n"/>
      <c r="X53853" s="228" t="n"/>
    </row>
    <row r="53854" ht="14.25" customHeight="1" s="192">
      <c r="W53854" s="228" t="n"/>
      <c r="X53854" s="228" t="n"/>
    </row>
    <row r="53855" ht="14.25" customHeight="1" s="192">
      <c r="W53855" s="231" t="n"/>
      <c r="X53855" s="231" t="n"/>
    </row>
    <row r="53856" ht="14.25" customHeight="1" s="192">
      <c r="W53856" s="33" t="n"/>
      <c r="X53856" s="33" t="n"/>
    </row>
    <row r="53857" ht="14.25" customHeight="1" s="192">
      <c r="W53857" s="231" t="n"/>
      <c r="X53857" s="231" t="n"/>
    </row>
    <row r="53858" ht="14.25" customHeight="1" s="192">
      <c r="W53858" s="33" t="n"/>
      <c r="X53858" s="33" t="n"/>
    </row>
    <row r="53860" ht="14.25" customHeight="1" s="192">
      <c r="W53860" s="231" t="n"/>
      <c r="X53860" s="231" t="n"/>
    </row>
    <row r="53861" ht="14.25" customHeight="1" s="192">
      <c r="W53861" s="235" t="n"/>
      <c r="X53861" s="235" t="n"/>
    </row>
    <row r="53862" ht="14.25" customHeight="1" s="192">
      <c r="W53862" s="228" t="n"/>
      <c r="X53862" s="228" t="n"/>
    </row>
    <row r="53863" ht="14.25" customHeight="1" s="192">
      <c r="W53863" s="235" t="n"/>
      <c r="X53863" s="235" t="n"/>
    </row>
    <row r="53864" ht="14.25" customHeight="1" s="192">
      <c r="W53864" s="235" t="n"/>
      <c r="X53864" s="235" t="n"/>
    </row>
    <row r="53865" ht="14.25" customHeight="1" s="192">
      <c r="W53865" s="235" t="n"/>
      <c r="X53865" s="235" t="n"/>
    </row>
    <row r="53866" ht="14.25" customHeight="1" s="192">
      <c r="W53866" s="239" t="n"/>
      <c r="X53866" s="239" t="n"/>
    </row>
    <row r="53867" ht="14.25" customHeight="1" s="192">
      <c r="W53867" s="239" t="n"/>
      <c r="X53867" s="239" t="n"/>
    </row>
    <row r="53868" ht="14.25" customHeight="1" s="192">
      <c r="W53868" s="239" t="n"/>
      <c r="X53868" s="239" t="n"/>
    </row>
    <row r="53869" ht="14.25" customHeight="1" s="192">
      <c r="W53869" s="235" t="n"/>
      <c r="X53869" s="235" t="n"/>
    </row>
    <row r="53870" ht="14.25" customHeight="1" s="192">
      <c r="W53870" s="235" t="n"/>
      <c r="X53870" s="235" t="n"/>
    </row>
    <row r="53871" ht="14.25" customHeight="1" s="192">
      <c r="W53871" s="235" t="n"/>
      <c r="X53871" s="235" t="n"/>
    </row>
    <row r="53872" ht="14.25" customHeight="1" s="192">
      <c r="W53872" s="239" t="n"/>
      <c r="X53872" s="239" t="n"/>
    </row>
    <row r="53873" ht="14.25" customHeight="1" s="192">
      <c r="W53873" s="239" t="n"/>
      <c r="X53873" s="239" t="n"/>
    </row>
    <row r="53874" ht="14.25" customHeight="1" s="192">
      <c r="W53874" s="235" t="n"/>
      <c r="X53874" s="235" t="n"/>
    </row>
    <row r="53875" ht="14.25" customHeight="1" s="192">
      <c r="W53875" s="235" t="n"/>
      <c r="X53875" s="235" t="n"/>
    </row>
    <row r="53876" ht="14.25" customHeight="1" s="192">
      <c r="W53876" s="239" t="n"/>
      <c r="X53876" s="239" t="n"/>
    </row>
    <row r="53877" ht="14.25" customHeight="1" s="192">
      <c r="W53877" s="235" t="n"/>
      <c r="X53877" s="235" t="n"/>
    </row>
    <row r="53878" ht="14.25" customHeight="1" s="192">
      <c r="W53878" s="239" t="n"/>
      <c r="X53878" s="239" t="n"/>
    </row>
    <row r="53880" ht="14.25" customHeight="1" s="192">
      <c r="W53880" s="235" t="n"/>
      <c r="X53880" s="235" t="n"/>
    </row>
    <row r="53881" ht="15" customHeight="1" s="192" thickBot="1">
      <c r="W53881" s="239" t="n"/>
      <c r="X53881" s="239" t="n"/>
    </row>
    <row r="53882" ht="15" customHeight="1" s="192" thickBot="1">
      <c r="W53882" s="45" t="n"/>
      <c r="X53882" s="45" t="n"/>
    </row>
    <row r="53883" ht="14.25" customHeight="1" s="192">
      <c r="W53883" s="228" t="n"/>
      <c r="X53883" s="228" t="n"/>
    </row>
    <row r="53884" ht="14.25" customHeight="1" s="192">
      <c r="W53884" s="228" t="n"/>
      <c r="X53884" s="228" t="n"/>
    </row>
    <row r="53885" ht="14.25" customHeight="1" s="192">
      <c r="W53885" s="231" t="n"/>
      <c r="X53885" s="231" t="n"/>
    </row>
    <row r="53886" ht="14.25" customHeight="1" s="192">
      <c r="W53886" s="33" t="n"/>
      <c r="X53886" s="33" t="n"/>
    </row>
    <row r="53887" ht="14.25" customHeight="1" s="192">
      <c r="W53887" s="231" t="n"/>
      <c r="X53887" s="231" t="n"/>
    </row>
    <row r="53888" ht="14.25" customHeight="1" s="192">
      <c r="W53888" s="33" t="n"/>
      <c r="X53888" s="33" t="n"/>
    </row>
    <row r="53890" ht="14.25" customHeight="1" s="192">
      <c r="W53890" s="231" t="n"/>
      <c r="X53890" s="231" t="n"/>
    </row>
    <row r="53891" ht="14.25" customHeight="1" s="192">
      <c r="W53891" s="235" t="n"/>
      <c r="X53891" s="235" t="n"/>
    </row>
    <row r="53892" ht="14.25" customHeight="1" s="192">
      <c r="W53892" s="228" t="n"/>
      <c r="X53892" s="228" t="n"/>
    </row>
    <row r="53893" ht="14.25" customHeight="1" s="192">
      <c r="W53893" s="235" t="n"/>
      <c r="X53893" s="235" t="n"/>
    </row>
    <row r="53894" ht="14.25" customHeight="1" s="192">
      <c r="W53894" s="235" t="n"/>
      <c r="X53894" s="235" t="n"/>
    </row>
    <row r="53895" ht="14.25" customHeight="1" s="192">
      <c r="W53895" s="235" t="n"/>
      <c r="X53895" s="235" t="n"/>
    </row>
    <row r="53896" ht="14.25" customHeight="1" s="192">
      <c r="W53896" s="239" t="n"/>
      <c r="X53896" s="239" t="n"/>
    </row>
    <row r="53897" ht="14.25" customHeight="1" s="192">
      <c r="W53897" s="239" t="n"/>
      <c r="X53897" s="239" t="n"/>
    </row>
    <row r="53898" ht="14.25" customHeight="1" s="192">
      <c r="W53898" s="239" t="n"/>
      <c r="X53898" s="239" t="n"/>
    </row>
    <row r="53899" ht="14.25" customHeight="1" s="192">
      <c r="W53899" s="235" t="n"/>
      <c r="X53899" s="235" t="n"/>
    </row>
    <row r="53900" ht="14.25" customHeight="1" s="192">
      <c r="W53900" s="235" t="n"/>
      <c r="X53900" s="235" t="n"/>
    </row>
    <row r="53901" ht="14.25" customHeight="1" s="192">
      <c r="W53901" s="235" t="n"/>
      <c r="X53901" s="235" t="n"/>
    </row>
    <row r="53902" ht="14.25" customHeight="1" s="192">
      <c r="W53902" s="239" t="n"/>
      <c r="X53902" s="239" t="n"/>
    </row>
    <row r="53903" ht="14.25" customHeight="1" s="192">
      <c r="W53903" s="239" t="n"/>
      <c r="X53903" s="239" t="n"/>
    </row>
    <row r="53904" ht="14.25" customHeight="1" s="192">
      <c r="W53904" s="235" t="n"/>
      <c r="X53904" s="235" t="n"/>
    </row>
    <row r="53905" ht="14.25" customHeight="1" s="192">
      <c r="W53905" s="235" t="n"/>
      <c r="X53905" s="235" t="n"/>
    </row>
    <row r="53906" ht="14.25" customHeight="1" s="192">
      <c r="W53906" s="239" t="n"/>
      <c r="X53906" s="239" t="n"/>
    </row>
    <row r="53907" ht="14.25" customHeight="1" s="192">
      <c r="W53907" s="235" t="n"/>
      <c r="X53907" s="235" t="n"/>
    </row>
    <row r="53908" ht="14.25" customHeight="1" s="192">
      <c r="W53908" s="239" t="n"/>
      <c r="X53908" s="239" t="n"/>
    </row>
    <row r="53910" ht="14.25" customHeight="1" s="192">
      <c r="W53910" s="235" t="n"/>
      <c r="X53910" s="235" t="n"/>
    </row>
    <row r="53911" ht="15" customHeight="1" s="192" thickBot="1">
      <c r="W53911" s="239" t="n"/>
      <c r="X53911" s="239" t="n"/>
    </row>
    <row r="53912" ht="15" customHeight="1" s="192" thickBot="1">
      <c r="W53912" s="45" t="n"/>
      <c r="X53912" s="45" t="n"/>
    </row>
    <row r="53913" ht="14.25" customHeight="1" s="192">
      <c r="W53913" s="228" t="n"/>
      <c r="X53913" s="228" t="n"/>
    </row>
    <row r="53914" ht="14.25" customHeight="1" s="192">
      <c r="W53914" s="228" t="n"/>
      <c r="X53914" s="228" t="n"/>
    </row>
    <row r="53915" ht="14.25" customHeight="1" s="192">
      <c r="W53915" s="231" t="n"/>
      <c r="X53915" s="231" t="n"/>
    </row>
    <row r="53916" ht="14.25" customHeight="1" s="192">
      <c r="W53916" s="33" t="n"/>
      <c r="X53916" s="33" t="n"/>
    </row>
    <row r="53917" ht="14.25" customHeight="1" s="192">
      <c r="W53917" s="231" t="n"/>
      <c r="X53917" s="231" t="n"/>
    </row>
    <row r="53918" ht="14.25" customHeight="1" s="192">
      <c r="W53918" s="33" t="n"/>
      <c r="X53918" s="33" t="n"/>
    </row>
    <row r="53920" ht="14.25" customHeight="1" s="192">
      <c r="W53920" s="231" t="n"/>
      <c r="X53920" s="231" t="n"/>
    </row>
    <row r="53921" ht="14.25" customHeight="1" s="192">
      <c r="W53921" s="235" t="n"/>
      <c r="X53921" s="235" t="n"/>
    </row>
    <row r="53922" ht="14.25" customHeight="1" s="192">
      <c r="W53922" s="228" t="n"/>
      <c r="X53922" s="228" t="n"/>
    </row>
    <row r="53923" ht="14.25" customHeight="1" s="192">
      <c r="W53923" s="235" t="n"/>
      <c r="X53923" s="235" t="n"/>
    </row>
    <row r="53924" ht="14.25" customHeight="1" s="192">
      <c r="W53924" s="235" t="n"/>
      <c r="X53924" s="235" t="n"/>
    </row>
    <row r="53925" ht="14.25" customHeight="1" s="192">
      <c r="W53925" s="235" t="n"/>
      <c r="X53925" s="235" t="n"/>
    </row>
    <row r="53926" ht="14.25" customHeight="1" s="192">
      <c r="W53926" s="239" t="n"/>
      <c r="X53926" s="239" t="n"/>
    </row>
    <row r="53927" ht="14.25" customHeight="1" s="192">
      <c r="W53927" s="239" t="n"/>
      <c r="X53927" s="239" t="n"/>
    </row>
    <row r="53928" ht="14.25" customHeight="1" s="192">
      <c r="W53928" s="239" t="n"/>
      <c r="X53928" s="239" t="n"/>
    </row>
    <row r="53929" ht="14.25" customHeight="1" s="192">
      <c r="W53929" s="235" t="n"/>
      <c r="X53929" s="235" t="n"/>
    </row>
    <row r="53930" ht="14.25" customHeight="1" s="192">
      <c r="W53930" s="235" t="n"/>
      <c r="X53930" s="235" t="n"/>
    </row>
    <row r="53931" ht="14.25" customHeight="1" s="192">
      <c r="W53931" s="235" t="n"/>
      <c r="X53931" s="235" t="n"/>
    </row>
    <row r="53932" ht="14.25" customHeight="1" s="192">
      <c r="W53932" s="239" t="n"/>
      <c r="X53932" s="239" t="n"/>
    </row>
    <row r="53933" ht="14.25" customHeight="1" s="192">
      <c r="W53933" s="239" t="n"/>
      <c r="X53933" s="239" t="n"/>
    </row>
    <row r="53934" ht="14.25" customHeight="1" s="192">
      <c r="W53934" s="235" t="n"/>
      <c r="X53934" s="235" t="n"/>
    </row>
    <row r="53935" ht="14.25" customHeight="1" s="192">
      <c r="W53935" s="235" t="n"/>
      <c r="X53935" s="235" t="n"/>
    </row>
    <row r="53936" ht="14.25" customHeight="1" s="192">
      <c r="W53936" s="239" t="n"/>
      <c r="X53936" s="239" t="n"/>
    </row>
    <row r="53937" ht="14.25" customHeight="1" s="192">
      <c r="W53937" s="235" t="n"/>
      <c r="X53937" s="235" t="n"/>
    </row>
    <row r="53938" ht="14.25" customHeight="1" s="192">
      <c r="W53938" s="239" t="n"/>
      <c r="X53938" s="239" t="n"/>
    </row>
    <row r="53940" ht="14.25" customHeight="1" s="192">
      <c r="W53940" s="235" t="n"/>
      <c r="X53940" s="235" t="n"/>
    </row>
    <row r="53941" ht="15" customHeight="1" s="192" thickBot="1">
      <c r="W53941" s="239" t="n"/>
      <c r="X53941" s="239" t="n"/>
    </row>
    <row r="53942" ht="15" customHeight="1" s="192" thickBot="1">
      <c r="W53942" s="45" t="n"/>
      <c r="X53942" s="45" t="n"/>
    </row>
    <row r="53943" ht="14.25" customHeight="1" s="192">
      <c r="W53943" s="228" t="n"/>
      <c r="X53943" s="228" t="n"/>
    </row>
    <row r="53944" ht="14.25" customHeight="1" s="192">
      <c r="W53944" s="228" t="n"/>
      <c r="X53944" s="228" t="n"/>
    </row>
    <row r="53945" ht="14.25" customHeight="1" s="192">
      <c r="W53945" s="231" t="n"/>
      <c r="X53945" s="231" t="n"/>
    </row>
    <row r="53946" ht="14.25" customHeight="1" s="192">
      <c r="W53946" s="33" t="n"/>
      <c r="X53946" s="33" t="n"/>
    </row>
    <row r="53947" ht="14.25" customHeight="1" s="192">
      <c r="W53947" s="231" t="n"/>
      <c r="X53947" s="231" t="n"/>
    </row>
    <row r="53948" ht="14.25" customHeight="1" s="192">
      <c r="W53948" s="33" t="n"/>
      <c r="X53948" s="33" t="n"/>
    </row>
    <row r="53950" ht="14.25" customHeight="1" s="192">
      <c r="W53950" s="231" t="n"/>
      <c r="X53950" s="231" t="n"/>
    </row>
    <row r="53951" ht="14.25" customHeight="1" s="192">
      <c r="W53951" s="235" t="n"/>
      <c r="X53951" s="235" t="n"/>
    </row>
    <row r="53952" ht="14.25" customHeight="1" s="192">
      <c r="W53952" s="228" t="n"/>
      <c r="X53952" s="228" t="n"/>
    </row>
    <row r="53953" ht="14.25" customHeight="1" s="192">
      <c r="W53953" s="235" t="n"/>
      <c r="X53953" s="235" t="n"/>
    </row>
    <row r="53954" ht="14.25" customHeight="1" s="192">
      <c r="W53954" s="235" t="n"/>
      <c r="X53954" s="235" t="n"/>
    </row>
    <row r="53955" ht="14.25" customHeight="1" s="192">
      <c r="W53955" s="235" t="n"/>
      <c r="X53955" s="235" t="n"/>
    </row>
    <row r="53956" ht="14.25" customHeight="1" s="192">
      <c r="W53956" s="239" t="n"/>
      <c r="X53956" s="239" t="n"/>
    </row>
    <row r="53957" ht="14.25" customHeight="1" s="192">
      <c r="W53957" s="239" t="n"/>
      <c r="X53957" s="239" t="n"/>
    </row>
    <row r="53958" ht="14.25" customHeight="1" s="192">
      <c r="W53958" s="239" t="n"/>
      <c r="X53958" s="239" t="n"/>
    </row>
    <row r="53959" ht="14.25" customHeight="1" s="192">
      <c r="W53959" s="235" t="n"/>
      <c r="X53959" s="235" t="n"/>
    </row>
    <row r="53960" ht="14.25" customHeight="1" s="192">
      <c r="W53960" s="235" t="n"/>
      <c r="X53960" s="235" t="n"/>
    </row>
    <row r="53961" ht="14.25" customHeight="1" s="192">
      <c r="W53961" s="235" t="n"/>
      <c r="X53961" s="235" t="n"/>
    </row>
    <row r="53962" ht="14.25" customHeight="1" s="192">
      <c r="W53962" s="239" t="n"/>
      <c r="X53962" s="239" t="n"/>
    </row>
    <row r="53963" ht="14.25" customHeight="1" s="192">
      <c r="W53963" s="239" t="n"/>
      <c r="X53963" s="239" t="n"/>
    </row>
    <row r="53964" ht="14.25" customHeight="1" s="192">
      <c r="W53964" s="235" t="n"/>
      <c r="X53964" s="235" t="n"/>
    </row>
    <row r="53965" ht="14.25" customHeight="1" s="192">
      <c r="W53965" s="235" t="n"/>
      <c r="X53965" s="235" t="n"/>
    </row>
    <row r="53966" ht="14.25" customHeight="1" s="192">
      <c r="W53966" s="239" t="n"/>
      <c r="X53966" s="239" t="n"/>
    </row>
    <row r="53967" ht="14.25" customHeight="1" s="192">
      <c r="W53967" s="235" t="n"/>
      <c r="X53967" s="235" t="n"/>
    </row>
    <row r="53968" ht="14.25" customHeight="1" s="192">
      <c r="W53968" s="239" t="n"/>
      <c r="X53968" s="239" t="n"/>
    </row>
    <row r="53970" ht="14.25" customHeight="1" s="192">
      <c r="W53970" s="235" t="n"/>
      <c r="X53970" s="235" t="n"/>
    </row>
    <row r="53971" ht="15" customHeight="1" s="192" thickBot="1">
      <c r="W53971" s="239" t="n"/>
      <c r="X53971" s="239" t="n"/>
    </row>
    <row r="53972" ht="15" customHeight="1" s="192" thickBot="1">
      <c r="W53972" s="45" t="n"/>
      <c r="X53972" s="45" t="n"/>
    </row>
    <row r="53973" ht="14.25" customHeight="1" s="192">
      <c r="W53973" s="228" t="n"/>
      <c r="X53973" s="228" t="n"/>
    </row>
    <row r="53974" ht="14.25" customHeight="1" s="192">
      <c r="W53974" s="228" t="n"/>
      <c r="X53974" s="228" t="n"/>
    </row>
    <row r="53975" ht="14.25" customHeight="1" s="192">
      <c r="W53975" s="231" t="n"/>
      <c r="X53975" s="231" t="n"/>
    </row>
    <row r="53976" ht="14.25" customHeight="1" s="192">
      <c r="W53976" s="33" t="n"/>
      <c r="X53976" s="33" t="n"/>
    </row>
    <row r="53977" ht="14.25" customHeight="1" s="192">
      <c r="W53977" s="231" t="n"/>
      <c r="X53977" s="231" t="n"/>
    </row>
    <row r="53978" ht="14.25" customHeight="1" s="192">
      <c r="W53978" s="33" t="n"/>
      <c r="X53978" s="33" t="n"/>
    </row>
    <row r="53980" ht="14.25" customHeight="1" s="192">
      <c r="W53980" s="231" t="n"/>
      <c r="X53980" s="231" t="n"/>
    </row>
    <row r="53981" ht="14.25" customHeight="1" s="192">
      <c r="W53981" s="235" t="n"/>
      <c r="X53981" s="235" t="n"/>
    </row>
    <row r="53982" ht="14.25" customHeight="1" s="192">
      <c r="W53982" s="228" t="n"/>
      <c r="X53982" s="228" t="n"/>
    </row>
    <row r="53983" ht="14.25" customHeight="1" s="192">
      <c r="W53983" s="235" t="n"/>
      <c r="X53983" s="235" t="n"/>
    </row>
    <row r="53984" ht="14.25" customHeight="1" s="192">
      <c r="W53984" s="235" t="n"/>
      <c r="X53984" s="235" t="n"/>
    </row>
    <row r="53985" ht="14.25" customHeight="1" s="192">
      <c r="W53985" s="235" t="n"/>
      <c r="X53985" s="235" t="n"/>
    </row>
    <row r="53986" ht="14.25" customHeight="1" s="192">
      <c r="W53986" s="239" t="n"/>
      <c r="X53986" s="239" t="n"/>
    </row>
    <row r="53987" ht="14.25" customHeight="1" s="192">
      <c r="W53987" s="239" t="n"/>
      <c r="X53987" s="239" t="n"/>
    </row>
    <row r="53988" ht="14.25" customHeight="1" s="192">
      <c r="W53988" s="239" t="n"/>
      <c r="X53988" s="239" t="n"/>
    </row>
    <row r="53989" ht="14.25" customHeight="1" s="192">
      <c r="W53989" s="235" t="n"/>
      <c r="X53989" s="235" t="n"/>
    </row>
    <row r="53990" ht="14.25" customHeight="1" s="192">
      <c r="W53990" s="235" t="n"/>
      <c r="X53990" s="235" t="n"/>
    </row>
    <row r="53991" ht="14.25" customHeight="1" s="192">
      <c r="W53991" s="235" t="n"/>
      <c r="X53991" s="235" t="n"/>
    </row>
    <row r="53992" ht="14.25" customHeight="1" s="192">
      <c r="W53992" s="239" t="n"/>
      <c r="X53992" s="239" t="n"/>
    </row>
    <row r="53993" ht="14.25" customHeight="1" s="192">
      <c r="W53993" s="239" t="n"/>
      <c r="X53993" s="239" t="n"/>
    </row>
    <row r="53994" ht="14.25" customHeight="1" s="192">
      <c r="W53994" s="235" t="n"/>
      <c r="X53994" s="235" t="n"/>
    </row>
    <row r="53995" ht="14.25" customHeight="1" s="192">
      <c r="W53995" s="235" t="n"/>
      <c r="X53995" s="235" t="n"/>
    </row>
    <row r="53996" ht="14.25" customHeight="1" s="192">
      <c r="W53996" s="239" t="n"/>
      <c r="X53996" s="239" t="n"/>
    </row>
    <row r="53997" ht="14.25" customHeight="1" s="192">
      <c r="W53997" s="235" t="n"/>
      <c r="X53997" s="235" t="n"/>
    </row>
    <row r="53998" ht="14.25" customHeight="1" s="192">
      <c r="W53998" s="239" t="n"/>
      <c r="X53998" s="239" t="n"/>
    </row>
    <row r="54000" ht="14.25" customHeight="1" s="192">
      <c r="W54000" s="235" t="n"/>
      <c r="X54000" s="235" t="n"/>
    </row>
    <row r="54001" ht="15" customHeight="1" s="192" thickBot="1">
      <c r="W54001" s="239" t="n"/>
      <c r="X54001" s="239" t="n"/>
    </row>
    <row r="54002" ht="15" customHeight="1" s="192" thickBot="1">
      <c r="W54002" s="45" t="n"/>
      <c r="X54002" s="45" t="n"/>
    </row>
    <row r="54003" ht="14.25" customHeight="1" s="192">
      <c r="W54003" s="228" t="n"/>
      <c r="X54003" s="228" t="n"/>
    </row>
    <row r="54004" ht="14.25" customHeight="1" s="192">
      <c r="W54004" s="228" t="n"/>
      <c r="X54004" s="228" t="n"/>
    </row>
    <row r="54005" ht="14.25" customHeight="1" s="192">
      <c r="W54005" s="231" t="n"/>
      <c r="X54005" s="231" t="n"/>
    </row>
    <row r="54006" ht="14.25" customHeight="1" s="192">
      <c r="W54006" s="33" t="n"/>
      <c r="X54006" s="33" t="n"/>
    </row>
    <row r="54007" ht="14.25" customHeight="1" s="192">
      <c r="W54007" s="231" t="n"/>
      <c r="X54007" s="231" t="n"/>
    </row>
    <row r="54008" ht="14.25" customHeight="1" s="192">
      <c r="W54008" s="33" t="n"/>
      <c r="X54008" s="33" t="n"/>
    </row>
    <row r="54010" ht="14.25" customHeight="1" s="192">
      <c r="W54010" s="231" t="n"/>
      <c r="X54010" s="231" t="n"/>
    </row>
    <row r="54011" ht="14.25" customHeight="1" s="192">
      <c r="W54011" s="235" t="n"/>
      <c r="X54011" s="235" t="n"/>
    </row>
    <row r="54012" ht="14.25" customHeight="1" s="192">
      <c r="W54012" s="228" t="n"/>
      <c r="X54012" s="228" t="n"/>
    </row>
    <row r="54013" ht="14.25" customHeight="1" s="192">
      <c r="W54013" s="235" t="n"/>
      <c r="X54013" s="235" t="n"/>
    </row>
    <row r="54014" ht="14.25" customHeight="1" s="192">
      <c r="W54014" s="235" t="n"/>
      <c r="X54014" s="235" t="n"/>
    </row>
    <row r="54015" ht="14.25" customHeight="1" s="192">
      <c r="W54015" s="235" t="n"/>
      <c r="X54015" s="235" t="n"/>
    </row>
    <row r="54016" ht="14.25" customHeight="1" s="192">
      <c r="W54016" s="239" t="n"/>
      <c r="X54016" s="239" t="n"/>
    </row>
    <row r="54017" ht="14.25" customHeight="1" s="192">
      <c r="W54017" s="239" t="n"/>
      <c r="X54017" s="239" t="n"/>
    </row>
    <row r="54018" ht="14.25" customHeight="1" s="192">
      <c r="W54018" s="239" t="n"/>
      <c r="X54018" s="239" t="n"/>
    </row>
    <row r="54019" ht="14.25" customHeight="1" s="192">
      <c r="W54019" s="235" t="n"/>
      <c r="X54019" s="235" t="n"/>
    </row>
    <row r="54020" ht="14.25" customHeight="1" s="192">
      <c r="W54020" s="235" t="n"/>
      <c r="X54020" s="235" t="n"/>
    </row>
    <row r="54021" ht="14.25" customHeight="1" s="192">
      <c r="W54021" s="235" t="n"/>
      <c r="X54021" s="235" t="n"/>
    </row>
    <row r="54022" ht="14.25" customHeight="1" s="192">
      <c r="W54022" s="239" t="n"/>
      <c r="X54022" s="239" t="n"/>
    </row>
    <row r="54023" ht="14.25" customHeight="1" s="192">
      <c r="W54023" s="239" t="n"/>
      <c r="X54023" s="239" t="n"/>
    </row>
    <row r="54024" ht="14.25" customHeight="1" s="192">
      <c r="W54024" s="235" t="n"/>
      <c r="X54024" s="235" t="n"/>
    </row>
    <row r="54025" ht="14.25" customHeight="1" s="192">
      <c r="W54025" s="235" t="n"/>
      <c r="X54025" s="235" t="n"/>
    </row>
    <row r="54026" ht="14.25" customHeight="1" s="192">
      <c r="W54026" s="239" t="n"/>
      <c r="X54026" s="239" t="n"/>
    </row>
    <row r="54027" ht="14.25" customHeight="1" s="192">
      <c r="W54027" s="235" t="n"/>
      <c r="X54027" s="235" t="n"/>
    </row>
    <row r="54028" ht="14.25" customHeight="1" s="192">
      <c r="W54028" s="239" t="n"/>
      <c r="X54028" s="239" t="n"/>
    </row>
    <row r="54030" ht="14.25" customHeight="1" s="192">
      <c r="W54030" s="235" t="n"/>
      <c r="X54030" s="235" t="n"/>
    </row>
    <row r="54031" ht="15" customHeight="1" s="192" thickBot="1">
      <c r="W54031" s="239" t="n"/>
      <c r="X54031" s="239" t="n"/>
    </row>
    <row r="54032" ht="15" customHeight="1" s="192" thickBot="1">
      <c r="W54032" s="45" t="n"/>
      <c r="X54032" s="45" t="n"/>
    </row>
    <row r="54033" ht="14.25" customHeight="1" s="192">
      <c r="W54033" s="228" t="n"/>
      <c r="X54033" s="228" t="n"/>
    </row>
    <row r="54034" ht="14.25" customHeight="1" s="192">
      <c r="W54034" s="228" t="n"/>
      <c r="X54034" s="228" t="n"/>
    </row>
    <row r="54035" ht="14.25" customHeight="1" s="192">
      <c r="W54035" s="231" t="n"/>
      <c r="X54035" s="231" t="n"/>
    </row>
    <row r="54036" ht="14.25" customHeight="1" s="192">
      <c r="W54036" s="33" t="n"/>
      <c r="X54036" s="33" t="n"/>
    </row>
    <row r="54037" ht="14.25" customHeight="1" s="192">
      <c r="W54037" s="231" t="n"/>
      <c r="X54037" s="231" t="n"/>
    </row>
    <row r="54038" ht="14.25" customHeight="1" s="192">
      <c r="W54038" s="33" t="n"/>
      <c r="X54038" s="33" t="n"/>
    </row>
    <row r="54040" ht="14.25" customHeight="1" s="192">
      <c r="W54040" s="231" t="n"/>
      <c r="X54040" s="231" t="n"/>
    </row>
    <row r="54041" ht="14.25" customHeight="1" s="192">
      <c r="W54041" s="235" t="n"/>
      <c r="X54041" s="235" t="n"/>
    </row>
    <row r="54042" ht="14.25" customHeight="1" s="192">
      <c r="W54042" s="228" t="n"/>
      <c r="X54042" s="228" t="n"/>
    </row>
    <row r="54043" ht="14.25" customHeight="1" s="192">
      <c r="W54043" s="235" t="n"/>
      <c r="X54043" s="235" t="n"/>
    </row>
    <row r="54044" ht="14.25" customHeight="1" s="192">
      <c r="W54044" s="235" t="n"/>
      <c r="X54044" s="235" t="n"/>
    </row>
    <row r="54045" ht="14.25" customHeight="1" s="192">
      <c r="W54045" s="235" t="n"/>
      <c r="X54045" s="235" t="n"/>
    </row>
    <row r="54046" ht="14.25" customHeight="1" s="192">
      <c r="W54046" s="239" t="n"/>
      <c r="X54046" s="239" t="n"/>
    </row>
    <row r="54047" ht="14.25" customHeight="1" s="192">
      <c r="W54047" s="239" t="n"/>
      <c r="X54047" s="239" t="n"/>
    </row>
    <row r="54048" ht="14.25" customHeight="1" s="192">
      <c r="W54048" s="239" t="n"/>
      <c r="X54048" s="239" t="n"/>
    </row>
    <row r="54049" ht="14.25" customHeight="1" s="192">
      <c r="W54049" s="235" t="n"/>
      <c r="X54049" s="235" t="n"/>
    </row>
    <row r="54050" ht="14.25" customHeight="1" s="192">
      <c r="W54050" s="235" t="n"/>
      <c r="X54050" s="235" t="n"/>
    </row>
    <row r="54051" ht="14.25" customHeight="1" s="192">
      <c r="W54051" s="235" t="n"/>
      <c r="X54051" s="235" t="n"/>
    </row>
    <row r="54052" ht="14.25" customHeight="1" s="192">
      <c r="W54052" s="239" t="n"/>
      <c r="X54052" s="239" t="n"/>
    </row>
    <row r="54053" ht="14.25" customHeight="1" s="192">
      <c r="W54053" s="239" t="n"/>
      <c r="X54053" s="239" t="n"/>
    </row>
    <row r="54054" ht="14.25" customHeight="1" s="192">
      <c r="W54054" s="235" t="n"/>
      <c r="X54054" s="235" t="n"/>
    </row>
    <row r="54055" ht="14.25" customHeight="1" s="192">
      <c r="W54055" s="235" t="n"/>
      <c r="X54055" s="235" t="n"/>
    </row>
    <row r="54056" ht="14.25" customHeight="1" s="192">
      <c r="W54056" s="239" t="n"/>
      <c r="X54056" s="239" t="n"/>
    </row>
    <row r="54057" ht="14.25" customHeight="1" s="192">
      <c r="W54057" s="235" t="n"/>
      <c r="X54057" s="235" t="n"/>
    </row>
    <row r="54058" ht="14.25" customHeight="1" s="192">
      <c r="W54058" s="239" t="n"/>
      <c r="X54058" s="239" t="n"/>
    </row>
    <row r="54060" ht="14.25" customHeight="1" s="192">
      <c r="W54060" s="235" t="n"/>
      <c r="X54060" s="235" t="n"/>
    </row>
    <row r="54061" ht="15" customHeight="1" s="192" thickBot="1">
      <c r="W54061" s="239" t="n"/>
      <c r="X54061" s="239" t="n"/>
    </row>
    <row r="54062" ht="15" customHeight="1" s="192" thickBot="1">
      <c r="W54062" s="45" t="n"/>
      <c r="X54062" s="45" t="n"/>
    </row>
    <row r="54063" ht="14.25" customHeight="1" s="192">
      <c r="W54063" s="228" t="n"/>
      <c r="X54063" s="228" t="n"/>
    </row>
    <row r="54064" ht="14.25" customHeight="1" s="192">
      <c r="W54064" s="228" t="n"/>
      <c r="X54064" s="228" t="n"/>
    </row>
    <row r="54065" ht="14.25" customHeight="1" s="192">
      <c r="W54065" s="231" t="n"/>
      <c r="X54065" s="231" t="n"/>
    </row>
    <row r="54066" ht="14.25" customHeight="1" s="192">
      <c r="W54066" s="33" t="n"/>
      <c r="X54066" s="33" t="n"/>
    </row>
    <row r="54067" ht="14.25" customHeight="1" s="192">
      <c r="W54067" s="231" t="n"/>
      <c r="X54067" s="231" t="n"/>
    </row>
    <row r="54068" ht="14.25" customHeight="1" s="192">
      <c r="W54068" s="33" t="n"/>
      <c r="X54068" s="33" t="n"/>
    </row>
    <row r="54070" ht="14.25" customHeight="1" s="192">
      <c r="W54070" s="231" t="n"/>
      <c r="X54070" s="231" t="n"/>
    </row>
    <row r="54071" ht="14.25" customHeight="1" s="192">
      <c r="W54071" s="235" t="n"/>
      <c r="X54071" s="235" t="n"/>
    </row>
    <row r="54072" ht="14.25" customHeight="1" s="192">
      <c r="W54072" s="228" t="n"/>
      <c r="X54072" s="228" t="n"/>
    </row>
    <row r="54073" ht="14.25" customHeight="1" s="192">
      <c r="W54073" s="235" t="n"/>
      <c r="X54073" s="235" t="n"/>
    </row>
    <row r="54074" ht="14.25" customHeight="1" s="192">
      <c r="W54074" s="235" t="n"/>
      <c r="X54074" s="235" t="n"/>
    </row>
    <row r="54075" ht="14.25" customHeight="1" s="192">
      <c r="W54075" s="235" t="n"/>
      <c r="X54075" s="235" t="n"/>
    </row>
    <row r="54076" ht="14.25" customHeight="1" s="192">
      <c r="W54076" s="239" t="n"/>
      <c r="X54076" s="239" t="n"/>
    </row>
    <row r="54077" ht="14.25" customHeight="1" s="192">
      <c r="W54077" s="239" t="n"/>
      <c r="X54077" s="239" t="n"/>
    </row>
    <row r="54078" ht="14.25" customHeight="1" s="192">
      <c r="W54078" s="239" t="n"/>
      <c r="X54078" s="239" t="n"/>
    </row>
    <row r="54079" ht="14.25" customHeight="1" s="192">
      <c r="W54079" s="235" t="n"/>
      <c r="X54079" s="235" t="n"/>
    </row>
    <row r="54080" ht="14.25" customHeight="1" s="192">
      <c r="W54080" s="235" t="n"/>
      <c r="X54080" s="235" t="n"/>
    </row>
    <row r="54081" ht="14.25" customHeight="1" s="192">
      <c r="W54081" s="235" t="n"/>
      <c r="X54081" s="235" t="n"/>
    </row>
    <row r="54082" ht="14.25" customHeight="1" s="192">
      <c r="W54082" s="239" t="n"/>
      <c r="X54082" s="239" t="n"/>
    </row>
    <row r="54083" ht="14.25" customHeight="1" s="192">
      <c r="W54083" s="239" t="n"/>
      <c r="X54083" s="239" t="n"/>
    </row>
    <row r="54084" ht="14.25" customHeight="1" s="192">
      <c r="W54084" s="235" t="n"/>
      <c r="X54084" s="235" t="n"/>
    </row>
    <row r="54085" ht="14.25" customHeight="1" s="192">
      <c r="W54085" s="235" t="n"/>
      <c r="X54085" s="235" t="n"/>
    </row>
    <row r="54086" ht="14.25" customHeight="1" s="192">
      <c r="W54086" s="239" t="n"/>
      <c r="X54086" s="239" t="n"/>
    </row>
    <row r="54087" ht="14.25" customHeight="1" s="192">
      <c r="W54087" s="235" t="n"/>
      <c r="X54087" s="235" t="n"/>
    </row>
    <row r="54088" ht="14.25" customHeight="1" s="192">
      <c r="W54088" s="239" t="n"/>
      <c r="X54088" s="239" t="n"/>
    </row>
    <row r="54090" ht="14.25" customHeight="1" s="192">
      <c r="W54090" s="235" t="n"/>
      <c r="X54090" s="235" t="n"/>
    </row>
    <row r="54091" ht="15" customHeight="1" s="192" thickBot="1">
      <c r="W54091" s="239" t="n"/>
      <c r="X54091" s="239" t="n"/>
    </row>
    <row r="54092" ht="15" customHeight="1" s="192" thickBot="1">
      <c r="W54092" s="45" t="n"/>
      <c r="X54092" s="45" t="n"/>
    </row>
    <row r="54093" ht="14.25" customHeight="1" s="192">
      <c r="W54093" s="228" t="n"/>
      <c r="X54093" s="228" t="n"/>
    </row>
    <row r="54094" ht="14.25" customHeight="1" s="192">
      <c r="W54094" s="228" t="n"/>
      <c r="X54094" s="228" t="n"/>
    </row>
    <row r="54095" ht="14.25" customHeight="1" s="192">
      <c r="W54095" s="231" t="n"/>
      <c r="X54095" s="231" t="n"/>
    </row>
    <row r="54096" ht="14.25" customHeight="1" s="192">
      <c r="W54096" s="33" t="n"/>
      <c r="X54096" s="33" t="n"/>
    </row>
    <row r="54097" ht="14.25" customHeight="1" s="192">
      <c r="W54097" s="231" t="n"/>
      <c r="X54097" s="231" t="n"/>
    </row>
    <row r="54098" ht="14.25" customHeight="1" s="192">
      <c r="W54098" s="33" t="n"/>
      <c r="X54098" s="33" t="n"/>
    </row>
    <row r="54100" ht="14.25" customHeight="1" s="192">
      <c r="W54100" s="231" t="n"/>
      <c r="X54100" s="231" t="n"/>
    </row>
    <row r="54101" ht="14.25" customHeight="1" s="192">
      <c r="W54101" s="235" t="n"/>
      <c r="X54101" s="235" t="n"/>
    </row>
    <row r="54102" ht="14.25" customHeight="1" s="192">
      <c r="W54102" s="228" t="n"/>
      <c r="X54102" s="228" t="n"/>
    </row>
    <row r="54103" ht="14.25" customHeight="1" s="192">
      <c r="W54103" s="235" t="n"/>
      <c r="X54103" s="235" t="n"/>
    </row>
    <row r="54104" ht="14.25" customHeight="1" s="192">
      <c r="W54104" s="235" t="n"/>
      <c r="X54104" s="235" t="n"/>
    </row>
    <row r="54105" ht="14.25" customHeight="1" s="192">
      <c r="W54105" s="235" t="n"/>
      <c r="X54105" s="235" t="n"/>
    </row>
    <row r="54106" ht="14.25" customHeight="1" s="192">
      <c r="W54106" s="239" t="n"/>
      <c r="X54106" s="239" t="n"/>
    </row>
    <row r="54107" ht="14.25" customHeight="1" s="192">
      <c r="W54107" s="239" t="n"/>
      <c r="X54107" s="239" t="n"/>
    </row>
    <row r="54108" ht="14.25" customHeight="1" s="192">
      <c r="W54108" s="239" t="n"/>
      <c r="X54108" s="239" t="n"/>
    </row>
    <row r="54109" ht="14.25" customHeight="1" s="192">
      <c r="W54109" s="235" t="n"/>
      <c r="X54109" s="235" t="n"/>
    </row>
    <row r="54110" ht="14.25" customHeight="1" s="192">
      <c r="W54110" s="235" t="n"/>
      <c r="X54110" s="235" t="n"/>
    </row>
    <row r="54111" ht="14.25" customHeight="1" s="192">
      <c r="W54111" s="235" t="n"/>
      <c r="X54111" s="235" t="n"/>
    </row>
    <row r="54112" ht="14.25" customHeight="1" s="192">
      <c r="W54112" s="239" t="n"/>
      <c r="X54112" s="239" t="n"/>
    </row>
    <row r="54113" ht="14.25" customHeight="1" s="192">
      <c r="W54113" s="239" t="n"/>
      <c r="X54113" s="239" t="n"/>
    </row>
    <row r="54114" ht="14.25" customHeight="1" s="192">
      <c r="W54114" s="235" t="n"/>
      <c r="X54114" s="235" t="n"/>
    </row>
    <row r="54115" ht="14.25" customHeight="1" s="192">
      <c r="W54115" s="235" t="n"/>
      <c r="X54115" s="235" t="n"/>
    </row>
    <row r="54116" ht="14.25" customHeight="1" s="192">
      <c r="W54116" s="239" t="n"/>
      <c r="X54116" s="239" t="n"/>
    </row>
    <row r="54117" ht="14.25" customHeight="1" s="192">
      <c r="W54117" s="235" t="n"/>
      <c r="X54117" s="235" t="n"/>
    </row>
    <row r="54118" ht="14.25" customHeight="1" s="192">
      <c r="W54118" s="239" t="n"/>
      <c r="X54118" s="239" t="n"/>
    </row>
    <row r="54120" ht="14.25" customHeight="1" s="192">
      <c r="W54120" s="235" t="n"/>
      <c r="X54120" s="235" t="n"/>
    </row>
    <row r="54121" ht="15" customHeight="1" s="192" thickBot="1">
      <c r="W54121" s="239" t="n"/>
      <c r="X54121" s="239" t="n"/>
    </row>
    <row r="54122" ht="15" customHeight="1" s="192" thickBot="1">
      <c r="W54122" s="45" t="n"/>
      <c r="X54122" s="45" t="n"/>
    </row>
    <row r="54123" ht="14.25" customHeight="1" s="192">
      <c r="W54123" s="228" t="n"/>
      <c r="X54123" s="228" t="n"/>
    </row>
    <row r="54124" ht="14.25" customHeight="1" s="192">
      <c r="W54124" s="228" t="n"/>
      <c r="X54124" s="228" t="n"/>
    </row>
    <row r="54125" ht="14.25" customHeight="1" s="192">
      <c r="W54125" s="231" t="n"/>
      <c r="X54125" s="231" t="n"/>
    </row>
    <row r="54126" ht="14.25" customHeight="1" s="192">
      <c r="W54126" s="33" t="n"/>
      <c r="X54126" s="33" t="n"/>
    </row>
    <row r="54127" ht="14.25" customHeight="1" s="192">
      <c r="W54127" s="231" t="n"/>
      <c r="X54127" s="231" t="n"/>
    </row>
    <row r="54128" ht="14.25" customHeight="1" s="192">
      <c r="W54128" s="33" t="n"/>
      <c r="X54128" s="33" t="n"/>
    </row>
    <row r="54130" ht="14.25" customHeight="1" s="192">
      <c r="W54130" s="231" t="n"/>
      <c r="X54130" s="231" t="n"/>
    </row>
    <row r="54131" ht="14.25" customHeight="1" s="192">
      <c r="W54131" s="235" t="n"/>
      <c r="X54131" s="235" t="n"/>
    </row>
    <row r="54132" ht="14.25" customHeight="1" s="192">
      <c r="W54132" s="228" t="n"/>
      <c r="X54132" s="228" t="n"/>
    </row>
    <row r="54133" ht="14.25" customHeight="1" s="192">
      <c r="W54133" s="235" t="n"/>
      <c r="X54133" s="235" t="n"/>
    </row>
    <row r="54134" ht="14.25" customHeight="1" s="192">
      <c r="W54134" s="235" t="n"/>
      <c r="X54134" s="235" t="n"/>
    </row>
    <row r="54135" ht="14.25" customHeight="1" s="192">
      <c r="W54135" s="235" t="n"/>
      <c r="X54135" s="235" t="n"/>
    </row>
    <row r="54136" ht="14.25" customHeight="1" s="192">
      <c r="W54136" s="239" t="n"/>
      <c r="X54136" s="239" t="n"/>
    </row>
    <row r="54137" ht="14.25" customHeight="1" s="192">
      <c r="W54137" s="239" t="n"/>
      <c r="X54137" s="239" t="n"/>
    </row>
    <row r="54138" ht="14.25" customHeight="1" s="192">
      <c r="W54138" s="239" t="n"/>
      <c r="X54138" s="239" t="n"/>
    </row>
    <row r="54139" ht="14.25" customHeight="1" s="192">
      <c r="W54139" s="235" t="n"/>
      <c r="X54139" s="235" t="n"/>
    </row>
    <row r="54140" ht="14.25" customHeight="1" s="192">
      <c r="W54140" s="235" t="n"/>
      <c r="X54140" s="235" t="n"/>
    </row>
    <row r="54141" ht="14.25" customHeight="1" s="192">
      <c r="W54141" s="235" t="n"/>
      <c r="X54141" s="235" t="n"/>
    </row>
    <row r="54142" ht="14.25" customHeight="1" s="192">
      <c r="W54142" s="239" t="n"/>
      <c r="X54142" s="239" t="n"/>
    </row>
    <row r="54143" ht="14.25" customHeight="1" s="192">
      <c r="W54143" s="239" t="n"/>
      <c r="X54143" s="239" t="n"/>
    </row>
    <row r="54144" ht="14.25" customHeight="1" s="192">
      <c r="W54144" s="235" t="n"/>
      <c r="X54144" s="235" t="n"/>
    </row>
    <row r="54145" ht="14.25" customHeight="1" s="192">
      <c r="W54145" s="235" t="n"/>
      <c r="X54145" s="235" t="n"/>
    </row>
    <row r="54146" ht="14.25" customHeight="1" s="192">
      <c r="W54146" s="239" t="n"/>
      <c r="X54146" s="239" t="n"/>
    </row>
    <row r="54147" ht="14.25" customHeight="1" s="192">
      <c r="W54147" s="235" t="n"/>
      <c r="X54147" s="235" t="n"/>
    </row>
    <row r="54148" ht="14.25" customHeight="1" s="192">
      <c r="W54148" s="239" t="n"/>
      <c r="X54148" s="239" t="n"/>
    </row>
    <row r="54150" ht="14.25" customHeight="1" s="192">
      <c r="W54150" s="235" t="n"/>
      <c r="X54150" s="235" t="n"/>
    </row>
    <row r="54151" ht="15" customHeight="1" s="192" thickBot="1">
      <c r="W54151" s="239" t="n"/>
      <c r="X54151" s="239" t="n"/>
    </row>
    <row r="54152" ht="15" customHeight="1" s="192" thickBot="1">
      <c r="W54152" s="45" t="n"/>
      <c r="X54152" s="45" t="n"/>
    </row>
    <row r="54153" ht="14.25" customHeight="1" s="192">
      <c r="W54153" s="228" t="n"/>
      <c r="X54153" s="228" t="n"/>
    </row>
    <row r="54154" ht="14.25" customHeight="1" s="192">
      <c r="W54154" s="228" t="n"/>
      <c r="X54154" s="228" t="n"/>
    </row>
    <row r="54155" ht="14.25" customHeight="1" s="192">
      <c r="W54155" s="231" t="n"/>
      <c r="X54155" s="231" t="n"/>
    </row>
    <row r="54156" ht="14.25" customHeight="1" s="192">
      <c r="W54156" s="33" t="n"/>
      <c r="X54156" s="33" t="n"/>
    </row>
    <row r="54157" ht="14.25" customHeight="1" s="192">
      <c r="W54157" s="231" t="n"/>
      <c r="X54157" s="231" t="n"/>
    </row>
    <row r="54158" ht="14.25" customHeight="1" s="192">
      <c r="W54158" s="33" t="n"/>
      <c r="X54158" s="33" t="n"/>
    </row>
    <row r="54160" ht="14.25" customHeight="1" s="192">
      <c r="W54160" s="231" t="n"/>
      <c r="X54160" s="231" t="n"/>
    </row>
    <row r="54161" ht="14.25" customHeight="1" s="192">
      <c r="W54161" s="235" t="n"/>
      <c r="X54161" s="235" t="n"/>
    </row>
    <row r="54162" ht="14.25" customHeight="1" s="192">
      <c r="W54162" s="228" t="n"/>
      <c r="X54162" s="228" t="n"/>
    </row>
    <row r="54163" ht="14.25" customHeight="1" s="192">
      <c r="W54163" s="235" t="n"/>
      <c r="X54163" s="235" t="n"/>
    </row>
    <row r="54164" ht="14.25" customHeight="1" s="192">
      <c r="W54164" s="235" t="n"/>
      <c r="X54164" s="235" t="n"/>
    </row>
    <row r="54165" ht="14.25" customHeight="1" s="192">
      <c r="W54165" s="235" t="n"/>
      <c r="X54165" s="235" t="n"/>
    </row>
    <row r="54166" ht="14.25" customHeight="1" s="192">
      <c r="W54166" s="239" t="n"/>
      <c r="X54166" s="239" t="n"/>
    </row>
    <row r="54167" ht="14.25" customHeight="1" s="192">
      <c r="W54167" s="239" t="n"/>
      <c r="X54167" s="239" t="n"/>
    </row>
    <row r="54168" ht="14.25" customHeight="1" s="192">
      <c r="W54168" s="239" t="n"/>
      <c r="X54168" s="239" t="n"/>
    </row>
    <row r="54169" ht="14.25" customHeight="1" s="192">
      <c r="W54169" s="235" t="n"/>
      <c r="X54169" s="235" t="n"/>
    </row>
    <row r="54170" ht="14.25" customHeight="1" s="192">
      <c r="W54170" s="235" t="n"/>
      <c r="X54170" s="235" t="n"/>
    </row>
    <row r="54171" ht="14.25" customHeight="1" s="192">
      <c r="W54171" s="235" t="n"/>
      <c r="X54171" s="235" t="n"/>
    </row>
    <row r="54172" ht="14.25" customHeight="1" s="192">
      <c r="W54172" s="239" t="n"/>
      <c r="X54172" s="239" t="n"/>
    </row>
    <row r="54173" ht="14.25" customHeight="1" s="192">
      <c r="W54173" s="239" t="n"/>
      <c r="X54173" s="239" t="n"/>
    </row>
    <row r="54174" ht="14.25" customHeight="1" s="192">
      <c r="W54174" s="235" t="n"/>
      <c r="X54174" s="235" t="n"/>
    </row>
    <row r="54175" ht="14.25" customHeight="1" s="192">
      <c r="W54175" s="235" t="n"/>
      <c r="X54175" s="235" t="n"/>
    </row>
    <row r="54176" ht="14.25" customHeight="1" s="192">
      <c r="W54176" s="239" t="n"/>
      <c r="X54176" s="239" t="n"/>
    </row>
    <row r="54177" ht="14.25" customHeight="1" s="192">
      <c r="W54177" s="235" t="n"/>
      <c r="X54177" s="235" t="n"/>
    </row>
    <row r="54178" ht="14.25" customHeight="1" s="192">
      <c r="W54178" s="239" t="n"/>
      <c r="X54178" s="239" t="n"/>
    </row>
    <row r="54180" ht="14.25" customHeight="1" s="192">
      <c r="W54180" s="235" t="n"/>
      <c r="X54180" s="235" t="n"/>
    </row>
    <row r="54181" ht="15" customHeight="1" s="192" thickBot="1">
      <c r="W54181" s="239" t="n"/>
      <c r="X54181" s="239" t="n"/>
    </row>
    <row r="54182" ht="15" customHeight="1" s="192" thickBot="1">
      <c r="W54182" s="45" t="n"/>
      <c r="X54182" s="45" t="n"/>
    </row>
    <row r="54183" ht="14.25" customHeight="1" s="192">
      <c r="W54183" s="228" t="n"/>
      <c r="X54183" s="228" t="n"/>
    </row>
    <row r="54184" ht="14.25" customHeight="1" s="192">
      <c r="W54184" s="228" t="n"/>
      <c r="X54184" s="228" t="n"/>
    </row>
    <row r="54185" ht="14.25" customHeight="1" s="192">
      <c r="W54185" s="231" t="n"/>
      <c r="X54185" s="231" t="n"/>
    </row>
    <row r="54186" ht="14.25" customHeight="1" s="192">
      <c r="W54186" s="33" t="n"/>
      <c r="X54186" s="33" t="n"/>
    </row>
    <row r="54187" ht="14.25" customHeight="1" s="192">
      <c r="W54187" s="231" t="n"/>
      <c r="X54187" s="231" t="n"/>
    </row>
    <row r="54188" ht="14.25" customHeight="1" s="192">
      <c r="W54188" s="33" t="n"/>
      <c r="X54188" s="33" t="n"/>
    </row>
    <row r="54190" ht="14.25" customHeight="1" s="192">
      <c r="W54190" s="231" t="n"/>
      <c r="X54190" s="231" t="n"/>
    </row>
    <row r="54191" ht="14.25" customHeight="1" s="192">
      <c r="W54191" s="235" t="n"/>
      <c r="X54191" s="235" t="n"/>
    </row>
    <row r="54192" ht="14.25" customHeight="1" s="192">
      <c r="W54192" s="228" t="n"/>
      <c r="X54192" s="228" t="n"/>
    </row>
    <row r="54193" ht="14.25" customHeight="1" s="192">
      <c r="W54193" s="235" t="n"/>
      <c r="X54193" s="235" t="n"/>
    </row>
    <row r="54194" ht="14.25" customHeight="1" s="192">
      <c r="W54194" s="235" t="n"/>
      <c r="X54194" s="235" t="n"/>
    </row>
    <row r="54195" ht="14.25" customHeight="1" s="192">
      <c r="W54195" s="235" t="n"/>
      <c r="X54195" s="235" t="n"/>
    </row>
    <row r="54196" ht="14.25" customHeight="1" s="192">
      <c r="W54196" s="239" t="n"/>
      <c r="X54196" s="239" t="n"/>
    </row>
    <row r="54197" ht="14.25" customHeight="1" s="192">
      <c r="W54197" s="239" t="n"/>
      <c r="X54197" s="239" t="n"/>
    </row>
    <row r="54198" ht="14.25" customHeight="1" s="192">
      <c r="W54198" s="239" t="n"/>
      <c r="X54198" s="239" t="n"/>
    </row>
    <row r="54199" ht="14.25" customHeight="1" s="192">
      <c r="W54199" s="235" t="n"/>
      <c r="X54199" s="235" t="n"/>
    </row>
    <row r="54200" ht="14.25" customHeight="1" s="192">
      <c r="W54200" s="235" t="n"/>
      <c r="X54200" s="235" t="n"/>
    </row>
    <row r="54201" ht="14.25" customHeight="1" s="192">
      <c r="W54201" s="235" t="n"/>
      <c r="X54201" s="235" t="n"/>
    </row>
    <row r="54202" ht="14.25" customHeight="1" s="192">
      <c r="W54202" s="239" t="n"/>
      <c r="X54202" s="239" t="n"/>
    </row>
    <row r="54203" ht="14.25" customHeight="1" s="192">
      <c r="W54203" s="239" t="n"/>
      <c r="X54203" s="239" t="n"/>
    </row>
    <row r="54204" ht="14.25" customHeight="1" s="192">
      <c r="W54204" s="235" t="n"/>
      <c r="X54204" s="235" t="n"/>
    </row>
    <row r="54205" ht="14.25" customHeight="1" s="192">
      <c r="W54205" s="235" t="n"/>
      <c r="X54205" s="235" t="n"/>
    </row>
    <row r="54206" ht="14.25" customHeight="1" s="192">
      <c r="W54206" s="239" t="n"/>
      <c r="X54206" s="239" t="n"/>
    </row>
    <row r="54207" ht="14.25" customHeight="1" s="192">
      <c r="W54207" s="235" t="n"/>
      <c r="X54207" s="235" t="n"/>
    </row>
    <row r="54208" ht="14.25" customHeight="1" s="192">
      <c r="W54208" s="239" t="n"/>
      <c r="X54208" s="239" t="n"/>
    </row>
    <row r="54210" ht="14.25" customHeight="1" s="192">
      <c r="W54210" s="235" t="n"/>
      <c r="X54210" s="235" t="n"/>
    </row>
    <row r="54211" ht="15" customHeight="1" s="192" thickBot="1">
      <c r="W54211" s="239" t="n"/>
      <c r="X54211" s="239" t="n"/>
    </row>
    <row r="54212" ht="15" customHeight="1" s="192" thickBot="1">
      <c r="W54212" s="45" t="n"/>
      <c r="X54212" s="45" t="n"/>
    </row>
    <row r="54213" ht="14.25" customHeight="1" s="192">
      <c r="W54213" s="228" t="n"/>
      <c r="X54213" s="228" t="n"/>
    </row>
    <row r="54214" ht="14.25" customHeight="1" s="192">
      <c r="W54214" s="228" t="n"/>
      <c r="X54214" s="228" t="n"/>
    </row>
    <row r="54215" ht="14.25" customHeight="1" s="192">
      <c r="W54215" s="231" t="n"/>
      <c r="X54215" s="231" t="n"/>
    </row>
    <row r="54216" ht="14.25" customHeight="1" s="192">
      <c r="W54216" s="33" t="n"/>
      <c r="X54216" s="33" t="n"/>
    </row>
    <row r="54217" ht="14.25" customHeight="1" s="192">
      <c r="W54217" s="231" t="n"/>
      <c r="X54217" s="231" t="n"/>
    </row>
    <row r="54218" ht="14.25" customHeight="1" s="192">
      <c r="W54218" s="33" t="n"/>
      <c r="X54218" s="33" t="n"/>
    </row>
    <row r="54220" ht="14.25" customHeight="1" s="192">
      <c r="W54220" s="231" t="n"/>
      <c r="X54220" s="231" t="n"/>
    </row>
    <row r="54221" ht="14.25" customHeight="1" s="192">
      <c r="W54221" s="235" t="n"/>
      <c r="X54221" s="235" t="n"/>
    </row>
    <row r="54222" ht="14.25" customHeight="1" s="192">
      <c r="W54222" s="228" t="n"/>
      <c r="X54222" s="228" t="n"/>
    </row>
    <row r="54223" ht="14.25" customHeight="1" s="192">
      <c r="W54223" s="235" t="n"/>
      <c r="X54223" s="235" t="n"/>
    </row>
    <row r="54224" ht="14.25" customHeight="1" s="192">
      <c r="W54224" s="235" t="n"/>
      <c r="X54224" s="235" t="n"/>
    </row>
    <row r="54225" ht="14.25" customHeight="1" s="192">
      <c r="W54225" s="235" t="n"/>
      <c r="X54225" s="235" t="n"/>
    </row>
    <row r="54226" ht="14.25" customHeight="1" s="192">
      <c r="W54226" s="239" t="n"/>
      <c r="X54226" s="239" t="n"/>
    </row>
    <row r="54227" ht="14.25" customHeight="1" s="192">
      <c r="W54227" s="239" t="n"/>
      <c r="X54227" s="239" t="n"/>
    </row>
    <row r="54228" ht="14.25" customHeight="1" s="192">
      <c r="W54228" s="239" t="n"/>
      <c r="X54228" s="239" t="n"/>
    </row>
    <row r="54229" ht="14.25" customHeight="1" s="192">
      <c r="W54229" s="235" t="n"/>
      <c r="X54229" s="235" t="n"/>
    </row>
    <row r="54230" ht="14.25" customHeight="1" s="192">
      <c r="W54230" s="235" t="n"/>
      <c r="X54230" s="235" t="n"/>
    </row>
    <row r="54231" ht="14.25" customHeight="1" s="192">
      <c r="W54231" s="235" t="n"/>
      <c r="X54231" s="235" t="n"/>
    </row>
    <row r="54232" ht="14.25" customHeight="1" s="192">
      <c r="W54232" s="239" t="n"/>
      <c r="X54232" s="239" t="n"/>
    </row>
    <row r="54233" ht="14.25" customHeight="1" s="192">
      <c r="W54233" s="239" t="n"/>
      <c r="X54233" s="239" t="n"/>
    </row>
    <row r="54234" ht="14.25" customHeight="1" s="192">
      <c r="W54234" s="235" t="n"/>
      <c r="X54234" s="235" t="n"/>
    </row>
    <row r="54235" ht="14.25" customHeight="1" s="192">
      <c r="W54235" s="235" t="n"/>
      <c r="X54235" s="235" t="n"/>
    </row>
    <row r="54236" ht="14.25" customHeight="1" s="192">
      <c r="W54236" s="239" t="n"/>
      <c r="X54236" s="239" t="n"/>
    </row>
    <row r="54237" ht="14.25" customHeight="1" s="192">
      <c r="W54237" s="235" t="n"/>
      <c r="X54237" s="235" t="n"/>
    </row>
    <row r="54238" ht="14.25" customHeight="1" s="192">
      <c r="W54238" s="239" t="n"/>
      <c r="X54238" s="239" t="n"/>
    </row>
    <row r="54240" ht="14.25" customHeight="1" s="192">
      <c r="W54240" s="235" t="n"/>
      <c r="X54240" s="235" t="n"/>
    </row>
    <row r="54241" ht="15" customHeight="1" s="192" thickBot="1">
      <c r="W54241" s="239" t="n"/>
      <c r="X54241" s="239" t="n"/>
    </row>
    <row r="54242" ht="15" customHeight="1" s="192" thickBot="1">
      <c r="W54242" s="45" t="n"/>
      <c r="X54242" s="45" t="n"/>
    </row>
    <row r="54243" ht="14.25" customHeight="1" s="192">
      <c r="W54243" s="228" t="n"/>
      <c r="X54243" s="228" t="n"/>
    </row>
    <row r="54244" ht="14.25" customHeight="1" s="192">
      <c r="W54244" s="228" t="n"/>
      <c r="X54244" s="228" t="n"/>
    </row>
    <row r="54245" ht="14.25" customHeight="1" s="192">
      <c r="W54245" s="231" t="n"/>
      <c r="X54245" s="231" t="n"/>
    </row>
    <row r="54246" ht="14.25" customHeight="1" s="192">
      <c r="W54246" s="33" t="n"/>
      <c r="X54246" s="33" t="n"/>
    </row>
    <row r="54247" ht="14.25" customHeight="1" s="192">
      <c r="W54247" s="231" t="n"/>
      <c r="X54247" s="231" t="n"/>
    </row>
    <row r="54248" ht="14.25" customHeight="1" s="192">
      <c r="W54248" s="33" t="n"/>
      <c r="X54248" s="33" t="n"/>
    </row>
    <row r="54250" ht="14.25" customHeight="1" s="192">
      <c r="W54250" s="231" t="n"/>
      <c r="X54250" s="231" t="n"/>
    </row>
    <row r="54251" ht="14.25" customHeight="1" s="192">
      <c r="W54251" s="235" t="n"/>
      <c r="X54251" s="235" t="n"/>
    </row>
    <row r="54252" ht="14.25" customHeight="1" s="192">
      <c r="W54252" s="228" t="n"/>
      <c r="X54252" s="228" t="n"/>
    </row>
    <row r="54253" ht="14.25" customHeight="1" s="192">
      <c r="W54253" s="235" t="n"/>
      <c r="X54253" s="235" t="n"/>
    </row>
    <row r="54254" ht="14.25" customHeight="1" s="192">
      <c r="W54254" s="235" t="n"/>
      <c r="X54254" s="235" t="n"/>
    </row>
    <row r="54255" ht="14.25" customHeight="1" s="192">
      <c r="W54255" s="235" t="n"/>
      <c r="X54255" s="235" t="n"/>
    </row>
    <row r="54256" ht="14.25" customHeight="1" s="192">
      <c r="W54256" s="239" t="n"/>
      <c r="X54256" s="239" t="n"/>
    </row>
    <row r="54257" ht="14.25" customHeight="1" s="192">
      <c r="W54257" s="239" t="n"/>
      <c r="X54257" s="239" t="n"/>
    </row>
    <row r="54258" ht="14.25" customHeight="1" s="192">
      <c r="W54258" s="239" t="n"/>
      <c r="X54258" s="239" t="n"/>
    </row>
    <row r="54259" ht="14.25" customHeight="1" s="192">
      <c r="W54259" s="235" t="n"/>
      <c r="X54259" s="235" t="n"/>
    </row>
    <row r="54260" ht="14.25" customHeight="1" s="192">
      <c r="W54260" s="235" t="n"/>
      <c r="X54260" s="235" t="n"/>
    </row>
    <row r="54261" ht="14.25" customHeight="1" s="192">
      <c r="W54261" s="235" t="n"/>
      <c r="X54261" s="235" t="n"/>
    </row>
    <row r="54262" ht="14.25" customHeight="1" s="192">
      <c r="W54262" s="239" t="n"/>
      <c r="X54262" s="239" t="n"/>
    </row>
    <row r="54263" ht="14.25" customHeight="1" s="192">
      <c r="W54263" s="239" t="n"/>
      <c r="X54263" s="239" t="n"/>
    </row>
    <row r="54264" ht="14.25" customHeight="1" s="192">
      <c r="W54264" s="235" t="n"/>
      <c r="X54264" s="235" t="n"/>
    </row>
    <row r="54265" ht="14.25" customHeight="1" s="192">
      <c r="W54265" s="235" t="n"/>
      <c r="X54265" s="235" t="n"/>
    </row>
    <row r="54266" ht="14.25" customHeight="1" s="192">
      <c r="W54266" s="239" t="n"/>
      <c r="X54266" s="239" t="n"/>
    </row>
    <row r="54267" ht="14.25" customHeight="1" s="192">
      <c r="W54267" s="235" t="n"/>
      <c r="X54267" s="235" t="n"/>
    </row>
    <row r="54268" ht="14.25" customHeight="1" s="192">
      <c r="W54268" s="239" t="n"/>
      <c r="X54268" s="239" t="n"/>
    </row>
    <row r="54270" ht="14.25" customHeight="1" s="192">
      <c r="W54270" s="235" t="n"/>
      <c r="X54270" s="235" t="n"/>
    </row>
    <row r="54271" ht="15" customHeight="1" s="192" thickBot="1">
      <c r="W54271" s="239" t="n"/>
      <c r="X54271" s="239" t="n"/>
    </row>
    <row r="54272" ht="15" customHeight="1" s="192" thickBot="1">
      <c r="W54272" s="45" t="n"/>
      <c r="X54272" s="45" t="n"/>
    </row>
    <row r="54273" ht="14.25" customHeight="1" s="192">
      <c r="W54273" s="228" t="n"/>
      <c r="X54273" s="228" t="n"/>
    </row>
    <row r="54274" ht="14.25" customHeight="1" s="192">
      <c r="W54274" s="228" t="n"/>
      <c r="X54274" s="228" t="n"/>
    </row>
    <row r="54275" ht="14.25" customHeight="1" s="192">
      <c r="W54275" s="231" t="n"/>
      <c r="X54275" s="231" t="n"/>
    </row>
    <row r="54276" ht="14.25" customHeight="1" s="192">
      <c r="W54276" s="33" t="n"/>
      <c r="X54276" s="33" t="n"/>
    </row>
    <row r="54277" ht="14.25" customHeight="1" s="192">
      <c r="W54277" s="231" t="n"/>
      <c r="X54277" s="231" t="n"/>
    </row>
    <row r="54278" ht="14.25" customHeight="1" s="192">
      <c r="W54278" s="33" t="n"/>
      <c r="X54278" s="33" t="n"/>
    </row>
    <row r="54280" ht="14.25" customHeight="1" s="192">
      <c r="W54280" s="231" t="n"/>
      <c r="X54280" s="231" t="n"/>
    </row>
    <row r="54281" ht="14.25" customHeight="1" s="192">
      <c r="W54281" s="235" t="n"/>
      <c r="X54281" s="235" t="n"/>
    </row>
    <row r="54282" ht="14.25" customHeight="1" s="192">
      <c r="W54282" s="228" t="n"/>
      <c r="X54282" s="228" t="n"/>
    </row>
    <row r="54283" ht="14.25" customHeight="1" s="192">
      <c r="W54283" s="235" t="n"/>
      <c r="X54283" s="235" t="n"/>
    </row>
    <row r="54284" ht="14.25" customHeight="1" s="192">
      <c r="W54284" s="235" t="n"/>
      <c r="X54284" s="235" t="n"/>
    </row>
    <row r="54285" ht="14.25" customHeight="1" s="192">
      <c r="W54285" s="235" t="n"/>
      <c r="X54285" s="235" t="n"/>
    </row>
    <row r="54286" ht="14.25" customHeight="1" s="192">
      <c r="W54286" s="239" t="n"/>
      <c r="X54286" s="239" t="n"/>
    </row>
    <row r="54287" ht="14.25" customHeight="1" s="192">
      <c r="W54287" s="239" t="n"/>
      <c r="X54287" s="239" t="n"/>
    </row>
    <row r="54288" ht="14.25" customHeight="1" s="192">
      <c r="W54288" s="239" t="n"/>
      <c r="X54288" s="239" t="n"/>
    </row>
    <row r="54289" ht="14.25" customHeight="1" s="192">
      <c r="W54289" s="235" t="n"/>
      <c r="X54289" s="235" t="n"/>
    </row>
    <row r="54290" ht="14.25" customHeight="1" s="192">
      <c r="W54290" s="235" t="n"/>
      <c r="X54290" s="235" t="n"/>
    </row>
    <row r="54291" ht="14.25" customHeight="1" s="192">
      <c r="W54291" s="235" t="n"/>
      <c r="X54291" s="235" t="n"/>
    </row>
    <row r="54292" ht="14.25" customHeight="1" s="192">
      <c r="W54292" s="239" t="n"/>
      <c r="X54292" s="239" t="n"/>
    </row>
    <row r="54293" ht="14.25" customHeight="1" s="192">
      <c r="W54293" s="239" t="n"/>
      <c r="X54293" s="239" t="n"/>
    </row>
    <row r="54294" ht="14.25" customHeight="1" s="192">
      <c r="W54294" s="235" t="n"/>
      <c r="X54294" s="235" t="n"/>
    </row>
    <row r="54295" ht="14.25" customHeight="1" s="192">
      <c r="W54295" s="235" t="n"/>
      <c r="X54295" s="235" t="n"/>
    </row>
    <row r="54296" ht="14.25" customHeight="1" s="192">
      <c r="W54296" s="239" t="n"/>
      <c r="X54296" s="239" t="n"/>
    </row>
    <row r="54297" ht="14.25" customHeight="1" s="192">
      <c r="W54297" s="235" t="n"/>
      <c r="X54297" s="235" t="n"/>
    </row>
    <row r="54298" ht="14.25" customHeight="1" s="192">
      <c r="W54298" s="239" t="n"/>
      <c r="X54298" s="239" t="n"/>
    </row>
    <row r="54300" ht="14.25" customHeight="1" s="192">
      <c r="W54300" s="235" t="n"/>
      <c r="X54300" s="235" t="n"/>
    </row>
    <row r="54301" ht="15" customHeight="1" s="192" thickBot="1">
      <c r="W54301" s="239" t="n"/>
      <c r="X54301" s="239" t="n"/>
    </row>
    <row r="54302" ht="15" customHeight="1" s="192" thickBot="1">
      <c r="W54302" s="45" t="n"/>
      <c r="X54302" s="45" t="n"/>
    </row>
    <row r="54303" ht="14.25" customHeight="1" s="192">
      <c r="W54303" s="228" t="n"/>
      <c r="X54303" s="228" t="n"/>
    </row>
    <row r="54304" ht="14.25" customHeight="1" s="192">
      <c r="W54304" s="228" t="n"/>
      <c r="X54304" s="228" t="n"/>
    </row>
    <row r="54305" ht="14.25" customHeight="1" s="192">
      <c r="W54305" s="231" t="n"/>
      <c r="X54305" s="231" t="n"/>
    </row>
    <row r="54306" ht="14.25" customHeight="1" s="192">
      <c r="W54306" s="33" t="n"/>
      <c r="X54306" s="33" t="n"/>
    </row>
    <row r="54307" ht="14.25" customHeight="1" s="192">
      <c r="W54307" s="231" t="n"/>
      <c r="X54307" s="231" t="n"/>
    </row>
    <row r="54308" ht="14.25" customHeight="1" s="192">
      <c r="W54308" s="33" t="n"/>
      <c r="X54308" s="33" t="n"/>
    </row>
    <row r="54310" ht="14.25" customHeight="1" s="192">
      <c r="W54310" s="231" t="n"/>
      <c r="X54310" s="231" t="n"/>
    </row>
    <row r="54311" ht="14.25" customHeight="1" s="192">
      <c r="W54311" s="235" t="n"/>
      <c r="X54311" s="235" t="n"/>
    </row>
    <row r="54312" ht="14.25" customHeight="1" s="192">
      <c r="W54312" s="228" t="n"/>
      <c r="X54312" s="228" t="n"/>
    </row>
    <row r="54313" ht="14.25" customHeight="1" s="192">
      <c r="W54313" s="235" t="n"/>
      <c r="X54313" s="235" t="n"/>
    </row>
    <row r="54314" ht="14.25" customHeight="1" s="192">
      <c r="W54314" s="235" t="n"/>
      <c r="X54314" s="235" t="n"/>
    </row>
    <row r="54315" ht="14.25" customHeight="1" s="192">
      <c r="W54315" s="235" t="n"/>
      <c r="X54315" s="235" t="n"/>
    </row>
    <row r="54316" ht="14.25" customHeight="1" s="192">
      <c r="W54316" s="239" t="n"/>
      <c r="X54316" s="239" t="n"/>
    </row>
    <row r="54317" ht="14.25" customHeight="1" s="192">
      <c r="W54317" s="239" t="n"/>
      <c r="X54317" s="239" t="n"/>
    </row>
    <row r="54318" ht="14.25" customHeight="1" s="192">
      <c r="W54318" s="239" t="n"/>
      <c r="X54318" s="239" t="n"/>
    </row>
    <row r="54319" ht="14.25" customHeight="1" s="192">
      <c r="W54319" s="235" t="n"/>
      <c r="X54319" s="235" t="n"/>
    </row>
    <row r="54320" ht="14.25" customHeight="1" s="192">
      <c r="W54320" s="235" t="n"/>
      <c r="X54320" s="235" t="n"/>
    </row>
    <row r="54321" ht="14.25" customHeight="1" s="192">
      <c r="W54321" s="235" t="n"/>
      <c r="X54321" s="235" t="n"/>
    </row>
    <row r="54322" ht="14.25" customHeight="1" s="192">
      <c r="W54322" s="239" t="n"/>
      <c r="X54322" s="239" t="n"/>
    </row>
    <row r="54323" ht="14.25" customHeight="1" s="192">
      <c r="W54323" s="239" t="n"/>
      <c r="X54323" s="239" t="n"/>
    </row>
    <row r="54324" ht="14.25" customHeight="1" s="192">
      <c r="W54324" s="235" t="n"/>
      <c r="X54324" s="235" t="n"/>
    </row>
    <row r="54325" ht="14.25" customHeight="1" s="192">
      <c r="W54325" s="235" t="n"/>
      <c r="X54325" s="235" t="n"/>
    </row>
    <row r="54326" ht="14.25" customHeight="1" s="192">
      <c r="W54326" s="239" t="n"/>
      <c r="X54326" s="239" t="n"/>
    </row>
    <row r="54327" ht="14.25" customHeight="1" s="192">
      <c r="W54327" s="235" t="n"/>
      <c r="X54327" s="235" t="n"/>
    </row>
    <row r="54328" ht="14.25" customHeight="1" s="192">
      <c r="W54328" s="239" t="n"/>
      <c r="X54328" s="239" t="n"/>
    </row>
    <row r="54330" ht="14.25" customHeight="1" s="192">
      <c r="W54330" s="235" t="n"/>
      <c r="X54330" s="235" t="n"/>
    </row>
    <row r="54331" ht="15" customHeight="1" s="192" thickBot="1">
      <c r="W54331" s="239" t="n"/>
      <c r="X54331" s="239" t="n"/>
    </row>
    <row r="54332" ht="15" customHeight="1" s="192" thickBot="1">
      <c r="W54332" s="45" t="n"/>
      <c r="X54332" s="45" t="n"/>
    </row>
    <row r="54333" ht="14.25" customHeight="1" s="192">
      <c r="W54333" s="228" t="n"/>
      <c r="X54333" s="228" t="n"/>
    </row>
    <row r="54334" ht="14.25" customHeight="1" s="192">
      <c r="W54334" s="228" t="n"/>
      <c r="X54334" s="228" t="n"/>
    </row>
    <row r="54335" ht="14.25" customHeight="1" s="192">
      <c r="W54335" s="231" t="n"/>
      <c r="X54335" s="231" t="n"/>
    </row>
    <row r="54336" ht="14.25" customHeight="1" s="192">
      <c r="W54336" s="33" t="n"/>
      <c r="X54336" s="33" t="n"/>
    </row>
    <row r="54337" ht="14.25" customHeight="1" s="192">
      <c r="W54337" s="231" t="n"/>
      <c r="X54337" s="231" t="n"/>
    </row>
    <row r="54338" ht="14.25" customHeight="1" s="192">
      <c r="W54338" s="33" t="n"/>
      <c r="X54338" s="33" t="n"/>
    </row>
    <row r="54340" ht="14.25" customHeight="1" s="192">
      <c r="W54340" s="231" t="n"/>
      <c r="X54340" s="231" t="n"/>
    </row>
    <row r="54341" ht="14.25" customHeight="1" s="192">
      <c r="W54341" s="235" t="n"/>
      <c r="X54341" s="235" t="n"/>
    </row>
    <row r="54342" ht="14.25" customHeight="1" s="192">
      <c r="W54342" s="228" t="n"/>
      <c r="X54342" s="228" t="n"/>
    </row>
    <row r="54343" ht="14.25" customHeight="1" s="192">
      <c r="W54343" s="235" t="n"/>
      <c r="X54343" s="235" t="n"/>
    </row>
    <row r="54344" ht="14.25" customHeight="1" s="192">
      <c r="W54344" s="235" t="n"/>
      <c r="X54344" s="235" t="n"/>
    </row>
    <row r="54345" ht="14.25" customHeight="1" s="192">
      <c r="W54345" s="235" t="n"/>
      <c r="X54345" s="235" t="n"/>
    </row>
    <row r="54346" ht="14.25" customHeight="1" s="192">
      <c r="W54346" s="239" t="n"/>
      <c r="X54346" s="239" t="n"/>
    </row>
    <row r="54347" ht="14.25" customHeight="1" s="192">
      <c r="W54347" s="239" t="n"/>
      <c r="X54347" s="239" t="n"/>
    </row>
    <row r="54348" ht="14.25" customHeight="1" s="192">
      <c r="W54348" s="239" t="n"/>
      <c r="X54348" s="239" t="n"/>
    </row>
    <row r="54349" ht="14.25" customHeight="1" s="192">
      <c r="W54349" s="235" t="n"/>
      <c r="X54349" s="235" t="n"/>
    </row>
    <row r="54350" ht="14.25" customHeight="1" s="192">
      <c r="W54350" s="235" t="n"/>
      <c r="X54350" s="235" t="n"/>
    </row>
    <row r="54351" ht="14.25" customHeight="1" s="192">
      <c r="W54351" s="235" t="n"/>
      <c r="X54351" s="235" t="n"/>
    </row>
    <row r="54352" ht="14.25" customHeight="1" s="192">
      <c r="W54352" s="239" t="n"/>
      <c r="X54352" s="239" t="n"/>
    </row>
    <row r="54353" ht="14.25" customHeight="1" s="192">
      <c r="W54353" s="239" t="n"/>
      <c r="X54353" s="239" t="n"/>
    </row>
    <row r="54354" ht="14.25" customHeight="1" s="192">
      <c r="W54354" s="235" t="n"/>
      <c r="X54354" s="235" t="n"/>
    </row>
    <row r="54355" ht="14.25" customHeight="1" s="192">
      <c r="W54355" s="235" t="n"/>
      <c r="X54355" s="235" t="n"/>
    </row>
    <row r="54356" ht="14.25" customHeight="1" s="192">
      <c r="W54356" s="239" t="n"/>
      <c r="X54356" s="239" t="n"/>
    </row>
    <row r="54357" ht="14.25" customHeight="1" s="192">
      <c r="W54357" s="235" t="n"/>
      <c r="X54357" s="235" t="n"/>
    </row>
    <row r="54358" ht="14.25" customHeight="1" s="192">
      <c r="W54358" s="239" t="n"/>
      <c r="X54358" s="239" t="n"/>
    </row>
    <row r="54360" ht="14.25" customHeight="1" s="192">
      <c r="W54360" s="235" t="n"/>
      <c r="X54360" s="235" t="n"/>
    </row>
    <row r="54361" ht="15" customHeight="1" s="192" thickBot="1">
      <c r="W54361" s="239" t="n"/>
      <c r="X54361" s="239" t="n"/>
    </row>
    <row r="54362" ht="15" customHeight="1" s="192" thickBot="1">
      <c r="W54362" s="45" t="n"/>
      <c r="X54362" s="45" t="n"/>
    </row>
    <row r="54363" ht="14.25" customHeight="1" s="192">
      <c r="W54363" s="228" t="n"/>
      <c r="X54363" s="228" t="n"/>
    </row>
    <row r="54364" ht="14.25" customHeight="1" s="192">
      <c r="W54364" s="228" t="n"/>
      <c r="X54364" s="228" t="n"/>
    </row>
    <row r="54365" ht="14.25" customHeight="1" s="192">
      <c r="W54365" s="231" t="n"/>
      <c r="X54365" s="231" t="n"/>
    </row>
    <row r="54366" ht="14.25" customHeight="1" s="192">
      <c r="W54366" s="33" t="n"/>
      <c r="X54366" s="33" t="n"/>
    </row>
    <row r="54367" ht="14.25" customHeight="1" s="192">
      <c r="W54367" s="231" t="n"/>
      <c r="X54367" s="231" t="n"/>
    </row>
    <row r="54368" ht="14.25" customHeight="1" s="192">
      <c r="W54368" s="33" t="n"/>
      <c r="X54368" s="33" t="n"/>
    </row>
    <row r="54370" ht="14.25" customHeight="1" s="192">
      <c r="W54370" s="231" t="n"/>
      <c r="X54370" s="231" t="n"/>
    </row>
    <row r="54371" ht="14.25" customHeight="1" s="192">
      <c r="W54371" s="235" t="n"/>
      <c r="X54371" s="235" t="n"/>
    </row>
    <row r="54372" ht="14.25" customHeight="1" s="192">
      <c r="W54372" s="228" t="n"/>
      <c r="X54372" s="228" t="n"/>
    </row>
    <row r="54373" ht="14.25" customHeight="1" s="192">
      <c r="W54373" s="235" t="n"/>
      <c r="X54373" s="235" t="n"/>
    </row>
    <row r="54374" ht="14.25" customHeight="1" s="192">
      <c r="W54374" s="235" t="n"/>
      <c r="X54374" s="235" t="n"/>
    </row>
    <row r="54375" ht="14.25" customHeight="1" s="192">
      <c r="W54375" s="235" t="n"/>
      <c r="X54375" s="235" t="n"/>
    </row>
    <row r="54376" ht="14.25" customHeight="1" s="192">
      <c r="W54376" s="239" t="n"/>
      <c r="X54376" s="239" t="n"/>
    </row>
    <row r="54377" ht="14.25" customHeight="1" s="192">
      <c r="W54377" s="239" t="n"/>
      <c r="X54377" s="239" t="n"/>
    </row>
    <row r="54378" ht="14.25" customHeight="1" s="192">
      <c r="W54378" s="239" t="n"/>
      <c r="X54378" s="239" t="n"/>
    </row>
    <row r="54379" ht="14.25" customHeight="1" s="192">
      <c r="W54379" s="235" t="n"/>
      <c r="X54379" s="235" t="n"/>
    </row>
    <row r="54380" ht="14.25" customHeight="1" s="192">
      <c r="W54380" s="235" t="n"/>
      <c r="X54380" s="235" t="n"/>
    </row>
    <row r="54381" ht="14.25" customHeight="1" s="192">
      <c r="W54381" s="235" t="n"/>
      <c r="X54381" s="235" t="n"/>
    </row>
    <row r="54382" ht="14.25" customHeight="1" s="192">
      <c r="W54382" s="239" t="n"/>
      <c r="X54382" s="239" t="n"/>
    </row>
    <row r="54383" ht="14.25" customHeight="1" s="192">
      <c r="W54383" s="239" t="n"/>
      <c r="X54383" s="239" t="n"/>
    </row>
    <row r="54384" ht="14.25" customHeight="1" s="192">
      <c r="W54384" s="235" t="n"/>
      <c r="X54384" s="235" t="n"/>
    </row>
    <row r="54385" ht="14.25" customHeight="1" s="192">
      <c r="W54385" s="235" t="n"/>
      <c r="X54385" s="235" t="n"/>
    </row>
    <row r="54386" ht="14.25" customHeight="1" s="192">
      <c r="W54386" s="239" t="n"/>
      <c r="X54386" s="239" t="n"/>
    </row>
    <row r="54387" ht="14.25" customHeight="1" s="192">
      <c r="W54387" s="235" t="n"/>
      <c r="X54387" s="235" t="n"/>
    </row>
    <row r="54388" ht="14.25" customHeight="1" s="192">
      <c r="W54388" s="239" t="n"/>
      <c r="X54388" s="239" t="n"/>
    </row>
    <row r="54390" ht="14.25" customHeight="1" s="192">
      <c r="W54390" s="235" t="n"/>
      <c r="X54390" s="235" t="n"/>
    </row>
    <row r="54391" ht="15" customHeight="1" s="192" thickBot="1">
      <c r="W54391" s="239" t="n"/>
      <c r="X54391" s="239" t="n"/>
    </row>
    <row r="54392" ht="15" customHeight="1" s="192" thickBot="1">
      <c r="W54392" s="45" t="n"/>
      <c r="X54392" s="45" t="n"/>
    </row>
    <row r="54393" ht="14.25" customHeight="1" s="192">
      <c r="W54393" s="228" t="n"/>
      <c r="X54393" s="228" t="n"/>
    </row>
    <row r="54394" ht="14.25" customHeight="1" s="192">
      <c r="W54394" s="228" t="n"/>
      <c r="X54394" s="228" t="n"/>
    </row>
    <row r="54395" ht="14.25" customHeight="1" s="192">
      <c r="W54395" s="231" t="n"/>
      <c r="X54395" s="231" t="n"/>
    </row>
    <row r="54396" ht="14.25" customHeight="1" s="192">
      <c r="W54396" s="33" t="n"/>
      <c r="X54396" s="33" t="n"/>
    </row>
    <row r="54397" ht="14.25" customHeight="1" s="192">
      <c r="W54397" s="231" t="n"/>
      <c r="X54397" s="231" t="n"/>
    </row>
    <row r="54398" ht="14.25" customHeight="1" s="192">
      <c r="W54398" s="33" t="n"/>
      <c r="X54398" s="33" t="n"/>
    </row>
    <row r="54400" ht="14.25" customHeight="1" s="192">
      <c r="W54400" s="231" t="n"/>
      <c r="X54400" s="231" t="n"/>
    </row>
    <row r="54401" ht="14.25" customHeight="1" s="192">
      <c r="W54401" s="235" t="n"/>
      <c r="X54401" s="235" t="n"/>
    </row>
    <row r="54402" ht="14.25" customHeight="1" s="192">
      <c r="W54402" s="228" t="n"/>
      <c r="X54402" s="228" t="n"/>
    </row>
    <row r="54403" ht="14.25" customHeight="1" s="192">
      <c r="W54403" s="235" t="n"/>
      <c r="X54403" s="235" t="n"/>
    </row>
    <row r="54404" ht="14.25" customHeight="1" s="192">
      <c r="W54404" s="235" t="n"/>
      <c r="X54404" s="235" t="n"/>
    </row>
    <row r="54405" ht="14.25" customHeight="1" s="192">
      <c r="W54405" s="235" t="n"/>
      <c r="X54405" s="235" t="n"/>
    </row>
    <row r="54406" ht="14.25" customHeight="1" s="192">
      <c r="W54406" s="239" t="n"/>
      <c r="X54406" s="239" t="n"/>
    </row>
    <row r="54407" ht="14.25" customHeight="1" s="192">
      <c r="W54407" s="239" t="n"/>
      <c r="X54407" s="239" t="n"/>
    </row>
    <row r="54408" ht="14.25" customHeight="1" s="192">
      <c r="W54408" s="239" t="n"/>
      <c r="X54408" s="239" t="n"/>
    </row>
    <row r="54409" ht="14.25" customHeight="1" s="192">
      <c r="W54409" s="235" t="n"/>
      <c r="X54409" s="235" t="n"/>
    </row>
    <row r="54410" ht="14.25" customHeight="1" s="192">
      <c r="W54410" s="235" t="n"/>
      <c r="X54410" s="235" t="n"/>
    </row>
    <row r="54411" ht="14.25" customHeight="1" s="192">
      <c r="W54411" s="235" t="n"/>
      <c r="X54411" s="235" t="n"/>
    </row>
    <row r="54412" ht="14.25" customHeight="1" s="192">
      <c r="W54412" s="239" t="n"/>
      <c r="X54412" s="239" t="n"/>
    </row>
    <row r="54413" ht="14.25" customHeight="1" s="192">
      <c r="W54413" s="239" t="n"/>
      <c r="X54413" s="239" t="n"/>
    </row>
    <row r="54414" ht="14.25" customHeight="1" s="192">
      <c r="W54414" s="235" t="n"/>
      <c r="X54414" s="235" t="n"/>
    </row>
    <row r="54415" ht="14.25" customHeight="1" s="192">
      <c r="W54415" s="235" t="n"/>
      <c r="X54415" s="235" t="n"/>
    </row>
    <row r="54416" ht="14.25" customHeight="1" s="192">
      <c r="W54416" s="239" t="n"/>
      <c r="X54416" s="239" t="n"/>
    </row>
    <row r="54417" ht="14.25" customHeight="1" s="192">
      <c r="W54417" s="235" t="n"/>
      <c r="X54417" s="235" t="n"/>
    </row>
    <row r="54418" ht="14.25" customHeight="1" s="192">
      <c r="W54418" s="239" t="n"/>
      <c r="X54418" s="239" t="n"/>
    </row>
    <row r="54420" ht="14.25" customHeight="1" s="192">
      <c r="W54420" s="235" t="n"/>
      <c r="X54420" s="235" t="n"/>
    </row>
    <row r="54421" ht="15" customHeight="1" s="192" thickBot="1">
      <c r="W54421" s="239" t="n"/>
      <c r="X54421" s="239" t="n"/>
    </row>
    <row r="54422" ht="15" customHeight="1" s="192" thickBot="1">
      <c r="W54422" s="45" t="n"/>
      <c r="X54422" s="45" t="n"/>
    </row>
    <row r="54423" ht="14.25" customHeight="1" s="192">
      <c r="W54423" s="228" t="n"/>
      <c r="X54423" s="228" t="n"/>
    </row>
    <row r="54424" ht="14.25" customHeight="1" s="192">
      <c r="W54424" s="228" t="n"/>
      <c r="X54424" s="228" t="n"/>
    </row>
    <row r="54425" ht="14.25" customHeight="1" s="192">
      <c r="W54425" s="231" t="n"/>
      <c r="X54425" s="231" t="n"/>
    </row>
    <row r="54426" ht="14.25" customHeight="1" s="192">
      <c r="W54426" s="33" t="n"/>
      <c r="X54426" s="33" t="n"/>
    </row>
    <row r="54427" ht="14.25" customHeight="1" s="192">
      <c r="W54427" s="231" t="n"/>
      <c r="X54427" s="231" t="n"/>
    </row>
    <row r="54428" ht="14.25" customHeight="1" s="192">
      <c r="W54428" s="33" t="n"/>
      <c r="X54428" s="33" t="n"/>
    </row>
    <row r="54430" ht="14.25" customHeight="1" s="192">
      <c r="W54430" s="231" t="n"/>
      <c r="X54430" s="231" t="n"/>
    </row>
    <row r="54431" ht="14.25" customHeight="1" s="192">
      <c r="W54431" s="235" t="n"/>
      <c r="X54431" s="235" t="n"/>
    </row>
    <row r="54432" ht="14.25" customHeight="1" s="192">
      <c r="W54432" s="228" t="n"/>
      <c r="X54432" s="228" t="n"/>
    </row>
    <row r="54433" ht="14.25" customHeight="1" s="192">
      <c r="W54433" s="235" t="n"/>
      <c r="X54433" s="235" t="n"/>
    </row>
    <row r="54434" ht="14.25" customHeight="1" s="192">
      <c r="W54434" s="235" t="n"/>
      <c r="X54434" s="235" t="n"/>
    </row>
    <row r="54435" ht="14.25" customHeight="1" s="192">
      <c r="W54435" s="235" t="n"/>
      <c r="X54435" s="235" t="n"/>
    </row>
    <row r="54436" ht="14.25" customHeight="1" s="192">
      <c r="W54436" s="239" t="n"/>
      <c r="X54436" s="239" t="n"/>
    </row>
    <row r="54437" ht="14.25" customHeight="1" s="192">
      <c r="W54437" s="239" t="n"/>
      <c r="X54437" s="239" t="n"/>
    </row>
    <row r="54438" ht="14.25" customHeight="1" s="192">
      <c r="W54438" s="239" t="n"/>
      <c r="X54438" s="239" t="n"/>
    </row>
    <row r="54439" ht="14.25" customHeight="1" s="192">
      <c r="W54439" s="235" t="n"/>
      <c r="X54439" s="235" t="n"/>
    </row>
    <row r="54440" ht="14.25" customHeight="1" s="192">
      <c r="W54440" s="235" t="n"/>
      <c r="X54440" s="235" t="n"/>
    </row>
    <row r="54441" ht="14.25" customHeight="1" s="192">
      <c r="W54441" s="235" t="n"/>
      <c r="X54441" s="235" t="n"/>
    </row>
    <row r="54442" ht="14.25" customHeight="1" s="192">
      <c r="W54442" s="239" t="n"/>
      <c r="X54442" s="239" t="n"/>
    </row>
    <row r="54443" ht="14.25" customHeight="1" s="192">
      <c r="W54443" s="239" t="n"/>
      <c r="X54443" s="239" t="n"/>
    </row>
    <row r="54444" ht="14.25" customHeight="1" s="192">
      <c r="W54444" s="235" t="n"/>
      <c r="X54444" s="235" t="n"/>
    </row>
    <row r="54445" ht="14.25" customHeight="1" s="192">
      <c r="W54445" s="235" t="n"/>
      <c r="X54445" s="235" t="n"/>
    </row>
    <row r="54446" ht="14.25" customHeight="1" s="192">
      <c r="W54446" s="239" t="n"/>
      <c r="X54446" s="239" t="n"/>
    </row>
    <row r="54447" ht="14.25" customHeight="1" s="192">
      <c r="W54447" s="235" t="n"/>
      <c r="X54447" s="235" t="n"/>
    </row>
    <row r="54448" ht="14.25" customHeight="1" s="192">
      <c r="W54448" s="239" t="n"/>
      <c r="X54448" s="239" t="n"/>
    </row>
    <row r="54450" ht="14.25" customHeight="1" s="192">
      <c r="W54450" s="235" t="n"/>
      <c r="X54450" s="235" t="n"/>
    </row>
    <row r="54451" ht="15" customHeight="1" s="192" thickBot="1">
      <c r="W54451" s="239" t="n"/>
      <c r="X54451" s="239" t="n"/>
    </row>
    <row r="54452" ht="15" customHeight="1" s="192" thickBot="1">
      <c r="W54452" s="45" t="n"/>
      <c r="X54452" s="45" t="n"/>
    </row>
    <row r="54453" ht="14.25" customHeight="1" s="192">
      <c r="W54453" s="228" t="n"/>
      <c r="X54453" s="228" t="n"/>
    </row>
    <row r="54454" ht="14.25" customHeight="1" s="192">
      <c r="W54454" s="228" t="n"/>
      <c r="X54454" s="228" t="n"/>
    </row>
    <row r="54455" ht="14.25" customHeight="1" s="192">
      <c r="W54455" s="231" t="n"/>
      <c r="X54455" s="231" t="n"/>
    </row>
    <row r="54456" ht="14.25" customHeight="1" s="192">
      <c r="W54456" s="33" t="n"/>
      <c r="X54456" s="33" t="n"/>
    </row>
    <row r="54457" ht="14.25" customHeight="1" s="192">
      <c r="W54457" s="231" t="n"/>
      <c r="X54457" s="231" t="n"/>
    </row>
    <row r="54458" ht="14.25" customHeight="1" s="192">
      <c r="W54458" s="33" t="n"/>
      <c r="X54458" s="33" t="n"/>
    </row>
    <row r="54460" ht="14.25" customHeight="1" s="192">
      <c r="W54460" s="231" t="n"/>
      <c r="X54460" s="231" t="n"/>
    </row>
    <row r="54461" ht="14.25" customHeight="1" s="192">
      <c r="W54461" s="235" t="n"/>
      <c r="X54461" s="235" t="n"/>
    </row>
    <row r="54462" ht="14.25" customHeight="1" s="192">
      <c r="W54462" s="228" t="n"/>
      <c r="X54462" s="228" t="n"/>
    </row>
    <row r="54463" ht="14.25" customHeight="1" s="192">
      <c r="W54463" s="235" t="n"/>
      <c r="X54463" s="235" t="n"/>
    </row>
    <row r="54464" ht="14.25" customHeight="1" s="192">
      <c r="W54464" s="235" t="n"/>
      <c r="X54464" s="235" t="n"/>
    </row>
    <row r="54465" ht="14.25" customHeight="1" s="192">
      <c r="W54465" s="235" t="n"/>
      <c r="X54465" s="235" t="n"/>
    </row>
    <row r="54466" ht="14.25" customHeight="1" s="192">
      <c r="W54466" s="239" t="n"/>
      <c r="X54466" s="239" t="n"/>
    </row>
    <row r="54467" ht="14.25" customHeight="1" s="192">
      <c r="W54467" s="239" t="n"/>
      <c r="X54467" s="239" t="n"/>
    </row>
    <row r="54468" ht="14.25" customHeight="1" s="192">
      <c r="W54468" s="239" t="n"/>
      <c r="X54468" s="239" t="n"/>
    </row>
    <row r="54469" ht="14.25" customHeight="1" s="192">
      <c r="W54469" s="235" t="n"/>
      <c r="X54469" s="235" t="n"/>
    </row>
    <row r="54470" ht="14.25" customHeight="1" s="192">
      <c r="W54470" s="235" t="n"/>
      <c r="X54470" s="235" t="n"/>
    </row>
    <row r="54471" ht="14.25" customHeight="1" s="192">
      <c r="W54471" s="235" t="n"/>
      <c r="X54471" s="235" t="n"/>
    </row>
    <row r="54472" ht="14.25" customHeight="1" s="192">
      <c r="W54472" s="239" t="n"/>
      <c r="X54472" s="239" t="n"/>
    </row>
    <row r="54473" ht="14.25" customHeight="1" s="192">
      <c r="W54473" s="239" t="n"/>
      <c r="X54473" s="239" t="n"/>
    </row>
    <row r="54474" ht="14.25" customHeight="1" s="192">
      <c r="W54474" s="235" t="n"/>
      <c r="X54474" s="235" t="n"/>
    </row>
    <row r="54475" ht="14.25" customHeight="1" s="192">
      <c r="W54475" s="235" t="n"/>
      <c r="X54475" s="235" t="n"/>
    </row>
    <row r="54476" ht="14.25" customHeight="1" s="192">
      <c r="W54476" s="239" t="n"/>
      <c r="X54476" s="239" t="n"/>
    </row>
    <row r="54477" ht="14.25" customHeight="1" s="192">
      <c r="W54477" s="235" t="n"/>
      <c r="X54477" s="235" t="n"/>
    </row>
    <row r="54478" ht="14.25" customHeight="1" s="192">
      <c r="W54478" s="239" t="n"/>
      <c r="X54478" s="239" t="n"/>
    </row>
    <row r="54480" ht="14.25" customHeight="1" s="192">
      <c r="W54480" s="235" t="n"/>
      <c r="X54480" s="235" t="n"/>
    </row>
    <row r="54481" ht="15" customHeight="1" s="192" thickBot="1">
      <c r="W54481" s="239" t="n"/>
      <c r="X54481" s="239" t="n"/>
    </row>
    <row r="54482" ht="15" customHeight="1" s="192" thickBot="1">
      <c r="W54482" s="45" t="n"/>
      <c r="X54482" s="45" t="n"/>
    </row>
    <row r="54483" ht="14.25" customHeight="1" s="192">
      <c r="W54483" s="228" t="n"/>
      <c r="X54483" s="228" t="n"/>
    </row>
    <row r="54484" ht="14.25" customHeight="1" s="192">
      <c r="W54484" s="228" t="n"/>
      <c r="X54484" s="228" t="n"/>
    </row>
    <row r="54485" ht="14.25" customHeight="1" s="192">
      <c r="W54485" s="231" t="n"/>
      <c r="X54485" s="231" t="n"/>
    </row>
    <row r="54486" ht="14.25" customHeight="1" s="192">
      <c r="W54486" s="33" t="n"/>
      <c r="X54486" s="33" t="n"/>
    </row>
    <row r="54487" ht="14.25" customHeight="1" s="192">
      <c r="W54487" s="231" t="n"/>
      <c r="X54487" s="231" t="n"/>
    </row>
    <row r="54488" ht="14.25" customHeight="1" s="192">
      <c r="W54488" s="33" t="n"/>
      <c r="X54488" s="33" t="n"/>
    </row>
    <row r="54490" ht="14.25" customHeight="1" s="192">
      <c r="W54490" s="231" t="n"/>
      <c r="X54490" s="231" t="n"/>
    </row>
    <row r="54491" ht="14.25" customHeight="1" s="192">
      <c r="W54491" s="235" t="n"/>
      <c r="X54491" s="235" t="n"/>
    </row>
    <row r="54492" ht="14.25" customHeight="1" s="192">
      <c r="W54492" s="228" t="n"/>
      <c r="X54492" s="228" t="n"/>
    </row>
    <row r="54493" ht="14.25" customHeight="1" s="192">
      <c r="W54493" s="235" t="n"/>
      <c r="X54493" s="235" t="n"/>
    </row>
    <row r="54494" ht="14.25" customHeight="1" s="192">
      <c r="W54494" s="235" t="n"/>
      <c r="X54494" s="235" t="n"/>
    </row>
    <row r="54495" ht="14.25" customHeight="1" s="192">
      <c r="W54495" s="235" t="n"/>
      <c r="X54495" s="235" t="n"/>
    </row>
    <row r="54496" ht="14.25" customHeight="1" s="192">
      <c r="W54496" s="239" t="n"/>
      <c r="X54496" s="239" t="n"/>
    </row>
    <row r="54497" ht="14.25" customHeight="1" s="192">
      <c r="W54497" s="239" t="n"/>
      <c r="X54497" s="239" t="n"/>
    </row>
    <row r="54498" ht="14.25" customHeight="1" s="192">
      <c r="W54498" s="239" t="n"/>
      <c r="X54498" s="239" t="n"/>
    </row>
    <row r="54499" ht="14.25" customHeight="1" s="192">
      <c r="W54499" s="235" t="n"/>
      <c r="X54499" s="235" t="n"/>
    </row>
    <row r="54500" ht="14.25" customHeight="1" s="192">
      <c r="W54500" s="235" t="n"/>
      <c r="X54500" s="235" t="n"/>
    </row>
    <row r="54501" ht="14.25" customHeight="1" s="192">
      <c r="W54501" s="235" t="n"/>
      <c r="X54501" s="235" t="n"/>
    </row>
    <row r="54502" ht="14.25" customHeight="1" s="192">
      <c r="W54502" s="239" t="n"/>
      <c r="X54502" s="239" t="n"/>
    </row>
    <row r="54503" ht="14.25" customHeight="1" s="192">
      <c r="W54503" s="239" t="n"/>
      <c r="X54503" s="239" t="n"/>
    </row>
    <row r="54504" ht="14.25" customHeight="1" s="192">
      <c r="W54504" s="235" t="n"/>
      <c r="X54504" s="235" t="n"/>
    </row>
    <row r="54505" ht="14.25" customHeight="1" s="192">
      <c r="W54505" s="235" t="n"/>
      <c r="X54505" s="235" t="n"/>
    </row>
    <row r="54506" ht="14.25" customHeight="1" s="192">
      <c r="W54506" s="239" t="n"/>
      <c r="X54506" s="239" t="n"/>
    </row>
    <row r="54507" ht="14.25" customHeight="1" s="192">
      <c r="W54507" s="235" t="n"/>
      <c r="X54507" s="235" t="n"/>
    </row>
    <row r="54508" ht="14.25" customHeight="1" s="192">
      <c r="W54508" s="239" t="n"/>
      <c r="X54508" s="239" t="n"/>
    </row>
    <row r="54510" ht="14.25" customHeight="1" s="192">
      <c r="W54510" s="235" t="n"/>
      <c r="X54510" s="235" t="n"/>
    </row>
    <row r="54511" ht="15" customHeight="1" s="192" thickBot="1">
      <c r="W54511" s="239" t="n"/>
      <c r="X54511" s="239" t="n"/>
    </row>
    <row r="54512" ht="15" customHeight="1" s="192" thickBot="1">
      <c r="W54512" s="45" t="n"/>
      <c r="X54512" s="45" t="n"/>
    </row>
    <row r="54513" ht="14.25" customHeight="1" s="192">
      <c r="W54513" s="228" t="n"/>
      <c r="X54513" s="228" t="n"/>
    </row>
    <row r="54514" ht="14.25" customHeight="1" s="192">
      <c r="W54514" s="228" t="n"/>
      <c r="X54514" s="228" t="n"/>
    </row>
    <row r="54515" ht="14.25" customHeight="1" s="192">
      <c r="W54515" s="231" t="n"/>
      <c r="X54515" s="231" t="n"/>
    </row>
    <row r="54516" ht="14.25" customHeight="1" s="192">
      <c r="W54516" s="33" t="n"/>
      <c r="X54516" s="33" t="n"/>
    </row>
    <row r="54517" ht="14.25" customHeight="1" s="192">
      <c r="W54517" s="231" t="n"/>
      <c r="X54517" s="231" t="n"/>
    </row>
    <row r="54518" ht="14.25" customHeight="1" s="192">
      <c r="W54518" s="33" t="n"/>
      <c r="X54518" s="33" t="n"/>
    </row>
    <row r="54520" ht="14.25" customHeight="1" s="192">
      <c r="W54520" s="231" t="n"/>
      <c r="X54520" s="231" t="n"/>
    </row>
    <row r="54521" ht="14.25" customHeight="1" s="192">
      <c r="W54521" s="235" t="n"/>
      <c r="X54521" s="235" t="n"/>
    </row>
    <row r="54522" ht="14.25" customHeight="1" s="192">
      <c r="W54522" s="228" t="n"/>
      <c r="X54522" s="228" t="n"/>
    </row>
    <row r="54523" ht="14.25" customHeight="1" s="192">
      <c r="W54523" s="235" t="n"/>
      <c r="X54523" s="235" t="n"/>
    </row>
    <row r="54524" ht="14.25" customHeight="1" s="192">
      <c r="W54524" s="235" t="n"/>
      <c r="X54524" s="235" t="n"/>
    </row>
    <row r="54525" ht="14.25" customHeight="1" s="192">
      <c r="W54525" s="235" t="n"/>
      <c r="X54525" s="235" t="n"/>
    </row>
    <row r="54526" ht="14.25" customHeight="1" s="192">
      <c r="W54526" s="239" t="n"/>
      <c r="X54526" s="239" t="n"/>
    </row>
    <row r="54527" ht="14.25" customHeight="1" s="192">
      <c r="W54527" s="239" t="n"/>
      <c r="X54527" s="239" t="n"/>
    </row>
    <row r="54528" ht="14.25" customHeight="1" s="192">
      <c r="W54528" s="239" t="n"/>
      <c r="X54528" s="239" t="n"/>
    </row>
    <row r="54529" ht="14.25" customHeight="1" s="192">
      <c r="W54529" s="235" t="n"/>
      <c r="X54529" s="235" t="n"/>
    </row>
    <row r="54530" ht="14.25" customHeight="1" s="192">
      <c r="W54530" s="235" t="n"/>
      <c r="X54530" s="235" t="n"/>
    </row>
    <row r="54531" ht="14.25" customHeight="1" s="192">
      <c r="W54531" s="235" t="n"/>
      <c r="X54531" s="235" t="n"/>
    </row>
    <row r="54532" ht="14.25" customHeight="1" s="192">
      <c r="W54532" s="239" t="n"/>
      <c r="X54532" s="239" t="n"/>
    </row>
    <row r="54533" ht="14.25" customHeight="1" s="192">
      <c r="W54533" s="239" t="n"/>
      <c r="X54533" s="239" t="n"/>
    </row>
    <row r="54534" ht="14.25" customHeight="1" s="192">
      <c r="W54534" s="235" t="n"/>
      <c r="X54534" s="235" t="n"/>
    </row>
    <row r="54535" ht="14.25" customHeight="1" s="192">
      <c r="W54535" s="235" t="n"/>
      <c r="X54535" s="235" t="n"/>
    </row>
    <row r="54536" ht="14.25" customHeight="1" s="192">
      <c r="W54536" s="239" t="n"/>
      <c r="X54536" s="239" t="n"/>
    </row>
    <row r="54537" ht="14.25" customHeight="1" s="192">
      <c r="W54537" s="235" t="n"/>
      <c r="X54537" s="235" t="n"/>
    </row>
    <row r="54538" ht="14.25" customHeight="1" s="192">
      <c r="W54538" s="239" t="n"/>
      <c r="X54538" s="239" t="n"/>
    </row>
    <row r="54540" ht="14.25" customHeight="1" s="192">
      <c r="W54540" s="235" t="n"/>
      <c r="X54540" s="235" t="n"/>
    </row>
    <row r="54541" ht="15" customHeight="1" s="192" thickBot="1">
      <c r="W54541" s="239" t="n"/>
      <c r="X54541" s="239" t="n"/>
    </row>
    <row r="54542" ht="15" customHeight="1" s="192" thickBot="1">
      <c r="W54542" s="45" t="n"/>
      <c r="X54542" s="45" t="n"/>
    </row>
    <row r="54543" ht="14.25" customHeight="1" s="192">
      <c r="W54543" s="228" t="n"/>
      <c r="X54543" s="228" t="n"/>
    </row>
    <row r="54544" ht="14.25" customHeight="1" s="192">
      <c r="W54544" s="228" t="n"/>
      <c r="X54544" s="228" t="n"/>
    </row>
    <row r="54545" ht="14.25" customHeight="1" s="192">
      <c r="W54545" s="231" t="n"/>
      <c r="X54545" s="231" t="n"/>
    </row>
    <row r="54546" ht="14.25" customHeight="1" s="192">
      <c r="W54546" s="33" t="n"/>
      <c r="X54546" s="33" t="n"/>
    </row>
    <row r="54547" ht="14.25" customHeight="1" s="192">
      <c r="W54547" s="231" t="n"/>
      <c r="X54547" s="231" t="n"/>
    </row>
    <row r="54548" ht="14.25" customHeight="1" s="192">
      <c r="W54548" s="33" t="n"/>
      <c r="X54548" s="33" t="n"/>
    </row>
    <row r="54550" ht="14.25" customHeight="1" s="192">
      <c r="W54550" s="231" t="n"/>
      <c r="X54550" s="231" t="n"/>
    </row>
    <row r="54551" ht="14.25" customHeight="1" s="192">
      <c r="W54551" s="235" t="n"/>
      <c r="X54551" s="235" t="n"/>
    </row>
    <row r="54552" ht="14.25" customHeight="1" s="192">
      <c r="W54552" s="228" t="n"/>
      <c r="X54552" s="228" t="n"/>
    </row>
    <row r="54553" ht="14.25" customHeight="1" s="192">
      <c r="W54553" s="235" t="n"/>
      <c r="X54553" s="235" t="n"/>
    </row>
    <row r="54554" ht="14.25" customHeight="1" s="192">
      <c r="W54554" s="235" t="n"/>
      <c r="X54554" s="235" t="n"/>
    </row>
    <row r="54555" ht="14.25" customHeight="1" s="192">
      <c r="W54555" s="235" t="n"/>
      <c r="X54555" s="235" t="n"/>
    </row>
    <row r="54556" ht="14.25" customHeight="1" s="192">
      <c r="W54556" s="239" t="n"/>
      <c r="X54556" s="239" t="n"/>
    </row>
    <row r="54557" ht="14.25" customHeight="1" s="192">
      <c r="W54557" s="239" t="n"/>
      <c r="X54557" s="239" t="n"/>
    </row>
    <row r="54558" ht="14.25" customHeight="1" s="192">
      <c r="W54558" s="239" t="n"/>
      <c r="X54558" s="239" t="n"/>
    </row>
    <row r="54559" ht="14.25" customHeight="1" s="192">
      <c r="W54559" s="235" t="n"/>
      <c r="X54559" s="235" t="n"/>
    </row>
    <row r="54560" ht="14.25" customHeight="1" s="192">
      <c r="W54560" s="235" t="n"/>
      <c r="X54560" s="235" t="n"/>
    </row>
    <row r="54561" ht="14.25" customHeight="1" s="192">
      <c r="W54561" s="235" t="n"/>
      <c r="X54561" s="235" t="n"/>
    </row>
    <row r="54562" ht="14.25" customHeight="1" s="192">
      <c r="W54562" s="239" t="n"/>
      <c r="X54562" s="239" t="n"/>
    </row>
    <row r="54563" ht="14.25" customHeight="1" s="192">
      <c r="W54563" s="239" t="n"/>
      <c r="X54563" s="239" t="n"/>
    </row>
    <row r="54564" ht="14.25" customHeight="1" s="192">
      <c r="W54564" s="235" t="n"/>
      <c r="X54564" s="235" t="n"/>
    </row>
    <row r="54565" ht="14.25" customHeight="1" s="192">
      <c r="W54565" s="235" t="n"/>
      <c r="X54565" s="235" t="n"/>
    </row>
    <row r="54566" ht="14.25" customHeight="1" s="192">
      <c r="W54566" s="239" t="n"/>
      <c r="X54566" s="239" t="n"/>
    </row>
    <row r="54567" ht="14.25" customHeight="1" s="192">
      <c r="W54567" s="235" t="n"/>
      <c r="X54567" s="235" t="n"/>
    </row>
    <row r="54568" ht="14.25" customHeight="1" s="192">
      <c r="W54568" s="239" t="n"/>
      <c r="X54568" s="239" t="n"/>
    </row>
    <row r="54570" ht="14.25" customHeight="1" s="192">
      <c r="W54570" s="235" t="n"/>
      <c r="X54570" s="235" t="n"/>
    </row>
    <row r="54571" ht="15" customHeight="1" s="192" thickBot="1">
      <c r="W54571" s="239" t="n"/>
      <c r="X54571" s="239" t="n"/>
    </row>
    <row r="54572" ht="15" customHeight="1" s="192" thickBot="1">
      <c r="W54572" s="45" t="n"/>
      <c r="X54572" s="45" t="n"/>
    </row>
    <row r="54573" ht="14.25" customHeight="1" s="192">
      <c r="W54573" s="228" t="n"/>
      <c r="X54573" s="228" t="n"/>
    </row>
    <row r="54574" ht="14.25" customHeight="1" s="192">
      <c r="W54574" s="228" t="n"/>
      <c r="X54574" s="228" t="n"/>
    </row>
    <row r="54575" ht="14.25" customHeight="1" s="192">
      <c r="W54575" s="231" t="n"/>
      <c r="X54575" s="231" t="n"/>
    </row>
    <row r="54576" ht="14.25" customHeight="1" s="192">
      <c r="W54576" s="33" t="n"/>
      <c r="X54576" s="33" t="n"/>
    </row>
    <row r="54577" ht="14.25" customHeight="1" s="192">
      <c r="W54577" s="231" t="n"/>
      <c r="X54577" s="231" t="n"/>
    </row>
    <row r="54578" ht="14.25" customHeight="1" s="192">
      <c r="W54578" s="33" t="n"/>
      <c r="X54578" s="33" t="n"/>
    </row>
    <row r="54580" ht="14.25" customHeight="1" s="192">
      <c r="W54580" s="231" t="n"/>
      <c r="X54580" s="231" t="n"/>
    </row>
    <row r="54581" ht="14.25" customHeight="1" s="192">
      <c r="W54581" s="235" t="n"/>
      <c r="X54581" s="235" t="n"/>
    </row>
    <row r="54582" ht="14.25" customHeight="1" s="192">
      <c r="W54582" s="228" t="n"/>
      <c r="X54582" s="228" t="n"/>
    </row>
    <row r="54583" ht="14.25" customHeight="1" s="192">
      <c r="W54583" s="235" t="n"/>
      <c r="X54583" s="235" t="n"/>
    </row>
    <row r="54584" ht="14.25" customHeight="1" s="192">
      <c r="W54584" s="235" t="n"/>
      <c r="X54584" s="235" t="n"/>
    </row>
    <row r="54585" ht="14.25" customHeight="1" s="192">
      <c r="W54585" s="235" t="n"/>
      <c r="X54585" s="235" t="n"/>
    </row>
    <row r="54586" ht="14.25" customHeight="1" s="192">
      <c r="W54586" s="239" t="n"/>
      <c r="X54586" s="239" t="n"/>
    </row>
    <row r="54587" ht="14.25" customHeight="1" s="192">
      <c r="W54587" s="239" t="n"/>
      <c r="X54587" s="239" t="n"/>
    </row>
    <row r="54588" ht="14.25" customHeight="1" s="192">
      <c r="W54588" s="239" t="n"/>
      <c r="X54588" s="239" t="n"/>
    </row>
    <row r="54589" ht="14.25" customHeight="1" s="192">
      <c r="W54589" s="235" t="n"/>
      <c r="X54589" s="235" t="n"/>
    </row>
    <row r="54590" ht="14.25" customHeight="1" s="192">
      <c r="W54590" s="235" t="n"/>
      <c r="X54590" s="235" t="n"/>
    </row>
    <row r="54591" ht="14.25" customHeight="1" s="192">
      <c r="W54591" s="235" t="n"/>
      <c r="X54591" s="235" t="n"/>
    </row>
    <row r="54592" ht="14.25" customHeight="1" s="192">
      <c r="W54592" s="239" t="n"/>
      <c r="X54592" s="239" t="n"/>
    </row>
    <row r="54593" ht="14.25" customHeight="1" s="192">
      <c r="W54593" s="239" t="n"/>
      <c r="X54593" s="239" t="n"/>
    </row>
    <row r="54594" ht="14.25" customHeight="1" s="192">
      <c r="W54594" s="235" t="n"/>
      <c r="X54594" s="235" t="n"/>
    </row>
    <row r="54595" ht="14.25" customHeight="1" s="192">
      <c r="W54595" s="235" t="n"/>
      <c r="X54595" s="235" t="n"/>
    </row>
    <row r="54596" ht="14.25" customHeight="1" s="192">
      <c r="W54596" s="239" t="n"/>
      <c r="X54596" s="239" t="n"/>
    </row>
    <row r="54597" ht="14.25" customHeight="1" s="192">
      <c r="W54597" s="235" t="n"/>
      <c r="X54597" s="235" t="n"/>
    </row>
    <row r="54598" ht="14.25" customHeight="1" s="192">
      <c r="W54598" s="239" t="n"/>
      <c r="X54598" s="239" t="n"/>
    </row>
    <row r="54600" ht="14.25" customHeight="1" s="192">
      <c r="W54600" s="235" t="n"/>
      <c r="X54600" s="235" t="n"/>
    </row>
    <row r="54601" ht="15" customHeight="1" s="192" thickBot="1">
      <c r="W54601" s="239" t="n"/>
      <c r="X54601" s="239" t="n"/>
    </row>
    <row r="54602" ht="15" customHeight="1" s="192" thickBot="1">
      <c r="W54602" s="45" t="n"/>
      <c r="X54602" s="45" t="n"/>
    </row>
    <row r="54603" ht="14.25" customHeight="1" s="192">
      <c r="W54603" s="228" t="n"/>
      <c r="X54603" s="228" t="n"/>
    </row>
    <row r="54604" ht="14.25" customHeight="1" s="192">
      <c r="W54604" s="228" t="n"/>
      <c r="X54604" s="228" t="n"/>
    </row>
    <row r="54605" ht="14.25" customHeight="1" s="192">
      <c r="W54605" s="231" t="n"/>
      <c r="X54605" s="231" t="n"/>
    </row>
    <row r="54606" ht="14.25" customHeight="1" s="192">
      <c r="W54606" s="33" t="n"/>
      <c r="X54606" s="33" t="n"/>
    </row>
    <row r="54607" ht="14.25" customHeight="1" s="192">
      <c r="W54607" s="231" t="n"/>
      <c r="X54607" s="231" t="n"/>
    </row>
    <row r="54608" ht="14.25" customHeight="1" s="192">
      <c r="W54608" s="33" t="n"/>
      <c r="X54608" s="33" t="n"/>
    </row>
    <row r="54610" ht="14.25" customHeight="1" s="192">
      <c r="W54610" s="231" t="n"/>
      <c r="X54610" s="231" t="n"/>
    </row>
    <row r="54611" ht="14.25" customHeight="1" s="192">
      <c r="W54611" s="235" t="n"/>
      <c r="X54611" s="235" t="n"/>
    </row>
    <row r="54612" ht="14.25" customHeight="1" s="192">
      <c r="W54612" s="228" t="n"/>
      <c r="X54612" s="228" t="n"/>
    </row>
    <row r="54613" ht="14.25" customHeight="1" s="192">
      <c r="W54613" s="235" t="n"/>
      <c r="X54613" s="235" t="n"/>
    </row>
    <row r="54614" ht="14.25" customHeight="1" s="192">
      <c r="W54614" s="235" t="n"/>
      <c r="X54614" s="235" t="n"/>
    </row>
    <row r="54615" ht="14.25" customHeight="1" s="192">
      <c r="W54615" s="235" t="n"/>
      <c r="X54615" s="235" t="n"/>
    </row>
    <row r="54616" ht="14.25" customHeight="1" s="192">
      <c r="W54616" s="239" t="n"/>
      <c r="X54616" s="239" t="n"/>
    </row>
    <row r="54617" ht="14.25" customHeight="1" s="192">
      <c r="W54617" s="239" t="n"/>
      <c r="X54617" s="239" t="n"/>
    </row>
    <row r="54618" ht="14.25" customHeight="1" s="192">
      <c r="W54618" s="239" t="n"/>
      <c r="X54618" s="239" t="n"/>
    </row>
    <row r="54619" ht="14.25" customHeight="1" s="192">
      <c r="W54619" s="235" t="n"/>
      <c r="X54619" s="235" t="n"/>
    </row>
    <row r="54620" ht="14.25" customHeight="1" s="192">
      <c r="W54620" s="235" t="n"/>
      <c r="X54620" s="235" t="n"/>
    </row>
    <row r="54621" ht="14.25" customHeight="1" s="192">
      <c r="W54621" s="235" t="n"/>
      <c r="X54621" s="235" t="n"/>
    </row>
    <row r="54622" ht="14.25" customHeight="1" s="192">
      <c r="W54622" s="239" t="n"/>
      <c r="X54622" s="239" t="n"/>
    </row>
    <row r="54623" ht="14.25" customHeight="1" s="192">
      <c r="W54623" s="239" t="n"/>
      <c r="X54623" s="239" t="n"/>
    </row>
    <row r="54624" ht="14.25" customHeight="1" s="192">
      <c r="W54624" s="235" t="n"/>
      <c r="X54624" s="235" t="n"/>
    </row>
    <row r="54625" ht="14.25" customHeight="1" s="192">
      <c r="W54625" s="235" t="n"/>
      <c r="X54625" s="235" t="n"/>
    </row>
    <row r="54626" ht="14.25" customHeight="1" s="192">
      <c r="W54626" s="239" t="n"/>
      <c r="X54626" s="239" t="n"/>
    </row>
    <row r="54627" ht="14.25" customHeight="1" s="192">
      <c r="W54627" s="235" t="n"/>
      <c r="X54627" s="235" t="n"/>
    </row>
    <row r="54628" ht="14.25" customHeight="1" s="192">
      <c r="W54628" s="239" t="n"/>
      <c r="X54628" s="239" t="n"/>
    </row>
    <row r="54630" ht="14.25" customHeight="1" s="192">
      <c r="W54630" s="235" t="n"/>
      <c r="X54630" s="235" t="n"/>
    </row>
    <row r="54631" ht="15" customHeight="1" s="192" thickBot="1">
      <c r="W54631" s="239" t="n"/>
      <c r="X54631" s="239" t="n"/>
    </row>
    <row r="54632" ht="15" customHeight="1" s="192" thickBot="1">
      <c r="W54632" s="45" t="n"/>
      <c r="X54632" s="45" t="n"/>
    </row>
    <row r="54633" ht="14.25" customHeight="1" s="192">
      <c r="W54633" s="228" t="n"/>
      <c r="X54633" s="228" t="n"/>
    </row>
    <row r="54634" ht="14.25" customHeight="1" s="192">
      <c r="W54634" s="228" t="n"/>
      <c r="X54634" s="228" t="n"/>
    </row>
    <row r="54635" ht="14.25" customHeight="1" s="192">
      <c r="W54635" s="231" t="n"/>
      <c r="X54635" s="231" t="n"/>
    </row>
    <row r="54636" ht="14.25" customHeight="1" s="192">
      <c r="W54636" s="33" t="n"/>
      <c r="X54636" s="33" t="n"/>
    </row>
    <row r="54637" ht="14.25" customHeight="1" s="192">
      <c r="W54637" s="231" t="n"/>
      <c r="X54637" s="231" t="n"/>
    </row>
    <row r="54638" ht="14.25" customHeight="1" s="192">
      <c r="W54638" s="33" t="n"/>
      <c r="X54638" s="33" t="n"/>
    </row>
    <row r="54640" ht="14.25" customHeight="1" s="192">
      <c r="W54640" s="231" t="n"/>
      <c r="X54640" s="231" t="n"/>
    </row>
    <row r="54641" ht="14.25" customHeight="1" s="192">
      <c r="W54641" s="235" t="n"/>
      <c r="X54641" s="235" t="n"/>
    </row>
    <row r="54642" ht="14.25" customHeight="1" s="192">
      <c r="W54642" s="228" t="n"/>
      <c r="X54642" s="228" t="n"/>
    </row>
    <row r="54643" ht="14.25" customHeight="1" s="192">
      <c r="W54643" s="235" t="n"/>
      <c r="X54643" s="235" t="n"/>
    </row>
    <row r="54644" ht="14.25" customHeight="1" s="192">
      <c r="W54644" s="235" t="n"/>
      <c r="X54644" s="235" t="n"/>
    </row>
    <row r="54645" ht="14.25" customHeight="1" s="192">
      <c r="W54645" s="235" t="n"/>
      <c r="X54645" s="235" t="n"/>
    </row>
    <row r="54646" ht="14.25" customHeight="1" s="192">
      <c r="W54646" s="239" t="n"/>
      <c r="X54646" s="239" t="n"/>
    </row>
    <row r="54647" ht="14.25" customHeight="1" s="192">
      <c r="W54647" s="239" t="n"/>
      <c r="X54647" s="239" t="n"/>
    </row>
    <row r="54648" ht="14.25" customHeight="1" s="192">
      <c r="W54648" s="239" t="n"/>
      <c r="X54648" s="239" t="n"/>
    </row>
    <row r="54649" ht="14.25" customHeight="1" s="192">
      <c r="W54649" s="235" t="n"/>
      <c r="X54649" s="235" t="n"/>
    </row>
    <row r="54650" ht="14.25" customHeight="1" s="192">
      <c r="W54650" s="235" t="n"/>
      <c r="X54650" s="235" t="n"/>
    </row>
    <row r="54651" ht="14.25" customHeight="1" s="192">
      <c r="W54651" s="235" t="n"/>
      <c r="X54651" s="235" t="n"/>
    </row>
    <row r="54652" ht="14.25" customHeight="1" s="192">
      <c r="W54652" s="239" t="n"/>
      <c r="X54652" s="239" t="n"/>
    </row>
    <row r="54653" ht="14.25" customHeight="1" s="192">
      <c r="W54653" s="239" t="n"/>
      <c r="X54653" s="239" t="n"/>
    </row>
    <row r="54654" ht="14.25" customHeight="1" s="192">
      <c r="W54654" s="235" t="n"/>
      <c r="X54654" s="235" t="n"/>
    </row>
    <row r="54655" ht="14.25" customHeight="1" s="192">
      <c r="W54655" s="235" t="n"/>
      <c r="X54655" s="235" t="n"/>
    </row>
    <row r="54656" ht="14.25" customHeight="1" s="192">
      <c r="W54656" s="239" t="n"/>
      <c r="X54656" s="239" t="n"/>
    </row>
    <row r="54657" ht="14.25" customHeight="1" s="192">
      <c r="W54657" s="235" t="n"/>
      <c r="X54657" s="235" t="n"/>
    </row>
    <row r="54658" ht="14.25" customHeight="1" s="192">
      <c r="W54658" s="239" t="n"/>
      <c r="X54658" s="239" t="n"/>
    </row>
    <row r="54660" ht="14.25" customHeight="1" s="192">
      <c r="W54660" s="235" t="n"/>
      <c r="X54660" s="235" t="n"/>
    </row>
    <row r="54661" ht="15" customHeight="1" s="192" thickBot="1">
      <c r="W54661" s="239" t="n"/>
      <c r="X54661" s="239" t="n"/>
    </row>
    <row r="54662" ht="15" customHeight="1" s="192" thickBot="1">
      <c r="W54662" s="45" t="n"/>
      <c r="X54662" s="45" t="n"/>
    </row>
    <row r="54663" ht="14.25" customHeight="1" s="192">
      <c r="W54663" s="228" t="n"/>
      <c r="X54663" s="228" t="n"/>
    </row>
    <row r="54664" ht="14.25" customHeight="1" s="192">
      <c r="W54664" s="228" t="n"/>
      <c r="X54664" s="228" t="n"/>
    </row>
    <row r="54665" ht="14.25" customHeight="1" s="192">
      <c r="W54665" s="231" t="n"/>
      <c r="X54665" s="231" t="n"/>
    </row>
    <row r="54666" ht="14.25" customHeight="1" s="192">
      <c r="W54666" s="33" t="n"/>
      <c r="X54666" s="33" t="n"/>
    </row>
    <row r="54667" ht="14.25" customHeight="1" s="192">
      <c r="W54667" s="231" t="n"/>
      <c r="X54667" s="231" t="n"/>
    </row>
    <row r="54668" ht="14.25" customHeight="1" s="192">
      <c r="W54668" s="33" t="n"/>
      <c r="X54668" s="33" t="n"/>
    </row>
    <row r="54670" ht="14.25" customHeight="1" s="192">
      <c r="W54670" s="231" t="n"/>
      <c r="X54670" s="231" t="n"/>
    </row>
    <row r="54671" ht="14.25" customHeight="1" s="192">
      <c r="W54671" s="235" t="n"/>
      <c r="X54671" s="235" t="n"/>
    </row>
    <row r="54672" ht="14.25" customHeight="1" s="192">
      <c r="W54672" s="228" t="n"/>
      <c r="X54672" s="228" t="n"/>
    </row>
    <row r="54673" ht="14.25" customHeight="1" s="192">
      <c r="W54673" s="235" t="n"/>
      <c r="X54673" s="235" t="n"/>
    </row>
    <row r="54674" ht="14.25" customHeight="1" s="192">
      <c r="W54674" s="235" t="n"/>
      <c r="X54674" s="235" t="n"/>
    </row>
    <row r="54675" ht="14.25" customHeight="1" s="192">
      <c r="W54675" s="235" t="n"/>
      <c r="X54675" s="235" t="n"/>
    </row>
    <row r="54676" ht="14.25" customHeight="1" s="192">
      <c r="W54676" s="239" t="n"/>
      <c r="X54676" s="239" t="n"/>
    </row>
    <row r="54677" ht="14.25" customHeight="1" s="192">
      <c r="W54677" s="239" t="n"/>
      <c r="X54677" s="239" t="n"/>
    </row>
    <row r="54678" ht="14.25" customHeight="1" s="192">
      <c r="W54678" s="239" t="n"/>
      <c r="X54678" s="239" t="n"/>
    </row>
    <row r="54679" ht="14.25" customHeight="1" s="192">
      <c r="W54679" s="235" t="n"/>
      <c r="X54679" s="235" t="n"/>
    </row>
    <row r="54680" ht="14.25" customHeight="1" s="192">
      <c r="W54680" s="235" t="n"/>
      <c r="X54680" s="235" t="n"/>
    </row>
    <row r="54681" ht="14.25" customHeight="1" s="192">
      <c r="W54681" s="235" t="n"/>
      <c r="X54681" s="235" t="n"/>
    </row>
    <row r="54682" ht="14.25" customHeight="1" s="192">
      <c r="W54682" s="239" t="n"/>
      <c r="X54682" s="239" t="n"/>
    </row>
    <row r="54683" ht="14.25" customHeight="1" s="192">
      <c r="W54683" s="239" t="n"/>
      <c r="X54683" s="239" t="n"/>
    </row>
    <row r="54684" ht="14.25" customHeight="1" s="192">
      <c r="W54684" s="235" t="n"/>
      <c r="X54684" s="235" t="n"/>
    </row>
    <row r="54685" ht="14.25" customHeight="1" s="192">
      <c r="W54685" s="235" t="n"/>
      <c r="X54685" s="235" t="n"/>
    </row>
    <row r="54686" ht="14.25" customHeight="1" s="192">
      <c r="W54686" s="239" t="n"/>
      <c r="X54686" s="239" t="n"/>
    </row>
    <row r="54687" ht="14.25" customHeight="1" s="192">
      <c r="W54687" s="235" t="n"/>
      <c r="X54687" s="235" t="n"/>
    </row>
    <row r="54688" ht="14.25" customHeight="1" s="192">
      <c r="W54688" s="239" t="n"/>
      <c r="X54688" s="239" t="n"/>
    </row>
    <row r="54690" ht="14.25" customHeight="1" s="192">
      <c r="W54690" s="235" t="n"/>
      <c r="X54690" s="235" t="n"/>
    </row>
    <row r="54691" ht="15" customHeight="1" s="192" thickBot="1">
      <c r="W54691" s="239" t="n"/>
      <c r="X54691" s="239" t="n"/>
    </row>
    <row r="54692" ht="15" customHeight="1" s="192" thickBot="1">
      <c r="W54692" s="45" t="n"/>
      <c r="X54692" s="45" t="n"/>
    </row>
    <row r="54693" ht="14.25" customHeight="1" s="192">
      <c r="W54693" s="228" t="n"/>
      <c r="X54693" s="228" t="n"/>
    </row>
    <row r="54694" ht="14.25" customHeight="1" s="192">
      <c r="W54694" s="228" t="n"/>
      <c r="X54694" s="228" t="n"/>
    </row>
    <row r="54695" ht="14.25" customHeight="1" s="192">
      <c r="W54695" s="231" t="n"/>
      <c r="X54695" s="231" t="n"/>
    </row>
    <row r="54696" ht="14.25" customHeight="1" s="192">
      <c r="W54696" s="33" t="n"/>
      <c r="X54696" s="33" t="n"/>
    </row>
    <row r="54697" ht="14.25" customHeight="1" s="192">
      <c r="W54697" s="231" t="n"/>
      <c r="X54697" s="231" t="n"/>
    </row>
    <row r="54698" ht="14.25" customHeight="1" s="192">
      <c r="W54698" s="33" t="n"/>
      <c r="X54698" s="33" t="n"/>
    </row>
    <row r="54700" ht="14.25" customHeight="1" s="192">
      <c r="W54700" s="231" t="n"/>
      <c r="X54700" s="231" t="n"/>
    </row>
    <row r="54701" ht="14.25" customHeight="1" s="192">
      <c r="W54701" s="235" t="n"/>
      <c r="X54701" s="235" t="n"/>
    </row>
    <row r="54702" ht="14.25" customHeight="1" s="192">
      <c r="W54702" s="228" t="n"/>
      <c r="X54702" s="228" t="n"/>
    </row>
    <row r="54703" ht="14.25" customHeight="1" s="192">
      <c r="W54703" s="235" t="n"/>
      <c r="X54703" s="235" t="n"/>
    </row>
    <row r="54704" ht="14.25" customHeight="1" s="192">
      <c r="W54704" s="235" t="n"/>
      <c r="X54704" s="235" t="n"/>
    </row>
    <row r="54705" ht="14.25" customHeight="1" s="192">
      <c r="W54705" s="235" t="n"/>
      <c r="X54705" s="235" t="n"/>
    </row>
    <row r="54706" ht="14.25" customHeight="1" s="192">
      <c r="W54706" s="239" t="n"/>
      <c r="X54706" s="239" t="n"/>
    </row>
    <row r="54707" ht="14.25" customHeight="1" s="192">
      <c r="W54707" s="239" t="n"/>
      <c r="X54707" s="239" t="n"/>
    </row>
    <row r="54708" ht="14.25" customHeight="1" s="192">
      <c r="W54708" s="239" t="n"/>
      <c r="X54708" s="239" t="n"/>
    </row>
    <row r="54709" ht="14.25" customHeight="1" s="192">
      <c r="W54709" s="235" t="n"/>
      <c r="X54709" s="235" t="n"/>
    </row>
    <row r="54710" ht="14.25" customHeight="1" s="192">
      <c r="W54710" s="235" t="n"/>
      <c r="X54710" s="235" t="n"/>
    </row>
    <row r="54711" ht="14.25" customHeight="1" s="192">
      <c r="W54711" s="235" t="n"/>
      <c r="X54711" s="235" t="n"/>
    </row>
    <row r="54712" ht="14.25" customHeight="1" s="192">
      <c r="W54712" s="239" t="n"/>
      <c r="X54712" s="239" t="n"/>
    </row>
    <row r="54713" ht="14.25" customHeight="1" s="192">
      <c r="W54713" s="239" t="n"/>
      <c r="X54713" s="239" t="n"/>
    </row>
    <row r="54714" ht="14.25" customHeight="1" s="192">
      <c r="W54714" s="235" t="n"/>
      <c r="X54714" s="235" t="n"/>
    </row>
    <row r="54715" ht="14.25" customHeight="1" s="192">
      <c r="W54715" s="235" t="n"/>
      <c r="X54715" s="235" t="n"/>
    </row>
    <row r="54716" ht="14.25" customHeight="1" s="192">
      <c r="W54716" s="239" t="n"/>
      <c r="X54716" s="239" t="n"/>
    </row>
    <row r="54717" ht="14.25" customHeight="1" s="192">
      <c r="W54717" s="235" t="n"/>
      <c r="X54717" s="235" t="n"/>
    </row>
    <row r="54718" ht="14.25" customHeight="1" s="192">
      <c r="W54718" s="239" t="n"/>
      <c r="X54718" s="239" t="n"/>
    </row>
    <row r="54720" ht="14.25" customHeight="1" s="192">
      <c r="W54720" s="235" t="n"/>
      <c r="X54720" s="235" t="n"/>
    </row>
    <row r="54721" ht="15" customHeight="1" s="192" thickBot="1">
      <c r="W54721" s="239" t="n"/>
      <c r="X54721" s="239" t="n"/>
    </row>
    <row r="54722" ht="15" customHeight="1" s="192" thickBot="1">
      <c r="W54722" s="45" t="n"/>
      <c r="X54722" s="45" t="n"/>
    </row>
    <row r="54723" ht="14.25" customHeight="1" s="192">
      <c r="W54723" s="228" t="n"/>
      <c r="X54723" s="228" t="n"/>
    </row>
    <row r="54724" ht="14.25" customHeight="1" s="192">
      <c r="W54724" s="228" t="n"/>
      <c r="X54724" s="228" t="n"/>
    </row>
    <row r="54725" ht="14.25" customHeight="1" s="192">
      <c r="W54725" s="231" t="n"/>
      <c r="X54725" s="231" t="n"/>
    </row>
    <row r="54726" ht="14.25" customHeight="1" s="192">
      <c r="W54726" s="33" t="n"/>
      <c r="X54726" s="33" t="n"/>
    </row>
    <row r="54727" ht="14.25" customHeight="1" s="192">
      <c r="W54727" s="231" t="n"/>
      <c r="X54727" s="231" t="n"/>
    </row>
    <row r="54728" ht="14.25" customHeight="1" s="192">
      <c r="W54728" s="33" t="n"/>
      <c r="X54728" s="33" t="n"/>
    </row>
    <row r="54730" ht="14.25" customHeight="1" s="192">
      <c r="W54730" s="231" t="n"/>
      <c r="X54730" s="231" t="n"/>
    </row>
    <row r="54731" ht="14.25" customHeight="1" s="192">
      <c r="W54731" s="235" t="n"/>
      <c r="X54731" s="235" t="n"/>
    </row>
    <row r="54732" ht="14.25" customHeight="1" s="192">
      <c r="W54732" s="228" t="n"/>
      <c r="X54732" s="228" t="n"/>
    </row>
    <row r="54733" ht="14.25" customHeight="1" s="192">
      <c r="W54733" s="235" t="n"/>
      <c r="X54733" s="235" t="n"/>
    </row>
    <row r="54734" ht="14.25" customHeight="1" s="192">
      <c r="W54734" s="235" t="n"/>
      <c r="X54734" s="235" t="n"/>
    </row>
    <row r="54735" ht="14.25" customHeight="1" s="192">
      <c r="W54735" s="235" t="n"/>
      <c r="X54735" s="235" t="n"/>
    </row>
    <row r="54736" ht="14.25" customHeight="1" s="192">
      <c r="W54736" s="239" t="n"/>
      <c r="X54736" s="239" t="n"/>
    </row>
    <row r="54737" ht="14.25" customHeight="1" s="192">
      <c r="W54737" s="239" t="n"/>
      <c r="X54737" s="239" t="n"/>
    </row>
    <row r="54738" ht="14.25" customHeight="1" s="192">
      <c r="W54738" s="239" t="n"/>
      <c r="X54738" s="239" t="n"/>
    </row>
    <row r="54739" ht="14.25" customHeight="1" s="192">
      <c r="W54739" s="235" t="n"/>
      <c r="X54739" s="235" t="n"/>
    </row>
    <row r="54740" ht="14.25" customHeight="1" s="192">
      <c r="W54740" s="235" t="n"/>
      <c r="X54740" s="235" t="n"/>
    </row>
    <row r="54741" ht="14.25" customHeight="1" s="192">
      <c r="W54741" s="235" t="n"/>
      <c r="X54741" s="235" t="n"/>
    </row>
    <row r="54742" ht="14.25" customHeight="1" s="192">
      <c r="W54742" s="239" t="n"/>
      <c r="X54742" s="239" t="n"/>
    </row>
    <row r="54743" ht="14.25" customHeight="1" s="192">
      <c r="W54743" s="239" t="n"/>
      <c r="X54743" s="239" t="n"/>
    </row>
    <row r="54744" ht="14.25" customHeight="1" s="192">
      <c r="W54744" s="235" t="n"/>
      <c r="X54744" s="235" t="n"/>
    </row>
    <row r="54745" ht="14.25" customHeight="1" s="192">
      <c r="W54745" s="235" t="n"/>
      <c r="X54745" s="235" t="n"/>
    </row>
    <row r="54746" ht="14.25" customHeight="1" s="192">
      <c r="W54746" s="239" t="n"/>
      <c r="X54746" s="239" t="n"/>
    </row>
    <row r="54747" ht="14.25" customHeight="1" s="192">
      <c r="W54747" s="235" t="n"/>
      <c r="X54747" s="235" t="n"/>
    </row>
    <row r="54748" ht="14.25" customHeight="1" s="192">
      <c r="W54748" s="239" t="n"/>
      <c r="X54748" s="239" t="n"/>
    </row>
    <row r="54750" ht="14.25" customHeight="1" s="192">
      <c r="W54750" s="235" t="n"/>
      <c r="X54750" s="235" t="n"/>
    </row>
    <row r="54751" ht="15" customHeight="1" s="192" thickBot="1">
      <c r="W54751" s="239" t="n"/>
      <c r="X54751" s="239" t="n"/>
    </row>
    <row r="54752" ht="15" customHeight="1" s="192" thickBot="1">
      <c r="W54752" s="45" t="n"/>
      <c r="X54752" s="45" t="n"/>
    </row>
    <row r="54753" ht="14.25" customHeight="1" s="192">
      <c r="W54753" s="228" t="n"/>
      <c r="X54753" s="228" t="n"/>
    </row>
    <row r="54754" ht="14.25" customHeight="1" s="192">
      <c r="W54754" s="228" t="n"/>
      <c r="X54754" s="228" t="n"/>
    </row>
    <row r="54755" ht="14.25" customHeight="1" s="192">
      <c r="W54755" s="231" t="n"/>
      <c r="X54755" s="231" t="n"/>
    </row>
    <row r="54756" ht="14.25" customHeight="1" s="192">
      <c r="W54756" s="33" t="n"/>
      <c r="X54756" s="33" t="n"/>
    </row>
    <row r="54757" ht="14.25" customHeight="1" s="192">
      <c r="W54757" s="231" t="n"/>
      <c r="X54757" s="231" t="n"/>
    </row>
    <row r="54758" ht="14.25" customHeight="1" s="192">
      <c r="W54758" s="33" t="n"/>
      <c r="X54758" s="33" t="n"/>
    </row>
    <row r="54760" ht="14.25" customHeight="1" s="192">
      <c r="W54760" s="231" t="n"/>
      <c r="X54760" s="231" t="n"/>
    </row>
    <row r="54761" ht="14.25" customHeight="1" s="192">
      <c r="W54761" s="235" t="n"/>
      <c r="X54761" s="235" t="n"/>
    </row>
    <row r="54762" ht="14.25" customHeight="1" s="192">
      <c r="W54762" s="228" t="n"/>
      <c r="X54762" s="228" t="n"/>
    </row>
    <row r="54763" ht="14.25" customHeight="1" s="192">
      <c r="W54763" s="235" t="n"/>
      <c r="X54763" s="235" t="n"/>
    </row>
    <row r="54764" ht="14.25" customHeight="1" s="192">
      <c r="W54764" s="235" t="n"/>
      <c r="X54764" s="235" t="n"/>
    </row>
    <row r="54765" ht="14.25" customHeight="1" s="192">
      <c r="W54765" s="235" t="n"/>
      <c r="X54765" s="235" t="n"/>
    </row>
    <row r="54766" ht="14.25" customHeight="1" s="192">
      <c r="W54766" s="239" t="n"/>
      <c r="X54766" s="239" t="n"/>
    </row>
    <row r="54767" ht="14.25" customHeight="1" s="192">
      <c r="W54767" s="239" t="n"/>
      <c r="X54767" s="239" t="n"/>
    </row>
    <row r="54768" ht="14.25" customHeight="1" s="192">
      <c r="W54768" s="239" t="n"/>
      <c r="X54768" s="239" t="n"/>
    </row>
    <row r="54769" ht="14.25" customHeight="1" s="192">
      <c r="W54769" s="235" t="n"/>
      <c r="X54769" s="235" t="n"/>
    </row>
    <row r="54770" ht="14.25" customHeight="1" s="192">
      <c r="W54770" s="235" t="n"/>
      <c r="X54770" s="235" t="n"/>
    </row>
    <row r="54771" ht="14.25" customHeight="1" s="192">
      <c r="W54771" s="235" t="n"/>
      <c r="X54771" s="235" t="n"/>
    </row>
    <row r="54772" ht="14.25" customHeight="1" s="192">
      <c r="W54772" s="239" t="n"/>
      <c r="X54772" s="239" t="n"/>
    </row>
    <row r="54773" ht="14.25" customHeight="1" s="192">
      <c r="W54773" s="239" t="n"/>
      <c r="X54773" s="239" t="n"/>
    </row>
    <row r="54774" ht="14.25" customHeight="1" s="192">
      <c r="W54774" s="235" t="n"/>
      <c r="X54774" s="235" t="n"/>
    </row>
    <row r="54775" ht="14.25" customHeight="1" s="192">
      <c r="W54775" s="235" t="n"/>
      <c r="X54775" s="235" t="n"/>
    </row>
    <row r="54776" ht="14.25" customHeight="1" s="192">
      <c r="W54776" s="239" t="n"/>
      <c r="X54776" s="239" t="n"/>
    </row>
    <row r="54777" ht="14.25" customHeight="1" s="192">
      <c r="W54777" s="235" t="n"/>
      <c r="X54777" s="235" t="n"/>
    </row>
    <row r="54778" ht="14.25" customHeight="1" s="192">
      <c r="W54778" s="239" t="n"/>
      <c r="X54778" s="239" t="n"/>
    </row>
    <row r="54780" ht="14.25" customHeight="1" s="192">
      <c r="W54780" s="235" t="n"/>
      <c r="X54780" s="235" t="n"/>
    </row>
    <row r="54781" ht="15" customHeight="1" s="192" thickBot="1">
      <c r="W54781" s="239" t="n"/>
      <c r="X54781" s="239" t="n"/>
    </row>
    <row r="54782" ht="15" customHeight="1" s="192" thickBot="1">
      <c r="W54782" s="45" t="n"/>
      <c r="X54782" s="45" t="n"/>
    </row>
    <row r="54783" ht="14.25" customHeight="1" s="192">
      <c r="W54783" s="228" t="n"/>
      <c r="X54783" s="228" t="n"/>
    </row>
    <row r="54784" ht="14.25" customHeight="1" s="192">
      <c r="W54784" s="228" t="n"/>
      <c r="X54784" s="228" t="n"/>
    </row>
    <row r="54785" ht="14.25" customHeight="1" s="192">
      <c r="W54785" s="231" t="n"/>
      <c r="X54785" s="231" t="n"/>
    </row>
    <row r="54786" ht="14.25" customHeight="1" s="192">
      <c r="W54786" s="33" t="n"/>
      <c r="X54786" s="33" t="n"/>
    </row>
    <row r="54787" ht="14.25" customHeight="1" s="192">
      <c r="W54787" s="231" t="n"/>
      <c r="X54787" s="231" t="n"/>
    </row>
    <row r="54788" ht="14.25" customHeight="1" s="192">
      <c r="W54788" s="33" t="n"/>
      <c r="X54788" s="33" t="n"/>
    </row>
    <row r="54790" ht="14.25" customHeight="1" s="192">
      <c r="W54790" s="231" t="n"/>
      <c r="X54790" s="231" t="n"/>
    </row>
    <row r="54791" ht="14.25" customHeight="1" s="192">
      <c r="W54791" s="235" t="n"/>
      <c r="X54791" s="235" t="n"/>
    </row>
    <row r="54792" ht="14.25" customHeight="1" s="192">
      <c r="W54792" s="228" t="n"/>
      <c r="X54792" s="228" t="n"/>
    </row>
    <row r="54793" ht="14.25" customHeight="1" s="192">
      <c r="W54793" s="235" t="n"/>
      <c r="X54793" s="235" t="n"/>
    </row>
    <row r="54794" ht="14.25" customHeight="1" s="192">
      <c r="W54794" s="235" t="n"/>
      <c r="X54794" s="235" t="n"/>
    </row>
    <row r="54795" ht="14.25" customHeight="1" s="192">
      <c r="W54795" s="235" t="n"/>
      <c r="X54795" s="235" t="n"/>
    </row>
    <row r="54796" ht="14.25" customHeight="1" s="192">
      <c r="W54796" s="239" t="n"/>
      <c r="X54796" s="239" t="n"/>
    </row>
    <row r="54797" ht="14.25" customHeight="1" s="192">
      <c r="W54797" s="239" t="n"/>
      <c r="X54797" s="239" t="n"/>
    </row>
    <row r="54798" ht="14.25" customHeight="1" s="192">
      <c r="W54798" s="239" t="n"/>
      <c r="X54798" s="239" t="n"/>
    </row>
    <row r="54799" ht="14.25" customHeight="1" s="192">
      <c r="W54799" s="235" t="n"/>
      <c r="X54799" s="235" t="n"/>
    </row>
    <row r="54800" ht="14.25" customHeight="1" s="192">
      <c r="W54800" s="235" t="n"/>
      <c r="X54800" s="235" t="n"/>
    </row>
    <row r="54801" ht="14.25" customHeight="1" s="192">
      <c r="W54801" s="235" t="n"/>
      <c r="X54801" s="235" t="n"/>
    </row>
    <row r="54802" ht="14.25" customHeight="1" s="192">
      <c r="W54802" s="239" t="n"/>
      <c r="X54802" s="239" t="n"/>
    </row>
    <row r="54803" ht="14.25" customHeight="1" s="192">
      <c r="W54803" s="239" t="n"/>
      <c r="X54803" s="239" t="n"/>
    </row>
    <row r="54804" ht="14.25" customHeight="1" s="192">
      <c r="W54804" s="235" t="n"/>
      <c r="X54804" s="235" t="n"/>
    </row>
    <row r="54805" ht="14.25" customHeight="1" s="192">
      <c r="W54805" s="235" t="n"/>
      <c r="X54805" s="235" t="n"/>
    </row>
    <row r="54806" ht="14.25" customHeight="1" s="192">
      <c r="W54806" s="239" t="n"/>
      <c r="X54806" s="239" t="n"/>
    </row>
    <row r="54807" ht="14.25" customHeight="1" s="192">
      <c r="W54807" s="235" t="n"/>
      <c r="X54807" s="235" t="n"/>
    </row>
    <row r="54808" ht="14.25" customHeight="1" s="192">
      <c r="W54808" s="239" t="n"/>
      <c r="X54808" s="239" t="n"/>
    </row>
    <row r="54810" ht="14.25" customHeight="1" s="192">
      <c r="W54810" s="235" t="n"/>
      <c r="X54810" s="235" t="n"/>
    </row>
    <row r="54811" ht="15" customHeight="1" s="192" thickBot="1">
      <c r="W54811" s="239" t="n"/>
      <c r="X54811" s="239" t="n"/>
    </row>
    <row r="54812" ht="15" customHeight="1" s="192" thickBot="1">
      <c r="W54812" s="45" t="n"/>
      <c r="X54812" s="45" t="n"/>
    </row>
    <row r="54813" ht="14.25" customHeight="1" s="192">
      <c r="W54813" s="228" t="n"/>
      <c r="X54813" s="228" t="n"/>
    </row>
    <row r="54814" ht="14.25" customHeight="1" s="192">
      <c r="W54814" s="228" t="n"/>
      <c r="X54814" s="228" t="n"/>
    </row>
    <row r="54815" ht="14.25" customHeight="1" s="192">
      <c r="W54815" s="231" t="n"/>
      <c r="X54815" s="231" t="n"/>
    </row>
    <row r="54816" ht="14.25" customHeight="1" s="192">
      <c r="W54816" s="33" t="n"/>
      <c r="X54816" s="33" t="n"/>
    </row>
    <row r="54817" ht="14.25" customHeight="1" s="192">
      <c r="W54817" s="231" t="n"/>
      <c r="X54817" s="231" t="n"/>
    </row>
    <row r="54818" ht="14.25" customHeight="1" s="192">
      <c r="W54818" s="33" t="n"/>
      <c r="X54818" s="33" t="n"/>
    </row>
    <row r="54820" ht="14.25" customHeight="1" s="192">
      <c r="W54820" s="231" t="n"/>
      <c r="X54820" s="231" t="n"/>
    </row>
    <row r="54821" ht="14.25" customHeight="1" s="192">
      <c r="W54821" s="235" t="n"/>
      <c r="X54821" s="235" t="n"/>
    </row>
    <row r="54822" ht="14.25" customHeight="1" s="192">
      <c r="W54822" s="228" t="n"/>
      <c r="X54822" s="228" t="n"/>
    </row>
    <row r="54823" ht="14.25" customHeight="1" s="192">
      <c r="W54823" s="235" t="n"/>
      <c r="X54823" s="235" t="n"/>
    </row>
    <row r="54824" ht="14.25" customHeight="1" s="192">
      <c r="W54824" s="235" t="n"/>
      <c r="X54824" s="235" t="n"/>
    </row>
    <row r="54825" ht="14.25" customHeight="1" s="192">
      <c r="W54825" s="235" t="n"/>
      <c r="X54825" s="235" t="n"/>
    </row>
    <row r="54826" ht="14.25" customHeight="1" s="192">
      <c r="W54826" s="239" t="n"/>
      <c r="X54826" s="239" t="n"/>
    </row>
    <row r="54827" ht="14.25" customHeight="1" s="192">
      <c r="W54827" s="239" t="n"/>
      <c r="X54827" s="239" t="n"/>
    </row>
    <row r="54828" ht="14.25" customHeight="1" s="192">
      <c r="W54828" s="239" t="n"/>
      <c r="X54828" s="239" t="n"/>
    </row>
    <row r="54829" ht="14.25" customHeight="1" s="192">
      <c r="W54829" s="235" t="n"/>
      <c r="X54829" s="235" t="n"/>
    </row>
    <row r="54830" ht="14.25" customHeight="1" s="192">
      <c r="W54830" s="235" t="n"/>
      <c r="X54830" s="235" t="n"/>
    </row>
    <row r="54831" ht="14.25" customHeight="1" s="192">
      <c r="W54831" s="235" t="n"/>
      <c r="X54831" s="235" t="n"/>
    </row>
    <row r="54832" ht="14.25" customHeight="1" s="192">
      <c r="W54832" s="239" t="n"/>
      <c r="X54832" s="239" t="n"/>
    </row>
    <row r="54833" ht="14.25" customHeight="1" s="192">
      <c r="W54833" s="239" t="n"/>
      <c r="X54833" s="239" t="n"/>
    </row>
    <row r="54834" ht="14.25" customHeight="1" s="192">
      <c r="W54834" s="235" t="n"/>
      <c r="X54834" s="235" t="n"/>
    </row>
    <row r="54835" ht="14.25" customHeight="1" s="192">
      <c r="W54835" s="235" t="n"/>
      <c r="X54835" s="235" t="n"/>
    </row>
    <row r="54836" ht="14.25" customHeight="1" s="192">
      <c r="W54836" s="239" t="n"/>
      <c r="X54836" s="239" t="n"/>
    </row>
    <row r="54837" ht="14.25" customHeight="1" s="192">
      <c r="W54837" s="235" t="n"/>
      <c r="X54837" s="235" t="n"/>
    </row>
    <row r="54838" ht="14.25" customHeight="1" s="192">
      <c r="W54838" s="239" t="n"/>
      <c r="X54838" s="239" t="n"/>
    </row>
    <row r="54840" ht="14.25" customHeight="1" s="192">
      <c r="W54840" s="235" t="n"/>
      <c r="X54840" s="235" t="n"/>
    </row>
    <row r="54841" ht="15" customHeight="1" s="192" thickBot="1">
      <c r="W54841" s="239" t="n"/>
      <c r="X54841" s="239" t="n"/>
    </row>
    <row r="54842" ht="15" customHeight="1" s="192" thickBot="1">
      <c r="W54842" s="45" t="n"/>
      <c r="X54842" s="45" t="n"/>
    </row>
    <row r="54843" ht="14.25" customHeight="1" s="192">
      <c r="W54843" s="228" t="n"/>
      <c r="X54843" s="228" t="n"/>
    </row>
    <row r="54844" ht="14.25" customHeight="1" s="192">
      <c r="W54844" s="228" t="n"/>
      <c r="X54844" s="228" t="n"/>
    </row>
    <row r="54845" ht="14.25" customHeight="1" s="192">
      <c r="W54845" s="231" t="n"/>
      <c r="X54845" s="231" t="n"/>
    </row>
    <row r="54846" ht="14.25" customHeight="1" s="192">
      <c r="W54846" s="33" t="n"/>
      <c r="X54846" s="33" t="n"/>
    </row>
    <row r="54847" ht="14.25" customHeight="1" s="192">
      <c r="W54847" s="231" t="n"/>
      <c r="X54847" s="231" t="n"/>
    </row>
    <row r="54848" ht="14.25" customHeight="1" s="192">
      <c r="W54848" s="33" t="n"/>
      <c r="X54848" s="33" t="n"/>
    </row>
    <row r="54850" ht="14.25" customHeight="1" s="192">
      <c r="W54850" s="231" t="n"/>
      <c r="X54850" s="231" t="n"/>
    </row>
    <row r="54851" ht="14.25" customHeight="1" s="192">
      <c r="W54851" s="235" t="n"/>
      <c r="X54851" s="235" t="n"/>
    </row>
    <row r="54852" ht="14.25" customHeight="1" s="192">
      <c r="W54852" s="228" t="n"/>
      <c r="X54852" s="228" t="n"/>
    </row>
    <row r="54853" ht="14.25" customHeight="1" s="192">
      <c r="W54853" s="235" t="n"/>
      <c r="X54853" s="235" t="n"/>
    </row>
    <row r="54854" ht="14.25" customHeight="1" s="192">
      <c r="W54854" s="235" t="n"/>
      <c r="X54854" s="235" t="n"/>
    </row>
    <row r="54855" ht="14.25" customHeight="1" s="192">
      <c r="W54855" s="235" t="n"/>
      <c r="X54855" s="235" t="n"/>
    </row>
    <row r="54856" ht="14.25" customHeight="1" s="192">
      <c r="W54856" s="239" t="n"/>
      <c r="X54856" s="239" t="n"/>
    </row>
    <row r="54857" ht="14.25" customHeight="1" s="192">
      <c r="W54857" s="239" t="n"/>
      <c r="X54857" s="239" t="n"/>
    </row>
    <row r="54858" ht="14.25" customHeight="1" s="192">
      <c r="W54858" s="239" t="n"/>
      <c r="X54858" s="239" t="n"/>
    </row>
    <row r="54859" ht="14.25" customHeight="1" s="192">
      <c r="W54859" s="235" t="n"/>
      <c r="X54859" s="235" t="n"/>
    </row>
    <row r="54860" ht="14.25" customHeight="1" s="192">
      <c r="W54860" s="235" t="n"/>
      <c r="X54860" s="235" t="n"/>
    </row>
    <row r="54861" ht="14.25" customHeight="1" s="192">
      <c r="W54861" s="235" t="n"/>
      <c r="X54861" s="235" t="n"/>
    </row>
    <row r="54862" ht="14.25" customHeight="1" s="192">
      <c r="W54862" s="239" t="n"/>
      <c r="X54862" s="239" t="n"/>
    </row>
    <row r="54863" ht="14.25" customHeight="1" s="192">
      <c r="W54863" s="239" t="n"/>
      <c r="X54863" s="239" t="n"/>
    </row>
    <row r="54864" ht="14.25" customHeight="1" s="192">
      <c r="W54864" s="235" t="n"/>
      <c r="X54864" s="235" t="n"/>
    </row>
    <row r="54865" ht="14.25" customHeight="1" s="192">
      <c r="W54865" s="235" t="n"/>
      <c r="X54865" s="235" t="n"/>
    </row>
    <row r="54866" ht="14.25" customHeight="1" s="192">
      <c r="W54866" s="239" t="n"/>
      <c r="X54866" s="239" t="n"/>
    </row>
    <row r="54867" ht="14.25" customHeight="1" s="192">
      <c r="W54867" s="235" t="n"/>
      <c r="X54867" s="235" t="n"/>
    </row>
    <row r="54868" ht="14.25" customHeight="1" s="192">
      <c r="W54868" s="239" t="n"/>
      <c r="X54868" s="239" t="n"/>
    </row>
    <row r="54870" ht="14.25" customHeight="1" s="192">
      <c r="W54870" s="235" t="n"/>
      <c r="X54870" s="235" t="n"/>
    </row>
    <row r="54871" ht="15" customHeight="1" s="192" thickBot="1">
      <c r="W54871" s="239" t="n"/>
      <c r="X54871" s="239" t="n"/>
    </row>
    <row r="54872" ht="15" customHeight="1" s="192" thickBot="1">
      <c r="W54872" s="45" t="n"/>
      <c r="X54872" s="45" t="n"/>
    </row>
    <row r="54873" ht="14.25" customHeight="1" s="192">
      <c r="W54873" s="228" t="n"/>
      <c r="X54873" s="228" t="n"/>
    </row>
    <row r="54874" ht="14.25" customHeight="1" s="192">
      <c r="W54874" s="228" t="n"/>
      <c r="X54874" s="228" t="n"/>
    </row>
    <row r="54875" ht="14.25" customHeight="1" s="192">
      <c r="W54875" s="231" t="n"/>
      <c r="X54875" s="231" t="n"/>
    </row>
    <row r="54876" ht="14.25" customHeight="1" s="192">
      <c r="W54876" s="33" t="n"/>
      <c r="X54876" s="33" t="n"/>
    </row>
    <row r="54877" ht="14.25" customHeight="1" s="192">
      <c r="W54877" s="231" t="n"/>
      <c r="X54877" s="231" t="n"/>
    </row>
    <row r="54878" ht="14.25" customHeight="1" s="192">
      <c r="W54878" s="33" t="n"/>
      <c r="X54878" s="33" t="n"/>
    </row>
    <row r="54880" ht="14.25" customHeight="1" s="192">
      <c r="W54880" s="231" t="n"/>
      <c r="X54880" s="231" t="n"/>
    </row>
    <row r="54881" ht="14.25" customHeight="1" s="192">
      <c r="W54881" s="235" t="n"/>
      <c r="X54881" s="235" t="n"/>
    </row>
    <row r="54882" ht="14.25" customHeight="1" s="192">
      <c r="W54882" s="228" t="n"/>
      <c r="X54882" s="228" t="n"/>
    </row>
    <row r="54883" ht="14.25" customHeight="1" s="192">
      <c r="W54883" s="235" t="n"/>
      <c r="X54883" s="235" t="n"/>
    </row>
    <row r="54884" ht="14.25" customHeight="1" s="192">
      <c r="W54884" s="235" t="n"/>
      <c r="X54884" s="235" t="n"/>
    </row>
    <row r="54885" ht="14.25" customHeight="1" s="192">
      <c r="W54885" s="235" t="n"/>
      <c r="X54885" s="235" t="n"/>
    </row>
    <row r="54886" ht="14.25" customHeight="1" s="192">
      <c r="W54886" s="239" t="n"/>
      <c r="X54886" s="239" t="n"/>
    </row>
    <row r="54887" ht="14.25" customHeight="1" s="192">
      <c r="W54887" s="239" t="n"/>
      <c r="X54887" s="239" t="n"/>
    </row>
    <row r="54888" ht="14.25" customHeight="1" s="192">
      <c r="W54888" s="239" t="n"/>
      <c r="X54888" s="239" t="n"/>
    </row>
    <row r="54889" ht="14.25" customHeight="1" s="192">
      <c r="W54889" s="235" t="n"/>
      <c r="X54889" s="235" t="n"/>
    </row>
    <row r="54890" ht="14.25" customHeight="1" s="192">
      <c r="W54890" s="235" t="n"/>
      <c r="X54890" s="235" t="n"/>
    </row>
    <row r="54891" ht="14.25" customHeight="1" s="192">
      <c r="W54891" s="235" t="n"/>
      <c r="X54891" s="235" t="n"/>
    </row>
    <row r="54892" ht="14.25" customHeight="1" s="192">
      <c r="W54892" s="239" t="n"/>
      <c r="X54892" s="239" t="n"/>
    </row>
    <row r="54893" ht="14.25" customHeight="1" s="192">
      <c r="W54893" s="239" t="n"/>
      <c r="X54893" s="239" t="n"/>
    </row>
    <row r="54894" ht="14.25" customHeight="1" s="192">
      <c r="W54894" s="235" t="n"/>
      <c r="X54894" s="235" t="n"/>
    </row>
    <row r="54895" ht="14.25" customHeight="1" s="192">
      <c r="W54895" s="235" t="n"/>
      <c r="X54895" s="235" t="n"/>
    </row>
    <row r="54896" ht="14.25" customHeight="1" s="192">
      <c r="W54896" s="239" t="n"/>
      <c r="X54896" s="239" t="n"/>
    </row>
    <row r="54897" ht="14.25" customHeight="1" s="192">
      <c r="W54897" s="235" t="n"/>
      <c r="X54897" s="235" t="n"/>
    </row>
    <row r="54898" ht="14.25" customHeight="1" s="192">
      <c r="W54898" s="239" t="n"/>
      <c r="X54898" s="239" t="n"/>
    </row>
    <row r="54900" ht="14.25" customHeight="1" s="192">
      <c r="W54900" s="235" t="n"/>
      <c r="X54900" s="235" t="n"/>
    </row>
    <row r="54901" ht="15" customHeight="1" s="192" thickBot="1">
      <c r="W54901" s="239" t="n"/>
      <c r="X54901" s="239" t="n"/>
    </row>
    <row r="54902" ht="15" customHeight="1" s="192" thickBot="1">
      <c r="W54902" s="45" t="n"/>
      <c r="X54902" s="45" t="n"/>
    </row>
    <row r="54903" ht="14.25" customHeight="1" s="192">
      <c r="W54903" s="228" t="n"/>
      <c r="X54903" s="228" t="n"/>
    </row>
    <row r="54904" ht="14.25" customHeight="1" s="192">
      <c r="W54904" s="228" t="n"/>
      <c r="X54904" s="228" t="n"/>
    </row>
    <row r="54905" ht="14.25" customHeight="1" s="192">
      <c r="W54905" s="231" t="n"/>
      <c r="X54905" s="231" t="n"/>
    </row>
    <row r="54906" ht="14.25" customHeight="1" s="192">
      <c r="W54906" s="33" t="n"/>
      <c r="X54906" s="33" t="n"/>
    </row>
    <row r="54907" ht="14.25" customHeight="1" s="192">
      <c r="W54907" s="231" t="n"/>
      <c r="X54907" s="231" t="n"/>
    </row>
    <row r="54908" ht="14.25" customHeight="1" s="192">
      <c r="W54908" s="33" t="n"/>
      <c r="X54908" s="33" t="n"/>
    </row>
    <row r="54910" ht="14.25" customHeight="1" s="192">
      <c r="W54910" s="231" t="n"/>
      <c r="X54910" s="231" t="n"/>
    </row>
    <row r="54911" ht="14.25" customHeight="1" s="192">
      <c r="W54911" s="235" t="n"/>
      <c r="X54911" s="235" t="n"/>
    </row>
    <row r="54912" ht="14.25" customHeight="1" s="192">
      <c r="W54912" s="228" t="n"/>
      <c r="X54912" s="228" t="n"/>
    </row>
    <row r="54913" ht="14.25" customHeight="1" s="192">
      <c r="W54913" s="235" t="n"/>
      <c r="X54913" s="235" t="n"/>
    </row>
    <row r="54914" ht="14.25" customHeight="1" s="192">
      <c r="W54914" s="235" t="n"/>
      <c r="X54914" s="235" t="n"/>
    </row>
    <row r="54915" ht="14.25" customHeight="1" s="192">
      <c r="W54915" s="235" t="n"/>
      <c r="X54915" s="235" t="n"/>
    </row>
    <row r="54916" ht="14.25" customHeight="1" s="192">
      <c r="W54916" s="239" t="n"/>
      <c r="X54916" s="239" t="n"/>
    </row>
    <row r="54917" ht="14.25" customHeight="1" s="192">
      <c r="W54917" s="239" t="n"/>
      <c r="X54917" s="239" t="n"/>
    </row>
    <row r="54918" ht="14.25" customHeight="1" s="192">
      <c r="W54918" s="239" t="n"/>
      <c r="X54918" s="239" t="n"/>
    </row>
    <row r="54919" ht="14.25" customHeight="1" s="192">
      <c r="W54919" s="235" t="n"/>
      <c r="X54919" s="235" t="n"/>
    </row>
    <row r="54920" ht="14.25" customHeight="1" s="192">
      <c r="W54920" s="235" t="n"/>
      <c r="X54920" s="235" t="n"/>
    </row>
    <row r="54921" ht="14.25" customHeight="1" s="192">
      <c r="W54921" s="235" t="n"/>
      <c r="X54921" s="235" t="n"/>
    </row>
    <row r="54922" ht="14.25" customHeight="1" s="192">
      <c r="W54922" s="239" t="n"/>
      <c r="X54922" s="239" t="n"/>
    </row>
    <row r="54923" ht="14.25" customHeight="1" s="192">
      <c r="W54923" s="239" t="n"/>
      <c r="X54923" s="239" t="n"/>
    </row>
    <row r="54924" ht="14.25" customHeight="1" s="192">
      <c r="W54924" s="235" t="n"/>
      <c r="X54924" s="235" t="n"/>
    </row>
    <row r="54925" ht="14.25" customHeight="1" s="192">
      <c r="W54925" s="235" t="n"/>
      <c r="X54925" s="235" t="n"/>
    </row>
    <row r="54926" ht="14.25" customHeight="1" s="192">
      <c r="W54926" s="239" t="n"/>
      <c r="X54926" s="239" t="n"/>
    </row>
    <row r="54927" ht="14.25" customHeight="1" s="192">
      <c r="W54927" s="235" t="n"/>
      <c r="X54927" s="235" t="n"/>
    </row>
    <row r="54928" ht="14.25" customHeight="1" s="192">
      <c r="W54928" s="239" t="n"/>
      <c r="X54928" s="239" t="n"/>
    </row>
    <row r="54930" ht="14.25" customHeight="1" s="192">
      <c r="W54930" s="235" t="n"/>
      <c r="X54930" s="235" t="n"/>
    </row>
    <row r="54931" ht="15" customHeight="1" s="192" thickBot="1">
      <c r="W54931" s="239" t="n"/>
      <c r="X54931" s="239" t="n"/>
    </row>
    <row r="54932" ht="15" customHeight="1" s="192" thickBot="1">
      <c r="W54932" s="45" t="n"/>
      <c r="X54932" s="45" t="n"/>
    </row>
    <row r="54933" ht="14.25" customHeight="1" s="192">
      <c r="W54933" s="228" t="n"/>
      <c r="X54933" s="228" t="n"/>
    </row>
    <row r="54934" ht="14.25" customHeight="1" s="192">
      <c r="W54934" s="228" t="n"/>
      <c r="X54934" s="228" t="n"/>
    </row>
    <row r="54935" ht="14.25" customHeight="1" s="192">
      <c r="W54935" s="231" t="n"/>
      <c r="X54935" s="231" t="n"/>
    </row>
    <row r="54936" ht="14.25" customHeight="1" s="192">
      <c r="W54936" s="33" t="n"/>
      <c r="X54936" s="33" t="n"/>
    </row>
    <row r="54937" ht="14.25" customHeight="1" s="192">
      <c r="W54937" s="231" t="n"/>
      <c r="X54937" s="231" t="n"/>
    </row>
    <row r="54938" ht="14.25" customHeight="1" s="192">
      <c r="W54938" s="33" t="n"/>
      <c r="X54938" s="33" t="n"/>
    </row>
    <row r="54940" ht="14.25" customHeight="1" s="192">
      <c r="W54940" s="231" t="n"/>
      <c r="X54940" s="231" t="n"/>
    </row>
    <row r="54941" ht="14.25" customHeight="1" s="192">
      <c r="W54941" s="235" t="n"/>
      <c r="X54941" s="235" t="n"/>
    </row>
    <row r="54942" ht="14.25" customHeight="1" s="192">
      <c r="W54942" s="228" t="n"/>
      <c r="X54942" s="228" t="n"/>
    </row>
    <row r="54943" ht="14.25" customHeight="1" s="192">
      <c r="W54943" s="235" t="n"/>
      <c r="X54943" s="235" t="n"/>
    </row>
    <row r="54944" ht="14.25" customHeight="1" s="192">
      <c r="W54944" s="235" t="n"/>
      <c r="X54944" s="235" t="n"/>
    </row>
    <row r="54945" ht="14.25" customHeight="1" s="192">
      <c r="W54945" s="235" t="n"/>
      <c r="X54945" s="235" t="n"/>
    </row>
    <row r="54946" ht="14.25" customHeight="1" s="192">
      <c r="W54946" s="239" t="n"/>
      <c r="X54946" s="239" t="n"/>
    </row>
    <row r="54947" ht="14.25" customHeight="1" s="192">
      <c r="W54947" s="239" t="n"/>
      <c r="X54947" s="239" t="n"/>
    </row>
    <row r="54948" ht="14.25" customHeight="1" s="192">
      <c r="W54948" s="239" t="n"/>
      <c r="X54948" s="239" t="n"/>
    </row>
    <row r="54949" ht="14.25" customHeight="1" s="192">
      <c r="W54949" s="235" t="n"/>
      <c r="X54949" s="235" t="n"/>
    </row>
    <row r="54950" ht="14.25" customHeight="1" s="192">
      <c r="W54950" s="235" t="n"/>
      <c r="X54950" s="235" t="n"/>
    </row>
    <row r="54951" ht="14.25" customHeight="1" s="192">
      <c r="W54951" s="235" t="n"/>
      <c r="X54951" s="235" t="n"/>
    </row>
    <row r="54952" ht="14.25" customHeight="1" s="192">
      <c r="W54952" s="239" t="n"/>
      <c r="X54952" s="239" t="n"/>
    </row>
    <row r="54953" ht="14.25" customHeight="1" s="192">
      <c r="W54953" s="239" t="n"/>
      <c r="X54953" s="239" t="n"/>
    </row>
    <row r="54954" ht="14.25" customHeight="1" s="192">
      <c r="W54954" s="235" t="n"/>
      <c r="X54954" s="235" t="n"/>
    </row>
    <row r="54955" ht="14.25" customHeight="1" s="192">
      <c r="W54955" s="235" t="n"/>
      <c r="X54955" s="235" t="n"/>
    </row>
    <row r="54956" ht="14.25" customHeight="1" s="192">
      <c r="W54956" s="239" t="n"/>
      <c r="X54956" s="239" t="n"/>
    </row>
    <row r="54957" ht="14.25" customHeight="1" s="192">
      <c r="W54957" s="235" t="n"/>
      <c r="X54957" s="235" t="n"/>
    </row>
    <row r="54958" ht="14.25" customHeight="1" s="192">
      <c r="W54958" s="239" t="n"/>
      <c r="X54958" s="239" t="n"/>
    </row>
    <row r="54960" ht="14.25" customHeight="1" s="192">
      <c r="W54960" s="235" t="n"/>
      <c r="X54960" s="235" t="n"/>
    </row>
    <row r="54961" ht="15" customHeight="1" s="192" thickBot="1">
      <c r="W54961" s="239" t="n"/>
      <c r="X54961" s="239" t="n"/>
    </row>
    <row r="54962" ht="15" customHeight="1" s="192" thickBot="1">
      <c r="W54962" s="45" t="n"/>
      <c r="X54962" s="45" t="n"/>
    </row>
    <row r="54963" ht="14.25" customHeight="1" s="192">
      <c r="W54963" s="228" t="n"/>
      <c r="X54963" s="228" t="n"/>
    </row>
    <row r="54964" ht="14.25" customHeight="1" s="192">
      <c r="W54964" s="228" t="n"/>
      <c r="X54964" s="228" t="n"/>
    </row>
    <row r="54965" ht="14.25" customHeight="1" s="192">
      <c r="W54965" s="231" t="n"/>
      <c r="X54965" s="231" t="n"/>
    </row>
    <row r="54966" ht="14.25" customHeight="1" s="192">
      <c r="W54966" s="33" t="n"/>
      <c r="X54966" s="33" t="n"/>
    </row>
    <row r="54967" ht="14.25" customHeight="1" s="192">
      <c r="W54967" s="231" t="n"/>
      <c r="X54967" s="231" t="n"/>
    </row>
    <row r="54968" ht="14.25" customHeight="1" s="192">
      <c r="W54968" s="33" t="n"/>
      <c r="X54968" s="33" t="n"/>
    </row>
    <row r="54970" ht="14.25" customHeight="1" s="192">
      <c r="W54970" s="231" t="n"/>
      <c r="X54970" s="231" t="n"/>
    </row>
    <row r="54971" ht="14.25" customHeight="1" s="192">
      <c r="W54971" s="235" t="n"/>
      <c r="X54971" s="235" t="n"/>
    </row>
    <row r="54972" ht="14.25" customHeight="1" s="192">
      <c r="W54972" s="228" t="n"/>
      <c r="X54972" s="228" t="n"/>
    </row>
    <row r="54973" ht="14.25" customHeight="1" s="192">
      <c r="W54973" s="235" t="n"/>
      <c r="X54973" s="235" t="n"/>
    </row>
    <row r="54974" ht="14.25" customHeight="1" s="192">
      <c r="W54974" s="235" t="n"/>
      <c r="X54974" s="235" t="n"/>
    </row>
    <row r="54975" ht="14.25" customHeight="1" s="192">
      <c r="W54975" s="235" t="n"/>
      <c r="X54975" s="235" t="n"/>
    </row>
    <row r="54976" ht="14.25" customHeight="1" s="192">
      <c r="W54976" s="239" t="n"/>
      <c r="X54976" s="239" t="n"/>
    </row>
    <row r="54977" ht="14.25" customHeight="1" s="192">
      <c r="W54977" s="239" t="n"/>
      <c r="X54977" s="239" t="n"/>
    </row>
    <row r="54978" ht="14.25" customHeight="1" s="192">
      <c r="W54978" s="239" t="n"/>
      <c r="X54978" s="239" t="n"/>
    </row>
    <row r="54979" ht="14.25" customHeight="1" s="192">
      <c r="W54979" s="235" t="n"/>
      <c r="X54979" s="235" t="n"/>
    </row>
    <row r="54980" ht="14.25" customHeight="1" s="192">
      <c r="W54980" s="235" t="n"/>
      <c r="X54980" s="235" t="n"/>
    </row>
    <row r="54981" ht="14.25" customHeight="1" s="192">
      <c r="W54981" s="235" t="n"/>
      <c r="X54981" s="235" t="n"/>
    </row>
    <row r="54982" ht="14.25" customHeight="1" s="192">
      <c r="W54982" s="239" t="n"/>
      <c r="X54982" s="239" t="n"/>
    </row>
    <row r="54983" ht="14.25" customHeight="1" s="192">
      <c r="W54983" s="239" t="n"/>
      <c r="X54983" s="239" t="n"/>
    </row>
    <row r="54984" ht="14.25" customHeight="1" s="192">
      <c r="W54984" s="235" t="n"/>
      <c r="X54984" s="235" t="n"/>
    </row>
    <row r="54985" ht="14.25" customHeight="1" s="192">
      <c r="W54985" s="235" t="n"/>
      <c r="X54985" s="235" t="n"/>
    </row>
    <row r="54986" ht="14.25" customHeight="1" s="192">
      <c r="W54986" s="239" t="n"/>
      <c r="X54986" s="239" t="n"/>
    </row>
    <row r="54987" ht="14.25" customHeight="1" s="192">
      <c r="W54987" s="235" t="n"/>
      <c r="X54987" s="235" t="n"/>
    </row>
    <row r="54988" ht="14.25" customHeight="1" s="192">
      <c r="W54988" s="239" t="n"/>
      <c r="X54988" s="239" t="n"/>
    </row>
    <row r="54990" ht="14.25" customHeight="1" s="192">
      <c r="W54990" s="235" t="n"/>
      <c r="X54990" s="235" t="n"/>
    </row>
    <row r="54991" ht="15" customHeight="1" s="192" thickBot="1">
      <c r="W54991" s="239" t="n"/>
      <c r="X54991" s="239" t="n"/>
    </row>
    <row r="54992" ht="15" customHeight="1" s="192" thickBot="1">
      <c r="W54992" s="45" t="n"/>
      <c r="X54992" s="45" t="n"/>
    </row>
    <row r="54993" ht="14.25" customHeight="1" s="192">
      <c r="W54993" s="228" t="n"/>
      <c r="X54993" s="228" t="n"/>
    </row>
    <row r="54994" ht="14.25" customHeight="1" s="192">
      <c r="W54994" s="228" t="n"/>
      <c r="X54994" s="228" t="n"/>
    </row>
    <row r="54995" ht="14.25" customHeight="1" s="192">
      <c r="W54995" s="231" t="n"/>
      <c r="X54995" s="231" t="n"/>
    </row>
    <row r="54996" ht="14.25" customHeight="1" s="192">
      <c r="W54996" s="33" t="n"/>
      <c r="X54996" s="33" t="n"/>
    </row>
    <row r="54997" ht="14.25" customHeight="1" s="192">
      <c r="W54997" s="231" t="n"/>
      <c r="X54997" s="231" t="n"/>
    </row>
    <row r="54998" ht="14.25" customHeight="1" s="192">
      <c r="W54998" s="33" t="n"/>
      <c r="X54998" s="33" t="n"/>
    </row>
    <row r="55000" ht="14.25" customHeight="1" s="192">
      <c r="W55000" s="231" t="n"/>
      <c r="X55000" s="231" t="n"/>
    </row>
    <row r="55001" ht="14.25" customHeight="1" s="192">
      <c r="W55001" s="235" t="n"/>
      <c r="X55001" s="235" t="n"/>
    </row>
    <row r="55002" ht="14.25" customHeight="1" s="192">
      <c r="W55002" s="228" t="n"/>
      <c r="X55002" s="228" t="n"/>
    </row>
    <row r="55003" ht="14.25" customHeight="1" s="192">
      <c r="W55003" s="235" t="n"/>
      <c r="X55003" s="235" t="n"/>
    </row>
    <row r="55004" ht="14.25" customHeight="1" s="192">
      <c r="W55004" s="235" t="n"/>
      <c r="X55004" s="235" t="n"/>
    </row>
    <row r="55005" ht="14.25" customHeight="1" s="192">
      <c r="W55005" s="235" t="n"/>
      <c r="X55005" s="235" t="n"/>
    </row>
    <row r="55006" ht="14.25" customHeight="1" s="192">
      <c r="W55006" s="239" t="n"/>
      <c r="X55006" s="239" t="n"/>
    </row>
    <row r="55007" ht="14.25" customHeight="1" s="192">
      <c r="W55007" s="239" t="n"/>
      <c r="X55007" s="239" t="n"/>
    </row>
    <row r="55008" ht="14.25" customHeight="1" s="192">
      <c r="W55008" s="239" t="n"/>
      <c r="X55008" s="239" t="n"/>
    </row>
    <row r="55009" ht="14.25" customHeight="1" s="192">
      <c r="W55009" s="235" t="n"/>
      <c r="X55009" s="235" t="n"/>
    </row>
    <row r="55010" ht="14.25" customHeight="1" s="192">
      <c r="W55010" s="235" t="n"/>
      <c r="X55010" s="235" t="n"/>
    </row>
    <row r="55011" ht="14.25" customHeight="1" s="192">
      <c r="W55011" s="235" t="n"/>
      <c r="X55011" s="235" t="n"/>
    </row>
    <row r="55012" ht="14.25" customHeight="1" s="192">
      <c r="W55012" s="239" t="n"/>
      <c r="X55012" s="239" t="n"/>
    </row>
    <row r="55013" ht="14.25" customHeight="1" s="192">
      <c r="W55013" s="239" t="n"/>
      <c r="X55013" s="239" t="n"/>
    </row>
    <row r="55014" ht="14.25" customHeight="1" s="192">
      <c r="W55014" s="235" t="n"/>
      <c r="X55014" s="235" t="n"/>
    </row>
    <row r="55015" ht="14.25" customHeight="1" s="192">
      <c r="W55015" s="235" t="n"/>
      <c r="X55015" s="235" t="n"/>
    </row>
    <row r="55016" ht="14.25" customHeight="1" s="192">
      <c r="W55016" s="239" t="n"/>
      <c r="X55016" s="239" t="n"/>
    </row>
    <row r="55017" ht="14.25" customHeight="1" s="192">
      <c r="W55017" s="235" t="n"/>
      <c r="X55017" s="235" t="n"/>
    </row>
    <row r="55018" ht="14.25" customHeight="1" s="192">
      <c r="W55018" s="239" t="n"/>
      <c r="X55018" s="239" t="n"/>
    </row>
    <row r="55020" ht="14.25" customHeight="1" s="192">
      <c r="W55020" s="235" t="n"/>
      <c r="X55020" s="235" t="n"/>
    </row>
    <row r="55021" ht="15" customHeight="1" s="192" thickBot="1">
      <c r="W55021" s="239" t="n"/>
      <c r="X55021" s="239" t="n"/>
    </row>
    <row r="55022" ht="15" customHeight="1" s="192" thickBot="1">
      <c r="W55022" s="45" t="n"/>
      <c r="X55022" s="45" t="n"/>
    </row>
    <row r="55023" ht="14.25" customHeight="1" s="192">
      <c r="W55023" s="228" t="n"/>
      <c r="X55023" s="228" t="n"/>
    </row>
    <row r="55024" ht="14.25" customHeight="1" s="192">
      <c r="W55024" s="228" t="n"/>
      <c r="X55024" s="228" t="n"/>
    </row>
    <row r="55025" ht="14.25" customHeight="1" s="192">
      <c r="W55025" s="231" t="n"/>
      <c r="X55025" s="231" t="n"/>
    </row>
    <row r="55026" ht="14.25" customHeight="1" s="192">
      <c r="W55026" s="33" t="n"/>
      <c r="X55026" s="33" t="n"/>
    </row>
    <row r="55027" ht="14.25" customHeight="1" s="192">
      <c r="W55027" s="231" t="n"/>
      <c r="X55027" s="231" t="n"/>
    </row>
    <row r="55028" ht="14.25" customHeight="1" s="192">
      <c r="W55028" s="33" t="n"/>
      <c r="X55028" s="33" t="n"/>
    </row>
    <row r="55030" ht="14.25" customHeight="1" s="192">
      <c r="W55030" s="231" t="n"/>
      <c r="X55030" s="231" t="n"/>
    </row>
    <row r="55031" ht="14.25" customHeight="1" s="192">
      <c r="W55031" s="235" t="n"/>
      <c r="X55031" s="235" t="n"/>
    </row>
    <row r="55032" ht="14.25" customHeight="1" s="192">
      <c r="W55032" s="228" t="n"/>
      <c r="X55032" s="228" t="n"/>
    </row>
    <row r="55033" ht="14.25" customHeight="1" s="192">
      <c r="W55033" s="235" t="n"/>
      <c r="X55033" s="235" t="n"/>
    </row>
    <row r="55034" ht="14.25" customHeight="1" s="192">
      <c r="W55034" s="235" t="n"/>
      <c r="X55034" s="235" t="n"/>
    </row>
    <row r="55035" ht="14.25" customHeight="1" s="192">
      <c r="W55035" s="235" t="n"/>
      <c r="X55035" s="235" t="n"/>
    </row>
    <row r="55036" ht="14.25" customHeight="1" s="192">
      <c r="W55036" s="239" t="n"/>
      <c r="X55036" s="239" t="n"/>
    </row>
    <row r="55037" ht="14.25" customHeight="1" s="192">
      <c r="W55037" s="239" t="n"/>
      <c r="X55037" s="239" t="n"/>
    </row>
    <row r="55038" ht="14.25" customHeight="1" s="192">
      <c r="W55038" s="239" t="n"/>
      <c r="X55038" s="239" t="n"/>
    </row>
    <row r="55039" ht="14.25" customHeight="1" s="192">
      <c r="W55039" s="235" t="n"/>
      <c r="X55039" s="235" t="n"/>
    </row>
    <row r="55040" ht="14.25" customHeight="1" s="192">
      <c r="W55040" s="235" t="n"/>
      <c r="X55040" s="235" t="n"/>
    </row>
    <row r="55041" ht="14.25" customHeight="1" s="192">
      <c r="W55041" s="235" t="n"/>
      <c r="X55041" s="235" t="n"/>
    </row>
    <row r="55042" ht="14.25" customHeight="1" s="192">
      <c r="W55042" s="239" t="n"/>
      <c r="X55042" s="239" t="n"/>
    </row>
    <row r="55043" ht="14.25" customHeight="1" s="192">
      <c r="W55043" s="239" t="n"/>
      <c r="X55043" s="239" t="n"/>
    </row>
    <row r="55044" ht="14.25" customHeight="1" s="192">
      <c r="W55044" s="235" t="n"/>
      <c r="X55044" s="235" t="n"/>
    </row>
    <row r="55045" ht="14.25" customHeight="1" s="192">
      <c r="W55045" s="235" t="n"/>
      <c r="X55045" s="235" t="n"/>
    </row>
    <row r="55046" ht="14.25" customHeight="1" s="192">
      <c r="W55046" s="239" t="n"/>
      <c r="X55046" s="239" t="n"/>
    </row>
    <row r="55047" ht="14.25" customHeight="1" s="192">
      <c r="W55047" s="235" t="n"/>
      <c r="X55047" s="235" t="n"/>
    </row>
    <row r="55048" ht="14.25" customHeight="1" s="192">
      <c r="W55048" s="239" t="n"/>
      <c r="X55048" s="239" t="n"/>
    </row>
    <row r="55050" ht="14.25" customHeight="1" s="192">
      <c r="W55050" s="235" t="n"/>
      <c r="X55050" s="235" t="n"/>
    </row>
    <row r="55051" ht="15" customHeight="1" s="192" thickBot="1">
      <c r="W55051" s="239" t="n"/>
      <c r="X55051" s="239" t="n"/>
    </row>
    <row r="55052" ht="15" customHeight="1" s="192" thickBot="1">
      <c r="W55052" s="45" t="n"/>
      <c r="X55052" s="45" t="n"/>
    </row>
    <row r="55053" ht="14.25" customHeight="1" s="192">
      <c r="W55053" s="228" t="n"/>
      <c r="X55053" s="228" t="n"/>
    </row>
    <row r="55054" ht="14.25" customHeight="1" s="192">
      <c r="W55054" s="228" t="n"/>
      <c r="X55054" s="228" t="n"/>
    </row>
    <row r="55055" ht="14.25" customHeight="1" s="192">
      <c r="W55055" s="231" t="n"/>
      <c r="X55055" s="231" t="n"/>
    </row>
    <row r="55056" ht="14.25" customHeight="1" s="192">
      <c r="W55056" s="33" t="n"/>
      <c r="X55056" s="33" t="n"/>
    </row>
    <row r="55057" ht="14.25" customHeight="1" s="192">
      <c r="W55057" s="231" t="n"/>
      <c r="X55057" s="231" t="n"/>
    </row>
    <row r="55058" ht="14.25" customHeight="1" s="192">
      <c r="W55058" s="33" t="n"/>
      <c r="X55058" s="33" t="n"/>
    </row>
    <row r="55060" ht="14.25" customHeight="1" s="192">
      <c r="W55060" s="231" t="n"/>
      <c r="X55060" s="231" t="n"/>
    </row>
    <row r="55061" ht="14.25" customHeight="1" s="192">
      <c r="W55061" s="235" t="n"/>
      <c r="X55061" s="235" t="n"/>
    </row>
    <row r="55062" ht="14.25" customHeight="1" s="192">
      <c r="W55062" s="228" t="n"/>
      <c r="X55062" s="228" t="n"/>
    </row>
    <row r="55063" ht="14.25" customHeight="1" s="192">
      <c r="W55063" s="235" t="n"/>
      <c r="X55063" s="235" t="n"/>
    </row>
    <row r="55064" ht="14.25" customHeight="1" s="192">
      <c r="W55064" s="235" t="n"/>
      <c r="X55064" s="235" t="n"/>
    </row>
    <row r="55065" ht="14.25" customHeight="1" s="192">
      <c r="W55065" s="235" t="n"/>
      <c r="X55065" s="235" t="n"/>
    </row>
    <row r="55066" ht="14.25" customHeight="1" s="192">
      <c r="W55066" s="239" t="n"/>
      <c r="X55066" s="239" t="n"/>
    </row>
    <row r="55067" ht="14.25" customHeight="1" s="192">
      <c r="W55067" s="239" t="n"/>
      <c r="X55067" s="239" t="n"/>
    </row>
    <row r="55068" ht="14.25" customHeight="1" s="192">
      <c r="W55068" s="239" t="n"/>
      <c r="X55068" s="239" t="n"/>
    </row>
    <row r="55069" ht="14.25" customHeight="1" s="192">
      <c r="W55069" s="235" t="n"/>
      <c r="X55069" s="235" t="n"/>
    </row>
    <row r="55070" ht="14.25" customHeight="1" s="192">
      <c r="W55070" s="235" t="n"/>
      <c r="X55070" s="235" t="n"/>
    </row>
    <row r="55071" ht="14.25" customHeight="1" s="192">
      <c r="W55071" s="235" t="n"/>
      <c r="X55071" s="235" t="n"/>
    </row>
    <row r="55072" ht="14.25" customHeight="1" s="192">
      <c r="W55072" s="239" t="n"/>
      <c r="X55072" s="239" t="n"/>
    </row>
    <row r="55073" ht="14.25" customHeight="1" s="192">
      <c r="W55073" s="239" t="n"/>
      <c r="X55073" s="239" t="n"/>
    </row>
    <row r="55074" ht="14.25" customHeight="1" s="192">
      <c r="W55074" s="235" t="n"/>
      <c r="X55074" s="235" t="n"/>
    </row>
    <row r="55075" ht="14.25" customHeight="1" s="192">
      <c r="W55075" s="235" t="n"/>
      <c r="X55075" s="235" t="n"/>
    </row>
    <row r="55076" ht="14.25" customHeight="1" s="192">
      <c r="W55076" s="239" t="n"/>
      <c r="X55076" s="239" t="n"/>
    </row>
    <row r="55077" ht="14.25" customHeight="1" s="192">
      <c r="W55077" s="235" t="n"/>
      <c r="X55077" s="235" t="n"/>
    </row>
    <row r="55078" ht="14.25" customHeight="1" s="192">
      <c r="W55078" s="239" t="n"/>
      <c r="X55078" s="239" t="n"/>
    </row>
    <row r="55080" ht="14.25" customHeight="1" s="192">
      <c r="W55080" s="235" t="n"/>
      <c r="X55080" s="235" t="n"/>
    </row>
    <row r="55081" ht="15" customHeight="1" s="192" thickBot="1">
      <c r="W55081" s="239" t="n"/>
      <c r="X55081" s="239" t="n"/>
    </row>
    <row r="55082" ht="15" customHeight="1" s="192" thickBot="1">
      <c r="W55082" s="45" t="n"/>
      <c r="X55082" s="45" t="n"/>
    </row>
    <row r="55083" ht="14.25" customHeight="1" s="192">
      <c r="W55083" s="228" t="n"/>
      <c r="X55083" s="228" t="n"/>
    </row>
    <row r="55084" ht="14.25" customHeight="1" s="192">
      <c r="W55084" s="228" t="n"/>
      <c r="X55084" s="228" t="n"/>
    </row>
    <row r="55085" ht="14.25" customHeight="1" s="192">
      <c r="W55085" s="231" t="n"/>
      <c r="X55085" s="231" t="n"/>
    </row>
    <row r="55086" ht="14.25" customHeight="1" s="192">
      <c r="W55086" s="33" t="n"/>
      <c r="X55086" s="33" t="n"/>
    </row>
    <row r="55087" ht="14.25" customHeight="1" s="192">
      <c r="W55087" s="231" t="n"/>
      <c r="X55087" s="231" t="n"/>
    </row>
    <row r="55088" ht="14.25" customHeight="1" s="192">
      <c r="W55088" s="33" t="n"/>
      <c r="X55088" s="33" t="n"/>
    </row>
    <row r="55090" ht="14.25" customHeight="1" s="192">
      <c r="W55090" s="231" t="n"/>
      <c r="X55090" s="231" t="n"/>
    </row>
    <row r="55091" ht="14.25" customHeight="1" s="192">
      <c r="W55091" s="235" t="n"/>
      <c r="X55091" s="235" t="n"/>
    </row>
    <row r="55092" ht="14.25" customHeight="1" s="192">
      <c r="W55092" s="228" t="n"/>
      <c r="X55092" s="228" t="n"/>
    </row>
    <row r="55093" ht="14.25" customHeight="1" s="192">
      <c r="W55093" s="235" t="n"/>
      <c r="X55093" s="235" t="n"/>
    </row>
    <row r="55094" ht="14.25" customHeight="1" s="192">
      <c r="W55094" s="235" t="n"/>
      <c r="X55094" s="235" t="n"/>
    </row>
    <row r="55095" ht="14.25" customHeight="1" s="192">
      <c r="W55095" s="235" t="n"/>
      <c r="X55095" s="235" t="n"/>
    </row>
    <row r="55096" ht="14.25" customHeight="1" s="192">
      <c r="W55096" s="239" t="n"/>
      <c r="X55096" s="239" t="n"/>
    </row>
    <row r="55097" ht="14.25" customHeight="1" s="192">
      <c r="W55097" s="239" t="n"/>
      <c r="X55097" s="239" t="n"/>
    </row>
    <row r="55098" ht="14.25" customHeight="1" s="192">
      <c r="W55098" s="239" t="n"/>
      <c r="X55098" s="239" t="n"/>
    </row>
    <row r="55099" ht="14.25" customHeight="1" s="192">
      <c r="W55099" s="235" t="n"/>
      <c r="X55099" s="235" t="n"/>
    </row>
    <row r="55100" ht="14.25" customHeight="1" s="192">
      <c r="W55100" s="235" t="n"/>
      <c r="X55100" s="235" t="n"/>
    </row>
    <row r="55101" ht="14.25" customHeight="1" s="192">
      <c r="W55101" s="235" t="n"/>
      <c r="X55101" s="235" t="n"/>
    </row>
    <row r="55102" ht="14.25" customHeight="1" s="192">
      <c r="W55102" s="239" t="n"/>
      <c r="X55102" s="239" t="n"/>
    </row>
    <row r="55103" ht="14.25" customHeight="1" s="192">
      <c r="W55103" s="239" t="n"/>
      <c r="X55103" s="239" t="n"/>
    </row>
    <row r="55104" ht="14.25" customHeight="1" s="192">
      <c r="W55104" s="235" t="n"/>
      <c r="X55104" s="235" t="n"/>
    </row>
    <row r="55105" ht="14.25" customHeight="1" s="192">
      <c r="W55105" s="235" t="n"/>
      <c r="X55105" s="235" t="n"/>
    </row>
    <row r="55106" ht="14.25" customHeight="1" s="192">
      <c r="W55106" s="239" t="n"/>
      <c r="X55106" s="239" t="n"/>
    </row>
    <row r="55107" ht="14.25" customHeight="1" s="192">
      <c r="W55107" s="235" t="n"/>
      <c r="X55107" s="235" t="n"/>
    </row>
    <row r="55108" ht="14.25" customHeight="1" s="192">
      <c r="W55108" s="239" t="n"/>
      <c r="X55108" s="239" t="n"/>
    </row>
    <row r="55110" ht="14.25" customHeight="1" s="192">
      <c r="W55110" s="235" t="n"/>
      <c r="X55110" s="235" t="n"/>
    </row>
    <row r="55111" ht="15" customHeight="1" s="192" thickBot="1">
      <c r="W55111" s="239" t="n"/>
      <c r="X55111" s="239" t="n"/>
    </row>
    <row r="55112" ht="15" customHeight="1" s="192" thickBot="1">
      <c r="W55112" s="45" t="n"/>
      <c r="X55112" s="45" t="n"/>
    </row>
    <row r="55113" ht="14.25" customHeight="1" s="192">
      <c r="W55113" s="228" t="n"/>
      <c r="X55113" s="228" t="n"/>
    </row>
    <row r="55114" ht="14.25" customHeight="1" s="192">
      <c r="W55114" s="228" t="n"/>
      <c r="X55114" s="228" t="n"/>
    </row>
    <row r="55115" ht="14.25" customHeight="1" s="192">
      <c r="W55115" s="231" t="n"/>
      <c r="X55115" s="231" t="n"/>
    </row>
    <row r="55116" ht="14.25" customHeight="1" s="192">
      <c r="W55116" s="33" t="n"/>
      <c r="X55116" s="33" t="n"/>
    </row>
    <row r="55117" ht="14.25" customHeight="1" s="192">
      <c r="W55117" s="231" t="n"/>
      <c r="X55117" s="231" t="n"/>
    </row>
    <row r="55118" ht="14.25" customHeight="1" s="192">
      <c r="W55118" s="33" t="n"/>
      <c r="X55118" s="33" t="n"/>
    </row>
    <row r="55120" ht="14.25" customHeight="1" s="192">
      <c r="W55120" s="231" t="n"/>
      <c r="X55120" s="231" t="n"/>
    </row>
    <row r="55121" ht="14.25" customHeight="1" s="192">
      <c r="W55121" s="235" t="n"/>
      <c r="X55121" s="235" t="n"/>
    </row>
    <row r="55122" ht="14.25" customHeight="1" s="192">
      <c r="W55122" s="228" t="n"/>
      <c r="X55122" s="228" t="n"/>
    </row>
    <row r="55123" ht="14.25" customHeight="1" s="192">
      <c r="W55123" s="235" t="n"/>
      <c r="X55123" s="235" t="n"/>
    </row>
    <row r="55124" ht="14.25" customHeight="1" s="192">
      <c r="W55124" s="235" t="n"/>
      <c r="X55124" s="235" t="n"/>
    </row>
    <row r="55125" ht="14.25" customHeight="1" s="192">
      <c r="W55125" s="235" t="n"/>
      <c r="X55125" s="235" t="n"/>
    </row>
    <row r="55126" ht="14.25" customHeight="1" s="192">
      <c r="W55126" s="239" t="n"/>
      <c r="X55126" s="239" t="n"/>
    </row>
    <row r="55127" ht="14.25" customHeight="1" s="192">
      <c r="W55127" s="239" t="n"/>
      <c r="X55127" s="239" t="n"/>
    </row>
    <row r="55128" ht="14.25" customHeight="1" s="192">
      <c r="W55128" s="239" t="n"/>
      <c r="X55128" s="239" t="n"/>
    </row>
    <row r="55129" ht="14.25" customHeight="1" s="192">
      <c r="W55129" s="235" t="n"/>
      <c r="X55129" s="235" t="n"/>
    </row>
    <row r="55130" ht="14.25" customHeight="1" s="192">
      <c r="W55130" s="235" t="n"/>
      <c r="X55130" s="235" t="n"/>
    </row>
    <row r="55131" ht="14.25" customHeight="1" s="192">
      <c r="W55131" s="235" t="n"/>
      <c r="X55131" s="235" t="n"/>
    </row>
    <row r="55132" ht="14.25" customHeight="1" s="192">
      <c r="W55132" s="239" t="n"/>
      <c r="X55132" s="239" t="n"/>
    </row>
    <row r="55133" ht="14.25" customHeight="1" s="192">
      <c r="W55133" s="239" t="n"/>
      <c r="X55133" s="239" t="n"/>
    </row>
    <row r="55134" ht="14.25" customHeight="1" s="192">
      <c r="W55134" s="235" t="n"/>
      <c r="X55134" s="235" t="n"/>
    </row>
    <row r="55135" ht="14.25" customHeight="1" s="192">
      <c r="W55135" s="235" t="n"/>
      <c r="X55135" s="235" t="n"/>
    </row>
    <row r="55136" ht="14.25" customHeight="1" s="192">
      <c r="W55136" s="239" t="n"/>
      <c r="X55136" s="239" t="n"/>
    </row>
    <row r="55137" ht="14.25" customHeight="1" s="192">
      <c r="W55137" s="235" t="n"/>
      <c r="X55137" s="235" t="n"/>
    </row>
    <row r="55138" ht="14.25" customHeight="1" s="192">
      <c r="W55138" s="239" t="n"/>
      <c r="X55138" s="239" t="n"/>
    </row>
    <row r="55140" ht="14.25" customHeight="1" s="192">
      <c r="W55140" s="235" t="n"/>
      <c r="X55140" s="235" t="n"/>
    </row>
    <row r="55141" ht="15" customHeight="1" s="192" thickBot="1">
      <c r="W55141" s="239" t="n"/>
      <c r="X55141" s="239" t="n"/>
    </row>
    <row r="55142" ht="15" customHeight="1" s="192" thickBot="1">
      <c r="W55142" s="45" t="n"/>
      <c r="X55142" s="45" t="n"/>
    </row>
    <row r="55143" ht="14.25" customHeight="1" s="192">
      <c r="W55143" s="228" t="n"/>
      <c r="X55143" s="228" t="n"/>
    </row>
    <row r="55144" ht="14.25" customHeight="1" s="192">
      <c r="W55144" s="228" t="n"/>
      <c r="X55144" s="228" t="n"/>
    </row>
    <row r="55145" ht="14.25" customHeight="1" s="192">
      <c r="W55145" s="231" t="n"/>
      <c r="X55145" s="231" t="n"/>
    </row>
    <row r="55146" ht="14.25" customHeight="1" s="192">
      <c r="W55146" s="33" t="n"/>
      <c r="X55146" s="33" t="n"/>
    </row>
    <row r="55147" ht="14.25" customHeight="1" s="192">
      <c r="W55147" s="231" t="n"/>
      <c r="X55147" s="231" t="n"/>
    </row>
    <row r="55148" ht="14.25" customHeight="1" s="192">
      <c r="W55148" s="33" t="n"/>
      <c r="X55148" s="33" t="n"/>
    </row>
    <row r="55150" ht="14.25" customHeight="1" s="192">
      <c r="W55150" s="231" t="n"/>
      <c r="X55150" s="231" t="n"/>
    </row>
    <row r="55151" ht="14.25" customHeight="1" s="192">
      <c r="W55151" s="235" t="n"/>
      <c r="X55151" s="235" t="n"/>
    </row>
    <row r="55152" ht="14.25" customHeight="1" s="192">
      <c r="W55152" s="228" t="n"/>
      <c r="X55152" s="228" t="n"/>
    </row>
    <row r="55153" ht="14.25" customHeight="1" s="192">
      <c r="W55153" s="235" t="n"/>
      <c r="X55153" s="235" t="n"/>
    </row>
    <row r="55154" ht="14.25" customHeight="1" s="192">
      <c r="W55154" s="235" t="n"/>
      <c r="X55154" s="235" t="n"/>
    </row>
    <row r="55155" ht="14.25" customHeight="1" s="192">
      <c r="W55155" s="235" t="n"/>
      <c r="X55155" s="235" t="n"/>
    </row>
    <row r="55156" ht="14.25" customHeight="1" s="192">
      <c r="W55156" s="239" t="n"/>
      <c r="X55156" s="239" t="n"/>
    </row>
    <row r="55157" ht="14.25" customHeight="1" s="192">
      <c r="W55157" s="239" t="n"/>
      <c r="X55157" s="239" t="n"/>
    </row>
    <row r="55158" ht="14.25" customHeight="1" s="192">
      <c r="W55158" s="239" t="n"/>
      <c r="X55158" s="239" t="n"/>
    </row>
    <row r="55159" ht="14.25" customHeight="1" s="192">
      <c r="W55159" s="235" t="n"/>
      <c r="X55159" s="235" t="n"/>
    </row>
    <row r="55160" ht="14.25" customHeight="1" s="192">
      <c r="W55160" s="235" t="n"/>
      <c r="X55160" s="235" t="n"/>
    </row>
    <row r="55161" ht="14.25" customHeight="1" s="192">
      <c r="W55161" s="235" t="n"/>
      <c r="X55161" s="235" t="n"/>
    </row>
    <row r="55162" ht="14.25" customHeight="1" s="192">
      <c r="W55162" s="239" t="n"/>
      <c r="X55162" s="239" t="n"/>
    </row>
    <row r="55163" ht="14.25" customHeight="1" s="192">
      <c r="W55163" s="239" t="n"/>
      <c r="X55163" s="239" t="n"/>
    </row>
    <row r="55164" ht="14.25" customHeight="1" s="192">
      <c r="W55164" s="235" t="n"/>
      <c r="X55164" s="235" t="n"/>
    </row>
    <row r="55165" ht="14.25" customHeight="1" s="192">
      <c r="W55165" s="235" t="n"/>
      <c r="X55165" s="235" t="n"/>
    </row>
    <row r="55166" ht="14.25" customHeight="1" s="192">
      <c r="W55166" s="239" t="n"/>
      <c r="X55166" s="239" t="n"/>
    </row>
    <row r="55167" ht="14.25" customHeight="1" s="192">
      <c r="W55167" s="235" t="n"/>
      <c r="X55167" s="235" t="n"/>
    </row>
    <row r="55168" ht="14.25" customHeight="1" s="192">
      <c r="W55168" s="239" t="n"/>
      <c r="X55168" s="239" t="n"/>
    </row>
    <row r="55170" ht="14.25" customHeight="1" s="192">
      <c r="W55170" s="235" t="n"/>
      <c r="X55170" s="235" t="n"/>
    </row>
    <row r="55171" ht="15" customHeight="1" s="192" thickBot="1">
      <c r="W55171" s="239" t="n"/>
      <c r="X55171" s="239" t="n"/>
    </row>
    <row r="55172" ht="15" customHeight="1" s="192" thickBot="1">
      <c r="W55172" s="45" t="n"/>
      <c r="X55172" s="45" t="n"/>
    </row>
    <row r="55173" ht="14.25" customHeight="1" s="192">
      <c r="W55173" s="228" t="n"/>
      <c r="X55173" s="228" t="n"/>
    </row>
    <row r="55174" ht="14.25" customHeight="1" s="192">
      <c r="W55174" s="228" t="n"/>
      <c r="X55174" s="228" t="n"/>
    </row>
    <row r="55175" ht="14.25" customHeight="1" s="192">
      <c r="W55175" s="231" t="n"/>
      <c r="X55175" s="231" t="n"/>
    </row>
    <row r="55176" ht="14.25" customHeight="1" s="192">
      <c r="W55176" s="33" t="n"/>
      <c r="X55176" s="33" t="n"/>
    </row>
    <row r="55177" ht="14.25" customHeight="1" s="192">
      <c r="W55177" s="231" t="n"/>
      <c r="X55177" s="231" t="n"/>
    </row>
    <row r="55178" ht="14.25" customHeight="1" s="192">
      <c r="W55178" s="33" t="n"/>
      <c r="X55178" s="33" t="n"/>
    </row>
    <row r="55180" ht="14.25" customHeight="1" s="192">
      <c r="W55180" s="231" t="n"/>
      <c r="X55180" s="231" t="n"/>
    </row>
    <row r="55181" ht="14.25" customHeight="1" s="192">
      <c r="W55181" s="235" t="n"/>
      <c r="X55181" s="235" t="n"/>
    </row>
    <row r="55182" ht="14.25" customHeight="1" s="192">
      <c r="W55182" s="228" t="n"/>
      <c r="X55182" s="228" t="n"/>
    </row>
    <row r="55183" ht="14.25" customHeight="1" s="192">
      <c r="W55183" s="235" t="n"/>
      <c r="X55183" s="235" t="n"/>
    </row>
    <row r="55184" ht="14.25" customHeight="1" s="192">
      <c r="W55184" s="235" t="n"/>
      <c r="X55184" s="235" t="n"/>
    </row>
    <row r="55185" ht="14.25" customHeight="1" s="192">
      <c r="W55185" s="235" t="n"/>
      <c r="X55185" s="235" t="n"/>
    </row>
    <row r="55186" ht="14.25" customHeight="1" s="192">
      <c r="W55186" s="239" t="n"/>
      <c r="X55186" s="239" t="n"/>
    </row>
    <row r="55187" ht="14.25" customHeight="1" s="192">
      <c r="W55187" s="239" t="n"/>
      <c r="X55187" s="239" t="n"/>
    </row>
    <row r="55188" ht="14.25" customHeight="1" s="192">
      <c r="W55188" s="239" t="n"/>
      <c r="X55188" s="239" t="n"/>
    </row>
    <row r="55189" ht="14.25" customHeight="1" s="192">
      <c r="W55189" s="235" t="n"/>
      <c r="X55189" s="235" t="n"/>
    </row>
    <row r="55190" ht="14.25" customHeight="1" s="192">
      <c r="W55190" s="235" t="n"/>
      <c r="X55190" s="235" t="n"/>
    </row>
    <row r="55191" ht="14.25" customHeight="1" s="192">
      <c r="W55191" s="235" t="n"/>
      <c r="X55191" s="235" t="n"/>
    </row>
    <row r="55192" ht="14.25" customHeight="1" s="192">
      <c r="W55192" s="239" t="n"/>
      <c r="X55192" s="239" t="n"/>
    </row>
    <row r="55193" ht="14.25" customHeight="1" s="192">
      <c r="W55193" s="239" t="n"/>
      <c r="X55193" s="239" t="n"/>
    </row>
    <row r="55194" ht="14.25" customHeight="1" s="192">
      <c r="W55194" s="235" t="n"/>
      <c r="X55194" s="235" t="n"/>
    </row>
    <row r="55195" ht="14.25" customHeight="1" s="192">
      <c r="W55195" s="235" t="n"/>
      <c r="X55195" s="235" t="n"/>
    </row>
    <row r="55196" ht="14.25" customHeight="1" s="192">
      <c r="W55196" s="239" t="n"/>
      <c r="X55196" s="239" t="n"/>
    </row>
    <row r="55197" ht="14.25" customHeight="1" s="192">
      <c r="W55197" s="235" t="n"/>
      <c r="X55197" s="235" t="n"/>
    </row>
    <row r="55198" ht="14.25" customHeight="1" s="192">
      <c r="W55198" s="239" t="n"/>
      <c r="X55198" s="239" t="n"/>
    </row>
    <row r="55200" ht="14.25" customHeight="1" s="192">
      <c r="W55200" s="235" t="n"/>
      <c r="X55200" s="235" t="n"/>
    </row>
    <row r="55201" ht="15" customHeight="1" s="192" thickBot="1">
      <c r="W55201" s="239" t="n"/>
      <c r="X55201" s="239" t="n"/>
    </row>
    <row r="55202" ht="15" customHeight="1" s="192" thickBot="1">
      <c r="W55202" s="45" t="n"/>
      <c r="X55202" s="45" t="n"/>
    </row>
    <row r="55203" ht="14.25" customHeight="1" s="192">
      <c r="W55203" s="228" t="n"/>
      <c r="X55203" s="228" t="n"/>
    </row>
    <row r="55204" ht="14.25" customHeight="1" s="192">
      <c r="W55204" s="228" t="n"/>
      <c r="X55204" s="228" t="n"/>
    </row>
    <row r="55205" ht="14.25" customHeight="1" s="192">
      <c r="W55205" s="231" t="n"/>
      <c r="X55205" s="231" t="n"/>
    </row>
    <row r="55206" ht="14.25" customHeight="1" s="192">
      <c r="W55206" s="33" t="n"/>
      <c r="X55206" s="33" t="n"/>
    </row>
    <row r="55207" ht="14.25" customHeight="1" s="192">
      <c r="W55207" s="231" t="n"/>
      <c r="X55207" s="231" t="n"/>
    </row>
    <row r="55208" ht="14.25" customHeight="1" s="192">
      <c r="W55208" s="33" t="n"/>
      <c r="X55208" s="33" t="n"/>
    </row>
    <row r="55210" ht="14.25" customHeight="1" s="192">
      <c r="W55210" s="231" t="n"/>
      <c r="X55210" s="231" t="n"/>
    </row>
    <row r="55211" ht="14.25" customHeight="1" s="192">
      <c r="W55211" s="235" t="n"/>
      <c r="X55211" s="235" t="n"/>
    </row>
    <row r="55212" ht="14.25" customHeight="1" s="192">
      <c r="W55212" s="228" t="n"/>
      <c r="X55212" s="228" t="n"/>
    </row>
    <row r="55213" ht="14.25" customHeight="1" s="192">
      <c r="W55213" s="235" t="n"/>
      <c r="X55213" s="235" t="n"/>
    </row>
    <row r="55214" ht="14.25" customHeight="1" s="192">
      <c r="W55214" s="235" t="n"/>
      <c r="X55214" s="235" t="n"/>
    </row>
    <row r="55215" ht="14.25" customHeight="1" s="192">
      <c r="W55215" s="235" t="n"/>
      <c r="X55215" s="235" t="n"/>
    </row>
    <row r="55216" ht="14.25" customHeight="1" s="192">
      <c r="W55216" s="239" t="n"/>
      <c r="X55216" s="239" t="n"/>
    </row>
    <row r="55217" ht="14.25" customHeight="1" s="192">
      <c r="W55217" s="239" t="n"/>
      <c r="X55217" s="239" t="n"/>
    </row>
    <row r="55218" ht="14.25" customHeight="1" s="192">
      <c r="W55218" s="239" t="n"/>
      <c r="X55218" s="239" t="n"/>
    </row>
    <row r="55219" ht="14.25" customHeight="1" s="192">
      <c r="W55219" s="235" t="n"/>
      <c r="X55219" s="235" t="n"/>
    </row>
    <row r="55220" ht="14.25" customHeight="1" s="192">
      <c r="W55220" s="235" t="n"/>
      <c r="X55220" s="235" t="n"/>
    </row>
    <row r="55221" ht="14.25" customHeight="1" s="192">
      <c r="W55221" s="235" t="n"/>
      <c r="X55221" s="235" t="n"/>
    </row>
    <row r="55222" ht="14.25" customHeight="1" s="192">
      <c r="W55222" s="239" t="n"/>
      <c r="X55222" s="239" t="n"/>
    </row>
    <row r="55223" ht="14.25" customHeight="1" s="192">
      <c r="W55223" s="239" t="n"/>
      <c r="X55223" s="239" t="n"/>
    </row>
    <row r="55224" ht="14.25" customHeight="1" s="192">
      <c r="W55224" s="235" t="n"/>
      <c r="X55224" s="235" t="n"/>
    </row>
    <row r="55225" ht="14.25" customHeight="1" s="192">
      <c r="W55225" s="235" t="n"/>
      <c r="X55225" s="235" t="n"/>
    </row>
    <row r="55226" ht="14.25" customHeight="1" s="192">
      <c r="W55226" s="239" t="n"/>
      <c r="X55226" s="239" t="n"/>
    </row>
    <row r="55227" ht="14.25" customHeight="1" s="192">
      <c r="W55227" s="235" t="n"/>
      <c r="X55227" s="235" t="n"/>
    </row>
    <row r="55228" ht="14.25" customHeight="1" s="192">
      <c r="W55228" s="239" t="n"/>
      <c r="X55228" s="239" t="n"/>
    </row>
    <row r="55230" ht="14.25" customHeight="1" s="192">
      <c r="W55230" s="235" t="n"/>
      <c r="X55230" s="235" t="n"/>
    </row>
    <row r="55231" ht="15" customHeight="1" s="192" thickBot="1">
      <c r="W55231" s="239" t="n"/>
      <c r="X55231" s="239" t="n"/>
    </row>
    <row r="55232" ht="15" customHeight="1" s="192" thickBot="1">
      <c r="W55232" s="45" t="n"/>
      <c r="X55232" s="45" t="n"/>
    </row>
    <row r="55233" ht="14.25" customHeight="1" s="192">
      <c r="W55233" s="228" t="n"/>
      <c r="X55233" s="228" t="n"/>
    </row>
    <row r="55234" ht="14.25" customHeight="1" s="192">
      <c r="W55234" s="228" t="n"/>
      <c r="X55234" s="228" t="n"/>
    </row>
    <row r="55235" ht="14.25" customHeight="1" s="192">
      <c r="W55235" s="231" t="n"/>
      <c r="X55235" s="231" t="n"/>
    </row>
    <row r="55236" ht="14.25" customHeight="1" s="192">
      <c r="W55236" s="33" t="n"/>
      <c r="X55236" s="33" t="n"/>
    </row>
    <row r="55237" ht="14.25" customHeight="1" s="192">
      <c r="W55237" s="231" t="n"/>
      <c r="X55237" s="231" t="n"/>
    </row>
    <row r="55238" ht="14.25" customHeight="1" s="192">
      <c r="W55238" s="33" t="n"/>
      <c r="X55238" s="33" t="n"/>
    </row>
    <row r="55240" ht="14.25" customHeight="1" s="192">
      <c r="W55240" s="231" t="n"/>
      <c r="X55240" s="231" t="n"/>
    </row>
    <row r="55241" ht="14.25" customHeight="1" s="192">
      <c r="W55241" s="235" t="n"/>
      <c r="X55241" s="235" t="n"/>
    </row>
    <row r="55242" ht="14.25" customHeight="1" s="192">
      <c r="W55242" s="228" t="n"/>
      <c r="X55242" s="228" t="n"/>
    </row>
    <row r="55243" ht="14.25" customHeight="1" s="192">
      <c r="W55243" s="235" t="n"/>
      <c r="X55243" s="235" t="n"/>
    </row>
    <row r="55244" ht="14.25" customHeight="1" s="192">
      <c r="W55244" s="235" t="n"/>
      <c r="X55244" s="235" t="n"/>
    </row>
    <row r="55245" ht="14.25" customHeight="1" s="192">
      <c r="W55245" s="235" t="n"/>
      <c r="X55245" s="235" t="n"/>
    </row>
    <row r="55246" ht="14.25" customHeight="1" s="192">
      <c r="W55246" s="239" t="n"/>
      <c r="X55246" s="239" t="n"/>
    </row>
    <row r="55247" ht="14.25" customHeight="1" s="192">
      <c r="W55247" s="239" t="n"/>
      <c r="X55247" s="239" t="n"/>
    </row>
    <row r="55248" ht="14.25" customHeight="1" s="192">
      <c r="W55248" s="239" t="n"/>
      <c r="X55248" s="239" t="n"/>
    </row>
    <row r="55249" ht="14.25" customHeight="1" s="192">
      <c r="W55249" s="235" t="n"/>
      <c r="X55249" s="235" t="n"/>
    </row>
    <row r="55250" ht="14.25" customHeight="1" s="192">
      <c r="W55250" s="235" t="n"/>
      <c r="X55250" s="235" t="n"/>
    </row>
    <row r="55251" ht="14.25" customHeight="1" s="192">
      <c r="W55251" s="235" t="n"/>
      <c r="X55251" s="235" t="n"/>
    </row>
    <row r="55252" ht="14.25" customHeight="1" s="192">
      <c r="W55252" s="239" t="n"/>
      <c r="X55252" s="239" t="n"/>
    </row>
    <row r="55253" ht="14.25" customHeight="1" s="192">
      <c r="W55253" s="239" t="n"/>
      <c r="X55253" s="239" t="n"/>
    </row>
    <row r="55254" ht="14.25" customHeight="1" s="192">
      <c r="W55254" s="235" t="n"/>
      <c r="X55254" s="235" t="n"/>
    </row>
    <row r="55255" ht="14.25" customHeight="1" s="192">
      <c r="W55255" s="235" t="n"/>
      <c r="X55255" s="235" t="n"/>
    </row>
    <row r="55256" ht="14.25" customHeight="1" s="192">
      <c r="W55256" s="239" t="n"/>
      <c r="X55256" s="239" t="n"/>
    </row>
    <row r="55257" ht="14.25" customHeight="1" s="192">
      <c r="W55257" s="235" t="n"/>
      <c r="X55257" s="235" t="n"/>
    </row>
    <row r="55258" ht="14.25" customHeight="1" s="192">
      <c r="W55258" s="239" t="n"/>
      <c r="X55258" s="239" t="n"/>
    </row>
    <row r="55260" ht="14.25" customHeight="1" s="192">
      <c r="W55260" s="235" t="n"/>
      <c r="X55260" s="235" t="n"/>
    </row>
    <row r="55261" ht="15" customHeight="1" s="192" thickBot="1">
      <c r="W55261" s="239" t="n"/>
      <c r="X55261" s="239" t="n"/>
    </row>
    <row r="55262" ht="15" customHeight="1" s="192" thickBot="1">
      <c r="W55262" s="45" t="n"/>
      <c r="X55262" s="45" t="n"/>
    </row>
    <row r="55263" ht="14.25" customHeight="1" s="192">
      <c r="W55263" s="228" t="n"/>
      <c r="X55263" s="228" t="n"/>
    </row>
    <row r="55264" ht="14.25" customHeight="1" s="192">
      <c r="W55264" s="228" t="n"/>
      <c r="X55264" s="228" t="n"/>
    </row>
    <row r="55265" ht="14.25" customHeight="1" s="192">
      <c r="W55265" s="231" t="n"/>
      <c r="X55265" s="231" t="n"/>
    </row>
    <row r="55266" ht="14.25" customHeight="1" s="192">
      <c r="W55266" s="33" t="n"/>
      <c r="X55266" s="33" t="n"/>
    </row>
    <row r="55267" ht="14.25" customHeight="1" s="192">
      <c r="W55267" s="231" t="n"/>
      <c r="X55267" s="231" t="n"/>
    </row>
    <row r="55268" ht="14.25" customHeight="1" s="192">
      <c r="W55268" s="33" t="n"/>
      <c r="X55268" s="33" t="n"/>
    </row>
    <row r="55270" ht="14.25" customHeight="1" s="192">
      <c r="W55270" s="231" t="n"/>
      <c r="X55270" s="231" t="n"/>
    </row>
    <row r="55271" ht="14.25" customHeight="1" s="192">
      <c r="W55271" s="235" t="n"/>
      <c r="X55271" s="235" t="n"/>
    </row>
    <row r="55272" ht="14.25" customHeight="1" s="192">
      <c r="W55272" s="228" t="n"/>
      <c r="X55272" s="228" t="n"/>
    </row>
    <row r="55273" ht="14.25" customHeight="1" s="192">
      <c r="W55273" s="235" t="n"/>
      <c r="X55273" s="235" t="n"/>
    </row>
    <row r="55274" ht="14.25" customHeight="1" s="192">
      <c r="W55274" s="235" t="n"/>
      <c r="X55274" s="235" t="n"/>
    </row>
    <row r="55275" ht="14.25" customHeight="1" s="192">
      <c r="W55275" s="235" t="n"/>
      <c r="X55275" s="235" t="n"/>
    </row>
    <row r="55276" ht="14.25" customHeight="1" s="192">
      <c r="W55276" s="239" t="n"/>
      <c r="X55276" s="239" t="n"/>
    </row>
    <row r="55277" ht="14.25" customHeight="1" s="192">
      <c r="W55277" s="239" t="n"/>
      <c r="X55277" s="239" t="n"/>
    </row>
    <row r="55278" ht="14.25" customHeight="1" s="192">
      <c r="W55278" s="239" t="n"/>
      <c r="X55278" s="239" t="n"/>
    </row>
    <row r="55279" ht="14.25" customHeight="1" s="192">
      <c r="W55279" s="235" t="n"/>
      <c r="X55279" s="235" t="n"/>
    </row>
    <row r="55280" ht="14.25" customHeight="1" s="192">
      <c r="W55280" s="235" t="n"/>
      <c r="X55280" s="235" t="n"/>
    </row>
    <row r="55281" ht="14.25" customHeight="1" s="192">
      <c r="W55281" s="235" t="n"/>
      <c r="X55281" s="235" t="n"/>
    </row>
    <row r="55282" ht="14.25" customHeight="1" s="192">
      <c r="W55282" s="239" t="n"/>
      <c r="X55282" s="239" t="n"/>
    </row>
    <row r="55283" ht="14.25" customHeight="1" s="192">
      <c r="W55283" s="239" t="n"/>
      <c r="X55283" s="239" t="n"/>
    </row>
    <row r="55284" ht="14.25" customHeight="1" s="192">
      <c r="W55284" s="235" t="n"/>
      <c r="X55284" s="235" t="n"/>
    </row>
    <row r="55285" ht="14.25" customHeight="1" s="192">
      <c r="W55285" s="235" t="n"/>
      <c r="X55285" s="235" t="n"/>
    </row>
    <row r="55286" ht="14.25" customHeight="1" s="192">
      <c r="W55286" s="239" t="n"/>
      <c r="X55286" s="239" t="n"/>
    </row>
    <row r="55287" ht="14.25" customHeight="1" s="192">
      <c r="W55287" s="235" t="n"/>
      <c r="X55287" s="235" t="n"/>
    </row>
    <row r="55288" ht="14.25" customHeight="1" s="192">
      <c r="W55288" s="239" t="n"/>
      <c r="X55288" s="239" t="n"/>
    </row>
    <row r="55290" ht="14.25" customHeight="1" s="192">
      <c r="W55290" s="235" t="n"/>
      <c r="X55290" s="235" t="n"/>
    </row>
    <row r="55291" ht="15" customHeight="1" s="192" thickBot="1">
      <c r="W55291" s="239" t="n"/>
      <c r="X55291" s="239" t="n"/>
    </row>
    <row r="55292" ht="15" customHeight="1" s="192" thickBot="1">
      <c r="W55292" s="45" t="n"/>
      <c r="X55292" s="45" t="n"/>
    </row>
    <row r="55293" ht="14.25" customHeight="1" s="192">
      <c r="W55293" s="228" t="n"/>
      <c r="X55293" s="228" t="n"/>
    </row>
    <row r="55294" ht="14.25" customHeight="1" s="192">
      <c r="W55294" s="228" t="n"/>
      <c r="X55294" s="228" t="n"/>
    </row>
    <row r="55295" ht="14.25" customHeight="1" s="192">
      <c r="W55295" s="231" t="n"/>
      <c r="X55295" s="231" t="n"/>
    </row>
    <row r="55296" ht="14.25" customHeight="1" s="192">
      <c r="W55296" s="33" t="n"/>
      <c r="X55296" s="33" t="n"/>
    </row>
    <row r="55297" ht="14.25" customHeight="1" s="192">
      <c r="W55297" s="231" t="n"/>
      <c r="X55297" s="231" t="n"/>
    </row>
    <row r="55298" ht="14.25" customHeight="1" s="192">
      <c r="W55298" s="33" t="n"/>
      <c r="X55298" s="33" t="n"/>
    </row>
    <row r="55300" ht="14.25" customHeight="1" s="192">
      <c r="W55300" s="231" t="n"/>
      <c r="X55300" s="231" t="n"/>
    </row>
    <row r="55301" ht="14.25" customHeight="1" s="192">
      <c r="W55301" s="235" t="n"/>
      <c r="X55301" s="235" t="n"/>
    </row>
    <row r="55302" ht="14.25" customHeight="1" s="192">
      <c r="W55302" s="228" t="n"/>
      <c r="X55302" s="228" t="n"/>
    </row>
    <row r="55303" ht="14.25" customHeight="1" s="192">
      <c r="W55303" s="235" t="n"/>
      <c r="X55303" s="235" t="n"/>
    </row>
    <row r="55304" ht="14.25" customHeight="1" s="192">
      <c r="W55304" s="235" t="n"/>
      <c r="X55304" s="235" t="n"/>
    </row>
    <row r="55305" ht="14.25" customHeight="1" s="192">
      <c r="W55305" s="235" t="n"/>
      <c r="X55305" s="235" t="n"/>
    </row>
    <row r="55306" ht="14.25" customHeight="1" s="192">
      <c r="W55306" s="239" t="n"/>
      <c r="X55306" s="239" t="n"/>
    </row>
    <row r="55307" ht="14.25" customHeight="1" s="192">
      <c r="W55307" s="239" t="n"/>
      <c r="X55307" s="239" t="n"/>
    </row>
    <row r="55308" ht="14.25" customHeight="1" s="192">
      <c r="W55308" s="239" t="n"/>
      <c r="X55308" s="239" t="n"/>
    </row>
    <row r="55309" ht="14.25" customHeight="1" s="192">
      <c r="W55309" s="235" t="n"/>
      <c r="X55309" s="235" t="n"/>
    </row>
    <row r="55310" ht="14.25" customHeight="1" s="192">
      <c r="W55310" s="235" t="n"/>
      <c r="X55310" s="235" t="n"/>
    </row>
    <row r="55311" ht="14.25" customHeight="1" s="192">
      <c r="W55311" s="235" t="n"/>
      <c r="X55311" s="235" t="n"/>
    </row>
    <row r="55312" ht="14.25" customHeight="1" s="192">
      <c r="W55312" s="239" t="n"/>
      <c r="X55312" s="239" t="n"/>
    </row>
    <row r="55313" ht="14.25" customHeight="1" s="192">
      <c r="W55313" s="239" t="n"/>
      <c r="X55313" s="239" t="n"/>
    </row>
    <row r="55314" ht="14.25" customHeight="1" s="192">
      <c r="W55314" s="235" t="n"/>
      <c r="X55314" s="235" t="n"/>
    </row>
    <row r="55315" ht="14.25" customHeight="1" s="192">
      <c r="W55315" s="235" t="n"/>
      <c r="X55315" s="235" t="n"/>
    </row>
    <row r="55316" ht="14.25" customHeight="1" s="192">
      <c r="W55316" s="239" t="n"/>
      <c r="X55316" s="239" t="n"/>
    </row>
    <row r="55317" ht="14.25" customHeight="1" s="192">
      <c r="W55317" s="235" t="n"/>
      <c r="X55317" s="235" t="n"/>
    </row>
    <row r="55318" ht="14.25" customHeight="1" s="192">
      <c r="W55318" s="239" t="n"/>
      <c r="X55318" s="239" t="n"/>
    </row>
    <row r="55320" ht="14.25" customHeight="1" s="192">
      <c r="W55320" s="235" t="n"/>
      <c r="X55320" s="235" t="n"/>
    </row>
    <row r="55321" ht="15" customHeight="1" s="192" thickBot="1">
      <c r="W55321" s="239" t="n"/>
      <c r="X55321" s="239" t="n"/>
    </row>
    <row r="55322" ht="15" customHeight="1" s="192" thickBot="1">
      <c r="W55322" s="45" t="n"/>
      <c r="X55322" s="45" t="n"/>
    </row>
    <row r="55323" ht="14.25" customHeight="1" s="192">
      <c r="W55323" s="228" t="n"/>
      <c r="X55323" s="228" t="n"/>
    </row>
    <row r="55324" ht="14.25" customHeight="1" s="192">
      <c r="W55324" s="228" t="n"/>
      <c r="X55324" s="228" t="n"/>
    </row>
    <row r="55325" ht="14.25" customHeight="1" s="192">
      <c r="W55325" s="231" t="n"/>
      <c r="X55325" s="231" t="n"/>
    </row>
    <row r="55326" ht="14.25" customHeight="1" s="192">
      <c r="W55326" s="33" t="n"/>
      <c r="X55326" s="33" t="n"/>
    </row>
    <row r="55327" ht="14.25" customHeight="1" s="192">
      <c r="W55327" s="231" t="n"/>
      <c r="X55327" s="231" t="n"/>
    </row>
    <row r="55328" ht="14.25" customHeight="1" s="192">
      <c r="W55328" s="33" t="n"/>
      <c r="X55328" s="33" t="n"/>
    </row>
    <row r="55330" ht="14.25" customHeight="1" s="192">
      <c r="W55330" s="231" t="n"/>
      <c r="X55330" s="231" t="n"/>
    </row>
    <row r="55331" ht="14.25" customHeight="1" s="192">
      <c r="W55331" s="235" t="n"/>
      <c r="X55331" s="235" t="n"/>
    </row>
    <row r="55332" ht="14.25" customHeight="1" s="192">
      <c r="W55332" s="228" t="n"/>
      <c r="X55332" s="228" t="n"/>
    </row>
    <row r="55333" ht="14.25" customHeight="1" s="192">
      <c r="W55333" s="235" t="n"/>
      <c r="X55333" s="235" t="n"/>
    </row>
    <row r="55334" ht="14.25" customHeight="1" s="192">
      <c r="W55334" s="235" t="n"/>
      <c r="X55334" s="235" t="n"/>
    </row>
    <row r="55335" ht="14.25" customHeight="1" s="192">
      <c r="W55335" s="235" t="n"/>
      <c r="X55335" s="235" t="n"/>
    </row>
    <row r="55336" ht="14.25" customHeight="1" s="192">
      <c r="W55336" s="239" t="n"/>
      <c r="X55336" s="239" t="n"/>
    </row>
    <row r="55337" ht="14.25" customHeight="1" s="192">
      <c r="W55337" s="239" t="n"/>
      <c r="X55337" s="239" t="n"/>
    </row>
    <row r="55338" ht="14.25" customHeight="1" s="192">
      <c r="W55338" s="239" t="n"/>
      <c r="X55338" s="239" t="n"/>
    </row>
    <row r="55339" ht="14.25" customHeight="1" s="192">
      <c r="W55339" s="235" t="n"/>
      <c r="X55339" s="235" t="n"/>
    </row>
    <row r="55340" ht="14.25" customHeight="1" s="192">
      <c r="W55340" s="235" t="n"/>
      <c r="X55340" s="235" t="n"/>
    </row>
    <row r="55341" ht="14.25" customHeight="1" s="192">
      <c r="W55341" s="235" t="n"/>
      <c r="X55341" s="235" t="n"/>
    </row>
    <row r="55342" ht="14.25" customHeight="1" s="192">
      <c r="W55342" s="239" t="n"/>
      <c r="X55342" s="239" t="n"/>
    </row>
    <row r="55343" ht="14.25" customHeight="1" s="192">
      <c r="W55343" s="239" t="n"/>
      <c r="X55343" s="239" t="n"/>
    </row>
    <row r="55344" ht="14.25" customHeight="1" s="192">
      <c r="W55344" s="235" t="n"/>
      <c r="X55344" s="235" t="n"/>
    </row>
    <row r="55345" ht="14.25" customHeight="1" s="192">
      <c r="W55345" s="235" t="n"/>
      <c r="X55345" s="235" t="n"/>
    </row>
    <row r="55346" ht="14.25" customHeight="1" s="192">
      <c r="W55346" s="239" t="n"/>
      <c r="X55346" s="239" t="n"/>
    </row>
    <row r="55347" ht="14.25" customHeight="1" s="192">
      <c r="W55347" s="235" t="n"/>
      <c r="X55347" s="235" t="n"/>
    </row>
    <row r="55348" ht="14.25" customHeight="1" s="192">
      <c r="W55348" s="239" t="n"/>
      <c r="X55348" s="239" t="n"/>
    </row>
    <row r="55350" ht="14.25" customHeight="1" s="192">
      <c r="W55350" s="235" t="n"/>
      <c r="X55350" s="235" t="n"/>
    </row>
    <row r="55351" ht="15" customHeight="1" s="192" thickBot="1">
      <c r="W55351" s="239" t="n"/>
      <c r="X55351" s="239" t="n"/>
    </row>
    <row r="55352" ht="15" customHeight="1" s="192" thickBot="1">
      <c r="W55352" s="45" t="n"/>
      <c r="X55352" s="45" t="n"/>
    </row>
    <row r="55353" ht="14.25" customHeight="1" s="192">
      <c r="W55353" s="228" t="n"/>
      <c r="X55353" s="228" t="n"/>
    </row>
    <row r="55354" ht="14.25" customHeight="1" s="192">
      <c r="W55354" s="228" t="n"/>
      <c r="X55354" s="228" t="n"/>
    </row>
    <row r="55355" ht="14.25" customHeight="1" s="192">
      <c r="W55355" s="231" t="n"/>
      <c r="X55355" s="231" t="n"/>
    </row>
    <row r="55356" ht="14.25" customHeight="1" s="192">
      <c r="W55356" s="33" t="n"/>
      <c r="X55356" s="33" t="n"/>
    </row>
    <row r="55357" ht="14.25" customHeight="1" s="192">
      <c r="W55357" s="231" t="n"/>
      <c r="X55357" s="231" t="n"/>
    </row>
    <row r="55358" ht="14.25" customHeight="1" s="192">
      <c r="W55358" s="33" t="n"/>
      <c r="X55358" s="33" t="n"/>
    </row>
    <row r="55360" ht="14.25" customHeight="1" s="192">
      <c r="W55360" s="231" t="n"/>
      <c r="X55360" s="231" t="n"/>
    </row>
    <row r="55361" ht="14.25" customHeight="1" s="192">
      <c r="W55361" s="235" t="n"/>
      <c r="X55361" s="235" t="n"/>
    </row>
    <row r="55362" ht="14.25" customHeight="1" s="192">
      <c r="W55362" s="228" t="n"/>
      <c r="X55362" s="228" t="n"/>
    </row>
    <row r="55363" ht="14.25" customHeight="1" s="192">
      <c r="W55363" s="235" t="n"/>
      <c r="X55363" s="235" t="n"/>
    </row>
    <row r="55364" ht="14.25" customHeight="1" s="192">
      <c r="W55364" s="235" t="n"/>
      <c r="X55364" s="235" t="n"/>
    </row>
    <row r="55365" ht="14.25" customHeight="1" s="192">
      <c r="W55365" s="235" t="n"/>
      <c r="X55365" s="235" t="n"/>
    </row>
    <row r="55366" ht="14.25" customHeight="1" s="192">
      <c r="W55366" s="239" t="n"/>
      <c r="X55366" s="239" t="n"/>
    </row>
    <row r="55367" ht="14.25" customHeight="1" s="192">
      <c r="W55367" s="239" t="n"/>
      <c r="X55367" s="239" t="n"/>
    </row>
    <row r="55368" ht="14.25" customHeight="1" s="192">
      <c r="W55368" s="239" t="n"/>
      <c r="X55368" s="239" t="n"/>
    </row>
    <row r="55369" ht="14.25" customHeight="1" s="192">
      <c r="W55369" s="235" t="n"/>
      <c r="X55369" s="235" t="n"/>
    </row>
    <row r="55370" ht="14.25" customHeight="1" s="192">
      <c r="W55370" s="235" t="n"/>
      <c r="X55370" s="235" t="n"/>
    </row>
    <row r="55371" ht="14.25" customHeight="1" s="192">
      <c r="W55371" s="235" t="n"/>
      <c r="X55371" s="235" t="n"/>
    </row>
    <row r="55372" ht="14.25" customHeight="1" s="192">
      <c r="W55372" s="239" t="n"/>
      <c r="X55372" s="239" t="n"/>
    </row>
    <row r="55373" ht="14.25" customHeight="1" s="192">
      <c r="W55373" s="239" t="n"/>
      <c r="X55373" s="239" t="n"/>
    </row>
    <row r="55374" ht="14.25" customHeight="1" s="192">
      <c r="W55374" s="235" t="n"/>
      <c r="X55374" s="235" t="n"/>
    </row>
    <row r="55375" ht="14.25" customHeight="1" s="192">
      <c r="W55375" s="235" t="n"/>
      <c r="X55375" s="235" t="n"/>
    </row>
    <row r="55376" ht="14.25" customHeight="1" s="192">
      <c r="W55376" s="239" t="n"/>
      <c r="X55376" s="239" t="n"/>
    </row>
    <row r="55377" ht="14.25" customHeight="1" s="192">
      <c r="W55377" s="235" t="n"/>
      <c r="X55377" s="235" t="n"/>
    </row>
    <row r="55378" ht="14.25" customHeight="1" s="192">
      <c r="W55378" s="239" t="n"/>
      <c r="X55378" s="239" t="n"/>
    </row>
    <row r="55380" ht="14.25" customHeight="1" s="192">
      <c r="W55380" s="235" t="n"/>
      <c r="X55380" s="235" t="n"/>
    </row>
    <row r="55381" ht="15" customHeight="1" s="192" thickBot="1">
      <c r="W55381" s="239" t="n"/>
      <c r="X55381" s="239" t="n"/>
    </row>
    <row r="55382" ht="15" customHeight="1" s="192" thickBot="1">
      <c r="W55382" s="45" t="n"/>
      <c r="X55382" s="45" t="n"/>
    </row>
    <row r="55383" ht="14.25" customHeight="1" s="192">
      <c r="W55383" s="228" t="n"/>
      <c r="X55383" s="228" t="n"/>
    </row>
    <row r="55384" ht="14.25" customHeight="1" s="192">
      <c r="W55384" s="228" t="n"/>
      <c r="X55384" s="228" t="n"/>
    </row>
    <row r="55385" ht="14.25" customHeight="1" s="192">
      <c r="W55385" s="231" t="n"/>
      <c r="X55385" s="231" t="n"/>
    </row>
    <row r="55386" ht="14.25" customHeight="1" s="192">
      <c r="W55386" s="33" t="n"/>
      <c r="X55386" s="33" t="n"/>
    </row>
    <row r="55387" ht="14.25" customHeight="1" s="192">
      <c r="W55387" s="231" t="n"/>
      <c r="X55387" s="231" t="n"/>
    </row>
    <row r="55388" ht="14.25" customHeight="1" s="192">
      <c r="W55388" s="33" t="n"/>
      <c r="X55388" s="33" t="n"/>
    </row>
    <row r="55390" ht="14.25" customHeight="1" s="192">
      <c r="W55390" s="231" t="n"/>
      <c r="X55390" s="231" t="n"/>
    </row>
    <row r="55391" ht="14.25" customHeight="1" s="192">
      <c r="W55391" s="235" t="n"/>
      <c r="X55391" s="235" t="n"/>
    </row>
    <row r="55392" ht="14.25" customHeight="1" s="192">
      <c r="W55392" s="228" t="n"/>
      <c r="X55392" s="228" t="n"/>
    </row>
    <row r="55393" ht="14.25" customHeight="1" s="192">
      <c r="W55393" s="235" t="n"/>
      <c r="X55393" s="235" t="n"/>
    </row>
    <row r="55394" ht="14.25" customHeight="1" s="192">
      <c r="W55394" s="235" t="n"/>
      <c r="X55394" s="235" t="n"/>
    </row>
    <row r="55395" ht="14.25" customHeight="1" s="192">
      <c r="W55395" s="235" t="n"/>
      <c r="X55395" s="235" t="n"/>
    </row>
    <row r="55396" ht="14.25" customHeight="1" s="192">
      <c r="W55396" s="239" t="n"/>
      <c r="X55396" s="239" t="n"/>
    </row>
    <row r="55397" ht="14.25" customHeight="1" s="192">
      <c r="W55397" s="239" t="n"/>
      <c r="X55397" s="239" t="n"/>
    </row>
    <row r="55398" ht="14.25" customHeight="1" s="192">
      <c r="W55398" s="239" t="n"/>
      <c r="X55398" s="239" t="n"/>
    </row>
    <row r="55399" ht="14.25" customHeight="1" s="192">
      <c r="W55399" s="235" t="n"/>
      <c r="X55399" s="235" t="n"/>
    </row>
    <row r="55400" ht="14.25" customHeight="1" s="192">
      <c r="W55400" s="235" t="n"/>
      <c r="X55400" s="235" t="n"/>
    </row>
    <row r="55401" ht="14.25" customHeight="1" s="192">
      <c r="W55401" s="235" t="n"/>
      <c r="X55401" s="235" t="n"/>
    </row>
    <row r="55402" ht="14.25" customHeight="1" s="192">
      <c r="W55402" s="239" t="n"/>
      <c r="X55402" s="239" t="n"/>
    </row>
    <row r="55403" ht="14.25" customHeight="1" s="192">
      <c r="W55403" s="239" t="n"/>
      <c r="X55403" s="239" t="n"/>
    </row>
    <row r="55404" ht="14.25" customHeight="1" s="192">
      <c r="W55404" s="235" t="n"/>
      <c r="X55404" s="235" t="n"/>
    </row>
    <row r="55405" ht="14.25" customHeight="1" s="192">
      <c r="W55405" s="235" t="n"/>
      <c r="X55405" s="235" t="n"/>
    </row>
    <row r="55406" ht="14.25" customHeight="1" s="192">
      <c r="W55406" s="239" t="n"/>
      <c r="X55406" s="239" t="n"/>
    </row>
    <row r="55407" ht="14.25" customHeight="1" s="192">
      <c r="W55407" s="235" t="n"/>
      <c r="X55407" s="235" t="n"/>
    </row>
    <row r="55408" ht="14.25" customHeight="1" s="192">
      <c r="W55408" s="239" t="n"/>
      <c r="X55408" s="239" t="n"/>
    </row>
    <row r="55410" ht="14.25" customHeight="1" s="192">
      <c r="W55410" s="235" t="n"/>
      <c r="X55410" s="235" t="n"/>
    </row>
    <row r="55411" ht="15" customHeight="1" s="192" thickBot="1">
      <c r="W55411" s="239" t="n"/>
      <c r="X55411" s="239" t="n"/>
    </row>
    <row r="55412" ht="15" customHeight="1" s="192" thickBot="1">
      <c r="W55412" s="45" t="n"/>
      <c r="X55412" s="45" t="n"/>
    </row>
    <row r="55413" ht="14.25" customHeight="1" s="192">
      <c r="W55413" s="228" t="n"/>
      <c r="X55413" s="228" t="n"/>
    </row>
    <row r="55414" ht="14.25" customHeight="1" s="192">
      <c r="W55414" s="228" t="n"/>
      <c r="X55414" s="228" t="n"/>
    </row>
    <row r="55415" ht="14.25" customHeight="1" s="192">
      <c r="W55415" s="231" t="n"/>
      <c r="X55415" s="231" t="n"/>
    </row>
    <row r="55416" ht="14.25" customHeight="1" s="192">
      <c r="W55416" s="33" t="n"/>
      <c r="X55416" s="33" t="n"/>
    </row>
    <row r="55417" ht="14.25" customHeight="1" s="192">
      <c r="W55417" s="231" t="n"/>
      <c r="X55417" s="231" t="n"/>
    </row>
    <row r="55418" ht="14.25" customHeight="1" s="192">
      <c r="W55418" s="33" t="n"/>
      <c r="X55418" s="33" t="n"/>
    </row>
    <row r="55420" ht="14.25" customHeight="1" s="192">
      <c r="W55420" s="231" t="n"/>
      <c r="X55420" s="231" t="n"/>
    </row>
    <row r="55421" ht="14.25" customHeight="1" s="192">
      <c r="W55421" s="235" t="n"/>
      <c r="X55421" s="235" t="n"/>
    </row>
    <row r="55422" ht="14.25" customHeight="1" s="192">
      <c r="W55422" s="228" t="n"/>
      <c r="X55422" s="228" t="n"/>
    </row>
    <row r="55423" ht="14.25" customHeight="1" s="192">
      <c r="W55423" s="235" t="n"/>
      <c r="X55423" s="235" t="n"/>
    </row>
    <row r="55424" ht="14.25" customHeight="1" s="192">
      <c r="W55424" s="235" t="n"/>
      <c r="X55424" s="235" t="n"/>
    </row>
    <row r="55425" ht="14.25" customHeight="1" s="192">
      <c r="W55425" s="235" t="n"/>
      <c r="X55425" s="235" t="n"/>
    </row>
    <row r="55426" ht="14.25" customHeight="1" s="192">
      <c r="W55426" s="239" t="n"/>
      <c r="X55426" s="239" t="n"/>
    </row>
    <row r="55427" ht="14.25" customHeight="1" s="192">
      <c r="W55427" s="239" t="n"/>
      <c r="X55427" s="239" t="n"/>
    </row>
    <row r="55428" ht="14.25" customHeight="1" s="192">
      <c r="W55428" s="239" t="n"/>
      <c r="X55428" s="239" t="n"/>
    </row>
    <row r="55429" ht="14.25" customHeight="1" s="192">
      <c r="W55429" s="235" t="n"/>
      <c r="X55429" s="235" t="n"/>
    </row>
    <row r="55430" ht="14.25" customHeight="1" s="192">
      <c r="W55430" s="235" t="n"/>
      <c r="X55430" s="235" t="n"/>
    </row>
    <row r="55431" ht="14.25" customHeight="1" s="192">
      <c r="W55431" s="235" t="n"/>
      <c r="X55431" s="235" t="n"/>
    </row>
    <row r="55432" ht="14.25" customHeight="1" s="192">
      <c r="W55432" s="239" t="n"/>
      <c r="X55432" s="239" t="n"/>
    </row>
    <row r="55433" ht="14.25" customHeight="1" s="192">
      <c r="W55433" s="239" t="n"/>
      <c r="X55433" s="239" t="n"/>
    </row>
    <row r="55434" ht="14.25" customHeight="1" s="192">
      <c r="W55434" s="235" t="n"/>
      <c r="X55434" s="235" t="n"/>
    </row>
    <row r="55435" ht="14.25" customHeight="1" s="192">
      <c r="W55435" s="235" t="n"/>
      <c r="X55435" s="235" t="n"/>
    </row>
    <row r="55436" ht="14.25" customHeight="1" s="192">
      <c r="W55436" s="239" t="n"/>
      <c r="X55436" s="239" t="n"/>
    </row>
    <row r="55437" ht="14.25" customHeight="1" s="192">
      <c r="W55437" s="235" t="n"/>
      <c r="X55437" s="235" t="n"/>
    </row>
    <row r="55438" ht="14.25" customHeight="1" s="192">
      <c r="W55438" s="239" t="n"/>
      <c r="X55438" s="239" t="n"/>
    </row>
    <row r="55440" ht="14.25" customHeight="1" s="192">
      <c r="W55440" s="235" t="n"/>
      <c r="X55440" s="235" t="n"/>
    </row>
    <row r="55441" ht="15" customHeight="1" s="192" thickBot="1">
      <c r="W55441" s="239" t="n"/>
      <c r="X55441" s="239" t="n"/>
    </row>
    <row r="55442" ht="15" customHeight="1" s="192" thickBot="1">
      <c r="W55442" s="45" t="n"/>
      <c r="X55442" s="45" t="n"/>
    </row>
    <row r="55443" ht="14.25" customHeight="1" s="192">
      <c r="W55443" s="228" t="n"/>
      <c r="X55443" s="228" t="n"/>
    </row>
    <row r="55444" ht="14.25" customHeight="1" s="192">
      <c r="W55444" s="228" t="n"/>
      <c r="X55444" s="228" t="n"/>
    </row>
    <row r="55445" ht="14.25" customHeight="1" s="192">
      <c r="W55445" s="231" t="n"/>
      <c r="X55445" s="231" t="n"/>
    </row>
    <row r="55446" ht="14.25" customHeight="1" s="192">
      <c r="W55446" s="33" t="n"/>
      <c r="X55446" s="33" t="n"/>
    </row>
    <row r="55447" ht="14.25" customHeight="1" s="192">
      <c r="W55447" s="231" t="n"/>
      <c r="X55447" s="231" t="n"/>
    </row>
    <row r="55448" ht="14.25" customHeight="1" s="192">
      <c r="W55448" s="33" t="n"/>
      <c r="X55448" s="33" t="n"/>
    </row>
    <row r="55450" ht="14.25" customHeight="1" s="192">
      <c r="W55450" s="231" t="n"/>
      <c r="X55450" s="231" t="n"/>
    </row>
    <row r="55451" ht="14.25" customHeight="1" s="192">
      <c r="W55451" s="235" t="n"/>
      <c r="X55451" s="235" t="n"/>
    </row>
    <row r="55452" ht="14.25" customHeight="1" s="192">
      <c r="W55452" s="228" t="n"/>
      <c r="X55452" s="228" t="n"/>
    </row>
    <row r="55453" ht="14.25" customHeight="1" s="192">
      <c r="W55453" s="235" t="n"/>
      <c r="X55453" s="235" t="n"/>
    </row>
    <row r="55454" ht="14.25" customHeight="1" s="192">
      <c r="W55454" s="235" t="n"/>
      <c r="X55454" s="235" t="n"/>
    </row>
    <row r="55455" ht="14.25" customHeight="1" s="192">
      <c r="W55455" s="235" t="n"/>
      <c r="X55455" s="235" t="n"/>
    </row>
    <row r="55456" ht="14.25" customHeight="1" s="192">
      <c r="W55456" s="239" t="n"/>
      <c r="X55456" s="239" t="n"/>
    </row>
    <row r="55457" ht="14.25" customHeight="1" s="192">
      <c r="W55457" s="239" t="n"/>
      <c r="X55457" s="239" t="n"/>
    </row>
    <row r="55458" ht="14.25" customHeight="1" s="192">
      <c r="W55458" s="239" t="n"/>
      <c r="X55458" s="239" t="n"/>
    </row>
    <row r="55459" ht="14.25" customHeight="1" s="192">
      <c r="W55459" s="235" t="n"/>
      <c r="X55459" s="235" t="n"/>
    </row>
    <row r="55460" ht="14.25" customHeight="1" s="192">
      <c r="W55460" s="235" t="n"/>
      <c r="X55460" s="235" t="n"/>
    </row>
    <row r="55461" ht="14.25" customHeight="1" s="192">
      <c r="W55461" s="235" t="n"/>
      <c r="X55461" s="235" t="n"/>
    </row>
    <row r="55462" ht="14.25" customHeight="1" s="192">
      <c r="W55462" s="239" t="n"/>
      <c r="X55462" s="239" t="n"/>
    </row>
    <row r="55463" ht="14.25" customHeight="1" s="192">
      <c r="W55463" s="239" t="n"/>
      <c r="X55463" s="239" t="n"/>
    </row>
    <row r="55464" ht="14.25" customHeight="1" s="192">
      <c r="W55464" s="235" t="n"/>
      <c r="X55464" s="235" t="n"/>
    </row>
    <row r="55465" ht="14.25" customHeight="1" s="192">
      <c r="W55465" s="235" t="n"/>
      <c r="X55465" s="235" t="n"/>
    </row>
    <row r="55466" ht="14.25" customHeight="1" s="192">
      <c r="W55466" s="239" t="n"/>
      <c r="X55466" s="239" t="n"/>
    </row>
    <row r="55467" ht="14.25" customHeight="1" s="192">
      <c r="W55467" s="235" t="n"/>
      <c r="X55467" s="235" t="n"/>
    </row>
    <row r="55468" ht="14.25" customHeight="1" s="192">
      <c r="W55468" s="239" t="n"/>
      <c r="X55468" s="239" t="n"/>
    </row>
    <row r="55470" ht="14.25" customHeight="1" s="192">
      <c r="W55470" s="235" t="n"/>
      <c r="X55470" s="235" t="n"/>
    </row>
    <row r="55471" ht="15" customHeight="1" s="192" thickBot="1">
      <c r="W55471" s="239" t="n"/>
      <c r="X55471" s="239" t="n"/>
    </row>
    <row r="55472" ht="15" customHeight="1" s="192" thickBot="1">
      <c r="W55472" s="45" t="n"/>
      <c r="X55472" s="45" t="n"/>
    </row>
    <row r="55473" ht="14.25" customHeight="1" s="192">
      <c r="W55473" s="228" t="n"/>
      <c r="X55473" s="228" t="n"/>
    </row>
    <row r="55474" ht="14.25" customHeight="1" s="192">
      <c r="W55474" s="228" t="n"/>
      <c r="X55474" s="228" t="n"/>
    </row>
    <row r="55475" ht="14.25" customHeight="1" s="192">
      <c r="W55475" s="231" t="n"/>
      <c r="X55475" s="231" t="n"/>
    </row>
    <row r="55476" ht="14.25" customHeight="1" s="192">
      <c r="W55476" s="33" t="n"/>
      <c r="X55476" s="33" t="n"/>
    </row>
    <row r="55477" ht="14.25" customHeight="1" s="192">
      <c r="W55477" s="231" t="n"/>
      <c r="X55477" s="231" t="n"/>
    </row>
    <row r="55478" ht="14.25" customHeight="1" s="192">
      <c r="W55478" s="33" t="n"/>
      <c r="X55478" s="33" t="n"/>
    </row>
    <row r="55480" ht="14.25" customHeight="1" s="192">
      <c r="W55480" s="231" t="n"/>
      <c r="X55480" s="231" t="n"/>
    </row>
    <row r="55481" ht="14.25" customHeight="1" s="192">
      <c r="W55481" s="235" t="n"/>
      <c r="X55481" s="235" t="n"/>
    </row>
    <row r="55482" ht="14.25" customHeight="1" s="192">
      <c r="W55482" s="228" t="n"/>
      <c r="X55482" s="228" t="n"/>
    </row>
    <row r="55483" ht="14.25" customHeight="1" s="192">
      <c r="W55483" s="235" t="n"/>
      <c r="X55483" s="235" t="n"/>
    </row>
    <row r="55484" ht="14.25" customHeight="1" s="192">
      <c r="W55484" s="235" t="n"/>
      <c r="X55484" s="235" t="n"/>
    </row>
    <row r="55485" ht="14.25" customHeight="1" s="192">
      <c r="W55485" s="235" t="n"/>
      <c r="X55485" s="235" t="n"/>
    </row>
    <row r="55486" ht="14.25" customHeight="1" s="192">
      <c r="W55486" s="239" t="n"/>
      <c r="X55486" s="239" t="n"/>
    </row>
    <row r="55487" ht="14.25" customHeight="1" s="192">
      <c r="W55487" s="239" t="n"/>
      <c r="X55487" s="239" t="n"/>
    </row>
    <row r="55488" ht="14.25" customHeight="1" s="192">
      <c r="W55488" s="239" t="n"/>
      <c r="X55488" s="239" t="n"/>
    </row>
    <row r="55489" ht="14.25" customHeight="1" s="192">
      <c r="W55489" s="235" t="n"/>
      <c r="X55489" s="235" t="n"/>
    </row>
    <row r="55490" ht="14.25" customHeight="1" s="192">
      <c r="W55490" s="235" t="n"/>
      <c r="X55490" s="235" t="n"/>
    </row>
    <row r="55491" ht="14.25" customHeight="1" s="192">
      <c r="W55491" s="235" t="n"/>
      <c r="X55491" s="235" t="n"/>
    </row>
    <row r="55492" ht="14.25" customHeight="1" s="192">
      <c r="W55492" s="239" t="n"/>
      <c r="X55492" s="239" t="n"/>
    </row>
    <row r="55493" ht="14.25" customHeight="1" s="192">
      <c r="W55493" s="239" t="n"/>
      <c r="X55493" s="239" t="n"/>
    </row>
    <row r="55494" ht="14.25" customHeight="1" s="192">
      <c r="W55494" s="235" t="n"/>
      <c r="X55494" s="235" t="n"/>
    </row>
    <row r="55495" ht="14.25" customHeight="1" s="192">
      <c r="W55495" s="235" t="n"/>
      <c r="X55495" s="235" t="n"/>
    </row>
    <row r="55496" ht="14.25" customHeight="1" s="192">
      <c r="W55496" s="239" t="n"/>
      <c r="X55496" s="239" t="n"/>
    </row>
    <row r="55497" ht="14.25" customHeight="1" s="192">
      <c r="W55497" s="235" t="n"/>
      <c r="X55497" s="235" t="n"/>
    </row>
    <row r="55498" ht="14.25" customHeight="1" s="192">
      <c r="W55498" s="239" t="n"/>
      <c r="X55498" s="239" t="n"/>
    </row>
    <row r="55500" ht="14.25" customHeight="1" s="192">
      <c r="W55500" s="235" t="n"/>
      <c r="X55500" s="235" t="n"/>
    </row>
    <row r="55501" ht="15" customHeight="1" s="192" thickBot="1">
      <c r="W55501" s="239" t="n"/>
      <c r="X55501" s="239" t="n"/>
    </row>
    <row r="55502" ht="15" customHeight="1" s="192" thickBot="1">
      <c r="W55502" s="45" t="n"/>
      <c r="X55502" s="45" t="n"/>
    </row>
    <row r="55503" ht="14.25" customHeight="1" s="192">
      <c r="W55503" s="228" t="n"/>
      <c r="X55503" s="228" t="n"/>
    </row>
    <row r="55504" ht="14.25" customHeight="1" s="192">
      <c r="W55504" s="228" t="n"/>
      <c r="X55504" s="228" t="n"/>
    </row>
    <row r="55505" ht="14.25" customHeight="1" s="192">
      <c r="W55505" s="231" t="n"/>
      <c r="X55505" s="231" t="n"/>
    </row>
    <row r="55506" ht="14.25" customHeight="1" s="192">
      <c r="W55506" s="33" t="n"/>
      <c r="X55506" s="33" t="n"/>
    </row>
    <row r="55507" ht="14.25" customHeight="1" s="192">
      <c r="W55507" s="231" t="n"/>
      <c r="X55507" s="231" t="n"/>
    </row>
    <row r="55508" ht="14.25" customHeight="1" s="192">
      <c r="W55508" s="33" t="n"/>
      <c r="X55508" s="33" t="n"/>
    </row>
    <row r="55510" ht="14.25" customHeight="1" s="192">
      <c r="W55510" s="231" t="n"/>
      <c r="X55510" s="231" t="n"/>
    </row>
    <row r="55511" ht="14.25" customHeight="1" s="192">
      <c r="W55511" s="235" t="n"/>
      <c r="X55511" s="235" t="n"/>
    </row>
    <row r="55512" ht="14.25" customHeight="1" s="192">
      <c r="W55512" s="228" t="n"/>
      <c r="X55512" s="228" t="n"/>
    </row>
    <row r="55513" ht="14.25" customHeight="1" s="192">
      <c r="W55513" s="235" t="n"/>
      <c r="X55513" s="235" t="n"/>
    </row>
    <row r="55514" ht="14.25" customHeight="1" s="192">
      <c r="W55514" s="235" t="n"/>
      <c r="X55514" s="235" t="n"/>
    </row>
    <row r="55515" ht="14.25" customHeight="1" s="192">
      <c r="W55515" s="235" t="n"/>
      <c r="X55515" s="235" t="n"/>
    </row>
    <row r="55516" ht="14.25" customHeight="1" s="192">
      <c r="W55516" s="239" t="n"/>
      <c r="X55516" s="239" t="n"/>
    </row>
    <row r="55517" ht="14.25" customHeight="1" s="192">
      <c r="W55517" s="239" t="n"/>
      <c r="X55517" s="239" t="n"/>
    </row>
    <row r="55518" ht="14.25" customHeight="1" s="192">
      <c r="W55518" s="239" t="n"/>
      <c r="X55518" s="239" t="n"/>
    </row>
    <row r="55519" ht="14.25" customHeight="1" s="192">
      <c r="W55519" s="235" t="n"/>
      <c r="X55519" s="235" t="n"/>
    </row>
    <row r="55520" ht="14.25" customHeight="1" s="192">
      <c r="W55520" s="235" t="n"/>
      <c r="X55520" s="235" t="n"/>
    </row>
    <row r="55521" ht="14.25" customHeight="1" s="192">
      <c r="W55521" s="235" t="n"/>
      <c r="X55521" s="235" t="n"/>
    </row>
    <row r="55522" ht="14.25" customHeight="1" s="192">
      <c r="W55522" s="239" t="n"/>
      <c r="X55522" s="239" t="n"/>
    </row>
    <row r="55523" ht="14.25" customHeight="1" s="192">
      <c r="W55523" s="239" t="n"/>
      <c r="X55523" s="239" t="n"/>
    </row>
    <row r="55524" ht="14.25" customHeight="1" s="192">
      <c r="W55524" s="235" t="n"/>
      <c r="X55524" s="235" t="n"/>
    </row>
    <row r="55525" ht="14.25" customHeight="1" s="192">
      <c r="W55525" s="235" t="n"/>
      <c r="X55525" s="235" t="n"/>
    </row>
    <row r="55526" ht="14.25" customHeight="1" s="192">
      <c r="W55526" s="239" t="n"/>
      <c r="X55526" s="239" t="n"/>
    </row>
    <row r="55527" ht="14.25" customHeight="1" s="192">
      <c r="W55527" s="235" t="n"/>
      <c r="X55527" s="235" t="n"/>
    </row>
    <row r="55528" ht="14.25" customHeight="1" s="192">
      <c r="W55528" s="239" t="n"/>
      <c r="X55528" s="239" t="n"/>
    </row>
    <row r="55530" ht="14.25" customHeight="1" s="192">
      <c r="W55530" s="235" t="n"/>
      <c r="X55530" s="235" t="n"/>
    </row>
    <row r="55531" ht="15" customHeight="1" s="192" thickBot="1">
      <c r="W55531" s="239" t="n"/>
      <c r="X55531" s="239" t="n"/>
    </row>
    <row r="55532" ht="15" customHeight="1" s="192" thickBot="1">
      <c r="W55532" s="45" t="n"/>
      <c r="X55532" s="45" t="n"/>
    </row>
    <row r="55533" ht="14.25" customHeight="1" s="192">
      <c r="W55533" s="228" t="n"/>
      <c r="X55533" s="228" t="n"/>
    </row>
    <row r="55534" ht="14.25" customHeight="1" s="192">
      <c r="W55534" s="228" t="n"/>
      <c r="X55534" s="228" t="n"/>
    </row>
    <row r="55535" ht="14.25" customHeight="1" s="192">
      <c r="W55535" s="231" t="n"/>
      <c r="X55535" s="231" t="n"/>
    </row>
    <row r="55536" ht="14.25" customHeight="1" s="192">
      <c r="W55536" s="33" t="n"/>
      <c r="X55536" s="33" t="n"/>
    </row>
    <row r="55537" ht="14.25" customHeight="1" s="192">
      <c r="W55537" s="231" t="n"/>
      <c r="X55537" s="231" t="n"/>
    </row>
    <row r="55538" ht="14.25" customHeight="1" s="192">
      <c r="W55538" s="33" t="n"/>
      <c r="X55538" s="33" t="n"/>
    </row>
    <row r="55540" ht="14.25" customHeight="1" s="192">
      <c r="W55540" s="231" t="n"/>
      <c r="X55540" s="231" t="n"/>
    </row>
    <row r="55541" ht="14.25" customHeight="1" s="192">
      <c r="W55541" s="235" t="n"/>
      <c r="X55541" s="235" t="n"/>
    </row>
    <row r="55542" ht="14.25" customHeight="1" s="192">
      <c r="W55542" s="228" t="n"/>
      <c r="X55542" s="228" t="n"/>
    </row>
    <row r="55543" ht="14.25" customHeight="1" s="192">
      <c r="W55543" s="235" t="n"/>
      <c r="X55543" s="235" t="n"/>
    </row>
    <row r="55544" ht="14.25" customHeight="1" s="192">
      <c r="W55544" s="235" t="n"/>
      <c r="X55544" s="235" t="n"/>
    </row>
    <row r="55545" ht="14.25" customHeight="1" s="192">
      <c r="W55545" s="235" t="n"/>
      <c r="X55545" s="235" t="n"/>
    </row>
    <row r="55546" ht="14.25" customHeight="1" s="192">
      <c r="W55546" s="239" t="n"/>
      <c r="X55546" s="239" t="n"/>
    </row>
    <row r="55547" ht="14.25" customHeight="1" s="192">
      <c r="W55547" s="239" t="n"/>
      <c r="X55547" s="239" t="n"/>
    </row>
    <row r="55548" ht="14.25" customHeight="1" s="192">
      <c r="W55548" s="239" t="n"/>
      <c r="X55548" s="239" t="n"/>
    </row>
    <row r="55549" ht="14.25" customHeight="1" s="192">
      <c r="W55549" s="235" t="n"/>
      <c r="X55549" s="235" t="n"/>
    </row>
    <row r="55550" ht="14.25" customHeight="1" s="192">
      <c r="W55550" s="235" t="n"/>
      <c r="X55550" s="235" t="n"/>
    </row>
    <row r="55551" ht="14.25" customHeight="1" s="192">
      <c r="W55551" s="235" t="n"/>
      <c r="X55551" s="235" t="n"/>
    </row>
    <row r="55552" ht="14.25" customHeight="1" s="192">
      <c r="W55552" s="239" t="n"/>
      <c r="X55552" s="239" t="n"/>
    </row>
    <row r="55553" ht="14.25" customHeight="1" s="192">
      <c r="W55553" s="239" t="n"/>
      <c r="X55553" s="239" t="n"/>
    </row>
    <row r="55554" ht="14.25" customHeight="1" s="192">
      <c r="W55554" s="235" t="n"/>
      <c r="X55554" s="235" t="n"/>
    </row>
    <row r="55555" ht="14.25" customHeight="1" s="192">
      <c r="W55555" s="235" t="n"/>
      <c r="X55555" s="235" t="n"/>
    </row>
    <row r="55556" ht="14.25" customHeight="1" s="192">
      <c r="W55556" s="239" t="n"/>
      <c r="X55556" s="239" t="n"/>
    </row>
    <row r="55557" ht="14.25" customHeight="1" s="192">
      <c r="W55557" s="235" t="n"/>
      <c r="X55557" s="235" t="n"/>
    </row>
    <row r="55558" ht="14.25" customHeight="1" s="192">
      <c r="W55558" s="239" t="n"/>
      <c r="X55558" s="239" t="n"/>
    </row>
    <row r="55560" ht="14.25" customHeight="1" s="192">
      <c r="W55560" s="235" t="n"/>
      <c r="X55560" s="235" t="n"/>
    </row>
    <row r="55561" ht="15" customHeight="1" s="192" thickBot="1">
      <c r="W55561" s="239" t="n"/>
      <c r="X55561" s="239" t="n"/>
    </row>
    <row r="55562" ht="15" customHeight="1" s="192" thickBot="1">
      <c r="W55562" s="45" t="n"/>
      <c r="X55562" s="45" t="n"/>
    </row>
    <row r="55563" ht="14.25" customHeight="1" s="192">
      <c r="W55563" s="228" t="n"/>
      <c r="X55563" s="228" t="n"/>
    </row>
    <row r="55564" ht="14.25" customHeight="1" s="192">
      <c r="W55564" s="228" t="n"/>
      <c r="X55564" s="228" t="n"/>
    </row>
    <row r="55565" ht="14.25" customHeight="1" s="192">
      <c r="W55565" s="231" t="n"/>
      <c r="X55565" s="231" t="n"/>
    </row>
    <row r="55566" ht="14.25" customHeight="1" s="192">
      <c r="W55566" s="33" t="n"/>
      <c r="X55566" s="33" t="n"/>
    </row>
    <row r="55567" ht="14.25" customHeight="1" s="192">
      <c r="W55567" s="231" t="n"/>
      <c r="X55567" s="231" t="n"/>
    </row>
    <row r="55568" ht="14.25" customHeight="1" s="192">
      <c r="W55568" s="33" t="n"/>
      <c r="X55568" s="33" t="n"/>
    </row>
    <row r="55570" ht="14.25" customHeight="1" s="192">
      <c r="W55570" s="231" t="n"/>
      <c r="X55570" s="231" t="n"/>
    </row>
    <row r="55571" ht="14.25" customHeight="1" s="192">
      <c r="W55571" s="235" t="n"/>
      <c r="X55571" s="235" t="n"/>
    </row>
    <row r="55572" ht="14.25" customHeight="1" s="192">
      <c r="W55572" s="228" t="n"/>
      <c r="X55572" s="228" t="n"/>
    </row>
    <row r="55573" ht="14.25" customHeight="1" s="192">
      <c r="W55573" s="235" t="n"/>
      <c r="X55573" s="235" t="n"/>
    </row>
    <row r="55574" ht="14.25" customHeight="1" s="192">
      <c r="W55574" s="235" t="n"/>
      <c r="X55574" s="235" t="n"/>
    </row>
    <row r="55575" ht="14.25" customHeight="1" s="192">
      <c r="W55575" s="235" t="n"/>
      <c r="X55575" s="235" t="n"/>
    </row>
    <row r="55576" ht="14.25" customHeight="1" s="192">
      <c r="W55576" s="239" t="n"/>
      <c r="X55576" s="239" t="n"/>
    </row>
    <row r="55577" ht="14.25" customHeight="1" s="192">
      <c r="W55577" s="239" t="n"/>
      <c r="X55577" s="239" t="n"/>
    </row>
    <row r="55578" ht="14.25" customHeight="1" s="192">
      <c r="W55578" s="239" t="n"/>
      <c r="X55578" s="239" t="n"/>
    </row>
    <row r="55579" ht="14.25" customHeight="1" s="192">
      <c r="W55579" s="235" t="n"/>
      <c r="X55579" s="235" t="n"/>
    </row>
    <row r="55580" ht="14.25" customHeight="1" s="192">
      <c r="W55580" s="235" t="n"/>
      <c r="X55580" s="235" t="n"/>
    </row>
    <row r="55581" ht="14.25" customHeight="1" s="192">
      <c r="W55581" s="235" t="n"/>
      <c r="X55581" s="235" t="n"/>
    </row>
    <row r="55582" ht="14.25" customHeight="1" s="192">
      <c r="W55582" s="239" t="n"/>
      <c r="X55582" s="239" t="n"/>
    </row>
    <row r="55583" ht="14.25" customHeight="1" s="192">
      <c r="W55583" s="239" t="n"/>
      <c r="X55583" s="239" t="n"/>
    </row>
    <row r="55584" ht="14.25" customHeight="1" s="192">
      <c r="W55584" s="235" t="n"/>
      <c r="X55584" s="235" t="n"/>
    </row>
    <row r="55585" ht="14.25" customHeight="1" s="192">
      <c r="W55585" s="235" t="n"/>
      <c r="X55585" s="235" t="n"/>
    </row>
    <row r="55586" ht="14.25" customHeight="1" s="192">
      <c r="W55586" s="239" t="n"/>
      <c r="X55586" s="239" t="n"/>
    </row>
    <row r="55587" ht="14.25" customHeight="1" s="192">
      <c r="W55587" s="235" t="n"/>
      <c r="X55587" s="235" t="n"/>
    </row>
    <row r="55588" ht="14.25" customHeight="1" s="192">
      <c r="W55588" s="239" t="n"/>
      <c r="X55588" s="239" t="n"/>
    </row>
    <row r="55590" ht="14.25" customHeight="1" s="192">
      <c r="W55590" s="235" t="n"/>
      <c r="X55590" s="235" t="n"/>
    </row>
    <row r="55591" ht="15" customHeight="1" s="192" thickBot="1">
      <c r="W55591" s="239" t="n"/>
      <c r="X55591" s="239" t="n"/>
    </row>
    <row r="55592" ht="15" customHeight="1" s="192" thickBot="1">
      <c r="W55592" s="45" t="n"/>
      <c r="X55592" s="45" t="n"/>
    </row>
    <row r="55593" ht="14.25" customHeight="1" s="192">
      <c r="W55593" s="228" t="n"/>
      <c r="X55593" s="228" t="n"/>
    </row>
    <row r="55594" ht="14.25" customHeight="1" s="192">
      <c r="W55594" s="228" t="n"/>
      <c r="X55594" s="228" t="n"/>
    </row>
    <row r="55595" ht="14.25" customHeight="1" s="192">
      <c r="W55595" s="231" t="n"/>
      <c r="X55595" s="231" t="n"/>
    </row>
    <row r="55596" ht="14.25" customHeight="1" s="192">
      <c r="W55596" s="33" t="n"/>
      <c r="X55596" s="33" t="n"/>
    </row>
    <row r="55597" ht="14.25" customHeight="1" s="192">
      <c r="W55597" s="231" t="n"/>
      <c r="X55597" s="231" t="n"/>
    </row>
    <row r="55598" ht="14.25" customHeight="1" s="192">
      <c r="W55598" s="33" t="n"/>
      <c r="X55598" s="33" t="n"/>
    </row>
    <row r="55600" ht="14.25" customHeight="1" s="192">
      <c r="W55600" s="231" t="n"/>
      <c r="X55600" s="231" t="n"/>
    </row>
    <row r="55601" ht="14.25" customHeight="1" s="192">
      <c r="W55601" s="235" t="n"/>
      <c r="X55601" s="235" t="n"/>
    </row>
    <row r="55602" ht="14.25" customHeight="1" s="192">
      <c r="W55602" s="228" t="n"/>
      <c r="X55602" s="228" t="n"/>
    </row>
    <row r="55603" ht="14.25" customHeight="1" s="192">
      <c r="W55603" s="235" t="n"/>
      <c r="X55603" s="235" t="n"/>
    </row>
    <row r="55604" ht="14.25" customHeight="1" s="192">
      <c r="W55604" s="235" t="n"/>
      <c r="X55604" s="235" t="n"/>
    </row>
    <row r="55605" ht="14.25" customHeight="1" s="192">
      <c r="W55605" s="235" t="n"/>
      <c r="X55605" s="235" t="n"/>
    </row>
    <row r="55606" ht="14.25" customHeight="1" s="192">
      <c r="W55606" s="239" t="n"/>
      <c r="X55606" s="239" t="n"/>
    </row>
    <row r="55607" ht="14.25" customHeight="1" s="192">
      <c r="W55607" s="239" t="n"/>
      <c r="X55607" s="239" t="n"/>
    </row>
    <row r="55608" ht="14.25" customHeight="1" s="192">
      <c r="W55608" s="239" t="n"/>
      <c r="X55608" s="239" t="n"/>
    </row>
    <row r="55609" ht="14.25" customHeight="1" s="192">
      <c r="W55609" s="235" t="n"/>
      <c r="X55609" s="235" t="n"/>
    </row>
    <row r="55610" ht="14.25" customHeight="1" s="192">
      <c r="W55610" s="235" t="n"/>
      <c r="X55610" s="235" t="n"/>
    </row>
    <row r="55611" ht="14.25" customHeight="1" s="192">
      <c r="W55611" s="235" t="n"/>
      <c r="X55611" s="235" t="n"/>
    </row>
    <row r="55612" ht="14.25" customHeight="1" s="192">
      <c r="W55612" s="239" t="n"/>
      <c r="X55612" s="239" t="n"/>
    </row>
    <row r="55613" ht="14.25" customHeight="1" s="192">
      <c r="W55613" s="239" t="n"/>
      <c r="X55613" s="239" t="n"/>
    </row>
    <row r="55614" ht="14.25" customHeight="1" s="192">
      <c r="W55614" s="235" t="n"/>
      <c r="X55614" s="235" t="n"/>
    </row>
    <row r="55615" ht="14.25" customHeight="1" s="192">
      <c r="W55615" s="235" t="n"/>
      <c r="X55615" s="235" t="n"/>
    </row>
    <row r="55616" ht="14.25" customHeight="1" s="192">
      <c r="W55616" s="239" t="n"/>
      <c r="X55616" s="239" t="n"/>
    </row>
    <row r="55617" ht="14.25" customHeight="1" s="192">
      <c r="W55617" s="235" t="n"/>
      <c r="X55617" s="235" t="n"/>
    </row>
    <row r="55618" ht="14.25" customHeight="1" s="192">
      <c r="W55618" s="239" t="n"/>
      <c r="X55618" s="239" t="n"/>
    </row>
    <row r="55620" ht="14.25" customHeight="1" s="192">
      <c r="W55620" s="235" t="n"/>
      <c r="X55620" s="235" t="n"/>
    </row>
    <row r="55621" ht="15" customHeight="1" s="192" thickBot="1">
      <c r="W55621" s="239" t="n"/>
      <c r="X55621" s="239" t="n"/>
    </row>
    <row r="55622" ht="15" customHeight="1" s="192" thickBot="1">
      <c r="W55622" s="45" t="n"/>
      <c r="X55622" s="45" t="n"/>
    </row>
    <row r="55623" ht="14.25" customHeight="1" s="192">
      <c r="W55623" s="228" t="n"/>
      <c r="X55623" s="228" t="n"/>
    </row>
    <row r="55624" ht="14.25" customHeight="1" s="192">
      <c r="W55624" s="228" t="n"/>
      <c r="X55624" s="228" t="n"/>
    </row>
    <row r="55625" ht="14.25" customHeight="1" s="192">
      <c r="W55625" s="231" t="n"/>
      <c r="X55625" s="231" t="n"/>
    </row>
    <row r="55626" ht="14.25" customHeight="1" s="192">
      <c r="W55626" s="33" t="n"/>
      <c r="X55626" s="33" t="n"/>
    </row>
    <row r="55627" ht="14.25" customHeight="1" s="192">
      <c r="W55627" s="231" t="n"/>
      <c r="X55627" s="231" t="n"/>
    </row>
    <row r="55628" ht="14.25" customHeight="1" s="192">
      <c r="W55628" s="33" t="n"/>
      <c r="X55628" s="33" t="n"/>
    </row>
    <row r="55630" ht="14.25" customHeight="1" s="192">
      <c r="W55630" s="231" t="n"/>
      <c r="X55630" s="231" t="n"/>
    </row>
    <row r="55631" ht="14.25" customHeight="1" s="192">
      <c r="W55631" s="235" t="n"/>
      <c r="X55631" s="235" t="n"/>
    </row>
    <row r="55632" ht="14.25" customHeight="1" s="192">
      <c r="W55632" s="228" t="n"/>
      <c r="X55632" s="228" t="n"/>
    </row>
    <row r="55633" ht="14.25" customHeight="1" s="192">
      <c r="W55633" s="235" t="n"/>
      <c r="X55633" s="235" t="n"/>
    </row>
    <row r="55634" ht="14.25" customHeight="1" s="192">
      <c r="W55634" s="235" t="n"/>
      <c r="X55634" s="235" t="n"/>
    </row>
    <row r="55635" ht="14.25" customHeight="1" s="192">
      <c r="W55635" s="235" t="n"/>
      <c r="X55635" s="235" t="n"/>
    </row>
    <row r="55636" ht="14.25" customHeight="1" s="192">
      <c r="W55636" s="239" t="n"/>
      <c r="X55636" s="239" t="n"/>
    </row>
    <row r="55637" ht="14.25" customHeight="1" s="192">
      <c r="W55637" s="239" t="n"/>
      <c r="X55637" s="239" t="n"/>
    </row>
    <row r="55638" ht="14.25" customHeight="1" s="192">
      <c r="W55638" s="239" t="n"/>
      <c r="X55638" s="239" t="n"/>
    </row>
    <row r="55639" ht="14.25" customHeight="1" s="192">
      <c r="W55639" s="235" t="n"/>
      <c r="X55639" s="235" t="n"/>
    </row>
    <row r="55640" ht="14.25" customHeight="1" s="192">
      <c r="W55640" s="235" t="n"/>
      <c r="X55640" s="235" t="n"/>
    </row>
    <row r="55641" ht="14.25" customHeight="1" s="192">
      <c r="W55641" s="235" t="n"/>
      <c r="X55641" s="235" t="n"/>
    </row>
    <row r="55642" ht="14.25" customHeight="1" s="192">
      <c r="W55642" s="239" t="n"/>
      <c r="X55642" s="239" t="n"/>
    </row>
    <row r="55643" ht="14.25" customHeight="1" s="192">
      <c r="W55643" s="239" t="n"/>
      <c r="X55643" s="239" t="n"/>
    </row>
    <row r="55644" ht="14.25" customHeight="1" s="192">
      <c r="W55644" s="235" t="n"/>
      <c r="X55644" s="235" t="n"/>
    </row>
    <row r="55645" ht="14.25" customHeight="1" s="192">
      <c r="W55645" s="235" t="n"/>
      <c r="X55645" s="235" t="n"/>
    </row>
    <row r="55646" ht="14.25" customHeight="1" s="192">
      <c r="W55646" s="239" t="n"/>
      <c r="X55646" s="239" t="n"/>
    </row>
    <row r="55647" ht="14.25" customHeight="1" s="192">
      <c r="W55647" s="235" t="n"/>
      <c r="X55647" s="235" t="n"/>
    </row>
    <row r="55648" ht="14.25" customHeight="1" s="192">
      <c r="W55648" s="239" t="n"/>
      <c r="X55648" s="239" t="n"/>
    </row>
    <row r="55650" ht="14.25" customHeight="1" s="192">
      <c r="W55650" s="235" t="n"/>
      <c r="X55650" s="235" t="n"/>
    </row>
    <row r="55651" ht="15" customHeight="1" s="192" thickBot="1">
      <c r="W55651" s="239" t="n"/>
      <c r="X55651" s="239" t="n"/>
    </row>
    <row r="55652" ht="15" customHeight="1" s="192" thickBot="1">
      <c r="W55652" s="45" t="n"/>
      <c r="X55652" s="45" t="n"/>
    </row>
    <row r="55653" ht="14.25" customHeight="1" s="192">
      <c r="W55653" s="228" t="n"/>
      <c r="X55653" s="228" t="n"/>
    </row>
    <row r="55654" ht="14.25" customHeight="1" s="192">
      <c r="W55654" s="228" t="n"/>
      <c r="X55654" s="228" t="n"/>
    </row>
    <row r="55655" ht="14.25" customHeight="1" s="192">
      <c r="W55655" s="231" t="n"/>
      <c r="X55655" s="231" t="n"/>
    </row>
    <row r="55656" ht="14.25" customHeight="1" s="192">
      <c r="W55656" s="33" t="n"/>
      <c r="X55656" s="33" t="n"/>
    </row>
    <row r="55657" ht="14.25" customHeight="1" s="192">
      <c r="W55657" s="231" t="n"/>
      <c r="X55657" s="231" t="n"/>
    </row>
    <row r="55658" ht="14.25" customHeight="1" s="192">
      <c r="W55658" s="33" t="n"/>
      <c r="X55658" s="33" t="n"/>
    </row>
    <row r="55660" ht="14.25" customHeight="1" s="192">
      <c r="W55660" s="231" t="n"/>
      <c r="X55660" s="231" t="n"/>
    </row>
    <row r="55661" ht="14.25" customHeight="1" s="192">
      <c r="W55661" s="235" t="n"/>
      <c r="X55661" s="235" t="n"/>
    </row>
    <row r="55662" ht="14.25" customHeight="1" s="192">
      <c r="W55662" s="228" t="n"/>
      <c r="X55662" s="228" t="n"/>
    </row>
    <row r="55663" ht="14.25" customHeight="1" s="192">
      <c r="W55663" s="235" t="n"/>
      <c r="X55663" s="235" t="n"/>
    </row>
    <row r="55664" ht="14.25" customHeight="1" s="192">
      <c r="W55664" s="235" t="n"/>
      <c r="X55664" s="235" t="n"/>
    </row>
    <row r="55665" ht="14.25" customHeight="1" s="192">
      <c r="W55665" s="235" t="n"/>
      <c r="X55665" s="235" t="n"/>
    </row>
    <row r="55666" ht="14.25" customHeight="1" s="192">
      <c r="W55666" s="239" t="n"/>
      <c r="X55666" s="239" t="n"/>
    </row>
    <row r="55667" ht="14.25" customHeight="1" s="192">
      <c r="W55667" s="239" t="n"/>
      <c r="X55667" s="239" t="n"/>
    </row>
    <row r="55668" ht="14.25" customHeight="1" s="192">
      <c r="W55668" s="239" t="n"/>
      <c r="X55668" s="239" t="n"/>
    </row>
    <row r="55669" ht="14.25" customHeight="1" s="192">
      <c r="W55669" s="235" t="n"/>
      <c r="X55669" s="235" t="n"/>
    </row>
    <row r="55670" ht="14.25" customHeight="1" s="192">
      <c r="W55670" s="235" t="n"/>
      <c r="X55670" s="235" t="n"/>
    </row>
    <row r="55671" ht="14.25" customHeight="1" s="192">
      <c r="W55671" s="235" t="n"/>
      <c r="X55671" s="235" t="n"/>
    </row>
    <row r="55672" ht="14.25" customHeight="1" s="192">
      <c r="W55672" s="239" t="n"/>
      <c r="X55672" s="239" t="n"/>
    </row>
    <row r="55673" ht="14.25" customHeight="1" s="192">
      <c r="W55673" s="239" t="n"/>
      <c r="X55673" s="239" t="n"/>
    </row>
    <row r="55674" ht="14.25" customHeight="1" s="192">
      <c r="W55674" s="235" t="n"/>
      <c r="X55674" s="235" t="n"/>
    </row>
    <row r="55675" ht="14.25" customHeight="1" s="192">
      <c r="W55675" s="235" t="n"/>
      <c r="X55675" s="235" t="n"/>
    </row>
    <row r="55676" ht="14.25" customHeight="1" s="192">
      <c r="W55676" s="239" t="n"/>
      <c r="X55676" s="239" t="n"/>
    </row>
    <row r="55677" ht="14.25" customHeight="1" s="192">
      <c r="W55677" s="235" t="n"/>
      <c r="X55677" s="235" t="n"/>
    </row>
    <row r="55678" ht="14.25" customHeight="1" s="192">
      <c r="W55678" s="239" t="n"/>
      <c r="X55678" s="239" t="n"/>
    </row>
    <row r="55680" ht="14.25" customHeight="1" s="192">
      <c r="W55680" s="235" t="n"/>
      <c r="X55680" s="235" t="n"/>
    </row>
    <row r="55681" ht="15" customHeight="1" s="192" thickBot="1">
      <c r="W55681" s="239" t="n"/>
      <c r="X55681" s="239" t="n"/>
    </row>
    <row r="55682" ht="15" customHeight="1" s="192" thickBot="1">
      <c r="W55682" s="45" t="n"/>
      <c r="X55682" s="45" t="n"/>
    </row>
    <row r="55683" ht="14.25" customHeight="1" s="192">
      <c r="W55683" s="228" t="n"/>
      <c r="X55683" s="228" t="n"/>
    </row>
    <row r="55684" ht="14.25" customHeight="1" s="192">
      <c r="W55684" s="228" t="n"/>
      <c r="X55684" s="228" t="n"/>
    </row>
    <row r="55685" ht="14.25" customHeight="1" s="192">
      <c r="W55685" s="231" t="n"/>
      <c r="X55685" s="231" t="n"/>
    </row>
    <row r="55686" ht="14.25" customHeight="1" s="192">
      <c r="W55686" s="33" t="n"/>
      <c r="X55686" s="33" t="n"/>
    </row>
    <row r="55687" ht="14.25" customHeight="1" s="192">
      <c r="W55687" s="231" t="n"/>
      <c r="X55687" s="231" t="n"/>
    </row>
    <row r="55688" ht="14.25" customHeight="1" s="192">
      <c r="W55688" s="33" t="n"/>
      <c r="X55688" s="33" t="n"/>
    </row>
    <row r="55690" ht="14.25" customHeight="1" s="192">
      <c r="W55690" s="231" t="n"/>
      <c r="X55690" s="231" t="n"/>
    </row>
    <row r="55691" ht="14.25" customHeight="1" s="192">
      <c r="W55691" s="235" t="n"/>
      <c r="X55691" s="235" t="n"/>
    </row>
    <row r="55692" ht="14.25" customHeight="1" s="192">
      <c r="W55692" s="228" t="n"/>
      <c r="X55692" s="228" t="n"/>
    </row>
    <row r="55693" ht="14.25" customHeight="1" s="192">
      <c r="W55693" s="235" t="n"/>
      <c r="X55693" s="235" t="n"/>
    </row>
    <row r="55694" ht="14.25" customHeight="1" s="192">
      <c r="W55694" s="235" t="n"/>
      <c r="X55694" s="235" t="n"/>
    </row>
    <row r="55695" ht="14.25" customHeight="1" s="192">
      <c r="W55695" s="235" t="n"/>
      <c r="X55695" s="235" t="n"/>
    </row>
    <row r="55696" ht="14.25" customHeight="1" s="192">
      <c r="W55696" s="239" t="n"/>
      <c r="X55696" s="239" t="n"/>
    </row>
    <row r="55697" ht="14.25" customHeight="1" s="192">
      <c r="W55697" s="239" t="n"/>
      <c r="X55697" s="239" t="n"/>
    </row>
    <row r="55698" ht="14.25" customHeight="1" s="192">
      <c r="W55698" s="239" t="n"/>
      <c r="X55698" s="239" t="n"/>
    </row>
    <row r="55699" ht="14.25" customHeight="1" s="192">
      <c r="W55699" s="235" t="n"/>
      <c r="X55699" s="235" t="n"/>
    </row>
    <row r="55700" ht="14.25" customHeight="1" s="192">
      <c r="W55700" s="235" t="n"/>
      <c r="X55700" s="235" t="n"/>
    </row>
    <row r="55701" ht="14.25" customHeight="1" s="192">
      <c r="W55701" s="235" t="n"/>
      <c r="X55701" s="235" t="n"/>
    </row>
    <row r="55702" ht="14.25" customHeight="1" s="192">
      <c r="W55702" s="239" t="n"/>
      <c r="X55702" s="239" t="n"/>
    </row>
    <row r="55703" ht="14.25" customHeight="1" s="192">
      <c r="W55703" s="239" t="n"/>
      <c r="X55703" s="239" t="n"/>
    </row>
    <row r="55704" ht="14.25" customHeight="1" s="192">
      <c r="W55704" s="235" t="n"/>
      <c r="X55704" s="235" t="n"/>
    </row>
    <row r="55705" ht="14.25" customHeight="1" s="192">
      <c r="W55705" s="235" t="n"/>
      <c r="X55705" s="235" t="n"/>
    </row>
    <row r="55706" ht="14.25" customHeight="1" s="192">
      <c r="W55706" s="239" t="n"/>
      <c r="X55706" s="239" t="n"/>
    </row>
    <row r="55707" ht="14.25" customHeight="1" s="192">
      <c r="W55707" s="235" t="n"/>
      <c r="X55707" s="235" t="n"/>
    </row>
    <row r="55708" ht="14.25" customHeight="1" s="192">
      <c r="W55708" s="239" t="n"/>
      <c r="X55708" s="239" t="n"/>
    </row>
    <row r="55710" ht="14.25" customHeight="1" s="192">
      <c r="W55710" s="235" t="n"/>
      <c r="X55710" s="235" t="n"/>
    </row>
    <row r="55711" ht="15" customHeight="1" s="192" thickBot="1">
      <c r="W55711" s="239" t="n"/>
      <c r="X55711" s="239" t="n"/>
    </row>
    <row r="55712" ht="15" customHeight="1" s="192" thickBot="1">
      <c r="W55712" s="45" t="n"/>
      <c r="X55712" s="45" t="n"/>
    </row>
    <row r="55713" ht="14.25" customHeight="1" s="192">
      <c r="W55713" s="228" t="n"/>
      <c r="X55713" s="228" t="n"/>
    </row>
    <row r="55714" ht="14.25" customHeight="1" s="192">
      <c r="W55714" s="228" t="n"/>
      <c r="X55714" s="228" t="n"/>
    </row>
    <row r="55715" ht="14.25" customHeight="1" s="192">
      <c r="W55715" s="231" t="n"/>
      <c r="X55715" s="231" t="n"/>
    </row>
    <row r="55716" ht="14.25" customHeight="1" s="192">
      <c r="W55716" s="33" t="n"/>
      <c r="X55716" s="33" t="n"/>
    </row>
    <row r="55717" ht="14.25" customHeight="1" s="192">
      <c r="W55717" s="231" t="n"/>
      <c r="X55717" s="231" t="n"/>
    </row>
    <row r="55718" ht="14.25" customHeight="1" s="192">
      <c r="W55718" s="33" t="n"/>
      <c r="X55718" s="33" t="n"/>
    </row>
    <row r="55720" ht="14.25" customHeight="1" s="192">
      <c r="W55720" s="231" t="n"/>
      <c r="X55720" s="231" t="n"/>
    </row>
    <row r="55721" ht="14.25" customHeight="1" s="192">
      <c r="W55721" s="235" t="n"/>
      <c r="X55721" s="235" t="n"/>
    </row>
    <row r="55722" ht="14.25" customHeight="1" s="192">
      <c r="W55722" s="228" t="n"/>
      <c r="X55722" s="228" t="n"/>
    </row>
    <row r="55723" ht="14.25" customHeight="1" s="192">
      <c r="W55723" s="235" t="n"/>
      <c r="X55723" s="235" t="n"/>
    </row>
    <row r="55724" ht="14.25" customHeight="1" s="192">
      <c r="W55724" s="235" t="n"/>
      <c r="X55724" s="235" t="n"/>
    </row>
    <row r="55725" ht="14.25" customHeight="1" s="192">
      <c r="W55725" s="235" t="n"/>
      <c r="X55725" s="235" t="n"/>
    </row>
    <row r="55726" ht="14.25" customHeight="1" s="192">
      <c r="W55726" s="239" t="n"/>
      <c r="X55726" s="239" t="n"/>
    </row>
    <row r="55727" ht="14.25" customHeight="1" s="192">
      <c r="W55727" s="239" t="n"/>
      <c r="X55727" s="239" t="n"/>
    </row>
    <row r="55728" ht="14.25" customHeight="1" s="192">
      <c r="W55728" s="239" t="n"/>
      <c r="X55728" s="239" t="n"/>
    </row>
    <row r="55729" ht="14.25" customHeight="1" s="192">
      <c r="W55729" s="235" t="n"/>
      <c r="X55729" s="235" t="n"/>
    </row>
    <row r="55730" ht="14.25" customHeight="1" s="192">
      <c r="W55730" s="235" t="n"/>
      <c r="X55730" s="235" t="n"/>
    </row>
    <row r="55731" ht="14.25" customHeight="1" s="192">
      <c r="W55731" s="235" t="n"/>
      <c r="X55731" s="235" t="n"/>
    </row>
    <row r="55732" ht="14.25" customHeight="1" s="192">
      <c r="W55732" s="239" t="n"/>
      <c r="X55732" s="239" t="n"/>
    </row>
    <row r="55733" ht="14.25" customHeight="1" s="192">
      <c r="W55733" s="239" t="n"/>
      <c r="X55733" s="239" t="n"/>
    </row>
    <row r="55734" ht="14.25" customHeight="1" s="192">
      <c r="W55734" s="235" t="n"/>
      <c r="X55734" s="235" t="n"/>
    </row>
    <row r="55735" ht="14.25" customHeight="1" s="192">
      <c r="W55735" s="235" t="n"/>
      <c r="X55735" s="235" t="n"/>
    </row>
    <row r="55736" ht="14.25" customHeight="1" s="192">
      <c r="W55736" s="239" t="n"/>
      <c r="X55736" s="239" t="n"/>
    </row>
    <row r="55737" ht="14.25" customHeight="1" s="192">
      <c r="W55737" s="235" t="n"/>
      <c r="X55737" s="235" t="n"/>
    </row>
    <row r="55738" ht="14.25" customHeight="1" s="192">
      <c r="W55738" s="239" t="n"/>
      <c r="X55738" s="239" t="n"/>
    </row>
    <row r="55740" ht="14.25" customHeight="1" s="192">
      <c r="W55740" s="235" t="n"/>
      <c r="X55740" s="235" t="n"/>
    </row>
    <row r="55741" ht="15" customHeight="1" s="192" thickBot="1">
      <c r="W55741" s="239" t="n"/>
      <c r="X55741" s="239" t="n"/>
    </row>
    <row r="55742" ht="15" customHeight="1" s="192" thickBot="1">
      <c r="W55742" s="45" t="n"/>
      <c r="X55742" s="45" t="n"/>
    </row>
    <row r="55743" ht="14.25" customHeight="1" s="192">
      <c r="W55743" s="228" t="n"/>
      <c r="X55743" s="228" t="n"/>
    </row>
    <row r="55744" ht="14.25" customHeight="1" s="192">
      <c r="W55744" s="228" t="n"/>
      <c r="X55744" s="228" t="n"/>
    </row>
    <row r="55745" ht="14.25" customHeight="1" s="192">
      <c r="W55745" s="231" t="n"/>
      <c r="X55745" s="231" t="n"/>
    </row>
    <row r="55746" ht="14.25" customHeight="1" s="192">
      <c r="W55746" s="33" t="n"/>
      <c r="X55746" s="33" t="n"/>
    </row>
    <row r="55747" ht="14.25" customHeight="1" s="192">
      <c r="W55747" s="231" t="n"/>
      <c r="X55747" s="231" t="n"/>
    </row>
    <row r="55748" ht="14.25" customHeight="1" s="192">
      <c r="W55748" s="33" t="n"/>
      <c r="X55748" s="33" t="n"/>
    </row>
    <row r="55750" ht="14.25" customHeight="1" s="192">
      <c r="W55750" s="231" t="n"/>
      <c r="X55750" s="231" t="n"/>
    </row>
    <row r="55751" ht="14.25" customHeight="1" s="192">
      <c r="W55751" s="235" t="n"/>
      <c r="X55751" s="235" t="n"/>
    </row>
    <row r="55752" ht="14.25" customHeight="1" s="192">
      <c r="W55752" s="228" t="n"/>
      <c r="X55752" s="228" t="n"/>
    </row>
    <row r="55753" ht="14.25" customHeight="1" s="192">
      <c r="W55753" s="235" t="n"/>
      <c r="X55753" s="235" t="n"/>
    </row>
    <row r="55754" ht="14.25" customHeight="1" s="192">
      <c r="W55754" s="235" t="n"/>
      <c r="X55754" s="235" t="n"/>
    </row>
    <row r="55755" ht="14.25" customHeight="1" s="192">
      <c r="W55755" s="235" t="n"/>
      <c r="X55755" s="235" t="n"/>
    </row>
    <row r="55756" ht="14.25" customHeight="1" s="192">
      <c r="W55756" s="239" t="n"/>
      <c r="X55756" s="239" t="n"/>
    </row>
    <row r="55757" ht="14.25" customHeight="1" s="192">
      <c r="W55757" s="239" t="n"/>
      <c r="X55757" s="239" t="n"/>
    </row>
    <row r="55758" ht="14.25" customHeight="1" s="192">
      <c r="W55758" s="239" t="n"/>
      <c r="X55758" s="239" t="n"/>
    </row>
    <row r="55759" ht="14.25" customHeight="1" s="192">
      <c r="W55759" s="235" t="n"/>
      <c r="X55759" s="235" t="n"/>
    </row>
    <row r="55760" ht="14.25" customHeight="1" s="192">
      <c r="W55760" s="235" t="n"/>
      <c r="X55760" s="235" t="n"/>
    </row>
    <row r="55761" ht="14.25" customHeight="1" s="192">
      <c r="W55761" s="235" t="n"/>
      <c r="X55761" s="235" t="n"/>
    </row>
    <row r="55762" ht="14.25" customHeight="1" s="192">
      <c r="W55762" s="239" t="n"/>
      <c r="X55762" s="239" t="n"/>
    </row>
    <row r="55763" ht="14.25" customHeight="1" s="192">
      <c r="W55763" s="239" t="n"/>
      <c r="X55763" s="239" t="n"/>
    </row>
    <row r="55764" ht="14.25" customHeight="1" s="192">
      <c r="W55764" s="235" t="n"/>
      <c r="X55764" s="235" t="n"/>
    </row>
    <row r="55765" ht="14.25" customHeight="1" s="192">
      <c r="W55765" s="235" t="n"/>
      <c r="X55765" s="235" t="n"/>
    </row>
    <row r="55766" ht="14.25" customHeight="1" s="192">
      <c r="W55766" s="239" t="n"/>
      <c r="X55766" s="239" t="n"/>
    </row>
    <row r="55767" ht="14.25" customHeight="1" s="192">
      <c r="W55767" s="235" t="n"/>
      <c r="X55767" s="235" t="n"/>
    </row>
    <row r="55768" ht="14.25" customHeight="1" s="192">
      <c r="W55768" s="239" t="n"/>
      <c r="X55768" s="239" t="n"/>
    </row>
    <row r="55770" ht="14.25" customHeight="1" s="192">
      <c r="W55770" s="235" t="n"/>
      <c r="X55770" s="235" t="n"/>
    </row>
    <row r="55771" ht="15" customHeight="1" s="192" thickBot="1">
      <c r="W55771" s="239" t="n"/>
      <c r="X55771" s="239" t="n"/>
    </row>
    <row r="55772" ht="15" customHeight="1" s="192" thickBot="1">
      <c r="W55772" s="45" t="n"/>
      <c r="X55772" s="45" t="n"/>
    </row>
    <row r="55773" ht="14.25" customHeight="1" s="192">
      <c r="W55773" s="228" t="n"/>
      <c r="X55773" s="228" t="n"/>
    </row>
    <row r="55774" ht="14.25" customHeight="1" s="192">
      <c r="W55774" s="228" t="n"/>
      <c r="X55774" s="228" t="n"/>
    </row>
    <row r="55775" ht="14.25" customHeight="1" s="192">
      <c r="W55775" s="231" t="n"/>
      <c r="X55775" s="231" t="n"/>
    </row>
    <row r="55776" ht="14.25" customHeight="1" s="192">
      <c r="W55776" s="33" t="n"/>
      <c r="X55776" s="33" t="n"/>
    </row>
    <row r="55777" ht="14.25" customHeight="1" s="192">
      <c r="W55777" s="231" t="n"/>
      <c r="X55777" s="231" t="n"/>
    </row>
    <row r="55778" ht="14.25" customHeight="1" s="192">
      <c r="W55778" s="33" t="n"/>
      <c r="X55778" s="33" t="n"/>
    </row>
    <row r="55780" ht="14.25" customHeight="1" s="192">
      <c r="W55780" s="231" t="n"/>
      <c r="X55780" s="231" t="n"/>
    </row>
    <row r="55781" ht="14.25" customHeight="1" s="192">
      <c r="W55781" s="235" t="n"/>
      <c r="X55781" s="235" t="n"/>
    </row>
    <row r="55782" ht="14.25" customHeight="1" s="192">
      <c r="W55782" s="228" t="n"/>
      <c r="X55782" s="228" t="n"/>
    </row>
    <row r="55783" ht="14.25" customHeight="1" s="192">
      <c r="W55783" s="235" t="n"/>
      <c r="X55783" s="235" t="n"/>
    </row>
    <row r="55784" ht="14.25" customHeight="1" s="192">
      <c r="W55784" s="235" t="n"/>
      <c r="X55784" s="235" t="n"/>
    </row>
    <row r="55785" ht="14.25" customHeight="1" s="192">
      <c r="W55785" s="235" t="n"/>
      <c r="X55785" s="235" t="n"/>
    </row>
    <row r="55786" ht="14.25" customHeight="1" s="192">
      <c r="W55786" s="239" t="n"/>
      <c r="X55786" s="239" t="n"/>
    </row>
    <row r="55787" ht="14.25" customHeight="1" s="192">
      <c r="W55787" s="239" t="n"/>
      <c r="X55787" s="239" t="n"/>
    </row>
    <row r="55788" ht="14.25" customHeight="1" s="192">
      <c r="W55788" s="239" t="n"/>
      <c r="X55788" s="239" t="n"/>
    </row>
    <row r="55789" ht="14.25" customHeight="1" s="192">
      <c r="W55789" s="235" t="n"/>
      <c r="X55789" s="235" t="n"/>
    </row>
    <row r="55790" ht="14.25" customHeight="1" s="192">
      <c r="W55790" s="235" t="n"/>
      <c r="X55790" s="235" t="n"/>
    </row>
    <row r="55791" ht="14.25" customHeight="1" s="192">
      <c r="W55791" s="235" t="n"/>
      <c r="X55791" s="235" t="n"/>
    </row>
    <row r="55792" ht="14.25" customHeight="1" s="192">
      <c r="W55792" s="239" t="n"/>
      <c r="X55792" s="239" t="n"/>
    </row>
    <row r="55793" ht="14.25" customHeight="1" s="192">
      <c r="W55793" s="239" t="n"/>
      <c r="X55793" s="239" t="n"/>
    </row>
    <row r="55794" ht="14.25" customHeight="1" s="192">
      <c r="W55794" s="235" t="n"/>
      <c r="X55794" s="235" t="n"/>
    </row>
    <row r="55795" ht="14.25" customHeight="1" s="192">
      <c r="W55795" s="235" t="n"/>
      <c r="X55795" s="235" t="n"/>
    </row>
    <row r="55796" ht="14.25" customHeight="1" s="192">
      <c r="W55796" s="239" t="n"/>
      <c r="X55796" s="239" t="n"/>
    </row>
    <row r="55797" ht="14.25" customHeight="1" s="192">
      <c r="W55797" s="235" t="n"/>
      <c r="X55797" s="235" t="n"/>
    </row>
    <row r="55798" ht="14.25" customHeight="1" s="192">
      <c r="W55798" s="239" t="n"/>
      <c r="X55798" s="239" t="n"/>
    </row>
    <row r="55800" ht="14.25" customHeight="1" s="192">
      <c r="W55800" s="235" t="n"/>
      <c r="X55800" s="235" t="n"/>
    </row>
    <row r="55801" ht="15" customHeight="1" s="192" thickBot="1">
      <c r="W55801" s="239" t="n"/>
      <c r="X55801" s="239" t="n"/>
    </row>
    <row r="55802" ht="15" customHeight="1" s="192" thickBot="1">
      <c r="W55802" s="45" t="n"/>
      <c r="X55802" s="45" t="n"/>
    </row>
    <row r="55803" ht="14.25" customHeight="1" s="192">
      <c r="W55803" s="228" t="n"/>
      <c r="X55803" s="228" t="n"/>
    </row>
    <row r="55804" ht="14.25" customHeight="1" s="192">
      <c r="W55804" s="228" t="n"/>
      <c r="X55804" s="228" t="n"/>
    </row>
    <row r="55805" ht="14.25" customHeight="1" s="192">
      <c r="W55805" s="231" t="n"/>
      <c r="X55805" s="231" t="n"/>
    </row>
    <row r="55806" ht="14.25" customHeight="1" s="192">
      <c r="W55806" s="33" t="n"/>
      <c r="X55806" s="33" t="n"/>
    </row>
    <row r="55807" ht="14.25" customHeight="1" s="192">
      <c r="W55807" s="231" t="n"/>
      <c r="X55807" s="231" t="n"/>
    </row>
    <row r="55808" ht="14.25" customHeight="1" s="192">
      <c r="W55808" s="33" t="n"/>
      <c r="X55808" s="33" t="n"/>
    </row>
    <row r="55810" ht="14.25" customHeight="1" s="192">
      <c r="W55810" s="231" t="n"/>
      <c r="X55810" s="231" t="n"/>
    </row>
    <row r="55811" ht="14.25" customHeight="1" s="192">
      <c r="W55811" s="235" t="n"/>
      <c r="X55811" s="235" t="n"/>
    </row>
    <row r="55812" ht="14.25" customHeight="1" s="192">
      <c r="W55812" s="228" t="n"/>
      <c r="X55812" s="228" t="n"/>
    </row>
    <row r="55813" ht="14.25" customHeight="1" s="192">
      <c r="W55813" s="235" t="n"/>
      <c r="X55813" s="235" t="n"/>
    </row>
    <row r="55814" ht="14.25" customHeight="1" s="192">
      <c r="W55814" s="235" t="n"/>
      <c r="X55814" s="235" t="n"/>
    </row>
    <row r="55815" ht="14.25" customHeight="1" s="192">
      <c r="W55815" s="235" t="n"/>
      <c r="X55815" s="235" t="n"/>
    </row>
    <row r="55816" ht="14.25" customHeight="1" s="192">
      <c r="W55816" s="239" t="n"/>
      <c r="X55816" s="239" t="n"/>
    </row>
    <row r="55817" ht="14.25" customHeight="1" s="192">
      <c r="W55817" s="239" t="n"/>
      <c r="X55817" s="239" t="n"/>
    </row>
    <row r="55818" ht="14.25" customHeight="1" s="192">
      <c r="W55818" s="239" t="n"/>
      <c r="X55818" s="239" t="n"/>
    </row>
    <row r="55819" ht="14.25" customHeight="1" s="192">
      <c r="W55819" s="235" t="n"/>
      <c r="X55819" s="235" t="n"/>
    </row>
    <row r="55820" ht="14.25" customHeight="1" s="192">
      <c r="W55820" s="235" t="n"/>
      <c r="X55820" s="235" t="n"/>
    </row>
    <row r="55821" ht="14.25" customHeight="1" s="192">
      <c r="W55821" s="235" t="n"/>
      <c r="X55821" s="235" t="n"/>
    </row>
    <row r="55822" ht="14.25" customHeight="1" s="192">
      <c r="W55822" s="239" t="n"/>
      <c r="X55822" s="239" t="n"/>
    </row>
    <row r="55823" ht="14.25" customHeight="1" s="192">
      <c r="W55823" s="239" t="n"/>
      <c r="X55823" s="239" t="n"/>
    </row>
    <row r="55824" ht="14.25" customHeight="1" s="192">
      <c r="W55824" s="235" t="n"/>
      <c r="X55824" s="235" t="n"/>
    </row>
    <row r="55825" ht="14.25" customHeight="1" s="192">
      <c r="W55825" s="235" t="n"/>
      <c r="X55825" s="235" t="n"/>
    </row>
    <row r="55826" ht="14.25" customHeight="1" s="192">
      <c r="W55826" s="239" t="n"/>
      <c r="X55826" s="239" t="n"/>
    </row>
    <row r="55827" ht="14.25" customHeight="1" s="192">
      <c r="W55827" s="235" t="n"/>
      <c r="X55827" s="235" t="n"/>
    </row>
    <row r="55828" ht="14.25" customHeight="1" s="192">
      <c r="W55828" s="239" t="n"/>
      <c r="X55828" s="239" t="n"/>
    </row>
    <row r="55830" ht="14.25" customHeight="1" s="192">
      <c r="W55830" s="235" t="n"/>
      <c r="X55830" s="235" t="n"/>
    </row>
    <row r="55831" ht="15" customHeight="1" s="192" thickBot="1">
      <c r="W55831" s="239" t="n"/>
      <c r="X55831" s="239" t="n"/>
    </row>
    <row r="55832" ht="15" customHeight="1" s="192" thickBot="1">
      <c r="W55832" s="45" t="n"/>
      <c r="X55832" s="45" t="n"/>
    </row>
    <row r="55833" ht="14.25" customHeight="1" s="192">
      <c r="W55833" s="228" t="n"/>
      <c r="X55833" s="228" t="n"/>
    </row>
    <row r="55834" ht="14.25" customHeight="1" s="192">
      <c r="W55834" s="228" t="n"/>
      <c r="X55834" s="228" t="n"/>
    </row>
    <row r="55835" ht="14.25" customHeight="1" s="192">
      <c r="W55835" s="231" t="n"/>
      <c r="X55835" s="231" t="n"/>
    </row>
    <row r="55836" ht="14.25" customHeight="1" s="192">
      <c r="W55836" s="33" t="n"/>
      <c r="X55836" s="33" t="n"/>
    </row>
    <row r="55837" ht="14.25" customHeight="1" s="192">
      <c r="W55837" s="231" t="n"/>
      <c r="X55837" s="231" t="n"/>
    </row>
    <row r="55838" ht="14.25" customHeight="1" s="192">
      <c r="W55838" s="33" t="n"/>
      <c r="X55838" s="33" t="n"/>
    </row>
    <row r="55840" ht="14.25" customHeight="1" s="192">
      <c r="W55840" s="231" t="n"/>
      <c r="X55840" s="231" t="n"/>
    </row>
    <row r="55841" ht="14.25" customHeight="1" s="192">
      <c r="W55841" s="235" t="n"/>
      <c r="X55841" s="235" t="n"/>
    </row>
    <row r="55842" ht="14.25" customHeight="1" s="192">
      <c r="W55842" s="228" t="n"/>
      <c r="X55842" s="228" t="n"/>
    </row>
    <row r="55843" ht="14.25" customHeight="1" s="192">
      <c r="W55843" s="235" t="n"/>
      <c r="X55843" s="235" t="n"/>
    </row>
    <row r="55844" ht="14.25" customHeight="1" s="192">
      <c r="W55844" s="235" t="n"/>
      <c r="X55844" s="235" t="n"/>
    </row>
    <row r="55845" ht="14.25" customHeight="1" s="192">
      <c r="W55845" s="235" t="n"/>
      <c r="X55845" s="235" t="n"/>
    </row>
    <row r="55846" ht="14.25" customHeight="1" s="192">
      <c r="W55846" s="239" t="n"/>
      <c r="X55846" s="239" t="n"/>
    </row>
    <row r="55847" ht="14.25" customHeight="1" s="192">
      <c r="W55847" s="239" t="n"/>
      <c r="X55847" s="239" t="n"/>
    </row>
    <row r="55848" ht="14.25" customHeight="1" s="192">
      <c r="W55848" s="239" t="n"/>
      <c r="X55848" s="239" t="n"/>
    </row>
    <row r="55849" ht="14.25" customHeight="1" s="192">
      <c r="W55849" s="235" t="n"/>
      <c r="X55849" s="235" t="n"/>
    </row>
    <row r="55850" ht="14.25" customHeight="1" s="192">
      <c r="W55850" s="235" t="n"/>
      <c r="X55850" s="235" t="n"/>
    </row>
    <row r="55851" ht="14.25" customHeight="1" s="192">
      <c r="W55851" s="235" t="n"/>
      <c r="X55851" s="235" t="n"/>
    </row>
    <row r="55852" ht="14.25" customHeight="1" s="192">
      <c r="W55852" s="239" t="n"/>
      <c r="X55852" s="239" t="n"/>
    </row>
    <row r="55853" ht="14.25" customHeight="1" s="192">
      <c r="W55853" s="239" t="n"/>
      <c r="X55853" s="239" t="n"/>
    </row>
    <row r="55854" ht="14.25" customHeight="1" s="192">
      <c r="W55854" s="235" t="n"/>
      <c r="X55854" s="235" t="n"/>
    </row>
    <row r="55855" ht="14.25" customHeight="1" s="192">
      <c r="W55855" s="235" t="n"/>
      <c r="X55855" s="235" t="n"/>
    </row>
    <row r="55856" ht="14.25" customHeight="1" s="192">
      <c r="W55856" s="239" t="n"/>
      <c r="X55856" s="239" t="n"/>
    </row>
    <row r="55857" ht="14.25" customHeight="1" s="192">
      <c r="W55857" s="235" t="n"/>
      <c r="X55857" s="235" t="n"/>
    </row>
    <row r="55858" ht="14.25" customHeight="1" s="192">
      <c r="W55858" s="239" t="n"/>
      <c r="X55858" s="239" t="n"/>
    </row>
    <row r="55860" ht="14.25" customHeight="1" s="192">
      <c r="W55860" s="235" t="n"/>
      <c r="X55860" s="235" t="n"/>
    </row>
    <row r="55861" ht="15" customHeight="1" s="192" thickBot="1">
      <c r="W55861" s="239" t="n"/>
      <c r="X55861" s="239" t="n"/>
    </row>
    <row r="55862" ht="15" customHeight="1" s="192" thickBot="1">
      <c r="W55862" s="45" t="n"/>
      <c r="X55862" s="45" t="n"/>
    </row>
    <row r="55863" ht="14.25" customHeight="1" s="192">
      <c r="W55863" s="228" t="n"/>
      <c r="X55863" s="228" t="n"/>
    </row>
    <row r="55864" ht="14.25" customHeight="1" s="192">
      <c r="W55864" s="228" t="n"/>
      <c r="X55864" s="228" t="n"/>
    </row>
    <row r="55865" ht="14.25" customHeight="1" s="192">
      <c r="W55865" s="231" t="n"/>
      <c r="X55865" s="231" t="n"/>
    </row>
    <row r="55866" ht="14.25" customHeight="1" s="192">
      <c r="W55866" s="33" t="n"/>
      <c r="X55866" s="33" t="n"/>
    </row>
    <row r="55867" ht="14.25" customHeight="1" s="192">
      <c r="W55867" s="231" t="n"/>
      <c r="X55867" s="231" t="n"/>
    </row>
    <row r="55868" ht="14.25" customHeight="1" s="192">
      <c r="W55868" s="33" t="n"/>
      <c r="X55868" s="33" t="n"/>
    </row>
    <row r="55870" ht="14.25" customHeight="1" s="192">
      <c r="W55870" s="231" t="n"/>
      <c r="X55870" s="231" t="n"/>
    </row>
    <row r="55871" ht="14.25" customHeight="1" s="192">
      <c r="W55871" s="235" t="n"/>
      <c r="X55871" s="235" t="n"/>
    </row>
    <row r="55872" ht="14.25" customHeight="1" s="192">
      <c r="W55872" s="228" t="n"/>
      <c r="X55872" s="228" t="n"/>
    </row>
    <row r="55873" ht="14.25" customHeight="1" s="192">
      <c r="W55873" s="235" t="n"/>
      <c r="X55873" s="235" t="n"/>
    </row>
    <row r="55874" ht="14.25" customHeight="1" s="192">
      <c r="W55874" s="235" t="n"/>
      <c r="X55874" s="235" t="n"/>
    </row>
    <row r="55875" ht="14.25" customHeight="1" s="192">
      <c r="W55875" s="235" t="n"/>
      <c r="X55875" s="235" t="n"/>
    </row>
    <row r="55876" ht="14.25" customHeight="1" s="192">
      <c r="W55876" s="239" t="n"/>
      <c r="X55876" s="239" t="n"/>
    </row>
    <row r="55877" ht="14.25" customHeight="1" s="192">
      <c r="W55877" s="239" t="n"/>
      <c r="X55877" s="239" t="n"/>
    </row>
    <row r="55878" ht="14.25" customHeight="1" s="192">
      <c r="W55878" s="239" t="n"/>
      <c r="X55878" s="239" t="n"/>
    </row>
    <row r="55879" ht="14.25" customHeight="1" s="192">
      <c r="W55879" s="235" t="n"/>
      <c r="X55879" s="235" t="n"/>
    </row>
    <row r="55880" ht="14.25" customHeight="1" s="192">
      <c r="W55880" s="235" t="n"/>
      <c r="X55880" s="235" t="n"/>
    </row>
    <row r="55881" ht="14.25" customHeight="1" s="192">
      <c r="W55881" s="235" t="n"/>
      <c r="X55881" s="235" t="n"/>
    </row>
    <row r="55882" ht="14.25" customHeight="1" s="192">
      <c r="W55882" s="239" t="n"/>
      <c r="X55882" s="239" t="n"/>
    </row>
    <row r="55883" ht="14.25" customHeight="1" s="192">
      <c r="W55883" s="239" t="n"/>
      <c r="X55883" s="239" t="n"/>
    </row>
    <row r="55884" ht="14.25" customHeight="1" s="192">
      <c r="W55884" s="235" t="n"/>
      <c r="X55884" s="235" t="n"/>
    </row>
    <row r="55885" ht="14.25" customHeight="1" s="192">
      <c r="W55885" s="235" t="n"/>
      <c r="X55885" s="235" t="n"/>
    </row>
    <row r="55886" ht="14.25" customHeight="1" s="192">
      <c r="W55886" s="239" t="n"/>
      <c r="X55886" s="239" t="n"/>
    </row>
    <row r="55887" ht="14.25" customHeight="1" s="192">
      <c r="W55887" s="235" t="n"/>
      <c r="X55887" s="235" t="n"/>
    </row>
    <row r="55888" ht="14.25" customHeight="1" s="192">
      <c r="W55888" s="239" t="n"/>
      <c r="X55888" s="239" t="n"/>
    </row>
    <row r="55890" ht="14.25" customHeight="1" s="192">
      <c r="W55890" s="235" t="n"/>
      <c r="X55890" s="235" t="n"/>
    </row>
    <row r="55891" ht="15" customHeight="1" s="192" thickBot="1">
      <c r="W55891" s="239" t="n"/>
      <c r="X55891" s="239" t="n"/>
    </row>
    <row r="55892" ht="15" customHeight="1" s="192" thickBot="1">
      <c r="W55892" s="45" t="n"/>
      <c r="X55892" s="45" t="n"/>
    </row>
    <row r="55893" ht="14.25" customHeight="1" s="192">
      <c r="W55893" s="228" t="n"/>
      <c r="X55893" s="228" t="n"/>
    </row>
    <row r="55894" ht="14.25" customHeight="1" s="192">
      <c r="W55894" s="228" t="n"/>
      <c r="X55894" s="228" t="n"/>
    </row>
    <row r="55895" ht="14.25" customHeight="1" s="192">
      <c r="W55895" s="231" t="n"/>
      <c r="X55895" s="231" t="n"/>
    </row>
    <row r="55896" ht="14.25" customHeight="1" s="192">
      <c r="W55896" s="33" t="n"/>
      <c r="X55896" s="33" t="n"/>
    </row>
    <row r="55897" ht="14.25" customHeight="1" s="192">
      <c r="W55897" s="231" t="n"/>
      <c r="X55897" s="231" t="n"/>
    </row>
    <row r="55898" ht="14.25" customHeight="1" s="192">
      <c r="W55898" s="33" t="n"/>
      <c r="X55898" s="33" t="n"/>
    </row>
    <row r="55900" ht="14.25" customHeight="1" s="192">
      <c r="W55900" s="231" t="n"/>
      <c r="X55900" s="231" t="n"/>
    </row>
    <row r="55901" ht="14.25" customHeight="1" s="192">
      <c r="W55901" s="235" t="n"/>
      <c r="X55901" s="235" t="n"/>
    </row>
    <row r="55902" ht="14.25" customHeight="1" s="192">
      <c r="W55902" s="228" t="n"/>
      <c r="X55902" s="228" t="n"/>
    </row>
    <row r="55903" ht="14.25" customHeight="1" s="192">
      <c r="W55903" s="235" t="n"/>
      <c r="X55903" s="235" t="n"/>
    </row>
    <row r="55904" ht="14.25" customHeight="1" s="192">
      <c r="W55904" s="235" t="n"/>
      <c r="X55904" s="235" t="n"/>
    </row>
    <row r="55905" ht="14.25" customHeight="1" s="192">
      <c r="W55905" s="235" t="n"/>
      <c r="X55905" s="235" t="n"/>
    </row>
    <row r="55906" ht="14.25" customHeight="1" s="192">
      <c r="W55906" s="239" t="n"/>
      <c r="X55906" s="239" t="n"/>
    </row>
    <row r="55907" ht="14.25" customHeight="1" s="192">
      <c r="W55907" s="239" t="n"/>
      <c r="X55907" s="239" t="n"/>
    </row>
    <row r="55908" ht="14.25" customHeight="1" s="192">
      <c r="W55908" s="239" t="n"/>
      <c r="X55908" s="239" t="n"/>
    </row>
    <row r="55909" ht="14.25" customHeight="1" s="192">
      <c r="W55909" s="235" t="n"/>
      <c r="X55909" s="235" t="n"/>
    </row>
    <row r="55910" ht="14.25" customHeight="1" s="192">
      <c r="W55910" s="235" t="n"/>
      <c r="X55910" s="235" t="n"/>
    </row>
    <row r="55911" ht="14.25" customHeight="1" s="192">
      <c r="W55911" s="235" t="n"/>
      <c r="X55911" s="235" t="n"/>
    </row>
    <row r="55912" ht="14.25" customHeight="1" s="192">
      <c r="W55912" s="239" t="n"/>
      <c r="X55912" s="239" t="n"/>
    </row>
    <row r="55913" ht="14.25" customHeight="1" s="192">
      <c r="W55913" s="239" t="n"/>
      <c r="X55913" s="239" t="n"/>
    </row>
    <row r="55914" ht="14.25" customHeight="1" s="192">
      <c r="W55914" s="235" t="n"/>
      <c r="X55914" s="235" t="n"/>
    </row>
    <row r="55915" ht="14.25" customHeight="1" s="192">
      <c r="W55915" s="235" t="n"/>
      <c r="X55915" s="235" t="n"/>
    </row>
    <row r="55916" ht="14.25" customHeight="1" s="192">
      <c r="W55916" s="239" t="n"/>
      <c r="X55916" s="239" t="n"/>
    </row>
    <row r="55917" ht="14.25" customHeight="1" s="192">
      <c r="W55917" s="235" t="n"/>
      <c r="X55917" s="235" t="n"/>
    </row>
    <row r="55918" ht="14.25" customHeight="1" s="192">
      <c r="W55918" s="239" t="n"/>
      <c r="X55918" s="239" t="n"/>
    </row>
    <row r="55920" ht="14.25" customHeight="1" s="192">
      <c r="W55920" s="235" t="n"/>
      <c r="X55920" s="235" t="n"/>
    </row>
    <row r="55921" ht="15" customHeight="1" s="192" thickBot="1">
      <c r="W55921" s="239" t="n"/>
      <c r="X55921" s="239" t="n"/>
    </row>
    <row r="55922" ht="15" customHeight="1" s="192" thickBot="1">
      <c r="W55922" s="45" t="n"/>
      <c r="X55922" s="45" t="n"/>
    </row>
    <row r="55923" ht="14.25" customHeight="1" s="192">
      <c r="W55923" s="228" t="n"/>
      <c r="X55923" s="228" t="n"/>
    </row>
    <row r="55924" ht="14.25" customHeight="1" s="192">
      <c r="W55924" s="228" t="n"/>
      <c r="X55924" s="228" t="n"/>
    </row>
    <row r="55925" ht="14.25" customHeight="1" s="192">
      <c r="W55925" s="231" t="n"/>
      <c r="X55925" s="231" t="n"/>
    </row>
    <row r="55926" ht="14.25" customHeight="1" s="192">
      <c r="W55926" s="33" t="n"/>
      <c r="X55926" s="33" t="n"/>
    </row>
    <row r="55927" ht="14.25" customHeight="1" s="192">
      <c r="W55927" s="231" t="n"/>
      <c r="X55927" s="231" t="n"/>
    </row>
    <row r="55928" ht="14.25" customHeight="1" s="192">
      <c r="W55928" s="33" t="n"/>
      <c r="X55928" s="33" t="n"/>
    </row>
    <row r="55930" ht="14.25" customHeight="1" s="192">
      <c r="W55930" s="231" t="n"/>
      <c r="X55930" s="231" t="n"/>
    </row>
    <row r="55931" ht="14.25" customHeight="1" s="192">
      <c r="W55931" s="235" t="n"/>
      <c r="X55931" s="235" t="n"/>
    </row>
    <row r="55932" ht="14.25" customHeight="1" s="192">
      <c r="W55932" s="228" t="n"/>
      <c r="X55932" s="228" t="n"/>
    </row>
    <row r="55933" ht="14.25" customHeight="1" s="192">
      <c r="W55933" s="235" t="n"/>
      <c r="X55933" s="235" t="n"/>
    </row>
    <row r="55934" ht="14.25" customHeight="1" s="192">
      <c r="W55934" s="235" t="n"/>
      <c r="X55934" s="235" t="n"/>
    </row>
    <row r="55935" ht="14.25" customHeight="1" s="192">
      <c r="W55935" s="235" t="n"/>
      <c r="X55935" s="235" t="n"/>
    </row>
    <row r="55936" ht="14.25" customHeight="1" s="192">
      <c r="W55936" s="239" t="n"/>
      <c r="X55936" s="239" t="n"/>
    </row>
    <row r="55937" ht="14.25" customHeight="1" s="192">
      <c r="W55937" s="239" t="n"/>
      <c r="X55937" s="239" t="n"/>
    </row>
    <row r="55938" ht="14.25" customHeight="1" s="192">
      <c r="W55938" s="239" t="n"/>
      <c r="X55938" s="239" t="n"/>
    </row>
    <row r="55939" ht="14.25" customHeight="1" s="192">
      <c r="W55939" s="235" t="n"/>
      <c r="X55939" s="235" t="n"/>
    </row>
    <row r="55940" ht="14.25" customHeight="1" s="192">
      <c r="W55940" s="235" t="n"/>
      <c r="X55940" s="235" t="n"/>
    </row>
    <row r="55941" ht="14.25" customHeight="1" s="192">
      <c r="W55941" s="235" t="n"/>
      <c r="X55941" s="235" t="n"/>
    </row>
    <row r="55942" ht="14.25" customHeight="1" s="192">
      <c r="W55942" s="239" t="n"/>
      <c r="X55942" s="239" t="n"/>
    </row>
    <row r="55943" ht="14.25" customHeight="1" s="192">
      <c r="W55943" s="239" t="n"/>
      <c r="X55943" s="239" t="n"/>
    </row>
    <row r="55944" ht="14.25" customHeight="1" s="192">
      <c r="W55944" s="235" t="n"/>
      <c r="X55944" s="235" t="n"/>
    </row>
    <row r="55945" ht="14.25" customHeight="1" s="192">
      <c r="W55945" s="235" t="n"/>
      <c r="X55945" s="235" t="n"/>
    </row>
    <row r="55946" ht="14.25" customHeight="1" s="192">
      <c r="W55946" s="239" t="n"/>
      <c r="X55946" s="239" t="n"/>
    </row>
    <row r="55947" ht="14.25" customHeight="1" s="192">
      <c r="W55947" s="235" t="n"/>
      <c r="X55947" s="235" t="n"/>
    </row>
    <row r="55948" ht="14.25" customHeight="1" s="192">
      <c r="W55948" s="239" t="n"/>
      <c r="X55948" s="239" t="n"/>
    </row>
    <row r="55950" ht="14.25" customHeight="1" s="192">
      <c r="W55950" s="235" t="n"/>
      <c r="X55950" s="235" t="n"/>
    </row>
    <row r="55951" ht="15" customHeight="1" s="192" thickBot="1">
      <c r="W55951" s="239" t="n"/>
      <c r="X55951" s="239" t="n"/>
    </row>
    <row r="55952" ht="15" customHeight="1" s="192" thickBot="1">
      <c r="W55952" s="45" t="n"/>
      <c r="X55952" s="45" t="n"/>
    </row>
    <row r="55953" ht="14.25" customHeight="1" s="192">
      <c r="W55953" s="228" t="n"/>
      <c r="X55953" s="228" t="n"/>
    </row>
    <row r="55954" ht="14.25" customHeight="1" s="192">
      <c r="W55954" s="228" t="n"/>
      <c r="X55954" s="228" t="n"/>
    </row>
    <row r="55955" ht="14.25" customHeight="1" s="192">
      <c r="W55955" s="231" t="n"/>
      <c r="X55955" s="231" t="n"/>
    </row>
    <row r="55956" ht="14.25" customHeight="1" s="192">
      <c r="W55956" s="33" t="n"/>
      <c r="X55956" s="33" t="n"/>
    </row>
    <row r="55957" ht="14.25" customHeight="1" s="192">
      <c r="W55957" s="231" t="n"/>
      <c r="X55957" s="231" t="n"/>
    </row>
    <row r="55958" ht="14.25" customHeight="1" s="192">
      <c r="W55958" s="33" t="n"/>
      <c r="X55958" s="33" t="n"/>
    </row>
    <row r="55960" ht="14.25" customHeight="1" s="192">
      <c r="W55960" s="231" t="n"/>
      <c r="X55960" s="231" t="n"/>
    </row>
    <row r="55961" ht="14.25" customHeight="1" s="192">
      <c r="W55961" s="235" t="n"/>
      <c r="X55961" s="235" t="n"/>
    </row>
    <row r="55962" ht="14.25" customHeight="1" s="192">
      <c r="W55962" s="228" t="n"/>
      <c r="X55962" s="228" t="n"/>
    </row>
    <row r="55963" ht="14.25" customHeight="1" s="192">
      <c r="W55963" s="235" t="n"/>
      <c r="X55963" s="235" t="n"/>
    </row>
    <row r="55964" ht="14.25" customHeight="1" s="192">
      <c r="W55964" s="235" t="n"/>
      <c r="X55964" s="235" t="n"/>
    </row>
    <row r="55965" ht="14.25" customHeight="1" s="192">
      <c r="W55965" s="235" t="n"/>
      <c r="X55965" s="235" t="n"/>
    </row>
    <row r="55966" ht="14.25" customHeight="1" s="192">
      <c r="W55966" s="239" t="n"/>
      <c r="X55966" s="239" t="n"/>
    </row>
    <row r="55967" ht="14.25" customHeight="1" s="192">
      <c r="W55967" s="239" t="n"/>
      <c r="X55967" s="239" t="n"/>
    </row>
    <row r="55968" ht="14.25" customHeight="1" s="192">
      <c r="W55968" s="239" t="n"/>
      <c r="X55968" s="239" t="n"/>
    </row>
    <row r="55969" ht="14.25" customHeight="1" s="192">
      <c r="W55969" s="235" t="n"/>
      <c r="X55969" s="235" t="n"/>
    </row>
    <row r="55970" ht="14.25" customHeight="1" s="192">
      <c r="W55970" s="235" t="n"/>
      <c r="X55970" s="235" t="n"/>
    </row>
    <row r="55971" ht="14.25" customHeight="1" s="192">
      <c r="W55971" s="235" t="n"/>
      <c r="X55971" s="235" t="n"/>
    </row>
    <row r="55972" ht="14.25" customHeight="1" s="192">
      <c r="W55972" s="239" t="n"/>
      <c r="X55972" s="239" t="n"/>
    </row>
    <row r="55973" ht="14.25" customHeight="1" s="192">
      <c r="W55973" s="239" t="n"/>
      <c r="X55973" s="239" t="n"/>
    </row>
    <row r="55974" ht="14.25" customHeight="1" s="192">
      <c r="W55974" s="235" t="n"/>
      <c r="X55974" s="235" t="n"/>
    </row>
    <row r="55975" ht="14.25" customHeight="1" s="192">
      <c r="W55975" s="235" t="n"/>
      <c r="X55975" s="235" t="n"/>
    </row>
    <row r="55976" ht="14.25" customHeight="1" s="192">
      <c r="W55976" s="239" t="n"/>
      <c r="X55976" s="239" t="n"/>
    </row>
    <row r="55977" ht="14.25" customHeight="1" s="192">
      <c r="W55977" s="235" t="n"/>
      <c r="X55977" s="235" t="n"/>
    </row>
    <row r="55978" ht="14.25" customHeight="1" s="192">
      <c r="W55978" s="239" t="n"/>
      <c r="X55978" s="239" t="n"/>
    </row>
    <row r="55980" ht="14.25" customHeight="1" s="192">
      <c r="W55980" s="235" t="n"/>
      <c r="X55980" s="235" t="n"/>
    </row>
    <row r="55981" ht="15" customHeight="1" s="192" thickBot="1">
      <c r="W55981" s="239" t="n"/>
      <c r="X55981" s="239" t="n"/>
    </row>
    <row r="55982" ht="15" customHeight="1" s="192" thickBot="1">
      <c r="W55982" s="45" t="n"/>
      <c r="X55982" s="45" t="n"/>
    </row>
    <row r="55983" ht="14.25" customHeight="1" s="192">
      <c r="W55983" s="228" t="n"/>
      <c r="X55983" s="228" t="n"/>
    </row>
    <row r="55984" ht="14.25" customHeight="1" s="192">
      <c r="W55984" s="228" t="n"/>
      <c r="X55984" s="228" t="n"/>
    </row>
    <row r="55985" ht="14.25" customHeight="1" s="192">
      <c r="W55985" s="231" t="n"/>
      <c r="X55985" s="231" t="n"/>
    </row>
    <row r="55986" ht="14.25" customHeight="1" s="192">
      <c r="W55986" s="33" t="n"/>
      <c r="X55986" s="33" t="n"/>
    </row>
    <row r="55987" ht="14.25" customHeight="1" s="192">
      <c r="W55987" s="231" t="n"/>
      <c r="X55987" s="231" t="n"/>
    </row>
    <row r="55988" ht="14.25" customHeight="1" s="192">
      <c r="W55988" s="33" t="n"/>
      <c r="X55988" s="33" t="n"/>
    </row>
    <row r="55990" ht="14.25" customHeight="1" s="192">
      <c r="W55990" s="231" t="n"/>
      <c r="X55990" s="231" t="n"/>
    </row>
    <row r="55991" ht="14.25" customHeight="1" s="192">
      <c r="W55991" s="235" t="n"/>
      <c r="X55991" s="235" t="n"/>
    </row>
    <row r="55992" ht="14.25" customHeight="1" s="192">
      <c r="W55992" s="228" t="n"/>
      <c r="X55992" s="228" t="n"/>
    </row>
    <row r="55993" ht="14.25" customHeight="1" s="192">
      <c r="W55993" s="235" t="n"/>
      <c r="X55993" s="235" t="n"/>
    </row>
    <row r="55994" ht="14.25" customHeight="1" s="192">
      <c r="W55994" s="235" t="n"/>
      <c r="X55994" s="235" t="n"/>
    </row>
    <row r="55995" ht="14.25" customHeight="1" s="192">
      <c r="W55995" s="235" t="n"/>
      <c r="X55995" s="235" t="n"/>
    </row>
    <row r="55996" ht="14.25" customHeight="1" s="192">
      <c r="W55996" s="239" t="n"/>
      <c r="X55996" s="239" t="n"/>
    </row>
    <row r="55997" ht="14.25" customHeight="1" s="192">
      <c r="W55997" s="239" t="n"/>
      <c r="X55997" s="239" t="n"/>
    </row>
    <row r="55998" ht="14.25" customHeight="1" s="192">
      <c r="W55998" s="239" t="n"/>
      <c r="X55998" s="239" t="n"/>
    </row>
    <row r="55999" ht="14.25" customHeight="1" s="192">
      <c r="W55999" s="235" t="n"/>
      <c r="X55999" s="235" t="n"/>
    </row>
    <row r="56000" ht="14.25" customHeight="1" s="192">
      <c r="W56000" s="235" t="n"/>
      <c r="X56000" s="235" t="n"/>
    </row>
    <row r="56001" ht="14.25" customHeight="1" s="192">
      <c r="W56001" s="235" t="n"/>
      <c r="X56001" s="235" t="n"/>
    </row>
    <row r="56002" ht="14.25" customHeight="1" s="192">
      <c r="W56002" s="239" t="n"/>
      <c r="X56002" s="239" t="n"/>
    </row>
    <row r="56003" ht="14.25" customHeight="1" s="192">
      <c r="W56003" s="239" t="n"/>
      <c r="X56003" s="239" t="n"/>
    </row>
    <row r="56004" ht="14.25" customHeight="1" s="192">
      <c r="W56004" s="235" t="n"/>
      <c r="X56004" s="235" t="n"/>
    </row>
    <row r="56005" ht="14.25" customHeight="1" s="192">
      <c r="W56005" s="235" t="n"/>
      <c r="X56005" s="235" t="n"/>
    </row>
    <row r="56006" ht="14.25" customHeight="1" s="192">
      <c r="W56006" s="239" t="n"/>
      <c r="X56006" s="239" t="n"/>
    </row>
    <row r="56007" ht="14.25" customHeight="1" s="192">
      <c r="W56007" s="235" t="n"/>
      <c r="X56007" s="235" t="n"/>
    </row>
    <row r="56008" ht="14.25" customHeight="1" s="192">
      <c r="W56008" s="239" t="n"/>
      <c r="X56008" s="239" t="n"/>
    </row>
    <row r="56010" ht="14.25" customHeight="1" s="192">
      <c r="W56010" s="235" t="n"/>
      <c r="X56010" s="235" t="n"/>
    </row>
    <row r="56011" ht="15" customHeight="1" s="192" thickBot="1">
      <c r="W56011" s="239" t="n"/>
      <c r="X56011" s="239" t="n"/>
    </row>
    <row r="56012" ht="15" customHeight="1" s="192" thickBot="1">
      <c r="W56012" s="45" t="n"/>
      <c r="X56012" s="45" t="n"/>
    </row>
    <row r="56013" ht="14.25" customHeight="1" s="192">
      <c r="W56013" s="228" t="n"/>
      <c r="X56013" s="228" t="n"/>
    </row>
    <row r="56014" ht="14.25" customHeight="1" s="192">
      <c r="W56014" s="228" t="n"/>
      <c r="X56014" s="228" t="n"/>
    </row>
    <row r="56015" ht="14.25" customHeight="1" s="192">
      <c r="W56015" s="231" t="n"/>
      <c r="X56015" s="231" t="n"/>
    </row>
    <row r="56016" ht="14.25" customHeight="1" s="192">
      <c r="W56016" s="33" t="n"/>
      <c r="X56016" s="33" t="n"/>
    </row>
    <row r="56017" ht="14.25" customHeight="1" s="192">
      <c r="W56017" s="231" t="n"/>
      <c r="X56017" s="231" t="n"/>
    </row>
    <row r="56018" ht="14.25" customHeight="1" s="192">
      <c r="W56018" s="33" t="n"/>
      <c r="X56018" s="33" t="n"/>
    </row>
    <row r="56020" ht="14.25" customHeight="1" s="192">
      <c r="W56020" s="231" t="n"/>
      <c r="X56020" s="231" t="n"/>
    </row>
    <row r="56021" ht="14.25" customHeight="1" s="192">
      <c r="W56021" s="235" t="n"/>
      <c r="X56021" s="235" t="n"/>
    </row>
    <row r="56022" ht="14.25" customHeight="1" s="192">
      <c r="W56022" s="228" t="n"/>
      <c r="X56022" s="228" t="n"/>
    </row>
    <row r="56023" ht="14.25" customHeight="1" s="192">
      <c r="W56023" s="235" t="n"/>
      <c r="X56023" s="235" t="n"/>
    </row>
    <row r="56024" ht="14.25" customHeight="1" s="192">
      <c r="W56024" s="235" t="n"/>
      <c r="X56024" s="235" t="n"/>
    </row>
    <row r="56025" ht="14.25" customHeight="1" s="192">
      <c r="W56025" s="235" t="n"/>
      <c r="X56025" s="235" t="n"/>
    </row>
    <row r="56026" ht="14.25" customHeight="1" s="192">
      <c r="W56026" s="239" t="n"/>
      <c r="X56026" s="239" t="n"/>
    </row>
    <row r="56027" ht="14.25" customHeight="1" s="192">
      <c r="W56027" s="239" t="n"/>
      <c r="X56027" s="239" t="n"/>
    </row>
    <row r="56028" ht="14.25" customHeight="1" s="192">
      <c r="W56028" s="239" t="n"/>
      <c r="X56028" s="239" t="n"/>
    </row>
    <row r="56029" ht="14.25" customHeight="1" s="192">
      <c r="W56029" s="235" t="n"/>
      <c r="X56029" s="235" t="n"/>
    </row>
    <row r="56030" ht="14.25" customHeight="1" s="192">
      <c r="W56030" s="235" t="n"/>
      <c r="X56030" s="235" t="n"/>
    </row>
    <row r="56031" ht="14.25" customHeight="1" s="192">
      <c r="W56031" s="235" t="n"/>
      <c r="X56031" s="235" t="n"/>
    </row>
    <row r="56032" ht="14.25" customHeight="1" s="192">
      <c r="W56032" s="239" t="n"/>
      <c r="X56032" s="239" t="n"/>
    </row>
    <row r="56033" ht="14.25" customHeight="1" s="192">
      <c r="W56033" s="239" t="n"/>
      <c r="X56033" s="239" t="n"/>
    </row>
    <row r="56034" ht="14.25" customHeight="1" s="192">
      <c r="W56034" s="235" t="n"/>
      <c r="X56034" s="235" t="n"/>
    </row>
    <row r="56035" ht="14.25" customHeight="1" s="192">
      <c r="W56035" s="235" t="n"/>
      <c r="X56035" s="235" t="n"/>
    </row>
    <row r="56036" ht="14.25" customHeight="1" s="192">
      <c r="W56036" s="239" t="n"/>
      <c r="X56036" s="239" t="n"/>
    </row>
    <row r="56037" ht="14.25" customHeight="1" s="192">
      <c r="W56037" s="235" t="n"/>
      <c r="X56037" s="235" t="n"/>
    </row>
    <row r="56038" ht="14.25" customHeight="1" s="192">
      <c r="W56038" s="239" t="n"/>
      <c r="X56038" s="239" t="n"/>
    </row>
    <row r="56040" ht="14.25" customHeight="1" s="192">
      <c r="W56040" s="235" t="n"/>
      <c r="X56040" s="235" t="n"/>
    </row>
    <row r="56041" ht="15" customHeight="1" s="192" thickBot="1">
      <c r="W56041" s="239" t="n"/>
      <c r="X56041" s="239" t="n"/>
    </row>
    <row r="56042" ht="15" customHeight="1" s="192" thickBot="1">
      <c r="W56042" s="45" t="n"/>
      <c r="X56042" s="45" t="n"/>
    </row>
    <row r="56043" ht="14.25" customHeight="1" s="192">
      <c r="W56043" s="228" t="n"/>
      <c r="X56043" s="228" t="n"/>
    </row>
    <row r="56044" ht="14.25" customHeight="1" s="192">
      <c r="W56044" s="228" t="n"/>
      <c r="X56044" s="228" t="n"/>
    </row>
    <row r="56045" ht="14.25" customHeight="1" s="192">
      <c r="W56045" s="231" t="n"/>
      <c r="X56045" s="231" t="n"/>
    </row>
    <row r="56046" ht="14.25" customHeight="1" s="192">
      <c r="W56046" s="33" t="n"/>
      <c r="X56046" s="33" t="n"/>
    </row>
    <row r="56047" ht="14.25" customHeight="1" s="192">
      <c r="W56047" s="231" t="n"/>
      <c r="X56047" s="231" t="n"/>
    </row>
    <row r="56048" ht="14.25" customHeight="1" s="192">
      <c r="W56048" s="33" t="n"/>
      <c r="X56048" s="33" t="n"/>
    </row>
    <row r="56050" ht="14.25" customHeight="1" s="192">
      <c r="W56050" s="231" t="n"/>
      <c r="X56050" s="231" t="n"/>
    </row>
    <row r="56051" ht="14.25" customHeight="1" s="192">
      <c r="W56051" s="235" t="n"/>
      <c r="X56051" s="235" t="n"/>
    </row>
    <row r="56052" ht="14.25" customHeight="1" s="192">
      <c r="W56052" s="228" t="n"/>
      <c r="X56052" s="228" t="n"/>
    </row>
    <row r="56053" ht="14.25" customHeight="1" s="192">
      <c r="W56053" s="235" t="n"/>
      <c r="X56053" s="235" t="n"/>
    </row>
    <row r="56054" ht="14.25" customHeight="1" s="192">
      <c r="W56054" s="235" t="n"/>
      <c r="X56054" s="235" t="n"/>
    </row>
    <row r="56055" ht="14.25" customHeight="1" s="192">
      <c r="W56055" s="235" t="n"/>
      <c r="X56055" s="235" t="n"/>
    </row>
    <row r="56056" ht="14.25" customHeight="1" s="192">
      <c r="W56056" s="239" t="n"/>
      <c r="X56056" s="239" t="n"/>
    </row>
    <row r="56057" ht="14.25" customHeight="1" s="192">
      <c r="W56057" s="239" t="n"/>
      <c r="X56057" s="239" t="n"/>
    </row>
    <row r="56058" ht="14.25" customHeight="1" s="192">
      <c r="W56058" s="239" t="n"/>
      <c r="X56058" s="239" t="n"/>
    </row>
    <row r="56059" ht="14.25" customHeight="1" s="192">
      <c r="W56059" s="235" t="n"/>
      <c r="X56059" s="235" t="n"/>
    </row>
    <row r="56060" ht="14.25" customHeight="1" s="192">
      <c r="W56060" s="235" t="n"/>
      <c r="X56060" s="235" t="n"/>
    </row>
    <row r="56061" ht="14.25" customHeight="1" s="192">
      <c r="W56061" s="235" t="n"/>
      <c r="X56061" s="235" t="n"/>
    </row>
    <row r="56062" ht="14.25" customHeight="1" s="192">
      <c r="W56062" s="239" t="n"/>
      <c r="X56062" s="239" t="n"/>
    </row>
    <row r="56063" ht="14.25" customHeight="1" s="192">
      <c r="W56063" s="239" t="n"/>
      <c r="X56063" s="239" t="n"/>
    </row>
    <row r="56064" ht="14.25" customHeight="1" s="192">
      <c r="W56064" s="235" t="n"/>
      <c r="X56064" s="235" t="n"/>
    </row>
    <row r="56065" ht="14.25" customHeight="1" s="192">
      <c r="W56065" s="235" t="n"/>
      <c r="X56065" s="235" t="n"/>
    </row>
    <row r="56066" ht="14.25" customHeight="1" s="192">
      <c r="W56066" s="239" t="n"/>
      <c r="X56066" s="239" t="n"/>
    </row>
    <row r="56067" ht="14.25" customHeight="1" s="192">
      <c r="W56067" s="235" t="n"/>
      <c r="X56067" s="235" t="n"/>
    </row>
    <row r="56068" ht="14.25" customHeight="1" s="192">
      <c r="W56068" s="239" t="n"/>
      <c r="X56068" s="239" t="n"/>
    </row>
    <row r="56070" ht="14.25" customHeight="1" s="192">
      <c r="W56070" s="235" t="n"/>
      <c r="X56070" s="235" t="n"/>
    </row>
    <row r="56071" ht="15" customHeight="1" s="192" thickBot="1">
      <c r="W56071" s="239" t="n"/>
      <c r="X56071" s="239" t="n"/>
    </row>
    <row r="56072" ht="15" customHeight="1" s="192" thickBot="1">
      <c r="W56072" s="45" t="n"/>
      <c r="X56072" s="45" t="n"/>
    </row>
    <row r="56073" ht="14.25" customHeight="1" s="192">
      <c r="W56073" s="228" t="n"/>
      <c r="X56073" s="228" t="n"/>
    </row>
    <row r="56074" ht="14.25" customHeight="1" s="192">
      <c r="W56074" s="228" t="n"/>
      <c r="X56074" s="228" t="n"/>
    </row>
    <row r="56075" ht="14.25" customHeight="1" s="192">
      <c r="W56075" s="231" t="n"/>
      <c r="X56075" s="231" t="n"/>
    </row>
    <row r="56076" ht="14.25" customHeight="1" s="192">
      <c r="W56076" s="33" t="n"/>
      <c r="X56076" s="33" t="n"/>
    </row>
    <row r="56077" ht="14.25" customHeight="1" s="192">
      <c r="W56077" s="231" t="n"/>
      <c r="X56077" s="231" t="n"/>
    </row>
    <row r="56078" ht="14.25" customHeight="1" s="192">
      <c r="W56078" s="33" t="n"/>
      <c r="X56078" s="33" t="n"/>
    </row>
    <row r="56080" ht="14.25" customHeight="1" s="192">
      <c r="W56080" s="231" t="n"/>
      <c r="X56080" s="231" t="n"/>
    </row>
    <row r="56081" ht="14.25" customHeight="1" s="192">
      <c r="W56081" s="235" t="n"/>
      <c r="X56081" s="235" t="n"/>
    </row>
    <row r="56082" ht="14.25" customHeight="1" s="192">
      <c r="W56082" s="228" t="n"/>
      <c r="X56082" s="228" t="n"/>
    </row>
    <row r="56083" ht="14.25" customHeight="1" s="192">
      <c r="W56083" s="235" t="n"/>
      <c r="X56083" s="235" t="n"/>
    </row>
    <row r="56084" ht="14.25" customHeight="1" s="192">
      <c r="W56084" s="235" t="n"/>
      <c r="X56084" s="235" t="n"/>
    </row>
    <row r="56085" ht="14.25" customHeight="1" s="192">
      <c r="W56085" s="235" t="n"/>
      <c r="X56085" s="235" t="n"/>
    </row>
    <row r="56086" ht="14.25" customHeight="1" s="192">
      <c r="W56086" s="239" t="n"/>
      <c r="X56086" s="239" t="n"/>
    </row>
    <row r="56087" ht="14.25" customHeight="1" s="192">
      <c r="W56087" s="239" t="n"/>
      <c r="X56087" s="239" t="n"/>
    </row>
    <row r="56088" ht="14.25" customHeight="1" s="192">
      <c r="W56088" s="239" t="n"/>
      <c r="X56088" s="239" t="n"/>
    </row>
    <row r="56089" ht="14.25" customHeight="1" s="192">
      <c r="W56089" s="235" t="n"/>
      <c r="X56089" s="235" t="n"/>
    </row>
    <row r="56090" ht="14.25" customHeight="1" s="192">
      <c r="W56090" s="235" t="n"/>
      <c r="X56090" s="235" t="n"/>
    </row>
    <row r="56091" ht="14.25" customHeight="1" s="192">
      <c r="W56091" s="235" t="n"/>
      <c r="X56091" s="235" t="n"/>
    </row>
    <row r="56092" ht="14.25" customHeight="1" s="192">
      <c r="W56092" s="239" t="n"/>
      <c r="X56092" s="239" t="n"/>
    </row>
    <row r="56093" ht="14.25" customHeight="1" s="192">
      <c r="W56093" s="239" t="n"/>
      <c r="X56093" s="239" t="n"/>
    </row>
    <row r="56094" ht="14.25" customHeight="1" s="192">
      <c r="W56094" s="235" t="n"/>
      <c r="X56094" s="235" t="n"/>
    </row>
    <row r="56095" ht="14.25" customHeight="1" s="192">
      <c r="W56095" s="235" t="n"/>
      <c r="X56095" s="235" t="n"/>
    </row>
    <row r="56096" ht="14.25" customHeight="1" s="192">
      <c r="W56096" s="239" t="n"/>
      <c r="X56096" s="239" t="n"/>
    </row>
    <row r="56097" ht="14.25" customHeight="1" s="192">
      <c r="W56097" s="235" t="n"/>
      <c r="X56097" s="235" t="n"/>
    </row>
    <row r="56098" ht="14.25" customHeight="1" s="192">
      <c r="W56098" s="239" t="n"/>
      <c r="X56098" s="239" t="n"/>
    </row>
    <row r="56100" ht="14.25" customHeight="1" s="192">
      <c r="W56100" s="235" t="n"/>
      <c r="X56100" s="235" t="n"/>
    </row>
    <row r="56101" ht="15" customHeight="1" s="192" thickBot="1">
      <c r="W56101" s="239" t="n"/>
      <c r="X56101" s="239" t="n"/>
    </row>
    <row r="56102" ht="15" customHeight="1" s="192" thickBot="1">
      <c r="W56102" s="45" t="n"/>
      <c r="X56102" s="45" t="n"/>
    </row>
    <row r="56103" ht="14.25" customHeight="1" s="192">
      <c r="W56103" s="228" t="n"/>
      <c r="X56103" s="228" t="n"/>
    </row>
    <row r="56104" ht="14.25" customHeight="1" s="192">
      <c r="W56104" s="228" t="n"/>
      <c r="X56104" s="228" t="n"/>
    </row>
    <row r="56105" ht="14.25" customHeight="1" s="192">
      <c r="W56105" s="231" t="n"/>
      <c r="X56105" s="231" t="n"/>
    </row>
    <row r="56106" ht="14.25" customHeight="1" s="192">
      <c r="W56106" s="33" t="n"/>
      <c r="X56106" s="33" t="n"/>
    </row>
    <row r="56107" ht="14.25" customHeight="1" s="192">
      <c r="W56107" s="231" t="n"/>
      <c r="X56107" s="231" t="n"/>
    </row>
    <row r="56108" ht="14.25" customHeight="1" s="192">
      <c r="W56108" s="33" t="n"/>
      <c r="X56108" s="33" t="n"/>
    </row>
    <row r="56110" ht="14.25" customHeight="1" s="192">
      <c r="W56110" s="231" t="n"/>
      <c r="X56110" s="231" t="n"/>
    </row>
    <row r="56111" ht="14.25" customHeight="1" s="192">
      <c r="W56111" s="235" t="n"/>
      <c r="X56111" s="235" t="n"/>
    </row>
    <row r="56112" ht="14.25" customHeight="1" s="192">
      <c r="W56112" s="228" t="n"/>
      <c r="X56112" s="228" t="n"/>
    </row>
    <row r="56113" ht="14.25" customHeight="1" s="192">
      <c r="W56113" s="235" t="n"/>
      <c r="X56113" s="235" t="n"/>
    </row>
    <row r="56114" ht="14.25" customHeight="1" s="192">
      <c r="W56114" s="235" t="n"/>
      <c r="X56114" s="235" t="n"/>
    </row>
    <row r="56115" ht="14.25" customHeight="1" s="192">
      <c r="W56115" s="235" t="n"/>
      <c r="X56115" s="235" t="n"/>
    </row>
    <row r="56116" ht="14.25" customHeight="1" s="192">
      <c r="W56116" s="239" t="n"/>
      <c r="X56116" s="239" t="n"/>
    </row>
    <row r="56117" ht="14.25" customHeight="1" s="192">
      <c r="W56117" s="239" t="n"/>
      <c r="X56117" s="239" t="n"/>
    </row>
    <row r="56118" ht="14.25" customHeight="1" s="192">
      <c r="W56118" s="239" t="n"/>
      <c r="X56118" s="239" t="n"/>
    </row>
    <row r="56119" ht="14.25" customHeight="1" s="192">
      <c r="W56119" s="235" t="n"/>
      <c r="X56119" s="235" t="n"/>
    </row>
    <row r="56120" ht="14.25" customHeight="1" s="192">
      <c r="W56120" s="235" t="n"/>
      <c r="X56120" s="235" t="n"/>
    </row>
    <row r="56121" ht="14.25" customHeight="1" s="192">
      <c r="W56121" s="235" t="n"/>
      <c r="X56121" s="235" t="n"/>
    </row>
    <row r="56122" ht="14.25" customHeight="1" s="192">
      <c r="W56122" s="239" t="n"/>
      <c r="X56122" s="239" t="n"/>
    </row>
    <row r="56123" ht="14.25" customHeight="1" s="192">
      <c r="W56123" s="239" t="n"/>
      <c r="X56123" s="239" t="n"/>
    </row>
    <row r="56124" ht="14.25" customHeight="1" s="192">
      <c r="W56124" s="235" t="n"/>
      <c r="X56124" s="235" t="n"/>
    </row>
    <row r="56125" ht="14.25" customHeight="1" s="192">
      <c r="W56125" s="235" t="n"/>
      <c r="X56125" s="235" t="n"/>
    </row>
    <row r="56126" ht="14.25" customHeight="1" s="192">
      <c r="W56126" s="239" t="n"/>
      <c r="X56126" s="239" t="n"/>
    </row>
    <row r="56127" ht="14.25" customHeight="1" s="192">
      <c r="W56127" s="235" t="n"/>
      <c r="X56127" s="235" t="n"/>
    </row>
    <row r="56128" ht="14.25" customHeight="1" s="192">
      <c r="W56128" s="239" t="n"/>
      <c r="X56128" s="239" t="n"/>
    </row>
    <row r="56130" ht="14.25" customHeight="1" s="192">
      <c r="W56130" s="235" t="n"/>
      <c r="X56130" s="235" t="n"/>
    </row>
    <row r="56131" ht="15" customHeight="1" s="192" thickBot="1">
      <c r="W56131" s="239" t="n"/>
      <c r="X56131" s="239" t="n"/>
    </row>
    <row r="56132" ht="15" customHeight="1" s="192" thickBot="1">
      <c r="W56132" s="45" t="n"/>
      <c r="X56132" s="45" t="n"/>
    </row>
    <row r="56133" ht="14.25" customHeight="1" s="192">
      <c r="W56133" s="228" t="n"/>
      <c r="X56133" s="228" t="n"/>
    </row>
    <row r="56134" ht="14.25" customHeight="1" s="192">
      <c r="W56134" s="228" t="n"/>
      <c r="X56134" s="228" t="n"/>
    </row>
    <row r="56135" ht="14.25" customHeight="1" s="192">
      <c r="W56135" s="231" t="n"/>
      <c r="X56135" s="231" t="n"/>
    </row>
    <row r="56136" ht="14.25" customHeight="1" s="192">
      <c r="W56136" s="33" t="n"/>
      <c r="X56136" s="33" t="n"/>
    </row>
    <row r="56137" ht="14.25" customHeight="1" s="192">
      <c r="W56137" s="231" t="n"/>
      <c r="X56137" s="231" t="n"/>
    </row>
    <row r="56138" ht="14.25" customHeight="1" s="192">
      <c r="W56138" s="33" t="n"/>
      <c r="X56138" s="33" t="n"/>
    </row>
    <row r="56140" ht="14.25" customHeight="1" s="192">
      <c r="W56140" s="231" t="n"/>
      <c r="X56140" s="231" t="n"/>
    </row>
    <row r="56141" ht="14.25" customHeight="1" s="192">
      <c r="W56141" s="235" t="n"/>
      <c r="X56141" s="235" t="n"/>
    </row>
    <row r="56142" ht="14.25" customHeight="1" s="192">
      <c r="W56142" s="228" t="n"/>
      <c r="X56142" s="228" t="n"/>
    </row>
    <row r="56143" ht="14.25" customHeight="1" s="192">
      <c r="W56143" s="235" t="n"/>
      <c r="X56143" s="235" t="n"/>
    </row>
    <row r="56144" ht="14.25" customHeight="1" s="192">
      <c r="W56144" s="235" t="n"/>
      <c r="X56144" s="235" t="n"/>
    </row>
    <row r="56145" ht="14.25" customHeight="1" s="192">
      <c r="W56145" s="235" t="n"/>
      <c r="X56145" s="235" t="n"/>
    </row>
    <row r="56146" ht="14.25" customHeight="1" s="192">
      <c r="W56146" s="239" t="n"/>
      <c r="X56146" s="239" t="n"/>
    </row>
    <row r="56147" ht="14.25" customHeight="1" s="192">
      <c r="W56147" s="239" t="n"/>
      <c r="X56147" s="239" t="n"/>
    </row>
    <row r="56148" ht="14.25" customHeight="1" s="192">
      <c r="W56148" s="239" t="n"/>
      <c r="X56148" s="239" t="n"/>
    </row>
    <row r="56149" ht="14.25" customHeight="1" s="192">
      <c r="W56149" s="235" t="n"/>
      <c r="X56149" s="235" t="n"/>
    </row>
    <row r="56150" ht="14.25" customHeight="1" s="192">
      <c r="W56150" s="235" t="n"/>
      <c r="X56150" s="235" t="n"/>
    </row>
    <row r="56151" ht="14.25" customHeight="1" s="192">
      <c r="W56151" s="235" t="n"/>
      <c r="X56151" s="235" t="n"/>
    </row>
    <row r="56152" ht="14.25" customHeight="1" s="192">
      <c r="W56152" s="239" t="n"/>
      <c r="X56152" s="239" t="n"/>
    </row>
    <row r="56153" ht="14.25" customHeight="1" s="192">
      <c r="W56153" s="239" t="n"/>
      <c r="X56153" s="239" t="n"/>
    </row>
    <row r="56154" ht="14.25" customHeight="1" s="192">
      <c r="W56154" s="235" t="n"/>
      <c r="X56154" s="235" t="n"/>
    </row>
    <row r="56155" ht="14.25" customHeight="1" s="192">
      <c r="W56155" s="235" t="n"/>
      <c r="X56155" s="235" t="n"/>
    </row>
    <row r="56156" ht="14.25" customHeight="1" s="192">
      <c r="W56156" s="239" t="n"/>
      <c r="X56156" s="239" t="n"/>
    </row>
    <row r="56157" ht="14.25" customHeight="1" s="192">
      <c r="W56157" s="235" t="n"/>
      <c r="X56157" s="235" t="n"/>
    </row>
    <row r="56158" ht="14.25" customHeight="1" s="192">
      <c r="W56158" s="239" t="n"/>
      <c r="X56158" s="239" t="n"/>
    </row>
    <row r="56160" ht="14.25" customHeight="1" s="192">
      <c r="W56160" s="235" t="n"/>
      <c r="X56160" s="235" t="n"/>
    </row>
    <row r="56161" ht="15" customHeight="1" s="192" thickBot="1">
      <c r="W56161" s="239" t="n"/>
      <c r="X56161" s="239" t="n"/>
    </row>
    <row r="56162" ht="15" customHeight="1" s="192" thickBot="1">
      <c r="W56162" s="45" t="n"/>
      <c r="X56162" s="45" t="n"/>
    </row>
    <row r="56163" ht="14.25" customHeight="1" s="192">
      <c r="W56163" s="228" t="n"/>
      <c r="X56163" s="228" t="n"/>
    </row>
    <row r="56164" ht="14.25" customHeight="1" s="192">
      <c r="W56164" s="228" t="n"/>
      <c r="X56164" s="228" t="n"/>
    </row>
    <row r="56165" ht="14.25" customHeight="1" s="192">
      <c r="W56165" s="231" t="n"/>
      <c r="X56165" s="231" t="n"/>
    </row>
    <row r="56166" ht="14.25" customHeight="1" s="192">
      <c r="W56166" s="33" t="n"/>
      <c r="X56166" s="33" t="n"/>
    </row>
    <row r="56167" ht="14.25" customHeight="1" s="192">
      <c r="W56167" s="231" t="n"/>
      <c r="X56167" s="231" t="n"/>
    </row>
    <row r="56168" ht="14.25" customHeight="1" s="192">
      <c r="W56168" s="33" t="n"/>
      <c r="X56168" s="33" t="n"/>
    </row>
    <row r="56170" ht="14.25" customHeight="1" s="192">
      <c r="W56170" s="231" t="n"/>
      <c r="X56170" s="231" t="n"/>
    </row>
    <row r="56171" ht="14.25" customHeight="1" s="192">
      <c r="W56171" s="235" t="n"/>
      <c r="X56171" s="235" t="n"/>
    </row>
    <row r="56172" ht="14.25" customHeight="1" s="192">
      <c r="W56172" s="228" t="n"/>
      <c r="X56172" s="228" t="n"/>
    </row>
    <row r="56173" ht="14.25" customHeight="1" s="192">
      <c r="W56173" s="235" t="n"/>
      <c r="X56173" s="235" t="n"/>
    </row>
    <row r="56174" ht="14.25" customHeight="1" s="192">
      <c r="W56174" s="235" t="n"/>
      <c r="X56174" s="235" t="n"/>
    </row>
    <row r="56175" ht="14.25" customHeight="1" s="192">
      <c r="W56175" s="235" t="n"/>
      <c r="X56175" s="235" t="n"/>
    </row>
    <row r="56176" ht="14.25" customHeight="1" s="192">
      <c r="W56176" s="239" t="n"/>
      <c r="X56176" s="239" t="n"/>
    </row>
    <row r="56177" ht="14.25" customHeight="1" s="192">
      <c r="W56177" s="239" t="n"/>
      <c r="X56177" s="239" t="n"/>
    </row>
    <row r="56178" ht="14.25" customHeight="1" s="192">
      <c r="W56178" s="239" t="n"/>
      <c r="X56178" s="239" t="n"/>
    </row>
    <row r="56179" ht="14.25" customHeight="1" s="192">
      <c r="W56179" s="235" t="n"/>
      <c r="X56179" s="235" t="n"/>
    </row>
    <row r="56180" ht="14.25" customHeight="1" s="192">
      <c r="W56180" s="235" t="n"/>
      <c r="X56180" s="235" t="n"/>
    </row>
    <row r="56181" ht="14.25" customHeight="1" s="192">
      <c r="W56181" s="235" t="n"/>
      <c r="X56181" s="235" t="n"/>
    </row>
    <row r="56182" ht="14.25" customHeight="1" s="192">
      <c r="W56182" s="239" t="n"/>
      <c r="X56182" s="239" t="n"/>
    </row>
    <row r="56183" ht="14.25" customHeight="1" s="192">
      <c r="W56183" s="239" t="n"/>
      <c r="X56183" s="239" t="n"/>
    </row>
    <row r="56184" ht="14.25" customHeight="1" s="192">
      <c r="W56184" s="235" t="n"/>
      <c r="X56184" s="235" t="n"/>
    </row>
    <row r="56185" ht="14.25" customHeight="1" s="192">
      <c r="W56185" s="235" t="n"/>
      <c r="X56185" s="235" t="n"/>
    </row>
    <row r="56186" ht="14.25" customHeight="1" s="192">
      <c r="W56186" s="239" t="n"/>
      <c r="X56186" s="239" t="n"/>
    </row>
    <row r="56187" ht="14.25" customHeight="1" s="192">
      <c r="W56187" s="235" t="n"/>
      <c r="X56187" s="235" t="n"/>
    </row>
    <row r="56188" ht="14.25" customHeight="1" s="192">
      <c r="W56188" s="239" t="n"/>
      <c r="X56188" s="239" t="n"/>
    </row>
    <row r="56190" ht="14.25" customHeight="1" s="192">
      <c r="W56190" s="235" t="n"/>
      <c r="X56190" s="235" t="n"/>
    </row>
    <row r="56191" ht="15" customHeight="1" s="192" thickBot="1">
      <c r="W56191" s="239" t="n"/>
      <c r="X56191" s="239" t="n"/>
    </row>
    <row r="56192" ht="15" customHeight="1" s="192" thickBot="1">
      <c r="W56192" s="45" t="n"/>
      <c r="X56192" s="45" t="n"/>
    </row>
    <row r="56193" ht="14.25" customHeight="1" s="192">
      <c r="W56193" s="228" t="n"/>
      <c r="X56193" s="228" t="n"/>
    </row>
    <row r="56194" ht="14.25" customHeight="1" s="192">
      <c r="W56194" s="228" t="n"/>
      <c r="X56194" s="228" t="n"/>
    </row>
    <row r="56195" ht="14.25" customHeight="1" s="192">
      <c r="W56195" s="231" t="n"/>
      <c r="X56195" s="231" t="n"/>
    </row>
    <row r="56196" ht="14.25" customHeight="1" s="192">
      <c r="W56196" s="33" t="n"/>
      <c r="X56196" s="33" t="n"/>
    </row>
    <row r="56197" ht="14.25" customHeight="1" s="192">
      <c r="W56197" s="231" t="n"/>
      <c r="X56197" s="231" t="n"/>
    </row>
    <row r="56198" ht="14.25" customHeight="1" s="192">
      <c r="W56198" s="33" t="n"/>
      <c r="X56198" s="33" t="n"/>
    </row>
    <row r="56200" ht="14.25" customHeight="1" s="192">
      <c r="W56200" s="231" t="n"/>
      <c r="X56200" s="231" t="n"/>
    </row>
    <row r="56201" ht="14.25" customHeight="1" s="192">
      <c r="W56201" s="235" t="n"/>
      <c r="X56201" s="235" t="n"/>
    </row>
    <row r="56202" ht="14.25" customHeight="1" s="192">
      <c r="W56202" s="228" t="n"/>
      <c r="X56202" s="228" t="n"/>
    </row>
    <row r="56203" ht="14.25" customHeight="1" s="192">
      <c r="W56203" s="235" t="n"/>
      <c r="X56203" s="235" t="n"/>
    </row>
    <row r="56204" ht="14.25" customHeight="1" s="192">
      <c r="W56204" s="235" t="n"/>
      <c r="X56204" s="235" t="n"/>
    </row>
    <row r="56205" ht="14.25" customHeight="1" s="192">
      <c r="W56205" s="235" t="n"/>
      <c r="X56205" s="235" t="n"/>
    </row>
    <row r="56206" ht="14.25" customHeight="1" s="192">
      <c r="W56206" s="239" t="n"/>
      <c r="X56206" s="239" t="n"/>
    </row>
    <row r="56207" ht="14.25" customHeight="1" s="192">
      <c r="W56207" s="239" t="n"/>
      <c r="X56207" s="239" t="n"/>
    </row>
    <row r="56208" ht="14.25" customHeight="1" s="192">
      <c r="W56208" s="239" t="n"/>
      <c r="X56208" s="239" t="n"/>
    </row>
    <row r="56209" ht="14.25" customHeight="1" s="192">
      <c r="W56209" s="235" t="n"/>
      <c r="X56209" s="235" t="n"/>
    </row>
    <row r="56210" ht="14.25" customHeight="1" s="192">
      <c r="W56210" s="235" t="n"/>
      <c r="X56210" s="235" t="n"/>
    </row>
    <row r="56211" ht="14.25" customHeight="1" s="192">
      <c r="W56211" s="235" t="n"/>
      <c r="X56211" s="235" t="n"/>
    </row>
    <row r="56212" ht="14.25" customHeight="1" s="192">
      <c r="W56212" s="239" t="n"/>
      <c r="X56212" s="239" t="n"/>
    </row>
    <row r="56213" ht="14.25" customHeight="1" s="192">
      <c r="W56213" s="239" t="n"/>
      <c r="X56213" s="239" t="n"/>
    </row>
    <row r="56214" ht="14.25" customHeight="1" s="192">
      <c r="W56214" s="235" t="n"/>
      <c r="X56214" s="235" t="n"/>
    </row>
    <row r="56215" ht="14.25" customHeight="1" s="192">
      <c r="W56215" s="235" t="n"/>
      <c r="X56215" s="235" t="n"/>
    </row>
    <row r="56216" ht="14.25" customHeight="1" s="192">
      <c r="W56216" s="239" t="n"/>
      <c r="X56216" s="239" t="n"/>
    </row>
    <row r="56217" ht="14.25" customHeight="1" s="192">
      <c r="W56217" s="235" t="n"/>
      <c r="X56217" s="235" t="n"/>
    </row>
    <row r="56218" ht="14.25" customHeight="1" s="192">
      <c r="W56218" s="239" t="n"/>
      <c r="X56218" s="239" t="n"/>
    </row>
    <row r="56220" ht="14.25" customHeight="1" s="192">
      <c r="W56220" s="235" t="n"/>
      <c r="X56220" s="235" t="n"/>
    </row>
    <row r="56221" ht="15" customHeight="1" s="192" thickBot="1">
      <c r="W56221" s="239" t="n"/>
      <c r="X56221" s="239" t="n"/>
    </row>
    <row r="56222" ht="15" customHeight="1" s="192" thickBot="1">
      <c r="W56222" s="45" t="n"/>
      <c r="X56222" s="45" t="n"/>
    </row>
    <row r="56223" ht="14.25" customHeight="1" s="192">
      <c r="W56223" s="228" t="n"/>
      <c r="X56223" s="228" t="n"/>
    </row>
    <row r="56224" ht="14.25" customHeight="1" s="192">
      <c r="W56224" s="228" t="n"/>
      <c r="X56224" s="228" t="n"/>
    </row>
    <row r="56225" ht="14.25" customHeight="1" s="192">
      <c r="W56225" s="231" t="n"/>
      <c r="X56225" s="231" t="n"/>
    </row>
    <row r="56226" ht="14.25" customHeight="1" s="192">
      <c r="W56226" s="33" t="n"/>
      <c r="X56226" s="33" t="n"/>
    </row>
    <row r="56227" ht="14.25" customHeight="1" s="192">
      <c r="W56227" s="231" t="n"/>
      <c r="X56227" s="231" t="n"/>
    </row>
    <row r="56228" ht="14.25" customHeight="1" s="192">
      <c r="W56228" s="33" t="n"/>
      <c r="X56228" s="33" t="n"/>
    </row>
    <row r="56230" ht="14.25" customHeight="1" s="192">
      <c r="W56230" s="231" t="n"/>
      <c r="X56230" s="231" t="n"/>
    </row>
    <row r="56231" ht="14.25" customHeight="1" s="192">
      <c r="W56231" s="235" t="n"/>
      <c r="X56231" s="235" t="n"/>
    </row>
    <row r="56232" ht="14.25" customHeight="1" s="192">
      <c r="W56232" s="228" t="n"/>
      <c r="X56232" s="228" t="n"/>
    </row>
    <row r="56233" ht="14.25" customHeight="1" s="192">
      <c r="W56233" s="235" t="n"/>
      <c r="X56233" s="235" t="n"/>
    </row>
    <row r="56234" ht="14.25" customHeight="1" s="192">
      <c r="W56234" s="235" t="n"/>
      <c r="X56234" s="235" t="n"/>
    </row>
    <row r="56235" ht="14.25" customHeight="1" s="192">
      <c r="W56235" s="235" t="n"/>
      <c r="X56235" s="235" t="n"/>
    </row>
    <row r="56236" ht="14.25" customHeight="1" s="192">
      <c r="W56236" s="239" t="n"/>
      <c r="X56236" s="239" t="n"/>
    </row>
    <row r="56237" ht="14.25" customHeight="1" s="192">
      <c r="W56237" s="239" t="n"/>
      <c r="X56237" s="239" t="n"/>
    </row>
    <row r="56238" ht="14.25" customHeight="1" s="192">
      <c r="W56238" s="239" t="n"/>
      <c r="X56238" s="239" t="n"/>
    </row>
    <row r="56239" ht="14.25" customHeight="1" s="192">
      <c r="W56239" s="235" t="n"/>
      <c r="X56239" s="235" t="n"/>
    </row>
    <row r="56240" ht="14.25" customHeight="1" s="192">
      <c r="W56240" s="235" t="n"/>
      <c r="X56240" s="235" t="n"/>
    </row>
    <row r="56241" ht="14.25" customHeight="1" s="192">
      <c r="W56241" s="235" t="n"/>
      <c r="X56241" s="235" t="n"/>
    </row>
    <row r="56242" ht="14.25" customHeight="1" s="192">
      <c r="W56242" s="239" t="n"/>
      <c r="X56242" s="239" t="n"/>
    </row>
    <row r="56243" ht="14.25" customHeight="1" s="192">
      <c r="W56243" s="239" t="n"/>
      <c r="X56243" s="239" t="n"/>
    </row>
    <row r="56244" ht="14.25" customHeight="1" s="192">
      <c r="W56244" s="235" t="n"/>
      <c r="X56244" s="235" t="n"/>
    </row>
    <row r="56245" ht="14.25" customHeight="1" s="192">
      <c r="W56245" s="235" t="n"/>
      <c r="X56245" s="235" t="n"/>
    </row>
    <row r="56246" ht="14.25" customHeight="1" s="192">
      <c r="W56246" s="239" t="n"/>
      <c r="X56246" s="239" t="n"/>
    </row>
    <row r="56247" ht="14.25" customHeight="1" s="192">
      <c r="W56247" s="235" t="n"/>
      <c r="X56247" s="235" t="n"/>
    </row>
    <row r="56248" ht="14.25" customHeight="1" s="192">
      <c r="W56248" s="239" t="n"/>
      <c r="X56248" s="239" t="n"/>
    </row>
    <row r="56250" ht="14.25" customHeight="1" s="192">
      <c r="W56250" s="235" t="n"/>
      <c r="X56250" s="235" t="n"/>
    </row>
    <row r="56251" ht="15" customHeight="1" s="192" thickBot="1">
      <c r="W56251" s="239" t="n"/>
      <c r="X56251" s="239" t="n"/>
    </row>
    <row r="56252" ht="15" customHeight="1" s="192" thickBot="1">
      <c r="W56252" s="45" t="n"/>
      <c r="X56252" s="45" t="n"/>
    </row>
    <row r="56253" ht="14.25" customHeight="1" s="192">
      <c r="W56253" s="228" t="n"/>
      <c r="X56253" s="228" t="n"/>
    </row>
    <row r="56254" ht="14.25" customHeight="1" s="192">
      <c r="W56254" s="228" t="n"/>
      <c r="X56254" s="228" t="n"/>
    </row>
    <row r="56255" ht="14.25" customHeight="1" s="192">
      <c r="W56255" s="231" t="n"/>
      <c r="X56255" s="231" t="n"/>
    </row>
    <row r="56256" ht="14.25" customHeight="1" s="192">
      <c r="W56256" s="33" t="n"/>
      <c r="X56256" s="33" t="n"/>
    </row>
    <row r="56257" ht="14.25" customHeight="1" s="192">
      <c r="W56257" s="231" t="n"/>
      <c r="X56257" s="231" t="n"/>
    </row>
    <row r="56258" ht="14.25" customHeight="1" s="192">
      <c r="W56258" s="33" t="n"/>
      <c r="X56258" s="33" t="n"/>
    </row>
    <row r="56260" ht="14.25" customHeight="1" s="192">
      <c r="W56260" s="231" t="n"/>
      <c r="X56260" s="231" t="n"/>
    </row>
    <row r="56261" ht="14.25" customHeight="1" s="192">
      <c r="W56261" s="235" t="n"/>
      <c r="X56261" s="235" t="n"/>
    </row>
    <row r="56262" ht="14.25" customHeight="1" s="192">
      <c r="W56262" s="228" t="n"/>
      <c r="X56262" s="228" t="n"/>
    </row>
    <row r="56263" ht="14.25" customHeight="1" s="192">
      <c r="W56263" s="235" t="n"/>
      <c r="X56263" s="235" t="n"/>
    </row>
    <row r="56264" ht="14.25" customHeight="1" s="192">
      <c r="W56264" s="235" t="n"/>
      <c r="X56264" s="235" t="n"/>
    </row>
    <row r="56265" ht="14.25" customHeight="1" s="192">
      <c r="W56265" s="235" t="n"/>
      <c r="X56265" s="235" t="n"/>
    </row>
    <row r="56266" ht="14.25" customHeight="1" s="192">
      <c r="W56266" s="239" t="n"/>
      <c r="X56266" s="239" t="n"/>
    </row>
    <row r="56267" ht="14.25" customHeight="1" s="192">
      <c r="W56267" s="239" t="n"/>
      <c r="X56267" s="239" t="n"/>
    </row>
    <row r="56268" ht="14.25" customHeight="1" s="192">
      <c r="W56268" s="239" t="n"/>
      <c r="X56268" s="239" t="n"/>
    </row>
    <row r="56269" ht="14.25" customHeight="1" s="192">
      <c r="W56269" s="235" t="n"/>
      <c r="X56269" s="235" t="n"/>
    </row>
    <row r="56270" ht="14.25" customHeight="1" s="192">
      <c r="W56270" s="235" t="n"/>
      <c r="X56270" s="235" t="n"/>
    </row>
    <row r="56271" ht="14.25" customHeight="1" s="192">
      <c r="W56271" s="235" t="n"/>
      <c r="X56271" s="235" t="n"/>
    </row>
    <row r="56272" ht="14.25" customHeight="1" s="192">
      <c r="W56272" s="239" t="n"/>
      <c r="X56272" s="239" t="n"/>
    </row>
    <row r="56273" ht="14.25" customHeight="1" s="192">
      <c r="W56273" s="239" t="n"/>
      <c r="X56273" s="239" t="n"/>
    </row>
    <row r="56274" ht="14.25" customHeight="1" s="192">
      <c r="W56274" s="235" t="n"/>
      <c r="X56274" s="235" t="n"/>
    </row>
    <row r="56275" ht="14.25" customHeight="1" s="192">
      <c r="W56275" s="235" t="n"/>
      <c r="X56275" s="235" t="n"/>
    </row>
    <row r="56276" ht="14.25" customHeight="1" s="192">
      <c r="W56276" s="239" t="n"/>
      <c r="X56276" s="239" t="n"/>
    </row>
    <row r="56277" ht="14.25" customHeight="1" s="192">
      <c r="W56277" s="235" t="n"/>
      <c r="X56277" s="235" t="n"/>
    </row>
    <row r="56278" ht="14.25" customHeight="1" s="192">
      <c r="W56278" s="239" t="n"/>
      <c r="X56278" s="239" t="n"/>
    </row>
    <row r="56280" ht="14.25" customHeight="1" s="192">
      <c r="W56280" s="235" t="n"/>
      <c r="X56280" s="235" t="n"/>
    </row>
    <row r="56281" ht="15" customHeight="1" s="192" thickBot="1">
      <c r="W56281" s="239" t="n"/>
      <c r="X56281" s="239" t="n"/>
    </row>
    <row r="56282" ht="15" customHeight="1" s="192" thickBot="1">
      <c r="W56282" s="45" t="n"/>
      <c r="X56282" s="45" t="n"/>
    </row>
    <row r="56283" ht="14.25" customHeight="1" s="192">
      <c r="W56283" s="228" t="n"/>
      <c r="X56283" s="228" t="n"/>
    </row>
    <row r="56284" ht="14.25" customHeight="1" s="192">
      <c r="W56284" s="228" t="n"/>
      <c r="X56284" s="228" t="n"/>
    </row>
    <row r="56285" ht="14.25" customHeight="1" s="192">
      <c r="W56285" s="231" t="n"/>
      <c r="X56285" s="231" t="n"/>
    </row>
    <row r="56286" ht="14.25" customHeight="1" s="192">
      <c r="W56286" s="33" t="n"/>
      <c r="X56286" s="33" t="n"/>
    </row>
    <row r="56287" ht="14.25" customHeight="1" s="192">
      <c r="W56287" s="231" t="n"/>
      <c r="X56287" s="231" t="n"/>
    </row>
    <row r="56288" ht="14.25" customHeight="1" s="192">
      <c r="W56288" s="33" t="n"/>
      <c r="X56288" s="33" t="n"/>
    </row>
    <row r="56290" ht="14.25" customHeight="1" s="192">
      <c r="W56290" s="231" t="n"/>
      <c r="X56290" s="231" t="n"/>
    </row>
    <row r="56291" ht="14.25" customHeight="1" s="192">
      <c r="W56291" s="235" t="n"/>
      <c r="X56291" s="235" t="n"/>
    </row>
    <row r="56292" ht="14.25" customHeight="1" s="192">
      <c r="W56292" s="228" t="n"/>
      <c r="X56292" s="228" t="n"/>
    </row>
    <row r="56293" ht="14.25" customHeight="1" s="192">
      <c r="W56293" s="235" t="n"/>
      <c r="X56293" s="235" t="n"/>
    </row>
    <row r="56294" ht="14.25" customHeight="1" s="192">
      <c r="W56294" s="235" t="n"/>
      <c r="X56294" s="235" t="n"/>
    </row>
    <row r="56295" ht="14.25" customHeight="1" s="192">
      <c r="W56295" s="235" t="n"/>
      <c r="X56295" s="235" t="n"/>
    </row>
    <row r="56296" ht="14.25" customHeight="1" s="192">
      <c r="W56296" s="239" t="n"/>
      <c r="X56296" s="239" t="n"/>
    </row>
    <row r="56297" ht="14.25" customHeight="1" s="192">
      <c r="W56297" s="239" t="n"/>
      <c r="X56297" s="239" t="n"/>
    </row>
    <row r="56298" ht="14.25" customHeight="1" s="192">
      <c r="W56298" s="239" t="n"/>
      <c r="X56298" s="239" t="n"/>
    </row>
    <row r="56299" ht="14.25" customHeight="1" s="192">
      <c r="W56299" s="235" t="n"/>
      <c r="X56299" s="235" t="n"/>
    </row>
    <row r="56300" ht="14.25" customHeight="1" s="192">
      <c r="W56300" s="235" t="n"/>
      <c r="X56300" s="235" t="n"/>
    </row>
    <row r="56301" ht="14.25" customHeight="1" s="192">
      <c r="W56301" s="235" t="n"/>
      <c r="X56301" s="235" t="n"/>
    </row>
    <row r="56302" ht="14.25" customHeight="1" s="192">
      <c r="W56302" s="239" t="n"/>
      <c r="X56302" s="239" t="n"/>
    </row>
    <row r="56303" ht="14.25" customHeight="1" s="192">
      <c r="W56303" s="239" t="n"/>
      <c r="X56303" s="239" t="n"/>
    </row>
    <row r="56304" ht="14.25" customHeight="1" s="192">
      <c r="W56304" s="235" t="n"/>
      <c r="X56304" s="235" t="n"/>
    </row>
    <row r="56305" ht="14.25" customHeight="1" s="192">
      <c r="W56305" s="235" t="n"/>
      <c r="X56305" s="235" t="n"/>
    </row>
    <row r="56306" ht="14.25" customHeight="1" s="192">
      <c r="W56306" s="239" t="n"/>
      <c r="X56306" s="239" t="n"/>
    </row>
    <row r="56307" ht="14.25" customHeight="1" s="192">
      <c r="W56307" s="235" t="n"/>
      <c r="X56307" s="235" t="n"/>
    </row>
    <row r="56308" ht="14.25" customHeight="1" s="192">
      <c r="W56308" s="239" t="n"/>
      <c r="X56308" s="239" t="n"/>
    </row>
    <row r="56310" ht="14.25" customHeight="1" s="192">
      <c r="W56310" s="235" t="n"/>
      <c r="X56310" s="235" t="n"/>
    </row>
    <row r="56311" ht="15" customHeight="1" s="192" thickBot="1">
      <c r="W56311" s="239" t="n"/>
      <c r="X56311" s="239" t="n"/>
    </row>
    <row r="56312" ht="15" customHeight="1" s="192" thickBot="1">
      <c r="W56312" s="45" t="n"/>
      <c r="X56312" s="45" t="n"/>
    </row>
    <row r="56313" ht="14.25" customHeight="1" s="192">
      <c r="W56313" s="228" t="n"/>
      <c r="X56313" s="228" t="n"/>
    </row>
    <row r="56314" ht="14.25" customHeight="1" s="192">
      <c r="W56314" s="228" t="n"/>
      <c r="X56314" s="228" t="n"/>
    </row>
    <row r="56315" ht="14.25" customHeight="1" s="192">
      <c r="W56315" s="231" t="n"/>
      <c r="X56315" s="231" t="n"/>
    </row>
    <row r="56316" ht="14.25" customHeight="1" s="192">
      <c r="W56316" s="33" t="n"/>
      <c r="X56316" s="33" t="n"/>
    </row>
    <row r="56317" ht="14.25" customHeight="1" s="192">
      <c r="W56317" s="231" t="n"/>
      <c r="X56317" s="231" t="n"/>
    </row>
    <row r="56318" ht="14.25" customHeight="1" s="192">
      <c r="W56318" s="33" t="n"/>
      <c r="X56318" s="33" t="n"/>
    </row>
    <row r="56320" ht="14.25" customHeight="1" s="192">
      <c r="W56320" s="231" t="n"/>
      <c r="X56320" s="231" t="n"/>
    </row>
    <row r="56321" ht="14.25" customHeight="1" s="192">
      <c r="W56321" s="235" t="n"/>
      <c r="X56321" s="235" t="n"/>
    </row>
    <row r="56322" ht="14.25" customHeight="1" s="192">
      <c r="W56322" s="228" t="n"/>
      <c r="X56322" s="228" t="n"/>
    </row>
    <row r="56323" ht="14.25" customHeight="1" s="192">
      <c r="W56323" s="235" t="n"/>
      <c r="X56323" s="235" t="n"/>
    </row>
    <row r="56324" ht="14.25" customHeight="1" s="192">
      <c r="W56324" s="235" t="n"/>
      <c r="X56324" s="235" t="n"/>
    </row>
    <row r="56325" ht="14.25" customHeight="1" s="192">
      <c r="W56325" s="235" t="n"/>
      <c r="X56325" s="235" t="n"/>
    </row>
    <row r="56326" ht="14.25" customHeight="1" s="192">
      <c r="W56326" s="239" t="n"/>
      <c r="X56326" s="239" t="n"/>
    </row>
    <row r="56327" ht="14.25" customHeight="1" s="192">
      <c r="W56327" s="239" t="n"/>
      <c r="X56327" s="239" t="n"/>
    </row>
    <row r="56328" ht="14.25" customHeight="1" s="192">
      <c r="W56328" s="239" t="n"/>
      <c r="X56328" s="239" t="n"/>
    </row>
    <row r="56329" ht="14.25" customHeight="1" s="192">
      <c r="W56329" s="235" t="n"/>
      <c r="X56329" s="235" t="n"/>
    </row>
    <row r="56330" ht="14.25" customHeight="1" s="192">
      <c r="W56330" s="235" t="n"/>
      <c r="X56330" s="235" t="n"/>
    </row>
    <row r="56331" ht="14.25" customHeight="1" s="192">
      <c r="W56331" s="235" t="n"/>
      <c r="X56331" s="235" t="n"/>
    </row>
    <row r="56332" ht="14.25" customHeight="1" s="192">
      <c r="W56332" s="239" t="n"/>
      <c r="X56332" s="239" t="n"/>
    </row>
    <row r="56333" ht="14.25" customHeight="1" s="192">
      <c r="W56333" s="239" t="n"/>
      <c r="X56333" s="239" t="n"/>
    </row>
    <row r="56334" ht="14.25" customHeight="1" s="192">
      <c r="W56334" s="235" t="n"/>
      <c r="X56334" s="235" t="n"/>
    </row>
    <row r="56335" ht="14.25" customHeight="1" s="192">
      <c r="W56335" s="235" t="n"/>
      <c r="X56335" s="235" t="n"/>
    </row>
    <row r="56336" ht="14.25" customHeight="1" s="192">
      <c r="W56336" s="239" t="n"/>
      <c r="X56336" s="239" t="n"/>
    </row>
    <row r="56337" ht="14.25" customHeight="1" s="192">
      <c r="W56337" s="235" t="n"/>
      <c r="X56337" s="235" t="n"/>
    </row>
    <row r="56338" ht="14.25" customHeight="1" s="192">
      <c r="W56338" s="239" t="n"/>
      <c r="X56338" s="239" t="n"/>
    </row>
    <row r="56340" ht="14.25" customHeight="1" s="192">
      <c r="W56340" s="235" t="n"/>
      <c r="X56340" s="235" t="n"/>
    </row>
    <row r="56341" ht="15" customHeight="1" s="192" thickBot="1">
      <c r="W56341" s="239" t="n"/>
      <c r="X56341" s="239" t="n"/>
    </row>
    <row r="56342" ht="15" customHeight="1" s="192" thickBot="1">
      <c r="W56342" s="45" t="n"/>
      <c r="X56342" s="45" t="n"/>
    </row>
    <row r="56343" ht="14.25" customHeight="1" s="192">
      <c r="W56343" s="228" t="n"/>
      <c r="X56343" s="228" t="n"/>
    </row>
    <row r="56344" ht="14.25" customHeight="1" s="192">
      <c r="W56344" s="228" t="n"/>
      <c r="X56344" s="228" t="n"/>
    </row>
    <row r="56345" ht="14.25" customHeight="1" s="192">
      <c r="W56345" s="231" t="n"/>
      <c r="X56345" s="231" t="n"/>
    </row>
    <row r="56346" ht="14.25" customHeight="1" s="192">
      <c r="W56346" s="33" t="n"/>
      <c r="X56346" s="33" t="n"/>
    </row>
    <row r="56347" ht="14.25" customHeight="1" s="192">
      <c r="W56347" s="231" t="n"/>
      <c r="X56347" s="231" t="n"/>
    </row>
    <row r="56348" ht="14.25" customHeight="1" s="192">
      <c r="W56348" s="33" t="n"/>
      <c r="X56348" s="33" t="n"/>
    </row>
    <row r="56350" ht="14.25" customHeight="1" s="192">
      <c r="W56350" s="231" t="n"/>
      <c r="X56350" s="231" t="n"/>
    </row>
    <row r="56351" ht="14.25" customHeight="1" s="192">
      <c r="W56351" s="235" t="n"/>
      <c r="X56351" s="235" t="n"/>
    </row>
    <row r="56352" ht="14.25" customHeight="1" s="192">
      <c r="W56352" s="228" t="n"/>
      <c r="X56352" s="228" t="n"/>
    </row>
    <row r="56353" ht="14.25" customHeight="1" s="192">
      <c r="W56353" s="235" t="n"/>
      <c r="X56353" s="235" t="n"/>
    </row>
    <row r="56354" ht="14.25" customHeight="1" s="192">
      <c r="W56354" s="235" t="n"/>
      <c r="X56354" s="235" t="n"/>
    </row>
    <row r="56355" ht="14.25" customHeight="1" s="192">
      <c r="W56355" s="235" t="n"/>
      <c r="X56355" s="235" t="n"/>
    </row>
    <row r="56356" ht="14.25" customHeight="1" s="192">
      <c r="W56356" s="239" t="n"/>
      <c r="X56356" s="239" t="n"/>
    </row>
    <row r="56357" ht="14.25" customHeight="1" s="192">
      <c r="W56357" s="239" t="n"/>
      <c r="X56357" s="239" t="n"/>
    </row>
    <row r="56358" ht="14.25" customHeight="1" s="192">
      <c r="W56358" s="239" t="n"/>
      <c r="X56358" s="239" t="n"/>
    </row>
    <row r="56359" ht="14.25" customHeight="1" s="192">
      <c r="W56359" s="235" t="n"/>
      <c r="X56359" s="235" t="n"/>
    </row>
    <row r="56360" ht="14.25" customHeight="1" s="192">
      <c r="W56360" s="235" t="n"/>
      <c r="X56360" s="235" t="n"/>
    </row>
    <row r="56361" ht="14.25" customHeight="1" s="192">
      <c r="W56361" s="235" t="n"/>
      <c r="X56361" s="235" t="n"/>
    </row>
    <row r="56362" ht="14.25" customHeight="1" s="192">
      <c r="W56362" s="239" t="n"/>
      <c r="X56362" s="239" t="n"/>
    </row>
    <row r="56363" ht="14.25" customHeight="1" s="192">
      <c r="W56363" s="239" t="n"/>
      <c r="X56363" s="239" t="n"/>
    </row>
    <row r="56364" ht="14.25" customHeight="1" s="192">
      <c r="W56364" s="235" t="n"/>
      <c r="X56364" s="235" t="n"/>
    </row>
    <row r="56365" ht="14.25" customHeight="1" s="192">
      <c r="W56365" s="235" t="n"/>
      <c r="X56365" s="235" t="n"/>
    </row>
    <row r="56366" ht="14.25" customHeight="1" s="192">
      <c r="W56366" s="239" t="n"/>
      <c r="X56366" s="239" t="n"/>
    </row>
    <row r="56367" ht="14.25" customHeight="1" s="192">
      <c r="W56367" s="235" t="n"/>
      <c r="X56367" s="235" t="n"/>
    </row>
    <row r="56368" ht="14.25" customHeight="1" s="192">
      <c r="W56368" s="239" t="n"/>
      <c r="X56368" s="239" t="n"/>
    </row>
    <row r="56370" ht="14.25" customHeight="1" s="192">
      <c r="W56370" s="235" t="n"/>
      <c r="X56370" s="235" t="n"/>
    </row>
    <row r="56371" ht="15" customHeight="1" s="192" thickBot="1">
      <c r="W56371" s="239" t="n"/>
      <c r="X56371" s="239" t="n"/>
    </row>
    <row r="56372" ht="15" customHeight="1" s="192" thickBot="1">
      <c r="W56372" s="45" t="n"/>
      <c r="X56372" s="45" t="n"/>
    </row>
    <row r="56373" ht="14.25" customHeight="1" s="192">
      <c r="W56373" s="228" t="n"/>
      <c r="X56373" s="228" t="n"/>
    </row>
    <row r="56374" ht="14.25" customHeight="1" s="192">
      <c r="W56374" s="228" t="n"/>
      <c r="X56374" s="228" t="n"/>
    </row>
    <row r="56375" ht="14.25" customHeight="1" s="192">
      <c r="W56375" s="231" t="n"/>
      <c r="X56375" s="231" t="n"/>
    </row>
    <row r="56376" ht="14.25" customHeight="1" s="192">
      <c r="W56376" s="33" t="n"/>
      <c r="X56376" s="33" t="n"/>
    </row>
    <row r="56377" ht="14.25" customHeight="1" s="192">
      <c r="W56377" s="231" t="n"/>
      <c r="X56377" s="231" t="n"/>
    </row>
    <row r="56378" ht="14.25" customHeight="1" s="192">
      <c r="W56378" s="33" t="n"/>
      <c r="X56378" s="33" t="n"/>
    </row>
    <row r="56380" ht="14.25" customHeight="1" s="192">
      <c r="W56380" s="231" t="n"/>
      <c r="X56380" s="231" t="n"/>
    </row>
    <row r="56381" ht="14.25" customHeight="1" s="192">
      <c r="W56381" s="235" t="n"/>
      <c r="X56381" s="235" t="n"/>
    </row>
    <row r="56382" ht="14.25" customHeight="1" s="192">
      <c r="W56382" s="228" t="n"/>
      <c r="X56382" s="228" t="n"/>
    </row>
    <row r="56383" ht="14.25" customHeight="1" s="192">
      <c r="W56383" s="235" t="n"/>
      <c r="X56383" s="235" t="n"/>
    </row>
    <row r="56384" ht="14.25" customHeight="1" s="192">
      <c r="W56384" s="235" t="n"/>
      <c r="X56384" s="235" t="n"/>
    </row>
    <row r="56385" ht="14.25" customHeight="1" s="192">
      <c r="W56385" s="235" t="n"/>
      <c r="X56385" s="235" t="n"/>
    </row>
    <row r="56386" ht="14.25" customHeight="1" s="192">
      <c r="W56386" s="239" t="n"/>
      <c r="X56386" s="239" t="n"/>
    </row>
    <row r="56387" ht="14.25" customHeight="1" s="192">
      <c r="W56387" s="239" t="n"/>
      <c r="X56387" s="239" t="n"/>
    </row>
    <row r="56388" ht="14.25" customHeight="1" s="192">
      <c r="W56388" s="239" t="n"/>
      <c r="X56388" s="239" t="n"/>
    </row>
    <row r="56389" ht="14.25" customHeight="1" s="192">
      <c r="W56389" s="235" t="n"/>
      <c r="X56389" s="235" t="n"/>
    </row>
    <row r="56390" ht="14.25" customHeight="1" s="192">
      <c r="W56390" s="235" t="n"/>
      <c r="X56390" s="235" t="n"/>
    </row>
    <row r="56391" ht="14.25" customHeight="1" s="192">
      <c r="W56391" s="235" t="n"/>
      <c r="X56391" s="235" t="n"/>
    </row>
    <row r="56392" ht="14.25" customHeight="1" s="192">
      <c r="W56392" s="239" t="n"/>
      <c r="X56392" s="239" t="n"/>
    </row>
    <row r="56393" ht="14.25" customHeight="1" s="192">
      <c r="W56393" s="239" t="n"/>
      <c r="X56393" s="239" t="n"/>
    </row>
    <row r="56394" ht="14.25" customHeight="1" s="192">
      <c r="W56394" s="235" t="n"/>
      <c r="X56394" s="235" t="n"/>
    </row>
    <row r="56395" ht="14.25" customHeight="1" s="192">
      <c r="W56395" s="235" t="n"/>
      <c r="X56395" s="235" t="n"/>
    </row>
    <row r="56396" ht="14.25" customHeight="1" s="192">
      <c r="W56396" s="239" t="n"/>
      <c r="X56396" s="239" t="n"/>
    </row>
    <row r="56397" ht="14.25" customHeight="1" s="192">
      <c r="W56397" s="235" t="n"/>
      <c r="X56397" s="235" t="n"/>
    </row>
    <row r="56398" ht="14.25" customHeight="1" s="192">
      <c r="W56398" s="239" t="n"/>
      <c r="X56398" s="239" t="n"/>
    </row>
    <row r="56400" ht="14.25" customHeight="1" s="192">
      <c r="W56400" s="235" t="n"/>
      <c r="X56400" s="235" t="n"/>
    </row>
    <row r="56401" ht="15" customHeight="1" s="192" thickBot="1">
      <c r="W56401" s="239" t="n"/>
      <c r="X56401" s="239" t="n"/>
    </row>
    <row r="56402" ht="15" customHeight="1" s="192" thickBot="1">
      <c r="W56402" s="45" t="n"/>
      <c r="X56402" s="45" t="n"/>
    </row>
    <row r="56403" ht="14.25" customHeight="1" s="192">
      <c r="W56403" s="228" t="n"/>
      <c r="X56403" s="228" t="n"/>
    </row>
    <row r="56404" ht="14.25" customHeight="1" s="192">
      <c r="W56404" s="228" t="n"/>
      <c r="X56404" s="228" t="n"/>
    </row>
    <row r="56405" ht="14.25" customHeight="1" s="192">
      <c r="W56405" s="231" t="n"/>
      <c r="X56405" s="231" t="n"/>
    </row>
    <row r="56406" ht="14.25" customHeight="1" s="192">
      <c r="W56406" s="33" t="n"/>
      <c r="X56406" s="33" t="n"/>
    </row>
    <row r="56407" ht="14.25" customHeight="1" s="192">
      <c r="W56407" s="231" t="n"/>
      <c r="X56407" s="231" t="n"/>
    </row>
    <row r="56408" ht="14.25" customHeight="1" s="192">
      <c r="W56408" s="33" t="n"/>
      <c r="X56408" s="33" t="n"/>
    </row>
    <row r="56410" ht="14.25" customHeight="1" s="192">
      <c r="W56410" s="231" t="n"/>
      <c r="X56410" s="231" t="n"/>
    </row>
    <row r="56411" ht="14.25" customHeight="1" s="192">
      <c r="W56411" s="235" t="n"/>
      <c r="X56411" s="235" t="n"/>
    </row>
    <row r="56412" ht="14.25" customHeight="1" s="192">
      <c r="W56412" s="228" t="n"/>
      <c r="X56412" s="228" t="n"/>
    </row>
    <row r="56413" ht="14.25" customHeight="1" s="192">
      <c r="W56413" s="235" t="n"/>
      <c r="X56413" s="235" t="n"/>
    </row>
    <row r="56414" ht="14.25" customHeight="1" s="192">
      <c r="W56414" s="235" t="n"/>
      <c r="X56414" s="235" t="n"/>
    </row>
    <row r="56415" ht="14.25" customHeight="1" s="192">
      <c r="W56415" s="235" t="n"/>
      <c r="X56415" s="235" t="n"/>
    </row>
    <row r="56416" ht="14.25" customHeight="1" s="192">
      <c r="W56416" s="239" t="n"/>
      <c r="X56416" s="239" t="n"/>
    </row>
    <row r="56417" ht="14.25" customHeight="1" s="192">
      <c r="W56417" s="239" t="n"/>
      <c r="X56417" s="239" t="n"/>
    </row>
    <row r="56418" ht="14.25" customHeight="1" s="192">
      <c r="W56418" s="239" t="n"/>
      <c r="X56418" s="239" t="n"/>
    </row>
    <row r="56419" ht="14.25" customHeight="1" s="192">
      <c r="W56419" s="235" t="n"/>
      <c r="X56419" s="235" t="n"/>
    </row>
    <row r="56420" ht="14.25" customHeight="1" s="192">
      <c r="W56420" s="235" t="n"/>
      <c r="X56420" s="235" t="n"/>
    </row>
    <row r="56421" ht="14.25" customHeight="1" s="192">
      <c r="W56421" s="235" t="n"/>
      <c r="X56421" s="235" t="n"/>
    </row>
    <row r="56422" ht="14.25" customHeight="1" s="192">
      <c r="W56422" s="239" t="n"/>
      <c r="X56422" s="239" t="n"/>
    </row>
    <row r="56423" ht="14.25" customHeight="1" s="192">
      <c r="W56423" s="239" t="n"/>
      <c r="X56423" s="239" t="n"/>
    </row>
    <row r="56424" ht="14.25" customHeight="1" s="192">
      <c r="W56424" s="235" t="n"/>
      <c r="X56424" s="235" t="n"/>
    </row>
    <row r="56425" ht="14.25" customHeight="1" s="192">
      <c r="W56425" s="235" t="n"/>
      <c r="X56425" s="235" t="n"/>
    </row>
    <row r="56426" ht="14.25" customHeight="1" s="192">
      <c r="W56426" s="239" t="n"/>
      <c r="X56426" s="239" t="n"/>
    </row>
    <row r="56427" ht="14.25" customHeight="1" s="192">
      <c r="W56427" s="235" t="n"/>
      <c r="X56427" s="235" t="n"/>
    </row>
    <row r="56428" ht="14.25" customHeight="1" s="192">
      <c r="W56428" s="239" t="n"/>
      <c r="X56428" s="239" t="n"/>
    </row>
    <row r="56430" ht="14.25" customHeight="1" s="192">
      <c r="W56430" s="235" t="n"/>
      <c r="X56430" s="235" t="n"/>
    </row>
    <row r="56431" ht="15" customHeight="1" s="192" thickBot="1">
      <c r="W56431" s="239" t="n"/>
      <c r="X56431" s="239" t="n"/>
    </row>
    <row r="56432" ht="15" customHeight="1" s="192" thickBot="1">
      <c r="W56432" s="45" t="n"/>
      <c r="X56432" s="45" t="n"/>
    </row>
    <row r="56433" ht="14.25" customHeight="1" s="192">
      <c r="W56433" s="228" t="n"/>
      <c r="X56433" s="228" t="n"/>
    </row>
    <row r="56434" ht="14.25" customHeight="1" s="192">
      <c r="W56434" s="228" t="n"/>
      <c r="X56434" s="228" t="n"/>
    </row>
    <row r="56435" ht="14.25" customHeight="1" s="192">
      <c r="W56435" s="231" t="n"/>
      <c r="X56435" s="231" t="n"/>
    </row>
    <row r="56436" ht="14.25" customHeight="1" s="192">
      <c r="W56436" s="33" t="n"/>
      <c r="X56436" s="33" t="n"/>
    </row>
    <row r="56437" ht="14.25" customHeight="1" s="192">
      <c r="W56437" s="231" t="n"/>
      <c r="X56437" s="231" t="n"/>
    </row>
    <row r="56438" ht="14.25" customHeight="1" s="192">
      <c r="W56438" s="33" t="n"/>
      <c r="X56438" s="33" t="n"/>
    </row>
    <row r="56440" ht="14.25" customHeight="1" s="192">
      <c r="W56440" s="231" t="n"/>
      <c r="X56440" s="231" t="n"/>
    </row>
    <row r="56441" ht="14.25" customHeight="1" s="192">
      <c r="W56441" s="235" t="n"/>
      <c r="X56441" s="235" t="n"/>
    </row>
    <row r="56442" ht="14.25" customHeight="1" s="192">
      <c r="W56442" s="228" t="n"/>
      <c r="X56442" s="228" t="n"/>
    </row>
    <row r="56443" ht="14.25" customHeight="1" s="192">
      <c r="W56443" s="235" t="n"/>
      <c r="X56443" s="235" t="n"/>
    </row>
    <row r="56444" ht="14.25" customHeight="1" s="192">
      <c r="W56444" s="235" t="n"/>
      <c r="X56444" s="235" t="n"/>
    </row>
    <row r="56445" ht="14.25" customHeight="1" s="192">
      <c r="W56445" s="235" t="n"/>
      <c r="X56445" s="235" t="n"/>
    </row>
    <row r="56446" ht="14.25" customHeight="1" s="192">
      <c r="W56446" s="239" t="n"/>
      <c r="X56446" s="239" t="n"/>
    </row>
    <row r="56447" ht="14.25" customHeight="1" s="192">
      <c r="W56447" s="239" t="n"/>
      <c r="X56447" s="239" t="n"/>
    </row>
    <row r="56448" ht="14.25" customHeight="1" s="192">
      <c r="W56448" s="239" t="n"/>
      <c r="X56448" s="239" t="n"/>
    </row>
    <row r="56449" ht="14.25" customHeight="1" s="192">
      <c r="W56449" s="235" t="n"/>
      <c r="X56449" s="235" t="n"/>
    </row>
    <row r="56450" ht="14.25" customHeight="1" s="192">
      <c r="W56450" s="235" t="n"/>
      <c r="X56450" s="235" t="n"/>
    </row>
    <row r="56451" ht="14.25" customHeight="1" s="192">
      <c r="W56451" s="235" t="n"/>
      <c r="X56451" s="235" t="n"/>
    </row>
    <row r="56452" ht="14.25" customHeight="1" s="192">
      <c r="W56452" s="239" t="n"/>
      <c r="X56452" s="239" t="n"/>
    </row>
    <row r="56453" ht="14.25" customHeight="1" s="192">
      <c r="W56453" s="239" t="n"/>
      <c r="X56453" s="239" t="n"/>
    </row>
    <row r="56454" ht="14.25" customHeight="1" s="192">
      <c r="W56454" s="235" t="n"/>
      <c r="X56454" s="235" t="n"/>
    </row>
    <row r="56455" ht="14.25" customHeight="1" s="192">
      <c r="W56455" s="235" t="n"/>
      <c r="X56455" s="235" t="n"/>
    </row>
    <row r="56456" ht="14.25" customHeight="1" s="192">
      <c r="W56456" s="239" t="n"/>
      <c r="X56456" s="239" t="n"/>
    </row>
    <row r="56457" ht="14.25" customHeight="1" s="192">
      <c r="W56457" s="235" t="n"/>
      <c r="X56457" s="235" t="n"/>
    </row>
    <row r="56458" ht="14.25" customHeight="1" s="192">
      <c r="W56458" s="239" t="n"/>
      <c r="X56458" s="239" t="n"/>
    </row>
    <row r="56460" ht="14.25" customHeight="1" s="192">
      <c r="W56460" s="235" t="n"/>
      <c r="X56460" s="235" t="n"/>
    </row>
    <row r="56461" ht="15" customHeight="1" s="192" thickBot="1">
      <c r="W56461" s="239" t="n"/>
      <c r="X56461" s="239" t="n"/>
    </row>
    <row r="56462" ht="15" customHeight="1" s="192" thickBot="1">
      <c r="W56462" s="45" t="n"/>
      <c r="X56462" s="45" t="n"/>
    </row>
    <row r="56463" ht="14.25" customHeight="1" s="192">
      <c r="W56463" s="228" t="n"/>
      <c r="X56463" s="228" t="n"/>
    </row>
    <row r="56464" ht="14.25" customHeight="1" s="192">
      <c r="W56464" s="228" t="n"/>
      <c r="X56464" s="228" t="n"/>
    </row>
    <row r="56465" ht="14.25" customHeight="1" s="192">
      <c r="W56465" s="231" t="n"/>
      <c r="X56465" s="231" t="n"/>
    </row>
    <row r="56466" ht="14.25" customHeight="1" s="192">
      <c r="W56466" s="33" t="n"/>
      <c r="X56466" s="33" t="n"/>
    </row>
    <row r="56467" ht="14.25" customHeight="1" s="192">
      <c r="W56467" s="231" t="n"/>
      <c r="X56467" s="231" t="n"/>
    </row>
    <row r="56468" ht="14.25" customHeight="1" s="192">
      <c r="W56468" s="33" t="n"/>
      <c r="X56468" s="33" t="n"/>
    </row>
    <row r="56470" ht="14.25" customHeight="1" s="192">
      <c r="W56470" s="231" t="n"/>
      <c r="X56470" s="231" t="n"/>
    </row>
    <row r="56471" ht="14.25" customHeight="1" s="192">
      <c r="W56471" s="235" t="n"/>
      <c r="X56471" s="235" t="n"/>
    </row>
    <row r="56472" ht="14.25" customHeight="1" s="192">
      <c r="W56472" s="228" t="n"/>
      <c r="X56472" s="228" t="n"/>
    </row>
    <row r="56473" ht="14.25" customHeight="1" s="192">
      <c r="W56473" s="235" t="n"/>
      <c r="X56473" s="235" t="n"/>
    </row>
    <row r="56474" ht="14.25" customHeight="1" s="192">
      <c r="W56474" s="235" t="n"/>
      <c r="X56474" s="235" t="n"/>
    </row>
    <row r="56475" ht="14.25" customHeight="1" s="192">
      <c r="W56475" s="235" t="n"/>
      <c r="X56475" s="235" t="n"/>
    </row>
    <row r="56476" ht="14.25" customHeight="1" s="192">
      <c r="W56476" s="239" t="n"/>
      <c r="X56476" s="239" t="n"/>
    </row>
    <row r="56477" ht="14.25" customHeight="1" s="192">
      <c r="W56477" s="239" t="n"/>
      <c r="X56477" s="239" t="n"/>
    </row>
    <row r="56478" ht="14.25" customHeight="1" s="192">
      <c r="W56478" s="239" t="n"/>
      <c r="X56478" s="239" t="n"/>
    </row>
    <row r="56479" ht="14.25" customHeight="1" s="192">
      <c r="W56479" s="235" t="n"/>
      <c r="X56479" s="235" t="n"/>
    </row>
    <row r="56480" ht="14.25" customHeight="1" s="192">
      <c r="W56480" s="235" t="n"/>
      <c r="X56480" s="235" t="n"/>
    </row>
    <row r="56481" ht="14.25" customHeight="1" s="192">
      <c r="W56481" s="235" t="n"/>
      <c r="X56481" s="235" t="n"/>
    </row>
    <row r="56482" ht="14.25" customHeight="1" s="192">
      <c r="W56482" s="239" t="n"/>
      <c r="X56482" s="239" t="n"/>
    </row>
    <row r="56483" ht="14.25" customHeight="1" s="192">
      <c r="W56483" s="239" t="n"/>
      <c r="X56483" s="239" t="n"/>
    </row>
    <row r="56484" ht="14.25" customHeight="1" s="192">
      <c r="W56484" s="235" t="n"/>
      <c r="X56484" s="235" t="n"/>
    </row>
    <row r="56485" ht="14.25" customHeight="1" s="192">
      <c r="W56485" s="235" t="n"/>
      <c r="X56485" s="235" t="n"/>
    </row>
    <row r="56486" ht="14.25" customHeight="1" s="192">
      <c r="W56486" s="239" t="n"/>
      <c r="X56486" s="239" t="n"/>
    </row>
    <row r="56487" ht="14.25" customHeight="1" s="192">
      <c r="W56487" s="235" t="n"/>
      <c r="X56487" s="235" t="n"/>
    </row>
    <row r="56488" ht="14.25" customHeight="1" s="192">
      <c r="W56488" s="239" t="n"/>
      <c r="X56488" s="239" t="n"/>
    </row>
    <row r="56490" ht="14.25" customHeight="1" s="192">
      <c r="W56490" s="235" t="n"/>
      <c r="X56490" s="235" t="n"/>
    </row>
    <row r="56491" ht="15" customHeight="1" s="192" thickBot="1">
      <c r="W56491" s="239" t="n"/>
      <c r="X56491" s="239" t="n"/>
    </row>
    <row r="56492" ht="15" customHeight="1" s="192" thickBot="1">
      <c r="W56492" s="45" t="n"/>
      <c r="X56492" s="45" t="n"/>
    </row>
    <row r="56493" ht="14.25" customHeight="1" s="192">
      <c r="W56493" s="228" t="n"/>
      <c r="X56493" s="228" t="n"/>
    </row>
    <row r="56494" ht="14.25" customHeight="1" s="192">
      <c r="W56494" s="228" t="n"/>
      <c r="X56494" s="228" t="n"/>
    </row>
    <row r="56495" ht="14.25" customHeight="1" s="192">
      <c r="W56495" s="231" t="n"/>
      <c r="X56495" s="231" t="n"/>
    </row>
    <row r="56496" ht="14.25" customHeight="1" s="192">
      <c r="W56496" s="33" t="n"/>
      <c r="X56496" s="33" t="n"/>
    </row>
    <row r="56497" ht="14.25" customHeight="1" s="192">
      <c r="W56497" s="231" t="n"/>
      <c r="X56497" s="231" t="n"/>
    </row>
    <row r="56498" ht="14.25" customHeight="1" s="192">
      <c r="W56498" s="33" t="n"/>
      <c r="X56498" s="33" t="n"/>
    </row>
    <row r="56500" ht="14.25" customHeight="1" s="192">
      <c r="W56500" s="231" t="n"/>
      <c r="X56500" s="231" t="n"/>
    </row>
    <row r="56501" ht="14.25" customHeight="1" s="192">
      <c r="W56501" s="235" t="n"/>
      <c r="X56501" s="235" t="n"/>
    </row>
    <row r="56502" ht="14.25" customHeight="1" s="192">
      <c r="W56502" s="228" t="n"/>
      <c r="X56502" s="228" t="n"/>
    </row>
    <row r="56503" ht="14.25" customHeight="1" s="192">
      <c r="W56503" s="235" t="n"/>
      <c r="X56503" s="235" t="n"/>
    </row>
    <row r="56504" ht="14.25" customHeight="1" s="192">
      <c r="W56504" s="235" t="n"/>
      <c r="X56504" s="235" t="n"/>
    </row>
    <row r="56505" ht="14.25" customHeight="1" s="192">
      <c r="W56505" s="235" t="n"/>
      <c r="X56505" s="235" t="n"/>
    </row>
    <row r="56506" ht="14.25" customHeight="1" s="192">
      <c r="W56506" s="239" t="n"/>
      <c r="X56506" s="239" t="n"/>
    </row>
    <row r="56507" ht="14.25" customHeight="1" s="192">
      <c r="W56507" s="239" t="n"/>
      <c r="X56507" s="239" t="n"/>
    </row>
    <row r="56508" ht="14.25" customHeight="1" s="192">
      <c r="W56508" s="239" t="n"/>
      <c r="X56508" s="239" t="n"/>
    </row>
    <row r="56509" ht="14.25" customHeight="1" s="192">
      <c r="W56509" s="235" t="n"/>
      <c r="X56509" s="235" t="n"/>
    </row>
    <row r="56510" ht="14.25" customHeight="1" s="192">
      <c r="W56510" s="235" t="n"/>
      <c r="X56510" s="235" t="n"/>
    </row>
    <row r="56511" ht="14.25" customHeight="1" s="192">
      <c r="W56511" s="235" t="n"/>
      <c r="X56511" s="235" t="n"/>
    </row>
    <row r="56512" ht="14.25" customHeight="1" s="192">
      <c r="W56512" s="239" t="n"/>
      <c r="X56512" s="239" t="n"/>
    </row>
    <row r="56513" ht="14.25" customHeight="1" s="192">
      <c r="W56513" s="239" t="n"/>
      <c r="X56513" s="239" t="n"/>
    </row>
    <row r="56514" ht="14.25" customHeight="1" s="192">
      <c r="W56514" s="235" t="n"/>
      <c r="X56514" s="235" t="n"/>
    </row>
    <row r="56515" ht="14.25" customHeight="1" s="192">
      <c r="W56515" s="235" t="n"/>
      <c r="X56515" s="235" t="n"/>
    </row>
    <row r="56516" ht="14.25" customHeight="1" s="192">
      <c r="W56516" s="239" t="n"/>
      <c r="X56516" s="239" t="n"/>
    </row>
    <row r="56517" ht="14.25" customHeight="1" s="192">
      <c r="W56517" s="235" t="n"/>
      <c r="X56517" s="235" t="n"/>
    </row>
    <row r="56518" ht="14.25" customHeight="1" s="192">
      <c r="W56518" s="239" t="n"/>
      <c r="X56518" s="239" t="n"/>
    </row>
    <row r="56520" ht="14.25" customHeight="1" s="192">
      <c r="W56520" s="235" t="n"/>
      <c r="X56520" s="235" t="n"/>
    </row>
    <row r="56521" ht="15" customHeight="1" s="192" thickBot="1">
      <c r="W56521" s="239" t="n"/>
      <c r="X56521" s="239" t="n"/>
    </row>
    <row r="56522" ht="15" customHeight="1" s="192" thickBot="1">
      <c r="W56522" s="45" t="n"/>
      <c r="X56522" s="45" t="n"/>
    </row>
    <row r="56523" ht="14.25" customHeight="1" s="192">
      <c r="W56523" s="228" t="n"/>
      <c r="X56523" s="228" t="n"/>
    </row>
    <row r="56524" ht="14.25" customHeight="1" s="192">
      <c r="W56524" s="228" t="n"/>
      <c r="X56524" s="228" t="n"/>
    </row>
    <row r="56525" ht="14.25" customHeight="1" s="192">
      <c r="W56525" s="231" t="n"/>
      <c r="X56525" s="231" t="n"/>
    </row>
    <row r="56526" ht="14.25" customHeight="1" s="192">
      <c r="W56526" s="33" t="n"/>
      <c r="X56526" s="33" t="n"/>
    </row>
    <row r="56527" ht="14.25" customHeight="1" s="192">
      <c r="W56527" s="231" t="n"/>
      <c r="X56527" s="231" t="n"/>
    </row>
    <row r="56528" ht="14.25" customHeight="1" s="192">
      <c r="W56528" s="33" t="n"/>
      <c r="X56528" s="33" t="n"/>
    </row>
    <row r="56530" ht="14.25" customHeight="1" s="192">
      <c r="W56530" s="231" t="n"/>
      <c r="X56530" s="231" t="n"/>
    </row>
    <row r="56531" ht="14.25" customHeight="1" s="192">
      <c r="W56531" s="235" t="n"/>
      <c r="X56531" s="235" t="n"/>
    </row>
    <row r="56532" ht="14.25" customHeight="1" s="192">
      <c r="W56532" s="228" t="n"/>
      <c r="X56532" s="228" t="n"/>
    </row>
    <row r="56533" ht="14.25" customHeight="1" s="192">
      <c r="W56533" s="235" t="n"/>
      <c r="X56533" s="235" t="n"/>
    </row>
    <row r="56534" ht="14.25" customHeight="1" s="192">
      <c r="W56534" s="235" t="n"/>
      <c r="X56534" s="235" t="n"/>
    </row>
    <row r="56535" ht="14.25" customHeight="1" s="192">
      <c r="W56535" s="235" t="n"/>
      <c r="X56535" s="235" t="n"/>
    </row>
    <row r="56536" ht="14.25" customHeight="1" s="192">
      <c r="W56536" s="239" t="n"/>
      <c r="X56536" s="239" t="n"/>
    </row>
    <row r="56537" ht="14.25" customHeight="1" s="192">
      <c r="W56537" s="239" t="n"/>
      <c r="X56537" s="239" t="n"/>
    </row>
    <row r="56538" ht="14.25" customHeight="1" s="192">
      <c r="W56538" s="239" t="n"/>
      <c r="X56538" s="239" t="n"/>
    </row>
    <row r="56539" ht="14.25" customHeight="1" s="192">
      <c r="W56539" s="235" t="n"/>
      <c r="X56539" s="235" t="n"/>
    </row>
    <row r="56540" ht="14.25" customHeight="1" s="192">
      <c r="W56540" s="235" t="n"/>
      <c r="X56540" s="235" t="n"/>
    </row>
    <row r="56541" ht="14.25" customHeight="1" s="192">
      <c r="W56541" s="235" t="n"/>
      <c r="X56541" s="235" t="n"/>
    </row>
    <row r="56542" ht="14.25" customHeight="1" s="192">
      <c r="W56542" s="239" t="n"/>
      <c r="X56542" s="239" t="n"/>
    </row>
    <row r="56543" ht="14.25" customHeight="1" s="192">
      <c r="W56543" s="239" t="n"/>
      <c r="X56543" s="239" t="n"/>
    </row>
    <row r="56544" ht="14.25" customHeight="1" s="192">
      <c r="W56544" s="235" t="n"/>
      <c r="X56544" s="235" t="n"/>
    </row>
    <row r="56545" ht="14.25" customHeight="1" s="192">
      <c r="W56545" s="235" t="n"/>
      <c r="X56545" s="235" t="n"/>
    </row>
    <row r="56546" ht="14.25" customHeight="1" s="192">
      <c r="W56546" s="239" t="n"/>
      <c r="X56546" s="239" t="n"/>
    </row>
    <row r="56547" ht="14.25" customHeight="1" s="192">
      <c r="W56547" s="235" t="n"/>
      <c r="X56547" s="235" t="n"/>
    </row>
    <row r="56548" ht="14.25" customHeight="1" s="192">
      <c r="W56548" s="239" t="n"/>
      <c r="X56548" s="239" t="n"/>
    </row>
    <row r="56550" ht="14.25" customHeight="1" s="192">
      <c r="W56550" s="235" t="n"/>
      <c r="X56550" s="235" t="n"/>
    </row>
    <row r="56551" ht="15" customHeight="1" s="192" thickBot="1">
      <c r="W56551" s="239" t="n"/>
      <c r="X56551" s="239" t="n"/>
    </row>
    <row r="56552" ht="15" customHeight="1" s="192" thickBot="1">
      <c r="W56552" s="45" t="n"/>
      <c r="X56552" s="45" t="n"/>
    </row>
    <row r="56553" ht="14.25" customHeight="1" s="192">
      <c r="W56553" s="228" t="n"/>
      <c r="X56553" s="228" t="n"/>
    </row>
    <row r="56554" ht="14.25" customHeight="1" s="192">
      <c r="W56554" s="228" t="n"/>
      <c r="X56554" s="228" t="n"/>
    </row>
    <row r="56555" ht="14.25" customHeight="1" s="192">
      <c r="W56555" s="231" t="n"/>
      <c r="X56555" s="231" t="n"/>
    </row>
    <row r="56556" ht="14.25" customHeight="1" s="192">
      <c r="W56556" s="33" t="n"/>
      <c r="X56556" s="33" t="n"/>
    </row>
    <row r="56557" ht="14.25" customHeight="1" s="192">
      <c r="W56557" s="231" t="n"/>
      <c r="X56557" s="231" t="n"/>
    </row>
    <row r="56558" ht="14.25" customHeight="1" s="192">
      <c r="W56558" s="33" t="n"/>
      <c r="X56558" s="33" t="n"/>
    </row>
    <row r="56560" ht="14.25" customHeight="1" s="192">
      <c r="W56560" s="231" t="n"/>
      <c r="X56560" s="231" t="n"/>
    </row>
    <row r="56561" ht="14.25" customHeight="1" s="192">
      <c r="W56561" s="235" t="n"/>
      <c r="X56561" s="235" t="n"/>
    </row>
    <row r="56562" ht="14.25" customHeight="1" s="192">
      <c r="W56562" s="228" t="n"/>
      <c r="X56562" s="228" t="n"/>
    </row>
    <row r="56563" ht="14.25" customHeight="1" s="192">
      <c r="W56563" s="235" t="n"/>
      <c r="X56563" s="235" t="n"/>
    </row>
    <row r="56564" ht="14.25" customHeight="1" s="192">
      <c r="W56564" s="235" t="n"/>
      <c r="X56564" s="235" t="n"/>
    </row>
    <row r="56565" ht="14.25" customHeight="1" s="192">
      <c r="W56565" s="235" t="n"/>
      <c r="X56565" s="235" t="n"/>
    </row>
    <row r="56566" ht="14.25" customHeight="1" s="192">
      <c r="W56566" s="239" t="n"/>
      <c r="X56566" s="239" t="n"/>
    </row>
    <row r="56567" ht="14.25" customHeight="1" s="192">
      <c r="W56567" s="239" t="n"/>
      <c r="X56567" s="239" t="n"/>
    </row>
    <row r="56568" ht="14.25" customHeight="1" s="192">
      <c r="W56568" s="239" t="n"/>
      <c r="X56568" s="239" t="n"/>
    </row>
    <row r="56569" ht="14.25" customHeight="1" s="192">
      <c r="W56569" s="235" t="n"/>
      <c r="X56569" s="235" t="n"/>
    </row>
    <row r="56570" ht="14.25" customHeight="1" s="192">
      <c r="W56570" s="235" t="n"/>
      <c r="X56570" s="235" t="n"/>
    </row>
    <row r="56571" ht="14.25" customHeight="1" s="192">
      <c r="W56571" s="235" t="n"/>
      <c r="X56571" s="235" t="n"/>
    </row>
    <row r="56572" ht="14.25" customHeight="1" s="192">
      <c r="W56572" s="239" t="n"/>
      <c r="X56572" s="239" t="n"/>
    </row>
    <row r="56573" ht="14.25" customHeight="1" s="192">
      <c r="W56573" s="239" t="n"/>
      <c r="X56573" s="239" t="n"/>
    </row>
    <row r="56574" ht="14.25" customHeight="1" s="192">
      <c r="W56574" s="235" t="n"/>
      <c r="X56574" s="235" t="n"/>
    </row>
    <row r="56575" ht="14.25" customHeight="1" s="192">
      <c r="W56575" s="235" t="n"/>
      <c r="X56575" s="235" t="n"/>
    </row>
    <row r="56576" ht="14.25" customHeight="1" s="192">
      <c r="W56576" s="239" t="n"/>
      <c r="X56576" s="239" t="n"/>
    </row>
    <row r="56577" ht="14.25" customHeight="1" s="192">
      <c r="W56577" s="235" t="n"/>
      <c r="X56577" s="235" t="n"/>
    </row>
    <row r="56578" ht="14.25" customHeight="1" s="192">
      <c r="W56578" s="239" t="n"/>
      <c r="X56578" s="239" t="n"/>
    </row>
    <row r="56580" ht="14.25" customHeight="1" s="192">
      <c r="W56580" s="235" t="n"/>
      <c r="X56580" s="235" t="n"/>
    </row>
    <row r="56581" ht="15" customHeight="1" s="192" thickBot="1">
      <c r="W56581" s="239" t="n"/>
      <c r="X56581" s="239" t="n"/>
    </row>
    <row r="56582" ht="15" customHeight="1" s="192" thickBot="1">
      <c r="W56582" s="45" t="n"/>
      <c r="X56582" s="45" t="n"/>
    </row>
    <row r="56583" ht="14.25" customHeight="1" s="192">
      <c r="W56583" s="228" t="n"/>
      <c r="X56583" s="228" t="n"/>
    </row>
    <row r="56584" ht="14.25" customHeight="1" s="192">
      <c r="W56584" s="228" t="n"/>
      <c r="X56584" s="228" t="n"/>
    </row>
    <row r="56585" ht="14.25" customHeight="1" s="192">
      <c r="W56585" s="231" t="n"/>
      <c r="X56585" s="231" t="n"/>
    </row>
    <row r="56586" ht="14.25" customHeight="1" s="192">
      <c r="W56586" s="33" t="n"/>
      <c r="X56586" s="33" t="n"/>
    </row>
    <row r="56587" ht="14.25" customHeight="1" s="192">
      <c r="W56587" s="231" t="n"/>
      <c r="X56587" s="231" t="n"/>
    </row>
    <row r="56588" ht="14.25" customHeight="1" s="192">
      <c r="W56588" s="33" t="n"/>
      <c r="X56588" s="33" t="n"/>
    </row>
    <row r="56590" ht="14.25" customHeight="1" s="192">
      <c r="W56590" s="231" t="n"/>
      <c r="X56590" s="231" t="n"/>
    </row>
    <row r="56591" ht="14.25" customHeight="1" s="192">
      <c r="W56591" s="235" t="n"/>
      <c r="X56591" s="235" t="n"/>
    </row>
    <row r="56592" ht="14.25" customHeight="1" s="192">
      <c r="W56592" s="228" t="n"/>
      <c r="X56592" s="228" t="n"/>
    </row>
    <row r="56593" ht="14.25" customHeight="1" s="192">
      <c r="W56593" s="235" t="n"/>
      <c r="X56593" s="235" t="n"/>
    </row>
    <row r="56594" ht="14.25" customHeight="1" s="192">
      <c r="W56594" s="235" t="n"/>
      <c r="X56594" s="235" t="n"/>
    </row>
    <row r="56595" ht="14.25" customHeight="1" s="192">
      <c r="W56595" s="235" t="n"/>
      <c r="X56595" s="235" t="n"/>
    </row>
    <row r="56596" ht="14.25" customHeight="1" s="192">
      <c r="W56596" s="239" t="n"/>
      <c r="X56596" s="239" t="n"/>
    </row>
    <row r="56597" ht="14.25" customHeight="1" s="192">
      <c r="W56597" s="239" t="n"/>
      <c r="X56597" s="239" t="n"/>
    </row>
    <row r="56598" ht="14.25" customHeight="1" s="192">
      <c r="W56598" s="239" t="n"/>
      <c r="X56598" s="239" t="n"/>
    </row>
    <row r="56599" ht="14.25" customHeight="1" s="192">
      <c r="W56599" s="235" t="n"/>
      <c r="X56599" s="235" t="n"/>
    </row>
    <row r="56600" ht="14.25" customHeight="1" s="192">
      <c r="W56600" s="235" t="n"/>
      <c r="X56600" s="235" t="n"/>
    </row>
    <row r="56601" ht="14.25" customHeight="1" s="192">
      <c r="W56601" s="235" t="n"/>
      <c r="X56601" s="235" t="n"/>
    </row>
    <row r="56602" ht="14.25" customHeight="1" s="192">
      <c r="W56602" s="239" t="n"/>
      <c r="X56602" s="239" t="n"/>
    </row>
    <row r="56603" ht="14.25" customHeight="1" s="192">
      <c r="W56603" s="239" t="n"/>
      <c r="X56603" s="239" t="n"/>
    </row>
    <row r="56604" ht="14.25" customHeight="1" s="192">
      <c r="W56604" s="235" t="n"/>
      <c r="X56604" s="235" t="n"/>
    </row>
    <row r="56605" ht="14.25" customHeight="1" s="192">
      <c r="W56605" s="235" t="n"/>
      <c r="X56605" s="235" t="n"/>
    </row>
    <row r="56606" ht="14.25" customHeight="1" s="192">
      <c r="W56606" s="239" t="n"/>
      <c r="X56606" s="239" t="n"/>
    </row>
    <row r="56607" ht="14.25" customHeight="1" s="192">
      <c r="W56607" s="235" t="n"/>
      <c r="X56607" s="235" t="n"/>
    </row>
    <row r="56608" ht="14.25" customHeight="1" s="192">
      <c r="W56608" s="239" t="n"/>
      <c r="X56608" s="239" t="n"/>
    </row>
    <row r="56610" ht="14.25" customHeight="1" s="192">
      <c r="W56610" s="235" t="n"/>
      <c r="X56610" s="235" t="n"/>
    </row>
    <row r="56611" ht="15" customHeight="1" s="192" thickBot="1">
      <c r="W56611" s="239" t="n"/>
      <c r="X56611" s="239" t="n"/>
    </row>
    <row r="56612" ht="15" customHeight="1" s="192" thickBot="1">
      <c r="W56612" s="45" t="n"/>
      <c r="X56612" s="45" t="n"/>
    </row>
    <row r="56613" ht="14.25" customHeight="1" s="192">
      <c r="W56613" s="228" t="n"/>
      <c r="X56613" s="228" t="n"/>
    </row>
    <row r="56614" ht="14.25" customHeight="1" s="192">
      <c r="W56614" s="228" t="n"/>
      <c r="X56614" s="228" t="n"/>
    </row>
    <row r="56615" ht="14.25" customHeight="1" s="192">
      <c r="W56615" s="231" t="n"/>
      <c r="X56615" s="231" t="n"/>
    </row>
    <row r="56616" ht="14.25" customHeight="1" s="192">
      <c r="W56616" s="33" t="n"/>
      <c r="X56616" s="33" t="n"/>
    </row>
    <row r="56617" ht="14.25" customHeight="1" s="192">
      <c r="W56617" s="231" t="n"/>
      <c r="X56617" s="231" t="n"/>
    </row>
    <row r="56618" ht="14.25" customHeight="1" s="192">
      <c r="W56618" s="33" t="n"/>
      <c r="X56618" s="33" t="n"/>
    </row>
    <row r="56620" ht="14.25" customHeight="1" s="192">
      <c r="W56620" s="231" t="n"/>
      <c r="X56620" s="231" t="n"/>
    </row>
    <row r="56621" ht="14.25" customHeight="1" s="192">
      <c r="W56621" s="235" t="n"/>
      <c r="X56621" s="235" t="n"/>
    </row>
    <row r="56622" ht="14.25" customHeight="1" s="192">
      <c r="W56622" s="228" t="n"/>
      <c r="X56622" s="228" t="n"/>
    </row>
    <row r="56623" ht="14.25" customHeight="1" s="192">
      <c r="W56623" s="235" t="n"/>
      <c r="X56623" s="235" t="n"/>
    </row>
    <row r="56624" ht="14.25" customHeight="1" s="192">
      <c r="W56624" s="235" t="n"/>
      <c r="X56624" s="235" t="n"/>
    </row>
    <row r="56625" ht="14.25" customHeight="1" s="192">
      <c r="W56625" s="235" t="n"/>
      <c r="X56625" s="235" t="n"/>
    </row>
    <row r="56626" ht="14.25" customHeight="1" s="192">
      <c r="W56626" s="239" t="n"/>
      <c r="X56626" s="239" t="n"/>
    </row>
    <row r="56627" ht="14.25" customHeight="1" s="192">
      <c r="W56627" s="239" t="n"/>
      <c r="X56627" s="239" t="n"/>
    </row>
    <row r="56628" ht="14.25" customHeight="1" s="192">
      <c r="W56628" s="239" t="n"/>
      <c r="X56628" s="239" t="n"/>
    </row>
    <row r="56629" ht="14.25" customHeight="1" s="192">
      <c r="W56629" s="235" t="n"/>
      <c r="X56629" s="235" t="n"/>
    </row>
    <row r="56630" ht="14.25" customHeight="1" s="192">
      <c r="W56630" s="235" t="n"/>
      <c r="X56630" s="235" t="n"/>
    </row>
    <row r="56631" ht="14.25" customHeight="1" s="192">
      <c r="W56631" s="235" t="n"/>
      <c r="X56631" s="235" t="n"/>
    </row>
    <row r="56632" ht="14.25" customHeight="1" s="192">
      <c r="W56632" s="239" t="n"/>
      <c r="X56632" s="239" t="n"/>
    </row>
    <row r="56633" ht="14.25" customHeight="1" s="192">
      <c r="W56633" s="239" t="n"/>
      <c r="X56633" s="239" t="n"/>
    </row>
    <row r="56634" ht="14.25" customHeight="1" s="192">
      <c r="W56634" s="235" t="n"/>
      <c r="X56634" s="235" t="n"/>
    </row>
    <row r="56635" ht="14.25" customHeight="1" s="192">
      <c r="W56635" s="235" t="n"/>
      <c r="X56635" s="235" t="n"/>
    </row>
    <row r="56636" ht="14.25" customHeight="1" s="192">
      <c r="W56636" s="239" t="n"/>
      <c r="X56636" s="239" t="n"/>
    </row>
    <row r="56637" ht="14.25" customHeight="1" s="192">
      <c r="W56637" s="235" t="n"/>
      <c r="X56637" s="235" t="n"/>
    </row>
    <row r="56638" ht="14.25" customHeight="1" s="192">
      <c r="W56638" s="239" t="n"/>
      <c r="X56638" s="239" t="n"/>
    </row>
    <row r="56640" ht="14.25" customHeight="1" s="192">
      <c r="W56640" s="235" t="n"/>
      <c r="X56640" s="235" t="n"/>
    </row>
    <row r="56641" ht="15" customHeight="1" s="192" thickBot="1">
      <c r="W56641" s="239" t="n"/>
      <c r="X56641" s="239" t="n"/>
    </row>
    <row r="56642" ht="15" customHeight="1" s="192" thickBot="1">
      <c r="W56642" s="45" t="n"/>
      <c r="X56642" s="45" t="n"/>
    </row>
    <row r="56643" ht="14.25" customHeight="1" s="192">
      <c r="W56643" s="228" t="n"/>
      <c r="X56643" s="228" t="n"/>
    </row>
    <row r="56644" ht="14.25" customHeight="1" s="192">
      <c r="W56644" s="228" t="n"/>
      <c r="X56644" s="228" t="n"/>
    </row>
    <row r="56645" ht="14.25" customHeight="1" s="192">
      <c r="W56645" s="231" t="n"/>
      <c r="X56645" s="231" t="n"/>
    </row>
    <row r="56646" ht="14.25" customHeight="1" s="192">
      <c r="W56646" s="33" t="n"/>
      <c r="X56646" s="33" t="n"/>
    </row>
    <row r="56647" ht="14.25" customHeight="1" s="192">
      <c r="W56647" s="231" t="n"/>
      <c r="X56647" s="231" t="n"/>
    </row>
    <row r="56648" ht="14.25" customHeight="1" s="192">
      <c r="W56648" s="33" t="n"/>
      <c r="X56648" s="33" t="n"/>
    </row>
    <row r="56650" ht="14.25" customHeight="1" s="192">
      <c r="W56650" s="231" t="n"/>
      <c r="X56650" s="231" t="n"/>
    </row>
    <row r="56651" ht="14.25" customHeight="1" s="192">
      <c r="W56651" s="235" t="n"/>
      <c r="X56651" s="235" t="n"/>
    </row>
    <row r="56652" ht="14.25" customHeight="1" s="192">
      <c r="W56652" s="228" t="n"/>
      <c r="X56652" s="228" t="n"/>
    </row>
    <row r="56653" ht="14.25" customHeight="1" s="192">
      <c r="W56653" s="235" t="n"/>
      <c r="X56653" s="235" t="n"/>
    </row>
    <row r="56654" ht="14.25" customHeight="1" s="192">
      <c r="W56654" s="235" t="n"/>
      <c r="X56654" s="235" t="n"/>
    </row>
    <row r="56655" ht="14.25" customHeight="1" s="192">
      <c r="W56655" s="235" t="n"/>
      <c r="X56655" s="235" t="n"/>
    </row>
    <row r="56656" ht="14.25" customHeight="1" s="192">
      <c r="W56656" s="239" t="n"/>
      <c r="X56656" s="239" t="n"/>
    </row>
    <row r="56657" ht="14.25" customHeight="1" s="192">
      <c r="W56657" s="239" t="n"/>
      <c r="X56657" s="239" t="n"/>
    </row>
    <row r="56658" ht="14.25" customHeight="1" s="192">
      <c r="W56658" s="239" t="n"/>
      <c r="X56658" s="239" t="n"/>
    </row>
    <row r="56659" ht="14.25" customHeight="1" s="192">
      <c r="W56659" s="235" t="n"/>
      <c r="X56659" s="235" t="n"/>
    </row>
    <row r="56660" ht="14.25" customHeight="1" s="192">
      <c r="W56660" s="235" t="n"/>
      <c r="X56660" s="235" t="n"/>
    </row>
    <row r="56661" ht="14.25" customHeight="1" s="192">
      <c r="W56661" s="235" t="n"/>
      <c r="X56661" s="235" t="n"/>
    </row>
    <row r="56662" ht="14.25" customHeight="1" s="192">
      <c r="W56662" s="239" t="n"/>
      <c r="X56662" s="239" t="n"/>
    </row>
    <row r="56663" ht="14.25" customHeight="1" s="192">
      <c r="W56663" s="239" t="n"/>
      <c r="X56663" s="239" t="n"/>
    </row>
    <row r="56664" ht="14.25" customHeight="1" s="192">
      <c r="W56664" s="235" t="n"/>
      <c r="X56664" s="235" t="n"/>
    </row>
    <row r="56665" ht="14.25" customHeight="1" s="192">
      <c r="W56665" s="235" t="n"/>
      <c r="X56665" s="235" t="n"/>
    </row>
    <row r="56666" ht="14.25" customHeight="1" s="192">
      <c r="W56666" s="239" t="n"/>
      <c r="X56666" s="239" t="n"/>
    </row>
    <row r="56667" ht="14.25" customHeight="1" s="192">
      <c r="W56667" s="235" t="n"/>
      <c r="X56667" s="235" t="n"/>
    </row>
    <row r="56668" ht="14.25" customHeight="1" s="192">
      <c r="W56668" s="239" t="n"/>
      <c r="X56668" s="239" t="n"/>
    </row>
    <row r="56670" ht="14.25" customHeight="1" s="192">
      <c r="W56670" s="235" t="n"/>
      <c r="X56670" s="235" t="n"/>
    </row>
    <row r="56671" ht="15" customHeight="1" s="192" thickBot="1">
      <c r="W56671" s="239" t="n"/>
      <c r="X56671" s="239" t="n"/>
    </row>
    <row r="56672" ht="15" customHeight="1" s="192" thickBot="1">
      <c r="W56672" s="45" t="n"/>
      <c r="X56672" s="45" t="n"/>
    </row>
    <row r="56673" ht="14.25" customHeight="1" s="192">
      <c r="W56673" s="228" t="n"/>
      <c r="X56673" s="228" t="n"/>
    </row>
    <row r="56674" ht="14.25" customHeight="1" s="192">
      <c r="W56674" s="228" t="n"/>
      <c r="X56674" s="228" t="n"/>
    </row>
    <row r="56675" ht="14.25" customHeight="1" s="192">
      <c r="W56675" s="231" t="n"/>
      <c r="X56675" s="231" t="n"/>
    </row>
    <row r="56676" ht="14.25" customHeight="1" s="192">
      <c r="W56676" s="33" t="n"/>
      <c r="X56676" s="33" t="n"/>
    </row>
    <row r="56677" ht="14.25" customHeight="1" s="192">
      <c r="W56677" s="231" t="n"/>
      <c r="X56677" s="231" t="n"/>
    </row>
    <row r="56678" ht="14.25" customHeight="1" s="192">
      <c r="W56678" s="33" t="n"/>
      <c r="X56678" s="33" t="n"/>
    </row>
    <row r="56680" ht="14.25" customHeight="1" s="192">
      <c r="W56680" s="231" t="n"/>
      <c r="X56680" s="231" t="n"/>
    </row>
    <row r="56681" ht="14.25" customHeight="1" s="192">
      <c r="W56681" s="235" t="n"/>
      <c r="X56681" s="235" t="n"/>
    </row>
    <row r="56682" ht="14.25" customHeight="1" s="192">
      <c r="W56682" s="228" t="n"/>
      <c r="X56682" s="228" t="n"/>
    </row>
    <row r="56683" ht="14.25" customHeight="1" s="192">
      <c r="W56683" s="235" t="n"/>
      <c r="X56683" s="235" t="n"/>
    </row>
    <row r="56684" ht="14.25" customHeight="1" s="192">
      <c r="W56684" s="235" t="n"/>
      <c r="X56684" s="235" t="n"/>
    </row>
    <row r="56685" ht="14.25" customHeight="1" s="192">
      <c r="W56685" s="235" t="n"/>
      <c r="X56685" s="235" t="n"/>
    </row>
    <row r="56686" ht="14.25" customHeight="1" s="192">
      <c r="W56686" s="239" t="n"/>
      <c r="X56686" s="239" t="n"/>
    </row>
    <row r="56687" ht="14.25" customHeight="1" s="192">
      <c r="W56687" s="239" t="n"/>
      <c r="X56687" s="239" t="n"/>
    </row>
    <row r="56688" ht="14.25" customHeight="1" s="192">
      <c r="W56688" s="239" t="n"/>
      <c r="X56688" s="239" t="n"/>
    </row>
    <row r="56689" ht="14.25" customHeight="1" s="192">
      <c r="W56689" s="235" t="n"/>
      <c r="X56689" s="235" t="n"/>
    </row>
    <row r="56690" ht="14.25" customHeight="1" s="192">
      <c r="W56690" s="235" t="n"/>
      <c r="X56690" s="235" t="n"/>
    </row>
    <row r="56691" ht="14.25" customHeight="1" s="192">
      <c r="W56691" s="235" t="n"/>
      <c r="X56691" s="235" t="n"/>
    </row>
    <row r="56692" ht="14.25" customHeight="1" s="192">
      <c r="W56692" s="239" t="n"/>
      <c r="X56692" s="239" t="n"/>
    </row>
    <row r="56693" ht="14.25" customHeight="1" s="192">
      <c r="W56693" s="239" t="n"/>
      <c r="X56693" s="239" t="n"/>
    </row>
    <row r="56694" ht="14.25" customHeight="1" s="192">
      <c r="W56694" s="235" t="n"/>
      <c r="X56694" s="235" t="n"/>
    </row>
    <row r="56695" ht="14.25" customHeight="1" s="192">
      <c r="W56695" s="235" t="n"/>
      <c r="X56695" s="235" t="n"/>
    </row>
    <row r="56696" ht="14.25" customHeight="1" s="192">
      <c r="W56696" s="239" t="n"/>
      <c r="X56696" s="239" t="n"/>
    </row>
    <row r="56697" ht="14.25" customHeight="1" s="192">
      <c r="W56697" s="235" t="n"/>
      <c r="X56697" s="235" t="n"/>
    </row>
    <row r="56698" ht="14.25" customHeight="1" s="192">
      <c r="W56698" s="239" t="n"/>
      <c r="X56698" s="239" t="n"/>
    </row>
    <row r="56700" ht="14.25" customHeight="1" s="192">
      <c r="W56700" s="235" t="n"/>
      <c r="X56700" s="235" t="n"/>
    </row>
    <row r="56701" ht="15" customHeight="1" s="192" thickBot="1">
      <c r="W56701" s="239" t="n"/>
      <c r="X56701" s="239" t="n"/>
    </row>
    <row r="56702" ht="15" customHeight="1" s="192" thickBot="1">
      <c r="W56702" s="45" t="n"/>
      <c r="X56702" s="45" t="n"/>
    </row>
    <row r="56703" ht="14.25" customHeight="1" s="192">
      <c r="W56703" s="228" t="n"/>
      <c r="X56703" s="228" t="n"/>
    </row>
    <row r="56704" ht="14.25" customHeight="1" s="192">
      <c r="W56704" s="228" t="n"/>
      <c r="X56704" s="228" t="n"/>
    </row>
    <row r="56705" ht="14.25" customHeight="1" s="192">
      <c r="W56705" s="231" t="n"/>
      <c r="X56705" s="231" t="n"/>
    </row>
    <row r="56706" ht="14.25" customHeight="1" s="192">
      <c r="W56706" s="33" t="n"/>
      <c r="X56706" s="33" t="n"/>
    </row>
    <row r="56707" ht="14.25" customHeight="1" s="192">
      <c r="W56707" s="231" t="n"/>
      <c r="X56707" s="231" t="n"/>
    </row>
    <row r="56708" ht="14.25" customHeight="1" s="192">
      <c r="W56708" s="33" t="n"/>
      <c r="X56708" s="33" t="n"/>
    </row>
    <row r="56710" ht="14.25" customHeight="1" s="192">
      <c r="W56710" s="231" t="n"/>
      <c r="X56710" s="231" t="n"/>
    </row>
    <row r="56711" ht="14.25" customHeight="1" s="192">
      <c r="W56711" s="235" t="n"/>
      <c r="X56711" s="235" t="n"/>
    </row>
    <row r="56712" ht="14.25" customHeight="1" s="192">
      <c r="W56712" s="228" t="n"/>
      <c r="X56712" s="228" t="n"/>
    </row>
    <row r="56713" ht="14.25" customHeight="1" s="192">
      <c r="W56713" s="235" t="n"/>
      <c r="X56713" s="235" t="n"/>
    </row>
    <row r="56714" ht="14.25" customHeight="1" s="192">
      <c r="W56714" s="235" t="n"/>
      <c r="X56714" s="235" t="n"/>
    </row>
    <row r="56715" ht="14.25" customHeight="1" s="192">
      <c r="W56715" s="235" t="n"/>
      <c r="X56715" s="235" t="n"/>
    </row>
    <row r="56716" ht="14.25" customHeight="1" s="192">
      <c r="W56716" s="239" t="n"/>
      <c r="X56716" s="239" t="n"/>
    </row>
    <row r="56717" ht="14.25" customHeight="1" s="192">
      <c r="W56717" s="239" t="n"/>
      <c r="X56717" s="239" t="n"/>
    </row>
    <row r="56718" ht="14.25" customHeight="1" s="192">
      <c r="W56718" s="239" t="n"/>
      <c r="X56718" s="239" t="n"/>
    </row>
    <row r="56719" ht="14.25" customHeight="1" s="192">
      <c r="W56719" s="235" t="n"/>
      <c r="X56719" s="235" t="n"/>
    </row>
    <row r="56720" ht="14.25" customHeight="1" s="192">
      <c r="W56720" s="235" t="n"/>
      <c r="X56720" s="235" t="n"/>
    </row>
    <row r="56721" ht="14.25" customHeight="1" s="192">
      <c r="W56721" s="235" t="n"/>
      <c r="X56721" s="235" t="n"/>
    </row>
    <row r="56722" ht="14.25" customHeight="1" s="192">
      <c r="W56722" s="239" t="n"/>
      <c r="X56722" s="239" t="n"/>
    </row>
    <row r="56723" ht="14.25" customHeight="1" s="192">
      <c r="W56723" s="239" t="n"/>
      <c r="X56723" s="239" t="n"/>
    </row>
    <row r="56724" ht="14.25" customHeight="1" s="192">
      <c r="W56724" s="235" t="n"/>
      <c r="X56724" s="235" t="n"/>
    </row>
    <row r="56725" ht="14.25" customHeight="1" s="192">
      <c r="W56725" s="235" t="n"/>
      <c r="X56725" s="235" t="n"/>
    </row>
    <row r="56726" ht="14.25" customHeight="1" s="192">
      <c r="W56726" s="239" t="n"/>
      <c r="X56726" s="239" t="n"/>
    </row>
    <row r="56727" ht="14.25" customHeight="1" s="192">
      <c r="W56727" s="235" t="n"/>
      <c r="X56727" s="235" t="n"/>
    </row>
    <row r="56728" ht="14.25" customHeight="1" s="192">
      <c r="W56728" s="239" t="n"/>
      <c r="X56728" s="239" t="n"/>
    </row>
    <row r="56730" ht="14.25" customHeight="1" s="192">
      <c r="W56730" s="235" t="n"/>
      <c r="X56730" s="235" t="n"/>
    </row>
    <row r="56731" ht="15" customHeight="1" s="192" thickBot="1">
      <c r="W56731" s="239" t="n"/>
      <c r="X56731" s="239" t="n"/>
    </row>
    <row r="56732" ht="15" customHeight="1" s="192" thickBot="1">
      <c r="W56732" s="45" t="n"/>
      <c r="X56732" s="45" t="n"/>
    </row>
    <row r="56733" ht="14.25" customHeight="1" s="192">
      <c r="W56733" s="228" t="n"/>
      <c r="X56733" s="228" t="n"/>
    </row>
    <row r="56734" ht="14.25" customHeight="1" s="192">
      <c r="W56734" s="228" t="n"/>
      <c r="X56734" s="228" t="n"/>
    </row>
    <row r="56735" ht="14.25" customHeight="1" s="192">
      <c r="W56735" s="231" t="n"/>
      <c r="X56735" s="231" t="n"/>
    </row>
    <row r="56736" ht="14.25" customHeight="1" s="192">
      <c r="W56736" s="33" t="n"/>
      <c r="X56736" s="33" t="n"/>
    </row>
    <row r="56737" ht="14.25" customHeight="1" s="192">
      <c r="W56737" s="231" t="n"/>
      <c r="X56737" s="231" t="n"/>
    </row>
    <row r="56738" ht="14.25" customHeight="1" s="192">
      <c r="W56738" s="33" t="n"/>
      <c r="X56738" s="33" t="n"/>
    </row>
    <row r="56740" ht="14.25" customHeight="1" s="192">
      <c r="W56740" s="231" t="n"/>
      <c r="X56740" s="231" t="n"/>
    </row>
    <row r="56741" ht="14.25" customHeight="1" s="192">
      <c r="W56741" s="235" t="n"/>
      <c r="X56741" s="235" t="n"/>
    </row>
    <row r="56742" ht="14.25" customHeight="1" s="192">
      <c r="W56742" s="228" t="n"/>
      <c r="X56742" s="228" t="n"/>
    </row>
    <row r="56743" ht="14.25" customHeight="1" s="192">
      <c r="W56743" s="235" t="n"/>
      <c r="X56743" s="235" t="n"/>
    </row>
    <row r="56744" ht="14.25" customHeight="1" s="192">
      <c r="W56744" s="235" t="n"/>
      <c r="X56744" s="235" t="n"/>
    </row>
    <row r="56745" ht="14.25" customHeight="1" s="192">
      <c r="W56745" s="235" t="n"/>
      <c r="X56745" s="235" t="n"/>
    </row>
    <row r="56746" ht="14.25" customHeight="1" s="192">
      <c r="W56746" s="239" t="n"/>
      <c r="X56746" s="239" t="n"/>
    </row>
    <row r="56747" ht="14.25" customHeight="1" s="192">
      <c r="W56747" s="239" t="n"/>
      <c r="X56747" s="239" t="n"/>
    </row>
    <row r="56748" ht="14.25" customHeight="1" s="192">
      <c r="W56748" s="239" t="n"/>
      <c r="X56748" s="239" t="n"/>
    </row>
    <row r="56749" ht="14.25" customHeight="1" s="192">
      <c r="W56749" s="235" t="n"/>
      <c r="X56749" s="235" t="n"/>
    </row>
    <row r="56750" ht="14.25" customHeight="1" s="192">
      <c r="W56750" s="235" t="n"/>
      <c r="X56750" s="235" t="n"/>
    </row>
    <row r="56751" ht="14.25" customHeight="1" s="192">
      <c r="W56751" s="235" t="n"/>
      <c r="X56751" s="235" t="n"/>
    </row>
    <row r="56752" ht="14.25" customHeight="1" s="192">
      <c r="W56752" s="239" t="n"/>
      <c r="X56752" s="239" t="n"/>
    </row>
    <row r="56753" ht="14.25" customHeight="1" s="192">
      <c r="W56753" s="239" t="n"/>
      <c r="X56753" s="239" t="n"/>
    </row>
    <row r="56754" ht="14.25" customHeight="1" s="192">
      <c r="W56754" s="235" t="n"/>
      <c r="X56754" s="235" t="n"/>
    </row>
    <row r="56755" ht="14.25" customHeight="1" s="192">
      <c r="W56755" s="235" t="n"/>
      <c r="X56755" s="235" t="n"/>
    </row>
    <row r="56756" ht="14.25" customHeight="1" s="192">
      <c r="W56756" s="239" t="n"/>
      <c r="X56756" s="239" t="n"/>
    </row>
    <row r="56757" ht="14.25" customHeight="1" s="192">
      <c r="W56757" s="235" t="n"/>
      <c r="X56757" s="235" t="n"/>
    </row>
    <row r="56758" ht="14.25" customHeight="1" s="192">
      <c r="W56758" s="239" t="n"/>
      <c r="X56758" s="239" t="n"/>
    </row>
    <row r="56760" ht="14.25" customHeight="1" s="192">
      <c r="W56760" s="235" t="n"/>
      <c r="X56760" s="235" t="n"/>
    </row>
    <row r="56761" ht="15" customHeight="1" s="192" thickBot="1">
      <c r="W56761" s="239" t="n"/>
      <c r="X56761" s="239" t="n"/>
    </row>
    <row r="56762" ht="15" customHeight="1" s="192" thickBot="1">
      <c r="W56762" s="45" t="n"/>
      <c r="X56762" s="45" t="n"/>
    </row>
    <row r="56763" ht="14.25" customHeight="1" s="192">
      <c r="W56763" s="228" t="n"/>
      <c r="X56763" s="228" t="n"/>
    </row>
    <row r="56764" ht="14.25" customHeight="1" s="192">
      <c r="W56764" s="228" t="n"/>
      <c r="X56764" s="228" t="n"/>
    </row>
    <row r="56765" ht="14.25" customHeight="1" s="192">
      <c r="W56765" s="231" t="n"/>
      <c r="X56765" s="231" t="n"/>
    </row>
    <row r="56766" ht="14.25" customHeight="1" s="192">
      <c r="W56766" s="33" t="n"/>
      <c r="X56766" s="33" t="n"/>
    </row>
    <row r="56767" ht="14.25" customHeight="1" s="192">
      <c r="W56767" s="231" t="n"/>
      <c r="X56767" s="231" t="n"/>
    </row>
    <row r="56768" ht="14.25" customHeight="1" s="192">
      <c r="W56768" s="33" t="n"/>
      <c r="X56768" s="33" t="n"/>
    </row>
    <row r="56770" ht="14.25" customHeight="1" s="192">
      <c r="W56770" s="231" t="n"/>
      <c r="X56770" s="231" t="n"/>
    </row>
    <row r="56771" ht="14.25" customHeight="1" s="192">
      <c r="W56771" s="235" t="n"/>
      <c r="X56771" s="235" t="n"/>
    </row>
    <row r="56772" ht="14.25" customHeight="1" s="192">
      <c r="W56772" s="228" t="n"/>
      <c r="X56772" s="228" t="n"/>
    </row>
    <row r="56773" ht="14.25" customHeight="1" s="192">
      <c r="W56773" s="235" t="n"/>
      <c r="X56773" s="235" t="n"/>
    </row>
    <row r="56774" ht="14.25" customHeight="1" s="192">
      <c r="W56774" s="235" t="n"/>
      <c r="X56774" s="235" t="n"/>
    </row>
    <row r="56775" ht="14.25" customHeight="1" s="192">
      <c r="W56775" s="235" t="n"/>
      <c r="X56775" s="235" t="n"/>
    </row>
    <row r="56776" ht="14.25" customHeight="1" s="192">
      <c r="W56776" s="239" t="n"/>
      <c r="X56776" s="239" t="n"/>
    </row>
    <row r="56777" ht="14.25" customHeight="1" s="192">
      <c r="W56777" s="239" t="n"/>
      <c r="X56777" s="239" t="n"/>
    </row>
    <row r="56778" ht="14.25" customHeight="1" s="192">
      <c r="W56778" s="239" t="n"/>
      <c r="X56778" s="239" t="n"/>
    </row>
    <row r="56779" ht="14.25" customHeight="1" s="192">
      <c r="W56779" s="235" t="n"/>
      <c r="X56779" s="235" t="n"/>
    </row>
    <row r="56780" ht="14.25" customHeight="1" s="192">
      <c r="W56780" s="235" t="n"/>
      <c r="X56780" s="235" t="n"/>
    </row>
    <row r="56781" ht="14.25" customHeight="1" s="192">
      <c r="W56781" s="235" t="n"/>
      <c r="X56781" s="235" t="n"/>
    </row>
    <row r="56782" ht="14.25" customHeight="1" s="192">
      <c r="W56782" s="239" t="n"/>
      <c r="X56782" s="239" t="n"/>
    </row>
    <row r="56783" ht="14.25" customHeight="1" s="192">
      <c r="W56783" s="239" t="n"/>
      <c r="X56783" s="239" t="n"/>
    </row>
    <row r="56784" ht="14.25" customHeight="1" s="192">
      <c r="W56784" s="235" t="n"/>
      <c r="X56784" s="235" t="n"/>
    </row>
    <row r="56785" ht="14.25" customHeight="1" s="192">
      <c r="W56785" s="235" t="n"/>
      <c r="X56785" s="235" t="n"/>
    </row>
    <row r="56786" ht="14.25" customHeight="1" s="192">
      <c r="W56786" s="239" t="n"/>
      <c r="X56786" s="239" t="n"/>
    </row>
    <row r="56787" ht="14.25" customHeight="1" s="192">
      <c r="W56787" s="235" t="n"/>
      <c r="X56787" s="235" t="n"/>
    </row>
    <row r="56788" ht="14.25" customHeight="1" s="192">
      <c r="W56788" s="239" t="n"/>
      <c r="X56788" s="239" t="n"/>
    </row>
    <row r="56790" ht="14.25" customHeight="1" s="192">
      <c r="W56790" s="235" t="n"/>
      <c r="X56790" s="235" t="n"/>
    </row>
    <row r="56791" ht="15" customHeight="1" s="192" thickBot="1">
      <c r="W56791" s="239" t="n"/>
      <c r="X56791" s="239" t="n"/>
    </row>
    <row r="56792" ht="15" customHeight="1" s="192" thickBot="1">
      <c r="W56792" s="45" t="n"/>
      <c r="X56792" s="45" t="n"/>
    </row>
    <row r="56793" ht="14.25" customHeight="1" s="192">
      <c r="W56793" s="228" t="n"/>
      <c r="X56793" s="228" t="n"/>
    </row>
    <row r="56794" ht="14.25" customHeight="1" s="192">
      <c r="W56794" s="228" t="n"/>
      <c r="X56794" s="228" t="n"/>
    </row>
    <row r="56795" ht="14.25" customHeight="1" s="192">
      <c r="W56795" s="231" t="n"/>
      <c r="X56795" s="231" t="n"/>
    </row>
    <row r="56796" ht="14.25" customHeight="1" s="192">
      <c r="W56796" s="33" t="n"/>
      <c r="X56796" s="33" t="n"/>
    </row>
    <row r="56797" ht="14.25" customHeight="1" s="192">
      <c r="W56797" s="231" t="n"/>
      <c r="X56797" s="231" t="n"/>
    </row>
    <row r="56798" ht="14.25" customHeight="1" s="192">
      <c r="W56798" s="33" t="n"/>
      <c r="X56798" s="33" t="n"/>
    </row>
    <row r="56800" ht="14.25" customHeight="1" s="192">
      <c r="W56800" s="231" t="n"/>
      <c r="X56800" s="231" t="n"/>
    </row>
    <row r="56801" ht="14.25" customHeight="1" s="192">
      <c r="W56801" s="235" t="n"/>
      <c r="X56801" s="235" t="n"/>
    </row>
    <row r="56802" ht="14.25" customHeight="1" s="192">
      <c r="W56802" s="228" t="n"/>
      <c r="X56802" s="228" t="n"/>
    </row>
    <row r="56803" ht="14.25" customHeight="1" s="192">
      <c r="W56803" s="235" t="n"/>
      <c r="X56803" s="235" t="n"/>
    </row>
    <row r="56804" ht="14.25" customHeight="1" s="192">
      <c r="W56804" s="235" t="n"/>
      <c r="X56804" s="235" t="n"/>
    </row>
    <row r="56805" ht="14.25" customHeight="1" s="192">
      <c r="W56805" s="235" t="n"/>
      <c r="X56805" s="235" t="n"/>
    </row>
    <row r="56806" ht="14.25" customHeight="1" s="192">
      <c r="W56806" s="239" t="n"/>
      <c r="X56806" s="239" t="n"/>
    </row>
    <row r="56807" ht="14.25" customHeight="1" s="192">
      <c r="W56807" s="239" t="n"/>
      <c r="X56807" s="239" t="n"/>
    </row>
    <row r="56808" ht="14.25" customHeight="1" s="192">
      <c r="W56808" s="239" t="n"/>
      <c r="X56808" s="239" t="n"/>
    </row>
    <row r="56809" ht="14.25" customHeight="1" s="192">
      <c r="W56809" s="235" t="n"/>
      <c r="X56809" s="235" t="n"/>
    </row>
    <row r="56810" ht="14.25" customHeight="1" s="192">
      <c r="W56810" s="235" t="n"/>
      <c r="X56810" s="235" t="n"/>
    </row>
    <row r="56811" ht="14.25" customHeight="1" s="192">
      <c r="W56811" s="235" t="n"/>
      <c r="X56811" s="235" t="n"/>
    </row>
    <row r="56812" ht="14.25" customHeight="1" s="192">
      <c r="W56812" s="239" t="n"/>
      <c r="X56812" s="239" t="n"/>
    </row>
    <row r="56813" ht="14.25" customHeight="1" s="192">
      <c r="W56813" s="239" t="n"/>
      <c r="X56813" s="239" t="n"/>
    </row>
    <row r="56814" ht="14.25" customHeight="1" s="192">
      <c r="W56814" s="235" t="n"/>
      <c r="X56814" s="235" t="n"/>
    </row>
    <row r="56815" ht="14.25" customHeight="1" s="192">
      <c r="W56815" s="235" t="n"/>
      <c r="X56815" s="235" t="n"/>
    </row>
    <row r="56816" ht="14.25" customHeight="1" s="192">
      <c r="W56816" s="239" t="n"/>
      <c r="X56816" s="239" t="n"/>
    </row>
    <row r="56817" ht="14.25" customHeight="1" s="192">
      <c r="W56817" s="235" t="n"/>
      <c r="X56817" s="235" t="n"/>
    </row>
    <row r="56818" ht="14.25" customHeight="1" s="192">
      <c r="W56818" s="239" t="n"/>
      <c r="X56818" s="239" t="n"/>
    </row>
    <row r="56820" ht="14.25" customHeight="1" s="192">
      <c r="W56820" s="235" t="n"/>
      <c r="X56820" s="235" t="n"/>
    </row>
    <row r="56821" ht="15" customHeight="1" s="192" thickBot="1">
      <c r="W56821" s="239" t="n"/>
      <c r="X56821" s="239" t="n"/>
    </row>
    <row r="56822" ht="15" customHeight="1" s="192" thickBot="1">
      <c r="W56822" s="45" t="n"/>
      <c r="X56822" s="45" t="n"/>
    </row>
    <row r="56823" ht="14.25" customHeight="1" s="192">
      <c r="W56823" s="228" t="n"/>
      <c r="X56823" s="228" t="n"/>
    </row>
    <row r="56824" ht="14.25" customHeight="1" s="192">
      <c r="W56824" s="228" t="n"/>
      <c r="X56824" s="228" t="n"/>
    </row>
    <row r="56825" ht="14.25" customHeight="1" s="192">
      <c r="W56825" s="231" t="n"/>
      <c r="X56825" s="231" t="n"/>
    </row>
    <row r="56826" ht="14.25" customHeight="1" s="192">
      <c r="W56826" s="33" t="n"/>
      <c r="X56826" s="33" t="n"/>
    </row>
    <row r="56827" ht="14.25" customHeight="1" s="192">
      <c r="W56827" s="231" t="n"/>
      <c r="X56827" s="231" t="n"/>
    </row>
    <row r="56828" ht="14.25" customHeight="1" s="192">
      <c r="W56828" s="33" t="n"/>
      <c r="X56828" s="33" t="n"/>
    </row>
    <row r="56830" ht="14.25" customHeight="1" s="192">
      <c r="W56830" s="231" t="n"/>
      <c r="X56830" s="231" t="n"/>
    </row>
    <row r="56831" ht="14.25" customHeight="1" s="192">
      <c r="W56831" s="235" t="n"/>
      <c r="X56831" s="235" t="n"/>
    </row>
    <row r="56832" ht="14.25" customHeight="1" s="192">
      <c r="W56832" s="228" t="n"/>
      <c r="X56832" s="228" t="n"/>
    </row>
    <row r="56833" ht="14.25" customHeight="1" s="192">
      <c r="W56833" s="235" t="n"/>
      <c r="X56833" s="235" t="n"/>
    </row>
    <row r="56834" ht="14.25" customHeight="1" s="192">
      <c r="W56834" s="235" t="n"/>
      <c r="X56834" s="235" t="n"/>
    </row>
    <row r="56835" ht="14.25" customHeight="1" s="192">
      <c r="W56835" s="235" t="n"/>
      <c r="X56835" s="235" t="n"/>
    </row>
    <row r="56836" ht="14.25" customHeight="1" s="192">
      <c r="W56836" s="239" t="n"/>
      <c r="X56836" s="239" t="n"/>
    </row>
    <row r="56837" ht="14.25" customHeight="1" s="192">
      <c r="W56837" s="239" t="n"/>
      <c r="X56837" s="239" t="n"/>
    </row>
    <row r="56838" ht="14.25" customHeight="1" s="192">
      <c r="W56838" s="239" t="n"/>
      <c r="X56838" s="239" t="n"/>
    </row>
    <row r="56839" ht="14.25" customHeight="1" s="192">
      <c r="W56839" s="235" t="n"/>
      <c r="X56839" s="235" t="n"/>
    </row>
    <row r="56840" ht="14.25" customHeight="1" s="192">
      <c r="W56840" s="235" t="n"/>
      <c r="X56840" s="235" t="n"/>
    </row>
    <row r="56841" ht="14.25" customHeight="1" s="192">
      <c r="W56841" s="235" t="n"/>
      <c r="X56841" s="235" t="n"/>
    </row>
    <row r="56842" ht="14.25" customHeight="1" s="192">
      <c r="W56842" s="239" t="n"/>
      <c r="X56842" s="239" t="n"/>
    </row>
    <row r="56843" ht="14.25" customHeight="1" s="192">
      <c r="W56843" s="239" t="n"/>
      <c r="X56843" s="239" t="n"/>
    </row>
    <row r="56844" ht="14.25" customHeight="1" s="192">
      <c r="W56844" s="235" t="n"/>
      <c r="X56844" s="235" t="n"/>
    </row>
    <row r="56845" ht="14.25" customHeight="1" s="192">
      <c r="W56845" s="235" t="n"/>
      <c r="X56845" s="235" t="n"/>
    </row>
    <row r="56846" ht="14.25" customHeight="1" s="192">
      <c r="W56846" s="239" t="n"/>
      <c r="X56846" s="239" t="n"/>
    </row>
    <row r="56847" ht="14.25" customHeight="1" s="192">
      <c r="W56847" s="235" t="n"/>
      <c r="X56847" s="235" t="n"/>
    </row>
    <row r="56848" ht="14.25" customHeight="1" s="192">
      <c r="W56848" s="239" t="n"/>
      <c r="X56848" s="239" t="n"/>
    </row>
    <row r="56850" ht="14.25" customHeight="1" s="192">
      <c r="W56850" s="235" t="n"/>
      <c r="X56850" s="235" t="n"/>
    </row>
    <row r="56851" ht="15" customHeight="1" s="192" thickBot="1">
      <c r="W56851" s="239" t="n"/>
      <c r="X56851" s="239" t="n"/>
    </row>
    <row r="56852" ht="15" customHeight="1" s="192" thickBot="1">
      <c r="W56852" s="45" t="n"/>
      <c r="X56852" s="45" t="n"/>
    </row>
    <row r="56853" ht="14.25" customHeight="1" s="192">
      <c r="W56853" s="228" t="n"/>
      <c r="X56853" s="228" t="n"/>
    </row>
    <row r="56854" ht="14.25" customHeight="1" s="192">
      <c r="W56854" s="228" t="n"/>
      <c r="X56854" s="228" t="n"/>
    </row>
    <row r="56855" ht="14.25" customHeight="1" s="192">
      <c r="W56855" s="231" t="n"/>
      <c r="X56855" s="231" t="n"/>
    </row>
    <row r="56856" ht="14.25" customHeight="1" s="192">
      <c r="W56856" s="33" t="n"/>
      <c r="X56856" s="33" t="n"/>
    </row>
    <row r="56857" ht="14.25" customHeight="1" s="192">
      <c r="W56857" s="231" t="n"/>
      <c r="X56857" s="231" t="n"/>
    </row>
    <row r="56858" ht="14.25" customHeight="1" s="192">
      <c r="W56858" s="33" t="n"/>
      <c r="X56858" s="33" t="n"/>
    </row>
    <row r="56860" ht="14.25" customHeight="1" s="192">
      <c r="W56860" s="231" t="n"/>
      <c r="X56860" s="231" t="n"/>
    </row>
    <row r="56861" ht="14.25" customHeight="1" s="192">
      <c r="W56861" s="235" t="n"/>
      <c r="X56861" s="235" t="n"/>
    </row>
    <row r="56862" ht="14.25" customHeight="1" s="192">
      <c r="W56862" s="228" t="n"/>
      <c r="X56862" s="228" t="n"/>
    </row>
    <row r="56863" ht="14.25" customHeight="1" s="192">
      <c r="W56863" s="235" t="n"/>
      <c r="X56863" s="235" t="n"/>
    </row>
    <row r="56864" ht="14.25" customHeight="1" s="192">
      <c r="W56864" s="235" t="n"/>
      <c r="X56864" s="235" t="n"/>
    </row>
    <row r="56865" ht="14.25" customHeight="1" s="192">
      <c r="W56865" s="235" t="n"/>
      <c r="X56865" s="235" t="n"/>
    </row>
    <row r="56866" ht="14.25" customHeight="1" s="192">
      <c r="W56866" s="239" t="n"/>
      <c r="X56866" s="239" t="n"/>
    </row>
    <row r="56867" ht="14.25" customHeight="1" s="192">
      <c r="W56867" s="239" t="n"/>
      <c r="X56867" s="239" t="n"/>
    </row>
    <row r="56868" ht="14.25" customHeight="1" s="192">
      <c r="W56868" s="239" t="n"/>
      <c r="X56868" s="239" t="n"/>
    </row>
    <row r="56869" ht="14.25" customHeight="1" s="192">
      <c r="W56869" s="235" t="n"/>
      <c r="X56869" s="235" t="n"/>
    </row>
    <row r="56870" ht="14.25" customHeight="1" s="192">
      <c r="W56870" s="235" t="n"/>
      <c r="X56870" s="235" t="n"/>
    </row>
    <row r="56871" ht="14.25" customHeight="1" s="192">
      <c r="W56871" s="235" t="n"/>
      <c r="X56871" s="235" t="n"/>
    </row>
    <row r="56872" ht="14.25" customHeight="1" s="192">
      <c r="W56872" s="239" t="n"/>
      <c r="X56872" s="239" t="n"/>
    </row>
    <row r="56873" ht="14.25" customHeight="1" s="192">
      <c r="W56873" s="239" t="n"/>
      <c r="X56873" s="239" t="n"/>
    </row>
    <row r="56874" ht="14.25" customHeight="1" s="192">
      <c r="W56874" s="235" t="n"/>
      <c r="X56874" s="235" t="n"/>
    </row>
    <row r="56875" ht="14.25" customHeight="1" s="192">
      <c r="W56875" s="235" t="n"/>
      <c r="X56875" s="235" t="n"/>
    </row>
    <row r="56876" ht="14.25" customHeight="1" s="192">
      <c r="W56876" s="239" t="n"/>
      <c r="X56876" s="239" t="n"/>
    </row>
    <row r="56877" ht="14.25" customHeight="1" s="192">
      <c r="W56877" s="235" t="n"/>
      <c r="X56877" s="235" t="n"/>
    </row>
    <row r="56878" ht="14.25" customHeight="1" s="192">
      <c r="W56878" s="239" t="n"/>
      <c r="X56878" s="239" t="n"/>
    </row>
    <row r="56880" ht="14.25" customHeight="1" s="192">
      <c r="W56880" s="235" t="n"/>
      <c r="X56880" s="235" t="n"/>
    </row>
    <row r="56881" ht="15" customHeight="1" s="192" thickBot="1">
      <c r="W56881" s="239" t="n"/>
      <c r="X56881" s="239" t="n"/>
    </row>
    <row r="56882" ht="15" customHeight="1" s="192" thickBot="1">
      <c r="W56882" s="45" t="n"/>
      <c r="X56882" s="45" t="n"/>
    </row>
    <row r="56883" ht="14.25" customHeight="1" s="192">
      <c r="W56883" s="228" t="n"/>
      <c r="X56883" s="228" t="n"/>
    </row>
    <row r="56884" ht="14.25" customHeight="1" s="192">
      <c r="W56884" s="228" t="n"/>
      <c r="X56884" s="228" t="n"/>
    </row>
    <row r="56885" ht="14.25" customHeight="1" s="192">
      <c r="W56885" s="231" t="n"/>
      <c r="X56885" s="231" t="n"/>
    </row>
    <row r="56886" ht="14.25" customHeight="1" s="192">
      <c r="W56886" s="33" t="n"/>
      <c r="X56886" s="33" t="n"/>
    </row>
    <row r="56887" ht="14.25" customHeight="1" s="192">
      <c r="W56887" s="231" t="n"/>
      <c r="X56887" s="231" t="n"/>
    </row>
    <row r="56888" ht="14.25" customHeight="1" s="192">
      <c r="W56888" s="33" t="n"/>
      <c r="X56888" s="33" t="n"/>
    </row>
    <row r="56890" ht="14.25" customHeight="1" s="192">
      <c r="W56890" s="231" t="n"/>
      <c r="X56890" s="231" t="n"/>
    </row>
    <row r="56891" ht="14.25" customHeight="1" s="192">
      <c r="W56891" s="235" t="n"/>
      <c r="X56891" s="235" t="n"/>
    </row>
    <row r="56892" ht="14.25" customHeight="1" s="192">
      <c r="W56892" s="228" t="n"/>
      <c r="X56892" s="228" t="n"/>
    </row>
    <row r="56893" ht="14.25" customHeight="1" s="192">
      <c r="W56893" s="235" t="n"/>
      <c r="X56893" s="235" t="n"/>
    </row>
    <row r="56894" ht="14.25" customHeight="1" s="192">
      <c r="W56894" s="235" t="n"/>
      <c r="X56894" s="235" t="n"/>
    </row>
    <row r="56895" ht="14.25" customHeight="1" s="192">
      <c r="W56895" s="235" t="n"/>
      <c r="X56895" s="235" t="n"/>
    </row>
    <row r="56896" ht="14.25" customHeight="1" s="192">
      <c r="W56896" s="239" t="n"/>
      <c r="X56896" s="239" t="n"/>
    </row>
    <row r="56897" ht="14.25" customHeight="1" s="192">
      <c r="W56897" s="239" t="n"/>
      <c r="X56897" s="239" t="n"/>
    </row>
    <row r="56898" ht="14.25" customHeight="1" s="192">
      <c r="W56898" s="239" t="n"/>
      <c r="X56898" s="239" t="n"/>
    </row>
    <row r="56899" ht="14.25" customHeight="1" s="192">
      <c r="W56899" s="235" t="n"/>
      <c r="X56899" s="235" t="n"/>
    </row>
    <row r="56900" ht="14.25" customHeight="1" s="192">
      <c r="W56900" s="235" t="n"/>
      <c r="X56900" s="235" t="n"/>
    </row>
    <row r="56901" ht="14.25" customHeight="1" s="192">
      <c r="W56901" s="235" t="n"/>
      <c r="X56901" s="235" t="n"/>
    </row>
    <row r="56902" ht="14.25" customHeight="1" s="192">
      <c r="W56902" s="239" t="n"/>
      <c r="X56902" s="239" t="n"/>
    </row>
    <row r="56903" ht="14.25" customHeight="1" s="192">
      <c r="W56903" s="239" t="n"/>
      <c r="X56903" s="239" t="n"/>
    </row>
    <row r="56904" ht="14.25" customHeight="1" s="192">
      <c r="W56904" s="235" t="n"/>
      <c r="X56904" s="235" t="n"/>
    </row>
    <row r="56905" ht="14.25" customHeight="1" s="192">
      <c r="W56905" s="235" t="n"/>
      <c r="X56905" s="235" t="n"/>
    </row>
    <row r="56906" ht="14.25" customHeight="1" s="192">
      <c r="W56906" s="239" t="n"/>
      <c r="X56906" s="239" t="n"/>
    </row>
    <row r="56907" ht="14.25" customHeight="1" s="192">
      <c r="W56907" s="235" t="n"/>
      <c r="X56907" s="235" t="n"/>
    </row>
    <row r="56908" ht="14.25" customHeight="1" s="192">
      <c r="W56908" s="239" t="n"/>
      <c r="X56908" s="239" t="n"/>
    </row>
    <row r="56910" ht="14.25" customHeight="1" s="192">
      <c r="W56910" s="235" t="n"/>
      <c r="X56910" s="235" t="n"/>
    </row>
    <row r="56911" ht="15" customHeight="1" s="192" thickBot="1">
      <c r="W56911" s="239" t="n"/>
      <c r="X56911" s="239" t="n"/>
    </row>
    <row r="56912" ht="15" customHeight="1" s="192" thickBot="1">
      <c r="W56912" s="45" t="n"/>
      <c r="X56912" s="45" t="n"/>
    </row>
    <row r="56913" ht="14.25" customHeight="1" s="192">
      <c r="W56913" s="228" t="n"/>
      <c r="X56913" s="228" t="n"/>
    </row>
    <row r="56914" ht="14.25" customHeight="1" s="192">
      <c r="W56914" s="228" t="n"/>
      <c r="X56914" s="228" t="n"/>
    </row>
    <row r="56915" ht="14.25" customHeight="1" s="192">
      <c r="W56915" s="231" t="n"/>
      <c r="X56915" s="231" t="n"/>
    </row>
    <row r="56916" ht="14.25" customHeight="1" s="192">
      <c r="W56916" s="33" t="n"/>
      <c r="X56916" s="33" t="n"/>
    </row>
    <row r="56917" ht="14.25" customHeight="1" s="192">
      <c r="W56917" s="231" t="n"/>
      <c r="X56917" s="231" t="n"/>
    </row>
    <row r="56918" ht="14.25" customHeight="1" s="192">
      <c r="W56918" s="33" t="n"/>
      <c r="X56918" s="33" t="n"/>
    </row>
    <row r="56920" ht="14.25" customHeight="1" s="192">
      <c r="W56920" s="231" t="n"/>
      <c r="X56920" s="231" t="n"/>
    </row>
    <row r="56921" ht="14.25" customHeight="1" s="192">
      <c r="W56921" s="235" t="n"/>
      <c r="X56921" s="235" t="n"/>
    </row>
    <row r="56922" ht="14.25" customHeight="1" s="192">
      <c r="W56922" s="228" t="n"/>
      <c r="X56922" s="228" t="n"/>
    </row>
    <row r="56923" ht="14.25" customHeight="1" s="192">
      <c r="W56923" s="235" t="n"/>
      <c r="X56923" s="235" t="n"/>
    </row>
    <row r="56924" ht="14.25" customHeight="1" s="192">
      <c r="W56924" s="235" t="n"/>
      <c r="X56924" s="235" t="n"/>
    </row>
    <row r="56925" ht="14.25" customHeight="1" s="192">
      <c r="W56925" s="235" t="n"/>
      <c r="X56925" s="235" t="n"/>
    </row>
    <row r="56926" ht="14.25" customHeight="1" s="192">
      <c r="W56926" s="239" t="n"/>
      <c r="X56926" s="239" t="n"/>
    </row>
    <row r="56927" ht="14.25" customHeight="1" s="192">
      <c r="W56927" s="239" t="n"/>
      <c r="X56927" s="239" t="n"/>
    </row>
    <row r="56928" ht="14.25" customHeight="1" s="192">
      <c r="W56928" s="239" t="n"/>
      <c r="X56928" s="239" t="n"/>
    </row>
    <row r="56929" ht="14.25" customHeight="1" s="192">
      <c r="W56929" s="235" t="n"/>
      <c r="X56929" s="235" t="n"/>
    </row>
    <row r="56930" ht="14.25" customHeight="1" s="192">
      <c r="W56930" s="235" t="n"/>
      <c r="X56930" s="235" t="n"/>
    </row>
    <row r="56931" ht="14.25" customHeight="1" s="192">
      <c r="W56931" s="235" t="n"/>
      <c r="X56931" s="235" t="n"/>
    </row>
    <row r="56932" ht="14.25" customHeight="1" s="192">
      <c r="W56932" s="239" t="n"/>
      <c r="X56932" s="239" t="n"/>
    </row>
    <row r="56933" ht="14.25" customHeight="1" s="192">
      <c r="W56933" s="239" t="n"/>
      <c r="X56933" s="239" t="n"/>
    </row>
    <row r="56934" ht="14.25" customHeight="1" s="192">
      <c r="W56934" s="235" t="n"/>
      <c r="X56934" s="235" t="n"/>
    </row>
    <row r="56935" ht="14.25" customHeight="1" s="192">
      <c r="W56935" s="235" t="n"/>
      <c r="X56935" s="235" t="n"/>
    </row>
    <row r="56936" ht="14.25" customHeight="1" s="192">
      <c r="W56936" s="239" t="n"/>
      <c r="X56936" s="239" t="n"/>
    </row>
    <row r="56937" ht="14.25" customHeight="1" s="192">
      <c r="W56937" s="235" t="n"/>
      <c r="X56937" s="235" t="n"/>
    </row>
    <row r="56938" ht="14.25" customHeight="1" s="192">
      <c r="W56938" s="239" t="n"/>
      <c r="X56938" s="239" t="n"/>
    </row>
    <row r="56940" ht="14.25" customHeight="1" s="192">
      <c r="W56940" s="235" t="n"/>
      <c r="X56940" s="235" t="n"/>
    </row>
    <row r="56941" ht="15" customHeight="1" s="192" thickBot="1">
      <c r="W56941" s="239" t="n"/>
      <c r="X56941" s="239" t="n"/>
    </row>
    <row r="56942" ht="15" customHeight="1" s="192" thickBot="1">
      <c r="W56942" s="45" t="n"/>
      <c r="X56942" s="45" t="n"/>
    </row>
    <row r="56943" ht="14.25" customHeight="1" s="192">
      <c r="W56943" s="228" t="n"/>
      <c r="X56943" s="228" t="n"/>
    </row>
    <row r="56944" ht="14.25" customHeight="1" s="192">
      <c r="W56944" s="228" t="n"/>
      <c r="X56944" s="228" t="n"/>
    </row>
    <row r="56945" ht="14.25" customHeight="1" s="192">
      <c r="W56945" s="231" t="n"/>
      <c r="X56945" s="231" t="n"/>
    </row>
    <row r="56946" ht="14.25" customHeight="1" s="192">
      <c r="W56946" s="33" t="n"/>
      <c r="X56946" s="33" t="n"/>
    </row>
    <row r="56947" ht="14.25" customHeight="1" s="192">
      <c r="W56947" s="231" t="n"/>
      <c r="X56947" s="231" t="n"/>
    </row>
    <row r="56948" ht="14.25" customHeight="1" s="192">
      <c r="W56948" s="33" t="n"/>
      <c r="X56948" s="33" t="n"/>
    </row>
    <row r="56950" ht="14.25" customHeight="1" s="192">
      <c r="W56950" s="231" t="n"/>
      <c r="X56950" s="231" t="n"/>
    </row>
    <row r="56951" ht="14.25" customHeight="1" s="192">
      <c r="W56951" s="235" t="n"/>
      <c r="X56951" s="235" t="n"/>
    </row>
    <row r="56952" ht="14.25" customHeight="1" s="192">
      <c r="W56952" s="228" t="n"/>
      <c r="X56952" s="228" t="n"/>
    </row>
    <row r="56953" ht="14.25" customHeight="1" s="192">
      <c r="W56953" s="235" t="n"/>
      <c r="X56953" s="235" t="n"/>
    </row>
    <row r="56954" ht="14.25" customHeight="1" s="192">
      <c r="W56954" s="235" t="n"/>
      <c r="X56954" s="235" t="n"/>
    </row>
    <row r="56955" ht="14.25" customHeight="1" s="192">
      <c r="W56955" s="235" t="n"/>
      <c r="X56955" s="235" t="n"/>
    </row>
    <row r="56956" ht="14.25" customHeight="1" s="192">
      <c r="W56956" s="239" t="n"/>
      <c r="X56956" s="239" t="n"/>
    </row>
    <row r="56957" ht="14.25" customHeight="1" s="192">
      <c r="W56957" s="239" t="n"/>
      <c r="X56957" s="239" t="n"/>
    </row>
    <row r="56958" ht="14.25" customHeight="1" s="192">
      <c r="W56958" s="239" t="n"/>
      <c r="X56958" s="239" t="n"/>
    </row>
    <row r="56959" ht="14.25" customHeight="1" s="192">
      <c r="W56959" s="235" t="n"/>
      <c r="X56959" s="235" t="n"/>
    </row>
    <row r="56960" ht="14.25" customHeight="1" s="192">
      <c r="W56960" s="235" t="n"/>
      <c r="X56960" s="235" t="n"/>
    </row>
    <row r="56961" ht="14.25" customHeight="1" s="192">
      <c r="W56961" s="235" t="n"/>
      <c r="X56961" s="235" t="n"/>
    </row>
    <row r="56962" ht="14.25" customHeight="1" s="192">
      <c r="W56962" s="239" t="n"/>
      <c r="X56962" s="239" t="n"/>
    </row>
    <row r="56963" ht="14.25" customHeight="1" s="192">
      <c r="W56963" s="239" t="n"/>
      <c r="X56963" s="239" t="n"/>
    </row>
    <row r="56964" ht="14.25" customHeight="1" s="192">
      <c r="W56964" s="235" t="n"/>
      <c r="X56964" s="235" t="n"/>
    </row>
    <row r="56965" ht="14.25" customHeight="1" s="192">
      <c r="W56965" s="235" t="n"/>
      <c r="X56965" s="235" t="n"/>
    </row>
    <row r="56966" ht="14.25" customHeight="1" s="192">
      <c r="W56966" s="239" t="n"/>
      <c r="X56966" s="239" t="n"/>
    </row>
    <row r="56967" ht="14.25" customHeight="1" s="192">
      <c r="W56967" s="235" t="n"/>
      <c r="X56967" s="235" t="n"/>
    </row>
    <row r="56968" ht="14.25" customHeight="1" s="192">
      <c r="W56968" s="239" t="n"/>
      <c r="X56968" s="239" t="n"/>
    </row>
    <row r="56970" ht="14.25" customHeight="1" s="192">
      <c r="W56970" s="235" t="n"/>
      <c r="X56970" s="235" t="n"/>
    </row>
    <row r="56971" ht="15" customHeight="1" s="192" thickBot="1">
      <c r="W56971" s="239" t="n"/>
      <c r="X56971" s="239" t="n"/>
    </row>
    <row r="56972" ht="15" customHeight="1" s="192" thickBot="1">
      <c r="W56972" s="45" t="n"/>
      <c r="X56972" s="45" t="n"/>
    </row>
    <row r="56973" ht="14.25" customHeight="1" s="192">
      <c r="W56973" s="228" t="n"/>
      <c r="X56973" s="228" t="n"/>
    </row>
    <row r="56974" ht="14.25" customHeight="1" s="192">
      <c r="W56974" s="228" t="n"/>
      <c r="X56974" s="228" t="n"/>
    </row>
    <row r="56975" ht="14.25" customHeight="1" s="192">
      <c r="W56975" s="231" t="n"/>
      <c r="X56975" s="231" t="n"/>
    </row>
    <row r="56976" ht="14.25" customHeight="1" s="192">
      <c r="W56976" s="33" t="n"/>
      <c r="X56976" s="33" t="n"/>
    </row>
    <row r="56977" ht="14.25" customHeight="1" s="192">
      <c r="W56977" s="231" t="n"/>
      <c r="X56977" s="231" t="n"/>
    </row>
    <row r="56978" ht="14.25" customHeight="1" s="192">
      <c r="W56978" s="33" t="n"/>
      <c r="X56978" s="33" t="n"/>
    </row>
    <row r="56980" ht="14.25" customHeight="1" s="192">
      <c r="W56980" s="231" t="n"/>
      <c r="X56980" s="231" t="n"/>
    </row>
    <row r="56981" ht="14.25" customHeight="1" s="192">
      <c r="W56981" s="235" t="n"/>
      <c r="X56981" s="235" t="n"/>
    </row>
    <row r="56982" ht="14.25" customHeight="1" s="192">
      <c r="W56982" s="228" t="n"/>
      <c r="X56982" s="228" t="n"/>
    </row>
    <row r="56983" ht="14.25" customHeight="1" s="192">
      <c r="W56983" s="235" t="n"/>
      <c r="X56983" s="235" t="n"/>
    </row>
    <row r="56984" ht="14.25" customHeight="1" s="192">
      <c r="W56984" s="235" t="n"/>
      <c r="X56984" s="235" t="n"/>
    </row>
    <row r="56985" ht="14.25" customHeight="1" s="192">
      <c r="W56985" s="235" t="n"/>
      <c r="X56985" s="235" t="n"/>
    </row>
    <row r="56986" ht="14.25" customHeight="1" s="192">
      <c r="W56986" s="239" t="n"/>
      <c r="X56986" s="239" t="n"/>
    </row>
    <row r="56987" ht="14.25" customHeight="1" s="192">
      <c r="W56987" s="239" t="n"/>
      <c r="X56987" s="239" t="n"/>
    </row>
    <row r="56988" ht="14.25" customHeight="1" s="192">
      <c r="W56988" s="239" t="n"/>
      <c r="X56988" s="239" t="n"/>
    </row>
    <row r="56989" ht="14.25" customHeight="1" s="192">
      <c r="W56989" s="235" t="n"/>
      <c r="X56989" s="235" t="n"/>
    </row>
    <row r="56990" ht="14.25" customHeight="1" s="192">
      <c r="W56990" s="235" t="n"/>
      <c r="X56990" s="235" t="n"/>
    </row>
    <row r="56991" ht="14.25" customHeight="1" s="192">
      <c r="W56991" s="235" t="n"/>
      <c r="X56991" s="235" t="n"/>
    </row>
    <row r="56992" ht="14.25" customHeight="1" s="192">
      <c r="W56992" s="239" t="n"/>
      <c r="X56992" s="239" t="n"/>
    </row>
    <row r="56993" ht="14.25" customHeight="1" s="192">
      <c r="W56993" s="239" t="n"/>
      <c r="X56993" s="239" t="n"/>
    </row>
    <row r="56994" ht="14.25" customHeight="1" s="192">
      <c r="W56994" s="235" t="n"/>
      <c r="X56994" s="235" t="n"/>
    </row>
    <row r="56995" ht="14.25" customHeight="1" s="192">
      <c r="W56995" s="235" t="n"/>
      <c r="X56995" s="235" t="n"/>
    </row>
    <row r="56996" ht="14.25" customHeight="1" s="192">
      <c r="W56996" s="239" t="n"/>
      <c r="X56996" s="239" t="n"/>
    </row>
    <row r="56997" ht="14.25" customHeight="1" s="192">
      <c r="W56997" s="235" t="n"/>
      <c r="X56997" s="235" t="n"/>
    </row>
    <row r="56998" ht="14.25" customHeight="1" s="192">
      <c r="W56998" s="239" t="n"/>
      <c r="X56998" s="239" t="n"/>
    </row>
    <row r="57000" ht="14.25" customHeight="1" s="192">
      <c r="W57000" s="235" t="n"/>
      <c r="X57000" s="235" t="n"/>
    </row>
    <row r="57001" ht="15" customHeight="1" s="192" thickBot="1">
      <c r="W57001" s="239" t="n"/>
      <c r="X57001" s="239" t="n"/>
    </row>
    <row r="57002" ht="15" customHeight="1" s="192" thickBot="1">
      <c r="W57002" s="45" t="n"/>
      <c r="X57002" s="45" t="n"/>
    </row>
    <row r="57003" ht="14.25" customHeight="1" s="192">
      <c r="W57003" s="228" t="n"/>
      <c r="X57003" s="228" t="n"/>
    </row>
    <row r="57004" ht="14.25" customHeight="1" s="192">
      <c r="W57004" s="228" t="n"/>
      <c r="X57004" s="228" t="n"/>
    </row>
    <row r="57005" ht="14.25" customHeight="1" s="192">
      <c r="W57005" s="231" t="n"/>
      <c r="X57005" s="231" t="n"/>
    </row>
    <row r="57006" ht="14.25" customHeight="1" s="192">
      <c r="W57006" s="33" t="n"/>
      <c r="X57006" s="33" t="n"/>
    </row>
    <row r="57007" ht="14.25" customHeight="1" s="192">
      <c r="W57007" s="231" t="n"/>
      <c r="X57007" s="231" t="n"/>
    </row>
    <row r="57008" ht="14.25" customHeight="1" s="192">
      <c r="W57008" s="33" t="n"/>
      <c r="X57008" s="33" t="n"/>
    </row>
    <row r="57010" ht="14.25" customHeight="1" s="192">
      <c r="W57010" s="231" t="n"/>
      <c r="X57010" s="231" t="n"/>
    </row>
    <row r="57011" ht="14.25" customHeight="1" s="192">
      <c r="W57011" s="235" t="n"/>
      <c r="X57011" s="235" t="n"/>
    </row>
    <row r="57012" ht="14.25" customHeight="1" s="192">
      <c r="W57012" s="228" t="n"/>
      <c r="X57012" s="228" t="n"/>
    </row>
    <row r="57013" ht="14.25" customHeight="1" s="192">
      <c r="W57013" s="235" t="n"/>
      <c r="X57013" s="235" t="n"/>
    </row>
    <row r="57014" ht="14.25" customHeight="1" s="192">
      <c r="W57014" s="235" t="n"/>
      <c r="X57014" s="235" t="n"/>
    </row>
    <row r="57015" ht="14.25" customHeight="1" s="192">
      <c r="W57015" s="235" t="n"/>
      <c r="X57015" s="235" t="n"/>
    </row>
    <row r="57016" ht="14.25" customHeight="1" s="192">
      <c r="W57016" s="239" t="n"/>
      <c r="X57016" s="239" t="n"/>
    </row>
    <row r="57017" ht="14.25" customHeight="1" s="192">
      <c r="W57017" s="239" t="n"/>
      <c r="X57017" s="239" t="n"/>
    </row>
    <row r="57018" ht="14.25" customHeight="1" s="192">
      <c r="W57018" s="239" t="n"/>
      <c r="X57018" s="239" t="n"/>
    </row>
    <row r="57019" ht="14.25" customHeight="1" s="192">
      <c r="W57019" s="235" t="n"/>
      <c r="X57019" s="235" t="n"/>
    </row>
    <row r="57020" ht="14.25" customHeight="1" s="192">
      <c r="W57020" s="235" t="n"/>
      <c r="X57020" s="235" t="n"/>
    </row>
    <row r="57021" ht="14.25" customHeight="1" s="192">
      <c r="W57021" s="235" t="n"/>
      <c r="X57021" s="235" t="n"/>
    </row>
    <row r="57022" ht="14.25" customHeight="1" s="192">
      <c r="W57022" s="239" t="n"/>
      <c r="X57022" s="239" t="n"/>
    </row>
    <row r="57023" ht="14.25" customHeight="1" s="192">
      <c r="W57023" s="239" t="n"/>
      <c r="X57023" s="239" t="n"/>
    </row>
    <row r="57024" ht="14.25" customHeight="1" s="192">
      <c r="W57024" s="235" t="n"/>
      <c r="X57024" s="235" t="n"/>
    </row>
    <row r="57025" ht="14.25" customHeight="1" s="192">
      <c r="W57025" s="235" t="n"/>
      <c r="X57025" s="235" t="n"/>
    </row>
    <row r="57026" ht="14.25" customHeight="1" s="192">
      <c r="W57026" s="239" t="n"/>
      <c r="X57026" s="239" t="n"/>
    </row>
    <row r="57027" ht="14.25" customHeight="1" s="192">
      <c r="W57027" s="235" t="n"/>
      <c r="X57027" s="235" t="n"/>
    </row>
    <row r="57028" ht="14.25" customHeight="1" s="192">
      <c r="W57028" s="239" t="n"/>
      <c r="X57028" s="239" t="n"/>
    </row>
    <row r="57030" ht="14.25" customHeight="1" s="192">
      <c r="W57030" s="235" t="n"/>
      <c r="X57030" s="235" t="n"/>
    </row>
    <row r="57031" ht="15" customHeight="1" s="192" thickBot="1">
      <c r="W57031" s="239" t="n"/>
      <c r="X57031" s="239" t="n"/>
    </row>
    <row r="57032" ht="15" customHeight="1" s="192" thickBot="1">
      <c r="W57032" s="45" t="n"/>
      <c r="X57032" s="45" t="n"/>
    </row>
    <row r="57033" ht="14.25" customHeight="1" s="192">
      <c r="W57033" s="228" t="n"/>
      <c r="X57033" s="228" t="n"/>
    </row>
    <row r="57034" ht="14.25" customHeight="1" s="192">
      <c r="W57034" s="228" t="n"/>
      <c r="X57034" s="228" t="n"/>
    </row>
    <row r="57035" ht="14.25" customHeight="1" s="192">
      <c r="W57035" s="231" t="n"/>
      <c r="X57035" s="231" t="n"/>
    </row>
    <row r="57036" ht="14.25" customHeight="1" s="192">
      <c r="W57036" s="33" t="n"/>
      <c r="X57036" s="33" t="n"/>
    </row>
    <row r="57037" ht="14.25" customHeight="1" s="192">
      <c r="W57037" s="231" t="n"/>
      <c r="X57037" s="231" t="n"/>
    </row>
    <row r="57038" ht="14.25" customHeight="1" s="192">
      <c r="W57038" s="33" t="n"/>
      <c r="X57038" s="33" t="n"/>
    </row>
    <row r="57040" ht="14.25" customHeight="1" s="192">
      <c r="W57040" s="231" t="n"/>
      <c r="X57040" s="231" t="n"/>
    </row>
    <row r="57041" ht="14.25" customHeight="1" s="192">
      <c r="W57041" s="235" t="n"/>
      <c r="X57041" s="235" t="n"/>
    </row>
    <row r="57042" ht="14.25" customHeight="1" s="192">
      <c r="W57042" s="228" t="n"/>
      <c r="X57042" s="228" t="n"/>
    </row>
    <row r="57043" ht="14.25" customHeight="1" s="192">
      <c r="W57043" s="235" t="n"/>
      <c r="X57043" s="235" t="n"/>
    </row>
    <row r="57044" ht="14.25" customHeight="1" s="192">
      <c r="W57044" s="235" t="n"/>
      <c r="X57044" s="235" t="n"/>
    </row>
    <row r="57045" ht="14.25" customHeight="1" s="192">
      <c r="W57045" s="235" t="n"/>
      <c r="X57045" s="235" t="n"/>
    </row>
    <row r="57046" ht="14.25" customHeight="1" s="192">
      <c r="W57046" s="239" t="n"/>
      <c r="X57046" s="239" t="n"/>
    </row>
    <row r="57047" ht="14.25" customHeight="1" s="192">
      <c r="W57047" s="239" t="n"/>
      <c r="X57047" s="239" t="n"/>
    </row>
    <row r="57048" ht="14.25" customHeight="1" s="192">
      <c r="W57048" s="239" t="n"/>
      <c r="X57048" s="239" t="n"/>
    </row>
    <row r="57049" ht="14.25" customHeight="1" s="192">
      <c r="W57049" s="235" t="n"/>
      <c r="X57049" s="235" t="n"/>
    </row>
    <row r="57050" ht="14.25" customHeight="1" s="192">
      <c r="W57050" s="235" t="n"/>
      <c r="X57050" s="235" t="n"/>
    </row>
    <row r="57051" ht="14.25" customHeight="1" s="192">
      <c r="W57051" s="235" t="n"/>
      <c r="X57051" s="235" t="n"/>
    </row>
    <row r="57052" ht="14.25" customHeight="1" s="192">
      <c r="W57052" s="239" t="n"/>
      <c r="X57052" s="239" t="n"/>
    </row>
    <row r="57053" ht="14.25" customHeight="1" s="192">
      <c r="W57053" s="239" t="n"/>
      <c r="X57053" s="239" t="n"/>
    </row>
    <row r="57054" ht="14.25" customHeight="1" s="192">
      <c r="W57054" s="235" t="n"/>
      <c r="X57054" s="235" t="n"/>
    </row>
    <row r="57055" ht="14.25" customHeight="1" s="192">
      <c r="W57055" s="235" t="n"/>
      <c r="X57055" s="235" t="n"/>
    </row>
    <row r="57056" ht="14.25" customHeight="1" s="192">
      <c r="W57056" s="239" t="n"/>
      <c r="X57056" s="239" t="n"/>
    </row>
    <row r="57057" ht="14.25" customHeight="1" s="192">
      <c r="W57057" s="235" t="n"/>
      <c r="X57057" s="235" t="n"/>
    </row>
    <row r="57058" ht="14.25" customHeight="1" s="192">
      <c r="W57058" s="239" t="n"/>
      <c r="X57058" s="239" t="n"/>
    </row>
    <row r="57060" ht="14.25" customHeight="1" s="192">
      <c r="W57060" s="235" t="n"/>
      <c r="X57060" s="235" t="n"/>
    </row>
    <row r="57061" ht="15" customHeight="1" s="192" thickBot="1">
      <c r="W57061" s="239" t="n"/>
      <c r="X57061" s="239" t="n"/>
    </row>
    <row r="57062" ht="15" customHeight="1" s="192" thickBot="1">
      <c r="W57062" s="45" t="n"/>
      <c r="X57062" s="45" t="n"/>
    </row>
    <row r="57063" ht="14.25" customHeight="1" s="192">
      <c r="W57063" s="228" t="n"/>
      <c r="X57063" s="228" t="n"/>
    </row>
    <row r="57064" ht="14.25" customHeight="1" s="192">
      <c r="W57064" s="228" t="n"/>
      <c r="X57064" s="228" t="n"/>
    </row>
    <row r="57065" ht="14.25" customHeight="1" s="192">
      <c r="W57065" s="231" t="n"/>
      <c r="X57065" s="231" t="n"/>
    </row>
    <row r="57066" ht="14.25" customHeight="1" s="192">
      <c r="W57066" s="33" t="n"/>
      <c r="X57066" s="33" t="n"/>
    </row>
    <row r="57067" ht="14.25" customHeight="1" s="192">
      <c r="W57067" s="231" t="n"/>
      <c r="X57067" s="231" t="n"/>
    </row>
    <row r="57068" ht="14.25" customHeight="1" s="192">
      <c r="W57068" s="33" t="n"/>
      <c r="X57068" s="33" t="n"/>
    </row>
    <row r="57070" ht="14.25" customHeight="1" s="192">
      <c r="W57070" s="231" t="n"/>
      <c r="X57070" s="231" t="n"/>
    </row>
    <row r="57071" ht="14.25" customHeight="1" s="192">
      <c r="W57071" s="235" t="n"/>
      <c r="X57071" s="235" t="n"/>
    </row>
    <row r="57072" ht="14.25" customHeight="1" s="192">
      <c r="W57072" s="228" t="n"/>
      <c r="X57072" s="228" t="n"/>
    </row>
    <row r="57073" ht="14.25" customHeight="1" s="192">
      <c r="W57073" s="235" t="n"/>
      <c r="X57073" s="235" t="n"/>
    </row>
    <row r="57074" ht="14.25" customHeight="1" s="192">
      <c r="W57074" s="235" t="n"/>
      <c r="X57074" s="235" t="n"/>
    </row>
    <row r="57075" ht="14.25" customHeight="1" s="192">
      <c r="W57075" s="235" t="n"/>
      <c r="X57075" s="235" t="n"/>
    </row>
    <row r="57076" ht="14.25" customHeight="1" s="192">
      <c r="W57076" s="239" t="n"/>
      <c r="X57076" s="239" t="n"/>
    </row>
    <row r="57077" ht="14.25" customHeight="1" s="192">
      <c r="W57077" s="239" t="n"/>
      <c r="X57077" s="239" t="n"/>
    </row>
    <row r="57078" ht="14.25" customHeight="1" s="192">
      <c r="W57078" s="239" t="n"/>
      <c r="X57078" s="239" t="n"/>
    </row>
    <row r="57079" ht="14.25" customHeight="1" s="192">
      <c r="W57079" s="235" t="n"/>
      <c r="X57079" s="235" t="n"/>
    </row>
    <row r="57080" ht="14.25" customHeight="1" s="192">
      <c r="W57080" s="235" t="n"/>
      <c r="X57080" s="235" t="n"/>
    </row>
    <row r="57081" ht="14.25" customHeight="1" s="192">
      <c r="W57081" s="235" t="n"/>
      <c r="X57081" s="235" t="n"/>
    </row>
    <row r="57082" ht="14.25" customHeight="1" s="192">
      <c r="W57082" s="239" t="n"/>
      <c r="X57082" s="239" t="n"/>
    </row>
    <row r="57083" ht="14.25" customHeight="1" s="192">
      <c r="W57083" s="239" t="n"/>
      <c r="X57083" s="239" t="n"/>
    </row>
    <row r="57084" ht="14.25" customHeight="1" s="192">
      <c r="W57084" s="235" t="n"/>
      <c r="X57084" s="235" t="n"/>
    </row>
    <row r="57085" ht="14.25" customHeight="1" s="192">
      <c r="W57085" s="235" t="n"/>
      <c r="X57085" s="235" t="n"/>
    </row>
    <row r="57086" ht="14.25" customHeight="1" s="192">
      <c r="W57086" s="239" t="n"/>
      <c r="X57086" s="239" t="n"/>
    </row>
    <row r="57087" ht="14.25" customHeight="1" s="192">
      <c r="W57087" s="235" t="n"/>
      <c r="X57087" s="235" t="n"/>
    </row>
    <row r="57088" ht="14.25" customHeight="1" s="192">
      <c r="W57088" s="239" t="n"/>
      <c r="X57088" s="239" t="n"/>
    </row>
    <row r="57090" ht="14.25" customHeight="1" s="192">
      <c r="W57090" s="235" t="n"/>
      <c r="X57090" s="235" t="n"/>
    </row>
    <row r="57091" ht="15" customHeight="1" s="192" thickBot="1">
      <c r="W57091" s="239" t="n"/>
      <c r="X57091" s="239" t="n"/>
    </row>
    <row r="57092" ht="15" customHeight="1" s="192" thickBot="1">
      <c r="W57092" s="45" t="n"/>
      <c r="X57092" s="45" t="n"/>
    </row>
    <row r="57093" ht="14.25" customHeight="1" s="192">
      <c r="W57093" s="228" t="n"/>
      <c r="X57093" s="228" t="n"/>
    </row>
    <row r="57094" ht="14.25" customHeight="1" s="192">
      <c r="W57094" s="228" t="n"/>
      <c r="X57094" s="228" t="n"/>
    </row>
    <row r="57095" ht="14.25" customHeight="1" s="192">
      <c r="W57095" s="231" t="n"/>
      <c r="X57095" s="231" t="n"/>
    </row>
    <row r="57096" ht="14.25" customHeight="1" s="192">
      <c r="W57096" s="33" t="n"/>
      <c r="X57096" s="33" t="n"/>
    </row>
    <row r="57097" ht="14.25" customHeight="1" s="192">
      <c r="W57097" s="231" t="n"/>
      <c r="X57097" s="231" t="n"/>
    </row>
    <row r="57098" ht="14.25" customHeight="1" s="192">
      <c r="W57098" s="33" t="n"/>
      <c r="X57098" s="33" t="n"/>
    </row>
    <row r="57100" ht="14.25" customHeight="1" s="192">
      <c r="W57100" s="231" t="n"/>
      <c r="X57100" s="231" t="n"/>
    </row>
    <row r="57101" ht="14.25" customHeight="1" s="192">
      <c r="W57101" s="235" t="n"/>
      <c r="X57101" s="235" t="n"/>
    </row>
    <row r="57102" ht="14.25" customHeight="1" s="192">
      <c r="W57102" s="228" t="n"/>
      <c r="X57102" s="228" t="n"/>
    </row>
    <row r="57103" ht="14.25" customHeight="1" s="192">
      <c r="W57103" s="235" t="n"/>
      <c r="X57103" s="235" t="n"/>
    </row>
    <row r="57104" ht="14.25" customHeight="1" s="192">
      <c r="W57104" s="235" t="n"/>
      <c r="X57104" s="235" t="n"/>
    </row>
    <row r="57105" ht="14.25" customHeight="1" s="192">
      <c r="W57105" s="235" t="n"/>
      <c r="X57105" s="235" t="n"/>
    </row>
    <row r="57106" ht="14.25" customHeight="1" s="192">
      <c r="W57106" s="239" t="n"/>
      <c r="X57106" s="239" t="n"/>
    </row>
    <row r="57107" ht="14.25" customHeight="1" s="192">
      <c r="W57107" s="239" t="n"/>
      <c r="X57107" s="239" t="n"/>
    </row>
    <row r="57108" ht="14.25" customHeight="1" s="192">
      <c r="W57108" s="239" t="n"/>
      <c r="X57108" s="239" t="n"/>
    </row>
    <row r="57109" ht="14.25" customHeight="1" s="192">
      <c r="W57109" s="235" t="n"/>
      <c r="X57109" s="235" t="n"/>
    </row>
    <row r="57110" ht="14.25" customHeight="1" s="192">
      <c r="W57110" s="235" t="n"/>
      <c r="X57110" s="235" t="n"/>
    </row>
    <row r="57111" ht="14.25" customHeight="1" s="192">
      <c r="W57111" s="235" t="n"/>
      <c r="X57111" s="235" t="n"/>
    </row>
    <row r="57112" ht="14.25" customHeight="1" s="192">
      <c r="W57112" s="239" t="n"/>
      <c r="X57112" s="239" t="n"/>
    </row>
    <row r="57113" ht="14.25" customHeight="1" s="192">
      <c r="W57113" s="239" t="n"/>
      <c r="X57113" s="239" t="n"/>
    </row>
    <row r="57114" ht="14.25" customHeight="1" s="192">
      <c r="W57114" s="235" t="n"/>
      <c r="X57114" s="235" t="n"/>
    </row>
    <row r="57115" ht="14.25" customHeight="1" s="192">
      <c r="W57115" s="235" t="n"/>
      <c r="X57115" s="235" t="n"/>
    </row>
    <row r="57116" ht="14.25" customHeight="1" s="192">
      <c r="W57116" s="239" t="n"/>
      <c r="X57116" s="239" t="n"/>
    </row>
    <row r="57117" ht="14.25" customHeight="1" s="192">
      <c r="W57117" s="235" t="n"/>
      <c r="X57117" s="235" t="n"/>
    </row>
    <row r="57118" ht="14.25" customHeight="1" s="192">
      <c r="W57118" s="239" t="n"/>
      <c r="X57118" s="239" t="n"/>
    </row>
    <row r="57120" ht="14.25" customHeight="1" s="192">
      <c r="W57120" s="235" t="n"/>
      <c r="X57120" s="235" t="n"/>
    </row>
    <row r="57121" ht="15" customHeight="1" s="192" thickBot="1">
      <c r="W57121" s="239" t="n"/>
      <c r="X57121" s="239" t="n"/>
    </row>
    <row r="57122" ht="15" customHeight="1" s="192" thickBot="1">
      <c r="W57122" s="45" t="n"/>
      <c r="X57122" s="45" t="n"/>
    </row>
    <row r="57123" ht="14.25" customHeight="1" s="192">
      <c r="W57123" s="228" t="n"/>
      <c r="X57123" s="228" t="n"/>
    </row>
    <row r="57124" ht="14.25" customHeight="1" s="192">
      <c r="W57124" s="228" t="n"/>
      <c r="X57124" s="228" t="n"/>
    </row>
    <row r="57125" ht="14.25" customHeight="1" s="192">
      <c r="W57125" s="231" t="n"/>
      <c r="X57125" s="231" t="n"/>
    </row>
    <row r="57126" ht="14.25" customHeight="1" s="192">
      <c r="W57126" s="33" t="n"/>
      <c r="X57126" s="33" t="n"/>
    </row>
    <row r="57127" ht="14.25" customHeight="1" s="192">
      <c r="W57127" s="231" t="n"/>
      <c r="X57127" s="231" t="n"/>
    </row>
    <row r="57128" ht="14.25" customHeight="1" s="192">
      <c r="W57128" s="33" t="n"/>
      <c r="X57128" s="33" t="n"/>
    </row>
    <row r="57130" ht="14.25" customHeight="1" s="192">
      <c r="W57130" s="231" t="n"/>
      <c r="X57130" s="231" t="n"/>
    </row>
    <row r="57131" ht="14.25" customHeight="1" s="192">
      <c r="W57131" s="235" t="n"/>
      <c r="X57131" s="235" t="n"/>
    </row>
    <row r="57132" ht="14.25" customHeight="1" s="192">
      <c r="W57132" s="228" t="n"/>
      <c r="X57132" s="228" t="n"/>
    </row>
    <row r="57133" ht="14.25" customHeight="1" s="192">
      <c r="W57133" s="235" t="n"/>
      <c r="X57133" s="235" t="n"/>
    </row>
    <row r="57134" ht="14.25" customHeight="1" s="192">
      <c r="W57134" s="235" t="n"/>
      <c r="X57134" s="235" t="n"/>
    </row>
    <row r="57135" ht="14.25" customHeight="1" s="192">
      <c r="W57135" s="235" t="n"/>
      <c r="X57135" s="235" t="n"/>
    </row>
    <row r="57136" ht="14.25" customHeight="1" s="192">
      <c r="W57136" s="239" t="n"/>
      <c r="X57136" s="239" t="n"/>
    </row>
    <row r="57137" ht="14.25" customHeight="1" s="192">
      <c r="W57137" s="239" t="n"/>
      <c r="X57137" s="239" t="n"/>
    </row>
    <row r="57138" ht="14.25" customHeight="1" s="192">
      <c r="W57138" s="239" t="n"/>
      <c r="X57138" s="239" t="n"/>
    </row>
    <row r="57139" ht="14.25" customHeight="1" s="192">
      <c r="W57139" s="235" t="n"/>
      <c r="X57139" s="235" t="n"/>
    </row>
    <row r="57140" ht="14.25" customHeight="1" s="192">
      <c r="W57140" s="235" t="n"/>
      <c r="X57140" s="235" t="n"/>
    </row>
    <row r="57141" ht="14.25" customHeight="1" s="192">
      <c r="W57141" s="235" t="n"/>
      <c r="X57141" s="235" t="n"/>
    </row>
    <row r="57142" ht="14.25" customHeight="1" s="192">
      <c r="W57142" s="239" t="n"/>
      <c r="X57142" s="239" t="n"/>
    </row>
    <row r="57143" ht="14.25" customHeight="1" s="192">
      <c r="W57143" s="239" t="n"/>
      <c r="X57143" s="239" t="n"/>
    </row>
    <row r="57144" ht="14.25" customHeight="1" s="192">
      <c r="W57144" s="235" t="n"/>
      <c r="X57144" s="235" t="n"/>
    </row>
    <row r="57145" ht="14.25" customHeight="1" s="192">
      <c r="W57145" s="235" t="n"/>
      <c r="X57145" s="235" t="n"/>
    </row>
    <row r="57146" ht="14.25" customHeight="1" s="192">
      <c r="W57146" s="239" t="n"/>
      <c r="X57146" s="239" t="n"/>
    </row>
    <row r="57147" ht="14.25" customHeight="1" s="192">
      <c r="W57147" s="235" t="n"/>
      <c r="X57147" s="235" t="n"/>
    </row>
    <row r="57148" ht="14.25" customHeight="1" s="192">
      <c r="W57148" s="239" t="n"/>
      <c r="X57148" s="239" t="n"/>
    </row>
    <row r="57150" ht="14.25" customHeight="1" s="192">
      <c r="W57150" s="235" t="n"/>
      <c r="X57150" s="235" t="n"/>
    </row>
    <row r="57151" ht="15" customHeight="1" s="192" thickBot="1">
      <c r="W57151" s="239" t="n"/>
      <c r="X57151" s="239" t="n"/>
    </row>
    <row r="57152" ht="15" customHeight="1" s="192" thickBot="1">
      <c r="W57152" s="45" t="n"/>
      <c r="X57152" s="45" t="n"/>
    </row>
    <row r="57153" ht="14.25" customHeight="1" s="192">
      <c r="W57153" s="228" t="n"/>
      <c r="X57153" s="228" t="n"/>
    </row>
    <row r="57154" ht="14.25" customHeight="1" s="192">
      <c r="W57154" s="228" t="n"/>
      <c r="X57154" s="228" t="n"/>
    </row>
    <row r="57155" ht="14.25" customHeight="1" s="192">
      <c r="W57155" s="231" t="n"/>
      <c r="X57155" s="231" t="n"/>
    </row>
    <row r="57156" ht="14.25" customHeight="1" s="192">
      <c r="W57156" s="33" t="n"/>
      <c r="X57156" s="33" t="n"/>
    </row>
    <row r="57157" ht="14.25" customHeight="1" s="192">
      <c r="W57157" s="231" t="n"/>
      <c r="X57157" s="231" t="n"/>
    </row>
    <row r="57158" ht="14.25" customHeight="1" s="192">
      <c r="W57158" s="33" t="n"/>
      <c r="X57158" s="33" t="n"/>
    </row>
    <row r="57160" ht="14.25" customHeight="1" s="192">
      <c r="W57160" s="231" t="n"/>
      <c r="X57160" s="231" t="n"/>
    </row>
    <row r="57161" ht="14.25" customHeight="1" s="192">
      <c r="W57161" s="235" t="n"/>
      <c r="X57161" s="235" t="n"/>
    </row>
    <row r="57162" ht="14.25" customHeight="1" s="192">
      <c r="W57162" s="228" t="n"/>
      <c r="X57162" s="228" t="n"/>
    </row>
    <row r="57163" ht="14.25" customHeight="1" s="192">
      <c r="W57163" s="235" t="n"/>
      <c r="X57163" s="235" t="n"/>
    </row>
    <row r="57164" ht="14.25" customHeight="1" s="192">
      <c r="W57164" s="235" t="n"/>
      <c r="X57164" s="235" t="n"/>
    </row>
    <row r="57165" ht="14.25" customHeight="1" s="192">
      <c r="W57165" s="235" t="n"/>
      <c r="X57165" s="235" t="n"/>
    </row>
    <row r="57166" ht="14.25" customHeight="1" s="192">
      <c r="W57166" s="239" t="n"/>
      <c r="X57166" s="239" t="n"/>
    </row>
    <row r="57167" ht="14.25" customHeight="1" s="192">
      <c r="W57167" s="239" t="n"/>
      <c r="X57167" s="239" t="n"/>
    </row>
    <row r="57168" ht="14.25" customHeight="1" s="192">
      <c r="W57168" s="239" t="n"/>
      <c r="X57168" s="239" t="n"/>
    </row>
    <row r="57169" ht="14.25" customHeight="1" s="192">
      <c r="W57169" s="235" t="n"/>
      <c r="X57169" s="235" t="n"/>
    </row>
    <row r="57170" ht="14.25" customHeight="1" s="192">
      <c r="W57170" s="235" t="n"/>
      <c r="X57170" s="235" t="n"/>
    </row>
    <row r="57171" ht="14.25" customHeight="1" s="192">
      <c r="W57171" s="235" t="n"/>
      <c r="X57171" s="235" t="n"/>
    </row>
    <row r="57172" ht="14.25" customHeight="1" s="192">
      <c r="W57172" s="239" t="n"/>
      <c r="X57172" s="239" t="n"/>
    </row>
    <row r="57173" ht="14.25" customHeight="1" s="192">
      <c r="W57173" s="239" t="n"/>
      <c r="X57173" s="239" t="n"/>
    </row>
    <row r="57174" ht="14.25" customHeight="1" s="192">
      <c r="W57174" s="235" t="n"/>
      <c r="X57174" s="235" t="n"/>
    </row>
    <row r="57175" ht="14.25" customHeight="1" s="192">
      <c r="W57175" s="235" t="n"/>
      <c r="X57175" s="235" t="n"/>
    </row>
    <row r="57176" ht="14.25" customHeight="1" s="192">
      <c r="W57176" s="239" t="n"/>
      <c r="X57176" s="239" t="n"/>
    </row>
    <row r="57177" ht="14.25" customHeight="1" s="192">
      <c r="W57177" s="235" t="n"/>
      <c r="X57177" s="235" t="n"/>
    </row>
    <row r="57178" ht="14.25" customHeight="1" s="192">
      <c r="W57178" s="239" t="n"/>
      <c r="X57178" s="239" t="n"/>
    </row>
    <row r="57180" ht="14.25" customHeight="1" s="192">
      <c r="W57180" s="235" t="n"/>
      <c r="X57180" s="235" t="n"/>
    </row>
    <row r="57181" ht="15" customHeight="1" s="192" thickBot="1">
      <c r="W57181" s="239" t="n"/>
      <c r="X57181" s="239" t="n"/>
    </row>
    <row r="57182" ht="15" customHeight="1" s="192" thickBot="1">
      <c r="W57182" s="45" t="n"/>
      <c r="X57182" s="45" t="n"/>
    </row>
    <row r="57183" ht="14.25" customHeight="1" s="192">
      <c r="W57183" s="228" t="n"/>
      <c r="X57183" s="228" t="n"/>
    </row>
    <row r="57184" ht="14.25" customHeight="1" s="192">
      <c r="W57184" s="228" t="n"/>
      <c r="X57184" s="228" t="n"/>
    </row>
    <row r="57185" ht="14.25" customHeight="1" s="192">
      <c r="W57185" s="231" t="n"/>
      <c r="X57185" s="231" t="n"/>
    </row>
    <row r="57186" ht="14.25" customHeight="1" s="192">
      <c r="W57186" s="33" t="n"/>
      <c r="X57186" s="33" t="n"/>
    </row>
    <row r="57187" ht="14.25" customHeight="1" s="192">
      <c r="W57187" s="231" t="n"/>
      <c r="X57187" s="231" t="n"/>
    </row>
    <row r="57188" ht="14.25" customHeight="1" s="192">
      <c r="W57188" s="33" t="n"/>
      <c r="X57188" s="33" t="n"/>
    </row>
    <row r="57190" ht="14.25" customHeight="1" s="192">
      <c r="W57190" s="231" t="n"/>
      <c r="X57190" s="231" t="n"/>
    </row>
    <row r="57191" ht="14.25" customHeight="1" s="192">
      <c r="W57191" s="235" t="n"/>
      <c r="X57191" s="235" t="n"/>
    </row>
    <row r="57192" ht="14.25" customHeight="1" s="192">
      <c r="W57192" s="228" t="n"/>
      <c r="X57192" s="228" t="n"/>
    </row>
    <row r="57193" ht="14.25" customHeight="1" s="192">
      <c r="W57193" s="235" t="n"/>
      <c r="X57193" s="235" t="n"/>
    </row>
    <row r="57194" ht="14.25" customHeight="1" s="192">
      <c r="W57194" s="235" t="n"/>
      <c r="X57194" s="235" t="n"/>
    </row>
    <row r="57195" ht="14.25" customHeight="1" s="192">
      <c r="W57195" s="235" t="n"/>
      <c r="X57195" s="235" t="n"/>
    </row>
    <row r="57196" ht="14.25" customHeight="1" s="192">
      <c r="W57196" s="239" t="n"/>
      <c r="X57196" s="239" t="n"/>
    </row>
    <row r="57197" ht="14.25" customHeight="1" s="192">
      <c r="W57197" s="239" t="n"/>
      <c r="X57197" s="239" t="n"/>
    </row>
    <row r="57198" ht="14.25" customHeight="1" s="192">
      <c r="W57198" s="239" t="n"/>
      <c r="X57198" s="239" t="n"/>
    </row>
    <row r="57199" ht="14.25" customHeight="1" s="192">
      <c r="W57199" s="235" t="n"/>
      <c r="X57199" s="235" t="n"/>
    </row>
    <row r="57200" ht="14.25" customHeight="1" s="192">
      <c r="W57200" s="235" t="n"/>
      <c r="X57200" s="235" t="n"/>
    </row>
    <row r="57201" ht="14.25" customHeight="1" s="192">
      <c r="W57201" s="235" t="n"/>
      <c r="X57201" s="235" t="n"/>
    </row>
    <row r="57202" ht="14.25" customHeight="1" s="192">
      <c r="W57202" s="239" t="n"/>
      <c r="X57202" s="239" t="n"/>
    </row>
    <row r="57203" ht="14.25" customHeight="1" s="192">
      <c r="W57203" s="239" t="n"/>
      <c r="X57203" s="239" t="n"/>
    </row>
    <row r="57204" ht="14.25" customHeight="1" s="192">
      <c r="W57204" s="235" t="n"/>
      <c r="X57204" s="235" t="n"/>
    </row>
    <row r="57205" ht="14.25" customHeight="1" s="192">
      <c r="W57205" s="235" t="n"/>
      <c r="X57205" s="235" t="n"/>
    </row>
    <row r="57206" ht="14.25" customHeight="1" s="192">
      <c r="W57206" s="239" t="n"/>
      <c r="X57206" s="239" t="n"/>
    </row>
    <row r="57207" ht="14.25" customHeight="1" s="192">
      <c r="W57207" s="235" t="n"/>
      <c r="X57207" s="235" t="n"/>
    </row>
    <row r="57208" ht="14.25" customHeight="1" s="192">
      <c r="W57208" s="239" t="n"/>
      <c r="X57208" s="239" t="n"/>
    </row>
    <row r="57210" ht="14.25" customHeight="1" s="192">
      <c r="W57210" s="235" t="n"/>
      <c r="X57210" s="235" t="n"/>
    </row>
    <row r="57211" ht="15" customHeight="1" s="192" thickBot="1">
      <c r="W57211" s="239" t="n"/>
      <c r="X57211" s="239" t="n"/>
    </row>
    <row r="57212" ht="15" customHeight="1" s="192" thickBot="1">
      <c r="W57212" s="45" t="n"/>
      <c r="X57212" s="45" t="n"/>
    </row>
    <row r="57213" ht="14.25" customHeight="1" s="192">
      <c r="W57213" s="228" t="n"/>
      <c r="X57213" s="228" t="n"/>
    </row>
    <row r="57214" ht="14.25" customHeight="1" s="192">
      <c r="W57214" s="228" t="n"/>
      <c r="X57214" s="228" t="n"/>
    </row>
    <row r="57215" ht="14.25" customHeight="1" s="192">
      <c r="W57215" s="231" t="n"/>
      <c r="X57215" s="231" t="n"/>
    </row>
    <row r="57216" ht="14.25" customHeight="1" s="192">
      <c r="W57216" s="33" t="n"/>
      <c r="X57216" s="33" t="n"/>
    </row>
    <row r="57217" ht="14.25" customHeight="1" s="192">
      <c r="W57217" s="231" t="n"/>
      <c r="X57217" s="231" t="n"/>
    </row>
    <row r="57218" ht="14.25" customHeight="1" s="192">
      <c r="W57218" s="33" t="n"/>
      <c r="X57218" s="33" t="n"/>
    </row>
    <row r="57220" ht="14.25" customHeight="1" s="192">
      <c r="W57220" s="231" t="n"/>
      <c r="X57220" s="231" t="n"/>
    </row>
    <row r="57221" ht="14.25" customHeight="1" s="192">
      <c r="W57221" s="235" t="n"/>
      <c r="X57221" s="235" t="n"/>
    </row>
    <row r="57222" ht="14.25" customHeight="1" s="192">
      <c r="W57222" s="228" t="n"/>
      <c r="X57222" s="228" t="n"/>
    </row>
    <row r="57223" ht="14.25" customHeight="1" s="192">
      <c r="W57223" s="235" t="n"/>
      <c r="X57223" s="235" t="n"/>
    </row>
    <row r="57224" ht="14.25" customHeight="1" s="192">
      <c r="W57224" s="235" t="n"/>
      <c r="X57224" s="235" t="n"/>
    </row>
    <row r="57225" ht="14.25" customHeight="1" s="192">
      <c r="W57225" s="235" t="n"/>
      <c r="X57225" s="235" t="n"/>
    </row>
    <row r="57226" ht="14.25" customHeight="1" s="192">
      <c r="W57226" s="239" t="n"/>
      <c r="X57226" s="239" t="n"/>
    </row>
    <row r="57227" ht="14.25" customHeight="1" s="192">
      <c r="W57227" s="239" t="n"/>
      <c r="X57227" s="239" t="n"/>
    </row>
    <row r="57228" ht="14.25" customHeight="1" s="192">
      <c r="W57228" s="239" t="n"/>
      <c r="X57228" s="239" t="n"/>
    </row>
    <row r="57229" ht="14.25" customHeight="1" s="192">
      <c r="W57229" s="235" t="n"/>
      <c r="X57229" s="235" t="n"/>
    </row>
    <row r="57230" ht="14.25" customHeight="1" s="192">
      <c r="W57230" s="235" t="n"/>
      <c r="X57230" s="235" t="n"/>
    </row>
    <row r="57231" ht="14.25" customHeight="1" s="192">
      <c r="W57231" s="235" t="n"/>
      <c r="X57231" s="235" t="n"/>
    </row>
    <row r="57232" ht="14.25" customHeight="1" s="192">
      <c r="W57232" s="239" t="n"/>
      <c r="X57232" s="239" t="n"/>
    </row>
    <row r="57233" ht="14.25" customHeight="1" s="192">
      <c r="W57233" s="239" t="n"/>
      <c r="X57233" s="239" t="n"/>
    </row>
    <row r="57234" ht="14.25" customHeight="1" s="192">
      <c r="W57234" s="235" t="n"/>
      <c r="X57234" s="235" t="n"/>
    </row>
    <row r="57235" ht="14.25" customHeight="1" s="192">
      <c r="W57235" s="235" t="n"/>
      <c r="X57235" s="235" t="n"/>
    </row>
    <row r="57236" ht="14.25" customHeight="1" s="192">
      <c r="W57236" s="239" t="n"/>
      <c r="X57236" s="239" t="n"/>
    </row>
    <row r="57237" ht="14.25" customHeight="1" s="192">
      <c r="W57237" s="235" t="n"/>
      <c r="X57237" s="235" t="n"/>
    </row>
    <row r="57238" ht="14.25" customHeight="1" s="192">
      <c r="W57238" s="239" t="n"/>
      <c r="X57238" s="239" t="n"/>
    </row>
    <row r="57240" ht="14.25" customHeight="1" s="192">
      <c r="W57240" s="235" t="n"/>
      <c r="X57240" s="235" t="n"/>
    </row>
    <row r="57241" ht="15" customHeight="1" s="192" thickBot="1">
      <c r="W57241" s="239" t="n"/>
      <c r="X57241" s="239" t="n"/>
    </row>
    <row r="57242" ht="15" customHeight="1" s="192" thickBot="1">
      <c r="W57242" s="45" t="n"/>
      <c r="X57242" s="45" t="n"/>
    </row>
    <row r="57243" ht="14.25" customHeight="1" s="192">
      <c r="W57243" s="228" t="n"/>
      <c r="X57243" s="228" t="n"/>
    </row>
    <row r="57244" ht="14.25" customHeight="1" s="192">
      <c r="W57244" s="228" t="n"/>
      <c r="X57244" s="228" t="n"/>
    </row>
    <row r="57245" ht="14.25" customHeight="1" s="192">
      <c r="W57245" s="231" t="n"/>
      <c r="X57245" s="231" t="n"/>
    </row>
    <row r="57246" ht="14.25" customHeight="1" s="192">
      <c r="W57246" s="33" t="n"/>
      <c r="X57246" s="33" t="n"/>
    </row>
    <row r="57247" ht="14.25" customHeight="1" s="192">
      <c r="W57247" s="231" t="n"/>
      <c r="X57247" s="231" t="n"/>
    </row>
    <row r="57248" ht="14.25" customHeight="1" s="192">
      <c r="W57248" s="33" t="n"/>
      <c r="X57248" s="33" t="n"/>
    </row>
    <row r="57250" ht="14.25" customHeight="1" s="192">
      <c r="W57250" s="231" t="n"/>
      <c r="X57250" s="231" t="n"/>
    </row>
    <row r="57251" ht="14.25" customHeight="1" s="192">
      <c r="W57251" s="235" t="n"/>
      <c r="X57251" s="235" t="n"/>
    </row>
    <row r="57252" ht="14.25" customHeight="1" s="192">
      <c r="W57252" s="228" t="n"/>
      <c r="X57252" s="228" t="n"/>
    </row>
    <row r="57253" ht="14.25" customHeight="1" s="192">
      <c r="W57253" s="235" t="n"/>
      <c r="X57253" s="235" t="n"/>
    </row>
    <row r="57254" ht="14.25" customHeight="1" s="192">
      <c r="W57254" s="235" t="n"/>
      <c r="X57254" s="235" t="n"/>
    </row>
    <row r="57255" ht="14.25" customHeight="1" s="192">
      <c r="W57255" s="235" t="n"/>
      <c r="X57255" s="235" t="n"/>
    </row>
    <row r="57256" ht="14.25" customHeight="1" s="192">
      <c r="W57256" s="239" t="n"/>
      <c r="X57256" s="239" t="n"/>
    </row>
    <row r="57257" ht="14.25" customHeight="1" s="192">
      <c r="W57257" s="239" t="n"/>
      <c r="X57257" s="239" t="n"/>
    </row>
    <row r="57258" ht="14.25" customHeight="1" s="192">
      <c r="W57258" s="239" t="n"/>
      <c r="X57258" s="239" t="n"/>
    </row>
    <row r="57259" ht="14.25" customHeight="1" s="192">
      <c r="W57259" s="235" t="n"/>
      <c r="X57259" s="235" t="n"/>
    </row>
    <row r="57260" ht="14.25" customHeight="1" s="192">
      <c r="W57260" s="235" t="n"/>
      <c r="X57260" s="235" t="n"/>
    </row>
    <row r="57261" ht="14.25" customHeight="1" s="192">
      <c r="W57261" s="235" t="n"/>
      <c r="X57261" s="235" t="n"/>
    </row>
    <row r="57262" ht="14.25" customHeight="1" s="192">
      <c r="W57262" s="239" t="n"/>
      <c r="X57262" s="239" t="n"/>
    </row>
    <row r="57263" ht="14.25" customHeight="1" s="192">
      <c r="W57263" s="239" t="n"/>
      <c r="X57263" s="239" t="n"/>
    </row>
    <row r="57264" ht="14.25" customHeight="1" s="192">
      <c r="W57264" s="235" t="n"/>
      <c r="X57264" s="235" t="n"/>
    </row>
    <row r="57265" ht="14.25" customHeight="1" s="192">
      <c r="W57265" s="235" t="n"/>
      <c r="X57265" s="235" t="n"/>
    </row>
    <row r="57266" ht="14.25" customHeight="1" s="192">
      <c r="W57266" s="239" t="n"/>
      <c r="X57266" s="239" t="n"/>
    </row>
    <row r="57267" ht="14.25" customHeight="1" s="192">
      <c r="W57267" s="235" t="n"/>
      <c r="X57267" s="235" t="n"/>
    </row>
    <row r="57268" ht="14.25" customHeight="1" s="192">
      <c r="W57268" s="239" t="n"/>
      <c r="X57268" s="239" t="n"/>
    </row>
    <row r="57270" ht="14.25" customHeight="1" s="192">
      <c r="W57270" s="235" t="n"/>
      <c r="X57270" s="235" t="n"/>
    </row>
    <row r="57271" ht="15" customHeight="1" s="192" thickBot="1">
      <c r="W57271" s="239" t="n"/>
      <c r="X57271" s="239" t="n"/>
    </row>
    <row r="57272" ht="15" customHeight="1" s="192" thickBot="1">
      <c r="W57272" s="45" t="n"/>
      <c r="X57272" s="45" t="n"/>
    </row>
    <row r="57273" ht="14.25" customHeight="1" s="192">
      <c r="W57273" s="228" t="n"/>
      <c r="X57273" s="228" t="n"/>
    </row>
    <row r="57274" ht="14.25" customHeight="1" s="192">
      <c r="W57274" s="228" t="n"/>
      <c r="X57274" s="228" t="n"/>
    </row>
    <row r="57275" ht="14.25" customHeight="1" s="192">
      <c r="W57275" s="231" t="n"/>
      <c r="X57275" s="231" t="n"/>
    </row>
    <row r="57276" ht="14.25" customHeight="1" s="192">
      <c r="W57276" s="33" t="n"/>
      <c r="X57276" s="33" t="n"/>
    </row>
    <row r="57277" ht="14.25" customHeight="1" s="192">
      <c r="W57277" s="231" t="n"/>
      <c r="X57277" s="231" t="n"/>
    </row>
    <row r="57278" ht="14.25" customHeight="1" s="192">
      <c r="W57278" s="33" t="n"/>
      <c r="X57278" s="33" t="n"/>
    </row>
    <row r="57280" ht="14.25" customHeight="1" s="192">
      <c r="W57280" s="231" t="n"/>
      <c r="X57280" s="231" t="n"/>
    </row>
    <row r="57281" ht="14.25" customHeight="1" s="192">
      <c r="W57281" s="235" t="n"/>
      <c r="X57281" s="235" t="n"/>
    </row>
    <row r="57282" ht="14.25" customHeight="1" s="192">
      <c r="W57282" s="228" t="n"/>
      <c r="X57282" s="228" t="n"/>
    </row>
    <row r="57283" ht="14.25" customHeight="1" s="192">
      <c r="W57283" s="235" t="n"/>
      <c r="X57283" s="235" t="n"/>
    </row>
    <row r="57284" ht="14.25" customHeight="1" s="192">
      <c r="W57284" s="235" t="n"/>
      <c r="X57284" s="235" t="n"/>
    </row>
    <row r="57285" ht="14.25" customHeight="1" s="192">
      <c r="W57285" s="235" t="n"/>
      <c r="X57285" s="235" t="n"/>
    </row>
    <row r="57286" ht="14.25" customHeight="1" s="192">
      <c r="W57286" s="239" t="n"/>
      <c r="X57286" s="239" t="n"/>
    </row>
    <row r="57287" ht="14.25" customHeight="1" s="192">
      <c r="W57287" s="239" t="n"/>
      <c r="X57287" s="239" t="n"/>
    </row>
    <row r="57288" ht="14.25" customHeight="1" s="192">
      <c r="W57288" s="239" t="n"/>
      <c r="X57288" s="239" t="n"/>
    </row>
    <row r="57289" ht="14.25" customHeight="1" s="192">
      <c r="W57289" s="235" t="n"/>
      <c r="X57289" s="235" t="n"/>
    </row>
    <row r="57290" ht="14.25" customHeight="1" s="192">
      <c r="W57290" s="235" t="n"/>
      <c r="X57290" s="235" t="n"/>
    </row>
    <row r="57291" ht="14.25" customHeight="1" s="192">
      <c r="W57291" s="235" t="n"/>
      <c r="X57291" s="235" t="n"/>
    </row>
    <row r="57292" ht="14.25" customHeight="1" s="192">
      <c r="W57292" s="239" t="n"/>
      <c r="X57292" s="239" t="n"/>
    </row>
    <row r="57293" ht="14.25" customHeight="1" s="192">
      <c r="W57293" s="239" t="n"/>
      <c r="X57293" s="239" t="n"/>
    </row>
    <row r="57294" ht="14.25" customHeight="1" s="192">
      <c r="W57294" s="235" t="n"/>
      <c r="X57294" s="235" t="n"/>
    </row>
    <row r="57295" ht="14.25" customHeight="1" s="192">
      <c r="W57295" s="235" t="n"/>
      <c r="X57295" s="235" t="n"/>
    </row>
    <row r="57296" ht="14.25" customHeight="1" s="192">
      <c r="W57296" s="239" t="n"/>
      <c r="X57296" s="239" t="n"/>
    </row>
    <row r="57297" ht="14.25" customHeight="1" s="192">
      <c r="W57297" s="235" t="n"/>
      <c r="X57297" s="235" t="n"/>
    </row>
    <row r="57298" ht="14.25" customHeight="1" s="192">
      <c r="W57298" s="239" t="n"/>
      <c r="X57298" s="239" t="n"/>
    </row>
    <row r="57300" ht="14.25" customHeight="1" s="192">
      <c r="W57300" s="235" t="n"/>
      <c r="X57300" s="235" t="n"/>
    </row>
    <row r="57301" ht="15" customHeight="1" s="192" thickBot="1">
      <c r="W57301" s="239" t="n"/>
      <c r="X57301" s="239" t="n"/>
    </row>
    <row r="57302" ht="15" customHeight="1" s="192" thickBot="1">
      <c r="W57302" s="45" t="n"/>
      <c r="X57302" s="45" t="n"/>
    </row>
    <row r="57303" ht="14.25" customHeight="1" s="192">
      <c r="W57303" s="228" t="n"/>
      <c r="X57303" s="228" t="n"/>
    </row>
    <row r="57304" ht="14.25" customHeight="1" s="192">
      <c r="W57304" s="228" t="n"/>
      <c r="X57304" s="228" t="n"/>
    </row>
    <row r="57305" ht="14.25" customHeight="1" s="192">
      <c r="W57305" s="231" t="n"/>
      <c r="X57305" s="231" t="n"/>
    </row>
    <row r="57306" ht="14.25" customHeight="1" s="192">
      <c r="W57306" s="33" t="n"/>
      <c r="X57306" s="33" t="n"/>
    </row>
    <row r="57307" ht="14.25" customHeight="1" s="192">
      <c r="W57307" s="231" t="n"/>
      <c r="X57307" s="231" t="n"/>
    </row>
    <row r="57308" ht="14.25" customHeight="1" s="192">
      <c r="W57308" s="33" t="n"/>
      <c r="X57308" s="33" t="n"/>
    </row>
    <row r="57310" ht="14.25" customHeight="1" s="192">
      <c r="W57310" s="231" t="n"/>
      <c r="X57310" s="231" t="n"/>
    </row>
    <row r="57311" ht="14.25" customHeight="1" s="192">
      <c r="W57311" s="235" t="n"/>
      <c r="X57311" s="235" t="n"/>
    </row>
    <row r="57312" ht="14.25" customHeight="1" s="192">
      <c r="W57312" s="228" t="n"/>
      <c r="X57312" s="228" t="n"/>
    </row>
    <row r="57313" ht="14.25" customHeight="1" s="192">
      <c r="W57313" s="235" t="n"/>
      <c r="X57313" s="235" t="n"/>
    </row>
    <row r="57314" ht="14.25" customHeight="1" s="192">
      <c r="W57314" s="235" t="n"/>
      <c r="X57314" s="235" t="n"/>
    </row>
    <row r="57315" ht="14.25" customHeight="1" s="192">
      <c r="W57315" s="235" t="n"/>
      <c r="X57315" s="235" t="n"/>
    </row>
    <row r="57316" ht="14.25" customHeight="1" s="192">
      <c r="W57316" s="239" t="n"/>
      <c r="X57316" s="239" t="n"/>
    </row>
    <row r="57317" ht="14.25" customHeight="1" s="192">
      <c r="W57317" s="239" t="n"/>
      <c r="X57317" s="239" t="n"/>
    </row>
    <row r="57318" ht="14.25" customHeight="1" s="192">
      <c r="W57318" s="239" t="n"/>
      <c r="X57318" s="239" t="n"/>
    </row>
    <row r="57319" ht="14.25" customHeight="1" s="192">
      <c r="W57319" s="235" t="n"/>
      <c r="X57319" s="235" t="n"/>
    </row>
    <row r="57320" ht="14.25" customHeight="1" s="192">
      <c r="W57320" s="235" t="n"/>
      <c r="X57320" s="235" t="n"/>
    </row>
    <row r="57321" ht="14.25" customHeight="1" s="192">
      <c r="W57321" s="235" t="n"/>
      <c r="X57321" s="235" t="n"/>
    </row>
    <row r="57322" ht="14.25" customHeight="1" s="192">
      <c r="W57322" s="239" t="n"/>
      <c r="X57322" s="239" t="n"/>
    </row>
    <row r="57323" ht="14.25" customHeight="1" s="192">
      <c r="W57323" s="239" t="n"/>
      <c r="X57323" s="239" t="n"/>
    </row>
    <row r="57324" ht="14.25" customHeight="1" s="192">
      <c r="W57324" s="235" t="n"/>
      <c r="X57324" s="235" t="n"/>
    </row>
    <row r="57325" ht="14.25" customHeight="1" s="192">
      <c r="W57325" s="235" t="n"/>
      <c r="X57325" s="235" t="n"/>
    </row>
    <row r="57326" ht="14.25" customHeight="1" s="192">
      <c r="W57326" s="239" t="n"/>
      <c r="X57326" s="239" t="n"/>
    </row>
    <row r="57327" ht="14.25" customHeight="1" s="192">
      <c r="W57327" s="235" t="n"/>
      <c r="X57327" s="235" t="n"/>
    </row>
    <row r="57328" ht="14.25" customHeight="1" s="192">
      <c r="W57328" s="239" t="n"/>
      <c r="X57328" s="239" t="n"/>
    </row>
    <row r="57330" ht="14.25" customHeight="1" s="192">
      <c r="W57330" s="235" t="n"/>
      <c r="X57330" s="235" t="n"/>
    </row>
    <row r="57331" ht="15" customHeight="1" s="192" thickBot="1">
      <c r="W57331" s="239" t="n"/>
      <c r="X57331" s="239" t="n"/>
    </row>
    <row r="57332" ht="15" customHeight="1" s="192" thickBot="1">
      <c r="W57332" s="45" t="n"/>
      <c r="X57332" s="45" t="n"/>
    </row>
    <row r="57333" ht="14.25" customHeight="1" s="192">
      <c r="W57333" s="228" t="n"/>
      <c r="X57333" s="228" t="n"/>
    </row>
    <row r="57334" ht="14.25" customHeight="1" s="192">
      <c r="W57334" s="228" t="n"/>
      <c r="X57334" s="228" t="n"/>
    </row>
    <row r="57335" ht="14.25" customHeight="1" s="192">
      <c r="W57335" s="231" t="n"/>
      <c r="X57335" s="231" t="n"/>
    </row>
    <row r="57336" ht="14.25" customHeight="1" s="192">
      <c r="W57336" s="33" t="n"/>
      <c r="X57336" s="33" t="n"/>
    </row>
    <row r="57337" ht="14.25" customHeight="1" s="192">
      <c r="W57337" s="231" t="n"/>
      <c r="X57337" s="231" t="n"/>
    </row>
    <row r="57338" ht="14.25" customHeight="1" s="192">
      <c r="W57338" s="33" t="n"/>
      <c r="X57338" s="33" t="n"/>
    </row>
    <row r="57340" ht="14.25" customHeight="1" s="192">
      <c r="W57340" s="231" t="n"/>
      <c r="X57340" s="231" t="n"/>
    </row>
    <row r="57341" ht="14.25" customHeight="1" s="192">
      <c r="W57341" s="235" t="n"/>
      <c r="X57341" s="235" t="n"/>
    </row>
    <row r="57342" ht="14.25" customHeight="1" s="192">
      <c r="W57342" s="228" t="n"/>
      <c r="X57342" s="228" t="n"/>
    </row>
    <row r="57343" ht="14.25" customHeight="1" s="192">
      <c r="W57343" s="235" t="n"/>
      <c r="X57343" s="235" t="n"/>
    </row>
    <row r="57344" ht="14.25" customHeight="1" s="192">
      <c r="W57344" s="235" t="n"/>
      <c r="X57344" s="235" t="n"/>
    </row>
    <row r="57345" ht="14.25" customHeight="1" s="192">
      <c r="W57345" s="235" t="n"/>
      <c r="X57345" s="235" t="n"/>
    </row>
    <row r="57346" ht="14.25" customHeight="1" s="192">
      <c r="W57346" s="239" t="n"/>
      <c r="X57346" s="239" t="n"/>
    </row>
    <row r="57347" ht="14.25" customHeight="1" s="192">
      <c r="W57347" s="239" t="n"/>
      <c r="X57347" s="239" t="n"/>
    </row>
    <row r="57348" ht="14.25" customHeight="1" s="192">
      <c r="W57348" s="239" t="n"/>
      <c r="X57348" s="239" t="n"/>
    </row>
    <row r="57349" ht="14.25" customHeight="1" s="192">
      <c r="W57349" s="235" t="n"/>
      <c r="X57349" s="235" t="n"/>
    </row>
    <row r="57350" ht="14.25" customHeight="1" s="192">
      <c r="W57350" s="235" t="n"/>
      <c r="X57350" s="235" t="n"/>
    </row>
    <row r="57351" ht="14.25" customHeight="1" s="192">
      <c r="W57351" s="235" t="n"/>
      <c r="X57351" s="235" t="n"/>
    </row>
    <row r="57352" ht="14.25" customHeight="1" s="192">
      <c r="W57352" s="239" t="n"/>
      <c r="X57352" s="239" t="n"/>
    </row>
    <row r="57353" ht="14.25" customHeight="1" s="192">
      <c r="W57353" s="239" t="n"/>
      <c r="X57353" s="239" t="n"/>
    </row>
    <row r="57354" ht="14.25" customHeight="1" s="192">
      <c r="W57354" s="235" t="n"/>
      <c r="X57354" s="235" t="n"/>
    </row>
    <row r="57355" ht="14.25" customHeight="1" s="192">
      <c r="W57355" s="235" t="n"/>
      <c r="X57355" s="235" t="n"/>
    </row>
    <row r="57356" ht="14.25" customHeight="1" s="192">
      <c r="W57356" s="239" t="n"/>
      <c r="X57356" s="239" t="n"/>
    </row>
    <row r="57357" ht="14.25" customHeight="1" s="192">
      <c r="W57357" s="235" t="n"/>
      <c r="X57357" s="235" t="n"/>
    </row>
    <row r="57358" ht="14.25" customHeight="1" s="192">
      <c r="W57358" s="239" t="n"/>
      <c r="X57358" s="239" t="n"/>
    </row>
    <row r="57360" ht="14.25" customHeight="1" s="192">
      <c r="W57360" s="235" t="n"/>
      <c r="X57360" s="235" t="n"/>
    </row>
    <row r="57361" ht="15" customHeight="1" s="192" thickBot="1">
      <c r="W57361" s="239" t="n"/>
      <c r="X57361" s="239" t="n"/>
    </row>
    <row r="57362" ht="15" customHeight="1" s="192" thickBot="1">
      <c r="W57362" s="45" t="n"/>
      <c r="X57362" s="45" t="n"/>
    </row>
    <row r="57363" ht="14.25" customHeight="1" s="192">
      <c r="W57363" s="228" t="n"/>
      <c r="X57363" s="228" t="n"/>
    </row>
    <row r="57364" ht="14.25" customHeight="1" s="192">
      <c r="W57364" s="228" t="n"/>
      <c r="X57364" s="228" t="n"/>
    </row>
    <row r="57365" ht="14.25" customHeight="1" s="192">
      <c r="W57365" s="231" t="n"/>
      <c r="X57365" s="231" t="n"/>
    </row>
    <row r="57366" ht="14.25" customHeight="1" s="192">
      <c r="W57366" s="33" t="n"/>
      <c r="X57366" s="33" t="n"/>
    </row>
    <row r="57367" ht="14.25" customHeight="1" s="192">
      <c r="W57367" s="231" t="n"/>
      <c r="X57367" s="231" t="n"/>
    </row>
    <row r="57368" ht="14.25" customHeight="1" s="192">
      <c r="W57368" s="33" t="n"/>
      <c r="X57368" s="33" t="n"/>
    </row>
    <row r="57370" ht="14.25" customHeight="1" s="192">
      <c r="W57370" s="231" t="n"/>
      <c r="X57370" s="231" t="n"/>
    </row>
    <row r="57371" ht="14.25" customHeight="1" s="192">
      <c r="W57371" s="235" t="n"/>
      <c r="X57371" s="235" t="n"/>
    </row>
    <row r="57372" ht="14.25" customHeight="1" s="192">
      <c r="W57372" s="228" t="n"/>
      <c r="X57372" s="228" t="n"/>
    </row>
    <row r="57373" ht="14.25" customHeight="1" s="192">
      <c r="W57373" s="235" t="n"/>
      <c r="X57373" s="235" t="n"/>
    </row>
    <row r="57374" ht="14.25" customHeight="1" s="192">
      <c r="W57374" s="235" t="n"/>
      <c r="X57374" s="235" t="n"/>
    </row>
    <row r="57375" ht="14.25" customHeight="1" s="192">
      <c r="W57375" s="235" t="n"/>
      <c r="X57375" s="235" t="n"/>
    </row>
    <row r="57376" ht="14.25" customHeight="1" s="192">
      <c r="W57376" s="239" t="n"/>
      <c r="X57376" s="239" t="n"/>
    </row>
    <row r="57377" ht="14.25" customHeight="1" s="192">
      <c r="W57377" s="239" t="n"/>
      <c r="X57377" s="239" t="n"/>
    </row>
    <row r="57378" ht="14.25" customHeight="1" s="192">
      <c r="W57378" s="239" t="n"/>
      <c r="X57378" s="239" t="n"/>
    </row>
    <row r="57379" ht="14.25" customHeight="1" s="192">
      <c r="W57379" s="235" t="n"/>
      <c r="X57379" s="235" t="n"/>
    </row>
    <row r="57380" ht="14.25" customHeight="1" s="192">
      <c r="W57380" s="235" t="n"/>
      <c r="X57380" s="235" t="n"/>
    </row>
    <row r="57381" ht="14.25" customHeight="1" s="192">
      <c r="W57381" s="235" t="n"/>
      <c r="X57381" s="235" t="n"/>
    </row>
    <row r="57382" ht="14.25" customHeight="1" s="192">
      <c r="W57382" s="239" t="n"/>
      <c r="X57382" s="239" t="n"/>
    </row>
    <row r="57383" ht="14.25" customHeight="1" s="192">
      <c r="W57383" s="239" t="n"/>
      <c r="X57383" s="239" t="n"/>
    </row>
    <row r="57384" ht="14.25" customHeight="1" s="192">
      <c r="W57384" s="235" t="n"/>
      <c r="X57384" s="235" t="n"/>
    </row>
    <row r="57385" ht="14.25" customHeight="1" s="192">
      <c r="W57385" s="235" t="n"/>
      <c r="X57385" s="235" t="n"/>
    </row>
    <row r="57386" ht="14.25" customHeight="1" s="192">
      <c r="W57386" s="239" t="n"/>
      <c r="X57386" s="239" t="n"/>
    </row>
    <row r="57387" ht="14.25" customHeight="1" s="192">
      <c r="W57387" s="235" t="n"/>
      <c r="X57387" s="235" t="n"/>
    </row>
    <row r="57388" ht="14.25" customHeight="1" s="192">
      <c r="W57388" s="239" t="n"/>
      <c r="X57388" s="239" t="n"/>
    </row>
    <row r="57390" ht="14.25" customHeight="1" s="192">
      <c r="W57390" s="235" t="n"/>
      <c r="X57390" s="235" t="n"/>
    </row>
    <row r="57391" ht="15" customHeight="1" s="192" thickBot="1">
      <c r="W57391" s="239" t="n"/>
      <c r="X57391" s="239" t="n"/>
    </row>
    <row r="57392" ht="15" customHeight="1" s="192" thickBot="1">
      <c r="W57392" s="45" t="n"/>
      <c r="X57392" s="45" t="n"/>
    </row>
    <row r="57393" ht="14.25" customHeight="1" s="192">
      <c r="W57393" s="228" t="n"/>
      <c r="X57393" s="228" t="n"/>
    </row>
    <row r="57394" ht="14.25" customHeight="1" s="192">
      <c r="W57394" s="228" t="n"/>
      <c r="X57394" s="228" t="n"/>
    </row>
    <row r="57395" ht="14.25" customHeight="1" s="192">
      <c r="W57395" s="231" t="n"/>
      <c r="X57395" s="231" t="n"/>
    </row>
    <row r="57396" ht="14.25" customHeight="1" s="192">
      <c r="W57396" s="33" t="n"/>
      <c r="X57396" s="33" t="n"/>
    </row>
    <row r="57397" ht="14.25" customHeight="1" s="192">
      <c r="W57397" s="231" t="n"/>
      <c r="X57397" s="231" t="n"/>
    </row>
    <row r="57398" ht="14.25" customHeight="1" s="192">
      <c r="W57398" s="33" t="n"/>
      <c r="X57398" s="33" t="n"/>
    </row>
    <row r="57400" ht="14.25" customHeight="1" s="192">
      <c r="W57400" s="231" t="n"/>
      <c r="X57400" s="231" t="n"/>
    </row>
    <row r="57401" ht="14.25" customHeight="1" s="192">
      <c r="W57401" s="235" t="n"/>
      <c r="X57401" s="235" t="n"/>
    </row>
    <row r="57402" ht="14.25" customHeight="1" s="192">
      <c r="W57402" s="228" t="n"/>
      <c r="X57402" s="228" t="n"/>
    </row>
    <row r="57403" ht="14.25" customHeight="1" s="192">
      <c r="W57403" s="235" t="n"/>
      <c r="X57403" s="235" t="n"/>
    </row>
    <row r="57404" ht="14.25" customHeight="1" s="192">
      <c r="W57404" s="235" t="n"/>
      <c r="X57404" s="235" t="n"/>
    </row>
    <row r="57405" ht="14.25" customHeight="1" s="192">
      <c r="W57405" s="235" t="n"/>
      <c r="X57405" s="235" t="n"/>
    </row>
    <row r="57406" ht="14.25" customHeight="1" s="192">
      <c r="W57406" s="239" t="n"/>
      <c r="X57406" s="239" t="n"/>
    </row>
    <row r="57407" ht="14.25" customHeight="1" s="192">
      <c r="W57407" s="239" t="n"/>
      <c r="X57407" s="239" t="n"/>
    </row>
    <row r="57408" ht="14.25" customHeight="1" s="192">
      <c r="W57408" s="239" t="n"/>
      <c r="X57408" s="239" t="n"/>
    </row>
    <row r="57409" ht="14.25" customHeight="1" s="192">
      <c r="W57409" s="235" t="n"/>
      <c r="X57409" s="235" t="n"/>
    </row>
    <row r="57410" ht="14.25" customHeight="1" s="192">
      <c r="W57410" s="235" t="n"/>
      <c r="X57410" s="235" t="n"/>
    </row>
    <row r="57411" ht="14.25" customHeight="1" s="192">
      <c r="W57411" s="235" t="n"/>
      <c r="X57411" s="235" t="n"/>
    </row>
    <row r="57412" ht="14.25" customHeight="1" s="192">
      <c r="W57412" s="239" t="n"/>
      <c r="X57412" s="239" t="n"/>
    </row>
    <row r="57413" ht="14.25" customHeight="1" s="192">
      <c r="W57413" s="239" t="n"/>
      <c r="X57413" s="239" t="n"/>
    </row>
    <row r="57414" ht="14.25" customHeight="1" s="192">
      <c r="W57414" s="235" t="n"/>
      <c r="X57414" s="235" t="n"/>
    </row>
    <row r="57415" ht="14.25" customHeight="1" s="192">
      <c r="W57415" s="235" t="n"/>
      <c r="X57415" s="235" t="n"/>
    </row>
    <row r="57416" ht="14.25" customHeight="1" s="192">
      <c r="W57416" s="239" t="n"/>
      <c r="X57416" s="239" t="n"/>
    </row>
    <row r="57417" ht="14.25" customHeight="1" s="192">
      <c r="W57417" s="235" t="n"/>
      <c r="X57417" s="235" t="n"/>
    </row>
    <row r="57418" ht="14.25" customHeight="1" s="192">
      <c r="W57418" s="239" t="n"/>
      <c r="X57418" s="239" t="n"/>
    </row>
    <row r="57420" ht="14.25" customHeight="1" s="192">
      <c r="W57420" s="235" t="n"/>
      <c r="X57420" s="235" t="n"/>
    </row>
    <row r="57421" ht="15" customHeight="1" s="192" thickBot="1">
      <c r="W57421" s="239" t="n"/>
      <c r="X57421" s="239" t="n"/>
    </row>
    <row r="57422" ht="15" customHeight="1" s="192" thickBot="1">
      <c r="W57422" s="45" t="n"/>
      <c r="X57422" s="45" t="n"/>
    </row>
    <row r="57423" ht="14.25" customHeight="1" s="192">
      <c r="W57423" s="228" t="n"/>
      <c r="X57423" s="228" t="n"/>
    </row>
    <row r="57424" ht="14.25" customHeight="1" s="192">
      <c r="W57424" s="228" t="n"/>
      <c r="X57424" s="228" t="n"/>
    </row>
    <row r="57425" ht="14.25" customHeight="1" s="192">
      <c r="W57425" s="231" t="n"/>
      <c r="X57425" s="231" t="n"/>
    </row>
    <row r="57426" ht="14.25" customHeight="1" s="192">
      <c r="W57426" s="33" t="n"/>
      <c r="X57426" s="33" t="n"/>
    </row>
    <row r="57427" ht="14.25" customHeight="1" s="192">
      <c r="W57427" s="231" t="n"/>
      <c r="X57427" s="231" t="n"/>
    </row>
    <row r="57428" ht="14.25" customHeight="1" s="192">
      <c r="W57428" s="33" t="n"/>
      <c r="X57428" s="33" t="n"/>
    </row>
    <row r="57430" ht="14.25" customHeight="1" s="192">
      <c r="W57430" s="231" t="n"/>
      <c r="X57430" s="231" t="n"/>
    </row>
    <row r="57431" ht="14.25" customHeight="1" s="192">
      <c r="W57431" s="235" t="n"/>
      <c r="X57431" s="235" t="n"/>
    </row>
    <row r="57432" ht="14.25" customHeight="1" s="192">
      <c r="W57432" s="228" t="n"/>
      <c r="X57432" s="228" t="n"/>
    </row>
    <row r="57433" ht="14.25" customHeight="1" s="192">
      <c r="W57433" s="235" t="n"/>
      <c r="X57433" s="235" t="n"/>
    </row>
    <row r="57434" ht="14.25" customHeight="1" s="192">
      <c r="W57434" s="235" t="n"/>
      <c r="X57434" s="235" t="n"/>
    </row>
    <row r="57435" ht="14.25" customHeight="1" s="192">
      <c r="W57435" s="235" t="n"/>
      <c r="X57435" s="235" t="n"/>
    </row>
    <row r="57436" ht="14.25" customHeight="1" s="192">
      <c r="W57436" s="239" t="n"/>
      <c r="X57436" s="239" t="n"/>
    </row>
    <row r="57437" ht="14.25" customHeight="1" s="192">
      <c r="W57437" s="239" t="n"/>
      <c r="X57437" s="239" t="n"/>
    </row>
    <row r="57438" ht="14.25" customHeight="1" s="192">
      <c r="W57438" s="239" t="n"/>
      <c r="X57438" s="239" t="n"/>
    </row>
    <row r="57439" ht="14.25" customHeight="1" s="192">
      <c r="W57439" s="235" t="n"/>
      <c r="X57439" s="235" t="n"/>
    </row>
    <row r="57440" ht="14.25" customHeight="1" s="192">
      <c r="W57440" s="235" t="n"/>
      <c r="X57440" s="235" t="n"/>
    </row>
    <row r="57441" ht="14.25" customHeight="1" s="192">
      <c r="W57441" s="235" t="n"/>
      <c r="X57441" s="235" t="n"/>
    </row>
    <row r="57442" ht="14.25" customHeight="1" s="192">
      <c r="W57442" s="239" t="n"/>
      <c r="X57442" s="239" t="n"/>
    </row>
    <row r="57443" ht="14.25" customHeight="1" s="192">
      <c r="W57443" s="239" t="n"/>
      <c r="X57443" s="239" t="n"/>
    </row>
    <row r="57444" ht="14.25" customHeight="1" s="192">
      <c r="W57444" s="235" t="n"/>
      <c r="X57444" s="235" t="n"/>
    </row>
    <row r="57445" ht="14.25" customHeight="1" s="192">
      <c r="W57445" s="235" t="n"/>
      <c r="X57445" s="235" t="n"/>
    </row>
    <row r="57446" ht="14.25" customHeight="1" s="192">
      <c r="W57446" s="239" t="n"/>
      <c r="X57446" s="239" t="n"/>
    </row>
    <row r="57447" ht="14.25" customHeight="1" s="192">
      <c r="W57447" s="235" t="n"/>
      <c r="X57447" s="235" t="n"/>
    </row>
    <row r="57448" ht="14.25" customHeight="1" s="192">
      <c r="W57448" s="239" t="n"/>
      <c r="X57448" s="239" t="n"/>
    </row>
    <row r="57450" ht="14.25" customHeight="1" s="192">
      <c r="W57450" s="235" t="n"/>
      <c r="X57450" s="235" t="n"/>
    </row>
    <row r="57451" ht="15" customHeight="1" s="192" thickBot="1">
      <c r="W57451" s="239" t="n"/>
      <c r="X57451" s="239" t="n"/>
    </row>
    <row r="57452" ht="15" customHeight="1" s="192" thickBot="1">
      <c r="W57452" s="45" t="n"/>
      <c r="X57452" s="45" t="n"/>
    </row>
    <row r="57453" ht="14.25" customHeight="1" s="192">
      <c r="W57453" s="228" t="n"/>
      <c r="X57453" s="228" t="n"/>
    </row>
    <row r="57454" ht="14.25" customHeight="1" s="192">
      <c r="W57454" s="228" t="n"/>
      <c r="X57454" s="228" t="n"/>
    </row>
    <row r="57455" ht="14.25" customHeight="1" s="192">
      <c r="W57455" s="231" t="n"/>
      <c r="X57455" s="231" t="n"/>
    </row>
    <row r="57456" ht="14.25" customHeight="1" s="192">
      <c r="W57456" s="33" t="n"/>
      <c r="X57456" s="33" t="n"/>
    </row>
    <row r="57457" ht="14.25" customHeight="1" s="192">
      <c r="W57457" s="231" t="n"/>
      <c r="X57457" s="231" t="n"/>
    </row>
    <row r="57458" ht="14.25" customHeight="1" s="192">
      <c r="W57458" s="33" t="n"/>
      <c r="X57458" s="33" t="n"/>
    </row>
    <row r="57460" ht="14.25" customHeight="1" s="192">
      <c r="W57460" s="231" t="n"/>
      <c r="X57460" s="231" t="n"/>
    </row>
    <row r="57461" ht="14.25" customHeight="1" s="192">
      <c r="W57461" s="235" t="n"/>
      <c r="X57461" s="235" t="n"/>
    </row>
    <row r="57462" ht="14.25" customHeight="1" s="192">
      <c r="W57462" s="228" t="n"/>
      <c r="X57462" s="228" t="n"/>
    </row>
    <row r="57463" ht="14.25" customHeight="1" s="192">
      <c r="W57463" s="235" t="n"/>
      <c r="X57463" s="235" t="n"/>
    </row>
    <row r="57464" ht="14.25" customHeight="1" s="192">
      <c r="W57464" s="235" t="n"/>
      <c r="X57464" s="235" t="n"/>
    </row>
    <row r="57465" ht="14.25" customHeight="1" s="192">
      <c r="W57465" s="235" t="n"/>
      <c r="X57465" s="235" t="n"/>
    </row>
    <row r="57466" ht="14.25" customHeight="1" s="192">
      <c r="W57466" s="239" t="n"/>
      <c r="X57466" s="239" t="n"/>
    </row>
    <row r="57467" ht="14.25" customHeight="1" s="192">
      <c r="W57467" s="239" t="n"/>
      <c r="X57467" s="239" t="n"/>
    </row>
    <row r="57468" ht="14.25" customHeight="1" s="192">
      <c r="W57468" s="239" t="n"/>
      <c r="X57468" s="239" t="n"/>
    </row>
    <row r="57469" ht="14.25" customHeight="1" s="192">
      <c r="W57469" s="235" t="n"/>
      <c r="X57469" s="235" t="n"/>
    </row>
    <row r="57470" ht="14.25" customHeight="1" s="192">
      <c r="W57470" s="235" t="n"/>
      <c r="X57470" s="235" t="n"/>
    </row>
    <row r="57471" ht="14.25" customHeight="1" s="192">
      <c r="W57471" s="235" t="n"/>
      <c r="X57471" s="235" t="n"/>
    </row>
    <row r="57472" ht="14.25" customHeight="1" s="192">
      <c r="W57472" s="239" t="n"/>
      <c r="X57472" s="239" t="n"/>
    </row>
    <row r="57473" ht="14.25" customHeight="1" s="192">
      <c r="W57473" s="239" t="n"/>
      <c r="X57473" s="239" t="n"/>
    </row>
    <row r="57474" ht="14.25" customHeight="1" s="192">
      <c r="W57474" s="235" t="n"/>
      <c r="X57474" s="235" t="n"/>
    </row>
    <row r="57475" ht="14.25" customHeight="1" s="192">
      <c r="W57475" s="235" t="n"/>
      <c r="X57475" s="235" t="n"/>
    </row>
    <row r="57476" ht="14.25" customHeight="1" s="192">
      <c r="W57476" s="239" t="n"/>
      <c r="X57476" s="239" t="n"/>
    </row>
    <row r="57477" ht="14.25" customHeight="1" s="192">
      <c r="W57477" s="235" t="n"/>
      <c r="X57477" s="235" t="n"/>
    </row>
    <row r="57478" ht="14.25" customHeight="1" s="192">
      <c r="W57478" s="239" t="n"/>
      <c r="X57478" s="239" t="n"/>
    </row>
    <row r="57480" ht="14.25" customHeight="1" s="192">
      <c r="W57480" s="235" t="n"/>
      <c r="X57480" s="235" t="n"/>
    </row>
    <row r="57481" ht="15" customHeight="1" s="192" thickBot="1">
      <c r="W57481" s="239" t="n"/>
      <c r="X57481" s="239" t="n"/>
    </row>
    <row r="57482" ht="15" customHeight="1" s="192" thickBot="1">
      <c r="W57482" s="45" t="n"/>
      <c r="X57482" s="45" t="n"/>
    </row>
    <row r="57483" ht="14.25" customHeight="1" s="192">
      <c r="W57483" s="228" t="n"/>
      <c r="X57483" s="228" t="n"/>
    </row>
    <row r="57484" ht="14.25" customHeight="1" s="192">
      <c r="W57484" s="228" t="n"/>
      <c r="X57484" s="228" t="n"/>
    </row>
    <row r="57485" ht="14.25" customHeight="1" s="192">
      <c r="W57485" s="231" t="n"/>
      <c r="X57485" s="231" t="n"/>
    </row>
    <row r="57486" ht="14.25" customHeight="1" s="192">
      <c r="W57486" s="33" t="n"/>
      <c r="X57486" s="33" t="n"/>
    </row>
    <row r="57487" ht="14.25" customHeight="1" s="192">
      <c r="W57487" s="231" t="n"/>
      <c r="X57487" s="231" t="n"/>
    </row>
    <row r="57488" ht="14.25" customHeight="1" s="192">
      <c r="W57488" s="33" t="n"/>
      <c r="X57488" s="33" t="n"/>
    </row>
    <row r="57490" ht="14.25" customHeight="1" s="192">
      <c r="W57490" s="231" t="n"/>
      <c r="X57490" s="231" t="n"/>
    </row>
    <row r="57491" ht="14.25" customHeight="1" s="192">
      <c r="W57491" s="235" t="n"/>
      <c r="X57491" s="235" t="n"/>
    </row>
    <row r="57492" ht="14.25" customHeight="1" s="192">
      <c r="W57492" s="228" t="n"/>
      <c r="X57492" s="228" t="n"/>
    </row>
    <row r="57493" ht="14.25" customHeight="1" s="192">
      <c r="W57493" s="235" t="n"/>
      <c r="X57493" s="235" t="n"/>
    </row>
    <row r="57494" ht="14.25" customHeight="1" s="192">
      <c r="W57494" s="235" t="n"/>
      <c r="X57494" s="235" t="n"/>
    </row>
    <row r="57495" ht="14.25" customHeight="1" s="192">
      <c r="W57495" s="235" t="n"/>
      <c r="X57495" s="235" t="n"/>
    </row>
    <row r="57496" ht="14.25" customHeight="1" s="192">
      <c r="W57496" s="239" t="n"/>
      <c r="X57496" s="239" t="n"/>
    </row>
    <row r="57497" ht="14.25" customHeight="1" s="192">
      <c r="W57497" s="239" t="n"/>
      <c r="X57497" s="239" t="n"/>
    </row>
    <row r="57498" ht="14.25" customHeight="1" s="192">
      <c r="W57498" s="239" t="n"/>
      <c r="X57498" s="239" t="n"/>
    </row>
    <row r="57499" ht="14.25" customHeight="1" s="192">
      <c r="W57499" s="235" t="n"/>
      <c r="X57499" s="235" t="n"/>
    </row>
    <row r="57500" ht="14.25" customHeight="1" s="192">
      <c r="W57500" s="235" t="n"/>
      <c r="X57500" s="235" t="n"/>
    </row>
    <row r="57501" ht="14.25" customHeight="1" s="192">
      <c r="W57501" s="235" t="n"/>
      <c r="X57501" s="235" t="n"/>
    </row>
    <row r="57502" ht="14.25" customHeight="1" s="192">
      <c r="W57502" s="239" t="n"/>
      <c r="X57502" s="239" t="n"/>
    </row>
    <row r="57503" ht="14.25" customHeight="1" s="192">
      <c r="W57503" s="239" t="n"/>
      <c r="X57503" s="239" t="n"/>
    </row>
    <row r="57504" ht="14.25" customHeight="1" s="192">
      <c r="W57504" s="235" t="n"/>
      <c r="X57504" s="235" t="n"/>
    </row>
    <row r="57505" ht="14.25" customHeight="1" s="192">
      <c r="W57505" s="235" t="n"/>
      <c r="X57505" s="235" t="n"/>
    </row>
    <row r="57506" ht="14.25" customHeight="1" s="192">
      <c r="W57506" s="239" t="n"/>
      <c r="X57506" s="239" t="n"/>
    </row>
    <row r="57507" ht="14.25" customHeight="1" s="192">
      <c r="W57507" s="235" t="n"/>
      <c r="X57507" s="235" t="n"/>
    </row>
    <row r="57508" ht="14.25" customHeight="1" s="192">
      <c r="W57508" s="239" t="n"/>
      <c r="X57508" s="239" t="n"/>
    </row>
    <row r="57510" ht="14.25" customHeight="1" s="192">
      <c r="W57510" s="235" t="n"/>
      <c r="X57510" s="235" t="n"/>
    </row>
    <row r="57511" ht="15" customHeight="1" s="192" thickBot="1">
      <c r="W57511" s="239" t="n"/>
      <c r="X57511" s="239" t="n"/>
    </row>
    <row r="57512" ht="15" customHeight="1" s="192" thickBot="1">
      <c r="W57512" s="45" t="n"/>
      <c r="X57512" s="45" t="n"/>
    </row>
    <row r="57513" ht="14.25" customHeight="1" s="192">
      <c r="W57513" s="228" t="n"/>
      <c r="X57513" s="228" t="n"/>
    </row>
    <row r="57514" ht="14.25" customHeight="1" s="192">
      <c r="W57514" s="228" t="n"/>
      <c r="X57514" s="228" t="n"/>
    </row>
    <row r="57515" ht="14.25" customHeight="1" s="192">
      <c r="W57515" s="231" t="n"/>
      <c r="X57515" s="231" t="n"/>
    </row>
    <row r="57516" ht="14.25" customHeight="1" s="192">
      <c r="W57516" s="33" t="n"/>
      <c r="X57516" s="33" t="n"/>
    </row>
    <row r="57517" ht="14.25" customHeight="1" s="192">
      <c r="W57517" s="231" t="n"/>
      <c r="X57517" s="231" t="n"/>
    </row>
    <row r="57518" ht="14.25" customHeight="1" s="192">
      <c r="W57518" s="33" t="n"/>
      <c r="X57518" s="33" t="n"/>
    </row>
    <row r="57520" ht="14.25" customHeight="1" s="192">
      <c r="W57520" s="231" t="n"/>
      <c r="X57520" s="231" t="n"/>
    </row>
    <row r="57521" ht="14.25" customHeight="1" s="192">
      <c r="W57521" s="235" t="n"/>
      <c r="X57521" s="235" t="n"/>
    </row>
    <row r="57522" ht="14.25" customHeight="1" s="192">
      <c r="W57522" s="228" t="n"/>
      <c r="X57522" s="228" t="n"/>
    </row>
    <row r="57523" ht="14.25" customHeight="1" s="192">
      <c r="W57523" s="235" t="n"/>
      <c r="X57523" s="235" t="n"/>
    </row>
    <row r="57524" ht="14.25" customHeight="1" s="192">
      <c r="W57524" s="235" t="n"/>
      <c r="X57524" s="235" t="n"/>
    </row>
    <row r="57525" ht="14.25" customHeight="1" s="192">
      <c r="W57525" s="235" t="n"/>
      <c r="X57525" s="235" t="n"/>
    </row>
    <row r="57526" ht="14.25" customHeight="1" s="192">
      <c r="W57526" s="239" t="n"/>
      <c r="X57526" s="239" t="n"/>
    </row>
    <row r="57527" ht="14.25" customHeight="1" s="192">
      <c r="W57527" s="239" t="n"/>
      <c r="X57527" s="239" t="n"/>
    </row>
    <row r="57528" ht="14.25" customHeight="1" s="192">
      <c r="W57528" s="239" t="n"/>
      <c r="X57528" s="239" t="n"/>
    </row>
    <row r="57529" ht="14.25" customHeight="1" s="192">
      <c r="W57529" s="235" t="n"/>
      <c r="X57529" s="235" t="n"/>
    </row>
    <row r="57530" ht="14.25" customHeight="1" s="192">
      <c r="W57530" s="235" t="n"/>
      <c r="X57530" s="235" t="n"/>
    </row>
    <row r="57531" ht="14.25" customHeight="1" s="192">
      <c r="W57531" s="235" t="n"/>
      <c r="X57531" s="235" t="n"/>
    </row>
    <row r="57532" ht="14.25" customHeight="1" s="192">
      <c r="W57532" s="239" t="n"/>
      <c r="X57532" s="239" t="n"/>
    </row>
    <row r="57533" ht="14.25" customHeight="1" s="192">
      <c r="W57533" s="239" t="n"/>
      <c r="X57533" s="239" t="n"/>
    </row>
    <row r="57534" ht="14.25" customHeight="1" s="192">
      <c r="W57534" s="235" t="n"/>
      <c r="X57534" s="235" t="n"/>
    </row>
    <row r="57535" ht="14.25" customHeight="1" s="192">
      <c r="W57535" s="235" t="n"/>
      <c r="X57535" s="235" t="n"/>
    </row>
    <row r="57536" ht="14.25" customHeight="1" s="192">
      <c r="W57536" s="239" t="n"/>
      <c r="X57536" s="239" t="n"/>
    </row>
    <row r="57537" ht="14.25" customHeight="1" s="192">
      <c r="W57537" s="235" t="n"/>
      <c r="X57537" s="235" t="n"/>
    </row>
    <row r="57538" ht="14.25" customHeight="1" s="192">
      <c r="W57538" s="239" t="n"/>
      <c r="X57538" s="239" t="n"/>
    </row>
    <row r="57540" ht="14.25" customHeight="1" s="192">
      <c r="W57540" s="235" t="n"/>
      <c r="X57540" s="235" t="n"/>
    </row>
    <row r="57541" ht="15" customHeight="1" s="192" thickBot="1">
      <c r="W57541" s="239" t="n"/>
      <c r="X57541" s="239" t="n"/>
    </row>
    <row r="57542" ht="15" customHeight="1" s="192" thickBot="1">
      <c r="W57542" s="45" t="n"/>
      <c r="X57542" s="45" t="n"/>
    </row>
    <row r="57543" ht="14.25" customHeight="1" s="192">
      <c r="W57543" s="228" t="n"/>
      <c r="X57543" s="228" t="n"/>
    </row>
    <row r="57544" ht="14.25" customHeight="1" s="192">
      <c r="W57544" s="228" t="n"/>
      <c r="X57544" s="228" t="n"/>
    </row>
    <row r="57545" ht="14.25" customHeight="1" s="192">
      <c r="W57545" s="231" t="n"/>
      <c r="X57545" s="231" t="n"/>
    </row>
    <row r="57546" ht="14.25" customHeight="1" s="192">
      <c r="W57546" s="33" t="n"/>
      <c r="X57546" s="33" t="n"/>
    </row>
    <row r="57547" ht="14.25" customHeight="1" s="192">
      <c r="W57547" s="231" t="n"/>
      <c r="X57547" s="231" t="n"/>
    </row>
    <row r="57548" ht="14.25" customHeight="1" s="192">
      <c r="W57548" s="33" t="n"/>
      <c r="X57548" s="33" t="n"/>
    </row>
    <row r="57550" ht="14.25" customHeight="1" s="192">
      <c r="W57550" s="231" t="n"/>
      <c r="X57550" s="231" t="n"/>
    </row>
    <row r="57551" ht="14.25" customHeight="1" s="192">
      <c r="W57551" s="235" t="n"/>
      <c r="X57551" s="235" t="n"/>
    </row>
    <row r="57552" ht="14.25" customHeight="1" s="192">
      <c r="W57552" s="228" t="n"/>
      <c r="X57552" s="228" t="n"/>
    </row>
    <row r="57553" ht="14.25" customHeight="1" s="192">
      <c r="W57553" s="235" t="n"/>
      <c r="X57553" s="235" t="n"/>
    </row>
    <row r="57554" ht="14.25" customHeight="1" s="192">
      <c r="W57554" s="235" t="n"/>
      <c r="X57554" s="235" t="n"/>
    </row>
    <row r="57555" ht="14.25" customHeight="1" s="192">
      <c r="W57555" s="235" t="n"/>
      <c r="X57555" s="235" t="n"/>
    </row>
    <row r="57556" ht="14.25" customHeight="1" s="192">
      <c r="W57556" s="239" t="n"/>
      <c r="X57556" s="239" t="n"/>
    </row>
    <row r="57557" ht="14.25" customHeight="1" s="192">
      <c r="W57557" s="239" t="n"/>
      <c r="X57557" s="239" t="n"/>
    </row>
    <row r="57558" ht="14.25" customHeight="1" s="192">
      <c r="W57558" s="239" t="n"/>
      <c r="X57558" s="239" t="n"/>
    </row>
    <row r="57559" ht="14.25" customHeight="1" s="192">
      <c r="W57559" s="235" t="n"/>
      <c r="X57559" s="235" t="n"/>
    </row>
    <row r="57560" ht="14.25" customHeight="1" s="192">
      <c r="W57560" s="235" t="n"/>
      <c r="X57560" s="235" t="n"/>
    </row>
    <row r="57561" ht="14.25" customHeight="1" s="192">
      <c r="W57561" s="235" t="n"/>
      <c r="X57561" s="235" t="n"/>
    </row>
    <row r="57562" ht="14.25" customHeight="1" s="192">
      <c r="W57562" s="239" t="n"/>
      <c r="X57562" s="239" t="n"/>
    </row>
    <row r="57563" ht="14.25" customHeight="1" s="192">
      <c r="W57563" s="239" t="n"/>
      <c r="X57563" s="239" t="n"/>
    </row>
    <row r="57564" ht="14.25" customHeight="1" s="192">
      <c r="W57564" s="235" t="n"/>
      <c r="X57564" s="235" t="n"/>
    </row>
    <row r="57565" ht="14.25" customHeight="1" s="192">
      <c r="W57565" s="235" t="n"/>
      <c r="X57565" s="235" t="n"/>
    </row>
    <row r="57566" ht="14.25" customHeight="1" s="192">
      <c r="W57566" s="239" t="n"/>
      <c r="X57566" s="239" t="n"/>
    </row>
    <row r="57567" ht="14.25" customHeight="1" s="192">
      <c r="W57567" s="235" t="n"/>
      <c r="X57567" s="235" t="n"/>
    </row>
    <row r="57568" ht="14.25" customHeight="1" s="192">
      <c r="W57568" s="239" t="n"/>
      <c r="X57568" s="239" t="n"/>
    </row>
    <row r="57570" ht="14.25" customHeight="1" s="192">
      <c r="W57570" s="235" t="n"/>
      <c r="X57570" s="235" t="n"/>
    </row>
    <row r="57571" ht="15" customHeight="1" s="192" thickBot="1">
      <c r="W57571" s="239" t="n"/>
      <c r="X57571" s="239" t="n"/>
    </row>
    <row r="57572" ht="15" customHeight="1" s="192" thickBot="1">
      <c r="W57572" s="45" t="n"/>
      <c r="X57572" s="45" t="n"/>
    </row>
    <row r="57573" ht="14.25" customHeight="1" s="192">
      <c r="W57573" s="228" t="n"/>
      <c r="X57573" s="228" t="n"/>
    </row>
    <row r="57574" ht="14.25" customHeight="1" s="192">
      <c r="W57574" s="228" t="n"/>
      <c r="X57574" s="228" t="n"/>
    </row>
    <row r="57575" ht="14.25" customHeight="1" s="192">
      <c r="W57575" s="231" t="n"/>
      <c r="X57575" s="231" t="n"/>
    </row>
    <row r="57576" ht="14.25" customHeight="1" s="192">
      <c r="W57576" s="33" t="n"/>
      <c r="X57576" s="33" t="n"/>
    </row>
    <row r="57577" ht="14.25" customHeight="1" s="192">
      <c r="W57577" s="231" t="n"/>
      <c r="X57577" s="231" t="n"/>
    </row>
    <row r="57578" ht="14.25" customHeight="1" s="192">
      <c r="W57578" s="33" t="n"/>
      <c r="X57578" s="33" t="n"/>
    </row>
    <row r="57580" ht="14.25" customHeight="1" s="192">
      <c r="W57580" s="231" t="n"/>
      <c r="X57580" s="231" t="n"/>
    </row>
    <row r="57581" ht="14.25" customHeight="1" s="192">
      <c r="W57581" s="235" t="n"/>
      <c r="X57581" s="235" t="n"/>
    </row>
    <row r="57582" ht="14.25" customHeight="1" s="192">
      <c r="W57582" s="228" t="n"/>
      <c r="X57582" s="228" t="n"/>
    </row>
    <row r="57583" ht="14.25" customHeight="1" s="192">
      <c r="W57583" s="235" t="n"/>
      <c r="X57583" s="235" t="n"/>
    </row>
    <row r="57584" ht="14.25" customHeight="1" s="192">
      <c r="W57584" s="235" t="n"/>
      <c r="X57584" s="235" t="n"/>
    </row>
    <row r="57585" ht="14.25" customHeight="1" s="192">
      <c r="W57585" s="235" t="n"/>
      <c r="X57585" s="235" t="n"/>
    </row>
    <row r="57586" ht="14.25" customHeight="1" s="192">
      <c r="W57586" s="239" t="n"/>
      <c r="X57586" s="239" t="n"/>
    </row>
    <row r="57587" ht="14.25" customHeight="1" s="192">
      <c r="W57587" s="239" t="n"/>
      <c r="X57587" s="239" t="n"/>
    </row>
    <row r="57588" ht="14.25" customHeight="1" s="192">
      <c r="W57588" s="239" t="n"/>
      <c r="X57588" s="239" t="n"/>
    </row>
    <row r="57589" ht="14.25" customHeight="1" s="192">
      <c r="W57589" s="235" t="n"/>
      <c r="X57589" s="235" t="n"/>
    </row>
    <row r="57590" ht="14.25" customHeight="1" s="192">
      <c r="W57590" s="235" t="n"/>
      <c r="X57590" s="235" t="n"/>
    </row>
    <row r="57591" ht="14.25" customHeight="1" s="192">
      <c r="W57591" s="235" t="n"/>
      <c r="X57591" s="235" t="n"/>
    </row>
    <row r="57592" ht="14.25" customHeight="1" s="192">
      <c r="W57592" s="239" t="n"/>
      <c r="X57592" s="239" t="n"/>
    </row>
    <row r="57593" ht="14.25" customHeight="1" s="192">
      <c r="W57593" s="239" t="n"/>
      <c r="X57593" s="239" t="n"/>
    </row>
    <row r="57594" ht="14.25" customHeight="1" s="192">
      <c r="W57594" s="235" t="n"/>
      <c r="X57594" s="235" t="n"/>
    </row>
    <row r="57595" ht="14.25" customHeight="1" s="192">
      <c r="W57595" s="235" t="n"/>
      <c r="X57595" s="235" t="n"/>
    </row>
    <row r="57596" ht="14.25" customHeight="1" s="192">
      <c r="W57596" s="239" t="n"/>
      <c r="X57596" s="239" t="n"/>
    </row>
    <row r="57597" ht="14.25" customHeight="1" s="192">
      <c r="W57597" s="235" t="n"/>
      <c r="X57597" s="235" t="n"/>
    </row>
    <row r="57598" ht="14.25" customHeight="1" s="192">
      <c r="W57598" s="239" t="n"/>
      <c r="X57598" s="239" t="n"/>
    </row>
    <row r="57600" ht="14.25" customHeight="1" s="192">
      <c r="W57600" s="235" t="n"/>
      <c r="X57600" s="235" t="n"/>
    </row>
    <row r="57601" ht="15" customHeight="1" s="192" thickBot="1">
      <c r="W57601" s="239" t="n"/>
      <c r="X57601" s="239" t="n"/>
    </row>
    <row r="57602" ht="15" customHeight="1" s="192" thickBot="1">
      <c r="W57602" s="45" t="n"/>
      <c r="X57602" s="45" t="n"/>
    </row>
    <row r="57603" ht="14.25" customHeight="1" s="192">
      <c r="W57603" s="228" t="n"/>
      <c r="X57603" s="228" t="n"/>
    </row>
    <row r="57604" ht="14.25" customHeight="1" s="192">
      <c r="W57604" s="228" t="n"/>
      <c r="X57604" s="228" t="n"/>
    </row>
    <row r="57605" ht="14.25" customHeight="1" s="192">
      <c r="W57605" s="231" t="n"/>
      <c r="X57605" s="231" t="n"/>
    </row>
    <row r="57606" ht="14.25" customHeight="1" s="192">
      <c r="W57606" s="33" t="n"/>
      <c r="X57606" s="33" t="n"/>
    </row>
    <row r="57607" ht="14.25" customHeight="1" s="192">
      <c r="W57607" s="231" t="n"/>
      <c r="X57607" s="231" t="n"/>
    </row>
    <row r="57608" ht="14.25" customHeight="1" s="192">
      <c r="W57608" s="33" t="n"/>
      <c r="X57608" s="33" t="n"/>
    </row>
    <row r="57610" ht="14.25" customHeight="1" s="192">
      <c r="W57610" s="231" t="n"/>
      <c r="X57610" s="231" t="n"/>
    </row>
    <row r="57611" ht="14.25" customHeight="1" s="192">
      <c r="W57611" s="235" t="n"/>
      <c r="X57611" s="235" t="n"/>
    </row>
    <row r="57612" ht="14.25" customHeight="1" s="192">
      <c r="W57612" s="228" t="n"/>
      <c r="X57612" s="228" t="n"/>
    </row>
    <row r="57613" ht="14.25" customHeight="1" s="192">
      <c r="W57613" s="235" t="n"/>
      <c r="X57613" s="235" t="n"/>
    </row>
    <row r="57614" ht="14.25" customHeight="1" s="192">
      <c r="W57614" s="235" t="n"/>
      <c r="X57614" s="235" t="n"/>
    </row>
    <row r="57615" ht="14.25" customHeight="1" s="192">
      <c r="W57615" s="235" t="n"/>
      <c r="X57615" s="235" t="n"/>
    </row>
    <row r="57616" ht="14.25" customHeight="1" s="192">
      <c r="W57616" s="239" t="n"/>
      <c r="X57616" s="239" t="n"/>
    </row>
    <row r="57617" ht="14.25" customHeight="1" s="192">
      <c r="W57617" s="239" t="n"/>
      <c r="X57617" s="239" t="n"/>
    </row>
    <row r="57618" ht="14.25" customHeight="1" s="192">
      <c r="W57618" s="239" t="n"/>
      <c r="X57618" s="239" t="n"/>
    </row>
    <row r="57619" ht="14.25" customHeight="1" s="192">
      <c r="W57619" s="235" t="n"/>
      <c r="X57619" s="235" t="n"/>
    </row>
    <row r="57620" ht="14.25" customHeight="1" s="192">
      <c r="W57620" s="235" t="n"/>
      <c r="X57620" s="235" t="n"/>
    </row>
    <row r="57621" ht="14.25" customHeight="1" s="192">
      <c r="W57621" s="235" t="n"/>
      <c r="X57621" s="235" t="n"/>
    </row>
    <row r="57622" ht="14.25" customHeight="1" s="192">
      <c r="W57622" s="239" t="n"/>
      <c r="X57622" s="239" t="n"/>
    </row>
    <row r="57623" ht="14.25" customHeight="1" s="192">
      <c r="W57623" s="239" t="n"/>
      <c r="X57623" s="239" t="n"/>
    </row>
    <row r="57624" ht="14.25" customHeight="1" s="192">
      <c r="W57624" s="235" t="n"/>
      <c r="X57624" s="235" t="n"/>
    </row>
    <row r="57625" ht="14.25" customHeight="1" s="192">
      <c r="W57625" s="235" t="n"/>
      <c r="X57625" s="235" t="n"/>
    </row>
    <row r="57626" ht="14.25" customHeight="1" s="192">
      <c r="W57626" s="239" t="n"/>
      <c r="X57626" s="239" t="n"/>
    </row>
    <row r="57627" ht="14.25" customHeight="1" s="192">
      <c r="W57627" s="235" t="n"/>
      <c r="X57627" s="235" t="n"/>
    </row>
    <row r="57628" ht="14.25" customHeight="1" s="192">
      <c r="W57628" s="239" t="n"/>
      <c r="X57628" s="239" t="n"/>
    </row>
    <row r="57630" ht="14.25" customHeight="1" s="192">
      <c r="W57630" s="235" t="n"/>
      <c r="X57630" s="235" t="n"/>
    </row>
    <row r="57631" ht="15" customHeight="1" s="192" thickBot="1">
      <c r="W57631" s="239" t="n"/>
      <c r="X57631" s="239" t="n"/>
    </row>
    <row r="57632" ht="15" customHeight="1" s="192" thickBot="1">
      <c r="W57632" s="45" t="n"/>
      <c r="X57632" s="45" t="n"/>
    </row>
    <row r="57633" ht="14.25" customHeight="1" s="192">
      <c r="W57633" s="228" t="n"/>
      <c r="X57633" s="228" t="n"/>
    </row>
    <row r="57634" ht="14.25" customHeight="1" s="192">
      <c r="W57634" s="228" t="n"/>
      <c r="X57634" s="228" t="n"/>
    </row>
    <row r="57635" ht="14.25" customHeight="1" s="192">
      <c r="W57635" s="231" t="n"/>
      <c r="X57635" s="231" t="n"/>
    </row>
    <row r="57636" ht="14.25" customHeight="1" s="192">
      <c r="W57636" s="33" t="n"/>
      <c r="X57636" s="33" t="n"/>
    </row>
    <row r="57637" ht="14.25" customHeight="1" s="192">
      <c r="W57637" s="231" t="n"/>
      <c r="X57637" s="231" t="n"/>
    </row>
    <row r="57638" ht="14.25" customHeight="1" s="192">
      <c r="W57638" s="33" t="n"/>
      <c r="X57638" s="33" t="n"/>
    </row>
    <row r="57640" ht="14.25" customHeight="1" s="192">
      <c r="W57640" s="231" t="n"/>
      <c r="X57640" s="231" t="n"/>
    </row>
    <row r="57641" ht="14.25" customHeight="1" s="192">
      <c r="W57641" s="235" t="n"/>
      <c r="X57641" s="235" t="n"/>
    </row>
    <row r="57642" ht="14.25" customHeight="1" s="192">
      <c r="W57642" s="228" t="n"/>
      <c r="X57642" s="228" t="n"/>
    </row>
    <row r="57643" ht="14.25" customHeight="1" s="192">
      <c r="W57643" s="235" t="n"/>
      <c r="X57643" s="235" t="n"/>
    </row>
    <row r="57644" ht="14.25" customHeight="1" s="192">
      <c r="W57644" s="235" t="n"/>
      <c r="X57644" s="235" t="n"/>
    </row>
    <row r="57645" ht="14.25" customHeight="1" s="192">
      <c r="W57645" s="235" t="n"/>
      <c r="X57645" s="235" t="n"/>
    </row>
    <row r="57646" ht="14.25" customHeight="1" s="192">
      <c r="W57646" s="239" t="n"/>
      <c r="X57646" s="239" t="n"/>
    </row>
    <row r="57647" ht="14.25" customHeight="1" s="192">
      <c r="W57647" s="239" t="n"/>
      <c r="X57647" s="239" t="n"/>
    </row>
    <row r="57648" ht="14.25" customHeight="1" s="192">
      <c r="W57648" s="239" t="n"/>
      <c r="X57648" s="239" t="n"/>
    </row>
    <row r="57649" ht="14.25" customHeight="1" s="192">
      <c r="W57649" s="235" t="n"/>
      <c r="X57649" s="235" t="n"/>
    </row>
    <row r="57650" ht="14.25" customHeight="1" s="192">
      <c r="W57650" s="235" t="n"/>
      <c r="X57650" s="235" t="n"/>
    </row>
    <row r="57651" ht="14.25" customHeight="1" s="192">
      <c r="W57651" s="235" t="n"/>
      <c r="X57651" s="235" t="n"/>
    </row>
    <row r="57652" ht="14.25" customHeight="1" s="192">
      <c r="W57652" s="239" t="n"/>
      <c r="X57652" s="239" t="n"/>
    </row>
    <row r="57653" ht="14.25" customHeight="1" s="192">
      <c r="W57653" s="239" t="n"/>
      <c r="X57653" s="239" t="n"/>
    </row>
    <row r="57654" ht="14.25" customHeight="1" s="192">
      <c r="W57654" s="235" t="n"/>
      <c r="X57654" s="235" t="n"/>
    </row>
    <row r="57655" ht="14.25" customHeight="1" s="192">
      <c r="W57655" s="235" t="n"/>
      <c r="X57655" s="235" t="n"/>
    </row>
    <row r="57656" ht="14.25" customHeight="1" s="192">
      <c r="W57656" s="239" t="n"/>
      <c r="X57656" s="239" t="n"/>
    </row>
    <row r="57657" ht="14.25" customHeight="1" s="192">
      <c r="W57657" s="235" t="n"/>
      <c r="X57657" s="235" t="n"/>
    </row>
    <row r="57658" ht="14.25" customHeight="1" s="192">
      <c r="W57658" s="239" t="n"/>
      <c r="X57658" s="239" t="n"/>
    </row>
    <row r="57660" ht="14.25" customHeight="1" s="192">
      <c r="W57660" s="235" t="n"/>
      <c r="X57660" s="235" t="n"/>
    </row>
    <row r="57661" ht="15" customHeight="1" s="192" thickBot="1">
      <c r="W57661" s="239" t="n"/>
      <c r="X57661" s="239" t="n"/>
    </row>
    <row r="57662" ht="15" customHeight="1" s="192" thickBot="1">
      <c r="W57662" s="45" t="n"/>
      <c r="X57662" s="45" t="n"/>
    </row>
    <row r="57663" ht="14.25" customHeight="1" s="192">
      <c r="W57663" s="228" t="n"/>
      <c r="X57663" s="228" t="n"/>
    </row>
    <row r="57664" ht="14.25" customHeight="1" s="192">
      <c r="W57664" s="228" t="n"/>
      <c r="X57664" s="228" t="n"/>
    </row>
    <row r="57665" ht="14.25" customHeight="1" s="192">
      <c r="W57665" s="231" t="n"/>
      <c r="X57665" s="231" t="n"/>
    </row>
    <row r="57666" ht="14.25" customHeight="1" s="192">
      <c r="W57666" s="33" t="n"/>
      <c r="X57666" s="33" t="n"/>
    </row>
    <row r="57667" ht="14.25" customHeight="1" s="192">
      <c r="W57667" s="231" t="n"/>
      <c r="X57667" s="231" t="n"/>
    </row>
    <row r="57668" ht="14.25" customHeight="1" s="192">
      <c r="W57668" s="33" t="n"/>
      <c r="X57668" s="33" t="n"/>
    </row>
    <row r="57670" ht="14.25" customHeight="1" s="192">
      <c r="W57670" s="231" t="n"/>
      <c r="X57670" s="231" t="n"/>
    </row>
    <row r="57671" ht="14.25" customHeight="1" s="192">
      <c r="W57671" s="235" t="n"/>
      <c r="X57671" s="235" t="n"/>
    </row>
    <row r="57672" ht="14.25" customHeight="1" s="192">
      <c r="W57672" s="228" t="n"/>
      <c r="X57672" s="228" t="n"/>
    </row>
    <row r="57673" ht="14.25" customHeight="1" s="192">
      <c r="W57673" s="235" t="n"/>
      <c r="X57673" s="235" t="n"/>
    </row>
    <row r="57674" ht="14.25" customHeight="1" s="192">
      <c r="W57674" s="235" t="n"/>
      <c r="X57674" s="235" t="n"/>
    </row>
    <row r="57675" ht="14.25" customHeight="1" s="192">
      <c r="W57675" s="235" t="n"/>
      <c r="X57675" s="235" t="n"/>
    </row>
    <row r="57676" ht="14.25" customHeight="1" s="192">
      <c r="W57676" s="239" t="n"/>
      <c r="X57676" s="239" t="n"/>
    </row>
    <row r="57677" ht="14.25" customHeight="1" s="192">
      <c r="W57677" s="239" t="n"/>
      <c r="X57677" s="239" t="n"/>
    </row>
    <row r="57678" ht="14.25" customHeight="1" s="192">
      <c r="W57678" s="239" t="n"/>
      <c r="X57678" s="239" t="n"/>
    </row>
    <row r="57679" ht="14.25" customHeight="1" s="192">
      <c r="W57679" s="235" t="n"/>
      <c r="X57679" s="235" t="n"/>
    </row>
    <row r="57680" ht="14.25" customHeight="1" s="192">
      <c r="W57680" s="235" t="n"/>
      <c r="X57680" s="235" t="n"/>
    </row>
    <row r="57681" ht="14.25" customHeight="1" s="192">
      <c r="W57681" s="235" t="n"/>
      <c r="X57681" s="235" t="n"/>
    </row>
    <row r="57682" ht="14.25" customHeight="1" s="192">
      <c r="W57682" s="239" t="n"/>
      <c r="X57682" s="239" t="n"/>
    </row>
    <row r="57683" ht="14.25" customHeight="1" s="192">
      <c r="W57683" s="239" t="n"/>
      <c r="X57683" s="239" t="n"/>
    </row>
    <row r="57684" ht="14.25" customHeight="1" s="192">
      <c r="W57684" s="235" t="n"/>
      <c r="X57684" s="235" t="n"/>
    </row>
    <row r="57685" ht="14.25" customHeight="1" s="192">
      <c r="W57685" s="235" t="n"/>
      <c r="X57685" s="235" t="n"/>
    </row>
    <row r="57686" ht="14.25" customHeight="1" s="192">
      <c r="W57686" s="239" t="n"/>
      <c r="X57686" s="239" t="n"/>
    </row>
    <row r="57687" ht="14.25" customHeight="1" s="192">
      <c r="W57687" s="235" t="n"/>
      <c r="X57687" s="235" t="n"/>
    </row>
    <row r="57688" ht="14.25" customHeight="1" s="192">
      <c r="W57688" s="239" t="n"/>
      <c r="X57688" s="239" t="n"/>
    </row>
    <row r="57690" ht="14.25" customHeight="1" s="192">
      <c r="W57690" s="235" t="n"/>
      <c r="X57690" s="235" t="n"/>
    </row>
    <row r="57691" ht="15" customHeight="1" s="192" thickBot="1">
      <c r="W57691" s="239" t="n"/>
      <c r="X57691" s="239" t="n"/>
    </row>
    <row r="57692" ht="15" customHeight="1" s="192" thickBot="1">
      <c r="W57692" s="45" t="n"/>
      <c r="X57692" s="45" t="n"/>
    </row>
    <row r="57693" ht="14.25" customHeight="1" s="192">
      <c r="W57693" s="228" t="n"/>
      <c r="X57693" s="228" t="n"/>
    </row>
    <row r="57694" ht="14.25" customHeight="1" s="192">
      <c r="W57694" s="228" t="n"/>
      <c r="X57694" s="228" t="n"/>
    </row>
    <row r="57695" ht="14.25" customHeight="1" s="192">
      <c r="W57695" s="231" t="n"/>
      <c r="X57695" s="231" t="n"/>
    </row>
    <row r="57696" ht="14.25" customHeight="1" s="192">
      <c r="W57696" s="33" t="n"/>
      <c r="X57696" s="33" t="n"/>
    </row>
    <row r="57697" ht="14.25" customHeight="1" s="192">
      <c r="W57697" s="231" t="n"/>
      <c r="X57697" s="231" t="n"/>
    </row>
    <row r="57698" ht="14.25" customHeight="1" s="192">
      <c r="W57698" s="33" t="n"/>
      <c r="X57698" s="33" t="n"/>
    </row>
    <row r="57700" ht="14.25" customHeight="1" s="192">
      <c r="W57700" s="231" t="n"/>
      <c r="X57700" s="231" t="n"/>
    </row>
    <row r="57701" ht="14.25" customHeight="1" s="192">
      <c r="W57701" s="235" t="n"/>
      <c r="X57701" s="235" t="n"/>
    </row>
    <row r="57702" ht="14.25" customHeight="1" s="192">
      <c r="W57702" s="228" t="n"/>
      <c r="X57702" s="228" t="n"/>
    </row>
    <row r="57703" ht="14.25" customHeight="1" s="192">
      <c r="W57703" s="235" t="n"/>
      <c r="X57703" s="235" t="n"/>
    </row>
    <row r="57704" ht="14.25" customHeight="1" s="192">
      <c r="W57704" s="235" t="n"/>
      <c r="X57704" s="235" t="n"/>
    </row>
    <row r="57705" ht="14.25" customHeight="1" s="192">
      <c r="W57705" s="235" t="n"/>
      <c r="X57705" s="235" t="n"/>
    </row>
    <row r="57706" ht="14.25" customHeight="1" s="192">
      <c r="W57706" s="239" t="n"/>
      <c r="X57706" s="239" t="n"/>
    </row>
    <row r="57707" ht="14.25" customHeight="1" s="192">
      <c r="W57707" s="239" t="n"/>
      <c r="X57707" s="239" t="n"/>
    </row>
    <row r="57708" ht="14.25" customHeight="1" s="192">
      <c r="W57708" s="239" t="n"/>
      <c r="X57708" s="239" t="n"/>
    </row>
    <row r="57709" ht="14.25" customHeight="1" s="192">
      <c r="W57709" s="235" t="n"/>
      <c r="X57709" s="235" t="n"/>
    </row>
    <row r="57710" ht="14.25" customHeight="1" s="192">
      <c r="W57710" s="235" t="n"/>
      <c r="X57710" s="235" t="n"/>
    </row>
    <row r="57711" ht="14.25" customHeight="1" s="192">
      <c r="W57711" s="235" t="n"/>
      <c r="X57711" s="235" t="n"/>
    </row>
    <row r="57712" ht="14.25" customHeight="1" s="192">
      <c r="W57712" s="239" t="n"/>
      <c r="X57712" s="239" t="n"/>
    </row>
    <row r="57713" ht="14.25" customHeight="1" s="192">
      <c r="W57713" s="239" t="n"/>
      <c r="X57713" s="239" t="n"/>
    </row>
    <row r="57714" ht="14.25" customHeight="1" s="192">
      <c r="W57714" s="235" t="n"/>
      <c r="X57714" s="235" t="n"/>
    </row>
    <row r="57715" ht="14.25" customHeight="1" s="192">
      <c r="W57715" s="235" t="n"/>
      <c r="X57715" s="235" t="n"/>
    </row>
    <row r="57716" ht="14.25" customHeight="1" s="192">
      <c r="W57716" s="239" t="n"/>
      <c r="X57716" s="239" t="n"/>
    </row>
    <row r="57717" ht="14.25" customHeight="1" s="192">
      <c r="W57717" s="235" t="n"/>
      <c r="X57717" s="235" t="n"/>
    </row>
    <row r="57718" ht="14.25" customHeight="1" s="192">
      <c r="W57718" s="239" t="n"/>
      <c r="X57718" s="239" t="n"/>
    </row>
    <row r="57720" ht="14.25" customHeight="1" s="192">
      <c r="W57720" s="235" t="n"/>
      <c r="X57720" s="235" t="n"/>
    </row>
    <row r="57721" ht="15" customHeight="1" s="192" thickBot="1">
      <c r="W57721" s="239" t="n"/>
      <c r="X57721" s="239" t="n"/>
    </row>
    <row r="57722" ht="15" customHeight="1" s="192" thickBot="1">
      <c r="W57722" s="45" t="n"/>
      <c r="X57722" s="45" t="n"/>
    </row>
    <row r="57723" ht="14.25" customHeight="1" s="192">
      <c r="W57723" s="228" t="n"/>
      <c r="X57723" s="228" t="n"/>
    </row>
    <row r="57724" ht="14.25" customHeight="1" s="192">
      <c r="W57724" s="228" t="n"/>
      <c r="X57724" s="228" t="n"/>
    </row>
    <row r="57725" ht="14.25" customHeight="1" s="192">
      <c r="W57725" s="231" t="n"/>
      <c r="X57725" s="231" t="n"/>
    </row>
    <row r="57726" ht="14.25" customHeight="1" s="192">
      <c r="W57726" s="33" t="n"/>
      <c r="X57726" s="33" t="n"/>
    </row>
    <row r="57727" ht="14.25" customHeight="1" s="192">
      <c r="W57727" s="231" t="n"/>
      <c r="X57727" s="231" t="n"/>
    </row>
    <row r="57728" ht="14.25" customHeight="1" s="192">
      <c r="W57728" s="33" t="n"/>
      <c r="X57728" s="33" t="n"/>
    </row>
    <row r="57730" ht="14.25" customHeight="1" s="192">
      <c r="W57730" s="231" t="n"/>
      <c r="X57730" s="231" t="n"/>
    </row>
    <row r="57731" ht="14.25" customHeight="1" s="192">
      <c r="W57731" s="235" t="n"/>
      <c r="X57731" s="235" t="n"/>
    </row>
    <row r="57732" ht="14.25" customHeight="1" s="192">
      <c r="W57732" s="228" t="n"/>
      <c r="X57732" s="228" t="n"/>
    </row>
    <row r="57733" ht="14.25" customHeight="1" s="192">
      <c r="W57733" s="235" t="n"/>
      <c r="X57733" s="235" t="n"/>
    </row>
    <row r="57734" ht="14.25" customHeight="1" s="192">
      <c r="W57734" s="235" t="n"/>
      <c r="X57734" s="235" t="n"/>
    </row>
    <row r="57735" ht="14.25" customHeight="1" s="192">
      <c r="W57735" s="235" t="n"/>
      <c r="X57735" s="235" t="n"/>
    </row>
    <row r="57736" ht="14.25" customHeight="1" s="192">
      <c r="W57736" s="239" t="n"/>
      <c r="X57736" s="239" t="n"/>
    </row>
    <row r="57737" ht="14.25" customHeight="1" s="192">
      <c r="W57737" s="239" t="n"/>
      <c r="X57737" s="239" t="n"/>
    </row>
    <row r="57738" ht="14.25" customHeight="1" s="192">
      <c r="W57738" s="239" t="n"/>
      <c r="X57738" s="239" t="n"/>
    </row>
    <row r="57739" ht="14.25" customHeight="1" s="192">
      <c r="W57739" s="235" t="n"/>
      <c r="X57739" s="235" t="n"/>
    </row>
    <row r="57740" ht="14.25" customHeight="1" s="192">
      <c r="W57740" s="235" t="n"/>
      <c r="X57740" s="235" t="n"/>
    </row>
    <row r="57741" ht="14.25" customHeight="1" s="192">
      <c r="W57741" s="235" t="n"/>
      <c r="X57741" s="235" t="n"/>
    </row>
    <row r="57742" ht="14.25" customHeight="1" s="192">
      <c r="W57742" s="239" t="n"/>
      <c r="X57742" s="239" t="n"/>
    </row>
    <row r="57743" ht="14.25" customHeight="1" s="192">
      <c r="W57743" s="239" t="n"/>
      <c r="X57743" s="239" t="n"/>
    </row>
    <row r="57744" ht="14.25" customHeight="1" s="192">
      <c r="W57744" s="235" t="n"/>
      <c r="X57744" s="235" t="n"/>
    </row>
    <row r="57745" ht="14.25" customHeight="1" s="192">
      <c r="W57745" s="235" t="n"/>
      <c r="X57745" s="235" t="n"/>
    </row>
    <row r="57746" ht="14.25" customHeight="1" s="192">
      <c r="W57746" s="239" t="n"/>
      <c r="X57746" s="239" t="n"/>
    </row>
    <row r="57747" ht="14.25" customHeight="1" s="192">
      <c r="W57747" s="235" t="n"/>
      <c r="X57747" s="235" t="n"/>
    </row>
    <row r="57748" ht="14.25" customHeight="1" s="192">
      <c r="W57748" s="239" t="n"/>
      <c r="X57748" s="239" t="n"/>
    </row>
    <row r="57750" ht="14.25" customHeight="1" s="192">
      <c r="W57750" s="235" t="n"/>
      <c r="X57750" s="235" t="n"/>
    </row>
    <row r="57751" ht="15" customHeight="1" s="192" thickBot="1">
      <c r="W57751" s="239" t="n"/>
      <c r="X57751" s="239" t="n"/>
    </row>
    <row r="57752" ht="15" customHeight="1" s="192" thickBot="1">
      <c r="W57752" s="45" t="n"/>
      <c r="X57752" s="45" t="n"/>
    </row>
    <row r="57753" ht="14.25" customHeight="1" s="192">
      <c r="W57753" s="228" t="n"/>
      <c r="X57753" s="228" t="n"/>
    </row>
    <row r="57754" ht="14.25" customHeight="1" s="192">
      <c r="W57754" s="228" t="n"/>
      <c r="X57754" s="228" t="n"/>
    </row>
    <row r="57755" ht="14.25" customHeight="1" s="192">
      <c r="W57755" s="231" t="n"/>
      <c r="X57755" s="231" t="n"/>
    </row>
    <row r="57756" ht="14.25" customHeight="1" s="192">
      <c r="W57756" s="33" t="n"/>
      <c r="X57756" s="33" t="n"/>
    </row>
    <row r="57757" ht="14.25" customHeight="1" s="192">
      <c r="W57757" s="231" t="n"/>
      <c r="X57757" s="231" t="n"/>
    </row>
    <row r="57758" ht="14.25" customHeight="1" s="192">
      <c r="W57758" s="33" t="n"/>
      <c r="X57758" s="33" t="n"/>
    </row>
    <row r="57760" ht="14.25" customHeight="1" s="192">
      <c r="W57760" s="231" t="n"/>
      <c r="X57760" s="231" t="n"/>
    </row>
    <row r="57761" ht="14.25" customHeight="1" s="192">
      <c r="W57761" s="235" t="n"/>
      <c r="X57761" s="235" t="n"/>
    </row>
    <row r="57762" ht="14.25" customHeight="1" s="192">
      <c r="W57762" s="228" t="n"/>
      <c r="X57762" s="228" t="n"/>
    </row>
    <row r="57763" ht="14.25" customHeight="1" s="192">
      <c r="W57763" s="235" t="n"/>
      <c r="X57763" s="235" t="n"/>
    </row>
    <row r="57764" ht="14.25" customHeight="1" s="192">
      <c r="W57764" s="235" t="n"/>
      <c r="X57764" s="235" t="n"/>
    </row>
    <row r="57765" ht="14.25" customHeight="1" s="192">
      <c r="W57765" s="235" t="n"/>
      <c r="X57765" s="235" t="n"/>
    </row>
    <row r="57766" ht="14.25" customHeight="1" s="192">
      <c r="W57766" s="239" t="n"/>
      <c r="X57766" s="239" t="n"/>
    </row>
    <row r="57767" ht="14.25" customHeight="1" s="192">
      <c r="W57767" s="239" t="n"/>
      <c r="X57767" s="239" t="n"/>
    </row>
    <row r="57768" ht="14.25" customHeight="1" s="192">
      <c r="W57768" s="239" t="n"/>
      <c r="X57768" s="239" t="n"/>
    </row>
    <row r="57769" ht="14.25" customHeight="1" s="192">
      <c r="W57769" s="235" t="n"/>
      <c r="X57769" s="235" t="n"/>
    </row>
    <row r="57770" ht="14.25" customHeight="1" s="192">
      <c r="W57770" s="235" t="n"/>
      <c r="X57770" s="235" t="n"/>
    </row>
    <row r="57771" ht="14.25" customHeight="1" s="192">
      <c r="W57771" s="235" t="n"/>
      <c r="X57771" s="235" t="n"/>
    </row>
    <row r="57772" ht="14.25" customHeight="1" s="192">
      <c r="W57772" s="239" t="n"/>
      <c r="X57772" s="239" t="n"/>
    </row>
    <row r="57773" ht="14.25" customHeight="1" s="192">
      <c r="W57773" s="239" t="n"/>
      <c r="X57773" s="239" t="n"/>
    </row>
    <row r="57774" ht="14.25" customHeight="1" s="192">
      <c r="W57774" s="235" t="n"/>
      <c r="X57774" s="235" t="n"/>
    </row>
    <row r="57775" ht="14.25" customHeight="1" s="192">
      <c r="W57775" s="235" t="n"/>
      <c r="X57775" s="235" t="n"/>
    </row>
    <row r="57776" ht="14.25" customHeight="1" s="192">
      <c r="W57776" s="239" t="n"/>
      <c r="X57776" s="239" t="n"/>
    </row>
    <row r="57777" ht="14.25" customHeight="1" s="192">
      <c r="W57777" s="235" t="n"/>
      <c r="X57777" s="235" t="n"/>
    </row>
    <row r="57778" ht="14.25" customHeight="1" s="192">
      <c r="W57778" s="239" t="n"/>
      <c r="X57778" s="239" t="n"/>
    </row>
    <row r="57780" ht="14.25" customHeight="1" s="192">
      <c r="W57780" s="235" t="n"/>
      <c r="X57780" s="235" t="n"/>
    </row>
    <row r="57781" ht="15" customHeight="1" s="192" thickBot="1">
      <c r="W57781" s="239" t="n"/>
      <c r="X57781" s="239" t="n"/>
    </row>
    <row r="57782" ht="15" customHeight="1" s="192" thickBot="1">
      <c r="W57782" s="45" t="n"/>
      <c r="X57782" s="45" t="n"/>
    </row>
    <row r="57783" ht="14.25" customHeight="1" s="192">
      <c r="W57783" s="228" t="n"/>
      <c r="X57783" s="228" t="n"/>
    </row>
    <row r="57784" ht="14.25" customHeight="1" s="192">
      <c r="W57784" s="228" t="n"/>
      <c r="X57784" s="228" t="n"/>
    </row>
    <row r="57785" ht="14.25" customHeight="1" s="192">
      <c r="W57785" s="231" t="n"/>
      <c r="X57785" s="231" t="n"/>
    </row>
    <row r="57786" ht="14.25" customHeight="1" s="192">
      <c r="W57786" s="33" t="n"/>
      <c r="X57786" s="33" t="n"/>
    </row>
    <row r="57787" ht="14.25" customHeight="1" s="192">
      <c r="W57787" s="231" t="n"/>
      <c r="X57787" s="231" t="n"/>
    </row>
    <row r="57788" ht="14.25" customHeight="1" s="192">
      <c r="W57788" s="33" t="n"/>
      <c r="X57788" s="33" t="n"/>
    </row>
    <row r="57790" ht="14.25" customHeight="1" s="192">
      <c r="W57790" s="231" t="n"/>
      <c r="X57790" s="231" t="n"/>
    </row>
    <row r="57791" ht="14.25" customHeight="1" s="192">
      <c r="W57791" s="235" t="n"/>
      <c r="X57791" s="235" t="n"/>
    </row>
    <row r="57792" ht="14.25" customHeight="1" s="192">
      <c r="W57792" s="228" t="n"/>
      <c r="X57792" s="228" t="n"/>
    </row>
    <row r="57793" ht="14.25" customHeight="1" s="192">
      <c r="W57793" s="235" t="n"/>
      <c r="X57793" s="235" t="n"/>
    </row>
    <row r="57794" ht="14.25" customHeight="1" s="192">
      <c r="W57794" s="235" t="n"/>
      <c r="X57794" s="235" t="n"/>
    </row>
    <row r="57795" ht="14.25" customHeight="1" s="192">
      <c r="W57795" s="235" t="n"/>
      <c r="X57795" s="235" t="n"/>
    </row>
    <row r="57796" ht="14.25" customHeight="1" s="192">
      <c r="W57796" s="239" t="n"/>
      <c r="X57796" s="239" t="n"/>
    </row>
    <row r="57797" ht="14.25" customHeight="1" s="192">
      <c r="W57797" s="239" t="n"/>
      <c r="X57797" s="239" t="n"/>
    </row>
    <row r="57798" ht="14.25" customHeight="1" s="192">
      <c r="W57798" s="239" t="n"/>
      <c r="X57798" s="239" t="n"/>
    </row>
    <row r="57799" ht="14.25" customHeight="1" s="192">
      <c r="W57799" s="235" t="n"/>
      <c r="X57799" s="235" t="n"/>
    </row>
    <row r="57800" ht="14.25" customHeight="1" s="192">
      <c r="W57800" s="235" t="n"/>
      <c r="X57800" s="235" t="n"/>
    </row>
    <row r="57801" ht="14.25" customHeight="1" s="192">
      <c r="W57801" s="235" t="n"/>
      <c r="X57801" s="235" t="n"/>
    </row>
    <row r="57802" ht="14.25" customHeight="1" s="192">
      <c r="W57802" s="239" t="n"/>
      <c r="X57802" s="239" t="n"/>
    </row>
    <row r="57803" ht="14.25" customHeight="1" s="192">
      <c r="W57803" s="239" t="n"/>
      <c r="X57803" s="239" t="n"/>
    </row>
    <row r="57804" ht="14.25" customHeight="1" s="192">
      <c r="W57804" s="235" t="n"/>
      <c r="X57804" s="235" t="n"/>
    </row>
    <row r="57805" ht="14.25" customHeight="1" s="192">
      <c r="W57805" s="235" t="n"/>
      <c r="X57805" s="235" t="n"/>
    </row>
    <row r="57806" ht="14.25" customHeight="1" s="192">
      <c r="W57806" s="239" t="n"/>
      <c r="X57806" s="239" t="n"/>
    </row>
    <row r="57807" ht="14.25" customHeight="1" s="192">
      <c r="W57807" s="235" t="n"/>
      <c r="X57807" s="235" t="n"/>
    </row>
    <row r="57808" ht="14.25" customHeight="1" s="192">
      <c r="W57808" s="239" t="n"/>
      <c r="X57808" s="239" t="n"/>
    </row>
    <row r="57810" ht="14.25" customHeight="1" s="192">
      <c r="W57810" s="235" t="n"/>
      <c r="X57810" s="235" t="n"/>
    </row>
    <row r="57811" ht="15" customHeight="1" s="192" thickBot="1">
      <c r="W57811" s="239" t="n"/>
      <c r="X57811" s="239" t="n"/>
    </row>
    <row r="57812" ht="15" customHeight="1" s="192" thickBot="1">
      <c r="W57812" s="45" t="n"/>
      <c r="X57812" s="45" t="n"/>
    </row>
    <row r="57813" ht="14.25" customHeight="1" s="192">
      <c r="W57813" s="228" t="n"/>
      <c r="X57813" s="228" t="n"/>
    </row>
    <row r="57814" ht="14.25" customHeight="1" s="192">
      <c r="W57814" s="228" t="n"/>
      <c r="X57814" s="228" t="n"/>
    </row>
    <row r="57815" ht="14.25" customHeight="1" s="192">
      <c r="W57815" s="231" t="n"/>
      <c r="X57815" s="231" t="n"/>
    </row>
    <row r="57816" ht="14.25" customHeight="1" s="192">
      <c r="W57816" s="33" t="n"/>
      <c r="X57816" s="33" t="n"/>
    </row>
    <row r="57817" ht="14.25" customHeight="1" s="192">
      <c r="W57817" s="231" t="n"/>
      <c r="X57817" s="231" t="n"/>
    </row>
    <row r="57818" ht="14.25" customHeight="1" s="192">
      <c r="W57818" s="33" t="n"/>
      <c r="X57818" s="33" t="n"/>
    </row>
    <row r="57820" ht="14.25" customHeight="1" s="192">
      <c r="W57820" s="231" t="n"/>
      <c r="X57820" s="231" t="n"/>
    </row>
    <row r="57821" ht="14.25" customHeight="1" s="192">
      <c r="W57821" s="235" t="n"/>
      <c r="X57821" s="235" t="n"/>
    </row>
    <row r="57822" ht="14.25" customHeight="1" s="192">
      <c r="W57822" s="228" t="n"/>
      <c r="X57822" s="228" t="n"/>
    </row>
    <row r="57823" ht="14.25" customHeight="1" s="192">
      <c r="W57823" s="235" t="n"/>
      <c r="X57823" s="235" t="n"/>
    </row>
    <row r="57824" ht="14.25" customHeight="1" s="192">
      <c r="W57824" s="235" t="n"/>
      <c r="X57824" s="235" t="n"/>
    </row>
    <row r="57825" ht="14.25" customHeight="1" s="192">
      <c r="W57825" s="235" t="n"/>
      <c r="X57825" s="235" t="n"/>
    </row>
    <row r="57826" ht="14.25" customHeight="1" s="192">
      <c r="W57826" s="239" t="n"/>
      <c r="X57826" s="239" t="n"/>
    </row>
    <row r="57827" ht="14.25" customHeight="1" s="192">
      <c r="W57827" s="239" t="n"/>
      <c r="X57827" s="239" t="n"/>
    </row>
    <row r="57828" ht="14.25" customHeight="1" s="192">
      <c r="W57828" s="239" t="n"/>
      <c r="X57828" s="239" t="n"/>
    </row>
    <row r="57829" ht="14.25" customHeight="1" s="192">
      <c r="W57829" s="235" t="n"/>
      <c r="X57829" s="235" t="n"/>
    </row>
    <row r="57830" ht="14.25" customHeight="1" s="192">
      <c r="W57830" s="235" t="n"/>
      <c r="X57830" s="235" t="n"/>
    </row>
    <row r="57831" ht="14.25" customHeight="1" s="192">
      <c r="W57831" s="235" t="n"/>
      <c r="X57831" s="235" t="n"/>
    </row>
    <row r="57832" ht="14.25" customHeight="1" s="192">
      <c r="W57832" s="239" t="n"/>
      <c r="X57832" s="239" t="n"/>
    </row>
    <row r="57833" ht="14.25" customHeight="1" s="192">
      <c r="W57833" s="239" t="n"/>
      <c r="X57833" s="239" t="n"/>
    </row>
    <row r="57834" ht="14.25" customHeight="1" s="192">
      <c r="W57834" s="235" t="n"/>
      <c r="X57834" s="235" t="n"/>
    </row>
    <row r="57835" ht="14.25" customHeight="1" s="192">
      <c r="W57835" s="235" t="n"/>
      <c r="X57835" s="235" t="n"/>
    </row>
    <row r="57836" ht="14.25" customHeight="1" s="192">
      <c r="W57836" s="239" t="n"/>
      <c r="X57836" s="239" t="n"/>
    </row>
    <row r="57837" ht="14.25" customHeight="1" s="192">
      <c r="W57837" s="235" t="n"/>
      <c r="X57837" s="235" t="n"/>
    </row>
    <row r="57838" ht="14.25" customHeight="1" s="192">
      <c r="W57838" s="239" t="n"/>
      <c r="X57838" s="239" t="n"/>
    </row>
    <row r="57840" ht="14.25" customHeight="1" s="192">
      <c r="W57840" s="235" t="n"/>
      <c r="X57840" s="235" t="n"/>
    </row>
    <row r="57841" ht="15" customHeight="1" s="192" thickBot="1">
      <c r="W57841" s="239" t="n"/>
      <c r="X57841" s="239" t="n"/>
    </row>
    <row r="57842" ht="15" customHeight="1" s="192" thickBot="1">
      <c r="W57842" s="45" t="n"/>
      <c r="X57842" s="45" t="n"/>
    </row>
    <row r="57843" ht="14.25" customHeight="1" s="192">
      <c r="W57843" s="228" t="n"/>
      <c r="X57843" s="228" t="n"/>
    </row>
    <row r="57844" ht="14.25" customHeight="1" s="192">
      <c r="W57844" s="228" t="n"/>
      <c r="X57844" s="228" t="n"/>
    </row>
    <row r="57845" ht="14.25" customHeight="1" s="192">
      <c r="W57845" s="231" t="n"/>
      <c r="X57845" s="231" t="n"/>
    </row>
    <row r="57846" ht="14.25" customHeight="1" s="192">
      <c r="W57846" s="33" t="n"/>
      <c r="X57846" s="33" t="n"/>
    </row>
    <row r="57847" ht="14.25" customHeight="1" s="192">
      <c r="W57847" s="231" t="n"/>
      <c r="X57847" s="231" t="n"/>
    </row>
    <row r="57848" ht="14.25" customHeight="1" s="192">
      <c r="W57848" s="33" t="n"/>
      <c r="X57848" s="33" t="n"/>
    </row>
    <row r="57850" ht="14.25" customHeight="1" s="192">
      <c r="W57850" s="231" t="n"/>
      <c r="X57850" s="231" t="n"/>
    </row>
    <row r="57851" ht="14.25" customHeight="1" s="192">
      <c r="W57851" s="235" t="n"/>
      <c r="X57851" s="235" t="n"/>
    </row>
    <row r="57852" ht="14.25" customHeight="1" s="192">
      <c r="W57852" s="228" t="n"/>
      <c r="X57852" s="228" t="n"/>
    </row>
    <row r="57853" ht="14.25" customHeight="1" s="192">
      <c r="W57853" s="235" t="n"/>
      <c r="X57853" s="235" t="n"/>
    </row>
    <row r="57854" ht="14.25" customHeight="1" s="192">
      <c r="W57854" s="235" t="n"/>
      <c r="X57854" s="235" t="n"/>
    </row>
    <row r="57855" ht="14.25" customHeight="1" s="192">
      <c r="W57855" s="235" t="n"/>
      <c r="X57855" s="235" t="n"/>
    </row>
    <row r="57856" ht="14.25" customHeight="1" s="192">
      <c r="W57856" s="239" t="n"/>
      <c r="X57856" s="239" t="n"/>
    </row>
    <row r="57857" ht="14.25" customHeight="1" s="192">
      <c r="W57857" s="239" t="n"/>
      <c r="X57857" s="239" t="n"/>
    </row>
    <row r="57858" ht="14.25" customHeight="1" s="192">
      <c r="W57858" s="239" t="n"/>
      <c r="X57858" s="239" t="n"/>
    </row>
    <row r="57859" ht="14.25" customHeight="1" s="192">
      <c r="W57859" s="235" t="n"/>
      <c r="X57859" s="235" t="n"/>
    </row>
    <row r="57860" ht="14.25" customHeight="1" s="192">
      <c r="W57860" s="235" t="n"/>
      <c r="X57860" s="235" t="n"/>
    </row>
    <row r="57861" ht="14.25" customHeight="1" s="192">
      <c r="W57861" s="235" t="n"/>
      <c r="X57861" s="235" t="n"/>
    </row>
    <row r="57862" ht="14.25" customHeight="1" s="192">
      <c r="W57862" s="239" t="n"/>
      <c r="X57862" s="239" t="n"/>
    </row>
    <row r="57863" ht="14.25" customHeight="1" s="192">
      <c r="W57863" s="239" t="n"/>
      <c r="X57863" s="239" t="n"/>
    </row>
    <row r="57864" ht="14.25" customHeight="1" s="192">
      <c r="W57864" s="235" t="n"/>
      <c r="X57864" s="235" t="n"/>
    </row>
    <row r="57865" ht="14.25" customHeight="1" s="192">
      <c r="W57865" s="235" t="n"/>
      <c r="X57865" s="235" t="n"/>
    </row>
    <row r="57866" ht="14.25" customHeight="1" s="192">
      <c r="W57866" s="239" t="n"/>
      <c r="X57866" s="239" t="n"/>
    </row>
    <row r="57867" ht="14.25" customHeight="1" s="192">
      <c r="W57867" s="235" t="n"/>
      <c r="X57867" s="235" t="n"/>
    </row>
    <row r="57868" ht="14.25" customHeight="1" s="192">
      <c r="W57868" s="239" t="n"/>
      <c r="X57868" s="239" t="n"/>
    </row>
    <row r="57870" ht="14.25" customHeight="1" s="192">
      <c r="W57870" s="235" t="n"/>
      <c r="X57870" s="235" t="n"/>
    </row>
    <row r="57871" ht="15" customHeight="1" s="192" thickBot="1">
      <c r="W57871" s="239" t="n"/>
      <c r="X57871" s="239" t="n"/>
    </row>
    <row r="57872" ht="15" customHeight="1" s="192" thickBot="1">
      <c r="W57872" s="45" t="n"/>
      <c r="X57872" s="45" t="n"/>
    </row>
    <row r="57873" ht="14.25" customHeight="1" s="192">
      <c r="W57873" s="228" t="n"/>
      <c r="X57873" s="228" t="n"/>
    </row>
    <row r="57874" ht="14.25" customHeight="1" s="192">
      <c r="W57874" s="228" t="n"/>
      <c r="X57874" s="228" t="n"/>
    </row>
    <row r="57875" ht="14.25" customHeight="1" s="192">
      <c r="W57875" s="231" t="n"/>
      <c r="X57875" s="231" t="n"/>
    </row>
    <row r="57876" ht="14.25" customHeight="1" s="192">
      <c r="W57876" s="33" t="n"/>
      <c r="X57876" s="33" t="n"/>
    </row>
    <row r="57877" ht="14.25" customHeight="1" s="192">
      <c r="W57877" s="231" t="n"/>
      <c r="X57877" s="231" t="n"/>
    </row>
    <row r="57878" ht="14.25" customHeight="1" s="192">
      <c r="W57878" s="33" t="n"/>
      <c r="X57878" s="33" t="n"/>
    </row>
    <row r="57880" ht="14.25" customHeight="1" s="192">
      <c r="W57880" s="231" t="n"/>
      <c r="X57880" s="231" t="n"/>
    </row>
    <row r="57881" ht="14.25" customHeight="1" s="192">
      <c r="W57881" s="235" t="n"/>
      <c r="X57881" s="235" t="n"/>
    </row>
    <row r="57882" ht="14.25" customHeight="1" s="192">
      <c r="W57882" s="228" t="n"/>
      <c r="X57882" s="228" t="n"/>
    </row>
    <row r="57883" ht="14.25" customHeight="1" s="192">
      <c r="W57883" s="235" t="n"/>
      <c r="X57883" s="235" t="n"/>
    </row>
    <row r="57884" ht="14.25" customHeight="1" s="192">
      <c r="W57884" s="235" t="n"/>
      <c r="X57884" s="235" t="n"/>
    </row>
    <row r="57885" ht="14.25" customHeight="1" s="192">
      <c r="W57885" s="235" t="n"/>
      <c r="X57885" s="235" t="n"/>
    </row>
    <row r="57886" ht="14.25" customHeight="1" s="192">
      <c r="W57886" s="239" t="n"/>
      <c r="X57886" s="239" t="n"/>
    </row>
    <row r="57887" ht="14.25" customHeight="1" s="192">
      <c r="W57887" s="239" t="n"/>
      <c r="X57887" s="239" t="n"/>
    </row>
    <row r="57888" ht="14.25" customHeight="1" s="192">
      <c r="W57888" s="239" t="n"/>
      <c r="X57888" s="239" t="n"/>
    </row>
    <row r="57889" ht="14.25" customHeight="1" s="192">
      <c r="W57889" s="235" t="n"/>
      <c r="X57889" s="235" t="n"/>
    </row>
    <row r="57890" ht="14.25" customHeight="1" s="192">
      <c r="W57890" s="235" t="n"/>
      <c r="X57890" s="235" t="n"/>
    </row>
    <row r="57891" ht="14.25" customHeight="1" s="192">
      <c r="W57891" s="235" t="n"/>
      <c r="X57891" s="235" t="n"/>
    </row>
    <row r="57892" ht="14.25" customHeight="1" s="192">
      <c r="W57892" s="239" t="n"/>
      <c r="X57892" s="239" t="n"/>
    </row>
    <row r="57893" ht="14.25" customHeight="1" s="192">
      <c r="W57893" s="239" t="n"/>
      <c r="X57893" s="239" t="n"/>
    </row>
    <row r="57894" ht="14.25" customHeight="1" s="192">
      <c r="W57894" s="235" t="n"/>
      <c r="X57894" s="235" t="n"/>
    </row>
    <row r="57895" ht="14.25" customHeight="1" s="192">
      <c r="W57895" s="235" t="n"/>
      <c r="X57895" s="235" t="n"/>
    </row>
    <row r="57896" ht="14.25" customHeight="1" s="192">
      <c r="W57896" s="239" t="n"/>
      <c r="X57896" s="239" t="n"/>
    </row>
    <row r="57897" ht="14.25" customHeight="1" s="192">
      <c r="W57897" s="235" t="n"/>
      <c r="X57897" s="235" t="n"/>
    </row>
    <row r="57898" ht="14.25" customHeight="1" s="192">
      <c r="W57898" s="239" t="n"/>
      <c r="X57898" s="239" t="n"/>
    </row>
    <row r="57900" ht="14.25" customHeight="1" s="192">
      <c r="W57900" s="235" t="n"/>
      <c r="X57900" s="235" t="n"/>
    </row>
    <row r="57901" ht="15" customHeight="1" s="192" thickBot="1">
      <c r="W57901" s="239" t="n"/>
      <c r="X57901" s="239" t="n"/>
    </row>
    <row r="57902" ht="15" customHeight="1" s="192" thickBot="1">
      <c r="W57902" s="45" t="n"/>
      <c r="X57902" s="45" t="n"/>
    </row>
    <row r="57903" ht="14.25" customHeight="1" s="192">
      <c r="W57903" s="228" t="n"/>
      <c r="X57903" s="228" t="n"/>
    </row>
    <row r="57904" ht="14.25" customHeight="1" s="192">
      <c r="W57904" s="228" t="n"/>
      <c r="X57904" s="228" t="n"/>
    </row>
    <row r="57905" ht="14.25" customHeight="1" s="192">
      <c r="W57905" s="231" t="n"/>
      <c r="X57905" s="231" t="n"/>
    </row>
    <row r="57906" ht="14.25" customHeight="1" s="192">
      <c r="W57906" s="33" t="n"/>
      <c r="X57906" s="33" t="n"/>
    </row>
    <row r="57907" ht="14.25" customHeight="1" s="192">
      <c r="W57907" s="231" t="n"/>
      <c r="X57907" s="231" t="n"/>
    </row>
    <row r="57908" ht="14.25" customHeight="1" s="192">
      <c r="W57908" s="33" t="n"/>
      <c r="X57908" s="33" t="n"/>
    </row>
    <row r="57910" ht="14.25" customHeight="1" s="192">
      <c r="W57910" s="231" t="n"/>
      <c r="X57910" s="231" t="n"/>
    </row>
    <row r="57911" ht="14.25" customHeight="1" s="192">
      <c r="W57911" s="235" t="n"/>
      <c r="X57911" s="235" t="n"/>
    </row>
    <row r="57912" ht="14.25" customHeight="1" s="192">
      <c r="W57912" s="228" t="n"/>
      <c r="X57912" s="228" t="n"/>
    </row>
    <row r="57913" ht="14.25" customHeight="1" s="192">
      <c r="W57913" s="235" t="n"/>
      <c r="X57913" s="235" t="n"/>
    </row>
    <row r="57914" ht="14.25" customHeight="1" s="192">
      <c r="W57914" s="235" t="n"/>
      <c r="X57914" s="235" t="n"/>
    </row>
    <row r="57915" ht="14.25" customHeight="1" s="192">
      <c r="W57915" s="235" t="n"/>
      <c r="X57915" s="235" t="n"/>
    </row>
    <row r="57916" ht="14.25" customHeight="1" s="192">
      <c r="W57916" s="239" t="n"/>
      <c r="X57916" s="239" t="n"/>
    </row>
    <row r="57917" ht="14.25" customHeight="1" s="192">
      <c r="W57917" s="239" t="n"/>
      <c r="X57917" s="239" t="n"/>
    </row>
    <row r="57918" ht="14.25" customHeight="1" s="192">
      <c r="W57918" s="239" t="n"/>
      <c r="X57918" s="239" t="n"/>
    </row>
    <row r="57919" ht="14.25" customHeight="1" s="192">
      <c r="W57919" s="235" t="n"/>
      <c r="X57919" s="235" t="n"/>
    </row>
    <row r="57920" ht="14.25" customHeight="1" s="192">
      <c r="W57920" s="235" t="n"/>
      <c r="X57920" s="235" t="n"/>
    </row>
    <row r="57921" ht="14.25" customHeight="1" s="192">
      <c r="W57921" s="235" t="n"/>
      <c r="X57921" s="235" t="n"/>
    </row>
    <row r="57922" ht="14.25" customHeight="1" s="192">
      <c r="W57922" s="239" t="n"/>
      <c r="X57922" s="239" t="n"/>
    </row>
    <row r="57923" ht="14.25" customHeight="1" s="192">
      <c r="W57923" s="239" t="n"/>
      <c r="X57923" s="239" t="n"/>
    </row>
    <row r="57924" ht="14.25" customHeight="1" s="192">
      <c r="W57924" s="235" t="n"/>
      <c r="X57924" s="235" t="n"/>
    </row>
    <row r="57925" ht="14.25" customHeight="1" s="192">
      <c r="W57925" s="235" t="n"/>
      <c r="X57925" s="235" t="n"/>
    </row>
    <row r="57926" ht="14.25" customHeight="1" s="192">
      <c r="W57926" s="239" t="n"/>
      <c r="X57926" s="239" t="n"/>
    </row>
    <row r="57927" ht="14.25" customHeight="1" s="192">
      <c r="W57927" s="235" t="n"/>
      <c r="X57927" s="235" t="n"/>
    </row>
    <row r="57928" ht="14.25" customHeight="1" s="192">
      <c r="W57928" s="239" t="n"/>
      <c r="X57928" s="239" t="n"/>
    </row>
    <row r="57930" ht="14.25" customHeight="1" s="192">
      <c r="W57930" s="235" t="n"/>
      <c r="X57930" s="235" t="n"/>
    </row>
    <row r="57931" ht="15" customHeight="1" s="192" thickBot="1">
      <c r="W57931" s="239" t="n"/>
      <c r="X57931" s="239" t="n"/>
    </row>
    <row r="57932" ht="15" customHeight="1" s="192" thickBot="1">
      <c r="W57932" s="45" t="n"/>
      <c r="X57932" s="45" t="n"/>
    </row>
    <row r="57933" ht="14.25" customHeight="1" s="192">
      <c r="W57933" s="228" t="n"/>
      <c r="X57933" s="228" t="n"/>
    </row>
    <row r="57934" ht="14.25" customHeight="1" s="192">
      <c r="W57934" s="228" t="n"/>
      <c r="X57934" s="228" t="n"/>
    </row>
    <row r="57935" ht="14.25" customHeight="1" s="192">
      <c r="W57935" s="231" t="n"/>
      <c r="X57935" s="231" t="n"/>
    </row>
    <row r="57936" ht="14.25" customHeight="1" s="192">
      <c r="W57936" s="33" t="n"/>
      <c r="X57936" s="33" t="n"/>
    </row>
    <row r="57937" ht="14.25" customHeight="1" s="192">
      <c r="W57937" s="231" t="n"/>
      <c r="X57937" s="231" t="n"/>
    </row>
    <row r="57938" ht="14.25" customHeight="1" s="192">
      <c r="W57938" s="33" t="n"/>
      <c r="X57938" s="33" t="n"/>
    </row>
    <row r="57940" ht="14.25" customHeight="1" s="192">
      <c r="W57940" s="231" t="n"/>
      <c r="X57940" s="231" t="n"/>
    </row>
    <row r="57941" ht="14.25" customHeight="1" s="192">
      <c r="W57941" s="235" t="n"/>
      <c r="X57941" s="235" t="n"/>
    </row>
    <row r="57942" ht="14.25" customHeight="1" s="192">
      <c r="W57942" s="228" t="n"/>
      <c r="X57942" s="228" t="n"/>
    </row>
    <row r="57943" ht="14.25" customHeight="1" s="192">
      <c r="W57943" s="235" t="n"/>
      <c r="X57943" s="235" t="n"/>
    </row>
    <row r="57944" ht="14.25" customHeight="1" s="192">
      <c r="W57944" s="235" t="n"/>
      <c r="X57944" s="235" t="n"/>
    </row>
    <row r="57945" ht="14.25" customHeight="1" s="192">
      <c r="W57945" s="235" t="n"/>
      <c r="X57945" s="235" t="n"/>
    </row>
    <row r="57946" ht="14.25" customHeight="1" s="192">
      <c r="W57946" s="239" t="n"/>
      <c r="X57946" s="239" t="n"/>
    </row>
    <row r="57947" ht="14.25" customHeight="1" s="192">
      <c r="W57947" s="239" t="n"/>
      <c r="X57947" s="239" t="n"/>
    </row>
    <row r="57948" ht="14.25" customHeight="1" s="192">
      <c r="W57948" s="239" t="n"/>
      <c r="X57948" s="239" t="n"/>
    </row>
    <row r="57949" ht="14.25" customHeight="1" s="192">
      <c r="W57949" s="235" t="n"/>
      <c r="X57949" s="235" t="n"/>
    </row>
    <row r="57950" ht="14.25" customHeight="1" s="192">
      <c r="W57950" s="235" t="n"/>
      <c r="X57950" s="235" t="n"/>
    </row>
    <row r="57951" ht="14.25" customHeight="1" s="192">
      <c r="W57951" s="235" t="n"/>
      <c r="X57951" s="235" t="n"/>
    </row>
    <row r="57952" ht="14.25" customHeight="1" s="192">
      <c r="W57952" s="239" t="n"/>
      <c r="X57952" s="239" t="n"/>
    </row>
    <row r="57953" ht="14.25" customHeight="1" s="192">
      <c r="W57953" s="239" t="n"/>
      <c r="X57953" s="239" t="n"/>
    </row>
    <row r="57954" ht="14.25" customHeight="1" s="192">
      <c r="W57954" s="235" t="n"/>
      <c r="X57954" s="235" t="n"/>
    </row>
    <row r="57955" ht="14.25" customHeight="1" s="192">
      <c r="W57955" s="235" t="n"/>
      <c r="X57955" s="235" t="n"/>
    </row>
    <row r="57956" ht="14.25" customHeight="1" s="192">
      <c r="W57956" s="239" t="n"/>
      <c r="X57956" s="239" t="n"/>
    </row>
    <row r="57957" ht="14.25" customHeight="1" s="192">
      <c r="W57957" s="235" t="n"/>
      <c r="X57957" s="235" t="n"/>
    </row>
    <row r="57958" ht="14.25" customHeight="1" s="192">
      <c r="W57958" s="239" t="n"/>
      <c r="X57958" s="239" t="n"/>
    </row>
    <row r="57960" ht="14.25" customHeight="1" s="192">
      <c r="W57960" s="235" t="n"/>
      <c r="X57960" s="235" t="n"/>
    </row>
    <row r="57961" ht="15" customHeight="1" s="192" thickBot="1">
      <c r="W57961" s="239" t="n"/>
      <c r="X57961" s="239" t="n"/>
    </row>
    <row r="57962" ht="15" customHeight="1" s="192" thickBot="1">
      <c r="W57962" s="45" t="n"/>
      <c r="X57962" s="45" t="n"/>
    </row>
    <row r="57963" ht="14.25" customHeight="1" s="192">
      <c r="W57963" s="228" t="n"/>
      <c r="X57963" s="228" t="n"/>
    </row>
    <row r="57964" ht="14.25" customHeight="1" s="192">
      <c r="W57964" s="228" t="n"/>
      <c r="X57964" s="228" t="n"/>
    </row>
    <row r="57965" ht="14.25" customHeight="1" s="192">
      <c r="W57965" s="231" t="n"/>
      <c r="X57965" s="231" t="n"/>
    </row>
    <row r="57966" ht="14.25" customHeight="1" s="192">
      <c r="W57966" s="33" t="n"/>
      <c r="X57966" s="33" t="n"/>
    </row>
    <row r="57967" ht="14.25" customHeight="1" s="192">
      <c r="W57967" s="231" t="n"/>
      <c r="X57967" s="231" t="n"/>
    </row>
    <row r="57968" ht="14.25" customHeight="1" s="192">
      <c r="W57968" s="33" t="n"/>
      <c r="X57968" s="33" t="n"/>
    </row>
    <row r="57970" ht="14.25" customHeight="1" s="192">
      <c r="W57970" s="231" t="n"/>
      <c r="X57970" s="231" t="n"/>
    </row>
    <row r="57971" ht="14.25" customHeight="1" s="192">
      <c r="W57971" s="235" t="n"/>
      <c r="X57971" s="235" t="n"/>
    </row>
    <row r="57972" ht="14.25" customHeight="1" s="192">
      <c r="W57972" s="228" t="n"/>
      <c r="X57972" s="228" t="n"/>
    </row>
    <row r="57973" ht="14.25" customHeight="1" s="192">
      <c r="W57973" s="235" t="n"/>
      <c r="X57973" s="235" t="n"/>
    </row>
    <row r="57974" ht="14.25" customHeight="1" s="192">
      <c r="W57974" s="235" t="n"/>
      <c r="X57974" s="235" t="n"/>
    </row>
    <row r="57975" ht="14.25" customHeight="1" s="192">
      <c r="W57975" s="235" t="n"/>
      <c r="X57975" s="235" t="n"/>
    </row>
    <row r="57976" ht="14.25" customHeight="1" s="192">
      <c r="W57976" s="239" t="n"/>
      <c r="X57976" s="239" t="n"/>
    </row>
    <row r="57977" ht="14.25" customHeight="1" s="192">
      <c r="W57977" s="239" t="n"/>
      <c r="X57977" s="239" t="n"/>
    </row>
    <row r="57978" ht="14.25" customHeight="1" s="192">
      <c r="W57978" s="239" t="n"/>
      <c r="X57978" s="239" t="n"/>
    </row>
    <row r="57979" ht="14.25" customHeight="1" s="192">
      <c r="W57979" s="235" t="n"/>
      <c r="X57979" s="235" t="n"/>
    </row>
    <row r="57980" ht="14.25" customHeight="1" s="192">
      <c r="W57980" s="235" t="n"/>
      <c r="X57980" s="235" t="n"/>
    </row>
    <row r="57981" ht="14.25" customHeight="1" s="192">
      <c r="W57981" s="235" t="n"/>
      <c r="X57981" s="235" t="n"/>
    </row>
    <row r="57982" ht="14.25" customHeight="1" s="192">
      <c r="W57982" s="239" t="n"/>
      <c r="X57982" s="239" t="n"/>
    </row>
    <row r="57983" ht="14.25" customHeight="1" s="192">
      <c r="W57983" s="239" t="n"/>
      <c r="X57983" s="239" t="n"/>
    </row>
    <row r="57984" ht="14.25" customHeight="1" s="192">
      <c r="W57984" s="235" t="n"/>
      <c r="X57984" s="235" t="n"/>
    </row>
    <row r="57985" ht="14.25" customHeight="1" s="192">
      <c r="W57985" s="235" t="n"/>
      <c r="X57985" s="235" t="n"/>
    </row>
    <row r="57986" ht="14.25" customHeight="1" s="192">
      <c r="W57986" s="239" t="n"/>
      <c r="X57986" s="239" t="n"/>
    </row>
    <row r="57987" ht="14.25" customHeight="1" s="192">
      <c r="W57987" s="235" t="n"/>
      <c r="X57987" s="235" t="n"/>
    </row>
    <row r="57988" ht="14.25" customHeight="1" s="192">
      <c r="W57988" s="239" t="n"/>
      <c r="X57988" s="239" t="n"/>
    </row>
    <row r="57990" ht="14.25" customHeight="1" s="192">
      <c r="W57990" s="235" t="n"/>
      <c r="X57990" s="235" t="n"/>
    </row>
    <row r="57991" ht="15" customHeight="1" s="192" thickBot="1">
      <c r="W57991" s="239" t="n"/>
      <c r="X57991" s="239" t="n"/>
    </row>
    <row r="57992" ht="15" customHeight="1" s="192" thickBot="1">
      <c r="W57992" s="45" t="n"/>
      <c r="X57992" s="45" t="n"/>
    </row>
    <row r="57993" ht="14.25" customHeight="1" s="192">
      <c r="W57993" s="228" t="n"/>
      <c r="X57993" s="228" t="n"/>
    </row>
    <row r="57994" ht="14.25" customHeight="1" s="192">
      <c r="W57994" s="228" t="n"/>
      <c r="X57994" s="228" t="n"/>
    </row>
    <row r="57995" ht="14.25" customHeight="1" s="192">
      <c r="W57995" s="231" t="n"/>
      <c r="X57995" s="231" t="n"/>
    </row>
    <row r="57996" ht="14.25" customHeight="1" s="192">
      <c r="W57996" s="33" t="n"/>
      <c r="X57996" s="33" t="n"/>
    </row>
    <row r="57997" ht="14.25" customHeight="1" s="192">
      <c r="W57997" s="231" t="n"/>
      <c r="X57997" s="231" t="n"/>
    </row>
    <row r="57998" ht="14.25" customHeight="1" s="192">
      <c r="W57998" s="33" t="n"/>
      <c r="X57998" s="33" t="n"/>
    </row>
    <row r="58000" ht="14.25" customHeight="1" s="192">
      <c r="W58000" s="231" t="n"/>
      <c r="X58000" s="231" t="n"/>
    </row>
    <row r="58001" ht="14.25" customHeight="1" s="192">
      <c r="W58001" s="235" t="n"/>
      <c r="X58001" s="235" t="n"/>
    </row>
    <row r="58002" ht="14.25" customHeight="1" s="192">
      <c r="W58002" s="228" t="n"/>
      <c r="X58002" s="228" t="n"/>
    </row>
    <row r="58003" ht="14.25" customHeight="1" s="192">
      <c r="W58003" s="235" t="n"/>
      <c r="X58003" s="235" t="n"/>
    </row>
    <row r="58004" ht="14.25" customHeight="1" s="192">
      <c r="W58004" s="235" t="n"/>
      <c r="X58004" s="235" t="n"/>
    </row>
    <row r="58005" ht="14.25" customHeight="1" s="192">
      <c r="W58005" s="235" t="n"/>
      <c r="X58005" s="235" t="n"/>
    </row>
    <row r="58006" ht="14.25" customHeight="1" s="192">
      <c r="W58006" s="239" t="n"/>
      <c r="X58006" s="239" t="n"/>
    </row>
    <row r="58007" ht="14.25" customHeight="1" s="192">
      <c r="W58007" s="239" t="n"/>
      <c r="X58007" s="239" t="n"/>
    </row>
    <row r="58008" ht="14.25" customHeight="1" s="192">
      <c r="W58008" s="239" t="n"/>
      <c r="X58008" s="239" t="n"/>
    </row>
    <row r="58009" ht="14.25" customHeight="1" s="192">
      <c r="W58009" s="235" t="n"/>
      <c r="X58009" s="235" t="n"/>
    </row>
    <row r="58010" ht="14.25" customHeight="1" s="192">
      <c r="W58010" s="235" t="n"/>
      <c r="X58010" s="235" t="n"/>
    </row>
    <row r="58011" ht="14.25" customHeight="1" s="192">
      <c r="W58011" s="235" t="n"/>
      <c r="X58011" s="235" t="n"/>
    </row>
    <row r="58012" ht="14.25" customHeight="1" s="192">
      <c r="W58012" s="239" t="n"/>
      <c r="X58012" s="239" t="n"/>
    </row>
    <row r="58013" ht="14.25" customHeight="1" s="192">
      <c r="W58013" s="239" t="n"/>
      <c r="X58013" s="239" t="n"/>
    </row>
    <row r="58014" ht="14.25" customHeight="1" s="192">
      <c r="W58014" s="235" t="n"/>
      <c r="X58014" s="235" t="n"/>
    </row>
    <row r="58015" ht="14.25" customHeight="1" s="192">
      <c r="W58015" s="235" t="n"/>
      <c r="X58015" s="235" t="n"/>
    </row>
    <row r="58016" ht="14.25" customHeight="1" s="192">
      <c r="W58016" s="239" t="n"/>
      <c r="X58016" s="239" t="n"/>
    </row>
    <row r="58017" ht="14.25" customHeight="1" s="192">
      <c r="W58017" s="235" t="n"/>
      <c r="X58017" s="235" t="n"/>
    </row>
    <row r="58018" ht="14.25" customHeight="1" s="192">
      <c r="W58018" s="239" t="n"/>
      <c r="X58018" s="239" t="n"/>
    </row>
    <row r="58020" ht="14.25" customHeight="1" s="192">
      <c r="W58020" s="235" t="n"/>
      <c r="X58020" s="235" t="n"/>
    </row>
    <row r="58021" ht="15" customHeight="1" s="192" thickBot="1">
      <c r="W58021" s="239" t="n"/>
      <c r="X58021" s="239" t="n"/>
    </row>
    <row r="58022" ht="15" customHeight="1" s="192" thickBot="1">
      <c r="W58022" s="45" t="n"/>
      <c r="X58022" s="45" t="n"/>
    </row>
    <row r="58023" ht="14.25" customHeight="1" s="192">
      <c r="W58023" s="228" t="n"/>
      <c r="X58023" s="228" t="n"/>
    </row>
    <row r="58024" ht="14.25" customHeight="1" s="192">
      <c r="W58024" s="228" t="n"/>
      <c r="X58024" s="228" t="n"/>
    </row>
    <row r="58025" ht="14.25" customHeight="1" s="192">
      <c r="W58025" s="231" t="n"/>
      <c r="X58025" s="231" t="n"/>
    </row>
    <row r="58026" ht="14.25" customHeight="1" s="192">
      <c r="W58026" s="33" t="n"/>
      <c r="X58026" s="33" t="n"/>
    </row>
    <row r="58027" ht="14.25" customHeight="1" s="192">
      <c r="W58027" s="231" t="n"/>
      <c r="X58027" s="231" t="n"/>
    </row>
    <row r="58028" ht="14.25" customHeight="1" s="192">
      <c r="W58028" s="33" t="n"/>
      <c r="X58028" s="33" t="n"/>
    </row>
    <row r="58030" ht="14.25" customHeight="1" s="192">
      <c r="W58030" s="231" t="n"/>
      <c r="X58030" s="231" t="n"/>
    </row>
    <row r="58031" ht="14.25" customHeight="1" s="192">
      <c r="W58031" s="235" t="n"/>
      <c r="X58031" s="235" t="n"/>
    </row>
    <row r="58032" ht="14.25" customHeight="1" s="192">
      <c r="W58032" s="228" t="n"/>
      <c r="X58032" s="228" t="n"/>
    </row>
    <row r="58033" ht="14.25" customHeight="1" s="192">
      <c r="W58033" s="235" t="n"/>
      <c r="X58033" s="235" t="n"/>
    </row>
    <row r="58034" ht="14.25" customHeight="1" s="192">
      <c r="W58034" s="235" t="n"/>
      <c r="X58034" s="235" t="n"/>
    </row>
    <row r="58035" ht="14.25" customHeight="1" s="192">
      <c r="W58035" s="235" t="n"/>
      <c r="X58035" s="235" t="n"/>
    </row>
    <row r="58036" ht="14.25" customHeight="1" s="192">
      <c r="W58036" s="239" t="n"/>
      <c r="X58036" s="239" t="n"/>
    </row>
    <row r="58037" ht="14.25" customHeight="1" s="192">
      <c r="W58037" s="239" t="n"/>
      <c r="X58037" s="239" t="n"/>
    </row>
    <row r="58038" ht="14.25" customHeight="1" s="192">
      <c r="W58038" s="239" t="n"/>
      <c r="X58038" s="239" t="n"/>
    </row>
    <row r="58039" ht="14.25" customHeight="1" s="192">
      <c r="W58039" s="235" t="n"/>
      <c r="X58039" s="235" t="n"/>
    </row>
    <row r="58040" ht="14.25" customHeight="1" s="192">
      <c r="W58040" s="235" t="n"/>
      <c r="X58040" s="235" t="n"/>
    </row>
    <row r="58041" ht="14.25" customHeight="1" s="192">
      <c r="W58041" s="235" t="n"/>
      <c r="X58041" s="235" t="n"/>
    </row>
    <row r="58042" ht="14.25" customHeight="1" s="192">
      <c r="W58042" s="239" t="n"/>
      <c r="X58042" s="239" t="n"/>
    </row>
    <row r="58043" ht="14.25" customHeight="1" s="192">
      <c r="W58043" s="239" t="n"/>
      <c r="X58043" s="239" t="n"/>
    </row>
    <row r="58044" ht="14.25" customHeight="1" s="192">
      <c r="W58044" s="235" t="n"/>
      <c r="X58044" s="235" t="n"/>
    </row>
    <row r="58045" ht="14.25" customHeight="1" s="192">
      <c r="W58045" s="235" t="n"/>
      <c r="X58045" s="235" t="n"/>
    </row>
    <row r="58046" ht="14.25" customHeight="1" s="192">
      <c r="W58046" s="239" t="n"/>
      <c r="X58046" s="239" t="n"/>
    </row>
    <row r="58047" ht="14.25" customHeight="1" s="192">
      <c r="W58047" s="235" t="n"/>
      <c r="X58047" s="235" t="n"/>
    </row>
    <row r="58048" ht="14.25" customHeight="1" s="192">
      <c r="W58048" s="239" t="n"/>
      <c r="X58048" s="239" t="n"/>
    </row>
    <row r="58050" ht="14.25" customHeight="1" s="192">
      <c r="W58050" s="235" t="n"/>
      <c r="X58050" s="235" t="n"/>
    </row>
    <row r="58051" ht="15" customHeight="1" s="192" thickBot="1">
      <c r="W58051" s="239" t="n"/>
      <c r="X58051" s="239" t="n"/>
    </row>
    <row r="58052" ht="15" customHeight="1" s="192" thickBot="1">
      <c r="W58052" s="45" t="n"/>
      <c r="X58052" s="45" t="n"/>
    </row>
    <row r="58053" ht="14.25" customHeight="1" s="192">
      <c r="W58053" s="228" t="n"/>
      <c r="X58053" s="228" t="n"/>
    </row>
    <row r="58054" ht="14.25" customHeight="1" s="192">
      <c r="W58054" s="228" t="n"/>
      <c r="X58054" s="228" t="n"/>
    </row>
    <row r="58055" ht="14.25" customHeight="1" s="192">
      <c r="W58055" s="231" t="n"/>
      <c r="X58055" s="231" t="n"/>
    </row>
    <row r="58056" ht="14.25" customHeight="1" s="192">
      <c r="W58056" s="33" t="n"/>
      <c r="X58056" s="33" t="n"/>
    </row>
    <row r="58057" ht="14.25" customHeight="1" s="192">
      <c r="W58057" s="231" t="n"/>
      <c r="X58057" s="231" t="n"/>
    </row>
    <row r="58058" ht="14.25" customHeight="1" s="192">
      <c r="W58058" s="33" t="n"/>
      <c r="X58058" s="33" t="n"/>
    </row>
    <row r="58060" ht="14.25" customHeight="1" s="192">
      <c r="W58060" s="231" t="n"/>
      <c r="X58060" s="231" t="n"/>
    </row>
    <row r="58061" ht="14.25" customHeight="1" s="192">
      <c r="W58061" s="235" t="n"/>
      <c r="X58061" s="235" t="n"/>
    </row>
    <row r="58062" ht="14.25" customHeight="1" s="192">
      <c r="W58062" s="228" t="n"/>
      <c r="X58062" s="228" t="n"/>
    </row>
    <row r="58063" ht="14.25" customHeight="1" s="192">
      <c r="W58063" s="235" t="n"/>
      <c r="X58063" s="235" t="n"/>
    </row>
    <row r="58064" ht="14.25" customHeight="1" s="192">
      <c r="W58064" s="235" t="n"/>
      <c r="X58064" s="235" t="n"/>
    </row>
    <row r="58065" ht="14.25" customHeight="1" s="192">
      <c r="W58065" s="235" t="n"/>
      <c r="X58065" s="235" t="n"/>
    </row>
    <row r="58066" ht="14.25" customHeight="1" s="192">
      <c r="W58066" s="239" t="n"/>
      <c r="X58066" s="239" t="n"/>
    </row>
    <row r="58067" ht="14.25" customHeight="1" s="192">
      <c r="W58067" s="239" t="n"/>
      <c r="X58067" s="239" t="n"/>
    </row>
    <row r="58068" ht="14.25" customHeight="1" s="192">
      <c r="W58068" s="239" t="n"/>
      <c r="X58068" s="239" t="n"/>
    </row>
    <row r="58069" ht="14.25" customHeight="1" s="192">
      <c r="W58069" s="235" t="n"/>
      <c r="X58069" s="235" t="n"/>
    </row>
    <row r="58070" ht="14.25" customHeight="1" s="192">
      <c r="W58070" s="235" t="n"/>
      <c r="X58070" s="235" t="n"/>
    </row>
    <row r="58071" ht="14.25" customHeight="1" s="192">
      <c r="W58071" s="235" t="n"/>
      <c r="X58071" s="235" t="n"/>
    </row>
    <row r="58072" ht="14.25" customHeight="1" s="192">
      <c r="W58072" s="239" t="n"/>
      <c r="X58072" s="239" t="n"/>
    </row>
    <row r="58073" ht="14.25" customHeight="1" s="192">
      <c r="W58073" s="239" t="n"/>
      <c r="X58073" s="239" t="n"/>
    </row>
    <row r="58074" ht="14.25" customHeight="1" s="192">
      <c r="W58074" s="235" t="n"/>
      <c r="X58074" s="235" t="n"/>
    </row>
    <row r="58075" ht="14.25" customHeight="1" s="192">
      <c r="W58075" s="235" t="n"/>
      <c r="X58075" s="235" t="n"/>
    </row>
    <row r="58076" ht="14.25" customHeight="1" s="192">
      <c r="W58076" s="239" t="n"/>
      <c r="X58076" s="239" t="n"/>
    </row>
    <row r="58077" ht="14.25" customHeight="1" s="192">
      <c r="W58077" s="235" t="n"/>
      <c r="X58077" s="235" t="n"/>
    </row>
    <row r="58078" ht="14.25" customHeight="1" s="192">
      <c r="W58078" s="239" t="n"/>
      <c r="X58078" s="239" t="n"/>
    </row>
    <row r="58080" ht="14.25" customHeight="1" s="192">
      <c r="W58080" s="235" t="n"/>
      <c r="X58080" s="235" t="n"/>
    </row>
    <row r="58081" ht="15" customHeight="1" s="192" thickBot="1">
      <c r="W58081" s="239" t="n"/>
      <c r="X58081" s="239" t="n"/>
    </row>
    <row r="58082" ht="15" customHeight="1" s="192" thickBot="1">
      <c r="W58082" s="45" t="n"/>
      <c r="X58082" s="45" t="n"/>
    </row>
    <row r="58083" ht="14.25" customHeight="1" s="192">
      <c r="W58083" s="228" t="n"/>
      <c r="X58083" s="228" t="n"/>
    </row>
    <row r="58084" ht="14.25" customHeight="1" s="192">
      <c r="W58084" s="228" t="n"/>
      <c r="X58084" s="228" t="n"/>
    </row>
    <row r="58085" ht="14.25" customHeight="1" s="192">
      <c r="W58085" s="231" t="n"/>
      <c r="X58085" s="231" t="n"/>
    </row>
    <row r="58086" ht="14.25" customHeight="1" s="192">
      <c r="W58086" s="33" t="n"/>
      <c r="X58086" s="33" t="n"/>
    </row>
    <row r="58087" ht="14.25" customHeight="1" s="192">
      <c r="W58087" s="231" t="n"/>
      <c r="X58087" s="231" t="n"/>
    </row>
    <row r="58088" ht="14.25" customHeight="1" s="192">
      <c r="W58088" s="33" t="n"/>
      <c r="X58088" s="33" t="n"/>
    </row>
    <row r="58090" ht="14.25" customHeight="1" s="192">
      <c r="W58090" s="231" t="n"/>
      <c r="X58090" s="231" t="n"/>
    </row>
    <row r="58091" ht="14.25" customHeight="1" s="192">
      <c r="W58091" s="235" t="n"/>
      <c r="X58091" s="235" t="n"/>
    </row>
    <row r="58092" ht="14.25" customHeight="1" s="192">
      <c r="W58092" s="228" t="n"/>
      <c r="X58092" s="228" t="n"/>
    </row>
    <row r="58093" ht="14.25" customHeight="1" s="192">
      <c r="W58093" s="235" t="n"/>
      <c r="X58093" s="235" t="n"/>
    </row>
    <row r="58094" ht="14.25" customHeight="1" s="192">
      <c r="W58094" s="235" t="n"/>
      <c r="X58094" s="235" t="n"/>
    </row>
    <row r="58095" ht="14.25" customHeight="1" s="192">
      <c r="W58095" s="235" t="n"/>
      <c r="X58095" s="235" t="n"/>
    </row>
    <row r="58096" ht="14.25" customHeight="1" s="192">
      <c r="W58096" s="239" t="n"/>
      <c r="X58096" s="239" t="n"/>
    </row>
    <row r="58097" ht="14.25" customHeight="1" s="192">
      <c r="W58097" s="239" t="n"/>
      <c r="X58097" s="239" t="n"/>
    </row>
    <row r="58098" ht="14.25" customHeight="1" s="192">
      <c r="W58098" s="239" t="n"/>
      <c r="X58098" s="239" t="n"/>
    </row>
    <row r="58099" ht="14.25" customHeight="1" s="192">
      <c r="W58099" s="235" t="n"/>
      <c r="X58099" s="235" t="n"/>
    </row>
    <row r="58100" ht="14.25" customHeight="1" s="192">
      <c r="W58100" s="235" t="n"/>
      <c r="X58100" s="235" t="n"/>
    </row>
    <row r="58101" ht="14.25" customHeight="1" s="192">
      <c r="W58101" s="235" t="n"/>
      <c r="X58101" s="235" t="n"/>
    </row>
    <row r="58102" ht="14.25" customHeight="1" s="192">
      <c r="W58102" s="239" t="n"/>
      <c r="X58102" s="239" t="n"/>
    </row>
    <row r="58103" ht="14.25" customHeight="1" s="192">
      <c r="W58103" s="239" t="n"/>
      <c r="X58103" s="239" t="n"/>
    </row>
    <row r="58104" ht="14.25" customHeight="1" s="192">
      <c r="W58104" s="235" t="n"/>
      <c r="X58104" s="235" t="n"/>
    </row>
    <row r="58105" ht="14.25" customHeight="1" s="192">
      <c r="W58105" s="235" t="n"/>
      <c r="X58105" s="235" t="n"/>
    </row>
    <row r="58106" ht="14.25" customHeight="1" s="192">
      <c r="W58106" s="239" t="n"/>
      <c r="X58106" s="239" t="n"/>
    </row>
    <row r="58107" ht="14.25" customHeight="1" s="192">
      <c r="W58107" s="235" t="n"/>
      <c r="X58107" s="235" t="n"/>
    </row>
    <row r="58108" ht="14.25" customHeight="1" s="192">
      <c r="W58108" s="239" t="n"/>
      <c r="X58108" s="239" t="n"/>
    </row>
    <row r="58110" ht="14.25" customHeight="1" s="192">
      <c r="W58110" s="235" t="n"/>
      <c r="X58110" s="235" t="n"/>
    </row>
    <row r="58111" ht="15" customHeight="1" s="192" thickBot="1">
      <c r="W58111" s="239" t="n"/>
      <c r="X58111" s="239" t="n"/>
    </row>
    <row r="58112" ht="15" customHeight="1" s="192" thickBot="1">
      <c r="W58112" s="45" t="n"/>
      <c r="X58112" s="45" t="n"/>
    </row>
    <row r="58113" ht="14.25" customHeight="1" s="192">
      <c r="W58113" s="228" t="n"/>
      <c r="X58113" s="228" t="n"/>
    </row>
    <row r="58114" ht="14.25" customHeight="1" s="192">
      <c r="W58114" s="228" t="n"/>
      <c r="X58114" s="228" t="n"/>
    </row>
    <row r="58115" ht="14.25" customHeight="1" s="192">
      <c r="W58115" s="231" t="n"/>
      <c r="X58115" s="231" t="n"/>
    </row>
    <row r="58116" ht="14.25" customHeight="1" s="192">
      <c r="W58116" s="33" t="n"/>
      <c r="X58116" s="33" t="n"/>
    </row>
    <row r="58117" ht="14.25" customHeight="1" s="192">
      <c r="W58117" s="231" t="n"/>
      <c r="X58117" s="231" t="n"/>
    </row>
    <row r="58118" ht="14.25" customHeight="1" s="192">
      <c r="W58118" s="33" t="n"/>
      <c r="X58118" s="33" t="n"/>
    </row>
    <row r="58120" ht="14.25" customHeight="1" s="192">
      <c r="W58120" s="231" t="n"/>
      <c r="X58120" s="231" t="n"/>
    </row>
    <row r="58121" ht="14.25" customHeight="1" s="192">
      <c r="W58121" s="235" t="n"/>
      <c r="X58121" s="235" t="n"/>
    </row>
    <row r="58122" ht="14.25" customHeight="1" s="192">
      <c r="W58122" s="228" t="n"/>
      <c r="X58122" s="228" t="n"/>
    </row>
    <row r="58123" ht="14.25" customHeight="1" s="192">
      <c r="W58123" s="235" t="n"/>
      <c r="X58123" s="235" t="n"/>
    </row>
    <row r="58124" ht="14.25" customHeight="1" s="192">
      <c r="W58124" s="235" t="n"/>
      <c r="X58124" s="235" t="n"/>
    </row>
    <row r="58125" ht="14.25" customHeight="1" s="192">
      <c r="W58125" s="235" t="n"/>
      <c r="X58125" s="235" t="n"/>
    </row>
    <row r="58126" ht="14.25" customHeight="1" s="192">
      <c r="W58126" s="239" t="n"/>
      <c r="X58126" s="239" t="n"/>
    </row>
    <row r="58127" ht="14.25" customHeight="1" s="192">
      <c r="W58127" s="239" t="n"/>
      <c r="X58127" s="239" t="n"/>
    </row>
    <row r="58128" ht="14.25" customHeight="1" s="192">
      <c r="W58128" s="239" t="n"/>
      <c r="X58128" s="239" t="n"/>
    </row>
    <row r="58129" ht="14.25" customHeight="1" s="192">
      <c r="W58129" s="235" t="n"/>
      <c r="X58129" s="235" t="n"/>
    </row>
    <row r="58130" ht="14.25" customHeight="1" s="192">
      <c r="W58130" s="235" t="n"/>
      <c r="X58130" s="235" t="n"/>
    </row>
    <row r="58131" ht="14.25" customHeight="1" s="192">
      <c r="W58131" s="235" t="n"/>
      <c r="X58131" s="235" t="n"/>
    </row>
    <row r="58132" ht="14.25" customHeight="1" s="192">
      <c r="W58132" s="239" t="n"/>
      <c r="X58132" s="239" t="n"/>
    </row>
    <row r="58133" ht="14.25" customHeight="1" s="192">
      <c r="W58133" s="239" t="n"/>
      <c r="X58133" s="239" t="n"/>
    </row>
    <row r="58134" ht="14.25" customHeight="1" s="192">
      <c r="W58134" s="235" t="n"/>
      <c r="X58134" s="235" t="n"/>
    </row>
    <row r="58135" ht="14.25" customHeight="1" s="192">
      <c r="W58135" s="235" t="n"/>
      <c r="X58135" s="235" t="n"/>
    </row>
    <row r="58136" ht="14.25" customHeight="1" s="192">
      <c r="W58136" s="239" t="n"/>
      <c r="X58136" s="239" t="n"/>
    </row>
    <row r="58137" ht="14.25" customHeight="1" s="192">
      <c r="W58137" s="235" t="n"/>
      <c r="X58137" s="235" t="n"/>
    </row>
    <row r="58138" ht="14.25" customHeight="1" s="192">
      <c r="W58138" s="239" t="n"/>
      <c r="X58138" s="239" t="n"/>
    </row>
    <row r="58140" ht="14.25" customHeight="1" s="192">
      <c r="W58140" s="235" t="n"/>
      <c r="X58140" s="235" t="n"/>
    </row>
    <row r="58141" ht="15" customHeight="1" s="192" thickBot="1">
      <c r="W58141" s="239" t="n"/>
      <c r="X58141" s="239" t="n"/>
    </row>
    <row r="58142" ht="15" customHeight="1" s="192" thickBot="1">
      <c r="W58142" s="45" t="n"/>
      <c r="X58142" s="45" t="n"/>
    </row>
    <row r="58143" ht="14.25" customHeight="1" s="192">
      <c r="W58143" s="228" t="n"/>
      <c r="X58143" s="228" t="n"/>
    </row>
    <row r="58144" ht="14.25" customHeight="1" s="192">
      <c r="W58144" s="228" t="n"/>
      <c r="X58144" s="228" t="n"/>
    </row>
    <row r="58145" ht="14.25" customHeight="1" s="192">
      <c r="W58145" s="231" t="n"/>
      <c r="X58145" s="231" t="n"/>
    </row>
    <row r="58146" ht="14.25" customHeight="1" s="192">
      <c r="W58146" s="33" t="n"/>
      <c r="X58146" s="33" t="n"/>
    </row>
    <row r="58147" ht="14.25" customHeight="1" s="192">
      <c r="W58147" s="231" t="n"/>
      <c r="X58147" s="231" t="n"/>
    </row>
    <row r="58148" ht="14.25" customHeight="1" s="192">
      <c r="W58148" s="33" t="n"/>
      <c r="X58148" s="33" t="n"/>
    </row>
    <row r="58150" ht="14.25" customHeight="1" s="192">
      <c r="W58150" s="231" t="n"/>
      <c r="X58150" s="231" t="n"/>
    </row>
    <row r="58151" ht="14.25" customHeight="1" s="192">
      <c r="W58151" s="235" t="n"/>
      <c r="X58151" s="235" t="n"/>
    </row>
    <row r="58152" ht="14.25" customHeight="1" s="192">
      <c r="W58152" s="228" t="n"/>
      <c r="X58152" s="228" t="n"/>
    </row>
    <row r="58153" ht="14.25" customHeight="1" s="192">
      <c r="W58153" s="235" t="n"/>
      <c r="X58153" s="235" t="n"/>
    </row>
    <row r="58154" ht="14.25" customHeight="1" s="192">
      <c r="W58154" s="235" t="n"/>
      <c r="X58154" s="235" t="n"/>
    </row>
    <row r="58155" ht="14.25" customHeight="1" s="192">
      <c r="W58155" s="235" t="n"/>
      <c r="X58155" s="235" t="n"/>
    </row>
    <row r="58156" ht="14.25" customHeight="1" s="192">
      <c r="W58156" s="239" t="n"/>
      <c r="X58156" s="239" t="n"/>
    </row>
    <row r="58157" ht="14.25" customHeight="1" s="192">
      <c r="W58157" s="239" t="n"/>
      <c r="X58157" s="239" t="n"/>
    </row>
    <row r="58158" ht="14.25" customHeight="1" s="192">
      <c r="W58158" s="239" t="n"/>
      <c r="X58158" s="239" t="n"/>
    </row>
    <row r="58159" ht="14.25" customHeight="1" s="192">
      <c r="W58159" s="235" t="n"/>
      <c r="X58159" s="235" t="n"/>
    </row>
    <row r="58160" ht="14.25" customHeight="1" s="192">
      <c r="W58160" s="235" t="n"/>
      <c r="X58160" s="235" t="n"/>
    </row>
    <row r="58161" ht="14.25" customHeight="1" s="192">
      <c r="W58161" s="235" t="n"/>
      <c r="X58161" s="235" t="n"/>
    </row>
    <row r="58162" ht="14.25" customHeight="1" s="192">
      <c r="W58162" s="239" t="n"/>
      <c r="X58162" s="239" t="n"/>
    </row>
    <row r="58163" ht="14.25" customHeight="1" s="192">
      <c r="W58163" s="239" t="n"/>
      <c r="X58163" s="239" t="n"/>
    </row>
    <row r="58164" ht="14.25" customHeight="1" s="192">
      <c r="W58164" s="235" t="n"/>
      <c r="X58164" s="235" t="n"/>
    </row>
    <row r="58165" ht="14.25" customHeight="1" s="192">
      <c r="W58165" s="235" t="n"/>
      <c r="X58165" s="235" t="n"/>
    </row>
    <row r="58166" ht="14.25" customHeight="1" s="192">
      <c r="W58166" s="239" t="n"/>
      <c r="X58166" s="239" t="n"/>
    </row>
    <row r="58167" ht="14.25" customHeight="1" s="192">
      <c r="W58167" s="235" t="n"/>
      <c r="X58167" s="235" t="n"/>
    </row>
    <row r="58168" ht="14.25" customHeight="1" s="192">
      <c r="W58168" s="239" t="n"/>
      <c r="X58168" s="239" t="n"/>
    </row>
    <row r="58170" ht="14.25" customHeight="1" s="192">
      <c r="W58170" s="235" t="n"/>
      <c r="X58170" s="235" t="n"/>
    </row>
    <row r="58171" ht="15" customHeight="1" s="192" thickBot="1">
      <c r="W58171" s="239" t="n"/>
      <c r="X58171" s="239" t="n"/>
    </row>
    <row r="58172" ht="15" customHeight="1" s="192" thickBot="1">
      <c r="W58172" s="45" t="n"/>
      <c r="X58172" s="45" t="n"/>
    </row>
    <row r="58173" ht="14.25" customHeight="1" s="192">
      <c r="W58173" s="228" t="n"/>
      <c r="X58173" s="228" t="n"/>
    </row>
    <row r="58174" ht="14.25" customHeight="1" s="192">
      <c r="W58174" s="228" t="n"/>
      <c r="X58174" s="228" t="n"/>
    </row>
    <row r="58175" ht="14.25" customHeight="1" s="192">
      <c r="W58175" s="231" t="n"/>
      <c r="X58175" s="231" t="n"/>
    </row>
    <row r="58176" ht="14.25" customHeight="1" s="192">
      <c r="W58176" s="33" t="n"/>
      <c r="X58176" s="33" t="n"/>
    </row>
    <row r="58177" ht="14.25" customHeight="1" s="192">
      <c r="W58177" s="231" t="n"/>
      <c r="X58177" s="231" t="n"/>
    </row>
    <row r="58178" ht="14.25" customHeight="1" s="192">
      <c r="W58178" s="33" t="n"/>
      <c r="X58178" s="33" t="n"/>
    </row>
    <row r="58180" ht="14.25" customHeight="1" s="192">
      <c r="W58180" s="231" t="n"/>
      <c r="X58180" s="231" t="n"/>
    </row>
    <row r="58181" ht="14.25" customHeight="1" s="192">
      <c r="W58181" s="235" t="n"/>
      <c r="X58181" s="235" t="n"/>
    </row>
    <row r="58182" ht="14.25" customHeight="1" s="192">
      <c r="W58182" s="228" t="n"/>
      <c r="X58182" s="228" t="n"/>
    </row>
    <row r="58183" ht="14.25" customHeight="1" s="192">
      <c r="W58183" s="235" t="n"/>
      <c r="X58183" s="235" t="n"/>
    </row>
    <row r="58184" ht="14.25" customHeight="1" s="192">
      <c r="W58184" s="235" t="n"/>
      <c r="X58184" s="235" t="n"/>
    </row>
    <row r="58185" ht="14.25" customHeight="1" s="192">
      <c r="W58185" s="235" t="n"/>
      <c r="X58185" s="235" t="n"/>
    </row>
    <row r="58186" ht="14.25" customHeight="1" s="192">
      <c r="W58186" s="239" t="n"/>
      <c r="X58186" s="239" t="n"/>
    </row>
    <row r="58187" ht="14.25" customHeight="1" s="192">
      <c r="W58187" s="239" t="n"/>
      <c r="X58187" s="239" t="n"/>
    </row>
    <row r="58188" ht="14.25" customHeight="1" s="192">
      <c r="W58188" s="239" t="n"/>
      <c r="X58188" s="239" t="n"/>
    </row>
    <row r="58189" ht="14.25" customHeight="1" s="192">
      <c r="W58189" s="235" t="n"/>
      <c r="X58189" s="235" t="n"/>
    </row>
    <row r="58190" ht="14.25" customHeight="1" s="192">
      <c r="W58190" s="235" t="n"/>
      <c r="X58190" s="235" t="n"/>
    </row>
    <row r="58191" ht="14.25" customHeight="1" s="192">
      <c r="W58191" s="235" t="n"/>
      <c r="X58191" s="235" t="n"/>
    </row>
    <row r="58192" ht="14.25" customHeight="1" s="192">
      <c r="W58192" s="239" t="n"/>
      <c r="X58192" s="239" t="n"/>
    </row>
    <row r="58193" ht="14.25" customHeight="1" s="192">
      <c r="W58193" s="239" t="n"/>
      <c r="X58193" s="239" t="n"/>
    </row>
    <row r="58194" ht="14.25" customHeight="1" s="192">
      <c r="W58194" s="235" t="n"/>
      <c r="X58194" s="235" t="n"/>
    </row>
    <row r="58195" ht="14.25" customHeight="1" s="192">
      <c r="W58195" s="235" t="n"/>
      <c r="X58195" s="235" t="n"/>
    </row>
    <row r="58196" ht="14.25" customHeight="1" s="192">
      <c r="W58196" s="239" t="n"/>
      <c r="X58196" s="239" t="n"/>
    </row>
    <row r="58197" ht="14.25" customHeight="1" s="192">
      <c r="W58197" s="235" t="n"/>
      <c r="X58197" s="235" t="n"/>
    </row>
    <row r="58198" ht="14.25" customHeight="1" s="192">
      <c r="W58198" s="239" t="n"/>
      <c r="X58198" s="239" t="n"/>
    </row>
    <row r="58200" ht="14.25" customHeight="1" s="192">
      <c r="W58200" s="235" t="n"/>
      <c r="X58200" s="235" t="n"/>
    </row>
    <row r="58201" ht="15" customHeight="1" s="192" thickBot="1">
      <c r="W58201" s="239" t="n"/>
      <c r="X58201" s="239" t="n"/>
    </row>
    <row r="58202" ht="15" customHeight="1" s="192" thickBot="1">
      <c r="W58202" s="45" t="n"/>
      <c r="X58202" s="45" t="n"/>
    </row>
    <row r="58203" ht="14.25" customHeight="1" s="192">
      <c r="W58203" s="228" t="n"/>
      <c r="X58203" s="228" t="n"/>
    </row>
    <row r="58204" ht="14.25" customHeight="1" s="192">
      <c r="W58204" s="228" t="n"/>
      <c r="X58204" s="228" t="n"/>
    </row>
    <row r="58205" ht="14.25" customHeight="1" s="192">
      <c r="W58205" s="231" t="n"/>
      <c r="X58205" s="231" t="n"/>
    </row>
    <row r="58206" ht="14.25" customHeight="1" s="192">
      <c r="W58206" s="33" t="n"/>
      <c r="X58206" s="33" t="n"/>
    </row>
    <row r="58207" ht="14.25" customHeight="1" s="192">
      <c r="W58207" s="231" t="n"/>
      <c r="X58207" s="231" t="n"/>
    </row>
    <row r="58208" ht="14.25" customHeight="1" s="192">
      <c r="W58208" s="33" t="n"/>
      <c r="X58208" s="33" t="n"/>
    </row>
    <row r="58210" ht="14.25" customHeight="1" s="192">
      <c r="W58210" s="231" t="n"/>
      <c r="X58210" s="231" t="n"/>
    </row>
    <row r="58211" ht="14.25" customHeight="1" s="192">
      <c r="W58211" s="235" t="n"/>
      <c r="X58211" s="235" t="n"/>
    </row>
    <row r="58212" ht="14.25" customHeight="1" s="192">
      <c r="W58212" s="228" t="n"/>
      <c r="X58212" s="228" t="n"/>
    </row>
    <row r="58213" ht="14.25" customHeight="1" s="192">
      <c r="W58213" s="235" t="n"/>
      <c r="X58213" s="235" t="n"/>
    </row>
    <row r="58214" ht="14.25" customHeight="1" s="192">
      <c r="W58214" s="235" t="n"/>
      <c r="X58214" s="235" t="n"/>
    </row>
    <row r="58215" ht="14.25" customHeight="1" s="192">
      <c r="W58215" s="235" t="n"/>
      <c r="X58215" s="235" t="n"/>
    </row>
    <row r="58216" ht="14.25" customHeight="1" s="192">
      <c r="W58216" s="239" t="n"/>
      <c r="X58216" s="239" t="n"/>
    </row>
    <row r="58217" ht="14.25" customHeight="1" s="192">
      <c r="W58217" s="239" t="n"/>
      <c r="X58217" s="239" t="n"/>
    </row>
    <row r="58218" ht="14.25" customHeight="1" s="192">
      <c r="W58218" s="239" t="n"/>
      <c r="X58218" s="239" t="n"/>
    </row>
    <row r="58219" ht="14.25" customHeight="1" s="192">
      <c r="W58219" s="235" t="n"/>
      <c r="X58219" s="235" t="n"/>
    </row>
    <row r="58220" ht="14.25" customHeight="1" s="192">
      <c r="W58220" s="235" t="n"/>
      <c r="X58220" s="235" t="n"/>
    </row>
    <row r="58221" ht="14.25" customHeight="1" s="192">
      <c r="W58221" s="235" t="n"/>
      <c r="X58221" s="235" t="n"/>
    </row>
    <row r="58222" ht="14.25" customHeight="1" s="192">
      <c r="W58222" s="239" t="n"/>
      <c r="X58222" s="239" t="n"/>
    </row>
    <row r="58223" ht="14.25" customHeight="1" s="192">
      <c r="W58223" s="239" t="n"/>
      <c r="X58223" s="239" t="n"/>
    </row>
    <row r="58224" ht="14.25" customHeight="1" s="192">
      <c r="W58224" s="235" t="n"/>
      <c r="X58224" s="235" t="n"/>
    </row>
    <row r="58225" ht="14.25" customHeight="1" s="192">
      <c r="W58225" s="235" t="n"/>
      <c r="X58225" s="235" t="n"/>
    </row>
    <row r="58226" ht="14.25" customHeight="1" s="192">
      <c r="W58226" s="239" t="n"/>
      <c r="X58226" s="239" t="n"/>
    </row>
    <row r="58227" ht="14.25" customHeight="1" s="192">
      <c r="W58227" s="235" t="n"/>
      <c r="X58227" s="235" t="n"/>
    </row>
    <row r="58228" ht="14.25" customHeight="1" s="192">
      <c r="W58228" s="239" t="n"/>
      <c r="X58228" s="239" t="n"/>
    </row>
    <row r="58230" ht="14.25" customHeight="1" s="192">
      <c r="W58230" s="235" t="n"/>
      <c r="X58230" s="235" t="n"/>
    </row>
    <row r="58231" ht="15" customHeight="1" s="192" thickBot="1">
      <c r="W58231" s="239" t="n"/>
      <c r="X58231" s="239" t="n"/>
    </row>
    <row r="58232" ht="15" customHeight="1" s="192" thickBot="1">
      <c r="W58232" s="45" t="n"/>
      <c r="X58232" s="45" t="n"/>
    </row>
    <row r="58233" ht="14.25" customHeight="1" s="192">
      <c r="W58233" s="228" t="n"/>
      <c r="X58233" s="228" t="n"/>
    </row>
    <row r="58234" ht="14.25" customHeight="1" s="192">
      <c r="W58234" s="228" t="n"/>
      <c r="X58234" s="228" t="n"/>
    </row>
    <row r="58235" ht="14.25" customHeight="1" s="192">
      <c r="W58235" s="231" t="n"/>
      <c r="X58235" s="231" t="n"/>
    </row>
    <row r="58236" ht="14.25" customHeight="1" s="192">
      <c r="W58236" s="33" t="n"/>
      <c r="X58236" s="33" t="n"/>
    </row>
    <row r="58237" ht="14.25" customHeight="1" s="192">
      <c r="W58237" s="231" t="n"/>
      <c r="X58237" s="231" t="n"/>
    </row>
    <row r="58238" ht="14.25" customHeight="1" s="192">
      <c r="W58238" s="33" t="n"/>
      <c r="X58238" s="33" t="n"/>
    </row>
    <row r="58240" ht="14.25" customHeight="1" s="192">
      <c r="W58240" s="231" t="n"/>
      <c r="X58240" s="231" t="n"/>
    </row>
    <row r="58241" ht="14.25" customHeight="1" s="192">
      <c r="W58241" s="235" t="n"/>
      <c r="X58241" s="235" t="n"/>
    </row>
    <row r="58242" ht="14.25" customHeight="1" s="192">
      <c r="W58242" s="228" t="n"/>
      <c r="X58242" s="228" t="n"/>
    </row>
    <row r="58243" ht="14.25" customHeight="1" s="192">
      <c r="W58243" s="235" t="n"/>
      <c r="X58243" s="235" t="n"/>
    </row>
    <row r="58244" ht="14.25" customHeight="1" s="192">
      <c r="W58244" s="235" t="n"/>
      <c r="X58244" s="235" t="n"/>
    </row>
    <row r="58245" ht="14.25" customHeight="1" s="192">
      <c r="W58245" s="235" t="n"/>
      <c r="X58245" s="235" t="n"/>
    </row>
    <row r="58246" ht="14.25" customHeight="1" s="192">
      <c r="W58246" s="239" t="n"/>
      <c r="X58246" s="239" t="n"/>
    </row>
    <row r="58247" ht="14.25" customHeight="1" s="192">
      <c r="W58247" s="239" t="n"/>
      <c r="X58247" s="239" t="n"/>
    </row>
    <row r="58248" ht="14.25" customHeight="1" s="192">
      <c r="W58248" s="239" t="n"/>
      <c r="X58248" s="239" t="n"/>
    </row>
    <row r="58249" ht="14.25" customHeight="1" s="192">
      <c r="W58249" s="235" t="n"/>
      <c r="X58249" s="235" t="n"/>
    </row>
    <row r="58250" ht="14.25" customHeight="1" s="192">
      <c r="W58250" s="235" t="n"/>
      <c r="X58250" s="235" t="n"/>
    </row>
    <row r="58251" ht="14.25" customHeight="1" s="192">
      <c r="W58251" s="235" t="n"/>
      <c r="X58251" s="235" t="n"/>
    </row>
    <row r="58252" ht="14.25" customHeight="1" s="192">
      <c r="W58252" s="239" t="n"/>
      <c r="X58252" s="239" t="n"/>
    </row>
    <row r="58253" ht="14.25" customHeight="1" s="192">
      <c r="W58253" s="239" t="n"/>
      <c r="X58253" s="239" t="n"/>
    </row>
    <row r="58254" ht="14.25" customHeight="1" s="192">
      <c r="W58254" s="235" t="n"/>
      <c r="X58254" s="235" t="n"/>
    </row>
    <row r="58255" ht="14.25" customHeight="1" s="192">
      <c r="W58255" s="235" t="n"/>
      <c r="X58255" s="235" t="n"/>
    </row>
    <row r="58256" ht="14.25" customHeight="1" s="192">
      <c r="W58256" s="239" t="n"/>
      <c r="X58256" s="239" t="n"/>
    </row>
    <row r="58257" ht="14.25" customHeight="1" s="192">
      <c r="W58257" s="235" t="n"/>
      <c r="X58257" s="235" t="n"/>
    </row>
    <row r="58258" ht="14.25" customHeight="1" s="192">
      <c r="W58258" s="239" t="n"/>
      <c r="X58258" s="239" t="n"/>
    </row>
    <row r="58260" ht="14.25" customHeight="1" s="192">
      <c r="W58260" s="235" t="n"/>
      <c r="X58260" s="235" t="n"/>
    </row>
    <row r="58261" ht="15" customHeight="1" s="192" thickBot="1">
      <c r="W58261" s="239" t="n"/>
      <c r="X58261" s="239" t="n"/>
    </row>
    <row r="58262" ht="15" customHeight="1" s="192" thickBot="1">
      <c r="W58262" s="45" t="n"/>
      <c r="X58262" s="45" t="n"/>
    </row>
    <row r="58263" ht="14.25" customHeight="1" s="192">
      <c r="W58263" s="228" t="n"/>
      <c r="X58263" s="228" t="n"/>
    </row>
    <row r="58264" ht="14.25" customHeight="1" s="192">
      <c r="W58264" s="228" t="n"/>
      <c r="X58264" s="228" t="n"/>
    </row>
    <row r="58265" ht="14.25" customHeight="1" s="192">
      <c r="W58265" s="231" t="n"/>
      <c r="X58265" s="231" t="n"/>
    </row>
    <row r="58266" ht="14.25" customHeight="1" s="192">
      <c r="W58266" s="33" t="n"/>
      <c r="X58266" s="33" t="n"/>
    </row>
    <row r="58267" ht="14.25" customHeight="1" s="192">
      <c r="W58267" s="231" t="n"/>
      <c r="X58267" s="231" t="n"/>
    </row>
    <row r="58268" ht="14.25" customHeight="1" s="192">
      <c r="W58268" s="33" t="n"/>
      <c r="X58268" s="33" t="n"/>
    </row>
    <row r="58270" ht="14.25" customHeight="1" s="192">
      <c r="W58270" s="231" t="n"/>
      <c r="X58270" s="231" t="n"/>
    </row>
    <row r="58271" ht="14.25" customHeight="1" s="192">
      <c r="W58271" s="235" t="n"/>
      <c r="X58271" s="235" t="n"/>
    </row>
    <row r="58272" ht="14.25" customHeight="1" s="192">
      <c r="W58272" s="228" t="n"/>
      <c r="X58272" s="228" t="n"/>
    </row>
    <row r="58273" ht="14.25" customHeight="1" s="192">
      <c r="W58273" s="235" t="n"/>
      <c r="X58273" s="235" t="n"/>
    </row>
    <row r="58274" ht="14.25" customHeight="1" s="192">
      <c r="W58274" s="235" t="n"/>
      <c r="X58274" s="235" t="n"/>
    </row>
    <row r="58275" ht="14.25" customHeight="1" s="192">
      <c r="W58275" s="235" t="n"/>
      <c r="X58275" s="235" t="n"/>
    </row>
    <row r="58276" ht="14.25" customHeight="1" s="192">
      <c r="W58276" s="239" t="n"/>
      <c r="X58276" s="239" t="n"/>
    </row>
    <row r="58277" ht="14.25" customHeight="1" s="192">
      <c r="W58277" s="239" t="n"/>
      <c r="X58277" s="239" t="n"/>
    </row>
    <row r="58278" ht="14.25" customHeight="1" s="192">
      <c r="W58278" s="239" t="n"/>
      <c r="X58278" s="239" t="n"/>
    </row>
    <row r="58279" ht="14.25" customHeight="1" s="192">
      <c r="W58279" s="235" t="n"/>
      <c r="X58279" s="235" t="n"/>
    </row>
    <row r="58280" ht="14.25" customHeight="1" s="192">
      <c r="W58280" s="235" t="n"/>
      <c r="X58280" s="235" t="n"/>
    </row>
    <row r="58281" ht="14.25" customHeight="1" s="192">
      <c r="W58281" s="235" t="n"/>
      <c r="X58281" s="235" t="n"/>
    </row>
    <row r="58282" ht="14.25" customHeight="1" s="192">
      <c r="W58282" s="239" t="n"/>
      <c r="X58282" s="239" t="n"/>
    </row>
    <row r="58283" ht="14.25" customHeight="1" s="192">
      <c r="W58283" s="239" t="n"/>
      <c r="X58283" s="239" t="n"/>
    </row>
    <row r="58284" ht="14.25" customHeight="1" s="192">
      <c r="W58284" s="235" t="n"/>
      <c r="X58284" s="235" t="n"/>
    </row>
    <row r="58285" ht="14.25" customHeight="1" s="192">
      <c r="W58285" s="235" t="n"/>
      <c r="X58285" s="235" t="n"/>
    </row>
    <row r="58286" ht="14.25" customHeight="1" s="192">
      <c r="W58286" s="239" t="n"/>
      <c r="X58286" s="239" t="n"/>
    </row>
    <row r="58287" ht="14.25" customHeight="1" s="192">
      <c r="W58287" s="235" t="n"/>
      <c r="X58287" s="235" t="n"/>
    </row>
    <row r="58288" ht="14.25" customHeight="1" s="192">
      <c r="W58288" s="239" t="n"/>
      <c r="X58288" s="239" t="n"/>
    </row>
    <row r="58290" ht="14.25" customHeight="1" s="192">
      <c r="W58290" s="235" t="n"/>
      <c r="X58290" s="235" t="n"/>
    </row>
    <row r="58291" ht="15" customHeight="1" s="192" thickBot="1">
      <c r="W58291" s="239" t="n"/>
      <c r="X58291" s="239" t="n"/>
    </row>
    <row r="58292" ht="15" customHeight="1" s="192" thickBot="1">
      <c r="W58292" s="45" t="n"/>
      <c r="X58292" s="45" t="n"/>
    </row>
    <row r="58293" ht="14.25" customHeight="1" s="192">
      <c r="W58293" s="228" t="n"/>
      <c r="X58293" s="228" t="n"/>
    </row>
    <row r="58294" ht="14.25" customHeight="1" s="192">
      <c r="W58294" s="228" t="n"/>
      <c r="X58294" s="228" t="n"/>
    </row>
    <row r="58295" ht="14.25" customHeight="1" s="192">
      <c r="W58295" s="231" t="n"/>
      <c r="X58295" s="231" t="n"/>
    </row>
    <row r="58296" ht="14.25" customHeight="1" s="192">
      <c r="W58296" s="33" t="n"/>
      <c r="X58296" s="33" t="n"/>
    </row>
    <row r="58297" ht="14.25" customHeight="1" s="192">
      <c r="W58297" s="231" t="n"/>
      <c r="X58297" s="231" t="n"/>
    </row>
    <row r="58298" ht="14.25" customHeight="1" s="192">
      <c r="W58298" s="33" t="n"/>
      <c r="X58298" s="33" t="n"/>
    </row>
    <row r="58300" ht="14.25" customHeight="1" s="192">
      <c r="W58300" s="231" t="n"/>
      <c r="X58300" s="231" t="n"/>
    </row>
    <row r="58301" ht="14.25" customHeight="1" s="192">
      <c r="W58301" s="235" t="n"/>
      <c r="X58301" s="235" t="n"/>
    </row>
    <row r="58302" ht="14.25" customHeight="1" s="192">
      <c r="W58302" s="228" t="n"/>
      <c r="X58302" s="228" t="n"/>
    </row>
    <row r="58303" ht="14.25" customHeight="1" s="192">
      <c r="W58303" s="235" t="n"/>
      <c r="X58303" s="235" t="n"/>
    </row>
    <row r="58304" ht="14.25" customHeight="1" s="192">
      <c r="W58304" s="235" t="n"/>
      <c r="X58304" s="235" t="n"/>
    </row>
    <row r="58305" ht="14.25" customHeight="1" s="192">
      <c r="W58305" s="235" t="n"/>
      <c r="X58305" s="235" t="n"/>
    </row>
    <row r="58306" ht="14.25" customHeight="1" s="192">
      <c r="W58306" s="239" t="n"/>
      <c r="X58306" s="239" t="n"/>
    </row>
    <row r="58307" ht="14.25" customHeight="1" s="192">
      <c r="W58307" s="239" t="n"/>
      <c r="X58307" s="239" t="n"/>
    </row>
    <row r="58308" ht="14.25" customHeight="1" s="192">
      <c r="W58308" s="239" t="n"/>
      <c r="X58308" s="239" t="n"/>
    </row>
    <row r="58309" ht="14.25" customHeight="1" s="192">
      <c r="W58309" s="235" t="n"/>
      <c r="X58309" s="235" t="n"/>
    </row>
    <row r="58310" ht="14.25" customHeight="1" s="192">
      <c r="W58310" s="235" t="n"/>
      <c r="X58310" s="235" t="n"/>
    </row>
    <row r="58311" ht="14.25" customHeight="1" s="192">
      <c r="W58311" s="235" t="n"/>
      <c r="X58311" s="235" t="n"/>
    </row>
    <row r="58312" ht="14.25" customHeight="1" s="192">
      <c r="W58312" s="239" t="n"/>
      <c r="X58312" s="239" t="n"/>
    </row>
    <row r="58313" ht="14.25" customHeight="1" s="192">
      <c r="W58313" s="239" t="n"/>
      <c r="X58313" s="239" t="n"/>
    </row>
    <row r="58314" ht="14.25" customHeight="1" s="192">
      <c r="W58314" s="235" t="n"/>
      <c r="X58314" s="235" t="n"/>
    </row>
    <row r="58315" ht="14.25" customHeight="1" s="192">
      <c r="W58315" s="235" t="n"/>
      <c r="X58315" s="235" t="n"/>
    </row>
    <row r="58316" ht="14.25" customHeight="1" s="192">
      <c r="W58316" s="239" t="n"/>
      <c r="X58316" s="239" t="n"/>
    </row>
    <row r="58317" ht="14.25" customHeight="1" s="192">
      <c r="W58317" s="235" t="n"/>
      <c r="X58317" s="235" t="n"/>
    </row>
    <row r="58318" ht="14.25" customHeight="1" s="192">
      <c r="W58318" s="239" t="n"/>
      <c r="X58318" s="239" t="n"/>
    </row>
    <row r="58320" ht="14.25" customHeight="1" s="192">
      <c r="W58320" s="235" t="n"/>
      <c r="X58320" s="235" t="n"/>
    </row>
    <row r="58321" ht="15" customHeight="1" s="192" thickBot="1">
      <c r="W58321" s="239" t="n"/>
      <c r="X58321" s="239" t="n"/>
    </row>
    <row r="58322" ht="15" customHeight="1" s="192" thickBot="1">
      <c r="W58322" s="45" t="n"/>
      <c r="X58322" s="45" t="n"/>
    </row>
    <row r="58323" ht="14.25" customHeight="1" s="192">
      <c r="W58323" s="228" t="n"/>
      <c r="X58323" s="228" t="n"/>
    </row>
    <row r="58324" ht="14.25" customHeight="1" s="192">
      <c r="W58324" s="228" t="n"/>
      <c r="X58324" s="228" t="n"/>
    </row>
    <row r="58325" ht="14.25" customHeight="1" s="192">
      <c r="W58325" s="231" t="n"/>
      <c r="X58325" s="231" t="n"/>
    </row>
    <row r="58326" ht="14.25" customHeight="1" s="192">
      <c r="W58326" s="33" t="n"/>
      <c r="X58326" s="33" t="n"/>
    </row>
    <row r="58327" ht="14.25" customHeight="1" s="192">
      <c r="W58327" s="231" t="n"/>
      <c r="X58327" s="231" t="n"/>
    </row>
    <row r="58328" ht="14.25" customHeight="1" s="192">
      <c r="W58328" s="33" t="n"/>
      <c r="X58328" s="33" t="n"/>
    </row>
    <row r="58330" ht="14.25" customHeight="1" s="192">
      <c r="W58330" s="231" t="n"/>
      <c r="X58330" s="231" t="n"/>
    </row>
    <row r="58331" ht="14.25" customHeight="1" s="192">
      <c r="W58331" s="235" t="n"/>
      <c r="X58331" s="235" t="n"/>
    </row>
    <row r="58332" ht="14.25" customHeight="1" s="192">
      <c r="W58332" s="228" t="n"/>
      <c r="X58332" s="228" t="n"/>
    </row>
    <row r="58333" ht="14.25" customHeight="1" s="192">
      <c r="W58333" s="235" t="n"/>
      <c r="X58333" s="235" t="n"/>
    </row>
    <row r="58334" ht="14.25" customHeight="1" s="192">
      <c r="W58334" s="235" t="n"/>
      <c r="X58334" s="235" t="n"/>
    </row>
    <row r="58335" ht="14.25" customHeight="1" s="192">
      <c r="W58335" s="235" t="n"/>
      <c r="X58335" s="235" t="n"/>
    </row>
    <row r="58336" ht="14.25" customHeight="1" s="192">
      <c r="W58336" s="239" t="n"/>
      <c r="X58336" s="239" t="n"/>
    </row>
    <row r="58337" ht="14.25" customHeight="1" s="192">
      <c r="W58337" s="239" t="n"/>
      <c r="X58337" s="239" t="n"/>
    </row>
    <row r="58338" ht="14.25" customHeight="1" s="192">
      <c r="W58338" s="239" t="n"/>
      <c r="X58338" s="239" t="n"/>
    </row>
    <row r="58339" ht="14.25" customHeight="1" s="192">
      <c r="W58339" s="235" t="n"/>
      <c r="X58339" s="235" t="n"/>
    </row>
    <row r="58340" ht="14.25" customHeight="1" s="192">
      <c r="W58340" s="235" t="n"/>
      <c r="X58340" s="235" t="n"/>
    </row>
    <row r="58341" ht="14.25" customHeight="1" s="192">
      <c r="W58341" s="235" t="n"/>
      <c r="X58341" s="235" t="n"/>
    </row>
    <row r="58342" ht="14.25" customHeight="1" s="192">
      <c r="W58342" s="239" t="n"/>
      <c r="X58342" s="239" t="n"/>
    </row>
    <row r="58343" ht="14.25" customHeight="1" s="192">
      <c r="W58343" s="239" t="n"/>
      <c r="X58343" s="239" t="n"/>
    </row>
    <row r="58344" ht="14.25" customHeight="1" s="192">
      <c r="W58344" s="235" t="n"/>
      <c r="X58344" s="235" t="n"/>
    </row>
    <row r="58345" ht="14.25" customHeight="1" s="192">
      <c r="W58345" s="235" t="n"/>
      <c r="X58345" s="235" t="n"/>
    </row>
    <row r="58346" ht="14.25" customHeight="1" s="192">
      <c r="W58346" s="239" t="n"/>
      <c r="X58346" s="239" t="n"/>
    </row>
    <row r="58347" ht="14.25" customHeight="1" s="192">
      <c r="W58347" s="235" t="n"/>
      <c r="X58347" s="235" t="n"/>
    </row>
    <row r="58348" ht="14.25" customHeight="1" s="192">
      <c r="W58348" s="239" t="n"/>
      <c r="X58348" s="239" t="n"/>
    </row>
    <row r="58350" ht="14.25" customHeight="1" s="192">
      <c r="W58350" s="235" t="n"/>
      <c r="X58350" s="235" t="n"/>
    </row>
    <row r="58351" ht="15" customHeight="1" s="192" thickBot="1">
      <c r="W58351" s="239" t="n"/>
      <c r="X58351" s="239" t="n"/>
    </row>
    <row r="58352" ht="15" customHeight="1" s="192" thickBot="1">
      <c r="W58352" s="45" t="n"/>
      <c r="X58352" s="45" t="n"/>
    </row>
    <row r="58353" ht="14.25" customHeight="1" s="192">
      <c r="W58353" s="228" t="n"/>
      <c r="X58353" s="228" t="n"/>
    </row>
    <row r="58354" ht="14.25" customHeight="1" s="192">
      <c r="W58354" s="228" t="n"/>
      <c r="X58354" s="228" t="n"/>
    </row>
    <row r="58355" ht="14.25" customHeight="1" s="192">
      <c r="W58355" s="231" t="n"/>
      <c r="X58355" s="231" t="n"/>
    </row>
    <row r="58356" ht="14.25" customHeight="1" s="192">
      <c r="W58356" s="33" t="n"/>
      <c r="X58356" s="33" t="n"/>
    </row>
    <row r="58357" ht="14.25" customHeight="1" s="192">
      <c r="W58357" s="231" t="n"/>
      <c r="X58357" s="231" t="n"/>
    </row>
    <row r="58358" ht="14.25" customHeight="1" s="192">
      <c r="W58358" s="33" t="n"/>
      <c r="X58358" s="33" t="n"/>
    </row>
    <row r="58360" ht="14.25" customHeight="1" s="192">
      <c r="W58360" s="231" t="n"/>
      <c r="X58360" s="231" t="n"/>
    </row>
    <row r="58361" ht="14.25" customHeight="1" s="192">
      <c r="W58361" s="235" t="n"/>
      <c r="X58361" s="235" t="n"/>
    </row>
    <row r="58362" ht="14.25" customHeight="1" s="192">
      <c r="W58362" s="228" t="n"/>
      <c r="X58362" s="228" t="n"/>
    </row>
    <row r="58363" ht="14.25" customHeight="1" s="192">
      <c r="W58363" s="235" t="n"/>
      <c r="X58363" s="235" t="n"/>
    </row>
    <row r="58364" ht="14.25" customHeight="1" s="192">
      <c r="W58364" s="235" t="n"/>
      <c r="X58364" s="235" t="n"/>
    </row>
    <row r="58365" ht="14.25" customHeight="1" s="192">
      <c r="W58365" s="235" t="n"/>
      <c r="X58365" s="235" t="n"/>
    </row>
    <row r="58366" ht="14.25" customHeight="1" s="192">
      <c r="W58366" s="239" t="n"/>
      <c r="X58366" s="239" t="n"/>
    </row>
    <row r="58367" ht="14.25" customHeight="1" s="192">
      <c r="W58367" s="239" t="n"/>
      <c r="X58367" s="239" t="n"/>
    </row>
    <row r="58368" ht="14.25" customHeight="1" s="192">
      <c r="W58368" s="239" t="n"/>
      <c r="X58368" s="239" t="n"/>
    </row>
    <row r="58369" ht="14.25" customHeight="1" s="192">
      <c r="W58369" s="235" t="n"/>
      <c r="X58369" s="235" t="n"/>
    </row>
    <row r="58370" ht="14.25" customHeight="1" s="192">
      <c r="W58370" s="235" t="n"/>
      <c r="X58370" s="235" t="n"/>
    </row>
    <row r="58371" ht="14.25" customHeight="1" s="192">
      <c r="W58371" s="235" t="n"/>
      <c r="X58371" s="235" t="n"/>
    </row>
    <row r="58372" ht="14.25" customHeight="1" s="192">
      <c r="W58372" s="239" t="n"/>
      <c r="X58372" s="239" t="n"/>
    </row>
    <row r="58373" ht="14.25" customHeight="1" s="192">
      <c r="W58373" s="239" t="n"/>
      <c r="X58373" s="239" t="n"/>
    </row>
    <row r="58374" ht="14.25" customHeight="1" s="192">
      <c r="W58374" s="235" t="n"/>
      <c r="X58374" s="235" t="n"/>
    </row>
    <row r="58375" ht="14.25" customHeight="1" s="192">
      <c r="W58375" s="235" t="n"/>
      <c r="X58375" s="235" t="n"/>
    </row>
    <row r="58376" ht="14.25" customHeight="1" s="192">
      <c r="W58376" s="239" t="n"/>
      <c r="X58376" s="239" t="n"/>
    </row>
    <row r="58377" ht="14.25" customHeight="1" s="192">
      <c r="W58377" s="235" t="n"/>
      <c r="X58377" s="235" t="n"/>
    </row>
    <row r="58378" ht="14.25" customHeight="1" s="192">
      <c r="W58378" s="239" t="n"/>
      <c r="X58378" s="239" t="n"/>
    </row>
    <row r="58380" ht="14.25" customHeight="1" s="192">
      <c r="W58380" s="235" t="n"/>
      <c r="X58380" s="235" t="n"/>
    </row>
    <row r="58381" ht="15" customHeight="1" s="192" thickBot="1">
      <c r="W58381" s="239" t="n"/>
      <c r="X58381" s="239" t="n"/>
    </row>
    <row r="58382" ht="15" customHeight="1" s="192" thickBot="1">
      <c r="W58382" s="45" t="n"/>
      <c r="X58382" s="45" t="n"/>
    </row>
    <row r="58383" ht="14.25" customHeight="1" s="192">
      <c r="W58383" s="228" t="n"/>
      <c r="X58383" s="228" t="n"/>
    </row>
    <row r="58384" ht="14.25" customHeight="1" s="192">
      <c r="W58384" s="228" t="n"/>
      <c r="X58384" s="228" t="n"/>
    </row>
    <row r="58385" ht="14.25" customHeight="1" s="192">
      <c r="W58385" s="231" t="n"/>
      <c r="X58385" s="231" t="n"/>
    </row>
    <row r="58386" ht="14.25" customHeight="1" s="192">
      <c r="W58386" s="33" t="n"/>
      <c r="X58386" s="33" t="n"/>
    </row>
    <row r="58387" ht="14.25" customHeight="1" s="192">
      <c r="W58387" s="231" t="n"/>
      <c r="X58387" s="231" t="n"/>
    </row>
    <row r="58388" ht="14.25" customHeight="1" s="192">
      <c r="W58388" s="33" t="n"/>
      <c r="X58388" s="33" t="n"/>
    </row>
    <row r="58390" ht="14.25" customHeight="1" s="192">
      <c r="W58390" s="231" t="n"/>
      <c r="X58390" s="231" t="n"/>
    </row>
    <row r="58391" ht="14.25" customHeight="1" s="192">
      <c r="W58391" s="235" t="n"/>
      <c r="X58391" s="235" t="n"/>
    </row>
    <row r="58392" ht="14.25" customHeight="1" s="192">
      <c r="W58392" s="228" t="n"/>
      <c r="X58392" s="228" t="n"/>
    </row>
    <row r="58393" ht="14.25" customHeight="1" s="192">
      <c r="W58393" s="235" t="n"/>
      <c r="X58393" s="235" t="n"/>
    </row>
    <row r="58394" ht="14.25" customHeight="1" s="192">
      <c r="W58394" s="235" t="n"/>
      <c r="X58394" s="235" t="n"/>
    </row>
    <row r="58395" ht="14.25" customHeight="1" s="192">
      <c r="W58395" s="235" t="n"/>
      <c r="X58395" s="235" t="n"/>
    </row>
    <row r="58396" ht="14.25" customHeight="1" s="192">
      <c r="W58396" s="239" t="n"/>
      <c r="X58396" s="239" t="n"/>
    </row>
    <row r="58397" ht="14.25" customHeight="1" s="192">
      <c r="W58397" s="239" t="n"/>
      <c r="X58397" s="239" t="n"/>
    </row>
    <row r="58398" ht="14.25" customHeight="1" s="192">
      <c r="W58398" s="239" t="n"/>
      <c r="X58398" s="239" t="n"/>
    </row>
    <row r="58399" ht="14.25" customHeight="1" s="192">
      <c r="W58399" s="235" t="n"/>
      <c r="X58399" s="235" t="n"/>
    </row>
    <row r="58400" ht="14.25" customHeight="1" s="192">
      <c r="W58400" s="235" t="n"/>
      <c r="X58400" s="235" t="n"/>
    </row>
    <row r="58401" ht="14.25" customHeight="1" s="192">
      <c r="W58401" s="235" t="n"/>
      <c r="X58401" s="235" t="n"/>
    </row>
    <row r="58402" ht="14.25" customHeight="1" s="192">
      <c r="W58402" s="239" t="n"/>
      <c r="X58402" s="239" t="n"/>
    </row>
    <row r="58403" ht="14.25" customHeight="1" s="192">
      <c r="W58403" s="239" t="n"/>
      <c r="X58403" s="239" t="n"/>
    </row>
    <row r="58404" ht="14.25" customHeight="1" s="192">
      <c r="W58404" s="235" t="n"/>
      <c r="X58404" s="235" t="n"/>
    </row>
    <row r="58405" ht="14.25" customHeight="1" s="192">
      <c r="W58405" s="235" t="n"/>
      <c r="X58405" s="235" t="n"/>
    </row>
    <row r="58406" ht="14.25" customHeight="1" s="192">
      <c r="W58406" s="239" t="n"/>
      <c r="X58406" s="239" t="n"/>
    </row>
    <row r="58407" ht="14.25" customHeight="1" s="192">
      <c r="W58407" s="235" t="n"/>
      <c r="X58407" s="235" t="n"/>
    </row>
    <row r="58408" ht="14.25" customHeight="1" s="192">
      <c r="W58408" s="239" t="n"/>
      <c r="X58408" s="239" t="n"/>
    </row>
    <row r="58410" ht="14.25" customHeight="1" s="192">
      <c r="W58410" s="235" t="n"/>
      <c r="X58410" s="235" t="n"/>
    </row>
    <row r="58411" ht="15" customHeight="1" s="192" thickBot="1">
      <c r="W58411" s="239" t="n"/>
      <c r="X58411" s="239" t="n"/>
    </row>
    <row r="58412" ht="15" customHeight="1" s="192" thickBot="1">
      <c r="W58412" s="45" t="n"/>
      <c r="X58412" s="45" t="n"/>
    </row>
    <row r="58413" ht="14.25" customHeight="1" s="192">
      <c r="W58413" s="228" t="n"/>
      <c r="X58413" s="228" t="n"/>
    </row>
    <row r="58414" ht="14.25" customHeight="1" s="192">
      <c r="W58414" s="228" t="n"/>
      <c r="X58414" s="228" t="n"/>
    </row>
    <row r="58415" ht="14.25" customHeight="1" s="192">
      <c r="W58415" s="231" t="n"/>
      <c r="X58415" s="231" t="n"/>
    </row>
    <row r="58416" ht="14.25" customHeight="1" s="192">
      <c r="W58416" s="33" t="n"/>
      <c r="X58416" s="33" t="n"/>
    </row>
    <row r="58417" ht="14.25" customHeight="1" s="192">
      <c r="W58417" s="231" t="n"/>
      <c r="X58417" s="231" t="n"/>
    </row>
    <row r="58418" ht="14.25" customHeight="1" s="192">
      <c r="W58418" s="33" t="n"/>
      <c r="X58418" s="33" t="n"/>
    </row>
    <row r="58420" ht="14.25" customHeight="1" s="192">
      <c r="W58420" s="231" t="n"/>
      <c r="X58420" s="231" t="n"/>
    </row>
    <row r="58421" ht="14.25" customHeight="1" s="192">
      <c r="W58421" s="235" t="n"/>
      <c r="X58421" s="235" t="n"/>
    </row>
    <row r="58422" ht="14.25" customHeight="1" s="192">
      <c r="W58422" s="228" t="n"/>
      <c r="X58422" s="228" t="n"/>
    </row>
    <row r="58423" ht="14.25" customHeight="1" s="192">
      <c r="W58423" s="235" t="n"/>
      <c r="X58423" s="235" t="n"/>
    </row>
    <row r="58424" ht="14.25" customHeight="1" s="192">
      <c r="W58424" s="235" t="n"/>
      <c r="X58424" s="235" t="n"/>
    </row>
    <row r="58425" ht="14.25" customHeight="1" s="192">
      <c r="W58425" s="235" t="n"/>
      <c r="X58425" s="235" t="n"/>
    </row>
    <row r="58426" ht="14.25" customHeight="1" s="192">
      <c r="W58426" s="239" t="n"/>
      <c r="X58426" s="239" t="n"/>
    </row>
    <row r="58427" ht="14.25" customHeight="1" s="192">
      <c r="W58427" s="239" t="n"/>
      <c r="X58427" s="239" t="n"/>
    </row>
    <row r="58428" ht="14.25" customHeight="1" s="192">
      <c r="W58428" s="239" t="n"/>
      <c r="X58428" s="239" t="n"/>
    </row>
    <row r="58429" ht="14.25" customHeight="1" s="192">
      <c r="W58429" s="235" t="n"/>
      <c r="X58429" s="235" t="n"/>
    </row>
    <row r="58430" ht="14.25" customHeight="1" s="192">
      <c r="W58430" s="235" t="n"/>
      <c r="X58430" s="235" t="n"/>
    </row>
    <row r="58431" ht="14.25" customHeight="1" s="192">
      <c r="W58431" s="235" t="n"/>
      <c r="X58431" s="235" t="n"/>
    </row>
    <row r="58432" ht="14.25" customHeight="1" s="192">
      <c r="W58432" s="239" t="n"/>
      <c r="X58432" s="239" t="n"/>
    </row>
    <row r="58433" ht="14.25" customHeight="1" s="192">
      <c r="W58433" s="239" t="n"/>
      <c r="X58433" s="239" t="n"/>
    </row>
    <row r="58434" ht="14.25" customHeight="1" s="192">
      <c r="W58434" s="235" t="n"/>
      <c r="X58434" s="235" t="n"/>
    </row>
    <row r="58435" ht="14.25" customHeight="1" s="192">
      <c r="W58435" s="235" t="n"/>
      <c r="X58435" s="235" t="n"/>
    </row>
    <row r="58436" ht="14.25" customHeight="1" s="192">
      <c r="W58436" s="239" t="n"/>
      <c r="X58436" s="239" t="n"/>
    </row>
    <row r="58437" ht="14.25" customHeight="1" s="192">
      <c r="W58437" s="235" t="n"/>
      <c r="X58437" s="235" t="n"/>
    </row>
    <row r="58438" ht="14.25" customHeight="1" s="192">
      <c r="W58438" s="239" t="n"/>
      <c r="X58438" s="239" t="n"/>
    </row>
    <row r="58440" ht="14.25" customHeight="1" s="192">
      <c r="W58440" s="235" t="n"/>
      <c r="X58440" s="235" t="n"/>
    </row>
    <row r="58441" ht="15" customHeight="1" s="192" thickBot="1">
      <c r="W58441" s="239" t="n"/>
      <c r="X58441" s="239" t="n"/>
    </row>
    <row r="58442" ht="15" customHeight="1" s="192" thickBot="1">
      <c r="W58442" s="45" t="n"/>
      <c r="X58442" s="45" t="n"/>
    </row>
    <row r="58443" ht="14.25" customHeight="1" s="192">
      <c r="W58443" s="228" t="n"/>
      <c r="X58443" s="228" t="n"/>
    </row>
    <row r="58444" ht="14.25" customHeight="1" s="192">
      <c r="W58444" s="228" t="n"/>
      <c r="X58444" s="228" t="n"/>
    </row>
    <row r="58445" ht="14.25" customHeight="1" s="192">
      <c r="W58445" s="231" t="n"/>
      <c r="X58445" s="231" t="n"/>
    </row>
    <row r="58446" ht="14.25" customHeight="1" s="192">
      <c r="W58446" s="33" t="n"/>
      <c r="X58446" s="33" t="n"/>
    </row>
    <row r="58447" ht="14.25" customHeight="1" s="192">
      <c r="W58447" s="231" t="n"/>
      <c r="X58447" s="231" t="n"/>
    </row>
    <row r="58448" ht="14.25" customHeight="1" s="192">
      <c r="W58448" s="33" t="n"/>
      <c r="X58448" s="33" t="n"/>
    </row>
    <row r="58450" ht="14.25" customHeight="1" s="192">
      <c r="W58450" s="231" t="n"/>
      <c r="X58450" s="231" t="n"/>
    </row>
    <row r="58451" ht="14.25" customHeight="1" s="192">
      <c r="W58451" s="235" t="n"/>
      <c r="X58451" s="235" t="n"/>
    </row>
    <row r="58452" ht="14.25" customHeight="1" s="192">
      <c r="W58452" s="228" t="n"/>
      <c r="X58452" s="228" t="n"/>
    </row>
    <row r="58453" ht="14.25" customHeight="1" s="192">
      <c r="W58453" s="235" t="n"/>
      <c r="X58453" s="235" t="n"/>
    </row>
    <row r="58454" ht="14.25" customHeight="1" s="192">
      <c r="W58454" s="235" t="n"/>
      <c r="X58454" s="235" t="n"/>
    </row>
    <row r="58455" ht="14.25" customHeight="1" s="192">
      <c r="W58455" s="235" t="n"/>
      <c r="X58455" s="235" t="n"/>
    </row>
    <row r="58456" ht="14.25" customHeight="1" s="192">
      <c r="W58456" s="239" t="n"/>
      <c r="X58456" s="239" t="n"/>
    </row>
    <row r="58457" ht="14.25" customHeight="1" s="192">
      <c r="W58457" s="239" t="n"/>
      <c r="X58457" s="239" t="n"/>
    </row>
    <row r="58458" ht="14.25" customHeight="1" s="192">
      <c r="W58458" s="239" t="n"/>
      <c r="X58458" s="239" t="n"/>
    </row>
    <row r="58459" ht="14.25" customHeight="1" s="192">
      <c r="W58459" s="235" t="n"/>
      <c r="X58459" s="235" t="n"/>
    </row>
    <row r="58460" ht="14.25" customHeight="1" s="192">
      <c r="W58460" s="235" t="n"/>
      <c r="X58460" s="235" t="n"/>
    </row>
    <row r="58461" ht="14.25" customHeight="1" s="192">
      <c r="W58461" s="235" t="n"/>
      <c r="X58461" s="235" t="n"/>
    </row>
    <row r="58462" ht="14.25" customHeight="1" s="192">
      <c r="W58462" s="239" t="n"/>
      <c r="X58462" s="239" t="n"/>
    </row>
    <row r="58463" ht="14.25" customHeight="1" s="192">
      <c r="W58463" s="239" t="n"/>
      <c r="X58463" s="239" t="n"/>
    </row>
    <row r="58464" ht="14.25" customHeight="1" s="192">
      <c r="W58464" s="235" t="n"/>
      <c r="X58464" s="235" t="n"/>
    </row>
    <row r="58465" ht="14.25" customHeight="1" s="192">
      <c r="W58465" s="235" t="n"/>
      <c r="X58465" s="235" t="n"/>
    </row>
    <row r="58466" ht="14.25" customHeight="1" s="192">
      <c r="W58466" s="239" t="n"/>
      <c r="X58466" s="239" t="n"/>
    </row>
    <row r="58467" ht="14.25" customHeight="1" s="192">
      <c r="W58467" s="235" t="n"/>
      <c r="X58467" s="235" t="n"/>
    </row>
    <row r="58468" ht="14.25" customHeight="1" s="192">
      <c r="W58468" s="239" t="n"/>
      <c r="X58468" s="239" t="n"/>
    </row>
    <row r="58470" ht="14.25" customHeight="1" s="192">
      <c r="W58470" s="235" t="n"/>
      <c r="X58470" s="235" t="n"/>
    </row>
    <row r="58471" ht="15" customHeight="1" s="192" thickBot="1">
      <c r="W58471" s="239" t="n"/>
      <c r="X58471" s="239" t="n"/>
    </row>
    <row r="58472" ht="15" customHeight="1" s="192" thickBot="1">
      <c r="W58472" s="45" t="n"/>
      <c r="X58472" s="45" t="n"/>
    </row>
    <row r="58473" ht="14.25" customHeight="1" s="192">
      <c r="W58473" s="228" t="n"/>
      <c r="X58473" s="228" t="n"/>
    </row>
    <row r="58474" ht="14.25" customHeight="1" s="192">
      <c r="W58474" s="228" t="n"/>
      <c r="X58474" s="228" t="n"/>
    </row>
    <row r="58475" ht="14.25" customHeight="1" s="192">
      <c r="W58475" s="231" t="n"/>
      <c r="X58475" s="231" t="n"/>
    </row>
    <row r="58476" ht="14.25" customHeight="1" s="192">
      <c r="W58476" s="33" t="n"/>
      <c r="X58476" s="33" t="n"/>
    </row>
    <row r="58477" ht="14.25" customHeight="1" s="192">
      <c r="W58477" s="231" t="n"/>
      <c r="X58477" s="231" t="n"/>
    </row>
    <row r="58478" ht="14.25" customHeight="1" s="192">
      <c r="W58478" s="33" t="n"/>
      <c r="X58478" s="33" t="n"/>
    </row>
    <row r="58480" ht="14.25" customHeight="1" s="192">
      <c r="W58480" s="231" t="n"/>
      <c r="X58480" s="231" t="n"/>
    </row>
    <row r="58481" ht="14.25" customHeight="1" s="192">
      <c r="W58481" s="235" t="n"/>
      <c r="X58481" s="235" t="n"/>
    </row>
    <row r="58482" ht="14.25" customHeight="1" s="192">
      <c r="W58482" s="228" t="n"/>
      <c r="X58482" s="228" t="n"/>
    </row>
    <row r="58483" ht="14.25" customHeight="1" s="192">
      <c r="W58483" s="235" t="n"/>
      <c r="X58483" s="235" t="n"/>
    </row>
    <row r="58484" ht="14.25" customHeight="1" s="192">
      <c r="W58484" s="235" t="n"/>
      <c r="X58484" s="235" t="n"/>
    </row>
    <row r="58485" ht="14.25" customHeight="1" s="192">
      <c r="W58485" s="235" t="n"/>
      <c r="X58485" s="235" t="n"/>
    </row>
    <row r="58486" ht="14.25" customHeight="1" s="192">
      <c r="W58486" s="239" t="n"/>
      <c r="X58486" s="239" t="n"/>
    </row>
    <row r="58487" ht="14.25" customHeight="1" s="192">
      <c r="W58487" s="239" t="n"/>
      <c r="X58487" s="239" t="n"/>
    </row>
    <row r="58488" ht="14.25" customHeight="1" s="192">
      <c r="W58488" s="239" t="n"/>
      <c r="X58488" s="239" t="n"/>
    </row>
    <row r="58489" ht="14.25" customHeight="1" s="192">
      <c r="W58489" s="235" t="n"/>
      <c r="X58489" s="235" t="n"/>
    </row>
    <row r="58490" ht="14.25" customHeight="1" s="192">
      <c r="W58490" s="235" t="n"/>
      <c r="X58490" s="235" t="n"/>
    </row>
    <row r="58491" ht="14.25" customHeight="1" s="192">
      <c r="W58491" s="235" t="n"/>
      <c r="X58491" s="235" t="n"/>
    </row>
    <row r="58492" ht="14.25" customHeight="1" s="192">
      <c r="W58492" s="239" t="n"/>
      <c r="X58492" s="239" t="n"/>
    </row>
    <row r="58493" ht="14.25" customHeight="1" s="192">
      <c r="W58493" s="239" t="n"/>
      <c r="X58493" s="239" t="n"/>
    </row>
    <row r="58494" ht="14.25" customHeight="1" s="192">
      <c r="W58494" s="235" t="n"/>
      <c r="X58494" s="235" t="n"/>
    </row>
    <row r="58495" ht="14.25" customHeight="1" s="192">
      <c r="W58495" s="235" t="n"/>
      <c r="X58495" s="235" t="n"/>
    </row>
    <row r="58496" ht="14.25" customHeight="1" s="192">
      <c r="W58496" s="239" t="n"/>
      <c r="X58496" s="239" t="n"/>
    </row>
    <row r="58497" ht="14.25" customHeight="1" s="192">
      <c r="W58497" s="235" t="n"/>
      <c r="X58497" s="235" t="n"/>
    </row>
    <row r="58498" ht="14.25" customHeight="1" s="192">
      <c r="W58498" s="239" t="n"/>
      <c r="X58498" s="239" t="n"/>
    </row>
    <row r="58500" ht="14.25" customHeight="1" s="192">
      <c r="W58500" s="235" t="n"/>
      <c r="X58500" s="235" t="n"/>
    </row>
    <row r="58501" ht="15" customHeight="1" s="192" thickBot="1">
      <c r="W58501" s="239" t="n"/>
      <c r="X58501" s="239" t="n"/>
    </row>
    <row r="58502" ht="15" customHeight="1" s="192" thickBot="1">
      <c r="W58502" s="45" t="n"/>
      <c r="X58502" s="45" t="n"/>
    </row>
    <row r="58503" ht="14.25" customHeight="1" s="192">
      <c r="W58503" s="228" t="n"/>
      <c r="X58503" s="228" t="n"/>
    </row>
    <row r="58504" ht="14.25" customHeight="1" s="192">
      <c r="W58504" s="228" t="n"/>
      <c r="X58504" s="228" t="n"/>
    </row>
    <row r="58505" ht="14.25" customHeight="1" s="192">
      <c r="W58505" s="231" t="n"/>
      <c r="X58505" s="231" t="n"/>
    </row>
    <row r="58506" ht="14.25" customHeight="1" s="192">
      <c r="W58506" s="33" t="n"/>
      <c r="X58506" s="33" t="n"/>
    </row>
    <row r="58507" ht="14.25" customHeight="1" s="192">
      <c r="W58507" s="231" t="n"/>
      <c r="X58507" s="231" t="n"/>
    </row>
    <row r="58508" ht="14.25" customHeight="1" s="192">
      <c r="W58508" s="33" t="n"/>
      <c r="X58508" s="33" t="n"/>
    </row>
    <row r="58510" ht="14.25" customHeight="1" s="192">
      <c r="W58510" s="231" t="n"/>
      <c r="X58510" s="231" t="n"/>
    </row>
    <row r="58511" ht="14.25" customHeight="1" s="192">
      <c r="W58511" s="235" t="n"/>
      <c r="X58511" s="235" t="n"/>
    </row>
    <row r="58512" ht="14.25" customHeight="1" s="192">
      <c r="W58512" s="228" t="n"/>
      <c r="X58512" s="228" t="n"/>
    </row>
    <row r="58513" ht="14.25" customHeight="1" s="192">
      <c r="W58513" s="235" t="n"/>
      <c r="X58513" s="235" t="n"/>
    </row>
    <row r="58514" ht="14.25" customHeight="1" s="192">
      <c r="W58514" s="235" t="n"/>
      <c r="X58514" s="235" t="n"/>
    </row>
    <row r="58515" ht="14.25" customHeight="1" s="192">
      <c r="W58515" s="235" t="n"/>
      <c r="X58515" s="235" t="n"/>
    </row>
    <row r="58516" ht="14.25" customHeight="1" s="192">
      <c r="W58516" s="239" t="n"/>
      <c r="X58516" s="239" t="n"/>
    </row>
    <row r="58517" ht="14.25" customHeight="1" s="192">
      <c r="W58517" s="239" t="n"/>
      <c r="X58517" s="239" t="n"/>
    </row>
    <row r="58518" ht="14.25" customHeight="1" s="192">
      <c r="W58518" s="239" t="n"/>
      <c r="X58518" s="239" t="n"/>
    </row>
    <row r="58519" ht="14.25" customHeight="1" s="192">
      <c r="W58519" s="235" t="n"/>
      <c r="X58519" s="235" t="n"/>
    </row>
    <row r="58520" ht="14.25" customHeight="1" s="192">
      <c r="W58520" s="235" t="n"/>
      <c r="X58520" s="235" t="n"/>
    </row>
    <row r="58521" ht="14.25" customHeight="1" s="192">
      <c r="W58521" s="235" t="n"/>
      <c r="X58521" s="235" t="n"/>
    </row>
    <row r="58522" ht="14.25" customHeight="1" s="192">
      <c r="W58522" s="239" t="n"/>
      <c r="X58522" s="239" t="n"/>
    </row>
    <row r="58523" ht="14.25" customHeight="1" s="192">
      <c r="W58523" s="239" t="n"/>
      <c r="X58523" s="239" t="n"/>
    </row>
    <row r="58524" ht="14.25" customHeight="1" s="192">
      <c r="W58524" s="235" t="n"/>
      <c r="X58524" s="235" t="n"/>
    </row>
    <row r="58525" ht="14.25" customHeight="1" s="192">
      <c r="W58525" s="235" t="n"/>
      <c r="X58525" s="235" t="n"/>
    </row>
    <row r="58526" ht="14.25" customHeight="1" s="192">
      <c r="W58526" s="239" t="n"/>
      <c r="X58526" s="239" t="n"/>
    </row>
    <row r="58527" ht="14.25" customHeight="1" s="192">
      <c r="W58527" s="235" t="n"/>
      <c r="X58527" s="235" t="n"/>
    </row>
    <row r="58528" ht="14.25" customHeight="1" s="192">
      <c r="W58528" s="239" t="n"/>
      <c r="X58528" s="239" t="n"/>
    </row>
    <row r="58530" ht="14.25" customHeight="1" s="192">
      <c r="W58530" s="235" t="n"/>
      <c r="X58530" s="235" t="n"/>
    </row>
    <row r="58531" ht="15" customHeight="1" s="192" thickBot="1">
      <c r="W58531" s="239" t="n"/>
      <c r="X58531" s="239" t="n"/>
    </row>
    <row r="58532" ht="15" customHeight="1" s="192" thickBot="1">
      <c r="W58532" s="45" t="n"/>
      <c r="X58532" s="45" t="n"/>
    </row>
    <row r="58533" ht="14.25" customHeight="1" s="192">
      <c r="W58533" s="228" t="n"/>
      <c r="X58533" s="228" t="n"/>
    </row>
    <row r="58534" ht="14.25" customHeight="1" s="192">
      <c r="W58534" s="228" t="n"/>
      <c r="X58534" s="228" t="n"/>
    </row>
    <row r="58535" ht="14.25" customHeight="1" s="192">
      <c r="W58535" s="231" t="n"/>
      <c r="X58535" s="231" t="n"/>
    </row>
    <row r="58536" ht="14.25" customHeight="1" s="192">
      <c r="W58536" s="33" t="n"/>
      <c r="X58536" s="33" t="n"/>
    </row>
    <row r="58537" ht="14.25" customHeight="1" s="192">
      <c r="W58537" s="231" t="n"/>
      <c r="X58537" s="231" t="n"/>
    </row>
    <row r="58538" ht="14.25" customHeight="1" s="192">
      <c r="W58538" s="33" t="n"/>
      <c r="X58538" s="33" t="n"/>
    </row>
    <row r="58540" ht="14.25" customHeight="1" s="192">
      <c r="W58540" s="231" t="n"/>
      <c r="X58540" s="231" t="n"/>
    </row>
    <row r="58541" ht="14.25" customHeight="1" s="192">
      <c r="W58541" s="235" t="n"/>
      <c r="X58541" s="235" t="n"/>
    </row>
    <row r="58542" ht="14.25" customHeight="1" s="192">
      <c r="W58542" s="228" t="n"/>
      <c r="X58542" s="228" t="n"/>
    </row>
    <row r="58543" ht="14.25" customHeight="1" s="192">
      <c r="W58543" s="235" t="n"/>
      <c r="X58543" s="235" t="n"/>
    </row>
    <row r="58544" ht="14.25" customHeight="1" s="192">
      <c r="W58544" s="235" t="n"/>
      <c r="X58544" s="235" t="n"/>
    </row>
    <row r="58545" ht="14.25" customHeight="1" s="192">
      <c r="W58545" s="235" t="n"/>
      <c r="X58545" s="235" t="n"/>
    </row>
    <row r="58546" ht="14.25" customHeight="1" s="192">
      <c r="W58546" s="239" t="n"/>
      <c r="X58546" s="239" t="n"/>
    </row>
    <row r="58547" ht="14.25" customHeight="1" s="192">
      <c r="W58547" s="239" t="n"/>
      <c r="X58547" s="239" t="n"/>
    </row>
    <row r="58548" ht="14.25" customHeight="1" s="192">
      <c r="W58548" s="239" t="n"/>
      <c r="X58548" s="239" t="n"/>
    </row>
    <row r="58549" ht="14.25" customHeight="1" s="192">
      <c r="W58549" s="235" t="n"/>
      <c r="X58549" s="235" t="n"/>
    </row>
    <row r="58550" ht="14.25" customHeight="1" s="192">
      <c r="W58550" s="235" t="n"/>
      <c r="X58550" s="235" t="n"/>
    </row>
    <row r="58551" ht="14.25" customHeight="1" s="192">
      <c r="W58551" s="235" t="n"/>
      <c r="X58551" s="235" t="n"/>
    </row>
    <row r="58552" ht="14.25" customHeight="1" s="192">
      <c r="W58552" s="239" t="n"/>
      <c r="X58552" s="239" t="n"/>
    </row>
    <row r="58553" ht="14.25" customHeight="1" s="192">
      <c r="W58553" s="239" t="n"/>
      <c r="X58553" s="239" t="n"/>
    </row>
    <row r="58554" ht="14.25" customHeight="1" s="192">
      <c r="W58554" s="235" t="n"/>
      <c r="X58554" s="235" t="n"/>
    </row>
    <row r="58555" ht="14.25" customHeight="1" s="192">
      <c r="W58555" s="235" t="n"/>
      <c r="X58555" s="235" t="n"/>
    </row>
    <row r="58556" ht="14.25" customHeight="1" s="192">
      <c r="W58556" s="239" t="n"/>
      <c r="X58556" s="239" t="n"/>
    </row>
    <row r="58557" ht="14.25" customHeight="1" s="192">
      <c r="W58557" s="235" t="n"/>
      <c r="X58557" s="235" t="n"/>
    </row>
    <row r="58558" ht="14.25" customHeight="1" s="192">
      <c r="W58558" s="239" t="n"/>
      <c r="X58558" s="239" t="n"/>
    </row>
    <row r="58560" ht="14.25" customHeight="1" s="192">
      <c r="W58560" s="235" t="n"/>
      <c r="X58560" s="235" t="n"/>
    </row>
    <row r="58561" ht="15" customHeight="1" s="192" thickBot="1">
      <c r="W58561" s="239" t="n"/>
      <c r="X58561" s="239" t="n"/>
    </row>
    <row r="58562" ht="15" customHeight="1" s="192" thickBot="1">
      <c r="W58562" s="45" t="n"/>
      <c r="X58562" s="45" t="n"/>
    </row>
    <row r="58563" ht="14.25" customHeight="1" s="192">
      <c r="W58563" s="228" t="n"/>
      <c r="X58563" s="228" t="n"/>
    </row>
    <row r="58564" ht="14.25" customHeight="1" s="192">
      <c r="W58564" s="228" t="n"/>
      <c r="X58564" s="228" t="n"/>
    </row>
    <row r="58565" ht="14.25" customHeight="1" s="192">
      <c r="W58565" s="231" t="n"/>
      <c r="X58565" s="231" t="n"/>
    </row>
    <row r="58566" ht="14.25" customHeight="1" s="192">
      <c r="W58566" s="33" t="n"/>
      <c r="X58566" s="33" t="n"/>
    </row>
    <row r="58567" ht="14.25" customHeight="1" s="192">
      <c r="W58567" s="231" t="n"/>
      <c r="X58567" s="231" t="n"/>
    </row>
    <row r="58568" ht="14.25" customHeight="1" s="192">
      <c r="W58568" s="33" t="n"/>
      <c r="X58568" s="33" t="n"/>
    </row>
    <row r="58570" ht="14.25" customHeight="1" s="192">
      <c r="W58570" s="231" t="n"/>
      <c r="X58570" s="231" t="n"/>
    </row>
    <row r="58571" ht="14.25" customHeight="1" s="192">
      <c r="W58571" s="235" t="n"/>
      <c r="X58571" s="235" t="n"/>
    </row>
    <row r="58572" ht="14.25" customHeight="1" s="192">
      <c r="W58572" s="228" t="n"/>
      <c r="X58572" s="228" t="n"/>
    </row>
    <row r="58573" ht="14.25" customHeight="1" s="192">
      <c r="W58573" s="235" t="n"/>
      <c r="X58573" s="235" t="n"/>
    </row>
    <row r="58574" ht="14.25" customHeight="1" s="192">
      <c r="W58574" s="235" t="n"/>
      <c r="X58574" s="235" t="n"/>
    </row>
    <row r="58575" ht="14.25" customHeight="1" s="192">
      <c r="W58575" s="235" t="n"/>
      <c r="X58575" s="235" t="n"/>
    </row>
    <row r="58576" ht="14.25" customHeight="1" s="192">
      <c r="W58576" s="239" t="n"/>
      <c r="X58576" s="239" t="n"/>
    </row>
    <row r="58577" ht="14.25" customHeight="1" s="192">
      <c r="W58577" s="239" t="n"/>
      <c r="X58577" s="239" t="n"/>
    </row>
    <row r="58578" ht="14.25" customHeight="1" s="192">
      <c r="W58578" s="239" t="n"/>
      <c r="X58578" s="239" t="n"/>
    </row>
    <row r="58579" ht="14.25" customHeight="1" s="192">
      <c r="W58579" s="235" t="n"/>
      <c r="X58579" s="235" t="n"/>
    </row>
    <row r="58580" ht="14.25" customHeight="1" s="192">
      <c r="W58580" s="235" t="n"/>
      <c r="X58580" s="235" t="n"/>
    </row>
    <row r="58581" ht="14.25" customHeight="1" s="192">
      <c r="W58581" s="235" t="n"/>
      <c r="X58581" s="235" t="n"/>
    </row>
    <row r="58582" ht="14.25" customHeight="1" s="192">
      <c r="W58582" s="239" t="n"/>
      <c r="X58582" s="239" t="n"/>
    </row>
    <row r="58583" ht="14.25" customHeight="1" s="192">
      <c r="W58583" s="239" t="n"/>
      <c r="X58583" s="239" t="n"/>
    </row>
    <row r="58584" ht="14.25" customHeight="1" s="192">
      <c r="W58584" s="235" t="n"/>
      <c r="X58584" s="235" t="n"/>
    </row>
    <row r="58585" ht="14.25" customHeight="1" s="192">
      <c r="W58585" s="235" t="n"/>
      <c r="X58585" s="235" t="n"/>
    </row>
    <row r="58586" ht="14.25" customHeight="1" s="192">
      <c r="W58586" s="239" t="n"/>
      <c r="X58586" s="239" t="n"/>
    </row>
    <row r="58587" ht="14.25" customHeight="1" s="192">
      <c r="W58587" s="235" t="n"/>
      <c r="X58587" s="235" t="n"/>
    </row>
    <row r="58588" ht="14.25" customHeight="1" s="192">
      <c r="W58588" s="239" t="n"/>
      <c r="X58588" s="239" t="n"/>
    </row>
    <row r="58590" ht="14.25" customHeight="1" s="192">
      <c r="W58590" s="235" t="n"/>
      <c r="X58590" s="235" t="n"/>
    </row>
    <row r="58591" ht="15" customHeight="1" s="192" thickBot="1">
      <c r="W58591" s="239" t="n"/>
      <c r="X58591" s="239" t="n"/>
    </row>
    <row r="58592" ht="15" customHeight="1" s="192" thickBot="1">
      <c r="W58592" s="45" t="n"/>
      <c r="X58592" s="45" t="n"/>
    </row>
    <row r="58593" ht="14.25" customHeight="1" s="192">
      <c r="W58593" s="228" t="n"/>
      <c r="X58593" s="228" t="n"/>
    </row>
    <row r="58594" ht="14.25" customHeight="1" s="192">
      <c r="W58594" s="228" t="n"/>
      <c r="X58594" s="228" t="n"/>
    </row>
    <row r="58595" ht="14.25" customHeight="1" s="192">
      <c r="W58595" s="231" t="n"/>
      <c r="X58595" s="231" t="n"/>
    </row>
    <row r="58596" ht="14.25" customHeight="1" s="192">
      <c r="W58596" s="33" t="n"/>
      <c r="X58596" s="33" t="n"/>
    </row>
    <row r="58597" ht="14.25" customHeight="1" s="192">
      <c r="W58597" s="231" t="n"/>
      <c r="X58597" s="231" t="n"/>
    </row>
    <row r="58598" ht="14.25" customHeight="1" s="192">
      <c r="W58598" s="33" t="n"/>
      <c r="X58598" s="33" t="n"/>
    </row>
    <row r="58600" ht="14.25" customHeight="1" s="192">
      <c r="W58600" s="231" t="n"/>
      <c r="X58600" s="231" t="n"/>
    </row>
    <row r="58601" ht="14.25" customHeight="1" s="192">
      <c r="W58601" s="235" t="n"/>
      <c r="X58601" s="235" t="n"/>
    </row>
    <row r="58602" ht="14.25" customHeight="1" s="192">
      <c r="W58602" s="228" t="n"/>
      <c r="X58602" s="228" t="n"/>
    </row>
    <row r="58603" ht="14.25" customHeight="1" s="192">
      <c r="W58603" s="235" t="n"/>
      <c r="X58603" s="235" t="n"/>
    </row>
    <row r="58604" ht="14.25" customHeight="1" s="192">
      <c r="W58604" s="235" t="n"/>
      <c r="X58604" s="235" t="n"/>
    </row>
    <row r="58605" ht="14.25" customHeight="1" s="192">
      <c r="W58605" s="235" t="n"/>
      <c r="X58605" s="235" t="n"/>
    </row>
    <row r="58606" ht="14.25" customHeight="1" s="192">
      <c r="W58606" s="239" t="n"/>
      <c r="X58606" s="239" t="n"/>
    </row>
    <row r="58607" ht="14.25" customHeight="1" s="192">
      <c r="W58607" s="239" t="n"/>
      <c r="X58607" s="239" t="n"/>
    </row>
    <row r="58608" ht="14.25" customHeight="1" s="192">
      <c r="W58608" s="239" t="n"/>
      <c r="X58608" s="239" t="n"/>
    </row>
    <row r="58609" ht="14.25" customHeight="1" s="192">
      <c r="W58609" s="235" t="n"/>
      <c r="X58609" s="235" t="n"/>
    </row>
    <row r="58610" ht="14.25" customHeight="1" s="192">
      <c r="W58610" s="235" t="n"/>
      <c r="X58610" s="235" t="n"/>
    </row>
    <row r="58611" ht="14.25" customHeight="1" s="192">
      <c r="W58611" s="235" t="n"/>
      <c r="X58611" s="235" t="n"/>
    </row>
    <row r="58612" ht="14.25" customHeight="1" s="192">
      <c r="W58612" s="239" t="n"/>
      <c r="X58612" s="239" t="n"/>
    </row>
    <row r="58613" ht="14.25" customHeight="1" s="192">
      <c r="W58613" s="239" t="n"/>
      <c r="X58613" s="239" t="n"/>
    </row>
    <row r="58614" ht="14.25" customHeight="1" s="192">
      <c r="W58614" s="235" t="n"/>
      <c r="X58614" s="235" t="n"/>
    </row>
    <row r="58615" ht="14.25" customHeight="1" s="192">
      <c r="W58615" s="235" t="n"/>
      <c r="X58615" s="235" t="n"/>
    </row>
    <row r="58616" ht="14.25" customHeight="1" s="192">
      <c r="W58616" s="239" t="n"/>
      <c r="X58616" s="239" t="n"/>
    </row>
    <row r="58617" ht="14.25" customHeight="1" s="192">
      <c r="W58617" s="235" t="n"/>
      <c r="X58617" s="235" t="n"/>
    </row>
    <row r="58618" ht="14.25" customHeight="1" s="192">
      <c r="W58618" s="239" t="n"/>
      <c r="X58618" s="239" t="n"/>
    </row>
    <row r="58620" ht="14.25" customHeight="1" s="192">
      <c r="W58620" s="235" t="n"/>
      <c r="X58620" s="235" t="n"/>
    </row>
    <row r="58621" ht="15" customHeight="1" s="192" thickBot="1">
      <c r="W58621" s="239" t="n"/>
      <c r="X58621" s="239" t="n"/>
    </row>
    <row r="58622" ht="15" customHeight="1" s="192" thickBot="1">
      <c r="W58622" s="45" t="n"/>
      <c r="X58622" s="45" t="n"/>
    </row>
    <row r="58623" ht="14.25" customHeight="1" s="192">
      <c r="W58623" s="228" t="n"/>
      <c r="X58623" s="228" t="n"/>
    </row>
    <row r="58624" ht="14.25" customHeight="1" s="192">
      <c r="W58624" s="228" t="n"/>
      <c r="X58624" s="228" t="n"/>
    </row>
    <row r="58625" ht="14.25" customHeight="1" s="192">
      <c r="W58625" s="231" t="n"/>
      <c r="X58625" s="231" t="n"/>
    </row>
    <row r="58626" ht="14.25" customHeight="1" s="192">
      <c r="W58626" s="33" t="n"/>
      <c r="X58626" s="33" t="n"/>
    </row>
    <row r="58627" ht="14.25" customHeight="1" s="192">
      <c r="W58627" s="231" t="n"/>
      <c r="X58627" s="231" t="n"/>
    </row>
    <row r="58628" ht="14.25" customHeight="1" s="192">
      <c r="W58628" s="33" t="n"/>
      <c r="X58628" s="33" t="n"/>
    </row>
    <row r="58630" ht="14.25" customHeight="1" s="192">
      <c r="W58630" s="231" t="n"/>
      <c r="X58630" s="231" t="n"/>
    </row>
    <row r="58631" ht="14.25" customHeight="1" s="192">
      <c r="W58631" s="235" t="n"/>
      <c r="X58631" s="235" t="n"/>
    </row>
    <row r="58632" ht="14.25" customHeight="1" s="192">
      <c r="W58632" s="228" t="n"/>
      <c r="X58632" s="228" t="n"/>
    </row>
    <row r="58633" ht="14.25" customHeight="1" s="192">
      <c r="W58633" s="235" t="n"/>
      <c r="X58633" s="235" t="n"/>
    </row>
    <row r="58634" ht="14.25" customHeight="1" s="192">
      <c r="W58634" s="235" t="n"/>
      <c r="X58634" s="235" t="n"/>
    </row>
    <row r="58635" ht="14.25" customHeight="1" s="192">
      <c r="W58635" s="235" t="n"/>
      <c r="X58635" s="235" t="n"/>
    </row>
    <row r="58636" ht="14.25" customHeight="1" s="192">
      <c r="W58636" s="239" t="n"/>
      <c r="X58636" s="239" t="n"/>
    </row>
    <row r="58637" ht="14.25" customHeight="1" s="192">
      <c r="W58637" s="239" t="n"/>
      <c r="X58637" s="239" t="n"/>
    </row>
    <row r="58638" ht="14.25" customHeight="1" s="192">
      <c r="W58638" s="239" t="n"/>
      <c r="X58638" s="239" t="n"/>
    </row>
    <row r="58639" ht="14.25" customHeight="1" s="192">
      <c r="W58639" s="235" t="n"/>
      <c r="X58639" s="235" t="n"/>
    </row>
    <row r="58640" ht="14.25" customHeight="1" s="192">
      <c r="W58640" s="235" t="n"/>
      <c r="X58640" s="235" t="n"/>
    </row>
    <row r="58641" ht="14.25" customHeight="1" s="192">
      <c r="W58641" s="235" t="n"/>
      <c r="X58641" s="235" t="n"/>
    </row>
    <row r="58642" ht="14.25" customHeight="1" s="192">
      <c r="W58642" s="239" t="n"/>
      <c r="X58642" s="239" t="n"/>
    </row>
    <row r="58643" ht="14.25" customHeight="1" s="192">
      <c r="W58643" s="239" t="n"/>
      <c r="X58643" s="239" t="n"/>
    </row>
    <row r="58644" ht="14.25" customHeight="1" s="192">
      <c r="W58644" s="235" t="n"/>
      <c r="X58644" s="235" t="n"/>
    </row>
    <row r="58645" ht="14.25" customHeight="1" s="192">
      <c r="W58645" s="235" t="n"/>
      <c r="X58645" s="235" t="n"/>
    </row>
    <row r="58646" ht="14.25" customHeight="1" s="192">
      <c r="W58646" s="239" t="n"/>
      <c r="X58646" s="239" t="n"/>
    </row>
    <row r="58647" ht="14.25" customHeight="1" s="192">
      <c r="W58647" s="235" t="n"/>
      <c r="X58647" s="235" t="n"/>
    </row>
    <row r="58648" ht="14.25" customHeight="1" s="192">
      <c r="W58648" s="239" t="n"/>
      <c r="X58648" s="239" t="n"/>
    </row>
    <row r="58650" ht="14.25" customHeight="1" s="192">
      <c r="W58650" s="235" t="n"/>
      <c r="X58650" s="235" t="n"/>
    </row>
    <row r="58651" ht="15" customHeight="1" s="192" thickBot="1">
      <c r="W58651" s="239" t="n"/>
      <c r="X58651" s="239" t="n"/>
    </row>
    <row r="58652" ht="15" customHeight="1" s="192" thickBot="1">
      <c r="W58652" s="45" t="n"/>
      <c r="X58652" s="45" t="n"/>
    </row>
    <row r="58653" ht="14.25" customHeight="1" s="192">
      <c r="W58653" s="228" t="n"/>
      <c r="X58653" s="228" t="n"/>
    </row>
    <row r="58654" ht="14.25" customHeight="1" s="192">
      <c r="W58654" s="228" t="n"/>
      <c r="X58654" s="228" t="n"/>
    </row>
    <row r="58655" ht="14.25" customHeight="1" s="192">
      <c r="W58655" s="231" t="n"/>
      <c r="X58655" s="231" t="n"/>
    </row>
    <row r="58656" ht="14.25" customHeight="1" s="192">
      <c r="W58656" s="33" t="n"/>
      <c r="X58656" s="33" t="n"/>
    </row>
    <row r="58657" ht="14.25" customHeight="1" s="192">
      <c r="W58657" s="231" t="n"/>
      <c r="X58657" s="231" t="n"/>
    </row>
    <row r="58658" ht="14.25" customHeight="1" s="192">
      <c r="W58658" s="33" t="n"/>
      <c r="X58658" s="33" t="n"/>
    </row>
    <row r="58660" ht="14.25" customHeight="1" s="192">
      <c r="W58660" s="231" t="n"/>
      <c r="X58660" s="231" t="n"/>
    </row>
    <row r="58661" ht="14.25" customHeight="1" s="192">
      <c r="W58661" s="235" t="n"/>
      <c r="X58661" s="235" t="n"/>
    </row>
    <row r="58662" ht="14.25" customHeight="1" s="192">
      <c r="W58662" s="228" t="n"/>
      <c r="X58662" s="228" t="n"/>
    </row>
    <row r="58663" ht="14.25" customHeight="1" s="192">
      <c r="W58663" s="235" t="n"/>
      <c r="X58663" s="235" t="n"/>
    </row>
    <row r="58664" ht="14.25" customHeight="1" s="192">
      <c r="W58664" s="235" t="n"/>
      <c r="X58664" s="235" t="n"/>
    </row>
    <row r="58665" ht="14.25" customHeight="1" s="192">
      <c r="W58665" s="235" t="n"/>
      <c r="X58665" s="235" t="n"/>
    </row>
    <row r="58666" ht="14.25" customHeight="1" s="192">
      <c r="W58666" s="239" t="n"/>
      <c r="X58666" s="239" t="n"/>
    </row>
    <row r="58667" ht="14.25" customHeight="1" s="192">
      <c r="W58667" s="239" t="n"/>
      <c r="X58667" s="239" t="n"/>
    </row>
    <row r="58668" ht="14.25" customHeight="1" s="192">
      <c r="W58668" s="239" t="n"/>
      <c r="X58668" s="239" t="n"/>
    </row>
    <row r="58669" ht="14.25" customHeight="1" s="192">
      <c r="W58669" s="235" t="n"/>
      <c r="X58669" s="235" t="n"/>
    </row>
    <row r="58670" ht="14.25" customHeight="1" s="192">
      <c r="W58670" s="235" t="n"/>
      <c r="X58670" s="235" t="n"/>
    </row>
    <row r="58671" ht="14.25" customHeight="1" s="192">
      <c r="W58671" s="235" t="n"/>
      <c r="X58671" s="235" t="n"/>
    </row>
    <row r="58672" ht="14.25" customHeight="1" s="192">
      <c r="W58672" s="239" t="n"/>
      <c r="X58672" s="239" t="n"/>
    </row>
    <row r="58673" ht="14.25" customHeight="1" s="192">
      <c r="W58673" s="239" t="n"/>
      <c r="X58673" s="239" t="n"/>
    </row>
    <row r="58674" ht="14.25" customHeight="1" s="192">
      <c r="W58674" s="235" t="n"/>
      <c r="X58674" s="235" t="n"/>
    </row>
    <row r="58675" ht="14.25" customHeight="1" s="192">
      <c r="W58675" s="235" t="n"/>
      <c r="X58675" s="235" t="n"/>
    </row>
    <row r="58676" ht="14.25" customHeight="1" s="192">
      <c r="W58676" s="239" t="n"/>
      <c r="X58676" s="239" t="n"/>
    </row>
    <row r="58677" ht="14.25" customHeight="1" s="192">
      <c r="W58677" s="235" t="n"/>
      <c r="X58677" s="235" t="n"/>
    </row>
    <row r="58678" ht="14.25" customHeight="1" s="192">
      <c r="W58678" s="239" t="n"/>
      <c r="X58678" s="239" t="n"/>
    </row>
    <row r="58680" ht="14.25" customHeight="1" s="192">
      <c r="W58680" s="235" t="n"/>
      <c r="X58680" s="235" t="n"/>
    </row>
    <row r="58681" ht="15" customHeight="1" s="192" thickBot="1">
      <c r="W58681" s="239" t="n"/>
      <c r="X58681" s="239" t="n"/>
    </row>
    <row r="58682" ht="15" customHeight="1" s="192" thickBot="1">
      <c r="W58682" s="45" t="n"/>
      <c r="X58682" s="45" t="n"/>
    </row>
    <row r="58683" ht="14.25" customHeight="1" s="192">
      <c r="W58683" s="228" t="n"/>
      <c r="X58683" s="228" t="n"/>
    </row>
    <row r="58684" ht="14.25" customHeight="1" s="192">
      <c r="W58684" s="228" t="n"/>
      <c r="X58684" s="228" t="n"/>
    </row>
    <row r="58685" ht="14.25" customHeight="1" s="192">
      <c r="W58685" s="231" t="n"/>
      <c r="X58685" s="231" t="n"/>
    </row>
    <row r="58686" ht="14.25" customHeight="1" s="192">
      <c r="W58686" s="33" t="n"/>
      <c r="X58686" s="33" t="n"/>
    </row>
    <row r="58687" ht="14.25" customHeight="1" s="192">
      <c r="W58687" s="231" t="n"/>
      <c r="X58687" s="231" t="n"/>
    </row>
    <row r="58688" ht="14.25" customHeight="1" s="192">
      <c r="W58688" s="33" t="n"/>
      <c r="X58688" s="33" t="n"/>
    </row>
    <row r="58690" ht="14.25" customHeight="1" s="192">
      <c r="W58690" s="231" t="n"/>
      <c r="X58690" s="231" t="n"/>
    </row>
    <row r="58691" ht="14.25" customHeight="1" s="192">
      <c r="W58691" s="235" t="n"/>
      <c r="X58691" s="235" t="n"/>
    </row>
    <row r="58692" ht="14.25" customHeight="1" s="192">
      <c r="W58692" s="228" t="n"/>
      <c r="X58692" s="228" t="n"/>
    </row>
    <row r="58693" ht="14.25" customHeight="1" s="192">
      <c r="W58693" s="235" t="n"/>
      <c r="X58693" s="235" t="n"/>
    </row>
    <row r="58694" ht="14.25" customHeight="1" s="192">
      <c r="W58694" s="235" t="n"/>
      <c r="X58694" s="235" t="n"/>
    </row>
    <row r="58695" ht="14.25" customHeight="1" s="192">
      <c r="W58695" s="235" t="n"/>
      <c r="X58695" s="235" t="n"/>
    </row>
    <row r="58696" ht="14.25" customHeight="1" s="192">
      <c r="W58696" s="239" t="n"/>
      <c r="X58696" s="239" t="n"/>
    </row>
    <row r="58697" ht="14.25" customHeight="1" s="192">
      <c r="W58697" s="239" t="n"/>
      <c r="X58697" s="239" t="n"/>
    </row>
    <row r="58698" ht="14.25" customHeight="1" s="192">
      <c r="W58698" s="239" t="n"/>
      <c r="X58698" s="239" t="n"/>
    </row>
    <row r="58699" ht="14.25" customHeight="1" s="192">
      <c r="W58699" s="235" t="n"/>
      <c r="X58699" s="235" t="n"/>
    </row>
    <row r="58700" ht="14.25" customHeight="1" s="192">
      <c r="W58700" s="235" t="n"/>
      <c r="X58700" s="235" t="n"/>
    </row>
    <row r="58701" ht="14.25" customHeight="1" s="192">
      <c r="W58701" s="235" t="n"/>
      <c r="X58701" s="235" t="n"/>
    </row>
    <row r="58702" ht="14.25" customHeight="1" s="192">
      <c r="W58702" s="239" t="n"/>
      <c r="X58702" s="239" t="n"/>
    </row>
    <row r="58703" ht="14.25" customHeight="1" s="192">
      <c r="W58703" s="239" t="n"/>
      <c r="X58703" s="239" t="n"/>
    </row>
    <row r="58704" ht="14.25" customHeight="1" s="192">
      <c r="W58704" s="235" t="n"/>
      <c r="X58704" s="235" t="n"/>
    </row>
    <row r="58705" ht="14.25" customHeight="1" s="192">
      <c r="W58705" s="235" t="n"/>
      <c r="X58705" s="235" t="n"/>
    </row>
    <row r="58706" ht="14.25" customHeight="1" s="192">
      <c r="W58706" s="239" t="n"/>
      <c r="X58706" s="239" t="n"/>
    </row>
    <row r="58707" ht="14.25" customHeight="1" s="192">
      <c r="W58707" s="235" t="n"/>
      <c r="X58707" s="235" t="n"/>
    </row>
    <row r="58708" ht="14.25" customHeight="1" s="192">
      <c r="W58708" s="239" t="n"/>
      <c r="X58708" s="239" t="n"/>
    </row>
    <row r="58710" ht="14.25" customHeight="1" s="192">
      <c r="W58710" s="235" t="n"/>
      <c r="X58710" s="235" t="n"/>
    </row>
    <row r="58711" ht="15" customHeight="1" s="192" thickBot="1">
      <c r="W58711" s="239" t="n"/>
      <c r="X58711" s="239" t="n"/>
    </row>
    <row r="58712" ht="15" customHeight="1" s="192" thickBot="1">
      <c r="W58712" s="45" t="n"/>
      <c r="X58712" s="45" t="n"/>
    </row>
    <row r="58713" ht="14.25" customHeight="1" s="192">
      <c r="W58713" s="228" t="n"/>
      <c r="X58713" s="228" t="n"/>
    </row>
    <row r="58714" ht="14.25" customHeight="1" s="192">
      <c r="W58714" s="228" t="n"/>
      <c r="X58714" s="228" t="n"/>
    </row>
    <row r="58715" ht="14.25" customHeight="1" s="192">
      <c r="W58715" s="231" t="n"/>
      <c r="X58715" s="231" t="n"/>
    </row>
    <row r="58716" ht="14.25" customHeight="1" s="192">
      <c r="W58716" s="33" t="n"/>
      <c r="X58716" s="33" t="n"/>
    </row>
    <row r="58717" ht="14.25" customHeight="1" s="192">
      <c r="W58717" s="231" t="n"/>
      <c r="X58717" s="231" t="n"/>
    </row>
    <row r="58718" ht="14.25" customHeight="1" s="192">
      <c r="W58718" s="33" t="n"/>
      <c r="X58718" s="33" t="n"/>
    </row>
    <row r="58720" ht="14.25" customHeight="1" s="192">
      <c r="W58720" s="231" t="n"/>
      <c r="X58720" s="231" t="n"/>
    </row>
    <row r="58721" ht="14.25" customHeight="1" s="192">
      <c r="W58721" s="235" t="n"/>
      <c r="X58721" s="235" t="n"/>
    </row>
    <row r="58722" ht="14.25" customHeight="1" s="192">
      <c r="W58722" s="228" t="n"/>
      <c r="X58722" s="228" t="n"/>
    </row>
    <row r="58723" ht="14.25" customHeight="1" s="192">
      <c r="W58723" s="235" t="n"/>
      <c r="X58723" s="235" t="n"/>
    </row>
    <row r="58724" ht="14.25" customHeight="1" s="192">
      <c r="W58724" s="235" t="n"/>
      <c r="X58724" s="235" t="n"/>
    </row>
    <row r="58725" ht="14.25" customHeight="1" s="192">
      <c r="W58725" s="235" t="n"/>
      <c r="X58725" s="235" t="n"/>
    </row>
    <row r="58726" ht="14.25" customHeight="1" s="192">
      <c r="W58726" s="239" t="n"/>
      <c r="X58726" s="239" t="n"/>
    </row>
    <row r="58727" ht="14.25" customHeight="1" s="192">
      <c r="W58727" s="239" t="n"/>
      <c r="X58727" s="239" t="n"/>
    </row>
    <row r="58728" ht="14.25" customHeight="1" s="192">
      <c r="W58728" s="239" t="n"/>
      <c r="X58728" s="239" t="n"/>
    </row>
    <row r="58729" ht="14.25" customHeight="1" s="192">
      <c r="W58729" s="235" t="n"/>
      <c r="X58729" s="235" t="n"/>
    </row>
    <row r="58730" ht="14.25" customHeight="1" s="192">
      <c r="W58730" s="235" t="n"/>
      <c r="X58730" s="235" t="n"/>
    </row>
    <row r="58731" ht="14.25" customHeight="1" s="192">
      <c r="W58731" s="235" t="n"/>
      <c r="X58731" s="235" t="n"/>
    </row>
    <row r="58732" ht="14.25" customHeight="1" s="192">
      <c r="W58732" s="239" t="n"/>
      <c r="X58732" s="239" t="n"/>
    </row>
    <row r="58733" ht="14.25" customHeight="1" s="192">
      <c r="W58733" s="239" t="n"/>
      <c r="X58733" s="239" t="n"/>
    </row>
    <row r="58734" ht="14.25" customHeight="1" s="192">
      <c r="W58734" s="235" t="n"/>
      <c r="X58734" s="235" t="n"/>
    </row>
    <row r="58735" ht="14.25" customHeight="1" s="192">
      <c r="W58735" s="235" t="n"/>
      <c r="X58735" s="235" t="n"/>
    </row>
    <row r="58736" ht="14.25" customHeight="1" s="192">
      <c r="W58736" s="239" t="n"/>
      <c r="X58736" s="239" t="n"/>
    </row>
    <row r="58737" ht="14.25" customHeight="1" s="192">
      <c r="W58737" s="235" t="n"/>
      <c r="X58737" s="235" t="n"/>
    </row>
    <row r="58738" ht="14.25" customHeight="1" s="192">
      <c r="W58738" s="239" t="n"/>
      <c r="X58738" s="239" t="n"/>
    </row>
    <row r="58740" ht="14.25" customHeight="1" s="192">
      <c r="W58740" s="235" t="n"/>
      <c r="X58740" s="235" t="n"/>
    </row>
    <row r="58741" ht="15" customHeight="1" s="192" thickBot="1">
      <c r="W58741" s="239" t="n"/>
      <c r="X58741" s="239" t="n"/>
    </row>
    <row r="58742" ht="15" customHeight="1" s="192" thickBot="1">
      <c r="W58742" s="45" t="n"/>
      <c r="X58742" s="45" t="n"/>
    </row>
    <row r="58743" ht="14.25" customHeight="1" s="192">
      <c r="W58743" s="228" t="n"/>
      <c r="X58743" s="228" t="n"/>
    </row>
    <row r="58744" ht="14.25" customHeight="1" s="192">
      <c r="W58744" s="228" t="n"/>
      <c r="X58744" s="228" t="n"/>
    </row>
    <row r="58745" ht="14.25" customHeight="1" s="192">
      <c r="W58745" s="231" t="n"/>
      <c r="X58745" s="231" t="n"/>
    </row>
    <row r="58746" ht="14.25" customHeight="1" s="192">
      <c r="W58746" s="33" t="n"/>
      <c r="X58746" s="33" t="n"/>
    </row>
    <row r="58747" ht="14.25" customHeight="1" s="192">
      <c r="W58747" s="231" t="n"/>
      <c r="X58747" s="231" t="n"/>
    </row>
    <row r="58748" ht="14.25" customHeight="1" s="192">
      <c r="W58748" s="33" t="n"/>
      <c r="X58748" s="33" t="n"/>
    </row>
    <row r="58750" ht="14.25" customHeight="1" s="192">
      <c r="W58750" s="231" t="n"/>
      <c r="X58750" s="231" t="n"/>
    </row>
    <row r="58751" ht="14.25" customHeight="1" s="192">
      <c r="W58751" s="235" t="n"/>
      <c r="X58751" s="235" t="n"/>
    </row>
    <row r="58752" ht="14.25" customHeight="1" s="192">
      <c r="W58752" s="228" t="n"/>
      <c r="X58752" s="228" t="n"/>
    </row>
    <row r="58753" ht="14.25" customHeight="1" s="192">
      <c r="W58753" s="235" t="n"/>
      <c r="X58753" s="235" t="n"/>
    </row>
    <row r="58754" ht="14.25" customHeight="1" s="192">
      <c r="W58754" s="235" t="n"/>
      <c r="X58754" s="235" t="n"/>
    </row>
    <row r="58755" ht="14.25" customHeight="1" s="192">
      <c r="W58755" s="235" t="n"/>
      <c r="X58755" s="235" t="n"/>
    </row>
    <row r="58756" ht="14.25" customHeight="1" s="192">
      <c r="W58756" s="239" t="n"/>
      <c r="X58756" s="239" t="n"/>
    </row>
    <row r="58757" ht="14.25" customHeight="1" s="192">
      <c r="W58757" s="239" t="n"/>
      <c r="X58757" s="239" t="n"/>
    </row>
    <row r="58758" ht="14.25" customHeight="1" s="192">
      <c r="W58758" s="239" t="n"/>
      <c r="X58758" s="239" t="n"/>
    </row>
    <row r="58759" ht="14.25" customHeight="1" s="192">
      <c r="W58759" s="235" t="n"/>
      <c r="X58759" s="235" t="n"/>
    </row>
    <row r="58760" ht="14.25" customHeight="1" s="192">
      <c r="W58760" s="235" t="n"/>
      <c r="X58760" s="235" t="n"/>
    </row>
    <row r="58761" ht="14.25" customHeight="1" s="192">
      <c r="W58761" s="235" t="n"/>
      <c r="X58761" s="235" t="n"/>
    </row>
    <row r="58762" ht="14.25" customHeight="1" s="192">
      <c r="W58762" s="239" t="n"/>
      <c r="X58762" s="239" t="n"/>
    </row>
    <row r="58763" ht="14.25" customHeight="1" s="192">
      <c r="W58763" s="239" t="n"/>
      <c r="X58763" s="239" t="n"/>
    </row>
    <row r="58764" ht="14.25" customHeight="1" s="192">
      <c r="W58764" s="235" t="n"/>
      <c r="X58764" s="235" t="n"/>
    </row>
    <row r="58765" ht="14.25" customHeight="1" s="192">
      <c r="W58765" s="235" t="n"/>
      <c r="X58765" s="235" t="n"/>
    </row>
    <row r="58766" ht="14.25" customHeight="1" s="192">
      <c r="W58766" s="239" t="n"/>
      <c r="X58766" s="239" t="n"/>
    </row>
    <row r="58767" ht="14.25" customHeight="1" s="192">
      <c r="W58767" s="235" t="n"/>
      <c r="X58767" s="235" t="n"/>
    </row>
    <row r="58768" ht="14.25" customHeight="1" s="192">
      <c r="W58768" s="239" t="n"/>
      <c r="X58768" s="239" t="n"/>
    </row>
    <row r="58770" ht="14.25" customHeight="1" s="192">
      <c r="W58770" s="235" t="n"/>
      <c r="X58770" s="235" t="n"/>
    </row>
    <row r="58771" ht="15" customHeight="1" s="192" thickBot="1">
      <c r="W58771" s="239" t="n"/>
      <c r="X58771" s="239" t="n"/>
    </row>
    <row r="58772" ht="15" customHeight="1" s="192" thickBot="1">
      <c r="W58772" s="45" t="n"/>
      <c r="X58772" s="45" t="n"/>
    </row>
    <row r="58773" ht="14.25" customHeight="1" s="192">
      <c r="W58773" s="228" t="n"/>
      <c r="X58773" s="228" t="n"/>
    </row>
    <row r="58774" ht="14.25" customHeight="1" s="192">
      <c r="W58774" s="228" t="n"/>
      <c r="X58774" s="228" t="n"/>
    </row>
    <row r="58775" ht="14.25" customHeight="1" s="192">
      <c r="W58775" s="231" t="n"/>
      <c r="X58775" s="231" t="n"/>
    </row>
    <row r="58776" ht="14.25" customHeight="1" s="192">
      <c r="W58776" s="33" t="n"/>
      <c r="X58776" s="33" t="n"/>
    </row>
    <row r="58777" ht="14.25" customHeight="1" s="192">
      <c r="W58777" s="231" t="n"/>
      <c r="X58777" s="231" t="n"/>
    </row>
    <row r="58778" ht="14.25" customHeight="1" s="192">
      <c r="W58778" s="33" t="n"/>
      <c r="X58778" s="33" t="n"/>
    </row>
    <row r="58780" ht="14.25" customHeight="1" s="192">
      <c r="W58780" s="231" t="n"/>
      <c r="X58780" s="231" t="n"/>
    </row>
    <row r="58781" ht="14.25" customHeight="1" s="192">
      <c r="W58781" s="235" t="n"/>
      <c r="X58781" s="235" t="n"/>
    </row>
    <row r="58782" ht="14.25" customHeight="1" s="192">
      <c r="W58782" s="228" t="n"/>
      <c r="X58782" s="228" t="n"/>
    </row>
    <row r="58783" ht="14.25" customHeight="1" s="192">
      <c r="W58783" s="235" t="n"/>
      <c r="X58783" s="235" t="n"/>
    </row>
    <row r="58784" ht="14.25" customHeight="1" s="192">
      <c r="W58784" s="235" t="n"/>
      <c r="X58784" s="235" t="n"/>
    </row>
    <row r="58785" ht="14.25" customHeight="1" s="192">
      <c r="W58785" s="235" t="n"/>
      <c r="X58785" s="235" t="n"/>
    </row>
    <row r="58786" ht="14.25" customHeight="1" s="192">
      <c r="W58786" s="239" t="n"/>
      <c r="X58786" s="239" t="n"/>
    </row>
    <row r="58787" ht="14.25" customHeight="1" s="192">
      <c r="W58787" s="239" t="n"/>
      <c r="X58787" s="239" t="n"/>
    </row>
    <row r="58788" ht="14.25" customHeight="1" s="192">
      <c r="W58788" s="239" t="n"/>
      <c r="X58788" s="239" t="n"/>
    </row>
    <row r="58789" ht="14.25" customHeight="1" s="192">
      <c r="W58789" s="235" t="n"/>
      <c r="X58789" s="235" t="n"/>
    </row>
    <row r="58790" ht="14.25" customHeight="1" s="192">
      <c r="W58790" s="235" t="n"/>
      <c r="X58790" s="235" t="n"/>
    </row>
    <row r="58791" ht="14.25" customHeight="1" s="192">
      <c r="W58791" s="235" t="n"/>
      <c r="X58791" s="235" t="n"/>
    </row>
    <row r="58792" ht="14.25" customHeight="1" s="192">
      <c r="W58792" s="239" t="n"/>
      <c r="X58792" s="239" t="n"/>
    </row>
    <row r="58793" ht="14.25" customHeight="1" s="192">
      <c r="W58793" s="239" t="n"/>
      <c r="X58793" s="239" t="n"/>
    </row>
    <row r="58794" ht="14.25" customHeight="1" s="192">
      <c r="W58794" s="235" t="n"/>
      <c r="X58794" s="235" t="n"/>
    </row>
    <row r="58795" ht="14.25" customHeight="1" s="192">
      <c r="W58795" s="235" t="n"/>
      <c r="X58795" s="235" t="n"/>
    </row>
    <row r="58796" ht="14.25" customHeight="1" s="192">
      <c r="W58796" s="239" t="n"/>
      <c r="X58796" s="239" t="n"/>
    </row>
    <row r="58797" ht="14.25" customHeight="1" s="192">
      <c r="W58797" s="235" t="n"/>
      <c r="X58797" s="235" t="n"/>
    </row>
    <row r="58798" ht="14.25" customHeight="1" s="192">
      <c r="W58798" s="239" t="n"/>
      <c r="X58798" s="239" t="n"/>
    </row>
    <row r="58800" ht="14.25" customHeight="1" s="192">
      <c r="W58800" s="235" t="n"/>
      <c r="X58800" s="235" t="n"/>
    </row>
    <row r="58801" ht="15" customHeight="1" s="192" thickBot="1">
      <c r="W58801" s="239" t="n"/>
      <c r="X58801" s="239" t="n"/>
    </row>
    <row r="58802" ht="15" customHeight="1" s="192" thickBot="1">
      <c r="W58802" s="45" t="n"/>
      <c r="X58802" s="45" t="n"/>
    </row>
    <row r="58803" ht="14.25" customHeight="1" s="192">
      <c r="W58803" s="228" t="n"/>
      <c r="X58803" s="228" t="n"/>
    </row>
    <row r="58804" ht="14.25" customHeight="1" s="192">
      <c r="W58804" s="228" t="n"/>
      <c r="X58804" s="228" t="n"/>
    </row>
    <row r="58805" ht="14.25" customHeight="1" s="192">
      <c r="W58805" s="231" t="n"/>
      <c r="X58805" s="231" t="n"/>
    </row>
    <row r="58806" ht="14.25" customHeight="1" s="192">
      <c r="W58806" s="33" t="n"/>
      <c r="X58806" s="33" t="n"/>
    </row>
    <row r="58807" ht="14.25" customHeight="1" s="192">
      <c r="W58807" s="231" t="n"/>
      <c r="X58807" s="231" t="n"/>
    </row>
    <row r="58808" ht="14.25" customHeight="1" s="192">
      <c r="W58808" s="33" t="n"/>
      <c r="X58808" s="33" t="n"/>
    </row>
    <row r="58810" ht="14.25" customHeight="1" s="192">
      <c r="W58810" s="231" t="n"/>
      <c r="X58810" s="231" t="n"/>
    </row>
    <row r="58811" ht="14.25" customHeight="1" s="192">
      <c r="W58811" s="235" t="n"/>
      <c r="X58811" s="235" t="n"/>
    </row>
    <row r="58812" ht="14.25" customHeight="1" s="192">
      <c r="W58812" s="228" t="n"/>
      <c r="X58812" s="228" t="n"/>
    </row>
    <row r="58813" ht="14.25" customHeight="1" s="192">
      <c r="W58813" s="235" t="n"/>
      <c r="X58813" s="235" t="n"/>
    </row>
    <row r="58814" ht="14.25" customHeight="1" s="192">
      <c r="W58814" s="235" t="n"/>
      <c r="X58814" s="235" t="n"/>
    </row>
    <row r="58815" ht="14.25" customHeight="1" s="192">
      <c r="W58815" s="235" t="n"/>
      <c r="X58815" s="235" t="n"/>
    </row>
    <row r="58816" ht="14.25" customHeight="1" s="192">
      <c r="W58816" s="239" t="n"/>
      <c r="X58816" s="239" t="n"/>
    </row>
    <row r="58817" ht="14.25" customHeight="1" s="192">
      <c r="W58817" s="239" t="n"/>
      <c r="X58817" s="239" t="n"/>
    </row>
    <row r="58818" ht="14.25" customHeight="1" s="192">
      <c r="W58818" s="239" t="n"/>
      <c r="X58818" s="239" t="n"/>
    </row>
    <row r="58819" ht="14.25" customHeight="1" s="192">
      <c r="W58819" s="235" t="n"/>
      <c r="X58819" s="235" t="n"/>
    </row>
    <row r="58820" ht="14.25" customHeight="1" s="192">
      <c r="W58820" s="235" t="n"/>
      <c r="X58820" s="235" t="n"/>
    </row>
    <row r="58821" ht="14.25" customHeight="1" s="192">
      <c r="W58821" s="235" t="n"/>
      <c r="X58821" s="235" t="n"/>
    </row>
    <row r="58822" ht="14.25" customHeight="1" s="192">
      <c r="W58822" s="239" t="n"/>
      <c r="X58822" s="239" t="n"/>
    </row>
    <row r="58823" ht="14.25" customHeight="1" s="192">
      <c r="W58823" s="239" t="n"/>
      <c r="X58823" s="239" t="n"/>
    </row>
    <row r="58824" ht="14.25" customHeight="1" s="192">
      <c r="W58824" s="235" t="n"/>
      <c r="X58824" s="235" t="n"/>
    </row>
    <row r="58825" ht="14.25" customHeight="1" s="192">
      <c r="W58825" s="235" t="n"/>
      <c r="X58825" s="235" t="n"/>
    </row>
    <row r="58826" ht="14.25" customHeight="1" s="192">
      <c r="W58826" s="239" t="n"/>
      <c r="X58826" s="239" t="n"/>
    </row>
    <row r="58827" ht="14.25" customHeight="1" s="192">
      <c r="W58827" s="235" t="n"/>
      <c r="X58827" s="235" t="n"/>
    </row>
    <row r="58828" ht="14.25" customHeight="1" s="192">
      <c r="W58828" s="239" t="n"/>
      <c r="X58828" s="239" t="n"/>
    </row>
    <row r="58830" ht="14.25" customHeight="1" s="192">
      <c r="W58830" s="235" t="n"/>
      <c r="X58830" s="235" t="n"/>
    </row>
    <row r="58831" ht="15" customHeight="1" s="192" thickBot="1">
      <c r="W58831" s="239" t="n"/>
      <c r="X58831" s="239" t="n"/>
    </row>
    <row r="58832" ht="15" customHeight="1" s="192" thickBot="1">
      <c r="W58832" s="45" t="n"/>
      <c r="X58832" s="45" t="n"/>
    </row>
    <row r="58833" ht="14.25" customHeight="1" s="192">
      <c r="W58833" s="228" t="n"/>
      <c r="X58833" s="228" t="n"/>
    </row>
    <row r="58834" ht="14.25" customHeight="1" s="192">
      <c r="W58834" s="228" t="n"/>
      <c r="X58834" s="228" t="n"/>
    </row>
    <row r="58835" ht="14.25" customHeight="1" s="192">
      <c r="W58835" s="231" t="n"/>
      <c r="X58835" s="231" t="n"/>
    </row>
    <row r="58836" ht="14.25" customHeight="1" s="192">
      <c r="W58836" s="33" t="n"/>
      <c r="X58836" s="33" t="n"/>
    </row>
    <row r="58837" ht="14.25" customHeight="1" s="192">
      <c r="W58837" s="231" t="n"/>
      <c r="X58837" s="231" t="n"/>
    </row>
    <row r="58838" ht="14.25" customHeight="1" s="192">
      <c r="W58838" s="33" t="n"/>
      <c r="X58838" s="33" t="n"/>
    </row>
    <row r="58840" ht="14.25" customHeight="1" s="192">
      <c r="W58840" s="231" t="n"/>
      <c r="X58840" s="231" t="n"/>
    </row>
    <row r="58841" ht="14.25" customHeight="1" s="192">
      <c r="W58841" s="235" t="n"/>
      <c r="X58841" s="235" t="n"/>
    </row>
    <row r="58842" ht="14.25" customHeight="1" s="192">
      <c r="W58842" s="228" t="n"/>
      <c r="X58842" s="228" t="n"/>
    </row>
    <row r="58843" ht="14.25" customHeight="1" s="192">
      <c r="W58843" s="235" t="n"/>
      <c r="X58843" s="235" t="n"/>
    </row>
    <row r="58844" ht="14.25" customHeight="1" s="192">
      <c r="W58844" s="235" t="n"/>
      <c r="X58844" s="235" t="n"/>
    </row>
    <row r="58845" ht="14.25" customHeight="1" s="192">
      <c r="W58845" s="235" t="n"/>
      <c r="X58845" s="235" t="n"/>
    </row>
    <row r="58846" ht="14.25" customHeight="1" s="192">
      <c r="W58846" s="239" t="n"/>
      <c r="X58846" s="239" t="n"/>
    </row>
    <row r="58847" ht="14.25" customHeight="1" s="192">
      <c r="W58847" s="239" t="n"/>
      <c r="X58847" s="239" t="n"/>
    </row>
    <row r="58848" ht="14.25" customHeight="1" s="192">
      <c r="W58848" s="239" t="n"/>
      <c r="X58848" s="239" t="n"/>
    </row>
    <row r="58849" ht="14.25" customHeight="1" s="192">
      <c r="W58849" s="235" t="n"/>
      <c r="X58849" s="235" t="n"/>
    </row>
    <row r="58850" ht="14.25" customHeight="1" s="192">
      <c r="W58850" s="235" t="n"/>
      <c r="X58850" s="235" t="n"/>
    </row>
    <row r="58851" ht="14.25" customHeight="1" s="192">
      <c r="W58851" s="235" t="n"/>
      <c r="X58851" s="235" t="n"/>
    </row>
    <row r="58852" ht="14.25" customHeight="1" s="192">
      <c r="W58852" s="239" t="n"/>
      <c r="X58852" s="239" t="n"/>
    </row>
    <row r="58853" ht="14.25" customHeight="1" s="192">
      <c r="W58853" s="239" t="n"/>
      <c r="X58853" s="239" t="n"/>
    </row>
    <row r="58854" ht="14.25" customHeight="1" s="192">
      <c r="W58854" s="235" t="n"/>
      <c r="X58854" s="235" t="n"/>
    </row>
    <row r="58855" ht="14.25" customHeight="1" s="192">
      <c r="W58855" s="235" t="n"/>
      <c r="X58855" s="235" t="n"/>
    </row>
    <row r="58856" ht="14.25" customHeight="1" s="192">
      <c r="W58856" s="239" t="n"/>
      <c r="X58856" s="239" t="n"/>
    </row>
    <row r="58857" ht="14.25" customHeight="1" s="192">
      <c r="W58857" s="235" t="n"/>
      <c r="X58857" s="235" t="n"/>
    </row>
    <row r="58858" ht="14.25" customHeight="1" s="192">
      <c r="W58858" s="239" t="n"/>
      <c r="X58858" s="239" t="n"/>
    </row>
    <row r="58860" ht="14.25" customHeight="1" s="192">
      <c r="W58860" s="235" t="n"/>
      <c r="X58860" s="235" t="n"/>
    </row>
    <row r="58861" ht="15" customHeight="1" s="192" thickBot="1">
      <c r="W58861" s="239" t="n"/>
      <c r="X58861" s="239" t="n"/>
    </row>
    <row r="58862" ht="15" customHeight="1" s="192" thickBot="1">
      <c r="W58862" s="45" t="n"/>
      <c r="X58862" s="45" t="n"/>
    </row>
    <row r="58863" ht="14.25" customHeight="1" s="192">
      <c r="W58863" s="228" t="n"/>
      <c r="X58863" s="228" t="n"/>
    </row>
    <row r="58864" ht="14.25" customHeight="1" s="192">
      <c r="W58864" s="228" t="n"/>
      <c r="X58864" s="228" t="n"/>
    </row>
    <row r="58865" ht="14.25" customHeight="1" s="192">
      <c r="W58865" s="231" t="n"/>
      <c r="X58865" s="231" t="n"/>
    </row>
    <row r="58866" ht="14.25" customHeight="1" s="192">
      <c r="W58866" s="33" t="n"/>
      <c r="X58866" s="33" t="n"/>
    </row>
    <row r="58867" ht="14.25" customHeight="1" s="192">
      <c r="W58867" s="231" t="n"/>
      <c r="X58867" s="231" t="n"/>
    </row>
    <row r="58868" ht="14.25" customHeight="1" s="192">
      <c r="W58868" s="33" t="n"/>
      <c r="X58868" s="33" t="n"/>
    </row>
    <row r="58870" ht="14.25" customHeight="1" s="192">
      <c r="W58870" s="231" t="n"/>
      <c r="X58870" s="231" t="n"/>
    </row>
    <row r="58871" ht="14.25" customHeight="1" s="192">
      <c r="W58871" s="235" t="n"/>
      <c r="X58871" s="235" t="n"/>
    </row>
    <row r="58872" ht="14.25" customHeight="1" s="192">
      <c r="W58872" s="228" t="n"/>
      <c r="X58872" s="228" t="n"/>
    </row>
    <row r="58873" ht="14.25" customHeight="1" s="192">
      <c r="W58873" s="235" t="n"/>
      <c r="X58873" s="235" t="n"/>
    </row>
    <row r="58874" ht="14.25" customHeight="1" s="192">
      <c r="W58874" s="235" t="n"/>
      <c r="X58874" s="235" t="n"/>
    </row>
    <row r="58875" ht="14.25" customHeight="1" s="192">
      <c r="W58875" s="235" t="n"/>
      <c r="X58875" s="235" t="n"/>
    </row>
    <row r="58876" ht="14.25" customHeight="1" s="192">
      <c r="W58876" s="239" t="n"/>
      <c r="X58876" s="239" t="n"/>
    </row>
    <row r="58877" ht="14.25" customHeight="1" s="192">
      <c r="W58877" s="239" t="n"/>
      <c r="X58877" s="239" t="n"/>
    </row>
    <row r="58878" ht="14.25" customHeight="1" s="192">
      <c r="W58878" s="239" t="n"/>
      <c r="X58878" s="239" t="n"/>
    </row>
    <row r="58879" ht="14.25" customHeight="1" s="192">
      <c r="W58879" s="235" t="n"/>
      <c r="X58879" s="235" t="n"/>
    </row>
    <row r="58880" ht="14.25" customHeight="1" s="192">
      <c r="W58880" s="235" t="n"/>
      <c r="X58880" s="235" t="n"/>
    </row>
    <row r="58881" ht="14.25" customHeight="1" s="192">
      <c r="W58881" s="235" t="n"/>
      <c r="X58881" s="235" t="n"/>
    </row>
    <row r="58882" ht="14.25" customHeight="1" s="192">
      <c r="W58882" s="239" t="n"/>
      <c r="X58882" s="239" t="n"/>
    </row>
    <row r="58883" ht="14.25" customHeight="1" s="192">
      <c r="W58883" s="239" t="n"/>
      <c r="X58883" s="239" t="n"/>
    </row>
    <row r="58884" ht="14.25" customHeight="1" s="192">
      <c r="W58884" s="235" t="n"/>
      <c r="X58884" s="235" t="n"/>
    </row>
    <row r="58885" ht="14.25" customHeight="1" s="192">
      <c r="W58885" s="235" t="n"/>
      <c r="X58885" s="235" t="n"/>
    </row>
    <row r="58886" ht="14.25" customHeight="1" s="192">
      <c r="W58886" s="239" t="n"/>
      <c r="X58886" s="239" t="n"/>
    </row>
    <row r="58887" ht="14.25" customHeight="1" s="192">
      <c r="W58887" s="235" t="n"/>
      <c r="X58887" s="235" t="n"/>
    </row>
    <row r="58888" ht="14.25" customHeight="1" s="192">
      <c r="W58888" s="239" t="n"/>
      <c r="X58888" s="239" t="n"/>
    </row>
    <row r="58890" ht="14.25" customHeight="1" s="192">
      <c r="W58890" s="235" t="n"/>
      <c r="X58890" s="235" t="n"/>
    </row>
    <row r="58891" ht="15" customHeight="1" s="192" thickBot="1">
      <c r="W58891" s="239" t="n"/>
      <c r="X58891" s="239" t="n"/>
    </row>
    <row r="58892" ht="15" customHeight="1" s="192" thickBot="1">
      <c r="W58892" s="45" t="n"/>
      <c r="X58892" s="45" t="n"/>
    </row>
    <row r="58893" ht="14.25" customHeight="1" s="192">
      <c r="W58893" s="228" t="n"/>
      <c r="X58893" s="228" t="n"/>
    </row>
    <row r="58894" ht="14.25" customHeight="1" s="192">
      <c r="W58894" s="228" t="n"/>
      <c r="X58894" s="228" t="n"/>
    </row>
    <row r="58895" ht="14.25" customHeight="1" s="192">
      <c r="W58895" s="231" t="n"/>
      <c r="X58895" s="231" t="n"/>
    </row>
    <row r="58896" ht="14.25" customHeight="1" s="192">
      <c r="W58896" s="33" t="n"/>
      <c r="X58896" s="33" t="n"/>
    </row>
    <row r="58897" ht="14.25" customHeight="1" s="192">
      <c r="W58897" s="231" t="n"/>
      <c r="X58897" s="231" t="n"/>
    </row>
    <row r="58898" ht="14.25" customHeight="1" s="192">
      <c r="W58898" s="33" t="n"/>
      <c r="X58898" s="33" t="n"/>
    </row>
    <row r="58900" ht="14.25" customHeight="1" s="192">
      <c r="W58900" s="231" t="n"/>
      <c r="X58900" s="231" t="n"/>
    </row>
    <row r="58901" ht="14.25" customHeight="1" s="192">
      <c r="W58901" s="235" t="n"/>
      <c r="X58901" s="235" t="n"/>
    </row>
    <row r="58902" ht="14.25" customHeight="1" s="192">
      <c r="W58902" s="228" t="n"/>
      <c r="X58902" s="228" t="n"/>
    </row>
    <row r="58903" ht="14.25" customHeight="1" s="192">
      <c r="W58903" s="235" t="n"/>
      <c r="X58903" s="235" t="n"/>
    </row>
    <row r="58904" ht="14.25" customHeight="1" s="192">
      <c r="W58904" s="235" t="n"/>
      <c r="X58904" s="235" t="n"/>
    </row>
    <row r="58905" ht="14.25" customHeight="1" s="192">
      <c r="W58905" s="235" t="n"/>
      <c r="X58905" s="235" t="n"/>
    </row>
    <row r="58906" ht="14.25" customHeight="1" s="192">
      <c r="W58906" s="239" t="n"/>
      <c r="X58906" s="239" t="n"/>
    </row>
    <row r="58907" ht="14.25" customHeight="1" s="192">
      <c r="W58907" s="239" t="n"/>
      <c r="X58907" s="239" t="n"/>
    </row>
    <row r="58908" ht="14.25" customHeight="1" s="192">
      <c r="W58908" s="239" t="n"/>
      <c r="X58908" s="239" t="n"/>
    </row>
    <row r="58909" ht="14.25" customHeight="1" s="192">
      <c r="W58909" s="235" t="n"/>
      <c r="X58909" s="235" t="n"/>
    </row>
    <row r="58910" ht="14.25" customHeight="1" s="192">
      <c r="W58910" s="235" t="n"/>
      <c r="X58910" s="235" t="n"/>
    </row>
    <row r="58911" ht="14.25" customHeight="1" s="192">
      <c r="W58911" s="235" t="n"/>
      <c r="X58911" s="235" t="n"/>
    </row>
    <row r="58912" ht="14.25" customHeight="1" s="192">
      <c r="W58912" s="239" t="n"/>
      <c r="X58912" s="239" t="n"/>
    </row>
    <row r="58913" ht="14.25" customHeight="1" s="192">
      <c r="W58913" s="239" t="n"/>
      <c r="X58913" s="239" t="n"/>
    </row>
    <row r="58914" ht="14.25" customHeight="1" s="192">
      <c r="W58914" s="235" t="n"/>
      <c r="X58914" s="235" t="n"/>
    </row>
    <row r="58915" ht="14.25" customHeight="1" s="192">
      <c r="W58915" s="235" t="n"/>
      <c r="X58915" s="235" t="n"/>
    </row>
    <row r="58916" ht="14.25" customHeight="1" s="192">
      <c r="W58916" s="239" t="n"/>
      <c r="X58916" s="239" t="n"/>
    </row>
    <row r="58917" ht="14.25" customHeight="1" s="192">
      <c r="W58917" s="235" t="n"/>
      <c r="X58917" s="235" t="n"/>
    </row>
    <row r="58918" ht="14.25" customHeight="1" s="192">
      <c r="W58918" s="239" t="n"/>
      <c r="X58918" s="239" t="n"/>
    </row>
    <row r="58920" ht="14.25" customHeight="1" s="192">
      <c r="W58920" s="235" t="n"/>
      <c r="X58920" s="235" t="n"/>
    </row>
    <row r="58921" ht="15" customHeight="1" s="192" thickBot="1">
      <c r="W58921" s="239" t="n"/>
      <c r="X58921" s="239" t="n"/>
    </row>
    <row r="58922" ht="15" customHeight="1" s="192" thickBot="1">
      <c r="W58922" s="45" t="n"/>
      <c r="X58922" s="45" t="n"/>
    </row>
    <row r="58923" ht="14.25" customHeight="1" s="192">
      <c r="W58923" s="228" t="n"/>
      <c r="X58923" s="228" t="n"/>
    </row>
    <row r="58924" ht="14.25" customHeight="1" s="192">
      <c r="W58924" s="228" t="n"/>
      <c r="X58924" s="228" t="n"/>
    </row>
    <row r="58925" ht="14.25" customHeight="1" s="192">
      <c r="W58925" s="231" t="n"/>
      <c r="X58925" s="231" t="n"/>
    </row>
    <row r="58926" ht="14.25" customHeight="1" s="192">
      <c r="W58926" s="33" t="n"/>
      <c r="X58926" s="33" t="n"/>
    </row>
    <row r="58927" ht="14.25" customHeight="1" s="192">
      <c r="W58927" s="231" t="n"/>
      <c r="X58927" s="231" t="n"/>
    </row>
    <row r="58928" ht="14.25" customHeight="1" s="192">
      <c r="W58928" s="33" t="n"/>
      <c r="X58928" s="33" t="n"/>
    </row>
    <row r="58930" ht="14.25" customHeight="1" s="192">
      <c r="W58930" s="231" t="n"/>
      <c r="X58930" s="231" t="n"/>
    </row>
    <row r="58931" ht="14.25" customHeight="1" s="192">
      <c r="W58931" s="235" t="n"/>
      <c r="X58931" s="235" t="n"/>
    </row>
    <row r="58932" ht="14.25" customHeight="1" s="192">
      <c r="W58932" s="228" t="n"/>
      <c r="X58932" s="228" t="n"/>
    </row>
    <row r="58933" ht="14.25" customHeight="1" s="192">
      <c r="W58933" s="235" t="n"/>
      <c r="X58933" s="235" t="n"/>
    </row>
    <row r="58934" ht="14.25" customHeight="1" s="192">
      <c r="W58934" s="235" t="n"/>
      <c r="X58934" s="235" t="n"/>
    </row>
    <row r="58935" ht="14.25" customHeight="1" s="192">
      <c r="W58935" s="235" t="n"/>
      <c r="X58935" s="235" t="n"/>
    </row>
    <row r="58936" ht="14.25" customHeight="1" s="192">
      <c r="W58936" s="239" t="n"/>
      <c r="X58936" s="239" t="n"/>
    </row>
    <row r="58937" ht="14.25" customHeight="1" s="192">
      <c r="W58937" s="239" t="n"/>
      <c r="X58937" s="239" t="n"/>
    </row>
    <row r="58938" ht="14.25" customHeight="1" s="192">
      <c r="W58938" s="239" t="n"/>
      <c r="X58938" s="239" t="n"/>
    </row>
    <row r="58939" ht="14.25" customHeight="1" s="192">
      <c r="W58939" s="235" t="n"/>
      <c r="X58939" s="235" t="n"/>
    </row>
    <row r="58940" ht="14.25" customHeight="1" s="192">
      <c r="W58940" s="235" t="n"/>
      <c r="X58940" s="235" t="n"/>
    </row>
    <row r="58941" ht="14.25" customHeight="1" s="192">
      <c r="W58941" s="235" t="n"/>
      <c r="X58941" s="235" t="n"/>
    </row>
    <row r="58942" ht="14.25" customHeight="1" s="192">
      <c r="W58942" s="239" t="n"/>
      <c r="X58942" s="239" t="n"/>
    </row>
    <row r="58943" ht="14.25" customHeight="1" s="192">
      <c r="W58943" s="239" t="n"/>
      <c r="X58943" s="239" t="n"/>
    </row>
    <row r="58944" ht="14.25" customHeight="1" s="192">
      <c r="W58944" s="235" t="n"/>
      <c r="X58944" s="235" t="n"/>
    </row>
    <row r="58945" ht="14.25" customHeight="1" s="192">
      <c r="W58945" s="235" t="n"/>
      <c r="X58945" s="235" t="n"/>
    </row>
    <row r="58946" ht="14.25" customHeight="1" s="192">
      <c r="W58946" s="239" t="n"/>
      <c r="X58946" s="239" t="n"/>
    </row>
    <row r="58947" ht="14.25" customHeight="1" s="192">
      <c r="W58947" s="235" t="n"/>
      <c r="X58947" s="235" t="n"/>
    </row>
    <row r="58948" ht="14.25" customHeight="1" s="192">
      <c r="W58948" s="239" t="n"/>
      <c r="X58948" s="239" t="n"/>
    </row>
    <row r="58950" ht="14.25" customHeight="1" s="192">
      <c r="W58950" s="235" t="n"/>
      <c r="X58950" s="235" t="n"/>
    </row>
    <row r="58951" ht="15" customHeight="1" s="192" thickBot="1">
      <c r="W58951" s="239" t="n"/>
      <c r="X58951" s="239" t="n"/>
    </row>
    <row r="58952" ht="15" customHeight="1" s="192" thickBot="1">
      <c r="W58952" s="45" t="n"/>
      <c r="X58952" s="45" t="n"/>
    </row>
    <row r="58953" ht="14.25" customHeight="1" s="192">
      <c r="W58953" s="228" t="n"/>
      <c r="X58953" s="228" t="n"/>
    </row>
    <row r="58954" ht="14.25" customHeight="1" s="192">
      <c r="W58954" s="228" t="n"/>
      <c r="X58954" s="228" t="n"/>
    </row>
    <row r="58955" ht="14.25" customHeight="1" s="192">
      <c r="W58955" s="231" t="n"/>
      <c r="X58955" s="231" t="n"/>
    </row>
    <row r="58956" ht="14.25" customHeight="1" s="192">
      <c r="W58956" s="33" t="n"/>
      <c r="X58956" s="33" t="n"/>
    </row>
    <row r="58957" ht="14.25" customHeight="1" s="192">
      <c r="W58957" s="231" t="n"/>
      <c r="X58957" s="231" t="n"/>
    </row>
    <row r="58958" ht="14.25" customHeight="1" s="192">
      <c r="W58958" s="33" t="n"/>
      <c r="X58958" s="33" t="n"/>
    </row>
    <row r="58960" ht="14.25" customHeight="1" s="192">
      <c r="W58960" s="231" t="n"/>
      <c r="X58960" s="231" t="n"/>
    </row>
    <row r="58961" ht="14.25" customHeight="1" s="192">
      <c r="W58961" s="235" t="n"/>
      <c r="X58961" s="235" t="n"/>
    </row>
    <row r="58962" ht="14.25" customHeight="1" s="192">
      <c r="W58962" s="228" t="n"/>
      <c r="X58962" s="228" t="n"/>
    </row>
    <row r="58963" ht="14.25" customHeight="1" s="192">
      <c r="W58963" s="235" t="n"/>
      <c r="X58963" s="235" t="n"/>
    </row>
    <row r="58964" ht="14.25" customHeight="1" s="192">
      <c r="W58964" s="235" t="n"/>
      <c r="X58964" s="235" t="n"/>
    </row>
    <row r="58965" ht="14.25" customHeight="1" s="192">
      <c r="W58965" s="235" t="n"/>
      <c r="X58965" s="235" t="n"/>
    </row>
    <row r="58966" ht="14.25" customHeight="1" s="192">
      <c r="W58966" s="239" t="n"/>
      <c r="X58966" s="239" t="n"/>
    </row>
    <row r="58967" ht="14.25" customHeight="1" s="192">
      <c r="W58967" s="239" t="n"/>
      <c r="X58967" s="239" t="n"/>
    </row>
    <row r="58968" ht="14.25" customHeight="1" s="192">
      <c r="W58968" s="239" t="n"/>
      <c r="X58968" s="239" t="n"/>
    </row>
    <row r="58969" ht="14.25" customHeight="1" s="192">
      <c r="W58969" s="235" t="n"/>
      <c r="X58969" s="235" t="n"/>
    </row>
    <row r="58970" ht="14.25" customHeight="1" s="192">
      <c r="W58970" s="235" t="n"/>
      <c r="X58970" s="235" t="n"/>
    </row>
    <row r="58971" ht="14.25" customHeight="1" s="192">
      <c r="W58971" s="235" t="n"/>
      <c r="X58971" s="235" t="n"/>
    </row>
    <row r="58972" ht="14.25" customHeight="1" s="192">
      <c r="W58972" s="239" t="n"/>
      <c r="X58972" s="239" t="n"/>
    </row>
    <row r="58973" ht="14.25" customHeight="1" s="192">
      <c r="W58973" s="239" t="n"/>
      <c r="X58973" s="239" t="n"/>
    </row>
    <row r="58974" ht="14.25" customHeight="1" s="192">
      <c r="W58974" s="235" t="n"/>
      <c r="X58974" s="235" t="n"/>
    </row>
    <row r="58975" ht="14.25" customHeight="1" s="192">
      <c r="W58975" s="235" t="n"/>
      <c r="X58975" s="235" t="n"/>
    </row>
    <row r="58976" ht="14.25" customHeight="1" s="192">
      <c r="W58976" s="239" t="n"/>
      <c r="X58976" s="239" t="n"/>
    </row>
    <row r="58977" ht="14.25" customHeight="1" s="192">
      <c r="W58977" s="235" t="n"/>
      <c r="X58977" s="235" t="n"/>
    </row>
    <row r="58978" ht="14.25" customHeight="1" s="192">
      <c r="W58978" s="239" t="n"/>
      <c r="X58978" s="239" t="n"/>
    </row>
    <row r="58980" ht="14.25" customHeight="1" s="192">
      <c r="W58980" s="235" t="n"/>
      <c r="X58980" s="235" t="n"/>
    </row>
    <row r="58981" ht="15" customHeight="1" s="192" thickBot="1">
      <c r="W58981" s="239" t="n"/>
      <c r="X58981" s="239" t="n"/>
    </row>
    <row r="58982" ht="15" customHeight="1" s="192" thickBot="1">
      <c r="W58982" s="45" t="n"/>
      <c r="X58982" s="45" t="n"/>
    </row>
    <row r="58983" ht="14.25" customHeight="1" s="192">
      <c r="W58983" s="228" t="n"/>
      <c r="X58983" s="228" t="n"/>
    </row>
    <row r="58984" ht="14.25" customHeight="1" s="192">
      <c r="W58984" s="228" t="n"/>
      <c r="X58984" s="228" t="n"/>
    </row>
    <row r="58985" ht="14.25" customHeight="1" s="192">
      <c r="W58985" s="231" t="n"/>
      <c r="X58985" s="231" t="n"/>
    </row>
    <row r="58986" ht="14.25" customHeight="1" s="192">
      <c r="W58986" s="33" t="n"/>
      <c r="X58986" s="33" t="n"/>
    </row>
    <row r="58987" ht="14.25" customHeight="1" s="192">
      <c r="W58987" s="231" t="n"/>
      <c r="X58987" s="231" t="n"/>
    </row>
    <row r="58988" ht="14.25" customHeight="1" s="192">
      <c r="W58988" s="33" t="n"/>
      <c r="X58988" s="33" t="n"/>
    </row>
    <row r="58990" ht="14.25" customHeight="1" s="192">
      <c r="W58990" s="231" t="n"/>
      <c r="X58990" s="231" t="n"/>
    </row>
    <row r="58991" ht="14.25" customHeight="1" s="192">
      <c r="W58991" s="235" t="n"/>
      <c r="X58991" s="235" t="n"/>
    </row>
    <row r="58992" ht="14.25" customHeight="1" s="192">
      <c r="W58992" s="228" t="n"/>
      <c r="X58992" s="228" t="n"/>
    </row>
    <row r="58993" ht="14.25" customHeight="1" s="192">
      <c r="W58993" s="235" t="n"/>
      <c r="X58993" s="235" t="n"/>
    </row>
    <row r="58994" ht="14.25" customHeight="1" s="192">
      <c r="W58994" s="235" t="n"/>
      <c r="X58994" s="235" t="n"/>
    </row>
    <row r="58995" ht="14.25" customHeight="1" s="192">
      <c r="W58995" s="235" t="n"/>
      <c r="X58995" s="235" t="n"/>
    </row>
    <row r="58996" ht="14.25" customHeight="1" s="192">
      <c r="W58996" s="239" t="n"/>
      <c r="X58996" s="239" t="n"/>
    </row>
    <row r="58997" ht="14.25" customHeight="1" s="192">
      <c r="W58997" s="239" t="n"/>
      <c r="X58997" s="239" t="n"/>
    </row>
    <row r="58998" ht="14.25" customHeight="1" s="192">
      <c r="W58998" s="239" t="n"/>
      <c r="X58998" s="239" t="n"/>
    </row>
    <row r="58999" ht="14.25" customHeight="1" s="192">
      <c r="W58999" s="235" t="n"/>
      <c r="X58999" s="235" t="n"/>
    </row>
    <row r="59000" ht="14.25" customHeight="1" s="192">
      <c r="W59000" s="235" t="n"/>
      <c r="X59000" s="235" t="n"/>
    </row>
    <row r="59001" ht="14.25" customHeight="1" s="192">
      <c r="W59001" s="235" t="n"/>
      <c r="X59001" s="235" t="n"/>
    </row>
    <row r="59002" ht="14.25" customHeight="1" s="192">
      <c r="W59002" s="239" t="n"/>
      <c r="X59002" s="239" t="n"/>
    </row>
    <row r="59003" ht="14.25" customHeight="1" s="192">
      <c r="W59003" s="239" t="n"/>
      <c r="X59003" s="239" t="n"/>
    </row>
    <row r="59004" ht="14.25" customHeight="1" s="192">
      <c r="W59004" s="235" t="n"/>
      <c r="X59004" s="235" t="n"/>
    </row>
    <row r="59005" ht="14.25" customHeight="1" s="192">
      <c r="W59005" s="235" t="n"/>
      <c r="X59005" s="235" t="n"/>
    </row>
    <row r="59006" ht="14.25" customHeight="1" s="192">
      <c r="W59006" s="239" t="n"/>
      <c r="X59006" s="239" t="n"/>
    </row>
    <row r="59007" ht="14.25" customHeight="1" s="192">
      <c r="W59007" s="235" t="n"/>
      <c r="X59007" s="235" t="n"/>
    </row>
    <row r="59008" ht="14.25" customHeight="1" s="192">
      <c r="W59008" s="239" t="n"/>
      <c r="X59008" s="239" t="n"/>
    </row>
    <row r="59010" ht="14.25" customHeight="1" s="192">
      <c r="W59010" s="235" t="n"/>
      <c r="X59010" s="235" t="n"/>
    </row>
    <row r="59011" ht="15" customHeight="1" s="192" thickBot="1">
      <c r="W59011" s="239" t="n"/>
      <c r="X59011" s="239" t="n"/>
    </row>
    <row r="59012" ht="15" customHeight="1" s="192" thickBot="1">
      <c r="W59012" s="45" t="n"/>
      <c r="X59012" s="45" t="n"/>
    </row>
    <row r="59013" ht="14.25" customHeight="1" s="192">
      <c r="W59013" s="228" t="n"/>
      <c r="X59013" s="228" t="n"/>
    </row>
    <row r="59014" ht="14.25" customHeight="1" s="192">
      <c r="W59014" s="228" t="n"/>
      <c r="X59014" s="228" t="n"/>
    </row>
    <row r="59015" ht="14.25" customHeight="1" s="192">
      <c r="W59015" s="231" t="n"/>
      <c r="X59015" s="231" t="n"/>
    </row>
    <row r="59016" ht="14.25" customHeight="1" s="192">
      <c r="W59016" s="33" t="n"/>
      <c r="X59016" s="33" t="n"/>
    </row>
    <row r="59017" ht="14.25" customHeight="1" s="192">
      <c r="W59017" s="231" t="n"/>
      <c r="X59017" s="231" t="n"/>
    </row>
    <row r="59018" ht="14.25" customHeight="1" s="192">
      <c r="W59018" s="33" t="n"/>
      <c r="X59018" s="33" t="n"/>
    </row>
    <row r="59020" ht="14.25" customHeight="1" s="192">
      <c r="W59020" s="231" t="n"/>
      <c r="X59020" s="231" t="n"/>
    </row>
    <row r="59021" ht="14.25" customHeight="1" s="192">
      <c r="W59021" s="235" t="n"/>
      <c r="X59021" s="235" t="n"/>
    </row>
    <row r="59022" ht="14.25" customHeight="1" s="192">
      <c r="W59022" s="228" t="n"/>
      <c r="X59022" s="228" t="n"/>
    </row>
    <row r="59023" ht="14.25" customHeight="1" s="192">
      <c r="W59023" s="235" t="n"/>
      <c r="X59023" s="235" t="n"/>
    </row>
    <row r="59024" ht="14.25" customHeight="1" s="192">
      <c r="W59024" s="235" t="n"/>
      <c r="X59024" s="235" t="n"/>
    </row>
    <row r="59025" ht="14.25" customHeight="1" s="192">
      <c r="W59025" s="235" t="n"/>
      <c r="X59025" s="235" t="n"/>
    </row>
    <row r="59026" ht="14.25" customHeight="1" s="192">
      <c r="W59026" s="239" t="n"/>
      <c r="X59026" s="239" t="n"/>
    </row>
    <row r="59027" ht="14.25" customHeight="1" s="192">
      <c r="W59027" s="239" t="n"/>
      <c r="X59027" s="239" t="n"/>
    </row>
    <row r="59028" ht="14.25" customHeight="1" s="192">
      <c r="W59028" s="239" t="n"/>
      <c r="X59028" s="239" t="n"/>
    </row>
    <row r="59029" ht="14.25" customHeight="1" s="192">
      <c r="W59029" s="235" t="n"/>
      <c r="X59029" s="235" t="n"/>
    </row>
    <row r="59030" ht="14.25" customHeight="1" s="192">
      <c r="W59030" s="235" t="n"/>
      <c r="X59030" s="235" t="n"/>
    </row>
    <row r="59031" ht="14.25" customHeight="1" s="192">
      <c r="W59031" s="235" t="n"/>
      <c r="X59031" s="235" t="n"/>
    </row>
    <row r="59032" ht="14.25" customHeight="1" s="192">
      <c r="W59032" s="239" t="n"/>
      <c r="X59032" s="239" t="n"/>
    </row>
    <row r="59033" ht="14.25" customHeight="1" s="192">
      <c r="W59033" s="239" t="n"/>
      <c r="X59033" s="239" t="n"/>
    </row>
    <row r="59034" ht="14.25" customHeight="1" s="192">
      <c r="W59034" s="235" t="n"/>
      <c r="X59034" s="235" t="n"/>
    </row>
    <row r="59035" ht="14.25" customHeight="1" s="192">
      <c r="W59035" s="235" t="n"/>
      <c r="X59035" s="235" t="n"/>
    </row>
    <row r="59036" ht="14.25" customHeight="1" s="192">
      <c r="W59036" s="239" t="n"/>
      <c r="X59036" s="239" t="n"/>
    </row>
    <row r="59037" ht="14.25" customHeight="1" s="192">
      <c r="W59037" s="235" t="n"/>
      <c r="X59037" s="235" t="n"/>
    </row>
    <row r="59038" ht="14.25" customHeight="1" s="192">
      <c r="W59038" s="239" t="n"/>
      <c r="X59038" s="239" t="n"/>
    </row>
    <row r="59040" ht="14.25" customHeight="1" s="192">
      <c r="W59040" s="235" t="n"/>
      <c r="X59040" s="235" t="n"/>
    </row>
    <row r="59041" ht="15" customHeight="1" s="192" thickBot="1">
      <c r="W59041" s="239" t="n"/>
      <c r="X59041" s="239" t="n"/>
    </row>
    <row r="59042" ht="15" customHeight="1" s="192" thickBot="1">
      <c r="W59042" s="45" t="n"/>
      <c r="X59042" s="45" t="n"/>
    </row>
    <row r="59043" ht="14.25" customHeight="1" s="192">
      <c r="W59043" s="228" t="n"/>
      <c r="X59043" s="228" t="n"/>
    </row>
    <row r="59044" ht="14.25" customHeight="1" s="192">
      <c r="W59044" s="228" t="n"/>
      <c r="X59044" s="228" t="n"/>
    </row>
    <row r="59045" ht="14.25" customHeight="1" s="192">
      <c r="W59045" s="231" t="n"/>
      <c r="X59045" s="231" t="n"/>
    </row>
    <row r="59046" ht="14.25" customHeight="1" s="192">
      <c r="W59046" s="33" t="n"/>
      <c r="X59046" s="33" t="n"/>
    </row>
    <row r="59047" ht="14.25" customHeight="1" s="192">
      <c r="W59047" s="231" t="n"/>
      <c r="X59047" s="231" t="n"/>
    </row>
    <row r="59048" ht="14.25" customHeight="1" s="192">
      <c r="W59048" s="33" t="n"/>
      <c r="X59048" s="33" t="n"/>
    </row>
    <row r="59050" ht="14.25" customHeight="1" s="192">
      <c r="W59050" s="231" t="n"/>
      <c r="X59050" s="231" t="n"/>
    </row>
    <row r="59051" ht="14.25" customHeight="1" s="192">
      <c r="W59051" s="235" t="n"/>
      <c r="X59051" s="235" t="n"/>
    </row>
    <row r="59052" ht="14.25" customHeight="1" s="192">
      <c r="W59052" s="228" t="n"/>
      <c r="X59052" s="228" t="n"/>
    </row>
    <row r="59053" ht="14.25" customHeight="1" s="192">
      <c r="W59053" s="235" t="n"/>
      <c r="X59053" s="235" t="n"/>
    </row>
    <row r="59054" ht="14.25" customHeight="1" s="192">
      <c r="W59054" s="235" t="n"/>
      <c r="X59054" s="235" t="n"/>
    </row>
    <row r="59055" ht="14.25" customHeight="1" s="192">
      <c r="W59055" s="235" t="n"/>
      <c r="X59055" s="235" t="n"/>
    </row>
    <row r="59056" ht="14.25" customHeight="1" s="192">
      <c r="W59056" s="239" t="n"/>
      <c r="X59056" s="239" t="n"/>
    </row>
    <row r="59057" ht="14.25" customHeight="1" s="192">
      <c r="W59057" s="239" t="n"/>
      <c r="X59057" s="239" t="n"/>
    </row>
    <row r="59058" ht="14.25" customHeight="1" s="192">
      <c r="W59058" s="239" t="n"/>
      <c r="X59058" s="239" t="n"/>
    </row>
    <row r="59059" ht="14.25" customHeight="1" s="192">
      <c r="W59059" s="235" t="n"/>
      <c r="X59059" s="235" t="n"/>
    </row>
    <row r="59060" ht="14.25" customHeight="1" s="192">
      <c r="W59060" s="235" t="n"/>
      <c r="X59060" s="235" t="n"/>
    </row>
    <row r="59061" ht="14.25" customHeight="1" s="192">
      <c r="W59061" s="235" t="n"/>
      <c r="X59061" s="235" t="n"/>
    </row>
    <row r="59062" ht="14.25" customHeight="1" s="192">
      <c r="W59062" s="239" t="n"/>
      <c r="X59062" s="239" t="n"/>
    </row>
    <row r="59063" ht="14.25" customHeight="1" s="192">
      <c r="W59063" s="239" t="n"/>
      <c r="X59063" s="239" t="n"/>
    </row>
    <row r="59064" ht="14.25" customHeight="1" s="192">
      <c r="W59064" s="235" t="n"/>
      <c r="X59064" s="235" t="n"/>
    </row>
    <row r="59065" ht="14.25" customHeight="1" s="192">
      <c r="W59065" s="235" t="n"/>
      <c r="X59065" s="235" t="n"/>
    </row>
    <row r="59066" ht="14.25" customHeight="1" s="192">
      <c r="W59066" s="239" t="n"/>
      <c r="X59066" s="239" t="n"/>
    </row>
    <row r="59067" ht="14.25" customHeight="1" s="192">
      <c r="W59067" s="235" t="n"/>
      <c r="X59067" s="235" t="n"/>
    </row>
    <row r="59068" ht="14.25" customHeight="1" s="192">
      <c r="W59068" s="239" t="n"/>
      <c r="X59068" s="239" t="n"/>
    </row>
    <row r="59070" ht="14.25" customHeight="1" s="192">
      <c r="W59070" s="235" t="n"/>
      <c r="X59070" s="235" t="n"/>
    </row>
    <row r="59071" ht="15" customHeight="1" s="192" thickBot="1">
      <c r="W59071" s="239" t="n"/>
      <c r="X59071" s="239" t="n"/>
    </row>
    <row r="59072" ht="15" customHeight="1" s="192" thickBot="1">
      <c r="W59072" s="45" t="n"/>
      <c r="X59072" s="45" t="n"/>
    </row>
    <row r="59073" ht="14.25" customHeight="1" s="192">
      <c r="W59073" s="228" t="n"/>
      <c r="X59073" s="228" t="n"/>
    </row>
    <row r="59074" ht="14.25" customHeight="1" s="192">
      <c r="W59074" s="228" t="n"/>
      <c r="X59074" s="228" t="n"/>
    </row>
    <row r="59075" ht="14.25" customHeight="1" s="192">
      <c r="W59075" s="231" t="n"/>
      <c r="X59075" s="231" t="n"/>
    </row>
    <row r="59076" ht="14.25" customHeight="1" s="192">
      <c r="W59076" s="33" t="n"/>
      <c r="X59076" s="33" t="n"/>
    </row>
    <row r="59077" ht="14.25" customHeight="1" s="192">
      <c r="W59077" s="231" t="n"/>
      <c r="X59077" s="231" t="n"/>
    </row>
    <row r="59078" ht="14.25" customHeight="1" s="192">
      <c r="W59078" s="33" t="n"/>
      <c r="X59078" s="33" t="n"/>
    </row>
    <row r="59080" ht="14.25" customHeight="1" s="192">
      <c r="W59080" s="231" t="n"/>
      <c r="X59080" s="231" t="n"/>
    </row>
    <row r="59081" ht="14.25" customHeight="1" s="192">
      <c r="W59081" s="235" t="n"/>
      <c r="X59081" s="235" t="n"/>
    </row>
    <row r="59082" ht="14.25" customHeight="1" s="192">
      <c r="W59082" s="228" t="n"/>
      <c r="X59082" s="228" t="n"/>
    </row>
    <row r="59083" ht="14.25" customHeight="1" s="192">
      <c r="W59083" s="235" t="n"/>
      <c r="X59083" s="235" t="n"/>
    </row>
    <row r="59084" ht="14.25" customHeight="1" s="192">
      <c r="W59084" s="235" t="n"/>
      <c r="X59084" s="235" t="n"/>
    </row>
    <row r="59085" ht="14.25" customHeight="1" s="192">
      <c r="W59085" s="235" t="n"/>
      <c r="X59085" s="235" t="n"/>
    </row>
    <row r="59086" ht="14.25" customHeight="1" s="192">
      <c r="W59086" s="239" t="n"/>
      <c r="X59086" s="239" t="n"/>
    </row>
    <row r="59087" ht="14.25" customHeight="1" s="192">
      <c r="W59087" s="239" t="n"/>
      <c r="X59087" s="239" t="n"/>
    </row>
    <row r="59088" ht="14.25" customHeight="1" s="192">
      <c r="W59088" s="239" t="n"/>
      <c r="X59088" s="239" t="n"/>
    </row>
    <row r="59089" ht="14.25" customHeight="1" s="192">
      <c r="W59089" s="235" t="n"/>
      <c r="X59089" s="235" t="n"/>
    </row>
    <row r="59090" ht="14.25" customHeight="1" s="192">
      <c r="W59090" s="235" t="n"/>
      <c r="X59090" s="235" t="n"/>
    </row>
    <row r="59091" ht="14.25" customHeight="1" s="192">
      <c r="W59091" s="235" t="n"/>
      <c r="X59091" s="235" t="n"/>
    </row>
    <row r="59092" ht="14.25" customHeight="1" s="192">
      <c r="W59092" s="239" t="n"/>
      <c r="X59092" s="239" t="n"/>
    </row>
    <row r="59093" ht="14.25" customHeight="1" s="192">
      <c r="W59093" s="239" t="n"/>
      <c r="X59093" s="239" t="n"/>
    </row>
    <row r="59094" ht="14.25" customHeight="1" s="192">
      <c r="W59094" s="235" t="n"/>
      <c r="X59094" s="235" t="n"/>
    </row>
    <row r="59095" ht="14.25" customHeight="1" s="192">
      <c r="W59095" s="235" t="n"/>
      <c r="X59095" s="235" t="n"/>
    </row>
    <row r="59096" ht="14.25" customHeight="1" s="192">
      <c r="W59096" s="239" t="n"/>
      <c r="X59096" s="239" t="n"/>
    </row>
    <row r="59097" ht="14.25" customHeight="1" s="192">
      <c r="W59097" s="235" t="n"/>
      <c r="X59097" s="235" t="n"/>
    </row>
    <row r="59098" ht="14.25" customHeight="1" s="192">
      <c r="W59098" s="239" t="n"/>
      <c r="X59098" s="239" t="n"/>
    </row>
    <row r="59100" ht="14.25" customHeight="1" s="192">
      <c r="W59100" s="235" t="n"/>
      <c r="X59100" s="235" t="n"/>
    </row>
    <row r="59101" ht="15" customHeight="1" s="192" thickBot="1">
      <c r="W59101" s="239" t="n"/>
      <c r="X59101" s="239" t="n"/>
    </row>
    <row r="59102" ht="15" customHeight="1" s="192" thickBot="1">
      <c r="W59102" s="45" t="n"/>
      <c r="X59102" s="45" t="n"/>
    </row>
    <row r="59103" ht="14.25" customHeight="1" s="192">
      <c r="W59103" s="228" t="n"/>
      <c r="X59103" s="228" t="n"/>
    </row>
    <row r="59104" ht="14.25" customHeight="1" s="192">
      <c r="W59104" s="228" t="n"/>
      <c r="X59104" s="228" t="n"/>
    </row>
    <row r="59105" ht="14.25" customHeight="1" s="192">
      <c r="W59105" s="231" t="n"/>
      <c r="X59105" s="231" t="n"/>
    </row>
    <row r="59106" ht="14.25" customHeight="1" s="192">
      <c r="W59106" s="33" t="n"/>
      <c r="X59106" s="33" t="n"/>
    </row>
    <row r="59107" ht="14.25" customHeight="1" s="192">
      <c r="W59107" s="231" t="n"/>
      <c r="X59107" s="231" t="n"/>
    </row>
    <row r="59108" ht="14.25" customHeight="1" s="192">
      <c r="W59108" s="33" t="n"/>
      <c r="X59108" s="33" t="n"/>
    </row>
    <row r="59110" ht="14.25" customHeight="1" s="192">
      <c r="W59110" s="231" t="n"/>
      <c r="X59110" s="231" t="n"/>
    </row>
    <row r="59111" ht="14.25" customHeight="1" s="192">
      <c r="W59111" s="235" t="n"/>
      <c r="X59111" s="235" t="n"/>
    </row>
    <row r="59112" ht="14.25" customHeight="1" s="192">
      <c r="W59112" s="228" t="n"/>
      <c r="X59112" s="228" t="n"/>
    </row>
    <row r="59113" ht="14.25" customHeight="1" s="192">
      <c r="W59113" s="235" t="n"/>
      <c r="X59113" s="235" t="n"/>
    </row>
    <row r="59114" ht="14.25" customHeight="1" s="192">
      <c r="W59114" s="235" t="n"/>
      <c r="X59114" s="235" t="n"/>
    </row>
    <row r="59115" ht="14.25" customHeight="1" s="192">
      <c r="W59115" s="235" t="n"/>
      <c r="X59115" s="235" t="n"/>
    </row>
    <row r="59116" ht="14.25" customHeight="1" s="192">
      <c r="W59116" s="239" t="n"/>
      <c r="X59116" s="239" t="n"/>
    </row>
    <row r="59117" ht="14.25" customHeight="1" s="192">
      <c r="W59117" s="239" t="n"/>
      <c r="X59117" s="239" t="n"/>
    </row>
    <row r="59118" ht="14.25" customHeight="1" s="192">
      <c r="W59118" s="239" t="n"/>
      <c r="X59118" s="239" t="n"/>
    </row>
    <row r="59119" ht="14.25" customHeight="1" s="192">
      <c r="W59119" s="235" t="n"/>
      <c r="X59119" s="235" t="n"/>
    </row>
    <row r="59120" ht="14.25" customHeight="1" s="192">
      <c r="W59120" s="235" t="n"/>
      <c r="X59120" s="235" t="n"/>
    </row>
    <row r="59121" ht="14.25" customHeight="1" s="192">
      <c r="W59121" s="235" t="n"/>
      <c r="X59121" s="235" t="n"/>
    </row>
    <row r="59122" ht="14.25" customHeight="1" s="192">
      <c r="W59122" s="239" t="n"/>
      <c r="X59122" s="239" t="n"/>
    </row>
    <row r="59123" ht="14.25" customHeight="1" s="192">
      <c r="W59123" s="239" t="n"/>
      <c r="X59123" s="239" t="n"/>
    </row>
    <row r="59124" ht="14.25" customHeight="1" s="192">
      <c r="W59124" s="235" t="n"/>
      <c r="X59124" s="235" t="n"/>
    </row>
    <row r="59125" ht="14.25" customHeight="1" s="192">
      <c r="W59125" s="235" t="n"/>
      <c r="X59125" s="235" t="n"/>
    </row>
    <row r="59126" ht="14.25" customHeight="1" s="192">
      <c r="W59126" s="239" t="n"/>
      <c r="X59126" s="239" t="n"/>
    </row>
    <row r="59127" ht="14.25" customHeight="1" s="192">
      <c r="W59127" s="235" t="n"/>
      <c r="X59127" s="235" t="n"/>
    </row>
    <row r="59128" ht="14.25" customHeight="1" s="192">
      <c r="W59128" s="239" t="n"/>
      <c r="X59128" s="239" t="n"/>
    </row>
    <row r="59130" ht="14.25" customHeight="1" s="192">
      <c r="W59130" s="235" t="n"/>
      <c r="X59130" s="235" t="n"/>
    </row>
    <row r="59131" ht="15" customHeight="1" s="192" thickBot="1">
      <c r="W59131" s="239" t="n"/>
      <c r="X59131" s="239" t="n"/>
    </row>
    <row r="59132" ht="15" customHeight="1" s="192" thickBot="1">
      <c r="W59132" s="45" t="n"/>
      <c r="X59132" s="45" t="n"/>
    </row>
    <row r="59133" ht="14.25" customHeight="1" s="192">
      <c r="W59133" s="228" t="n"/>
      <c r="X59133" s="228" t="n"/>
    </row>
    <row r="59134" ht="14.25" customHeight="1" s="192">
      <c r="W59134" s="228" t="n"/>
      <c r="X59134" s="228" t="n"/>
    </row>
    <row r="59135" ht="14.25" customHeight="1" s="192">
      <c r="W59135" s="231" t="n"/>
      <c r="X59135" s="231" t="n"/>
    </row>
    <row r="59136" ht="14.25" customHeight="1" s="192">
      <c r="W59136" s="33" t="n"/>
      <c r="X59136" s="33" t="n"/>
    </row>
    <row r="59137" ht="14.25" customHeight="1" s="192">
      <c r="W59137" s="231" t="n"/>
      <c r="X59137" s="231" t="n"/>
    </row>
    <row r="59138" ht="14.25" customHeight="1" s="192">
      <c r="W59138" s="33" t="n"/>
      <c r="X59138" s="33" t="n"/>
    </row>
    <row r="59140" ht="14.25" customHeight="1" s="192">
      <c r="W59140" s="231" t="n"/>
      <c r="X59140" s="231" t="n"/>
    </row>
    <row r="59141" ht="14.25" customHeight="1" s="192">
      <c r="W59141" s="235" t="n"/>
      <c r="X59141" s="235" t="n"/>
    </row>
    <row r="59142" ht="14.25" customHeight="1" s="192">
      <c r="W59142" s="228" t="n"/>
      <c r="X59142" s="228" t="n"/>
    </row>
    <row r="59143" ht="14.25" customHeight="1" s="192">
      <c r="W59143" s="235" t="n"/>
      <c r="X59143" s="235" t="n"/>
    </row>
    <row r="59144" ht="14.25" customHeight="1" s="192">
      <c r="W59144" s="235" t="n"/>
      <c r="X59144" s="235" t="n"/>
    </row>
    <row r="59145" ht="14.25" customHeight="1" s="192">
      <c r="W59145" s="235" t="n"/>
      <c r="X59145" s="235" t="n"/>
    </row>
    <row r="59146" ht="14.25" customHeight="1" s="192">
      <c r="W59146" s="239" t="n"/>
      <c r="X59146" s="239" t="n"/>
    </row>
    <row r="59147" ht="14.25" customHeight="1" s="192">
      <c r="W59147" s="239" t="n"/>
      <c r="X59147" s="239" t="n"/>
    </row>
    <row r="59148" ht="14.25" customHeight="1" s="192">
      <c r="W59148" s="239" t="n"/>
      <c r="X59148" s="239" t="n"/>
    </row>
    <row r="59149" ht="14.25" customHeight="1" s="192">
      <c r="W59149" s="235" t="n"/>
      <c r="X59149" s="235" t="n"/>
    </row>
    <row r="59150" ht="14.25" customHeight="1" s="192">
      <c r="W59150" s="235" t="n"/>
      <c r="X59150" s="235" t="n"/>
    </row>
    <row r="59151" ht="14.25" customHeight="1" s="192">
      <c r="W59151" s="235" t="n"/>
      <c r="X59151" s="235" t="n"/>
    </row>
    <row r="59152" ht="14.25" customHeight="1" s="192">
      <c r="W59152" s="239" t="n"/>
      <c r="X59152" s="239" t="n"/>
    </row>
    <row r="59153" ht="14.25" customHeight="1" s="192">
      <c r="W59153" s="239" t="n"/>
      <c r="X59153" s="239" t="n"/>
    </row>
    <row r="59154" ht="14.25" customHeight="1" s="192">
      <c r="W59154" s="235" t="n"/>
      <c r="X59154" s="235" t="n"/>
    </row>
    <row r="59155" ht="14.25" customHeight="1" s="192">
      <c r="W59155" s="235" t="n"/>
      <c r="X59155" s="235" t="n"/>
    </row>
    <row r="59156" ht="14.25" customHeight="1" s="192">
      <c r="W59156" s="239" t="n"/>
      <c r="X59156" s="239" t="n"/>
    </row>
    <row r="59157" ht="14.25" customHeight="1" s="192">
      <c r="W59157" s="235" t="n"/>
      <c r="X59157" s="235" t="n"/>
    </row>
    <row r="59158" ht="14.25" customHeight="1" s="192">
      <c r="W59158" s="239" t="n"/>
      <c r="X59158" s="239" t="n"/>
    </row>
    <row r="59160" ht="14.25" customHeight="1" s="192">
      <c r="W59160" s="235" t="n"/>
      <c r="X59160" s="235" t="n"/>
    </row>
    <row r="59161" ht="15" customHeight="1" s="192" thickBot="1">
      <c r="W59161" s="239" t="n"/>
      <c r="X59161" s="239" t="n"/>
    </row>
    <row r="59162" ht="15" customHeight="1" s="192" thickBot="1">
      <c r="W59162" s="45" t="n"/>
      <c r="X59162" s="45" t="n"/>
    </row>
    <row r="59163" ht="14.25" customHeight="1" s="192">
      <c r="W59163" s="228" t="n"/>
      <c r="X59163" s="228" t="n"/>
    </row>
    <row r="59164" ht="14.25" customHeight="1" s="192">
      <c r="W59164" s="228" t="n"/>
      <c r="X59164" s="228" t="n"/>
    </row>
    <row r="59165" ht="14.25" customHeight="1" s="192">
      <c r="W59165" s="231" t="n"/>
      <c r="X59165" s="231" t="n"/>
    </row>
    <row r="59166" ht="14.25" customHeight="1" s="192">
      <c r="W59166" s="33" t="n"/>
      <c r="X59166" s="33" t="n"/>
    </row>
    <row r="59167" ht="14.25" customHeight="1" s="192">
      <c r="W59167" s="231" t="n"/>
      <c r="X59167" s="231" t="n"/>
    </row>
    <row r="59168" ht="14.25" customHeight="1" s="192">
      <c r="W59168" s="33" t="n"/>
      <c r="X59168" s="33" t="n"/>
    </row>
    <row r="59170" ht="14.25" customHeight="1" s="192">
      <c r="W59170" s="231" t="n"/>
      <c r="X59170" s="231" t="n"/>
    </row>
    <row r="59171" ht="14.25" customHeight="1" s="192">
      <c r="W59171" s="235" t="n"/>
      <c r="X59171" s="235" t="n"/>
    </row>
    <row r="59172" ht="14.25" customHeight="1" s="192">
      <c r="W59172" s="228" t="n"/>
      <c r="X59172" s="228" t="n"/>
    </row>
    <row r="59173" ht="14.25" customHeight="1" s="192">
      <c r="W59173" s="235" t="n"/>
      <c r="X59173" s="235" t="n"/>
    </row>
    <row r="59174" ht="14.25" customHeight="1" s="192">
      <c r="W59174" s="235" t="n"/>
      <c r="X59174" s="235" t="n"/>
    </row>
    <row r="59175" ht="14.25" customHeight="1" s="192">
      <c r="W59175" s="235" t="n"/>
      <c r="X59175" s="235" t="n"/>
    </row>
    <row r="59176" ht="14.25" customHeight="1" s="192">
      <c r="W59176" s="239" t="n"/>
      <c r="X59176" s="239" t="n"/>
    </row>
    <row r="59177" ht="14.25" customHeight="1" s="192">
      <c r="W59177" s="239" t="n"/>
      <c r="X59177" s="239" t="n"/>
    </row>
    <row r="59178" ht="14.25" customHeight="1" s="192">
      <c r="W59178" s="239" t="n"/>
      <c r="X59178" s="239" t="n"/>
    </row>
    <row r="59179" ht="14.25" customHeight="1" s="192">
      <c r="W59179" s="235" t="n"/>
      <c r="X59179" s="235" t="n"/>
    </row>
    <row r="59180" ht="14.25" customHeight="1" s="192">
      <c r="W59180" s="235" t="n"/>
      <c r="X59180" s="235" t="n"/>
    </row>
    <row r="59181" ht="14.25" customHeight="1" s="192">
      <c r="W59181" s="235" t="n"/>
      <c r="X59181" s="235" t="n"/>
    </row>
    <row r="59182" ht="14.25" customHeight="1" s="192">
      <c r="W59182" s="239" t="n"/>
      <c r="X59182" s="239" t="n"/>
    </row>
    <row r="59183" ht="14.25" customHeight="1" s="192">
      <c r="W59183" s="239" t="n"/>
      <c r="X59183" s="239" t="n"/>
    </row>
    <row r="59184" ht="14.25" customHeight="1" s="192">
      <c r="W59184" s="235" t="n"/>
      <c r="X59184" s="235" t="n"/>
    </row>
    <row r="59185" ht="14.25" customHeight="1" s="192">
      <c r="W59185" s="235" t="n"/>
      <c r="X59185" s="235" t="n"/>
    </row>
    <row r="59186" ht="14.25" customHeight="1" s="192">
      <c r="W59186" s="239" t="n"/>
      <c r="X59186" s="239" t="n"/>
    </row>
    <row r="59187" ht="14.25" customHeight="1" s="192">
      <c r="W59187" s="235" t="n"/>
      <c r="X59187" s="235" t="n"/>
    </row>
    <row r="59188" ht="14.25" customHeight="1" s="192">
      <c r="W59188" s="239" t="n"/>
      <c r="X59188" s="239" t="n"/>
    </row>
    <row r="59190" ht="14.25" customHeight="1" s="192">
      <c r="W59190" s="235" t="n"/>
      <c r="X59190" s="235" t="n"/>
    </row>
    <row r="59191" ht="15" customHeight="1" s="192" thickBot="1">
      <c r="W59191" s="239" t="n"/>
      <c r="X59191" s="239" t="n"/>
    </row>
    <row r="59192" ht="15" customHeight="1" s="192" thickBot="1">
      <c r="W59192" s="45" t="n"/>
      <c r="X59192" s="45" t="n"/>
    </row>
    <row r="59193" ht="14.25" customHeight="1" s="192">
      <c r="W59193" s="228" t="n"/>
      <c r="X59193" s="228" t="n"/>
    </row>
    <row r="59194" ht="14.25" customHeight="1" s="192">
      <c r="W59194" s="228" t="n"/>
      <c r="X59194" s="228" t="n"/>
    </row>
    <row r="59195" ht="14.25" customHeight="1" s="192">
      <c r="W59195" s="231" t="n"/>
      <c r="X59195" s="231" t="n"/>
    </row>
    <row r="59196" ht="14.25" customHeight="1" s="192">
      <c r="W59196" s="33" t="n"/>
      <c r="X59196" s="33" t="n"/>
    </row>
    <row r="59197" ht="14.25" customHeight="1" s="192">
      <c r="W59197" s="231" t="n"/>
      <c r="X59197" s="231" t="n"/>
    </row>
    <row r="59198" ht="14.25" customHeight="1" s="192">
      <c r="W59198" s="33" t="n"/>
      <c r="X59198" s="33" t="n"/>
    </row>
    <row r="59200" ht="14.25" customHeight="1" s="192">
      <c r="W59200" s="231" t="n"/>
      <c r="X59200" s="231" t="n"/>
    </row>
    <row r="59201" ht="14.25" customHeight="1" s="192">
      <c r="W59201" s="235" t="n"/>
      <c r="X59201" s="235" t="n"/>
    </row>
    <row r="59202" ht="14.25" customHeight="1" s="192">
      <c r="W59202" s="228" t="n"/>
      <c r="X59202" s="228" t="n"/>
    </row>
    <row r="59203" ht="14.25" customHeight="1" s="192">
      <c r="W59203" s="235" t="n"/>
      <c r="X59203" s="235" t="n"/>
    </row>
    <row r="59204" ht="14.25" customHeight="1" s="192">
      <c r="W59204" s="235" t="n"/>
      <c r="X59204" s="235" t="n"/>
    </row>
    <row r="59205" ht="14.25" customHeight="1" s="192">
      <c r="W59205" s="235" t="n"/>
      <c r="X59205" s="235" t="n"/>
    </row>
    <row r="59206" ht="14.25" customHeight="1" s="192">
      <c r="W59206" s="239" t="n"/>
      <c r="X59206" s="239" t="n"/>
    </row>
    <row r="59207" ht="14.25" customHeight="1" s="192">
      <c r="W59207" s="239" t="n"/>
      <c r="X59207" s="239" t="n"/>
    </row>
    <row r="59208" ht="14.25" customHeight="1" s="192">
      <c r="W59208" s="239" t="n"/>
      <c r="X59208" s="239" t="n"/>
    </row>
    <row r="59209" ht="14.25" customHeight="1" s="192">
      <c r="W59209" s="235" t="n"/>
      <c r="X59209" s="235" t="n"/>
    </row>
    <row r="59210" ht="14.25" customHeight="1" s="192">
      <c r="W59210" s="235" t="n"/>
      <c r="X59210" s="235" t="n"/>
    </row>
    <row r="59211" ht="14.25" customHeight="1" s="192">
      <c r="W59211" s="235" t="n"/>
      <c r="X59211" s="235" t="n"/>
    </row>
    <row r="59212" ht="14.25" customHeight="1" s="192">
      <c r="W59212" s="239" t="n"/>
      <c r="X59212" s="239" t="n"/>
    </row>
    <row r="59213" ht="14.25" customHeight="1" s="192">
      <c r="W59213" s="239" t="n"/>
      <c r="X59213" s="239" t="n"/>
    </row>
    <row r="59214" ht="14.25" customHeight="1" s="192">
      <c r="W59214" s="235" t="n"/>
      <c r="X59214" s="235" t="n"/>
    </row>
    <row r="59215" ht="14.25" customHeight="1" s="192">
      <c r="W59215" s="235" t="n"/>
      <c r="X59215" s="235" t="n"/>
    </row>
    <row r="59216" ht="14.25" customHeight="1" s="192">
      <c r="W59216" s="239" t="n"/>
      <c r="X59216" s="239" t="n"/>
    </row>
    <row r="59217" ht="14.25" customHeight="1" s="192">
      <c r="W59217" s="235" t="n"/>
      <c r="X59217" s="235" t="n"/>
    </row>
    <row r="59218" ht="14.25" customHeight="1" s="192">
      <c r="W59218" s="239" t="n"/>
      <c r="X59218" s="239" t="n"/>
    </row>
    <row r="59220" ht="14.25" customHeight="1" s="192">
      <c r="W59220" s="235" t="n"/>
      <c r="X59220" s="235" t="n"/>
    </row>
    <row r="59221" ht="15" customHeight="1" s="192" thickBot="1">
      <c r="W59221" s="239" t="n"/>
      <c r="X59221" s="239" t="n"/>
    </row>
    <row r="59222" ht="15" customHeight="1" s="192" thickBot="1">
      <c r="W59222" s="45" t="n"/>
      <c r="X59222" s="45" t="n"/>
    </row>
    <row r="59223" ht="14.25" customHeight="1" s="192">
      <c r="W59223" s="228" t="n"/>
      <c r="X59223" s="228" t="n"/>
    </row>
    <row r="59224" ht="14.25" customHeight="1" s="192">
      <c r="W59224" s="228" t="n"/>
      <c r="X59224" s="228" t="n"/>
    </row>
    <row r="59225" ht="14.25" customHeight="1" s="192">
      <c r="W59225" s="231" t="n"/>
      <c r="X59225" s="231" t="n"/>
    </row>
    <row r="59226" ht="14.25" customHeight="1" s="192">
      <c r="W59226" s="33" t="n"/>
      <c r="X59226" s="33" t="n"/>
    </row>
    <row r="59227" ht="14.25" customHeight="1" s="192">
      <c r="W59227" s="231" t="n"/>
      <c r="X59227" s="231" t="n"/>
    </row>
    <row r="59228" ht="14.25" customHeight="1" s="192">
      <c r="W59228" s="33" t="n"/>
      <c r="X59228" s="33" t="n"/>
    </row>
    <row r="59230" ht="14.25" customHeight="1" s="192">
      <c r="W59230" s="231" t="n"/>
      <c r="X59230" s="231" t="n"/>
    </row>
    <row r="59231" ht="14.25" customHeight="1" s="192">
      <c r="W59231" s="235" t="n"/>
      <c r="X59231" s="235" t="n"/>
    </row>
    <row r="59232" ht="14.25" customHeight="1" s="192">
      <c r="W59232" s="228" t="n"/>
      <c r="X59232" s="228" t="n"/>
    </row>
    <row r="59233" ht="14.25" customHeight="1" s="192">
      <c r="W59233" s="235" t="n"/>
      <c r="X59233" s="235" t="n"/>
    </row>
    <row r="59234" ht="14.25" customHeight="1" s="192">
      <c r="W59234" s="235" t="n"/>
      <c r="X59234" s="235" t="n"/>
    </row>
    <row r="59235" ht="14.25" customHeight="1" s="192">
      <c r="W59235" s="235" t="n"/>
      <c r="X59235" s="235" t="n"/>
    </row>
    <row r="59236" ht="14.25" customHeight="1" s="192">
      <c r="W59236" s="239" t="n"/>
      <c r="X59236" s="239" t="n"/>
    </row>
    <row r="59237" ht="14.25" customHeight="1" s="192">
      <c r="W59237" s="239" t="n"/>
      <c r="X59237" s="239" t="n"/>
    </row>
    <row r="59238" ht="14.25" customHeight="1" s="192">
      <c r="W59238" s="239" t="n"/>
      <c r="X59238" s="239" t="n"/>
    </row>
    <row r="59239" ht="14.25" customHeight="1" s="192">
      <c r="W59239" s="235" t="n"/>
      <c r="X59239" s="235" t="n"/>
    </row>
    <row r="59240" ht="14.25" customHeight="1" s="192">
      <c r="W59240" s="235" t="n"/>
      <c r="X59240" s="235" t="n"/>
    </row>
    <row r="59241" ht="14.25" customHeight="1" s="192">
      <c r="W59241" s="235" t="n"/>
      <c r="X59241" s="235" t="n"/>
    </row>
    <row r="59242" ht="14.25" customHeight="1" s="192">
      <c r="W59242" s="239" t="n"/>
      <c r="X59242" s="239" t="n"/>
    </row>
    <row r="59243" ht="14.25" customHeight="1" s="192">
      <c r="W59243" s="239" t="n"/>
      <c r="X59243" s="239" t="n"/>
    </row>
    <row r="59244" ht="14.25" customHeight="1" s="192">
      <c r="W59244" s="235" t="n"/>
      <c r="X59244" s="235" t="n"/>
    </row>
    <row r="59245" ht="14.25" customHeight="1" s="192">
      <c r="W59245" s="235" t="n"/>
      <c r="X59245" s="235" t="n"/>
    </row>
    <row r="59246" ht="14.25" customHeight="1" s="192">
      <c r="W59246" s="239" t="n"/>
      <c r="X59246" s="239" t="n"/>
    </row>
    <row r="59247" ht="14.25" customHeight="1" s="192">
      <c r="W59247" s="235" t="n"/>
      <c r="X59247" s="235" t="n"/>
    </row>
    <row r="59248" ht="14.25" customHeight="1" s="192">
      <c r="W59248" s="239" t="n"/>
      <c r="X59248" s="239" t="n"/>
    </row>
    <row r="59250" ht="14.25" customHeight="1" s="192">
      <c r="W59250" s="235" t="n"/>
      <c r="X59250" s="235" t="n"/>
    </row>
    <row r="59251" ht="15" customHeight="1" s="192" thickBot="1">
      <c r="W59251" s="239" t="n"/>
      <c r="X59251" s="239" t="n"/>
    </row>
    <row r="59252" ht="15" customHeight="1" s="192" thickBot="1">
      <c r="W59252" s="45" t="n"/>
      <c r="X59252" s="45" t="n"/>
    </row>
    <row r="59253" ht="14.25" customHeight="1" s="192">
      <c r="W59253" s="228" t="n"/>
      <c r="X59253" s="228" t="n"/>
    </row>
    <row r="59254" ht="14.25" customHeight="1" s="192">
      <c r="W59254" s="228" t="n"/>
      <c r="X59254" s="228" t="n"/>
    </row>
    <row r="59255" ht="14.25" customHeight="1" s="192">
      <c r="W59255" s="231" t="n"/>
      <c r="X59255" s="231" t="n"/>
    </row>
    <row r="59256" ht="14.25" customHeight="1" s="192">
      <c r="W59256" s="33" t="n"/>
      <c r="X59256" s="33" t="n"/>
    </row>
    <row r="59257" ht="14.25" customHeight="1" s="192">
      <c r="W59257" s="231" t="n"/>
      <c r="X59257" s="231" t="n"/>
    </row>
    <row r="59258" ht="14.25" customHeight="1" s="192">
      <c r="W59258" s="33" t="n"/>
      <c r="X59258" s="33" t="n"/>
    </row>
    <row r="59260" ht="14.25" customHeight="1" s="192">
      <c r="W59260" s="231" t="n"/>
      <c r="X59260" s="231" t="n"/>
    </row>
    <row r="59261" ht="14.25" customHeight="1" s="192">
      <c r="W59261" s="235" t="n"/>
      <c r="X59261" s="235" t="n"/>
    </row>
    <row r="59262" ht="14.25" customHeight="1" s="192">
      <c r="W59262" s="228" t="n"/>
      <c r="X59262" s="228" t="n"/>
    </row>
    <row r="59263" ht="14.25" customHeight="1" s="192">
      <c r="W59263" s="235" t="n"/>
      <c r="X59263" s="235" t="n"/>
    </row>
    <row r="59264" ht="14.25" customHeight="1" s="192">
      <c r="W59264" s="235" t="n"/>
      <c r="X59264" s="235" t="n"/>
    </row>
    <row r="59265" ht="14.25" customHeight="1" s="192">
      <c r="W59265" s="235" t="n"/>
      <c r="X59265" s="235" t="n"/>
    </row>
    <row r="59266" ht="14.25" customHeight="1" s="192">
      <c r="W59266" s="239" t="n"/>
      <c r="X59266" s="239" t="n"/>
    </row>
    <row r="59267" ht="14.25" customHeight="1" s="192">
      <c r="W59267" s="239" t="n"/>
      <c r="X59267" s="239" t="n"/>
    </row>
    <row r="59268" ht="14.25" customHeight="1" s="192">
      <c r="W59268" s="239" t="n"/>
      <c r="X59268" s="239" t="n"/>
    </row>
    <row r="59269" ht="14.25" customHeight="1" s="192">
      <c r="W59269" s="235" t="n"/>
      <c r="X59269" s="235" t="n"/>
    </row>
    <row r="59270" ht="14.25" customHeight="1" s="192">
      <c r="W59270" s="235" t="n"/>
      <c r="X59270" s="235" t="n"/>
    </row>
    <row r="59271" ht="14.25" customHeight="1" s="192">
      <c r="W59271" s="235" t="n"/>
      <c r="X59271" s="235" t="n"/>
    </row>
    <row r="59272" ht="14.25" customHeight="1" s="192">
      <c r="W59272" s="239" t="n"/>
      <c r="X59272" s="239" t="n"/>
    </row>
    <row r="59273" ht="14.25" customHeight="1" s="192">
      <c r="W59273" s="239" t="n"/>
      <c r="X59273" s="239" t="n"/>
    </row>
    <row r="59274" ht="14.25" customHeight="1" s="192">
      <c r="W59274" s="235" t="n"/>
      <c r="X59274" s="235" t="n"/>
    </row>
    <row r="59275" ht="14.25" customHeight="1" s="192">
      <c r="W59275" s="235" t="n"/>
      <c r="X59275" s="235" t="n"/>
    </row>
    <row r="59276" ht="14.25" customHeight="1" s="192">
      <c r="W59276" s="239" t="n"/>
      <c r="X59276" s="239" t="n"/>
    </row>
    <row r="59277" ht="14.25" customHeight="1" s="192">
      <c r="W59277" s="235" t="n"/>
      <c r="X59277" s="235" t="n"/>
    </row>
    <row r="59278" ht="14.25" customHeight="1" s="192">
      <c r="W59278" s="239" t="n"/>
      <c r="X59278" s="239" t="n"/>
    </row>
    <row r="59280" ht="14.25" customHeight="1" s="192">
      <c r="W59280" s="235" t="n"/>
      <c r="X59280" s="235" t="n"/>
    </row>
    <row r="59281" ht="15" customHeight="1" s="192" thickBot="1">
      <c r="W59281" s="239" t="n"/>
      <c r="X59281" s="239" t="n"/>
    </row>
    <row r="59282" ht="15" customHeight="1" s="192" thickBot="1">
      <c r="W59282" s="45" t="n"/>
      <c r="X59282" s="45" t="n"/>
    </row>
    <row r="59283" ht="14.25" customHeight="1" s="192">
      <c r="W59283" s="228" t="n"/>
      <c r="X59283" s="228" t="n"/>
    </row>
    <row r="59284" ht="14.25" customHeight="1" s="192">
      <c r="W59284" s="228" t="n"/>
      <c r="X59284" s="228" t="n"/>
    </row>
    <row r="59285" ht="14.25" customHeight="1" s="192">
      <c r="W59285" s="231" t="n"/>
      <c r="X59285" s="231" t="n"/>
    </row>
    <row r="59286" ht="14.25" customHeight="1" s="192">
      <c r="W59286" s="33" t="n"/>
      <c r="X59286" s="33" t="n"/>
    </row>
    <row r="59287" ht="14.25" customHeight="1" s="192">
      <c r="W59287" s="231" t="n"/>
      <c r="X59287" s="231" t="n"/>
    </row>
    <row r="59288" ht="14.25" customHeight="1" s="192">
      <c r="W59288" s="33" t="n"/>
      <c r="X59288" s="33" t="n"/>
    </row>
    <row r="59290" ht="14.25" customHeight="1" s="192">
      <c r="W59290" s="231" t="n"/>
      <c r="X59290" s="231" t="n"/>
    </row>
    <row r="59291" ht="14.25" customHeight="1" s="192">
      <c r="W59291" s="235" t="n"/>
      <c r="X59291" s="235" t="n"/>
    </row>
    <row r="59292" ht="14.25" customHeight="1" s="192">
      <c r="W59292" s="228" t="n"/>
      <c r="X59292" s="228" t="n"/>
    </row>
    <row r="59293" ht="14.25" customHeight="1" s="192">
      <c r="W59293" s="235" t="n"/>
      <c r="X59293" s="235" t="n"/>
    </row>
    <row r="59294" ht="14.25" customHeight="1" s="192">
      <c r="W59294" s="235" t="n"/>
      <c r="X59294" s="235" t="n"/>
    </row>
    <row r="59295" ht="14.25" customHeight="1" s="192">
      <c r="W59295" s="235" t="n"/>
      <c r="X59295" s="235" t="n"/>
    </row>
    <row r="59296" ht="14.25" customHeight="1" s="192">
      <c r="W59296" s="239" t="n"/>
      <c r="X59296" s="239" t="n"/>
    </row>
    <row r="59297" ht="14.25" customHeight="1" s="192">
      <c r="W59297" s="239" t="n"/>
      <c r="X59297" s="239" t="n"/>
    </row>
    <row r="59298" ht="14.25" customHeight="1" s="192">
      <c r="W59298" s="239" t="n"/>
      <c r="X59298" s="239" t="n"/>
    </row>
    <row r="59299" ht="14.25" customHeight="1" s="192">
      <c r="W59299" s="235" t="n"/>
      <c r="X59299" s="235" t="n"/>
    </row>
    <row r="59300" ht="14.25" customHeight="1" s="192">
      <c r="W59300" s="235" t="n"/>
      <c r="X59300" s="235" t="n"/>
    </row>
    <row r="59301" ht="14.25" customHeight="1" s="192">
      <c r="W59301" s="235" t="n"/>
      <c r="X59301" s="235" t="n"/>
    </row>
    <row r="59302" ht="14.25" customHeight="1" s="192">
      <c r="W59302" s="239" t="n"/>
      <c r="X59302" s="239" t="n"/>
    </row>
    <row r="59303" ht="14.25" customHeight="1" s="192">
      <c r="W59303" s="239" t="n"/>
      <c r="X59303" s="239" t="n"/>
    </row>
    <row r="59304" ht="14.25" customHeight="1" s="192">
      <c r="W59304" s="235" t="n"/>
      <c r="X59304" s="235" t="n"/>
    </row>
    <row r="59305" ht="14.25" customHeight="1" s="192">
      <c r="W59305" s="235" t="n"/>
      <c r="X59305" s="235" t="n"/>
    </row>
    <row r="59306" ht="14.25" customHeight="1" s="192">
      <c r="W59306" s="239" t="n"/>
      <c r="X59306" s="239" t="n"/>
    </row>
    <row r="59307" ht="14.25" customHeight="1" s="192">
      <c r="W59307" s="235" t="n"/>
      <c r="X59307" s="235" t="n"/>
    </row>
    <row r="59308" ht="14.25" customHeight="1" s="192">
      <c r="W59308" s="239" t="n"/>
      <c r="X59308" s="239" t="n"/>
    </row>
    <row r="59310" ht="14.25" customHeight="1" s="192">
      <c r="W59310" s="235" t="n"/>
      <c r="X59310" s="235" t="n"/>
    </row>
    <row r="59311" ht="15" customHeight="1" s="192" thickBot="1">
      <c r="W59311" s="239" t="n"/>
      <c r="X59311" s="239" t="n"/>
    </row>
    <row r="59312" ht="15" customHeight="1" s="192" thickBot="1">
      <c r="W59312" s="45" t="n"/>
      <c r="X59312" s="45" t="n"/>
    </row>
    <row r="59313" ht="14.25" customHeight="1" s="192">
      <c r="W59313" s="228" t="n"/>
      <c r="X59313" s="228" t="n"/>
    </row>
    <row r="59314" ht="14.25" customHeight="1" s="192">
      <c r="W59314" s="228" t="n"/>
      <c r="X59314" s="228" t="n"/>
    </row>
    <row r="59315" ht="14.25" customHeight="1" s="192">
      <c r="W59315" s="231" t="n"/>
      <c r="X59315" s="231" t="n"/>
    </row>
    <row r="59316" ht="14.25" customHeight="1" s="192">
      <c r="W59316" s="33" t="n"/>
      <c r="X59316" s="33" t="n"/>
    </row>
    <row r="59317" ht="14.25" customHeight="1" s="192">
      <c r="W59317" s="231" t="n"/>
      <c r="X59317" s="231" t="n"/>
    </row>
    <row r="59318" ht="14.25" customHeight="1" s="192">
      <c r="W59318" s="33" t="n"/>
      <c r="X59318" s="33" t="n"/>
    </row>
    <row r="59320" ht="14.25" customHeight="1" s="192">
      <c r="W59320" s="231" t="n"/>
      <c r="X59320" s="231" t="n"/>
    </row>
    <row r="59321" ht="14.25" customHeight="1" s="192">
      <c r="W59321" s="235" t="n"/>
      <c r="X59321" s="235" t="n"/>
    </row>
    <row r="59322" ht="14.25" customHeight="1" s="192">
      <c r="W59322" s="228" t="n"/>
      <c r="X59322" s="228" t="n"/>
    </row>
    <row r="59323" ht="14.25" customHeight="1" s="192">
      <c r="W59323" s="235" t="n"/>
      <c r="X59323" s="235" t="n"/>
    </row>
    <row r="59324" ht="14.25" customHeight="1" s="192">
      <c r="W59324" s="235" t="n"/>
      <c r="X59324" s="235" t="n"/>
    </row>
    <row r="59325" ht="14.25" customHeight="1" s="192">
      <c r="W59325" s="235" t="n"/>
      <c r="X59325" s="235" t="n"/>
    </row>
    <row r="59326" ht="14.25" customHeight="1" s="192">
      <c r="W59326" s="239" t="n"/>
      <c r="X59326" s="239" t="n"/>
    </row>
    <row r="59327" ht="14.25" customHeight="1" s="192">
      <c r="W59327" s="239" t="n"/>
      <c r="X59327" s="239" t="n"/>
    </row>
    <row r="59328" ht="14.25" customHeight="1" s="192">
      <c r="W59328" s="239" t="n"/>
      <c r="X59328" s="239" t="n"/>
    </row>
    <row r="59329" ht="14.25" customHeight="1" s="192">
      <c r="W59329" s="235" t="n"/>
      <c r="X59329" s="235" t="n"/>
    </row>
    <row r="59330" ht="14.25" customHeight="1" s="192">
      <c r="W59330" s="235" t="n"/>
      <c r="X59330" s="235" t="n"/>
    </row>
    <row r="59331" ht="14.25" customHeight="1" s="192">
      <c r="W59331" s="235" t="n"/>
      <c r="X59331" s="235" t="n"/>
    </row>
    <row r="59332" ht="14.25" customHeight="1" s="192">
      <c r="W59332" s="239" t="n"/>
      <c r="X59332" s="239" t="n"/>
    </row>
    <row r="59333" ht="14.25" customHeight="1" s="192">
      <c r="W59333" s="239" t="n"/>
      <c r="X59333" s="239" t="n"/>
    </row>
    <row r="59334" ht="14.25" customHeight="1" s="192">
      <c r="W59334" s="235" t="n"/>
      <c r="X59334" s="235" t="n"/>
    </row>
    <row r="59335" ht="14.25" customHeight="1" s="192">
      <c r="W59335" s="235" t="n"/>
      <c r="X59335" s="235" t="n"/>
    </row>
    <row r="59336" ht="14.25" customHeight="1" s="192">
      <c r="W59336" s="239" t="n"/>
      <c r="X59336" s="239" t="n"/>
    </row>
    <row r="59337" ht="14.25" customHeight="1" s="192">
      <c r="W59337" s="235" t="n"/>
      <c r="X59337" s="235" t="n"/>
    </row>
    <row r="59338" ht="14.25" customHeight="1" s="192">
      <c r="W59338" s="239" t="n"/>
      <c r="X59338" s="239" t="n"/>
    </row>
    <row r="59340" ht="14.25" customHeight="1" s="192">
      <c r="W59340" s="235" t="n"/>
      <c r="X59340" s="235" t="n"/>
    </row>
    <row r="59341" ht="15" customHeight="1" s="192" thickBot="1">
      <c r="W59341" s="239" t="n"/>
      <c r="X59341" s="239" t="n"/>
    </row>
    <row r="59342" ht="15" customHeight="1" s="192" thickBot="1">
      <c r="W59342" s="45" t="n"/>
      <c r="X59342" s="45" t="n"/>
    </row>
    <row r="59343" ht="14.25" customHeight="1" s="192">
      <c r="W59343" s="228" t="n"/>
      <c r="X59343" s="228" t="n"/>
    </row>
    <row r="59344" ht="14.25" customHeight="1" s="192">
      <c r="W59344" s="228" t="n"/>
      <c r="X59344" s="228" t="n"/>
    </row>
    <row r="59345" ht="14.25" customHeight="1" s="192">
      <c r="W59345" s="231" t="n"/>
      <c r="X59345" s="231" t="n"/>
    </row>
    <row r="59346" ht="14.25" customHeight="1" s="192">
      <c r="W59346" s="33" t="n"/>
      <c r="X59346" s="33" t="n"/>
    </row>
    <row r="59347" ht="14.25" customHeight="1" s="192">
      <c r="W59347" s="231" t="n"/>
      <c r="X59347" s="231" t="n"/>
    </row>
    <row r="59348" ht="14.25" customHeight="1" s="192">
      <c r="W59348" s="33" t="n"/>
      <c r="X59348" s="33" t="n"/>
    </row>
    <row r="59350" ht="14.25" customHeight="1" s="192">
      <c r="W59350" s="231" t="n"/>
      <c r="X59350" s="231" t="n"/>
    </row>
    <row r="59351" ht="14.25" customHeight="1" s="192">
      <c r="W59351" s="235" t="n"/>
      <c r="X59351" s="235" t="n"/>
    </row>
    <row r="59352" ht="14.25" customHeight="1" s="192">
      <c r="W59352" s="228" t="n"/>
      <c r="X59352" s="228" t="n"/>
    </row>
    <row r="59353" ht="14.25" customHeight="1" s="192">
      <c r="W59353" s="235" t="n"/>
      <c r="X59353" s="235" t="n"/>
    </row>
    <row r="59354" ht="14.25" customHeight="1" s="192">
      <c r="W59354" s="235" t="n"/>
      <c r="X59354" s="235" t="n"/>
    </row>
    <row r="59355" ht="14.25" customHeight="1" s="192">
      <c r="W59355" s="235" t="n"/>
      <c r="X59355" s="235" t="n"/>
    </row>
    <row r="59356" ht="14.25" customHeight="1" s="192">
      <c r="W59356" s="239" t="n"/>
      <c r="X59356" s="239" t="n"/>
    </row>
    <row r="59357" ht="14.25" customHeight="1" s="192">
      <c r="W59357" s="239" t="n"/>
      <c r="X59357" s="239" t="n"/>
    </row>
    <row r="59358" ht="14.25" customHeight="1" s="192">
      <c r="W59358" s="239" t="n"/>
      <c r="X59358" s="239" t="n"/>
    </row>
    <row r="59359" ht="14.25" customHeight="1" s="192">
      <c r="W59359" s="235" t="n"/>
      <c r="X59359" s="235" t="n"/>
    </row>
    <row r="59360" ht="14.25" customHeight="1" s="192">
      <c r="W59360" s="235" t="n"/>
      <c r="X59360" s="235" t="n"/>
    </row>
    <row r="59361" ht="14.25" customHeight="1" s="192">
      <c r="W59361" s="235" t="n"/>
      <c r="X59361" s="235" t="n"/>
    </row>
    <row r="59362" ht="14.25" customHeight="1" s="192">
      <c r="W59362" s="239" t="n"/>
      <c r="X59362" s="239" t="n"/>
    </row>
    <row r="59363" ht="14.25" customHeight="1" s="192">
      <c r="W59363" s="239" t="n"/>
      <c r="X59363" s="239" t="n"/>
    </row>
    <row r="59364" ht="14.25" customHeight="1" s="192">
      <c r="W59364" s="235" t="n"/>
      <c r="X59364" s="235" t="n"/>
    </row>
    <row r="59365" ht="14.25" customHeight="1" s="192">
      <c r="W59365" s="235" t="n"/>
      <c r="X59365" s="235" t="n"/>
    </row>
    <row r="59366" ht="14.25" customHeight="1" s="192">
      <c r="W59366" s="239" t="n"/>
      <c r="X59366" s="239" t="n"/>
    </row>
    <row r="59367" ht="14.25" customHeight="1" s="192">
      <c r="W59367" s="235" t="n"/>
      <c r="X59367" s="235" t="n"/>
    </row>
    <row r="59368" ht="14.25" customHeight="1" s="192">
      <c r="W59368" s="239" t="n"/>
      <c r="X59368" s="239" t="n"/>
    </row>
    <row r="59370" ht="14.25" customHeight="1" s="192">
      <c r="W59370" s="235" t="n"/>
      <c r="X59370" s="235" t="n"/>
    </row>
    <row r="59371" ht="15" customHeight="1" s="192" thickBot="1">
      <c r="W59371" s="239" t="n"/>
      <c r="X59371" s="239" t="n"/>
    </row>
    <row r="59372" ht="15" customHeight="1" s="192" thickBot="1">
      <c r="W59372" s="45" t="n"/>
      <c r="X59372" s="45" t="n"/>
    </row>
    <row r="59373" ht="14.25" customHeight="1" s="192">
      <c r="W59373" s="228" t="n"/>
      <c r="X59373" s="228" t="n"/>
    </row>
    <row r="59374" ht="14.25" customHeight="1" s="192">
      <c r="W59374" s="228" t="n"/>
      <c r="X59374" s="228" t="n"/>
    </row>
    <row r="59375" ht="14.25" customHeight="1" s="192">
      <c r="W59375" s="231" t="n"/>
      <c r="X59375" s="231" t="n"/>
    </row>
    <row r="59376" ht="14.25" customHeight="1" s="192">
      <c r="W59376" s="33" t="n"/>
      <c r="X59376" s="33" t="n"/>
    </row>
    <row r="59377" ht="14.25" customHeight="1" s="192">
      <c r="W59377" s="231" t="n"/>
      <c r="X59377" s="231" t="n"/>
    </row>
    <row r="59378" ht="14.25" customHeight="1" s="192">
      <c r="W59378" s="33" t="n"/>
      <c r="X59378" s="33" t="n"/>
    </row>
    <row r="59380" ht="14.25" customHeight="1" s="192">
      <c r="W59380" s="231" t="n"/>
      <c r="X59380" s="231" t="n"/>
    </row>
    <row r="59381" ht="14.25" customHeight="1" s="192">
      <c r="W59381" s="235" t="n"/>
      <c r="X59381" s="235" t="n"/>
    </row>
    <row r="59382" ht="14.25" customHeight="1" s="192">
      <c r="W59382" s="228" t="n"/>
      <c r="X59382" s="228" t="n"/>
    </row>
    <row r="59383" ht="14.25" customHeight="1" s="192">
      <c r="W59383" s="235" t="n"/>
      <c r="X59383" s="235" t="n"/>
    </row>
    <row r="59384" ht="14.25" customHeight="1" s="192">
      <c r="W59384" s="235" t="n"/>
      <c r="X59384" s="235" t="n"/>
    </row>
    <row r="59385" ht="14.25" customHeight="1" s="192">
      <c r="W59385" s="235" t="n"/>
      <c r="X59385" s="235" t="n"/>
    </row>
    <row r="59386" ht="14.25" customHeight="1" s="192">
      <c r="W59386" s="239" t="n"/>
      <c r="X59386" s="239" t="n"/>
    </row>
    <row r="59387" ht="14.25" customHeight="1" s="192">
      <c r="W59387" s="239" t="n"/>
      <c r="X59387" s="239" t="n"/>
    </row>
    <row r="59388" ht="14.25" customHeight="1" s="192">
      <c r="W59388" s="239" t="n"/>
      <c r="X59388" s="239" t="n"/>
    </row>
    <row r="59389" ht="14.25" customHeight="1" s="192">
      <c r="W59389" s="235" t="n"/>
      <c r="X59389" s="235" t="n"/>
    </row>
    <row r="59390" ht="14.25" customHeight="1" s="192">
      <c r="W59390" s="235" t="n"/>
      <c r="X59390" s="235" t="n"/>
    </row>
    <row r="59391" ht="14.25" customHeight="1" s="192">
      <c r="W59391" s="235" t="n"/>
      <c r="X59391" s="235" t="n"/>
    </row>
    <row r="59392" ht="14.25" customHeight="1" s="192">
      <c r="W59392" s="239" t="n"/>
      <c r="X59392" s="239" t="n"/>
    </row>
    <row r="59393" ht="14.25" customHeight="1" s="192">
      <c r="W59393" s="239" t="n"/>
      <c r="X59393" s="239" t="n"/>
    </row>
    <row r="59394" ht="14.25" customHeight="1" s="192">
      <c r="W59394" s="235" t="n"/>
      <c r="X59394" s="235" t="n"/>
    </row>
    <row r="59395" ht="14.25" customHeight="1" s="192">
      <c r="W59395" s="235" t="n"/>
      <c r="X59395" s="235" t="n"/>
    </row>
    <row r="59396" ht="14.25" customHeight="1" s="192">
      <c r="W59396" s="239" t="n"/>
      <c r="X59396" s="239" t="n"/>
    </row>
    <row r="59397" ht="14.25" customHeight="1" s="192">
      <c r="W59397" s="235" t="n"/>
      <c r="X59397" s="235" t="n"/>
    </row>
    <row r="59398" ht="14.25" customHeight="1" s="192">
      <c r="W59398" s="239" t="n"/>
      <c r="X59398" s="239" t="n"/>
    </row>
    <row r="59400" ht="14.25" customHeight="1" s="192">
      <c r="W59400" s="235" t="n"/>
      <c r="X59400" s="235" t="n"/>
    </row>
    <row r="59401" ht="15" customHeight="1" s="192" thickBot="1">
      <c r="W59401" s="239" t="n"/>
      <c r="X59401" s="239" t="n"/>
    </row>
    <row r="59402" ht="15" customHeight="1" s="192" thickBot="1">
      <c r="W59402" s="45" t="n"/>
      <c r="X59402" s="45" t="n"/>
    </row>
    <row r="59403" ht="14.25" customHeight="1" s="192">
      <c r="W59403" s="228" t="n"/>
      <c r="X59403" s="228" t="n"/>
    </row>
    <row r="59404" ht="14.25" customHeight="1" s="192">
      <c r="W59404" s="228" t="n"/>
      <c r="X59404" s="228" t="n"/>
    </row>
    <row r="59405" ht="14.25" customHeight="1" s="192">
      <c r="W59405" s="231" t="n"/>
      <c r="X59405" s="231" t="n"/>
    </row>
    <row r="59406" ht="14.25" customHeight="1" s="192">
      <c r="W59406" s="33" t="n"/>
      <c r="X59406" s="33" t="n"/>
    </row>
    <row r="59407" ht="14.25" customHeight="1" s="192">
      <c r="W59407" s="231" t="n"/>
      <c r="X59407" s="231" t="n"/>
    </row>
    <row r="59408" ht="14.25" customHeight="1" s="192">
      <c r="W59408" s="33" t="n"/>
      <c r="X59408" s="33" t="n"/>
    </row>
    <row r="59410" ht="14.25" customHeight="1" s="192">
      <c r="W59410" s="231" t="n"/>
      <c r="X59410" s="231" t="n"/>
    </row>
    <row r="59411" ht="14.25" customHeight="1" s="192">
      <c r="W59411" s="235" t="n"/>
      <c r="X59411" s="235" t="n"/>
    </row>
    <row r="59412" ht="14.25" customHeight="1" s="192">
      <c r="W59412" s="228" t="n"/>
      <c r="X59412" s="228" t="n"/>
    </row>
    <row r="59413" ht="14.25" customHeight="1" s="192">
      <c r="W59413" s="235" t="n"/>
      <c r="X59413" s="235" t="n"/>
    </row>
    <row r="59414" ht="14.25" customHeight="1" s="192">
      <c r="W59414" s="235" t="n"/>
      <c r="X59414" s="235" t="n"/>
    </row>
    <row r="59415" ht="14.25" customHeight="1" s="192">
      <c r="W59415" s="235" t="n"/>
      <c r="X59415" s="235" t="n"/>
    </row>
    <row r="59416" ht="14.25" customHeight="1" s="192">
      <c r="W59416" s="239" t="n"/>
      <c r="X59416" s="239" t="n"/>
    </row>
    <row r="59417" ht="14.25" customHeight="1" s="192">
      <c r="W59417" s="239" t="n"/>
      <c r="X59417" s="239" t="n"/>
    </row>
    <row r="59418" ht="14.25" customHeight="1" s="192">
      <c r="W59418" s="239" t="n"/>
      <c r="X59418" s="239" t="n"/>
    </row>
    <row r="59419" ht="14.25" customHeight="1" s="192">
      <c r="W59419" s="235" t="n"/>
      <c r="X59419" s="235" t="n"/>
    </row>
    <row r="59420" ht="14.25" customHeight="1" s="192">
      <c r="W59420" s="235" t="n"/>
      <c r="X59420" s="235" t="n"/>
    </row>
    <row r="59421" ht="14.25" customHeight="1" s="192">
      <c r="W59421" s="235" t="n"/>
      <c r="X59421" s="235" t="n"/>
    </row>
    <row r="59422" ht="14.25" customHeight="1" s="192">
      <c r="W59422" s="239" t="n"/>
      <c r="X59422" s="239" t="n"/>
    </row>
    <row r="59423" ht="14.25" customHeight="1" s="192">
      <c r="W59423" s="239" t="n"/>
      <c r="X59423" s="239" t="n"/>
    </row>
    <row r="59424" ht="14.25" customHeight="1" s="192">
      <c r="W59424" s="235" t="n"/>
      <c r="X59424" s="235" t="n"/>
    </row>
    <row r="59425" ht="14.25" customHeight="1" s="192">
      <c r="W59425" s="235" t="n"/>
      <c r="X59425" s="235" t="n"/>
    </row>
    <row r="59426" ht="14.25" customHeight="1" s="192">
      <c r="W59426" s="239" t="n"/>
      <c r="X59426" s="239" t="n"/>
    </row>
    <row r="59427" ht="14.25" customHeight="1" s="192">
      <c r="W59427" s="235" t="n"/>
      <c r="X59427" s="235" t="n"/>
    </row>
    <row r="59428" ht="14.25" customHeight="1" s="192">
      <c r="W59428" s="239" t="n"/>
      <c r="X59428" s="239" t="n"/>
    </row>
    <row r="59430" ht="14.25" customHeight="1" s="192">
      <c r="W59430" s="235" t="n"/>
      <c r="X59430" s="235" t="n"/>
    </row>
    <row r="59431" ht="15" customHeight="1" s="192" thickBot="1">
      <c r="W59431" s="239" t="n"/>
      <c r="X59431" s="239" t="n"/>
    </row>
    <row r="59432" ht="15" customHeight="1" s="192" thickBot="1">
      <c r="W59432" s="45" t="n"/>
      <c r="X59432" s="45" t="n"/>
    </row>
    <row r="59433" ht="14.25" customHeight="1" s="192">
      <c r="W59433" s="228" t="n"/>
      <c r="X59433" s="228" t="n"/>
    </row>
    <row r="59434" ht="14.25" customHeight="1" s="192">
      <c r="W59434" s="228" t="n"/>
      <c r="X59434" s="228" t="n"/>
    </row>
    <row r="59435" ht="14.25" customHeight="1" s="192">
      <c r="W59435" s="231" t="n"/>
      <c r="X59435" s="231" t="n"/>
    </row>
    <row r="59436" ht="14.25" customHeight="1" s="192">
      <c r="W59436" s="33" t="n"/>
      <c r="X59436" s="33" t="n"/>
    </row>
    <row r="59437" ht="14.25" customHeight="1" s="192">
      <c r="W59437" s="231" t="n"/>
      <c r="X59437" s="231" t="n"/>
    </row>
    <row r="59438" ht="14.25" customHeight="1" s="192">
      <c r="W59438" s="33" t="n"/>
      <c r="X59438" s="33" t="n"/>
    </row>
    <row r="59440" ht="14.25" customHeight="1" s="192">
      <c r="W59440" s="231" t="n"/>
      <c r="X59440" s="231" t="n"/>
    </row>
    <row r="59441" ht="14.25" customHeight="1" s="192">
      <c r="W59441" s="235" t="n"/>
      <c r="X59441" s="235" t="n"/>
    </row>
    <row r="59442" ht="14.25" customHeight="1" s="192">
      <c r="W59442" s="228" t="n"/>
      <c r="X59442" s="228" t="n"/>
    </row>
    <row r="59443" ht="14.25" customHeight="1" s="192">
      <c r="W59443" s="235" t="n"/>
      <c r="X59443" s="235" t="n"/>
    </row>
    <row r="59444" ht="14.25" customHeight="1" s="192">
      <c r="W59444" s="235" t="n"/>
      <c r="X59444" s="235" t="n"/>
    </row>
    <row r="59445" ht="14.25" customHeight="1" s="192">
      <c r="W59445" s="235" t="n"/>
      <c r="X59445" s="235" t="n"/>
    </row>
    <row r="59446" ht="14.25" customHeight="1" s="192">
      <c r="W59446" s="239" t="n"/>
      <c r="X59446" s="239" t="n"/>
    </row>
    <row r="59447" ht="14.25" customHeight="1" s="192">
      <c r="W59447" s="239" t="n"/>
      <c r="X59447" s="239" t="n"/>
    </row>
    <row r="59448" ht="14.25" customHeight="1" s="192">
      <c r="W59448" s="239" t="n"/>
      <c r="X59448" s="239" t="n"/>
    </row>
    <row r="59449" ht="14.25" customHeight="1" s="192">
      <c r="W59449" s="235" t="n"/>
      <c r="X59449" s="235" t="n"/>
    </row>
    <row r="59450" ht="14.25" customHeight="1" s="192">
      <c r="W59450" s="235" t="n"/>
      <c r="X59450" s="235" t="n"/>
    </row>
    <row r="59451" ht="14.25" customHeight="1" s="192">
      <c r="W59451" s="235" t="n"/>
      <c r="X59451" s="235" t="n"/>
    </row>
    <row r="59452" ht="14.25" customHeight="1" s="192">
      <c r="W59452" s="239" t="n"/>
      <c r="X59452" s="239" t="n"/>
    </row>
    <row r="59453" ht="14.25" customHeight="1" s="192">
      <c r="W59453" s="239" t="n"/>
      <c r="X59453" s="239" t="n"/>
    </row>
    <row r="59454" ht="14.25" customHeight="1" s="192">
      <c r="W59454" s="235" t="n"/>
      <c r="X59454" s="235" t="n"/>
    </row>
    <row r="59455" ht="14.25" customHeight="1" s="192">
      <c r="W59455" s="235" t="n"/>
      <c r="X59455" s="235" t="n"/>
    </row>
    <row r="59456" ht="14.25" customHeight="1" s="192">
      <c r="W59456" s="239" t="n"/>
      <c r="X59456" s="239" t="n"/>
    </row>
    <row r="59457" ht="14.25" customHeight="1" s="192">
      <c r="W59457" s="235" t="n"/>
      <c r="X59457" s="235" t="n"/>
    </row>
    <row r="59458" ht="14.25" customHeight="1" s="192">
      <c r="W59458" s="239" t="n"/>
      <c r="X59458" s="239" t="n"/>
    </row>
    <row r="59460" ht="14.25" customHeight="1" s="192">
      <c r="W59460" s="235" t="n"/>
      <c r="X59460" s="235" t="n"/>
    </row>
    <row r="59461" ht="15" customHeight="1" s="192" thickBot="1">
      <c r="W59461" s="239" t="n"/>
      <c r="X59461" s="239" t="n"/>
    </row>
    <row r="59462" ht="15" customHeight="1" s="192" thickBot="1">
      <c r="W59462" s="45" t="n"/>
      <c r="X59462" s="45" t="n"/>
    </row>
    <row r="59463" ht="14.25" customHeight="1" s="192">
      <c r="W59463" s="228" t="n"/>
      <c r="X59463" s="228" t="n"/>
    </row>
    <row r="59464" ht="14.25" customHeight="1" s="192">
      <c r="W59464" s="228" t="n"/>
      <c r="X59464" s="228" t="n"/>
    </row>
    <row r="59465" ht="14.25" customHeight="1" s="192">
      <c r="W59465" s="231" t="n"/>
      <c r="X59465" s="231" t="n"/>
    </row>
    <row r="59466" ht="14.25" customHeight="1" s="192">
      <c r="W59466" s="33" t="n"/>
      <c r="X59466" s="33" t="n"/>
    </row>
    <row r="59467" ht="14.25" customHeight="1" s="192">
      <c r="W59467" s="231" t="n"/>
      <c r="X59467" s="231" t="n"/>
    </row>
    <row r="59468" ht="14.25" customHeight="1" s="192">
      <c r="W59468" s="33" t="n"/>
      <c r="X59468" s="33" t="n"/>
    </row>
    <row r="59470" ht="14.25" customHeight="1" s="192">
      <c r="W59470" s="231" t="n"/>
      <c r="X59470" s="231" t="n"/>
    </row>
    <row r="59471" ht="14.25" customHeight="1" s="192">
      <c r="W59471" s="235" t="n"/>
      <c r="X59471" s="235" t="n"/>
    </row>
    <row r="59472" ht="14.25" customHeight="1" s="192">
      <c r="W59472" s="228" t="n"/>
      <c r="X59472" s="228" t="n"/>
    </row>
    <row r="59473" ht="14.25" customHeight="1" s="192">
      <c r="W59473" s="235" t="n"/>
      <c r="X59473" s="235" t="n"/>
    </row>
    <row r="59474" ht="14.25" customHeight="1" s="192">
      <c r="W59474" s="235" t="n"/>
      <c r="X59474" s="235" t="n"/>
    </row>
    <row r="59475" ht="14.25" customHeight="1" s="192">
      <c r="W59475" s="235" t="n"/>
      <c r="X59475" s="235" t="n"/>
    </row>
    <row r="59476" ht="14.25" customHeight="1" s="192">
      <c r="W59476" s="239" t="n"/>
      <c r="X59476" s="239" t="n"/>
    </row>
    <row r="59477" ht="14.25" customHeight="1" s="192">
      <c r="W59477" s="239" t="n"/>
      <c r="X59477" s="239" t="n"/>
    </row>
    <row r="59478" ht="14.25" customHeight="1" s="192">
      <c r="W59478" s="239" t="n"/>
      <c r="X59478" s="239" t="n"/>
    </row>
    <row r="59479" ht="14.25" customHeight="1" s="192">
      <c r="W59479" s="235" t="n"/>
      <c r="X59479" s="235" t="n"/>
    </row>
    <row r="59480" ht="14.25" customHeight="1" s="192">
      <c r="W59480" s="235" t="n"/>
      <c r="X59480" s="235" t="n"/>
    </row>
    <row r="59481" ht="14.25" customHeight="1" s="192">
      <c r="W59481" s="235" t="n"/>
      <c r="X59481" s="235" t="n"/>
    </row>
    <row r="59482" ht="14.25" customHeight="1" s="192">
      <c r="W59482" s="239" t="n"/>
      <c r="X59482" s="239" t="n"/>
    </row>
    <row r="59483" ht="14.25" customHeight="1" s="192">
      <c r="W59483" s="239" t="n"/>
      <c r="X59483" s="239" t="n"/>
    </row>
    <row r="59484" ht="14.25" customHeight="1" s="192">
      <c r="W59484" s="235" t="n"/>
      <c r="X59484" s="235" t="n"/>
    </row>
    <row r="59485" ht="14.25" customHeight="1" s="192">
      <c r="W59485" s="235" t="n"/>
      <c r="X59485" s="235" t="n"/>
    </row>
    <row r="59486" ht="14.25" customHeight="1" s="192">
      <c r="W59486" s="239" t="n"/>
      <c r="X59486" s="239" t="n"/>
    </row>
    <row r="59487" ht="14.25" customHeight="1" s="192">
      <c r="W59487" s="235" t="n"/>
      <c r="X59487" s="235" t="n"/>
    </row>
    <row r="59488" ht="14.25" customHeight="1" s="192">
      <c r="W59488" s="239" t="n"/>
      <c r="X59488" s="239" t="n"/>
    </row>
    <row r="59490" ht="14.25" customHeight="1" s="192">
      <c r="W59490" s="235" t="n"/>
      <c r="X59490" s="235" t="n"/>
    </row>
    <row r="59491" ht="15" customHeight="1" s="192" thickBot="1">
      <c r="W59491" s="239" t="n"/>
      <c r="X59491" s="239" t="n"/>
    </row>
    <row r="59492" ht="15" customHeight="1" s="192" thickBot="1">
      <c r="W59492" s="45" t="n"/>
      <c r="X59492" s="45" t="n"/>
    </row>
    <row r="59493" ht="14.25" customHeight="1" s="192">
      <c r="W59493" s="228" t="n"/>
      <c r="X59493" s="228" t="n"/>
    </row>
    <row r="59494" ht="14.25" customHeight="1" s="192">
      <c r="W59494" s="228" t="n"/>
      <c r="X59494" s="228" t="n"/>
    </row>
    <row r="59495" ht="14.25" customHeight="1" s="192">
      <c r="W59495" s="231" t="n"/>
      <c r="X59495" s="231" t="n"/>
    </row>
    <row r="59496" ht="14.25" customHeight="1" s="192">
      <c r="W59496" s="33" t="n"/>
      <c r="X59496" s="33" t="n"/>
    </row>
    <row r="59497" ht="14.25" customHeight="1" s="192">
      <c r="W59497" s="231" t="n"/>
      <c r="X59497" s="231" t="n"/>
    </row>
    <row r="59498" ht="14.25" customHeight="1" s="192">
      <c r="W59498" s="33" t="n"/>
      <c r="X59498" s="33" t="n"/>
    </row>
    <row r="59500" ht="14.25" customHeight="1" s="192">
      <c r="W59500" s="231" t="n"/>
      <c r="X59500" s="231" t="n"/>
    </row>
    <row r="59501" ht="14.25" customHeight="1" s="192">
      <c r="W59501" s="235" t="n"/>
      <c r="X59501" s="235" t="n"/>
    </row>
    <row r="59502" ht="14.25" customHeight="1" s="192">
      <c r="W59502" s="228" t="n"/>
      <c r="X59502" s="228" t="n"/>
    </row>
    <row r="59503" ht="14.25" customHeight="1" s="192">
      <c r="W59503" s="235" t="n"/>
      <c r="X59503" s="235" t="n"/>
    </row>
    <row r="59504" ht="14.25" customHeight="1" s="192">
      <c r="W59504" s="235" t="n"/>
      <c r="X59504" s="235" t="n"/>
    </row>
    <row r="59505" ht="14.25" customHeight="1" s="192">
      <c r="W59505" s="235" t="n"/>
      <c r="X59505" s="235" t="n"/>
    </row>
    <row r="59506" ht="14.25" customHeight="1" s="192">
      <c r="W59506" s="239" t="n"/>
      <c r="X59506" s="239" t="n"/>
    </row>
    <row r="59507" ht="14.25" customHeight="1" s="192">
      <c r="W59507" s="239" t="n"/>
      <c r="X59507" s="239" t="n"/>
    </row>
    <row r="59508" ht="14.25" customHeight="1" s="192">
      <c r="W59508" s="239" t="n"/>
      <c r="X59508" s="239" t="n"/>
    </row>
    <row r="59509" ht="14.25" customHeight="1" s="192">
      <c r="W59509" s="235" t="n"/>
      <c r="X59509" s="235" t="n"/>
    </row>
    <row r="59510" ht="14.25" customHeight="1" s="192">
      <c r="W59510" s="235" t="n"/>
      <c r="X59510" s="235" t="n"/>
    </row>
    <row r="59511" ht="14.25" customHeight="1" s="192">
      <c r="W59511" s="235" t="n"/>
      <c r="X59511" s="235" t="n"/>
    </row>
    <row r="59512" ht="14.25" customHeight="1" s="192">
      <c r="W59512" s="239" t="n"/>
      <c r="X59512" s="239" t="n"/>
    </row>
    <row r="59513" ht="14.25" customHeight="1" s="192">
      <c r="W59513" s="239" t="n"/>
      <c r="X59513" s="239" t="n"/>
    </row>
    <row r="59514" ht="14.25" customHeight="1" s="192">
      <c r="W59514" s="235" t="n"/>
      <c r="X59514" s="235" t="n"/>
    </row>
    <row r="59515" ht="14.25" customHeight="1" s="192">
      <c r="W59515" s="235" t="n"/>
      <c r="X59515" s="235" t="n"/>
    </row>
    <row r="59516" ht="14.25" customHeight="1" s="192">
      <c r="W59516" s="239" t="n"/>
      <c r="X59516" s="239" t="n"/>
    </row>
    <row r="59517" ht="14.25" customHeight="1" s="192">
      <c r="W59517" s="235" t="n"/>
      <c r="X59517" s="235" t="n"/>
    </row>
    <row r="59518" ht="14.25" customHeight="1" s="192">
      <c r="W59518" s="239" t="n"/>
      <c r="X59518" s="239" t="n"/>
    </row>
    <row r="59520" ht="14.25" customHeight="1" s="192">
      <c r="W59520" s="235" t="n"/>
      <c r="X59520" s="235" t="n"/>
    </row>
    <row r="59521" ht="15" customHeight="1" s="192" thickBot="1">
      <c r="W59521" s="239" t="n"/>
      <c r="X59521" s="239" t="n"/>
    </row>
    <row r="59522" ht="15" customHeight="1" s="192" thickBot="1">
      <c r="W59522" s="45" t="n"/>
      <c r="X59522" s="45" t="n"/>
    </row>
    <row r="59523" ht="14.25" customHeight="1" s="192">
      <c r="W59523" s="228" t="n"/>
      <c r="X59523" s="228" t="n"/>
    </row>
    <row r="59524" ht="14.25" customHeight="1" s="192">
      <c r="W59524" s="228" t="n"/>
      <c r="X59524" s="228" t="n"/>
    </row>
    <row r="59525" ht="14.25" customHeight="1" s="192">
      <c r="W59525" s="231" t="n"/>
      <c r="X59525" s="231" t="n"/>
    </row>
    <row r="59526" ht="14.25" customHeight="1" s="192">
      <c r="W59526" s="33" t="n"/>
      <c r="X59526" s="33" t="n"/>
    </row>
    <row r="59527" ht="14.25" customHeight="1" s="192">
      <c r="W59527" s="231" t="n"/>
      <c r="X59527" s="231" t="n"/>
    </row>
    <row r="59528" ht="14.25" customHeight="1" s="192">
      <c r="W59528" s="33" t="n"/>
      <c r="X59528" s="33" t="n"/>
    </row>
    <row r="59530" ht="14.25" customHeight="1" s="192">
      <c r="W59530" s="231" t="n"/>
      <c r="X59530" s="231" t="n"/>
    </row>
    <row r="59531" ht="14.25" customHeight="1" s="192">
      <c r="W59531" s="235" t="n"/>
      <c r="X59531" s="235" t="n"/>
    </row>
    <row r="59532" ht="14.25" customHeight="1" s="192">
      <c r="W59532" s="228" t="n"/>
      <c r="X59532" s="228" t="n"/>
    </row>
    <row r="59533" ht="14.25" customHeight="1" s="192">
      <c r="W59533" s="235" t="n"/>
      <c r="X59533" s="235" t="n"/>
    </row>
    <row r="59534" ht="14.25" customHeight="1" s="192">
      <c r="W59534" s="235" t="n"/>
      <c r="X59534" s="235" t="n"/>
    </row>
    <row r="59535" ht="14.25" customHeight="1" s="192">
      <c r="W59535" s="235" t="n"/>
      <c r="X59535" s="235" t="n"/>
    </row>
    <row r="59536" ht="14.25" customHeight="1" s="192">
      <c r="W59536" s="239" t="n"/>
      <c r="X59536" s="239" t="n"/>
    </row>
    <row r="59537" ht="14.25" customHeight="1" s="192">
      <c r="W59537" s="239" t="n"/>
      <c r="X59537" s="239" t="n"/>
    </row>
    <row r="59538" ht="14.25" customHeight="1" s="192">
      <c r="W59538" s="239" t="n"/>
      <c r="X59538" s="239" t="n"/>
    </row>
    <row r="59539" ht="14.25" customHeight="1" s="192">
      <c r="W59539" s="235" t="n"/>
      <c r="X59539" s="235" t="n"/>
    </row>
    <row r="59540" ht="14.25" customHeight="1" s="192">
      <c r="W59540" s="235" t="n"/>
      <c r="X59540" s="235" t="n"/>
    </row>
    <row r="59541" ht="14.25" customHeight="1" s="192">
      <c r="W59541" s="235" t="n"/>
      <c r="X59541" s="235" t="n"/>
    </row>
    <row r="59542" ht="14.25" customHeight="1" s="192">
      <c r="W59542" s="239" t="n"/>
      <c r="X59542" s="239" t="n"/>
    </row>
    <row r="59543" ht="14.25" customHeight="1" s="192">
      <c r="W59543" s="239" t="n"/>
      <c r="X59543" s="239" t="n"/>
    </row>
    <row r="59544" ht="14.25" customHeight="1" s="192">
      <c r="W59544" s="235" t="n"/>
      <c r="X59544" s="235" t="n"/>
    </row>
    <row r="59545" ht="14.25" customHeight="1" s="192">
      <c r="W59545" s="235" t="n"/>
      <c r="X59545" s="235" t="n"/>
    </row>
    <row r="59546" ht="14.25" customHeight="1" s="192">
      <c r="W59546" s="239" t="n"/>
      <c r="X59546" s="239" t="n"/>
    </row>
    <row r="59547" ht="14.25" customHeight="1" s="192">
      <c r="W59547" s="235" t="n"/>
      <c r="X59547" s="235" t="n"/>
    </row>
    <row r="59548" ht="14.25" customHeight="1" s="192">
      <c r="W59548" s="239" t="n"/>
      <c r="X59548" s="239" t="n"/>
    </row>
    <row r="59550" ht="14.25" customHeight="1" s="192">
      <c r="W59550" s="235" t="n"/>
      <c r="X59550" s="235" t="n"/>
    </row>
    <row r="59551" ht="15" customHeight="1" s="192" thickBot="1">
      <c r="W59551" s="239" t="n"/>
      <c r="X59551" s="239" t="n"/>
    </row>
    <row r="59552" ht="15" customHeight="1" s="192" thickBot="1">
      <c r="W59552" s="45" t="n"/>
      <c r="X59552" s="45" t="n"/>
    </row>
    <row r="59553" ht="14.25" customHeight="1" s="192">
      <c r="W59553" s="228" t="n"/>
      <c r="X59553" s="228" t="n"/>
    </row>
    <row r="59554" ht="14.25" customHeight="1" s="192">
      <c r="W59554" s="228" t="n"/>
      <c r="X59554" s="228" t="n"/>
    </row>
    <row r="59555" ht="14.25" customHeight="1" s="192">
      <c r="W59555" s="231" t="n"/>
      <c r="X59555" s="231" t="n"/>
    </row>
    <row r="59556" ht="14.25" customHeight="1" s="192">
      <c r="W59556" s="33" t="n"/>
      <c r="X59556" s="33" t="n"/>
    </row>
    <row r="59557" ht="14.25" customHeight="1" s="192">
      <c r="W59557" s="231" t="n"/>
      <c r="X59557" s="231" t="n"/>
    </row>
    <row r="59558" ht="14.25" customHeight="1" s="192">
      <c r="W59558" s="33" t="n"/>
      <c r="X59558" s="33" t="n"/>
    </row>
    <row r="59560" ht="14.25" customHeight="1" s="192">
      <c r="W59560" s="231" t="n"/>
      <c r="X59560" s="231" t="n"/>
    </row>
    <row r="59561" ht="14.25" customHeight="1" s="192">
      <c r="W59561" s="235" t="n"/>
      <c r="X59561" s="235" t="n"/>
    </row>
    <row r="59562" ht="14.25" customHeight="1" s="192">
      <c r="W59562" s="228" t="n"/>
      <c r="X59562" s="228" t="n"/>
    </row>
    <row r="59563" ht="14.25" customHeight="1" s="192">
      <c r="W59563" s="235" t="n"/>
      <c r="X59563" s="235" t="n"/>
    </row>
    <row r="59564" ht="14.25" customHeight="1" s="192">
      <c r="W59564" s="235" t="n"/>
      <c r="X59564" s="235" t="n"/>
    </row>
    <row r="59565" ht="14.25" customHeight="1" s="192">
      <c r="W59565" s="235" t="n"/>
      <c r="X59565" s="235" t="n"/>
    </row>
    <row r="59566" ht="14.25" customHeight="1" s="192">
      <c r="W59566" s="239" t="n"/>
      <c r="X59566" s="239" t="n"/>
    </row>
    <row r="59567" ht="14.25" customHeight="1" s="192">
      <c r="W59567" s="239" t="n"/>
      <c r="X59567" s="239" t="n"/>
    </row>
    <row r="59568" ht="14.25" customHeight="1" s="192">
      <c r="W59568" s="239" t="n"/>
      <c r="X59568" s="239" t="n"/>
    </row>
    <row r="59569" ht="14.25" customHeight="1" s="192">
      <c r="W59569" s="235" t="n"/>
      <c r="X59569" s="235" t="n"/>
    </row>
    <row r="59570" ht="14.25" customHeight="1" s="192">
      <c r="W59570" s="235" t="n"/>
      <c r="X59570" s="235" t="n"/>
    </row>
    <row r="59571" ht="14.25" customHeight="1" s="192">
      <c r="W59571" s="235" t="n"/>
      <c r="X59571" s="235" t="n"/>
    </row>
    <row r="59572" ht="14.25" customHeight="1" s="192">
      <c r="W59572" s="239" t="n"/>
      <c r="X59572" s="239" t="n"/>
    </row>
    <row r="59573" ht="14.25" customHeight="1" s="192">
      <c r="W59573" s="239" t="n"/>
      <c r="X59573" s="239" t="n"/>
    </row>
    <row r="59574" ht="14.25" customHeight="1" s="192">
      <c r="W59574" s="235" t="n"/>
      <c r="X59574" s="235" t="n"/>
    </row>
    <row r="59575" ht="14.25" customHeight="1" s="192">
      <c r="W59575" s="235" t="n"/>
      <c r="X59575" s="235" t="n"/>
    </row>
    <row r="59576" ht="14.25" customHeight="1" s="192">
      <c r="W59576" s="239" t="n"/>
      <c r="X59576" s="239" t="n"/>
    </row>
    <row r="59577" ht="14.25" customHeight="1" s="192">
      <c r="W59577" s="235" t="n"/>
      <c r="X59577" s="235" t="n"/>
    </row>
    <row r="59578" ht="14.25" customHeight="1" s="192">
      <c r="W59578" s="239" t="n"/>
      <c r="X59578" s="239" t="n"/>
    </row>
    <row r="59580" ht="14.25" customHeight="1" s="192">
      <c r="W59580" s="235" t="n"/>
      <c r="X59580" s="235" t="n"/>
    </row>
    <row r="59581" ht="15" customHeight="1" s="192" thickBot="1">
      <c r="W59581" s="239" t="n"/>
      <c r="X59581" s="239" t="n"/>
    </row>
    <row r="59582" ht="15" customHeight="1" s="192" thickBot="1">
      <c r="W59582" s="45" t="n"/>
      <c r="X59582" s="45" t="n"/>
    </row>
    <row r="59583" ht="14.25" customHeight="1" s="192">
      <c r="W59583" s="228" t="n"/>
      <c r="X59583" s="228" t="n"/>
    </row>
    <row r="59584" ht="14.25" customHeight="1" s="192">
      <c r="W59584" s="228" t="n"/>
      <c r="X59584" s="228" t="n"/>
    </row>
    <row r="59585" ht="14.25" customHeight="1" s="192">
      <c r="W59585" s="231" t="n"/>
      <c r="X59585" s="231" t="n"/>
    </row>
    <row r="59586" ht="14.25" customHeight="1" s="192">
      <c r="W59586" s="33" t="n"/>
      <c r="X59586" s="33" t="n"/>
    </row>
    <row r="59587" ht="14.25" customHeight="1" s="192">
      <c r="W59587" s="231" t="n"/>
      <c r="X59587" s="231" t="n"/>
    </row>
    <row r="59588" ht="14.25" customHeight="1" s="192">
      <c r="W59588" s="33" t="n"/>
      <c r="X59588" s="33" t="n"/>
    </row>
    <row r="59590" ht="14.25" customHeight="1" s="192">
      <c r="W59590" s="231" t="n"/>
      <c r="X59590" s="231" t="n"/>
    </row>
    <row r="59591" ht="14.25" customHeight="1" s="192">
      <c r="W59591" s="235" t="n"/>
      <c r="X59591" s="235" t="n"/>
    </row>
    <row r="59592" ht="14.25" customHeight="1" s="192">
      <c r="W59592" s="228" t="n"/>
      <c r="X59592" s="228" t="n"/>
    </row>
    <row r="59593" ht="14.25" customHeight="1" s="192">
      <c r="W59593" s="235" t="n"/>
      <c r="X59593" s="235" t="n"/>
    </row>
    <row r="59594" ht="14.25" customHeight="1" s="192">
      <c r="W59594" s="235" t="n"/>
      <c r="X59594" s="235" t="n"/>
    </row>
    <row r="59595" ht="14.25" customHeight="1" s="192">
      <c r="W59595" s="235" t="n"/>
      <c r="X59595" s="235" t="n"/>
    </row>
    <row r="59596" ht="14.25" customHeight="1" s="192">
      <c r="W59596" s="239" t="n"/>
      <c r="X59596" s="239" t="n"/>
    </row>
    <row r="59597" ht="14.25" customHeight="1" s="192">
      <c r="W59597" s="239" t="n"/>
      <c r="X59597" s="239" t="n"/>
    </row>
    <row r="59598" ht="14.25" customHeight="1" s="192">
      <c r="W59598" s="239" t="n"/>
      <c r="X59598" s="239" t="n"/>
    </row>
    <row r="59599" ht="14.25" customHeight="1" s="192">
      <c r="W59599" s="235" t="n"/>
      <c r="X59599" s="235" t="n"/>
    </row>
    <row r="59600" ht="14.25" customHeight="1" s="192">
      <c r="W59600" s="235" t="n"/>
      <c r="X59600" s="235" t="n"/>
    </row>
    <row r="59601" ht="14.25" customHeight="1" s="192">
      <c r="W59601" s="235" t="n"/>
      <c r="X59601" s="235" t="n"/>
    </row>
    <row r="59602" ht="14.25" customHeight="1" s="192">
      <c r="W59602" s="239" t="n"/>
      <c r="X59602" s="239" t="n"/>
    </row>
    <row r="59603" ht="14.25" customHeight="1" s="192">
      <c r="W59603" s="239" t="n"/>
      <c r="X59603" s="239" t="n"/>
    </row>
    <row r="59604" ht="14.25" customHeight="1" s="192">
      <c r="W59604" s="235" t="n"/>
      <c r="X59604" s="235" t="n"/>
    </row>
    <row r="59605" ht="14.25" customHeight="1" s="192">
      <c r="W59605" s="235" t="n"/>
      <c r="X59605" s="235" t="n"/>
    </row>
    <row r="59606" ht="14.25" customHeight="1" s="192">
      <c r="W59606" s="239" t="n"/>
      <c r="X59606" s="239" t="n"/>
    </row>
    <row r="59607" ht="14.25" customHeight="1" s="192">
      <c r="W59607" s="235" t="n"/>
      <c r="X59607" s="235" t="n"/>
    </row>
    <row r="59608" ht="14.25" customHeight="1" s="192">
      <c r="W59608" s="239" t="n"/>
      <c r="X59608" s="239" t="n"/>
    </row>
    <row r="59610" ht="14.25" customHeight="1" s="192">
      <c r="W59610" s="235" t="n"/>
      <c r="X59610" s="235" t="n"/>
    </row>
    <row r="59611" ht="15" customHeight="1" s="192" thickBot="1">
      <c r="W59611" s="239" t="n"/>
      <c r="X59611" s="239" t="n"/>
    </row>
    <row r="59612" ht="15" customHeight="1" s="192" thickBot="1">
      <c r="W59612" s="45" t="n"/>
      <c r="X59612" s="45" t="n"/>
    </row>
    <row r="59613" ht="14.25" customHeight="1" s="192">
      <c r="W59613" s="228" t="n"/>
      <c r="X59613" s="228" t="n"/>
    </row>
    <row r="59614" ht="14.25" customHeight="1" s="192">
      <c r="W59614" s="228" t="n"/>
      <c r="X59614" s="228" t="n"/>
    </row>
    <row r="59615" ht="14.25" customHeight="1" s="192">
      <c r="W59615" s="231" t="n"/>
      <c r="X59615" s="231" t="n"/>
    </row>
    <row r="59616" ht="14.25" customHeight="1" s="192">
      <c r="W59616" s="33" t="n"/>
      <c r="X59616" s="33" t="n"/>
    </row>
    <row r="59617" ht="14.25" customHeight="1" s="192">
      <c r="W59617" s="231" t="n"/>
      <c r="X59617" s="231" t="n"/>
    </row>
    <row r="59618" ht="14.25" customHeight="1" s="192">
      <c r="W59618" s="33" t="n"/>
      <c r="X59618" s="33" t="n"/>
    </row>
    <row r="59620" ht="14.25" customHeight="1" s="192">
      <c r="W59620" s="231" t="n"/>
      <c r="X59620" s="231" t="n"/>
    </row>
    <row r="59621" ht="14.25" customHeight="1" s="192">
      <c r="W59621" s="235" t="n"/>
      <c r="X59621" s="235" t="n"/>
    </row>
    <row r="59622" ht="14.25" customHeight="1" s="192">
      <c r="W59622" s="228" t="n"/>
      <c r="X59622" s="228" t="n"/>
    </row>
    <row r="59623" ht="14.25" customHeight="1" s="192">
      <c r="W59623" s="235" t="n"/>
      <c r="X59623" s="235" t="n"/>
    </row>
    <row r="59624" ht="14.25" customHeight="1" s="192">
      <c r="W59624" s="235" t="n"/>
      <c r="X59624" s="235" t="n"/>
    </row>
    <row r="59625" ht="14.25" customHeight="1" s="192">
      <c r="W59625" s="235" t="n"/>
      <c r="X59625" s="235" t="n"/>
    </row>
    <row r="59626" ht="14.25" customHeight="1" s="192">
      <c r="W59626" s="239" t="n"/>
      <c r="X59626" s="239" t="n"/>
    </row>
    <row r="59627" ht="14.25" customHeight="1" s="192">
      <c r="W59627" s="239" t="n"/>
      <c r="X59627" s="239" t="n"/>
    </row>
    <row r="59628" ht="14.25" customHeight="1" s="192">
      <c r="W59628" s="239" t="n"/>
      <c r="X59628" s="239" t="n"/>
    </row>
    <row r="59629" ht="14.25" customHeight="1" s="192">
      <c r="W59629" s="235" t="n"/>
      <c r="X59629" s="235" t="n"/>
    </row>
    <row r="59630" ht="14.25" customHeight="1" s="192">
      <c r="W59630" s="235" t="n"/>
      <c r="X59630" s="235" t="n"/>
    </row>
    <row r="59631" ht="14.25" customHeight="1" s="192">
      <c r="W59631" s="235" t="n"/>
      <c r="X59631" s="235" t="n"/>
    </row>
    <row r="59632" ht="14.25" customHeight="1" s="192">
      <c r="W59632" s="239" t="n"/>
      <c r="X59632" s="239" t="n"/>
    </row>
    <row r="59633" ht="14.25" customHeight="1" s="192">
      <c r="W59633" s="239" t="n"/>
      <c r="X59633" s="239" t="n"/>
    </row>
    <row r="59634" ht="14.25" customHeight="1" s="192">
      <c r="W59634" s="235" t="n"/>
      <c r="X59634" s="235" t="n"/>
    </row>
    <row r="59635" ht="14.25" customHeight="1" s="192">
      <c r="W59635" s="235" t="n"/>
      <c r="X59635" s="235" t="n"/>
    </row>
    <row r="59636" ht="14.25" customHeight="1" s="192">
      <c r="W59636" s="239" t="n"/>
      <c r="X59636" s="239" t="n"/>
    </row>
    <row r="59637" ht="14.25" customHeight="1" s="192">
      <c r="W59637" s="235" t="n"/>
      <c r="X59637" s="235" t="n"/>
    </row>
    <row r="59638" ht="14.25" customHeight="1" s="192">
      <c r="W59638" s="239" t="n"/>
      <c r="X59638" s="239" t="n"/>
    </row>
    <row r="59640" ht="14.25" customHeight="1" s="192">
      <c r="W59640" s="235" t="n"/>
      <c r="X59640" s="235" t="n"/>
    </row>
    <row r="59641" ht="15" customHeight="1" s="192" thickBot="1">
      <c r="W59641" s="239" t="n"/>
      <c r="X59641" s="239" t="n"/>
    </row>
    <row r="59642" ht="15" customHeight="1" s="192" thickBot="1">
      <c r="W59642" s="45" t="n"/>
      <c r="X59642" s="45" t="n"/>
    </row>
    <row r="59643" ht="14.25" customHeight="1" s="192">
      <c r="W59643" s="228" t="n"/>
      <c r="X59643" s="228" t="n"/>
    </row>
    <row r="59644" ht="14.25" customHeight="1" s="192">
      <c r="W59644" s="228" t="n"/>
      <c r="X59644" s="228" t="n"/>
    </row>
    <row r="59645" ht="14.25" customHeight="1" s="192">
      <c r="W59645" s="231" t="n"/>
      <c r="X59645" s="231" t="n"/>
    </row>
    <row r="59646" ht="14.25" customHeight="1" s="192">
      <c r="W59646" s="33" t="n"/>
      <c r="X59646" s="33" t="n"/>
    </row>
    <row r="59647" ht="14.25" customHeight="1" s="192">
      <c r="W59647" s="231" t="n"/>
      <c r="X59647" s="231" t="n"/>
    </row>
    <row r="59648" ht="14.25" customHeight="1" s="192">
      <c r="W59648" s="33" t="n"/>
      <c r="X59648" s="33" t="n"/>
    </row>
    <row r="59650" ht="14.25" customHeight="1" s="192">
      <c r="W59650" s="231" t="n"/>
      <c r="X59650" s="231" t="n"/>
    </row>
    <row r="59651" ht="14.25" customHeight="1" s="192">
      <c r="W59651" s="235" t="n"/>
      <c r="X59651" s="235" t="n"/>
    </row>
    <row r="59652" ht="14.25" customHeight="1" s="192">
      <c r="W59652" s="228" t="n"/>
      <c r="X59652" s="228" t="n"/>
    </row>
    <row r="59653" ht="14.25" customHeight="1" s="192">
      <c r="W59653" s="235" t="n"/>
      <c r="X59653" s="235" t="n"/>
    </row>
    <row r="59654" ht="14.25" customHeight="1" s="192">
      <c r="W59654" s="235" t="n"/>
      <c r="X59654" s="235" t="n"/>
    </row>
    <row r="59655" ht="14.25" customHeight="1" s="192">
      <c r="W59655" s="235" t="n"/>
      <c r="X59655" s="235" t="n"/>
    </row>
    <row r="59656" ht="14.25" customHeight="1" s="192">
      <c r="W59656" s="239" t="n"/>
      <c r="X59656" s="239" t="n"/>
    </row>
    <row r="59657" ht="14.25" customHeight="1" s="192">
      <c r="W59657" s="239" t="n"/>
      <c r="X59657" s="239" t="n"/>
    </row>
    <row r="59658" ht="14.25" customHeight="1" s="192">
      <c r="W59658" s="239" t="n"/>
      <c r="X59658" s="239" t="n"/>
    </row>
    <row r="59659" ht="14.25" customHeight="1" s="192">
      <c r="W59659" s="235" t="n"/>
      <c r="X59659" s="235" t="n"/>
    </row>
    <row r="59660" ht="14.25" customHeight="1" s="192">
      <c r="W59660" s="235" t="n"/>
      <c r="X59660" s="235" t="n"/>
    </row>
    <row r="59661" ht="14.25" customHeight="1" s="192">
      <c r="W59661" s="235" t="n"/>
      <c r="X59661" s="235" t="n"/>
    </row>
    <row r="59662" ht="14.25" customHeight="1" s="192">
      <c r="W59662" s="239" t="n"/>
      <c r="X59662" s="239" t="n"/>
    </row>
    <row r="59663" ht="14.25" customHeight="1" s="192">
      <c r="W59663" s="239" t="n"/>
      <c r="X59663" s="239" t="n"/>
    </row>
    <row r="59664" ht="14.25" customHeight="1" s="192">
      <c r="W59664" s="235" t="n"/>
      <c r="X59664" s="235" t="n"/>
    </row>
    <row r="59665" ht="14.25" customHeight="1" s="192">
      <c r="W59665" s="235" t="n"/>
      <c r="X59665" s="235" t="n"/>
    </row>
    <row r="59666" ht="14.25" customHeight="1" s="192">
      <c r="W59666" s="239" t="n"/>
      <c r="X59666" s="239" t="n"/>
    </row>
    <row r="59667" ht="14.25" customHeight="1" s="192">
      <c r="W59667" s="235" t="n"/>
      <c r="X59667" s="235" t="n"/>
    </row>
    <row r="59668" ht="14.25" customHeight="1" s="192">
      <c r="W59668" s="239" t="n"/>
      <c r="X59668" s="239" t="n"/>
    </row>
    <row r="59670" ht="14.25" customHeight="1" s="192">
      <c r="W59670" s="235" t="n"/>
      <c r="X59670" s="235" t="n"/>
    </row>
    <row r="59671" ht="15" customHeight="1" s="192" thickBot="1">
      <c r="W59671" s="239" t="n"/>
      <c r="X59671" s="239" t="n"/>
    </row>
    <row r="59672" ht="15" customHeight="1" s="192" thickBot="1">
      <c r="W59672" s="45" t="n"/>
      <c r="X59672" s="45" t="n"/>
    </row>
    <row r="59673" ht="14.25" customHeight="1" s="192">
      <c r="W59673" s="228" t="n"/>
      <c r="X59673" s="228" t="n"/>
    </row>
    <row r="59674" ht="14.25" customHeight="1" s="192">
      <c r="W59674" s="228" t="n"/>
      <c r="X59674" s="228" t="n"/>
    </row>
    <row r="59675" ht="14.25" customHeight="1" s="192">
      <c r="W59675" s="231" t="n"/>
      <c r="X59675" s="231" t="n"/>
    </row>
    <row r="59676" ht="14.25" customHeight="1" s="192">
      <c r="W59676" s="33" t="n"/>
      <c r="X59676" s="33" t="n"/>
    </row>
    <row r="59677" ht="14.25" customHeight="1" s="192">
      <c r="W59677" s="231" t="n"/>
      <c r="X59677" s="231" t="n"/>
    </row>
    <row r="59678" ht="14.25" customHeight="1" s="192">
      <c r="W59678" s="33" t="n"/>
      <c r="X59678" s="33" t="n"/>
    </row>
    <row r="59680" ht="14.25" customHeight="1" s="192">
      <c r="W59680" s="231" t="n"/>
      <c r="X59680" s="231" t="n"/>
    </row>
    <row r="59681" ht="14.25" customHeight="1" s="192">
      <c r="W59681" s="235" t="n"/>
      <c r="X59681" s="235" t="n"/>
    </row>
    <row r="59682" ht="14.25" customHeight="1" s="192">
      <c r="W59682" s="228" t="n"/>
      <c r="X59682" s="228" t="n"/>
    </row>
    <row r="59683" ht="14.25" customHeight="1" s="192">
      <c r="W59683" s="235" t="n"/>
      <c r="X59683" s="235" t="n"/>
    </row>
    <row r="59684" ht="14.25" customHeight="1" s="192">
      <c r="W59684" s="235" t="n"/>
      <c r="X59684" s="235" t="n"/>
    </row>
    <row r="59685" ht="14.25" customHeight="1" s="192">
      <c r="W59685" s="235" t="n"/>
      <c r="X59685" s="235" t="n"/>
    </row>
    <row r="59686" ht="14.25" customHeight="1" s="192">
      <c r="W59686" s="239" t="n"/>
      <c r="X59686" s="239" t="n"/>
    </row>
    <row r="59687" ht="14.25" customHeight="1" s="192">
      <c r="W59687" s="239" t="n"/>
      <c r="X59687" s="239" t="n"/>
    </row>
    <row r="59688" ht="14.25" customHeight="1" s="192">
      <c r="W59688" s="239" t="n"/>
      <c r="X59688" s="239" t="n"/>
    </row>
    <row r="59689" ht="14.25" customHeight="1" s="192">
      <c r="W59689" s="235" t="n"/>
      <c r="X59689" s="235" t="n"/>
    </row>
    <row r="59690" ht="14.25" customHeight="1" s="192">
      <c r="W59690" s="235" t="n"/>
      <c r="X59690" s="235" t="n"/>
    </row>
    <row r="59691" ht="14.25" customHeight="1" s="192">
      <c r="W59691" s="235" t="n"/>
      <c r="X59691" s="235" t="n"/>
    </row>
    <row r="59692" ht="14.25" customHeight="1" s="192">
      <c r="W59692" s="239" t="n"/>
      <c r="X59692" s="239" t="n"/>
    </row>
    <row r="59693" ht="14.25" customHeight="1" s="192">
      <c r="W59693" s="239" t="n"/>
      <c r="X59693" s="239" t="n"/>
    </row>
    <row r="59694" ht="14.25" customHeight="1" s="192">
      <c r="W59694" s="235" t="n"/>
      <c r="X59694" s="235" t="n"/>
    </row>
    <row r="59695" ht="14.25" customHeight="1" s="192">
      <c r="W59695" s="235" t="n"/>
      <c r="X59695" s="235" t="n"/>
    </row>
    <row r="59696" ht="14.25" customHeight="1" s="192">
      <c r="W59696" s="239" t="n"/>
      <c r="X59696" s="239" t="n"/>
    </row>
    <row r="59697" ht="14.25" customHeight="1" s="192">
      <c r="W59697" s="235" t="n"/>
      <c r="X59697" s="235" t="n"/>
    </row>
    <row r="59698" ht="14.25" customHeight="1" s="192">
      <c r="W59698" s="239" t="n"/>
      <c r="X59698" s="239" t="n"/>
    </row>
    <row r="59700" ht="14.25" customHeight="1" s="192">
      <c r="W59700" s="235" t="n"/>
      <c r="X59700" s="235" t="n"/>
    </row>
    <row r="59701" ht="15" customHeight="1" s="192" thickBot="1">
      <c r="W59701" s="239" t="n"/>
      <c r="X59701" s="239" t="n"/>
    </row>
    <row r="59702" ht="15" customHeight="1" s="192" thickBot="1">
      <c r="W59702" s="45" t="n"/>
      <c r="X59702" s="45" t="n"/>
    </row>
    <row r="59703" ht="14.25" customHeight="1" s="192">
      <c r="W59703" s="228" t="n"/>
      <c r="X59703" s="228" t="n"/>
    </row>
    <row r="59704" ht="14.25" customHeight="1" s="192">
      <c r="W59704" s="228" t="n"/>
      <c r="X59704" s="228" t="n"/>
    </row>
    <row r="59705" ht="14.25" customHeight="1" s="192">
      <c r="W59705" s="231" t="n"/>
      <c r="X59705" s="231" t="n"/>
    </row>
    <row r="59706" ht="14.25" customHeight="1" s="192">
      <c r="W59706" s="33" t="n"/>
      <c r="X59706" s="33" t="n"/>
    </row>
    <row r="59707" ht="14.25" customHeight="1" s="192">
      <c r="W59707" s="231" t="n"/>
      <c r="X59707" s="231" t="n"/>
    </row>
    <row r="59708" ht="14.25" customHeight="1" s="192">
      <c r="W59708" s="33" t="n"/>
      <c r="X59708" s="33" t="n"/>
    </row>
    <row r="59710" ht="14.25" customHeight="1" s="192">
      <c r="W59710" s="231" t="n"/>
      <c r="X59710" s="231" t="n"/>
    </row>
    <row r="59711" ht="14.25" customHeight="1" s="192">
      <c r="W59711" s="235" t="n"/>
      <c r="X59711" s="235" t="n"/>
    </row>
    <row r="59712" ht="14.25" customHeight="1" s="192">
      <c r="W59712" s="228" t="n"/>
      <c r="X59712" s="228" t="n"/>
    </row>
    <row r="59713" ht="14.25" customHeight="1" s="192">
      <c r="W59713" s="235" t="n"/>
      <c r="X59713" s="235" t="n"/>
    </row>
    <row r="59714" ht="14.25" customHeight="1" s="192">
      <c r="W59714" s="235" t="n"/>
      <c r="X59714" s="235" t="n"/>
    </row>
    <row r="59715" ht="14.25" customHeight="1" s="192">
      <c r="W59715" s="235" t="n"/>
      <c r="X59715" s="235" t="n"/>
    </row>
    <row r="59716" ht="14.25" customHeight="1" s="192">
      <c r="W59716" s="239" t="n"/>
      <c r="X59716" s="239" t="n"/>
    </row>
    <row r="59717" ht="14.25" customHeight="1" s="192">
      <c r="W59717" s="239" t="n"/>
      <c r="X59717" s="239" t="n"/>
    </row>
    <row r="59718" ht="14.25" customHeight="1" s="192">
      <c r="W59718" s="239" t="n"/>
      <c r="X59718" s="239" t="n"/>
    </row>
    <row r="59719" ht="14.25" customHeight="1" s="192">
      <c r="W59719" s="235" t="n"/>
      <c r="X59719" s="235" t="n"/>
    </row>
    <row r="59720" ht="14.25" customHeight="1" s="192">
      <c r="W59720" s="235" t="n"/>
      <c r="X59720" s="235" t="n"/>
    </row>
    <row r="59721" ht="14.25" customHeight="1" s="192">
      <c r="W59721" s="235" t="n"/>
      <c r="X59721" s="235" t="n"/>
    </row>
    <row r="59722" ht="14.25" customHeight="1" s="192">
      <c r="W59722" s="239" t="n"/>
      <c r="X59722" s="239" t="n"/>
    </row>
    <row r="59723" ht="14.25" customHeight="1" s="192">
      <c r="W59723" s="239" t="n"/>
      <c r="X59723" s="239" t="n"/>
    </row>
    <row r="59724" ht="14.25" customHeight="1" s="192">
      <c r="W59724" s="235" t="n"/>
      <c r="X59724" s="235" t="n"/>
    </row>
    <row r="59725" ht="14.25" customHeight="1" s="192">
      <c r="W59725" s="235" t="n"/>
      <c r="X59725" s="235" t="n"/>
    </row>
    <row r="59726" ht="14.25" customHeight="1" s="192">
      <c r="W59726" s="239" t="n"/>
      <c r="X59726" s="239" t="n"/>
    </row>
    <row r="59727" ht="14.25" customHeight="1" s="192">
      <c r="W59727" s="235" t="n"/>
      <c r="X59727" s="235" t="n"/>
    </row>
    <row r="59728" ht="14.25" customHeight="1" s="192">
      <c r="W59728" s="239" t="n"/>
      <c r="X59728" s="239" t="n"/>
    </row>
    <row r="59730" ht="14.25" customHeight="1" s="192">
      <c r="W59730" s="235" t="n"/>
      <c r="X59730" s="235" t="n"/>
    </row>
    <row r="59731" ht="15" customHeight="1" s="192" thickBot="1">
      <c r="W59731" s="239" t="n"/>
      <c r="X59731" s="239" t="n"/>
    </row>
    <row r="59732" ht="15" customHeight="1" s="192" thickBot="1">
      <c r="W59732" s="45" t="n"/>
      <c r="X59732" s="45" t="n"/>
    </row>
    <row r="59733" ht="14.25" customHeight="1" s="192">
      <c r="W59733" s="228" t="n"/>
      <c r="X59733" s="228" t="n"/>
    </row>
    <row r="59734" ht="14.25" customHeight="1" s="192">
      <c r="W59734" s="228" t="n"/>
      <c r="X59734" s="228" t="n"/>
    </row>
    <row r="59735" ht="14.25" customHeight="1" s="192">
      <c r="W59735" s="231" t="n"/>
      <c r="X59735" s="231" t="n"/>
    </row>
    <row r="59736" ht="14.25" customHeight="1" s="192">
      <c r="W59736" s="33" t="n"/>
      <c r="X59736" s="33" t="n"/>
    </row>
    <row r="59737" ht="14.25" customHeight="1" s="192">
      <c r="W59737" s="231" t="n"/>
      <c r="X59737" s="231" t="n"/>
    </row>
    <row r="59738" ht="14.25" customHeight="1" s="192">
      <c r="W59738" s="33" t="n"/>
      <c r="X59738" s="33" t="n"/>
    </row>
    <row r="59740" ht="14.25" customHeight="1" s="192">
      <c r="W59740" s="231" t="n"/>
      <c r="X59740" s="231" t="n"/>
    </row>
    <row r="59741" ht="14.25" customHeight="1" s="192">
      <c r="W59741" s="235" t="n"/>
      <c r="X59741" s="235" t="n"/>
    </row>
    <row r="59742" ht="14.25" customHeight="1" s="192">
      <c r="W59742" s="228" t="n"/>
      <c r="X59742" s="228" t="n"/>
    </row>
    <row r="59743" ht="14.25" customHeight="1" s="192">
      <c r="W59743" s="235" t="n"/>
      <c r="X59743" s="235" t="n"/>
    </row>
    <row r="59744" ht="14.25" customHeight="1" s="192">
      <c r="W59744" s="235" t="n"/>
      <c r="X59744" s="235" t="n"/>
    </row>
    <row r="59745" ht="14.25" customHeight="1" s="192">
      <c r="W59745" s="235" t="n"/>
      <c r="X59745" s="235" t="n"/>
    </row>
    <row r="59746" ht="14.25" customHeight="1" s="192">
      <c r="W59746" s="239" t="n"/>
      <c r="X59746" s="239" t="n"/>
    </row>
    <row r="59747" ht="14.25" customHeight="1" s="192">
      <c r="W59747" s="239" t="n"/>
      <c r="X59747" s="239" t="n"/>
    </row>
    <row r="59748" ht="14.25" customHeight="1" s="192">
      <c r="W59748" s="239" t="n"/>
      <c r="X59748" s="239" t="n"/>
    </row>
    <row r="59749" ht="14.25" customHeight="1" s="192">
      <c r="W59749" s="235" t="n"/>
      <c r="X59749" s="235" t="n"/>
    </row>
    <row r="59750" ht="14.25" customHeight="1" s="192">
      <c r="W59750" s="235" t="n"/>
      <c r="X59750" s="235" t="n"/>
    </row>
    <row r="59751" ht="14.25" customHeight="1" s="192">
      <c r="W59751" s="235" t="n"/>
      <c r="X59751" s="235" t="n"/>
    </row>
    <row r="59752" ht="14.25" customHeight="1" s="192">
      <c r="W59752" s="239" t="n"/>
      <c r="X59752" s="239" t="n"/>
    </row>
    <row r="59753" ht="14.25" customHeight="1" s="192">
      <c r="W59753" s="239" t="n"/>
      <c r="X59753" s="239" t="n"/>
    </row>
    <row r="59754" ht="14.25" customHeight="1" s="192">
      <c r="W59754" s="235" t="n"/>
      <c r="X59754" s="235" t="n"/>
    </row>
    <row r="59755" ht="14.25" customHeight="1" s="192">
      <c r="W59755" s="235" t="n"/>
      <c r="X59755" s="235" t="n"/>
    </row>
    <row r="59756" ht="14.25" customHeight="1" s="192">
      <c r="W59756" s="239" t="n"/>
      <c r="X59756" s="239" t="n"/>
    </row>
    <row r="59757" ht="14.25" customHeight="1" s="192">
      <c r="W59757" s="235" t="n"/>
      <c r="X59757" s="235" t="n"/>
    </row>
    <row r="59758" ht="14.25" customHeight="1" s="192">
      <c r="W59758" s="239" t="n"/>
      <c r="X59758" s="239" t="n"/>
    </row>
    <row r="59760" ht="14.25" customHeight="1" s="192">
      <c r="W59760" s="235" t="n"/>
      <c r="X59760" s="235" t="n"/>
    </row>
    <row r="59761" ht="15" customHeight="1" s="192" thickBot="1">
      <c r="W59761" s="239" t="n"/>
      <c r="X59761" s="239" t="n"/>
    </row>
    <row r="59762" ht="15" customHeight="1" s="192" thickBot="1">
      <c r="W59762" s="45" t="n"/>
      <c r="X59762" s="45" t="n"/>
    </row>
    <row r="59763" ht="14.25" customHeight="1" s="192">
      <c r="W59763" s="228" t="n"/>
      <c r="X59763" s="228" t="n"/>
    </row>
    <row r="59764" ht="14.25" customHeight="1" s="192">
      <c r="W59764" s="228" t="n"/>
      <c r="X59764" s="228" t="n"/>
    </row>
    <row r="59765" ht="14.25" customHeight="1" s="192">
      <c r="W59765" s="231" t="n"/>
      <c r="X59765" s="231" t="n"/>
    </row>
    <row r="59766" ht="14.25" customHeight="1" s="192">
      <c r="W59766" s="33" t="n"/>
      <c r="X59766" s="33" t="n"/>
    </row>
    <row r="59767" ht="14.25" customHeight="1" s="192">
      <c r="W59767" s="231" t="n"/>
      <c r="X59767" s="231" t="n"/>
    </row>
    <row r="59768" ht="14.25" customHeight="1" s="192">
      <c r="W59768" s="33" t="n"/>
      <c r="X59768" s="33" t="n"/>
    </row>
    <row r="59770" ht="14.25" customHeight="1" s="192">
      <c r="W59770" s="231" t="n"/>
      <c r="X59770" s="231" t="n"/>
    </row>
    <row r="59771" ht="14.25" customHeight="1" s="192">
      <c r="W59771" s="235" t="n"/>
      <c r="X59771" s="235" t="n"/>
    </row>
    <row r="59772" ht="14.25" customHeight="1" s="192">
      <c r="W59772" s="228" t="n"/>
      <c r="X59772" s="228" t="n"/>
    </row>
    <row r="59773" ht="14.25" customHeight="1" s="192">
      <c r="W59773" s="235" t="n"/>
      <c r="X59773" s="235" t="n"/>
    </row>
    <row r="59774" ht="14.25" customHeight="1" s="192">
      <c r="W59774" s="235" t="n"/>
      <c r="X59774" s="235" t="n"/>
    </row>
    <row r="59775" ht="14.25" customHeight="1" s="192">
      <c r="W59775" s="235" t="n"/>
      <c r="X59775" s="235" t="n"/>
    </row>
    <row r="59776" ht="14.25" customHeight="1" s="192">
      <c r="W59776" s="239" t="n"/>
      <c r="X59776" s="239" t="n"/>
    </row>
    <row r="59777" ht="14.25" customHeight="1" s="192">
      <c r="W59777" s="239" t="n"/>
      <c r="X59777" s="239" t="n"/>
    </row>
    <row r="59778" ht="14.25" customHeight="1" s="192">
      <c r="W59778" s="239" t="n"/>
      <c r="X59778" s="239" t="n"/>
    </row>
    <row r="59779" ht="14.25" customHeight="1" s="192">
      <c r="W59779" s="235" t="n"/>
      <c r="X59779" s="235" t="n"/>
    </row>
    <row r="59780" ht="14.25" customHeight="1" s="192">
      <c r="W59780" s="235" t="n"/>
      <c r="X59780" s="235" t="n"/>
    </row>
    <row r="59781" ht="14.25" customHeight="1" s="192">
      <c r="W59781" s="235" t="n"/>
      <c r="X59781" s="235" t="n"/>
    </row>
    <row r="59782" ht="14.25" customHeight="1" s="192">
      <c r="W59782" s="239" t="n"/>
      <c r="X59782" s="239" t="n"/>
    </row>
    <row r="59783" ht="14.25" customHeight="1" s="192">
      <c r="W59783" s="239" t="n"/>
      <c r="X59783" s="239" t="n"/>
    </row>
    <row r="59784" ht="14.25" customHeight="1" s="192">
      <c r="W59784" s="235" t="n"/>
      <c r="X59784" s="235" t="n"/>
    </row>
    <row r="59785" ht="14.25" customHeight="1" s="192">
      <c r="W59785" s="235" t="n"/>
      <c r="X59785" s="235" t="n"/>
    </row>
    <row r="59786" ht="14.25" customHeight="1" s="192">
      <c r="W59786" s="239" t="n"/>
      <c r="X59786" s="239" t="n"/>
    </row>
    <row r="59787" ht="14.25" customHeight="1" s="192">
      <c r="W59787" s="235" t="n"/>
      <c r="X59787" s="235" t="n"/>
    </row>
    <row r="59788" ht="14.25" customHeight="1" s="192">
      <c r="W59788" s="239" t="n"/>
      <c r="X59788" s="239" t="n"/>
    </row>
    <row r="59790" ht="14.25" customHeight="1" s="192">
      <c r="W59790" s="235" t="n"/>
      <c r="X59790" s="235" t="n"/>
    </row>
    <row r="59791" ht="15" customHeight="1" s="192" thickBot="1">
      <c r="W59791" s="239" t="n"/>
      <c r="X59791" s="239" t="n"/>
    </row>
    <row r="59792" ht="15" customHeight="1" s="192" thickBot="1">
      <c r="W59792" s="45" t="n"/>
      <c r="X59792" s="45" t="n"/>
    </row>
    <row r="59793" ht="14.25" customHeight="1" s="192">
      <c r="W59793" s="228" t="n"/>
      <c r="X59793" s="228" t="n"/>
    </row>
    <row r="59794" ht="14.25" customHeight="1" s="192">
      <c r="W59794" s="228" t="n"/>
      <c r="X59794" s="228" t="n"/>
    </row>
    <row r="59795" ht="14.25" customHeight="1" s="192">
      <c r="W59795" s="231" t="n"/>
      <c r="X59795" s="231" t="n"/>
    </row>
    <row r="59796" ht="14.25" customHeight="1" s="192">
      <c r="W59796" s="33" t="n"/>
      <c r="X59796" s="33" t="n"/>
    </row>
    <row r="59797" ht="14.25" customHeight="1" s="192">
      <c r="W59797" s="231" t="n"/>
      <c r="X59797" s="231" t="n"/>
    </row>
    <row r="59798" ht="14.25" customHeight="1" s="192">
      <c r="W59798" s="33" t="n"/>
      <c r="X59798" s="33" t="n"/>
    </row>
    <row r="59800" ht="14.25" customHeight="1" s="192">
      <c r="W59800" s="231" t="n"/>
      <c r="X59800" s="231" t="n"/>
    </row>
    <row r="59801" ht="14.25" customHeight="1" s="192">
      <c r="W59801" s="235" t="n"/>
      <c r="X59801" s="235" t="n"/>
    </row>
    <row r="59802" ht="14.25" customHeight="1" s="192">
      <c r="W59802" s="228" t="n"/>
      <c r="X59802" s="228" t="n"/>
    </row>
    <row r="59803" ht="14.25" customHeight="1" s="192">
      <c r="W59803" s="235" t="n"/>
      <c r="X59803" s="235" t="n"/>
    </row>
    <row r="59804" ht="14.25" customHeight="1" s="192">
      <c r="W59804" s="235" t="n"/>
      <c r="X59804" s="235" t="n"/>
    </row>
    <row r="59805" ht="14.25" customHeight="1" s="192">
      <c r="W59805" s="235" t="n"/>
      <c r="X59805" s="235" t="n"/>
    </row>
    <row r="59806" ht="14.25" customHeight="1" s="192">
      <c r="W59806" s="239" t="n"/>
      <c r="X59806" s="239" t="n"/>
    </row>
    <row r="59807" ht="14.25" customHeight="1" s="192">
      <c r="W59807" s="239" t="n"/>
      <c r="X59807" s="239" t="n"/>
    </row>
    <row r="59808" ht="14.25" customHeight="1" s="192">
      <c r="W59808" s="239" t="n"/>
      <c r="X59808" s="239" t="n"/>
    </row>
    <row r="59809" ht="14.25" customHeight="1" s="192">
      <c r="W59809" s="235" t="n"/>
      <c r="X59809" s="235" t="n"/>
    </row>
    <row r="59810" ht="14.25" customHeight="1" s="192">
      <c r="W59810" s="235" t="n"/>
      <c r="X59810" s="235" t="n"/>
    </row>
    <row r="59811" ht="14.25" customHeight="1" s="192">
      <c r="W59811" s="235" t="n"/>
      <c r="X59811" s="235" t="n"/>
    </row>
    <row r="59812" ht="14.25" customHeight="1" s="192">
      <c r="W59812" s="239" t="n"/>
      <c r="X59812" s="239" t="n"/>
    </row>
    <row r="59813" ht="14.25" customHeight="1" s="192">
      <c r="W59813" s="239" t="n"/>
      <c r="X59813" s="239" t="n"/>
    </row>
    <row r="59814" ht="14.25" customHeight="1" s="192">
      <c r="W59814" s="235" t="n"/>
      <c r="X59814" s="235" t="n"/>
    </row>
    <row r="59815" ht="14.25" customHeight="1" s="192">
      <c r="W59815" s="235" t="n"/>
      <c r="X59815" s="235" t="n"/>
    </row>
    <row r="59816" ht="14.25" customHeight="1" s="192">
      <c r="W59816" s="239" t="n"/>
      <c r="X59816" s="239" t="n"/>
    </row>
    <row r="59817" ht="14.25" customHeight="1" s="192">
      <c r="W59817" s="235" t="n"/>
      <c r="X59817" s="235" t="n"/>
    </row>
    <row r="59818" ht="14.25" customHeight="1" s="192">
      <c r="W59818" s="239" t="n"/>
      <c r="X59818" s="239" t="n"/>
    </row>
    <row r="59820" ht="14.25" customHeight="1" s="192">
      <c r="W59820" s="235" t="n"/>
      <c r="X59820" s="235" t="n"/>
    </row>
    <row r="59821" ht="15" customHeight="1" s="192" thickBot="1">
      <c r="W59821" s="239" t="n"/>
      <c r="X59821" s="239" t="n"/>
    </row>
    <row r="59822" ht="15" customHeight="1" s="192" thickBot="1">
      <c r="W59822" s="45" t="n"/>
      <c r="X59822" s="45" t="n"/>
    </row>
    <row r="59823" ht="14.25" customHeight="1" s="192">
      <c r="W59823" s="228" t="n"/>
      <c r="X59823" s="228" t="n"/>
    </row>
    <row r="59824" ht="14.25" customHeight="1" s="192">
      <c r="W59824" s="228" t="n"/>
      <c r="X59824" s="228" t="n"/>
    </row>
    <row r="59825" ht="14.25" customHeight="1" s="192">
      <c r="W59825" s="231" t="n"/>
      <c r="X59825" s="231" t="n"/>
    </row>
    <row r="59826" ht="14.25" customHeight="1" s="192">
      <c r="W59826" s="33" t="n"/>
      <c r="X59826" s="33" t="n"/>
    </row>
    <row r="59827" ht="14.25" customHeight="1" s="192">
      <c r="W59827" s="231" t="n"/>
      <c r="X59827" s="231" t="n"/>
    </row>
    <row r="59828" ht="14.25" customHeight="1" s="192">
      <c r="W59828" s="33" t="n"/>
      <c r="X59828" s="33" t="n"/>
    </row>
    <row r="59830" ht="14.25" customHeight="1" s="192">
      <c r="W59830" s="231" t="n"/>
      <c r="X59830" s="231" t="n"/>
    </row>
    <row r="59831" ht="14.25" customHeight="1" s="192">
      <c r="W59831" s="235" t="n"/>
      <c r="X59831" s="235" t="n"/>
    </row>
    <row r="59832" ht="14.25" customHeight="1" s="192">
      <c r="W59832" s="228" t="n"/>
      <c r="X59832" s="228" t="n"/>
    </row>
    <row r="59833" ht="14.25" customHeight="1" s="192">
      <c r="W59833" s="235" t="n"/>
      <c r="X59833" s="235" t="n"/>
    </row>
    <row r="59834" ht="14.25" customHeight="1" s="192">
      <c r="W59834" s="235" t="n"/>
      <c r="X59834" s="235" t="n"/>
    </row>
    <row r="59835" ht="14.25" customHeight="1" s="192">
      <c r="W59835" s="235" t="n"/>
      <c r="X59835" s="235" t="n"/>
    </row>
    <row r="59836" ht="14.25" customHeight="1" s="192">
      <c r="W59836" s="239" t="n"/>
      <c r="X59836" s="239" t="n"/>
    </row>
    <row r="59837" ht="14.25" customHeight="1" s="192">
      <c r="W59837" s="239" t="n"/>
      <c r="X59837" s="239" t="n"/>
    </row>
    <row r="59838" ht="14.25" customHeight="1" s="192">
      <c r="W59838" s="239" t="n"/>
      <c r="X59838" s="239" t="n"/>
    </row>
    <row r="59839" ht="14.25" customHeight="1" s="192">
      <c r="W59839" s="235" t="n"/>
      <c r="X59839" s="235" t="n"/>
    </row>
    <row r="59840" ht="14.25" customHeight="1" s="192">
      <c r="W59840" s="235" t="n"/>
      <c r="X59840" s="235" t="n"/>
    </row>
    <row r="59841" ht="14.25" customHeight="1" s="192">
      <c r="W59841" s="235" t="n"/>
      <c r="X59841" s="235" t="n"/>
    </row>
    <row r="59842" ht="14.25" customHeight="1" s="192">
      <c r="W59842" s="239" t="n"/>
      <c r="X59842" s="239" t="n"/>
    </row>
    <row r="59843" ht="14.25" customHeight="1" s="192">
      <c r="W59843" s="239" t="n"/>
      <c r="X59843" s="239" t="n"/>
    </row>
    <row r="59844" ht="14.25" customHeight="1" s="192">
      <c r="W59844" s="235" t="n"/>
      <c r="X59844" s="235" t="n"/>
    </row>
    <row r="59845" ht="14.25" customHeight="1" s="192">
      <c r="W59845" s="235" t="n"/>
      <c r="X59845" s="235" t="n"/>
    </row>
    <row r="59846" ht="14.25" customHeight="1" s="192">
      <c r="W59846" s="239" t="n"/>
      <c r="X59846" s="239" t="n"/>
    </row>
    <row r="59847" ht="14.25" customHeight="1" s="192">
      <c r="W59847" s="235" t="n"/>
      <c r="X59847" s="235" t="n"/>
    </row>
    <row r="59848" ht="14.25" customHeight="1" s="192">
      <c r="W59848" s="239" t="n"/>
      <c r="X59848" s="239" t="n"/>
    </row>
    <row r="59850" ht="14.25" customHeight="1" s="192">
      <c r="W59850" s="235" t="n"/>
      <c r="X59850" s="235" t="n"/>
    </row>
    <row r="59851" ht="15" customHeight="1" s="192" thickBot="1">
      <c r="W59851" s="239" t="n"/>
      <c r="X59851" s="239" t="n"/>
    </row>
    <row r="59852" ht="15" customHeight="1" s="192" thickBot="1">
      <c r="W59852" s="45" t="n"/>
      <c r="X59852" s="45" t="n"/>
    </row>
    <row r="59853" ht="14.25" customHeight="1" s="192">
      <c r="W59853" s="228" t="n"/>
      <c r="X59853" s="228" t="n"/>
    </row>
    <row r="59854" ht="14.25" customHeight="1" s="192">
      <c r="W59854" s="228" t="n"/>
      <c r="X59854" s="228" t="n"/>
    </row>
    <row r="59855" ht="14.25" customHeight="1" s="192">
      <c r="W59855" s="231" t="n"/>
      <c r="X59855" s="231" t="n"/>
    </row>
    <row r="59856" ht="14.25" customHeight="1" s="192">
      <c r="W59856" s="33" t="n"/>
      <c r="X59856" s="33" t="n"/>
    </row>
    <row r="59857" ht="14.25" customHeight="1" s="192">
      <c r="W59857" s="231" t="n"/>
      <c r="X59857" s="231" t="n"/>
    </row>
    <row r="59858" ht="14.25" customHeight="1" s="192">
      <c r="W59858" s="33" t="n"/>
      <c r="X59858" s="33" t="n"/>
    </row>
    <row r="59860" ht="14.25" customHeight="1" s="192">
      <c r="W59860" s="231" t="n"/>
      <c r="X59860" s="231" t="n"/>
    </row>
    <row r="59861" ht="14.25" customHeight="1" s="192">
      <c r="W59861" s="235" t="n"/>
      <c r="X59861" s="235" t="n"/>
    </row>
    <row r="59862" ht="14.25" customHeight="1" s="192">
      <c r="W59862" s="228" t="n"/>
      <c r="X59862" s="228" t="n"/>
    </row>
    <row r="59863" ht="14.25" customHeight="1" s="192">
      <c r="W59863" s="235" t="n"/>
      <c r="X59863" s="235" t="n"/>
    </row>
    <row r="59864" ht="14.25" customHeight="1" s="192">
      <c r="W59864" s="235" t="n"/>
      <c r="X59864" s="235" t="n"/>
    </row>
    <row r="59865" ht="14.25" customHeight="1" s="192">
      <c r="W59865" s="235" t="n"/>
      <c r="X59865" s="235" t="n"/>
    </row>
    <row r="59866" ht="14.25" customHeight="1" s="192">
      <c r="W59866" s="239" t="n"/>
      <c r="X59866" s="239" t="n"/>
    </row>
    <row r="59867" ht="14.25" customHeight="1" s="192">
      <c r="W59867" s="239" t="n"/>
      <c r="X59867" s="239" t="n"/>
    </row>
    <row r="59868" ht="14.25" customHeight="1" s="192">
      <c r="W59868" s="239" t="n"/>
      <c r="X59868" s="239" t="n"/>
    </row>
    <row r="59869" ht="14.25" customHeight="1" s="192">
      <c r="W59869" s="235" t="n"/>
      <c r="X59869" s="235" t="n"/>
    </row>
    <row r="59870" ht="14.25" customHeight="1" s="192">
      <c r="W59870" s="235" t="n"/>
      <c r="X59870" s="235" t="n"/>
    </row>
    <row r="59871" ht="14.25" customHeight="1" s="192">
      <c r="W59871" s="235" t="n"/>
      <c r="X59871" s="235" t="n"/>
    </row>
    <row r="59872" ht="14.25" customHeight="1" s="192">
      <c r="W59872" s="239" t="n"/>
      <c r="X59872" s="239" t="n"/>
    </row>
    <row r="59873" ht="14.25" customHeight="1" s="192">
      <c r="W59873" s="239" t="n"/>
      <c r="X59873" s="239" t="n"/>
    </row>
    <row r="59874" ht="14.25" customHeight="1" s="192">
      <c r="W59874" s="235" t="n"/>
      <c r="X59874" s="235" t="n"/>
    </row>
    <row r="59875" ht="14.25" customHeight="1" s="192">
      <c r="W59875" s="235" t="n"/>
      <c r="X59875" s="235" t="n"/>
    </row>
    <row r="59876" ht="14.25" customHeight="1" s="192">
      <c r="W59876" s="239" t="n"/>
      <c r="X59876" s="239" t="n"/>
    </row>
    <row r="59877" ht="14.25" customHeight="1" s="192">
      <c r="W59877" s="235" t="n"/>
      <c r="X59877" s="235" t="n"/>
    </row>
    <row r="59878" ht="14.25" customHeight="1" s="192">
      <c r="W59878" s="239" t="n"/>
      <c r="X59878" s="239" t="n"/>
    </row>
    <row r="59880" ht="14.25" customHeight="1" s="192">
      <c r="W59880" s="235" t="n"/>
      <c r="X59880" s="235" t="n"/>
    </row>
    <row r="59881" ht="15" customHeight="1" s="192" thickBot="1">
      <c r="W59881" s="239" t="n"/>
      <c r="X59881" s="239" t="n"/>
    </row>
    <row r="59882" ht="15" customHeight="1" s="192" thickBot="1">
      <c r="W59882" s="45" t="n"/>
      <c r="X59882" s="45" t="n"/>
    </row>
    <row r="59883" ht="14.25" customHeight="1" s="192">
      <c r="W59883" s="228" t="n"/>
      <c r="X59883" s="228" t="n"/>
    </row>
    <row r="59884" ht="14.25" customHeight="1" s="192">
      <c r="W59884" s="228" t="n"/>
      <c r="X59884" s="228" t="n"/>
    </row>
    <row r="59885" ht="14.25" customHeight="1" s="192">
      <c r="W59885" s="231" t="n"/>
      <c r="X59885" s="231" t="n"/>
    </row>
    <row r="59886" ht="14.25" customHeight="1" s="192">
      <c r="W59886" s="33" t="n"/>
      <c r="X59886" s="33" t="n"/>
    </row>
    <row r="59887" ht="14.25" customHeight="1" s="192">
      <c r="W59887" s="231" t="n"/>
      <c r="X59887" s="231" t="n"/>
    </row>
    <row r="59888" ht="14.25" customHeight="1" s="192">
      <c r="W59888" s="33" t="n"/>
      <c r="X59888" s="33" t="n"/>
    </row>
    <row r="59890" ht="14.25" customHeight="1" s="192">
      <c r="W59890" s="231" t="n"/>
      <c r="X59890" s="231" t="n"/>
    </row>
    <row r="59891" ht="14.25" customHeight="1" s="192">
      <c r="W59891" s="235" t="n"/>
      <c r="X59891" s="235" t="n"/>
    </row>
    <row r="59892" ht="14.25" customHeight="1" s="192">
      <c r="W59892" s="228" t="n"/>
      <c r="X59892" s="228" t="n"/>
    </row>
    <row r="59893" ht="14.25" customHeight="1" s="192">
      <c r="W59893" s="235" t="n"/>
      <c r="X59893" s="235" t="n"/>
    </row>
    <row r="59894" ht="14.25" customHeight="1" s="192">
      <c r="W59894" s="235" t="n"/>
      <c r="X59894" s="235" t="n"/>
    </row>
    <row r="59895" ht="14.25" customHeight="1" s="192">
      <c r="W59895" s="235" t="n"/>
      <c r="X59895" s="235" t="n"/>
    </row>
    <row r="59896" ht="14.25" customHeight="1" s="192">
      <c r="W59896" s="239" t="n"/>
      <c r="X59896" s="239" t="n"/>
    </row>
    <row r="59897" ht="14.25" customHeight="1" s="192">
      <c r="W59897" s="239" t="n"/>
      <c r="X59897" s="239" t="n"/>
    </row>
    <row r="59898" ht="14.25" customHeight="1" s="192">
      <c r="W59898" s="239" t="n"/>
      <c r="X59898" s="239" t="n"/>
    </row>
    <row r="59899" ht="14.25" customHeight="1" s="192">
      <c r="W59899" s="235" t="n"/>
      <c r="X59899" s="235" t="n"/>
    </row>
    <row r="59900" ht="14.25" customHeight="1" s="192">
      <c r="W59900" s="235" t="n"/>
      <c r="X59900" s="235" t="n"/>
    </row>
    <row r="59901" ht="14.25" customHeight="1" s="192">
      <c r="W59901" s="235" t="n"/>
      <c r="X59901" s="235" t="n"/>
    </row>
    <row r="59902" ht="14.25" customHeight="1" s="192">
      <c r="W59902" s="239" t="n"/>
      <c r="X59902" s="239" t="n"/>
    </row>
    <row r="59903" ht="14.25" customHeight="1" s="192">
      <c r="W59903" s="239" t="n"/>
      <c r="X59903" s="239" t="n"/>
    </row>
    <row r="59904" ht="14.25" customHeight="1" s="192">
      <c r="W59904" s="235" t="n"/>
      <c r="X59904" s="235" t="n"/>
    </row>
    <row r="59905" ht="14.25" customHeight="1" s="192">
      <c r="W59905" s="235" t="n"/>
      <c r="X59905" s="235" t="n"/>
    </row>
    <row r="59906" ht="14.25" customHeight="1" s="192">
      <c r="W59906" s="239" t="n"/>
      <c r="X59906" s="239" t="n"/>
    </row>
    <row r="59907" ht="14.25" customHeight="1" s="192">
      <c r="W59907" s="235" t="n"/>
      <c r="X59907" s="235" t="n"/>
    </row>
    <row r="59908" ht="14.25" customHeight="1" s="192">
      <c r="W59908" s="239" t="n"/>
      <c r="X59908" s="239" t="n"/>
    </row>
    <row r="59910" ht="14.25" customHeight="1" s="192">
      <c r="W59910" s="235" t="n"/>
      <c r="X59910" s="235" t="n"/>
    </row>
    <row r="59911" ht="15" customHeight="1" s="192" thickBot="1">
      <c r="W59911" s="239" t="n"/>
      <c r="X59911" s="239" t="n"/>
    </row>
    <row r="59912" ht="15" customHeight="1" s="192" thickBot="1">
      <c r="W59912" s="45" t="n"/>
      <c r="X59912" s="45" t="n"/>
    </row>
    <row r="59913" ht="14.25" customHeight="1" s="192">
      <c r="W59913" s="228" t="n"/>
      <c r="X59913" s="228" t="n"/>
    </row>
    <row r="59914" ht="14.25" customHeight="1" s="192">
      <c r="W59914" s="228" t="n"/>
      <c r="X59914" s="228" t="n"/>
    </row>
    <row r="59915" ht="14.25" customHeight="1" s="192">
      <c r="W59915" s="231" t="n"/>
      <c r="X59915" s="231" t="n"/>
    </row>
    <row r="59916" ht="14.25" customHeight="1" s="192">
      <c r="W59916" s="33" t="n"/>
      <c r="X59916" s="33" t="n"/>
    </row>
    <row r="59917" ht="14.25" customHeight="1" s="192">
      <c r="W59917" s="231" t="n"/>
      <c r="X59917" s="231" t="n"/>
    </row>
    <row r="59918" ht="14.25" customHeight="1" s="192">
      <c r="W59918" s="33" t="n"/>
      <c r="X59918" s="33" t="n"/>
    </row>
    <row r="59920" ht="14.25" customHeight="1" s="192">
      <c r="W59920" s="231" t="n"/>
      <c r="X59920" s="231" t="n"/>
    </row>
    <row r="59921" ht="14.25" customHeight="1" s="192">
      <c r="W59921" s="235" t="n"/>
      <c r="X59921" s="235" t="n"/>
    </row>
    <row r="59922" ht="14.25" customHeight="1" s="192">
      <c r="W59922" s="228" t="n"/>
      <c r="X59922" s="228" t="n"/>
    </row>
    <row r="59923" ht="14.25" customHeight="1" s="192">
      <c r="W59923" s="235" t="n"/>
      <c r="X59923" s="235" t="n"/>
    </row>
    <row r="59924" ht="14.25" customHeight="1" s="192">
      <c r="W59924" s="235" t="n"/>
      <c r="X59924" s="235" t="n"/>
    </row>
    <row r="59925" ht="14.25" customHeight="1" s="192">
      <c r="W59925" s="235" t="n"/>
      <c r="X59925" s="235" t="n"/>
    </row>
    <row r="59926" ht="14.25" customHeight="1" s="192">
      <c r="W59926" s="239" t="n"/>
      <c r="X59926" s="239" t="n"/>
    </row>
    <row r="59927" ht="14.25" customHeight="1" s="192">
      <c r="W59927" s="239" t="n"/>
      <c r="X59927" s="239" t="n"/>
    </row>
    <row r="59928" ht="14.25" customHeight="1" s="192">
      <c r="W59928" s="239" t="n"/>
      <c r="X59928" s="239" t="n"/>
    </row>
    <row r="59929" ht="14.25" customHeight="1" s="192">
      <c r="W59929" s="235" t="n"/>
      <c r="X59929" s="235" t="n"/>
    </row>
    <row r="59930" ht="14.25" customHeight="1" s="192">
      <c r="W59930" s="235" t="n"/>
      <c r="X59930" s="235" t="n"/>
    </row>
    <row r="59931" ht="14.25" customHeight="1" s="192">
      <c r="W59931" s="235" t="n"/>
      <c r="X59931" s="235" t="n"/>
    </row>
    <row r="59932" ht="14.25" customHeight="1" s="192">
      <c r="W59932" s="239" t="n"/>
      <c r="X59932" s="239" t="n"/>
    </row>
    <row r="59933" ht="14.25" customHeight="1" s="192">
      <c r="W59933" s="239" t="n"/>
      <c r="X59933" s="239" t="n"/>
    </row>
    <row r="59934" ht="14.25" customHeight="1" s="192">
      <c r="W59934" s="235" t="n"/>
      <c r="X59934" s="235" t="n"/>
    </row>
    <row r="59935" ht="14.25" customHeight="1" s="192">
      <c r="W59935" s="235" t="n"/>
      <c r="X59935" s="235" t="n"/>
    </row>
    <row r="59936" ht="14.25" customHeight="1" s="192">
      <c r="W59936" s="239" t="n"/>
      <c r="X59936" s="239" t="n"/>
    </row>
    <row r="59937" ht="14.25" customHeight="1" s="192">
      <c r="W59937" s="235" t="n"/>
      <c r="X59937" s="235" t="n"/>
    </row>
    <row r="59938" ht="14.25" customHeight="1" s="192">
      <c r="W59938" s="239" t="n"/>
      <c r="X59938" s="239" t="n"/>
    </row>
    <row r="59940" ht="14.25" customHeight="1" s="192">
      <c r="W59940" s="235" t="n"/>
      <c r="X59940" s="235" t="n"/>
    </row>
    <row r="59941" ht="15" customHeight="1" s="192" thickBot="1">
      <c r="W59941" s="239" t="n"/>
      <c r="X59941" s="239" t="n"/>
    </row>
    <row r="59942" ht="15" customHeight="1" s="192" thickBot="1">
      <c r="W59942" s="45" t="n"/>
      <c r="X59942" s="45" t="n"/>
    </row>
    <row r="59943" ht="14.25" customHeight="1" s="192">
      <c r="W59943" s="228" t="n"/>
      <c r="X59943" s="228" t="n"/>
    </row>
    <row r="59944" ht="14.25" customHeight="1" s="192">
      <c r="W59944" s="228" t="n"/>
      <c r="X59944" s="228" t="n"/>
    </row>
    <row r="59945" ht="14.25" customHeight="1" s="192">
      <c r="W59945" s="231" t="n"/>
      <c r="X59945" s="231" t="n"/>
    </row>
    <row r="59946" ht="14.25" customHeight="1" s="192">
      <c r="W59946" s="33" t="n"/>
      <c r="X59946" s="33" t="n"/>
    </row>
    <row r="59947" ht="14.25" customHeight="1" s="192">
      <c r="W59947" s="231" t="n"/>
      <c r="X59947" s="231" t="n"/>
    </row>
    <row r="59948" ht="14.25" customHeight="1" s="192">
      <c r="W59948" s="33" t="n"/>
      <c r="X59948" s="33" t="n"/>
    </row>
    <row r="59950" ht="14.25" customHeight="1" s="192">
      <c r="W59950" s="231" t="n"/>
      <c r="X59950" s="231" t="n"/>
    </row>
    <row r="59951" ht="14.25" customHeight="1" s="192">
      <c r="W59951" s="235" t="n"/>
      <c r="X59951" s="235" t="n"/>
    </row>
    <row r="59952" ht="14.25" customHeight="1" s="192">
      <c r="W59952" s="228" t="n"/>
      <c r="X59952" s="228" t="n"/>
    </row>
    <row r="59953" ht="14.25" customHeight="1" s="192">
      <c r="W59953" s="235" t="n"/>
      <c r="X59953" s="235" t="n"/>
    </row>
    <row r="59954" ht="14.25" customHeight="1" s="192">
      <c r="W59954" s="235" t="n"/>
      <c r="X59954" s="235" t="n"/>
    </row>
    <row r="59955" ht="14.25" customHeight="1" s="192">
      <c r="W59955" s="235" t="n"/>
      <c r="X59955" s="235" t="n"/>
    </row>
    <row r="59956" ht="14.25" customHeight="1" s="192">
      <c r="W59956" s="239" t="n"/>
      <c r="X59956" s="239" t="n"/>
    </row>
    <row r="59957" ht="14.25" customHeight="1" s="192">
      <c r="W59957" s="239" t="n"/>
      <c r="X59957" s="239" t="n"/>
    </row>
    <row r="59958" ht="14.25" customHeight="1" s="192">
      <c r="W59958" s="239" t="n"/>
      <c r="X59958" s="239" t="n"/>
    </row>
    <row r="59959" ht="14.25" customHeight="1" s="192">
      <c r="W59959" s="235" t="n"/>
      <c r="X59959" s="235" t="n"/>
    </row>
    <row r="59960" ht="14.25" customHeight="1" s="192">
      <c r="W59960" s="235" t="n"/>
      <c r="X59960" s="235" t="n"/>
    </row>
    <row r="59961" ht="14.25" customHeight="1" s="192">
      <c r="W59961" s="235" t="n"/>
      <c r="X59961" s="235" t="n"/>
    </row>
    <row r="59962" ht="14.25" customHeight="1" s="192">
      <c r="W59962" s="239" t="n"/>
      <c r="X59962" s="239" t="n"/>
    </row>
    <row r="59963" ht="14.25" customHeight="1" s="192">
      <c r="W59963" s="239" t="n"/>
      <c r="X59963" s="239" t="n"/>
    </row>
    <row r="59964" ht="14.25" customHeight="1" s="192">
      <c r="W59964" s="235" t="n"/>
      <c r="X59964" s="235" t="n"/>
    </row>
    <row r="59965" ht="14.25" customHeight="1" s="192">
      <c r="W59965" s="235" t="n"/>
      <c r="X59965" s="235" t="n"/>
    </row>
    <row r="59966" ht="14.25" customHeight="1" s="192">
      <c r="W59966" s="239" t="n"/>
      <c r="X59966" s="239" t="n"/>
    </row>
    <row r="59967" ht="14.25" customHeight="1" s="192">
      <c r="W59967" s="235" t="n"/>
      <c r="X59967" s="235" t="n"/>
    </row>
    <row r="59968" ht="14.25" customHeight="1" s="192">
      <c r="W59968" s="239" t="n"/>
      <c r="X59968" s="239" t="n"/>
    </row>
    <row r="59970" ht="14.25" customHeight="1" s="192">
      <c r="W59970" s="235" t="n"/>
      <c r="X59970" s="235" t="n"/>
    </row>
    <row r="59971" ht="15" customHeight="1" s="192" thickBot="1">
      <c r="W59971" s="239" t="n"/>
      <c r="X59971" s="239" t="n"/>
    </row>
    <row r="59972" ht="15" customHeight="1" s="192" thickBot="1">
      <c r="W59972" s="45" t="n"/>
      <c r="X59972" s="45" t="n"/>
    </row>
    <row r="59973" ht="14.25" customHeight="1" s="192">
      <c r="W59973" s="228" t="n"/>
      <c r="X59973" s="228" t="n"/>
    </row>
    <row r="59974" ht="14.25" customHeight="1" s="192">
      <c r="W59974" s="228" t="n"/>
      <c r="X59974" s="228" t="n"/>
    </row>
    <row r="59975" ht="14.25" customHeight="1" s="192">
      <c r="W59975" s="231" t="n"/>
      <c r="X59975" s="231" t="n"/>
    </row>
    <row r="59976" ht="14.25" customHeight="1" s="192">
      <c r="W59976" s="33" t="n"/>
      <c r="X59976" s="33" t="n"/>
    </row>
    <row r="59977" ht="14.25" customHeight="1" s="192">
      <c r="W59977" s="231" t="n"/>
      <c r="X59977" s="231" t="n"/>
    </row>
    <row r="59978" ht="14.25" customHeight="1" s="192">
      <c r="W59978" s="33" t="n"/>
      <c r="X59978" s="33" t="n"/>
    </row>
    <row r="59980" ht="14.25" customHeight="1" s="192">
      <c r="W59980" s="231" t="n"/>
      <c r="X59980" s="231" t="n"/>
    </row>
    <row r="59981" ht="14.25" customHeight="1" s="192">
      <c r="W59981" s="235" t="n"/>
      <c r="X59981" s="235" t="n"/>
    </row>
    <row r="59982" ht="14.25" customHeight="1" s="192">
      <c r="W59982" s="228" t="n"/>
      <c r="X59982" s="228" t="n"/>
    </row>
    <row r="59983" ht="14.25" customHeight="1" s="192">
      <c r="W59983" s="235" t="n"/>
      <c r="X59983" s="235" t="n"/>
    </row>
    <row r="59984" ht="14.25" customHeight="1" s="192">
      <c r="W59984" s="235" t="n"/>
      <c r="X59984" s="235" t="n"/>
    </row>
    <row r="59985" ht="14.25" customHeight="1" s="192">
      <c r="W59985" s="235" t="n"/>
      <c r="X59985" s="235" t="n"/>
    </row>
    <row r="59986" ht="14.25" customHeight="1" s="192">
      <c r="W59986" s="239" t="n"/>
      <c r="X59986" s="239" t="n"/>
    </row>
    <row r="59987" ht="14.25" customHeight="1" s="192">
      <c r="W59987" s="239" t="n"/>
      <c r="X59987" s="239" t="n"/>
    </row>
    <row r="59988" ht="14.25" customHeight="1" s="192">
      <c r="W59988" s="239" t="n"/>
      <c r="X59988" s="239" t="n"/>
    </row>
    <row r="59989" ht="14.25" customHeight="1" s="192">
      <c r="W59989" s="235" t="n"/>
      <c r="X59989" s="235" t="n"/>
    </row>
    <row r="59990" ht="14.25" customHeight="1" s="192">
      <c r="W59990" s="235" t="n"/>
      <c r="X59990" s="235" t="n"/>
    </row>
    <row r="59991" ht="14.25" customHeight="1" s="192">
      <c r="W59991" s="235" t="n"/>
      <c r="X59991" s="235" t="n"/>
    </row>
    <row r="59992" ht="14.25" customHeight="1" s="192">
      <c r="W59992" s="239" t="n"/>
      <c r="X59992" s="239" t="n"/>
    </row>
    <row r="59993" ht="14.25" customHeight="1" s="192">
      <c r="W59993" s="239" t="n"/>
      <c r="X59993" s="239" t="n"/>
    </row>
    <row r="59994" ht="14.25" customHeight="1" s="192">
      <c r="W59994" s="235" t="n"/>
      <c r="X59994" s="235" t="n"/>
    </row>
    <row r="59995" ht="14.25" customHeight="1" s="192">
      <c r="W59995" s="235" t="n"/>
      <c r="X59995" s="235" t="n"/>
    </row>
    <row r="59996" ht="14.25" customHeight="1" s="192">
      <c r="W59996" s="239" t="n"/>
      <c r="X59996" s="239" t="n"/>
    </row>
    <row r="59997" ht="14.25" customHeight="1" s="192">
      <c r="W59997" s="235" t="n"/>
      <c r="X59997" s="235" t="n"/>
    </row>
    <row r="59998" ht="14.25" customHeight="1" s="192">
      <c r="W59998" s="239" t="n"/>
      <c r="X59998" s="239" t="n"/>
    </row>
    <row r="60000" ht="14.25" customHeight="1" s="192">
      <c r="W60000" s="235" t="n"/>
      <c r="X60000" s="235" t="n"/>
    </row>
    <row r="60001" ht="15" customHeight="1" s="192" thickBot="1">
      <c r="W60001" s="239" t="n"/>
      <c r="X60001" s="239" t="n"/>
    </row>
    <row r="60002" ht="15" customHeight="1" s="192" thickBot="1">
      <c r="W60002" s="45" t="n"/>
      <c r="X60002" s="45" t="n"/>
    </row>
    <row r="60003" ht="14.25" customHeight="1" s="192">
      <c r="W60003" s="228" t="n"/>
      <c r="X60003" s="228" t="n"/>
    </row>
    <row r="60004" ht="14.25" customHeight="1" s="192">
      <c r="W60004" s="228" t="n"/>
      <c r="X60004" s="228" t="n"/>
    </row>
    <row r="60005" ht="14.25" customHeight="1" s="192">
      <c r="W60005" s="231" t="n"/>
      <c r="X60005" s="231" t="n"/>
    </row>
    <row r="60006" ht="14.25" customHeight="1" s="192">
      <c r="W60006" s="33" t="n"/>
      <c r="X60006" s="33" t="n"/>
    </row>
    <row r="60007" ht="14.25" customHeight="1" s="192">
      <c r="W60007" s="231" t="n"/>
      <c r="X60007" s="231" t="n"/>
    </row>
    <row r="60008" ht="14.25" customHeight="1" s="192">
      <c r="W60008" s="33" t="n"/>
      <c r="X60008" s="33" t="n"/>
    </row>
    <row r="60010" ht="14.25" customHeight="1" s="192">
      <c r="W60010" s="231" t="n"/>
      <c r="X60010" s="231" t="n"/>
    </row>
    <row r="60011" ht="14.25" customHeight="1" s="192">
      <c r="W60011" s="235" t="n"/>
      <c r="X60011" s="235" t="n"/>
    </row>
    <row r="60012" ht="14.25" customHeight="1" s="192">
      <c r="W60012" s="228" t="n"/>
      <c r="X60012" s="228" t="n"/>
    </row>
    <row r="60013" ht="14.25" customHeight="1" s="192">
      <c r="W60013" s="235" t="n"/>
      <c r="X60013" s="235" t="n"/>
    </row>
    <row r="60014" ht="14.25" customHeight="1" s="192">
      <c r="W60014" s="235" t="n"/>
      <c r="X60014" s="235" t="n"/>
    </row>
    <row r="60015" ht="14.25" customHeight="1" s="192">
      <c r="W60015" s="235" t="n"/>
      <c r="X60015" s="235" t="n"/>
    </row>
    <row r="60016" ht="14.25" customHeight="1" s="192">
      <c r="W60016" s="239" t="n"/>
      <c r="X60016" s="239" t="n"/>
    </row>
    <row r="60017" ht="14.25" customHeight="1" s="192">
      <c r="W60017" s="239" t="n"/>
      <c r="X60017" s="239" t="n"/>
    </row>
    <row r="60018" ht="14.25" customHeight="1" s="192">
      <c r="W60018" s="239" t="n"/>
      <c r="X60018" s="239" t="n"/>
    </row>
    <row r="60019" ht="14.25" customHeight="1" s="192">
      <c r="W60019" s="235" t="n"/>
      <c r="X60019" s="235" t="n"/>
    </row>
    <row r="60020" ht="14.25" customHeight="1" s="192">
      <c r="W60020" s="235" t="n"/>
      <c r="X60020" s="235" t="n"/>
    </row>
    <row r="60021" ht="14.25" customHeight="1" s="192">
      <c r="W60021" s="235" t="n"/>
      <c r="X60021" s="235" t="n"/>
    </row>
    <row r="60022" ht="14.25" customHeight="1" s="192">
      <c r="W60022" s="239" t="n"/>
      <c r="X60022" s="239" t="n"/>
    </row>
    <row r="60023" ht="14.25" customHeight="1" s="192">
      <c r="W60023" s="239" t="n"/>
      <c r="X60023" s="239" t="n"/>
    </row>
    <row r="60024" ht="14.25" customHeight="1" s="192">
      <c r="W60024" s="235" t="n"/>
      <c r="X60024" s="235" t="n"/>
    </row>
    <row r="60025" ht="14.25" customHeight="1" s="192">
      <c r="W60025" s="235" t="n"/>
      <c r="X60025" s="235" t="n"/>
    </row>
    <row r="60026" ht="14.25" customHeight="1" s="192">
      <c r="W60026" s="239" t="n"/>
      <c r="X60026" s="239" t="n"/>
    </row>
    <row r="60027" ht="14.25" customHeight="1" s="192">
      <c r="W60027" s="235" t="n"/>
      <c r="X60027" s="235" t="n"/>
    </row>
    <row r="60028" ht="14.25" customHeight="1" s="192">
      <c r="W60028" s="239" t="n"/>
      <c r="X60028" s="239" t="n"/>
    </row>
    <row r="60030" ht="14.25" customHeight="1" s="192">
      <c r="W60030" s="235" t="n"/>
      <c r="X60030" s="235" t="n"/>
    </row>
    <row r="60031" ht="15" customHeight="1" s="192" thickBot="1">
      <c r="W60031" s="239" t="n"/>
      <c r="X60031" s="239" t="n"/>
    </row>
    <row r="60032" ht="15" customHeight="1" s="192" thickBot="1">
      <c r="W60032" s="45" t="n"/>
      <c r="X60032" s="45" t="n"/>
    </row>
    <row r="60033" ht="14.25" customHeight="1" s="192">
      <c r="W60033" s="228" t="n"/>
      <c r="X60033" s="228" t="n"/>
    </row>
    <row r="60034" ht="14.25" customHeight="1" s="192">
      <c r="W60034" s="228" t="n"/>
      <c r="X60034" s="228" t="n"/>
    </row>
    <row r="60035" ht="14.25" customHeight="1" s="192">
      <c r="W60035" s="231" t="n"/>
      <c r="X60035" s="231" t="n"/>
    </row>
    <row r="60036" ht="14.25" customHeight="1" s="192">
      <c r="W60036" s="33" t="n"/>
      <c r="X60036" s="33" t="n"/>
    </row>
    <row r="60037" ht="14.25" customHeight="1" s="192">
      <c r="W60037" s="231" t="n"/>
      <c r="X60037" s="231" t="n"/>
    </row>
    <row r="60038" ht="14.25" customHeight="1" s="192">
      <c r="W60038" s="33" t="n"/>
      <c r="X60038" s="33" t="n"/>
    </row>
    <row r="60040" ht="14.25" customHeight="1" s="192">
      <c r="W60040" s="231" t="n"/>
      <c r="X60040" s="231" t="n"/>
    </row>
    <row r="60041" ht="14.25" customHeight="1" s="192">
      <c r="W60041" s="235" t="n"/>
      <c r="X60041" s="235" t="n"/>
    </row>
    <row r="60042" ht="14.25" customHeight="1" s="192">
      <c r="W60042" s="228" t="n"/>
      <c r="X60042" s="228" t="n"/>
    </row>
    <row r="60043" ht="14.25" customHeight="1" s="192">
      <c r="W60043" s="235" t="n"/>
      <c r="X60043" s="235" t="n"/>
    </row>
    <row r="60044" ht="14.25" customHeight="1" s="192">
      <c r="W60044" s="235" t="n"/>
      <c r="X60044" s="235" t="n"/>
    </row>
    <row r="60045" ht="14.25" customHeight="1" s="192">
      <c r="W60045" s="235" t="n"/>
      <c r="X60045" s="235" t="n"/>
    </row>
    <row r="60046" ht="14.25" customHeight="1" s="192">
      <c r="W60046" s="239" t="n"/>
      <c r="X60046" s="239" t="n"/>
    </row>
    <row r="60047" ht="14.25" customHeight="1" s="192">
      <c r="W60047" s="239" t="n"/>
      <c r="X60047" s="239" t="n"/>
    </row>
    <row r="60048" ht="14.25" customHeight="1" s="192">
      <c r="W60048" s="239" t="n"/>
      <c r="X60048" s="239" t="n"/>
    </row>
    <row r="60049" ht="14.25" customHeight="1" s="192">
      <c r="W60049" s="235" t="n"/>
      <c r="X60049" s="235" t="n"/>
    </row>
    <row r="60050" ht="14.25" customHeight="1" s="192">
      <c r="W60050" s="235" t="n"/>
      <c r="X60050" s="235" t="n"/>
    </row>
    <row r="60051" ht="14.25" customHeight="1" s="192">
      <c r="W60051" s="235" t="n"/>
      <c r="X60051" s="235" t="n"/>
    </row>
    <row r="60052" ht="14.25" customHeight="1" s="192">
      <c r="W60052" s="239" t="n"/>
      <c r="X60052" s="239" t="n"/>
    </row>
    <row r="60053" ht="14.25" customHeight="1" s="192">
      <c r="W60053" s="239" t="n"/>
      <c r="X60053" s="239" t="n"/>
    </row>
    <row r="60054" ht="14.25" customHeight="1" s="192">
      <c r="W60054" s="235" t="n"/>
      <c r="X60054" s="235" t="n"/>
    </row>
    <row r="60055" ht="14.25" customHeight="1" s="192">
      <c r="W60055" s="235" t="n"/>
      <c r="X60055" s="235" t="n"/>
    </row>
    <row r="60056" ht="14.25" customHeight="1" s="192">
      <c r="W60056" s="239" t="n"/>
      <c r="X60056" s="239" t="n"/>
    </row>
    <row r="60057" ht="14.25" customHeight="1" s="192">
      <c r="W60057" s="235" t="n"/>
      <c r="X60057" s="235" t="n"/>
    </row>
    <row r="60058" ht="14.25" customHeight="1" s="192">
      <c r="W60058" s="239" t="n"/>
      <c r="X60058" s="239" t="n"/>
    </row>
    <row r="60060" ht="14.25" customHeight="1" s="192">
      <c r="W60060" s="235" t="n"/>
      <c r="X60060" s="235" t="n"/>
    </row>
    <row r="60061" ht="15" customHeight="1" s="192" thickBot="1">
      <c r="W60061" s="239" t="n"/>
      <c r="X60061" s="239" t="n"/>
    </row>
    <row r="60062" ht="15" customHeight="1" s="192" thickBot="1">
      <c r="W60062" s="45" t="n"/>
      <c r="X60062" s="45" t="n"/>
    </row>
    <row r="60063" ht="14.25" customHeight="1" s="192">
      <c r="W60063" s="228" t="n"/>
      <c r="X60063" s="228" t="n"/>
    </row>
    <row r="60064" ht="14.25" customHeight="1" s="192">
      <c r="W60064" s="228" t="n"/>
      <c r="X60064" s="228" t="n"/>
    </row>
    <row r="60065" ht="14.25" customHeight="1" s="192">
      <c r="W60065" s="231" t="n"/>
      <c r="X60065" s="231" t="n"/>
    </row>
    <row r="60066" ht="14.25" customHeight="1" s="192">
      <c r="W60066" s="33" t="n"/>
      <c r="X60066" s="33" t="n"/>
    </row>
    <row r="60067" ht="14.25" customHeight="1" s="192">
      <c r="W60067" s="231" t="n"/>
      <c r="X60067" s="231" t="n"/>
    </row>
    <row r="60068" ht="14.25" customHeight="1" s="192">
      <c r="W60068" s="33" t="n"/>
      <c r="X60068" s="33" t="n"/>
    </row>
    <row r="60070" ht="14.25" customHeight="1" s="192">
      <c r="W60070" s="231" t="n"/>
      <c r="X60070" s="231" t="n"/>
    </row>
    <row r="60071" ht="14.25" customHeight="1" s="192">
      <c r="W60071" s="235" t="n"/>
      <c r="X60071" s="235" t="n"/>
    </row>
    <row r="60072" ht="14.25" customHeight="1" s="192">
      <c r="W60072" s="228" t="n"/>
      <c r="X60072" s="228" t="n"/>
    </row>
    <row r="60073" ht="14.25" customHeight="1" s="192">
      <c r="W60073" s="235" t="n"/>
      <c r="X60073" s="235" t="n"/>
    </row>
    <row r="60074" ht="14.25" customHeight="1" s="192">
      <c r="W60074" s="235" t="n"/>
      <c r="X60074" s="235" t="n"/>
    </row>
    <row r="60075" ht="14.25" customHeight="1" s="192">
      <c r="W60075" s="235" t="n"/>
      <c r="X60075" s="235" t="n"/>
    </row>
    <row r="60076" ht="14.25" customHeight="1" s="192">
      <c r="W60076" s="239" t="n"/>
      <c r="X60076" s="239" t="n"/>
    </row>
    <row r="60077" ht="14.25" customHeight="1" s="192">
      <c r="W60077" s="239" t="n"/>
      <c r="X60077" s="239" t="n"/>
    </row>
    <row r="60078" ht="14.25" customHeight="1" s="192">
      <c r="W60078" s="239" t="n"/>
      <c r="X60078" s="239" t="n"/>
    </row>
    <row r="60079" ht="14.25" customHeight="1" s="192">
      <c r="W60079" s="235" t="n"/>
      <c r="X60079" s="235" t="n"/>
    </row>
    <row r="60080" ht="14.25" customHeight="1" s="192">
      <c r="W60080" s="235" t="n"/>
      <c r="X60080" s="235" t="n"/>
    </row>
    <row r="60081" ht="14.25" customHeight="1" s="192">
      <c r="W60081" s="235" t="n"/>
      <c r="X60081" s="235" t="n"/>
    </row>
    <row r="60082" ht="14.25" customHeight="1" s="192">
      <c r="W60082" s="239" t="n"/>
      <c r="X60082" s="239" t="n"/>
    </row>
    <row r="60083" ht="14.25" customHeight="1" s="192">
      <c r="W60083" s="239" t="n"/>
      <c r="X60083" s="239" t="n"/>
    </row>
    <row r="60084" ht="14.25" customHeight="1" s="192">
      <c r="W60084" s="235" t="n"/>
      <c r="X60084" s="235" t="n"/>
    </row>
    <row r="60085" ht="14.25" customHeight="1" s="192">
      <c r="W60085" s="235" t="n"/>
      <c r="X60085" s="235" t="n"/>
    </row>
    <row r="60086" ht="14.25" customHeight="1" s="192">
      <c r="W60086" s="239" t="n"/>
      <c r="X60086" s="239" t="n"/>
    </row>
    <row r="60087" ht="14.25" customHeight="1" s="192">
      <c r="W60087" s="235" t="n"/>
      <c r="X60087" s="235" t="n"/>
    </row>
    <row r="60088" ht="14.25" customHeight="1" s="192">
      <c r="W60088" s="239" t="n"/>
      <c r="X60088" s="239" t="n"/>
    </row>
    <row r="60090" ht="14.25" customHeight="1" s="192">
      <c r="W60090" s="235" t="n"/>
      <c r="X60090" s="235" t="n"/>
    </row>
    <row r="60091" ht="15" customHeight="1" s="192" thickBot="1">
      <c r="W60091" s="239" t="n"/>
      <c r="X60091" s="239" t="n"/>
    </row>
    <row r="60092" ht="15" customHeight="1" s="192" thickBot="1">
      <c r="W60092" s="45" t="n"/>
      <c r="X60092" s="45" t="n"/>
    </row>
    <row r="60093" ht="14.25" customHeight="1" s="192">
      <c r="W60093" s="228" t="n"/>
      <c r="X60093" s="228" t="n"/>
    </row>
    <row r="60094" ht="14.25" customHeight="1" s="192">
      <c r="W60094" s="228" t="n"/>
      <c r="X60094" s="228" t="n"/>
    </row>
    <row r="60095" ht="14.25" customHeight="1" s="192">
      <c r="W60095" s="231" t="n"/>
      <c r="X60095" s="231" t="n"/>
    </row>
    <row r="60096" ht="14.25" customHeight="1" s="192">
      <c r="W60096" s="33" t="n"/>
      <c r="X60096" s="33" t="n"/>
    </row>
    <row r="60097" ht="14.25" customHeight="1" s="192">
      <c r="W60097" s="231" t="n"/>
      <c r="X60097" s="231" t="n"/>
    </row>
    <row r="60098" ht="14.25" customHeight="1" s="192">
      <c r="W60098" s="33" t="n"/>
      <c r="X60098" s="33" t="n"/>
    </row>
    <row r="60100" ht="14.25" customHeight="1" s="192">
      <c r="W60100" s="231" t="n"/>
      <c r="X60100" s="231" t="n"/>
    </row>
    <row r="60101" ht="14.25" customHeight="1" s="192">
      <c r="W60101" s="235" t="n"/>
      <c r="X60101" s="235" t="n"/>
    </row>
    <row r="60102" ht="14.25" customHeight="1" s="192">
      <c r="W60102" s="228" t="n"/>
      <c r="X60102" s="228" t="n"/>
    </row>
    <row r="60103" ht="14.25" customHeight="1" s="192">
      <c r="W60103" s="235" t="n"/>
      <c r="X60103" s="235" t="n"/>
    </row>
    <row r="60104" ht="14.25" customHeight="1" s="192">
      <c r="W60104" s="235" t="n"/>
      <c r="X60104" s="235" t="n"/>
    </row>
    <row r="60105" ht="14.25" customHeight="1" s="192">
      <c r="W60105" s="235" t="n"/>
      <c r="X60105" s="235" t="n"/>
    </row>
    <row r="60106" ht="14.25" customHeight="1" s="192">
      <c r="W60106" s="239" t="n"/>
      <c r="X60106" s="239" t="n"/>
    </row>
    <row r="60107" ht="14.25" customHeight="1" s="192">
      <c r="W60107" s="239" t="n"/>
      <c r="X60107" s="239" t="n"/>
    </row>
    <row r="60108" ht="14.25" customHeight="1" s="192">
      <c r="W60108" s="239" t="n"/>
      <c r="X60108" s="239" t="n"/>
    </row>
    <row r="60109" ht="14.25" customHeight="1" s="192">
      <c r="W60109" s="235" t="n"/>
      <c r="X60109" s="235" t="n"/>
    </row>
    <row r="60110" ht="14.25" customHeight="1" s="192">
      <c r="W60110" s="235" t="n"/>
      <c r="X60110" s="235" t="n"/>
    </row>
    <row r="60111" ht="14.25" customHeight="1" s="192">
      <c r="W60111" s="235" t="n"/>
      <c r="X60111" s="235" t="n"/>
    </row>
    <row r="60112" ht="14.25" customHeight="1" s="192">
      <c r="W60112" s="239" t="n"/>
      <c r="X60112" s="239" t="n"/>
    </row>
    <row r="60113" ht="14.25" customHeight="1" s="192">
      <c r="W60113" s="239" t="n"/>
      <c r="X60113" s="239" t="n"/>
    </row>
    <row r="60114" ht="14.25" customHeight="1" s="192">
      <c r="W60114" s="235" t="n"/>
      <c r="X60114" s="235" t="n"/>
    </row>
    <row r="60115" ht="14.25" customHeight="1" s="192">
      <c r="W60115" s="235" t="n"/>
      <c r="X60115" s="235" t="n"/>
    </row>
    <row r="60116" ht="14.25" customHeight="1" s="192">
      <c r="W60116" s="239" t="n"/>
      <c r="X60116" s="239" t="n"/>
    </row>
    <row r="60117" ht="14.25" customHeight="1" s="192">
      <c r="W60117" s="235" t="n"/>
      <c r="X60117" s="235" t="n"/>
    </row>
    <row r="60118" ht="14.25" customHeight="1" s="192">
      <c r="W60118" s="239" t="n"/>
      <c r="X60118" s="239" t="n"/>
    </row>
    <row r="60120" ht="14.25" customHeight="1" s="192">
      <c r="W60120" s="235" t="n"/>
      <c r="X60120" s="235" t="n"/>
    </row>
    <row r="60121" ht="15" customHeight="1" s="192" thickBot="1">
      <c r="W60121" s="239" t="n"/>
      <c r="X60121" s="239" t="n"/>
    </row>
    <row r="60122" ht="15" customHeight="1" s="192" thickBot="1">
      <c r="W60122" s="45" t="n"/>
      <c r="X60122" s="45" t="n"/>
    </row>
    <row r="60123" ht="14.25" customHeight="1" s="192">
      <c r="W60123" s="228" t="n"/>
      <c r="X60123" s="228" t="n"/>
    </row>
    <row r="60124" ht="14.25" customHeight="1" s="192">
      <c r="W60124" s="228" t="n"/>
      <c r="X60124" s="228" t="n"/>
    </row>
    <row r="60125" ht="14.25" customHeight="1" s="192">
      <c r="W60125" s="231" t="n"/>
      <c r="X60125" s="231" t="n"/>
    </row>
    <row r="60126" ht="14.25" customHeight="1" s="192">
      <c r="W60126" s="33" t="n"/>
      <c r="X60126" s="33" t="n"/>
    </row>
    <row r="60127" ht="14.25" customHeight="1" s="192">
      <c r="W60127" s="231" t="n"/>
      <c r="X60127" s="231" t="n"/>
    </row>
    <row r="60128" ht="14.25" customHeight="1" s="192">
      <c r="W60128" s="33" t="n"/>
      <c r="X60128" s="33" t="n"/>
    </row>
    <row r="60130" ht="14.25" customHeight="1" s="192">
      <c r="W60130" s="231" t="n"/>
      <c r="X60130" s="231" t="n"/>
    </row>
    <row r="60131" ht="14.25" customHeight="1" s="192">
      <c r="W60131" s="235" t="n"/>
      <c r="X60131" s="235" t="n"/>
    </row>
    <row r="60132" ht="14.25" customHeight="1" s="192">
      <c r="W60132" s="228" t="n"/>
      <c r="X60132" s="228" t="n"/>
    </row>
    <row r="60133" ht="14.25" customHeight="1" s="192">
      <c r="W60133" s="235" t="n"/>
      <c r="X60133" s="235" t="n"/>
    </row>
    <row r="60134" ht="14.25" customHeight="1" s="192">
      <c r="W60134" s="235" t="n"/>
      <c r="X60134" s="235" t="n"/>
    </row>
    <row r="60135" ht="14.25" customHeight="1" s="192">
      <c r="W60135" s="235" t="n"/>
      <c r="X60135" s="235" t="n"/>
    </row>
    <row r="60136" ht="14.25" customHeight="1" s="192">
      <c r="W60136" s="239" t="n"/>
      <c r="X60136" s="239" t="n"/>
    </row>
    <row r="60137" ht="14.25" customHeight="1" s="192">
      <c r="W60137" s="239" t="n"/>
      <c r="X60137" s="239" t="n"/>
    </row>
    <row r="60138" ht="14.25" customHeight="1" s="192">
      <c r="W60138" s="239" t="n"/>
      <c r="X60138" s="239" t="n"/>
    </row>
    <row r="60139" ht="14.25" customHeight="1" s="192">
      <c r="W60139" s="235" t="n"/>
      <c r="X60139" s="235" t="n"/>
    </row>
    <row r="60140" ht="14.25" customHeight="1" s="192">
      <c r="W60140" s="235" t="n"/>
      <c r="X60140" s="235" t="n"/>
    </row>
    <row r="60141" ht="14.25" customHeight="1" s="192">
      <c r="W60141" s="235" t="n"/>
      <c r="X60141" s="235" t="n"/>
    </row>
    <row r="60142" ht="14.25" customHeight="1" s="192">
      <c r="W60142" s="239" t="n"/>
      <c r="X60142" s="239" t="n"/>
    </row>
    <row r="60143" ht="14.25" customHeight="1" s="192">
      <c r="W60143" s="239" t="n"/>
      <c r="X60143" s="239" t="n"/>
    </row>
    <row r="60144" ht="14.25" customHeight="1" s="192">
      <c r="W60144" s="235" t="n"/>
      <c r="X60144" s="235" t="n"/>
    </row>
    <row r="60145" ht="14.25" customHeight="1" s="192">
      <c r="W60145" s="235" t="n"/>
      <c r="X60145" s="235" t="n"/>
    </row>
    <row r="60146" ht="14.25" customHeight="1" s="192">
      <c r="W60146" s="239" t="n"/>
      <c r="X60146" s="239" t="n"/>
    </row>
    <row r="60147" ht="14.25" customHeight="1" s="192">
      <c r="W60147" s="235" t="n"/>
      <c r="X60147" s="235" t="n"/>
    </row>
    <row r="60148" ht="14.25" customHeight="1" s="192">
      <c r="W60148" s="239" t="n"/>
      <c r="X60148" s="239" t="n"/>
    </row>
    <row r="60150" ht="14.25" customHeight="1" s="192">
      <c r="W60150" s="235" t="n"/>
      <c r="X60150" s="235" t="n"/>
    </row>
    <row r="60151" ht="15" customHeight="1" s="192" thickBot="1">
      <c r="W60151" s="239" t="n"/>
      <c r="X60151" s="239" t="n"/>
    </row>
    <row r="60152" ht="15" customHeight="1" s="192" thickBot="1">
      <c r="W60152" s="45" t="n"/>
      <c r="X60152" s="45" t="n"/>
    </row>
    <row r="60153" ht="14.25" customHeight="1" s="192">
      <c r="W60153" s="228" t="n"/>
      <c r="X60153" s="228" t="n"/>
    </row>
    <row r="60154" ht="14.25" customHeight="1" s="192">
      <c r="W60154" s="228" t="n"/>
      <c r="X60154" s="228" t="n"/>
    </row>
    <row r="60155" ht="14.25" customHeight="1" s="192">
      <c r="W60155" s="231" t="n"/>
      <c r="X60155" s="231" t="n"/>
    </row>
    <row r="60156" ht="14.25" customHeight="1" s="192">
      <c r="W60156" s="33" t="n"/>
      <c r="X60156" s="33" t="n"/>
    </row>
    <row r="60157" ht="14.25" customHeight="1" s="192">
      <c r="W60157" s="231" t="n"/>
      <c r="X60157" s="231" t="n"/>
    </row>
    <row r="60158" ht="14.25" customHeight="1" s="192">
      <c r="W60158" s="33" t="n"/>
      <c r="X60158" s="33" t="n"/>
    </row>
    <row r="60160" ht="14.25" customHeight="1" s="192">
      <c r="W60160" s="231" t="n"/>
      <c r="X60160" s="231" t="n"/>
    </row>
    <row r="60161" ht="14.25" customHeight="1" s="192">
      <c r="W60161" s="235" t="n"/>
      <c r="X60161" s="235" t="n"/>
    </row>
    <row r="60162" ht="14.25" customHeight="1" s="192">
      <c r="W60162" s="228" t="n"/>
      <c r="X60162" s="228" t="n"/>
    </row>
    <row r="60163" ht="14.25" customHeight="1" s="192">
      <c r="W60163" s="235" t="n"/>
      <c r="X60163" s="235" t="n"/>
    </row>
    <row r="60164" ht="14.25" customHeight="1" s="192">
      <c r="W60164" s="235" t="n"/>
      <c r="X60164" s="235" t="n"/>
    </row>
    <row r="60165" ht="14.25" customHeight="1" s="192">
      <c r="W60165" s="235" t="n"/>
      <c r="X60165" s="235" t="n"/>
    </row>
    <row r="60166" ht="14.25" customHeight="1" s="192">
      <c r="W60166" s="239" t="n"/>
      <c r="X60166" s="239" t="n"/>
    </row>
    <row r="60167" ht="14.25" customHeight="1" s="192">
      <c r="W60167" s="239" t="n"/>
      <c r="X60167" s="239" t="n"/>
    </row>
    <row r="60168" ht="14.25" customHeight="1" s="192">
      <c r="W60168" s="239" t="n"/>
      <c r="X60168" s="239" t="n"/>
    </row>
    <row r="60169" ht="14.25" customHeight="1" s="192">
      <c r="W60169" s="235" t="n"/>
      <c r="X60169" s="235" t="n"/>
    </row>
    <row r="60170" ht="14.25" customHeight="1" s="192">
      <c r="W60170" s="235" t="n"/>
      <c r="X60170" s="235" t="n"/>
    </row>
    <row r="60171" ht="14.25" customHeight="1" s="192">
      <c r="W60171" s="235" t="n"/>
      <c r="X60171" s="235" t="n"/>
    </row>
    <row r="60172" ht="14.25" customHeight="1" s="192">
      <c r="W60172" s="239" t="n"/>
      <c r="X60172" s="239" t="n"/>
    </row>
    <row r="60173" ht="14.25" customHeight="1" s="192">
      <c r="W60173" s="239" t="n"/>
      <c r="X60173" s="239" t="n"/>
    </row>
    <row r="60174" ht="14.25" customHeight="1" s="192">
      <c r="W60174" s="235" t="n"/>
      <c r="X60174" s="235" t="n"/>
    </row>
    <row r="60175" ht="14.25" customHeight="1" s="192">
      <c r="W60175" s="235" t="n"/>
      <c r="X60175" s="235" t="n"/>
    </row>
    <row r="60176" ht="14.25" customHeight="1" s="192">
      <c r="W60176" s="239" t="n"/>
      <c r="X60176" s="239" t="n"/>
    </row>
    <row r="60177" ht="14.25" customHeight="1" s="192">
      <c r="W60177" s="235" t="n"/>
      <c r="X60177" s="235" t="n"/>
    </row>
    <row r="60178" ht="14.25" customHeight="1" s="192">
      <c r="W60178" s="239" t="n"/>
      <c r="X60178" s="239" t="n"/>
    </row>
    <row r="60180" ht="14.25" customHeight="1" s="192">
      <c r="W60180" s="235" t="n"/>
      <c r="X60180" s="235" t="n"/>
    </row>
    <row r="60181" ht="15" customHeight="1" s="192" thickBot="1">
      <c r="W60181" s="239" t="n"/>
      <c r="X60181" s="239" t="n"/>
    </row>
    <row r="60182" ht="15" customHeight="1" s="192" thickBot="1">
      <c r="W60182" s="45" t="n"/>
      <c r="X60182" s="45" t="n"/>
    </row>
    <row r="60183" ht="14.25" customHeight="1" s="192">
      <c r="W60183" s="228" t="n"/>
      <c r="X60183" s="228" t="n"/>
    </row>
    <row r="60184" ht="14.25" customHeight="1" s="192">
      <c r="W60184" s="228" t="n"/>
      <c r="X60184" s="228" t="n"/>
    </row>
    <row r="60185" ht="14.25" customHeight="1" s="192">
      <c r="W60185" s="231" t="n"/>
      <c r="X60185" s="231" t="n"/>
    </row>
    <row r="60186" ht="14.25" customHeight="1" s="192">
      <c r="W60186" s="33" t="n"/>
      <c r="X60186" s="33" t="n"/>
    </row>
    <row r="60187" ht="14.25" customHeight="1" s="192">
      <c r="W60187" s="231" t="n"/>
      <c r="X60187" s="231" t="n"/>
    </row>
    <row r="60188" ht="14.25" customHeight="1" s="192">
      <c r="W60188" s="33" t="n"/>
      <c r="X60188" s="33" t="n"/>
    </row>
    <row r="60190" ht="14.25" customHeight="1" s="192">
      <c r="W60190" s="231" t="n"/>
      <c r="X60190" s="231" t="n"/>
    </row>
    <row r="60191" ht="14.25" customHeight="1" s="192">
      <c r="W60191" s="235" t="n"/>
      <c r="X60191" s="235" t="n"/>
    </row>
    <row r="60192" ht="14.25" customHeight="1" s="192">
      <c r="W60192" s="228" t="n"/>
      <c r="X60192" s="228" t="n"/>
    </row>
    <row r="60193" ht="14.25" customHeight="1" s="192">
      <c r="W60193" s="235" t="n"/>
      <c r="X60193" s="235" t="n"/>
    </row>
    <row r="60194" ht="14.25" customHeight="1" s="192">
      <c r="W60194" s="235" t="n"/>
      <c r="X60194" s="235" t="n"/>
    </row>
    <row r="60195" ht="14.25" customHeight="1" s="192">
      <c r="W60195" s="235" t="n"/>
      <c r="X60195" s="235" t="n"/>
    </row>
    <row r="60196" ht="14.25" customHeight="1" s="192">
      <c r="W60196" s="239" t="n"/>
      <c r="X60196" s="239" t="n"/>
    </row>
    <row r="60197" ht="14.25" customHeight="1" s="192">
      <c r="W60197" s="239" t="n"/>
      <c r="X60197" s="239" t="n"/>
    </row>
    <row r="60198" ht="14.25" customHeight="1" s="192">
      <c r="W60198" s="239" t="n"/>
      <c r="X60198" s="239" t="n"/>
    </row>
    <row r="60199" ht="14.25" customHeight="1" s="192">
      <c r="W60199" s="235" t="n"/>
      <c r="X60199" s="235" t="n"/>
    </row>
    <row r="60200" ht="14.25" customHeight="1" s="192">
      <c r="W60200" s="235" t="n"/>
      <c r="X60200" s="235" t="n"/>
    </row>
    <row r="60201" ht="14.25" customHeight="1" s="192">
      <c r="W60201" s="235" t="n"/>
      <c r="X60201" s="235" t="n"/>
    </row>
    <row r="60202" ht="14.25" customHeight="1" s="192">
      <c r="W60202" s="239" t="n"/>
      <c r="X60202" s="239" t="n"/>
    </row>
    <row r="60203" ht="14.25" customHeight="1" s="192">
      <c r="W60203" s="239" t="n"/>
      <c r="X60203" s="239" t="n"/>
    </row>
    <row r="60204" ht="14.25" customHeight="1" s="192">
      <c r="W60204" s="235" t="n"/>
      <c r="X60204" s="235" t="n"/>
    </row>
    <row r="60205" ht="14.25" customHeight="1" s="192">
      <c r="W60205" s="235" t="n"/>
      <c r="X60205" s="235" t="n"/>
    </row>
    <row r="60206" ht="14.25" customHeight="1" s="192">
      <c r="W60206" s="239" t="n"/>
      <c r="X60206" s="239" t="n"/>
    </row>
    <row r="60207" ht="14.25" customHeight="1" s="192">
      <c r="W60207" s="235" t="n"/>
      <c r="X60207" s="235" t="n"/>
    </row>
    <row r="60208" ht="14.25" customHeight="1" s="192">
      <c r="W60208" s="239" t="n"/>
      <c r="X60208" s="239" t="n"/>
    </row>
    <row r="60210" ht="14.25" customHeight="1" s="192">
      <c r="W60210" s="235" t="n"/>
      <c r="X60210" s="235" t="n"/>
    </row>
    <row r="60211" ht="15" customHeight="1" s="192" thickBot="1">
      <c r="W60211" s="239" t="n"/>
      <c r="X60211" s="239" t="n"/>
    </row>
    <row r="60212" ht="15" customHeight="1" s="192" thickBot="1">
      <c r="W60212" s="45" t="n"/>
      <c r="X60212" s="45" t="n"/>
    </row>
    <row r="60213" ht="14.25" customHeight="1" s="192">
      <c r="W60213" s="228" t="n"/>
      <c r="X60213" s="228" t="n"/>
    </row>
    <row r="60214" ht="14.25" customHeight="1" s="192">
      <c r="W60214" s="228" t="n"/>
      <c r="X60214" s="228" t="n"/>
    </row>
    <row r="60215" ht="14.25" customHeight="1" s="192">
      <c r="W60215" s="231" t="n"/>
      <c r="X60215" s="231" t="n"/>
    </row>
    <row r="60216" ht="14.25" customHeight="1" s="192">
      <c r="W60216" s="33" t="n"/>
      <c r="X60216" s="33" t="n"/>
    </row>
    <row r="60217" ht="14.25" customHeight="1" s="192">
      <c r="W60217" s="231" t="n"/>
      <c r="X60217" s="231" t="n"/>
    </row>
    <row r="60218" ht="14.25" customHeight="1" s="192">
      <c r="W60218" s="33" t="n"/>
      <c r="X60218" s="33" t="n"/>
    </row>
    <row r="60220" ht="14.25" customHeight="1" s="192">
      <c r="W60220" s="231" t="n"/>
      <c r="X60220" s="231" t="n"/>
    </row>
    <row r="60221" ht="14.25" customHeight="1" s="192">
      <c r="W60221" s="235" t="n"/>
      <c r="X60221" s="235" t="n"/>
    </row>
    <row r="60222" ht="14.25" customHeight="1" s="192">
      <c r="W60222" s="228" t="n"/>
      <c r="X60222" s="228" t="n"/>
    </row>
    <row r="60223" ht="14.25" customHeight="1" s="192">
      <c r="W60223" s="235" t="n"/>
      <c r="X60223" s="235" t="n"/>
    </row>
    <row r="60224" ht="14.25" customHeight="1" s="192">
      <c r="W60224" s="235" t="n"/>
      <c r="X60224" s="235" t="n"/>
    </row>
    <row r="60225" ht="14.25" customHeight="1" s="192">
      <c r="W60225" s="235" t="n"/>
      <c r="X60225" s="235" t="n"/>
    </row>
    <row r="60226" ht="14.25" customHeight="1" s="192">
      <c r="W60226" s="239" t="n"/>
      <c r="X60226" s="239" t="n"/>
    </row>
    <row r="60227" ht="14.25" customHeight="1" s="192">
      <c r="W60227" s="239" t="n"/>
      <c r="X60227" s="239" t="n"/>
    </row>
    <row r="60228" ht="14.25" customHeight="1" s="192">
      <c r="W60228" s="239" t="n"/>
      <c r="X60228" s="239" t="n"/>
    </row>
    <row r="60229" ht="14.25" customHeight="1" s="192">
      <c r="W60229" s="235" t="n"/>
      <c r="X60229" s="235" t="n"/>
    </row>
    <row r="60230" ht="14.25" customHeight="1" s="192">
      <c r="W60230" s="235" t="n"/>
      <c r="X60230" s="235" t="n"/>
    </row>
    <row r="60231" ht="14.25" customHeight="1" s="192">
      <c r="W60231" s="235" t="n"/>
      <c r="X60231" s="235" t="n"/>
    </row>
    <row r="60232" ht="14.25" customHeight="1" s="192">
      <c r="W60232" s="239" t="n"/>
      <c r="X60232" s="239" t="n"/>
    </row>
    <row r="60233" ht="14.25" customHeight="1" s="192">
      <c r="W60233" s="239" t="n"/>
      <c r="X60233" s="239" t="n"/>
    </row>
    <row r="60234" ht="14.25" customHeight="1" s="192">
      <c r="W60234" s="235" t="n"/>
      <c r="X60234" s="235" t="n"/>
    </row>
    <row r="60235" ht="14.25" customHeight="1" s="192">
      <c r="W60235" s="235" t="n"/>
      <c r="X60235" s="235" t="n"/>
    </row>
    <row r="60236" ht="14.25" customHeight="1" s="192">
      <c r="W60236" s="239" t="n"/>
      <c r="X60236" s="239" t="n"/>
    </row>
    <row r="60237" ht="14.25" customHeight="1" s="192">
      <c r="W60237" s="235" t="n"/>
      <c r="X60237" s="235" t="n"/>
    </row>
    <row r="60238" ht="14.25" customHeight="1" s="192">
      <c r="W60238" s="239" t="n"/>
      <c r="X60238" s="239" t="n"/>
    </row>
    <row r="60240" ht="14.25" customHeight="1" s="192">
      <c r="W60240" s="235" t="n"/>
      <c r="X60240" s="235" t="n"/>
    </row>
    <row r="60241" ht="15" customHeight="1" s="192" thickBot="1">
      <c r="W60241" s="239" t="n"/>
      <c r="X60241" s="239" t="n"/>
    </row>
    <row r="60242" ht="15" customHeight="1" s="192" thickBot="1">
      <c r="W60242" s="45" t="n"/>
      <c r="X60242" s="45" t="n"/>
    </row>
    <row r="60243" ht="14.25" customHeight="1" s="192">
      <c r="W60243" s="228" t="n"/>
      <c r="X60243" s="228" t="n"/>
    </row>
    <row r="60244" ht="14.25" customHeight="1" s="192">
      <c r="W60244" s="228" t="n"/>
      <c r="X60244" s="228" t="n"/>
    </row>
    <row r="60245" ht="14.25" customHeight="1" s="192">
      <c r="W60245" s="231" t="n"/>
      <c r="X60245" s="231" t="n"/>
    </row>
    <row r="60246" ht="14.25" customHeight="1" s="192">
      <c r="W60246" s="33" t="n"/>
      <c r="X60246" s="33" t="n"/>
    </row>
    <row r="60247" ht="14.25" customHeight="1" s="192">
      <c r="W60247" s="231" t="n"/>
      <c r="X60247" s="231" t="n"/>
    </row>
    <row r="60248" ht="14.25" customHeight="1" s="192">
      <c r="W60248" s="33" t="n"/>
      <c r="X60248" s="33" t="n"/>
    </row>
    <row r="60250" ht="14.25" customHeight="1" s="192">
      <c r="W60250" s="231" t="n"/>
      <c r="X60250" s="231" t="n"/>
    </row>
    <row r="60251" ht="14.25" customHeight="1" s="192">
      <c r="W60251" s="235" t="n"/>
      <c r="X60251" s="235" t="n"/>
    </row>
    <row r="60252" ht="14.25" customHeight="1" s="192">
      <c r="W60252" s="228" t="n"/>
      <c r="X60252" s="228" t="n"/>
    </row>
    <row r="60253" ht="14.25" customHeight="1" s="192">
      <c r="W60253" s="235" t="n"/>
      <c r="X60253" s="235" t="n"/>
    </row>
    <row r="60254" ht="14.25" customHeight="1" s="192">
      <c r="W60254" s="235" t="n"/>
      <c r="X60254" s="235" t="n"/>
    </row>
    <row r="60255" ht="14.25" customHeight="1" s="192">
      <c r="W60255" s="235" t="n"/>
      <c r="X60255" s="235" t="n"/>
    </row>
    <row r="60256" ht="14.25" customHeight="1" s="192">
      <c r="W60256" s="239" t="n"/>
      <c r="X60256" s="239" t="n"/>
    </row>
    <row r="60257" ht="14.25" customHeight="1" s="192">
      <c r="W60257" s="239" t="n"/>
      <c r="X60257" s="239" t="n"/>
    </row>
    <row r="60258" ht="14.25" customHeight="1" s="192">
      <c r="W60258" s="239" t="n"/>
      <c r="X60258" s="239" t="n"/>
    </row>
    <row r="60259" ht="14.25" customHeight="1" s="192">
      <c r="W60259" s="235" t="n"/>
      <c r="X60259" s="235" t="n"/>
    </row>
    <row r="60260" ht="14.25" customHeight="1" s="192">
      <c r="W60260" s="235" t="n"/>
      <c r="X60260" s="235" t="n"/>
    </row>
    <row r="60261" ht="14.25" customHeight="1" s="192">
      <c r="W60261" s="235" t="n"/>
      <c r="X60261" s="235" t="n"/>
    </row>
    <row r="60262" ht="14.25" customHeight="1" s="192">
      <c r="W60262" s="239" t="n"/>
      <c r="X60262" s="239" t="n"/>
    </row>
    <row r="60263" ht="14.25" customHeight="1" s="192">
      <c r="W60263" s="239" t="n"/>
      <c r="X60263" s="239" t="n"/>
    </row>
    <row r="60264" ht="14.25" customHeight="1" s="192">
      <c r="W60264" s="235" t="n"/>
      <c r="X60264" s="235" t="n"/>
    </row>
    <row r="60265" ht="14.25" customHeight="1" s="192">
      <c r="W60265" s="235" t="n"/>
      <c r="X60265" s="235" t="n"/>
    </row>
    <row r="60266" ht="14.25" customHeight="1" s="192">
      <c r="W60266" s="239" t="n"/>
      <c r="X60266" s="239" t="n"/>
    </row>
    <row r="60267" ht="14.25" customHeight="1" s="192">
      <c r="W60267" s="235" t="n"/>
      <c r="X60267" s="235" t="n"/>
    </row>
    <row r="60268" ht="14.25" customHeight="1" s="192">
      <c r="W60268" s="239" t="n"/>
      <c r="X60268" s="239" t="n"/>
    </row>
    <row r="60270" ht="14.25" customHeight="1" s="192">
      <c r="W60270" s="235" t="n"/>
      <c r="X60270" s="235" t="n"/>
    </row>
    <row r="60271" ht="15" customHeight="1" s="192" thickBot="1">
      <c r="W60271" s="239" t="n"/>
      <c r="X60271" s="239" t="n"/>
    </row>
    <row r="60272" ht="15" customHeight="1" s="192" thickBot="1">
      <c r="W60272" s="45" t="n"/>
      <c r="X60272" s="45" t="n"/>
    </row>
    <row r="60273" ht="14.25" customHeight="1" s="192">
      <c r="W60273" s="228" t="n"/>
      <c r="X60273" s="228" t="n"/>
    </row>
    <row r="60274" ht="14.25" customHeight="1" s="192">
      <c r="W60274" s="228" t="n"/>
      <c r="X60274" s="228" t="n"/>
    </row>
    <row r="60275" ht="14.25" customHeight="1" s="192">
      <c r="W60275" s="231" t="n"/>
      <c r="X60275" s="231" t="n"/>
    </row>
    <row r="60276" ht="14.25" customHeight="1" s="192">
      <c r="W60276" s="33" t="n"/>
      <c r="X60276" s="33" t="n"/>
    </row>
    <row r="60277" ht="14.25" customHeight="1" s="192">
      <c r="W60277" s="231" t="n"/>
      <c r="X60277" s="231" t="n"/>
    </row>
    <row r="60278" ht="14.25" customHeight="1" s="192">
      <c r="W60278" s="33" t="n"/>
      <c r="X60278" s="33" t="n"/>
    </row>
    <row r="60280" ht="14.25" customHeight="1" s="192">
      <c r="W60280" s="231" t="n"/>
      <c r="X60280" s="231" t="n"/>
    </row>
    <row r="60281" ht="14.25" customHeight="1" s="192">
      <c r="W60281" s="235" t="n"/>
      <c r="X60281" s="235" t="n"/>
    </row>
    <row r="60282" ht="14.25" customHeight="1" s="192">
      <c r="W60282" s="228" t="n"/>
      <c r="X60282" s="228" t="n"/>
    </row>
    <row r="60283" ht="14.25" customHeight="1" s="192">
      <c r="W60283" s="235" t="n"/>
      <c r="X60283" s="235" t="n"/>
    </row>
    <row r="60284" ht="14.25" customHeight="1" s="192">
      <c r="W60284" s="235" t="n"/>
      <c r="X60284" s="235" t="n"/>
    </row>
    <row r="60285" ht="14.25" customHeight="1" s="192">
      <c r="W60285" s="235" t="n"/>
      <c r="X60285" s="235" t="n"/>
    </row>
    <row r="60286" ht="14.25" customHeight="1" s="192">
      <c r="W60286" s="239" t="n"/>
      <c r="X60286" s="239" t="n"/>
    </row>
    <row r="60287" ht="14.25" customHeight="1" s="192">
      <c r="W60287" s="239" t="n"/>
      <c r="X60287" s="239" t="n"/>
    </row>
    <row r="60288" ht="14.25" customHeight="1" s="192">
      <c r="W60288" s="239" t="n"/>
      <c r="X60288" s="239" t="n"/>
    </row>
    <row r="60289" ht="14.25" customHeight="1" s="192">
      <c r="W60289" s="235" t="n"/>
      <c r="X60289" s="235" t="n"/>
    </row>
    <row r="60290" ht="14.25" customHeight="1" s="192">
      <c r="W60290" s="235" t="n"/>
      <c r="X60290" s="235" t="n"/>
    </row>
    <row r="60291" ht="14.25" customHeight="1" s="192">
      <c r="W60291" s="235" t="n"/>
      <c r="X60291" s="235" t="n"/>
    </row>
    <row r="60292" ht="14.25" customHeight="1" s="192">
      <c r="W60292" s="239" t="n"/>
      <c r="X60292" s="239" t="n"/>
    </row>
    <row r="60293" ht="14.25" customHeight="1" s="192">
      <c r="W60293" s="239" t="n"/>
      <c r="X60293" s="239" t="n"/>
    </row>
    <row r="60294" ht="14.25" customHeight="1" s="192">
      <c r="W60294" s="235" t="n"/>
      <c r="X60294" s="235" t="n"/>
    </row>
    <row r="60295" ht="14.25" customHeight="1" s="192">
      <c r="W60295" s="235" t="n"/>
      <c r="X60295" s="235" t="n"/>
    </row>
    <row r="60296" ht="14.25" customHeight="1" s="192">
      <c r="W60296" s="239" t="n"/>
      <c r="X60296" s="239" t="n"/>
    </row>
    <row r="60297" ht="14.25" customHeight="1" s="192">
      <c r="W60297" s="235" t="n"/>
      <c r="X60297" s="235" t="n"/>
    </row>
    <row r="60298" ht="14.25" customHeight="1" s="192">
      <c r="W60298" s="239" t="n"/>
      <c r="X60298" s="239" t="n"/>
    </row>
    <row r="60300" ht="14.25" customHeight="1" s="192">
      <c r="W60300" s="235" t="n"/>
      <c r="X60300" s="235" t="n"/>
    </row>
    <row r="60301" ht="15" customHeight="1" s="192" thickBot="1">
      <c r="W60301" s="239" t="n"/>
      <c r="X60301" s="239" t="n"/>
    </row>
    <row r="60302" ht="15" customHeight="1" s="192" thickBot="1">
      <c r="W60302" s="45" t="n"/>
      <c r="X60302" s="45" t="n"/>
    </row>
    <row r="60303" ht="14.25" customHeight="1" s="192">
      <c r="W60303" s="228" t="n"/>
      <c r="X60303" s="228" t="n"/>
    </row>
    <row r="60304" ht="14.25" customHeight="1" s="192">
      <c r="W60304" s="228" t="n"/>
      <c r="X60304" s="228" t="n"/>
    </row>
    <row r="60305" ht="14.25" customHeight="1" s="192">
      <c r="W60305" s="231" t="n"/>
      <c r="X60305" s="231" t="n"/>
    </row>
    <row r="60306" ht="14.25" customHeight="1" s="192">
      <c r="W60306" s="33" t="n"/>
      <c r="X60306" s="33" t="n"/>
    </row>
    <row r="60307" ht="14.25" customHeight="1" s="192">
      <c r="W60307" s="231" t="n"/>
      <c r="X60307" s="231" t="n"/>
    </row>
    <row r="60308" ht="14.25" customHeight="1" s="192">
      <c r="W60308" s="33" t="n"/>
      <c r="X60308" s="33" t="n"/>
    </row>
    <row r="60310" ht="14.25" customHeight="1" s="192">
      <c r="W60310" s="231" t="n"/>
      <c r="X60310" s="231" t="n"/>
    </row>
    <row r="60311" ht="14.25" customHeight="1" s="192">
      <c r="W60311" s="235" t="n"/>
      <c r="X60311" s="235" t="n"/>
    </row>
    <row r="60312" ht="14.25" customHeight="1" s="192">
      <c r="W60312" s="228" t="n"/>
      <c r="X60312" s="228" t="n"/>
    </row>
    <row r="60313" ht="14.25" customHeight="1" s="192">
      <c r="W60313" s="235" t="n"/>
      <c r="X60313" s="235" t="n"/>
    </row>
    <row r="60314" ht="14.25" customHeight="1" s="192">
      <c r="W60314" s="235" t="n"/>
      <c r="X60314" s="235" t="n"/>
    </row>
    <row r="60315" ht="14.25" customHeight="1" s="192">
      <c r="W60315" s="235" t="n"/>
      <c r="X60315" s="235" t="n"/>
    </row>
    <row r="60316" ht="14.25" customHeight="1" s="192">
      <c r="W60316" s="239" t="n"/>
      <c r="X60316" s="239" t="n"/>
    </row>
    <row r="60317" ht="14.25" customHeight="1" s="192">
      <c r="W60317" s="239" t="n"/>
      <c r="X60317" s="239" t="n"/>
    </row>
    <row r="60318" ht="14.25" customHeight="1" s="192">
      <c r="W60318" s="239" t="n"/>
      <c r="X60318" s="239" t="n"/>
    </row>
    <row r="60319" ht="14.25" customHeight="1" s="192">
      <c r="W60319" s="235" t="n"/>
      <c r="X60319" s="235" t="n"/>
    </row>
    <row r="60320" ht="14.25" customHeight="1" s="192">
      <c r="W60320" s="235" t="n"/>
      <c r="X60320" s="235" t="n"/>
    </row>
    <row r="60321" ht="14.25" customHeight="1" s="192">
      <c r="W60321" s="235" t="n"/>
      <c r="X60321" s="235" t="n"/>
    </row>
    <row r="60322" ht="14.25" customHeight="1" s="192">
      <c r="W60322" s="239" t="n"/>
      <c r="X60322" s="239" t="n"/>
    </row>
    <row r="60323" ht="14.25" customHeight="1" s="192">
      <c r="W60323" s="239" t="n"/>
      <c r="X60323" s="239" t="n"/>
    </row>
    <row r="60324" ht="14.25" customHeight="1" s="192">
      <c r="W60324" s="235" t="n"/>
      <c r="X60324" s="235" t="n"/>
    </row>
    <row r="60325" ht="14.25" customHeight="1" s="192">
      <c r="W60325" s="235" t="n"/>
      <c r="X60325" s="235" t="n"/>
    </row>
    <row r="60326" ht="14.25" customHeight="1" s="192">
      <c r="W60326" s="239" t="n"/>
      <c r="X60326" s="239" t="n"/>
    </row>
    <row r="60327" ht="14.25" customHeight="1" s="192">
      <c r="W60327" s="235" t="n"/>
      <c r="X60327" s="235" t="n"/>
    </row>
    <row r="60328" ht="14.25" customHeight="1" s="192">
      <c r="W60328" s="239" t="n"/>
      <c r="X60328" s="239" t="n"/>
    </row>
    <row r="60330" ht="14.25" customHeight="1" s="192">
      <c r="W60330" s="235" t="n"/>
      <c r="X60330" s="235" t="n"/>
    </row>
    <row r="60331" ht="15" customHeight="1" s="192" thickBot="1">
      <c r="W60331" s="239" t="n"/>
      <c r="X60331" s="239" t="n"/>
    </row>
    <row r="60332" ht="15" customHeight="1" s="192" thickBot="1">
      <c r="W60332" s="45" t="n"/>
      <c r="X60332" s="45" t="n"/>
    </row>
    <row r="60333" ht="14.25" customHeight="1" s="192">
      <c r="W60333" s="228" t="n"/>
      <c r="X60333" s="228" t="n"/>
    </row>
    <row r="60334" ht="14.25" customHeight="1" s="192">
      <c r="W60334" s="228" t="n"/>
      <c r="X60334" s="228" t="n"/>
    </row>
    <row r="60335" ht="14.25" customHeight="1" s="192">
      <c r="W60335" s="231" t="n"/>
      <c r="X60335" s="231" t="n"/>
    </row>
    <row r="60336" ht="14.25" customHeight="1" s="192">
      <c r="W60336" s="33" t="n"/>
      <c r="X60336" s="33" t="n"/>
    </row>
    <row r="60337" ht="14.25" customHeight="1" s="192">
      <c r="W60337" s="231" t="n"/>
      <c r="X60337" s="231" t="n"/>
    </row>
    <row r="60338" ht="14.25" customHeight="1" s="192">
      <c r="W60338" s="33" t="n"/>
      <c r="X60338" s="33" t="n"/>
    </row>
    <row r="60340" ht="14.25" customHeight="1" s="192">
      <c r="W60340" s="231" t="n"/>
      <c r="X60340" s="231" t="n"/>
    </row>
    <row r="60341" ht="14.25" customHeight="1" s="192">
      <c r="W60341" s="235" t="n"/>
      <c r="X60341" s="235" t="n"/>
    </row>
    <row r="60342" ht="14.25" customHeight="1" s="192">
      <c r="W60342" s="228" t="n"/>
      <c r="X60342" s="228" t="n"/>
    </row>
    <row r="60343" ht="14.25" customHeight="1" s="192">
      <c r="W60343" s="235" t="n"/>
      <c r="X60343" s="235" t="n"/>
    </row>
    <row r="60344" ht="14.25" customHeight="1" s="192">
      <c r="W60344" s="235" t="n"/>
      <c r="X60344" s="235" t="n"/>
    </row>
    <row r="60345" ht="14.25" customHeight="1" s="192">
      <c r="W60345" s="235" t="n"/>
      <c r="X60345" s="235" t="n"/>
    </row>
    <row r="60346" ht="14.25" customHeight="1" s="192">
      <c r="W60346" s="239" t="n"/>
      <c r="X60346" s="239" t="n"/>
    </row>
    <row r="60347" ht="14.25" customHeight="1" s="192">
      <c r="W60347" s="239" t="n"/>
      <c r="X60347" s="239" t="n"/>
    </row>
    <row r="60348" ht="14.25" customHeight="1" s="192">
      <c r="W60348" s="239" t="n"/>
      <c r="X60348" s="239" t="n"/>
    </row>
    <row r="60349" ht="14.25" customHeight="1" s="192">
      <c r="W60349" s="235" t="n"/>
      <c r="X60349" s="235" t="n"/>
    </row>
    <row r="60350" ht="14.25" customHeight="1" s="192">
      <c r="W60350" s="235" t="n"/>
      <c r="X60350" s="235" t="n"/>
    </row>
    <row r="60351" ht="14.25" customHeight="1" s="192">
      <c r="W60351" s="235" t="n"/>
      <c r="X60351" s="235" t="n"/>
    </row>
    <row r="60352" ht="14.25" customHeight="1" s="192">
      <c r="W60352" s="239" t="n"/>
      <c r="X60352" s="239" t="n"/>
    </row>
    <row r="60353" ht="14.25" customHeight="1" s="192">
      <c r="W60353" s="239" t="n"/>
      <c r="X60353" s="239" t="n"/>
    </row>
    <row r="60354" ht="14.25" customHeight="1" s="192">
      <c r="W60354" s="235" t="n"/>
      <c r="X60354" s="235" t="n"/>
    </row>
    <row r="60355" ht="14.25" customHeight="1" s="192">
      <c r="W60355" s="235" t="n"/>
      <c r="X60355" s="235" t="n"/>
    </row>
    <row r="60356" ht="14.25" customHeight="1" s="192">
      <c r="W60356" s="239" t="n"/>
      <c r="X60356" s="239" t="n"/>
    </row>
    <row r="60357" ht="14.25" customHeight="1" s="192">
      <c r="W60357" s="235" t="n"/>
      <c r="X60357" s="235" t="n"/>
    </row>
    <row r="60358" ht="14.25" customHeight="1" s="192">
      <c r="W60358" s="239" t="n"/>
      <c r="X60358" s="239" t="n"/>
    </row>
    <row r="60360" ht="14.25" customHeight="1" s="192">
      <c r="W60360" s="235" t="n"/>
      <c r="X60360" s="235" t="n"/>
    </row>
    <row r="60361" ht="15" customHeight="1" s="192" thickBot="1">
      <c r="W60361" s="239" t="n"/>
      <c r="X60361" s="239" t="n"/>
    </row>
    <row r="60362" ht="15" customHeight="1" s="192" thickBot="1">
      <c r="W60362" s="45" t="n"/>
      <c r="X60362" s="45" t="n"/>
    </row>
    <row r="60363" ht="14.25" customHeight="1" s="192">
      <c r="W60363" s="228" t="n"/>
      <c r="X60363" s="228" t="n"/>
    </row>
    <row r="60364" ht="14.25" customHeight="1" s="192">
      <c r="W60364" s="228" t="n"/>
      <c r="X60364" s="228" t="n"/>
    </row>
    <row r="60365" ht="14.25" customHeight="1" s="192">
      <c r="W60365" s="231" t="n"/>
      <c r="X60365" s="231" t="n"/>
    </row>
    <row r="60366" ht="14.25" customHeight="1" s="192">
      <c r="W60366" s="33" t="n"/>
      <c r="X60366" s="33" t="n"/>
    </row>
    <row r="60367" ht="14.25" customHeight="1" s="192">
      <c r="W60367" s="231" t="n"/>
      <c r="X60367" s="231" t="n"/>
    </row>
    <row r="60368" ht="14.25" customHeight="1" s="192">
      <c r="W60368" s="33" t="n"/>
      <c r="X60368" s="33" t="n"/>
    </row>
    <row r="60370" ht="14.25" customHeight="1" s="192">
      <c r="W60370" s="231" t="n"/>
      <c r="X60370" s="231" t="n"/>
    </row>
    <row r="60371" ht="14.25" customHeight="1" s="192">
      <c r="W60371" s="235" t="n"/>
      <c r="X60371" s="235" t="n"/>
    </row>
    <row r="60372" ht="14.25" customHeight="1" s="192">
      <c r="W60372" s="228" t="n"/>
      <c r="X60372" s="228" t="n"/>
    </row>
    <row r="60373" ht="14.25" customHeight="1" s="192">
      <c r="W60373" s="235" t="n"/>
      <c r="X60373" s="235" t="n"/>
    </row>
    <row r="60374" ht="14.25" customHeight="1" s="192">
      <c r="W60374" s="235" t="n"/>
      <c r="X60374" s="235" t="n"/>
    </row>
    <row r="60375" ht="14.25" customHeight="1" s="192">
      <c r="W60375" s="235" t="n"/>
      <c r="X60375" s="235" t="n"/>
    </row>
    <row r="60376" ht="14.25" customHeight="1" s="192">
      <c r="W60376" s="239" t="n"/>
      <c r="X60376" s="239" t="n"/>
    </row>
    <row r="60377" ht="14.25" customHeight="1" s="192">
      <c r="W60377" s="239" t="n"/>
      <c r="X60377" s="239" t="n"/>
    </row>
    <row r="60378" ht="14.25" customHeight="1" s="192">
      <c r="W60378" s="239" t="n"/>
      <c r="X60378" s="239" t="n"/>
    </row>
    <row r="60379" ht="14.25" customHeight="1" s="192">
      <c r="W60379" s="235" t="n"/>
      <c r="X60379" s="235" t="n"/>
    </row>
    <row r="60380" ht="14.25" customHeight="1" s="192">
      <c r="W60380" s="235" t="n"/>
      <c r="X60380" s="235" t="n"/>
    </row>
    <row r="60381" ht="14.25" customHeight="1" s="192">
      <c r="W60381" s="235" t="n"/>
      <c r="X60381" s="235" t="n"/>
    </row>
    <row r="60382" ht="14.25" customHeight="1" s="192">
      <c r="W60382" s="239" t="n"/>
      <c r="X60382" s="239" t="n"/>
    </row>
    <row r="60383" ht="14.25" customHeight="1" s="192">
      <c r="W60383" s="239" t="n"/>
      <c r="X60383" s="239" t="n"/>
    </row>
    <row r="60384" ht="14.25" customHeight="1" s="192">
      <c r="W60384" s="235" t="n"/>
      <c r="X60384" s="235" t="n"/>
    </row>
    <row r="60385" ht="14.25" customHeight="1" s="192">
      <c r="W60385" s="235" t="n"/>
      <c r="X60385" s="235" t="n"/>
    </row>
    <row r="60386" ht="14.25" customHeight="1" s="192">
      <c r="W60386" s="239" t="n"/>
      <c r="X60386" s="239" t="n"/>
    </row>
    <row r="60387" ht="14.25" customHeight="1" s="192">
      <c r="W60387" s="235" t="n"/>
      <c r="X60387" s="235" t="n"/>
    </row>
    <row r="60388" ht="14.25" customHeight="1" s="192">
      <c r="W60388" s="239" t="n"/>
      <c r="X60388" s="239" t="n"/>
    </row>
    <row r="60390" ht="14.25" customHeight="1" s="192">
      <c r="W60390" s="235" t="n"/>
      <c r="X60390" s="235" t="n"/>
    </row>
    <row r="60391" ht="15" customHeight="1" s="192" thickBot="1">
      <c r="W60391" s="239" t="n"/>
      <c r="X60391" s="239" t="n"/>
    </row>
    <row r="60392" ht="15" customHeight="1" s="192" thickBot="1">
      <c r="W60392" s="45" t="n"/>
      <c r="X60392" s="45" t="n"/>
    </row>
    <row r="60393" ht="14.25" customHeight="1" s="192">
      <c r="W60393" s="228" t="n"/>
      <c r="X60393" s="228" t="n"/>
    </row>
    <row r="60394" ht="14.25" customHeight="1" s="192">
      <c r="W60394" s="228" t="n"/>
      <c r="X60394" s="228" t="n"/>
    </row>
    <row r="60395" ht="14.25" customHeight="1" s="192">
      <c r="W60395" s="231" t="n"/>
      <c r="X60395" s="231" t="n"/>
    </row>
    <row r="60396" ht="14.25" customHeight="1" s="192">
      <c r="W60396" s="33" t="n"/>
      <c r="X60396" s="33" t="n"/>
    </row>
    <row r="60397" ht="14.25" customHeight="1" s="192">
      <c r="W60397" s="231" t="n"/>
      <c r="X60397" s="231" t="n"/>
    </row>
    <row r="60398" ht="14.25" customHeight="1" s="192">
      <c r="W60398" s="33" t="n"/>
      <c r="X60398" s="33" t="n"/>
    </row>
    <row r="60400" ht="14.25" customHeight="1" s="192">
      <c r="W60400" s="231" t="n"/>
      <c r="X60400" s="231" t="n"/>
    </row>
    <row r="60401" ht="14.25" customHeight="1" s="192">
      <c r="W60401" s="235" t="n"/>
      <c r="X60401" s="235" t="n"/>
    </row>
    <row r="60402" ht="14.25" customHeight="1" s="192">
      <c r="W60402" s="228" t="n"/>
      <c r="X60402" s="228" t="n"/>
    </row>
    <row r="60403" ht="14.25" customHeight="1" s="192">
      <c r="W60403" s="235" t="n"/>
      <c r="X60403" s="235" t="n"/>
    </row>
    <row r="60404" ht="14.25" customHeight="1" s="192">
      <c r="W60404" s="235" t="n"/>
      <c r="X60404" s="235" t="n"/>
    </row>
    <row r="60405" ht="14.25" customHeight="1" s="192">
      <c r="W60405" s="235" t="n"/>
      <c r="X60405" s="235" t="n"/>
    </row>
    <row r="60406" ht="14.25" customHeight="1" s="192">
      <c r="W60406" s="239" t="n"/>
      <c r="X60406" s="239" t="n"/>
    </row>
    <row r="60407" ht="14.25" customHeight="1" s="192">
      <c r="W60407" s="239" t="n"/>
      <c r="X60407" s="239" t="n"/>
    </row>
    <row r="60408" ht="14.25" customHeight="1" s="192">
      <c r="W60408" s="239" t="n"/>
      <c r="X60408" s="239" t="n"/>
    </row>
    <row r="60409" ht="14.25" customHeight="1" s="192">
      <c r="W60409" s="235" t="n"/>
      <c r="X60409" s="235" t="n"/>
    </row>
    <row r="60410" ht="14.25" customHeight="1" s="192">
      <c r="W60410" s="235" t="n"/>
      <c r="X60410" s="235" t="n"/>
    </row>
    <row r="60411" ht="14.25" customHeight="1" s="192">
      <c r="W60411" s="235" t="n"/>
      <c r="X60411" s="235" t="n"/>
    </row>
    <row r="60412" ht="14.25" customHeight="1" s="192">
      <c r="W60412" s="239" t="n"/>
      <c r="X60412" s="239" t="n"/>
    </row>
    <row r="60413" ht="14.25" customHeight="1" s="192">
      <c r="W60413" s="239" t="n"/>
      <c r="X60413" s="239" t="n"/>
    </row>
    <row r="60414" ht="14.25" customHeight="1" s="192">
      <c r="W60414" s="235" t="n"/>
      <c r="X60414" s="235" t="n"/>
    </row>
    <row r="60415" ht="14.25" customHeight="1" s="192">
      <c r="W60415" s="235" t="n"/>
      <c r="X60415" s="235" t="n"/>
    </row>
    <row r="60416" ht="14.25" customHeight="1" s="192">
      <c r="W60416" s="239" t="n"/>
      <c r="X60416" s="239" t="n"/>
    </row>
    <row r="60417" ht="14.25" customHeight="1" s="192">
      <c r="W60417" s="235" t="n"/>
      <c r="X60417" s="235" t="n"/>
    </row>
    <row r="60418" ht="14.25" customHeight="1" s="192">
      <c r="W60418" s="239" t="n"/>
      <c r="X60418" s="239" t="n"/>
    </row>
    <row r="60420" ht="14.25" customHeight="1" s="192">
      <c r="W60420" s="235" t="n"/>
      <c r="X60420" s="235" t="n"/>
    </row>
    <row r="60421" ht="15" customHeight="1" s="192" thickBot="1">
      <c r="W60421" s="239" t="n"/>
      <c r="X60421" s="239" t="n"/>
    </row>
    <row r="60422" ht="15" customHeight="1" s="192" thickBot="1">
      <c r="W60422" s="45" t="n"/>
      <c r="X60422" s="45" t="n"/>
    </row>
    <row r="60423" ht="14.25" customHeight="1" s="192">
      <c r="W60423" s="228" t="n"/>
      <c r="X60423" s="228" t="n"/>
    </row>
    <row r="60424" ht="14.25" customHeight="1" s="192">
      <c r="W60424" s="228" t="n"/>
      <c r="X60424" s="228" t="n"/>
    </row>
    <row r="60425" ht="14.25" customHeight="1" s="192">
      <c r="W60425" s="231" t="n"/>
      <c r="X60425" s="231" t="n"/>
    </row>
    <row r="60426" ht="14.25" customHeight="1" s="192">
      <c r="W60426" s="33" t="n"/>
      <c r="X60426" s="33" t="n"/>
    </row>
    <row r="60427" ht="14.25" customHeight="1" s="192">
      <c r="W60427" s="231" t="n"/>
      <c r="X60427" s="231" t="n"/>
    </row>
    <row r="60428" ht="14.25" customHeight="1" s="192">
      <c r="W60428" s="33" t="n"/>
      <c r="X60428" s="33" t="n"/>
    </row>
    <row r="60430" ht="14.25" customHeight="1" s="192">
      <c r="W60430" s="231" t="n"/>
      <c r="X60430" s="231" t="n"/>
    </row>
    <row r="60431" ht="14.25" customHeight="1" s="192">
      <c r="W60431" s="235" t="n"/>
      <c r="X60431" s="235" t="n"/>
    </row>
    <row r="60432" ht="14.25" customHeight="1" s="192">
      <c r="W60432" s="228" t="n"/>
      <c r="X60432" s="228" t="n"/>
    </row>
    <row r="60433" ht="14.25" customHeight="1" s="192">
      <c r="W60433" s="235" t="n"/>
      <c r="X60433" s="235" t="n"/>
    </row>
    <row r="60434" ht="14.25" customHeight="1" s="192">
      <c r="W60434" s="235" t="n"/>
      <c r="X60434" s="235" t="n"/>
    </row>
    <row r="60435" ht="14.25" customHeight="1" s="192">
      <c r="W60435" s="235" t="n"/>
      <c r="X60435" s="235" t="n"/>
    </row>
    <row r="60436" ht="14.25" customHeight="1" s="192">
      <c r="W60436" s="239" t="n"/>
      <c r="X60436" s="239" t="n"/>
    </row>
    <row r="60437" ht="14.25" customHeight="1" s="192">
      <c r="W60437" s="239" t="n"/>
      <c r="X60437" s="239" t="n"/>
    </row>
    <row r="60438" ht="14.25" customHeight="1" s="192">
      <c r="W60438" s="239" t="n"/>
      <c r="X60438" s="239" t="n"/>
    </row>
    <row r="60439" ht="14.25" customHeight="1" s="192">
      <c r="W60439" s="235" t="n"/>
      <c r="X60439" s="235" t="n"/>
    </row>
    <row r="60440" ht="14.25" customHeight="1" s="192">
      <c r="W60440" s="235" t="n"/>
      <c r="X60440" s="235" t="n"/>
    </row>
    <row r="60441" ht="14.25" customHeight="1" s="192">
      <c r="W60441" s="235" t="n"/>
      <c r="X60441" s="235" t="n"/>
    </row>
    <row r="60442" ht="14.25" customHeight="1" s="192">
      <c r="W60442" s="239" t="n"/>
      <c r="X60442" s="239" t="n"/>
    </row>
    <row r="60443" ht="14.25" customHeight="1" s="192">
      <c r="W60443" s="239" t="n"/>
      <c r="X60443" s="239" t="n"/>
    </row>
    <row r="60444" ht="14.25" customHeight="1" s="192">
      <c r="W60444" s="235" t="n"/>
      <c r="X60444" s="235" t="n"/>
    </row>
    <row r="60445" ht="14.25" customHeight="1" s="192">
      <c r="W60445" s="235" t="n"/>
      <c r="X60445" s="235" t="n"/>
    </row>
    <row r="60446" ht="14.25" customHeight="1" s="192">
      <c r="W60446" s="239" t="n"/>
      <c r="X60446" s="239" t="n"/>
    </row>
    <row r="60447" ht="14.25" customHeight="1" s="192">
      <c r="W60447" s="235" t="n"/>
      <c r="X60447" s="235" t="n"/>
    </row>
    <row r="60448" ht="14.25" customHeight="1" s="192">
      <c r="W60448" s="239" t="n"/>
      <c r="X60448" s="239" t="n"/>
    </row>
    <row r="60450" ht="14.25" customHeight="1" s="192">
      <c r="W60450" s="235" t="n"/>
      <c r="X60450" s="235" t="n"/>
    </row>
    <row r="60451" ht="15" customHeight="1" s="192" thickBot="1">
      <c r="W60451" s="239" t="n"/>
      <c r="X60451" s="239" t="n"/>
    </row>
    <row r="60452" ht="15" customHeight="1" s="192" thickBot="1">
      <c r="W60452" s="45" t="n"/>
      <c r="X60452" s="45" t="n"/>
    </row>
    <row r="60453" ht="14.25" customHeight="1" s="192">
      <c r="W60453" s="228" t="n"/>
      <c r="X60453" s="228" t="n"/>
    </row>
    <row r="60454" ht="14.25" customHeight="1" s="192">
      <c r="W60454" s="228" t="n"/>
      <c r="X60454" s="228" t="n"/>
    </row>
    <row r="60455" ht="14.25" customHeight="1" s="192">
      <c r="W60455" s="231" t="n"/>
      <c r="X60455" s="231" t="n"/>
    </row>
    <row r="60456" ht="14.25" customHeight="1" s="192">
      <c r="W60456" s="33" t="n"/>
      <c r="X60456" s="33" t="n"/>
    </row>
    <row r="60457" ht="14.25" customHeight="1" s="192">
      <c r="W60457" s="231" t="n"/>
      <c r="X60457" s="231" t="n"/>
    </row>
    <row r="60458" ht="14.25" customHeight="1" s="192">
      <c r="W60458" s="33" t="n"/>
      <c r="X60458" s="33" t="n"/>
    </row>
    <row r="60460" ht="14.25" customHeight="1" s="192">
      <c r="W60460" s="231" t="n"/>
      <c r="X60460" s="231" t="n"/>
    </row>
    <row r="60461" ht="14.25" customHeight="1" s="192">
      <c r="W60461" s="235" t="n"/>
      <c r="X60461" s="235" t="n"/>
    </row>
    <row r="60462" ht="14.25" customHeight="1" s="192">
      <c r="W60462" s="228" t="n"/>
      <c r="X60462" s="228" t="n"/>
    </row>
    <row r="60463" ht="14.25" customHeight="1" s="192">
      <c r="W60463" s="235" t="n"/>
      <c r="X60463" s="235" t="n"/>
    </row>
    <row r="60464" ht="14.25" customHeight="1" s="192">
      <c r="W60464" s="235" t="n"/>
      <c r="X60464" s="235" t="n"/>
    </row>
    <row r="60465" ht="14.25" customHeight="1" s="192">
      <c r="W60465" s="235" t="n"/>
      <c r="X60465" s="235" t="n"/>
    </row>
    <row r="60466" ht="14.25" customHeight="1" s="192">
      <c r="W60466" s="239" t="n"/>
      <c r="X60466" s="239" t="n"/>
    </row>
    <row r="60467" ht="14.25" customHeight="1" s="192">
      <c r="W60467" s="239" t="n"/>
      <c r="X60467" s="239" t="n"/>
    </row>
    <row r="60468" ht="14.25" customHeight="1" s="192">
      <c r="W60468" s="239" t="n"/>
      <c r="X60468" s="239" t="n"/>
    </row>
    <row r="60469" ht="14.25" customHeight="1" s="192">
      <c r="W60469" s="235" t="n"/>
      <c r="X60469" s="235" t="n"/>
    </row>
    <row r="60470" ht="14.25" customHeight="1" s="192">
      <c r="W60470" s="235" t="n"/>
      <c r="X60470" s="235" t="n"/>
    </row>
    <row r="60471" ht="14.25" customHeight="1" s="192">
      <c r="W60471" s="235" t="n"/>
      <c r="X60471" s="235" t="n"/>
    </row>
    <row r="60472" ht="14.25" customHeight="1" s="192">
      <c r="W60472" s="239" t="n"/>
      <c r="X60472" s="239" t="n"/>
    </row>
    <row r="60473" ht="14.25" customHeight="1" s="192">
      <c r="W60473" s="239" t="n"/>
      <c r="X60473" s="239" t="n"/>
    </row>
    <row r="60474" ht="14.25" customHeight="1" s="192">
      <c r="W60474" s="235" t="n"/>
      <c r="X60474" s="235" t="n"/>
    </row>
    <row r="60475" ht="14.25" customHeight="1" s="192">
      <c r="W60475" s="235" t="n"/>
      <c r="X60475" s="235" t="n"/>
    </row>
    <row r="60476" ht="14.25" customHeight="1" s="192">
      <c r="W60476" s="239" t="n"/>
      <c r="X60476" s="239" t="n"/>
    </row>
    <row r="60477" ht="14.25" customHeight="1" s="192">
      <c r="W60477" s="235" t="n"/>
      <c r="X60477" s="235" t="n"/>
    </row>
    <row r="60478" ht="14.25" customHeight="1" s="192">
      <c r="W60478" s="239" t="n"/>
      <c r="X60478" s="239" t="n"/>
    </row>
    <row r="60480" ht="14.25" customHeight="1" s="192">
      <c r="W60480" s="235" t="n"/>
      <c r="X60480" s="235" t="n"/>
    </row>
    <row r="60481" ht="15" customHeight="1" s="192" thickBot="1">
      <c r="W60481" s="239" t="n"/>
      <c r="X60481" s="239" t="n"/>
    </row>
    <row r="60482" ht="15" customHeight="1" s="192" thickBot="1">
      <c r="W60482" s="45" t="n"/>
      <c r="X60482" s="45" t="n"/>
    </row>
    <row r="60483" ht="14.25" customHeight="1" s="192">
      <c r="W60483" s="228" t="n"/>
      <c r="X60483" s="228" t="n"/>
    </row>
    <row r="60484" ht="14.25" customHeight="1" s="192">
      <c r="W60484" s="228" t="n"/>
      <c r="X60484" s="228" t="n"/>
    </row>
    <row r="60485" ht="14.25" customHeight="1" s="192">
      <c r="W60485" s="231" t="n"/>
      <c r="X60485" s="231" t="n"/>
    </row>
    <row r="60486" ht="14.25" customHeight="1" s="192">
      <c r="W60486" s="33" t="n"/>
      <c r="X60486" s="33" t="n"/>
    </row>
    <row r="60487" ht="14.25" customHeight="1" s="192">
      <c r="W60487" s="231" t="n"/>
      <c r="X60487" s="231" t="n"/>
    </row>
    <row r="60488" ht="14.25" customHeight="1" s="192">
      <c r="W60488" s="33" t="n"/>
      <c r="X60488" s="33" t="n"/>
    </row>
    <row r="60490" ht="14.25" customHeight="1" s="192">
      <c r="W60490" s="231" t="n"/>
      <c r="X60490" s="231" t="n"/>
    </row>
    <row r="60491" ht="14.25" customHeight="1" s="192">
      <c r="W60491" s="235" t="n"/>
      <c r="X60491" s="235" t="n"/>
    </row>
    <row r="60492" ht="14.25" customHeight="1" s="192">
      <c r="W60492" s="228" t="n"/>
      <c r="X60492" s="228" t="n"/>
    </row>
    <row r="60493" ht="14.25" customHeight="1" s="192">
      <c r="W60493" s="235" t="n"/>
      <c r="X60493" s="235" t="n"/>
    </row>
    <row r="60494" ht="14.25" customHeight="1" s="192">
      <c r="W60494" s="235" t="n"/>
      <c r="X60494" s="235" t="n"/>
    </row>
    <row r="60495" ht="14.25" customHeight="1" s="192">
      <c r="W60495" s="235" t="n"/>
      <c r="X60495" s="235" t="n"/>
    </row>
    <row r="60496" ht="14.25" customHeight="1" s="192">
      <c r="W60496" s="239" t="n"/>
      <c r="X60496" s="239" t="n"/>
    </row>
    <row r="60497" ht="14.25" customHeight="1" s="192">
      <c r="W60497" s="239" t="n"/>
      <c r="X60497" s="239" t="n"/>
    </row>
    <row r="60498" ht="14.25" customHeight="1" s="192">
      <c r="W60498" s="239" t="n"/>
      <c r="X60498" s="239" t="n"/>
    </row>
    <row r="60499" ht="14.25" customHeight="1" s="192">
      <c r="W60499" s="235" t="n"/>
      <c r="X60499" s="235" t="n"/>
    </row>
    <row r="60500" ht="14.25" customHeight="1" s="192">
      <c r="W60500" s="235" t="n"/>
      <c r="X60500" s="235" t="n"/>
    </row>
    <row r="60501" ht="14.25" customHeight="1" s="192">
      <c r="W60501" s="235" t="n"/>
      <c r="X60501" s="235" t="n"/>
    </row>
    <row r="60502" ht="14.25" customHeight="1" s="192">
      <c r="W60502" s="239" t="n"/>
      <c r="X60502" s="239" t="n"/>
    </row>
    <row r="60503" ht="14.25" customHeight="1" s="192">
      <c r="W60503" s="239" t="n"/>
      <c r="X60503" s="239" t="n"/>
    </row>
    <row r="60504" ht="14.25" customHeight="1" s="192">
      <c r="W60504" s="235" t="n"/>
      <c r="X60504" s="235" t="n"/>
    </row>
    <row r="60505" ht="14.25" customHeight="1" s="192">
      <c r="W60505" s="235" t="n"/>
      <c r="X60505" s="235" t="n"/>
    </row>
    <row r="60506" ht="14.25" customHeight="1" s="192">
      <c r="W60506" s="239" t="n"/>
      <c r="X60506" s="239" t="n"/>
    </row>
    <row r="60507" ht="14.25" customHeight="1" s="192">
      <c r="W60507" s="235" t="n"/>
      <c r="X60507" s="235" t="n"/>
    </row>
    <row r="60508" ht="14.25" customHeight="1" s="192">
      <c r="W60508" s="239" t="n"/>
      <c r="X60508" s="239" t="n"/>
    </row>
    <row r="60510" ht="14.25" customHeight="1" s="192">
      <c r="W60510" s="235" t="n"/>
      <c r="X60510" s="235" t="n"/>
    </row>
    <row r="60511" ht="15" customHeight="1" s="192" thickBot="1">
      <c r="W60511" s="239" t="n"/>
      <c r="X60511" s="239" t="n"/>
    </row>
    <row r="60512" ht="15" customHeight="1" s="192" thickBot="1">
      <c r="W60512" s="45" t="n"/>
      <c r="X60512" s="45" t="n"/>
    </row>
    <row r="60513" ht="14.25" customHeight="1" s="192">
      <c r="W60513" s="228" t="n"/>
      <c r="X60513" s="228" t="n"/>
    </row>
    <row r="60514" ht="14.25" customHeight="1" s="192">
      <c r="W60514" s="228" t="n"/>
      <c r="X60514" s="228" t="n"/>
    </row>
    <row r="60515" ht="14.25" customHeight="1" s="192">
      <c r="W60515" s="231" t="n"/>
      <c r="X60515" s="231" t="n"/>
    </row>
    <row r="60516" ht="14.25" customHeight="1" s="192">
      <c r="W60516" s="33" t="n"/>
      <c r="X60516" s="33" t="n"/>
    </row>
    <row r="60517" ht="14.25" customHeight="1" s="192">
      <c r="W60517" s="231" t="n"/>
      <c r="X60517" s="231" t="n"/>
    </row>
    <row r="60518" ht="14.25" customHeight="1" s="192">
      <c r="W60518" s="33" t="n"/>
      <c r="X60518" s="33" t="n"/>
    </row>
    <row r="60520" ht="14.25" customHeight="1" s="192">
      <c r="W60520" s="231" t="n"/>
      <c r="X60520" s="231" t="n"/>
    </row>
    <row r="60521" ht="14.25" customHeight="1" s="192">
      <c r="W60521" s="235" t="n"/>
      <c r="X60521" s="235" t="n"/>
    </row>
    <row r="60522" ht="14.25" customHeight="1" s="192">
      <c r="W60522" s="228" t="n"/>
      <c r="X60522" s="228" t="n"/>
    </row>
    <row r="60523" ht="14.25" customHeight="1" s="192">
      <c r="W60523" s="235" t="n"/>
      <c r="X60523" s="235" t="n"/>
    </row>
    <row r="60524" ht="14.25" customHeight="1" s="192">
      <c r="W60524" s="235" t="n"/>
      <c r="X60524" s="235" t="n"/>
    </row>
    <row r="60525" ht="14.25" customHeight="1" s="192">
      <c r="W60525" s="235" t="n"/>
      <c r="X60525" s="235" t="n"/>
    </row>
    <row r="60526" ht="14.25" customHeight="1" s="192">
      <c r="W60526" s="239" t="n"/>
      <c r="X60526" s="239" t="n"/>
    </row>
    <row r="60527" ht="14.25" customHeight="1" s="192">
      <c r="W60527" s="239" t="n"/>
      <c r="X60527" s="239" t="n"/>
    </row>
    <row r="60528" ht="14.25" customHeight="1" s="192">
      <c r="W60528" s="239" t="n"/>
      <c r="X60528" s="239" t="n"/>
    </row>
    <row r="60529" ht="14.25" customHeight="1" s="192">
      <c r="W60529" s="235" t="n"/>
      <c r="X60529" s="235" t="n"/>
    </row>
    <row r="60530" ht="14.25" customHeight="1" s="192">
      <c r="W60530" s="235" t="n"/>
      <c r="X60530" s="235" t="n"/>
    </row>
    <row r="60531" ht="14.25" customHeight="1" s="192">
      <c r="W60531" s="235" t="n"/>
      <c r="X60531" s="235" t="n"/>
    </row>
    <row r="60532" ht="14.25" customHeight="1" s="192">
      <c r="W60532" s="239" t="n"/>
      <c r="X60532" s="239" t="n"/>
    </row>
    <row r="60533" ht="14.25" customHeight="1" s="192">
      <c r="W60533" s="239" t="n"/>
      <c r="X60533" s="239" t="n"/>
    </row>
    <row r="60534" ht="14.25" customHeight="1" s="192">
      <c r="W60534" s="235" t="n"/>
      <c r="X60534" s="235" t="n"/>
    </row>
    <row r="60535" ht="14.25" customHeight="1" s="192">
      <c r="W60535" s="235" t="n"/>
      <c r="X60535" s="235" t="n"/>
    </row>
    <row r="60536" ht="14.25" customHeight="1" s="192">
      <c r="W60536" s="239" t="n"/>
      <c r="X60536" s="239" t="n"/>
    </row>
    <row r="60537" ht="14.25" customHeight="1" s="192">
      <c r="W60537" s="235" t="n"/>
      <c r="X60537" s="235" t="n"/>
    </row>
    <row r="60538" ht="14.25" customHeight="1" s="192">
      <c r="W60538" s="239" t="n"/>
      <c r="X60538" s="239" t="n"/>
    </row>
    <row r="60540" ht="14.25" customHeight="1" s="192">
      <c r="W60540" s="235" t="n"/>
      <c r="X60540" s="235" t="n"/>
    </row>
    <row r="60541" ht="15" customHeight="1" s="192" thickBot="1">
      <c r="W60541" s="239" t="n"/>
      <c r="X60541" s="239" t="n"/>
    </row>
    <row r="60542" ht="15" customHeight="1" s="192" thickBot="1">
      <c r="W60542" s="45" t="n"/>
      <c r="X60542" s="45" t="n"/>
    </row>
    <row r="60543" ht="14.25" customHeight="1" s="192">
      <c r="W60543" s="228" t="n"/>
      <c r="X60543" s="228" t="n"/>
    </row>
    <row r="60544" ht="14.25" customHeight="1" s="192">
      <c r="W60544" s="228" t="n"/>
      <c r="X60544" s="228" t="n"/>
    </row>
    <row r="60545" ht="14.25" customHeight="1" s="192">
      <c r="W60545" s="231" t="n"/>
      <c r="X60545" s="231" t="n"/>
    </row>
    <row r="60546" ht="14.25" customHeight="1" s="192">
      <c r="W60546" s="33" t="n"/>
      <c r="X60546" s="33" t="n"/>
    </row>
    <row r="60547" ht="14.25" customHeight="1" s="192">
      <c r="W60547" s="231" t="n"/>
      <c r="X60547" s="231" t="n"/>
    </row>
    <row r="60548" ht="14.25" customHeight="1" s="192">
      <c r="W60548" s="33" t="n"/>
      <c r="X60548" s="33" t="n"/>
    </row>
    <row r="60550" ht="14.25" customHeight="1" s="192">
      <c r="W60550" s="231" t="n"/>
      <c r="X60550" s="231" t="n"/>
    </row>
    <row r="60551" ht="14.25" customHeight="1" s="192">
      <c r="W60551" s="235" t="n"/>
      <c r="X60551" s="235" t="n"/>
    </row>
    <row r="60552" ht="14.25" customHeight="1" s="192">
      <c r="W60552" s="228" t="n"/>
      <c r="X60552" s="228" t="n"/>
    </row>
    <row r="60553" ht="14.25" customHeight="1" s="192">
      <c r="W60553" s="235" t="n"/>
      <c r="X60553" s="235" t="n"/>
    </row>
    <row r="60554" ht="14.25" customHeight="1" s="192">
      <c r="W60554" s="235" t="n"/>
      <c r="X60554" s="235" t="n"/>
    </row>
    <row r="60555" ht="14.25" customHeight="1" s="192">
      <c r="W60555" s="235" t="n"/>
      <c r="X60555" s="235" t="n"/>
    </row>
    <row r="60556" ht="14.25" customHeight="1" s="192">
      <c r="W60556" s="239" t="n"/>
      <c r="X60556" s="239" t="n"/>
    </row>
    <row r="60557" ht="14.25" customHeight="1" s="192">
      <c r="W60557" s="239" t="n"/>
      <c r="X60557" s="239" t="n"/>
    </row>
    <row r="60558" ht="14.25" customHeight="1" s="192">
      <c r="W60558" s="239" t="n"/>
      <c r="X60558" s="239" t="n"/>
    </row>
    <row r="60559" ht="14.25" customHeight="1" s="192">
      <c r="W60559" s="235" t="n"/>
      <c r="X60559" s="235" t="n"/>
    </row>
    <row r="60560" ht="14.25" customHeight="1" s="192">
      <c r="W60560" s="235" t="n"/>
      <c r="X60560" s="235" t="n"/>
    </row>
    <row r="60561" ht="14.25" customHeight="1" s="192">
      <c r="W60561" s="235" t="n"/>
      <c r="X60561" s="235" t="n"/>
    </row>
    <row r="60562" ht="14.25" customHeight="1" s="192">
      <c r="W60562" s="239" t="n"/>
      <c r="X60562" s="239" t="n"/>
    </row>
    <row r="60563" ht="14.25" customHeight="1" s="192">
      <c r="W60563" s="239" t="n"/>
      <c r="X60563" s="239" t="n"/>
    </row>
    <row r="60564" ht="14.25" customHeight="1" s="192">
      <c r="W60564" s="235" t="n"/>
      <c r="X60564" s="235" t="n"/>
    </row>
    <row r="60565" ht="14.25" customHeight="1" s="192">
      <c r="W60565" s="235" t="n"/>
      <c r="X60565" s="235" t="n"/>
    </row>
    <row r="60566" ht="14.25" customHeight="1" s="192">
      <c r="W60566" s="239" t="n"/>
      <c r="X60566" s="239" t="n"/>
    </row>
    <row r="60567" ht="14.25" customHeight="1" s="192">
      <c r="W60567" s="235" t="n"/>
      <c r="X60567" s="235" t="n"/>
    </row>
    <row r="60568" ht="14.25" customHeight="1" s="192">
      <c r="W60568" s="239" t="n"/>
      <c r="X60568" s="239" t="n"/>
    </row>
    <row r="60570" ht="14.25" customHeight="1" s="192">
      <c r="W60570" s="235" t="n"/>
      <c r="X60570" s="235" t="n"/>
    </row>
    <row r="60571" ht="15" customHeight="1" s="192" thickBot="1">
      <c r="W60571" s="239" t="n"/>
      <c r="X60571" s="239" t="n"/>
    </row>
    <row r="60572" ht="15" customHeight="1" s="192" thickBot="1">
      <c r="W60572" s="45" t="n"/>
      <c r="X60572" s="45" t="n"/>
    </row>
    <row r="60573" ht="14.25" customHeight="1" s="192">
      <c r="W60573" s="228" t="n"/>
      <c r="X60573" s="228" t="n"/>
    </row>
    <row r="60574" ht="14.25" customHeight="1" s="192">
      <c r="W60574" s="228" t="n"/>
      <c r="X60574" s="228" t="n"/>
    </row>
    <row r="60575" ht="14.25" customHeight="1" s="192">
      <c r="W60575" s="231" t="n"/>
      <c r="X60575" s="231" t="n"/>
    </row>
    <row r="60576" ht="14.25" customHeight="1" s="192">
      <c r="W60576" s="33" t="n"/>
      <c r="X60576" s="33" t="n"/>
    </row>
    <row r="60577" ht="14.25" customHeight="1" s="192">
      <c r="W60577" s="231" t="n"/>
      <c r="X60577" s="231" t="n"/>
    </row>
    <row r="60578" ht="14.25" customHeight="1" s="192">
      <c r="W60578" s="33" t="n"/>
      <c r="X60578" s="33" t="n"/>
    </row>
    <row r="60580" ht="14.25" customHeight="1" s="192">
      <c r="W60580" s="231" t="n"/>
      <c r="X60580" s="231" t="n"/>
    </row>
    <row r="60581" ht="14.25" customHeight="1" s="192">
      <c r="W60581" s="235" t="n"/>
      <c r="X60581" s="235" t="n"/>
    </row>
    <row r="60582" ht="14.25" customHeight="1" s="192">
      <c r="W60582" s="228" t="n"/>
      <c r="X60582" s="228" t="n"/>
    </row>
    <row r="60583" ht="14.25" customHeight="1" s="192">
      <c r="W60583" s="235" t="n"/>
      <c r="X60583" s="235" t="n"/>
    </row>
    <row r="60584" ht="14.25" customHeight="1" s="192">
      <c r="W60584" s="235" t="n"/>
      <c r="X60584" s="235" t="n"/>
    </row>
    <row r="60585" ht="14.25" customHeight="1" s="192">
      <c r="W60585" s="235" t="n"/>
      <c r="X60585" s="235" t="n"/>
    </row>
    <row r="60586" ht="14.25" customHeight="1" s="192">
      <c r="W60586" s="239" t="n"/>
      <c r="X60586" s="239" t="n"/>
    </row>
    <row r="60587" ht="14.25" customHeight="1" s="192">
      <c r="W60587" s="239" t="n"/>
      <c r="X60587" s="239" t="n"/>
    </row>
    <row r="60588" ht="14.25" customHeight="1" s="192">
      <c r="W60588" s="239" t="n"/>
      <c r="X60588" s="239" t="n"/>
    </row>
    <row r="60589" ht="14.25" customHeight="1" s="192">
      <c r="W60589" s="235" t="n"/>
      <c r="X60589" s="235" t="n"/>
    </row>
    <row r="60590" ht="14.25" customHeight="1" s="192">
      <c r="W60590" s="235" t="n"/>
      <c r="X60590" s="235" t="n"/>
    </row>
    <row r="60591" ht="14.25" customHeight="1" s="192">
      <c r="W60591" s="235" t="n"/>
      <c r="X60591" s="235" t="n"/>
    </row>
    <row r="60592" ht="14.25" customHeight="1" s="192">
      <c r="W60592" s="239" t="n"/>
      <c r="X60592" s="239" t="n"/>
    </row>
    <row r="60593" ht="14.25" customHeight="1" s="192">
      <c r="W60593" s="239" t="n"/>
      <c r="X60593" s="239" t="n"/>
    </row>
    <row r="60594" ht="14.25" customHeight="1" s="192">
      <c r="W60594" s="235" t="n"/>
      <c r="X60594" s="235" t="n"/>
    </row>
    <row r="60595" ht="14.25" customHeight="1" s="192">
      <c r="W60595" s="235" t="n"/>
      <c r="X60595" s="235" t="n"/>
    </row>
    <row r="60596" ht="14.25" customHeight="1" s="192">
      <c r="W60596" s="239" t="n"/>
      <c r="X60596" s="239" t="n"/>
    </row>
    <row r="60597" ht="14.25" customHeight="1" s="192">
      <c r="W60597" s="235" t="n"/>
      <c r="X60597" s="235" t="n"/>
    </row>
    <row r="60598" ht="14.25" customHeight="1" s="192">
      <c r="W60598" s="239" t="n"/>
      <c r="X60598" s="239" t="n"/>
    </row>
    <row r="60600" ht="14.25" customHeight="1" s="192">
      <c r="W60600" s="235" t="n"/>
      <c r="X60600" s="235" t="n"/>
    </row>
    <row r="60601" ht="15" customHeight="1" s="192" thickBot="1">
      <c r="W60601" s="239" t="n"/>
      <c r="X60601" s="239" t="n"/>
    </row>
    <row r="60602" ht="15" customHeight="1" s="192" thickBot="1">
      <c r="W60602" s="45" t="n"/>
      <c r="X60602" s="45" t="n"/>
    </row>
    <row r="60603" ht="14.25" customHeight="1" s="192">
      <c r="W60603" s="228" t="n"/>
      <c r="X60603" s="228" t="n"/>
    </row>
    <row r="60604" ht="14.25" customHeight="1" s="192">
      <c r="W60604" s="228" t="n"/>
      <c r="X60604" s="228" t="n"/>
    </row>
    <row r="60605" ht="14.25" customHeight="1" s="192">
      <c r="W60605" s="231" t="n"/>
      <c r="X60605" s="231" t="n"/>
    </row>
    <row r="60606" ht="14.25" customHeight="1" s="192">
      <c r="W60606" s="33" t="n"/>
      <c r="X60606" s="33" t="n"/>
    </row>
    <row r="60607" ht="14.25" customHeight="1" s="192">
      <c r="W60607" s="231" t="n"/>
      <c r="X60607" s="231" t="n"/>
    </row>
    <row r="60608" ht="14.25" customHeight="1" s="192">
      <c r="W60608" s="33" t="n"/>
      <c r="X60608" s="33" t="n"/>
    </row>
    <row r="60610" ht="14.25" customHeight="1" s="192">
      <c r="W60610" s="231" t="n"/>
      <c r="X60610" s="231" t="n"/>
    </row>
    <row r="60611" ht="14.25" customHeight="1" s="192">
      <c r="W60611" s="235" t="n"/>
      <c r="X60611" s="235" t="n"/>
    </row>
    <row r="60612" ht="14.25" customHeight="1" s="192">
      <c r="W60612" s="228" t="n"/>
      <c r="X60612" s="228" t="n"/>
    </row>
    <row r="60613" ht="14.25" customHeight="1" s="192">
      <c r="W60613" s="235" t="n"/>
      <c r="X60613" s="235" t="n"/>
    </row>
    <row r="60614" ht="14.25" customHeight="1" s="192">
      <c r="W60614" s="235" t="n"/>
      <c r="X60614" s="235" t="n"/>
    </row>
    <row r="60615" ht="14.25" customHeight="1" s="192">
      <c r="W60615" s="235" t="n"/>
      <c r="X60615" s="235" t="n"/>
    </row>
    <row r="60616" ht="14.25" customHeight="1" s="192">
      <c r="W60616" s="239" t="n"/>
      <c r="X60616" s="239" t="n"/>
    </row>
    <row r="60617" ht="14.25" customHeight="1" s="192">
      <c r="W60617" s="239" t="n"/>
      <c r="X60617" s="239" t="n"/>
    </row>
    <row r="60618" ht="14.25" customHeight="1" s="192">
      <c r="W60618" s="239" t="n"/>
      <c r="X60618" s="239" t="n"/>
    </row>
    <row r="60619" ht="14.25" customHeight="1" s="192">
      <c r="W60619" s="235" t="n"/>
      <c r="X60619" s="235" t="n"/>
    </row>
    <row r="60620" ht="14.25" customHeight="1" s="192">
      <c r="W60620" s="235" t="n"/>
      <c r="X60620" s="235" t="n"/>
    </row>
    <row r="60621" ht="14.25" customHeight="1" s="192">
      <c r="W60621" s="235" t="n"/>
      <c r="X60621" s="235" t="n"/>
    </row>
    <row r="60622" ht="14.25" customHeight="1" s="192">
      <c r="W60622" s="239" t="n"/>
      <c r="X60622" s="239" t="n"/>
    </row>
    <row r="60623" ht="14.25" customHeight="1" s="192">
      <c r="W60623" s="239" t="n"/>
      <c r="X60623" s="239" t="n"/>
    </row>
    <row r="60624" ht="14.25" customHeight="1" s="192">
      <c r="W60624" s="235" t="n"/>
      <c r="X60624" s="235" t="n"/>
    </row>
    <row r="60625" ht="14.25" customHeight="1" s="192">
      <c r="W60625" s="235" t="n"/>
      <c r="X60625" s="235" t="n"/>
    </row>
    <row r="60626" ht="14.25" customHeight="1" s="192">
      <c r="W60626" s="239" t="n"/>
      <c r="X60626" s="239" t="n"/>
    </row>
    <row r="60627" ht="14.25" customHeight="1" s="192">
      <c r="W60627" s="235" t="n"/>
      <c r="X60627" s="235" t="n"/>
    </row>
    <row r="60628" ht="14.25" customHeight="1" s="192">
      <c r="W60628" s="239" t="n"/>
      <c r="X60628" s="239" t="n"/>
    </row>
    <row r="60630" ht="14.25" customHeight="1" s="192">
      <c r="W60630" s="235" t="n"/>
      <c r="X60630" s="235" t="n"/>
    </row>
    <row r="60631" ht="15" customHeight="1" s="192" thickBot="1">
      <c r="W60631" s="239" t="n"/>
      <c r="X60631" s="239" t="n"/>
    </row>
    <row r="60632" ht="15" customHeight="1" s="192" thickBot="1">
      <c r="W60632" s="45" t="n"/>
      <c r="X60632" s="45" t="n"/>
    </row>
    <row r="60633" ht="14.25" customHeight="1" s="192">
      <c r="W60633" s="228" t="n"/>
      <c r="X60633" s="228" t="n"/>
    </row>
    <row r="60634" ht="14.25" customHeight="1" s="192">
      <c r="W60634" s="228" t="n"/>
      <c r="X60634" s="228" t="n"/>
    </row>
    <row r="60635" ht="14.25" customHeight="1" s="192">
      <c r="W60635" s="231" t="n"/>
      <c r="X60635" s="231" t="n"/>
    </row>
    <row r="60636" ht="14.25" customHeight="1" s="192">
      <c r="W60636" s="33" t="n"/>
      <c r="X60636" s="33" t="n"/>
    </row>
    <row r="60637" ht="14.25" customHeight="1" s="192">
      <c r="W60637" s="231" t="n"/>
      <c r="X60637" s="231" t="n"/>
    </row>
    <row r="60638" ht="14.25" customHeight="1" s="192">
      <c r="W60638" s="33" t="n"/>
      <c r="X60638" s="33" t="n"/>
    </row>
    <row r="60640" ht="14.25" customHeight="1" s="192">
      <c r="W60640" s="231" t="n"/>
      <c r="X60640" s="231" t="n"/>
    </row>
    <row r="60641" ht="14.25" customHeight="1" s="192">
      <c r="W60641" s="235" t="n"/>
      <c r="X60641" s="235" t="n"/>
    </row>
    <row r="60642" ht="14.25" customHeight="1" s="192">
      <c r="W60642" s="228" t="n"/>
      <c r="X60642" s="228" t="n"/>
    </row>
    <row r="60643" ht="14.25" customHeight="1" s="192">
      <c r="W60643" s="235" t="n"/>
      <c r="X60643" s="235" t="n"/>
    </row>
    <row r="60644" ht="14.25" customHeight="1" s="192">
      <c r="W60644" s="235" t="n"/>
      <c r="X60644" s="235" t="n"/>
    </row>
    <row r="60645" ht="14.25" customHeight="1" s="192">
      <c r="W60645" s="235" t="n"/>
      <c r="X60645" s="235" t="n"/>
    </row>
    <row r="60646" ht="14.25" customHeight="1" s="192">
      <c r="W60646" s="239" t="n"/>
      <c r="X60646" s="239" t="n"/>
    </row>
    <row r="60647" ht="14.25" customHeight="1" s="192">
      <c r="W60647" s="239" t="n"/>
      <c r="X60647" s="239" t="n"/>
    </row>
    <row r="60648" ht="14.25" customHeight="1" s="192">
      <c r="W60648" s="239" t="n"/>
      <c r="X60648" s="239" t="n"/>
    </row>
    <row r="60649" ht="14.25" customHeight="1" s="192">
      <c r="W60649" s="235" t="n"/>
      <c r="X60649" s="235" t="n"/>
    </row>
    <row r="60650" ht="14.25" customHeight="1" s="192">
      <c r="W60650" s="235" t="n"/>
      <c r="X60650" s="235" t="n"/>
    </row>
    <row r="60651" ht="14.25" customHeight="1" s="192">
      <c r="W60651" s="235" t="n"/>
      <c r="X60651" s="235" t="n"/>
    </row>
    <row r="60652" ht="14.25" customHeight="1" s="192">
      <c r="W60652" s="239" t="n"/>
      <c r="X60652" s="239" t="n"/>
    </row>
    <row r="60653" ht="14.25" customHeight="1" s="192">
      <c r="W60653" s="239" t="n"/>
      <c r="X60653" s="239" t="n"/>
    </row>
    <row r="60654" ht="14.25" customHeight="1" s="192">
      <c r="W60654" s="235" t="n"/>
      <c r="X60654" s="235" t="n"/>
    </row>
    <row r="60655" ht="14.25" customHeight="1" s="192">
      <c r="W60655" s="235" t="n"/>
      <c r="X60655" s="235" t="n"/>
    </row>
    <row r="60656" ht="14.25" customHeight="1" s="192">
      <c r="W60656" s="239" t="n"/>
      <c r="X60656" s="239" t="n"/>
    </row>
    <row r="60657" ht="14.25" customHeight="1" s="192">
      <c r="W60657" s="235" t="n"/>
      <c r="X60657" s="235" t="n"/>
    </row>
    <row r="60658" ht="14.25" customHeight="1" s="192">
      <c r="W60658" s="239" t="n"/>
      <c r="X60658" s="239" t="n"/>
    </row>
    <row r="60660" ht="14.25" customHeight="1" s="192">
      <c r="W60660" s="235" t="n"/>
      <c r="X60660" s="235" t="n"/>
    </row>
    <row r="60661" ht="15" customHeight="1" s="192" thickBot="1">
      <c r="W60661" s="239" t="n"/>
      <c r="X60661" s="239" t="n"/>
    </row>
    <row r="60662" ht="15" customHeight="1" s="192" thickBot="1">
      <c r="W60662" s="45" t="n"/>
      <c r="X60662" s="45" t="n"/>
    </row>
    <row r="60663" ht="14.25" customHeight="1" s="192">
      <c r="W60663" s="228" t="n"/>
      <c r="X60663" s="228" t="n"/>
    </row>
    <row r="60664" ht="14.25" customHeight="1" s="192">
      <c r="W60664" s="228" t="n"/>
      <c r="X60664" s="228" t="n"/>
    </row>
    <row r="60665" ht="14.25" customHeight="1" s="192">
      <c r="W60665" s="231" t="n"/>
      <c r="X60665" s="231" t="n"/>
    </row>
    <row r="60666" ht="14.25" customHeight="1" s="192">
      <c r="W60666" s="33" t="n"/>
      <c r="X60666" s="33" t="n"/>
    </row>
    <row r="60667" ht="14.25" customHeight="1" s="192">
      <c r="W60667" s="231" t="n"/>
      <c r="X60667" s="231" t="n"/>
    </row>
    <row r="60668" ht="14.25" customHeight="1" s="192">
      <c r="W60668" s="33" t="n"/>
      <c r="X60668" s="33" t="n"/>
    </row>
    <row r="60670" ht="14.25" customHeight="1" s="192">
      <c r="W60670" s="231" t="n"/>
      <c r="X60670" s="231" t="n"/>
    </row>
    <row r="60671" ht="14.25" customHeight="1" s="192">
      <c r="W60671" s="235" t="n"/>
      <c r="X60671" s="235" t="n"/>
    </row>
    <row r="60672" ht="14.25" customHeight="1" s="192">
      <c r="W60672" s="228" t="n"/>
      <c r="X60672" s="228" t="n"/>
    </row>
    <row r="60673" ht="14.25" customHeight="1" s="192">
      <c r="W60673" s="235" t="n"/>
      <c r="X60673" s="235" t="n"/>
    </row>
    <row r="60674" ht="14.25" customHeight="1" s="192">
      <c r="W60674" s="235" t="n"/>
      <c r="X60674" s="235" t="n"/>
    </row>
    <row r="60675" ht="14.25" customHeight="1" s="192">
      <c r="W60675" s="235" t="n"/>
      <c r="X60675" s="235" t="n"/>
    </row>
    <row r="60676" ht="14.25" customHeight="1" s="192">
      <c r="W60676" s="239" t="n"/>
      <c r="X60676" s="239" t="n"/>
    </row>
    <row r="60677" ht="14.25" customHeight="1" s="192">
      <c r="W60677" s="239" t="n"/>
      <c r="X60677" s="239" t="n"/>
    </row>
    <row r="60678" ht="14.25" customHeight="1" s="192">
      <c r="W60678" s="239" t="n"/>
      <c r="X60678" s="239" t="n"/>
    </row>
    <row r="60679" ht="14.25" customHeight="1" s="192">
      <c r="W60679" s="235" t="n"/>
      <c r="X60679" s="235" t="n"/>
    </row>
    <row r="60680" ht="14.25" customHeight="1" s="192">
      <c r="W60680" s="235" t="n"/>
      <c r="X60680" s="235" t="n"/>
    </row>
    <row r="60681" ht="14.25" customHeight="1" s="192">
      <c r="W60681" s="235" t="n"/>
      <c r="X60681" s="235" t="n"/>
    </row>
    <row r="60682" ht="14.25" customHeight="1" s="192">
      <c r="W60682" s="239" t="n"/>
      <c r="X60682" s="239" t="n"/>
    </row>
    <row r="60683" ht="14.25" customHeight="1" s="192">
      <c r="W60683" s="239" t="n"/>
      <c r="X60683" s="239" t="n"/>
    </row>
    <row r="60684" ht="14.25" customHeight="1" s="192">
      <c r="W60684" s="235" t="n"/>
      <c r="X60684" s="235" t="n"/>
    </row>
    <row r="60685" ht="14.25" customHeight="1" s="192">
      <c r="W60685" s="235" t="n"/>
      <c r="X60685" s="235" t="n"/>
    </row>
    <row r="60686" ht="14.25" customHeight="1" s="192">
      <c r="W60686" s="239" t="n"/>
      <c r="X60686" s="239" t="n"/>
    </row>
    <row r="60687" ht="14.25" customHeight="1" s="192">
      <c r="W60687" s="235" t="n"/>
      <c r="X60687" s="235" t="n"/>
    </row>
    <row r="60688" ht="14.25" customHeight="1" s="192">
      <c r="W60688" s="239" t="n"/>
      <c r="X60688" s="239" t="n"/>
    </row>
    <row r="60690" ht="14.25" customHeight="1" s="192">
      <c r="W60690" s="235" t="n"/>
      <c r="X60690" s="235" t="n"/>
    </row>
    <row r="60691" ht="15" customHeight="1" s="192" thickBot="1">
      <c r="W60691" s="239" t="n"/>
      <c r="X60691" s="239" t="n"/>
    </row>
    <row r="60692" ht="15" customHeight="1" s="192" thickBot="1">
      <c r="W60692" s="45" t="n"/>
      <c r="X60692" s="45" t="n"/>
    </row>
    <row r="60693" ht="14.25" customHeight="1" s="192">
      <c r="W60693" s="228" t="n"/>
      <c r="X60693" s="228" t="n"/>
    </row>
    <row r="60694" ht="14.25" customHeight="1" s="192">
      <c r="W60694" s="228" t="n"/>
      <c r="X60694" s="228" t="n"/>
    </row>
    <row r="60695" ht="14.25" customHeight="1" s="192">
      <c r="W60695" s="231" t="n"/>
      <c r="X60695" s="231" t="n"/>
    </row>
    <row r="60696" ht="14.25" customHeight="1" s="192">
      <c r="W60696" s="33" t="n"/>
      <c r="X60696" s="33" t="n"/>
    </row>
    <row r="60697" ht="14.25" customHeight="1" s="192">
      <c r="W60697" s="231" t="n"/>
      <c r="X60697" s="231" t="n"/>
    </row>
    <row r="60698" ht="14.25" customHeight="1" s="192">
      <c r="W60698" s="33" t="n"/>
      <c r="X60698" s="33" t="n"/>
    </row>
    <row r="60700" ht="14.25" customHeight="1" s="192">
      <c r="W60700" s="231" t="n"/>
      <c r="X60700" s="231" t="n"/>
    </row>
    <row r="60701" ht="14.25" customHeight="1" s="192">
      <c r="W60701" s="235" t="n"/>
      <c r="X60701" s="235" t="n"/>
    </row>
    <row r="60702" ht="14.25" customHeight="1" s="192">
      <c r="W60702" s="228" t="n"/>
      <c r="X60702" s="228" t="n"/>
    </row>
    <row r="60703" ht="14.25" customHeight="1" s="192">
      <c r="W60703" s="235" t="n"/>
      <c r="X60703" s="235" t="n"/>
    </row>
    <row r="60704" ht="14.25" customHeight="1" s="192">
      <c r="W60704" s="235" t="n"/>
      <c r="X60704" s="235" t="n"/>
    </row>
    <row r="60705" ht="14.25" customHeight="1" s="192">
      <c r="W60705" s="235" t="n"/>
      <c r="X60705" s="235" t="n"/>
    </row>
    <row r="60706" ht="14.25" customHeight="1" s="192">
      <c r="W60706" s="239" t="n"/>
      <c r="X60706" s="239" t="n"/>
    </row>
    <row r="60707" ht="14.25" customHeight="1" s="192">
      <c r="W60707" s="239" t="n"/>
      <c r="X60707" s="239" t="n"/>
    </row>
    <row r="60708" ht="14.25" customHeight="1" s="192">
      <c r="W60708" s="239" t="n"/>
      <c r="X60708" s="239" t="n"/>
    </row>
    <row r="60709" ht="14.25" customHeight="1" s="192">
      <c r="W60709" s="235" t="n"/>
      <c r="X60709" s="235" t="n"/>
    </row>
    <row r="60710" ht="14.25" customHeight="1" s="192">
      <c r="W60710" s="235" t="n"/>
      <c r="X60710" s="235" t="n"/>
    </row>
    <row r="60711" ht="14.25" customHeight="1" s="192">
      <c r="W60711" s="235" t="n"/>
      <c r="X60711" s="235" t="n"/>
    </row>
    <row r="60712" ht="14.25" customHeight="1" s="192">
      <c r="W60712" s="239" t="n"/>
      <c r="X60712" s="239" t="n"/>
    </row>
    <row r="60713" ht="14.25" customHeight="1" s="192">
      <c r="W60713" s="239" t="n"/>
      <c r="X60713" s="239" t="n"/>
    </row>
    <row r="60714" ht="14.25" customHeight="1" s="192">
      <c r="W60714" s="235" t="n"/>
      <c r="X60714" s="235" t="n"/>
    </row>
    <row r="60715" ht="14.25" customHeight="1" s="192">
      <c r="W60715" s="235" t="n"/>
      <c r="X60715" s="235" t="n"/>
    </row>
    <row r="60716" ht="14.25" customHeight="1" s="192">
      <c r="W60716" s="239" t="n"/>
      <c r="X60716" s="239" t="n"/>
    </row>
    <row r="60717" ht="14.25" customHeight="1" s="192">
      <c r="W60717" s="235" t="n"/>
      <c r="X60717" s="235" t="n"/>
    </row>
    <row r="60718" ht="14.25" customHeight="1" s="192">
      <c r="W60718" s="239" t="n"/>
      <c r="X60718" s="239" t="n"/>
    </row>
    <row r="60720" ht="14.25" customHeight="1" s="192">
      <c r="W60720" s="235" t="n"/>
      <c r="X60720" s="235" t="n"/>
    </row>
    <row r="60721" ht="15" customHeight="1" s="192" thickBot="1">
      <c r="W60721" s="239" t="n"/>
      <c r="X60721" s="239" t="n"/>
    </row>
    <row r="60722" ht="15" customHeight="1" s="192" thickBot="1">
      <c r="W60722" s="45" t="n"/>
      <c r="X60722" s="45" t="n"/>
    </row>
    <row r="60723" ht="14.25" customHeight="1" s="192">
      <c r="W60723" s="228" t="n"/>
      <c r="X60723" s="228" t="n"/>
    </row>
    <row r="60724" ht="14.25" customHeight="1" s="192">
      <c r="W60724" s="228" t="n"/>
      <c r="X60724" s="228" t="n"/>
    </row>
    <row r="60725" ht="14.25" customHeight="1" s="192">
      <c r="W60725" s="231" t="n"/>
      <c r="X60725" s="231" t="n"/>
    </row>
    <row r="60726" ht="14.25" customHeight="1" s="192">
      <c r="W60726" s="33" t="n"/>
      <c r="X60726" s="33" t="n"/>
    </row>
    <row r="60727" ht="14.25" customHeight="1" s="192">
      <c r="W60727" s="231" t="n"/>
      <c r="X60727" s="231" t="n"/>
    </row>
    <row r="60728" ht="14.25" customHeight="1" s="192">
      <c r="W60728" s="33" t="n"/>
      <c r="X60728" s="33" t="n"/>
    </row>
    <row r="60730" ht="14.25" customHeight="1" s="192">
      <c r="W60730" s="231" t="n"/>
      <c r="X60730" s="231" t="n"/>
    </row>
    <row r="60731" ht="14.25" customHeight="1" s="192">
      <c r="W60731" s="235" t="n"/>
      <c r="X60731" s="235" t="n"/>
    </row>
    <row r="60732" ht="14.25" customHeight="1" s="192">
      <c r="W60732" s="228" t="n"/>
      <c r="X60732" s="228" t="n"/>
    </row>
    <row r="60733" ht="14.25" customHeight="1" s="192">
      <c r="W60733" s="235" t="n"/>
      <c r="X60733" s="235" t="n"/>
    </row>
    <row r="60734" ht="14.25" customHeight="1" s="192">
      <c r="W60734" s="235" t="n"/>
      <c r="X60734" s="235" t="n"/>
    </row>
    <row r="60735" ht="14.25" customHeight="1" s="192">
      <c r="W60735" s="235" t="n"/>
      <c r="X60735" s="235" t="n"/>
    </row>
    <row r="60736" ht="14.25" customHeight="1" s="192">
      <c r="W60736" s="239" t="n"/>
      <c r="X60736" s="239" t="n"/>
    </row>
    <row r="60737" ht="14.25" customHeight="1" s="192">
      <c r="W60737" s="239" t="n"/>
      <c r="X60737" s="239" t="n"/>
    </row>
    <row r="60738" ht="14.25" customHeight="1" s="192">
      <c r="W60738" s="239" t="n"/>
      <c r="X60738" s="239" t="n"/>
    </row>
    <row r="60739" ht="14.25" customHeight="1" s="192">
      <c r="W60739" s="235" t="n"/>
      <c r="X60739" s="235" t="n"/>
    </row>
    <row r="60740" ht="14.25" customHeight="1" s="192">
      <c r="W60740" s="235" t="n"/>
      <c r="X60740" s="235" t="n"/>
    </row>
    <row r="60741" ht="14.25" customHeight="1" s="192">
      <c r="W60741" s="235" t="n"/>
      <c r="X60741" s="235" t="n"/>
    </row>
    <row r="60742" ht="14.25" customHeight="1" s="192">
      <c r="W60742" s="239" t="n"/>
      <c r="X60742" s="239" t="n"/>
    </row>
    <row r="60743" ht="14.25" customHeight="1" s="192">
      <c r="W60743" s="239" t="n"/>
      <c r="X60743" s="239" t="n"/>
    </row>
    <row r="60744" ht="14.25" customHeight="1" s="192">
      <c r="W60744" s="235" t="n"/>
      <c r="X60744" s="235" t="n"/>
    </row>
    <row r="60745" ht="14.25" customHeight="1" s="192">
      <c r="W60745" s="235" t="n"/>
      <c r="X60745" s="235" t="n"/>
    </row>
    <row r="60746" ht="14.25" customHeight="1" s="192">
      <c r="W60746" s="239" t="n"/>
      <c r="X60746" s="239" t="n"/>
    </row>
    <row r="60747" ht="14.25" customHeight="1" s="192">
      <c r="W60747" s="235" t="n"/>
      <c r="X60747" s="235" t="n"/>
    </row>
    <row r="60748" ht="14.25" customHeight="1" s="192">
      <c r="W60748" s="239" t="n"/>
      <c r="X60748" s="239" t="n"/>
    </row>
    <row r="60750" ht="14.25" customHeight="1" s="192">
      <c r="W60750" s="235" t="n"/>
      <c r="X60750" s="235" t="n"/>
    </row>
    <row r="60751" ht="15" customHeight="1" s="192" thickBot="1">
      <c r="W60751" s="239" t="n"/>
      <c r="X60751" s="239" t="n"/>
    </row>
    <row r="60752" ht="15" customHeight="1" s="192" thickBot="1">
      <c r="W60752" s="45" t="n"/>
      <c r="X60752" s="45" t="n"/>
    </row>
    <row r="60753" ht="14.25" customHeight="1" s="192">
      <c r="W60753" s="228" t="n"/>
      <c r="X60753" s="228" t="n"/>
    </row>
    <row r="60754" ht="14.25" customHeight="1" s="192">
      <c r="W60754" s="228" t="n"/>
      <c r="X60754" s="228" t="n"/>
    </row>
    <row r="60755" ht="14.25" customHeight="1" s="192">
      <c r="W60755" s="231" t="n"/>
      <c r="X60755" s="231" t="n"/>
    </row>
    <row r="60756" ht="14.25" customHeight="1" s="192">
      <c r="W60756" s="33" t="n"/>
      <c r="X60756" s="33" t="n"/>
    </row>
    <row r="60757" ht="14.25" customHeight="1" s="192">
      <c r="W60757" s="231" t="n"/>
      <c r="X60757" s="231" t="n"/>
    </row>
    <row r="60758" ht="14.25" customHeight="1" s="192">
      <c r="W60758" s="33" t="n"/>
      <c r="X60758" s="33" t="n"/>
    </row>
    <row r="60760" ht="14.25" customHeight="1" s="192">
      <c r="W60760" s="231" t="n"/>
      <c r="X60760" s="231" t="n"/>
    </row>
    <row r="60761" ht="14.25" customHeight="1" s="192">
      <c r="W60761" s="235" t="n"/>
      <c r="X60761" s="235" t="n"/>
    </row>
    <row r="60762" ht="14.25" customHeight="1" s="192">
      <c r="W60762" s="228" t="n"/>
      <c r="X60762" s="228" t="n"/>
    </row>
    <row r="60763" ht="14.25" customHeight="1" s="192">
      <c r="W60763" s="235" t="n"/>
      <c r="X60763" s="235" t="n"/>
    </row>
    <row r="60764" ht="14.25" customHeight="1" s="192">
      <c r="W60764" s="235" t="n"/>
      <c r="X60764" s="235" t="n"/>
    </row>
    <row r="60765" ht="14.25" customHeight="1" s="192">
      <c r="W60765" s="235" t="n"/>
      <c r="X60765" s="235" t="n"/>
    </row>
    <row r="60766" ht="14.25" customHeight="1" s="192">
      <c r="W60766" s="239" t="n"/>
      <c r="X60766" s="239" t="n"/>
    </row>
    <row r="60767" ht="14.25" customHeight="1" s="192">
      <c r="W60767" s="239" t="n"/>
      <c r="X60767" s="239" t="n"/>
    </row>
    <row r="60768" ht="14.25" customHeight="1" s="192">
      <c r="W60768" s="239" t="n"/>
      <c r="X60768" s="239" t="n"/>
    </row>
    <row r="60769" ht="14.25" customHeight="1" s="192">
      <c r="W60769" s="235" t="n"/>
      <c r="X60769" s="235" t="n"/>
    </row>
    <row r="60770" ht="14.25" customHeight="1" s="192">
      <c r="W60770" s="235" t="n"/>
      <c r="X60770" s="235" t="n"/>
    </row>
    <row r="60771" ht="14.25" customHeight="1" s="192">
      <c r="W60771" s="235" t="n"/>
      <c r="X60771" s="235" t="n"/>
    </row>
    <row r="60772" ht="14.25" customHeight="1" s="192">
      <c r="W60772" s="239" t="n"/>
      <c r="X60772" s="239" t="n"/>
    </row>
    <row r="60773" ht="14.25" customHeight="1" s="192">
      <c r="W60773" s="239" t="n"/>
      <c r="X60773" s="239" t="n"/>
    </row>
    <row r="60774" ht="14.25" customHeight="1" s="192">
      <c r="W60774" s="235" t="n"/>
      <c r="X60774" s="235" t="n"/>
    </row>
    <row r="60775" ht="14.25" customHeight="1" s="192">
      <c r="W60775" s="235" t="n"/>
      <c r="X60775" s="235" t="n"/>
    </row>
    <row r="60776" ht="14.25" customHeight="1" s="192">
      <c r="W60776" s="239" t="n"/>
      <c r="X60776" s="239" t="n"/>
    </row>
    <row r="60777" ht="14.25" customHeight="1" s="192">
      <c r="W60777" s="235" t="n"/>
      <c r="X60777" s="235" t="n"/>
    </row>
    <row r="60778" ht="14.25" customHeight="1" s="192">
      <c r="W60778" s="239" t="n"/>
      <c r="X60778" s="239" t="n"/>
    </row>
    <row r="60780" ht="14.25" customHeight="1" s="192">
      <c r="W60780" s="235" t="n"/>
      <c r="X60780" s="235" t="n"/>
    </row>
    <row r="60781" ht="15" customHeight="1" s="192" thickBot="1">
      <c r="W60781" s="239" t="n"/>
      <c r="X60781" s="239" t="n"/>
    </row>
    <row r="60782" ht="15" customHeight="1" s="192" thickBot="1">
      <c r="W60782" s="45" t="n"/>
      <c r="X60782" s="45" t="n"/>
    </row>
    <row r="60783" ht="14.25" customHeight="1" s="192">
      <c r="W60783" s="228" t="n"/>
      <c r="X60783" s="228" t="n"/>
    </row>
    <row r="60784" ht="14.25" customHeight="1" s="192">
      <c r="W60784" s="228" t="n"/>
      <c r="X60784" s="228" t="n"/>
    </row>
    <row r="60785" ht="14.25" customHeight="1" s="192">
      <c r="W60785" s="231" t="n"/>
      <c r="X60785" s="231" t="n"/>
    </row>
    <row r="60786" ht="14.25" customHeight="1" s="192">
      <c r="W60786" s="33" t="n"/>
      <c r="X60786" s="33" t="n"/>
    </row>
    <row r="60787" ht="14.25" customHeight="1" s="192">
      <c r="W60787" s="231" t="n"/>
      <c r="X60787" s="231" t="n"/>
    </row>
    <row r="60788" ht="14.25" customHeight="1" s="192">
      <c r="W60788" s="33" t="n"/>
      <c r="X60788" s="33" t="n"/>
    </row>
    <row r="60790" ht="14.25" customHeight="1" s="192">
      <c r="W60790" s="231" t="n"/>
      <c r="X60790" s="231" t="n"/>
    </row>
    <row r="60791" ht="14.25" customHeight="1" s="192">
      <c r="W60791" s="235" t="n"/>
      <c r="X60791" s="235" t="n"/>
    </row>
    <row r="60792" ht="14.25" customHeight="1" s="192">
      <c r="W60792" s="228" t="n"/>
      <c r="X60792" s="228" t="n"/>
    </row>
    <row r="60793" ht="14.25" customHeight="1" s="192">
      <c r="W60793" s="235" t="n"/>
      <c r="X60793" s="235" t="n"/>
    </row>
    <row r="60794" ht="14.25" customHeight="1" s="192">
      <c r="W60794" s="235" t="n"/>
      <c r="X60794" s="235" t="n"/>
    </row>
    <row r="60795" ht="14.25" customHeight="1" s="192">
      <c r="W60795" s="235" t="n"/>
      <c r="X60795" s="235" t="n"/>
    </row>
    <row r="60796" ht="14.25" customHeight="1" s="192">
      <c r="W60796" s="239" t="n"/>
      <c r="X60796" s="239" t="n"/>
    </row>
    <row r="60797" ht="14.25" customHeight="1" s="192">
      <c r="W60797" s="239" t="n"/>
      <c r="X60797" s="239" t="n"/>
    </row>
    <row r="60798" ht="14.25" customHeight="1" s="192">
      <c r="W60798" s="239" t="n"/>
      <c r="X60798" s="239" t="n"/>
    </row>
    <row r="60799" ht="14.25" customHeight="1" s="192">
      <c r="W60799" s="235" t="n"/>
      <c r="X60799" s="235" t="n"/>
    </row>
    <row r="60800" ht="14.25" customHeight="1" s="192">
      <c r="W60800" s="235" t="n"/>
      <c r="X60800" s="235" t="n"/>
    </row>
    <row r="60801" ht="14.25" customHeight="1" s="192">
      <c r="W60801" s="235" t="n"/>
      <c r="X60801" s="235" t="n"/>
    </row>
    <row r="60802" ht="14.25" customHeight="1" s="192">
      <c r="W60802" s="239" t="n"/>
      <c r="X60802" s="239" t="n"/>
    </row>
    <row r="60803" ht="14.25" customHeight="1" s="192">
      <c r="W60803" s="239" t="n"/>
      <c r="X60803" s="239" t="n"/>
    </row>
    <row r="60804" ht="14.25" customHeight="1" s="192">
      <c r="W60804" s="235" t="n"/>
      <c r="X60804" s="235" t="n"/>
    </row>
    <row r="60805" ht="14.25" customHeight="1" s="192">
      <c r="W60805" s="235" t="n"/>
      <c r="X60805" s="235" t="n"/>
    </row>
    <row r="60806" ht="14.25" customHeight="1" s="192">
      <c r="W60806" s="239" t="n"/>
      <c r="X60806" s="239" t="n"/>
    </row>
    <row r="60807" ht="14.25" customHeight="1" s="192">
      <c r="W60807" s="235" t="n"/>
      <c r="X60807" s="235" t="n"/>
    </row>
    <row r="60808" ht="14.25" customHeight="1" s="192">
      <c r="W60808" s="239" t="n"/>
      <c r="X60808" s="239" t="n"/>
    </row>
    <row r="60810" ht="14.25" customHeight="1" s="192">
      <c r="W60810" s="235" t="n"/>
      <c r="X60810" s="235" t="n"/>
    </row>
    <row r="60811" ht="15" customHeight="1" s="192" thickBot="1">
      <c r="W60811" s="239" t="n"/>
      <c r="X60811" s="239" t="n"/>
    </row>
    <row r="60812" ht="15" customHeight="1" s="192" thickBot="1">
      <c r="W60812" s="45" t="n"/>
      <c r="X60812" s="45" t="n"/>
    </row>
    <row r="60813" ht="14.25" customHeight="1" s="192">
      <c r="W60813" s="228" t="n"/>
      <c r="X60813" s="228" t="n"/>
    </row>
    <row r="60814" ht="14.25" customHeight="1" s="192">
      <c r="W60814" s="228" t="n"/>
      <c r="X60814" s="228" t="n"/>
    </row>
    <row r="60815" ht="14.25" customHeight="1" s="192">
      <c r="W60815" s="231" t="n"/>
      <c r="X60815" s="231" t="n"/>
    </row>
    <row r="60816" ht="14.25" customHeight="1" s="192">
      <c r="W60816" s="33" t="n"/>
      <c r="X60816" s="33" t="n"/>
    </row>
    <row r="60817" ht="14.25" customHeight="1" s="192">
      <c r="W60817" s="231" t="n"/>
      <c r="X60817" s="231" t="n"/>
    </row>
    <row r="60818" ht="14.25" customHeight="1" s="192">
      <c r="W60818" s="33" t="n"/>
      <c r="X60818" s="33" t="n"/>
    </row>
    <row r="60820" ht="14.25" customHeight="1" s="192">
      <c r="W60820" s="231" t="n"/>
      <c r="X60820" s="231" t="n"/>
    </row>
    <row r="60821" ht="14.25" customHeight="1" s="192">
      <c r="W60821" s="235" t="n"/>
      <c r="X60821" s="235" t="n"/>
    </row>
    <row r="60822" ht="14.25" customHeight="1" s="192">
      <c r="W60822" s="228" t="n"/>
      <c r="X60822" s="228" t="n"/>
    </row>
    <row r="60823" ht="14.25" customHeight="1" s="192">
      <c r="W60823" s="235" t="n"/>
      <c r="X60823" s="235" t="n"/>
    </row>
    <row r="60824" ht="14.25" customHeight="1" s="192">
      <c r="W60824" s="235" t="n"/>
      <c r="X60824" s="235" t="n"/>
    </row>
    <row r="60825" ht="14.25" customHeight="1" s="192">
      <c r="W60825" s="235" t="n"/>
      <c r="X60825" s="235" t="n"/>
    </row>
    <row r="60826" ht="14.25" customHeight="1" s="192">
      <c r="W60826" s="239" t="n"/>
      <c r="X60826" s="239" t="n"/>
    </row>
    <row r="60827" ht="14.25" customHeight="1" s="192">
      <c r="W60827" s="239" t="n"/>
      <c r="X60827" s="239" t="n"/>
    </row>
    <row r="60828" ht="14.25" customHeight="1" s="192">
      <c r="W60828" s="239" t="n"/>
      <c r="X60828" s="239" t="n"/>
    </row>
    <row r="60829" ht="14.25" customHeight="1" s="192">
      <c r="W60829" s="235" t="n"/>
      <c r="X60829" s="235" t="n"/>
    </row>
    <row r="60830" ht="14.25" customHeight="1" s="192">
      <c r="W60830" s="235" t="n"/>
      <c r="X60830" s="235" t="n"/>
    </row>
    <row r="60831" ht="14.25" customHeight="1" s="192">
      <c r="W60831" s="235" t="n"/>
      <c r="X60831" s="235" t="n"/>
    </row>
    <row r="60832" ht="14.25" customHeight="1" s="192">
      <c r="W60832" s="239" t="n"/>
      <c r="X60832" s="239" t="n"/>
    </row>
    <row r="60833" ht="14.25" customHeight="1" s="192">
      <c r="W60833" s="239" t="n"/>
      <c r="X60833" s="239" t="n"/>
    </row>
    <row r="60834" ht="14.25" customHeight="1" s="192">
      <c r="W60834" s="235" t="n"/>
      <c r="X60834" s="235" t="n"/>
    </row>
    <row r="60835" ht="14.25" customHeight="1" s="192">
      <c r="W60835" s="235" t="n"/>
      <c r="X60835" s="235" t="n"/>
    </row>
    <row r="60836" ht="14.25" customHeight="1" s="192">
      <c r="W60836" s="239" t="n"/>
      <c r="X60836" s="239" t="n"/>
    </row>
    <row r="60837" ht="14.25" customHeight="1" s="192">
      <c r="W60837" s="235" t="n"/>
      <c r="X60837" s="235" t="n"/>
    </row>
    <row r="60838" ht="14.25" customHeight="1" s="192">
      <c r="W60838" s="239" t="n"/>
      <c r="X60838" s="239" t="n"/>
    </row>
    <row r="60840" ht="14.25" customHeight="1" s="192">
      <c r="W60840" s="235" t="n"/>
      <c r="X60840" s="235" t="n"/>
    </row>
    <row r="60841" ht="15" customHeight="1" s="192" thickBot="1">
      <c r="W60841" s="239" t="n"/>
      <c r="X60841" s="239" t="n"/>
    </row>
    <row r="60842" ht="15" customHeight="1" s="192" thickBot="1">
      <c r="W60842" s="45" t="n"/>
      <c r="X60842" s="45" t="n"/>
    </row>
    <row r="60843" ht="14.25" customHeight="1" s="192">
      <c r="W60843" s="228" t="n"/>
      <c r="X60843" s="228" t="n"/>
    </row>
    <row r="60844" ht="14.25" customHeight="1" s="192">
      <c r="W60844" s="228" t="n"/>
      <c r="X60844" s="228" t="n"/>
    </row>
    <row r="60845" ht="14.25" customHeight="1" s="192">
      <c r="W60845" s="231" t="n"/>
      <c r="X60845" s="231" t="n"/>
    </row>
    <row r="60846" ht="14.25" customHeight="1" s="192">
      <c r="W60846" s="33" t="n"/>
      <c r="X60846" s="33" t="n"/>
    </row>
    <row r="60847" ht="14.25" customHeight="1" s="192">
      <c r="W60847" s="231" t="n"/>
      <c r="X60847" s="231" t="n"/>
    </row>
    <row r="60848" ht="14.25" customHeight="1" s="192">
      <c r="W60848" s="33" t="n"/>
      <c r="X60848" s="33" t="n"/>
    </row>
    <row r="60850" ht="14.25" customHeight="1" s="192">
      <c r="W60850" s="231" t="n"/>
      <c r="X60850" s="231" t="n"/>
    </row>
    <row r="60851" ht="14.25" customHeight="1" s="192">
      <c r="W60851" s="235" t="n"/>
      <c r="X60851" s="235" t="n"/>
    </row>
    <row r="60852" ht="14.25" customHeight="1" s="192">
      <c r="W60852" s="228" t="n"/>
      <c r="X60852" s="228" t="n"/>
    </row>
    <row r="60853" ht="14.25" customHeight="1" s="192">
      <c r="W60853" s="235" t="n"/>
      <c r="X60853" s="235" t="n"/>
    </row>
    <row r="60854" ht="14.25" customHeight="1" s="192">
      <c r="W60854" s="235" t="n"/>
      <c r="X60854" s="235" t="n"/>
    </row>
    <row r="60855" ht="14.25" customHeight="1" s="192">
      <c r="W60855" s="235" t="n"/>
      <c r="X60855" s="235" t="n"/>
    </row>
    <row r="60856" ht="14.25" customHeight="1" s="192">
      <c r="W60856" s="239" t="n"/>
      <c r="X60856" s="239" t="n"/>
    </row>
    <row r="60857" ht="14.25" customHeight="1" s="192">
      <c r="W60857" s="239" t="n"/>
      <c r="X60857" s="239" t="n"/>
    </row>
    <row r="60858" ht="14.25" customHeight="1" s="192">
      <c r="W60858" s="239" t="n"/>
      <c r="X60858" s="239" t="n"/>
    </row>
    <row r="60859" ht="14.25" customHeight="1" s="192">
      <c r="W60859" s="235" t="n"/>
      <c r="X60859" s="235" t="n"/>
    </row>
    <row r="60860" ht="14.25" customHeight="1" s="192">
      <c r="W60860" s="235" t="n"/>
      <c r="X60860" s="235" t="n"/>
    </row>
    <row r="60861" ht="14.25" customHeight="1" s="192">
      <c r="W60861" s="235" t="n"/>
      <c r="X60861" s="235" t="n"/>
    </row>
    <row r="60862" ht="14.25" customHeight="1" s="192">
      <c r="W60862" s="239" t="n"/>
      <c r="X60862" s="239" t="n"/>
    </row>
    <row r="60863" ht="14.25" customHeight="1" s="192">
      <c r="W60863" s="239" t="n"/>
      <c r="X60863" s="239" t="n"/>
    </row>
    <row r="60864" ht="14.25" customHeight="1" s="192">
      <c r="W60864" s="235" t="n"/>
      <c r="X60864" s="235" t="n"/>
    </row>
    <row r="60865" ht="14.25" customHeight="1" s="192">
      <c r="W60865" s="235" t="n"/>
      <c r="X60865" s="235" t="n"/>
    </row>
    <row r="60866" ht="14.25" customHeight="1" s="192">
      <c r="W60866" s="239" t="n"/>
      <c r="X60866" s="239" t="n"/>
    </row>
    <row r="60867" ht="14.25" customHeight="1" s="192">
      <c r="W60867" s="235" t="n"/>
      <c r="X60867" s="235" t="n"/>
    </row>
    <row r="60868" ht="14.25" customHeight="1" s="192">
      <c r="W60868" s="239" t="n"/>
      <c r="X60868" s="239" t="n"/>
    </row>
    <row r="60870" ht="14.25" customHeight="1" s="192">
      <c r="W60870" s="235" t="n"/>
      <c r="X60870" s="235" t="n"/>
    </row>
    <row r="60871" ht="15" customHeight="1" s="192" thickBot="1">
      <c r="W60871" s="239" t="n"/>
      <c r="X60871" s="239" t="n"/>
    </row>
    <row r="60872" ht="15" customHeight="1" s="192" thickBot="1">
      <c r="W60872" s="45" t="n"/>
      <c r="X60872" s="45" t="n"/>
    </row>
    <row r="60873" ht="14.25" customHeight="1" s="192">
      <c r="W60873" s="228" t="n"/>
      <c r="X60873" s="228" t="n"/>
    </row>
    <row r="60874" ht="14.25" customHeight="1" s="192">
      <c r="W60874" s="228" t="n"/>
      <c r="X60874" s="228" t="n"/>
    </row>
    <row r="60875" ht="14.25" customHeight="1" s="192">
      <c r="W60875" s="231" t="n"/>
      <c r="X60875" s="231" t="n"/>
    </row>
    <row r="60876" ht="14.25" customHeight="1" s="192">
      <c r="W60876" s="33" t="n"/>
      <c r="X60876" s="33" t="n"/>
    </row>
    <row r="60877" ht="14.25" customHeight="1" s="192">
      <c r="W60877" s="231" t="n"/>
      <c r="X60877" s="231" t="n"/>
    </row>
    <row r="60878" ht="14.25" customHeight="1" s="192">
      <c r="W60878" s="33" t="n"/>
      <c r="X60878" s="33" t="n"/>
    </row>
    <row r="60880" ht="14.25" customHeight="1" s="192">
      <c r="W60880" s="231" t="n"/>
      <c r="X60880" s="231" t="n"/>
    </row>
    <row r="60881" ht="14.25" customHeight="1" s="192">
      <c r="W60881" s="235" t="n"/>
      <c r="X60881" s="235" t="n"/>
    </row>
    <row r="60882" ht="14.25" customHeight="1" s="192">
      <c r="W60882" s="228" t="n"/>
      <c r="X60882" s="228" t="n"/>
    </row>
    <row r="60883" ht="14.25" customHeight="1" s="192">
      <c r="W60883" s="235" t="n"/>
      <c r="X60883" s="235" t="n"/>
    </row>
    <row r="60884" ht="14.25" customHeight="1" s="192">
      <c r="W60884" s="235" t="n"/>
      <c r="X60884" s="235" t="n"/>
    </row>
    <row r="60885" ht="14.25" customHeight="1" s="192">
      <c r="W60885" s="235" t="n"/>
      <c r="X60885" s="235" t="n"/>
    </row>
    <row r="60886" ht="14.25" customHeight="1" s="192">
      <c r="W60886" s="239" t="n"/>
      <c r="X60886" s="239" t="n"/>
    </row>
    <row r="60887" ht="14.25" customHeight="1" s="192">
      <c r="W60887" s="239" t="n"/>
      <c r="X60887" s="239" t="n"/>
    </row>
    <row r="60888" ht="14.25" customHeight="1" s="192">
      <c r="W60888" s="239" t="n"/>
      <c r="X60888" s="239" t="n"/>
    </row>
    <row r="60889" ht="14.25" customHeight="1" s="192">
      <c r="W60889" s="235" t="n"/>
      <c r="X60889" s="235" t="n"/>
    </row>
    <row r="60890" ht="14.25" customHeight="1" s="192">
      <c r="W60890" s="235" t="n"/>
      <c r="X60890" s="235" t="n"/>
    </row>
    <row r="60891" ht="14.25" customHeight="1" s="192">
      <c r="W60891" s="235" t="n"/>
      <c r="X60891" s="235" t="n"/>
    </row>
    <row r="60892" ht="14.25" customHeight="1" s="192">
      <c r="W60892" s="239" t="n"/>
      <c r="X60892" s="239" t="n"/>
    </row>
    <row r="60893" ht="14.25" customHeight="1" s="192">
      <c r="W60893" s="239" t="n"/>
      <c r="X60893" s="239" t="n"/>
    </row>
    <row r="60894" ht="14.25" customHeight="1" s="192">
      <c r="W60894" s="235" t="n"/>
      <c r="X60894" s="235" t="n"/>
    </row>
    <row r="60895" ht="14.25" customHeight="1" s="192">
      <c r="W60895" s="235" t="n"/>
      <c r="X60895" s="235" t="n"/>
    </row>
    <row r="60896" ht="14.25" customHeight="1" s="192">
      <c r="W60896" s="239" t="n"/>
      <c r="X60896" s="239" t="n"/>
    </row>
    <row r="60897" ht="14.25" customHeight="1" s="192">
      <c r="W60897" s="235" t="n"/>
      <c r="X60897" s="235" t="n"/>
    </row>
    <row r="60898" ht="14.25" customHeight="1" s="192">
      <c r="W60898" s="239" t="n"/>
      <c r="X60898" s="239" t="n"/>
    </row>
    <row r="60900" ht="14.25" customHeight="1" s="192">
      <c r="W60900" s="235" t="n"/>
      <c r="X60900" s="235" t="n"/>
    </row>
    <row r="60901" ht="15" customHeight="1" s="192" thickBot="1">
      <c r="W60901" s="239" t="n"/>
      <c r="X60901" s="239" t="n"/>
    </row>
    <row r="60902" ht="15" customHeight="1" s="192" thickBot="1">
      <c r="W60902" s="45" t="n"/>
      <c r="X60902" s="45" t="n"/>
    </row>
    <row r="60903" ht="14.25" customHeight="1" s="192">
      <c r="W60903" s="228" t="n"/>
      <c r="X60903" s="228" t="n"/>
    </row>
    <row r="60904" ht="14.25" customHeight="1" s="192">
      <c r="W60904" s="228" t="n"/>
      <c r="X60904" s="228" t="n"/>
    </row>
    <row r="60905" ht="14.25" customHeight="1" s="192">
      <c r="W60905" s="231" t="n"/>
      <c r="X60905" s="231" t="n"/>
    </row>
    <row r="60906" ht="14.25" customHeight="1" s="192">
      <c r="W60906" s="33" t="n"/>
      <c r="X60906" s="33" t="n"/>
    </row>
    <row r="60907" ht="14.25" customHeight="1" s="192">
      <c r="W60907" s="231" t="n"/>
      <c r="X60907" s="231" t="n"/>
    </row>
    <row r="60908" ht="14.25" customHeight="1" s="192">
      <c r="W60908" s="33" t="n"/>
      <c r="X60908" s="33" t="n"/>
    </row>
    <row r="60910" ht="14.25" customHeight="1" s="192">
      <c r="W60910" s="231" t="n"/>
      <c r="X60910" s="231" t="n"/>
    </row>
    <row r="60911" ht="14.25" customHeight="1" s="192">
      <c r="W60911" s="235" t="n"/>
      <c r="X60911" s="235" t="n"/>
    </row>
    <row r="60912" ht="14.25" customHeight="1" s="192">
      <c r="W60912" s="228" t="n"/>
      <c r="X60912" s="228" t="n"/>
    </row>
    <row r="60913" ht="14.25" customHeight="1" s="192">
      <c r="W60913" s="235" t="n"/>
      <c r="X60913" s="235" t="n"/>
    </row>
    <row r="60914" ht="14.25" customHeight="1" s="192">
      <c r="W60914" s="235" t="n"/>
      <c r="X60914" s="235" t="n"/>
    </row>
    <row r="60915" ht="14.25" customHeight="1" s="192">
      <c r="W60915" s="235" t="n"/>
      <c r="X60915" s="235" t="n"/>
    </row>
    <row r="60916" ht="14.25" customHeight="1" s="192">
      <c r="W60916" s="239" t="n"/>
      <c r="X60916" s="239" t="n"/>
    </row>
    <row r="60917" ht="14.25" customHeight="1" s="192">
      <c r="W60917" s="239" t="n"/>
      <c r="X60917" s="239" t="n"/>
    </row>
    <row r="60918" ht="14.25" customHeight="1" s="192">
      <c r="W60918" s="239" t="n"/>
      <c r="X60918" s="239" t="n"/>
    </row>
    <row r="60919" ht="14.25" customHeight="1" s="192">
      <c r="W60919" s="235" t="n"/>
      <c r="X60919" s="235" t="n"/>
    </row>
    <row r="60920" ht="14.25" customHeight="1" s="192">
      <c r="W60920" s="235" t="n"/>
      <c r="X60920" s="235" t="n"/>
    </row>
    <row r="60921" ht="14.25" customHeight="1" s="192">
      <c r="W60921" s="235" t="n"/>
      <c r="X60921" s="235" t="n"/>
    </row>
    <row r="60922" ht="14.25" customHeight="1" s="192">
      <c r="W60922" s="239" t="n"/>
      <c r="X60922" s="239" t="n"/>
    </row>
    <row r="60923" ht="14.25" customHeight="1" s="192">
      <c r="W60923" s="239" t="n"/>
      <c r="X60923" s="239" t="n"/>
    </row>
    <row r="60924" ht="14.25" customHeight="1" s="192">
      <c r="W60924" s="235" t="n"/>
      <c r="X60924" s="235" t="n"/>
    </row>
    <row r="60925" ht="14.25" customHeight="1" s="192">
      <c r="W60925" s="235" t="n"/>
      <c r="X60925" s="235" t="n"/>
    </row>
    <row r="60926" ht="14.25" customHeight="1" s="192">
      <c r="W60926" s="239" t="n"/>
      <c r="X60926" s="239" t="n"/>
    </row>
    <row r="60927" ht="14.25" customHeight="1" s="192">
      <c r="W60927" s="235" t="n"/>
      <c r="X60927" s="235" t="n"/>
    </row>
    <row r="60928" ht="14.25" customHeight="1" s="192">
      <c r="W60928" s="239" t="n"/>
      <c r="X60928" s="239" t="n"/>
    </row>
    <row r="60930" ht="14.25" customHeight="1" s="192">
      <c r="W60930" s="235" t="n"/>
      <c r="X60930" s="235" t="n"/>
    </row>
    <row r="60931" ht="15" customHeight="1" s="192" thickBot="1">
      <c r="W60931" s="239" t="n"/>
      <c r="X60931" s="239" t="n"/>
    </row>
    <row r="60932" ht="15" customHeight="1" s="192" thickBot="1">
      <c r="W60932" s="45" t="n"/>
      <c r="X60932" s="45" t="n"/>
    </row>
    <row r="60933" ht="14.25" customHeight="1" s="192">
      <c r="W60933" s="228" t="n"/>
      <c r="X60933" s="228" t="n"/>
    </row>
    <row r="60934" ht="14.25" customHeight="1" s="192">
      <c r="W60934" s="228" t="n"/>
      <c r="X60934" s="228" t="n"/>
    </row>
    <row r="60935" ht="14.25" customHeight="1" s="192">
      <c r="W60935" s="231" t="n"/>
      <c r="X60935" s="231" t="n"/>
    </row>
    <row r="60936" ht="14.25" customHeight="1" s="192">
      <c r="W60936" s="33" t="n"/>
      <c r="X60936" s="33" t="n"/>
    </row>
    <row r="60937" ht="14.25" customHeight="1" s="192">
      <c r="W60937" s="231" t="n"/>
      <c r="X60937" s="231" t="n"/>
    </row>
    <row r="60938" ht="14.25" customHeight="1" s="192">
      <c r="W60938" s="33" t="n"/>
      <c r="X60938" s="33" t="n"/>
    </row>
    <row r="60940" ht="14.25" customHeight="1" s="192">
      <c r="W60940" s="231" t="n"/>
      <c r="X60940" s="231" t="n"/>
    </row>
    <row r="60941" ht="14.25" customHeight="1" s="192">
      <c r="W60941" s="235" t="n"/>
      <c r="X60941" s="235" t="n"/>
    </row>
    <row r="60942" ht="14.25" customHeight="1" s="192">
      <c r="W60942" s="228" t="n"/>
      <c r="X60942" s="228" t="n"/>
    </row>
    <row r="60943" ht="14.25" customHeight="1" s="192">
      <c r="W60943" s="235" t="n"/>
      <c r="X60943" s="235" t="n"/>
    </row>
    <row r="60944" ht="14.25" customHeight="1" s="192">
      <c r="W60944" s="235" t="n"/>
      <c r="X60944" s="235" t="n"/>
    </row>
    <row r="60945" ht="14.25" customHeight="1" s="192">
      <c r="W60945" s="235" t="n"/>
      <c r="X60945" s="235" t="n"/>
    </row>
    <row r="60946" ht="14.25" customHeight="1" s="192">
      <c r="W60946" s="239" t="n"/>
      <c r="X60946" s="239" t="n"/>
    </row>
    <row r="60947" ht="14.25" customHeight="1" s="192">
      <c r="W60947" s="239" t="n"/>
      <c r="X60947" s="239" t="n"/>
    </row>
    <row r="60948" ht="14.25" customHeight="1" s="192">
      <c r="W60948" s="239" t="n"/>
      <c r="X60948" s="239" t="n"/>
    </row>
    <row r="60949" ht="14.25" customHeight="1" s="192">
      <c r="W60949" s="235" t="n"/>
      <c r="X60949" s="235" t="n"/>
    </row>
    <row r="60950" ht="14.25" customHeight="1" s="192">
      <c r="W60950" s="235" t="n"/>
      <c r="X60950" s="235" t="n"/>
    </row>
    <row r="60951" ht="14.25" customHeight="1" s="192">
      <c r="W60951" s="235" t="n"/>
      <c r="X60951" s="235" t="n"/>
    </row>
    <row r="60952" ht="14.25" customHeight="1" s="192">
      <c r="W60952" s="239" t="n"/>
      <c r="X60952" s="239" t="n"/>
    </row>
    <row r="60953" ht="14.25" customHeight="1" s="192">
      <c r="W60953" s="239" t="n"/>
      <c r="X60953" s="239" t="n"/>
    </row>
    <row r="60954" ht="14.25" customHeight="1" s="192">
      <c r="W60954" s="235" t="n"/>
      <c r="X60954" s="235" t="n"/>
    </row>
    <row r="60955" ht="14.25" customHeight="1" s="192">
      <c r="W60955" s="235" t="n"/>
      <c r="X60955" s="235" t="n"/>
    </row>
    <row r="60956" ht="14.25" customHeight="1" s="192">
      <c r="W60956" s="239" t="n"/>
      <c r="X60956" s="239" t="n"/>
    </row>
    <row r="60957" ht="14.25" customHeight="1" s="192">
      <c r="W60957" s="235" t="n"/>
      <c r="X60957" s="235" t="n"/>
    </row>
    <row r="60958" ht="14.25" customHeight="1" s="192">
      <c r="W60958" s="239" t="n"/>
      <c r="X60958" s="239" t="n"/>
    </row>
    <row r="60960" ht="14.25" customHeight="1" s="192">
      <c r="W60960" s="235" t="n"/>
      <c r="X60960" s="235" t="n"/>
    </row>
    <row r="60961" ht="15" customHeight="1" s="192" thickBot="1">
      <c r="W60961" s="239" t="n"/>
      <c r="X60961" s="239" t="n"/>
    </row>
    <row r="60962" ht="15" customHeight="1" s="192" thickBot="1">
      <c r="W60962" s="45" t="n"/>
      <c r="X60962" s="45" t="n"/>
    </row>
    <row r="60963" ht="14.25" customHeight="1" s="192">
      <c r="W60963" s="228" t="n"/>
      <c r="X60963" s="228" t="n"/>
    </row>
    <row r="60964" ht="14.25" customHeight="1" s="192">
      <c r="W60964" s="228" t="n"/>
      <c r="X60964" s="228" t="n"/>
    </row>
    <row r="60965" ht="14.25" customHeight="1" s="192">
      <c r="W60965" s="231" t="n"/>
      <c r="X60965" s="231" t="n"/>
    </row>
    <row r="60966" ht="14.25" customHeight="1" s="192">
      <c r="W60966" s="33" t="n"/>
      <c r="X60966" s="33" t="n"/>
    </row>
    <row r="60967" ht="14.25" customHeight="1" s="192">
      <c r="W60967" s="231" t="n"/>
      <c r="X60967" s="231" t="n"/>
    </row>
    <row r="60968" ht="14.25" customHeight="1" s="192">
      <c r="W60968" s="33" t="n"/>
      <c r="X60968" s="33" t="n"/>
    </row>
    <row r="60970" ht="14.25" customHeight="1" s="192">
      <c r="W60970" s="231" t="n"/>
      <c r="X60970" s="231" t="n"/>
    </row>
    <row r="60971" ht="14.25" customHeight="1" s="192">
      <c r="W60971" s="235" t="n"/>
      <c r="X60971" s="235" t="n"/>
    </row>
    <row r="60972" ht="14.25" customHeight="1" s="192">
      <c r="W60972" s="228" t="n"/>
      <c r="X60972" s="228" t="n"/>
    </row>
    <row r="60973" ht="14.25" customHeight="1" s="192">
      <c r="W60973" s="235" t="n"/>
      <c r="X60973" s="235" t="n"/>
    </row>
    <row r="60974" ht="14.25" customHeight="1" s="192">
      <c r="W60974" s="235" t="n"/>
      <c r="X60974" s="235" t="n"/>
    </row>
    <row r="60975" ht="14.25" customHeight="1" s="192">
      <c r="W60975" s="235" t="n"/>
      <c r="X60975" s="235" t="n"/>
    </row>
    <row r="60976" ht="14.25" customHeight="1" s="192">
      <c r="W60976" s="239" t="n"/>
      <c r="X60976" s="239" t="n"/>
    </row>
    <row r="60977" ht="14.25" customHeight="1" s="192">
      <c r="W60977" s="239" t="n"/>
      <c r="X60977" s="239" t="n"/>
    </row>
    <row r="60978" ht="14.25" customHeight="1" s="192">
      <c r="W60978" s="239" t="n"/>
      <c r="X60978" s="239" t="n"/>
    </row>
    <row r="60979" ht="14.25" customHeight="1" s="192">
      <c r="W60979" s="235" t="n"/>
      <c r="X60979" s="235" t="n"/>
    </row>
    <row r="60980" ht="14.25" customHeight="1" s="192">
      <c r="W60980" s="235" t="n"/>
      <c r="X60980" s="235" t="n"/>
    </row>
    <row r="60981" ht="14.25" customHeight="1" s="192">
      <c r="W60981" s="235" t="n"/>
      <c r="X60981" s="235" t="n"/>
    </row>
    <row r="60982" ht="14.25" customHeight="1" s="192">
      <c r="W60982" s="239" t="n"/>
      <c r="X60982" s="239" t="n"/>
    </row>
    <row r="60983" ht="14.25" customHeight="1" s="192">
      <c r="W60983" s="239" t="n"/>
      <c r="X60983" s="239" t="n"/>
    </row>
    <row r="60984" ht="14.25" customHeight="1" s="192">
      <c r="W60984" s="235" t="n"/>
      <c r="X60984" s="235" t="n"/>
    </row>
    <row r="60985" ht="14.25" customHeight="1" s="192">
      <c r="W60985" s="235" t="n"/>
      <c r="X60985" s="235" t="n"/>
    </row>
    <row r="60986" ht="14.25" customHeight="1" s="192">
      <c r="W60986" s="239" t="n"/>
      <c r="X60986" s="239" t="n"/>
    </row>
    <row r="60987" ht="14.25" customHeight="1" s="192">
      <c r="W60987" s="235" t="n"/>
      <c r="X60987" s="235" t="n"/>
    </row>
    <row r="60988" ht="14.25" customHeight="1" s="192">
      <c r="W60988" s="239" t="n"/>
      <c r="X60988" s="239" t="n"/>
    </row>
    <row r="60990" ht="14.25" customHeight="1" s="192">
      <c r="W60990" s="235" t="n"/>
      <c r="X60990" s="235" t="n"/>
    </row>
    <row r="60991" ht="15" customHeight="1" s="192" thickBot="1">
      <c r="W60991" s="239" t="n"/>
      <c r="X60991" s="239" t="n"/>
    </row>
    <row r="60992" ht="15" customHeight="1" s="192" thickBot="1">
      <c r="W60992" s="45" t="n"/>
      <c r="X60992" s="45" t="n"/>
    </row>
    <row r="60993" ht="14.25" customHeight="1" s="192">
      <c r="W60993" s="228" t="n"/>
      <c r="X60993" s="228" t="n"/>
    </row>
    <row r="60994" ht="14.25" customHeight="1" s="192">
      <c r="W60994" s="228" t="n"/>
      <c r="X60994" s="228" t="n"/>
    </row>
    <row r="60995" ht="14.25" customHeight="1" s="192">
      <c r="W60995" s="231" t="n"/>
      <c r="X60995" s="231" t="n"/>
    </row>
    <row r="60996" ht="14.25" customHeight="1" s="192">
      <c r="W60996" s="33" t="n"/>
      <c r="X60996" s="33" t="n"/>
    </row>
    <row r="60997" ht="14.25" customHeight="1" s="192">
      <c r="W60997" s="231" t="n"/>
      <c r="X60997" s="231" t="n"/>
    </row>
    <row r="60998" ht="14.25" customHeight="1" s="192">
      <c r="W60998" s="33" t="n"/>
      <c r="X60998" s="33" t="n"/>
    </row>
    <row r="61000" ht="14.25" customHeight="1" s="192">
      <c r="W61000" s="231" t="n"/>
      <c r="X61000" s="231" t="n"/>
    </row>
    <row r="61001" ht="14.25" customHeight="1" s="192">
      <c r="W61001" s="235" t="n"/>
      <c r="X61001" s="235" t="n"/>
    </row>
    <row r="61002" ht="14.25" customHeight="1" s="192">
      <c r="W61002" s="228" t="n"/>
      <c r="X61002" s="228" t="n"/>
    </row>
    <row r="61003" ht="14.25" customHeight="1" s="192">
      <c r="W61003" s="235" t="n"/>
      <c r="X61003" s="235" t="n"/>
    </row>
    <row r="61004" ht="14.25" customHeight="1" s="192">
      <c r="W61004" s="235" t="n"/>
      <c r="X61004" s="235" t="n"/>
    </row>
    <row r="61005" ht="14.25" customHeight="1" s="192">
      <c r="W61005" s="235" t="n"/>
      <c r="X61005" s="235" t="n"/>
    </row>
    <row r="61006" ht="14.25" customHeight="1" s="192">
      <c r="W61006" s="239" t="n"/>
      <c r="X61006" s="239" t="n"/>
    </row>
    <row r="61007" ht="14.25" customHeight="1" s="192">
      <c r="W61007" s="239" t="n"/>
      <c r="X61007" s="239" t="n"/>
    </row>
    <row r="61008" ht="14.25" customHeight="1" s="192">
      <c r="W61008" s="239" t="n"/>
      <c r="X61008" s="239" t="n"/>
    </row>
    <row r="61009" ht="14.25" customHeight="1" s="192">
      <c r="W61009" s="235" t="n"/>
      <c r="X61009" s="235" t="n"/>
    </row>
    <row r="61010" ht="14.25" customHeight="1" s="192">
      <c r="W61010" s="235" t="n"/>
      <c r="X61010" s="235" t="n"/>
    </row>
    <row r="61011" ht="14.25" customHeight="1" s="192">
      <c r="W61011" s="235" t="n"/>
      <c r="X61011" s="235" t="n"/>
    </row>
    <row r="61012" ht="14.25" customHeight="1" s="192">
      <c r="W61012" s="239" t="n"/>
      <c r="X61012" s="239" t="n"/>
    </row>
    <row r="61013" ht="14.25" customHeight="1" s="192">
      <c r="W61013" s="239" t="n"/>
      <c r="X61013" s="239" t="n"/>
    </row>
    <row r="61014" ht="14.25" customHeight="1" s="192">
      <c r="W61014" s="235" t="n"/>
      <c r="X61014" s="235" t="n"/>
    </row>
    <row r="61015" ht="14.25" customHeight="1" s="192">
      <c r="W61015" s="235" t="n"/>
      <c r="X61015" s="235" t="n"/>
    </row>
    <row r="61016" ht="14.25" customHeight="1" s="192">
      <c r="W61016" s="239" t="n"/>
      <c r="X61016" s="239" t="n"/>
    </row>
    <row r="61017" ht="14.25" customHeight="1" s="192">
      <c r="W61017" s="235" t="n"/>
      <c r="X61017" s="235" t="n"/>
    </row>
    <row r="61018" ht="14.25" customHeight="1" s="192">
      <c r="W61018" s="239" t="n"/>
      <c r="X61018" s="239" t="n"/>
    </row>
    <row r="61020" ht="14.25" customHeight="1" s="192">
      <c r="W61020" s="235" t="n"/>
      <c r="X61020" s="235" t="n"/>
    </row>
    <row r="61021" ht="15" customHeight="1" s="192" thickBot="1">
      <c r="W61021" s="239" t="n"/>
      <c r="X61021" s="239" t="n"/>
    </row>
    <row r="61022" ht="15" customHeight="1" s="192" thickBot="1">
      <c r="W61022" s="45" t="n"/>
      <c r="X61022" s="45" t="n"/>
    </row>
    <row r="61023" ht="14.25" customHeight="1" s="192">
      <c r="W61023" s="228" t="n"/>
      <c r="X61023" s="228" t="n"/>
    </row>
    <row r="61024" ht="14.25" customHeight="1" s="192">
      <c r="W61024" s="228" t="n"/>
      <c r="X61024" s="228" t="n"/>
    </row>
    <row r="61025" ht="14.25" customHeight="1" s="192">
      <c r="W61025" s="231" t="n"/>
      <c r="X61025" s="231" t="n"/>
    </row>
    <row r="61026" ht="14.25" customHeight="1" s="192">
      <c r="W61026" s="33" t="n"/>
      <c r="X61026" s="33" t="n"/>
    </row>
    <row r="61027" ht="14.25" customHeight="1" s="192">
      <c r="W61027" s="231" t="n"/>
      <c r="X61027" s="231" t="n"/>
    </row>
    <row r="61028" ht="14.25" customHeight="1" s="192">
      <c r="W61028" s="33" t="n"/>
      <c r="X61028" s="33" t="n"/>
    </row>
    <row r="61030" ht="14.25" customHeight="1" s="192">
      <c r="W61030" s="231" t="n"/>
      <c r="X61030" s="231" t="n"/>
    </row>
    <row r="61031" ht="14.25" customHeight="1" s="192">
      <c r="W61031" s="235" t="n"/>
      <c r="X61031" s="235" t="n"/>
    </row>
    <row r="61032" ht="14.25" customHeight="1" s="192">
      <c r="W61032" s="228" t="n"/>
      <c r="X61032" s="228" t="n"/>
    </row>
    <row r="61033" ht="14.25" customHeight="1" s="192">
      <c r="W61033" s="235" t="n"/>
      <c r="X61033" s="235" t="n"/>
    </row>
    <row r="61034" ht="14.25" customHeight="1" s="192">
      <c r="W61034" s="235" t="n"/>
      <c r="X61034" s="235" t="n"/>
    </row>
    <row r="61035" ht="14.25" customHeight="1" s="192">
      <c r="W61035" s="235" t="n"/>
      <c r="X61035" s="235" t="n"/>
    </row>
    <row r="61036" ht="14.25" customHeight="1" s="192">
      <c r="W61036" s="239" t="n"/>
      <c r="X61036" s="239" t="n"/>
    </row>
    <row r="61037" ht="14.25" customHeight="1" s="192">
      <c r="W61037" s="239" t="n"/>
      <c r="X61037" s="239" t="n"/>
    </row>
    <row r="61038" ht="14.25" customHeight="1" s="192">
      <c r="W61038" s="239" t="n"/>
      <c r="X61038" s="239" t="n"/>
    </row>
    <row r="61039" ht="14.25" customHeight="1" s="192">
      <c r="W61039" s="235" t="n"/>
      <c r="X61039" s="235" t="n"/>
    </row>
    <row r="61040" ht="14.25" customHeight="1" s="192">
      <c r="W61040" s="235" t="n"/>
      <c r="X61040" s="235" t="n"/>
    </row>
    <row r="61041" ht="14.25" customHeight="1" s="192">
      <c r="W61041" s="235" t="n"/>
      <c r="X61041" s="235" t="n"/>
    </row>
    <row r="61042" ht="14.25" customHeight="1" s="192">
      <c r="W61042" s="239" t="n"/>
      <c r="X61042" s="239" t="n"/>
    </row>
    <row r="61043" ht="14.25" customHeight="1" s="192">
      <c r="W61043" s="239" t="n"/>
      <c r="X61043" s="239" t="n"/>
    </row>
    <row r="61044" ht="14.25" customHeight="1" s="192">
      <c r="W61044" s="235" t="n"/>
      <c r="X61044" s="235" t="n"/>
    </row>
    <row r="61045" ht="14.25" customHeight="1" s="192">
      <c r="W61045" s="235" t="n"/>
      <c r="X61045" s="235" t="n"/>
    </row>
    <row r="61046" ht="14.25" customHeight="1" s="192">
      <c r="W61046" s="239" t="n"/>
      <c r="X61046" s="239" t="n"/>
    </row>
    <row r="61047" ht="14.25" customHeight="1" s="192">
      <c r="W61047" s="235" t="n"/>
      <c r="X61047" s="235" t="n"/>
    </row>
    <row r="61048" ht="14.25" customHeight="1" s="192">
      <c r="W61048" s="239" t="n"/>
      <c r="X61048" s="239" t="n"/>
    </row>
    <row r="61050" ht="14.25" customHeight="1" s="192">
      <c r="W61050" s="235" t="n"/>
      <c r="X61050" s="235" t="n"/>
    </row>
    <row r="61051" ht="15" customHeight="1" s="192" thickBot="1">
      <c r="W61051" s="239" t="n"/>
      <c r="X61051" s="239" t="n"/>
    </row>
    <row r="61052" ht="15" customHeight="1" s="192" thickBot="1">
      <c r="W61052" s="45" t="n"/>
      <c r="X61052" s="45" t="n"/>
    </row>
    <row r="61053" ht="14.25" customHeight="1" s="192">
      <c r="W61053" s="228" t="n"/>
      <c r="X61053" s="228" t="n"/>
    </row>
    <row r="61054" ht="14.25" customHeight="1" s="192">
      <c r="W61054" s="228" t="n"/>
      <c r="X61054" s="228" t="n"/>
    </row>
    <row r="61055" ht="14.25" customHeight="1" s="192">
      <c r="W61055" s="231" t="n"/>
      <c r="X61055" s="231" t="n"/>
    </row>
    <row r="61056" ht="14.25" customHeight="1" s="192">
      <c r="W61056" s="33" t="n"/>
      <c r="X61056" s="33" t="n"/>
    </row>
    <row r="61057" ht="14.25" customHeight="1" s="192">
      <c r="W61057" s="231" t="n"/>
      <c r="X61057" s="231" t="n"/>
    </row>
    <row r="61058" ht="14.25" customHeight="1" s="192">
      <c r="W61058" s="33" t="n"/>
      <c r="X61058" s="33" t="n"/>
    </row>
    <row r="61060" ht="14.25" customHeight="1" s="192">
      <c r="W61060" s="231" t="n"/>
      <c r="X61060" s="231" t="n"/>
    </row>
    <row r="61061" ht="14.25" customHeight="1" s="192">
      <c r="W61061" s="235" t="n"/>
      <c r="X61061" s="235" t="n"/>
    </row>
    <row r="61062" ht="14.25" customHeight="1" s="192">
      <c r="W61062" s="228" t="n"/>
      <c r="X61062" s="228" t="n"/>
    </row>
    <row r="61063" ht="14.25" customHeight="1" s="192">
      <c r="W61063" s="235" t="n"/>
      <c r="X61063" s="235" t="n"/>
    </row>
    <row r="61064" ht="14.25" customHeight="1" s="192">
      <c r="W61064" s="235" t="n"/>
      <c r="X61064" s="235" t="n"/>
    </row>
    <row r="61065" ht="14.25" customHeight="1" s="192">
      <c r="W61065" s="235" t="n"/>
      <c r="X61065" s="235" t="n"/>
    </row>
    <row r="61066" ht="14.25" customHeight="1" s="192">
      <c r="W61066" s="239" t="n"/>
      <c r="X61066" s="239" t="n"/>
    </row>
    <row r="61067" ht="14.25" customHeight="1" s="192">
      <c r="W61067" s="239" t="n"/>
      <c r="X61067" s="239" t="n"/>
    </row>
    <row r="61068" ht="14.25" customHeight="1" s="192">
      <c r="W61068" s="239" t="n"/>
      <c r="X61068" s="239" t="n"/>
    </row>
    <row r="61069" ht="14.25" customHeight="1" s="192">
      <c r="W61069" s="235" t="n"/>
      <c r="X61069" s="235" t="n"/>
    </row>
    <row r="61070" ht="14.25" customHeight="1" s="192">
      <c r="W61070" s="235" t="n"/>
      <c r="X61070" s="235" t="n"/>
    </row>
    <row r="61071" ht="14.25" customHeight="1" s="192">
      <c r="W61071" s="235" t="n"/>
      <c r="X61071" s="235" t="n"/>
    </row>
    <row r="61072" ht="14.25" customHeight="1" s="192">
      <c r="W61072" s="239" t="n"/>
      <c r="X61072" s="239" t="n"/>
    </row>
    <row r="61073" ht="14.25" customHeight="1" s="192">
      <c r="W61073" s="239" t="n"/>
      <c r="X61073" s="239" t="n"/>
    </row>
    <row r="61074" ht="14.25" customHeight="1" s="192">
      <c r="W61074" s="235" t="n"/>
      <c r="X61074" s="235" t="n"/>
    </row>
    <row r="61075" ht="14.25" customHeight="1" s="192">
      <c r="W61075" s="235" t="n"/>
      <c r="X61075" s="235" t="n"/>
    </row>
    <row r="61076" ht="14.25" customHeight="1" s="192">
      <c r="W61076" s="239" t="n"/>
      <c r="X61076" s="239" t="n"/>
    </row>
    <row r="61077" ht="14.25" customHeight="1" s="192">
      <c r="W61077" s="235" t="n"/>
      <c r="X61077" s="235" t="n"/>
    </row>
    <row r="61078" ht="14.25" customHeight="1" s="192">
      <c r="W61078" s="239" t="n"/>
      <c r="X61078" s="239" t="n"/>
    </row>
    <row r="61080" ht="14.25" customHeight="1" s="192">
      <c r="W61080" s="235" t="n"/>
      <c r="X61080" s="235" t="n"/>
    </row>
    <row r="61081" ht="15" customHeight="1" s="192" thickBot="1">
      <c r="W61081" s="239" t="n"/>
      <c r="X61081" s="239" t="n"/>
    </row>
    <row r="61082" ht="15" customHeight="1" s="192" thickBot="1">
      <c r="W61082" s="45" t="n"/>
      <c r="X61082" s="45" t="n"/>
    </row>
    <row r="61083" ht="14.25" customHeight="1" s="192">
      <c r="W61083" s="228" t="n"/>
      <c r="X61083" s="228" t="n"/>
    </row>
    <row r="61084" ht="14.25" customHeight="1" s="192">
      <c r="W61084" s="228" t="n"/>
      <c r="X61084" s="228" t="n"/>
    </row>
    <row r="61085" ht="14.25" customHeight="1" s="192">
      <c r="W61085" s="231" t="n"/>
      <c r="X61085" s="231" t="n"/>
    </row>
    <row r="61086" ht="14.25" customHeight="1" s="192">
      <c r="W61086" s="33" t="n"/>
      <c r="X61086" s="33" t="n"/>
    </row>
    <row r="61087" ht="14.25" customHeight="1" s="192">
      <c r="W61087" s="231" t="n"/>
      <c r="X61087" s="231" t="n"/>
    </row>
    <row r="61088" ht="14.25" customHeight="1" s="192">
      <c r="W61088" s="33" t="n"/>
      <c r="X61088" s="33" t="n"/>
    </row>
    <row r="61090" ht="14.25" customHeight="1" s="192">
      <c r="W61090" s="231" t="n"/>
      <c r="X61090" s="231" t="n"/>
    </row>
    <row r="61091" ht="14.25" customHeight="1" s="192">
      <c r="W61091" s="235" t="n"/>
      <c r="X61091" s="235" t="n"/>
    </row>
    <row r="61092" ht="14.25" customHeight="1" s="192">
      <c r="W61092" s="228" t="n"/>
      <c r="X61092" s="228" t="n"/>
    </row>
    <row r="61093" ht="14.25" customHeight="1" s="192">
      <c r="W61093" s="235" t="n"/>
      <c r="X61093" s="235" t="n"/>
    </row>
    <row r="61094" ht="14.25" customHeight="1" s="192">
      <c r="W61094" s="235" t="n"/>
      <c r="X61094" s="235" t="n"/>
    </row>
    <row r="61095" ht="14.25" customHeight="1" s="192">
      <c r="W61095" s="235" t="n"/>
      <c r="X61095" s="235" t="n"/>
    </row>
    <row r="61096" ht="14.25" customHeight="1" s="192">
      <c r="W61096" s="239" t="n"/>
      <c r="X61096" s="239" t="n"/>
    </row>
    <row r="61097" ht="14.25" customHeight="1" s="192">
      <c r="W61097" s="239" t="n"/>
      <c r="X61097" s="239" t="n"/>
    </row>
    <row r="61098" ht="14.25" customHeight="1" s="192">
      <c r="W61098" s="239" t="n"/>
      <c r="X61098" s="239" t="n"/>
    </row>
    <row r="61099" ht="14.25" customHeight="1" s="192">
      <c r="W61099" s="235" t="n"/>
      <c r="X61099" s="235" t="n"/>
    </row>
    <row r="61100" ht="14.25" customHeight="1" s="192">
      <c r="W61100" s="235" t="n"/>
      <c r="X61100" s="235" t="n"/>
    </row>
    <row r="61101" ht="14.25" customHeight="1" s="192">
      <c r="W61101" s="235" t="n"/>
      <c r="X61101" s="235" t="n"/>
    </row>
    <row r="61102" ht="14.25" customHeight="1" s="192">
      <c r="W61102" s="239" t="n"/>
      <c r="X61102" s="239" t="n"/>
    </row>
    <row r="61103" ht="14.25" customHeight="1" s="192">
      <c r="W61103" s="239" t="n"/>
      <c r="X61103" s="239" t="n"/>
    </row>
    <row r="61104" ht="14.25" customHeight="1" s="192">
      <c r="W61104" s="235" t="n"/>
      <c r="X61104" s="235" t="n"/>
    </row>
    <row r="61105" ht="14.25" customHeight="1" s="192">
      <c r="W61105" s="235" t="n"/>
      <c r="X61105" s="235" t="n"/>
    </row>
    <row r="61106" ht="14.25" customHeight="1" s="192">
      <c r="W61106" s="239" t="n"/>
      <c r="X61106" s="239" t="n"/>
    </row>
    <row r="61107" ht="14.25" customHeight="1" s="192">
      <c r="W61107" s="235" t="n"/>
      <c r="X61107" s="235" t="n"/>
    </row>
    <row r="61108" ht="14.25" customHeight="1" s="192">
      <c r="W61108" s="239" t="n"/>
      <c r="X61108" s="239" t="n"/>
    </row>
    <row r="61110" ht="14.25" customHeight="1" s="192">
      <c r="W61110" s="235" t="n"/>
      <c r="X61110" s="235" t="n"/>
    </row>
    <row r="61111" ht="15" customHeight="1" s="192" thickBot="1">
      <c r="W61111" s="239" t="n"/>
      <c r="X61111" s="239" t="n"/>
    </row>
    <row r="61112" ht="15" customHeight="1" s="192" thickBot="1">
      <c r="W61112" s="45" t="n"/>
      <c r="X61112" s="45" t="n"/>
    </row>
    <row r="61113" ht="14.25" customHeight="1" s="192">
      <c r="W61113" s="228" t="n"/>
      <c r="X61113" s="228" t="n"/>
    </row>
    <row r="61114" ht="14.25" customHeight="1" s="192">
      <c r="W61114" s="228" t="n"/>
      <c r="X61114" s="228" t="n"/>
    </row>
    <row r="61115" ht="14.25" customHeight="1" s="192">
      <c r="W61115" s="231" t="n"/>
      <c r="X61115" s="231" t="n"/>
    </row>
    <row r="61116" ht="14.25" customHeight="1" s="192">
      <c r="W61116" s="33" t="n"/>
      <c r="X61116" s="33" t="n"/>
    </row>
    <row r="61117" ht="14.25" customHeight="1" s="192">
      <c r="W61117" s="231" t="n"/>
      <c r="X61117" s="231" t="n"/>
    </row>
    <row r="61118" ht="14.25" customHeight="1" s="192">
      <c r="W61118" s="33" t="n"/>
      <c r="X61118" s="33" t="n"/>
    </row>
    <row r="61120" ht="14.25" customHeight="1" s="192">
      <c r="W61120" s="231" t="n"/>
      <c r="X61120" s="231" t="n"/>
    </row>
    <row r="61121" ht="14.25" customHeight="1" s="192">
      <c r="W61121" s="235" t="n"/>
      <c r="X61121" s="235" t="n"/>
    </row>
    <row r="61122" ht="14.25" customHeight="1" s="192">
      <c r="W61122" s="228" t="n"/>
      <c r="X61122" s="228" t="n"/>
    </row>
    <row r="61123" ht="14.25" customHeight="1" s="192">
      <c r="W61123" s="235" t="n"/>
      <c r="X61123" s="235" t="n"/>
    </row>
    <row r="61124" ht="14.25" customHeight="1" s="192">
      <c r="W61124" s="235" t="n"/>
      <c r="X61124" s="235" t="n"/>
    </row>
    <row r="61125" ht="14.25" customHeight="1" s="192">
      <c r="W61125" s="235" t="n"/>
      <c r="X61125" s="235" t="n"/>
    </row>
    <row r="61126" ht="14.25" customHeight="1" s="192">
      <c r="W61126" s="239" t="n"/>
      <c r="X61126" s="239" t="n"/>
    </row>
    <row r="61127" ht="14.25" customHeight="1" s="192">
      <c r="W61127" s="239" t="n"/>
      <c r="X61127" s="239" t="n"/>
    </row>
    <row r="61128" ht="14.25" customHeight="1" s="192">
      <c r="W61128" s="239" t="n"/>
      <c r="X61128" s="239" t="n"/>
    </row>
    <row r="61129" ht="14.25" customHeight="1" s="192">
      <c r="W61129" s="235" t="n"/>
      <c r="X61129" s="235" t="n"/>
    </row>
    <row r="61130" ht="14.25" customHeight="1" s="192">
      <c r="W61130" s="235" t="n"/>
      <c r="X61130" s="235" t="n"/>
    </row>
    <row r="61131" ht="14.25" customHeight="1" s="192">
      <c r="W61131" s="235" t="n"/>
      <c r="X61131" s="235" t="n"/>
    </row>
    <row r="61132" ht="14.25" customHeight="1" s="192">
      <c r="W61132" s="239" t="n"/>
      <c r="X61132" s="239" t="n"/>
    </row>
    <row r="61133" ht="14.25" customHeight="1" s="192">
      <c r="W61133" s="239" t="n"/>
      <c r="X61133" s="239" t="n"/>
    </row>
    <row r="61134" ht="14.25" customHeight="1" s="192">
      <c r="W61134" s="235" t="n"/>
      <c r="X61134" s="235" t="n"/>
    </row>
    <row r="61135" ht="14.25" customHeight="1" s="192">
      <c r="W61135" s="235" t="n"/>
      <c r="X61135" s="235" t="n"/>
    </row>
    <row r="61136" ht="14.25" customHeight="1" s="192">
      <c r="W61136" s="239" t="n"/>
      <c r="X61136" s="239" t="n"/>
    </row>
    <row r="61137" ht="14.25" customHeight="1" s="192">
      <c r="W61137" s="235" t="n"/>
      <c r="X61137" s="235" t="n"/>
    </row>
    <row r="61138" ht="14.25" customHeight="1" s="192">
      <c r="W61138" s="239" t="n"/>
      <c r="X61138" s="239" t="n"/>
    </row>
    <row r="61140" ht="14.25" customHeight="1" s="192">
      <c r="W61140" s="235" t="n"/>
      <c r="X61140" s="235" t="n"/>
    </row>
    <row r="61141" ht="15" customHeight="1" s="192" thickBot="1">
      <c r="W61141" s="239" t="n"/>
      <c r="X61141" s="239" t="n"/>
    </row>
    <row r="61142" ht="15" customHeight="1" s="192" thickBot="1">
      <c r="W61142" s="45" t="n"/>
      <c r="X61142" s="45" t="n"/>
    </row>
    <row r="61143" ht="14.25" customHeight="1" s="192">
      <c r="W61143" s="228" t="n"/>
      <c r="X61143" s="228" t="n"/>
    </row>
    <row r="61144" ht="14.25" customHeight="1" s="192">
      <c r="W61144" s="228" t="n"/>
      <c r="X61144" s="228" t="n"/>
    </row>
    <row r="61145" ht="14.25" customHeight="1" s="192">
      <c r="W61145" s="231" t="n"/>
      <c r="X61145" s="231" t="n"/>
    </row>
    <row r="61146" ht="14.25" customHeight="1" s="192">
      <c r="W61146" s="33" t="n"/>
      <c r="X61146" s="33" t="n"/>
    </row>
    <row r="61147" ht="14.25" customHeight="1" s="192">
      <c r="W61147" s="231" t="n"/>
      <c r="X61147" s="231" t="n"/>
    </row>
    <row r="61148" ht="14.25" customHeight="1" s="192">
      <c r="W61148" s="33" t="n"/>
      <c r="X61148" s="33" t="n"/>
    </row>
    <row r="61150" ht="14.25" customHeight="1" s="192">
      <c r="W61150" s="231" t="n"/>
      <c r="X61150" s="231" t="n"/>
    </row>
    <row r="61151" ht="14.25" customHeight="1" s="192">
      <c r="W61151" s="235" t="n"/>
      <c r="X61151" s="235" t="n"/>
    </row>
    <row r="61152" ht="14.25" customHeight="1" s="192">
      <c r="W61152" s="228" t="n"/>
      <c r="X61152" s="228" t="n"/>
    </row>
    <row r="61153" ht="14.25" customHeight="1" s="192">
      <c r="W61153" s="235" t="n"/>
      <c r="X61153" s="235" t="n"/>
    </row>
    <row r="61154" ht="14.25" customHeight="1" s="192">
      <c r="W61154" s="235" t="n"/>
      <c r="X61154" s="235" t="n"/>
    </row>
    <row r="61155" ht="14.25" customHeight="1" s="192">
      <c r="W61155" s="235" t="n"/>
      <c r="X61155" s="235" t="n"/>
    </row>
    <row r="61156" ht="14.25" customHeight="1" s="192">
      <c r="W61156" s="239" t="n"/>
      <c r="X61156" s="239" t="n"/>
    </row>
    <row r="61157" ht="14.25" customHeight="1" s="192">
      <c r="W61157" s="239" t="n"/>
      <c r="X61157" s="239" t="n"/>
    </row>
    <row r="61158" ht="14.25" customHeight="1" s="192">
      <c r="W61158" s="239" t="n"/>
      <c r="X61158" s="239" t="n"/>
    </row>
    <row r="61159" ht="14.25" customHeight="1" s="192">
      <c r="W61159" s="235" t="n"/>
      <c r="X61159" s="235" t="n"/>
    </row>
    <row r="61160" ht="14.25" customHeight="1" s="192">
      <c r="W61160" s="235" t="n"/>
      <c r="X61160" s="235" t="n"/>
    </row>
    <row r="61161" ht="14.25" customHeight="1" s="192">
      <c r="W61161" s="235" t="n"/>
      <c r="X61161" s="235" t="n"/>
    </row>
    <row r="61162" ht="14.25" customHeight="1" s="192">
      <c r="W61162" s="239" t="n"/>
      <c r="X61162" s="239" t="n"/>
    </row>
    <row r="61163" ht="14.25" customHeight="1" s="192">
      <c r="W61163" s="239" t="n"/>
      <c r="X61163" s="239" t="n"/>
    </row>
    <row r="61164" ht="14.25" customHeight="1" s="192">
      <c r="W61164" s="235" t="n"/>
      <c r="X61164" s="235" t="n"/>
    </row>
    <row r="61165" ht="14.25" customHeight="1" s="192">
      <c r="W61165" s="235" t="n"/>
      <c r="X61165" s="235" t="n"/>
    </row>
    <row r="61166" ht="14.25" customHeight="1" s="192">
      <c r="W61166" s="239" t="n"/>
      <c r="X61166" s="239" t="n"/>
    </row>
    <row r="61167" ht="14.25" customHeight="1" s="192">
      <c r="W61167" s="235" t="n"/>
      <c r="X61167" s="235" t="n"/>
    </row>
    <row r="61168" ht="14.25" customHeight="1" s="192">
      <c r="W61168" s="239" t="n"/>
      <c r="X61168" s="239" t="n"/>
    </row>
    <row r="61170" ht="14.25" customHeight="1" s="192">
      <c r="W61170" s="235" t="n"/>
      <c r="X61170" s="235" t="n"/>
    </row>
    <row r="61171" ht="15" customHeight="1" s="192" thickBot="1">
      <c r="W61171" s="239" t="n"/>
      <c r="X61171" s="239" t="n"/>
    </row>
    <row r="61172" ht="15" customHeight="1" s="192" thickBot="1">
      <c r="W61172" s="45" t="n"/>
      <c r="X61172" s="45" t="n"/>
    </row>
    <row r="61173" ht="14.25" customHeight="1" s="192">
      <c r="W61173" s="228" t="n"/>
      <c r="X61173" s="228" t="n"/>
    </row>
    <row r="61174" ht="14.25" customHeight="1" s="192">
      <c r="W61174" s="228" t="n"/>
      <c r="X61174" s="228" t="n"/>
    </row>
    <row r="61175" ht="14.25" customHeight="1" s="192">
      <c r="W61175" s="231" t="n"/>
      <c r="X61175" s="231" t="n"/>
    </row>
    <row r="61176" ht="14.25" customHeight="1" s="192">
      <c r="W61176" s="33" t="n"/>
      <c r="X61176" s="33" t="n"/>
    </row>
    <row r="61177" ht="14.25" customHeight="1" s="192">
      <c r="W61177" s="231" t="n"/>
      <c r="X61177" s="231" t="n"/>
    </row>
    <row r="61178" ht="14.25" customHeight="1" s="192">
      <c r="W61178" s="33" t="n"/>
      <c r="X61178" s="33" t="n"/>
    </row>
    <row r="61180" ht="14.25" customHeight="1" s="192">
      <c r="W61180" s="231" t="n"/>
      <c r="X61180" s="231" t="n"/>
    </row>
    <row r="61181" ht="14.25" customHeight="1" s="192">
      <c r="W61181" s="235" t="n"/>
      <c r="X61181" s="235" t="n"/>
    </row>
    <row r="61182" ht="14.25" customHeight="1" s="192">
      <c r="W61182" s="228" t="n"/>
      <c r="X61182" s="228" t="n"/>
    </row>
    <row r="61183" ht="14.25" customHeight="1" s="192">
      <c r="W61183" s="235" t="n"/>
      <c r="X61183" s="235" t="n"/>
    </row>
    <row r="61184" ht="14.25" customHeight="1" s="192">
      <c r="W61184" s="235" t="n"/>
      <c r="X61184" s="235" t="n"/>
    </row>
    <row r="61185" ht="14.25" customHeight="1" s="192">
      <c r="W61185" s="235" t="n"/>
      <c r="X61185" s="235" t="n"/>
    </row>
    <row r="61186" ht="14.25" customHeight="1" s="192">
      <c r="W61186" s="239" t="n"/>
      <c r="X61186" s="239" t="n"/>
    </row>
    <row r="61187" ht="14.25" customHeight="1" s="192">
      <c r="W61187" s="239" t="n"/>
      <c r="X61187" s="239" t="n"/>
    </row>
    <row r="61188" ht="14.25" customHeight="1" s="192">
      <c r="W61188" s="239" t="n"/>
      <c r="X61188" s="239" t="n"/>
    </row>
    <row r="61189" ht="14.25" customHeight="1" s="192">
      <c r="W61189" s="235" t="n"/>
      <c r="X61189" s="235" t="n"/>
    </row>
    <row r="61190" ht="14.25" customHeight="1" s="192">
      <c r="W61190" s="235" t="n"/>
      <c r="X61190" s="235" t="n"/>
    </row>
    <row r="61191" ht="14.25" customHeight="1" s="192">
      <c r="W61191" s="235" t="n"/>
      <c r="X61191" s="235" t="n"/>
    </row>
    <row r="61192" ht="14.25" customHeight="1" s="192">
      <c r="W61192" s="239" t="n"/>
      <c r="X61192" s="239" t="n"/>
    </row>
    <row r="61193" ht="14.25" customHeight="1" s="192">
      <c r="W61193" s="239" t="n"/>
      <c r="X61193" s="239" t="n"/>
    </row>
    <row r="61194" ht="14.25" customHeight="1" s="192">
      <c r="W61194" s="235" t="n"/>
      <c r="X61194" s="235" t="n"/>
    </row>
    <row r="61195" ht="14.25" customHeight="1" s="192">
      <c r="W61195" s="235" t="n"/>
      <c r="X61195" s="235" t="n"/>
    </row>
    <row r="61196" ht="14.25" customHeight="1" s="192">
      <c r="W61196" s="239" t="n"/>
      <c r="X61196" s="239" t="n"/>
    </row>
    <row r="61197" ht="14.25" customHeight="1" s="192">
      <c r="W61197" s="235" t="n"/>
      <c r="X61197" s="235" t="n"/>
    </row>
    <row r="61198" ht="14.25" customHeight="1" s="192">
      <c r="W61198" s="239" t="n"/>
      <c r="X61198" s="239" t="n"/>
    </row>
    <row r="61200" ht="14.25" customHeight="1" s="192">
      <c r="W61200" s="235" t="n"/>
      <c r="X61200" s="235" t="n"/>
    </row>
    <row r="61201" ht="15" customHeight="1" s="192" thickBot="1">
      <c r="W61201" s="239" t="n"/>
      <c r="X61201" s="239" t="n"/>
    </row>
    <row r="61202" ht="15" customHeight="1" s="192" thickBot="1">
      <c r="W61202" s="45" t="n"/>
      <c r="X61202" s="45" t="n"/>
    </row>
    <row r="61203" ht="14.25" customHeight="1" s="192">
      <c r="W61203" s="228" t="n"/>
      <c r="X61203" s="228" t="n"/>
    </row>
    <row r="61204" ht="14.25" customHeight="1" s="192">
      <c r="W61204" s="228" t="n"/>
      <c r="X61204" s="228" t="n"/>
    </row>
    <row r="61205" ht="14.25" customHeight="1" s="192">
      <c r="W61205" s="231" t="n"/>
      <c r="X61205" s="231" t="n"/>
    </row>
    <row r="61206" ht="14.25" customHeight="1" s="192">
      <c r="W61206" s="33" t="n"/>
      <c r="X61206" s="33" t="n"/>
    </row>
    <row r="61207" ht="14.25" customHeight="1" s="192">
      <c r="W61207" s="231" t="n"/>
      <c r="X61207" s="231" t="n"/>
    </row>
    <row r="61208" ht="14.25" customHeight="1" s="192">
      <c r="W61208" s="33" t="n"/>
      <c r="X61208" s="33" t="n"/>
    </row>
    <row r="61210" ht="14.25" customHeight="1" s="192">
      <c r="W61210" s="231" t="n"/>
      <c r="X61210" s="231" t="n"/>
    </row>
    <row r="61211" ht="14.25" customHeight="1" s="192">
      <c r="W61211" s="235" t="n"/>
      <c r="X61211" s="235" t="n"/>
    </row>
    <row r="61212" ht="14.25" customHeight="1" s="192">
      <c r="W61212" s="228" t="n"/>
      <c r="X61212" s="228" t="n"/>
    </row>
    <row r="61213" ht="14.25" customHeight="1" s="192">
      <c r="W61213" s="235" t="n"/>
      <c r="X61213" s="235" t="n"/>
    </row>
    <row r="61214" ht="14.25" customHeight="1" s="192">
      <c r="W61214" s="235" t="n"/>
      <c r="X61214" s="235" t="n"/>
    </row>
    <row r="61215" ht="14.25" customHeight="1" s="192">
      <c r="W61215" s="235" t="n"/>
      <c r="X61215" s="235" t="n"/>
    </row>
    <row r="61216" ht="14.25" customHeight="1" s="192">
      <c r="W61216" s="239" t="n"/>
      <c r="X61216" s="239" t="n"/>
    </row>
    <row r="61217" ht="14.25" customHeight="1" s="192">
      <c r="W61217" s="239" t="n"/>
      <c r="X61217" s="239" t="n"/>
    </row>
    <row r="61218" ht="14.25" customHeight="1" s="192">
      <c r="W61218" s="239" t="n"/>
      <c r="X61218" s="239" t="n"/>
    </row>
    <row r="61219" ht="14.25" customHeight="1" s="192">
      <c r="W61219" s="235" t="n"/>
      <c r="X61219" s="235" t="n"/>
    </row>
    <row r="61220" ht="14.25" customHeight="1" s="192">
      <c r="W61220" s="235" t="n"/>
      <c r="X61220" s="235" t="n"/>
    </row>
    <row r="61221" ht="14.25" customHeight="1" s="192">
      <c r="W61221" s="235" t="n"/>
      <c r="X61221" s="235" t="n"/>
    </row>
    <row r="61222" ht="14.25" customHeight="1" s="192">
      <c r="W61222" s="239" t="n"/>
      <c r="X61222" s="239" t="n"/>
    </row>
    <row r="61223" ht="14.25" customHeight="1" s="192">
      <c r="W61223" s="239" t="n"/>
      <c r="X61223" s="239" t="n"/>
    </row>
    <row r="61224" ht="14.25" customHeight="1" s="192">
      <c r="W61224" s="235" t="n"/>
      <c r="X61224" s="235" t="n"/>
    </row>
    <row r="61225" ht="14.25" customHeight="1" s="192">
      <c r="W61225" s="235" t="n"/>
      <c r="X61225" s="235" t="n"/>
    </row>
    <row r="61226" ht="14.25" customHeight="1" s="192">
      <c r="W61226" s="239" t="n"/>
      <c r="X61226" s="239" t="n"/>
    </row>
    <row r="61227" ht="14.25" customHeight="1" s="192">
      <c r="W61227" s="235" t="n"/>
      <c r="X61227" s="235" t="n"/>
    </row>
    <row r="61228" ht="14.25" customHeight="1" s="192">
      <c r="W61228" s="239" t="n"/>
      <c r="X61228" s="239" t="n"/>
    </row>
    <row r="61230" ht="14.25" customHeight="1" s="192">
      <c r="W61230" s="235" t="n"/>
      <c r="X61230" s="235" t="n"/>
    </row>
    <row r="61231" ht="15" customHeight="1" s="192" thickBot="1">
      <c r="W61231" s="239" t="n"/>
      <c r="X61231" s="239" t="n"/>
    </row>
    <row r="61232" ht="15" customHeight="1" s="192" thickBot="1">
      <c r="W61232" s="45" t="n"/>
      <c r="X61232" s="45" t="n"/>
    </row>
    <row r="61233" ht="14.25" customHeight="1" s="192">
      <c r="W61233" s="228" t="n"/>
      <c r="X61233" s="228" t="n"/>
    </row>
    <row r="61234" ht="14.25" customHeight="1" s="192">
      <c r="W61234" s="228" t="n"/>
      <c r="X61234" s="228" t="n"/>
    </row>
    <row r="61235" ht="14.25" customHeight="1" s="192">
      <c r="W61235" s="231" t="n"/>
      <c r="X61235" s="231" t="n"/>
    </row>
    <row r="61236" ht="14.25" customHeight="1" s="192">
      <c r="W61236" s="33" t="n"/>
      <c r="X61236" s="33" t="n"/>
    </row>
    <row r="61237" ht="14.25" customHeight="1" s="192">
      <c r="W61237" s="231" t="n"/>
      <c r="X61237" s="231" t="n"/>
    </row>
    <row r="61238" ht="14.25" customHeight="1" s="192">
      <c r="W61238" s="33" t="n"/>
      <c r="X61238" s="33" t="n"/>
    </row>
    <row r="61240" ht="14.25" customHeight="1" s="192">
      <c r="W61240" s="231" t="n"/>
      <c r="X61240" s="231" t="n"/>
    </row>
    <row r="61241" ht="14.25" customHeight="1" s="192">
      <c r="W61241" s="235" t="n"/>
      <c r="X61241" s="235" t="n"/>
    </row>
    <row r="61242" ht="14.25" customHeight="1" s="192">
      <c r="W61242" s="228" t="n"/>
      <c r="X61242" s="228" t="n"/>
    </row>
    <row r="61243" ht="14.25" customHeight="1" s="192">
      <c r="W61243" s="235" t="n"/>
      <c r="X61243" s="235" t="n"/>
    </row>
    <row r="61244" ht="14.25" customHeight="1" s="192">
      <c r="W61244" s="235" t="n"/>
      <c r="X61244" s="235" t="n"/>
    </row>
    <row r="61245" ht="14.25" customHeight="1" s="192">
      <c r="W61245" s="235" t="n"/>
      <c r="X61245" s="235" t="n"/>
    </row>
    <row r="61246" ht="14.25" customHeight="1" s="192">
      <c r="W61246" s="239" t="n"/>
      <c r="X61246" s="239" t="n"/>
    </row>
    <row r="61247" ht="14.25" customHeight="1" s="192">
      <c r="W61247" s="239" t="n"/>
      <c r="X61247" s="239" t="n"/>
    </row>
    <row r="61248" ht="14.25" customHeight="1" s="192">
      <c r="W61248" s="239" t="n"/>
      <c r="X61248" s="239" t="n"/>
    </row>
    <row r="61249" ht="14.25" customHeight="1" s="192">
      <c r="W61249" s="235" t="n"/>
      <c r="X61249" s="235" t="n"/>
    </row>
    <row r="61250" ht="14.25" customHeight="1" s="192">
      <c r="W61250" s="235" t="n"/>
      <c r="X61250" s="235" t="n"/>
    </row>
    <row r="61251" ht="14.25" customHeight="1" s="192">
      <c r="W61251" s="235" t="n"/>
      <c r="X61251" s="235" t="n"/>
    </row>
    <row r="61252" ht="14.25" customHeight="1" s="192">
      <c r="W61252" s="239" t="n"/>
      <c r="X61252" s="239" t="n"/>
    </row>
    <row r="61253" ht="14.25" customHeight="1" s="192">
      <c r="W61253" s="239" t="n"/>
      <c r="X61253" s="239" t="n"/>
    </row>
    <row r="61254" ht="14.25" customHeight="1" s="192">
      <c r="W61254" s="235" t="n"/>
      <c r="X61254" s="235" t="n"/>
    </row>
    <row r="61255" ht="14.25" customHeight="1" s="192">
      <c r="W61255" s="235" t="n"/>
      <c r="X61255" s="235" t="n"/>
    </row>
    <row r="61256" ht="14.25" customHeight="1" s="192">
      <c r="W61256" s="239" t="n"/>
      <c r="X61256" s="239" t="n"/>
    </row>
    <row r="61257" ht="14.25" customHeight="1" s="192">
      <c r="W61257" s="235" t="n"/>
      <c r="X61257" s="235" t="n"/>
    </row>
    <row r="61258" ht="14.25" customHeight="1" s="192">
      <c r="W61258" s="239" t="n"/>
      <c r="X61258" s="239" t="n"/>
    </row>
    <row r="61260" ht="14.25" customHeight="1" s="192">
      <c r="W61260" s="235" t="n"/>
      <c r="X61260" s="235" t="n"/>
    </row>
    <row r="61261" ht="15" customHeight="1" s="192" thickBot="1">
      <c r="W61261" s="239" t="n"/>
      <c r="X61261" s="239" t="n"/>
    </row>
    <row r="61262" ht="15" customHeight="1" s="192" thickBot="1">
      <c r="W61262" s="45" t="n"/>
      <c r="X61262" s="45" t="n"/>
    </row>
    <row r="61263" ht="14.25" customHeight="1" s="192">
      <c r="W61263" s="228" t="n"/>
      <c r="X61263" s="228" t="n"/>
    </row>
    <row r="61264" ht="14.25" customHeight="1" s="192">
      <c r="W61264" s="228" t="n"/>
      <c r="X61264" s="228" t="n"/>
    </row>
    <row r="61265" ht="14.25" customHeight="1" s="192">
      <c r="W61265" s="231" t="n"/>
      <c r="X61265" s="231" t="n"/>
    </row>
    <row r="61266" ht="14.25" customHeight="1" s="192">
      <c r="W61266" s="33" t="n"/>
      <c r="X61266" s="33" t="n"/>
    </row>
    <row r="61267" ht="14.25" customHeight="1" s="192">
      <c r="W61267" s="231" t="n"/>
      <c r="X61267" s="231" t="n"/>
    </row>
    <row r="61268" ht="14.25" customHeight="1" s="192">
      <c r="W61268" s="33" t="n"/>
      <c r="X61268" s="33" t="n"/>
    </row>
    <row r="61270" ht="14.25" customHeight="1" s="192">
      <c r="W61270" s="231" t="n"/>
      <c r="X61270" s="231" t="n"/>
    </row>
    <row r="61271" ht="14.25" customHeight="1" s="192">
      <c r="W61271" s="235" t="n"/>
      <c r="X61271" s="235" t="n"/>
    </row>
    <row r="61272" ht="14.25" customHeight="1" s="192">
      <c r="W61272" s="228" t="n"/>
      <c r="X61272" s="228" t="n"/>
    </row>
    <row r="61273" ht="14.25" customHeight="1" s="192">
      <c r="W61273" s="235" t="n"/>
      <c r="X61273" s="235" t="n"/>
    </row>
    <row r="61274" ht="14.25" customHeight="1" s="192">
      <c r="W61274" s="235" t="n"/>
      <c r="X61274" s="235" t="n"/>
    </row>
    <row r="61275" ht="14.25" customHeight="1" s="192">
      <c r="W61275" s="235" t="n"/>
      <c r="X61275" s="235" t="n"/>
    </row>
    <row r="61276" ht="14.25" customHeight="1" s="192">
      <c r="W61276" s="239" t="n"/>
      <c r="X61276" s="239" t="n"/>
    </row>
    <row r="61277" ht="14.25" customHeight="1" s="192">
      <c r="W61277" s="239" t="n"/>
      <c r="X61277" s="239" t="n"/>
    </row>
    <row r="61278" ht="14.25" customHeight="1" s="192">
      <c r="W61278" s="239" t="n"/>
      <c r="X61278" s="239" t="n"/>
    </row>
    <row r="61279" ht="14.25" customHeight="1" s="192">
      <c r="W61279" s="235" t="n"/>
      <c r="X61279" s="235" t="n"/>
    </row>
    <row r="61280" ht="14.25" customHeight="1" s="192">
      <c r="W61280" s="235" t="n"/>
      <c r="X61280" s="235" t="n"/>
    </row>
    <row r="61281" ht="14.25" customHeight="1" s="192">
      <c r="W61281" s="235" t="n"/>
      <c r="X61281" s="235" t="n"/>
    </row>
    <row r="61282" ht="14.25" customHeight="1" s="192">
      <c r="W61282" s="239" t="n"/>
      <c r="X61282" s="239" t="n"/>
    </row>
    <row r="61283" ht="14.25" customHeight="1" s="192">
      <c r="W61283" s="239" t="n"/>
      <c r="X61283" s="239" t="n"/>
    </row>
    <row r="61284" ht="14.25" customHeight="1" s="192">
      <c r="W61284" s="235" t="n"/>
      <c r="X61284" s="235" t="n"/>
    </row>
    <row r="61285" ht="14.25" customHeight="1" s="192">
      <c r="W61285" s="235" t="n"/>
      <c r="X61285" s="235" t="n"/>
    </row>
    <row r="61286" ht="14.25" customHeight="1" s="192">
      <c r="W61286" s="239" t="n"/>
      <c r="X61286" s="239" t="n"/>
    </row>
    <row r="61287" ht="14.25" customHeight="1" s="192">
      <c r="W61287" s="235" t="n"/>
      <c r="X61287" s="235" t="n"/>
    </row>
    <row r="61288" ht="14.25" customHeight="1" s="192">
      <c r="W61288" s="239" t="n"/>
      <c r="X61288" s="239" t="n"/>
    </row>
    <row r="61290" ht="14.25" customHeight="1" s="192">
      <c r="W61290" s="235" t="n"/>
      <c r="X61290" s="235" t="n"/>
    </row>
    <row r="61291" ht="15" customHeight="1" s="192" thickBot="1">
      <c r="W61291" s="239" t="n"/>
      <c r="X61291" s="239" t="n"/>
    </row>
    <row r="61292" ht="15" customHeight="1" s="192" thickBot="1">
      <c r="W61292" s="45" t="n"/>
      <c r="X61292" s="45" t="n"/>
    </row>
    <row r="61293" ht="14.25" customHeight="1" s="192">
      <c r="W61293" s="228" t="n"/>
      <c r="X61293" s="228" t="n"/>
    </row>
    <row r="61294" ht="14.25" customHeight="1" s="192">
      <c r="W61294" s="228" t="n"/>
      <c r="X61294" s="228" t="n"/>
    </row>
    <row r="61295" ht="14.25" customHeight="1" s="192">
      <c r="W61295" s="231" t="n"/>
      <c r="X61295" s="231" t="n"/>
    </row>
    <row r="61296" ht="14.25" customHeight="1" s="192">
      <c r="W61296" s="33" t="n"/>
      <c r="X61296" s="33" t="n"/>
    </row>
    <row r="61297" ht="14.25" customHeight="1" s="192">
      <c r="W61297" s="231" t="n"/>
      <c r="X61297" s="231" t="n"/>
    </row>
    <row r="61298" ht="14.25" customHeight="1" s="192">
      <c r="W61298" s="33" t="n"/>
      <c r="X61298" s="33" t="n"/>
    </row>
    <row r="61300" ht="14.25" customHeight="1" s="192">
      <c r="W61300" s="231" t="n"/>
      <c r="X61300" s="231" t="n"/>
    </row>
    <row r="61301" ht="14.25" customHeight="1" s="192">
      <c r="W61301" s="235" t="n"/>
      <c r="X61301" s="235" t="n"/>
    </row>
    <row r="61302" ht="14.25" customHeight="1" s="192">
      <c r="W61302" s="228" t="n"/>
      <c r="X61302" s="228" t="n"/>
    </row>
    <row r="61303" ht="14.25" customHeight="1" s="192">
      <c r="W61303" s="235" t="n"/>
      <c r="X61303" s="235" t="n"/>
    </row>
    <row r="61304" ht="14.25" customHeight="1" s="192">
      <c r="W61304" s="235" t="n"/>
      <c r="X61304" s="235" t="n"/>
    </row>
    <row r="61305" ht="14.25" customHeight="1" s="192">
      <c r="W61305" s="235" t="n"/>
      <c r="X61305" s="235" t="n"/>
    </row>
    <row r="61306" ht="14.25" customHeight="1" s="192">
      <c r="W61306" s="239" t="n"/>
      <c r="X61306" s="239" t="n"/>
    </row>
    <row r="61307" ht="14.25" customHeight="1" s="192">
      <c r="W61307" s="239" t="n"/>
      <c r="X61307" s="239" t="n"/>
    </row>
    <row r="61308" ht="14.25" customHeight="1" s="192">
      <c r="W61308" s="239" t="n"/>
      <c r="X61308" s="239" t="n"/>
    </row>
    <row r="61309" ht="14.25" customHeight="1" s="192">
      <c r="W61309" s="235" t="n"/>
      <c r="X61309" s="235" t="n"/>
    </row>
    <row r="61310" ht="14.25" customHeight="1" s="192">
      <c r="W61310" s="235" t="n"/>
      <c r="X61310" s="235" t="n"/>
    </row>
    <row r="61311" ht="14.25" customHeight="1" s="192">
      <c r="W61311" s="235" t="n"/>
      <c r="X61311" s="235" t="n"/>
    </row>
    <row r="61312" ht="14.25" customHeight="1" s="192">
      <c r="W61312" s="239" t="n"/>
      <c r="X61312" s="239" t="n"/>
    </row>
    <row r="61313" ht="14.25" customHeight="1" s="192">
      <c r="W61313" s="239" t="n"/>
      <c r="X61313" s="239" t="n"/>
    </row>
    <row r="61314" ht="14.25" customHeight="1" s="192">
      <c r="W61314" s="235" t="n"/>
      <c r="X61314" s="235" t="n"/>
    </row>
    <row r="61315" ht="14.25" customHeight="1" s="192">
      <c r="W61315" s="235" t="n"/>
      <c r="X61315" s="235" t="n"/>
    </row>
    <row r="61316" ht="14.25" customHeight="1" s="192">
      <c r="W61316" s="239" t="n"/>
      <c r="X61316" s="239" t="n"/>
    </row>
    <row r="61317" ht="14.25" customHeight="1" s="192">
      <c r="W61317" s="235" t="n"/>
      <c r="X61317" s="235" t="n"/>
    </row>
    <row r="61318" ht="14.25" customHeight="1" s="192">
      <c r="W61318" s="239" t="n"/>
      <c r="X61318" s="239" t="n"/>
    </row>
    <row r="61320" ht="14.25" customHeight="1" s="192">
      <c r="W61320" s="235" t="n"/>
      <c r="X61320" s="235" t="n"/>
    </row>
    <row r="61321" ht="15" customHeight="1" s="192" thickBot="1">
      <c r="W61321" s="239" t="n"/>
      <c r="X61321" s="239" t="n"/>
    </row>
    <row r="61322" ht="15" customHeight="1" s="192" thickBot="1">
      <c r="W61322" s="45" t="n"/>
      <c r="X61322" s="45" t="n"/>
    </row>
    <row r="61323" ht="14.25" customHeight="1" s="192">
      <c r="W61323" s="228" t="n"/>
      <c r="X61323" s="228" t="n"/>
    </row>
    <row r="61324" ht="14.25" customHeight="1" s="192">
      <c r="W61324" s="228" t="n"/>
      <c r="X61324" s="228" t="n"/>
    </row>
    <row r="61325" ht="14.25" customHeight="1" s="192">
      <c r="W61325" s="231" t="n"/>
      <c r="X61325" s="231" t="n"/>
    </row>
    <row r="61326" ht="14.25" customHeight="1" s="192">
      <c r="W61326" s="33" t="n"/>
      <c r="X61326" s="33" t="n"/>
    </row>
    <row r="61327" ht="14.25" customHeight="1" s="192">
      <c r="W61327" s="231" t="n"/>
      <c r="X61327" s="231" t="n"/>
    </row>
    <row r="61328" ht="14.25" customHeight="1" s="192">
      <c r="W61328" s="33" t="n"/>
      <c r="X61328" s="33" t="n"/>
    </row>
    <row r="61330" ht="14.25" customHeight="1" s="192">
      <c r="W61330" s="231" t="n"/>
      <c r="X61330" s="231" t="n"/>
    </row>
    <row r="61331" ht="14.25" customHeight="1" s="192">
      <c r="W61331" s="235" t="n"/>
      <c r="X61331" s="235" t="n"/>
    </row>
    <row r="61332" ht="14.25" customHeight="1" s="192">
      <c r="W61332" s="228" t="n"/>
      <c r="X61332" s="228" t="n"/>
    </row>
    <row r="61333" ht="14.25" customHeight="1" s="192">
      <c r="W61333" s="235" t="n"/>
      <c r="X61333" s="235" t="n"/>
    </row>
    <row r="61334" ht="14.25" customHeight="1" s="192">
      <c r="W61334" s="235" t="n"/>
      <c r="X61334" s="235" t="n"/>
    </row>
    <row r="61335" ht="14.25" customHeight="1" s="192">
      <c r="W61335" s="235" t="n"/>
      <c r="X61335" s="235" t="n"/>
    </row>
    <row r="61336" ht="14.25" customHeight="1" s="192">
      <c r="W61336" s="239" t="n"/>
      <c r="X61336" s="239" t="n"/>
    </row>
    <row r="61337" ht="14.25" customHeight="1" s="192">
      <c r="W61337" s="239" t="n"/>
      <c r="X61337" s="239" t="n"/>
    </row>
    <row r="61338" ht="14.25" customHeight="1" s="192">
      <c r="W61338" s="239" t="n"/>
      <c r="X61338" s="239" t="n"/>
    </row>
    <row r="61339" ht="14.25" customHeight="1" s="192">
      <c r="W61339" s="235" t="n"/>
      <c r="X61339" s="235" t="n"/>
    </row>
    <row r="61340" ht="14.25" customHeight="1" s="192">
      <c r="W61340" s="235" t="n"/>
      <c r="X61340" s="235" t="n"/>
    </row>
    <row r="61341" ht="14.25" customHeight="1" s="192">
      <c r="W61341" s="235" t="n"/>
      <c r="X61341" s="235" t="n"/>
    </row>
    <row r="61342" ht="14.25" customHeight="1" s="192">
      <c r="W61342" s="239" t="n"/>
      <c r="X61342" s="239" t="n"/>
    </row>
    <row r="61343" ht="14.25" customHeight="1" s="192">
      <c r="W61343" s="239" t="n"/>
      <c r="X61343" s="239" t="n"/>
    </row>
    <row r="61344" ht="14.25" customHeight="1" s="192">
      <c r="W61344" s="235" t="n"/>
      <c r="X61344" s="235" t="n"/>
    </row>
    <row r="61345" ht="14.25" customHeight="1" s="192">
      <c r="W61345" s="235" t="n"/>
      <c r="X61345" s="235" t="n"/>
    </row>
    <row r="61346" ht="14.25" customHeight="1" s="192">
      <c r="W61346" s="239" t="n"/>
      <c r="X61346" s="239" t="n"/>
    </row>
    <row r="61347" ht="14.25" customHeight="1" s="192">
      <c r="W61347" s="235" t="n"/>
      <c r="X61347" s="235" t="n"/>
    </row>
    <row r="61348" ht="14.25" customHeight="1" s="192">
      <c r="W61348" s="239" t="n"/>
      <c r="X61348" s="239" t="n"/>
    </row>
    <row r="61350" ht="14.25" customHeight="1" s="192">
      <c r="W61350" s="235" t="n"/>
      <c r="X61350" s="235" t="n"/>
    </row>
    <row r="61351" ht="15" customHeight="1" s="192" thickBot="1">
      <c r="W61351" s="239" t="n"/>
      <c r="X61351" s="239" t="n"/>
    </row>
    <row r="61352" ht="15" customHeight="1" s="192" thickBot="1">
      <c r="W61352" s="45" t="n"/>
      <c r="X61352" s="45" t="n"/>
    </row>
    <row r="61353" ht="14.25" customHeight="1" s="192">
      <c r="W61353" s="228" t="n"/>
      <c r="X61353" s="228" t="n"/>
    </row>
    <row r="61354" ht="14.25" customHeight="1" s="192">
      <c r="W61354" s="228" t="n"/>
      <c r="X61354" s="228" t="n"/>
    </row>
    <row r="61355" ht="14.25" customHeight="1" s="192">
      <c r="W61355" s="231" t="n"/>
      <c r="X61355" s="231" t="n"/>
    </row>
    <row r="61356" ht="14.25" customHeight="1" s="192">
      <c r="W61356" s="33" t="n"/>
      <c r="X61356" s="33" t="n"/>
    </row>
    <row r="61357" ht="14.25" customHeight="1" s="192">
      <c r="W61357" s="231" t="n"/>
      <c r="X61357" s="231" t="n"/>
    </row>
    <row r="61358" ht="14.25" customHeight="1" s="192">
      <c r="W61358" s="33" t="n"/>
      <c r="X61358" s="33" t="n"/>
    </row>
    <row r="61360" ht="14.25" customHeight="1" s="192">
      <c r="W61360" s="231" t="n"/>
      <c r="X61360" s="231" t="n"/>
    </row>
    <row r="61361" ht="14.25" customHeight="1" s="192">
      <c r="W61361" s="235" t="n"/>
      <c r="X61361" s="235" t="n"/>
    </row>
    <row r="61362" ht="14.25" customHeight="1" s="192">
      <c r="W61362" s="228" t="n"/>
      <c r="X61362" s="228" t="n"/>
    </row>
    <row r="61363" ht="14.25" customHeight="1" s="192">
      <c r="W61363" s="235" t="n"/>
      <c r="X61363" s="235" t="n"/>
    </row>
    <row r="61364" ht="14.25" customHeight="1" s="192">
      <c r="W61364" s="235" t="n"/>
      <c r="X61364" s="235" t="n"/>
    </row>
    <row r="61365" ht="14.25" customHeight="1" s="192">
      <c r="W61365" s="235" t="n"/>
      <c r="X61365" s="235" t="n"/>
    </row>
    <row r="61366" ht="14.25" customHeight="1" s="192">
      <c r="W61366" s="239" t="n"/>
      <c r="X61366" s="239" t="n"/>
    </row>
    <row r="61367" ht="14.25" customHeight="1" s="192">
      <c r="W61367" s="239" t="n"/>
      <c r="X61367" s="239" t="n"/>
    </row>
    <row r="61368" ht="14.25" customHeight="1" s="192">
      <c r="W61368" s="239" t="n"/>
      <c r="X61368" s="239" t="n"/>
    </row>
    <row r="61369" ht="14.25" customHeight="1" s="192">
      <c r="W61369" s="235" t="n"/>
      <c r="X61369" s="235" t="n"/>
    </row>
    <row r="61370" ht="14.25" customHeight="1" s="192">
      <c r="W61370" s="235" t="n"/>
      <c r="X61370" s="235" t="n"/>
    </row>
    <row r="61371" ht="14.25" customHeight="1" s="192">
      <c r="W61371" s="235" t="n"/>
      <c r="X61371" s="235" t="n"/>
    </row>
    <row r="61372" ht="14.25" customHeight="1" s="192">
      <c r="W61372" s="239" t="n"/>
      <c r="X61372" s="239" t="n"/>
    </row>
    <row r="61373" ht="14.25" customHeight="1" s="192">
      <c r="W61373" s="239" t="n"/>
      <c r="X61373" s="239" t="n"/>
    </row>
    <row r="61374" ht="14.25" customHeight="1" s="192">
      <c r="W61374" s="235" t="n"/>
      <c r="X61374" s="235" t="n"/>
    </row>
    <row r="61375" ht="14.25" customHeight="1" s="192">
      <c r="W61375" s="235" t="n"/>
      <c r="X61375" s="235" t="n"/>
    </row>
    <row r="61376" ht="14.25" customHeight="1" s="192">
      <c r="W61376" s="239" t="n"/>
      <c r="X61376" s="239" t="n"/>
    </row>
    <row r="61377" ht="14.25" customHeight="1" s="192">
      <c r="W61377" s="235" t="n"/>
      <c r="X61377" s="235" t="n"/>
    </row>
    <row r="61378" ht="14.25" customHeight="1" s="192">
      <c r="W61378" s="239" t="n"/>
      <c r="X61378" s="239" t="n"/>
    </row>
    <row r="61380" ht="14.25" customHeight="1" s="192">
      <c r="W61380" s="235" t="n"/>
      <c r="X61380" s="235" t="n"/>
    </row>
    <row r="61381" ht="15" customHeight="1" s="192" thickBot="1">
      <c r="W61381" s="239" t="n"/>
      <c r="X61381" s="239" t="n"/>
    </row>
    <row r="61382" ht="15" customHeight="1" s="192" thickBot="1">
      <c r="W61382" s="45" t="n"/>
      <c r="X61382" s="45" t="n"/>
    </row>
    <row r="61383" ht="14.25" customHeight="1" s="192">
      <c r="W61383" s="228" t="n"/>
      <c r="X61383" s="228" t="n"/>
    </row>
    <row r="61384" ht="14.25" customHeight="1" s="192">
      <c r="W61384" s="228" t="n"/>
      <c r="X61384" s="228" t="n"/>
    </row>
    <row r="61385" ht="14.25" customHeight="1" s="192">
      <c r="W61385" s="231" t="n"/>
      <c r="X61385" s="231" t="n"/>
    </row>
    <row r="61386" ht="14.25" customHeight="1" s="192">
      <c r="W61386" s="33" t="n"/>
      <c r="X61386" s="33" t="n"/>
    </row>
    <row r="61387" ht="14.25" customHeight="1" s="192">
      <c r="W61387" s="231" t="n"/>
      <c r="X61387" s="231" t="n"/>
    </row>
    <row r="61388" ht="14.25" customHeight="1" s="192">
      <c r="W61388" s="33" t="n"/>
      <c r="X61388" s="33" t="n"/>
    </row>
    <row r="61390" ht="14.25" customHeight="1" s="192">
      <c r="W61390" s="231" t="n"/>
      <c r="X61390" s="231" t="n"/>
    </row>
    <row r="61391" ht="14.25" customHeight="1" s="192">
      <c r="W61391" s="235" t="n"/>
      <c r="X61391" s="235" t="n"/>
    </row>
    <row r="61392" ht="14.25" customHeight="1" s="192">
      <c r="W61392" s="228" t="n"/>
      <c r="X61392" s="228" t="n"/>
    </row>
    <row r="61393" ht="14.25" customHeight="1" s="192">
      <c r="W61393" s="235" t="n"/>
      <c r="X61393" s="235" t="n"/>
    </row>
    <row r="61394" ht="14.25" customHeight="1" s="192">
      <c r="W61394" s="235" t="n"/>
      <c r="X61394" s="235" t="n"/>
    </row>
    <row r="61395" ht="14.25" customHeight="1" s="192">
      <c r="W61395" s="235" t="n"/>
      <c r="X61395" s="235" t="n"/>
    </row>
    <row r="61396" ht="14.25" customHeight="1" s="192">
      <c r="W61396" s="239" t="n"/>
      <c r="X61396" s="239" t="n"/>
    </row>
    <row r="61397" ht="14.25" customHeight="1" s="192">
      <c r="W61397" s="239" t="n"/>
      <c r="X61397" s="239" t="n"/>
    </row>
    <row r="61398" ht="14.25" customHeight="1" s="192">
      <c r="W61398" s="239" t="n"/>
      <c r="X61398" s="239" t="n"/>
    </row>
    <row r="61399" ht="14.25" customHeight="1" s="192">
      <c r="W61399" s="235" t="n"/>
      <c r="X61399" s="235" t="n"/>
    </row>
    <row r="61400" ht="14.25" customHeight="1" s="192">
      <c r="W61400" s="235" t="n"/>
      <c r="X61400" s="235" t="n"/>
    </row>
    <row r="61401" ht="14.25" customHeight="1" s="192">
      <c r="W61401" s="235" t="n"/>
      <c r="X61401" s="235" t="n"/>
    </row>
    <row r="61402" ht="14.25" customHeight="1" s="192">
      <c r="W61402" s="239" t="n"/>
      <c r="X61402" s="239" t="n"/>
    </row>
    <row r="61403" ht="14.25" customHeight="1" s="192">
      <c r="W61403" s="239" t="n"/>
      <c r="X61403" s="239" t="n"/>
    </row>
    <row r="61404" ht="14.25" customHeight="1" s="192">
      <c r="W61404" s="235" t="n"/>
      <c r="X61404" s="235" t="n"/>
    </row>
    <row r="61405" ht="14.25" customHeight="1" s="192">
      <c r="W61405" s="235" t="n"/>
      <c r="X61405" s="235" t="n"/>
    </row>
    <row r="61406" ht="14.25" customHeight="1" s="192">
      <c r="W61406" s="239" t="n"/>
      <c r="X61406" s="239" t="n"/>
    </row>
    <row r="61407" ht="14.25" customHeight="1" s="192">
      <c r="W61407" s="235" t="n"/>
      <c r="X61407" s="235" t="n"/>
    </row>
    <row r="61408" ht="14.25" customHeight="1" s="192">
      <c r="W61408" s="239" t="n"/>
      <c r="X61408" s="239" t="n"/>
    </row>
    <row r="61410" ht="14.25" customHeight="1" s="192">
      <c r="W61410" s="235" t="n"/>
      <c r="X61410" s="235" t="n"/>
    </row>
    <row r="61411" ht="15" customHeight="1" s="192" thickBot="1">
      <c r="W61411" s="239" t="n"/>
      <c r="X61411" s="239" t="n"/>
    </row>
    <row r="61412" ht="15" customHeight="1" s="192" thickBot="1">
      <c r="W61412" s="45" t="n"/>
      <c r="X61412" s="45" t="n"/>
    </row>
    <row r="61413" ht="14.25" customHeight="1" s="192">
      <c r="W61413" s="228" t="n"/>
      <c r="X61413" s="228" t="n"/>
    </row>
    <row r="61414" ht="14.25" customHeight="1" s="192">
      <c r="W61414" s="228" t="n"/>
      <c r="X61414" s="228" t="n"/>
    </row>
    <row r="61415" ht="14.25" customHeight="1" s="192">
      <c r="W61415" s="231" t="n"/>
      <c r="X61415" s="231" t="n"/>
    </row>
    <row r="61416" ht="14.25" customHeight="1" s="192">
      <c r="W61416" s="33" t="n"/>
      <c r="X61416" s="33" t="n"/>
    </row>
    <row r="61417" ht="14.25" customHeight="1" s="192">
      <c r="W61417" s="231" t="n"/>
      <c r="X61417" s="231" t="n"/>
    </row>
    <row r="61418" ht="14.25" customHeight="1" s="192">
      <c r="W61418" s="33" t="n"/>
      <c r="X61418" s="33" t="n"/>
    </row>
    <row r="61420" ht="14.25" customHeight="1" s="192">
      <c r="W61420" s="231" t="n"/>
      <c r="X61420" s="231" t="n"/>
    </row>
    <row r="61421" ht="14.25" customHeight="1" s="192">
      <c r="W61421" s="235" t="n"/>
      <c r="X61421" s="235" t="n"/>
    </row>
    <row r="61422" ht="14.25" customHeight="1" s="192">
      <c r="W61422" s="228" t="n"/>
      <c r="X61422" s="228" t="n"/>
    </row>
    <row r="61423" ht="14.25" customHeight="1" s="192">
      <c r="W61423" s="235" t="n"/>
      <c r="X61423" s="235" t="n"/>
    </row>
    <row r="61424" ht="14.25" customHeight="1" s="192">
      <c r="W61424" s="235" t="n"/>
      <c r="X61424" s="235" t="n"/>
    </row>
    <row r="61425" ht="14.25" customHeight="1" s="192">
      <c r="W61425" s="235" t="n"/>
      <c r="X61425" s="235" t="n"/>
    </row>
    <row r="61426" ht="14.25" customHeight="1" s="192">
      <c r="W61426" s="239" t="n"/>
      <c r="X61426" s="239" t="n"/>
    </row>
    <row r="61427" ht="14.25" customHeight="1" s="192">
      <c r="W61427" s="239" t="n"/>
      <c r="X61427" s="239" t="n"/>
    </row>
    <row r="61428" ht="14.25" customHeight="1" s="192">
      <c r="W61428" s="239" t="n"/>
      <c r="X61428" s="239" t="n"/>
    </row>
    <row r="61429" ht="14.25" customHeight="1" s="192">
      <c r="W61429" s="235" t="n"/>
      <c r="X61429" s="235" t="n"/>
    </row>
    <row r="61430" ht="14.25" customHeight="1" s="192">
      <c r="W61430" s="235" t="n"/>
      <c r="X61430" s="235" t="n"/>
    </row>
    <row r="61431" ht="14.25" customHeight="1" s="192">
      <c r="W61431" s="235" t="n"/>
      <c r="X61431" s="235" t="n"/>
    </row>
    <row r="61432" ht="14.25" customHeight="1" s="192">
      <c r="W61432" s="239" t="n"/>
      <c r="X61432" s="239" t="n"/>
    </row>
    <row r="61433" ht="14.25" customHeight="1" s="192">
      <c r="W61433" s="239" t="n"/>
      <c r="X61433" s="239" t="n"/>
    </row>
    <row r="61434" ht="14.25" customHeight="1" s="192">
      <c r="W61434" s="235" t="n"/>
      <c r="X61434" s="235" t="n"/>
    </row>
    <row r="61435" ht="14.25" customHeight="1" s="192">
      <c r="W61435" s="235" t="n"/>
      <c r="X61435" s="235" t="n"/>
    </row>
    <row r="61436" ht="14.25" customHeight="1" s="192">
      <c r="W61436" s="239" t="n"/>
      <c r="X61436" s="239" t="n"/>
    </row>
    <row r="61437" ht="14.25" customHeight="1" s="192">
      <c r="W61437" s="235" t="n"/>
      <c r="X61437" s="235" t="n"/>
    </row>
    <row r="61438" ht="14.25" customHeight="1" s="192">
      <c r="W61438" s="239" t="n"/>
      <c r="X61438" s="239" t="n"/>
    </row>
    <row r="61440" ht="14.25" customHeight="1" s="192">
      <c r="W61440" s="235" t="n"/>
      <c r="X61440" s="235" t="n"/>
    </row>
    <row r="61441" ht="15" customHeight="1" s="192" thickBot="1">
      <c r="W61441" s="239" t="n"/>
      <c r="X61441" s="239" t="n"/>
    </row>
    <row r="61442" ht="15" customHeight="1" s="192" thickBot="1">
      <c r="W61442" s="45" t="n"/>
      <c r="X61442" s="45" t="n"/>
    </row>
    <row r="61443" ht="14.25" customHeight="1" s="192">
      <c r="W61443" s="228" t="n"/>
      <c r="X61443" s="228" t="n"/>
    </row>
    <row r="61444" ht="14.25" customHeight="1" s="192">
      <c r="W61444" s="228" t="n"/>
      <c r="X61444" s="228" t="n"/>
    </row>
    <row r="61445" ht="14.25" customHeight="1" s="192">
      <c r="W61445" s="231" t="n"/>
      <c r="X61445" s="231" t="n"/>
    </row>
    <row r="61446" ht="14.25" customHeight="1" s="192">
      <c r="W61446" s="33" t="n"/>
      <c r="X61446" s="33" t="n"/>
    </row>
    <row r="61447" ht="14.25" customHeight="1" s="192">
      <c r="W61447" s="231" t="n"/>
      <c r="X61447" s="231" t="n"/>
    </row>
    <row r="61448" ht="14.25" customHeight="1" s="192">
      <c r="W61448" s="33" t="n"/>
      <c r="X61448" s="33" t="n"/>
    </row>
    <row r="61450" ht="14.25" customHeight="1" s="192">
      <c r="W61450" s="231" t="n"/>
      <c r="X61450" s="231" t="n"/>
    </row>
    <row r="61451" ht="14.25" customHeight="1" s="192">
      <c r="W61451" s="235" t="n"/>
      <c r="X61451" s="235" t="n"/>
    </row>
    <row r="61452" ht="14.25" customHeight="1" s="192">
      <c r="W61452" s="228" t="n"/>
      <c r="X61452" s="228" t="n"/>
    </row>
    <row r="61453" ht="14.25" customHeight="1" s="192">
      <c r="W61453" s="235" t="n"/>
      <c r="X61453" s="235" t="n"/>
    </row>
    <row r="61454" ht="14.25" customHeight="1" s="192">
      <c r="W61454" s="235" t="n"/>
      <c r="X61454" s="235" t="n"/>
    </row>
    <row r="61455" ht="14.25" customHeight="1" s="192">
      <c r="W61455" s="235" t="n"/>
      <c r="X61455" s="235" t="n"/>
    </row>
    <row r="61456" ht="14.25" customHeight="1" s="192">
      <c r="W61456" s="239" t="n"/>
      <c r="X61456" s="239" t="n"/>
    </row>
    <row r="61457" ht="14.25" customHeight="1" s="192">
      <c r="W61457" s="239" t="n"/>
      <c r="X61457" s="239" t="n"/>
    </row>
    <row r="61458" ht="14.25" customHeight="1" s="192">
      <c r="W61458" s="239" t="n"/>
      <c r="X61458" s="239" t="n"/>
    </row>
    <row r="61459" ht="14.25" customHeight="1" s="192">
      <c r="W61459" s="235" t="n"/>
      <c r="X61459" s="235" t="n"/>
    </row>
    <row r="61460" ht="14.25" customHeight="1" s="192">
      <c r="W61460" s="235" t="n"/>
      <c r="X61460" s="235" t="n"/>
    </row>
    <row r="61461" ht="14.25" customHeight="1" s="192">
      <c r="W61461" s="235" t="n"/>
      <c r="X61461" s="235" t="n"/>
    </row>
    <row r="61462" ht="14.25" customHeight="1" s="192">
      <c r="W61462" s="239" t="n"/>
      <c r="X61462" s="239" t="n"/>
    </row>
    <row r="61463" ht="14.25" customHeight="1" s="192">
      <c r="W61463" s="239" t="n"/>
      <c r="X61463" s="239" t="n"/>
    </row>
    <row r="61464" ht="14.25" customHeight="1" s="192">
      <c r="W61464" s="235" t="n"/>
      <c r="X61464" s="235" t="n"/>
    </row>
    <row r="61465" ht="14.25" customHeight="1" s="192">
      <c r="W61465" s="235" t="n"/>
      <c r="X61465" s="235" t="n"/>
    </row>
    <row r="61466" ht="14.25" customHeight="1" s="192">
      <c r="W61466" s="239" t="n"/>
      <c r="X61466" s="239" t="n"/>
    </row>
    <row r="61467" ht="14.25" customHeight="1" s="192">
      <c r="W61467" s="235" t="n"/>
      <c r="X61467" s="235" t="n"/>
    </row>
    <row r="61468" ht="14.25" customHeight="1" s="192">
      <c r="W61468" s="239" t="n"/>
      <c r="X61468" s="239" t="n"/>
    </row>
    <row r="61470" ht="14.25" customHeight="1" s="192">
      <c r="W61470" s="235" t="n"/>
      <c r="X61470" s="235" t="n"/>
    </row>
    <row r="61471" ht="15" customHeight="1" s="192" thickBot="1">
      <c r="W61471" s="239" t="n"/>
      <c r="X61471" s="239" t="n"/>
    </row>
    <row r="61472" ht="15" customHeight="1" s="192" thickBot="1">
      <c r="W61472" s="45" t="n"/>
      <c r="X61472" s="45" t="n"/>
    </row>
    <row r="61473" ht="14.25" customHeight="1" s="192">
      <c r="W61473" s="228" t="n"/>
      <c r="X61473" s="228" t="n"/>
    </row>
    <row r="61474" ht="14.25" customHeight="1" s="192">
      <c r="W61474" s="228" t="n"/>
      <c r="X61474" s="228" t="n"/>
    </row>
    <row r="61475" ht="14.25" customHeight="1" s="192">
      <c r="W61475" s="231" t="n"/>
      <c r="X61475" s="231" t="n"/>
    </row>
    <row r="61476" ht="14.25" customHeight="1" s="192">
      <c r="W61476" s="33" t="n"/>
      <c r="X61476" s="33" t="n"/>
    </row>
    <row r="61477" ht="14.25" customHeight="1" s="192">
      <c r="W61477" s="231" t="n"/>
      <c r="X61477" s="231" t="n"/>
    </row>
    <row r="61478" ht="14.25" customHeight="1" s="192">
      <c r="W61478" s="33" t="n"/>
      <c r="X61478" s="33" t="n"/>
    </row>
    <row r="61480" ht="14.25" customHeight="1" s="192">
      <c r="W61480" s="231" t="n"/>
      <c r="X61480" s="231" t="n"/>
    </row>
    <row r="61481" ht="14.25" customHeight="1" s="192">
      <c r="W61481" s="235" t="n"/>
      <c r="X61481" s="235" t="n"/>
    </row>
    <row r="61482" ht="14.25" customHeight="1" s="192">
      <c r="W61482" s="228" t="n"/>
      <c r="X61482" s="228" t="n"/>
    </row>
    <row r="61483" ht="14.25" customHeight="1" s="192">
      <c r="W61483" s="235" t="n"/>
      <c r="X61483" s="235" t="n"/>
    </row>
    <row r="61484" ht="14.25" customHeight="1" s="192">
      <c r="W61484" s="235" t="n"/>
      <c r="X61484" s="235" t="n"/>
    </row>
    <row r="61485" ht="14.25" customHeight="1" s="192">
      <c r="W61485" s="235" t="n"/>
      <c r="X61485" s="235" t="n"/>
    </row>
    <row r="61486" ht="14.25" customHeight="1" s="192">
      <c r="W61486" s="239" t="n"/>
      <c r="X61486" s="239" t="n"/>
    </row>
    <row r="61487" ht="14.25" customHeight="1" s="192">
      <c r="W61487" s="239" t="n"/>
      <c r="X61487" s="239" t="n"/>
    </row>
    <row r="61488" ht="14.25" customHeight="1" s="192">
      <c r="W61488" s="239" t="n"/>
      <c r="X61488" s="239" t="n"/>
    </row>
    <row r="61489" ht="14.25" customHeight="1" s="192">
      <c r="W61489" s="235" t="n"/>
      <c r="X61489" s="235" t="n"/>
    </row>
    <row r="61490" ht="14.25" customHeight="1" s="192">
      <c r="W61490" s="235" t="n"/>
      <c r="X61490" s="235" t="n"/>
    </row>
    <row r="61491" ht="14.25" customHeight="1" s="192">
      <c r="W61491" s="235" t="n"/>
      <c r="X61491" s="235" t="n"/>
    </row>
    <row r="61492" ht="14.25" customHeight="1" s="192">
      <c r="W61492" s="239" t="n"/>
      <c r="X61492" s="239" t="n"/>
    </row>
    <row r="61493" ht="14.25" customHeight="1" s="192">
      <c r="W61493" s="239" t="n"/>
      <c r="X61493" s="239" t="n"/>
    </row>
    <row r="61494" ht="14.25" customHeight="1" s="192">
      <c r="W61494" s="235" t="n"/>
      <c r="X61494" s="235" t="n"/>
    </row>
    <row r="61495" ht="14.25" customHeight="1" s="192">
      <c r="W61495" s="235" t="n"/>
      <c r="X61495" s="235" t="n"/>
    </row>
    <row r="61496" ht="14.25" customHeight="1" s="192">
      <c r="W61496" s="239" t="n"/>
      <c r="X61496" s="239" t="n"/>
    </row>
    <row r="61497" ht="14.25" customHeight="1" s="192">
      <c r="W61497" s="235" t="n"/>
      <c r="X61497" s="235" t="n"/>
    </row>
    <row r="61498" ht="14.25" customHeight="1" s="192">
      <c r="W61498" s="239" t="n"/>
      <c r="X61498" s="239" t="n"/>
    </row>
    <row r="61500" ht="14.25" customHeight="1" s="192">
      <c r="W61500" s="235" t="n"/>
      <c r="X61500" s="235" t="n"/>
    </row>
    <row r="61501" ht="15" customHeight="1" s="192" thickBot="1">
      <c r="W61501" s="239" t="n"/>
      <c r="X61501" s="239" t="n"/>
    </row>
    <row r="61502" ht="15" customHeight="1" s="192" thickBot="1">
      <c r="W61502" s="45" t="n"/>
      <c r="X61502" s="45" t="n"/>
    </row>
    <row r="61503" ht="14.25" customHeight="1" s="192">
      <c r="W61503" s="228" t="n"/>
      <c r="X61503" s="228" t="n"/>
    </row>
    <row r="61504" ht="14.25" customHeight="1" s="192">
      <c r="W61504" s="228" t="n"/>
      <c r="X61504" s="228" t="n"/>
    </row>
    <row r="61505" ht="14.25" customHeight="1" s="192">
      <c r="W61505" s="231" t="n"/>
      <c r="X61505" s="231" t="n"/>
    </row>
    <row r="61506" ht="14.25" customHeight="1" s="192">
      <c r="W61506" s="33" t="n"/>
      <c r="X61506" s="33" t="n"/>
    </row>
    <row r="61507" ht="14.25" customHeight="1" s="192">
      <c r="W61507" s="231" t="n"/>
      <c r="X61507" s="231" t="n"/>
    </row>
    <row r="61508" ht="14.25" customHeight="1" s="192">
      <c r="W61508" s="33" t="n"/>
      <c r="X61508" s="33" t="n"/>
    </row>
    <row r="61510" ht="14.25" customHeight="1" s="192">
      <c r="W61510" s="231" t="n"/>
      <c r="X61510" s="231" t="n"/>
    </row>
    <row r="61511" ht="14.25" customHeight="1" s="192">
      <c r="W61511" s="235" t="n"/>
      <c r="X61511" s="235" t="n"/>
    </row>
    <row r="61512" ht="14.25" customHeight="1" s="192">
      <c r="W61512" s="228" t="n"/>
      <c r="X61512" s="228" t="n"/>
    </row>
    <row r="61513" ht="14.25" customHeight="1" s="192">
      <c r="W61513" s="235" t="n"/>
      <c r="X61513" s="235" t="n"/>
    </row>
    <row r="61514" ht="14.25" customHeight="1" s="192">
      <c r="W61514" s="235" t="n"/>
      <c r="X61514" s="235" t="n"/>
    </row>
    <row r="61515" ht="14.25" customHeight="1" s="192">
      <c r="W61515" s="235" t="n"/>
      <c r="X61515" s="235" t="n"/>
    </row>
    <row r="61516" ht="14.25" customHeight="1" s="192">
      <c r="W61516" s="239" t="n"/>
      <c r="X61516" s="239" t="n"/>
    </row>
    <row r="61517" ht="14.25" customHeight="1" s="192">
      <c r="W61517" s="239" t="n"/>
      <c r="X61517" s="239" t="n"/>
    </row>
    <row r="61518" ht="14.25" customHeight="1" s="192">
      <c r="W61518" s="239" t="n"/>
      <c r="X61518" s="239" t="n"/>
    </row>
    <row r="61519" ht="14.25" customHeight="1" s="192">
      <c r="W61519" s="235" t="n"/>
      <c r="X61519" s="235" t="n"/>
    </row>
    <row r="61520" ht="14.25" customHeight="1" s="192">
      <c r="W61520" s="235" t="n"/>
      <c r="X61520" s="235" t="n"/>
    </row>
    <row r="61521" ht="14.25" customHeight="1" s="192">
      <c r="W61521" s="235" t="n"/>
      <c r="X61521" s="235" t="n"/>
    </row>
    <row r="61522" ht="14.25" customHeight="1" s="192">
      <c r="W61522" s="239" t="n"/>
      <c r="X61522" s="239" t="n"/>
    </row>
    <row r="61523" ht="14.25" customHeight="1" s="192">
      <c r="W61523" s="239" t="n"/>
      <c r="X61523" s="239" t="n"/>
    </row>
    <row r="61524" ht="14.25" customHeight="1" s="192">
      <c r="W61524" s="235" t="n"/>
      <c r="X61524" s="235" t="n"/>
    </row>
    <row r="61525" ht="14.25" customHeight="1" s="192">
      <c r="W61525" s="235" t="n"/>
      <c r="X61525" s="235" t="n"/>
    </row>
    <row r="61526" ht="14.25" customHeight="1" s="192">
      <c r="W61526" s="239" t="n"/>
      <c r="X61526" s="239" t="n"/>
    </row>
    <row r="61527" ht="14.25" customHeight="1" s="192">
      <c r="W61527" s="235" t="n"/>
      <c r="X61527" s="235" t="n"/>
    </row>
    <row r="61528" ht="14.25" customHeight="1" s="192">
      <c r="W61528" s="239" t="n"/>
      <c r="X61528" s="239" t="n"/>
    </row>
    <row r="61530" ht="14.25" customHeight="1" s="192">
      <c r="W61530" s="235" t="n"/>
      <c r="X61530" s="235" t="n"/>
    </row>
    <row r="61531" ht="15" customHeight="1" s="192" thickBot="1">
      <c r="W61531" s="239" t="n"/>
      <c r="X61531" s="239" t="n"/>
    </row>
    <row r="61532" ht="15" customHeight="1" s="192" thickBot="1">
      <c r="W61532" s="45" t="n"/>
      <c r="X61532" s="45" t="n"/>
    </row>
    <row r="61533" ht="14.25" customHeight="1" s="192">
      <c r="W61533" s="228" t="n"/>
      <c r="X61533" s="228" t="n"/>
    </row>
    <row r="61534" ht="14.25" customHeight="1" s="192">
      <c r="W61534" s="228" t="n"/>
      <c r="X61534" s="228" t="n"/>
    </row>
    <row r="61535" ht="14.25" customHeight="1" s="192">
      <c r="W61535" s="231" t="n"/>
      <c r="X61535" s="231" t="n"/>
    </row>
    <row r="61536" ht="14.25" customHeight="1" s="192">
      <c r="W61536" s="33" t="n"/>
      <c r="X61536" s="33" t="n"/>
    </row>
    <row r="61537" ht="14.25" customHeight="1" s="192">
      <c r="W61537" s="231" t="n"/>
      <c r="X61537" s="231" t="n"/>
    </row>
    <row r="61538" ht="14.25" customHeight="1" s="192">
      <c r="W61538" s="33" t="n"/>
      <c r="X61538" s="33" t="n"/>
    </row>
    <row r="61540" ht="14.25" customHeight="1" s="192">
      <c r="W61540" s="231" t="n"/>
      <c r="X61540" s="231" t="n"/>
    </row>
    <row r="61541" ht="14.25" customHeight="1" s="192">
      <c r="W61541" s="235" t="n"/>
      <c r="X61541" s="235" t="n"/>
    </row>
    <row r="61542" ht="14.25" customHeight="1" s="192">
      <c r="W61542" s="228" t="n"/>
      <c r="X61542" s="228" t="n"/>
    </row>
    <row r="61543" ht="14.25" customHeight="1" s="192">
      <c r="W61543" s="235" t="n"/>
      <c r="X61543" s="235" t="n"/>
    </row>
    <row r="61544" ht="14.25" customHeight="1" s="192">
      <c r="W61544" s="235" t="n"/>
      <c r="X61544" s="235" t="n"/>
    </row>
    <row r="61545" ht="14.25" customHeight="1" s="192">
      <c r="W61545" s="235" t="n"/>
      <c r="X61545" s="235" t="n"/>
    </row>
    <row r="61546" ht="14.25" customHeight="1" s="192">
      <c r="W61546" s="239" t="n"/>
      <c r="X61546" s="239" t="n"/>
    </row>
    <row r="61547" ht="14.25" customHeight="1" s="192">
      <c r="W61547" s="239" t="n"/>
      <c r="X61547" s="239" t="n"/>
    </row>
    <row r="61548" ht="14.25" customHeight="1" s="192">
      <c r="W61548" s="239" t="n"/>
      <c r="X61548" s="239" t="n"/>
    </row>
    <row r="61549" ht="14.25" customHeight="1" s="192">
      <c r="W61549" s="235" t="n"/>
      <c r="X61549" s="235" t="n"/>
    </row>
    <row r="61550" ht="14.25" customHeight="1" s="192">
      <c r="W61550" s="235" t="n"/>
      <c r="X61550" s="235" t="n"/>
    </row>
    <row r="61551" ht="14.25" customHeight="1" s="192">
      <c r="W61551" s="235" t="n"/>
      <c r="X61551" s="235" t="n"/>
    </row>
    <row r="61552" ht="14.25" customHeight="1" s="192">
      <c r="W61552" s="239" t="n"/>
      <c r="X61552" s="239" t="n"/>
    </row>
    <row r="61553" ht="14.25" customHeight="1" s="192">
      <c r="W61553" s="239" t="n"/>
      <c r="X61553" s="239" t="n"/>
    </row>
    <row r="61554" ht="14.25" customHeight="1" s="192">
      <c r="W61554" s="235" t="n"/>
      <c r="X61554" s="235" t="n"/>
    </row>
    <row r="61555" ht="14.25" customHeight="1" s="192">
      <c r="W61555" s="235" t="n"/>
      <c r="X61555" s="235" t="n"/>
    </row>
    <row r="61556" ht="14.25" customHeight="1" s="192">
      <c r="W61556" s="239" t="n"/>
      <c r="X61556" s="239" t="n"/>
    </row>
    <row r="61557" ht="14.25" customHeight="1" s="192">
      <c r="W61557" s="235" t="n"/>
      <c r="X61557" s="235" t="n"/>
    </row>
    <row r="61558" ht="14.25" customHeight="1" s="192">
      <c r="W61558" s="239" t="n"/>
      <c r="X61558" s="239" t="n"/>
    </row>
    <row r="61560" ht="14.25" customHeight="1" s="192">
      <c r="W61560" s="235" t="n"/>
      <c r="X61560" s="235" t="n"/>
    </row>
    <row r="61561" ht="15" customHeight="1" s="192" thickBot="1">
      <c r="W61561" s="239" t="n"/>
      <c r="X61561" s="239" t="n"/>
    </row>
    <row r="61562" ht="15" customHeight="1" s="192" thickBot="1">
      <c r="W61562" s="45" t="n"/>
      <c r="X61562" s="45" t="n"/>
    </row>
    <row r="61563" ht="14.25" customHeight="1" s="192">
      <c r="W61563" s="228" t="n"/>
      <c r="X61563" s="228" t="n"/>
    </row>
    <row r="61564" ht="14.25" customHeight="1" s="192">
      <c r="W61564" s="228" t="n"/>
      <c r="X61564" s="228" t="n"/>
    </row>
    <row r="61565" ht="14.25" customHeight="1" s="192">
      <c r="W61565" s="231" t="n"/>
      <c r="X61565" s="231" t="n"/>
    </row>
    <row r="61566" ht="14.25" customHeight="1" s="192">
      <c r="W61566" s="33" t="n"/>
      <c r="X61566" s="33" t="n"/>
    </row>
    <row r="61567" ht="14.25" customHeight="1" s="192">
      <c r="W61567" s="231" t="n"/>
      <c r="X61567" s="231" t="n"/>
    </row>
    <row r="61568" ht="14.25" customHeight="1" s="192">
      <c r="W61568" s="33" t="n"/>
      <c r="X61568" s="33" t="n"/>
    </row>
    <row r="61570" ht="14.25" customHeight="1" s="192">
      <c r="W61570" s="231" t="n"/>
      <c r="X61570" s="231" t="n"/>
    </row>
    <row r="61571" ht="14.25" customHeight="1" s="192">
      <c r="W61571" s="235" t="n"/>
      <c r="X61571" s="235" t="n"/>
    </row>
    <row r="61572" ht="14.25" customHeight="1" s="192">
      <c r="W61572" s="228" t="n"/>
      <c r="X61572" s="228" t="n"/>
    </row>
    <row r="61573" ht="14.25" customHeight="1" s="192">
      <c r="W61573" s="235" t="n"/>
      <c r="X61573" s="235" t="n"/>
    </row>
    <row r="61574" ht="14.25" customHeight="1" s="192">
      <c r="W61574" s="235" t="n"/>
      <c r="X61574" s="235" t="n"/>
    </row>
    <row r="61575" ht="14.25" customHeight="1" s="192">
      <c r="W61575" s="235" t="n"/>
      <c r="X61575" s="235" t="n"/>
    </row>
    <row r="61576" ht="14.25" customHeight="1" s="192">
      <c r="W61576" s="239" t="n"/>
      <c r="X61576" s="239" t="n"/>
    </row>
    <row r="61577" ht="14.25" customHeight="1" s="192">
      <c r="W61577" s="239" t="n"/>
      <c r="X61577" s="239" t="n"/>
    </row>
    <row r="61578" ht="14.25" customHeight="1" s="192">
      <c r="W61578" s="239" t="n"/>
      <c r="X61578" s="239" t="n"/>
    </row>
    <row r="61579" ht="14.25" customHeight="1" s="192">
      <c r="W61579" s="235" t="n"/>
      <c r="X61579" s="235" t="n"/>
    </row>
    <row r="61580" ht="14.25" customHeight="1" s="192">
      <c r="W61580" s="235" t="n"/>
      <c r="X61580" s="235" t="n"/>
    </row>
    <row r="61581" ht="14.25" customHeight="1" s="192">
      <c r="W61581" s="235" t="n"/>
      <c r="X61581" s="235" t="n"/>
    </row>
    <row r="61582" ht="14.25" customHeight="1" s="192">
      <c r="W61582" s="239" t="n"/>
      <c r="X61582" s="239" t="n"/>
    </row>
    <row r="61583" ht="14.25" customHeight="1" s="192">
      <c r="W61583" s="239" t="n"/>
      <c r="X61583" s="239" t="n"/>
    </row>
    <row r="61584" ht="14.25" customHeight="1" s="192">
      <c r="W61584" s="235" t="n"/>
      <c r="X61584" s="235" t="n"/>
    </row>
    <row r="61585" ht="14.25" customHeight="1" s="192">
      <c r="W61585" s="235" t="n"/>
      <c r="X61585" s="235" t="n"/>
    </row>
    <row r="61586" ht="14.25" customHeight="1" s="192">
      <c r="W61586" s="239" t="n"/>
      <c r="X61586" s="239" t="n"/>
    </row>
    <row r="61587" ht="14.25" customHeight="1" s="192">
      <c r="W61587" s="235" t="n"/>
      <c r="X61587" s="235" t="n"/>
    </row>
    <row r="61588" ht="14.25" customHeight="1" s="192">
      <c r="W61588" s="239" t="n"/>
      <c r="X61588" s="239" t="n"/>
    </row>
    <row r="61590" ht="14.25" customHeight="1" s="192">
      <c r="W61590" s="235" t="n"/>
      <c r="X61590" s="235" t="n"/>
    </row>
    <row r="61591" ht="15" customHeight="1" s="192" thickBot="1">
      <c r="W61591" s="239" t="n"/>
      <c r="X61591" s="239" t="n"/>
    </row>
    <row r="61592" ht="15" customHeight="1" s="192" thickBot="1">
      <c r="W61592" s="45" t="n"/>
      <c r="X61592" s="45" t="n"/>
    </row>
    <row r="61593" ht="14.25" customHeight="1" s="192">
      <c r="W61593" s="228" t="n"/>
      <c r="X61593" s="228" t="n"/>
    </row>
    <row r="61594" ht="14.25" customHeight="1" s="192">
      <c r="W61594" s="228" t="n"/>
      <c r="X61594" s="228" t="n"/>
    </row>
    <row r="61595" ht="14.25" customHeight="1" s="192">
      <c r="W61595" s="231" t="n"/>
      <c r="X61595" s="231" t="n"/>
    </row>
    <row r="61596" ht="14.25" customHeight="1" s="192">
      <c r="W61596" s="33" t="n"/>
      <c r="X61596" s="33" t="n"/>
    </row>
    <row r="61597" ht="14.25" customHeight="1" s="192">
      <c r="W61597" s="231" t="n"/>
      <c r="X61597" s="231" t="n"/>
    </row>
    <row r="61598" ht="14.25" customHeight="1" s="192">
      <c r="W61598" s="33" t="n"/>
      <c r="X61598" s="33" t="n"/>
    </row>
    <row r="61600" ht="14.25" customHeight="1" s="192">
      <c r="W61600" s="231" t="n"/>
      <c r="X61600" s="231" t="n"/>
    </row>
    <row r="61601" ht="14.25" customHeight="1" s="192">
      <c r="W61601" s="235" t="n"/>
      <c r="X61601" s="235" t="n"/>
    </row>
    <row r="61602" ht="14.25" customHeight="1" s="192">
      <c r="W61602" s="228" t="n"/>
      <c r="X61602" s="228" t="n"/>
    </row>
    <row r="61603" ht="14.25" customHeight="1" s="192">
      <c r="W61603" s="235" t="n"/>
      <c r="X61603" s="235" t="n"/>
    </row>
    <row r="61604" ht="14.25" customHeight="1" s="192">
      <c r="W61604" s="235" t="n"/>
      <c r="X61604" s="235" t="n"/>
    </row>
    <row r="61605" ht="14.25" customHeight="1" s="192">
      <c r="W61605" s="235" t="n"/>
      <c r="X61605" s="235" t="n"/>
    </row>
    <row r="61606" ht="14.25" customHeight="1" s="192">
      <c r="W61606" s="239" t="n"/>
      <c r="X61606" s="239" t="n"/>
    </row>
    <row r="61607" ht="14.25" customHeight="1" s="192">
      <c r="W61607" s="239" t="n"/>
      <c r="X61607" s="239" t="n"/>
    </row>
    <row r="61608" ht="14.25" customHeight="1" s="192">
      <c r="W61608" s="239" t="n"/>
      <c r="X61608" s="239" t="n"/>
    </row>
    <row r="61609" ht="14.25" customHeight="1" s="192">
      <c r="W61609" s="235" t="n"/>
      <c r="X61609" s="235" t="n"/>
    </row>
    <row r="61610" ht="14.25" customHeight="1" s="192">
      <c r="W61610" s="235" t="n"/>
      <c r="X61610" s="235" t="n"/>
    </row>
    <row r="61611" ht="14.25" customHeight="1" s="192">
      <c r="W61611" s="235" t="n"/>
      <c r="X61611" s="235" t="n"/>
    </row>
    <row r="61612" ht="14.25" customHeight="1" s="192">
      <c r="W61612" s="239" t="n"/>
      <c r="X61612" s="239" t="n"/>
    </row>
    <row r="61613" ht="14.25" customHeight="1" s="192">
      <c r="W61613" s="239" t="n"/>
      <c r="X61613" s="239" t="n"/>
    </row>
    <row r="61614" ht="14.25" customHeight="1" s="192">
      <c r="W61614" s="235" t="n"/>
      <c r="X61614" s="235" t="n"/>
    </row>
    <row r="61615" ht="14.25" customHeight="1" s="192">
      <c r="W61615" s="235" t="n"/>
      <c r="X61615" s="235" t="n"/>
    </row>
    <row r="61616" ht="14.25" customHeight="1" s="192">
      <c r="W61616" s="239" t="n"/>
      <c r="X61616" s="239" t="n"/>
    </row>
    <row r="61617" ht="14.25" customHeight="1" s="192">
      <c r="W61617" s="235" t="n"/>
      <c r="X61617" s="235" t="n"/>
    </row>
    <row r="61618" ht="14.25" customHeight="1" s="192">
      <c r="W61618" s="239" t="n"/>
      <c r="X61618" s="239" t="n"/>
    </row>
    <row r="61620" ht="14.25" customHeight="1" s="192">
      <c r="W61620" s="235" t="n"/>
      <c r="X61620" s="235" t="n"/>
    </row>
    <row r="61621" ht="15" customHeight="1" s="192" thickBot="1">
      <c r="W61621" s="239" t="n"/>
      <c r="X61621" s="239" t="n"/>
    </row>
    <row r="61622" ht="15" customHeight="1" s="192" thickBot="1">
      <c r="W61622" s="45" t="n"/>
      <c r="X61622" s="45" t="n"/>
    </row>
    <row r="61623" ht="14.25" customHeight="1" s="192">
      <c r="W61623" s="228" t="n"/>
      <c r="X61623" s="228" t="n"/>
    </row>
    <row r="61624" ht="14.25" customHeight="1" s="192">
      <c r="W61624" s="228" t="n"/>
      <c r="X61624" s="228" t="n"/>
    </row>
    <row r="61625" ht="14.25" customHeight="1" s="192">
      <c r="W61625" s="231" t="n"/>
      <c r="X61625" s="231" t="n"/>
    </row>
    <row r="61626" ht="14.25" customHeight="1" s="192">
      <c r="W61626" s="33" t="n"/>
      <c r="X61626" s="33" t="n"/>
    </row>
    <row r="61627" ht="14.25" customHeight="1" s="192">
      <c r="W61627" s="231" t="n"/>
      <c r="X61627" s="231" t="n"/>
    </row>
    <row r="61628" ht="14.25" customHeight="1" s="192">
      <c r="W61628" s="33" t="n"/>
      <c r="X61628" s="33" t="n"/>
    </row>
    <row r="61630" ht="14.25" customHeight="1" s="192">
      <c r="W61630" s="231" t="n"/>
      <c r="X61630" s="231" t="n"/>
    </row>
    <row r="61631" ht="14.25" customHeight="1" s="192">
      <c r="W61631" s="235" t="n"/>
      <c r="X61631" s="235" t="n"/>
    </row>
    <row r="61632" ht="14.25" customHeight="1" s="192">
      <c r="W61632" s="228" t="n"/>
      <c r="X61632" s="228" t="n"/>
    </row>
    <row r="61633" ht="14.25" customHeight="1" s="192">
      <c r="W61633" s="235" t="n"/>
      <c r="X61633" s="235" t="n"/>
    </row>
    <row r="61634" ht="14.25" customHeight="1" s="192">
      <c r="W61634" s="235" t="n"/>
      <c r="X61634" s="235" t="n"/>
    </row>
    <row r="61635" ht="14.25" customHeight="1" s="192">
      <c r="W61635" s="235" t="n"/>
      <c r="X61635" s="235" t="n"/>
    </row>
    <row r="61636" ht="14.25" customHeight="1" s="192">
      <c r="W61636" s="239" t="n"/>
      <c r="X61636" s="239" t="n"/>
    </row>
    <row r="61637" ht="14.25" customHeight="1" s="192">
      <c r="W61637" s="239" t="n"/>
      <c r="X61637" s="239" t="n"/>
    </row>
    <row r="61638" ht="14.25" customHeight="1" s="192">
      <c r="W61638" s="239" t="n"/>
      <c r="X61638" s="239" t="n"/>
    </row>
    <row r="61639" ht="14.25" customHeight="1" s="192">
      <c r="W61639" s="235" t="n"/>
      <c r="X61639" s="235" t="n"/>
    </row>
    <row r="61640" ht="14.25" customHeight="1" s="192">
      <c r="W61640" s="235" t="n"/>
      <c r="X61640" s="235" t="n"/>
    </row>
    <row r="61641" ht="14.25" customHeight="1" s="192">
      <c r="W61641" s="235" t="n"/>
      <c r="X61641" s="235" t="n"/>
    </row>
    <row r="61642" ht="14.25" customHeight="1" s="192">
      <c r="W61642" s="239" t="n"/>
      <c r="X61642" s="239" t="n"/>
    </row>
    <row r="61643" ht="14.25" customHeight="1" s="192">
      <c r="W61643" s="239" t="n"/>
      <c r="X61643" s="239" t="n"/>
    </row>
    <row r="61644" ht="14.25" customHeight="1" s="192">
      <c r="W61644" s="235" t="n"/>
      <c r="X61644" s="235" t="n"/>
    </row>
    <row r="61645" ht="14.25" customHeight="1" s="192">
      <c r="W61645" s="235" t="n"/>
      <c r="X61645" s="235" t="n"/>
    </row>
    <row r="61646" ht="14.25" customHeight="1" s="192">
      <c r="W61646" s="239" t="n"/>
      <c r="X61646" s="239" t="n"/>
    </row>
    <row r="61647" ht="14.25" customHeight="1" s="192">
      <c r="W61647" s="235" t="n"/>
      <c r="X61647" s="235" t="n"/>
    </row>
    <row r="61648" ht="14.25" customHeight="1" s="192">
      <c r="W61648" s="239" t="n"/>
      <c r="X61648" s="239" t="n"/>
    </row>
    <row r="61650" ht="14.25" customHeight="1" s="192">
      <c r="W61650" s="235" t="n"/>
      <c r="X61650" s="235" t="n"/>
    </row>
    <row r="61651" ht="15" customHeight="1" s="192" thickBot="1">
      <c r="W61651" s="239" t="n"/>
      <c r="X61651" s="239" t="n"/>
    </row>
    <row r="61652" ht="15" customHeight="1" s="192" thickBot="1">
      <c r="W61652" s="45" t="n"/>
      <c r="X61652" s="45" t="n"/>
    </row>
    <row r="61653" ht="14.25" customHeight="1" s="192">
      <c r="W61653" s="228" t="n"/>
      <c r="X61653" s="228" t="n"/>
    </row>
    <row r="61654" ht="14.25" customHeight="1" s="192">
      <c r="W61654" s="228" t="n"/>
      <c r="X61654" s="228" t="n"/>
    </row>
    <row r="61655" ht="14.25" customHeight="1" s="192">
      <c r="W61655" s="231" t="n"/>
      <c r="X61655" s="231" t="n"/>
    </row>
    <row r="61656" ht="14.25" customHeight="1" s="192">
      <c r="W61656" s="33" t="n"/>
      <c r="X61656" s="33" t="n"/>
    </row>
    <row r="61657" ht="14.25" customHeight="1" s="192">
      <c r="W61657" s="231" t="n"/>
      <c r="X61657" s="231" t="n"/>
    </row>
    <row r="61658" ht="14.25" customHeight="1" s="192">
      <c r="W61658" s="33" t="n"/>
      <c r="X61658" s="33" t="n"/>
    </row>
    <row r="61660" ht="14.25" customHeight="1" s="192">
      <c r="W61660" s="231" t="n"/>
      <c r="X61660" s="231" t="n"/>
    </row>
    <row r="61661" ht="14.25" customHeight="1" s="192">
      <c r="W61661" s="235" t="n"/>
      <c r="X61661" s="235" t="n"/>
    </row>
    <row r="61662" ht="14.25" customHeight="1" s="192">
      <c r="W61662" s="228" t="n"/>
      <c r="X61662" s="228" t="n"/>
    </row>
    <row r="61663" ht="14.25" customHeight="1" s="192">
      <c r="W61663" s="235" t="n"/>
      <c r="X61663" s="235" t="n"/>
    </row>
    <row r="61664" ht="14.25" customHeight="1" s="192">
      <c r="W61664" s="235" t="n"/>
      <c r="X61664" s="235" t="n"/>
    </row>
    <row r="61665" ht="14.25" customHeight="1" s="192">
      <c r="W61665" s="235" t="n"/>
      <c r="X61665" s="235" t="n"/>
    </row>
    <row r="61666" ht="14.25" customHeight="1" s="192">
      <c r="W61666" s="239" t="n"/>
      <c r="X61666" s="239" t="n"/>
    </row>
    <row r="61667" ht="14.25" customHeight="1" s="192">
      <c r="W61667" s="239" t="n"/>
      <c r="X61667" s="239" t="n"/>
    </row>
    <row r="61668" ht="14.25" customHeight="1" s="192">
      <c r="W61668" s="239" t="n"/>
      <c r="X61668" s="239" t="n"/>
    </row>
    <row r="61669" ht="14.25" customHeight="1" s="192">
      <c r="W61669" s="235" t="n"/>
      <c r="X61669" s="235" t="n"/>
    </row>
    <row r="61670" ht="14.25" customHeight="1" s="192">
      <c r="W61670" s="235" t="n"/>
      <c r="X61670" s="235" t="n"/>
    </row>
    <row r="61671" ht="14.25" customHeight="1" s="192">
      <c r="W61671" s="235" t="n"/>
      <c r="X61671" s="235" t="n"/>
    </row>
    <row r="61672" ht="14.25" customHeight="1" s="192">
      <c r="W61672" s="239" t="n"/>
      <c r="X61672" s="239" t="n"/>
    </row>
    <row r="61673" ht="14.25" customHeight="1" s="192">
      <c r="W61673" s="239" t="n"/>
      <c r="X61673" s="239" t="n"/>
    </row>
    <row r="61674" ht="14.25" customHeight="1" s="192">
      <c r="W61674" s="235" t="n"/>
      <c r="X61674" s="235" t="n"/>
    </row>
    <row r="61675" ht="14.25" customHeight="1" s="192">
      <c r="W61675" s="235" t="n"/>
      <c r="X61675" s="235" t="n"/>
    </row>
    <row r="61676" ht="14.25" customHeight="1" s="192">
      <c r="W61676" s="239" t="n"/>
      <c r="X61676" s="239" t="n"/>
    </row>
    <row r="61677" ht="14.25" customHeight="1" s="192">
      <c r="W61677" s="235" t="n"/>
      <c r="X61677" s="235" t="n"/>
    </row>
    <row r="61678" ht="14.25" customHeight="1" s="192">
      <c r="W61678" s="239" t="n"/>
      <c r="X61678" s="239" t="n"/>
    </row>
    <row r="61680" ht="14.25" customHeight="1" s="192">
      <c r="W61680" s="235" t="n"/>
      <c r="X61680" s="235" t="n"/>
    </row>
    <row r="61681" ht="15" customHeight="1" s="192" thickBot="1">
      <c r="W61681" s="239" t="n"/>
      <c r="X61681" s="239" t="n"/>
    </row>
    <row r="61682" ht="15" customHeight="1" s="192" thickBot="1">
      <c r="W61682" s="45" t="n"/>
      <c r="X61682" s="45" t="n"/>
    </row>
    <row r="61683" ht="14.25" customHeight="1" s="192">
      <c r="W61683" s="228" t="n"/>
      <c r="X61683" s="228" t="n"/>
    </row>
    <row r="61684" ht="14.25" customHeight="1" s="192">
      <c r="W61684" s="228" t="n"/>
      <c r="X61684" s="228" t="n"/>
    </row>
    <row r="61685" ht="14.25" customHeight="1" s="192">
      <c r="W61685" s="231" t="n"/>
      <c r="X61685" s="231" t="n"/>
    </row>
    <row r="61686" ht="14.25" customHeight="1" s="192">
      <c r="W61686" s="33" t="n"/>
      <c r="X61686" s="33" t="n"/>
    </row>
    <row r="61687" ht="14.25" customHeight="1" s="192">
      <c r="W61687" s="231" t="n"/>
      <c r="X61687" s="231" t="n"/>
    </row>
    <row r="61688" ht="14.25" customHeight="1" s="192">
      <c r="W61688" s="33" t="n"/>
      <c r="X61688" s="33" t="n"/>
    </row>
    <row r="61690" ht="14.25" customHeight="1" s="192">
      <c r="W61690" s="231" t="n"/>
      <c r="X61690" s="231" t="n"/>
    </row>
    <row r="61691" ht="14.25" customHeight="1" s="192">
      <c r="W61691" s="235" t="n"/>
      <c r="X61691" s="235" t="n"/>
    </row>
    <row r="61692" ht="14.25" customHeight="1" s="192">
      <c r="W61692" s="228" t="n"/>
      <c r="X61692" s="228" t="n"/>
    </row>
    <row r="61693" ht="14.25" customHeight="1" s="192">
      <c r="W61693" s="235" t="n"/>
      <c r="X61693" s="235" t="n"/>
    </row>
    <row r="61694" ht="14.25" customHeight="1" s="192">
      <c r="W61694" s="235" t="n"/>
      <c r="X61694" s="235" t="n"/>
    </row>
    <row r="61695" ht="14.25" customHeight="1" s="192">
      <c r="W61695" s="235" t="n"/>
      <c r="X61695" s="235" t="n"/>
    </row>
    <row r="61696" ht="14.25" customHeight="1" s="192">
      <c r="W61696" s="239" t="n"/>
      <c r="X61696" s="239" t="n"/>
    </row>
    <row r="61697" ht="14.25" customHeight="1" s="192">
      <c r="W61697" s="239" t="n"/>
      <c r="X61697" s="239" t="n"/>
    </row>
    <row r="61698" ht="14.25" customHeight="1" s="192">
      <c r="W61698" s="239" t="n"/>
      <c r="X61698" s="239" t="n"/>
    </row>
    <row r="61699" ht="14.25" customHeight="1" s="192">
      <c r="W61699" s="235" t="n"/>
      <c r="X61699" s="235" t="n"/>
    </row>
    <row r="61700" ht="14.25" customHeight="1" s="192">
      <c r="W61700" s="235" t="n"/>
      <c r="X61700" s="235" t="n"/>
    </row>
    <row r="61701" ht="14.25" customHeight="1" s="192">
      <c r="W61701" s="235" t="n"/>
      <c r="X61701" s="235" t="n"/>
    </row>
    <row r="61702" ht="14.25" customHeight="1" s="192">
      <c r="W61702" s="239" t="n"/>
      <c r="X61702" s="239" t="n"/>
    </row>
    <row r="61703" ht="14.25" customHeight="1" s="192">
      <c r="W61703" s="239" t="n"/>
      <c r="X61703" s="239" t="n"/>
    </row>
    <row r="61704" ht="14.25" customHeight="1" s="192">
      <c r="W61704" s="235" t="n"/>
      <c r="X61704" s="235" t="n"/>
    </row>
    <row r="61705" ht="14.25" customHeight="1" s="192">
      <c r="W61705" s="235" t="n"/>
      <c r="X61705" s="235" t="n"/>
    </row>
    <row r="61706" ht="14.25" customHeight="1" s="192">
      <c r="W61706" s="239" t="n"/>
      <c r="X61706" s="239" t="n"/>
    </row>
    <row r="61707" ht="14.25" customHeight="1" s="192">
      <c r="W61707" s="235" t="n"/>
      <c r="X61707" s="235" t="n"/>
    </row>
    <row r="61708" ht="14.25" customHeight="1" s="192">
      <c r="W61708" s="239" t="n"/>
      <c r="X61708" s="239" t="n"/>
    </row>
    <row r="61710" ht="14.25" customHeight="1" s="192">
      <c r="W61710" s="235" t="n"/>
      <c r="X61710" s="235" t="n"/>
    </row>
    <row r="61711" ht="15" customHeight="1" s="192" thickBot="1">
      <c r="W61711" s="239" t="n"/>
      <c r="X61711" s="239" t="n"/>
    </row>
    <row r="61712" ht="15" customHeight="1" s="192" thickBot="1">
      <c r="W61712" s="45" t="n"/>
      <c r="X61712" s="45" t="n"/>
    </row>
    <row r="61713" ht="14.25" customHeight="1" s="192">
      <c r="W61713" s="228" t="n"/>
      <c r="X61713" s="228" t="n"/>
    </row>
    <row r="61714" ht="14.25" customHeight="1" s="192">
      <c r="W61714" s="228" t="n"/>
      <c r="X61714" s="228" t="n"/>
    </row>
    <row r="61715" ht="14.25" customHeight="1" s="192">
      <c r="W61715" s="231" t="n"/>
      <c r="X61715" s="231" t="n"/>
    </row>
    <row r="61716" ht="14.25" customHeight="1" s="192">
      <c r="W61716" s="33" t="n"/>
      <c r="X61716" s="33" t="n"/>
    </row>
    <row r="61717" ht="14.25" customHeight="1" s="192">
      <c r="W61717" s="231" t="n"/>
      <c r="X61717" s="231" t="n"/>
    </row>
    <row r="61718" ht="14.25" customHeight="1" s="192">
      <c r="W61718" s="33" t="n"/>
      <c r="X61718" s="33" t="n"/>
    </row>
    <row r="61720" ht="14.25" customHeight="1" s="192">
      <c r="W61720" s="231" t="n"/>
      <c r="X61720" s="231" t="n"/>
    </row>
    <row r="61721" ht="14.25" customHeight="1" s="192">
      <c r="W61721" s="235" t="n"/>
      <c r="X61721" s="235" t="n"/>
    </row>
    <row r="61722" ht="14.25" customHeight="1" s="192">
      <c r="W61722" s="228" t="n"/>
      <c r="X61722" s="228" t="n"/>
    </row>
    <row r="61723" ht="14.25" customHeight="1" s="192">
      <c r="W61723" s="235" t="n"/>
      <c r="X61723" s="235" t="n"/>
    </row>
    <row r="61724" ht="14.25" customHeight="1" s="192">
      <c r="W61724" s="235" t="n"/>
      <c r="X61724" s="235" t="n"/>
    </row>
    <row r="61725" ht="14.25" customHeight="1" s="192">
      <c r="W61725" s="235" t="n"/>
      <c r="X61725" s="235" t="n"/>
    </row>
    <row r="61726" ht="14.25" customHeight="1" s="192">
      <c r="W61726" s="239" t="n"/>
      <c r="X61726" s="239" t="n"/>
    </row>
    <row r="61727" ht="14.25" customHeight="1" s="192">
      <c r="W61727" s="239" t="n"/>
      <c r="X61727" s="239" t="n"/>
    </row>
    <row r="61728" ht="14.25" customHeight="1" s="192">
      <c r="W61728" s="239" t="n"/>
      <c r="X61728" s="239" t="n"/>
    </row>
    <row r="61729" ht="14.25" customHeight="1" s="192">
      <c r="W61729" s="235" t="n"/>
      <c r="X61729" s="235" t="n"/>
    </row>
    <row r="61730" ht="14.25" customHeight="1" s="192">
      <c r="W61730" s="235" t="n"/>
      <c r="X61730" s="235" t="n"/>
    </row>
    <row r="61731" ht="14.25" customHeight="1" s="192">
      <c r="W61731" s="235" t="n"/>
      <c r="X61731" s="235" t="n"/>
    </row>
    <row r="61732" ht="14.25" customHeight="1" s="192">
      <c r="W61732" s="239" t="n"/>
      <c r="X61732" s="239" t="n"/>
    </row>
    <row r="61733" ht="14.25" customHeight="1" s="192">
      <c r="W61733" s="239" t="n"/>
      <c r="X61733" s="239" t="n"/>
    </row>
    <row r="61734" ht="14.25" customHeight="1" s="192">
      <c r="W61734" s="235" t="n"/>
      <c r="X61734" s="235" t="n"/>
    </row>
    <row r="61735" ht="14.25" customHeight="1" s="192">
      <c r="W61735" s="235" t="n"/>
      <c r="X61735" s="235" t="n"/>
    </row>
    <row r="61736" ht="14.25" customHeight="1" s="192">
      <c r="W61736" s="239" t="n"/>
      <c r="X61736" s="239" t="n"/>
    </row>
    <row r="61737" ht="14.25" customHeight="1" s="192">
      <c r="W61737" s="235" t="n"/>
      <c r="X61737" s="235" t="n"/>
    </row>
    <row r="61738" ht="14.25" customHeight="1" s="192">
      <c r="W61738" s="239" t="n"/>
      <c r="X61738" s="239" t="n"/>
    </row>
    <row r="61740" ht="14.25" customHeight="1" s="192">
      <c r="W61740" s="235" t="n"/>
      <c r="X61740" s="235" t="n"/>
    </row>
    <row r="61741" ht="15" customHeight="1" s="192" thickBot="1">
      <c r="W61741" s="239" t="n"/>
      <c r="X61741" s="239" t="n"/>
    </row>
    <row r="61742" ht="15" customHeight="1" s="192" thickBot="1">
      <c r="W61742" s="45" t="n"/>
      <c r="X61742" s="45" t="n"/>
    </row>
    <row r="61743" ht="14.25" customHeight="1" s="192">
      <c r="W61743" s="228" t="n"/>
      <c r="X61743" s="228" t="n"/>
    </row>
    <row r="61744" ht="14.25" customHeight="1" s="192">
      <c r="W61744" s="228" t="n"/>
      <c r="X61744" s="228" t="n"/>
    </row>
    <row r="61745" ht="14.25" customHeight="1" s="192">
      <c r="W61745" s="231" t="n"/>
      <c r="X61745" s="231" t="n"/>
    </row>
    <row r="61746" ht="14.25" customHeight="1" s="192">
      <c r="W61746" s="33" t="n"/>
      <c r="X61746" s="33" t="n"/>
    </row>
    <row r="61747" ht="14.25" customHeight="1" s="192">
      <c r="W61747" s="231" t="n"/>
      <c r="X61747" s="231" t="n"/>
    </row>
    <row r="61748" ht="14.25" customHeight="1" s="192">
      <c r="W61748" s="33" t="n"/>
      <c r="X61748" s="33" t="n"/>
    </row>
    <row r="61750" ht="14.25" customHeight="1" s="192">
      <c r="W61750" s="231" t="n"/>
      <c r="X61750" s="231" t="n"/>
    </row>
    <row r="61751" ht="14.25" customHeight="1" s="192">
      <c r="W61751" s="235" t="n"/>
      <c r="X61751" s="235" t="n"/>
    </row>
    <row r="61752" ht="14.25" customHeight="1" s="192">
      <c r="W61752" s="228" t="n"/>
      <c r="X61752" s="228" t="n"/>
    </row>
    <row r="61753" ht="14.25" customHeight="1" s="192">
      <c r="W61753" s="235" t="n"/>
      <c r="X61753" s="235" t="n"/>
    </row>
    <row r="61754" ht="14.25" customHeight="1" s="192">
      <c r="W61754" s="235" t="n"/>
      <c r="X61754" s="235" t="n"/>
    </row>
    <row r="61755" ht="14.25" customHeight="1" s="192">
      <c r="W61755" s="235" t="n"/>
      <c r="X61755" s="235" t="n"/>
    </row>
    <row r="61756" ht="14.25" customHeight="1" s="192">
      <c r="W61756" s="239" t="n"/>
      <c r="X61756" s="239" t="n"/>
    </row>
    <row r="61757" ht="14.25" customHeight="1" s="192">
      <c r="W61757" s="239" t="n"/>
      <c r="X61757" s="239" t="n"/>
    </row>
    <row r="61758" ht="14.25" customHeight="1" s="192">
      <c r="W61758" s="239" t="n"/>
      <c r="X61758" s="239" t="n"/>
    </row>
    <row r="61759" ht="14.25" customHeight="1" s="192">
      <c r="W61759" s="235" t="n"/>
      <c r="X61759" s="235" t="n"/>
    </row>
    <row r="61760" ht="14.25" customHeight="1" s="192">
      <c r="W61760" s="235" t="n"/>
      <c r="X61760" s="235" t="n"/>
    </row>
    <row r="61761" ht="14.25" customHeight="1" s="192">
      <c r="W61761" s="235" t="n"/>
      <c r="X61761" s="235" t="n"/>
    </row>
    <row r="61762" ht="14.25" customHeight="1" s="192">
      <c r="W61762" s="239" t="n"/>
      <c r="X61762" s="239" t="n"/>
    </row>
    <row r="61763" ht="14.25" customHeight="1" s="192">
      <c r="W61763" s="239" t="n"/>
      <c r="X61763" s="239" t="n"/>
    </row>
    <row r="61764" ht="14.25" customHeight="1" s="192">
      <c r="W61764" s="235" t="n"/>
      <c r="X61764" s="235" t="n"/>
    </row>
    <row r="61765" ht="14.25" customHeight="1" s="192">
      <c r="W61765" s="235" t="n"/>
      <c r="X61765" s="235" t="n"/>
    </row>
    <row r="61766" ht="14.25" customHeight="1" s="192">
      <c r="W61766" s="239" t="n"/>
      <c r="X61766" s="239" t="n"/>
    </row>
    <row r="61767" ht="14.25" customHeight="1" s="192">
      <c r="W61767" s="235" t="n"/>
      <c r="X61767" s="235" t="n"/>
    </row>
    <row r="61768" ht="14.25" customHeight="1" s="192">
      <c r="W61768" s="239" t="n"/>
      <c r="X61768" s="239" t="n"/>
    </row>
    <row r="61770" ht="14.25" customHeight="1" s="192">
      <c r="W61770" s="235" t="n"/>
      <c r="X61770" s="235" t="n"/>
    </row>
    <row r="61771" ht="15" customHeight="1" s="192" thickBot="1">
      <c r="W61771" s="239" t="n"/>
      <c r="X61771" s="239" t="n"/>
    </row>
    <row r="61772" ht="15" customHeight="1" s="192" thickBot="1">
      <c r="W61772" s="45" t="n"/>
      <c r="X61772" s="45" t="n"/>
    </row>
    <row r="61773" ht="14.25" customHeight="1" s="192">
      <c r="W61773" s="228" t="n"/>
      <c r="X61773" s="228" t="n"/>
    </row>
    <row r="61774" ht="14.25" customHeight="1" s="192">
      <c r="W61774" s="228" t="n"/>
      <c r="X61774" s="228" t="n"/>
    </row>
    <row r="61775" ht="14.25" customHeight="1" s="192">
      <c r="W61775" s="231" t="n"/>
      <c r="X61775" s="231" t="n"/>
    </row>
    <row r="61776" ht="14.25" customHeight="1" s="192">
      <c r="W61776" s="33" t="n"/>
      <c r="X61776" s="33" t="n"/>
    </row>
    <row r="61777" ht="14.25" customHeight="1" s="192">
      <c r="W61777" s="231" t="n"/>
      <c r="X61777" s="231" t="n"/>
    </row>
    <row r="61778" ht="14.25" customHeight="1" s="192">
      <c r="W61778" s="33" t="n"/>
      <c r="X61778" s="33" t="n"/>
    </row>
    <row r="61780" ht="14.25" customHeight="1" s="192">
      <c r="W61780" s="231" t="n"/>
      <c r="X61780" s="231" t="n"/>
    </row>
    <row r="61781" ht="14.25" customHeight="1" s="192">
      <c r="W61781" s="235" t="n"/>
      <c r="X61781" s="235" t="n"/>
    </row>
    <row r="61782" ht="14.25" customHeight="1" s="192">
      <c r="W61782" s="228" t="n"/>
      <c r="X61782" s="228" t="n"/>
    </row>
    <row r="61783" ht="14.25" customHeight="1" s="192">
      <c r="W61783" s="235" t="n"/>
      <c r="X61783" s="235" t="n"/>
    </row>
    <row r="61784" ht="14.25" customHeight="1" s="192">
      <c r="W61784" s="235" t="n"/>
      <c r="X61784" s="235" t="n"/>
    </row>
    <row r="61785" ht="14.25" customHeight="1" s="192">
      <c r="W61785" s="235" t="n"/>
      <c r="X61785" s="235" t="n"/>
    </row>
    <row r="61786" ht="14.25" customHeight="1" s="192">
      <c r="W61786" s="239" t="n"/>
      <c r="X61786" s="239" t="n"/>
    </row>
    <row r="61787" ht="14.25" customHeight="1" s="192">
      <c r="W61787" s="239" t="n"/>
      <c r="X61787" s="239" t="n"/>
    </row>
    <row r="61788" ht="14.25" customHeight="1" s="192">
      <c r="W61788" s="239" t="n"/>
      <c r="X61788" s="239" t="n"/>
    </row>
    <row r="61789" ht="14.25" customHeight="1" s="192">
      <c r="W61789" s="235" t="n"/>
      <c r="X61789" s="235" t="n"/>
    </row>
    <row r="61790" ht="14.25" customHeight="1" s="192">
      <c r="W61790" s="235" t="n"/>
      <c r="X61790" s="235" t="n"/>
    </row>
    <row r="61791" ht="14.25" customHeight="1" s="192">
      <c r="W61791" s="235" t="n"/>
      <c r="X61791" s="235" t="n"/>
    </row>
    <row r="61792" ht="14.25" customHeight="1" s="192">
      <c r="W61792" s="239" t="n"/>
      <c r="X61792" s="239" t="n"/>
    </row>
    <row r="61793" ht="14.25" customHeight="1" s="192">
      <c r="W61793" s="239" t="n"/>
      <c r="X61793" s="239" t="n"/>
    </row>
    <row r="61794" ht="14.25" customHeight="1" s="192">
      <c r="W61794" s="235" t="n"/>
      <c r="X61794" s="235" t="n"/>
    </row>
    <row r="61795" ht="14.25" customHeight="1" s="192">
      <c r="W61795" s="235" t="n"/>
      <c r="X61795" s="235" t="n"/>
    </row>
    <row r="61796" ht="14.25" customHeight="1" s="192">
      <c r="W61796" s="239" t="n"/>
      <c r="X61796" s="239" t="n"/>
    </row>
    <row r="61797" ht="14.25" customHeight="1" s="192">
      <c r="W61797" s="235" t="n"/>
      <c r="X61797" s="235" t="n"/>
    </row>
    <row r="61798" ht="14.25" customHeight="1" s="192">
      <c r="W61798" s="239" t="n"/>
      <c r="X61798" s="239" t="n"/>
    </row>
    <row r="61800" ht="14.25" customHeight="1" s="192">
      <c r="W61800" s="235" t="n"/>
      <c r="X61800" s="235" t="n"/>
    </row>
    <row r="61801" ht="15" customHeight="1" s="192" thickBot="1">
      <c r="W61801" s="239" t="n"/>
      <c r="X61801" s="239" t="n"/>
    </row>
    <row r="61802" ht="15" customHeight="1" s="192" thickBot="1">
      <c r="W61802" s="45" t="n"/>
      <c r="X61802" s="45" t="n"/>
    </row>
    <row r="61803" ht="14.25" customHeight="1" s="192">
      <c r="W61803" s="228" t="n"/>
      <c r="X61803" s="228" t="n"/>
    </row>
    <row r="61804" ht="14.25" customHeight="1" s="192">
      <c r="W61804" s="228" t="n"/>
      <c r="X61804" s="228" t="n"/>
    </row>
    <row r="61805" ht="14.25" customHeight="1" s="192">
      <c r="W61805" s="231" t="n"/>
      <c r="X61805" s="231" t="n"/>
    </row>
    <row r="61806" ht="14.25" customHeight="1" s="192">
      <c r="W61806" s="33" t="n"/>
      <c r="X61806" s="33" t="n"/>
    </row>
    <row r="61807" ht="14.25" customHeight="1" s="192">
      <c r="W61807" s="231" t="n"/>
      <c r="X61807" s="231" t="n"/>
    </row>
    <row r="61808" ht="14.25" customHeight="1" s="192">
      <c r="W61808" s="33" t="n"/>
      <c r="X61808" s="33" t="n"/>
    </row>
    <row r="61810" ht="14.25" customHeight="1" s="192">
      <c r="W61810" s="231" t="n"/>
      <c r="X61810" s="231" t="n"/>
    </row>
    <row r="61811" ht="14.25" customHeight="1" s="192">
      <c r="W61811" s="235" t="n"/>
      <c r="X61811" s="235" t="n"/>
    </row>
    <row r="61812" ht="14.25" customHeight="1" s="192">
      <c r="W61812" s="228" t="n"/>
      <c r="X61812" s="228" t="n"/>
    </row>
    <row r="61813" ht="14.25" customHeight="1" s="192">
      <c r="W61813" s="235" t="n"/>
      <c r="X61813" s="235" t="n"/>
    </row>
    <row r="61814" ht="14.25" customHeight="1" s="192">
      <c r="W61814" s="235" t="n"/>
      <c r="X61814" s="235" t="n"/>
    </row>
    <row r="61815" ht="14.25" customHeight="1" s="192">
      <c r="W61815" s="235" t="n"/>
      <c r="X61815" s="235" t="n"/>
    </row>
    <row r="61816" ht="14.25" customHeight="1" s="192">
      <c r="W61816" s="239" t="n"/>
      <c r="X61816" s="239" t="n"/>
    </row>
    <row r="61817" ht="14.25" customHeight="1" s="192">
      <c r="W61817" s="239" t="n"/>
      <c r="X61817" s="239" t="n"/>
    </row>
    <row r="61818" ht="14.25" customHeight="1" s="192">
      <c r="W61818" s="239" t="n"/>
      <c r="X61818" s="239" t="n"/>
    </row>
    <row r="61819" ht="14.25" customHeight="1" s="192">
      <c r="W61819" s="235" t="n"/>
      <c r="X61819" s="235" t="n"/>
    </row>
    <row r="61820" ht="14.25" customHeight="1" s="192">
      <c r="W61820" s="235" t="n"/>
      <c r="X61820" s="235" t="n"/>
    </row>
    <row r="61821" ht="14.25" customHeight="1" s="192">
      <c r="W61821" s="235" t="n"/>
      <c r="X61821" s="235" t="n"/>
    </row>
    <row r="61822" ht="14.25" customHeight="1" s="192">
      <c r="W61822" s="239" t="n"/>
      <c r="X61822" s="239" t="n"/>
    </row>
    <row r="61823" ht="14.25" customHeight="1" s="192">
      <c r="W61823" s="239" t="n"/>
      <c r="X61823" s="239" t="n"/>
    </row>
    <row r="61824" ht="14.25" customHeight="1" s="192">
      <c r="W61824" s="235" t="n"/>
      <c r="X61824" s="235" t="n"/>
    </row>
    <row r="61825" ht="14.25" customHeight="1" s="192">
      <c r="W61825" s="235" t="n"/>
      <c r="X61825" s="235" t="n"/>
    </row>
    <row r="61826" ht="14.25" customHeight="1" s="192">
      <c r="W61826" s="239" t="n"/>
      <c r="X61826" s="239" t="n"/>
    </row>
    <row r="61827" ht="14.25" customHeight="1" s="192">
      <c r="W61827" s="235" t="n"/>
      <c r="X61827" s="235" t="n"/>
    </row>
    <row r="61828" ht="14.25" customHeight="1" s="192">
      <c r="W61828" s="239" t="n"/>
      <c r="X61828" s="239" t="n"/>
    </row>
    <row r="61830" ht="14.25" customHeight="1" s="192">
      <c r="W61830" s="235" t="n"/>
      <c r="X61830" s="235" t="n"/>
    </row>
    <row r="61831" ht="15" customHeight="1" s="192" thickBot="1">
      <c r="W61831" s="239" t="n"/>
      <c r="X61831" s="239" t="n"/>
    </row>
    <row r="61832" ht="15" customHeight="1" s="192" thickBot="1">
      <c r="W61832" s="45" t="n"/>
      <c r="X61832" s="45" t="n"/>
    </row>
    <row r="61833" ht="14.25" customHeight="1" s="192">
      <c r="W61833" s="228" t="n"/>
      <c r="X61833" s="228" t="n"/>
    </row>
    <row r="61834" ht="14.25" customHeight="1" s="192">
      <c r="W61834" s="228" t="n"/>
      <c r="X61834" s="228" t="n"/>
    </row>
    <row r="61835" ht="14.25" customHeight="1" s="192">
      <c r="W61835" s="231" t="n"/>
      <c r="X61835" s="231" t="n"/>
    </row>
    <row r="61836" ht="14.25" customHeight="1" s="192">
      <c r="W61836" s="33" t="n"/>
      <c r="X61836" s="33" t="n"/>
    </row>
    <row r="61837" ht="14.25" customHeight="1" s="192">
      <c r="W61837" s="231" t="n"/>
      <c r="X61837" s="231" t="n"/>
    </row>
    <row r="61838" ht="14.25" customHeight="1" s="192">
      <c r="W61838" s="33" t="n"/>
      <c r="X61838" s="33" t="n"/>
    </row>
    <row r="61840" ht="14.25" customHeight="1" s="192">
      <c r="W61840" s="231" t="n"/>
      <c r="X61840" s="231" t="n"/>
    </row>
    <row r="61841" ht="14.25" customHeight="1" s="192">
      <c r="W61841" s="235" t="n"/>
      <c r="X61841" s="235" t="n"/>
    </row>
    <row r="61842" ht="14.25" customHeight="1" s="192">
      <c r="W61842" s="228" t="n"/>
      <c r="X61842" s="228" t="n"/>
    </row>
    <row r="61843" ht="14.25" customHeight="1" s="192">
      <c r="W61843" s="235" t="n"/>
      <c r="X61843" s="235" t="n"/>
    </row>
    <row r="61844" ht="14.25" customHeight="1" s="192">
      <c r="W61844" s="235" t="n"/>
      <c r="X61844" s="235" t="n"/>
    </row>
    <row r="61845" ht="14.25" customHeight="1" s="192">
      <c r="W61845" s="235" t="n"/>
      <c r="X61845" s="235" t="n"/>
    </row>
    <row r="61846" ht="14.25" customHeight="1" s="192">
      <c r="W61846" s="239" t="n"/>
      <c r="X61846" s="239" t="n"/>
    </row>
    <row r="61847" ht="14.25" customHeight="1" s="192">
      <c r="W61847" s="239" t="n"/>
      <c r="X61847" s="239" t="n"/>
    </row>
    <row r="61848" ht="14.25" customHeight="1" s="192">
      <c r="W61848" s="239" t="n"/>
      <c r="X61848" s="239" t="n"/>
    </row>
    <row r="61849" ht="14.25" customHeight="1" s="192">
      <c r="W61849" s="235" t="n"/>
      <c r="X61849" s="235" t="n"/>
    </row>
    <row r="61850" ht="14.25" customHeight="1" s="192">
      <c r="W61850" s="235" t="n"/>
      <c r="X61850" s="235" t="n"/>
    </row>
    <row r="61851" ht="14.25" customHeight="1" s="192">
      <c r="W61851" s="235" t="n"/>
      <c r="X61851" s="235" t="n"/>
    </row>
    <row r="61852" ht="14.25" customHeight="1" s="192">
      <c r="W61852" s="239" t="n"/>
      <c r="X61852" s="239" t="n"/>
    </row>
    <row r="61853" ht="14.25" customHeight="1" s="192">
      <c r="W61853" s="239" t="n"/>
      <c r="X61853" s="239" t="n"/>
    </row>
    <row r="61854" ht="14.25" customHeight="1" s="192">
      <c r="W61854" s="235" t="n"/>
      <c r="X61854" s="235" t="n"/>
    </row>
    <row r="61855" ht="14.25" customHeight="1" s="192">
      <c r="W61855" s="235" t="n"/>
      <c r="X61855" s="235" t="n"/>
    </row>
    <row r="61856" ht="14.25" customHeight="1" s="192">
      <c r="W61856" s="239" t="n"/>
      <c r="X61856" s="239" t="n"/>
    </row>
    <row r="61857" ht="14.25" customHeight="1" s="192">
      <c r="W61857" s="235" t="n"/>
      <c r="X61857" s="235" t="n"/>
    </row>
    <row r="61858" ht="14.25" customHeight="1" s="192">
      <c r="W61858" s="239" t="n"/>
      <c r="X61858" s="239" t="n"/>
    </row>
    <row r="61860" ht="14.25" customHeight="1" s="192">
      <c r="W61860" s="235" t="n"/>
      <c r="X61860" s="235" t="n"/>
    </row>
    <row r="61861" ht="15" customHeight="1" s="192" thickBot="1">
      <c r="W61861" s="239" t="n"/>
      <c r="X61861" s="239" t="n"/>
    </row>
    <row r="61862" ht="15" customHeight="1" s="192" thickBot="1">
      <c r="W61862" s="45" t="n"/>
      <c r="X61862" s="45" t="n"/>
    </row>
    <row r="61863" ht="14.25" customHeight="1" s="192">
      <c r="W61863" s="228" t="n"/>
      <c r="X61863" s="228" t="n"/>
    </row>
    <row r="61864" ht="14.25" customHeight="1" s="192">
      <c r="W61864" s="228" t="n"/>
      <c r="X61864" s="228" t="n"/>
    </row>
    <row r="61865" ht="14.25" customHeight="1" s="192">
      <c r="W61865" s="231" t="n"/>
      <c r="X61865" s="231" t="n"/>
    </row>
    <row r="61866" ht="14.25" customHeight="1" s="192">
      <c r="W61866" s="33" t="n"/>
      <c r="X61866" s="33" t="n"/>
    </row>
    <row r="61867" ht="14.25" customHeight="1" s="192">
      <c r="W61867" s="231" t="n"/>
      <c r="X61867" s="231" t="n"/>
    </row>
    <row r="61868" ht="14.25" customHeight="1" s="192">
      <c r="W61868" s="33" t="n"/>
      <c r="X61868" s="33" t="n"/>
    </row>
    <row r="61870" ht="14.25" customHeight="1" s="192">
      <c r="W61870" s="231" t="n"/>
      <c r="X61870" s="231" t="n"/>
    </row>
    <row r="61871" ht="14.25" customHeight="1" s="192">
      <c r="W61871" s="235" t="n"/>
      <c r="X61871" s="235" t="n"/>
    </row>
    <row r="61872" ht="14.25" customHeight="1" s="192">
      <c r="W61872" s="228" t="n"/>
      <c r="X61872" s="228" t="n"/>
    </row>
    <row r="61873" ht="14.25" customHeight="1" s="192">
      <c r="W61873" s="235" t="n"/>
      <c r="X61873" s="235" t="n"/>
    </row>
    <row r="61874" ht="14.25" customHeight="1" s="192">
      <c r="W61874" s="235" t="n"/>
      <c r="X61874" s="235" t="n"/>
    </row>
    <row r="61875" ht="14.25" customHeight="1" s="192">
      <c r="W61875" s="235" t="n"/>
      <c r="X61875" s="235" t="n"/>
    </row>
    <row r="61876" ht="14.25" customHeight="1" s="192">
      <c r="W61876" s="239" t="n"/>
      <c r="X61876" s="239" t="n"/>
    </row>
    <row r="61877" ht="14.25" customHeight="1" s="192">
      <c r="W61877" s="239" t="n"/>
      <c r="X61877" s="239" t="n"/>
    </row>
    <row r="61878" ht="14.25" customHeight="1" s="192">
      <c r="W61878" s="239" t="n"/>
      <c r="X61878" s="239" t="n"/>
    </row>
    <row r="61879" ht="14.25" customHeight="1" s="192">
      <c r="W61879" s="235" t="n"/>
      <c r="X61879" s="235" t="n"/>
    </row>
    <row r="61880" ht="14.25" customHeight="1" s="192">
      <c r="W61880" s="235" t="n"/>
      <c r="X61880" s="235" t="n"/>
    </row>
    <row r="61881" ht="14.25" customHeight="1" s="192">
      <c r="W61881" s="235" t="n"/>
      <c r="X61881" s="235" t="n"/>
    </row>
    <row r="61882" ht="14.25" customHeight="1" s="192">
      <c r="W61882" s="239" t="n"/>
      <c r="X61882" s="239" t="n"/>
    </row>
    <row r="61883" ht="14.25" customHeight="1" s="192">
      <c r="W61883" s="239" t="n"/>
      <c r="X61883" s="239" t="n"/>
    </row>
    <row r="61884" ht="14.25" customHeight="1" s="192">
      <c r="W61884" s="235" t="n"/>
      <c r="X61884" s="235" t="n"/>
    </row>
    <row r="61885" ht="14.25" customHeight="1" s="192">
      <c r="W61885" s="235" t="n"/>
      <c r="X61885" s="235" t="n"/>
    </row>
    <row r="61886" ht="14.25" customHeight="1" s="192">
      <c r="W61886" s="239" t="n"/>
      <c r="X61886" s="239" t="n"/>
    </row>
    <row r="61887" ht="14.25" customHeight="1" s="192">
      <c r="W61887" s="235" t="n"/>
      <c r="X61887" s="235" t="n"/>
    </row>
    <row r="61888" ht="14.25" customHeight="1" s="192">
      <c r="W61888" s="239" t="n"/>
      <c r="X61888" s="239" t="n"/>
    </row>
    <row r="61890" ht="14.25" customHeight="1" s="192">
      <c r="W61890" s="235" t="n"/>
      <c r="X61890" s="235" t="n"/>
    </row>
    <row r="61891" ht="15" customHeight="1" s="192" thickBot="1">
      <c r="W61891" s="239" t="n"/>
      <c r="X61891" s="239" t="n"/>
    </row>
    <row r="61892" ht="15" customHeight="1" s="192" thickBot="1">
      <c r="W61892" s="45" t="n"/>
      <c r="X61892" s="45" t="n"/>
    </row>
    <row r="61893" ht="14.25" customHeight="1" s="192">
      <c r="W61893" s="228" t="n"/>
      <c r="X61893" s="228" t="n"/>
    </row>
    <row r="61894" ht="14.25" customHeight="1" s="192">
      <c r="W61894" s="228" t="n"/>
      <c r="X61894" s="228" t="n"/>
    </row>
    <row r="61895" ht="14.25" customHeight="1" s="192">
      <c r="W61895" s="231" t="n"/>
      <c r="X61895" s="231" t="n"/>
    </row>
    <row r="61896" ht="14.25" customHeight="1" s="192">
      <c r="W61896" s="33" t="n"/>
      <c r="X61896" s="33" t="n"/>
    </row>
    <row r="61897" ht="14.25" customHeight="1" s="192">
      <c r="W61897" s="231" t="n"/>
      <c r="X61897" s="231" t="n"/>
    </row>
    <row r="61898" ht="14.25" customHeight="1" s="192">
      <c r="W61898" s="33" t="n"/>
      <c r="X61898" s="33" t="n"/>
    </row>
    <row r="61900" ht="14.25" customHeight="1" s="192">
      <c r="W61900" s="231" t="n"/>
      <c r="X61900" s="231" t="n"/>
    </row>
    <row r="61901" ht="14.25" customHeight="1" s="192">
      <c r="W61901" s="235" t="n"/>
      <c r="X61901" s="235" t="n"/>
    </row>
    <row r="61902" ht="14.25" customHeight="1" s="192">
      <c r="W61902" s="228" t="n"/>
      <c r="X61902" s="228" t="n"/>
    </row>
    <row r="61903" ht="14.25" customHeight="1" s="192">
      <c r="W61903" s="235" t="n"/>
      <c r="X61903" s="235" t="n"/>
    </row>
    <row r="61904" ht="14.25" customHeight="1" s="192">
      <c r="W61904" s="235" t="n"/>
      <c r="X61904" s="235" t="n"/>
    </row>
    <row r="61905" ht="14.25" customHeight="1" s="192">
      <c r="W61905" s="235" t="n"/>
      <c r="X61905" s="235" t="n"/>
    </row>
    <row r="61906" ht="14.25" customHeight="1" s="192">
      <c r="W61906" s="239" t="n"/>
      <c r="X61906" s="239" t="n"/>
    </row>
    <row r="61907" ht="14.25" customHeight="1" s="192">
      <c r="W61907" s="239" t="n"/>
      <c r="X61907" s="239" t="n"/>
    </row>
    <row r="61908" ht="14.25" customHeight="1" s="192">
      <c r="W61908" s="239" t="n"/>
      <c r="X61908" s="239" t="n"/>
    </row>
    <row r="61909" ht="14.25" customHeight="1" s="192">
      <c r="W61909" s="235" t="n"/>
      <c r="X61909" s="235" t="n"/>
    </row>
    <row r="61910" ht="14.25" customHeight="1" s="192">
      <c r="W61910" s="235" t="n"/>
      <c r="X61910" s="235" t="n"/>
    </row>
    <row r="61911" ht="14.25" customHeight="1" s="192">
      <c r="W61911" s="235" t="n"/>
      <c r="X61911" s="235" t="n"/>
    </row>
    <row r="61912" ht="14.25" customHeight="1" s="192">
      <c r="W61912" s="239" t="n"/>
      <c r="X61912" s="239" t="n"/>
    </row>
    <row r="61913" ht="14.25" customHeight="1" s="192">
      <c r="W61913" s="239" t="n"/>
      <c r="X61913" s="239" t="n"/>
    </row>
    <row r="61914" ht="14.25" customHeight="1" s="192">
      <c r="W61914" s="235" t="n"/>
      <c r="X61914" s="235" t="n"/>
    </row>
    <row r="61915" ht="14.25" customHeight="1" s="192">
      <c r="W61915" s="235" t="n"/>
      <c r="X61915" s="235" t="n"/>
    </row>
    <row r="61916" ht="14.25" customHeight="1" s="192">
      <c r="W61916" s="239" t="n"/>
      <c r="X61916" s="239" t="n"/>
    </row>
    <row r="61917" ht="14.25" customHeight="1" s="192">
      <c r="W61917" s="235" t="n"/>
      <c r="X61917" s="235" t="n"/>
    </row>
    <row r="61918" ht="14.25" customHeight="1" s="192">
      <c r="W61918" s="239" t="n"/>
      <c r="X61918" s="239" t="n"/>
    </row>
    <row r="61920" ht="14.25" customHeight="1" s="192">
      <c r="W61920" s="235" t="n"/>
      <c r="X61920" s="235" t="n"/>
    </row>
    <row r="61921" ht="15" customHeight="1" s="192" thickBot="1">
      <c r="W61921" s="239" t="n"/>
      <c r="X61921" s="239" t="n"/>
    </row>
    <row r="61922" ht="15" customHeight="1" s="192" thickBot="1">
      <c r="W61922" s="45" t="n"/>
      <c r="X61922" s="45" t="n"/>
    </row>
    <row r="61923" ht="14.25" customHeight="1" s="192">
      <c r="W61923" s="228" t="n"/>
      <c r="X61923" s="228" t="n"/>
    </row>
    <row r="61924" ht="14.25" customHeight="1" s="192">
      <c r="W61924" s="228" t="n"/>
      <c r="X61924" s="228" t="n"/>
    </row>
    <row r="61925" ht="14.25" customHeight="1" s="192">
      <c r="W61925" s="231" t="n"/>
      <c r="X61925" s="231" t="n"/>
    </row>
    <row r="61926" ht="14.25" customHeight="1" s="192">
      <c r="W61926" s="33" t="n"/>
      <c r="X61926" s="33" t="n"/>
    </row>
    <row r="61927" ht="14.25" customHeight="1" s="192">
      <c r="W61927" s="231" t="n"/>
      <c r="X61927" s="231" t="n"/>
    </row>
    <row r="61928" ht="14.25" customHeight="1" s="192">
      <c r="W61928" s="33" t="n"/>
      <c r="X61928" s="33" t="n"/>
    </row>
    <row r="61930" ht="14.25" customHeight="1" s="192">
      <c r="W61930" s="231" t="n"/>
      <c r="X61930" s="231" t="n"/>
    </row>
    <row r="61931" ht="14.25" customHeight="1" s="192">
      <c r="W61931" s="235" t="n"/>
      <c r="X61931" s="235" t="n"/>
    </row>
    <row r="61932" ht="14.25" customHeight="1" s="192">
      <c r="W61932" s="228" t="n"/>
      <c r="X61932" s="228" t="n"/>
    </row>
    <row r="61933" ht="14.25" customHeight="1" s="192">
      <c r="W61933" s="235" t="n"/>
      <c r="X61933" s="235" t="n"/>
    </row>
    <row r="61934" ht="14.25" customHeight="1" s="192">
      <c r="W61934" s="235" t="n"/>
      <c r="X61934" s="235" t="n"/>
    </row>
    <row r="61935" ht="14.25" customHeight="1" s="192">
      <c r="W61935" s="235" t="n"/>
      <c r="X61935" s="235" t="n"/>
    </row>
    <row r="61936" ht="14.25" customHeight="1" s="192">
      <c r="W61936" s="239" t="n"/>
      <c r="X61936" s="239" t="n"/>
    </row>
    <row r="61937" ht="14.25" customHeight="1" s="192">
      <c r="W61937" s="239" t="n"/>
      <c r="X61937" s="239" t="n"/>
    </row>
    <row r="61938" ht="14.25" customHeight="1" s="192">
      <c r="W61938" s="239" t="n"/>
      <c r="X61938" s="239" t="n"/>
    </row>
    <row r="61939" ht="14.25" customHeight="1" s="192">
      <c r="W61939" s="235" t="n"/>
      <c r="X61939" s="235" t="n"/>
    </row>
    <row r="61940" ht="14.25" customHeight="1" s="192">
      <c r="W61940" s="235" t="n"/>
      <c r="X61940" s="235" t="n"/>
    </row>
    <row r="61941" ht="14.25" customHeight="1" s="192">
      <c r="W61941" s="235" t="n"/>
      <c r="X61941" s="235" t="n"/>
    </row>
    <row r="61942" ht="14.25" customHeight="1" s="192">
      <c r="W61942" s="239" t="n"/>
      <c r="X61942" s="239" t="n"/>
    </row>
    <row r="61943" ht="14.25" customHeight="1" s="192">
      <c r="W61943" s="239" t="n"/>
      <c r="X61943" s="239" t="n"/>
    </row>
    <row r="61944" ht="14.25" customHeight="1" s="192">
      <c r="W61944" s="235" t="n"/>
      <c r="X61944" s="235" t="n"/>
    </row>
    <row r="61945" ht="14.25" customHeight="1" s="192">
      <c r="W61945" s="235" t="n"/>
      <c r="X61945" s="235" t="n"/>
    </row>
    <row r="61946" ht="14.25" customHeight="1" s="192">
      <c r="W61946" s="239" t="n"/>
      <c r="X61946" s="239" t="n"/>
    </row>
    <row r="61947" ht="14.25" customHeight="1" s="192">
      <c r="W61947" s="235" t="n"/>
      <c r="X61947" s="235" t="n"/>
    </row>
    <row r="61948" ht="14.25" customHeight="1" s="192">
      <c r="W61948" s="239" t="n"/>
      <c r="X61948" s="239" t="n"/>
    </row>
    <row r="61950" ht="14.25" customHeight="1" s="192">
      <c r="W61950" s="235" t="n"/>
      <c r="X61950" s="235" t="n"/>
    </row>
    <row r="61951" ht="15" customHeight="1" s="192" thickBot="1">
      <c r="W61951" s="239" t="n"/>
      <c r="X61951" s="239" t="n"/>
    </row>
    <row r="61952" ht="15" customHeight="1" s="192" thickBot="1">
      <c r="W61952" s="45" t="n"/>
      <c r="X61952" s="45" t="n"/>
    </row>
    <row r="61953" ht="14.25" customHeight="1" s="192">
      <c r="W61953" s="228" t="n"/>
      <c r="X61953" s="228" t="n"/>
    </row>
    <row r="61954" ht="14.25" customHeight="1" s="192">
      <c r="W61954" s="228" t="n"/>
      <c r="X61954" s="228" t="n"/>
    </row>
    <row r="61955" ht="14.25" customHeight="1" s="192">
      <c r="W61955" s="231" t="n"/>
      <c r="X61955" s="231" t="n"/>
    </row>
    <row r="61956" ht="14.25" customHeight="1" s="192">
      <c r="W61956" s="33" t="n"/>
      <c r="X61956" s="33" t="n"/>
    </row>
    <row r="61957" ht="14.25" customHeight="1" s="192">
      <c r="W61957" s="231" t="n"/>
      <c r="X61957" s="231" t="n"/>
    </row>
    <row r="61958" ht="14.25" customHeight="1" s="192">
      <c r="W61958" s="33" t="n"/>
      <c r="X61958" s="33" t="n"/>
    </row>
    <row r="61960" ht="14.25" customHeight="1" s="192">
      <c r="W61960" s="231" t="n"/>
      <c r="X61960" s="231" t="n"/>
    </row>
    <row r="61961" ht="14.25" customHeight="1" s="192">
      <c r="W61961" s="235" t="n"/>
      <c r="X61961" s="235" t="n"/>
    </row>
    <row r="61962" ht="14.25" customHeight="1" s="192">
      <c r="W61962" s="228" t="n"/>
      <c r="X61962" s="228" t="n"/>
    </row>
    <row r="61963" ht="14.25" customHeight="1" s="192">
      <c r="W61963" s="235" t="n"/>
      <c r="X61963" s="235" t="n"/>
    </row>
    <row r="61964" ht="14.25" customHeight="1" s="192">
      <c r="W61964" s="235" t="n"/>
      <c r="X61964" s="235" t="n"/>
    </row>
    <row r="61965" ht="14.25" customHeight="1" s="192">
      <c r="W61965" s="235" t="n"/>
      <c r="X61965" s="235" t="n"/>
    </row>
    <row r="61966" ht="14.25" customHeight="1" s="192">
      <c r="W61966" s="239" t="n"/>
      <c r="X61966" s="239" t="n"/>
    </row>
    <row r="61967" ht="14.25" customHeight="1" s="192">
      <c r="W61967" s="239" t="n"/>
      <c r="X61967" s="239" t="n"/>
    </row>
    <row r="61968" ht="14.25" customHeight="1" s="192">
      <c r="W61968" s="239" t="n"/>
      <c r="X61968" s="239" t="n"/>
    </row>
    <row r="61969" ht="14.25" customHeight="1" s="192">
      <c r="W61969" s="235" t="n"/>
      <c r="X61969" s="235" t="n"/>
    </row>
    <row r="61970" ht="14.25" customHeight="1" s="192">
      <c r="W61970" s="235" t="n"/>
      <c r="X61970" s="235" t="n"/>
    </row>
    <row r="61971" ht="14.25" customHeight="1" s="192">
      <c r="W61971" s="235" t="n"/>
      <c r="X61971" s="235" t="n"/>
    </row>
    <row r="61972" ht="14.25" customHeight="1" s="192">
      <c r="W61972" s="239" t="n"/>
      <c r="X61972" s="239" t="n"/>
    </row>
    <row r="61973" ht="14.25" customHeight="1" s="192">
      <c r="W61973" s="239" t="n"/>
      <c r="X61973" s="239" t="n"/>
    </row>
    <row r="61974" ht="14.25" customHeight="1" s="192">
      <c r="W61974" s="235" t="n"/>
      <c r="X61974" s="235" t="n"/>
    </row>
    <row r="61975" ht="14.25" customHeight="1" s="192">
      <c r="W61975" s="235" t="n"/>
      <c r="X61975" s="235" t="n"/>
    </row>
    <row r="61976" ht="14.25" customHeight="1" s="192">
      <c r="W61976" s="239" t="n"/>
      <c r="X61976" s="239" t="n"/>
    </row>
    <row r="61977" ht="14.25" customHeight="1" s="192">
      <c r="W61977" s="235" t="n"/>
      <c r="X61977" s="235" t="n"/>
    </row>
    <row r="61978" ht="14.25" customHeight="1" s="192">
      <c r="W61978" s="239" t="n"/>
      <c r="X61978" s="239" t="n"/>
    </row>
    <row r="61980" ht="14.25" customHeight="1" s="192">
      <c r="W61980" s="235" t="n"/>
      <c r="X61980" s="235" t="n"/>
    </row>
    <row r="61981" ht="15" customHeight="1" s="192" thickBot="1">
      <c r="W61981" s="239" t="n"/>
      <c r="X61981" s="239" t="n"/>
    </row>
    <row r="61982" ht="15" customHeight="1" s="192" thickBot="1">
      <c r="W61982" s="45" t="n"/>
      <c r="X61982" s="45" t="n"/>
    </row>
    <row r="61983" ht="14.25" customHeight="1" s="192">
      <c r="W61983" s="228" t="n"/>
      <c r="X61983" s="228" t="n"/>
    </row>
    <row r="61984" ht="14.25" customHeight="1" s="192">
      <c r="W61984" s="228" t="n"/>
      <c r="X61984" s="228" t="n"/>
    </row>
    <row r="61985" ht="14.25" customHeight="1" s="192">
      <c r="W61985" s="231" t="n"/>
      <c r="X61985" s="231" t="n"/>
    </row>
    <row r="61986" ht="14.25" customHeight="1" s="192">
      <c r="W61986" s="33" t="n"/>
      <c r="X61986" s="33" t="n"/>
    </row>
    <row r="61987" ht="14.25" customHeight="1" s="192">
      <c r="W61987" s="231" t="n"/>
      <c r="X61987" s="231" t="n"/>
    </row>
    <row r="61988" ht="14.25" customHeight="1" s="192">
      <c r="W61988" s="33" t="n"/>
      <c r="X61988" s="33" t="n"/>
    </row>
    <row r="61990" ht="14.25" customHeight="1" s="192">
      <c r="W61990" s="231" t="n"/>
      <c r="X61990" s="231" t="n"/>
    </row>
    <row r="61991" ht="14.25" customHeight="1" s="192">
      <c r="W61991" s="235" t="n"/>
      <c r="X61991" s="235" t="n"/>
    </row>
    <row r="61992" ht="14.25" customHeight="1" s="192">
      <c r="W61992" s="228" t="n"/>
      <c r="X61992" s="228" t="n"/>
    </row>
    <row r="61993" ht="14.25" customHeight="1" s="192">
      <c r="W61993" s="235" t="n"/>
      <c r="X61993" s="235" t="n"/>
    </row>
    <row r="61994" ht="14.25" customHeight="1" s="192">
      <c r="W61994" s="235" t="n"/>
      <c r="X61994" s="235" t="n"/>
    </row>
    <row r="61995" ht="14.25" customHeight="1" s="192">
      <c r="W61995" s="235" t="n"/>
      <c r="X61995" s="235" t="n"/>
    </row>
    <row r="61996" ht="14.25" customHeight="1" s="192">
      <c r="W61996" s="239" t="n"/>
      <c r="X61996" s="239" t="n"/>
    </row>
    <row r="61997" ht="14.25" customHeight="1" s="192">
      <c r="W61997" s="239" t="n"/>
      <c r="X61997" s="239" t="n"/>
    </row>
    <row r="61998" ht="14.25" customHeight="1" s="192">
      <c r="W61998" s="239" t="n"/>
      <c r="X61998" s="239" t="n"/>
    </row>
    <row r="61999" ht="14.25" customHeight="1" s="192">
      <c r="W61999" s="235" t="n"/>
      <c r="X61999" s="235" t="n"/>
    </row>
    <row r="62000" ht="14.25" customHeight="1" s="192">
      <c r="W62000" s="235" t="n"/>
      <c r="X62000" s="235" t="n"/>
    </row>
    <row r="62001" ht="14.25" customHeight="1" s="192">
      <c r="W62001" s="235" t="n"/>
      <c r="X62001" s="235" t="n"/>
    </row>
    <row r="62002" ht="14.25" customHeight="1" s="192">
      <c r="W62002" s="239" t="n"/>
      <c r="X62002" s="239" t="n"/>
    </row>
    <row r="62003" ht="14.25" customHeight="1" s="192">
      <c r="W62003" s="239" t="n"/>
      <c r="X62003" s="239" t="n"/>
    </row>
    <row r="62004" ht="14.25" customHeight="1" s="192">
      <c r="W62004" s="235" t="n"/>
      <c r="X62004" s="235" t="n"/>
    </row>
    <row r="62005" ht="14.25" customHeight="1" s="192">
      <c r="W62005" s="235" t="n"/>
      <c r="X62005" s="235" t="n"/>
    </row>
    <row r="62006" ht="14.25" customHeight="1" s="192">
      <c r="W62006" s="239" t="n"/>
      <c r="X62006" s="239" t="n"/>
    </row>
    <row r="62007" ht="14.25" customHeight="1" s="192">
      <c r="W62007" s="235" t="n"/>
      <c r="X62007" s="235" t="n"/>
    </row>
    <row r="62008" ht="14.25" customHeight="1" s="192">
      <c r="W62008" s="239" t="n"/>
      <c r="X62008" s="239" t="n"/>
    </row>
    <row r="62010" ht="14.25" customHeight="1" s="192">
      <c r="W62010" s="235" t="n"/>
      <c r="X62010" s="235" t="n"/>
    </row>
    <row r="62011" ht="15" customHeight="1" s="192" thickBot="1">
      <c r="W62011" s="239" t="n"/>
      <c r="X62011" s="239" t="n"/>
    </row>
    <row r="62012" ht="15" customHeight="1" s="192" thickBot="1">
      <c r="W62012" s="45" t="n"/>
      <c r="X62012" s="45" t="n"/>
    </row>
    <row r="62013" ht="14.25" customHeight="1" s="192">
      <c r="W62013" s="228" t="n"/>
      <c r="X62013" s="228" t="n"/>
    </row>
    <row r="62014" ht="14.25" customHeight="1" s="192">
      <c r="W62014" s="228" t="n"/>
      <c r="X62014" s="228" t="n"/>
    </row>
    <row r="62015" ht="14.25" customHeight="1" s="192">
      <c r="W62015" s="231" t="n"/>
      <c r="X62015" s="231" t="n"/>
    </row>
    <row r="62016" ht="14.25" customHeight="1" s="192">
      <c r="W62016" s="33" t="n"/>
      <c r="X62016" s="33" t="n"/>
    </row>
    <row r="62017" ht="14.25" customHeight="1" s="192">
      <c r="W62017" s="231" t="n"/>
      <c r="X62017" s="231" t="n"/>
    </row>
    <row r="62018" ht="14.25" customHeight="1" s="192">
      <c r="W62018" s="33" t="n"/>
      <c r="X62018" s="33" t="n"/>
    </row>
    <row r="62020" ht="14.25" customHeight="1" s="192">
      <c r="W62020" s="231" t="n"/>
      <c r="X62020" s="231" t="n"/>
    </row>
    <row r="62021" ht="14.25" customHeight="1" s="192">
      <c r="W62021" s="235" t="n"/>
      <c r="X62021" s="235" t="n"/>
    </row>
    <row r="62022" ht="14.25" customHeight="1" s="192">
      <c r="W62022" s="228" t="n"/>
      <c r="X62022" s="228" t="n"/>
    </row>
    <row r="62023" ht="14.25" customHeight="1" s="192">
      <c r="W62023" s="235" t="n"/>
      <c r="X62023" s="235" t="n"/>
    </row>
    <row r="62024" ht="14.25" customHeight="1" s="192">
      <c r="W62024" s="235" t="n"/>
      <c r="X62024" s="235" t="n"/>
    </row>
    <row r="62025" ht="14.25" customHeight="1" s="192">
      <c r="W62025" s="235" t="n"/>
      <c r="X62025" s="235" t="n"/>
    </row>
    <row r="62026" ht="14.25" customHeight="1" s="192">
      <c r="W62026" s="239" t="n"/>
      <c r="X62026" s="239" t="n"/>
    </row>
    <row r="62027" ht="14.25" customHeight="1" s="192">
      <c r="W62027" s="239" t="n"/>
      <c r="X62027" s="239" t="n"/>
    </row>
    <row r="62028" ht="14.25" customHeight="1" s="192">
      <c r="W62028" s="239" t="n"/>
      <c r="X62028" s="239" t="n"/>
    </row>
    <row r="62029" ht="14.25" customHeight="1" s="192">
      <c r="W62029" s="235" t="n"/>
      <c r="X62029" s="235" t="n"/>
    </row>
    <row r="62030" ht="14.25" customHeight="1" s="192">
      <c r="W62030" s="235" t="n"/>
      <c r="X62030" s="235" t="n"/>
    </row>
    <row r="62031" ht="14.25" customHeight="1" s="192">
      <c r="W62031" s="235" t="n"/>
      <c r="X62031" s="235" t="n"/>
    </row>
    <row r="62032" ht="14.25" customHeight="1" s="192">
      <c r="W62032" s="239" t="n"/>
      <c r="X62032" s="239" t="n"/>
    </row>
    <row r="62033" ht="14.25" customHeight="1" s="192">
      <c r="W62033" s="239" t="n"/>
      <c r="X62033" s="239" t="n"/>
    </row>
    <row r="62034" ht="14.25" customHeight="1" s="192">
      <c r="W62034" s="235" t="n"/>
      <c r="X62034" s="235" t="n"/>
    </row>
    <row r="62035" ht="14.25" customHeight="1" s="192">
      <c r="W62035" s="235" t="n"/>
      <c r="X62035" s="235" t="n"/>
    </row>
    <row r="62036" ht="14.25" customHeight="1" s="192">
      <c r="W62036" s="239" t="n"/>
      <c r="X62036" s="239" t="n"/>
    </row>
    <row r="62037" ht="14.25" customHeight="1" s="192">
      <c r="W62037" s="235" t="n"/>
      <c r="X62037" s="235" t="n"/>
    </row>
    <row r="62038" ht="14.25" customHeight="1" s="192">
      <c r="W62038" s="239" t="n"/>
      <c r="X62038" s="239" t="n"/>
    </row>
    <row r="62040" ht="14.25" customHeight="1" s="192">
      <c r="W62040" s="235" t="n"/>
      <c r="X62040" s="235" t="n"/>
    </row>
    <row r="62041" ht="15" customHeight="1" s="192" thickBot="1">
      <c r="W62041" s="239" t="n"/>
      <c r="X62041" s="239" t="n"/>
    </row>
    <row r="62042" ht="15" customHeight="1" s="192" thickBot="1">
      <c r="W62042" s="45" t="n"/>
      <c r="X62042" s="45" t="n"/>
    </row>
    <row r="62043" ht="14.25" customHeight="1" s="192">
      <c r="W62043" s="228" t="n"/>
      <c r="X62043" s="228" t="n"/>
    </row>
    <row r="62044" ht="14.25" customHeight="1" s="192">
      <c r="W62044" s="228" t="n"/>
      <c r="X62044" s="228" t="n"/>
    </row>
    <row r="62045" ht="14.25" customHeight="1" s="192">
      <c r="W62045" s="231" t="n"/>
      <c r="X62045" s="231" t="n"/>
    </row>
    <row r="62046" ht="14.25" customHeight="1" s="192">
      <c r="W62046" s="33" t="n"/>
      <c r="X62046" s="33" t="n"/>
    </row>
    <row r="62047" ht="14.25" customHeight="1" s="192">
      <c r="W62047" s="231" t="n"/>
      <c r="X62047" s="231" t="n"/>
    </row>
    <row r="62048" ht="14.25" customHeight="1" s="192">
      <c r="W62048" s="33" t="n"/>
      <c r="X62048" s="33" t="n"/>
    </row>
    <row r="62050" ht="14.25" customHeight="1" s="192">
      <c r="W62050" s="231" t="n"/>
      <c r="X62050" s="231" t="n"/>
    </row>
    <row r="62051" ht="14.25" customHeight="1" s="192">
      <c r="W62051" s="235" t="n"/>
      <c r="X62051" s="235" t="n"/>
    </row>
    <row r="62052" ht="14.25" customHeight="1" s="192">
      <c r="W62052" s="228" t="n"/>
      <c r="X62052" s="228" t="n"/>
    </row>
    <row r="62053" ht="14.25" customHeight="1" s="192">
      <c r="W62053" s="235" t="n"/>
      <c r="X62053" s="235" t="n"/>
    </row>
    <row r="62054" ht="14.25" customHeight="1" s="192">
      <c r="W62054" s="235" t="n"/>
      <c r="X62054" s="235" t="n"/>
    </row>
    <row r="62055" ht="14.25" customHeight="1" s="192">
      <c r="W62055" s="235" t="n"/>
      <c r="X62055" s="235" t="n"/>
    </row>
    <row r="62056" ht="14.25" customHeight="1" s="192">
      <c r="W62056" s="239" t="n"/>
      <c r="X62056" s="239" t="n"/>
    </row>
    <row r="62057" ht="14.25" customHeight="1" s="192">
      <c r="W62057" s="239" t="n"/>
      <c r="X62057" s="239" t="n"/>
    </row>
    <row r="62058" ht="14.25" customHeight="1" s="192">
      <c r="W62058" s="239" t="n"/>
      <c r="X62058" s="239" t="n"/>
    </row>
    <row r="62059" ht="14.25" customHeight="1" s="192">
      <c r="W62059" s="235" t="n"/>
      <c r="X62059" s="235" t="n"/>
    </row>
    <row r="62060" ht="14.25" customHeight="1" s="192">
      <c r="W62060" s="235" t="n"/>
      <c r="X62060" s="235" t="n"/>
    </row>
    <row r="62061" ht="14.25" customHeight="1" s="192">
      <c r="W62061" s="235" t="n"/>
      <c r="X62061" s="235" t="n"/>
    </row>
    <row r="62062" ht="14.25" customHeight="1" s="192">
      <c r="W62062" s="239" t="n"/>
      <c r="X62062" s="239" t="n"/>
    </row>
    <row r="62063" ht="14.25" customHeight="1" s="192">
      <c r="W62063" s="239" t="n"/>
      <c r="X62063" s="239" t="n"/>
    </row>
    <row r="62064" ht="14.25" customHeight="1" s="192">
      <c r="W62064" s="235" t="n"/>
      <c r="X62064" s="235" t="n"/>
    </row>
    <row r="62065" ht="14.25" customHeight="1" s="192">
      <c r="W62065" s="235" t="n"/>
      <c r="X62065" s="235" t="n"/>
    </row>
    <row r="62066" ht="14.25" customHeight="1" s="192">
      <c r="W62066" s="239" t="n"/>
      <c r="X62066" s="239" t="n"/>
    </row>
    <row r="62067" ht="14.25" customHeight="1" s="192">
      <c r="W62067" s="235" t="n"/>
      <c r="X62067" s="235" t="n"/>
    </row>
    <row r="62068" ht="14.25" customHeight="1" s="192">
      <c r="W62068" s="239" t="n"/>
      <c r="X62068" s="239" t="n"/>
    </row>
    <row r="62070" ht="14.25" customHeight="1" s="192">
      <c r="W62070" s="235" t="n"/>
      <c r="X62070" s="235" t="n"/>
    </row>
    <row r="62071" ht="15" customHeight="1" s="192" thickBot="1">
      <c r="W62071" s="239" t="n"/>
      <c r="X62071" s="239" t="n"/>
    </row>
    <row r="62072" ht="15" customHeight="1" s="192" thickBot="1">
      <c r="W62072" s="45" t="n"/>
      <c r="X62072" s="45" t="n"/>
    </row>
    <row r="62073" ht="14.25" customHeight="1" s="192">
      <c r="W62073" s="228" t="n"/>
      <c r="X62073" s="228" t="n"/>
    </row>
    <row r="62074" ht="14.25" customHeight="1" s="192">
      <c r="W62074" s="228" t="n"/>
      <c r="X62074" s="228" t="n"/>
    </row>
    <row r="62075" ht="14.25" customHeight="1" s="192">
      <c r="W62075" s="231" t="n"/>
      <c r="X62075" s="231" t="n"/>
    </row>
    <row r="62076" ht="14.25" customHeight="1" s="192">
      <c r="W62076" s="33" t="n"/>
      <c r="X62076" s="33" t="n"/>
    </row>
    <row r="62077" ht="14.25" customHeight="1" s="192">
      <c r="W62077" s="231" t="n"/>
      <c r="X62077" s="231" t="n"/>
    </row>
    <row r="62078" ht="14.25" customHeight="1" s="192">
      <c r="W62078" s="33" t="n"/>
      <c r="X62078" s="33" t="n"/>
    </row>
    <row r="62080" ht="14.25" customHeight="1" s="192">
      <c r="W62080" s="231" t="n"/>
      <c r="X62080" s="231" t="n"/>
    </row>
    <row r="62081" ht="14.25" customHeight="1" s="192">
      <c r="W62081" s="235" t="n"/>
      <c r="X62081" s="235" t="n"/>
    </row>
    <row r="62082" ht="14.25" customHeight="1" s="192">
      <c r="W62082" s="228" t="n"/>
      <c r="X62082" s="228" t="n"/>
    </row>
    <row r="62083" ht="14.25" customHeight="1" s="192">
      <c r="W62083" s="235" t="n"/>
      <c r="X62083" s="235" t="n"/>
    </row>
    <row r="62084" ht="14.25" customHeight="1" s="192">
      <c r="W62084" s="235" t="n"/>
      <c r="X62084" s="235" t="n"/>
    </row>
    <row r="62085" ht="14.25" customHeight="1" s="192">
      <c r="W62085" s="235" t="n"/>
      <c r="X62085" s="235" t="n"/>
    </row>
    <row r="62086" ht="14.25" customHeight="1" s="192">
      <c r="W62086" s="239" t="n"/>
      <c r="X62086" s="239" t="n"/>
    </row>
    <row r="62087" ht="14.25" customHeight="1" s="192">
      <c r="W62087" s="239" t="n"/>
      <c r="X62087" s="239" t="n"/>
    </row>
    <row r="62088" ht="14.25" customHeight="1" s="192">
      <c r="W62088" s="239" t="n"/>
      <c r="X62088" s="239" t="n"/>
    </row>
    <row r="62089" ht="14.25" customHeight="1" s="192">
      <c r="W62089" s="235" t="n"/>
      <c r="X62089" s="235" t="n"/>
    </row>
    <row r="62090" ht="14.25" customHeight="1" s="192">
      <c r="W62090" s="235" t="n"/>
      <c r="X62090" s="235" t="n"/>
    </row>
    <row r="62091" ht="14.25" customHeight="1" s="192">
      <c r="W62091" s="235" t="n"/>
      <c r="X62091" s="235" t="n"/>
    </row>
    <row r="62092" ht="14.25" customHeight="1" s="192">
      <c r="W62092" s="239" t="n"/>
      <c r="X62092" s="239" t="n"/>
    </row>
    <row r="62093" ht="14.25" customHeight="1" s="192">
      <c r="W62093" s="239" t="n"/>
      <c r="X62093" s="239" t="n"/>
    </row>
    <row r="62094" ht="14.25" customHeight="1" s="192">
      <c r="W62094" s="235" t="n"/>
      <c r="X62094" s="235" t="n"/>
    </row>
    <row r="62095" ht="14.25" customHeight="1" s="192">
      <c r="W62095" s="235" t="n"/>
      <c r="X62095" s="235" t="n"/>
    </row>
    <row r="62096" ht="14.25" customHeight="1" s="192">
      <c r="W62096" s="239" t="n"/>
      <c r="X62096" s="239" t="n"/>
    </row>
    <row r="62097" ht="14.25" customHeight="1" s="192">
      <c r="W62097" s="235" t="n"/>
      <c r="X62097" s="235" t="n"/>
    </row>
    <row r="62098" ht="14.25" customHeight="1" s="192">
      <c r="W62098" s="239" t="n"/>
      <c r="X62098" s="239" t="n"/>
    </row>
    <row r="62100" ht="14.25" customHeight="1" s="192">
      <c r="W62100" s="235" t="n"/>
      <c r="X62100" s="235" t="n"/>
    </row>
    <row r="62101" ht="15" customHeight="1" s="192" thickBot="1">
      <c r="W62101" s="239" t="n"/>
      <c r="X62101" s="239" t="n"/>
    </row>
    <row r="62102" ht="15" customHeight="1" s="192" thickBot="1">
      <c r="W62102" s="45" t="n"/>
      <c r="X62102" s="45" t="n"/>
    </row>
    <row r="62103" ht="14.25" customHeight="1" s="192">
      <c r="W62103" s="228" t="n"/>
      <c r="X62103" s="228" t="n"/>
    </row>
    <row r="62104" ht="14.25" customHeight="1" s="192">
      <c r="W62104" s="228" t="n"/>
      <c r="X62104" s="228" t="n"/>
    </row>
    <row r="62105" ht="14.25" customHeight="1" s="192">
      <c r="W62105" s="231" t="n"/>
      <c r="X62105" s="231" t="n"/>
    </row>
    <row r="62106" ht="14.25" customHeight="1" s="192">
      <c r="W62106" s="33" t="n"/>
      <c r="X62106" s="33" t="n"/>
    </row>
    <row r="62107" ht="14.25" customHeight="1" s="192">
      <c r="W62107" s="231" t="n"/>
      <c r="X62107" s="231" t="n"/>
    </row>
    <row r="62108" ht="14.25" customHeight="1" s="192">
      <c r="W62108" s="33" t="n"/>
      <c r="X62108" s="33" t="n"/>
    </row>
    <row r="62110" ht="14.25" customHeight="1" s="192">
      <c r="W62110" s="231" t="n"/>
      <c r="X62110" s="231" t="n"/>
    </row>
    <row r="62111" ht="14.25" customHeight="1" s="192">
      <c r="W62111" s="235" t="n"/>
      <c r="X62111" s="235" t="n"/>
    </row>
    <row r="62112" ht="14.25" customHeight="1" s="192">
      <c r="W62112" s="228" t="n"/>
      <c r="X62112" s="228" t="n"/>
    </row>
    <row r="62113" ht="14.25" customHeight="1" s="192">
      <c r="W62113" s="235" t="n"/>
      <c r="X62113" s="235" t="n"/>
    </row>
    <row r="62114" ht="14.25" customHeight="1" s="192">
      <c r="W62114" s="235" t="n"/>
      <c r="X62114" s="235" t="n"/>
    </row>
    <row r="62115" ht="14.25" customHeight="1" s="192">
      <c r="W62115" s="235" t="n"/>
      <c r="X62115" s="235" t="n"/>
    </row>
    <row r="62116" ht="14.25" customHeight="1" s="192">
      <c r="W62116" s="239" t="n"/>
      <c r="X62116" s="239" t="n"/>
    </row>
    <row r="62117" ht="14.25" customHeight="1" s="192">
      <c r="W62117" s="239" t="n"/>
      <c r="X62117" s="239" t="n"/>
    </row>
    <row r="62118" ht="14.25" customHeight="1" s="192">
      <c r="W62118" s="239" t="n"/>
      <c r="X62118" s="239" t="n"/>
    </row>
    <row r="62119" ht="14.25" customHeight="1" s="192">
      <c r="W62119" s="235" t="n"/>
      <c r="X62119" s="235" t="n"/>
    </row>
    <row r="62120" ht="14.25" customHeight="1" s="192">
      <c r="W62120" s="235" t="n"/>
      <c r="X62120" s="235" t="n"/>
    </row>
    <row r="62121" ht="14.25" customHeight="1" s="192">
      <c r="W62121" s="235" t="n"/>
      <c r="X62121" s="235" t="n"/>
    </row>
    <row r="62122" ht="14.25" customHeight="1" s="192">
      <c r="W62122" s="239" t="n"/>
      <c r="X62122" s="239" t="n"/>
    </row>
    <row r="62123" ht="14.25" customHeight="1" s="192">
      <c r="W62123" s="239" t="n"/>
      <c r="X62123" s="239" t="n"/>
    </row>
    <row r="62124" ht="14.25" customHeight="1" s="192">
      <c r="W62124" s="235" t="n"/>
      <c r="X62124" s="235" t="n"/>
    </row>
    <row r="62125" ht="14.25" customHeight="1" s="192">
      <c r="W62125" s="235" t="n"/>
      <c r="X62125" s="235" t="n"/>
    </row>
    <row r="62126" ht="14.25" customHeight="1" s="192">
      <c r="W62126" s="239" t="n"/>
      <c r="X62126" s="239" t="n"/>
    </row>
    <row r="62127" ht="14.25" customHeight="1" s="192">
      <c r="W62127" s="235" t="n"/>
      <c r="X62127" s="235" t="n"/>
    </row>
    <row r="62128" ht="14.25" customHeight="1" s="192">
      <c r="W62128" s="239" t="n"/>
      <c r="X62128" s="239" t="n"/>
    </row>
    <row r="62130" ht="14.25" customHeight="1" s="192">
      <c r="W62130" s="235" t="n"/>
      <c r="X62130" s="235" t="n"/>
    </row>
    <row r="62131" ht="15" customHeight="1" s="192" thickBot="1">
      <c r="W62131" s="239" t="n"/>
      <c r="X62131" s="239" t="n"/>
    </row>
    <row r="62132" ht="15" customHeight="1" s="192" thickBot="1">
      <c r="W62132" s="45" t="n"/>
      <c r="X62132" s="45" t="n"/>
    </row>
    <row r="62133" ht="14.25" customHeight="1" s="192">
      <c r="W62133" s="228" t="n"/>
      <c r="X62133" s="228" t="n"/>
    </row>
    <row r="62134" ht="14.25" customHeight="1" s="192">
      <c r="W62134" s="228" t="n"/>
      <c r="X62134" s="228" t="n"/>
    </row>
    <row r="62135" ht="14.25" customHeight="1" s="192">
      <c r="W62135" s="231" t="n"/>
      <c r="X62135" s="231" t="n"/>
    </row>
    <row r="62136" ht="14.25" customHeight="1" s="192">
      <c r="W62136" s="33" t="n"/>
      <c r="X62136" s="33" t="n"/>
    </row>
    <row r="62137" ht="14.25" customHeight="1" s="192">
      <c r="W62137" s="231" t="n"/>
      <c r="X62137" s="231" t="n"/>
    </row>
    <row r="62138" ht="14.25" customHeight="1" s="192">
      <c r="W62138" s="33" t="n"/>
      <c r="X62138" s="33" t="n"/>
    </row>
    <row r="62140" ht="14.25" customHeight="1" s="192">
      <c r="W62140" s="231" t="n"/>
      <c r="X62140" s="231" t="n"/>
    </row>
    <row r="62141" ht="14.25" customHeight="1" s="192">
      <c r="W62141" s="235" t="n"/>
      <c r="X62141" s="235" t="n"/>
    </row>
    <row r="62142" ht="14.25" customHeight="1" s="192">
      <c r="W62142" s="228" t="n"/>
      <c r="X62142" s="228" t="n"/>
    </row>
    <row r="62143" ht="14.25" customHeight="1" s="192">
      <c r="W62143" s="235" t="n"/>
      <c r="X62143" s="235" t="n"/>
    </row>
    <row r="62144" ht="14.25" customHeight="1" s="192">
      <c r="W62144" s="235" t="n"/>
      <c r="X62144" s="235" t="n"/>
    </row>
    <row r="62145" ht="14.25" customHeight="1" s="192">
      <c r="W62145" s="235" t="n"/>
      <c r="X62145" s="235" t="n"/>
    </row>
    <row r="62146" ht="14.25" customHeight="1" s="192">
      <c r="W62146" s="239" t="n"/>
      <c r="X62146" s="239" t="n"/>
    </row>
    <row r="62147" ht="14.25" customHeight="1" s="192">
      <c r="W62147" s="239" t="n"/>
      <c r="X62147" s="239" t="n"/>
    </row>
    <row r="62148" ht="14.25" customHeight="1" s="192">
      <c r="W62148" s="239" t="n"/>
      <c r="X62148" s="239" t="n"/>
    </row>
    <row r="62149" ht="14.25" customHeight="1" s="192">
      <c r="W62149" s="235" t="n"/>
      <c r="X62149" s="235" t="n"/>
    </row>
    <row r="62150" ht="14.25" customHeight="1" s="192">
      <c r="W62150" s="235" t="n"/>
      <c r="X62150" s="235" t="n"/>
    </row>
    <row r="62151" ht="14.25" customHeight="1" s="192">
      <c r="W62151" s="235" t="n"/>
      <c r="X62151" s="235" t="n"/>
    </row>
    <row r="62152" ht="14.25" customHeight="1" s="192">
      <c r="W62152" s="239" t="n"/>
      <c r="X62152" s="239" t="n"/>
    </row>
    <row r="62153" ht="14.25" customHeight="1" s="192">
      <c r="W62153" s="239" t="n"/>
      <c r="X62153" s="239" t="n"/>
    </row>
    <row r="62154" ht="14.25" customHeight="1" s="192">
      <c r="W62154" s="235" t="n"/>
      <c r="X62154" s="235" t="n"/>
    </row>
    <row r="62155" ht="14.25" customHeight="1" s="192">
      <c r="W62155" s="235" t="n"/>
      <c r="X62155" s="235" t="n"/>
    </row>
    <row r="62156" ht="14.25" customHeight="1" s="192">
      <c r="W62156" s="239" t="n"/>
      <c r="X62156" s="239" t="n"/>
    </row>
    <row r="62157" ht="14.25" customHeight="1" s="192">
      <c r="W62157" s="235" t="n"/>
      <c r="X62157" s="235" t="n"/>
    </row>
    <row r="62158" ht="14.25" customHeight="1" s="192">
      <c r="W62158" s="239" t="n"/>
      <c r="X62158" s="239" t="n"/>
    </row>
    <row r="62160" ht="14.25" customHeight="1" s="192">
      <c r="W62160" s="235" t="n"/>
      <c r="X62160" s="235" t="n"/>
    </row>
    <row r="62161" ht="15" customHeight="1" s="192" thickBot="1">
      <c r="W62161" s="239" t="n"/>
      <c r="X62161" s="239" t="n"/>
    </row>
    <row r="62162" ht="15" customHeight="1" s="192" thickBot="1">
      <c r="W62162" s="45" t="n"/>
      <c r="X62162" s="45" t="n"/>
    </row>
    <row r="62163" ht="14.25" customHeight="1" s="192">
      <c r="W62163" s="228" t="n"/>
      <c r="X62163" s="228" t="n"/>
    </row>
    <row r="62164" ht="14.25" customHeight="1" s="192">
      <c r="W62164" s="228" t="n"/>
      <c r="X62164" s="228" t="n"/>
    </row>
    <row r="62165" ht="14.25" customHeight="1" s="192">
      <c r="W62165" s="231" t="n"/>
      <c r="X62165" s="231" t="n"/>
    </row>
    <row r="62166" ht="14.25" customHeight="1" s="192">
      <c r="W62166" s="33" t="n"/>
      <c r="X62166" s="33" t="n"/>
    </row>
    <row r="62167" ht="14.25" customHeight="1" s="192">
      <c r="W62167" s="231" t="n"/>
      <c r="X62167" s="231" t="n"/>
    </row>
    <row r="62168" ht="14.25" customHeight="1" s="192">
      <c r="W62168" s="33" t="n"/>
      <c r="X62168" s="33" t="n"/>
    </row>
    <row r="62170" ht="14.25" customHeight="1" s="192">
      <c r="W62170" s="231" t="n"/>
      <c r="X62170" s="231" t="n"/>
    </row>
    <row r="62171" ht="14.25" customHeight="1" s="192">
      <c r="W62171" s="235" t="n"/>
      <c r="X62171" s="235" t="n"/>
    </row>
    <row r="62172" ht="14.25" customHeight="1" s="192">
      <c r="W62172" s="228" t="n"/>
      <c r="X62172" s="228" t="n"/>
    </row>
    <row r="62173" ht="14.25" customHeight="1" s="192">
      <c r="W62173" s="235" t="n"/>
      <c r="X62173" s="235" t="n"/>
    </row>
    <row r="62174" ht="14.25" customHeight="1" s="192">
      <c r="W62174" s="235" t="n"/>
      <c r="X62174" s="235" t="n"/>
    </row>
    <row r="62175" ht="14.25" customHeight="1" s="192">
      <c r="W62175" s="235" t="n"/>
      <c r="X62175" s="235" t="n"/>
    </row>
    <row r="62176" ht="14.25" customHeight="1" s="192">
      <c r="W62176" s="239" t="n"/>
      <c r="X62176" s="239" t="n"/>
    </row>
    <row r="62177" ht="14.25" customHeight="1" s="192">
      <c r="W62177" s="239" t="n"/>
      <c r="X62177" s="239" t="n"/>
    </row>
    <row r="62178" ht="14.25" customHeight="1" s="192">
      <c r="W62178" s="239" t="n"/>
      <c r="X62178" s="239" t="n"/>
    </row>
    <row r="62179" ht="14.25" customHeight="1" s="192">
      <c r="W62179" s="235" t="n"/>
      <c r="X62179" s="235" t="n"/>
    </row>
    <row r="62180" ht="14.25" customHeight="1" s="192">
      <c r="W62180" s="235" t="n"/>
      <c r="X62180" s="235" t="n"/>
    </row>
    <row r="62181" ht="14.25" customHeight="1" s="192">
      <c r="W62181" s="235" t="n"/>
      <c r="X62181" s="235" t="n"/>
    </row>
    <row r="62182" ht="14.25" customHeight="1" s="192">
      <c r="W62182" s="239" t="n"/>
      <c r="X62182" s="239" t="n"/>
    </row>
    <row r="62183" ht="14.25" customHeight="1" s="192">
      <c r="W62183" s="239" t="n"/>
      <c r="X62183" s="239" t="n"/>
    </row>
    <row r="62184" ht="14.25" customHeight="1" s="192">
      <c r="W62184" s="235" t="n"/>
      <c r="X62184" s="235" t="n"/>
    </row>
    <row r="62185" ht="14.25" customHeight="1" s="192">
      <c r="W62185" s="235" t="n"/>
      <c r="X62185" s="235" t="n"/>
    </row>
    <row r="62186" ht="14.25" customHeight="1" s="192">
      <c r="W62186" s="239" t="n"/>
      <c r="X62186" s="239" t="n"/>
    </row>
    <row r="62187" ht="14.25" customHeight="1" s="192">
      <c r="W62187" s="235" t="n"/>
      <c r="X62187" s="235" t="n"/>
    </row>
    <row r="62188" ht="14.25" customHeight="1" s="192">
      <c r="W62188" s="239" t="n"/>
      <c r="X62188" s="239" t="n"/>
    </row>
    <row r="62190" ht="14.25" customHeight="1" s="192">
      <c r="W62190" s="235" t="n"/>
      <c r="X62190" s="235" t="n"/>
    </row>
    <row r="62191" ht="15" customHeight="1" s="192" thickBot="1">
      <c r="W62191" s="239" t="n"/>
      <c r="X62191" s="239" t="n"/>
    </row>
    <row r="62192" ht="15" customHeight="1" s="192" thickBot="1">
      <c r="W62192" s="45" t="n"/>
      <c r="X62192" s="45" t="n"/>
    </row>
    <row r="62193" ht="14.25" customHeight="1" s="192">
      <c r="W62193" s="228" t="n"/>
      <c r="X62193" s="228" t="n"/>
    </row>
    <row r="62194" ht="14.25" customHeight="1" s="192">
      <c r="W62194" s="228" t="n"/>
      <c r="X62194" s="228" t="n"/>
    </row>
    <row r="62195" ht="14.25" customHeight="1" s="192">
      <c r="W62195" s="231" t="n"/>
      <c r="X62195" s="231" t="n"/>
    </row>
    <row r="62196" ht="14.25" customHeight="1" s="192">
      <c r="W62196" s="33" t="n"/>
      <c r="X62196" s="33" t="n"/>
    </row>
    <row r="62197" ht="14.25" customHeight="1" s="192">
      <c r="W62197" s="231" t="n"/>
      <c r="X62197" s="231" t="n"/>
    </row>
    <row r="62198" ht="14.25" customHeight="1" s="192">
      <c r="W62198" s="33" t="n"/>
      <c r="X62198" s="33" t="n"/>
    </row>
    <row r="62200" ht="14.25" customHeight="1" s="192">
      <c r="W62200" s="231" t="n"/>
      <c r="X62200" s="231" t="n"/>
    </row>
    <row r="62201" ht="14.25" customHeight="1" s="192">
      <c r="W62201" s="235" t="n"/>
      <c r="X62201" s="235" t="n"/>
    </row>
    <row r="62202" ht="14.25" customHeight="1" s="192">
      <c r="W62202" s="228" t="n"/>
      <c r="X62202" s="228" t="n"/>
    </row>
    <row r="62203" ht="14.25" customHeight="1" s="192">
      <c r="W62203" s="235" t="n"/>
      <c r="X62203" s="235" t="n"/>
    </row>
    <row r="62204" ht="14.25" customHeight="1" s="192">
      <c r="W62204" s="235" t="n"/>
      <c r="X62204" s="235" t="n"/>
    </row>
    <row r="62205" ht="14.25" customHeight="1" s="192">
      <c r="W62205" s="235" t="n"/>
      <c r="X62205" s="235" t="n"/>
    </row>
    <row r="62206" ht="14.25" customHeight="1" s="192">
      <c r="W62206" s="239" t="n"/>
      <c r="X62206" s="239" t="n"/>
    </row>
    <row r="62207" ht="14.25" customHeight="1" s="192">
      <c r="W62207" s="239" t="n"/>
      <c r="X62207" s="239" t="n"/>
    </row>
    <row r="62208" ht="14.25" customHeight="1" s="192">
      <c r="W62208" s="239" t="n"/>
      <c r="X62208" s="239" t="n"/>
    </row>
    <row r="62209" ht="14.25" customHeight="1" s="192">
      <c r="W62209" s="235" t="n"/>
      <c r="X62209" s="235" t="n"/>
    </row>
    <row r="62210" ht="14.25" customHeight="1" s="192">
      <c r="W62210" s="235" t="n"/>
      <c r="X62210" s="235" t="n"/>
    </row>
    <row r="62211" ht="14.25" customHeight="1" s="192">
      <c r="W62211" s="235" t="n"/>
      <c r="X62211" s="235" t="n"/>
    </row>
    <row r="62212" ht="14.25" customHeight="1" s="192">
      <c r="W62212" s="239" t="n"/>
      <c r="X62212" s="239" t="n"/>
    </row>
    <row r="62213" ht="14.25" customHeight="1" s="192">
      <c r="W62213" s="239" t="n"/>
      <c r="X62213" s="239" t="n"/>
    </row>
    <row r="62214" ht="14.25" customHeight="1" s="192">
      <c r="W62214" s="235" t="n"/>
      <c r="X62214" s="235" t="n"/>
    </row>
    <row r="62215" ht="14.25" customHeight="1" s="192">
      <c r="W62215" s="235" t="n"/>
      <c r="X62215" s="235" t="n"/>
    </row>
    <row r="62216" ht="14.25" customHeight="1" s="192">
      <c r="W62216" s="239" t="n"/>
      <c r="X62216" s="239" t="n"/>
    </row>
    <row r="62217" ht="14.25" customHeight="1" s="192">
      <c r="W62217" s="235" t="n"/>
      <c r="X62217" s="235" t="n"/>
    </row>
    <row r="62218" ht="14.25" customHeight="1" s="192">
      <c r="W62218" s="239" t="n"/>
      <c r="X62218" s="239" t="n"/>
    </row>
    <row r="62220" ht="14.25" customHeight="1" s="192">
      <c r="W62220" s="235" t="n"/>
      <c r="X62220" s="235" t="n"/>
    </row>
    <row r="62221" ht="15" customHeight="1" s="192" thickBot="1">
      <c r="W62221" s="239" t="n"/>
      <c r="X62221" s="239" t="n"/>
    </row>
    <row r="62222" ht="15" customHeight="1" s="192" thickBot="1">
      <c r="W62222" s="45" t="n"/>
      <c r="X62222" s="45" t="n"/>
    </row>
    <row r="62223" ht="14.25" customHeight="1" s="192">
      <c r="W62223" s="228" t="n"/>
      <c r="X62223" s="228" t="n"/>
    </row>
    <row r="62224" ht="14.25" customHeight="1" s="192">
      <c r="W62224" s="228" t="n"/>
      <c r="X62224" s="228" t="n"/>
    </row>
    <row r="62225" ht="14.25" customHeight="1" s="192">
      <c r="W62225" s="231" t="n"/>
      <c r="X62225" s="231" t="n"/>
    </row>
    <row r="62226" ht="14.25" customHeight="1" s="192">
      <c r="W62226" s="33" t="n"/>
      <c r="X62226" s="33" t="n"/>
    </row>
    <row r="62227" ht="14.25" customHeight="1" s="192">
      <c r="W62227" s="231" t="n"/>
      <c r="X62227" s="231" t="n"/>
    </row>
    <row r="62228" ht="14.25" customHeight="1" s="192">
      <c r="W62228" s="33" t="n"/>
      <c r="X62228" s="33" t="n"/>
    </row>
    <row r="62230" ht="14.25" customHeight="1" s="192">
      <c r="W62230" s="231" t="n"/>
      <c r="X62230" s="231" t="n"/>
    </row>
    <row r="62231" ht="14.25" customHeight="1" s="192">
      <c r="W62231" s="235" t="n"/>
      <c r="X62231" s="235" t="n"/>
    </row>
    <row r="62232" ht="14.25" customHeight="1" s="192">
      <c r="W62232" s="228" t="n"/>
      <c r="X62232" s="228" t="n"/>
    </row>
    <row r="62233" ht="14.25" customHeight="1" s="192">
      <c r="W62233" s="235" t="n"/>
      <c r="X62233" s="235" t="n"/>
    </row>
    <row r="62234" ht="14.25" customHeight="1" s="192">
      <c r="W62234" s="235" t="n"/>
      <c r="X62234" s="235" t="n"/>
    </row>
    <row r="62235" ht="14.25" customHeight="1" s="192">
      <c r="W62235" s="235" t="n"/>
      <c r="X62235" s="235" t="n"/>
    </row>
    <row r="62236" ht="14.25" customHeight="1" s="192">
      <c r="W62236" s="239" t="n"/>
      <c r="X62236" s="239" t="n"/>
    </row>
    <row r="62237" ht="14.25" customHeight="1" s="192">
      <c r="W62237" s="239" t="n"/>
      <c r="X62237" s="239" t="n"/>
    </row>
    <row r="62238" ht="14.25" customHeight="1" s="192">
      <c r="W62238" s="239" t="n"/>
      <c r="X62238" s="239" t="n"/>
    </row>
    <row r="62239" ht="14.25" customHeight="1" s="192">
      <c r="W62239" s="235" t="n"/>
      <c r="X62239" s="235" t="n"/>
    </row>
    <row r="62240" ht="14.25" customHeight="1" s="192">
      <c r="W62240" s="235" t="n"/>
      <c r="X62240" s="235" t="n"/>
    </row>
    <row r="62241" ht="14.25" customHeight="1" s="192">
      <c r="W62241" s="235" t="n"/>
      <c r="X62241" s="235" t="n"/>
    </row>
    <row r="62242" ht="14.25" customHeight="1" s="192">
      <c r="W62242" s="239" t="n"/>
      <c r="X62242" s="239" t="n"/>
    </row>
    <row r="62243" ht="14.25" customHeight="1" s="192">
      <c r="W62243" s="239" t="n"/>
      <c r="X62243" s="239" t="n"/>
    </row>
    <row r="62244" ht="14.25" customHeight="1" s="192">
      <c r="W62244" s="235" t="n"/>
      <c r="X62244" s="235" t="n"/>
    </row>
    <row r="62245" ht="14.25" customHeight="1" s="192">
      <c r="W62245" s="235" t="n"/>
      <c r="X62245" s="235" t="n"/>
    </row>
    <row r="62246" ht="14.25" customHeight="1" s="192">
      <c r="W62246" s="239" t="n"/>
      <c r="X62246" s="239" t="n"/>
    </row>
    <row r="62247" ht="14.25" customHeight="1" s="192">
      <c r="W62247" s="235" t="n"/>
      <c r="X62247" s="235" t="n"/>
    </row>
    <row r="62248" ht="14.25" customHeight="1" s="192">
      <c r="W62248" s="239" t="n"/>
      <c r="X62248" s="239" t="n"/>
    </row>
    <row r="62250" ht="14.25" customHeight="1" s="192">
      <c r="W62250" s="235" t="n"/>
      <c r="X62250" s="235" t="n"/>
    </row>
    <row r="62251" ht="15" customHeight="1" s="192" thickBot="1">
      <c r="W62251" s="239" t="n"/>
      <c r="X62251" s="239" t="n"/>
    </row>
    <row r="62252" ht="15" customHeight="1" s="192" thickBot="1">
      <c r="W62252" s="45" t="n"/>
      <c r="X62252" s="45" t="n"/>
    </row>
    <row r="62253" ht="14.25" customHeight="1" s="192">
      <c r="W62253" s="228" t="n"/>
      <c r="X62253" s="228" t="n"/>
    </row>
    <row r="62254" ht="14.25" customHeight="1" s="192">
      <c r="W62254" s="228" t="n"/>
      <c r="X62254" s="228" t="n"/>
    </row>
    <row r="62255" ht="14.25" customHeight="1" s="192">
      <c r="W62255" s="231" t="n"/>
      <c r="X62255" s="231" t="n"/>
    </row>
    <row r="62256" ht="14.25" customHeight="1" s="192">
      <c r="W62256" s="33" t="n"/>
      <c r="X62256" s="33" t="n"/>
    </row>
    <row r="62257" ht="14.25" customHeight="1" s="192">
      <c r="W62257" s="231" t="n"/>
      <c r="X62257" s="231" t="n"/>
    </row>
    <row r="62258" ht="14.25" customHeight="1" s="192">
      <c r="W62258" s="33" t="n"/>
      <c r="X62258" s="33" t="n"/>
    </row>
    <row r="62260" ht="14.25" customHeight="1" s="192">
      <c r="W62260" s="231" t="n"/>
      <c r="X62260" s="231" t="n"/>
    </row>
    <row r="62261" ht="14.25" customHeight="1" s="192">
      <c r="W62261" s="235" t="n"/>
      <c r="X62261" s="235" t="n"/>
    </row>
    <row r="62262" ht="14.25" customHeight="1" s="192">
      <c r="W62262" s="228" t="n"/>
      <c r="X62262" s="228" t="n"/>
    </row>
    <row r="62263" ht="14.25" customHeight="1" s="192">
      <c r="W62263" s="235" t="n"/>
      <c r="X62263" s="235" t="n"/>
    </row>
    <row r="62264" ht="14.25" customHeight="1" s="192">
      <c r="W62264" s="235" t="n"/>
      <c r="X62264" s="235" t="n"/>
    </row>
    <row r="62265" ht="14.25" customHeight="1" s="192">
      <c r="W62265" s="235" t="n"/>
      <c r="X62265" s="235" t="n"/>
    </row>
    <row r="62266" ht="14.25" customHeight="1" s="192">
      <c r="W62266" s="239" t="n"/>
      <c r="X62266" s="239" t="n"/>
    </row>
    <row r="62267" ht="14.25" customHeight="1" s="192">
      <c r="W62267" s="239" t="n"/>
      <c r="X62267" s="239" t="n"/>
    </row>
    <row r="62268" ht="14.25" customHeight="1" s="192">
      <c r="W62268" s="239" t="n"/>
      <c r="X62268" s="239" t="n"/>
    </row>
    <row r="62269" ht="14.25" customHeight="1" s="192">
      <c r="W62269" s="235" t="n"/>
      <c r="X62269" s="235" t="n"/>
    </row>
    <row r="62270" ht="14.25" customHeight="1" s="192">
      <c r="W62270" s="235" t="n"/>
      <c r="X62270" s="235" t="n"/>
    </row>
    <row r="62271" ht="14.25" customHeight="1" s="192">
      <c r="W62271" s="235" t="n"/>
      <c r="X62271" s="235" t="n"/>
    </row>
    <row r="62272" ht="14.25" customHeight="1" s="192">
      <c r="W62272" s="239" t="n"/>
      <c r="X62272" s="239" t="n"/>
    </row>
    <row r="62273" ht="14.25" customHeight="1" s="192">
      <c r="W62273" s="239" t="n"/>
      <c r="X62273" s="239" t="n"/>
    </row>
    <row r="62274" ht="14.25" customHeight="1" s="192">
      <c r="W62274" s="235" t="n"/>
      <c r="X62274" s="235" t="n"/>
    </row>
    <row r="62275" ht="14.25" customHeight="1" s="192">
      <c r="W62275" s="235" t="n"/>
      <c r="X62275" s="235" t="n"/>
    </row>
    <row r="62276" ht="14.25" customHeight="1" s="192">
      <c r="W62276" s="239" t="n"/>
      <c r="X62276" s="239" t="n"/>
    </row>
    <row r="62277" ht="14.25" customHeight="1" s="192">
      <c r="W62277" s="235" t="n"/>
      <c r="X62277" s="235" t="n"/>
    </row>
    <row r="62278" ht="14.25" customHeight="1" s="192">
      <c r="W62278" s="239" t="n"/>
      <c r="X62278" s="239" t="n"/>
    </row>
    <row r="62280" ht="14.25" customHeight="1" s="192">
      <c r="W62280" s="235" t="n"/>
      <c r="X62280" s="235" t="n"/>
    </row>
    <row r="62281" ht="15" customHeight="1" s="192" thickBot="1">
      <c r="W62281" s="239" t="n"/>
      <c r="X62281" s="239" t="n"/>
    </row>
    <row r="62282" ht="15" customHeight="1" s="192" thickBot="1">
      <c r="W62282" s="45" t="n"/>
      <c r="X62282" s="45" t="n"/>
    </row>
    <row r="62283" ht="14.25" customHeight="1" s="192">
      <c r="W62283" s="228" t="n"/>
      <c r="X62283" s="228" t="n"/>
    </row>
    <row r="62284" ht="14.25" customHeight="1" s="192">
      <c r="W62284" s="228" t="n"/>
      <c r="X62284" s="228" t="n"/>
    </row>
    <row r="62285" ht="14.25" customHeight="1" s="192">
      <c r="W62285" s="231" t="n"/>
      <c r="X62285" s="231" t="n"/>
    </row>
    <row r="62286" ht="14.25" customHeight="1" s="192">
      <c r="W62286" s="33" t="n"/>
      <c r="X62286" s="33" t="n"/>
    </row>
    <row r="62287" ht="14.25" customHeight="1" s="192">
      <c r="W62287" s="231" t="n"/>
      <c r="X62287" s="231" t="n"/>
    </row>
    <row r="62288" ht="14.25" customHeight="1" s="192">
      <c r="W62288" s="33" t="n"/>
      <c r="X62288" s="33" t="n"/>
    </row>
    <row r="62290" ht="14.25" customHeight="1" s="192">
      <c r="W62290" s="231" t="n"/>
      <c r="X62290" s="231" t="n"/>
    </row>
    <row r="62291" ht="14.25" customHeight="1" s="192">
      <c r="W62291" s="235" t="n"/>
      <c r="X62291" s="235" t="n"/>
    </row>
    <row r="62292" ht="14.25" customHeight="1" s="192">
      <c r="W62292" s="228" t="n"/>
      <c r="X62292" s="228" t="n"/>
    </row>
    <row r="62293" ht="14.25" customHeight="1" s="192">
      <c r="W62293" s="235" t="n"/>
      <c r="X62293" s="235" t="n"/>
    </row>
    <row r="62294" ht="14.25" customHeight="1" s="192">
      <c r="W62294" s="235" t="n"/>
      <c r="X62294" s="235" t="n"/>
    </row>
    <row r="62295" ht="14.25" customHeight="1" s="192">
      <c r="W62295" s="235" t="n"/>
      <c r="X62295" s="235" t="n"/>
    </row>
    <row r="62296" ht="14.25" customHeight="1" s="192">
      <c r="W62296" s="239" t="n"/>
      <c r="X62296" s="239" t="n"/>
    </row>
    <row r="62297" ht="14.25" customHeight="1" s="192">
      <c r="W62297" s="239" t="n"/>
      <c r="X62297" s="239" t="n"/>
    </row>
    <row r="62298" ht="14.25" customHeight="1" s="192">
      <c r="W62298" s="239" t="n"/>
      <c r="X62298" s="239" t="n"/>
    </row>
    <row r="62299" ht="14.25" customHeight="1" s="192">
      <c r="W62299" s="235" t="n"/>
      <c r="X62299" s="235" t="n"/>
    </row>
    <row r="62300" ht="14.25" customHeight="1" s="192">
      <c r="W62300" s="235" t="n"/>
      <c r="X62300" s="235" t="n"/>
    </row>
    <row r="62301" ht="14.25" customHeight="1" s="192">
      <c r="W62301" s="235" t="n"/>
      <c r="X62301" s="235" t="n"/>
    </row>
    <row r="62302" ht="14.25" customHeight="1" s="192">
      <c r="W62302" s="239" t="n"/>
      <c r="X62302" s="239" t="n"/>
    </row>
    <row r="62303" ht="14.25" customHeight="1" s="192">
      <c r="W62303" s="239" t="n"/>
      <c r="X62303" s="239" t="n"/>
    </row>
    <row r="62304" ht="14.25" customHeight="1" s="192">
      <c r="W62304" s="235" t="n"/>
      <c r="X62304" s="235" t="n"/>
    </row>
    <row r="62305" ht="14.25" customHeight="1" s="192">
      <c r="W62305" s="235" t="n"/>
      <c r="X62305" s="235" t="n"/>
    </row>
    <row r="62306" ht="14.25" customHeight="1" s="192">
      <c r="W62306" s="239" t="n"/>
      <c r="X62306" s="239" t="n"/>
    </row>
    <row r="62307" ht="14.25" customHeight="1" s="192">
      <c r="W62307" s="235" t="n"/>
      <c r="X62307" s="235" t="n"/>
    </row>
    <row r="62308" ht="14.25" customHeight="1" s="192">
      <c r="W62308" s="239" t="n"/>
      <c r="X62308" s="239" t="n"/>
    </row>
    <row r="62310" ht="14.25" customHeight="1" s="192">
      <c r="W62310" s="235" t="n"/>
      <c r="X62310" s="235" t="n"/>
    </row>
    <row r="62311" ht="15" customHeight="1" s="192" thickBot="1">
      <c r="W62311" s="239" t="n"/>
      <c r="X62311" s="239" t="n"/>
    </row>
    <row r="62312" ht="15" customHeight="1" s="192" thickBot="1">
      <c r="W62312" s="45" t="n"/>
      <c r="X62312" s="45" t="n"/>
    </row>
    <row r="62313" ht="14.25" customHeight="1" s="192">
      <c r="W62313" s="228" t="n"/>
      <c r="X62313" s="228" t="n"/>
    </row>
    <row r="62314" ht="14.25" customHeight="1" s="192">
      <c r="W62314" s="228" t="n"/>
      <c r="X62314" s="228" t="n"/>
    </row>
    <row r="62315" ht="14.25" customHeight="1" s="192">
      <c r="W62315" s="231" t="n"/>
      <c r="X62315" s="231" t="n"/>
    </row>
    <row r="62316" ht="14.25" customHeight="1" s="192">
      <c r="W62316" s="33" t="n"/>
      <c r="X62316" s="33" t="n"/>
    </row>
    <row r="62317" ht="14.25" customHeight="1" s="192">
      <c r="W62317" s="231" t="n"/>
      <c r="X62317" s="231" t="n"/>
    </row>
    <row r="62318" ht="14.25" customHeight="1" s="192">
      <c r="W62318" s="33" t="n"/>
      <c r="X62318" s="33" t="n"/>
    </row>
    <row r="62320" ht="14.25" customHeight="1" s="192">
      <c r="W62320" s="231" t="n"/>
      <c r="X62320" s="231" t="n"/>
    </row>
    <row r="62321" ht="14.25" customHeight="1" s="192">
      <c r="W62321" s="235" t="n"/>
      <c r="X62321" s="235" t="n"/>
    </row>
    <row r="62322" ht="14.25" customHeight="1" s="192">
      <c r="W62322" s="228" t="n"/>
      <c r="X62322" s="228" t="n"/>
    </row>
    <row r="62323" ht="14.25" customHeight="1" s="192">
      <c r="W62323" s="235" t="n"/>
      <c r="X62323" s="235" t="n"/>
    </row>
    <row r="62324" ht="14.25" customHeight="1" s="192">
      <c r="W62324" s="235" t="n"/>
      <c r="X62324" s="235" t="n"/>
    </row>
    <row r="62325" ht="14.25" customHeight="1" s="192">
      <c r="W62325" s="235" t="n"/>
      <c r="X62325" s="235" t="n"/>
    </row>
    <row r="62326" ht="14.25" customHeight="1" s="192">
      <c r="W62326" s="239" t="n"/>
      <c r="X62326" s="239" t="n"/>
    </row>
    <row r="62327" ht="14.25" customHeight="1" s="192">
      <c r="W62327" s="239" t="n"/>
      <c r="X62327" s="239" t="n"/>
    </row>
    <row r="62328" ht="14.25" customHeight="1" s="192">
      <c r="W62328" s="239" t="n"/>
      <c r="X62328" s="239" t="n"/>
    </row>
    <row r="62329" ht="14.25" customHeight="1" s="192">
      <c r="W62329" s="235" t="n"/>
      <c r="X62329" s="235" t="n"/>
    </row>
    <row r="62330" ht="14.25" customHeight="1" s="192">
      <c r="W62330" s="235" t="n"/>
      <c r="X62330" s="235" t="n"/>
    </row>
    <row r="62331" ht="14.25" customHeight="1" s="192">
      <c r="W62331" s="235" t="n"/>
      <c r="X62331" s="235" t="n"/>
    </row>
    <row r="62332" ht="14.25" customHeight="1" s="192">
      <c r="W62332" s="239" t="n"/>
      <c r="X62332" s="239" t="n"/>
    </row>
    <row r="62333" ht="14.25" customHeight="1" s="192">
      <c r="W62333" s="239" t="n"/>
      <c r="X62333" s="239" t="n"/>
    </row>
    <row r="62334" ht="14.25" customHeight="1" s="192">
      <c r="W62334" s="235" t="n"/>
      <c r="X62334" s="235" t="n"/>
    </row>
    <row r="62335" ht="14.25" customHeight="1" s="192">
      <c r="W62335" s="235" t="n"/>
      <c r="X62335" s="235" t="n"/>
    </row>
    <row r="62336" ht="14.25" customHeight="1" s="192">
      <c r="W62336" s="239" t="n"/>
      <c r="X62336" s="239" t="n"/>
    </row>
    <row r="62337" ht="14.25" customHeight="1" s="192">
      <c r="W62337" s="235" t="n"/>
      <c r="X62337" s="235" t="n"/>
    </row>
    <row r="62338" ht="14.25" customHeight="1" s="192">
      <c r="W62338" s="239" t="n"/>
      <c r="X62338" s="239" t="n"/>
    </row>
    <row r="62340" ht="14.25" customHeight="1" s="192">
      <c r="W62340" s="235" t="n"/>
      <c r="X62340" s="235" t="n"/>
    </row>
    <row r="62341" ht="15" customHeight="1" s="192" thickBot="1">
      <c r="W62341" s="239" t="n"/>
      <c r="X62341" s="239" t="n"/>
    </row>
    <row r="62342" ht="15" customHeight="1" s="192" thickBot="1">
      <c r="W62342" s="45" t="n"/>
      <c r="X62342" s="45" t="n"/>
    </row>
    <row r="62343" ht="14.25" customHeight="1" s="192">
      <c r="W62343" s="228" t="n"/>
      <c r="X62343" s="228" t="n"/>
    </row>
    <row r="62344" ht="14.25" customHeight="1" s="192">
      <c r="W62344" s="228" t="n"/>
      <c r="X62344" s="228" t="n"/>
    </row>
    <row r="62345" ht="14.25" customHeight="1" s="192">
      <c r="W62345" s="231" t="n"/>
      <c r="X62345" s="231" t="n"/>
    </row>
    <row r="62346" ht="14.25" customHeight="1" s="192">
      <c r="W62346" s="33" t="n"/>
      <c r="X62346" s="33" t="n"/>
    </row>
    <row r="62347" ht="14.25" customHeight="1" s="192">
      <c r="W62347" s="231" t="n"/>
      <c r="X62347" s="231" t="n"/>
    </row>
    <row r="62348" ht="14.25" customHeight="1" s="192">
      <c r="W62348" s="33" t="n"/>
      <c r="X62348" s="33" t="n"/>
    </row>
    <row r="62350" ht="14.25" customHeight="1" s="192">
      <c r="W62350" s="231" t="n"/>
      <c r="X62350" s="231" t="n"/>
    </row>
    <row r="62351" ht="14.25" customHeight="1" s="192">
      <c r="W62351" s="235" t="n"/>
      <c r="X62351" s="235" t="n"/>
    </row>
    <row r="62352" ht="14.25" customHeight="1" s="192">
      <c r="W62352" s="228" t="n"/>
      <c r="X62352" s="228" t="n"/>
    </row>
    <row r="62353" ht="14.25" customHeight="1" s="192">
      <c r="W62353" s="235" t="n"/>
      <c r="X62353" s="235" t="n"/>
    </row>
    <row r="62354" ht="14.25" customHeight="1" s="192">
      <c r="W62354" s="235" t="n"/>
      <c r="X62354" s="235" t="n"/>
    </row>
    <row r="62355" ht="14.25" customHeight="1" s="192">
      <c r="W62355" s="235" t="n"/>
      <c r="X62355" s="235" t="n"/>
    </row>
    <row r="62356" ht="14.25" customHeight="1" s="192">
      <c r="W62356" s="239" t="n"/>
      <c r="X62356" s="239" t="n"/>
    </row>
    <row r="62357" ht="14.25" customHeight="1" s="192">
      <c r="W62357" s="239" t="n"/>
      <c r="X62357" s="239" t="n"/>
    </row>
    <row r="62358" ht="14.25" customHeight="1" s="192">
      <c r="W62358" s="239" t="n"/>
      <c r="X62358" s="239" t="n"/>
    </row>
    <row r="62359" ht="14.25" customHeight="1" s="192">
      <c r="W62359" s="235" t="n"/>
      <c r="X62359" s="235" t="n"/>
    </row>
    <row r="62360" ht="14.25" customHeight="1" s="192">
      <c r="W62360" s="235" t="n"/>
      <c r="X62360" s="235" t="n"/>
    </row>
    <row r="62361" ht="14.25" customHeight="1" s="192">
      <c r="W62361" s="235" t="n"/>
      <c r="X62361" s="235" t="n"/>
    </row>
    <row r="62362" ht="14.25" customHeight="1" s="192">
      <c r="W62362" s="239" t="n"/>
      <c r="X62362" s="239" t="n"/>
    </row>
    <row r="62363" ht="14.25" customHeight="1" s="192">
      <c r="W62363" s="239" t="n"/>
      <c r="X62363" s="239" t="n"/>
    </row>
    <row r="62364" ht="14.25" customHeight="1" s="192">
      <c r="W62364" s="235" t="n"/>
      <c r="X62364" s="235" t="n"/>
    </row>
    <row r="62365" ht="14.25" customHeight="1" s="192">
      <c r="W62365" s="235" t="n"/>
      <c r="X62365" s="235" t="n"/>
    </row>
    <row r="62366" ht="14.25" customHeight="1" s="192">
      <c r="W62366" s="239" t="n"/>
      <c r="X62366" s="239" t="n"/>
    </row>
    <row r="62367" ht="14.25" customHeight="1" s="192">
      <c r="W62367" s="235" t="n"/>
      <c r="X62367" s="235" t="n"/>
    </row>
    <row r="62368" ht="14.25" customHeight="1" s="192">
      <c r="W62368" s="239" t="n"/>
      <c r="X62368" s="239" t="n"/>
    </row>
    <row r="62370" ht="14.25" customHeight="1" s="192">
      <c r="W62370" s="235" t="n"/>
      <c r="X62370" s="235" t="n"/>
    </row>
    <row r="62371" ht="15" customHeight="1" s="192" thickBot="1">
      <c r="W62371" s="239" t="n"/>
      <c r="X62371" s="239" t="n"/>
    </row>
    <row r="62372" ht="15" customHeight="1" s="192" thickBot="1">
      <c r="W62372" s="45" t="n"/>
      <c r="X62372" s="45" t="n"/>
    </row>
    <row r="62373" ht="14.25" customHeight="1" s="192">
      <c r="W62373" s="228" t="n"/>
      <c r="X62373" s="228" t="n"/>
    </row>
    <row r="62374" ht="14.25" customHeight="1" s="192">
      <c r="W62374" s="228" t="n"/>
      <c r="X62374" s="228" t="n"/>
    </row>
    <row r="62375" ht="14.25" customHeight="1" s="192">
      <c r="W62375" s="231" t="n"/>
      <c r="X62375" s="231" t="n"/>
    </row>
    <row r="62376" ht="14.25" customHeight="1" s="192">
      <c r="W62376" s="33" t="n"/>
      <c r="X62376" s="33" t="n"/>
    </row>
    <row r="62377" ht="14.25" customHeight="1" s="192">
      <c r="W62377" s="231" t="n"/>
      <c r="X62377" s="231" t="n"/>
    </row>
    <row r="62378" ht="14.25" customHeight="1" s="192">
      <c r="W62378" s="33" t="n"/>
      <c r="X62378" s="33" t="n"/>
    </row>
    <row r="62380" ht="14.25" customHeight="1" s="192">
      <c r="W62380" s="231" t="n"/>
      <c r="X62380" s="231" t="n"/>
    </row>
    <row r="62381" ht="14.25" customHeight="1" s="192">
      <c r="W62381" s="235" t="n"/>
      <c r="X62381" s="235" t="n"/>
    </row>
    <row r="62382" ht="14.25" customHeight="1" s="192">
      <c r="W62382" s="228" t="n"/>
      <c r="X62382" s="228" t="n"/>
    </row>
    <row r="62383" ht="14.25" customHeight="1" s="192">
      <c r="W62383" s="235" t="n"/>
      <c r="X62383" s="235" t="n"/>
    </row>
    <row r="62384" ht="14.25" customHeight="1" s="192">
      <c r="W62384" s="235" t="n"/>
      <c r="X62384" s="235" t="n"/>
    </row>
    <row r="62385" ht="14.25" customHeight="1" s="192">
      <c r="W62385" s="235" t="n"/>
      <c r="X62385" s="235" t="n"/>
    </row>
    <row r="62386" ht="14.25" customHeight="1" s="192">
      <c r="W62386" s="239" t="n"/>
      <c r="X62386" s="239" t="n"/>
    </row>
    <row r="62387" ht="14.25" customHeight="1" s="192">
      <c r="W62387" s="239" t="n"/>
      <c r="X62387" s="239" t="n"/>
    </row>
    <row r="62388" ht="14.25" customHeight="1" s="192">
      <c r="W62388" s="239" t="n"/>
      <c r="X62388" s="239" t="n"/>
    </row>
    <row r="62389" ht="14.25" customHeight="1" s="192">
      <c r="W62389" s="235" t="n"/>
      <c r="X62389" s="235" t="n"/>
    </row>
    <row r="62390" ht="14.25" customHeight="1" s="192">
      <c r="W62390" s="235" t="n"/>
      <c r="X62390" s="235" t="n"/>
    </row>
    <row r="62391" ht="14.25" customHeight="1" s="192">
      <c r="W62391" s="235" t="n"/>
      <c r="X62391" s="235" t="n"/>
    </row>
    <row r="62392" ht="14.25" customHeight="1" s="192">
      <c r="W62392" s="239" t="n"/>
      <c r="X62392" s="239" t="n"/>
    </row>
    <row r="62393" ht="14.25" customHeight="1" s="192">
      <c r="W62393" s="239" t="n"/>
      <c r="X62393" s="239" t="n"/>
    </row>
    <row r="62394" ht="14.25" customHeight="1" s="192">
      <c r="W62394" s="235" t="n"/>
      <c r="X62394" s="235" t="n"/>
    </row>
    <row r="62395" ht="14.25" customHeight="1" s="192">
      <c r="W62395" s="235" t="n"/>
      <c r="X62395" s="235" t="n"/>
    </row>
    <row r="62396" ht="14.25" customHeight="1" s="192">
      <c r="W62396" s="239" t="n"/>
      <c r="X62396" s="239" t="n"/>
    </row>
    <row r="62397" ht="14.25" customHeight="1" s="192">
      <c r="W62397" s="235" t="n"/>
      <c r="X62397" s="235" t="n"/>
    </row>
    <row r="62398" ht="14.25" customHeight="1" s="192">
      <c r="W62398" s="239" t="n"/>
      <c r="X62398" s="239" t="n"/>
    </row>
    <row r="62400" ht="14.25" customHeight="1" s="192">
      <c r="W62400" s="235" t="n"/>
      <c r="X62400" s="235" t="n"/>
    </row>
    <row r="62401" ht="15" customHeight="1" s="192" thickBot="1">
      <c r="W62401" s="239" t="n"/>
      <c r="X62401" s="239" t="n"/>
    </row>
    <row r="62402" ht="15" customHeight="1" s="192" thickBot="1">
      <c r="W62402" s="45" t="n"/>
      <c r="X62402" s="45" t="n"/>
    </row>
    <row r="62403" ht="14.25" customHeight="1" s="192">
      <c r="W62403" s="228" t="n"/>
      <c r="X62403" s="228" t="n"/>
    </row>
    <row r="62404" ht="14.25" customHeight="1" s="192">
      <c r="W62404" s="228" t="n"/>
      <c r="X62404" s="228" t="n"/>
    </row>
    <row r="62405" ht="14.25" customHeight="1" s="192">
      <c r="W62405" s="231" t="n"/>
      <c r="X62405" s="231" t="n"/>
    </row>
    <row r="62406" ht="14.25" customHeight="1" s="192">
      <c r="W62406" s="33" t="n"/>
      <c r="X62406" s="33" t="n"/>
    </row>
    <row r="62407" ht="14.25" customHeight="1" s="192">
      <c r="W62407" s="231" t="n"/>
      <c r="X62407" s="231" t="n"/>
    </row>
    <row r="62408" ht="14.25" customHeight="1" s="192">
      <c r="W62408" s="33" t="n"/>
      <c r="X62408" s="33" t="n"/>
    </row>
    <row r="62410" ht="14.25" customHeight="1" s="192">
      <c r="W62410" s="231" t="n"/>
      <c r="X62410" s="231" t="n"/>
    </row>
    <row r="62411" ht="14.25" customHeight="1" s="192">
      <c r="W62411" s="235" t="n"/>
      <c r="X62411" s="235" t="n"/>
    </row>
    <row r="62412" ht="14.25" customHeight="1" s="192">
      <c r="W62412" s="228" t="n"/>
      <c r="X62412" s="228" t="n"/>
    </row>
    <row r="62413" ht="14.25" customHeight="1" s="192">
      <c r="W62413" s="235" t="n"/>
      <c r="X62413" s="235" t="n"/>
    </row>
    <row r="62414" ht="14.25" customHeight="1" s="192">
      <c r="W62414" s="235" t="n"/>
      <c r="X62414" s="235" t="n"/>
    </row>
    <row r="62415" ht="14.25" customHeight="1" s="192">
      <c r="W62415" s="235" t="n"/>
      <c r="X62415" s="235" t="n"/>
    </row>
    <row r="62416" ht="14.25" customHeight="1" s="192">
      <c r="W62416" s="239" t="n"/>
      <c r="X62416" s="239" t="n"/>
    </row>
    <row r="62417" ht="14.25" customHeight="1" s="192">
      <c r="W62417" s="239" t="n"/>
      <c r="X62417" s="239" t="n"/>
    </row>
    <row r="62418" ht="14.25" customHeight="1" s="192">
      <c r="W62418" s="239" t="n"/>
      <c r="X62418" s="239" t="n"/>
    </row>
    <row r="62419" ht="14.25" customHeight="1" s="192">
      <c r="W62419" s="235" t="n"/>
      <c r="X62419" s="235" t="n"/>
    </row>
    <row r="62420" ht="14.25" customHeight="1" s="192">
      <c r="W62420" s="235" t="n"/>
      <c r="X62420" s="235" t="n"/>
    </row>
    <row r="62421" ht="14.25" customHeight="1" s="192">
      <c r="W62421" s="235" t="n"/>
      <c r="X62421" s="235" t="n"/>
    </row>
    <row r="62422" ht="14.25" customHeight="1" s="192">
      <c r="W62422" s="239" t="n"/>
      <c r="X62422" s="239" t="n"/>
    </row>
    <row r="62423" ht="14.25" customHeight="1" s="192">
      <c r="W62423" s="239" t="n"/>
      <c r="X62423" s="239" t="n"/>
    </row>
    <row r="62424" ht="14.25" customHeight="1" s="192">
      <c r="W62424" s="235" t="n"/>
      <c r="X62424" s="235" t="n"/>
    </row>
    <row r="62425" ht="14.25" customHeight="1" s="192">
      <c r="W62425" s="235" t="n"/>
      <c r="X62425" s="235" t="n"/>
    </row>
    <row r="62426" ht="14.25" customHeight="1" s="192">
      <c r="W62426" s="239" t="n"/>
      <c r="X62426" s="239" t="n"/>
    </row>
    <row r="62427" ht="14.25" customHeight="1" s="192">
      <c r="W62427" s="235" t="n"/>
      <c r="X62427" s="235" t="n"/>
    </row>
    <row r="62428" ht="14.25" customHeight="1" s="192">
      <c r="W62428" s="239" t="n"/>
      <c r="X62428" s="239" t="n"/>
    </row>
    <row r="62430" ht="14.25" customHeight="1" s="192">
      <c r="W62430" s="235" t="n"/>
      <c r="X62430" s="235" t="n"/>
    </row>
    <row r="62431" ht="15" customHeight="1" s="192" thickBot="1">
      <c r="W62431" s="239" t="n"/>
      <c r="X62431" s="239" t="n"/>
    </row>
    <row r="62432" ht="15" customHeight="1" s="192" thickBot="1">
      <c r="W62432" s="45" t="n"/>
      <c r="X62432" s="45" t="n"/>
    </row>
    <row r="62433" ht="14.25" customHeight="1" s="192">
      <c r="W62433" s="228" t="n"/>
      <c r="X62433" s="228" t="n"/>
    </row>
    <row r="62434" ht="14.25" customHeight="1" s="192">
      <c r="W62434" s="228" t="n"/>
      <c r="X62434" s="228" t="n"/>
    </row>
    <row r="62435" ht="14.25" customHeight="1" s="192">
      <c r="W62435" s="231" t="n"/>
      <c r="X62435" s="231" t="n"/>
    </row>
    <row r="62436" ht="14.25" customHeight="1" s="192">
      <c r="W62436" s="33" t="n"/>
      <c r="X62436" s="33" t="n"/>
    </row>
    <row r="62437" ht="14.25" customHeight="1" s="192">
      <c r="W62437" s="231" t="n"/>
      <c r="X62437" s="231" t="n"/>
    </row>
    <row r="62438" ht="14.25" customHeight="1" s="192">
      <c r="W62438" s="33" t="n"/>
      <c r="X62438" s="33" t="n"/>
    </row>
    <row r="62440" ht="14.25" customHeight="1" s="192">
      <c r="W62440" s="231" t="n"/>
      <c r="X62440" s="231" t="n"/>
    </row>
    <row r="62441" ht="14.25" customHeight="1" s="192">
      <c r="W62441" s="235" t="n"/>
      <c r="X62441" s="235" t="n"/>
    </row>
    <row r="62442" ht="14.25" customHeight="1" s="192">
      <c r="W62442" s="228" t="n"/>
      <c r="X62442" s="228" t="n"/>
    </row>
    <row r="62443" ht="14.25" customHeight="1" s="192">
      <c r="W62443" s="235" t="n"/>
      <c r="X62443" s="235" t="n"/>
    </row>
    <row r="62444" ht="14.25" customHeight="1" s="192">
      <c r="W62444" s="235" t="n"/>
      <c r="X62444" s="235" t="n"/>
    </row>
    <row r="62445" ht="14.25" customHeight="1" s="192">
      <c r="W62445" s="235" t="n"/>
      <c r="X62445" s="235" t="n"/>
    </row>
    <row r="62446" ht="14.25" customHeight="1" s="192">
      <c r="W62446" s="239" t="n"/>
      <c r="X62446" s="239" t="n"/>
    </row>
    <row r="62447" ht="14.25" customHeight="1" s="192">
      <c r="W62447" s="239" t="n"/>
      <c r="X62447" s="239" t="n"/>
    </row>
    <row r="62448" ht="14.25" customHeight="1" s="192">
      <c r="W62448" s="239" t="n"/>
      <c r="X62448" s="239" t="n"/>
    </row>
    <row r="62449" ht="14.25" customHeight="1" s="192">
      <c r="W62449" s="235" t="n"/>
      <c r="X62449" s="235" t="n"/>
    </row>
    <row r="62450" ht="14.25" customHeight="1" s="192">
      <c r="W62450" s="235" t="n"/>
      <c r="X62450" s="235" t="n"/>
    </row>
    <row r="62451" ht="14.25" customHeight="1" s="192">
      <c r="W62451" s="235" t="n"/>
      <c r="X62451" s="235" t="n"/>
    </row>
    <row r="62452" ht="14.25" customHeight="1" s="192">
      <c r="W62452" s="239" t="n"/>
      <c r="X62452" s="239" t="n"/>
    </row>
    <row r="62453" ht="14.25" customHeight="1" s="192">
      <c r="W62453" s="239" t="n"/>
      <c r="X62453" s="239" t="n"/>
    </row>
    <row r="62454" ht="14.25" customHeight="1" s="192">
      <c r="W62454" s="235" t="n"/>
      <c r="X62454" s="235" t="n"/>
    </row>
    <row r="62455" ht="14.25" customHeight="1" s="192">
      <c r="W62455" s="235" t="n"/>
      <c r="X62455" s="235" t="n"/>
    </row>
    <row r="62456" ht="14.25" customHeight="1" s="192">
      <c r="W62456" s="239" t="n"/>
      <c r="X62456" s="239" t="n"/>
    </row>
    <row r="62457" ht="14.25" customHeight="1" s="192">
      <c r="W62457" s="235" t="n"/>
      <c r="X62457" s="235" t="n"/>
    </row>
    <row r="62458" ht="14.25" customHeight="1" s="192">
      <c r="W62458" s="239" t="n"/>
      <c r="X62458" s="239" t="n"/>
    </row>
    <row r="62460" ht="14.25" customHeight="1" s="192">
      <c r="W62460" s="235" t="n"/>
      <c r="X62460" s="235" t="n"/>
    </row>
    <row r="62461" ht="15" customHeight="1" s="192" thickBot="1">
      <c r="W62461" s="239" t="n"/>
      <c r="X62461" s="239" t="n"/>
    </row>
    <row r="62462" ht="15" customHeight="1" s="192" thickBot="1">
      <c r="W62462" s="45" t="n"/>
      <c r="X62462" s="45" t="n"/>
    </row>
    <row r="62463" ht="14.25" customHeight="1" s="192">
      <c r="W62463" s="228" t="n"/>
      <c r="X62463" s="228" t="n"/>
    </row>
    <row r="62464" ht="14.25" customHeight="1" s="192">
      <c r="W62464" s="228" t="n"/>
      <c r="X62464" s="228" t="n"/>
    </row>
    <row r="62465" ht="14.25" customHeight="1" s="192">
      <c r="W62465" s="231" t="n"/>
      <c r="X62465" s="231" t="n"/>
    </row>
    <row r="62466" ht="14.25" customHeight="1" s="192">
      <c r="W62466" s="33" t="n"/>
      <c r="X62466" s="33" t="n"/>
    </row>
    <row r="62467" ht="14.25" customHeight="1" s="192">
      <c r="W62467" s="231" t="n"/>
      <c r="X62467" s="231" t="n"/>
    </row>
    <row r="62468" ht="14.25" customHeight="1" s="192">
      <c r="W62468" s="33" t="n"/>
      <c r="X62468" s="33" t="n"/>
    </row>
    <row r="62470" ht="14.25" customHeight="1" s="192">
      <c r="W62470" s="231" t="n"/>
      <c r="X62470" s="231" t="n"/>
    </row>
    <row r="62471" ht="14.25" customHeight="1" s="192">
      <c r="W62471" s="235" t="n"/>
      <c r="X62471" s="235" t="n"/>
    </row>
    <row r="62472" ht="14.25" customHeight="1" s="192">
      <c r="W62472" s="228" t="n"/>
      <c r="X62472" s="228" t="n"/>
    </row>
    <row r="62473" ht="14.25" customHeight="1" s="192">
      <c r="W62473" s="235" t="n"/>
      <c r="X62473" s="235" t="n"/>
    </row>
    <row r="62474" ht="14.25" customHeight="1" s="192">
      <c r="W62474" s="235" t="n"/>
      <c r="X62474" s="235" t="n"/>
    </row>
    <row r="62475" ht="14.25" customHeight="1" s="192">
      <c r="W62475" s="235" t="n"/>
      <c r="X62475" s="235" t="n"/>
    </row>
    <row r="62476" ht="14.25" customHeight="1" s="192">
      <c r="W62476" s="239" t="n"/>
      <c r="X62476" s="239" t="n"/>
    </row>
    <row r="62477" ht="14.25" customHeight="1" s="192">
      <c r="W62477" s="239" t="n"/>
      <c r="X62477" s="239" t="n"/>
    </row>
    <row r="62478" ht="14.25" customHeight="1" s="192">
      <c r="W62478" s="239" t="n"/>
      <c r="X62478" s="239" t="n"/>
    </row>
    <row r="62479" ht="14.25" customHeight="1" s="192">
      <c r="W62479" s="235" t="n"/>
      <c r="X62479" s="235" t="n"/>
    </row>
    <row r="62480" ht="14.25" customHeight="1" s="192">
      <c r="W62480" s="235" t="n"/>
      <c r="X62480" s="235" t="n"/>
    </row>
    <row r="62481" ht="14.25" customHeight="1" s="192">
      <c r="W62481" s="235" t="n"/>
      <c r="X62481" s="235" t="n"/>
    </row>
    <row r="62482" ht="14.25" customHeight="1" s="192">
      <c r="W62482" s="239" t="n"/>
      <c r="X62482" s="239" t="n"/>
    </row>
    <row r="62483" ht="14.25" customHeight="1" s="192">
      <c r="W62483" s="239" t="n"/>
      <c r="X62483" s="239" t="n"/>
    </row>
    <row r="62484" ht="14.25" customHeight="1" s="192">
      <c r="W62484" s="235" t="n"/>
      <c r="X62484" s="235" t="n"/>
    </row>
    <row r="62485" ht="14.25" customHeight="1" s="192">
      <c r="W62485" s="235" t="n"/>
      <c r="X62485" s="235" t="n"/>
    </row>
    <row r="62486" ht="14.25" customHeight="1" s="192">
      <c r="W62486" s="239" t="n"/>
      <c r="X62486" s="239" t="n"/>
    </row>
    <row r="62487" ht="14.25" customHeight="1" s="192">
      <c r="W62487" s="235" t="n"/>
      <c r="X62487" s="235" t="n"/>
    </row>
    <row r="62488" ht="14.25" customHeight="1" s="192">
      <c r="W62488" s="239" t="n"/>
      <c r="X62488" s="239" t="n"/>
    </row>
    <row r="62490" ht="14.25" customHeight="1" s="192">
      <c r="W62490" s="235" t="n"/>
      <c r="X62490" s="235" t="n"/>
    </row>
    <row r="62491" ht="15" customHeight="1" s="192" thickBot="1">
      <c r="W62491" s="239" t="n"/>
      <c r="X62491" s="239" t="n"/>
    </row>
    <row r="62492" ht="15" customHeight="1" s="192" thickBot="1">
      <c r="W62492" s="45" t="n"/>
      <c r="X62492" s="45" t="n"/>
    </row>
    <row r="62493" ht="14.25" customHeight="1" s="192">
      <c r="W62493" s="228" t="n"/>
      <c r="X62493" s="228" t="n"/>
    </row>
    <row r="62494" ht="14.25" customHeight="1" s="192">
      <c r="W62494" s="228" t="n"/>
      <c r="X62494" s="228" t="n"/>
    </row>
    <row r="62495" ht="14.25" customHeight="1" s="192">
      <c r="W62495" s="231" t="n"/>
      <c r="X62495" s="231" t="n"/>
    </row>
    <row r="62496" ht="14.25" customHeight="1" s="192">
      <c r="W62496" s="33" t="n"/>
      <c r="X62496" s="33" t="n"/>
    </row>
    <row r="62497" ht="14.25" customHeight="1" s="192">
      <c r="W62497" s="231" t="n"/>
      <c r="X62497" s="231" t="n"/>
    </row>
    <row r="62498" ht="14.25" customHeight="1" s="192">
      <c r="W62498" s="33" t="n"/>
      <c r="X62498" s="33" t="n"/>
    </row>
    <row r="62500" ht="14.25" customHeight="1" s="192">
      <c r="W62500" s="231" t="n"/>
      <c r="X62500" s="231" t="n"/>
    </row>
    <row r="62501" ht="14.25" customHeight="1" s="192">
      <c r="W62501" s="235" t="n"/>
      <c r="X62501" s="235" t="n"/>
    </row>
    <row r="62502" ht="14.25" customHeight="1" s="192">
      <c r="W62502" s="228" t="n"/>
      <c r="X62502" s="228" t="n"/>
    </row>
    <row r="62503" ht="14.25" customHeight="1" s="192">
      <c r="W62503" s="235" t="n"/>
      <c r="X62503" s="235" t="n"/>
    </row>
    <row r="62504" ht="14.25" customHeight="1" s="192">
      <c r="W62504" s="235" t="n"/>
      <c r="X62504" s="235" t="n"/>
    </row>
    <row r="62505" ht="14.25" customHeight="1" s="192">
      <c r="W62505" s="235" t="n"/>
      <c r="X62505" s="235" t="n"/>
    </row>
    <row r="62506" ht="14.25" customHeight="1" s="192">
      <c r="W62506" s="239" t="n"/>
      <c r="X62506" s="239" t="n"/>
    </row>
    <row r="62507" ht="14.25" customHeight="1" s="192">
      <c r="W62507" s="239" t="n"/>
      <c r="X62507" s="239" t="n"/>
    </row>
    <row r="62508" ht="14.25" customHeight="1" s="192">
      <c r="W62508" s="239" t="n"/>
      <c r="X62508" s="239" t="n"/>
    </row>
    <row r="62509" ht="14.25" customHeight="1" s="192">
      <c r="W62509" s="235" t="n"/>
      <c r="X62509" s="235" t="n"/>
    </row>
    <row r="62510" ht="14.25" customHeight="1" s="192">
      <c r="W62510" s="235" t="n"/>
      <c r="X62510" s="235" t="n"/>
    </row>
    <row r="62511" ht="14.25" customHeight="1" s="192">
      <c r="W62511" s="235" t="n"/>
      <c r="X62511" s="235" t="n"/>
    </row>
    <row r="62512" ht="14.25" customHeight="1" s="192">
      <c r="W62512" s="239" t="n"/>
      <c r="X62512" s="239" t="n"/>
    </row>
    <row r="62513" ht="14.25" customHeight="1" s="192">
      <c r="W62513" s="239" t="n"/>
      <c r="X62513" s="239" t="n"/>
    </row>
    <row r="62514" ht="14.25" customHeight="1" s="192">
      <c r="W62514" s="235" t="n"/>
      <c r="X62514" s="235" t="n"/>
    </row>
    <row r="62515" ht="14.25" customHeight="1" s="192">
      <c r="W62515" s="235" t="n"/>
      <c r="X62515" s="235" t="n"/>
    </row>
    <row r="62516" ht="14.25" customHeight="1" s="192">
      <c r="W62516" s="239" t="n"/>
      <c r="X62516" s="239" t="n"/>
    </row>
    <row r="62517" ht="14.25" customHeight="1" s="192">
      <c r="W62517" s="235" t="n"/>
      <c r="X62517" s="235" t="n"/>
    </row>
    <row r="62518" ht="14.25" customHeight="1" s="192">
      <c r="W62518" s="239" t="n"/>
      <c r="X62518" s="239" t="n"/>
    </row>
    <row r="62520" ht="14.25" customHeight="1" s="192">
      <c r="W62520" s="235" t="n"/>
      <c r="X62520" s="235" t="n"/>
    </row>
    <row r="62521" ht="15" customHeight="1" s="192" thickBot="1">
      <c r="W62521" s="239" t="n"/>
      <c r="X62521" s="239" t="n"/>
    </row>
    <row r="62522" ht="15" customHeight="1" s="192" thickBot="1">
      <c r="W62522" s="45" t="n"/>
      <c r="X62522" s="45" t="n"/>
    </row>
    <row r="62523" ht="14.25" customHeight="1" s="192">
      <c r="W62523" s="228" t="n"/>
      <c r="X62523" s="228" t="n"/>
    </row>
    <row r="62524" ht="14.25" customHeight="1" s="192">
      <c r="W62524" s="228" t="n"/>
      <c r="X62524" s="228" t="n"/>
    </row>
    <row r="62525" ht="14.25" customHeight="1" s="192">
      <c r="W62525" s="231" t="n"/>
      <c r="X62525" s="231" t="n"/>
    </row>
    <row r="62526" ht="14.25" customHeight="1" s="192">
      <c r="W62526" s="33" t="n"/>
      <c r="X62526" s="33" t="n"/>
    </row>
    <row r="62527" ht="14.25" customHeight="1" s="192">
      <c r="W62527" s="231" t="n"/>
      <c r="X62527" s="231" t="n"/>
    </row>
    <row r="62528" ht="14.25" customHeight="1" s="192">
      <c r="W62528" s="33" t="n"/>
      <c r="X62528" s="33" t="n"/>
    </row>
    <row r="62530" ht="14.25" customHeight="1" s="192">
      <c r="W62530" s="231" t="n"/>
      <c r="X62530" s="231" t="n"/>
    </row>
    <row r="62531" ht="14.25" customHeight="1" s="192">
      <c r="W62531" s="235" t="n"/>
      <c r="X62531" s="235" t="n"/>
    </row>
    <row r="62532" ht="14.25" customHeight="1" s="192">
      <c r="W62532" s="228" t="n"/>
      <c r="X62532" s="228" t="n"/>
    </row>
    <row r="62533" ht="14.25" customHeight="1" s="192">
      <c r="W62533" s="235" t="n"/>
      <c r="X62533" s="235" t="n"/>
    </row>
    <row r="62534" ht="14.25" customHeight="1" s="192">
      <c r="W62534" s="235" t="n"/>
      <c r="X62534" s="235" t="n"/>
    </row>
    <row r="62535" ht="14.25" customHeight="1" s="192">
      <c r="W62535" s="235" t="n"/>
      <c r="X62535" s="235" t="n"/>
    </row>
    <row r="62536" ht="14.25" customHeight="1" s="192">
      <c r="W62536" s="239" t="n"/>
      <c r="X62536" s="239" t="n"/>
    </row>
    <row r="62537" ht="14.25" customHeight="1" s="192">
      <c r="W62537" s="239" t="n"/>
      <c r="X62537" s="239" t="n"/>
    </row>
    <row r="62538" ht="14.25" customHeight="1" s="192">
      <c r="W62538" s="239" t="n"/>
      <c r="X62538" s="239" t="n"/>
    </row>
    <row r="62539" ht="14.25" customHeight="1" s="192">
      <c r="W62539" s="235" t="n"/>
      <c r="X62539" s="235" t="n"/>
    </row>
    <row r="62540" ht="14.25" customHeight="1" s="192">
      <c r="W62540" s="235" t="n"/>
      <c r="X62540" s="235" t="n"/>
    </row>
    <row r="62541" ht="14.25" customHeight="1" s="192">
      <c r="W62541" s="235" t="n"/>
      <c r="X62541" s="235" t="n"/>
    </row>
    <row r="62542" ht="14.25" customHeight="1" s="192">
      <c r="W62542" s="239" t="n"/>
      <c r="X62542" s="239" t="n"/>
    </row>
    <row r="62543" ht="14.25" customHeight="1" s="192">
      <c r="W62543" s="239" t="n"/>
      <c r="X62543" s="239" t="n"/>
    </row>
    <row r="62544" ht="14.25" customHeight="1" s="192">
      <c r="W62544" s="235" t="n"/>
      <c r="X62544" s="235" t="n"/>
    </row>
    <row r="62545" ht="14.25" customHeight="1" s="192">
      <c r="W62545" s="235" t="n"/>
      <c r="X62545" s="235" t="n"/>
    </row>
    <row r="62546" ht="14.25" customHeight="1" s="192">
      <c r="W62546" s="239" t="n"/>
      <c r="X62546" s="239" t="n"/>
    </row>
    <row r="62547" ht="14.25" customHeight="1" s="192">
      <c r="W62547" s="235" t="n"/>
      <c r="X62547" s="235" t="n"/>
    </row>
    <row r="62548" ht="14.25" customHeight="1" s="192">
      <c r="W62548" s="239" t="n"/>
      <c r="X62548" s="239" t="n"/>
    </row>
    <row r="62550" ht="14.25" customHeight="1" s="192">
      <c r="W62550" s="235" t="n"/>
      <c r="X62550" s="235" t="n"/>
    </row>
    <row r="62551" ht="15" customHeight="1" s="192" thickBot="1">
      <c r="W62551" s="239" t="n"/>
      <c r="X62551" s="239" t="n"/>
    </row>
    <row r="62552" ht="15" customHeight="1" s="192" thickBot="1">
      <c r="W62552" s="45" t="n"/>
      <c r="X62552" s="45" t="n"/>
    </row>
    <row r="62553" ht="14.25" customHeight="1" s="192">
      <c r="W62553" s="228" t="n"/>
      <c r="X62553" s="228" t="n"/>
    </row>
    <row r="62554" ht="14.25" customHeight="1" s="192">
      <c r="W62554" s="228" t="n"/>
      <c r="X62554" s="228" t="n"/>
    </row>
    <row r="62555" ht="14.25" customHeight="1" s="192">
      <c r="W62555" s="231" t="n"/>
      <c r="X62555" s="231" t="n"/>
    </row>
    <row r="62556" ht="14.25" customHeight="1" s="192">
      <c r="W62556" s="33" t="n"/>
      <c r="X62556" s="33" t="n"/>
    </row>
    <row r="62557" ht="14.25" customHeight="1" s="192">
      <c r="W62557" s="231" t="n"/>
      <c r="X62557" s="231" t="n"/>
    </row>
    <row r="62558" ht="14.25" customHeight="1" s="192">
      <c r="W62558" s="33" t="n"/>
      <c r="X62558" s="33" t="n"/>
    </row>
    <row r="62560" ht="14.25" customHeight="1" s="192">
      <c r="W62560" s="231" t="n"/>
      <c r="X62560" s="231" t="n"/>
    </row>
    <row r="62561" ht="14.25" customHeight="1" s="192">
      <c r="W62561" s="235" t="n"/>
      <c r="X62561" s="235" t="n"/>
    </row>
    <row r="62562" ht="14.25" customHeight="1" s="192">
      <c r="W62562" s="228" t="n"/>
      <c r="X62562" s="228" t="n"/>
    </row>
    <row r="62563" ht="14.25" customHeight="1" s="192">
      <c r="W62563" s="235" t="n"/>
      <c r="X62563" s="235" t="n"/>
    </row>
    <row r="62564" ht="14.25" customHeight="1" s="192">
      <c r="W62564" s="235" t="n"/>
      <c r="X62564" s="235" t="n"/>
    </row>
    <row r="62565" ht="14.25" customHeight="1" s="192">
      <c r="W62565" s="235" t="n"/>
      <c r="X62565" s="235" t="n"/>
    </row>
    <row r="62566" ht="14.25" customHeight="1" s="192">
      <c r="W62566" s="239" t="n"/>
      <c r="X62566" s="239" t="n"/>
    </row>
    <row r="62567" ht="14.25" customHeight="1" s="192">
      <c r="W62567" s="239" t="n"/>
      <c r="X62567" s="239" t="n"/>
    </row>
    <row r="62568" ht="14.25" customHeight="1" s="192">
      <c r="W62568" s="239" t="n"/>
      <c r="X62568" s="239" t="n"/>
    </row>
    <row r="62569" ht="14.25" customHeight="1" s="192">
      <c r="W62569" s="235" t="n"/>
      <c r="X62569" s="235" t="n"/>
    </row>
    <row r="62570" ht="14.25" customHeight="1" s="192">
      <c r="W62570" s="235" t="n"/>
      <c r="X62570" s="235" t="n"/>
    </row>
    <row r="62571" ht="14.25" customHeight="1" s="192">
      <c r="W62571" s="235" t="n"/>
      <c r="X62571" s="235" t="n"/>
    </row>
    <row r="62572" ht="14.25" customHeight="1" s="192">
      <c r="W62572" s="239" t="n"/>
      <c r="X62572" s="239" t="n"/>
    </row>
    <row r="62573" ht="14.25" customHeight="1" s="192">
      <c r="W62573" s="239" t="n"/>
      <c r="X62573" s="239" t="n"/>
    </row>
    <row r="62574" ht="14.25" customHeight="1" s="192">
      <c r="W62574" s="235" t="n"/>
      <c r="X62574" s="235" t="n"/>
    </row>
    <row r="62575" ht="14.25" customHeight="1" s="192">
      <c r="W62575" s="235" t="n"/>
      <c r="X62575" s="235" t="n"/>
    </row>
    <row r="62576" ht="14.25" customHeight="1" s="192">
      <c r="W62576" s="239" t="n"/>
      <c r="X62576" s="239" t="n"/>
    </row>
    <row r="62577" ht="14.25" customHeight="1" s="192">
      <c r="W62577" s="235" t="n"/>
      <c r="X62577" s="235" t="n"/>
    </row>
    <row r="62578" ht="14.25" customHeight="1" s="192">
      <c r="W62578" s="239" t="n"/>
      <c r="X62578" s="239" t="n"/>
    </row>
    <row r="62580" ht="14.25" customHeight="1" s="192">
      <c r="W62580" s="235" t="n"/>
      <c r="X62580" s="235" t="n"/>
    </row>
    <row r="62581" ht="15" customHeight="1" s="192" thickBot="1">
      <c r="W62581" s="239" t="n"/>
      <c r="X62581" s="239" t="n"/>
    </row>
    <row r="62582" ht="15" customHeight="1" s="192" thickBot="1">
      <c r="W62582" s="45" t="n"/>
      <c r="X62582" s="45" t="n"/>
    </row>
    <row r="62583" ht="14.25" customHeight="1" s="192">
      <c r="W62583" s="228" t="n"/>
      <c r="X62583" s="228" t="n"/>
    </row>
    <row r="62584" ht="14.25" customHeight="1" s="192">
      <c r="W62584" s="228" t="n"/>
      <c r="X62584" s="228" t="n"/>
    </row>
    <row r="62585" ht="14.25" customHeight="1" s="192">
      <c r="W62585" s="231" t="n"/>
      <c r="X62585" s="231" t="n"/>
    </row>
    <row r="62586" ht="14.25" customHeight="1" s="192">
      <c r="W62586" s="33" t="n"/>
      <c r="X62586" s="33" t="n"/>
    </row>
    <row r="62587" ht="14.25" customHeight="1" s="192">
      <c r="W62587" s="231" t="n"/>
      <c r="X62587" s="231" t="n"/>
    </row>
    <row r="62588" ht="14.25" customHeight="1" s="192">
      <c r="W62588" s="33" t="n"/>
      <c r="X62588" s="33" t="n"/>
    </row>
    <row r="62590" ht="14.25" customHeight="1" s="192">
      <c r="W62590" s="231" t="n"/>
      <c r="X62590" s="231" t="n"/>
    </row>
    <row r="62591" ht="14.25" customHeight="1" s="192">
      <c r="W62591" s="235" t="n"/>
      <c r="X62591" s="235" t="n"/>
    </row>
    <row r="62592" ht="14.25" customHeight="1" s="192">
      <c r="W62592" s="228" t="n"/>
      <c r="X62592" s="228" t="n"/>
    </row>
    <row r="62593" ht="14.25" customHeight="1" s="192">
      <c r="W62593" s="235" t="n"/>
      <c r="X62593" s="235" t="n"/>
    </row>
    <row r="62594" ht="14.25" customHeight="1" s="192">
      <c r="W62594" s="235" t="n"/>
      <c r="X62594" s="235" t="n"/>
    </row>
    <row r="62595" ht="14.25" customHeight="1" s="192">
      <c r="W62595" s="235" t="n"/>
      <c r="X62595" s="235" t="n"/>
    </row>
    <row r="62596" ht="14.25" customHeight="1" s="192">
      <c r="W62596" s="239" t="n"/>
      <c r="X62596" s="239" t="n"/>
    </row>
    <row r="62597" ht="14.25" customHeight="1" s="192">
      <c r="W62597" s="239" t="n"/>
      <c r="X62597" s="239" t="n"/>
    </row>
    <row r="62598" ht="14.25" customHeight="1" s="192">
      <c r="W62598" s="239" t="n"/>
      <c r="X62598" s="239" t="n"/>
    </row>
    <row r="62599" ht="14.25" customHeight="1" s="192">
      <c r="W62599" s="235" t="n"/>
      <c r="X62599" s="235" t="n"/>
    </row>
    <row r="62600" ht="14.25" customHeight="1" s="192">
      <c r="W62600" s="235" t="n"/>
      <c r="X62600" s="235" t="n"/>
    </row>
    <row r="62601" ht="14.25" customHeight="1" s="192">
      <c r="W62601" s="235" t="n"/>
      <c r="X62601" s="235" t="n"/>
    </row>
    <row r="62602" ht="14.25" customHeight="1" s="192">
      <c r="W62602" s="239" t="n"/>
      <c r="X62602" s="239" t="n"/>
    </row>
    <row r="62603" ht="14.25" customHeight="1" s="192">
      <c r="W62603" s="239" t="n"/>
      <c r="X62603" s="239" t="n"/>
    </row>
    <row r="62604" ht="14.25" customHeight="1" s="192">
      <c r="W62604" s="235" t="n"/>
      <c r="X62604" s="235" t="n"/>
    </row>
    <row r="62605" ht="14.25" customHeight="1" s="192">
      <c r="W62605" s="235" t="n"/>
      <c r="X62605" s="235" t="n"/>
    </row>
    <row r="62606" ht="14.25" customHeight="1" s="192">
      <c r="W62606" s="239" t="n"/>
      <c r="X62606" s="239" t="n"/>
    </row>
    <row r="62607" ht="14.25" customHeight="1" s="192">
      <c r="W62607" s="235" t="n"/>
      <c r="X62607" s="235" t="n"/>
    </row>
    <row r="62608" ht="14.25" customHeight="1" s="192">
      <c r="W62608" s="239" t="n"/>
      <c r="X62608" s="239" t="n"/>
    </row>
    <row r="62610" ht="14.25" customHeight="1" s="192">
      <c r="W62610" s="235" t="n"/>
      <c r="X62610" s="235" t="n"/>
    </row>
    <row r="62611" ht="15" customHeight="1" s="192" thickBot="1">
      <c r="W62611" s="239" t="n"/>
      <c r="X62611" s="239" t="n"/>
    </row>
    <row r="62612" ht="15" customHeight="1" s="192" thickBot="1">
      <c r="W62612" s="45" t="n"/>
      <c r="X62612" s="45" t="n"/>
    </row>
    <row r="62613" ht="14.25" customHeight="1" s="192">
      <c r="W62613" s="228" t="n"/>
      <c r="X62613" s="228" t="n"/>
    </row>
    <row r="62614" ht="14.25" customHeight="1" s="192">
      <c r="W62614" s="228" t="n"/>
      <c r="X62614" s="228" t="n"/>
    </row>
    <row r="62615" ht="14.25" customHeight="1" s="192">
      <c r="W62615" s="231" t="n"/>
      <c r="X62615" s="231" t="n"/>
    </row>
    <row r="62616" ht="14.25" customHeight="1" s="192">
      <c r="W62616" s="33" t="n"/>
      <c r="X62616" s="33" t="n"/>
    </row>
    <row r="62617" ht="14.25" customHeight="1" s="192">
      <c r="W62617" s="231" t="n"/>
      <c r="X62617" s="231" t="n"/>
    </row>
    <row r="62618" ht="14.25" customHeight="1" s="192">
      <c r="W62618" s="33" t="n"/>
      <c r="X62618" s="33" t="n"/>
    </row>
    <row r="62620" ht="14.25" customHeight="1" s="192">
      <c r="W62620" s="231" t="n"/>
      <c r="X62620" s="231" t="n"/>
    </row>
    <row r="62621" ht="14.25" customHeight="1" s="192">
      <c r="W62621" s="235" t="n"/>
      <c r="X62621" s="235" t="n"/>
    </row>
    <row r="62622" ht="14.25" customHeight="1" s="192">
      <c r="W62622" s="228" t="n"/>
      <c r="X62622" s="228" t="n"/>
    </row>
    <row r="62623" ht="14.25" customHeight="1" s="192">
      <c r="W62623" s="235" t="n"/>
      <c r="X62623" s="235" t="n"/>
    </row>
    <row r="62624" ht="14.25" customHeight="1" s="192">
      <c r="W62624" s="235" t="n"/>
      <c r="X62624" s="235" t="n"/>
    </row>
    <row r="62625" ht="14.25" customHeight="1" s="192">
      <c r="W62625" s="235" t="n"/>
      <c r="X62625" s="235" t="n"/>
    </row>
    <row r="62626" ht="14.25" customHeight="1" s="192">
      <c r="W62626" s="239" t="n"/>
      <c r="X62626" s="239" t="n"/>
    </row>
    <row r="62627" ht="14.25" customHeight="1" s="192">
      <c r="W62627" s="239" t="n"/>
      <c r="X62627" s="239" t="n"/>
    </row>
    <row r="62628" ht="14.25" customHeight="1" s="192">
      <c r="W62628" s="239" t="n"/>
      <c r="X62628" s="239" t="n"/>
    </row>
    <row r="62629" ht="14.25" customHeight="1" s="192">
      <c r="W62629" s="235" t="n"/>
      <c r="X62629" s="235" t="n"/>
    </row>
    <row r="62630" ht="14.25" customHeight="1" s="192">
      <c r="W62630" s="235" t="n"/>
      <c r="X62630" s="235" t="n"/>
    </row>
    <row r="62631" ht="14.25" customHeight="1" s="192">
      <c r="W62631" s="235" t="n"/>
      <c r="X62631" s="235" t="n"/>
    </row>
    <row r="62632" ht="14.25" customHeight="1" s="192">
      <c r="W62632" s="239" t="n"/>
      <c r="X62632" s="239" t="n"/>
    </row>
    <row r="62633" ht="14.25" customHeight="1" s="192">
      <c r="W62633" s="239" t="n"/>
      <c r="X62633" s="239" t="n"/>
    </row>
    <row r="62634" ht="14.25" customHeight="1" s="192">
      <c r="W62634" s="235" t="n"/>
      <c r="X62634" s="235" t="n"/>
    </row>
    <row r="62635" ht="14.25" customHeight="1" s="192">
      <c r="W62635" s="235" t="n"/>
      <c r="X62635" s="235" t="n"/>
    </row>
    <row r="62636" ht="14.25" customHeight="1" s="192">
      <c r="W62636" s="239" t="n"/>
      <c r="X62636" s="239" t="n"/>
    </row>
    <row r="62637" ht="14.25" customHeight="1" s="192">
      <c r="W62637" s="235" t="n"/>
      <c r="X62637" s="235" t="n"/>
    </row>
    <row r="62638" ht="14.25" customHeight="1" s="192">
      <c r="W62638" s="239" t="n"/>
      <c r="X62638" s="239" t="n"/>
    </row>
    <row r="62640" ht="14.25" customHeight="1" s="192">
      <c r="W62640" s="235" t="n"/>
      <c r="X62640" s="235" t="n"/>
    </row>
    <row r="62641" ht="15" customHeight="1" s="192" thickBot="1">
      <c r="W62641" s="239" t="n"/>
      <c r="X62641" s="239" t="n"/>
    </row>
    <row r="62642" ht="15" customHeight="1" s="192" thickBot="1">
      <c r="W62642" s="45" t="n"/>
      <c r="X62642" s="45" t="n"/>
    </row>
    <row r="62643" ht="14.25" customHeight="1" s="192">
      <c r="W62643" s="228" t="n"/>
      <c r="X62643" s="228" t="n"/>
    </row>
    <row r="62644" ht="14.25" customHeight="1" s="192">
      <c r="W62644" s="228" t="n"/>
      <c r="X62644" s="228" t="n"/>
    </row>
    <row r="62645" ht="14.25" customHeight="1" s="192">
      <c r="W62645" s="231" t="n"/>
      <c r="X62645" s="231" t="n"/>
    </row>
    <row r="62646" ht="14.25" customHeight="1" s="192">
      <c r="W62646" s="33" t="n"/>
      <c r="X62646" s="33" t="n"/>
    </row>
    <row r="62647" ht="14.25" customHeight="1" s="192">
      <c r="W62647" s="231" t="n"/>
      <c r="X62647" s="231" t="n"/>
    </row>
    <row r="62648" ht="14.25" customHeight="1" s="192">
      <c r="W62648" s="33" t="n"/>
      <c r="X62648" s="33" t="n"/>
    </row>
    <row r="62650" ht="14.25" customHeight="1" s="192">
      <c r="W62650" s="231" t="n"/>
      <c r="X62650" s="231" t="n"/>
    </row>
    <row r="62651" ht="14.25" customHeight="1" s="192">
      <c r="W62651" s="235" t="n"/>
      <c r="X62651" s="235" t="n"/>
    </row>
    <row r="62652" ht="14.25" customHeight="1" s="192">
      <c r="W62652" s="228" t="n"/>
      <c r="X62652" s="228" t="n"/>
    </row>
    <row r="62653" ht="14.25" customHeight="1" s="192">
      <c r="W62653" s="235" t="n"/>
      <c r="X62653" s="235" t="n"/>
    </row>
    <row r="62654" ht="14.25" customHeight="1" s="192">
      <c r="W62654" s="235" t="n"/>
      <c r="X62654" s="235" t="n"/>
    </row>
    <row r="62655" ht="14.25" customHeight="1" s="192">
      <c r="W62655" s="235" t="n"/>
      <c r="X62655" s="235" t="n"/>
    </row>
    <row r="62656" ht="14.25" customHeight="1" s="192">
      <c r="W62656" s="239" t="n"/>
      <c r="X62656" s="239" t="n"/>
    </row>
    <row r="62657" ht="14.25" customHeight="1" s="192">
      <c r="W62657" s="239" t="n"/>
      <c r="X62657" s="239" t="n"/>
    </row>
    <row r="62658" ht="14.25" customHeight="1" s="192">
      <c r="W62658" s="239" t="n"/>
      <c r="X62658" s="239" t="n"/>
    </row>
    <row r="62659" ht="14.25" customHeight="1" s="192">
      <c r="W62659" s="235" t="n"/>
      <c r="X62659" s="235" t="n"/>
    </row>
    <row r="62660" ht="14.25" customHeight="1" s="192">
      <c r="W62660" s="235" t="n"/>
      <c r="X62660" s="235" t="n"/>
    </row>
    <row r="62661" ht="14.25" customHeight="1" s="192">
      <c r="W62661" s="235" t="n"/>
      <c r="X62661" s="235" t="n"/>
    </row>
    <row r="62662" ht="14.25" customHeight="1" s="192">
      <c r="W62662" s="239" t="n"/>
      <c r="X62662" s="239" t="n"/>
    </row>
    <row r="62663" ht="14.25" customHeight="1" s="192">
      <c r="W62663" s="239" t="n"/>
      <c r="X62663" s="239" t="n"/>
    </row>
    <row r="62664" ht="14.25" customHeight="1" s="192">
      <c r="W62664" s="235" t="n"/>
      <c r="X62664" s="235" t="n"/>
    </row>
    <row r="62665" ht="14.25" customHeight="1" s="192">
      <c r="W62665" s="235" t="n"/>
      <c r="X62665" s="235" t="n"/>
    </row>
    <row r="62666" ht="14.25" customHeight="1" s="192">
      <c r="W62666" s="239" t="n"/>
      <c r="X62666" s="239" t="n"/>
    </row>
    <row r="62667" ht="14.25" customHeight="1" s="192">
      <c r="W62667" s="235" t="n"/>
      <c r="X62667" s="235" t="n"/>
    </row>
    <row r="62668" ht="14.25" customHeight="1" s="192">
      <c r="W62668" s="239" t="n"/>
      <c r="X62668" s="239" t="n"/>
    </row>
    <row r="62670" ht="14.25" customHeight="1" s="192">
      <c r="W62670" s="235" t="n"/>
      <c r="X62670" s="235" t="n"/>
    </row>
    <row r="62671" ht="15" customHeight="1" s="192" thickBot="1">
      <c r="W62671" s="239" t="n"/>
      <c r="X62671" s="239" t="n"/>
    </row>
    <row r="62672" ht="15" customHeight="1" s="192" thickBot="1">
      <c r="W62672" s="45" t="n"/>
      <c r="X62672" s="45" t="n"/>
    </row>
    <row r="62673" ht="14.25" customHeight="1" s="192">
      <c r="W62673" s="228" t="n"/>
      <c r="X62673" s="228" t="n"/>
    </row>
    <row r="62674" ht="14.25" customHeight="1" s="192">
      <c r="W62674" s="228" t="n"/>
      <c r="X62674" s="228" t="n"/>
    </row>
    <row r="62675" ht="14.25" customHeight="1" s="192">
      <c r="W62675" s="231" t="n"/>
      <c r="X62675" s="231" t="n"/>
    </row>
    <row r="62676" ht="14.25" customHeight="1" s="192">
      <c r="W62676" s="33" t="n"/>
      <c r="X62676" s="33" t="n"/>
    </row>
    <row r="62677" ht="14.25" customHeight="1" s="192">
      <c r="W62677" s="231" t="n"/>
      <c r="X62677" s="231" t="n"/>
    </row>
    <row r="62678" ht="14.25" customHeight="1" s="192">
      <c r="W62678" s="33" t="n"/>
      <c r="X62678" s="33" t="n"/>
    </row>
    <row r="62680" ht="14.25" customHeight="1" s="192">
      <c r="W62680" s="231" t="n"/>
      <c r="X62680" s="231" t="n"/>
    </row>
    <row r="62681" ht="14.25" customHeight="1" s="192">
      <c r="W62681" s="235" t="n"/>
      <c r="X62681" s="235" t="n"/>
    </row>
    <row r="62682" ht="14.25" customHeight="1" s="192">
      <c r="W62682" s="228" t="n"/>
      <c r="X62682" s="228" t="n"/>
    </row>
    <row r="62683" ht="14.25" customHeight="1" s="192">
      <c r="W62683" s="235" t="n"/>
      <c r="X62683" s="235" t="n"/>
    </row>
    <row r="62684" ht="14.25" customHeight="1" s="192">
      <c r="W62684" s="235" t="n"/>
      <c r="X62684" s="235" t="n"/>
    </row>
    <row r="62685" ht="14.25" customHeight="1" s="192">
      <c r="W62685" s="235" t="n"/>
      <c r="X62685" s="235" t="n"/>
    </row>
    <row r="62686" ht="14.25" customHeight="1" s="192">
      <c r="W62686" s="239" t="n"/>
      <c r="X62686" s="239" t="n"/>
    </row>
    <row r="62687" ht="14.25" customHeight="1" s="192">
      <c r="W62687" s="239" t="n"/>
      <c r="X62687" s="239" t="n"/>
    </row>
    <row r="62688" ht="14.25" customHeight="1" s="192">
      <c r="W62688" s="239" t="n"/>
      <c r="X62688" s="239" t="n"/>
    </row>
    <row r="62689" ht="14.25" customHeight="1" s="192">
      <c r="W62689" s="235" t="n"/>
      <c r="X62689" s="235" t="n"/>
    </row>
    <row r="62690" ht="14.25" customHeight="1" s="192">
      <c r="W62690" s="235" t="n"/>
      <c r="X62690" s="235" t="n"/>
    </row>
    <row r="62691" ht="14.25" customHeight="1" s="192">
      <c r="W62691" s="235" t="n"/>
      <c r="X62691" s="235" t="n"/>
    </row>
    <row r="62692" ht="14.25" customHeight="1" s="192">
      <c r="W62692" s="239" t="n"/>
      <c r="X62692" s="239" t="n"/>
    </row>
    <row r="62693" ht="14.25" customHeight="1" s="192">
      <c r="W62693" s="239" t="n"/>
      <c r="X62693" s="239" t="n"/>
    </row>
    <row r="62694" ht="14.25" customHeight="1" s="192">
      <c r="W62694" s="235" t="n"/>
      <c r="X62694" s="235" t="n"/>
    </row>
    <row r="62695" ht="14.25" customHeight="1" s="192">
      <c r="W62695" s="235" t="n"/>
      <c r="X62695" s="235" t="n"/>
    </row>
    <row r="62696" ht="14.25" customHeight="1" s="192">
      <c r="W62696" s="239" t="n"/>
      <c r="X62696" s="239" t="n"/>
    </row>
    <row r="62697" ht="14.25" customHeight="1" s="192">
      <c r="W62697" s="235" t="n"/>
      <c r="X62697" s="235" t="n"/>
    </row>
    <row r="62698" ht="14.25" customHeight="1" s="192">
      <c r="W62698" s="239" t="n"/>
      <c r="X62698" s="239" t="n"/>
    </row>
    <row r="62700" ht="14.25" customHeight="1" s="192">
      <c r="W62700" s="235" t="n"/>
      <c r="X62700" s="235" t="n"/>
    </row>
    <row r="62701" ht="15" customHeight="1" s="192" thickBot="1">
      <c r="W62701" s="239" t="n"/>
      <c r="X62701" s="239" t="n"/>
    </row>
    <row r="62702" ht="15" customHeight="1" s="192" thickBot="1">
      <c r="W62702" s="45" t="n"/>
      <c r="X62702" s="45" t="n"/>
    </row>
    <row r="62703" ht="14.25" customHeight="1" s="192">
      <c r="W62703" s="228" t="n"/>
      <c r="X62703" s="228" t="n"/>
    </row>
    <row r="62704" ht="14.25" customHeight="1" s="192">
      <c r="W62704" s="228" t="n"/>
      <c r="X62704" s="228" t="n"/>
    </row>
    <row r="62705" ht="14.25" customHeight="1" s="192">
      <c r="W62705" s="231" t="n"/>
      <c r="X62705" s="231" t="n"/>
    </row>
    <row r="62706" ht="14.25" customHeight="1" s="192">
      <c r="W62706" s="33" t="n"/>
      <c r="X62706" s="33" t="n"/>
    </row>
    <row r="62707" ht="14.25" customHeight="1" s="192">
      <c r="W62707" s="231" t="n"/>
      <c r="X62707" s="231" t="n"/>
    </row>
    <row r="62708" ht="14.25" customHeight="1" s="192">
      <c r="W62708" s="33" t="n"/>
      <c r="X62708" s="33" t="n"/>
    </row>
    <row r="62710" ht="14.25" customHeight="1" s="192">
      <c r="W62710" s="231" t="n"/>
      <c r="X62710" s="231" t="n"/>
    </row>
    <row r="62711" ht="14.25" customHeight="1" s="192">
      <c r="W62711" s="235" t="n"/>
      <c r="X62711" s="235" t="n"/>
    </row>
    <row r="62712" ht="14.25" customHeight="1" s="192">
      <c r="W62712" s="228" t="n"/>
      <c r="X62712" s="228" t="n"/>
    </row>
    <row r="62713" ht="14.25" customHeight="1" s="192">
      <c r="W62713" s="235" t="n"/>
      <c r="X62713" s="235" t="n"/>
    </row>
    <row r="62714" ht="14.25" customHeight="1" s="192">
      <c r="W62714" s="235" t="n"/>
      <c r="X62714" s="235" t="n"/>
    </row>
    <row r="62715" ht="14.25" customHeight="1" s="192">
      <c r="W62715" s="235" t="n"/>
      <c r="X62715" s="235" t="n"/>
    </row>
    <row r="62716" ht="14.25" customHeight="1" s="192">
      <c r="W62716" s="239" t="n"/>
      <c r="X62716" s="239" t="n"/>
    </row>
    <row r="62717" ht="14.25" customHeight="1" s="192">
      <c r="W62717" s="239" t="n"/>
      <c r="X62717" s="239" t="n"/>
    </row>
    <row r="62718" ht="14.25" customHeight="1" s="192">
      <c r="W62718" s="239" t="n"/>
      <c r="X62718" s="239" t="n"/>
    </row>
    <row r="62719" ht="14.25" customHeight="1" s="192">
      <c r="W62719" s="235" t="n"/>
      <c r="X62719" s="235" t="n"/>
    </row>
    <row r="62720" ht="14.25" customHeight="1" s="192">
      <c r="W62720" s="235" t="n"/>
      <c r="X62720" s="235" t="n"/>
    </row>
    <row r="62721" ht="14.25" customHeight="1" s="192">
      <c r="W62721" s="235" t="n"/>
      <c r="X62721" s="235" t="n"/>
    </row>
    <row r="62722" ht="14.25" customHeight="1" s="192">
      <c r="W62722" s="239" t="n"/>
      <c r="X62722" s="239" t="n"/>
    </row>
    <row r="62723" ht="14.25" customHeight="1" s="192">
      <c r="W62723" s="239" t="n"/>
      <c r="X62723" s="239" t="n"/>
    </row>
    <row r="62724" ht="14.25" customHeight="1" s="192">
      <c r="W62724" s="235" t="n"/>
      <c r="X62724" s="235" t="n"/>
    </row>
    <row r="62725" ht="14.25" customHeight="1" s="192">
      <c r="W62725" s="235" t="n"/>
      <c r="X62725" s="235" t="n"/>
    </row>
    <row r="62726" ht="14.25" customHeight="1" s="192">
      <c r="W62726" s="239" t="n"/>
      <c r="X62726" s="239" t="n"/>
    </row>
    <row r="62727" ht="14.25" customHeight="1" s="192">
      <c r="W62727" s="235" t="n"/>
      <c r="X62727" s="235" t="n"/>
    </row>
    <row r="62728" ht="14.25" customHeight="1" s="192">
      <c r="W62728" s="239" t="n"/>
      <c r="X62728" s="239" t="n"/>
    </row>
    <row r="62730" ht="14.25" customHeight="1" s="192">
      <c r="W62730" s="235" t="n"/>
      <c r="X62730" s="235" t="n"/>
    </row>
    <row r="62731" ht="15" customHeight="1" s="192" thickBot="1">
      <c r="W62731" s="239" t="n"/>
      <c r="X62731" s="239" t="n"/>
    </row>
    <row r="62732" ht="15" customHeight="1" s="192" thickBot="1">
      <c r="W62732" s="45" t="n"/>
      <c r="X62732" s="45" t="n"/>
    </row>
    <row r="62733" ht="14.25" customHeight="1" s="192">
      <c r="W62733" s="228" t="n"/>
      <c r="X62733" s="228" t="n"/>
    </row>
    <row r="62734" ht="14.25" customHeight="1" s="192">
      <c r="W62734" s="228" t="n"/>
      <c r="X62734" s="228" t="n"/>
    </row>
    <row r="62735" ht="14.25" customHeight="1" s="192">
      <c r="W62735" s="231" t="n"/>
      <c r="X62735" s="231" t="n"/>
    </row>
    <row r="62736" ht="14.25" customHeight="1" s="192">
      <c r="W62736" s="33" t="n"/>
      <c r="X62736" s="33" t="n"/>
    </row>
    <row r="62737" ht="14.25" customHeight="1" s="192">
      <c r="W62737" s="231" t="n"/>
      <c r="X62737" s="231" t="n"/>
    </row>
    <row r="62738" ht="14.25" customHeight="1" s="192">
      <c r="W62738" s="33" t="n"/>
      <c r="X62738" s="33" t="n"/>
    </row>
    <row r="62740" ht="14.25" customHeight="1" s="192">
      <c r="W62740" s="231" t="n"/>
      <c r="X62740" s="231" t="n"/>
    </row>
    <row r="62741" ht="14.25" customHeight="1" s="192">
      <c r="W62741" s="235" t="n"/>
      <c r="X62741" s="235" t="n"/>
    </row>
    <row r="62742" ht="14.25" customHeight="1" s="192">
      <c r="W62742" s="228" t="n"/>
      <c r="X62742" s="228" t="n"/>
    </row>
    <row r="62743" ht="14.25" customHeight="1" s="192">
      <c r="W62743" s="235" t="n"/>
      <c r="X62743" s="235" t="n"/>
    </row>
    <row r="62744" ht="14.25" customHeight="1" s="192">
      <c r="W62744" s="235" t="n"/>
      <c r="X62744" s="235" t="n"/>
    </row>
    <row r="62745" ht="14.25" customHeight="1" s="192">
      <c r="W62745" s="235" t="n"/>
      <c r="X62745" s="235" t="n"/>
    </row>
    <row r="62746" ht="14.25" customHeight="1" s="192">
      <c r="W62746" s="239" t="n"/>
      <c r="X62746" s="239" t="n"/>
    </row>
    <row r="62747" ht="14.25" customHeight="1" s="192">
      <c r="W62747" s="239" t="n"/>
      <c r="X62747" s="239" t="n"/>
    </row>
    <row r="62748" ht="14.25" customHeight="1" s="192">
      <c r="W62748" s="239" t="n"/>
      <c r="X62748" s="239" t="n"/>
    </row>
    <row r="62749" ht="14.25" customHeight="1" s="192">
      <c r="W62749" s="235" t="n"/>
      <c r="X62749" s="235" t="n"/>
    </row>
    <row r="62750" ht="14.25" customHeight="1" s="192">
      <c r="W62750" s="235" t="n"/>
      <c r="X62750" s="235" t="n"/>
    </row>
    <row r="62751" ht="14.25" customHeight="1" s="192">
      <c r="W62751" s="235" t="n"/>
      <c r="X62751" s="235" t="n"/>
    </row>
    <row r="62752" ht="14.25" customHeight="1" s="192">
      <c r="W62752" s="239" t="n"/>
      <c r="X62752" s="239" t="n"/>
    </row>
    <row r="62753" ht="14.25" customHeight="1" s="192">
      <c r="W62753" s="239" t="n"/>
      <c r="X62753" s="239" t="n"/>
    </row>
    <row r="62754" ht="14.25" customHeight="1" s="192">
      <c r="W62754" s="235" t="n"/>
      <c r="X62754" s="235" t="n"/>
    </row>
    <row r="62755" ht="14.25" customHeight="1" s="192">
      <c r="W62755" s="235" t="n"/>
      <c r="X62755" s="235" t="n"/>
    </row>
    <row r="62756" ht="14.25" customHeight="1" s="192">
      <c r="W62756" s="239" t="n"/>
      <c r="X62756" s="239" t="n"/>
    </row>
    <row r="62757" ht="14.25" customHeight="1" s="192">
      <c r="W62757" s="235" t="n"/>
      <c r="X62757" s="235" t="n"/>
    </row>
    <row r="62758" ht="14.25" customHeight="1" s="192">
      <c r="W62758" s="239" t="n"/>
      <c r="X62758" s="239" t="n"/>
    </row>
    <row r="62760" ht="14.25" customHeight="1" s="192">
      <c r="W62760" s="235" t="n"/>
      <c r="X62760" s="235" t="n"/>
    </row>
    <row r="62761" ht="15" customHeight="1" s="192" thickBot="1">
      <c r="W62761" s="239" t="n"/>
      <c r="X62761" s="239" t="n"/>
    </row>
    <row r="62762" ht="15" customHeight="1" s="192" thickBot="1">
      <c r="W62762" s="45" t="n"/>
      <c r="X62762" s="45" t="n"/>
    </row>
    <row r="62763" ht="14.25" customHeight="1" s="192">
      <c r="W62763" s="228" t="n"/>
      <c r="X62763" s="228" t="n"/>
    </row>
    <row r="62764" ht="14.25" customHeight="1" s="192">
      <c r="W62764" s="228" t="n"/>
      <c r="X62764" s="228" t="n"/>
    </row>
    <row r="62765" ht="14.25" customHeight="1" s="192">
      <c r="W62765" s="231" t="n"/>
      <c r="X62765" s="231" t="n"/>
    </row>
    <row r="62766" ht="14.25" customHeight="1" s="192">
      <c r="W62766" s="33" t="n"/>
      <c r="X62766" s="33" t="n"/>
    </row>
    <row r="62767" ht="14.25" customHeight="1" s="192">
      <c r="W62767" s="231" t="n"/>
      <c r="X62767" s="231" t="n"/>
    </row>
    <row r="62768" ht="14.25" customHeight="1" s="192">
      <c r="W62768" s="33" t="n"/>
      <c r="X62768" s="33" t="n"/>
    </row>
    <row r="62770" ht="14.25" customHeight="1" s="192">
      <c r="W62770" s="231" t="n"/>
      <c r="X62770" s="231" t="n"/>
    </row>
    <row r="62771" ht="14.25" customHeight="1" s="192">
      <c r="W62771" s="235" t="n"/>
      <c r="X62771" s="235" t="n"/>
    </row>
    <row r="62772" ht="14.25" customHeight="1" s="192">
      <c r="W62772" s="228" t="n"/>
      <c r="X62772" s="228" t="n"/>
    </row>
    <row r="62773" ht="14.25" customHeight="1" s="192">
      <c r="W62773" s="235" t="n"/>
      <c r="X62773" s="235" t="n"/>
    </row>
    <row r="62774" ht="14.25" customHeight="1" s="192">
      <c r="W62774" s="235" t="n"/>
      <c r="X62774" s="235" t="n"/>
    </row>
    <row r="62775" ht="14.25" customHeight="1" s="192">
      <c r="W62775" s="235" t="n"/>
      <c r="X62775" s="235" t="n"/>
    </row>
    <row r="62776" ht="14.25" customHeight="1" s="192">
      <c r="W62776" s="239" t="n"/>
      <c r="X62776" s="239" t="n"/>
    </row>
    <row r="62777" ht="14.25" customHeight="1" s="192">
      <c r="W62777" s="239" t="n"/>
      <c r="X62777" s="239" t="n"/>
    </row>
    <row r="62778" ht="14.25" customHeight="1" s="192">
      <c r="W62778" s="239" t="n"/>
      <c r="X62778" s="239" t="n"/>
    </row>
    <row r="62779" ht="14.25" customHeight="1" s="192">
      <c r="W62779" s="235" t="n"/>
      <c r="X62779" s="235" t="n"/>
    </row>
    <row r="62780" ht="14.25" customHeight="1" s="192">
      <c r="W62780" s="235" t="n"/>
      <c r="X62780" s="235" t="n"/>
    </row>
    <row r="62781" ht="14.25" customHeight="1" s="192">
      <c r="W62781" s="235" t="n"/>
      <c r="X62781" s="235" t="n"/>
    </row>
    <row r="62782" ht="14.25" customHeight="1" s="192">
      <c r="W62782" s="239" t="n"/>
      <c r="X62782" s="239" t="n"/>
    </row>
    <row r="62783" ht="14.25" customHeight="1" s="192">
      <c r="W62783" s="239" t="n"/>
      <c r="X62783" s="239" t="n"/>
    </row>
    <row r="62784" ht="14.25" customHeight="1" s="192">
      <c r="W62784" s="235" t="n"/>
      <c r="X62784" s="235" t="n"/>
    </row>
    <row r="62785" ht="14.25" customHeight="1" s="192">
      <c r="W62785" s="235" t="n"/>
      <c r="X62785" s="235" t="n"/>
    </row>
    <row r="62786" ht="14.25" customHeight="1" s="192">
      <c r="W62786" s="239" t="n"/>
      <c r="X62786" s="239" t="n"/>
    </row>
    <row r="62787" ht="14.25" customHeight="1" s="192">
      <c r="W62787" s="235" t="n"/>
      <c r="X62787" s="235" t="n"/>
    </row>
    <row r="62788" ht="14.25" customHeight="1" s="192">
      <c r="W62788" s="239" t="n"/>
      <c r="X62788" s="239" t="n"/>
    </row>
    <row r="62790" ht="14.25" customHeight="1" s="192">
      <c r="W62790" s="235" t="n"/>
      <c r="X62790" s="235" t="n"/>
    </row>
    <row r="62791" ht="15" customHeight="1" s="192" thickBot="1">
      <c r="W62791" s="239" t="n"/>
      <c r="X62791" s="239" t="n"/>
    </row>
    <row r="62792" ht="15" customHeight="1" s="192" thickBot="1">
      <c r="W62792" s="45" t="n"/>
      <c r="X62792" s="45" t="n"/>
    </row>
    <row r="62793" ht="14.25" customHeight="1" s="192">
      <c r="W62793" s="228" t="n"/>
      <c r="X62793" s="228" t="n"/>
    </row>
    <row r="62794" ht="14.25" customHeight="1" s="192">
      <c r="W62794" s="228" t="n"/>
      <c r="X62794" s="228" t="n"/>
    </row>
    <row r="62795" ht="14.25" customHeight="1" s="192">
      <c r="W62795" s="231" t="n"/>
      <c r="X62795" s="231" t="n"/>
    </row>
    <row r="62796" ht="14.25" customHeight="1" s="192">
      <c r="W62796" s="33" t="n"/>
      <c r="X62796" s="33" t="n"/>
    </row>
    <row r="62797" ht="14.25" customHeight="1" s="192">
      <c r="W62797" s="231" t="n"/>
      <c r="X62797" s="231" t="n"/>
    </row>
    <row r="62798" ht="14.25" customHeight="1" s="192">
      <c r="W62798" s="33" t="n"/>
      <c r="X62798" s="33" t="n"/>
    </row>
    <row r="62800" ht="14.25" customHeight="1" s="192">
      <c r="W62800" s="231" t="n"/>
      <c r="X62800" s="231" t="n"/>
    </row>
    <row r="62801" ht="14.25" customHeight="1" s="192">
      <c r="W62801" s="235" t="n"/>
      <c r="X62801" s="235" t="n"/>
    </row>
    <row r="62802" ht="14.25" customHeight="1" s="192">
      <c r="W62802" s="228" t="n"/>
      <c r="X62802" s="228" t="n"/>
    </row>
    <row r="62803" ht="14.25" customHeight="1" s="192">
      <c r="W62803" s="235" t="n"/>
      <c r="X62803" s="235" t="n"/>
    </row>
    <row r="62804" ht="14.25" customHeight="1" s="192">
      <c r="W62804" s="235" t="n"/>
      <c r="X62804" s="235" t="n"/>
    </row>
    <row r="62805" ht="14.25" customHeight="1" s="192">
      <c r="W62805" s="235" t="n"/>
      <c r="X62805" s="235" t="n"/>
    </row>
    <row r="62806" ht="14.25" customHeight="1" s="192">
      <c r="W62806" s="239" t="n"/>
      <c r="X62806" s="239" t="n"/>
    </row>
    <row r="62807" ht="14.25" customHeight="1" s="192">
      <c r="W62807" s="239" t="n"/>
      <c r="X62807" s="239" t="n"/>
    </row>
    <row r="62808" ht="14.25" customHeight="1" s="192">
      <c r="W62808" s="239" t="n"/>
      <c r="X62808" s="239" t="n"/>
    </row>
    <row r="62809" ht="14.25" customHeight="1" s="192">
      <c r="W62809" s="235" t="n"/>
      <c r="X62809" s="235" t="n"/>
    </row>
    <row r="62810" ht="14.25" customHeight="1" s="192">
      <c r="W62810" s="235" t="n"/>
      <c r="X62810" s="235" t="n"/>
    </row>
    <row r="62811" ht="14.25" customHeight="1" s="192">
      <c r="W62811" s="235" t="n"/>
      <c r="X62811" s="235" t="n"/>
    </row>
    <row r="62812" ht="14.25" customHeight="1" s="192">
      <c r="W62812" s="239" t="n"/>
      <c r="X62812" s="239" t="n"/>
    </row>
    <row r="62813" ht="14.25" customHeight="1" s="192">
      <c r="W62813" s="239" t="n"/>
      <c r="X62813" s="239" t="n"/>
    </row>
    <row r="62814" ht="14.25" customHeight="1" s="192">
      <c r="W62814" s="235" t="n"/>
      <c r="X62814" s="235" t="n"/>
    </row>
    <row r="62815" ht="14.25" customHeight="1" s="192">
      <c r="W62815" s="235" t="n"/>
      <c r="X62815" s="235" t="n"/>
    </row>
    <row r="62816" ht="14.25" customHeight="1" s="192">
      <c r="W62816" s="239" t="n"/>
      <c r="X62816" s="239" t="n"/>
    </row>
    <row r="62817" ht="14.25" customHeight="1" s="192">
      <c r="W62817" s="235" t="n"/>
      <c r="X62817" s="235" t="n"/>
    </row>
    <row r="62818" ht="14.25" customHeight="1" s="192">
      <c r="W62818" s="239" t="n"/>
      <c r="X62818" s="239" t="n"/>
    </row>
    <row r="62820" ht="14.25" customHeight="1" s="192">
      <c r="W62820" s="235" t="n"/>
      <c r="X62820" s="235" t="n"/>
    </row>
    <row r="62821" ht="15" customHeight="1" s="192" thickBot="1">
      <c r="W62821" s="239" t="n"/>
      <c r="X62821" s="239" t="n"/>
    </row>
    <row r="62822" ht="15" customHeight="1" s="192" thickBot="1">
      <c r="W62822" s="45" t="n"/>
      <c r="X62822" s="45" t="n"/>
    </row>
    <row r="62823" ht="14.25" customHeight="1" s="192">
      <c r="W62823" s="228" t="n"/>
      <c r="X62823" s="228" t="n"/>
    </row>
    <row r="62824" ht="14.25" customHeight="1" s="192">
      <c r="W62824" s="228" t="n"/>
      <c r="X62824" s="228" t="n"/>
    </row>
    <row r="62825" ht="14.25" customHeight="1" s="192">
      <c r="W62825" s="231" t="n"/>
      <c r="X62825" s="231" t="n"/>
    </row>
    <row r="62826" ht="14.25" customHeight="1" s="192">
      <c r="W62826" s="33" t="n"/>
      <c r="X62826" s="33" t="n"/>
    </row>
    <row r="62827" ht="14.25" customHeight="1" s="192">
      <c r="W62827" s="231" t="n"/>
      <c r="X62827" s="231" t="n"/>
    </row>
    <row r="62828" ht="14.25" customHeight="1" s="192">
      <c r="W62828" s="33" t="n"/>
      <c r="X62828" s="33" t="n"/>
    </row>
    <row r="62830" ht="14.25" customHeight="1" s="192">
      <c r="W62830" s="231" t="n"/>
      <c r="X62830" s="231" t="n"/>
    </row>
    <row r="62831" ht="14.25" customHeight="1" s="192">
      <c r="W62831" s="235" t="n"/>
      <c r="X62831" s="235" t="n"/>
    </row>
    <row r="62832" ht="14.25" customHeight="1" s="192">
      <c r="W62832" s="228" t="n"/>
      <c r="X62832" s="228" t="n"/>
    </row>
    <row r="62833" ht="14.25" customHeight="1" s="192">
      <c r="W62833" s="235" t="n"/>
      <c r="X62833" s="235" t="n"/>
    </row>
    <row r="62834" ht="14.25" customHeight="1" s="192">
      <c r="W62834" s="235" t="n"/>
      <c r="X62834" s="235" t="n"/>
    </row>
    <row r="62835" ht="14.25" customHeight="1" s="192">
      <c r="W62835" s="235" t="n"/>
      <c r="X62835" s="235" t="n"/>
    </row>
    <row r="62836" ht="14.25" customHeight="1" s="192">
      <c r="W62836" s="239" t="n"/>
      <c r="X62836" s="239" t="n"/>
    </row>
    <row r="62837" ht="14.25" customHeight="1" s="192">
      <c r="W62837" s="239" t="n"/>
      <c r="X62837" s="239" t="n"/>
    </row>
    <row r="62838" ht="14.25" customHeight="1" s="192">
      <c r="W62838" s="239" t="n"/>
      <c r="X62838" s="239" t="n"/>
    </row>
    <row r="62839" ht="14.25" customHeight="1" s="192">
      <c r="W62839" s="235" t="n"/>
      <c r="X62839" s="235" t="n"/>
    </row>
    <row r="62840" ht="14.25" customHeight="1" s="192">
      <c r="W62840" s="235" t="n"/>
      <c r="X62840" s="235" t="n"/>
    </row>
    <row r="62841" ht="14.25" customHeight="1" s="192">
      <c r="W62841" s="235" t="n"/>
      <c r="X62841" s="235" t="n"/>
    </row>
    <row r="62842" ht="14.25" customHeight="1" s="192">
      <c r="W62842" s="239" t="n"/>
      <c r="X62842" s="239" t="n"/>
    </row>
    <row r="62843" ht="14.25" customHeight="1" s="192">
      <c r="W62843" s="239" t="n"/>
      <c r="X62843" s="239" t="n"/>
    </row>
    <row r="62844" ht="14.25" customHeight="1" s="192">
      <c r="W62844" s="235" t="n"/>
      <c r="X62844" s="235" t="n"/>
    </row>
    <row r="62845" ht="14.25" customHeight="1" s="192">
      <c r="W62845" s="235" t="n"/>
      <c r="X62845" s="235" t="n"/>
    </row>
    <row r="62846" ht="14.25" customHeight="1" s="192">
      <c r="W62846" s="239" t="n"/>
      <c r="X62846" s="239" t="n"/>
    </row>
    <row r="62847" ht="14.25" customHeight="1" s="192">
      <c r="W62847" s="235" t="n"/>
      <c r="X62847" s="235" t="n"/>
    </row>
    <row r="62848" ht="14.25" customHeight="1" s="192">
      <c r="W62848" s="239" t="n"/>
      <c r="X62848" s="239" t="n"/>
    </row>
    <row r="62850" ht="14.25" customHeight="1" s="192">
      <c r="W62850" s="235" t="n"/>
      <c r="X62850" s="235" t="n"/>
    </row>
    <row r="62851" ht="15" customHeight="1" s="192" thickBot="1">
      <c r="W62851" s="239" t="n"/>
      <c r="X62851" s="239" t="n"/>
    </row>
    <row r="62852" ht="15" customHeight="1" s="192" thickBot="1">
      <c r="W62852" s="45" t="n"/>
      <c r="X62852" s="45" t="n"/>
    </row>
    <row r="62853" ht="14.25" customHeight="1" s="192">
      <c r="W62853" s="228" t="n"/>
      <c r="X62853" s="228" t="n"/>
    </row>
    <row r="62854" ht="14.25" customHeight="1" s="192">
      <c r="W62854" s="228" t="n"/>
      <c r="X62854" s="228" t="n"/>
    </row>
    <row r="62855" ht="14.25" customHeight="1" s="192">
      <c r="W62855" s="231" t="n"/>
      <c r="X62855" s="231" t="n"/>
    </row>
    <row r="62856" ht="14.25" customHeight="1" s="192">
      <c r="W62856" s="33" t="n"/>
      <c r="X62856" s="33" t="n"/>
    </row>
    <row r="62857" ht="14.25" customHeight="1" s="192">
      <c r="W62857" s="231" t="n"/>
      <c r="X62857" s="231" t="n"/>
    </row>
    <row r="62858" ht="14.25" customHeight="1" s="192">
      <c r="W62858" s="33" t="n"/>
      <c r="X62858" s="33" t="n"/>
    </row>
    <row r="62860" ht="14.25" customHeight="1" s="192">
      <c r="W62860" s="231" t="n"/>
      <c r="X62860" s="231" t="n"/>
    </row>
    <row r="62861" ht="14.25" customHeight="1" s="192">
      <c r="W62861" s="235" t="n"/>
      <c r="X62861" s="235" t="n"/>
    </row>
    <row r="62862" ht="14.25" customHeight="1" s="192">
      <c r="W62862" s="228" t="n"/>
      <c r="X62862" s="228" t="n"/>
    </row>
    <row r="62863" ht="14.25" customHeight="1" s="192">
      <c r="W62863" s="235" t="n"/>
      <c r="X62863" s="235" t="n"/>
    </row>
    <row r="62864" ht="14.25" customHeight="1" s="192">
      <c r="W62864" s="235" t="n"/>
      <c r="X62864" s="235" t="n"/>
    </row>
    <row r="62865" ht="14.25" customHeight="1" s="192">
      <c r="W62865" s="235" t="n"/>
      <c r="X62865" s="235" t="n"/>
    </row>
    <row r="62866" ht="14.25" customHeight="1" s="192">
      <c r="W62866" s="239" t="n"/>
      <c r="X62866" s="239" t="n"/>
    </row>
    <row r="62867" ht="14.25" customHeight="1" s="192">
      <c r="W62867" s="239" t="n"/>
      <c r="X62867" s="239" t="n"/>
    </row>
    <row r="62868" ht="14.25" customHeight="1" s="192">
      <c r="W62868" s="239" t="n"/>
      <c r="X62868" s="239" t="n"/>
    </row>
    <row r="62869" ht="14.25" customHeight="1" s="192">
      <c r="W62869" s="235" t="n"/>
      <c r="X62869" s="235" t="n"/>
    </row>
    <row r="62870" ht="14.25" customHeight="1" s="192">
      <c r="W62870" s="235" t="n"/>
      <c r="X62870" s="235" t="n"/>
    </row>
    <row r="62871" ht="14.25" customHeight="1" s="192">
      <c r="W62871" s="235" t="n"/>
      <c r="X62871" s="235" t="n"/>
    </row>
    <row r="62872" ht="14.25" customHeight="1" s="192">
      <c r="W62872" s="239" t="n"/>
      <c r="X62872" s="239" t="n"/>
    </row>
    <row r="62873" ht="14.25" customHeight="1" s="192">
      <c r="W62873" s="239" t="n"/>
      <c r="X62873" s="239" t="n"/>
    </row>
    <row r="62874" ht="14.25" customHeight="1" s="192">
      <c r="W62874" s="235" t="n"/>
      <c r="X62874" s="235" t="n"/>
    </row>
    <row r="62875" ht="14.25" customHeight="1" s="192">
      <c r="W62875" s="235" t="n"/>
      <c r="X62875" s="235" t="n"/>
    </row>
    <row r="62876" ht="14.25" customHeight="1" s="192">
      <c r="W62876" s="239" t="n"/>
      <c r="X62876" s="239" t="n"/>
    </row>
    <row r="62877" ht="14.25" customHeight="1" s="192">
      <c r="W62877" s="235" t="n"/>
      <c r="X62877" s="235" t="n"/>
    </row>
    <row r="62878" ht="14.25" customHeight="1" s="192">
      <c r="W62878" s="239" t="n"/>
      <c r="X62878" s="239" t="n"/>
    </row>
    <row r="62880" ht="14.25" customHeight="1" s="192">
      <c r="W62880" s="235" t="n"/>
      <c r="X62880" s="235" t="n"/>
    </row>
    <row r="62881" ht="15" customHeight="1" s="192" thickBot="1">
      <c r="W62881" s="239" t="n"/>
      <c r="X62881" s="239" t="n"/>
    </row>
    <row r="62882" ht="15" customHeight="1" s="192" thickBot="1">
      <c r="W62882" s="45" t="n"/>
      <c r="X62882" s="45" t="n"/>
    </row>
    <row r="62883" ht="14.25" customHeight="1" s="192">
      <c r="W62883" s="228" t="n"/>
      <c r="X62883" s="228" t="n"/>
    </row>
    <row r="62884" ht="14.25" customHeight="1" s="192">
      <c r="W62884" s="228" t="n"/>
      <c r="X62884" s="228" t="n"/>
    </row>
    <row r="62885" ht="14.25" customHeight="1" s="192">
      <c r="W62885" s="231" t="n"/>
      <c r="X62885" s="231" t="n"/>
    </row>
    <row r="62886" ht="14.25" customHeight="1" s="192">
      <c r="W62886" s="33" t="n"/>
      <c r="X62886" s="33" t="n"/>
    </row>
    <row r="62887" ht="14.25" customHeight="1" s="192">
      <c r="W62887" s="231" t="n"/>
      <c r="X62887" s="231" t="n"/>
    </row>
    <row r="62888" ht="14.25" customHeight="1" s="192">
      <c r="W62888" s="33" t="n"/>
      <c r="X62888" s="33" t="n"/>
    </row>
    <row r="62890" ht="14.25" customHeight="1" s="192">
      <c r="W62890" s="231" t="n"/>
      <c r="X62890" s="231" t="n"/>
    </row>
    <row r="62891" ht="14.25" customHeight="1" s="192">
      <c r="W62891" s="235" t="n"/>
      <c r="X62891" s="235" t="n"/>
    </row>
    <row r="62892" ht="14.25" customHeight="1" s="192">
      <c r="W62892" s="228" t="n"/>
      <c r="X62892" s="228" t="n"/>
    </row>
    <row r="62893" ht="14.25" customHeight="1" s="192">
      <c r="W62893" s="235" t="n"/>
      <c r="X62893" s="235" t="n"/>
    </row>
    <row r="62894" ht="14.25" customHeight="1" s="192">
      <c r="W62894" s="235" t="n"/>
      <c r="X62894" s="235" t="n"/>
    </row>
    <row r="62895" ht="14.25" customHeight="1" s="192">
      <c r="W62895" s="235" t="n"/>
      <c r="X62895" s="235" t="n"/>
    </row>
    <row r="62896" ht="14.25" customHeight="1" s="192">
      <c r="W62896" s="239" t="n"/>
      <c r="X62896" s="239" t="n"/>
    </row>
    <row r="62897" ht="14.25" customHeight="1" s="192">
      <c r="W62897" s="239" t="n"/>
      <c r="X62897" s="239" t="n"/>
    </row>
    <row r="62898" ht="14.25" customHeight="1" s="192">
      <c r="W62898" s="239" t="n"/>
      <c r="X62898" s="239" t="n"/>
    </row>
    <row r="62899" ht="14.25" customHeight="1" s="192">
      <c r="W62899" s="235" t="n"/>
      <c r="X62899" s="235" t="n"/>
    </row>
    <row r="62900" ht="14.25" customHeight="1" s="192">
      <c r="W62900" s="235" t="n"/>
      <c r="X62900" s="235" t="n"/>
    </row>
    <row r="62901" ht="14.25" customHeight="1" s="192">
      <c r="W62901" s="235" t="n"/>
      <c r="X62901" s="235" t="n"/>
    </row>
    <row r="62902" ht="14.25" customHeight="1" s="192">
      <c r="W62902" s="239" t="n"/>
      <c r="X62902" s="239" t="n"/>
    </row>
    <row r="62903" ht="14.25" customHeight="1" s="192">
      <c r="W62903" s="239" t="n"/>
      <c r="X62903" s="239" t="n"/>
    </row>
    <row r="62904" ht="14.25" customHeight="1" s="192">
      <c r="W62904" s="235" t="n"/>
      <c r="X62904" s="235" t="n"/>
    </row>
    <row r="62905" ht="14.25" customHeight="1" s="192">
      <c r="W62905" s="235" t="n"/>
      <c r="X62905" s="235" t="n"/>
    </row>
    <row r="62906" ht="14.25" customHeight="1" s="192">
      <c r="W62906" s="239" t="n"/>
      <c r="X62906" s="239" t="n"/>
    </row>
    <row r="62907" ht="14.25" customHeight="1" s="192">
      <c r="W62907" s="235" t="n"/>
      <c r="X62907" s="235" t="n"/>
    </row>
    <row r="62908" ht="14.25" customHeight="1" s="192">
      <c r="W62908" s="239" t="n"/>
      <c r="X62908" s="239" t="n"/>
    </row>
    <row r="62910" ht="14.25" customHeight="1" s="192">
      <c r="W62910" s="235" t="n"/>
      <c r="X62910" s="235" t="n"/>
    </row>
    <row r="62911" ht="15" customHeight="1" s="192" thickBot="1">
      <c r="W62911" s="239" t="n"/>
      <c r="X62911" s="239" t="n"/>
    </row>
    <row r="62912" ht="15" customHeight="1" s="192" thickBot="1">
      <c r="W62912" s="45" t="n"/>
      <c r="X62912" s="45" t="n"/>
    </row>
    <row r="62913" ht="14.25" customHeight="1" s="192">
      <c r="W62913" s="228" t="n"/>
      <c r="X62913" s="228" t="n"/>
    </row>
    <row r="62914" ht="14.25" customHeight="1" s="192">
      <c r="W62914" s="228" t="n"/>
      <c r="X62914" s="228" t="n"/>
    </row>
    <row r="62915" ht="14.25" customHeight="1" s="192">
      <c r="W62915" s="231" t="n"/>
      <c r="X62915" s="231" t="n"/>
    </row>
    <row r="62916" ht="14.25" customHeight="1" s="192">
      <c r="W62916" s="33" t="n"/>
      <c r="X62916" s="33" t="n"/>
    </row>
    <row r="62917" ht="14.25" customHeight="1" s="192">
      <c r="W62917" s="231" t="n"/>
      <c r="X62917" s="231" t="n"/>
    </row>
    <row r="62918" ht="14.25" customHeight="1" s="192">
      <c r="W62918" s="33" t="n"/>
      <c r="X62918" s="33" t="n"/>
    </row>
    <row r="62920" ht="14.25" customHeight="1" s="192">
      <c r="W62920" s="231" t="n"/>
      <c r="X62920" s="231" t="n"/>
    </row>
    <row r="62921" ht="14.25" customHeight="1" s="192">
      <c r="W62921" s="235" t="n"/>
      <c r="X62921" s="235" t="n"/>
    </row>
    <row r="62922" ht="14.25" customHeight="1" s="192">
      <c r="W62922" s="228" t="n"/>
      <c r="X62922" s="228" t="n"/>
    </row>
    <row r="62923" ht="14.25" customHeight="1" s="192">
      <c r="W62923" s="235" t="n"/>
      <c r="X62923" s="235" t="n"/>
    </row>
    <row r="62924" ht="14.25" customHeight="1" s="192">
      <c r="W62924" s="235" t="n"/>
      <c r="X62924" s="235" t="n"/>
    </row>
    <row r="62925" ht="14.25" customHeight="1" s="192">
      <c r="W62925" s="235" t="n"/>
      <c r="X62925" s="235" t="n"/>
    </row>
    <row r="62926" ht="14.25" customHeight="1" s="192">
      <c r="W62926" s="239" t="n"/>
      <c r="X62926" s="239" t="n"/>
    </row>
    <row r="62927" ht="14.25" customHeight="1" s="192">
      <c r="W62927" s="239" t="n"/>
      <c r="X62927" s="239" t="n"/>
    </row>
    <row r="62928" ht="14.25" customHeight="1" s="192">
      <c r="W62928" s="239" t="n"/>
      <c r="X62928" s="239" t="n"/>
    </row>
    <row r="62929" ht="14.25" customHeight="1" s="192">
      <c r="W62929" s="235" t="n"/>
      <c r="X62929" s="235" t="n"/>
    </row>
    <row r="62930" ht="14.25" customHeight="1" s="192">
      <c r="W62930" s="235" t="n"/>
      <c r="X62930" s="235" t="n"/>
    </row>
    <row r="62931" ht="14.25" customHeight="1" s="192">
      <c r="W62931" s="235" t="n"/>
      <c r="X62931" s="235" t="n"/>
    </row>
    <row r="62932" ht="14.25" customHeight="1" s="192">
      <c r="W62932" s="239" t="n"/>
      <c r="X62932" s="239" t="n"/>
    </row>
    <row r="62933" ht="14.25" customHeight="1" s="192">
      <c r="W62933" s="239" t="n"/>
      <c r="X62933" s="239" t="n"/>
    </row>
    <row r="62934" ht="14.25" customHeight="1" s="192">
      <c r="W62934" s="235" t="n"/>
      <c r="X62934" s="235" t="n"/>
    </row>
    <row r="62935" ht="14.25" customHeight="1" s="192">
      <c r="W62935" s="235" t="n"/>
      <c r="X62935" s="235" t="n"/>
    </row>
    <row r="62936" ht="14.25" customHeight="1" s="192">
      <c r="W62936" s="239" t="n"/>
      <c r="X62936" s="239" t="n"/>
    </row>
    <row r="62937" ht="14.25" customHeight="1" s="192">
      <c r="W62937" s="235" t="n"/>
      <c r="X62937" s="235" t="n"/>
    </row>
    <row r="62938" ht="14.25" customHeight="1" s="192">
      <c r="W62938" s="239" t="n"/>
      <c r="X62938" s="239" t="n"/>
    </row>
    <row r="62940" ht="14.25" customHeight="1" s="192">
      <c r="W62940" s="235" t="n"/>
      <c r="X62940" s="235" t="n"/>
    </row>
    <row r="62941" ht="15" customHeight="1" s="192" thickBot="1">
      <c r="W62941" s="239" t="n"/>
      <c r="X62941" s="239" t="n"/>
    </row>
    <row r="62942" ht="15" customHeight="1" s="192" thickBot="1">
      <c r="W62942" s="45" t="n"/>
      <c r="X62942" s="45" t="n"/>
    </row>
    <row r="62943" ht="14.25" customHeight="1" s="192">
      <c r="W62943" s="228" t="n"/>
      <c r="X62943" s="228" t="n"/>
    </row>
    <row r="62944" ht="14.25" customHeight="1" s="192">
      <c r="W62944" s="228" t="n"/>
      <c r="X62944" s="228" t="n"/>
    </row>
    <row r="62945" ht="14.25" customHeight="1" s="192">
      <c r="W62945" s="231" t="n"/>
      <c r="X62945" s="231" t="n"/>
    </row>
    <row r="62946" ht="14.25" customHeight="1" s="192">
      <c r="W62946" s="33" t="n"/>
      <c r="X62946" s="33" t="n"/>
    </row>
    <row r="62947" ht="14.25" customHeight="1" s="192">
      <c r="W62947" s="231" t="n"/>
      <c r="X62947" s="231" t="n"/>
    </row>
    <row r="62948" ht="14.25" customHeight="1" s="192">
      <c r="W62948" s="33" t="n"/>
      <c r="X62948" s="33" t="n"/>
    </row>
    <row r="62950" ht="14.25" customHeight="1" s="192">
      <c r="W62950" s="231" t="n"/>
      <c r="X62950" s="231" t="n"/>
    </row>
    <row r="62951" ht="14.25" customHeight="1" s="192">
      <c r="W62951" s="235" t="n"/>
      <c r="X62951" s="235" t="n"/>
    </row>
    <row r="62952" ht="14.25" customHeight="1" s="192">
      <c r="W62952" s="228" t="n"/>
      <c r="X62952" s="228" t="n"/>
    </row>
    <row r="62953" ht="14.25" customHeight="1" s="192">
      <c r="W62953" s="235" t="n"/>
      <c r="X62953" s="235" t="n"/>
    </row>
    <row r="62954" ht="14.25" customHeight="1" s="192">
      <c r="W62954" s="235" t="n"/>
      <c r="X62954" s="235" t="n"/>
    </row>
    <row r="62955" ht="14.25" customHeight="1" s="192">
      <c r="W62955" s="235" t="n"/>
      <c r="X62955" s="235" t="n"/>
    </row>
    <row r="62956" ht="14.25" customHeight="1" s="192">
      <c r="W62956" s="239" t="n"/>
      <c r="X62956" s="239" t="n"/>
    </row>
    <row r="62957" ht="14.25" customHeight="1" s="192">
      <c r="W62957" s="239" t="n"/>
      <c r="X62957" s="239" t="n"/>
    </row>
    <row r="62958" ht="14.25" customHeight="1" s="192">
      <c r="W62958" s="239" t="n"/>
      <c r="X62958" s="239" t="n"/>
    </row>
    <row r="62959" ht="14.25" customHeight="1" s="192">
      <c r="W62959" s="235" t="n"/>
      <c r="X62959" s="235" t="n"/>
    </row>
    <row r="62960" ht="14.25" customHeight="1" s="192">
      <c r="W62960" s="235" t="n"/>
      <c r="X62960" s="235" t="n"/>
    </row>
    <row r="62961" ht="14.25" customHeight="1" s="192">
      <c r="W62961" s="235" t="n"/>
      <c r="X62961" s="235" t="n"/>
    </row>
    <row r="62962" ht="14.25" customHeight="1" s="192">
      <c r="W62962" s="239" t="n"/>
      <c r="X62962" s="239" t="n"/>
    </row>
    <row r="62963" ht="14.25" customHeight="1" s="192">
      <c r="W62963" s="239" t="n"/>
      <c r="X62963" s="239" t="n"/>
    </row>
    <row r="62964" ht="14.25" customHeight="1" s="192">
      <c r="W62964" s="235" t="n"/>
      <c r="X62964" s="235" t="n"/>
    </row>
    <row r="62965" ht="14.25" customHeight="1" s="192">
      <c r="W62965" s="235" t="n"/>
      <c r="X62965" s="235" t="n"/>
    </row>
    <row r="62966" ht="14.25" customHeight="1" s="192">
      <c r="W62966" s="239" t="n"/>
      <c r="X62966" s="239" t="n"/>
    </row>
    <row r="62967" ht="14.25" customHeight="1" s="192">
      <c r="W62967" s="235" t="n"/>
      <c r="X62967" s="235" t="n"/>
    </row>
    <row r="62968" ht="14.25" customHeight="1" s="192">
      <c r="W62968" s="239" t="n"/>
      <c r="X62968" s="239" t="n"/>
    </row>
    <row r="62970" ht="14.25" customHeight="1" s="192">
      <c r="W62970" s="235" t="n"/>
      <c r="X62970" s="235" t="n"/>
    </row>
    <row r="62971" ht="15" customHeight="1" s="192" thickBot="1">
      <c r="W62971" s="239" t="n"/>
      <c r="X62971" s="239" t="n"/>
    </row>
    <row r="62972" ht="15" customHeight="1" s="192" thickBot="1">
      <c r="W62972" s="45" t="n"/>
      <c r="X62972" s="45" t="n"/>
    </row>
    <row r="62973" ht="14.25" customHeight="1" s="192">
      <c r="W62973" s="228" t="n"/>
      <c r="X62973" s="228" t="n"/>
    </row>
    <row r="62974" ht="14.25" customHeight="1" s="192">
      <c r="W62974" s="228" t="n"/>
      <c r="X62974" s="228" t="n"/>
    </row>
    <row r="62975" ht="14.25" customHeight="1" s="192">
      <c r="W62975" s="231" t="n"/>
      <c r="X62975" s="231" t="n"/>
    </row>
    <row r="62976" ht="14.25" customHeight="1" s="192">
      <c r="W62976" s="33" t="n"/>
      <c r="X62976" s="33" t="n"/>
    </row>
    <row r="62977" ht="14.25" customHeight="1" s="192">
      <c r="W62977" s="231" t="n"/>
      <c r="X62977" s="231" t="n"/>
    </row>
    <row r="62978" ht="14.25" customHeight="1" s="192">
      <c r="W62978" s="33" t="n"/>
      <c r="X62978" s="33" t="n"/>
    </row>
    <row r="62980" ht="14.25" customHeight="1" s="192">
      <c r="W62980" s="231" t="n"/>
      <c r="X62980" s="231" t="n"/>
    </row>
    <row r="62981" ht="14.25" customHeight="1" s="192">
      <c r="W62981" s="235" t="n"/>
      <c r="X62981" s="235" t="n"/>
    </row>
    <row r="62982" ht="14.25" customHeight="1" s="192">
      <c r="W62982" s="228" t="n"/>
      <c r="X62982" s="228" t="n"/>
    </row>
    <row r="62983" ht="14.25" customHeight="1" s="192">
      <c r="W62983" s="235" t="n"/>
      <c r="X62983" s="235" t="n"/>
    </row>
    <row r="62984" ht="14.25" customHeight="1" s="192">
      <c r="W62984" s="235" t="n"/>
      <c r="X62984" s="235" t="n"/>
    </row>
    <row r="62985" ht="14.25" customHeight="1" s="192">
      <c r="W62985" s="235" t="n"/>
      <c r="X62985" s="235" t="n"/>
    </row>
    <row r="62986" ht="14.25" customHeight="1" s="192">
      <c r="W62986" s="239" t="n"/>
      <c r="X62986" s="239" t="n"/>
    </row>
    <row r="62987" ht="14.25" customHeight="1" s="192">
      <c r="W62987" s="239" t="n"/>
      <c r="X62987" s="239" t="n"/>
    </row>
    <row r="62988" ht="14.25" customHeight="1" s="192">
      <c r="W62988" s="239" t="n"/>
      <c r="X62988" s="239" t="n"/>
    </row>
    <row r="62989" ht="14.25" customHeight="1" s="192">
      <c r="W62989" s="235" t="n"/>
      <c r="X62989" s="235" t="n"/>
    </row>
    <row r="62990" ht="14.25" customHeight="1" s="192">
      <c r="W62990" s="235" t="n"/>
      <c r="X62990" s="235" t="n"/>
    </row>
    <row r="62991" ht="14.25" customHeight="1" s="192">
      <c r="W62991" s="235" t="n"/>
      <c r="X62991" s="235" t="n"/>
    </row>
    <row r="62992" ht="14.25" customHeight="1" s="192">
      <c r="W62992" s="239" t="n"/>
      <c r="X62992" s="239" t="n"/>
    </row>
    <row r="62993" ht="14.25" customHeight="1" s="192">
      <c r="W62993" s="239" t="n"/>
      <c r="X62993" s="239" t="n"/>
    </row>
    <row r="62994" ht="14.25" customHeight="1" s="192">
      <c r="W62994" s="235" t="n"/>
      <c r="X62994" s="235" t="n"/>
    </row>
    <row r="62995" ht="14.25" customHeight="1" s="192">
      <c r="W62995" s="235" t="n"/>
      <c r="X62995" s="235" t="n"/>
    </row>
    <row r="62996" ht="14.25" customHeight="1" s="192">
      <c r="W62996" s="239" t="n"/>
      <c r="X62996" s="239" t="n"/>
    </row>
    <row r="62997" ht="14.25" customHeight="1" s="192">
      <c r="W62997" s="235" t="n"/>
      <c r="X62997" s="235" t="n"/>
    </row>
    <row r="62998" ht="14.25" customHeight="1" s="192">
      <c r="W62998" s="239" t="n"/>
      <c r="X62998" s="239" t="n"/>
    </row>
    <row r="63000" ht="14.25" customHeight="1" s="192">
      <c r="W63000" s="235" t="n"/>
      <c r="X63000" s="235" t="n"/>
    </row>
    <row r="63001" ht="15" customHeight="1" s="192" thickBot="1">
      <c r="W63001" s="239" t="n"/>
      <c r="X63001" s="239" t="n"/>
    </row>
    <row r="63002" ht="15" customHeight="1" s="192" thickBot="1">
      <c r="W63002" s="45" t="n"/>
      <c r="X63002" s="45" t="n"/>
    </row>
    <row r="63003" ht="14.25" customHeight="1" s="192">
      <c r="W63003" s="228" t="n"/>
      <c r="X63003" s="228" t="n"/>
    </row>
    <row r="63004" ht="14.25" customHeight="1" s="192">
      <c r="W63004" s="228" t="n"/>
      <c r="X63004" s="228" t="n"/>
    </row>
    <row r="63005" ht="14.25" customHeight="1" s="192">
      <c r="W63005" s="231" t="n"/>
      <c r="X63005" s="231" t="n"/>
    </row>
    <row r="63006" ht="14.25" customHeight="1" s="192">
      <c r="W63006" s="33" t="n"/>
      <c r="X63006" s="33" t="n"/>
    </row>
    <row r="63007" ht="14.25" customHeight="1" s="192">
      <c r="W63007" s="231" t="n"/>
      <c r="X63007" s="231" t="n"/>
    </row>
    <row r="63008" ht="14.25" customHeight="1" s="192">
      <c r="W63008" s="33" t="n"/>
      <c r="X63008" s="33" t="n"/>
    </row>
    <row r="63010" ht="14.25" customHeight="1" s="192">
      <c r="W63010" s="231" t="n"/>
      <c r="X63010" s="231" t="n"/>
    </row>
    <row r="63011" ht="14.25" customHeight="1" s="192">
      <c r="W63011" s="235" t="n"/>
      <c r="X63011" s="235" t="n"/>
    </row>
    <row r="63012" ht="14.25" customHeight="1" s="192">
      <c r="W63012" s="228" t="n"/>
      <c r="X63012" s="228" t="n"/>
    </row>
    <row r="63013" ht="14.25" customHeight="1" s="192">
      <c r="W63013" s="235" t="n"/>
      <c r="X63013" s="235" t="n"/>
    </row>
    <row r="63014" ht="14.25" customHeight="1" s="192">
      <c r="W63014" s="235" t="n"/>
      <c r="X63014" s="235" t="n"/>
    </row>
    <row r="63015" ht="14.25" customHeight="1" s="192">
      <c r="W63015" s="235" t="n"/>
      <c r="X63015" s="235" t="n"/>
    </row>
    <row r="63016" ht="14.25" customHeight="1" s="192">
      <c r="W63016" s="239" t="n"/>
      <c r="X63016" s="239" t="n"/>
    </row>
    <row r="63017" ht="14.25" customHeight="1" s="192">
      <c r="W63017" s="239" t="n"/>
      <c r="X63017" s="239" t="n"/>
    </row>
    <row r="63018" ht="14.25" customHeight="1" s="192">
      <c r="W63018" s="239" t="n"/>
      <c r="X63018" s="239" t="n"/>
    </row>
    <row r="63019" ht="14.25" customHeight="1" s="192">
      <c r="W63019" s="235" t="n"/>
      <c r="X63019" s="235" t="n"/>
    </row>
    <row r="63020" ht="14.25" customHeight="1" s="192">
      <c r="W63020" s="235" t="n"/>
      <c r="X63020" s="235" t="n"/>
    </row>
    <row r="63021" ht="14.25" customHeight="1" s="192">
      <c r="W63021" s="235" t="n"/>
      <c r="X63021" s="235" t="n"/>
    </row>
    <row r="63022" ht="14.25" customHeight="1" s="192">
      <c r="W63022" s="239" t="n"/>
      <c r="X63022" s="239" t="n"/>
    </row>
    <row r="63023" ht="14.25" customHeight="1" s="192">
      <c r="W63023" s="239" t="n"/>
      <c r="X63023" s="239" t="n"/>
    </row>
    <row r="63024" ht="14.25" customHeight="1" s="192">
      <c r="W63024" s="235" t="n"/>
      <c r="X63024" s="235" t="n"/>
    </row>
    <row r="63025" ht="14.25" customHeight="1" s="192">
      <c r="W63025" s="235" t="n"/>
      <c r="X63025" s="235" t="n"/>
    </row>
    <row r="63026" ht="14.25" customHeight="1" s="192">
      <c r="W63026" s="239" t="n"/>
      <c r="X63026" s="239" t="n"/>
    </row>
    <row r="63027" ht="14.25" customHeight="1" s="192">
      <c r="W63027" s="235" t="n"/>
      <c r="X63027" s="235" t="n"/>
    </row>
    <row r="63028" ht="14.25" customHeight="1" s="192">
      <c r="W63028" s="239" t="n"/>
      <c r="X63028" s="239" t="n"/>
    </row>
    <row r="63030" ht="14.25" customHeight="1" s="192">
      <c r="W63030" s="235" t="n"/>
      <c r="X63030" s="235" t="n"/>
    </row>
    <row r="63031" ht="15" customHeight="1" s="192" thickBot="1">
      <c r="W63031" s="239" t="n"/>
      <c r="X63031" s="239" t="n"/>
    </row>
    <row r="63032" ht="15" customHeight="1" s="192" thickBot="1">
      <c r="W63032" s="45" t="n"/>
      <c r="X63032" s="45" t="n"/>
    </row>
    <row r="63033" ht="14.25" customHeight="1" s="192">
      <c r="W63033" s="228" t="n"/>
      <c r="X63033" s="228" t="n"/>
    </row>
    <row r="63034" ht="14.25" customHeight="1" s="192">
      <c r="W63034" s="228" t="n"/>
      <c r="X63034" s="228" t="n"/>
    </row>
    <row r="63035" ht="14.25" customHeight="1" s="192">
      <c r="W63035" s="231" t="n"/>
      <c r="X63035" s="231" t="n"/>
    </row>
    <row r="63036" ht="14.25" customHeight="1" s="192">
      <c r="W63036" s="33" t="n"/>
      <c r="X63036" s="33" t="n"/>
    </row>
    <row r="63037" ht="14.25" customHeight="1" s="192">
      <c r="W63037" s="231" t="n"/>
      <c r="X63037" s="231" t="n"/>
    </row>
    <row r="63038" ht="14.25" customHeight="1" s="192">
      <c r="W63038" s="33" t="n"/>
      <c r="X63038" s="33" t="n"/>
    </row>
    <row r="63040" ht="14.25" customHeight="1" s="192">
      <c r="W63040" s="231" t="n"/>
      <c r="X63040" s="231" t="n"/>
    </row>
    <row r="63041" ht="14.25" customHeight="1" s="192">
      <c r="W63041" s="235" t="n"/>
      <c r="X63041" s="235" t="n"/>
    </row>
    <row r="63042" ht="14.25" customHeight="1" s="192">
      <c r="W63042" s="228" t="n"/>
      <c r="X63042" s="228" t="n"/>
    </row>
    <row r="63043" ht="14.25" customHeight="1" s="192">
      <c r="W63043" s="235" t="n"/>
      <c r="X63043" s="235" t="n"/>
    </row>
    <row r="63044" ht="14.25" customHeight="1" s="192">
      <c r="W63044" s="235" t="n"/>
      <c r="X63044" s="235" t="n"/>
    </row>
    <row r="63045" ht="14.25" customHeight="1" s="192">
      <c r="W63045" s="235" t="n"/>
      <c r="X63045" s="235" t="n"/>
    </row>
    <row r="63046" ht="14.25" customHeight="1" s="192">
      <c r="W63046" s="239" t="n"/>
      <c r="X63046" s="239" t="n"/>
    </row>
    <row r="63047" ht="14.25" customHeight="1" s="192">
      <c r="W63047" s="239" t="n"/>
      <c r="X63047" s="239" t="n"/>
    </row>
    <row r="63048" ht="14.25" customHeight="1" s="192">
      <c r="W63048" s="239" t="n"/>
      <c r="X63048" s="239" t="n"/>
    </row>
    <row r="63049" ht="14.25" customHeight="1" s="192">
      <c r="W63049" s="235" t="n"/>
      <c r="X63049" s="235" t="n"/>
    </row>
    <row r="63050" ht="14.25" customHeight="1" s="192">
      <c r="W63050" s="235" t="n"/>
      <c r="X63050" s="235" t="n"/>
    </row>
    <row r="63051" ht="14.25" customHeight="1" s="192">
      <c r="W63051" s="235" t="n"/>
      <c r="X63051" s="235" t="n"/>
    </row>
    <row r="63052" ht="14.25" customHeight="1" s="192">
      <c r="W63052" s="239" t="n"/>
      <c r="X63052" s="239" t="n"/>
    </row>
    <row r="63053" ht="14.25" customHeight="1" s="192">
      <c r="W63053" s="239" t="n"/>
      <c r="X63053" s="239" t="n"/>
    </row>
    <row r="63054" ht="14.25" customHeight="1" s="192">
      <c r="W63054" s="235" t="n"/>
      <c r="X63054" s="235" t="n"/>
    </row>
    <row r="63055" ht="14.25" customHeight="1" s="192">
      <c r="W63055" s="235" t="n"/>
      <c r="X63055" s="235" t="n"/>
    </row>
    <row r="63056" ht="14.25" customHeight="1" s="192">
      <c r="W63056" s="239" t="n"/>
      <c r="X63056" s="239" t="n"/>
    </row>
    <row r="63057" ht="14.25" customHeight="1" s="192">
      <c r="W63057" s="235" t="n"/>
      <c r="X63057" s="235" t="n"/>
    </row>
    <row r="63058" ht="14.25" customHeight="1" s="192">
      <c r="W63058" s="239" t="n"/>
      <c r="X63058" s="239" t="n"/>
    </row>
    <row r="63060" ht="14.25" customHeight="1" s="192">
      <c r="W63060" s="235" t="n"/>
      <c r="X63060" s="235" t="n"/>
    </row>
    <row r="63061" ht="15" customHeight="1" s="192" thickBot="1">
      <c r="W63061" s="239" t="n"/>
      <c r="X63061" s="239" t="n"/>
    </row>
    <row r="63062" ht="15" customHeight="1" s="192" thickBot="1">
      <c r="W63062" s="45" t="n"/>
      <c r="X63062" s="45" t="n"/>
    </row>
    <row r="63063" ht="14.25" customHeight="1" s="192">
      <c r="W63063" s="228" t="n"/>
      <c r="X63063" s="228" t="n"/>
    </row>
    <row r="63064" ht="14.25" customHeight="1" s="192">
      <c r="W63064" s="228" t="n"/>
      <c r="X63064" s="228" t="n"/>
    </row>
    <row r="63065" ht="14.25" customHeight="1" s="192">
      <c r="W63065" s="231" t="n"/>
      <c r="X63065" s="231" t="n"/>
    </row>
    <row r="63066" ht="14.25" customHeight="1" s="192">
      <c r="W63066" s="33" t="n"/>
      <c r="X63066" s="33" t="n"/>
    </row>
    <row r="63067" ht="14.25" customHeight="1" s="192">
      <c r="W63067" s="231" t="n"/>
      <c r="X63067" s="231" t="n"/>
    </row>
    <row r="63068" ht="14.25" customHeight="1" s="192">
      <c r="W63068" s="33" t="n"/>
      <c r="X63068" s="33" t="n"/>
    </row>
    <row r="63070" ht="14.25" customHeight="1" s="192">
      <c r="W63070" s="231" t="n"/>
      <c r="X63070" s="231" t="n"/>
    </row>
    <row r="63071" ht="14.25" customHeight="1" s="192">
      <c r="W63071" s="235" t="n"/>
      <c r="X63071" s="235" t="n"/>
    </row>
    <row r="63072" ht="14.25" customHeight="1" s="192">
      <c r="W63072" s="228" t="n"/>
      <c r="X63072" s="228" t="n"/>
    </row>
    <row r="63073" ht="14.25" customHeight="1" s="192">
      <c r="W63073" s="235" t="n"/>
      <c r="X63073" s="235" t="n"/>
    </row>
    <row r="63074" ht="14.25" customHeight="1" s="192">
      <c r="W63074" s="235" t="n"/>
      <c r="X63074" s="235" t="n"/>
    </row>
    <row r="63075" ht="14.25" customHeight="1" s="192">
      <c r="W63075" s="235" t="n"/>
      <c r="X63075" s="235" t="n"/>
    </row>
    <row r="63076" ht="14.25" customHeight="1" s="192">
      <c r="W63076" s="239" t="n"/>
      <c r="X63076" s="239" t="n"/>
    </row>
    <row r="63077" ht="14.25" customHeight="1" s="192">
      <c r="W63077" s="239" t="n"/>
      <c r="X63077" s="239" t="n"/>
    </row>
    <row r="63078" ht="14.25" customHeight="1" s="192">
      <c r="W63078" s="239" t="n"/>
      <c r="X63078" s="239" t="n"/>
    </row>
    <row r="63079" ht="14.25" customHeight="1" s="192">
      <c r="W63079" s="235" t="n"/>
      <c r="X63079" s="235" t="n"/>
    </row>
    <row r="63080" ht="14.25" customHeight="1" s="192">
      <c r="W63080" s="235" t="n"/>
      <c r="X63080" s="235" t="n"/>
    </row>
    <row r="63081" ht="14.25" customHeight="1" s="192">
      <c r="W63081" s="235" t="n"/>
      <c r="X63081" s="235" t="n"/>
    </row>
    <row r="63082" ht="14.25" customHeight="1" s="192">
      <c r="W63082" s="239" t="n"/>
      <c r="X63082" s="239" t="n"/>
    </row>
    <row r="63083" ht="14.25" customHeight="1" s="192">
      <c r="W63083" s="239" t="n"/>
      <c r="X63083" s="239" t="n"/>
    </row>
    <row r="63084" ht="14.25" customHeight="1" s="192">
      <c r="W63084" s="235" t="n"/>
      <c r="X63084" s="235" t="n"/>
    </row>
    <row r="63085" ht="14.25" customHeight="1" s="192">
      <c r="W63085" s="235" t="n"/>
      <c r="X63085" s="235" t="n"/>
    </row>
    <row r="63086" ht="14.25" customHeight="1" s="192">
      <c r="W63086" s="239" t="n"/>
      <c r="X63086" s="239" t="n"/>
    </row>
    <row r="63087" ht="14.25" customHeight="1" s="192">
      <c r="W63087" s="235" t="n"/>
      <c r="X63087" s="235" t="n"/>
    </row>
    <row r="63088" ht="14.25" customHeight="1" s="192">
      <c r="W63088" s="239" t="n"/>
      <c r="X63088" s="239" t="n"/>
    </row>
    <row r="63090" ht="14.25" customHeight="1" s="192">
      <c r="W63090" s="235" t="n"/>
      <c r="X63090" s="235" t="n"/>
    </row>
    <row r="63091" ht="15" customHeight="1" s="192" thickBot="1">
      <c r="W63091" s="239" t="n"/>
      <c r="X63091" s="239" t="n"/>
    </row>
    <row r="63092" ht="15" customHeight="1" s="192" thickBot="1">
      <c r="W63092" s="45" t="n"/>
      <c r="X63092" s="45" t="n"/>
    </row>
    <row r="63093" ht="14.25" customHeight="1" s="192">
      <c r="W63093" s="228" t="n"/>
      <c r="X63093" s="228" t="n"/>
    </row>
    <row r="63094" ht="14.25" customHeight="1" s="192">
      <c r="W63094" s="228" t="n"/>
      <c r="X63094" s="228" t="n"/>
    </row>
    <row r="63095" ht="14.25" customHeight="1" s="192">
      <c r="W63095" s="231" t="n"/>
      <c r="X63095" s="231" t="n"/>
    </row>
    <row r="63096" ht="14.25" customHeight="1" s="192">
      <c r="W63096" s="33" t="n"/>
      <c r="X63096" s="33" t="n"/>
    </row>
    <row r="63097" ht="14.25" customHeight="1" s="192">
      <c r="W63097" s="231" t="n"/>
      <c r="X63097" s="231" t="n"/>
    </row>
    <row r="63098" ht="14.25" customHeight="1" s="192">
      <c r="W63098" s="33" t="n"/>
      <c r="X63098" s="33" t="n"/>
    </row>
    <row r="63100" ht="14.25" customHeight="1" s="192">
      <c r="W63100" s="231" t="n"/>
      <c r="X63100" s="231" t="n"/>
    </row>
    <row r="63101" ht="14.25" customHeight="1" s="192">
      <c r="W63101" s="235" t="n"/>
      <c r="X63101" s="235" t="n"/>
    </row>
    <row r="63102" ht="14.25" customHeight="1" s="192">
      <c r="W63102" s="228" t="n"/>
      <c r="X63102" s="228" t="n"/>
    </row>
    <row r="63103" ht="14.25" customHeight="1" s="192">
      <c r="W63103" s="235" t="n"/>
      <c r="X63103" s="235" t="n"/>
    </row>
    <row r="63104" ht="14.25" customHeight="1" s="192">
      <c r="W63104" s="235" t="n"/>
      <c r="X63104" s="235" t="n"/>
    </row>
    <row r="63105" ht="14.25" customHeight="1" s="192">
      <c r="W63105" s="235" t="n"/>
      <c r="X63105" s="235" t="n"/>
    </row>
    <row r="63106" ht="14.25" customHeight="1" s="192">
      <c r="W63106" s="239" t="n"/>
      <c r="X63106" s="239" t="n"/>
    </row>
    <row r="63107" ht="14.25" customHeight="1" s="192">
      <c r="W63107" s="239" t="n"/>
      <c r="X63107" s="239" t="n"/>
    </row>
    <row r="63108" ht="14.25" customHeight="1" s="192">
      <c r="W63108" s="239" t="n"/>
      <c r="X63108" s="239" t="n"/>
    </row>
    <row r="63109" ht="14.25" customHeight="1" s="192">
      <c r="W63109" s="235" t="n"/>
      <c r="X63109" s="235" t="n"/>
    </row>
    <row r="63110" ht="14.25" customHeight="1" s="192">
      <c r="W63110" s="235" t="n"/>
      <c r="X63110" s="235" t="n"/>
    </row>
    <row r="63111" ht="14.25" customHeight="1" s="192">
      <c r="W63111" s="235" t="n"/>
      <c r="X63111" s="235" t="n"/>
    </row>
    <row r="63112" ht="14.25" customHeight="1" s="192">
      <c r="W63112" s="239" t="n"/>
      <c r="X63112" s="239" t="n"/>
    </row>
    <row r="63113" ht="14.25" customHeight="1" s="192">
      <c r="W63113" s="239" t="n"/>
      <c r="X63113" s="239" t="n"/>
    </row>
    <row r="63114" ht="14.25" customHeight="1" s="192">
      <c r="W63114" s="235" t="n"/>
      <c r="X63114" s="235" t="n"/>
    </row>
    <row r="63115" ht="14.25" customHeight="1" s="192">
      <c r="W63115" s="235" t="n"/>
      <c r="X63115" s="235" t="n"/>
    </row>
    <row r="63116" ht="14.25" customHeight="1" s="192">
      <c r="W63116" s="239" t="n"/>
      <c r="X63116" s="239" t="n"/>
    </row>
    <row r="63117" ht="14.25" customHeight="1" s="192">
      <c r="W63117" s="235" t="n"/>
      <c r="X63117" s="235" t="n"/>
    </row>
    <row r="63118" ht="14.25" customHeight="1" s="192">
      <c r="W63118" s="239" t="n"/>
      <c r="X63118" s="239" t="n"/>
    </row>
    <row r="63120" ht="14.25" customHeight="1" s="192">
      <c r="W63120" s="235" t="n"/>
      <c r="X63120" s="235" t="n"/>
    </row>
    <row r="63121" ht="15" customHeight="1" s="192" thickBot="1">
      <c r="W63121" s="239" t="n"/>
      <c r="X63121" s="239" t="n"/>
    </row>
    <row r="63122" ht="15" customHeight="1" s="192" thickBot="1">
      <c r="W63122" s="45" t="n"/>
      <c r="X63122" s="45" t="n"/>
    </row>
    <row r="63123" ht="14.25" customHeight="1" s="192">
      <c r="W63123" s="228" t="n"/>
      <c r="X63123" s="228" t="n"/>
    </row>
    <row r="63124" ht="14.25" customHeight="1" s="192">
      <c r="W63124" s="228" t="n"/>
      <c r="X63124" s="228" t="n"/>
    </row>
    <row r="63125" ht="14.25" customHeight="1" s="192">
      <c r="W63125" s="231" t="n"/>
      <c r="X63125" s="231" t="n"/>
    </row>
    <row r="63126" ht="14.25" customHeight="1" s="192">
      <c r="W63126" s="33" t="n"/>
      <c r="X63126" s="33" t="n"/>
    </row>
    <row r="63127" ht="14.25" customHeight="1" s="192">
      <c r="W63127" s="231" t="n"/>
      <c r="X63127" s="231" t="n"/>
    </row>
    <row r="63128" ht="14.25" customHeight="1" s="192">
      <c r="W63128" s="33" t="n"/>
      <c r="X63128" s="33" t="n"/>
    </row>
    <row r="63130" ht="14.25" customHeight="1" s="192">
      <c r="W63130" s="231" t="n"/>
      <c r="X63130" s="231" t="n"/>
    </row>
    <row r="63131" ht="14.25" customHeight="1" s="192">
      <c r="W63131" s="235" t="n"/>
      <c r="X63131" s="235" t="n"/>
    </row>
    <row r="63132" ht="14.25" customHeight="1" s="192">
      <c r="W63132" s="228" t="n"/>
      <c r="X63132" s="228" t="n"/>
    </row>
    <row r="63133" ht="14.25" customHeight="1" s="192">
      <c r="W63133" s="235" t="n"/>
      <c r="X63133" s="235" t="n"/>
    </row>
    <row r="63134" ht="14.25" customHeight="1" s="192">
      <c r="W63134" s="235" t="n"/>
      <c r="X63134" s="235" t="n"/>
    </row>
    <row r="63135" ht="14.25" customHeight="1" s="192">
      <c r="W63135" s="235" t="n"/>
      <c r="X63135" s="235" t="n"/>
    </row>
    <row r="63136" ht="14.25" customHeight="1" s="192">
      <c r="W63136" s="239" t="n"/>
      <c r="X63136" s="239" t="n"/>
    </row>
    <row r="63137" ht="14.25" customHeight="1" s="192">
      <c r="W63137" s="239" t="n"/>
      <c r="X63137" s="239" t="n"/>
    </row>
    <row r="63138" ht="14.25" customHeight="1" s="192">
      <c r="W63138" s="239" t="n"/>
      <c r="X63138" s="239" t="n"/>
    </row>
    <row r="63139" ht="14.25" customHeight="1" s="192">
      <c r="W63139" s="235" t="n"/>
      <c r="X63139" s="235" t="n"/>
    </row>
    <row r="63140" ht="14.25" customHeight="1" s="192">
      <c r="W63140" s="235" t="n"/>
      <c r="X63140" s="235" t="n"/>
    </row>
    <row r="63141" ht="14.25" customHeight="1" s="192">
      <c r="W63141" s="235" t="n"/>
      <c r="X63141" s="235" t="n"/>
    </row>
    <row r="63142" ht="14.25" customHeight="1" s="192">
      <c r="W63142" s="239" t="n"/>
      <c r="X63142" s="239" t="n"/>
    </row>
    <row r="63143" ht="14.25" customHeight="1" s="192">
      <c r="W63143" s="239" t="n"/>
      <c r="X63143" s="239" t="n"/>
    </row>
    <row r="63144" ht="14.25" customHeight="1" s="192">
      <c r="W63144" s="235" t="n"/>
      <c r="X63144" s="235" t="n"/>
    </row>
    <row r="63145" ht="14.25" customHeight="1" s="192">
      <c r="W63145" s="235" t="n"/>
      <c r="X63145" s="235" t="n"/>
    </row>
    <row r="63146" ht="14.25" customHeight="1" s="192">
      <c r="W63146" s="239" t="n"/>
      <c r="X63146" s="239" t="n"/>
    </row>
    <row r="63147" ht="14.25" customHeight="1" s="192">
      <c r="W63147" s="235" t="n"/>
      <c r="X63147" s="235" t="n"/>
    </row>
    <row r="63148" ht="14.25" customHeight="1" s="192">
      <c r="W63148" s="239" t="n"/>
      <c r="X63148" s="239" t="n"/>
    </row>
    <row r="63150" ht="14.25" customHeight="1" s="192">
      <c r="W63150" s="235" t="n"/>
      <c r="X63150" s="235" t="n"/>
    </row>
    <row r="63151" ht="15" customHeight="1" s="192" thickBot="1">
      <c r="W63151" s="239" t="n"/>
      <c r="X63151" s="239" t="n"/>
    </row>
    <row r="63152" ht="15" customHeight="1" s="192" thickBot="1">
      <c r="W63152" s="45" t="n"/>
      <c r="X63152" s="45" t="n"/>
    </row>
    <row r="63153" ht="14.25" customHeight="1" s="192">
      <c r="W63153" s="228" t="n"/>
      <c r="X63153" s="228" t="n"/>
    </row>
    <row r="63154" ht="14.25" customHeight="1" s="192">
      <c r="W63154" s="228" t="n"/>
      <c r="X63154" s="228" t="n"/>
    </row>
    <row r="63155" ht="14.25" customHeight="1" s="192">
      <c r="W63155" s="231" t="n"/>
      <c r="X63155" s="231" t="n"/>
    </row>
    <row r="63156" ht="14.25" customHeight="1" s="192">
      <c r="W63156" s="33" t="n"/>
      <c r="X63156" s="33" t="n"/>
    </row>
    <row r="63157" ht="14.25" customHeight="1" s="192">
      <c r="W63157" s="231" t="n"/>
      <c r="X63157" s="231" t="n"/>
    </row>
    <row r="63158" ht="14.25" customHeight="1" s="192">
      <c r="W63158" s="33" t="n"/>
      <c r="X63158" s="33" t="n"/>
    </row>
    <row r="63160" ht="14.25" customHeight="1" s="192">
      <c r="W63160" s="231" t="n"/>
      <c r="X63160" s="231" t="n"/>
    </row>
    <row r="63161" ht="14.25" customHeight="1" s="192">
      <c r="W63161" s="235" t="n"/>
      <c r="X63161" s="235" t="n"/>
    </row>
    <row r="63162" ht="14.25" customHeight="1" s="192">
      <c r="W63162" s="228" t="n"/>
      <c r="X63162" s="228" t="n"/>
    </row>
    <row r="63163" ht="14.25" customHeight="1" s="192">
      <c r="W63163" s="235" t="n"/>
      <c r="X63163" s="235" t="n"/>
    </row>
    <row r="63164" ht="14.25" customHeight="1" s="192">
      <c r="W63164" s="235" t="n"/>
      <c r="X63164" s="235" t="n"/>
    </row>
    <row r="63165" ht="14.25" customHeight="1" s="192">
      <c r="W63165" s="235" t="n"/>
      <c r="X63165" s="235" t="n"/>
    </row>
    <row r="63166" ht="14.25" customHeight="1" s="192">
      <c r="W63166" s="239" t="n"/>
      <c r="X63166" s="239" t="n"/>
    </row>
    <row r="63167" ht="14.25" customHeight="1" s="192">
      <c r="W63167" s="239" t="n"/>
      <c r="X63167" s="239" t="n"/>
    </row>
    <row r="63168" ht="14.25" customHeight="1" s="192">
      <c r="W63168" s="239" t="n"/>
      <c r="X63168" s="239" t="n"/>
    </row>
    <row r="63169" ht="14.25" customHeight="1" s="192">
      <c r="W63169" s="235" t="n"/>
      <c r="X63169" s="235" t="n"/>
    </row>
    <row r="63170" ht="14.25" customHeight="1" s="192">
      <c r="W63170" s="235" t="n"/>
      <c r="X63170" s="235" t="n"/>
    </row>
    <row r="63171" ht="14.25" customHeight="1" s="192">
      <c r="W63171" s="235" t="n"/>
      <c r="X63171" s="235" t="n"/>
    </row>
    <row r="63172" ht="14.25" customHeight="1" s="192">
      <c r="W63172" s="239" t="n"/>
      <c r="X63172" s="239" t="n"/>
    </row>
    <row r="63173" ht="14.25" customHeight="1" s="192">
      <c r="W63173" s="239" t="n"/>
      <c r="X63173" s="239" t="n"/>
    </row>
    <row r="63174" ht="14.25" customHeight="1" s="192">
      <c r="W63174" s="235" t="n"/>
      <c r="X63174" s="235" t="n"/>
    </row>
    <row r="63175" ht="14.25" customHeight="1" s="192">
      <c r="W63175" s="235" t="n"/>
      <c r="X63175" s="235" t="n"/>
    </row>
    <row r="63176" ht="14.25" customHeight="1" s="192">
      <c r="W63176" s="239" t="n"/>
      <c r="X63176" s="239" t="n"/>
    </row>
    <row r="63177" ht="14.25" customHeight="1" s="192">
      <c r="W63177" s="235" t="n"/>
      <c r="X63177" s="235" t="n"/>
    </row>
    <row r="63178" ht="14.25" customHeight="1" s="192">
      <c r="W63178" s="239" t="n"/>
      <c r="X63178" s="239" t="n"/>
    </row>
    <row r="63180" ht="14.25" customHeight="1" s="192">
      <c r="W63180" s="235" t="n"/>
      <c r="X63180" s="235" t="n"/>
    </row>
    <row r="63181" ht="15" customHeight="1" s="192" thickBot="1">
      <c r="W63181" s="239" t="n"/>
      <c r="X63181" s="239" t="n"/>
    </row>
    <row r="63182" ht="15" customHeight="1" s="192" thickBot="1">
      <c r="W63182" s="45" t="n"/>
      <c r="X63182" s="45" t="n"/>
    </row>
    <row r="63183" ht="14.25" customHeight="1" s="192">
      <c r="W63183" s="228" t="n"/>
      <c r="X63183" s="228" t="n"/>
    </row>
    <row r="63184" ht="14.25" customHeight="1" s="192">
      <c r="W63184" s="228" t="n"/>
      <c r="X63184" s="228" t="n"/>
    </row>
    <row r="63185" ht="14.25" customHeight="1" s="192">
      <c r="W63185" s="231" t="n"/>
      <c r="X63185" s="231" t="n"/>
    </row>
    <row r="63186" ht="14.25" customHeight="1" s="192">
      <c r="W63186" s="33" t="n"/>
      <c r="X63186" s="33" t="n"/>
    </row>
    <row r="63187" ht="14.25" customHeight="1" s="192">
      <c r="W63187" s="231" t="n"/>
      <c r="X63187" s="231" t="n"/>
    </row>
    <row r="63188" ht="14.25" customHeight="1" s="192">
      <c r="W63188" s="33" t="n"/>
      <c r="X63188" s="33" t="n"/>
    </row>
    <row r="63190" ht="14.25" customHeight="1" s="192">
      <c r="W63190" s="231" t="n"/>
      <c r="X63190" s="231" t="n"/>
    </row>
    <row r="63191" ht="14.25" customHeight="1" s="192">
      <c r="W63191" s="235" t="n"/>
      <c r="X63191" s="235" t="n"/>
    </row>
    <row r="63192" ht="14.25" customHeight="1" s="192">
      <c r="W63192" s="228" t="n"/>
      <c r="X63192" s="228" t="n"/>
    </row>
    <row r="63193" ht="14.25" customHeight="1" s="192">
      <c r="W63193" s="235" t="n"/>
      <c r="X63193" s="235" t="n"/>
    </row>
    <row r="63194" ht="14.25" customHeight="1" s="192">
      <c r="W63194" s="235" t="n"/>
      <c r="X63194" s="235" t="n"/>
    </row>
    <row r="63195" ht="14.25" customHeight="1" s="192">
      <c r="W63195" s="235" t="n"/>
      <c r="X63195" s="235" t="n"/>
    </row>
    <row r="63196" ht="14.25" customHeight="1" s="192">
      <c r="W63196" s="239" t="n"/>
      <c r="X63196" s="239" t="n"/>
    </row>
    <row r="63197" ht="14.25" customHeight="1" s="192">
      <c r="W63197" s="239" t="n"/>
      <c r="X63197" s="239" t="n"/>
    </row>
    <row r="63198" ht="14.25" customHeight="1" s="192">
      <c r="W63198" s="239" t="n"/>
      <c r="X63198" s="239" t="n"/>
    </row>
    <row r="63199" ht="14.25" customHeight="1" s="192">
      <c r="W63199" s="235" t="n"/>
      <c r="X63199" s="235" t="n"/>
    </row>
    <row r="63200" ht="14.25" customHeight="1" s="192">
      <c r="W63200" s="235" t="n"/>
      <c r="X63200" s="235" t="n"/>
    </row>
    <row r="63201" ht="14.25" customHeight="1" s="192">
      <c r="W63201" s="235" t="n"/>
      <c r="X63201" s="235" t="n"/>
    </row>
    <row r="63202" ht="14.25" customHeight="1" s="192">
      <c r="W63202" s="239" t="n"/>
      <c r="X63202" s="239" t="n"/>
    </row>
    <row r="63203" ht="14.25" customHeight="1" s="192">
      <c r="W63203" s="239" t="n"/>
      <c r="X63203" s="239" t="n"/>
    </row>
    <row r="63204" ht="14.25" customHeight="1" s="192">
      <c r="W63204" s="235" t="n"/>
      <c r="X63204" s="235" t="n"/>
    </row>
    <row r="63205" ht="14.25" customHeight="1" s="192">
      <c r="W63205" s="235" t="n"/>
      <c r="X63205" s="235" t="n"/>
    </row>
    <row r="63206" ht="14.25" customHeight="1" s="192">
      <c r="W63206" s="239" t="n"/>
      <c r="X63206" s="239" t="n"/>
    </row>
    <row r="63207" ht="14.25" customHeight="1" s="192">
      <c r="W63207" s="235" t="n"/>
      <c r="X63207" s="235" t="n"/>
    </row>
    <row r="63208" ht="14.25" customHeight="1" s="192">
      <c r="W63208" s="239" t="n"/>
      <c r="X63208" s="239" t="n"/>
    </row>
    <row r="63210" ht="14.25" customHeight="1" s="192">
      <c r="W63210" s="235" t="n"/>
      <c r="X63210" s="235" t="n"/>
    </row>
    <row r="63211" ht="15" customHeight="1" s="192" thickBot="1">
      <c r="W63211" s="239" t="n"/>
      <c r="X63211" s="239" t="n"/>
    </row>
    <row r="63212" ht="15" customHeight="1" s="192" thickBot="1">
      <c r="W63212" s="45" t="n"/>
      <c r="X63212" s="45" t="n"/>
    </row>
    <row r="63213" ht="14.25" customHeight="1" s="192">
      <c r="W63213" s="228" t="n"/>
      <c r="X63213" s="228" t="n"/>
    </row>
    <row r="63214" ht="14.25" customHeight="1" s="192">
      <c r="W63214" s="228" t="n"/>
      <c r="X63214" s="228" t="n"/>
    </row>
    <row r="63215" ht="14.25" customHeight="1" s="192">
      <c r="W63215" s="231" t="n"/>
      <c r="X63215" s="231" t="n"/>
    </row>
    <row r="63216" ht="14.25" customHeight="1" s="192">
      <c r="W63216" s="33" t="n"/>
      <c r="X63216" s="33" t="n"/>
    </row>
    <row r="63217" ht="14.25" customHeight="1" s="192">
      <c r="W63217" s="231" t="n"/>
      <c r="X63217" s="231" t="n"/>
    </row>
    <row r="63218" ht="14.25" customHeight="1" s="192">
      <c r="W63218" s="33" t="n"/>
      <c r="X63218" s="33" t="n"/>
    </row>
    <row r="63220" ht="14.25" customHeight="1" s="192">
      <c r="W63220" s="231" t="n"/>
      <c r="X63220" s="231" t="n"/>
    </row>
    <row r="63221" ht="14.25" customHeight="1" s="192">
      <c r="W63221" s="235" t="n"/>
      <c r="X63221" s="235" t="n"/>
    </row>
    <row r="63222" ht="14.25" customHeight="1" s="192">
      <c r="W63222" s="228" t="n"/>
      <c r="X63222" s="228" t="n"/>
    </row>
    <row r="63223" ht="14.25" customHeight="1" s="192">
      <c r="W63223" s="235" t="n"/>
      <c r="X63223" s="235" t="n"/>
    </row>
    <row r="63224" ht="14.25" customHeight="1" s="192">
      <c r="W63224" s="235" t="n"/>
      <c r="X63224" s="235" t="n"/>
    </row>
    <row r="63225" ht="14.25" customHeight="1" s="192">
      <c r="W63225" s="235" t="n"/>
      <c r="X63225" s="235" t="n"/>
    </row>
    <row r="63226" ht="14.25" customHeight="1" s="192">
      <c r="W63226" s="239" t="n"/>
      <c r="X63226" s="239" t="n"/>
    </row>
    <row r="63227" ht="14.25" customHeight="1" s="192">
      <c r="W63227" s="239" t="n"/>
      <c r="X63227" s="239" t="n"/>
    </row>
    <row r="63228" ht="14.25" customHeight="1" s="192">
      <c r="W63228" s="239" t="n"/>
      <c r="X63228" s="239" t="n"/>
    </row>
    <row r="63229" ht="14.25" customHeight="1" s="192">
      <c r="W63229" s="235" t="n"/>
      <c r="X63229" s="235" t="n"/>
    </row>
    <row r="63230" ht="14.25" customHeight="1" s="192">
      <c r="W63230" s="235" t="n"/>
      <c r="X63230" s="235" t="n"/>
    </row>
    <row r="63231" ht="14.25" customHeight="1" s="192">
      <c r="W63231" s="235" t="n"/>
      <c r="X63231" s="235" t="n"/>
    </row>
    <row r="63232" ht="14.25" customHeight="1" s="192">
      <c r="W63232" s="239" t="n"/>
      <c r="X63232" s="239" t="n"/>
    </row>
    <row r="63233" ht="14.25" customHeight="1" s="192">
      <c r="W63233" s="239" t="n"/>
      <c r="X63233" s="239" t="n"/>
    </row>
    <row r="63234" ht="14.25" customHeight="1" s="192">
      <c r="W63234" s="235" t="n"/>
      <c r="X63234" s="235" t="n"/>
    </row>
    <row r="63235" ht="14.25" customHeight="1" s="192">
      <c r="W63235" s="235" t="n"/>
      <c r="X63235" s="235" t="n"/>
    </row>
    <row r="63236" ht="14.25" customHeight="1" s="192">
      <c r="W63236" s="239" t="n"/>
      <c r="X63236" s="239" t="n"/>
    </row>
    <row r="63237" ht="14.25" customHeight="1" s="192">
      <c r="W63237" s="235" t="n"/>
      <c r="X63237" s="235" t="n"/>
    </row>
    <row r="63238" ht="14.25" customHeight="1" s="192">
      <c r="W63238" s="239" t="n"/>
      <c r="X63238" s="239" t="n"/>
    </row>
    <row r="63240" ht="14.25" customHeight="1" s="192">
      <c r="W63240" s="235" t="n"/>
      <c r="X63240" s="235" t="n"/>
    </row>
    <row r="63241" ht="15" customHeight="1" s="192" thickBot="1">
      <c r="W63241" s="239" t="n"/>
      <c r="X63241" s="239" t="n"/>
    </row>
    <row r="63242" ht="15" customHeight="1" s="192" thickBot="1">
      <c r="W63242" s="45" t="n"/>
      <c r="X63242" s="45" t="n"/>
    </row>
    <row r="63243" ht="14.25" customHeight="1" s="192">
      <c r="W63243" s="228" t="n"/>
      <c r="X63243" s="228" t="n"/>
    </row>
    <row r="63244" ht="14.25" customHeight="1" s="192">
      <c r="W63244" s="228" t="n"/>
      <c r="X63244" s="228" t="n"/>
    </row>
    <row r="63245" ht="14.25" customHeight="1" s="192">
      <c r="W63245" s="231" t="n"/>
      <c r="X63245" s="231" t="n"/>
    </row>
    <row r="63246" ht="14.25" customHeight="1" s="192">
      <c r="W63246" s="33" t="n"/>
      <c r="X63246" s="33" t="n"/>
    </row>
    <row r="63247" ht="14.25" customHeight="1" s="192">
      <c r="W63247" s="231" t="n"/>
      <c r="X63247" s="231" t="n"/>
    </row>
    <row r="63248" ht="14.25" customHeight="1" s="192">
      <c r="W63248" s="33" t="n"/>
      <c r="X63248" s="33" t="n"/>
    </row>
    <row r="63250" ht="14.25" customHeight="1" s="192">
      <c r="W63250" s="231" t="n"/>
      <c r="X63250" s="231" t="n"/>
    </row>
    <row r="63251" ht="14.25" customHeight="1" s="192">
      <c r="W63251" s="235" t="n"/>
      <c r="X63251" s="235" t="n"/>
    </row>
    <row r="63252" ht="14.25" customHeight="1" s="192">
      <c r="W63252" s="228" t="n"/>
      <c r="X63252" s="228" t="n"/>
    </row>
    <row r="63253" ht="14.25" customHeight="1" s="192">
      <c r="W63253" s="235" t="n"/>
      <c r="X63253" s="235" t="n"/>
    </row>
    <row r="63254" ht="14.25" customHeight="1" s="192">
      <c r="W63254" s="235" t="n"/>
      <c r="X63254" s="235" t="n"/>
    </row>
    <row r="63255" ht="14.25" customHeight="1" s="192">
      <c r="W63255" s="235" t="n"/>
      <c r="X63255" s="235" t="n"/>
    </row>
    <row r="63256" ht="14.25" customHeight="1" s="192">
      <c r="W63256" s="239" t="n"/>
      <c r="X63256" s="239" t="n"/>
    </row>
    <row r="63257" ht="14.25" customHeight="1" s="192">
      <c r="W63257" s="239" t="n"/>
      <c r="X63257" s="239" t="n"/>
    </row>
    <row r="63258" ht="14.25" customHeight="1" s="192">
      <c r="W63258" s="239" t="n"/>
      <c r="X63258" s="239" t="n"/>
    </row>
    <row r="63259" ht="14.25" customHeight="1" s="192">
      <c r="W63259" s="235" t="n"/>
      <c r="X63259" s="235" t="n"/>
    </row>
    <row r="63260" ht="14.25" customHeight="1" s="192">
      <c r="W63260" s="235" t="n"/>
      <c r="X63260" s="235" t="n"/>
    </row>
    <row r="63261" ht="14.25" customHeight="1" s="192">
      <c r="W63261" s="235" t="n"/>
      <c r="X63261" s="235" t="n"/>
    </row>
    <row r="63262" ht="14.25" customHeight="1" s="192">
      <c r="W63262" s="239" t="n"/>
      <c r="X63262" s="239" t="n"/>
    </row>
    <row r="63263" ht="14.25" customHeight="1" s="192">
      <c r="W63263" s="239" t="n"/>
      <c r="X63263" s="239" t="n"/>
    </row>
    <row r="63264" ht="14.25" customHeight="1" s="192">
      <c r="W63264" s="235" t="n"/>
      <c r="X63264" s="235" t="n"/>
    </row>
    <row r="63265" ht="14.25" customHeight="1" s="192">
      <c r="W63265" s="235" t="n"/>
      <c r="X63265" s="235" t="n"/>
    </row>
    <row r="63266" ht="14.25" customHeight="1" s="192">
      <c r="W63266" s="239" t="n"/>
      <c r="X63266" s="239" t="n"/>
    </row>
    <row r="63267" ht="14.25" customHeight="1" s="192">
      <c r="W63267" s="235" t="n"/>
      <c r="X63267" s="235" t="n"/>
    </row>
    <row r="63268" ht="14.25" customHeight="1" s="192">
      <c r="W63268" s="239" t="n"/>
      <c r="X63268" s="239" t="n"/>
    </row>
    <row r="63270" ht="14.25" customHeight="1" s="192">
      <c r="W63270" s="235" t="n"/>
      <c r="X63270" s="235" t="n"/>
    </row>
    <row r="63271" ht="15" customHeight="1" s="192" thickBot="1">
      <c r="W63271" s="239" t="n"/>
      <c r="X63271" s="239" t="n"/>
    </row>
    <row r="63272" ht="15" customHeight="1" s="192" thickBot="1">
      <c r="W63272" s="45" t="n"/>
      <c r="X63272" s="45" t="n"/>
    </row>
    <row r="63273" ht="14.25" customHeight="1" s="192">
      <c r="W63273" s="228" t="n"/>
      <c r="X63273" s="228" t="n"/>
    </row>
    <row r="63274" ht="14.25" customHeight="1" s="192">
      <c r="W63274" s="228" t="n"/>
      <c r="X63274" s="228" t="n"/>
    </row>
    <row r="63275" ht="14.25" customHeight="1" s="192">
      <c r="W63275" s="231" t="n"/>
      <c r="X63275" s="231" t="n"/>
    </row>
    <row r="63276" ht="14.25" customHeight="1" s="192">
      <c r="W63276" s="33" t="n"/>
      <c r="X63276" s="33" t="n"/>
    </row>
    <row r="63277" ht="14.25" customHeight="1" s="192">
      <c r="W63277" s="231" t="n"/>
      <c r="X63277" s="231" t="n"/>
    </row>
    <row r="63278" ht="14.25" customHeight="1" s="192">
      <c r="W63278" s="33" t="n"/>
      <c r="X63278" s="33" t="n"/>
    </row>
    <row r="63280" ht="14.25" customHeight="1" s="192">
      <c r="W63280" s="231" t="n"/>
      <c r="X63280" s="231" t="n"/>
    </row>
    <row r="63281" ht="14.25" customHeight="1" s="192">
      <c r="W63281" s="235" t="n"/>
      <c r="X63281" s="235" t="n"/>
    </row>
    <row r="63282" ht="14.25" customHeight="1" s="192">
      <c r="W63282" s="228" t="n"/>
      <c r="X63282" s="228" t="n"/>
    </row>
    <row r="63283" ht="14.25" customHeight="1" s="192">
      <c r="W63283" s="235" t="n"/>
      <c r="X63283" s="235" t="n"/>
    </row>
    <row r="63284" ht="14.25" customHeight="1" s="192">
      <c r="W63284" s="235" t="n"/>
      <c r="X63284" s="235" t="n"/>
    </row>
    <row r="63285" ht="14.25" customHeight="1" s="192">
      <c r="W63285" s="235" t="n"/>
      <c r="X63285" s="235" t="n"/>
    </row>
    <row r="63286" ht="14.25" customHeight="1" s="192">
      <c r="W63286" s="239" t="n"/>
      <c r="X63286" s="239" t="n"/>
    </row>
    <row r="63287" ht="14.25" customHeight="1" s="192">
      <c r="W63287" s="239" t="n"/>
      <c r="X63287" s="239" t="n"/>
    </row>
    <row r="63288" ht="14.25" customHeight="1" s="192">
      <c r="W63288" s="239" t="n"/>
      <c r="X63288" s="239" t="n"/>
    </row>
    <row r="63289" ht="14.25" customHeight="1" s="192">
      <c r="W63289" s="235" t="n"/>
      <c r="X63289" s="235" t="n"/>
    </row>
    <row r="63290" ht="14.25" customHeight="1" s="192">
      <c r="W63290" s="235" t="n"/>
      <c r="X63290" s="235" t="n"/>
    </row>
    <row r="63291" ht="14.25" customHeight="1" s="192">
      <c r="W63291" s="235" t="n"/>
      <c r="X63291" s="235" t="n"/>
    </row>
    <row r="63292" ht="14.25" customHeight="1" s="192">
      <c r="W63292" s="239" t="n"/>
      <c r="X63292" s="239" t="n"/>
    </row>
    <row r="63293" ht="14.25" customHeight="1" s="192">
      <c r="W63293" s="239" t="n"/>
      <c r="X63293" s="239" t="n"/>
    </row>
    <row r="63294" ht="14.25" customHeight="1" s="192">
      <c r="W63294" s="235" t="n"/>
      <c r="X63294" s="235" t="n"/>
    </row>
    <row r="63295" ht="14.25" customHeight="1" s="192">
      <c r="W63295" s="235" t="n"/>
      <c r="X63295" s="235" t="n"/>
    </row>
    <row r="63296" ht="14.25" customHeight="1" s="192">
      <c r="W63296" s="239" t="n"/>
      <c r="X63296" s="239" t="n"/>
    </row>
    <row r="63297" ht="14.25" customHeight="1" s="192">
      <c r="W63297" s="235" t="n"/>
      <c r="X63297" s="235" t="n"/>
    </row>
    <row r="63298" ht="14.25" customHeight="1" s="192">
      <c r="W63298" s="239" t="n"/>
      <c r="X63298" s="239" t="n"/>
    </row>
    <row r="63300" ht="14.25" customHeight="1" s="192">
      <c r="W63300" s="235" t="n"/>
      <c r="X63300" s="235" t="n"/>
    </row>
    <row r="63301" ht="15" customHeight="1" s="192" thickBot="1">
      <c r="W63301" s="239" t="n"/>
      <c r="X63301" s="239" t="n"/>
    </row>
    <row r="63302" ht="15" customHeight="1" s="192" thickBot="1">
      <c r="W63302" s="45" t="n"/>
      <c r="X63302" s="45" t="n"/>
    </row>
    <row r="63303" ht="14.25" customHeight="1" s="192">
      <c r="W63303" s="228" t="n"/>
      <c r="X63303" s="228" t="n"/>
    </row>
    <row r="63304" ht="14.25" customHeight="1" s="192">
      <c r="W63304" s="228" t="n"/>
      <c r="X63304" s="228" t="n"/>
    </row>
    <row r="63305" ht="14.25" customHeight="1" s="192">
      <c r="W63305" s="231" t="n"/>
      <c r="X63305" s="231" t="n"/>
    </row>
    <row r="63306" ht="14.25" customHeight="1" s="192">
      <c r="W63306" s="33" t="n"/>
      <c r="X63306" s="33" t="n"/>
    </row>
    <row r="63307" ht="14.25" customHeight="1" s="192">
      <c r="W63307" s="231" t="n"/>
      <c r="X63307" s="231" t="n"/>
    </row>
    <row r="63308" ht="14.25" customHeight="1" s="192">
      <c r="W63308" s="33" t="n"/>
      <c r="X63308" s="33" t="n"/>
    </row>
    <row r="63310" ht="14.25" customHeight="1" s="192">
      <c r="W63310" s="231" t="n"/>
      <c r="X63310" s="231" t="n"/>
    </row>
    <row r="63311" ht="14.25" customHeight="1" s="192">
      <c r="W63311" s="235" t="n"/>
      <c r="X63311" s="235" t="n"/>
    </row>
    <row r="63312" ht="14.25" customHeight="1" s="192">
      <c r="W63312" s="228" t="n"/>
      <c r="X63312" s="228" t="n"/>
    </row>
    <row r="63313" ht="14.25" customHeight="1" s="192">
      <c r="W63313" s="235" t="n"/>
      <c r="X63313" s="235" t="n"/>
    </row>
    <row r="63314" ht="14.25" customHeight="1" s="192">
      <c r="W63314" s="235" t="n"/>
      <c r="X63314" s="235" t="n"/>
    </row>
    <row r="63315" ht="14.25" customHeight="1" s="192">
      <c r="W63315" s="235" t="n"/>
      <c r="X63315" s="235" t="n"/>
    </row>
    <row r="63316" ht="14.25" customHeight="1" s="192">
      <c r="W63316" s="239" t="n"/>
      <c r="X63316" s="239" t="n"/>
    </row>
    <row r="63317" ht="14.25" customHeight="1" s="192">
      <c r="W63317" s="239" t="n"/>
      <c r="X63317" s="239" t="n"/>
    </row>
    <row r="63318" ht="14.25" customHeight="1" s="192">
      <c r="W63318" s="239" t="n"/>
      <c r="X63318" s="239" t="n"/>
    </row>
    <row r="63319" ht="14.25" customHeight="1" s="192">
      <c r="W63319" s="235" t="n"/>
      <c r="X63319" s="235" t="n"/>
    </row>
    <row r="63320" ht="14.25" customHeight="1" s="192">
      <c r="W63320" s="235" t="n"/>
      <c r="X63320" s="235" t="n"/>
    </row>
    <row r="63321" ht="14.25" customHeight="1" s="192">
      <c r="W63321" s="235" t="n"/>
      <c r="X63321" s="235" t="n"/>
    </row>
    <row r="63322" ht="14.25" customHeight="1" s="192">
      <c r="W63322" s="239" t="n"/>
      <c r="X63322" s="239" t="n"/>
    </row>
    <row r="63323" ht="14.25" customHeight="1" s="192">
      <c r="W63323" s="239" t="n"/>
      <c r="X63323" s="239" t="n"/>
    </row>
    <row r="63324" ht="14.25" customHeight="1" s="192">
      <c r="W63324" s="235" t="n"/>
      <c r="X63324" s="235" t="n"/>
    </row>
    <row r="63325" ht="14.25" customHeight="1" s="192">
      <c r="W63325" s="235" t="n"/>
      <c r="X63325" s="235" t="n"/>
    </row>
    <row r="63326" ht="14.25" customHeight="1" s="192">
      <c r="W63326" s="239" t="n"/>
      <c r="X63326" s="239" t="n"/>
    </row>
    <row r="63327" ht="14.25" customHeight="1" s="192">
      <c r="W63327" s="235" t="n"/>
      <c r="X63327" s="235" t="n"/>
    </row>
    <row r="63328" ht="14.25" customHeight="1" s="192">
      <c r="W63328" s="239" t="n"/>
      <c r="X63328" s="239" t="n"/>
    </row>
    <row r="63330" ht="14.25" customHeight="1" s="192">
      <c r="W63330" s="235" t="n"/>
      <c r="X63330" s="235" t="n"/>
    </row>
    <row r="63331" ht="15" customHeight="1" s="192" thickBot="1">
      <c r="W63331" s="239" t="n"/>
      <c r="X63331" s="239" t="n"/>
    </row>
    <row r="63332" ht="15" customHeight="1" s="192" thickBot="1">
      <c r="W63332" s="45" t="n"/>
      <c r="X63332" s="45" t="n"/>
    </row>
    <row r="63333" ht="14.25" customHeight="1" s="192">
      <c r="W63333" s="228" t="n"/>
      <c r="X63333" s="228" t="n"/>
    </row>
    <row r="63334" ht="14.25" customHeight="1" s="192">
      <c r="W63334" s="228" t="n"/>
      <c r="X63334" s="228" t="n"/>
    </row>
    <row r="63335" ht="14.25" customHeight="1" s="192">
      <c r="W63335" s="231" t="n"/>
      <c r="X63335" s="231" t="n"/>
    </row>
    <row r="63336" ht="14.25" customHeight="1" s="192">
      <c r="W63336" s="33" t="n"/>
      <c r="X63336" s="33" t="n"/>
    </row>
    <row r="63337" ht="14.25" customHeight="1" s="192">
      <c r="W63337" s="231" t="n"/>
      <c r="X63337" s="231" t="n"/>
    </row>
    <row r="63338" ht="14.25" customHeight="1" s="192">
      <c r="W63338" s="33" t="n"/>
      <c r="X63338" s="33" t="n"/>
    </row>
    <row r="63340" ht="14.25" customHeight="1" s="192">
      <c r="W63340" s="231" t="n"/>
      <c r="X63340" s="231" t="n"/>
    </row>
    <row r="63341" ht="14.25" customHeight="1" s="192">
      <c r="W63341" s="235" t="n"/>
      <c r="X63341" s="235" t="n"/>
    </row>
    <row r="63342" ht="14.25" customHeight="1" s="192">
      <c r="W63342" s="228" t="n"/>
      <c r="X63342" s="228" t="n"/>
    </row>
    <row r="63343" ht="14.25" customHeight="1" s="192">
      <c r="W63343" s="235" t="n"/>
      <c r="X63343" s="235" t="n"/>
    </row>
    <row r="63344" ht="14.25" customHeight="1" s="192">
      <c r="W63344" s="235" t="n"/>
      <c r="X63344" s="235" t="n"/>
    </row>
    <row r="63345" ht="14.25" customHeight="1" s="192">
      <c r="W63345" s="235" t="n"/>
      <c r="X63345" s="235" t="n"/>
    </row>
    <row r="63346" ht="14.25" customHeight="1" s="192">
      <c r="W63346" s="239" t="n"/>
      <c r="X63346" s="239" t="n"/>
    </row>
    <row r="63347" ht="14.25" customHeight="1" s="192">
      <c r="W63347" s="239" t="n"/>
      <c r="X63347" s="239" t="n"/>
    </row>
    <row r="63348" ht="14.25" customHeight="1" s="192">
      <c r="W63348" s="239" t="n"/>
      <c r="X63348" s="239" t="n"/>
    </row>
    <row r="63349" ht="14.25" customHeight="1" s="192">
      <c r="W63349" s="235" t="n"/>
      <c r="X63349" s="235" t="n"/>
    </row>
    <row r="63350" ht="14.25" customHeight="1" s="192">
      <c r="W63350" s="235" t="n"/>
      <c r="X63350" s="235" t="n"/>
    </row>
    <row r="63351" ht="14.25" customHeight="1" s="192">
      <c r="W63351" s="235" t="n"/>
      <c r="X63351" s="235" t="n"/>
    </row>
    <row r="63352" ht="14.25" customHeight="1" s="192">
      <c r="W63352" s="239" t="n"/>
      <c r="X63352" s="239" t="n"/>
    </row>
    <row r="63353" ht="14.25" customHeight="1" s="192">
      <c r="W63353" s="239" t="n"/>
      <c r="X63353" s="239" t="n"/>
    </row>
    <row r="63354" ht="14.25" customHeight="1" s="192">
      <c r="W63354" s="235" t="n"/>
      <c r="X63354" s="235" t="n"/>
    </row>
    <row r="63355" ht="14.25" customHeight="1" s="192">
      <c r="W63355" s="235" t="n"/>
      <c r="X63355" s="235" t="n"/>
    </row>
    <row r="63356" ht="14.25" customHeight="1" s="192">
      <c r="W63356" s="239" t="n"/>
      <c r="X63356" s="239" t="n"/>
    </row>
    <row r="63357" ht="14.25" customHeight="1" s="192">
      <c r="W63357" s="235" t="n"/>
      <c r="X63357" s="235" t="n"/>
    </row>
    <row r="63358" ht="14.25" customHeight="1" s="192">
      <c r="W63358" s="239" t="n"/>
      <c r="X63358" s="239" t="n"/>
    </row>
    <row r="63360" ht="14.25" customHeight="1" s="192">
      <c r="W63360" s="235" t="n"/>
      <c r="X63360" s="235" t="n"/>
    </row>
    <row r="63361" ht="15" customHeight="1" s="192" thickBot="1">
      <c r="W63361" s="239" t="n"/>
      <c r="X63361" s="239" t="n"/>
    </row>
    <row r="63362" ht="15" customHeight="1" s="192" thickBot="1">
      <c r="W63362" s="45" t="n"/>
      <c r="X63362" s="45" t="n"/>
    </row>
    <row r="63363" ht="14.25" customHeight="1" s="192">
      <c r="W63363" s="228" t="n"/>
      <c r="X63363" s="228" t="n"/>
    </row>
    <row r="63364" ht="14.25" customHeight="1" s="192">
      <c r="W63364" s="228" t="n"/>
      <c r="X63364" s="228" t="n"/>
    </row>
    <row r="63365" ht="14.25" customHeight="1" s="192">
      <c r="W63365" s="231" t="n"/>
      <c r="X63365" s="231" t="n"/>
    </row>
    <row r="63366" ht="14.25" customHeight="1" s="192">
      <c r="W63366" s="33" t="n"/>
      <c r="X63366" s="33" t="n"/>
    </row>
    <row r="63367" ht="14.25" customHeight="1" s="192">
      <c r="W63367" s="231" t="n"/>
      <c r="X63367" s="231" t="n"/>
    </row>
    <row r="63368" ht="14.25" customHeight="1" s="192">
      <c r="W63368" s="33" t="n"/>
      <c r="X63368" s="33" t="n"/>
    </row>
    <row r="63370" ht="14.25" customHeight="1" s="192">
      <c r="W63370" s="231" t="n"/>
      <c r="X63370" s="231" t="n"/>
    </row>
    <row r="63371" ht="14.25" customHeight="1" s="192">
      <c r="W63371" s="235" t="n"/>
      <c r="X63371" s="235" t="n"/>
    </row>
    <row r="63372" ht="14.25" customHeight="1" s="192">
      <c r="W63372" s="228" t="n"/>
      <c r="X63372" s="228" t="n"/>
    </row>
    <row r="63373" ht="14.25" customHeight="1" s="192">
      <c r="W63373" s="235" t="n"/>
      <c r="X63373" s="235" t="n"/>
    </row>
    <row r="63374" ht="14.25" customHeight="1" s="192">
      <c r="W63374" s="235" t="n"/>
      <c r="X63374" s="235" t="n"/>
    </row>
    <row r="63375" ht="14.25" customHeight="1" s="192">
      <c r="W63375" s="235" t="n"/>
      <c r="X63375" s="235" t="n"/>
    </row>
    <row r="63376" ht="14.25" customHeight="1" s="192">
      <c r="W63376" s="239" t="n"/>
      <c r="X63376" s="239" t="n"/>
    </row>
    <row r="63377" ht="14.25" customHeight="1" s="192">
      <c r="W63377" s="239" t="n"/>
      <c r="X63377" s="239" t="n"/>
    </row>
    <row r="63378" ht="14.25" customHeight="1" s="192">
      <c r="W63378" s="239" t="n"/>
      <c r="X63378" s="239" t="n"/>
    </row>
    <row r="63379" ht="14.25" customHeight="1" s="192">
      <c r="W63379" s="235" t="n"/>
      <c r="X63379" s="235" t="n"/>
    </row>
    <row r="63380" ht="14.25" customHeight="1" s="192">
      <c r="W63380" s="235" t="n"/>
      <c r="X63380" s="235" t="n"/>
    </row>
    <row r="63381" ht="14.25" customHeight="1" s="192">
      <c r="W63381" s="235" t="n"/>
      <c r="X63381" s="235" t="n"/>
    </row>
    <row r="63382" ht="14.25" customHeight="1" s="192">
      <c r="W63382" s="239" t="n"/>
      <c r="X63382" s="239" t="n"/>
    </row>
    <row r="63383" ht="14.25" customHeight="1" s="192">
      <c r="W63383" s="239" t="n"/>
      <c r="X63383" s="239" t="n"/>
    </row>
    <row r="63384" ht="14.25" customHeight="1" s="192">
      <c r="W63384" s="235" t="n"/>
      <c r="X63384" s="235" t="n"/>
    </row>
    <row r="63385" ht="14.25" customHeight="1" s="192">
      <c r="W63385" s="235" t="n"/>
      <c r="X63385" s="235" t="n"/>
    </row>
    <row r="63386" ht="14.25" customHeight="1" s="192">
      <c r="W63386" s="239" t="n"/>
      <c r="X63386" s="239" t="n"/>
    </row>
    <row r="63387" ht="14.25" customHeight="1" s="192">
      <c r="W63387" s="235" t="n"/>
      <c r="X63387" s="235" t="n"/>
    </row>
    <row r="63388" ht="14.25" customHeight="1" s="192">
      <c r="W63388" s="239" t="n"/>
      <c r="X63388" s="239" t="n"/>
    </row>
    <row r="63390" ht="14.25" customHeight="1" s="192">
      <c r="W63390" s="235" t="n"/>
      <c r="X63390" s="235" t="n"/>
    </row>
    <row r="63391" ht="15" customHeight="1" s="192" thickBot="1">
      <c r="W63391" s="239" t="n"/>
      <c r="X63391" s="239" t="n"/>
    </row>
    <row r="63392" ht="15" customHeight="1" s="192" thickBot="1">
      <c r="W63392" s="45" t="n"/>
      <c r="X63392" s="45" t="n"/>
    </row>
    <row r="63393" ht="14.25" customHeight="1" s="192">
      <c r="W63393" s="228" t="n"/>
      <c r="X63393" s="228" t="n"/>
    </row>
    <row r="63394" ht="14.25" customHeight="1" s="192">
      <c r="W63394" s="228" t="n"/>
      <c r="X63394" s="228" t="n"/>
    </row>
    <row r="63395" ht="14.25" customHeight="1" s="192">
      <c r="W63395" s="231" t="n"/>
      <c r="X63395" s="231" t="n"/>
    </row>
    <row r="63396" ht="14.25" customHeight="1" s="192">
      <c r="W63396" s="33" t="n"/>
      <c r="X63396" s="33" t="n"/>
    </row>
    <row r="63397" ht="14.25" customHeight="1" s="192">
      <c r="W63397" s="231" t="n"/>
      <c r="X63397" s="231" t="n"/>
    </row>
    <row r="63398" ht="14.25" customHeight="1" s="192">
      <c r="W63398" s="33" t="n"/>
      <c r="X63398" s="33" t="n"/>
    </row>
    <row r="63400" ht="14.25" customHeight="1" s="192">
      <c r="W63400" s="231" t="n"/>
      <c r="X63400" s="231" t="n"/>
    </row>
    <row r="63401" ht="14.25" customHeight="1" s="192">
      <c r="W63401" s="235" t="n"/>
      <c r="X63401" s="235" t="n"/>
    </row>
    <row r="63402" ht="14.25" customHeight="1" s="192">
      <c r="W63402" s="228" t="n"/>
      <c r="X63402" s="228" t="n"/>
    </row>
    <row r="63403" ht="14.25" customHeight="1" s="192">
      <c r="W63403" s="235" t="n"/>
      <c r="X63403" s="235" t="n"/>
    </row>
    <row r="63404" ht="14.25" customHeight="1" s="192">
      <c r="W63404" s="235" t="n"/>
      <c r="X63404" s="235" t="n"/>
    </row>
    <row r="63405" ht="14.25" customHeight="1" s="192">
      <c r="W63405" s="235" t="n"/>
      <c r="X63405" s="235" t="n"/>
    </row>
    <row r="63406" ht="14.25" customHeight="1" s="192">
      <c r="W63406" s="239" t="n"/>
      <c r="X63406" s="239" t="n"/>
    </row>
    <row r="63407" ht="14.25" customHeight="1" s="192">
      <c r="W63407" s="239" t="n"/>
      <c r="X63407" s="239" t="n"/>
    </row>
    <row r="63408" ht="14.25" customHeight="1" s="192">
      <c r="W63408" s="239" t="n"/>
      <c r="X63408" s="239" t="n"/>
    </row>
    <row r="63409" ht="14.25" customHeight="1" s="192">
      <c r="W63409" s="235" t="n"/>
      <c r="X63409" s="235" t="n"/>
    </row>
    <row r="63410" ht="14.25" customHeight="1" s="192">
      <c r="W63410" s="235" t="n"/>
      <c r="X63410" s="235" t="n"/>
    </row>
    <row r="63411" ht="14.25" customHeight="1" s="192">
      <c r="W63411" s="235" t="n"/>
      <c r="X63411" s="235" t="n"/>
    </row>
    <row r="63412" ht="14.25" customHeight="1" s="192">
      <c r="W63412" s="239" t="n"/>
      <c r="X63412" s="239" t="n"/>
    </row>
    <row r="63413" ht="14.25" customHeight="1" s="192">
      <c r="W63413" s="239" t="n"/>
      <c r="X63413" s="239" t="n"/>
    </row>
    <row r="63414" ht="14.25" customHeight="1" s="192">
      <c r="W63414" s="235" t="n"/>
      <c r="X63414" s="235" t="n"/>
    </row>
    <row r="63415" ht="14.25" customHeight="1" s="192">
      <c r="W63415" s="235" t="n"/>
      <c r="X63415" s="235" t="n"/>
    </row>
    <row r="63416" ht="14.25" customHeight="1" s="192">
      <c r="W63416" s="239" t="n"/>
      <c r="X63416" s="239" t="n"/>
    </row>
    <row r="63417" ht="14.25" customHeight="1" s="192">
      <c r="W63417" s="235" t="n"/>
      <c r="X63417" s="235" t="n"/>
    </row>
    <row r="63418" ht="14.25" customHeight="1" s="192">
      <c r="W63418" s="239" t="n"/>
      <c r="X63418" s="239" t="n"/>
    </row>
    <row r="63420" ht="14.25" customHeight="1" s="192">
      <c r="W63420" s="235" t="n"/>
      <c r="X63420" s="235" t="n"/>
    </row>
    <row r="63421" ht="15" customHeight="1" s="192" thickBot="1">
      <c r="W63421" s="239" t="n"/>
      <c r="X63421" s="239" t="n"/>
    </row>
    <row r="63422" ht="15" customHeight="1" s="192" thickBot="1">
      <c r="W63422" s="45" t="n"/>
      <c r="X63422" s="45" t="n"/>
    </row>
    <row r="63423" ht="14.25" customHeight="1" s="192">
      <c r="W63423" s="228" t="n"/>
      <c r="X63423" s="228" t="n"/>
    </row>
    <row r="63424" ht="14.25" customHeight="1" s="192">
      <c r="W63424" s="228" t="n"/>
      <c r="X63424" s="228" t="n"/>
    </row>
    <row r="63425" ht="14.25" customHeight="1" s="192">
      <c r="W63425" s="231" t="n"/>
      <c r="X63425" s="231" t="n"/>
    </row>
    <row r="63426" ht="14.25" customHeight="1" s="192">
      <c r="W63426" s="33" t="n"/>
      <c r="X63426" s="33" t="n"/>
    </row>
    <row r="63427" ht="14.25" customHeight="1" s="192">
      <c r="W63427" s="231" t="n"/>
      <c r="X63427" s="231" t="n"/>
    </row>
    <row r="63428" ht="14.25" customHeight="1" s="192">
      <c r="W63428" s="33" t="n"/>
      <c r="X63428" s="33" t="n"/>
    </row>
    <row r="63430" ht="14.25" customHeight="1" s="192">
      <c r="W63430" s="231" t="n"/>
      <c r="X63430" s="231" t="n"/>
    </row>
    <row r="63431" ht="14.25" customHeight="1" s="192">
      <c r="W63431" s="235" t="n"/>
      <c r="X63431" s="235" t="n"/>
    </row>
    <row r="63432" ht="14.25" customHeight="1" s="192">
      <c r="W63432" s="228" t="n"/>
      <c r="X63432" s="228" t="n"/>
    </row>
    <row r="63433" ht="14.25" customHeight="1" s="192">
      <c r="W63433" s="235" t="n"/>
      <c r="X63433" s="235" t="n"/>
    </row>
    <row r="63434" ht="14.25" customHeight="1" s="192">
      <c r="W63434" s="235" t="n"/>
      <c r="X63434" s="235" t="n"/>
    </row>
    <row r="63435" ht="14.25" customHeight="1" s="192">
      <c r="W63435" s="235" t="n"/>
      <c r="X63435" s="235" t="n"/>
    </row>
    <row r="63436" ht="14.25" customHeight="1" s="192">
      <c r="W63436" s="239" t="n"/>
      <c r="X63436" s="239" t="n"/>
    </row>
    <row r="63437" ht="14.25" customHeight="1" s="192">
      <c r="W63437" s="239" t="n"/>
      <c r="X63437" s="239" t="n"/>
    </row>
    <row r="63438" ht="14.25" customHeight="1" s="192">
      <c r="W63438" s="239" t="n"/>
      <c r="X63438" s="239" t="n"/>
    </row>
    <row r="63439" ht="14.25" customHeight="1" s="192">
      <c r="W63439" s="235" t="n"/>
      <c r="X63439" s="235" t="n"/>
    </row>
    <row r="63440" ht="14.25" customHeight="1" s="192">
      <c r="W63440" s="235" t="n"/>
      <c r="X63440" s="235" t="n"/>
    </row>
    <row r="63441" ht="14.25" customHeight="1" s="192">
      <c r="W63441" s="235" t="n"/>
      <c r="X63441" s="235" t="n"/>
    </row>
    <row r="63442" ht="14.25" customHeight="1" s="192">
      <c r="W63442" s="239" t="n"/>
      <c r="X63442" s="239" t="n"/>
    </row>
    <row r="63443" ht="14.25" customHeight="1" s="192">
      <c r="W63443" s="239" t="n"/>
      <c r="X63443" s="239" t="n"/>
    </row>
    <row r="63444" ht="14.25" customHeight="1" s="192">
      <c r="W63444" s="235" t="n"/>
      <c r="X63444" s="235" t="n"/>
    </row>
    <row r="63445" ht="14.25" customHeight="1" s="192">
      <c r="W63445" s="235" t="n"/>
      <c r="X63445" s="235" t="n"/>
    </row>
    <row r="63446" ht="14.25" customHeight="1" s="192">
      <c r="W63446" s="239" t="n"/>
      <c r="X63446" s="239" t="n"/>
    </row>
    <row r="63447" ht="14.25" customHeight="1" s="192">
      <c r="W63447" s="235" t="n"/>
      <c r="X63447" s="235" t="n"/>
    </row>
    <row r="63448" ht="14.25" customHeight="1" s="192">
      <c r="W63448" s="239" t="n"/>
      <c r="X63448" s="239" t="n"/>
    </row>
    <row r="63450" ht="14.25" customHeight="1" s="192">
      <c r="W63450" s="235" t="n"/>
      <c r="X63450" s="235" t="n"/>
    </row>
    <row r="63451" ht="15" customHeight="1" s="192" thickBot="1">
      <c r="W63451" s="239" t="n"/>
      <c r="X63451" s="239" t="n"/>
    </row>
    <row r="63452" ht="15" customHeight="1" s="192" thickBot="1">
      <c r="W63452" s="45" t="n"/>
      <c r="X63452" s="45" t="n"/>
    </row>
    <row r="63453" ht="14.25" customHeight="1" s="192">
      <c r="W63453" s="228" t="n"/>
      <c r="X63453" s="228" t="n"/>
    </row>
    <row r="63454" ht="14.25" customHeight="1" s="192">
      <c r="W63454" s="228" t="n"/>
      <c r="X63454" s="228" t="n"/>
    </row>
    <row r="63455" ht="14.25" customHeight="1" s="192">
      <c r="W63455" s="231" t="n"/>
      <c r="X63455" s="231" t="n"/>
    </row>
    <row r="63456" ht="14.25" customHeight="1" s="192">
      <c r="W63456" s="33" t="n"/>
      <c r="X63456" s="33" t="n"/>
    </row>
    <row r="63457" ht="14.25" customHeight="1" s="192">
      <c r="W63457" s="231" t="n"/>
      <c r="X63457" s="231" t="n"/>
    </row>
    <row r="63458" ht="14.25" customHeight="1" s="192">
      <c r="W63458" s="33" t="n"/>
      <c r="X63458" s="33" t="n"/>
    </row>
    <row r="63460" ht="14.25" customHeight="1" s="192">
      <c r="W63460" s="231" t="n"/>
      <c r="X63460" s="231" t="n"/>
    </row>
    <row r="63461" ht="14.25" customHeight="1" s="192">
      <c r="W63461" s="235" t="n"/>
      <c r="X63461" s="235" t="n"/>
    </row>
    <row r="63462" ht="14.25" customHeight="1" s="192">
      <c r="W63462" s="228" t="n"/>
      <c r="X63462" s="228" t="n"/>
    </row>
    <row r="63463" ht="14.25" customHeight="1" s="192">
      <c r="W63463" s="235" t="n"/>
      <c r="X63463" s="235" t="n"/>
    </row>
    <row r="63464" ht="14.25" customHeight="1" s="192">
      <c r="W63464" s="235" t="n"/>
      <c r="X63464" s="235" t="n"/>
    </row>
    <row r="63465" ht="14.25" customHeight="1" s="192">
      <c r="W63465" s="235" t="n"/>
      <c r="X63465" s="235" t="n"/>
    </row>
    <row r="63466" ht="14.25" customHeight="1" s="192">
      <c r="W63466" s="239" t="n"/>
      <c r="X63466" s="239" t="n"/>
    </row>
    <row r="63467" ht="14.25" customHeight="1" s="192">
      <c r="W63467" s="239" t="n"/>
      <c r="X63467" s="239" t="n"/>
    </row>
    <row r="63468" ht="14.25" customHeight="1" s="192">
      <c r="W63468" s="239" t="n"/>
      <c r="X63468" s="239" t="n"/>
    </row>
    <row r="63469" ht="14.25" customHeight="1" s="192">
      <c r="W63469" s="235" t="n"/>
      <c r="X63469" s="235" t="n"/>
    </row>
    <row r="63470" ht="14.25" customHeight="1" s="192">
      <c r="W63470" s="235" t="n"/>
      <c r="X63470" s="235" t="n"/>
    </row>
    <row r="63471" ht="14.25" customHeight="1" s="192">
      <c r="W63471" s="235" t="n"/>
      <c r="X63471" s="235" t="n"/>
    </row>
    <row r="63472" ht="14.25" customHeight="1" s="192">
      <c r="W63472" s="239" t="n"/>
      <c r="X63472" s="239" t="n"/>
    </row>
    <row r="63473" ht="14.25" customHeight="1" s="192">
      <c r="W63473" s="239" t="n"/>
      <c r="X63473" s="239" t="n"/>
    </row>
    <row r="63474" ht="14.25" customHeight="1" s="192">
      <c r="W63474" s="235" t="n"/>
      <c r="X63474" s="235" t="n"/>
    </row>
    <row r="63475" ht="14.25" customHeight="1" s="192">
      <c r="W63475" s="235" t="n"/>
      <c r="X63475" s="235" t="n"/>
    </row>
    <row r="63476" ht="14.25" customHeight="1" s="192">
      <c r="W63476" s="239" t="n"/>
      <c r="X63476" s="239" t="n"/>
    </row>
    <row r="63477" ht="14.25" customHeight="1" s="192">
      <c r="W63477" s="235" t="n"/>
      <c r="X63477" s="235" t="n"/>
    </row>
    <row r="63478" ht="14.25" customHeight="1" s="192">
      <c r="W63478" s="239" t="n"/>
      <c r="X63478" s="239" t="n"/>
    </row>
    <row r="63480" ht="14.25" customHeight="1" s="192">
      <c r="W63480" s="235" t="n"/>
      <c r="X63480" s="235" t="n"/>
    </row>
    <row r="63481" ht="15" customHeight="1" s="192" thickBot="1">
      <c r="W63481" s="239" t="n"/>
      <c r="X63481" s="239" t="n"/>
    </row>
    <row r="63482" ht="15" customHeight="1" s="192" thickBot="1">
      <c r="W63482" s="45" t="n"/>
      <c r="X63482" s="45" t="n"/>
    </row>
    <row r="63483" ht="14.25" customHeight="1" s="192">
      <c r="W63483" s="228" t="n"/>
      <c r="X63483" s="228" t="n"/>
    </row>
    <row r="63484" ht="14.25" customHeight="1" s="192">
      <c r="W63484" s="228" t="n"/>
      <c r="X63484" s="228" t="n"/>
    </row>
    <row r="63485" ht="14.25" customHeight="1" s="192">
      <c r="W63485" s="231" t="n"/>
      <c r="X63485" s="231" t="n"/>
    </row>
    <row r="63486" ht="14.25" customHeight="1" s="192">
      <c r="W63486" s="33" t="n"/>
      <c r="X63486" s="33" t="n"/>
    </row>
    <row r="63487" ht="14.25" customHeight="1" s="192">
      <c r="W63487" s="231" t="n"/>
      <c r="X63487" s="231" t="n"/>
    </row>
    <row r="63488" ht="14.25" customHeight="1" s="192">
      <c r="W63488" s="33" t="n"/>
      <c r="X63488" s="33" t="n"/>
    </row>
    <row r="63490" ht="14.25" customHeight="1" s="192">
      <c r="W63490" s="231" t="n"/>
      <c r="X63490" s="231" t="n"/>
    </row>
    <row r="63491" ht="14.25" customHeight="1" s="192">
      <c r="W63491" s="235" t="n"/>
      <c r="X63491" s="235" t="n"/>
    </row>
    <row r="63492" ht="14.25" customHeight="1" s="192">
      <c r="W63492" s="228" t="n"/>
      <c r="X63492" s="228" t="n"/>
    </row>
    <row r="63493" ht="14.25" customHeight="1" s="192">
      <c r="W63493" s="235" t="n"/>
      <c r="X63493" s="235" t="n"/>
    </row>
    <row r="63494" ht="14.25" customHeight="1" s="192">
      <c r="W63494" s="235" t="n"/>
      <c r="X63494" s="235" t="n"/>
    </row>
    <row r="63495" ht="14.25" customHeight="1" s="192">
      <c r="W63495" s="235" t="n"/>
      <c r="X63495" s="235" t="n"/>
    </row>
    <row r="63496" ht="14.25" customHeight="1" s="192">
      <c r="W63496" s="239" t="n"/>
      <c r="X63496" s="239" t="n"/>
    </row>
    <row r="63497" ht="14.25" customHeight="1" s="192">
      <c r="W63497" s="239" t="n"/>
      <c r="X63497" s="239" t="n"/>
    </row>
    <row r="63498" ht="14.25" customHeight="1" s="192">
      <c r="W63498" s="239" t="n"/>
      <c r="X63498" s="239" t="n"/>
    </row>
    <row r="63499" ht="14.25" customHeight="1" s="192">
      <c r="W63499" s="235" t="n"/>
      <c r="X63499" s="235" t="n"/>
    </row>
    <row r="63500" ht="14.25" customHeight="1" s="192">
      <c r="W63500" s="235" t="n"/>
      <c r="X63500" s="235" t="n"/>
    </row>
    <row r="63501" ht="14.25" customHeight="1" s="192">
      <c r="W63501" s="235" t="n"/>
      <c r="X63501" s="235" t="n"/>
    </row>
    <row r="63502" ht="14.25" customHeight="1" s="192">
      <c r="W63502" s="239" t="n"/>
      <c r="X63502" s="239" t="n"/>
    </row>
    <row r="63503" ht="14.25" customHeight="1" s="192">
      <c r="W63503" s="239" t="n"/>
      <c r="X63503" s="239" t="n"/>
    </row>
    <row r="63504" ht="14.25" customHeight="1" s="192">
      <c r="W63504" s="235" t="n"/>
      <c r="X63504" s="235" t="n"/>
    </row>
    <row r="63505" ht="14.25" customHeight="1" s="192">
      <c r="W63505" s="235" t="n"/>
      <c r="X63505" s="235" t="n"/>
    </row>
    <row r="63506" ht="14.25" customHeight="1" s="192">
      <c r="W63506" s="239" t="n"/>
      <c r="X63506" s="239" t="n"/>
    </row>
    <row r="63507" ht="14.25" customHeight="1" s="192">
      <c r="W63507" s="235" t="n"/>
      <c r="X63507" s="235" t="n"/>
    </row>
    <row r="63508" ht="14.25" customHeight="1" s="192">
      <c r="W63508" s="239" t="n"/>
      <c r="X63508" s="239" t="n"/>
    </row>
    <row r="63510" ht="14.25" customHeight="1" s="192">
      <c r="W63510" s="235" t="n"/>
      <c r="X63510" s="235" t="n"/>
    </row>
    <row r="63511" ht="15" customHeight="1" s="192" thickBot="1">
      <c r="W63511" s="239" t="n"/>
      <c r="X63511" s="239" t="n"/>
    </row>
    <row r="63512" ht="15" customHeight="1" s="192" thickBot="1">
      <c r="W63512" s="45" t="n"/>
      <c r="X63512" s="45" t="n"/>
    </row>
    <row r="63513" ht="14.25" customHeight="1" s="192">
      <c r="W63513" s="228" t="n"/>
      <c r="X63513" s="228" t="n"/>
    </row>
    <row r="63514" ht="14.25" customHeight="1" s="192">
      <c r="W63514" s="228" t="n"/>
      <c r="X63514" s="228" t="n"/>
    </row>
    <row r="63515" ht="14.25" customHeight="1" s="192">
      <c r="W63515" s="231" t="n"/>
      <c r="X63515" s="231" t="n"/>
    </row>
    <row r="63516" ht="14.25" customHeight="1" s="192">
      <c r="W63516" s="33" t="n"/>
      <c r="X63516" s="33" t="n"/>
    </row>
    <row r="63517" ht="14.25" customHeight="1" s="192">
      <c r="W63517" s="231" t="n"/>
      <c r="X63517" s="231" t="n"/>
    </row>
    <row r="63518" ht="14.25" customHeight="1" s="192">
      <c r="W63518" s="33" t="n"/>
      <c r="X63518" s="33" t="n"/>
    </row>
    <row r="63520" ht="14.25" customHeight="1" s="192">
      <c r="W63520" s="231" t="n"/>
      <c r="X63520" s="231" t="n"/>
    </row>
    <row r="63521" ht="14.25" customHeight="1" s="192">
      <c r="W63521" s="235" t="n"/>
      <c r="X63521" s="235" t="n"/>
    </row>
    <row r="63522" ht="14.25" customHeight="1" s="192">
      <c r="W63522" s="228" t="n"/>
      <c r="X63522" s="228" t="n"/>
    </row>
    <row r="63523" ht="14.25" customHeight="1" s="192">
      <c r="W63523" s="235" t="n"/>
      <c r="X63523" s="235" t="n"/>
    </row>
    <row r="63524" ht="14.25" customHeight="1" s="192">
      <c r="W63524" s="235" t="n"/>
      <c r="X63524" s="235" t="n"/>
    </row>
    <row r="63525" ht="14.25" customHeight="1" s="192">
      <c r="W63525" s="235" t="n"/>
      <c r="X63525" s="235" t="n"/>
    </row>
    <row r="63526" ht="14.25" customHeight="1" s="192">
      <c r="W63526" s="239" t="n"/>
      <c r="X63526" s="239" t="n"/>
    </row>
    <row r="63527" ht="14.25" customHeight="1" s="192">
      <c r="W63527" s="239" t="n"/>
      <c r="X63527" s="239" t="n"/>
    </row>
    <row r="63528" ht="14.25" customHeight="1" s="192">
      <c r="W63528" s="239" t="n"/>
      <c r="X63528" s="239" t="n"/>
    </row>
    <row r="63529" ht="14.25" customHeight="1" s="192">
      <c r="W63529" s="235" t="n"/>
      <c r="X63529" s="235" t="n"/>
    </row>
    <row r="63530" ht="14.25" customHeight="1" s="192">
      <c r="W63530" s="235" t="n"/>
      <c r="X63530" s="235" t="n"/>
    </row>
    <row r="63531" ht="14.25" customHeight="1" s="192">
      <c r="W63531" s="235" t="n"/>
      <c r="X63531" s="235" t="n"/>
    </row>
    <row r="63532" ht="14.25" customHeight="1" s="192">
      <c r="W63532" s="239" t="n"/>
      <c r="X63532" s="239" t="n"/>
    </row>
    <row r="63533" ht="14.25" customHeight="1" s="192">
      <c r="W63533" s="239" t="n"/>
      <c r="X63533" s="239" t="n"/>
    </row>
    <row r="63534" ht="14.25" customHeight="1" s="192">
      <c r="W63534" s="235" t="n"/>
      <c r="X63534" s="235" t="n"/>
    </row>
    <row r="63535" ht="14.25" customHeight="1" s="192">
      <c r="W63535" s="235" t="n"/>
      <c r="X63535" s="235" t="n"/>
    </row>
    <row r="63536" ht="14.25" customHeight="1" s="192">
      <c r="W63536" s="239" t="n"/>
      <c r="X63536" s="239" t="n"/>
    </row>
    <row r="63537" ht="14.25" customHeight="1" s="192">
      <c r="W63537" s="235" t="n"/>
      <c r="X63537" s="235" t="n"/>
    </row>
    <row r="63538" ht="14.25" customHeight="1" s="192">
      <c r="W63538" s="239" t="n"/>
      <c r="X63538" s="239" t="n"/>
    </row>
    <row r="63540" ht="14.25" customHeight="1" s="192">
      <c r="W63540" s="235" t="n"/>
      <c r="X63540" s="235" t="n"/>
    </row>
    <row r="63541" ht="15" customHeight="1" s="192" thickBot="1">
      <c r="W63541" s="239" t="n"/>
      <c r="X63541" s="239" t="n"/>
    </row>
    <row r="63542" ht="15" customHeight="1" s="192" thickBot="1">
      <c r="W63542" s="45" t="n"/>
      <c r="X63542" s="45" t="n"/>
    </row>
    <row r="63543" ht="14.25" customHeight="1" s="192">
      <c r="W63543" s="228" t="n"/>
      <c r="X63543" s="228" t="n"/>
    </row>
    <row r="63544" ht="14.25" customHeight="1" s="192">
      <c r="W63544" s="228" t="n"/>
      <c r="X63544" s="228" t="n"/>
    </row>
    <row r="63545" ht="14.25" customHeight="1" s="192">
      <c r="W63545" s="231" t="n"/>
      <c r="X63545" s="231" t="n"/>
    </row>
    <row r="63546" ht="14.25" customHeight="1" s="192">
      <c r="W63546" s="33" t="n"/>
      <c r="X63546" s="33" t="n"/>
    </row>
    <row r="63547" ht="14.25" customHeight="1" s="192">
      <c r="W63547" s="231" t="n"/>
      <c r="X63547" s="231" t="n"/>
    </row>
    <row r="63548" ht="14.25" customHeight="1" s="192">
      <c r="W63548" s="33" t="n"/>
      <c r="X63548" s="33" t="n"/>
    </row>
    <row r="63550" ht="14.25" customHeight="1" s="192">
      <c r="W63550" s="231" t="n"/>
      <c r="X63550" s="231" t="n"/>
    </row>
    <row r="63551" ht="14.25" customHeight="1" s="192">
      <c r="W63551" s="235" t="n"/>
      <c r="X63551" s="235" t="n"/>
    </row>
    <row r="63552" ht="14.25" customHeight="1" s="192">
      <c r="W63552" s="228" t="n"/>
      <c r="X63552" s="228" t="n"/>
    </row>
    <row r="63553" ht="14.25" customHeight="1" s="192">
      <c r="W63553" s="235" t="n"/>
      <c r="X63553" s="235" t="n"/>
    </row>
    <row r="63554" ht="14.25" customHeight="1" s="192">
      <c r="W63554" s="235" t="n"/>
      <c r="X63554" s="235" t="n"/>
    </row>
    <row r="63555" ht="14.25" customHeight="1" s="192">
      <c r="W63555" s="235" t="n"/>
      <c r="X63555" s="235" t="n"/>
    </row>
    <row r="63556" ht="14.25" customHeight="1" s="192">
      <c r="W63556" s="239" t="n"/>
      <c r="X63556" s="239" t="n"/>
    </row>
    <row r="63557" ht="14.25" customHeight="1" s="192">
      <c r="W63557" s="239" t="n"/>
      <c r="X63557" s="239" t="n"/>
    </row>
    <row r="63558" ht="14.25" customHeight="1" s="192">
      <c r="W63558" s="239" t="n"/>
      <c r="X63558" s="239" t="n"/>
    </row>
    <row r="63559" ht="14.25" customHeight="1" s="192">
      <c r="W63559" s="235" t="n"/>
      <c r="X63559" s="235" t="n"/>
    </row>
    <row r="63560" ht="14.25" customHeight="1" s="192">
      <c r="W63560" s="235" t="n"/>
      <c r="X63560" s="235" t="n"/>
    </row>
    <row r="63561" ht="14.25" customHeight="1" s="192">
      <c r="W63561" s="235" t="n"/>
      <c r="X63561" s="235" t="n"/>
    </row>
    <row r="63562" ht="14.25" customHeight="1" s="192">
      <c r="W63562" s="239" t="n"/>
      <c r="X63562" s="239" t="n"/>
    </row>
    <row r="63563" ht="14.25" customHeight="1" s="192">
      <c r="W63563" s="239" t="n"/>
      <c r="X63563" s="239" t="n"/>
    </row>
    <row r="63564" ht="14.25" customHeight="1" s="192">
      <c r="W63564" s="235" t="n"/>
      <c r="X63564" s="235" t="n"/>
    </row>
    <row r="63565" ht="14.25" customHeight="1" s="192">
      <c r="W63565" s="235" t="n"/>
      <c r="X63565" s="235" t="n"/>
    </row>
    <row r="63566" ht="14.25" customHeight="1" s="192">
      <c r="W63566" s="239" t="n"/>
      <c r="X63566" s="239" t="n"/>
    </row>
    <row r="63567" ht="14.25" customHeight="1" s="192">
      <c r="W63567" s="235" t="n"/>
      <c r="X63567" s="235" t="n"/>
    </row>
    <row r="63568" ht="14.25" customHeight="1" s="192">
      <c r="W63568" s="239" t="n"/>
      <c r="X63568" s="239" t="n"/>
    </row>
    <row r="63570" ht="14.25" customHeight="1" s="192">
      <c r="W63570" s="235" t="n"/>
      <c r="X63570" s="235" t="n"/>
    </row>
    <row r="63571" ht="15" customHeight="1" s="192" thickBot="1">
      <c r="W63571" s="239" t="n"/>
      <c r="X63571" s="239" t="n"/>
    </row>
    <row r="63572" ht="15" customHeight="1" s="192" thickBot="1">
      <c r="W63572" s="45" t="n"/>
      <c r="X63572" s="45" t="n"/>
    </row>
    <row r="63573" ht="14.25" customHeight="1" s="192">
      <c r="W63573" s="228" t="n"/>
      <c r="X63573" s="228" t="n"/>
    </row>
    <row r="63574" ht="14.25" customHeight="1" s="192">
      <c r="W63574" s="228" t="n"/>
      <c r="X63574" s="228" t="n"/>
    </row>
    <row r="63575" ht="14.25" customHeight="1" s="192">
      <c r="W63575" s="231" t="n"/>
      <c r="X63575" s="231" t="n"/>
    </row>
    <row r="63576" ht="14.25" customHeight="1" s="192">
      <c r="W63576" s="33" t="n"/>
      <c r="X63576" s="33" t="n"/>
    </row>
    <row r="63577" ht="14.25" customHeight="1" s="192">
      <c r="W63577" s="231" t="n"/>
      <c r="X63577" s="231" t="n"/>
    </row>
    <row r="63578" ht="14.25" customHeight="1" s="192">
      <c r="W63578" s="33" t="n"/>
      <c r="X63578" s="33" t="n"/>
    </row>
    <row r="63580" ht="14.25" customHeight="1" s="192">
      <c r="W63580" s="231" t="n"/>
      <c r="X63580" s="231" t="n"/>
    </row>
    <row r="63581" ht="14.25" customHeight="1" s="192">
      <c r="W63581" s="235" t="n"/>
      <c r="X63581" s="235" t="n"/>
    </row>
    <row r="63582" ht="14.25" customHeight="1" s="192">
      <c r="W63582" s="228" t="n"/>
      <c r="X63582" s="228" t="n"/>
    </row>
    <row r="63583" ht="14.25" customHeight="1" s="192">
      <c r="W63583" s="235" t="n"/>
      <c r="X63583" s="235" t="n"/>
    </row>
    <row r="63584" ht="14.25" customHeight="1" s="192">
      <c r="W63584" s="235" t="n"/>
      <c r="X63584" s="235" t="n"/>
    </row>
    <row r="63585" ht="14.25" customHeight="1" s="192">
      <c r="W63585" s="235" t="n"/>
      <c r="X63585" s="235" t="n"/>
    </row>
    <row r="63586" ht="14.25" customHeight="1" s="192">
      <c r="W63586" s="239" t="n"/>
      <c r="X63586" s="239" t="n"/>
    </row>
    <row r="63587" ht="14.25" customHeight="1" s="192">
      <c r="W63587" s="239" t="n"/>
      <c r="X63587" s="239" t="n"/>
    </row>
    <row r="63588" ht="14.25" customHeight="1" s="192">
      <c r="W63588" s="239" t="n"/>
      <c r="X63588" s="239" t="n"/>
    </row>
    <row r="63589" ht="14.25" customHeight="1" s="192">
      <c r="W63589" s="235" t="n"/>
      <c r="X63589" s="235" t="n"/>
    </row>
    <row r="63590" ht="14.25" customHeight="1" s="192">
      <c r="W63590" s="235" t="n"/>
      <c r="X63590" s="235" t="n"/>
    </row>
    <row r="63591" ht="14.25" customHeight="1" s="192">
      <c r="W63591" s="235" t="n"/>
      <c r="X63591" s="235" t="n"/>
    </row>
    <row r="63592" ht="14.25" customHeight="1" s="192">
      <c r="W63592" s="239" t="n"/>
      <c r="X63592" s="239" t="n"/>
    </row>
    <row r="63593" ht="14.25" customHeight="1" s="192">
      <c r="W63593" s="239" t="n"/>
      <c r="X63593" s="239" t="n"/>
    </row>
    <row r="63594" ht="14.25" customHeight="1" s="192">
      <c r="W63594" s="235" t="n"/>
      <c r="X63594" s="235" t="n"/>
    </row>
    <row r="63595" ht="14.25" customHeight="1" s="192">
      <c r="W63595" s="235" t="n"/>
      <c r="X63595" s="235" t="n"/>
    </row>
    <row r="63596" ht="14.25" customHeight="1" s="192">
      <c r="W63596" s="239" t="n"/>
      <c r="X63596" s="239" t="n"/>
    </row>
    <row r="63597" ht="14.25" customHeight="1" s="192">
      <c r="W63597" s="235" t="n"/>
      <c r="X63597" s="235" t="n"/>
    </row>
    <row r="63598" ht="14.25" customHeight="1" s="192">
      <c r="W63598" s="239" t="n"/>
      <c r="X63598" s="239" t="n"/>
    </row>
    <row r="63600" ht="14.25" customHeight="1" s="192">
      <c r="W63600" s="235" t="n"/>
      <c r="X63600" s="235" t="n"/>
    </row>
    <row r="63601" ht="15" customHeight="1" s="192" thickBot="1">
      <c r="W63601" s="239" t="n"/>
      <c r="X63601" s="239" t="n"/>
    </row>
    <row r="63602" ht="15" customHeight="1" s="192" thickBot="1">
      <c r="W63602" s="45" t="n"/>
      <c r="X63602" s="45" t="n"/>
    </row>
    <row r="63603" ht="14.25" customHeight="1" s="192">
      <c r="W63603" s="228" t="n"/>
      <c r="X63603" s="228" t="n"/>
    </row>
    <row r="63604" ht="14.25" customHeight="1" s="192">
      <c r="W63604" s="228" t="n"/>
      <c r="X63604" s="228" t="n"/>
    </row>
    <row r="63605" ht="14.25" customHeight="1" s="192">
      <c r="W63605" s="231" t="n"/>
      <c r="X63605" s="231" t="n"/>
    </row>
    <row r="63606" ht="14.25" customHeight="1" s="192">
      <c r="W63606" s="33" t="n"/>
      <c r="X63606" s="33" t="n"/>
    </row>
    <row r="63607" ht="14.25" customHeight="1" s="192">
      <c r="W63607" s="231" t="n"/>
      <c r="X63607" s="231" t="n"/>
    </row>
    <row r="63608" ht="14.25" customHeight="1" s="192">
      <c r="W63608" s="33" t="n"/>
      <c r="X63608" s="33" t="n"/>
    </row>
    <row r="63610" ht="14.25" customHeight="1" s="192">
      <c r="W63610" s="231" t="n"/>
      <c r="X63610" s="231" t="n"/>
    </row>
    <row r="63611" ht="14.25" customHeight="1" s="192">
      <c r="W63611" s="235" t="n"/>
      <c r="X63611" s="235" t="n"/>
    </row>
    <row r="63612" ht="14.25" customHeight="1" s="192">
      <c r="W63612" s="228" t="n"/>
      <c r="X63612" s="228" t="n"/>
    </row>
    <row r="63613" ht="14.25" customHeight="1" s="192">
      <c r="W63613" s="235" t="n"/>
      <c r="X63613" s="235" t="n"/>
    </row>
    <row r="63614" ht="14.25" customHeight="1" s="192">
      <c r="W63614" s="235" t="n"/>
      <c r="X63614" s="235" t="n"/>
    </row>
    <row r="63615" ht="14.25" customHeight="1" s="192">
      <c r="W63615" s="235" t="n"/>
      <c r="X63615" s="235" t="n"/>
    </row>
    <row r="63616" ht="14.25" customHeight="1" s="192">
      <c r="W63616" s="239" t="n"/>
      <c r="X63616" s="239" t="n"/>
    </row>
    <row r="63617" ht="14.25" customHeight="1" s="192">
      <c r="W63617" s="239" t="n"/>
      <c r="X63617" s="239" t="n"/>
    </row>
    <row r="63618" ht="14.25" customHeight="1" s="192">
      <c r="W63618" s="239" t="n"/>
      <c r="X63618" s="239" t="n"/>
    </row>
    <row r="63619" ht="14.25" customHeight="1" s="192">
      <c r="W63619" s="235" t="n"/>
      <c r="X63619" s="235" t="n"/>
    </row>
    <row r="63620" ht="14.25" customHeight="1" s="192">
      <c r="W63620" s="235" t="n"/>
      <c r="X63620" s="235" t="n"/>
    </row>
    <row r="63621" ht="14.25" customHeight="1" s="192">
      <c r="W63621" s="235" t="n"/>
      <c r="X63621" s="235" t="n"/>
    </row>
    <row r="63622" ht="14.25" customHeight="1" s="192">
      <c r="W63622" s="239" t="n"/>
      <c r="X63622" s="239" t="n"/>
    </row>
    <row r="63623" ht="14.25" customHeight="1" s="192">
      <c r="W63623" s="239" t="n"/>
      <c r="X63623" s="239" t="n"/>
    </row>
    <row r="63624" ht="14.25" customHeight="1" s="192">
      <c r="W63624" s="235" t="n"/>
      <c r="X63624" s="235" t="n"/>
    </row>
    <row r="63625" ht="14.25" customHeight="1" s="192">
      <c r="W63625" s="235" t="n"/>
      <c r="X63625" s="235" t="n"/>
    </row>
    <row r="63626" ht="14.25" customHeight="1" s="192">
      <c r="W63626" s="239" t="n"/>
      <c r="X63626" s="239" t="n"/>
    </row>
    <row r="63627" ht="14.25" customHeight="1" s="192">
      <c r="W63627" s="235" t="n"/>
      <c r="X63627" s="235" t="n"/>
    </row>
    <row r="63628" ht="14.25" customHeight="1" s="192">
      <c r="W63628" s="239" t="n"/>
      <c r="X63628" s="239" t="n"/>
    </row>
    <row r="63630" ht="14.25" customHeight="1" s="192">
      <c r="W63630" s="235" t="n"/>
      <c r="X63630" s="235" t="n"/>
    </row>
    <row r="63631" ht="15" customHeight="1" s="192" thickBot="1">
      <c r="W63631" s="239" t="n"/>
      <c r="X63631" s="239" t="n"/>
    </row>
    <row r="63632" ht="15" customHeight="1" s="192" thickBot="1">
      <c r="W63632" s="45" t="n"/>
      <c r="X63632" s="45" t="n"/>
    </row>
    <row r="63633" ht="14.25" customHeight="1" s="192">
      <c r="W63633" s="228" t="n"/>
      <c r="X63633" s="228" t="n"/>
    </row>
    <row r="63634" ht="14.25" customHeight="1" s="192">
      <c r="W63634" s="228" t="n"/>
      <c r="X63634" s="228" t="n"/>
    </row>
    <row r="63635" ht="14.25" customHeight="1" s="192">
      <c r="W63635" s="231" t="n"/>
      <c r="X63635" s="231" t="n"/>
    </row>
    <row r="63636" ht="14.25" customHeight="1" s="192">
      <c r="W63636" s="33" t="n"/>
      <c r="X63636" s="33" t="n"/>
    </row>
    <row r="63637" ht="14.25" customHeight="1" s="192">
      <c r="W63637" s="231" t="n"/>
      <c r="X63637" s="231" t="n"/>
    </row>
    <row r="63638" ht="14.25" customHeight="1" s="192">
      <c r="W63638" s="33" t="n"/>
      <c r="X63638" s="33" t="n"/>
    </row>
    <row r="63640" ht="14.25" customHeight="1" s="192">
      <c r="W63640" s="231" t="n"/>
      <c r="X63640" s="231" t="n"/>
    </row>
    <row r="63641" ht="14.25" customHeight="1" s="192">
      <c r="W63641" s="235" t="n"/>
      <c r="X63641" s="235" t="n"/>
    </row>
    <row r="63642" ht="14.25" customHeight="1" s="192">
      <c r="W63642" s="228" t="n"/>
      <c r="X63642" s="228" t="n"/>
    </row>
    <row r="63643" ht="14.25" customHeight="1" s="192">
      <c r="W63643" s="235" t="n"/>
      <c r="X63643" s="235" t="n"/>
    </row>
    <row r="63644" ht="14.25" customHeight="1" s="192">
      <c r="W63644" s="235" t="n"/>
      <c r="X63644" s="235" t="n"/>
    </row>
    <row r="63645" ht="14.25" customHeight="1" s="192">
      <c r="W63645" s="235" t="n"/>
      <c r="X63645" s="235" t="n"/>
    </row>
    <row r="63646" ht="14.25" customHeight="1" s="192">
      <c r="W63646" s="239" t="n"/>
      <c r="X63646" s="239" t="n"/>
    </row>
    <row r="63647" ht="14.25" customHeight="1" s="192">
      <c r="W63647" s="239" t="n"/>
      <c r="X63647" s="239" t="n"/>
    </row>
    <row r="63648" ht="14.25" customHeight="1" s="192">
      <c r="W63648" s="239" t="n"/>
      <c r="X63648" s="239" t="n"/>
    </row>
    <row r="63649" ht="14.25" customHeight="1" s="192">
      <c r="W63649" s="235" t="n"/>
      <c r="X63649" s="235" t="n"/>
    </row>
    <row r="63650" ht="14.25" customHeight="1" s="192">
      <c r="W63650" s="235" t="n"/>
      <c r="X63650" s="235" t="n"/>
    </row>
    <row r="63651" ht="14.25" customHeight="1" s="192">
      <c r="W63651" s="235" t="n"/>
      <c r="X63651" s="235" t="n"/>
    </row>
    <row r="63652" ht="14.25" customHeight="1" s="192">
      <c r="W63652" s="239" t="n"/>
      <c r="X63652" s="239" t="n"/>
    </row>
    <row r="63653" ht="14.25" customHeight="1" s="192">
      <c r="W63653" s="239" t="n"/>
      <c r="X63653" s="239" t="n"/>
    </row>
    <row r="63654" ht="14.25" customHeight="1" s="192">
      <c r="W63654" s="235" t="n"/>
      <c r="X63654" s="235" t="n"/>
    </row>
    <row r="63655" ht="14.25" customHeight="1" s="192">
      <c r="W63655" s="235" t="n"/>
      <c r="X63655" s="235" t="n"/>
    </row>
    <row r="63656" ht="14.25" customHeight="1" s="192">
      <c r="W63656" s="239" t="n"/>
      <c r="X63656" s="239" t="n"/>
    </row>
    <row r="63657" ht="14.25" customHeight="1" s="192">
      <c r="W63657" s="235" t="n"/>
      <c r="X63657" s="235" t="n"/>
    </row>
    <row r="63658" ht="14.25" customHeight="1" s="192">
      <c r="W63658" s="239" t="n"/>
      <c r="X63658" s="239" t="n"/>
    </row>
    <row r="63660" ht="14.25" customHeight="1" s="192">
      <c r="W63660" s="235" t="n"/>
      <c r="X63660" s="235" t="n"/>
    </row>
    <row r="63661" ht="15" customHeight="1" s="192" thickBot="1">
      <c r="W63661" s="239" t="n"/>
      <c r="X63661" s="239" t="n"/>
    </row>
    <row r="63662" ht="15" customHeight="1" s="192" thickBot="1">
      <c r="W63662" s="45" t="n"/>
      <c r="X63662" s="45" t="n"/>
    </row>
    <row r="63663" ht="14.25" customHeight="1" s="192">
      <c r="W63663" s="228" t="n"/>
      <c r="X63663" s="228" t="n"/>
    </row>
    <row r="63664" ht="14.25" customHeight="1" s="192">
      <c r="W63664" s="228" t="n"/>
      <c r="X63664" s="228" t="n"/>
    </row>
    <row r="63665" ht="14.25" customHeight="1" s="192">
      <c r="W63665" s="231" t="n"/>
      <c r="X63665" s="231" t="n"/>
    </row>
    <row r="63666" ht="14.25" customHeight="1" s="192">
      <c r="W63666" s="33" t="n"/>
      <c r="X63666" s="33" t="n"/>
    </row>
    <row r="63667" ht="14.25" customHeight="1" s="192">
      <c r="W63667" s="231" t="n"/>
      <c r="X63667" s="231" t="n"/>
    </row>
    <row r="63668" ht="14.25" customHeight="1" s="192">
      <c r="W63668" s="33" t="n"/>
      <c r="X63668" s="33" t="n"/>
    </row>
    <row r="63670" ht="14.25" customHeight="1" s="192">
      <c r="W63670" s="231" t="n"/>
      <c r="X63670" s="231" t="n"/>
    </row>
    <row r="63671" ht="14.25" customHeight="1" s="192">
      <c r="W63671" s="235" t="n"/>
      <c r="X63671" s="235" t="n"/>
    </row>
    <row r="63672" ht="14.25" customHeight="1" s="192">
      <c r="W63672" s="228" t="n"/>
      <c r="X63672" s="228" t="n"/>
    </row>
    <row r="63673" ht="14.25" customHeight="1" s="192">
      <c r="W63673" s="235" t="n"/>
      <c r="X63673" s="235" t="n"/>
    </row>
    <row r="63674" ht="14.25" customHeight="1" s="192">
      <c r="W63674" s="235" t="n"/>
      <c r="X63674" s="235" t="n"/>
    </row>
    <row r="63675" ht="14.25" customHeight="1" s="192">
      <c r="W63675" s="235" t="n"/>
      <c r="X63675" s="235" t="n"/>
    </row>
    <row r="63676" ht="14.25" customHeight="1" s="192">
      <c r="W63676" s="239" t="n"/>
      <c r="X63676" s="239" t="n"/>
    </row>
    <row r="63677" ht="14.25" customHeight="1" s="192">
      <c r="W63677" s="239" t="n"/>
      <c r="X63677" s="239" t="n"/>
    </row>
    <row r="63678" ht="14.25" customHeight="1" s="192">
      <c r="W63678" s="239" t="n"/>
      <c r="X63678" s="239" t="n"/>
    </row>
    <row r="63679" ht="14.25" customHeight="1" s="192">
      <c r="W63679" s="235" t="n"/>
      <c r="X63679" s="235" t="n"/>
    </row>
    <row r="63680" ht="14.25" customHeight="1" s="192">
      <c r="W63680" s="235" t="n"/>
      <c r="X63680" s="235" t="n"/>
    </row>
    <row r="63681" ht="14.25" customHeight="1" s="192">
      <c r="W63681" s="235" t="n"/>
      <c r="X63681" s="235" t="n"/>
    </row>
    <row r="63682" ht="14.25" customHeight="1" s="192">
      <c r="W63682" s="239" t="n"/>
      <c r="X63682" s="239" t="n"/>
    </row>
    <row r="63683" ht="14.25" customHeight="1" s="192">
      <c r="W63683" s="239" t="n"/>
      <c r="X63683" s="239" t="n"/>
    </row>
    <row r="63684" ht="14.25" customHeight="1" s="192">
      <c r="W63684" s="235" t="n"/>
      <c r="X63684" s="235" t="n"/>
    </row>
    <row r="63685" ht="14.25" customHeight="1" s="192">
      <c r="W63685" s="235" t="n"/>
      <c r="X63685" s="235" t="n"/>
    </row>
    <row r="63686" ht="14.25" customHeight="1" s="192">
      <c r="W63686" s="239" t="n"/>
      <c r="X63686" s="239" t="n"/>
    </row>
    <row r="63687" ht="14.25" customHeight="1" s="192">
      <c r="W63687" s="235" t="n"/>
      <c r="X63687" s="235" t="n"/>
    </row>
    <row r="63688" ht="14.25" customHeight="1" s="192">
      <c r="W63688" s="239" t="n"/>
      <c r="X63688" s="239" t="n"/>
    </row>
    <row r="63690" ht="14.25" customHeight="1" s="192">
      <c r="W63690" s="235" t="n"/>
      <c r="X63690" s="235" t="n"/>
    </row>
    <row r="63691" ht="15" customHeight="1" s="192" thickBot="1">
      <c r="W63691" s="239" t="n"/>
      <c r="X63691" s="239" t="n"/>
    </row>
    <row r="63692" ht="15" customHeight="1" s="192" thickBot="1">
      <c r="W63692" s="45" t="n"/>
      <c r="X63692" s="45" t="n"/>
    </row>
    <row r="63693" ht="14.25" customHeight="1" s="192">
      <c r="W63693" s="228" t="n"/>
      <c r="X63693" s="228" t="n"/>
    </row>
    <row r="63694" ht="14.25" customHeight="1" s="192">
      <c r="W63694" s="228" t="n"/>
      <c r="X63694" s="228" t="n"/>
    </row>
    <row r="63695" ht="14.25" customHeight="1" s="192">
      <c r="W63695" s="231" t="n"/>
      <c r="X63695" s="231" t="n"/>
    </row>
    <row r="63696" ht="14.25" customHeight="1" s="192">
      <c r="W63696" s="33" t="n"/>
      <c r="X63696" s="33" t="n"/>
    </row>
    <row r="63697" ht="14.25" customHeight="1" s="192">
      <c r="W63697" s="231" t="n"/>
      <c r="X63697" s="231" t="n"/>
    </row>
    <row r="63698" ht="14.25" customHeight="1" s="192">
      <c r="W63698" s="33" t="n"/>
      <c r="X63698" s="33" t="n"/>
    </row>
    <row r="63700" ht="14.25" customHeight="1" s="192">
      <c r="W63700" s="231" t="n"/>
      <c r="X63700" s="231" t="n"/>
    </row>
    <row r="63701" ht="14.25" customHeight="1" s="192">
      <c r="W63701" s="235" t="n"/>
      <c r="X63701" s="235" t="n"/>
    </row>
    <row r="63702" ht="14.25" customHeight="1" s="192">
      <c r="W63702" s="228" t="n"/>
      <c r="X63702" s="228" t="n"/>
    </row>
    <row r="63703" ht="14.25" customHeight="1" s="192">
      <c r="W63703" s="235" t="n"/>
      <c r="X63703" s="235" t="n"/>
    </row>
    <row r="63704" ht="14.25" customHeight="1" s="192">
      <c r="W63704" s="235" t="n"/>
      <c r="X63704" s="235" t="n"/>
    </row>
    <row r="63705" ht="14.25" customHeight="1" s="192">
      <c r="W63705" s="235" t="n"/>
      <c r="X63705" s="235" t="n"/>
    </row>
    <row r="63706" ht="14.25" customHeight="1" s="192">
      <c r="W63706" s="239" t="n"/>
      <c r="X63706" s="239" t="n"/>
    </row>
    <row r="63707" ht="14.25" customHeight="1" s="192">
      <c r="W63707" s="239" t="n"/>
      <c r="X63707" s="239" t="n"/>
    </row>
    <row r="63708" ht="14.25" customHeight="1" s="192">
      <c r="W63708" s="239" t="n"/>
      <c r="X63708" s="239" t="n"/>
    </row>
    <row r="63709" ht="14.25" customHeight="1" s="192">
      <c r="W63709" s="235" t="n"/>
      <c r="X63709" s="235" t="n"/>
    </row>
    <row r="63710" ht="14.25" customHeight="1" s="192">
      <c r="W63710" s="235" t="n"/>
      <c r="X63710" s="235" t="n"/>
    </row>
    <row r="63711" ht="14.25" customHeight="1" s="192">
      <c r="W63711" s="235" t="n"/>
      <c r="X63711" s="235" t="n"/>
    </row>
    <row r="63712" ht="14.25" customHeight="1" s="192">
      <c r="W63712" s="239" t="n"/>
      <c r="X63712" s="239" t="n"/>
    </row>
    <row r="63713" ht="14.25" customHeight="1" s="192">
      <c r="W63713" s="239" t="n"/>
      <c r="X63713" s="239" t="n"/>
    </row>
    <row r="63714" ht="14.25" customHeight="1" s="192">
      <c r="W63714" s="235" t="n"/>
      <c r="X63714" s="235" t="n"/>
    </row>
    <row r="63715" ht="14.25" customHeight="1" s="192">
      <c r="W63715" s="235" t="n"/>
      <c r="X63715" s="235" t="n"/>
    </row>
    <row r="63716" ht="14.25" customHeight="1" s="192">
      <c r="W63716" s="239" t="n"/>
      <c r="X63716" s="239" t="n"/>
    </row>
    <row r="63717" ht="14.25" customHeight="1" s="192">
      <c r="W63717" s="235" t="n"/>
      <c r="X63717" s="235" t="n"/>
    </row>
    <row r="63718" ht="14.25" customHeight="1" s="192">
      <c r="W63718" s="239" t="n"/>
      <c r="X63718" s="239" t="n"/>
    </row>
    <row r="63720" ht="14.25" customHeight="1" s="192">
      <c r="W63720" s="235" t="n"/>
      <c r="X63720" s="235" t="n"/>
    </row>
    <row r="63721" ht="15" customHeight="1" s="192" thickBot="1">
      <c r="W63721" s="239" t="n"/>
      <c r="X63721" s="239" t="n"/>
    </row>
    <row r="63722" ht="15" customHeight="1" s="192" thickBot="1">
      <c r="W63722" s="45" t="n"/>
      <c r="X63722" s="45" t="n"/>
    </row>
    <row r="63723" ht="14.25" customHeight="1" s="192">
      <c r="W63723" s="228" t="n"/>
      <c r="X63723" s="228" t="n"/>
    </row>
    <row r="63724" ht="14.25" customHeight="1" s="192">
      <c r="W63724" s="228" t="n"/>
      <c r="X63724" s="228" t="n"/>
    </row>
    <row r="63725" ht="14.25" customHeight="1" s="192">
      <c r="W63725" s="231" t="n"/>
      <c r="X63725" s="231" t="n"/>
    </row>
    <row r="63726" ht="14.25" customHeight="1" s="192">
      <c r="W63726" s="33" t="n"/>
      <c r="X63726" s="33" t="n"/>
    </row>
    <row r="63727" ht="14.25" customHeight="1" s="192">
      <c r="W63727" s="231" t="n"/>
      <c r="X63727" s="231" t="n"/>
    </row>
    <row r="63728" ht="14.25" customHeight="1" s="192">
      <c r="W63728" s="33" t="n"/>
      <c r="X63728" s="33" t="n"/>
    </row>
    <row r="63730" ht="14.25" customHeight="1" s="192">
      <c r="W63730" s="231" t="n"/>
      <c r="X63730" s="231" t="n"/>
    </row>
    <row r="63731" ht="14.25" customHeight="1" s="192">
      <c r="W63731" s="235" t="n"/>
      <c r="X63731" s="235" t="n"/>
    </row>
    <row r="63732" ht="14.25" customHeight="1" s="192">
      <c r="W63732" s="228" t="n"/>
      <c r="X63732" s="228" t="n"/>
    </row>
    <row r="63733" ht="14.25" customHeight="1" s="192">
      <c r="W63733" s="235" t="n"/>
      <c r="X63733" s="235" t="n"/>
    </row>
    <row r="63734" ht="14.25" customHeight="1" s="192">
      <c r="W63734" s="235" t="n"/>
      <c r="X63734" s="235" t="n"/>
    </row>
    <row r="63735" ht="14.25" customHeight="1" s="192">
      <c r="W63735" s="235" t="n"/>
      <c r="X63735" s="235" t="n"/>
    </row>
    <row r="63736" ht="14.25" customHeight="1" s="192">
      <c r="W63736" s="239" t="n"/>
      <c r="X63736" s="239" t="n"/>
    </row>
    <row r="63737" ht="14.25" customHeight="1" s="192">
      <c r="W63737" s="239" t="n"/>
      <c r="X63737" s="239" t="n"/>
    </row>
    <row r="63738" ht="14.25" customHeight="1" s="192">
      <c r="W63738" s="239" t="n"/>
      <c r="X63738" s="239" t="n"/>
    </row>
    <row r="63739" ht="14.25" customHeight="1" s="192">
      <c r="W63739" s="235" t="n"/>
      <c r="X63739" s="235" t="n"/>
    </row>
    <row r="63740" ht="14.25" customHeight="1" s="192">
      <c r="W63740" s="235" t="n"/>
      <c r="X63740" s="235" t="n"/>
    </row>
    <row r="63741" ht="14.25" customHeight="1" s="192">
      <c r="W63741" s="235" t="n"/>
      <c r="X63741" s="235" t="n"/>
    </row>
    <row r="63742" ht="14.25" customHeight="1" s="192">
      <c r="W63742" s="239" t="n"/>
      <c r="X63742" s="239" t="n"/>
    </row>
    <row r="63743" ht="14.25" customHeight="1" s="192">
      <c r="W63743" s="239" t="n"/>
      <c r="X63743" s="239" t="n"/>
    </row>
    <row r="63744" ht="14.25" customHeight="1" s="192">
      <c r="W63744" s="235" t="n"/>
      <c r="X63744" s="235" t="n"/>
    </row>
    <row r="63745" ht="14.25" customHeight="1" s="192">
      <c r="W63745" s="235" t="n"/>
      <c r="X63745" s="235" t="n"/>
    </row>
    <row r="63746" ht="14.25" customHeight="1" s="192">
      <c r="W63746" s="239" t="n"/>
      <c r="X63746" s="239" t="n"/>
    </row>
    <row r="63747" ht="14.25" customHeight="1" s="192">
      <c r="W63747" s="235" t="n"/>
      <c r="X63747" s="235" t="n"/>
    </row>
    <row r="63748" ht="14.25" customHeight="1" s="192">
      <c r="W63748" s="239" t="n"/>
      <c r="X63748" s="239" t="n"/>
    </row>
    <row r="63750" ht="14.25" customHeight="1" s="192">
      <c r="W63750" s="235" t="n"/>
      <c r="X63750" s="235" t="n"/>
    </row>
    <row r="63751" ht="15" customHeight="1" s="192" thickBot="1">
      <c r="W63751" s="239" t="n"/>
      <c r="X63751" s="239" t="n"/>
    </row>
    <row r="63752" ht="15" customHeight="1" s="192" thickBot="1">
      <c r="W63752" s="45" t="n"/>
      <c r="X63752" s="45" t="n"/>
    </row>
    <row r="63753" ht="14.25" customHeight="1" s="192">
      <c r="W63753" s="228" t="n"/>
      <c r="X63753" s="228" t="n"/>
    </row>
    <row r="63754" ht="14.25" customHeight="1" s="192">
      <c r="W63754" s="228" t="n"/>
      <c r="X63754" s="228" t="n"/>
    </row>
    <row r="63755" ht="14.25" customHeight="1" s="192">
      <c r="W63755" s="231" t="n"/>
      <c r="X63755" s="231" t="n"/>
    </row>
    <row r="63756" ht="14.25" customHeight="1" s="192">
      <c r="W63756" s="33" t="n"/>
      <c r="X63756" s="33" t="n"/>
    </row>
    <row r="63757" ht="14.25" customHeight="1" s="192">
      <c r="W63757" s="231" t="n"/>
      <c r="X63757" s="231" t="n"/>
    </row>
    <row r="63758" ht="14.25" customHeight="1" s="192">
      <c r="W63758" s="33" t="n"/>
      <c r="X63758" s="33" t="n"/>
    </row>
    <row r="63760" ht="14.25" customHeight="1" s="192">
      <c r="W63760" s="231" t="n"/>
      <c r="X63760" s="231" t="n"/>
    </row>
    <row r="63761" ht="14.25" customHeight="1" s="192">
      <c r="W63761" s="235" t="n"/>
      <c r="X63761" s="235" t="n"/>
    </row>
    <row r="63762" ht="14.25" customHeight="1" s="192">
      <c r="W63762" s="228" t="n"/>
      <c r="X63762" s="228" t="n"/>
    </row>
    <row r="63763" ht="14.25" customHeight="1" s="192">
      <c r="W63763" s="235" t="n"/>
      <c r="X63763" s="235" t="n"/>
    </row>
    <row r="63764" ht="14.25" customHeight="1" s="192">
      <c r="W63764" s="235" t="n"/>
      <c r="X63764" s="235" t="n"/>
    </row>
    <row r="63765" ht="14.25" customHeight="1" s="192">
      <c r="W63765" s="235" t="n"/>
      <c r="X63765" s="235" t="n"/>
    </row>
    <row r="63766" ht="14.25" customHeight="1" s="192">
      <c r="W63766" s="239" t="n"/>
      <c r="X63766" s="239" t="n"/>
    </row>
    <row r="63767" ht="14.25" customHeight="1" s="192">
      <c r="W63767" s="239" t="n"/>
      <c r="X63767" s="239" t="n"/>
    </row>
    <row r="63768" ht="14.25" customHeight="1" s="192">
      <c r="W63768" s="239" t="n"/>
      <c r="X63768" s="239" t="n"/>
    </row>
    <row r="63769" ht="14.25" customHeight="1" s="192">
      <c r="W63769" s="235" t="n"/>
      <c r="X63769" s="235" t="n"/>
    </row>
    <row r="63770" ht="14.25" customHeight="1" s="192">
      <c r="W63770" s="235" t="n"/>
      <c r="X63770" s="235" t="n"/>
    </row>
    <row r="63771" ht="14.25" customHeight="1" s="192">
      <c r="W63771" s="235" t="n"/>
      <c r="X63771" s="235" t="n"/>
    </row>
    <row r="63772" ht="14.25" customHeight="1" s="192">
      <c r="W63772" s="239" t="n"/>
      <c r="X63772" s="239" t="n"/>
    </row>
    <row r="63773" ht="14.25" customHeight="1" s="192">
      <c r="W63773" s="239" t="n"/>
      <c r="X63773" s="239" t="n"/>
    </row>
    <row r="63774" ht="14.25" customHeight="1" s="192">
      <c r="W63774" s="235" t="n"/>
      <c r="X63774" s="235" t="n"/>
    </row>
    <row r="63775" ht="14.25" customHeight="1" s="192">
      <c r="W63775" s="235" t="n"/>
      <c r="X63775" s="235" t="n"/>
    </row>
    <row r="63776" ht="14.25" customHeight="1" s="192">
      <c r="W63776" s="239" t="n"/>
      <c r="X63776" s="239" t="n"/>
    </row>
    <row r="63777" ht="14.25" customHeight="1" s="192">
      <c r="W63777" s="235" t="n"/>
      <c r="X63777" s="235" t="n"/>
    </row>
    <row r="63778" ht="14.25" customHeight="1" s="192">
      <c r="W63778" s="239" t="n"/>
      <c r="X63778" s="239" t="n"/>
    </row>
    <row r="63780" ht="14.25" customHeight="1" s="192">
      <c r="W63780" s="235" t="n"/>
      <c r="X63780" s="235" t="n"/>
    </row>
    <row r="63781" ht="15" customHeight="1" s="192" thickBot="1">
      <c r="W63781" s="239" t="n"/>
      <c r="X63781" s="239" t="n"/>
    </row>
    <row r="63782" ht="15" customHeight="1" s="192" thickBot="1">
      <c r="W63782" s="45" t="n"/>
      <c r="X63782" s="45" t="n"/>
    </row>
    <row r="63783" ht="14.25" customHeight="1" s="192">
      <c r="W63783" s="228" t="n"/>
      <c r="X63783" s="228" t="n"/>
    </row>
    <row r="63784" ht="14.25" customHeight="1" s="192">
      <c r="W63784" s="228" t="n"/>
      <c r="X63784" s="228" t="n"/>
    </row>
    <row r="63785" ht="14.25" customHeight="1" s="192">
      <c r="W63785" s="231" t="n"/>
      <c r="X63785" s="231" t="n"/>
    </row>
    <row r="63786" ht="14.25" customHeight="1" s="192">
      <c r="W63786" s="33" t="n"/>
      <c r="X63786" s="33" t="n"/>
    </row>
    <row r="63787" ht="14.25" customHeight="1" s="192">
      <c r="W63787" s="231" t="n"/>
      <c r="X63787" s="231" t="n"/>
    </row>
    <row r="63788" ht="14.25" customHeight="1" s="192">
      <c r="W63788" s="33" t="n"/>
      <c r="X63788" s="33" t="n"/>
    </row>
    <row r="63790" ht="14.25" customHeight="1" s="192">
      <c r="W63790" s="231" t="n"/>
      <c r="X63790" s="231" t="n"/>
    </row>
    <row r="63791" ht="14.25" customHeight="1" s="192">
      <c r="W63791" s="235" t="n"/>
      <c r="X63791" s="235" t="n"/>
    </row>
    <row r="63792" ht="14.25" customHeight="1" s="192">
      <c r="W63792" s="228" t="n"/>
      <c r="X63792" s="228" t="n"/>
    </row>
    <row r="63793" ht="14.25" customHeight="1" s="192">
      <c r="W63793" s="235" t="n"/>
      <c r="X63793" s="235" t="n"/>
    </row>
    <row r="63794" ht="14.25" customHeight="1" s="192">
      <c r="W63794" s="235" t="n"/>
      <c r="X63794" s="235" t="n"/>
    </row>
    <row r="63795" ht="14.25" customHeight="1" s="192">
      <c r="W63795" s="235" t="n"/>
      <c r="X63795" s="235" t="n"/>
    </row>
    <row r="63796" ht="14.25" customHeight="1" s="192">
      <c r="W63796" s="239" t="n"/>
      <c r="X63796" s="239" t="n"/>
    </row>
    <row r="63797" ht="14.25" customHeight="1" s="192">
      <c r="W63797" s="239" t="n"/>
      <c r="X63797" s="239" t="n"/>
    </row>
    <row r="63798" ht="14.25" customHeight="1" s="192">
      <c r="W63798" s="239" t="n"/>
      <c r="X63798" s="239" t="n"/>
    </row>
    <row r="63799" ht="14.25" customHeight="1" s="192">
      <c r="W63799" s="235" t="n"/>
      <c r="X63799" s="235" t="n"/>
    </row>
    <row r="63800" ht="14.25" customHeight="1" s="192">
      <c r="W63800" s="235" t="n"/>
      <c r="X63800" s="235" t="n"/>
    </row>
    <row r="63801" ht="14.25" customHeight="1" s="192">
      <c r="W63801" s="235" t="n"/>
      <c r="X63801" s="235" t="n"/>
    </row>
    <row r="63802" ht="14.25" customHeight="1" s="192">
      <c r="W63802" s="239" t="n"/>
      <c r="X63802" s="239" t="n"/>
    </row>
    <row r="63803" ht="14.25" customHeight="1" s="192">
      <c r="W63803" s="239" t="n"/>
      <c r="X63803" s="239" t="n"/>
    </row>
    <row r="63804" ht="14.25" customHeight="1" s="192">
      <c r="W63804" s="235" t="n"/>
      <c r="X63804" s="235" t="n"/>
    </row>
    <row r="63805" ht="14.25" customHeight="1" s="192">
      <c r="W63805" s="235" t="n"/>
      <c r="X63805" s="235" t="n"/>
    </row>
    <row r="63806" ht="14.25" customHeight="1" s="192">
      <c r="W63806" s="239" t="n"/>
      <c r="X63806" s="239" t="n"/>
    </row>
    <row r="63807" ht="14.25" customHeight="1" s="192">
      <c r="W63807" s="235" t="n"/>
      <c r="X63807" s="235" t="n"/>
    </row>
    <row r="63808" ht="14.25" customHeight="1" s="192">
      <c r="W63808" s="239" t="n"/>
      <c r="X63808" s="239" t="n"/>
    </row>
    <row r="63810" ht="14.25" customHeight="1" s="192">
      <c r="W63810" s="235" t="n"/>
      <c r="X63810" s="235" t="n"/>
    </row>
    <row r="63811" ht="15" customHeight="1" s="192" thickBot="1">
      <c r="W63811" s="239" t="n"/>
      <c r="X63811" s="239" t="n"/>
    </row>
    <row r="63812" ht="15" customHeight="1" s="192" thickBot="1">
      <c r="W63812" s="45" t="n"/>
      <c r="X63812" s="45" t="n"/>
    </row>
    <row r="63813" ht="14.25" customHeight="1" s="192">
      <c r="W63813" s="228" t="n"/>
      <c r="X63813" s="228" t="n"/>
    </row>
    <row r="63814" ht="14.25" customHeight="1" s="192">
      <c r="W63814" s="228" t="n"/>
      <c r="X63814" s="228" t="n"/>
    </row>
    <row r="63815" ht="14.25" customHeight="1" s="192">
      <c r="W63815" s="231" t="n"/>
      <c r="X63815" s="231" t="n"/>
    </row>
    <row r="63816" ht="14.25" customHeight="1" s="192">
      <c r="W63816" s="33" t="n"/>
      <c r="X63816" s="33" t="n"/>
    </row>
    <row r="63817" ht="14.25" customHeight="1" s="192">
      <c r="W63817" s="231" t="n"/>
      <c r="X63817" s="231" t="n"/>
    </row>
    <row r="63818" ht="14.25" customHeight="1" s="192">
      <c r="W63818" s="33" t="n"/>
      <c r="X63818" s="33" t="n"/>
    </row>
    <row r="63820" ht="14.25" customHeight="1" s="192">
      <c r="W63820" s="231" t="n"/>
      <c r="X63820" s="231" t="n"/>
    </row>
    <row r="63821" ht="14.25" customHeight="1" s="192">
      <c r="W63821" s="235" t="n"/>
      <c r="X63821" s="235" t="n"/>
    </row>
    <row r="63822" ht="14.25" customHeight="1" s="192">
      <c r="W63822" s="228" t="n"/>
      <c r="X63822" s="228" t="n"/>
    </row>
    <row r="63823" ht="14.25" customHeight="1" s="192">
      <c r="W63823" s="235" t="n"/>
      <c r="X63823" s="235" t="n"/>
    </row>
    <row r="63824" ht="14.25" customHeight="1" s="192">
      <c r="W63824" s="235" t="n"/>
      <c r="X63824" s="235" t="n"/>
    </row>
    <row r="63825" ht="14.25" customHeight="1" s="192">
      <c r="W63825" s="235" t="n"/>
      <c r="X63825" s="235" t="n"/>
    </row>
    <row r="63826" ht="14.25" customHeight="1" s="192">
      <c r="W63826" s="239" t="n"/>
      <c r="X63826" s="239" t="n"/>
    </row>
    <row r="63827" ht="14.25" customHeight="1" s="192">
      <c r="W63827" s="239" t="n"/>
      <c r="X63827" s="239" t="n"/>
    </row>
    <row r="63828" ht="14.25" customHeight="1" s="192">
      <c r="W63828" s="239" t="n"/>
      <c r="X63828" s="239" t="n"/>
    </row>
    <row r="63829" ht="14.25" customHeight="1" s="192">
      <c r="W63829" s="235" t="n"/>
      <c r="X63829" s="235" t="n"/>
    </row>
    <row r="63830" ht="14.25" customHeight="1" s="192">
      <c r="W63830" s="235" t="n"/>
      <c r="X63830" s="235" t="n"/>
    </row>
    <row r="63831" ht="14.25" customHeight="1" s="192">
      <c r="W63831" s="235" t="n"/>
      <c r="X63831" s="235" t="n"/>
    </row>
    <row r="63832" ht="14.25" customHeight="1" s="192">
      <c r="W63832" s="239" t="n"/>
      <c r="X63832" s="239" t="n"/>
    </row>
    <row r="63833" ht="14.25" customHeight="1" s="192">
      <c r="W63833" s="239" t="n"/>
      <c r="X63833" s="239" t="n"/>
    </row>
    <row r="63834" ht="14.25" customHeight="1" s="192">
      <c r="W63834" s="235" t="n"/>
      <c r="X63834" s="235" t="n"/>
    </row>
    <row r="63835" ht="14.25" customHeight="1" s="192">
      <c r="W63835" s="235" t="n"/>
      <c r="X63835" s="235" t="n"/>
    </row>
    <row r="63836" ht="14.25" customHeight="1" s="192">
      <c r="W63836" s="239" t="n"/>
      <c r="X63836" s="239" t="n"/>
    </row>
    <row r="63837" ht="14.25" customHeight="1" s="192">
      <c r="W63837" s="235" t="n"/>
      <c r="X63837" s="235" t="n"/>
    </row>
    <row r="63838" ht="14.25" customHeight="1" s="192">
      <c r="W63838" s="239" t="n"/>
      <c r="X63838" s="239" t="n"/>
    </row>
    <row r="63840" ht="14.25" customHeight="1" s="192">
      <c r="W63840" s="235" t="n"/>
      <c r="X63840" s="235" t="n"/>
    </row>
    <row r="63841" ht="15" customHeight="1" s="192" thickBot="1">
      <c r="W63841" s="239" t="n"/>
      <c r="X63841" s="239" t="n"/>
    </row>
    <row r="63842" ht="15" customHeight="1" s="192" thickBot="1">
      <c r="W63842" s="45" t="n"/>
      <c r="X63842" s="45" t="n"/>
    </row>
    <row r="63843" ht="14.25" customHeight="1" s="192">
      <c r="W63843" s="228" t="n"/>
      <c r="X63843" s="228" t="n"/>
    </row>
    <row r="63844" ht="14.25" customHeight="1" s="192">
      <c r="W63844" s="228" t="n"/>
      <c r="X63844" s="228" t="n"/>
    </row>
    <row r="63845" ht="14.25" customHeight="1" s="192">
      <c r="W63845" s="231" t="n"/>
      <c r="X63845" s="231" t="n"/>
    </row>
    <row r="63846" ht="14.25" customHeight="1" s="192">
      <c r="W63846" s="33" t="n"/>
      <c r="X63846" s="33" t="n"/>
    </row>
    <row r="63847" ht="14.25" customHeight="1" s="192">
      <c r="W63847" s="231" t="n"/>
      <c r="X63847" s="231" t="n"/>
    </row>
    <row r="63848" ht="14.25" customHeight="1" s="192">
      <c r="W63848" s="33" t="n"/>
      <c r="X63848" s="33" t="n"/>
    </row>
    <row r="63850" ht="14.25" customHeight="1" s="192">
      <c r="W63850" s="231" t="n"/>
      <c r="X63850" s="231" t="n"/>
    </row>
    <row r="63851" ht="14.25" customHeight="1" s="192">
      <c r="W63851" s="235" t="n"/>
      <c r="X63851" s="235" t="n"/>
    </row>
    <row r="63852" ht="14.25" customHeight="1" s="192">
      <c r="W63852" s="228" t="n"/>
      <c r="X63852" s="228" t="n"/>
    </row>
    <row r="63853" ht="14.25" customHeight="1" s="192">
      <c r="W63853" s="235" t="n"/>
      <c r="X63853" s="235" t="n"/>
    </row>
    <row r="63854" ht="14.25" customHeight="1" s="192">
      <c r="W63854" s="235" t="n"/>
      <c r="X63854" s="235" t="n"/>
    </row>
    <row r="63855" ht="14.25" customHeight="1" s="192">
      <c r="W63855" s="235" t="n"/>
      <c r="X63855" s="235" t="n"/>
    </row>
    <row r="63856" ht="14.25" customHeight="1" s="192">
      <c r="W63856" s="239" t="n"/>
      <c r="X63856" s="239" t="n"/>
    </row>
    <row r="63857" ht="14.25" customHeight="1" s="192">
      <c r="W63857" s="239" t="n"/>
      <c r="X63857" s="239" t="n"/>
    </row>
    <row r="63858" ht="14.25" customHeight="1" s="192">
      <c r="W63858" s="239" t="n"/>
      <c r="X63858" s="239" t="n"/>
    </row>
    <row r="63859" ht="14.25" customHeight="1" s="192">
      <c r="W63859" s="235" t="n"/>
      <c r="X63859" s="235" t="n"/>
    </row>
    <row r="63860" ht="14.25" customHeight="1" s="192">
      <c r="W63860" s="235" t="n"/>
      <c r="X63860" s="235" t="n"/>
    </row>
    <row r="63861" ht="14.25" customHeight="1" s="192">
      <c r="W63861" s="235" t="n"/>
      <c r="X63861" s="235" t="n"/>
    </row>
    <row r="63862" ht="14.25" customHeight="1" s="192">
      <c r="W63862" s="239" t="n"/>
      <c r="X63862" s="239" t="n"/>
    </row>
    <row r="63863" ht="14.25" customHeight="1" s="192">
      <c r="W63863" s="239" t="n"/>
      <c r="X63863" s="239" t="n"/>
    </row>
    <row r="63864" ht="14.25" customHeight="1" s="192">
      <c r="W63864" s="235" t="n"/>
      <c r="X63864" s="235" t="n"/>
    </row>
    <row r="63865" ht="14.25" customHeight="1" s="192">
      <c r="W63865" s="235" t="n"/>
      <c r="X63865" s="235" t="n"/>
    </row>
    <row r="63866" ht="14.25" customHeight="1" s="192">
      <c r="W63866" s="239" t="n"/>
      <c r="X63866" s="239" t="n"/>
    </row>
    <row r="63867" ht="14.25" customHeight="1" s="192">
      <c r="W63867" s="235" t="n"/>
      <c r="X63867" s="235" t="n"/>
    </row>
    <row r="63868" ht="14.25" customHeight="1" s="192">
      <c r="W63868" s="239" t="n"/>
      <c r="X63868" s="239" t="n"/>
    </row>
    <row r="63870" ht="14.25" customHeight="1" s="192">
      <c r="W63870" s="235" t="n"/>
      <c r="X63870" s="235" t="n"/>
    </row>
    <row r="63871" ht="15" customHeight="1" s="192" thickBot="1">
      <c r="W63871" s="239" t="n"/>
      <c r="X63871" s="239" t="n"/>
    </row>
    <row r="63872" ht="15" customHeight="1" s="192" thickBot="1">
      <c r="W63872" s="45" t="n"/>
      <c r="X63872" s="45" t="n"/>
    </row>
    <row r="63873" ht="14.25" customHeight="1" s="192">
      <c r="W63873" s="228" t="n"/>
      <c r="X63873" s="228" t="n"/>
    </row>
    <row r="63874" ht="14.25" customHeight="1" s="192">
      <c r="W63874" s="228" t="n"/>
      <c r="X63874" s="228" t="n"/>
    </row>
    <row r="63875" ht="14.25" customHeight="1" s="192">
      <c r="W63875" s="231" t="n"/>
      <c r="X63875" s="231" t="n"/>
    </row>
    <row r="63876" ht="14.25" customHeight="1" s="192">
      <c r="W63876" s="33" t="n"/>
      <c r="X63876" s="33" t="n"/>
    </row>
    <row r="63877" ht="14.25" customHeight="1" s="192">
      <c r="W63877" s="231" t="n"/>
      <c r="X63877" s="231" t="n"/>
    </row>
    <row r="63878" ht="14.25" customHeight="1" s="192">
      <c r="W63878" s="33" t="n"/>
      <c r="X63878" s="33" t="n"/>
    </row>
    <row r="63880" ht="14.25" customHeight="1" s="192">
      <c r="W63880" s="231" t="n"/>
      <c r="X63880" s="231" t="n"/>
    </row>
    <row r="63881" ht="14.25" customHeight="1" s="192">
      <c r="W63881" s="235" t="n"/>
      <c r="X63881" s="235" t="n"/>
    </row>
    <row r="63882" ht="14.25" customHeight="1" s="192">
      <c r="W63882" s="228" t="n"/>
      <c r="X63882" s="228" t="n"/>
    </row>
    <row r="63883" ht="14.25" customHeight="1" s="192">
      <c r="W63883" s="235" t="n"/>
      <c r="X63883" s="235" t="n"/>
    </row>
    <row r="63884" ht="14.25" customHeight="1" s="192">
      <c r="W63884" s="235" t="n"/>
      <c r="X63884" s="235" t="n"/>
    </row>
    <row r="63885" ht="14.25" customHeight="1" s="192">
      <c r="W63885" s="235" t="n"/>
      <c r="X63885" s="235" t="n"/>
    </row>
    <row r="63886" ht="14.25" customHeight="1" s="192">
      <c r="W63886" s="239" t="n"/>
      <c r="X63886" s="239" t="n"/>
    </row>
    <row r="63887" ht="14.25" customHeight="1" s="192">
      <c r="W63887" s="239" t="n"/>
      <c r="X63887" s="239" t="n"/>
    </row>
    <row r="63888" ht="14.25" customHeight="1" s="192">
      <c r="W63888" s="239" t="n"/>
      <c r="X63888" s="239" t="n"/>
    </row>
    <row r="63889" ht="14.25" customHeight="1" s="192">
      <c r="W63889" s="235" t="n"/>
      <c r="X63889" s="235" t="n"/>
    </row>
    <row r="63890" ht="14.25" customHeight="1" s="192">
      <c r="W63890" s="235" t="n"/>
      <c r="X63890" s="235" t="n"/>
    </row>
    <row r="63891" ht="14.25" customHeight="1" s="192">
      <c r="W63891" s="235" t="n"/>
      <c r="X63891" s="235" t="n"/>
    </row>
    <row r="63892" ht="14.25" customHeight="1" s="192">
      <c r="W63892" s="239" t="n"/>
      <c r="X63892" s="239" t="n"/>
    </row>
    <row r="63893" ht="14.25" customHeight="1" s="192">
      <c r="W63893" s="239" t="n"/>
      <c r="X63893" s="239" t="n"/>
    </row>
    <row r="63894" ht="14.25" customHeight="1" s="192">
      <c r="W63894" s="235" t="n"/>
      <c r="X63894" s="235" t="n"/>
    </row>
    <row r="63895" ht="14.25" customHeight="1" s="192">
      <c r="W63895" s="235" t="n"/>
      <c r="X63895" s="235" t="n"/>
    </row>
    <row r="63896" ht="14.25" customHeight="1" s="192">
      <c r="W63896" s="239" t="n"/>
      <c r="X63896" s="239" t="n"/>
    </row>
    <row r="63897" ht="14.25" customHeight="1" s="192">
      <c r="W63897" s="235" t="n"/>
      <c r="X63897" s="235" t="n"/>
    </row>
    <row r="63898" ht="14.25" customHeight="1" s="192">
      <c r="W63898" s="239" t="n"/>
      <c r="X63898" s="239" t="n"/>
    </row>
    <row r="63900" ht="14.25" customHeight="1" s="192">
      <c r="W63900" s="235" t="n"/>
      <c r="X63900" s="235" t="n"/>
    </row>
    <row r="63901" ht="15" customHeight="1" s="192" thickBot="1">
      <c r="W63901" s="239" t="n"/>
      <c r="X63901" s="239" t="n"/>
    </row>
    <row r="63902" ht="15" customHeight="1" s="192" thickBot="1">
      <c r="W63902" s="45" t="n"/>
      <c r="X63902" s="45" t="n"/>
    </row>
    <row r="63903" ht="14.25" customHeight="1" s="192">
      <c r="W63903" s="228" t="n"/>
      <c r="X63903" s="228" t="n"/>
    </row>
    <row r="63904" ht="14.25" customHeight="1" s="192">
      <c r="W63904" s="228" t="n"/>
      <c r="X63904" s="228" t="n"/>
    </row>
    <row r="63905" ht="14.25" customHeight="1" s="192">
      <c r="W63905" s="231" t="n"/>
      <c r="X63905" s="231" t="n"/>
    </row>
    <row r="63906" ht="14.25" customHeight="1" s="192">
      <c r="W63906" s="33" t="n"/>
      <c r="X63906" s="33" t="n"/>
    </row>
    <row r="63907" ht="14.25" customHeight="1" s="192">
      <c r="W63907" s="231" t="n"/>
      <c r="X63907" s="231" t="n"/>
    </row>
    <row r="63908" ht="14.25" customHeight="1" s="192">
      <c r="W63908" s="33" t="n"/>
      <c r="X63908" s="33" t="n"/>
    </row>
    <row r="63910" ht="14.25" customHeight="1" s="192">
      <c r="W63910" s="231" t="n"/>
      <c r="X63910" s="231" t="n"/>
    </row>
    <row r="63911" ht="14.25" customHeight="1" s="192">
      <c r="W63911" s="235" t="n"/>
      <c r="X63911" s="235" t="n"/>
    </row>
    <row r="63912" ht="14.25" customHeight="1" s="192">
      <c r="W63912" s="228" t="n"/>
      <c r="X63912" s="228" t="n"/>
    </row>
    <row r="63913" ht="14.25" customHeight="1" s="192">
      <c r="W63913" s="235" t="n"/>
      <c r="X63913" s="235" t="n"/>
    </row>
    <row r="63914" ht="14.25" customHeight="1" s="192">
      <c r="W63914" s="235" t="n"/>
      <c r="X63914" s="235" t="n"/>
    </row>
    <row r="63915" ht="14.25" customHeight="1" s="192">
      <c r="W63915" s="235" t="n"/>
      <c r="X63915" s="235" t="n"/>
    </row>
    <row r="63916" ht="14.25" customHeight="1" s="192">
      <c r="W63916" s="239" t="n"/>
      <c r="X63916" s="239" t="n"/>
    </row>
    <row r="63917" ht="14.25" customHeight="1" s="192">
      <c r="W63917" s="239" t="n"/>
      <c r="X63917" s="239" t="n"/>
    </row>
    <row r="63918" ht="14.25" customHeight="1" s="192">
      <c r="W63918" s="239" t="n"/>
      <c r="X63918" s="239" t="n"/>
    </row>
    <row r="63919" ht="14.25" customHeight="1" s="192">
      <c r="W63919" s="235" t="n"/>
      <c r="X63919" s="235" t="n"/>
    </row>
    <row r="63920" ht="14.25" customHeight="1" s="192">
      <c r="W63920" s="235" t="n"/>
      <c r="X63920" s="235" t="n"/>
    </row>
    <row r="63921" ht="14.25" customHeight="1" s="192">
      <c r="W63921" s="235" t="n"/>
      <c r="X63921" s="235" t="n"/>
    </row>
    <row r="63922" ht="14.25" customHeight="1" s="192">
      <c r="W63922" s="239" t="n"/>
      <c r="X63922" s="239" t="n"/>
    </row>
    <row r="63923" ht="14.25" customHeight="1" s="192">
      <c r="W63923" s="239" t="n"/>
      <c r="X63923" s="239" t="n"/>
    </row>
    <row r="63924" ht="14.25" customHeight="1" s="192">
      <c r="W63924" s="235" t="n"/>
      <c r="X63924" s="235" t="n"/>
    </row>
    <row r="63925" ht="14.25" customHeight="1" s="192">
      <c r="W63925" s="235" t="n"/>
      <c r="X63925" s="235" t="n"/>
    </row>
    <row r="63926" ht="14.25" customHeight="1" s="192">
      <c r="W63926" s="239" t="n"/>
      <c r="X63926" s="239" t="n"/>
    </row>
    <row r="63927" ht="14.25" customHeight="1" s="192">
      <c r="W63927" s="235" t="n"/>
      <c r="X63927" s="235" t="n"/>
    </row>
    <row r="63928" ht="14.25" customHeight="1" s="192">
      <c r="W63928" s="239" t="n"/>
      <c r="X63928" s="239" t="n"/>
    </row>
    <row r="63930" ht="14.25" customHeight="1" s="192">
      <c r="W63930" s="235" t="n"/>
      <c r="X63930" s="235" t="n"/>
    </row>
    <row r="63931" ht="15" customHeight="1" s="192" thickBot="1">
      <c r="W63931" s="239" t="n"/>
      <c r="X63931" s="239" t="n"/>
    </row>
    <row r="63932" ht="15" customHeight="1" s="192" thickBot="1">
      <c r="W63932" s="45" t="n"/>
      <c r="X63932" s="45" t="n"/>
    </row>
    <row r="63933" ht="14.25" customHeight="1" s="192">
      <c r="W63933" s="228" t="n"/>
      <c r="X63933" s="228" t="n"/>
    </row>
    <row r="63934" ht="14.25" customHeight="1" s="192">
      <c r="W63934" s="228" t="n"/>
      <c r="X63934" s="228" t="n"/>
    </row>
    <row r="63935" ht="14.25" customHeight="1" s="192">
      <c r="W63935" s="231" t="n"/>
      <c r="X63935" s="231" t="n"/>
    </row>
    <row r="63936" ht="14.25" customHeight="1" s="192">
      <c r="W63936" s="33" t="n"/>
      <c r="X63936" s="33" t="n"/>
    </row>
    <row r="63937" ht="14.25" customHeight="1" s="192">
      <c r="W63937" s="231" t="n"/>
      <c r="X63937" s="231" t="n"/>
    </row>
    <row r="63938" ht="14.25" customHeight="1" s="192">
      <c r="W63938" s="33" t="n"/>
      <c r="X63938" s="33" t="n"/>
    </row>
    <row r="63940" ht="14.25" customHeight="1" s="192">
      <c r="W63940" s="231" t="n"/>
      <c r="X63940" s="231" t="n"/>
    </row>
    <row r="63941" ht="14.25" customHeight="1" s="192">
      <c r="W63941" s="235" t="n"/>
      <c r="X63941" s="235" t="n"/>
    </row>
    <row r="63942" ht="14.25" customHeight="1" s="192">
      <c r="W63942" s="228" t="n"/>
      <c r="X63942" s="228" t="n"/>
    </row>
    <row r="63943" ht="14.25" customHeight="1" s="192">
      <c r="W63943" s="235" t="n"/>
      <c r="X63943" s="235" t="n"/>
    </row>
    <row r="63944" ht="14.25" customHeight="1" s="192">
      <c r="W63944" s="235" t="n"/>
      <c r="X63944" s="235" t="n"/>
    </row>
    <row r="63945" ht="14.25" customHeight="1" s="192">
      <c r="W63945" s="235" t="n"/>
      <c r="X63945" s="235" t="n"/>
    </row>
    <row r="63946" ht="14.25" customHeight="1" s="192">
      <c r="W63946" s="239" t="n"/>
      <c r="X63946" s="239" t="n"/>
    </row>
    <row r="63947" ht="14.25" customHeight="1" s="192">
      <c r="W63947" s="239" t="n"/>
      <c r="X63947" s="239" t="n"/>
    </row>
    <row r="63948" ht="14.25" customHeight="1" s="192">
      <c r="W63948" s="239" t="n"/>
      <c r="X63948" s="239" t="n"/>
    </row>
    <row r="63949" ht="14.25" customHeight="1" s="192">
      <c r="W63949" s="235" t="n"/>
      <c r="X63949" s="235" t="n"/>
    </row>
    <row r="63950" ht="14.25" customHeight="1" s="192">
      <c r="W63950" s="235" t="n"/>
      <c r="X63950" s="235" t="n"/>
    </row>
    <row r="63951" ht="14.25" customHeight="1" s="192">
      <c r="W63951" s="235" t="n"/>
      <c r="X63951" s="235" t="n"/>
    </row>
    <row r="63952" ht="14.25" customHeight="1" s="192">
      <c r="W63952" s="239" t="n"/>
      <c r="X63952" s="239" t="n"/>
    </row>
    <row r="63953" ht="14.25" customHeight="1" s="192">
      <c r="W63953" s="239" t="n"/>
      <c r="X63953" s="239" t="n"/>
    </row>
    <row r="63954" ht="14.25" customHeight="1" s="192">
      <c r="W63954" s="235" t="n"/>
      <c r="X63954" s="235" t="n"/>
    </row>
    <row r="63955" ht="14.25" customHeight="1" s="192">
      <c r="W63955" s="235" t="n"/>
      <c r="X63955" s="235" t="n"/>
    </row>
    <row r="63956" ht="14.25" customHeight="1" s="192">
      <c r="W63956" s="239" t="n"/>
      <c r="X63956" s="239" t="n"/>
    </row>
    <row r="63957" ht="14.25" customHeight="1" s="192">
      <c r="W63957" s="235" t="n"/>
      <c r="X63957" s="235" t="n"/>
    </row>
    <row r="63958" ht="14.25" customHeight="1" s="192">
      <c r="W63958" s="239" t="n"/>
      <c r="X63958" s="239" t="n"/>
    </row>
    <row r="63960" ht="14.25" customHeight="1" s="192">
      <c r="W63960" s="235" t="n"/>
      <c r="X63960" s="235" t="n"/>
    </row>
    <row r="63961" ht="15" customHeight="1" s="192" thickBot="1">
      <c r="W63961" s="239" t="n"/>
      <c r="X63961" s="239" t="n"/>
    </row>
    <row r="63962" ht="15" customHeight="1" s="192" thickBot="1">
      <c r="W63962" s="45" t="n"/>
      <c r="X63962" s="45" t="n"/>
    </row>
    <row r="63963" ht="14.25" customHeight="1" s="192">
      <c r="W63963" s="228" t="n"/>
      <c r="X63963" s="228" t="n"/>
    </row>
    <row r="63964" ht="14.25" customHeight="1" s="192">
      <c r="W63964" s="228" t="n"/>
      <c r="X63964" s="228" t="n"/>
    </row>
    <row r="63965" ht="14.25" customHeight="1" s="192">
      <c r="W63965" s="231" t="n"/>
      <c r="X63965" s="231" t="n"/>
    </row>
    <row r="63966" ht="14.25" customHeight="1" s="192">
      <c r="W63966" s="33" t="n"/>
      <c r="X63966" s="33" t="n"/>
    </row>
    <row r="63967" ht="14.25" customHeight="1" s="192">
      <c r="W63967" s="231" t="n"/>
      <c r="X63967" s="231" t="n"/>
    </row>
    <row r="63968" ht="14.25" customHeight="1" s="192">
      <c r="W63968" s="33" t="n"/>
      <c r="X63968" s="33" t="n"/>
    </row>
    <row r="63970" ht="14.25" customHeight="1" s="192">
      <c r="W63970" s="231" t="n"/>
      <c r="X63970" s="231" t="n"/>
    </row>
    <row r="63971" ht="14.25" customHeight="1" s="192">
      <c r="W63971" s="235" t="n"/>
      <c r="X63971" s="235" t="n"/>
    </row>
    <row r="63972" ht="14.25" customHeight="1" s="192">
      <c r="W63972" s="228" t="n"/>
      <c r="X63972" s="228" t="n"/>
    </row>
    <row r="63973" ht="14.25" customHeight="1" s="192">
      <c r="W63973" s="235" t="n"/>
      <c r="X63973" s="235" t="n"/>
    </row>
    <row r="63974" ht="14.25" customHeight="1" s="192">
      <c r="W63974" s="235" t="n"/>
      <c r="X63974" s="235" t="n"/>
    </row>
    <row r="63975" ht="14.25" customHeight="1" s="192">
      <c r="W63975" s="235" t="n"/>
      <c r="X63975" s="235" t="n"/>
    </row>
    <row r="63976" ht="14.25" customHeight="1" s="192">
      <c r="W63976" s="239" t="n"/>
      <c r="X63976" s="239" t="n"/>
    </row>
    <row r="63977" ht="14.25" customHeight="1" s="192">
      <c r="W63977" s="239" t="n"/>
      <c r="X63977" s="239" t="n"/>
    </row>
    <row r="63978" ht="14.25" customHeight="1" s="192">
      <c r="W63978" s="239" t="n"/>
      <c r="X63978" s="239" t="n"/>
    </row>
    <row r="63979" ht="14.25" customHeight="1" s="192">
      <c r="W63979" s="235" t="n"/>
      <c r="X63979" s="235" t="n"/>
    </row>
    <row r="63980" ht="14.25" customHeight="1" s="192">
      <c r="W63980" s="235" t="n"/>
      <c r="X63980" s="235" t="n"/>
    </row>
    <row r="63981" ht="14.25" customHeight="1" s="192">
      <c r="W63981" s="235" t="n"/>
      <c r="X63981" s="235" t="n"/>
    </row>
    <row r="63982" ht="14.25" customHeight="1" s="192">
      <c r="W63982" s="239" t="n"/>
      <c r="X63982" s="239" t="n"/>
    </row>
    <row r="63983" ht="14.25" customHeight="1" s="192">
      <c r="W63983" s="239" t="n"/>
      <c r="X63983" s="239" t="n"/>
    </row>
    <row r="63984" ht="14.25" customHeight="1" s="192">
      <c r="W63984" s="235" t="n"/>
      <c r="X63984" s="235" t="n"/>
    </row>
    <row r="63985" ht="14.25" customHeight="1" s="192">
      <c r="W63985" s="235" t="n"/>
      <c r="X63985" s="235" t="n"/>
    </row>
    <row r="63986" ht="14.25" customHeight="1" s="192">
      <c r="W63986" s="239" t="n"/>
      <c r="X63986" s="239" t="n"/>
    </row>
    <row r="63987" ht="14.25" customHeight="1" s="192">
      <c r="W63987" s="235" t="n"/>
      <c r="X63987" s="235" t="n"/>
    </row>
    <row r="63988" ht="14.25" customHeight="1" s="192">
      <c r="W63988" s="239" t="n"/>
      <c r="X63988" s="239" t="n"/>
    </row>
    <row r="63990" ht="14.25" customHeight="1" s="192">
      <c r="W63990" s="235" t="n"/>
      <c r="X63990" s="235" t="n"/>
    </row>
    <row r="63991" ht="15" customHeight="1" s="192" thickBot="1">
      <c r="W63991" s="239" t="n"/>
      <c r="X63991" s="239" t="n"/>
    </row>
    <row r="63992" ht="15" customHeight="1" s="192" thickBot="1">
      <c r="W63992" s="45" t="n"/>
      <c r="X63992" s="45" t="n"/>
    </row>
    <row r="63993" ht="14.25" customHeight="1" s="192">
      <c r="W63993" s="228" t="n"/>
      <c r="X63993" s="228" t="n"/>
    </row>
    <row r="63994" ht="14.25" customHeight="1" s="192">
      <c r="W63994" s="228" t="n"/>
      <c r="X63994" s="228" t="n"/>
    </row>
    <row r="63995" ht="14.25" customHeight="1" s="192">
      <c r="W63995" s="231" t="n"/>
      <c r="X63995" s="231" t="n"/>
    </row>
    <row r="63996" ht="14.25" customHeight="1" s="192">
      <c r="W63996" s="33" t="n"/>
      <c r="X63996" s="33" t="n"/>
    </row>
    <row r="63997" ht="14.25" customHeight="1" s="192">
      <c r="W63997" s="231" t="n"/>
      <c r="X63997" s="231" t="n"/>
    </row>
    <row r="63998" ht="14.25" customHeight="1" s="192">
      <c r="W63998" s="33" t="n"/>
      <c r="X63998" s="33" t="n"/>
    </row>
    <row r="64000" ht="14.25" customHeight="1" s="192">
      <c r="W64000" s="231" t="n"/>
      <c r="X64000" s="231" t="n"/>
    </row>
    <row r="64001" ht="14.25" customHeight="1" s="192">
      <c r="W64001" s="235" t="n"/>
      <c r="X64001" s="235" t="n"/>
    </row>
    <row r="64002" ht="14.25" customHeight="1" s="192">
      <c r="W64002" s="228" t="n"/>
      <c r="X64002" s="228" t="n"/>
    </row>
    <row r="64003" ht="14.25" customHeight="1" s="192">
      <c r="W64003" s="235" t="n"/>
      <c r="X64003" s="235" t="n"/>
    </row>
    <row r="64004" ht="14.25" customHeight="1" s="192">
      <c r="W64004" s="235" t="n"/>
      <c r="X64004" s="235" t="n"/>
    </row>
    <row r="64005" ht="14.25" customHeight="1" s="192">
      <c r="W64005" s="235" t="n"/>
      <c r="X64005" s="235" t="n"/>
    </row>
    <row r="64006" ht="14.25" customHeight="1" s="192">
      <c r="W64006" s="239" t="n"/>
      <c r="X64006" s="239" t="n"/>
    </row>
    <row r="64007" ht="14.25" customHeight="1" s="192">
      <c r="W64007" s="239" t="n"/>
      <c r="X64007" s="239" t="n"/>
    </row>
    <row r="64008" ht="14.25" customHeight="1" s="192">
      <c r="W64008" s="239" t="n"/>
      <c r="X64008" s="239" t="n"/>
    </row>
    <row r="64009" ht="14.25" customHeight="1" s="192">
      <c r="W64009" s="235" t="n"/>
      <c r="X64009" s="235" t="n"/>
    </row>
    <row r="64010" ht="14.25" customHeight="1" s="192">
      <c r="W64010" s="235" t="n"/>
      <c r="X64010" s="235" t="n"/>
    </row>
    <row r="64011" ht="14.25" customHeight="1" s="192">
      <c r="W64011" s="235" t="n"/>
      <c r="X64011" s="235" t="n"/>
    </row>
    <row r="64012" ht="14.25" customHeight="1" s="192">
      <c r="W64012" s="239" t="n"/>
      <c r="X64012" s="239" t="n"/>
    </row>
    <row r="64013" ht="14.25" customHeight="1" s="192">
      <c r="W64013" s="239" t="n"/>
      <c r="X64013" s="239" t="n"/>
    </row>
    <row r="64014" ht="14.25" customHeight="1" s="192">
      <c r="W64014" s="235" t="n"/>
      <c r="X64014" s="235" t="n"/>
    </row>
    <row r="64015" ht="14.25" customHeight="1" s="192">
      <c r="W64015" s="235" t="n"/>
      <c r="X64015" s="235" t="n"/>
    </row>
    <row r="64016" ht="14.25" customHeight="1" s="192">
      <c r="W64016" s="239" t="n"/>
      <c r="X64016" s="239" t="n"/>
    </row>
    <row r="64017" ht="14.25" customHeight="1" s="192">
      <c r="W64017" s="235" t="n"/>
      <c r="X64017" s="235" t="n"/>
    </row>
    <row r="64018" ht="14.25" customHeight="1" s="192">
      <c r="W64018" s="239" t="n"/>
      <c r="X64018" s="239" t="n"/>
    </row>
    <row r="64020" ht="14.25" customHeight="1" s="192">
      <c r="W64020" s="235" t="n"/>
      <c r="X64020" s="235" t="n"/>
    </row>
    <row r="64021" ht="15" customHeight="1" s="192" thickBot="1">
      <c r="W64021" s="239" t="n"/>
      <c r="X64021" s="239" t="n"/>
    </row>
    <row r="64022" ht="15" customHeight="1" s="192" thickBot="1">
      <c r="W64022" s="45" t="n"/>
      <c r="X64022" s="45" t="n"/>
    </row>
    <row r="64023" ht="14.25" customHeight="1" s="192">
      <c r="W64023" s="228" t="n"/>
      <c r="X64023" s="228" t="n"/>
    </row>
    <row r="64024" ht="14.25" customHeight="1" s="192">
      <c r="W64024" s="228" t="n"/>
      <c r="X64024" s="228" t="n"/>
    </row>
    <row r="64025" ht="14.25" customHeight="1" s="192">
      <c r="W64025" s="231" t="n"/>
      <c r="X64025" s="231" t="n"/>
    </row>
    <row r="64026" ht="14.25" customHeight="1" s="192">
      <c r="W64026" s="33" t="n"/>
      <c r="X64026" s="33" t="n"/>
    </row>
    <row r="64027" ht="14.25" customHeight="1" s="192">
      <c r="W64027" s="231" t="n"/>
      <c r="X64027" s="231" t="n"/>
    </row>
    <row r="64028" ht="14.25" customHeight="1" s="192">
      <c r="W64028" s="33" t="n"/>
      <c r="X64028" s="33" t="n"/>
    </row>
    <row r="64030" ht="14.25" customHeight="1" s="192">
      <c r="W64030" s="231" t="n"/>
      <c r="X64030" s="231" t="n"/>
    </row>
    <row r="64031" ht="14.25" customHeight="1" s="192">
      <c r="W64031" s="235" t="n"/>
      <c r="X64031" s="235" t="n"/>
    </row>
    <row r="64032" ht="14.25" customHeight="1" s="192">
      <c r="W64032" s="228" t="n"/>
      <c r="X64032" s="228" t="n"/>
    </row>
    <row r="64033" ht="14.25" customHeight="1" s="192">
      <c r="W64033" s="235" t="n"/>
      <c r="X64033" s="235" t="n"/>
    </row>
    <row r="64034" ht="14.25" customHeight="1" s="192">
      <c r="W64034" s="235" t="n"/>
      <c r="X64034" s="235" t="n"/>
    </row>
    <row r="64035" ht="14.25" customHeight="1" s="192">
      <c r="W64035" s="235" t="n"/>
      <c r="X64035" s="235" t="n"/>
    </row>
    <row r="64036" ht="14.25" customHeight="1" s="192">
      <c r="W64036" s="239" t="n"/>
      <c r="X64036" s="239" t="n"/>
    </row>
    <row r="64037" ht="14.25" customHeight="1" s="192">
      <c r="W64037" s="239" t="n"/>
      <c r="X64037" s="239" t="n"/>
    </row>
    <row r="64038" ht="14.25" customHeight="1" s="192">
      <c r="W64038" s="239" t="n"/>
      <c r="X64038" s="239" t="n"/>
    </row>
    <row r="64039" ht="14.25" customHeight="1" s="192">
      <c r="W64039" s="235" t="n"/>
      <c r="X64039" s="235" t="n"/>
    </row>
    <row r="64040" ht="14.25" customHeight="1" s="192">
      <c r="W64040" s="235" t="n"/>
      <c r="X64040" s="235" t="n"/>
    </row>
    <row r="64041" ht="14.25" customHeight="1" s="192">
      <c r="W64041" s="235" t="n"/>
      <c r="X64041" s="235" t="n"/>
    </row>
    <row r="64042" ht="14.25" customHeight="1" s="192">
      <c r="W64042" s="239" t="n"/>
      <c r="X64042" s="239" t="n"/>
    </row>
    <row r="64043" ht="14.25" customHeight="1" s="192">
      <c r="W64043" s="239" t="n"/>
      <c r="X64043" s="239" t="n"/>
    </row>
    <row r="64044" ht="14.25" customHeight="1" s="192">
      <c r="W64044" s="235" t="n"/>
      <c r="X64044" s="235" t="n"/>
    </row>
    <row r="64045" ht="14.25" customHeight="1" s="192">
      <c r="W64045" s="235" t="n"/>
      <c r="X64045" s="235" t="n"/>
    </row>
    <row r="64046" ht="14.25" customHeight="1" s="192">
      <c r="W64046" s="239" t="n"/>
      <c r="X64046" s="239" t="n"/>
    </row>
    <row r="64047" ht="14.25" customHeight="1" s="192">
      <c r="W64047" s="235" t="n"/>
      <c r="X64047" s="235" t="n"/>
    </row>
    <row r="64048" ht="14.25" customHeight="1" s="192">
      <c r="W64048" s="239" t="n"/>
      <c r="X64048" s="239" t="n"/>
    </row>
    <row r="64050" ht="14.25" customHeight="1" s="192">
      <c r="W64050" s="235" t="n"/>
      <c r="X64050" s="235" t="n"/>
    </row>
    <row r="64051" ht="15" customHeight="1" s="192" thickBot="1">
      <c r="W64051" s="239" t="n"/>
      <c r="X64051" s="239" t="n"/>
    </row>
    <row r="64052" ht="15" customHeight="1" s="192" thickBot="1">
      <c r="W64052" s="45" t="n"/>
      <c r="X64052" s="45" t="n"/>
    </row>
    <row r="64053" ht="14.25" customHeight="1" s="192">
      <c r="W64053" s="228" t="n"/>
      <c r="X64053" s="228" t="n"/>
    </row>
    <row r="64054" ht="14.25" customHeight="1" s="192">
      <c r="W64054" s="228" t="n"/>
      <c r="X64054" s="228" t="n"/>
    </row>
    <row r="64055" ht="14.25" customHeight="1" s="192">
      <c r="W64055" s="231" t="n"/>
      <c r="X64055" s="231" t="n"/>
    </row>
    <row r="64056" ht="14.25" customHeight="1" s="192">
      <c r="W64056" s="33" t="n"/>
      <c r="X64056" s="33" t="n"/>
    </row>
    <row r="64057" ht="14.25" customHeight="1" s="192">
      <c r="W64057" s="231" t="n"/>
      <c r="X64057" s="231" t="n"/>
    </row>
    <row r="64058" ht="14.25" customHeight="1" s="192">
      <c r="W64058" s="33" t="n"/>
      <c r="X64058" s="33" t="n"/>
    </row>
    <row r="64060" ht="14.25" customHeight="1" s="192">
      <c r="W64060" s="231" t="n"/>
      <c r="X64060" s="231" t="n"/>
    </row>
    <row r="64061" ht="14.25" customHeight="1" s="192">
      <c r="W64061" s="235" t="n"/>
      <c r="X64061" s="235" t="n"/>
    </row>
    <row r="64062" ht="14.25" customHeight="1" s="192">
      <c r="W64062" s="228" t="n"/>
      <c r="X64062" s="228" t="n"/>
    </row>
    <row r="64063" ht="14.25" customHeight="1" s="192">
      <c r="W64063" s="235" t="n"/>
      <c r="X64063" s="235" t="n"/>
    </row>
    <row r="64064" ht="14.25" customHeight="1" s="192">
      <c r="W64064" s="235" t="n"/>
      <c r="X64064" s="235" t="n"/>
    </row>
    <row r="64065" ht="14.25" customHeight="1" s="192">
      <c r="W64065" s="235" t="n"/>
      <c r="X64065" s="235" t="n"/>
    </row>
    <row r="64066" ht="14.25" customHeight="1" s="192">
      <c r="W64066" s="239" t="n"/>
      <c r="X64066" s="239" t="n"/>
    </row>
    <row r="64067" ht="14.25" customHeight="1" s="192">
      <c r="W64067" s="239" t="n"/>
      <c r="X64067" s="239" t="n"/>
    </row>
    <row r="64068" ht="14.25" customHeight="1" s="192">
      <c r="W64068" s="239" t="n"/>
      <c r="X64068" s="239" t="n"/>
    </row>
    <row r="64069" ht="14.25" customHeight="1" s="192">
      <c r="W64069" s="235" t="n"/>
      <c r="X64069" s="235" t="n"/>
    </row>
    <row r="64070" ht="14.25" customHeight="1" s="192">
      <c r="W64070" s="235" t="n"/>
      <c r="X64070" s="235" t="n"/>
    </row>
    <row r="64071" ht="14.25" customHeight="1" s="192">
      <c r="W64071" s="235" t="n"/>
      <c r="X64071" s="235" t="n"/>
    </row>
    <row r="64072" ht="14.25" customHeight="1" s="192">
      <c r="W64072" s="239" t="n"/>
      <c r="X64072" s="239" t="n"/>
    </row>
    <row r="64073" ht="14.25" customHeight="1" s="192">
      <c r="W64073" s="239" t="n"/>
      <c r="X64073" s="239" t="n"/>
    </row>
    <row r="64074" ht="14.25" customHeight="1" s="192">
      <c r="W64074" s="235" t="n"/>
      <c r="X64074" s="235" t="n"/>
    </row>
    <row r="64075" ht="14.25" customHeight="1" s="192">
      <c r="W64075" s="235" t="n"/>
      <c r="X64075" s="235" t="n"/>
    </row>
    <row r="64076" ht="14.25" customHeight="1" s="192">
      <c r="W64076" s="239" t="n"/>
      <c r="X64076" s="239" t="n"/>
    </row>
    <row r="64077" ht="14.25" customHeight="1" s="192">
      <c r="W64077" s="235" t="n"/>
      <c r="X64077" s="235" t="n"/>
    </row>
    <row r="64078" ht="14.25" customHeight="1" s="192">
      <c r="W64078" s="239" t="n"/>
      <c r="X64078" s="239" t="n"/>
    </row>
    <row r="64080" ht="14.25" customHeight="1" s="192">
      <c r="W64080" s="235" t="n"/>
      <c r="X64080" s="235" t="n"/>
    </row>
    <row r="64081" ht="15" customHeight="1" s="192" thickBot="1">
      <c r="W64081" s="239" t="n"/>
      <c r="X64081" s="239" t="n"/>
    </row>
    <row r="64082" ht="15" customHeight="1" s="192" thickBot="1">
      <c r="W64082" s="45" t="n"/>
      <c r="X64082" s="45" t="n"/>
    </row>
    <row r="64083" ht="14.25" customHeight="1" s="192">
      <c r="W64083" s="228" t="n"/>
      <c r="X64083" s="228" t="n"/>
    </row>
    <row r="64084" ht="14.25" customHeight="1" s="192">
      <c r="W64084" s="228" t="n"/>
      <c r="X64084" s="228" t="n"/>
    </row>
    <row r="64085" ht="14.25" customHeight="1" s="192">
      <c r="W64085" s="231" t="n"/>
      <c r="X64085" s="231" t="n"/>
    </row>
    <row r="64086" ht="14.25" customHeight="1" s="192">
      <c r="W64086" s="33" t="n"/>
      <c r="X64086" s="33" t="n"/>
    </row>
    <row r="64087" ht="14.25" customHeight="1" s="192">
      <c r="W64087" s="231" t="n"/>
      <c r="X64087" s="231" t="n"/>
    </row>
    <row r="64088" ht="14.25" customHeight="1" s="192">
      <c r="W64088" s="33" t="n"/>
      <c r="X64088" s="33" t="n"/>
    </row>
    <row r="64090" ht="14.25" customHeight="1" s="192">
      <c r="W64090" s="231" t="n"/>
      <c r="X64090" s="231" t="n"/>
    </row>
    <row r="64091" ht="14.25" customHeight="1" s="192">
      <c r="W64091" s="235" t="n"/>
      <c r="X64091" s="235" t="n"/>
    </row>
    <row r="64092" ht="14.25" customHeight="1" s="192">
      <c r="W64092" s="228" t="n"/>
      <c r="X64092" s="228" t="n"/>
    </row>
    <row r="64093" ht="14.25" customHeight="1" s="192">
      <c r="W64093" s="235" t="n"/>
      <c r="X64093" s="235" t="n"/>
    </row>
    <row r="64094" ht="14.25" customHeight="1" s="192">
      <c r="W64094" s="235" t="n"/>
      <c r="X64094" s="235" t="n"/>
    </row>
    <row r="64095" ht="14.25" customHeight="1" s="192">
      <c r="W64095" s="235" t="n"/>
      <c r="X64095" s="235" t="n"/>
    </row>
    <row r="64096" ht="14.25" customHeight="1" s="192">
      <c r="W64096" s="239" t="n"/>
      <c r="X64096" s="239" t="n"/>
    </row>
    <row r="64097" ht="14.25" customHeight="1" s="192">
      <c r="W64097" s="239" t="n"/>
      <c r="X64097" s="239" t="n"/>
    </row>
    <row r="64098" ht="14.25" customHeight="1" s="192">
      <c r="W64098" s="239" t="n"/>
      <c r="X64098" s="239" t="n"/>
    </row>
    <row r="64099" ht="14.25" customHeight="1" s="192">
      <c r="W64099" s="235" t="n"/>
      <c r="X64099" s="235" t="n"/>
    </row>
    <row r="64100" ht="14.25" customHeight="1" s="192">
      <c r="W64100" s="235" t="n"/>
      <c r="X64100" s="235" t="n"/>
    </row>
    <row r="64101" ht="14.25" customHeight="1" s="192">
      <c r="W64101" s="235" t="n"/>
      <c r="X64101" s="235" t="n"/>
    </row>
    <row r="64102" ht="14.25" customHeight="1" s="192">
      <c r="W64102" s="239" t="n"/>
      <c r="X64102" s="239" t="n"/>
    </row>
    <row r="64103" ht="14.25" customHeight="1" s="192">
      <c r="W64103" s="239" t="n"/>
      <c r="X64103" s="239" t="n"/>
    </row>
    <row r="64104" ht="14.25" customHeight="1" s="192">
      <c r="W64104" s="235" t="n"/>
      <c r="X64104" s="235" t="n"/>
    </row>
    <row r="64105" ht="14.25" customHeight="1" s="192">
      <c r="W64105" s="235" t="n"/>
      <c r="X64105" s="235" t="n"/>
    </row>
    <row r="64106" ht="14.25" customHeight="1" s="192">
      <c r="W64106" s="239" t="n"/>
      <c r="X64106" s="239" t="n"/>
    </row>
    <row r="64107" ht="14.25" customHeight="1" s="192">
      <c r="W64107" s="235" t="n"/>
      <c r="X64107" s="235" t="n"/>
    </row>
    <row r="64108" ht="14.25" customHeight="1" s="192">
      <c r="W64108" s="239" t="n"/>
      <c r="X64108" s="239" t="n"/>
    </row>
    <row r="64110" ht="14.25" customHeight="1" s="192">
      <c r="W64110" s="235" t="n"/>
      <c r="X64110" s="235" t="n"/>
    </row>
    <row r="64111" ht="15" customHeight="1" s="192" thickBot="1">
      <c r="W64111" s="239" t="n"/>
      <c r="X64111" s="239" t="n"/>
    </row>
    <row r="64112" ht="15" customHeight="1" s="192" thickBot="1">
      <c r="W64112" s="45" t="n"/>
      <c r="X64112" s="45" t="n"/>
    </row>
    <row r="64113" ht="14.25" customHeight="1" s="192">
      <c r="W64113" s="228" t="n"/>
      <c r="X64113" s="228" t="n"/>
    </row>
    <row r="64114" ht="14.25" customHeight="1" s="192">
      <c r="W64114" s="228" t="n"/>
      <c r="X64114" s="228" t="n"/>
    </row>
    <row r="64115" ht="14.25" customHeight="1" s="192">
      <c r="W64115" s="231" t="n"/>
      <c r="X64115" s="231" t="n"/>
    </row>
    <row r="64116" ht="14.25" customHeight="1" s="192">
      <c r="W64116" s="33" t="n"/>
      <c r="X64116" s="33" t="n"/>
    </row>
    <row r="64117" ht="14.25" customHeight="1" s="192">
      <c r="W64117" s="231" t="n"/>
      <c r="X64117" s="231" t="n"/>
    </row>
    <row r="64118" ht="14.25" customHeight="1" s="192">
      <c r="W64118" s="33" t="n"/>
      <c r="X64118" s="33" t="n"/>
    </row>
    <row r="64120" ht="14.25" customHeight="1" s="192">
      <c r="W64120" s="231" t="n"/>
      <c r="X64120" s="231" t="n"/>
    </row>
    <row r="64121" ht="14.25" customHeight="1" s="192">
      <c r="W64121" s="235" t="n"/>
      <c r="X64121" s="235" t="n"/>
    </row>
    <row r="64122" ht="14.25" customHeight="1" s="192">
      <c r="W64122" s="228" t="n"/>
      <c r="X64122" s="228" t="n"/>
    </row>
    <row r="64123" ht="14.25" customHeight="1" s="192">
      <c r="W64123" s="235" t="n"/>
      <c r="X64123" s="235" t="n"/>
    </row>
    <row r="64124" ht="14.25" customHeight="1" s="192">
      <c r="W64124" s="235" t="n"/>
      <c r="X64124" s="235" t="n"/>
    </row>
    <row r="64125" ht="14.25" customHeight="1" s="192">
      <c r="W64125" s="235" t="n"/>
      <c r="X64125" s="235" t="n"/>
    </row>
    <row r="64126" ht="14.25" customHeight="1" s="192">
      <c r="W64126" s="239" t="n"/>
      <c r="X64126" s="239" t="n"/>
    </row>
    <row r="64127" ht="14.25" customHeight="1" s="192">
      <c r="W64127" s="239" t="n"/>
      <c r="X64127" s="239" t="n"/>
    </row>
    <row r="64128" ht="14.25" customHeight="1" s="192">
      <c r="W64128" s="239" t="n"/>
      <c r="X64128" s="239" t="n"/>
    </row>
    <row r="64129" ht="14.25" customHeight="1" s="192">
      <c r="W64129" s="235" t="n"/>
      <c r="X64129" s="235" t="n"/>
    </row>
    <row r="64130" ht="14.25" customHeight="1" s="192">
      <c r="W64130" s="235" t="n"/>
      <c r="X64130" s="235" t="n"/>
    </row>
    <row r="64131" ht="14.25" customHeight="1" s="192">
      <c r="W64131" s="235" t="n"/>
      <c r="X64131" s="235" t="n"/>
    </row>
    <row r="64132" ht="14.25" customHeight="1" s="192">
      <c r="W64132" s="239" t="n"/>
      <c r="X64132" s="239" t="n"/>
    </row>
    <row r="64133" ht="14.25" customHeight="1" s="192">
      <c r="W64133" s="239" t="n"/>
      <c r="X64133" s="239" t="n"/>
    </row>
    <row r="64134" ht="14.25" customHeight="1" s="192">
      <c r="W64134" s="235" t="n"/>
      <c r="X64134" s="235" t="n"/>
    </row>
    <row r="64135" ht="14.25" customHeight="1" s="192">
      <c r="W64135" s="235" t="n"/>
      <c r="X64135" s="235" t="n"/>
    </row>
    <row r="64136" ht="14.25" customHeight="1" s="192">
      <c r="W64136" s="239" t="n"/>
      <c r="X64136" s="239" t="n"/>
    </row>
    <row r="64137" ht="14.25" customHeight="1" s="192">
      <c r="W64137" s="235" t="n"/>
      <c r="X64137" s="235" t="n"/>
    </row>
    <row r="64138" ht="14.25" customHeight="1" s="192">
      <c r="W64138" s="239" t="n"/>
      <c r="X64138" s="239" t="n"/>
    </row>
    <row r="64140" ht="14.25" customHeight="1" s="192">
      <c r="W64140" s="235" t="n"/>
      <c r="X64140" s="235" t="n"/>
    </row>
    <row r="64141" ht="15" customHeight="1" s="192" thickBot="1">
      <c r="W64141" s="239" t="n"/>
      <c r="X64141" s="239" t="n"/>
    </row>
    <row r="64142" ht="15" customHeight="1" s="192" thickBot="1">
      <c r="W64142" s="45" t="n"/>
      <c r="X64142" s="45" t="n"/>
    </row>
    <row r="64143" ht="14.25" customHeight="1" s="192">
      <c r="W64143" s="228" t="n"/>
      <c r="X64143" s="228" t="n"/>
    </row>
    <row r="64144" ht="14.25" customHeight="1" s="192">
      <c r="W64144" s="228" t="n"/>
      <c r="X64144" s="228" t="n"/>
    </row>
    <row r="64145" ht="14.25" customHeight="1" s="192">
      <c r="W64145" s="231" t="n"/>
      <c r="X64145" s="231" t="n"/>
    </row>
    <row r="64146" ht="14.25" customHeight="1" s="192">
      <c r="W64146" s="33" t="n"/>
      <c r="X64146" s="33" t="n"/>
    </row>
    <row r="64147" ht="14.25" customHeight="1" s="192">
      <c r="W64147" s="231" t="n"/>
      <c r="X64147" s="231" t="n"/>
    </row>
    <row r="64148" ht="14.25" customHeight="1" s="192">
      <c r="W64148" s="33" t="n"/>
      <c r="X64148" s="33" t="n"/>
    </row>
    <row r="64150" ht="14.25" customHeight="1" s="192">
      <c r="W64150" s="231" t="n"/>
      <c r="X64150" s="231" t="n"/>
    </row>
    <row r="64151" ht="14.25" customHeight="1" s="192">
      <c r="W64151" s="235" t="n"/>
      <c r="X64151" s="235" t="n"/>
    </row>
    <row r="64152" ht="14.25" customHeight="1" s="192">
      <c r="W64152" s="228" t="n"/>
      <c r="X64152" s="228" t="n"/>
    </row>
    <row r="64153" ht="14.25" customHeight="1" s="192">
      <c r="W64153" s="235" t="n"/>
      <c r="X64153" s="235" t="n"/>
    </row>
    <row r="64154" ht="14.25" customHeight="1" s="192">
      <c r="W64154" s="235" t="n"/>
      <c r="X64154" s="235" t="n"/>
    </row>
    <row r="64155" ht="14.25" customHeight="1" s="192">
      <c r="W64155" s="235" t="n"/>
      <c r="X64155" s="235" t="n"/>
    </row>
    <row r="64156" ht="14.25" customHeight="1" s="192">
      <c r="W64156" s="239" t="n"/>
      <c r="X64156" s="239" t="n"/>
    </row>
    <row r="64157" ht="14.25" customHeight="1" s="192">
      <c r="W64157" s="239" t="n"/>
      <c r="X64157" s="239" t="n"/>
    </row>
    <row r="64158" ht="14.25" customHeight="1" s="192">
      <c r="W64158" s="239" t="n"/>
      <c r="X64158" s="239" t="n"/>
    </row>
    <row r="64159" ht="14.25" customHeight="1" s="192">
      <c r="W64159" s="235" t="n"/>
      <c r="X64159" s="235" t="n"/>
    </row>
    <row r="64160" ht="14.25" customHeight="1" s="192">
      <c r="W64160" s="235" t="n"/>
      <c r="X64160" s="235" t="n"/>
    </row>
    <row r="64161" ht="14.25" customHeight="1" s="192">
      <c r="W64161" s="235" t="n"/>
      <c r="X64161" s="235" t="n"/>
    </row>
    <row r="64162" ht="14.25" customHeight="1" s="192">
      <c r="W64162" s="239" t="n"/>
      <c r="X64162" s="239" t="n"/>
    </row>
    <row r="64163" ht="14.25" customHeight="1" s="192">
      <c r="W64163" s="239" t="n"/>
      <c r="X64163" s="239" t="n"/>
    </row>
    <row r="64164" ht="14.25" customHeight="1" s="192">
      <c r="W64164" s="235" t="n"/>
      <c r="X64164" s="235" t="n"/>
    </row>
    <row r="64165" ht="14.25" customHeight="1" s="192">
      <c r="W64165" s="235" t="n"/>
      <c r="X64165" s="235" t="n"/>
    </row>
    <row r="64166" ht="14.25" customHeight="1" s="192">
      <c r="W64166" s="239" t="n"/>
      <c r="X64166" s="239" t="n"/>
    </row>
    <row r="64167" ht="14.25" customHeight="1" s="192">
      <c r="W64167" s="235" t="n"/>
      <c r="X64167" s="235" t="n"/>
    </row>
    <row r="64168" ht="14.25" customHeight="1" s="192">
      <c r="W64168" s="239" t="n"/>
      <c r="X64168" s="239" t="n"/>
    </row>
    <row r="64170" ht="14.25" customHeight="1" s="192">
      <c r="W64170" s="235" t="n"/>
      <c r="X64170" s="235" t="n"/>
    </row>
    <row r="64171" ht="15" customHeight="1" s="192" thickBot="1">
      <c r="W64171" s="239" t="n"/>
      <c r="X64171" s="239" t="n"/>
    </row>
    <row r="64172" ht="15" customHeight="1" s="192" thickBot="1">
      <c r="W64172" s="45" t="n"/>
      <c r="X64172" s="45" t="n"/>
    </row>
    <row r="64173" ht="14.25" customHeight="1" s="192">
      <c r="W64173" s="228" t="n"/>
      <c r="X64173" s="228" t="n"/>
    </row>
    <row r="64174" ht="14.25" customHeight="1" s="192">
      <c r="W64174" s="228" t="n"/>
      <c r="X64174" s="228" t="n"/>
    </row>
    <row r="64175" ht="14.25" customHeight="1" s="192">
      <c r="W64175" s="231" t="n"/>
      <c r="X64175" s="231" t="n"/>
    </row>
    <row r="64176" ht="14.25" customHeight="1" s="192">
      <c r="W64176" s="33" t="n"/>
      <c r="X64176" s="33" t="n"/>
    </row>
    <row r="64177" ht="14.25" customHeight="1" s="192">
      <c r="W64177" s="231" t="n"/>
      <c r="X64177" s="231" t="n"/>
    </row>
    <row r="64178" ht="14.25" customHeight="1" s="192">
      <c r="W64178" s="33" t="n"/>
      <c r="X64178" s="33" t="n"/>
    </row>
    <row r="64180" ht="14.25" customHeight="1" s="192">
      <c r="W64180" s="231" t="n"/>
      <c r="X64180" s="231" t="n"/>
    </row>
    <row r="64181" ht="14.25" customHeight="1" s="192">
      <c r="W64181" s="235" t="n"/>
      <c r="X64181" s="235" t="n"/>
    </row>
    <row r="64182" ht="14.25" customHeight="1" s="192">
      <c r="W64182" s="228" t="n"/>
      <c r="X64182" s="228" t="n"/>
    </row>
    <row r="64183" ht="14.25" customHeight="1" s="192">
      <c r="W64183" s="235" t="n"/>
      <c r="X64183" s="235" t="n"/>
    </row>
    <row r="64184" ht="14.25" customHeight="1" s="192">
      <c r="W64184" s="235" t="n"/>
      <c r="X64184" s="235" t="n"/>
    </row>
    <row r="64185" ht="14.25" customHeight="1" s="192">
      <c r="W64185" s="235" t="n"/>
      <c r="X64185" s="235" t="n"/>
    </row>
    <row r="64186" ht="14.25" customHeight="1" s="192">
      <c r="W64186" s="239" t="n"/>
      <c r="X64186" s="239" t="n"/>
    </row>
    <row r="64187" ht="14.25" customHeight="1" s="192">
      <c r="W64187" s="239" t="n"/>
      <c r="X64187" s="239" t="n"/>
    </row>
    <row r="64188" ht="14.25" customHeight="1" s="192">
      <c r="W64188" s="239" t="n"/>
      <c r="X64188" s="239" t="n"/>
    </row>
    <row r="64189" ht="14.25" customHeight="1" s="192">
      <c r="W64189" s="235" t="n"/>
      <c r="X64189" s="235" t="n"/>
    </row>
    <row r="64190" ht="14.25" customHeight="1" s="192">
      <c r="W64190" s="235" t="n"/>
      <c r="X64190" s="235" t="n"/>
    </row>
    <row r="64191" ht="14.25" customHeight="1" s="192">
      <c r="W64191" s="235" t="n"/>
      <c r="X64191" s="235" t="n"/>
    </row>
    <row r="64192" ht="14.25" customHeight="1" s="192">
      <c r="W64192" s="239" t="n"/>
      <c r="X64192" s="239" t="n"/>
    </row>
    <row r="64193" ht="14.25" customHeight="1" s="192">
      <c r="W64193" s="239" t="n"/>
      <c r="X64193" s="239" t="n"/>
    </row>
    <row r="64194" ht="14.25" customHeight="1" s="192">
      <c r="W64194" s="235" t="n"/>
      <c r="X64194" s="235" t="n"/>
    </row>
    <row r="64195" ht="14.25" customHeight="1" s="192">
      <c r="W64195" s="235" t="n"/>
      <c r="X64195" s="235" t="n"/>
    </row>
    <row r="64196" ht="14.25" customHeight="1" s="192">
      <c r="W64196" s="239" t="n"/>
      <c r="X64196" s="239" t="n"/>
    </row>
    <row r="64197" ht="14.25" customHeight="1" s="192">
      <c r="W64197" s="235" t="n"/>
      <c r="X64197" s="235" t="n"/>
    </row>
    <row r="64198" ht="14.25" customHeight="1" s="192">
      <c r="W64198" s="239" t="n"/>
      <c r="X64198" s="239" t="n"/>
    </row>
    <row r="64200" ht="14.25" customHeight="1" s="192">
      <c r="W64200" s="235" t="n"/>
      <c r="X64200" s="235" t="n"/>
    </row>
    <row r="64201" ht="15" customHeight="1" s="192" thickBot="1">
      <c r="W64201" s="239" t="n"/>
      <c r="X64201" s="239" t="n"/>
    </row>
    <row r="64202" ht="15" customHeight="1" s="192" thickBot="1">
      <c r="W64202" s="45" t="n"/>
      <c r="X64202" s="45" t="n"/>
    </row>
    <row r="64203" ht="14.25" customHeight="1" s="192">
      <c r="W64203" s="228" t="n"/>
      <c r="X64203" s="228" t="n"/>
    </row>
    <row r="64204" ht="14.25" customHeight="1" s="192">
      <c r="W64204" s="228" t="n"/>
      <c r="X64204" s="228" t="n"/>
    </row>
    <row r="64205" ht="14.25" customHeight="1" s="192">
      <c r="W64205" s="231" t="n"/>
      <c r="X64205" s="231" t="n"/>
    </row>
    <row r="64206" ht="14.25" customHeight="1" s="192">
      <c r="W64206" s="33" t="n"/>
      <c r="X64206" s="33" t="n"/>
    </row>
    <row r="64207" ht="14.25" customHeight="1" s="192">
      <c r="W64207" s="231" t="n"/>
      <c r="X64207" s="231" t="n"/>
    </row>
    <row r="64208" ht="14.25" customHeight="1" s="192">
      <c r="W64208" s="33" t="n"/>
      <c r="X64208" s="33" t="n"/>
    </row>
    <row r="64210" ht="14.25" customHeight="1" s="192">
      <c r="W64210" s="231" t="n"/>
      <c r="X64210" s="231" t="n"/>
    </row>
    <row r="64211" ht="14.25" customHeight="1" s="192">
      <c r="W64211" s="235" t="n"/>
      <c r="X64211" s="235" t="n"/>
    </row>
    <row r="64212" ht="14.25" customHeight="1" s="192">
      <c r="W64212" s="228" t="n"/>
      <c r="X64212" s="228" t="n"/>
    </row>
    <row r="64213" ht="14.25" customHeight="1" s="192">
      <c r="W64213" s="235" t="n"/>
      <c r="X64213" s="235" t="n"/>
    </row>
    <row r="64214" ht="14.25" customHeight="1" s="192">
      <c r="W64214" s="235" t="n"/>
      <c r="X64214" s="235" t="n"/>
    </row>
    <row r="64215" ht="14.25" customHeight="1" s="192">
      <c r="W64215" s="235" t="n"/>
      <c r="X64215" s="235" t="n"/>
    </row>
    <row r="64216" ht="14.25" customHeight="1" s="192">
      <c r="W64216" s="239" t="n"/>
      <c r="X64216" s="239" t="n"/>
    </row>
    <row r="64217" ht="14.25" customHeight="1" s="192">
      <c r="W64217" s="239" t="n"/>
      <c r="X64217" s="239" t="n"/>
    </row>
    <row r="64218" ht="14.25" customHeight="1" s="192">
      <c r="W64218" s="239" t="n"/>
      <c r="X64218" s="239" t="n"/>
    </row>
    <row r="64219" ht="14.25" customHeight="1" s="192">
      <c r="W64219" s="235" t="n"/>
      <c r="X64219" s="235" t="n"/>
    </row>
    <row r="64220" ht="14.25" customHeight="1" s="192">
      <c r="W64220" s="235" t="n"/>
      <c r="X64220" s="235" t="n"/>
    </row>
    <row r="64221" ht="14.25" customHeight="1" s="192">
      <c r="W64221" s="235" t="n"/>
      <c r="X64221" s="235" t="n"/>
    </row>
    <row r="64222" ht="14.25" customHeight="1" s="192">
      <c r="W64222" s="239" t="n"/>
      <c r="X64222" s="239" t="n"/>
    </row>
    <row r="64223" ht="14.25" customHeight="1" s="192">
      <c r="W64223" s="239" t="n"/>
      <c r="X64223" s="239" t="n"/>
    </row>
    <row r="64224" ht="14.25" customHeight="1" s="192">
      <c r="W64224" s="235" t="n"/>
      <c r="X64224" s="235" t="n"/>
    </row>
    <row r="64225" ht="14.25" customHeight="1" s="192">
      <c r="W64225" s="235" t="n"/>
      <c r="X64225" s="235" t="n"/>
    </row>
    <row r="64226" ht="14.25" customHeight="1" s="192">
      <c r="W64226" s="239" t="n"/>
      <c r="X64226" s="239" t="n"/>
    </row>
    <row r="64227" ht="14.25" customHeight="1" s="192">
      <c r="W64227" s="235" t="n"/>
      <c r="X64227" s="235" t="n"/>
    </row>
    <row r="64228" ht="14.25" customHeight="1" s="192">
      <c r="W64228" s="239" t="n"/>
      <c r="X64228" s="239" t="n"/>
    </row>
    <row r="64230" ht="14.25" customHeight="1" s="192">
      <c r="W64230" s="235" t="n"/>
      <c r="X64230" s="235" t="n"/>
    </row>
    <row r="64231" ht="15" customHeight="1" s="192" thickBot="1">
      <c r="W64231" s="239" t="n"/>
      <c r="X64231" s="239" t="n"/>
    </row>
    <row r="64232" ht="15" customHeight="1" s="192" thickBot="1">
      <c r="W64232" s="45" t="n"/>
      <c r="X64232" s="45" t="n"/>
    </row>
    <row r="64233" ht="14.25" customHeight="1" s="192">
      <c r="W64233" s="228" t="n"/>
      <c r="X64233" s="228" t="n"/>
    </row>
    <row r="64234" ht="14.25" customHeight="1" s="192">
      <c r="W64234" s="228" t="n"/>
      <c r="X64234" s="228" t="n"/>
    </row>
    <row r="64235" ht="14.25" customHeight="1" s="192">
      <c r="W64235" s="231" t="n"/>
      <c r="X64235" s="231" t="n"/>
    </row>
    <row r="64236" ht="14.25" customHeight="1" s="192">
      <c r="W64236" s="33" t="n"/>
      <c r="X64236" s="33" t="n"/>
    </row>
    <row r="64237" ht="14.25" customHeight="1" s="192">
      <c r="W64237" s="231" t="n"/>
      <c r="X64237" s="231" t="n"/>
    </row>
    <row r="64238" ht="14.25" customHeight="1" s="192">
      <c r="W64238" s="33" t="n"/>
      <c r="X64238" s="33" t="n"/>
    </row>
    <row r="64240" ht="14.25" customHeight="1" s="192">
      <c r="W64240" s="231" t="n"/>
      <c r="X64240" s="231" t="n"/>
    </row>
    <row r="64241" ht="14.25" customHeight="1" s="192">
      <c r="W64241" s="235" t="n"/>
      <c r="X64241" s="235" t="n"/>
    </row>
    <row r="64242" ht="14.25" customHeight="1" s="192">
      <c r="W64242" s="228" t="n"/>
      <c r="X64242" s="228" t="n"/>
    </row>
    <row r="64243" ht="14.25" customHeight="1" s="192">
      <c r="W64243" s="235" t="n"/>
      <c r="X64243" s="235" t="n"/>
    </row>
    <row r="64244" ht="14.25" customHeight="1" s="192">
      <c r="W64244" s="235" t="n"/>
      <c r="X64244" s="235" t="n"/>
    </row>
    <row r="64245" ht="14.25" customHeight="1" s="192">
      <c r="W64245" s="235" t="n"/>
      <c r="X64245" s="235" t="n"/>
    </row>
    <row r="64246" ht="14.25" customHeight="1" s="192">
      <c r="W64246" s="239" t="n"/>
      <c r="X64246" s="239" t="n"/>
    </row>
    <row r="64247" ht="14.25" customHeight="1" s="192">
      <c r="W64247" s="239" t="n"/>
      <c r="X64247" s="239" t="n"/>
    </row>
    <row r="64248" ht="14.25" customHeight="1" s="192">
      <c r="W64248" s="239" t="n"/>
      <c r="X64248" s="239" t="n"/>
    </row>
    <row r="64249" ht="14.25" customHeight="1" s="192">
      <c r="W64249" s="235" t="n"/>
      <c r="X64249" s="235" t="n"/>
    </row>
    <row r="64250" ht="14.25" customHeight="1" s="192">
      <c r="W64250" s="235" t="n"/>
      <c r="X64250" s="235" t="n"/>
    </row>
    <row r="64251" ht="14.25" customHeight="1" s="192">
      <c r="W64251" s="235" t="n"/>
      <c r="X64251" s="235" t="n"/>
    </row>
    <row r="64252" ht="14.25" customHeight="1" s="192">
      <c r="W64252" s="239" t="n"/>
      <c r="X64252" s="239" t="n"/>
    </row>
    <row r="64253" ht="14.25" customHeight="1" s="192">
      <c r="W64253" s="239" t="n"/>
      <c r="X64253" s="239" t="n"/>
    </row>
    <row r="64254" ht="14.25" customHeight="1" s="192">
      <c r="W64254" s="235" t="n"/>
      <c r="X64254" s="235" t="n"/>
    </row>
    <row r="64255" ht="14.25" customHeight="1" s="192">
      <c r="W64255" s="235" t="n"/>
      <c r="X64255" s="235" t="n"/>
    </row>
    <row r="64256" ht="14.25" customHeight="1" s="192">
      <c r="W64256" s="239" t="n"/>
      <c r="X64256" s="239" t="n"/>
    </row>
    <row r="64257" ht="14.25" customHeight="1" s="192">
      <c r="W64257" s="235" t="n"/>
      <c r="X64257" s="235" t="n"/>
    </row>
    <row r="64258" ht="14.25" customHeight="1" s="192">
      <c r="W64258" s="239" t="n"/>
      <c r="X64258" s="239" t="n"/>
    </row>
    <row r="64260" ht="14.25" customHeight="1" s="192">
      <c r="W64260" s="235" t="n"/>
      <c r="X64260" s="235" t="n"/>
    </row>
    <row r="64261" ht="15" customHeight="1" s="192" thickBot="1">
      <c r="W64261" s="239" t="n"/>
      <c r="X64261" s="239" t="n"/>
    </row>
    <row r="64262" ht="15" customHeight="1" s="192" thickBot="1">
      <c r="W64262" s="45" t="n"/>
      <c r="X64262" s="45" t="n"/>
    </row>
    <row r="64263" ht="14.25" customHeight="1" s="192">
      <c r="W64263" s="228" t="n"/>
      <c r="X64263" s="228" t="n"/>
    </row>
    <row r="64264" ht="14.25" customHeight="1" s="192">
      <c r="W64264" s="228" t="n"/>
      <c r="X64264" s="228" t="n"/>
    </row>
    <row r="64265" ht="14.25" customHeight="1" s="192">
      <c r="W64265" s="231" t="n"/>
      <c r="X64265" s="231" t="n"/>
    </row>
    <row r="64266" ht="14.25" customHeight="1" s="192">
      <c r="W64266" s="33" t="n"/>
      <c r="X64266" s="33" t="n"/>
    </row>
    <row r="64267" ht="14.25" customHeight="1" s="192">
      <c r="W64267" s="231" t="n"/>
      <c r="X64267" s="231" t="n"/>
    </row>
    <row r="64268" ht="14.25" customHeight="1" s="192">
      <c r="W64268" s="33" t="n"/>
      <c r="X64268" s="33" t="n"/>
    </row>
    <row r="64270" ht="14.25" customHeight="1" s="192">
      <c r="W64270" s="231" t="n"/>
      <c r="X64270" s="231" t="n"/>
    </row>
    <row r="64271" ht="14.25" customHeight="1" s="192">
      <c r="W64271" s="235" t="n"/>
      <c r="X64271" s="235" t="n"/>
    </row>
    <row r="64272" ht="14.25" customHeight="1" s="192">
      <c r="W64272" s="228" t="n"/>
      <c r="X64272" s="228" t="n"/>
    </row>
    <row r="64273" ht="14.25" customHeight="1" s="192">
      <c r="W64273" s="235" t="n"/>
      <c r="X64273" s="235" t="n"/>
    </row>
    <row r="64274" ht="14.25" customHeight="1" s="192">
      <c r="W64274" s="235" t="n"/>
      <c r="X64274" s="235" t="n"/>
    </row>
    <row r="64275" ht="14.25" customHeight="1" s="192">
      <c r="W64275" s="235" t="n"/>
      <c r="X64275" s="235" t="n"/>
    </row>
    <row r="64276" ht="14.25" customHeight="1" s="192">
      <c r="W64276" s="239" t="n"/>
      <c r="X64276" s="239" t="n"/>
    </row>
    <row r="64277" ht="14.25" customHeight="1" s="192">
      <c r="W64277" s="239" t="n"/>
      <c r="X64277" s="239" t="n"/>
    </row>
    <row r="64278" ht="14.25" customHeight="1" s="192">
      <c r="W64278" s="239" t="n"/>
      <c r="X64278" s="239" t="n"/>
    </row>
    <row r="64279" ht="14.25" customHeight="1" s="192">
      <c r="W64279" s="235" t="n"/>
      <c r="X64279" s="235" t="n"/>
    </row>
    <row r="64280" ht="14.25" customHeight="1" s="192">
      <c r="W64280" s="235" t="n"/>
      <c r="X64280" s="235" t="n"/>
    </row>
    <row r="64281" ht="14.25" customHeight="1" s="192">
      <c r="W64281" s="235" t="n"/>
      <c r="X64281" s="235" t="n"/>
    </row>
    <row r="64282" ht="14.25" customHeight="1" s="192">
      <c r="W64282" s="239" t="n"/>
      <c r="X64282" s="239" t="n"/>
    </row>
    <row r="64283" ht="14.25" customHeight="1" s="192">
      <c r="W64283" s="239" t="n"/>
      <c r="X64283" s="239" t="n"/>
    </row>
    <row r="64284" ht="14.25" customHeight="1" s="192">
      <c r="W64284" s="235" t="n"/>
      <c r="X64284" s="235" t="n"/>
    </row>
    <row r="64285" ht="14.25" customHeight="1" s="192">
      <c r="W64285" s="235" t="n"/>
      <c r="X64285" s="235" t="n"/>
    </row>
    <row r="64286" ht="14.25" customHeight="1" s="192">
      <c r="W64286" s="239" t="n"/>
      <c r="X64286" s="239" t="n"/>
    </row>
    <row r="64287" ht="14.25" customHeight="1" s="192">
      <c r="W64287" s="235" t="n"/>
      <c r="X64287" s="235" t="n"/>
    </row>
    <row r="64288" ht="14.25" customHeight="1" s="192">
      <c r="W64288" s="239" t="n"/>
      <c r="X64288" s="239" t="n"/>
    </row>
    <row r="64290" ht="14.25" customHeight="1" s="192">
      <c r="W64290" s="235" t="n"/>
      <c r="X64290" s="235" t="n"/>
    </row>
    <row r="64291" ht="15" customHeight="1" s="192" thickBot="1">
      <c r="W64291" s="239" t="n"/>
      <c r="X64291" s="239" t="n"/>
    </row>
    <row r="64292" ht="15" customHeight="1" s="192" thickBot="1">
      <c r="W64292" s="45" t="n"/>
      <c r="X64292" s="45" t="n"/>
    </row>
    <row r="64293" ht="14.25" customHeight="1" s="192">
      <c r="W64293" s="228" t="n"/>
      <c r="X64293" s="228" t="n"/>
    </row>
    <row r="64294" ht="14.25" customHeight="1" s="192">
      <c r="W64294" s="228" t="n"/>
      <c r="X64294" s="228" t="n"/>
    </row>
    <row r="64295" ht="14.25" customHeight="1" s="192">
      <c r="W64295" s="231" t="n"/>
      <c r="X64295" s="231" t="n"/>
    </row>
    <row r="64296" ht="14.25" customHeight="1" s="192">
      <c r="W64296" s="33" t="n"/>
      <c r="X64296" s="33" t="n"/>
    </row>
    <row r="64297" ht="14.25" customHeight="1" s="192">
      <c r="W64297" s="231" t="n"/>
      <c r="X64297" s="231" t="n"/>
    </row>
    <row r="64298" ht="14.25" customHeight="1" s="192">
      <c r="W64298" s="33" t="n"/>
      <c r="X64298" s="33" t="n"/>
    </row>
    <row r="64300" ht="14.25" customHeight="1" s="192">
      <c r="W64300" s="231" t="n"/>
      <c r="X64300" s="231" t="n"/>
    </row>
    <row r="64301" ht="14.25" customHeight="1" s="192">
      <c r="W64301" s="235" t="n"/>
      <c r="X64301" s="235" t="n"/>
    </row>
    <row r="64302" ht="14.25" customHeight="1" s="192">
      <c r="W64302" s="228" t="n"/>
      <c r="X64302" s="228" t="n"/>
    </row>
    <row r="64303" ht="14.25" customHeight="1" s="192">
      <c r="W64303" s="235" t="n"/>
      <c r="X64303" s="235" t="n"/>
    </row>
    <row r="64304" ht="14.25" customHeight="1" s="192">
      <c r="W64304" s="235" t="n"/>
      <c r="X64304" s="235" t="n"/>
    </row>
    <row r="64305" ht="14.25" customHeight="1" s="192">
      <c r="W64305" s="235" t="n"/>
      <c r="X64305" s="235" t="n"/>
    </row>
    <row r="64306" ht="14.25" customHeight="1" s="192">
      <c r="W64306" s="239" t="n"/>
      <c r="X64306" s="239" t="n"/>
    </row>
    <row r="64307" ht="14.25" customHeight="1" s="192">
      <c r="W64307" s="239" t="n"/>
      <c r="X64307" s="239" t="n"/>
    </row>
    <row r="64308" ht="14.25" customHeight="1" s="192">
      <c r="W64308" s="239" t="n"/>
      <c r="X64308" s="239" t="n"/>
    </row>
    <row r="64309" ht="14.25" customHeight="1" s="192">
      <c r="W64309" s="235" t="n"/>
      <c r="X64309" s="235" t="n"/>
    </row>
    <row r="64310" ht="14.25" customHeight="1" s="192">
      <c r="W64310" s="235" t="n"/>
      <c r="X64310" s="235" t="n"/>
    </row>
    <row r="64311" ht="14.25" customHeight="1" s="192">
      <c r="W64311" s="235" t="n"/>
      <c r="X64311" s="235" t="n"/>
    </row>
    <row r="64312" ht="14.25" customHeight="1" s="192">
      <c r="W64312" s="239" t="n"/>
      <c r="X64312" s="239" t="n"/>
    </row>
    <row r="64313" ht="14.25" customHeight="1" s="192">
      <c r="W64313" s="239" t="n"/>
      <c r="X64313" s="239" t="n"/>
    </row>
    <row r="64314" ht="14.25" customHeight="1" s="192">
      <c r="W64314" s="235" t="n"/>
      <c r="X64314" s="235" t="n"/>
    </row>
    <row r="64315" ht="14.25" customHeight="1" s="192">
      <c r="W64315" s="235" t="n"/>
      <c r="X64315" s="235" t="n"/>
    </row>
    <row r="64316" ht="14.25" customHeight="1" s="192">
      <c r="W64316" s="239" t="n"/>
      <c r="X64316" s="239" t="n"/>
    </row>
    <row r="64317" ht="14.25" customHeight="1" s="192">
      <c r="W64317" s="235" t="n"/>
      <c r="X64317" s="235" t="n"/>
    </row>
    <row r="64318" ht="14.25" customHeight="1" s="192">
      <c r="W64318" s="239" t="n"/>
      <c r="X64318" s="239" t="n"/>
    </row>
    <row r="64320" ht="14.25" customHeight="1" s="192">
      <c r="W64320" s="235" t="n"/>
      <c r="X64320" s="235" t="n"/>
    </row>
    <row r="64321" ht="15" customHeight="1" s="192" thickBot="1">
      <c r="W64321" s="239" t="n"/>
      <c r="X64321" s="239" t="n"/>
    </row>
    <row r="64322" ht="15" customHeight="1" s="192" thickBot="1">
      <c r="W64322" s="45" t="n"/>
      <c r="X64322" s="45" t="n"/>
    </row>
    <row r="64323" ht="14.25" customHeight="1" s="192">
      <c r="W64323" s="228" t="n"/>
      <c r="X64323" s="228" t="n"/>
    </row>
    <row r="64324" ht="14.25" customHeight="1" s="192">
      <c r="W64324" s="228" t="n"/>
      <c r="X64324" s="228" t="n"/>
    </row>
    <row r="64325" ht="14.25" customHeight="1" s="192">
      <c r="W64325" s="231" t="n"/>
      <c r="X64325" s="231" t="n"/>
    </row>
    <row r="64326" ht="14.25" customHeight="1" s="192">
      <c r="W64326" s="33" t="n"/>
      <c r="X64326" s="33" t="n"/>
    </row>
    <row r="64327" ht="14.25" customHeight="1" s="192">
      <c r="W64327" s="231" t="n"/>
      <c r="X64327" s="231" t="n"/>
    </row>
    <row r="64328" ht="14.25" customHeight="1" s="192">
      <c r="W64328" s="33" t="n"/>
      <c r="X64328" s="33" t="n"/>
    </row>
    <row r="64330" ht="14.25" customHeight="1" s="192">
      <c r="W64330" s="231" t="n"/>
      <c r="X64330" s="231" t="n"/>
    </row>
    <row r="64331" ht="14.25" customHeight="1" s="192">
      <c r="W64331" s="235" t="n"/>
      <c r="X64331" s="235" t="n"/>
    </row>
    <row r="64332" ht="14.25" customHeight="1" s="192">
      <c r="W64332" s="228" t="n"/>
      <c r="X64332" s="228" t="n"/>
    </row>
    <row r="64333" ht="14.25" customHeight="1" s="192">
      <c r="W64333" s="235" t="n"/>
      <c r="X64333" s="235" t="n"/>
    </row>
    <row r="64334" ht="14.25" customHeight="1" s="192">
      <c r="W64334" s="235" t="n"/>
      <c r="X64334" s="235" t="n"/>
    </row>
    <row r="64335" ht="14.25" customHeight="1" s="192">
      <c r="W64335" s="235" t="n"/>
      <c r="X64335" s="235" t="n"/>
    </row>
    <row r="64336" ht="14.25" customHeight="1" s="192">
      <c r="W64336" s="239" t="n"/>
      <c r="X64336" s="239" t="n"/>
    </row>
    <row r="64337" ht="14.25" customHeight="1" s="192">
      <c r="W64337" s="239" t="n"/>
      <c r="X64337" s="239" t="n"/>
    </row>
    <row r="64338" ht="14.25" customHeight="1" s="192">
      <c r="W64338" s="239" t="n"/>
      <c r="X64338" s="239" t="n"/>
    </row>
    <row r="64339" ht="14.25" customHeight="1" s="192">
      <c r="W64339" s="235" t="n"/>
      <c r="X64339" s="235" t="n"/>
    </row>
    <row r="64340" ht="14.25" customHeight="1" s="192">
      <c r="W64340" s="235" t="n"/>
      <c r="X64340" s="235" t="n"/>
    </row>
    <row r="64341" ht="14.25" customHeight="1" s="192">
      <c r="W64341" s="235" t="n"/>
      <c r="X64341" s="235" t="n"/>
    </row>
    <row r="64342" ht="14.25" customHeight="1" s="192">
      <c r="W64342" s="239" t="n"/>
      <c r="X64342" s="239" t="n"/>
    </row>
    <row r="64343" ht="14.25" customHeight="1" s="192">
      <c r="W64343" s="239" t="n"/>
      <c r="X64343" s="239" t="n"/>
    </row>
    <row r="64344" ht="14.25" customHeight="1" s="192">
      <c r="W64344" s="235" t="n"/>
      <c r="X64344" s="235" t="n"/>
    </row>
    <row r="64345" ht="14.25" customHeight="1" s="192">
      <c r="W64345" s="235" t="n"/>
      <c r="X64345" s="235" t="n"/>
    </row>
    <row r="64346" ht="14.25" customHeight="1" s="192">
      <c r="W64346" s="239" t="n"/>
      <c r="X64346" s="239" t="n"/>
    </row>
    <row r="64347" ht="14.25" customHeight="1" s="192">
      <c r="W64347" s="235" t="n"/>
      <c r="X64347" s="235" t="n"/>
    </row>
    <row r="64348" ht="14.25" customHeight="1" s="192">
      <c r="W64348" s="239" t="n"/>
      <c r="X64348" s="239" t="n"/>
    </row>
    <row r="64350" ht="14.25" customHeight="1" s="192">
      <c r="W64350" s="235" t="n"/>
      <c r="X64350" s="235" t="n"/>
    </row>
    <row r="64351" ht="15" customHeight="1" s="192" thickBot="1">
      <c r="W64351" s="239" t="n"/>
      <c r="X64351" s="239" t="n"/>
    </row>
    <row r="64352" ht="15" customHeight="1" s="192" thickBot="1">
      <c r="W64352" s="45" t="n"/>
      <c r="X64352" s="45" t="n"/>
    </row>
    <row r="64353" ht="14.25" customHeight="1" s="192">
      <c r="W64353" s="228" t="n"/>
      <c r="X64353" s="228" t="n"/>
    </row>
    <row r="64354" ht="14.25" customHeight="1" s="192">
      <c r="W64354" s="228" t="n"/>
      <c r="X64354" s="228" t="n"/>
    </row>
    <row r="64355" ht="14.25" customHeight="1" s="192">
      <c r="W64355" s="231" t="n"/>
      <c r="X64355" s="231" t="n"/>
    </row>
    <row r="64356" ht="14.25" customHeight="1" s="192">
      <c r="W64356" s="33" t="n"/>
      <c r="X64356" s="33" t="n"/>
    </row>
    <row r="64357" ht="14.25" customHeight="1" s="192">
      <c r="W64357" s="231" t="n"/>
      <c r="X64357" s="231" t="n"/>
    </row>
    <row r="64358" ht="14.25" customHeight="1" s="192">
      <c r="W64358" s="33" t="n"/>
      <c r="X64358" s="33" t="n"/>
    </row>
    <row r="64360" ht="14.25" customHeight="1" s="192">
      <c r="W64360" s="231" t="n"/>
      <c r="X64360" s="231" t="n"/>
    </row>
    <row r="64361" ht="14.25" customHeight="1" s="192">
      <c r="W64361" s="235" t="n"/>
      <c r="X64361" s="235" t="n"/>
    </row>
    <row r="64362" ht="14.25" customHeight="1" s="192">
      <c r="W64362" s="228" t="n"/>
      <c r="X64362" s="228" t="n"/>
    </row>
    <row r="64363" ht="14.25" customHeight="1" s="192">
      <c r="W64363" s="235" t="n"/>
      <c r="X64363" s="235" t="n"/>
    </row>
    <row r="64364" ht="14.25" customHeight="1" s="192">
      <c r="W64364" s="235" t="n"/>
      <c r="X64364" s="235" t="n"/>
    </row>
    <row r="64365" ht="14.25" customHeight="1" s="192">
      <c r="W64365" s="235" t="n"/>
      <c r="X64365" s="235" t="n"/>
    </row>
    <row r="64366" ht="14.25" customHeight="1" s="192">
      <c r="W64366" s="239" t="n"/>
      <c r="X64366" s="239" t="n"/>
    </row>
    <row r="64367" ht="14.25" customHeight="1" s="192">
      <c r="W64367" s="239" t="n"/>
      <c r="X64367" s="239" t="n"/>
    </row>
    <row r="64368" ht="14.25" customHeight="1" s="192">
      <c r="W64368" s="239" t="n"/>
      <c r="X64368" s="239" t="n"/>
    </row>
    <row r="64369" ht="14.25" customHeight="1" s="192">
      <c r="W64369" s="235" t="n"/>
      <c r="X64369" s="235" t="n"/>
    </row>
    <row r="64370" ht="14.25" customHeight="1" s="192">
      <c r="W64370" s="235" t="n"/>
      <c r="X64370" s="235" t="n"/>
    </row>
    <row r="64371" ht="14.25" customHeight="1" s="192">
      <c r="W64371" s="235" t="n"/>
      <c r="X64371" s="235" t="n"/>
    </row>
    <row r="64372" ht="14.25" customHeight="1" s="192">
      <c r="W64372" s="239" t="n"/>
      <c r="X64372" s="239" t="n"/>
    </row>
    <row r="64373" ht="14.25" customHeight="1" s="192">
      <c r="W64373" s="239" t="n"/>
      <c r="X64373" s="239" t="n"/>
    </row>
    <row r="64374" ht="14.25" customHeight="1" s="192">
      <c r="W64374" s="235" t="n"/>
      <c r="X64374" s="235" t="n"/>
    </row>
    <row r="64375" ht="14.25" customHeight="1" s="192">
      <c r="W64375" s="235" t="n"/>
      <c r="X64375" s="235" t="n"/>
    </row>
    <row r="64376" ht="14.25" customHeight="1" s="192">
      <c r="W64376" s="239" t="n"/>
      <c r="X64376" s="239" t="n"/>
    </row>
    <row r="64377" ht="14.25" customHeight="1" s="192">
      <c r="W64377" s="235" t="n"/>
      <c r="X64377" s="235" t="n"/>
    </row>
    <row r="64378" ht="14.25" customHeight="1" s="192">
      <c r="W64378" s="239" t="n"/>
      <c r="X64378" s="239" t="n"/>
    </row>
    <row r="64380" ht="14.25" customHeight="1" s="192">
      <c r="W64380" s="235" t="n"/>
      <c r="X64380" s="235" t="n"/>
    </row>
    <row r="64381" ht="15" customHeight="1" s="192" thickBot="1">
      <c r="W64381" s="239" t="n"/>
      <c r="X64381" s="239" t="n"/>
    </row>
    <row r="64382" ht="15" customHeight="1" s="192" thickBot="1">
      <c r="W64382" s="45" t="n"/>
      <c r="X64382" s="45" t="n"/>
    </row>
    <row r="64383" ht="14.25" customHeight="1" s="192">
      <c r="W64383" s="228" t="n"/>
      <c r="X64383" s="228" t="n"/>
    </row>
    <row r="64384" ht="14.25" customHeight="1" s="192">
      <c r="W64384" s="228" t="n"/>
      <c r="X64384" s="228" t="n"/>
    </row>
    <row r="64385" ht="14.25" customHeight="1" s="192">
      <c r="W64385" s="231" t="n"/>
      <c r="X64385" s="231" t="n"/>
    </row>
    <row r="64386" ht="14.25" customHeight="1" s="192">
      <c r="W64386" s="33" t="n"/>
      <c r="X64386" s="33" t="n"/>
    </row>
    <row r="64387" ht="14.25" customHeight="1" s="192">
      <c r="W64387" s="231" t="n"/>
      <c r="X64387" s="231" t="n"/>
    </row>
    <row r="64388" ht="14.25" customHeight="1" s="192">
      <c r="W64388" s="33" t="n"/>
      <c r="X64388" s="33" t="n"/>
    </row>
    <row r="64390" ht="14.25" customHeight="1" s="192">
      <c r="W64390" s="231" t="n"/>
      <c r="X64390" s="231" t="n"/>
    </row>
    <row r="64391" ht="14.25" customHeight="1" s="192">
      <c r="W64391" s="235" t="n"/>
      <c r="X64391" s="235" t="n"/>
    </row>
    <row r="64392" ht="14.25" customHeight="1" s="192">
      <c r="W64392" s="228" t="n"/>
      <c r="X64392" s="228" t="n"/>
    </row>
    <row r="64393" ht="14.25" customHeight="1" s="192">
      <c r="W64393" s="235" t="n"/>
      <c r="X64393" s="235" t="n"/>
    </row>
    <row r="64394" ht="14.25" customHeight="1" s="192">
      <c r="W64394" s="235" t="n"/>
      <c r="X64394" s="235" t="n"/>
    </row>
    <row r="64395" ht="14.25" customHeight="1" s="192">
      <c r="W64395" s="235" t="n"/>
      <c r="X64395" s="235" t="n"/>
    </row>
    <row r="64396" ht="14.25" customHeight="1" s="192">
      <c r="W64396" s="239" t="n"/>
      <c r="X64396" s="239" t="n"/>
    </row>
    <row r="64397" ht="14.25" customHeight="1" s="192">
      <c r="W64397" s="239" t="n"/>
      <c r="X64397" s="239" t="n"/>
    </row>
    <row r="64398" ht="14.25" customHeight="1" s="192">
      <c r="W64398" s="239" t="n"/>
      <c r="X64398" s="239" t="n"/>
    </row>
    <row r="64399" ht="14.25" customHeight="1" s="192">
      <c r="W64399" s="235" t="n"/>
      <c r="X64399" s="235" t="n"/>
    </row>
    <row r="64400" ht="14.25" customHeight="1" s="192">
      <c r="W64400" s="235" t="n"/>
      <c r="X64400" s="235" t="n"/>
    </row>
    <row r="64401" ht="14.25" customHeight="1" s="192">
      <c r="W64401" s="235" t="n"/>
      <c r="X64401" s="235" t="n"/>
    </row>
    <row r="64402" ht="14.25" customHeight="1" s="192">
      <c r="W64402" s="239" t="n"/>
      <c r="X64402" s="239" t="n"/>
    </row>
    <row r="64403" ht="14.25" customHeight="1" s="192">
      <c r="W64403" s="239" t="n"/>
      <c r="X64403" s="239" t="n"/>
    </row>
    <row r="64404" ht="14.25" customHeight="1" s="192">
      <c r="W64404" s="235" t="n"/>
      <c r="X64404" s="235" t="n"/>
    </row>
    <row r="64405" ht="14.25" customHeight="1" s="192">
      <c r="W64405" s="235" t="n"/>
      <c r="X64405" s="235" t="n"/>
    </row>
    <row r="64406" ht="14.25" customHeight="1" s="192">
      <c r="W64406" s="239" t="n"/>
      <c r="X64406" s="239" t="n"/>
    </row>
    <row r="64407" ht="14.25" customHeight="1" s="192">
      <c r="W64407" s="235" t="n"/>
      <c r="X64407" s="235" t="n"/>
    </row>
    <row r="64408" ht="14.25" customHeight="1" s="192">
      <c r="W64408" s="239" t="n"/>
      <c r="X64408" s="239" t="n"/>
    </row>
    <row r="64410" ht="14.25" customHeight="1" s="192">
      <c r="W64410" s="235" t="n"/>
      <c r="X64410" s="235" t="n"/>
    </row>
    <row r="64411" ht="15" customHeight="1" s="192" thickBot="1">
      <c r="W64411" s="239" t="n"/>
      <c r="X64411" s="239" t="n"/>
    </row>
    <row r="64412" ht="15" customHeight="1" s="192" thickBot="1">
      <c r="W64412" s="45" t="n"/>
      <c r="X64412" s="45" t="n"/>
    </row>
    <row r="64413" ht="14.25" customHeight="1" s="192">
      <c r="W64413" s="228" t="n"/>
      <c r="X64413" s="228" t="n"/>
    </row>
    <row r="64414" ht="14.25" customHeight="1" s="192">
      <c r="W64414" s="228" t="n"/>
      <c r="X64414" s="228" t="n"/>
    </row>
    <row r="64415" ht="14.25" customHeight="1" s="192">
      <c r="W64415" s="231" t="n"/>
      <c r="X64415" s="231" t="n"/>
    </row>
    <row r="64416" ht="14.25" customHeight="1" s="192">
      <c r="W64416" s="33" t="n"/>
      <c r="X64416" s="33" t="n"/>
    </row>
    <row r="64417" ht="14.25" customHeight="1" s="192">
      <c r="W64417" s="231" t="n"/>
      <c r="X64417" s="231" t="n"/>
    </row>
    <row r="64418" ht="14.25" customHeight="1" s="192">
      <c r="W64418" s="33" t="n"/>
      <c r="X64418" s="33" t="n"/>
    </row>
    <row r="64420" ht="14.25" customHeight="1" s="192">
      <c r="W64420" s="231" t="n"/>
      <c r="X64420" s="231" t="n"/>
    </row>
    <row r="64421" ht="14.25" customHeight="1" s="192">
      <c r="W64421" s="235" t="n"/>
      <c r="X64421" s="235" t="n"/>
    </row>
    <row r="64422" ht="14.25" customHeight="1" s="192">
      <c r="W64422" s="228" t="n"/>
      <c r="X64422" s="228" t="n"/>
    </row>
    <row r="64423" ht="14.25" customHeight="1" s="192">
      <c r="W64423" s="235" t="n"/>
      <c r="X64423" s="235" t="n"/>
    </row>
    <row r="64424" ht="14.25" customHeight="1" s="192">
      <c r="W64424" s="235" t="n"/>
      <c r="X64424" s="235" t="n"/>
    </row>
    <row r="64425" ht="14.25" customHeight="1" s="192">
      <c r="W64425" s="235" t="n"/>
      <c r="X64425" s="235" t="n"/>
    </row>
    <row r="64426" ht="14.25" customHeight="1" s="192">
      <c r="W64426" s="239" t="n"/>
      <c r="X64426" s="239" t="n"/>
    </row>
    <row r="64427" ht="14.25" customHeight="1" s="192">
      <c r="W64427" s="239" t="n"/>
      <c r="X64427" s="239" t="n"/>
    </row>
    <row r="64428" ht="14.25" customHeight="1" s="192">
      <c r="W64428" s="239" t="n"/>
      <c r="X64428" s="239" t="n"/>
    </row>
    <row r="64429" ht="14.25" customHeight="1" s="192">
      <c r="W64429" s="235" t="n"/>
      <c r="X64429" s="235" t="n"/>
    </row>
    <row r="64430" ht="14.25" customHeight="1" s="192">
      <c r="W64430" s="235" t="n"/>
      <c r="X64430" s="235" t="n"/>
    </row>
    <row r="64431" ht="14.25" customHeight="1" s="192">
      <c r="W64431" s="235" t="n"/>
      <c r="X64431" s="235" t="n"/>
    </row>
    <row r="64432" ht="14.25" customHeight="1" s="192">
      <c r="W64432" s="239" t="n"/>
      <c r="X64432" s="239" t="n"/>
    </row>
    <row r="64433" ht="14.25" customHeight="1" s="192">
      <c r="W64433" s="239" t="n"/>
      <c r="X64433" s="239" t="n"/>
    </row>
    <row r="64434" ht="14.25" customHeight="1" s="192">
      <c r="W64434" s="235" t="n"/>
      <c r="X64434" s="235" t="n"/>
    </row>
    <row r="64435" ht="14.25" customHeight="1" s="192">
      <c r="W64435" s="235" t="n"/>
      <c r="X64435" s="235" t="n"/>
    </row>
    <row r="64436" ht="14.25" customHeight="1" s="192">
      <c r="W64436" s="239" t="n"/>
      <c r="X64436" s="239" t="n"/>
    </row>
    <row r="64437" ht="14.25" customHeight="1" s="192">
      <c r="W64437" s="235" t="n"/>
      <c r="X64437" s="235" t="n"/>
    </row>
    <row r="64438" ht="14.25" customHeight="1" s="192">
      <c r="W64438" s="239" t="n"/>
      <c r="X64438" s="239" t="n"/>
    </row>
    <row r="64440" ht="14.25" customHeight="1" s="192">
      <c r="W64440" s="235" t="n"/>
      <c r="X64440" s="235" t="n"/>
    </row>
    <row r="64441" ht="15" customHeight="1" s="192" thickBot="1">
      <c r="W64441" s="239" t="n"/>
      <c r="X64441" s="239" t="n"/>
    </row>
    <row r="64442" ht="15" customHeight="1" s="192" thickBot="1">
      <c r="W64442" s="45" t="n"/>
      <c r="X64442" s="45" t="n"/>
    </row>
    <row r="64443" ht="14.25" customHeight="1" s="192">
      <c r="W64443" s="228" t="n"/>
      <c r="X64443" s="228" t="n"/>
    </row>
    <row r="64444" ht="14.25" customHeight="1" s="192">
      <c r="W64444" s="228" t="n"/>
      <c r="X64444" s="228" t="n"/>
    </row>
    <row r="64445" ht="14.25" customHeight="1" s="192">
      <c r="W64445" s="231" t="n"/>
      <c r="X64445" s="231" t="n"/>
    </row>
    <row r="64446" ht="14.25" customHeight="1" s="192">
      <c r="W64446" s="33" t="n"/>
      <c r="X64446" s="33" t="n"/>
    </row>
    <row r="64447" ht="14.25" customHeight="1" s="192">
      <c r="W64447" s="231" t="n"/>
      <c r="X64447" s="231" t="n"/>
    </row>
    <row r="64448" ht="14.25" customHeight="1" s="192">
      <c r="W64448" s="33" t="n"/>
      <c r="X64448" s="33" t="n"/>
    </row>
    <row r="64450" ht="14.25" customHeight="1" s="192">
      <c r="W64450" s="231" t="n"/>
      <c r="X64450" s="231" t="n"/>
    </row>
    <row r="64451" ht="14.25" customHeight="1" s="192">
      <c r="W64451" s="235" t="n"/>
      <c r="X64451" s="235" t="n"/>
    </row>
    <row r="64452" ht="14.25" customHeight="1" s="192">
      <c r="W64452" s="228" t="n"/>
      <c r="X64452" s="228" t="n"/>
    </row>
    <row r="64453" ht="14.25" customHeight="1" s="192">
      <c r="W64453" s="235" t="n"/>
      <c r="X64453" s="235" t="n"/>
    </row>
    <row r="64454" ht="14.25" customHeight="1" s="192">
      <c r="W64454" s="235" t="n"/>
      <c r="X64454" s="235" t="n"/>
    </row>
    <row r="64455" ht="14.25" customHeight="1" s="192">
      <c r="W64455" s="235" t="n"/>
      <c r="X64455" s="235" t="n"/>
    </row>
    <row r="64456" ht="14.25" customHeight="1" s="192">
      <c r="W64456" s="239" t="n"/>
      <c r="X64456" s="239" t="n"/>
    </row>
    <row r="64457" ht="14.25" customHeight="1" s="192">
      <c r="W64457" s="239" t="n"/>
      <c r="X64457" s="239" t="n"/>
    </row>
    <row r="64458" ht="14.25" customHeight="1" s="192">
      <c r="W64458" s="239" t="n"/>
      <c r="X64458" s="239" t="n"/>
    </row>
    <row r="64459" ht="14.25" customHeight="1" s="192">
      <c r="W64459" s="235" t="n"/>
      <c r="X64459" s="235" t="n"/>
    </row>
    <row r="64460" ht="14.25" customHeight="1" s="192">
      <c r="W64460" s="235" t="n"/>
      <c r="X64460" s="235" t="n"/>
    </row>
    <row r="64461" ht="14.25" customHeight="1" s="192">
      <c r="W64461" s="235" t="n"/>
      <c r="X64461" s="235" t="n"/>
    </row>
    <row r="64462" ht="14.25" customHeight="1" s="192">
      <c r="W64462" s="239" t="n"/>
      <c r="X64462" s="239" t="n"/>
    </row>
    <row r="64463" ht="14.25" customHeight="1" s="192">
      <c r="W64463" s="239" t="n"/>
      <c r="X64463" s="239" t="n"/>
    </row>
    <row r="64464" ht="14.25" customHeight="1" s="192">
      <c r="W64464" s="235" t="n"/>
      <c r="X64464" s="235" t="n"/>
    </row>
    <row r="64465" ht="14.25" customHeight="1" s="192">
      <c r="W64465" s="235" t="n"/>
      <c r="X64465" s="235" t="n"/>
    </row>
    <row r="64466" ht="14.25" customHeight="1" s="192">
      <c r="W64466" s="239" t="n"/>
      <c r="X64466" s="239" t="n"/>
    </row>
    <row r="64467" ht="14.25" customHeight="1" s="192">
      <c r="W64467" s="235" t="n"/>
      <c r="X64467" s="235" t="n"/>
    </row>
    <row r="64468" ht="14.25" customHeight="1" s="192">
      <c r="W64468" s="239" t="n"/>
      <c r="X64468" s="239" t="n"/>
    </row>
    <row r="64470" ht="14.25" customHeight="1" s="192">
      <c r="W64470" s="235" t="n"/>
      <c r="X64470" s="235" t="n"/>
    </row>
    <row r="64471" ht="15" customHeight="1" s="192" thickBot="1">
      <c r="W64471" s="239" t="n"/>
      <c r="X64471" s="239" t="n"/>
    </row>
    <row r="64472" ht="15" customHeight="1" s="192" thickBot="1">
      <c r="W64472" s="45" t="n"/>
      <c r="X64472" s="45" t="n"/>
    </row>
    <row r="64473" ht="14.25" customHeight="1" s="192">
      <c r="W64473" s="228" t="n"/>
      <c r="X64473" s="228" t="n"/>
    </row>
    <row r="64474" ht="14.25" customHeight="1" s="192">
      <c r="W64474" s="228" t="n"/>
      <c r="X64474" s="228" t="n"/>
    </row>
    <row r="64475" ht="14.25" customHeight="1" s="192">
      <c r="W64475" s="231" t="n"/>
      <c r="X64475" s="231" t="n"/>
    </row>
    <row r="64476" ht="14.25" customHeight="1" s="192">
      <c r="W64476" s="33" t="n"/>
      <c r="X64476" s="33" t="n"/>
    </row>
    <row r="64477" ht="14.25" customHeight="1" s="192">
      <c r="W64477" s="231" t="n"/>
      <c r="X64477" s="231" t="n"/>
    </row>
    <row r="64478" ht="14.25" customHeight="1" s="192">
      <c r="W64478" s="33" t="n"/>
      <c r="X64478" s="33" t="n"/>
    </row>
    <row r="64480" ht="14.25" customHeight="1" s="192">
      <c r="W64480" s="231" t="n"/>
      <c r="X64480" s="231" t="n"/>
    </row>
    <row r="64481" ht="14.25" customHeight="1" s="192">
      <c r="W64481" s="235" t="n"/>
      <c r="X64481" s="235" t="n"/>
    </row>
    <row r="64482" ht="14.25" customHeight="1" s="192">
      <c r="W64482" s="228" t="n"/>
      <c r="X64482" s="228" t="n"/>
    </row>
    <row r="64483" ht="14.25" customHeight="1" s="192">
      <c r="W64483" s="235" t="n"/>
      <c r="X64483" s="235" t="n"/>
    </row>
    <row r="64484" ht="14.25" customHeight="1" s="192">
      <c r="W64484" s="235" t="n"/>
      <c r="X64484" s="235" t="n"/>
    </row>
    <row r="64485" ht="14.25" customHeight="1" s="192">
      <c r="W64485" s="235" t="n"/>
      <c r="X64485" s="235" t="n"/>
    </row>
    <row r="64486" ht="14.25" customHeight="1" s="192">
      <c r="W64486" s="239" t="n"/>
      <c r="X64486" s="239" t="n"/>
    </row>
    <row r="64487" ht="14.25" customHeight="1" s="192">
      <c r="W64487" s="239" t="n"/>
      <c r="X64487" s="239" t="n"/>
    </row>
    <row r="64488" ht="14.25" customHeight="1" s="192">
      <c r="W64488" s="239" t="n"/>
      <c r="X64488" s="239" t="n"/>
    </row>
    <row r="64489" ht="14.25" customHeight="1" s="192">
      <c r="W64489" s="235" t="n"/>
      <c r="X64489" s="235" t="n"/>
    </row>
    <row r="64490" ht="14.25" customHeight="1" s="192">
      <c r="W64490" s="235" t="n"/>
      <c r="X64490" s="235" t="n"/>
    </row>
    <row r="64491" ht="14.25" customHeight="1" s="192">
      <c r="W64491" s="235" t="n"/>
      <c r="X64491" s="235" t="n"/>
    </row>
    <row r="64492" ht="14.25" customHeight="1" s="192">
      <c r="W64492" s="239" t="n"/>
      <c r="X64492" s="239" t="n"/>
    </row>
    <row r="64493" ht="14.25" customHeight="1" s="192">
      <c r="W64493" s="239" t="n"/>
      <c r="X64493" s="239" t="n"/>
    </row>
    <row r="64494" ht="14.25" customHeight="1" s="192">
      <c r="W64494" s="235" t="n"/>
      <c r="X64494" s="235" t="n"/>
    </row>
    <row r="64495" ht="14.25" customHeight="1" s="192">
      <c r="W64495" s="235" t="n"/>
      <c r="X64495" s="235" t="n"/>
    </row>
    <row r="64496" ht="14.25" customHeight="1" s="192">
      <c r="W64496" s="239" t="n"/>
      <c r="X64496" s="239" t="n"/>
    </row>
    <row r="64497" ht="14.25" customHeight="1" s="192">
      <c r="W64497" s="235" t="n"/>
      <c r="X64497" s="235" t="n"/>
    </row>
    <row r="64498" ht="14.25" customHeight="1" s="192">
      <c r="W64498" s="239" t="n"/>
      <c r="X64498" s="239" t="n"/>
    </row>
    <row r="64500" ht="14.25" customHeight="1" s="192">
      <c r="W64500" s="235" t="n"/>
      <c r="X64500" s="235" t="n"/>
    </row>
    <row r="64501" ht="15" customHeight="1" s="192" thickBot="1">
      <c r="W64501" s="239" t="n"/>
      <c r="X64501" s="239" t="n"/>
    </row>
    <row r="64502" ht="15" customHeight="1" s="192" thickBot="1">
      <c r="W64502" s="45" t="n"/>
      <c r="X64502" s="45" t="n"/>
    </row>
    <row r="64503" ht="14.25" customHeight="1" s="192">
      <c r="W64503" s="228" t="n"/>
      <c r="X64503" s="228" t="n"/>
    </row>
    <row r="64504" ht="14.25" customHeight="1" s="192">
      <c r="W64504" s="228" t="n"/>
      <c r="X64504" s="228" t="n"/>
    </row>
    <row r="64505" ht="14.25" customHeight="1" s="192">
      <c r="W64505" s="231" t="n"/>
      <c r="X64505" s="231" t="n"/>
    </row>
    <row r="64506" ht="14.25" customHeight="1" s="192">
      <c r="W64506" s="33" t="n"/>
      <c r="X64506" s="33" t="n"/>
    </row>
    <row r="64507" ht="14.25" customHeight="1" s="192">
      <c r="W64507" s="231" t="n"/>
      <c r="X64507" s="231" t="n"/>
    </row>
    <row r="64508" ht="14.25" customHeight="1" s="192">
      <c r="W64508" s="33" t="n"/>
      <c r="X64508" s="33" t="n"/>
    </row>
    <row r="64510" ht="14.25" customHeight="1" s="192">
      <c r="W64510" s="231" t="n"/>
      <c r="X64510" s="231" t="n"/>
    </row>
    <row r="64511" ht="14.25" customHeight="1" s="192">
      <c r="W64511" s="235" t="n"/>
      <c r="X64511" s="235" t="n"/>
    </row>
    <row r="64512" ht="14.25" customHeight="1" s="192">
      <c r="W64512" s="228" t="n"/>
      <c r="X64512" s="228" t="n"/>
    </row>
    <row r="64513" ht="14.25" customHeight="1" s="192">
      <c r="W64513" s="235" t="n"/>
      <c r="X64513" s="235" t="n"/>
    </row>
    <row r="64514" ht="14.25" customHeight="1" s="192">
      <c r="W64514" s="235" t="n"/>
      <c r="X64514" s="235" t="n"/>
    </row>
    <row r="64515" ht="14.25" customHeight="1" s="192">
      <c r="W64515" s="235" t="n"/>
      <c r="X64515" s="235" t="n"/>
    </row>
    <row r="64516" ht="14.25" customHeight="1" s="192">
      <c r="W64516" s="239" t="n"/>
      <c r="X64516" s="239" t="n"/>
    </row>
    <row r="64517" ht="14.25" customHeight="1" s="192">
      <c r="W64517" s="239" t="n"/>
      <c r="X64517" s="239" t="n"/>
    </row>
    <row r="64518" ht="14.25" customHeight="1" s="192">
      <c r="W64518" s="239" t="n"/>
      <c r="X64518" s="239" t="n"/>
    </row>
    <row r="64519" ht="14.25" customHeight="1" s="192">
      <c r="W64519" s="235" t="n"/>
      <c r="X64519" s="235" t="n"/>
    </row>
    <row r="64520" ht="14.25" customHeight="1" s="192">
      <c r="W64520" s="235" t="n"/>
      <c r="X64520" s="235" t="n"/>
    </row>
    <row r="64521" ht="14.25" customHeight="1" s="192">
      <c r="W64521" s="235" t="n"/>
      <c r="X64521" s="235" t="n"/>
    </row>
    <row r="64522" ht="14.25" customHeight="1" s="192">
      <c r="W64522" s="239" t="n"/>
      <c r="X64522" s="239" t="n"/>
    </row>
    <row r="64523" ht="14.25" customHeight="1" s="192">
      <c r="W64523" s="239" t="n"/>
      <c r="X64523" s="239" t="n"/>
    </row>
    <row r="64524" ht="14.25" customHeight="1" s="192">
      <c r="W64524" s="235" t="n"/>
      <c r="X64524" s="235" t="n"/>
    </row>
    <row r="64525" ht="14.25" customHeight="1" s="192">
      <c r="W64525" s="235" t="n"/>
      <c r="X64525" s="235" t="n"/>
    </row>
    <row r="64526" ht="14.25" customHeight="1" s="192">
      <c r="W64526" s="239" t="n"/>
      <c r="X64526" s="239" t="n"/>
    </row>
    <row r="64527" ht="14.25" customHeight="1" s="192">
      <c r="W64527" s="235" t="n"/>
      <c r="X64527" s="235" t="n"/>
    </row>
    <row r="64528" ht="14.25" customHeight="1" s="192">
      <c r="W64528" s="239" t="n"/>
      <c r="X64528" s="239" t="n"/>
    </row>
    <row r="64530" ht="14.25" customHeight="1" s="192">
      <c r="W64530" s="235" t="n"/>
      <c r="X64530" s="235" t="n"/>
    </row>
    <row r="64531" ht="15" customHeight="1" s="192" thickBot="1">
      <c r="W64531" s="239" t="n"/>
      <c r="X64531" s="239" t="n"/>
    </row>
    <row r="64532" ht="15" customHeight="1" s="192" thickBot="1">
      <c r="W64532" s="45" t="n"/>
      <c r="X64532" s="45" t="n"/>
    </row>
    <row r="64533" ht="14.25" customHeight="1" s="192">
      <c r="W64533" s="228" t="n"/>
      <c r="X64533" s="228" t="n"/>
    </row>
    <row r="64534" ht="14.25" customHeight="1" s="192">
      <c r="W64534" s="228" t="n"/>
      <c r="X64534" s="228" t="n"/>
    </row>
    <row r="64535" ht="14.25" customHeight="1" s="192">
      <c r="W64535" s="231" t="n"/>
      <c r="X64535" s="231" t="n"/>
    </row>
    <row r="64536" ht="14.25" customHeight="1" s="192">
      <c r="W64536" s="33" t="n"/>
      <c r="X64536" s="33" t="n"/>
    </row>
    <row r="64537" ht="14.25" customHeight="1" s="192">
      <c r="W64537" s="231" t="n"/>
      <c r="X64537" s="231" t="n"/>
    </row>
    <row r="64538" ht="14.25" customHeight="1" s="192">
      <c r="W64538" s="33" t="n"/>
      <c r="X64538" s="33" t="n"/>
    </row>
    <row r="64540" ht="14.25" customHeight="1" s="192">
      <c r="W64540" s="231" t="n"/>
      <c r="X64540" s="231" t="n"/>
    </row>
    <row r="64541" ht="14.25" customHeight="1" s="192">
      <c r="W64541" s="235" t="n"/>
      <c r="X64541" s="235" t="n"/>
    </row>
    <row r="64542" ht="14.25" customHeight="1" s="192">
      <c r="W64542" s="228" t="n"/>
      <c r="X64542" s="228" t="n"/>
    </row>
    <row r="64543" ht="14.25" customHeight="1" s="192">
      <c r="W64543" s="235" t="n"/>
      <c r="X64543" s="235" t="n"/>
    </row>
    <row r="64544" ht="14.25" customHeight="1" s="192">
      <c r="W64544" s="235" t="n"/>
      <c r="X64544" s="235" t="n"/>
    </row>
    <row r="64545" ht="14.25" customHeight="1" s="192">
      <c r="W64545" s="235" t="n"/>
      <c r="X64545" s="235" t="n"/>
    </row>
    <row r="64546" ht="14.25" customHeight="1" s="192">
      <c r="W64546" s="239" t="n"/>
      <c r="X64546" s="239" t="n"/>
    </row>
    <row r="64547" ht="14.25" customHeight="1" s="192">
      <c r="W64547" s="239" t="n"/>
      <c r="X64547" s="239" t="n"/>
    </row>
    <row r="64548" ht="14.25" customHeight="1" s="192">
      <c r="W64548" s="239" t="n"/>
      <c r="X64548" s="239" t="n"/>
    </row>
    <row r="64549" ht="14.25" customHeight="1" s="192">
      <c r="W64549" s="235" t="n"/>
      <c r="X64549" s="235" t="n"/>
    </row>
    <row r="64550" ht="14.25" customHeight="1" s="192">
      <c r="W64550" s="235" t="n"/>
      <c r="X64550" s="235" t="n"/>
    </row>
    <row r="64551" ht="14.25" customHeight="1" s="192">
      <c r="W64551" s="235" t="n"/>
      <c r="X64551" s="235" t="n"/>
    </row>
    <row r="64552" ht="14.25" customHeight="1" s="192">
      <c r="W64552" s="239" t="n"/>
      <c r="X64552" s="239" t="n"/>
    </row>
    <row r="64553" ht="14.25" customHeight="1" s="192">
      <c r="W64553" s="239" t="n"/>
      <c r="X64553" s="239" t="n"/>
    </row>
    <row r="64554" ht="14.25" customHeight="1" s="192">
      <c r="W64554" s="235" t="n"/>
      <c r="X64554" s="235" t="n"/>
    </row>
    <row r="64555" ht="14.25" customHeight="1" s="192">
      <c r="W64555" s="235" t="n"/>
      <c r="X64555" s="235" t="n"/>
    </row>
    <row r="64556" ht="14.25" customHeight="1" s="192">
      <c r="W64556" s="239" t="n"/>
      <c r="X64556" s="239" t="n"/>
    </row>
    <row r="64557" ht="14.25" customHeight="1" s="192">
      <c r="W64557" s="235" t="n"/>
      <c r="X64557" s="235" t="n"/>
    </row>
    <row r="64558" ht="14.25" customHeight="1" s="192">
      <c r="W64558" s="239" t="n"/>
      <c r="X64558" s="239" t="n"/>
    </row>
    <row r="64560" ht="14.25" customHeight="1" s="192">
      <c r="W64560" s="235" t="n"/>
      <c r="X64560" s="235" t="n"/>
    </row>
    <row r="64561" ht="15" customHeight="1" s="192" thickBot="1">
      <c r="W64561" s="239" t="n"/>
      <c r="X64561" s="239" t="n"/>
    </row>
    <row r="64562" ht="15" customHeight="1" s="192" thickBot="1">
      <c r="W64562" s="45" t="n"/>
      <c r="X64562" s="45" t="n"/>
    </row>
    <row r="64563" ht="14.25" customHeight="1" s="192">
      <c r="W64563" s="228" t="n"/>
      <c r="X64563" s="228" t="n"/>
    </row>
    <row r="64564" ht="14.25" customHeight="1" s="192">
      <c r="W64564" s="228" t="n"/>
      <c r="X64564" s="228" t="n"/>
    </row>
    <row r="64565" ht="14.25" customHeight="1" s="192">
      <c r="W64565" s="231" t="n"/>
      <c r="X64565" s="231" t="n"/>
    </row>
    <row r="64566" ht="14.25" customHeight="1" s="192">
      <c r="W64566" s="33" t="n"/>
      <c r="X64566" s="33" t="n"/>
    </row>
    <row r="64567" ht="14.25" customHeight="1" s="192">
      <c r="W64567" s="231" t="n"/>
      <c r="X64567" s="231" t="n"/>
    </row>
    <row r="64568" ht="14.25" customHeight="1" s="192">
      <c r="W64568" s="33" t="n"/>
      <c r="X64568" s="33" t="n"/>
    </row>
    <row r="64570" ht="14.25" customHeight="1" s="192">
      <c r="W64570" s="231" t="n"/>
      <c r="X64570" s="231" t="n"/>
    </row>
    <row r="64571" ht="14.25" customHeight="1" s="192">
      <c r="W64571" s="235" t="n"/>
      <c r="X64571" s="235" t="n"/>
    </row>
    <row r="64572" ht="14.25" customHeight="1" s="192">
      <c r="W64572" s="228" t="n"/>
      <c r="X64572" s="228" t="n"/>
    </row>
    <row r="64573" ht="14.25" customHeight="1" s="192">
      <c r="W64573" s="235" t="n"/>
      <c r="X64573" s="235" t="n"/>
    </row>
    <row r="64574" ht="14.25" customHeight="1" s="192">
      <c r="W64574" s="235" t="n"/>
      <c r="X64574" s="235" t="n"/>
    </row>
    <row r="64575" ht="14.25" customHeight="1" s="192">
      <c r="W64575" s="235" t="n"/>
      <c r="X64575" s="235" t="n"/>
    </row>
    <row r="64576" ht="14.25" customHeight="1" s="192">
      <c r="W64576" s="239" t="n"/>
      <c r="X64576" s="239" t="n"/>
    </row>
    <row r="64577" ht="14.25" customHeight="1" s="192">
      <c r="W64577" s="239" t="n"/>
      <c r="X64577" s="239" t="n"/>
    </row>
    <row r="64578" ht="14.25" customHeight="1" s="192">
      <c r="W64578" s="239" t="n"/>
      <c r="X64578" s="239" t="n"/>
    </row>
    <row r="64579" ht="14.25" customHeight="1" s="192">
      <c r="W64579" s="235" t="n"/>
      <c r="X64579" s="235" t="n"/>
    </row>
    <row r="64580" ht="14.25" customHeight="1" s="192">
      <c r="W64580" s="235" t="n"/>
      <c r="X64580" s="235" t="n"/>
    </row>
    <row r="64581" ht="14.25" customHeight="1" s="192">
      <c r="W64581" s="235" t="n"/>
      <c r="X64581" s="235" t="n"/>
    </row>
    <row r="64582" ht="14.25" customHeight="1" s="192">
      <c r="W64582" s="239" t="n"/>
      <c r="X64582" s="239" t="n"/>
    </row>
    <row r="64583" ht="14.25" customHeight="1" s="192">
      <c r="W64583" s="239" t="n"/>
      <c r="X64583" s="239" t="n"/>
    </row>
    <row r="64584" ht="14.25" customHeight="1" s="192">
      <c r="W64584" s="235" t="n"/>
      <c r="X64584" s="235" t="n"/>
    </row>
    <row r="64585" ht="14.25" customHeight="1" s="192">
      <c r="W64585" s="235" t="n"/>
      <c r="X64585" s="235" t="n"/>
    </row>
    <row r="64586" ht="14.25" customHeight="1" s="192">
      <c r="W64586" s="239" t="n"/>
      <c r="X64586" s="239" t="n"/>
    </row>
    <row r="64587" ht="14.25" customHeight="1" s="192">
      <c r="W64587" s="235" t="n"/>
      <c r="X64587" s="235" t="n"/>
    </row>
    <row r="64588" ht="14.25" customHeight="1" s="192">
      <c r="W64588" s="239" t="n"/>
      <c r="X64588" s="239" t="n"/>
    </row>
    <row r="64590" ht="14.25" customHeight="1" s="192">
      <c r="W64590" s="235" t="n"/>
      <c r="X64590" s="235" t="n"/>
    </row>
    <row r="64591" ht="15" customHeight="1" s="192" thickBot="1">
      <c r="W64591" s="239" t="n"/>
      <c r="X64591" s="239" t="n"/>
    </row>
    <row r="64592" ht="15" customHeight="1" s="192" thickBot="1">
      <c r="W64592" s="45" t="n"/>
      <c r="X64592" s="45" t="n"/>
    </row>
    <row r="64593" ht="14.25" customHeight="1" s="192">
      <c r="W64593" s="228" t="n"/>
      <c r="X64593" s="228" t="n"/>
    </row>
    <row r="64594" ht="14.25" customHeight="1" s="192">
      <c r="W64594" s="228" t="n"/>
      <c r="X64594" s="228" t="n"/>
    </row>
    <row r="64595" ht="14.25" customHeight="1" s="192">
      <c r="W64595" s="231" t="n"/>
      <c r="X64595" s="231" t="n"/>
    </row>
    <row r="64596" ht="14.25" customHeight="1" s="192">
      <c r="W64596" s="33" t="n"/>
      <c r="X64596" s="33" t="n"/>
    </row>
    <row r="64597" ht="14.25" customHeight="1" s="192">
      <c r="W64597" s="231" t="n"/>
      <c r="X64597" s="231" t="n"/>
    </row>
    <row r="64598" ht="14.25" customHeight="1" s="192">
      <c r="W64598" s="33" t="n"/>
      <c r="X64598" s="33" t="n"/>
    </row>
    <row r="64600" ht="14.25" customHeight="1" s="192">
      <c r="W64600" s="231" t="n"/>
      <c r="X64600" s="231" t="n"/>
    </row>
    <row r="64601" ht="14.25" customHeight="1" s="192">
      <c r="W64601" s="235" t="n"/>
      <c r="X64601" s="235" t="n"/>
    </row>
    <row r="64602" ht="14.25" customHeight="1" s="192">
      <c r="W64602" s="228" t="n"/>
      <c r="X64602" s="228" t="n"/>
    </row>
    <row r="64603" ht="14.25" customHeight="1" s="192">
      <c r="W64603" s="235" t="n"/>
      <c r="X64603" s="235" t="n"/>
    </row>
    <row r="64604" ht="14.25" customHeight="1" s="192">
      <c r="W64604" s="235" t="n"/>
      <c r="X64604" s="235" t="n"/>
    </row>
    <row r="64605" ht="14.25" customHeight="1" s="192">
      <c r="W64605" s="235" t="n"/>
      <c r="X64605" s="235" t="n"/>
    </row>
    <row r="64606" ht="14.25" customHeight="1" s="192">
      <c r="W64606" s="239" t="n"/>
      <c r="X64606" s="239" t="n"/>
    </row>
    <row r="64607" ht="14.25" customHeight="1" s="192">
      <c r="W64607" s="239" t="n"/>
      <c r="X64607" s="239" t="n"/>
    </row>
    <row r="64608" ht="14.25" customHeight="1" s="192">
      <c r="W64608" s="239" t="n"/>
      <c r="X64608" s="239" t="n"/>
    </row>
    <row r="64609" ht="14.25" customHeight="1" s="192">
      <c r="W64609" s="235" t="n"/>
      <c r="X64609" s="235" t="n"/>
    </row>
    <row r="64610" ht="14.25" customHeight="1" s="192">
      <c r="W64610" s="235" t="n"/>
      <c r="X64610" s="235" t="n"/>
    </row>
    <row r="64611" ht="14.25" customHeight="1" s="192">
      <c r="W64611" s="235" t="n"/>
      <c r="X64611" s="235" t="n"/>
    </row>
    <row r="64612" ht="14.25" customHeight="1" s="192">
      <c r="W64612" s="239" t="n"/>
      <c r="X64612" s="239" t="n"/>
    </row>
    <row r="64613" ht="14.25" customHeight="1" s="192">
      <c r="W64613" s="239" t="n"/>
      <c r="X64613" s="239" t="n"/>
    </row>
    <row r="64614" ht="14.25" customHeight="1" s="192">
      <c r="W64614" s="235" t="n"/>
      <c r="X64614" s="235" t="n"/>
    </row>
    <row r="64615" ht="14.25" customHeight="1" s="192">
      <c r="W64615" s="235" t="n"/>
      <c r="X64615" s="235" t="n"/>
    </row>
    <row r="64616" ht="14.25" customHeight="1" s="192">
      <c r="W64616" s="239" t="n"/>
      <c r="X64616" s="239" t="n"/>
    </row>
    <row r="64617" ht="14.25" customHeight="1" s="192">
      <c r="W64617" s="235" t="n"/>
      <c r="X64617" s="235" t="n"/>
    </row>
    <row r="64618" ht="14.25" customHeight="1" s="192">
      <c r="W64618" s="239" t="n"/>
      <c r="X64618" s="239" t="n"/>
    </row>
    <row r="64620" ht="14.25" customHeight="1" s="192">
      <c r="W64620" s="235" t="n"/>
      <c r="X64620" s="235" t="n"/>
    </row>
    <row r="64621" ht="15" customHeight="1" s="192" thickBot="1">
      <c r="W64621" s="239" t="n"/>
      <c r="X64621" s="239" t="n"/>
    </row>
    <row r="64622" ht="15" customHeight="1" s="192" thickBot="1">
      <c r="W64622" s="45" t="n"/>
      <c r="X64622" s="45" t="n"/>
    </row>
    <row r="64623" ht="14.25" customHeight="1" s="192">
      <c r="W64623" s="228" t="n"/>
      <c r="X64623" s="228" t="n"/>
    </row>
    <row r="64624" ht="14.25" customHeight="1" s="192">
      <c r="W64624" s="228" t="n"/>
      <c r="X64624" s="228" t="n"/>
    </row>
    <row r="64625" ht="14.25" customHeight="1" s="192">
      <c r="W64625" s="231" t="n"/>
      <c r="X64625" s="231" t="n"/>
    </row>
    <row r="64626" ht="14.25" customHeight="1" s="192">
      <c r="W64626" s="33" t="n"/>
      <c r="X64626" s="33" t="n"/>
    </row>
    <row r="64627" ht="14.25" customHeight="1" s="192">
      <c r="W64627" s="231" t="n"/>
      <c r="X64627" s="231" t="n"/>
    </row>
    <row r="64628" ht="14.25" customHeight="1" s="192">
      <c r="W64628" s="33" t="n"/>
      <c r="X64628" s="33" t="n"/>
    </row>
    <row r="64630" ht="14.25" customHeight="1" s="192">
      <c r="W64630" s="231" t="n"/>
      <c r="X64630" s="231" t="n"/>
    </row>
    <row r="64631" ht="14.25" customHeight="1" s="192">
      <c r="W64631" s="235" t="n"/>
      <c r="X64631" s="235" t="n"/>
    </row>
    <row r="64632" ht="14.25" customHeight="1" s="192">
      <c r="W64632" s="228" t="n"/>
      <c r="X64632" s="228" t="n"/>
    </row>
    <row r="64633" ht="14.25" customHeight="1" s="192">
      <c r="W64633" s="235" t="n"/>
      <c r="X64633" s="235" t="n"/>
    </row>
    <row r="64634" ht="14.25" customHeight="1" s="192">
      <c r="W64634" s="235" t="n"/>
      <c r="X64634" s="235" t="n"/>
    </row>
    <row r="64635" ht="14.25" customHeight="1" s="192">
      <c r="W64635" s="235" t="n"/>
      <c r="X64635" s="235" t="n"/>
    </row>
    <row r="64636" ht="14.25" customHeight="1" s="192">
      <c r="W64636" s="239" t="n"/>
      <c r="X64636" s="239" t="n"/>
    </row>
    <row r="64637" ht="14.25" customHeight="1" s="192">
      <c r="W64637" s="239" t="n"/>
      <c r="X64637" s="239" t="n"/>
    </row>
    <row r="64638" ht="14.25" customHeight="1" s="192">
      <c r="W64638" s="239" t="n"/>
      <c r="X64638" s="239" t="n"/>
    </row>
    <row r="64639" ht="14.25" customHeight="1" s="192">
      <c r="W64639" s="235" t="n"/>
      <c r="X64639" s="235" t="n"/>
    </row>
    <row r="64640" ht="14.25" customHeight="1" s="192">
      <c r="W64640" s="235" t="n"/>
      <c r="X64640" s="235" t="n"/>
    </row>
    <row r="64641" ht="14.25" customHeight="1" s="192">
      <c r="W64641" s="235" t="n"/>
      <c r="X64641" s="235" t="n"/>
    </row>
    <row r="64642" ht="14.25" customHeight="1" s="192">
      <c r="W64642" s="239" t="n"/>
      <c r="X64642" s="239" t="n"/>
    </row>
    <row r="64643" ht="14.25" customHeight="1" s="192">
      <c r="W64643" s="239" t="n"/>
      <c r="X64643" s="239" t="n"/>
    </row>
    <row r="64644" ht="14.25" customHeight="1" s="192">
      <c r="W64644" s="235" t="n"/>
      <c r="X64644" s="235" t="n"/>
    </row>
    <row r="64645" ht="14.25" customHeight="1" s="192">
      <c r="W64645" s="235" t="n"/>
      <c r="X64645" s="235" t="n"/>
    </row>
    <row r="64646" ht="14.25" customHeight="1" s="192">
      <c r="W64646" s="239" t="n"/>
      <c r="X64646" s="239" t="n"/>
    </row>
    <row r="64647" ht="14.25" customHeight="1" s="192">
      <c r="W64647" s="235" t="n"/>
      <c r="X64647" s="235" t="n"/>
    </row>
    <row r="64648" ht="14.25" customHeight="1" s="192">
      <c r="W64648" s="239" t="n"/>
      <c r="X64648" s="239" t="n"/>
    </row>
    <row r="64650" ht="14.25" customHeight="1" s="192">
      <c r="W64650" s="235" t="n"/>
      <c r="X64650" s="235" t="n"/>
    </row>
    <row r="64651" ht="15" customHeight="1" s="192" thickBot="1">
      <c r="W64651" s="239" t="n"/>
      <c r="X64651" s="239" t="n"/>
    </row>
    <row r="64652" ht="15" customHeight="1" s="192" thickBot="1">
      <c r="W64652" s="45" t="n"/>
      <c r="X64652" s="45" t="n"/>
    </row>
    <row r="64653" ht="14.25" customHeight="1" s="192">
      <c r="W64653" s="228" t="n"/>
      <c r="X64653" s="228" t="n"/>
    </row>
    <row r="64654" ht="14.25" customHeight="1" s="192">
      <c r="W64654" s="228" t="n"/>
      <c r="X64654" s="228" t="n"/>
    </row>
    <row r="64655" ht="14.25" customHeight="1" s="192">
      <c r="W64655" s="231" t="n"/>
      <c r="X64655" s="231" t="n"/>
    </row>
    <row r="64656" ht="14.25" customHeight="1" s="192">
      <c r="W64656" s="33" t="n"/>
      <c r="X64656" s="33" t="n"/>
    </row>
    <row r="64657" ht="14.25" customHeight="1" s="192">
      <c r="W64657" s="231" t="n"/>
      <c r="X64657" s="231" t="n"/>
    </row>
    <row r="64658" ht="14.25" customHeight="1" s="192">
      <c r="W64658" s="33" t="n"/>
      <c r="X64658" s="33" t="n"/>
    </row>
    <row r="64660" ht="14.25" customHeight="1" s="192">
      <c r="W64660" s="231" t="n"/>
      <c r="X64660" s="231" t="n"/>
    </row>
    <row r="64661" ht="14.25" customHeight="1" s="192">
      <c r="W64661" s="235" t="n"/>
      <c r="X64661" s="235" t="n"/>
    </row>
    <row r="64662" ht="14.25" customHeight="1" s="192">
      <c r="W64662" s="228" t="n"/>
      <c r="X64662" s="228" t="n"/>
    </row>
    <row r="64663" ht="14.25" customHeight="1" s="192">
      <c r="W64663" s="235" t="n"/>
      <c r="X64663" s="235" t="n"/>
    </row>
    <row r="64664" ht="14.25" customHeight="1" s="192">
      <c r="W64664" s="235" t="n"/>
      <c r="X64664" s="235" t="n"/>
    </row>
    <row r="64665" ht="14.25" customHeight="1" s="192">
      <c r="W64665" s="235" t="n"/>
      <c r="X64665" s="235" t="n"/>
    </row>
    <row r="64666" ht="14.25" customHeight="1" s="192">
      <c r="W64666" s="239" t="n"/>
      <c r="X64666" s="239" t="n"/>
    </row>
    <row r="64667" ht="14.25" customHeight="1" s="192">
      <c r="W64667" s="239" t="n"/>
      <c r="X64667" s="239" t="n"/>
    </row>
    <row r="64668" ht="14.25" customHeight="1" s="192">
      <c r="W64668" s="239" t="n"/>
      <c r="X64668" s="239" t="n"/>
    </row>
    <row r="64669" ht="14.25" customHeight="1" s="192">
      <c r="W64669" s="235" t="n"/>
      <c r="X64669" s="235" t="n"/>
    </row>
    <row r="64670" ht="14.25" customHeight="1" s="192">
      <c r="W64670" s="235" t="n"/>
      <c r="X64670" s="235" t="n"/>
    </row>
    <row r="64671" ht="14.25" customHeight="1" s="192">
      <c r="W64671" s="235" t="n"/>
      <c r="X64671" s="235" t="n"/>
    </row>
    <row r="64672" ht="14.25" customHeight="1" s="192">
      <c r="W64672" s="239" t="n"/>
      <c r="X64672" s="239" t="n"/>
    </row>
    <row r="64673" ht="14.25" customHeight="1" s="192">
      <c r="W64673" s="239" t="n"/>
      <c r="X64673" s="239" t="n"/>
    </row>
    <row r="64674" ht="14.25" customHeight="1" s="192">
      <c r="W64674" s="235" t="n"/>
      <c r="X64674" s="235" t="n"/>
    </row>
    <row r="64675" ht="14.25" customHeight="1" s="192">
      <c r="W64675" s="235" t="n"/>
      <c r="X64675" s="235" t="n"/>
    </row>
    <row r="64676" ht="14.25" customHeight="1" s="192">
      <c r="W64676" s="239" t="n"/>
      <c r="X64676" s="239" t="n"/>
    </row>
    <row r="64677" ht="14.25" customHeight="1" s="192">
      <c r="W64677" s="235" t="n"/>
      <c r="X64677" s="235" t="n"/>
    </row>
    <row r="64678" ht="14.25" customHeight="1" s="192">
      <c r="W64678" s="239" t="n"/>
      <c r="X64678" s="239" t="n"/>
    </row>
    <row r="64680" ht="14.25" customHeight="1" s="192">
      <c r="W64680" s="235" t="n"/>
      <c r="X64680" s="235" t="n"/>
    </row>
    <row r="64681" ht="15" customHeight="1" s="192" thickBot="1">
      <c r="W64681" s="239" t="n"/>
      <c r="X64681" s="239" t="n"/>
    </row>
    <row r="64682" ht="15" customHeight="1" s="192" thickBot="1">
      <c r="W64682" s="45" t="n"/>
      <c r="X64682" s="45" t="n"/>
    </row>
    <row r="64683" ht="14.25" customHeight="1" s="192">
      <c r="W64683" s="228" t="n"/>
      <c r="X64683" s="228" t="n"/>
    </row>
    <row r="64684" ht="14.25" customHeight="1" s="192">
      <c r="W64684" s="228" t="n"/>
      <c r="X64684" s="228" t="n"/>
    </row>
    <row r="64685" ht="14.25" customHeight="1" s="192">
      <c r="W64685" s="231" t="n"/>
      <c r="X64685" s="231" t="n"/>
    </row>
    <row r="64686" ht="14.25" customHeight="1" s="192">
      <c r="W64686" s="33" t="n"/>
      <c r="X64686" s="33" t="n"/>
    </row>
    <row r="64687" ht="14.25" customHeight="1" s="192">
      <c r="W64687" s="231" t="n"/>
      <c r="X64687" s="231" t="n"/>
    </row>
    <row r="64688" ht="14.25" customHeight="1" s="192">
      <c r="W64688" s="33" t="n"/>
      <c r="X64688" s="33" t="n"/>
    </row>
    <row r="64690" ht="14.25" customHeight="1" s="192">
      <c r="W64690" s="231" t="n"/>
      <c r="X64690" s="231" t="n"/>
    </row>
    <row r="64691" ht="14.25" customHeight="1" s="192">
      <c r="W64691" s="235" t="n"/>
      <c r="X64691" s="235" t="n"/>
    </row>
    <row r="64692" ht="14.25" customHeight="1" s="192">
      <c r="W64692" s="228" t="n"/>
      <c r="X64692" s="228" t="n"/>
    </row>
    <row r="64693" ht="14.25" customHeight="1" s="192">
      <c r="W64693" s="235" t="n"/>
      <c r="X64693" s="235" t="n"/>
    </row>
    <row r="64694" ht="14.25" customHeight="1" s="192">
      <c r="W64694" s="235" t="n"/>
      <c r="X64694" s="235" t="n"/>
    </row>
    <row r="64695" ht="14.25" customHeight="1" s="192">
      <c r="W64695" s="235" t="n"/>
      <c r="X64695" s="235" t="n"/>
    </row>
    <row r="64696" ht="14.25" customHeight="1" s="192">
      <c r="W64696" s="239" t="n"/>
      <c r="X64696" s="239" t="n"/>
    </row>
    <row r="64697" ht="14.25" customHeight="1" s="192">
      <c r="W64697" s="239" t="n"/>
      <c r="X64697" s="239" t="n"/>
    </row>
    <row r="64698" ht="14.25" customHeight="1" s="192">
      <c r="W64698" s="239" t="n"/>
      <c r="X64698" s="239" t="n"/>
    </row>
    <row r="64699" ht="14.25" customHeight="1" s="192">
      <c r="W64699" s="235" t="n"/>
      <c r="X64699" s="235" t="n"/>
    </row>
    <row r="64700" ht="14.25" customHeight="1" s="192">
      <c r="W64700" s="235" t="n"/>
      <c r="X64700" s="235" t="n"/>
    </row>
    <row r="64701" ht="14.25" customHeight="1" s="192">
      <c r="W64701" s="235" t="n"/>
      <c r="X64701" s="235" t="n"/>
    </row>
    <row r="64702" ht="14.25" customHeight="1" s="192">
      <c r="W64702" s="239" t="n"/>
      <c r="X64702" s="239" t="n"/>
    </row>
    <row r="64703" ht="14.25" customHeight="1" s="192">
      <c r="W64703" s="239" t="n"/>
      <c r="X64703" s="239" t="n"/>
    </row>
    <row r="64704" ht="14.25" customHeight="1" s="192">
      <c r="W64704" s="235" t="n"/>
      <c r="X64704" s="235" t="n"/>
    </row>
    <row r="64705" ht="14.25" customHeight="1" s="192">
      <c r="W64705" s="235" t="n"/>
      <c r="X64705" s="235" t="n"/>
    </row>
    <row r="64706" ht="14.25" customHeight="1" s="192">
      <c r="W64706" s="239" t="n"/>
      <c r="X64706" s="239" t="n"/>
    </row>
    <row r="64707" ht="14.25" customHeight="1" s="192">
      <c r="W64707" s="235" t="n"/>
      <c r="X64707" s="235" t="n"/>
    </row>
    <row r="64708" ht="14.25" customHeight="1" s="192">
      <c r="W64708" s="239" t="n"/>
      <c r="X64708" s="239" t="n"/>
    </row>
    <row r="64710" ht="14.25" customHeight="1" s="192">
      <c r="W64710" s="235" t="n"/>
      <c r="X64710" s="235" t="n"/>
    </row>
    <row r="64711" ht="15" customHeight="1" s="192" thickBot="1">
      <c r="W64711" s="239" t="n"/>
      <c r="X64711" s="239" t="n"/>
    </row>
    <row r="64712" ht="15" customHeight="1" s="192" thickBot="1">
      <c r="W64712" s="45" t="n"/>
      <c r="X64712" s="45" t="n"/>
    </row>
    <row r="64713" ht="14.25" customHeight="1" s="192">
      <c r="W64713" s="228" t="n"/>
      <c r="X64713" s="228" t="n"/>
    </row>
    <row r="64714" ht="14.25" customHeight="1" s="192">
      <c r="W64714" s="228" t="n"/>
      <c r="X64714" s="228" t="n"/>
    </row>
    <row r="64715" ht="14.25" customHeight="1" s="192">
      <c r="W64715" s="231" t="n"/>
      <c r="X64715" s="231" t="n"/>
    </row>
    <row r="64716" ht="14.25" customHeight="1" s="192">
      <c r="W64716" s="33" t="n"/>
      <c r="X64716" s="33" t="n"/>
    </row>
    <row r="64717" ht="14.25" customHeight="1" s="192">
      <c r="W64717" s="231" t="n"/>
      <c r="X64717" s="231" t="n"/>
    </row>
    <row r="64718" ht="14.25" customHeight="1" s="192">
      <c r="W64718" s="33" t="n"/>
      <c r="X64718" s="33" t="n"/>
    </row>
    <row r="64720" ht="14.25" customHeight="1" s="192">
      <c r="W64720" s="231" t="n"/>
      <c r="X64720" s="231" t="n"/>
    </row>
    <row r="64721" ht="14.25" customHeight="1" s="192">
      <c r="W64721" s="235" t="n"/>
      <c r="X64721" s="235" t="n"/>
    </row>
    <row r="64722" ht="14.25" customHeight="1" s="192">
      <c r="W64722" s="228" t="n"/>
      <c r="X64722" s="228" t="n"/>
    </row>
    <row r="64723" ht="14.25" customHeight="1" s="192">
      <c r="W64723" s="235" t="n"/>
      <c r="X64723" s="235" t="n"/>
    </row>
    <row r="64724" ht="14.25" customHeight="1" s="192">
      <c r="W64724" s="235" t="n"/>
      <c r="X64724" s="235" t="n"/>
    </row>
    <row r="64725" ht="14.25" customHeight="1" s="192">
      <c r="W64725" s="235" t="n"/>
      <c r="X64725" s="235" t="n"/>
    </row>
    <row r="64726" ht="14.25" customHeight="1" s="192">
      <c r="W64726" s="239" t="n"/>
      <c r="X64726" s="239" t="n"/>
    </row>
    <row r="64727" ht="14.25" customHeight="1" s="192">
      <c r="W64727" s="239" t="n"/>
      <c r="X64727" s="239" t="n"/>
    </row>
    <row r="64728" ht="14.25" customHeight="1" s="192">
      <c r="W64728" s="239" t="n"/>
      <c r="X64728" s="239" t="n"/>
    </row>
    <row r="64729" ht="14.25" customHeight="1" s="192">
      <c r="W64729" s="235" t="n"/>
      <c r="X64729" s="235" t="n"/>
    </row>
    <row r="64730" ht="14.25" customHeight="1" s="192">
      <c r="W64730" s="235" t="n"/>
      <c r="X64730" s="235" t="n"/>
    </row>
    <row r="64731" ht="14.25" customHeight="1" s="192">
      <c r="W64731" s="235" t="n"/>
      <c r="X64731" s="235" t="n"/>
    </row>
    <row r="64732" ht="14.25" customHeight="1" s="192">
      <c r="W64732" s="239" t="n"/>
      <c r="X64732" s="239" t="n"/>
    </row>
    <row r="64733" ht="14.25" customHeight="1" s="192">
      <c r="W64733" s="239" t="n"/>
      <c r="X64733" s="239" t="n"/>
    </row>
    <row r="64734" ht="14.25" customHeight="1" s="192">
      <c r="W64734" s="235" t="n"/>
      <c r="X64734" s="235" t="n"/>
    </row>
    <row r="64735" ht="14.25" customHeight="1" s="192">
      <c r="W64735" s="235" t="n"/>
      <c r="X64735" s="235" t="n"/>
    </row>
    <row r="64736" ht="14.25" customHeight="1" s="192">
      <c r="W64736" s="239" t="n"/>
      <c r="X64736" s="239" t="n"/>
    </row>
    <row r="64737" ht="14.25" customHeight="1" s="192">
      <c r="W64737" s="235" t="n"/>
      <c r="X64737" s="235" t="n"/>
    </row>
    <row r="64738" ht="14.25" customHeight="1" s="192">
      <c r="W64738" s="239" t="n"/>
      <c r="X64738" s="239" t="n"/>
    </row>
    <row r="64740" ht="14.25" customHeight="1" s="192">
      <c r="W64740" s="235" t="n"/>
      <c r="X64740" s="235" t="n"/>
    </row>
    <row r="64741" ht="15" customHeight="1" s="192" thickBot="1">
      <c r="W64741" s="239" t="n"/>
      <c r="X64741" s="239" t="n"/>
    </row>
    <row r="64742" ht="15" customHeight="1" s="192" thickBot="1">
      <c r="W64742" s="45" t="n"/>
      <c r="X64742" s="45" t="n"/>
    </row>
    <row r="64743" ht="14.25" customHeight="1" s="192">
      <c r="W64743" s="228" t="n"/>
      <c r="X64743" s="228" t="n"/>
    </row>
    <row r="64744" ht="14.25" customHeight="1" s="192">
      <c r="W64744" s="228" t="n"/>
      <c r="X64744" s="228" t="n"/>
    </row>
    <row r="64745" ht="14.25" customHeight="1" s="192">
      <c r="W64745" s="231" t="n"/>
      <c r="X64745" s="231" t="n"/>
    </row>
    <row r="64746" ht="14.25" customHeight="1" s="192">
      <c r="W64746" s="33" t="n"/>
      <c r="X64746" s="33" t="n"/>
    </row>
    <row r="64747" ht="14.25" customHeight="1" s="192">
      <c r="W64747" s="231" t="n"/>
      <c r="X64747" s="231" t="n"/>
    </row>
    <row r="64748" ht="14.25" customHeight="1" s="192">
      <c r="W64748" s="33" t="n"/>
      <c r="X64748" s="33" t="n"/>
    </row>
    <row r="64750" ht="14.25" customHeight="1" s="192">
      <c r="W64750" s="231" t="n"/>
      <c r="X64750" s="231" t="n"/>
    </row>
    <row r="64751" ht="14.25" customHeight="1" s="192">
      <c r="W64751" s="235" t="n"/>
      <c r="X64751" s="235" t="n"/>
    </row>
    <row r="64752" ht="14.25" customHeight="1" s="192">
      <c r="W64752" s="228" t="n"/>
      <c r="X64752" s="228" t="n"/>
    </row>
    <row r="64753" ht="14.25" customHeight="1" s="192">
      <c r="W64753" s="235" t="n"/>
      <c r="X64753" s="235" t="n"/>
    </row>
    <row r="64754" ht="14.25" customHeight="1" s="192">
      <c r="W64754" s="235" t="n"/>
      <c r="X64754" s="235" t="n"/>
    </row>
    <row r="64755" ht="14.25" customHeight="1" s="192">
      <c r="W64755" s="235" t="n"/>
      <c r="X64755" s="235" t="n"/>
    </row>
    <row r="64756" ht="14.25" customHeight="1" s="192">
      <c r="W64756" s="239" t="n"/>
      <c r="X64756" s="239" t="n"/>
    </row>
    <row r="64757" ht="14.25" customHeight="1" s="192">
      <c r="W64757" s="239" t="n"/>
      <c r="X64757" s="239" t="n"/>
    </row>
    <row r="64758" ht="14.25" customHeight="1" s="192">
      <c r="W64758" s="239" t="n"/>
      <c r="X64758" s="239" t="n"/>
    </row>
    <row r="64759" ht="14.25" customHeight="1" s="192">
      <c r="W64759" s="235" t="n"/>
      <c r="X64759" s="235" t="n"/>
    </row>
    <row r="64760" ht="14.25" customHeight="1" s="192">
      <c r="W64760" s="235" t="n"/>
      <c r="X64760" s="235" t="n"/>
    </row>
    <row r="64761" ht="14.25" customHeight="1" s="192">
      <c r="W64761" s="235" t="n"/>
      <c r="X64761" s="235" t="n"/>
    </row>
    <row r="64762" ht="14.25" customHeight="1" s="192">
      <c r="W64762" s="239" t="n"/>
      <c r="X64762" s="239" t="n"/>
    </row>
    <row r="64763" ht="14.25" customHeight="1" s="192">
      <c r="W64763" s="239" t="n"/>
      <c r="X64763" s="239" t="n"/>
    </row>
    <row r="64764" ht="14.25" customHeight="1" s="192">
      <c r="W64764" s="235" t="n"/>
      <c r="X64764" s="235" t="n"/>
    </row>
    <row r="64765" ht="14.25" customHeight="1" s="192">
      <c r="W64765" s="235" t="n"/>
      <c r="X64765" s="235" t="n"/>
    </row>
    <row r="64766" ht="14.25" customHeight="1" s="192">
      <c r="W64766" s="239" t="n"/>
      <c r="X64766" s="239" t="n"/>
    </row>
    <row r="64767" ht="14.25" customHeight="1" s="192">
      <c r="W64767" s="235" t="n"/>
      <c r="X64767" s="235" t="n"/>
    </row>
    <row r="64768" ht="14.25" customHeight="1" s="192">
      <c r="W64768" s="239" t="n"/>
      <c r="X64768" s="239" t="n"/>
    </row>
    <row r="64770" ht="14.25" customHeight="1" s="192">
      <c r="W64770" s="235" t="n"/>
      <c r="X64770" s="235" t="n"/>
    </row>
    <row r="64771" ht="15" customHeight="1" s="192" thickBot="1">
      <c r="W64771" s="239" t="n"/>
      <c r="X64771" s="239" t="n"/>
    </row>
    <row r="64772" ht="15" customHeight="1" s="192" thickBot="1">
      <c r="W64772" s="45" t="n"/>
      <c r="X64772" s="45" t="n"/>
    </row>
    <row r="64773" ht="14.25" customHeight="1" s="192">
      <c r="W64773" s="228" t="n"/>
      <c r="X64773" s="228" t="n"/>
    </row>
    <row r="64774" ht="14.25" customHeight="1" s="192">
      <c r="W64774" s="228" t="n"/>
      <c r="X64774" s="228" t="n"/>
    </row>
    <row r="64775" ht="14.25" customHeight="1" s="192">
      <c r="W64775" s="231" t="n"/>
      <c r="X64775" s="231" t="n"/>
    </row>
    <row r="64776" ht="14.25" customHeight="1" s="192">
      <c r="W64776" s="33" t="n"/>
      <c r="X64776" s="33" t="n"/>
    </row>
    <row r="64777" ht="14.25" customHeight="1" s="192">
      <c r="W64777" s="231" t="n"/>
      <c r="X64777" s="231" t="n"/>
    </row>
    <row r="64778" ht="14.25" customHeight="1" s="192">
      <c r="W64778" s="33" t="n"/>
      <c r="X64778" s="33" t="n"/>
    </row>
    <row r="64780" ht="14.25" customHeight="1" s="192">
      <c r="W64780" s="231" t="n"/>
      <c r="X64780" s="231" t="n"/>
    </row>
    <row r="64781" ht="14.25" customHeight="1" s="192">
      <c r="W64781" s="235" t="n"/>
      <c r="X64781" s="235" t="n"/>
    </row>
    <row r="64782" ht="14.25" customHeight="1" s="192">
      <c r="W64782" s="228" t="n"/>
      <c r="X64782" s="228" t="n"/>
    </row>
    <row r="64783" ht="14.25" customHeight="1" s="192">
      <c r="W64783" s="235" t="n"/>
      <c r="X64783" s="235" t="n"/>
    </row>
    <row r="64784" ht="14.25" customHeight="1" s="192">
      <c r="W64784" s="235" t="n"/>
      <c r="X64784" s="235" t="n"/>
    </row>
    <row r="64785" ht="14.25" customHeight="1" s="192">
      <c r="W64785" s="235" t="n"/>
      <c r="X64785" s="235" t="n"/>
    </row>
    <row r="64786" ht="14.25" customHeight="1" s="192">
      <c r="W64786" s="239" t="n"/>
      <c r="X64786" s="239" t="n"/>
    </row>
    <row r="64787" ht="14.25" customHeight="1" s="192">
      <c r="W64787" s="239" t="n"/>
      <c r="X64787" s="239" t="n"/>
    </row>
    <row r="64788" ht="14.25" customHeight="1" s="192">
      <c r="W64788" s="239" t="n"/>
      <c r="X64788" s="239" t="n"/>
    </row>
    <row r="64789" ht="14.25" customHeight="1" s="192">
      <c r="W64789" s="235" t="n"/>
      <c r="X64789" s="235" t="n"/>
    </row>
    <row r="64790" ht="14.25" customHeight="1" s="192">
      <c r="W64790" s="235" t="n"/>
      <c r="X64790" s="235" t="n"/>
    </row>
    <row r="64791" ht="14.25" customHeight="1" s="192">
      <c r="W64791" s="235" t="n"/>
      <c r="X64791" s="235" t="n"/>
    </row>
    <row r="64792" ht="14.25" customHeight="1" s="192">
      <c r="W64792" s="239" t="n"/>
      <c r="X64792" s="239" t="n"/>
    </row>
    <row r="64793" ht="14.25" customHeight="1" s="192">
      <c r="W64793" s="239" t="n"/>
      <c r="X64793" s="239" t="n"/>
    </row>
    <row r="64794" ht="14.25" customHeight="1" s="192">
      <c r="W64794" s="235" t="n"/>
      <c r="X64794" s="235" t="n"/>
    </row>
    <row r="64795" ht="14.25" customHeight="1" s="192">
      <c r="W64795" s="235" t="n"/>
      <c r="X64795" s="235" t="n"/>
    </row>
    <row r="64796" ht="14.25" customHeight="1" s="192">
      <c r="W64796" s="239" t="n"/>
      <c r="X64796" s="239" t="n"/>
    </row>
    <row r="64797" ht="14.25" customHeight="1" s="192">
      <c r="W64797" s="235" t="n"/>
      <c r="X64797" s="235" t="n"/>
    </row>
    <row r="64798" ht="14.25" customHeight="1" s="192">
      <c r="W64798" s="239" t="n"/>
      <c r="X64798" s="239" t="n"/>
    </row>
    <row r="64800" ht="14.25" customHeight="1" s="192">
      <c r="W64800" s="235" t="n"/>
      <c r="X64800" s="235" t="n"/>
    </row>
    <row r="64801" ht="15" customHeight="1" s="192" thickBot="1">
      <c r="W64801" s="239" t="n"/>
      <c r="X64801" s="239" t="n"/>
    </row>
    <row r="64802" ht="15" customHeight="1" s="192" thickBot="1">
      <c r="W64802" s="45" t="n"/>
      <c r="X64802" s="45" t="n"/>
    </row>
    <row r="64803" ht="14.25" customHeight="1" s="192">
      <c r="W64803" s="228" t="n"/>
      <c r="X64803" s="228" t="n"/>
    </row>
    <row r="64804" ht="14.25" customHeight="1" s="192">
      <c r="W64804" s="228" t="n"/>
      <c r="X64804" s="228" t="n"/>
    </row>
    <row r="64805" ht="14.25" customHeight="1" s="192">
      <c r="W64805" s="231" t="n"/>
      <c r="X64805" s="231" t="n"/>
    </row>
    <row r="64806" ht="14.25" customHeight="1" s="192">
      <c r="W64806" s="33" t="n"/>
      <c r="X64806" s="33" t="n"/>
    </row>
    <row r="64807" ht="14.25" customHeight="1" s="192">
      <c r="W64807" s="231" t="n"/>
      <c r="X64807" s="231" t="n"/>
    </row>
    <row r="64808" ht="14.25" customHeight="1" s="192">
      <c r="W64808" s="33" t="n"/>
      <c r="X64808" s="33" t="n"/>
    </row>
    <row r="64810" ht="14.25" customHeight="1" s="192">
      <c r="W64810" s="231" t="n"/>
      <c r="X64810" s="231" t="n"/>
    </row>
    <row r="64811" ht="14.25" customHeight="1" s="192">
      <c r="W64811" s="235" t="n"/>
      <c r="X64811" s="235" t="n"/>
    </row>
    <row r="64812" ht="14.25" customHeight="1" s="192">
      <c r="W64812" s="228" t="n"/>
      <c r="X64812" s="228" t="n"/>
    </row>
    <row r="64813" ht="14.25" customHeight="1" s="192">
      <c r="W64813" s="235" t="n"/>
      <c r="X64813" s="235" t="n"/>
    </row>
    <row r="64814" ht="14.25" customHeight="1" s="192">
      <c r="W64814" s="235" t="n"/>
      <c r="X64814" s="235" t="n"/>
    </row>
    <row r="64815" ht="14.25" customHeight="1" s="192">
      <c r="W64815" s="235" t="n"/>
      <c r="X64815" s="235" t="n"/>
    </row>
    <row r="64816" ht="14.25" customHeight="1" s="192">
      <c r="W64816" s="239" t="n"/>
      <c r="X64816" s="239" t="n"/>
    </row>
    <row r="64817" ht="14.25" customHeight="1" s="192">
      <c r="W64817" s="239" t="n"/>
      <c r="X64817" s="239" t="n"/>
    </row>
    <row r="64818" ht="14.25" customHeight="1" s="192">
      <c r="W64818" s="239" t="n"/>
      <c r="X64818" s="239" t="n"/>
    </row>
    <row r="64819" ht="14.25" customHeight="1" s="192">
      <c r="W64819" s="235" t="n"/>
      <c r="X64819" s="235" t="n"/>
    </row>
    <row r="64820" ht="14.25" customHeight="1" s="192">
      <c r="W64820" s="235" t="n"/>
      <c r="X64820" s="235" t="n"/>
    </row>
    <row r="64821" ht="14.25" customHeight="1" s="192">
      <c r="W64821" s="235" t="n"/>
      <c r="X64821" s="235" t="n"/>
    </row>
    <row r="64822" ht="14.25" customHeight="1" s="192">
      <c r="W64822" s="239" t="n"/>
      <c r="X64822" s="239" t="n"/>
    </row>
    <row r="64823" ht="14.25" customHeight="1" s="192">
      <c r="W64823" s="239" t="n"/>
      <c r="X64823" s="239" t="n"/>
    </row>
    <row r="64824" ht="14.25" customHeight="1" s="192">
      <c r="W64824" s="235" t="n"/>
      <c r="X64824" s="235" t="n"/>
    </row>
    <row r="64825" ht="14.25" customHeight="1" s="192">
      <c r="W64825" s="235" t="n"/>
      <c r="X64825" s="235" t="n"/>
    </row>
    <row r="64826" ht="14.25" customHeight="1" s="192">
      <c r="W64826" s="239" t="n"/>
      <c r="X64826" s="239" t="n"/>
    </row>
    <row r="64827" ht="14.25" customHeight="1" s="192">
      <c r="W64827" s="235" t="n"/>
      <c r="X64827" s="235" t="n"/>
    </row>
    <row r="64828" ht="14.25" customHeight="1" s="192">
      <c r="W64828" s="239" t="n"/>
      <c r="X64828" s="239" t="n"/>
    </row>
    <row r="64830" ht="14.25" customHeight="1" s="192">
      <c r="W64830" s="235" t="n"/>
      <c r="X64830" s="235" t="n"/>
    </row>
    <row r="64831" ht="15" customHeight="1" s="192" thickBot="1">
      <c r="W64831" s="239" t="n"/>
      <c r="X64831" s="239" t="n"/>
    </row>
    <row r="64832" ht="15" customHeight="1" s="192" thickBot="1">
      <c r="W64832" s="45" t="n"/>
      <c r="X64832" s="45" t="n"/>
    </row>
    <row r="64833" ht="14.25" customHeight="1" s="192">
      <c r="W64833" s="228" t="n"/>
      <c r="X64833" s="228" t="n"/>
    </row>
    <row r="64834" ht="14.25" customHeight="1" s="192">
      <c r="W64834" s="228" t="n"/>
      <c r="X64834" s="228" t="n"/>
    </row>
    <row r="64835" ht="14.25" customHeight="1" s="192">
      <c r="W64835" s="231" t="n"/>
      <c r="X64835" s="231" t="n"/>
    </row>
    <row r="64836" ht="14.25" customHeight="1" s="192">
      <c r="W64836" s="33" t="n"/>
      <c r="X64836" s="33" t="n"/>
    </row>
    <row r="64837" ht="14.25" customHeight="1" s="192">
      <c r="W64837" s="231" t="n"/>
      <c r="X64837" s="231" t="n"/>
    </row>
    <row r="64838" ht="14.25" customHeight="1" s="192">
      <c r="W64838" s="33" t="n"/>
      <c r="X64838" s="33" t="n"/>
    </row>
    <row r="64840" ht="14.25" customHeight="1" s="192">
      <c r="W64840" s="231" t="n"/>
      <c r="X64840" s="231" t="n"/>
    </row>
    <row r="64841" ht="14.25" customHeight="1" s="192">
      <c r="W64841" s="235" t="n"/>
      <c r="X64841" s="235" t="n"/>
    </row>
    <row r="64842" ht="14.25" customHeight="1" s="192">
      <c r="W64842" s="228" t="n"/>
      <c r="X64842" s="228" t="n"/>
    </row>
    <row r="64843" ht="14.25" customHeight="1" s="192">
      <c r="W64843" s="235" t="n"/>
      <c r="X64843" s="235" t="n"/>
    </row>
    <row r="64844" ht="14.25" customHeight="1" s="192">
      <c r="W64844" s="235" t="n"/>
      <c r="X64844" s="235" t="n"/>
    </row>
    <row r="64845" ht="14.25" customHeight="1" s="192">
      <c r="W64845" s="235" t="n"/>
      <c r="X64845" s="235" t="n"/>
    </row>
    <row r="64846" ht="14.25" customHeight="1" s="192">
      <c r="W64846" s="239" t="n"/>
      <c r="X64846" s="239" t="n"/>
    </row>
    <row r="64847" ht="14.25" customHeight="1" s="192">
      <c r="W64847" s="239" t="n"/>
      <c r="X64847" s="239" t="n"/>
    </row>
    <row r="64848" ht="14.25" customHeight="1" s="192">
      <c r="W64848" s="239" t="n"/>
      <c r="X64848" s="239" t="n"/>
    </row>
    <row r="64849" ht="14.25" customHeight="1" s="192">
      <c r="W64849" s="235" t="n"/>
      <c r="X64849" s="235" t="n"/>
    </row>
    <row r="64850" ht="14.25" customHeight="1" s="192">
      <c r="W64850" s="235" t="n"/>
      <c r="X64850" s="235" t="n"/>
    </row>
    <row r="64851" ht="14.25" customHeight="1" s="192">
      <c r="W64851" s="235" t="n"/>
      <c r="X64851" s="235" t="n"/>
    </row>
    <row r="64852" ht="14.25" customHeight="1" s="192">
      <c r="W64852" s="239" t="n"/>
      <c r="X64852" s="239" t="n"/>
    </row>
    <row r="64853" ht="14.25" customHeight="1" s="192">
      <c r="W64853" s="239" t="n"/>
      <c r="X64853" s="239" t="n"/>
    </row>
    <row r="64854" ht="14.25" customHeight="1" s="192">
      <c r="W64854" s="235" t="n"/>
      <c r="X64854" s="235" t="n"/>
    </row>
    <row r="64855" ht="14.25" customHeight="1" s="192">
      <c r="W64855" s="235" t="n"/>
      <c r="X64855" s="235" t="n"/>
    </row>
    <row r="64856" ht="14.25" customHeight="1" s="192">
      <c r="W64856" s="239" t="n"/>
      <c r="X64856" s="239" t="n"/>
    </row>
    <row r="64857" ht="14.25" customHeight="1" s="192">
      <c r="W64857" s="235" t="n"/>
      <c r="X64857" s="235" t="n"/>
    </row>
    <row r="64858" ht="14.25" customHeight="1" s="192">
      <c r="W64858" s="239" t="n"/>
      <c r="X64858" s="239" t="n"/>
    </row>
    <row r="64860" ht="14.25" customHeight="1" s="192">
      <c r="W64860" s="235" t="n"/>
      <c r="X64860" s="235" t="n"/>
    </row>
    <row r="64861" ht="15" customHeight="1" s="192" thickBot="1">
      <c r="W64861" s="239" t="n"/>
      <c r="X64861" s="239" t="n"/>
    </row>
    <row r="64862" ht="15" customHeight="1" s="192" thickBot="1">
      <c r="W64862" s="45" t="n"/>
      <c r="X64862" s="45" t="n"/>
    </row>
    <row r="64863" ht="14.25" customHeight="1" s="192">
      <c r="W64863" s="228" t="n"/>
      <c r="X64863" s="228" t="n"/>
    </row>
    <row r="64864" ht="14.25" customHeight="1" s="192">
      <c r="W64864" s="228" t="n"/>
      <c r="X64864" s="228" t="n"/>
    </row>
    <row r="64865" ht="14.25" customHeight="1" s="192">
      <c r="W64865" s="231" t="n"/>
      <c r="X64865" s="231" t="n"/>
    </row>
    <row r="64866" ht="14.25" customHeight="1" s="192">
      <c r="W64866" s="33" t="n"/>
      <c r="X64866" s="33" t="n"/>
    </row>
    <row r="64867" ht="14.25" customHeight="1" s="192">
      <c r="W64867" s="231" t="n"/>
      <c r="X64867" s="231" t="n"/>
    </row>
    <row r="64868" ht="14.25" customHeight="1" s="192">
      <c r="W64868" s="33" t="n"/>
      <c r="X64868" s="33" t="n"/>
    </row>
    <row r="64870" ht="14.25" customHeight="1" s="192">
      <c r="W64870" s="231" t="n"/>
      <c r="X64870" s="231" t="n"/>
    </row>
    <row r="64871" ht="14.25" customHeight="1" s="192">
      <c r="W64871" s="235" t="n"/>
      <c r="X64871" s="235" t="n"/>
    </row>
    <row r="64872" ht="14.25" customHeight="1" s="192">
      <c r="W64872" s="228" t="n"/>
      <c r="X64872" s="228" t="n"/>
    </row>
    <row r="64873" ht="14.25" customHeight="1" s="192">
      <c r="W64873" s="235" t="n"/>
      <c r="X64873" s="235" t="n"/>
    </row>
    <row r="64874" ht="14.25" customHeight="1" s="192">
      <c r="W64874" s="235" t="n"/>
      <c r="X64874" s="235" t="n"/>
    </row>
    <row r="64875" ht="14.25" customHeight="1" s="192">
      <c r="W64875" s="235" t="n"/>
      <c r="X64875" s="235" t="n"/>
    </row>
    <row r="64876" ht="14.25" customHeight="1" s="192">
      <c r="W64876" s="239" t="n"/>
      <c r="X64876" s="239" t="n"/>
    </row>
    <row r="64877" ht="14.25" customHeight="1" s="192">
      <c r="W64877" s="239" t="n"/>
      <c r="X64877" s="239" t="n"/>
    </row>
    <row r="64878" ht="14.25" customHeight="1" s="192">
      <c r="W64878" s="239" t="n"/>
      <c r="X64878" s="239" t="n"/>
    </row>
    <row r="64879" ht="14.25" customHeight="1" s="192">
      <c r="W64879" s="235" t="n"/>
      <c r="X64879" s="235" t="n"/>
    </row>
    <row r="64880" ht="14.25" customHeight="1" s="192">
      <c r="W64880" s="235" t="n"/>
      <c r="X64880" s="235" t="n"/>
    </row>
    <row r="64881" ht="14.25" customHeight="1" s="192">
      <c r="W64881" s="235" t="n"/>
      <c r="X64881" s="235" t="n"/>
    </row>
    <row r="64882" ht="14.25" customHeight="1" s="192">
      <c r="W64882" s="239" t="n"/>
      <c r="X64882" s="239" t="n"/>
    </row>
    <row r="64883" ht="14.25" customHeight="1" s="192">
      <c r="W64883" s="239" t="n"/>
      <c r="X64883" s="239" t="n"/>
    </row>
    <row r="64884" ht="14.25" customHeight="1" s="192">
      <c r="W64884" s="235" t="n"/>
      <c r="X64884" s="235" t="n"/>
    </row>
    <row r="64885" ht="14.25" customHeight="1" s="192">
      <c r="W64885" s="235" t="n"/>
      <c r="X64885" s="235" t="n"/>
    </row>
    <row r="64886" ht="14.25" customHeight="1" s="192">
      <c r="W64886" s="239" t="n"/>
      <c r="X64886" s="239" t="n"/>
    </row>
    <row r="64887" ht="14.25" customHeight="1" s="192">
      <c r="W64887" s="235" t="n"/>
      <c r="X64887" s="235" t="n"/>
    </row>
    <row r="64888" ht="14.25" customHeight="1" s="192">
      <c r="W64888" s="239" t="n"/>
      <c r="X64888" s="239" t="n"/>
    </row>
    <row r="64890" ht="14.25" customHeight="1" s="192">
      <c r="W64890" s="235" t="n"/>
      <c r="X64890" s="235" t="n"/>
    </row>
    <row r="64891" ht="15" customHeight="1" s="192" thickBot="1">
      <c r="W64891" s="239" t="n"/>
      <c r="X64891" s="239" t="n"/>
    </row>
    <row r="64892" ht="15" customHeight="1" s="192" thickBot="1">
      <c r="W64892" s="45" t="n"/>
      <c r="X64892" s="45" t="n"/>
    </row>
    <row r="64893" ht="14.25" customHeight="1" s="192">
      <c r="W64893" s="228" t="n"/>
      <c r="X64893" s="228" t="n"/>
    </row>
    <row r="64894" ht="14.25" customHeight="1" s="192">
      <c r="W64894" s="228" t="n"/>
      <c r="X64894" s="228" t="n"/>
    </row>
    <row r="64895" ht="14.25" customHeight="1" s="192">
      <c r="W64895" s="231" t="n"/>
      <c r="X64895" s="231" t="n"/>
    </row>
    <row r="64896" ht="14.25" customHeight="1" s="192">
      <c r="W64896" s="33" t="n"/>
      <c r="X64896" s="33" t="n"/>
    </row>
    <row r="64897" ht="14.25" customHeight="1" s="192">
      <c r="W64897" s="231" t="n"/>
      <c r="X64897" s="231" t="n"/>
    </row>
    <row r="64898" ht="14.25" customHeight="1" s="192">
      <c r="W64898" s="33" t="n"/>
      <c r="X64898" s="33" t="n"/>
    </row>
    <row r="64900" ht="14.25" customHeight="1" s="192">
      <c r="W64900" s="231" t="n"/>
      <c r="X64900" s="231" t="n"/>
    </row>
    <row r="64901" ht="14.25" customHeight="1" s="192">
      <c r="W64901" s="235" t="n"/>
      <c r="X64901" s="235" t="n"/>
    </row>
    <row r="64902" ht="14.25" customHeight="1" s="192">
      <c r="W64902" s="228" t="n"/>
      <c r="X64902" s="228" t="n"/>
    </row>
    <row r="64903" ht="14.25" customHeight="1" s="192">
      <c r="W64903" s="235" t="n"/>
      <c r="X64903" s="235" t="n"/>
    </row>
    <row r="64904" ht="14.25" customHeight="1" s="192">
      <c r="W64904" s="235" t="n"/>
      <c r="X64904" s="235" t="n"/>
    </row>
    <row r="64905" ht="14.25" customHeight="1" s="192">
      <c r="W64905" s="235" t="n"/>
      <c r="X64905" s="235" t="n"/>
    </row>
    <row r="64906" ht="14.25" customHeight="1" s="192">
      <c r="W64906" s="239" t="n"/>
      <c r="X64906" s="239" t="n"/>
    </row>
    <row r="64907" ht="14.25" customHeight="1" s="192">
      <c r="W64907" s="239" t="n"/>
      <c r="X64907" s="239" t="n"/>
    </row>
    <row r="64908" ht="14.25" customHeight="1" s="192">
      <c r="W64908" s="239" t="n"/>
      <c r="X64908" s="239" t="n"/>
    </row>
    <row r="64909" ht="14.25" customHeight="1" s="192">
      <c r="W64909" s="235" t="n"/>
      <c r="X64909" s="235" t="n"/>
    </row>
    <row r="64910" ht="14.25" customHeight="1" s="192">
      <c r="W64910" s="235" t="n"/>
      <c r="X64910" s="235" t="n"/>
    </row>
    <row r="64911" ht="14.25" customHeight="1" s="192">
      <c r="W64911" s="235" t="n"/>
      <c r="X64911" s="235" t="n"/>
    </row>
    <row r="64912" ht="14.25" customHeight="1" s="192">
      <c r="W64912" s="239" t="n"/>
      <c r="X64912" s="239" t="n"/>
    </row>
    <row r="64913" ht="14.25" customHeight="1" s="192">
      <c r="W64913" s="239" t="n"/>
      <c r="X64913" s="239" t="n"/>
    </row>
    <row r="64914" ht="14.25" customHeight="1" s="192">
      <c r="W64914" s="235" t="n"/>
      <c r="X64914" s="235" t="n"/>
    </row>
    <row r="64915" ht="14.25" customHeight="1" s="192">
      <c r="W64915" s="235" t="n"/>
      <c r="X64915" s="235" t="n"/>
    </row>
    <row r="64916" ht="14.25" customHeight="1" s="192">
      <c r="W64916" s="239" t="n"/>
      <c r="X64916" s="239" t="n"/>
    </row>
    <row r="64917" ht="14.25" customHeight="1" s="192">
      <c r="W64917" s="235" t="n"/>
      <c r="X64917" s="235" t="n"/>
    </row>
    <row r="64918" ht="14.25" customHeight="1" s="192">
      <c r="W64918" s="239" t="n"/>
      <c r="X64918" s="239" t="n"/>
    </row>
    <row r="64920" ht="14.25" customHeight="1" s="192">
      <c r="W64920" s="235" t="n"/>
      <c r="X64920" s="235" t="n"/>
    </row>
    <row r="64921" ht="15" customHeight="1" s="192" thickBot="1">
      <c r="W64921" s="239" t="n"/>
      <c r="X64921" s="239" t="n"/>
    </row>
    <row r="64922" ht="15" customHeight="1" s="192" thickBot="1">
      <c r="W64922" s="45" t="n"/>
      <c r="X64922" s="45" t="n"/>
    </row>
    <row r="64923" ht="14.25" customHeight="1" s="192">
      <c r="W64923" s="228" t="n"/>
      <c r="X64923" s="228" t="n"/>
    </row>
    <row r="64924" ht="14.25" customHeight="1" s="192">
      <c r="W64924" s="228" t="n"/>
      <c r="X64924" s="228" t="n"/>
    </row>
    <row r="64925" ht="14.25" customHeight="1" s="192">
      <c r="W64925" s="231" t="n"/>
      <c r="X64925" s="231" t="n"/>
    </row>
    <row r="64926" ht="14.25" customHeight="1" s="192">
      <c r="W64926" s="33" t="n"/>
      <c r="X64926" s="33" t="n"/>
    </row>
    <row r="64927" ht="14.25" customHeight="1" s="192">
      <c r="W64927" s="231" t="n"/>
      <c r="X64927" s="231" t="n"/>
    </row>
    <row r="64928" ht="14.25" customHeight="1" s="192">
      <c r="W64928" s="33" t="n"/>
      <c r="X64928" s="33" t="n"/>
    </row>
    <row r="64930" ht="14.25" customHeight="1" s="192">
      <c r="W64930" s="231" t="n"/>
      <c r="X64930" s="231" t="n"/>
    </row>
    <row r="64931" ht="14.25" customHeight="1" s="192">
      <c r="W64931" s="235" t="n"/>
      <c r="X64931" s="235" t="n"/>
    </row>
    <row r="64932" ht="14.25" customHeight="1" s="192">
      <c r="W64932" s="228" t="n"/>
      <c r="X64932" s="228" t="n"/>
    </row>
    <row r="64933" ht="14.25" customHeight="1" s="192">
      <c r="W64933" s="235" t="n"/>
      <c r="X64933" s="235" t="n"/>
    </row>
    <row r="64934" ht="14.25" customHeight="1" s="192">
      <c r="W64934" s="235" t="n"/>
      <c r="X64934" s="235" t="n"/>
    </row>
    <row r="64935" ht="14.25" customHeight="1" s="192">
      <c r="W64935" s="235" t="n"/>
      <c r="X64935" s="235" t="n"/>
    </row>
    <row r="64936" ht="14.25" customHeight="1" s="192">
      <c r="W64936" s="239" t="n"/>
      <c r="X64936" s="239" t="n"/>
    </row>
    <row r="64937" ht="14.25" customHeight="1" s="192">
      <c r="W64937" s="239" t="n"/>
      <c r="X64937" s="239" t="n"/>
    </row>
    <row r="64938" ht="14.25" customHeight="1" s="192">
      <c r="W64938" s="239" t="n"/>
      <c r="X64938" s="239" t="n"/>
    </row>
    <row r="64939" ht="14.25" customHeight="1" s="192">
      <c r="W64939" s="235" t="n"/>
      <c r="X64939" s="235" t="n"/>
    </row>
    <row r="64940" ht="14.25" customHeight="1" s="192">
      <c r="W64940" s="235" t="n"/>
      <c r="X64940" s="235" t="n"/>
    </row>
    <row r="64941" ht="14.25" customHeight="1" s="192">
      <c r="W64941" s="235" t="n"/>
      <c r="X64941" s="235" t="n"/>
    </row>
    <row r="64942" ht="14.25" customHeight="1" s="192">
      <c r="W64942" s="239" t="n"/>
      <c r="X64942" s="239" t="n"/>
    </row>
    <row r="64943" ht="14.25" customHeight="1" s="192">
      <c r="W64943" s="239" t="n"/>
      <c r="X64943" s="239" t="n"/>
    </row>
    <row r="64944" ht="14.25" customHeight="1" s="192">
      <c r="W64944" s="235" t="n"/>
      <c r="X64944" s="235" t="n"/>
    </row>
    <row r="64945" ht="14.25" customHeight="1" s="192">
      <c r="W64945" s="235" t="n"/>
      <c r="X64945" s="235" t="n"/>
    </row>
    <row r="64946" ht="14.25" customHeight="1" s="192">
      <c r="W64946" s="239" t="n"/>
      <c r="X64946" s="239" t="n"/>
    </row>
    <row r="64947" ht="14.25" customHeight="1" s="192">
      <c r="W64947" s="235" t="n"/>
      <c r="X64947" s="235" t="n"/>
    </row>
    <row r="64948" ht="14.25" customHeight="1" s="192">
      <c r="W64948" s="239" t="n"/>
      <c r="X64948" s="239" t="n"/>
    </row>
    <row r="64950" ht="14.25" customHeight="1" s="192">
      <c r="W64950" s="235" t="n"/>
      <c r="X64950" s="235" t="n"/>
    </row>
    <row r="64951" ht="15" customHeight="1" s="192" thickBot="1">
      <c r="W64951" s="239" t="n"/>
      <c r="X64951" s="239" t="n"/>
    </row>
    <row r="64952" ht="15" customHeight="1" s="192" thickBot="1">
      <c r="W64952" s="45" t="n"/>
      <c r="X64952" s="45" t="n"/>
    </row>
    <row r="64953" ht="14.25" customHeight="1" s="192">
      <c r="W64953" s="228" t="n"/>
      <c r="X64953" s="228" t="n"/>
    </row>
    <row r="64954" ht="14.25" customHeight="1" s="192">
      <c r="W64954" s="228" t="n"/>
      <c r="X64954" s="228" t="n"/>
    </row>
    <row r="64955" ht="14.25" customHeight="1" s="192">
      <c r="W64955" s="231" t="n"/>
      <c r="X64955" s="231" t="n"/>
    </row>
    <row r="64956" ht="14.25" customHeight="1" s="192">
      <c r="W64956" s="33" t="n"/>
      <c r="X64956" s="33" t="n"/>
    </row>
    <row r="64957" ht="14.25" customHeight="1" s="192">
      <c r="W64957" s="231" t="n"/>
      <c r="X64957" s="231" t="n"/>
    </row>
    <row r="64958" ht="14.25" customHeight="1" s="192">
      <c r="W64958" s="33" t="n"/>
      <c r="X64958" s="33" t="n"/>
    </row>
    <row r="64960" ht="14.25" customHeight="1" s="192">
      <c r="W64960" s="231" t="n"/>
      <c r="X64960" s="231" t="n"/>
    </row>
    <row r="64961" ht="14.25" customHeight="1" s="192">
      <c r="W64961" s="235" t="n"/>
      <c r="X64961" s="235" t="n"/>
    </row>
    <row r="64962" ht="14.25" customHeight="1" s="192">
      <c r="W64962" s="228" t="n"/>
      <c r="X64962" s="228" t="n"/>
    </row>
    <row r="64963" ht="14.25" customHeight="1" s="192">
      <c r="W64963" s="235" t="n"/>
      <c r="X64963" s="235" t="n"/>
    </row>
    <row r="64964" ht="14.25" customHeight="1" s="192">
      <c r="W64964" s="235" t="n"/>
      <c r="X64964" s="235" t="n"/>
    </row>
    <row r="64965" ht="14.25" customHeight="1" s="192">
      <c r="W64965" s="235" t="n"/>
      <c r="X64965" s="235" t="n"/>
    </row>
    <row r="64966" ht="14.25" customHeight="1" s="192">
      <c r="W64966" s="239" t="n"/>
      <c r="X64966" s="239" t="n"/>
    </row>
    <row r="64967" ht="14.25" customHeight="1" s="192">
      <c r="W64967" s="239" t="n"/>
      <c r="X64967" s="239" t="n"/>
    </row>
    <row r="64968" ht="14.25" customHeight="1" s="192">
      <c r="W64968" s="239" t="n"/>
      <c r="X64968" s="239" t="n"/>
    </row>
    <row r="64969" ht="14.25" customHeight="1" s="192">
      <c r="W64969" s="235" t="n"/>
      <c r="X64969" s="235" t="n"/>
    </row>
    <row r="64970" ht="14.25" customHeight="1" s="192">
      <c r="W64970" s="235" t="n"/>
      <c r="X64970" s="235" t="n"/>
    </row>
    <row r="64971" ht="14.25" customHeight="1" s="192">
      <c r="W64971" s="235" t="n"/>
      <c r="X64971" s="235" t="n"/>
    </row>
    <row r="64972" ht="14.25" customHeight="1" s="192">
      <c r="W64972" s="239" t="n"/>
      <c r="X64972" s="239" t="n"/>
    </row>
    <row r="64973" ht="14.25" customHeight="1" s="192">
      <c r="W64973" s="239" t="n"/>
      <c r="X64973" s="239" t="n"/>
    </row>
    <row r="64974" ht="14.25" customHeight="1" s="192">
      <c r="W64974" s="235" t="n"/>
      <c r="X64974" s="235" t="n"/>
    </row>
    <row r="64975" ht="14.25" customHeight="1" s="192">
      <c r="W64975" s="235" t="n"/>
      <c r="X64975" s="235" t="n"/>
    </row>
    <row r="64976" ht="14.25" customHeight="1" s="192">
      <c r="W64976" s="239" t="n"/>
      <c r="X64976" s="239" t="n"/>
    </row>
    <row r="64977" ht="14.25" customHeight="1" s="192">
      <c r="W64977" s="235" t="n"/>
      <c r="X64977" s="235" t="n"/>
    </row>
    <row r="64978" ht="14.25" customHeight="1" s="192">
      <c r="W64978" s="239" t="n"/>
      <c r="X64978" s="239" t="n"/>
    </row>
    <row r="64980" ht="14.25" customHeight="1" s="192">
      <c r="W64980" s="235" t="n"/>
      <c r="X64980" s="235" t="n"/>
    </row>
    <row r="64981" ht="15" customHeight="1" s="192" thickBot="1">
      <c r="W64981" s="239" t="n"/>
      <c r="X64981" s="239" t="n"/>
    </row>
    <row r="64982" ht="15" customHeight="1" s="192" thickBot="1">
      <c r="W64982" s="45" t="n"/>
      <c r="X64982" s="45" t="n"/>
    </row>
    <row r="64983" ht="14.25" customHeight="1" s="192">
      <c r="W64983" s="228" t="n"/>
      <c r="X64983" s="228" t="n"/>
    </row>
    <row r="64984" ht="14.25" customHeight="1" s="192">
      <c r="W64984" s="228" t="n"/>
      <c r="X64984" s="228" t="n"/>
    </row>
    <row r="64985" ht="14.25" customHeight="1" s="192">
      <c r="W64985" s="231" t="n"/>
      <c r="X64985" s="231" t="n"/>
    </row>
    <row r="64986" ht="14.25" customHeight="1" s="192">
      <c r="W64986" s="33" t="n"/>
      <c r="X64986" s="33" t="n"/>
    </row>
    <row r="64987" ht="14.25" customHeight="1" s="192">
      <c r="W64987" s="231" t="n"/>
      <c r="X64987" s="231" t="n"/>
    </row>
    <row r="64988" ht="14.25" customHeight="1" s="192">
      <c r="W64988" s="33" t="n"/>
      <c r="X64988" s="33" t="n"/>
    </row>
    <row r="64990" ht="14.25" customHeight="1" s="192">
      <c r="W64990" s="231" t="n"/>
      <c r="X64990" s="231" t="n"/>
    </row>
    <row r="64991" ht="14.25" customHeight="1" s="192">
      <c r="W64991" s="235" t="n"/>
      <c r="X64991" s="235" t="n"/>
    </row>
    <row r="64992" ht="14.25" customHeight="1" s="192">
      <c r="W64992" s="228" t="n"/>
      <c r="X64992" s="228" t="n"/>
    </row>
    <row r="64993" ht="14.25" customHeight="1" s="192">
      <c r="W64993" s="235" t="n"/>
      <c r="X64993" s="235" t="n"/>
    </row>
    <row r="64994" ht="14.25" customHeight="1" s="192">
      <c r="W64994" s="235" t="n"/>
      <c r="X64994" s="235" t="n"/>
    </row>
    <row r="64995" ht="14.25" customHeight="1" s="192">
      <c r="W64995" s="235" t="n"/>
      <c r="X64995" s="235" t="n"/>
    </row>
    <row r="64996" ht="14.25" customHeight="1" s="192">
      <c r="W64996" s="239" t="n"/>
      <c r="X64996" s="239" t="n"/>
    </row>
    <row r="64997" ht="14.25" customHeight="1" s="192">
      <c r="W64997" s="239" t="n"/>
      <c r="X64997" s="239" t="n"/>
    </row>
    <row r="64998" ht="14.25" customHeight="1" s="192">
      <c r="W64998" s="239" t="n"/>
      <c r="X64998" s="239" t="n"/>
    </row>
    <row r="64999" ht="14.25" customHeight="1" s="192">
      <c r="W64999" s="235" t="n"/>
      <c r="X64999" s="235" t="n"/>
    </row>
    <row r="65000" ht="14.25" customHeight="1" s="192">
      <c r="W65000" s="235" t="n"/>
      <c r="X65000" s="235" t="n"/>
    </row>
    <row r="65001" ht="14.25" customHeight="1" s="192">
      <c r="W65001" s="235" t="n"/>
      <c r="X65001" s="235" t="n"/>
    </row>
    <row r="65002" ht="14.25" customHeight="1" s="192">
      <c r="W65002" s="239" t="n"/>
      <c r="X65002" s="239" t="n"/>
    </row>
    <row r="65003" ht="14.25" customHeight="1" s="192">
      <c r="W65003" s="239" t="n"/>
      <c r="X65003" s="239" t="n"/>
    </row>
    <row r="65004" ht="14.25" customHeight="1" s="192">
      <c r="W65004" s="235" t="n"/>
      <c r="X65004" s="235" t="n"/>
    </row>
    <row r="65005" ht="14.25" customHeight="1" s="192">
      <c r="W65005" s="235" t="n"/>
      <c r="X65005" s="235" t="n"/>
    </row>
    <row r="65006" ht="14.25" customHeight="1" s="192">
      <c r="W65006" s="239" t="n"/>
      <c r="X65006" s="239" t="n"/>
    </row>
    <row r="65007" ht="14.25" customHeight="1" s="192">
      <c r="W65007" s="235" t="n"/>
      <c r="X65007" s="235" t="n"/>
    </row>
    <row r="65008" ht="14.25" customHeight="1" s="192">
      <c r="W65008" s="239" t="n"/>
      <c r="X65008" s="239" t="n"/>
    </row>
    <row r="65010" ht="14.25" customHeight="1" s="192">
      <c r="W65010" s="235" t="n"/>
      <c r="X65010" s="235" t="n"/>
    </row>
    <row r="65011" ht="15" customHeight="1" s="192" thickBot="1">
      <c r="W65011" s="239" t="n"/>
      <c r="X65011" s="239" t="n"/>
    </row>
    <row r="65012" ht="15" customHeight="1" s="192" thickBot="1">
      <c r="W65012" s="45" t="n"/>
      <c r="X65012" s="45" t="n"/>
    </row>
    <row r="65013" ht="14.25" customHeight="1" s="192">
      <c r="W65013" s="228" t="n"/>
      <c r="X65013" s="228" t="n"/>
    </row>
    <row r="65014" ht="14.25" customHeight="1" s="192">
      <c r="W65014" s="228" t="n"/>
      <c r="X65014" s="228" t="n"/>
    </row>
    <row r="65015" ht="14.25" customHeight="1" s="192">
      <c r="W65015" s="231" t="n"/>
      <c r="X65015" s="231" t="n"/>
    </row>
    <row r="65016" ht="14.25" customHeight="1" s="192">
      <c r="W65016" s="33" t="n"/>
      <c r="X65016" s="33" t="n"/>
    </row>
    <row r="65017" ht="14.25" customHeight="1" s="192">
      <c r="W65017" s="231" t="n"/>
      <c r="X65017" s="231" t="n"/>
    </row>
    <row r="65018" ht="14.25" customHeight="1" s="192">
      <c r="W65018" s="33" t="n"/>
      <c r="X65018" s="33" t="n"/>
    </row>
    <row r="65020" ht="14.25" customHeight="1" s="192">
      <c r="W65020" s="231" t="n"/>
      <c r="X65020" s="231" t="n"/>
    </row>
    <row r="65021" ht="14.25" customHeight="1" s="192">
      <c r="W65021" s="235" t="n"/>
      <c r="X65021" s="235" t="n"/>
    </row>
    <row r="65022" ht="14.25" customHeight="1" s="192">
      <c r="W65022" s="228" t="n"/>
      <c r="X65022" s="228" t="n"/>
    </row>
    <row r="65023" ht="14.25" customHeight="1" s="192">
      <c r="W65023" s="235" t="n"/>
      <c r="X65023" s="235" t="n"/>
    </row>
    <row r="65024" ht="14.25" customHeight="1" s="192">
      <c r="W65024" s="235" t="n"/>
      <c r="X65024" s="235" t="n"/>
    </row>
    <row r="65025" ht="14.25" customHeight="1" s="192">
      <c r="W65025" s="235" t="n"/>
      <c r="X65025" s="235" t="n"/>
    </row>
    <row r="65026" ht="14.25" customHeight="1" s="192">
      <c r="W65026" s="239" t="n"/>
      <c r="X65026" s="239" t="n"/>
    </row>
    <row r="65027" ht="14.25" customHeight="1" s="192">
      <c r="W65027" s="239" t="n"/>
      <c r="X65027" s="239" t="n"/>
    </row>
    <row r="65028" ht="14.25" customHeight="1" s="192">
      <c r="W65028" s="239" t="n"/>
      <c r="X65028" s="239" t="n"/>
    </row>
    <row r="65029" ht="14.25" customHeight="1" s="192">
      <c r="W65029" s="235" t="n"/>
      <c r="X65029" s="235" t="n"/>
    </row>
    <row r="65030" ht="14.25" customHeight="1" s="192">
      <c r="W65030" s="235" t="n"/>
      <c r="X65030" s="235" t="n"/>
    </row>
    <row r="65031" ht="14.25" customHeight="1" s="192">
      <c r="W65031" s="235" t="n"/>
      <c r="X65031" s="235" t="n"/>
    </row>
    <row r="65032" ht="14.25" customHeight="1" s="192">
      <c r="W65032" s="239" t="n"/>
      <c r="X65032" s="239" t="n"/>
    </row>
    <row r="65033" ht="14.25" customHeight="1" s="192">
      <c r="W65033" s="239" t="n"/>
      <c r="X65033" s="239" t="n"/>
    </row>
    <row r="65034" ht="14.25" customHeight="1" s="192">
      <c r="W65034" s="235" t="n"/>
      <c r="X65034" s="235" t="n"/>
    </row>
    <row r="65035" ht="14.25" customHeight="1" s="192">
      <c r="W65035" s="235" t="n"/>
      <c r="X65035" s="235" t="n"/>
    </row>
    <row r="65036" ht="14.25" customHeight="1" s="192">
      <c r="W65036" s="239" t="n"/>
      <c r="X65036" s="239" t="n"/>
    </row>
    <row r="65037" ht="14.25" customHeight="1" s="192">
      <c r="W65037" s="235" t="n"/>
      <c r="X65037" s="235" t="n"/>
    </row>
    <row r="65038" ht="14.25" customHeight="1" s="192">
      <c r="W65038" s="239" t="n"/>
      <c r="X65038" s="239" t="n"/>
    </row>
    <row r="65040" ht="14.25" customHeight="1" s="192">
      <c r="W65040" s="235" t="n"/>
      <c r="X65040" s="235" t="n"/>
    </row>
    <row r="65041" ht="15" customHeight="1" s="192" thickBot="1">
      <c r="W65041" s="239" t="n"/>
      <c r="X65041" s="239" t="n"/>
    </row>
    <row r="65042" ht="15" customHeight="1" s="192" thickBot="1">
      <c r="W65042" s="45" t="n"/>
      <c r="X65042" s="45" t="n"/>
    </row>
    <row r="65043" ht="14.25" customHeight="1" s="192">
      <c r="W65043" s="228" t="n"/>
      <c r="X65043" s="228" t="n"/>
    </row>
    <row r="65044" ht="14.25" customHeight="1" s="192">
      <c r="W65044" s="228" t="n"/>
      <c r="X65044" s="228" t="n"/>
    </row>
    <row r="65045" ht="14.25" customHeight="1" s="192">
      <c r="W65045" s="231" t="n"/>
      <c r="X65045" s="231" t="n"/>
    </row>
    <row r="65046" ht="14.25" customHeight="1" s="192">
      <c r="W65046" s="33" t="n"/>
      <c r="X65046" s="33" t="n"/>
    </row>
    <row r="65047" ht="14.25" customHeight="1" s="192">
      <c r="W65047" s="231" t="n"/>
      <c r="X65047" s="231" t="n"/>
    </row>
    <row r="65048" ht="14.25" customHeight="1" s="192">
      <c r="W65048" s="33" t="n"/>
      <c r="X65048" s="33" t="n"/>
    </row>
    <row r="65050" ht="14.25" customHeight="1" s="192">
      <c r="W65050" s="231" t="n"/>
      <c r="X65050" s="231" t="n"/>
    </row>
    <row r="65051" ht="14.25" customHeight="1" s="192">
      <c r="W65051" s="235" t="n"/>
      <c r="X65051" s="235" t="n"/>
    </row>
    <row r="65052" ht="14.25" customHeight="1" s="192">
      <c r="W65052" s="228" t="n"/>
      <c r="X65052" s="228" t="n"/>
    </row>
    <row r="65053" ht="14.25" customHeight="1" s="192">
      <c r="W65053" s="235" t="n"/>
      <c r="X65053" s="235" t="n"/>
    </row>
    <row r="65054" ht="14.25" customHeight="1" s="192">
      <c r="W65054" s="235" t="n"/>
      <c r="X65054" s="235" t="n"/>
    </row>
    <row r="65055" ht="14.25" customHeight="1" s="192">
      <c r="W65055" s="235" t="n"/>
      <c r="X65055" s="235" t="n"/>
    </row>
    <row r="65056" ht="14.25" customHeight="1" s="192">
      <c r="W65056" s="239" t="n"/>
      <c r="X65056" s="239" t="n"/>
    </row>
    <row r="65057" ht="14.25" customHeight="1" s="192">
      <c r="W65057" s="239" t="n"/>
      <c r="X65057" s="239" t="n"/>
    </row>
    <row r="65058" ht="14.25" customHeight="1" s="192">
      <c r="W65058" s="239" t="n"/>
      <c r="X65058" s="239" t="n"/>
    </row>
    <row r="65059" ht="14.25" customHeight="1" s="192">
      <c r="W65059" s="235" t="n"/>
      <c r="X65059" s="235" t="n"/>
    </row>
    <row r="65060" ht="14.25" customHeight="1" s="192">
      <c r="W65060" s="235" t="n"/>
      <c r="X65060" s="235" t="n"/>
    </row>
    <row r="65061" ht="14.25" customHeight="1" s="192">
      <c r="W65061" s="235" t="n"/>
      <c r="X65061" s="235" t="n"/>
    </row>
    <row r="65062" ht="14.25" customHeight="1" s="192">
      <c r="W65062" s="239" t="n"/>
      <c r="X65062" s="239" t="n"/>
    </row>
    <row r="65063" ht="14.25" customHeight="1" s="192">
      <c r="W65063" s="239" t="n"/>
      <c r="X65063" s="239" t="n"/>
    </row>
    <row r="65064" ht="14.25" customHeight="1" s="192">
      <c r="W65064" s="235" t="n"/>
      <c r="X65064" s="235" t="n"/>
    </row>
    <row r="65065" ht="14.25" customHeight="1" s="192">
      <c r="W65065" s="235" t="n"/>
      <c r="X65065" s="235" t="n"/>
    </row>
    <row r="65066" ht="14.25" customHeight="1" s="192">
      <c r="W65066" s="239" t="n"/>
      <c r="X65066" s="239" t="n"/>
    </row>
    <row r="65067" ht="14.25" customHeight="1" s="192">
      <c r="W65067" s="235" t="n"/>
      <c r="X65067" s="235" t="n"/>
    </row>
    <row r="65068" ht="14.25" customHeight="1" s="192">
      <c r="W65068" s="239" t="n"/>
      <c r="X65068" s="239" t="n"/>
    </row>
    <row r="65070" ht="14.25" customHeight="1" s="192">
      <c r="W65070" s="235" t="n"/>
      <c r="X65070" s="235" t="n"/>
    </row>
    <row r="65071" ht="15" customHeight="1" s="192" thickBot="1">
      <c r="W65071" s="239" t="n"/>
      <c r="X65071" s="239" t="n"/>
    </row>
    <row r="65072" ht="15" customHeight="1" s="192" thickBot="1">
      <c r="W65072" s="45" t="n"/>
      <c r="X65072" s="45" t="n"/>
    </row>
    <row r="65073" ht="14.25" customHeight="1" s="192">
      <c r="W65073" s="228" t="n"/>
      <c r="X65073" s="228" t="n"/>
    </row>
    <row r="65074" ht="14.25" customHeight="1" s="192">
      <c r="W65074" s="228" t="n"/>
      <c r="X65074" s="228" t="n"/>
    </row>
    <row r="65075" ht="14.25" customHeight="1" s="192">
      <c r="W65075" s="231" t="n"/>
      <c r="X65075" s="231" t="n"/>
    </row>
    <row r="65076" ht="14.25" customHeight="1" s="192">
      <c r="W65076" s="33" t="n"/>
      <c r="X65076" s="33" t="n"/>
    </row>
    <row r="65077" ht="14.25" customHeight="1" s="192">
      <c r="W65077" s="231" t="n"/>
      <c r="X65077" s="231" t="n"/>
    </row>
    <row r="65078" ht="14.25" customHeight="1" s="192">
      <c r="W65078" s="33" t="n"/>
      <c r="X65078" s="33" t="n"/>
    </row>
    <row r="65080" ht="14.25" customHeight="1" s="192">
      <c r="W65080" s="231" t="n"/>
      <c r="X65080" s="231" t="n"/>
    </row>
    <row r="65081" ht="14.25" customHeight="1" s="192">
      <c r="W65081" s="235" t="n"/>
      <c r="X65081" s="235" t="n"/>
    </row>
    <row r="65082" ht="14.25" customHeight="1" s="192">
      <c r="W65082" s="228" t="n"/>
      <c r="X65082" s="228" t="n"/>
    </row>
    <row r="65083" ht="14.25" customHeight="1" s="192">
      <c r="W65083" s="235" t="n"/>
      <c r="X65083" s="235" t="n"/>
    </row>
    <row r="65084" ht="14.25" customHeight="1" s="192">
      <c r="W65084" s="235" t="n"/>
      <c r="X65084" s="235" t="n"/>
    </row>
    <row r="65085" ht="14.25" customHeight="1" s="192">
      <c r="W65085" s="235" t="n"/>
      <c r="X65085" s="235" t="n"/>
    </row>
    <row r="65086" ht="14.25" customHeight="1" s="192">
      <c r="W65086" s="239" t="n"/>
      <c r="X65086" s="239" t="n"/>
    </row>
    <row r="65087" ht="14.25" customHeight="1" s="192">
      <c r="W65087" s="239" t="n"/>
      <c r="X65087" s="239" t="n"/>
    </row>
    <row r="65088" ht="14.25" customHeight="1" s="192">
      <c r="W65088" s="239" t="n"/>
      <c r="X65088" s="239" t="n"/>
    </row>
    <row r="65089" ht="14.25" customHeight="1" s="192">
      <c r="W65089" s="235" t="n"/>
      <c r="X65089" s="235" t="n"/>
    </row>
    <row r="65090" ht="14.25" customHeight="1" s="192">
      <c r="W65090" s="235" t="n"/>
      <c r="X65090" s="235" t="n"/>
    </row>
    <row r="65091" ht="14.25" customHeight="1" s="192">
      <c r="W65091" s="235" t="n"/>
      <c r="X65091" s="235" t="n"/>
    </row>
    <row r="65092" ht="14.25" customHeight="1" s="192">
      <c r="W65092" s="239" t="n"/>
      <c r="X65092" s="239" t="n"/>
    </row>
    <row r="65093" ht="14.25" customHeight="1" s="192">
      <c r="W65093" s="239" t="n"/>
      <c r="X65093" s="239" t="n"/>
    </row>
    <row r="65094" ht="14.25" customHeight="1" s="192">
      <c r="W65094" s="235" t="n"/>
      <c r="X65094" s="235" t="n"/>
    </row>
    <row r="65095" ht="14.25" customHeight="1" s="192">
      <c r="W65095" s="235" t="n"/>
      <c r="X65095" s="235" t="n"/>
    </row>
    <row r="65096" ht="14.25" customHeight="1" s="192">
      <c r="W65096" s="239" t="n"/>
      <c r="X65096" s="239" t="n"/>
    </row>
    <row r="65097" ht="14.25" customHeight="1" s="192">
      <c r="W65097" s="235" t="n"/>
      <c r="X65097" s="235" t="n"/>
    </row>
    <row r="65098" ht="14.25" customHeight="1" s="192">
      <c r="W65098" s="239" t="n"/>
      <c r="X65098" s="239" t="n"/>
    </row>
    <row r="65100" ht="14.25" customHeight="1" s="192">
      <c r="W65100" s="235" t="n"/>
      <c r="X65100" s="235" t="n"/>
    </row>
    <row r="65101" ht="15" customHeight="1" s="192" thickBot="1">
      <c r="W65101" s="239" t="n"/>
      <c r="X65101" s="239" t="n"/>
    </row>
    <row r="65102" ht="15" customHeight="1" s="192" thickBot="1">
      <c r="W65102" s="45" t="n"/>
      <c r="X65102" s="45" t="n"/>
    </row>
    <row r="65103" ht="14.25" customHeight="1" s="192">
      <c r="W65103" s="228" t="n"/>
      <c r="X65103" s="228" t="n"/>
    </row>
    <row r="65104" ht="14.25" customHeight="1" s="192">
      <c r="W65104" s="228" t="n"/>
      <c r="X65104" s="228" t="n"/>
    </row>
    <row r="65105" ht="14.25" customHeight="1" s="192">
      <c r="W65105" s="231" t="n"/>
      <c r="X65105" s="231" t="n"/>
    </row>
    <row r="65106" ht="14.25" customHeight="1" s="192">
      <c r="W65106" s="33" t="n"/>
      <c r="X65106" s="33" t="n"/>
    </row>
    <row r="65107" ht="14.25" customHeight="1" s="192">
      <c r="W65107" s="231" t="n"/>
      <c r="X65107" s="231" t="n"/>
    </row>
    <row r="65108" ht="14.25" customHeight="1" s="192">
      <c r="W65108" s="33" t="n"/>
      <c r="X65108" s="33" t="n"/>
    </row>
    <row r="65110" ht="14.25" customHeight="1" s="192">
      <c r="W65110" s="231" t="n"/>
      <c r="X65110" s="231" t="n"/>
    </row>
    <row r="65111" ht="14.25" customHeight="1" s="192">
      <c r="W65111" s="235" t="n"/>
      <c r="X65111" s="235" t="n"/>
    </row>
    <row r="65112" ht="14.25" customHeight="1" s="192">
      <c r="W65112" s="228" t="n"/>
      <c r="X65112" s="228" t="n"/>
    </row>
    <row r="65113" ht="14.25" customHeight="1" s="192">
      <c r="W65113" s="235" t="n"/>
      <c r="X65113" s="235" t="n"/>
    </row>
    <row r="65114" ht="14.25" customHeight="1" s="192">
      <c r="W65114" s="235" t="n"/>
      <c r="X65114" s="235" t="n"/>
    </row>
    <row r="65115" ht="14.25" customHeight="1" s="192">
      <c r="W65115" s="235" t="n"/>
      <c r="X65115" s="235" t="n"/>
    </row>
    <row r="65116" ht="14.25" customHeight="1" s="192">
      <c r="W65116" s="239" t="n"/>
      <c r="X65116" s="239" t="n"/>
    </row>
    <row r="65117" ht="14.25" customHeight="1" s="192">
      <c r="W65117" s="239" t="n"/>
      <c r="X65117" s="239" t="n"/>
    </row>
    <row r="65118" ht="14.25" customHeight="1" s="192">
      <c r="W65118" s="239" t="n"/>
      <c r="X65118" s="239" t="n"/>
    </row>
    <row r="65119" ht="14.25" customHeight="1" s="192">
      <c r="W65119" s="235" t="n"/>
      <c r="X65119" s="235" t="n"/>
    </row>
    <row r="65120" ht="14.25" customHeight="1" s="192">
      <c r="W65120" s="235" t="n"/>
      <c r="X65120" s="235" t="n"/>
    </row>
    <row r="65121" ht="14.25" customHeight="1" s="192">
      <c r="W65121" s="235" t="n"/>
      <c r="X65121" s="235" t="n"/>
    </row>
    <row r="65122" ht="14.25" customHeight="1" s="192">
      <c r="W65122" s="239" t="n"/>
      <c r="X65122" s="239" t="n"/>
    </row>
    <row r="65123" ht="14.25" customHeight="1" s="192">
      <c r="W65123" s="239" t="n"/>
      <c r="X65123" s="239" t="n"/>
    </row>
    <row r="65124" ht="14.25" customHeight="1" s="192">
      <c r="W65124" s="235" t="n"/>
      <c r="X65124" s="235" t="n"/>
    </row>
    <row r="65125" ht="14.25" customHeight="1" s="192">
      <c r="W65125" s="235" t="n"/>
      <c r="X65125" s="235" t="n"/>
    </row>
    <row r="65126" ht="14.25" customHeight="1" s="192">
      <c r="W65126" s="239" t="n"/>
      <c r="X65126" s="239" t="n"/>
    </row>
    <row r="65127" ht="14.25" customHeight="1" s="192">
      <c r="W65127" s="235" t="n"/>
      <c r="X65127" s="235" t="n"/>
    </row>
    <row r="65128" ht="14.25" customHeight="1" s="192">
      <c r="W65128" s="239" t="n"/>
      <c r="X65128" s="239" t="n"/>
    </row>
    <row r="65130" ht="14.25" customHeight="1" s="192">
      <c r="W65130" s="235" t="n"/>
      <c r="X65130" s="235" t="n"/>
    </row>
    <row r="65131" ht="15" customHeight="1" s="192" thickBot="1">
      <c r="W65131" s="239" t="n"/>
      <c r="X65131" s="239" t="n"/>
    </row>
    <row r="65132" ht="15" customHeight="1" s="192" thickBot="1">
      <c r="W65132" s="45" t="n"/>
      <c r="X65132" s="45" t="n"/>
    </row>
    <row r="65133" ht="14.25" customHeight="1" s="192">
      <c r="W65133" s="228" t="n"/>
      <c r="X65133" s="228" t="n"/>
    </row>
    <row r="65134" ht="14.25" customHeight="1" s="192">
      <c r="W65134" s="228" t="n"/>
      <c r="X65134" s="228" t="n"/>
    </row>
    <row r="65135" ht="14.25" customHeight="1" s="192">
      <c r="W65135" s="231" t="n"/>
      <c r="X65135" s="231" t="n"/>
    </row>
    <row r="65136" ht="14.25" customHeight="1" s="192">
      <c r="W65136" s="33" t="n"/>
      <c r="X65136" s="33" t="n"/>
    </row>
    <row r="65137" ht="14.25" customHeight="1" s="192">
      <c r="W65137" s="231" t="n"/>
      <c r="X65137" s="231" t="n"/>
    </row>
    <row r="65138" ht="14.25" customHeight="1" s="192">
      <c r="W65138" s="33" t="n"/>
      <c r="X65138" s="33" t="n"/>
    </row>
    <row r="65140" ht="14.25" customHeight="1" s="192">
      <c r="W65140" s="231" t="n"/>
      <c r="X65140" s="231" t="n"/>
    </row>
    <row r="65141" ht="14.25" customHeight="1" s="192">
      <c r="W65141" s="235" t="n"/>
      <c r="X65141" s="235" t="n"/>
    </row>
    <row r="65142" ht="14.25" customHeight="1" s="192">
      <c r="W65142" s="228" t="n"/>
      <c r="X65142" s="228" t="n"/>
    </row>
    <row r="65143" ht="14.25" customHeight="1" s="192">
      <c r="W65143" s="235" t="n"/>
      <c r="X65143" s="235" t="n"/>
    </row>
    <row r="65144" ht="14.25" customHeight="1" s="192">
      <c r="W65144" s="235" t="n"/>
      <c r="X65144" s="235" t="n"/>
    </row>
    <row r="65145" ht="14.25" customHeight="1" s="192">
      <c r="W65145" s="235" t="n"/>
      <c r="X65145" s="235" t="n"/>
    </row>
    <row r="65146" ht="14.25" customHeight="1" s="192">
      <c r="W65146" s="239" t="n"/>
      <c r="X65146" s="239" t="n"/>
    </row>
    <row r="65147" ht="14.25" customHeight="1" s="192">
      <c r="W65147" s="239" t="n"/>
      <c r="X65147" s="239" t="n"/>
    </row>
    <row r="65148" ht="14.25" customHeight="1" s="192">
      <c r="W65148" s="239" t="n"/>
      <c r="X65148" s="239" t="n"/>
    </row>
    <row r="65149" ht="14.25" customHeight="1" s="192">
      <c r="W65149" s="235" t="n"/>
      <c r="X65149" s="235" t="n"/>
    </row>
    <row r="65150" ht="14.25" customHeight="1" s="192">
      <c r="W65150" s="235" t="n"/>
      <c r="X65150" s="235" t="n"/>
    </row>
    <row r="65151" ht="14.25" customHeight="1" s="192">
      <c r="W65151" s="235" t="n"/>
      <c r="X65151" s="235" t="n"/>
    </row>
    <row r="65152" ht="14.25" customHeight="1" s="192">
      <c r="W65152" s="239" t="n"/>
      <c r="X65152" s="239" t="n"/>
    </row>
    <row r="65153" ht="14.25" customHeight="1" s="192">
      <c r="W65153" s="239" t="n"/>
      <c r="X65153" s="239" t="n"/>
    </row>
    <row r="65154" ht="14.25" customHeight="1" s="192">
      <c r="W65154" s="235" t="n"/>
      <c r="X65154" s="235" t="n"/>
    </row>
    <row r="65155" ht="14.25" customHeight="1" s="192">
      <c r="W65155" s="235" t="n"/>
      <c r="X65155" s="235" t="n"/>
    </row>
    <row r="65156" ht="14.25" customHeight="1" s="192">
      <c r="W65156" s="239" t="n"/>
      <c r="X65156" s="239" t="n"/>
    </row>
    <row r="65157" ht="14.25" customHeight="1" s="192">
      <c r="W65157" s="235" t="n"/>
      <c r="X65157" s="235" t="n"/>
    </row>
    <row r="65158" ht="14.25" customHeight="1" s="192">
      <c r="W65158" s="239" t="n"/>
      <c r="X65158" s="239" t="n"/>
    </row>
    <row r="65160" ht="14.25" customHeight="1" s="192">
      <c r="W65160" s="235" t="n"/>
      <c r="X65160" s="235" t="n"/>
    </row>
    <row r="65161" ht="15" customHeight="1" s="192" thickBot="1">
      <c r="W65161" s="239" t="n"/>
      <c r="X65161" s="239" t="n"/>
    </row>
    <row r="65162" ht="15" customHeight="1" s="192" thickBot="1">
      <c r="W65162" s="45" t="n"/>
      <c r="X65162" s="45" t="n"/>
    </row>
    <row r="65163" ht="14.25" customHeight="1" s="192">
      <c r="W65163" s="228" t="n"/>
      <c r="X65163" s="228" t="n"/>
    </row>
    <row r="65164" ht="14.25" customHeight="1" s="192">
      <c r="W65164" s="228" t="n"/>
      <c r="X65164" s="228" t="n"/>
    </row>
    <row r="65165" ht="14.25" customHeight="1" s="192">
      <c r="W65165" s="231" t="n"/>
      <c r="X65165" s="231" t="n"/>
    </row>
    <row r="65166" ht="14.25" customHeight="1" s="192">
      <c r="W65166" s="33" t="n"/>
      <c r="X65166" s="33" t="n"/>
    </row>
    <row r="65167" ht="14.25" customHeight="1" s="192">
      <c r="W65167" s="231" t="n"/>
      <c r="X65167" s="231" t="n"/>
    </row>
    <row r="65168" ht="14.25" customHeight="1" s="192">
      <c r="W65168" s="33" t="n"/>
      <c r="X65168" s="33" t="n"/>
    </row>
    <row r="65170" ht="14.25" customHeight="1" s="192">
      <c r="W65170" s="231" t="n"/>
      <c r="X65170" s="231" t="n"/>
    </row>
    <row r="65171" ht="14.25" customHeight="1" s="192">
      <c r="W65171" s="235" t="n"/>
      <c r="X65171" s="235" t="n"/>
    </row>
    <row r="65172" ht="14.25" customHeight="1" s="192">
      <c r="W65172" s="228" t="n"/>
      <c r="X65172" s="228" t="n"/>
    </row>
    <row r="65173" ht="14.25" customHeight="1" s="192">
      <c r="W65173" s="235" t="n"/>
      <c r="X65173" s="235" t="n"/>
    </row>
    <row r="65174" ht="14.25" customHeight="1" s="192">
      <c r="W65174" s="235" t="n"/>
      <c r="X65174" s="235" t="n"/>
    </row>
    <row r="65175" ht="14.25" customHeight="1" s="192">
      <c r="W65175" s="235" t="n"/>
      <c r="X65175" s="235" t="n"/>
    </row>
    <row r="65176" ht="14.25" customHeight="1" s="192">
      <c r="W65176" s="239" t="n"/>
      <c r="X65176" s="239" t="n"/>
    </row>
    <row r="65177" ht="14.25" customHeight="1" s="192">
      <c r="W65177" s="239" t="n"/>
      <c r="X65177" s="239" t="n"/>
    </row>
    <row r="65178" ht="14.25" customHeight="1" s="192">
      <c r="W65178" s="239" t="n"/>
      <c r="X65178" s="239" t="n"/>
    </row>
    <row r="65179" ht="14.25" customHeight="1" s="192">
      <c r="W65179" s="235" t="n"/>
      <c r="X65179" s="235" t="n"/>
    </row>
    <row r="65180" ht="14.25" customHeight="1" s="192">
      <c r="W65180" s="235" t="n"/>
      <c r="X65180" s="235" t="n"/>
    </row>
    <row r="65181" ht="14.25" customHeight="1" s="192">
      <c r="W65181" s="235" t="n"/>
      <c r="X65181" s="235" t="n"/>
    </row>
    <row r="65182" ht="14.25" customHeight="1" s="192">
      <c r="W65182" s="239" t="n"/>
      <c r="X65182" s="239" t="n"/>
    </row>
    <row r="65183" ht="14.25" customHeight="1" s="192">
      <c r="W65183" s="239" t="n"/>
      <c r="X65183" s="239" t="n"/>
    </row>
    <row r="65184" ht="14.25" customHeight="1" s="192">
      <c r="W65184" s="235" t="n"/>
      <c r="X65184" s="235" t="n"/>
    </row>
    <row r="65185" ht="14.25" customHeight="1" s="192">
      <c r="W65185" s="235" t="n"/>
      <c r="X65185" s="235" t="n"/>
    </row>
    <row r="65186" ht="14.25" customHeight="1" s="192">
      <c r="W65186" s="239" t="n"/>
      <c r="X65186" s="239" t="n"/>
    </row>
    <row r="65187" ht="14.25" customHeight="1" s="192">
      <c r="W65187" s="235" t="n"/>
      <c r="X65187" s="235" t="n"/>
    </row>
    <row r="65188" ht="14.25" customHeight="1" s="192">
      <c r="W65188" s="239" t="n"/>
      <c r="X65188" s="239" t="n"/>
    </row>
    <row r="65190" ht="14.25" customHeight="1" s="192">
      <c r="W65190" s="235" t="n"/>
      <c r="X65190" s="235" t="n"/>
    </row>
    <row r="65191" ht="15" customHeight="1" s="192" thickBot="1">
      <c r="W65191" s="239" t="n"/>
      <c r="X65191" s="239" t="n"/>
    </row>
    <row r="65192" ht="15" customHeight="1" s="192" thickBot="1">
      <c r="W65192" s="45" t="n"/>
      <c r="X65192" s="45" t="n"/>
    </row>
    <row r="65193" ht="14.25" customHeight="1" s="192">
      <c r="W65193" s="228" t="n"/>
      <c r="X65193" s="228" t="n"/>
    </row>
    <row r="65194" ht="14.25" customHeight="1" s="192">
      <c r="W65194" s="228" t="n"/>
      <c r="X65194" s="228" t="n"/>
    </row>
    <row r="65195" ht="14.25" customHeight="1" s="192">
      <c r="W65195" s="231" t="n"/>
      <c r="X65195" s="231" t="n"/>
    </row>
    <row r="65196" ht="14.25" customHeight="1" s="192">
      <c r="W65196" s="33" t="n"/>
      <c r="X65196" s="33" t="n"/>
    </row>
    <row r="65197" ht="14.25" customHeight="1" s="192">
      <c r="W65197" s="231" t="n"/>
      <c r="X65197" s="231" t="n"/>
    </row>
    <row r="65198" ht="14.25" customHeight="1" s="192">
      <c r="W65198" s="33" t="n"/>
      <c r="X65198" s="33" t="n"/>
    </row>
    <row r="65200" ht="14.25" customHeight="1" s="192">
      <c r="W65200" s="231" t="n"/>
      <c r="X65200" s="231" t="n"/>
    </row>
    <row r="65201" ht="14.25" customHeight="1" s="192">
      <c r="W65201" s="235" t="n"/>
      <c r="X65201" s="235" t="n"/>
    </row>
    <row r="65202" ht="14.25" customHeight="1" s="192">
      <c r="W65202" s="228" t="n"/>
      <c r="X65202" s="228" t="n"/>
    </row>
    <row r="65203" ht="14.25" customHeight="1" s="192">
      <c r="W65203" s="235" t="n"/>
      <c r="X65203" s="235" t="n"/>
    </row>
    <row r="65204" ht="14.25" customHeight="1" s="192">
      <c r="W65204" s="235" t="n"/>
      <c r="X65204" s="235" t="n"/>
    </row>
    <row r="65205" ht="14.25" customHeight="1" s="192">
      <c r="W65205" s="235" t="n"/>
      <c r="X65205" s="235" t="n"/>
    </row>
    <row r="65206" ht="14.25" customHeight="1" s="192">
      <c r="W65206" s="239" t="n"/>
      <c r="X65206" s="239" t="n"/>
    </row>
    <row r="65207" ht="14.25" customHeight="1" s="192">
      <c r="W65207" s="239" t="n"/>
      <c r="X65207" s="239" t="n"/>
    </row>
    <row r="65208" ht="14.25" customHeight="1" s="192">
      <c r="W65208" s="239" t="n"/>
      <c r="X65208" s="239" t="n"/>
    </row>
    <row r="65209" ht="14.25" customHeight="1" s="192">
      <c r="W65209" s="235" t="n"/>
      <c r="X65209" s="235" t="n"/>
    </row>
    <row r="65210" ht="14.25" customHeight="1" s="192">
      <c r="W65210" s="235" t="n"/>
      <c r="X65210" s="235" t="n"/>
    </row>
    <row r="65211" ht="14.25" customHeight="1" s="192">
      <c r="W65211" s="235" t="n"/>
      <c r="X65211" s="235" t="n"/>
    </row>
    <row r="65212" ht="14.25" customHeight="1" s="192">
      <c r="W65212" s="239" t="n"/>
      <c r="X65212" s="239" t="n"/>
    </row>
    <row r="65213" ht="14.25" customHeight="1" s="192">
      <c r="W65213" s="239" t="n"/>
      <c r="X65213" s="239" t="n"/>
    </row>
    <row r="65214" ht="14.25" customHeight="1" s="192">
      <c r="W65214" s="235" t="n"/>
      <c r="X65214" s="235" t="n"/>
    </row>
    <row r="65215" ht="14.25" customHeight="1" s="192">
      <c r="W65215" s="235" t="n"/>
      <c r="X65215" s="235" t="n"/>
    </row>
    <row r="65216" ht="14.25" customHeight="1" s="192">
      <c r="W65216" s="239" t="n"/>
      <c r="X65216" s="239" t="n"/>
    </row>
    <row r="65217" ht="14.25" customHeight="1" s="192">
      <c r="W65217" s="235" t="n"/>
      <c r="X65217" s="235" t="n"/>
    </row>
    <row r="65218" ht="14.25" customHeight="1" s="192">
      <c r="W65218" s="239" t="n"/>
      <c r="X65218" s="239" t="n"/>
    </row>
    <row r="65220" ht="14.25" customHeight="1" s="192">
      <c r="W65220" s="235" t="n"/>
      <c r="X65220" s="235" t="n"/>
    </row>
    <row r="65221" ht="15" customHeight="1" s="192" thickBot="1">
      <c r="W65221" s="239" t="n"/>
      <c r="X65221" s="239" t="n"/>
    </row>
    <row r="65222" ht="15" customHeight="1" s="192" thickBot="1">
      <c r="W65222" s="45" t="n"/>
      <c r="X65222" s="45" t="n"/>
    </row>
    <row r="65223" ht="14.25" customHeight="1" s="192">
      <c r="W65223" s="228" t="n"/>
      <c r="X65223" s="228" t="n"/>
    </row>
    <row r="65224" ht="14.25" customHeight="1" s="192">
      <c r="W65224" s="228" t="n"/>
      <c r="X65224" s="228" t="n"/>
    </row>
    <row r="65225" ht="14.25" customHeight="1" s="192">
      <c r="W65225" s="231" t="n"/>
      <c r="X65225" s="231" t="n"/>
    </row>
    <row r="65226" ht="14.25" customHeight="1" s="192">
      <c r="W65226" s="33" t="n"/>
      <c r="X65226" s="33" t="n"/>
    </row>
    <row r="65227" ht="14.25" customHeight="1" s="192">
      <c r="W65227" s="231" t="n"/>
      <c r="X65227" s="231" t="n"/>
    </row>
    <row r="65228" ht="14.25" customHeight="1" s="192">
      <c r="W65228" s="33" t="n"/>
      <c r="X65228" s="33" t="n"/>
    </row>
    <row r="65230" ht="14.25" customHeight="1" s="192">
      <c r="W65230" s="231" t="n"/>
      <c r="X65230" s="231" t="n"/>
    </row>
    <row r="65231" ht="14.25" customHeight="1" s="192">
      <c r="W65231" s="235" t="n"/>
      <c r="X65231" s="235" t="n"/>
    </row>
    <row r="65232" ht="14.25" customHeight="1" s="192">
      <c r="W65232" s="228" t="n"/>
      <c r="X65232" s="228" t="n"/>
    </row>
    <row r="65233" ht="14.25" customHeight="1" s="192">
      <c r="W65233" s="235" t="n"/>
      <c r="X65233" s="235" t="n"/>
    </row>
    <row r="65234" ht="14.25" customHeight="1" s="192">
      <c r="W65234" s="235" t="n"/>
      <c r="X65234" s="235" t="n"/>
    </row>
    <row r="65235" ht="14.25" customHeight="1" s="192">
      <c r="W65235" s="235" t="n"/>
      <c r="X65235" s="235" t="n"/>
    </row>
    <row r="65236" ht="14.25" customHeight="1" s="192">
      <c r="W65236" s="239" t="n"/>
      <c r="X65236" s="239" t="n"/>
    </row>
    <row r="65237" ht="14.25" customHeight="1" s="192">
      <c r="W65237" s="239" t="n"/>
      <c r="X65237" s="239" t="n"/>
    </row>
    <row r="65238" ht="14.25" customHeight="1" s="192">
      <c r="W65238" s="239" t="n"/>
      <c r="X65238" s="239" t="n"/>
    </row>
    <row r="65239" ht="14.25" customHeight="1" s="192">
      <c r="W65239" s="235" t="n"/>
      <c r="X65239" s="235" t="n"/>
    </row>
    <row r="65240" ht="14.25" customHeight="1" s="192">
      <c r="W65240" s="235" t="n"/>
      <c r="X65240" s="235" t="n"/>
    </row>
    <row r="65241" ht="14.25" customHeight="1" s="192">
      <c r="W65241" s="235" t="n"/>
      <c r="X65241" s="235" t="n"/>
    </row>
    <row r="65242" ht="14.25" customHeight="1" s="192">
      <c r="W65242" s="239" t="n"/>
      <c r="X65242" s="239" t="n"/>
    </row>
    <row r="65243" ht="14.25" customHeight="1" s="192">
      <c r="W65243" s="239" t="n"/>
      <c r="X65243" s="239" t="n"/>
    </row>
    <row r="65244" ht="14.25" customHeight="1" s="192">
      <c r="W65244" s="235" t="n"/>
      <c r="X65244" s="235" t="n"/>
    </row>
    <row r="65245" ht="14.25" customHeight="1" s="192">
      <c r="W65245" s="235" t="n"/>
      <c r="X65245" s="235" t="n"/>
    </row>
    <row r="65246" ht="14.25" customHeight="1" s="192">
      <c r="W65246" s="239" t="n"/>
      <c r="X65246" s="239" t="n"/>
    </row>
    <row r="65247" ht="14.25" customHeight="1" s="192">
      <c r="W65247" s="235" t="n"/>
      <c r="X65247" s="235" t="n"/>
    </row>
    <row r="65248" ht="14.25" customHeight="1" s="192">
      <c r="W65248" s="239" t="n"/>
      <c r="X65248" s="239" t="n"/>
    </row>
    <row r="65250" ht="14.25" customHeight="1" s="192">
      <c r="W65250" s="235" t="n"/>
      <c r="X65250" s="235" t="n"/>
    </row>
    <row r="65251" ht="15" customHeight="1" s="192" thickBot="1">
      <c r="W65251" s="239" t="n"/>
      <c r="X65251" s="239" t="n"/>
    </row>
    <row r="65252" ht="15" customHeight="1" s="192" thickBot="1">
      <c r="W65252" s="45" t="n"/>
      <c r="X65252" s="45" t="n"/>
    </row>
    <row r="65253" ht="14.25" customHeight="1" s="192">
      <c r="W65253" s="228" t="n"/>
      <c r="X65253" s="228" t="n"/>
    </row>
    <row r="65254" ht="14.25" customHeight="1" s="192">
      <c r="W65254" s="228" t="n"/>
      <c r="X65254" s="228" t="n"/>
    </row>
    <row r="65255" ht="14.25" customHeight="1" s="192">
      <c r="W65255" s="231" t="n"/>
      <c r="X65255" s="231" t="n"/>
    </row>
    <row r="65256" ht="14.25" customHeight="1" s="192">
      <c r="W65256" s="33" t="n"/>
      <c r="X65256" s="33" t="n"/>
    </row>
    <row r="65257" ht="14.25" customHeight="1" s="192">
      <c r="W65257" s="231" t="n"/>
      <c r="X65257" s="231" t="n"/>
    </row>
    <row r="65258" ht="14.25" customHeight="1" s="192">
      <c r="W65258" s="33" t="n"/>
      <c r="X65258" s="33" t="n"/>
    </row>
    <row r="65260" ht="14.25" customHeight="1" s="192">
      <c r="W65260" s="231" t="n"/>
      <c r="X65260" s="231" t="n"/>
    </row>
    <row r="65261" ht="14.25" customHeight="1" s="192">
      <c r="W65261" s="235" t="n"/>
      <c r="X65261" s="235" t="n"/>
    </row>
    <row r="65262" ht="14.25" customHeight="1" s="192">
      <c r="W65262" s="228" t="n"/>
      <c r="X65262" s="228" t="n"/>
    </row>
    <row r="65263" ht="14.25" customHeight="1" s="192">
      <c r="W65263" s="235" t="n"/>
      <c r="X65263" s="235" t="n"/>
    </row>
    <row r="65264" ht="14.25" customHeight="1" s="192">
      <c r="W65264" s="235" t="n"/>
      <c r="X65264" s="235" t="n"/>
    </row>
    <row r="65265" ht="14.25" customHeight="1" s="192">
      <c r="W65265" s="235" t="n"/>
      <c r="X65265" s="235" t="n"/>
    </row>
    <row r="65266" ht="14.25" customHeight="1" s="192">
      <c r="W65266" s="239" t="n"/>
      <c r="X65266" s="239" t="n"/>
    </row>
    <row r="65267" ht="14.25" customHeight="1" s="192">
      <c r="W65267" s="239" t="n"/>
      <c r="X65267" s="239" t="n"/>
    </row>
    <row r="65268" ht="14.25" customHeight="1" s="192">
      <c r="W65268" s="239" t="n"/>
      <c r="X65268" s="239" t="n"/>
    </row>
    <row r="65269" ht="14.25" customHeight="1" s="192">
      <c r="W65269" s="235" t="n"/>
      <c r="X65269" s="235" t="n"/>
    </row>
    <row r="65270" ht="14.25" customHeight="1" s="192">
      <c r="W65270" s="235" t="n"/>
      <c r="X65270" s="235" t="n"/>
    </row>
    <row r="65271" ht="14.25" customHeight="1" s="192">
      <c r="W65271" s="235" t="n"/>
      <c r="X65271" s="235" t="n"/>
    </row>
    <row r="65272" ht="14.25" customHeight="1" s="192">
      <c r="W65272" s="239" t="n"/>
      <c r="X65272" s="239" t="n"/>
    </row>
    <row r="65273" ht="14.25" customHeight="1" s="192">
      <c r="W65273" s="239" t="n"/>
      <c r="X65273" s="239" t="n"/>
    </row>
    <row r="65274" ht="14.25" customHeight="1" s="192">
      <c r="W65274" s="235" t="n"/>
      <c r="X65274" s="235" t="n"/>
    </row>
    <row r="65275" ht="14.25" customHeight="1" s="192">
      <c r="W65275" s="235" t="n"/>
      <c r="X65275" s="235" t="n"/>
    </row>
    <row r="65276" ht="14.25" customHeight="1" s="192">
      <c r="W65276" s="239" t="n"/>
      <c r="X65276" s="239" t="n"/>
    </row>
    <row r="65277" ht="14.25" customHeight="1" s="192">
      <c r="W65277" s="235" t="n"/>
      <c r="X65277" s="235" t="n"/>
    </row>
    <row r="65278" ht="14.25" customHeight="1" s="192">
      <c r="W65278" s="239" t="n"/>
      <c r="X65278" s="239" t="n"/>
    </row>
    <row r="65280" ht="14.25" customHeight="1" s="192">
      <c r="W65280" s="235" t="n"/>
      <c r="X65280" s="235" t="n"/>
    </row>
    <row r="65281" ht="15" customHeight="1" s="192" thickBot="1">
      <c r="W65281" s="239" t="n"/>
      <c r="X65281" s="239" t="n"/>
    </row>
    <row r="65282" ht="15" customHeight="1" s="192" thickBot="1">
      <c r="W65282" s="45" t="n"/>
      <c r="X65282" s="45" t="n"/>
    </row>
    <row r="65283" ht="14.25" customHeight="1" s="192">
      <c r="W65283" s="228" t="n"/>
      <c r="X65283" s="228" t="n"/>
    </row>
    <row r="65284" ht="14.25" customHeight="1" s="192">
      <c r="W65284" s="228" t="n"/>
      <c r="X65284" s="228" t="n"/>
    </row>
    <row r="65285" ht="14.25" customHeight="1" s="192">
      <c r="W65285" s="231" t="n"/>
      <c r="X65285" s="231" t="n"/>
    </row>
    <row r="65286" ht="14.25" customHeight="1" s="192">
      <c r="W65286" s="33" t="n"/>
      <c r="X65286" s="33" t="n"/>
    </row>
    <row r="65287" ht="14.25" customHeight="1" s="192">
      <c r="W65287" s="231" t="n"/>
      <c r="X65287" s="231" t="n"/>
    </row>
    <row r="65288" ht="14.25" customHeight="1" s="192">
      <c r="W65288" s="33" t="n"/>
      <c r="X65288" s="33" t="n"/>
    </row>
    <row r="65290" ht="14.25" customHeight="1" s="192">
      <c r="W65290" s="231" t="n"/>
      <c r="X65290" s="231" t="n"/>
    </row>
    <row r="65291" ht="14.25" customHeight="1" s="192">
      <c r="W65291" s="235" t="n"/>
      <c r="X65291" s="235" t="n"/>
    </row>
    <row r="65292" ht="14.25" customHeight="1" s="192">
      <c r="W65292" s="228" t="n"/>
      <c r="X65292" s="228" t="n"/>
    </row>
    <row r="65293" ht="14.25" customHeight="1" s="192">
      <c r="W65293" s="235" t="n"/>
      <c r="X65293" s="235" t="n"/>
    </row>
    <row r="65294" ht="14.25" customHeight="1" s="192">
      <c r="W65294" s="235" t="n"/>
      <c r="X65294" s="235" t="n"/>
    </row>
    <row r="65295" ht="14.25" customHeight="1" s="192">
      <c r="W65295" s="235" t="n"/>
      <c r="X65295" s="235" t="n"/>
    </row>
    <row r="65296" ht="14.25" customHeight="1" s="192">
      <c r="W65296" s="239" t="n"/>
      <c r="X65296" s="239" t="n"/>
    </row>
    <row r="65297" ht="14.25" customHeight="1" s="192">
      <c r="W65297" s="239" t="n"/>
      <c r="X65297" s="239" t="n"/>
    </row>
    <row r="65298" ht="14.25" customHeight="1" s="192">
      <c r="W65298" s="239" t="n"/>
      <c r="X65298" s="239" t="n"/>
    </row>
    <row r="65299" ht="14.25" customHeight="1" s="192">
      <c r="W65299" s="235" t="n"/>
      <c r="X65299" s="235" t="n"/>
    </row>
    <row r="65300" ht="14.25" customHeight="1" s="192">
      <c r="W65300" s="235" t="n"/>
      <c r="X65300" s="235" t="n"/>
    </row>
    <row r="65301" ht="14.25" customHeight="1" s="192">
      <c r="W65301" s="235" t="n"/>
      <c r="X65301" s="235" t="n"/>
    </row>
    <row r="65302" ht="14.25" customHeight="1" s="192">
      <c r="W65302" s="239" t="n"/>
      <c r="X65302" s="239" t="n"/>
    </row>
    <row r="65303" ht="14.25" customHeight="1" s="192">
      <c r="W65303" s="239" t="n"/>
      <c r="X65303" s="239" t="n"/>
    </row>
    <row r="65304" ht="14.25" customHeight="1" s="192">
      <c r="W65304" s="235" t="n"/>
      <c r="X65304" s="235" t="n"/>
    </row>
    <row r="65305" ht="14.25" customHeight="1" s="192">
      <c r="W65305" s="235" t="n"/>
      <c r="X65305" s="235" t="n"/>
    </row>
    <row r="65306" ht="14.25" customHeight="1" s="192">
      <c r="W65306" s="239" t="n"/>
      <c r="X65306" s="239" t="n"/>
    </row>
    <row r="65307" ht="14.25" customHeight="1" s="192">
      <c r="W65307" s="235" t="n"/>
      <c r="X65307" s="235" t="n"/>
    </row>
    <row r="65308" ht="14.25" customHeight="1" s="192">
      <c r="W65308" s="239" t="n"/>
      <c r="X65308" s="239" t="n"/>
    </row>
    <row r="65310" ht="14.25" customHeight="1" s="192">
      <c r="W65310" s="235" t="n"/>
      <c r="X65310" s="235" t="n"/>
    </row>
    <row r="65311" ht="15" customHeight="1" s="192" thickBot="1">
      <c r="W65311" s="239" t="n"/>
      <c r="X65311" s="239" t="n"/>
    </row>
    <row r="65312" ht="15" customHeight="1" s="192" thickBot="1">
      <c r="W65312" s="45" t="n"/>
      <c r="X65312" s="45" t="n"/>
    </row>
    <row r="65313" ht="14.25" customHeight="1" s="192">
      <c r="W65313" s="228" t="n"/>
      <c r="X65313" s="228" t="n"/>
    </row>
    <row r="65314" ht="14.25" customHeight="1" s="192">
      <c r="W65314" s="228" t="n"/>
      <c r="X65314" s="228" t="n"/>
    </row>
    <row r="65315" ht="14.25" customHeight="1" s="192">
      <c r="W65315" s="231" t="n"/>
      <c r="X65315" s="231" t="n"/>
    </row>
    <row r="65316" ht="14.25" customHeight="1" s="192">
      <c r="W65316" s="33" t="n"/>
      <c r="X65316" s="33" t="n"/>
    </row>
    <row r="65317" ht="14.25" customHeight="1" s="192">
      <c r="W65317" s="231" t="n"/>
      <c r="X65317" s="231" t="n"/>
    </row>
    <row r="65318" ht="14.25" customHeight="1" s="192">
      <c r="W65318" s="33" t="n"/>
      <c r="X65318" s="33" t="n"/>
    </row>
    <row r="65320" ht="14.25" customHeight="1" s="192">
      <c r="W65320" s="231" t="n"/>
      <c r="X65320" s="231" t="n"/>
    </row>
    <row r="65321" ht="14.25" customHeight="1" s="192">
      <c r="W65321" s="235" t="n"/>
      <c r="X65321" s="235" t="n"/>
    </row>
    <row r="65322" ht="14.25" customHeight="1" s="192">
      <c r="W65322" s="228" t="n"/>
      <c r="X65322" s="228" t="n"/>
    </row>
    <row r="65323" ht="14.25" customHeight="1" s="192">
      <c r="W65323" s="235" t="n"/>
      <c r="X65323" s="235" t="n"/>
    </row>
    <row r="65324" ht="14.25" customHeight="1" s="192">
      <c r="W65324" s="235" t="n"/>
      <c r="X65324" s="235" t="n"/>
    </row>
    <row r="65325" ht="14.25" customHeight="1" s="192">
      <c r="W65325" s="235" t="n"/>
      <c r="X65325" s="235" t="n"/>
    </row>
    <row r="65326" ht="14.25" customHeight="1" s="192">
      <c r="W65326" s="239" t="n"/>
      <c r="X65326" s="239" t="n"/>
    </row>
    <row r="65327" ht="14.25" customHeight="1" s="192">
      <c r="W65327" s="239" t="n"/>
      <c r="X65327" s="239" t="n"/>
    </row>
    <row r="65328" ht="14.25" customHeight="1" s="192">
      <c r="W65328" s="239" t="n"/>
      <c r="X65328" s="239" t="n"/>
    </row>
    <row r="65329" ht="14.25" customHeight="1" s="192">
      <c r="W65329" s="235" t="n"/>
      <c r="X65329" s="235" t="n"/>
    </row>
    <row r="65330" ht="14.25" customHeight="1" s="192">
      <c r="W65330" s="235" t="n"/>
      <c r="X65330" s="235" t="n"/>
    </row>
    <row r="65331" ht="14.25" customHeight="1" s="192">
      <c r="W65331" s="235" t="n"/>
      <c r="X65331" s="235" t="n"/>
    </row>
    <row r="65332" ht="14.25" customHeight="1" s="192">
      <c r="W65332" s="239" t="n"/>
      <c r="X65332" s="239" t="n"/>
    </row>
    <row r="65333" ht="14.25" customHeight="1" s="192">
      <c r="W65333" s="239" t="n"/>
      <c r="X65333" s="239" t="n"/>
    </row>
    <row r="65334" ht="14.25" customHeight="1" s="192">
      <c r="W65334" s="235" t="n"/>
      <c r="X65334" s="235" t="n"/>
    </row>
    <row r="65335" ht="14.25" customHeight="1" s="192">
      <c r="W65335" s="235" t="n"/>
      <c r="X65335" s="235" t="n"/>
    </row>
    <row r="65336" ht="14.25" customHeight="1" s="192">
      <c r="W65336" s="239" t="n"/>
      <c r="X65336" s="239" t="n"/>
    </row>
    <row r="65337" ht="14.25" customHeight="1" s="192">
      <c r="W65337" s="235" t="n"/>
      <c r="X65337" s="235" t="n"/>
    </row>
    <row r="65338" ht="14.25" customHeight="1" s="192">
      <c r="W65338" s="239" t="n"/>
      <c r="X65338" s="239" t="n"/>
    </row>
    <row r="65340" ht="14.25" customHeight="1" s="192">
      <c r="W65340" s="235" t="n"/>
      <c r="X65340" s="235" t="n"/>
    </row>
    <row r="65341" ht="15" customHeight="1" s="192" thickBot="1">
      <c r="W65341" s="239" t="n"/>
      <c r="X65341" s="239" t="n"/>
    </row>
    <row r="65342" ht="15" customHeight="1" s="192" thickBot="1">
      <c r="W65342" s="45" t="n"/>
      <c r="X65342" s="45" t="n"/>
    </row>
    <row r="65343" ht="14.25" customHeight="1" s="192">
      <c r="W65343" s="228" t="n"/>
      <c r="X65343" s="228" t="n"/>
    </row>
    <row r="65344" ht="14.25" customHeight="1" s="192">
      <c r="W65344" s="228" t="n"/>
      <c r="X65344" s="228" t="n"/>
    </row>
    <row r="65345" ht="14.25" customHeight="1" s="192">
      <c r="W65345" s="231" t="n"/>
      <c r="X65345" s="231" t="n"/>
    </row>
    <row r="65346" ht="14.25" customHeight="1" s="192">
      <c r="W65346" s="33" t="n"/>
      <c r="X65346" s="33" t="n"/>
    </row>
    <row r="65347" ht="14.25" customHeight="1" s="192">
      <c r="W65347" s="231" t="n"/>
      <c r="X65347" s="231" t="n"/>
    </row>
    <row r="65348" ht="14.25" customHeight="1" s="192">
      <c r="W65348" s="33" t="n"/>
      <c r="X65348" s="33" t="n"/>
    </row>
    <row r="65350" ht="14.25" customHeight="1" s="192">
      <c r="W65350" s="231" t="n"/>
      <c r="X65350" s="231" t="n"/>
    </row>
    <row r="65351" ht="14.25" customHeight="1" s="192">
      <c r="W65351" s="235" t="n"/>
      <c r="X65351" s="235" t="n"/>
    </row>
    <row r="65352" ht="14.25" customHeight="1" s="192">
      <c r="W65352" s="228" t="n"/>
      <c r="X65352" s="228" t="n"/>
    </row>
    <row r="65353" ht="14.25" customHeight="1" s="192">
      <c r="W65353" s="235" t="n"/>
      <c r="X65353" s="235" t="n"/>
    </row>
    <row r="65354" ht="14.25" customHeight="1" s="192">
      <c r="W65354" s="235" t="n"/>
      <c r="X65354" s="235" t="n"/>
    </row>
    <row r="65355" ht="14.25" customHeight="1" s="192">
      <c r="W65355" s="235" t="n"/>
      <c r="X65355" s="235" t="n"/>
    </row>
    <row r="65356" ht="14.25" customHeight="1" s="192">
      <c r="W65356" s="239" t="n"/>
      <c r="X65356" s="239" t="n"/>
    </row>
    <row r="65357" ht="14.25" customHeight="1" s="192">
      <c r="W65357" s="239" t="n"/>
      <c r="X65357" s="239" t="n"/>
    </row>
    <row r="65358" ht="14.25" customHeight="1" s="192">
      <c r="W65358" s="239" t="n"/>
      <c r="X65358" s="239" t="n"/>
    </row>
    <row r="65359" ht="14.25" customHeight="1" s="192">
      <c r="W65359" s="235" t="n"/>
      <c r="X65359" s="235" t="n"/>
    </row>
    <row r="65360" ht="14.25" customHeight="1" s="192">
      <c r="W65360" s="235" t="n"/>
      <c r="X65360" s="235" t="n"/>
    </row>
    <row r="65361" ht="14.25" customHeight="1" s="192">
      <c r="W65361" s="235" t="n"/>
      <c r="X65361" s="235" t="n"/>
    </row>
    <row r="65362" ht="14.25" customHeight="1" s="192">
      <c r="W65362" s="239" t="n"/>
      <c r="X65362" s="239" t="n"/>
    </row>
    <row r="65363" ht="14.25" customHeight="1" s="192">
      <c r="W65363" s="239" t="n"/>
      <c r="X65363" s="239" t="n"/>
    </row>
    <row r="65364" ht="14.25" customHeight="1" s="192">
      <c r="W65364" s="235" t="n"/>
      <c r="X65364" s="235" t="n"/>
    </row>
    <row r="65365" ht="14.25" customHeight="1" s="192">
      <c r="W65365" s="235" t="n"/>
      <c r="X65365" s="235" t="n"/>
    </row>
    <row r="65366" ht="14.25" customHeight="1" s="192">
      <c r="W65366" s="239" t="n"/>
      <c r="X65366" s="239" t="n"/>
    </row>
    <row r="65367" ht="14.25" customHeight="1" s="192">
      <c r="W65367" s="235" t="n"/>
      <c r="X65367" s="235" t="n"/>
    </row>
    <row r="65368" ht="14.25" customHeight="1" s="192">
      <c r="W65368" s="239" t="n"/>
      <c r="X65368" s="239" t="n"/>
    </row>
    <row r="65370" ht="14.25" customHeight="1" s="192">
      <c r="W65370" s="235" t="n"/>
      <c r="X65370" s="235" t="n"/>
    </row>
    <row r="65371" ht="15" customHeight="1" s="192" thickBot="1">
      <c r="W65371" s="239" t="n"/>
      <c r="X65371" s="239" t="n"/>
    </row>
    <row r="65372" ht="15" customHeight="1" s="192" thickBot="1">
      <c r="W65372" s="45" t="n"/>
      <c r="X65372" s="45" t="n"/>
    </row>
    <row r="65373" ht="14.25" customHeight="1" s="192">
      <c r="W65373" s="228" t="n"/>
      <c r="X65373" s="228" t="n"/>
    </row>
    <row r="65374" ht="14.25" customHeight="1" s="192">
      <c r="W65374" s="228" t="n"/>
      <c r="X65374" s="228" t="n"/>
    </row>
    <row r="65375" ht="14.25" customHeight="1" s="192">
      <c r="W65375" s="231" t="n"/>
      <c r="X65375" s="231" t="n"/>
    </row>
    <row r="65376" ht="14.25" customHeight="1" s="192">
      <c r="W65376" s="33" t="n"/>
      <c r="X65376" s="33" t="n"/>
    </row>
    <row r="65377" ht="14.25" customHeight="1" s="192">
      <c r="W65377" s="231" t="n"/>
      <c r="X65377" s="231" t="n"/>
    </row>
    <row r="65378" ht="14.25" customHeight="1" s="192">
      <c r="W65378" s="33" t="n"/>
      <c r="X65378" s="33" t="n"/>
    </row>
    <row r="65380" ht="14.25" customHeight="1" s="192">
      <c r="W65380" s="231" t="n"/>
      <c r="X65380" s="231" t="n"/>
    </row>
    <row r="65381" ht="14.25" customHeight="1" s="192">
      <c r="W65381" s="235" t="n"/>
      <c r="X65381" s="235" t="n"/>
    </row>
    <row r="65382" ht="14.25" customHeight="1" s="192">
      <c r="W65382" s="228" t="n"/>
      <c r="X65382" s="228" t="n"/>
    </row>
    <row r="65383" ht="14.25" customHeight="1" s="192">
      <c r="W65383" s="235" t="n"/>
      <c r="X65383" s="235" t="n"/>
    </row>
    <row r="65384" ht="14.25" customHeight="1" s="192">
      <c r="W65384" s="235" t="n"/>
      <c r="X65384" s="235" t="n"/>
    </row>
    <row r="65385" ht="14.25" customHeight="1" s="192">
      <c r="W65385" s="235" t="n"/>
      <c r="X65385" s="235" t="n"/>
    </row>
    <row r="65386" ht="14.25" customHeight="1" s="192">
      <c r="W65386" s="239" t="n"/>
      <c r="X65386" s="239" t="n"/>
    </row>
    <row r="65387" ht="14.25" customHeight="1" s="192">
      <c r="W65387" s="239" t="n"/>
      <c r="X65387" s="239" t="n"/>
    </row>
    <row r="65388" ht="14.25" customHeight="1" s="192">
      <c r="W65388" s="239" t="n"/>
      <c r="X65388" s="239" t="n"/>
    </row>
    <row r="65389" ht="14.25" customHeight="1" s="192">
      <c r="W65389" s="235" t="n"/>
      <c r="X65389" s="235" t="n"/>
    </row>
    <row r="65390" ht="14.25" customHeight="1" s="192">
      <c r="W65390" s="235" t="n"/>
      <c r="X65390" s="235" t="n"/>
    </row>
    <row r="65391" ht="14.25" customHeight="1" s="192">
      <c r="W65391" s="235" t="n"/>
      <c r="X65391" s="235" t="n"/>
    </row>
    <row r="65392" ht="14.25" customHeight="1" s="192">
      <c r="W65392" s="239" t="n"/>
      <c r="X65392" s="239" t="n"/>
    </row>
    <row r="65393" ht="14.25" customHeight="1" s="192">
      <c r="W65393" s="239" t="n"/>
      <c r="X65393" s="239" t="n"/>
    </row>
    <row r="65394" ht="14.25" customHeight="1" s="192">
      <c r="W65394" s="235" t="n"/>
      <c r="X65394" s="235" t="n"/>
    </row>
    <row r="65395" ht="14.25" customHeight="1" s="192">
      <c r="W65395" s="235" t="n"/>
      <c r="X65395" s="235" t="n"/>
    </row>
    <row r="65396" ht="14.25" customHeight="1" s="192">
      <c r="W65396" s="239" t="n"/>
      <c r="X65396" s="239" t="n"/>
    </row>
    <row r="65397" ht="14.25" customHeight="1" s="192">
      <c r="W65397" s="235" t="n"/>
      <c r="X65397" s="235" t="n"/>
    </row>
    <row r="65398" ht="14.25" customHeight="1" s="192">
      <c r="W65398" s="239" t="n"/>
      <c r="X65398" s="239" t="n"/>
    </row>
    <row r="65400" ht="14.25" customHeight="1" s="192">
      <c r="W65400" s="235" t="n"/>
      <c r="X65400" s="235" t="n"/>
    </row>
    <row r="65401" ht="15" customHeight="1" s="192" thickBot="1">
      <c r="W65401" s="239" t="n"/>
      <c r="X65401" s="239" t="n"/>
    </row>
    <row r="65402" ht="15" customHeight="1" s="192" thickBot="1">
      <c r="W65402" s="45" t="n"/>
      <c r="X65402" s="45" t="n"/>
    </row>
    <row r="65403" ht="14.25" customHeight="1" s="192">
      <c r="W65403" s="228" t="n"/>
      <c r="X65403" s="228" t="n"/>
    </row>
    <row r="65404" ht="14.25" customHeight="1" s="192">
      <c r="W65404" s="228" t="n"/>
      <c r="X65404" s="228" t="n"/>
    </row>
    <row r="65405" ht="14.25" customHeight="1" s="192">
      <c r="W65405" s="231" t="n"/>
      <c r="X65405" s="231" t="n"/>
    </row>
    <row r="65406" ht="14.25" customHeight="1" s="192">
      <c r="W65406" s="33" t="n"/>
      <c r="X65406" s="33" t="n"/>
    </row>
    <row r="65407" ht="14.25" customHeight="1" s="192">
      <c r="W65407" s="231" t="n"/>
      <c r="X65407" s="231" t="n"/>
    </row>
    <row r="65408" ht="14.25" customHeight="1" s="192">
      <c r="W65408" s="33" t="n"/>
      <c r="X65408" s="33" t="n"/>
    </row>
    <row r="65410" ht="14.25" customHeight="1" s="192">
      <c r="W65410" s="231" t="n"/>
      <c r="X65410" s="231" t="n"/>
    </row>
    <row r="65411" ht="14.25" customHeight="1" s="192">
      <c r="W65411" s="235" t="n"/>
      <c r="X65411" s="235" t="n"/>
    </row>
    <row r="65412" ht="14.25" customHeight="1" s="192">
      <c r="W65412" s="228" t="n"/>
      <c r="X65412" s="228" t="n"/>
    </row>
    <row r="65413" ht="14.25" customHeight="1" s="192">
      <c r="W65413" s="235" t="n"/>
      <c r="X65413" s="235" t="n"/>
    </row>
    <row r="65414" ht="14.25" customHeight="1" s="192">
      <c r="W65414" s="235" t="n"/>
      <c r="X65414" s="235" t="n"/>
    </row>
    <row r="65415" ht="14.25" customHeight="1" s="192">
      <c r="W65415" s="235" t="n"/>
      <c r="X65415" s="235" t="n"/>
    </row>
    <row r="65416" ht="14.25" customHeight="1" s="192">
      <c r="W65416" s="239" t="n"/>
      <c r="X65416" s="239" t="n"/>
    </row>
    <row r="65417" ht="14.25" customHeight="1" s="192">
      <c r="W65417" s="239" t="n"/>
      <c r="X65417" s="239" t="n"/>
    </row>
    <row r="65418" ht="14.25" customHeight="1" s="192">
      <c r="W65418" s="239" t="n"/>
      <c r="X65418" s="239" t="n"/>
    </row>
    <row r="65419" ht="14.25" customHeight="1" s="192">
      <c r="W65419" s="235" t="n"/>
      <c r="X65419" s="235" t="n"/>
    </row>
    <row r="65420" ht="14.25" customHeight="1" s="192">
      <c r="W65420" s="235" t="n"/>
      <c r="X65420" s="235" t="n"/>
    </row>
    <row r="65421" ht="14.25" customHeight="1" s="192">
      <c r="W65421" s="235" t="n"/>
      <c r="X65421" s="235" t="n"/>
    </row>
    <row r="65422" ht="14.25" customHeight="1" s="192">
      <c r="W65422" s="239" t="n"/>
      <c r="X65422" s="239" t="n"/>
    </row>
    <row r="65423" ht="14.25" customHeight="1" s="192">
      <c r="W65423" s="239" t="n"/>
      <c r="X65423" s="239" t="n"/>
    </row>
    <row r="65424" ht="14.25" customHeight="1" s="192">
      <c r="W65424" s="235" t="n"/>
      <c r="X65424" s="235" t="n"/>
    </row>
    <row r="65425" ht="14.25" customHeight="1" s="192">
      <c r="W65425" s="235" t="n"/>
      <c r="X65425" s="235" t="n"/>
    </row>
    <row r="65426" ht="14.25" customHeight="1" s="192">
      <c r="W65426" s="239" t="n"/>
      <c r="X65426" s="239" t="n"/>
    </row>
    <row r="65427" ht="14.25" customHeight="1" s="192">
      <c r="W65427" s="235" t="n"/>
      <c r="X65427" s="235" t="n"/>
    </row>
    <row r="65428" ht="14.25" customHeight="1" s="192">
      <c r="W65428" s="239" t="n"/>
      <c r="X65428" s="239" t="n"/>
    </row>
    <row r="65430" ht="14.25" customHeight="1" s="192">
      <c r="W65430" s="235" t="n"/>
      <c r="X65430" s="235" t="n"/>
    </row>
    <row r="65431" ht="15" customHeight="1" s="192" thickBot="1">
      <c r="W65431" s="239" t="n"/>
      <c r="X65431" s="239" t="n"/>
    </row>
    <row r="65432" ht="15" customHeight="1" s="192" thickBot="1">
      <c r="W65432" s="45" t="n"/>
      <c r="X65432" s="45" t="n"/>
    </row>
    <row r="65433" ht="14.25" customHeight="1" s="192">
      <c r="W65433" s="228" t="n"/>
      <c r="X65433" s="228" t="n"/>
    </row>
    <row r="65434" ht="14.25" customHeight="1" s="192">
      <c r="W65434" s="228" t="n"/>
      <c r="X65434" s="228" t="n"/>
    </row>
    <row r="65435" ht="14.25" customHeight="1" s="192">
      <c r="W65435" s="231" t="n"/>
      <c r="X65435" s="231" t="n"/>
    </row>
    <row r="65436" ht="14.25" customHeight="1" s="192">
      <c r="W65436" s="33" t="n"/>
      <c r="X65436" s="33" t="n"/>
    </row>
    <row r="65437" ht="14.25" customHeight="1" s="192">
      <c r="W65437" s="231" t="n"/>
      <c r="X65437" s="231" t="n"/>
    </row>
    <row r="65438" ht="14.25" customHeight="1" s="192">
      <c r="W65438" s="33" t="n"/>
      <c r="X65438" s="33" t="n"/>
    </row>
    <row r="65440" ht="14.25" customHeight="1" s="192">
      <c r="W65440" s="231" t="n"/>
      <c r="X65440" s="231" t="n"/>
    </row>
    <row r="65441" ht="14.25" customHeight="1" s="192">
      <c r="W65441" s="235" t="n"/>
      <c r="X65441" s="235" t="n"/>
    </row>
    <row r="65442" ht="14.25" customHeight="1" s="192">
      <c r="W65442" s="228" t="n"/>
      <c r="X65442" s="228" t="n"/>
    </row>
    <row r="65443" ht="14.25" customHeight="1" s="192">
      <c r="W65443" s="235" t="n"/>
      <c r="X65443" s="235" t="n"/>
    </row>
    <row r="65444" ht="14.25" customHeight="1" s="192">
      <c r="W65444" s="235" t="n"/>
      <c r="X65444" s="235" t="n"/>
    </row>
    <row r="65445" ht="14.25" customHeight="1" s="192">
      <c r="W65445" s="235" t="n"/>
      <c r="X65445" s="235" t="n"/>
    </row>
    <row r="65446" ht="14.25" customHeight="1" s="192">
      <c r="W65446" s="239" t="n"/>
      <c r="X65446" s="239" t="n"/>
    </row>
    <row r="65447" ht="14.25" customHeight="1" s="192">
      <c r="W65447" s="239" t="n"/>
      <c r="X65447" s="239" t="n"/>
    </row>
    <row r="65448" ht="14.25" customHeight="1" s="192">
      <c r="W65448" s="239" t="n"/>
      <c r="X65448" s="239" t="n"/>
    </row>
    <row r="65449" ht="14.25" customHeight="1" s="192">
      <c r="W65449" s="235" t="n"/>
      <c r="X65449" s="235" t="n"/>
    </row>
    <row r="65450" ht="14.25" customHeight="1" s="192">
      <c r="W65450" s="235" t="n"/>
      <c r="X65450" s="235" t="n"/>
    </row>
    <row r="65451" ht="14.25" customHeight="1" s="192">
      <c r="W65451" s="235" t="n"/>
      <c r="X65451" s="235" t="n"/>
    </row>
    <row r="65452" ht="14.25" customHeight="1" s="192">
      <c r="W65452" s="239" t="n"/>
      <c r="X65452" s="239" t="n"/>
    </row>
    <row r="65453" ht="14.25" customHeight="1" s="192">
      <c r="W65453" s="239" t="n"/>
      <c r="X65453" s="239" t="n"/>
    </row>
    <row r="65454" ht="14.25" customHeight="1" s="192">
      <c r="W65454" s="235" t="n"/>
      <c r="X65454" s="235" t="n"/>
    </row>
    <row r="65455" ht="14.25" customHeight="1" s="192">
      <c r="W65455" s="235" t="n"/>
      <c r="X65455" s="235" t="n"/>
    </row>
    <row r="65456" ht="14.25" customHeight="1" s="192">
      <c r="W65456" s="239" t="n"/>
      <c r="X65456" s="239" t="n"/>
    </row>
    <row r="65457" ht="14.25" customHeight="1" s="192">
      <c r="W65457" s="235" t="n"/>
      <c r="X65457" s="235" t="n"/>
    </row>
    <row r="65458" ht="14.25" customHeight="1" s="192">
      <c r="W65458" s="239" t="n"/>
      <c r="X65458" s="239" t="n"/>
    </row>
    <row r="65460" ht="14.25" customHeight="1" s="192">
      <c r="W65460" s="235" t="n"/>
      <c r="X65460" s="235" t="n"/>
    </row>
    <row r="65461" ht="15" customHeight="1" s="192" thickBot="1">
      <c r="W65461" s="239" t="n"/>
      <c r="X65461" s="239" t="n"/>
    </row>
    <row r="65462" ht="15" customHeight="1" s="192" thickBot="1">
      <c r="W65462" s="45" t="n"/>
      <c r="X65462" s="45" t="n"/>
    </row>
    <row r="65463" ht="14.25" customHeight="1" s="192">
      <c r="W65463" s="228" t="n"/>
      <c r="X65463" s="228" t="n"/>
    </row>
    <row r="65464" ht="14.25" customHeight="1" s="192">
      <c r="W65464" s="228" t="n"/>
      <c r="X65464" s="228" t="n"/>
    </row>
    <row r="65465" ht="14.25" customHeight="1" s="192">
      <c r="W65465" s="231" t="n"/>
      <c r="X65465" s="231" t="n"/>
    </row>
    <row r="65466" ht="14.25" customHeight="1" s="192">
      <c r="W65466" s="33" t="n"/>
      <c r="X65466" s="33" t="n"/>
    </row>
    <row r="65467" ht="14.25" customHeight="1" s="192">
      <c r="W65467" s="231" t="n"/>
      <c r="X65467" s="231" t="n"/>
    </row>
    <row r="65468" ht="14.25" customHeight="1" s="192">
      <c r="W65468" s="33" t="n"/>
      <c r="X65468" s="33" t="n"/>
    </row>
    <row r="65470" ht="14.25" customHeight="1" s="192">
      <c r="W65470" s="231" t="n"/>
      <c r="X65470" s="231" t="n"/>
    </row>
    <row r="65471" ht="14.25" customHeight="1" s="192">
      <c r="W65471" s="235" t="n"/>
      <c r="X65471" s="235" t="n"/>
    </row>
    <row r="65472" ht="14.25" customHeight="1" s="192">
      <c r="W65472" s="228" t="n"/>
      <c r="X65472" s="228" t="n"/>
    </row>
    <row r="65473" ht="14.25" customHeight="1" s="192">
      <c r="W65473" s="235" t="n"/>
      <c r="X65473" s="235" t="n"/>
    </row>
    <row r="65474" ht="14.25" customHeight="1" s="192">
      <c r="W65474" s="235" t="n"/>
      <c r="X65474" s="235" t="n"/>
    </row>
    <row r="65475" ht="14.25" customHeight="1" s="192">
      <c r="W65475" s="235" t="n"/>
      <c r="X65475" s="235" t="n"/>
    </row>
    <row r="65476" ht="14.25" customHeight="1" s="192">
      <c r="W65476" s="239" t="n"/>
      <c r="X65476" s="239" t="n"/>
    </row>
    <row r="65477" ht="14.25" customHeight="1" s="192">
      <c r="W65477" s="239" t="n"/>
      <c r="X65477" s="239" t="n"/>
    </row>
    <row r="65478" ht="14.25" customHeight="1" s="192">
      <c r="W65478" s="239" t="n"/>
      <c r="X65478" s="239" t="n"/>
    </row>
    <row r="65479" ht="14.25" customHeight="1" s="192">
      <c r="W65479" s="235" t="n"/>
      <c r="X65479" s="235" t="n"/>
    </row>
    <row r="65480" ht="14.25" customHeight="1" s="192">
      <c r="W65480" s="235" t="n"/>
      <c r="X65480" s="235" t="n"/>
    </row>
    <row r="65481" ht="14.25" customHeight="1" s="192">
      <c r="W65481" s="235" t="n"/>
      <c r="X65481" s="235" t="n"/>
    </row>
    <row r="65482" ht="14.25" customHeight="1" s="192">
      <c r="W65482" s="239" t="n"/>
      <c r="X65482" s="239" t="n"/>
    </row>
    <row r="65483" ht="14.25" customHeight="1" s="192">
      <c r="W65483" s="239" t="n"/>
      <c r="X65483" s="239" t="n"/>
    </row>
    <row r="65484" ht="14.25" customHeight="1" s="192">
      <c r="W65484" s="235" t="n"/>
      <c r="X65484" s="235" t="n"/>
    </row>
    <row r="65485" ht="14.25" customHeight="1" s="192">
      <c r="W65485" s="235" t="n"/>
      <c r="X65485" s="235" t="n"/>
    </row>
    <row r="65486" ht="14.25" customHeight="1" s="192">
      <c r="W65486" s="239" t="n"/>
      <c r="X65486" s="239" t="n"/>
    </row>
    <row r="65487" ht="14.25" customHeight="1" s="192">
      <c r="W65487" s="235" t="n"/>
      <c r="X65487" s="235" t="n"/>
    </row>
    <row r="65488" ht="14.25" customHeight="1" s="192">
      <c r="W65488" s="239" t="n"/>
      <c r="X65488" s="239" t="n"/>
    </row>
    <row r="65490" ht="14.25" customHeight="1" s="192">
      <c r="W65490" s="235" t="n"/>
      <c r="X65490" s="235" t="n"/>
    </row>
    <row r="65491" ht="15" customHeight="1" s="192" thickBot="1">
      <c r="W65491" s="239" t="n"/>
      <c r="X65491" s="239" t="n"/>
    </row>
    <row r="65492" ht="15" customHeight="1" s="192" thickBot="1">
      <c r="W65492" s="45" t="n"/>
      <c r="X65492" s="45" t="n"/>
    </row>
    <row r="65493" ht="14.25" customHeight="1" s="192">
      <c r="W65493" s="228" t="n"/>
      <c r="X65493" s="228" t="n"/>
    </row>
    <row r="65494" ht="14.25" customHeight="1" s="192">
      <c r="W65494" s="228" t="n"/>
      <c r="X65494" s="228" t="n"/>
    </row>
    <row r="65495" ht="14.25" customHeight="1" s="192">
      <c r="W65495" s="231" t="n"/>
      <c r="X65495" s="231" t="n"/>
    </row>
    <row r="65496" ht="14.25" customHeight="1" s="192">
      <c r="W65496" s="33" t="n"/>
      <c r="X65496" s="33" t="n"/>
    </row>
    <row r="65497" ht="14.25" customHeight="1" s="192">
      <c r="W65497" s="231" t="n"/>
      <c r="X65497" s="231" t="n"/>
    </row>
    <row r="65498" ht="14.25" customHeight="1" s="192">
      <c r="W65498" s="33" t="n"/>
      <c r="X65498" s="33" t="n"/>
    </row>
    <row r="65500" ht="14.25" customHeight="1" s="192">
      <c r="W65500" s="231" t="n"/>
      <c r="X65500" s="231" t="n"/>
    </row>
    <row r="65501" ht="14.25" customHeight="1" s="192">
      <c r="W65501" s="235" t="n"/>
      <c r="X65501" s="235" t="n"/>
    </row>
    <row r="65502" ht="14.25" customHeight="1" s="192">
      <c r="W65502" s="228" t="n"/>
      <c r="X65502" s="228" t="n"/>
    </row>
    <row r="65503" ht="14.25" customHeight="1" s="192">
      <c r="W65503" s="235" t="n"/>
      <c r="X65503" s="235" t="n"/>
    </row>
    <row r="65504" ht="14.25" customHeight="1" s="192">
      <c r="W65504" s="235" t="n"/>
      <c r="X65504" s="235" t="n"/>
    </row>
    <row r="65505" ht="14.25" customHeight="1" s="192">
      <c r="W65505" s="235" t="n"/>
      <c r="X65505" s="235" t="n"/>
    </row>
    <row r="65506" ht="14.25" customHeight="1" s="192">
      <c r="W65506" s="239" t="n"/>
      <c r="X65506" s="239" t="n"/>
    </row>
    <row r="65507" ht="14.25" customHeight="1" s="192">
      <c r="W65507" s="239" t="n"/>
      <c r="X65507" s="239" t="n"/>
    </row>
    <row r="65508" ht="14.25" customHeight="1" s="192">
      <c r="W65508" s="239" t="n"/>
      <c r="X65508" s="239" t="n"/>
    </row>
    <row r="65509" ht="14.25" customHeight="1" s="192">
      <c r="W65509" s="235" t="n"/>
      <c r="X65509" s="235" t="n"/>
    </row>
    <row r="65510" ht="14.25" customHeight="1" s="192">
      <c r="W65510" s="235" t="n"/>
      <c r="X65510" s="235" t="n"/>
    </row>
    <row r="65511" ht="14.25" customHeight="1" s="192">
      <c r="W65511" s="235" t="n"/>
      <c r="X65511" s="235" t="n"/>
    </row>
    <row r="65512" ht="14.25" customHeight="1" s="192">
      <c r="W65512" s="239" t="n"/>
      <c r="X65512" s="239" t="n"/>
    </row>
    <row r="65513" ht="14.25" customHeight="1" s="192">
      <c r="W65513" s="239" t="n"/>
      <c r="X65513" s="239" t="n"/>
    </row>
    <row r="65514" ht="14.25" customHeight="1" s="192">
      <c r="W65514" s="235" t="n"/>
      <c r="X65514" s="235" t="n"/>
    </row>
    <row r="65515" ht="14.25" customHeight="1" s="192">
      <c r="W65515" s="235" t="n"/>
      <c r="X65515" s="235" t="n"/>
    </row>
    <row r="65516" ht="14.25" customHeight="1" s="192">
      <c r="W65516" s="239" t="n"/>
      <c r="X65516" s="239" t="n"/>
    </row>
    <row r="65517" ht="14.25" customHeight="1" s="192">
      <c r="W65517" s="235" t="n"/>
      <c r="X65517" s="235" t="n"/>
    </row>
    <row r="65518" ht="14.25" customHeight="1" s="192">
      <c r="W65518" s="239" t="n"/>
      <c r="X65518" s="239" t="n"/>
    </row>
    <row r="65520" ht="14.25" customHeight="1" s="192">
      <c r="W65520" s="235" t="n"/>
      <c r="X65520" s="235" t="n"/>
    </row>
    <row r="65521" ht="15" customHeight="1" s="192" thickBot="1">
      <c r="W65521" s="239" t="n"/>
      <c r="X65521" s="239" t="n"/>
    </row>
    <row r="65522" ht="15" customHeight="1" s="192" thickBot="1">
      <c r="W65522" s="45" t="n"/>
      <c r="X65522" s="45" t="n"/>
    </row>
    <row r="65523" ht="14.25" customHeight="1" s="192">
      <c r="W65523" s="228" t="n"/>
      <c r="X65523" s="228" t="n"/>
    </row>
    <row r="65524" ht="14.25" customHeight="1" s="192">
      <c r="W65524" s="228" t="n"/>
      <c r="X65524" s="228" t="n"/>
    </row>
    <row r="65525" ht="14.25" customHeight="1" s="192">
      <c r="W65525" s="231" t="n"/>
      <c r="X65525" s="231" t="n"/>
    </row>
    <row r="65526" ht="14.25" customHeight="1" s="192">
      <c r="W65526" s="33" t="n"/>
      <c r="X65526" s="33" t="n"/>
    </row>
    <row r="65527" ht="14.25" customHeight="1" s="192">
      <c r="W65527" s="231" t="n"/>
      <c r="X65527" s="231" t="n"/>
    </row>
    <row r="65528" ht="14.25" customHeight="1" s="192">
      <c r="W65528" s="33" t="n"/>
      <c r="X65528" s="33" t="n"/>
    </row>
    <row r="65530" ht="14.25" customHeight="1" s="192">
      <c r="W65530" s="231" t="n"/>
      <c r="X65530" s="231" t="n"/>
    </row>
    <row r="65531" ht="14.25" customHeight="1" s="192">
      <c r="W65531" s="235" t="n"/>
      <c r="X65531" s="235" t="n"/>
    </row>
    <row r="65532" ht="14.25" customHeight="1" s="192">
      <c r="W65532" s="228" t="n"/>
      <c r="X65532" s="228" t="n"/>
    </row>
    <row r="65533" ht="14.25" customHeight="1" s="192">
      <c r="W65533" s="235" t="n"/>
      <c r="X65533" s="235" t="n"/>
    </row>
    <row r="65534" ht="14.25" customHeight="1" s="192">
      <c r="W65534" s="235" t="n"/>
      <c r="X65534" s="235" t="n"/>
    </row>
    <row r="65535" ht="14.25" customHeight="1" s="192">
      <c r="W65535" s="235" t="n"/>
      <c r="X65535" s="235" t="n"/>
    </row>
    <row r="65536" ht="14.25" customHeight="1" s="192">
      <c r="W65536" s="239" t="n"/>
      <c r="X65536" s="239" t="n"/>
    </row>
    <row r="65537" ht="14.25" customHeight="1" s="192">
      <c r="W65537" s="239" t="n"/>
      <c r="X65537" s="239" t="n"/>
    </row>
  </sheetData>
  <mergeCells count="1">
    <mergeCell ref="B1:B2"/>
  </mergeCells>
  <pageMargins left="0.787401575" right="0.787401575" top="0.984251969" bottom="0.984251969" header="0.492125985" footer="0.492125985"/>
  <pageSetup orientation="portrait" paperSize="9"/>
</worksheet>
</file>

<file path=xl/worksheets/sheet3.xml><?xml version="1.0" encoding="utf-8"?>
<worksheet xmlns="http://schemas.openxmlformats.org/spreadsheetml/2006/main">
  <sheetPr>
    <tabColor rgb="FF4F4B4B"/>
    <outlinePr summaryBelow="1" summaryRight="1"/>
    <pageSetUpPr/>
  </sheetPr>
  <dimension ref="A1:R69"/>
  <sheetViews>
    <sheetView showGridLines="0" zoomScaleNormal="100"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Q6" sqref="Q6:Q68"/>
    </sheetView>
  </sheetViews>
  <sheetFormatPr baseColWidth="8" defaultColWidth="5.140625" defaultRowHeight="12.75" zeroHeight="1" outlineLevelRow="1"/>
  <cols>
    <col width="56.28515625" bestFit="1" customWidth="1" style="79" min="1" max="1"/>
    <col outlineLevel="1" width="9.85546875" customWidth="1" style="79" min="2" max="6"/>
    <col width="9.85546875" customWidth="1" style="79" min="7" max="8"/>
    <col width="10" bestFit="1" customWidth="1" style="79" min="9" max="9"/>
    <col width="10" customWidth="1" style="79" min="10" max="10"/>
    <col width="10" bestFit="1" customWidth="1" style="79" min="11" max="15"/>
    <col width="10" customWidth="1" style="79" min="16" max="17"/>
    <col width="10" bestFit="1" customWidth="1" style="79" min="18" max="18"/>
    <col width="5.140625" customWidth="1" style="79" min="19" max="16384"/>
  </cols>
  <sheetData>
    <row r="1" ht="14.25" customFormat="1" customHeight="1" s="110">
      <c r="A1" s="201" t="inlineStr">
        <is>
          <t>Balanço Patrimonial (R$ milhões)</t>
        </is>
      </c>
      <c r="B1" s="199" t="inlineStr">
        <is>
          <t>1T22</t>
        </is>
      </c>
      <c r="C1" s="199" t="inlineStr">
        <is>
          <t>2T22</t>
        </is>
      </c>
      <c r="D1" s="199" t="inlineStr">
        <is>
          <t>3T22</t>
        </is>
      </c>
      <c r="E1" s="199" t="inlineStr">
        <is>
          <t>4T22</t>
        </is>
      </c>
      <c r="F1" s="199" t="inlineStr">
        <is>
          <t>1T23</t>
        </is>
      </c>
      <c r="G1" s="199" t="inlineStr">
        <is>
          <t>2T23</t>
        </is>
      </c>
      <c r="H1" s="199" t="inlineStr">
        <is>
          <t>3T23</t>
        </is>
      </c>
      <c r="I1" s="199" t="inlineStr">
        <is>
          <t>4T23</t>
        </is>
      </c>
      <c r="J1" s="199" t="inlineStr">
        <is>
          <t>1T24</t>
        </is>
      </c>
      <c r="K1" s="199" t="inlineStr">
        <is>
          <t>2T24</t>
        </is>
      </c>
      <c r="L1" s="199" t="inlineStr">
        <is>
          <t>3T24</t>
        </is>
      </c>
      <c r="M1" s="199" t="inlineStr">
        <is>
          <t>4T24</t>
        </is>
      </c>
      <c r="N1" s="199" t="inlineStr">
        <is>
          <t>1T25</t>
        </is>
      </c>
      <c r="O1" s="199" t="inlineStr">
        <is>
          <t>2T25</t>
        </is>
      </c>
      <c r="P1" s="199" t="inlineStr">
        <is>
          <t>3T25</t>
        </is>
      </c>
      <c r="Q1" s="199" t="inlineStr">
        <is>
          <t>4T25</t>
        </is>
      </c>
      <c r="R1" s="199" t="inlineStr">
        <is>
          <t>1T26</t>
        </is>
      </c>
    </row>
    <row r="2" ht="14.25" customFormat="1" customHeight="1" s="110" thickBot="1">
      <c r="A2" s="245" t="n"/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  <c r="O2" s="245" t="n"/>
      <c r="P2" s="245" t="n"/>
      <c r="Q2" s="245" t="n"/>
      <c r="R2" s="245" t="n"/>
    </row>
    <row r="3" ht="14.25" customFormat="1" customHeight="1" s="110">
      <c r="A3" s="200" t="n"/>
      <c r="B3" s="119" t="n"/>
      <c r="C3" s="119" t="n"/>
      <c r="D3" s="119" t="n"/>
      <c r="E3" s="119" t="n"/>
      <c r="F3" s="119" t="n"/>
      <c r="G3" s="246">
        <f>G4-F4</f>
        <v/>
      </c>
      <c r="H3" s="246">
        <f>H4-G4</f>
        <v/>
      </c>
      <c r="I3" s="246">
        <f>I4-H4</f>
        <v/>
      </c>
      <c r="J3" s="246">
        <f>J4-I4</f>
        <v/>
      </c>
      <c r="K3" s="246">
        <f>K4-J4</f>
        <v/>
      </c>
      <c r="L3" s="246">
        <f>L4-K4</f>
        <v/>
      </c>
      <c r="M3" s="246">
        <f>M4-L4</f>
        <v/>
      </c>
      <c r="N3" s="246">
        <f>N4-M4</f>
        <v/>
      </c>
      <c r="O3" s="246">
        <f>O4-N4</f>
        <v/>
      </c>
      <c r="P3" s="246">
        <f>P4-O4</f>
        <v/>
      </c>
      <c r="Q3" s="246">
        <f>Q4-P4</f>
        <v/>
      </c>
      <c r="R3" s="246">
        <f>R4-Q4</f>
        <v/>
      </c>
    </row>
    <row r="4" ht="14.25" customFormat="1" customHeight="1" s="110">
      <c r="A4" s="200" t="inlineStr">
        <is>
          <t>Saldo CG</t>
        </is>
      </c>
      <c r="B4" s="119" t="n"/>
      <c r="C4" s="119" t="n"/>
      <c r="D4" s="119" t="n"/>
      <c r="E4" s="119" t="n"/>
      <c r="F4" s="119" t="n"/>
      <c r="G4" s="246">
        <f>SUM(G9,G10,G11)-SUM(G34,G35,G36,G46,G47)</f>
        <v/>
      </c>
      <c r="H4" s="246">
        <f>SUM(H9,H10,H11)-SUM(H34,H35,H36,H46,H47)</f>
        <v/>
      </c>
      <c r="I4" s="246">
        <f>SUM(I9,I10,I11)-SUM(I34,I35,I36,I46,I47)</f>
        <v/>
      </c>
      <c r="J4" s="246">
        <f>SUM(J9,J10,J11)-SUM(J34,J35,J36,J46,J47)</f>
        <v/>
      </c>
      <c r="K4" s="246">
        <f>SUM(K9,K10,K11)-SUM(K34,K35,K36,K46,K47)</f>
        <v/>
      </c>
      <c r="L4" s="246">
        <f>SUM(L9,L10,L11)-SUM(L34,L35,L36,L46,L47)</f>
        <v/>
      </c>
      <c r="M4" s="246">
        <f>SUM(M9,M10,M11)-SUM(M34,M35,M36,M46,M47)</f>
        <v/>
      </c>
      <c r="N4" s="246">
        <f>SUM(N9,N10,N11)-SUM(N34,N35,N36,N46,N47)</f>
        <v/>
      </c>
      <c r="O4" s="246">
        <f>SUM(O9,O10,O11)-SUM(O34,O35,O36,O46,O47)</f>
        <v/>
      </c>
      <c r="P4" s="246">
        <f>SUM(P9,P10,P11,P12)-SUM(P34,P35,P36,P46,P47,P37)</f>
        <v/>
      </c>
      <c r="Q4" s="246">
        <f>SUM(Q9,Q10,Q11,Q12)-SUM(Q34,Q35,Q36,Q46,Q47,Q37)</f>
        <v/>
      </c>
      <c r="R4" s="246">
        <f>SUM(R9,R10,R11)-SUM(R34,R35,R36,R46,R47)</f>
        <v/>
      </c>
    </row>
    <row r="5" ht="14.25" customFormat="1" customHeight="1" s="110">
      <c r="A5" s="200" t="n"/>
      <c r="B5" s="119" t="n"/>
      <c r="C5" s="119" t="n"/>
      <c r="D5" s="119" t="n"/>
      <c r="E5" s="119" t="n"/>
      <c r="F5" s="119" t="n"/>
      <c r="G5" s="119" t="n"/>
      <c r="H5" s="119" t="n"/>
      <c r="I5" s="119" t="n"/>
      <c r="J5" s="119" t="n"/>
      <c r="K5" s="119" t="n"/>
      <c r="L5" s="119" t="n"/>
      <c r="M5" s="119" t="n"/>
      <c r="N5" s="119" t="n"/>
      <c r="O5" s="119" t="n"/>
      <c r="P5" s="247" t="n"/>
      <c r="Q5" s="247" t="n"/>
      <c r="R5" s="119" t="n"/>
    </row>
    <row r="6" outlineLevel="1" ht="14.25" customFormat="1" customHeight="1" s="101">
      <c r="A6" s="98" t="inlineStr">
        <is>
          <t>Ativo Circulante</t>
        </is>
      </c>
      <c r="B6" s="248" t="n">
        <v>11426.859</v>
      </c>
      <c r="C6" s="248" t="n">
        <v>13338.329</v>
      </c>
      <c r="D6" s="248" t="n">
        <v>12510.469</v>
      </c>
      <c r="E6" s="248" t="n">
        <v>12504.004556</v>
      </c>
      <c r="F6" s="248" t="n">
        <v>12964.232</v>
      </c>
      <c r="G6" s="248" t="n">
        <v>11645.316</v>
      </c>
      <c r="H6" s="248" t="n">
        <v>13576.633</v>
      </c>
      <c r="I6" s="248" t="n">
        <v>16465.645</v>
      </c>
      <c r="J6" s="248" t="n">
        <v>17974.739</v>
      </c>
      <c r="K6" s="248" t="n">
        <v>19389.513</v>
      </c>
      <c r="L6" s="248" t="n">
        <v>14191.442</v>
      </c>
      <c r="M6" s="248" t="n">
        <v>13818.845</v>
      </c>
      <c r="N6" s="248" t="n">
        <v>12994.752</v>
      </c>
      <c r="O6" s="248" t="n">
        <v>15144.906</v>
      </c>
      <c r="P6" s="248" t="n">
        <v>16586.924</v>
      </c>
      <c r="Q6" s="248" t="n">
        <v>18049.685</v>
      </c>
      <c r="R6" s="248" t="n">
        <v>16094.47</v>
      </c>
    </row>
    <row r="7" outlineLevel="1" ht="14.25" customFormat="1" customHeight="1" s="101">
      <c r="A7" s="122" t="inlineStr">
        <is>
          <t>Caixa e equivalente de caixa</t>
        </is>
      </c>
      <c r="B7" s="249" t="n">
        <v>4149.655</v>
      </c>
      <c r="C7" s="249" t="n">
        <v>4875.896</v>
      </c>
      <c r="D7" s="249" t="n">
        <v>3711.468</v>
      </c>
      <c r="E7" s="249" t="n">
        <v>4683.945</v>
      </c>
      <c r="F7" s="249" t="n">
        <v>5210.712</v>
      </c>
      <c r="G7" s="249" t="n">
        <v>4071.48</v>
      </c>
      <c r="H7" s="249" t="n">
        <v>5926.913</v>
      </c>
      <c r="I7" s="249" t="n">
        <v>9558.829</v>
      </c>
      <c r="J7" s="249" t="n">
        <v>10724.174</v>
      </c>
      <c r="K7" s="249" t="n">
        <v>11904.719</v>
      </c>
      <c r="L7" s="249" t="n">
        <v>6668.718</v>
      </c>
      <c r="M7" s="249" t="n">
        <v>6736.171</v>
      </c>
      <c r="N7" s="249" t="n">
        <v>5671.194</v>
      </c>
      <c r="O7" s="249" t="n">
        <v>7302.249</v>
      </c>
      <c r="P7" s="249" t="n">
        <v>8959.471</v>
      </c>
      <c r="Q7" s="249" t="n">
        <v>10106.016</v>
      </c>
      <c r="R7" s="249" t="n">
        <v>8095.152</v>
      </c>
    </row>
    <row r="8" outlineLevel="1" ht="14.25" customFormat="1" customHeight="1" s="101">
      <c r="A8" s="102" t="inlineStr">
        <is>
          <t>Títulos e valores mobiliários</t>
        </is>
      </c>
      <c r="B8" s="249" t="n">
        <v>2035.506</v>
      </c>
      <c r="C8" s="249" t="n">
        <v>2520.36</v>
      </c>
      <c r="D8" s="249" t="n">
        <v>2541.12</v>
      </c>
      <c r="E8" s="249" t="n">
        <v>1818.368</v>
      </c>
      <c r="F8" s="249" t="n">
        <v>1865.176</v>
      </c>
      <c r="G8" s="249" t="n">
        <v>1952.298</v>
      </c>
      <c r="H8" s="249" t="n">
        <v>1926.214</v>
      </c>
      <c r="I8" s="249" t="n">
        <v>1156.002</v>
      </c>
      <c r="J8" s="249" t="n">
        <v>1076.318</v>
      </c>
      <c r="K8" s="249" t="n">
        <v>1055.261</v>
      </c>
      <c r="L8" s="249" t="n">
        <v>829.236</v>
      </c>
      <c r="M8" s="249" t="n">
        <v>794.037</v>
      </c>
      <c r="N8" s="249" t="n">
        <v>799.107</v>
      </c>
      <c r="O8" s="249" t="n">
        <v>780.504</v>
      </c>
      <c r="P8" s="249" t="n">
        <v>766.211</v>
      </c>
      <c r="Q8" s="249" t="n">
        <v>785.369</v>
      </c>
      <c r="R8" s="249" t="n">
        <v>789.91</v>
      </c>
    </row>
    <row r="9" outlineLevel="1" ht="14.25" customFormat="1" customHeight="1" s="125">
      <c r="A9" s="124" t="inlineStr">
        <is>
          <t>Contas a Receber</t>
        </is>
      </c>
      <c r="B9" s="249" t="n">
        <v>2376.511</v>
      </c>
      <c r="C9" s="249" t="n">
        <v>2924.999</v>
      </c>
      <c r="D9" s="249" t="n">
        <v>2963.631</v>
      </c>
      <c r="E9" s="249" t="n">
        <v>2674.899</v>
      </c>
      <c r="F9" s="249" t="n">
        <v>2433.296</v>
      </c>
      <c r="G9" s="249" t="n">
        <v>2320.134</v>
      </c>
      <c r="H9" s="249" t="n">
        <v>2395.415</v>
      </c>
      <c r="I9" s="249" t="n">
        <v>2112.722</v>
      </c>
      <c r="J9" s="249" t="n">
        <v>2397.054</v>
      </c>
      <c r="K9" s="249" t="n">
        <v>2429.64</v>
      </c>
      <c r="L9" s="249" t="n">
        <v>2379.802</v>
      </c>
      <c r="M9" s="249" t="n">
        <v>1815.29</v>
      </c>
      <c r="N9" s="249" t="n">
        <v>1724.715</v>
      </c>
      <c r="O9" s="249" t="n">
        <v>1888.215</v>
      </c>
      <c r="P9" s="249" t="n">
        <v>2038.764</v>
      </c>
      <c r="Q9" s="249" t="n">
        <v>2404.326</v>
      </c>
      <c r="R9" s="249" t="n">
        <v>2290.321</v>
      </c>
    </row>
    <row r="10" outlineLevel="1" ht="14.25" customFormat="1" customHeight="1" s="101">
      <c r="A10" s="102" t="inlineStr">
        <is>
          <t>Estoques</t>
        </is>
      </c>
      <c r="B10" s="249" t="n">
        <v>2095.614</v>
      </c>
      <c r="C10" s="249" t="n">
        <v>2145.144</v>
      </c>
      <c r="D10" s="249" t="n">
        <v>2350.706</v>
      </c>
      <c r="E10" s="249" t="n">
        <v>2442.004556</v>
      </c>
      <c r="F10" s="249" t="n">
        <v>2603.919</v>
      </c>
      <c r="G10" s="249" t="n">
        <v>2719.21</v>
      </c>
      <c r="H10" s="249" t="n">
        <v>2663.739</v>
      </c>
      <c r="I10" s="249" t="n">
        <v>2665.525</v>
      </c>
      <c r="J10" s="249" t="n">
        <v>2869.746</v>
      </c>
      <c r="K10" s="249" t="n">
        <v>3122.447</v>
      </c>
      <c r="L10" s="249" t="n">
        <v>3306.271</v>
      </c>
      <c r="M10" s="249" t="n">
        <v>3215.938</v>
      </c>
      <c r="N10" s="249" t="n">
        <v>3421.825</v>
      </c>
      <c r="O10" s="249" t="n">
        <v>3749.978</v>
      </c>
      <c r="P10" s="249" t="n">
        <v>3526.594</v>
      </c>
      <c r="Q10" s="249" t="n">
        <v>3683.984</v>
      </c>
      <c r="R10" s="249" t="n">
        <v>3731.567</v>
      </c>
    </row>
    <row r="11" outlineLevel="1" ht="14.25" customFormat="1" customHeight="1" s="101">
      <c r="A11" s="102" t="inlineStr">
        <is>
          <t>Impostos e contribuições a recuperar</t>
        </is>
      </c>
      <c r="B11" s="249" t="n">
        <v>451.666</v>
      </c>
      <c r="C11" s="249" t="n">
        <v>631.535</v>
      </c>
      <c r="D11" s="249" t="n">
        <v>666.748</v>
      </c>
      <c r="E11" s="249" t="n">
        <v>505.351</v>
      </c>
      <c r="F11" s="249" t="n">
        <v>293.095</v>
      </c>
      <c r="G11" s="249" t="n">
        <v>260.538</v>
      </c>
      <c r="H11" s="249" t="n">
        <v>372.233</v>
      </c>
      <c r="I11" s="249" t="n">
        <v>665.106</v>
      </c>
      <c r="J11" s="249" t="n">
        <v>618.294</v>
      </c>
      <c r="K11" s="249" t="n">
        <v>507.097</v>
      </c>
      <c r="L11" s="249" t="n">
        <v>687.015</v>
      </c>
      <c r="M11" s="249" t="n">
        <v>1045.98</v>
      </c>
      <c r="N11" s="249" t="n">
        <v>1028.816</v>
      </c>
      <c r="O11" s="249" t="n">
        <v>1043.464</v>
      </c>
      <c r="P11" s="249" t="n">
        <v>871.908</v>
      </c>
      <c r="Q11" s="249" t="n">
        <v>718.422</v>
      </c>
      <c r="R11" s="249" t="n">
        <v>716.431</v>
      </c>
    </row>
    <row r="12" outlineLevel="1" ht="14.25" customFormat="1" customHeight="1" s="101">
      <c r="A12" s="102" t="inlineStr">
        <is>
          <t>Outros</t>
        </is>
      </c>
      <c r="B12" s="250" t="n">
        <v>317.907</v>
      </c>
      <c r="C12" s="250" t="n">
        <v>240.395</v>
      </c>
      <c r="D12" s="250" t="n">
        <v>276.796</v>
      </c>
      <c r="E12" s="250" t="n">
        <v>379.437</v>
      </c>
      <c r="F12" s="250" t="n">
        <v>558.034</v>
      </c>
      <c r="G12" s="250" t="n">
        <v>321.656</v>
      </c>
      <c r="H12" s="250" t="n">
        <v>292.119</v>
      </c>
      <c r="I12" s="250" t="n">
        <v>307.461</v>
      </c>
      <c r="J12" s="250" t="n">
        <v>289.153</v>
      </c>
      <c r="K12" s="250" t="n">
        <v>370.349</v>
      </c>
      <c r="L12" s="250" t="n">
        <v>320.4</v>
      </c>
      <c r="M12" s="250" t="n">
        <v>211.59</v>
      </c>
      <c r="N12" s="250" t="n">
        <v>349.095</v>
      </c>
      <c r="O12" s="250" t="n">
        <v>380.496</v>
      </c>
      <c r="P12" s="250" t="n">
        <v>423.977</v>
      </c>
      <c r="Q12" s="250" t="n">
        <v>351.568</v>
      </c>
      <c r="R12" s="250" t="n">
        <v>471.089</v>
      </c>
    </row>
    <row r="13" outlineLevel="1" ht="14.25" customFormat="1" customHeight="1" s="101">
      <c r="A13" s="102" t="n"/>
      <c r="B13" s="250" t="n"/>
      <c r="C13" s="250" t="n"/>
      <c r="D13" s="250" t="n"/>
      <c r="E13" s="250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</row>
    <row r="14" outlineLevel="1" ht="14.25" customFormat="1" customHeight="1" s="101">
      <c r="A14" s="98" t="inlineStr">
        <is>
          <t>Ativos de bens mantidos para venda</t>
        </is>
      </c>
      <c r="B14" s="251" t="n">
        <v>14.065</v>
      </c>
      <c r="C14" s="251" t="n">
        <v>11.844</v>
      </c>
      <c r="D14" s="251" t="n">
        <v>12.503</v>
      </c>
      <c r="E14" s="251" t="n">
        <v>11.675</v>
      </c>
      <c r="F14" s="251" t="n">
        <v>12.178</v>
      </c>
      <c r="G14" s="251" t="n">
        <v>19.266</v>
      </c>
      <c r="H14" s="251" t="n">
        <v>31.745</v>
      </c>
      <c r="I14" s="251" t="n">
        <v>31.443</v>
      </c>
      <c r="J14" s="251" t="n">
        <v>33.441</v>
      </c>
      <c r="K14" s="251" t="n">
        <v>0</v>
      </c>
      <c r="L14" s="251" t="n">
        <v>0</v>
      </c>
      <c r="M14" s="251" t="n">
        <v>0</v>
      </c>
      <c r="N14" s="251" t="n">
        <v>0</v>
      </c>
      <c r="O14" s="251" t="n">
        <v>0</v>
      </c>
      <c r="P14" s="251" t="n">
        <v>0</v>
      </c>
      <c r="Q14" s="251" t="n">
        <v>0</v>
      </c>
      <c r="R14" s="251" t="n">
        <v>0</v>
      </c>
    </row>
    <row r="15" outlineLevel="1" ht="14.25" customFormat="1" customHeight="1" s="101">
      <c r="A15" s="126" t="n"/>
      <c r="B15" s="250" t="n"/>
      <c r="C15" s="250" t="n"/>
      <c r="D15" s="250" t="n"/>
      <c r="E15" s="250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</row>
    <row r="16" outlineLevel="1" ht="14.25" customFormat="1" customHeight="1" s="101">
      <c r="A16" s="98" t="inlineStr">
        <is>
          <t>Ativo Não Circulante</t>
        </is>
      </c>
      <c r="B16" s="248" t="n">
        <v>28758.597</v>
      </c>
      <c r="C16" s="248" t="n">
        <v>30939.7</v>
      </c>
      <c r="D16" s="248" t="n">
        <v>33602.285</v>
      </c>
      <c r="E16" s="248" t="n">
        <v>35123.751</v>
      </c>
      <c r="F16" s="248" t="n">
        <v>36683.563</v>
      </c>
      <c r="G16" s="248" t="n">
        <v>38500.734</v>
      </c>
      <c r="H16" s="248" t="n">
        <v>38802</v>
      </c>
      <c r="I16" s="248" t="n">
        <v>38937.602</v>
      </c>
      <c r="J16" s="248" t="n">
        <v>38786.242</v>
      </c>
      <c r="K16" s="248" t="n">
        <v>38105.528</v>
      </c>
      <c r="L16" s="248" t="n">
        <v>44797.344</v>
      </c>
      <c r="M16" s="248" t="n">
        <v>45571.987</v>
      </c>
      <c r="N16" s="248" t="n">
        <v>44478.412</v>
      </c>
      <c r="O16" s="248" t="n">
        <v>45190.337</v>
      </c>
      <c r="P16" s="248" t="n">
        <v>45576.754</v>
      </c>
      <c r="Q16" s="248" t="n">
        <v>45747.092</v>
      </c>
      <c r="R16" s="248" t="n">
        <v>45996.164</v>
      </c>
    </row>
    <row r="17" outlineLevel="1" ht="14.25" customFormat="1" customHeight="1" s="101">
      <c r="A17" s="127" t="inlineStr">
        <is>
          <t xml:space="preserve">  Realizável a Longo Prazo</t>
        </is>
      </c>
      <c r="B17" s="248" t="n"/>
      <c r="C17" s="248" t="n"/>
      <c r="D17" s="248" t="n"/>
      <c r="E17" s="248" t="n"/>
      <c r="F17" s="248" t="n"/>
      <c r="G17" s="248" t="n"/>
      <c r="H17" s="248" t="n"/>
      <c r="I17" s="248" t="n"/>
      <c r="J17" s="248" t="n"/>
      <c r="K17" s="248" t="n"/>
      <c r="L17" s="248" t="n"/>
      <c r="M17" s="248" t="n"/>
      <c r="N17" s="248" t="n"/>
      <c r="O17" s="248" t="n"/>
      <c r="P17" s="248" t="n"/>
      <c r="Q17" s="248" t="n"/>
      <c r="R17" s="248" t="n"/>
    </row>
    <row r="18" outlineLevel="1" ht="14.25" customFormat="1" customHeight="1" s="101">
      <c r="A18" s="102" t="inlineStr">
        <is>
          <t xml:space="preserve">   Contas a receber de clientes</t>
        </is>
      </c>
      <c r="B18" s="249" t="n">
        <v>0</v>
      </c>
      <c r="C18" s="249" t="n">
        <v>0</v>
      </c>
      <c r="D18" s="249" t="n">
        <v>0</v>
      </c>
      <c r="E18" s="249" t="n">
        <v>0</v>
      </c>
      <c r="F18" s="249" t="n">
        <v>0</v>
      </c>
      <c r="G18" s="249" t="n">
        <v>0</v>
      </c>
      <c r="H18" s="249" t="n">
        <v>0</v>
      </c>
      <c r="I18" s="249" t="n">
        <v>247.024</v>
      </c>
      <c r="J18" s="249" t="n">
        <v>0</v>
      </c>
      <c r="K18" s="249" t="n">
        <v>0</v>
      </c>
      <c r="L18" s="249" t="n">
        <v>0</v>
      </c>
      <c r="M18" s="249" t="n">
        <v>0</v>
      </c>
      <c r="N18" s="249" t="n">
        <v>0</v>
      </c>
      <c r="O18" s="249" t="n">
        <v>0</v>
      </c>
      <c r="P18" s="249" t="n">
        <v>0</v>
      </c>
      <c r="Q18" s="249" t="n">
        <v>0</v>
      </c>
      <c r="R18" s="249" t="n">
        <v>0</v>
      </c>
    </row>
    <row r="19" outlineLevel="1" ht="14.25" customFormat="1" customHeight="1" s="101">
      <c r="A19" s="102" t="inlineStr">
        <is>
          <t xml:space="preserve">   Instrumentos derivativos</t>
        </is>
      </c>
      <c r="B19" s="249" t="n">
        <v>0</v>
      </c>
      <c r="C19" s="249" t="n">
        <v>0</v>
      </c>
      <c r="D19" s="249" t="n">
        <v>0</v>
      </c>
      <c r="E19" s="249" t="n">
        <v>62</v>
      </c>
      <c r="F19" s="249" t="n">
        <v>278.439</v>
      </c>
      <c r="G19" s="249" t="n">
        <v>906.905</v>
      </c>
      <c r="H19" s="249" t="n">
        <v>716.824</v>
      </c>
      <c r="I19" s="249" t="n">
        <v>885.794</v>
      </c>
      <c r="J19" s="249" t="n">
        <v>789.167</v>
      </c>
      <c r="K19" s="249" t="n">
        <v>170.673</v>
      </c>
      <c r="L19" s="249" t="n">
        <v>258.643</v>
      </c>
      <c r="M19" s="249" t="n">
        <v>0</v>
      </c>
      <c r="N19" s="249" t="n">
        <v>0</v>
      </c>
      <c r="O19" s="249" t="n">
        <v>467.488</v>
      </c>
      <c r="P19" s="249" t="n">
        <v>584.317</v>
      </c>
      <c r="Q19" s="249" t="n">
        <v>544.521</v>
      </c>
      <c r="R19" s="249" t="n">
        <v>1144.356</v>
      </c>
    </row>
    <row r="20" outlineLevel="1" ht="14.25" customFormat="1" customHeight="1" s="101">
      <c r="A20" s="102" t="inlineStr">
        <is>
          <t xml:space="preserve">   IR/CS diferidos</t>
        </is>
      </c>
      <c r="B20" s="249" t="n">
        <v>0</v>
      </c>
      <c r="C20" s="249" t="n">
        <v>0</v>
      </c>
      <c r="D20" s="249" t="n">
        <v>0</v>
      </c>
      <c r="E20" s="249" t="n">
        <v>0</v>
      </c>
      <c r="F20" s="249" t="n">
        <v>0</v>
      </c>
      <c r="G20" s="249" t="n">
        <v>0</v>
      </c>
      <c r="H20" s="249" t="n">
        <v>3.009</v>
      </c>
      <c r="I20" s="249" t="n">
        <v>2.567</v>
      </c>
      <c r="J20" s="249" t="n">
        <v>2.844</v>
      </c>
      <c r="K20" s="249" t="n">
        <v>2.601</v>
      </c>
      <c r="L20" s="249" t="n">
        <v>7.005</v>
      </c>
      <c r="M20" s="249" t="n">
        <v>524.572</v>
      </c>
      <c r="N20" s="249" t="n">
        <v>10.895</v>
      </c>
      <c r="O20" s="249" t="n">
        <v>22.176</v>
      </c>
      <c r="P20" s="249" t="n">
        <v>65.251</v>
      </c>
      <c r="Q20" s="249" t="n">
        <v>103.138</v>
      </c>
      <c r="R20" s="249" t="n">
        <v>102.253</v>
      </c>
    </row>
    <row r="21" outlineLevel="1" ht="14.25" customFormat="1" customHeight="1" s="101">
      <c r="A21" s="102" t="inlineStr">
        <is>
          <t xml:space="preserve">   Impostos a compensar</t>
        </is>
      </c>
      <c r="B21" s="249" t="n">
        <v>656.511</v>
      </c>
      <c r="C21" s="249" t="n">
        <v>576.0119999999999</v>
      </c>
      <c r="D21" s="249" t="n">
        <v>470.345</v>
      </c>
      <c r="E21" s="249" t="n">
        <v>369.772</v>
      </c>
      <c r="F21" s="249" t="n">
        <v>329.725</v>
      </c>
      <c r="G21" s="249" t="n">
        <v>365.58</v>
      </c>
      <c r="H21" s="249" t="n">
        <v>395.25</v>
      </c>
      <c r="I21" s="249" t="n">
        <v>510.406</v>
      </c>
      <c r="J21" s="249" t="n">
        <v>472.587</v>
      </c>
      <c r="K21" s="249" t="n">
        <v>456.047</v>
      </c>
      <c r="L21" s="249" t="n">
        <v>445.543</v>
      </c>
      <c r="M21" s="249" t="n">
        <v>440.557</v>
      </c>
      <c r="N21" s="249" t="n">
        <v>409.785</v>
      </c>
      <c r="O21" s="249" t="n">
        <v>401.436</v>
      </c>
      <c r="P21" s="249" t="n">
        <v>379.688</v>
      </c>
      <c r="Q21" s="249" t="n">
        <v>426.325</v>
      </c>
      <c r="R21" s="249" t="n">
        <v>410.971</v>
      </c>
    </row>
    <row r="22" outlineLevel="1" ht="14.25" customFormat="1" customHeight="1" s="101">
      <c r="A22" s="102" t="inlineStr">
        <is>
          <t xml:space="preserve">   Depósitos judiciais</t>
        </is>
      </c>
      <c r="B22" s="249" t="n">
        <v>233.111</v>
      </c>
      <c r="C22" s="249" t="n">
        <v>220.702</v>
      </c>
      <c r="D22" s="249" t="n">
        <v>116.315</v>
      </c>
      <c r="E22" s="249" t="n">
        <v>118.179</v>
      </c>
      <c r="F22" s="249" t="n">
        <v>118.9</v>
      </c>
      <c r="G22" s="249" t="n">
        <v>118.7</v>
      </c>
      <c r="H22" s="249" t="n">
        <v>120.926</v>
      </c>
      <c r="I22" s="249" t="n">
        <v>125.037</v>
      </c>
      <c r="J22" s="249" t="n">
        <v>173.319</v>
      </c>
      <c r="K22" s="249" t="n">
        <v>175.489</v>
      </c>
      <c r="L22" s="249" t="n">
        <v>201.363</v>
      </c>
      <c r="M22" s="249" t="n">
        <v>198.561</v>
      </c>
      <c r="N22" s="249" t="n">
        <v>207.282</v>
      </c>
      <c r="O22" s="249" t="n">
        <v>206.593</v>
      </c>
      <c r="P22" s="249" t="n">
        <v>208.692</v>
      </c>
      <c r="Q22" s="249" t="n">
        <v>216.005</v>
      </c>
      <c r="R22" s="249" t="n">
        <v>226.775</v>
      </c>
    </row>
    <row r="23" outlineLevel="1" ht="14.25" customFormat="1" customHeight="1" s="101">
      <c r="A23" s="102" t="inlineStr">
        <is>
          <t xml:space="preserve">   Outros</t>
        </is>
      </c>
      <c r="B23" s="249" t="n">
        <v>143.192</v>
      </c>
      <c r="C23" s="249" t="n">
        <v>126.976</v>
      </c>
      <c r="D23" s="249" t="n">
        <v>130.981</v>
      </c>
      <c r="E23" s="249" t="n">
        <v>120.09</v>
      </c>
      <c r="F23" s="249" t="n">
        <v>148.437</v>
      </c>
      <c r="G23" s="249" t="n">
        <v>111.134</v>
      </c>
      <c r="H23" s="249" t="n">
        <v>90.125</v>
      </c>
      <c r="I23" s="249" t="n">
        <v>82.593</v>
      </c>
      <c r="J23" s="249" t="n">
        <v>89.51600000000001</v>
      </c>
      <c r="K23" s="249" t="n">
        <v>135.815</v>
      </c>
      <c r="L23" s="249" t="n">
        <v>148.358</v>
      </c>
      <c r="M23" s="249" t="n">
        <v>200.342</v>
      </c>
      <c r="N23" s="249" t="n">
        <v>200.098</v>
      </c>
      <c r="O23" s="249" t="n">
        <v>201.411</v>
      </c>
      <c r="P23" s="249" t="n">
        <v>273.838</v>
      </c>
      <c r="Q23" s="249" t="n">
        <v>303.886</v>
      </c>
      <c r="R23" s="249" t="n">
        <v>339.186</v>
      </c>
    </row>
    <row r="24" outlineLevel="1" ht="14.25" customFormat="1" customHeight="1" s="101">
      <c r="A24" s="128" t="inlineStr">
        <is>
          <t>Investimentos</t>
        </is>
      </c>
      <c r="B24" s="249" t="n">
        <v>278.456</v>
      </c>
      <c r="C24" s="249" t="n">
        <v>277.654</v>
      </c>
      <c r="D24" s="249" t="n">
        <v>280.982</v>
      </c>
      <c r="E24" s="249" t="n">
        <v>288.995</v>
      </c>
      <c r="F24" s="249" t="n">
        <v>292.411</v>
      </c>
      <c r="G24" s="249" t="n">
        <v>285.502</v>
      </c>
      <c r="H24" s="249" t="n">
        <v>287.824</v>
      </c>
      <c r="I24" s="249" t="n">
        <v>278.51</v>
      </c>
      <c r="J24" s="249" t="n">
        <v>276.236</v>
      </c>
      <c r="K24" s="249" t="n">
        <v>280.309</v>
      </c>
      <c r="L24" s="249" t="n">
        <v>125.804</v>
      </c>
      <c r="M24" s="249" t="n">
        <v>139.229</v>
      </c>
      <c r="N24" s="249" t="n">
        <v>135.12</v>
      </c>
      <c r="O24" s="249" t="n">
        <v>137.256</v>
      </c>
      <c r="P24" s="249" t="n">
        <v>135.594</v>
      </c>
      <c r="Q24" s="249" t="n">
        <v>96.89100000000001</v>
      </c>
      <c r="R24" s="249" t="n">
        <v>98.82599999999999</v>
      </c>
    </row>
    <row r="25" outlineLevel="1" ht="14.25" customFormat="1" customHeight="1" s="101">
      <c r="A25" s="128" t="inlineStr">
        <is>
          <t>Imobilizado</t>
        </is>
      </c>
      <c r="B25" s="249" t="n">
        <v>20221.417</v>
      </c>
      <c r="C25" s="249" t="n">
        <v>21785.177</v>
      </c>
      <c r="D25" s="249" t="n">
        <v>23086.876</v>
      </c>
      <c r="E25" s="249" t="n">
        <v>24159.98</v>
      </c>
      <c r="F25" s="249" t="n">
        <v>24743.311</v>
      </c>
      <c r="G25" s="249" t="n">
        <v>25410.136</v>
      </c>
      <c r="H25" s="249" t="n">
        <v>25373.811</v>
      </c>
      <c r="I25" s="249" t="n">
        <v>25386.55</v>
      </c>
      <c r="J25" s="249" t="n">
        <v>25533.69</v>
      </c>
      <c r="K25" s="249" t="n">
        <v>25584.632</v>
      </c>
      <c r="L25" s="249" t="n">
        <v>29027.648</v>
      </c>
      <c r="M25" s="249" t="n">
        <v>28965.38</v>
      </c>
      <c r="N25" s="249" t="n">
        <v>28736.659</v>
      </c>
      <c r="O25" s="249" t="n">
        <v>28808.016</v>
      </c>
      <c r="P25" s="249" t="n">
        <v>28632.625</v>
      </c>
      <c r="Q25" s="249" t="n">
        <v>28648.316</v>
      </c>
      <c r="R25" s="249" t="n">
        <v>28637.059</v>
      </c>
    </row>
    <row r="26" outlineLevel="1" ht="14.25" customFormat="1" customHeight="1" s="101">
      <c r="A26" s="128" t="inlineStr">
        <is>
          <t>Ativos biológicos</t>
        </is>
      </c>
      <c r="B26" s="249" t="n">
        <v>6017.603</v>
      </c>
      <c r="C26" s="249" t="n">
        <v>6657.254</v>
      </c>
      <c r="D26" s="249" t="n">
        <v>7842.496</v>
      </c>
      <c r="E26" s="249" t="n">
        <v>8108.959</v>
      </c>
      <c r="F26" s="249" t="n">
        <v>8749.665999999999</v>
      </c>
      <c r="G26" s="249" t="n">
        <v>9235.985000000001</v>
      </c>
      <c r="H26" s="249" t="n">
        <v>9243.721</v>
      </c>
      <c r="I26" s="249" t="n">
        <v>9177.831</v>
      </c>
      <c r="J26" s="249" t="n">
        <v>9238.805</v>
      </c>
      <c r="K26" s="249" t="n">
        <v>9105.831</v>
      </c>
      <c r="L26" s="249" t="n">
        <v>12313.445</v>
      </c>
      <c r="M26" s="249" t="n">
        <v>12887.297</v>
      </c>
      <c r="N26" s="249" t="n">
        <v>12710.821</v>
      </c>
      <c r="O26" s="249" t="n">
        <v>12876.334</v>
      </c>
      <c r="P26" s="249" t="n">
        <v>13131.846</v>
      </c>
      <c r="Q26" s="249" t="n">
        <v>13242.376</v>
      </c>
      <c r="R26" s="249" t="n">
        <v>12839.389</v>
      </c>
    </row>
    <row r="27" outlineLevel="1" ht="14.25" customFormat="1" customHeight="1" s="101">
      <c r="A27" s="128" t="inlineStr">
        <is>
          <t>Ativo de direito de uso</t>
        </is>
      </c>
      <c r="B27" s="249" t="n">
        <v>1052.099</v>
      </c>
      <c r="C27" s="249" t="n">
        <v>1150.04</v>
      </c>
      <c r="D27" s="249" t="n">
        <v>1527.31</v>
      </c>
      <c r="E27" s="249" t="n">
        <v>1610.604</v>
      </c>
      <c r="F27" s="249" t="n">
        <v>1724.506</v>
      </c>
      <c r="G27" s="249" t="n">
        <v>1764.919</v>
      </c>
      <c r="H27" s="249" t="n">
        <v>2267.324</v>
      </c>
      <c r="I27" s="249" t="n">
        <v>1901.652</v>
      </c>
      <c r="J27" s="249" t="n">
        <v>1851.378</v>
      </c>
      <c r="K27" s="249" t="n">
        <v>1810.132</v>
      </c>
      <c r="L27" s="249" t="n">
        <v>1861.031</v>
      </c>
      <c r="M27" s="249" t="n">
        <v>1787.971</v>
      </c>
      <c r="N27" s="249" t="n">
        <v>1630.384</v>
      </c>
      <c r="O27" s="249" t="n">
        <v>1591.427</v>
      </c>
      <c r="P27" s="249" t="n">
        <v>1684.175</v>
      </c>
      <c r="Q27" s="249" t="n">
        <v>1659.808</v>
      </c>
      <c r="R27" s="249" t="n">
        <v>1692.567</v>
      </c>
    </row>
    <row r="28" outlineLevel="1" ht="14.25" customFormat="1" customHeight="1" s="101">
      <c r="A28" s="128" t="inlineStr">
        <is>
          <t>Intangível</t>
        </is>
      </c>
      <c r="B28" s="249" t="n">
        <v>156.208</v>
      </c>
      <c r="C28" s="249" t="n">
        <v>145.885</v>
      </c>
      <c r="D28" s="249" t="n">
        <v>146.98</v>
      </c>
      <c r="E28" s="249" t="n">
        <v>285.098</v>
      </c>
      <c r="F28" s="249" t="n">
        <v>298.168</v>
      </c>
      <c r="G28" s="249" t="n">
        <v>301.873</v>
      </c>
      <c r="H28" s="249" t="n">
        <v>303.314</v>
      </c>
      <c r="I28" s="249" t="n">
        <v>339.638</v>
      </c>
      <c r="J28" s="249" t="n">
        <v>358.7</v>
      </c>
      <c r="K28" s="249" t="n">
        <v>383.999</v>
      </c>
      <c r="L28" s="249" t="n">
        <v>408.504</v>
      </c>
      <c r="M28" s="249" t="n">
        <v>428.078</v>
      </c>
      <c r="N28" s="249" t="n">
        <v>437.368</v>
      </c>
      <c r="O28" s="249" t="n">
        <v>478.2</v>
      </c>
      <c r="P28" s="249" t="n">
        <v>480.728</v>
      </c>
      <c r="Q28" s="249" t="n">
        <v>505.826</v>
      </c>
      <c r="R28" s="249" t="n">
        <v>504.782</v>
      </c>
    </row>
    <row r="29" outlineLevel="1" ht="14.25" customFormat="1" customHeight="1" s="101">
      <c r="A29" s="126" t="n"/>
      <c r="B29" s="250" t="n"/>
      <c r="C29" s="250" t="n"/>
      <c r="D29" s="250" t="n"/>
      <c r="E29" s="250" t="n"/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</row>
    <row r="30" outlineLevel="1" ht="14.25" customFormat="1" customHeight="1" s="101">
      <c r="A30" s="98" t="inlineStr">
        <is>
          <t>Ativo Total</t>
        </is>
      </c>
      <c r="B30" s="251" t="n">
        <v>40199.521</v>
      </c>
      <c r="C30" s="251" t="n">
        <v>44289.873</v>
      </c>
      <c r="D30" s="251" t="n">
        <v>46125.257</v>
      </c>
      <c r="E30" s="251" t="n">
        <v>47639.43</v>
      </c>
      <c r="F30" s="251" t="n">
        <v>49659.973</v>
      </c>
      <c r="G30" s="251" t="n">
        <v>50165.316</v>
      </c>
      <c r="H30" s="251" t="n">
        <v>52410.506</v>
      </c>
      <c r="I30" s="251" t="n">
        <v>55434.69</v>
      </c>
      <c r="J30" s="251" t="n">
        <v>56794.422</v>
      </c>
      <c r="K30" s="251" t="n">
        <v>57495.041</v>
      </c>
      <c r="L30" s="251" t="n">
        <v>58988.786</v>
      </c>
      <c r="M30" s="251">
        <f>59390832/(1000)</f>
        <v/>
      </c>
      <c r="N30" s="251" t="n">
        <v>57473.164</v>
      </c>
      <c r="O30" s="251" t="n">
        <v>60335.243</v>
      </c>
      <c r="P30" s="251" t="n">
        <v>62163.679</v>
      </c>
      <c r="Q30" s="251" t="n">
        <v>63796.777</v>
      </c>
      <c r="R30" s="251" t="n">
        <v>62090.634</v>
      </c>
    </row>
    <row r="31" outlineLevel="1" ht="14.25" customFormat="1" customHeight="1" s="101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</row>
    <row r="32" outlineLevel="1" ht="14.25" customFormat="1" customHeight="1" s="101">
      <c r="A32" s="98" t="inlineStr">
        <is>
          <t>Passivo Circulante</t>
        </is>
      </c>
      <c r="B32" s="251" t="n">
        <v>4519.751</v>
      </c>
      <c r="C32" s="251" t="n">
        <v>5452.059</v>
      </c>
      <c r="D32" s="251" t="n">
        <v>5330.134</v>
      </c>
      <c r="E32" s="251" t="n">
        <v>6461.745999999999</v>
      </c>
      <c r="F32" s="251" t="n">
        <v>6263.538</v>
      </c>
      <c r="G32" s="251" t="n">
        <v>6276.431</v>
      </c>
      <c r="H32" s="251" t="n">
        <v>6290.335</v>
      </c>
      <c r="I32" s="251" t="n">
        <v>5875.741</v>
      </c>
      <c r="J32" s="251" t="n">
        <v>6444.189</v>
      </c>
      <c r="K32" s="251" t="n">
        <v>6815.127</v>
      </c>
      <c r="L32" s="251" t="n">
        <v>6170.064</v>
      </c>
      <c r="M32" s="251">
        <f>7163343/(1000)</f>
        <v/>
      </c>
      <c r="N32" s="251" t="n">
        <v>6631.901</v>
      </c>
      <c r="O32" s="251" t="n">
        <v>7169.128</v>
      </c>
      <c r="P32" s="251" t="n">
        <v>7831.467</v>
      </c>
      <c r="Q32" s="251" t="n">
        <v>8767.397000000001</v>
      </c>
      <c r="R32" s="251" t="n">
        <v>9049.523999999999</v>
      </c>
    </row>
    <row r="33" outlineLevel="1" ht="14.25" customFormat="1" customHeight="1" s="101">
      <c r="A33" s="105" t="inlineStr">
        <is>
          <t>Empréstimos e financiamentos e debêntures</t>
        </is>
      </c>
      <c r="B33" s="250" t="n">
        <v>1126.417</v>
      </c>
      <c r="C33" s="250" t="n">
        <v>1326.474</v>
      </c>
      <c r="D33" s="250" t="n">
        <v>1071.359</v>
      </c>
      <c r="E33" s="250" t="n">
        <v>1952.98</v>
      </c>
      <c r="F33" s="250" t="n">
        <v>2138.707</v>
      </c>
      <c r="G33" s="250" t="n">
        <v>1964.409</v>
      </c>
      <c r="H33" s="250" t="n">
        <v>2204.443</v>
      </c>
      <c r="I33" s="250" t="n">
        <v>1560.843</v>
      </c>
      <c r="J33" s="250" t="n">
        <v>2622.86</v>
      </c>
      <c r="K33" s="250" t="n">
        <v>2571.83</v>
      </c>
      <c r="L33" s="250" t="n">
        <v>1618.359</v>
      </c>
      <c r="M33" s="250">
        <f>1813049/(1000)</f>
        <v/>
      </c>
      <c r="N33" s="250" t="n">
        <v>1605.346</v>
      </c>
      <c r="O33" s="250" t="n">
        <v>1747.951</v>
      </c>
      <c r="P33" s="250" t="n">
        <v>1845.851</v>
      </c>
      <c r="Q33" s="250" t="n">
        <v>1770.665</v>
      </c>
      <c r="R33" s="250" t="n">
        <v>2271.644</v>
      </c>
    </row>
    <row r="34" outlineLevel="1" ht="14.25" customFormat="1" customHeight="1" s="101">
      <c r="A34" s="105" t="inlineStr">
        <is>
          <t>Fornecedores</t>
        </is>
      </c>
      <c r="B34" s="250" t="n">
        <v>1858.24072408</v>
      </c>
      <c r="C34" s="250" t="n">
        <v>2187.703</v>
      </c>
      <c r="D34" s="250">
        <f>2166879.85408/1000</f>
        <v/>
      </c>
      <c r="E34" s="250" t="n">
        <v>2383.7</v>
      </c>
      <c r="F34" s="250" t="n">
        <v>2104.721</v>
      </c>
      <c r="G34" s="250" t="n">
        <v>2169.215</v>
      </c>
      <c r="H34" s="250" t="n">
        <v>1695.244</v>
      </c>
      <c r="I34" s="250" t="n">
        <v>2075.813</v>
      </c>
      <c r="J34" s="250" t="n">
        <v>1869.574</v>
      </c>
      <c r="K34" s="250" t="n">
        <v>2045.446</v>
      </c>
      <c r="L34" s="250" t="n">
        <v>2253.94</v>
      </c>
      <c r="M34" s="250">
        <f>2101712/(1000)</f>
        <v/>
      </c>
      <c r="N34" s="250" t="n">
        <v>2203.907</v>
      </c>
      <c r="O34" s="250" t="n">
        <v>2632.693</v>
      </c>
      <c r="P34" s="250" t="n">
        <v>2383.356</v>
      </c>
      <c r="Q34" s="250" t="n">
        <v>2362.018</v>
      </c>
      <c r="R34" s="250" t="n">
        <v>2178.311</v>
      </c>
    </row>
    <row r="35" outlineLevel="1" ht="14.25" customFormat="1" customHeight="1" s="101">
      <c r="A35" s="105" t="inlineStr">
        <is>
          <t>Fornecedor Risco Sacado</t>
        </is>
      </c>
      <c r="B35" s="249" t="n">
        <v>496.73702995</v>
      </c>
      <c r="C35" s="250" t="n">
        <v>571.735</v>
      </c>
      <c r="D35" s="250" t="n">
        <v>508.71714592</v>
      </c>
      <c r="E35" s="250" t="n">
        <v>531.646</v>
      </c>
      <c r="F35" s="250" t="n">
        <v>408.695</v>
      </c>
      <c r="G35" s="250" t="n">
        <v>399.277</v>
      </c>
      <c r="H35" s="250" t="n">
        <v>407.568</v>
      </c>
      <c r="I35" s="250" t="n">
        <v>464.324</v>
      </c>
      <c r="J35" s="250" t="n">
        <v>478.308</v>
      </c>
      <c r="K35" s="250" t="n">
        <v>529.45</v>
      </c>
      <c r="L35" s="250" t="n">
        <v>572.5890000000001</v>
      </c>
      <c r="M35" s="250">
        <f>601448/(1000)</f>
        <v/>
      </c>
      <c r="N35" s="250" t="n">
        <v>540.124</v>
      </c>
      <c r="O35" s="250" t="n">
        <v>533.995</v>
      </c>
      <c r="P35" s="250" t="n">
        <v>589.2190000000001</v>
      </c>
      <c r="Q35" s="250" t="n">
        <v>658.466</v>
      </c>
      <c r="R35" s="250" t="n">
        <v>640.053</v>
      </c>
    </row>
    <row r="36" outlineLevel="1" ht="14.25" customFormat="1" customHeight="1" s="101">
      <c r="A36" s="105" t="inlineStr">
        <is>
          <t>Fornecedor Risco Sacado Florestal</t>
        </is>
      </c>
      <c r="B36" s="249" t="n">
        <v>8.22524597</v>
      </c>
      <c r="C36" s="249" t="n"/>
      <c r="D36" s="249" t="n"/>
      <c r="E36" s="249" t="n">
        <v>21.33</v>
      </c>
      <c r="F36" s="249" t="n">
        <v>206.421</v>
      </c>
      <c r="G36" s="249" t="n">
        <v>221.732</v>
      </c>
      <c r="H36" s="249" t="n">
        <v>267.057</v>
      </c>
      <c r="I36" s="249" t="n">
        <v>59.914</v>
      </c>
      <c r="J36" s="249" t="n">
        <v>53.959</v>
      </c>
      <c r="K36" s="249" t="n">
        <v>53.622</v>
      </c>
      <c r="L36" s="249" t="n">
        <v>41.984</v>
      </c>
      <c r="M36" s="249">
        <f>236661/(1000)</f>
        <v/>
      </c>
      <c r="N36" s="249" t="n">
        <v>423.208</v>
      </c>
      <c r="O36" s="249" t="n">
        <v>644.5309999999999</v>
      </c>
      <c r="P36" s="249" t="n">
        <v>1184.887</v>
      </c>
      <c r="Q36" s="249" t="n">
        <v>1118.187</v>
      </c>
      <c r="R36" s="249" t="n">
        <v>1227.389</v>
      </c>
    </row>
    <row r="37" outlineLevel="1" ht="14.25" customFormat="1" customHeight="1" s="101">
      <c r="A37" s="105" t="inlineStr">
        <is>
          <t>Obrigações Fiscais</t>
        </is>
      </c>
      <c r="B37" s="250" t="n">
        <v>227.312</v>
      </c>
      <c r="C37" s="250" t="n">
        <v>418.086</v>
      </c>
      <c r="D37" s="250" t="n">
        <v>465.918</v>
      </c>
      <c r="E37" s="250" t="n">
        <v>475.768</v>
      </c>
      <c r="F37" s="250" t="n">
        <v>460.51</v>
      </c>
      <c r="G37" s="250" t="n">
        <v>449.56</v>
      </c>
      <c r="H37" s="250" t="n">
        <v>400.809</v>
      </c>
      <c r="I37" s="250" t="n">
        <v>308.567</v>
      </c>
      <c r="J37" s="250" t="n">
        <v>286.482</v>
      </c>
      <c r="K37" s="250" t="n">
        <v>262.772</v>
      </c>
      <c r="L37" s="250" t="n">
        <v>331.902</v>
      </c>
      <c r="M37" s="250">
        <f>347744/(1000)</f>
        <v/>
      </c>
      <c r="N37" s="250" t="n">
        <v>354.671</v>
      </c>
      <c r="O37" s="250" t="n">
        <v>290.071</v>
      </c>
      <c r="P37" s="250" t="n">
        <v>300.621</v>
      </c>
      <c r="Q37" s="250" t="n">
        <v>285.544</v>
      </c>
      <c r="R37" s="250" t="n">
        <v>310.846</v>
      </c>
    </row>
    <row r="38" outlineLevel="1" ht="14.25" customFormat="1" customHeight="1" s="101">
      <c r="A38" s="105" t="inlineStr">
        <is>
          <t>Salários e encargos sociais</t>
        </is>
      </c>
      <c r="B38" s="250" t="n">
        <v>305.843</v>
      </c>
      <c r="C38" s="250" t="n">
        <v>414.339</v>
      </c>
      <c r="D38" s="250" t="n">
        <v>531.687</v>
      </c>
      <c r="E38" s="250" t="n">
        <v>485.046</v>
      </c>
      <c r="F38" s="250" t="n">
        <v>337.386</v>
      </c>
      <c r="G38" s="250" t="n">
        <v>441.562</v>
      </c>
      <c r="H38" s="250" t="n">
        <v>515.057</v>
      </c>
      <c r="I38" s="250" t="n">
        <v>456.083</v>
      </c>
      <c r="J38" s="250" t="n">
        <v>339.709</v>
      </c>
      <c r="K38" s="250" t="n">
        <v>442.106</v>
      </c>
      <c r="L38" s="250" t="n">
        <v>581.836</v>
      </c>
      <c r="M38" s="250">
        <f>527336/(1000)</f>
        <v/>
      </c>
      <c r="N38" s="250" t="n">
        <v>385.681</v>
      </c>
      <c r="O38" s="250" t="n">
        <v>474.322</v>
      </c>
      <c r="P38" s="250" t="n">
        <v>586.423</v>
      </c>
      <c r="Q38" s="250" t="n">
        <v>556.251</v>
      </c>
      <c r="R38" s="250" t="n">
        <v>401.13</v>
      </c>
    </row>
    <row r="39" outlineLevel="1" ht="14.25" customFormat="1" customHeight="1" s="101">
      <c r="A39" s="105" t="inlineStr">
        <is>
          <t>Provisão para imposto de renda e contribuição social correntes</t>
        </is>
      </c>
      <c r="B39" s="250" t="n"/>
      <c r="C39" s="250" t="n">
        <v>30.113</v>
      </c>
      <c r="D39" s="250" t="n">
        <v>46.876</v>
      </c>
      <c r="E39" s="250" t="n">
        <v>4.252</v>
      </c>
      <c r="F39" s="250" t="n">
        <v>70.637</v>
      </c>
      <c r="G39" s="250" t="n">
        <v>72.759</v>
      </c>
      <c r="H39" s="250" t="n">
        <v>109.405</v>
      </c>
      <c r="I39" s="250" t="n">
        <v>134.648</v>
      </c>
      <c r="J39" s="250" t="n">
        <v>81.944</v>
      </c>
      <c r="K39" s="250" t="n">
        <v>105.682</v>
      </c>
      <c r="L39" s="250" t="n">
        <v>23.973</v>
      </c>
      <c r="M39" s="250">
        <f>67148/(1000)</f>
        <v/>
      </c>
      <c r="N39" s="250" t="n">
        <v>115.548</v>
      </c>
      <c r="O39" s="250" t="n">
        <v>127.237</v>
      </c>
      <c r="P39" s="250" t="n">
        <v>152.218</v>
      </c>
      <c r="Q39" s="250" t="n">
        <v>87.913</v>
      </c>
      <c r="R39" s="250" t="n">
        <v>75.908</v>
      </c>
    </row>
    <row r="40" outlineLevel="1" ht="14.25" customFormat="1" customHeight="1" s="101">
      <c r="A40" s="105" t="inlineStr">
        <is>
          <t>Instrumentos financeiros derivativos</t>
        </is>
      </c>
      <c r="B40" s="252" t="n">
        <v>0</v>
      </c>
      <c r="C40" s="252" t="n">
        <v>0</v>
      </c>
      <c r="D40" s="252" t="n">
        <v>0</v>
      </c>
      <c r="E40" s="252" t="n">
        <v>0</v>
      </c>
      <c r="F40" s="252" t="n">
        <v>0</v>
      </c>
      <c r="G40" s="252" t="n">
        <v>0</v>
      </c>
      <c r="H40" s="252" t="n">
        <v>0</v>
      </c>
      <c r="I40" s="252" t="n">
        <v>0</v>
      </c>
      <c r="J40" s="250" t="n">
        <v>1.186</v>
      </c>
      <c r="K40" s="250" t="n">
        <v>130.473</v>
      </c>
      <c r="L40" s="250" t="n">
        <v>80.746</v>
      </c>
      <c r="M40" s="250">
        <f>584212/(1000)</f>
        <v/>
      </c>
      <c r="N40" s="250" t="n">
        <v>221.048</v>
      </c>
      <c r="O40" s="250" t="n">
        <v>0</v>
      </c>
      <c r="P40" s="250" t="n">
        <v>0</v>
      </c>
      <c r="Q40" s="250" t="n">
        <v>0</v>
      </c>
      <c r="R40" s="250" t="n">
        <v>118.654</v>
      </c>
    </row>
    <row r="41" outlineLevel="1" ht="14.25" customFormat="1" customHeight="1" s="101">
      <c r="A41" s="105" t="inlineStr">
        <is>
          <t>Dividendos/JCP a pagar</t>
        </is>
      </c>
      <c r="B41" s="250" t="n">
        <v>0</v>
      </c>
      <c r="C41" s="250" t="n">
        <v>0</v>
      </c>
      <c r="D41" s="250" t="n">
        <v>0</v>
      </c>
      <c r="E41" s="250" t="n">
        <v>36</v>
      </c>
      <c r="F41" s="250" t="n">
        <v>0</v>
      </c>
      <c r="G41" s="250" t="n">
        <v>0</v>
      </c>
      <c r="H41" s="250" t="n">
        <v>0</v>
      </c>
      <c r="I41" s="250" t="n">
        <v>171</v>
      </c>
      <c r="J41" s="250" t="n">
        <v>0</v>
      </c>
      <c r="K41" s="250" t="n">
        <v>0</v>
      </c>
      <c r="L41" s="250" t="n">
        <v>0</v>
      </c>
      <c r="M41" s="250">
        <f>223376/(1000)</f>
        <v/>
      </c>
      <c r="N41" s="250" t="n">
        <v>0</v>
      </c>
      <c r="O41" s="250" t="n">
        <v>0</v>
      </c>
      <c r="P41" s="250" t="n">
        <v>0</v>
      </c>
      <c r="Q41" s="250" t="n">
        <v>1112</v>
      </c>
      <c r="R41" s="250" t="n">
        <v>834</v>
      </c>
    </row>
    <row r="42" outlineLevel="1" ht="14.25" customFormat="1" customHeight="1" s="101">
      <c r="A42" s="105" t="inlineStr">
        <is>
          <t>Passivo de arrendamentos</t>
        </is>
      </c>
      <c r="B42" s="250" t="n">
        <v>172.036</v>
      </c>
      <c r="C42" s="250" t="n">
        <v>176.558</v>
      </c>
      <c r="D42" s="250" t="n">
        <v>258.093</v>
      </c>
      <c r="E42" s="250" t="n">
        <v>262.923</v>
      </c>
      <c r="F42" s="250" t="n">
        <v>257.941</v>
      </c>
      <c r="G42" s="250" t="n">
        <v>248.817</v>
      </c>
      <c r="H42" s="250" t="n">
        <v>337.143</v>
      </c>
      <c r="I42" s="250" t="n">
        <v>298.526</v>
      </c>
      <c r="J42" s="250" t="n">
        <v>295.574</v>
      </c>
      <c r="K42" s="250" t="n">
        <v>295.633</v>
      </c>
      <c r="L42" s="250" t="n">
        <v>340.432</v>
      </c>
      <c r="M42" s="250">
        <f>313164/(1000)</f>
        <v/>
      </c>
      <c r="N42" s="250" t="n">
        <v>266.817</v>
      </c>
      <c r="O42" s="250" t="n">
        <v>239.607</v>
      </c>
      <c r="P42" s="250" t="n">
        <v>345.059</v>
      </c>
      <c r="Q42" s="250" t="n">
        <v>251.911</v>
      </c>
      <c r="R42" s="250" t="n">
        <v>264.588</v>
      </c>
    </row>
    <row r="43" outlineLevel="1" ht="14.25" customFormat="1" customHeight="1" s="101">
      <c r="A43" s="105" t="inlineStr">
        <is>
          <t>Outros</t>
        </is>
      </c>
      <c r="B43" s="250" t="n">
        <v>324.94</v>
      </c>
      <c r="C43" s="250" t="n">
        <v>327.051</v>
      </c>
      <c r="D43" s="250" t="n">
        <v>280.604</v>
      </c>
      <c r="E43" s="250" t="n">
        <v>308.101</v>
      </c>
      <c r="F43" s="250" t="n">
        <v>278.52</v>
      </c>
      <c r="G43" s="250" t="n">
        <v>309.1</v>
      </c>
      <c r="H43" s="250" t="n">
        <v>353.609</v>
      </c>
      <c r="I43" s="250" t="n">
        <v>346.023</v>
      </c>
      <c r="J43" s="250" t="n">
        <v>414.593</v>
      </c>
      <c r="K43" s="250" t="n">
        <v>378.113</v>
      </c>
      <c r="L43" s="250" t="n">
        <v>324.303</v>
      </c>
      <c r="M43" s="250">
        <f>347493/(1000)</f>
        <v/>
      </c>
      <c r="N43" s="250" t="n">
        <v>515.551</v>
      </c>
      <c r="O43" s="250" t="n">
        <v>478.721</v>
      </c>
      <c r="P43" s="250" t="n">
        <v>443.833</v>
      </c>
      <c r="Q43" s="250" t="n">
        <v>564.443</v>
      </c>
      <c r="R43" s="250" t="n">
        <v>727.001</v>
      </c>
    </row>
    <row r="44" outlineLevel="1" ht="14.25" customFormat="1" customHeight="1" s="101">
      <c r="A44" s="126" t="n"/>
      <c r="B44" s="250" t="n"/>
      <c r="C44" s="250" t="n"/>
      <c r="D44" s="25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</row>
    <row r="45" outlineLevel="1" ht="14.25" customFormat="1" customHeight="1" s="101">
      <c r="A45" s="98" t="inlineStr">
        <is>
          <t>Passivo Não Circulante</t>
        </is>
      </c>
      <c r="B45" s="251" t="n">
        <v>25820.4</v>
      </c>
      <c r="C45" s="251" t="n">
        <v>29150.06</v>
      </c>
      <c r="D45" s="251" t="n">
        <v>29812.236</v>
      </c>
      <c r="E45" s="251" t="n">
        <v>29609.415</v>
      </c>
      <c r="F45" s="251" t="n">
        <v>30633.643</v>
      </c>
      <c r="G45" s="251" t="n">
        <v>29643.022</v>
      </c>
      <c r="H45" s="251" t="n">
        <v>32522.862</v>
      </c>
      <c r="I45" s="251" t="n">
        <v>35826.419</v>
      </c>
      <c r="J45" s="251" t="n">
        <v>36804.088</v>
      </c>
      <c r="K45" s="251" t="n">
        <v>39061.587</v>
      </c>
      <c r="L45" s="251" t="n">
        <v>40873.114</v>
      </c>
      <c r="M45" s="251" t="n">
        <v>43590.289</v>
      </c>
      <c r="N45" s="251" t="n">
        <v>39533.00499999999</v>
      </c>
      <c r="O45" s="251" t="n">
        <v>39777.407</v>
      </c>
      <c r="P45" s="251" t="n">
        <v>39660.617</v>
      </c>
      <c r="Q45" s="251" t="n">
        <v>40628.278</v>
      </c>
      <c r="R45" s="251" t="n">
        <v>37462.143</v>
      </c>
    </row>
    <row r="46" outlineLevel="1" ht="14.25" customFormat="1" customHeight="1" s="101">
      <c r="A46" s="105" t="inlineStr">
        <is>
          <t>Fornecedores</t>
        </is>
      </c>
      <c r="B46" s="250">
        <f>25413.00833/1000</f>
        <v/>
      </c>
      <c r="C46" s="250">
        <f>30759.92959/1000</f>
        <v/>
      </c>
      <c r="D46" s="250" t="n">
        <v>31.42143737</v>
      </c>
      <c r="E46" s="250" t="n">
        <v>131.695</v>
      </c>
      <c r="F46" s="250" t="n">
        <v>92.31999999999999</v>
      </c>
      <c r="G46" s="250" t="n">
        <v>93.85899999999999</v>
      </c>
      <c r="H46" s="250" t="n">
        <v>96.24299999999999</v>
      </c>
      <c r="I46" s="250" t="n">
        <v>97.09099999999999</v>
      </c>
      <c r="J46" s="250" t="n">
        <v>99.59099999999999</v>
      </c>
      <c r="K46" s="250" t="n">
        <v>270.74</v>
      </c>
      <c r="L46" s="250" t="n">
        <v>88.44199999999999</v>
      </c>
      <c r="M46" s="250">
        <f>35497/(1000)</f>
        <v/>
      </c>
      <c r="N46" s="250" t="n">
        <v>24.543</v>
      </c>
      <c r="O46" s="250" t="n">
        <v>18.44</v>
      </c>
      <c r="P46" s="250" t="n">
        <v>17.466</v>
      </c>
      <c r="Q46" s="250" t="n">
        <v>6.053</v>
      </c>
      <c r="R46" s="250" t="n">
        <v>2.102</v>
      </c>
    </row>
    <row r="47" outlineLevel="1" ht="14.25" customFormat="1" customHeight="1" s="101">
      <c r="A47" s="105" t="inlineStr">
        <is>
          <t>Fornecedor Risco Sacado Florestal</t>
        </is>
      </c>
      <c r="B47" s="250">
        <f>79402.15482/1000</f>
        <v/>
      </c>
      <c r="C47" s="250">
        <f>78189.64109/1000</f>
        <v/>
      </c>
      <c r="D47" s="250" t="n">
        <v>78.18964108999999</v>
      </c>
      <c r="E47" s="250" t="n">
        <v>414.041</v>
      </c>
      <c r="F47" s="250" t="n">
        <v>379.872</v>
      </c>
      <c r="G47" s="250" t="n">
        <v>383.368</v>
      </c>
      <c r="H47" s="250" t="n">
        <v>347.59</v>
      </c>
      <c r="I47" s="250" t="n">
        <v>397.734</v>
      </c>
      <c r="J47" s="250" t="n">
        <v>419.556</v>
      </c>
      <c r="K47" s="250" t="n">
        <v>490.339</v>
      </c>
      <c r="L47" s="250" t="n">
        <v>656.0410000000001</v>
      </c>
      <c r="M47" s="250">
        <f>588901/(1000)</f>
        <v/>
      </c>
      <c r="N47" s="250" t="n">
        <v>479.969</v>
      </c>
      <c r="O47" s="250" t="n">
        <v>415.487</v>
      </c>
      <c r="P47" s="250" t="n">
        <v>25.607</v>
      </c>
      <c r="Q47" s="250" t="n">
        <v>233.784</v>
      </c>
      <c r="R47" s="250" t="n">
        <v>345.067</v>
      </c>
    </row>
    <row r="48" outlineLevel="1" ht="14.25" customFormat="1" customHeight="1" s="101">
      <c r="A48" s="105" t="inlineStr">
        <is>
          <t>Empréstimos e financiamentos e debêntures</t>
        </is>
      </c>
      <c r="B48" s="250" t="n">
        <v>22948.501</v>
      </c>
      <c r="C48" s="250" t="n">
        <v>26594.4</v>
      </c>
      <c r="D48" s="250" t="n">
        <v>26615.887</v>
      </c>
      <c r="E48" s="250" t="n">
        <v>25013.211</v>
      </c>
      <c r="F48" s="250" t="n">
        <v>25654.165</v>
      </c>
      <c r="G48" s="250" t="n">
        <v>24115.055</v>
      </c>
      <c r="H48" s="250" t="n">
        <v>26790.911</v>
      </c>
      <c r="I48" s="250" t="n">
        <v>29780.401</v>
      </c>
      <c r="J48" s="250" t="n">
        <v>30815.658</v>
      </c>
      <c r="K48" s="250" t="n">
        <v>33521.935</v>
      </c>
      <c r="L48" s="250" t="n">
        <v>34822.037</v>
      </c>
      <c r="M48" s="250">
        <f>37891188/(1000)</f>
        <v/>
      </c>
      <c r="N48" s="250" t="n">
        <v>34571.422</v>
      </c>
      <c r="O48" s="250" t="n">
        <v>34220.218</v>
      </c>
      <c r="P48" s="250" t="n">
        <v>33980.218</v>
      </c>
      <c r="Q48" s="250" t="n">
        <v>34950.377</v>
      </c>
      <c r="R48" s="250" t="n">
        <v>31315.364</v>
      </c>
    </row>
    <row r="49" outlineLevel="1" ht="14.25" customFormat="1" customHeight="1" s="101">
      <c r="A49" s="105" t="inlineStr">
        <is>
          <t>Instrumentos derivativos</t>
        </is>
      </c>
      <c r="B49" s="250" t="n"/>
      <c r="C49" s="250" t="n"/>
      <c r="D49" s="250" t="n"/>
      <c r="E49" s="250" t="n">
        <v>636.4930000000001</v>
      </c>
      <c r="F49" s="250" t="n">
        <v>546.607</v>
      </c>
      <c r="G49" s="250" t="n">
        <v>365.924</v>
      </c>
      <c r="H49" s="250" t="n">
        <v>456.253</v>
      </c>
      <c r="I49" s="250" t="n">
        <v>452.332</v>
      </c>
      <c r="J49" s="250" t="n">
        <v>501.102</v>
      </c>
      <c r="K49" s="250" t="n">
        <v>800.407</v>
      </c>
      <c r="L49" s="250" t="n">
        <v>792.658</v>
      </c>
      <c r="M49" s="250">
        <f>1594293/(1000)</f>
        <v/>
      </c>
      <c r="N49" s="250" t="n">
        <v>620.965</v>
      </c>
      <c r="O49" s="250" t="n">
        <v>469.46</v>
      </c>
      <c r="P49" s="250" t="n">
        <v>503.673</v>
      </c>
      <c r="Q49" s="250" t="n">
        <v>574.557</v>
      </c>
      <c r="R49" s="250" t="n">
        <v>356.979</v>
      </c>
    </row>
    <row r="50" outlineLevel="1" ht="14.25" customFormat="1" customHeight="1" s="101">
      <c r="A50" s="105" t="inlineStr">
        <is>
          <t>Imposto de renda e contribuição social diferidos</t>
        </is>
      </c>
      <c r="B50" s="250" t="n">
        <v>946.659</v>
      </c>
      <c r="C50" s="250" t="n">
        <v>546.825</v>
      </c>
      <c r="D50" s="250" t="n">
        <v>924.676</v>
      </c>
      <c r="E50" s="250" t="n">
        <v>1198.049</v>
      </c>
      <c r="F50" s="250" t="n">
        <v>1642.055</v>
      </c>
      <c r="G50" s="250" t="n">
        <v>2303.949</v>
      </c>
      <c r="H50" s="250" t="n">
        <v>2015.669</v>
      </c>
      <c r="I50" s="250" t="n">
        <v>2407.078</v>
      </c>
      <c r="J50" s="250" t="n">
        <v>2245.375</v>
      </c>
      <c r="K50" s="250" t="n">
        <v>1116.141</v>
      </c>
      <c r="L50" s="250" t="n">
        <v>1543.035</v>
      </c>
      <c r="M50" s="250">
        <f>559186/(1000)</f>
        <v/>
      </c>
      <c r="N50" s="250" t="n">
        <v>1019.242</v>
      </c>
      <c r="O50" s="250" t="n">
        <v>1686.23</v>
      </c>
      <c r="P50" s="250" t="n">
        <v>2140.309</v>
      </c>
      <c r="Q50" s="250" t="n">
        <v>1878.984</v>
      </c>
      <c r="R50" s="250" t="n">
        <v>2403.631</v>
      </c>
    </row>
    <row r="51" outlineLevel="1" ht="14.25" customFormat="1" customHeight="1" s="101">
      <c r="A51" s="105" t="inlineStr">
        <is>
          <t>Outras contas a pagar - Investidores SCPs</t>
        </is>
      </c>
      <c r="B51" s="250" t="n">
        <v>198.102</v>
      </c>
      <c r="C51" s="250" t="n">
        <v>207.955</v>
      </c>
      <c r="D51" s="250" t="n">
        <v>195.924</v>
      </c>
      <c r="E51" s="250" t="n">
        <v>199.387</v>
      </c>
      <c r="F51" s="250" t="n">
        <v>197.439</v>
      </c>
      <c r="G51" s="250" t="n">
        <v>204.024</v>
      </c>
      <c r="H51" s="250" t="n">
        <v>197.017</v>
      </c>
      <c r="I51" s="250" t="n">
        <v>200.481</v>
      </c>
      <c r="J51" s="250" t="n">
        <v>192.951</v>
      </c>
      <c r="K51" s="250" t="n">
        <v>196.19</v>
      </c>
      <c r="L51" s="250" t="n">
        <v>193.019</v>
      </c>
      <c r="M51" s="250">
        <f>198520/(1000)</f>
        <v/>
      </c>
      <c r="N51" s="250" t="n">
        <v>194.591</v>
      </c>
      <c r="O51" s="250" t="n">
        <v>200.566</v>
      </c>
      <c r="P51" s="250" t="n">
        <v>191.667</v>
      </c>
      <c r="Q51" s="250" t="n">
        <v>189.898</v>
      </c>
      <c r="R51" s="250" t="n">
        <v>188.354</v>
      </c>
    </row>
    <row r="52" outlineLevel="1" ht="14.25" customFormat="1" customHeight="1" s="101">
      <c r="A52" s="105" t="inlineStr">
        <is>
          <t>Provisões fiscais, previdenciárias, trabalhistas e cíveis</t>
        </is>
      </c>
      <c r="B52" s="250" t="n">
        <v>56.861</v>
      </c>
      <c r="C52" s="250" t="n">
        <v>58.774</v>
      </c>
      <c r="D52" s="250" t="n">
        <v>58.231</v>
      </c>
      <c r="E52" s="250" t="n">
        <v>59.35</v>
      </c>
      <c r="F52" s="250" t="n">
        <v>59.641</v>
      </c>
      <c r="G52" s="250" t="n">
        <v>61.355</v>
      </c>
      <c r="H52" s="250" t="n">
        <v>64.432</v>
      </c>
      <c r="I52" s="250" t="n">
        <v>66.084</v>
      </c>
      <c r="J52" s="250" t="n">
        <v>133.33</v>
      </c>
      <c r="K52" s="250" t="n">
        <v>302.527</v>
      </c>
      <c r="L52" s="250" t="n">
        <v>390.689</v>
      </c>
      <c r="M52" s="250" t="n">
        <v>404.74</v>
      </c>
      <c r="N52" s="250" t="n">
        <v>434.341</v>
      </c>
      <c r="O52" s="250" t="n">
        <v>523.771</v>
      </c>
      <c r="P52" s="250" t="n">
        <v>521.753</v>
      </c>
      <c r="Q52" s="250" t="n">
        <v>520.181</v>
      </c>
      <c r="R52" s="250" t="n">
        <v>567.773</v>
      </c>
    </row>
    <row r="53" outlineLevel="1" ht="14.25" customFormat="1" customHeight="1" s="101">
      <c r="A53" s="105" t="inlineStr">
        <is>
          <t>Provisão do passivo atuarial</t>
        </is>
      </c>
      <c r="B53" s="250" t="n">
        <v>364.884029</v>
      </c>
      <c r="C53" s="250" t="n">
        <v>370.588</v>
      </c>
      <c r="D53" s="250" t="n">
        <v>377.4</v>
      </c>
      <c r="E53" s="250" t="n">
        <v>358.423</v>
      </c>
      <c r="F53" s="250" t="n">
        <v>359.31</v>
      </c>
      <c r="G53" s="250" t="n">
        <v>360.197</v>
      </c>
      <c r="H53" s="250" t="n">
        <v>361.084</v>
      </c>
      <c r="I53" s="250" t="n">
        <v>471.818</v>
      </c>
      <c r="J53" s="250" t="n">
        <v>483.519</v>
      </c>
      <c r="K53" s="250" t="n">
        <v>495.097</v>
      </c>
      <c r="L53" s="250" t="n">
        <v>506.675</v>
      </c>
      <c r="M53" s="250">
        <f>497939/(1000)</f>
        <v/>
      </c>
      <c r="N53" s="250" t="n">
        <v>511.095</v>
      </c>
      <c r="O53" s="250" t="n">
        <v>524.251</v>
      </c>
      <c r="P53" s="250" t="n">
        <v>537.4059999999999</v>
      </c>
      <c r="Q53" s="250" t="n">
        <v>575.155</v>
      </c>
      <c r="R53" s="250" t="n">
        <v>590.889</v>
      </c>
    </row>
    <row r="54" outlineLevel="1" ht="14.25" customFormat="1" customHeight="1" s="101">
      <c r="A54" s="105" t="inlineStr">
        <is>
          <t xml:space="preserve">Passivo de direito de uso </t>
        </is>
      </c>
      <c r="B54" s="250" t="n">
        <v>914.771</v>
      </c>
      <c r="C54" s="250" t="n">
        <v>1006.043</v>
      </c>
      <c r="D54" s="250" t="n">
        <v>1301.145</v>
      </c>
      <c r="E54" s="250" t="n">
        <v>1381.966</v>
      </c>
      <c r="F54" s="250" t="n">
        <v>1510.176</v>
      </c>
      <c r="G54" s="250" t="n">
        <v>1556.574</v>
      </c>
      <c r="H54" s="250" t="n">
        <v>1970.428</v>
      </c>
      <c r="I54" s="250" t="n">
        <v>1624.768</v>
      </c>
      <c r="J54" s="250" t="n">
        <v>1596.174</v>
      </c>
      <c r="K54" s="250" t="n">
        <v>1569.524</v>
      </c>
      <c r="L54" s="250" t="n">
        <v>1592.926</v>
      </c>
      <c r="M54" s="250">
        <f>1545039/(1000)</f>
        <v/>
      </c>
      <c r="N54" s="250" t="n">
        <v>1441.204</v>
      </c>
      <c r="O54" s="250" t="n">
        <v>1408.238</v>
      </c>
      <c r="P54" s="250" t="n">
        <v>1402.911</v>
      </c>
      <c r="Q54" s="250" t="n">
        <v>1485.62</v>
      </c>
      <c r="R54" s="250" t="n">
        <v>1495.051</v>
      </c>
    </row>
    <row r="55" outlineLevel="1" ht="14.25" customFormat="1" customHeight="1" s="101">
      <c r="A55" s="105" t="inlineStr">
        <is>
          <t>Obrigações Fiscais</t>
        </is>
      </c>
      <c r="B55" s="250" t="n">
        <v>152.947</v>
      </c>
      <c r="C55" s="250" t="n">
        <v>135.411</v>
      </c>
      <c r="D55" s="250" t="n">
        <v>120.59</v>
      </c>
      <c r="E55" s="250" t="n">
        <v>107.61</v>
      </c>
      <c r="F55" s="250" t="n">
        <v>87.962</v>
      </c>
      <c r="G55" s="250" t="n">
        <v>86.05</v>
      </c>
      <c r="H55" s="250" t="n">
        <v>108.704</v>
      </c>
      <c r="I55" s="250" t="n">
        <v>216.787</v>
      </c>
      <c r="J55" s="250" t="n">
        <v>203.809</v>
      </c>
      <c r="K55" s="250" t="n">
        <v>188.675</v>
      </c>
      <c r="L55" s="250" t="n">
        <v>176.549</v>
      </c>
      <c r="M55" s="250">
        <f>160697/(1000)</f>
        <v/>
      </c>
      <c r="N55" s="250" t="n">
        <v>138.2</v>
      </c>
      <c r="O55" s="250" t="n">
        <v>128.074</v>
      </c>
      <c r="P55" s="250" t="n">
        <v>105.311</v>
      </c>
      <c r="Q55" s="250" t="n">
        <v>90.3</v>
      </c>
      <c r="R55" s="250" t="n">
        <v>70.676</v>
      </c>
    </row>
    <row r="56" outlineLevel="1" ht="14.25" customFormat="1" customHeight="1" s="101">
      <c r="A56" s="105" t="inlineStr">
        <is>
          <t>Outros</t>
        </is>
      </c>
      <c r="B56" s="250" t="n">
        <v>132.85983685</v>
      </c>
      <c r="C56" s="250" t="n">
        <v>121.11442932</v>
      </c>
      <c r="D56" s="250" t="n">
        <v>108.77192154</v>
      </c>
      <c r="E56" s="250" t="n">
        <v>109.19</v>
      </c>
      <c r="F56" s="250" t="n">
        <v>104.096</v>
      </c>
      <c r="G56" s="250" t="n">
        <v>112.667</v>
      </c>
      <c r="H56" s="250" t="n">
        <v>114.531</v>
      </c>
      <c r="I56" s="250" t="n">
        <v>111.845</v>
      </c>
      <c r="J56" s="250" t="n">
        <v>113.023</v>
      </c>
      <c r="K56" s="250" t="n">
        <v>110.012</v>
      </c>
      <c r="L56" s="250" t="n">
        <v>111.043</v>
      </c>
      <c r="M56" s="250">
        <f>114289/(1000)</f>
        <v/>
      </c>
      <c r="N56" s="250" t="n">
        <v>97.43300000000001</v>
      </c>
      <c r="O56" s="250" t="n">
        <v>182.672</v>
      </c>
      <c r="P56" s="250" t="n">
        <v>234.296</v>
      </c>
      <c r="Q56" s="250" t="n">
        <v>123.369</v>
      </c>
      <c r="R56" s="250" t="n">
        <v>126.257</v>
      </c>
    </row>
    <row r="57" outlineLevel="1" ht="14.25" customFormat="1" customHeight="1" s="101">
      <c r="A57" s="126" t="n"/>
      <c r="B57" s="250" t="n"/>
      <c r="C57" s="250" t="n"/>
      <c r="D57" s="25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</row>
    <row r="58" outlineLevel="1" ht="14.25" customFormat="1" customHeight="1" s="101">
      <c r="A58" s="98" t="inlineStr">
        <is>
          <t>Patrim.Líquido - atribuido aos controladores</t>
        </is>
      </c>
      <c r="B58" s="251" t="n">
        <v>8615.568745409999</v>
      </c>
      <c r="C58" s="251" t="n">
        <v>7973.27234841</v>
      </c>
      <c r="D58" s="251" t="n">
        <v>9002.79978352</v>
      </c>
      <c r="E58" s="251" t="n">
        <v>9559.483653249999</v>
      </c>
      <c r="F58" s="251" t="n">
        <v>10668.35955711</v>
      </c>
      <c r="G58" s="251" t="n">
        <v>11784.27805138702</v>
      </c>
      <c r="H58" s="251" t="n">
        <v>11159.88878352</v>
      </c>
      <c r="I58" s="251" t="n">
        <v>11585.122</v>
      </c>
      <c r="J58" s="251" t="n">
        <v>11310.504</v>
      </c>
      <c r="K58" s="251" t="n">
        <v>9414.281000000001</v>
      </c>
      <c r="L58" s="251" t="n">
        <v>9989.389999999999</v>
      </c>
      <c r="M58" s="251">
        <f>6651853/(1000)</f>
        <v/>
      </c>
      <c r="N58" s="251" t="n">
        <v>8626.515999999998</v>
      </c>
      <c r="O58" s="251" t="n">
        <v>10192.494</v>
      </c>
      <c r="P58" s="251" t="n">
        <v>10239.102</v>
      </c>
      <c r="Q58" s="251" t="n">
        <v>7885.946</v>
      </c>
      <c r="R58" s="251" t="n">
        <v>9046.011</v>
      </c>
    </row>
    <row r="59" outlineLevel="1" ht="14.25" customFormat="1" customHeight="1" s="101">
      <c r="A59" s="105" t="inlineStr">
        <is>
          <t>Capital Social Realizado</t>
        </is>
      </c>
      <c r="B59" s="250" t="n">
        <v>4475.625</v>
      </c>
      <c r="C59" s="250" t="n">
        <v>4475.625</v>
      </c>
      <c r="D59" s="250" t="n">
        <v>4475.625</v>
      </c>
      <c r="E59" s="250" t="n">
        <v>4475.625</v>
      </c>
      <c r="F59" s="250" t="n">
        <v>4475.625</v>
      </c>
      <c r="G59" s="250" t="n">
        <v>4475.625</v>
      </c>
      <c r="H59" s="250" t="n">
        <v>4475.625</v>
      </c>
      <c r="I59" s="250" t="n">
        <v>4475.625</v>
      </c>
      <c r="J59" s="250" t="n">
        <v>4475.625</v>
      </c>
      <c r="K59" s="250" t="n">
        <v>6075.625</v>
      </c>
      <c r="L59" s="250" t="n">
        <v>6075.625</v>
      </c>
      <c r="M59" s="250">
        <f>6075625/(1000)</f>
        <v/>
      </c>
      <c r="N59" s="250" t="n">
        <v>6075.625</v>
      </c>
      <c r="O59" s="250" t="n">
        <v>6075.625</v>
      </c>
      <c r="P59" s="250" t="n">
        <v>6075.625</v>
      </c>
      <c r="Q59" s="250" t="n">
        <v>6875.625</v>
      </c>
      <c r="R59" s="250" t="n">
        <v>6875.625</v>
      </c>
    </row>
    <row r="60" outlineLevel="1" ht="14.25" customFormat="1" customHeight="1" s="101">
      <c r="A60" s="105" t="inlineStr">
        <is>
          <t>Reservas de capital e de reavaliação</t>
        </is>
      </c>
      <c r="B60" s="250" t="n">
        <v>-270.399</v>
      </c>
      <c r="C60" s="250" t="n">
        <v>-270.399</v>
      </c>
      <c r="D60" s="250" t="n">
        <v>-270.3992646256</v>
      </c>
      <c r="E60" s="250" t="n">
        <v>-270.3992646256</v>
      </c>
      <c r="F60" s="250" t="n">
        <v>-246.325498538583</v>
      </c>
      <c r="G60" s="250" t="n">
        <v>-243.0149967585828</v>
      </c>
      <c r="H60" s="250" t="n">
        <v>-243.0152646256</v>
      </c>
      <c r="I60" s="250" t="n">
        <v>-225.642</v>
      </c>
      <c r="J60" s="250" t="n">
        <v>-210.732</v>
      </c>
      <c r="K60" s="250" t="n">
        <v>-204.878</v>
      </c>
      <c r="L60" s="250" t="n">
        <v>-199.093</v>
      </c>
      <c r="M60" s="250">
        <f>-193610/1000</f>
        <v/>
      </c>
      <c r="N60" s="250" t="n">
        <v>-177.233</v>
      </c>
      <c r="O60" s="250" t="n">
        <v>-170.634</v>
      </c>
      <c r="P60" s="250" t="n">
        <v>-163.554</v>
      </c>
      <c r="Q60" s="250" t="n">
        <v>-156.626</v>
      </c>
      <c r="R60" s="250" t="n">
        <v>-133.675</v>
      </c>
    </row>
    <row r="61" outlineLevel="1" ht="14.25" customFormat="1" customHeight="1" s="101">
      <c r="A61" s="105" t="inlineStr">
        <is>
          <t>Ágio em transações de capital em controladas</t>
        </is>
      </c>
      <c r="B61" s="131" t="n">
        <v>0</v>
      </c>
      <c r="C61" s="131" t="n">
        <v>0</v>
      </c>
      <c r="D61" s="131" t="n">
        <v>0</v>
      </c>
      <c r="E61" s="131" t="n">
        <v>0</v>
      </c>
      <c r="F61" s="131" t="n">
        <v>0</v>
      </c>
      <c r="G61" s="131" t="n">
        <v>0</v>
      </c>
      <c r="H61" s="131" t="n">
        <v>0</v>
      </c>
      <c r="I61" s="131" t="n">
        <v>0</v>
      </c>
      <c r="J61" s="131" t="n">
        <v>0</v>
      </c>
      <c r="K61" s="131" t="n">
        <v>0</v>
      </c>
      <c r="L61" s="131" t="n">
        <v>0</v>
      </c>
      <c r="M61" s="250">
        <f>36668/1000</f>
        <v/>
      </c>
      <c r="N61" s="250" t="n">
        <v>36.668</v>
      </c>
      <c r="O61" s="250" t="n">
        <v>36.668</v>
      </c>
      <c r="P61" s="250" t="inlineStr">
        <is>
          <t>-</t>
        </is>
      </c>
      <c r="Q61" s="250" t="inlineStr">
        <is>
          <t>-</t>
        </is>
      </c>
      <c r="R61" s="250" t="inlineStr">
        <is>
          <t>-</t>
        </is>
      </c>
    </row>
    <row r="62" outlineLevel="1" ht="14.25" customFormat="1" customHeight="1" s="101">
      <c r="A62" s="105" t="inlineStr">
        <is>
          <t>Reservas de Lucros</t>
        </is>
      </c>
      <c r="B62" s="250" t="n">
        <v>1247.044</v>
      </c>
      <c r="C62" s="250" t="n">
        <v>1247.044</v>
      </c>
      <c r="D62" s="250" t="n">
        <v>1247.044</v>
      </c>
      <c r="E62" s="250" t="n">
        <v>4425.294</v>
      </c>
      <c r="F62" s="250" t="n">
        <v>4080.294</v>
      </c>
      <c r="G62" s="250" t="n">
        <v>4080.294</v>
      </c>
      <c r="H62" s="250" t="n">
        <v>4080.294</v>
      </c>
      <c r="I62" s="250" t="n">
        <v>5626.832</v>
      </c>
      <c r="J62" s="250" t="n">
        <v>5434.832</v>
      </c>
      <c r="K62" s="250" t="n">
        <v>3834.832</v>
      </c>
      <c r="L62" s="250" t="n">
        <v>3834.832</v>
      </c>
      <c r="M62" s="250">
        <f>4242843/(1000)</f>
        <v/>
      </c>
      <c r="N62" s="250" t="n">
        <v>4188.843</v>
      </c>
      <c r="O62" s="250" t="n">
        <v>3909.843</v>
      </c>
      <c r="P62" s="250" t="n">
        <v>3603.843</v>
      </c>
      <c r="Q62" s="250" t="n">
        <v>2777.662</v>
      </c>
      <c r="R62" s="250" t="n">
        <v>2777.662</v>
      </c>
    </row>
    <row r="63" outlineLevel="1" ht="14.25" customFormat="1" customHeight="1" s="101">
      <c r="A63" s="105" t="inlineStr">
        <is>
          <t>Ajustes de avaliação Patrimonial</t>
        </is>
      </c>
      <c r="B63" s="250" t="n">
        <v>2334.1267985344</v>
      </c>
      <c r="C63" s="250" t="n">
        <v>1286.2798782244</v>
      </c>
      <c r="D63" s="250" t="n">
        <v>795.0489518544</v>
      </c>
      <c r="E63" s="250" t="n">
        <v>1084.3238215844</v>
      </c>
      <c r="F63" s="250" t="n">
        <v>1332.55588812142</v>
      </c>
      <c r="G63" s="250" t="n">
        <v>2190.3549518544</v>
      </c>
      <c r="H63" s="250" t="n">
        <v>1576.8146917744</v>
      </c>
      <c r="I63" s="250" t="n">
        <v>1844.115</v>
      </c>
      <c r="J63" s="250" t="n">
        <v>1308.215</v>
      </c>
      <c r="K63" s="250" t="n">
        <v>-552.915</v>
      </c>
      <c r="L63" s="250" t="n">
        <v>-291.995</v>
      </c>
      <c r="M63" s="250">
        <f>-3386252/(1000)</f>
        <v/>
      </c>
      <c r="N63" s="250" t="n">
        <v>-1796.719</v>
      </c>
      <c r="O63" s="250" t="n">
        <v>-530.901</v>
      </c>
      <c r="P63" s="250" t="n">
        <v>-497.362</v>
      </c>
      <c r="Q63" s="250" t="n">
        <v>-1508.833</v>
      </c>
      <c r="R63" s="250" t="n">
        <v>138.252</v>
      </c>
    </row>
    <row r="64" outlineLevel="1" ht="14.25" customFormat="1" customHeight="1" s="101">
      <c r="A64" s="105" t="inlineStr">
        <is>
          <t>Resultados acumulados</t>
        </is>
      </c>
      <c r="B64" s="250" t="n">
        <v>984.2809999999999</v>
      </c>
      <c r="C64" s="250" t="n">
        <v>1389.965</v>
      </c>
      <c r="D64" s="250" t="n">
        <v>2910.813</v>
      </c>
      <c r="E64" s="250" t="n"/>
      <c r="F64" s="250" t="n">
        <v>1164.64</v>
      </c>
      <c r="G64" s="250" t="n">
        <v>1416.579</v>
      </c>
      <c r="H64" s="250" t="n">
        <v>1405.881</v>
      </c>
      <c r="I64" s="250" t="n"/>
      <c r="J64" s="250" t="n">
        <v>425.525</v>
      </c>
      <c r="K64" s="250" t="n">
        <v>384.725</v>
      </c>
      <c r="L64" s="250" t="n">
        <v>693.313</v>
      </c>
      <c r="M64" s="250">
        <f>0/(1000)</f>
        <v/>
      </c>
      <c r="N64" s="250" t="n">
        <v>401.242</v>
      </c>
      <c r="O64" s="250" t="n">
        <v>0</v>
      </c>
      <c r="P64" s="250" t="n">
        <v>0</v>
      </c>
      <c r="Q64" s="250" t="n">
        <v>0</v>
      </c>
      <c r="R64" s="250" t="n">
        <v>0</v>
      </c>
    </row>
    <row r="65" outlineLevel="1" ht="14.25" customFormat="1" customHeight="1" s="101">
      <c r="A65" s="105" t="inlineStr">
        <is>
          <t>Ações em Tesouraria</t>
        </is>
      </c>
      <c r="B65" s="250" t="n">
        <v>-155.1087884988</v>
      </c>
      <c r="C65" s="250" t="n">
        <v>-155.2422651888</v>
      </c>
      <c r="D65" s="250" t="n">
        <v>-155.3319037088</v>
      </c>
      <c r="E65" s="250" t="n">
        <v>-155.3599037088</v>
      </c>
      <c r="F65" s="250" t="n">
        <v>-138.429832472834</v>
      </c>
      <c r="G65" s="250" t="n">
        <v>-135.5599037088</v>
      </c>
      <c r="H65" s="250" t="n">
        <v>-135.7106436288</v>
      </c>
      <c r="I65" s="250" t="n">
        <v>-136</v>
      </c>
      <c r="J65" s="250" t="n">
        <v>-122.961</v>
      </c>
      <c r="K65" s="250" t="n">
        <v>-123.108</v>
      </c>
      <c r="L65" s="250" t="n">
        <v>-123.292</v>
      </c>
      <c r="M65" s="250">
        <f>-123421/(1000)</f>
        <v/>
      </c>
      <c r="N65" s="250" t="n">
        <v>-101.91</v>
      </c>
      <c r="O65" s="250" t="n">
        <v>-101.801</v>
      </c>
      <c r="P65" s="250" t="n">
        <v>-101.855</v>
      </c>
      <c r="Q65" s="250" t="n">
        <v>-101.882</v>
      </c>
      <c r="R65" s="250" t="n">
        <v>-81.904</v>
      </c>
    </row>
    <row r="66" outlineLevel="1" ht="14.25" customFormat="1" customHeight="1" s="101">
      <c r="A66" s="105" t="inlineStr">
        <is>
          <t>Resultado do período</t>
        </is>
      </c>
      <c r="B66" s="250" t="n"/>
      <c r="C66" s="250" t="n"/>
      <c r="D66" s="25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>
        <v>973.694</v>
      </c>
      <c r="P66" s="250" t="n">
        <v>1322.405</v>
      </c>
      <c r="Q66" s="250" t="n"/>
      <c r="R66" s="250" t="n">
        <v>-529.949</v>
      </c>
    </row>
    <row r="67" outlineLevel="1" ht="14.25" customFormat="1" customHeight="1" s="101">
      <c r="A67" s="98" t="inlineStr">
        <is>
          <t>Patrimônio Líquido - Não Controladores</t>
        </is>
      </c>
      <c r="B67" s="251" t="n">
        <v>1243.801</v>
      </c>
      <c r="C67" s="251" t="n">
        <v>1714.482</v>
      </c>
      <c r="D67" s="251" t="n">
        <v>1980.087</v>
      </c>
      <c r="E67" s="251" t="n">
        <v>2008.782</v>
      </c>
      <c r="F67" s="251" t="n">
        <v>2094.432</v>
      </c>
      <c r="G67" s="251" t="n">
        <v>2461.585</v>
      </c>
      <c r="H67" s="251" t="n">
        <v>2437.42</v>
      </c>
      <c r="I67" s="251" t="n">
        <v>2147.408</v>
      </c>
      <c r="J67" s="251" t="n">
        <v>2235.641</v>
      </c>
      <c r="K67" s="251" t="n">
        <v>2204.046</v>
      </c>
      <c r="L67" s="251" t="n">
        <v>1956.218</v>
      </c>
      <c r="M67" s="251">
        <f>1985347/(1000)</f>
        <v/>
      </c>
      <c r="N67" s="251" t="n">
        <v>2681.742</v>
      </c>
      <c r="O67" s="251" t="n">
        <v>3196.214</v>
      </c>
      <c r="P67" s="251" t="n">
        <v>4432.493</v>
      </c>
      <c r="Q67" s="251" t="n">
        <v>6515.155</v>
      </c>
      <c r="R67" s="251" t="n">
        <v>6532.956</v>
      </c>
    </row>
    <row r="68" outlineLevel="1" ht="14.25" customFormat="1" customHeight="1" s="101">
      <c r="A68" s="126" t="n"/>
      <c r="B68" s="250" t="n"/>
      <c r="C68" s="250" t="n"/>
      <c r="D68" s="25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>
        <v>0</v>
      </c>
    </row>
    <row r="69" outlineLevel="1" ht="14.25" customFormat="1" customHeight="1" s="101">
      <c r="A69" s="98" t="inlineStr">
        <is>
          <t>Passivo Total + Patrimônio Líquido</t>
        </is>
      </c>
      <c r="B69" s="251" t="n">
        <v>40199.52074540999</v>
      </c>
      <c r="C69" s="251" t="n">
        <v>44289.87334841</v>
      </c>
      <c r="D69" s="251" t="n">
        <v>46125.25678352</v>
      </c>
      <c r="E69" s="251" t="n">
        <v>47639.43</v>
      </c>
      <c r="F69" s="251" t="n">
        <v>49659.973</v>
      </c>
      <c r="G69" s="251" t="n">
        <v>50165.316</v>
      </c>
      <c r="H69" s="251" t="n">
        <v>52410.506</v>
      </c>
      <c r="I69" s="251" t="n">
        <v>55434.69</v>
      </c>
      <c r="J69" s="251" t="n">
        <v>56794.422</v>
      </c>
      <c r="K69" s="251" t="n">
        <v>57495.041</v>
      </c>
      <c r="L69" s="251" t="n">
        <v>58988.786</v>
      </c>
      <c r="M69" s="251">
        <f>59390832/(1000)</f>
        <v/>
      </c>
      <c r="N69" s="251" t="n">
        <v>57473.164</v>
      </c>
      <c r="O69" s="251" t="n">
        <v>60335.243</v>
      </c>
      <c r="P69" s="251" t="n">
        <v>62163.679</v>
      </c>
      <c r="Q69" s="251" t="n">
        <v>63796.777</v>
      </c>
      <c r="R69" s="251" t="n">
        <v>62090.634</v>
      </c>
    </row>
  </sheetData>
  <mergeCells count="18">
    <mergeCell ref="M1:M2"/>
    <mergeCell ref="P1:P2"/>
    <mergeCell ref="A1:A2"/>
    <mergeCell ref="J1:J2"/>
    <mergeCell ref="N1:N2"/>
    <mergeCell ref="H1:H2"/>
    <mergeCell ref="D1:D2"/>
    <mergeCell ref="B1:B2"/>
    <mergeCell ref="G1:G2"/>
    <mergeCell ref="C1:C2"/>
    <mergeCell ref="K1:K2"/>
    <mergeCell ref="I1:I2"/>
    <mergeCell ref="R1:R2"/>
    <mergeCell ref="L1:L2"/>
    <mergeCell ref="E1:E2"/>
    <mergeCell ref="O1:O2"/>
    <mergeCell ref="F1:F2"/>
    <mergeCell ref="Q1:Q2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tabColor rgb="FF4F4B4B"/>
    <outlinePr summaryBelow="1" summaryRight="1"/>
    <pageSetUpPr/>
  </sheetPr>
  <dimension ref="A1:Y79"/>
  <sheetViews>
    <sheetView showGridLines="0" showZeros="0" zoomScale="106" zoomScaleNormal="106" workbookViewId="0">
      <pane xSplit="1" ySplit="2" topLeftCell="B3" activePane="bottomRight" state="frozen"/>
      <selection pane="topRight" activeCell="C1" sqref="C1"/>
      <selection pane="bottomLeft" activeCell="A4" sqref="A4"/>
      <selection pane="bottomRight" activeCell="A4" sqref="A4:A30"/>
    </sheetView>
  </sheetViews>
  <sheetFormatPr baseColWidth="8" defaultColWidth="9.140625" defaultRowHeight="0" customHeight="1" zeroHeight="1" outlineLevelRow="2"/>
  <cols>
    <col width="46.42578125" customWidth="1" style="94" min="1" max="1"/>
    <col width="9.42578125" customWidth="1" style="94" min="2" max="5"/>
    <col width="10.42578125" customWidth="1" style="94" min="6" max="11"/>
    <col width="9.140625" customWidth="1" style="94" min="12" max="16384"/>
  </cols>
  <sheetData>
    <row r="1" ht="15.75" customHeight="1" s="192">
      <c r="A1" s="201" t="inlineStr">
        <is>
          <t>DRE (R$ milhões)</t>
        </is>
      </c>
      <c r="B1" s="199" t="inlineStr">
        <is>
          <t>1T22</t>
        </is>
      </c>
      <c r="C1" s="199" t="inlineStr">
        <is>
          <t>2T22</t>
        </is>
      </c>
      <c r="D1" s="199" t="inlineStr">
        <is>
          <t>3T22</t>
        </is>
      </c>
      <c r="E1" s="199" t="inlineStr">
        <is>
          <t>4T22</t>
        </is>
      </c>
      <c r="F1" s="203" t="n">
        <v>2022</v>
      </c>
      <c r="G1" s="199" t="inlineStr">
        <is>
          <t>1T23</t>
        </is>
      </c>
      <c r="H1" s="199" t="inlineStr">
        <is>
          <t>2T23</t>
        </is>
      </c>
      <c r="I1" s="199" t="inlineStr">
        <is>
          <t>3T23</t>
        </is>
      </c>
      <c r="J1" s="199" t="inlineStr">
        <is>
          <t>4T23</t>
        </is>
      </c>
      <c r="K1" s="203" t="n">
        <v>2023</v>
      </c>
      <c r="L1" s="199" t="inlineStr">
        <is>
          <t>1T24</t>
        </is>
      </c>
      <c r="M1" s="199" t="inlineStr">
        <is>
          <t>2T24</t>
        </is>
      </c>
      <c r="N1" s="199" t="inlineStr">
        <is>
          <t>3T24</t>
        </is>
      </c>
      <c r="O1" s="199" t="inlineStr">
        <is>
          <t>4T24</t>
        </is>
      </c>
      <c r="P1" s="203" t="n">
        <v>2024</v>
      </c>
      <c r="Q1" s="199" t="inlineStr">
        <is>
          <t>1T25</t>
        </is>
      </c>
      <c r="R1" s="199" t="inlineStr">
        <is>
          <t>2T25</t>
        </is>
      </c>
      <c r="S1" s="199" t="inlineStr">
        <is>
          <t>3T25</t>
        </is>
      </c>
      <c r="T1" s="199" t="inlineStr">
        <is>
          <t>4T25</t>
        </is>
      </c>
      <c r="U1" s="203" t="n">
        <v>2025</v>
      </c>
      <c r="V1" t="inlineStr">
        <is>
          <t>Orçamento</t>
        </is>
      </c>
      <c r="W1" t="inlineStr">
        <is>
          <t>Budget</t>
        </is>
      </c>
      <c r="X1" s="199" t="inlineStr">
        <is>
          <t>1T26</t>
        </is>
      </c>
    </row>
    <row r="2" ht="15.75" customHeight="1" s="192" thickBot="1">
      <c r="A2" s="245" t="n"/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  <c r="O2" s="245" t="n"/>
      <c r="P2" s="245" t="n"/>
      <c r="Q2" s="245" t="n"/>
      <c r="R2" s="245" t="n"/>
      <c r="S2" s="245" t="n"/>
      <c r="T2" s="245" t="n"/>
      <c r="U2" s="245" t="n"/>
      <c r="X2" s="245" t="n"/>
    </row>
    <row r="3" ht="14.25" customFormat="1" customHeight="1" s="129">
      <c r="A3" s="98" t="inlineStr">
        <is>
          <t>Receita Bruta</t>
        </is>
      </c>
      <c r="B3" s="248" t="n">
        <v>5044.635</v>
      </c>
      <c r="C3" s="248" t="n">
        <v>5765.252</v>
      </c>
      <c r="D3" s="248" t="n">
        <v>6307.273</v>
      </c>
      <c r="E3" s="248" t="n">
        <v>5893.001</v>
      </c>
      <c r="F3" s="253" t="n">
        <v>23010.161</v>
      </c>
      <c r="G3" s="248" t="n">
        <v>5555.054</v>
      </c>
      <c r="H3" s="248" t="n">
        <v>5000.088</v>
      </c>
      <c r="I3" s="248">
        <f>5084538/1000</f>
        <v/>
      </c>
      <c r="J3" s="248" t="n">
        <v>5152.104</v>
      </c>
      <c r="K3" s="253" t="n">
        <v>20791.784</v>
      </c>
      <c r="L3" s="248" t="n">
        <v>5116.505204689999</v>
      </c>
      <c r="M3" s="248" t="n">
        <v>5684.527</v>
      </c>
      <c r="N3" s="248" t="n">
        <v>5815.84158983</v>
      </c>
      <c r="O3" s="248" t="n">
        <v>6136.316</v>
      </c>
      <c r="P3" s="253" t="n">
        <v>22753.18979452</v>
      </c>
      <c r="Q3" s="248" t="n">
        <v>5630.158</v>
      </c>
      <c r="R3" s="248" t="n">
        <v>6001.082</v>
      </c>
      <c r="S3" s="248" t="n">
        <v>6238.529</v>
      </c>
      <c r="T3" s="248" t="n">
        <v>5973.127</v>
      </c>
      <c r="U3" s="253" t="n">
        <v>23842.896</v>
      </c>
      <c r="X3" s="248" t="n">
        <v>5942.473</v>
      </c>
    </row>
    <row r="4" outlineLevel="1" ht="14.25" customFormat="1" customHeight="1" s="101">
      <c r="A4" s="98" t="inlineStr">
        <is>
          <t>Receita Líquida</t>
        </is>
      </c>
      <c r="B4" s="251" t="n">
        <v>4422.13</v>
      </c>
      <c r="C4" s="251" t="n">
        <v>5038.955</v>
      </c>
      <c r="D4" s="251" t="n">
        <v>5488.228</v>
      </c>
      <c r="E4" s="251" t="n">
        <v>5083.386</v>
      </c>
      <c r="F4" s="253" t="n">
        <v>20032.699</v>
      </c>
      <c r="G4" s="251" t="n">
        <v>4830.76103684</v>
      </c>
      <c r="H4" s="251" t="n">
        <v>4292.579</v>
      </c>
      <c r="I4" s="251" t="n">
        <v>4400.407</v>
      </c>
      <c r="J4" s="251" t="n">
        <v>4500.002</v>
      </c>
      <c r="K4" s="253" t="n">
        <v>18023.74903684</v>
      </c>
      <c r="L4" s="251" t="n">
        <v>4429.583645679999</v>
      </c>
      <c r="M4" s="251" t="n">
        <v>4948.732</v>
      </c>
      <c r="N4" s="251" t="n">
        <v>4998.72892175</v>
      </c>
      <c r="O4" s="251" t="n">
        <v>5268.2195</v>
      </c>
      <c r="P4" s="253" t="n">
        <v>19645.26411431</v>
      </c>
      <c r="Q4" s="251" t="n">
        <v>4858.534</v>
      </c>
      <c r="R4" s="251" t="n">
        <v>5247.202</v>
      </c>
      <c r="S4" s="251" t="n">
        <v>5426.467</v>
      </c>
      <c r="T4" s="251" t="n">
        <v>5165.304</v>
      </c>
      <c r="U4" s="253" t="n">
        <v>20697.507</v>
      </c>
      <c r="V4" t="n">
        <v>21350</v>
      </c>
      <c r="W4" t="n">
        <v>21350</v>
      </c>
      <c r="X4" s="251" t="n">
        <v>4945.957</v>
      </c>
      <c r="Y4" s="132" t="n"/>
    </row>
    <row r="5" outlineLevel="1" ht="14.25" customFormat="1" customHeight="1" s="101">
      <c r="A5" s="102" t="inlineStr">
        <is>
          <t xml:space="preserve">MI  </t>
        </is>
      </c>
      <c r="B5" s="250" t="n">
        <v>2607.70252754</v>
      </c>
      <c r="C5" s="250" t="n">
        <v>2817.49681582</v>
      </c>
      <c r="D5" s="250" t="n">
        <v>3177.68155621</v>
      </c>
      <c r="E5" s="250" t="n">
        <v>3146.54</v>
      </c>
      <c r="F5" s="133" t="n">
        <v>11749.42</v>
      </c>
      <c r="G5" s="250" t="n">
        <v>2972.59144893</v>
      </c>
      <c r="H5" s="250" t="n">
        <v>2941.53393965</v>
      </c>
      <c r="I5" s="250" t="n">
        <v>2935.03156775</v>
      </c>
      <c r="J5" s="250" t="n">
        <v>2879.394687850001</v>
      </c>
      <c r="K5" s="133" t="n">
        <v>11728.55007643</v>
      </c>
      <c r="L5" s="250" t="n">
        <v>2888.53511101</v>
      </c>
      <c r="M5" s="250" t="n">
        <v>3118.12888899</v>
      </c>
      <c r="N5" s="250" t="n">
        <v>3375.32609884</v>
      </c>
      <c r="O5" s="250" t="n">
        <v>3317.519</v>
      </c>
      <c r="P5" s="133" t="n">
        <v>12699.51020985</v>
      </c>
      <c r="Q5" s="250" t="n">
        <v>3031.09</v>
      </c>
      <c r="R5" s="250" t="n">
        <v>3192.13</v>
      </c>
      <c r="S5" s="250" t="n">
        <v>3553.37185953</v>
      </c>
      <c r="T5" s="250" t="n">
        <v>3354.693206839999</v>
      </c>
      <c r="U5" s="133" t="n">
        <v>13131.28649699</v>
      </c>
      <c r="X5" s="250" t="n">
        <v>3239.416</v>
      </c>
    </row>
    <row r="6" outlineLevel="2" ht="14.25" customFormat="1" customHeight="1" s="101">
      <c r="A6" s="105" t="inlineStr">
        <is>
          <t>%</t>
        </is>
      </c>
      <c r="B6" s="106" t="n">
        <v>0.5896939588162451</v>
      </c>
      <c r="C6" s="106" t="n">
        <v>0.5591428621323519</v>
      </c>
      <c r="D6" s="106" t="n">
        <v>0.5789996660914345</v>
      </c>
      <c r="E6" s="106" t="n">
        <v>0.6189850623186987</v>
      </c>
      <c r="F6" s="107" t="n">
        <v>0.5865120820714174</v>
      </c>
      <c r="G6" s="106">
        <f>G5/$G$4</f>
        <v/>
      </c>
      <c r="H6" s="106">
        <f>H5/$H$4</f>
        <v/>
      </c>
      <c r="I6" s="106" t="n">
        <v>0.6669907670956954</v>
      </c>
      <c r="J6" s="106" t="n">
        <v>0.6398651499383307</v>
      </c>
      <c r="K6" s="107" t="n">
        <v>0.650727552654556</v>
      </c>
      <c r="L6" s="106" t="n">
        <v>0.6521008825824183</v>
      </c>
      <c r="M6" s="106" t="n">
        <v>0.6300864568807665</v>
      </c>
      <c r="N6" s="106" t="n">
        <v>0.6752369554784328</v>
      </c>
      <c r="O6" s="106" t="n">
        <v>0.6297229424739286</v>
      </c>
      <c r="P6" s="107" t="n">
        <v>0.646441293451943</v>
      </c>
      <c r="Q6" s="106" t="n">
        <v>0.6238692576814324</v>
      </c>
      <c r="R6" s="106" t="n">
        <v>0.6083489829436717</v>
      </c>
      <c r="S6" s="106">
        <f>S5/S4</f>
        <v/>
      </c>
      <c r="T6" s="106" t="n">
        <v>0.6494668058651275</v>
      </c>
      <c r="U6" s="107" t="n">
        <v>0.6344380749328893</v>
      </c>
      <c r="X6" s="106" t="n">
        <v>0.65</v>
      </c>
    </row>
    <row r="7" outlineLevel="2" ht="14.25" customFormat="1" customHeight="1" s="101">
      <c r="A7" s="102" t="inlineStr">
        <is>
          <t xml:space="preserve">ME  </t>
        </is>
      </c>
      <c r="B7" s="250" t="n">
        <v>1814.42608435</v>
      </c>
      <c r="C7" s="250" t="n">
        <v>2221.46136547</v>
      </c>
      <c r="D7" s="250" t="n">
        <v>2310.54636741</v>
      </c>
      <c r="E7" s="250" t="n">
        <v>1936.846</v>
      </c>
      <c r="F7" s="133" t="n">
        <v>8283.279</v>
      </c>
      <c r="G7" s="250" t="n">
        <v>1858.47319021</v>
      </c>
      <c r="H7" s="250" t="n">
        <v>1351.04483371</v>
      </c>
      <c r="I7" s="250" t="n">
        <v>1465.37652265</v>
      </c>
      <c r="J7" s="250" t="n">
        <v>1620.60767691</v>
      </c>
      <c r="K7" s="133" t="n">
        <v>6295.198192299999</v>
      </c>
      <c r="L7" s="250" t="n">
        <v>1541.04808411</v>
      </c>
      <c r="M7" s="250" t="n">
        <v>1830.60291589</v>
      </c>
      <c r="N7" s="250" t="n">
        <v>1623.4022312</v>
      </c>
      <c r="O7" s="250" t="n">
        <v>1950.701</v>
      </c>
      <c r="P7" s="133" t="n">
        <v>6945.754231200001</v>
      </c>
      <c r="Q7" s="250" t="n">
        <v>1827.444</v>
      </c>
      <c r="R7" s="250" t="n">
        <v>2055.072</v>
      </c>
      <c r="S7" s="250" t="n">
        <v>1873.09557677</v>
      </c>
      <c r="T7" s="250" t="n">
        <v>1810.61035686</v>
      </c>
      <c r="U7" s="133" t="n">
        <v>7566.220503009999</v>
      </c>
      <c r="X7" s="250" t="n">
        <v>1706.541</v>
      </c>
    </row>
    <row r="8" outlineLevel="2" ht="14.25" customFormat="1" customHeight="1" s="101">
      <c r="A8" s="105" t="inlineStr">
        <is>
          <t>%</t>
        </is>
      </c>
      <c r="B8" s="106" t="n">
        <v>0.4103060411837552</v>
      </c>
      <c r="C8" s="106" t="n">
        <v>0.4408573805766077</v>
      </c>
      <c r="D8" s="106" t="n">
        <v>0.421000516116775</v>
      </c>
      <c r="E8" s="106" t="n">
        <v>0.3810149376813014</v>
      </c>
      <c r="F8" s="107" t="n">
        <v>0.4134879179285826</v>
      </c>
      <c r="G8" s="106">
        <f>G7/$G$4</f>
        <v/>
      </c>
      <c r="H8" s="106">
        <f>H7/$H$4</f>
        <v/>
      </c>
      <c r="I8" s="106" t="n">
        <v>0.3330092329043046</v>
      </c>
      <c r="J8" s="106" t="n">
        <v>0.3601348500616693</v>
      </c>
      <c r="K8" s="107" t="n">
        <v>0.3492724067728639</v>
      </c>
      <c r="L8" s="106" t="n">
        <v>0.3478991174175819</v>
      </c>
      <c r="M8" s="106" t="n">
        <v>0.3699135431192334</v>
      </c>
      <c r="N8" s="106" t="n">
        <v>0.3247630445215673</v>
      </c>
      <c r="O8" s="106" t="n">
        <v>0.3702770575260714</v>
      </c>
      <c r="P8" s="107" t="n">
        <v>0.3535587022666182</v>
      </c>
      <c r="Q8" s="106" t="n">
        <v>0.3761307423185677</v>
      </c>
      <c r="R8" s="106" t="n">
        <v>0.3916510170563283</v>
      </c>
      <c r="S8" s="106">
        <f>S7/S4</f>
        <v/>
      </c>
      <c r="T8" s="106" t="n">
        <v>0.3505331941348723</v>
      </c>
      <c r="U8" s="107" t="n">
        <v>0.3655619250671107</v>
      </c>
      <c r="X8" s="106" t="n">
        <v>0.35</v>
      </c>
    </row>
    <row r="9" outlineLevel="2" ht="14.25" customFormat="1" customHeight="1" s="101">
      <c r="A9" s="134" t="inlineStr">
        <is>
          <t>Variação valor justo dos ativos biológicos</t>
        </is>
      </c>
      <c r="B9" s="250" t="n">
        <v>371.68</v>
      </c>
      <c r="C9" s="250" t="n">
        <v>586.376</v>
      </c>
      <c r="D9" s="250" t="n">
        <v>960.7820506100001</v>
      </c>
      <c r="E9" s="250" t="n">
        <v>-35.75105061000004</v>
      </c>
      <c r="F9" s="254" t="n">
        <v>1883.087</v>
      </c>
      <c r="G9" s="250" t="n">
        <v>383.45927613</v>
      </c>
      <c r="H9" s="250" t="n">
        <v>572.671</v>
      </c>
      <c r="I9" s="250">
        <f>143230/1000</f>
        <v/>
      </c>
      <c r="J9" s="250" t="n">
        <v>130.081</v>
      </c>
      <c r="K9" s="254" t="n">
        <v>1229.441</v>
      </c>
      <c r="L9" s="250" t="n">
        <v>199.6477612</v>
      </c>
      <c r="M9" s="250" t="n">
        <v>-88.015</v>
      </c>
      <c r="N9" s="250" t="n">
        <v>408.17390625</v>
      </c>
      <c r="O9" s="250" t="n">
        <v>550.75</v>
      </c>
      <c r="P9" s="254" t="n">
        <v>1070.55666745</v>
      </c>
      <c r="Q9" s="250" t="n">
        <v>388.044</v>
      </c>
      <c r="R9" s="250" t="n">
        <v>376.627</v>
      </c>
      <c r="S9" s="250" t="n">
        <v>563.149</v>
      </c>
      <c r="T9" s="250" t="n">
        <v>343.541</v>
      </c>
      <c r="U9" s="254" t="n">
        <v>1671.361</v>
      </c>
      <c r="X9" s="250" t="n">
        <v>-581.33</v>
      </c>
    </row>
    <row r="10" outlineLevel="1" ht="14.25" customFormat="1" customHeight="1" s="101">
      <c r="A10" s="134" t="inlineStr">
        <is>
          <t>Realização de custo atribuído imobilizado - terras</t>
        </is>
      </c>
      <c r="B10" s="250" t="n"/>
      <c r="C10" s="250" t="n"/>
      <c r="D10" s="250" t="n"/>
      <c r="E10" s="250" t="n"/>
      <c r="F10" s="254" t="n"/>
      <c r="G10" s="250" t="n"/>
      <c r="H10" s="250" t="n"/>
      <c r="I10" s="250" t="n"/>
      <c r="J10" s="250" t="n"/>
      <c r="K10" s="254" t="n"/>
      <c r="L10" s="250" t="n"/>
      <c r="M10" s="250" t="n"/>
      <c r="N10" s="250" t="n"/>
      <c r="O10" s="250" t="n"/>
      <c r="P10" s="254" t="n"/>
      <c r="Q10" s="250" t="n"/>
      <c r="R10" s="250" t="n"/>
      <c r="S10" s="250" t="n"/>
      <c r="T10" s="250" t="n"/>
      <c r="U10" s="254" t="n"/>
      <c r="X10" s="250" t="n"/>
    </row>
    <row r="11" outlineLevel="1" ht="14.25" customFormat="1" customHeight="1" s="101">
      <c r="A11" s="135" t="inlineStr">
        <is>
          <t>Custo dos Produtos Vendidos</t>
        </is>
      </c>
      <c r="B11" s="251" t="n">
        <v>-2717.093</v>
      </c>
      <c r="C11" s="251" t="n">
        <v>-3341.463</v>
      </c>
      <c r="D11" s="251" t="n">
        <v>-3169.20315126</v>
      </c>
      <c r="E11" s="251" t="n">
        <v>-3173.17184874</v>
      </c>
      <c r="F11" s="253" t="n">
        <v>-12400.931</v>
      </c>
      <c r="G11" s="251" t="n">
        <v>-2859.28379847</v>
      </c>
      <c r="H11" s="251" t="n">
        <v>-3123.341</v>
      </c>
      <c r="I11" s="251" t="n">
        <v>-3240.065</v>
      </c>
      <c r="J11" s="251" t="n">
        <v>-3181.054</v>
      </c>
      <c r="K11" s="253" t="n">
        <v>-12403.744</v>
      </c>
      <c r="L11" s="251" t="n">
        <v>-2995.39046277</v>
      </c>
      <c r="M11" s="251" t="n">
        <v>-3193.615</v>
      </c>
      <c r="N11" s="251" t="n">
        <v>-3467.62593484</v>
      </c>
      <c r="O11" s="251" t="n">
        <v>-3687.666</v>
      </c>
      <c r="P11" s="253" t="n">
        <v>-13344.29739761</v>
      </c>
      <c r="Q11" s="251" t="n">
        <v>-3612.042</v>
      </c>
      <c r="R11" s="251" t="n">
        <v>-3474.372</v>
      </c>
      <c r="S11" s="251" t="n">
        <v>-3930.96</v>
      </c>
      <c r="T11" s="251" t="n">
        <v>-4026.584</v>
      </c>
      <c r="U11" s="253" t="n">
        <v>-15043.958</v>
      </c>
      <c r="X11" s="251" t="n">
        <v>-3860.601</v>
      </c>
    </row>
    <row r="12" outlineLevel="1" ht="14.25" customFormat="1" customHeight="1" s="101">
      <c r="A12" s="108" t="inlineStr">
        <is>
          <t>Lucro Bruto</t>
        </is>
      </c>
      <c r="B12" s="251" t="n">
        <v>2076.717</v>
      </c>
      <c r="C12" s="251" t="n">
        <v>2283.868</v>
      </c>
      <c r="D12" s="251" t="n">
        <v>3279.806899350001</v>
      </c>
      <c r="E12" s="251" t="n">
        <v>1874.463364499999</v>
      </c>
      <c r="F12" s="253" t="n">
        <v>9514.855</v>
      </c>
      <c r="G12" s="251" t="n">
        <v>2354.936514500001</v>
      </c>
      <c r="H12" s="251" t="n">
        <v>1741.909</v>
      </c>
      <c r="I12" s="251" t="n">
        <v>1303.572</v>
      </c>
      <c r="J12" s="251" t="n">
        <v>1449.029</v>
      </c>
      <c r="K12" s="253" t="n">
        <v>6849.446</v>
      </c>
      <c r="L12" s="251" t="n">
        <v>1633.840944109999</v>
      </c>
      <c r="M12" s="251" t="n">
        <v>1667.102</v>
      </c>
      <c r="N12" s="251" t="n">
        <v>1939.27689316</v>
      </c>
      <c r="O12" s="251" t="n">
        <v>2131.3035</v>
      </c>
      <c r="P12" s="253" t="n">
        <v>7371.52333727</v>
      </c>
      <c r="Q12" s="251" t="n">
        <v>1634.536</v>
      </c>
      <c r="R12" s="251" t="n">
        <v>2149.457</v>
      </c>
      <c r="S12" s="251" t="n">
        <v>2058.656</v>
      </c>
      <c r="T12" s="251" t="n">
        <v>1482.261</v>
      </c>
      <c r="U12" s="253" t="n">
        <v>7324.91</v>
      </c>
      <c r="X12" s="251" t="n">
        <v>504.026</v>
      </c>
    </row>
    <row r="13" outlineLevel="1" ht="14.25" customFormat="1" customHeight="1" s="109">
      <c r="A13" s="124" t="inlineStr">
        <is>
          <t xml:space="preserve">Despesas de Vendas </t>
        </is>
      </c>
      <c r="B13" s="250" t="n">
        <v>-366.55</v>
      </c>
      <c r="C13" s="250" t="n">
        <v>-503.559</v>
      </c>
      <c r="D13" s="250" t="n">
        <v>-551.54</v>
      </c>
      <c r="E13" s="250" t="n">
        <v>-479.593</v>
      </c>
      <c r="F13" s="254" t="n">
        <v>-1901.242</v>
      </c>
      <c r="G13" s="250" t="n">
        <v>-442.837</v>
      </c>
      <c r="H13" s="250" t="n">
        <v>-333.704</v>
      </c>
      <c r="I13" s="250" t="n">
        <v>-381.697</v>
      </c>
      <c r="J13" s="250" t="n">
        <v>-384.08</v>
      </c>
      <c r="K13" s="254" t="n">
        <v>-1542.318</v>
      </c>
      <c r="L13" s="250" t="n">
        <v>-343.323</v>
      </c>
      <c r="M13" s="250" t="n">
        <v>-401.741</v>
      </c>
      <c r="N13" s="250" t="n">
        <v>-378.829</v>
      </c>
      <c r="O13" s="250" t="n">
        <v>-482.05</v>
      </c>
      <c r="P13" s="254" t="n">
        <v>-1605.943</v>
      </c>
      <c r="Q13" s="250" t="n">
        <v>-374.533</v>
      </c>
      <c r="R13" s="250" t="n">
        <v>-506.098</v>
      </c>
      <c r="S13" s="250" t="n">
        <v>-471.245</v>
      </c>
      <c r="T13" s="250" t="n">
        <v>-467.204</v>
      </c>
      <c r="U13" s="254" t="n">
        <v>-1819.08</v>
      </c>
      <c r="X13" s="250" t="n">
        <v>-440.271</v>
      </c>
    </row>
    <row r="14" outlineLevel="1" ht="14.25" customFormat="1" customHeight="1" s="101">
      <c r="A14" s="102" t="inlineStr">
        <is>
          <t>Gerais &amp; Administrativas</t>
        </is>
      </c>
      <c r="B14" s="250" t="n">
        <v>-236.552</v>
      </c>
      <c r="C14" s="250" t="n">
        <v>-243.851</v>
      </c>
      <c r="D14" s="250" t="n">
        <v>-256.789</v>
      </c>
      <c r="E14" s="250" t="n">
        <v>-314.009</v>
      </c>
      <c r="F14" s="254" t="n">
        <v>-1051.201</v>
      </c>
      <c r="G14" s="250" t="n">
        <v>-246.239</v>
      </c>
      <c r="H14" s="250" t="n">
        <v>-252.612</v>
      </c>
      <c r="I14" s="250" t="n">
        <v>-236.495</v>
      </c>
      <c r="J14" s="250" t="n">
        <v>-265.926</v>
      </c>
      <c r="K14" s="254" t="n">
        <v>-1001.272</v>
      </c>
      <c r="L14" s="250" t="n">
        <v>-256.066</v>
      </c>
      <c r="M14" s="250" t="n">
        <v>-252.639</v>
      </c>
      <c r="N14" s="250" t="n">
        <v>-273.668</v>
      </c>
      <c r="O14" s="250" t="n">
        <v>-329.583</v>
      </c>
      <c r="P14" s="254" t="n">
        <v>-1111.956</v>
      </c>
      <c r="Q14" s="250" t="n">
        <v>-297.28</v>
      </c>
      <c r="R14" s="250" t="n">
        <v>-276.094</v>
      </c>
      <c r="S14" s="250" t="n">
        <v>-308.3</v>
      </c>
      <c r="T14" s="250" t="n">
        <v>-336.017</v>
      </c>
      <c r="U14" s="254" t="n">
        <v>-1217.691</v>
      </c>
      <c r="X14" s="250" t="n">
        <v>-299.685</v>
      </c>
    </row>
    <row r="15" outlineLevel="1" ht="14.25" customFormat="1" customHeight="1" s="101">
      <c r="A15" s="102" t="inlineStr">
        <is>
          <t>Outras Rec. (Desp.) Oper.</t>
        </is>
      </c>
      <c r="B15" s="250" t="n">
        <v>7.531</v>
      </c>
      <c r="C15" s="250" t="n">
        <v>78.363</v>
      </c>
      <c r="D15" s="250" t="n">
        <v>2.416</v>
      </c>
      <c r="E15" s="250" t="n">
        <v>-3.695</v>
      </c>
      <c r="F15" s="254" t="n">
        <v>84.61499999999999</v>
      </c>
      <c r="G15" s="250" t="n">
        <v>-47.88122737</v>
      </c>
      <c r="H15" s="250" t="n">
        <v>-30.7245</v>
      </c>
      <c r="I15" s="250" t="n">
        <v>-54.67</v>
      </c>
      <c r="J15" s="250" t="n">
        <v>61.941</v>
      </c>
      <c r="K15" s="254" t="n">
        <v>-71.334</v>
      </c>
      <c r="L15" s="250" t="n">
        <v>-34.653</v>
      </c>
      <c r="M15" s="250" t="n">
        <v>-19.053</v>
      </c>
      <c r="N15" s="250" t="n">
        <v>-67.839</v>
      </c>
      <c r="O15" s="250" t="n">
        <v>-59.687</v>
      </c>
      <c r="P15" s="254" t="n">
        <v>-181.232</v>
      </c>
      <c r="Q15" s="250" t="n">
        <v>-36.325</v>
      </c>
      <c r="R15" s="250" t="n">
        <v>-81.617</v>
      </c>
      <c r="S15" s="250" t="n">
        <v>78.913</v>
      </c>
      <c r="T15" s="250" t="n">
        <v>231.672</v>
      </c>
      <c r="U15" s="254" t="n">
        <v>192.643</v>
      </c>
      <c r="X15" s="250" t="n">
        <v>44.2</v>
      </c>
    </row>
    <row r="16" outlineLevel="1" ht="14.25" customFormat="1" customHeight="1" s="101">
      <c r="A16" s="135" t="inlineStr">
        <is>
          <t>Total Despesas Operacionais</t>
        </is>
      </c>
      <c r="B16" s="251" t="n">
        <v>-595.571</v>
      </c>
      <c r="C16" s="251" t="n">
        <v>-669.047</v>
      </c>
      <c r="D16" s="251" t="n">
        <v>-805.913</v>
      </c>
      <c r="E16" s="251" t="n">
        <v>-797.297</v>
      </c>
      <c r="F16" s="253" t="n">
        <v>-2867.828</v>
      </c>
      <c r="G16" s="251" t="n">
        <v>-736.9572273699999</v>
      </c>
      <c r="H16" s="251" t="n">
        <v>-617.0405</v>
      </c>
      <c r="I16" s="251" t="n">
        <v>-672.862</v>
      </c>
      <c r="J16" s="251" t="n">
        <v>-588.0650000000001</v>
      </c>
      <c r="K16" s="253" t="n">
        <v>-2614.924</v>
      </c>
      <c r="L16" s="251" t="n">
        <v>-634.042</v>
      </c>
      <c r="M16" s="251" t="n">
        <v>-673.433</v>
      </c>
      <c r="N16" s="251" t="n">
        <v>-720.336</v>
      </c>
      <c r="O16" s="251" t="n">
        <v>-871.3200000000001</v>
      </c>
      <c r="P16" s="253" t="n">
        <v>-2899.131</v>
      </c>
      <c r="Q16" s="251" t="n">
        <v>-708.138</v>
      </c>
      <c r="R16" s="251" t="n">
        <v>-863.809</v>
      </c>
      <c r="S16" s="251" t="n">
        <v>-700.6319999999999</v>
      </c>
      <c r="T16" s="251" t="n">
        <v>-571.549</v>
      </c>
      <c r="U16" s="253" t="n">
        <v>-2844.128</v>
      </c>
      <c r="X16" s="251" t="n">
        <v>-695.756</v>
      </c>
    </row>
    <row r="17" outlineLevel="1" ht="14.25" customFormat="1" customHeight="1" s="101">
      <c r="A17" s="108" t="inlineStr">
        <is>
          <t>Resultado Oper. antes Desp. Fin. (EBIT)</t>
        </is>
      </c>
      <c r="B17" s="251" t="n">
        <v>1481.146</v>
      </c>
      <c r="C17" s="251" t="n">
        <v>1614.821</v>
      </c>
      <c r="D17" s="251" t="n">
        <v>2473.893899350001</v>
      </c>
      <c r="E17" s="251" t="n">
        <v>1077.166364499999</v>
      </c>
      <c r="F17" s="253" t="n">
        <v>6647.027</v>
      </c>
      <c r="G17" s="251" t="n">
        <v>1617.979287130001</v>
      </c>
      <c r="H17" s="251" t="n">
        <v>1124.8685</v>
      </c>
      <c r="I17" s="251" t="n">
        <v>630.7099999999999</v>
      </c>
      <c r="J17" s="251" t="n">
        <v>860.9640000000001</v>
      </c>
      <c r="K17" s="253" t="n">
        <v>4249.21049244</v>
      </c>
      <c r="L17" s="251" t="n">
        <v>999.7982984299995</v>
      </c>
      <c r="M17" s="251" t="n">
        <v>993.669</v>
      </c>
      <c r="N17" s="251" t="n">
        <v>1218.94089316</v>
      </c>
      <c r="O17" s="251" t="n">
        <v>1259.9835</v>
      </c>
      <c r="P17" s="253" t="n">
        <v>4472.392337269999</v>
      </c>
      <c r="Q17" s="251" t="n">
        <v>926.65</v>
      </c>
      <c r="R17" s="251" t="n">
        <v>1286.16</v>
      </c>
      <c r="S17" s="251" t="n">
        <v>1358.401</v>
      </c>
      <c r="T17" s="251" t="n">
        <v>909.138</v>
      </c>
      <c r="U17" s="253" t="n">
        <v>4480.349</v>
      </c>
      <c r="X17" s="251" t="n">
        <v>-189.795</v>
      </c>
    </row>
    <row r="18" outlineLevel="1" ht="14.25" customFormat="1" customHeight="1" s="109">
      <c r="A18" s="135" t="inlineStr">
        <is>
          <t>Equivalência Patrimonial</t>
        </is>
      </c>
      <c r="B18" s="251" t="n">
        <v>20.262</v>
      </c>
      <c r="C18" s="251" t="n">
        <v>-10.073</v>
      </c>
      <c r="D18" s="251" t="n">
        <v>3.32824995</v>
      </c>
      <c r="E18" s="251" t="n">
        <v>30.049</v>
      </c>
      <c r="F18" s="253" t="n">
        <v>43.56624995</v>
      </c>
      <c r="G18" s="251" t="n">
        <v>3.41549244</v>
      </c>
      <c r="H18" s="251" t="n">
        <v>2.721</v>
      </c>
      <c r="I18" s="251" t="n">
        <v>3.969</v>
      </c>
      <c r="J18" s="251" t="n">
        <v>4.583</v>
      </c>
      <c r="K18" s="253" t="n">
        <v>14.68849244</v>
      </c>
      <c r="L18" s="251" t="n">
        <v>2.415</v>
      </c>
      <c r="M18" s="251" t="n">
        <v>3.633</v>
      </c>
      <c r="N18" s="251" t="n">
        <v>1.238</v>
      </c>
      <c r="O18" s="251" t="n">
        <v>17.761</v>
      </c>
      <c r="P18" s="253" t="n">
        <v>25.047</v>
      </c>
      <c r="Q18" s="251" t="n">
        <v>0.252</v>
      </c>
      <c r="R18" s="251" t="n">
        <v>0.512</v>
      </c>
      <c r="S18" s="251" t="n">
        <v>0.377</v>
      </c>
      <c r="T18" s="251" t="n">
        <v>-1.574</v>
      </c>
      <c r="U18" s="253" t="n">
        <v>-0.433</v>
      </c>
      <c r="X18" s="251" t="n">
        <v>1.935</v>
      </c>
    </row>
    <row r="19" outlineLevel="1" ht="14.25" customFormat="1" customHeight="1" s="101">
      <c r="A19" s="102" t="inlineStr">
        <is>
          <t>Despesas Financeiras</t>
        </is>
      </c>
      <c r="B19" s="249" t="n">
        <v>-328.274</v>
      </c>
      <c r="C19" s="249" t="n">
        <v>-483.21</v>
      </c>
      <c r="D19" s="249" t="n">
        <v>-231.558</v>
      </c>
      <c r="E19" s="249" t="n">
        <v>-207.928</v>
      </c>
      <c r="F19" s="254" t="n">
        <v>-1250.97</v>
      </c>
      <c r="G19" s="249" t="n">
        <v>-223.8905623599999</v>
      </c>
      <c r="H19" s="249" t="n">
        <v>-132.066</v>
      </c>
      <c r="I19" s="249" t="n">
        <v>-404.044</v>
      </c>
      <c r="J19" s="249" t="n">
        <v>-554.088</v>
      </c>
      <c r="K19" s="254" t="n">
        <v>-1314.08856236</v>
      </c>
      <c r="L19" s="249" t="n">
        <v>-550.3455458499999</v>
      </c>
      <c r="M19" s="249" t="n">
        <v>-624.7619999999999</v>
      </c>
      <c r="N19" s="249" t="n">
        <v>-667.4752298</v>
      </c>
      <c r="O19" s="249" t="n">
        <v>-848.212</v>
      </c>
      <c r="P19" s="254" t="n">
        <v>-2690.79477565</v>
      </c>
      <c r="Q19" s="249" t="n">
        <v>-459.98</v>
      </c>
      <c r="R19" s="249" t="n">
        <v>-821.515</v>
      </c>
      <c r="S19" s="249" t="n">
        <v>-807.99</v>
      </c>
      <c r="T19" s="250" t="n">
        <v>-1009.038</v>
      </c>
      <c r="U19" s="254" t="n">
        <v>-3098.523</v>
      </c>
      <c r="X19" s="250" t="n">
        <v>-797.496</v>
      </c>
    </row>
    <row r="20" outlineLevel="1" ht="14.25" customFormat="1" customHeight="1" s="101">
      <c r="A20" s="102" t="inlineStr">
        <is>
          <t>Variações Cambiais Passivos</t>
        </is>
      </c>
      <c r="B20" s="250" t="n">
        <v>427.258</v>
      </c>
      <c r="C20" s="250" t="n">
        <v>-254.703</v>
      </c>
      <c r="D20" s="249" t="n">
        <v>348.868</v>
      </c>
      <c r="E20" s="249" t="n">
        <v>57.736</v>
      </c>
      <c r="F20" s="254" t="n">
        <v>548.611</v>
      </c>
      <c r="G20" s="249" t="n">
        <v>131.8333043400002</v>
      </c>
      <c r="H20" s="249" t="n">
        <v>112.876</v>
      </c>
      <c r="I20" s="249" t="n">
        <v>-145.865</v>
      </c>
      <c r="J20" s="249" t="n">
        <v>188.899</v>
      </c>
      <c r="K20" s="254" t="n">
        <v>287.7433043400001</v>
      </c>
      <c r="L20" s="249" t="n">
        <v>-210.1666608200001</v>
      </c>
      <c r="M20" s="249" t="n">
        <v>-919.178</v>
      </c>
      <c r="N20" s="249" t="n">
        <v>226.9921239799998</v>
      </c>
      <c r="O20" s="249" t="n">
        <v>-416.098</v>
      </c>
      <c r="P20" s="254" t="n">
        <v>-1318.45053684</v>
      </c>
      <c r="Q20" s="249" t="n">
        <v>284.048</v>
      </c>
      <c r="R20" s="249" t="n">
        <v>386.241</v>
      </c>
      <c r="S20" s="249" t="n">
        <v>-75.86199999999999</v>
      </c>
      <c r="T20" s="249" t="n">
        <v>-124.447</v>
      </c>
      <c r="U20" s="254" t="n">
        <v>469.98</v>
      </c>
      <c r="X20" s="249" t="n">
        <v>227.752</v>
      </c>
    </row>
    <row r="21" outlineLevel="1" ht="14.25" customFormat="1" customHeight="1" s="101">
      <c r="A21" s="108" t="inlineStr">
        <is>
          <t>Total Despesas Financeiras</t>
        </is>
      </c>
      <c r="B21" s="251" t="n">
        <v>98.98399999999998</v>
      </c>
      <c r="C21" s="251" t="n">
        <v>-737.913</v>
      </c>
      <c r="D21" s="251" t="n">
        <v>117.31</v>
      </c>
      <c r="E21" s="251" t="n">
        <v>-150.192</v>
      </c>
      <c r="F21" s="253" t="n">
        <v>-702.359</v>
      </c>
      <c r="G21" s="251" t="n">
        <v>-92.05725801999978</v>
      </c>
      <c r="H21" s="251" t="n">
        <v>-19.19</v>
      </c>
      <c r="I21" s="251" t="n">
        <v>-549.909</v>
      </c>
      <c r="J21" s="251" t="n">
        <v>-365.189</v>
      </c>
      <c r="K21" s="253" t="n">
        <v>-1026.346</v>
      </c>
      <c r="L21" s="251" t="n">
        <v>-760.51220667</v>
      </c>
      <c r="M21" s="251" t="n">
        <v>-1543.94</v>
      </c>
      <c r="N21" s="251" t="n">
        <v>-440.4831058200002</v>
      </c>
      <c r="O21" s="251" t="n">
        <v>-1264.31</v>
      </c>
      <c r="P21" s="253" t="n">
        <v>-4009.24531249</v>
      </c>
      <c r="Q21" s="251" t="n">
        <v>-175.932</v>
      </c>
      <c r="R21" s="251" t="n">
        <v>-435.274</v>
      </c>
      <c r="S21" s="251" t="n">
        <v>-883.852</v>
      </c>
      <c r="T21" s="251" t="n">
        <v>-1133.485</v>
      </c>
      <c r="U21" s="253" t="n">
        <v>-2628.543</v>
      </c>
      <c r="X21" s="251" t="n">
        <v>-569.744</v>
      </c>
    </row>
    <row r="22" outlineLevel="1" ht="14.25" customFormat="1" customHeight="1" s="109">
      <c r="A22" s="102" t="inlineStr">
        <is>
          <t>Receitas Financeiras</t>
        </is>
      </c>
      <c r="B22" s="250" t="n">
        <v>212.607</v>
      </c>
      <c r="C22" s="250" t="n">
        <v>216.991</v>
      </c>
      <c r="D22" s="250" t="n">
        <v>169.122</v>
      </c>
      <c r="E22" s="250" t="n">
        <v>154.071</v>
      </c>
      <c r="F22" s="254" t="n">
        <v>752.7910000000001</v>
      </c>
      <c r="G22" s="250" t="n">
        <v>242.0092858900001</v>
      </c>
      <c r="H22" s="250" t="n">
        <v>275.499</v>
      </c>
      <c r="I22" s="250" t="n">
        <v>160.926</v>
      </c>
      <c r="J22" s="250" t="n">
        <v>288</v>
      </c>
      <c r="K22" s="254" t="n">
        <v>965.994</v>
      </c>
      <c r="L22" s="250" t="n">
        <v>209.18586488</v>
      </c>
      <c r="M22" s="250" t="n">
        <v>200.614</v>
      </c>
      <c r="N22" s="250" t="n">
        <v>199.97682929</v>
      </c>
      <c r="O22" s="250" t="n">
        <v>145.90130583</v>
      </c>
      <c r="P22" s="254" t="n">
        <v>755.678</v>
      </c>
      <c r="Q22" s="250" t="n">
        <v>163.862</v>
      </c>
      <c r="R22" s="250" t="n">
        <v>200.237</v>
      </c>
      <c r="S22" s="250" t="n">
        <v>249.298</v>
      </c>
      <c r="T22" s="250" t="n">
        <v>258.97</v>
      </c>
      <c r="U22" s="254" t="n">
        <v>872.367</v>
      </c>
      <c r="X22" s="250" t="n">
        <v>242.131</v>
      </c>
    </row>
    <row r="23" outlineLevel="1" ht="14.25" customFormat="1" customHeight="1" s="101">
      <c r="A23" s="102" t="inlineStr">
        <is>
          <t>Variações Cambiais Ativos</t>
        </is>
      </c>
      <c r="B23" s="250" t="n">
        <v>-388.871</v>
      </c>
      <c r="C23" s="250" t="n">
        <v>218.086</v>
      </c>
      <c r="D23" s="250" t="n">
        <v>32.888</v>
      </c>
      <c r="E23" s="250" t="n">
        <v>-34.523</v>
      </c>
      <c r="F23" s="254" t="n">
        <v>-141.871</v>
      </c>
      <c r="G23" s="250" t="n">
        <v>-91.68701931</v>
      </c>
      <c r="H23" s="250" t="n">
        <v>-100.32</v>
      </c>
      <c r="I23" s="250" t="n">
        <v>64.152</v>
      </c>
      <c r="J23" s="250" t="n">
        <v>-246.946</v>
      </c>
      <c r="K23" s="254" t="n">
        <v>-374.80101931</v>
      </c>
      <c r="L23" s="250" t="n">
        <v>172.97049487</v>
      </c>
      <c r="M23" s="250" t="n">
        <v>780.657</v>
      </c>
      <c r="N23" s="250" t="n">
        <v>-162.50285342</v>
      </c>
      <c r="O23" s="250" t="n">
        <v>234.683</v>
      </c>
      <c r="P23" s="254" t="n">
        <v>1025.80764145</v>
      </c>
      <c r="Q23" s="250" t="n">
        <v>-146.365</v>
      </c>
      <c r="R23" s="250" t="n">
        <v>-330.582</v>
      </c>
      <c r="S23" s="250" t="n">
        <v>-35.218</v>
      </c>
      <c r="T23" s="250" t="n">
        <v>167.395</v>
      </c>
      <c r="U23" s="254" t="n">
        <v>-344.77</v>
      </c>
      <c r="X23" s="250" t="n">
        <v>-241.934</v>
      </c>
    </row>
    <row r="24" outlineLevel="1" ht="14.25" customFormat="1" customHeight="1" s="101">
      <c r="A24" s="108" t="inlineStr">
        <is>
          <t>Total Receitas Financeiras</t>
        </is>
      </c>
      <c r="B24" s="251" t="n">
        <v>-176.264</v>
      </c>
      <c r="C24" s="251" t="n">
        <v>435.077</v>
      </c>
      <c r="D24" s="251" t="n">
        <v>202.01</v>
      </c>
      <c r="E24" s="251" t="n">
        <v>119.548</v>
      </c>
      <c r="F24" s="253" t="n">
        <v>610.92</v>
      </c>
      <c r="G24" s="251" t="n">
        <v>150.32226658</v>
      </c>
      <c r="H24" s="251" t="n">
        <v>175.179</v>
      </c>
      <c r="I24" s="251" t="n">
        <v>225.078</v>
      </c>
      <c r="J24" s="251" t="n">
        <v>41</v>
      </c>
      <c r="K24" s="253" t="n">
        <v>591</v>
      </c>
      <c r="L24" s="251" t="n">
        <v>382.15635975</v>
      </c>
      <c r="M24" s="251" t="n">
        <v>981.271</v>
      </c>
      <c r="N24" s="251" t="n">
        <v>37.47397587</v>
      </c>
      <c r="O24" s="251" t="n">
        <v>380.5843058299999</v>
      </c>
      <c r="P24" s="253" t="n">
        <v>1781.48564145</v>
      </c>
      <c r="Q24" s="251" t="n">
        <v>17.497</v>
      </c>
      <c r="R24" s="251" t="n">
        <v>-130.345</v>
      </c>
      <c r="S24" s="251" t="n">
        <v>214.08</v>
      </c>
      <c r="T24" s="251" t="n">
        <v>426.365</v>
      </c>
      <c r="U24" s="253" t="n">
        <v>527.597</v>
      </c>
      <c r="X24" s="251" t="n">
        <v>0.197</v>
      </c>
    </row>
    <row r="25" outlineLevel="1" ht="14.25" customFormat="1" customHeight="1" s="109">
      <c r="A25" s="108" t="inlineStr">
        <is>
          <t>Resultado Financeiro</t>
        </is>
      </c>
      <c r="B25" s="251" t="n">
        <v>-77.27500000000001</v>
      </c>
      <c r="C25" s="251" t="n">
        <v>-302.84</v>
      </c>
      <c r="D25" s="251" t="n">
        <v>319.32</v>
      </c>
      <c r="E25" s="251" t="n">
        <v>-30.644</v>
      </c>
      <c r="F25" s="253" t="n">
        <v>-91.43899999999999</v>
      </c>
      <c r="G25" s="251" t="n">
        <v>58.26500856000028</v>
      </c>
      <c r="H25" s="251" t="n">
        <v>155.989</v>
      </c>
      <c r="I25" s="251" t="n">
        <v>-324.831</v>
      </c>
      <c r="J25" s="251" t="n">
        <v>-325</v>
      </c>
      <c r="K25" s="253" t="n">
        <v>-435.153</v>
      </c>
      <c r="L25" s="251" t="n">
        <v>-378.35584692</v>
      </c>
      <c r="M25" s="251" t="n">
        <v>-562.669</v>
      </c>
      <c r="N25" s="251" t="n">
        <v>-403.0091299500002</v>
      </c>
      <c r="O25" s="251" t="n">
        <v>-883.72569417</v>
      </c>
      <c r="P25" s="253" t="n">
        <v>-2227.75967104</v>
      </c>
      <c r="Q25" s="251" t="n">
        <v>-158.435</v>
      </c>
      <c r="R25" s="251" t="n">
        <v>-565.619</v>
      </c>
      <c r="S25" s="251" t="n">
        <v>-669.772</v>
      </c>
      <c r="T25" s="251" t="n">
        <v>-707.12</v>
      </c>
      <c r="U25" s="253" t="n">
        <v>-2100.946</v>
      </c>
      <c r="X25" s="251" t="n">
        <v>-569.547</v>
      </c>
    </row>
    <row r="26" outlineLevel="1" ht="14.25" customFormat="1" customHeight="1" s="109">
      <c r="A26" s="108" t="inlineStr">
        <is>
          <t>Lucro antes I.R. Cont. Social</t>
        </is>
      </c>
      <c r="B26" s="251" t="n">
        <v>1424.133</v>
      </c>
      <c r="C26" s="251" t="n">
        <v>1301.908</v>
      </c>
      <c r="D26" s="251" t="n">
        <v>2796.542149300001</v>
      </c>
      <c r="E26" s="251" t="n">
        <v>1076.571114549999</v>
      </c>
      <c r="F26" s="253" t="n">
        <v>6599.154</v>
      </c>
      <c r="G26" s="251" t="n">
        <v>1679.659788130001</v>
      </c>
      <c r="H26" s="251" t="n">
        <v>1283.5785</v>
      </c>
      <c r="I26" s="251" t="n">
        <v>309.848</v>
      </c>
      <c r="J26" s="251" t="n">
        <v>541</v>
      </c>
      <c r="K26" s="253" t="n">
        <v>3814.057</v>
      </c>
      <c r="L26" s="251" t="n">
        <v>623.8580971899987</v>
      </c>
      <c r="M26" s="251" t="n">
        <v>434.633</v>
      </c>
      <c r="N26" s="251" t="n">
        <v>817.1697632099998</v>
      </c>
      <c r="O26" s="251" t="n">
        <v>394.01830583</v>
      </c>
      <c r="P26" s="253" t="n">
        <v>2269.680166229999</v>
      </c>
      <c r="Q26" s="251" t="n">
        <v>768.215</v>
      </c>
      <c r="R26" s="251" t="n">
        <v>720.5410000000001</v>
      </c>
      <c r="S26" s="251" t="n">
        <v>688.629</v>
      </c>
      <c r="T26" s="251" t="n">
        <v>202.018</v>
      </c>
      <c r="U26" s="253" t="n">
        <v>2379.403</v>
      </c>
      <c r="X26" s="251" t="n">
        <v>-759.342</v>
      </c>
    </row>
    <row r="27" outlineLevel="1" ht="14.25" customFormat="1" customHeight="1" s="109">
      <c r="A27" s="135" t="inlineStr">
        <is>
          <t>Prov. IR e Contrib. Social</t>
        </is>
      </c>
      <c r="B27" s="251" t="n">
        <v>-549.26</v>
      </c>
      <c r="C27" s="251" t="n">
        <v>-330.257</v>
      </c>
      <c r="D27" s="251" t="n">
        <v>-743.787</v>
      </c>
      <c r="E27" s="251" t="n">
        <v>-286.948</v>
      </c>
      <c r="F27" s="253" t="n">
        <v>-1910.252</v>
      </c>
      <c r="G27" s="251" t="n">
        <v>-417.534</v>
      </c>
      <c r="H27" s="251" t="n">
        <v>-312.88</v>
      </c>
      <c r="I27" s="251" t="n">
        <v>-65.268</v>
      </c>
      <c r="J27" s="251" t="n">
        <v>-170.987</v>
      </c>
      <c r="K27" s="253" t="n">
        <v>-966.669</v>
      </c>
      <c r="L27" s="251" t="n">
        <v>-163.847</v>
      </c>
      <c r="M27" s="251" t="n">
        <v>-119.503</v>
      </c>
      <c r="N27" s="251" t="n">
        <v>-88.09699999999999</v>
      </c>
      <c r="O27" s="251" t="n">
        <v>148.712</v>
      </c>
      <c r="P27" s="253" t="n">
        <v>-222.735</v>
      </c>
      <c r="Q27" s="251" t="n">
        <v>-321.716</v>
      </c>
      <c r="R27" s="251" t="n">
        <v>-135.212</v>
      </c>
      <c r="S27" s="251" t="n">
        <v>-210.745</v>
      </c>
      <c r="T27" s="251" t="n">
        <v>-33.519</v>
      </c>
      <c r="U27" s="253" t="n">
        <v>-701.192</v>
      </c>
      <c r="X27" s="251" t="n">
        <v>262.366</v>
      </c>
    </row>
    <row r="28" outlineLevel="1" ht="14.25" customFormat="1" customHeight="1" s="101">
      <c r="A28" s="108" t="inlineStr">
        <is>
          <t>Lucro (Prejuizo) Líquido</t>
        </is>
      </c>
      <c r="B28" s="251" t="n">
        <v>874.873</v>
      </c>
      <c r="C28" s="251" t="n">
        <v>971.651</v>
      </c>
      <c r="D28" s="251" t="n">
        <v>2052.755149300001</v>
      </c>
      <c r="E28" s="251" t="n">
        <v>789.6231145499992</v>
      </c>
      <c r="F28" s="253" t="n">
        <v>4688.902</v>
      </c>
      <c r="G28" s="251" t="n">
        <v>1262.125788130001</v>
      </c>
      <c r="H28" s="251" t="n">
        <v>970.6985</v>
      </c>
      <c r="I28" s="251" t="n">
        <v>244.58</v>
      </c>
      <c r="J28" s="251" t="n">
        <v>369.985</v>
      </c>
      <c r="K28" s="253" t="n">
        <v>2847.388</v>
      </c>
      <c r="L28" s="251" t="n">
        <v>460.0110971899987</v>
      </c>
      <c r="M28" s="251" t="n">
        <v>315.13</v>
      </c>
      <c r="N28" s="251" t="n">
        <v>729.0727632099997</v>
      </c>
      <c r="O28" s="251" t="n">
        <v>542.73030583</v>
      </c>
      <c r="P28" s="253" t="n">
        <v>2046.944166229998</v>
      </c>
      <c r="Q28" s="251" t="n">
        <v>446.499</v>
      </c>
      <c r="R28" s="251" t="n">
        <v>585.329</v>
      </c>
      <c r="S28" s="251" t="n">
        <v>477.884</v>
      </c>
      <c r="T28" s="251" t="n">
        <v>168.499</v>
      </c>
      <c r="U28" s="253" t="n">
        <v>1678.211</v>
      </c>
      <c r="X28" s="251" t="n">
        <v>-496.976</v>
      </c>
    </row>
    <row r="29" outlineLevel="1" ht="14.25" customFormat="1" customHeight="1" s="109">
      <c r="A29" s="102" t="inlineStr">
        <is>
          <t>Partic. Dos Minoritários</t>
        </is>
      </c>
      <c r="B29" s="250" t="n">
        <v>-109.408</v>
      </c>
      <c r="C29" s="250" t="n">
        <v>219.967</v>
      </c>
      <c r="D29" s="250" t="n">
        <v>132.907</v>
      </c>
      <c r="E29" s="250" t="n">
        <v>-15.814</v>
      </c>
      <c r="F29" s="254" t="n">
        <v>227.652</v>
      </c>
      <c r="G29" s="250" t="n">
        <v>97.486</v>
      </c>
      <c r="H29" s="250" t="n">
        <v>329.76</v>
      </c>
      <c r="I29" s="250" t="n">
        <v>-13.722</v>
      </c>
      <c r="J29" s="250" t="n">
        <v>-260.674</v>
      </c>
      <c r="K29" s="254" t="n">
        <v>152.85</v>
      </c>
      <c r="L29" s="250" t="n">
        <v>34.487</v>
      </c>
      <c r="M29" s="250" t="n">
        <v>25.93</v>
      </c>
      <c r="N29" s="250" t="n">
        <v>10.485</v>
      </c>
      <c r="O29" s="250" t="n">
        <v>145.032</v>
      </c>
      <c r="P29" s="254" t="n">
        <v>215.934</v>
      </c>
      <c r="Q29" s="250" t="n">
        <v>45.257</v>
      </c>
      <c r="R29" s="250" t="n">
        <v>13.263</v>
      </c>
      <c r="S29" s="250" t="n">
        <v>129.31</v>
      </c>
      <c r="T29" s="250" t="n">
        <v>87.246</v>
      </c>
      <c r="U29" s="254" t="n">
        <v>275.076</v>
      </c>
      <c r="X29" s="250" t="n">
        <v>33.08</v>
      </c>
    </row>
    <row r="30" outlineLevel="1" ht="14.25" customFormat="1" customHeight="1" s="101">
      <c r="A30" s="111" t="inlineStr">
        <is>
          <t>Resultado Líquido Controladora</t>
        </is>
      </c>
      <c r="B30" s="251" t="n">
        <v>984.2809999999999</v>
      </c>
      <c r="C30" s="251" t="n">
        <v>751.684</v>
      </c>
      <c r="D30" s="251" t="n">
        <v>1919.848149300001</v>
      </c>
      <c r="E30" s="251" t="n">
        <v>805.4371145499991</v>
      </c>
      <c r="F30" s="253" t="n">
        <v>4461.25</v>
      </c>
      <c r="G30" s="251" t="n">
        <v>1164.639751290001</v>
      </c>
      <c r="H30" s="251" t="n">
        <v>640.9385</v>
      </c>
      <c r="I30" s="251" t="n">
        <v>258.302</v>
      </c>
      <c r="J30" s="251" t="n">
        <v>630.659</v>
      </c>
      <c r="K30" s="253" t="n">
        <v>2694.538</v>
      </c>
      <c r="L30" s="251" t="n">
        <v>425.5239157099999</v>
      </c>
      <c r="M30" s="251" t="n">
        <v>289.201</v>
      </c>
      <c r="N30" s="251" t="n">
        <v>718.588</v>
      </c>
      <c r="O30" s="251" t="n">
        <v>397.69880583</v>
      </c>
      <c r="P30" s="253" t="n">
        <v>1831.01148475</v>
      </c>
      <c r="Q30" s="251" t="n">
        <v>401.242</v>
      </c>
      <c r="R30" s="251" t="n">
        <v>572.066</v>
      </c>
      <c r="S30" s="251" t="n">
        <v>348.574</v>
      </c>
      <c r="T30" s="251" t="n">
        <v>81.253</v>
      </c>
      <c r="U30" s="253" t="n">
        <v>1403.135</v>
      </c>
      <c r="X30" s="251" t="n">
        <v>-530.056</v>
      </c>
    </row>
    <row r="31" outlineLevel="1" ht="14.25" customFormat="1" customHeight="1" s="101">
      <c r="A31" s="129" t="n"/>
      <c r="B31" s="129" t="n"/>
      <c r="C31" s="129" t="n"/>
      <c r="D31" s="129" t="n"/>
      <c r="E31" s="129" t="n"/>
      <c r="F31" s="136" t="n"/>
      <c r="G31" s="129" t="n"/>
      <c r="H31" s="129" t="n"/>
      <c r="I31" s="129" t="n"/>
      <c r="J31" s="129" t="n"/>
      <c r="K31" s="136" t="n"/>
      <c r="L31" s="129" t="n"/>
      <c r="M31" s="129" t="n"/>
      <c r="N31" s="129" t="n"/>
      <c r="O31" s="129" t="n"/>
      <c r="P31" s="136" t="n"/>
      <c r="Q31" s="129" t="n">
        <v>0</v>
      </c>
      <c r="R31" s="129" t="n"/>
      <c r="S31" s="129" t="n"/>
      <c r="T31" s="129" t="n">
        <v>0</v>
      </c>
      <c r="U31" s="136" t="n">
        <v>0</v>
      </c>
      <c r="X31" s="129" t="n"/>
    </row>
    <row r="32" outlineLevel="1" collapsed="1" ht="14.25" customFormat="1" customHeight="1" s="129">
      <c r="A32" s="135" t="inlineStr">
        <is>
          <t>Depreciação/Amortização/Exaustão</t>
        </is>
      </c>
      <c r="B32" s="251" t="n">
        <v>625.131</v>
      </c>
      <c r="C32" s="251" t="n">
        <v>961.7455792399999</v>
      </c>
      <c r="D32" s="251" t="n">
        <v>791.509</v>
      </c>
      <c r="E32" s="251" t="n">
        <v>790.7694207600001</v>
      </c>
      <c r="F32" s="253" t="n">
        <v>3169.155</v>
      </c>
      <c r="G32" s="251" t="n">
        <v>710.802</v>
      </c>
      <c r="H32" s="251" t="n">
        <v>794.19696857</v>
      </c>
      <c r="I32" s="251" t="n">
        <v>869.0599999999999</v>
      </c>
      <c r="J32" s="251" t="n">
        <v>952.523</v>
      </c>
      <c r="K32" s="253" t="n">
        <v>3326.582</v>
      </c>
      <c r="L32" s="251" t="n">
        <v>856.616</v>
      </c>
      <c r="M32" s="251" t="n">
        <v>989.261</v>
      </c>
      <c r="N32" s="251" t="n">
        <v>1013.857</v>
      </c>
      <c r="O32" s="251" t="n">
        <v>1103.82066397</v>
      </c>
      <c r="P32" s="253" t="n">
        <v>3963.554</v>
      </c>
      <c r="Q32" s="251" t="n">
        <v>1298.841</v>
      </c>
      <c r="R32" s="251" t="n">
        <v>1126.726</v>
      </c>
      <c r="S32" s="251" t="n">
        <v>1320.694</v>
      </c>
      <c r="T32" s="251" t="n">
        <v>1244.175</v>
      </c>
      <c r="U32" s="253" t="n">
        <v>4990.436</v>
      </c>
      <c r="X32" s="251" t="n">
        <v>1162.379</v>
      </c>
    </row>
    <row r="33" outlineLevel="1" ht="14.25" customFormat="1" customHeight="1" s="101">
      <c r="A33" s="102" t="inlineStr">
        <is>
          <t>(-) Realização de custo atribuído imobilizado - terras</t>
        </is>
      </c>
      <c r="B33" s="250" t="n">
        <v>0</v>
      </c>
      <c r="C33" s="250" t="n">
        <v>0</v>
      </c>
      <c r="D33" s="250" t="n">
        <v>0</v>
      </c>
      <c r="E33" s="250" t="n">
        <v>0</v>
      </c>
      <c r="F33" s="254" t="n">
        <v>0</v>
      </c>
      <c r="G33" s="250" t="n">
        <v>0</v>
      </c>
      <c r="H33" s="250" t="n">
        <v>0</v>
      </c>
      <c r="I33" s="250" t="n">
        <v>0</v>
      </c>
      <c r="J33" s="250" t="n">
        <v>0</v>
      </c>
      <c r="K33" s="254" t="n">
        <v>0</v>
      </c>
      <c r="L33" s="250" t="n">
        <v>0</v>
      </c>
      <c r="M33" s="250" t="n">
        <v>0</v>
      </c>
      <c r="N33" s="250" t="n">
        <v>0</v>
      </c>
      <c r="O33" s="250" t="n">
        <v>0</v>
      </c>
      <c r="P33" s="254" t="n">
        <v>0</v>
      </c>
      <c r="Q33" s="250" t="n">
        <v>0</v>
      </c>
      <c r="R33" s="250" t="n"/>
      <c r="S33" s="250" t="n"/>
      <c r="T33" s="250" t="n">
        <v>0</v>
      </c>
      <c r="U33" s="254" t="n">
        <v>0</v>
      </c>
      <c r="X33" s="250" t="n">
        <v>0</v>
      </c>
    </row>
    <row r="34" outlineLevel="1" ht="14.25" customFormat="1" customHeight="1" s="101">
      <c r="A34" s="102" t="inlineStr">
        <is>
          <t>(-) Variação valor justo dos ativos biológicos</t>
        </is>
      </c>
      <c r="B34" s="250" t="n">
        <v>-371.68</v>
      </c>
      <c r="C34" s="250" t="n">
        <v>-586.376</v>
      </c>
      <c r="D34" s="250" t="n">
        <v>-960.7820506100001</v>
      </c>
      <c r="E34" s="250" t="n">
        <v>-35.75105061000004</v>
      </c>
      <c r="F34" s="254" t="n">
        <v>-1883.087</v>
      </c>
      <c r="G34" s="250" t="n">
        <v>383.45927613</v>
      </c>
      <c r="H34" s="250" t="n">
        <v>572.671</v>
      </c>
      <c r="I34" s="250" t="n">
        <v>143.23</v>
      </c>
      <c r="J34" s="250" t="n">
        <v>130.081</v>
      </c>
      <c r="K34" s="254" t="n">
        <v>-1229.44127613</v>
      </c>
      <c r="L34" s="250" t="n">
        <v>-199.6477612</v>
      </c>
      <c r="M34" s="250" t="n">
        <v>88.015</v>
      </c>
      <c r="N34" s="250" t="n">
        <v>-408.17390625</v>
      </c>
      <c r="O34" s="250" t="n">
        <v>-550.75</v>
      </c>
      <c r="P34" s="254" t="n">
        <v>-1070.55666745</v>
      </c>
      <c r="Q34" s="250" t="n">
        <v>-388.044</v>
      </c>
      <c r="R34" s="250" t="n">
        <v>-376.627</v>
      </c>
      <c r="S34" s="250" t="n">
        <v>563.149</v>
      </c>
      <c r="T34" s="250" t="n">
        <v>1872.883</v>
      </c>
      <c r="U34" s="254" t="n">
        <v>1671.361</v>
      </c>
      <c r="X34" s="250" t="n">
        <v>581.33</v>
      </c>
    </row>
    <row r="35" outlineLevel="1" ht="14.25" customFormat="1" customHeight="1" s="101">
      <c r="A35" s="102" t="inlineStr">
        <is>
          <t>(+/-) Realização do Hedge de Fluxo de Caixa</t>
        </is>
      </c>
      <c r="B35" s="250" t="n">
        <v>-8.945</v>
      </c>
      <c r="C35" s="250" t="n">
        <v>0</v>
      </c>
      <c r="D35" s="250" t="n">
        <v>6.286</v>
      </c>
      <c r="E35" s="250" t="n">
        <v>1.027</v>
      </c>
      <c r="F35" s="254" t="n">
        <v>-1.632</v>
      </c>
      <c r="G35" s="250" t="n">
        <v>-3.11603684</v>
      </c>
      <c r="H35" s="250" t="n">
        <v>-1.942</v>
      </c>
      <c r="I35" s="250" t="n">
        <v>-4.278</v>
      </c>
      <c r="J35" s="250" t="n">
        <v>-0.436</v>
      </c>
      <c r="K35" s="254" t="n">
        <v>-9.77203684</v>
      </c>
      <c r="L35" s="250" t="n">
        <v>-4.555</v>
      </c>
      <c r="M35" s="250" t="n">
        <v>-18.861</v>
      </c>
      <c r="N35" s="250" t="n">
        <v>-19.44303247</v>
      </c>
      <c r="O35" s="250" t="n">
        <v>10.094</v>
      </c>
      <c r="P35" s="254" t="n">
        <v>-32.76503247000001</v>
      </c>
      <c r="Q35" s="250" t="n">
        <v>21.616</v>
      </c>
      <c r="R35" s="250" t="n">
        <v>5.108</v>
      </c>
      <c r="S35" s="250" t="n">
        <v>1.373</v>
      </c>
      <c r="T35" s="250" t="n">
        <v>48.018</v>
      </c>
      <c r="U35" s="254" t="n">
        <v>76.11499999999999</v>
      </c>
      <c r="X35" s="250" t="n">
        <v>116.631</v>
      </c>
    </row>
    <row r="36" outlineLevel="1" ht="14.25" customFormat="1" customHeight="1" s="101">
      <c r="A36" s="102" t="inlineStr">
        <is>
          <t>(+) Participação Vale do Corisco</t>
        </is>
      </c>
      <c r="B36" s="250" t="n">
        <v>0</v>
      </c>
      <c r="C36" s="250" t="n">
        <v>0</v>
      </c>
      <c r="D36" s="250" t="n">
        <v>0</v>
      </c>
      <c r="E36" s="250" t="n">
        <v>0</v>
      </c>
      <c r="F36" s="254" t="n">
        <v>0</v>
      </c>
      <c r="G36" s="250" t="n">
        <v>0</v>
      </c>
      <c r="H36" s="250" t="n">
        <v>0</v>
      </c>
      <c r="I36" s="250" t="n">
        <v>0</v>
      </c>
      <c r="J36" s="250" t="n">
        <v>0</v>
      </c>
      <c r="K36" s="254" t="n">
        <v>0</v>
      </c>
      <c r="L36" s="250" t="n">
        <v>0</v>
      </c>
      <c r="M36" s="250" t="n">
        <v>0</v>
      </c>
      <c r="N36" s="250" t="n">
        <v>0</v>
      </c>
      <c r="O36" s="250" t="n">
        <v>0</v>
      </c>
      <c r="P36" s="254" t="n">
        <v>0</v>
      </c>
      <c r="Q36" s="250" t="n">
        <v>0</v>
      </c>
      <c r="R36" s="250" t="n"/>
      <c r="S36" s="250" t="n"/>
      <c r="T36" s="250" t="n">
        <v>0</v>
      </c>
      <c r="U36" s="254" t="n">
        <v>0</v>
      </c>
      <c r="X36" s="250" t="n"/>
    </row>
    <row r="37" outlineLevel="1" ht="14.25" customFormat="1" customHeight="1" s="101">
      <c r="A37" s="102" t="inlineStr">
        <is>
          <t>(+) Crédito fiscal sobre subvenção</t>
        </is>
      </c>
      <c r="B37" s="250" t="n"/>
      <c r="C37" s="250" t="n"/>
      <c r="D37" s="250" t="n"/>
      <c r="E37" s="250" t="n"/>
      <c r="F37" s="254" t="n"/>
      <c r="G37" s="250" t="n"/>
      <c r="H37" s="250" t="n"/>
      <c r="I37" s="250" t="n"/>
      <c r="J37" s="250" t="n"/>
      <c r="K37" s="254" t="n"/>
      <c r="L37" s="250" t="n"/>
      <c r="M37" s="250" t="n"/>
      <c r="N37" s="250" t="n"/>
      <c r="O37" s="250" t="n"/>
      <c r="P37" s="254" t="n"/>
      <c r="Q37" s="250" t="n"/>
      <c r="R37" s="250" t="n"/>
      <c r="S37" s="250" t="n"/>
      <c r="T37" s="250" t="n">
        <v>-27.856</v>
      </c>
      <c r="U37" s="254">
        <f>-27856/1000</f>
        <v/>
      </c>
      <c r="X37" s="250" t="n"/>
    </row>
    <row r="38" outlineLevel="1" ht="14.25" customFormat="1" customHeight="1" s="101">
      <c r="A38" s="137" t="inlineStr">
        <is>
          <t>EBITDA</t>
        </is>
      </c>
      <c r="B38" s="251" t="n">
        <v>1725.652</v>
      </c>
      <c r="C38" s="251" t="n">
        <v>1990.19057924</v>
      </c>
      <c r="D38" s="251" t="n">
        <v>2310.90684874</v>
      </c>
      <c r="E38" s="251" t="n">
        <v>1904.715</v>
      </c>
      <c r="F38" s="253" t="n">
        <v>7931.46416413</v>
      </c>
      <c r="G38" s="251" t="n">
        <v>1942.205974160001</v>
      </c>
      <c r="H38" s="251" t="n">
        <v>1344.45146857</v>
      </c>
      <c r="I38" s="251" t="n">
        <v>1352.261</v>
      </c>
      <c r="J38" s="251" t="n">
        <v>1682.97</v>
      </c>
      <c r="K38" s="253" t="n">
        <v>6321.891</v>
      </c>
      <c r="L38" s="251" t="n">
        <v>1652.212182909999</v>
      </c>
      <c r="M38" s="251" t="n">
        <v>2052.086</v>
      </c>
      <c r="N38" s="251" t="n">
        <v>1805.18095444</v>
      </c>
      <c r="O38" s="251" t="n">
        <v>1823.14816397</v>
      </c>
      <c r="P38" s="253" t="n">
        <v>7332.625637349998</v>
      </c>
      <c r="Q38" s="251" t="n">
        <v>1858.811</v>
      </c>
      <c r="R38" s="251" t="n">
        <v>2040.855</v>
      </c>
      <c r="S38" s="251" t="n">
        <v>2116.94149942</v>
      </c>
      <c r="T38" s="251" t="n">
        <v>1831.509136870002</v>
      </c>
      <c r="U38" s="253" t="n">
        <v>7848.116</v>
      </c>
      <c r="V38" t="n">
        <v>8050</v>
      </c>
      <c r="W38" t="n">
        <v>8050</v>
      </c>
      <c r="X38" s="251" t="n">
        <v>1668.61</v>
      </c>
    </row>
    <row r="39" outlineLevel="1" ht="14.25" customFormat="1" customHeight="1" s="101">
      <c r="A39" s="102" t="inlineStr">
        <is>
          <t>(-) Efeitos não-recorrentes</t>
        </is>
      </c>
      <c r="B39" s="250" t="n">
        <v>0</v>
      </c>
      <c r="C39" s="250" t="n">
        <v>-147.48</v>
      </c>
      <c r="D39" s="250" t="n">
        <v>0</v>
      </c>
      <c r="E39" s="250" t="n">
        <v>0</v>
      </c>
      <c r="F39" s="254" t="n">
        <v>-147.48</v>
      </c>
      <c r="G39" s="250" t="n">
        <v>0</v>
      </c>
      <c r="H39" s="250" t="n">
        <v>0</v>
      </c>
      <c r="I39" s="250" t="n">
        <v>0</v>
      </c>
      <c r="J39" s="250" t="n">
        <v>-63.387</v>
      </c>
      <c r="K39" s="254" t="n">
        <v>-63.387</v>
      </c>
      <c r="L39" s="250" t="n">
        <v>0</v>
      </c>
      <c r="M39" s="250" t="n">
        <v>0</v>
      </c>
      <c r="N39" s="250" t="n">
        <v>0</v>
      </c>
      <c r="O39" s="250" t="n">
        <v>0</v>
      </c>
      <c r="P39" s="254" t="n">
        <v>0</v>
      </c>
      <c r="Q39" s="250" t="n">
        <v>0</v>
      </c>
      <c r="R39" s="250" t="n"/>
      <c r="S39" s="250" t="n"/>
      <c r="T39" s="250" t="n">
        <v>0</v>
      </c>
      <c r="U39" s="254" t="n"/>
      <c r="X39" s="250" t="n">
        <v>0</v>
      </c>
    </row>
    <row r="40" outlineLevel="1" ht="14.25" customFormat="1" customHeight="1" s="101">
      <c r="A40" s="137" t="inlineStr">
        <is>
          <t>EBITDA excl. efeitos não recorrentes</t>
        </is>
      </c>
      <c r="B40" s="251" t="n">
        <v>1725.652</v>
      </c>
      <c r="C40" s="251" t="n">
        <v>1842.71057924</v>
      </c>
      <c r="D40" s="251" t="n">
        <v>2310.90684874</v>
      </c>
      <c r="E40" s="251" t="n">
        <v>1904.715</v>
      </c>
      <c r="F40" s="253" t="n">
        <v>7783.98416413</v>
      </c>
      <c r="G40" s="251" t="n">
        <v>1942.205974160001</v>
      </c>
      <c r="H40" s="251" t="n">
        <v>1344.45146857</v>
      </c>
      <c r="I40" s="251" t="n">
        <v>1352.261</v>
      </c>
      <c r="J40" s="251" t="n">
        <v>1619.583</v>
      </c>
      <c r="K40" s="253" t="n">
        <v>6258.504</v>
      </c>
      <c r="L40" s="251" t="n">
        <v>1652.21173235</v>
      </c>
      <c r="M40" s="251" t="n">
        <v>2052.086</v>
      </c>
      <c r="N40" s="251" t="n">
        <v>1805.18095444</v>
      </c>
      <c r="O40" s="251" t="n">
        <v>1823.14816397</v>
      </c>
      <c r="P40" s="253" t="n">
        <v>7332.625637349998</v>
      </c>
      <c r="Q40" s="251" t="n">
        <v>1858.811</v>
      </c>
      <c r="R40" s="251" t="n">
        <v>2040.855</v>
      </c>
      <c r="S40" s="251" t="n">
        <v>2116.94149942</v>
      </c>
      <c r="T40" s="251" t="n">
        <v>1831.509136870002</v>
      </c>
      <c r="U40" s="253" t="n">
        <v>7848.116</v>
      </c>
      <c r="V40" t="n">
        <v>8050</v>
      </c>
      <c r="W40" t="n">
        <v>8050</v>
      </c>
      <c r="X40" s="251">
        <f>(V38)</f>
        <v/>
      </c>
    </row>
    <row r="41" hidden="1" ht="16.5" customHeight="1" s="192">
      <c r="A41" s="138" t="n"/>
      <c r="B41" s="139" t="n"/>
      <c r="C41" s="139" t="n"/>
      <c r="D41" s="139" t="n"/>
      <c r="E41" s="139" t="n"/>
      <c r="F41" s="139" t="n"/>
      <c r="G41" s="139" t="n"/>
      <c r="H41" s="139" t="n"/>
      <c r="I41" s="139" t="n"/>
      <c r="J41" s="139" t="n"/>
      <c r="K41" s="139" t="n"/>
    </row>
    <row r="42" hidden="1" ht="16.5" customHeight="1" s="192">
      <c r="A42" s="138" t="n"/>
      <c r="B42" s="139" t="n"/>
      <c r="C42" s="139" t="n"/>
      <c r="D42" s="139" t="n"/>
      <c r="E42" s="139" t="n"/>
      <c r="F42" s="139" t="n"/>
      <c r="G42" s="139" t="n"/>
      <c r="H42" s="139" t="n"/>
      <c r="I42" s="139" t="n"/>
      <c r="J42" s="139" t="n"/>
      <c r="K42" s="139" t="n"/>
    </row>
    <row r="43" hidden="1" ht="16.5" customHeight="1" s="192">
      <c r="A43" s="138" t="n"/>
      <c r="B43" s="139" t="n"/>
      <c r="C43" s="139" t="n"/>
      <c r="D43" s="139" t="n"/>
      <c r="E43" s="139" t="n"/>
      <c r="F43" s="139" t="n"/>
      <c r="G43" s="139" t="n"/>
      <c r="H43" s="139" t="n"/>
      <c r="I43" s="139" t="n"/>
      <c r="J43" s="139" t="n"/>
      <c r="K43" s="139" t="n"/>
    </row>
    <row r="44" hidden="1" ht="16.5" customHeight="1" s="192">
      <c r="A44" s="138" t="n"/>
      <c r="B44" s="139" t="n"/>
      <c r="C44" s="139" t="n"/>
      <c r="D44" s="139" t="n"/>
      <c r="E44" s="139" t="n"/>
      <c r="F44" s="139" t="n"/>
      <c r="G44" s="139" t="n"/>
      <c r="H44" s="139" t="n"/>
      <c r="I44" s="139" t="n"/>
      <c r="J44" s="139" t="n"/>
      <c r="K44" s="139" t="n"/>
    </row>
    <row r="45" hidden="1" ht="16.5" customHeight="1" s="192">
      <c r="A45" s="138" t="n"/>
      <c r="B45" s="139" t="n"/>
      <c r="C45" s="139" t="n"/>
      <c r="D45" s="139" t="n"/>
      <c r="E45" s="139" t="n"/>
      <c r="F45" s="139" t="n"/>
      <c r="G45" s="139" t="n"/>
      <c r="H45" s="139" t="n"/>
      <c r="I45" s="139" t="n"/>
      <c r="J45" s="139" t="n"/>
      <c r="K45" s="139" t="n"/>
    </row>
    <row r="46" hidden="1" ht="16.5" customHeight="1" s="192">
      <c r="A46" s="138" t="n"/>
      <c r="B46" s="139" t="n"/>
      <c r="C46" s="139" t="n"/>
      <c r="D46" s="139" t="n"/>
      <c r="E46" s="139" t="n"/>
      <c r="F46" s="139" t="n"/>
      <c r="G46" s="139" t="n"/>
      <c r="H46" s="139" t="n"/>
      <c r="I46" s="139" t="n"/>
      <c r="J46" s="139" t="n"/>
      <c r="K46" s="139" t="n"/>
    </row>
    <row r="47" hidden="1" ht="16.5" customHeight="1" s="192">
      <c r="A47" s="138" t="n"/>
      <c r="B47" s="139" t="n"/>
      <c r="C47" s="139" t="n"/>
      <c r="D47" s="139" t="n"/>
      <c r="E47" s="139" t="n"/>
      <c r="F47" s="139" t="n"/>
      <c r="G47" s="139" t="n"/>
      <c r="H47" s="139" t="n"/>
      <c r="I47" s="139" t="n"/>
      <c r="J47" s="139" t="n"/>
      <c r="K47" s="139" t="n"/>
    </row>
    <row r="48" hidden="1" ht="16.5" customHeight="1" s="192">
      <c r="A48" s="138" t="n"/>
      <c r="B48" s="139" t="n"/>
      <c r="C48" s="139" t="n"/>
      <c r="D48" s="139" t="n"/>
      <c r="E48" s="139" t="n"/>
      <c r="F48" s="139" t="n"/>
      <c r="G48" s="139" t="n"/>
      <c r="H48" s="139" t="n"/>
      <c r="I48" s="139" t="n"/>
      <c r="J48" s="139" t="n"/>
      <c r="K48" s="139" t="n"/>
    </row>
    <row r="49" hidden="1" ht="16.5" customHeight="1" s="192">
      <c r="A49" s="138" t="n"/>
      <c r="B49" s="139" t="n"/>
      <c r="C49" s="139" t="n"/>
      <c r="D49" s="139" t="n"/>
      <c r="E49" s="139" t="n"/>
      <c r="F49" s="139" t="n"/>
      <c r="G49" s="139" t="n"/>
      <c r="H49" s="139" t="n"/>
      <c r="I49" s="139" t="n"/>
      <c r="J49" s="139" t="n"/>
      <c r="K49" s="139" t="n"/>
    </row>
    <row r="50" hidden="1" ht="16.5" customHeight="1" s="192">
      <c r="A50" s="138" t="n"/>
      <c r="B50" s="139" t="n"/>
      <c r="C50" s="139" t="n"/>
      <c r="D50" s="139" t="n"/>
      <c r="E50" s="139" t="n"/>
      <c r="F50" s="139" t="n"/>
      <c r="G50" s="139" t="n"/>
      <c r="H50" s="139" t="n"/>
      <c r="I50" s="139" t="n"/>
      <c r="J50" s="139" t="n"/>
      <c r="K50" s="139" t="n"/>
    </row>
    <row r="51" hidden="1" ht="16.5" customHeight="1" s="192">
      <c r="A51" s="138" t="n"/>
      <c r="B51" s="139" t="n"/>
      <c r="C51" s="139" t="n"/>
      <c r="D51" s="139" t="n"/>
      <c r="E51" s="139" t="n"/>
      <c r="F51" s="139" t="n"/>
      <c r="G51" s="139" t="n"/>
      <c r="H51" s="139" t="n"/>
      <c r="I51" s="139" t="n"/>
      <c r="J51" s="139" t="n"/>
      <c r="K51" s="139" t="n"/>
    </row>
    <row r="52" hidden="1" ht="16.5" customHeight="1" s="192">
      <c r="A52" s="138" t="n"/>
      <c r="B52" s="139" t="n"/>
      <c r="C52" s="139" t="n"/>
      <c r="D52" s="139" t="n"/>
      <c r="E52" s="139" t="n"/>
      <c r="F52" s="139" t="n"/>
      <c r="G52" s="139" t="n"/>
      <c r="H52" s="139" t="n"/>
      <c r="I52" s="139" t="n"/>
      <c r="J52" s="139" t="n"/>
      <c r="K52" s="139" t="n"/>
    </row>
    <row r="53" hidden="1" ht="16.5" customHeight="1" s="192">
      <c r="A53" s="138" t="n"/>
      <c r="B53" s="139" t="n"/>
      <c r="C53" s="139" t="n"/>
      <c r="D53" s="139" t="n"/>
      <c r="E53" s="139" t="n"/>
      <c r="F53" s="139" t="n"/>
      <c r="G53" s="139" t="n"/>
      <c r="H53" s="139" t="n"/>
      <c r="I53" s="139" t="n"/>
      <c r="J53" s="139" t="n"/>
      <c r="K53" s="139" t="n"/>
    </row>
    <row r="54" hidden="1" ht="16.5" customHeight="1" s="192">
      <c r="A54" s="138" t="n"/>
      <c r="B54" s="139" t="n"/>
      <c r="C54" s="139" t="n"/>
      <c r="D54" s="139" t="n"/>
      <c r="E54" s="139" t="n"/>
      <c r="F54" s="139" t="n"/>
      <c r="G54" s="139" t="n"/>
      <c r="H54" s="139" t="n"/>
      <c r="I54" s="139" t="n"/>
      <c r="J54" s="139" t="n"/>
      <c r="K54" s="139" t="n"/>
    </row>
    <row r="55" hidden="1" ht="16.5" customHeight="1" s="192">
      <c r="A55" s="138" t="n"/>
      <c r="B55" s="139" t="n"/>
      <c r="C55" s="139" t="n"/>
      <c r="D55" s="139" t="n"/>
      <c r="E55" s="139" t="n"/>
      <c r="F55" s="139" t="n"/>
      <c r="G55" s="139" t="n"/>
      <c r="H55" s="139" t="n"/>
      <c r="I55" s="139" t="n"/>
      <c r="J55" s="139" t="n"/>
      <c r="K55" s="139" t="n"/>
    </row>
    <row r="56" hidden="1" ht="16.5" customHeight="1" s="192">
      <c r="A56" s="138" t="n"/>
      <c r="B56" s="139" t="n"/>
      <c r="C56" s="139" t="n"/>
      <c r="D56" s="139" t="n"/>
      <c r="E56" s="139" t="n"/>
      <c r="F56" s="139" t="n"/>
      <c r="G56" s="139" t="n"/>
      <c r="H56" s="139" t="n"/>
      <c r="I56" s="139" t="n"/>
      <c r="J56" s="139" t="n"/>
      <c r="K56" s="139" t="n"/>
    </row>
    <row r="57" hidden="1" ht="16.5" customHeight="1" s="192">
      <c r="A57" s="138" t="n"/>
      <c r="B57" s="139" t="n"/>
      <c r="C57" s="139" t="n"/>
      <c r="D57" s="139" t="n"/>
      <c r="E57" s="139" t="n"/>
      <c r="F57" s="139" t="n"/>
      <c r="G57" s="139" t="n"/>
      <c r="H57" s="139" t="n"/>
      <c r="I57" s="139" t="n"/>
      <c r="J57" s="139" t="n"/>
      <c r="K57" s="139" t="n"/>
    </row>
    <row r="58" hidden="1" ht="16.5" customHeight="1" s="192">
      <c r="A58" s="138" t="n"/>
      <c r="B58" s="139" t="n"/>
      <c r="C58" s="139" t="n"/>
      <c r="D58" s="139" t="n"/>
      <c r="E58" s="139" t="n"/>
      <c r="F58" s="139" t="n"/>
      <c r="G58" s="139" t="n"/>
      <c r="H58" s="139" t="n"/>
      <c r="I58" s="139" t="n"/>
      <c r="J58" s="139" t="n"/>
      <c r="K58" s="139" t="n"/>
    </row>
    <row r="59" hidden="1" ht="16.5" customHeight="1" s="192">
      <c r="A59" s="138" t="n"/>
      <c r="B59" s="139" t="n"/>
      <c r="C59" s="139" t="n"/>
      <c r="D59" s="139" t="n"/>
      <c r="E59" s="139" t="n"/>
      <c r="F59" s="139" t="n"/>
      <c r="G59" s="139" t="n"/>
      <c r="H59" s="139" t="n"/>
      <c r="I59" s="139" t="n"/>
      <c r="J59" s="139" t="n"/>
      <c r="K59" s="139" t="n"/>
    </row>
    <row r="60" hidden="1" ht="16.5" customHeight="1" s="192">
      <c r="A60" s="138" t="n"/>
      <c r="B60" s="139" t="n"/>
      <c r="C60" s="139" t="n"/>
      <c r="D60" s="139" t="n"/>
      <c r="E60" s="139" t="n"/>
      <c r="F60" s="139" t="n"/>
      <c r="G60" s="139" t="n"/>
      <c r="H60" s="139" t="n"/>
      <c r="I60" s="139" t="n"/>
      <c r="J60" s="139" t="n"/>
      <c r="K60" s="139" t="n"/>
    </row>
    <row r="61" hidden="1" ht="16.5" customHeight="1" s="192">
      <c r="A61" s="138" t="n"/>
      <c r="B61" s="139" t="n"/>
      <c r="C61" s="139" t="n"/>
      <c r="D61" s="139" t="n"/>
      <c r="E61" s="139" t="n"/>
      <c r="F61" s="139" t="n"/>
      <c r="G61" s="139" t="n"/>
      <c r="H61" s="139" t="n"/>
      <c r="I61" s="139" t="n"/>
      <c r="J61" s="139" t="n"/>
      <c r="K61" s="139" t="n"/>
    </row>
    <row r="62" hidden="1" ht="16.5" customHeight="1" s="192">
      <c r="A62" s="138" t="n"/>
      <c r="B62" s="139" t="n"/>
      <c r="C62" s="139" t="n"/>
      <c r="D62" s="139" t="n"/>
      <c r="E62" s="139" t="n"/>
      <c r="F62" s="139" t="n"/>
      <c r="G62" s="139" t="n"/>
      <c r="H62" s="139" t="n"/>
      <c r="I62" s="139" t="n"/>
      <c r="J62" s="139" t="n"/>
      <c r="K62" s="139" t="n"/>
    </row>
    <row r="63" hidden="1" ht="16.5" customHeight="1" s="192">
      <c r="A63" s="138" t="n"/>
      <c r="B63" s="139" t="n"/>
      <c r="C63" s="139" t="n"/>
      <c r="D63" s="139" t="n"/>
      <c r="E63" s="139" t="n"/>
      <c r="F63" s="139" t="n"/>
      <c r="G63" s="139" t="n"/>
      <c r="H63" s="139" t="n"/>
      <c r="I63" s="139" t="n"/>
      <c r="J63" s="139" t="n"/>
      <c r="K63" s="139" t="n"/>
    </row>
    <row r="64" hidden="1" ht="16.5" customHeight="1" s="192">
      <c r="A64" s="138" t="n"/>
      <c r="B64" s="139" t="n"/>
      <c r="C64" s="139" t="n"/>
      <c r="D64" s="139" t="n"/>
      <c r="E64" s="139" t="n"/>
      <c r="F64" s="139" t="n"/>
      <c r="G64" s="139" t="n"/>
      <c r="H64" s="139" t="n"/>
      <c r="I64" s="139" t="n"/>
      <c r="J64" s="139" t="n"/>
      <c r="K64" s="139" t="n"/>
    </row>
    <row r="65" hidden="1" ht="16.5" customHeight="1" s="192">
      <c r="A65" s="138" t="n"/>
      <c r="B65" s="139" t="n"/>
      <c r="C65" s="139" t="n"/>
      <c r="D65" s="139" t="n"/>
      <c r="E65" s="139" t="n"/>
      <c r="F65" s="139" t="n"/>
      <c r="G65" s="139" t="n"/>
      <c r="H65" s="139" t="n"/>
      <c r="I65" s="139" t="n"/>
      <c r="J65" s="139" t="n"/>
      <c r="K65" s="139" t="n"/>
    </row>
    <row r="66" hidden="1" ht="16.5" customHeight="1" s="192">
      <c r="A66" s="138" t="n"/>
      <c r="B66" s="139" t="n"/>
      <c r="C66" s="139" t="n"/>
      <c r="D66" s="139" t="n"/>
      <c r="E66" s="139" t="n"/>
      <c r="F66" s="139" t="n"/>
      <c r="G66" s="139" t="n"/>
      <c r="H66" s="139" t="n"/>
      <c r="I66" s="139" t="n"/>
      <c r="J66" s="139" t="n"/>
      <c r="K66" s="139" t="n"/>
    </row>
    <row r="67" hidden="1" ht="16.5" customHeight="1" s="192">
      <c r="A67" s="138" t="n"/>
      <c r="B67" s="139" t="n"/>
      <c r="C67" s="139" t="n"/>
      <c r="D67" s="139" t="n"/>
      <c r="E67" s="139" t="n"/>
      <c r="F67" s="139" t="n"/>
      <c r="G67" s="139" t="n"/>
      <c r="H67" s="139" t="n"/>
      <c r="I67" s="139" t="n"/>
      <c r="J67" s="139" t="n"/>
      <c r="K67" s="139" t="n"/>
    </row>
    <row r="68" hidden="1" ht="16.5" customHeight="1" s="192">
      <c r="A68" s="138" t="n"/>
      <c r="B68" s="139" t="n"/>
      <c r="C68" s="139" t="n"/>
      <c r="D68" s="139" t="n"/>
      <c r="E68" s="139" t="n"/>
      <c r="F68" s="139" t="n"/>
      <c r="G68" s="139" t="n"/>
      <c r="H68" s="139" t="n"/>
      <c r="I68" s="139" t="n"/>
      <c r="J68" s="139" t="n"/>
      <c r="K68" s="139" t="n"/>
    </row>
    <row r="69" hidden="1" ht="16.5" customHeight="1" s="192">
      <c r="A69" s="138" t="n"/>
      <c r="B69" s="139" t="n"/>
      <c r="C69" s="139" t="n"/>
      <c r="D69" s="139" t="n"/>
      <c r="E69" s="139" t="n"/>
      <c r="F69" s="139" t="n"/>
      <c r="G69" s="139" t="n"/>
      <c r="H69" s="139" t="n"/>
      <c r="I69" s="139" t="n"/>
      <c r="J69" s="139" t="n"/>
      <c r="K69" s="139" t="n"/>
    </row>
    <row r="70" hidden="1" ht="16.5" customHeight="1" s="192">
      <c r="A70" s="138" t="n"/>
      <c r="B70" s="139" t="n"/>
      <c r="C70" s="139" t="n"/>
      <c r="D70" s="139" t="n"/>
      <c r="E70" s="139" t="n"/>
      <c r="F70" s="139" t="n"/>
      <c r="G70" s="139" t="n"/>
      <c r="H70" s="139" t="n"/>
      <c r="I70" s="139" t="n"/>
      <c r="J70" s="139" t="n"/>
      <c r="K70" s="139" t="n"/>
    </row>
    <row r="71" hidden="1" ht="16.5" customHeight="1" s="192">
      <c r="A71" s="138" t="n"/>
      <c r="B71" s="139" t="n"/>
      <c r="C71" s="139" t="n"/>
      <c r="D71" s="139" t="n"/>
      <c r="E71" s="139" t="n"/>
      <c r="F71" s="139" t="n"/>
      <c r="G71" s="139" t="n"/>
      <c r="H71" s="139" t="n"/>
      <c r="I71" s="139" t="n"/>
      <c r="J71" s="139" t="n"/>
      <c r="K71" s="139" t="n"/>
    </row>
    <row r="72" hidden="1" ht="16.5" customHeight="1" s="192">
      <c r="A72" s="138" t="n"/>
      <c r="B72" s="139" t="n"/>
      <c r="C72" s="139" t="n"/>
      <c r="D72" s="139" t="n"/>
      <c r="E72" s="139" t="n"/>
      <c r="F72" s="139" t="n"/>
      <c r="G72" s="139" t="n"/>
      <c r="H72" s="139" t="n"/>
      <c r="I72" s="139" t="n"/>
      <c r="J72" s="139" t="n"/>
      <c r="K72" s="139" t="n"/>
    </row>
    <row r="73" hidden="1" ht="16.5" customHeight="1" s="192">
      <c r="A73" s="138" t="n"/>
      <c r="B73" s="139" t="n"/>
      <c r="C73" s="139" t="n"/>
      <c r="D73" s="139" t="n"/>
      <c r="E73" s="139" t="n"/>
      <c r="F73" s="139" t="n"/>
      <c r="G73" s="139" t="n"/>
      <c r="H73" s="139" t="n"/>
      <c r="I73" s="139" t="n"/>
      <c r="J73" s="139" t="n"/>
      <c r="K73" s="139" t="n"/>
    </row>
    <row r="74" hidden="1" ht="16.5" customHeight="1" s="192">
      <c r="A74" s="138" t="n"/>
      <c r="B74" s="139" t="n"/>
      <c r="C74" s="139" t="n"/>
      <c r="D74" s="139" t="n"/>
      <c r="E74" s="139" t="n"/>
      <c r="F74" s="139" t="n"/>
      <c r="G74" s="139" t="n"/>
      <c r="H74" s="139" t="n"/>
      <c r="I74" s="139" t="n"/>
      <c r="J74" s="139" t="n"/>
      <c r="K74" s="139" t="n"/>
    </row>
    <row r="75" hidden="1" ht="16.5" customHeight="1" s="192">
      <c r="A75" s="138" t="n"/>
      <c r="B75" s="139" t="n"/>
      <c r="C75" s="139" t="n"/>
      <c r="D75" s="139" t="n"/>
      <c r="E75" s="139" t="n"/>
      <c r="F75" s="139" t="n"/>
      <c r="G75" s="139" t="n"/>
      <c r="H75" s="139" t="n"/>
      <c r="I75" s="139" t="n"/>
      <c r="J75" s="139" t="n"/>
      <c r="K75" s="139" t="n"/>
    </row>
    <row r="76" hidden="1" ht="16.5" customHeight="1" s="192">
      <c r="A76" s="138" t="n"/>
      <c r="B76" s="139" t="n"/>
      <c r="C76" s="139" t="n"/>
      <c r="D76" s="139" t="n"/>
      <c r="E76" s="139" t="n"/>
      <c r="F76" s="139" t="n"/>
      <c r="G76" s="139" t="n"/>
      <c r="H76" s="139" t="n"/>
      <c r="I76" s="139" t="n"/>
      <c r="J76" s="139" t="n"/>
      <c r="K76" s="139" t="n"/>
    </row>
    <row r="77" hidden="1" ht="16.5" customHeight="1" s="192">
      <c r="A77" s="138" t="n"/>
      <c r="B77" s="139" t="n"/>
      <c r="C77" s="139" t="n"/>
      <c r="D77" s="139" t="n"/>
      <c r="E77" s="139" t="n"/>
      <c r="F77" s="139" t="n"/>
      <c r="G77" s="139" t="n"/>
      <c r="H77" s="139" t="n"/>
      <c r="I77" s="139" t="n"/>
      <c r="J77" s="139" t="n"/>
      <c r="K77" s="139" t="n"/>
    </row>
    <row r="78" hidden="1" ht="16.5" customHeight="1" s="192"/>
    <row r="79" hidden="1" ht="16.5" customHeight="1" s="192">
      <c r="B79" s="139" t="n"/>
      <c r="C79" s="139" t="n"/>
      <c r="D79" s="139" t="n"/>
      <c r="E79" s="139" t="n"/>
      <c r="F79" s="139" t="n"/>
      <c r="G79" s="139" t="n"/>
      <c r="H79" s="139" t="n"/>
      <c r="I79" s="139" t="n"/>
      <c r="J79" s="139" t="n"/>
      <c r="K79" s="139" t="n"/>
    </row>
    <row r="80" hidden="1" ht="16.5" customHeight="1" s="192"/>
    <row r="81" hidden="1" ht="16.5" customHeight="1" s="192"/>
    <row r="82" hidden="1" ht="16.5" customHeight="1" s="192"/>
    <row r="83" hidden="1" ht="16.5" customHeight="1" s="192"/>
    <row r="84" hidden="1" ht="16.5" customHeight="1" s="192"/>
    <row r="85" hidden="1" ht="16.5" customHeight="1" s="192"/>
    <row r="86" hidden="1" ht="16.5" customHeight="1" s="192"/>
    <row r="87" hidden="1" ht="16.5" customHeight="1" s="192"/>
    <row r="88" hidden="1" ht="16.5" customHeight="1" s="192"/>
    <row r="89" hidden="1" ht="16.5" customHeight="1" s="192"/>
    <row r="90" hidden="1" ht="16.5" customHeight="1" s="192"/>
    <row r="91" hidden="1" ht="16.5" customHeight="1" s="192"/>
    <row r="92" hidden="1" ht="16.5" customHeight="1" s="192"/>
    <row r="93" hidden="1" ht="16.5" customHeight="1" s="192"/>
    <row r="94" hidden="1" ht="16.5" customHeight="1" s="192"/>
    <row r="95" hidden="1" ht="16.5" customHeight="1" s="192"/>
    <row r="96" hidden="1" ht="16.5" customHeight="1" s="192"/>
    <row r="97" hidden="1" ht="16.5" customHeight="1" s="192"/>
    <row r="98" hidden="1" ht="16.5" customHeight="1" s="192"/>
    <row r="99" hidden="1" ht="16.5" customHeight="1" s="192"/>
    <row r="100" hidden="1" ht="16.5" customHeight="1" s="192"/>
    <row r="101" hidden="1" ht="16.5" customHeight="1" s="192"/>
    <row r="102" hidden="1" ht="16.5" customHeight="1" s="192"/>
    <row r="103" hidden="1" ht="16.5" customHeight="1" s="192"/>
    <row r="104" hidden="1" ht="16.5" customHeight="1" s="192"/>
    <row r="105" hidden="1" ht="16.5" customHeight="1" s="192"/>
    <row r="106" hidden="1" ht="16.5" customHeight="1" s="192"/>
    <row r="107" hidden="1" ht="16.5" customHeight="1" s="192"/>
    <row r="108" hidden="1" ht="16.5" customHeight="1" s="192"/>
    <row r="109" hidden="1" ht="16.5" customHeight="1" s="192"/>
    <row r="110" hidden="1" ht="16.5" customHeight="1" s="192"/>
    <row r="111" hidden="1" ht="16.5" customHeight="1" s="192"/>
    <row r="112" hidden="1" ht="16.5" customHeight="1" s="192"/>
    <row r="113" hidden="1" ht="16.5" customHeight="1" s="192"/>
    <row r="114" hidden="1" ht="16.5" customHeight="1" s="192"/>
    <row r="115" hidden="1" ht="16.5" customHeight="1" s="192"/>
    <row r="116" hidden="1" ht="16.5" customHeight="1" s="192"/>
    <row r="117" hidden="1" ht="16.5" customHeight="1" s="192"/>
    <row r="118" hidden="1" ht="16.5" customHeight="1" s="192"/>
    <row r="119" hidden="1" ht="16.5" customHeight="1" s="192"/>
    <row r="120" hidden="1" ht="16.5" customHeight="1" s="192"/>
    <row r="121" hidden="1" ht="16.5" customHeight="1" s="192"/>
    <row r="122" hidden="1" ht="16.5" customHeight="1" s="192"/>
    <row r="123" hidden="1" ht="16.5" customHeight="1" s="192"/>
    <row r="124" hidden="1" ht="16.5" customHeight="1" s="192"/>
    <row r="125" hidden="1" ht="16.5" customHeight="1" s="192"/>
    <row r="126" hidden="1" ht="16.5" customHeight="1" s="192"/>
    <row r="127" hidden="1" ht="16.5" customHeight="1" s="192"/>
    <row r="128" hidden="1" ht="16.5" customHeight="1" s="192"/>
    <row r="129" hidden="1" ht="16.5" customHeight="1" s="192"/>
    <row r="130" hidden="1" ht="16.5" customHeight="1" s="192"/>
    <row r="131" hidden="1" ht="16.5" customHeight="1" s="192"/>
    <row r="132" hidden="1" ht="16.5" customHeight="1" s="192"/>
    <row r="133" hidden="1" ht="16.5" customHeight="1" s="192"/>
    <row r="134" hidden="1" ht="16.5" customHeight="1" s="192"/>
    <row r="135" hidden="1" ht="16.5" customHeight="1" s="192"/>
    <row r="136" hidden="1" ht="16.5" customHeight="1" s="192"/>
    <row r="137" hidden="1" ht="16.5" customHeight="1" s="192"/>
    <row r="138" hidden="1" ht="16.5" customHeight="1" s="192"/>
    <row r="139" hidden="1" ht="16.5" customHeight="1" s="192"/>
    <row r="140" hidden="1" ht="16.5" customHeight="1" s="192"/>
    <row r="141" hidden="1" ht="16.5" customHeight="1" s="192"/>
    <row r="142" hidden="1" ht="16.5" customHeight="1" s="192"/>
    <row r="143" hidden="1" ht="16.5" customHeight="1" s="192"/>
    <row r="144" hidden="1" ht="16.5" customHeight="1" s="192"/>
    <row r="145" hidden="1" ht="16.5" customHeight="1" s="192"/>
    <row r="146" hidden="1" ht="16.5" customHeight="1" s="192"/>
    <row r="147" hidden="1" ht="16.5" customHeight="1" s="192"/>
    <row r="148" hidden="1" ht="16.5" customHeight="1" s="192"/>
    <row r="149" hidden="1" ht="16.5" customHeight="1" s="192"/>
    <row r="150" hidden="1" ht="16.5" customHeight="1" s="192"/>
    <row r="151" hidden="1" ht="16.5" customHeight="1" s="192"/>
    <row r="152" hidden="1" ht="16.5" customHeight="1" s="192"/>
    <row r="153" hidden="1" ht="16.5" customHeight="1" s="192"/>
    <row r="154" hidden="1" ht="16.5" customHeight="1" s="192"/>
    <row r="155" hidden="1" ht="16.5" customHeight="1" s="192"/>
    <row r="156" hidden="1" ht="16.5" customHeight="1" s="192"/>
    <row r="157" hidden="1" ht="16.5" customHeight="1" s="192"/>
    <row r="158" hidden="1" ht="16.5" customHeight="1" s="192"/>
    <row r="159" hidden="1" ht="16.5" customHeight="1" s="192"/>
    <row r="160" hidden="1" ht="16.5" customHeight="1" s="192"/>
    <row r="161" hidden="1" ht="16.5" customHeight="1" s="192"/>
    <row r="162" hidden="1" ht="16.5" customHeight="1" s="192"/>
    <row r="163" hidden="1" ht="16.5" customHeight="1" s="192"/>
    <row r="164" hidden="1" ht="16.5" customHeight="1" s="192"/>
    <row r="165" hidden="1" ht="16.5" customHeight="1" s="192"/>
    <row r="166" hidden="1" ht="16.5" customHeight="1" s="192"/>
    <row r="167" hidden="1" ht="16.5" customHeight="1" s="192"/>
    <row r="168" hidden="1" ht="16.5" customHeight="1" s="192"/>
    <row r="169" hidden="1" ht="16.5" customHeight="1" s="192"/>
    <row r="170" hidden="1" ht="16.5" customHeight="1" s="192"/>
    <row r="171" hidden="1" ht="16.5" customHeight="1" s="192"/>
    <row r="172" hidden="1" ht="16.5" customHeight="1" s="192"/>
    <row r="173" hidden="1" ht="16.5" customHeight="1" s="192"/>
    <row r="174" hidden="1" ht="16.5" customHeight="1" s="192"/>
    <row r="175" hidden="1" ht="16.5" customHeight="1" s="192"/>
    <row r="176" hidden="1" ht="16.5" customHeight="1" s="192"/>
    <row r="177" hidden="1" ht="16.5" customHeight="1" s="192"/>
    <row r="178" hidden="1" ht="16.5" customHeight="1" s="192"/>
    <row r="179" hidden="1" ht="16.5" customHeight="1" s="192"/>
    <row r="180" hidden="1" ht="16.5" customHeight="1" s="192"/>
    <row r="181" hidden="1" ht="16.5" customHeight="1" s="192"/>
    <row r="182" hidden="1" ht="16.5" customHeight="1" s="192"/>
    <row r="183" hidden="1" ht="16.5" customHeight="1" s="192"/>
    <row r="184" hidden="1" ht="16.5" customHeight="1" s="192"/>
    <row r="185" hidden="1" ht="16.5" customHeight="1" s="192"/>
    <row r="186" hidden="1" ht="16.5" customHeight="1" s="192"/>
    <row r="187" hidden="1" ht="16.5" customHeight="1" s="192"/>
    <row r="188" hidden="1" ht="16.5" customHeight="1" s="192"/>
    <row r="189" hidden="1" ht="16.5" customHeight="1" s="192"/>
    <row r="190" hidden="1" ht="16.5" customHeight="1" s="192"/>
    <row r="191" hidden="1" ht="16.5" customHeight="1" s="192"/>
    <row r="192" hidden="1" ht="16.5" customHeight="1" s="192"/>
    <row r="193" hidden="1" ht="16.5" customHeight="1" s="192"/>
    <row r="194" hidden="1" ht="16.5" customHeight="1" s="192"/>
    <row r="195" hidden="1" ht="16.5" customHeight="1" s="192"/>
    <row r="196" hidden="1" ht="16.5" customHeight="1" s="192"/>
    <row r="197" hidden="1" ht="16.5" customHeight="1" s="192"/>
    <row r="198" hidden="1" ht="16.5" customHeight="1" s="192"/>
    <row r="199" hidden="1" ht="16.5" customHeight="1" s="192"/>
    <row r="200" hidden="1" ht="16.5" customHeight="1" s="192"/>
    <row r="201" hidden="1" ht="16.5" customHeight="1" s="192"/>
    <row r="202" hidden="1" ht="16.5" customHeight="1" s="192"/>
    <row r="203" hidden="1" ht="16.5" customHeight="1" s="192"/>
    <row r="204" hidden="1" ht="16.5" customHeight="1" s="192"/>
    <row r="205" hidden="1" ht="16.5" customHeight="1" s="192"/>
    <row r="206" hidden="1" ht="16.5" customHeight="1" s="192"/>
    <row r="207" hidden="1" ht="16.5" customHeight="1" s="192"/>
    <row r="208" hidden="1" ht="16.5" customHeight="1" s="192"/>
    <row r="209" hidden="1" ht="16.5" customHeight="1" s="192"/>
    <row r="210" hidden="1" ht="16.5" customHeight="1" s="192"/>
    <row r="211" hidden="1" ht="16.5" customHeight="1" s="192"/>
    <row r="212" hidden="1" ht="16.5" customHeight="1" s="192"/>
    <row r="213" hidden="1" ht="16.5" customHeight="1" s="192"/>
    <row r="214" hidden="1" ht="16.5" customHeight="1" s="192"/>
    <row r="215" hidden="1" ht="16.5" customHeight="1" s="192"/>
    <row r="216" hidden="1" ht="16.5" customHeight="1" s="192"/>
    <row r="217" hidden="1" ht="16.5" customHeight="1" s="192"/>
    <row r="218" hidden="1" ht="16.5" customHeight="1" s="192"/>
    <row r="219" hidden="1" ht="16.5" customHeight="1" s="192"/>
    <row r="220" hidden="1" ht="16.5" customHeight="1" s="192"/>
    <row r="221" hidden="1" ht="16.5" customHeight="1" s="192"/>
    <row r="222" hidden="1" ht="16.5" customHeight="1" s="192"/>
    <row r="223" hidden="1" ht="16.5" customHeight="1" s="192"/>
    <row r="224" hidden="1" ht="16.5" customHeight="1" s="192"/>
    <row r="225" hidden="1" ht="16.5" customHeight="1" s="192"/>
    <row r="226" hidden="1" ht="16.5" customHeight="1" s="192"/>
    <row r="227" hidden="1" ht="16.5" customHeight="1" s="192"/>
    <row r="228" hidden="1" ht="16.5" customHeight="1" s="192"/>
    <row r="229" hidden="1" ht="16.5" customHeight="1" s="192"/>
    <row r="230" hidden="1" ht="16.5" customHeight="1" s="192"/>
    <row r="231" hidden="1" ht="16.5" customHeight="1" s="192"/>
    <row r="232" hidden="1" ht="16.5" customHeight="1" s="192"/>
    <row r="233" hidden="1" ht="16.5" customHeight="1" s="192"/>
    <row r="234" hidden="1" ht="16.5" customHeight="1" s="192"/>
    <row r="235" hidden="1" ht="16.5" customHeight="1" s="192"/>
    <row r="236" hidden="1" ht="16.5" customHeight="1" s="192"/>
    <row r="237" hidden="1" ht="16.5" customHeight="1" s="192"/>
    <row r="238" hidden="1" ht="16.5" customHeight="1" s="192"/>
    <row r="239" hidden="1" ht="16.5" customHeight="1" s="192"/>
    <row r="240" hidden="1" ht="16.5" customHeight="1" s="192"/>
    <row r="241" hidden="1" ht="16.5" customHeight="1" s="192"/>
    <row r="242" hidden="1" ht="16.5" customHeight="1" s="192"/>
    <row r="243" hidden="1" ht="16.5" customHeight="1" s="192"/>
    <row r="244" hidden="1" ht="16.5" customHeight="1" s="192"/>
    <row r="245" hidden="1" ht="16.5" customHeight="1" s="192"/>
    <row r="246" hidden="1" ht="16.5" customHeight="1" s="192"/>
    <row r="247" hidden="1" ht="16.5" customHeight="1" s="192"/>
    <row r="248" hidden="1" ht="16.5" customHeight="1" s="192"/>
    <row r="249" hidden="1" ht="16.5" customHeight="1" s="192"/>
    <row r="250" hidden="1" ht="16.5" customHeight="1" s="192"/>
    <row r="251" hidden="1" ht="16.5" customHeight="1" s="192"/>
    <row r="252" hidden="1" ht="16.5" customHeight="1" s="192"/>
    <row r="253" hidden="1" ht="16.5" customHeight="1" s="192"/>
    <row r="254" hidden="1" ht="16.5" customHeight="1" s="192"/>
    <row r="255" hidden="1" ht="16.5" customHeight="1" s="192"/>
    <row r="256" hidden="1" ht="16.5" customHeight="1" s="192"/>
    <row r="257" hidden="1" ht="16.5" customHeight="1" s="192"/>
    <row r="258" hidden="1" ht="16.5" customHeight="1" s="192"/>
    <row r="259" hidden="1" ht="16.5" customHeight="1" s="192"/>
    <row r="260" hidden="1" ht="16.5" customHeight="1" s="192"/>
    <row r="261" hidden="1" ht="16.5" customHeight="1" s="192"/>
    <row r="262" hidden="1" ht="16.5" customHeight="1" s="192"/>
    <row r="263" hidden="1" ht="16.5" customHeight="1" s="192"/>
    <row r="264" hidden="1" ht="16.5" customHeight="1" s="192"/>
    <row r="265" hidden="1" ht="16.5" customHeight="1" s="192"/>
    <row r="266" hidden="1" ht="16.5" customHeight="1" s="192"/>
    <row r="267" hidden="1" ht="16.5" customHeight="1" s="192"/>
    <row r="268" hidden="1" ht="16.5" customHeight="1" s="192"/>
    <row r="269" hidden="1" ht="16.5" customHeight="1" s="192"/>
    <row r="270" hidden="1" ht="16.5" customHeight="1" s="192"/>
    <row r="271" hidden="1" ht="16.5" customHeight="1" s="192"/>
    <row r="272" hidden="1" ht="16.5" customHeight="1" s="192"/>
    <row r="273" hidden="1" ht="16.5" customHeight="1" s="192"/>
    <row r="274" hidden="1" ht="16.5" customHeight="1" s="192"/>
    <row r="275" hidden="1" ht="16.5" customHeight="1" s="192"/>
    <row r="276" hidden="1" ht="16.5" customHeight="1" s="192"/>
    <row r="277" hidden="1" ht="16.5" customHeight="1" s="192"/>
    <row r="278" hidden="1" ht="16.5" customHeight="1" s="192"/>
    <row r="279" hidden="1" ht="16.5" customHeight="1" s="192"/>
    <row r="280" hidden="1" ht="16.5" customHeight="1" s="192"/>
    <row r="281" hidden="1" ht="16.5" customHeight="1" s="192"/>
    <row r="282" hidden="1" ht="16.5" customHeight="1" s="192"/>
    <row r="283" hidden="1" ht="16.5" customHeight="1" s="192"/>
    <row r="284" hidden="1" ht="16.5" customHeight="1" s="192"/>
    <row r="285" hidden="1" ht="16.5" customHeight="1" s="192"/>
    <row r="286" hidden="1" ht="16.5" customHeight="1" s="192"/>
    <row r="287" hidden="1" ht="16.5" customHeight="1" s="192"/>
    <row r="288" hidden="1" ht="16.5" customHeight="1" s="192"/>
    <row r="289" hidden="1" ht="16.5" customHeight="1" s="192"/>
    <row r="290" hidden="1" ht="16.5" customHeight="1" s="192"/>
    <row r="291" hidden="1" ht="16.5" customHeight="1" s="192"/>
    <row r="292" hidden="1" ht="16.5" customHeight="1" s="192"/>
    <row r="293" hidden="1" ht="16.5" customHeight="1" s="192"/>
    <row r="294" hidden="1" ht="16.5" customHeight="1" s="192"/>
    <row r="295" hidden="1" ht="16.5" customHeight="1" s="192"/>
    <row r="296" hidden="1" ht="16.5" customHeight="1" s="192"/>
    <row r="297" hidden="1" ht="16.5" customHeight="1" s="192"/>
    <row r="298" hidden="1" ht="16.5" customHeight="1" s="192"/>
    <row r="299" hidden="1" ht="16.5" customHeight="1" s="192"/>
    <row r="300" hidden="1" ht="16.5" customHeight="1" s="192"/>
    <row r="301" hidden="1" ht="16.5" customHeight="1" s="192"/>
    <row r="302" hidden="1" ht="16.5" customHeight="1" s="192"/>
    <row r="303" hidden="1" ht="16.5" customHeight="1" s="192"/>
    <row r="304" hidden="1" ht="16.5" customHeight="1" s="192"/>
    <row r="305" hidden="1" ht="16.5" customHeight="1" s="192"/>
    <row r="306" hidden="1" ht="16.5" customHeight="1" s="192"/>
    <row r="307" hidden="1" ht="16.5" customHeight="1" s="192"/>
    <row r="308" hidden="1" ht="16.5" customHeight="1" s="192"/>
    <row r="309" hidden="1" ht="16.5" customHeight="1" s="192"/>
    <row r="310" hidden="1" ht="16.5" customHeight="1" s="192"/>
    <row r="311" hidden="1" ht="16.5" customHeight="1" s="192"/>
    <row r="312" hidden="1" ht="16.5" customHeight="1" s="192"/>
    <row r="313" hidden="1" ht="16.5" customHeight="1" s="192"/>
    <row r="314" hidden="1" ht="16.5" customHeight="1" s="192"/>
    <row r="315" hidden="1" ht="16.5" customHeight="1" s="192"/>
    <row r="316" hidden="1" ht="16.5" customHeight="1" s="192"/>
    <row r="317" hidden="1" ht="16.5" customHeight="1" s="192"/>
    <row r="318" hidden="1" ht="16.5" customHeight="1" s="192"/>
    <row r="319" hidden="1" ht="16.5" customHeight="1" s="192"/>
    <row r="320" hidden="1" ht="16.5" customHeight="1" s="192"/>
    <row r="321" hidden="1" ht="16.5" customHeight="1" s="192"/>
    <row r="322" hidden="1" ht="16.5" customHeight="1" s="192"/>
    <row r="323" hidden="1" ht="16.5" customHeight="1" s="192"/>
    <row r="324" hidden="1" ht="16.5" customHeight="1" s="192"/>
    <row r="325" hidden="1" ht="16.5" customHeight="1" s="192"/>
    <row r="326" hidden="1" ht="16.5" customHeight="1" s="192"/>
    <row r="327" hidden="1" ht="16.5" customHeight="1" s="192"/>
    <row r="328" hidden="1" ht="16.5" customHeight="1" s="192"/>
    <row r="329" hidden="1" ht="16.5" customHeight="1" s="192"/>
    <row r="330" hidden="1" ht="16.5" customHeight="1" s="192"/>
    <row r="331" hidden="1" ht="16.5" customHeight="1" s="192"/>
    <row r="332" hidden="1" ht="16.5" customHeight="1" s="192"/>
    <row r="333" hidden="1" ht="16.5" customHeight="1" s="192"/>
    <row r="334" hidden="1" ht="16.5" customHeight="1" s="192"/>
    <row r="335" hidden="1" ht="16.5" customHeight="1" s="192"/>
    <row r="336" hidden="1" ht="16.5" customHeight="1" s="192"/>
    <row r="337" hidden="1" ht="16.5" customHeight="1" s="192"/>
    <row r="338" hidden="1" ht="16.5" customHeight="1" s="192"/>
    <row r="339" hidden="1" ht="16.5" customHeight="1" s="192"/>
    <row r="340" hidden="1" ht="16.5" customHeight="1" s="192"/>
    <row r="341" hidden="1" ht="15" customHeight="1" s="192"/>
    <row r="342" hidden="1" ht="15" customHeight="1" s="192"/>
    <row r="343" hidden="1" ht="15" customHeight="1" s="192"/>
    <row r="344" hidden="1" ht="15" customHeight="1" s="192"/>
    <row r="345" hidden="1" ht="15" customHeight="1" s="192"/>
    <row r="346" hidden="1" ht="15" customHeight="1" s="192"/>
    <row r="347" hidden="1" ht="15" customHeight="1" s="192"/>
    <row r="348" hidden="1" ht="15" customHeight="1" s="192"/>
    <row r="349" hidden="1" ht="15" customHeight="1" s="192"/>
    <row r="350" hidden="1" ht="15" customHeight="1" s="192"/>
    <row r="351" hidden="1" ht="15" customHeight="1" s="192"/>
    <row r="352" hidden="1" ht="15" customHeight="1" s="192"/>
    <row r="353" hidden="1" ht="15" customHeight="1" s="192"/>
    <row r="354" hidden="1" ht="15" customHeight="1" s="192"/>
    <row r="355" hidden="1" ht="15" customHeight="1" s="192"/>
    <row r="356" hidden="1" ht="15" customHeight="1" s="192"/>
    <row r="357" hidden="1" ht="15" customHeight="1" s="192"/>
    <row r="358" hidden="1" ht="15" customHeight="1" s="192"/>
    <row r="359" hidden="1" ht="15" customHeight="1" s="192"/>
    <row r="360" hidden="1" ht="15" customHeight="1" s="192"/>
    <row r="361" hidden="1" ht="15" customHeight="1" s="192"/>
    <row r="362" hidden="1" ht="15" customHeight="1" s="192"/>
    <row r="363" hidden="1" ht="15" customHeight="1" s="192"/>
    <row r="364" hidden="1" ht="15" customHeight="1" s="192"/>
    <row r="365" hidden="1" ht="15" customHeight="1" s="192"/>
    <row r="366" hidden="1" ht="15" customHeight="1" s="192"/>
    <row r="367" hidden="1" ht="15" customHeight="1" s="192"/>
    <row r="368" hidden="1" ht="15" customHeight="1" s="192"/>
    <row r="369" hidden="1" ht="15" customHeight="1" s="192"/>
    <row r="370" hidden="1" ht="15" customHeight="1" s="192"/>
    <row r="371" hidden="1" ht="15" customHeight="1" s="192"/>
    <row r="372" hidden="1" ht="15" customHeight="1" s="192"/>
    <row r="373" hidden="1" ht="15" customHeight="1" s="192"/>
    <row r="374" hidden="1" ht="15" customHeight="1" s="192"/>
    <row r="375" hidden="1" ht="15" customHeight="1" s="192"/>
    <row r="376" hidden="1" ht="15" customHeight="1" s="192"/>
    <row r="377" hidden="1" ht="15" customHeight="1" s="192"/>
    <row r="378" hidden="1" ht="15" customHeight="1" s="192"/>
    <row r="379" hidden="1" ht="15" customHeight="1" s="192"/>
    <row r="380" hidden="1" ht="15" customHeight="1" s="192"/>
    <row r="381" hidden="1" ht="15" customHeight="1" s="192"/>
    <row r="382" hidden="1" ht="15" customHeight="1" s="192"/>
    <row r="383" hidden="1" ht="15" customHeight="1" s="192"/>
    <row r="384" hidden="1" ht="15" customHeight="1" s="192"/>
    <row r="385" hidden="1" ht="15" customHeight="1" s="192"/>
    <row r="386" hidden="1" ht="15" customHeight="1" s="192"/>
    <row r="387" hidden="1" ht="15" customHeight="1" s="192"/>
    <row r="388" hidden="1" ht="15" customHeight="1" s="192"/>
    <row r="389" hidden="1" ht="15" customHeight="1" s="192"/>
    <row r="390" hidden="1" ht="15" customHeight="1" s="192"/>
    <row r="391" hidden="1" ht="15" customHeight="1" s="192"/>
    <row r="392" hidden="1" ht="15" customHeight="1" s="192"/>
    <row r="393" hidden="1" ht="15" customHeight="1" s="192"/>
    <row r="394" hidden="1" ht="15" customHeight="1" s="192"/>
    <row r="395" hidden="1" ht="15" customHeight="1" s="192"/>
    <row r="396" hidden="1" ht="15" customHeight="1" s="192"/>
    <row r="397" hidden="1" ht="15" customHeight="1" s="192"/>
    <row r="398" hidden="1" ht="15" customHeight="1" s="192"/>
    <row r="399" hidden="1" ht="15" customHeight="1" s="192"/>
    <row r="400" hidden="1" ht="15" customHeight="1" s="192"/>
    <row r="401" hidden="1" ht="15" customHeight="1" s="192"/>
    <row r="402" hidden="1" ht="15" customHeight="1" s="192"/>
    <row r="403" hidden="1" ht="15" customHeight="1" s="192"/>
    <row r="404" hidden="1" ht="15" customHeight="1" s="192"/>
    <row r="405" hidden="1" ht="15" customHeight="1" s="192"/>
    <row r="406" hidden="1" ht="15" customHeight="1" s="192"/>
    <row r="407" hidden="1" ht="15" customHeight="1" s="192"/>
    <row r="408" hidden="1" ht="15" customHeight="1" s="192"/>
    <row r="409" hidden="1" ht="15" customHeight="1" s="192"/>
    <row r="410" hidden="1" ht="15" customHeight="1" s="192"/>
    <row r="411" hidden="1" ht="15" customHeight="1" s="192"/>
    <row r="412" hidden="1" ht="15" customHeight="1" s="192"/>
    <row r="413" hidden="1" ht="15" customHeight="1" s="192"/>
    <row r="414" hidden="1" ht="15" customHeight="1" s="192"/>
    <row r="415" hidden="1" ht="15" customHeight="1" s="192"/>
    <row r="416" hidden="1" ht="15" customHeight="1" s="192"/>
    <row r="417" hidden="1" ht="15" customHeight="1" s="192"/>
    <row r="418" hidden="1" ht="15" customHeight="1" s="192"/>
    <row r="419" hidden="1" ht="15" customHeight="1" s="192"/>
    <row r="420" hidden="1" ht="15" customHeight="1" s="192"/>
    <row r="421" hidden="1" ht="15" customHeight="1" s="192"/>
    <row r="422" hidden="1" ht="15" customHeight="1" s="192"/>
    <row r="423" hidden="1" ht="15" customHeight="1" s="192"/>
    <row r="424" hidden="1" ht="15" customHeight="1" s="192"/>
    <row r="425" hidden="1" ht="15" customHeight="1" s="192"/>
    <row r="426" hidden="1" ht="15" customHeight="1" s="192"/>
    <row r="427" hidden="1" ht="15" customHeight="1" s="192"/>
    <row r="428" hidden="1" ht="15" customHeight="1" s="192"/>
    <row r="429" hidden="1" ht="15" customHeight="1" s="192"/>
    <row r="430" hidden="1" ht="15" customHeight="1" s="192"/>
    <row r="431" hidden="1" ht="15" customHeight="1" s="192"/>
    <row r="432" hidden="1" ht="15" customHeight="1" s="192"/>
    <row r="433" hidden="1" ht="15" customHeight="1" s="192"/>
    <row r="434" hidden="1" ht="15" customHeight="1" s="192"/>
    <row r="435" hidden="1" ht="15" customHeight="1" s="192"/>
    <row r="436" hidden="1" ht="15" customHeight="1" s="192"/>
    <row r="437" hidden="1" ht="15" customHeight="1" s="192"/>
    <row r="438" hidden="1" ht="15" customHeight="1" s="192"/>
    <row r="439" hidden="1" ht="15" customHeight="1" s="192"/>
    <row r="440" hidden="1" ht="15" customHeight="1" s="192"/>
    <row r="441" hidden="1" ht="15" customHeight="1" s="192"/>
    <row r="442" hidden="1" ht="15" customHeight="1" s="192"/>
    <row r="443" hidden="1" ht="15" customHeight="1" s="192"/>
    <row r="444" hidden="1" ht="15" customHeight="1" s="192"/>
    <row r="445" hidden="1" ht="15" customHeight="1" s="192"/>
    <row r="446" hidden="1" ht="15" customHeight="1" s="192"/>
    <row r="447" hidden="1" ht="15" customHeight="1" s="192"/>
    <row r="448" hidden="1" ht="15" customHeight="1" s="192"/>
    <row r="449" hidden="1" ht="15" customHeight="1" s="192"/>
    <row r="450" hidden="1" ht="15" customHeight="1" s="192"/>
    <row r="451" hidden="1" ht="15" customHeight="1" s="192"/>
    <row r="452" hidden="1" ht="15" customHeight="1" s="192"/>
    <row r="453" hidden="1" ht="15" customHeight="1" s="192"/>
    <row r="454" hidden="1" ht="15" customHeight="1" s="192"/>
    <row r="455" hidden="1" ht="15" customHeight="1" s="192"/>
    <row r="456" hidden="1" ht="15" customHeight="1" s="192"/>
    <row r="457" hidden="1" ht="15" customHeight="1" s="192"/>
    <row r="458" hidden="1" ht="15" customHeight="1" s="192"/>
    <row r="459" hidden="1" ht="15" customHeight="1" s="192"/>
    <row r="460" hidden="1" ht="15" customHeight="1" s="192"/>
    <row r="461" hidden="1" ht="15" customHeight="1" s="192"/>
    <row r="462" hidden="1" ht="15" customHeight="1" s="192"/>
    <row r="463" hidden="1" ht="15" customHeight="1" s="192"/>
  </sheetData>
  <mergeCells count="22">
    <mergeCell ref="C1:C2"/>
    <mergeCell ref="E1:E2"/>
    <mergeCell ref="K1:K2"/>
    <mergeCell ref="V1:V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S1:S2"/>
    <mergeCell ref="U1:U2"/>
    <mergeCell ref="D1:D2"/>
    <mergeCell ref="R1:R2"/>
    <mergeCell ref="F1:F2"/>
    <mergeCell ref="H1:H2"/>
    <mergeCell ref="J1:J2"/>
    <mergeCell ref="P1:P2"/>
    <mergeCell ref="A1:A2"/>
  </mergeCells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tabColor rgb="FF4F4B4B"/>
    <outlinePr summaryBelow="1" summaryRight="1"/>
    <pageSetUpPr fitToPage="1"/>
  </sheetPr>
  <dimension ref="A1:Q73"/>
  <sheetViews>
    <sheetView showGridLines="0" tabSelected="1" zoomScale="110" zoomScaleNormal="110" workbookViewId="0">
      <pane xSplit="1" ySplit="2" topLeftCell="B44" activePane="bottomRight" state="frozen"/>
      <selection pane="topRight" activeCell="B1" sqref="B1"/>
      <selection pane="bottomLeft" activeCell="A4" sqref="A4"/>
      <selection pane="bottomRight" activeCell="Q3" sqref="Q3:Q73"/>
    </sheetView>
  </sheetViews>
  <sheetFormatPr baseColWidth="8" defaultRowHeight="12.75"/>
  <cols>
    <col width="62.85546875" bestFit="1" customWidth="1" style="79" min="1" max="1"/>
    <col width="9.85546875" customWidth="1" style="79" min="2" max="5"/>
    <col width="10" customWidth="1" style="140" min="6" max="6"/>
    <col width="10.42578125" bestFit="1" customWidth="1" style="79" min="7" max="10"/>
    <col width="10.140625" bestFit="1" customWidth="1" style="140" min="11" max="11"/>
    <col width="10.42578125" bestFit="1" customWidth="1" style="79" min="12" max="12"/>
    <col width="10.42578125" customWidth="1" style="79" min="13" max="13"/>
    <col width="10.42578125" bestFit="1" customWidth="1" style="79" min="14" max="17"/>
    <col width="9.140625" customWidth="1" style="79" min="18" max="16384"/>
  </cols>
  <sheetData>
    <row r="1" ht="12.75" customHeight="1" s="192">
      <c r="A1" s="255" t="inlineStr">
        <is>
          <t>Demonstração de Fluxo de Caixa (R$ mil)</t>
        </is>
      </c>
      <c r="B1" s="256" t="inlineStr">
        <is>
          <t>1T23</t>
        </is>
      </c>
      <c r="C1" s="256" t="inlineStr">
        <is>
          <t>2T23</t>
        </is>
      </c>
      <c r="D1" s="256" t="inlineStr">
        <is>
          <t>3T23</t>
        </is>
      </c>
      <c r="E1" s="256" t="inlineStr">
        <is>
          <t>4T23</t>
        </is>
      </c>
      <c r="F1" s="257" t="n">
        <v>2023</v>
      </c>
      <c r="G1" s="256" t="inlineStr">
        <is>
          <t>1T24</t>
        </is>
      </c>
      <c r="H1" s="256" t="inlineStr">
        <is>
          <t>2T24</t>
        </is>
      </c>
      <c r="I1" s="256" t="inlineStr">
        <is>
          <t>3T24</t>
        </is>
      </c>
      <c r="J1" s="256" t="inlineStr">
        <is>
          <t>4T24</t>
        </is>
      </c>
      <c r="K1" s="257" t="n">
        <v>2024</v>
      </c>
      <c r="L1" s="256" t="inlineStr">
        <is>
          <t>1T25</t>
        </is>
      </c>
      <c r="M1" s="256" t="inlineStr">
        <is>
          <t>2T25</t>
        </is>
      </c>
      <c r="N1" s="256" t="inlineStr">
        <is>
          <t>3T25</t>
        </is>
      </c>
      <c r="O1" s="256" t="inlineStr">
        <is>
          <t>4T25</t>
        </is>
      </c>
      <c r="P1" s="257" t="n">
        <v>2025</v>
      </c>
      <c r="Q1" s="256" t="inlineStr">
        <is>
          <t>1T26</t>
        </is>
      </c>
    </row>
    <row r="2" ht="13.5" customHeight="1" s="192" thickBot="1">
      <c r="A2" s="245" t="n"/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  <c r="O2" s="245" t="n"/>
      <c r="P2" s="245" t="n"/>
      <c r="Q2" s="245" t="n"/>
    </row>
    <row r="3" ht="18" customHeight="1" s="192">
      <c r="A3" s="141" t="inlineStr">
        <is>
          <t>Lucro antes dos tributos sobre o lucro</t>
        </is>
      </c>
      <c r="B3" s="258" t="n">
        <v>1679660</v>
      </c>
      <c r="C3" s="258" t="n">
        <v>1283579</v>
      </c>
      <c r="D3" s="258" t="n">
        <v>309846</v>
      </c>
      <c r="E3" s="258" t="n">
        <v>540972</v>
      </c>
      <c r="F3" s="259" t="n">
        <v>3814057</v>
      </c>
      <c r="G3" s="258" t="n">
        <v>623859</v>
      </c>
      <c r="H3" s="258" t="n">
        <v>434633</v>
      </c>
      <c r="I3" s="258" t="n">
        <v>817170</v>
      </c>
      <c r="J3" s="258" t="n">
        <v>394018</v>
      </c>
      <c r="K3" s="259" t="n">
        <v>2269680</v>
      </c>
      <c r="L3" s="258" t="n">
        <v>768215</v>
      </c>
      <c r="M3" s="258" t="n">
        <v>720541</v>
      </c>
      <c r="N3" s="258" t="n">
        <v>688629</v>
      </c>
      <c r="O3" s="258" t="n">
        <v>202018</v>
      </c>
      <c r="P3" s="259" t="n">
        <v>2379403</v>
      </c>
      <c r="Q3" s="258" t="n">
        <v>-759342</v>
      </c>
    </row>
    <row r="4" ht="18" customHeight="1" s="192">
      <c r="A4" s="144" t="inlineStr">
        <is>
          <t>Depreciação e amortização</t>
        </is>
      </c>
      <c r="B4" s="260" t="n">
        <v>294679</v>
      </c>
      <c r="C4" s="260" t="n">
        <v>515301</v>
      </c>
      <c r="D4" s="260" t="n">
        <v>487091</v>
      </c>
      <c r="E4" s="260" t="n">
        <v>471711</v>
      </c>
      <c r="F4" s="261" t="n">
        <v>1768782</v>
      </c>
      <c r="G4" s="260" t="n">
        <v>492842</v>
      </c>
      <c r="H4" s="260" t="n">
        <v>509058</v>
      </c>
      <c r="I4" s="260" t="n">
        <v>523168</v>
      </c>
      <c r="J4" s="260" t="n">
        <v>594320</v>
      </c>
      <c r="K4" s="261" t="n">
        <v>2119388</v>
      </c>
      <c r="L4" s="260" t="n">
        <v>484397</v>
      </c>
      <c r="M4" s="260" t="n">
        <v>623225</v>
      </c>
      <c r="N4" s="260" t="n">
        <v>584546</v>
      </c>
      <c r="O4" s="260" t="n">
        <v>600287</v>
      </c>
      <c r="P4" s="261" t="n">
        <v>2292455</v>
      </c>
      <c r="Q4" s="260" t="n">
        <v>594543</v>
      </c>
    </row>
    <row r="5" ht="18" customHeight="1" s="192">
      <c r="A5" s="144" t="inlineStr">
        <is>
          <t>Exaustão de ativos biológicos</t>
        </is>
      </c>
      <c r="B5" s="260" t="n">
        <v>416123</v>
      </c>
      <c r="C5" s="260" t="n">
        <v>278896</v>
      </c>
      <c r="D5" s="260" t="n">
        <v>381969</v>
      </c>
      <c r="E5" s="260" t="n">
        <v>480812</v>
      </c>
      <c r="F5" s="261" t="n">
        <v>1557800</v>
      </c>
      <c r="G5" s="260" t="n">
        <v>363771</v>
      </c>
      <c r="H5" s="260" t="n">
        <v>480208</v>
      </c>
      <c r="I5" s="260" t="n">
        <v>490689</v>
      </c>
      <c r="J5" s="260" t="n">
        <v>509498</v>
      </c>
      <c r="K5" s="261" t="n">
        <v>1844166</v>
      </c>
      <c r="L5" s="260" t="n">
        <v>814444</v>
      </c>
      <c r="M5" s="260" t="n">
        <v>503501</v>
      </c>
      <c r="N5" s="260" t="n">
        <v>736148</v>
      </c>
      <c r="O5" s="260" t="n">
        <v>643889</v>
      </c>
      <c r="P5" s="261" t="n">
        <v>2697982</v>
      </c>
      <c r="Q5" s="260" t="n">
        <v>567836</v>
      </c>
    </row>
    <row r="6" ht="18" customHeight="1" s="192">
      <c r="A6" s="144" t="inlineStr">
        <is>
          <t>Variação do valor justo dos ativos biológicos</t>
        </is>
      </c>
      <c r="B6" s="260" t="n">
        <v>-383459</v>
      </c>
      <c r="C6" s="260" t="n">
        <v>-572671</v>
      </c>
      <c r="D6" s="260" t="n">
        <v>-143230</v>
      </c>
      <c r="E6" s="260" t="n">
        <v>-130081</v>
      </c>
      <c r="F6" s="261" t="n">
        <v>-1229441</v>
      </c>
      <c r="G6" s="260" t="n">
        <v>-199648</v>
      </c>
      <c r="H6" s="260" t="n">
        <v>88015</v>
      </c>
      <c r="I6" s="260" t="n">
        <v>-408174</v>
      </c>
      <c r="J6" s="260" t="n">
        <v>-550750</v>
      </c>
      <c r="K6" s="261" t="n">
        <v>-1070557</v>
      </c>
      <c r="L6" s="260" t="n">
        <v>-388044</v>
      </c>
      <c r="M6" s="260" t="n">
        <v>-376627</v>
      </c>
      <c r="N6" s="260" t="n">
        <v>-563149</v>
      </c>
      <c r="O6" s="260" t="n">
        <v>-343541</v>
      </c>
      <c r="P6" s="261" t="n">
        <v>-1671361</v>
      </c>
      <c r="Q6" s="260" t="n">
        <v>550498</v>
      </c>
    </row>
    <row r="7" hidden="1" ht="18" customHeight="1" s="192">
      <c r="A7" s="144" t="inlineStr">
        <is>
          <t>Imposto de renda e contribuição social diferidos</t>
        </is>
      </c>
      <c r="B7" s="260" t="n">
        <v>0</v>
      </c>
      <c r="C7" s="260" t="n">
        <v>0</v>
      </c>
      <c r="D7" s="260" t="n">
        <v>0</v>
      </c>
      <c r="E7" s="260" t="n">
        <v>0</v>
      </c>
      <c r="F7" s="261" t="n">
        <v>0</v>
      </c>
      <c r="G7" s="260" t="n">
        <v>0</v>
      </c>
      <c r="H7" s="260" t="n">
        <v>0</v>
      </c>
      <c r="I7" s="260" t="n">
        <v>0</v>
      </c>
      <c r="J7" s="260" t="n">
        <v>0</v>
      </c>
      <c r="K7" s="261" t="n">
        <v>0</v>
      </c>
      <c r="L7" s="260" t="n"/>
      <c r="M7" s="260" t="n"/>
      <c r="N7" s="260" t="n"/>
      <c r="O7" s="260" t="n"/>
      <c r="P7" s="261" t="n"/>
      <c r="Q7" s="260" t="n"/>
    </row>
    <row r="8" hidden="1" ht="18" customHeight="1" s="192">
      <c r="A8" s="144" t="inlineStr">
        <is>
          <t>Imposto de renda e contribuição social correntes</t>
        </is>
      </c>
      <c r="B8" s="260" t="n">
        <v>0</v>
      </c>
      <c r="C8" s="260" t="n">
        <v>0</v>
      </c>
      <c r="D8" s="260" t="n">
        <v>0</v>
      </c>
      <c r="E8" s="260" t="n">
        <v>0</v>
      </c>
      <c r="F8" s="261" t="n">
        <v>0</v>
      </c>
      <c r="G8" s="260" t="n">
        <v>0</v>
      </c>
      <c r="H8" s="260" t="n">
        <v>0</v>
      </c>
      <c r="I8" s="260" t="n">
        <v>0</v>
      </c>
      <c r="J8" s="260" t="n">
        <v>0</v>
      </c>
      <c r="K8" s="261" t="n">
        <v>0</v>
      </c>
      <c r="L8" s="260" t="n"/>
      <c r="M8" s="260" t="n"/>
      <c r="N8" s="260" t="n"/>
      <c r="O8" s="260" t="n"/>
      <c r="P8" s="261" t="n"/>
      <c r="Q8" s="260" t="n"/>
    </row>
    <row r="9" ht="18" customHeight="1" s="192">
      <c r="A9" s="144" t="inlineStr">
        <is>
          <t>Variação do valor justo de Títulos e valores mobiliários</t>
        </is>
      </c>
      <c r="B9" s="260" t="n">
        <v>-46895</v>
      </c>
      <c r="C9" s="260" t="n">
        <v>-86138</v>
      </c>
      <c r="D9" s="260" t="n">
        <v>28932</v>
      </c>
      <c r="E9" s="260" t="n">
        <v>-35975</v>
      </c>
      <c r="F9" s="261" t="n">
        <v>-140076</v>
      </c>
      <c r="G9" s="260" t="n">
        <v>17989</v>
      </c>
      <c r="H9" s="260" t="n">
        <v>17883</v>
      </c>
      <c r="I9" s="260" t="n">
        <v>-5689</v>
      </c>
      <c r="J9" s="260" t="n">
        <v>36184</v>
      </c>
      <c r="K9" s="261" t="n">
        <v>66367</v>
      </c>
      <c r="L9" s="260" t="n">
        <v>-9401</v>
      </c>
      <c r="M9" s="260" t="n">
        <v>-32838</v>
      </c>
      <c r="N9" s="260" t="n">
        <v>13419</v>
      </c>
      <c r="O9" s="260" t="n">
        <v>-17888</v>
      </c>
      <c r="P9" s="261" t="n">
        <v>-46708</v>
      </c>
      <c r="Q9" s="260" t="n">
        <v>-5182</v>
      </c>
    </row>
    <row r="10" ht="18" customHeight="1" s="192">
      <c r="A10" s="144" t="inlineStr">
        <is>
          <t>Juros e variação monetária</t>
        </is>
      </c>
      <c r="B10" s="260" t="n">
        <v>374412</v>
      </c>
      <c r="C10" s="260" t="n">
        <v>296159</v>
      </c>
      <c r="D10" s="260" t="n">
        <v>991534</v>
      </c>
      <c r="E10" s="260" t="n">
        <v>1247672</v>
      </c>
      <c r="F10" s="261" t="n">
        <v>2909777</v>
      </c>
      <c r="G10" s="260" t="n">
        <v>651800</v>
      </c>
      <c r="H10" s="260" t="n">
        <v>686328</v>
      </c>
      <c r="I10" s="260" t="n">
        <v>645556</v>
      </c>
      <c r="J10" s="260" t="n">
        <v>675444</v>
      </c>
      <c r="K10" s="261" t="n">
        <v>2659128</v>
      </c>
      <c r="L10" s="260" t="n">
        <v>699200</v>
      </c>
      <c r="M10" s="260" t="n">
        <v>699132</v>
      </c>
      <c r="N10" s="260" t="n">
        <v>621480</v>
      </c>
      <c r="O10" s="260" t="n">
        <v>663449</v>
      </c>
      <c r="P10" s="261" t="n">
        <v>2683261</v>
      </c>
      <c r="Q10" s="260" t="n">
        <v>678781</v>
      </c>
    </row>
    <row r="11" ht="18" customHeight="1" s="192">
      <c r="A11" s="144" t="inlineStr">
        <is>
          <t>Variação cambial</t>
        </is>
      </c>
      <c r="B11" s="260" t="n">
        <v>-40146</v>
      </c>
      <c r="C11" s="260" t="n">
        <v>-12558</v>
      </c>
      <c r="D11" s="260" t="n">
        <v>81713</v>
      </c>
      <c r="E11" s="260" t="n">
        <v>58048</v>
      </c>
      <c r="F11" s="261" t="n">
        <v>87057</v>
      </c>
      <c r="G11" s="260" t="n">
        <v>37195</v>
      </c>
      <c r="H11" s="260" t="n">
        <v>138522</v>
      </c>
      <c r="I11" s="260" t="n">
        <v>63086</v>
      </c>
      <c r="J11" s="260" t="n">
        <v>53839</v>
      </c>
      <c r="K11" s="261" t="n">
        <v>292642</v>
      </c>
      <c r="L11" s="260" t="n">
        <v>-137683</v>
      </c>
      <c r="M11" s="260" t="n">
        <v>-55659</v>
      </c>
      <c r="N11" s="260" t="n">
        <v>111080</v>
      </c>
      <c r="O11" s="260" t="n">
        <v>-42948</v>
      </c>
      <c r="P11" s="261" t="n">
        <v>-125210</v>
      </c>
      <c r="Q11" s="260" t="n">
        <v>14182</v>
      </c>
    </row>
    <row r="12" ht="18" customHeight="1" s="192">
      <c r="A12" s="144" t="inlineStr">
        <is>
          <t>Despesa com custo de transação</t>
        </is>
      </c>
      <c r="B12" s="260" t="n"/>
      <c r="C12" s="260" t="n"/>
      <c r="D12" s="260" t="n"/>
      <c r="E12" s="260" t="n"/>
      <c r="F12" s="261" t="n"/>
      <c r="G12" s="260" t="n">
        <v>24214</v>
      </c>
      <c r="H12" s="260" t="n">
        <v>30162</v>
      </c>
      <c r="I12" s="260" t="n">
        <v>28579</v>
      </c>
      <c r="J12" s="260" t="n">
        <v>32659</v>
      </c>
      <c r="K12" s="261" t="n">
        <v>115614</v>
      </c>
      <c r="L12" s="260" t="n">
        <v>33591</v>
      </c>
      <c r="M12" s="260" t="n">
        <v>21476</v>
      </c>
      <c r="N12" s="260" t="n">
        <v>27974</v>
      </c>
      <c r="O12" s="260" t="n">
        <v>40304</v>
      </c>
      <c r="P12" s="261" t="n">
        <v>123345</v>
      </c>
      <c r="Q12" s="260" t="n">
        <v>18644</v>
      </c>
    </row>
    <row r="13" ht="18" customHeight="1" s="192">
      <c r="A13" s="144" t="inlineStr">
        <is>
          <t>Juros de arrendamentos</t>
        </is>
      </c>
      <c r="B13" s="260" t="n">
        <v>26485</v>
      </c>
      <c r="C13" s="260" t="n">
        <v>25526</v>
      </c>
      <c r="D13" s="260" t="n">
        <v>39425</v>
      </c>
      <c r="E13" s="260" t="n">
        <v>51644</v>
      </c>
      <c r="F13" s="261" t="n">
        <v>143080</v>
      </c>
      <c r="G13" s="260" t="n">
        <v>47318</v>
      </c>
      <c r="H13" s="260" t="n">
        <v>44160</v>
      </c>
      <c r="I13" s="260" t="n">
        <v>45702</v>
      </c>
      <c r="J13" s="260" t="n">
        <v>45082</v>
      </c>
      <c r="K13" s="261" t="n">
        <v>182262</v>
      </c>
      <c r="L13" s="260" t="n">
        <v>33459</v>
      </c>
      <c r="M13" s="260" t="n">
        <v>42290</v>
      </c>
      <c r="N13" s="260" t="n">
        <v>38139</v>
      </c>
      <c r="O13" s="260" t="n">
        <v>55227</v>
      </c>
      <c r="P13" s="261" t="n">
        <v>169115</v>
      </c>
      <c r="Q13" s="260" t="n">
        <v>10183</v>
      </c>
    </row>
    <row r="14" ht="18" customHeight="1" s="192">
      <c r="A14" s="144" t="inlineStr">
        <is>
          <t>Ajuste valor presente - risco sacado florestal</t>
        </is>
      </c>
      <c r="B14" s="260" t="n">
        <v>13739</v>
      </c>
      <c r="C14" s="260" t="n">
        <v>20020</v>
      </c>
      <c r="D14" s="260" t="n">
        <v>20903</v>
      </c>
      <c r="E14" s="260" t="n">
        <v>21813</v>
      </c>
      <c r="F14" s="261" t="n">
        <v>76475</v>
      </c>
      <c r="G14" s="260" t="n">
        <v>15569</v>
      </c>
      <c r="H14" s="260" t="n">
        <v>16214</v>
      </c>
      <c r="I14" s="260" t="n">
        <v>20559</v>
      </c>
      <c r="J14" s="260" t="n">
        <v>24296</v>
      </c>
      <c r="K14" s="261" t="n">
        <v>76638</v>
      </c>
      <c r="L14" s="260" t="n">
        <v>26802</v>
      </c>
      <c r="M14" s="260" t="n">
        <v>26608</v>
      </c>
      <c r="N14" s="260" t="n">
        <v>39140</v>
      </c>
      <c r="O14" s="260" t="n">
        <v>40477</v>
      </c>
      <c r="P14" s="261" t="n">
        <v>133027</v>
      </c>
      <c r="Q14" s="260" t="n">
        <v>46257</v>
      </c>
    </row>
    <row r="15" ht="18" customHeight="1" s="192">
      <c r="A15" s="144" t="inlineStr">
        <is>
          <t>Instrumentos financeiros derivativos</t>
        </is>
      </c>
      <c r="B15" s="260" t="n">
        <v>-294677</v>
      </c>
      <c r="C15" s="260" t="n">
        <v>-304549</v>
      </c>
      <c r="D15" s="260" t="n">
        <v>-206940</v>
      </c>
      <c r="E15" s="260" t="n">
        <v>-259177</v>
      </c>
      <c r="F15" s="261" t="n">
        <v>-1065343</v>
      </c>
      <c r="G15" s="260" t="n">
        <v>-245993</v>
      </c>
      <c r="H15" s="260" t="n">
        <v>-223255</v>
      </c>
      <c r="I15" s="260" t="n">
        <v>-171853</v>
      </c>
      <c r="J15" s="260" t="n">
        <v>-128542</v>
      </c>
      <c r="K15" s="261" t="n">
        <v>-769643</v>
      </c>
      <c r="L15" s="260" t="n">
        <v>-457126</v>
      </c>
      <c r="M15" s="260" t="n">
        <v>-133332</v>
      </c>
      <c r="N15" s="260" t="n">
        <v>-57938</v>
      </c>
      <c r="O15" s="260" t="n">
        <v>91450</v>
      </c>
      <c r="P15" s="261" t="n">
        <v>-556946</v>
      </c>
      <c r="Q15" s="260" t="n">
        <v>-77892</v>
      </c>
    </row>
    <row r="16" ht="18" customHeight="1" s="192">
      <c r="A16" s="144" t="inlineStr">
        <is>
          <t>Realização da reserva de hedge</t>
        </is>
      </c>
      <c r="B16" s="260" t="n">
        <v>-3116</v>
      </c>
      <c r="C16" s="260" t="n">
        <v>-1942</v>
      </c>
      <c r="D16" s="260" t="n">
        <v>-4278</v>
      </c>
      <c r="E16" s="260" t="n">
        <v>-436</v>
      </c>
      <c r="F16" s="261" t="n">
        <v>-9772</v>
      </c>
      <c r="G16" s="260" t="n">
        <v>-4555</v>
      </c>
      <c r="H16" s="260" t="n">
        <v>-18861</v>
      </c>
      <c r="I16" s="260" t="n">
        <v>-19443</v>
      </c>
      <c r="J16" s="260" t="n">
        <v>71634</v>
      </c>
      <c r="K16" s="261" t="n">
        <v>28775</v>
      </c>
      <c r="L16" s="260" t="n">
        <v>21616</v>
      </c>
      <c r="M16" s="260" t="n">
        <v>26933</v>
      </c>
      <c r="N16" s="260" t="n">
        <v>-9036</v>
      </c>
      <c r="O16" s="260" t="n">
        <v>41012</v>
      </c>
      <c r="P16" s="261" t="n">
        <v>80525</v>
      </c>
      <c r="Q16" s="260" t="n">
        <v>86048</v>
      </c>
    </row>
    <row r="17" ht="18" customHeight="1" s="192">
      <c r="A17" s="144" t="inlineStr">
        <is>
          <t>Rendimentos sobre aplicações financeiras</t>
        </is>
      </c>
      <c r="B17" s="260" t="n">
        <v>-156151</v>
      </c>
      <c r="C17" s="260" t="n">
        <v>-150390</v>
      </c>
      <c r="D17" s="260" t="n">
        <v>-173298</v>
      </c>
      <c r="E17" s="260" t="n">
        <v>-215247</v>
      </c>
      <c r="F17" s="261" t="n">
        <v>-695086</v>
      </c>
      <c r="G17" s="260" t="n">
        <v>-220492</v>
      </c>
      <c r="H17" s="260" t="n">
        <v>-212729</v>
      </c>
      <c r="I17" s="260" t="n">
        <v>-189792</v>
      </c>
      <c r="J17" s="260" t="n">
        <v>-154571</v>
      </c>
      <c r="K17" s="261" t="n">
        <v>-777584</v>
      </c>
      <c r="L17" s="260" t="n">
        <v>-156290</v>
      </c>
      <c r="M17" s="260" t="n">
        <v>-163810</v>
      </c>
      <c r="N17" s="260" t="n">
        <v>-226381</v>
      </c>
      <c r="O17" s="260" t="n">
        <v>-235414</v>
      </c>
      <c r="P17" s="261" t="n">
        <v>-781895</v>
      </c>
      <c r="Q17" s="260" t="n">
        <v>-228091</v>
      </c>
    </row>
    <row r="18" ht="18" customHeight="1" s="192">
      <c r="A18" s="144" t="inlineStr">
        <is>
          <t>Perdas estimadas de crédito de liquidação duvidosa (PECLD)</t>
        </is>
      </c>
      <c r="B18" s="260" t="n">
        <v>3583</v>
      </c>
      <c r="C18" s="260" t="n">
        <v>-5200</v>
      </c>
      <c r="D18" s="260" t="n">
        <v>-8576</v>
      </c>
      <c r="E18" s="260" t="n">
        <v>940</v>
      </c>
      <c r="F18" s="261" t="n">
        <v>-9253</v>
      </c>
      <c r="G18" s="260" t="n">
        <v>1082</v>
      </c>
      <c r="H18" s="260" t="n">
        <v>-7336</v>
      </c>
      <c r="I18" s="260" t="n">
        <v>-2772</v>
      </c>
      <c r="J18" s="260" t="n">
        <v>-1095.9996162024</v>
      </c>
      <c r="K18" s="261" t="n">
        <v>-10121.9996162024</v>
      </c>
      <c r="L18" s="260" t="n">
        <v>1811</v>
      </c>
      <c r="M18" s="260" t="n">
        <v>-8530</v>
      </c>
      <c r="N18" s="260" t="n">
        <v>16593</v>
      </c>
      <c r="O18" s="260" t="n">
        <v>-2955</v>
      </c>
      <c r="P18" s="261" t="n">
        <v>6919</v>
      </c>
      <c r="Q18" s="260" t="n">
        <v>162</v>
      </c>
    </row>
    <row r="19" ht="18" customHeight="1" s="192">
      <c r="A19" s="144" t="inlineStr">
        <is>
          <t>Perdas estimadas com estoque</t>
        </is>
      </c>
      <c r="B19" s="260" t="n">
        <v>26301</v>
      </c>
      <c r="C19" s="260" t="n">
        <v>16791</v>
      </c>
      <c r="D19" s="260" t="n">
        <v>28426</v>
      </c>
      <c r="E19" s="260" t="n">
        <v>30056</v>
      </c>
      <c r="F19" s="261" t="n">
        <v>101574</v>
      </c>
      <c r="G19" s="260" t="n">
        <v>11425</v>
      </c>
      <c r="H19" s="260" t="n">
        <v>8254</v>
      </c>
      <c r="I19" s="260" t="n">
        <v>20964</v>
      </c>
      <c r="J19" s="260" t="n">
        <v>9534</v>
      </c>
      <c r="K19" s="261" t="n">
        <v>50177</v>
      </c>
      <c r="L19" s="260" t="n">
        <v>12547</v>
      </c>
      <c r="M19" s="260" t="n">
        <v>-2332</v>
      </c>
      <c r="N19" s="260" t="n">
        <v>23276</v>
      </c>
      <c r="O19" s="260" t="n">
        <v>12346</v>
      </c>
      <c r="P19" s="261" t="n">
        <v>45837</v>
      </c>
      <c r="Q19" s="260" t="n">
        <v>-6803</v>
      </c>
    </row>
    <row r="20" ht="18" customHeight="1" s="192">
      <c r="A20" s="144" t="inlineStr">
        <is>
          <t>Resultado na alienação de ativos</t>
        </is>
      </c>
      <c r="B20" s="260" t="n">
        <v>48</v>
      </c>
      <c r="C20" s="260" t="n">
        <v>-409</v>
      </c>
      <c r="D20" s="260" t="n">
        <v>312</v>
      </c>
      <c r="E20" s="260" t="n">
        <v>-5389</v>
      </c>
      <c r="F20" s="261" t="n">
        <v>-5438</v>
      </c>
      <c r="G20" s="260" t="n">
        <v>-302</v>
      </c>
      <c r="H20" s="260" t="n">
        <v>-883</v>
      </c>
      <c r="I20" s="260" t="n">
        <v>6197</v>
      </c>
      <c r="J20" s="260" t="n">
        <v>21680</v>
      </c>
      <c r="K20" s="261" t="n">
        <v>26692</v>
      </c>
      <c r="L20" s="260" t="inlineStr">
        <is>
          <t>-</t>
        </is>
      </c>
      <c r="M20" s="260" t="inlineStr">
        <is>
          <t>-</t>
        </is>
      </c>
      <c r="N20" s="260" t="n">
        <v>-74345</v>
      </c>
      <c r="O20" s="260" t="n">
        <v>-179878</v>
      </c>
      <c r="P20" s="261" t="n">
        <v>-254223</v>
      </c>
      <c r="Q20" s="260" t="n">
        <v>-64378</v>
      </c>
    </row>
    <row r="21" ht="18" customHeight="1" s="192">
      <c r="A21" s="144" t="inlineStr">
        <is>
          <t>Resultado de equivalência patrimonial</t>
        </is>
      </c>
      <c r="B21" s="260" t="n">
        <v>-3415</v>
      </c>
      <c r="C21" s="260" t="n">
        <v>-2721</v>
      </c>
      <c r="D21" s="260" t="n">
        <v>-3969</v>
      </c>
      <c r="E21" s="260" t="n">
        <v>-4583</v>
      </c>
      <c r="F21" s="261" t="n">
        <v>-14688</v>
      </c>
      <c r="G21" s="260" t="n">
        <v>-2415</v>
      </c>
      <c r="H21" s="260" t="n">
        <v>-3634</v>
      </c>
      <c r="I21" s="260" t="n">
        <v>-1238</v>
      </c>
      <c r="J21" s="260" t="n">
        <v>-17760</v>
      </c>
      <c r="K21" s="261" t="n">
        <v>-25047</v>
      </c>
      <c r="L21" s="260" t="n">
        <v>-252</v>
      </c>
      <c r="M21" s="260" t="n">
        <v>-512</v>
      </c>
      <c r="N21" s="260" t="n">
        <v>-377</v>
      </c>
      <c r="O21" s="260" t="n">
        <v>1574</v>
      </c>
      <c r="P21" s="261" t="n">
        <v>433</v>
      </c>
      <c r="Q21" s="260" t="n">
        <v>-1935</v>
      </c>
    </row>
    <row r="22" ht="18" customHeight="1" s="192">
      <c r="A22" s="144" t="inlineStr">
        <is>
          <t>Provisão para processos judiciais e administrativos</t>
        </is>
      </c>
      <c r="B22" s="260" t="n">
        <v>204</v>
      </c>
      <c r="C22" s="260" t="n">
        <v>1884</v>
      </c>
      <c r="D22" s="260" t="n">
        <v>4080</v>
      </c>
      <c r="E22" s="260" t="n">
        <v>566</v>
      </c>
      <c r="F22" s="261" t="n">
        <v>6734</v>
      </c>
      <c r="G22" s="260" t="n">
        <v>20692</v>
      </c>
      <c r="H22" s="260" t="n">
        <v>10936</v>
      </c>
      <c r="I22" s="260" t="n">
        <v>264184</v>
      </c>
      <c r="J22" s="260" t="n">
        <v>42844</v>
      </c>
      <c r="K22" s="261" t="n">
        <v>338656</v>
      </c>
      <c r="L22" s="260" t="n">
        <v>29600</v>
      </c>
      <c r="M22" s="260" t="n">
        <v>73129</v>
      </c>
      <c r="N22" s="260" t="n">
        <v>234</v>
      </c>
      <c r="O22" s="260" t="n">
        <v>-9474</v>
      </c>
      <c r="P22" s="261" t="n">
        <v>93489</v>
      </c>
      <c r="Q22" s="260" t="n">
        <v>41748</v>
      </c>
    </row>
    <row r="23" hidden="1" ht="18" customHeight="1" s="192">
      <c r="A23" s="144" t="inlineStr">
        <is>
          <t>Juros, variação monet. de debêntures</t>
        </is>
      </c>
      <c r="B23" s="260" t="n">
        <v>0</v>
      </c>
      <c r="C23" s="260" t="n">
        <v>0</v>
      </c>
      <c r="D23" s="260" t="n">
        <v>0</v>
      </c>
      <c r="E23" s="260" t="n">
        <v>0</v>
      </c>
      <c r="F23" s="261" t="n">
        <v>0</v>
      </c>
      <c r="G23" s="260" t="n">
        <v>0</v>
      </c>
      <c r="H23" s="260" t="n">
        <v>0</v>
      </c>
      <c r="I23" s="260" t="n">
        <v>0</v>
      </c>
      <c r="J23" s="260" t="n">
        <v>0</v>
      </c>
      <c r="K23" s="261" t="n">
        <v>0</v>
      </c>
      <c r="L23" s="260" t="e">
        <v>#N/A</v>
      </c>
      <c r="M23" s="260" t="n"/>
      <c r="N23" s="260" t="n"/>
      <c r="O23" s="260" t="n"/>
      <c r="P23" s="261" t="n"/>
      <c r="Q23" s="260" t="n"/>
    </row>
    <row r="24" hidden="1" ht="18" customHeight="1" s="192">
      <c r="A24" s="144" t="inlineStr">
        <is>
          <t>Amortização ajuste a valor presente de debêntures</t>
        </is>
      </c>
      <c r="B24" s="260" t="n">
        <v>0</v>
      </c>
      <c r="C24" s="260" t="n">
        <v>0</v>
      </c>
      <c r="D24" s="260" t="n">
        <v>0</v>
      </c>
      <c r="E24" s="260" t="n">
        <v>0</v>
      </c>
      <c r="F24" s="261" t="n">
        <v>0</v>
      </c>
      <c r="G24" s="260" t="n">
        <v>0</v>
      </c>
      <c r="H24" s="260" t="n">
        <v>0</v>
      </c>
      <c r="I24" s="260" t="n">
        <v>0</v>
      </c>
      <c r="J24" s="260" t="n">
        <v>0</v>
      </c>
      <c r="K24" s="261" t="n">
        <v>0</v>
      </c>
      <c r="L24" s="260" t="e">
        <v>#N/A</v>
      </c>
      <c r="M24" s="260" t="n"/>
      <c r="N24" s="260" t="n"/>
      <c r="O24" s="260" t="n"/>
      <c r="P24" s="261" t="n"/>
      <c r="Q24" s="260" t="n"/>
    </row>
    <row r="25" hidden="1" ht="18" customHeight="1" s="192">
      <c r="A25" s="144" t="inlineStr">
        <is>
          <t>Provisão de juros - REFIS</t>
        </is>
      </c>
      <c r="B25" s="260" t="n">
        <v>0</v>
      </c>
      <c r="C25" s="260" t="n">
        <v>0</v>
      </c>
      <c r="D25" s="260" t="n">
        <v>0</v>
      </c>
      <c r="E25" s="260" t="n">
        <v>0</v>
      </c>
      <c r="F25" s="261" t="n">
        <v>0</v>
      </c>
      <c r="G25" s="260" t="n">
        <v>0</v>
      </c>
      <c r="H25" s="260" t="n">
        <v>0</v>
      </c>
      <c r="I25" s="260" t="n">
        <v>0</v>
      </c>
      <c r="J25" s="260" t="n">
        <v>0</v>
      </c>
      <c r="K25" s="261" t="n">
        <v>0</v>
      </c>
      <c r="L25" s="260" t="e">
        <v>#N/A</v>
      </c>
      <c r="M25" s="260" t="n"/>
      <c r="N25" s="260" t="n"/>
      <c r="O25" s="260" t="n"/>
      <c r="P25" s="261" t="n"/>
      <c r="Q25" s="260" t="n"/>
    </row>
    <row r="26" hidden="1" ht="18" customHeight="1" s="192">
      <c r="A26" s="144" t="inlineStr">
        <is>
          <t>Ganho de compra vantajosa</t>
        </is>
      </c>
      <c r="B26" s="260" t="n">
        <v>0</v>
      </c>
      <c r="C26" s="260" t="n">
        <v>0</v>
      </c>
      <c r="D26" s="260" t="n">
        <v>0</v>
      </c>
      <c r="E26" s="260" t="n">
        <v>0</v>
      </c>
      <c r="F26" s="261" t="n">
        <v>0</v>
      </c>
      <c r="G26" s="260" t="n">
        <v>0</v>
      </c>
      <c r="H26" s="260" t="n">
        <v>0</v>
      </c>
      <c r="I26" s="260" t="n">
        <v>0</v>
      </c>
      <c r="J26" s="260" t="n">
        <v>0</v>
      </c>
      <c r="K26" s="261" t="n">
        <v>0</v>
      </c>
      <c r="L26" s="260" t="e">
        <v>#N/A</v>
      </c>
      <c r="M26" s="260" t="n"/>
      <c r="N26" s="260" t="n"/>
      <c r="O26" s="260" t="n"/>
      <c r="P26" s="261" t="n"/>
      <c r="Q26" s="260" t="n"/>
    </row>
    <row r="27" ht="18" customHeight="1" s="192">
      <c r="A27" s="144" t="inlineStr">
        <is>
          <t>Outras</t>
        </is>
      </c>
      <c r="B27" s="260" t="n">
        <v>-22648</v>
      </c>
      <c r="C27" s="260" t="n">
        <v>-3748</v>
      </c>
      <c r="D27" s="260" t="n">
        <v>183479.7399200001</v>
      </c>
      <c r="E27" s="260" t="n">
        <v>-141126.7399200001</v>
      </c>
      <c r="F27" s="261" t="n">
        <v>15957</v>
      </c>
      <c r="G27" s="260" t="n">
        <v>-18042</v>
      </c>
      <c r="H27" s="260" t="n">
        <v>23730</v>
      </c>
      <c r="I27" s="260" t="n">
        <v>-15902</v>
      </c>
      <c r="J27" s="260" t="n">
        <v>-50902</v>
      </c>
      <c r="K27" s="261" t="n">
        <v>-61116</v>
      </c>
      <c r="L27" s="260" t="n">
        <v>4838</v>
      </c>
      <c r="M27" s="260" t="n">
        <v>6705</v>
      </c>
      <c r="N27" s="260" t="n">
        <v>7029</v>
      </c>
      <c r="O27" s="260" t="n">
        <v>-39734</v>
      </c>
      <c r="P27" s="261" t="n">
        <v>-21162</v>
      </c>
      <c r="Q27" s="260" t="n">
        <v>5995</v>
      </c>
    </row>
    <row r="28" hidden="1" ht="18" customHeight="1" s="192">
      <c r="A28" s="141" t="inlineStr">
        <is>
          <t>Variações nos Ativos e Passivos</t>
        </is>
      </c>
      <c r="B28" s="258" t="n">
        <v>0</v>
      </c>
      <c r="C28" s="258" t="n">
        <v>0</v>
      </c>
      <c r="D28" s="258" t="n">
        <v>0</v>
      </c>
      <c r="E28" s="258" t="n">
        <v>0</v>
      </c>
      <c r="F28" s="259" t="n">
        <v>0</v>
      </c>
      <c r="G28" s="258" t="n">
        <v>0</v>
      </c>
      <c r="H28" s="258" t="n">
        <v>0</v>
      </c>
      <c r="I28" s="258" t="n">
        <v>0</v>
      </c>
      <c r="J28" s="258" t="n">
        <v>0</v>
      </c>
      <c r="K28" s="259" t="n">
        <v>0</v>
      </c>
      <c r="L28" s="258" t="n">
        <v>0</v>
      </c>
      <c r="M28" s="258" t="n"/>
      <c r="N28" s="258" t="n"/>
      <c r="O28" s="258" t="n">
        <v>0</v>
      </c>
      <c r="P28" s="259" t="n"/>
      <c r="Q28" s="258" t="n"/>
    </row>
    <row r="29" ht="18" customHeight="1" s="192">
      <c r="A29" s="144" t="inlineStr">
        <is>
          <t>Contas a receber de clientes e partes relacionadas</t>
        </is>
      </c>
      <c r="B29" s="260" t="n">
        <v>146333</v>
      </c>
      <c r="C29" s="260" t="n">
        <v>18043</v>
      </c>
      <c r="D29" s="260" t="n">
        <v>-2553</v>
      </c>
      <c r="E29" s="260" t="n">
        <v>-212217</v>
      </c>
      <c r="F29" s="261" t="n">
        <v>-50394</v>
      </c>
      <c r="G29" s="260" t="n">
        <v>134581</v>
      </c>
      <c r="H29" s="260" t="n">
        <v>755409</v>
      </c>
      <c r="I29" s="260" t="n">
        <v>10106</v>
      </c>
      <c r="J29" s="260" t="n">
        <v>-137045.0003837976</v>
      </c>
      <c r="K29" s="261" t="n">
        <v>763050.9996162024</v>
      </c>
      <c r="L29" s="260" t="n">
        <v>58953</v>
      </c>
      <c r="M29" s="260" t="n">
        <v>-203055</v>
      </c>
      <c r="N29" s="260" t="n">
        <v>-271420</v>
      </c>
      <c r="O29" s="260" t="n">
        <v>-447664</v>
      </c>
      <c r="P29" s="261" t="n">
        <v>-863186</v>
      </c>
      <c r="Q29" s="260" t="n">
        <v>77924</v>
      </c>
    </row>
    <row r="30" ht="18" customHeight="1" s="192">
      <c r="A30" s="144" t="inlineStr">
        <is>
          <t>Estoques</t>
        </is>
      </c>
      <c r="B30" s="260" t="n">
        <v>-188215</v>
      </c>
      <c r="C30" s="260" t="n">
        <v>-132082</v>
      </c>
      <c r="D30" s="260" t="n">
        <v>27045</v>
      </c>
      <c r="E30" s="260" t="n">
        <v>873660</v>
      </c>
      <c r="F30" s="261" t="n">
        <v>580408</v>
      </c>
      <c r="G30" s="260" t="n">
        <v>138954</v>
      </c>
      <c r="H30" s="260" t="n">
        <v>117217</v>
      </c>
      <c r="I30" s="260" t="n">
        <v>433661</v>
      </c>
      <c r="J30" s="260" t="n">
        <v>491836</v>
      </c>
      <c r="K30" s="261" t="n">
        <v>1181607</v>
      </c>
      <c r="L30" s="260" t="n">
        <v>300791</v>
      </c>
      <c r="M30" s="260" t="n">
        <v>-572961</v>
      </c>
      <c r="N30" s="260" t="n">
        <v>422950</v>
      </c>
      <c r="O30" s="260" t="n">
        <v>216938</v>
      </c>
      <c r="P30" s="261" t="n">
        <v>367718</v>
      </c>
      <c r="Q30" s="260" t="n">
        <v>159574</v>
      </c>
    </row>
    <row r="31" ht="18" customHeight="1" s="192">
      <c r="A31" s="144" t="inlineStr">
        <is>
          <t>Tributos a recuperar</t>
        </is>
      </c>
      <c r="B31" s="260" t="n">
        <v>309970</v>
      </c>
      <c r="C31" s="260" t="n">
        <v>44014</v>
      </c>
      <c r="D31" s="260" t="n">
        <v>-129040</v>
      </c>
      <c r="E31" s="260" t="n">
        <v>-357630</v>
      </c>
      <c r="F31" s="261" t="n">
        <v>-132686</v>
      </c>
      <c r="G31" s="260" t="n">
        <v>249462</v>
      </c>
      <c r="H31" s="260" t="n">
        <v>284168</v>
      </c>
      <c r="I31" s="260" t="n">
        <v>-193715</v>
      </c>
      <c r="J31" s="260" t="n">
        <v>-353979</v>
      </c>
      <c r="K31" s="261" t="n">
        <v>-14064</v>
      </c>
      <c r="L31" s="260" t="n">
        <v>9101</v>
      </c>
      <c r="M31" s="260" t="n">
        <v>10467</v>
      </c>
      <c r="N31" s="260" t="n">
        <v>185541</v>
      </c>
      <c r="O31" s="260" t="n">
        <v>75290</v>
      </c>
      <c r="P31" s="261" t="n">
        <v>280399</v>
      </c>
      <c r="Q31" s="260" t="n">
        <v>25380</v>
      </c>
    </row>
    <row r="32" hidden="1" ht="18" customHeight="1" s="192">
      <c r="A32" s="144" t="inlineStr">
        <is>
          <t>Despesas antecipadas</t>
        </is>
      </c>
      <c r="B32" s="260" t="n">
        <v>0</v>
      </c>
      <c r="C32" s="260" t="n">
        <v>0</v>
      </c>
      <c r="D32" s="260" t="n">
        <v>0</v>
      </c>
      <c r="E32" s="260" t="n">
        <v>0</v>
      </c>
      <c r="F32" s="261" t="n">
        <v>0</v>
      </c>
      <c r="G32" s="260" t="n">
        <v>0</v>
      </c>
      <c r="H32" s="260" t="n">
        <v>0</v>
      </c>
      <c r="I32" s="260" t="n">
        <v>0</v>
      </c>
      <c r="J32" s="260" t="n">
        <v>0</v>
      </c>
      <c r="K32" s="261" t="n">
        <v>0</v>
      </c>
      <c r="L32" s="260" t="n">
        <v>0</v>
      </c>
      <c r="M32" s="260" t="n"/>
      <c r="N32" s="260" t="n"/>
      <c r="O32" s="260" t="n"/>
      <c r="P32" s="261" t="n"/>
      <c r="Q32" s="260" t="n"/>
    </row>
    <row r="33" ht="18" customHeight="1" s="192">
      <c r="A33" s="144" t="inlineStr">
        <is>
          <t>Outros ativos</t>
        </is>
      </c>
      <c r="B33" s="260" t="n">
        <v>-241770</v>
      </c>
      <c r="C33" s="260" t="n">
        <v>265926</v>
      </c>
      <c r="D33" s="260" t="n">
        <v>35190</v>
      </c>
      <c r="E33" s="260" t="n">
        <v>-16936</v>
      </c>
      <c r="F33" s="261" t="n">
        <v>42410</v>
      </c>
      <c r="G33" s="260" t="n">
        <v>31493</v>
      </c>
      <c r="H33" s="260" t="n">
        <v>-35763</v>
      </c>
      <c r="I33" s="260" t="n">
        <v>14548</v>
      </c>
      <c r="J33" s="260" t="n">
        <v>373265</v>
      </c>
      <c r="K33" s="261" t="n">
        <v>383543</v>
      </c>
      <c r="L33" s="260" t="n">
        <v>-48643</v>
      </c>
      <c r="M33" s="260" t="n">
        <v>-38185</v>
      </c>
      <c r="N33" s="260" t="n">
        <v>-125541</v>
      </c>
      <c r="O33" s="260" t="n">
        <v>317696</v>
      </c>
      <c r="P33" s="261" t="n">
        <v>105327</v>
      </c>
      <c r="Q33" s="260" t="n">
        <v>56733</v>
      </c>
    </row>
    <row r="34" ht="18" customHeight="1" s="192">
      <c r="A34" s="144" t="inlineStr">
        <is>
          <t>Fornecedores, risco sacado e risco sacado florestal</t>
        </is>
      </c>
      <c r="B34" s="260" t="n">
        <v>-500788</v>
      </c>
      <c r="C34" s="260" t="n">
        <v>196427</v>
      </c>
      <c r="D34" s="260" t="n">
        <v>-188975</v>
      </c>
      <c r="E34" s="260" t="n">
        <v>-312145</v>
      </c>
      <c r="F34" s="261" t="n">
        <v>-805481</v>
      </c>
      <c r="G34" s="260" t="n">
        <v>-285844</v>
      </c>
      <c r="H34" s="260" t="n">
        <v>-294122</v>
      </c>
      <c r="I34" s="260" t="n">
        <v>-32796</v>
      </c>
      <c r="J34" s="260" t="n">
        <v>-257547</v>
      </c>
      <c r="K34" s="261" t="n">
        <v>-870309</v>
      </c>
      <c r="L34" s="260" t="n">
        <v>-174606</v>
      </c>
      <c r="M34" s="260" t="n">
        <v>632275</v>
      </c>
      <c r="N34" s="260" t="n">
        <v>-373915</v>
      </c>
      <c r="O34" s="260" t="n">
        <v>-359274</v>
      </c>
      <c r="P34" s="261" t="n">
        <v>-275520</v>
      </c>
      <c r="Q34" s="260" t="n">
        <v>-522379</v>
      </c>
    </row>
    <row r="35" ht="18" customHeight="1" s="192">
      <c r="A35" s="144" t="inlineStr">
        <is>
          <t>Obrigações fiscais</t>
        </is>
      </c>
      <c r="B35" s="260" t="n">
        <v>31479</v>
      </c>
      <c r="C35" s="260" t="n">
        <v>-10740</v>
      </c>
      <c r="D35" s="260" t="n">
        <v>10549</v>
      </c>
      <c r="E35" s="260" t="n">
        <v>-138953</v>
      </c>
      <c r="F35" s="261" t="n">
        <v>-107665</v>
      </c>
      <c r="G35" s="260" t="n">
        <v>-215349</v>
      </c>
      <c r="H35" s="260" t="n">
        <v>-362096</v>
      </c>
      <c r="I35" s="260" t="n">
        <v>-18522</v>
      </c>
      <c r="J35" s="260" t="n">
        <v>352323</v>
      </c>
      <c r="K35" s="261" t="n">
        <v>-243644</v>
      </c>
      <c r="L35" s="260" t="n">
        <v>50261</v>
      </c>
      <c r="M35" s="260" t="n">
        <v>-72509</v>
      </c>
      <c r="N35" s="260" t="n">
        <v>-28713</v>
      </c>
      <c r="O35" s="260" t="n">
        <v>-36779</v>
      </c>
      <c r="P35" s="261" t="n">
        <v>-87740</v>
      </c>
      <c r="Q35" s="260" t="n">
        <v>22862</v>
      </c>
    </row>
    <row r="36" ht="18" customHeight="1" s="192">
      <c r="A36" s="144" t="inlineStr">
        <is>
          <t>Obrigações sociais e trabalhistas</t>
        </is>
      </c>
      <c r="B36" s="260" t="n">
        <v>-147660</v>
      </c>
      <c r="C36" s="260" t="n">
        <v>104176</v>
      </c>
      <c r="D36" s="260" t="n">
        <v>73495</v>
      </c>
      <c r="E36" s="260" t="n">
        <v>-58974</v>
      </c>
      <c r="F36" s="261" t="n">
        <v>-28963</v>
      </c>
      <c r="G36" s="260" t="n">
        <v>-116374</v>
      </c>
      <c r="H36" s="260" t="n">
        <v>102397</v>
      </c>
      <c r="I36" s="260" t="n">
        <v>130196</v>
      </c>
      <c r="J36" s="260" t="n">
        <v>-54500</v>
      </c>
      <c r="K36" s="261" t="n">
        <v>61719</v>
      </c>
      <c r="L36" s="260" t="n">
        <v>-141655</v>
      </c>
      <c r="M36" s="260" t="n">
        <v>88641</v>
      </c>
      <c r="N36" s="260" t="n">
        <v>112101</v>
      </c>
      <c r="O36" s="260" t="n">
        <v>-30172</v>
      </c>
      <c r="P36" s="261" t="n">
        <v>28915</v>
      </c>
      <c r="Q36" s="260" t="n">
        <v>-155121</v>
      </c>
    </row>
    <row r="37" ht="18" customHeight="1" s="192">
      <c r="A37" s="144" t="inlineStr">
        <is>
          <t>Outros passivos</t>
        </is>
      </c>
      <c r="B37" s="260" t="n">
        <v>191240</v>
      </c>
      <c r="C37" s="260" t="n">
        <v>-85172</v>
      </c>
      <c r="D37" s="260" t="n">
        <v>-204249</v>
      </c>
      <c r="E37" s="260" t="n">
        <v>201373</v>
      </c>
      <c r="F37" s="261" t="n">
        <v>103192</v>
      </c>
      <c r="G37" s="260" t="n">
        <v>56553</v>
      </c>
      <c r="H37" s="260" t="n">
        <v>249320</v>
      </c>
      <c r="I37" s="260" t="n">
        <v>-573250</v>
      </c>
      <c r="J37" s="260" t="n">
        <v>252403</v>
      </c>
      <c r="K37" s="261" t="n">
        <v>-14974</v>
      </c>
      <c r="L37" s="260" t="n">
        <v>167268</v>
      </c>
      <c r="M37" s="260" t="n">
        <v>-46334</v>
      </c>
      <c r="N37" s="260" t="n">
        <v>8857</v>
      </c>
      <c r="O37" s="260" t="n">
        <v>-35405</v>
      </c>
      <c r="P37" s="261" t="n">
        <v>94386</v>
      </c>
      <c r="Q37" s="260" t="n">
        <v>257140</v>
      </c>
    </row>
    <row r="38" hidden="1" ht="18" customHeight="1" s="192">
      <c r="A38" s="144" t="inlineStr">
        <is>
          <t>Variação de ativos e passivos em incorporação</t>
        </is>
      </c>
      <c r="B38" s="260" t="n">
        <v>0</v>
      </c>
      <c r="C38" s="260" t="n">
        <v>0</v>
      </c>
      <c r="D38" s="260" t="n">
        <v>0</v>
      </c>
      <c r="E38" s="260" t="n">
        <v>0</v>
      </c>
      <c r="F38" s="261" t="n">
        <v>0</v>
      </c>
      <c r="G38" s="260" t="n">
        <v>0</v>
      </c>
      <c r="H38" s="260" t="n">
        <v>0</v>
      </c>
      <c r="I38" s="260" t="n">
        <v>0</v>
      </c>
      <c r="J38" s="260" t="n">
        <v>0</v>
      </c>
      <c r="K38" s="261" t="n">
        <v>0</v>
      </c>
      <c r="L38" s="260" t="n"/>
      <c r="M38" s="260" t="n"/>
      <c r="N38" s="260" t="n"/>
      <c r="O38" s="260" t="n"/>
      <c r="P38" s="261" t="n"/>
      <c r="Q38" s="260" t="n"/>
    </row>
    <row r="39" ht="18" customHeight="1" s="192">
      <c r="A39" s="141" t="inlineStr">
        <is>
          <t>Caixa gerado nas operações</t>
        </is>
      </c>
      <c r="B39" s="258" t="n">
        <v>1485316</v>
      </c>
      <c r="C39" s="258" t="n">
        <v>1698422</v>
      </c>
      <c r="D39" s="258" t="n">
        <v>1638881.73992</v>
      </c>
      <c r="E39" s="258" t="n">
        <v>2090397.26008</v>
      </c>
      <c r="F39" s="259" t="n">
        <v>6913017</v>
      </c>
      <c r="G39" s="258" t="n">
        <v>1609785</v>
      </c>
      <c r="H39" s="258" t="n">
        <v>2837935</v>
      </c>
      <c r="I39" s="258" t="n">
        <v>1881158</v>
      </c>
      <c r="J39" s="258" t="n">
        <v>2274167</v>
      </c>
      <c r="K39" s="259" t="n">
        <v>8603045</v>
      </c>
      <c r="L39" s="258" t="n">
        <v>2003194</v>
      </c>
      <c r="M39" s="258" t="n">
        <v>1768239</v>
      </c>
      <c r="N39" s="258" t="n">
        <v>1906321</v>
      </c>
      <c r="O39" s="258" t="n">
        <v>1220831</v>
      </c>
      <c r="P39" s="259" t="n">
        <v>6898585</v>
      </c>
      <c r="Q39" s="258" t="n">
        <v>1393367</v>
      </c>
    </row>
    <row r="40" ht="18" customHeight="1" s="192">
      <c r="A40" s="144" t="inlineStr">
        <is>
          <t>Imposto de renda e contribuição social pagos</t>
        </is>
      </c>
      <c r="B40" s="260" t="n">
        <v>-57667</v>
      </c>
      <c r="C40" s="260" t="n">
        <v>-47312</v>
      </c>
      <c r="D40" s="260" t="n">
        <v>-12325</v>
      </c>
      <c r="E40" s="260" t="n">
        <v>-50399</v>
      </c>
      <c r="F40" s="261" t="n">
        <v>-167703</v>
      </c>
      <c r="G40" s="260" t="n">
        <v>-88002</v>
      </c>
      <c r="H40" s="260" t="n">
        <v>-97408</v>
      </c>
      <c r="I40" s="260" t="n">
        <v>-174678</v>
      </c>
      <c r="J40" s="260" t="n">
        <v>-129026</v>
      </c>
      <c r="K40" s="261" t="n">
        <v>-489114</v>
      </c>
      <c r="L40" s="260" t="n">
        <v>-65831</v>
      </c>
      <c r="M40" s="260" t="n">
        <v>-38694</v>
      </c>
      <c r="N40" s="260" t="n">
        <v>-33305</v>
      </c>
      <c r="O40" s="260" t="n">
        <v>-106511</v>
      </c>
      <c r="P40" s="261" t="n">
        <v>-244341</v>
      </c>
      <c r="Q40" s="260" t="n">
        <v>-59186</v>
      </c>
    </row>
    <row r="41" hidden="1" ht="18" customHeight="1" s="192">
      <c r="A41" s="144" t="inlineStr">
        <is>
          <t>Pagamento benefício de passivo atuarial</t>
        </is>
      </c>
      <c r="B41" s="260" t="n">
        <v>0</v>
      </c>
      <c r="C41" s="260" t="n">
        <v>0</v>
      </c>
      <c r="D41" s="260" t="n">
        <v>0</v>
      </c>
      <c r="E41" s="260" t="n">
        <v>0</v>
      </c>
      <c r="F41" s="261" t="n">
        <v>0</v>
      </c>
      <c r="G41" s="260" t="n">
        <v>0</v>
      </c>
      <c r="H41" s="260" t="n">
        <v>0</v>
      </c>
      <c r="I41" s="260" t="n">
        <v>0</v>
      </c>
      <c r="J41" s="260" t="n">
        <v>0</v>
      </c>
      <c r="K41" s="261" t="n">
        <v>0</v>
      </c>
      <c r="L41" s="260" t="n">
        <v>0</v>
      </c>
      <c r="M41" s="260" t="n"/>
      <c r="N41" s="260" t="n"/>
      <c r="O41" s="260" t="n">
        <v>0</v>
      </c>
      <c r="P41" s="261" t="n"/>
      <c r="Q41" s="260" t="n"/>
    </row>
    <row r="42" ht="18" customHeight="1" s="192">
      <c r="A42" s="141" t="inlineStr">
        <is>
          <t xml:space="preserve">Caixa líquido (aplicado nas) gerado pelas atividades operacionais </t>
        </is>
      </c>
      <c r="B42" s="258" t="n">
        <v>1427649</v>
      </c>
      <c r="C42" s="258" t="n">
        <v>1651110</v>
      </c>
      <c r="D42" s="258" t="n">
        <v>1626556.73992</v>
      </c>
      <c r="E42" s="258" t="n">
        <v>2039998.26008</v>
      </c>
      <c r="F42" s="259" t="n">
        <v>6745314</v>
      </c>
      <c r="G42" s="258" t="n">
        <v>1521783</v>
      </c>
      <c r="H42" s="258" t="n">
        <v>2740527</v>
      </c>
      <c r="I42" s="258" t="n">
        <v>1706480</v>
      </c>
      <c r="J42" s="258" t="n">
        <v>2145141</v>
      </c>
      <c r="K42" s="259" t="n">
        <v>8113931</v>
      </c>
      <c r="L42" s="258" t="n">
        <v>1937363</v>
      </c>
      <c r="M42" s="258" t="n">
        <v>1729545</v>
      </c>
      <c r="N42" s="258" t="n">
        <v>1873016</v>
      </c>
      <c r="O42" s="258">
        <f>SUM(O39:O40)</f>
        <v/>
      </c>
      <c r="P42" s="259">
        <f>SUM(L42:O42)</f>
        <v/>
      </c>
      <c r="Q42" s="258" t="n">
        <v>1334181</v>
      </c>
    </row>
    <row r="43" hidden="1" ht="18" customHeight="1" s="192">
      <c r="A43" s="141" t="inlineStr">
        <is>
          <t>Atividades de Investimento</t>
        </is>
      </c>
      <c r="B43" s="258" t="n">
        <v>0</v>
      </c>
      <c r="C43" s="258" t="n">
        <v>0</v>
      </c>
      <c r="D43" s="258" t="n">
        <v>0</v>
      </c>
      <c r="E43" s="258" t="n">
        <v>0</v>
      </c>
      <c r="F43" s="261" t="n">
        <v>0</v>
      </c>
      <c r="G43" s="258" t="n">
        <v>0</v>
      </c>
      <c r="H43" s="258" t="n">
        <v>0</v>
      </c>
      <c r="I43" s="258" t="n">
        <v>0</v>
      </c>
      <c r="J43" s="258" t="n">
        <v>0</v>
      </c>
      <c r="K43" s="261" t="n">
        <v>0</v>
      </c>
      <c r="L43" s="258" t="n">
        <v>0</v>
      </c>
      <c r="M43" s="258" t="n"/>
      <c r="N43" s="258" t="n"/>
      <c r="O43" s="258" t="n"/>
      <c r="P43" s="261" t="n"/>
      <c r="Q43" s="258" t="n"/>
    </row>
    <row r="44" ht="18" customHeight="1" s="192">
      <c r="A44" s="144" t="inlineStr">
        <is>
          <t>Adição de bens do ativo imobilizado e intangível (Capex)</t>
        </is>
      </c>
      <c r="B44" s="260" t="n">
        <v>-522766</v>
      </c>
      <c r="C44" s="260" t="n">
        <v>-782386</v>
      </c>
      <c r="D44" s="260" t="n">
        <v>-1431543</v>
      </c>
      <c r="E44" s="260" t="n">
        <v>-722187</v>
      </c>
      <c r="F44" s="261" t="n">
        <v>-3458882</v>
      </c>
      <c r="G44" s="260" t="n">
        <v>-656135</v>
      </c>
      <c r="H44" s="260" t="n">
        <v>-596190</v>
      </c>
      <c r="I44" s="260" t="n">
        <v>-482737</v>
      </c>
      <c r="J44" s="260" t="n">
        <v>-622166</v>
      </c>
      <c r="K44" s="261" t="n">
        <v>-2357228</v>
      </c>
      <c r="L44" s="260" t="n">
        <v>-558314</v>
      </c>
      <c r="M44" s="260" t="n">
        <v>-269604</v>
      </c>
      <c r="N44" s="260" t="n">
        <v>-796730</v>
      </c>
      <c r="O44" s="260" t="n">
        <v>-137218</v>
      </c>
      <c r="P44" s="261" t="n">
        <v>-1761866</v>
      </c>
      <c r="Q44" s="260" t="n">
        <v>-551992</v>
      </c>
    </row>
    <row r="45" ht="18" customHeight="1" s="192">
      <c r="A45" s="144" t="inlineStr">
        <is>
          <t>Aquisição de ativos Caetê</t>
        </is>
      </c>
      <c r="B45" s="260" t="n">
        <v>0</v>
      </c>
      <c r="C45" s="260" t="n">
        <v>0</v>
      </c>
      <c r="D45" s="260" t="n">
        <v>0</v>
      </c>
      <c r="E45" s="260" t="n">
        <v>0</v>
      </c>
      <c r="F45" s="261" t="n">
        <v>0</v>
      </c>
      <c r="G45" s="260" t="n">
        <v>0</v>
      </c>
      <c r="H45" s="260" t="n">
        <v>0</v>
      </c>
      <c r="I45" s="260" t="n">
        <v>-6345192</v>
      </c>
      <c r="J45" s="260" t="n">
        <v>-26088</v>
      </c>
      <c r="K45" s="261" t="n">
        <v>-6371280</v>
      </c>
      <c r="L45" s="260" t="n">
        <v>0</v>
      </c>
      <c r="M45" s="260" t="inlineStr">
        <is>
          <t>-</t>
        </is>
      </c>
      <c r="N45" s="260" t="n">
        <v>0</v>
      </c>
      <c r="O45" s="260" t="n">
        <v>0</v>
      </c>
      <c r="P45" s="261" t="n">
        <v>0</v>
      </c>
      <c r="Q45" s="260" t="n">
        <v>0</v>
      </c>
    </row>
    <row r="46" ht="18" customHeight="1" s="192">
      <c r="A46" s="144" t="inlineStr">
        <is>
          <t>Caixa Adquirido - Projeto Caetê</t>
        </is>
      </c>
      <c r="B46" s="260" t="n">
        <v>0</v>
      </c>
      <c r="C46" s="260" t="n">
        <v>0</v>
      </c>
      <c r="D46" s="260" t="n">
        <v>0</v>
      </c>
      <c r="E46" s="260" t="n">
        <v>0</v>
      </c>
      <c r="F46" s="261" t="n">
        <v>0</v>
      </c>
      <c r="G46" s="260" t="n">
        <v>0</v>
      </c>
      <c r="H46" s="260" t="n">
        <v>0</v>
      </c>
      <c r="I46" s="260" t="n">
        <v>96523</v>
      </c>
      <c r="J46" s="260" t="n">
        <v>0</v>
      </c>
      <c r="K46" s="261" t="n">
        <v>96523</v>
      </c>
      <c r="L46" s="260" t="n">
        <v>0</v>
      </c>
      <c r="M46" s="260" t="inlineStr">
        <is>
          <t>-</t>
        </is>
      </c>
      <c r="N46" s="260" t="n">
        <v>0</v>
      </c>
      <c r="O46" s="260" t="n">
        <v>0</v>
      </c>
      <c r="P46" s="261" t="n">
        <v>0</v>
      </c>
      <c r="Q46" s="260" t="n">
        <v>0</v>
      </c>
    </row>
    <row r="47" ht="18" customHeight="1" s="192">
      <c r="A47" s="144" t="inlineStr">
        <is>
          <t>Adição de plantio e compras de madeira em pé (Capex)</t>
        </is>
      </c>
      <c r="B47" s="260" t="n">
        <v>-635557</v>
      </c>
      <c r="C47" s="260" t="n">
        <v>-230358</v>
      </c>
      <c r="D47" s="260" t="n">
        <v>-65346</v>
      </c>
      <c r="E47" s="260" t="n">
        <v>-324804</v>
      </c>
      <c r="F47" s="261" t="n">
        <v>-1256065</v>
      </c>
      <c r="G47" s="260" t="n">
        <v>-484839</v>
      </c>
      <c r="H47" s="260" t="n">
        <v>-106185</v>
      </c>
      <c r="I47" s="260" t="n">
        <v>-325168</v>
      </c>
      <c r="J47" s="260" t="n">
        <v>-274989</v>
      </c>
      <c r="K47" s="261" t="n">
        <v>-1191181</v>
      </c>
      <c r="L47" s="260" t="n">
        <v>-82308</v>
      </c>
      <c r="M47" s="260" t="n">
        <v>-422096</v>
      </c>
      <c r="N47" s="260" t="n">
        <v>180863</v>
      </c>
      <c r="O47" s="260" t="n">
        <v>-746556</v>
      </c>
      <c r="P47" s="261" t="n">
        <v>-1070097</v>
      </c>
      <c r="Q47" s="260" t="n">
        <v>-287178</v>
      </c>
    </row>
    <row r="48" ht="18" customHeight="1" s="192">
      <c r="A48" s="144" t="inlineStr">
        <is>
          <t>Títulos e valores mobiliários</t>
        </is>
      </c>
      <c r="B48" s="260" t="n">
        <v>109343</v>
      </c>
      <c r="C48" s="260" t="n">
        <v>196301</v>
      </c>
      <c r="D48" s="260" t="n">
        <v>170450</v>
      </c>
      <c r="E48" s="260" t="n">
        <v>1021434</v>
      </c>
      <c r="F48" s="261" t="n">
        <v>1497528</v>
      </c>
      <c r="G48" s="260" t="n">
        <v>282187</v>
      </c>
      <c r="H48" s="260" t="n">
        <v>215903</v>
      </c>
      <c r="I48" s="260" t="n">
        <v>421506</v>
      </c>
      <c r="J48" s="260" t="n">
        <v>280762</v>
      </c>
      <c r="K48" s="261" t="n">
        <v>1200358</v>
      </c>
      <c r="L48" s="260" t="n">
        <v>160621</v>
      </c>
      <c r="M48" s="260" t="n">
        <v>215251</v>
      </c>
      <c r="N48" s="260" t="n">
        <v>227255</v>
      </c>
      <c r="O48" s="260" t="n">
        <v>234144</v>
      </c>
      <c r="P48" s="261" t="n">
        <v>837271</v>
      </c>
      <c r="Q48" s="260" t="n">
        <v>228732</v>
      </c>
    </row>
    <row r="49" ht="18" customHeight="1" s="192">
      <c r="A49" s="144" t="inlineStr">
        <is>
          <t>Aquisição investimentos e integralização em controladas</t>
        </is>
      </c>
      <c r="B49" s="260" t="n">
        <v>0</v>
      </c>
      <c r="C49" s="260" t="n">
        <v>0</v>
      </c>
      <c r="D49" s="260" t="n">
        <v>0</v>
      </c>
      <c r="E49" s="260" t="n">
        <v>0</v>
      </c>
      <c r="F49" s="261" t="n">
        <v>0</v>
      </c>
      <c r="G49" s="260" t="n">
        <v>-1028</v>
      </c>
      <c r="H49" s="260" t="n">
        <v>1028</v>
      </c>
      <c r="I49" s="260" t="n">
        <v>0</v>
      </c>
      <c r="J49" s="260" t="n">
        <v>0</v>
      </c>
      <c r="K49" s="261" t="n">
        <v>0</v>
      </c>
      <c r="L49" s="260" t="n">
        <v>0</v>
      </c>
      <c r="M49" s="260" t="n">
        <v>0</v>
      </c>
      <c r="N49" s="260" t="inlineStr">
        <is>
          <t>-</t>
        </is>
      </c>
      <c r="O49" s="260" t="inlineStr">
        <is>
          <t>-</t>
        </is>
      </c>
      <c r="P49" s="261" t="inlineStr">
        <is>
          <t>-</t>
        </is>
      </c>
      <c r="Q49" s="260" t="n">
        <v>0</v>
      </c>
    </row>
    <row r="50" ht="18" customHeight="1" s="192">
      <c r="A50" s="144" t="inlineStr">
        <is>
          <t>Recebimento na alienação de ativos</t>
        </is>
      </c>
      <c r="B50" s="260" t="n">
        <v>33604</v>
      </c>
      <c r="C50" s="260" t="n">
        <v>867</v>
      </c>
      <c r="D50" s="260" t="n">
        <v>651</v>
      </c>
      <c r="E50" s="260" t="n">
        <v>11625</v>
      </c>
      <c r="F50" s="261" t="n">
        <v>46747</v>
      </c>
      <c r="G50" s="260" t="n">
        <v>1187</v>
      </c>
      <c r="H50" s="260" t="n">
        <v>2676</v>
      </c>
      <c r="I50" s="260" t="n">
        <v>-6775</v>
      </c>
      <c r="J50" s="260" t="n">
        <v>8270</v>
      </c>
      <c r="K50" s="261" t="n">
        <v>5358</v>
      </c>
      <c r="L50" s="260" t="n">
        <v>2837</v>
      </c>
      <c r="M50" s="260" t="n">
        <v>3707</v>
      </c>
      <c r="N50" s="260" t="n">
        <v>22336</v>
      </c>
      <c r="O50" s="260" t="n">
        <v>38485</v>
      </c>
      <c r="P50" s="261" t="n">
        <v>67365</v>
      </c>
      <c r="Q50" s="260" t="n">
        <v>1074</v>
      </c>
    </row>
    <row r="51" ht="18" customHeight="1" s="192">
      <c r="A51" s="144" t="inlineStr">
        <is>
          <t>Dividendos recebidos de empresas controladas</t>
        </is>
      </c>
      <c r="B51" s="260" t="n">
        <v>0</v>
      </c>
      <c r="C51" s="260" t="n">
        <v>9629</v>
      </c>
      <c r="D51" s="260" t="n">
        <v>1647</v>
      </c>
      <c r="E51" s="260" t="n">
        <v>13897</v>
      </c>
      <c r="F51" s="261" t="n">
        <v>25173</v>
      </c>
      <c r="G51" s="260" t="n">
        <v>4689</v>
      </c>
      <c r="H51" s="260" t="n">
        <v>2193</v>
      </c>
      <c r="I51" s="260" t="n">
        <v>2550</v>
      </c>
      <c r="J51" s="260" t="n">
        <v>4335</v>
      </c>
      <c r="K51" s="261" t="n">
        <v>13767</v>
      </c>
      <c r="L51" s="260" t="n">
        <v>4361</v>
      </c>
      <c r="M51" s="260" t="n">
        <v>1785</v>
      </c>
      <c r="N51" s="260" t="n">
        <v>2039</v>
      </c>
      <c r="O51" s="260" t="n">
        <v>37129</v>
      </c>
      <c r="P51" s="261" t="n">
        <v>45314</v>
      </c>
      <c r="Q51" s="260" t="n">
        <v>2550</v>
      </c>
    </row>
    <row r="52" ht="18" customHeight="1" s="192">
      <c r="A52" s="141" t="inlineStr">
        <is>
          <t>Caixa Líquido Atividades de Investimento</t>
        </is>
      </c>
      <c r="B52" s="258" t="n">
        <v>-1015376</v>
      </c>
      <c r="C52" s="258" t="n">
        <v>-805947</v>
      </c>
      <c r="D52" s="258" t="n">
        <v>-1324141</v>
      </c>
      <c r="E52" s="258" t="n">
        <v>-35</v>
      </c>
      <c r="F52" s="259" t="n">
        <v>-3145499</v>
      </c>
      <c r="G52" s="258" t="n">
        <v>-853939</v>
      </c>
      <c r="H52" s="258" t="n">
        <v>-480575</v>
      </c>
      <c r="I52" s="258" t="n">
        <v>-6639293</v>
      </c>
      <c r="J52" s="258" t="n">
        <v>-629876</v>
      </c>
      <c r="K52" s="259" t="n">
        <v>-8603683</v>
      </c>
      <c r="L52" s="258" t="n">
        <v>-472803</v>
      </c>
      <c r="M52" s="258" t="n">
        <v>-470957</v>
      </c>
      <c r="N52" s="258" t="n">
        <v>-364237</v>
      </c>
      <c r="O52" s="258" t="n">
        <v>-574016</v>
      </c>
      <c r="P52" s="259" t="n">
        <v>-1882013</v>
      </c>
      <c r="Q52" s="258" t="n">
        <v>-606814</v>
      </c>
    </row>
    <row r="53" hidden="1" ht="18" customHeight="1" s="192">
      <c r="A53" s="144" t="inlineStr">
        <is>
          <t>Atividades de Financiamento</t>
        </is>
      </c>
      <c r="B53" s="260" t="n">
        <v>0</v>
      </c>
      <c r="C53" s="260" t="n">
        <v>0</v>
      </c>
      <c r="D53" s="260" t="n">
        <v>0</v>
      </c>
      <c r="E53" s="260" t="n">
        <v>0</v>
      </c>
      <c r="F53" s="261" t="n">
        <v>0</v>
      </c>
      <c r="G53" s="260" t="n">
        <v>0</v>
      </c>
      <c r="H53" s="260" t="n">
        <v>0</v>
      </c>
      <c r="I53" s="260" t="n">
        <v>0</v>
      </c>
      <c r="J53" s="260" t="n">
        <v>0</v>
      </c>
      <c r="K53" s="261" t="n">
        <v>0</v>
      </c>
      <c r="L53" s="260" t="e">
        <v>#REF!</v>
      </c>
      <c r="M53" s="260" t="n"/>
      <c r="N53" s="260" t="n"/>
      <c r="O53" s="260" t="n"/>
      <c r="P53" s="261" t="n"/>
      <c r="Q53" s="260" t="n"/>
    </row>
    <row r="54" ht="18" customHeight="1" s="192">
      <c r="A54" s="144" t="inlineStr">
        <is>
          <t>Captação de empréstimos, financiamentos e debêntures</t>
        </is>
      </c>
      <c r="B54" s="260" t="n">
        <v>1576465</v>
      </c>
      <c r="C54" s="260" t="n">
        <v>-18149</v>
      </c>
      <c r="D54" s="260" t="n">
        <v>2267667</v>
      </c>
      <c r="E54" s="260" t="n">
        <v>3700935</v>
      </c>
      <c r="F54" s="261" t="n">
        <v>7526918</v>
      </c>
      <c r="G54" s="260" t="n">
        <v>1472241</v>
      </c>
      <c r="H54" s="260" t="n">
        <v>328154</v>
      </c>
      <c r="I54" s="260" t="n">
        <v>1424586</v>
      </c>
      <c r="J54" s="260" t="n">
        <v>0</v>
      </c>
      <c r="K54" s="261" t="n">
        <v>3224981</v>
      </c>
      <c r="L54" s="260" t="n">
        <v>0</v>
      </c>
      <c r="M54" s="260" t="n">
        <v>3693475</v>
      </c>
      <c r="N54" s="260" t="n">
        <v>2048165</v>
      </c>
      <c r="O54" s="260" t="n">
        <v>1126779</v>
      </c>
      <c r="P54" s="261" t="n">
        <v>6868419</v>
      </c>
      <c r="Q54" s="260" t="n">
        <v>0</v>
      </c>
    </row>
    <row r="55" hidden="1" ht="18" customHeight="1" s="192">
      <c r="A55" s="144" t="inlineStr">
        <is>
          <t>Captação de debêntures (líquido do custo de captação)</t>
        </is>
      </c>
      <c r="B55" s="260" t="n">
        <v>0</v>
      </c>
      <c r="C55" s="260" t="n">
        <v>0</v>
      </c>
      <c r="D55" s="260" t="n">
        <v>0</v>
      </c>
      <c r="E55" s="260" t="n">
        <v>0</v>
      </c>
      <c r="F55" s="261" t="n">
        <v>0</v>
      </c>
      <c r="G55" s="260" t="n">
        <v>0</v>
      </c>
      <c r="H55" s="260" t="n">
        <v>0</v>
      </c>
      <c r="I55" s="260" t="n">
        <v>0</v>
      </c>
      <c r="J55" s="260" t="n">
        <v>0</v>
      </c>
      <c r="K55" s="261" t="n">
        <v>0</v>
      </c>
      <c r="L55" s="260" t="n">
        <v>0</v>
      </c>
      <c r="M55" s="260" t="n"/>
      <c r="N55" s="260" t="n"/>
      <c r="O55" s="260" t="n"/>
      <c r="P55" s="261" t="n"/>
      <c r="Q55" s="260" t="n"/>
    </row>
    <row r="56" ht="18" customHeight="1" s="192">
      <c r="A56" s="144" t="inlineStr">
        <is>
          <t>Amortização de empréstimos e financiamentos e debêntures</t>
        </is>
      </c>
      <c r="B56" s="260" t="n">
        <v>-543738</v>
      </c>
      <c r="C56" s="260" t="n">
        <v>-732853</v>
      </c>
      <c r="D56" s="260" t="n">
        <v>-235276</v>
      </c>
      <c r="E56" s="260" t="n">
        <v>-673152</v>
      </c>
      <c r="F56" s="261" t="n">
        <v>-2185019</v>
      </c>
      <c r="G56" s="260" t="n">
        <v>-276588</v>
      </c>
      <c r="H56" s="260" t="n">
        <v>-108002</v>
      </c>
      <c r="I56" s="260" t="n">
        <v>-874663</v>
      </c>
      <c r="J56" s="260" t="n">
        <v>25666</v>
      </c>
      <c r="K56" s="261" t="n">
        <v>-1233587</v>
      </c>
      <c r="L56" s="260" t="n">
        <v>-1795170</v>
      </c>
      <c r="M56" s="260" t="n">
        <v>-2755194</v>
      </c>
      <c r="N56" s="260" t="n">
        <v>-1689116</v>
      </c>
      <c r="O56" s="260" t="n">
        <v>-1131721</v>
      </c>
      <c r="P56" s="261" t="n">
        <v>-7371201</v>
      </c>
      <c r="Q56" s="260" t="n">
        <v>-1652516</v>
      </c>
    </row>
    <row r="57" ht="18" customHeight="1" s="192">
      <c r="A57" s="144" t="inlineStr">
        <is>
          <t>Pagamento de juros de empréstimos, financiamentos e debêntures</t>
        </is>
      </c>
      <c r="B57" s="260" t="n">
        <v>-352599</v>
      </c>
      <c r="C57" s="260" t="n">
        <v>-696146</v>
      </c>
      <c r="D57" s="260" t="n">
        <v>-228069</v>
      </c>
      <c r="E57" s="260" t="n">
        <v>-613761</v>
      </c>
      <c r="F57" s="261" t="n">
        <v>-1890575</v>
      </c>
      <c r="G57" s="260" t="n">
        <v>-409506</v>
      </c>
      <c r="H57" s="260" t="n">
        <v>-675846</v>
      </c>
      <c r="I57" s="260" t="n">
        <v>-382235</v>
      </c>
      <c r="J57" s="260" t="n">
        <v>-724285</v>
      </c>
      <c r="K57" s="261" t="n">
        <v>-2191872</v>
      </c>
      <c r="L57" s="260" t="n">
        <v>-495975</v>
      </c>
      <c r="M57" s="260" t="n">
        <v>-673126</v>
      </c>
      <c r="N57" s="260" t="n">
        <v>-373012</v>
      </c>
      <c r="O57" s="260" t="n">
        <v>-574033</v>
      </c>
      <c r="P57" s="261" t="n">
        <v>-2116146</v>
      </c>
      <c r="Q57" s="260" t="n">
        <v>-439988</v>
      </c>
    </row>
    <row r="58" ht="18" customHeight="1" s="192">
      <c r="A58" s="144" t="inlineStr">
        <is>
          <t>Pagamento de passivos de arrendamentos</t>
        </is>
      </c>
      <c r="B58" s="260" t="n">
        <v>-95692</v>
      </c>
      <c r="C58" s="260" t="n">
        <v>-107276</v>
      </c>
      <c r="D58" s="260" t="n">
        <v>-154795</v>
      </c>
      <c r="E58" s="260" t="n">
        <v>-175971</v>
      </c>
      <c r="F58" s="261" t="n">
        <v>-533734</v>
      </c>
      <c r="G58" s="260" t="n">
        <v>-88753</v>
      </c>
      <c r="H58" s="260" t="n">
        <v>-93163</v>
      </c>
      <c r="I58" s="260" t="n">
        <v>-93192</v>
      </c>
      <c r="J58" s="260" t="n">
        <v>-250742</v>
      </c>
      <c r="K58" s="261" t="n">
        <v>-525850</v>
      </c>
      <c r="L58" s="260" t="n">
        <v>-111599</v>
      </c>
      <c r="M58" s="260" t="n">
        <v>-145824</v>
      </c>
      <c r="N58" s="260" t="n">
        <v>-113296</v>
      </c>
      <c r="O58" s="260" t="n">
        <v>-126580</v>
      </c>
      <c r="P58" s="261" t="n">
        <v>-497299</v>
      </c>
      <c r="Q58" s="260" t="n">
        <v>-144187</v>
      </c>
    </row>
    <row r="59" ht="18" customHeight="1" s="192">
      <c r="A59" s="144" t="inlineStr">
        <is>
          <t>Alienação de ações em tesouraria</t>
        </is>
      </c>
      <c r="B59" s="260" t="n">
        <v>41004</v>
      </c>
      <c r="C59" s="260" t="n">
        <v>6180</v>
      </c>
      <c r="D59" s="260" t="n">
        <v>-150.73992</v>
      </c>
      <c r="E59" s="260" t="n">
        <v>-17666.26008</v>
      </c>
      <c r="F59" s="261" t="n">
        <v>29367</v>
      </c>
      <c r="G59" s="260" t="n">
        <v>22567</v>
      </c>
      <c r="H59" s="260" t="n">
        <v>0</v>
      </c>
      <c r="I59" s="260" t="n">
        <v>0</v>
      </c>
      <c r="J59" s="260" t="n">
        <v>0</v>
      </c>
      <c r="K59" s="261" t="n">
        <v>22567</v>
      </c>
      <c r="L59" s="260" t="n">
        <v>33050</v>
      </c>
      <c r="M59" s="260" t="n">
        <v>0</v>
      </c>
      <c r="N59" s="260" t="n">
        <v>0</v>
      </c>
      <c r="O59" s="260" t="n">
        <v>0</v>
      </c>
      <c r="P59" s="261" t="n">
        <v>33050</v>
      </c>
      <c r="Q59" s="260" t="n">
        <v>36934</v>
      </c>
    </row>
    <row r="60" ht="18" customHeight="1" s="192">
      <c r="A60" s="144" t="inlineStr">
        <is>
          <t>Aumento de capital em controladas pelos não controladores</t>
        </is>
      </c>
      <c r="B60" s="260" t="n">
        <v>30000</v>
      </c>
      <c r="C60" s="260" t="n">
        <v>60000</v>
      </c>
      <c r="D60" s="260" t="n">
        <v>0</v>
      </c>
      <c r="E60" s="260" t="n">
        <v>15000</v>
      </c>
      <c r="F60" s="261" t="n">
        <v>105000</v>
      </c>
      <c r="G60" s="260" t="n">
        <v>50000</v>
      </c>
      <c r="H60" s="260" t="n">
        <v>0</v>
      </c>
      <c r="I60" s="260" t="n">
        <v>0</v>
      </c>
      <c r="J60" s="260" t="n">
        <v>0</v>
      </c>
      <c r="K60" s="261" t="n">
        <v>50000</v>
      </c>
      <c r="L60" s="260" t="n">
        <v>814110</v>
      </c>
      <c r="M60" s="260" t="n">
        <v>651288</v>
      </c>
      <c r="N60" s="260" t="n">
        <v>600000</v>
      </c>
      <c r="O60" s="260" t="n">
        <v>1548302</v>
      </c>
      <c r="P60" s="261" t="n">
        <v>3613700</v>
      </c>
      <c r="Q60" s="260" t="n">
        <v>0</v>
      </c>
    </row>
    <row r="61" hidden="1" ht="18" customHeight="1" s="192">
      <c r="A61" s="144" t="inlineStr">
        <is>
          <t>Aquisição de investimentos e integralização de capital em controladas</t>
        </is>
      </c>
      <c r="B61" s="260" t="n">
        <v>0</v>
      </c>
      <c r="C61" s="260" t="n">
        <v>0</v>
      </c>
      <c r="D61" s="260" t="n">
        <v>0</v>
      </c>
      <c r="E61" s="260" t="n">
        <v>0</v>
      </c>
      <c r="F61" s="261" t="n">
        <v>0</v>
      </c>
      <c r="G61" s="260" t="n">
        <v>0</v>
      </c>
      <c r="H61" s="260" t="n">
        <v>0</v>
      </c>
      <c r="I61" s="260" t="n">
        <v>0</v>
      </c>
      <c r="J61" s="260" t="n">
        <v>0</v>
      </c>
      <c r="K61" s="261" t="n">
        <v>0</v>
      </c>
      <c r="L61" s="260" t="n">
        <v>0</v>
      </c>
      <c r="M61" s="260" t="n"/>
      <c r="N61" s="260" t="n"/>
      <c r="O61" s="260" t="n">
        <v>0</v>
      </c>
      <c r="P61" s="261" t="n"/>
      <c r="Q61" s="260" t="n"/>
    </row>
    <row r="62" hidden="1" ht="18" customHeight="1" s="192">
      <c r="A62" s="144" t="inlineStr">
        <is>
          <t>Dissolução de SCP</t>
        </is>
      </c>
      <c r="B62" s="260" t="n">
        <v>0</v>
      </c>
      <c r="C62" s="260" t="n">
        <v>0</v>
      </c>
      <c r="D62" s="260" t="n">
        <v>0</v>
      </c>
      <c r="E62" s="260" t="n">
        <v>0</v>
      </c>
      <c r="F62" s="261" t="n">
        <v>0</v>
      </c>
      <c r="G62" s="260" t="n">
        <v>0</v>
      </c>
      <c r="H62" s="260" t="n">
        <v>0</v>
      </c>
      <c r="I62" s="260" t="n">
        <v>0</v>
      </c>
      <c r="J62" s="260" t="n">
        <v>0</v>
      </c>
      <c r="K62" s="261" t="n">
        <v>0</v>
      </c>
      <c r="L62" s="260" t="n">
        <v>0</v>
      </c>
      <c r="M62" s="260" t="n"/>
      <c r="N62" s="260" t="n"/>
      <c r="O62" s="260" t="n">
        <v>0</v>
      </c>
      <c r="P62" s="261" t="n"/>
      <c r="Q62" s="260" t="n"/>
    </row>
    <row r="63" hidden="1" ht="18" customHeight="1" s="192">
      <c r="A63" s="144" t="inlineStr">
        <is>
          <t>Saida de investidores SCPs</t>
        </is>
      </c>
      <c r="B63" s="260" t="n">
        <v>0</v>
      </c>
      <c r="C63" s="260" t="n">
        <v>0</v>
      </c>
      <c r="D63" s="260" t="n">
        <v>0</v>
      </c>
      <c r="E63" s="260" t="n">
        <v>0</v>
      </c>
      <c r="F63" s="261" t="n">
        <v>0</v>
      </c>
      <c r="G63" s="260" t="n">
        <v>0</v>
      </c>
      <c r="H63" s="260" t="n">
        <v>0</v>
      </c>
      <c r="I63" s="260" t="n">
        <v>0</v>
      </c>
      <c r="J63" s="260" t="n">
        <v>0</v>
      </c>
      <c r="K63" s="261" t="n">
        <v>0</v>
      </c>
      <c r="L63" s="260" t="n">
        <v>0</v>
      </c>
      <c r="M63" s="260" t="n"/>
      <c r="N63" s="260" t="n"/>
      <c r="O63" s="260" t="n">
        <v>0</v>
      </c>
      <c r="P63" s="261" t="n"/>
      <c r="Q63" s="260" t="n"/>
    </row>
    <row r="64" hidden="1" ht="18" customHeight="1" s="192">
      <c r="A64" s="144" t="inlineStr">
        <is>
          <t>Entrada de investidors SCPs</t>
        </is>
      </c>
      <c r="B64" s="260" t="n">
        <v>0</v>
      </c>
      <c r="C64" s="260" t="n">
        <v>0</v>
      </c>
      <c r="D64" s="260" t="n">
        <v>0</v>
      </c>
      <c r="E64" s="260" t="n">
        <v>0</v>
      </c>
      <c r="F64" s="261" t="n">
        <v>0</v>
      </c>
      <c r="G64" s="260" t="n">
        <v>0</v>
      </c>
      <c r="H64" s="260" t="n">
        <v>0</v>
      </c>
      <c r="I64" s="260" t="n">
        <v>0</v>
      </c>
      <c r="J64" s="260" t="n">
        <v>0</v>
      </c>
      <c r="K64" s="261" t="n">
        <v>0</v>
      </c>
      <c r="L64" s="260" t="n">
        <v>0</v>
      </c>
      <c r="M64" s="260" t="n"/>
      <c r="N64" s="260" t="n"/>
      <c r="O64" s="260" t="n">
        <v>0</v>
      </c>
      <c r="P64" s="261" t="n"/>
      <c r="Q64" s="260" t="n"/>
    </row>
    <row r="65" ht="18" customHeight="1" s="192">
      <c r="A65" s="144" t="inlineStr">
        <is>
          <t>Pagamento dividendos SCPs e SPEs</t>
        </is>
      </c>
      <c r="B65" s="260" t="n">
        <v>-72964</v>
      </c>
      <c r="C65" s="260" t="n">
        <v>-22933</v>
      </c>
      <c r="D65" s="260" t="n">
        <v>1441</v>
      </c>
      <c r="E65" s="260" t="n">
        <v>-25939</v>
      </c>
      <c r="F65" s="261" t="n">
        <v>-120395</v>
      </c>
      <c r="G65" s="260" t="n">
        <v>-10870</v>
      </c>
      <c r="H65" s="260" t="n">
        <v>-51154</v>
      </c>
      <c r="I65" s="260" t="n">
        <v>10871</v>
      </c>
      <c r="J65" s="260" t="n">
        <v>-165254</v>
      </c>
      <c r="K65" s="261" t="n">
        <v>-216407</v>
      </c>
      <c r="L65" s="260" t="n">
        <v>-23660</v>
      </c>
      <c r="M65" s="260" t="n">
        <v>-60793</v>
      </c>
      <c r="N65" s="260" t="n">
        <v>-13265</v>
      </c>
      <c r="O65" s="260" t="n">
        <v>-67551</v>
      </c>
      <c r="P65" s="261" t="n">
        <v>-165269</v>
      </c>
      <c r="Q65" s="260" t="n">
        <v>-8259</v>
      </c>
    </row>
    <row r="66" ht="18" customHeight="1" s="192">
      <c r="A66" s="144" t="inlineStr">
        <is>
          <t>Pagamento de operações com derivativos</t>
        </is>
      </c>
      <c r="B66" s="260" t="n">
        <v>0</v>
      </c>
      <c r="C66" s="260" t="n">
        <v>0</v>
      </c>
      <c r="D66" s="260" t="n">
        <v>0</v>
      </c>
      <c r="E66" s="260" t="n">
        <v>0</v>
      </c>
      <c r="F66" s="261" t="n">
        <v>0</v>
      </c>
      <c r="G66" s="260" t="n">
        <v>0</v>
      </c>
      <c r="H66" s="260" t="n">
        <v>-148989</v>
      </c>
      <c r="I66" s="260" t="n">
        <v>187159</v>
      </c>
      <c r="J66" s="260" t="n">
        <v>-62285</v>
      </c>
      <c r="K66" s="261" t="n">
        <v>-24115</v>
      </c>
      <c r="L66" s="260" t="n">
        <v>-488759</v>
      </c>
      <c r="M66" s="260" t="n">
        <v>10415</v>
      </c>
      <c r="N66" s="260" t="n">
        <v>-46455</v>
      </c>
      <c r="O66" s="260" t="n">
        <v>101536</v>
      </c>
      <c r="P66" s="261" t="n">
        <v>-423263</v>
      </c>
      <c r="Q66" s="260" t="n">
        <v>-45688</v>
      </c>
    </row>
    <row r="67" ht="18" customHeight="1" s="192">
      <c r="A67" s="144" t="inlineStr">
        <is>
          <t>Dividendos/Juros sobre capital próprio pagos</t>
        </is>
      </c>
      <c r="B67" s="260" t="n">
        <v>-381000</v>
      </c>
      <c r="C67" s="260" t="n">
        <v>-389000</v>
      </c>
      <c r="D67" s="260" t="n">
        <v>-269000</v>
      </c>
      <c r="E67" s="260" t="n">
        <v>-319000</v>
      </c>
      <c r="F67" s="261" t="n">
        <v>-1358000</v>
      </c>
      <c r="G67" s="260" t="n">
        <v>-363000</v>
      </c>
      <c r="H67" s="260" t="n">
        <v>-330000</v>
      </c>
      <c r="I67" s="260" t="n">
        <v>-410000</v>
      </c>
      <c r="J67" s="260" t="n">
        <v>-459624</v>
      </c>
      <c r="K67" s="261" t="n">
        <v>-1562624</v>
      </c>
      <c r="L67" s="260" t="n">
        <v>-277170</v>
      </c>
      <c r="M67" s="260" t="n">
        <v>-278786</v>
      </c>
      <c r="N67" s="260" t="n">
        <v>-306425</v>
      </c>
      <c r="O67" s="260" t="n">
        <v>-352619</v>
      </c>
      <c r="P67" s="261" t="n">
        <v>-1215000</v>
      </c>
      <c r="Q67" s="260" t="n">
        <v>-278000</v>
      </c>
    </row>
    <row r="68" ht="18" customHeight="1" s="192">
      <c r="A68" s="141" t="inlineStr">
        <is>
          <t>Caixa Líquido Atividades de Financiamento</t>
        </is>
      </c>
      <c r="B68" s="258" t="n">
        <v>201476</v>
      </c>
      <c r="C68" s="258" t="n">
        <v>-1900177</v>
      </c>
      <c r="D68" s="258" t="n">
        <v>1381817.26008</v>
      </c>
      <c r="E68" s="258" t="n">
        <v>1890445.73992</v>
      </c>
      <c r="F68" s="259" t="n">
        <v>1573562</v>
      </c>
      <c r="G68" s="258" t="n">
        <v>396091</v>
      </c>
      <c r="H68" s="258" t="n">
        <v>-1079000</v>
      </c>
      <c r="I68" s="258" t="n">
        <v>-137474</v>
      </c>
      <c r="J68" s="258" t="n">
        <v>-1636524</v>
      </c>
      <c r="K68" s="259" t="n">
        <v>-2456907</v>
      </c>
      <c r="L68" s="258" t="n">
        <v>-2345173</v>
      </c>
      <c r="M68" s="258" t="n">
        <v>441455</v>
      </c>
      <c r="N68" s="258" t="n">
        <v>106596</v>
      </c>
      <c r="O68" s="258" t="n">
        <v>524113</v>
      </c>
      <c r="P68" s="259" t="n">
        <v>-1273009</v>
      </c>
      <c r="Q68" s="258" t="n">
        <v>-2531704</v>
      </c>
    </row>
    <row r="69" ht="18" customHeight="1" s="192">
      <c r="A69" s="141" t="inlineStr">
        <is>
          <t>Aumento(Redução) de Caixa e Equivalentes</t>
        </is>
      </c>
      <c r="B69" s="258" t="n">
        <v>613749</v>
      </c>
      <c r="C69" s="258" t="n">
        <v>-1055014</v>
      </c>
      <c r="D69" s="258" t="n">
        <v>1684233</v>
      </c>
      <c r="E69" s="258" t="n">
        <v>3930409</v>
      </c>
      <c r="F69" s="259" t="n">
        <v>5173377</v>
      </c>
      <c r="G69" s="258" t="n">
        <v>1063935</v>
      </c>
      <c r="H69" s="258" t="n">
        <v>1180952</v>
      </c>
      <c r="I69" s="258" t="n">
        <v>-5070287</v>
      </c>
      <c r="J69" s="258" t="n">
        <v>-121259</v>
      </c>
      <c r="K69" s="259" t="n">
        <v>-2946659</v>
      </c>
      <c r="L69" s="258" t="n">
        <v>-880613</v>
      </c>
      <c r="M69" s="258" t="n">
        <v>1700043</v>
      </c>
      <c r="N69" s="258" t="n">
        <v>1615375</v>
      </c>
      <c r="O69" s="258" t="n">
        <v>1064417</v>
      </c>
      <c r="P69" s="259" t="n">
        <v>3499222</v>
      </c>
      <c r="Q69" s="258" t="n">
        <v>-1804337</v>
      </c>
    </row>
    <row r="70" ht="18" customHeight="1" s="192">
      <c r="A70" s="144" t="inlineStr">
        <is>
          <t>Efeito de variação cambial de caixa e equivalentes</t>
        </is>
      </c>
      <c r="B70" s="260" t="n">
        <v>-86982</v>
      </c>
      <c r="C70" s="260" t="n">
        <v>-84218</v>
      </c>
      <c r="D70" s="260" t="n">
        <v>171200</v>
      </c>
      <c r="E70" s="260" t="n">
        <v>-298493</v>
      </c>
      <c r="F70" s="261" t="n">
        <v>-298493</v>
      </c>
      <c r="G70" s="260" t="n">
        <v>101410</v>
      </c>
      <c r="H70" s="260" t="n">
        <v>-407</v>
      </c>
      <c r="I70" s="260" t="n">
        <v>-165714</v>
      </c>
      <c r="J70" s="260" t="n">
        <v>188712</v>
      </c>
      <c r="K70" s="261" t="n">
        <v>124001</v>
      </c>
      <c r="L70" s="260" t="n">
        <v>-184364</v>
      </c>
      <c r="M70" s="260" t="n">
        <v>-68988</v>
      </c>
      <c r="N70" s="260" t="n">
        <v>41847</v>
      </c>
      <c r="O70" s="260" t="n">
        <v>82128</v>
      </c>
      <c r="P70" s="261" t="n">
        <v>-129377</v>
      </c>
      <c r="Q70" s="260" t="n">
        <v>-206527</v>
      </c>
    </row>
    <row r="71" ht="18" customHeight="1" s="192">
      <c r="A71" s="141" t="inlineStr">
        <is>
          <t>Aumento (redução) de caixa e equivalentes c/ Caixa adquirido</t>
        </is>
      </c>
      <c r="B71" s="258" t="n">
        <v>526767</v>
      </c>
      <c r="C71" s="258" t="n">
        <v>-1139232</v>
      </c>
      <c r="D71" s="258" t="n">
        <v>1855433</v>
      </c>
      <c r="E71" s="258" t="n">
        <v>3631916</v>
      </c>
      <c r="F71" s="259" t="n">
        <v>4874884</v>
      </c>
      <c r="G71" s="258" t="n">
        <v>1165345</v>
      </c>
      <c r="H71" s="258" t="n">
        <v>1180545</v>
      </c>
      <c r="I71" s="258" t="n">
        <v>-5236001</v>
      </c>
      <c r="J71" s="258" t="n">
        <v>67453</v>
      </c>
      <c r="K71" s="259" t="n">
        <v>-2822658</v>
      </c>
      <c r="L71" s="258" t="n">
        <v>-1064977</v>
      </c>
      <c r="M71" s="258" t="n">
        <v>1631055</v>
      </c>
      <c r="N71" s="258" t="n">
        <v>1657222</v>
      </c>
      <c r="O71" s="258" t="n">
        <v>1146545</v>
      </c>
      <c r="P71" s="259" t="n">
        <v>3369845</v>
      </c>
      <c r="Q71" s="258" t="n">
        <v>-2010864</v>
      </c>
    </row>
    <row r="72" ht="18" customHeight="1" s="192">
      <c r="A72" s="141" t="inlineStr">
        <is>
          <t>Saldo inicial de caixa e equivalentes de caixa</t>
        </is>
      </c>
      <c r="B72" s="258" t="n">
        <v>4683945</v>
      </c>
      <c r="C72" s="258" t="n">
        <v>5210712</v>
      </c>
      <c r="D72" s="258" t="n">
        <v>4071480</v>
      </c>
      <c r="E72" s="258" t="n">
        <v>5926913</v>
      </c>
      <c r="F72" s="259" t="n">
        <v>4683945</v>
      </c>
      <c r="G72" s="258" t="n">
        <v>9558829</v>
      </c>
      <c r="H72" s="258" t="n">
        <v>10724174</v>
      </c>
      <c r="I72" s="258" t="n">
        <v>11904719</v>
      </c>
      <c r="J72" s="258" t="n">
        <v>6668718</v>
      </c>
      <c r="K72" s="259" t="n">
        <v>9558829</v>
      </c>
      <c r="L72" s="258" t="n">
        <v>6736171</v>
      </c>
      <c r="M72" s="258" t="n">
        <v>5671194</v>
      </c>
      <c r="N72" s="258" t="n">
        <v>7302249</v>
      </c>
      <c r="O72" s="258" t="n">
        <v>8959471</v>
      </c>
      <c r="P72" s="259" t="n">
        <v>6736171</v>
      </c>
      <c r="Q72" s="258" t="n">
        <v>10106016</v>
      </c>
    </row>
    <row r="73" ht="18" customHeight="1" s="192">
      <c r="A73" s="141" t="inlineStr">
        <is>
          <t>Saldo final de caixa e equivalentes de caixa</t>
        </is>
      </c>
      <c r="B73" s="258" t="n">
        <v>5210712</v>
      </c>
      <c r="C73" s="258" t="n">
        <v>4071480</v>
      </c>
      <c r="D73" s="258" t="n">
        <v>5926913</v>
      </c>
      <c r="E73" s="258" t="n">
        <v>9558829</v>
      </c>
      <c r="F73" s="259" t="n">
        <v>9558829</v>
      </c>
      <c r="G73" s="258" t="n">
        <v>10724174</v>
      </c>
      <c r="H73" s="258" t="n">
        <v>11904719</v>
      </c>
      <c r="I73" s="258" t="n">
        <v>6668718</v>
      </c>
      <c r="J73" s="258" t="n">
        <v>6736171</v>
      </c>
      <c r="K73" s="259" t="n">
        <v>6736171</v>
      </c>
      <c r="L73" s="258" t="n">
        <v>5671194</v>
      </c>
      <c r="M73" s="258" t="n">
        <v>7302249</v>
      </c>
      <c r="N73" s="258" t="n">
        <v>8959471</v>
      </c>
      <c r="O73" s="258" t="n">
        <v>10106016</v>
      </c>
      <c r="P73" s="259" t="n">
        <v>10106016</v>
      </c>
      <c r="Q73" s="258" t="n">
        <v>8095152</v>
      </c>
    </row>
  </sheetData>
  <mergeCells count="17">
    <mergeCell ref="N1:N2"/>
    <mergeCell ref="O1:O2"/>
    <mergeCell ref="Q1:Q2"/>
    <mergeCell ref="H1:H2"/>
    <mergeCell ref="L1:L2"/>
    <mergeCell ref="C1:C2"/>
    <mergeCell ref="B1:B2"/>
    <mergeCell ref="D1:D2"/>
    <mergeCell ref="E1:E2"/>
    <mergeCell ref="K1:K2"/>
    <mergeCell ref="I1:I2"/>
    <mergeCell ref="F1:F2"/>
    <mergeCell ref="M1:M2"/>
    <mergeCell ref="J1:J2"/>
    <mergeCell ref="P1:P2"/>
    <mergeCell ref="G1:G2"/>
    <mergeCell ref="A1:A2"/>
  </mergeCells>
  <pageMargins left="0.511811024" right="0.511811024" top="0.787401575" bottom="0.787401575" header="0.31496062" footer="0.31496062"/>
  <pageSetup orientation="portrait" paperSize="9" scale="48"/>
</worksheet>
</file>

<file path=xl/worksheets/sheet6.xml><?xml version="1.0" encoding="utf-8"?>
<worksheet xmlns="http://schemas.openxmlformats.org/spreadsheetml/2006/main">
  <sheetPr>
    <tabColor rgb="FF538135"/>
    <outlinePr summaryBelow="1" summaryRight="1"/>
    <pageSetUpPr/>
  </sheetPr>
  <dimension ref="A1:AI26"/>
  <sheetViews>
    <sheetView showGridLines="0" zoomScale="102" zoomScaleNormal="130" workbookViewId="0">
      <pane xSplit="1" topLeftCell="B1" activePane="topRight" state="frozen"/>
      <selection activeCell="A9" sqref="A9"/>
      <selection pane="topRight" activeCell="A1" sqref="A1"/>
    </sheetView>
  </sheetViews>
  <sheetFormatPr baseColWidth="8" defaultColWidth="9.140625" defaultRowHeight="12" zeroHeight="1"/>
  <cols>
    <col width="33.7109375" customWidth="1" style="89" min="1" max="1"/>
    <col width="7.85546875" bestFit="1" customWidth="1" style="89" min="2" max="2"/>
    <col width="8.5703125" customWidth="1" style="89" min="3" max="3"/>
    <col width="7.85546875" bestFit="1" customWidth="1" style="89" min="4" max="4"/>
    <col width="8.5703125" customWidth="1" style="89" min="5" max="5"/>
    <col width="10" bestFit="1" customWidth="1" style="89" min="6" max="19"/>
    <col width="9" bestFit="1" customWidth="1" style="89" min="20" max="24"/>
    <col width="9.140625" customWidth="1" style="89" min="25" max="25"/>
    <col width="9.28515625" bestFit="1" customWidth="1" style="89" min="26" max="35"/>
    <col width="9.140625" customWidth="1" style="89" min="36" max="16384"/>
  </cols>
  <sheetData>
    <row r="1" ht="30" customFormat="1" customHeight="1" s="79" thickBot="1">
      <c r="A1" s="201" t="inlineStr">
        <is>
          <t>Endividamento¹ (R$ milhões)</t>
        </is>
      </c>
      <c r="B1" s="262" t="n">
        <v>44650</v>
      </c>
      <c r="C1" s="147" t="inlineStr">
        <is>
          <t>Part. %</t>
        </is>
      </c>
      <c r="D1" s="262" t="n">
        <v>44742</v>
      </c>
      <c r="E1" s="147" t="inlineStr">
        <is>
          <t>Part. %</t>
        </is>
      </c>
      <c r="F1" s="262" t="n">
        <v>44805</v>
      </c>
      <c r="G1" s="147" t="inlineStr">
        <is>
          <t>Part. %</t>
        </is>
      </c>
      <c r="H1" s="262" t="n">
        <v>44925</v>
      </c>
      <c r="I1" s="147" t="inlineStr">
        <is>
          <t>Part. %</t>
        </is>
      </c>
      <c r="J1" s="262" t="n">
        <v>45016</v>
      </c>
      <c r="K1" s="147" t="inlineStr">
        <is>
          <t>Part. %</t>
        </is>
      </c>
      <c r="L1" s="262" t="n">
        <v>45107</v>
      </c>
      <c r="M1" s="147" t="inlineStr">
        <is>
          <t>Part. %</t>
        </is>
      </c>
      <c r="N1" s="262" t="inlineStr">
        <is>
          <t>set-23</t>
        </is>
      </c>
      <c r="O1" s="147" t="inlineStr">
        <is>
          <t>Part. %</t>
        </is>
      </c>
      <c r="P1" s="262" t="n">
        <v>45261</v>
      </c>
      <c r="Q1" s="147" t="inlineStr">
        <is>
          <t>Part. %</t>
        </is>
      </c>
      <c r="R1" s="262" t="n">
        <v>45352</v>
      </c>
      <c r="S1" s="147" t="inlineStr">
        <is>
          <t>Part. %</t>
        </is>
      </c>
      <c r="T1" s="262" t="n">
        <v>45444</v>
      </c>
      <c r="U1" s="147" t="inlineStr">
        <is>
          <t>Part. %</t>
        </is>
      </c>
      <c r="V1" s="262" t="n">
        <v>45536</v>
      </c>
      <c r="W1" s="147" t="inlineStr">
        <is>
          <t>Part. %</t>
        </is>
      </c>
      <c r="X1" s="262" t="n">
        <v>45627</v>
      </c>
      <c r="Y1" s="147" t="inlineStr">
        <is>
          <t>Part. %</t>
        </is>
      </c>
      <c r="Z1" s="262" t="n">
        <v>45717</v>
      </c>
      <c r="AA1" s="147" t="inlineStr">
        <is>
          <t>Part. %</t>
        </is>
      </c>
      <c r="AB1" s="262" t="n">
        <v>45809</v>
      </c>
      <c r="AC1" s="147" t="inlineStr">
        <is>
          <t>Part. %</t>
        </is>
      </c>
      <c r="AD1" s="262" t="n">
        <v>45901</v>
      </c>
      <c r="AE1" s="147" t="inlineStr">
        <is>
          <t>Part. %</t>
        </is>
      </c>
      <c r="AF1" s="262" t="n">
        <v>45992</v>
      </c>
      <c r="AG1" s="147" t="inlineStr">
        <is>
          <t>Part. %</t>
        </is>
      </c>
      <c r="AH1" s="262" t="n">
        <v>46082</v>
      </c>
      <c r="AI1" s="147" t="inlineStr">
        <is>
          <t>Part. %</t>
        </is>
      </c>
    </row>
    <row r="2">
      <c r="A2" s="113" t="inlineStr">
        <is>
          <t>Curto Prazo</t>
        </is>
      </c>
      <c r="B2" s="263" t="n"/>
      <c r="C2" s="149" t="n"/>
      <c r="D2" s="263" t="n"/>
      <c r="E2" s="149" t="n"/>
      <c r="F2" s="263" t="n"/>
      <c r="G2" s="149" t="n"/>
      <c r="H2" s="263" t="n"/>
    </row>
    <row r="3">
      <c r="A3" s="118" t="inlineStr">
        <is>
          <t>Moeda Local</t>
        </is>
      </c>
      <c r="B3" s="264" t="n">
        <v>517.5036820585035</v>
      </c>
      <c r="C3" s="150" t="n">
        <v>0.0214955523392124</v>
      </c>
      <c r="D3" s="264" t="n">
        <v>673.4811985164889</v>
      </c>
      <c r="E3" s="150" t="n">
        <v>0.02412106377998324</v>
      </c>
      <c r="F3" s="264" t="n">
        <v>651.0308751781469</v>
      </c>
      <c r="G3" s="150" t="n">
        <v>0.02351374617580235</v>
      </c>
      <c r="H3" s="264" t="n">
        <v>1032.995172980416</v>
      </c>
      <c r="I3" s="151" t="n">
        <v>0.03750806894685662</v>
      </c>
      <c r="J3" s="264" t="n">
        <v>1045.711008617373</v>
      </c>
      <c r="K3" s="151" t="n">
        <v>0.03726558231523904</v>
      </c>
      <c r="L3" s="264" t="n">
        <v>1072.573557714859</v>
      </c>
      <c r="M3" s="151" t="n">
        <v>0.04199832614010127</v>
      </c>
      <c r="N3" s="264" t="n">
        <v>1072.619601304044</v>
      </c>
      <c r="O3" s="151" t="n">
        <v>0.03732826504285489</v>
      </c>
      <c r="P3" s="264" t="n">
        <v>496.106825794204</v>
      </c>
      <c r="Q3" s="151" t="n">
        <v>0.01605119446340375</v>
      </c>
      <c r="R3" s="264" t="n">
        <v>868.3595601591712</v>
      </c>
      <c r="S3" s="151" t="n">
        <v>0.02619449974419604</v>
      </c>
      <c r="T3" s="264" t="n">
        <v>910.6995150430135</v>
      </c>
      <c r="U3" s="151" t="n">
        <v>0.02480383123856932</v>
      </c>
      <c r="V3" s="264" t="n">
        <v>625.2115588522846</v>
      </c>
      <c r="W3" s="151" t="n">
        <v>0.0168969582732155</v>
      </c>
      <c r="X3" s="264" t="n">
        <v>562.7464932032116</v>
      </c>
      <c r="Y3" s="151" t="n">
        <v>0.01378373197218988</v>
      </c>
      <c r="Z3" s="264" t="n">
        <v>685.110275680204</v>
      </c>
      <c r="AA3" s="151" t="n">
        <v>0.01854037466707565</v>
      </c>
      <c r="AB3" s="264" t="n">
        <v>450.950916321667</v>
      </c>
      <c r="AC3" s="151" t="n">
        <v>0.01251457482981629</v>
      </c>
      <c r="AD3" s="264" t="n">
        <v>435.8947596572766</v>
      </c>
      <c r="AE3" s="151" t="n">
        <v>0.01209314101689416</v>
      </c>
      <c r="AF3" s="264" t="n">
        <v>492.6542922773438</v>
      </c>
      <c r="AG3" s="151" t="n">
        <v>0.01338564991418498</v>
      </c>
      <c r="AH3" s="264" t="n">
        <v>235</v>
      </c>
      <c r="AI3" s="151" t="n">
        <v>0.01</v>
      </c>
    </row>
    <row r="4">
      <c r="A4" s="118" t="inlineStr">
        <is>
          <t>Moeda Estrangeira</t>
        </is>
      </c>
      <c r="B4" s="264" t="n">
        <v>608.9136801847617</v>
      </c>
      <c r="C4" s="150" t="n">
        <v>0.02529244976655894</v>
      </c>
      <c r="D4" s="264" t="n">
        <v>652.9927723743502</v>
      </c>
      <c r="E4" s="150" t="n">
        <v>0.02338726061693339</v>
      </c>
      <c r="F4" s="264" t="n">
        <v>420.3278102930043</v>
      </c>
      <c r="G4" s="150" t="n">
        <v>0.01518127913542658</v>
      </c>
      <c r="H4" s="264" t="n">
        <v>919.984725265628</v>
      </c>
      <c r="I4" s="151" t="n">
        <v>0.03340465803509841</v>
      </c>
      <c r="J4" s="264" t="n">
        <v>1092.996326903544</v>
      </c>
      <c r="K4" s="151" t="n">
        <v>0.03895067017065469</v>
      </c>
      <c r="L4" s="264" t="n">
        <v>891.8350518431405</v>
      </c>
      <c r="M4" s="151" t="n">
        <v>0.03492122204679581</v>
      </c>
      <c r="N4" s="264" t="n">
        <v>1131.823479607593</v>
      </c>
      <c r="O4" s="151" t="n">
        <v>0.03938862088400585</v>
      </c>
      <c r="P4" s="264" t="n">
        <v>1064.735534751348</v>
      </c>
      <c r="Q4" s="151" t="n">
        <v>0.03444878447909017</v>
      </c>
      <c r="R4" s="264" t="n">
        <v>1754.500724989262</v>
      </c>
      <c r="S4" s="151" t="n">
        <v>0.05292539047246603</v>
      </c>
      <c r="T4" s="264" t="n">
        <v>1653.713923555732</v>
      </c>
      <c r="U4" s="151" t="n">
        <v>0.04504058737179777</v>
      </c>
      <c r="V4" s="264" t="n">
        <v>1020.163239476406</v>
      </c>
      <c r="W4" s="151" t="n">
        <v>0.02757091650855713</v>
      </c>
      <c r="X4" s="264" t="n">
        <v>1137.916717037947</v>
      </c>
      <c r="Y4" s="151" t="n">
        <v>0.02787176681465597</v>
      </c>
      <c r="Z4" s="264" t="n">
        <v>1046.101294710062</v>
      </c>
      <c r="AA4" s="151" t="n">
        <v>0.02830947167502523</v>
      </c>
      <c r="AB4" s="264" t="n">
        <v>1293.68019550528</v>
      </c>
      <c r="AC4" s="151" t="n">
        <v>0.03590159599754274</v>
      </c>
      <c r="AD4" s="264" t="n">
        <v>1408.685399088863</v>
      </c>
      <c r="AE4" s="151" t="n">
        <v>0.03908152323972785</v>
      </c>
      <c r="AF4" s="264" t="n">
        <v>1273.845276471896</v>
      </c>
      <c r="AG4" s="151" t="n">
        <v>0.03461097808946288</v>
      </c>
      <c r="AH4" s="264" t="n">
        <v>2105</v>
      </c>
      <c r="AI4" s="151" t="n">
        <v>0.06</v>
      </c>
    </row>
    <row r="5">
      <c r="A5" s="113" t="inlineStr">
        <is>
          <t>Total Curto Prazo</t>
        </is>
      </c>
      <c r="B5" s="265" t="n">
        <v>1126.417362243265</v>
      </c>
      <c r="C5" s="152" t="n">
        <v>0.04678800210577134</v>
      </c>
      <c r="D5" s="265" t="n">
        <v>1326.473970890839</v>
      </c>
      <c r="E5" s="152" t="n">
        <v>0.04750832439691664</v>
      </c>
      <c r="F5" s="265" t="n">
        <v>1071.358685471151</v>
      </c>
      <c r="G5" s="152" t="n">
        <v>0.03869502531122892</v>
      </c>
      <c r="H5" s="265" t="n">
        <v>1952.979898246044</v>
      </c>
      <c r="I5" s="153" t="n">
        <v>0.07091272698195503</v>
      </c>
      <c r="J5" s="265" t="n">
        <v>2138.707335520917</v>
      </c>
      <c r="K5" s="153" t="n">
        <v>0.07621625248589373</v>
      </c>
      <c r="L5" s="265" t="n">
        <v>1964.408609557999</v>
      </c>
      <c r="M5" s="153" t="n">
        <v>0.07691954818689709</v>
      </c>
      <c r="N5" s="265" t="n">
        <v>2204.443080911637</v>
      </c>
      <c r="O5" s="153" t="n">
        <v>0.07671688592686074</v>
      </c>
      <c r="P5" s="265" t="n">
        <v>1560.842360545552</v>
      </c>
      <c r="Q5" s="153" t="n">
        <v>0.05049997894249392</v>
      </c>
      <c r="R5" s="265" t="n">
        <v>2622.860285148433</v>
      </c>
      <c r="S5" s="153" t="n">
        <v>0.07911989021666206</v>
      </c>
      <c r="T5" s="265" t="n">
        <v>2564.413438598746</v>
      </c>
      <c r="U5" s="153" t="n">
        <v>0.06984441861036708</v>
      </c>
      <c r="V5" s="265" t="n">
        <v>1645.374798328691</v>
      </c>
      <c r="W5" s="153" t="n">
        <v>0.04446787478177264</v>
      </c>
      <c r="X5" s="265" t="n">
        <v>1700.663210241159</v>
      </c>
      <c r="Y5" s="153" t="n">
        <v>0.04165549878684584</v>
      </c>
      <c r="Z5" s="265" t="n">
        <v>1731.211570390266</v>
      </c>
      <c r="AA5" s="153" t="n">
        <v>0.04684984634210088</v>
      </c>
      <c r="AB5" s="265" t="n">
        <v>1744.631111826947</v>
      </c>
      <c r="AC5" s="153" t="n">
        <v>0.04841617082735904</v>
      </c>
      <c r="AD5" s="265" t="n">
        <v>1844.580158746139</v>
      </c>
      <c r="AE5" s="153" t="n">
        <v>0.051174664256622</v>
      </c>
      <c r="AF5" s="265" t="n">
        <v>1766.49956874924</v>
      </c>
      <c r="AG5" s="153" t="n">
        <v>0.04799662800364787</v>
      </c>
      <c r="AH5" s="265" t="n">
        <v>2340</v>
      </c>
      <c r="AI5" s="153" t="n">
        <v>0.07000000000000001</v>
      </c>
    </row>
    <row r="6">
      <c r="A6" s="154" t="n"/>
      <c r="B6" s="155" t="n"/>
      <c r="C6" s="156" t="n"/>
      <c r="D6" s="155" t="n"/>
      <c r="E6" s="156" t="n"/>
      <c r="F6" s="155" t="n"/>
      <c r="G6" s="156" t="n"/>
      <c r="H6" s="155" t="n"/>
      <c r="I6" s="151" t="n"/>
      <c r="J6" s="155" t="n"/>
      <c r="K6" s="151" t="n"/>
      <c r="L6" s="155" t="n"/>
      <c r="M6" s="151" t="n"/>
      <c r="N6" s="155" t="n"/>
      <c r="O6" s="151" t="n"/>
      <c r="P6" s="155" t="n"/>
      <c r="Q6" s="151" t="n"/>
      <c r="R6" s="155" t="n"/>
      <c r="S6" s="151" t="n"/>
      <c r="T6" s="155" t="n"/>
      <c r="U6" s="151" t="n"/>
      <c r="V6" s="155" t="n"/>
      <c r="W6" s="151" t="n"/>
      <c r="X6" s="155" t="n"/>
      <c r="Y6" s="151" t="n"/>
      <c r="Z6" s="155" t="n"/>
      <c r="AA6" s="151" t="n"/>
      <c r="AB6" s="155" t="n"/>
      <c r="AC6" s="151" t="n"/>
      <c r="AD6" s="155" t="n"/>
      <c r="AE6" s="151" t="n"/>
      <c r="AF6" s="155" t="n"/>
      <c r="AG6" s="151" t="n"/>
      <c r="AH6" s="155" t="n"/>
      <c r="AI6" s="151" t="n"/>
    </row>
    <row r="7">
      <c r="A7" s="113" t="inlineStr">
        <is>
          <t>Longo Prazo</t>
        </is>
      </c>
      <c r="B7" s="263" t="n"/>
      <c r="C7" s="157" t="n"/>
      <c r="D7" s="263" t="n"/>
      <c r="E7" s="157" t="n"/>
      <c r="F7" s="263" t="n"/>
      <c r="G7" s="157" t="n"/>
      <c r="H7" s="263" t="n"/>
      <c r="I7" s="151" t="n"/>
      <c r="J7" s="263" t="n"/>
      <c r="K7" s="151" t="n"/>
      <c r="L7" s="263" t="n"/>
      <c r="M7" s="151" t="n"/>
      <c r="N7" s="263" t="n"/>
      <c r="O7" s="151" t="n"/>
      <c r="P7" s="263" t="n"/>
      <c r="Q7" s="151" t="n"/>
      <c r="R7" s="263" t="n"/>
      <c r="S7" s="151" t="n"/>
      <c r="T7" s="263" t="n"/>
      <c r="U7" s="151" t="n"/>
      <c r="V7" s="263" t="n"/>
      <c r="W7" s="151" t="n"/>
      <c r="X7" s="263" t="n"/>
      <c r="Y7" s="151" t="n"/>
      <c r="Z7" s="263" t="n"/>
      <c r="AA7" s="151" t="n"/>
      <c r="AB7" s="263" t="n"/>
      <c r="AC7" s="151" t="n"/>
      <c r="AD7" s="263" t="n"/>
      <c r="AE7" s="151" t="n"/>
      <c r="AF7" s="263" t="n"/>
      <c r="AG7" s="151" t="n"/>
      <c r="AH7" s="263" t="n"/>
      <c r="AI7" s="151" t="n"/>
    </row>
    <row r="8">
      <c r="A8" s="118" t="inlineStr">
        <is>
          <t>Moeda Local</t>
        </is>
      </c>
      <c r="B8" s="264" t="n">
        <v>4463.788703045844</v>
      </c>
      <c r="C8" s="150" t="n">
        <v>0.185412407725941</v>
      </c>
      <c r="D8" s="264" t="n">
        <v>6393.791841149048</v>
      </c>
      <c r="E8" s="150" t="n">
        <v>0.228996831887827</v>
      </c>
      <c r="F8" s="264" t="n">
        <v>5251.30389854036</v>
      </c>
      <c r="G8" s="150" t="n">
        <v>0.1896650860506287</v>
      </c>
      <c r="H8" s="264" t="n">
        <v>3897.134352774031</v>
      </c>
      <c r="I8" s="151" t="n">
        <v>0.1415050019810529</v>
      </c>
      <c r="J8" s="264" t="n">
        <v>3900.605408827673</v>
      </c>
      <c r="K8" s="151" t="n">
        <v>0.1390043049600533</v>
      </c>
      <c r="L8" s="264" t="n">
        <v>3907.943974742271</v>
      </c>
      <c r="M8" s="151" t="n">
        <v>0.1530217712416349</v>
      </c>
      <c r="N8" s="264" t="n">
        <v>4082.025718597692</v>
      </c>
      <c r="O8" s="151" t="n">
        <v>0.1420586923363269</v>
      </c>
      <c r="P8" s="264" t="n">
        <v>4043.18267708429</v>
      </c>
      <c r="Q8" s="151" t="n">
        <v>0.1303290745505997</v>
      </c>
      <c r="R8" s="264" t="n">
        <v>3273.640439840829</v>
      </c>
      <c r="S8" s="151" t="n">
        <v>0.09883096187098127</v>
      </c>
      <c r="T8" s="264" t="n">
        <v>3670.897400335603</v>
      </c>
      <c r="U8" s="151" t="n">
        <v>0.09998063917682729</v>
      </c>
      <c r="V8" s="264" t="n">
        <v>4777.868877810862</v>
      </c>
      <c r="W8" s="151" t="n">
        <v>0.1309148917789273</v>
      </c>
      <c r="X8" s="264" t="n">
        <v>4609.086268897664</v>
      </c>
      <c r="Y8" s="151" t="n">
        <v>0.1128934796298141</v>
      </c>
      <c r="Z8" s="264" t="n">
        <v>4509.220067744867</v>
      </c>
      <c r="AA8" s="151" t="n">
        <v>0.1220279894784561</v>
      </c>
      <c r="AB8" s="264" t="n">
        <v>4704.926109922651</v>
      </c>
      <c r="AC8" s="151" t="n">
        <v>0.1305688662341774</v>
      </c>
      <c r="AD8" s="264" t="n">
        <v>5851.411065863192</v>
      </c>
      <c r="AE8" s="151" t="n">
        <v>0.1633430547021414</v>
      </c>
      <c r="AF8" s="264" t="n">
        <v>5963.952189324655</v>
      </c>
      <c r="AG8" s="151" t="n">
        <v>0.1620433991191031</v>
      </c>
      <c r="AH8" s="264" t="n">
        <v>5181</v>
      </c>
      <c r="AI8" s="151" t="n">
        <v>0.16</v>
      </c>
    </row>
    <row r="9">
      <c r="A9" s="118" t="inlineStr">
        <is>
          <t>Moeda Estrangeira</t>
        </is>
      </c>
      <c r="B9" s="264" t="n">
        <v>18484.71296409857</v>
      </c>
      <c r="C9" s="150" t="n">
        <v>0.7677995901682876</v>
      </c>
      <c r="D9" s="264" t="n">
        <v>20200.60885002101</v>
      </c>
      <c r="E9" s="150" t="n">
        <v>0.7234948437152564</v>
      </c>
      <c r="F9" s="264" t="n">
        <v>21364.58343415437</v>
      </c>
      <c r="G9" s="150" t="n">
        <v>0.7716398886381424</v>
      </c>
      <c r="H9" s="264" t="n">
        <v>21690.49772887196</v>
      </c>
      <c r="I9" s="151" t="n">
        <v>0.787582271036992</v>
      </c>
      <c r="J9" s="264" t="n">
        <v>22021.72759500362</v>
      </c>
      <c r="K9" s="151" t="n">
        <v>0.784779442554053</v>
      </c>
      <c r="L9" s="264" t="n">
        <v>19666.13088137131</v>
      </c>
      <c r="M9" s="151" t="n">
        <v>0.7700586805714681</v>
      </c>
      <c r="N9" s="264" t="n">
        <v>22448.31434866587</v>
      </c>
      <c r="O9" s="151" t="n">
        <v>0.7812244217368124</v>
      </c>
      <c r="P9" s="264" t="n">
        <v>25303.7573660606</v>
      </c>
      <c r="Q9" s="151" t="n">
        <v>0.8191709465069064</v>
      </c>
      <c r="R9" s="264" t="n">
        <v>27253.49927501074</v>
      </c>
      <c r="S9" s="151" t="n">
        <v>0.8220491479123566</v>
      </c>
      <c r="T9" s="264" t="n">
        <v>30480.77170023804</v>
      </c>
      <c r="U9" s="151" t="n">
        <v>0.8301749422128056</v>
      </c>
      <c r="V9" s="264" t="n">
        <v>30578.18277842826</v>
      </c>
      <c r="W9" s="151" t="n">
        <v>0.8246172334393</v>
      </c>
      <c r="X9" s="264" t="n">
        <v>34517.1103537868</v>
      </c>
      <c r="Y9" s="151" t="n">
        <v>0.8454510215833401</v>
      </c>
      <c r="Z9" s="264" t="n">
        <v>30711.91091062878</v>
      </c>
      <c r="AA9" s="151" t="n">
        <v>0.8311221641794431</v>
      </c>
      <c r="AB9" s="264" t="n">
        <v>29584.5008628499</v>
      </c>
      <c r="AC9" s="151" t="n">
        <v>0.8210149629384635</v>
      </c>
      <c r="AD9" s="264" t="n">
        <v>28126.84236040798</v>
      </c>
      <c r="AE9" s="151" t="n">
        <v>0.7851652017882769</v>
      </c>
      <c r="AF9" s="264" t="n">
        <v>29062.49229006767</v>
      </c>
      <c r="AG9" s="151" t="n">
        <v>0.7899599728772491</v>
      </c>
      <c r="AH9" s="264" t="n">
        <v>25405</v>
      </c>
      <c r="AI9" s="151" t="n">
        <v>0.77</v>
      </c>
    </row>
    <row r="10">
      <c r="A10" s="113" t="inlineStr">
        <is>
          <t>Total Longo Prazo</t>
        </is>
      </c>
      <c r="B10" s="265" t="n">
        <v>22948.50166714441</v>
      </c>
      <c r="C10" s="152" t="n">
        <v>0.9532119978942285</v>
      </c>
      <c r="D10" s="265" t="n">
        <v>26594.40069117006</v>
      </c>
      <c r="E10" s="152" t="n">
        <v>0.9524916756030833</v>
      </c>
      <c r="F10" s="265" t="n">
        <v>26615.88733269474</v>
      </c>
      <c r="G10" s="152" t="n">
        <v>0.9613049746887711</v>
      </c>
      <c r="H10" s="265" t="n">
        <v>25587.63208164599</v>
      </c>
      <c r="I10" s="153" t="n">
        <v>0.9290872730180449</v>
      </c>
      <c r="J10" s="265" t="n">
        <v>25922.33300383129</v>
      </c>
      <c r="K10" s="153" t="n">
        <v>0.9237837475141062</v>
      </c>
      <c r="L10" s="265" t="n">
        <v>23574.07485611358</v>
      </c>
      <c r="M10" s="153" t="n">
        <v>0.9230804518131029</v>
      </c>
      <c r="N10" s="265" t="n">
        <v>26530.34006726356</v>
      </c>
      <c r="O10" s="153" t="n">
        <v>0.9232831140731393</v>
      </c>
      <c r="P10" s="265" t="n">
        <v>29346.9400431449</v>
      </c>
      <c r="Q10" s="153" t="n">
        <v>0.9495000210575061</v>
      </c>
      <c r="R10" s="265" t="n">
        <v>30527.13971485157</v>
      </c>
      <c r="S10" s="153" t="n">
        <v>0.9208801097833379</v>
      </c>
      <c r="T10" s="265" t="n">
        <v>34151.66910057364</v>
      </c>
      <c r="U10" s="153" t="n">
        <v>0.9301555813896328</v>
      </c>
      <c r="V10" s="265" t="n">
        <v>35356.05165623913</v>
      </c>
      <c r="W10" s="153" t="n">
        <v>0.9555321252182274</v>
      </c>
      <c r="X10" s="265" t="n">
        <v>39126.19662268446</v>
      </c>
      <c r="Y10" s="153" t="n">
        <v>0.9583445012131541</v>
      </c>
      <c r="Z10" s="265" t="n">
        <v>35221.13097837365</v>
      </c>
      <c r="AA10" s="153" t="n">
        <v>0.9531501536578991</v>
      </c>
      <c r="AB10" s="265" t="n">
        <v>34289.42697277256</v>
      </c>
      <c r="AC10" s="153" t="n">
        <v>0.9515838291726411</v>
      </c>
      <c r="AD10" s="265" t="n">
        <v>33978.25342627117</v>
      </c>
      <c r="AE10" s="153" t="n">
        <v>0.9485082564904184</v>
      </c>
      <c r="AF10" s="265" t="n">
        <v>35026.44447939232</v>
      </c>
      <c r="AG10" s="153" t="n">
        <v>0.9520033719963521</v>
      </c>
      <c r="AH10" s="265" t="n">
        <v>30586</v>
      </c>
      <c r="AI10" s="153" t="n">
        <v>0.93</v>
      </c>
    </row>
    <row r="11">
      <c r="A11" s="154" t="n"/>
      <c r="B11" s="155" t="n"/>
      <c r="C11" s="150" t="n"/>
      <c r="D11" s="155" t="n"/>
      <c r="E11" s="150" t="n"/>
      <c r="F11" s="155" t="n"/>
      <c r="G11" s="150" t="n"/>
      <c r="H11" s="155" t="n"/>
      <c r="I11" s="158" t="n"/>
      <c r="J11" s="155" t="n"/>
      <c r="K11" s="158" t="n"/>
      <c r="L11" s="155" t="n"/>
      <c r="M11" s="158" t="n"/>
      <c r="N11" s="155" t="n"/>
      <c r="O11" s="158" t="n"/>
      <c r="P11" s="155" t="n"/>
      <c r="Q11" s="158" t="n"/>
      <c r="R11" s="155" t="n"/>
      <c r="S11" s="158" t="n"/>
      <c r="T11" s="155" t="n"/>
      <c r="U11" s="158" t="n"/>
      <c r="V11" s="155" t="n"/>
      <c r="W11" s="158" t="n"/>
      <c r="X11" s="155" t="n"/>
      <c r="Y11" s="158" t="n"/>
      <c r="Z11" s="155" t="n"/>
      <c r="AA11" s="158" t="n"/>
      <c r="AB11" s="155" t="n"/>
      <c r="AC11" s="158" t="n"/>
      <c r="AD11" s="155" t="n"/>
      <c r="AE11" s="158" t="n"/>
      <c r="AF11" s="155" t="n"/>
      <c r="AG11" s="158" t="n"/>
      <c r="AH11" s="155" t="n"/>
      <c r="AI11" s="158" t="n"/>
    </row>
    <row r="12">
      <c r="A12" s="118" t="inlineStr">
        <is>
          <t>Total Moeda Local</t>
        </is>
      </c>
      <c r="B12" s="264" t="n">
        <v>4981.292385104348</v>
      </c>
      <c r="C12" s="150" t="n">
        <v>0.2069079600651534</v>
      </c>
      <c r="D12" s="264" t="n">
        <v>7067.273039665537</v>
      </c>
      <c r="E12" s="150" t="n">
        <v>0.2531178956678103</v>
      </c>
      <c r="F12" s="264" t="n">
        <v>5902.334773718507</v>
      </c>
      <c r="G12" s="150" t="n">
        <v>0.2131788322264311</v>
      </c>
      <c r="H12" s="264" t="n">
        <v>4930.129525754447</v>
      </c>
      <c r="I12" s="151" t="n">
        <v>0.1790130709279095</v>
      </c>
      <c r="J12" s="264" t="n">
        <v>4946.316417445046</v>
      </c>
      <c r="K12" s="151" t="n">
        <v>0.1762698872752924</v>
      </c>
      <c r="L12" s="264" t="n">
        <v>4980.517532457129</v>
      </c>
      <c r="M12" s="151" t="n">
        <v>0.1950200973817361</v>
      </c>
      <c r="N12" s="264" t="n">
        <v>5154.645319901736</v>
      </c>
      <c r="O12" s="151" t="n">
        <v>0.1793869573791818</v>
      </c>
      <c r="P12" s="264" t="n">
        <v>4524.289502878491</v>
      </c>
      <c r="Q12" s="151" t="n">
        <v>0.1463802690140034</v>
      </c>
      <c r="R12" s="264" t="n">
        <v>4142</v>
      </c>
      <c r="S12" s="151" t="n">
        <v>0.124947209653092</v>
      </c>
      <c r="T12" s="264" t="n">
        <v>4581.596915378617</v>
      </c>
      <c r="U12" s="151" t="n">
        <v>0.1247844704153966</v>
      </c>
      <c r="V12" s="264" t="n">
        <v>5404.08043666315</v>
      </c>
      <c r="W12" s="151" t="n">
        <v>0.1478118500521428</v>
      </c>
      <c r="X12" s="264" t="n">
        <v>5171.832762100876</v>
      </c>
      <c r="Y12" s="151" t="n">
        <v>0.126677211602004</v>
      </c>
      <c r="Z12" s="264" t="n">
        <v>5194.33034342507</v>
      </c>
      <c r="AA12" s="151" t="n">
        <v>0.1405683641455317</v>
      </c>
      <c r="AB12" s="264" t="n">
        <v>5155.877026244318</v>
      </c>
      <c r="AC12" s="151" t="n">
        <v>0.1430834410639937</v>
      </c>
      <c r="AD12" s="264" t="n">
        <v>6287.305825520468</v>
      </c>
      <c r="AE12" s="151" t="n">
        <v>0.1755111250649389</v>
      </c>
      <c r="AF12" s="264" t="n">
        <v>6456.606481601999</v>
      </c>
      <c r="AG12" s="151" t="n">
        <v>0.1754290490332882</v>
      </c>
      <c r="AH12" s="264" t="n">
        <v>5416</v>
      </c>
      <c r="AI12" s="151" t="n">
        <v>0.16</v>
      </c>
    </row>
    <row r="13">
      <c r="A13" s="118" t="inlineStr">
        <is>
          <t>Total Moeda Estrangeira</t>
        </is>
      </c>
      <c r="B13" s="264" t="n">
        <v>19093.62664428333</v>
      </c>
      <c r="C13" s="150" t="n">
        <v>0.7930920399348466</v>
      </c>
      <c r="D13" s="264" t="n">
        <v>20853.60162239536</v>
      </c>
      <c r="E13" s="150" t="n">
        <v>0.7468821043321898</v>
      </c>
      <c r="F13" s="264" t="n">
        <v>21784.91124444738</v>
      </c>
      <c r="G13" s="150" t="n">
        <v>0.7868211677735689</v>
      </c>
      <c r="H13" s="264" t="n">
        <v>22610.48245413759</v>
      </c>
      <c r="I13" s="151" t="n">
        <v>0.8209869290720905</v>
      </c>
      <c r="J13" s="264" t="n">
        <v>23114.72392190716</v>
      </c>
      <c r="K13" s="151" t="n">
        <v>0.8237301127247075</v>
      </c>
      <c r="L13" s="264" t="n">
        <v>20557.96593321445</v>
      </c>
      <c r="M13" s="151" t="n">
        <v>0.8049799026182639</v>
      </c>
      <c r="N13" s="264" t="n">
        <v>23580.13782827346</v>
      </c>
      <c r="O13" s="151" t="n">
        <v>0.8206130426208182</v>
      </c>
      <c r="P13" s="264" t="n">
        <v>26383.49290081197</v>
      </c>
      <c r="Q13" s="151" t="n">
        <v>0.8536197309859965</v>
      </c>
      <c r="R13" s="264" t="n">
        <v>29008</v>
      </c>
      <c r="S13" s="151" t="n">
        <v>0.875052790346908</v>
      </c>
      <c r="T13" s="264" t="n">
        <v>32134.48562379377</v>
      </c>
      <c r="U13" s="151" t="n">
        <v>0.8752155295846034</v>
      </c>
      <c r="V13" s="264" t="n">
        <v>31597.3460179047</v>
      </c>
      <c r="W13" s="151" t="n">
        <v>0.8521881499478572</v>
      </c>
      <c r="X13" s="264" t="n">
        <v>35655.02707082474</v>
      </c>
      <c r="Y13" s="151" t="n">
        <v>0.8733227883979959</v>
      </c>
      <c r="Z13" s="264" t="n">
        <v>31758.0122053388</v>
      </c>
      <c r="AA13" s="151" t="n">
        <v>0.8594316358544682</v>
      </c>
      <c r="AB13" s="264" t="n">
        <v>30878.18105835518</v>
      </c>
      <c r="AC13" s="151" t="n">
        <v>0.8569165589360063</v>
      </c>
      <c r="AD13" s="264" t="n">
        <v>29535.52775949684</v>
      </c>
      <c r="AE13" s="151" t="n">
        <v>0.824488874935061</v>
      </c>
      <c r="AF13" s="264" t="n">
        <v>30336.33756653957</v>
      </c>
      <c r="AG13" s="151" t="n">
        <v>0.8245709509667118</v>
      </c>
      <c r="AH13" s="264" t="n">
        <v>27510</v>
      </c>
      <c r="AI13" s="151" t="n">
        <v>0.84</v>
      </c>
    </row>
    <row r="14">
      <c r="A14" s="113" t="inlineStr">
        <is>
          <t>Endividamento Bruto²</t>
        </is>
      </c>
      <c r="B14" s="265" t="n">
        <v>24074.91902938768</v>
      </c>
      <c r="C14" s="152" t="n"/>
      <c r="D14" s="265" t="n">
        <v>27920.87466206089</v>
      </c>
      <c r="E14" s="152" t="n"/>
      <c r="F14" s="265" t="n">
        <v>27687.24601816589</v>
      </c>
      <c r="G14" s="152" t="n"/>
      <c r="H14" s="265" t="n">
        <v>27540.61197989203</v>
      </c>
      <c r="I14" s="158" t="n"/>
      <c r="J14" s="265" t="n">
        <v>28061.04033935221</v>
      </c>
      <c r="L14" s="265" t="n">
        <v>25538.48346567158</v>
      </c>
      <c r="N14" s="265" t="n">
        <v>28734.78314817519</v>
      </c>
      <c r="P14" s="265" t="n">
        <v>30907.78240369046</v>
      </c>
      <c r="R14" s="265" t="n">
        <v>33150</v>
      </c>
      <c r="T14" s="265" t="n">
        <v>36716.08253917239</v>
      </c>
      <c r="V14" s="265" t="n">
        <v>37001.42645456782</v>
      </c>
      <c r="X14" s="265" t="n">
        <v>40826.85983292562</v>
      </c>
      <c r="Z14" s="265" t="n">
        <v>36952.34254876392</v>
      </c>
      <c r="AB14" s="265" t="n">
        <v>36034.0580845995</v>
      </c>
      <c r="AD14" s="265" t="n">
        <v>35822.83358501731</v>
      </c>
      <c r="AF14" s="265" t="n">
        <v>36792.94404814157</v>
      </c>
      <c r="AH14" s="265" t="n">
        <v>32926</v>
      </c>
    </row>
    <row r="15">
      <c r="A15" s="118" t="inlineStr">
        <is>
          <t>(-) Disponibilidades</t>
        </is>
      </c>
      <c r="B15" s="264" t="n">
        <v>6185.16244729</v>
      </c>
      <c r="C15" s="150" t="n"/>
      <c r="D15" s="264" t="n">
        <v>7396.25707794</v>
      </c>
      <c r="E15" s="150" t="n"/>
      <c r="F15" s="264" t="n">
        <v>6252.58771479</v>
      </c>
      <c r="G15" s="150" t="n"/>
      <c r="H15" s="264" t="n">
        <v>6502.3111174</v>
      </c>
      <c r="I15" s="158" t="n"/>
      <c r="J15" s="264" t="n">
        <v>7075.888</v>
      </c>
      <c r="L15" s="264" t="n">
        <v>6023.77811068</v>
      </c>
      <c r="N15" s="264" t="n">
        <v>7853.12735382</v>
      </c>
      <c r="P15" s="264" t="n">
        <v>10715</v>
      </c>
      <c r="R15" s="264" t="n">
        <v>11800.492</v>
      </c>
      <c r="T15" s="264" t="n">
        <v>12959.98</v>
      </c>
      <c r="V15" s="264" t="n">
        <v>7497.95430733</v>
      </c>
      <c r="X15" s="264" t="n">
        <v>7530</v>
      </c>
      <c r="Z15" s="264" t="n">
        <v>6470</v>
      </c>
      <c r="AB15" s="264" t="n">
        <v>8082.753</v>
      </c>
      <c r="AD15" s="264" t="n">
        <v>9725.682000000001</v>
      </c>
      <c r="AF15" s="264" t="n">
        <v>10891</v>
      </c>
      <c r="AH15" s="264" t="n">
        <v>8885</v>
      </c>
    </row>
    <row r="16">
      <c r="A16" s="113" t="inlineStr">
        <is>
          <t>Endividamento Líquido</t>
        </is>
      </c>
      <c r="B16" s="265" t="n">
        <v>17889.75658209768</v>
      </c>
      <c r="C16" s="152" t="n"/>
      <c r="D16" s="265" t="n">
        <v>20524.61758412089</v>
      </c>
      <c r="E16" s="152" t="n"/>
      <c r="F16" s="265" t="n">
        <v>21434.65830337589</v>
      </c>
      <c r="G16" s="152" t="n"/>
      <c r="H16" s="265" t="n">
        <v>21038.30086249203</v>
      </c>
      <c r="I16" s="158" t="n"/>
      <c r="J16" s="265" t="n">
        <v>20985.15233935221</v>
      </c>
      <c r="L16" s="265" t="n">
        <v>19514.70535499158</v>
      </c>
      <c r="N16" s="265" t="n">
        <v>20881.65579435519</v>
      </c>
      <c r="P16" s="265" t="n">
        <v>20192.78240369046</v>
      </c>
      <c r="R16" s="265" t="n">
        <v>21349.96205101028</v>
      </c>
      <c r="T16" s="265" t="n">
        <v>23756.10253917239</v>
      </c>
      <c r="V16" s="265" t="n">
        <v>29503.47214723782</v>
      </c>
      <c r="W16" s="266" t="n"/>
      <c r="X16" s="265" t="n">
        <v>33296.85983292562</v>
      </c>
      <c r="Y16" s="266" t="n"/>
      <c r="Z16" s="265" t="n">
        <v>30482.34254876392</v>
      </c>
      <c r="AA16" s="266" t="n"/>
      <c r="AB16" s="265" t="n">
        <v>27951.3050845995</v>
      </c>
      <c r="AC16" s="266" t="n"/>
      <c r="AD16" s="265" t="n">
        <v>26097.15158501731</v>
      </c>
      <c r="AE16" s="266" t="n"/>
      <c r="AF16" s="265" t="n">
        <v>25901.94404814157</v>
      </c>
      <c r="AG16" s="266" t="n"/>
      <c r="AH16" s="265" t="n">
        <v>24041</v>
      </c>
      <c r="AI16" s="266" t="n"/>
    </row>
    <row r="17">
      <c r="A17" s="159" t="inlineStr">
        <is>
          <t>Dívida Líquida/EBITDA (UDM - US$)</t>
        </is>
      </c>
      <c r="B17" s="267" t="inlineStr">
        <is>
          <t>2,7 x</t>
        </is>
      </c>
      <c r="C17" s="161" t="n"/>
      <c r="D17" s="267" t="n">
        <v>2.7</v>
      </c>
      <c r="E17" s="161" t="n"/>
      <c r="F17" s="267" t="n">
        <v>2.7</v>
      </c>
      <c r="G17" s="161" t="n"/>
      <c r="H17" s="267" t="n">
        <v>2.7</v>
      </c>
      <c r="I17" s="158" t="n"/>
      <c r="J17" s="267" t="n">
        <v>2.6</v>
      </c>
      <c r="L17" s="268" t="inlineStr">
        <is>
          <t>2,8x</t>
        </is>
      </c>
      <c r="N17" s="268" t="n">
        <v>3.2</v>
      </c>
      <c r="P17" s="268" t="n">
        <v>3.3</v>
      </c>
      <c r="R17" s="268" t="n">
        <v>3.5</v>
      </c>
      <c r="T17" s="268" t="n">
        <v>3.2</v>
      </c>
      <c r="V17" s="268" t="n">
        <v>3.9</v>
      </c>
      <c r="X17" s="268" t="inlineStr">
        <is>
          <t>3,9x</t>
        </is>
      </c>
      <c r="Z17" s="268" t="inlineStr">
        <is>
          <t>3,9x</t>
        </is>
      </c>
      <c r="AB17" s="268" t="n">
        <v>3.9</v>
      </c>
      <c r="AD17" s="268" t="n">
        <v>3.6</v>
      </c>
      <c r="AF17" s="268" t="n">
        <v>3.3</v>
      </c>
      <c r="AH17" s="268" t="inlineStr">
        <is>
          <t>3,3 x</t>
        </is>
      </c>
    </row>
    <row r="18">
      <c r="A18" s="159" t="inlineStr">
        <is>
          <t>Dívida Líquida/EBITDA (UDM - R$)</t>
        </is>
      </c>
      <c r="B18" s="267" t="inlineStr">
        <is>
          <t>2,4 x</t>
        </is>
      </c>
      <c r="C18" s="161" t="n"/>
      <c r="D18" s="267" t="n">
        <v>2.7</v>
      </c>
      <c r="E18" s="161" t="n"/>
      <c r="F18" s="267" t="n">
        <v>2.6</v>
      </c>
      <c r="G18" s="161" t="n"/>
      <c r="H18" s="267" t="n">
        <v>2.6</v>
      </c>
      <c r="I18" s="158" t="n"/>
      <c r="J18" s="267" t="n">
        <v>2.6</v>
      </c>
      <c r="L18" s="268" t="n">
        <v>2.6</v>
      </c>
      <c r="N18" s="268" t="n">
        <v>3.2</v>
      </c>
      <c r="P18" s="268" t="n">
        <v>3.2</v>
      </c>
      <c r="R18" s="268" t="n">
        <v>3.5</v>
      </c>
      <c r="T18" s="268" t="n">
        <v>3.5</v>
      </c>
      <c r="V18" s="268" t="n">
        <v>4.1</v>
      </c>
      <c r="X18" s="268" t="inlineStr">
        <is>
          <t>4,5x</t>
        </is>
      </c>
      <c r="Z18" s="268" t="inlineStr">
        <is>
          <t>4,0x</t>
        </is>
      </c>
      <c r="AB18" s="268" t="n">
        <v>3.7</v>
      </c>
      <c r="AD18" s="268" t="n">
        <v>3.3</v>
      </c>
      <c r="AF18" s="268" t="n">
        <v>3.3</v>
      </c>
      <c r="AH18" s="268" t="inlineStr">
        <is>
          <t>3,1 x</t>
        </is>
      </c>
    </row>
    <row r="19">
      <c r="A19" s="159" t="n"/>
      <c r="B19" s="267" t="n"/>
      <c r="C19" s="161" t="n"/>
      <c r="D19" s="267" t="n"/>
      <c r="E19" s="161" t="n"/>
      <c r="F19" s="267" t="n"/>
      <c r="G19" s="161" t="n"/>
      <c r="H19" s="267" t="n"/>
      <c r="I19" s="158" t="n"/>
      <c r="J19" s="267" t="n"/>
      <c r="L19" s="268" t="n"/>
      <c r="N19" s="268" t="n"/>
      <c r="P19" s="268" t="n"/>
      <c r="R19" s="268" t="n"/>
      <c r="T19" s="268" t="n"/>
      <c r="V19" s="268" t="n"/>
      <c r="X19" s="268" t="n"/>
      <c r="Z19" s="268" t="n"/>
      <c r="AB19" s="268" t="n"/>
    </row>
    <row r="20">
      <c r="A20" s="163" t="inlineStr">
        <is>
          <t>¹ Composição Endividamento Bruto:
i.Empréstimos Financiamentos - Nota Explicativa nº16 (Empréstimos, Financiamentos e Debêntures)
ii.(-) Instrumentos Financeiros Derivativos Ativos - Nota Explicativa nº25.3 (Instrumentos financeiros por categoria)
iii.(+) Instrumentos Financeiros Derivativos Passivos - Nota Explicativa nº25.3 (Instrumentos financeiros por categoria)
iv.(-) Hedge exposição líquida de caixa (ZCC) - Nota Explicativa nº26.1 (Hedge de receita futura - transações altamente prováveis)
v.(+) Operações com opções de compra - Nota Explicativa nº26 (Contabilidade de Hedge)</t>
        </is>
      </c>
      <c r="B20" s="158" t="n"/>
      <c r="C20" s="158" t="n"/>
      <c r="D20" s="158" t="n"/>
      <c r="E20" s="158" t="n"/>
      <c r="F20" s="158" t="n"/>
      <c r="G20" s="158" t="n"/>
      <c r="H20" s="158" t="n"/>
    </row>
    <row r="21">
      <c r="A21" s="163" t="inlineStr">
        <is>
          <t>² Inclui valor justo de marcação a mercado de instumentos financeiros derivativos</t>
        </is>
      </c>
      <c r="B21" s="158" t="n"/>
      <c r="C21" s="158" t="n"/>
      <c r="D21" s="158" t="n"/>
      <c r="E21" s="158" t="n"/>
      <c r="F21" s="158" t="n"/>
      <c r="G21" s="158" t="n"/>
      <c r="H21" s="158" t="n"/>
    </row>
    <row r="22">
      <c r="C22" s="266" t="n"/>
      <c r="E22" s="266" t="n"/>
      <c r="G22" s="266" t="n"/>
    </row>
    <row r="23" ht="13.5" customHeight="1" s="192" thickBot="1">
      <c r="A23" s="201" t="inlineStr">
        <is>
          <t>Prazo Médio / Custo da Dívida</t>
        </is>
      </c>
      <c r="B23" s="165" t="n"/>
      <c r="C23" s="164" t="n"/>
      <c r="D23" s="165" t="n"/>
      <c r="E23" s="164" t="n"/>
      <c r="F23" s="166" t="inlineStr">
        <is>
          <t>1T20</t>
        </is>
      </c>
      <c r="G23" s="208" t="inlineStr">
        <is>
          <t>2T20</t>
        </is>
      </c>
      <c r="H23" s="168" t="inlineStr">
        <is>
          <t>3T20</t>
        </is>
      </c>
      <c r="I23" s="168" t="inlineStr">
        <is>
          <t>4T20</t>
        </is>
      </c>
      <c r="J23" s="208" t="inlineStr">
        <is>
          <t>1T21</t>
        </is>
      </c>
      <c r="K23" s="168" t="inlineStr">
        <is>
          <t>2T21</t>
        </is>
      </c>
      <c r="L23" s="168" t="inlineStr">
        <is>
          <t>3T21</t>
        </is>
      </c>
      <c r="M23" s="168" t="inlineStr">
        <is>
          <t>4T21</t>
        </is>
      </c>
      <c r="N23" s="168" t="inlineStr">
        <is>
          <t>1T22</t>
        </is>
      </c>
      <c r="O23" s="168" t="inlineStr">
        <is>
          <t>2T22</t>
        </is>
      </c>
      <c r="P23" s="168" t="inlineStr">
        <is>
          <t>3T22</t>
        </is>
      </c>
      <c r="Q23" s="168" t="inlineStr">
        <is>
          <t>4T22</t>
        </is>
      </c>
      <c r="R23" s="168" t="inlineStr">
        <is>
          <t>1T23</t>
        </is>
      </c>
      <c r="S23" s="168" t="inlineStr">
        <is>
          <t>2T23</t>
        </is>
      </c>
      <c r="T23" s="168" t="inlineStr">
        <is>
          <t>3T23</t>
        </is>
      </c>
      <c r="U23" s="168" t="inlineStr">
        <is>
          <t>4T23</t>
        </is>
      </c>
      <c r="V23" s="168" t="inlineStr">
        <is>
          <t>1T24</t>
        </is>
      </c>
      <c r="W23" s="168" t="inlineStr">
        <is>
          <t>2T24</t>
        </is>
      </c>
      <c r="X23" s="168" t="inlineStr">
        <is>
          <t>3T24</t>
        </is>
      </c>
      <c r="Y23" s="199" t="inlineStr">
        <is>
          <t>4T24</t>
        </is>
      </c>
      <c r="Z23" s="199" t="inlineStr">
        <is>
          <t>1T25</t>
        </is>
      </c>
      <c r="AA23" s="199" t="inlineStr">
        <is>
          <t>2T25</t>
        </is>
      </c>
      <c r="AB23" s="199" t="inlineStr">
        <is>
          <t>3T25</t>
        </is>
      </c>
      <c r="AC23" s="199" t="inlineStr">
        <is>
          <t>4T25</t>
        </is>
      </c>
      <c r="AD23" s="199" t="inlineStr">
        <is>
          <t>1T26</t>
        </is>
      </c>
    </row>
    <row r="24">
      <c r="A24" s="118" t="inlineStr">
        <is>
          <t>Custo moeda local</t>
        </is>
      </c>
      <c r="B24" s="266" t="n"/>
      <c r="C24" s="266" t="n"/>
      <c r="D24" s="266" t="n"/>
      <c r="E24" s="266" t="n"/>
      <c r="F24" s="269" t="n">
        <v>0.053</v>
      </c>
      <c r="G24" s="269" t="n">
        <v>0.036</v>
      </c>
      <c r="H24" s="269" t="n">
        <v>0.04076408595887934</v>
      </c>
      <c r="I24" s="269" t="n">
        <v>0.04323926620678115</v>
      </c>
      <c r="J24" s="269" t="n">
        <v>0.06450666305921138</v>
      </c>
      <c r="K24" s="269" t="n">
        <v>0.0847</v>
      </c>
      <c r="L24" s="269" t="n">
        <v>0.103871475150542</v>
      </c>
      <c r="M24" s="269" t="n">
        <v>0.1149212862294614</v>
      </c>
      <c r="N24" s="269" t="n">
        <v>0.1343370666989653</v>
      </c>
      <c r="O24" s="269" t="n">
        <v>0.1487369024848832</v>
      </c>
      <c r="P24" s="269" t="n">
        <v>0.1263557351368796</v>
      </c>
      <c r="Q24" s="269" t="n">
        <v>0.108</v>
      </c>
      <c r="R24" s="269" t="n">
        <v>0.1050058552747562</v>
      </c>
      <c r="S24" s="269" t="n">
        <v>0.09408679231067438</v>
      </c>
      <c r="T24" s="269" t="n">
        <v>0.09689564746384802</v>
      </c>
      <c r="U24" s="269" t="n">
        <v>0.09159106113037076</v>
      </c>
      <c r="V24" s="269" t="n">
        <v>0.08828426863107292</v>
      </c>
      <c r="W24" s="269" t="n">
        <v>0.083</v>
      </c>
      <c r="X24" s="269" t="n">
        <v>0.08750025817060197</v>
      </c>
      <c r="Y24" s="269" t="n">
        <v>0.101094711310071</v>
      </c>
      <c r="Z24" s="269" t="n">
        <v>0.108</v>
      </c>
      <c r="AA24" s="269" t="n">
        <v>0.118</v>
      </c>
      <c r="AB24" s="269" t="n">
        <v>0.1260058744765712</v>
      </c>
      <c r="AC24" s="269" t="n">
        <v>0.1267</v>
      </c>
      <c r="AD24" s="269" t="inlineStr">
        <is>
          <t>12,4% a.a.</t>
        </is>
      </c>
    </row>
    <row r="25">
      <c r="A25" s="118" t="inlineStr">
        <is>
          <t>Custo moeda estrangeira</t>
        </is>
      </c>
      <c r="B25" s="266" t="n"/>
      <c r="C25" s="266" t="n"/>
      <c r="D25" s="266" t="n"/>
      <c r="E25" s="266" t="n"/>
      <c r="F25" s="269" t="n">
        <v>0.0505</v>
      </c>
      <c r="G25" s="269" t="n">
        <v>0.046</v>
      </c>
      <c r="H25" s="269" t="n">
        <v>0.04675594747304146</v>
      </c>
      <c r="I25" s="269" t="n">
        <v>0.054</v>
      </c>
      <c r="J25" s="269" t="n">
        <v>0.05091173691732818</v>
      </c>
      <c r="K25" s="269" t="n">
        <v>0.051</v>
      </c>
      <c r="L25" s="269" t="n">
        <v>0.05098887681556592</v>
      </c>
      <c r="M25" s="269" t="n">
        <v>0.05106684298736031</v>
      </c>
      <c r="N25" s="269" t="n">
        <v>0.05045935091345563</v>
      </c>
      <c r="O25" s="269" t="n">
        <v>0.05187839961820039</v>
      </c>
      <c r="P25" s="269" t="n">
        <v>0.05149117547051076</v>
      </c>
      <c r="Q25" s="269" t="n">
        <v>0.05171838134180567</v>
      </c>
      <c r="R25" s="269" t="n">
        <v>0.05284311960191574</v>
      </c>
      <c r="S25" s="269" t="n">
        <v>0.05324217898919695</v>
      </c>
      <c r="T25" s="269" t="n">
        <v>0.05513657175157376</v>
      </c>
      <c r="U25" s="269" t="n">
        <v>0.05705020991953941</v>
      </c>
      <c r="V25" s="269" t="n">
        <v>0.05726122392383119</v>
      </c>
      <c r="W25" s="269" t="n">
        <v>0.057</v>
      </c>
      <c r="X25" s="269" t="n">
        <v>0.05698858481058631</v>
      </c>
      <c r="Y25" s="269" t="n">
        <v>0.05731825379994522</v>
      </c>
      <c r="Z25" s="269" t="n">
        <v>0.056</v>
      </c>
      <c r="AA25" s="269" t="n">
        <v>0.054</v>
      </c>
      <c r="AB25" s="269" t="n">
        <v>0.05270417813065204</v>
      </c>
      <c r="AC25" s="269" t="n">
        <v>0.0518</v>
      </c>
      <c r="AD25" s="269" t="inlineStr">
        <is>
          <t>5,1% a.a.</t>
        </is>
      </c>
    </row>
    <row r="26">
      <c r="A26" s="113" t="inlineStr">
        <is>
          <t>Prazo médio</t>
        </is>
      </c>
      <c r="B26" s="266" t="n"/>
      <c r="C26" s="266" t="n"/>
      <c r="D26" s="266" t="n"/>
      <c r="E26" s="266" t="n"/>
      <c r="F26" s="270" t="n">
        <v>113</v>
      </c>
      <c r="G26" s="270" t="n">
        <v>114</v>
      </c>
      <c r="H26" s="270" t="n">
        <v>117</v>
      </c>
      <c r="I26" s="270" t="n">
        <v>115.7305980010841</v>
      </c>
      <c r="J26" s="270" t="n">
        <v>114</v>
      </c>
      <c r="K26" s="270" t="n">
        <v>110</v>
      </c>
      <c r="L26" s="270" t="n">
        <v>108.1806450395148</v>
      </c>
      <c r="M26" s="270" t="n">
        <v>105.2543434883163</v>
      </c>
      <c r="N26" s="270" t="n">
        <v>101.7748176372639</v>
      </c>
      <c r="O26" s="270" t="n">
        <v>101.9776009705615</v>
      </c>
      <c r="P26" s="270" t="n">
        <v>112.5426215900586</v>
      </c>
      <c r="Q26" s="270" t="n">
        <v>109.1216507243989</v>
      </c>
      <c r="R26" s="270" t="n">
        <v>105.2800781507524</v>
      </c>
      <c r="S26" s="270" t="n">
        <v>104.4035080157035</v>
      </c>
      <c r="T26" s="270" t="n">
        <v>99.1203300367352</v>
      </c>
      <c r="U26" s="270" t="n">
        <v>93.79680059222201</v>
      </c>
      <c r="V26" s="270" t="n">
        <v>90.1042521363471</v>
      </c>
      <c r="W26" s="270" t="n">
        <v>88</v>
      </c>
      <c r="X26" s="270" t="n">
        <v>89.74242592427423</v>
      </c>
      <c r="Y26" s="270" t="n">
        <v>87.16458678332967</v>
      </c>
      <c r="Z26" s="270" t="n">
        <v>88</v>
      </c>
      <c r="AA26" s="270" t="n">
        <v>86</v>
      </c>
      <c r="AB26" s="270" t="n">
        <v>86</v>
      </c>
      <c r="AC26" s="270" t="n">
        <v>85</v>
      </c>
      <c r="AD26" s="270" t="inlineStr">
        <is>
          <t>85 meses</t>
        </is>
      </c>
    </row>
  </sheetData>
  <pageMargins left="0.511811024" right="0.511811024" top="0.787401575" bottom="0.787401575" header="0.31496062" footer="0.31496062"/>
  <pageSetup orientation="portrait" paperSize="9" verticalDpi="0"/>
</worksheet>
</file>

<file path=xl/worksheets/sheet7.xml><?xml version="1.0" encoding="utf-8"?>
<worksheet xmlns="http://schemas.openxmlformats.org/spreadsheetml/2006/main">
  <sheetPr>
    <tabColor rgb="FF538135"/>
    <outlinePr summaryBelow="1" summaryRight="1"/>
    <pageSetUpPr/>
  </sheetPr>
  <dimension ref="A1:AK8"/>
  <sheetViews>
    <sheetView showGridLines="0" zoomScale="110" zoomScaleNormal="110" zoomScaleSheetLayoutView="100" workbookViewId="0">
      <pane xSplit="1" ySplit="2" topLeftCell="R3" activePane="bottomRight" state="frozen"/>
      <selection pane="topRight" activeCell="B1" sqref="B1"/>
      <selection pane="bottomLeft" activeCell="A4" sqref="A4"/>
      <selection pane="bottomRight" activeCell="A8" sqref="A8"/>
    </sheetView>
  </sheetViews>
  <sheetFormatPr baseColWidth="8" defaultColWidth="9.140625" defaultRowHeight="0" customHeight="1" zeroHeight="1"/>
  <cols>
    <col width="41.5703125" bestFit="1" customWidth="1" style="79" min="1" max="1"/>
    <col width="9.140625" customWidth="1" style="79" min="2" max="24"/>
    <col width="9.140625" customWidth="1" style="79" min="25" max="16384"/>
  </cols>
  <sheetData>
    <row r="1" ht="12.75" customFormat="1" customHeight="1" s="140">
      <c r="A1" s="201" t="inlineStr">
        <is>
          <t>Investimentos (R$ milhões)</t>
        </is>
      </c>
      <c r="B1" s="199" t="inlineStr">
        <is>
          <t>1T19</t>
        </is>
      </c>
      <c r="C1" s="199" t="inlineStr">
        <is>
          <t>2T19</t>
        </is>
      </c>
      <c r="D1" s="199" t="inlineStr">
        <is>
          <t>3T19</t>
        </is>
      </c>
      <c r="E1" s="199" t="inlineStr">
        <is>
          <t>4T19</t>
        </is>
      </c>
      <c r="F1" s="203" t="n">
        <v>2019</v>
      </c>
      <c r="G1" s="199" t="inlineStr">
        <is>
          <t>1T20</t>
        </is>
      </c>
      <c r="H1" s="199" t="inlineStr">
        <is>
          <t>2T20</t>
        </is>
      </c>
      <c r="I1" s="199" t="inlineStr">
        <is>
          <t>3T20</t>
        </is>
      </c>
      <c r="J1" s="199" t="inlineStr">
        <is>
          <t>4T20</t>
        </is>
      </c>
      <c r="K1" s="203" t="n">
        <v>2020</v>
      </c>
      <c r="L1" s="199" t="inlineStr">
        <is>
          <t>1T21</t>
        </is>
      </c>
      <c r="M1" s="199" t="inlineStr">
        <is>
          <t>2T21</t>
        </is>
      </c>
      <c r="N1" s="199" t="inlineStr">
        <is>
          <t>3T21</t>
        </is>
      </c>
      <c r="O1" s="199" t="inlineStr">
        <is>
          <t>4T21</t>
        </is>
      </c>
      <c r="P1" s="203" t="n">
        <v>2021</v>
      </c>
      <c r="Q1" s="199" t="inlineStr">
        <is>
          <t>1T22</t>
        </is>
      </c>
      <c r="R1" s="199" t="inlineStr">
        <is>
          <t>2T22</t>
        </is>
      </c>
      <c r="S1" s="199" t="inlineStr">
        <is>
          <t>3T22</t>
        </is>
      </c>
      <c r="T1" s="199" t="inlineStr">
        <is>
          <t>4T22</t>
        </is>
      </c>
      <c r="U1" s="203" t="n">
        <v>2022</v>
      </c>
      <c r="V1" s="199" t="inlineStr">
        <is>
          <t>1T23</t>
        </is>
      </c>
      <c r="W1" s="199" t="inlineStr">
        <is>
          <t>2T23</t>
        </is>
      </c>
      <c r="X1" s="199" t="inlineStr">
        <is>
          <t>3T23</t>
        </is>
      </c>
      <c r="Y1" s="199" t="inlineStr">
        <is>
          <t>4T23</t>
        </is>
      </c>
      <c r="Z1" s="203" t="n">
        <v>2023</v>
      </c>
      <c r="AA1" s="199" t="inlineStr">
        <is>
          <t>1T24</t>
        </is>
      </c>
      <c r="AB1" s="199" t="inlineStr">
        <is>
          <t>2T24</t>
        </is>
      </c>
      <c r="AC1" s="199" t="inlineStr">
        <is>
          <t>3T24</t>
        </is>
      </c>
      <c r="AD1" s="199" t="inlineStr">
        <is>
          <t>4T24</t>
        </is>
      </c>
      <c r="AE1" s="203" t="n">
        <v>2024</v>
      </c>
      <c r="AF1" s="199" t="inlineStr">
        <is>
          <t>1T25</t>
        </is>
      </c>
      <c r="AG1" s="199" t="inlineStr">
        <is>
          <t>2T25</t>
        </is>
      </c>
      <c r="AH1" s="199" t="inlineStr">
        <is>
          <t>3T25</t>
        </is>
      </c>
      <c r="AI1" s="199" t="inlineStr">
        <is>
          <t>4T25</t>
        </is>
      </c>
      <c r="AJ1" s="203" t="n">
        <v>2025</v>
      </c>
      <c r="AK1" s="199" t="inlineStr">
        <is>
          <t>1T26</t>
        </is>
      </c>
    </row>
    <row r="2" ht="15" customFormat="1" customHeight="1" s="140" thickBot="1">
      <c r="A2" s="245" t="n"/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  <c r="O2" s="245" t="n"/>
      <c r="P2" s="245" t="n"/>
      <c r="Q2" s="245" t="n"/>
      <c r="R2" s="245" t="n"/>
      <c r="S2" s="245" t="n"/>
      <c r="T2" s="245" t="n"/>
      <c r="U2" s="245" t="n"/>
      <c r="V2" s="245" t="n"/>
      <c r="W2" s="245" t="n"/>
      <c r="X2" s="245" t="n"/>
      <c r="Y2" s="245" t="n"/>
      <c r="Z2" s="245" t="n"/>
      <c r="AA2" s="245" t="n"/>
      <c r="AB2" s="245" t="n"/>
      <c r="AC2" s="245" t="n"/>
      <c r="AD2" s="245" t="n"/>
      <c r="AE2" s="245" t="n"/>
      <c r="AF2" s="245" t="n"/>
      <c r="AG2" s="245" t="n"/>
      <c r="AH2" s="245" t="n"/>
      <c r="AI2" s="245" t="n"/>
      <c r="AJ2" s="245" t="n"/>
      <c r="AK2" s="245" t="n"/>
    </row>
    <row r="3" ht="12" customFormat="1" customHeight="1" s="89">
      <c r="A3" s="118" t="inlineStr">
        <is>
          <t>Projeto 1</t>
        </is>
      </c>
      <c r="B3" s="264" t="n">
        <v>84</v>
      </c>
      <c r="C3" s="264" t="n">
        <v>92</v>
      </c>
      <c r="D3" s="264" t="n">
        <v>79</v>
      </c>
      <c r="E3" s="264" t="n">
        <v>79</v>
      </c>
      <c r="F3" s="271" t="n">
        <v>334</v>
      </c>
      <c r="G3" s="264" t="n">
        <v>71.523</v>
      </c>
      <c r="H3" s="264" t="n">
        <v>46.76300000000001</v>
      </c>
      <c r="I3" s="264" t="n">
        <v>87.678</v>
      </c>
      <c r="J3" s="264" t="n">
        <v>133.924</v>
      </c>
      <c r="K3" s="271" t="n">
        <v>339.888</v>
      </c>
      <c r="L3" s="264" t="n">
        <v>66.833</v>
      </c>
      <c r="M3" s="264" t="n">
        <v>70.40899510145471</v>
      </c>
      <c r="N3" s="264" t="n">
        <v>133.5517912326778</v>
      </c>
      <c r="O3" s="264" t="n">
        <v>117.376114779998</v>
      </c>
      <c r="P3" s="271" t="n">
        <v>388.1699011141305</v>
      </c>
      <c r="Q3" s="264" t="n">
        <v>109.292979109989</v>
      </c>
      <c r="R3" s="264" t="n">
        <v>360</v>
      </c>
      <c r="S3" s="264" t="n">
        <v>445</v>
      </c>
      <c r="T3" s="264" t="n">
        <v>399</v>
      </c>
      <c r="U3" s="271" t="n">
        <v>1313</v>
      </c>
      <c r="V3" s="264" t="n">
        <v>298</v>
      </c>
      <c r="W3" s="264" t="n">
        <v>238</v>
      </c>
      <c r="X3" s="264" t="n">
        <v>269</v>
      </c>
      <c r="Y3" s="264" t="n">
        <v>292.498222</v>
      </c>
      <c r="Z3" s="271" t="n">
        <v>1097.84741942</v>
      </c>
      <c r="AA3" s="264" t="n">
        <v>271.06264322</v>
      </c>
      <c r="AB3" s="264" t="n">
        <v>268.69815667</v>
      </c>
      <c r="AC3" s="264" t="n">
        <v>289.65456778</v>
      </c>
      <c r="AD3" s="264" t="n">
        <v>215.80008671</v>
      </c>
      <c r="AE3" s="271" t="n">
        <v>1045.21545438</v>
      </c>
      <c r="AF3" s="264" t="n">
        <v>218.64599386</v>
      </c>
      <c r="AG3" s="264" t="n">
        <v>207.33676931</v>
      </c>
      <c r="AH3" s="264" t="n">
        <v>216.64871632</v>
      </c>
      <c r="AI3" s="264" t="n">
        <v>427.46551798</v>
      </c>
      <c r="AJ3" s="271" t="n">
        <v>1070.09699747</v>
      </c>
      <c r="AK3" s="264" t="n">
        <v>287</v>
      </c>
    </row>
    <row r="4" ht="12" customFormat="1" customHeight="1" s="89">
      <c r="A4" s="118" t="inlineStr">
        <is>
          <t>Projeto 2</t>
        </is>
      </c>
      <c r="B4" s="264" t="n">
        <v>163</v>
      </c>
      <c r="C4" s="264" t="n">
        <v>144</v>
      </c>
      <c r="D4" s="264" t="n">
        <v>215</v>
      </c>
      <c r="E4" s="264" t="n">
        <v>210</v>
      </c>
      <c r="F4" s="271" t="n">
        <v>731</v>
      </c>
      <c r="G4" s="264" t="n">
        <v>197.668</v>
      </c>
      <c r="H4" s="264" t="n">
        <v>39.061</v>
      </c>
      <c r="I4" s="264" t="n">
        <v>103.618</v>
      </c>
      <c r="J4" s="264" t="n">
        <v>110.139</v>
      </c>
      <c r="K4" s="271" t="n">
        <v>450.486</v>
      </c>
      <c r="L4" s="264" t="n">
        <v>184.486</v>
      </c>
      <c r="M4" s="264" t="n">
        <v>114.69950415</v>
      </c>
      <c r="N4" s="264" t="n">
        <v>113.33503969</v>
      </c>
      <c r="O4" s="264" t="n">
        <v>162.64539412</v>
      </c>
      <c r="P4" s="271" t="n">
        <v>575.1659379600001</v>
      </c>
      <c r="Q4" s="264" t="n">
        <v>184.9176438</v>
      </c>
      <c r="R4" s="264" t="n">
        <v>184.81239212</v>
      </c>
      <c r="S4" s="264" t="n">
        <v>161.86949045</v>
      </c>
      <c r="T4" s="264" t="n">
        <v>175.20483167</v>
      </c>
      <c r="U4" s="271" t="n">
        <v>706.8043580399999</v>
      </c>
      <c r="V4" s="264" t="n">
        <v>221.09884986</v>
      </c>
      <c r="W4" s="264" t="n">
        <v>154</v>
      </c>
      <c r="X4" s="264" t="n">
        <v>251.73175837</v>
      </c>
      <c r="Y4" s="264" t="n">
        <v>252</v>
      </c>
      <c r="Z4" s="271" t="n">
        <v>878.95138892</v>
      </c>
      <c r="AA4" s="264" t="n">
        <v>268.8</v>
      </c>
      <c r="AB4" s="264" t="n">
        <v>206.8278598466667</v>
      </c>
      <c r="AC4" s="264" t="n">
        <v>199.8134411733333</v>
      </c>
      <c r="AD4" s="264" t="n">
        <v>312.5669999900007</v>
      </c>
      <c r="AE4" s="271" t="n">
        <v>987.7324341800008</v>
      </c>
      <c r="AF4" s="264" t="n">
        <v>249.4066902348806</v>
      </c>
      <c r="AG4" s="264" t="n">
        <v>188.8093898269907</v>
      </c>
      <c r="AH4" s="264" t="n">
        <v>198.7083808688593</v>
      </c>
      <c r="AI4" s="264" t="n">
        <v>364.6775373846875</v>
      </c>
      <c r="AJ4" s="271" t="n">
        <v>1001.601998315418</v>
      </c>
      <c r="AK4" s="264" t="n">
        <v>285</v>
      </c>
    </row>
    <row r="5" ht="12" customFormat="1" customHeight="1" s="89">
      <c r="A5" s="118" t="inlineStr">
        <is>
          <t>Projeto 3</t>
        </is>
      </c>
      <c r="B5" s="264" t="n">
        <v>50</v>
      </c>
      <c r="C5" s="264" t="n">
        <v>57</v>
      </c>
      <c r="D5" s="264" t="n">
        <v>121</v>
      </c>
      <c r="E5" s="264" t="n">
        <v>9.209027280000003</v>
      </c>
      <c r="F5" s="271" t="n">
        <v>237.20902728</v>
      </c>
      <c r="G5" s="264" t="n">
        <v>22.784</v>
      </c>
      <c r="H5" s="264" t="n">
        <v>4.326000000000001</v>
      </c>
      <c r="I5" s="264" t="n">
        <v>15.442</v>
      </c>
      <c r="J5" s="264" t="n">
        <v>296.006</v>
      </c>
      <c r="K5" s="271" t="n">
        <v>338.558</v>
      </c>
      <c r="L5" s="264" t="n">
        <v>67.297</v>
      </c>
      <c r="M5" s="264" t="n">
        <v>18.3989452</v>
      </c>
      <c r="N5" s="264" t="n">
        <v>130.1156915</v>
      </c>
      <c r="O5" s="264" t="n">
        <v>119.43242568</v>
      </c>
      <c r="P5" s="271" t="n">
        <v>335.24406238</v>
      </c>
      <c r="Q5" s="264" t="n">
        <v>111.20008563</v>
      </c>
      <c r="R5" s="264" t="n">
        <v>118</v>
      </c>
      <c r="S5" s="264" t="n">
        <v>150</v>
      </c>
      <c r="T5" s="264" t="n">
        <v>214</v>
      </c>
      <c r="U5" s="271" t="n">
        <v>593</v>
      </c>
      <c r="V5" s="264" t="n">
        <v>135</v>
      </c>
      <c r="W5" s="264" t="n">
        <v>204</v>
      </c>
      <c r="X5" s="264" t="n">
        <v>173</v>
      </c>
      <c r="Y5" s="264" t="n">
        <v>273</v>
      </c>
      <c r="Z5" s="271" t="n">
        <v>784.60918269</v>
      </c>
      <c r="AA5" s="264" t="n">
        <v>259.9756763199999</v>
      </c>
      <c r="AB5" s="264" t="n">
        <v>244.72643456</v>
      </c>
      <c r="AC5" s="264" t="n">
        <v>173.9174839900001</v>
      </c>
      <c r="AD5" s="264" t="n">
        <v>123.0268382</v>
      </c>
      <c r="AE5" s="271" t="n">
        <v>801.6464330699998</v>
      </c>
      <c r="AF5" s="264" t="n">
        <v>57.91226669000002</v>
      </c>
      <c r="AG5" s="264" t="n">
        <v>101.2267940062959</v>
      </c>
      <c r="AH5" s="264" t="n">
        <v>23.18391311823424</v>
      </c>
      <c r="AI5" s="264" t="n">
        <v>39.73788581000001</v>
      </c>
      <c r="AJ5" s="271" t="n">
        <v>222.0608596245302</v>
      </c>
      <c r="AK5" s="264" t="n">
        <v>24</v>
      </c>
    </row>
    <row r="6" ht="12" customFormat="1" customHeight="1" s="89">
      <c r="A6" s="118" t="inlineStr">
        <is>
          <t>Projeto 4</t>
        </is>
      </c>
      <c r="B6" s="264" t="n"/>
      <c r="C6" s="264" t="n"/>
      <c r="D6" s="264" t="n"/>
      <c r="E6" s="264" t="n"/>
      <c r="F6" s="271" t="n"/>
      <c r="G6" s="264" t="n"/>
      <c r="H6" s="264" t="n"/>
      <c r="I6" s="264" t="n"/>
      <c r="J6" s="264" t="n"/>
      <c r="K6" s="271" t="n"/>
      <c r="L6" s="264" t="n"/>
      <c r="M6" s="264" t="n"/>
      <c r="N6" s="264" t="n"/>
      <c r="O6" s="264" t="n"/>
      <c r="P6" s="271" t="n"/>
      <c r="Q6" s="264" t="n">
        <v>0</v>
      </c>
      <c r="R6" s="264" t="n">
        <v>0</v>
      </c>
      <c r="S6" s="264" t="n">
        <v>0</v>
      </c>
      <c r="T6" s="264" t="n">
        <v>0</v>
      </c>
      <c r="U6" s="271" t="n">
        <v>0</v>
      </c>
      <c r="V6" s="264" t="n">
        <v>0</v>
      </c>
      <c r="W6" s="264" t="n">
        <v>0</v>
      </c>
      <c r="X6" s="264" t="n">
        <v>0.06</v>
      </c>
      <c r="Y6" s="264" t="n">
        <v>6.76</v>
      </c>
      <c r="Z6" s="271" t="n">
        <v>6.763546850000001</v>
      </c>
      <c r="AA6" s="264" t="n">
        <v>13.9</v>
      </c>
      <c r="AB6" s="264" t="n">
        <v>31</v>
      </c>
      <c r="AC6" s="264" t="n">
        <v>25.48134165</v>
      </c>
      <c r="AD6" s="264" t="n">
        <v>72.98480000000001</v>
      </c>
      <c r="AE6" s="271" t="n">
        <v>143.5848</v>
      </c>
      <c r="AF6" s="264" t="n">
        <v>78.68424227259629</v>
      </c>
      <c r="AG6" s="264" t="n">
        <v>151.8790659096</v>
      </c>
      <c r="AH6" s="264" t="n">
        <v>115.1115469479261</v>
      </c>
      <c r="AI6" s="264" t="n">
        <v>192.527909704427</v>
      </c>
      <c r="AJ6" s="271" t="n">
        <v>538.2027648345495</v>
      </c>
      <c r="AK6" s="264" t="n">
        <v>242</v>
      </c>
    </row>
    <row r="7" ht="12" customFormat="1" customHeight="1" s="89">
      <c r="A7" s="118" t="inlineStr">
        <is>
          <t>Projeto 5</t>
        </is>
      </c>
      <c r="B7" s="264" t="n">
        <v>0</v>
      </c>
      <c r="C7" s="264" t="n">
        <v>288</v>
      </c>
      <c r="D7" s="264" t="n">
        <v>430</v>
      </c>
      <c r="E7" s="264" t="n">
        <v>553.629</v>
      </c>
      <c r="F7" s="271" t="n">
        <v>1271.429</v>
      </c>
      <c r="G7" s="264" t="n">
        <v>527.131</v>
      </c>
      <c r="H7" s="264" t="n">
        <v>908.1580000000001</v>
      </c>
      <c r="I7" s="264" t="n">
        <v>1141.301</v>
      </c>
      <c r="J7" s="264" t="n">
        <v>1468.104</v>
      </c>
      <c r="K7" s="271" t="n">
        <v>4044.694</v>
      </c>
      <c r="L7" s="264" t="n">
        <v>496.668</v>
      </c>
      <c r="M7" s="264" t="n">
        <v>700.4246401889999</v>
      </c>
      <c r="N7" s="264" t="n">
        <v>622.7467883359999</v>
      </c>
      <c r="O7" s="264" t="n">
        <v>759.26974722</v>
      </c>
      <c r="P7" s="271" t="n">
        <v>2579.109175744999</v>
      </c>
      <c r="Q7" s="264" t="n">
        <v>593.888685391</v>
      </c>
      <c r="R7" s="264" t="n">
        <v>882.36741663</v>
      </c>
      <c r="S7" s="264" t="n">
        <v>933.86708957</v>
      </c>
      <c r="T7" s="264" t="n">
        <v>793.58187628</v>
      </c>
      <c r="U7" s="271" t="n">
        <v>3203.705067871</v>
      </c>
      <c r="V7" s="264" t="n">
        <v>520.58214949</v>
      </c>
      <c r="W7" s="264" t="n">
        <v>433.13036124</v>
      </c>
      <c r="X7" s="264" t="n">
        <v>398.78835149</v>
      </c>
      <c r="Y7" s="264" t="n">
        <v>186.43750149</v>
      </c>
      <c r="Z7" s="271" t="n">
        <v>1538.93836371</v>
      </c>
      <c r="AA7" s="264" t="n">
        <v>111.0280729837975</v>
      </c>
      <c r="AB7" s="264" t="n">
        <v>106.803955615537</v>
      </c>
      <c r="AC7" s="264" t="n">
        <v>78.07377106130792</v>
      </c>
      <c r="AD7" s="264" t="n">
        <v>69.4022321248124</v>
      </c>
      <c r="AE7" s="271" t="n">
        <v>365.3080317854548</v>
      </c>
      <c r="AF7" s="264" t="n">
        <v>0</v>
      </c>
      <c r="AG7" s="264" t="n">
        <v>0</v>
      </c>
      <c r="AH7" s="264" t="n">
        <v>0</v>
      </c>
      <c r="AI7" s="264" t="n">
        <v>0</v>
      </c>
      <c r="AJ7" s="271" t="n">
        <v>0</v>
      </c>
      <c r="AK7" s="264" t="n">
        <v>0</v>
      </c>
    </row>
    <row r="8" ht="12" customFormat="1" customHeight="1" s="89">
      <c r="A8" s="113" t="inlineStr">
        <is>
          <t>Total</t>
        </is>
      </c>
      <c r="B8" s="265" t="n">
        <v>297</v>
      </c>
      <c r="C8" s="265" t="n">
        <v>581</v>
      </c>
      <c r="D8" s="265" t="n">
        <v>845</v>
      </c>
      <c r="E8" s="265" t="n">
        <v>851.73802728</v>
      </c>
      <c r="F8" s="272" t="n">
        <v>2574</v>
      </c>
      <c r="G8" s="265" t="n">
        <v>819.515</v>
      </c>
      <c r="H8" s="265" t="n">
        <v>997.6241000000001</v>
      </c>
      <c r="I8" s="265" t="n">
        <v>1348.039</v>
      </c>
      <c r="J8" s="265" t="n">
        <v>2008.173</v>
      </c>
      <c r="K8" s="272" t="n">
        <v>5173.626</v>
      </c>
      <c r="L8" s="265" t="n">
        <v>815.284</v>
      </c>
      <c r="M8" s="265" t="n">
        <v>903.9320846404546</v>
      </c>
      <c r="N8" s="265" t="n">
        <v>999.749310758678</v>
      </c>
      <c r="O8" s="265" t="n">
        <v>1158.7236818</v>
      </c>
      <c r="P8" s="272" t="n">
        <v>3877.69195960152</v>
      </c>
      <c r="Q8" s="265" t="n">
        <v>999.299393930989</v>
      </c>
      <c r="R8" s="265" t="n">
        <v>1544.75971669999</v>
      </c>
      <c r="S8" s="265" t="n">
        <v>1690.755582089994</v>
      </c>
      <c r="T8" s="265" t="n">
        <v>1581.87672333</v>
      </c>
      <c r="U8" s="272" t="n">
        <v>5816.691416050973</v>
      </c>
      <c r="V8" s="265" t="n">
        <v>1174.68163365</v>
      </c>
      <c r="W8" s="265" t="n">
        <v>1028.89294046</v>
      </c>
      <c r="X8" s="265" t="n">
        <v>1092.85164175</v>
      </c>
      <c r="Y8" s="265" t="n">
        <v>1010.68268573</v>
      </c>
      <c r="Z8" s="272" t="n">
        <v>4307.10890159</v>
      </c>
      <c r="AA8" s="265" t="n">
        <v>924.7091840437976</v>
      </c>
      <c r="AB8" s="265" t="n">
        <v>858.0564066922037</v>
      </c>
      <c r="AC8" s="265" t="n">
        <v>766.9406056546413</v>
      </c>
      <c r="AD8" s="265" t="n">
        <v>793.780957024813</v>
      </c>
      <c r="AE8" s="272" t="n">
        <v>3343.487153415455</v>
      </c>
      <c r="AF8" s="265" t="n">
        <v>604.649193057477</v>
      </c>
      <c r="AG8" s="265" t="n">
        <v>649.2520190528867</v>
      </c>
      <c r="AH8" s="265" t="n">
        <v>553.6525572550196</v>
      </c>
      <c r="AI8" s="265" t="n">
        <v>1024.408850879115</v>
      </c>
      <c r="AJ8" s="272" t="n">
        <v>2831.962620244498</v>
      </c>
      <c r="AK8" s="265" t="n">
        <v>839</v>
      </c>
    </row>
  </sheetData>
  <mergeCells count="37">
    <mergeCell ref="AB1:AB2"/>
    <mergeCell ref="AD1:AD2"/>
    <mergeCell ref="AI1:AI2"/>
    <mergeCell ref="C1:C2"/>
    <mergeCell ref="V1:V2"/>
    <mergeCell ref="K1:K2"/>
    <mergeCell ref="E1:E2"/>
    <mergeCell ref="M1:M2"/>
    <mergeCell ref="O1:O2"/>
    <mergeCell ref="Q1:Q2"/>
    <mergeCell ref="W1:W2"/>
    <mergeCell ref="AH1:AH2"/>
    <mergeCell ref="Y1:Y2"/>
    <mergeCell ref="AA1:AA2"/>
    <mergeCell ref="P1:P2"/>
    <mergeCell ref="B1:B2"/>
    <mergeCell ref="AC1:AC2"/>
    <mergeCell ref="L1:L2"/>
    <mergeCell ref="AE1:AE2"/>
    <mergeCell ref="T1:T2"/>
    <mergeCell ref="AK1:AK2"/>
    <mergeCell ref="AF1:AF2"/>
    <mergeCell ref="N1:N2"/>
    <mergeCell ref="X1:X2"/>
    <mergeCell ref="G1:G2"/>
    <mergeCell ref="Z1:Z2"/>
    <mergeCell ref="I1:I2"/>
    <mergeCell ref="S1:S2"/>
    <mergeCell ref="AJ1:AJ2"/>
    <mergeCell ref="U1:U2"/>
    <mergeCell ref="R1:R2"/>
    <mergeCell ref="D1:D2"/>
    <mergeCell ref="F1:F2"/>
    <mergeCell ref="H1:H2"/>
    <mergeCell ref="J1:J2"/>
    <mergeCell ref="AG1:AG2"/>
    <mergeCell ref="A1:A2"/>
  </mergeCells>
  <pageMargins left="0.511811024" right="0.511811024" top="0.787401575" bottom="0.787401575" header="0.31496062" footer="0.31496062"/>
  <pageSetup orientation="portrait" paperSize="9"/>
</worksheet>
</file>

<file path=xl/worksheets/sheet8.xml><?xml version="1.0" encoding="utf-8"?>
<worksheet xmlns="http://schemas.openxmlformats.org/spreadsheetml/2006/main">
  <sheetPr>
    <tabColor rgb="FF8DA126"/>
    <outlinePr summaryBelow="1" summaryRight="1"/>
    <pageSetUpPr/>
  </sheetPr>
  <dimension ref="A1:X21"/>
  <sheetViews>
    <sheetView workbookViewId="0">
      <selection activeCell="B1" sqref="B1:V18"/>
    </sheetView>
  </sheetViews>
  <sheetFormatPr baseColWidth="8" defaultRowHeight="12.75"/>
  <cols>
    <col width="52.85546875" bestFit="1" customWidth="1" style="192" min="1" max="1"/>
  </cols>
  <sheetData>
    <row r="1">
      <c r="A1" s="209" t="inlineStr">
        <is>
          <t>EBITDA (R$ milhões)</t>
        </is>
      </c>
      <c r="B1" s="208" t="inlineStr">
        <is>
          <t>1T22</t>
        </is>
      </c>
      <c r="C1" s="208" t="inlineStr">
        <is>
          <t>2T22</t>
        </is>
      </c>
      <c r="D1" s="208" t="inlineStr">
        <is>
          <t>3T22</t>
        </is>
      </c>
      <c r="E1" s="208" t="inlineStr">
        <is>
          <t>4T22</t>
        </is>
      </c>
      <c r="F1" s="211" t="n">
        <v>2022</v>
      </c>
      <c r="G1" s="208" t="inlineStr">
        <is>
          <t>1T23</t>
        </is>
      </c>
      <c r="H1" s="208" t="inlineStr">
        <is>
          <t>2T23</t>
        </is>
      </c>
      <c r="I1" s="208" t="inlineStr">
        <is>
          <t>3T23</t>
        </is>
      </c>
      <c r="J1" s="208" t="inlineStr">
        <is>
          <t>4T23</t>
        </is>
      </c>
      <c r="K1" s="211" t="n">
        <v>2023</v>
      </c>
      <c r="L1" s="208" t="inlineStr">
        <is>
          <t>1T24</t>
        </is>
      </c>
      <c r="M1" s="208" t="inlineStr">
        <is>
          <t>2T24</t>
        </is>
      </c>
      <c r="N1" s="208" t="inlineStr">
        <is>
          <t>3T24</t>
        </is>
      </c>
      <c r="O1" s="208" t="inlineStr">
        <is>
          <t>4T24</t>
        </is>
      </c>
      <c r="P1" s="211" t="n">
        <v>2024</v>
      </c>
      <c r="Q1" s="208" t="inlineStr">
        <is>
          <t>1T25</t>
        </is>
      </c>
      <c r="R1" s="208" t="inlineStr">
        <is>
          <t>2T25</t>
        </is>
      </c>
      <c r="S1" s="208" t="inlineStr">
        <is>
          <t>3T25</t>
        </is>
      </c>
      <c r="T1" s="208" t="inlineStr">
        <is>
          <t>4T25</t>
        </is>
      </c>
      <c r="U1" s="211" t="n">
        <v>2025</v>
      </c>
      <c r="V1" t="inlineStr">
        <is>
          <t>Orçamento</t>
        </is>
      </c>
      <c r="W1" t="inlineStr">
        <is>
          <t>Budget</t>
        </is>
      </c>
      <c r="X1" s="208" t="inlineStr">
        <is>
          <t>1T26</t>
        </is>
      </c>
    </row>
    <row r="2" ht="13.5" customHeight="1" s="192" thickBot="1">
      <c r="A2" s="273" t="n"/>
      <c r="B2" s="274" t="n"/>
      <c r="C2" s="274" t="n"/>
      <c r="D2" s="274" t="n"/>
      <c r="E2" s="274" t="n"/>
      <c r="F2" s="274" t="n"/>
      <c r="G2" s="274" t="n"/>
      <c r="H2" s="274" t="n"/>
      <c r="I2" s="274" t="n"/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X2" s="274" t="n"/>
    </row>
    <row r="3">
      <c r="A3" s="113" t="inlineStr">
        <is>
          <t>Lucro (prejuízo) Líquido</t>
        </is>
      </c>
      <c r="B3" s="265" t="n">
        <v>874.873</v>
      </c>
      <c r="C3" s="265" t="n">
        <v>971.651</v>
      </c>
      <c r="D3" s="265" t="n">
        <v>2052.755149300001</v>
      </c>
      <c r="E3" s="265" t="n">
        <v>789.6231145499992</v>
      </c>
      <c r="F3" s="272" t="n">
        <v>4688.902</v>
      </c>
      <c r="G3" s="265" t="n">
        <v>1262.125788130001</v>
      </c>
      <c r="H3" s="265" t="n">
        <v>970.6985</v>
      </c>
      <c r="I3" s="265" t="n">
        <v>244.58</v>
      </c>
      <c r="J3" s="265" t="n">
        <v>369.985</v>
      </c>
      <c r="K3" s="272" t="n">
        <v>2847.388</v>
      </c>
      <c r="L3" s="265" t="n">
        <v>460.0110971899987</v>
      </c>
      <c r="M3" s="265" t="n">
        <v>315.13</v>
      </c>
      <c r="N3" s="265" t="n">
        <v>729.0727632099997</v>
      </c>
      <c r="O3" s="265" t="n">
        <v>542.73030583</v>
      </c>
      <c r="P3" s="272" t="n">
        <v>2046.944166229998</v>
      </c>
      <c r="Q3" s="265" t="n">
        <v>446.499</v>
      </c>
      <c r="R3" s="265" t="n">
        <v>585.329</v>
      </c>
      <c r="S3" s="265" t="n">
        <v>477.884</v>
      </c>
      <c r="T3" s="265" t="n">
        <v>168.499</v>
      </c>
      <c r="U3" s="272" t="n">
        <v>1678.211</v>
      </c>
      <c r="V3" t="n">
        <v>1720</v>
      </c>
      <c r="W3" t="n">
        <v>1720</v>
      </c>
      <c r="X3" s="265" t="n">
        <v>-497</v>
      </c>
    </row>
    <row r="4">
      <c r="A4" s="118" t="inlineStr">
        <is>
          <t>(+) Imp. Renda e Contrib.Social</t>
        </is>
      </c>
      <c r="B4" s="264" t="n">
        <v>549.26</v>
      </c>
      <c r="C4" s="264" t="n">
        <v>330.257</v>
      </c>
      <c r="D4" s="264" t="n">
        <v>743.787</v>
      </c>
      <c r="E4" s="264" t="n">
        <v>286.948</v>
      </c>
      <c r="F4" s="271" t="n">
        <v>1910.252</v>
      </c>
      <c r="G4" s="264" t="n">
        <v>417.534</v>
      </c>
      <c r="H4" s="264" t="n">
        <v>312.88</v>
      </c>
      <c r="I4" s="264" t="n">
        <v>65.268</v>
      </c>
      <c r="J4" s="264" t="n">
        <v>170.987</v>
      </c>
      <c r="K4" s="271" t="n">
        <v>966.669</v>
      </c>
      <c r="L4" s="264" t="n">
        <v>163.847</v>
      </c>
      <c r="M4" s="264" t="n">
        <v>119.503</v>
      </c>
      <c r="N4" s="264" t="n">
        <v>88.09699999999999</v>
      </c>
      <c r="O4" s="264" t="n">
        <v>-148.712</v>
      </c>
      <c r="P4" s="271" t="n">
        <v>222.735</v>
      </c>
      <c r="Q4" s="264" t="n">
        <v>321.716</v>
      </c>
      <c r="R4" s="264" t="n">
        <v>135.212</v>
      </c>
      <c r="S4" s="264" t="n">
        <v>210.745</v>
      </c>
      <c r="T4" s="264" t="n">
        <v>33.519</v>
      </c>
      <c r="U4" s="271" t="n">
        <v>701.192</v>
      </c>
      <c r="X4" s="264" t="n">
        <v>-262</v>
      </c>
    </row>
    <row r="5">
      <c r="A5" s="118" t="inlineStr">
        <is>
          <t>(+) Financeiras Líquidas</t>
        </is>
      </c>
      <c r="B5" s="264" t="n">
        <v>77.27500000000001</v>
      </c>
      <c r="C5" s="264" t="n">
        <v>302.84</v>
      </c>
      <c r="D5" s="264" t="n">
        <v>-319.32</v>
      </c>
      <c r="E5" s="264" t="n">
        <v>30.644</v>
      </c>
      <c r="F5" s="271" t="n">
        <v>91.43899999999999</v>
      </c>
      <c r="G5" s="264" t="n">
        <v>-58.26500856000028</v>
      </c>
      <c r="H5" s="264" t="n">
        <v>-155.989</v>
      </c>
      <c r="I5" s="264" t="n">
        <v>324.831</v>
      </c>
      <c r="J5" s="264" t="n">
        <v>324.575</v>
      </c>
      <c r="K5" s="271" t="n">
        <v>435.153</v>
      </c>
      <c r="L5" s="264" t="n">
        <v>378.35584692</v>
      </c>
      <c r="M5" s="264" t="n">
        <v>562.669</v>
      </c>
      <c r="N5" s="264" t="n">
        <v>403.0091299500002</v>
      </c>
      <c r="O5" s="264" t="n">
        <v>883.72569417</v>
      </c>
      <c r="P5" s="271" t="n">
        <v>2227.75967104</v>
      </c>
      <c r="Q5" s="264" t="n">
        <v>158.435</v>
      </c>
      <c r="R5" s="264" t="n">
        <v>565.619</v>
      </c>
      <c r="S5" s="264" t="n">
        <v>669.772</v>
      </c>
      <c r="T5" s="264" t="n">
        <v>707.12</v>
      </c>
      <c r="U5" s="271" t="n">
        <v>2100.946</v>
      </c>
      <c r="X5" s="264" t="n">
        <v>570</v>
      </c>
    </row>
    <row r="6">
      <c r="A6" s="118" t="inlineStr">
        <is>
          <t>(+) Depreciação, Exaustão e Amortização</t>
        </is>
      </c>
      <c r="B6" s="264" t="n">
        <v>625.131</v>
      </c>
      <c r="C6" s="264" t="n">
        <v>961.7455792399999</v>
      </c>
      <c r="D6" s="264" t="n">
        <v>791.509</v>
      </c>
      <c r="E6" s="264" t="n">
        <v>790.7694207600001</v>
      </c>
      <c r="F6" s="271" t="n">
        <v>3169.155</v>
      </c>
      <c r="G6" s="264" t="n">
        <v>710.802</v>
      </c>
      <c r="H6" s="264" t="n">
        <v>794.1969685699995</v>
      </c>
      <c r="I6" s="264" t="n">
        <v>869.0599999999999</v>
      </c>
      <c r="J6" s="264" t="n">
        <v>952.523</v>
      </c>
      <c r="K6" s="271" t="n">
        <v>3326.582</v>
      </c>
      <c r="L6" s="264" t="n">
        <v>856.616</v>
      </c>
      <c r="M6" s="264" t="n">
        <v>989.261</v>
      </c>
      <c r="N6" s="264" t="n">
        <v>1013.857</v>
      </c>
      <c r="O6" s="264" t="n">
        <v>1103.82066397</v>
      </c>
      <c r="P6" s="271" t="n">
        <v>3963.554</v>
      </c>
      <c r="Q6" s="264" t="n">
        <v>1298.841</v>
      </c>
      <c r="R6" s="264" t="n">
        <v>1126.726</v>
      </c>
      <c r="S6" s="264" t="n">
        <v>1320.694</v>
      </c>
      <c r="T6" s="264" t="n">
        <v>1244.175</v>
      </c>
      <c r="U6" s="271" t="n">
        <v>4990.436</v>
      </c>
      <c r="X6" s="264" t="n">
        <v>1162</v>
      </c>
    </row>
    <row r="7">
      <c r="A7" s="159" t="inlineStr">
        <is>
          <t xml:space="preserve">Ajustes Conforme Resolução CVM 156/22 art. 4º </t>
        </is>
      </c>
      <c r="B7" s="158" t="n"/>
      <c r="C7" s="158" t="n"/>
      <c r="D7" s="158" t="n"/>
      <c r="E7" s="158" t="n"/>
      <c r="F7" s="275" t="n"/>
      <c r="G7" s="158" t="n"/>
      <c r="H7" s="158" t="n"/>
      <c r="I7" s="158" t="n"/>
      <c r="J7" s="158" t="n"/>
      <c r="K7" s="275" t="n"/>
      <c r="L7" s="158" t="n"/>
      <c r="M7" s="158" t="n"/>
      <c r="N7" s="158" t="n"/>
      <c r="O7" s="158" t="n"/>
      <c r="P7" s="275" t="n"/>
      <c r="Q7" s="158" t="n"/>
      <c r="R7" s="158" t="n"/>
      <c r="S7" s="158" t="n"/>
      <c r="T7" s="158" t="n"/>
      <c r="U7" s="275" t="n"/>
      <c r="X7" s="158" t="n"/>
    </row>
    <row r="8">
      <c r="A8" s="118" t="inlineStr">
        <is>
          <t>(+) Variação do Valor Justo dos Ativos Biológicos</t>
        </is>
      </c>
      <c r="B8" s="264" t="n">
        <v>-371.68</v>
      </c>
      <c r="C8" s="264" t="n">
        <v>-586.376</v>
      </c>
      <c r="D8" s="264" t="n">
        <v>-960.7820506100001</v>
      </c>
      <c r="E8" s="264" t="n">
        <v>35.75105061000004</v>
      </c>
      <c r="F8" s="271" t="n">
        <v>-1883.087</v>
      </c>
      <c r="G8" s="264" t="n">
        <v>-383.45927613</v>
      </c>
      <c r="H8" s="264" t="n">
        <v>-572.671</v>
      </c>
      <c r="I8" s="264" t="n">
        <v>-143.23</v>
      </c>
      <c r="J8" s="264" t="n">
        <v>-130.081</v>
      </c>
      <c r="K8" s="271" t="n">
        <v>-1229.441</v>
      </c>
      <c r="L8" s="264" t="n">
        <v>-199.6477612</v>
      </c>
      <c r="M8" s="264" t="n">
        <v>88.015</v>
      </c>
      <c r="N8" s="264" t="n">
        <v>-408.17390625</v>
      </c>
      <c r="O8" s="264" t="n">
        <v>-550.75</v>
      </c>
      <c r="P8" s="271" t="n">
        <v>-1070.55666745</v>
      </c>
      <c r="Q8" s="264" t="n">
        <v>-388.044</v>
      </c>
      <c r="R8" s="264" t="n">
        <v>-376.627</v>
      </c>
      <c r="S8" s="264" t="n">
        <v>-563.149</v>
      </c>
      <c r="T8" s="264" t="n">
        <v>-343.541</v>
      </c>
      <c r="U8" s="271" t="n">
        <v>-1671.361</v>
      </c>
      <c r="X8" s="264" t="n">
        <v>581</v>
      </c>
    </row>
    <row r="9">
      <c r="A9" s="118" t="inlineStr">
        <is>
          <t>(+) Efeito do Hedge de Fluxo de Caixa</t>
        </is>
      </c>
      <c r="B9" s="264" t="n">
        <v>-8.945</v>
      </c>
      <c r="C9" s="264" t="n">
        <v>0</v>
      </c>
      <c r="D9" s="264" t="n">
        <v>6.286</v>
      </c>
      <c r="E9" s="264" t="n">
        <v>1.027</v>
      </c>
      <c r="F9" s="271" t="n">
        <v>-1.632</v>
      </c>
      <c r="G9" s="264" t="n">
        <v>-3.11603684</v>
      </c>
      <c r="H9" s="264" t="n">
        <v>-1.942</v>
      </c>
      <c r="I9" s="264" t="n">
        <v>-4.278</v>
      </c>
      <c r="J9" s="264" t="n">
        <v>-0.436</v>
      </c>
      <c r="K9" s="271" t="n">
        <v>-9.77203684</v>
      </c>
      <c r="L9" s="264" t="n">
        <v>-4.555</v>
      </c>
      <c r="M9" s="264" t="n">
        <v>-18.861</v>
      </c>
      <c r="N9" s="264" t="n">
        <v>-19.44303247</v>
      </c>
      <c r="O9" s="264" t="n">
        <v>10.094</v>
      </c>
      <c r="P9" s="271" t="n">
        <v>-32.76503247000001</v>
      </c>
      <c r="Q9" s="264" t="n">
        <v>21.616</v>
      </c>
      <c r="R9" s="264" t="n">
        <v>5.108</v>
      </c>
      <c r="S9" s="264" t="n">
        <v>1.373</v>
      </c>
      <c r="T9" s="264" t="n">
        <v>48.018</v>
      </c>
      <c r="U9" s="271" t="n">
        <v>76.11499999999999</v>
      </c>
      <c r="X9" s="264" t="n">
        <v>117</v>
      </c>
    </row>
    <row r="10">
      <c r="A10" s="118" t="inlineStr">
        <is>
          <t>(+) Equivalência Patrimonial</t>
        </is>
      </c>
      <c r="B10" s="264" t="n">
        <v>-20.262</v>
      </c>
      <c r="C10" s="264" t="n">
        <v>10.073</v>
      </c>
      <c r="D10" s="264" t="n">
        <v>-3.32824995</v>
      </c>
      <c r="E10" s="264" t="n">
        <v>-30.049</v>
      </c>
      <c r="F10" s="271" t="n">
        <v>-43.56624995</v>
      </c>
      <c r="G10" s="264" t="n">
        <v>-3.41549244</v>
      </c>
      <c r="H10" s="264" t="n">
        <v>-2.721</v>
      </c>
      <c r="I10" s="264" t="n">
        <v>-3.969</v>
      </c>
      <c r="J10" s="264" t="n">
        <v>-4.583</v>
      </c>
      <c r="K10" s="271" t="n">
        <v>-14.68849244</v>
      </c>
      <c r="L10" s="264" t="n">
        <v>-2.415</v>
      </c>
      <c r="M10" s="264" t="n">
        <v>-3.633</v>
      </c>
      <c r="N10" s="264" t="n">
        <v>-1.238</v>
      </c>
      <c r="O10" s="264" t="n">
        <v>-17.761</v>
      </c>
      <c r="P10" s="271" t="n">
        <v>-25.047</v>
      </c>
      <c r="Q10" s="264" t="n">
        <v>-0.252</v>
      </c>
      <c r="R10" s="264" t="n">
        <v>-0.512</v>
      </c>
      <c r="S10" s="264" t="n">
        <v>-0.377</v>
      </c>
      <c r="T10" s="264" t="n">
        <v>1.574</v>
      </c>
      <c r="U10" s="271" t="n">
        <v>0.433</v>
      </c>
      <c r="X10" s="264" t="n">
        <v>-2</v>
      </c>
    </row>
    <row r="11">
      <c r="A11" s="118" t="inlineStr">
        <is>
          <t>(+) Crédito de IR derivado de subvenção</t>
        </is>
      </c>
      <c r="B11" s="264" t="n"/>
      <c r="C11" s="264" t="n"/>
      <c r="D11" s="264" t="n"/>
      <c r="E11" s="264" t="n"/>
      <c r="F11" s="271" t="n"/>
      <c r="G11" s="264" t="n"/>
      <c r="H11" s="264" t="n"/>
      <c r="I11" s="264" t="n"/>
      <c r="J11" s="264" t="n"/>
      <c r="K11" s="271" t="n"/>
      <c r="L11" s="264" t="n"/>
      <c r="M11" s="264" t="n"/>
      <c r="N11" s="264" t="n"/>
      <c r="O11" s="264" t="n"/>
      <c r="P11" s="271" t="n"/>
      <c r="Q11" s="264" t="n"/>
      <c r="R11" s="264" t="n"/>
      <c r="S11" s="264" t="n"/>
      <c r="T11" s="264" t="n">
        <v>-27.856</v>
      </c>
      <c r="U11" s="271" t="n">
        <v>-27.856</v>
      </c>
      <c r="X11" s="264" t="inlineStr">
        <is>
          <t xml:space="preserve"> -   </t>
        </is>
      </c>
    </row>
    <row r="12">
      <c r="A12" s="113" t="inlineStr">
        <is>
          <t>EBITDA Ajustado</t>
        </is>
      </c>
      <c r="B12" s="265" t="n">
        <v>1725.652</v>
      </c>
      <c r="C12" s="265" t="n">
        <v>1990.19057924</v>
      </c>
      <c r="D12" s="265" t="n">
        <v>2310.90684874</v>
      </c>
      <c r="E12" s="265" t="n">
        <v>1904.712219400001</v>
      </c>
      <c r="F12" s="272" t="n">
        <v>7931.461383530001</v>
      </c>
      <c r="G12" s="265" t="n">
        <v>1942.205974160001</v>
      </c>
      <c r="H12" s="265" t="n">
        <v>1344.45246857</v>
      </c>
      <c r="I12" s="265" t="n">
        <v>1352.262</v>
      </c>
      <c r="J12" s="265" t="n">
        <v>1682.97</v>
      </c>
      <c r="K12" s="272" t="n">
        <v>6321.891</v>
      </c>
      <c r="L12" s="265" t="n">
        <v>1652.212182909999</v>
      </c>
      <c r="M12" s="265" t="n">
        <v>2052.086</v>
      </c>
      <c r="N12" s="265" t="n">
        <v>1805.18095444</v>
      </c>
      <c r="O12" s="265" t="n">
        <v>1823.14816397</v>
      </c>
      <c r="P12" s="272" t="n">
        <v>7332.625637349998</v>
      </c>
      <c r="Q12" s="265" t="n">
        <v>1858.811</v>
      </c>
      <c r="R12" s="265" t="n">
        <v>2040.855</v>
      </c>
      <c r="S12" s="265" t="n">
        <v>2116.94149942</v>
      </c>
      <c r="T12" s="265" t="n">
        <v>1831.509136870002</v>
      </c>
      <c r="U12" s="272" t="n">
        <v>7848.117</v>
      </c>
      <c r="V12" t="n">
        <v>8050</v>
      </c>
      <c r="W12" t="n">
        <v>8050</v>
      </c>
      <c r="X12" s="265" t="n">
        <v>1669</v>
      </c>
    </row>
    <row r="13">
      <c r="A13" s="118" t="inlineStr">
        <is>
          <t>Margem EBITDA Ajustada</t>
        </is>
      </c>
      <c r="B13" s="156" t="n">
        <v>0.3902309520525177</v>
      </c>
      <c r="C13" s="156" t="n">
        <v>0.3949609748926116</v>
      </c>
      <c r="D13" s="156" t="n">
        <v>0.4210661161926947</v>
      </c>
      <c r="E13" s="156" t="n">
        <v>0.3746936173373645</v>
      </c>
      <c r="F13" s="172" t="n">
        <v>0.3959257592390266</v>
      </c>
      <c r="G13" s="156" t="n">
        <v>0.4020496893446995</v>
      </c>
      <c r="H13" s="156" t="n">
        <v>0.3132038964384813</v>
      </c>
      <c r="I13" s="156" t="n">
        <v>0.307303847121414</v>
      </c>
      <c r="J13" s="156" t="n">
        <v>0.373993167114148</v>
      </c>
      <c r="K13" s="172" t="n">
        <v>0.3507533858287887</v>
      </c>
      <c r="L13" s="156" t="n">
        <v>0.3729942536904872</v>
      </c>
      <c r="M13" s="156" t="n">
        <v>0.4146690505769963</v>
      </c>
      <c r="N13" s="156" t="n">
        <v>0.3611279952760523</v>
      </c>
      <c r="O13" s="156" t="n">
        <v>0.3460654661414038</v>
      </c>
      <c r="P13" s="172" t="n">
        <v>0.3732516258621488</v>
      </c>
      <c r="Q13" s="156" t="n">
        <v>0.3825868049909705</v>
      </c>
      <c r="R13" s="156" t="n">
        <v>0.38884352940672</v>
      </c>
      <c r="S13" s="156" t="n">
        <v>0.3901141386135767</v>
      </c>
      <c r="T13" s="156" t="n">
        <v>0.3545791567872874</v>
      </c>
      <c r="U13" s="172" t="n">
        <v>0.3805276162003472</v>
      </c>
      <c r="X13" s="156" t="n">
        <v>0.34</v>
      </c>
    </row>
    <row r="14">
      <c r="A14" s="118" t="inlineStr">
        <is>
          <t>(+) Efeitos Não Recorrentes</t>
        </is>
      </c>
      <c r="B14" s="264" t="n">
        <v>0</v>
      </c>
      <c r="C14" s="264" t="n">
        <v>-147.48</v>
      </c>
      <c r="D14" s="264" t="n">
        <v>0</v>
      </c>
      <c r="E14" s="264" t="n">
        <v>0</v>
      </c>
      <c r="F14" s="271" t="n">
        <v>-147.48</v>
      </c>
      <c r="G14" s="264" t="n">
        <v>0</v>
      </c>
      <c r="H14" s="264" t="n">
        <v>0</v>
      </c>
      <c r="I14" s="264" t="n">
        <v>0</v>
      </c>
      <c r="J14" s="264" t="n">
        <v>-63.387</v>
      </c>
      <c r="K14" s="271" t="n">
        <v>-63.387</v>
      </c>
      <c r="L14" s="264" t="n">
        <v>0</v>
      </c>
      <c r="M14" s="264" t="n"/>
      <c r="N14" s="264" t="n"/>
      <c r="O14" s="264" t="n">
        <v>0</v>
      </c>
      <c r="P14" s="271" t="n">
        <v>0</v>
      </c>
      <c r="Q14" s="264" t="n">
        <v>0</v>
      </c>
      <c r="R14" s="264" t="n">
        <v>0</v>
      </c>
      <c r="S14" s="264" t="inlineStr">
        <is>
          <t>-</t>
        </is>
      </c>
      <c r="T14" s="264" t="n">
        <v>0</v>
      </c>
      <c r="U14" s="271" t="n">
        <v>0</v>
      </c>
      <c r="X14" s="264" t="n">
        <v>0</v>
      </c>
    </row>
    <row r="15">
      <c r="A15" s="113" t="inlineStr">
        <is>
          <t>EBITDA Ajustado Excluídos Efeitos Não Recorrentes¹</t>
        </is>
      </c>
      <c r="B15" s="265" t="n">
        <v>1725.652</v>
      </c>
      <c r="C15" s="265" t="n">
        <v>1842.71057924</v>
      </c>
      <c r="D15" s="265" t="n">
        <v>2310.90684874</v>
      </c>
      <c r="E15" s="265" t="n">
        <v>1904.712219400001</v>
      </c>
      <c r="F15" s="272" t="n">
        <v>7783.981383530001</v>
      </c>
      <c r="G15" s="265" t="n">
        <v>1942.205974160001</v>
      </c>
      <c r="H15" s="265" t="n">
        <v>1344.45246857</v>
      </c>
      <c r="I15" s="265" t="n">
        <v>1352.262</v>
      </c>
      <c r="J15" s="265" t="n">
        <v>1619.583</v>
      </c>
      <c r="K15" s="272" t="n">
        <v>6258.504</v>
      </c>
      <c r="L15" s="265" t="n">
        <v>1652.21173235</v>
      </c>
      <c r="M15" s="265" t="n">
        <v>2052.086</v>
      </c>
      <c r="N15" s="265" t="n">
        <v>1805.18095444</v>
      </c>
      <c r="O15" s="265" t="n">
        <v>1823.14816397</v>
      </c>
      <c r="P15" s="272" t="n">
        <v>7332.625637349998</v>
      </c>
      <c r="Q15" s="265" t="n">
        <v>1858.811</v>
      </c>
      <c r="R15" s="265" t="n">
        <v>2040.855</v>
      </c>
      <c r="S15" s="265" t="n">
        <v>2116.94149942</v>
      </c>
      <c r="T15" s="265" t="n">
        <v>1831.509136870002</v>
      </c>
      <c r="U15" s="272" t="n">
        <v>7848.117</v>
      </c>
      <c r="X15" s="265" t="n">
        <v>1669</v>
      </c>
    </row>
    <row r="16">
      <c r="A16" s="118" t="inlineStr">
        <is>
          <t>Margem EBITDA Ajustada Excluídos Efeitos Não Recorrentes¹</t>
        </is>
      </c>
      <c r="B16" s="156" t="n">
        <v>0.3902309520525177</v>
      </c>
      <c r="C16" s="156" t="n">
        <v>0.3656930016719736</v>
      </c>
      <c r="D16" s="156" t="n">
        <v>0.4210661161926947</v>
      </c>
      <c r="E16" s="156" t="n">
        <v>0.3746936173373645</v>
      </c>
      <c r="F16" s="172" t="n">
        <v>0.3885637955164492</v>
      </c>
      <c r="G16" s="156" t="n">
        <v>0.4020496893446995</v>
      </c>
      <c r="H16" s="156" t="n">
        <v>0.3132038964384813</v>
      </c>
      <c r="I16" s="156" t="n">
        <v>0.307303847121414</v>
      </c>
      <c r="J16" s="156" t="n">
        <v>0.3599071733745897</v>
      </c>
      <c r="K16" s="172" t="n">
        <v>0.3472365259418452</v>
      </c>
      <c r="L16" s="156" t="n">
        <v>0.3729942536904872</v>
      </c>
      <c r="M16" s="156" t="n">
        <v>0.4146690505769963</v>
      </c>
      <c r="N16" s="156" t="n">
        <v>0.3611279952760523</v>
      </c>
      <c r="O16" s="156" t="n">
        <v>0.3460654661414038</v>
      </c>
      <c r="P16" s="172" t="n">
        <v>0.3732516258621488</v>
      </c>
      <c r="Q16" s="156" t="n">
        <v>0.3825868049909705</v>
      </c>
      <c r="R16" s="156" t="n">
        <v>0.38884352940672</v>
      </c>
      <c r="S16" s="156" t="n">
        <v>0.3901141386135767</v>
      </c>
      <c r="T16" s="156" t="n">
        <v>0.3545791567872874</v>
      </c>
      <c r="U16" s="172" t="n">
        <v>0.3791817536285892</v>
      </c>
      <c r="X16" s="156" t="n">
        <v>0.34</v>
      </c>
    </row>
    <row r="17">
      <c r="A17" s="113" t="inlineStr">
        <is>
          <t>Geração de Caixa (EBITDA Ajustado - Capex de Manutenção)</t>
        </is>
      </c>
      <c r="B17" s="157" t="n"/>
      <c r="C17" s="157" t="n"/>
      <c r="D17" s="265" t="n">
        <v>1821.230001850006</v>
      </c>
      <c r="E17" s="265" t="n">
        <v>1406.44782601</v>
      </c>
      <c r="F17" s="272" t="n">
        <v>6075.194401420027</v>
      </c>
      <c r="G17" s="265" t="n">
        <v>1460.668206350001</v>
      </c>
      <c r="H17" s="265" t="n">
        <v>958.9596718399996</v>
      </c>
      <c r="I17" s="265" t="n">
        <v>842.7968274399999</v>
      </c>
      <c r="J17" s="265" t="n">
        <v>1068.28366225</v>
      </c>
      <c r="K17" s="272" t="n">
        <v>4330.70792515</v>
      </c>
      <c r="L17" s="265" t="n">
        <v>1100.74240529</v>
      </c>
      <c r="M17" s="265" t="n">
        <v>1546.128115533333</v>
      </c>
      <c r="N17" s="265" t="n">
        <v>1290.279757566667</v>
      </c>
      <c r="O17" s="265" t="n">
        <v>1221.796277269999</v>
      </c>
      <c r="P17" s="272" t="n">
        <v>5158.945342249997</v>
      </c>
      <c r="Q17" s="265" t="n">
        <v>1316.121849322523</v>
      </c>
      <c r="R17" s="265" t="n">
        <v>1493.537853913409</v>
      </c>
      <c r="S17" s="265" t="n">
        <v>1591.283279663214</v>
      </c>
      <c r="T17" s="265" t="n">
        <v>847.5106434208877</v>
      </c>
      <c r="U17" s="272" t="n">
        <v>5248.452990030032</v>
      </c>
      <c r="X17" s="265" t="n">
        <v>856</v>
      </c>
    </row>
    <row r="18">
      <c r="A18" s="113" t="inlineStr">
        <is>
          <t>Geração de Caixa/t² (R$/t)</t>
        </is>
      </c>
      <c r="B18" s="157" t="n"/>
      <c r="C18" s="157" t="n"/>
      <c r="D18" s="265" t="n">
        <v>1794.117142127631</v>
      </c>
      <c r="E18" s="265" t="n">
        <v>1514.887641774819</v>
      </c>
      <c r="F18" s="272" t="n">
        <v>1577.001554185376</v>
      </c>
      <c r="G18" s="265" t="n">
        <v>1657.078354787623</v>
      </c>
      <c r="H18" s="265" t="n">
        <v>1119.762924239411</v>
      </c>
      <c r="I18" s="265" t="n">
        <v>871.6212515811793</v>
      </c>
      <c r="J18" s="265" t="n">
        <v>1111.070304108242</v>
      </c>
      <c r="K18" s="272" t="n">
        <v>1181.224148671</v>
      </c>
      <c r="L18" s="265" t="n">
        <v>1194.226578935194</v>
      </c>
      <c r="M18" s="265" t="n">
        <v>1553.984784440186</v>
      </c>
      <c r="N18" s="265" t="n">
        <v>1375.640564280798</v>
      </c>
      <c r="O18" s="265" t="n">
        <v>1203.146007810142</v>
      </c>
      <c r="P18" s="272" t="n">
        <v>1333.021663829237</v>
      </c>
      <c r="Q18" s="265" t="n">
        <v>1452.890485552424</v>
      </c>
      <c r="R18" s="265" t="n">
        <v>1477.754958956817</v>
      </c>
      <c r="S18" s="265" t="n">
        <v>1492.033690914687</v>
      </c>
      <c r="T18" s="265" t="n">
        <v>827.12545494438</v>
      </c>
      <c r="U18" s="272" t="n">
        <v>1309.520829454866</v>
      </c>
      <c r="X18" s="265" t="n">
        <v>843</v>
      </c>
    </row>
    <row r="19"/>
    <row r="20">
      <c r="A20" s="163" t="inlineStr">
        <is>
          <t>¹Inclui efeitos não recorrentes do período</t>
        </is>
      </c>
    </row>
    <row r="21">
      <c r="A21" s="163" t="inlineStr">
        <is>
          <t>²Volume de vendas exclui madeira</t>
        </is>
      </c>
    </row>
  </sheetData>
  <mergeCells count="22">
    <mergeCell ref="C1:C2"/>
    <mergeCell ref="V1:V2"/>
    <mergeCell ref="K1:K2"/>
    <mergeCell ref="E1:E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S1:S2"/>
    <mergeCell ref="U1:U2"/>
    <mergeCell ref="D1:D2"/>
    <mergeCell ref="R1:R2"/>
    <mergeCell ref="F1:F2"/>
    <mergeCell ref="H1:H2"/>
    <mergeCell ref="J1:J2"/>
    <mergeCell ref="P1:P2"/>
    <mergeCell ref="A1:A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8DA126"/>
    <outlinePr summaryBelow="1" summaryRight="1"/>
    <pageSetUpPr/>
  </sheetPr>
  <dimension ref="A1:V23"/>
  <sheetViews>
    <sheetView workbookViewId="0">
      <selection activeCell="B19" sqref="B19"/>
    </sheetView>
  </sheetViews>
  <sheetFormatPr baseColWidth="8" defaultRowHeight="12.75"/>
  <cols>
    <col width="37.7109375" customWidth="1" style="192" min="1" max="1"/>
  </cols>
  <sheetData>
    <row r="1">
      <c r="A1" s="255" t="inlineStr">
        <is>
          <t>Fluxo de Caixa Livre (R$ milhões)</t>
        </is>
      </c>
      <c r="B1" s="276" t="inlineStr">
        <is>
          <t>1T22</t>
        </is>
      </c>
      <c r="C1" s="276" t="inlineStr">
        <is>
          <t>2T22</t>
        </is>
      </c>
      <c r="D1" s="276" t="inlineStr">
        <is>
          <t>3T22</t>
        </is>
      </c>
      <c r="E1" s="276" t="inlineStr">
        <is>
          <t>4T22</t>
        </is>
      </c>
      <c r="F1" s="277" t="n">
        <v>2022</v>
      </c>
      <c r="G1" s="276" t="inlineStr">
        <is>
          <t>1T23</t>
        </is>
      </c>
      <c r="H1" s="276" t="inlineStr">
        <is>
          <t>2T23</t>
        </is>
      </c>
      <c r="I1" s="276" t="inlineStr">
        <is>
          <t>3T23</t>
        </is>
      </c>
      <c r="J1" s="278" t="inlineStr">
        <is>
          <t>4T23</t>
        </is>
      </c>
      <c r="K1" s="277" t="n">
        <v>2023</v>
      </c>
      <c r="L1" s="278" t="inlineStr">
        <is>
          <t>1T24</t>
        </is>
      </c>
      <c r="M1" s="278" t="inlineStr">
        <is>
          <t>2T24</t>
        </is>
      </c>
      <c r="N1" s="278" t="inlineStr">
        <is>
          <t>3T24</t>
        </is>
      </c>
      <c r="O1" s="278" t="inlineStr">
        <is>
          <t>4T24</t>
        </is>
      </c>
      <c r="P1" s="277" t="n">
        <v>2024</v>
      </c>
      <c r="Q1" s="278" t="inlineStr">
        <is>
          <t>1T25</t>
        </is>
      </c>
      <c r="R1" s="278" t="inlineStr">
        <is>
          <t>2T25</t>
        </is>
      </c>
      <c r="S1" s="278" t="inlineStr">
        <is>
          <t>3T25</t>
        </is>
      </c>
      <c r="T1" s="278" t="inlineStr">
        <is>
          <t>4T25</t>
        </is>
      </c>
      <c r="U1" s="277" t="n">
        <v>2025</v>
      </c>
      <c r="V1" s="278" t="inlineStr">
        <is>
          <t>1T26</t>
        </is>
      </c>
    </row>
    <row r="2" ht="13.5" customHeight="1" s="192" thickBot="1">
      <c r="A2" s="245" t="n"/>
      <c r="B2" s="274" t="n"/>
      <c r="C2" s="274" t="n"/>
      <c r="D2" s="274" t="n"/>
      <c r="E2" s="274" t="n"/>
      <c r="F2" s="274" t="n"/>
      <c r="G2" s="274" t="n"/>
      <c r="H2" s="274" t="n"/>
      <c r="I2" s="274" t="n"/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</row>
    <row r="3">
      <c r="A3" s="113" t="inlineStr">
        <is>
          <t>EBITDA Ajustado¹</t>
        </is>
      </c>
      <c r="B3" s="265" t="n">
        <v>1725.65150293</v>
      </c>
      <c r="C3" s="265" t="n">
        <v>1990.16276508</v>
      </c>
      <c r="D3" s="265" t="n">
        <v>2310.9069623</v>
      </c>
      <c r="E3" s="265" t="n">
        <v>1904.71487668</v>
      </c>
      <c r="F3" s="272" t="n">
        <v>7930.63610699</v>
      </c>
      <c r="G3" s="265" t="n">
        <v>1942.20673364</v>
      </c>
      <c r="H3" s="265" t="n">
        <v>1344.45223493</v>
      </c>
      <c r="I3" s="265" t="n">
        <v>1352.26212732</v>
      </c>
      <c r="J3" s="265" t="n">
        <v>1682.97028412</v>
      </c>
      <c r="K3" s="272" t="n">
        <v>6321.89138001</v>
      </c>
      <c r="L3" s="265" t="n">
        <v>1652.20938396</v>
      </c>
      <c r="M3" s="265" t="n">
        <v>2052.08865256</v>
      </c>
      <c r="N3" s="265" t="n">
        <v>1805.17988745</v>
      </c>
      <c r="O3" s="265" t="n">
        <v>1823.14450329</v>
      </c>
      <c r="P3" s="272" t="n">
        <v>7332.62242726</v>
      </c>
      <c r="Q3" s="265" t="n">
        <v>1858.79156154</v>
      </c>
      <c r="R3" s="265" t="n">
        <v>2040.855</v>
      </c>
      <c r="S3" s="265" t="n">
        <v>2116.94160361</v>
      </c>
      <c r="T3" s="265" t="n">
        <v>1831.509032680001</v>
      </c>
      <c r="U3" s="272" t="n">
        <v>7848.116636290001</v>
      </c>
      <c r="V3" s="265" t="n">
        <v>1669</v>
      </c>
    </row>
    <row r="4">
      <c r="A4" s="118" t="inlineStr">
        <is>
          <t>(-) Capex²</t>
        </is>
      </c>
      <c r="B4" s="264" t="n">
        <v>-999.299393930989</v>
      </c>
      <c r="C4" s="264" t="n">
        <v>-1544.75971669999</v>
      </c>
      <c r="D4" s="264" t="n">
        <v>-1690.755582089994</v>
      </c>
      <c r="E4" s="264" t="n">
        <v>-1581.87672333</v>
      </c>
      <c r="F4" s="271" t="n">
        <v>-5816.691416050973</v>
      </c>
      <c r="G4" s="264" t="n">
        <v>-1158.32263365</v>
      </c>
      <c r="H4" s="264" t="n">
        <v>-1028.89294046</v>
      </c>
      <c r="I4" s="264" t="n">
        <v>-1092.85164175</v>
      </c>
      <c r="J4" s="264" t="n">
        <v>-1010.68268573</v>
      </c>
      <c r="K4" s="271" t="n">
        <v>-4307.10890159</v>
      </c>
      <c r="L4" s="264" t="n">
        <v>-924.7091840000001</v>
      </c>
      <c r="M4" s="264" t="n">
        <v>-858.0564066922041</v>
      </c>
      <c r="N4" s="264" t="n">
        <v>-767.1328046012604</v>
      </c>
      <c r="O4" s="264" t="n">
        <v>-793.780957024813</v>
      </c>
      <c r="P4" s="271" t="n">
        <v>-3343.679352358276</v>
      </c>
      <c r="Q4" s="264" t="n">
        <v>-604.649193057478</v>
      </c>
      <c r="R4" s="264" t="n">
        <v>-649.1794094602101</v>
      </c>
      <c r="S4" s="264" t="n">
        <v>-553.65255726</v>
      </c>
      <c r="T4" s="264" t="n">
        <v>-1024.40885089</v>
      </c>
      <c r="U4" s="271" t="n">
        <v>-2831.962620263293</v>
      </c>
      <c r="V4" s="264" t="n">
        <v>-839</v>
      </c>
    </row>
    <row r="5">
      <c r="A5" s="118" t="inlineStr">
        <is>
          <t>(-) Contratos de arrendamentos - IFRS 16</t>
        </is>
      </c>
      <c r="B5" s="264" t="n">
        <v>-50.42416827</v>
      </c>
      <c r="C5" s="264" t="n">
        <v>-52.61762388</v>
      </c>
      <c r="D5" s="264" t="n">
        <v>-64.67422159</v>
      </c>
      <c r="E5" s="264" t="n">
        <v>-65.67418984999999</v>
      </c>
      <c r="F5" s="271" t="n">
        <v>-233.39020359</v>
      </c>
      <c r="G5" s="264" t="n">
        <v>-63.96609026</v>
      </c>
      <c r="H5" s="264" t="n">
        <v>-59.95475969</v>
      </c>
      <c r="I5" s="264" t="n">
        <v>-80.02911791</v>
      </c>
      <c r="J5" s="264" t="n">
        <v>-84.54178958</v>
      </c>
      <c r="K5" s="271" t="n">
        <v>-288.49175744</v>
      </c>
      <c r="L5" s="264" t="n">
        <v>-86.73965165</v>
      </c>
      <c r="M5" s="264" t="n">
        <v>-90.66768781</v>
      </c>
      <c r="N5" s="264" t="n">
        <v>-90.85421439</v>
      </c>
      <c r="O5" s="264" t="n">
        <v>-90.76043353</v>
      </c>
      <c r="P5" s="271" t="n">
        <v>-359.02198738</v>
      </c>
      <c r="Q5" s="264" t="n">
        <v>-92.71959892999999</v>
      </c>
      <c r="R5" s="264" t="n">
        <v>-95.91945792999999</v>
      </c>
      <c r="S5" s="264" t="n">
        <v>-75.08443446999999</v>
      </c>
      <c r="T5" s="264" t="n">
        <v>-81.84177262999999</v>
      </c>
      <c r="U5" s="271" t="n">
        <v>-345.56526396</v>
      </c>
      <c r="V5" s="264" t="n">
        <v>-74</v>
      </c>
    </row>
    <row r="6">
      <c r="A6" s="118" t="inlineStr">
        <is>
          <t>(-) Juros Pagos/Recebidos</t>
        </is>
      </c>
      <c r="B6" s="264" t="n">
        <v>-211.2626895490961</v>
      </c>
      <c r="C6" s="264" t="n">
        <v>-393.4470665260321</v>
      </c>
      <c r="D6" s="264" t="n">
        <v>-334.0788691449974</v>
      </c>
      <c r="E6" s="264" t="n">
        <v>-20.85777609855398</v>
      </c>
      <c r="F6" s="271" t="n">
        <v>-959.6464013186799</v>
      </c>
      <c r="G6" s="264" t="n">
        <v>-431.764555113205</v>
      </c>
      <c r="H6" s="264" t="n">
        <v>-207.7305933767729</v>
      </c>
      <c r="I6" s="264" t="n">
        <v>-111.3938320455442</v>
      </c>
      <c r="J6" s="264" t="n">
        <v>-423.029067385184</v>
      </c>
      <c r="K6" s="271" t="n">
        <v>-1173.918047920706</v>
      </c>
      <c r="L6" s="264" t="n">
        <v>-365.246226658076</v>
      </c>
      <c r="M6" s="264" t="n">
        <v>-494.5704882114859</v>
      </c>
      <c r="N6" s="264" t="n">
        <v>-332.844619289682</v>
      </c>
      <c r="O6" s="264" t="n">
        <v>-623.809498604975</v>
      </c>
      <c r="P6" s="271" t="n">
        <v>-1816.470832764219</v>
      </c>
      <c r="Q6" s="264" t="n">
        <v>-471.872151091659</v>
      </c>
      <c r="R6" s="264" t="n">
        <v>-652.3613616218422</v>
      </c>
      <c r="S6" s="264" t="n">
        <v>-240.9682152975003</v>
      </c>
      <c r="T6" s="264" t="n">
        <v>-639.3388474492717</v>
      </c>
      <c r="U6" s="271" t="n">
        <v>-2004.540575460273</v>
      </c>
      <c r="V6" s="264" t="n">
        <v>-422</v>
      </c>
    </row>
    <row r="7">
      <c r="A7" s="118" t="inlineStr">
        <is>
          <t>(-) Imposto de Renda e CS</t>
        </is>
      </c>
      <c r="B7" s="264" t="n">
        <v>-187.53058415</v>
      </c>
      <c r="C7" s="264" t="n">
        <v>-120.21394906322</v>
      </c>
      <c r="D7" s="264" t="n">
        <v>-81.40627818989999</v>
      </c>
      <c r="E7" s="264" t="n">
        <v>-145.3068098153349</v>
      </c>
      <c r="F7" s="271" t="n">
        <v>-534.457621218455</v>
      </c>
      <c r="G7" s="264" t="n">
        <v>-57.6666830144176</v>
      </c>
      <c r="H7" s="264" t="n">
        <v>-47.3117954185414</v>
      </c>
      <c r="I7" s="264" t="n">
        <v>-17.20400381469972</v>
      </c>
      <c r="J7" s="264" t="n">
        <v>-45.52034300920027</v>
      </c>
      <c r="K7" s="271" t="n">
        <v>-167.702825256859</v>
      </c>
      <c r="L7" s="264" t="n">
        <v>-88.00168466</v>
      </c>
      <c r="M7" s="264" t="n">
        <v>-97.44928161999999</v>
      </c>
      <c r="N7" s="264" t="n">
        <v>-174.679555415</v>
      </c>
      <c r="O7" s="264" t="n">
        <v>-128.9840686</v>
      </c>
      <c r="P7" s="271" t="n">
        <v>-489.114590295</v>
      </c>
      <c r="Q7" s="264" t="n">
        <v>-65.61456915377815</v>
      </c>
      <c r="R7" s="264" t="n">
        <v>-38.64537999607828</v>
      </c>
      <c r="S7" s="264" t="n">
        <v>-33.30501171842486</v>
      </c>
      <c r="T7" s="264" t="n">
        <v>-106.5108160418895</v>
      </c>
      <c r="U7" s="271" t="n">
        <v>-244.0757769101708</v>
      </c>
      <c r="V7" s="264" t="n">
        <v>-59</v>
      </c>
    </row>
    <row r="8">
      <c r="A8" s="118" t="inlineStr">
        <is>
          <t>(+/-) Variação no Capital de Giro</t>
        </is>
      </c>
      <c r="B8" s="264" t="n">
        <v>-548.5</v>
      </c>
      <c r="C8" s="264" t="n">
        <v>-200.6599765100021</v>
      </c>
      <c r="D8" s="264" t="n">
        <v>-163.7793802900039</v>
      </c>
      <c r="E8" s="264" t="n">
        <v>387.9901610900002</v>
      </c>
      <c r="F8" s="271" t="n">
        <v>-525.2136116800053</v>
      </c>
      <c r="G8" s="264" t="n">
        <v>-5.440422180000724</v>
      </c>
      <c r="H8" s="264" t="n">
        <v>152.3296816200005</v>
      </c>
      <c r="I8" s="264" t="n">
        <v>2.283893849999856</v>
      </c>
      <c r="J8" s="264" t="n">
        <v>268.6820778600003</v>
      </c>
      <c r="K8" s="271" t="n">
        <v>417.8552311499999</v>
      </c>
      <c r="L8" s="264" t="n">
        <v>-280.4357162200001</v>
      </c>
      <c r="M8" s="264" t="n">
        <v>145.3639974122038</v>
      </c>
      <c r="N8" s="264" t="n">
        <v>463.9890933412588</v>
      </c>
      <c r="O8" s="264" t="n">
        <v>404.1789860279073</v>
      </c>
      <c r="P8" s="271" t="n">
        <v>733.0963605613697</v>
      </c>
      <c r="Q8" s="264" t="n">
        <v>163.9565876330549</v>
      </c>
      <c r="R8" s="264" t="n">
        <v>-124.0996718997865</v>
      </c>
      <c r="S8" s="264" t="n">
        <v>-220.2049649400035</v>
      </c>
      <c r="T8" s="264" t="n">
        <v>-272.380591479994</v>
      </c>
      <c r="U8" s="271" t="n">
        <v>-452.6693123066991</v>
      </c>
      <c r="V8" s="264" t="n">
        <v>-433</v>
      </c>
    </row>
    <row r="9">
      <c r="A9" s="118" t="inlineStr">
        <is>
          <t>(-) Dividendos &amp; JCP</t>
        </is>
      </c>
      <c r="B9" s="264" t="n">
        <v>-377</v>
      </c>
      <c r="C9" s="264" t="n">
        <v>-346</v>
      </c>
      <c r="D9" s="264" t="n">
        <v>-399</v>
      </c>
      <c r="E9" s="264" t="n">
        <v>-502</v>
      </c>
      <c r="F9" s="271" t="n">
        <v>-1624</v>
      </c>
      <c r="G9" s="264" t="n">
        <v>-381</v>
      </c>
      <c r="H9" s="264" t="n">
        <v>-389</v>
      </c>
      <c r="I9" s="264" t="n">
        <v>-269</v>
      </c>
      <c r="J9" s="264" t="n">
        <v>-319</v>
      </c>
      <c r="K9" s="271" t="n">
        <v>-1358</v>
      </c>
      <c r="L9" s="264" t="n">
        <v>-363</v>
      </c>
      <c r="M9" s="264" t="n">
        <v>-330</v>
      </c>
      <c r="N9" s="264" t="n">
        <v>-410</v>
      </c>
      <c r="O9" s="264" t="n">
        <v>-459.618904</v>
      </c>
      <c r="P9" s="271" t="n">
        <v>-1562.618904</v>
      </c>
      <c r="Q9" s="264" t="n">
        <v>-312</v>
      </c>
      <c r="R9" s="264" t="n">
        <v>-279</v>
      </c>
      <c r="S9" s="264" t="n">
        <v>-306</v>
      </c>
      <c r="T9" s="264" t="n">
        <v>-318</v>
      </c>
      <c r="U9" s="271" t="n">
        <v>-1180</v>
      </c>
      <c r="V9" s="264" t="n">
        <v>-278</v>
      </c>
    </row>
    <row r="10">
      <c r="A10" s="118" t="inlineStr">
        <is>
          <t>(+/-) Dividendos SPEs e SPCs / Outros</t>
        </is>
      </c>
      <c r="B10" s="264" t="n">
        <v>-40.82916148</v>
      </c>
      <c r="C10" s="264" t="n">
        <v>-11.879</v>
      </c>
      <c r="D10" s="264" t="n">
        <v>8.184912630000005</v>
      </c>
      <c r="E10" s="264" t="n">
        <v>189.93993374</v>
      </c>
      <c r="F10" s="271" t="n">
        <v>144.41668489</v>
      </c>
      <c r="G10" s="264" t="n">
        <v>-30.12957926999999</v>
      </c>
      <c r="H10" s="264" t="n">
        <v>-9.166525410000009</v>
      </c>
      <c r="I10" s="264" t="n">
        <v>-20.60688789000001</v>
      </c>
      <c r="J10" s="264" t="n">
        <v>-26.77590661</v>
      </c>
      <c r="K10" s="271" t="n">
        <v>-86.67889918</v>
      </c>
      <c r="L10" s="264" t="n">
        <v>1.473205409999988</v>
      </c>
      <c r="M10" s="264" t="n">
        <v>-43.73692428000001</v>
      </c>
      <c r="N10" s="264" t="n">
        <v>-9.144493999999995</v>
      </c>
      <c r="O10" s="264" t="n">
        <v>-138.03389973</v>
      </c>
      <c r="P10" s="271" t="n">
        <v>-189.4421126</v>
      </c>
      <c r="Q10" s="264" t="n">
        <v>16.30053717146168</v>
      </c>
      <c r="R10" s="264" t="n">
        <v>-68.09846901103359</v>
      </c>
      <c r="S10" s="264" t="n">
        <v>11.0457644221488</v>
      </c>
      <c r="T10" s="264" t="n">
        <v>-33.0670264</v>
      </c>
      <c r="U10" s="271" t="n">
        <v>-73.8191938174231</v>
      </c>
      <c r="V10" s="264" t="n">
        <v>32</v>
      </c>
    </row>
    <row r="11">
      <c r="A11" s="113" t="inlineStr">
        <is>
          <t>Fluxo de Caixa Livre</t>
        </is>
      </c>
      <c r="B11" s="265" t="n">
        <v>-689.1946136190962</v>
      </c>
      <c r="C11" s="265" t="n">
        <v>-680.414567599252</v>
      </c>
      <c r="D11" s="265" t="n">
        <v>-414.6024563748982</v>
      </c>
      <c r="E11" s="265" t="n">
        <v>166.9295533261116</v>
      </c>
      <c r="F11" s="272" t="n">
        <v>-1618.346500237134</v>
      </c>
      <c r="G11" s="265" t="n">
        <v>-202.4422296876241</v>
      </c>
      <c r="H11" s="265" t="n">
        <v>-245.2756979653138</v>
      </c>
      <c r="I11" s="265" t="n">
        <v>-237.1744301402441</v>
      </c>
      <c r="J11" s="265" t="n">
        <v>42.10253696561608</v>
      </c>
      <c r="K11" s="272" t="n">
        <v>-642.7898208275656</v>
      </c>
      <c r="L11" s="265" t="n">
        <v>-454.4498738580762</v>
      </c>
      <c r="M11" s="265" t="n">
        <v>282.9718613585138</v>
      </c>
      <c r="N11" s="265" t="n">
        <v>484.5132930953196</v>
      </c>
      <c r="O11" s="265" t="n">
        <v>-7.66427217188058</v>
      </c>
      <c r="P11" s="272" t="n">
        <v>305.3710084238748</v>
      </c>
      <c r="Q11" s="265" t="n">
        <v>527.7140814860256</v>
      </c>
      <c r="R11" s="265" t="n">
        <v>133.5512500810495</v>
      </c>
      <c r="S11" s="265" t="n">
        <v>698.7721843462206</v>
      </c>
      <c r="T11" s="265" t="n">
        <v>-644.0388722111545</v>
      </c>
      <c r="U11" s="272" t="n">
        <v>715.4838935721426</v>
      </c>
      <c r="V11" s="265" t="n">
        <v>-404</v>
      </c>
    </row>
    <row r="12">
      <c r="A12" s="113" t="inlineStr">
        <is>
          <t>Fluxo de Caixa Livre com Projeto Caetê</t>
        </is>
      </c>
      <c r="B12" s="265" t="n">
        <v>-689.1946136190962</v>
      </c>
      <c r="C12" s="265" t="n">
        <v>-680.414567599252</v>
      </c>
      <c r="D12" s="265" t="n">
        <v>-414.6024563748982</v>
      </c>
      <c r="E12" s="265" t="n">
        <v>166.9295533261116</v>
      </c>
      <c r="F12" s="272" t="n">
        <v>-1618.346500237134</v>
      </c>
      <c r="G12" s="265" t="n">
        <v>-202.4422296876241</v>
      </c>
      <c r="H12" s="265" t="n">
        <v>-245.2756979653138</v>
      </c>
      <c r="I12" s="265" t="n">
        <v>-237.1744301402441</v>
      </c>
      <c r="J12" s="265" t="n">
        <v>42.10253696561608</v>
      </c>
      <c r="K12" s="272" t="n">
        <v>-642.7898208275656</v>
      </c>
      <c r="L12" s="265" t="n">
        <v>-454.4498738580762</v>
      </c>
      <c r="M12" s="265" t="n">
        <v>282.9718613585138</v>
      </c>
      <c r="N12" s="265" t="n">
        <v>-5860.48670690468</v>
      </c>
      <c r="O12" s="265" t="n">
        <v>-33.66427217188058</v>
      </c>
      <c r="P12" s="272" t="n">
        <v>-6065.912785282387</v>
      </c>
      <c r="Q12" s="265" t="inlineStr">
        <is>
          <t>-</t>
        </is>
      </c>
      <c r="R12" s="265" t="inlineStr">
        <is>
          <t>-</t>
        </is>
      </c>
      <c r="S12" s="265" t="inlineStr">
        <is>
          <t>-</t>
        </is>
      </c>
      <c r="T12" s="265" t="n">
        <v>0</v>
      </c>
      <c r="U12" s="272" t="n">
        <v>0</v>
      </c>
      <c r="V12" s="265" t="n">
        <v>0</v>
      </c>
    </row>
    <row r="13">
      <c r="A13" s="118" t="inlineStr">
        <is>
          <t>Dividendos &amp; JCP</t>
        </is>
      </c>
      <c r="B13" s="264" t="n">
        <v>377</v>
      </c>
      <c r="C13" s="264" t="n">
        <v>346</v>
      </c>
      <c r="D13" s="264" t="n">
        <v>399</v>
      </c>
      <c r="E13" s="264" t="n">
        <v>502</v>
      </c>
      <c r="F13" s="271" t="n">
        <v>1624</v>
      </c>
      <c r="G13" s="264" t="n">
        <v>381</v>
      </c>
      <c r="H13" s="264" t="n">
        <v>389</v>
      </c>
      <c r="I13" s="264" t="n">
        <v>269</v>
      </c>
      <c r="J13" s="264" t="n">
        <v>319</v>
      </c>
      <c r="K13" s="271" t="n">
        <v>1358</v>
      </c>
      <c r="L13" s="264" t="n">
        <v>363</v>
      </c>
      <c r="M13" s="264" t="n">
        <v>330</v>
      </c>
      <c r="N13" s="264" t="n">
        <v>410</v>
      </c>
      <c r="O13" s="264" t="n">
        <v>459.618904</v>
      </c>
      <c r="P13" s="271" t="n">
        <v>1562.618904</v>
      </c>
      <c r="Q13" s="264" t="n">
        <v>312</v>
      </c>
      <c r="R13" s="264" t="n">
        <v>279</v>
      </c>
      <c r="S13" s="264" t="n">
        <v>306</v>
      </c>
      <c r="T13" s="264" t="n">
        <v>318</v>
      </c>
      <c r="U13" s="271" t="n">
        <v>1180</v>
      </c>
      <c r="V13" s="264" t="n">
        <v>278</v>
      </c>
    </row>
    <row r="14">
      <c r="A14" s="118" t="inlineStr">
        <is>
          <t>Projeto Puma I</t>
        </is>
      </c>
      <c r="B14" s="264" t="n">
        <v>0</v>
      </c>
      <c r="C14" s="264" t="n">
        <v>0</v>
      </c>
      <c r="D14" s="264" t="n">
        <v>0</v>
      </c>
      <c r="E14" s="264" t="n">
        <v>0</v>
      </c>
      <c r="F14" s="271" t="n">
        <v>0</v>
      </c>
      <c r="G14" s="264" t="n">
        <v>0</v>
      </c>
      <c r="H14" s="264" t="n">
        <v>0</v>
      </c>
      <c r="I14" s="264" t="n">
        <v>0</v>
      </c>
      <c r="J14" s="264" t="n">
        <v>0</v>
      </c>
      <c r="K14" s="271" t="n">
        <v>0</v>
      </c>
      <c r="L14" s="264" t="n">
        <v>0</v>
      </c>
      <c r="M14" s="264" t="n">
        <v>0</v>
      </c>
      <c r="N14" s="264" t="n">
        <v>0</v>
      </c>
      <c r="O14" s="264" t="n">
        <v>0</v>
      </c>
      <c r="P14" s="271" t="n">
        <v>0</v>
      </c>
      <c r="Q14" s="264" t="n">
        <v>0</v>
      </c>
      <c r="R14" s="264" t="n">
        <v>0</v>
      </c>
      <c r="S14" s="264" t="n">
        <v>0</v>
      </c>
      <c r="T14" s="264" t="inlineStr">
        <is>
          <t>-</t>
        </is>
      </c>
      <c r="U14" s="271" t="n">
        <v>0</v>
      </c>
      <c r="V14" s="264" t="n">
        <v>0</v>
      </c>
    </row>
    <row r="15">
      <c r="A15" s="118" t="inlineStr">
        <is>
          <t>Projeto Puma II</t>
        </is>
      </c>
      <c r="B15" s="264" t="n">
        <v>593.889</v>
      </c>
      <c r="C15" s="264" t="n">
        <v>882.3675996300001</v>
      </c>
      <c r="D15" s="264" t="n">
        <v>933.86685448</v>
      </c>
      <c r="E15" s="264" t="n">
        <v>793</v>
      </c>
      <c r="F15" s="271" t="n">
        <v>3203.70533039</v>
      </c>
      <c r="G15" s="264" t="n">
        <v>520.58214949</v>
      </c>
      <c r="H15" s="264" t="n">
        <v>433.13036124</v>
      </c>
      <c r="I15" s="264" t="n">
        <v>399.42331939</v>
      </c>
      <c r="J15" s="264" t="n">
        <v>186.43750149</v>
      </c>
      <c r="K15" s="271" t="n">
        <v>1539.43750149</v>
      </c>
      <c r="L15" s="264" t="n">
        <v>111.02807298</v>
      </c>
      <c r="M15" s="264" t="n">
        <v>106.803955615537</v>
      </c>
      <c r="N15" s="264" t="n">
        <v>78.13377106130793</v>
      </c>
      <c r="O15" s="264" t="n">
        <v>69.40223212481239</v>
      </c>
      <c r="P15" s="271" t="n">
        <v>365.3680317816573</v>
      </c>
      <c r="Q15" s="264" t="n">
        <v>0</v>
      </c>
      <c r="R15" s="264" t="n">
        <v>0</v>
      </c>
      <c r="S15" s="264" t="n">
        <v>0</v>
      </c>
      <c r="T15" s="264" t="n">
        <v>0</v>
      </c>
      <c r="U15" s="271" t="n">
        <v>0</v>
      </c>
      <c r="V15" s="264" t="n">
        <v>0</v>
      </c>
    </row>
    <row r="16">
      <c r="A16" s="118" t="inlineStr">
        <is>
          <t>Projetos Especiais e de Expansão</t>
        </is>
      </c>
      <c r="B16" s="264" t="n">
        <v>111.202</v>
      </c>
      <c r="C16" s="264" t="n">
        <v>236.04094714</v>
      </c>
      <c r="D16" s="264" t="n">
        <v>267.39483081</v>
      </c>
      <c r="E16" s="264" t="n">
        <v>290.065</v>
      </c>
      <c r="F16" s="271" t="n">
        <v>904.4188308100001</v>
      </c>
      <c r="G16" s="264" t="n">
        <v>172.71576235</v>
      </c>
      <c r="H16" s="264" t="n">
        <v>210.273469706</v>
      </c>
      <c r="I16" s="264" t="n">
        <v>184.59769103</v>
      </c>
      <c r="J16" s="264" t="n">
        <v>272.90475401</v>
      </c>
      <c r="K16" s="271" t="n">
        <v>840.4916770960001</v>
      </c>
      <c r="L16" s="264" t="n">
        <v>262.211784</v>
      </c>
      <c r="M16" s="264" t="n">
        <v>245.29456661</v>
      </c>
      <c r="N16" s="264" t="n">
        <v>174.40827408</v>
      </c>
      <c r="O16" s="264" t="n">
        <v>123.02683791</v>
      </c>
      <c r="P16" s="271" t="n">
        <v>804.9414626</v>
      </c>
      <c r="Q16" s="264" t="n">
        <v>57.91189158000001</v>
      </c>
      <c r="R16" s="264" t="n">
        <v>100</v>
      </c>
      <c r="S16" s="264" t="n">
        <v>27.22751548</v>
      </c>
      <c r="T16" s="264" t="n">
        <v>35.4731862622692</v>
      </c>
      <c r="U16" s="271" t="n">
        <v>220.3708408322692</v>
      </c>
      <c r="V16" s="264" t="n">
        <v>24</v>
      </c>
    </row>
    <row r="17">
      <c r="A17" s="118" t="inlineStr">
        <is>
          <t>Pagamento Projeto Caetê</t>
        </is>
      </c>
      <c r="B17" s="264" t="n">
        <v>0</v>
      </c>
      <c r="C17" s="264" t="n">
        <v>0</v>
      </c>
      <c r="D17" s="264" t="n">
        <v>0</v>
      </c>
      <c r="E17" s="264" t="n">
        <v>0</v>
      </c>
      <c r="F17" s="271" t="n">
        <v>0</v>
      </c>
      <c r="G17" s="264" t="n">
        <v>0</v>
      </c>
      <c r="H17" s="264" t="n">
        <v>0</v>
      </c>
      <c r="I17" s="264" t="n">
        <v>0</v>
      </c>
      <c r="J17" s="264" t="n">
        <v>0</v>
      </c>
      <c r="K17" s="271" t="n">
        <v>0</v>
      </c>
      <c r="L17" s="264" t="n">
        <v>0</v>
      </c>
      <c r="M17" s="264" t="n">
        <v>0</v>
      </c>
      <c r="N17" s="264" t="n">
        <v>6345.195416903168</v>
      </c>
      <c r="O17" s="264" t="n">
        <v>26.0883768030931</v>
      </c>
      <c r="P17" s="271" t="n">
        <v>6371.283793706261</v>
      </c>
      <c r="Q17" s="264" t="n">
        <v>0</v>
      </c>
      <c r="R17" s="264" t="n">
        <v>0</v>
      </c>
      <c r="S17" s="264" t="n">
        <v>0</v>
      </c>
      <c r="T17" s="264" t="n">
        <v>0</v>
      </c>
      <c r="U17" s="271" t="n">
        <v>0</v>
      </c>
      <c r="V17" s="264" t="n">
        <v>0</v>
      </c>
    </row>
    <row r="18">
      <c r="A18" s="113" t="inlineStr">
        <is>
          <t>Fluxo de Caixa Livre ajustado³</t>
        </is>
      </c>
      <c r="B18" s="265" t="n">
        <v>392.896386380904</v>
      </c>
      <c r="C18" s="265" t="n">
        <v>783.993979170748</v>
      </c>
      <c r="D18" s="265" t="n">
        <v>1185.659228915102</v>
      </c>
      <c r="E18" s="265" t="n">
        <v>1752.576429596112</v>
      </c>
      <c r="F18" s="272" t="n">
        <v>4113.777660952866</v>
      </c>
      <c r="G18" s="265" t="n">
        <v>871.8556821523759</v>
      </c>
      <c r="H18" s="265" t="n">
        <v>787.1281329806861</v>
      </c>
      <c r="I18" s="265" t="n">
        <v>615.8465802797559</v>
      </c>
      <c r="J18" s="265" t="n">
        <v>820.4447924656162</v>
      </c>
      <c r="K18" s="272" t="n">
        <v>3095.275187878435</v>
      </c>
      <c r="L18" s="265" t="n">
        <v>281.7899831219239</v>
      </c>
      <c r="M18" s="265" t="n">
        <v>965.0703835840507</v>
      </c>
      <c r="N18" s="265" t="n">
        <v>1147.250755139794</v>
      </c>
      <c r="O18" s="265" t="n">
        <v>644.3837018629318</v>
      </c>
      <c r="P18" s="272" t="n">
        <v>3038.299406805532</v>
      </c>
      <c r="Q18" s="265" t="n">
        <v>862.1050656916013</v>
      </c>
      <c r="R18" s="265" t="n">
        <v>512.5512500810495</v>
      </c>
      <c r="S18" s="265" t="n">
        <v>1031.99969982622</v>
      </c>
      <c r="T18" s="265" t="n">
        <v>-290.5656859488853</v>
      </c>
      <c r="U18" s="272" t="n">
        <v>2115.854734404412</v>
      </c>
      <c r="V18" s="265" t="n">
        <v>-102</v>
      </c>
    </row>
    <row r="19" ht="15.75" customHeight="1" s="192">
      <c r="A19" s="159" t="inlineStr">
        <is>
          <t>FCL Yield ajustado4</t>
        </is>
      </c>
      <c r="B19" s="263" t="n"/>
      <c r="C19" s="263" t="n"/>
      <c r="D19" s="263" t="n"/>
      <c r="E19" s="263" t="n"/>
      <c r="F19" s="279" t="n"/>
      <c r="G19" s="280" t="n"/>
      <c r="H19" s="280" t="n"/>
      <c r="I19" s="280" t="n"/>
      <c r="J19" s="91" t="n"/>
      <c r="K19" s="91" t="n"/>
      <c r="L19" s="89" t="n"/>
      <c r="M19" s="89" t="n"/>
      <c r="N19" s="89" t="n"/>
      <c r="O19" s="89" t="n"/>
      <c r="P19" s="281" t="n">
        <v>0.1182458939620856</v>
      </c>
      <c r="Q19" s="91" t="n"/>
      <c r="R19" s="91" t="n"/>
      <c r="S19" s="89" t="n"/>
      <c r="T19" s="89" t="n"/>
      <c r="U19" s="281" t="n">
        <v>0.09151003210950567</v>
      </c>
      <c r="V19" s="92" t="n"/>
    </row>
    <row r="20">
      <c r="A20" s="163" t="inlineStr">
        <is>
          <t>¹Inclui efeitos não recorrentes do período</t>
        </is>
      </c>
    </row>
    <row r="21">
      <c r="A21" s="163" t="inlineStr">
        <is>
          <t>² Capex visão caixa que não considera investimentos da controladora nas SPEs (Sociedades de Propósito Específico). Não inclui o pagamento do Projeto Caetê no valor de R$ 6,345 bilhões realizados no 3T24 e R$ 26 milhões no 4T24</t>
        </is>
      </c>
    </row>
    <row r="22">
      <c r="A22" s="163" t="inlineStr">
        <is>
          <t>³ Excluídos dividendos e projetos especiais e de expansão.</t>
        </is>
      </c>
    </row>
    <row r="23">
      <c r="A23" s="163" t="inlineStr">
        <is>
          <t>⁴ FCL Yield Ajustado por unit (excluindo ações em tesouraria) dividido pelo valor médio do fechamento das ações nos UDM (últimos doze meses).</t>
        </is>
      </c>
    </row>
  </sheetData>
  <mergeCells count="22">
    <mergeCell ref="C1:C2"/>
    <mergeCell ref="V1:V2"/>
    <mergeCell ref="K1:K2"/>
    <mergeCell ref="E1:E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S1:S2"/>
    <mergeCell ref="U1:U2"/>
    <mergeCell ref="D1:D2"/>
    <mergeCell ref="R1:R2"/>
    <mergeCell ref="F1:F2"/>
    <mergeCell ref="H1:H2"/>
    <mergeCell ref="J1:J2"/>
    <mergeCell ref="P1:P2"/>
    <mergeCell ref="A1:A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DA126"/>
    <outlinePr summaryBelow="1" summaryRight="1"/>
    <pageSetUpPr/>
  </sheetPr>
  <dimension ref="A1:Y27"/>
  <sheetViews>
    <sheetView showGridLines="0" zoomScale="94" zoomScaleNormal="130"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K39" sqref="K39"/>
    </sheetView>
  </sheetViews>
  <sheetFormatPr baseColWidth="8" defaultColWidth="9.140625" defaultRowHeight="12.75"/>
  <cols>
    <col width="39.7109375" customWidth="1" style="79" min="1" max="1"/>
    <col width="11.42578125" customWidth="1" style="79" min="2" max="6"/>
    <col width="11.85546875" customWidth="1" style="79" min="7" max="8"/>
    <col width="9.140625" customWidth="1" style="79" min="9" max="17"/>
    <col width="9.140625" customWidth="1" style="79" min="18" max="16384"/>
  </cols>
  <sheetData>
    <row r="1" ht="14.25" customHeight="1" s="192">
      <c r="A1" s="282" t="inlineStr">
        <is>
          <t>ROIC (R$ milhões) - UDM¹</t>
        </is>
      </c>
      <c r="B1" s="276" t="inlineStr">
        <is>
          <t>1T22</t>
        </is>
      </c>
      <c r="C1" s="276" t="inlineStr">
        <is>
          <t>2T22</t>
        </is>
      </c>
      <c r="D1" s="276" t="inlineStr">
        <is>
          <t>3T22</t>
        </is>
      </c>
      <c r="E1" s="276" t="inlineStr">
        <is>
          <t>4T22</t>
        </is>
      </c>
      <c r="F1" s="276" t="inlineStr">
        <is>
          <t>1T23</t>
        </is>
      </c>
      <c r="G1" s="276" t="inlineStr">
        <is>
          <t>2T23</t>
        </is>
      </c>
      <c r="H1" s="276" t="inlineStr">
        <is>
          <t>3T23</t>
        </is>
      </c>
      <c r="I1" s="276" t="inlineStr">
        <is>
          <t>4T23</t>
        </is>
      </c>
      <c r="J1" s="276" t="inlineStr">
        <is>
          <t>1T24</t>
        </is>
      </c>
      <c r="K1" s="276" t="inlineStr">
        <is>
          <t>2T24</t>
        </is>
      </c>
      <c r="L1" s="276" t="inlineStr">
        <is>
          <t>3T24</t>
        </is>
      </c>
      <c r="M1" s="276" t="inlineStr">
        <is>
          <t>4T24</t>
        </is>
      </c>
      <c r="N1" s="276" t="inlineStr">
        <is>
          <t>1T25</t>
        </is>
      </c>
      <c r="O1" s="276" t="inlineStr">
        <is>
          <t>2T25</t>
        </is>
      </c>
      <c r="P1" s="276" t="inlineStr">
        <is>
          <t>3T25</t>
        </is>
      </c>
      <c r="Q1" s="276" t="inlineStr">
        <is>
          <t>4T25</t>
        </is>
      </c>
      <c r="R1" s="276" t="inlineStr">
        <is>
          <t>1T26</t>
        </is>
      </c>
    </row>
    <row r="2" ht="14.25" customHeight="1" s="192" thickBot="1">
      <c r="A2" s="283" t="n"/>
      <c r="B2" s="274" t="n"/>
      <c r="C2" s="274" t="n"/>
      <c r="D2" s="274" t="n"/>
      <c r="E2" s="274" t="n"/>
      <c r="F2" s="274" t="n"/>
      <c r="G2" s="274" t="n"/>
      <c r="H2" s="274" t="n"/>
      <c r="I2" s="274" t="n"/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</row>
    <row r="3" ht="12" customFormat="1" customHeight="1" s="89">
      <c r="A3" s="113" t="inlineStr">
        <is>
          <t>Ativo Total</t>
        </is>
      </c>
      <c r="B3" s="265" t="n">
        <v>40347.87375</v>
      </c>
      <c r="C3" s="265" t="n">
        <v>41850.29025</v>
      </c>
      <c r="D3" s="265" t="n">
        <v>43172.5895</v>
      </c>
      <c r="E3" s="265" t="n">
        <v>44563.52025</v>
      </c>
      <c r="F3" s="265" t="n">
        <v>46843.505639</v>
      </c>
      <c r="G3" s="265" t="n">
        <v>48085.640139</v>
      </c>
      <c r="H3" s="265" t="n">
        <v>49968.80625</v>
      </c>
      <c r="I3" s="265" t="n">
        <v>51917.62125</v>
      </c>
      <c r="J3" s="265" t="n">
        <v>53701.2335</v>
      </c>
      <c r="K3" s="265" t="n">
        <v>55531.81125</v>
      </c>
      <c r="L3" s="265" t="n">
        <v>57176.3815</v>
      </c>
      <c r="M3" s="265" t="n">
        <v>58165.417</v>
      </c>
      <c r="N3" s="265" t="n">
        <v>58336.956</v>
      </c>
      <c r="O3" s="265" t="n">
        <v>59047.0065</v>
      </c>
      <c r="P3" s="265" t="n">
        <v>59840.7295</v>
      </c>
      <c r="Q3" s="265" t="n">
        <v>60942.21575</v>
      </c>
      <c r="R3" s="265" t="n">
        <v>62097</v>
      </c>
    </row>
    <row r="4" ht="12" customFormat="1" customHeight="1" s="89">
      <c r="A4" s="177" t="inlineStr">
        <is>
          <t>(-) Passivo Total (ex-dívida)</t>
        </is>
      </c>
      <c r="B4" s="284" t="n">
        <v>-5573.0275</v>
      </c>
      <c r="C4" s="284" t="n">
        <v>-6018.393</v>
      </c>
      <c r="D4" s="284" t="n">
        <v>-6513.16575</v>
      </c>
      <c r="E4" s="284" t="n">
        <v>-7376.644</v>
      </c>
      <c r="F4" s="284" t="n">
        <v>-7790.638</v>
      </c>
      <c r="G4" s="284" t="n">
        <v>-8488.843000000001</v>
      </c>
      <c r="H4" s="284" t="n">
        <v>-9466.778749999999</v>
      </c>
      <c r="I4" s="284" t="n">
        <v>-9780.76425</v>
      </c>
      <c r="J4" s="284" t="n">
        <v>-9957.126749999999</v>
      </c>
      <c r="K4" s="284" t="n">
        <v>-9935.21675</v>
      </c>
      <c r="L4" s="284" t="n">
        <v>-10131.452</v>
      </c>
      <c r="M4" s="284" t="n">
        <v>-10303.57175</v>
      </c>
      <c r="N4" s="284" t="n">
        <v>-10355.8165</v>
      </c>
      <c r="O4" s="284" t="n">
        <v>-10654.67075</v>
      </c>
      <c r="P4" s="284" t="n">
        <v>-10920.4785</v>
      </c>
      <c r="Q4" s="284" t="n">
        <v>-11326.78825</v>
      </c>
      <c r="R4" s="284" t="n">
        <v>-12061</v>
      </c>
    </row>
    <row r="5" ht="12" customFormat="1" customHeight="1" s="89">
      <c r="A5" s="177" t="inlineStr">
        <is>
          <t>(-) Obras em Andamento</t>
        </is>
      </c>
      <c r="B5" s="284" t="n">
        <v>-4565.679427036623</v>
      </c>
      <c r="C5" s="284" t="n">
        <v>-3934.532177036623</v>
      </c>
      <c r="D5" s="284" t="n">
        <v>-4171.5775</v>
      </c>
      <c r="E5" s="284" t="n">
        <v>-5271.6315</v>
      </c>
      <c r="F5" s="284" t="n">
        <v>-6404.3565</v>
      </c>
      <c r="G5" s="284" t="n">
        <v>-6185.7865</v>
      </c>
      <c r="H5" s="284" t="n">
        <v>-5722.89575</v>
      </c>
      <c r="I5" s="284" t="n">
        <v>-4771.906</v>
      </c>
      <c r="J5" s="284" t="n">
        <v>-3394.51225</v>
      </c>
      <c r="K5" s="284" t="n">
        <v>-2960.709</v>
      </c>
      <c r="L5" s="284" t="n">
        <v>-2528.18425</v>
      </c>
      <c r="M5" s="284" t="n">
        <v>-2213.259</v>
      </c>
      <c r="N5" s="284" t="n">
        <v>-2012.86475</v>
      </c>
      <c r="O5" s="284" t="n">
        <v>-1891.88825</v>
      </c>
      <c r="P5" s="284" t="n">
        <v>-1762.08775</v>
      </c>
      <c r="Q5" s="284" t="n">
        <v>-1702.79925</v>
      </c>
      <c r="R5" s="284" t="n">
        <v>-1854</v>
      </c>
    </row>
    <row r="6" ht="12" customFormat="1" customHeight="1" s="89">
      <c r="A6" s="179" t="inlineStr">
        <is>
          <t>Capital Investido</t>
        </is>
      </c>
      <c r="B6" s="285" t="n">
        <v>30209.16682296338</v>
      </c>
      <c r="C6" s="285" t="n">
        <v>31897.36507296338</v>
      </c>
      <c r="D6" s="285" t="n">
        <v>32487.84625</v>
      </c>
      <c r="E6" s="285" t="n">
        <v>31915.24475</v>
      </c>
      <c r="F6" s="285" t="n">
        <v>32648.511139</v>
      </c>
      <c r="G6" s="285" t="n">
        <v>33411.010639</v>
      </c>
      <c r="H6" s="285" t="n">
        <v>34779.13175</v>
      </c>
      <c r="I6" s="285" t="n">
        <v>37364.951</v>
      </c>
      <c r="J6" s="285" t="n">
        <v>40349.5945</v>
      </c>
      <c r="K6" s="285" t="n">
        <v>42635.8855</v>
      </c>
      <c r="L6" s="285" t="n">
        <v>44516.74525</v>
      </c>
      <c r="M6" s="285" t="n">
        <v>45648.58625</v>
      </c>
      <c r="N6" s="285" t="n">
        <v>45968.27475</v>
      </c>
      <c r="O6" s="285" t="n">
        <v>46500.4475</v>
      </c>
      <c r="P6" s="285" t="n">
        <v>47158.16325</v>
      </c>
      <c r="Q6" s="285" t="n">
        <v>47912.62825</v>
      </c>
      <c r="R6" s="285" t="n">
        <v>48181</v>
      </c>
    </row>
    <row r="7" ht="12" customFormat="1" customHeight="1" s="89">
      <c r="A7" s="177" t="inlineStr">
        <is>
          <t>(-) Ajustes²</t>
        </is>
      </c>
      <c r="B7" s="284" t="n">
        <v>-1957.25118488</v>
      </c>
      <c r="C7" s="284" t="n">
        <v>-1951.55343488</v>
      </c>
      <c r="D7" s="284" t="n">
        <v>-2238.74175</v>
      </c>
      <c r="E7" s="284" t="n">
        <v>-2393.493</v>
      </c>
      <c r="F7" s="284" t="n">
        <v>-2581.34075</v>
      </c>
      <c r="G7" s="284" t="n">
        <v>-2800.41675</v>
      </c>
      <c r="H7" s="284" t="n">
        <v>-2840.1605</v>
      </c>
      <c r="I7" s="284" t="n">
        <v>-3895.51866725</v>
      </c>
      <c r="J7" s="284" t="n">
        <v>-3823.955873</v>
      </c>
      <c r="K7" s="284" t="n">
        <v>-3584.712122832224</v>
      </c>
      <c r="L7" s="284" t="n">
        <v>-3653.906102832224</v>
      </c>
      <c r="M7" s="284" t="n">
        <v>-3584.407600481367</v>
      </c>
      <c r="N7" s="284" t="n">
        <v>-3489.49823035371</v>
      </c>
      <c r="O7" s="284" t="n">
        <v>-3578.740591771486</v>
      </c>
      <c r="P7" s="284" t="n">
        <v>-3324.425271486104</v>
      </c>
      <c r="Q7" s="284" t="n">
        <v>-3410.99825</v>
      </c>
      <c r="R7" s="284" t="n">
        <v>-3522</v>
      </c>
    </row>
    <row r="8" ht="12" customFormat="1" customHeight="1" s="89">
      <c r="A8" s="181" t="inlineStr">
        <is>
          <t>Capital Investido Ajustado</t>
        </is>
      </c>
      <c r="B8" s="286" t="n">
        <v>28251.91563808338</v>
      </c>
      <c r="C8" s="286" t="n">
        <v>29945.81163808338</v>
      </c>
      <c r="D8" s="286" t="n">
        <v>30249.1045</v>
      </c>
      <c r="E8" s="286" t="n">
        <v>29521.75175</v>
      </c>
      <c r="F8" s="286" t="n">
        <v>30067.170389</v>
      </c>
      <c r="G8" s="286" t="n">
        <v>30610.593889</v>
      </c>
      <c r="H8" s="286" t="n">
        <v>31938.97125</v>
      </c>
      <c r="I8" s="286" t="n">
        <v>33469.43233275</v>
      </c>
      <c r="J8" s="286" t="n">
        <v>36525.63862699999</v>
      </c>
      <c r="K8" s="286" t="n">
        <v>39051.17337716778</v>
      </c>
      <c r="L8" s="286" t="n">
        <v>40862.83914716778</v>
      </c>
      <c r="M8" s="286" t="n">
        <v>42064.17864951863</v>
      </c>
      <c r="N8" s="286" t="n">
        <v>42478.77651964629</v>
      </c>
      <c r="O8" s="286" t="n">
        <v>42921.70690822852</v>
      </c>
      <c r="P8" s="286" t="n">
        <v>43833.7379785139</v>
      </c>
      <c r="Q8" s="286" t="n">
        <v>44501.63</v>
      </c>
      <c r="R8" s="286" t="n">
        <v>44659</v>
      </c>
    </row>
    <row r="9" ht="12" customFormat="1" customHeight="1" s="89">
      <c r="A9" s="179" t="inlineStr">
        <is>
          <t>EBITDA Ajustado</t>
        </is>
      </c>
      <c r="B9" s="285" t="n">
        <v>7336.242</v>
      </c>
      <c r="C9" s="285" t="n">
        <v>7528.107579240001</v>
      </c>
      <c r="D9" s="285" t="n">
        <v>7911.20135798</v>
      </c>
      <c r="E9" s="285" t="n">
        <v>7931.55884874</v>
      </c>
      <c r="F9" s="287" t="n">
        <v>8147.9913377</v>
      </c>
      <c r="G9" s="285" t="n">
        <v>7502.28080755</v>
      </c>
      <c r="H9" s="285" t="n">
        <v>6543.63597257</v>
      </c>
      <c r="I9" s="285" t="n">
        <v>6321.89138001</v>
      </c>
      <c r="J9" s="285" t="n">
        <v>6031.894030330001</v>
      </c>
      <c r="K9" s="285" t="n">
        <v>6739.53044796</v>
      </c>
      <c r="L9" s="285" t="n">
        <v>7192.44820809</v>
      </c>
      <c r="M9" s="285" t="n">
        <v>7332.625637349998</v>
      </c>
      <c r="N9" s="285" t="n">
        <v>7539.20460484</v>
      </c>
      <c r="O9" s="285" t="n">
        <v>7528.505140869999</v>
      </c>
      <c r="P9" s="285" t="n">
        <v>7840.26685703</v>
      </c>
      <c r="Q9" s="285" t="n">
        <v>7848.116636290002</v>
      </c>
      <c r="R9" s="285" t="n">
        <v>7658</v>
      </c>
    </row>
    <row r="10" ht="12" customFormat="1" customHeight="1" s="89">
      <c r="A10" s="177" t="inlineStr">
        <is>
          <t>(-) Capex de Manutenção³</t>
        </is>
      </c>
      <c r="B10" s="284" t="n">
        <v>-1006.227461984119</v>
      </c>
      <c r="C10" s="284" t="n">
        <v>-1247.754081652655</v>
      </c>
      <c r="D10" s="284" t="n">
        <v>-1490.544097619971</v>
      </c>
      <c r="E10" s="284" t="n">
        <v>-1708.789762709973</v>
      </c>
      <c r="F10" s="284" t="n">
        <v>-1896.116907609984</v>
      </c>
      <c r="G10" s="284" t="n">
        <v>-1855</v>
      </c>
      <c r="H10" s="284" t="n">
        <v>-1874.76291109</v>
      </c>
      <c r="I10" s="284" t="n">
        <v>-2216.28783229</v>
      </c>
      <c r="J10" s="284" t="n">
        <v>-2308.99195293</v>
      </c>
      <c r="K10" s="284" t="n">
        <v>-2460.169968786666</v>
      </c>
      <c r="L10" s="284" t="n">
        <v>-2476.43108958</v>
      </c>
      <c r="M10" s="284" t="n">
        <v>-2532.702282480001</v>
      </c>
      <c r="N10" s="284" t="n">
        <v>-2529.902053377477</v>
      </c>
      <c r="O10" s="284" t="n">
        <v>-2576.513085117402</v>
      </c>
      <c r="P10" s="284" t="n">
        <v>-2571.500328080854</v>
      </c>
      <c r="Q10" s="284" t="n">
        <v>-2945.228273929968</v>
      </c>
      <c r="R10" s="284" t="n">
        <v>-3197</v>
      </c>
    </row>
    <row r="11" ht="12" customFormat="1" customHeight="1" s="89">
      <c r="A11" s="177" t="inlineStr">
        <is>
          <t>(-) Imposto de Renda e CSLL (caixa)</t>
        </is>
      </c>
      <c r="B11" s="284" t="n">
        <v>-654.04762925</v>
      </c>
      <c r="C11" s="284" t="n">
        <v>-703.12480593322</v>
      </c>
      <c r="D11" s="284" t="n">
        <v>-581.9300841231201</v>
      </c>
      <c r="E11" s="284" t="n">
        <v>-534.457621218455</v>
      </c>
      <c r="F11" s="284" t="n">
        <v>-404.5937200828725</v>
      </c>
      <c r="G11" s="284" t="n">
        <v>-331.6915664381939</v>
      </c>
      <c r="H11" s="284" t="n">
        <v>-267.4892920629936</v>
      </c>
      <c r="I11" s="284" t="n">
        <v>-167.702825256859</v>
      </c>
      <c r="J11" s="284" t="n">
        <v>-198.0378269024414</v>
      </c>
      <c r="K11" s="284" t="n">
        <v>-248.1753131039</v>
      </c>
      <c r="L11" s="284" t="n">
        <v>-220.1998984242003</v>
      </c>
      <c r="M11" s="284" t="n">
        <v>-489.114590295</v>
      </c>
      <c r="N11" s="284" t="n">
        <v>-466.7274747887781</v>
      </c>
      <c r="O11" s="284" t="n">
        <v>-407.9235731648564</v>
      </c>
      <c r="P11" s="284" t="n">
        <v>-266.5490294682813</v>
      </c>
      <c r="Q11" s="284" t="n">
        <v>-244.0757769101708</v>
      </c>
      <c r="R11" s="284" t="n">
        <v>-237</v>
      </c>
    </row>
    <row r="12" ht="12" customFormat="1" customHeight="1" s="89">
      <c r="A12" s="179" t="inlineStr">
        <is>
          <t>Fluxo de Caixa Operacional Ajustado</t>
        </is>
      </c>
      <c r="B12" s="285" t="n">
        <v>5675.96690876588</v>
      </c>
      <c r="C12" s="285" t="n">
        <v>5577.228691654125</v>
      </c>
      <c r="D12" s="285" t="n">
        <v>5838.72717623691</v>
      </c>
      <c r="E12" s="285" t="n">
        <v>5688.311464811572</v>
      </c>
      <c r="F12" s="285" t="n">
        <v>5847.306774447144</v>
      </c>
      <c r="G12" s="285" t="n">
        <v>5315.589241111806</v>
      </c>
      <c r="H12" s="285" t="n">
        <v>4401.383769417006</v>
      </c>
      <c r="I12" s="285" t="n">
        <v>3937.900722463141</v>
      </c>
      <c r="J12" s="285" t="n">
        <v>3524.864250497559</v>
      </c>
      <c r="K12" s="285" t="n">
        <v>4031.185166069433</v>
      </c>
      <c r="L12" s="285" t="n">
        <v>4495.8172200858</v>
      </c>
      <c r="M12" s="285" t="n">
        <v>4310.808764574998</v>
      </c>
      <c r="N12" s="285" t="n">
        <v>4542.575076673745</v>
      </c>
      <c r="O12" s="285" t="n">
        <v>4543.554027777741</v>
      </c>
      <c r="P12" s="285" t="n">
        <v>5002.217499480866</v>
      </c>
      <c r="Q12" s="285" t="n">
        <v>4658.812585449863</v>
      </c>
      <c r="R12" s="285" t="n">
        <v>4224</v>
      </c>
    </row>
    <row r="13" ht="12" customFormat="1" customHeight="1" s="89">
      <c r="A13" s="288" t="inlineStr">
        <is>
          <t>ROIC⁴</t>
        </is>
      </c>
      <c r="B13" s="289" t="n">
        <v>0.2009055591655073</v>
      </c>
      <c r="C13" s="289" t="n">
        <v>0.1862440316882687</v>
      </c>
      <c r="D13" s="289" t="n">
        <v>0.1930214884952019</v>
      </c>
      <c r="E13" s="289" t="n">
        <v>0.1926820438360868</v>
      </c>
      <c r="F13" s="289" t="n">
        <v>0.194105782615366</v>
      </c>
      <c r="G13" s="289" t="n">
        <v>0.1736519474397384</v>
      </c>
      <c r="H13" s="289" t="n">
        <v>0.137806059405154</v>
      </c>
      <c r="I13" s="289" t="n">
        <v>0.1176566331724093</v>
      </c>
      <c r="J13" s="289" t="n">
        <v>0.09650383629136483</v>
      </c>
      <c r="K13" s="289" t="n">
        <v>0.1032282724807026</v>
      </c>
      <c r="L13" s="289" t="n">
        <v>0.1100221451547722</v>
      </c>
      <c r="M13" s="289" t="n">
        <v>0.1024817054076564</v>
      </c>
      <c r="N13" s="289" t="n">
        <v>0.1069375214837654</v>
      </c>
      <c r="O13" s="289" t="n">
        <v>0.1058567879765913</v>
      </c>
      <c r="P13" s="289" t="n">
        <v>0.1143006251987958</v>
      </c>
      <c r="Q13" s="289" t="n">
        <v>0.1046876702411532</v>
      </c>
      <c r="R13" s="289" t="n">
        <v>0.095</v>
      </c>
      <c r="Y13" s="89" t="inlineStr">
        <is>
          <t>\</t>
        </is>
      </c>
    </row>
    <row r="14" ht="22.5" customFormat="1" customHeight="1" s="92">
      <c r="A14" s="187" t="inlineStr">
        <is>
          <t>¹ Média dos saldos patrimoniais dos 4 últimos trimestres (últimos doze meses)</t>
        </is>
      </c>
      <c r="B14" s="186" t="n"/>
      <c r="C14" s="186" t="n"/>
      <c r="D14" s="186" t="n"/>
      <c r="E14" s="186" t="n"/>
      <c r="F14" s="186" t="n"/>
    </row>
    <row r="15" ht="90" customFormat="1" customHeight="1" s="92">
      <c r="A15" s="187" t="inlineStr">
        <is>
          <t>² Os ajustes se referem a eliminação dos seguintes impactos: (i) CPC 29: valor justo dos ativos biológicos menos o imposto diferido dos ativos biológicos; (ii) CPC 06: direito de uso, passivo de direito de uso e passivo de arrendamentos e respectivo IR/CS diferido e (iii) CPC 27: custo atribuído imobilizado (terras) 
Os ajustes (ii) e (iii) foram aplicados a partir do 4T23 em todos os períodos apresentados</t>
        </is>
      </c>
    </row>
    <row r="16" ht="33.75" customFormat="1" customHeight="1" s="92">
      <c r="A16" s="187" t="inlineStr">
        <is>
          <t>³ Exclui os efeitos do CPC 06, ou seja, soma-se o montante referente aos contratos de arrendamento (visão caixa) ao capex de manutenção</t>
        </is>
      </c>
      <c r="B16" s="186" t="n"/>
      <c r="C16" s="186" t="n"/>
      <c r="D16" s="186" t="n"/>
      <c r="E16" s="186" t="n"/>
      <c r="F16" s="186" t="n"/>
    </row>
    <row r="17" ht="22.5" customHeight="1" s="192">
      <c r="A17" s="187" t="inlineStr">
        <is>
          <t>4 ROIC (últimos doze meses): Fluxo de Caixa Operacional Ajustado / Capital Investido Ajustado</t>
        </is>
      </c>
    </row>
    <row r="18" hidden="1" ht="15" customHeight="1" s="192" thickBot="1">
      <c r="B18" s="290" t="n"/>
      <c r="C18" s="290" t="n"/>
      <c r="D18" s="290" t="n"/>
      <c r="E18" s="290" t="n"/>
      <c r="F18" s="290" t="n"/>
    </row>
    <row r="19" hidden="1" ht="15" customHeight="1" s="192">
      <c r="B19" s="290" t="n"/>
      <c r="C19" s="290" t="n"/>
      <c r="D19" s="290" t="n"/>
      <c r="E19" s="290" t="n"/>
      <c r="F19" s="290" t="n"/>
    </row>
    <row r="20" hidden="1" ht="15" customHeight="1" s="192">
      <c r="B20" s="290" t="n"/>
      <c r="C20" s="290" t="n"/>
      <c r="D20" s="290" t="n"/>
      <c r="E20" s="290" t="n"/>
      <c r="F20" s="290" t="n"/>
    </row>
    <row r="21" hidden="1" ht="15" customHeight="1" s="192">
      <c r="B21" s="290" t="n"/>
      <c r="C21" s="290" t="n"/>
      <c r="D21" s="290" t="n"/>
      <c r="E21" s="290" t="n"/>
      <c r="F21" s="290" t="n"/>
    </row>
    <row r="22" hidden="1" ht="15" customHeight="1" s="192">
      <c r="B22" s="290" t="n"/>
      <c r="C22" s="290" t="n"/>
      <c r="D22" s="290" t="n"/>
      <c r="E22" s="290" t="n"/>
      <c r="F22" s="290" t="n"/>
    </row>
    <row r="23" hidden="1" ht="15" customHeight="1" s="192">
      <c r="B23" s="290" t="n"/>
      <c r="C23" s="290" t="n"/>
      <c r="D23" s="290" t="n"/>
      <c r="E23" s="290" t="n"/>
      <c r="F23" s="290" t="n"/>
    </row>
    <row r="24" hidden="1" ht="15" customHeight="1" s="192">
      <c r="B24" s="290" t="n"/>
      <c r="C24" s="290" t="n"/>
      <c r="D24" s="290" t="n"/>
      <c r="E24" s="290" t="n"/>
      <c r="F24" s="290" t="n"/>
    </row>
    <row r="25" hidden="1" ht="15" customHeight="1" s="192">
      <c r="B25" s="290" t="n"/>
      <c r="C25" s="290" t="n"/>
      <c r="D25" s="290" t="n"/>
      <c r="E25" s="290" t="n"/>
      <c r="F25" s="290" t="n"/>
    </row>
    <row r="26" hidden="1" ht="15" customHeight="1" s="192">
      <c r="B26" s="290" t="n"/>
      <c r="C26" s="290" t="n"/>
      <c r="D26" s="290" t="n"/>
      <c r="E26" s="290" t="n"/>
      <c r="F26" s="290" t="n"/>
    </row>
    <row r="27" hidden="1" ht="15" customHeight="1" s="192">
      <c r="B27" s="290" t="n"/>
      <c r="C27" s="290" t="n"/>
      <c r="D27" s="290" t="n"/>
      <c r="E27" s="290" t="n"/>
      <c r="F27" s="290" t="n"/>
    </row>
  </sheetData>
  <mergeCells count="18">
    <mergeCell ref="C1:C2"/>
    <mergeCell ref="P1:P2"/>
    <mergeCell ref="J1:J2"/>
    <mergeCell ref="Q1:Q2"/>
    <mergeCell ref="O1:O2"/>
    <mergeCell ref="L1:L2"/>
    <mergeCell ref="R1:R2"/>
    <mergeCell ref="B1:B2"/>
    <mergeCell ref="D1:D2"/>
    <mergeCell ref="G1:G2"/>
    <mergeCell ref="K1:K2"/>
    <mergeCell ref="I1:I2"/>
    <mergeCell ref="E1:E2"/>
    <mergeCell ref="M1:M2"/>
    <mergeCell ref="F1:F2"/>
    <mergeCell ref="H1:H2"/>
    <mergeCell ref="N1:N2"/>
    <mergeCell ref="A1:A2"/>
  </mergeCells>
  <pageMargins left="0.511811024" right="0.511811024" top="0.787401575" bottom="0.787401575" header="0.31496062" footer="0.31496062"/>
  <pageSetup orientation="portrait" paperSize="9" verticalDpi="0"/>
</worksheet>
</file>

<file path=xl/worksheets/sheet11.xml><?xml version="1.0" encoding="utf-8"?>
<worksheet xmlns="http://schemas.openxmlformats.org/spreadsheetml/2006/main">
  <sheetPr codeName="Plan2">
    <tabColor rgb="FF00B050"/>
    <outlinePr summaryBelow="1" summaryRight="1"/>
    <pageSetUpPr/>
  </sheetPr>
  <dimension ref="A1:FF32"/>
  <sheetViews>
    <sheetView workbookViewId="0">
      <pane xSplit="1" topLeftCell="B1" activePane="topRight" state="frozen"/>
      <selection pane="topRight" activeCell="B4" sqref="B4"/>
    </sheetView>
  </sheetViews>
  <sheetFormatPr baseColWidth="8" defaultColWidth="9.140625" defaultRowHeight="10.5"/>
  <cols>
    <col width="28.7109375" bestFit="1" customWidth="1" style="65" min="1" max="1"/>
    <col width="9.140625" customWidth="1" style="65" min="2" max="44"/>
    <col width="8.7109375" customWidth="1" style="65" min="45" max="54"/>
    <col width="9.140625" customWidth="1" style="65" min="55" max="55"/>
    <col width="9.140625" customWidth="1" style="65" min="56" max="16384"/>
  </cols>
  <sheetData>
    <row r="1" customFormat="1" s="49">
      <c r="A1" s="291" t="inlineStr">
        <is>
          <t>Vendas Totais</t>
        </is>
      </c>
      <c r="B1" s="291" t="n"/>
      <c r="C1" s="292" t="n"/>
      <c r="D1" s="292" t="n"/>
      <c r="E1" s="292" t="n"/>
      <c r="F1" s="292" t="n"/>
      <c r="G1" s="292" t="n"/>
      <c r="H1" s="292" t="n"/>
      <c r="I1" s="292" t="n"/>
      <c r="J1" s="291" t="n"/>
      <c r="K1" s="292" t="n"/>
      <c r="L1" s="292" t="n"/>
      <c r="M1" s="292" t="n"/>
      <c r="N1" s="292" t="n"/>
      <c r="O1" s="292" t="n"/>
      <c r="P1" s="292" t="n"/>
      <c r="Q1" s="292" t="n"/>
      <c r="R1" s="291" t="n"/>
      <c r="S1" s="292" t="n"/>
      <c r="T1" s="292" t="n"/>
      <c r="U1" s="292" t="n"/>
      <c r="V1" s="292" t="n"/>
      <c r="W1" s="292" t="n"/>
      <c r="X1" s="292" t="n"/>
      <c r="Y1" s="292" t="n"/>
      <c r="Z1" s="292" t="n"/>
      <c r="AA1" s="292" t="n"/>
      <c r="AB1" s="292" t="n"/>
      <c r="AC1" s="292" t="n"/>
      <c r="AD1" s="292" t="n"/>
    </row>
    <row r="2" customFormat="1" s="51">
      <c r="A2" s="293" t="n"/>
      <c r="B2" s="293" t="n"/>
      <c r="C2" s="293" t="n"/>
      <c r="D2" s="293" t="n"/>
      <c r="E2" s="293" t="n"/>
      <c r="F2" s="293" t="n"/>
      <c r="G2" s="293" t="n"/>
      <c r="H2" s="293" t="n"/>
      <c r="I2" s="293" t="n"/>
      <c r="J2" s="293" t="n"/>
      <c r="K2" s="293" t="n"/>
      <c r="L2" s="293" t="n"/>
      <c r="M2" s="293" t="n"/>
      <c r="N2" s="293" t="n"/>
      <c r="O2" s="293" t="n"/>
      <c r="P2" s="293" t="n"/>
      <c r="Q2" s="293" t="n"/>
      <c r="R2" s="293" t="n"/>
      <c r="S2" s="293" t="n"/>
      <c r="T2" s="293" t="n"/>
      <c r="U2" s="293" t="n"/>
      <c r="V2" s="293" t="n"/>
      <c r="W2" s="293" t="n"/>
      <c r="X2" s="293" t="n"/>
      <c r="Y2" s="293" t="n"/>
      <c r="Z2" s="293" t="n"/>
      <c r="AA2" s="293" t="n"/>
      <c r="AB2" s="293" t="n"/>
      <c r="AC2" s="293" t="n"/>
      <c r="AD2" s="293" t="n"/>
    </row>
    <row r="3" ht="11.25" customFormat="1" customHeight="1" s="56" thickBot="1">
      <c r="A3" s="294" t="n"/>
      <c r="B3" s="53" t="inlineStr">
        <is>
          <t>1T05</t>
        </is>
      </c>
      <c r="C3" s="53" t="inlineStr">
        <is>
          <t>2T05</t>
        </is>
      </c>
      <c r="D3" s="53" t="inlineStr">
        <is>
          <t>3T05</t>
        </is>
      </c>
      <c r="E3" s="53" t="inlineStr">
        <is>
          <t>4T05</t>
        </is>
      </c>
      <c r="F3" s="53" t="inlineStr">
        <is>
          <t>1T06</t>
        </is>
      </c>
      <c r="G3" s="53" t="inlineStr">
        <is>
          <t>2T06</t>
        </is>
      </c>
      <c r="H3" s="53" t="inlineStr">
        <is>
          <t>3T06</t>
        </is>
      </c>
      <c r="I3" s="53" t="inlineStr">
        <is>
          <t>4T06</t>
        </is>
      </c>
      <c r="J3" s="53" t="inlineStr">
        <is>
          <t>1T07</t>
        </is>
      </c>
      <c r="K3" s="53" t="inlineStr">
        <is>
          <t>2T07</t>
        </is>
      </c>
      <c r="L3" s="53" t="inlineStr">
        <is>
          <t>3T07</t>
        </is>
      </c>
      <c r="M3" s="53" t="inlineStr">
        <is>
          <t>4T07</t>
        </is>
      </c>
      <c r="N3" s="53" t="inlineStr">
        <is>
          <t>1T08</t>
        </is>
      </c>
      <c r="O3" s="53" t="inlineStr">
        <is>
          <t>2T08</t>
        </is>
      </c>
      <c r="P3" s="53" t="inlineStr">
        <is>
          <t>3T08</t>
        </is>
      </c>
      <c r="Q3" s="53" t="inlineStr">
        <is>
          <t>4T08</t>
        </is>
      </c>
      <c r="R3" s="53" t="inlineStr">
        <is>
          <t>1T09</t>
        </is>
      </c>
      <c r="S3" s="53" t="inlineStr">
        <is>
          <t>2T09</t>
        </is>
      </c>
      <c r="T3" s="53" t="inlineStr">
        <is>
          <t>3T09</t>
        </is>
      </c>
      <c r="U3" s="53" t="inlineStr">
        <is>
          <t>4T09</t>
        </is>
      </c>
      <c r="V3" s="53" t="inlineStr">
        <is>
          <t>1T10</t>
        </is>
      </c>
      <c r="W3" s="53" t="inlineStr">
        <is>
          <t>2T10</t>
        </is>
      </c>
      <c r="X3" s="53" t="inlineStr">
        <is>
          <t>3T10</t>
        </is>
      </c>
      <c r="Y3" s="53" t="inlineStr">
        <is>
          <t>4T10</t>
        </is>
      </c>
      <c r="Z3" s="54" t="inlineStr">
        <is>
          <t>1T11</t>
        </is>
      </c>
      <c r="AA3" s="54" t="inlineStr">
        <is>
          <t>2T11</t>
        </is>
      </c>
      <c r="AB3" s="54" t="inlineStr">
        <is>
          <t>3T11</t>
        </is>
      </c>
      <c r="AC3" s="54" t="inlineStr">
        <is>
          <t>4T11</t>
        </is>
      </c>
      <c r="AD3" s="54" t="inlineStr">
        <is>
          <t>1T12</t>
        </is>
      </c>
      <c r="AE3" s="54" t="inlineStr">
        <is>
          <t>2T12</t>
        </is>
      </c>
      <c r="AF3" s="54" t="inlineStr">
        <is>
          <t>3T12</t>
        </is>
      </c>
      <c r="AG3" s="54" t="inlineStr">
        <is>
          <t>4T12</t>
        </is>
      </c>
      <c r="AH3" s="54" t="inlineStr">
        <is>
          <t>1T13</t>
        </is>
      </c>
      <c r="AI3" s="54" t="inlineStr">
        <is>
          <t>2T13</t>
        </is>
      </c>
      <c r="AJ3" s="54" t="inlineStr">
        <is>
          <t>3T13</t>
        </is>
      </c>
      <c r="AK3" s="54" t="inlineStr">
        <is>
          <t>4T13</t>
        </is>
      </c>
      <c r="AL3" s="54" t="inlineStr">
        <is>
          <t>1T14</t>
        </is>
      </c>
      <c r="AM3" s="54" t="inlineStr">
        <is>
          <t>2T14</t>
        </is>
      </c>
      <c r="AN3" s="54" t="inlineStr">
        <is>
          <t>3T14</t>
        </is>
      </c>
      <c r="AO3" s="54" t="inlineStr">
        <is>
          <t>4T14</t>
        </is>
      </c>
      <c r="AP3" s="54" t="inlineStr">
        <is>
          <t>1T15</t>
        </is>
      </c>
      <c r="AQ3" s="54" t="inlineStr">
        <is>
          <t>2T15</t>
        </is>
      </c>
      <c r="AR3" s="54" t="inlineStr">
        <is>
          <t>3T15</t>
        </is>
      </c>
      <c r="AS3" s="54" t="inlineStr">
        <is>
          <t>4T15</t>
        </is>
      </c>
      <c r="AT3" s="54" t="inlineStr">
        <is>
          <t>1T16</t>
        </is>
      </c>
      <c r="AU3" s="54" t="inlineStr">
        <is>
          <t>2T16</t>
        </is>
      </c>
      <c r="AV3" s="54" t="inlineStr">
        <is>
          <t>3T16</t>
        </is>
      </c>
      <c r="AW3" s="54" t="inlineStr">
        <is>
          <t>4T16</t>
        </is>
      </c>
      <c r="AX3" s="54" t="inlineStr">
        <is>
          <t>1T17</t>
        </is>
      </c>
      <c r="AY3" s="54" t="inlineStr">
        <is>
          <t>2T17</t>
        </is>
      </c>
      <c r="AZ3" s="54" t="inlineStr">
        <is>
          <t>3T17</t>
        </is>
      </c>
      <c r="BA3" s="54" t="inlineStr">
        <is>
          <t>4T17</t>
        </is>
      </c>
      <c r="BB3" s="54" t="inlineStr">
        <is>
          <t>1T18</t>
        </is>
      </c>
      <c r="BC3" s="54" t="inlineStr">
        <is>
          <t>2T18</t>
        </is>
      </c>
      <c r="BD3" s="54" t="inlineStr">
        <is>
          <t>3T18</t>
        </is>
      </c>
      <c r="BE3" s="54" t="inlineStr">
        <is>
          <t>4T18</t>
        </is>
      </c>
      <c r="BF3" s="54" t="inlineStr">
        <is>
          <t>1T19</t>
        </is>
      </c>
      <c r="BG3" s="54" t="inlineStr">
        <is>
          <t>2T19</t>
        </is>
      </c>
      <c r="BH3" s="54" t="inlineStr">
        <is>
          <t>3T19</t>
        </is>
      </c>
      <c r="BI3" s="55" t="n"/>
      <c r="BJ3" s="55" t="n"/>
      <c r="BK3" s="55" t="n"/>
      <c r="BL3" s="55" t="n"/>
      <c r="BM3" s="55" t="n"/>
      <c r="BN3" s="55" t="n"/>
      <c r="BO3" s="55" t="n"/>
      <c r="BP3" s="55" t="n"/>
      <c r="BQ3" s="55" t="n"/>
      <c r="BR3" s="55" t="n"/>
      <c r="BS3" s="55" t="n"/>
      <c r="BT3" s="55" t="n"/>
      <c r="BU3" s="55" t="n"/>
      <c r="BV3" s="55" t="n"/>
      <c r="BW3" s="55" t="n"/>
      <c r="BX3" s="55" t="n"/>
      <c r="BY3" s="55" t="n"/>
      <c r="BZ3" s="55" t="n"/>
      <c r="CA3" s="55" t="n"/>
      <c r="CB3" s="55" t="n"/>
      <c r="CC3" s="55" t="n"/>
      <c r="CD3" s="55" t="n"/>
      <c r="CE3" s="55" t="n"/>
      <c r="CF3" s="55" t="n"/>
      <c r="CG3" s="55" t="n"/>
      <c r="CH3" s="55" t="n"/>
      <c r="CI3" s="55" t="n"/>
      <c r="CJ3" s="55" t="n"/>
      <c r="CK3" s="55" t="n"/>
      <c r="CL3" s="55" t="n"/>
      <c r="CM3" s="55" t="n"/>
      <c r="CN3" s="55" t="n"/>
      <c r="CO3" s="55" t="n"/>
      <c r="CP3" s="55" t="n"/>
      <c r="CQ3" s="55" t="n"/>
      <c r="CR3" s="55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55" t="n"/>
      <c r="DN3" s="55" t="n"/>
      <c r="DO3" s="55" t="n"/>
      <c r="DP3" s="55" t="n"/>
      <c r="DQ3" s="55" t="n"/>
      <c r="DR3" s="55" t="n"/>
      <c r="DS3" s="55" t="n"/>
      <c r="DT3" s="55" t="n"/>
      <c r="DU3" s="55" t="n"/>
      <c r="DV3" s="55" t="n"/>
      <c r="DW3" s="55" t="n"/>
      <c r="DX3" s="55" t="n"/>
      <c r="DY3" s="55" t="n"/>
      <c r="DZ3" s="55" t="n"/>
      <c r="EA3" s="55" t="n"/>
      <c r="EB3" s="55" t="n"/>
      <c r="EC3" s="55" t="n"/>
      <c r="ED3" s="55" t="n"/>
      <c r="EE3" s="55" t="n"/>
      <c r="EF3" s="55" t="n"/>
      <c r="EG3" s="55" t="n"/>
      <c r="EH3" s="55" t="n"/>
      <c r="EI3" s="55" t="n"/>
      <c r="EJ3" s="55" t="n"/>
      <c r="EK3" s="55" t="n"/>
      <c r="EL3" s="55" t="n"/>
      <c r="EM3" s="55" t="n"/>
      <c r="EN3" s="55" t="n"/>
      <c r="EO3" s="55" t="n"/>
      <c r="EP3" s="55" t="n"/>
      <c r="EQ3" s="55" t="n"/>
      <c r="ER3" s="55" t="n"/>
      <c r="ES3" s="55" t="n"/>
      <c r="ET3" s="55" t="n"/>
      <c r="EU3" s="55" t="n"/>
      <c r="EV3" s="55" t="n"/>
      <c r="EW3" s="55" t="n"/>
      <c r="EX3" s="55" t="n"/>
      <c r="EY3" s="55" t="n"/>
      <c r="EZ3" s="55" t="n"/>
      <c r="FA3" s="55" t="n"/>
      <c r="FB3" s="55" t="n"/>
      <c r="FC3" s="55" t="n"/>
      <c r="FD3" s="55" t="n"/>
      <c r="FE3" s="55" t="n"/>
      <c r="FF3" s="55" t="n"/>
    </row>
    <row r="4" customFormat="1" s="51">
      <c r="A4" s="295" t="inlineStr">
        <is>
          <t>Volume (1.000 ton)</t>
        </is>
      </c>
      <c r="B4" s="296" t="n"/>
      <c r="C4" s="296" t="n"/>
      <c r="D4" s="296" t="n"/>
      <c r="E4" s="296" t="n"/>
      <c r="F4" s="296" t="n"/>
      <c r="G4" s="296" t="n"/>
      <c r="H4" s="296" t="n"/>
      <c r="I4" s="296" t="n"/>
      <c r="J4" s="296" t="n"/>
      <c r="K4" s="296" t="n"/>
      <c r="L4" s="296" t="n"/>
      <c r="M4" s="296" t="n"/>
      <c r="N4" s="296" t="n"/>
      <c r="O4" s="296" t="n"/>
      <c r="P4" s="296" t="n"/>
      <c r="Q4" s="296" t="n"/>
      <c r="R4" s="296" t="n"/>
      <c r="S4" s="296" t="n"/>
      <c r="T4" s="296" t="n"/>
      <c r="U4" s="296" t="n"/>
      <c r="V4" s="296" t="n"/>
      <c r="W4" s="296" t="n"/>
      <c r="X4" s="296" t="n"/>
      <c r="Y4" s="296" t="n"/>
      <c r="Z4" s="296" t="n"/>
      <c r="AA4" s="296" t="n"/>
      <c r="AB4" s="296" t="n"/>
      <c r="AC4" s="296" t="n"/>
      <c r="AD4" s="296" t="n"/>
    </row>
    <row r="5" customFormat="1" s="60">
      <c r="A5" s="295" t="inlineStr">
        <is>
          <t>Kraftliner</t>
        </is>
      </c>
      <c r="B5" s="297" t="n">
        <v>103.1</v>
      </c>
      <c r="C5" s="297" t="n">
        <v>121.1</v>
      </c>
      <c r="D5" s="297" t="n">
        <v>108.1</v>
      </c>
      <c r="E5" s="297" t="n">
        <v>139.6</v>
      </c>
      <c r="F5" s="297" t="n">
        <v>113.4</v>
      </c>
      <c r="G5" s="297" t="n">
        <v>103.6</v>
      </c>
      <c r="H5" s="297" t="n">
        <v>122.1</v>
      </c>
      <c r="I5" s="297" t="n">
        <v>120.7</v>
      </c>
      <c r="J5" s="297" t="n">
        <v>123.4</v>
      </c>
      <c r="K5" s="297" t="n">
        <v>117.3</v>
      </c>
      <c r="L5" s="297" t="n">
        <v>113.2</v>
      </c>
      <c r="M5" s="297" t="n">
        <v>110</v>
      </c>
      <c r="N5" s="297" t="n">
        <v>121.8</v>
      </c>
      <c r="O5" s="297" t="n">
        <v>117.1</v>
      </c>
      <c r="P5" s="297" t="n">
        <v>99.2</v>
      </c>
      <c r="Q5" s="297" t="n">
        <v>119.8</v>
      </c>
      <c r="R5" s="297" t="n">
        <v>91.89999999999999</v>
      </c>
      <c r="S5" s="297" t="n">
        <v>83.60000000000001</v>
      </c>
      <c r="T5" s="297" t="n">
        <v>108.1</v>
      </c>
      <c r="U5" s="297" t="n">
        <v>109</v>
      </c>
      <c r="V5" s="297" t="n">
        <v>109.9</v>
      </c>
      <c r="W5" s="297" t="n">
        <v>84.69999999999999</v>
      </c>
      <c r="X5" s="297" t="n">
        <v>84.5</v>
      </c>
      <c r="Y5" s="297" t="n">
        <v>88.3</v>
      </c>
      <c r="Z5" s="297" t="n">
        <v>110.9</v>
      </c>
      <c r="AA5" s="297" t="n">
        <v>103.5</v>
      </c>
      <c r="AB5" s="297" t="n">
        <v>99.8</v>
      </c>
      <c r="AC5" s="297" t="n">
        <v>100.9</v>
      </c>
      <c r="AD5" s="297" t="n">
        <v>94.09999999999999</v>
      </c>
      <c r="AE5" s="60" t="n">
        <v>94.59999999999999</v>
      </c>
      <c r="AF5" s="60" t="n">
        <v>94.30000000000001</v>
      </c>
      <c r="AG5" s="60" t="n">
        <v>100.6</v>
      </c>
      <c r="AH5" s="60" t="n">
        <v>90.40000000000001</v>
      </c>
      <c r="AI5" s="60" t="n">
        <v>78.3</v>
      </c>
      <c r="AJ5" s="60" t="n">
        <v>92.7</v>
      </c>
      <c r="AK5" s="60" t="n">
        <v>115.9</v>
      </c>
      <c r="AL5" s="60" t="n">
        <v>104.6</v>
      </c>
      <c r="AM5" s="60" t="n">
        <v>86.30000000000001</v>
      </c>
      <c r="AN5" s="60" t="n">
        <v>108.6</v>
      </c>
      <c r="AO5" s="60" t="n">
        <v>89.59999999999999</v>
      </c>
      <c r="AP5" s="298" t="n">
        <v>96</v>
      </c>
      <c r="AQ5" s="298" t="n">
        <v>97.7</v>
      </c>
      <c r="AR5" s="298" t="n">
        <v>106.1</v>
      </c>
      <c r="AS5" s="298" t="n">
        <v>118.6</v>
      </c>
      <c r="AT5" s="298" t="n">
        <v>110.3</v>
      </c>
      <c r="AU5" s="298" t="n">
        <v>103.2</v>
      </c>
      <c r="AV5" s="298" t="n">
        <v>93.90000000000001</v>
      </c>
      <c r="AW5" s="298" t="n">
        <v>91.40000000000001</v>
      </c>
      <c r="AX5" s="298" t="n">
        <v>90.60000000000001</v>
      </c>
      <c r="AY5" s="298" t="n">
        <v>81.59999999999999</v>
      </c>
      <c r="AZ5" s="298" t="n">
        <v>92.3</v>
      </c>
      <c r="BA5" s="298" t="n">
        <v>86.5</v>
      </c>
      <c r="BB5" s="298" t="n">
        <v>94.69999999999999</v>
      </c>
      <c r="BC5" s="60" t="n">
        <v>82.59999999999999</v>
      </c>
      <c r="BD5" s="60" t="n">
        <v>95.3</v>
      </c>
      <c r="BE5" s="60" t="n">
        <v>93.40000000000001</v>
      </c>
      <c r="BF5" s="298" t="n">
        <v>89.2</v>
      </c>
      <c r="BG5" s="298" t="n">
        <v>83.90000000000001</v>
      </c>
      <c r="BH5" s="298" t="n">
        <v>84.69999999999999</v>
      </c>
    </row>
    <row r="6" customFormat="1" s="51">
      <c r="A6" s="299" t="inlineStr">
        <is>
          <t xml:space="preserve">   MI</t>
        </is>
      </c>
      <c r="B6" s="296" t="n">
        <v>13.3</v>
      </c>
      <c r="C6" s="296" t="n">
        <v>10.3</v>
      </c>
      <c r="D6" s="296" t="n">
        <v>10.1</v>
      </c>
      <c r="E6" s="296" t="n">
        <v>12.1</v>
      </c>
      <c r="F6" s="296" t="n">
        <v>11.8</v>
      </c>
      <c r="G6" s="296" t="n">
        <v>12.4</v>
      </c>
      <c r="H6" s="296" t="n">
        <v>11.6</v>
      </c>
      <c r="I6" s="296" t="n">
        <v>12.6</v>
      </c>
      <c r="J6" s="296" t="n">
        <v>12.4</v>
      </c>
      <c r="K6" s="296" t="n">
        <v>19.3</v>
      </c>
      <c r="L6" s="296" t="n">
        <v>16.5</v>
      </c>
      <c r="M6" s="296" t="n">
        <v>15.9</v>
      </c>
      <c r="N6" s="296" t="n">
        <v>19.9</v>
      </c>
      <c r="O6" s="296" t="n">
        <v>29.9</v>
      </c>
      <c r="P6" s="296" t="n">
        <v>25.5</v>
      </c>
      <c r="Q6" s="296" t="n">
        <v>15.5</v>
      </c>
      <c r="R6" s="296" t="n">
        <v>9.799999999999999</v>
      </c>
      <c r="S6" s="296" t="n">
        <v>15.2</v>
      </c>
      <c r="T6" s="296" t="n">
        <v>23.7</v>
      </c>
      <c r="U6" s="296" t="n">
        <v>37.8</v>
      </c>
      <c r="V6" s="296" t="n">
        <v>28.9</v>
      </c>
      <c r="W6" s="296" t="n">
        <v>44.8</v>
      </c>
      <c r="X6" s="296" t="n">
        <v>43.6</v>
      </c>
      <c r="Y6" s="296" t="n">
        <v>29.3</v>
      </c>
      <c r="Z6" s="296" t="n">
        <v>32.3</v>
      </c>
      <c r="AA6" s="296" t="n">
        <v>38.8</v>
      </c>
      <c r="AB6" s="296" t="n">
        <v>43.5</v>
      </c>
      <c r="AC6" s="296" t="n">
        <v>31.7</v>
      </c>
      <c r="AD6" s="296" t="n">
        <v>32.2</v>
      </c>
      <c r="AE6" s="51" t="n">
        <v>38.3</v>
      </c>
      <c r="AF6" s="51" t="n">
        <v>50.7</v>
      </c>
      <c r="AG6" s="51" t="n">
        <v>50</v>
      </c>
      <c r="AH6" s="51" t="n">
        <v>42</v>
      </c>
      <c r="AI6" s="51" t="n">
        <v>34.8</v>
      </c>
      <c r="AJ6" s="51" t="n">
        <v>39</v>
      </c>
      <c r="AK6" s="51" t="n">
        <v>41.4</v>
      </c>
      <c r="AL6" s="51" t="n">
        <v>32.7</v>
      </c>
      <c r="AM6" s="51" t="n">
        <v>34.6</v>
      </c>
      <c r="AN6" s="51" t="n">
        <v>37.9</v>
      </c>
      <c r="AO6" s="51" t="n">
        <v>32</v>
      </c>
      <c r="AP6" s="51" t="n">
        <v>33.3</v>
      </c>
      <c r="AQ6" s="51" t="n">
        <v>31.5</v>
      </c>
      <c r="AR6" s="51" t="n">
        <v>27.4</v>
      </c>
      <c r="AS6" s="51" t="n">
        <v>23.3</v>
      </c>
      <c r="AT6" s="300" t="n">
        <v>29.3</v>
      </c>
      <c r="AU6" s="300" t="n">
        <v>28.8</v>
      </c>
      <c r="AV6" s="300" t="n">
        <v>21.2</v>
      </c>
      <c r="AW6" s="300" t="n">
        <v>21.1</v>
      </c>
      <c r="AX6" s="300" t="n">
        <v>19.7</v>
      </c>
      <c r="AY6" s="300" t="n">
        <v>22.1</v>
      </c>
      <c r="AZ6" s="300" t="n">
        <v>29.4</v>
      </c>
      <c r="BA6" s="300" t="n">
        <v>31.2</v>
      </c>
      <c r="BB6" s="300" t="n">
        <v>33.9</v>
      </c>
      <c r="BC6" s="51" t="n">
        <v>33</v>
      </c>
      <c r="BD6" s="51" t="n">
        <v>36.8</v>
      </c>
      <c r="BE6" s="51" t="n">
        <v>39.1</v>
      </c>
      <c r="BF6" s="300" t="n">
        <v>34.7</v>
      </c>
      <c r="BG6" s="300" t="n">
        <v>34.4</v>
      </c>
      <c r="BH6" s="300" t="n">
        <v>38.3</v>
      </c>
    </row>
    <row r="7" ht="15" customFormat="1" customHeight="1" s="51">
      <c r="A7" s="299" t="inlineStr">
        <is>
          <t xml:space="preserve">   ME</t>
        </is>
      </c>
      <c r="B7" s="296" t="n">
        <v>89.8</v>
      </c>
      <c r="C7" s="296" t="n">
        <v>110.8</v>
      </c>
      <c r="D7" s="296" t="n">
        <v>98</v>
      </c>
      <c r="E7" s="296" t="n">
        <v>127.5</v>
      </c>
      <c r="F7" s="296" t="n">
        <v>101.6</v>
      </c>
      <c r="G7" s="296" t="n">
        <v>91.2</v>
      </c>
      <c r="H7" s="296" t="n">
        <v>110.5</v>
      </c>
      <c r="I7" s="296" t="n">
        <v>108.1</v>
      </c>
      <c r="J7" s="296" t="n">
        <v>111</v>
      </c>
      <c r="K7" s="296" t="n">
        <v>98</v>
      </c>
      <c r="L7" s="296" t="n">
        <v>96.7</v>
      </c>
      <c r="M7" s="296" t="n">
        <v>94.10000000000001</v>
      </c>
      <c r="N7" s="296" t="n">
        <v>101.9</v>
      </c>
      <c r="O7" s="296" t="n">
        <v>87.2</v>
      </c>
      <c r="P7" s="296" t="n">
        <v>73.7</v>
      </c>
      <c r="Q7" s="296" t="n">
        <v>104.3</v>
      </c>
      <c r="R7" s="296" t="n">
        <v>82.09999999999999</v>
      </c>
      <c r="S7" s="296" t="n">
        <v>68.40000000000001</v>
      </c>
      <c r="T7" s="296" t="n">
        <v>84.40000000000001</v>
      </c>
      <c r="U7" s="296" t="n">
        <v>71.2</v>
      </c>
      <c r="V7" s="296" t="n">
        <v>81</v>
      </c>
      <c r="W7" s="296" t="n">
        <v>39.9</v>
      </c>
      <c r="X7" s="296" t="n">
        <v>40.9</v>
      </c>
      <c r="Y7" s="296" t="n">
        <v>59</v>
      </c>
      <c r="Z7" s="296" t="n">
        <v>78.59999999999999</v>
      </c>
      <c r="AA7" s="296" t="n">
        <v>64.7</v>
      </c>
      <c r="AB7" s="296" t="n">
        <v>56.3</v>
      </c>
      <c r="AC7" s="296" t="n">
        <v>69.2</v>
      </c>
      <c r="AD7" s="296" t="n">
        <v>61.9</v>
      </c>
      <c r="AE7" s="51" t="n">
        <v>56.3</v>
      </c>
      <c r="AF7" s="51" t="n">
        <v>43.6</v>
      </c>
      <c r="AG7" s="51" t="n">
        <v>50.6</v>
      </c>
      <c r="AH7" s="51" t="n">
        <v>48.4</v>
      </c>
      <c r="AI7" s="51" t="n">
        <v>43.5</v>
      </c>
      <c r="AJ7" s="51" t="n">
        <v>53.7</v>
      </c>
      <c r="AK7" s="51" t="n">
        <v>74.5</v>
      </c>
      <c r="AL7" s="51" t="n">
        <v>71.90000000000001</v>
      </c>
      <c r="AM7" s="51" t="n">
        <v>51.7</v>
      </c>
      <c r="AN7" s="51" t="n">
        <v>70.7</v>
      </c>
      <c r="AO7" s="51" t="n">
        <v>57.6</v>
      </c>
      <c r="AP7" s="51" t="n">
        <v>62.7</v>
      </c>
      <c r="AQ7" s="51" t="n">
        <v>66.2</v>
      </c>
      <c r="AR7" s="51" t="n">
        <v>78.7</v>
      </c>
      <c r="AS7" s="51" t="n">
        <v>95.3</v>
      </c>
      <c r="AT7" s="300" t="n">
        <v>81</v>
      </c>
      <c r="AU7" s="300" t="n">
        <v>74.40000000000001</v>
      </c>
      <c r="AV7" s="300" t="n">
        <v>72.7</v>
      </c>
      <c r="AW7" s="300" t="n">
        <v>70.3</v>
      </c>
      <c r="AX7" s="300" t="n">
        <v>70.90000000000001</v>
      </c>
      <c r="AY7" s="300" t="n">
        <v>59.5</v>
      </c>
      <c r="AZ7" s="300" t="n">
        <v>62.9</v>
      </c>
      <c r="BA7" s="300" t="n">
        <v>55.3</v>
      </c>
      <c r="BB7" s="300" t="n">
        <v>60.8</v>
      </c>
      <c r="BC7" s="51" t="n">
        <v>49.6</v>
      </c>
      <c r="BD7" s="51" t="n">
        <v>58.5</v>
      </c>
      <c r="BE7" s="51" t="n">
        <v>54.3</v>
      </c>
      <c r="BF7" s="300" t="n">
        <v>54.5</v>
      </c>
      <c r="BG7" s="300" t="n">
        <v>49.5</v>
      </c>
      <c r="BH7" s="300" t="n">
        <v>46.4</v>
      </c>
    </row>
    <row r="8" ht="15" customFormat="1" customHeight="1" s="60">
      <c r="A8" s="295" t="inlineStr">
        <is>
          <t>Cartões Revestidos</t>
        </is>
      </c>
      <c r="B8" s="297" t="n">
        <v>72.59999999999999</v>
      </c>
      <c r="C8" s="297" t="n">
        <v>88</v>
      </c>
      <c r="D8" s="297" t="n">
        <v>87.3</v>
      </c>
      <c r="E8" s="297" t="n">
        <v>81.59999999999999</v>
      </c>
      <c r="F8" s="297" t="n">
        <v>79.90000000000001</v>
      </c>
      <c r="G8" s="297" t="n">
        <v>81.30000000000001</v>
      </c>
      <c r="H8" s="297" t="n">
        <v>88.40000000000001</v>
      </c>
      <c r="I8" s="297" t="n">
        <v>91.90000000000001</v>
      </c>
      <c r="J8" s="297" t="n">
        <v>88.59999999999999</v>
      </c>
      <c r="K8" s="297" t="n">
        <v>90.90000000000001</v>
      </c>
      <c r="L8" s="297" t="n">
        <v>89.90000000000001</v>
      </c>
      <c r="M8" s="297" t="n">
        <v>84.90000000000001</v>
      </c>
      <c r="N8" s="297" t="n">
        <v>114.6</v>
      </c>
      <c r="O8" s="297" t="n">
        <v>131.8</v>
      </c>
      <c r="P8" s="297" t="n">
        <v>133.3</v>
      </c>
      <c r="Q8" s="297" t="n">
        <v>126.7</v>
      </c>
      <c r="R8" s="297" t="n">
        <v>123.6</v>
      </c>
      <c r="S8" s="297" t="n">
        <v>114.3</v>
      </c>
      <c r="T8" s="297" t="n">
        <v>135</v>
      </c>
      <c r="U8" s="297" t="n">
        <v>157.7</v>
      </c>
      <c r="V8" s="297" t="n">
        <v>162.8</v>
      </c>
      <c r="W8" s="297" t="n">
        <v>164.5</v>
      </c>
      <c r="X8" s="297" t="n">
        <v>171.2</v>
      </c>
      <c r="Y8" s="297" t="n">
        <v>157.7</v>
      </c>
      <c r="Z8" s="297" t="n">
        <v>168.2</v>
      </c>
      <c r="AA8" s="297" t="n">
        <v>159</v>
      </c>
      <c r="AB8" s="297" t="n">
        <v>160.7</v>
      </c>
      <c r="AC8" s="297" t="n">
        <v>164.8</v>
      </c>
      <c r="AD8" s="297" t="n">
        <v>165.2</v>
      </c>
      <c r="AE8" s="60" t="n">
        <v>165.2</v>
      </c>
      <c r="AF8" s="60" t="n">
        <v>174.9</v>
      </c>
      <c r="AG8" s="60" t="n">
        <v>167.4</v>
      </c>
      <c r="AH8" s="60" t="n">
        <v>165.1</v>
      </c>
      <c r="AI8" s="60" t="n">
        <v>161.1</v>
      </c>
      <c r="AJ8" s="60" t="n">
        <v>174.1</v>
      </c>
      <c r="AK8" s="60" t="n">
        <v>174.7</v>
      </c>
      <c r="AL8" s="60" t="n">
        <v>161.3</v>
      </c>
      <c r="AM8" s="60" t="n">
        <v>149.2</v>
      </c>
      <c r="AN8" s="60" t="n">
        <v>160.1</v>
      </c>
      <c r="AO8" s="60" t="n">
        <v>166</v>
      </c>
      <c r="AP8" s="60" t="n">
        <v>163</v>
      </c>
      <c r="AQ8" s="60" t="n">
        <v>156.2</v>
      </c>
      <c r="AR8" s="60" t="n">
        <v>172</v>
      </c>
      <c r="AS8" s="60" t="n">
        <v>193.5</v>
      </c>
      <c r="AT8" s="298" t="n">
        <v>165.8</v>
      </c>
      <c r="AU8" s="298" t="n">
        <v>158.5</v>
      </c>
      <c r="AV8" s="298" t="n">
        <v>181.2</v>
      </c>
      <c r="AW8" s="298" t="n">
        <v>187.7</v>
      </c>
      <c r="AX8" s="298" t="n">
        <v>166.7</v>
      </c>
      <c r="AY8" s="298" t="n">
        <v>154.3</v>
      </c>
      <c r="AZ8" s="298" t="n">
        <v>187.2</v>
      </c>
      <c r="BA8" s="298" t="n">
        <v>189.5</v>
      </c>
      <c r="BB8" s="298" t="n">
        <v>155.1</v>
      </c>
      <c r="BC8" s="60" t="n">
        <v>139.7</v>
      </c>
      <c r="BD8" s="60" t="n">
        <v>153.1</v>
      </c>
      <c r="BE8" s="60" t="n">
        <v>164.9</v>
      </c>
      <c r="BF8" s="298" t="n">
        <v>147</v>
      </c>
      <c r="BG8" s="298" t="n">
        <v>165.6</v>
      </c>
      <c r="BH8" s="298" t="n">
        <v>191</v>
      </c>
    </row>
    <row r="9" customFormat="1" s="51">
      <c r="A9" s="299" t="inlineStr">
        <is>
          <t xml:space="preserve">   MI</t>
        </is>
      </c>
      <c r="B9" s="296" t="n">
        <v>53.9</v>
      </c>
      <c r="C9" s="296" t="n">
        <v>56.6</v>
      </c>
      <c r="D9" s="296" t="n">
        <v>61.9</v>
      </c>
      <c r="E9" s="296" t="n">
        <v>62.1</v>
      </c>
      <c r="F9" s="296" t="n">
        <v>60</v>
      </c>
      <c r="G9" s="296" t="n">
        <v>56.2</v>
      </c>
      <c r="H9" s="296" t="n">
        <v>60.5</v>
      </c>
      <c r="I9" s="296" t="n">
        <v>67.3</v>
      </c>
      <c r="J9" s="296" t="n">
        <v>60.8</v>
      </c>
      <c r="K9" s="296" t="n">
        <v>63.6</v>
      </c>
      <c r="L9" s="296" t="n">
        <v>64.7</v>
      </c>
      <c r="M9" s="296" t="n">
        <v>62.7</v>
      </c>
      <c r="N9" s="296" t="n">
        <v>67.5</v>
      </c>
      <c r="O9" s="296" t="n">
        <v>78.5</v>
      </c>
      <c r="P9" s="296" t="n">
        <v>75.3</v>
      </c>
      <c r="Q9" s="296" t="n">
        <v>69.5</v>
      </c>
      <c r="R9" s="296" t="n">
        <v>66.90000000000001</v>
      </c>
      <c r="S9" s="296" t="n">
        <v>70.09999999999999</v>
      </c>
      <c r="T9" s="296" t="n">
        <v>88.3</v>
      </c>
      <c r="U9" s="296" t="n">
        <v>91.8</v>
      </c>
      <c r="V9" s="296" t="n">
        <v>86.90000000000001</v>
      </c>
      <c r="W9" s="296" t="n">
        <v>84.40000000000001</v>
      </c>
      <c r="X9" s="296" t="n">
        <v>92.90000000000001</v>
      </c>
      <c r="Y9" s="296" t="n">
        <v>90.5</v>
      </c>
      <c r="Z9" s="296" t="n">
        <v>84.40000000000001</v>
      </c>
      <c r="AA9" s="296" t="n">
        <v>84</v>
      </c>
      <c r="AB9" s="296" t="n">
        <v>97.3</v>
      </c>
      <c r="AC9" s="296" t="n">
        <v>96.2</v>
      </c>
      <c r="AD9" s="296" t="n">
        <v>88.40000000000001</v>
      </c>
      <c r="AE9" s="51" t="n">
        <v>88</v>
      </c>
      <c r="AF9" s="51" t="n">
        <v>102.7</v>
      </c>
      <c r="AG9" s="51" t="n">
        <v>95</v>
      </c>
      <c r="AH9" s="51" t="n">
        <v>92.7</v>
      </c>
      <c r="AI9" s="51" t="n">
        <v>83.5</v>
      </c>
      <c r="AJ9" s="51" t="n">
        <v>97.3</v>
      </c>
      <c r="AK9" s="51" t="n">
        <v>101.6</v>
      </c>
      <c r="AL9" s="51" t="n">
        <v>88.8</v>
      </c>
      <c r="AM9" s="51" t="n">
        <v>86.09999999999999</v>
      </c>
      <c r="AN9" s="51" t="n">
        <v>95.7</v>
      </c>
      <c r="AO9" s="51" t="n">
        <v>106.2</v>
      </c>
      <c r="AP9" s="51" t="n">
        <v>89.2</v>
      </c>
      <c r="AQ9" s="51" t="n">
        <v>91.90000000000001</v>
      </c>
      <c r="AR9" s="51" t="n">
        <v>105.5</v>
      </c>
      <c r="AS9" s="51" t="n">
        <v>109.2</v>
      </c>
      <c r="AT9" s="300" t="n">
        <v>92.59999999999999</v>
      </c>
      <c r="AU9" s="300" t="n">
        <v>92.09999999999999</v>
      </c>
      <c r="AV9" s="300" t="n">
        <v>105.8</v>
      </c>
      <c r="AW9" s="300" t="n">
        <v>110.3</v>
      </c>
      <c r="AX9" s="300" t="n">
        <v>87.90000000000001</v>
      </c>
      <c r="AY9" s="300" t="n">
        <v>95.8</v>
      </c>
      <c r="AZ9" s="300" t="n">
        <v>104.2</v>
      </c>
      <c r="BA9" s="300" t="n">
        <v>110.5</v>
      </c>
      <c r="BB9" s="300" t="n">
        <v>94.09999999999999</v>
      </c>
      <c r="BC9" s="51" t="n">
        <v>88.3</v>
      </c>
      <c r="BD9" s="51" t="n">
        <v>105.9</v>
      </c>
      <c r="BE9" s="51" t="n">
        <v>106.4</v>
      </c>
      <c r="BF9" s="300" t="n">
        <v>91</v>
      </c>
      <c r="BG9" s="300" t="n">
        <v>89.90000000000001</v>
      </c>
      <c r="BH9" s="300" t="n">
        <v>110.9</v>
      </c>
    </row>
    <row r="10" customFormat="1" s="51">
      <c r="A10" s="299" t="inlineStr">
        <is>
          <t xml:space="preserve">   ME</t>
        </is>
      </c>
      <c r="B10" s="296" t="n">
        <v>18.7</v>
      </c>
      <c r="C10" s="296" t="n">
        <v>31.4</v>
      </c>
      <c r="D10" s="296" t="n">
        <v>25.4</v>
      </c>
      <c r="E10" s="296" t="n">
        <v>19.5</v>
      </c>
      <c r="F10" s="296" t="n">
        <v>19.9</v>
      </c>
      <c r="G10" s="296" t="n">
        <v>25.1</v>
      </c>
      <c r="H10" s="296" t="n">
        <v>27.9</v>
      </c>
      <c r="I10" s="296" t="n">
        <v>24.6</v>
      </c>
      <c r="J10" s="296" t="n">
        <v>27.8</v>
      </c>
      <c r="K10" s="296" t="n">
        <v>27.3</v>
      </c>
      <c r="L10" s="296" t="n">
        <v>25.2</v>
      </c>
      <c r="M10" s="296" t="n">
        <v>22.2</v>
      </c>
      <c r="N10" s="296" t="n">
        <v>47.1</v>
      </c>
      <c r="O10" s="296" t="n">
        <v>53.3</v>
      </c>
      <c r="P10" s="296" t="n">
        <v>58</v>
      </c>
      <c r="Q10" s="296" t="n">
        <v>57.2</v>
      </c>
      <c r="R10" s="296" t="n">
        <v>56.7</v>
      </c>
      <c r="S10" s="296" t="n">
        <v>44.2</v>
      </c>
      <c r="T10" s="296" t="n">
        <v>46.7</v>
      </c>
      <c r="U10" s="296" t="n">
        <v>65.90000000000001</v>
      </c>
      <c r="V10" s="296" t="n">
        <v>75.90000000000001</v>
      </c>
      <c r="W10" s="296" t="n">
        <v>80.09999999999999</v>
      </c>
      <c r="X10" s="296" t="n">
        <v>78.3</v>
      </c>
      <c r="Y10" s="296" t="n">
        <v>67.2</v>
      </c>
      <c r="Z10" s="296" t="n">
        <v>83.8</v>
      </c>
      <c r="AA10" s="296" t="n">
        <v>75</v>
      </c>
      <c r="AB10" s="296" t="n">
        <v>63.4</v>
      </c>
      <c r="AC10" s="296" t="n">
        <v>68.59999999999999</v>
      </c>
      <c r="AD10" s="296" t="n">
        <v>76.8</v>
      </c>
      <c r="AE10" s="51" t="n">
        <v>77.2</v>
      </c>
      <c r="AF10" s="51" t="n">
        <v>72.2</v>
      </c>
      <c r="AG10" s="51" t="n">
        <v>72.40000000000001</v>
      </c>
      <c r="AH10" s="51" t="n">
        <v>72.40000000000001</v>
      </c>
      <c r="AI10" s="51" t="n">
        <v>77.59999999999999</v>
      </c>
      <c r="AJ10" s="51" t="n">
        <v>76.8</v>
      </c>
      <c r="AK10" s="51" t="n">
        <v>73.09999999999999</v>
      </c>
      <c r="AL10" s="51" t="n">
        <v>72.5</v>
      </c>
      <c r="AM10" s="51" t="n">
        <v>63.1</v>
      </c>
      <c r="AN10" s="51" t="n">
        <v>64.40000000000001</v>
      </c>
      <c r="AO10" s="51" t="n">
        <v>59.8</v>
      </c>
      <c r="AP10" s="51" t="n">
        <v>73.8</v>
      </c>
      <c r="AQ10" s="51" t="n">
        <v>64.3</v>
      </c>
      <c r="AR10" s="51" t="n">
        <v>66.5</v>
      </c>
      <c r="AS10" s="51" t="n">
        <v>84.3</v>
      </c>
      <c r="AT10" s="300" t="n">
        <v>73.2</v>
      </c>
      <c r="AU10" s="300" t="n">
        <v>66.40000000000001</v>
      </c>
      <c r="AV10" s="300" t="n">
        <v>75.40000000000001</v>
      </c>
      <c r="AW10" s="300" t="n">
        <v>77.40000000000001</v>
      </c>
      <c r="AX10" s="300" t="n">
        <v>78.8</v>
      </c>
      <c r="AY10" s="300" t="n">
        <v>58.5</v>
      </c>
      <c r="AZ10" s="300" t="n">
        <v>83</v>
      </c>
      <c r="BA10" s="300" t="n">
        <v>79</v>
      </c>
      <c r="BB10" s="300" t="n">
        <v>61</v>
      </c>
      <c r="BC10" s="51" t="n">
        <v>51.4</v>
      </c>
      <c r="BD10" s="51" t="n">
        <v>47.2</v>
      </c>
      <c r="BE10" s="51" t="n">
        <v>58.5</v>
      </c>
      <c r="BF10" s="300" t="n">
        <v>56</v>
      </c>
      <c r="BG10" s="300" t="n">
        <v>75.7</v>
      </c>
      <c r="BH10" s="300" t="n">
        <v>80.09999999999999</v>
      </c>
    </row>
    <row r="11" ht="15" customFormat="1" customHeight="1" s="60">
      <c r="A11" s="295" t="inlineStr">
        <is>
          <t>Celulose Fibra Curta</t>
        </is>
      </c>
      <c r="B11" s="297" t="n"/>
      <c r="C11" s="297" t="n"/>
      <c r="D11" s="297" t="n"/>
      <c r="E11" s="297" t="n"/>
      <c r="F11" s="297" t="n"/>
      <c r="G11" s="297" t="n"/>
      <c r="H11" s="297" t="n"/>
      <c r="I11" s="297" t="n"/>
      <c r="J11" s="297" t="n"/>
      <c r="K11" s="297" t="n"/>
      <c r="L11" s="297" t="n"/>
      <c r="M11" s="297" t="n"/>
      <c r="N11" s="297" t="n"/>
      <c r="O11" s="297" t="n"/>
      <c r="P11" s="297" t="n"/>
      <c r="Q11" s="297" t="n"/>
      <c r="R11" s="297" t="n"/>
      <c r="S11" s="297" t="n"/>
      <c r="T11" s="297" t="n"/>
      <c r="U11" s="297" t="n"/>
      <c r="V11" s="297" t="n"/>
      <c r="W11" s="297" t="n"/>
      <c r="X11" s="297" t="n"/>
      <c r="Y11" s="297" t="n"/>
      <c r="Z11" s="297" t="n"/>
      <c r="AA11" s="297" t="n"/>
      <c r="AB11" s="297" t="n"/>
      <c r="AC11" s="297" t="n"/>
      <c r="AD11" s="297" t="n"/>
      <c r="AT11" s="298" t="n"/>
      <c r="AU11" s="298" t="n">
        <v>165</v>
      </c>
      <c r="AV11" s="298" t="n">
        <v>218.3</v>
      </c>
      <c r="AW11" s="298" t="n">
        <v>207.9</v>
      </c>
      <c r="AX11" s="298" t="n">
        <v>225.3</v>
      </c>
      <c r="AY11" s="298" t="n">
        <v>251.5</v>
      </c>
      <c r="AZ11" s="298" t="n">
        <v>254.3</v>
      </c>
      <c r="BA11" s="298" t="n">
        <v>265.2</v>
      </c>
      <c r="BB11" s="298" t="n">
        <v>229.8</v>
      </c>
      <c r="BC11" s="60" t="n">
        <v>224.3</v>
      </c>
      <c r="BD11" s="60" t="n">
        <v>289.4</v>
      </c>
      <c r="BE11" s="60" t="n">
        <v>298.7</v>
      </c>
      <c r="BF11" s="298" t="n">
        <v>273</v>
      </c>
      <c r="BG11" s="298" t="n">
        <v>274.5</v>
      </c>
      <c r="BH11" s="298" t="n">
        <v>224.4</v>
      </c>
    </row>
    <row r="12" customFormat="1" s="51">
      <c r="A12" s="299" t="inlineStr">
        <is>
          <t xml:space="preserve">   MI</t>
        </is>
      </c>
      <c r="B12" s="296" t="n"/>
      <c r="C12" s="296" t="n"/>
      <c r="D12" s="296" t="n"/>
      <c r="E12" s="296" t="n"/>
      <c r="F12" s="296" t="n"/>
      <c r="G12" s="296" t="n"/>
      <c r="H12" s="296" t="n"/>
      <c r="I12" s="296" t="n"/>
      <c r="J12" s="296" t="n"/>
      <c r="K12" s="296" t="n"/>
      <c r="L12" s="296" t="n"/>
      <c r="M12" s="296" t="n"/>
      <c r="N12" s="296" t="n"/>
      <c r="O12" s="296" t="n"/>
      <c r="P12" s="296" t="n"/>
      <c r="Q12" s="296" t="n"/>
      <c r="R12" s="296" t="n"/>
      <c r="S12" s="296" t="n"/>
      <c r="T12" s="296" t="n"/>
      <c r="U12" s="296" t="n"/>
      <c r="V12" s="296" t="n"/>
      <c r="W12" s="296" t="n"/>
      <c r="X12" s="296" t="n"/>
      <c r="Y12" s="296" t="n"/>
      <c r="Z12" s="296" t="n"/>
      <c r="AA12" s="296" t="n"/>
      <c r="AB12" s="296" t="n"/>
      <c r="AC12" s="296" t="n"/>
      <c r="AD12" s="296" t="n"/>
      <c r="AT12" s="300" t="n"/>
      <c r="AU12" s="300" t="n">
        <v>16.4</v>
      </c>
      <c r="AV12" s="300" t="n">
        <v>28.9</v>
      </c>
      <c r="AW12" s="300" t="n">
        <v>26.5</v>
      </c>
      <c r="AX12" s="300" t="n">
        <v>22.3</v>
      </c>
      <c r="AY12" s="300" t="n">
        <v>33.7</v>
      </c>
      <c r="AZ12" s="300" t="n">
        <v>33.4</v>
      </c>
      <c r="BA12" s="300" t="n">
        <v>35.7</v>
      </c>
      <c r="BB12" s="300" t="n">
        <v>25.4</v>
      </c>
      <c r="BC12" s="51" t="n">
        <v>21.2</v>
      </c>
      <c r="BD12" s="51" t="n">
        <v>26.3</v>
      </c>
      <c r="BE12" s="51" t="n">
        <v>25.6</v>
      </c>
      <c r="BF12" s="300" t="n">
        <v>58.6</v>
      </c>
      <c r="BG12" s="300" t="n">
        <v>82.2</v>
      </c>
      <c r="BH12" s="300" t="n">
        <v>80.90000000000001</v>
      </c>
    </row>
    <row r="13" customFormat="1" s="51">
      <c r="A13" s="299" t="inlineStr">
        <is>
          <t xml:space="preserve">   ME</t>
        </is>
      </c>
      <c r="B13" s="296" t="n"/>
      <c r="C13" s="296" t="n"/>
      <c r="D13" s="296" t="n"/>
      <c r="E13" s="296" t="n"/>
      <c r="F13" s="296" t="n"/>
      <c r="G13" s="296" t="n"/>
      <c r="H13" s="296" t="n"/>
      <c r="I13" s="296" t="n"/>
      <c r="J13" s="296" t="n"/>
      <c r="K13" s="296" t="n"/>
      <c r="L13" s="296" t="n"/>
      <c r="M13" s="296" t="n"/>
      <c r="N13" s="296" t="n"/>
      <c r="O13" s="296" t="n"/>
      <c r="P13" s="296" t="n"/>
      <c r="Q13" s="296" t="n"/>
      <c r="R13" s="296" t="n"/>
      <c r="S13" s="296" t="n"/>
      <c r="T13" s="296" t="n"/>
      <c r="U13" s="296" t="n"/>
      <c r="V13" s="296" t="n"/>
      <c r="W13" s="296" t="n"/>
      <c r="X13" s="296" t="n"/>
      <c r="Y13" s="296" t="n"/>
      <c r="Z13" s="296" t="n"/>
      <c r="AA13" s="296" t="n"/>
      <c r="AB13" s="296" t="n"/>
      <c r="AC13" s="296" t="n"/>
      <c r="AD13" s="296" t="n"/>
      <c r="AT13" s="300" t="n"/>
      <c r="AU13" s="300" t="n">
        <v>148.6</v>
      </c>
      <c r="AV13" s="300" t="n">
        <v>189.4</v>
      </c>
      <c r="AW13" s="300" t="n">
        <v>181.4</v>
      </c>
      <c r="AX13" s="300" t="n">
        <v>203</v>
      </c>
      <c r="AY13" s="300" t="n">
        <v>217.8</v>
      </c>
      <c r="AZ13" s="300" t="n">
        <v>220.9</v>
      </c>
      <c r="BA13" s="300" t="n">
        <v>229.5</v>
      </c>
      <c r="BB13" s="300" t="n">
        <v>204.4</v>
      </c>
      <c r="BC13" s="51" t="n">
        <v>203.1</v>
      </c>
      <c r="BD13" s="51" t="n">
        <v>263.1</v>
      </c>
      <c r="BE13" s="51" t="n">
        <v>273.1</v>
      </c>
      <c r="BF13" s="300" t="n">
        <v>214.4</v>
      </c>
      <c r="BG13" s="300" t="n">
        <v>192.3</v>
      </c>
      <c r="BH13" s="300" t="n">
        <v>143.5</v>
      </c>
    </row>
    <row r="14" ht="15" customFormat="1" customHeight="1" s="60">
      <c r="A14" s="295" t="inlineStr">
        <is>
          <t>Celulose Fibra Longa</t>
        </is>
      </c>
      <c r="B14" s="297" t="n"/>
      <c r="C14" s="297" t="n"/>
      <c r="D14" s="297" t="n"/>
      <c r="E14" s="297" t="n"/>
      <c r="F14" s="297" t="n"/>
      <c r="G14" s="297" t="n"/>
      <c r="H14" s="297" t="n"/>
      <c r="I14" s="297" t="n"/>
      <c r="J14" s="297" t="n"/>
      <c r="K14" s="297" t="n"/>
      <c r="L14" s="297" t="n"/>
      <c r="M14" s="297" t="n"/>
      <c r="N14" s="297" t="n"/>
      <c r="O14" s="297" t="n"/>
      <c r="P14" s="297" t="n"/>
      <c r="Q14" s="297" t="n"/>
      <c r="R14" s="297" t="n"/>
      <c r="S14" s="297" t="n"/>
      <c r="T14" s="297" t="n"/>
      <c r="U14" s="297" t="n"/>
      <c r="V14" s="297" t="n"/>
      <c r="W14" s="297" t="n"/>
      <c r="X14" s="297" t="n"/>
      <c r="Y14" s="297" t="n"/>
      <c r="Z14" s="297" t="n"/>
      <c r="AA14" s="297" t="n"/>
      <c r="AB14" s="297" t="n"/>
      <c r="AC14" s="297" t="n"/>
      <c r="AD14" s="297" t="n"/>
      <c r="AT14" s="298" t="n"/>
      <c r="AU14" s="298" t="n">
        <v>16.1</v>
      </c>
      <c r="AV14" s="298" t="n">
        <v>96.5</v>
      </c>
      <c r="AW14" s="298" t="n">
        <v>93.5</v>
      </c>
      <c r="AX14" s="298" t="n">
        <v>76</v>
      </c>
      <c r="AY14" s="298" t="n">
        <v>85.2</v>
      </c>
      <c r="AZ14" s="298" t="n">
        <v>99.09999999999999</v>
      </c>
      <c r="BA14" s="298" t="n">
        <v>98.3</v>
      </c>
      <c r="BB14" s="298" t="n">
        <v>83.09999999999999</v>
      </c>
      <c r="BC14" s="60" t="n">
        <v>69.59999999999999</v>
      </c>
      <c r="BD14" s="60" t="n">
        <v>106</v>
      </c>
      <c r="BE14" s="60" t="n">
        <v>100.4</v>
      </c>
      <c r="BF14" s="301" t="n">
        <v>79.59999999999999</v>
      </c>
      <c r="BG14" s="301" t="n">
        <v>96.90000000000001</v>
      </c>
      <c r="BH14" s="301" t="n">
        <v>101.1</v>
      </c>
    </row>
    <row r="15" customFormat="1" s="51">
      <c r="A15" s="299" t="inlineStr">
        <is>
          <t xml:space="preserve">   MI</t>
        </is>
      </c>
      <c r="B15" s="296" t="n"/>
      <c r="C15" s="296" t="n"/>
      <c r="D15" s="296" t="n"/>
      <c r="E15" s="296" t="n"/>
      <c r="F15" s="296" t="n"/>
      <c r="G15" s="296" t="n"/>
      <c r="H15" s="296" t="n"/>
      <c r="I15" s="296" t="n"/>
      <c r="J15" s="296" t="n"/>
      <c r="K15" s="296" t="n"/>
      <c r="L15" s="296" t="n"/>
      <c r="M15" s="296" t="n"/>
      <c r="N15" s="296" t="n"/>
      <c r="O15" s="296" t="n"/>
      <c r="P15" s="296" t="n"/>
      <c r="Q15" s="296" t="n"/>
      <c r="R15" s="296" t="n"/>
      <c r="S15" s="296" t="n"/>
      <c r="T15" s="296" t="n"/>
      <c r="U15" s="296" t="n"/>
      <c r="V15" s="296" t="n"/>
      <c r="W15" s="296" t="n"/>
      <c r="X15" s="296" t="n"/>
      <c r="Y15" s="296" t="n"/>
      <c r="Z15" s="296" t="n"/>
      <c r="AA15" s="296" t="n"/>
      <c r="AB15" s="296" t="n"/>
      <c r="AC15" s="296" t="n"/>
      <c r="AD15" s="296" t="n"/>
      <c r="AT15" s="300" t="n"/>
      <c r="AU15" s="300" t="n">
        <v>1.6</v>
      </c>
      <c r="AV15" s="300" t="n">
        <v>11</v>
      </c>
      <c r="AW15" s="300" t="n">
        <v>19.5</v>
      </c>
      <c r="AX15" s="300" t="n">
        <v>28.5</v>
      </c>
      <c r="AY15" s="300" t="n">
        <v>42.7</v>
      </c>
      <c r="AZ15" s="300" t="n">
        <v>45.3</v>
      </c>
      <c r="BA15" s="300" t="n">
        <v>52.5</v>
      </c>
      <c r="BB15" s="300" t="n">
        <v>47.1</v>
      </c>
      <c r="BC15" s="51" t="n">
        <v>47.3</v>
      </c>
      <c r="BD15" s="51" t="n">
        <v>54.8</v>
      </c>
      <c r="BE15" s="51" t="n">
        <v>46.7</v>
      </c>
      <c r="BF15" s="302" t="n">
        <v>39.7</v>
      </c>
      <c r="BG15" s="302" t="n">
        <v>44.9</v>
      </c>
      <c r="BH15" s="302" t="n">
        <v>46.6</v>
      </c>
    </row>
    <row r="16" customFormat="1" s="51">
      <c r="A16" s="299" t="inlineStr">
        <is>
          <t xml:space="preserve">   ME</t>
        </is>
      </c>
      <c r="B16" s="296" t="n"/>
      <c r="C16" s="296" t="n"/>
      <c r="D16" s="296" t="n"/>
      <c r="E16" s="296" t="n"/>
      <c r="F16" s="296" t="n"/>
      <c r="G16" s="296" t="n"/>
      <c r="H16" s="296" t="n"/>
      <c r="I16" s="296" t="n"/>
      <c r="J16" s="296" t="n"/>
      <c r="K16" s="296" t="n"/>
      <c r="L16" s="296" t="n"/>
      <c r="M16" s="296" t="n"/>
      <c r="N16" s="296" t="n"/>
      <c r="O16" s="296" t="n"/>
      <c r="P16" s="296" t="n"/>
      <c r="Q16" s="296" t="n"/>
      <c r="R16" s="296" t="n"/>
      <c r="S16" s="296" t="n"/>
      <c r="T16" s="296" t="n"/>
      <c r="U16" s="296" t="n"/>
      <c r="V16" s="296" t="n"/>
      <c r="W16" s="296" t="n"/>
      <c r="X16" s="296" t="n"/>
      <c r="Y16" s="296" t="n"/>
      <c r="Z16" s="296" t="n"/>
      <c r="AA16" s="296" t="n"/>
      <c r="AB16" s="296" t="n"/>
      <c r="AC16" s="296" t="n"/>
      <c r="AD16" s="296" t="n"/>
      <c r="AT16" s="300" t="n"/>
      <c r="AU16" s="300" t="n">
        <v>14.5</v>
      </c>
      <c r="AV16" s="300" t="n">
        <v>85.5</v>
      </c>
      <c r="AW16" s="300" t="n">
        <v>74</v>
      </c>
      <c r="AX16" s="300" t="n">
        <v>47.5</v>
      </c>
      <c r="AY16" s="300" t="n">
        <v>42.5</v>
      </c>
      <c r="AZ16" s="300" t="n">
        <v>53.8</v>
      </c>
      <c r="BA16" s="300" t="n">
        <v>45.8</v>
      </c>
      <c r="BB16" s="300" t="n">
        <v>36</v>
      </c>
      <c r="BC16" s="51" t="n">
        <v>22.3</v>
      </c>
      <c r="BD16" s="51" t="n">
        <v>51.2</v>
      </c>
      <c r="BE16" s="51" t="n">
        <v>53.7</v>
      </c>
      <c r="BF16" s="302" t="n">
        <v>39.9</v>
      </c>
      <c r="BG16" s="302" t="n">
        <v>52</v>
      </c>
      <c r="BH16" s="302" t="n">
        <v>54.5</v>
      </c>
    </row>
    <row r="17" customFormat="1" s="60">
      <c r="A17" s="303" t="inlineStr">
        <is>
          <t>Caixas de P.O.</t>
        </is>
      </c>
      <c r="B17" s="297" t="n">
        <v>98.7</v>
      </c>
      <c r="C17" s="297" t="n">
        <v>113.9</v>
      </c>
      <c r="D17" s="297" t="n">
        <v>100.8</v>
      </c>
      <c r="E17" s="297" t="n">
        <v>106.1</v>
      </c>
      <c r="F17" s="297" t="n">
        <v>107.5</v>
      </c>
      <c r="G17" s="297" t="n">
        <v>114.6</v>
      </c>
      <c r="H17" s="297" t="n">
        <v>105.4</v>
      </c>
      <c r="I17" s="297" t="n">
        <v>105.4</v>
      </c>
      <c r="J17" s="297" t="n">
        <v>107.4</v>
      </c>
      <c r="K17" s="297" t="n">
        <v>128.1</v>
      </c>
      <c r="L17" s="297" t="n">
        <v>115.6</v>
      </c>
      <c r="M17" s="297" t="n">
        <v>104.8</v>
      </c>
      <c r="N17" s="297" t="n">
        <v>106.4</v>
      </c>
      <c r="O17" s="297" t="n">
        <v>121.5</v>
      </c>
      <c r="P17" s="297" t="n">
        <v>112.3</v>
      </c>
      <c r="Q17" s="297" t="n">
        <v>105.3</v>
      </c>
      <c r="R17" s="297" t="n">
        <v>100.7</v>
      </c>
      <c r="S17" s="297" t="n">
        <v>115.3</v>
      </c>
      <c r="T17" s="297" t="n">
        <v>117.1</v>
      </c>
      <c r="U17" s="297" t="n">
        <v>124.2</v>
      </c>
      <c r="V17" s="297" t="n">
        <v>119.3</v>
      </c>
      <c r="W17" s="297" t="n">
        <v>134.5</v>
      </c>
      <c r="X17" s="297" t="n">
        <v>131.8</v>
      </c>
      <c r="Y17" s="297" t="n">
        <v>125.9</v>
      </c>
      <c r="Z17" s="297" t="n">
        <v>120.5</v>
      </c>
      <c r="AA17" s="297" t="n">
        <v>128.9</v>
      </c>
      <c r="AB17" s="297" t="n">
        <v>129.6</v>
      </c>
      <c r="AC17" s="297" t="n">
        <v>123.3</v>
      </c>
      <c r="AD17" s="297" t="n">
        <v>117.9</v>
      </c>
      <c r="AE17" s="60" t="n">
        <v>125.4</v>
      </c>
      <c r="AF17" s="60" t="n">
        <v>127.7</v>
      </c>
      <c r="AG17" s="60" t="n">
        <v>122.5</v>
      </c>
      <c r="AH17" s="60" t="n">
        <v>125.9</v>
      </c>
      <c r="AI17" s="60" t="n">
        <v>141.8</v>
      </c>
      <c r="AJ17" s="298" t="n">
        <v>137</v>
      </c>
      <c r="AK17" s="298" t="n">
        <v>138.69704</v>
      </c>
      <c r="AL17" s="298" t="n">
        <v>136.3</v>
      </c>
      <c r="AM17" s="298" t="n">
        <v>144.8</v>
      </c>
      <c r="AN17" s="298" t="n">
        <v>149.3</v>
      </c>
      <c r="AO17" s="298" t="n">
        <v>141.8</v>
      </c>
      <c r="AP17" s="298" t="n">
        <v>132.6</v>
      </c>
      <c r="AQ17" s="298" t="n">
        <v>138.3</v>
      </c>
      <c r="AR17" s="60" t="n">
        <v>138.1</v>
      </c>
      <c r="AS17" s="60" t="n">
        <v>140.6</v>
      </c>
      <c r="AT17" s="298" t="n">
        <v>130.5</v>
      </c>
      <c r="AU17" s="298" t="n">
        <v>139.7</v>
      </c>
      <c r="AV17" s="298" t="n">
        <v>142.8</v>
      </c>
      <c r="AW17" s="298" t="n">
        <v>145.3</v>
      </c>
      <c r="AX17" s="298" t="n">
        <v>147.4</v>
      </c>
      <c r="AY17" s="298" t="n">
        <v>152.5</v>
      </c>
      <c r="AZ17" s="298" t="n">
        <v>155.5</v>
      </c>
      <c r="BA17" s="298" t="n">
        <v>150.9</v>
      </c>
      <c r="BB17" s="298" t="n">
        <v>149.7</v>
      </c>
      <c r="BC17" s="60" t="n">
        <v>148.2</v>
      </c>
      <c r="BD17" s="60" t="n">
        <v>158.8</v>
      </c>
      <c r="BE17" s="60" t="n">
        <v>152.8</v>
      </c>
      <c r="BF17" s="60" t="n">
        <v>146.6</v>
      </c>
      <c r="BG17" s="60" t="n">
        <v>149.4</v>
      </c>
      <c r="BH17" s="60" t="n">
        <v>156.7</v>
      </c>
    </row>
    <row r="18" customFormat="1" s="60">
      <c r="A18" s="303" t="inlineStr">
        <is>
          <t>Sacos</t>
        </is>
      </c>
      <c r="B18" s="297" t="n">
        <v>29.6</v>
      </c>
      <c r="C18" s="297" t="n">
        <v>28.5</v>
      </c>
      <c r="D18" s="297" t="n">
        <v>28.4</v>
      </c>
      <c r="E18" s="297" t="n">
        <v>28.5</v>
      </c>
      <c r="F18" s="297" t="n">
        <v>28.7</v>
      </c>
      <c r="G18" s="297" t="n">
        <v>29</v>
      </c>
      <c r="H18" s="297" t="n">
        <v>30.3</v>
      </c>
      <c r="I18" s="297" t="n">
        <v>30.7</v>
      </c>
      <c r="J18" s="297" t="n">
        <v>31.5</v>
      </c>
      <c r="K18" s="297" t="n">
        <v>30.9</v>
      </c>
      <c r="L18" s="297" t="n">
        <v>33.1</v>
      </c>
      <c r="M18" s="297" t="n">
        <v>33.1</v>
      </c>
      <c r="N18" s="297" t="n">
        <v>33.4</v>
      </c>
      <c r="O18" s="297" t="n">
        <v>32.4</v>
      </c>
      <c r="P18" s="297" t="n">
        <v>32.3</v>
      </c>
      <c r="Q18" s="297" t="n">
        <v>29.3</v>
      </c>
      <c r="R18" s="297" t="n">
        <v>30.3</v>
      </c>
      <c r="S18" s="297" t="n">
        <v>31.1</v>
      </c>
      <c r="T18" s="297" t="n">
        <v>34</v>
      </c>
      <c r="U18" s="297" t="n">
        <v>34.8</v>
      </c>
      <c r="V18" s="297" t="n">
        <v>33.4</v>
      </c>
      <c r="W18" s="297" t="n">
        <v>36.4</v>
      </c>
      <c r="X18" s="297" t="n">
        <v>38</v>
      </c>
      <c r="Y18" s="297" t="n">
        <v>34</v>
      </c>
      <c r="Z18" s="297" t="n">
        <v>32.9</v>
      </c>
      <c r="AA18" s="297" t="n">
        <v>34.1</v>
      </c>
      <c r="AB18" s="297" t="n">
        <v>33.8</v>
      </c>
      <c r="AC18" s="297" t="n">
        <v>35</v>
      </c>
      <c r="AD18" s="297" t="n">
        <v>34.3</v>
      </c>
      <c r="AE18" s="60" t="n">
        <v>35.8</v>
      </c>
      <c r="AF18" s="60" t="n">
        <v>35.2</v>
      </c>
      <c r="AG18" s="60" t="n">
        <v>38.8</v>
      </c>
      <c r="AH18" s="60" t="n">
        <v>38</v>
      </c>
      <c r="AI18" s="60" t="n">
        <v>37.5</v>
      </c>
      <c r="AJ18" s="298" t="n">
        <v>37.8213</v>
      </c>
      <c r="AK18" s="298" t="n">
        <v>36.205353</v>
      </c>
      <c r="AL18" s="298" t="n">
        <v>37.1</v>
      </c>
      <c r="AM18" s="298" t="n">
        <v>32.8</v>
      </c>
      <c r="AN18" s="298" t="n">
        <v>35.4</v>
      </c>
      <c r="AO18" s="298" t="n">
        <v>34.1</v>
      </c>
      <c r="AP18" s="298" t="n">
        <v>35.9</v>
      </c>
      <c r="AQ18" s="298" t="n">
        <v>33.4</v>
      </c>
      <c r="AR18" s="60" t="n">
        <v>35.6</v>
      </c>
      <c r="AS18" s="60" t="n">
        <v>35</v>
      </c>
      <c r="AT18" s="298" t="n">
        <v>34.3</v>
      </c>
      <c r="AU18" s="298" t="n">
        <v>36.9</v>
      </c>
      <c r="AV18" s="298" t="n">
        <v>40.6</v>
      </c>
      <c r="AW18" s="298" t="n">
        <v>38</v>
      </c>
      <c r="AX18" s="298" t="n">
        <v>38.2</v>
      </c>
      <c r="AY18" s="298" t="n">
        <v>37.7</v>
      </c>
      <c r="AZ18" s="298" t="n">
        <v>40.4</v>
      </c>
      <c r="BA18" s="298" t="n">
        <v>39.1</v>
      </c>
      <c r="BB18" s="298" t="n">
        <v>39.3</v>
      </c>
      <c r="BC18" s="60" t="n">
        <v>38.8</v>
      </c>
      <c r="BD18" s="298" t="n">
        <v>40</v>
      </c>
      <c r="BE18" s="298" t="n">
        <v>39.2</v>
      </c>
      <c r="BF18" s="298" t="n">
        <v>36</v>
      </c>
      <c r="BG18" s="298" t="n">
        <v>38.1</v>
      </c>
      <c r="BH18" s="298" t="n">
        <v>41.4</v>
      </c>
    </row>
    <row r="19" customFormat="1" s="60">
      <c r="A19" s="303" t="inlineStr">
        <is>
          <t>Outros</t>
        </is>
      </c>
      <c r="B19" s="297" t="n">
        <v>12.7</v>
      </c>
      <c r="C19" s="297" t="n">
        <v>8.1</v>
      </c>
      <c r="D19" s="297" t="n">
        <v>9.800000000000001</v>
      </c>
      <c r="E19" s="297" t="n">
        <v>10.6</v>
      </c>
      <c r="F19" s="297" t="n">
        <v>10.2</v>
      </c>
      <c r="G19" s="297" t="n">
        <v>12</v>
      </c>
      <c r="H19" s="297" t="n">
        <v>9.600000000000001</v>
      </c>
      <c r="I19" s="297" t="n">
        <v>8.699999999999999</v>
      </c>
      <c r="J19" s="297" t="n">
        <v>8</v>
      </c>
      <c r="K19" s="297" t="n">
        <v>10.6</v>
      </c>
      <c r="L19" s="297" t="n">
        <v>8.199999999999999</v>
      </c>
      <c r="M19" s="297" t="n">
        <v>7.7</v>
      </c>
      <c r="N19" s="297" t="n">
        <v>10.2</v>
      </c>
      <c r="O19" s="297" t="n">
        <v>9.300000000000001</v>
      </c>
      <c r="P19" s="297" t="n">
        <v>10.7</v>
      </c>
      <c r="Q19" s="297" t="n">
        <v>11.8</v>
      </c>
      <c r="R19" s="297" t="n">
        <v>9.4</v>
      </c>
      <c r="S19" s="297" t="n">
        <v>6.199999999999999</v>
      </c>
      <c r="T19" s="297" t="n">
        <v>8.199999999999999</v>
      </c>
      <c r="U19" s="297" t="n">
        <v>9.300000000000001</v>
      </c>
      <c r="V19" s="297" t="n">
        <v>7.8</v>
      </c>
      <c r="W19" s="297" t="n">
        <v>9.699999999999999</v>
      </c>
      <c r="X19" s="297" t="n">
        <v>10.4</v>
      </c>
      <c r="Y19" s="297" t="n">
        <v>10.7</v>
      </c>
      <c r="Z19" s="297" t="n">
        <v>5.4</v>
      </c>
      <c r="AA19" s="297" t="n">
        <v>9.1</v>
      </c>
      <c r="AB19" s="297" t="n">
        <v>9.9</v>
      </c>
      <c r="AC19" s="297" t="n">
        <v>8.300000000000001</v>
      </c>
      <c r="AD19" s="297" t="n">
        <v>8.1</v>
      </c>
      <c r="AE19" s="60" t="n">
        <v>9</v>
      </c>
      <c r="AF19" s="60" t="n">
        <v>8</v>
      </c>
      <c r="AG19" s="60" t="n">
        <v>7.8</v>
      </c>
      <c r="AH19" s="60" t="n">
        <v>11.1</v>
      </c>
      <c r="AI19" s="60" t="n">
        <v>10.3</v>
      </c>
      <c r="AJ19" s="60" t="n">
        <v>11.3</v>
      </c>
      <c r="AK19" s="60" t="n">
        <v>10.362743</v>
      </c>
      <c r="AL19" s="60" t="n">
        <v>3.2</v>
      </c>
      <c r="AM19" s="60" t="n">
        <v>5.5</v>
      </c>
      <c r="AN19" s="60" t="n">
        <v>13.8</v>
      </c>
      <c r="AO19" s="60" t="n">
        <v>11.5</v>
      </c>
      <c r="AP19" s="60" t="n">
        <v>9.6</v>
      </c>
      <c r="AQ19" s="60" t="n">
        <v>8.9</v>
      </c>
      <c r="AR19" s="60" t="n">
        <v>10.7</v>
      </c>
      <c r="AS19" s="60" t="n">
        <v>11</v>
      </c>
      <c r="AT19" s="298" t="n">
        <v>13.7</v>
      </c>
      <c r="AU19" s="298" t="n">
        <v>11.8</v>
      </c>
      <c r="AV19" s="298" t="n">
        <v>13.9</v>
      </c>
      <c r="AW19" s="298" t="n">
        <v>12.7</v>
      </c>
      <c r="AX19" s="298" t="n">
        <v>14.4</v>
      </c>
      <c r="AY19" s="298" t="n">
        <v>13.9</v>
      </c>
      <c r="AZ19" s="298" t="n">
        <v>14.2</v>
      </c>
      <c r="BA19" s="298" t="n">
        <v>12.5</v>
      </c>
      <c r="BB19" s="298" t="n">
        <v>9.5</v>
      </c>
      <c r="BC19" s="60" t="n">
        <v>9.6</v>
      </c>
      <c r="BD19" s="298" t="n">
        <v>11</v>
      </c>
      <c r="BE19" s="298" t="n">
        <v>12</v>
      </c>
      <c r="BF19" s="60" t="n">
        <v>11.3</v>
      </c>
      <c r="BG19" s="60" t="n">
        <v>9.300000000000001</v>
      </c>
      <c r="BH19" s="60" t="n">
        <v>0</v>
      </c>
    </row>
    <row r="20" customFormat="1" s="51">
      <c r="A20" s="303" t="inlineStr">
        <is>
          <t>Total papéis e celulose</t>
        </is>
      </c>
      <c r="B20" s="304" t="n">
        <v>316.7</v>
      </c>
      <c r="C20" s="304" t="n">
        <v>359.6</v>
      </c>
      <c r="D20" s="304" t="n">
        <v>334.4</v>
      </c>
      <c r="E20" s="304" t="n">
        <v>366.4</v>
      </c>
      <c r="F20" s="304" t="n">
        <v>339.7</v>
      </c>
      <c r="G20" s="304" t="n">
        <v>340.5</v>
      </c>
      <c r="H20" s="304" t="n">
        <v>355.8</v>
      </c>
      <c r="I20" s="304" t="n">
        <v>357.4</v>
      </c>
      <c r="J20" s="304" t="n">
        <v>358.9</v>
      </c>
      <c r="K20" s="304" t="n">
        <v>377.8</v>
      </c>
      <c r="L20" s="304" t="n">
        <v>360.0000000000001</v>
      </c>
      <c r="M20" s="304" t="n">
        <v>340.5000000000001</v>
      </c>
      <c r="N20" s="304" t="n">
        <v>386.4</v>
      </c>
      <c r="O20" s="304" t="n">
        <v>412.1</v>
      </c>
      <c r="P20" s="304" t="n">
        <v>387.8</v>
      </c>
      <c r="Q20" s="304" t="n">
        <v>392.9</v>
      </c>
      <c r="R20" s="304" t="n">
        <v>355.9</v>
      </c>
      <c r="S20" s="304" t="n">
        <v>350.5</v>
      </c>
      <c r="T20" s="304" t="n">
        <v>402.4</v>
      </c>
      <c r="U20" s="304" t="n">
        <v>435</v>
      </c>
      <c r="V20" s="304" t="n">
        <v>433.2</v>
      </c>
      <c r="W20" s="304" t="n">
        <v>429.8</v>
      </c>
      <c r="X20" s="304" t="n">
        <v>435.9</v>
      </c>
      <c r="Y20" s="304" t="n">
        <v>416.6</v>
      </c>
      <c r="Z20" s="304" t="n">
        <v>437.8999999999999</v>
      </c>
      <c r="AA20" s="304" t="n">
        <v>434.6</v>
      </c>
      <c r="AB20" s="304" t="n">
        <v>433.8</v>
      </c>
      <c r="AC20" s="304" t="n">
        <v>432.3000000000001</v>
      </c>
      <c r="AD20" s="304" t="n">
        <v>419.6</v>
      </c>
      <c r="AE20" s="304" t="n">
        <v>430</v>
      </c>
      <c r="AF20" s="304" t="n">
        <v>440.1</v>
      </c>
      <c r="AG20" s="304" t="n">
        <v>437.1</v>
      </c>
      <c r="AH20" s="304" t="n">
        <v>430.5</v>
      </c>
      <c r="AI20" s="304" t="n">
        <v>429</v>
      </c>
      <c r="AJ20" s="304" t="n">
        <v>453.1</v>
      </c>
      <c r="AK20" s="304" t="n">
        <v>475.9</v>
      </c>
      <c r="AL20" s="304" t="n">
        <v>442.5000000000001</v>
      </c>
      <c r="AM20" s="304" t="n">
        <v>418.6</v>
      </c>
      <c r="AN20" s="304" t="n">
        <v>467.2</v>
      </c>
      <c r="AO20" s="304" t="n">
        <v>443</v>
      </c>
      <c r="AP20" s="304" t="n">
        <v>437.1</v>
      </c>
      <c r="AQ20" s="304" t="n">
        <v>434.4999999999999</v>
      </c>
      <c r="AR20" s="304" t="n">
        <v>462.5</v>
      </c>
      <c r="AS20" s="304" t="n">
        <v>498.7</v>
      </c>
      <c r="AT20" s="305" t="n">
        <v>454.6</v>
      </c>
      <c r="AU20" s="305" t="n">
        <v>631.2</v>
      </c>
      <c r="AV20" s="305" t="n">
        <v>787.1999999999999</v>
      </c>
      <c r="AW20" s="305" t="n">
        <v>776.4999999999999</v>
      </c>
      <c r="AX20" s="305" t="n">
        <v>758.6</v>
      </c>
      <c r="AY20" s="305" t="n">
        <v>776.6999999999999</v>
      </c>
      <c r="AZ20" s="305" t="n">
        <v>843</v>
      </c>
      <c r="BA20" s="305" t="n">
        <v>842</v>
      </c>
      <c r="BB20" s="305" t="n">
        <v>761.2</v>
      </c>
      <c r="BC20" s="305" t="n">
        <v>712.8</v>
      </c>
      <c r="BD20" s="305" t="n">
        <v>853.6000000000001</v>
      </c>
      <c r="BE20" s="80" t="n">
        <v>861.4</v>
      </c>
      <c r="BF20" s="60" t="n">
        <v>782.6999999999999</v>
      </c>
      <c r="BG20" s="60" t="n">
        <v>817.7</v>
      </c>
      <c r="BH20" s="298" t="n">
        <v>799.3</v>
      </c>
    </row>
    <row r="21" customFormat="1" s="60">
      <c r="A21" s="295" t="inlineStr">
        <is>
          <t>Volume de Madeira (1.000 ton)</t>
        </is>
      </c>
      <c r="B21" s="297" t="n">
        <v>778.8</v>
      </c>
      <c r="C21" s="297" t="n">
        <v>769.7</v>
      </c>
      <c r="D21" s="297" t="n">
        <v>689.6</v>
      </c>
      <c r="E21" s="297" t="n">
        <v>683.4</v>
      </c>
      <c r="F21" s="297" t="n">
        <v>693.5</v>
      </c>
      <c r="G21" s="297" t="n">
        <v>689.1</v>
      </c>
      <c r="H21" s="297" t="n">
        <v>701.1</v>
      </c>
      <c r="I21" s="297" t="n">
        <v>542.1</v>
      </c>
      <c r="J21" s="297" t="n">
        <v>626.3</v>
      </c>
      <c r="K21" s="297" t="n">
        <v>584.8</v>
      </c>
      <c r="L21" s="297" t="n">
        <v>668.8</v>
      </c>
      <c r="M21" s="297" t="n">
        <v>532.5</v>
      </c>
      <c r="N21" s="297" t="n">
        <v>630.5</v>
      </c>
      <c r="O21" s="297" t="n">
        <v>619</v>
      </c>
      <c r="P21" s="297" t="n">
        <v>621.7</v>
      </c>
      <c r="Q21" s="297" t="n">
        <v>426.7</v>
      </c>
      <c r="R21" s="297" t="n">
        <v>415.6</v>
      </c>
      <c r="S21" s="297" t="n">
        <v>426.5</v>
      </c>
      <c r="T21" s="297" t="n">
        <v>513.3</v>
      </c>
      <c r="U21" s="297" t="n">
        <v>536.2</v>
      </c>
      <c r="V21" s="297" t="n">
        <v>681.5</v>
      </c>
      <c r="W21" s="297" t="n">
        <v>853.9</v>
      </c>
      <c r="X21" s="297" t="n">
        <v>816.7</v>
      </c>
      <c r="Y21" s="297" t="n">
        <v>761</v>
      </c>
      <c r="Z21" s="297" t="n">
        <v>736.9</v>
      </c>
      <c r="AA21" s="297" t="n">
        <v>665.5</v>
      </c>
      <c r="AB21" s="297" t="n">
        <v>688.1</v>
      </c>
      <c r="AC21" s="297" t="n">
        <v>662.7</v>
      </c>
      <c r="AD21" s="297" t="n">
        <v>719</v>
      </c>
      <c r="AE21" s="297" t="n">
        <v>731.8</v>
      </c>
      <c r="AF21" s="60" t="n">
        <v>747.2</v>
      </c>
      <c r="AG21" s="60" t="n">
        <v>682.5</v>
      </c>
      <c r="AH21" s="60" t="n">
        <v>640.7</v>
      </c>
      <c r="AI21" s="60" t="n">
        <v>688.9</v>
      </c>
      <c r="AJ21" s="60" t="n">
        <v>794.4</v>
      </c>
      <c r="AK21" s="60" t="n">
        <v>744.58162</v>
      </c>
      <c r="AL21" s="298" t="n">
        <v>663.5</v>
      </c>
      <c r="AM21" s="298" t="n">
        <v>687.615</v>
      </c>
      <c r="AN21" s="298" t="n">
        <v>722.7</v>
      </c>
      <c r="AO21" s="298" t="n">
        <v>796.6</v>
      </c>
      <c r="AP21" s="298" t="n">
        <v>748.7</v>
      </c>
      <c r="AQ21" s="298" t="n">
        <v>990.4</v>
      </c>
      <c r="AR21" s="60" t="n">
        <v>599.7</v>
      </c>
      <c r="AS21" s="60" t="n">
        <v>864.9</v>
      </c>
      <c r="AT21" s="298" t="n">
        <v>490</v>
      </c>
      <c r="AU21" s="298" t="n">
        <v>527.3</v>
      </c>
      <c r="AV21" s="298" t="n">
        <v>656.5</v>
      </c>
      <c r="AW21" s="298" t="n">
        <v>788.1</v>
      </c>
      <c r="AX21" s="298" t="n">
        <v>524.4</v>
      </c>
      <c r="AY21" s="298" t="n">
        <v>564.6</v>
      </c>
      <c r="AZ21" s="298" t="n">
        <v>635.8</v>
      </c>
      <c r="BA21" s="298" t="n">
        <v>871.1</v>
      </c>
      <c r="BB21" s="298" t="n">
        <v>555.6</v>
      </c>
      <c r="BC21" s="60" t="n">
        <v>530.9</v>
      </c>
      <c r="BD21" s="60" t="n">
        <v>579.1</v>
      </c>
      <c r="BE21" s="60" t="n">
        <v>443.4</v>
      </c>
      <c r="BF21" s="60" t="n">
        <v>447.2</v>
      </c>
      <c r="BG21" s="60" t="n">
        <v>453.6</v>
      </c>
      <c r="BH21" s="60" t="n">
        <v>461.1</v>
      </c>
    </row>
    <row r="22" ht="10.5" customFormat="1" customHeight="1" s="51">
      <c r="A22" s="306" t="n"/>
      <c r="B22" s="296" t="n"/>
      <c r="C22" s="296" t="n"/>
      <c r="D22" s="296" t="n"/>
      <c r="E22" s="296" t="n"/>
      <c r="F22" s="296" t="n"/>
      <c r="G22" s="296" t="n"/>
      <c r="H22" s="296" t="n"/>
      <c r="I22" s="296" t="n"/>
      <c r="J22" s="296" t="n"/>
      <c r="K22" s="296" t="n"/>
      <c r="L22" s="296" t="n"/>
      <c r="M22" s="296" t="n"/>
      <c r="N22" s="296" t="n"/>
      <c r="O22" s="296" t="n"/>
      <c r="P22" s="296" t="n"/>
      <c r="Q22" s="296" t="n"/>
      <c r="R22" s="296" t="n"/>
      <c r="S22" s="296" t="n"/>
      <c r="T22" s="296" t="n"/>
      <c r="U22" s="296" t="n"/>
      <c r="V22" s="296" t="n"/>
      <c r="W22" s="296" t="n"/>
      <c r="X22" s="296" t="n"/>
      <c r="Y22" s="296" t="n"/>
      <c r="Z22" s="296" t="n"/>
      <c r="AA22" s="296" t="n"/>
      <c r="AB22" s="296" t="n"/>
      <c r="AC22" s="296" t="n"/>
      <c r="AD22" s="296" t="n"/>
      <c r="AT22" s="300" t="n"/>
      <c r="AU22" s="300" t="n"/>
      <c r="AV22" s="300" t="n"/>
      <c r="AW22" s="300" t="n"/>
      <c r="AX22" s="300" t="n"/>
      <c r="AY22" s="300" t="n"/>
      <c r="AZ22" s="300" t="n"/>
      <c r="BA22" s="300" t="n"/>
      <c r="BB22" s="300" t="n"/>
      <c r="BD22" s="305" t="n"/>
      <c r="BF22" s="60" t="n"/>
      <c r="BG22" s="60" t="n"/>
      <c r="BH22" s="60" t="n"/>
    </row>
    <row r="23" ht="10.5" customFormat="1" customHeight="1" s="51">
      <c r="A23" s="295" t="inlineStr">
        <is>
          <t>Receita Líquida (R$ milhões)</t>
        </is>
      </c>
      <c r="B23" s="296" t="n"/>
      <c r="C23" s="296" t="n"/>
      <c r="D23" s="296" t="n"/>
      <c r="E23" s="296" t="n"/>
      <c r="F23" s="296" t="n"/>
      <c r="G23" s="296" t="n"/>
      <c r="H23" s="296" t="n"/>
      <c r="I23" s="296" t="n"/>
      <c r="J23" s="296" t="n"/>
      <c r="K23" s="296" t="n"/>
      <c r="L23" s="296" t="n"/>
      <c r="M23" s="296" t="n"/>
      <c r="N23" s="296" t="n"/>
      <c r="O23" s="296" t="n"/>
      <c r="P23" s="296" t="n"/>
      <c r="Q23" s="296" t="n"/>
      <c r="R23" s="296" t="n"/>
      <c r="S23" s="296" t="n"/>
      <c r="T23" s="296" t="n"/>
      <c r="U23" s="296" t="n"/>
      <c r="V23" s="296" t="n"/>
      <c r="W23" s="296" t="n"/>
      <c r="X23" s="296" t="n"/>
      <c r="Y23" s="296" t="n"/>
      <c r="Z23" s="296" t="n"/>
      <c r="AA23" s="296" t="n"/>
      <c r="AB23" s="296" t="n"/>
      <c r="AC23" s="296" t="n"/>
      <c r="AD23" s="296" t="n"/>
      <c r="AT23" s="300" t="n"/>
      <c r="AU23" s="300" t="n"/>
      <c r="AV23" s="300" t="n"/>
      <c r="AW23" s="300" t="n"/>
      <c r="AX23" s="300" t="n"/>
      <c r="AY23" s="300" t="n"/>
      <c r="AZ23" s="300" t="n"/>
      <c r="BA23" s="300" t="n"/>
      <c r="BB23" s="300" t="n"/>
      <c r="BF23" s="60" t="n"/>
      <c r="BG23" s="60" t="n"/>
      <c r="BH23" s="60" t="n"/>
    </row>
    <row r="24" customFormat="1" s="51">
      <c r="A24" s="306" t="inlineStr">
        <is>
          <t>Kraftliner</t>
        </is>
      </c>
      <c r="B24" s="296" t="n">
        <v>136</v>
      </c>
      <c r="C24" s="296" t="n">
        <v>135.4</v>
      </c>
      <c r="D24" s="296" t="n">
        <v>103.5</v>
      </c>
      <c r="E24" s="296" t="n">
        <v>128.7</v>
      </c>
      <c r="F24" s="296" t="n">
        <v>121.3</v>
      </c>
      <c r="G24" s="296" t="n">
        <v>117.8</v>
      </c>
      <c r="H24" s="296" t="n">
        <v>144.6</v>
      </c>
      <c r="I24" s="296" t="n">
        <v>142.4</v>
      </c>
      <c r="J24" s="296" t="n">
        <v>142.2</v>
      </c>
      <c r="K24" s="296" t="n">
        <v>136.7</v>
      </c>
      <c r="L24" s="296" t="n">
        <v>127.4</v>
      </c>
      <c r="M24" s="296" t="n">
        <v>122.5</v>
      </c>
      <c r="N24" s="296" t="n">
        <v>134.1</v>
      </c>
      <c r="O24" s="296" t="n">
        <v>127.4</v>
      </c>
      <c r="P24" s="296" t="n">
        <v>117.1</v>
      </c>
      <c r="Q24" s="296" t="n">
        <v>166.4</v>
      </c>
      <c r="R24" s="296" t="n">
        <v>102.9</v>
      </c>
      <c r="S24" s="296" t="n">
        <v>80.7</v>
      </c>
      <c r="T24" s="296" t="n">
        <v>95.69999999999999</v>
      </c>
      <c r="U24" s="296" t="n">
        <v>106</v>
      </c>
      <c r="V24" s="296" t="n">
        <v>117.1</v>
      </c>
      <c r="W24" s="296" t="n">
        <v>103.5</v>
      </c>
      <c r="X24" s="296" t="n">
        <v>121.6</v>
      </c>
      <c r="Y24" s="296" t="n">
        <v>123.5</v>
      </c>
      <c r="Z24" s="296" t="n">
        <v>140.9</v>
      </c>
      <c r="AA24" s="296" t="n">
        <v>126.6</v>
      </c>
      <c r="AB24" s="296" t="n">
        <v>131.5</v>
      </c>
      <c r="AC24" s="296" t="n">
        <v>135</v>
      </c>
      <c r="AD24" s="296" t="n">
        <v>116.9</v>
      </c>
      <c r="AE24" s="51" t="n">
        <v>123.3</v>
      </c>
      <c r="AF24" s="51" t="n">
        <v>135</v>
      </c>
      <c r="AG24" s="51" t="n">
        <v>148.1</v>
      </c>
      <c r="AH24" s="51" t="n">
        <v>137.8</v>
      </c>
      <c r="AI24" s="51" t="n">
        <v>119.6</v>
      </c>
      <c r="AJ24" s="51" t="n">
        <v>153.2</v>
      </c>
      <c r="AK24" s="300" t="n">
        <v>187.41097042</v>
      </c>
      <c r="AL24" s="300" t="n">
        <v>170.9</v>
      </c>
      <c r="AM24" s="300" t="n">
        <v>134.1</v>
      </c>
      <c r="AN24" s="300" t="n">
        <v>173.6</v>
      </c>
      <c r="AO24" s="300" t="n">
        <v>160.4</v>
      </c>
      <c r="AP24" s="300" t="n">
        <v>181.5</v>
      </c>
      <c r="AQ24" s="300" t="n">
        <v>189.1</v>
      </c>
      <c r="AR24" s="51" t="n">
        <v>226.2</v>
      </c>
      <c r="AS24" s="51" t="n">
        <v>261.3</v>
      </c>
      <c r="AT24" s="300" t="n">
        <v>244.2</v>
      </c>
      <c r="AU24" s="300" t="n">
        <v>201.2</v>
      </c>
      <c r="AV24" s="300" t="n">
        <v>174.1</v>
      </c>
      <c r="AW24" s="300" t="n">
        <v>179.4</v>
      </c>
      <c r="AX24" s="300" t="n">
        <v>171.3</v>
      </c>
      <c r="AY24" s="300" t="n">
        <v>165.1</v>
      </c>
      <c r="AZ24" s="300" t="n">
        <v>192.1</v>
      </c>
      <c r="BA24" s="300" t="n">
        <v>189.8</v>
      </c>
      <c r="BB24" s="300" t="n">
        <v>221.5</v>
      </c>
      <c r="BC24" s="51" t="n">
        <v>219.4</v>
      </c>
      <c r="BD24" s="51" t="n">
        <v>266.5</v>
      </c>
      <c r="BE24" s="51" t="n">
        <v>264.2</v>
      </c>
      <c r="BF24" s="51" t="n">
        <v>241.9</v>
      </c>
      <c r="BG24" s="51" t="n">
        <v>219</v>
      </c>
      <c r="BH24" s="51" t="n">
        <v>210.2</v>
      </c>
    </row>
    <row r="25" customFormat="1" s="51">
      <c r="A25" s="306" t="inlineStr">
        <is>
          <t>Cartões Revestidos</t>
        </is>
      </c>
      <c r="B25" s="296" t="n">
        <v>149.5</v>
      </c>
      <c r="C25" s="296" t="n">
        <v>174</v>
      </c>
      <c r="D25" s="296" t="n">
        <v>169.9</v>
      </c>
      <c r="E25" s="296" t="n">
        <v>156.6</v>
      </c>
      <c r="F25" s="296" t="n">
        <v>155.6</v>
      </c>
      <c r="G25" s="296" t="n">
        <v>160.5</v>
      </c>
      <c r="H25" s="296" t="n">
        <v>172.2</v>
      </c>
      <c r="I25" s="296" t="n">
        <v>180.1</v>
      </c>
      <c r="J25" s="296" t="n">
        <v>174.9</v>
      </c>
      <c r="K25" s="296" t="n">
        <v>177.1</v>
      </c>
      <c r="L25" s="296" t="n">
        <v>176.8</v>
      </c>
      <c r="M25" s="296" t="n">
        <v>165.8</v>
      </c>
      <c r="N25" s="296" t="n">
        <v>210.3</v>
      </c>
      <c r="O25" s="296" t="n">
        <v>237.1</v>
      </c>
      <c r="P25" s="296" t="n">
        <v>234.5</v>
      </c>
      <c r="Q25" s="296" t="n">
        <v>252.8</v>
      </c>
      <c r="R25" s="296" t="n">
        <v>249.3</v>
      </c>
      <c r="S25" s="296" t="n">
        <v>213.8</v>
      </c>
      <c r="T25" s="296" t="n">
        <v>247.8</v>
      </c>
      <c r="U25" s="296" t="n">
        <v>277.1</v>
      </c>
      <c r="V25" s="296" t="n">
        <v>303.7</v>
      </c>
      <c r="W25" s="296" t="n">
        <v>307.1</v>
      </c>
      <c r="X25" s="296" t="n">
        <v>330.6</v>
      </c>
      <c r="Y25" s="296" t="n">
        <v>305.6</v>
      </c>
      <c r="Z25" s="296" t="n">
        <v>331.7</v>
      </c>
      <c r="AA25" s="296" t="n">
        <v>311.8</v>
      </c>
      <c r="AB25" s="296" t="n">
        <v>328.4</v>
      </c>
      <c r="AC25" s="296" t="n">
        <v>344.9</v>
      </c>
      <c r="AD25" s="296" t="n">
        <v>347.2</v>
      </c>
      <c r="AE25" s="51" t="n">
        <v>366.6</v>
      </c>
      <c r="AF25" s="51" t="n">
        <v>402.3</v>
      </c>
      <c r="AG25" s="51" t="n">
        <v>387.8</v>
      </c>
      <c r="AH25" s="51" t="n">
        <v>376.1</v>
      </c>
      <c r="AI25" s="51" t="n">
        <v>375.6</v>
      </c>
      <c r="AJ25" s="51" t="n">
        <v>426.7</v>
      </c>
      <c r="AK25" s="300" t="n">
        <v>429.7163475</v>
      </c>
      <c r="AL25" s="300" t="n">
        <v>415.1</v>
      </c>
      <c r="AM25" s="300" t="n">
        <v>377.2</v>
      </c>
      <c r="AN25" s="300" t="n">
        <v>419.1</v>
      </c>
      <c r="AO25" s="300" t="n">
        <v>449.8</v>
      </c>
      <c r="AP25" s="300" t="n">
        <v>473.5</v>
      </c>
      <c r="AQ25" s="300" t="n">
        <v>457</v>
      </c>
      <c r="AR25" s="51" t="n">
        <v>528.5</v>
      </c>
      <c r="AS25" s="51" t="n">
        <v>636.6</v>
      </c>
      <c r="AT25" s="300" t="n">
        <v>554.8</v>
      </c>
      <c r="AU25" s="300" t="n">
        <v>506.3</v>
      </c>
      <c r="AV25" s="300" t="n">
        <v>550.8</v>
      </c>
      <c r="AW25" s="300" t="n">
        <v>577.8</v>
      </c>
      <c r="AX25" s="300" t="n">
        <v>500.2</v>
      </c>
      <c r="AY25" s="300" t="n">
        <v>467.4</v>
      </c>
      <c r="AZ25" s="300" t="n">
        <v>562.6</v>
      </c>
      <c r="BA25" s="300" t="n">
        <v>575.6</v>
      </c>
      <c r="BB25" s="300" t="n">
        <v>505.9</v>
      </c>
      <c r="BC25" s="51" t="n">
        <v>474.8</v>
      </c>
      <c r="BD25" s="51" t="n">
        <v>543.3</v>
      </c>
      <c r="BE25" s="51" t="n">
        <v>582.9</v>
      </c>
      <c r="BF25" s="51" t="n">
        <v>529</v>
      </c>
      <c r="BG25" s="51" t="n">
        <v>598.8</v>
      </c>
      <c r="BH25" s="51" t="n">
        <v>690.6</v>
      </c>
    </row>
    <row r="26" customFormat="1" s="51">
      <c r="A26" s="306" t="inlineStr">
        <is>
          <t>Celulose Fibra Curta</t>
        </is>
      </c>
      <c r="B26" s="296" t="n"/>
      <c r="C26" s="296" t="n"/>
      <c r="D26" s="296" t="n"/>
      <c r="E26" s="296" t="n"/>
      <c r="F26" s="296" t="n"/>
      <c r="G26" s="296" t="n"/>
      <c r="H26" s="296" t="n"/>
      <c r="I26" s="296" t="n"/>
      <c r="J26" s="296" t="n"/>
      <c r="K26" s="296" t="n"/>
      <c r="L26" s="296" t="n"/>
      <c r="M26" s="296" t="n"/>
      <c r="N26" s="296" t="n"/>
      <c r="O26" s="296" t="n"/>
      <c r="P26" s="296" t="n"/>
      <c r="Q26" s="296" t="n"/>
      <c r="R26" s="296" t="n"/>
      <c r="S26" s="296" t="n"/>
      <c r="T26" s="296" t="n"/>
      <c r="U26" s="296" t="n"/>
      <c r="V26" s="296" t="n"/>
      <c r="W26" s="296" t="n"/>
      <c r="X26" s="296" t="n"/>
      <c r="Y26" s="296" t="n"/>
      <c r="Z26" s="296" t="n"/>
      <c r="AA26" s="296" t="n"/>
      <c r="AB26" s="296" t="n"/>
      <c r="AC26" s="296" t="n"/>
      <c r="AD26" s="296" t="n"/>
      <c r="AK26" s="300" t="n"/>
      <c r="AL26" s="300" t="n"/>
      <c r="AM26" s="300" t="n"/>
      <c r="AN26" s="300" t="n"/>
      <c r="AO26" s="300" t="n"/>
      <c r="AP26" s="300" t="n"/>
      <c r="AQ26" s="300" t="n"/>
      <c r="AT26" s="300" t="n"/>
      <c r="AU26" s="300" t="n">
        <v>255.6</v>
      </c>
      <c r="AV26" s="300" t="n">
        <v>313.2</v>
      </c>
      <c r="AW26" s="300" t="n">
        <v>293.6</v>
      </c>
      <c r="AX26" s="300" t="n">
        <v>302.4</v>
      </c>
      <c r="AY26" s="300" t="n">
        <v>394.9</v>
      </c>
      <c r="AZ26" s="300" t="n">
        <v>439.2</v>
      </c>
      <c r="BA26" s="300" t="n">
        <v>499.4</v>
      </c>
      <c r="BB26" s="300" t="n">
        <v>469.6</v>
      </c>
      <c r="BC26" s="51" t="n">
        <v>551.8</v>
      </c>
      <c r="BD26" s="51" t="n">
        <v>774.6</v>
      </c>
      <c r="BE26" s="51" t="n">
        <v>777.6</v>
      </c>
      <c r="BF26" s="51" t="n">
        <v>670.4</v>
      </c>
      <c r="BG26" s="51" t="n">
        <v>669.3</v>
      </c>
      <c r="BH26" s="51" t="n">
        <v>454.8</v>
      </c>
    </row>
    <row r="27" customFormat="1" s="51">
      <c r="A27" s="306" t="inlineStr">
        <is>
          <t>Celulose Fibra Longa</t>
        </is>
      </c>
      <c r="B27" s="296" t="n"/>
      <c r="C27" s="296" t="n"/>
      <c r="D27" s="296" t="n"/>
      <c r="E27" s="296" t="n"/>
      <c r="F27" s="296" t="n"/>
      <c r="G27" s="296" t="n"/>
      <c r="H27" s="296" t="n"/>
      <c r="I27" s="296" t="n"/>
      <c r="J27" s="296" t="n"/>
      <c r="K27" s="296" t="n"/>
      <c r="L27" s="296" t="n"/>
      <c r="M27" s="296" t="n"/>
      <c r="N27" s="296" t="n"/>
      <c r="O27" s="296" t="n"/>
      <c r="P27" s="296" t="n"/>
      <c r="Q27" s="296" t="n"/>
      <c r="R27" s="296" t="n"/>
      <c r="S27" s="296" t="n"/>
      <c r="T27" s="296" t="n"/>
      <c r="U27" s="296" t="n"/>
      <c r="V27" s="296" t="n"/>
      <c r="W27" s="296" t="n"/>
      <c r="X27" s="296" t="n"/>
      <c r="Y27" s="296" t="n"/>
      <c r="Z27" s="296" t="n"/>
      <c r="AA27" s="296" t="n"/>
      <c r="AB27" s="296" t="n"/>
      <c r="AC27" s="296" t="n"/>
      <c r="AD27" s="296" t="n"/>
      <c r="AK27" s="300" t="n"/>
      <c r="AL27" s="300" t="n"/>
      <c r="AM27" s="300" t="n"/>
      <c r="AN27" s="300" t="n"/>
      <c r="AO27" s="300" t="n"/>
      <c r="AP27" s="300" t="n"/>
      <c r="AQ27" s="300" t="n"/>
      <c r="AT27" s="300" t="n"/>
      <c r="AU27" s="300" t="n">
        <v>30</v>
      </c>
      <c r="AV27" s="300" t="n">
        <v>177.6</v>
      </c>
      <c r="AW27" s="300" t="n">
        <v>177</v>
      </c>
      <c r="AX27" s="300" t="n">
        <v>148.1</v>
      </c>
      <c r="AY27" s="300" t="n">
        <v>187</v>
      </c>
      <c r="AZ27" s="300" t="n">
        <v>217.6</v>
      </c>
      <c r="BA27" s="300" t="n">
        <v>229</v>
      </c>
      <c r="BB27" s="300" t="n">
        <v>214.7</v>
      </c>
      <c r="BC27" s="51" t="n">
        <v>201.5</v>
      </c>
      <c r="BD27" s="51" t="n">
        <v>354.6</v>
      </c>
      <c r="BE27" s="51" t="n">
        <v>329.3</v>
      </c>
      <c r="BF27" s="51" t="n">
        <v>250.2</v>
      </c>
      <c r="BG27" s="51" t="n">
        <v>288.8</v>
      </c>
      <c r="BH27" s="51" t="n">
        <v>268.8</v>
      </c>
    </row>
    <row r="28" customFormat="1" s="51">
      <c r="A28" s="299" t="inlineStr">
        <is>
          <t>Caixas de P.O.</t>
        </is>
      </c>
      <c r="B28" s="296" t="n">
        <v>197.7</v>
      </c>
      <c r="C28" s="296" t="n">
        <v>226.3</v>
      </c>
      <c r="D28" s="296" t="n">
        <v>209.1</v>
      </c>
      <c r="E28" s="296" t="n">
        <v>210.2</v>
      </c>
      <c r="F28" s="296" t="n">
        <v>202</v>
      </c>
      <c r="G28" s="296" t="n">
        <v>216.1</v>
      </c>
      <c r="H28" s="296" t="n">
        <v>209.4</v>
      </c>
      <c r="I28" s="296" t="n">
        <v>210.3</v>
      </c>
      <c r="J28" s="296" t="n">
        <v>201.3</v>
      </c>
      <c r="K28" s="296" t="n">
        <v>236.4</v>
      </c>
      <c r="L28" s="296" t="n">
        <v>240.8</v>
      </c>
      <c r="M28" s="296" t="n">
        <v>223.9</v>
      </c>
      <c r="N28" s="296" t="n">
        <v>223.2</v>
      </c>
      <c r="O28" s="296" t="n">
        <v>249.8</v>
      </c>
      <c r="P28" s="296" t="n">
        <v>243.8</v>
      </c>
      <c r="Q28" s="296" t="n">
        <v>230</v>
      </c>
      <c r="R28" s="296" t="n">
        <v>212.4</v>
      </c>
      <c r="S28" s="296" t="n">
        <v>236.7</v>
      </c>
      <c r="T28" s="296" t="n">
        <v>241.2</v>
      </c>
      <c r="U28" s="296" t="n">
        <v>255.7</v>
      </c>
      <c r="V28" s="296" t="n">
        <v>249.1</v>
      </c>
      <c r="W28" s="296" t="n">
        <v>290</v>
      </c>
      <c r="X28" s="296" t="n">
        <v>313.7</v>
      </c>
      <c r="Y28" s="296" t="n">
        <v>304.3</v>
      </c>
      <c r="Z28" s="296" t="n">
        <v>287.9</v>
      </c>
      <c r="AA28" s="296" t="n">
        <v>308.2</v>
      </c>
      <c r="AB28" s="296" t="n">
        <v>322.9</v>
      </c>
      <c r="AC28" s="296" t="n">
        <v>304.3</v>
      </c>
      <c r="AD28" s="296" t="n">
        <v>286.6</v>
      </c>
      <c r="AE28" s="51" t="n">
        <v>307.3</v>
      </c>
      <c r="AF28" s="51" t="n">
        <v>317.7</v>
      </c>
      <c r="AG28" s="51" t="n">
        <v>305.6</v>
      </c>
      <c r="AH28" s="51" t="n">
        <v>314.9</v>
      </c>
      <c r="AI28" s="51" t="n">
        <v>354.7</v>
      </c>
      <c r="AJ28" s="300" t="n">
        <v>358</v>
      </c>
      <c r="AK28" s="300" t="n">
        <v>369.57894336</v>
      </c>
      <c r="AL28" s="300" t="n">
        <v>366.1</v>
      </c>
      <c r="AM28" s="300" t="n">
        <v>396.4</v>
      </c>
      <c r="AN28" s="300" t="n">
        <v>417</v>
      </c>
      <c r="AO28" s="300" t="n">
        <v>395.5</v>
      </c>
      <c r="AP28" s="300" t="n">
        <v>369.2</v>
      </c>
      <c r="AQ28" s="300" t="n">
        <v>391.8</v>
      </c>
      <c r="AR28" s="51" t="n">
        <v>395.7</v>
      </c>
      <c r="AS28" s="51" t="n">
        <v>405.2</v>
      </c>
      <c r="AT28" s="300" t="n">
        <v>378.2</v>
      </c>
      <c r="AU28" s="300" t="n">
        <v>410.7</v>
      </c>
      <c r="AV28" s="300" t="n">
        <v>433</v>
      </c>
      <c r="AW28" s="300" t="n">
        <v>441.1</v>
      </c>
      <c r="AX28" s="300" t="n">
        <v>452.5</v>
      </c>
      <c r="AY28" s="300" t="n">
        <v>471.7</v>
      </c>
      <c r="AZ28" s="300" t="n">
        <v>496</v>
      </c>
      <c r="BA28" s="300" t="n">
        <v>482.8</v>
      </c>
      <c r="BB28" s="300" t="n">
        <v>477.2</v>
      </c>
      <c r="BC28" s="51" t="n">
        <v>479.8</v>
      </c>
      <c r="BD28" s="51" t="n">
        <v>533.3</v>
      </c>
      <c r="BE28" s="51" t="n">
        <v>517.6</v>
      </c>
      <c r="BF28" s="51" t="n">
        <v>502</v>
      </c>
      <c r="BG28" s="51" t="n">
        <v>515.9</v>
      </c>
      <c r="BH28" s="51" t="n">
        <v>559</v>
      </c>
    </row>
    <row r="29" customFormat="1" s="51">
      <c r="A29" s="299" t="inlineStr">
        <is>
          <t>Sacos</t>
        </is>
      </c>
      <c r="B29" s="296" t="n">
        <v>92</v>
      </c>
      <c r="C29" s="296" t="n">
        <v>87.09999999999999</v>
      </c>
      <c r="D29" s="296" t="n">
        <v>85.09999999999999</v>
      </c>
      <c r="E29" s="296" t="n">
        <v>85.40000000000001</v>
      </c>
      <c r="F29" s="296" t="n">
        <v>88.8</v>
      </c>
      <c r="G29" s="296" t="n">
        <v>87.89999999999999</v>
      </c>
      <c r="H29" s="296" t="n">
        <v>95.40000000000001</v>
      </c>
      <c r="I29" s="296" t="n">
        <v>92.59999999999999</v>
      </c>
      <c r="J29" s="296" t="n">
        <v>96.59999999999999</v>
      </c>
      <c r="K29" s="296" t="n">
        <v>95.59999999999999</v>
      </c>
      <c r="L29" s="296" t="n">
        <v>100.6</v>
      </c>
      <c r="M29" s="296" t="n">
        <v>97.39999999999999</v>
      </c>
      <c r="N29" s="296" t="n">
        <v>103</v>
      </c>
      <c r="O29" s="296" t="n">
        <v>99.90000000000001</v>
      </c>
      <c r="P29" s="296" t="n">
        <v>106.2</v>
      </c>
      <c r="Q29" s="296" t="n">
        <v>101.5</v>
      </c>
      <c r="R29" s="296" t="n">
        <v>104.9</v>
      </c>
      <c r="S29" s="296" t="n">
        <v>104.7</v>
      </c>
      <c r="T29" s="296" t="n">
        <v>111.3</v>
      </c>
      <c r="U29" s="296" t="n">
        <v>108.4</v>
      </c>
      <c r="V29" s="296" t="n">
        <v>108.6</v>
      </c>
      <c r="W29" s="296" t="n">
        <v>119</v>
      </c>
      <c r="X29" s="296" t="n">
        <v>128.4</v>
      </c>
      <c r="Y29" s="296" t="n">
        <v>116.2</v>
      </c>
      <c r="Z29" s="296" t="n">
        <v>115.7</v>
      </c>
      <c r="AA29" s="296" t="n">
        <v>120.6</v>
      </c>
      <c r="AB29" s="296" t="n">
        <v>122.7</v>
      </c>
      <c r="AC29" s="296" t="n">
        <v>129.7</v>
      </c>
      <c r="AD29" s="296" t="n">
        <v>132.1</v>
      </c>
      <c r="AE29" s="51" t="n">
        <v>140.7</v>
      </c>
      <c r="AF29" s="51" t="n">
        <v>139.7</v>
      </c>
      <c r="AG29" s="51" t="n">
        <v>152.3</v>
      </c>
      <c r="AH29" s="51" t="n">
        <v>153.5</v>
      </c>
      <c r="AI29" s="51" t="n">
        <v>153.5</v>
      </c>
      <c r="AJ29" s="51" t="n">
        <v>159.8</v>
      </c>
      <c r="AK29" s="300" t="n">
        <v>153.54701352</v>
      </c>
      <c r="AL29" s="300" t="n">
        <v>158.6</v>
      </c>
      <c r="AM29" s="300" t="n">
        <v>137.2</v>
      </c>
      <c r="AN29" s="300" t="n">
        <v>151.8</v>
      </c>
      <c r="AO29" s="300" t="n">
        <v>148.7</v>
      </c>
      <c r="AP29" s="300" t="n">
        <v>167.2</v>
      </c>
      <c r="AQ29" s="300" t="n">
        <v>159.5</v>
      </c>
      <c r="AR29" s="51" t="n">
        <v>181.3</v>
      </c>
      <c r="AS29" s="51" t="n">
        <v>180.6</v>
      </c>
      <c r="AT29" s="300" t="n">
        <v>174.3</v>
      </c>
      <c r="AU29" s="300" t="n">
        <v>178.4</v>
      </c>
      <c r="AV29" s="300" t="n">
        <v>188.1</v>
      </c>
      <c r="AW29" s="300" t="n">
        <v>176.8</v>
      </c>
      <c r="AX29" s="300" t="n">
        <v>173.4</v>
      </c>
      <c r="AY29" s="300" t="n">
        <v>175.5</v>
      </c>
      <c r="AZ29" s="300" t="n">
        <v>184.5</v>
      </c>
      <c r="BA29" s="300" t="n">
        <v>182.7</v>
      </c>
      <c r="BB29" s="300" t="n">
        <v>187.3</v>
      </c>
      <c r="BC29" s="51" t="n">
        <v>195.4</v>
      </c>
      <c r="BD29" s="51" t="n">
        <v>208.4</v>
      </c>
      <c r="BE29" s="51" t="n">
        <v>203.5</v>
      </c>
      <c r="BF29" s="51" t="n">
        <v>189.5</v>
      </c>
      <c r="BG29" s="51" t="n">
        <v>199.8</v>
      </c>
      <c r="BH29" s="51" t="n">
        <v>227.8</v>
      </c>
    </row>
    <row r="30" customFormat="1" s="51">
      <c r="A30" s="299" t="inlineStr">
        <is>
          <t>Outros</t>
        </is>
      </c>
      <c r="B30" s="296" t="n">
        <v>17</v>
      </c>
      <c r="C30" s="296" t="n">
        <v>21</v>
      </c>
      <c r="D30" s="296" t="n">
        <v>17.4</v>
      </c>
      <c r="E30" s="296" t="n">
        <v>17.7</v>
      </c>
      <c r="F30" s="296" t="n">
        <v>9.4</v>
      </c>
      <c r="G30" s="296" t="n">
        <v>19.4</v>
      </c>
      <c r="H30" s="296" t="n">
        <v>15.5</v>
      </c>
      <c r="I30" s="296" t="n">
        <v>15.2</v>
      </c>
      <c r="J30" s="296" t="n">
        <v>15.2</v>
      </c>
      <c r="K30" s="296" t="n">
        <v>13.9</v>
      </c>
      <c r="L30" s="296" t="n">
        <v>15.7</v>
      </c>
      <c r="M30" s="296" t="n">
        <v>11</v>
      </c>
      <c r="N30" s="296" t="n">
        <v>13.6</v>
      </c>
      <c r="O30" s="296" t="n">
        <v>13</v>
      </c>
      <c r="P30" s="296" t="n">
        <v>16</v>
      </c>
      <c r="Q30" s="296" t="n">
        <v>17.4</v>
      </c>
      <c r="R30" s="296" t="n">
        <v>15.2</v>
      </c>
      <c r="S30" s="296" t="n">
        <v>10.3</v>
      </c>
      <c r="T30" s="296" t="n">
        <v>12.9</v>
      </c>
      <c r="U30" s="296" t="n">
        <v>15.7</v>
      </c>
      <c r="V30" s="296" t="n">
        <v>12.6</v>
      </c>
      <c r="W30" s="296" t="n">
        <v>16.4</v>
      </c>
      <c r="X30" s="296" t="n">
        <v>16.8</v>
      </c>
      <c r="Y30" s="296" t="n">
        <v>15.5</v>
      </c>
      <c r="Z30" s="296" t="n">
        <v>12.9</v>
      </c>
      <c r="AA30" s="296" t="n">
        <v>16.4</v>
      </c>
      <c r="AB30" s="296" t="n">
        <v>15.9</v>
      </c>
      <c r="AC30" s="296" t="n">
        <v>16.3</v>
      </c>
      <c r="AD30" s="296" t="n">
        <v>15.5</v>
      </c>
      <c r="AE30" s="51" t="n">
        <v>18.3</v>
      </c>
      <c r="AF30" s="51" t="n">
        <v>13.3</v>
      </c>
      <c r="AG30" s="51" t="n">
        <v>14</v>
      </c>
      <c r="AH30" s="51" t="n">
        <v>15.1</v>
      </c>
      <c r="AI30" s="51" t="n">
        <v>15</v>
      </c>
      <c r="AJ30" s="51" t="n">
        <v>14.3</v>
      </c>
      <c r="AK30" s="300" t="n">
        <v>15.05974956</v>
      </c>
      <c r="AL30" s="300" t="n">
        <v>8.799999999999999</v>
      </c>
      <c r="AM30" s="300" t="n">
        <v>13.6</v>
      </c>
      <c r="AN30" s="300" t="n">
        <v>34.8</v>
      </c>
      <c r="AO30" s="300" t="n">
        <v>32.3</v>
      </c>
      <c r="AP30" s="300" t="n">
        <v>27.2</v>
      </c>
      <c r="AQ30" s="300" t="n">
        <v>26.3</v>
      </c>
      <c r="AR30" s="51" t="n">
        <v>32.9</v>
      </c>
      <c r="AS30" s="51" t="n">
        <v>35.2</v>
      </c>
      <c r="AT30" s="300" t="n">
        <v>32.5</v>
      </c>
      <c r="AU30" s="300" t="n">
        <v>35.5</v>
      </c>
      <c r="AV30" s="300" t="n">
        <v>43.59999999999999</v>
      </c>
      <c r="AW30" s="300" t="n">
        <v>43.3</v>
      </c>
      <c r="AX30" s="300" t="n">
        <v>46</v>
      </c>
      <c r="AY30" s="300" t="n">
        <v>48.4</v>
      </c>
      <c r="AZ30" s="300" t="n">
        <v>39.1</v>
      </c>
      <c r="BA30" s="300" t="n">
        <v>35.8</v>
      </c>
      <c r="BB30" s="300" t="n">
        <v>28.5</v>
      </c>
      <c r="BC30" s="51" t="n">
        <v>29.8</v>
      </c>
      <c r="BD30" s="51" t="n">
        <v>35.09999999999999</v>
      </c>
      <c r="BE30" s="51" t="n">
        <v>37.8</v>
      </c>
      <c r="BF30" s="51" t="n">
        <v>37.2</v>
      </c>
      <c r="BG30" s="51" t="n">
        <v>33.3</v>
      </c>
      <c r="BH30" s="51" t="n">
        <v>3.1</v>
      </c>
    </row>
    <row r="31" customFormat="1" s="51">
      <c r="A31" s="299" t="inlineStr">
        <is>
          <t>Madeira</t>
        </is>
      </c>
      <c r="B31" s="296" t="n">
        <v>81</v>
      </c>
      <c r="C31" s="296" t="n">
        <v>76.3</v>
      </c>
      <c r="D31" s="296" t="n">
        <v>65.3</v>
      </c>
      <c r="E31" s="296" t="n">
        <v>64.09999999999999</v>
      </c>
      <c r="F31" s="296" t="n">
        <v>68.09999999999999</v>
      </c>
      <c r="G31" s="296" t="n">
        <v>65.59999999999999</v>
      </c>
      <c r="H31" s="296" t="n">
        <v>68.2</v>
      </c>
      <c r="I31" s="296" t="n">
        <v>54.4</v>
      </c>
      <c r="J31" s="296" t="n">
        <v>60.3</v>
      </c>
      <c r="K31" s="296" t="n">
        <v>54.8</v>
      </c>
      <c r="L31" s="296" t="n">
        <v>61.5</v>
      </c>
      <c r="M31" s="296" t="n">
        <v>48</v>
      </c>
      <c r="N31" s="296" t="n">
        <v>56.2</v>
      </c>
      <c r="O31" s="296" t="n">
        <v>53</v>
      </c>
      <c r="P31" s="296" t="n">
        <v>52.6</v>
      </c>
      <c r="Q31" s="296" t="n">
        <v>37.7</v>
      </c>
      <c r="R31" s="296" t="n">
        <v>37.1</v>
      </c>
      <c r="S31" s="296" t="n">
        <v>36.5</v>
      </c>
      <c r="T31" s="296" t="n">
        <v>41.5</v>
      </c>
      <c r="U31" s="296" t="n">
        <v>42.4</v>
      </c>
      <c r="V31" s="296" t="n">
        <v>53.3</v>
      </c>
      <c r="W31" s="296" t="n">
        <v>69.40000000000001</v>
      </c>
      <c r="X31" s="296" t="n">
        <v>71.5</v>
      </c>
      <c r="Y31" s="296" t="n">
        <v>65.8</v>
      </c>
      <c r="Z31" s="296" t="n">
        <v>67.90000000000001</v>
      </c>
      <c r="AA31" s="296" t="n">
        <v>63.9</v>
      </c>
      <c r="AB31" s="296" t="n">
        <v>69.2</v>
      </c>
      <c r="AC31" s="296" t="n">
        <v>63.9</v>
      </c>
      <c r="AD31" s="296" t="n">
        <v>70.90000000000001</v>
      </c>
      <c r="AE31" s="51" t="n">
        <v>74.09999999999999</v>
      </c>
      <c r="AF31" s="51" t="n">
        <v>77.8</v>
      </c>
      <c r="AG31" s="51" t="n">
        <v>70.59999999999999</v>
      </c>
      <c r="AH31" s="51" t="n">
        <v>69</v>
      </c>
      <c r="AI31" s="51" t="n">
        <v>75.40000000000001</v>
      </c>
      <c r="AJ31" s="51" t="n">
        <v>90.90000000000001</v>
      </c>
      <c r="AK31" s="300" t="n">
        <v>80.90741104999999</v>
      </c>
      <c r="AL31" s="300" t="n">
        <v>82.47499999999999</v>
      </c>
      <c r="AM31" s="300" t="n">
        <v>92.7</v>
      </c>
      <c r="AN31" s="300" t="n">
        <v>85.90000000000001</v>
      </c>
      <c r="AO31" s="300" t="n">
        <v>70.40000000000001</v>
      </c>
      <c r="AP31" s="300" t="n">
        <v>89.8</v>
      </c>
      <c r="AQ31" s="300" t="n">
        <v>114.3</v>
      </c>
      <c r="AR31" s="51" t="n">
        <v>81.09999999999999</v>
      </c>
      <c r="AS31" s="51" t="n">
        <v>76.59999999999999</v>
      </c>
      <c r="AT31" s="300" t="n">
        <v>79.5</v>
      </c>
      <c r="AU31" s="300" t="n">
        <v>80.90000000000001</v>
      </c>
      <c r="AV31" s="300" t="n">
        <v>84.5</v>
      </c>
      <c r="AW31" s="300" t="n">
        <v>74.8</v>
      </c>
      <c r="AX31" s="300" t="n">
        <v>72.8</v>
      </c>
      <c r="AY31" s="300" t="n">
        <v>74.09999999999999</v>
      </c>
      <c r="AZ31" s="300" t="n">
        <v>93.5</v>
      </c>
      <c r="BA31" s="300" t="n">
        <v>102.8</v>
      </c>
      <c r="BB31" s="300" t="n">
        <v>84.40000000000001</v>
      </c>
      <c r="BC31" s="51" t="n">
        <v>82.7</v>
      </c>
      <c r="BD31" s="51" t="n">
        <v>91.09999999999999</v>
      </c>
      <c r="BE31" s="51" t="n">
        <v>72.40000000000001</v>
      </c>
      <c r="BF31" s="51" t="n">
        <v>69.8</v>
      </c>
      <c r="BG31" s="51" t="n">
        <v>75</v>
      </c>
      <c r="BH31" s="51" t="n">
        <v>63.3</v>
      </c>
    </row>
    <row r="32" customFormat="1" s="51">
      <c r="A32" s="303" t="inlineStr">
        <is>
          <t>Total</t>
        </is>
      </c>
      <c r="B32" s="297" t="n">
        <v>673.2</v>
      </c>
      <c r="C32" s="297" t="n">
        <v>720.0999999999999</v>
      </c>
      <c r="D32" s="297" t="n">
        <v>650.3</v>
      </c>
      <c r="E32" s="297" t="n">
        <v>662.7</v>
      </c>
      <c r="F32" s="297" t="n">
        <v>645.1999999999999</v>
      </c>
      <c r="G32" s="297" t="n">
        <v>667.3</v>
      </c>
      <c r="H32" s="297" t="n">
        <v>705.3000000000001</v>
      </c>
      <c r="I32" s="297" t="n">
        <v>695</v>
      </c>
      <c r="J32" s="297" t="n">
        <v>690.5</v>
      </c>
      <c r="K32" s="297" t="n">
        <v>714.4999999999999</v>
      </c>
      <c r="L32" s="297" t="n">
        <v>722.8000000000001</v>
      </c>
      <c r="M32" s="297" t="n">
        <v>668.6</v>
      </c>
      <c r="N32" s="297" t="n">
        <v>740.4000000000001</v>
      </c>
      <c r="O32" s="297" t="n">
        <v>780.1999999999999</v>
      </c>
      <c r="P32" s="297" t="n">
        <v>770.2000000000002</v>
      </c>
      <c r="Q32" s="297" t="n">
        <v>805.8000000000001</v>
      </c>
      <c r="R32" s="297" t="n">
        <v>721.8000000000001</v>
      </c>
      <c r="S32" s="297" t="n">
        <v>682.7</v>
      </c>
      <c r="T32" s="297" t="n">
        <v>750.4</v>
      </c>
      <c r="U32" s="297" t="n">
        <v>805.3</v>
      </c>
      <c r="V32" s="297" t="n">
        <v>844.4</v>
      </c>
      <c r="W32" s="297" t="n">
        <v>905.4</v>
      </c>
      <c r="X32" s="297" t="n">
        <v>982.6</v>
      </c>
      <c r="Y32" s="297" t="n">
        <v>930.9000000000001</v>
      </c>
      <c r="Z32" s="297" t="n">
        <v>957</v>
      </c>
      <c r="AA32" s="297" t="n">
        <v>947.5</v>
      </c>
      <c r="AB32" s="297" t="n">
        <v>990.6</v>
      </c>
      <c r="AC32" s="297" t="n">
        <v>994.1</v>
      </c>
      <c r="AD32" s="297" t="n">
        <v>969.2</v>
      </c>
      <c r="AE32" s="297" t="n">
        <v>1030.3</v>
      </c>
      <c r="AF32" s="297" t="n">
        <v>1085.8</v>
      </c>
      <c r="AG32" s="297" t="n">
        <v>1078.4</v>
      </c>
      <c r="AH32" s="297" t="n">
        <v>1066.4</v>
      </c>
      <c r="AI32" s="297" t="n">
        <v>1093.8</v>
      </c>
      <c r="AJ32" s="297" t="n">
        <v>1202.9</v>
      </c>
      <c r="AK32" s="297" t="n">
        <v>1236.22043541</v>
      </c>
      <c r="AL32" s="297" t="n">
        <v>1203.4</v>
      </c>
      <c r="AM32" s="297" t="n">
        <v>1151.2</v>
      </c>
      <c r="AN32" s="297" t="n">
        <v>1282.2</v>
      </c>
      <c r="AO32" s="297" t="n">
        <v>1257.1</v>
      </c>
      <c r="AP32" s="297" t="n">
        <v>1308.4</v>
      </c>
      <c r="AQ32" s="297" t="n">
        <v>1338</v>
      </c>
      <c r="AR32" s="297" t="n">
        <v>1445.1</v>
      </c>
      <c r="AS32" s="297" t="n">
        <v>1595.5</v>
      </c>
      <c r="AT32" s="297" t="n">
        <v>1463.5</v>
      </c>
      <c r="AU32" s="297" t="n">
        <v>1698.6</v>
      </c>
      <c r="AV32" s="297" t="n">
        <v>1964.9</v>
      </c>
      <c r="AW32" s="297" t="n">
        <v>1963.8</v>
      </c>
      <c r="AX32" s="297" t="n">
        <v>1866.7</v>
      </c>
      <c r="AY32" s="297" t="n">
        <v>1984.1</v>
      </c>
      <c r="AZ32" s="297" t="n">
        <v>2224.6</v>
      </c>
      <c r="BA32" s="297" t="n">
        <v>2297.900000000001</v>
      </c>
      <c r="BB32" s="297" t="n">
        <v>2189.1</v>
      </c>
      <c r="BC32" s="297" t="n">
        <v>2235.2</v>
      </c>
      <c r="BD32" s="297" t="n">
        <v>2806.9</v>
      </c>
      <c r="BE32" s="297" t="n">
        <v>2785.3</v>
      </c>
      <c r="BF32" s="297" t="n">
        <v>2490</v>
      </c>
      <c r="BG32" s="297" t="n">
        <v>2599.9</v>
      </c>
      <c r="BH32" s="297" t="n">
        <v>2477.6</v>
      </c>
    </row>
    <row r="33" customFormat="1" s="51"/>
    <row r="34" customFormat="1" s="51"/>
    <row r="35" customFormat="1" s="51"/>
    <row r="36" customFormat="1" s="51"/>
    <row r="37" customFormat="1" s="51"/>
    <row r="38" customFormat="1" s="51"/>
    <row r="39" customFormat="1" s="51"/>
    <row r="40" customFormat="1" s="51"/>
    <row r="41" customFormat="1" s="51"/>
    <row r="42" customFormat="1" s="51"/>
    <row r="43" customFormat="1" s="51"/>
    <row r="44" customFormat="1" s="51"/>
    <row r="45" customFormat="1" s="51"/>
    <row r="46" customFormat="1" s="51"/>
    <row r="47" customFormat="1" s="51"/>
    <row r="48" customFormat="1" s="51"/>
    <row r="49" customFormat="1" s="51"/>
    <row r="50" customFormat="1" s="51"/>
    <row r="51" customFormat="1" s="51"/>
    <row r="52" customFormat="1" s="51"/>
    <row r="53" customFormat="1" s="51"/>
    <row r="54" customFormat="1" s="51"/>
    <row r="55" customFormat="1" s="51"/>
    <row r="56" customFormat="1" s="51"/>
    <row r="57" customFormat="1" s="51"/>
    <row r="58" customFormat="1" s="51"/>
    <row r="59" customFormat="1" s="51"/>
    <row r="60" customFormat="1" s="51"/>
    <row r="61" customFormat="1" s="51"/>
    <row r="62" customFormat="1" s="51"/>
    <row r="63" customFormat="1" s="51"/>
    <row r="64" customFormat="1" s="51"/>
    <row r="65" customFormat="1" s="51"/>
    <row r="66" customFormat="1" s="51"/>
    <row r="67" customFormat="1" s="51"/>
    <row r="68" customFormat="1" s="51"/>
    <row r="69" customFormat="1" s="51"/>
    <row r="70" customFormat="1" s="51"/>
    <row r="71" customFormat="1" s="51"/>
    <row r="72" customFormat="1" s="51"/>
    <row r="73" customFormat="1" s="51"/>
    <row r="74" customFormat="1" s="51"/>
    <row r="75" customFormat="1" s="51"/>
    <row r="76" customFormat="1" s="51"/>
    <row r="77" customFormat="1" s="51"/>
    <row r="78" customFormat="1" s="51"/>
    <row r="79" customFormat="1" s="51"/>
    <row r="80" customFormat="1" s="51"/>
    <row r="81" customFormat="1" s="51"/>
    <row r="82" customFormat="1" s="51"/>
    <row r="83" customFormat="1" s="51"/>
    <row r="84" customFormat="1" s="51"/>
    <row r="85" customFormat="1" s="51"/>
    <row r="86" customFormat="1" s="51"/>
    <row r="87" customFormat="1" s="51"/>
    <row r="88" customFormat="1" s="51"/>
    <row r="89" customFormat="1" s="51"/>
    <row r="90" customFormat="1" s="51"/>
    <row r="91" customFormat="1" s="51"/>
    <row r="92" customFormat="1" s="51"/>
    <row r="93" customFormat="1" s="51"/>
    <row r="94" customFormat="1" s="51"/>
    <row r="95" customFormat="1" s="51"/>
    <row r="96" customFormat="1" s="51"/>
    <row r="97" customFormat="1" s="51"/>
    <row r="98" customFormat="1" s="51"/>
    <row r="99" customFormat="1" s="51"/>
    <row r="100" customFormat="1" s="51"/>
    <row r="101" customFormat="1" s="51"/>
    <row r="102" customFormat="1" s="51"/>
    <row r="103" customFormat="1" s="51"/>
    <row r="104" customFormat="1" s="51"/>
    <row r="105" customFormat="1" s="51"/>
    <row r="106" customFormat="1" s="51"/>
    <row r="107" customFormat="1" s="51"/>
    <row r="108" customFormat="1" s="51"/>
    <row r="109" customFormat="1" s="51"/>
    <row r="110" customFormat="1" s="51"/>
    <row r="111" customFormat="1" s="51"/>
    <row r="112" customFormat="1" s="51"/>
    <row r="113" customFormat="1" s="51"/>
    <row r="114" customFormat="1" s="51"/>
    <row r="115" customFormat="1" s="51"/>
    <row r="116" customFormat="1" s="51"/>
    <row r="117" customFormat="1" s="51"/>
    <row r="118" customFormat="1" s="51"/>
    <row r="119" customFormat="1" s="51"/>
    <row r="120" customFormat="1" s="51"/>
    <row r="121" customFormat="1" s="51"/>
    <row r="122" customFormat="1" s="51"/>
    <row r="123" customFormat="1" s="51"/>
    <row r="124" customFormat="1" s="51"/>
    <row r="125" customFormat="1" s="51"/>
    <row r="126" customFormat="1" s="51"/>
    <row r="127" customFormat="1" s="51"/>
    <row r="128" customFormat="1" s="51"/>
    <row r="129" customFormat="1" s="51"/>
    <row r="130" customFormat="1" s="51"/>
    <row r="131" customFormat="1" s="51"/>
    <row r="132" customFormat="1" s="51"/>
    <row r="133" customFormat="1" s="51"/>
    <row r="134" customFormat="1" s="51"/>
    <row r="135" customFormat="1" s="51"/>
    <row r="136" customFormat="1" s="51"/>
    <row r="137" customFormat="1" s="51"/>
    <row r="138" customFormat="1" s="51"/>
    <row r="139" customFormat="1" s="51"/>
    <row r="140" customFormat="1" s="51"/>
    <row r="141" customFormat="1" s="51"/>
    <row r="142" customFormat="1" s="51"/>
    <row r="143" customFormat="1" s="51"/>
    <row r="144" customFormat="1" s="51"/>
    <row r="145" customFormat="1" s="51"/>
    <row r="146" customFormat="1" s="51"/>
    <row r="147" customFormat="1" s="51"/>
    <row r="148" customFormat="1" s="51"/>
    <row r="149" customFormat="1" s="51"/>
    <row r="150" customFormat="1" s="51"/>
    <row r="151" customFormat="1" s="51"/>
    <row r="152" customFormat="1" s="51"/>
    <row r="153" customFormat="1" s="51"/>
    <row r="154" customFormat="1" s="51"/>
    <row r="155" customFormat="1" s="51"/>
    <row r="156" customFormat="1" s="51"/>
    <row r="157" customFormat="1" s="51"/>
    <row r="158" customFormat="1" s="51"/>
    <row r="159" customFormat="1" s="51"/>
    <row r="160" customFormat="1" s="51"/>
    <row r="161" customFormat="1" s="51"/>
    <row r="162" customFormat="1" s="51"/>
    <row r="163" customFormat="1" s="51"/>
    <row r="164" customFormat="1" s="51"/>
    <row r="165" customFormat="1" s="51"/>
    <row r="166" customFormat="1" s="51"/>
    <row r="167" customFormat="1" s="51"/>
    <row r="168" customFormat="1" s="51"/>
    <row r="169" customFormat="1" s="51"/>
  </sheetData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gvschroden</dc:creator>
  <dcterms:created xmlns:dcterms="http://purl.org/dc/terms/" xmlns:xsi="http://www.w3.org/2001/XMLSchema-instance" xsi:type="dcterms:W3CDTF">2007-01-16T17:53:19Z</dcterms:created>
  <dcterms:modified xmlns:dcterms="http://purl.org/dc/terms/" xmlns:xsi="http://www.w3.org/2001/XMLSchema-instance" xsi:type="dcterms:W3CDTF">2026-06-11T19:49:49Z</dcterms:modified>
  <cp:lastModifiedBy>Jose Carlos Souza</cp:lastModifiedBy>
  <cp:lastPrinted>2025-08-04T22:40:42Z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0x0101004583D3305F71C44D8F1E2682F5CC81CE</vt:lpwstr>
  </property>
  <property name="MediaServiceImageTags" fmtid="{D5CDD505-2E9C-101B-9397-08002B2CF9AE}" pid="3">
    <vt:lpwstr xmlns:vt="http://schemas.openxmlformats.org/officeDocument/2006/docPropsVTypes"/>
  </property>
</Properties>
</file>